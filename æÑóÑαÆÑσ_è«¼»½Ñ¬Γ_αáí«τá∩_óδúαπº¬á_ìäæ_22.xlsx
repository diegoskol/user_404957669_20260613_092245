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13a8ed0f484e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правка" sheetId="1" r:id="R173247537dc6453c"/>
    <x:sheet xmlns:r="http://schemas.openxmlformats.org/officeDocument/2006/relationships" name="00_Карта_модели" sheetId="2" r:id="R100cfe5e81c34772"/>
    <x:sheet xmlns:r="http://schemas.openxmlformats.org/officeDocument/2006/relationships" name="01_Сводка" sheetId="3" r:id="R674cba8aed044a0a"/>
    <x:sheet xmlns:r="http://schemas.openxmlformats.org/officeDocument/2006/relationships" name="02_Оргструктура" sheetId="4" r:id="R32248264a406424d"/>
    <x:sheet xmlns:r="http://schemas.openxmlformats.org/officeDocument/2006/relationships" name="03_Сотрудники" sheetId="5" r:id="R2291b9926b344741"/>
    <x:sheet xmlns:r="http://schemas.openxmlformats.org/officeDocument/2006/relationships" name="04_Роли_права" sheetId="6" r:id="R0e7a49e51ebc4c85"/>
    <x:sheet xmlns:r="http://schemas.openxmlformats.org/officeDocument/2006/relationships" name="05_Пользователи_меню" sheetId="7" r:id="Rac3c5be47c3f4c4c"/>
    <x:sheet xmlns:r="http://schemas.openxmlformats.org/officeDocument/2006/relationships" name="06_Заказчики" sheetId="8" r:id="Radd38422cb134a63"/>
    <x:sheet xmlns:r="http://schemas.openxmlformats.org/officeDocument/2006/relationships" name="07_Контакты" sheetId="9" r:id="R96925252db5e4866"/>
    <x:sheet xmlns:r="http://schemas.openxmlformats.org/officeDocument/2006/relationships" name="08_Договоры" sheetId="10" r:id="R7b4b2b10ee1f4f13"/>
    <x:sheet xmlns:r="http://schemas.openxmlformats.org/officeDocument/2006/relationships" name="09_Заказы" sheetId="11" r:id="R0ac24bc1fc8c4c7a"/>
    <x:sheet xmlns:r="http://schemas.openxmlformats.org/officeDocument/2006/relationships" name="10_Позиции_заказов" sheetId="12" r:id="R58e509f543a645ec"/>
    <x:sheet xmlns:r="http://schemas.openxmlformats.org/officeDocument/2006/relationships" name="11_Продукты" sheetId="13" r:id="R823cbbbac5cb4ea7"/>
    <x:sheet xmlns:r="http://schemas.openxmlformats.org/officeDocument/2006/relationships" name="12_Маршруты_операций" sheetId="14" r:id="R21af5929945c4284"/>
    <x:sheet xmlns:r="http://schemas.openxmlformats.org/officeDocument/2006/relationships" name="13_Состав_изделий" sheetId="15" r:id="R24941b91d97b4627"/>
    <x:sheet xmlns:r="http://schemas.openxmlformats.org/officeDocument/2006/relationships" name="14_Материалы" sheetId="16" r:id="R79b523b302de418f"/>
    <x:sheet xmlns:r="http://schemas.openxmlformats.org/officeDocument/2006/relationships" name="15_Поставщики" sheetId="17" r:id="R4025b36465dd4d13"/>
    <x:sheet xmlns:r="http://schemas.openxmlformats.org/officeDocument/2006/relationships" name="16_Заявки_закупки" sheetId="18" r:id="R6f1d549ae6ca4f0f"/>
    <x:sheet xmlns:r="http://schemas.openxmlformats.org/officeDocument/2006/relationships" name="17_Поставки" sheetId="19" r:id="R34ffe3d96efe4bfe"/>
    <x:sheet xmlns:r="http://schemas.openxmlformats.org/officeDocument/2006/relationships" name="18_Склад_движения" sheetId="20" r:id="R9c5d99d5d6b542e8"/>
    <x:sheet xmlns:r="http://schemas.openxmlformats.org/officeDocument/2006/relationships" name="19_Оборудование" sheetId="21" r:id="Rc6e54703631341ea"/>
    <x:sheet xmlns:r="http://schemas.openxmlformats.org/officeDocument/2006/relationships" name="20_ППР_ТО" sheetId="22" r:id="Rb0a47da79f634a35"/>
    <x:sheet xmlns:r="http://schemas.openxmlformats.org/officeDocument/2006/relationships" name="21_Производство" sheetId="23" r:id="Rd34117bb7e404652"/>
    <x:sheet xmlns:r="http://schemas.openxmlformats.org/officeDocument/2006/relationships" name="22_Операции_производства" sheetId="24" r:id="Re5b1e6d9078e4013"/>
    <x:sheet xmlns:r="http://schemas.openxmlformats.org/officeDocument/2006/relationships" name="23_Смены" sheetId="25" r:id="Rd833a5e4238b4dc1"/>
    <x:sheet xmlns:r="http://schemas.openxmlformats.org/officeDocument/2006/relationships" name="24_ОТК" sheetId="26" r:id="Rdd430baa7e814cdc"/>
    <x:sheet xmlns:r="http://schemas.openxmlformats.org/officeDocument/2006/relationships" name="25_Рекламации" sheetId="27" r:id="Rc36a3c629aa94cdf"/>
    <x:sheet xmlns:r="http://schemas.openxmlformats.org/officeDocument/2006/relationships" name="26_Счета_оплаты" sheetId="28" r:id="R7fb5250109204f7b"/>
    <x:sheet xmlns:r="http://schemas.openxmlformats.org/officeDocument/2006/relationships" name="27_Логистика" sheetId="29" r:id="R62a0f580fa584e4b"/>
    <x:sheet xmlns:r="http://schemas.openxmlformats.org/officeDocument/2006/relationships" name="28_Задачи_и_сроки" sheetId="30" r:id="R0a60362a4ec84d59"/>
    <x:sheet xmlns:r="http://schemas.openxmlformats.org/officeDocument/2006/relationships" name="29_Согласования" sheetId="31" r:id="Re96af96083fa43d9"/>
    <x:sheet xmlns:r="http://schemas.openxmlformats.org/officeDocument/2006/relationships" name="30_Риски_исключения" sheetId="32" r:id="R749147b614fa48bb"/>
    <x:sheet xmlns:r="http://schemas.openxmlformats.org/officeDocument/2006/relationships" name="31_Правила_процессов" sheetId="33" r:id="R0ec429056d1e4993"/>
    <x:sheet xmlns:r="http://schemas.openxmlformats.org/officeDocument/2006/relationships" name="32_Заявки_на_изменения" sheetId="34" r:id="R1b4daae27b374ae5"/>
    <x:sheet xmlns:r="http://schemas.openxmlformats.org/officeDocument/2006/relationships" name="33_Контроль_связей" sheetId="35" r:id="R07020a83f5f445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%"/>
    <x:numFmt numFmtId="165" formatCode="DD.MM.YYYY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color rgb="FFFFFF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172A"/>
      </x:patternFill>
    </x:fill>
  </x:fills>
  <x:borders count="3">
    <x:border/>
    <x:border/>
    <x:border>
      <x:bottom style="thin">
        <x:color rgb="D9E2F3"/>
      </x:bottom>
    </x:border>
  </x:borders>
  <x:cellStyleXfs count="1">
    <x:xf numFmtId="0" fontId="0" fillId="0" borderId="1"/>
  </x:cellStyleXfs>
  <x:cellXfs count="3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wrapText="1"/>
    </x:xf>
    <x:xf numFmtId="0" fontId="1" fillId="2" borderId="0" xfId="0" applyAlignment="1">
      <x:alignment horizontal="center" wrapText="1"/>
    </x:xf>
    <x:xf numFmtId="0" fontId="1" fillId="2" borderId="0" xfId="0" applyAlignment="1">
      <x:alignment horizontal="center" vertical="center" wrapText="1"/>
    </x:xf>
    <x:xf numFmtId="0" fontId="0" fillId="2" borderId="1" xfId="0"/>
    <x:xf numFmtId="0" fontId="1" fillId="2" borderId="1" xfId="0"/>
    <x:xf numFmtId="0" fontId="1" fillId="2" borderId="1" xfId="0" applyAlignment="1">
      <x:alignment wrapText="1"/>
    </x:xf>
    <x:xf numFmtId="0" fontId="1" fillId="2" borderId="1" xfId="0" applyAlignment="1">
      <x:alignment horizontal="center" wrapText="1"/>
    </x:xf>
    <x:xf numFmtId="0" fontId="1" fillId="2" borderId="1" xfId="0" applyAlignment="1">
      <x:alignment horizontal="center" vertical="center" wrapText="1"/>
    </x:xf>
    <x:xf numFmtId="0" fontId="1" fillId="3" borderId="0" xfId="0" applyAlignment="1">
      <x:alignment horizontal="center" vertical="center" wrapText="1"/>
    </x:xf>
    <x:xf numFmtId="0" fontId="2" fillId="3" borderId="0" xfId="0" applyAlignment="1">
      <x:alignment horizontal="center" vertical="center" wrapText="1"/>
    </x:xf>
    <x:xf numFmtId="0" fontId="2" fillId="3" borderId="0" xfId="0" applyAlignment="1">
      <x:alignment horizontal="left" vertical="center" wrapText="1"/>
    </x:xf>
    <x:xf numFmtId="0" fontId="1" fillId="3" borderId="1" xfId="0" applyAlignment="1">
      <x:alignment horizontal="center" vertical="center" wrapText="1"/>
    </x:xf>
    <x:xf numFmtId="0" fontId="2" fillId="3" borderId="1" xfId="0" applyAlignment="1">
      <x:alignment horizontal="center" vertical="center" wrapText="1"/>
    </x:xf>
    <x:xf numFmtId="0" fontId="2" fillId="3" borderId="1" xfId="0" applyAlignment="1">
      <x:alignment horizontal="left" vertical="center" wrapText="1"/>
    </x:xf>
    <x:xf numFmtId="0" fontId="0" fillId="3" borderId="0" xfId="0"/>
    <x:xf numFmtId="0" fontId="2" fillId="3" borderId="0" xfId="0"/>
    <x:xf numFmtId="0" fontId="2" fillId="3" borderId="0" xfId="0" applyAlignment="1">
      <x:alignment horizontal="left"/>
    </x:xf>
    <x:xf numFmtId="0" fontId="2" fillId="3" borderId="0" xfId="0" applyAlignment="1">
      <x:alignment horizontal="left" vertical="center"/>
    </x:xf>
    <x:xf numFmtId="0" fontId="0" fillId="3" borderId="1" xfId="0"/>
    <x:xf numFmtId="0" fontId="2" fillId="3" borderId="1" xfId="0"/>
    <x:xf numFmtId="0" fontId="2" fillId="3" borderId="1" xfId="0" applyAlignment="1">
      <x:alignment horizontal="left"/>
    </x:xf>
    <x:xf numFmtId="0" fontId="2" fillId="3" borderId="1" xfId="0" applyAlignment="1">
      <x:alignment horizontal="left" vertical="center"/>
    </x:xf>
    <x:xf numFmtId="3" fontId="0" fillId="0" borderId="0" xfId="0"/>
    <x:xf numFmtId="3" fontId="0" fillId="0" borderId="1" xfId="0"/>
    <x:xf numFmtId="164" fontId="0" fillId="0" borderId="0" xfId="0"/>
    <x:xf numFmtId="164" fontId="0" fillId="0" borderId="1" xfId="0"/>
    <x:xf numFmtId="0" fontId="3" fillId="2" borderId="2" xfId="0" applyAlignment="1">
      <x:alignment vertical="top" wrapText="1"/>
    </x:xf>
    <x:xf numFmtId="0" fontId="0" fillId="0" borderId="0" xfId="0" applyAlignment="1">
      <x:alignment vertical="top" wrapText="1"/>
    </x:xf>
    <x:xf numFmtId="0" fontId="1" fillId="2" borderId="0" xfId="0" applyAlignment="1">
      <x:alignment vertical="top" wrapText="1"/>
    </x:xf>
    <x:xf numFmtId="3" fontId="0" fillId="0" borderId="0" xfId="0" applyAlignment="1">
      <x:alignment vertical="top" wrapText="1"/>
    </x:xf>
    <x:xf numFmtId="164" fontId="0" fillId="0" borderId="0" xfId="0" applyAlignment="1">
      <x:alignment vertical="top" wrapText="1"/>
    </x:xf>
    <x:xf numFmtId="165" fontId="0" fillId="0" borderId="0" xfId="0" applyAlignment="1">
      <x:alignment vertical="top" wrapText="1"/>
    </x:xf>
    <x:xf numFmtId="0" fontId="0" fillId="0" borderId="2" xfId="0"/>
    <x:xf numFmtId="165" fontId="0" fillId="0" borderId="0" xfId="0" applyAlignment="1">
      <x:alignment vertical="top" wrapText="1"/>
    </x:xf>
  </x:cellXfs>
  <x:cellStyles count="1">
    <x:cellStyle name="Normal" xfId="0"/>
  </x:cellStyles>
  <x:dxfs count="1">
    <x:dxf>
      <x:font>
        <x:b/>
        <x:color rgb="007F1D1D"/>
      </x:font>
      <x:fill>
        <x:patternFill>
          <x:bgColor rgb="00FCA5A5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2c4c2fe7a74436" /><Relationship Type="http://schemas.openxmlformats.org/officeDocument/2006/relationships/theme" Target="/xl/theme/theme1.xml" Id="Rcc358f417fbb422a" /><Relationship Type="http://schemas.openxmlformats.org/officeDocument/2006/relationships/sharedStrings" Target="/xl/sharedStrings.xml" Id="Raf9598f3ac5d45d3" /><Relationship Type="http://schemas.openxmlformats.org/officeDocument/2006/relationships/worksheet" Target="/xl/worksheets/sheet1.xml" Id="R173247537dc6453c" /><Relationship Type="http://schemas.openxmlformats.org/officeDocument/2006/relationships/worksheet" Target="/xl/worksheets/sheet2.xml" Id="R100cfe5e81c34772" /><Relationship Type="http://schemas.openxmlformats.org/officeDocument/2006/relationships/worksheet" Target="/xl/worksheets/sheet3.xml" Id="R674cba8aed044a0a" /><Relationship Type="http://schemas.openxmlformats.org/officeDocument/2006/relationships/worksheet" Target="/xl/worksheets/sheet4.xml" Id="R32248264a406424d" /><Relationship Type="http://schemas.openxmlformats.org/officeDocument/2006/relationships/worksheet" Target="/xl/worksheets/sheet5.xml" Id="R2291b9926b344741" /><Relationship Type="http://schemas.openxmlformats.org/officeDocument/2006/relationships/worksheet" Target="/xl/worksheets/sheet6.xml" Id="R0e7a49e51ebc4c85" /><Relationship Type="http://schemas.openxmlformats.org/officeDocument/2006/relationships/worksheet" Target="/xl/worksheets/sheet7.xml" Id="Rac3c5be47c3f4c4c" /><Relationship Type="http://schemas.openxmlformats.org/officeDocument/2006/relationships/worksheet" Target="/xl/worksheets/sheet8.xml" Id="Radd38422cb134a63" /><Relationship Type="http://schemas.openxmlformats.org/officeDocument/2006/relationships/worksheet" Target="/xl/worksheets/sheet9.xml" Id="R96925252db5e4866" /><Relationship Type="http://schemas.openxmlformats.org/officeDocument/2006/relationships/worksheet" Target="/xl/worksheets/sheet10.xml" Id="R7b4b2b10ee1f4f13" /><Relationship Type="http://schemas.openxmlformats.org/officeDocument/2006/relationships/worksheet" Target="/xl/worksheets/sheet11.xml" Id="R0ac24bc1fc8c4c7a" /><Relationship Type="http://schemas.openxmlformats.org/officeDocument/2006/relationships/worksheet" Target="/xl/worksheets/sheet12.xml" Id="R58e509f543a645ec" /><Relationship Type="http://schemas.openxmlformats.org/officeDocument/2006/relationships/worksheet" Target="/xl/worksheets/sheet13.xml" Id="R823cbbbac5cb4ea7" /><Relationship Type="http://schemas.openxmlformats.org/officeDocument/2006/relationships/worksheet" Target="/xl/worksheets/sheet14.xml" Id="R21af5929945c4284" /><Relationship Type="http://schemas.openxmlformats.org/officeDocument/2006/relationships/worksheet" Target="/xl/worksheets/sheet15.xml" Id="R24941b91d97b4627" /><Relationship Type="http://schemas.openxmlformats.org/officeDocument/2006/relationships/worksheet" Target="/xl/worksheets/sheet16.xml" Id="R79b523b302de418f" /><Relationship Type="http://schemas.openxmlformats.org/officeDocument/2006/relationships/worksheet" Target="/xl/worksheets/sheet17.xml" Id="R4025b36465dd4d13" /><Relationship Type="http://schemas.openxmlformats.org/officeDocument/2006/relationships/worksheet" Target="/xl/worksheets/sheet18.xml" Id="R6f1d549ae6ca4f0f" /><Relationship Type="http://schemas.openxmlformats.org/officeDocument/2006/relationships/worksheet" Target="/xl/worksheets/sheet19.xml" Id="R34ffe3d96efe4bfe" /><Relationship Type="http://schemas.openxmlformats.org/officeDocument/2006/relationships/worksheet" Target="/xl/worksheets/sheet20.xml" Id="R9c5d99d5d6b542e8" /><Relationship Type="http://schemas.openxmlformats.org/officeDocument/2006/relationships/worksheet" Target="/xl/worksheets/sheet21.xml" Id="Rc6e54703631341ea" /><Relationship Type="http://schemas.openxmlformats.org/officeDocument/2006/relationships/worksheet" Target="/xl/worksheets/sheet22.xml" Id="Rb0a47da79f634a35" /><Relationship Type="http://schemas.openxmlformats.org/officeDocument/2006/relationships/worksheet" Target="/xl/worksheets/sheet23.xml" Id="Rd34117bb7e404652" /><Relationship Type="http://schemas.openxmlformats.org/officeDocument/2006/relationships/worksheet" Target="/xl/worksheets/sheet24.xml" Id="Re5b1e6d9078e4013" /><Relationship Type="http://schemas.openxmlformats.org/officeDocument/2006/relationships/worksheet" Target="/xl/worksheets/sheet25.xml" Id="Rd833a5e4238b4dc1" /><Relationship Type="http://schemas.openxmlformats.org/officeDocument/2006/relationships/worksheet" Target="/xl/worksheets/sheet26.xml" Id="Rdd430baa7e814cdc" /><Relationship Type="http://schemas.openxmlformats.org/officeDocument/2006/relationships/worksheet" Target="/xl/worksheets/sheet27.xml" Id="Rc36a3c629aa94cdf" /><Relationship Type="http://schemas.openxmlformats.org/officeDocument/2006/relationships/worksheet" Target="/xl/worksheets/sheet28.xml" Id="R7fb5250109204f7b" /><Relationship Type="http://schemas.openxmlformats.org/officeDocument/2006/relationships/worksheet" Target="/xl/worksheets/sheet29.xml" Id="R62a0f580fa584e4b" /><Relationship Type="http://schemas.openxmlformats.org/officeDocument/2006/relationships/worksheet" Target="/xl/worksheets/sheet30.xml" Id="R0a60362a4ec84d59" /><Relationship Type="http://schemas.openxmlformats.org/officeDocument/2006/relationships/worksheet" Target="/xl/worksheets/sheet31.xml" Id="Re96af96083fa43d9" /><Relationship Type="http://schemas.openxmlformats.org/officeDocument/2006/relationships/worksheet" Target="/xl/worksheets/sheet32.xml" Id="R749147b614fa48bb" /><Relationship Type="http://schemas.openxmlformats.org/officeDocument/2006/relationships/worksheet" Target="/xl/worksheets/sheet33.xml" Id="R0ec429056d1e4993" /><Relationship Type="http://schemas.openxmlformats.org/officeDocument/2006/relationships/worksheet" Target="/xl/worksheets/sheet34.xml" Id="R1b4daae27b374ae5" /><Relationship Type="http://schemas.openxmlformats.org/officeDocument/2006/relationships/worksheet" Target="/xl/worksheets/sheet35.xml" Id="R07020a83f5f445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90" customWidth="1"/>
  </x:cols>
  <x:sheetData>
    <x:row r="1" ht="18" customHeight="1">
      <x:c r="A1" s="30" t="inlineStr">
        <x:is>
          <x:t xml:space="preserve">Параметр</x:t>
        </x:is>
      </x:c>
      <x:c r="B1" s="30" t="inlineStr">
        <x:is>
          <x:t xml:space="preserve">Описание</x:t>
        </x:is>
      </x:c>
    </x:row>
    <x:row r="2" ht="18" customHeight="1">
      <x:c r="A2" s="31" t="inlineStr">
        <x:is>
          <x:t xml:space="preserve">Компания</x:t>
        </x:is>
      </x:c>
      <x:c r="B2" s="31" t="inlineStr">
        <x:is>
          <x:t xml:space="preserve">ООО «СеверТех Комплект»</x:t>
        </x:is>
      </x:c>
    </x:row>
    <x:row r="3" ht="18" customHeight="1">
      <x:c r="A3" s="31" t="inlineStr">
        <x:is>
          <x:t xml:space="preserve">Назначение файла</x:t>
        </x:is>
      </x:c>
      <x:c r="B3" s="31" t="inlineStr">
        <x:is>
          <x:t xml:space="preserve">Сводная рабочая выгрузка по заказам, производству, закупкам, складу, качеству, оплатам и сервисным обращениям.</x:t>
        </x:is>
      </x:c>
    </x:row>
    <x:row r="4" ht="18" customHeight="1">
      <x:c r="A4" s="31" t="inlineStr">
        <x:is>
          <x:t xml:space="preserve">Период данных</x:t>
        </x:is>
      </x:c>
      <x:c r="B4" s="31" t="inlineStr">
        <x:is>
          <x:t xml:space="preserve">Январь–июнь 2026; часть заказов и поставок уходит на июль–август 2026.</x:t>
        </x:is>
      </x:c>
    </x:row>
    <x:row r="5" ht="18" customHeight="1">
      <x:c r="A5" s="31" t="inlineStr">
        <x:is>
          <x:t xml:space="preserve">Масштаб</x:t>
        </x:is>
      </x:c>
      <x:c r="B5" s="31" t="inlineStr">
        <x:is>
          <x:t xml:space="preserve">В файле сведены сотрудники, подразделения, заказчики, договоры, заказы, состав изделий, материалы, производство, ОТК, логистика, счета, задачи и согласования.</x:t>
        </x:is>
      </x:c>
    </x:row>
    <x:row r="6" ht="18" customHeight="1">
      <x:c r="A6" s="31" t="inlineStr">
        <x:is>
          <x:t xml:space="preserve">Особенности данных</x:t>
        </x:is>
      </x:c>
      <x:c r="B6" s="31" t="inlineStr">
        <x:is>
          <x:t xml:space="preserve">Выгрузка содержит обычные рабочие неоднозначности: частичные оплаты, просрочки, дубли контрагентов, замены материалов, дефициты, рекламации и отгрузки при ограничениях.</x:t>
        </x:is>
      </x:c>
    </x:row>
    <x:row r="7" ht="18" customHeight="1">
      <x:c r="A7" s="31" t="inlineStr">
        <x:is>
          <x:t xml:space="preserve">Источник</x:t>
        </x:is>
      </x:c>
      <x:c r="B7" s="31" t="inlineStr">
        <x:is>
          <x:t xml:space="preserve">Внутренняя управленческая выгрузка; данные обезличены и подготовлены для передачи внешнему подрядчику.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4" customWidth="1"/>
    <x:col min="3" max="3" width="45" customWidth="1"/>
    <x:col min="4" max="4" width="30" customWidth="1"/>
    <x:col min="5" max="5" width="45" customWidth="1"/>
    <x:col min="6" max="6" width="38" customWidth="1"/>
  </x:cols>
  <x:sheetData>
    <x:row r="1" ht="18" customHeight="1">
      <x:c r="A1" s="30" t="inlineStr">
        <x:is>
          <x:t xml:space="preserve">Область учета</x:t>
        </x:is>
      </x:c>
      <x:c r="B1" s="30" t="inlineStr">
        <x:is>
          <x:t xml:space="preserve">Основной код</x:t>
        </x:is>
      </x:c>
      <x:c r="C1" s="30" t="inlineStr">
        <x:is>
          <x:t xml:space="preserve">Связанные данные</x:t>
        </x:is>
      </x:c>
      <x:c r="D1" s="30" t="inlineStr">
        <x:is>
          <x:t xml:space="preserve">Рабочая форма</x:t>
        </x:is>
      </x:c>
      <x:c r="E1" s="30" t="inlineStr">
        <x:is>
          <x:t xml:space="preserve">Критичная логика</x:t>
        </x:is>
      </x:c>
      <x:c r="F1" s="30" t="inlineStr">
        <x:is>
          <x:t xml:space="preserve">Ключевые поля</x:t>
        </x:is>
      </x:c>
    </x:row>
    <x:row r="2" ht="18" customHeight="1">
      <x:c r="A2" s="31" t="inlineStr">
        <x:is>
          <x:t xml:space="preserve">Заказчики</x:t>
        </x:is>
      </x:c>
      <x:c r="B2" s="31" t="inlineStr">
        <x:is>
          <x:t xml:space="preserve">Код заказчика</x:t>
        </x:is>
      </x:c>
      <x:c r="C2" s="31" t="inlineStr">
        <x:is>
          <x:t xml:space="preserve">Контакты, договоры, заказы, счета, рекламации</x:t>
        </x:is>
      </x:c>
      <x:c r="D2" s="31" t="inlineStr">
        <x:is>
          <x:t xml:space="preserve">Карточка заказчика</x:t>
        </x:is>
      </x:c>
      <x:c r="E2" s="31" t="inlineStr">
        <x:is>
          <x:t xml:space="preserve">Кредитный лимит, риск, менеджер</x:t>
        </x:is>
      </x:c>
      <x:c r="F2" s="31" t="inlineStr">
        <x:is>
          <x:t xml:space="preserve">Сегмент, риск, лимит</x:t>
        </x:is>
      </x:c>
    </x:row>
    <x:row r="3" ht="18" customHeight="1">
      <x:c r="A3" s="31" t="inlineStr">
        <x:is>
          <x:t xml:space="preserve">Заказы</x:t>
        </x:is>
      </x:c>
      <x:c r="B3" s="31" t="inlineStr">
        <x:is>
          <x:t xml:space="preserve">Код заказа</x:t>
        </x:is>
      </x:c>
      <x:c r="C3" s="31" t="inlineStr">
        <x:is>
          <x:t xml:space="preserve">Позиции, производственные задания, счета, отгрузки, задачи</x:t>
        </x:is>
      </x:c>
      <x:c r="D3" s="31" t="inlineStr">
        <x:is>
          <x:t xml:space="preserve">Карточка заказа / доска статусов</x:t>
        </x:is>
      </x:c>
      <x:c r="E3" s="31" t="inlineStr">
        <x:is>
          <x:t xml:space="preserve">Маршрут статусов и кредит-блок</x:t>
        </x:is>
      </x:c>
      <x:c r="F3" s="31" t="inlineStr">
        <x:is>
          <x:t xml:space="preserve">Статус, приоритет, маржа, оплата</x:t>
        </x:is>
      </x:c>
    </x:row>
    <x:row r="4" ht="18" customHeight="1">
      <x:c r="A4" s="31" t="inlineStr">
        <x:is>
          <x:t xml:space="preserve">Позиции заказов</x:t>
        </x:is>
      </x:c>
      <x:c r="B4" s="31" t="inlineStr">
        <x:is>
          <x:t xml:space="preserve">Код позиции</x:t>
        </x:is>
      </x:c>
      <x:c r="C4" s="31" t="inlineStr">
        <x:is>
          <x:t xml:space="preserve">Заказ, изделие, производственное задание</x:t>
        </x:is>
      </x:c>
      <x:c r="D4" s="31" t="inlineStr">
        <x:is>
          <x:t xml:space="preserve">Табличная часть заказа</x:t>
        </x:is>
      </x:c>
      <x:c r="E4" s="31" t="inlineStr">
        <x:is>
          <x:t xml:space="preserve">Скидка и маржа требуют согласования</x:t>
        </x:is>
      </x:c>
      <x:c r="F4" s="31" t="inlineStr">
        <x:is>
          <x:t xml:space="preserve">Количество, скидка, маржа</x:t>
        </x:is>
      </x:c>
    </x:row>
    <x:row r="5" ht="18" customHeight="1">
      <x:c r="A5" s="31" t="inlineStr">
        <x:is>
          <x:t xml:space="preserve">Изделия</x:t>
        </x:is>
      </x:c>
      <x:c r="B5" s="31" t="inlineStr">
        <x:is>
          <x:t xml:space="preserve">Код изделия</x:t>
        </x:is>
      </x:c>
      <x:c r="C5" s="31" t="inlineStr">
        <x:is>
          <x:t xml:space="preserve">Состав изделия, маршруты операций, позиции заказов</x:t>
        </x:is>
      </x:c>
      <x:c r="D5" s="31" t="inlineStr">
        <x:is>
          <x:t xml:space="preserve">Каталог изделий</x:t>
        </x:is>
      </x:c>
      <x:c r="E5" s="31" t="inlineStr">
        <x:is>
          <x:t xml:space="preserve">Версии КД и серийность</x:t>
        </x:is>
      </x:c>
      <x:c r="F5" s="31" t="inlineStr">
        <x:is>
          <x:t xml:space="preserve">Версия, сложность</x:t>
        </x:is>
      </x:c>
    </x:row>
    <x:row r="6" ht="18" customHeight="1">
      <x:c r="A6" s="31" t="inlineStr">
        <x:is>
          <x:t xml:space="preserve">Состав изделий</x:t>
        </x:is>
      </x:c>
      <x:c r="B6" s="31" t="inlineStr">
        <x:is>
          <x:t xml:space="preserve">Код состава</x:t>
        </x:is>
      </x:c>
      <x:c r="C6" s="31" t="inlineStr">
        <x:is>
          <x:t xml:space="preserve">Изделие, материал, группа замены</x:t>
        </x:is>
      </x:c>
      <x:c r="D6" s="31" t="inlineStr">
        <x:is>
          <x:t xml:space="preserve">Спецификация изделия</x:t>
        </x:is>
      </x:c>
      <x:c r="E6" s="31" t="inlineStr">
        <x:is>
          <x:t xml:space="preserve">Потребность, дефицит и замены</x:t>
        </x:is>
      </x:c>
      <x:c r="F6" s="31" t="inlineStr">
        <x:is>
          <x:t xml:space="preserve">Группа замены, критичность</x:t>
        </x:is>
      </x:c>
    </x:row>
    <x:row r="7" ht="18" customHeight="1">
      <x:c r="A7" s="31" t="inlineStr">
        <x:is>
          <x:t xml:space="preserve">Материалы</x:t>
        </x:is>
      </x:c>
      <x:c r="B7" s="31" t="inlineStr">
        <x:is>
          <x:t xml:space="preserve">Код материала</x:t>
        </x:is>
      </x:c>
      <x:c r="C7" s="31" t="inlineStr">
        <x:is>
          <x:t xml:space="preserve">Состав изделий, закупки, складские движения</x:t>
        </x:is>
      </x:c>
      <x:c r="D7" s="31" t="inlineStr">
        <x:is>
          <x:t xml:space="preserve">Склад и дефициты</x:t>
        </x:is>
      </x:c>
      <x:c r="E7" s="31" t="inlineStr">
        <x:is>
          <x:t xml:space="preserve">Доступный остаток ниже минимума</x:t>
        </x:is>
      </x:c>
      <x:c r="F7" s="31" t="inlineStr">
        <x:is>
          <x:t xml:space="preserve">Статус склада, поставщик</x:t>
        </x:is>
      </x:c>
    </x:row>
    <x:row r="8" ht="18" customHeight="1">
      <x:c r="A8" s="31" t="inlineStr">
        <x:is>
          <x:t xml:space="preserve">Закупки</x:t>
        </x:is>
      </x:c>
      <x:c r="B8" s="31" t="inlineStr">
        <x:is>
          <x:t xml:space="preserve">Код заявки закупки</x:t>
        </x:is>
      </x:c>
      <x:c r="C8" s="31" t="inlineStr">
        <x:is>
          <x:t xml:space="preserve">Материал, поставщик, заказ, поставка</x:t>
        </x:is>
      </x:c>
      <x:c r="D8" s="31" t="inlineStr">
        <x:is>
          <x:t xml:space="preserve">Журнал закупок</x:t>
        </x:is>
      </x:c>
      <x:c r="E8" s="31" t="inlineStr">
        <x:is>
          <x:t xml:space="preserve">Срочность, согласование, частичная поставка</x:t>
        </x:is>
      </x:c>
      <x:c r="F8" s="31" t="inlineStr">
        <x:is>
          <x:t xml:space="preserve">Статус, срочность, поставщик</x:t>
        </x:is>
      </x:c>
    </x:row>
    <x:row r="9" ht="18" customHeight="1">
      <x:c r="A9" s="31" t="inlineStr">
        <x:is>
          <x:t xml:space="preserve">Производство</x:t>
        </x:is>
      </x:c>
      <x:c r="B9" s="31" t="inlineStr">
        <x:is>
          <x:t xml:space="preserve">Код производственного задания</x:t>
        </x:is>
      </x:c>
      <x:c r="C9" s="31" t="inlineStr">
        <x:is>
          <x:t xml:space="preserve">Заказ, позиция, изделие, операции, смены, ОТК</x:t>
        </x:is>
      </x:c>
      <x:c r="D9" s="31" t="inlineStr">
        <x:is>
          <x:t xml:space="preserve">Диспетчерская производства</x:t>
        </x:is>
      </x:c>
      <x:c r="E9" s="31" t="inlineStr">
        <x:is>
          <x:t xml:space="preserve">Готовность, простой, материалы</x:t>
        </x:is>
      </x:c>
      <x:c r="F9" s="31" t="inlineStr">
        <x:is>
          <x:t xml:space="preserve">Готовность, узкое место</x:t>
        </x:is>
      </x:c>
    </x:row>
    <x:row r="10" ht="18" customHeight="1">
      <x:c r="A10" s="31" t="inlineStr">
        <x:is>
          <x:t xml:space="preserve">Операции производства</x:t>
        </x:is>
      </x:c>
      <x:c r="B10" s="31" t="inlineStr">
        <x:is>
          <x:t xml:space="preserve">Код операции</x:t>
        </x:is>
      </x:c>
      <x:c r="C10" s="31" t="inlineStr">
        <x:is>
          <x:t xml:space="preserve">Производственное задание, оборудование, оператор</x:t>
        </x:is>
      </x:c>
      <x:c r="D10" s="31" t="inlineStr">
        <x:is>
          <x:t xml:space="preserve">План операций</x:t>
        </x:is>
      </x:c>
      <x:c r="E10" s="31" t="inlineStr">
        <x:is>
          <x:t xml:space="preserve">Факт часов и блокировки</x:t>
        </x:is>
      </x:c>
      <x:c r="F10" s="31" t="inlineStr">
        <x:is>
          <x:t xml:space="preserve">План/факт, статус, причина</x:t>
        </x:is>
      </x:c>
    </x:row>
    <x:row r="11" ht="18" customHeight="1">
      <x:c r="A11" s="31" t="inlineStr">
        <x:is>
          <x:t xml:space="preserve">Смены</x:t>
        </x:is>
      </x:c>
      <x:c r="B11" s="31" t="inlineStr">
        <x:is>
          <x:t xml:space="preserve">Код смены</x:t>
        </x:is>
      </x:c>
      <x:c r="C11" s="31" t="inlineStr">
        <x:is>
          <x:t xml:space="preserve">Операция, оператор, оборудование</x:t>
        </x:is>
      </x:c>
      <x:c r="D11" s="31" t="inlineStr">
        <x:is>
          <x:t xml:space="preserve">Сменное задание</x:t>
        </x:is>
      </x:c>
      <x:c r="E11" s="31" t="inlineStr">
        <x:is>
          <x:t xml:space="preserve">Ввод факта и простоев</x:t>
        </x:is>
      </x:c>
      <x:c r="F11" s="31" t="inlineStr">
        <x:is>
          <x:t xml:space="preserve">Простой, статус</x:t>
        </x:is>
      </x:c>
    </x:row>
    <x:row r="12" ht="18" customHeight="1">
      <x:c r="A12" s="31" t="inlineStr">
        <x:is>
          <x:t xml:space="preserve">ОТК</x:t>
        </x:is>
      </x:c>
      <x:c r="B12" s="31" t="inlineStr">
        <x:is>
          <x:t xml:space="preserve">Код ОТК</x:t>
        </x:is>
      </x:c>
      <x:c r="C12" s="31" t="inlineStr">
        <x:is>
          <x:t xml:space="preserve">Производственное задание, заказ, отгрузка</x:t>
        </x:is>
      </x:c>
      <x:c r="D12" s="31" t="inlineStr">
        <x:is>
          <x:t xml:space="preserve">Журнал ОТК</x:t>
        </x:is>
      </x:c>
      <x:c r="E12" s="31" t="inlineStr">
        <x:is>
          <x:t xml:space="preserve">Критичный дефект блокирует отгрузку</x:t>
        </x:is>
      </x:c>
      <x:c r="F12" s="31" t="inlineStr">
        <x:is>
          <x:t xml:space="preserve">Тяжесть, решение</x:t>
        </x:is>
      </x:c>
    </x:row>
    <x:row r="13" ht="18" customHeight="1">
      <x:c r="A13" s="31" t="inlineStr">
        <x:is>
          <x:t xml:space="preserve">Счета</x:t>
        </x:is>
      </x:c>
      <x:c r="B13" s="31" t="inlineStr">
        <x:is>
          <x:t xml:space="preserve">Код счета</x:t>
        </x:is>
      </x:c>
      <x:c r="C13" s="31" t="inlineStr">
        <x:is>
          <x:t xml:space="preserve">Заказ, заказчик, отгрузка</x:t>
        </x:is>
      </x:c>
      <x:c r="D13" s="31" t="inlineStr">
        <x:is>
          <x:t xml:space="preserve">Финансы и ДЗ</x:t>
        </x:is>
      </x:c>
      <x:c r="E13" s="31" t="inlineStr">
        <x:is>
          <x:t xml:space="preserve">Просрочка включает кредит-блок</x:t>
        </x:is>
      </x:c>
      <x:c r="F13" s="31" t="inlineStr">
        <x:is>
          <x:t xml:space="preserve">Срок, остаток, просрочка</x:t>
        </x:is>
      </x:c>
    </x:row>
    <x:row r="14" ht="18" customHeight="1">
      <x:c r="A14" s="31" t="inlineStr">
        <x:is>
          <x:t xml:space="preserve">Рекламации</x:t>
        </x:is>
      </x:c>
      <x:c r="B14" s="31" t="inlineStr">
        <x:is>
          <x:t xml:space="preserve">Код рекламации</x:t>
        </x:is>
      </x:c>
      <x:c r="C14" s="31" t="inlineStr">
        <x:is>
          <x:t xml:space="preserve">Заказ, заказчик, ОТК, сервис</x:t>
        </x:is>
      </x:c>
      <x:c r="D14" s="31" t="inlineStr">
        <x:is>
          <x:t xml:space="preserve">Сервисные обращения</x:t>
        </x:is>
      </x:c>
      <x:c r="E14" s="31" t="inlineStr">
        <x:is>
          <x:t xml:space="preserve">Связь с исходным заказом и корректирующими действиями</x:t>
        </x:is>
      </x:c>
      <x:c r="F14" s="31" t="inlineStr">
        <x:is>
          <x:t xml:space="preserve">Тяжесть, срок</x:t>
        </x:is>
      </x:c>
    </x:row>
    <x:row r="15" ht="18" customHeight="1">
      <x:c r="A15" s="31" t="inlineStr">
        <x:is>
          <x:t xml:space="preserve">Роли и меню</x:t>
        </x:is>
      </x:c>
      <x:c r="B15" s="31" t="inlineStr">
        <x:is>
          <x:t xml:space="preserve">Роль</x:t>
        </x:is>
      </x:c>
      <x:c r="C15" s="31" t="inlineStr">
        <x:is>
          <x:t xml:space="preserve">Сотрудники, права, рабочие разделы</x:t>
        </x:is>
      </x:c>
      <x:c r="D15" s="31" t="inlineStr">
        <x:is>
          <x:t xml:space="preserve">Настройка доступа</x:t>
        </x:is>
      </x:c>
      <x:c r="E15" s="31" t="inlineStr">
        <x:is>
          <x:t xml:space="preserve">Построчный доступ и видимость сумм</x:t>
        </x:is>
      </x:c>
      <x:c r="F15" s="31" t="inlineStr">
        <x:is>
          <x:t xml:space="preserve">Уровень доступа, область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38" customWidth="1"/>
    <x:col min="2" max="2" width="14" customWidth="1"/>
    <x:col min="3" max="3" width="14" customWidth="1"/>
    <x:col min="4" max="4" width="38" customWidth="1"/>
    <x:col min="5" max="5" width="10" customWidth="1"/>
    <x:col min="6" max="6" width="18" customWidth="1"/>
    <x:col min="7" max="7" width="14" customWidth="1"/>
    <x:col min="8" max="8" width="10" customWidth="1"/>
  </x:cols>
  <x:sheetData>
    <x:row r="1" ht="18" customHeight="1">
      <x:c r="A1" s="30" t="inlineStr">
        <x:is>
          <x:t xml:space="preserve">ООО «СеверТех Комплект»: управленческий дашборд для проверки подрядчика</x:t>
        </x:is>
      </x:c>
      <x:c r="B1" s="36" t="n"/>
      <x:c r="C1" s="36" t="n"/>
      <x:c r="D1" s="36" t="n"/>
      <x:c r="E1" s="36" t="n"/>
      <x:c r="F1" s="36" t="n"/>
      <x:c r="G1" s="36" t="n"/>
      <x:c r="H1" s="36" t="n"/>
    </x:row>
    <x:row r="2" ht="18" customHeight="1">
      <x:c r="A2" s="31" t="n"/>
      <x:c r="B2" s="31" t="n"/>
      <x:c r="C2" s="31" t="n"/>
      <x:c r="D2" s="31" t="n"/>
      <x:c r="E2" s="31" t="n"/>
      <x:c r="F2" s="31" t="n"/>
      <x:c r="G2" s="31" t="n">
        <x:f>COUNTIF('09_Заказы'!F:F,F2)</x:f>
        <x:v>0</x:v>
      </x:c>
      <x:c r="H2" s="31" t="n"/>
    </x:row>
    <x:row r="3" ht="18" customHeight="1">
      <x:c r="A3" s="32" t="inlineStr">
        <x:is>
          <x:t xml:space="preserve">Показатели</x:t>
        </x:is>
      </x:c>
      <x:c r="B3" s="32" t="inlineStr">
        <x:is>
          <x:t xml:space="preserve">Формула</x:t>
        </x:is>
      </x:c>
      <x:c r="C3" s="32" t="inlineStr">
        <x:is>
          <x:t xml:space="preserve">Значение</x:t>
        </x:is>
      </x:c>
      <x:c r="D3" s="32" t="inlineStr">
        <x:is>
          <x:t xml:space="preserve">Комментарий</x:t>
        </x:is>
      </x:c>
      <x:c r="E3" s="32" t="n"/>
      <x:c r="F3" s="32" t="inlineStr">
        <x:is>
          <x:t xml:space="preserve">Статус заказов</x:t>
        </x:is>
      </x:c>
      <x:c r="G3" s="32" t="n">
        <x:f>COUNTIF('09_Заказы'!F:F,F3)</x:f>
        <x:v>0</x:v>
      </x:c>
      <x:c r="H3" s="32" t="n"/>
    </x:row>
    <x:row r="4" ht="18" customHeight="1">
      <x:c r="A4" s="31" t="inlineStr">
        <x:is>
          <x:t xml:space="preserve">Заказов всего</x:t>
        </x:is>
      </x:c>
      <x:c r="B4" s="31" t="n">
        <x:f>COUNTA('09_Заказы'!A:A)-1</x:f>
        <x:v>130</x:v>
      </x:c>
      <x:c r="C4" s="33" t="n">
        <x:f>COUNTA('09_Заказы'!A:A)-1</x:f>
        <x:v>130</x:v>
      </x:c>
      <x:c r="D4" s="31" t="inlineStr">
        <x:is>
          <x:t xml:space="preserve">Должно совпасть с числом строк заказов</x:t>
        </x:is>
      </x:c>
      <x:c r="E4" s="31" t="n"/>
      <x:c r="F4" s="31" t="inlineStr">
        <x:is>
          <x:t xml:space="preserve">Лид</x:t>
        </x:is>
      </x:c>
      <x:c r="G4" s="31" t="n">
        <x:f>COUNTIF('09_Заказы'!F:F,F4)</x:f>
        <x:v>10</x:v>
      </x:c>
      <x:c r="H4" s="31" t="n"/>
    </x:row>
    <x:row r="5" ht="18" customHeight="1">
      <x:c r="A5" s="31" t="inlineStr">
        <x:is>
          <x:t xml:space="preserve">Открытых заказов</x:t>
        </x:is>
      </x:c>
      <x:c r="B5" s="31" t="n">
        <x:f>COUNTIFS('09_Заказы'!F:F,"&lt;&gt;Закрыт",'09_Заказы'!F:F,"&lt;&gt;Отгружено")</x:f>
        <x:v>106</x:v>
      </x:c>
      <x:c r="C5" s="33" t="n">
        <x:f>COUNTIFS('09_Заказы'!F:F,"&lt;&gt;Закрыт",'09_Заказы'!F:F,"&lt;&gt;Отгружено")</x:f>
        <x:v>106</x:v>
      </x:c>
      <x:c r="D5" s="31" t="inlineStr">
        <x:is>
          <x:t xml:space="preserve">Не закрыты и не отгружены</x:t>
        </x:is>
      </x:c>
      <x:c r="E5" s="31" t="n"/>
      <x:c r="F5" s="31" t="inlineStr">
        <x:is>
          <x:t xml:space="preserve">КП отправлено</x:t>
        </x:is>
      </x:c>
      <x:c r="G5" s="31" t="n">
        <x:f>COUNTIF('09_Заказы'!F:F,F5)</x:f>
        <x:v>11</x:v>
      </x:c>
      <x:c r="H5" s="31" t="n"/>
    </x:row>
    <x:row r="6" ht="18" customHeight="1">
      <x:c r="A6" s="31" t="inlineStr">
        <x:is>
          <x:t xml:space="preserve">Выручка портфеля</x:t>
        </x:is>
      </x:c>
      <x:c r="B6" s="31" t="n">
        <x:f>SUM('09_Заказы'!J:J)</x:f>
        <x:v>848382660</x:v>
      </x:c>
      <x:c r="C6" s="33" t="n">
        <x:f>SUM('09_Заказы'!J:J)</x:f>
        <x:v>848382660</x:v>
      </x:c>
      <x:c r="D6" s="31" t="inlineStr">
        <x:is>
          <x:t xml:space="preserve">Сумма заказов</x:t>
        </x:is>
      </x:c>
      <x:c r="E6" s="31" t="n"/>
      <x:c r="F6" s="31" t="inlineStr">
        <x:is>
          <x:t xml:space="preserve">Договор</x:t>
        </x:is>
      </x:c>
      <x:c r="G6" s="31" t="n">
        <x:f>COUNTIF('09_Заказы'!F:F,F6)</x:f>
        <x:v>17</x:v>
      </x:c>
      <x:c r="H6" s="31" t="n"/>
    </x:row>
    <x:row r="7" ht="18" customHeight="1">
      <x:c r="A7" s="31" t="inlineStr">
        <x:is>
          <x:t xml:space="preserve">Плановая маржа</x:t>
        </x:is>
      </x:c>
      <x:c r="B7" s="31" t="n">
        <x:f>SUM('09_Заказы'!N:N)</x:f>
        <x:v>315553566</x:v>
      </x:c>
      <x:c r="C7" s="33" t="n">
        <x:f>SUM('09_Заказы'!N:N)</x:f>
        <x:v>315553566</x:v>
      </x:c>
      <x:c r="D7" s="31" t="inlineStr">
        <x:is>
          <x:t xml:space="preserve">Маржа по заказам</x:t>
        </x:is>
      </x:c>
      <x:c r="E7" s="31" t="n"/>
      <x:c r="F7" s="31" t="inlineStr">
        <x:is>
          <x:t xml:space="preserve">КД</x:t>
        </x:is>
      </x:c>
      <x:c r="G7" s="31" t="n">
        <x:f>COUNTIF('09_Заказы'!F:F,F7)</x:f>
        <x:v>11</x:v>
      </x:c>
      <x:c r="H7" s="31" t="n"/>
    </x:row>
    <x:row r="8" ht="18" customHeight="1">
      <x:c r="A8" s="31" t="inlineStr">
        <x:is>
          <x:t xml:space="preserve">Средняя маржа %</x:t>
        </x:is>
      </x:c>
      <x:c r="B8" s="31" t="n">
        <x:f>IFERROR(C7/C6,0)</x:f>
        <x:v>0.37194721306538725</x:v>
      </x:c>
      <x:c r="C8" s="34" t="n">
        <x:f>IFERROR(C7/C6,0)</x:f>
        <x:v>0.37194721306538725</x:v>
      </x:c>
      <x:c r="D8" s="31" t="inlineStr">
        <x:is>
          <x:t xml:space="preserve">Должна быть близка к 25–40%</x:t>
        </x:is>
      </x:c>
      <x:c r="E8" s="31" t="n"/>
      <x:c r="F8" s="31" t="inlineStr">
        <x:is>
          <x:t xml:space="preserve">В производстве</x:t>
        </x:is>
      </x:c>
      <x:c r="G8" s="31" t="n">
        <x:f>COUNTIF('09_Заказы'!F:F,F8)</x:f>
        <x:v>34</x:v>
      </x:c>
      <x:c r="H8" s="31" t="n"/>
    </x:row>
    <x:row r="9" ht="18" customHeight="1">
      <x:c r="A9" s="31" t="inlineStr">
        <x:is>
          <x:t xml:space="preserve">Просроченная ДЗ</x:t>
        </x:is>
      </x:c>
      <x:c r="B9" s="31" t="n">
        <x:f>SUMIFS('26_Счета_оплаты'!I:I,'26_Счета_оплаты'!J:J,"Просрочен")</x:f>
        <x:v>245966748</x:v>
      </x:c>
      <x:c r="C9" s="33" t="n">
        <x:f>SUMIFS('26_Счета_оплаты'!I:I,'26_Счета_оплаты'!J:J,"Просрочен")</x:f>
        <x:v>245966748</x:v>
      </x:c>
      <x:c r="D9" s="31" t="inlineStr">
        <x:is>
          <x:t xml:space="preserve">Остаток к оплате по просроченным счетам</x:t>
        </x:is>
      </x:c>
      <x:c r="E9" s="31" t="n"/>
      <x:c r="F9" s="31" t="inlineStr">
        <x:is>
          <x:t xml:space="preserve">ОТК</x:t>
        </x:is>
      </x:c>
      <x:c r="G9" s="31" t="n">
        <x:f>COUNTIF('09_Заказы'!F:F,F9)</x:f>
        <x:v>7</x:v>
      </x:c>
      <x:c r="H9" s="31" t="n"/>
    </x:row>
    <x:row r="10" ht="18" customHeight="1">
      <x:c r="A10" s="31" t="inlineStr">
        <x:is>
          <x:t xml:space="preserve">Счетов просрочено</x:t>
        </x:is>
      </x:c>
      <x:c r="B10" s="31" t="n">
        <x:f>COUNTIF('26_Счета_оплаты'!J:J,"Просрочен")</x:f>
        <x:v>77</x:v>
      </x:c>
      <x:c r="C10" s="33" t="n">
        <x:f>COUNTIF('26_Счета_оплаты'!J:J,"Просрочен")</x:f>
        <x:v>77</x:v>
      </x:c>
      <x:c r="D10" s="31" t="inlineStr">
        <x:is>
          <x:t xml:space="preserve">Кол-во просроченных счетов</x:t>
        </x:is>
      </x:c>
      <x:c r="E10" s="31" t="n"/>
      <x:c r="F10" s="31" t="inlineStr">
        <x:is>
          <x:t xml:space="preserve">Готов к отгрузке</x:t>
        </x:is>
      </x:c>
      <x:c r="G10" s="31" t="n">
        <x:f>COUNTIF('09_Заказы'!F:F,F10)</x:f>
        <x:v>15</x:v>
      </x:c>
      <x:c r="H10" s="31" t="n"/>
    </x:row>
    <x:row r="11" ht="18" customHeight="1">
      <x:c r="A11" s="31" t="inlineStr">
        <x:is>
          <x:t xml:space="preserve">Материалов в дефиците</x:t>
        </x:is>
      </x:c>
      <x:c r="B11" s="31" t="n">
        <x:f>COUNTIF('14_Материалы'!N:N,"Дефицит")</x:f>
        <x:v>19</x:v>
      </x:c>
      <x:c r="C11" s="33" t="n">
        <x:f>COUNTIF('14_Материалы'!N:N,"Дефицит")</x:f>
        <x:v>19</x:v>
      </x:c>
      <x:c r="D11" s="31" t="inlineStr">
        <x:is>
          <x:t xml:space="preserve">Доступный остаток ниже минимального уровня</x:t>
        </x:is>
      </x:c>
      <x:c r="E11" s="31" t="n"/>
      <x:c r="F11" s="31" t="inlineStr">
        <x:is>
          <x:t xml:space="preserve">Отгружено</x:t>
        </x:is>
      </x:c>
      <x:c r="G11" s="31" t="n">
        <x:f>COUNTIF('09_Заказы'!F:F,F9)</x:f>
        <x:v>7</x:v>
      </x:c>
      <x:c r="H11" s="31" t="n"/>
    </x:row>
    <x:row r="12" ht="18" customHeight="1">
      <x:c r="A12" s="31" t="inlineStr">
        <x:is>
          <x:t xml:space="preserve">Производственные задания в работе</x:t>
        </x:is>
      </x:c>
      <x:c r="B12" s="31" t="n">
        <x:f>COUNTIF('21_Производство'!L:L,"В работе")</x:f>
        <x:v>38</x:v>
      </x:c>
      <x:c r="C12" s="33" t="n">
        <x:f>COUNTIF('21_Производство'!L:L,"В работе")</x:f>
        <x:v>38</x:v>
      </x:c>
      <x:c r="D12" s="31" t="inlineStr">
        <x:is>
          <x:t xml:space="preserve">Производственные задания в работе</x:t>
        </x:is>
      </x:c>
      <x:c r="E12" s="31" t="n"/>
      <x:c r="F12" s="31" t="inlineStr">
        <x:is>
          <x:t xml:space="preserve">Закрыт</x:t>
        </x:is>
      </x:c>
      <x:c r="G12" s="31" t="n">
        <x:f>COUNTIF('09_Заказы'!F:F,F10)</x:f>
        <x:v>15</x:v>
      </x:c>
      <x:c r="H12" s="31" t="n"/>
    </x:row>
    <x:row r="13" ht="18" customHeight="1">
      <x:c r="A13" s="31" t="inlineStr">
        <x:is>
          <x:t xml:space="preserve">Критичные дефекты</x:t>
        </x:is>
      </x:c>
      <x:c r="B13" s="31" t="n">
        <x:f>COUNTIFS('24_ОТК'!J:J,"Критичный")</x:f>
        <x:v>6</x:v>
      </x:c>
      <x:c r="C13" s="33" t="n">
        <x:f>COUNTIFS('24_ОТК'!J:J,"Критичный")</x:f>
        <x:v>6</x:v>
      </x:c>
      <x:c r="D13" s="31" t="inlineStr">
        <x:is>
          <x:t xml:space="preserve">Дефекты, блокирующие отгрузку</x:t>
        </x:is>
      </x:c>
      <x:c r="E13" s="31" t="n"/>
      <x:c r="F13" s="31" t="n"/>
      <x:c r="G13" s="31" t="n"/>
      <x:c r="H13" s="31" t="n"/>
    </x:row>
    <x:row r="14" ht="18" customHeight="1">
      <x:c r="A14" s="31" t="inlineStr">
        <x:is>
          <x:t xml:space="preserve">Просроченные задачи</x:t>
        </x:is>
      </x:c>
      <x:c r="B14" s="31" t="n">
        <x:f>COUNTIF('28_Задачи_и_сроки'!D:D,"Просрочена")</x:f>
        <x:v>237</x:v>
      </x:c>
      <x:c r="C14" s="33" t="n">
        <x:f>COUNTIF('28_Задачи_и_сроки'!D:D,"Просрочена")</x:f>
        <x:v>237</x:v>
      </x:c>
      <x:c r="D14" s="31" t="inlineStr">
        <x:is>
          <x:t xml:space="preserve">Задачи с нарушенным сроком</x:t>
        </x:is>
      </x:c>
      <x:c r="E14" s="31" t="n"/>
      <x:c r="F14" s="31" t="n"/>
      <x:c r="G14" s="31" t="n"/>
      <x:c r="H14" s="31" t="n"/>
    </x:row>
    <x:row r="15" ht="18" customHeight="1">
      <x:c r="A15" s="31" t="n"/>
      <x:c r="B15" s="31" t="n"/>
      <x:c r="C15" s="33" t="n"/>
      <x:c r="D15" s="31" t="n"/>
      <x:c r="E15" s="31" t="n"/>
      <x:c r="F15" s="31" t="n"/>
      <x:c r="G15" s="31" t="n"/>
      <x:c r="H15" s="31" t="n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9" customWidth="1"/>
    <x:col min="2" max="2" width="29" customWidth="1"/>
    <x:col min="3" max="3" width="27" customWidth="1"/>
    <x:col min="4" max="4" width="38" customWidth="1"/>
    <x:col min="5" max="5" width="14" customWidth="1"/>
    <x:col min="6" max="6" width="38" customWidth="1"/>
  </x:cols>
  <x:sheetData>
    <x:row r="1" ht="18" customHeight="1">
      <x:c r="A1" s="30" t="inlineStr">
        <x:is>
          <x:t xml:space="preserve">Код подразделения</x:t>
        </x:is>
      </x:c>
      <x:c r="B1" s="30" t="inlineStr">
        <x:is>
          <x:t xml:space="preserve">Подразделение</x:t>
        </x:is>
      </x:c>
      <x:c r="C1" s="30" t="inlineStr">
        <x:is>
          <x:t xml:space="preserve">Вышестоящее подразделение</x:t>
        </x:is>
      </x:c>
      <x:c r="D1" s="30" t="inlineStr">
        <x:is>
          <x:t xml:space="preserve">Функция</x:t>
        </x:is>
      </x:c>
      <x:c r="E1" s="30" t="inlineStr">
        <x:is>
          <x:t xml:space="preserve">Руководитель</x:t>
        </x:is>
      </x:c>
      <x:c r="F1" s="30" t="inlineStr">
        <x:is>
          <x:t xml:space="preserve">Показатели</x:t>
        </x:is>
      </x:c>
    </x:row>
    <x:row r="2" ht="18" customHeight="1">
      <x:c r="A2" s="31" t="inlineStr">
        <x:is>
          <x:t xml:space="preserve">ПОДР-001</x:t>
        </x:is>
      </x:c>
      <x:c r="B2" s="31" t="inlineStr">
        <x:is>
          <x:t xml:space="preserve">Генеральный директор</x:t>
        </x:is>
      </x:c>
      <x:c r="C2" s="31" t="n"/>
      <x:c r="D2" s="31" t="inlineStr">
        <x:is>
          <x:t xml:space="preserve">Управление компанией</x:t>
        </x:is>
      </x:c>
      <x:c r="E2" s="31" t="inlineStr">
        <x:is>
          <x:t xml:space="preserve">СОТР-001</x:t>
        </x:is>
      </x:c>
      <x:c r="F2" s="31" t="inlineStr">
        <x:is>
          <x:t xml:space="preserve">операционная прибыль, просрочка, безопасность</x:t>
        </x:is>
      </x:c>
    </x:row>
    <x:row r="3" ht="18" customHeight="1">
      <x:c r="A3" s="31" t="inlineStr">
        <x:is>
          <x:t xml:space="preserve">ПОДР-002</x:t>
        </x:is>
      </x:c>
      <x:c r="B3" s="31" t="inlineStr">
        <x:is>
          <x:t xml:space="preserve">Продажи</x:t>
        </x:is>
      </x:c>
      <x:c r="C3" s="31" t="inlineStr">
        <x:is>
          <x:t xml:space="preserve">ПОДР-001</x:t>
        </x:is>
      </x:c>
      <x:c r="D3" s="31" t="inlineStr">
        <x:is>
          <x:t xml:space="preserve">Лиды, КП, договоры, раподрядчика с заказчиками</x:t>
        </x:is>
      </x:c>
      <x:c r="E3" s="31" t="inlineStr">
        <x:is>
          <x:t xml:space="preserve">СОТР-002</x:t>
        </x:is>
      </x:c>
      <x:c r="F3" s="31" t="inlineStr">
        <x:is>
          <x:t xml:space="preserve">Конверсия, выручка, маржа</x:t>
        </x:is>
      </x:c>
    </x:row>
    <x:row r="4" ht="18" customHeight="1">
      <x:c r="A4" s="31" t="inlineStr">
        <x:is>
          <x:t xml:space="preserve">ПОДР-003</x:t>
        </x:is>
      </x:c>
      <x:c r="B4" s="31" t="inlineStr">
        <x:is>
          <x:t xml:space="preserve">Инженерный отдел</x:t>
        </x:is>
      </x:c>
      <x:c r="C4" s="31" t="inlineStr">
        <x:is>
          <x:t xml:space="preserve">ПОДР-001</x:t>
        </x:is>
      </x:c>
      <x:c r="D4" s="31" t="inlineStr">
        <x:is>
          <x:t xml:space="preserve">КД, спецификации, изменения, техподдержка продаж</x:t>
        </x:is>
      </x:c>
      <x:c r="E4" s="31" t="inlineStr">
        <x:is>
          <x:t xml:space="preserve">СОТР-011</x:t>
        </x:is>
      </x:c>
      <x:c r="F4" s="31" t="inlineStr">
        <x:is>
          <x:t xml:space="preserve">Срок КД, ошибки в составе изделия, изменения</x:t>
        </x:is>
      </x:c>
    </x:row>
    <x:row r="5" ht="18" customHeight="1">
      <x:c r="A5" s="31" t="inlineStr">
        <x:is>
          <x:t xml:space="preserve">ПОДР-004</x:t>
        </x:is>
      </x:c>
      <x:c r="B5" s="31" t="inlineStr">
        <x:is>
          <x:t xml:space="preserve">Снабжение</x:t>
        </x:is>
      </x:c>
      <x:c r="C5" s="31" t="inlineStr">
        <x:is>
          <x:t xml:space="preserve">ПОДР-001</x:t>
        </x:is>
      </x:c>
      <x:c r="D5" s="31" t="inlineStr">
        <x:is>
          <x:t xml:space="preserve">Закупки, поставщики, сроки, дефициты</x:t>
        </x:is>
      </x:c>
      <x:c r="E5" s="31" t="inlineStr">
        <x:is>
          <x:t xml:space="preserve">СОТР-018</x:t>
        </x:is>
      </x:c>
      <x:c r="F5" s="31" t="inlineStr">
        <x:is>
          <x:t xml:space="preserve">своевременность отгрузок поставщиков, дефициты</x:t>
        </x:is>
      </x:c>
    </x:row>
    <x:row r="6" ht="18" customHeight="1">
      <x:c r="A6" s="31" t="inlineStr">
        <x:is>
          <x:t xml:space="preserve">ПОДР-005</x:t>
        </x:is>
      </x:c>
      <x:c r="B6" s="31" t="inlineStr">
        <x:is>
          <x:t xml:space="preserve">Склад</x:t>
        </x:is>
      </x:c>
      <x:c r="C6" s="31" t="inlineStr">
        <x:is>
          <x:t xml:space="preserve">ПОДР-004</x:t>
        </x:is>
      </x:c>
      <x:c r="D6" s="31" t="inlineStr">
        <x:is>
          <x:t xml:space="preserve">Приемка, резервы, выдача в производство</x:t>
        </x:is>
      </x:c>
      <x:c r="E6" s="31" t="inlineStr">
        <x:is>
          <x:t xml:space="preserve">СОТР-024</x:t>
        </x:is>
      </x:c>
      <x:c r="F6" s="31" t="inlineStr">
        <x:is>
          <x:t xml:space="preserve">Точность остатков, скорость выдачи</x:t>
        </x:is>
      </x:c>
    </x:row>
    <x:row r="7" ht="18" customHeight="1">
      <x:c r="A7" s="31" t="inlineStr">
        <x:is>
          <x:t xml:space="preserve">ПОДР-006</x:t>
        </x:is>
      </x:c>
      <x:c r="B7" s="31" t="inlineStr">
        <x:is>
          <x:t xml:space="preserve">Производство</x:t>
        </x:is>
      </x:c>
      <x:c r="C7" s="31" t="inlineStr">
        <x:is>
          <x:t xml:space="preserve">ПОДР-001</x:t>
        </x:is>
      </x:c>
      <x:c r="D7" s="31" t="inlineStr">
        <x:is>
          <x:t xml:space="preserve">План производства, смены, выполнение производственных заданий</x:t>
        </x:is>
      </x:c>
      <x:c r="E7" s="31" t="inlineStr">
        <x:is>
          <x:t xml:space="preserve">СОТР-030</x:t>
        </x:is>
      </x:c>
      <x:c r="F7" s="31" t="inlineStr">
        <x:is>
          <x:t xml:space="preserve">своевременность отгрузок, простои, выработка</x:t>
        </x:is>
      </x:c>
    </x:row>
    <x:row r="8" ht="18" customHeight="1">
      <x:c r="A8" s="31" t="inlineStr">
        <x:is>
          <x:t xml:space="preserve">ПОДР-007</x:t>
        </x:is>
      </x:c>
      <x:c r="B8" s="31" t="inlineStr">
        <x:is>
          <x:t xml:space="preserve">Механообработка</x:t>
        </x:is>
      </x:c>
      <x:c r="C8" s="31" t="inlineStr">
        <x:is>
          <x:t xml:space="preserve">ПОДР-006</x:t>
        </x:is>
      </x:c>
      <x:c r="D8" s="31" t="inlineStr">
        <x:is>
          <x:t xml:space="preserve">Токарные/фрезерные операции</x:t>
        </x:is>
      </x:c>
      <x:c r="E8" s="31" t="inlineStr">
        <x:is>
          <x:t xml:space="preserve">СОТР-037</x:t>
        </x:is>
      </x:c>
      <x:c r="F8" s="31" t="inlineStr">
        <x:is>
          <x:t xml:space="preserve">Часы, брак, загрузка</x:t>
        </x:is>
      </x:c>
    </x:row>
    <x:row r="9" ht="18" customHeight="1">
      <x:c r="A9" s="31" t="inlineStr">
        <x:is>
          <x:t xml:space="preserve">ПОДР-008</x:t>
        </x:is>
      </x:c>
      <x:c r="B9" s="31" t="inlineStr">
        <x:is>
          <x:t xml:space="preserve">Сварка и металлоконструкции</x:t>
        </x:is>
      </x:c>
      <x:c r="C9" s="31" t="inlineStr">
        <x:is>
          <x:t xml:space="preserve">ПОДР-006</x:t>
        </x:is>
      </x:c>
      <x:c r="D9" s="31" t="inlineStr">
        <x:is>
          <x:t xml:space="preserve">Рамы, трубная обвязка, сварка</x:t>
        </x:is>
      </x:c>
      <x:c r="E9" s="31" t="inlineStr">
        <x:is>
          <x:t xml:space="preserve">СОТР-044</x:t>
        </x:is>
      </x:c>
      <x:c r="F9" s="31" t="inlineStr">
        <x:is>
          <x:t xml:space="preserve">НК, переделки, выработка</x:t>
        </x:is>
      </x:c>
    </x:row>
    <x:row r="10" ht="18" customHeight="1">
      <x:c r="A10" s="31" t="inlineStr">
        <x:is>
          <x:t xml:space="preserve">ПОДР-009</x:t>
        </x:is>
      </x:c>
      <x:c r="B10" s="31" t="inlineStr">
        <x:is>
          <x:t xml:space="preserve">Сборка и электромонтаж</x:t>
        </x:is>
      </x:c>
      <x:c r="C10" s="31" t="inlineStr">
        <x:is>
          <x:t xml:space="preserve">ПОДР-006</x:t>
        </x:is>
      </x:c>
      <x:c r="D10" s="31" t="inlineStr">
        <x:is>
          <x:t xml:space="preserve">Сборка агрегатов, шкафов, обвязка</x:t>
        </x:is>
      </x:c>
      <x:c r="E10" s="31" t="inlineStr">
        <x:is>
          <x:t xml:space="preserve">СОТР-052</x:t>
        </x:is>
      </x:c>
      <x:c r="F10" s="31" t="inlineStr">
        <x:is>
          <x:t xml:space="preserve">Готовность, дефекты ОТК</x:t>
        </x:is>
      </x:c>
    </x:row>
    <x:row r="11" ht="18" customHeight="1">
      <x:c r="A11" s="31" t="inlineStr">
        <x:is>
          <x:t xml:space="preserve">ПОДР-010</x:t>
        </x:is>
      </x:c>
      <x:c r="B11" s="31" t="inlineStr">
        <x:is>
          <x:t xml:space="preserve">ОТК и испытания</x:t>
        </x:is>
      </x:c>
      <x:c r="C11" s="31" t="inlineStr">
        <x:is>
          <x:t xml:space="preserve">ПОДР-001</x:t>
        </x:is>
      </x:c>
      <x:c r="D11" s="31" t="inlineStr">
        <x:is>
          <x:t xml:space="preserve">Входной контроль, ОТК, приемочные испытания, корректирующие действия</x:t>
        </x:is>
      </x:c>
      <x:c r="E11" s="31" t="inlineStr">
        <x:is>
          <x:t xml:space="preserve">СОТР-063</x:t>
        </x:is>
      </x:c>
      <x:c r="F11" s="31" t="inlineStr">
        <x:is>
          <x:t xml:space="preserve">Критичные дефекты, рекламации</x:t>
        </x:is>
      </x:c>
    </x:row>
    <x:row r="12" ht="18" customHeight="1">
      <x:c r="A12" s="31" t="inlineStr">
        <x:is>
          <x:t xml:space="preserve">ПОДР-011</x:t>
        </x:is>
      </x:c>
      <x:c r="B12" s="31" t="inlineStr">
        <x:is>
          <x:t xml:space="preserve">Логистика</x:t>
        </x:is>
      </x:c>
      <x:c r="C12" s="31" t="inlineStr">
        <x:is>
          <x:t xml:space="preserve">ПОДР-001</x:t>
        </x:is>
      </x:c>
      <x:c r="D12" s="31" t="inlineStr">
        <x:is>
          <x:t xml:space="preserve">Отгрузки, ТК, документы</x:t>
        </x:is>
      </x:c>
      <x:c r="E12" s="31" t="inlineStr">
        <x:is>
          <x:t xml:space="preserve">СОТР-070</x:t>
        </x:is>
      </x:c>
      <x:c r="F12" s="31" t="inlineStr">
        <x:is>
          <x:t xml:space="preserve">Отгрузка в срок, простои</x:t>
        </x:is>
      </x:c>
    </x:row>
    <x:row r="13" ht="18" customHeight="1">
      <x:c r="A13" s="31" t="inlineStr">
        <x:is>
          <x:t xml:space="preserve">ПОДР-012</x:t>
        </x:is>
      </x:c>
      <x:c r="B13" s="31" t="inlineStr">
        <x:is>
          <x:t xml:space="preserve">Финансы</x:t>
        </x:is>
      </x:c>
      <x:c r="C13" s="31" t="inlineStr">
        <x:is>
          <x:t xml:space="preserve">ПОДР-001</x:t>
        </x:is>
      </x:c>
      <x:c r="D13" s="31" t="inlineStr">
        <x:is>
          <x:t xml:space="preserve">Счета, оплаты, дебиторка, лимиты</x:t>
        </x:is>
      </x:c>
      <x:c r="E13" s="31" t="inlineStr">
        <x:is>
          <x:t xml:space="preserve">СОТР-076</x:t>
        </x:is>
      </x:c>
      <x:c r="F13" s="31" t="inlineStr">
        <x:is>
          <x:t xml:space="preserve">ДЗ, просрочка, кассовый план</x:t>
        </x:is>
      </x:c>
    </x:row>
    <x:row r="14" ht="18" customHeight="1">
      <x:c r="A14" s="31" t="inlineStr">
        <x:is>
          <x:t xml:space="preserve">ПОДР-013</x:t>
        </x:is>
      </x:c>
      <x:c r="B14" s="31" t="inlineStr">
        <x:is>
          <x:t xml:space="preserve">Сервис</x:t>
        </x:is>
      </x:c>
      <x:c r="C14" s="31" t="inlineStr">
        <x:is>
          <x:t xml:space="preserve">ПОДР-001</x:t>
        </x:is>
      </x:c>
      <x:c r="D14" s="31" t="inlineStr">
        <x:is>
          <x:t xml:space="preserve">Гарантия, рекламации, ПНР</x:t>
        </x:is>
      </x:c>
      <x:c r="E14" s="31" t="inlineStr">
        <x:is>
          <x:t xml:space="preserve">СОТР-082</x:t>
        </x:is>
      </x:c>
      <x:c r="F14" s="31" t="inlineStr">
        <x:is>
          <x:t xml:space="preserve">срок исполнения рекламаций, повторные дефекты</x:t>
        </x:is>
      </x:c>
    </x:row>
    <x:row r="15" ht="18" customHeight="1">
      <x:c r="A15" s="31" t="inlineStr">
        <x:is>
          <x:t xml:space="preserve">ПОДР-014</x:t>
        </x:is>
      </x:c>
      <x:c r="B15" s="31" t="inlineStr">
        <x:is>
          <x:t xml:space="preserve">ИТ и администрирование</x:t>
        </x:is>
      </x:c>
      <x:c r="C15" s="31" t="inlineStr">
        <x:is>
          <x:t xml:space="preserve">ПОДР-001</x:t>
        </x:is>
      </x:c>
      <x:c r="D15" s="31" t="inlineStr">
        <x:is>
          <x:t xml:space="preserve">Права, доступы, интеграции, поддержка</x:t>
        </x:is>
      </x:c>
      <x:c r="E15" s="31" t="inlineStr">
        <x:is>
          <x:t xml:space="preserve">СОТР-089</x:t>
        </x:is>
      </x:c>
      <x:c r="F15" s="31" t="inlineStr">
        <x:is>
          <x:t xml:space="preserve">Доступность, инциденты</x:t>
        </x:is>
      </x:c>
    </x:row>
    <x:row r="16" ht="18" customHeight="1">
      <x:c r="A16" s="31" t="inlineStr">
        <x:is>
          <x:t xml:space="preserve">ПОДР-015</x:t>
        </x:is>
      </x:c>
      <x:c r="B16" s="31" t="inlineStr">
        <x:is>
          <x:t xml:space="preserve">ОТ/ПБ/Экология</x:t>
        </x:is>
      </x:c>
      <x:c r="C16" s="31" t="inlineStr">
        <x:is>
          <x:t xml:space="preserve">ПОДР-001</x:t>
        </x:is>
      </x:c>
      <x:c r="D16" s="31" t="inlineStr">
        <x:is>
          <x:t xml:space="preserve">Безопасность, инструктажи, СИЗ</x:t>
        </x:is>
      </x:c>
      <x:c r="E16" s="31" t="inlineStr">
        <x:is>
          <x:t xml:space="preserve">СОТР-094</x:t>
        </x:is>
      </x:c>
      <x:c r="F16" s="31" t="inlineStr">
        <x:is>
          <x:t xml:space="preserve">Инциденты, обучение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7" customWidth="1"/>
    <x:col min="2" max="2" width="33" customWidth="1"/>
    <x:col min="3" max="3" width="25" customWidth="1"/>
    <x:col min="4" max="4" width="19" customWidth="1"/>
    <x:col min="5" max="5" width="24" customWidth="1"/>
    <x:col min="6" max="6" width="12" customWidth="1"/>
    <x:col min="7" max="7" width="13" customWidth="1"/>
    <x:col min="8" max="8" width="36" customWidth="1"/>
    <x:col min="9" max="9" width="13" customWidth="1"/>
    <x:col min="10" max="10" width="20" customWidth="1"/>
    <x:col min="11" max="11" width="15" customWidth="1"/>
    <x:col min="12" max="12" width="16" customWidth="1"/>
  </x:cols>
  <x:sheetData>
    <x:row r="1" ht="18" customHeight="1">
      <x:c r="A1" s="30" t="inlineStr">
        <x:is>
          <x:t xml:space="preserve">Табельный номер</x:t>
        </x:is>
      </x:c>
      <x:c r="B1" s="30" t="inlineStr">
        <x:is>
          <x:t xml:space="preserve">ФИО</x:t>
        </x:is>
      </x:c>
      <x:c r="C1" s="30" t="inlineStr">
        <x:is>
          <x:t xml:space="preserve">Должность</x:t>
        </x:is>
      </x:c>
      <x:c r="D1" s="30" t="inlineStr">
        <x:is>
          <x:t xml:space="preserve">Код подразделения</x:t>
        </x:is>
      </x:c>
      <x:c r="E1" s="30" t="inlineStr">
        <x:is>
          <x:t xml:space="preserve">Роль</x:t>
        </x:is>
      </x:c>
      <x:c r="F1" s="30" t="inlineStr">
        <x:is>
          <x:t xml:space="preserve">Статус</x:t>
        </x:is>
      </x:c>
      <x:c r="G1" s="30" t="inlineStr">
        <x:is>
          <x:t xml:space="preserve">Оклад, руб.</x:t>
        </x:is>
      </x:c>
      <x:c r="H1" s="30" t="inlineStr">
        <x:is>
          <x:t xml:space="preserve">Эл. почта</x:t>
        </x:is>
      </x:c>
      <x:c r="I1" s="30" t="inlineStr">
        <x:is>
          <x:t xml:space="preserve">Дата приема</x:t>
        </x:is>
      </x:c>
      <x:c r="J1" s="30" t="inlineStr">
        <x:is>
          <x:t xml:space="preserve">Последнее обучение</x:t>
        </x:is>
      </x:c>
      <x:c r="K1" s="30" t="inlineStr">
        <x:is>
          <x:t xml:space="preserve">Тип занятости</x:t>
        </x:is>
      </x:c>
      <x:c r="L1" s="30" t="inlineStr">
        <x:is>
          <x:t xml:space="preserve">Место работы</x:t>
        </x:is>
      </x:c>
    </x:row>
    <x:row r="2" ht="18" customHeight="1">
      <x:c r="A2" s="31" t="inlineStr">
        <x:is>
          <x:t xml:space="preserve">СОТР-001</x:t>
        </x:is>
      </x:c>
      <x:c r="B2" s="31" t="inlineStr">
        <x:is>
          <x:t xml:space="preserve">Белов Артем Викторович</x:t>
        </x:is>
      </x:c>
      <x:c r="C2" s="31" t="inlineStr">
        <x:is>
          <x:t xml:space="preserve">Генеральный директор</x:t>
        </x:is>
      </x:c>
      <x:c r="D2" s="31" t="inlineStr">
        <x:is>
          <x:t xml:space="preserve">ПОДР-001</x:t>
        </x:is>
      </x:c>
      <x:c r="E2" s="31" t="inlineStr">
        <x:is>
          <x:t xml:space="preserve">Генеральный директор</x:t>
        </x:is>
      </x:c>
      <x:c r="F2" s="31" t="inlineStr">
        <x:is>
          <x:t xml:space="preserve">Активен</x:t>
        </x:is>
      </x:c>
      <x:c r="G2" s="31" t="n">
        <x:v>245000</x:v>
      </x:c>
      <x:c r="H2" s="31" t="inlineStr">
        <x:is>
          <x:t xml:space="preserve">artem.belov@severtech-komplekt.ru</x:t>
        </x:is>
      </x:c>
      <x:c r="I2" s="31" t="n">
        <x:v>45740</x:v>
      </x:c>
      <x:c r="J2" s="31" t="n">
        <x:v>44659</x:v>
      </x:c>
      <x:c r="K2" s="31" t="inlineStr">
        <x:is>
          <x:t xml:space="preserve">Штат</x:t>
        </x:is>
      </x:c>
      <x:c r="L2" s="31" t="inlineStr">
        <x:is>
          <x:t xml:space="preserve">Основное место</x:t>
        </x:is>
      </x:c>
    </x:row>
    <x:row r="3" ht="18" customHeight="1">
      <x:c r="A3" s="31" t="inlineStr">
        <x:is>
          <x:t xml:space="preserve">СОТР-002</x:t>
        </x:is>
      </x:c>
      <x:c r="B3" s="31" t="inlineStr">
        <x:is>
          <x:t xml:space="preserve">Калинина Марина Олеговна</x:t>
        </x:is>
      </x:c>
      <x:c r="C3" s="31" t="inlineStr">
        <x:is>
          <x:t xml:space="preserve">Коммерческий директор</x:t>
        </x:is>
      </x:c>
      <x:c r="D3" s="31" t="inlineStr">
        <x:is>
          <x:t xml:space="preserve">ПОДР-002</x:t>
        </x:is>
      </x:c>
      <x:c r="E3" s="31" t="inlineStr">
        <x:is>
          <x:t xml:space="preserve">Руководитель продаж</x:t>
        </x:is>
      </x:c>
      <x:c r="F3" s="31" t="inlineStr">
        <x:is>
          <x:t xml:space="preserve">Активен</x:t>
        </x:is>
      </x:c>
      <x:c r="G3" s="31" t="n">
        <x:v>190000</x:v>
      </x:c>
      <x:c r="H3" s="31" t="inlineStr">
        <x:is>
          <x:t xml:space="preserve">m.kalinina@severtech-komplekt.ru</x:t>
        </x:is>
      </x:c>
      <x:c r="I3" s="31" t="n">
        <x:v>44482</x:v>
      </x:c>
      <x:c r="J3" s="31" t="n">
        <x:v>45949</x:v>
      </x:c>
      <x:c r="K3" s="31" t="inlineStr">
        <x:is>
          <x:t xml:space="preserve">Штат</x:t>
        </x:is>
      </x:c>
      <x:c r="L3" s="31" t="inlineStr">
        <x:is>
          <x:t xml:space="preserve">Основное место</x:t>
        </x:is>
      </x:c>
    </x:row>
    <x:row r="4" ht="18" customHeight="1">
      <x:c r="A4" s="31" t="inlineStr">
        <x:is>
          <x:t xml:space="preserve">СОТР-003</x:t>
        </x:is>
      </x:c>
      <x:c r="B4" s="31" t="inlineStr">
        <x:is>
          <x:t xml:space="preserve">Рябов Денис Игоревич</x:t>
        </x:is>
      </x:c>
      <x:c r="C4" s="31" t="inlineStr">
        <x:is>
          <x:t xml:space="preserve">Старший менеджер продаж</x:t>
        </x:is>
      </x:c>
      <x:c r="D4" s="31" t="inlineStr">
        <x:is>
          <x:t xml:space="preserve">ПОДР-002</x:t>
        </x:is>
      </x:c>
      <x:c r="E4" s="31" t="inlineStr">
        <x:is>
          <x:t xml:space="preserve">Менеджер продаж</x:t>
        </x:is>
      </x:c>
      <x:c r="F4" s="31" t="inlineStr">
        <x:is>
          <x:t xml:space="preserve">Активен</x:t>
        </x:is>
      </x:c>
      <x:c r="G4" s="31" t="n">
        <x:v>135000</x:v>
      </x:c>
      <x:c r="H4" s="31" t="inlineStr">
        <x:is>
          <x:t xml:space="preserve">d.ryabov@severtech-komplekt.ru</x:t>
        </x:is>
      </x:c>
      <x:c r="I4" s="31" t="n">
        <x:v>44994</x:v>
      </x:c>
      <x:c r="J4" s="31" t="n">
        <x:v>44932</x:v>
      </x:c>
      <x:c r="K4" s="31" t="inlineStr">
        <x:is>
          <x:t xml:space="preserve">Штат</x:t>
        </x:is>
      </x:c>
      <x:c r="L4" s="31" t="inlineStr">
        <x:is>
          <x:t xml:space="preserve">Основное место</x:t>
        </x:is>
      </x:c>
    </x:row>
    <x:row r="5" ht="18" customHeight="1">
      <x:c r="A5" s="31" t="inlineStr">
        <x:is>
          <x:t xml:space="preserve">СОТР-004</x:t>
        </x:is>
      </x:c>
      <x:c r="B5" s="31" t="inlineStr">
        <x:is>
          <x:t xml:space="preserve">Соколова Анна Павловна</x:t>
        </x:is>
      </x:c>
      <x:c r="C5" s="31" t="inlineStr">
        <x:is>
          <x:t xml:space="preserve">Менеджер продаж</x:t>
        </x:is>
      </x:c>
      <x:c r="D5" s="31" t="inlineStr">
        <x:is>
          <x:t xml:space="preserve">ПОДР-002</x:t>
        </x:is>
      </x:c>
      <x:c r="E5" s="31" t="inlineStr">
        <x:is>
          <x:t xml:space="preserve">Менеджер продаж</x:t>
        </x:is>
      </x:c>
      <x:c r="F5" s="31" t="inlineStr">
        <x:is>
          <x:t xml:space="preserve">Активен</x:t>
        </x:is>
      </x:c>
      <x:c r="G5" s="31" t="n">
        <x:v>118000</x:v>
      </x:c>
      <x:c r="H5" s="31" t="inlineStr">
        <x:is>
          <x:t xml:space="preserve">a.sokolova@severtech-komplekt.ru</x:t>
        </x:is>
      </x:c>
      <x:c r="I5" s="31" t="n">
        <x:v>44888</x:v>
      </x:c>
      <x:c r="J5" s="31" t="n">
        <x:v>44716</x:v>
      </x:c>
      <x:c r="K5" s="31" t="inlineStr">
        <x:is>
          <x:t xml:space="preserve">Штат</x:t>
        </x:is>
      </x:c>
      <x:c r="L5" s="31" t="inlineStr">
        <x:is>
          <x:t xml:space="preserve">Основное место</x:t>
        </x:is>
      </x:c>
    </x:row>
    <x:row r="6" ht="18" customHeight="1">
      <x:c r="A6" s="31" t="inlineStr">
        <x:is>
          <x:t xml:space="preserve">СОТР-005</x:t>
        </x:is>
      </x:c>
      <x:c r="B6" s="31" t="inlineStr">
        <x:is>
          <x:t xml:space="preserve">Мартынов Игорь Сергеевич</x:t>
        </x:is>
      </x:c>
      <x:c r="C6" s="31" t="inlineStr">
        <x:is>
          <x:t xml:space="preserve">Менеджер продаж</x:t>
        </x:is>
      </x:c>
      <x:c r="D6" s="31" t="inlineStr">
        <x:is>
          <x:t xml:space="preserve">ПОДР-002</x:t>
        </x:is>
      </x:c>
      <x:c r="E6" s="31" t="inlineStr">
        <x:is>
          <x:t xml:space="preserve">Менеджер продаж</x:t>
        </x:is>
      </x:c>
      <x:c r="F6" s="31" t="inlineStr">
        <x:is>
          <x:t xml:space="preserve">Активен</x:t>
        </x:is>
      </x:c>
      <x:c r="G6" s="31" t="n">
        <x:v>112000</x:v>
      </x:c>
      <x:c r="H6" s="31" t="inlineStr">
        <x:is>
          <x:t xml:space="preserve">i.martynov@severtech-komplekt.ru</x:t>
        </x:is>
      </x:c>
      <x:c r="I6" s="31" t="n">
        <x:v>45939</x:v>
      </x:c>
      <x:c r="J6" s="31" t="n">
        <x:v>44640</x:v>
      </x:c>
      <x:c r="K6" s="31" t="inlineStr">
        <x:is>
          <x:t xml:space="preserve">Штат</x:t>
        </x:is>
      </x:c>
      <x:c r="L6" s="31" t="inlineStr">
        <x:is>
          <x:t xml:space="preserve">Основное место</x:t>
        </x:is>
      </x:c>
    </x:row>
    <x:row r="7" ht="18" customHeight="1">
      <x:c r="A7" s="31" t="inlineStr">
        <x:is>
          <x:t xml:space="preserve">СОТР-011</x:t>
        </x:is>
      </x:c>
      <x:c r="B7" s="31" t="inlineStr">
        <x:is>
          <x:t xml:space="preserve">Громов Андрей Петрович</x:t>
        </x:is>
      </x:c>
      <x:c r="C7" s="31" t="inlineStr">
        <x:is>
          <x:t xml:space="preserve">Главный инженер</x:t>
        </x:is>
      </x:c>
      <x:c r="D7" s="31" t="inlineStr">
        <x:is>
          <x:t xml:space="preserve">ПОДР-003</x:t>
        </x:is>
      </x:c>
      <x:c r="E7" s="31" t="inlineStr">
        <x:is>
          <x:t xml:space="preserve">Главный инженер</x:t>
        </x:is>
      </x:c>
      <x:c r="F7" s="31" t="inlineStr">
        <x:is>
          <x:t xml:space="preserve">Активен</x:t>
        </x:is>
      </x:c>
      <x:c r="G7" s="31" t="n">
        <x:v>185000</x:v>
      </x:c>
      <x:c r="H7" s="31" t="inlineStr">
        <x:is>
          <x:t xml:space="preserve">a.gromov@severtech-komplekt.ru</x:t>
        </x:is>
      </x:c>
      <x:c r="I7" s="31" t="n">
        <x:v>45816</x:v>
      </x:c>
      <x:c r="J7" s="31" t="n">
        <x:v>45947</x:v>
      </x:c>
      <x:c r="K7" s="31" t="inlineStr">
        <x:is>
          <x:t xml:space="preserve">Штат</x:t>
        </x:is>
      </x:c>
      <x:c r="L7" s="31" t="inlineStr">
        <x:is>
          <x:t xml:space="preserve">Основное место</x:t>
        </x:is>
      </x:c>
    </x:row>
    <x:row r="8" ht="18" customHeight="1">
      <x:c r="A8" s="31" t="inlineStr">
        <x:is>
          <x:t xml:space="preserve">СОТР-018</x:t>
        </x:is>
      </x:c>
      <x:c r="B8" s="31" t="inlineStr">
        <x:is>
          <x:t xml:space="preserve">Кузьмина Елена Алексеевна</x:t>
        </x:is>
      </x:c>
      <x:c r="C8" s="31" t="inlineStr">
        <x:is>
          <x:t xml:space="preserve">Руководитель снабжения</x:t>
        </x:is>
      </x:c>
      <x:c r="D8" s="31" t="inlineStr">
        <x:is>
          <x:t xml:space="preserve">ПОДР-004</x:t>
        </x:is>
      </x:c>
      <x:c r="E8" s="31" t="inlineStr">
        <x:is>
          <x:t xml:space="preserve">Руководитель снабжения</x:t>
        </x:is>
      </x:c>
      <x:c r="F8" s="31" t="inlineStr">
        <x:is>
          <x:t xml:space="preserve">Активен</x:t>
        </x:is>
      </x:c>
      <x:c r="G8" s="31" t="n">
        <x:v>165000</x:v>
      </x:c>
      <x:c r="H8" s="31" t="inlineStr">
        <x:is>
          <x:t xml:space="preserve">e.kuzmina@severtech-komplekt.ru</x:t>
        </x:is>
      </x:c>
      <x:c r="I8" s="31" t="n">
        <x:v>45547</x:v>
      </x:c>
      <x:c r="J8" s="31" t="n">
        <x:v>44609</x:v>
      </x:c>
      <x:c r="K8" s="31" t="inlineStr">
        <x:is>
          <x:t xml:space="preserve">Штат</x:t>
        </x:is>
      </x:c>
      <x:c r="L8" s="31" t="inlineStr">
        <x:is>
          <x:t xml:space="preserve">Основное место</x:t>
        </x:is>
      </x:c>
    </x:row>
    <x:row r="9" ht="18" customHeight="1">
      <x:c r="A9" s="31" t="inlineStr">
        <x:is>
          <x:t xml:space="preserve">СОТР-024</x:t>
        </x:is>
      </x:c>
      <x:c r="B9" s="31" t="inlineStr">
        <x:is>
          <x:t xml:space="preserve">Фомин Роман Ильич</x:t>
        </x:is>
      </x:c>
      <x:c r="C9" s="31" t="inlineStr">
        <x:is>
          <x:t xml:space="preserve">Заведующий складом</x:t>
        </x:is>
      </x:c>
      <x:c r="D9" s="31" t="inlineStr">
        <x:is>
          <x:t xml:space="preserve">ПОДР-005</x:t>
        </x:is>
      </x:c>
      <x:c r="E9" s="31" t="inlineStr">
        <x:is>
          <x:t xml:space="preserve">Кладовщик</x:t>
        </x:is>
      </x:c>
      <x:c r="F9" s="31" t="inlineStr">
        <x:is>
          <x:t xml:space="preserve">Активен</x:t>
        </x:is>
      </x:c>
      <x:c r="G9" s="31" t="n">
        <x:v>98000</x:v>
      </x:c>
      <x:c r="H9" s="31" t="inlineStr">
        <x:is>
          <x:t xml:space="preserve">r.fomin@severtech-komplekt.ru</x:t>
        </x:is>
      </x:c>
      <x:c r="I9" s="31" t="n">
        <x:v>45640</x:v>
      </x:c>
      <x:c r="J9" s="31" t="n">
        <x:v>45295</x:v>
      </x:c>
      <x:c r="K9" s="31" t="inlineStr">
        <x:is>
          <x:t xml:space="preserve">Штат</x:t>
        </x:is>
      </x:c>
      <x:c r="L9" s="31" t="inlineStr">
        <x:is>
          <x:t xml:space="preserve">Основное место</x:t>
        </x:is>
      </x:c>
    </x:row>
    <x:row r="10" ht="18" customHeight="1">
      <x:c r="A10" s="31" t="inlineStr">
        <x:is>
          <x:t xml:space="preserve">СОТР-030</x:t>
        </x:is>
      </x:c>
      <x:c r="B10" s="31" t="inlineStr">
        <x:is>
          <x:t xml:space="preserve">Шаров Павел Андреевич</x:t>
        </x:is>
      </x:c>
      <x:c r="C10" s="31" t="inlineStr">
        <x:is>
          <x:t xml:space="preserve">Начальник производства</x:t>
        </x:is>
      </x:c>
      <x:c r="D10" s="31" t="inlineStr">
        <x:is>
          <x:t xml:space="preserve">ПОДР-006</x:t>
        </x:is>
      </x:c>
      <x:c r="E10" s="31" t="inlineStr">
        <x:is>
          <x:t xml:space="preserve">Начальник производства</x:t>
        </x:is>
      </x:c>
      <x:c r="F10" s="31" t="inlineStr">
        <x:is>
          <x:t xml:space="preserve">Активен</x:t>
        </x:is>
      </x:c>
      <x:c r="G10" s="31" t="n">
        <x:v>175000</x:v>
      </x:c>
      <x:c r="H10" s="31" t="inlineStr">
        <x:is>
          <x:t xml:space="preserve">p.sharov@severtech-komplekt.ru</x:t>
        </x:is>
      </x:c>
      <x:c r="I10" s="31" t="n">
        <x:v>44496</x:v>
      </x:c>
      <x:c r="J10" s="31" t="n">
        <x:v>44492</x:v>
      </x:c>
      <x:c r="K10" s="31" t="inlineStr">
        <x:is>
          <x:t xml:space="preserve">Штат</x:t>
        </x:is>
      </x:c>
      <x:c r="L10" s="31" t="inlineStr">
        <x:is>
          <x:t xml:space="preserve">Основное место</x:t>
        </x:is>
      </x:c>
    </x:row>
    <x:row r="11" ht="18" customHeight="1">
      <x:c r="A11" s="31" t="inlineStr">
        <x:is>
          <x:t xml:space="preserve">СОТР-031</x:t>
        </x:is>
      </x:c>
      <x:c r="B11" s="31" t="inlineStr">
        <x:is>
          <x:t xml:space="preserve">Волкова Ирина Сергеевна</x:t>
        </x:is>
      </x:c>
      <x:c r="C11" s="31" t="inlineStr">
        <x:is>
          <x:t xml:space="preserve">Мастер механообработки</x:t>
        </x:is>
      </x:c>
      <x:c r="D11" s="31" t="inlineStr">
        <x:is>
          <x:t xml:space="preserve">ПОДР-007</x:t>
        </x:is>
      </x:c>
      <x:c r="E11" s="31" t="inlineStr">
        <x:is>
          <x:t xml:space="preserve">Мастер участка</x:t>
        </x:is>
      </x:c>
      <x:c r="F11" s="31" t="inlineStr">
        <x:is>
          <x:t xml:space="preserve">Активен</x:t>
        </x:is>
      </x:c>
      <x:c r="G11" s="31" t="n">
        <x:v>125000</x:v>
      </x:c>
      <x:c r="H11" s="31" t="inlineStr">
        <x:is>
          <x:t xml:space="preserve">i.volkova@severtech-komplekt.ru</x:t>
        </x:is>
      </x:c>
      <x:c r="I11" s="31" t="n">
        <x:v>44622</x:v>
      </x:c>
      <x:c r="J11" s="31" t="n">
        <x:v>44878</x:v>
      </x:c>
      <x:c r="K11" s="31" t="inlineStr">
        <x:is>
          <x:t xml:space="preserve">Штат</x:t>
        </x:is>
      </x:c>
      <x:c r="L11" s="31" t="inlineStr">
        <x:is>
          <x:t xml:space="preserve">Основное место</x:t>
        </x:is>
      </x:c>
    </x:row>
    <x:row r="12" ht="18" customHeight="1">
      <x:c r="A12" s="31" t="inlineStr">
        <x:is>
          <x:t xml:space="preserve">СОТР-032</x:t>
        </x:is>
      </x:c>
      <x:c r="B12" s="31" t="inlineStr">
        <x:is>
          <x:t xml:space="preserve">Тимофеев Максим Олегович</x:t>
        </x:is>
      </x:c>
      <x:c r="C12" s="31" t="inlineStr">
        <x:is>
          <x:t xml:space="preserve">Мастер сборки</x:t>
        </x:is>
      </x:c>
      <x:c r="D12" s="31" t="inlineStr">
        <x:is>
          <x:t xml:space="preserve">ПОДР-009</x:t>
        </x:is>
      </x:c>
      <x:c r="E12" s="31" t="inlineStr">
        <x:is>
          <x:t xml:space="preserve">Мастер участка</x:t>
        </x:is>
      </x:c>
      <x:c r="F12" s="31" t="inlineStr">
        <x:is>
          <x:t xml:space="preserve">Активен</x:t>
        </x:is>
      </x:c>
      <x:c r="G12" s="31" t="n">
        <x:v>126000</x:v>
      </x:c>
      <x:c r="H12" s="31" t="inlineStr">
        <x:is>
          <x:t xml:space="preserve">m.timofeev@severtech-komplekt.ru</x:t>
        </x:is>
      </x:c>
      <x:c r="I12" s="31" t="n">
        <x:v>44907</x:v>
      </x:c>
      <x:c r="J12" s="31" t="n">
        <x:v>45465</x:v>
      </x:c>
      <x:c r="K12" s="31" t="inlineStr">
        <x:is>
          <x:t xml:space="preserve">Штат</x:t>
        </x:is>
      </x:c>
      <x:c r="L12" s="31" t="inlineStr">
        <x:is>
          <x:t xml:space="preserve">Основное место</x:t>
        </x:is>
      </x:c>
    </x:row>
    <x:row r="13" ht="18" customHeight="1">
      <x:c r="A13" s="31" t="inlineStr">
        <x:is>
          <x:t xml:space="preserve">СОТР-063</x:t>
        </x:is>
      </x:c>
      <x:c r="B13" s="31" t="inlineStr">
        <x:is>
          <x:t xml:space="preserve">Ларионов Олег Николаевич</x:t>
        </x:is>
      </x:c>
      <x:c r="C13" s="31" t="inlineStr">
        <x:is>
          <x:t xml:space="preserve">Начальник ОТК</x:t>
        </x:is>
      </x:c>
      <x:c r="D13" s="31" t="inlineStr">
        <x:is>
          <x:t xml:space="preserve">ПОДР-010</x:t>
        </x:is>
      </x:c>
      <x:c r="E13" s="31" t="inlineStr">
        <x:is>
          <x:t xml:space="preserve">ОТК</x:t>
        </x:is>
      </x:c>
      <x:c r="F13" s="31" t="inlineStr">
        <x:is>
          <x:t xml:space="preserve">Активен</x:t>
        </x:is>
      </x:c>
      <x:c r="G13" s="31" t="n">
        <x:v>145000</x:v>
      </x:c>
      <x:c r="H13" s="31" t="inlineStr">
        <x:is>
          <x:t xml:space="preserve">o.larionov@severtech-komplekt.ru</x:t>
        </x:is>
      </x:c>
      <x:c r="I13" s="31" t="n">
        <x:v>45663</x:v>
      </x:c>
      <x:c r="J13" s="31" t="n">
        <x:v>44485</x:v>
      </x:c>
      <x:c r="K13" s="31" t="inlineStr">
        <x:is>
          <x:t xml:space="preserve">Штат</x:t>
        </x:is>
      </x:c>
      <x:c r="L13" s="31" t="inlineStr">
        <x:is>
          <x:t xml:space="preserve">Основное место</x:t>
        </x:is>
      </x:c>
    </x:row>
    <x:row r="14" ht="18" customHeight="1">
      <x:c r="A14" s="31" t="inlineStr">
        <x:is>
          <x:t xml:space="preserve">СОТР-070</x:t>
        </x:is>
      </x:c>
      <x:c r="B14" s="31" t="inlineStr">
        <x:is>
          <x:t xml:space="preserve">Нестерова Юлия Игоревна</x:t>
        </x:is>
      </x:c>
      <x:c r="C14" s="31" t="inlineStr">
        <x:is>
          <x:t xml:space="preserve">Логист</x:t>
        </x:is>
      </x:c>
      <x:c r="D14" s="31" t="inlineStr">
        <x:is>
          <x:t xml:space="preserve">ПОДР-011</x:t>
        </x:is>
      </x:c>
      <x:c r="E14" s="31" t="inlineStr">
        <x:is>
          <x:t xml:space="preserve">Логист</x:t>
        </x:is>
      </x:c>
      <x:c r="F14" s="31" t="inlineStr">
        <x:is>
          <x:t xml:space="preserve">Активен</x:t>
        </x:is>
      </x:c>
      <x:c r="G14" s="31" t="n">
        <x:v>104000</x:v>
      </x:c>
      <x:c r="H14" s="31" t="inlineStr">
        <x:is>
          <x:t xml:space="preserve">y.nesterova@severtech-komplekt.ru</x:t>
        </x:is>
      </x:c>
      <x:c r="I14" s="31" t="n">
        <x:v>45580</x:v>
      </x:c>
      <x:c r="J14" s="31" t="n">
        <x:v>44838</x:v>
      </x:c>
      <x:c r="K14" s="31" t="inlineStr">
        <x:is>
          <x:t xml:space="preserve">Штат</x:t>
        </x:is>
      </x:c>
      <x:c r="L14" s="31" t="inlineStr">
        <x:is>
          <x:t xml:space="preserve">Основное место</x:t>
        </x:is>
      </x:c>
    </x:row>
    <x:row r="15" ht="18" customHeight="1">
      <x:c r="A15" s="31" t="inlineStr">
        <x:is>
          <x:t xml:space="preserve">СОТР-076</x:t>
        </x:is>
      </x:c>
      <x:c r="B15" s="31" t="inlineStr">
        <x:is>
          <x:t xml:space="preserve">Федорова Светлана Андреевна</x:t>
        </x:is>
      </x:c>
      <x:c r="C15" s="31" t="inlineStr">
        <x:is>
          <x:t xml:space="preserve">Финансовый контролер</x:t>
        </x:is>
      </x:c>
      <x:c r="D15" s="31" t="inlineStr">
        <x:is>
          <x:t xml:space="preserve">ПОДР-012</x:t>
        </x:is>
      </x:c>
      <x:c r="E15" s="31" t="inlineStr">
        <x:is>
          <x:t xml:space="preserve">Финансист</x:t>
        </x:is>
      </x:c>
      <x:c r="F15" s="31" t="inlineStr">
        <x:is>
          <x:t xml:space="preserve">Активен</x:t>
        </x:is>
      </x:c>
      <x:c r="G15" s="31" t="n">
        <x:v>152000</x:v>
      </x:c>
      <x:c r="H15" s="31" t="inlineStr">
        <x:is>
          <x:t xml:space="preserve">s.fedorova@severtech-komplekt.ru</x:t>
        </x:is>
      </x:c>
      <x:c r="I15" s="31" t="n">
        <x:v>45897</x:v>
      </x:c>
      <x:c r="J15" s="31" t="n">
        <x:v>45761</x:v>
      </x:c>
      <x:c r="K15" s="31" t="inlineStr">
        <x:is>
          <x:t xml:space="preserve">Штат</x:t>
        </x:is>
      </x:c>
      <x:c r="L15" s="31" t="inlineStr">
        <x:is>
          <x:t xml:space="preserve">Основное место</x:t>
        </x:is>
      </x:c>
    </x:row>
    <x:row r="16" ht="18" customHeight="1">
      <x:c r="A16" s="31" t="inlineStr">
        <x:is>
          <x:t xml:space="preserve">СОТР-082</x:t>
        </x:is>
      </x:c>
      <x:c r="B16" s="31" t="inlineStr">
        <x:is>
          <x:t xml:space="preserve">Лукин Глеб Романович</x:t>
        </x:is>
      </x:c>
      <x:c r="C16" s="31" t="inlineStr">
        <x:is>
          <x:t xml:space="preserve">Руководитель сервиса</x:t>
        </x:is>
      </x:c>
      <x:c r="D16" s="31" t="inlineStr">
        <x:is>
          <x:t xml:space="preserve">ПОДР-013</x:t>
        </x:is>
      </x:c>
      <x:c r="E16" s="31" t="inlineStr">
        <x:is>
          <x:t xml:space="preserve">Сервис-инженер</x:t>
        </x:is>
      </x:c>
      <x:c r="F16" s="31" t="inlineStr">
        <x:is>
          <x:t xml:space="preserve">Активен</x:t>
        </x:is>
      </x:c>
      <x:c r="G16" s="31" t="n">
        <x:v>142000</x:v>
      </x:c>
      <x:c r="H16" s="31" t="inlineStr">
        <x:is>
          <x:t xml:space="preserve">g.lukin@severtech-komplekt.ru</x:t>
        </x:is>
      </x:c>
      <x:c r="I16" s="31" t="n">
        <x:v>45867</x:v>
      </x:c>
      <x:c r="J16" s="31" t="n">
        <x:v>45547</x:v>
      </x:c>
      <x:c r="K16" s="31" t="inlineStr">
        <x:is>
          <x:t xml:space="preserve">Штат</x:t>
        </x:is>
      </x:c>
      <x:c r="L16" s="31" t="inlineStr">
        <x:is>
          <x:t xml:space="preserve">Основное место</x:t>
        </x:is>
      </x:c>
    </x:row>
    <x:row r="17" ht="18" customHeight="1">
      <x:c r="A17" s="31" t="inlineStr">
        <x:is>
          <x:t xml:space="preserve">СОТР-089</x:t>
        </x:is>
      </x:c>
      <x:c r="B17" s="31" t="inlineStr">
        <x:is>
          <x:t xml:space="preserve">Шаповалов Кирилл Денисович</x:t>
        </x:is>
      </x:c>
      <x:c r="C17" s="31" t="inlineStr">
        <x:is>
          <x:t xml:space="preserve">Системный администратор</x:t>
        </x:is>
      </x:c>
      <x:c r="D17" s="31" t="inlineStr">
        <x:is>
          <x:t xml:space="preserve">ПОДР-014</x:t>
        </x:is>
      </x:c>
      <x:c r="E17" s="31" t="inlineStr">
        <x:is>
          <x:t xml:space="preserve">Администратор</x:t>
        </x:is>
      </x:c>
      <x:c r="F17" s="31" t="inlineStr">
        <x:is>
          <x:t xml:space="preserve">Активен</x:t>
        </x:is>
      </x:c>
      <x:c r="G17" s="31" t="n">
        <x:v>130000</x:v>
      </x:c>
      <x:c r="H17" s="31" t="inlineStr">
        <x:is>
          <x:t xml:space="preserve">k.shapovalov@severtech-komplekt.ru</x:t>
        </x:is>
      </x:c>
      <x:c r="I17" s="31" t="n">
        <x:v>45290</x:v>
      </x:c>
      <x:c r="J17" s="31" t="n">
        <x:v>44882</x:v>
      </x:c>
      <x:c r="K17" s="31" t="inlineStr">
        <x:is>
          <x:t xml:space="preserve">Штат</x:t>
        </x:is>
      </x:c>
      <x:c r="L17" s="31" t="inlineStr">
        <x:is>
          <x:t xml:space="preserve">Основное место</x:t>
        </x:is>
      </x:c>
    </x:row>
    <x:row r="18" ht="18" customHeight="1">
      <x:c r="A18" s="31" t="inlineStr">
        <x:is>
          <x:t xml:space="preserve">СОТР-094</x:t>
        </x:is>
      </x:c>
      <x:c r="B18" s="31" t="inlineStr">
        <x:is>
          <x:t xml:space="preserve">Осипова Дарья Михайловна</x:t>
        </x:is>
      </x:c>
      <x:c r="C18" s="31" t="inlineStr">
        <x:is>
          <x:t xml:space="preserve">Инженер по ОТ и ПБ</x:t>
        </x:is>
      </x:c>
      <x:c r="D18" s="31" t="inlineStr">
        <x:is>
          <x:t xml:space="preserve">ПОДР-015</x:t>
        </x:is>
      </x:c>
      <x:c r="E18" s="31" t="inlineStr">
        <x:is>
          <x:t xml:space="preserve">Администратор</x:t>
        </x:is>
      </x:c>
      <x:c r="F18" s="31" t="inlineStr">
        <x:is>
          <x:t xml:space="preserve">Активен</x:t>
        </x:is>
      </x:c>
      <x:c r="G18" s="31" t="n">
        <x:v>112000</x:v>
      </x:c>
      <x:c r="H18" s="31" t="inlineStr">
        <x:is>
          <x:t xml:space="preserve">d.osipova@severtech-komplekt.ru</x:t>
        </x:is>
      </x:c>
      <x:c r="I18" s="31" t="n">
        <x:v>45350</x:v>
      </x:c>
      <x:c r="J18" s="31" t="n">
        <x:v>45637</x:v>
      </x:c>
      <x:c r="K18" s="31" t="inlineStr">
        <x:is>
          <x:t xml:space="preserve">Штат</x:t>
        </x:is>
      </x:c>
      <x:c r="L18" s="31" t="inlineStr">
        <x:is>
          <x:t xml:space="preserve">Основное место</x:t>
        </x:is>
      </x:c>
    </x:row>
    <x:row r="19" ht="18" customHeight="1">
      <x:c r="A19" s="31" t="inlineStr">
        <x:is>
          <x:t xml:space="preserve">СОТР-006</x:t>
        </x:is>
      </x:c>
      <x:c r="B19" s="31" t="inlineStr">
        <x:is>
          <x:t xml:space="preserve">Виноградов Алексей Сергеевна</x:t>
        </x:is>
      </x:c>
      <x:c r="C19" s="31" t="inlineStr">
        <x:is>
          <x:t xml:space="preserve">Менеджер продаж</x:t>
        </x:is>
      </x:c>
      <x:c r="D19" s="31" t="inlineStr">
        <x:is>
          <x:t xml:space="preserve">ПОДР-002</x:t>
        </x:is>
      </x:c>
      <x:c r="E19" s="31" t="inlineStr">
        <x:is>
          <x:t xml:space="preserve">Менеджер продаж</x:t>
        </x:is>
      </x:c>
      <x:c r="F19" s="31" t="inlineStr">
        <x:is>
          <x:t xml:space="preserve">Активен</x:t>
        </x:is>
      </x:c>
      <x:c r="G19" s="31" t="n">
        <x:v>85379</x:v>
      </x:c>
      <x:c r="H19" s="31" t="inlineStr">
        <x:is>
          <x:t xml:space="preserve">e006@severtech-komplekt.ru</x:t>
        </x:is>
      </x:c>
      <x:c r="I19" s="31" t="n">
        <x:v>44671</x:v>
      </x:c>
      <x:c r="J19" s="31" t="n">
        <x:v>45838</x:v>
      </x:c>
      <x:c r="K19" s="31" t="inlineStr">
        <x:is>
          <x:t xml:space="preserve">Штат</x:t>
        </x:is>
      </x:c>
      <x:c r="L19" s="31" t="inlineStr">
        <x:is>
          <x:t xml:space="preserve">Основное место</x:t>
        </x:is>
      </x:c>
    </x:row>
    <x:row r="20" ht="18" customHeight="1">
      <x:c r="A20" s="31" t="inlineStr">
        <x:is>
          <x:t xml:space="preserve">СОТР-007</x:t>
        </x:is>
      </x:c>
      <x:c r="B20" s="31" t="inlineStr">
        <x:is>
          <x:t xml:space="preserve">Лебедев Сергей Павлович</x:t>
        </x:is>
      </x:c>
      <x:c r="C20" s="31" t="inlineStr">
        <x:is>
          <x:t xml:space="preserve">Менеджер продаж</x:t>
        </x:is>
      </x:c>
      <x:c r="D20" s="31" t="inlineStr">
        <x:is>
          <x:t xml:space="preserve">ПОДР-002</x:t>
        </x:is>
      </x:c>
      <x:c r="E20" s="31" t="inlineStr">
        <x:is>
          <x:t xml:space="preserve">Менеджер продаж</x:t>
        </x:is>
      </x:c>
      <x:c r="F20" s="31" t="inlineStr">
        <x:is>
          <x:t xml:space="preserve">Активен</x:t>
        </x:is>
      </x:c>
      <x:c r="G20" s="31" t="n">
        <x:v>144131</x:v>
      </x:c>
      <x:c r="H20" s="31" t="inlineStr">
        <x:is>
          <x:t xml:space="preserve">e007@severtech-komplekt.ru</x:t>
        </x:is>
      </x:c>
      <x:c r="I20" s="31" t="n">
        <x:v>44772</x:v>
      </x:c>
      <x:c r="J20" s="31" t="n">
        <x:v>45688</x:v>
      </x:c>
      <x:c r="K20" s="31" t="inlineStr">
        <x:is>
          <x:t xml:space="preserve">Штат</x:t>
        </x:is>
      </x:c>
      <x:c r="L20" s="31" t="inlineStr">
        <x:is>
          <x:t xml:space="preserve">Основное место</x:t>
        </x:is>
      </x:c>
    </x:row>
    <x:row r="21" ht="18" customHeight="1">
      <x:c r="A21" s="31" t="inlineStr">
        <x:is>
          <x:t xml:space="preserve">СОТР-008</x:t>
        </x:is>
      </x:c>
      <x:c r="B21" s="31" t="inlineStr">
        <x:is>
          <x:t xml:space="preserve">Ковалев Анна Дмитриевич</x:t>
        </x:is>
      </x:c>
      <x:c r="C21" s="31" t="inlineStr">
        <x:is>
          <x:t xml:space="preserve">Координатор проектов</x:t>
        </x:is>
      </x:c>
      <x:c r="D21" s="31" t="inlineStr">
        <x:is>
          <x:t xml:space="preserve">ПОДР-002</x:t>
        </x:is>
      </x:c>
      <x:c r="E21" s="31" t="inlineStr">
        <x:is>
          <x:t xml:space="preserve">Менеджер продаж</x:t>
        </x:is>
      </x:c>
      <x:c r="F21" s="31" t="inlineStr">
        <x:is>
          <x:t xml:space="preserve">Активен</x:t>
        </x:is>
      </x:c>
      <x:c r="G21" s="31" t="n">
        <x:v>147397</x:v>
      </x:c>
      <x:c r="H21" s="31" t="inlineStr">
        <x:is>
          <x:t xml:space="preserve">e008@severtech-komplekt.ru</x:t>
        </x:is>
      </x:c>
      <x:c r="I21" s="31" t="n">
        <x:v>45497</x:v>
      </x:c>
      <x:c r="J21" s="31" t="n">
        <x:v>45851</x:v>
      </x:c>
      <x:c r="K21" s="31" t="inlineStr">
        <x:is>
          <x:t xml:space="preserve">Штат</x:t>
        </x:is>
      </x:c>
      <x:c r="L21" s="31" t="inlineStr">
        <x:is>
          <x:t xml:space="preserve">Основное место</x:t>
        </x:is>
      </x:c>
    </x:row>
    <x:row r="22" ht="18" customHeight="1">
      <x:c r="A22" s="31" t="inlineStr">
        <x:is>
          <x:t xml:space="preserve">СОТР-009</x:t>
        </x:is>
      </x:c>
      <x:c r="B22" s="31" t="inlineStr">
        <x:is>
          <x:t xml:space="preserve">Васильев Алина Дмитриевич</x:t>
        </x:is>
      </x:c>
      <x:c r="C22" s="31" t="inlineStr">
        <x:is>
          <x:t xml:space="preserve">Менеджер продаж</x:t>
        </x:is>
      </x:c>
      <x:c r="D22" s="31" t="inlineStr">
        <x:is>
          <x:t xml:space="preserve">ПОДР-002</x:t>
        </x:is>
      </x:c>
      <x:c r="E22" s="31" t="inlineStr">
        <x:is>
          <x:t xml:space="preserve">Менеджер продаж</x:t>
        </x:is>
      </x:c>
      <x:c r="F22" s="31" t="inlineStr">
        <x:is>
          <x:t xml:space="preserve">Активен</x:t>
        </x:is>
      </x:c>
      <x:c r="G22" s="31" t="n">
        <x:v>75458</x:v>
      </x:c>
      <x:c r="H22" s="31" t="inlineStr">
        <x:is>
          <x:t xml:space="preserve">e009@severtech-komplekt.ru</x:t>
        </x:is>
      </x:c>
      <x:c r="I22" s="31" t="n">
        <x:v>45982</x:v>
      </x:c>
      <x:c r="J22" s="31" t="n">
        <x:v>45785</x:v>
      </x:c>
      <x:c r="K22" s="31" t="inlineStr">
        <x:is>
          <x:t xml:space="preserve">Штат</x:t>
        </x:is>
      </x:c>
      <x:c r="L22" s="31" t="inlineStr">
        <x:is>
          <x:t xml:space="preserve">Основное место</x:t>
        </x:is>
      </x:c>
    </x:row>
    <x:row r="23" ht="18" customHeight="1">
      <x:c r="A23" s="31" t="inlineStr">
        <x:is>
          <x:t xml:space="preserve">СОТР-010</x:t>
        </x:is>
      </x:c>
      <x:c r="B23" s="31" t="inlineStr">
        <x:is>
          <x:t xml:space="preserve">Лебедев Кирилл Николаевич</x:t>
        </x:is>
      </x:c>
      <x:c r="C23" s="31" t="inlineStr">
        <x:is>
          <x:t xml:space="preserve">Координатор проектов</x:t>
        </x:is>
      </x:c>
      <x:c r="D23" s="31" t="inlineStr">
        <x:is>
          <x:t xml:space="preserve">ПОДР-002</x:t>
        </x:is>
      </x:c>
      <x:c r="E23" s="31" t="inlineStr">
        <x:is>
          <x:t xml:space="preserve">Менеджер продаж</x:t>
        </x:is>
      </x:c>
      <x:c r="F23" s="31" t="inlineStr">
        <x:is>
          <x:t xml:space="preserve">Активен</x:t>
        </x:is>
      </x:c>
      <x:c r="G23" s="31" t="n">
        <x:v>111566</x:v>
      </x:c>
      <x:c r="H23" s="31" t="inlineStr">
        <x:is>
          <x:t xml:space="preserve">e010@severtech-komplekt.ru</x:t>
        </x:is>
      </x:c>
      <x:c r="I23" s="31" t="n">
        <x:v>44660</x:v>
      </x:c>
      <x:c r="J23" s="31" t="n">
        <x:v>46009</x:v>
      </x:c>
      <x:c r="K23" s="31" t="inlineStr">
        <x:is>
          <x:t xml:space="preserve">Штат</x:t>
        </x:is>
      </x:c>
      <x:c r="L23" s="31" t="inlineStr">
        <x:is>
          <x:t xml:space="preserve">Основное место</x:t>
        </x:is>
      </x:c>
    </x:row>
    <x:row r="24" ht="18" customHeight="1">
      <x:c r="A24" s="31" t="inlineStr">
        <x:is>
          <x:t xml:space="preserve">СОТР-012</x:t>
        </x:is>
      </x:c>
      <x:c r="B24" s="31" t="inlineStr">
        <x:is>
          <x:t xml:space="preserve">Виноградов Алина Николаевна</x:t>
        </x:is>
      </x:c>
      <x:c r="C24" s="31" t="inlineStr">
        <x:is>
          <x:t xml:space="preserve">Инженер-конструктор</x:t>
        </x:is>
      </x:c>
      <x:c r="D24" s="31" t="inlineStr">
        <x:is>
          <x:t xml:space="preserve">ПОДР-003</x:t>
        </x:is>
      </x:c>
      <x:c r="E24" s="31" t="inlineStr">
        <x:is>
          <x:t xml:space="preserve">Инженер-конструктор</x:t>
        </x:is>
      </x:c>
      <x:c r="F24" s="31" t="inlineStr">
        <x:is>
          <x:t xml:space="preserve">Активен</x:t>
        </x:is>
      </x:c>
      <x:c r="G24" s="31" t="n">
        <x:v>97087</x:v>
      </x:c>
      <x:c r="H24" s="31" t="inlineStr">
        <x:is>
          <x:t xml:space="preserve">e012@severtech-komplekt.ru</x:t>
        </x:is>
      </x:c>
      <x:c r="I24" s="31" t="n">
        <x:v>44565</x:v>
      </x:c>
      <x:c r="J24" s="31" t="n">
        <x:v>45902</x:v>
      </x:c>
      <x:c r="K24" s="31" t="inlineStr">
        <x:is>
          <x:t xml:space="preserve">Штат</x:t>
        </x:is>
      </x:c>
      <x:c r="L24" s="31" t="inlineStr">
        <x:is>
          <x:t xml:space="preserve">Основное место</x:t>
        </x:is>
      </x:c>
    </x:row>
    <x:row r="25" ht="18" customHeight="1">
      <x:c r="A25" s="31" t="inlineStr">
        <x:is>
          <x:t xml:space="preserve">СОТР-013</x:t>
        </x:is>
      </x:c>
      <x:c r="B25" s="31" t="inlineStr">
        <x:is>
          <x:t xml:space="preserve">Комаров Михаил Николаевна</x:t>
        </x:is>
      </x:c>
      <x:c r="C25" s="31" t="inlineStr">
        <x:is>
          <x:t xml:space="preserve">Инженер-конструктор</x:t>
        </x:is>
      </x:c>
      <x:c r="D25" s="31" t="inlineStr">
        <x:is>
          <x:t xml:space="preserve">ПОДР-003</x:t>
        </x:is>
      </x:c>
      <x:c r="E25" s="31" t="inlineStr">
        <x:is>
          <x:t xml:space="preserve">Инженер-конструктор</x:t>
        </x:is>
      </x:c>
      <x:c r="F25" s="31" t="inlineStr">
        <x:is>
          <x:t xml:space="preserve">Активен</x:t>
        </x:is>
      </x:c>
      <x:c r="G25" s="31" t="n">
        <x:v>72331</x:v>
      </x:c>
      <x:c r="H25" s="31" t="inlineStr">
        <x:is>
          <x:t xml:space="preserve">e013@severtech-komplekt.ru</x:t>
        </x:is>
      </x:c>
      <x:c r="I25" s="31" t="n">
        <x:v>44700</x:v>
      </x:c>
      <x:c r="J25" s="31" t="n">
        <x:v>45682</x:v>
      </x:c>
      <x:c r="K25" s="31" t="inlineStr">
        <x:is>
          <x:t xml:space="preserve">Штат</x:t>
        </x:is>
      </x:c>
      <x:c r="L25" s="31" t="inlineStr">
        <x:is>
          <x:t xml:space="preserve">Основное место</x:t>
        </x:is>
      </x:c>
    </x:row>
    <x:row r="26" ht="18" customHeight="1">
      <x:c r="A26" s="31" t="inlineStr">
        <x:is>
          <x:t xml:space="preserve">СОТР-014</x:t>
        </x:is>
      </x:c>
      <x:c r="B26" s="31" t="inlineStr">
        <x:is>
          <x:t xml:space="preserve">Федоров Кирилл Николаевич</x:t>
        </x:is>
      </x:c>
      <x:c r="C26" s="31" t="inlineStr">
        <x:is>
          <x:t xml:space="preserve">Инженер-конструктор</x:t>
        </x:is>
      </x:c>
      <x:c r="D26" s="31" t="inlineStr">
        <x:is>
          <x:t xml:space="preserve">ПОДР-003</x:t>
        </x:is>
      </x:c>
      <x:c r="E26" s="31" t="inlineStr">
        <x:is>
          <x:t xml:space="preserve">Инженер-конструктор</x:t>
        </x:is>
      </x:c>
      <x:c r="F26" s="31" t="inlineStr">
        <x:is>
          <x:t xml:space="preserve">Активен</x:t>
        </x:is>
      </x:c>
      <x:c r="G26" s="31" t="n">
        <x:v>139341</x:v>
      </x:c>
      <x:c r="H26" s="31" t="inlineStr">
        <x:is>
          <x:t xml:space="preserve">e014@severtech-komplekt.ru</x:t>
        </x:is>
      </x:c>
      <x:c r="I26" s="31" t="n">
        <x:v>45701</x:v>
      </x:c>
      <x:c r="J26" s="31" t="n">
        <x:v>45827</x:v>
      </x:c>
      <x:c r="K26" s="31" t="inlineStr">
        <x:is>
          <x:t xml:space="preserve">Штат</x:t>
        </x:is>
      </x:c>
      <x:c r="L26" s="31" t="inlineStr">
        <x:is>
          <x:t xml:space="preserve">Основное место</x:t>
        </x:is>
      </x:c>
    </x:row>
    <x:row r="27" ht="18" customHeight="1">
      <x:c r="A27" s="31" t="inlineStr">
        <x:is>
          <x:t xml:space="preserve">СОТР-015</x:t>
        </x:is>
      </x:c>
      <x:c r="B27" s="31" t="inlineStr">
        <x:is>
          <x:t xml:space="preserve">Зайцев Ирина Михайлович</x:t>
        </x:is>
      </x:c>
      <x:c r="C27" s="31" t="inlineStr">
        <x:is>
          <x:t xml:space="preserve">Инженер-технолог</x:t>
        </x:is>
      </x:c>
      <x:c r="D27" s="31" t="inlineStr">
        <x:is>
          <x:t xml:space="preserve">ПОДР-003</x:t>
        </x:is>
      </x:c>
      <x:c r="E27" s="31" t="inlineStr">
        <x:is>
          <x:t xml:space="preserve">Инженер-конструктор</x:t>
        </x:is>
      </x:c>
      <x:c r="F27" s="31" t="inlineStr">
        <x:is>
          <x:t xml:space="preserve">Активен</x:t>
        </x:is>
      </x:c>
      <x:c r="G27" s="31" t="n">
        <x:v>83301</x:v>
      </x:c>
      <x:c r="H27" s="31" t="inlineStr">
        <x:is>
          <x:t xml:space="preserve">e015@severtech-komplekt.ru</x:t>
        </x:is>
      </x:c>
      <x:c r="I27" s="31" t="n">
        <x:v>44736</x:v>
      </x:c>
      <x:c r="J27" s="31" t="n">
        <x:v>45953</x:v>
      </x:c>
      <x:c r="K27" s="31" t="inlineStr">
        <x:is>
          <x:t xml:space="preserve">Штат</x:t>
        </x:is>
      </x:c>
      <x:c r="L27" s="31" t="inlineStr">
        <x:is>
          <x:t xml:space="preserve">Основное место</x:t>
        </x:is>
      </x:c>
    </x:row>
    <x:row r="28" ht="18" customHeight="1">
      <x:c r="A28" s="31" t="inlineStr">
        <x:is>
          <x:t xml:space="preserve">СОТР-016</x:t>
        </x:is>
      </x:c>
      <x:c r="B28" s="31" t="inlineStr">
        <x:is>
          <x:t xml:space="preserve">Голубев Юлия Владимирович</x:t>
        </x:is>
      </x:c>
      <x:c r="C28" s="31" t="inlineStr">
        <x:is>
          <x:t xml:space="preserve">Инженер-технолог</x:t>
        </x:is>
      </x:c>
      <x:c r="D28" s="31" t="inlineStr">
        <x:is>
          <x:t xml:space="preserve">ПОДР-003</x:t>
        </x:is>
      </x:c>
      <x:c r="E28" s="31" t="inlineStr">
        <x:is>
          <x:t xml:space="preserve">Инженер-конструктор</x:t>
        </x:is>
      </x:c>
      <x:c r="F28" s="31" t="inlineStr">
        <x:is>
          <x:t xml:space="preserve">Активен</x:t>
        </x:is>
      </x:c>
      <x:c r="G28" s="31" t="n">
        <x:v>83131</x:v>
      </x:c>
      <x:c r="H28" s="31" t="inlineStr">
        <x:is>
          <x:t xml:space="preserve">e016@severtech-komplekt.ru</x:t>
        </x:is>
      </x:c>
      <x:c r="I28" s="31" t="n">
        <x:v>45274</x:v>
      </x:c>
      <x:c r="J28" s="31" t="n">
        <x:v>45918</x:v>
      </x:c>
      <x:c r="K28" s="31" t="inlineStr">
        <x:is>
          <x:t xml:space="preserve">Штат</x:t>
        </x:is>
      </x:c>
      <x:c r="L28" s="31" t="inlineStr">
        <x:is>
          <x:t xml:space="preserve">Основное место</x:t>
        </x:is>
      </x:c>
    </x:row>
    <x:row r="29" ht="18" customHeight="1">
      <x:c r="A29" s="31" t="inlineStr">
        <x:is>
          <x:t xml:space="preserve">СОТР-017</x:t>
        </x:is>
      </x:c>
      <x:c r="B29" s="31" t="inlineStr">
        <x:is>
          <x:t xml:space="preserve">Соколов Дмитрий Андреевна</x:t>
        </x:is>
      </x:c>
      <x:c r="C29" s="31" t="inlineStr">
        <x:is>
          <x:t xml:space="preserve">Инженер-конструктор</x:t>
        </x:is>
      </x:c>
      <x:c r="D29" s="31" t="inlineStr">
        <x:is>
          <x:t xml:space="preserve">ПОДР-003</x:t>
        </x:is>
      </x:c>
      <x:c r="E29" s="31" t="inlineStr">
        <x:is>
          <x:t xml:space="preserve">Инженер-конструктор</x:t>
        </x:is>
      </x:c>
      <x:c r="F29" s="31" t="inlineStr">
        <x:is>
          <x:t xml:space="preserve">Активен</x:t>
        </x:is>
      </x:c>
      <x:c r="G29" s="31" t="n">
        <x:v>154192</x:v>
      </x:c>
      <x:c r="H29" s="31" t="inlineStr">
        <x:is>
          <x:t xml:space="preserve">e017@severtech-komplekt.ru</x:t>
        </x:is>
      </x:c>
      <x:c r="I29" s="31" t="n">
        <x:v>45095</x:v>
      </x:c>
      <x:c r="J29" s="31" t="n">
        <x:v>45971</x:v>
      </x:c>
      <x:c r="K29" s="31" t="inlineStr">
        <x:is>
          <x:t xml:space="preserve">Штат</x:t>
        </x:is>
      </x:c>
      <x:c r="L29" s="31" t="inlineStr">
        <x:is>
          <x:t xml:space="preserve">Основное место</x:t>
        </x:is>
      </x:c>
    </x:row>
    <x:row r="30" ht="18" customHeight="1">
      <x:c r="A30" s="31" t="inlineStr">
        <x:is>
          <x:t xml:space="preserve">СОТР-019</x:t>
        </x:is>
      </x:c>
      <x:c r="B30" s="31" t="inlineStr">
        <x:is>
          <x:t xml:space="preserve">Попов Кирилл Павлович</x:t>
        </x:is>
      </x:c>
      <x:c r="C30" s="31" t="inlineStr">
        <x:is>
          <x:t xml:space="preserve">Инженер-технолог</x:t>
        </x:is>
      </x:c>
      <x:c r="D30" s="31" t="inlineStr">
        <x:is>
          <x:t xml:space="preserve">ПОДР-003</x:t>
        </x:is>
      </x:c>
      <x:c r="E30" s="31" t="inlineStr">
        <x:is>
          <x:t xml:space="preserve">Инженер-конструктор</x:t>
        </x:is>
      </x:c>
      <x:c r="F30" s="31" t="inlineStr">
        <x:is>
          <x:t xml:space="preserve">Больничный</x:t>
        </x:is>
      </x:c>
      <x:c r="G30" s="31" t="n">
        <x:v>66504</x:v>
      </x:c>
      <x:c r="H30" s="31" t="inlineStr">
        <x:is>
          <x:t xml:space="preserve">e019@severtech-komplekt.ru</x:t>
        </x:is>
      </x:c>
      <x:c r="I30" s="31" t="n">
        <x:v>45624</x:v>
      </x:c>
      <x:c r="J30" s="31" t="n">
        <x:v>45724</x:v>
      </x:c>
      <x:c r="K30" s="31" t="inlineStr">
        <x:is>
          <x:t xml:space="preserve">Штат</x:t>
        </x:is>
      </x:c>
      <x:c r="L30" s="31" t="inlineStr">
        <x:is>
          <x:t xml:space="preserve">Основное место</x:t>
        </x:is>
      </x:c>
    </x:row>
    <x:row r="31" ht="18" customHeight="1">
      <x:c r="A31" s="31" t="inlineStr">
        <x:is>
          <x:t xml:space="preserve">СОТР-020</x:t>
        </x:is>
      </x:c>
      <x:c r="B31" s="31" t="inlineStr">
        <x:is>
          <x:t xml:space="preserve">Виноградов Ирина Ильич</x:t>
        </x:is>
      </x:c>
      <x:c r="C31" s="31" t="inlineStr">
        <x:is>
          <x:t xml:space="preserve">Инженер-конструктор</x:t>
        </x:is>
      </x:c>
      <x:c r="D31" s="31" t="inlineStr">
        <x:is>
          <x:t xml:space="preserve">ПОДР-003</x:t>
        </x:is>
      </x:c>
      <x:c r="E31" s="31" t="inlineStr">
        <x:is>
          <x:t xml:space="preserve">Инженер-конструктор</x:t>
        </x:is>
      </x:c>
      <x:c r="F31" s="31" t="inlineStr">
        <x:is>
          <x:t xml:space="preserve">Активен</x:t>
        </x:is>
      </x:c>
      <x:c r="G31" s="31" t="n">
        <x:v>124470</x:v>
      </x:c>
      <x:c r="H31" s="31" t="inlineStr">
        <x:is>
          <x:t xml:space="preserve">e020@severtech-komplekt.ru</x:t>
        </x:is>
      </x:c>
      <x:c r="I31" s="31" t="n">
        <x:v>44237</x:v>
      </x:c>
      <x:c r="J31" s="31" t="n">
        <x:v>45800</x:v>
      </x:c>
      <x:c r="K31" s="31" t="inlineStr">
        <x:is>
          <x:t xml:space="preserve">Штат</x:t>
        </x:is>
      </x:c>
      <x:c r="L31" s="31" t="inlineStr">
        <x:is>
          <x:t xml:space="preserve">Основное место</x:t>
        </x:is>
      </x:c>
    </x:row>
    <x:row r="32" ht="18" customHeight="1">
      <x:c r="A32" s="31" t="inlineStr">
        <x:is>
          <x:t xml:space="preserve">СОТР-021</x:t>
        </x:is>
      </x:c>
      <x:c r="B32" s="31" t="inlineStr">
        <x:is>
          <x:t xml:space="preserve">Титов Илья Олегович</x:t>
        </x:is>
      </x:c>
      <x:c r="C32" s="31" t="inlineStr">
        <x:is>
          <x:t xml:space="preserve">Инженер-конструктор</x:t>
        </x:is>
      </x:c>
      <x:c r="D32" s="31" t="inlineStr">
        <x:is>
          <x:t xml:space="preserve">ПОДР-003</x:t>
        </x:is>
      </x:c>
      <x:c r="E32" s="31" t="inlineStr">
        <x:is>
          <x:t xml:space="preserve">Инженер-конструктор</x:t>
        </x:is>
      </x:c>
      <x:c r="F32" s="31" t="inlineStr">
        <x:is>
          <x:t xml:space="preserve">Активен</x:t>
        </x:is>
      </x:c>
      <x:c r="G32" s="31" t="n">
        <x:v>131540</x:v>
      </x:c>
      <x:c r="H32" s="31" t="inlineStr">
        <x:is>
          <x:t xml:space="preserve">e021@severtech-komplekt.ru</x:t>
        </x:is>
      </x:c>
      <x:c r="I32" s="31" t="n">
        <x:v>45478</x:v>
      </x:c>
      <x:c r="J32" s="31" t="n">
        <x:v>45767</x:v>
      </x:c>
      <x:c r="K32" s="31" t="inlineStr">
        <x:is>
          <x:t xml:space="preserve">Штат</x:t>
        </x:is>
      </x:c>
      <x:c r="L32" s="31" t="inlineStr">
        <x:is>
          <x:t xml:space="preserve">Основное место</x:t>
        </x:is>
      </x:c>
    </x:row>
    <x:row r="33" ht="18" customHeight="1">
      <x:c r="A33" s="31" t="inlineStr">
        <x:is>
          <x:t xml:space="preserve">СОТР-022</x:t>
        </x:is>
      </x:c>
      <x:c r="B33" s="31" t="inlineStr">
        <x:is>
          <x:t xml:space="preserve">Морозов Роман Сергеевна</x:t>
        </x:is>
      </x:c>
      <x:c r="C33" s="31" t="inlineStr">
        <x:is>
          <x:t xml:space="preserve">Специалист по закупкам</x:t>
        </x:is>
      </x:c>
      <x:c r="D33" s="31" t="inlineStr">
        <x:is>
          <x:t xml:space="preserve">ПОДР-004</x:t>
        </x:is>
      </x:c>
      <x:c r="E33" s="31" t="inlineStr">
        <x:is>
          <x:t xml:space="preserve">Специалист снабжения</x:t>
        </x:is>
      </x:c>
      <x:c r="F33" s="31" t="inlineStr">
        <x:is>
          <x:t xml:space="preserve">Активен</x:t>
        </x:is>
      </x:c>
      <x:c r="G33" s="31" t="n">
        <x:v>129042</x:v>
      </x:c>
      <x:c r="H33" s="31" t="inlineStr">
        <x:is>
          <x:t xml:space="preserve">e022@severtech-komplekt.ru</x:t>
        </x:is>
      </x:c>
      <x:c r="I33" s="31" t="n">
        <x:v>44270</x:v>
      </x:c>
      <x:c r="J33" s="31" t="n">
        <x:v>45723</x:v>
      </x:c>
      <x:c r="K33" s="31" t="inlineStr">
        <x:is>
          <x:t xml:space="preserve">Штат</x:t>
        </x:is>
      </x:c>
      <x:c r="L33" s="31" t="inlineStr">
        <x:is>
          <x:t xml:space="preserve">Основное место</x:t>
        </x:is>
      </x:c>
    </x:row>
    <x:row r="34" ht="18" customHeight="1">
      <x:c r="A34" s="31" t="inlineStr">
        <x:is>
          <x:t xml:space="preserve">СОТР-023</x:t>
        </x:is>
      </x:c>
      <x:c r="B34" s="31" t="inlineStr">
        <x:is>
          <x:t xml:space="preserve">Тарасов Антон Андреевич</x:t>
        </x:is>
      </x:c>
      <x:c r="C34" s="31" t="inlineStr">
        <x:is>
          <x:t xml:space="preserve">Специалист по закупкам</x:t>
        </x:is>
      </x:c>
      <x:c r="D34" s="31" t="inlineStr">
        <x:is>
          <x:t xml:space="preserve">ПОДР-004</x:t>
        </x:is>
      </x:c>
      <x:c r="E34" s="31" t="inlineStr">
        <x:is>
          <x:t xml:space="preserve">Специалист снабжения</x:t>
        </x:is>
      </x:c>
      <x:c r="F34" s="31" t="inlineStr">
        <x:is>
          <x:t xml:space="preserve">Активен</x:t>
        </x:is>
      </x:c>
      <x:c r="G34" s="31" t="n">
        <x:v>75322</x:v>
      </x:c>
      <x:c r="H34" s="31" t="inlineStr">
        <x:is>
          <x:t xml:space="preserve">e023@severtech-komplekt.ru</x:t>
        </x:is>
      </x:c>
      <x:c r="I34" s="31" t="n">
        <x:v>44406</x:v>
      </x:c>
      <x:c r="J34" s="31" t="n">
        <x:v>45914</x:v>
      </x:c>
      <x:c r="K34" s="31" t="inlineStr">
        <x:is>
          <x:t xml:space="preserve">Штат</x:t>
        </x:is>
      </x:c>
      <x:c r="L34" s="31" t="inlineStr">
        <x:is>
          <x:t xml:space="preserve">Основное место</x:t>
        </x:is>
      </x:c>
    </x:row>
    <x:row r="35" ht="18" customHeight="1">
      <x:c r="A35" s="31" t="inlineStr">
        <x:is>
          <x:t xml:space="preserve">СОТР-025</x:t>
        </x:is>
      </x:c>
      <x:c r="B35" s="31" t="inlineStr">
        <x:is>
          <x:t xml:space="preserve">Попов Анна Сергеевна</x:t>
        </x:is>
      </x:c>
      <x:c r="C35" s="31" t="inlineStr">
        <x:is>
          <x:t xml:space="preserve">Специалист по закупкам</x:t>
        </x:is>
      </x:c>
      <x:c r="D35" s="31" t="inlineStr">
        <x:is>
          <x:t xml:space="preserve">ПОДР-004</x:t>
        </x:is>
      </x:c>
      <x:c r="E35" s="31" t="inlineStr">
        <x:is>
          <x:t xml:space="preserve">Специалист снабжения</x:t>
        </x:is>
      </x:c>
      <x:c r="F35" s="31" t="inlineStr">
        <x:is>
          <x:t xml:space="preserve">Активен</x:t>
        </x:is>
      </x:c>
      <x:c r="G35" s="31" t="n">
        <x:v>137063</x:v>
      </x:c>
      <x:c r="H35" s="31" t="inlineStr">
        <x:is>
          <x:t xml:space="preserve">e025@severtech-komplekt.ru</x:t>
        </x:is>
      </x:c>
      <x:c r="I35" s="31" t="n">
        <x:v>44569</x:v>
      </x:c>
      <x:c r="J35" s="31" t="n">
        <x:v>45801</x:v>
      </x:c>
      <x:c r="K35" s="31" t="inlineStr">
        <x:is>
          <x:t xml:space="preserve">Штат</x:t>
        </x:is>
      </x:c>
      <x:c r="L35" s="31" t="inlineStr">
        <x:is>
          <x:t xml:space="preserve">Основное место</x:t>
        </x:is>
      </x:c>
    </x:row>
    <x:row r="36" ht="18" customHeight="1">
      <x:c r="A36" s="31" t="inlineStr">
        <x:is>
          <x:t xml:space="preserve">СОТР-026</x:t>
        </x:is>
      </x:c>
      <x:c r="B36" s="31" t="inlineStr">
        <x:is>
          <x:t xml:space="preserve">Крылов Наталья Павлович</x:t>
        </x:is>
      </x:c>
      <x:c r="C36" s="31" t="inlineStr">
        <x:is>
          <x:t xml:space="preserve">Специалист по закупкам</x:t>
        </x:is>
      </x:c>
      <x:c r="D36" s="31" t="inlineStr">
        <x:is>
          <x:t xml:space="preserve">ПОДР-004</x:t>
        </x:is>
      </x:c>
      <x:c r="E36" s="31" t="inlineStr">
        <x:is>
          <x:t xml:space="preserve">Специалист снабжения</x:t>
        </x:is>
      </x:c>
      <x:c r="F36" s="31" t="inlineStr">
        <x:is>
          <x:t xml:space="preserve">Активен</x:t>
        </x:is>
      </x:c>
      <x:c r="G36" s="31" t="n">
        <x:v>117296</x:v>
      </x:c>
      <x:c r="H36" s="31" t="inlineStr">
        <x:is>
          <x:t xml:space="preserve">e026@severtech-komplekt.ru</x:t>
        </x:is>
      </x:c>
      <x:c r="I36" s="31" t="n">
        <x:v>45606</x:v>
      </x:c>
      <x:c r="J36" s="31" t="n">
        <x:v>45998</x:v>
      </x:c>
      <x:c r="K36" s="31" t="inlineStr">
        <x:is>
          <x:t xml:space="preserve">Штат</x:t>
        </x:is>
      </x:c>
      <x:c r="L36" s="31" t="inlineStr">
        <x:is>
          <x:t xml:space="preserve">Основное место</x:t>
        </x:is>
      </x:c>
    </x:row>
    <x:row r="37" ht="18" customHeight="1">
      <x:c r="A37" s="31" t="inlineStr">
        <x:is>
          <x:t xml:space="preserve">СОТР-027</x:t>
        </x:is>
      </x:c>
      <x:c r="B37" s="31" t="inlineStr">
        <x:is>
          <x:t xml:space="preserve">Тарасов Иван Николаевна</x:t>
        </x:is>
      </x:c>
      <x:c r="C37" s="31" t="inlineStr">
        <x:is>
          <x:t xml:space="preserve">Категорийный менеджер</x:t>
        </x:is>
      </x:c>
      <x:c r="D37" s="31" t="inlineStr">
        <x:is>
          <x:t xml:space="preserve">ПОДР-004</x:t>
        </x:is>
      </x:c>
      <x:c r="E37" s="31" t="inlineStr">
        <x:is>
          <x:t xml:space="preserve">Специалист снабжения</x:t>
        </x:is>
      </x:c>
      <x:c r="F37" s="31" t="inlineStr">
        <x:is>
          <x:t xml:space="preserve">Активен</x:t>
        </x:is>
      </x:c>
      <x:c r="G37" s="31" t="n">
        <x:v>73392</x:v>
      </x:c>
      <x:c r="H37" s="31" t="inlineStr">
        <x:is>
          <x:t xml:space="preserve">e027@severtech-komplekt.ru</x:t>
        </x:is>
      </x:c>
      <x:c r="I37" s="31" t="n">
        <x:v>44923</x:v>
      </x:c>
      <x:c r="J37" s="31" t="n">
        <x:v>45676</x:v>
      </x:c>
      <x:c r="K37" s="31" t="inlineStr">
        <x:is>
          <x:t xml:space="preserve">Штат</x:t>
        </x:is>
      </x:c>
      <x:c r="L37" s="31" t="inlineStr">
        <x:is>
          <x:t xml:space="preserve">Основное место</x:t>
        </x:is>
      </x:c>
    </x:row>
    <x:row r="38" ht="18" customHeight="1">
      <x:c r="A38" s="31" t="inlineStr">
        <x:is>
          <x:t xml:space="preserve">СОТР-028</x:t>
        </x:is>
      </x:c>
      <x:c r="B38" s="31" t="inlineStr">
        <x:is>
          <x:t xml:space="preserve">Павлов Ольга Андреевич</x:t>
        </x:is>
      </x:c>
      <x:c r="C38" s="31" t="inlineStr">
        <x:is>
          <x:t xml:space="preserve">Специалист по закупкам</x:t>
        </x:is>
      </x:c>
      <x:c r="D38" s="31" t="inlineStr">
        <x:is>
          <x:t xml:space="preserve">ПОДР-004</x:t>
        </x:is>
      </x:c>
      <x:c r="E38" s="31" t="inlineStr">
        <x:is>
          <x:t xml:space="preserve">Специалист снабжения</x:t>
        </x:is>
      </x:c>
      <x:c r="F38" s="31" t="inlineStr">
        <x:is>
          <x:t xml:space="preserve">Активен</x:t>
        </x:is>
      </x:c>
      <x:c r="G38" s="31" t="n">
        <x:v>72716</x:v>
      </x:c>
      <x:c r="H38" s="31" t="inlineStr">
        <x:is>
          <x:t xml:space="preserve">e028@severtech-komplekt.ru</x:t>
        </x:is>
      </x:c>
      <x:c r="I38" s="31" t="n">
        <x:v>44699</x:v>
      </x:c>
      <x:c r="J38" s="31" t="n">
        <x:v>45700</x:v>
      </x:c>
      <x:c r="K38" s="31" t="inlineStr">
        <x:is>
          <x:t xml:space="preserve">Штат</x:t>
        </x:is>
      </x:c>
      <x:c r="L38" s="31" t="inlineStr">
        <x:is>
          <x:t xml:space="preserve">Основное место</x:t>
        </x:is>
      </x:c>
    </x:row>
    <x:row r="39" ht="18" customHeight="1">
      <x:c r="A39" s="31" t="inlineStr">
        <x:is>
          <x:t xml:space="preserve">СОТР-029</x:t>
        </x:is>
      </x:c>
      <x:c r="B39" s="31" t="inlineStr">
        <x:is>
          <x:t xml:space="preserve">Смирнов Владимир Дмитриевич</x:t>
        </x:is>
      </x:c>
      <x:c r="C39" s="31" t="inlineStr">
        <x:is>
          <x:t xml:space="preserve">Специалист по закупкам</x:t>
        </x:is>
      </x:c>
      <x:c r="D39" s="31" t="inlineStr">
        <x:is>
          <x:t xml:space="preserve">ПОДР-004</x:t>
        </x:is>
      </x:c>
      <x:c r="E39" s="31" t="inlineStr">
        <x:is>
          <x:t xml:space="preserve">Специалист снабжения</x:t>
        </x:is>
      </x:c>
      <x:c r="F39" s="31" t="inlineStr">
        <x:is>
          <x:t xml:space="preserve">Активен</x:t>
        </x:is>
      </x:c>
      <x:c r="G39" s="31" t="n">
        <x:v>93080</x:v>
      </x:c>
      <x:c r="H39" s="31" t="inlineStr">
        <x:is>
          <x:t xml:space="preserve">e029@severtech-komplekt.ru</x:t>
        </x:is>
      </x:c>
      <x:c r="I39" s="31" t="n">
        <x:v>45335</x:v>
      </x:c>
      <x:c r="J39" s="31" t="n">
        <x:v>45733</x:v>
      </x:c>
      <x:c r="K39" s="31" t="inlineStr">
        <x:is>
          <x:t xml:space="preserve">Штат</x:t>
        </x:is>
      </x:c>
      <x:c r="L39" s="31" t="inlineStr">
        <x:is>
          <x:t xml:space="preserve">Основное место</x:t>
        </x:is>
      </x:c>
    </x:row>
    <x:row r="40" ht="18" customHeight="1">
      <x:c r="A40" s="31" t="inlineStr">
        <x:is>
          <x:t xml:space="preserve">СОТР-033</x:t>
        </x:is>
      </x:c>
      <x:c r="B40" s="31" t="inlineStr">
        <x:is>
          <x:t xml:space="preserve">Ильин Егор Сергеевна</x:t>
        </x:is>
      </x:c>
      <x:c r="C40" s="31" t="inlineStr">
        <x:is>
          <x:t xml:space="preserve">Комплектовщик</x:t>
        </x:is>
      </x:c>
      <x:c r="D40" s="31" t="inlineStr">
        <x:is>
          <x:t xml:space="preserve">ПОДР-005</x:t>
        </x:is>
      </x:c>
      <x:c r="E40" s="31" t="inlineStr">
        <x:is>
          <x:t xml:space="preserve">Кладовщик</x:t>
        </x:is>
      </x:c>
      <x:c r="F40" s="31" t="inlineStr">
        <x:is>
          <x:t xml:space="preserve">Активен</x:t>
        </x:is>
      </x:c>
      <x:c r="G40" s="31" t="n">
        <x:v>77704</x:v>
      </x:c>
      <x:c r="H40" s="31" t="inlineStr">
        <x:is>
          <x:t xml:space="preserve">e033@severtech-komplekt.ru</x:t>
        </x:is>
      </x:c>
      <x:c r="I40" s="31" t="n">
        <x:v>45580</x:v>
      </x:c>
      <x:c r="J40" s="31" t="n">
        <x:v>45886</x:v>
      </x:c>
      <x:c r="K40" s="31" t="inlineStr">
        <x:is>
          <x:t xml:space="preserve">Штат</x:t>
        </x:is>
      </x:c>
      <x:c r="L40" s="31" t="inlineStr">
        <x:is>
          <x:t xml:space="preserve">Основное место</x:t>
        </x:is>
      </x:c>
    </x:row>
    <x:row r="41" ht="18" customHeight="1">
      <x:c r="A41" s="31" t="inlineStr">
        <x:is>
          <x:t xml:space="preserve">СОТР-034</x:t>
        </x:is>
      </x:c>
      <x:c r="B41" s="31" t="inlineStr">
        <x:is>
          <x:t xml:space="preserve">Беляев Олег Павлович</x:t>
        </x:is>
      </x:c>
      <x:c r="C41" s="31" t="inlineStr">
        <x:is>
          <x:t xml:space="preserve">Комплектовщик</x:t>
        </x:is>
      </x:c>
      <x:c r="D41" s="31" t="inlineStr">
        <x:is>
          <x:t xml:space="preserve">ПОДР-005</x:t>
        </x:is>
      </x:c>
      <x:c r="E41" s="31" t="inlineStr">
        <x:is>
          <x:t xml:space="preserve">Кладовщик</x:t>
        </x:is>
      </x:c>
      <x:c r="F41" s="31" t="inlineStr">
        <x:is>
          <x:t xml:space="preserve">Активен</x:t>
        </x:is>
      </x:c>
      <x:c r="G41" s="31" t="n">
        <x:v>149696</x:v>
      </x:c>
      <x:c r="H41" s="31" t="inlineStr">
        <x:is>
          <x:t xml:space="preserve">e034@severtech-komplekt.ru</x:t>
        </x:is>
      </x:c>
      <x:c r="I41" s="31" t="n">
        <x:v>44432</x:v>
      </x:c>
      <x:c r="J41" s="31" t="n">
        <x:v>45697</x:v>
      </x:c>
      <x:c r="K41" s="31" t="inlineStr">
        <x:is>
          <x:t xml:space="preserve">Штат</x:t>
        </x:is>
      </x:c>
      <x:c r="L41" s="31" t="inlineStr">
        <x:is>
          <x:t xml:space="preserve">Основное место</x:t>
        </x:is>
      </x:c>
    </x:row>
    <x:row r="42" ht="18" customHeight="1">
      <x:c r="A42" s="31" t="inlineStr">
        <x:is>
          <x:t xml:space="preserve">СОТР-035</x:t>
        </x:is>
      </x:c>
      <x:c r="B42" s="31" t="inlineStr">
        <x:is>
          <x:t xml:space="preserve">Орлов Юлия Ильич</x:t>
        </x:is>
      </x:c>
      <x:c r="C42" s="31" t="inlineStr">
        <x:is>
          <x:t xml:space="preserve">Кладовщик</x:t>
        </x:is>
      </x:c>
      <x:c r="D42" s="31" t="inlineStr">
        <x:is>
          <x:t xml:space="preserve">ПОДР-005</x:t>
        </x:is>
      </x:c>
      <x:c r="E42" s="31" t="inlineStr">
        <x:is>
          <x:t xml:space="preserve">Кладовщик</x:t>
        </x:is>
      </x:c>
      <x:c r="F42" s="31" t="inlineStr">
        <x:is>
          <x:t xml:space="preserve">Активен</x:t>
        </x:is>
      </x:c>
      <x:c r="G42" s="31" t="n">
        <x:v>135292</x:v>
      </x:c>
      <x:c r="H42" s="31" t="inlineStr">
        <x:is>
          <x:t xml:space="preserve">e035@severtech-komplekt.ru</x:t>
        </x:is>
      </x:c>
      <x:c r="I42" s="31" t="n">
        <x:v>45149</x:v>
      </x:c>
      <x:c r="J42" s="31" t="n">
        <x:v>45737</x:v>
      </x:c>
      <x:c r="K42" s="31" t="inlineStr">
        <x:is>
          <x:t xml:space="preserve">Штат</x:t>
        </x:is>
      </x:c>
      <x:c r="L42" s="31" t="inlineStr">
        <x:is>
          <x:t xml:space="preserve">Основное место</x:t>
        </x:is>
      </x:c>
    </x:row>
    <x:row r="43" ht="18" customHeight="1">
      <x:c r="A43" s="31" t="inlineStr">
        <x:is>
          <x:t xml:space="preserve">СОТР-036</x:t>
        </x:is>
      </x:c>
      <x:c r="B43" s="31" t="inlineStr">
        <x:is>
          <x:t xml:space="preserve">Макаров Илья Николаевич</x:t>
        </x:is>
      </x:c>
      <x:c r="C43" s="31" t="inlineStr">
        <x:is>
          <x:t xml:space="preserve">Комплектовщик</x:t>
        </x:is>
      </x:c>
      <x:c r="D43" s="31" t="inlineStr">
        <x:is>
          <x:t xml:space="preserve">ПОДР-005</x:t>
        </x:is>
      </x:c>
      <x:c r="E43" s="31" t="inlineStr">
        <x:is>
          <x:t xml:space="preserve">Кладовщик</x:t>
        </x:is>
      </x:c>
      <x:c r="F43" s="31" t="inlineStr">
        <x:is>
          <x:t xml:space="preserve">Активен</x:t>
        </x:is>
      </x:c>
      <x:c r="G43" s="31" t="n">
        <x:v>74880</x:v>
      </x:c>
      <x:c r="H43" s="31" t="inlineStr">
        <x:is>
          <x:t xml:space="preserve">e036@severtech-komplekt.ru</x:t>
        </x:is>
      </x:c>
      <x:c r="I43" s="31" t="n">
        <x:v>45138</x:v>
      </x:c>
      <x:c r="J43" s="31" t="n">
        <x:v>45947</x:v>
      </x:c>
      <x:c r="K43" s="31" t="inlineStr">
        <x:is>
          <x:t xml:space="preserve">Штат</x:t>
        </x:is>
      </x:c>
      <x:c r="L43" s="31" t="inlineStr">
        <x:is>
          <x:t xml:space="preserve">Основное место</x:t>
        </x:is>
      </x:c>
    </x:row>
    <x:row r="44" ht="18" customHeight="1">
      <x:c r="A44" s="31" t="inlineStr">
        <x:is>
          <x:t xml:space="preserve">СОТР-037</x:t>
        </x:is>
      </x:c>
      <x:c r="B44" s="31" t="inlineStr">
        <x:is>
          <x:t xml:space="preserve">Лебедев Дмитрий Алексеевна</x:t>
        </x:is>
      </x:c>
      <x:c r="C44" s="31" t="inlineStr">
        <x:is>
          <x:t xml:space="preserve">Кладовщик</x:t>
        </x:is>
      </x:c>
      <x:c r="D44" s="31" t="inlineStr">
        <x:is>
          <x:t xml:space="preserve">ПОДР-005</x:t>
        </x:is>
      </x:c>
      <x:c r="E44" s="31" t="inlineStr">
        <x:is>
          <x:t xml:space="preserve">Кладовщик</x:t>
        </x:is>
      </x:c>
      <x:c r="F44" s="31" t="inlineStr">
        <x:is>
          <x:t xml:space="preserve">Отпуск</x:t>
        </x:is>
      </x:c>
      <x:c r="G44" s="31" t="n">
        <x:v>95982</x:v>
      </x:c>
      <x:c r="H44" s="31" t="inlineStr">
        <x:is>
          <x:t xml:space="preserve">e037@severtech-komplekt.ru</x:t>
        </x:is>
      </x:c>
      <x:c r="I44" s="31" t="n">
        <x:v>44571</x:v>
      </x:c>
      <x:c r="J44" s="31" t="n">
        <x:v>45874</x:v>
      </x:c>
      <x:c r="K44" s="31" t="inlineStr">
        <x:is>
          <x:t xml:space="preserve">Штат</x:t>
        </x:is>
      </x:c>
      <x:c r="L44" s="31" t="inlineStr">
        <x:is>
          <x:t xml:space="preserve">Основное место</x:t>
        </x:is>
      </x:c>
    </x:row>
    <x:row r="45" ht="18" customHeight="1">
      <x:c r="A45" s="31" t="inlineStr">
        <x:is>
          <x:t xml:space="preserve">СОТР-038</x:t>
        </x:is>
      </x:c>
      <x:c r="B45" s="31" t="inlineStr">
        <x:is>
          <x:t xml:space="preserve">Гусев Мария Андреевич</x:t>
        </x:is>
      </x:c>
      <x:c r="C45" s="31" t="inlineStr">
        <x:is>
          <x:t xml:space="preserve">Комплектовщик</x:t>
        </x:is>
      </x:c>
      <x:c r="D45" s="31" t="inlineStr">
        <x:is>
          <x:t xml:space="preserve">ПОДР-005</x:t>
        </x:is>
      </x:c>
      <x:c r="E45" s="31" t="inlineStr">
        <x:is>
          <x:t xml:space="preserve">Кладовщик</x:t>
        </x:is>
      </x:c>
      <x:c r="F45" s="31" t="inlineStr">
        <x:is>
          <x:t xml:space="preserve">Активен</x:t>
        </x:is>
      </x:c>
      <x:c r="G45" s="31" t="n">
        <x:v>65282</x:v>
      </x:c>
      <x:c r="H45" s="31" t="inlineStr">
        <x:is>
          <x:t xml:space="preserve">e038@severtech-komplekt.ru</x:t>
        </x:is>
      </x:c>
      <x:c r="I45" s="31" t="n">
        <x:v>45030</x:v>
      </x:c>
      <x:c r="J45" s="31" t="n">
        <x:v>45801</x:v>
      </x:c>
      <x:c r="K45" s="31" t="inlineStr">
        <x:is>
          <x:t xml:space="preserve">Штат</x:t>
        </x:is>
      </x:c>
      <x:c r="L45" s="31" t="inlineStr">
        <x:is>
          <x:t xml:space="preserve">Основное место</x:t>
        </x:is>
      </x:c>
    </x:row>
    <x:row r="46" ht="18" customHeight="1">
      <x:c r="A46" s="31" t="inlineStr">
        <x:is>
          <x:t xml:space="preserve">СОТР-039</x:t>
        </x:is>
      </x:c>
      <x:c r="B46" s="31" t="inlineStr">
        <x:is>
          <x:t xml:space="preserve">Ковалев Антон Павлович</x:t>
        </x:is>
      </x:c>
      <x:c r="C46" s="31" t="inlineStr">
        <x:is>
          <x:t xml:space="preserve">Комплектовщик</x:t>
        </x:is>
      </x:c>
      <x:c r="D46" s="31" t="inlineStr">
        <x:is>
          <x:t xml:space="preserve">ПОДР-005</x:t>
        </x:is>
      </x:c>
      <x:c r="E46" s="31" t="inlineStr">
        <x:is>
          <x:t xml:space="preserve">Кладовщик</x:t>
        </x:is>
      </x:c>
      <x:c r="F46" s="31" t="inlineStr">
        <x:is>
          <x:t xml:space="preserve">Активен</x:t>
        </x:is>
      </x:c>
      <x:c r="G46" s="31" t="n">
        <x:v>93534</x:v>
      </x:c>
      <x:c r="H46" s="31" t="inlineStr">
        <x:is>
          <x:t xml:space="preserve">e039@severtech-komplekt.ru</x:t>
        </x:is>
      </x:c>
      <x:c r="I46" s="31" t="n">
        <x:v>44350</x:v>
      </x:c>
      <x:c r="J46" s="31" t="n">
        <x:v>45962</x:v>
      </x:c>
      <x:c r="K46" s="31" t="inlineStr">
        <x:is>
          <x:t xml:space="preserve">Штат</x:t>
        </x:is>
      </x:c>
      <x:c r="L46" s="31" t="inlineStr">
        <x:is>
          <x:t xml:space="preserve">Основное место</x:t>
        </x:is>
      </x:c>
    </x:row>
    <x:row r="47" ht="18" customHeight="1">
      <x:c r="A47" s="31" t="inlineStr">
        <x:is>
          <x:t xml:space="preserve">СОТР-040</x:t>
        </x:is>
      </x:c>
      <x:c r="B47" s="31" t="inlineStr">
        <x:is>
          <x:t xml:space="preserve">Кузнецов Юлия Ильич</x:t>
        </x:is>
      </x:c>
      <x:c r="C47" s="31" t="inlineStr">
        <x:is>
          <x:t xml:space="preserve">Токарь</x:t>
        </x:is>
      </x:c>
      <x:c r="D47" s="31" t="inlineStr">
        <x:is>
          <x:t xml:space="preserve">ПОДР-007</x:t>
        </x:is>
      </x:c>
      <x:c r="E47" s="31" t="inlineStr">
        <x:is>
          <x:t xml:space="preserve">Рабочий</x:t>
        </x:is>
      </x:c>
      <x:c r="F47" s="31" t="inlineStr">
        <x:is>
          <x:t xml:space="preserve">Активен</x:t>
        </x:is>
      </x:c>
      <x:c r="G47" s="31" t="n">
        <x:v>117883</x:v>
      </x:c>
      <x:c r="H47" s="31" t="inlineStr">
        <x:is>
          <x:t xml:space="preserve">e040@severtech-komplekt.ru</x:t>
        </x:is>
      </x:c>
      <x:c r="I47" s="31" t="n">
        <x:v>45318</x:v>
      </x:c>
      <x:c r="J47" s="31" t="n">
        <x:v>45746</x:v>
      </x:c>
      <x:c r="K47" s="31" t="inlineStr">
        <x:is>
          <x:t xml:space="preserve">Штат</x:t>
        </x:is>
      </x:c>
      <x:c r="L47" s="31" t="inlineStr">
        <x:is>
          <x:t xml:space="preserve">Основное место</x:t>
        </x:is>
      </x:c>
    </x:row>
    <x:row r="48" ht="18" customHeight="1">
      <x:c r="A48" s="31" t="inlineStr">
        <x:is>
          <x:t xml:space="preserve">СОТР-041</x:t>
        </x:is>
      </x:c>
      <x:c r="B48" s="31" t="inlineStr">
        <x:is>
          <x:t xml:space="preserve">Кузнецов Екатерина Дмитриевич</x:t>
        </x:is>
      </x:c>
      <x:c r="C48" s="31" t="inlineStr">
        <x:is>
          <x:t xml:space="preserve">Токарь</x:t>
        </x:is>
      </x:c>
      <x:c r="D48" s="31" t="inlineStr">
        <x:is>
          <x:t xml:space="preserve">ПОДР-007</x:t>
        </x:is>
      </x:c>
      <x:c r="E48" s="31" t="inlineStr">
        <x:is>
          <x:t xml:space="preserve">Рабочий</x:t>
        </x:is>
      </x:c>
      <x:c r="F48" s="31" t="inlineStr">
        <x:is>
          <x:t xml:space="preserve">Активен</x:t>
        </x:is>
      </x:c>
      <x:c r="G48" s="31" t="n">
        <x:v>77414</x:v>
      </x:c>
      <x:c r="H48" s="31" t="inlineStr">
        <x:is>
          <x:t xml:space="preserve">e041@severtech-komplekt.ru</x:t>
        </x:is>
      </x:c>
      <x:c r="I48" s="31" t="n">
        <x:v>45057</x:v>
      </x:c>
      <x:c r="J48" s="31" t="n">
        <x:v>45727</x:v>
      </x:c>
      <x:c r="K48" s="31" t="inlineStr">
        <x:is>
          <x:t xml:space="preserve">Штат</x:t>
        </x:is>
      </x:c>
      <x:c r="L48" s="31" t="inlineStr">
        <x:is>
          <x:t xml:space="preserve">Основное место</x:t>
        </x:is>
      </x:c>
    </x:row>
    <x:row r="49" ht="18" customHeight="1">
      <x:c r="A49" s="31" t="inlineStr">
        <x:is>
          <x:t xml:space="preserve">СОТР-042</x:t>
        </x:is>
      </x:c>
      <x:c r="B49" s="31" t="inlineStr">
        <x:is>
          <x:t xml:space="preserve">Семенов Ольга Владимирович</x:t>
        </x:is>
      </x:c>
      <x:c r="C49" s="31" t="inlineStr">
        <x:is>
          <x:t xml:space="preserve">Токарь</x:t>
        </x:is>
      </x:c>
      <x:c r="D49" s="31" t="inlineStr">
        <x:is>
          <x:t xml:space="preserve">ПОДР-007</x:t>
        </x:is>
      </x:c>
      <x:c r="E49" s="31" t="inlineStr">
        <x:is>
          <x:t xml:space="preserve">Рабочий</x:t>
        </x:is>
      </x:c>
      <x:c r="F49" s="31" t="inlineStr">
        <x:is>
          <x:t xml:space="preserve">Активен</x:t>
        </x:is>
      </x:c>
      <x:c r="G49" s="31" t="n">
        <x:v>99042</x:v>
      </x:c>
      <x:c r="H49" s="31" t="inlineStr">
        <x:is>
          <x:t xml:space="preserve">e042@severtech-komplekt.ru</x:t>
        </x:is>
      </x:c>
      <x:c r="I49" s="31" t="n">
        <x:v>45301</x:v>
      </x:c>
      <x:c r="J49" s="31" t="n">
        <x:v>45827</x:v>
      </x:c>
      <x:c r="K49" s="31" t="inlineStr">
        <x:is>
          <x:t xml:space="preserve">Штат</x:t>
        </x:is>
      </x:c>
      <x:c r="L49" s="31" t="inlineStr">
        <x:is>
          <x:t xml:space="preserve">Основное место</x:t>
        </x:is>
      </x:c>
    </x:row>
    <x:row r="50" ht="18" customHeight="1">
      <x:c r="A50" s="31" t="inlineStr">
        <x:is>
          <x:t xml:space="preserve">СОТР-043</x:t>
        </x:is>
      </x:c>
      <x:c r="B50" s="31" t="inlineStr">
        <x:is>
          <x:t xml:space="preserve">Голубев Павел Алексеевна</x:t>
        </x:is>
      </x:c>
      <x:c r="C50" s="31" t="inlineStr">
        <x:is>
          <x:t xml:space="preserve">Наладчик ЧПУ</x:t>
        </x:is>
      </x:c>
      <x:c r="D50" s="31" t="inlineStr">
        <x:is>
          <x:t xml:space="preserve">ПОДР-007</x:t>
        </x:is>
      </x:c>
      <x:c r="E50" s="31" t="inlineStr">
        <x:is>
          <x:t xml:space="preserve">Мастер участка</x:t>
        </x:is>
      </x:c>
      <x:c r="F50" s="31" t="inlineStr">
        <x:is>
          <x:t xml:space="preserve">Активен</x:t>
        </x:is>
      </x:c>
      <x:c r="G50" s="31" t="n">
        <x:v>116876</x:v>
      </x:c>
      <x:c r="H50" s="31" t="inlineStr">
        <x:is>
          <x:t xml:space="preserve">e043@severtech-komplekt.ru</x:t>
        </x:is>
      </x:c>
      <x:c r="I50" s="31" t="n">
        <x:v>44499</x:v>
      </x:c>
      <x:c r="J50" s="31" t="n">
        <x:v>46009</x:v>
      </x:c>
      <x:c r="K50" s="31" t="inlineStr">
        <x:is>
          <x:t xml:space="preserve">Штат</x:t>
        </x:is>
      </x:c>
      <x:c r="L50" s="31" t="inlineStr">
        <x:is>
          <x:t xml:space="preserve">Основное место</x:t>
        </x:is>
      </x:c>
    </x:row>
    <x:row r="51" ht="18" customHeight="1">
      <x:c r="A51" s="31" t="inlineStr">
        <x:is>
          <x:t xml:space="preserve">СОТР-044</x:t>
        </x:is>
      </x:c>
      <x:c r="B51" s="31" t="inlineStr">
        <x:is>
          <x:t xml:space="preserve">Воробьев Иван Ильич</x:t>
        </x:is>
      </x:c>
      <x:c r="C51" s="31" t="inlineStr">
        <x:is>
          <x:t xml:space="preserve">Токарь</x:t>
        </x:is>
      </x:c>
      <x:c r="D51" s="31" t="inlineStr">
        <x:is>
          <x:t xml:space="preserve">ПОДР-007</x:t>
        </x:is>
      </x:c>
      <x:c r="E51" s="31" t="inlineStr">
        <x:is>
          <x:t xml:space="preserve">Рабочий</x:t>
        </x:is>
      </x:c>
      <x:c r="F51" s="31" t="inlineStr">
        <x:is>
          <x:t xml:space="preserve">Активен</x:t>
        </x:is>
      </x:c>
      <x:c r="G51" s="31" t="n">
        <x:v>68552</x:v>
      </x:c>
      <x:c r="H51" s="31" t="inlineStr">
        <x:is>
          <x:t xml:space="preserve">e044@severtech-komplekt.ru</x:t>
        </x:is>
      </x:c>
      <x:c r="I51" s="31" t="n">
        <x:v>44381</x:v>
      </x:c>
      <x:c r="J51" s="31" t="n">
        <x:v>45941</x:v>
      </x:c>
      <x:c r="K51" s="31" t="inlineStr">
        <x:is>
          <x:t xml:space="preserve">Штат</x:t>
        </x:is>
      </x:c>
      <x:c r="L51" s="31" t="inlineStr">
        <x:is>
          <x:t xml:space="preserve">Основное место</x:t>
        </x:is>
      </x:c>
    </x:row>
    <x:row r="52" ht="18" customHeight="1">
      <x:c r="A52" s="31" t="inlineStr">
        <x:is>
          <x:t xml:space="preserve">СОТР-045</x:t>
        </x:is>
      </x:c>
      <x:c r="B52" s="31" t="inlineStr">
        <x:is>
          <x:t xml:space="preserve">Зайцев Екатерина Николаевич</x:t>
        </x:is>
      </x:c>
      <x:c r="C52" s="31" t="inlineStr">
        <x:is>
          <x:t xml:space="preserve">Токарь</x:t>
        </x:is>
      </x:c>
      <x:c r="D52" s="31" t="inlineStr">
        <x:is>
          <x:t xml:space="preserve">ПОДР-007</x:t>
        </x:is>
      </x:c>
      <x:c r="E52" s="31" t="inlineStr">
        <x:is>
          <x:t xml:space="preserve">Мастер участка</x:t>
        </x:is>
      </x:c>
      <x:c r="F52" s="31" t="inlineStr">
        <x:is>
          <x:t xml:space="preserve">Активен</x:t>
        </x:is>
      </x:c>
      <x:c r="G52" s="31" t="n">
        <x:v>97018</x:v>
      </x:c>
      <x:c r="H52" s="31" t="inlineStr">
        <x:is>
          <x:t xml:space="preserve">e045@severtech-komplekt.ru</x:t>
        </x:is>
      </x:c>
      <x:c r="I52" s="31" t="n">
        <x:v>44987</x:v>
      </x:c>
      <x:c r="J52" s="31" t="n">
        <x:v>45811</x:v>
      </x:c>
      <x:c r="K52" s="31" t="inlineStr">
        <x:is>
          <x:t xml:space="preserve">Штат</x:t>
        </x:is>
      </x:c>
      <x:c r="L52" s="31" t="inlineStr">
        <x:is>
          <x:t xml:space="preserve">Основное место</x:t>
        </x:is>
      </x:c>
    </x:row>
    <x:row r="53" ht="18" customHeight="1">
      <x:c r="A53" s="31" t="inlineStr">
        <x:is>
          <x:t xml:space="preserve">СОТР-046</x:t>
        </x:is>
      </x:c>
      <x:c r="B53" s="31" t="inlineStr">
        <x:is>
          <x:t xml:space="preserve">Волков Иван Андреевна</x:t>
        </x:is>
      </x:c>
      <x:c r="C53" s="31" t="inlineStr">
        <x:is>
          <x:t xml:space="preserve">Наладчик ЧПУ</x:t>
        </x:is>
      </x:c>
      <x:c r="D53" s="31" t="inlineStr">
        <x:is>
          <x:t xml:space="preserve">ПОДР-007</x:t>
        </x:is>
      </x:c>
      <x:c r="E53" s="31" t="inlineStr">
        <x:is>
          <x:t xml:space="preserve">Мастер участка</x:t>
        </x:is>
      </x:c>
      <x:c r="F53" s="31" t="inlineStr">
        <x:is>
          <x:t xml:space="preserve">Активен</x:t>
        </x:is>
      </x:c>
      <x:c r="G53" s="31" t="n">
        <x:v>150717</x:v>
      </x:c>
      <x:c r="H53" s="31" t="inlineStr">
        <x:is>
          <x:t xml:space="preserve">e046@severtech-komplekt.ru</x:t>
        </x:is>
      </x:c>
      <x:c r="I53" s="31" t="n">
        <x:v>45314</x:v>
      </x:c>
      <x:c r="J53" s="31" t="n">
        <x:v>45670</x:v>
      </x:c>
      <x:c r="K53" s="31" t="inlineStr">
        <x:is>
          <x:t xml:space="preserve">Штат</x:t>
        </x:is>
      </x:c>
      <x:c r="L53" s="31" t="inlineStr">
        <x:is>
          <x:t xml:space="preserve">Основное место</x:t>
        </x:is>
      </x:c>
    </x:row>
    <x:row r="54" ht="18" customHeight="1">
      <x:c r="A54" s="31" t="inlineStr">
        <x:is>
          <x:t xml:space="preserve">СОТР-047</x:t>
        </x:is>
      </x:c>
      <x:c r="B54" s="31" t="inlineStr">
        <x:is>
          <x:t xml:space="preserve">Воробьев Елена Дмитриевич</x:t>
        </x:is>
      </x:c>
      <x:c r="C54" s="31" t="inlineStr">
        <x:is>
          <x:t xml:space="preserve">Токарь</x:t>
        </x:is>
      </x:c>
      <x:c r="D54" s="31" t="inlineStr">
        <x:is>
          <x:t xml:space="preserve">ПОДР-007</x:t>
        </x:is>
      </x:c>
      <x:c r="E54" s="31" t="inlineStr">
        <x:is>
          <x:t xml:space="preserve">Мастер участка</x:t>
        </x:is>
      </x:c>
      <x:c r="F54" s="31" t="inlineStr">
        <x:is>
          <x:t xml:space="preserve">Активен</x:t>
        </x:is>
      </x:c>
      <x:c r="G54" s="31" t="n">
        <x:v>79029</x:v>
      </x:c>
      <x:c r="H54" s="31" t="inlineStr">
        <x:is>
          <x:t xml:space="preserve">e047@severtech-komplekt.ru</x:t>
        </x:is>
      </x:c>
      <x:c r="I54" s="31" t="n">
        <x:v>45751</x:v>
      </x:c>
      <x:c r="J54" s="31" t="n">
        <x:v>45949</x:v>
      </x:c>
      <x:c r="K54" s="31" t="inlineStr">
        <x:is>
          <x:t xml:space="preserve">Штат</x:t>
        </x:is>
      </x:c>
      <x:c r="L54" s="31" t="inlineStr">
        <x:is>
          <x:t xml:space="preserve">Основное место</x:t>
        </x:is>
      </x:c>
    </x:row>
    <x:row r="55" ht="18" customHeight="1">
      <x:c r="A55" s="31" t="inlineStr">
        <x:is>
          <x:t xml:space="preserve">СОТР-048</x:t>
        </x:is>
      </x:c>
      <x:c r="B55" s="31" t="inlineStr">
        <x:is>
          <x:t xml:space="preserve">Морозов Михаил Николаевич</x:t>
        </x:is>
      </x:c>
      <x:c r="C55" s="31" t="inlineStr">
        <x:is>
          <x:t xml:space="preserve">Наладчик ЧПУ</x:t>
        </x:is>
      </x:c>
      <x:c r="D55" s="31" t="inlineStr">
        <x:is>
          <x:t xml:space="preserve">ПОДР-007</x:t>
        </x:is>
      </x:c>
      <x:c r="E55" s="31" t="inlineStr">
        <x:is>
          <x:t xml:space="preserve">Рабочий</x:t>
        </x:is>
      </x:c>
      <x:c r="F55" s="31" t="inlineStr">
        <x:is>
          <x:t xml:space="preserve">Активен</x:t>
        </x:is>
      </x:c>
      <x:c r="G55" s="31" t="n">
        <x:v>107055</x:v>
      </x:c>
      <x:c r="H55" s="31" t="inlineStr">
        <x:is>
          <x:t xml:space="preserve">e048@severtech-komplekt.ru</x:t>
        </x:is>
      </x:c>
      <x:c r="I55" s="31" t="n">
        <x:v>45529</x:v>
      </x:c>
      <x:c r="J55" s="31" t="n">
        <x:v>45801</x:v>
      </x:c>
      <x:c r="K55" s="31" t="inlineStr">
        <x:is>
          <x:t xml:space="preserve">Штат</x:t>
        </x:is>
      </x:c>
      <x:c r="L55" s="31" t="inlineStr">
        <x:is>
          <x:t xml:space="preserve">Основное место</x:t>
        </x:is>
      </x:c>
    </x:row>
    <x:row r="56" ht="18" customHeight="1">
      <x:c r="A56" s="31" t="inlineStr">
        <x:is>
          <x:t xml:space="preserve">СОТР-049</x:t>
        </x:is>
      </x:c>
      <x:c r="B56" s="31" t="inlineStr">
        <x:is>
          <x:t xml:space="preserve">Титов Мария Николаевич</x:t>
        </x:is>
      </x:c>
      <x:c r="C56" s="31" t="inlineStr">
        <x:is>
          <x:t xml:space="preserve">Токарь</x:t>
        </x:is>
      </x:c>
      <x:c r="D56" s="31" t="inlineStr">
        <x:is>
          <x:t xml:space="preserve">ПОДР-007</x:t>
        </x:is>
      </x:c>
      <x:c r="E56" s="31" t="inlineStr">
        <x:is>
          <x:t xml:space="preserve">Рабочий</x:t>
        </x:is>
      </x:c>
      <x:c r="F56" s="31" t="inlineStr">
        <x:is>
          <x:t xml:space="preserve">Активен</x:t>
        </x:is>
      </x:c>
      <x:c r="G56" s="31" t="n">
        <x:v>64889</x:v>
      </x:c>
      <x:c r="H56" s="31" t="inlineStr">
        <x:is>
          <x:t xml:space="preserve">e049@severtech-komplekt.ru</x:t>
        </x:is>
      </x:c>
      <x:c r="I56" s="31" t="n">
        <x:v>44238</x:v>
      </x:c>
      <x:c r="J56" s="31" t="n">
        <x:v>45836</x:v>
      </x:c>
      <x:c r="K56" s="31" t="inlineStr">
        <x:is>
          <x:t xml:space="preserve">Штат</x:t>
        </x:is>
      </x:c>
      <x:c r="L56" s="31" t="inlineStr">
        <x:is>
          <x:t xml:space="preserve">Основное место</x:t>
        </x:is>
      </x:c>
    </x:row>
    <x:row r="57" ht="18" customHeight="1">
      <x:c r="A57" s="31" t="inlineStr">
        <x:is>
          <x:t xml:space="preserve">СОТР-050</x:t>
        </x:is>
      </x:c>
      <x:c r="B57" s="31" t="inlineStr">
        <x:is>
          <x:t xml:space="preserve">Новиков Ирина Николаевич</x:t>
        </x:is>
      </x:c>
      <x:c r="C57" s="31" t="inlineStr">
        <x:is>
          <x:t xml:space="preserve">Токарь</x:t>
        </x:is>
      </x:c>
      <x:c r="D57" s="31" t="inlineStr">
        <x:is>
          <x:t xml:space="preserve">ПОДР-007</x:t>
        </x:is>
      </x:c>
      <x:c r="E57" s="31" t="inlineStr">
        <x:is>
          <x:t xml:space="preserve">Мастер участка</x:t>
        </x:is>
      </x:c>
      <x:c r="F57" s="31" t="inlineStr">
        <x:is>
          <x:t xml:space="preserve">Активен</x:t>
        </x:is>
      </x:c>
      <x:c r="G57" s="31" t="n">
        <x:v>121057</x:v>
      </x:c>
      <x:c r="H57" s="31" t="inlineStr">
        <x:is>
          <x:t xml:space="preserve">e050@severtech-komplekt.ru</x:t>
        </x:is>
      </x:c>
      <x:c r="I57" s="31" t="n">
        <x:v>45379</x:v>
      </x:c>
      <x:c r="J57" s="31" t="n">
        <x:v>45670</x:v>
      </x:c>
      <x:c r="K57" s="31" t="inlineStr">
        <x:is>
          <x:t xml:space="preserve">Штат</x:t>
        </x:is>
      </x:c>
      <x:c r="L57" s="31" t="inlineStr">
        <x:is>
          <x:t xml:space="preserve">Основное место</x:t>
        </x:is>
      </x:c>
    </x:row>
    <x:row r="58" ht="18" customHeight="1">
      <x:c r="A58" s="31" t="inlineStr">
        <x:is>
          <x:t xml:space="preserve">СОТР-051</x:t>
        </x:is>
      </x:c>
      <x:c r="B58" s="31" t="inlineStr">
        <x:is>
          <x:t xml:space="preserve">Козлов Сергей Николаевна</x:t>
        </x:is>
      </x:c>
      <x:c r="C58" s="31" t="inlineStr">
        <x:is>
          <x:t xml:space="preserve">Наладчик ЧПУ</x:t>
        </x:is>
      </x:c>
      <x:c r="D58" s="31" t="inlineStr">
        <x:is>
          <x:t xml:space="preserve">ПОДР-007</x:t>
        </x:is>
      </x:c>
      <x:c r="E58" s="31" t="inlineStr">
        <x:is>
          <x:t xml:space="preserve">Рабочий</x:t>
        </x:is>
      </x:c>
      <x:c r="F58" s="31" t="inlineStr">
        <x:is>
          <x:t xml:space="preserve">Активен</x:t>
        </x:is>
      </x:c>
      <x:c r="G58" s="31" t="n">
        <x:v>100175</x:v>
      </x:c>
      <x:c r="H58" s="31" t="inlineStr">
        <x:is>
          <x:t xml:space="preserve">e051@severtech-komplekt.ru</x:t>
        </x:is>
      </x:c>
      <x:c r="I58" s="31" t="n">
        <x:v>45362</x:v>
      </x:c>
      <x:c r="J58" s="31" t="n">
        <x:v>45741</x:v>
      </x:c>
      <x:c r="K58" s="31" t="inlineStr">
        <x:is>
          <x:t xml:space="preserve">Штат</x:t>
        </x:is>
      </x:c>
      <x:c r="L58" s="31" t="inlineStr">
        <x:is>
          <x:t xml:space="preserve">Основное место</x:t>
        </x:is>
      </x:c>
    </x:row>
    <x:row r="59" ht="18" customHeight="1">
      <x:c r="A59" s="31" t="inlineStr">
        <x:is>
          <x:t xml:space="preserve">СОТР-052</x:t>
        </x:is>
      </x:c>
      <x:c r="B59" s="31" t="inlineStr">
        <x:is>
          <x:t xml:space="preserve">Макаров Николай Алексеевич</x:t>
        </x:is>
      </x:c>
      <x:c r="C59" s="31" t="inlineStr">
        <x:is>
          <x:t xml:space="preserve">Фрезеровщик</x:t>
        </x:is>
      </x:c>
      <x:c r="D59" s="31" t="inlineStr">
        <x:is>
          <x:t xml:space="preserve">ПОДР-007</x:t>
        </x:is>
      </x:c>
      <x:c r="E59" s="31" t="inlineStr">
        <x:is>
          <x:t xml:space="preserve">Мастер участка</x:t>
        </x:is>
      </x:c>
      <x:c r="F59" s="31" t="inlineStr">
        <x:is>
          <x:t xml:space="preserve">Активен</x:t>
        </x:is>
      </x:c>
      <x:c r="G59" s="31" t="n">
        <x:v>70229</x:v>
      </x:c>
      <x:c r="H59" s="31" t="inlineStr">
        <x:is>
          <x:t xml:space="preserve">e052@severtech-komplekt.ru</x:t>
        </x:is>
      </x:c>
      <x:c r="I59" s="31" t="n">
        <x:v>44963</x:v>
      </x:c>
      <x:c r="J59" s="31" t="n">
        <x:v>45773</x:v>
      </x:c>
      <x:c r="K59" s="31" t="inlineStr">
        <x:is>
          <x:t xml:space="preserve">Штат</x:t>
        </x:is>
      </x:c>
      <x:c r="L59" s="31" t="inlineStr">
        <x:is>
          <x:t xml:space="preserve">Основное место</x:t>
        </x:is>
      </x:c>
    </x:row>
    <x:row r="60" ht="18" customHeight="1">
      <x:c r="A60" s="31" t="inlineStr">
        <x:is>
          <x:t xml:space="preserve">СОТР-053</x:t>
        </x:is>
      </x:c>
      <x:c r="B60" s="31" t="inlineStr">
        <x:is>
          <x:t xml:space="preserve">Семенов Елена Дмитриевич</x:t>
        </x:is>
      </x:c>
      <x:c r="C60" s="31" t="inlineStr">
        <x:is>
          <x:t xml:space="preserve">Фрезеровщик</x:t>
        </x:is>
      </x:c>
      <x:c r="D60" s="31" t="inlineStr">
        <x:is>
          <x:t xml:space="preserve">ПОДР-007</x:t>
        </x:is>
      </x:c>
      <x:c r="E60" s="31" t="inlineStr">
        <x:is>
          <x:t xml:space="preserve">Мастер участка</x:t>
        </x:is>
      </x:c>
      <x:c r="F60" s="31" t="inlineStr">
        <x:is>
          <x:t xml:space="preserve">Больничный</x:t>
        </x:is>
      </x:c>
      <x:c r="G60" s="31" t="n">
        <x:v>85257</x:v>
      </x:c>
      <x:c r="H60" s="31" t="inlineStr">
        <x:is>
          <x:t xml:space="preserve">e053@severtech-komplekt.ru</x:t>
        </x:is>
      </x:c>
      <x:c r="I60" s="31" t="n">
        <x:v>44715</x:v>
      </x:c>
      <x:c r="J60" s="31" t="n">
        <x:v>45749</x:v>
      </x:c>
      <x:c r="K60" s="31" t="inlineStr">
        <x:is>
          <x:t xml:space="preserve">Штат</x:t>
        </x:is>
      </x:c>
      <x:c r="L60" s="31" t="inlineStr">
        <x:is>
          <x:t xml:space="preserve">Основное место</x:t>
        </x:is>
      </x:c>
    </x:row>
    <x:row r="61" ht="18" customHeight="1">
      <x:c r="A61" s="31" t="inlineStr">
        <x:is>
          <x:t xml:space="preserve">СОТР-054</x:t>
        </x:is>
      </x:c>
      <x:c r="B61" s="31" t="inlineStr">
        <x:is>
          <x:t xml:space="preserve">Соловьев Олег Алексеевич</x:t>
        </x:is>
      </x:c>
      <x:c r="C61" s="31" t="inlineStr">
        <x:is>
          <x:t xml:space="preserve">Токарь</x:t>
        </x:is>
      </x:c>
      <x:c r="D61" s="31" t="inlineStr">
        <x:is>
          <x:t xml:space="preserve">ПОДР-007</x:t>
        </x:is>
      </x:c>
      <x:c r="E61" s="31" t="inlineStr">
        <x:is>
          <x:t xml:space="preserve">Мастер участка</x:t>
        </x:is>
      </x:c>
      <x:c r="F61" s="31" t="inlineStr">
        <x:is>
          <x:t xml:space="preserve">Активен</x:t>
        </x:is>
      </x:c>
      <x:c r="G61" s="31" t="n">
        <x:v>118964</x:v>
      </x:c>
      <x:c r="H61" s="31" t="inlineStr">
        <x:is>
          <x:t xml:space="preserve">e054@severtech-komplekt.ru</x:t>
        </x:is>
      </x:c>
      <x:c r="I61" s="31" t="n">
        <x:v>45873</x:v>
      </x:c>
      <x:c r="J61" s="31" t="n">
        <x:v>46008</x:v>
      </x:c>
      <x:c r="K61" s="31" t="inlineStr">
        <x:is>
          <x:t xml:space="preserve">Штат</x:t>
        </x:is>
      </x:c>
      <x:c r="L61" s="31" t="inlineStr">
        <x:is>
          <x:t xml:space="preserve">Основное место</x:t>
        </x:is>
      </x:c>
    </x:row>
    <x:row r="62" ht="18" customHeight="1">
      <x:c r="A62" s="31" t="inlineStr">
        <x:is>
          <x:t xml:space="preserve">СОТР-055</x:t>
        </x:is>
      </x:c>
      <x:c r="B62" s="31" t="inlineStr">
        <x:is>
          <x:t xml:space="preserve">Семенов Михаил Сергеевич</x:t>
        </x:is>
      </x:c>
      <x:c r="C62" s="31" t="inlineStr">
        <x:is>
          <x:t xml:space="preserve">Наладчик ЧПУ</x:t>
        </x:is>
      </x:c>
      <x:c r="D62" s="31" t="inlineStr">
        <x:is>
          <x:t xml:space="preserve">ПОДР-007</x:t>
        </x:is>
      </x:c>
      <x:c r="E62" s="31" t="inlineStr">
        <x:is>
          <x:t xml:space="preserve">Рабочий</x:t>
        </x:is>
      </x:c>
      <x:c r="F62" s="31" t="inlineStr">
        <x:is>
          <x:t xml:space="preserve">Активен</x:t>
        </x:is>
      </x:c>
      <x:c r="G62" s="31" t="n">
        <x:v>92847</x:v>
      </x:c>
      <x:c r="H62" s="31" t="inlineStr">
        <x:is>
          <x:t xml:space="preserve">e055@severtech-komplekt.ru</x:t>
        </x:is>
      </x:c>
      <x:c r="I62" s="31" t="n">
        <x:v>44686</x:v>
      </x:c>
      <x:c r="J62" s="31" t="n">
        <x:v>45768</x:v>
      </x:c>
      <x:c r="K62" s="31" t="inlineStr">
        <x:is>
          <x:t xml:space="preserve">Штат</x:t>
        </x:is>
      </x:c>
      <x:c r="L62" s="31" t="inlineStr">
        <x:is>
          <x:t xml:space="preserve">Основное место</x:t>
        </x:is>
      </x:c>
    </x:row>
    <x:row r="63" ht="18" customHeight="1">
      <x:c r="A63" s="31" t="inlineStr">
        <x:is>
          <x:t xml:space="preserve">СОТР-056</x:t>
        </x:is>
      </x:c>
      <x:c r="B63" s="31" t="inlineStr">
        <x:is>
          <x:t xml:space="preserve">Ковалев Роман Николаевич</x:t>
        </x:is>
      </x:c>
      <x:c r="C63" s="31" t="inlineStr">
        <x:is>
          <x:t xml:space="preserve">Сварщик</x:t>
        </x:is>
      </x:c>
      <x:c r="D63" s="31" t="inlineStr">
        <x:is>
          <x:t xml:space="preserve">ПОДР-008</x:t>
        </x:is>
      </x:c>
      <x:c r="E63" s="31" t="inlineStr">
        <x:is>
          <x:t xml:space="preserve">Рабочий</x:t>
        </x:is>
      </x:c>
      <x:c r="F63" s="31" t="inlineStr">
        <x:is>
          <x:t xml:space="preserve">Активен</x:t>
        </x:is>
      </x:c>
      <x:c r="G63" s="31" t="n">
        <x:v>88113</x:v>
      </x:c>
      <x:c r="H63" s="31" t="inlineStr">
        <x:is>
          <x:t xml:space="preserve">e056@severtech-komplekt.ru</x:t>
        </x:is>
      </x:c>
      <x:c r="I63" s="31" t="n">
        <x:v>44903</x:v>
      </x:c>
      <x:c r="J63" s="31" t="n">
        <x:v>45808</x:v>
      </x:c>
      <x:c r="K63" s="31" t="inlineStr">
        <x:is>
          <x:t xml:space="preserve">Штат</x:t>
        </x:is>
      </x:c>
      <x:c r="L63" s="31" t="inlineStr">
        <x:is>
          <x:t xml:space="preserve">Основное место</x:t>
        </x:is>
      </x:c>
    </x:row>
    <x:row r="64" ht="18" customHeight="1">
      <x:c r="A64" s="31" t="inlineStr">
        <x:is>
          <x:t xml:space="preserve">СОТР-057</x:t>
        </x:is>
      </x:c>
      <x:c r="B64" s="31" t="inlineStr">
        <x:is>
          <x:t xml:space="preserve">Попов Михаил Ильич</x:t>
        </x:is>
      </x:c>
      <x:c r="C64" s="31" t="inlineStr">
        <x:is>
          <x:t xml:space="preserve">Дефектоскопист</x:t>
        </x:is>
      </x:c>
      <x:c r="D64" s="31" t="inlineStr">
        <x:is>
          <x:t xml:space="preserve">ПОДР-008</x:t>
        </x:is>
      </x:c>
      <x:c r="E64" s="31" t="inlineStr">
        <x:is>
          <x:t xml:space="preserve">Мастер участка</x:t>
        </x:is>
      </x:c>
      <x:c r="F64" s="31" t="inlineStr">
        <x:is>
          <x:t xml:space="preserve">Активен</x:t>
        </x:is>
      </x:c>
      <x:c r="G64" s="31" t="n">
        <x:v>135282</x:v>
      </x:c>
      <x:c r="H64" s="31" t="inlineStr">
        <x:is>
          <x:t xml:space="preserve">e057@severtech-komplekt.ru</x:t>
        </x:is>
      </x:c>
      <x:c r="I64" s="31" t="n">
        <x:v>44909</x:v>
      </x:c>
      <x:c r="J64" s="31" t="n">
        <x:v>45680</x:v>
      </x:c>
      <x:c r="K64" s="31" t="inlineStr">
        <x:is>
          <x:t xml:space="preserve">Штат</x:t>
        </x:is>
      </x:c>
      <x:c r="L64" s="31" t="inlineStr">
        <x:is>
          <x:t xml:space="preserve">Основное место</x:t>
        </x:is>
      </x:c>
    </x:row>
    <x:row r="65" ht="18" customHeight="1">
      <x:c r="A65" s="31" t="inlineStr">
        <x:is>
          <x:t xml:space="preserve">СОТР-058</x:t>
        </x:is>
      </x:c>
      <x:c r="B65" s="31" t="inlineStr">
        <x:is>
          <x:t xml:space="preserve">Козлов Михаил Сергеевич</x:t>
        </x:is>
      </x:c>
      <x:c r="C65" s="31" t="inlineStr">
        <x:is>
          <x:t xml:space="preserve">Дефектоскопист</x:t>
        </x:is>
      </x:c>
      <x:c r="D65" s="31" t="inlineStr">
        <x:is>
          <x:t xml:space="preserve">ПОДР-008</x:t>
        </x:is>
      </x:c>
      <x:c r="E65" s="31" t="inlineStr">
        <x:is>
          <x:t xml:space="preserve">Мастер участка</x:t>
        </x:is>
      </x:c>
      <x:c r="F65" s="31" t="inlineStr">
        <x:is>
          <x:t xml:space="preserve">Активен</x:t>
        </x:is>
      </x:c>
      <x:c r="G65" s="31" t="n">
        <x:v>143193</x:v>
      </x:c>
      <x:c r="H65" s="31" t="inlineStr">
        <x:is>
          <x:t xml:space="preserve">e058@severtech-komplekt.ru</x:t>
        </x:is>
      </x:c>
      <x:c r="I65" s="31" t="n">
        <x:v>45120</x:v>
      </x:c>
      <x:c r="J65" s="31" t="n">
        <x:v>45842</x:v>
      </x:c>
      <x:c r="K65" s="31" t="inlineStr">
        <x:is>
          <x:t xml:space="preserve">Штат</x:t>
        </x:is>
      </x:c>
      <x:c r="L65" s="31" t="inlineStr">
        <x:is>
          <x:t xml:space="preserve">Основное место</x:t>
        </x:is>
      </x:c>
    </x:row>
    <x:row r="66" ht="18" customHeight="1">
      <x:c r="A66" s="31" t="inlineStr">
        <x:is>
          <x:t xml:space="preserve">СОТР-059</x:t>
        </x:is>
      </x:c>
      <x:c r="B66" s="31" t="inlineStr">
        <x:is>
          <x:t xml:space="preserve">Федоров Олег Владимирович</x:t>
        </x:is>
      </x:c>
      <x:c r="C66" s="31" t="inlineStr">
        <x:is>
          <x:t xml:space="preserve">Дефектоскопист</x:t>
        </x:is>
      </x:c>
      <x:c r="D66" s="31" t="inlineStr">
        <x:is>
          <x:t xml:space="preserve">ПОДР-008</x:t>
        </x:is>
      </x:c>
      <x:c r="E66" s="31" t="inlineStr">
        <x:is>
          <x:t xml:space="preserve">Рабочий</x:t>
        </x:is>
      </x:c>
      <x:c r="F66" s="31" t="inlineStr">
        <x:is>
          <x:t xml:space="preserve">Активен</x:t>
        </x:is>
      </x:c>
      <x:c r="G66" s="31" t="n">
        <x:v>74457</x:v>
      </x:c>
      <x:c r="H66" s="31" t="inlineStr">
        <x:is>
          <x:t xml:space="preserve">e059@severtech-komplekt.ru</x:t>
        </x:is>
      </x:c>
      <x:c r="I66" s="31" t="n">
        <x:v>44752</x:v>
      </x:c>
      <x:c r="J66" s="31" t="n">
        <x:v>45688</x:v>
      </x:c>
      <x:c r="K66" s="31" t="inlineStr">
        <x:is>
          <x:t xml:space="preserve">Штат</x:t>
        </x:is>
      </x:c>
      <x:c r="L66" s="31" t="inlineStr">
        <x:is>
          <x:t xml:space="preserve">Основное место</x:t>
        </x:is>
      </x:c>
    </x:row>
    <x:row r="67" ht="18" customHeight="1">
      <x:c r="A67" s="31" t="inlineStr">
        <x:is>
          <x:t xml:space="preserve">СОТР-060</x:t>
        </x:is>
      </x:c>
      <x:c r="B67" s="31" t="inlineStr">
        <x:is>
          <x:t xml:space="preserve">Макаров Алексей Олегович</x:t>
        </x:is>
      </x:c>
      <x:c r="C67" s="31" t="inlineStr">
        <x:is>
          <x:t xml:space="preserve">Дефектоскопист</x:t>
        </x:is>
      </x:c>
      <x:c r="D67" s="31" t="inlineStr">
        <x:is>
          <x:t xml:space="preserve">ПОДР-008</x:t>
        </x:is>
      </x:c>
      <x:c r="E67" s="31" t="inlineStr">
        <x:is>
          <x:t xml:space="preserve">Рабочий</x:t>
        </x:is>
      </x:c>
      <x:c r="F67" s="31" t="inlineStr">
        <x:is>
          <x:t xml:space="preserve">Активен</x:t>
        </x:is>
      </x:c>
      <x:c r="G67" s="31" t="n">
        <x:v>105531</x:v>
      </x:c>
      <x:c r="H67" s="31" t="inlineStr">
        <x:is>
          <x:t xml:space="preserve">e060@severtech-komplekt.ru</x:t>
        </x:is>
      </x:c>
      <x:c r="I67" s="31" t="n">
        <x:v>44907</x:v>
      </x:c>
      <x:c r="J67" s="31" t="n">
        <x:v>45985</x:v>
      </x:c>
      <x:c r="K67" s="31" t="inlineStr">
        <x:is>
          <x:t xml:space="preserve">Штат</x:t>
        </x:is>
      </x:c>
      <x:c r="L67" s="31" t="inlineStr">
        <x:is>
          <x:t xml:space="preserve">Основное место</x:t>
        </x:is>
      </x:c>
    </x:row>
    <x:row r="68" ht="18" customHeight="1">
      <x:c r="A68" s="31" t="inlineStr">
        <x:is>
          <x:t xml:space="preserve">СОТР-061</x:t>
        </x:is>
      </x:c>
      <x:c r="B68" s="31" t="inlineStr">
        <x:is>
          <x:t xml:space="preserve">Федоров Елена Андреевна</x:t>
        </x:is>
      </x:c>
      <x:c r="C68" s="31" t="inlineStr">
        <x:is>
          <x:t xml:space="preserve">Сварщик</x:t>
        </x:is>
      </x:c>
      <x:c r="D68" s="31" t="inlineStr">
        <x:is>
          <x:t xml:space="preserve">ПОДР-008</x:t>
        </x:is>
      </x:c>
      <x:c r="E68" s="31" t="inlineStr">
        <x:is>
          <x:t xml:space="preserve">Мастер участка</x:t>
        </x:is>
      </x:c>
      <x:c r="F68" s="31" t="inlineStr">
        <x:is>
          <x:t xml:space="preserve">Активен</x:t>
        </x:is>
      </x:c>
      <x:c r="G68" s="31" t="n">
        <x:v>152410</x:v>
      </x:c>
      <x:c r="H68" s="31" t="inlineStr">
        <x:is>
          <x:t xml:space="preserve">e061@severtech-komplekt.ru</x:t>
        </x:is>
      </x:c>
      <x:c r="I68" s="31" t="n">
        <x:v>45067</x:v>
      </x:c>
      <x:c r="J68" s="31" t="n">
        <x:v>45833</x:v>
      </x:c>
      <x:c r="K68" s="31" t="inlineStr">
        <x:is>
          <x:t xml:space="preserve">Штат</x:t>
        </x:is>
      </x:c>
      <x:c r="L68" s="31" t="inlineStr">
        <x:is>
          <x:t xml:space="preserve">Основное место</x:t>
        </x:is>
      </x:c>
    </x:row>
    <x:row r="69" ht="18" customHeight="1">
      <x:c r="A69" s="31" t="inlineStr">
        <x:is>
          <x:t xml:space="preserve">СОТР-062</x:t>
        </x:is>
      </x:c>
      <x:c r="B69" s="31" t="inlineStr">
        <x:is>
          <x:t xml:space="preserve">Орлов Алина Николаевич</x:t>
        </x:is>
      </x:c>
      <x:c r="C69" s="31" t="inlineStr">
        <x:is>
          <x:t xml:space="preserve">Дефектоскопист</x:t>
        </x:is>
      </x:c>
      <x:c r="D69" s="31" t="inlineStr">
        <x:is>
          <x:t xml:space="preserve">ПОДР-008</x:t>
        </x:is>
      </x:c>
      <x:c r="E69" s="31" t="inlineStr">
        <x:is>
          <x:t xml:space="preserve">Рабочий</x:t>
        </x:is>
      </x:c>
      <x:c r="F69" s="31" t="inlineStr">
        <x:is>
          <x:t xml:space="preserve">Активен</x:t>
        </x:is>
      </x:c>
      <x:c r="G69" s="31" t="n">
        <x:v>86847</x:v>
      </x:c>
      <x:c r="H69" s="31" t="inlineStr">
        <x:is>
          <x:t xml:space="preserve">e062@severtech-komplekt.ru</x:t>
        </x:is>
      </x:c>
      <x:c r="I69" s="31" t="n">
        <x:v>45618</x:v>
      </x:c>
      <x:c r="J69" s="31" t="n">
        <x:v>45755</x:v>
      </x:c>
      <x:c r="K69" s="31" t="inlineStr">
        <x:is>
          <x:t xml:space="preserve">Штат</x:t>
        </x:is>
      </x:c>
      <x:c r="L69" s="31" t="inlineStr">
        <x:is>
          <x:t xml:space="preserve">Основное место</x:t>
        </x:is>
      </x:c>
    </x:row>
    <x:row r="70" ht="18" customHeight="1">
      <x:c r="A70" s="31" t="inlineStr">
        <x:is>
          <x:t xml:space="preserve">СОТР-064</x:t>
        </x:is>
      </x:c>
      <x:c r="B70" s="31" t="inlineStr">
        <x:is>
          <x:t xml:space="preserve">Воробьев Кирилл Олегович</x:t>
        </x:is>
      </x:c>
      <x:c r="C70" s="31" t="inlineStr">
        <x:is>
          <x:t xml:space="preserve">Сварщик</x:t>
        </x:is>
      </x:c>
      <x:c r="D70" s="31" t="inlineStr">
        <x:is>
          <x:t xml:space="preserve">ПОДР-008</x:t>
        </x:is>
      </x:c>
      <x:c r="E70" s="31" t="inlineStr">
        <x:is>
          <x:t xml:space="preserve">Мастер участка</x:t>
        </x:is>
      </x:c>
      <x:c r="F70" s="31" t="inlineStr">
        <x:is>
          <x:t xml:space="preserve">Активен</x:t>
        </x:is>
      </x:c>
      <x:c r="G70" s="31" t="n">
        <x:v>121346</x:v>
      </x:c>
      <x:c r="H70" s="31" t="inlineStr">
        <x:is>
          <x:t xml:space="preserve">e064@severtech-komplekt.ru</x:t>
        </x:is>
      </x:c>
      <x:c r="I70" s="31" t="n">
        <x:v>45840</x:v>
      </x:c>
      <x:c r="J70" s="31" t="n">
        <x:v>45962</x:v>
      </x:c>
      <x:c r="K70" s="31" t="inlineStr">
        <x:is>
          <x:t xml:space="preserve">Штат</x:t>
        </x:is>
      </x:c>
      <x:c r="L70" s="31" t="inlineStr">
        <x:is>
          <x:t xml:space="preserve">Основное место</x:t>
        </x:is>
      </x:c>
    </x:row>
    <x:row r="71" ht="18" customHeight="1">
      <x:c r="A71" s="31" t="inlineStr">
        <x:is>
          <x:t xml:space="preserve">СОТР-065</x:t>
        </x:is>
      </x:c>
      <x:c r="B71" s="31" t="inlineStr">
        <x:is>
          <x:t xml:space="preserve">Федоров Иван Михайлович</x:t>
        </x:is>
      </x:c>
      <x:c r="C71" s="31" t="inlineStr">
        <x:is>
          <x:t xml:space="preserve">Слесарь МСР</x:t>
        </x:is>
      </x:c>
      <x:c r="D71" s="31" t="inlineStr">
        <x:is>
          <x:t xml:space="preserve">ПОДР-008</x:t>
        </x:is>
      </x:c>
      <x:c r="E71" s="31" t="inlineStr">
        <x:is>
          <x:t xml:space="preserve">Рабочий</x:t>
        </x:is>
      </x:c>
      <x:c r="F71" s="31" t="inlineStr">
        <x:is>
          <x:t xml:space="preserve">Активен</x:t>
        </x:is>
      </x:c>
      <x:c r="G71" s="31" t="n">
        <x:v>105178</x:v>
      </x:c>
      <x:c r="H71" s="31" t="inlineStr">
        <x:is>
          <x:t xml:space="preserve">e065@severtech-komplekt.ru</x:t>
        </x:is>
      </x:c>
      <x:c r="I71" s="31" t="n">
        <x:v>44404</x:v>
      </x:c>
      <x:c r="J71" s="31" t="n">
        <x:v>45811</x:v>
      </x:c>
      <x:c r="K71" s="31" t="inlineStr">
        <x:is>
          <x:t xml:space="preserve">Штат</x:t>
        </x:is>
      </x:c>
      <x:c r="L71" s="31" t="inlineStr">
        <x:is>
          <x:t xml:space="preserve">Основное место</x:t>
        </x:is>
      </x:c>
    </x:row>
    <x:row r="72" ht="18" customHeight="1">
      <x:c r="A72" s="31" t="inlineStr">
        <x:is>
          <x:t xml:space="preserve">СОТР-066</x:t>
        </x:is>
      </x:c>
      <x:c r="B72" s="31" t="inlineStr">
        <x:is>
          <x:t xml:space="preserve">Титов Елена Алексеевна</x:t>
        </x:is>
      </x:c>
      <x:c r="C72" s="31" t="inlineStr">
        <x:is>
          <x:t xml:space="preserve">Дефектоскопист</x:t>
        </x:is>
      </x:c>
      <x:c r="D72" s="31" t="inlineStr">
        <x:is>
          <x:t xml:space="preserve">ПОДР-008</x:t>
        </x:is>
      </x:c>
      <x:c r="E72" s="31" t="inlineStr">
        <x:is>
          <x:t xml:space="preserve">Мастер участка</x:t>
        </x:is>
      </x:c>
      <x:c r="F72" s="31" t="inlineStr">
        <x:is>
          <x:t xml:space="preserve">Активен</x:t>
        </x:is>
      </x:c>
      <x:c r="G72" s="31" t="n">
        <x:v>95784</x:v>
      </x:c>
      <x:c r="H72" s="31" t="inlineStr">
        <x:is>
          <x:t xml:space="preserve">e066@severtech-komplekt.ru</x:t>
        </x:is>
      </x:c>
      <x:c r="I72" s="31" t="n">
        <x:v>45608</x:v>
      </x:c>
      <x:c r="J72" s="31" t="n">
        <x:v>45824</x:v>
      </x:c>
      <x:c r="K72" s="31" t="inlineStr">
        <x:is>
          <x:t xml:space="preserve">Штат</x:t>
        </x:is>
      </x:c>
      <x:c r="L72" s="31" t="inlineStr">
        <x:is>
          <x:t xml:space="preserve">Основное место</x:t>
        </x:is>
      </x:c>
    </x:row>
    <x:row r="73" ht="18" customHeight="1">
      <x:c r="A73" s="31" t="inlineStr">
        <x:is>
          <x:t xml:space="preserve">СОТР-067</x:t>
        </x:is>
      </x:c>
      <x:c r="B73" s="31" t="inlineStr">
        <x:is>
          <x:t xml:space="preserve">Павлов Павел Сергеевич</x:t>
        </x:is>
      </x:c>
      <x:c r="C73" s="31" t="inlineStr">
        <x:is>
          <x:t xml:space="preserve">Сварщик</x:t>
        </x:is>
      </x:c>
      <x:c r="D73" s="31" t="inlineStr">
        <x:is>
          <x:t xml:space="preserve">ПОДР-008</x:t>
        </x:is>
      </x:c>
      <x:c r="E73" s="31" t="inlineStr">
        <x:is>
          <x:t xml:space="preserve">Рабочий</x:t>
        </x:is>
      </x:c>
      <x:c r="F73" s="31" t="inlineStr">
        <x:is>
          <x:t xml:space="preserve">Активен</x:t>
        </x:is>
      </x:c>
      <x:c r="G73" s="31" t="n">
        <x:v>102060</x:v>
      </x:c>
      <x:c r="H73" s="31" t="inlineStr">
        <x:is>
          <x:t xml:space="preserve">e067@severtech-komplekt.ru</x:t>
        </x:is>
      </x:c>
      <x:c r="I73" s="31" t="n">
        <x:v>45971</x:v>
      </x:c>
      <x:c r="J73" s="31" t="n">
        <x:v>45703</x:v>
      </x:c>
      <x:c r="K73" s="31" t="inlineStr">
        <x:is>
          <x:t xml:space="preserve">Штат</x:t>
        </x:is>
      </x:c>
      <x:c r="L73" s="31" t="inlineStr">
        <x:is>
          <x:t xml:space="preserve">Основное место</x:t>
        </x:is>
      </x:c>
    </x:row>
    <x:row r="74" ht="18" customHeight="1">
      <x:c r="A74" s="31" t="inlineStr">
        <x:is>
          <x:t xml:space="preserve">СОТР-068</x:t>
        </x:is>
      </x:c>
      <x:c r="B74" s="31" t="inlineStr">
        <x:is>
          <x:t xml:space="preserve">Ковалев Олег Николаевна</x:t>
        </x:is>
      </x:c>
      <x:c r="C74" s="31" t="inlineStr">
        <x:is>
          <x:t xml:space="preserve">Дефектоскопист</x:t>
        </x:is>
      </x:c>
      <x:c r="D74" s="31" t="inlineStr">
        <x:is>
          <x:t xml:space="preserve">ПОДР-008</x:t>
        </x:is>
      </x:c>
      <x:c r="E74" s="31" t="inlineStr">
        <x:is>
          <x:t xml:space="preserve">Рабочий</x:t>
        </x:is>
      </x:c>
      <x:c r="F74" s="31" t="inlineStr">
        <x:is>
          <x:t xml:space="preserve">Активен</x:t>
        </x:is>
      </x:c>
      <x:c r="G74" s="31" t="n">
        <x:v>94399</x:v>
      </x:c>
      <x:c r="H74" s="31" t="inlineStr">
        <x:is>
          <x:t xml:space="preserve">e068@severtech-komplekt.ru</x:t>
        </x:is>
      </x:c>
      <x:c r="I74" s="31" t="n">
        <x:v>45049</x:v>
      </x:c>
      <x:c r="J74" s="31" t="n">
        <x:v>45790</x:v>
      </x:c>
      <x:c r="K74" s="31" t="inlineStr">
        <x:is>
          <x:t xml:space="preserve">Штат</x:t>
        </x:is>
      </x:c>
      <x:c r="L74" s="31" t="inlineStr">
        <x:is>
          <x:t xml:space="preserve">Основное место</x:t>
        </x:is>
      </x:c>
    </x:row>
    <x:row r="75" ht="18" customHeight="1">
      <x:c r="A75" s="31" t="inlineStr">
        <x:is>
          <x:t xml:space="preserve">СОТР-069</x:t>
        </x:is>
      </x:c>
      <x:c r="B75" s="31" t="inlineStr">
        <x:is>
          <x:t xml:space="preserve">Морозов Ирина Дмитриевна</x:t>
        </x:is>
      </x:c>
      <x:c r="C75" s="31" t="inlineStr">
        <x:is>
          <x:t xml:space="preserve">Сварщик</x:t>
        </x:is>
      </x:c>
      <x:c r="D75" s="31" t="inlineStr">
        <x:is>
          <x:t xml:space="preserve">ПОДР-008</x:t>
        </x:is>
      </x:c>
      <x:c r="E75" s="31" t="inlineStr">
        <x:is>
          <x:t xml:space="preserve">Рабочий</x:t>
        </x:is>
      </x:c>
      <x:c r="F75" s="31" t="inlineStr">
        <x:is>
          <x:t xml:space="preserve">Активен</x:t>
        </x:is>
      </x:c>
      <x:c r="G75" s="31" t="n">
        <x:v>73526</x:v>
      </x:c>
      <x:c r="H75" s="31" t="inlineStr">
        <x:is>
          <x:t xml:space="preserve">e069@severtech-komplekt.ru</x:t>
        </x:is>
      </x:c>
      <x:c r="I75" s="31" t="n">
        <x:v>45877</x:v>
      </x:c>
      <x:c r="J75" s="31" t="n">
        <x:v>46022</x:v>
      </x:c>
      <x:c r="K75" s="31" t="inlineStr">
        <x:is>
          <x:t xml:space="preserve">Штат</x:t>
        </x:is>
      </x:c>
      <x:c r="L75" s="31" t="inlineStr">
        <x:is>
          <x:t xml:space="preserve">Основное место</x:t>
        </x:is>
      </x:c>
    </x:row>
    <x:row r="76" ht="18" customHeight="1">
      <x:c r="A76" s="31" t="inlineStr">
        <x:is>
          <x:t xml:space="preserve">СОТР-071</x:t>
        </x:is>
      </x:c>
      <x:c r="B76" s="31" t="inlineStr">
        <x:is>
          <x:t xml:space="preserve">Крылов Иван Алексеевич</x:t>
        </x:is>
      </x:c>
      <x:c r="C76" s="31" t="inlineStr">
        <x:is>
          <x:t xml:space="preserve">Дефектоскопист</x:t>
        </x:is>
      </x:c>
      <x:c r="D76" s="31" t="inlineStr">
        <x:is>
          <x:t xml:space="preserve">ПОДР-008</x:t>
        </x:is>
      </x:c>
      <x:c r="E76" s="31" t="inlineStr">
        <x:is>
          <x:t xml:space="preserve">Рабочий</x:t>
        </x:is>
      </x:c>
      <x:c r="F76" s="31" t="inlineStr">
        <x:is>
          <x:t xml:space="preserve">Активен</x:t>
        </x:is>
      </x:c>
      <x:c r="G76" s="31" t="n">
        <x:v>91914</x:v>
      </x:c>
      <x:c r="H76" s="31" t="inlineStr">
        <x:is>
          <x:t xml:space="preserve">e071@severtech-komplekt.ru</x:t>
        </x:is>
      </x:c>
      <x:c r="I76" s="31" t="n">
        <x:v>44504</x:v>
      </x:c>
      <x:c r="J76" s="31" t="n">
        <x:v>45903</x:v>
      </x:c>
      <x:c r="K76" s="31" t="inlineStr">
        <x:is>
          <x:t xml:space="preserve">Штат</x:t>
        </x:is>
      </x:c>
      <x:c r="L76" s="31" t="inlineStr">
        <x:is>
          <x:t xml:space="preserve">Основное место</x:t>
        </x:is>
      </x:c>
    </x:row>
    <x:row r="77" ht="18" customHeight="1">
      <x:c r="A77" s="31" t="inlineStr">
        <x:is>
          <x:t xml:space="preserve">СОТР-072</x:t>
        </x:is>
      </x:c>
      <x:c r="B77" s="31" t="inlineStr">
        <x:is>
          <x:t xml:space="preserve">Крылов Анна Владимирович</x:t>
        </x:is>
      </x:c>
      <x:c r="C77" s="31" t="inlineStr">
        <x:is>
          <x:t xml:space="preserve">Слесарь МСР</x:t>
        </x:is>
      </x:c>
      <x:c r="D77" s="31" t="inlineStr">
        <x:is>
          <x:t xml:space="preserve">ПОДР-008</x:t>
        </x:is>
      </x:c>
      <x:c r="E77" s="31" t="inlineStr">
        <x:is>
          <x:t xml:space="preserve">Мастер участка</x:t>
        </x:is>
      </x:c>
      <x:c r="F77" s="31" t="inlineStr">
        <x:is>
          <x:t xml:space="preserve">Активен</x:t>
        </x:is>
      </x:c>
      <x:c r="G77" s="31" t="n">
        <x:v>131162</x:v>
      </x:c>
      <x:c r="H77" s="31" t="inlineStr">
        <x:is>
          <x:t xml:space="preserve">e072@severtech-komplekt.ru</x:t>
        </x:is>
      </x:c>
      <x:c r="I77" s="31" t="n">
        <x:v>45104</x:v>
      </x:c>
      <x:c r="J77" s="31" t="n">
        <x:v>45946</x:v>
      </x:c>
      <x:c r="K77" s="31" t="inlineStr">
        <x:is>
          <x:t xml:space="preserve">Штат</x:t>
        </x:is>
      </x:c>
      <x:c r="L77" s="31" t="inlineStr">
        <x:is>
          <x:t xml:space="preserve">Основное место</x:t>
        </x:is>
      </x:c>
    </x:row>
    <x:row r="78" ht="18" customHeight="1">
      <x:c r="A78" s="31" t="inlineStr">
        <x:is>
          <x:t xml:space="preserve">СОТР-073</x:t>
        </x:is>
      </x:c>
      <x:c r="B78" s="31" t="inlineStr">
        <x:is>
          <x:t xml:space="preserve">Андреев Илья Дмитриевна</x:t>
        </x:is>
      </x:c>
      <x:c r="C78" s="31" t="inlineStr">
        <x:is>
          <x:t xml:space="preserve">Электромонтажник</x:t>
        </x:is>
      </x:c>
      <x:c r="D78" s="31" t="inlineStr">
        <x:is>
          <x:t xml:space="preserve">ПОДР-009</x:t>
        </x:is>
      </x:c>
      <x:c r="E78" s="31" t="inlineStr">
        <x:is>
          <x:t xml:space="preserve">Мастер участка</x:t>
        </x:is>
      </x:c>
      <x:c r="F78" s="31" t="inlineStr">
        <x:is>
          <x:t xml:space="preserve">Активен</x:t>
        </x:is>
      </x:c>
      <x:c r="G78" s="31" t="n">
        <x:v>97406</x:v>
      </x:c>
      <x:c r="H78" s="31" t="inlineStr">
        <x:is>
          <x:t xml:space="preserve">e073@severtech-komplekt.ru</x:t>
        </x:is>
      </x:c>
      <x:c r="I78" s="31" t="n">
        <x:v>45951</x:v>
      </x:c>
      <x:c r="J78" s="31" t="n">
        <x:v>45992</x:v>
      </x:c>
      <x:c r="K78" s="31" t="inlineStr">
        <x:is>
          <x:t xml:space="preserve">Штат</x:t>
        </x:is>
      </x:c>
      <x:c r="L78" s="31" t="inlineStr">
        <x:is>
          <x:t xml:space="preserve">Основное место</x:t>
        </x:is>
      </x:c>
    </x:row>
    <x:row r="79" ht="18" customHeight="1">
      <x:c r="A79" s="31" t="inlineStr">
        <x:is>
          <x:t xml:space="preserve">СОТР-074</x:t>
        </x:is>
      </x:c>
      <x:c r="B79" s="31" t="inlineStr">
        <x:is>
          <x:t xml:space="preserve">Виноградов Екатерина Михайлович</x:t>
        </x:is>
      </x:c>
      <x:c r="C79" s="31" t="inlineStr">
        <x:is>
          <x:t xml:space="preserve">Слесарь-сборщик</x:t>
        </x:is>
      </x:c>
      <x:c r="D79" s="31" t="inlineStr">
        <x:is>
          <x:t xml:space="preserve">ПОДР-009</x:t>
        </x:is>
      </x:c>
      <x:c r="E79" s="31" t="inlineStr">
        <x:is>
          <x:t xml:space="preserve">Рабочий</x:t>
        </x:is>
      </x:c>
      <x:c r="F79" s="31" t="inlineStr">
        <x:is>
          <x:t xml:space="preserve">Активен</x:t>
        </x:is>
      </x:c>
      <x:c r="G79" s="31" t="n">
        <x:v>108762</x:v>
      </x:c>
      <x:c r="H79" s="31" t="inlineStr">
        <x:is>
          <x:t xml:space="preserve">e074@severtech-komplekt.ru</x:t>
        </x:is>
      </x:c>
      <x:c r="I79" s="31" t="n">
        <x:v>44816</x:v>
      </x:c>
      <x:c r="J79" s="31" t="n">
        <x:v>45786</x:v>
      </x:c>
      <x:c r="K79" s="31" t="inlineStr">
        <x:is>
          <x:t xml:space="preserve">Штат</x:t>
        </x:is>
      </x:c>
      <x:c r="L79" s="31" t="inlineStr">
        <x:is>
          <x:t xml:space="preserve">Основное место</x:t>
        </x:is>
      </x:c>
    </x:row>
    <x:row r="80" ht="18" customHeight="1">
      <x:c r="A80" s="31" t="inlineStr">
        <x:is>
          <x:t xml:space="preserve">СОТР-075</x:t>
        </x:is>
      </x:c>
      <x:c r="B80" s="31" t="inlineStr">
        <x:is>
          <x:t xml:space="preserve">Виноградов Владимир Ильич</x:t>
        </x:is>
      </x:c>
      <x:c r="C80" s="31" t="inlineStr">
        <x:is>
          <x:t xml:space="preserve">Слесарь-сборщик</x:t>
        </x:is>
      </x:c>
      <x:c r="D80" s="31" t="inlineStr">
        <x:is>
          <x:t xml:space="preserve">ПОДР-009</x:t>
        </x:is>
      </x:c>
      <x:c r="E80" s="31" t="inlineStr">
        <x:is>
          <x:t xml:space="preserve">Рабочий</x:t>
        </x:is>
      </x:c>
      <x:c r="F80" s="31" t="inlineStr">
        <x:is>
          <x:t xml:space="preserve">Активен</x:t>
        </x:is>
      </x:c>
      <x:c r="G80" s="31" t="n">
        <x:v>87102</x:v>
      </x:c>
      <x:c r="H80" s="31" t="inlineStr">
        <x:is>
          <x:t xml:space="preserve">e075@severtech-komplekt.ru</x:t>
        </x:is>
      </x:c>
      <x:c r="I80" s="31" t="n">
        <x:v>45652</x:v>
      </x:c>
      <x:c r="J80" s="31" t="n">
        <x:v>45744</x:v>
      </x:c>
      <x:c r="K80" s="31" t="inlineStr">
        <x:is>
          <x:t xml:space="preserve">Штат</x:t>
        </x:is>
      </x:c>
      <x:c r="L80" s="31" t="inlineStr">
        <x:is>
          <x:t xml:space="preserve">Основное место</x:t>
        </x:is>
      </x:c>
    </x:row>
    <x:row r="81" ht="18" customHeight="1">
      <x:c r="A81" s="31" t="inlineStr">
        <x:is>
          <x:t xml:space="preserve">СОТР-077</x:t>
        </x:is>
      </x:c>
      <x:c r="B81" s="31" t="inlineStr">
        <x:is>
          <x:t xml:space="preserve">Зайцев Сергей Павлович</x:t>
        </x:is>
      </x:c>
      <x:c r="C81" s="31" t="inlineStr">
        <x:is>
          <x:t xml:space="preserve">Электромонтажник</x:t>
        </x:is>
      </x:c>
      <x:c r="D81" s="31" t="inlineStr">
        <x:is>
          <x:t xml:space="preserve">ПОДР-009</x:t>
        </x:is>
      </x:c>
      <x:c r="E81" s="31" t="inlineStr">
        <x:is>
          <x:t xml:space="preserve">Мастер участка</x:t>
        </x:is>
      </x:c>
      <x:c r="F81" s="31" t="inlineStr">
        <x:is>
          <x:t xml:space="preserve">Активен</x:t>
        </x:is>
      </x:c>
      <x:c r="G81" s="31" t="n">
        <x:v>119496</x:v>
      </x:c>
      <x:c r="H81" s="31" t="inlineStr">
        <x:is>
          <x:t xml:space="preserve">e077@severtech-komplekt.ru</x:t>
        </x:is>
      </x:c>
      <x:c r="I81" s="31" t="n">
        <x:v>44358</x:v>
      </x:c>
      <x:c r="J81" s="31" t="n">
        <x:v>45771</x:v>
      </x:c>
      <x:c r="K81" s="31" t="inlineStr">
        <x:is>
          <x:t xml:space="preserve">Штат</x:t>
        </x:is>
      </x:c>
      <x:c r="L81" s="31" t="inlineStr">
        <x:is>
          <x:t xml:space="preserve">Основное место</x:t>
        </x:is>
      </x:c>
    </x:row>
    <x:row r="82" ht="18" customHeight="1">
      <x:c r="A82" s="31" t="inlineStr">
        <x:is>
          <x:t xml:space="preserve">СОТР-078</x:t>
        </x:is>
      </x:c>
      <x:c r="B82" s="31" t="inlineStr">
        <x:is>
          <x:t xml:space="preserve">Киселев Кирилл Николаевна</x:t>
        </x:is>
      </x:c>
      <x:c r="C82" s="31" t="inlineStr">
        <x:is>
          <x:t xml:space="preserve">Слесарь-сборщик</x:t>
        </x:is>
      </x:c>
      <x:c r="D82" s="31" t="inlineStr">
        <x:is>
          <x:t xml:space="preserve">ПОДР-009</x:t>
        </x:is>
      </x:c>
      <x:c r="E82" s="31" t="inlineStr">
        <x:is>
          <x:t xml:space="preserve">Рабочий</x:t>
        </x:is>
      </x:c>
      <x:c r="F82" s="31" t="inlineStr">
        <x:is>
          <x:t xml:space="preserve">Активен</x:t>
        </x:is>
      </x:c>
      <x:c r="G82" s="31" t="n">
        <x:v>86928</x:v>
      </x:c>
      <x:c r="H82" s="31" t="inlineStr">
        <x:is>
          <x:t xml:space="preserve">e078@severtech-komplekt.ru</x:t>
        </x:is>
      </x:c>
      <x:c r="I82" s="31" t="n">
        <x:v>45207</x:v>
      </x:c>
      <x:c r="J82" s="31" t="n">
        <x:v>45669</x:v>
      </x:c>
      <x:c r="K82" s="31" t="inlineStr">
        <x:is>
          <x:t xml:space="preserve">Штат</x:t>
        </x:is>
      </x:c>
      <x:c r="L82" s="31" t="inlineStr">
        <x:is>
          <x:t xml:space="preserve">Основное место</x:t>
        </x:is>
      </x:c>
    </x:row>
    <x:row r="83" ht="18" customHeight="1">
      <x:c r="A83" s="31" t="inlineStr">
        <x:is>
          <x:t xml:space="preserve">СОТР-079</x:t>
        </x:is>
      </x:c>
      <x:c r="B83" s="31" t="inlineStr">
        <x:is>
          <x:t xml:space="preserve">Беляев Антон Сергеевна</x:t>
        </x:is>
      </x:c>
      <x:c r="C83" s="31" t="inlineStr">
        <x:is>
          <x:t xml:space="preserve">Электромонтажник</x:t>
        </x:is>
      </x:c>
      <x:c r="D83" s="31" t="inlineStr">
        <x:is>
          <x:t xml:space="preserve">ПОДР-009</x:t>
        </x:is>
      </x:c>
      <x:c r="E83" s="31" t="inlineStr">
        <x:is>
          <x:t xml:space="preserve">Мастер участка</x:t>
        </x:is>
      </x:c>
      <x:c r="F83" s="31" t="inlineStr">
        <x:is>
          <x:t xml:space="preserve">Активен</x:t>
        </x:is>
      </x:c>
      <x:c r="G83" s="31" t="n">
        <x:v>136582</x:v>
      </x:c>
      <x:c r="H83" s="31" t="inlineStr">
        <x:is>
          <x:t xml:space="preserve">e079@severtech-komplekt.ru</x:t>
        </x:is>
      </x:c>
      <x:c r="I83" s="31" t="n">
        <x:v>45869</x:v>
      </x:c>
      <x:c r="J83" s="31" t="n">
        <x:v>45974</x:v>
      </x:c>
      <x:c r="K83" s="31" t="inlineStr">
        <x:is>
          <x:t xml:space="preserve">Штат</x:t>
        </x:is>
      </x:c>
      <x:c r="L83" s="31" t="inlineStr">
        <x:is>
          <x:t xml:space="preserve">Основное место</x:t>
        </x:is>
      </x:c>
    </x:row>
    <x:row r="84" ht="18" customHeight="1">
      <x:c r="A84" s="31" t="inlineStr">
        <x:is>
          <x:t xml:space="preserve">СОТР-080</x:t>
        </x:is>
      </x:c>
      <x:c r="B84" s="31" t="inlineStr">
        <x:is>
          <x:t xml:space="preserve">Павлов Мария Андреевич</x:t>
        </x:is>
      </x:c>
      <x:c r="C84" s="31" t="inlineStr">
        <x:is>
          <x:t xml:space="preserve">Электромонтажник</x:t>
        </x:is>
      </x:c>
      <x:c r="D84" s="31" t="inlineStr">
        <x:is>
          <x:t xml:space="preserve">ПОДР-009</x:t>
        </x:is>
      </x:c>
      <x:c r="E84" s="31" t="inlineStr">
        <x:is>
          <x:t xml:space="preserve">Мастер участка</x:t>
        </x:is>
      </x:c>
      <x:c r="F84" s="31" t="inlineStr">
        <x:is>
          <x:t xml:space="preserve">Активен</x:t>
        </x:is>
      </x:c>
      <x:c r="G84" s="31" t="n">
        <x:v>115968</x:v>
      </x:c>
      <x:c r="H84" s="31" t="inlineStr">
        <x:is>
          <x:t xml:space="preserve">e080@severtech-komplekt.ru</x:t>
        </x:is>
      </x:c>
      <x:c r="I84" s="31" t="n">
        <x:v>44919</x:v>
      </x:c>
      <x:c r="J84" s="31" t="n">
        <x:v>46008</x:v>
      </x:c>
      <x:c r="K84" s="31" t="inlineStr">
        <x:is>
          <x:t xml:space="preserve">Штат</x:t>
        </x:is>
      </x:c>
      <x:c r="L84" s="31" t="inlineStr">
        <x:is>
          <x:t xml:space="preserve">Основное место</x:t>
        </x:is>
      </x:c>
    </x:row>
    <x:row r="85" ht="18" customHeight="1">
      <x:c r="A85" s="31" t="inlineStr">
        <x:is>
          <x:t xml:space="preserve">СОТР-081</x:t>
        </x:is>
      </x:c>
      <x:c r="B85" s="31" t="inlineStr">
        <x:is>
          <x:t xml:space="preserve">Орлов Юлия Сергеевич</x:t>
        </x:is>
      </x:c>
      <x:c r="C85" s="31" t="inlineStr">
        <x:is>
          <x:t xml:space="preserve">Электромонтажник</x:t>
        </x:is>
      </x:c>
      <x:c r="D85" s="31" t="inlineStr">
        <x:is>
          <x:t xml:space="preserve">ПОДР-009</x:t>
        </x:is>
      </x:c>
      <x:c r="E85" s="31" t="inlineStr">
        <x:is>
          <x:t xml:space="preserve">Рабочий</x:t>
        </x:is>
      </x:c>
      <x:c r="F85" s="31" t="inlineStr">
        <x:is>
          <x:t xml:space="preserve">Испытательный срок</x:t>
        </x:is>
      </x:c>
      <x:c r="G85" s="31" t="n">
        <x:v>63767</x:v>
      </x:c>
      <x:c r="H85" s="31" t="inlineStr">
        <x:is>
          <x:t xml:space="preserve">e081@severtech-komplekt.ru</x:t>
        </x:is>
      </x:c>
      <x:c r="I85" s="31" t="n">
        <x:v>45037</x:v>
      </x:c>
      <x:c r="J85" s="31" t="n">
        <x:v>45969</x:v>
      </x:c>
      <x:c r="K85" s="31" t="inlineStr">
        <x:is>
          <x:t xml:space="preserve">Штат</x:t>
        </x:is>
      </x:c>
      <x:c r="L85" s="31" t="inlineStr">
        <x:is>
          <x:t xml:space="preserve">Основное место</x:t>
        </x:is>
      </x:c>
    </x:row>
    <x:row r="86" ht="18" customHeight="1">
      <x:c r="A86" s="31" t="inlineStr">
        <x:is>
          <x:t xml:space="preserve">СОТР-083</x:t>
        </x:is>
      </x:c>
      <x:c r="B86" s="31" t="inlineStr">
        <x:is>
          <x:t xml:space="preserve">Петров Сергей Алексеевна</x:t>
        </x:is>
      </x:c>
      <x:c r="C86" s="31" t="inlineStr">
        <x:is>
          <x:t xml:space="preserve">Электромонтажник</x:t>
        </x:is>
      </x:c>
      <x:c r="D86" s="31" t="inlineStr">
        <x:is>
          <x:t xml:space="preserve">ПОДР-009</x:t>
        </x:is>
      </x:c>
      <x:c r="E86" s="31" t="inlineStr">
        <x:is>
          <x:t xml:space="preserve">Рабочий</x:t>
        </x:is>
      </x:c>
      <x:c r="F86" s="31" t="inlineStr">
        <x:is>
          <x:t xml:space="preserve">Активен</x:t>
        </x:is>
      </x:c>
      <x:c r="G86" s="31" t="n">
        <x:v>65295</x:v>
      </x:c>
      <x:c r="H86" s="31" t="inlineStr">
        <x:is>
          <x:t xml:space="preserve">e083@severtech-komplekt.ru</x:t>
        </x:is>
      </x:c>
      <x:c r="I86" s="31" t="n">
        <x:v>44763</x:v>
      </x:c>
      <x:c r="J86" s="31" t="n">
        <x:v>45860</x:v>
      </x:c>
      <x:c r="K86" s="31" t="inlineStr">
        <x:is>
          <x:t xml:space="preserve">Штат</x:t>
        </x:is>
      </x:c>
      <x:c r="L86" s="31" t="inlineStr">
        <x:is>
          <x:t xml:space="preserve">Основное место</x:t>
        </x:is>
      </x:c>
    </x:row>
    <x:row r="87" ht="18" customHeight="1">
      <x:c r="A87" s="31" t="inlineStr">
        <x:is>
          <x:t xml:space="preserve">СОТР-084</x:t>
        </x:is>
      </x:c>
      <x:c r="B87" s="31" t="inlineStr">
        <x:is>
          <x:t xml:space="preserve">Федоров Павел Михайлович</x:t>
        </x:is>
      </x:c>
      <x:c r="C87" s="31" t="inlineStr">
        <x:is>
          <x:t xml:space="preserve">Электромонтажник</x:t>
        </x:is>
      </x:c>
      <x:c r="D87" s="31" t="inlineStr">
        <x:is>
          <x:t xml:space="preserve">ПОДР-009</x:t>
        </x:is>
      </x:c>
      <x:c r="E87" s="31" t="inlineStr">
        <x:is>
          <x:t xml:space="preserve">Мастер участка</x:t>
        </x:is>
      </x:c>
      <x:c r="F87" s="31" t="inlineStr">
        <x:is>
          <x:t xml:space="preserve">Активен</x:t>
        </x:is>
      </x:c>
      <x:c r="G87" s="31" t="n">
        <x:v>114692</x:v>
      </x:c>
      <x:c r="H87" s="31" t="inlineStr">
        <x:is>
          <x:t xml:space="preserve">e084@severtech-komplekt.ru</x:t>
        </x:is>
      </x:c>
      <x:c r="I87" s="31" t="n">
        <x:v>44800</x:v>
      </x:c>
      <x:c r="J87" s="31" t="n">
        <x:v>45881</x:v>
      </x:c>
      <x:c r="K87" s="31" t="inlineStr">
        <x:is>
          <x:t xml:space="preserve">Штат</x:t>
        </x:is>
      </x:c>
      <x:c r="L87" s="31" t="inlineStr">
        <x:is>
          <x:t xml:space="preserve">Основное место</x:t>
        </x:is>
      </x:c>
    </x:row>
    <x:row r="88" ht="18" customHeight="1">
      <x:c r="A88" s="31" t="inlineStr">
        <x:is>
          <x:t xml:space="preserve">СОТР-085</x:t>
        </x:is>
      </x:c>
      <x:c r="B88" s="31" t="inlineStr">
        <x:is>
          <x:t xml:space="preserve">Голубев Сергей Михайлович</x:t>
        </x:is>
      </x:c>
      <x:c r="C88" s="31" t="inlineStr">
        <x:is>
          <x:t xml:space="preserve">Сборщик</x:t>
        </x:is>
      </x:c>
      <x:c r="D88" s="31" t="inlineStr">
        <x:is>
          <x:t xml:space="preserve">ПОДР-009</x:t>
        </x:is>
      </x:c>
      <x:c r="E88" s="31" t="inlineStr">
        <x:is>
          <x:t xml:space="preserve">Рабочий</x:t>
        </x:is>
      </x:c>
      <x:c r="F88" s="31" t="inlineStr">
        <x:is>
          <x:t xml:space="preserve">Испытательный срок</x:t>
        </x:is>
      </x:c>
      <x:c r="G88" s="31" t="n">
        <x:v>76694</x:v>
      </x:c>
      <x:c r="H88" s="31" t="inlineStr">
        <x:is>
          <x:t xml:space="preserve">e085@severtech-komplekt.ru</x:t>
        </x:is>
      </x:c>
      <x:c r="I88" s="31" t="n">
        <x:v>45562</x:v>
      </x:c>
      <x:c r="J88" s="31" t="n">
        <x:v>45701</x:v>
      </x:c>
      <x:c r="K88" s="31" t="inlineStr">
        <x:is>
          <x:t xml:space="preserve">Штат</x:t>
        </x:is>
      </x:c>
      <x:c r="L88" s="31" t="inlineStr">
        <x:is>
          <x:t xml:space="preserve">Основное место</x:t>
        </x:is>
      </x:c>
    </x:row>
    <x:row r="89" ht="18" customHeight="1">
      <x:c r="A89" s="31" t="inlineStr">
        <x:is>
          <x:t xml:space="preserve">СОТР-086</x:t>
        </x:is>
      </x:c>
      <x:c r="B89" s="31" t="inlineStr">
        <x:is>
          <x:t xml:space="preserve">Смирнов Алексей Андреевич</x:t>
        </x:is>
      </x:c>
      <x:c r="C89" s="31" t="inlineStr">
        <x:is>
          <x:t xml:space="preserve">Сборщик</x:t>
        </x:is>
      </x:c>
      <x:c r="D89" s="31" t="inlineStr">
        <x:is>
          <x:t xml:space="preserve">ПОДР-009</x:t>
        </x:is>
      </x:c>
      <x:c r="E89" s="31" t="inlineStr">
        <x:is>
          <x:t xml:space="preserve">Рабочий</x:t>
        </x:is>
      </x:c>
      <x:c r="F89" s="31" t="inlineStr">
        <x:is>
          <x:t xml:space="preserve">Активен</x:t>
        </x:is>
      </x:c>
      <x:c r="G89" s="31" t="n">
        <x:v>70272</x:v>
      </x:c>
      <x:c r="H89" s="31" t="inlineStr">
        <x:is>
          <x:t xml:space="preserve">e086@severtech-komplekt.ru</x:t>
        </x:is>
      </x:c>
      <x:c r="I89" s="31" t="n">
        <x:v>45200</x:v>
      </x:c>
      <x:c r="J89" s="31" t="n">
        <x:v>46008</x:v>
      </x:c>
      <x:c r="K89" s="31" t="inlineStr">
        <x:is>
          <x:t xml:space="preserve">Штат</x:t>
        </x:is>
      </x:c>
      <x:c r="L89" s="31" t="inlineStr">
        <x:is>
          <x:t xml:space="preserve">Основное место</x:t>
        </x:is>
      </x:c>
    </x:row>
    <x:row r="90" ht="18" customHeight="1">
      <x:c r="A90" s="31" t="inlineStr">
        <x:is>
          <x:t xml:space="preserve">СОТР-087</x:t>
        </x:is>
      </x:c>
      <x:c r="B90" s="31" t="inlineStr">
        <x:is>
          <x:t xml:space="preserve">Козлов Ольга Андреевич</x:t>
        </x:is>
      </x:c>
      <x:c r="C90" s="31" t="inlineStr">
        <x:is>
          <x:t xml:space="preserve">Электромонтажник</x:t>
        </x:is>
      </x:c>
      <x:c r="D90" s="31" t="inlineStr">
        <x:is>
          <x:t xml:space="preserve">ПОДР-009</x:t>
        </x:is>
      </x:c>
      <x:c r="E90" s="31" t="inlineStr">
        <x:is>
          <x:t xml:space="preserve">Мастер участка</x:t>
        </x:is>
      </x:c>
      <x:c r="F90" s="31" t="inlineStr">
        <x:is>
          <x:t xml:space="preserve">Активен</x:t>
        </x:is>
      </x:c>
      <x:c r="G90" s="31" t="n">
        <x:v>86992</x:v>
      </x:c>
      <x:c r="H90" s="31" t="inlineStr">
        <x:is>
          <x:t xml:space="preserve">e087@severtech-komplekt.ru</x:t>
        </x:is>
      </x:c>
      <x:c r="I90" s="31" t="n">
        <x:v>45471</x:v>
      </x:c>
      <x:c r="J90" s="31" t="n">
        <x:v>45976</x:v>
      </x:c>
      <x:c r="K90" s="31" t="inlineStr">
        <x:is>
          <x:t xml:space="preserve">Штат</x:t>
        </x:is>
      </x:c>
      <x:c r="L90" s="31" t="inlineStr">
        <x:is>
          <x:t xml:space="preserve">Основное место</x:t>
        </x:is>
      </x:c>
    </x:row>
    <x:row r="91" ht="18" customHeight="1">
      <x:c r="A91" s="31" t="inlineStr">
        <x:is>
          <x:t xml:space="preserve">СОТР-088</x:t>
        </x:is>
      </x:c>
      <x:c r="B91" s="31" t="inlineStr">
        <x:is>
          <x:t xml:space="preserve">Козлов Илья Николаевич</x:t>
        </x:is>
      </x:c>
      <x:c r="C91" s="31" t="inlineStr">
        <x:is>
          <x:t xml:space="preserve">Сборщик</x:t>
        </x:is>
      </x:c>
      <x:c r="D91" s="31" t="inlineStr">
        <x:is>
          <x:t xml:space="preserve">ПОДР-009</x:t>
        </x:is>
      </x:c>
      <x:c r="E91" s="31" t="inlineStr">
        <x:is>
          <x:t xml:space="preserve">Рабочий</x:t>
        </x:is>
      </x:c>
      <x:c r="F91" s="31" t="inlineStr">
        <x:is>
          <x:t xml:space="preserve">Отпуск</x:t>
        </x:is>
      </x:c>
      <x:c r="G91" s="31" t="n">
        <x:v>106390</x:v>
      </x:c>
      <x:c r="H91" s="31" t="inlineStr">
        <x:is>
          <x:t xml:space="preserve">e088@severtech-komplekt.ru</x:t>
        </x:is>
      </x:c>
      <x:c r="I91" s="31" t="n">
        <x:v>44999</x:v>
      </x:c>
      <x:c r="J91" s="31" t="n">
        <x:v>45869</x:v>
      </x:c>
      <x:c r="K91" s="31" t="inlineStr">
        <x:is>
          <x:t xml:space="preserve">Штат</x:t>
        </x:is>
      </x:c>
      <x:c r="L91" s="31" t="inlineStr">
        <x:is>
          <x:t xml:space="preserve">Основное место</x:t>
        </x:is>
      </x:c>
    </x:row>
    <x:row r="92" ht="18" customHeight="1">
      <x:c r="A92" s="31" t="inlineStr">
        <x:is>
          <x:t xml:space="preserve">СОТР-090</x:t>
        </x:is>
      </x:c>
      <x:c r="B92" s="31" t="inlineStr">
        <x:is>
          <x:t xml:space="preserve">Васильев Сергей Владимирович</x:t>
        </x:is>
      </x:c>
      <x:c r="C92" s="31" t="inlineStr">
        <x:is>
          <x:t xml:space="preserve">Слесарь-сборщик</x:t>
        </x:is>
      </x:c>
      <x:c r="D92" s="31" t="inlineStr">
        <x:is>
          <x:t xml:space="preserve">ПОДР-009</x:t>
        </x:is>
      </x:c>
      <x:c r="E92" s="31" t="inlineStr">
        <x:is>
          <x:t xml:space="preserve">Рабочий</x:t>
        </x:is>
      </x:c>
      <x:c r="F92" s="31" t="inlineStr">
        <x:is>
          <x:t xml:space="preserve">Активен</x:t>
        </x:is>
      </x:c>
      <x:c r="G92" s="31" t="n">
        <x:v>117724</x:v>
      </x:c>
      <x:c r="H92" s="31" t="inlineStr">
        <x:is>
          <x:t xml:space="preserve">e090@severtech-komplekt.ru</x:t>
        </x:is>
      </x:c>
      <x:c r="I92" s="31" t="n">
        <x:v>45632</x:v>
      </x:c>
      <x:c r="J92" s="31" t="n">
        <x:v>45973</x:v>
      </x:c>
      <x:c r="K92" s="31" t="inlineStr">
        <x:is>
          <x:t xml:space="preserve">Штат</x:t>
        </x:is>
      </x:c>
      <x:c r="L92" s="31" t="inlineStr">
        <x:is>
          <x:t xml:space="preserve">Основное место</x:t>
        </x:is>
      </x:c>
    </x:row>
    <x:row r="93" ht="18" customHeight="1">
      <x:c r="A93" s="31" t="inlineStr">
        <x:is>
          <x:t xml:space="preserve">СОТР-091</x:t>
        </x:is>
      </x:c>
      <x:c r="B93" s="31" t="inlineStr">
        <x:is>
          <x:t xml:space="preserve">Козлов Ольга Сергеевна</x:t>
        </x:is>
      </x:c>
      <x:c r="C93" s="31" t="inlineStr">
        <x:is>
          <x:t xml:space="preserve">Сборщик</x:t>
        </x:is>
      </x:c>
      <x:c r="D93" s="31" t="inlineStr">
        <x:is>
          <x:t xml:space="preserve">ПОДР-009</x:t>
        </x:is>
      </x:c>
      <x:c r="E93" s="31" t="inlineStr">
        <x:is>
          <x:t xml:space="preserve">Мастер участка</x:t>
        </x:is>
      </x:c>
      <x:c r="F93" s="31" t="inlineStr">
        <x:is>
          <x:t xml:space="preserve">Активен</x:t>
        </x:is>
      </x:c>
      <x:c r="G93" s="31" t="n">
        <x:v>151706</x:v>
      </x:c>
      <x:c r="H93" s="31" t="inlineStr">
        <x:is>
          <x:t xml:space="preserve">e091@severtech-komplekt.ru</x:t>
        </x:is>
      </x:c>
      <x:c r="I93" s="31" t="n">
        <x:v>44989</x:v>
      </x:c>
      <x:c r="J93" s="31" t="n">
        <x:v>45701</x:v>
      </x:c>
      <x:c r="K93" s="31" t="inlineStr">
        <x:is>
          <x:t xml:space="preserve">Штат</x:t>
        </x:is>
      </x:c>
      <x:c r="L93" s="31" t="inlineStr">
        <x:is>
          <x:t xml:space="preserve">Основное место</x:t>
        </x:is>
      </x:c>
    </x:row>
    <x:row r="94" ht="18" customHeight="1">
      <x:c r="A94" s="31" t="inlineStr">
        <x:is>
          <x:t xml:space="preserve">СОТР-092</x:t>
        </x:is>
      </x:c>
      <x:c r="B94" s="31" t="inlineStr">
        <x:is>
          <x:t xml:space="preserve">Титов Ирина Ильич</x:t>
        </x:is>
      </x:c>
      <x:c r="C94" s="31" t="inlineStr">
        <x:is>
          <x:t xml:space="preserve">Контролер ОТК</x:t>
        </x:is>
      </x:c>
      <x:c r="D94" s="31" t="inlineStr">
        <x:is>
          <x:t xml:space="preserve">ПОДР-010</x:t>
        </x:is>
      </x:c>
      <x:c r="E94" s="31" t="inlineStr">
        <x:is>
          <x:t xml:space="preserve">ОТК</x:t>
        </x:is>
      </x:c>
      <x:c r="F94" s="31" t="inlineStr">
        <x:is>
          <x:t xml:space="preserve">Активен</x:t>
        </x:is>
      </x:c>
      <x:c r="G94" s="31" t="n">
        <x:v>78833</x:v>
      </x:c>
      <x:c r="H94" s="31" t="inlineStr">
        <x:is>
          <x:t xml:space="preserve">e092@severtech-komplekt.ru</x:t>
        </x:is>
      </x:c>
      <x:c r="I94" s="31" t="n">
        <x:v>45118</x:v>
      </x:c>
      <x:c r="J94" s="31" t="n">
        <x:v>45851</x:v>
      </x:c>
      <x:c r="K94" s="31" t="inlineStr">
        <x:is>
          <x:t xml:space="preserve">Штат</x:t>
        </x:is>
      </x:c>
      <x:c r="L94" s="31" t="inlineStr">
        <x:is>
          <x:t xml:space="preserve">Основное место</x:t>
        </x:is>
      </x:c>
    </x:row>
    <x:row r="95" ht="18" customHeight="1">
      <x:c r="A95" s="31" t="inlineStr">
        <x:is>
          <x:t xml:space="preserve">СОТР-093</x:t>
        </x:is>
      </x:c>
      <x:c r="B95" s="31" t="inlineStr">
        <x:is>
          <x:t xml:space="preserve">Ковалев Алина Сергеевич</x:t>
        </x:is>
      </x:c>
      <x:c r="C95" s="31" t="inlineStr">
        <x:is>
          <x:t xml:space="preserve">Инженер по качеству</x:t>
        </x:is>
      </x:c>
      <x:c r="D95" s="31" t="inlineStr">
        <x:is>
          <x:t xml:space="preserve">ПОДР-010</x:t>
        </x:is>
      </x:c>
      <x:c r="E95" s="31" t="inlineStr">
        <x:is>
          <x:t xml:space="preserve">ОТК</x:t>
        </x:is>
      </x:c>
      <x:c r="F95" s="31" t="inlineStr">
        <x:is>
          <x:t xml:space="preserve">Активен</x:t>
        </x:is>
      </x:c>
      <x:c r="G95" s="31" t="n">
        <x:v>150256</x:v>
      </x:c>
      <x:c r="H95" s="31" t="inlineStr">
        <x:is>
          <x:t xml:space="preserve">e093@severtech-komplekt.ru</x:t>
        </x:is>
      </x:c>
      <x:c r="I95" s="31" t="n">
        <x:v>44784</x:v>
      </x:c>
      <x:c r="J95" s="31" t="n">
        <x:v>45981</x:v>
      </x:c>
      <x:c r="K95" s="31" t="inlineStr">
        <x:is>
          <x:t xml:space="preserve">Штат</x:t>
        </x:is>
      </x:c>
      <x:c r="L95" s="31" t="inlineStr">
        <x:is>
          <x:t xml:space="preserve">Основное место</x:t>
        </x:is>
      </x:c>
    </x:row>
    <x:row r="96" ht="18" customHeight="1">
      <x:c r="A96" s="31" t="inlineStr">
        <x:is>
          <x:t xml:space="preserve">СОТР-095</x:t>
        </x:is>
      </x:c>
      <x:c r="B96" s="31" t="inlineStr">
        <x:is>
          <x:t xml:space="preserve">Ильин Иван Павлович</x:t>
        </x:is>
      </x:c>
      <x:c r="C96" s="31" t="inlineStr">
        <x:is>
          <x:t xml:space="preserve">Инженер по качеству</x:t>
        </x:is>
      </x:c>
      <x:c r="D96" s="31" t="inlineStr">
        <x:is>
          <x:t xml:space="preserve">ПОДР-010</x:t>
        </x:is>
      </x:c>
      <x:c r="E96" s="31" t="inlineStr">
        <x:is>
          <x:t xml:space="preserve">ОТК</x:t>
        </x:is>
      </x:c>
      <x:c r="F96" s="31" t="inlineStr">
        <x:is>
          <x:t xml:space="preserve">Активен</x:t>
        </x:is>
      </x:c>
      <x:c r="G96" s="31" t="n">
        <x:v>76359</x:v>
      </x:c>
      <x:c r="H96" s="31" t="inlineStr">
        <x:is>
          <x:t xml:space="preserve">e095@severtech-komplekt.ru</x:t>
        </x:is>
      </x:c>
      <x:c r="I96" s="31" t="n">
        <x:v>44802</x:v>
      </x:c>
      <x:c r="J96" s="31" t="n">
        <x:v>45896</x:v>
      </x:c>
      <x:c r="K96" s="31" t="inlineStr">
        <x:is>
          <x:t xml:space="preserve">Штат</x:t>
        </x:is>
      </x:c>
      <x:c r="L96" s="31" t="inlineStr">
        <x:is>
          <x:t xml:space="preserve">Основное место</x:t>
        </x:is>
      </x:c>
    </x:row>
    <x:row r="97" ht="18" customHeight="1">
      <x:c r="A97" s="31" t="inlineStr">
        <x:is>
          <x:t xml:space="preserve">СОТР-096</x:t>
        </x:is>
      </x:c>
      <x:c r="B97" s="31" t="inlineStr">
        <x:is>
          <x:t xml:space="preserve">Семенов Иван Владимирович</x:t>
        </x:is>
      </x:c>
      <x:c r="C97" s="31" t="inlineStr">
        <x:is>
          <x:t xml:space="preserve">Инженер по качеству</x:t>
        </x:is>
      </x:c>
      <x:c r="D97" s="31" t="inlineStr">
        <x:is>
          <x:t xml:space="preserve">ПОДР-010</x:t>
        </x:is>
      </x:c>
      <x:c r="E97" s="31" t="inlineStr">
        <x:is>
          <x:t xml:space="preserve">ОТК</x:t>
        </x:is>
      </x:c>
      <x:c r="F97" s="31" t="inlineStr">
        <x:is>
          <x:t xml:space="preserve">Активен</x:t>
        </x:is>
      </x:c>
      <x:c r="G97" s="31" t="n">
        <x:v>107600</x:v>
      </x:c>
      <x:c r="H97" s="31" t="inlineStr">
        <x:is>
          <x:t xml:space="preserve">e096@severtech-komplekt.ru</x:t>
        </x:is>
      </x:c>
      <x:c r="I97" s="31" t="n">
        <x:v>44603</x:v>
      </x:c>
      <x:c r="J97" s="31" t="n">
        <x:v>45915</x:v>
      </x:c>
      <x:c r="K97" s="31" t="inlineStr">
        <x:is>
          <x:t xml:space="preserve">Штат</x:t>
        </x:is>
      </x:c>
      <x:c r="L97" s="31" t="inlineStr">
        <x:is>
          <x:t xml:space="preserve">Основное место</x:t>
        </x:is>
      </x:c>
    </x:row>
    <x:row r="98" ht="18" customHeight="1">
      <x:c r="A98" s="31" t="inlineStr">
        <x:is>
          <x:t xml:space="preserve">СОТР-097</x:t>
        </x:is>
      </x:c>
      <x:c r="B98" s="31" t="inlineStr">
        <x:is>
          <x:t xml:space="preserve">Зайцев Роман Сергеевна</x:t>
        </x:is>
      </x:c>
      <x:c r="C98" s="31" t="inlineStr">
        <x:is>
          <x:t xml:space="preserve">Инженер по качеству</x:t>
        </x:is>
      </x:c>
      <x:c r="D98" s="31" t="inlineStr">
        <x:is>
          <x:t xml:space="preserve">ПОДР-010</x:t>
        </x:is>
      </x:c>
      <x:c r="E98" s="31" t="inlineStr">
        <x:is>
          <x:t xml:space="preserve">ОТК</x:t>
        </x:is>
      </x:c>
      <x:c r="F98" s="31" t="inlineStr">
        <x:is>
          <x:t xml:space="preserve">Активен</x:t>
        </x:is>
      </x:c>
      <x:c r="G98" s="31" t="n">
        <x:v>143139</x:v>
      </x:c>
      <x:c r="H98" s="31" t="inlineStr">
        <x:is>
          <x:t xml:space="preserve">e097@severtech-komplekt.ru</x:t>
        </x:is>
      </x:c>
      <x:c r="I98" s="31" t="n">
        <x:v>45667</x:v>
      </x:c>
      <x:c r="J98" s="31" t="n">
        <x:v>45807</x:v>
      </x:c>
      <x:c r="K98" s="31" t="inlineStr">
        <x:is>
          <x:t xml:space="preserve">Штат</x:t>
        </x:is>
      </x:c>
      <x:c r="L98" s="31" t="inlineStr">
        <x:is>
          <x:t xml:space="preserve">Основное место</x:t>
        </x:is>
      </x:c>
    </x:row>
    <x:row r="99" ht="18" customHeight="1">
      <x:c r="A99" s="31" t="inlineStr">
        <x:is>
          <x:t xml:space="preserve">СОТР-098</x:t>
        </x:is>
      </x:c>
      <x:c r="B99" s="31" t="inlineStr">
        <x:is>
          <x:t xml:space="preserve">Иванов Екатерина Андреевич</x:t>
        </x:is>
      </x:c>
      <x:c r="C99" s="31" t="inlineStr">
        <x:is>
          <x:t xml:space="preserve">Контролер ОТК</x:t>
        </x:is>
      </x:c>
      <x:c r="D99" s="31" t="inlineStr">
        <x:is>
          <x:t xml:space="preserve">ПОДР-010</x:t>
        </x:is>
      </x:c>
      <x:c r="E99" s="31" t="inlineStr">
        <x:is>
          <x:t xml:space="preserve">ОТК</x:t>
        </x:is>
      </x:c>
      <x:c r="F99" s="31" t="inlineStr">
        <x:is>
          <x:t xml:space="preserve">Активен</x:t>
        </x:is>
      </x:c>
      <x:c r="G99" s="31" t="n">
        <x:v>129038</x:v>
      </x:c>
      <x:c r="H99" s="31" t="inlineStr">
        <x:is>
          <x:t xml:space="preserve">e098@severtech-komplekt.ru</x:t>
        </x:is>
      </x:c>
      <x:c r="I99" s="31" t="n">
        <x:v>45368</x:v>
      </x:c>
      <x:c r="J99" s="31" t="n">
        <x:v>45789</x:v>
      </x:c>
      <x:c r="K99" s="31" t="inlineStr">
        <x:is>
          <x:t xml:space="preserve">Штат</x:t>
        </x:is>
      </x:c>
      <x:c r="L99" s="31" t="inlineStr">
        <x:is>
          <x:t xml:space="preserve">Основное место</x:t>
        </x:is>
      </x:c>
    </x:row>
    <x:row r="100" ht="18" customHeight="1">
      <x:c r="A100" s="31" t="inlineStr">
        <x:is>
          <x:t xml:space="preserve">СОТР-099</x:t>
        </x:is>
      </x:c>
      <x:c r="B100" s="31" t="inlineStr">
        <x:is>
          <x:t xml:space="preserve">Ильин Ирина Дмитриевна</x:t>
        </x:is>
      </x:c>
      <x:c r="C100" s="31" t="inlineStr">
        <x:is>
          <x:t xml:space="preserve">Инженер по качеству</x:t>
        </x:is>
      </x:c>
      <x:c r="D100" s="31" t="inlineStr">
        <x:is>
          <x:t xml:space="preserve">ПОДР-010</x:t>
        </x:is>
      </x:c>
      <x:c r="E100" s="31" t="inlineStr">
        <x:is>
          <x:t xml:space="preserve">ОТК</x:t>
        </x:is>
      </x:c>
      <x:c r="F100" s="31" t="inlineStr">
        <x:is>
          <x:t xml:space="preserve">Активен</x:t>
        </x:is>
      </x:c>
      <x:c r="G100" s="31" t="n">
        <x:v>77196</x:v>
      </x:c>
      <x:c r="H100" s="31" t="inlineStr">
        <x:is>
          <x:t xml:space="preserve">e099@severtech-komplekt.ru</x:t>
        </x:is>
      </x:c>
      <x:c r="I100" s="31" t="n">
        <x:v>44833</x:v>
      </x:c>
      <x:c r="J100" s="31" t="n">
        <x:v>45779</x:v>
      </x:c>
      <x:c r="K100" s="31" t="inlineStr">
        <x:is>
          <x:t xml:space="preserve">Штат</x:t>
        </x:is>
      </x:c>
      <x:c r="L100" s="31" t="inlineStr">
        <x:is>
          <x:t xml:space="preserve">Основное место</x:t>
        </x:is>
      </x:c>
    </x:row>
    <x:row r="101" ht="18" customHeight="1">
      <x:c r="A101" s="31" t="inlineStr">
        <x:is>
          <x:t xml:space="preserve">СОТР-100</x:t>
        </x:is>
      </x:c>
      <x:c r="B101" s="31" t="inlineStr">
        <x:is>
          <x:t xml:space="preserve">Орлов Алина Андреевич</x:t>
        </x:is>
      </x:c>
      <x:c r="C101" s="31" t="inlineStr">
        <x:is>
          <x:t xml:space="preserve">Инженер по качеству</x:t>
        </x:is>
      </x:c>
      <x:c r="D101" s="31" t="inlineStr">
        <x:is>
          <x:t xml:space="preserve">ПОДР-010</x:t>
        </x:is>
      </x:c>
      <x:c r="E101" s="31" t="inlineStr">
        <x:is>
          <x:t xml:space="preserve">ОТК</x:t>
        </x:is>
      </x:c>
      <x:c r="F101" s="31" t="inlineStr">
        <x:is>
          <x:t xml:space="preserve">Активен</x:t>
        </x:is>
      </x:c>
      <x:c r="G101" s="31" t="n">
        <x:v>134588</x:v>
      </x:c>
      <x:c r="H101" s="31" t="inlineStr">
        <x:is>
          <x:t xml:space="preserve">e100@severtech-komplekt.ru</x:t>
        </x:is>
      </x:c>
      <x:c r="I101" s="31" t="n">
        <x:v>44935</x:v>
      </x:c>
      <x:c r="J101" s="31" t="n">
        <x:v>45883</x:v>
      </x:c>
      <x:c r="K101" s="31" t="inlineStr">
        <x:is>
          <x:t xml:space="preserve">Штат</x:t>
        </x:is>
      </x:c>
      <x:c r="L101" s="31" t="inlineStr">
        <x:is>
          <x:t xml:space="preserve">Основное место</x:t>
        </x:is>
      </x:c>
    </x:row>
    <x:row r="102" ht="18" customHeight="1">
      <x:c r="A102" s="31" t="inlineStr">
        <x:is>
          <x:t xml:space="preserve">СОТР-101</x:t>
        </x:is>
      </x:c>
      <x:c r="B102" s="31" t="inlineStr">
        <x:is>
          <x:t xml:space="preserve">Михайлов Роман Дмитриевна</x:t>
        </x:is>
      </x:c>
      <x:c r="C102" s="31" t="inlineStr">
        <x:is>
          <x:t xml:space="preserve">Специалист по отгрузке</x:t>
        </x:is>
      </x:c>
      <x:c r="D102" s="31" t="inlineStr">
        <x:is>
          <x:t xml:space="preserve">ПОДР-011</x:t>
        </x:is>
      </x:c>
      <x:c r="E102" s="31" t="inlineStr">
        <x:is>
          <x:t xml:space="preserve">Логист</x:t>
        </x:is>
      </x:c>
      <x:c r="F102" s="31" t="inlineStr">
        <x:is>
          <x:t xml:space="preserve">Активен</x:t>
        </x:is>
      </x:c>
      <x:c r="G102" s="31" t="n">
        <x:v>95217</x:v>
      </x:c>
      <x:c r="H102" s="31" t="inlineStr">
        <x:is>
          <x:t xml:space="preserve">e101@severtech-komplekt.ru</x:t>
        </x:is>
      </x:c>
      <x:c r="I102" s="31" t="n">
        <x:v>44478</x:v>
      </x:c>
      <x:c r="J102" s="31" t="n">
        <x:v>45764</x:v>
      </x:c>
      <x:c r="K102" s="31" t="inlineStr">
        <x:is>
          <x:t xml:space="preserve">Штат</x:t>
        </x:is>
      </x:c>
      <x:c r="L102" s="31" t="inlineStr">
        <x:is>
          <x:t xml:space="preserve">Основное место</x:t>
        </x:is>
      </x:c>
    </x:row>
    <x:row r="103" ht="18" customHeight="1">
      <x:c r="A103" s="31" t="inlineStr">
        <x:is>
          <x:t xml:space="preserve">СОТР-102</x:t>
        </x:is>
      </x:c>
      <x:c r="B103" s="31" t="inlineStr">
        <x:is>
          <x:t xml:space="preserve">Федоров Андрей Дмитриевна</x:t>
        </x:is>
      </x:c>
      <x:c r="C103" s="31" t="inlineStr">
        <x:is>
          <x:t xml:space="preserve">Логист</x:t>
        </x:is>
      </x:c>
      <x:c r="D103" s="31" t="inlineStr">
        <x:is>
          <x:t xml:space="preserve">ПОДР-011</x:t>
        </x:is>
      </x:c>
      <x:c r="E103" s="31" t="inlineStr">
        <x:is>
          <x:t xml:space="preserve">Логист</x:t>
        </x:is>
      </x:c>
      <x:c r="F103" s="31" t="inlineStr">
        <x:is>
          <x:t xml:space="preserve">Активен</x:t>
        </x:is>
      </x:c>
      <x:c r="G103" s="31" t="n">
        <x:v>128464</x:v>
      </x:c>
      <x:c r="H103" s="31" t="inlineStr">
        <x:is>
          <x:t xml:space="preserve">e102@severtech-komplekt.ru</x:t>
        </x:is>
      </x:c>
      <x:c r="I103" s="31" t="n">
        <x:v>44797</x:v>
      </x:c>
      <x:c r="J103" s="31" t="n">
        <x:v>45967</x:v>
      </x:c>
      <x:c r="K103" s="31" t="inlineStr">
        <x:is>
          <x:t xml:space="preserve">Штат</x:t>
        </x:is>
      </x:c>
      <x:c r="L103" s="31" t="inlineStr">
        <x:is>
          <x:t xml:space="preserve">Основное место</x:t>
        </x:is>
      </x:c>
    </x:row>
    <x:row r="104" ht="18" customHeight="1">
      <x:c r="A104" s="31" t="inlineStr">
        <x:is>
          <x:t xml:space="preserve">СОТР-103</x:t>
        </x:is>
      </x:c>
      <x:c r="B104" s="31" t="inlineStr">
        <x:is>
          <x:t xml:space="preserve">Крылов Наталья Николаевич</x:t>
        </x:is>
      </x:c>
      <x:c r="C104" s="31" t="inlineStr">
        <x:is>
          <x:t xml:space="preserve">Логист</x:t>
        </x:is>
      </x:c>
      <x:c r="D104" s="31" t="inlineStr">
        <x:is>
          <x:t xml:space="preserve">ПОДР-011</x:t>
        </x:is>
      </x:c>
      <x:c r="E104" s="31" t="inlineStr">
        <x:is>
          <x:t xml:space="preserve">Логист</x:t>
        </x:is>
      </x:c>
      <x:c r="F104" s="31" t="inlineStr">
        <x:is>
          <x:t xml:space="preserve">Активен</x:t>
        </x:is>
      </x:c>
      <x:c r="G104" s="31" t="n">
        <x:v>112301</x:v>
      </x:c>
      <x:c r="H104" s="31" t="inlineStr">
        <x:is>
          <x:t xml:space="preserve">e103@severtech-komplekt.ru</x:t>
        </x:is>
      </x:c>
      <x:c r="I104" s="31" t="n">
        <x:v>44598</x:v>
      </x:c>
      <x:c r="J104" s="31" t="n">
        <x:v>45820</x:v>
      </x:c>
      <x:c r="K104" s="31" t="inlineStr">
        <x:is>
          <x:t xml:space="preserve">Штат</x:t>
        </x:is>
      </x:c>
      <x:c r="L104" s="31" t="inlineStr">
        <x:is>
          <x:t xml:space="preserve">Основное место</x:t>
        </x:is>
      </x:c>
    </x:row>
    <x:row r="105" ht="18" customHeight="1">
      <x:c r="A105" s="31" t="inlineStr">
        <x:is>
          <x:t xml:space="preserve">СОТР-104</x:t>
        </x:is>
      </x:c>
      <x:c r="B105" s="31" t="inlineStr">
        <x:is>
          <x:t xml:space="preserve">Иванов Алина Олегович</x:t>
        </x:is>
      </x:c>
      <x:c r="C105" s="31" t="inlineStr">
        <x:is>
          <x:t xml:space="preserve">Логист</x:t>
        </x:is>
      </x:c>
      <x:c r="D105" s="31" t="inlineStr">
        <x:is>
          <x:t xml:space="preserve">ПОДР-011</x:t>
        </x:is>
      </x:c>
      <x:c r="E105" s="31" t="inlineStr">
        <x:is>
          <x:t xml:space="preserve">Логист</x:t>
        </x:is>
      </x:c>
      <x:c r="F105" s="31" t="inlineStr">
        <x:is>
          <x:t xml:space="preserve">Активен</x:t>
        </x:is>
      </x:c>
      <x:c r="G105" s="31" t="n">
        <x:v>72146</x:v>
      </x:c>
      <x:c r="H105" s="31" t="inlineStr">
        <x:is>
          <x:t xml:space="preserve">e104@severtech-komplekt.ru</x:t>
        </x:is>
      </x:c>
      <x:c r="I105" s="31" t="n">
        <x:v>45364</x:v>
      </x:c>
      <x:c r="J105" s="31" t="n">
        <x:v>45815</x:v>
      </x:c>
      <x:c r="K105" s="31" t="inlineStr">
        <x:is>
          <x:t xml:space="preserve">Штат</x:t>
        </x:is>
      </x:c>
      <x:c r="L105" s="31" t="inlineStr">
        <x:is>
          <x:t xml:space="preserve">Основное место</x:t>
        </x:is>
      </x:c>
    </x:row>
    <x:row r="106" ht="18" customHeight="1">
      <x:c r="A106" s="31" t="inlineStr">
        <x:is>
          <x:t xml:space="preserve">СОТР-105</x:t>
        </x:is>
      </x:c>
      <x:c r="B106" s="31" t="inlineStr">
        <x:is>
          <x:t xml:space="preserve">Новиков Ирина Андреевна</x:t>
        </x:is>
      </x:c>
      <x:c r="C106" s="31" t="inlineStr">
        <x:is>
          <x:t xml:space="preserve">Специалист по отгрузке</x:t>
        </x:is>
      </x:c>
      <x:c r="D106" s="31" t="inlineStr">
        <x:is>
          <x:t xml:space="preserve">ПОДР-011</x:t>
        </x:is>
      </x:c>
      <x:c r="E106" s="31" t="inlineStr">
        <x:is>
          <x:t xml:space="preserve">Логист</x:t>
        </x:is>
      </x:c>
      <x:c r="F106" s="31" t="inlineStr">
        <x:is>
          <x:t xml:space="preserve">Активен</x:t>
        </x:is>
      </x:c>
      <x:c r="G106" s="31" t="n">
        <x:v>140243</x:v>
      </x:c>
      <x:c r="H106" s="31" t="inlineStr">
        <x:is>
          <x:t xml:space="preserve">e105@severtech-komplekt.ru</x:t>
        </x:is>
      </x:c>
      <x:c r="I106" s="31" t="n">
        <x:v>44813</x:v>
      </x:c>
      <x:c r="J106" s="31" t="n">
        <x:v>45906</x:v>
      </x:c>
      <x:c r="K106" s="31" t="inlineStr">
        <x:is>
          <x:t xml:space="preserve">Штат</x:t>
        </x:is>
      </x:c>
      <x:c r="L106" s="31" t="inlineStr">
        <x:is>
          <x:t xml:space="preserve">Основное место</x:t>
        </x:is>
      </x:c>
    </x:row>
    <x:row r="107" ht="18" customHeight="1">
      <x:c r="A107" s="31" t="inlineStr">
        <x:is>
          <x:t xml:space="preserve">СОТР-106</x:t>
        </x:is>
      </x:c>
      <x:c r="B107" s="31" t="inlineStr">
        <x:is>
          <x:t xml:space="preserve">Ильин Иван Ильич</x:t>
        </x:is>
      </x:c>
      <x:c r="C107" s="31" t="inlineStr">
        <x:is>
          <x:t xml:space="preserve">Бухгалтер</x:t>
        </x:is>
      </x:c>
      <x:c r="D107" s="31" t="inlineStr">
        <x:is>
          <x:t xml:space="preserve">ПОДР-012</x:t>
        </x:is>
      </x:c>
      <x:c r="E107" s="31" t="inlineStr">
        <x:is>
          <x:t xml:space="preserve">Финансист</x:t>
        </x:is>
      </x:c>
      <x:c r="F107" s="31" t="inlineStr">
        <x:is>
          <x:t xml:space="preserve">Активен</x:t>
        </x:is>
      </x:c>
      <x:c r="G107" s="31" t="n">
        <x:v>127616</x:v>
      </x:c>
      <x:c r="H107" s="31" t="inlineStr">
        <x:is>
          <x:t xml:space="preserve">e106@severtech-komplekt.ru</x:t>
        </x:is>
      </x:c>
      <x:c r="I107" s="31" t="n">
        <x:v>44464</x:v>
      </x:c>
      <x:c r="J107" s="31" t="n">
        <x:v>45699</x:v>
      </x:c>
      <x:c r="K107" s="31" t="inlineStr">
        <x:is>
          <x:t xml:space="preserve">Штат</x:t>
        </x:is>
      </x:c>
      <x:c r="L107" s="31" t="inlineStr">
        <x:is>
          <x:t xml:space="preserve">Основное место</x:t>
        </x:is>
      </x:c>
    </x:row>
    <x:row r="108" ht="18" customHeight="1">
      <x:c r="A108" s="31" t="inlineStr">
        <x:is>
          <x:t xml:space="preserve">СОТР-107</x:t>
        </x:is>
      </x:c>
      <x:c r="B108" s="31" t="inlineStr">
        <x:is>
          <x:t xml:space="preserve">Орлов Мария Дмитриевич</x:t>
        </x:is>
      </x:c>
      <x:c r="C108" s="31" t="inlineStr">
        <x:is>
          <x:t xml:space="preserve">Бухгалтер</x:t>
        </x:is>
      </x:c>
      <x:c r="D108" s="31" t="inlineStr">
        <x:is>
          <x:t xml:space="preserve">ПОДР-012</x:t>
        </x:is>
      </x:c>
      <x:c r="E108" s="31" t="inlineStr">
        <x:is>
          <x:t xml:space="preserve">Финансист</x:t>
        </x:is>
      </x:c>
      <x:c r="F108" s="31" t="inlineStr">
        <x:is>
          <x:t xml:space="preserve">Активен</x:t>
        </x:is>
      </x:c>
      <x:c r="G108" s="31" t="n">
        <x:v>138772</x:v>
      </x:c>
      <x:c r="H108" s="31" t="inlineStr">
        <x:is>
          <x:t xml:space="preserve">e107@severtech-komplekt.ru</x:t>
        </x:is>
      </x:c>
      <x:c r="I108" s="31" t="n">
        <x:v>44853</x:v>
      </x:c>
      <x:c r="J108" s="31" t="n">
        <x:v>45709</x:v>
      </x:c>
      <x:c r="K108" s="31" t="inlineStr">
        <x:is>
          <x:t xml:space="preserve">Штат</x:t>
        </x:is>
      </x:c>
      <x:c r="L108" s="31" t="inlineStr">
        <x:is>
          <x:t xml:space="preserve">Основное место</x:t>
        </x:is>
      </x:c>
    </x:row>
    <x:row r="109" ht="18" customHeight="1">
      <x:c r="A109" s="31" t="inlineStr">
        <x:is>
          <x:t xml:space="preserve">СОТР-108</x:t>
        </x:is>
      </x:c>
      <x:c r="B109" s="31" t="inlineStr">
        <x:is>
          <x:t xml:space="preserve">Семенов Андрей Олегович</x:t>
        </x:is>
      </x:c>
      <x:c r="C109" s="31" t="inlineStr">
        <x:is>
          <x:t xml:space="preserve">Финансовый аналитик</x:t>
        </x:is>
      </x:c>
      <x:c r="D109" s="31" t="inlineStr">
        <x:is>
          <x:t xml:space="preserve">ПОДР-012</x:t>
        </x:is>
      </x:c>
      <x:c r="E109" s="31" t="inlineStr">
        <x:is>
          <x:t xml:space="preserve">Финансист</x:t>
        </x:is>
      </x:c>
      <x:c r="F109" s="31" t="inlineStr">
        <x:is>
          <x:t xml:space="preserve">Активен</x:t>
        </x:is>
      </x:c>
      <x:c r="G109" s="31" t="n">
        <x:v>114856</x:v>
      </x:c>
      <x:c r="H109" s="31" t="inlineStr">
        <x:is>
          <x:t xml:space="preserve">e108@severtech-komplekt.ru</x:t>
        </x:is>
      </x:c>
      <x:c r="I109" s="31" t="n">
        <x:v>45153</x:v>
      </x:c>
      <x:c r="J109" s="31" t="n">
        <x:v>45892</x:v>
      </x:c>
      <x:c r="K109" s="31" t="inlineStr">
        <x:is>
          <x:t xml:space="preserve">Штат</x:t>
        </x:is>
      </x:c>
      <x:c r="L109" s="31" t="inlineStr">
        <x:is>
          <x:t xml:space="preserve">Основное место</x:t>
        </x:is>
      </x:c>
    </x:row>
    <x:row r="110" ht="18" customHeight="1">
      <x:c r="A110" s="31" t="inlineStr">
        <x:is>
          <x:t xml:space="preserve">СОТР-109</x:t>
        </x:is>
      </x:c>
      <x:c r="B110" s="31" t="inlineStr">
        <x:is>
          <x:t xml:space="preserve">Воробьев Ольга Павлович</x:t>
        </x:is>
      </x:c>
      <x:c r="C110" s="31" t="inlineStr">
        <x:is>
          <x:t xml:space="preserve">Финансовый аналитик</x:t>
        </x:is>
      </x:c>
      <x:c r="D110" s="31" t="inlineStr">
        <x:is>
          <x:t xml:space="preserve">ПОДР-012</x:t>
        </x:is>
      </x:c>
      <x:c r="E110" s="31" t="inlineStr">
        <x:is>
          <x:t xml:space="preserve">Финансист</x:t>
        </x:is>
      </x:c>
      <x:c r="F110" s="31" t="inlineStr">
        <x:is>
          <x:t xml:space="preserve">Активен</x:t>
        </x:is>
      </x:c>
      <x:c r="G110" s="31" t="n">
        <x:v>78006</x:v>
      </x:c>
      <x:c r="H110" s="31" t="inlineStr">
        <x:is>
          <x:t xml:space="preserve">e109@severtech-komplekt.ru</x:t>
        </x:is>
      </x:c>
      <x:c r="I110" s="31" t="n">
        <x:v>45793</x:v>
      </x:c>
      <x:c r="J110" s="31" t="n">
        <x:v>45772</x:v>
      </x:c>
      <x:c r="K110" s="31" t="inlineStr">
        <x:is>
          <x:t xml:space="preserve">Штат</x:t>
        </x:is>
      </x:c>
      <x:c r="L110" s="31" t="inlineStr">
        <x:is>
          <x:t xml:space="preserve">Основное место</x:t>
        </x:is>
      </x:c>
    </x:row>
    <x:row r="111" ht="18" customHeight="1">
      <x:c r="A111" s="31" t="inlineStr">
        <x:is>
          <x:t xml:space="preserve">СОТР-110</x:t>
        </x:is>
      </x:c>
      <x:c r="B111" s="31" t="inlineStr">
        <x:is>
          <x:t xml:space="preserve">Зайцев Михаил Алексеевна</x:t>
        </x:is>
      </x:c>
      <x:c r="C111" s="31" t="inlineStr">
        <x:is>
          <x:t xml:space="preserve">Бухгалтер</x:t>
        </x:is>
      </x:c>
      <x:c r="D111" s="31" t="inlineStr">
        <x:is>
          <x:t xml:space="preserve">ПОДР-012</x:t>
        </x:is>
      </x:c>
      <x:c r="E111" s="31" t="inlineStr">
        <x:is>
          <x:t xml:space="preserve">Финансист</x:t>
        </x:is>
      </x:c>
      <x:c r="F111" s="31" t="inlineStr">
        <x:is>
          <x:t xml:space="preserve">Активен</x:t>
        </x:is>
      </x:c>
      <x:c r="G111" s="31" t="n">
        <x:v>137350</x:v>
      </x:c>
      <x:c r="H111" s="31" t="inlineStr">
        <x:is>
          <x:t xml:space="preserve">e110@severtech-komplekt.ru</x:t>
        </x:is>
      </x:c>
      <x:c r="I111" s="31" t="n">
        <x:v>44384</x:v>
      </x:c>
      <x:c r="J111" s="31" t="n">
        <x:v>45746</x:v>
      </x:c>
      <x:c r="K111" s="31" t="inlineStr">
        <x:is>
          <x:t xml:space="preserve">Штат</x:t>
        </x:is>
      </x:c>
      <x:c r="L111" s="31" t="inlineStr">
        <x:is>
          <x:t xml:space="preserve">Основное место</x:t>
        </x:is>
      </x:c>
    </x:row>
    <x:row r="112" ht="18" customHeight="1">
      <x:c r="A112" s="31" t="inlineStr">
        <x:is>
          <x:t xml:space="preserve">СОТР-111</x:t>
        </x:is>
      </x:c>
      <x:c r="B112" s="31" t="inlineStr">
        <x:is>
          <x:t xml:space="preserve">Иванов Олег Михайлович</x:t>
        </x:is>
      </x:c>
      <x:c r="C112" s="31" t="inlineStr">
        <x:is>
          <x:t xml:space="preserve">Инженер ПНР</x:t>
        </x:is>
      </x:c>
      <x:c r="D112" s="31" t="inlineStr">
        <x:is>
          <x:t xml:space="preserve">ПОДР-013</x:t>
        </x:is>
      </x:c>
      <x:c r="E112" s="31" t="inlineStr">
        <x:is>
          <x:t xml:space="preserve">Сервис-инженер</x:t>
        </x:is>
      </x:c>
      <x:c r="F112" s="31" t="inlineStr">
        <x:is>
          <x:t xml:space="preserve">Активен</x:t>
        </x:is>
      </x:c>
      <x:c r="G112" s="31" t="n">
        <x:v>102762</x:v>
      </x:c>
      <x:c r="H112" s="31" t="inlineStr">
        <x:is>
          <x:t xml:space="preserve">e111@severtech-komplekt.ru</x:t>
        </x:is>
      </x:c>
      <x:c r="I112" s="31" t="n">
        <x:v>45678</x:v>
      </x:c>
      <x:c r="J112" s="31" t="n">
        <x:v>45810</x:v>
      </x:c>
      <x:c r="K112" s="31" t="inlineStr">
        <x:is>
          <x:t xml:space="preserve">Штат</x:t>
        </x:is>
      </x:c>
      <x:c r="L112" s="31" t="inlineStr">
        <x:is>
          <x:t xml:space="preserve">Основное место</x:t>
        </x:is>
      </x:c>
    </x:row>
    <x:row r="113" ht="18" customHeight="1">
      <x:c r="A113" s="31" t="inlineStr">
        <x:is>
          <x:t xml:space="preserve">СОТР-112</x:t>
        </x:is>
      </x:c>
      <x:c r="B113" s="31" t="inlineStr">
        <x:is>
          <x:t xml:space="preserve">Ковалев Сергей Алексеевна</x:t>
        </x:is>
      </x:c>
      <x:c r="C113" s="31" t="inlineStr">
        <x:is>
          <x:t xml:space="preserve">Сервис-инженер</x:t>
        </x:is>
      </x:c>
      <x:c r="D113" s="31" t="inlineStr">
        <x:is>
          <x:t xml:space="preserve">ПОДР-013</x:t>
        </x:is>
      </x:c>
      <x:c r="E113" s="31" t="inlineStr">
        <x:is>
          <x:t xml:space="preserve">Сервис-инженер</x:t>
        </x:is>
      </x:c>
      <x:c r="F113" s="31" t="inlineStr">
        <x:is>
          <x:t xml:space="preserve">Активен</x:t>
        </x:is>
      </x:c>
      <x:c r="G113" s="31" t="n">
        <x:v>146927</x:v>
      </x:c>
      <x:c r="H113" s="31" t="inlineStr">
        <x:is>
          <x:t xml:space="preserve">e112@severtech-komplekt.ru</x:t>
        </x:is>
      </x:c>
      <x:c r="I113" s="31" t="n">
        <x:v>45438</x:v>
      </x:c>
      <x:c r="J113" s="31" t="n">
        <x:v>46004</x:v>
      </x:c>
      <x:c r="K113" s="31" t="inlineStr">
        <x:is>
          <x:t xml:space="preserve">Штат</x:t>
        </x:is>
      </x:c>
      <x:c r="L113" s="31" t="inlineStr">
        <x:is>
          <x:t xml:space="preserve">Основное место</x:t>
        </x:is>
      </x:c>
    </x:row>
    <x:row r="114" ht="18" customHeight="1">
      <x:c r="A114" s="31" t="inlineStr">
        <x:is>
          <x:t xml:space="preserve">СОТР-113</x:t>
        </x:is>
      </x:c>
      <x:c r="B114" s="31" t="inlineStr">
        <x:is>
          <x:t xml:space="preserve">Васильев Олег Дмитриевич</x:t>
        </x:is>
      </x:c>
      <x:c r="C114" s="31" t="inlineStr">
        <x:is>
          <x:t xml:space="preserve">Сервис-инженер</x:t>
        </x:is>
      </x:c>
      <x:c r="D114" s="31" t="inlineStr">
        <x:is>
          <x:t xml:space="preserve">ПОДР-013</x:t>
        </x:is>
      </x:c>
      <x:c r="E114" s="31" t="inlineStr">
        <x:is>
          <x:t xml:space="preserve">Сервис-инженер</x:t>
        </x:is>
      </x:c>
      <x:c r="F114" s="31" t="inlineStr">
        <x:is>
          <x:t xml:space="preserve">Активен</x:t>
        </x:is>
      </x:c>
      <x:c r="G114" s="31" t="n">
        <x:v>83643</x:v>
      </x:c>
      <x:c r="H114" s="31" t="inlineStr">
        <x:is>
          <x:t xml:space="preserve">e113@severtech-komplekt.ru</x:t>
        </x:is>
      </x:c>
      <x:c r="I114" s="31" t="n">
        <x:v>44377</x:v>
      </x:c>
      <x:c r="J114" s="31" t="n">
        <x:v>45696</x:v>
      </x:c>
      <x:c r="K114" s="31" t="inlineStr">
        <x:is>
          <x:t xml:space="preserve">Штат</x:t>
        </x:is>
      </x:c>
      <x:c r="L114" s="31" t="inlineStr">
        <x:is>
          <x:t xml:space="preserve">Основное место</x:t>
        </x:is>
      </x:c>
    </x:row>
    <x:row r="115" ht="18" customHeight="1">
      <x:c r="A115" s="31" t="inlineStr">
        <x:is>
          <x:t xml:space="preserve">СОТР-114</x:t>
        </x:is>
      </x:c>
      <x:c r="B115" s="31" t="inlineStr">
        <x:is>
          <x:t xml:space="preserve">Волков Антон Владимирович</x:t>
        </x:is>
      </x:c>
      <x:c r="C115" s="31" t="inlineStr">
        <x:is>
          <x:t xml:space="preserve">Инженер ПНР</x:t>
        </x:is>
      </x:c>
      <x:c r="D115" s="31" t="inlineStr">
        <x:is>
          <x:t xml:space="preserve">ПОДР-013</x:t>
        </x:is>
      </x:c>
      <x:c r="E115" s="31" t="inlineStr">
        <x:is>
          <x:t xml:space="preserve">Сервис-инженер</x:t>
        </x:is>
      </x:c>
      <x:c r="F115" s="31" t="inlineStr">
        <x:is>
          <x:t xml:space="preserve">Активен</x:t>
        </x:is>
      </x:c>
      <x:c r="G115" s="31" t="n">
        <x:v>104857</x:v>
      </x:c>
      <x:c r="H115" s="31" t="inlineStr">
        <x:is>
          <x:t xml:space="preserve">e114@severtech-komplekt.ru</x:t>
        </x:is>
      </x:c>
      <x:c r="I115" s="31" t="n">
        <x:v>45664</x:v>
      </x:c>
      <x:c r="J115" s="31" t="n">
        <x:v>45872</x:v>
      </x:c>
      <x:c r="K115" s="31" t="inlineStr">
        <x:is>
          <x:t xml:space="preserve">Штат</x:t>
        </x:is>
      </x:c>
      <x:c r="L115" s="31" t="inlineStr">
        <x:is>
          <x:t xml:space="preserve">Основное место</x:t>
        </x:is>
      </x:c>
    </x:row>
    <x:row r="116" ht="18" customHeight="1">
      <x:c r="A116" s="31" t="inlineStr">
        <x:is>
          <x:t xml:space="preserve">СОТР-115</x:t>
        </x:is>
      </x:c>
      <x:c r="B116" s="31" t="inlineStr">
        <x:is>
          <x:t xml:space="preserve">Виноградов Екатерина Олегович</x:t>
        </x:is>
      </x:c>
      <x:c r="C116" s="31" t="inlineStr">
        <x:is>
          <x:t xml:space="preserve">Инженер ПНР</x:t>
        </x:is>
      </x:c>
      <x:c r="D116" s="31" t="inlineStr">
        <x:is>
          <x:t xml:space="preserve">ПОДР-013</x:t>
        </x:is>
      </x:c>
      <x:c r="E116" s="31" t="inlineStr">
        <x:is>
          <x:t xml:space="preserve">Сервис-инженер</x:t>
        </x:is>
      </x:c>
      <x:c r="F116" s="31" t="inlineStr">
        <x:is>
          <x:t xml:space="preserve">Активен</x:t>
        </x:is>
      </x:c>
      <x:c r="G116" s="31" t="n">
        <x:v>70224</x:v>
      </x:c>
      <x:c r="H116" s="31" t="inlineStr">
        <x:is>
          <x:t xml:space="preserve">e115@severtech-komplekt.ru</x:t>
        </x:is>
      </x:c>
      <x:c r="I116" s="31" t="n">
        <x:v>45115</x:v>
      </x:c>
      <x:c r="J116" s="31" t="n">
        <x:v>45831</x:v>
      </x:c>
      <x:c r="K116" s="31" t="inlineStr">
        <x:is>
          <x:t xml:space="preserve">Штат</x:t>
        </x:is>
      </x:c>
      <x:c r="L116" s="31" t="inlineStr">
        <x:is>
          <x:t xml:space="preserve">Основное место</x:t>
        </x:is>
      </x:c>
    </x:row>
    <x:row r="117" ht="18" customHeight="1">
      <x:c r="A117" s="31" t="inlineStr">
        <x:is>
          <x:t xml:space="preserve">СОТР-116</x:t>
        </x:is>
      </x:c>
      <x:c r="B117" s="31" t="inlineStr">
        <x:is>
          <x:t xml:space="preserve">Голубев Алексей Дмитриевич</x:t>
        </x:is>
      </x:c>
      <x:c r="C117" s="31" t="inlineStr">
        <x:is>
          <x:t xml:space="preserve">Сервис-инженер</x:t>
        </x:is>
      </x:c>
      <x:c r="D117" s="31" t="inlineStr">
        <x:is>
          <x:t xml:space="preserve">ПОДР-013</x:t>
        </x:is>
      </x:c>
      <x:c r="E117" s="31" t="inlineStr">
        <x:is>
          <x:t xml:space="preserve">Сервис-инженер</x:t>
        </x:is>
      </x:c>
      <x:c r="F117" s="31" t="inlineStr">
        <x:is>
          <x:t xml:space="preserve">Испытательный срок</x:t>
        </x:is>
      </x:c>
      <x:c r="G117" s="31" t="n">
        <x:v>153117</x:v>
      </x:c>
      <x:c r="H117" s="31" t="inlineStr">
        <x:is>
          <x:t xml:space="preserve">e116@severtech-komplekt.ru</x:t>
        </x:is>
      </x:c>
      <x:c r="I117" s="31" t="n">
        <x:v>45913</x:v>
      </x:c>
      <x:c r="J117" s="31" t="n">
        <x:v>45803</x:v>
      </x:c>
      <x:c r="K117" s="31" t="inlineStr">
        <x:is>
          <x:t xml:space="preserve">Штат</x:t>
        </x:is>
      </x:c>
      <x:c r="L117" s="31" t="inlineStr">
        <x:is>
          <x:t xml:space="preserve">Основное место</x:t>
        </x:is>
      </x:c>
    </x:row>
    <x:row r="118" ht="18" customHeight="1">
      <x:c r="A118" s="31" t="inlineStr">
        <x:is>
          <x:t xml:space="preserve">СОТР-117</x:t>
        </x:is>
      </x:c>
      <x:c r="B118" s="31" t="inlineStr">
        <x:is>
          <x:t xml:space="preserve">Смирнов Илья Михайлович</x:t>
        </x:is>
      </x:c>
      <x:c r="C118" s="31" t="inlineStr">
        <x:is>
          <x:t xml:space="preserve">Бизнес-аналитик</x:t>
        </x:is>
      </x:c>
      <x:c r="D118" s="31" t="inlineStr">
        <x:is>
          <x:t xml:space="preserve">ПОДР-014</x:t>
        </x:is>
      </x:c>
      <x:c r="E118" s="31" t="inlineStr">
        <x:is>
          <x:t xml:space="preserve">Администратор</x:t>
        </x:is>
      </x:c>
      <x:c r="F118" s="31" t="inlineStr">
        <x:is>
          <x:t xml:space="preserve">Активен</x:t>
        </x:is>
      </x:c>
      <x:c r="G118" s="31" t="n">
        <x:v>141720</x:v>
      </x:c>
      <x:c r="H118" s="31" t="inlineStr">
        <x:is>
          <x:t xml:space="preserve">e117@severtech-komplekt.ru</x:t>
        </x:is>
      </x:c>
      <x:c r="I118" s="31" t="n">
        <x:v>45123</x:v>
      </x:c>
      <x:c r="J118" s="31" t="n">
        <x:v>45991</x:v>
      </x:c>
      <x:c r="K118" s="31" t="inlineStr">
        <x:is>
          <x:t xml:space="preserve">Штат</x:t>
        </x:is>
      </x:c>
      <x:c r="L118" s="31" t="inlineStr">
        <x:is>
          <x:t xml:space="preserve">Основное место</x:t>
        </x:is>
      </x:c>
    </x:row>
    <x:row r="119" ht="18" customHeight="1">
      <x:c r="A119" s="31" t="inlineStr">
        <x:is>
          <x:t xml:space="preserve">СОТР-118</x:t>
        </x:is>
      </x:c>
      <x:c r="B119" s="31" t="inlineStr">
        <x:is>
          <x:t xml:space="preserve">Гусев Сергей Михайлович</x:t>
        </x:is>
      </x:c>
      <x:c r="C119" s="31" t="inlineStr">
        <x:is>
          <x:t xml:space="preserve">Бизнес-аналитик</x:t>
        </x:is>
      </x:c>
      <x:c r="D119" s="31" t="inlineStr">
        <x:is>
          <x:t xml:space="preserve">ПОДР-014</x:t>
        </x:is>
      </x:c>
      <x:c r="E119" s="31" t="inlineStr">
        <x:is>
          <x:t xml:space="preserve">Администратор</x:t>
        </x:is>
      </x:c>
      <x:c r="F119" s="31" t="inlineStr">
        <x:is>
          <x:t xml:space="preserve">Активен</x:t>
        </x:is>
      </x:c>
      <x:c r="G119" s="31" t="n">
        <x:v>152835</x:v>
      </x:c>
      <x:c r="H119" s="31" t="inlineStr">
        <x:is>
          <x:t xml:space="preserve">e118@severtech-komplekt.ru</x:t>
        </x:is>
      </x:c>
      <x:c r="I119" s="31" t="n">
        <x:v>44445</x:v>
      </x:c>
      <x:c r="J119" s="31" t="n">
        <x:v>45748</x:v>
      </x:c>
      <x:c r="K119" s="31" t="inlineStr">
        <x:is>
          <x:t xml:space="preserve">Штат</x:t>
        </x:is>
      </x:c>
      <x:c r="L119" s="31" t="inlineStr">
        <x:is>
          <x:t xml:space="preserve">Основное место</x:t>
        </x:is>
      </x:c>
    </x:row>
    <x:row r="120" ht="18" customHeight="1">
      <x:c r="A120" s="31" t="inlineStr">
        <x:is>
          <x:t xml:space="preserve">СОТР-119</x:t>
        </x:is>
      </x:c>
      <x:c r="B120" s="31" t="inlineStr">
        <x:is>
          <x:t xml:space="preserve">Михайлов Олег Дмитриевна</x:t>
        </x:is>
      </x:c>
      <x:c r="C120" s="31" t="inlineStr">
        <x:is>
          <x:t xml:space="preserve">Бизнес-аналитик</x:t>
        </x:is>
      </x:c>
      <x:c r="D120" s="31" t="inlineStr">
        <x:is>
          <x:t xml:space="preserve">ПОДР-014</x:t>
        </x:is>
      </x:c>
      <x:c r="E120" s="31" t="inlineStr">
        <x:is>
          <x:t xml:space="preserve">Администратор</x:t>
        </x:is>
      </x:c>
      <x:c r="F120" s="31" t="inlineStr">
        <x:is>
          <x:t xml:space="preserve">Активен</x:t>
        </x:is>
      </x:c>
      <x:c r="G120" s="31" t="n">
        <x:v>117488</x:v>
      </x:c>
      <x:c r="H120" s="31" t="inlineStr">
        <x:is>
          <x:t xml:space="preserve">e119@severtech-komplekt.ru</x:t>
        </x:is>
      </x:c>
      <x:c r="I120" s="31" t="n">
        <x:v>45897</x:v>
      </x:c>
      <x:c r="J120" s="31" t="n">
        <x:v>45947</x:v>
      </x:c>
      <x:c r="K120" s="31" t="inlineStr">
        <x:is>
          <x:t xml:space="preserve">Штат</x:t>
        </x:is>
      </x:c>
      <x:c r="L120" s="31" t="inlineStr">
        <x:is>
          <x:t xml:space="preserve">Основное место</x:t>
        </x:is>
      </x:c>
    </x:row>
    <x:row r="121" ht="18" customHeight="1">
      <x:c r="A121" s="31" t="inlineStr">
        <x:is>
          <x:t xml:space="preserve">СОТР-120</x:t>
        </x:is>
      </x:c>
      <x:c r="B121" s="31" t="inlineStr">
        <x:is>
          <x:t xml:space="preserve">Смирнов Иван Дмитриевич</x:t>
        </x:is>
      </x:c>
      <x:c r="C121" s="31" t="inlineStr">
        <x:is>
          <x:t xml:space="preserve">Бизнес-аналитик</x:t>
        </x:is>
      </x:c>
      <x:c r="D121" s="31" t="inlineStr">
        <x:is>
          <x:t xml:space="preserve">ПОДР-014</x:t>
        </x:is>
      </x:c>
      <x:c r="E121" s="31" t="inlineStr">
        <x:is>
          <x:t xml:space="preserve">Администратор</x:t>
        </x:is>
      </x:c>
      <x:c r="F121" s="31" t="inlineStr">
        <x:is>
          <x:t xml:space="preserve">Активен</x:t>
        </x:is>
      </x:c>
      <x:c r="G121" s="31" t="n">
        <x:v>117976</x:v>
      </x:c>
      <x:c r="H121" s="31" t="inlineStr">
        <x:is>
          <x:t xml:space="preserve">e120@severtech-komplekt.ru</x:t>
        </x:is>
      </x:c>
      <x:c r="I121" s="31" t="n">
        <x:v>45284</x:v>
      </x:c>
      <x:c r="J121" s="31" t="n">
        <x:v>45666</x:v>
      </x:c>
      <x:c r="K121" s="31" t="inlineStr">
        <x:is>
          <x:t xml:space="preserve">Штат</x:t>
        </x:is>
      </x:c>
      <x:c r="L121" s="31" t="inlineStr">
        <x:is>
          <x:t xml:space="preserve">Основное место</x:t>
        </x:is>
      </x:c>
    </x:row>
    <x:row r="122" ht="18" customHeight="1">
      <x:c r="A122" s="31" t="inlineStr">
        <x:is>
          <x:t xml:space="preserve">СОТР-121</x:t>
        </x:is>
      </x:c>
      <x:c r="B122" s="31" t="inlineStr">
        <x:is>
          <x:t xml:space="preserve">Ковалев Олег Алексеевич</x:t>
        </x:is>
      </x:c>
      <x:c r="C122" s="31" t="inlineStr">
        <x:is>
          <x:t xml:space="preserve">Инженер по ОТ и ПБ</x:t>
        </x:is>
      </x:c>
      <x:c r="D122" s="31" t="inlineStr">
        <x:is>
          <x:t xml:space="preserve">ПОДР-015</x:t>
        </x:is>
      </x:c>
      <x:c r="E122" s="31" t="inlineStr">
        <x:is>
          <x:t xml:space="preserve">Администратор</x:t>
        </x:is>
      </x:c>
      <x:c r="F122" s="31" t="inlineStr">
        <x:is>
          <x:t xml:space="preserve">Активен</x:t>
        </x:is>
      </x:c>
      <x:c r="G122" s="31" t="n">
        <x:v>130338</x:v>
      </x:c>
      <x:c r="H122" s="31" t="inlineStr">
        <x:is>
          <x:t xml:space="preserve">e121@severtech-komplekt.ru</x:t>
        </x:is>
      </x:c>
      <x:c r="I122" s="31" t="n">
        <x:v>45511</x:v>
      </x:c>
      <x:c r="J122" s="31" t="n">
        <x:v>45892</x:v>
      </x:c>
      <x:c r="K122" s="31" t="inlineStr">
        <x:is>
          <x:t xml:space="preserve">Штат</x:t>
        </x:is>
      </x:c>
      <x:c r="L122" s="31" t="inlineStr">
        <x:is>
          <x:t xml:space="preserve">Основное место</x:t>
        </x:is>
      </x:c>
    </x:row>
    <x:row r="123" ht="18" customHeight="1">
      <x:c r="A123" s="31" t="inlineStr">
        <x:is>
          <x:t xml:space="preserve">СОТР-122</x:t>
        </x:is>
      </x:c>
      <x:c r="B123" s="31" t="inlineStr">
        <x:is>
          <x:t xml:space="preserve">Кузнецов Павел Николаевич</x:t>
        </x:is>
      </x:c>
      <x:c r="C123" s="31" t="inlineStr">
        <x:is>
          <x:t xml:space="preserve">Инженер по ОТ и ПБ</x:t>
        </x:is>
      </x:c>
      <x:c r="D123" s="31" t="inlineStr">
        <x:is>
          <x:t xml:space="preserve">ПОДР-015</x:t>
        </x:is>
      </x:c>
      <x:c r="E123" s="31" t="inlineStr">
        <x:is>
          <x:t xml:space="preserve">Администратор</x:t>
        </x:is>
      </x:c>
      <x:c r="F123" s="31" t="inlineStr">
        <x:is>
          <x:t xml:space="preserve">Активен</x:t>
        </x:is>
      </x:c>
      <x:c r="G123" s="31" t="n">
        <x:v>128532</x:v>
      </x:c>
      <x:c r="H123" s="31" t="inlineStr">
        <x:is>
          <x:t xml:space="preserve">e122@severtech-komplekt.ru</x:t>
        </x:is>
      </x:c>
      <x:c r="I123" s="31" t="n">
        <x:v>44479</x:v>
      </x:c>
      <x:c r="J123" s="31" t="n">
        <x:v>45680</x:v>
      </x:c>
      <x:c r="K123" s="31" t="inlineStr">
        <x:is>
          <x:t xml:space="preserve">Штат</x:t>
        </x:is>
      </x:c>
      <x:c r="L123" s="31" t="inlineStr">
        <x:is>
          <x:t xml:space="preserve">Основное место</x:t>
        </x:is>
      </x:c>
    </x:row>
    <x:row r="124" ht="18" customHeight="1">
      <x:c r="A124" s="31" t="inlineStr">
        <x:is>
          <x:t xml:space="preserve">СОТР-123</x:t>
        </x:is>
      </x:c>
      <x:c r="B124" s="31" t="inlineStr">
        <x:is>
          <x:t xml:space="preserve">Семенов Алина Сергеевич</x:t>
        </x:is>
      </x:c>
      <x:c r="C124" s="31" t="inlineStr">
        <x:is>
          <x:t xml:space="preserve">Инженер по ОТ и ПБ</x:t>
        </x:is>
      </x:c>
      <x:c r="D124" s="31" t="inlineStr">
        <x:is>
          <x:t xml:space="preserve">ПОДР-015</x:t>
        </x:is>
      </x:c>
      <x:c r="E124" s="31" t="inlineStr">
        <x:is>
          <x:t xml:space="preserve">Администратор</x:t>
        </x:is>
      </x:c>
      <x:c r="F124" s="31" t="inlineStr">
        <x:is>
          <x:t xml:space="preserve">Активен</x:t>
        </x:is>
      </x:c>
      <x:c r="G124" s="31" t="n">
        <x:v>77217</x:v>
      </x:c>
      <x:c r="H124" s="31" t="inlineStr">
        <x:is>
          <x:t xml:space="preserve">e123@severtech-komplekt.ru</x:t>
        </x:is>
      </x:c>
      <x:c r="I124" s="31" t="n">
        <x:v>44691</x:v>
      </x:c>
      <x:c r="J124" s="31" t="n">
        <x:v>45724</x:v>
      </x:c>
      <x:c r="K124" s="31" t="inlineStr">
        <x:is>
          <x:t xml:space="preserve">Штат</x:t>
        </x:is>
      </x:c>
      <x:c r="L124" s="31" t="inlineStr">
        <x:is>
          <x:t xml:space="preserve">Основное место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38" customWidth="1"/>
    <x:col min="3" max="3" width="38" customWidth="1"/>
    <x:col min="4" max="4" width="37" customWidth="1"/>
    <x:col min="5" max="5" width="28" customWidth="1"/>
  </x:cols>
  <x:sheetData>
    <x:row r="1" ht="18" customHeight="1">
      <x:c r="A1" s="30" t="inlineStr">
        <x:is>
          <x:t xml:space="preserve">Роль</x:t>
        </x:is>
      </x:c>
      <x:c r="B1" s="30" t="inlineStr">
        <x:is>
          <x:t xml:space="preserve">Разделы</x:t>
        </x:is>
      </x:c>
      <x:c r="C1" s="30" t="inlineStr">
        <x:is>
          <x:t xml:space="preserve">Базовые права</x:t>
        </x:is>
      </x:c>
      <x:c r="D1" s="30" t="inlineStr">
        <x:is>
          <x:t xml:space="preserve">Ограничение доступа</x:t>
        </x:is>
      </x:c>
      <x:c r="E1" s="30" t="inlineStr">
        <x:is>
          <x:t xml:space="preserve">Ответственный по умолчанию</x:t>
        </x:is>
      </x:c>
    </x:row>
    <x:row r="2" ht="18" customHeight="1">
      <x:c r="A2" s="31" t="inlineStr">
        <x:is>
          <x:t xml:space="preserve">Администратор</x:t>
        </x:is>
      </x:c>
      <x:c r="B2" s="31" t="inlineStr">
        <x:is>
          <x:t xml:space="preserve">Все модули</x:t>
        </x:is>
      </x:c>
      <x:c r="C2" s="31" t="inlineStr">
        <x:is>
          <x:t xml:space="preserve">Полный доступ, настройка ролей, импорт и выгрузка</x:t>
        </x:is>
      </x:c>
      <x:c r="D2" s="31" t="inlineStr">
        <x:is>
          <x:t xml:space="preserve">Нет ограничений</x:t>
        </x:is>
      </x:c>
      <x:c r="E2" s="31" t="inlineStr">
        <x:is>
          <x:t xml:space="preserve">СОТР-089</x:t>
        </x:is>
      </x:c>
    </x:row>
    <x:row r="3" ht="18" customHeight="1">
      <x:c r="A3" s="31" t="inlineStr">
        <x:is>
          <x:t xml:space="preserve">Генеральный директор</x:t>
        </x:is>
      </x:c>
      <x:c r="B3" s="31" t="inlineStr">
        <x:is>
          <x:t xml:space="preserve">Дашборды, финансы, риски</x:t>
        </x:is>
      </x:c>
      <x:c r="C3" s="31" t="inlineStr">
        <x:is>
          <x:t xml:space="preserve">Просмотр всех разделов, согласование крупных сделок</x:t>
        </x:is>
      </x:c>
      <x:c r="D3" s="31" t="inlineStr">
        <x:is>
          <x:t xml:space="preserve">Все подразделения</x:t>
        </x:is>
      </x:c>
      <x:c r="E3" s="31" t="inlineStr">
        <x:is>
          <x:t xml:space="preserve">СОТР-001</x:t>
        </x:is>
      </x:c>
    </x:row>
    <x:row r="4" ht="18" customHeight="1">
      <x:c r="A4" s="31" t="inlineStr">
        <x:is>
          <x:t xml:space="preserve">Руководитель продаж</x:t>
        </x:is>
      </x:c>
      <x:c r="B4" s="31" t="inlineStr">
        <x:is>
          <x:t xml:space="preserve">Продажи, КП, договоры, финансы ограниченно</x:t>
        </x:is>
      </x:c>
      <x:c r="C4" s="31" t="inlineStr">
        <x:is>
          <x:t xml:space="preserve">Создание и редактирование заказчиков, КП и скидок</x:t>
        </x:is>
      </x:c>
      <x:c r="D4" s="31" t="inlineStr">
        <x:is>
          <x:t xml:space="preserve">Только коммерческие данные</x:t>
        </x:is>
      </x:c>
      <x:c r="E4" s="31" t="inlineStr">
        <x:is>
          <x:t xml:space="preserve">СОТР-002</x:t>
        </x:is>
      </x:c>
    </x:row>
    <x:row r="5" ht="18" customHeight="1">
      <x:c r="A5" s="31" t="inlineStr">
        <x:is>
          <x:t xml:space="preserve">Менеджер продаж</x:t>
        </x:is>
      </x:c>
      <x:c r="B5" s="31" t="inlineStr">
        <x:is>
          <x:t xml:space="preserve">Продажи, заказы, счета, задачи</x:t>
        </x:is>
      </x:c>
      <x:c r="C5" s="31" t="inlineStr">
        <x:is>
          <x:t xml:space="preserve">Создание и редактирование своих заказчиков и заказов</x:t>
        </x:is>
      </x:c>
      <x:c r="D5" s="31" t="inlineStr">
        <x:is>
          <x:t xml:space="preserve">Свои заказчики и заказы</x:t>
        </x:is>
      </x:c>
      <x:c r="E5" s="31" t="inlineStr">
        <x:is>
          <x:t xml:space="preserve">СОТР-003</x:t>
        </x:is>
      </x:c>
    </x:row>
    <x:row r="6" ht="18" customHeight="1">
      <x:c r="A6" s="31" t="inlineStr">
        <x:is>
          <x:t xml:space="preserve">Главный инженер</x:t>
        </x:is>
      </x:c>
      <x:c r="B6" s="31" t="inlineStr">
        <x:is>
          <x:t xml:space="preserve">КД, состав изделий, маршруты, изменения</x:t>
        </x:is>
      </x:c>
      <x:c r="C6" s="31" t="inlineStr">
        <x:is>
          <x:t xml:space="preserve">Согласование технических изменений</x:t>
        </x:is>
      </x:c>
      <x:c r="D6" s="31" t="inlineStr">
        <x:is>
          <x:t xml:space="preserve">Все изделия</x:t>
        </x:is>
      </x:c>
      <x:c r="E6" s="31" t="inlineStr">
        <x:is>
          <x:t xml:space="preserve">СОТР-011</x:t>
        </x:is>
      </x:c>
    </x:row>
    <x:row r="7" ht="18" customHeight="1">
      <x:c r="A7" s="31" t="inlineStr">
        <x:is>
          <x:t xml:space="preserve">Инженер-конструктор</x:t>
        </x:is>
      </x:c>
      <x:c r="B7" s="31" t="inlineStr">
        <x:is>
          <x:t xml:space="preserve">КД, состав изделий, задачи</x:t>
        </x:is>
      </x:c>
      <x:c r="C7" s="31" t="inlineStr">
        <x:is>
          <x:t xml:space="preserve">Создание и редактирование назначенных изделий</x:t>
        </x:is>
      </x:c>
      <x:c r="D7" s="31" t="inlineStr">
        <x:is>
          <x:t xml:space="preserve">Только назначенные изделия</x:t>
        </x:is>
      </x:c>
      <x:c r="E7" s="31" t="inlineStr">
        <x:is>
          <x:t xml:space="preserve">СОТР-012</x:t>
        </x:is>
      </x:c>
    </x:row>
    <x:row r="8" ht="18" customHeight="1">
      <x:c r="A8" s="31" t="inlineStr">
        <x:is>
          <x:t xml:space="preserve">Руководитель снабжения</x:t>
        </x:is>
      </x:c>
      <x:c r="B8" s="31" t="inlineStr">
        <x:is>
          <x:t xml:space="preserve">Закупки, поставщики, дефициты</x:t>
        </x:is>
      </x:c>
      <x:c r="C8" s="31" t="inlineStr">
        <x:is>
          <x:t xml:space="preserve">Просмотр закупок, согласование поставщиков и лимитов</x:t>
        </x:is>
      </x:c>
      <x:c r="D8" s="31" t="inlineStr">
        <x:is>
          <x:t xml:space="preserve">Все закупки до лимита</x:t>
        </x:is>
      </x:c>
      <x:c r="E8" s="31" t="inlineStr">
        <x:is>
          <x:t xml:space="preserve">СОТР-018</x:t>
        </x:is>
      </x:c>
    </x:row>
    <x:row r="9" ht="18" customHeight="1">
      <x:c r="A9" s="31" t="inlineStr">
        <x:is>
          <x:t xml:space="preserve">Специалист снабжения</x:t>
        </x:is>
      </x:c>
      <x:c r="B9" s="31" t="inlineStr">
        <x:is>
          <x:t xml:space="preserve">Заявки, поставки, поставщики</x:t>
        </x:is>
      </x:c>
      <x:c r="C9" s="31" t="inlineStr">
        <x:is>
          <x:t xml:space="preserve">Создание заявок закупки, ведение заказов поставщикам</x:t>
        </x:is>
      </x:c>
      <x:c r="D9" s="31" t="inlineStr">
        <x:is>
          <x:t xml:space="preserve">Свои категории материалов</x:t>
        </x:is>
      </x:c>
      <x:c r="E9" s="31" t="inlineStr">
        <x:is>
          <x:t xml:space="preserve">СОТР-019</x:t>
        </x:is>
      </x:c>
    </x:row>
    <x:row r="10" ht="18" customHeight="1">
      <x:c r="A10" s="31" t="inlineStr">
        <x:is>
          <x:t xml:space="preserve">Кладовщик</x:t>
        </x:is>
      </x:c>
      <x:c r="B10" s="31" t="inlineStr">
        <x:is>
          <x:t xml:space="preserve">Склад, резервы, движения</x:t>
        </x:is>
      </x:c>
      <x:c r="C10" s="31" t="inlineStr">
        <x:is>
          <x:t xml:space="preserve">Приемка, выдача, резервирование и корректировка остатков</x:t>
        </x:is>
      </x:c>
      <x:c r="D10" s="31" t="inlineStr">
        <x:is>
          <x:t xml:space="preserve">Складские операции</x:t>
        </x:is>
      </x:c>
      <x:c r="E10" s="31" t="inlineStr">
        <x:is>
          <x:t xml:space="preserve">СОТР-024</x:t>
        </x:is>
      </x:c>
    </x:row>
    <x:row r="11" ht="18" customHeight="1">
      <x:c r="A11" s="31" t="inlineStr">
        <x:is>
          <x:t xml:space="preserve">Начальник производства</x:t>
        </x:is>
      </x:c>
      <x:c r="B11" s="31" t="inlineStr">
        <x:is>
          <x:t xml:space="preserve">Производственные задания, смены, оборудование</x:t>
        </x:is>
      </x:c>
      <x:c r="C11" s="31" t="inlineStr">
        <x:is>
          <x:t xml:space="preserve">Планирование производства и утверждение сменных заданий</x:t>
        </x:is>
      </x:c>
      <x:c r="D11" s="31" t="inlineStr">
        <x:is>
          <x:t xml:space="preserve">Все цеха</x:t>
        </x:is>
      </x:c>
      <x:c r="E11" s="31" t="inlineStr">
        <x:is>
          <x:t xml:space="preserve">СОТР-030</x:t>
        </x:is>
      </x:c>
    </x:row>
    <x:row r="12" ht="18" customHeight="1">
      <x:c r="A12" s="31" t="inlineStr">
        <x:is>
          <x:t xml:space="preserve">Мастер участка</x:t>
        </x:is>
      </x:c>
      <x:c r="B12" s="31" t="inlineStr">
        <x:is>
          <x:t xml:space="preserve">Смены и задания своего участка</x:t>
        </x:is>
      </x:c>
      <x:c r="C12" s="31" t="inlineStr">
        <x:is>
          <x:t xml:space="preserve">Назначение операций и подтверждение смены</x:t>
        </x:is>
      </x:c>
      <x:c r="D12" s="31" t="inlineStr">
        <x:is>
          <x:t xml:space="preserve">Свой участок</x:t>
        </x:is>
      </x:c>
      <x:c r="E12" s="31" t="inlineStr">
        <x:is>
          <x:t xml:space="preserve">СОТР-031</x:t>
        </x:is>
      </x:c>
    </x:row>
    <x:row r="13" ht="18" customHeight="1">
      <x:c r="A13" s="31" t="inlineStr">
        <x:is>
          <x:t xml:space="preserve">Рабочий</x:t>
        </x:is>
      </x:c>
      <x:c r="B13" s="31" t="inlineStr">
        <x:is>
          <x:t xml:space="preserve">Планшет смены</x:t>
        </x:is>
      </x:c>
      <x:c r="C13" s="31" t="inlineStr">
        <x:is>
          <x:t xml:space="preserve">Ввод факта по своим операциям</x:t>
        </x:is>
      </x:c>
      <x:c r="D13" s="31" t="inlineStr">
        <x:is>
          <x:t xml:space="preserve">Только свои операции</x:t>
        </x:is>
      </x:c>
      <x:c r="E13" s="31" t="inlineStr">
        <x:is>
          <x:t xml:space="preserve">СОТР-032</x:t>
        </x:is>
      </x:c>
    </x:row>
    <x:row r="14" ht="18" customHeight="1">
      <x:c r="A14" s="31" t="inlineStr">
        <x:is>
          <x:t xml:space="preserve">ОТК</x:t>
        </x:is>
      </x:c>
      <x:c r="B14" s="31" t="inlineStr">
        <x:is>
          <x:t xml:space="preserve">Контроль качества, блокировки</x:t>
        </x:is>
      </x:c>
      <x:c r="C14" s="31" t="inlineStr">
        <x:is>
          <x:t xml:space="preserve">Создание протоколов ОТК и блокировка отгрузки</x:t>
        </x:is>
      </x:c>
      <x:c r="D14" s="31" t="inlineStr">
        <x:is>
          <x:t xml:space="preserve">Все производственные задания на ОТК</x:t>
        </x:is>
      </x:c>
      <x:c r="E14" s="31" t="inlineStr">
        <x:is>
          <x:t xml:space="preserve">СОТР-063</x:t>
        </x:is>
      </x:c>
    </x:row>
    <x:row r="15" ht="18" customHeight="1">
      <x:c r="A15" s="31" t="inlineStr">
        <x:is>
          <x:t xml:space="preserve">Логист</x:t>
        </x:is>
      </x:c>
      <x:c r="B15" s="31" t="inlineStr">
        <x:is>
          <x:t xml:space="preserve">Отгрузки, ТК, документы</x:t>
        </x:is>
      </x:c>
      <x:c r="C15" s="31" t="inlineStr">
        <x:is>
          <x:t xml:space="preserve">Создание и обновление отгрузок</x:t>
        </x:is>
      </x:c>
      <x:c r="D15" s="31" t="inlineStr">
        <x:is>
          <x:t xml:space="preserve">Готовые заказы</x:t>
        </x:is>
      </x:c>
      <x:c r="E15" s="31" t="inlineStr">
        <x:is>
          <x:t xml:space="preserve">СОТР-070</x:t>
        </x:is>
      </x:c>
    </x:row>
    <x:row r="16" ht="18" customHeight="1">
      <x:c r="A16" s="31" t="inlineStr">
        <x:is>
          <x:t xml:space="preserve">Финансист</x:t>
        </x:is>
      </x:c>
      <x:c r="B16" s="31" t="inlineStr">
        <x:is>
          <x:t xml:space="preserve">Счета, оплаты, ДЗ</x:t>
        </x:is>
      </x:c>
      <x:c r="C16" s="31" t="inlineStr">
        <x:is>
          <x:t xml:space="preserve">Выставление счетов и согласование отгрузки при задолженности</x:t>
        </x:is>
      </x:c>
      <x:c r="D16" s="31" t="inlineStr">
        <x:is>
          <x:t xml:space="preserve">Суммы, лимиты, оплаты</x:t>
        </x:is>
      </x:c>
      <x:c r="E16" s="31" t="inlineStr">
        <x:is>
          <x:t xml:space="preserve">СОТР-076</x:t>
        </x:is>
      </x:c>
    </x:row>
    <x:row r="17" ht="18" customHeight="1">
      <x:c r="A17" s="31" t="inlineStr">
        <x:is>
          <x:t xml:space="preserve">Сервис-инженер</x:t>
        </x:is>
      </x:c>
      <x:c r="B17" s="31" t="inlineStr">
        <x:is>
          <x:t xml:space="preserve">Рекламации, ПНР, корректирующие действия</x:t>
        </x:is>
      </x:c>
      <x:c r="C17" s="31" t="inlineStr">
        <x:is>
          <x:t xml:space="preserve">Ведение сервисных обращений и рекламаций</x:t>
        </x:is>
      </x:c>
      <x:c r="D17" s="31" t="inlineStr">
        <x:is>
          <x:t xml:space="preserve">Назначенные обращения</x:t>
        </x:is>
      </x:c>
      <x:c r="E17" s="31" t="inlineStr">
        <x:is>
          <x:t xml:space="preserve">СОТР-082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9" customWidth="1"/>
    <x:col min="3" max="3" width="27" customWidth="1"/>
    <x:col min="4" max="4" width="20" customWidth="1"/>
    <x:col min="5" max="5" width="24" customWidth="1"/>
    <x:col min="6" max="6" width="38" customWidth="1"/>
  </x:cols>
  <x:sheetData>
    <x:row r="1" ht="18" customHeight="1">
      <x:c r="A1" s="30" t="inlineStr">
        <x:is>
          <x:t xml:space="preserve">Роль</x:t>
        </x:is>
      </x:c>
      <x:c r="B1" s="30" t="inlineStr">
        <x:is>
          <x:t xml:space="preserve">Раздел</x:t>
        </x:is>
      </x:c>
      <x:c r="C1" s="30" t="inlineStr">
        <x:is>
          <x:t xml:space="preserve">Уровень доступа</x:t>
        </x:is>
      </x:c>
      <x:c r="D1" s="30" t="inlineStr">
        <x:is>
          <x:t xml:space="preserve">Право согласования</x:t>
        </x:is>
      </x:c>
      <x:c r="E1" s="30" t="inlineStr">
        <x:is>
          <x:t xml:space="preserve">Ограничение по строкам</x:t>
        </x:is>
      </x:c>
      <x:c r="F1" s="30" t="inlineStr">
        <x:is>
          <x:t xml:space="preserve">Примечание</x:t>
        </x:is>
      </x:c>
    </x:row>
    <x:row r="2" ht="18" customHeight="1">
      <x:c r="A2" s="31" t="inlineStr">
        <x:is>
          <x:t xml:space="preserve">Администратор</x:t>
        </x:is>
      </x:c>
      <x:c r="B2" s="31" t="inlineStr">
        <x:is>
          <x:t xml:space="preserve">Дашборд</x:t>
        </x:is>
      </x:c>
      <x:c r="C2" s="31" t="inlineStr">
        <x:is>
          <x:t xml:space="preserve">Полный доступ</x:t>
        </x:is>
      </x:c>
      <x:c r="D2" s="31" t="inlineStr">
        <x:is>
          <x:t xml:space="preserve">Да</x:t>
        </x:is>
      </x:c>
      <x:c r="E2" s="31" t="inlineStr">
        <x:is>
          <x:t xml:space="preserve">Все</x:t>
        </x:is>
      </x:c>
      <x:c r="F2" s="31" t="inlineStr">
        <x:is>
          <x:t xml:space="preserve">Проверка меню для роли Администратор</x:t>
        </x:is>
      </x:c>
    </x:row>
    <x:row r="3" ht="18" customHeight="1">
      <x:c r="A3" s="31" t="inlineStr">
        <x:is>
          <x:t xml:space="preserve">Администратор</x:t>
        </x:is>
      </x:c>
      <x:c r="B3" s="31" t="inlineStr">
        <x:is>
          <x:t xml:space="preserve">Продажи</x:t>
        </x:is>
      </x:c>
      <x:c r="C3" s="31" t="inlineStr">
        <x:is>
          <x:t xml:space="preserve">Полный доступ</x:t>
        </x:is>
      </x:c>
      <x:c r="D3" s="31" t="inlineStr">
        <x:is>
          <x:t xml:space="preserve">Да</x:t>
        </x:is>
      </x:c>
      <x:c r="E3" s="31" t="inlineStr">
        <x:is>
          <x:t xml:space="preserve">Все</x:t>
        </x:is>
      </x:c>
      <x:c r="F3" s="31" t="inlineStr">
        <x:is>
          <x:t xml:space="preserve">Проверка меню для роли Администратор</x:t>
        </x:is>
      </x:c>
    </x:row>
    <x:row r="4" ht="18" customHeight="1">
      <x:c r="A4" s="31" t="inlineStr">
        <x:is>
          <x:t xml:space="preserve">Администратор</x:t>
        </x:is>
      </x:c>
      <x:c r="B4" s="31" t="inlineStr">
        <x:is>
          <x:t xml:space="preserve">Заказы</x:t>
        </x:is>
      </x:c>
      <x:c r="C4" s="31" t="inlineStr">
        <x:is>
          <x:t xml:space="preserve">Полный доступ</x:t>
        </x:is>
      </x:c>
      <x:c r="D4" s="31" t="inlineStr">
        <x:is>
          <x:t xml:space="preserve">Да</x:t>
        </x:is>
      </x:c>
      <x:c r="E4" s="31" t="inlineStr">
        <x:is>
          <x:t xml:space="preserve">Все</x:t>
        </x:is>
      </x:c>
      <x:c r="F4" s="31" t="inlineStr">
        <x:is>
          <x:t xml:space="preserve">Проверка меню для роли Администратор</x:t>
        </x:is>
      </x:c>
    </x:row>
    <x:row r="5" ht="18" customHeight="1">
      <x:c r="A5" s="31" t="inlineStr">
        <x:is>
          <x:t xml:space="preserve">Администратор</x:t>
        </x:is>
      </x:c>
      <x:c r="B5" s="31" t="inlineStr">
        <x:is>
          <x:t xml:space="preserve">КП/Договоры</x:t>
        </x:is>
      </x:c>
      <x:c r="C5" s="31" t="inlineStr">
        <x:is>
          <x:t xml:space="preserve">Полный доступ</x:t>
        </x:is>
      </x:c>
      <x:c r="D5" s="31" t="inlineStr">
        <x:is>
          <x:t xml:space="preserve">Да</x:t>
        </x:is>
      </x:c>
      <x:c r="E5" s="31" t="inlineStr">
        <x:is>
          <x:t xml:space="preserve">Все</x:t>
        </x:is>
      </x:c>
      <x:c r="F5" s="31" t="inlineStr">
        <x:is>
          <x:t xml:space="preserve">Проверка меню для роли Администратор</x:t>
        </x:is>
      </x:c>
    </x:row>
    <x:row r="6" ht="18" customHeight="1">
      <x:c r="A6" s="31" t="inlineStr">
        <x:is>
          <x:t xml:space="preserve">Администратор</x:t>
        </x:is>
      </x:c>
      <x:c r="B6" s="31" t="inlineStr">
        <x:is>
          <x:t xml:space="preserve">КД/состав изделия</x:t>
        </x:is>
      </x:c>
      <x:c r="C6" s="31" t="inlineStr">
        <x:is>
          <x:t xml:space="preserve">Полный доступ</x:t>
        </x:is>
      </x:c>
      <x:c r="D6" s="31" t="inlineStr">
        <x:is>
          <x:t xml:space="preserve">Да</x:t>
        </x:is>
      </x:c>
      <x:c r="E6" s="31" t="inlineStr">
        <x:is>
          <x:t xml:space="preserve">Все</x:t>
        </x:is>
      </x:c>
      <x:c r="F6" s="31" t="inlineStr">
        <x:is>
          <x:t xml:space="preserve">Проверка меню для роли Администратор</x:t>
        </x:is>
      </x:c>
    </x:row>
    <x:row r="7" ht="18" customHeight="1">
      <x:c r="A7" s="31" t="inlineStr">
        <x:is>
          <x:t xml:space="preserve">Администратор</x:t>
        </x:is>
      </x:c>
      <x:c r="B7" s="31" t="inlineStr">
        <x:is>
          <x:t xml:space="preserve">План производства</x:t>
        </x:is>
      </x:c>
      <x:c r="C7" s="31" t="inlineStr">
        <x:is>
          <x:t xml:space="preserve">Полный доступ</x:t>
        </x:is>
      </x:c>
      <x:c r="D7" s="31" t="inlineStr">
        <x:is>
          <x:t xml:space="preserve">Да</x:t>
        </x:is>
      </x:c>
      <x:c r="E7" s="31" t="inlineStr">
        <x:is>
          <x:t xml:space="preserve">Все</x:t>
        </x:is>
      </x:c>
      <x:c r="F7" s="31" t="inlineStr">
        <x:is>
          <x:t xml:space="preserve">Проверка меню для роли Администратор</x:t>
        </x:is>
      </x:c>
    </x:row>
    <x:row r="8" ht="18" customHeight="1">
      <x:c r="A8" s="31" t="inlineStr">
        <x:is>
          <x:t xml:space="preserve">Администратор</x:t>
        </x:is>
      </x:c>
      <x:c r="B8" s="31" t="inlineStr">
        <x:is>
          <x:t xml:space="preserve">Смены</x:t>
        </x:is>
      </x:c>
      <x:c r="C8" s="31" t="inlineStr">
        <x:is>
          <x:t xml:space="preserve">Полный доступ</x:t>
        </x:is>
      </x:c>
      <x:c r="D8" s="31" t="inlineStr">
        <x:is>
          <x:t xml:space="preserve">Да</x:t>
        </x:is>
      </x:c>
      <x:c r="E8" s="31" t="inlineStr">
        <x:is>
          <x:t xml:space="preserve">Все</x:t>
        </x:is>
      </x:c>
      <x:c r="F8" s="31" t="inlineStr">
        <x:is>
          <x:t xml:space="preserve">Проверка меню для роли Администратор</x:t>
        </x:is>
      </x:c>
    </x:row>
    <x:row r="9" ht="18" customHeight="1">
      <x:c r="A9" s="31" t="inlineStr">
        <x:is>
          <x:t xml:space="preserve">Администратор</x:t>
        </x:is>
      </x:c>
      <x:c r="B9" s="31" t="inlineStr">
        <x:is>
          <x:t xml:space="preserve">Склад</x:t>
        </x:is>
      </x:c>
      <x:c r="C9" s="31" t="inlineStr">
        <x:is>
          <x:t xml:space="preserve">Полный доступ</x:t>
        </x:is>
      </x:c>
      <x:c r="D9" s="31" t="inlineStr">
        <x:is>
          <x:t xml:space="preserve">Да</x:t>
        </x:is>
      </x:c>
      <x:c r="E9" s="31" t="inlineStr">
        <x:is>
          <x:t xml:space="preserve">Все</x:t>
        </x:is>
      </x:c>
      <x:c r="F9" s="31" t="inlineStr">
        <x:is>
          <x:t xml:space="preserve">Проверка меню для роли Администратор</x:t>
        </x:is>
      </x:c>
    </x:row>
    <x:row r="10" ht="18" customHeight="1">
      <x:c r="A10" s="31" t="inlineStr">
        <x:is>
          <x:t xml:space="preserve">Администратор</x:t>
        </x:is>
      </x:c>
      <x:c r="B10" s="31" t="inlineStr">
        <x:is>
          <x:t xml:space="preserve">Закупки</x:t>
        </x:is>
      </x:c>
      <x:c r="C10" s="31" t="inlineStr">
        <x:is>
          <x:t xml:space="preserve">Полный доступ</x:t>
        </x:is>
      </x:c>
      <x:c r="D10" s="31" t="inlineStr">
        <x:is>
          <x:t xml:space="preserve">Да</x:t>
        </x:is>
      </x:c>
      <x:c r="E10" s="31" t="inlineStr">
        <x:is>
          <x:t xml:space="preserve">Все</x:t>
        </x:is>
      </x:c>
      <x:c r="F10" s="31" t="inlineStr">
        <x:is>
          <x:t xml:space="preserve">Проверка меню для роли Администратор</x:t>
        </x:is>
      </x:c>
    </x:row>
    <x:row r="11" ht="18" customHeight="1">
      <x:c r="A11" s="31" t="inlineStr">
        <x:is>
          <x:t xml:space="preserve">Администратор</x:t>
        </x:is>
      </x:c>
      <x:c r="B11" s="31" t="inlineStr">
        <x:is>
          <x:t xml:space="preserve">ОТК</x:t>
        </x:is>
      </x:c>
      <x:c r="C11" s="31" t="inlineStr">
        <x:is>
          <x:t xml:space="preserve">Полный доступ</x:t>
        </x:is>
      </x:c>
      <x:c r="D11" s="31" t="inlineStr">
        <x:is>
          <x:t xml:space="preserve">Да</x:t>
        </x:is>
      </x:c>
      <x:c r="E11" s="31" t="inlineStr">
        <x:is>
          <x:t xml:space="preserve">Все</x:t>
        </x:is>
      </x:c>
      <x:c r="F11" s="31" t="inlineStr">
        <x:is>
          <x:t xml:space="preserve">Проверка меню для роли Администратор</x:t>
        </x:is>
      </x:c>
    </x:row>
    <x:row r="12" ht="18" customHeight="1">
      <x:c r="A12" s="31" t="inlineStr">
        <x:is>
          <x:t xml:space="preserve">Администратор</x:t>
        </x:is>
      </x:c>
      <x:c r="B12" s="31" t="inlineStr">
        <x:is>
          <x:t xml:space="preserve">Логистика</x:t>
        </x:is>
      </x:c>
      <x:c r="C12" s="31" t="inlineStr">
        <x:is>
          <x:t xml:space="preserve">Полный доступ</x:t>
        </x:is>
      </x:c>
      <x:c r="D12" s="31" t="inlineStr">
        <x:is>
          <x:t xml:space="preserve">Да</x:t>
        </x:is>
      </x:c>
      <x:c r="E12" s="31" t="inlineStr">
        <x:is>
          <x:t xml:space="preserve">Все</x:t>
        </x:is>
      </x:c>
      <x:c r="F12" s="31" t="inlineStr">
        <x:is>
          <x:t xml:space="preserve">Проверка меню для роли Администратор</x:t>
        </x:is>
      </x:c>
    </x:row>
    <x:row r="13" ht="18" customHeight="1">
      <x:c r="A13" s="31" t="inlineStr">
        <x:is>
          <x:t xml:space="preserve">Администратор</x:t>
        </x:is>
      </x:c>
      <x:c r="B13" s="31" t="inlineStr">
        <x:is>
          <x:t xml:space="preserve">Финансы</x:t>
        </x:is>
      </x:c>
      <x:c r="C13" s="31" t="inlineStr">
        <x:is>
          <x:t xml:space="preserve">Полный доступ</x:t>
        </x:is>
      </x:c>
      <x:c r="D13" s="31" t="inlineStr">
        <x:is>
          <x:t xml:space="preserve">Да</x:t>
        </x:is>
      </x:c>
      <x:c r="E13" s="31" t="inlineStr">
        <x:is>
          <x:t xml:space="preserve">Все</x:t>
        </x:is>
      </x:c>
      <x:c r="F13" s="31" t="inlineStr">
        <x:is>
          <x:t xml:space="preserve">Проверка меню для роли Администратор</x:t>
        </x:is>
      </x:c>
    </x:row>
    <x:row r="14" ht="18" customHeight="1">
      <x:c r="A14" s="31" t="inlineStr">
        <x:is>
          <x:t xml:space="preserve">Администратор</x:t>
        </x:is>
      </x:c>
      <x:c r="B14" s="31" t="inlineStr">
        <x:is>
          <x:t xml:space="preserve">Сервис</x:t>
        </x:is>
      </x:c>
      <x:c r="C14" s="31" t="inlineStr">
        <x:is>
          <x:t xml:space="preserve">Полный доступ</x:t>
        </x:is>
      </x:c>
      <x:c r="D14" s="31" t="inlineStr">
        <x:is>
          <x:t xml:space="preserve">Да</x:t>
        </x:is>
      </x:c>
      <x:c r="E14" s="31" t="inlineStr">
        <x:is>
          <x:t xml:space="preserve">Все</x:t>
        </x:is>
      </x:c>
      <x:c r="F14" s="31" t="inlineStr">
        <x:is>
          <x:t xml:space="preserve">Проверка меню для роли Администратор</x:t>
        </x:is>
      </x:c>
    </x:row>
    <x:row r="15" ht="18" customHeight="1">
      <x:c r="A15" s="31" t="inlineStr">
        <x:is>
          <x:t xml:space="preserve">Администратор</x:t>
        </x:is>
      </x:c>
      <x:c r="B15" s="31" t="inlineStr">
        <x:is>
          <x:t xml:space="preserve">Согласования</x:t>
        </x:is>
      </x:c>
      <x:c r="C15" s="31" t="inlineStr">
        <x:is>
          <x:t xml:space="preserve">Полный доступ</x:t>
        </x:is>
      </x:c>
      <x:c r="D15" s="31" t="inlineStr">
        <x:is>
          <x:t xml:space="preserve">Да</x:t>
        </x:is>
      </x:c>
      <x:c r="E15" s="31" t="inlineStr">
        <x:is>
          <x:t xml:space="preserve">Все</x:t>
        </x:is>
      </x:c>
      <x:c r="F15" s="31" t="inlineStr">
        <x:is>
          <x:t xml:space="preserve">Проверка меню для роли Администратор</x:t>
        </x:is>
      </x:c>
    </x:row>
    <x:row r="16" ht="18" customHeight="1">
      <x:c r="A16" s="31" t="inlineStr">
        <x:is>
          <x:t xml:space="preserve">Администратор</x:t>
        </x:is>
      </x:c>
      <x:c r="B16" s="31" t="inlineStr">
        <x:is>
          <x:t xml:space="preserve">Отчеты</x:t>
        </x:is>
      </x:c>
      <x:c r="C16" s="31" t="inlineStr">
        <x:is>
          <x:t xml:space="preserve">Полный доступ</x:t>
        </x:is>
      </x:c>
      <x:c r="D16" s="31" t="inlineStr">
        <x:is>
          <x:t xml:space="preserve">Да</x:t>
        </x:is>
      </x:c>
      <x:c r="E16" s="31" t="inlineStr">
        <x:is>
          <x:t xml:space="preserve">Все</x:t>
        </x:is>
      </x:c>
      <x:c r="F16" s="31" t="inlineStr">
        <x:is>
          <x:t xml:space="preserve">Проверка меню для роли Администратор</x:t>
        </x:is>
      </x:c>
    </x:row>
    <x:row r="17" ht="18" customHeight="1">
      <x:c r="A17" s="31" t="inlineStr">
        <x:is>
          <x:t xml:space="preserve">Администратор</x:t>
        </x:is>
      </x:c>
      <x:c r="B17" s="31" t="inlineStr">
        <x:is>
          <x:t xml:space="preserve">Администрирование</x:t>
        </x:is>
      </x:c>
      <x:c r="C17" s="31" t="inlineStr">
        <x:is>
          <x:t xml:space="preserve">Полный доступ</x:t>
        </x:is>
      </x:c>
      <x:c r="D17" s="31" t="inlineStr">
        <x:is>
          <x:t xml:space="preserve">Да</x:t>
        </x:is>
      </x:c>
      <x:c r="E17" s="31" t="inlineStr">
        <x:is>
          <x:t xml:space="preserve">Все</x:t>
        </x:is>
      </x:c>
      <x:c r="F17" s="31" t="inlineStr">
        <x:is>
          <x:t xml:space="preserve">Проверка меню для роли Администратор</x:t>
        </x:is>
      </x:c>
    </x:row>
    <x:row r="18" ht="18" customHeight="1">
      <x:c r="A18" s="31" t="inlineStr">
        <x:is>
          <x:t xml:space="preserve">Генеральный директор</x:t>
        </x:is>
      </x:c>
      <x:c r="B18" s="31" t="inlineStr">
        <x:is>
          <x:t xml:space="preserve">Дашборд</x:t>
        </x:is>
      </x:c>
      <x:c r="C18" s="31" t="inlineStr">
        <x:is>
          <x:t xml:space="preserve">Чтение + согласование</x:t>
        </x:is>
      </x:c>
      <x:c r="D18" s="31" t="inlineStr">
        <x:is>
          <x:t xml:space="preserve">Да</x:t>
        </x:is>
      </x:c>
      <x:c r="E18" s="31" t="inlineStr">
        <x:is>
          <x:t xml:space="preserve">Свои/подразделение</x:t>
        </x:is>
      </x:c>
      <x:c r="F18" s="31" t="inlineStr">
        <x:is>
          <x:t xml:space="preserve">Проверка меню для роли Генеральный директор</x:t>
        </x:is>
      </x:c>
    </x:row>
    <x:row r="19" ht="18" customHeight="1">
      <x:c r="A19" s="31" t="inlineStr">
        <x:is>
          <x:t xml:space="preserve">Генеральный директор</x:t>
        </x:is>
      </x:c>
      <x:c r="B19" s="31" t="inlineStr">
        <x:is>
          <x:t xml:space="preserve">Продажи</x:t>
        </x:is>
      </x:c>
      <x:c r="C19" s="31" t="inlineStr">
        <x:is>
          <x:t xml:space="preserve">Чтение + согласование</x:t>
        </x:is>
      </x:c>
      <x:c r="D19" s="31" t="inlineStr">
        <x:is>
          <x:t xml:space="preserve">Да</x:t>
        </x:is>
      </x:c>
      <x:c r="E19" s="31" t="inlineStr">
        <x:is>
          <x:t xml:space="preserve">Свои/подразделение</x:t>
        </x:is>
      </x:c>
      <x:c r="F19" s="31" t="inlineStr">
        <x:is>
          <x:t xml:space="preserve">Проверка меню для роли Генеральный директор</x:t>
        </x:is>
      </x:c>
    </x:row>
    <x:row r="20" ht="18" customHeight="1">
      <x:c r="A20" s="31" t="inlineStr">
        <x:is>
          <x:t xml:space="preserve">Генеральный директор</x:t>
        </x:is>
      </x:c>
      <x:c r="B20" s="31" t="inlineStr">
        <x:is>
          <x:t xml:space="preserve">Заказы</x:t>
        </x:is>
      </x:c>
      <x:c r="C20" s="31" t="inlineStr">
        <x:is>
          <x:t xml:space="preserve">Чтение + согласование</x:t>
        </x:is>
      </x:c>
      <x:c r="D20" s="31" t="inlineStr">
        <x:is>
          <x:t xml:space="preserve">Да</x:t>
        </x:is>
      </x:c>
      <x:c r="E20" s="31" t="inlineStr">
        <x:is>
          <x:t xml:space="preserve">Свои/подразделение</x:t>
        </x:is>
      </x:c>
      <x:c r="F20" s="31" t="inlineStr">
        <x:is>
          <x:t xml:space="preserve">Проверка меню для роли Генеральный директор</x:t>
        </x:is>
      </x:c>
    </x:row>
    <x:row r="21" ht="18" customHeight="1">
      <x:c r="A21" s="31" t="inlineStr">
        <x:is>
          <x:t xml:space="preserve">Генеральный директор</x:t>
        </x:is>
      </x:c>
      <x:c r="B21" s="31" t="inlineStr">
        <x:is>
          <x:t xml:space="preserve">КП/Договоры</x:t>
        </x:is>
      </x:c>
      <x:c r="C21" s="31" t="inlineStr">
        <x:is>
          <x:t xml:space="preserve">Чтение + согласование</x:t>
        </x:is>
      </x:c>
      <x:c r="D21" s="31" t="inlineStr">
        <x:is>
          <x:t xml:space="preserve">Да</x:t>
        </x:is>
      </x:c>
      <x:c r="E21" s="31" t="inlineStr">
        <x:is>
          <x:t xml:space="preserve">Свои/подразделение</x:t>
        </x:is>
      </x:c>
      <x:c r="F21" s="31" t="inlineStr">
        <x:is>
          <x:t xml:space="preserve">Проверка меню для роли Генеральный директор</x:t>
        </x:is>
      </x:c>
    </x:row>
    <x:row r="22" ht="18" customHeight="1">
      <x:c r="A22" s="31" t="inlineStr">
        <x:is>
          <x:t xml:space="preserve">Генеральный директор</x:t>
        </x:is>
      </x:c>
      <x:c r="B22" s="31" t="inlineStr">
        <x:is>
          <x:t xml:space="preserve">КД/состав изделия</x:t>
        </x:is>
      </x:c>
      <x:c r="C22" s="31" t="inlineStr">
        <x:is>
          <x:t xml:space="preserve">Чтение + согласование</x:t>
        </x:is>
      </x:c>
      <x:c r="D22" s="31" t="inlineStr">
        <x:is>
          <x:t xml:space="preserve">Да</x:t>
        </x:is>
      </x:c>
      <x:c r="E22" s="31" t="inlineStr">
        <x:is>
          <x:t xml:space="preserve">Свои/подразделение</x:t>
        </x:is>
      </x:c>
      <x:c r="F22" s="31" t="inlineStr">
        <x:is>
          <x:t xml:space="preserve">Проверка меню для роли Генеральный директор</x:t>
        </x:is>
      </x:c>
    </x:row>
    <x:row r="23" ht="18" customHeight="1">
      <x:c r="A23" s="31" t="inlineStr">
        <x:is>
          <x:t xml:space="preserve">Генеральный директор</x:t>
        </x:is>
      </x:c>
      <x:c r="B23" s="31" t="inlineStr">
        <x:is>
          <x:t xml:space="preserve">План производства</x:t>
        </x:is>
      </x:c>
      <x:c r="C23" s="31" t="inlineStr">
        <x:is>
          <x:t xml:space="preserve">Чтение + согласование</x:t>
        </x:is>
      </x:c>
      <x:c r="D23" s="31" t="inlineStr">
        <x:is>
          <x:t xml:space="preserve">Да</x:t>
        </x:is>
      </x:c>
      <x:c r="E23" s="31" t="inlineStr">
        <x:is>
          <x:t xml:space="preserve">Свои/подразделение</x:t>
        </x:is>
      </x:c>
      <x:c r="F23" s="31" t="inlineStr">
        <x:is>
          <x:t xml:space="preserve">Проверка меню для роли Генеральный директор</x:t>
        </x:is>
      </x:c>
    </x:row>
    <x:row r="24" ht="18" customHeight="1">
      <x:c r="A24" s="31" t="inlineStr">
        <x:is>
          <x:t xml:space="preserve">Генеральный директор</x:t>
        </x:is>
      </x:c>
      <x:c r="B24" s="31" t="inlineStr">
        <x:is>
          <x:t xml:space="preserve">Смены</x:t>
        </x:is>
      </x:c>
      <x:c r="C24" s="31" t="inlineStr">
        <x:is>
          <x:t xml:space="preserve">Чтение + согласование</x:t>
        </x:is>
      </x:c>
      <x:c r="D24" s="31" t="inlineStr">
        <x:is>
          <x:t xml:space="preserve">Да</x:t>
        </x:is>
      </x:c>
      <x:c r="E24" s="31" t="inlineStr">
        <x:is>
          <x:t xml:space="preserve">Свои/подразделение</x:t>
        </x:is>
      </x:c>
      <x:c r="F24" s="31" t="inlineStr">
        <x:is>
          <x:t xml:space="preserve">Проверка меню для роли Генеральный директор</x:t>
        </x:is>
      </x:c>
    </x:row>
    <x:row r="25" ht="18" customHeight="1">
      <x:c r="A25" s="31" t="inlineStr">
        <x:is>
          <x:t xml:space="preserve">Генеральный директор</x:t>
        </x:is>
      </x:c>
      <x:c r="B25" s="31" t="inlineStr">
        <x:is>
          <x:t xml:space="preserve">Склад</x:t>
        </x:is>
      </x:c>
      <x:c r="C25" s="31" t="inlineStr">
        <x:is>
          <x:t xml:space="preserve">Чтение + согласование</x:t>
        </x:is>
      </x:c>
      <x:c r="D25" s="31" t="inlineStr">
        <x:is>
          <x:t xml:space="preserve">Да</x:t>
        </x:is>
      </x:c>
      <x:c r="E25" s="31" t="inlineStr">
        <x:is>
          <x:t xml:space="preserve">Свои/подразделение</x:t>
        </x:is>
      </x:c>
      <x:c r="F25" s="31" t="inlineStr">
        <x:is>
          <x:t xml:space="preserve">Проверка меню для роли Генеральный директор</x:t>
        </x:is>
      </x:c>
    </x:row>
    <x:row r="26" ht="18" customHeight="1">
      <x:c r="A26" s="31" t="inlineStr">
        <x:is>
          <x:t xml:space="preserve">Генеральный директор</x:t>
        </x:is>
      </x:c>
      <x:c r="B26" s="31" t="inlineStr">
        <x:is>
          <x:t xml:space="preserve">Закупки</x:t>
        </x:is>
      </x:c>
      <x:c r="C26" s="31" t="inlineStr">
        <x:is>
          <x:t xml:space="preserve">Чтение + согласование</x:t>
        </x:is>
      </x:c>
      <x:c r="D26" s="31" t="inlineStr">
        <x:is>
          <x:t xml:space="preserve">Да</x:t>
        </x:is>
      </x:c>
      <x:c r="E26" s="31" t="inlineStr">
        <x:is>
          <x:t xml:space="preserve">Свои/подразделение</x:t>
        </x:is>
      </x:c>
      <x:c r="F26" s="31" t="inlineStr">
        <x:is>
          <x:t xml:space="preserve">Проверка меню для роли Генеральный директор</x:t>
        </x:is>
      </x:c>
    </x:row>
    <x:row r="27" ht="18" customHeight="1">
      <x:c r="A27" s="31" t="inlineStr">
        <x:is>
          <x:t xml:space="preserve">Генеральный директор</x:t>
        </x:is>
      </x:c>
      <x:c r="B27" s="31" t="inlineStr">
        <x:is>
          <x:t xml:space="preserve">ОТК</x:t>
        </x:is>
      </x:c>
      <x:c r="C27" s="31" t="inlineStr">
        <x:is>
          <x:t xml:space="preserve">Чтение + согласование</x:t>
        </x:is>
      </x:c>
      <x:c r="D27" s="31" t="inlineStr">
        <x:is>
          <x:t xml:space="preserve">Да</x:t>
        </x:is>
      </x:c>
      <x:c r="E27" s="31" t="inlineStr">
        <x:is>
          <x:t xml:space="preserve">Свои/подразделение</x:t>
        </x:is>
      </x:c>
      <x:c r="F27" s="31" t="inlineStr">
        <x:is>
          <x:t xml:space="preserve">Проверка меню для роли Генеральный директор</x:t>
        </x:is>
      </x:c>
    </x:row>
    <x:row r="28" ht="18" customHeight="1">
      <x:c r="A28" s="31" t="inlineStr">
        <x:is>
          <x:t xml:space="preserve">Генеральный директор</x:t>
        </x:is>
      </x:c>
      <x:c r="B28" s="31" t="inlineStr">
        <x:is>
          <x:t xml:space="preserve">Логистика</x:t>
        </x:is>
      </x:c>
      <x:c r="C28" s="31" t="inlineStr">
        <x:is>
          <x:t xml:space="preserve">Чтение + согласование</x:t>
        </x:is>
      </x:c>
      <x:c r="D28" s="31" t="inlineStr">
        <x:is>
          <x:t xml:space="preserve">Да</x:t>
        </x:is>
      </x:c>
      <x:c r="E28" s="31" t="inlineStr">
        <x:is>
          <x:t xml:space="preserve">Свои/подразделение</x:t>
        </x:is>
      </x:c>
      <x:c r="F28" s="31" t="inlineStr">
        <x:is>
          <x:t xml:space="preserve">Проверка меню для роли Генеральный директор</x:t>
        </x:is>
      </x:c>
    </x:row>
    <x:row r="29" ht="18" customHeight="1">
      <x:c r="A29" s="31" t="inlineStr">
        <x:is>
          <x:t xml:space="preserve">Генеральный директор</x:t>
        </x:is>
      </x:c>
      <x:c r="B29" s="31" t="inlineStr">
        <x:is>
          <x:t xml:space="preserve">Финансы</x:t>
        </x:is>
      </x:c>
      <x:c r="C29" s="31" t="inlineStr">
        <x:is>
          <x:t xml:space="preserve">Чтение + согласование</x:t>
        </x:is>
      </x:c>
      <x:c r="D29" s="31" t="inlineStr">
        <x:is>
          <x:t xml:space="preserve">Да</x:t>
        </x:is>
      </x:c>
      <x:c r="E29" s="31" t="inlineStr">
        <x:is>
          <x:t xml:space="preserve">Свои/подразделение</x:t>
        </x:is>
      </x:c>
      <x:c r="F29" s="31" t="inlineStr">
        <x:is>
          <x:t xml:space="preserve">Проверка меню для роли Генеральный директор</x:t>
        </x:is>
      </x:c>
    </x:row>
    <x:row r="30" ht="18" customHeight="1">
      <x:c r="A30" s="31" t="inlineStr">
        <x:is>
          <x:t xml:space="preserve">Генеральный директор</x:t>
        </x:is>
      </x:c>
      <x:c r="B30" s="31" t="inlineStr">
        <x:is>
          <x:t xml:space="preserve">Сервис</x:t>
        </x:is>
      </x:c>
      <x:c r="C30" s="31" t="inlineStr">
        <x:is>
          <x:t xml:space="preserve">Чтение + согласование</x:t>
        </x:is>
      </x:c>
      <x:c r="D30" s="31" t="inlineStr">
        <x:is>
          <x:t xml:space="preserve">Да</x:t>
        </x:is>
      </x:c>
      <x:c r="E30" s="31" t="inlineStr">
        <x:is>
          <x:t xml:space="preserve">Свои/подразделение</x:t>
        </x:is>
      </x:c>
      <x:c r="F30" s="31" t="inlineStr">
        <x:is>
          <x:t xml:space="preserve">Проверка меню для роли Генеральный директор</x:t>
        </x:is>
      </x:c>
    </x:row>
    <x:row r="31" ht="18" customHeight="1">
      <x:c r="A31" s="31" t="inlineStr">
        <x:is>
          <x:t xml:space="preserve">Генеральный директор</x:t>
        </x:is>
      </x:c>
      <x:c r="B31" s="31" t="inlineStr">
        <x:is>
          <x:t xml:space="preserve">Согласования</x:t>
        </x:is>
      </x:c>
      <x:c r="C31" s="31" t="inlineStr">
        <x:is>
          <x:t xml:space="preserve">Чтение + согласование</x:t>
        </x:is>
      </x:c>
      <x:c r="D31" s="31" t="inlineStr">
        <x:is>
          <x:t xml:space="preserve">Да</x:t>
        </x:is>
      </x:c>
      <x:c r="E31" s="31" t="inlineStr">
        <x:is>
          <x:t xml:space="preserve">Свои/подразделение</x:t>
        </x:is>
      </x:c>
      <x:c r="F31" s="31" t="inlineStr">
        <x:is>
          <x:t xml:space="preserve">Проверка меню для роли Генеральный директор</x:t>
        </x:is>
      </x:c>
    </x:row>
    <x:row r="32" ht="18" customHeight="1">
      <x:c r="A32" s="31" t="inlineStr">
        <x:is>
          <x:t xml:space="preserve">Генеральный директор</x:t>
        </x:is>
      </x:c>
      <x:c r="B32" s="31" t="inlineStr">
        <x:is>
          <x:t xml:space="preserve">Отчеты</x:t>
        </x:is>
      </x:c>
      <x:c r="C32" s="31" t="inlineStr">
        <x:is>
          <x:t xml:space="preserve">Чтение + согласование</x:t>
        </x:is>
      </x:c>
      <x:c r="D32" s="31" t="inlineStr">
        <x:is>
          <x:t xml:space="preserve">Да</x:t>
        </x:is>
      </x:c>
      <x:c r="E32" s="31" t="inlineStr">
        <x:is>
          <x:t xml:space="preserve">Свои/подразделение</x:t>
        </x:is>
      </x:c>
      <x:c r="F32" s="31" t="inlineStr">
        <x:is>
          <x:t xml:space="preserve">Проверка меню для роли Генеральный директор</x:t>
        </x:is>
      </x:c>
    </x:row>
    <x:row r="33" ht="18" customHeight="1">
      <x:c r="A33" s="31" t="inlineStr">
        <x:is>
          <x:t xml:space="preserve">Генеральный директор</x:t>
        </x:is>
      </x:c>
      <x:c r="B33" s="31" t="inlineStr">
        <x:is>
          <x:t xml:space="preserve">Администрирование</x:t>
        </x:is>
      </x:c>
      <x:c r="C33" s="31" t="inlineStr">
        <x:is>
          <x:t xml:space="preserve">Чтение + согласование</x:t>
        </x:is>
      </x:c>
      <x:c r="D33" s="31" t="inlineStr">
        <x:is>
          <x:t xml:space="preserve">Да</x:t>
        </x:is>
      </x:c>
      <x:c r="E33" s="31" t="inlineStr">
        <x:is>
          <x:t xml:space="preserve">Свои/подразделение</x:t>
        </x:is>
      </x:c>
      <x:c r="F33" s="31" t="inlineStr">
        <x:is>
          <x:t xml:space="preserve">Проверка меню для роли Генеральный директор</x:t>
        </x:is>
      </x:c>
    </x:row>
    <x:row r="34" ht="18" customHeight="1">
      <x:c r="A34" s="31" t="inlineStr">
        <x:is>
          <x:t xml:space="preserve">Руководитель продаж</x:t>
        </x:is>
      </x:c>
      <x:c r="B34" s="31" t="inlineStr">
        <x:is>
          <x:t xml:space="preserve">Дашборд</x:t>
        </x:is>
      </x:c>
      <x:c r="C34" s="31" t="inlineStr">
        <x:is>
          <x:t xml:space="preserve">Создание и редактирование</x:t>
        </x:is>
      </x:c>
      <x:c r="D34" s="31" t="inlineStr">
        <x:is>
          <x:t xml:space="preserve">Нет</x:t>
        </x:is>
      </x:c>
      <x:c r="E34" s="31" t="inlineStr">
        <x:is>
          <x:t xml:space="preserve">Свои/подразделение</x:t>
        </x:is>
      </x:c>
      <x:c r="F34" s="31" t="inlineStr">
        <x:is>
          <x:t xml:space="preserve">Проверка меню для роли Руководитель продаж</x:t>
        </x:is>
      </x:c>
    </x:row>
    <x:row r="35" ht="18" customHeight="1">
      <x:c r="A35" s="31" t="inlineStr">
        <x:is>
          <x:t xml:space="preserve">Руководитель продаж</x:t>
        </x:is>
      </x:c>
      <x:c r="B35" s="31" t="inlineStr">
        <x:is>
          <x:t xml:space="preserve">Продажи</x:t>
        </x:is>
      </x:c>
      <x:c r="C35" s="31" t="inlineStr">
        <x:is>
          <x:t xml:space="preserve">Создание и редактирование</x:t>
        </x:is>
      </x:c>
      <x:c r="D35" s="31" t="inlineStr">
        <x:is>
          <x:t xml:space="preserve">Нет</x:t>
        </x:is>
      </x:c>
      <x:c r="E35" s="31" t="inlineStr">
        <x:is>
          <x:t xml:space="preserve">Свои/подразделение</x:t>
        </x:is>
      </x:c>
      <x:c r="F35" s="31" t="inlineStr">
        <x:is>
          <x:t xml:space="preserve">Проверка меню для роли Руководитель продаж</x:t>
        </x:is>
      </x:c>
    </x:row>
    <x:row r="36" ht="18" customHeight="1">
      <x:c r="A36" s="31" t="inlineStr">
        <x:is>
          <x:t xml:space="preserve">Руководитель продаж</x:t>
        </x:is>
      </x:c>
      <x:c r="B36" s="31" t="inlineStr">
        <x:is>
          <x:t xml:space="preserve">Заказы</x:t>
        </x:is>
      </x:c>
      <x:c r="C36" s="31" t="inlineStr">
        <x:is>
          <x:t xml:space="preserve">Создание и редактирование</x:t>
        </x:is>
      </x:c>
      <x:c r="D36" s="31" t="inlineStr">
        <x:is>
          <x:t xml:space="preserve">Нет</x:t>
        </x:is>
      </x:c>
      <x:c r="E36" s="31" t="inlineStr">
        <x:is>
          <x:t xml:space="preserve">Свои/подразделение</x:t>
        </x:is>
      </x:c>
      <x:c r="F36" s="31" t="inlineStr">
        <x:is>
          <x:t xml:space="preserve">Проверка меню для роли Руководитель продаж</x:t>
        </x:is>
      </x:c>
    </x:row>
    <x:row r="37" ht="18" customHeight="1">
      <x:c r="A37" s="31" t="inlineStr">
        <x:is>
          <x:t xml:space="preserve">Руководитель продаж</x:t>
        </x:is>
      </x:c>
      <x:c r="B37" s="31" t="inlineStr">
        <x:is>
          <x:t xml:space="preserve">КП/Договоры</x:t>
        </x:is>
      </x:c>
      <x:c r="C37" s="31" t="inlineStr">
        <x:is>
          <x:t xml:space="preserve">Создание и редактирование</x:t>
        </x:is>
      </x:c>
      <x:c r="D37" s="31" t="inlineStr">
        <x:is>
          <x:t xml:space="preserve">Нет</x:t>
        </x:is>
      </x:c>
      <x:c r="E37" s="31" t="inlineStr">
        <x:is>
          <x:t xml:space="preserve">Свои/подразделение</x:t>
        </x:is>
      </x:c>
      <x:c r="F37" s="31" t="inlineStr">
        <x:is>
          <x:t xml:space="preserve">Проверка меню для роли Руководитель продаж</x:t>
        </x:is>
      </x:c>
    </x:row>
    <x:row r="38" ht="18" customHeight="1">
      <x:c r="A38" s="31" t="inlineStr">
        <x:is>
          <x:t xml:space="preserve">Руководитель продаж</x:t>
        </x:is>
      </x:c>
      <x:c r="B38" s="31" t="inlineStr">
        <x:is>
          <x:t xml:space="preserve">КД/состав изделия</x:t>
        </x:is>
      </x:c>
      <x:c r="C38" s="31" t="inlineStr">
        <x:is>
          <x:t xml:space="preserve">Нет доступа</x:t>
        </x:is>
      </x:c>
      <x:c r="D38" s="31" t="inlineStr">
        <x:is>
          <x:t xml:space="preserve">Нет</x:t>
        </x:is>
      </x:c>
      <x:c r="E38" s="31" t="n"/>
      <x:c r="F38" s="31" t="inlineStr">
        <x:is>
          <x:t xml:space="preserve">Проверка меню для роли Руководитель продаж</x:t>
        </x:is>
      </x:c>
    </x:row>
    <x:row r="39" ht="18" customHeight="1">
      <x:c r="A39" s="31" t="inlineStr">
        <x:is>
          <x:t xml:space="preserve">Руководитель продаж</x:t>
        </x:is>
      </x:c>
      <x:c r="B39" s="31" t="inlineStr">
        <x:is>
          <x:t xml:space="preserve">План производства</x:t>
        </x:is>
      </x:c>
      <x:c r="C39" s="31" t="inlineStr">
        <x:is>
          <x:t xml:space="preserve">Нет доступа</x:t>
        </x:is>
      </x:c>
      <x:c r="D39" s="31" t="inlineStr">
        <x:is>
          <x:t xml:space="preserve">Нет</x:t>
        </x:is>
      </x:c>
      <x:c r="E39" s="31" t="n"/>
      <x:c r="F39" s="31" t="inlineStr">
        <x:is>
          <x:t xml:space="preserve">Проверка меню для роли Руководитель продаж</x:t>
        </x:is>
      </x:c>
    </x:row>
    <x:row r="40" ht="18" customHeight="1">
      <x:c r="A40" s="31" t="inlineStr">
        <x:is>
          <x:t xml:space="preserve">Руководитель продаж</x:t>
        </x:is>
      </x:c>
      <x:c r="B40" s="31" t="inlineStr">
        <x:is>
          <x:t xml:space="preserve">Смены</x:t>
        </x:is>
      </x:c>
      <x:c r="C40" s="31" t="inlineStr">
        <x:is>
          <x:t xml:space="preserve">Нет доступа</x:t>
        </x:is>
      </x:c>
      <x:c r="D40" s="31" t="inlineStr">
        <x:is>
          <x:t xml:space="preserve">Нет</x:t>
        </x:is>
      </x:c>
      <x:c r="E40" s="31" t="n"/>
      <x:c r="F40" s="31" t="inlineStr">
        <x:is>
          <x:t xml:space="preserve">Проверка меню для роли Руководитель продаж</x:t>
        </x:is>
      </x:c>
    </x:row>
    <x:row r="41" ht="18" customHeight="1">
      <x:c r="A41" s="31" t="inlineStr">
        <x:is>
          <x:t xml:space="preserve">Руководитель продаж</x:t>
        </x:is>
      </x:c>
      <x:c r="B41" s="31" t="inlineStr">
        <x:is>
          <x:t xml:space="preserve">Склад</x:t>
        </x:is>
      </x:c>
      <x:c r="C41" s="31" t="inlineStr">
        <x:is>
          <x:t xml:space="preserve">Нет доступа</x:t>
        </x:is>
      </x:c>
      <x:c r="D41" s="31" t="inlineStr">
        <x:is>
          <x:t xml:space="preserve">Нет</x:t>
        </x:is>
      </x:c>
      <x:c r="E41" s="31" t="n"/>
      <x:c r="F41" s="31" t="inlineStr">
        <x:is>
          <x:t xml:space="preserve">Проверка меню для роли Руководитель продаж</x:t>
        </x:is>
      </x:c>
    </x:row>
    <x:row r="42" ht="18" customHeight="1">
      <x:c r="A42" s="31" t="inlineStr">
        <x:is>
          <x:t xml:space="preserve">Руководитель продаж</x:t>
        </x:is>
      </x:c>
      <x:c r="B42" s="31" t="inlineStr">
        <x:is>
          <x:t xml:space="preserve">Закупки</x:t>
        </x:is>
      </x:c>
      <x:c r="C42" s="31" t="inlineStr">
        <x:is>
          <x:t xml:space="preserve">Нет доступа</x:t>
        </x:is>
      </x:c>
      <x:c r="D42" s="31" t="inlineStr">
        <x:is>
          <x:t xml:space="preserve">Нет</x:t>
        </x:is>
      </x:c>
      <x:c r="E42" s="31" t="n"/>
      <x:c r="F42" s="31" t="inlineStr">
        <x:is>
          <x:t xml:space="preserve">Проверка меню для роли Руководитель продаж</x:t>
        </x:is>
      </x:c>
    </x:row>
    <x:row r="43" ht="18" customHeight="1">
      <x:c r="A43" s="31" t="inlineStr">
        <x:is>
          <x:t xml:space="preserve">Руководитель продаж</x:t>
        </x:is>
      </x:c>
      <x:c r="B43" s="31" t="inlineStr">
        <x:is>
          <x:t xml:space="preserve">ОТК</x:t>
        </x:is>
      </x:c>
      <x:c r="C43" s="31" t="inlineStr">
        <x:is>
          <x:t xml:space="preserve">Нет доступа</x:t>
        </x:is>
      </x:c>
      <x:c r="D43" s="31" t="inlineStr">
        <x:is>
          <x:t xml:space="preserve">Нет</x:t>
        </x:is>
      </x:c>
      <x:c r="E43" s="31" t="n"/>
      <x:c r="F43" s="31" t="inlineStr">
        <x:is>
          <x:t xml:space="preserve">Проверка меню для роли Руководитель продаж</x:t>
        </x:is>
      </x:c>
    </x:row>
    <x:row r="44" ht="18" customHeight="1">
      <x:c r="A44" s="31" t="inlineStr">
        <x:is>
          <x:t xml:space="preserve">Руководитель продаж</x:t>
        </x:is>
      </x:c>
      <x:c r="B44" s="31" t="inlineStr">
        <x:is>
          <x:t xml:space="preserve">Логистика</x:t>
        </x:is>
      </x:c>
      <x:c r="C44" s="31" t="inlineStr">
        <x:is>
          <x:t xml:space="preserve">Нет доступа</x:t>
        </x:is>
      </x:c>
      <x:c r="D44" s="31" t="inlineStr">
        <x:is>
          <x:t xml:space="preserve">Нет</x:t>
        </x:is>
      </x:c>
      <x:c r="E44" s="31" t="n"/>
      <x:c r="F44" s="31" t="inlineStr">
        <x:is>
          <x:t xml:space="preserve">Проверка меню для роли Руководитель продаж</x:t>
        </x:is>
      </x:c>
    </x:row>
    <x:row r="45" ht="18" customHeight="1">
      <x:c r="A45" s="31" t="inlineStr">
        <x:is>
          <x:t xml:space="preserve">Руководитель продаж</x:t>
        </x:is>
      </x:c>
      <x:c r="B45" s="31" t="inlineStr">
        <x:is>
          <x:t xml:space="preserve">Финансы</x:t>
        </x:is>
      </x:c>
      <x:c r="C45" s="31" t="inlineStr">
        <x:is>
          <x:t xml:space="preserve">Создание и редактирование</x:t>
        </x:is>
      </x:c>
      <x:c r="D45" s="31" t="inlineStr">
        <x:is>
          <x:t xml:space="preserve">Нет</x:t>
        </x:is>
      </x:c>
      <x:c r="E45" s="31" t="inlineStr">
        <x:is>
          <x:t xml:space="preserve">Свои/подразделение</x:t>
        </x:is>
      </x:c>
      <x:c r="F45" s="31" t="inlineStr">
        <x:is>
          <x:t xml:space="preserve">Проверка меню для роли Руководитель продаж</x:t>
        </x:is>
      </x:c>
    </x:row>
    <x:row r="46" ht="18" customHeight="1">
      <x:c r="A46" s="31" t="inlineStr">
        <x:is>
          <x:t xml:space="preserve">Руководитель продаж</x:t>
        </x:is>
      </x:c>
      <x:c r="B46" s="31" t="inlineStr">
        <x:is>
          <x:t xml:space="preserve">Сервис</x:t>
        </x:is>
      </x:c>
      <x:c r="C46" s="31" t="inlineStr">
        <x:is>
          <x:t xml:space="preserve">Нет доступа</x:t>
        </x:is>
      </x:c>
      <x:c r="D46" s="31" t="inlineStr">
        <x:is>
          <x:t xml:space="preserve">Нет</x:t>
        </x:is>
      </x:c>
      <x:c r="E46" s="31" t="n"/>
      <x:c r="F46" s="31" t="inlineStr">
        <x:is>
          <x:t xml:space="preserve">Проверка меню для роли Руководитель продаж</x:t>
        </x:is>
      </x:c>
    </x:row>
    <x:row r="47" ht="18" customHeight="1">
      <x:c r="A47" s="31" t="inlineStr">
        <x:is>
          <x:t xml:space="preserve">Руководитель продаж</x:t>
        </x:is>
      </x:c>
      <x:c r="B47" s="31" t="inlineStr">
        <x:is>
          <x:t xml:space="preserve">Согласования</x:t>
        </x:is>
      </x:c>
      <x:c r="C47" s="31" t="inlineStr">
        <x:is>
          <x:t xml:space="preserve">Нет доступа</x:t>
        </x:is>
      </x:c>
      <x:c r="D47" s="31" t="inlineStr">
        <x:is>
          <x:t xml:space="preserve">Нет</x:t>
        </x:is>
      </x:c>
      <x:c r="E47" s="31" t="n"/>
      <x:c r="F47" s="31" t="inlineStr">
        <x:is>
          <x:t xml:space="preserve">Проверка меню для роли Руководитель продаж</x:t>
        </x:is>
      </x:c>
    </x:row>
    <x:row r="48" ht="18" customHeight="1">
      <x:c r="A48" s="31" t="inlineStr">
        <x:is>
          <x:t xml:space="preserve">Руководитель продаж</x:t>
        </x:is>
      </x:c>
      <x:c r="B48" s="31" t="inlineStr">
        <x:is>
          <x:t xml:space="preserve">Отчеты</x:t>
        </x:is>
      </x:c>
      <x:c r="C48" s="31" t="inlineStr">
        <x:is>
          <x:t xml:space="preserve">Создание и редактирование</x:t>
        </x:is>
      </x:c>
      <x:c r="D48" s="31" t="inlineStr">
        <x:is>
          <x:t xml:space="preserve">Нет</x:t>
        </x:is>
      </x:c>
      <x:c r="E48" s="31" t="inlineStr">
        <x:is>
          <x:t xml:space="preserve">Свои/подразделение</x:t>
        </x:is>
      </x:c>
      <x:c r="F48" s="31" t="inlineStr">
        <x:is>
          <x:t xml:space="preserve">Проверка меню для роли Руководитель продаж</x:t>
        </x:is>
      </x:c>
    </x:row>
    <x:row r="49" ht="18" customHeight="1">
      <x:c r="A49" s="31" t="inlineStr">
        <x:is>
          <x:t xml:space="preserve">Руководитель продаж</x:t>
        </x:is>
      </x:c>
      <x:c r="B49" s="31" t="inlineStr">
        <x:is>
          <x:t xml:space="preserve">Администрирование</x:t>
        </x:is>
      </x:c>
      <x:c r="C49" s="31" t="inlineStr">
        <x:is>
          <x:t xml:space="preserve">Нет доступа</x:t>
        </x:is>
      </x:c>
      <x:c r="D49" s="31" t="inlineStr">
        <x:is>
          <x:t xml:space="preserve">Нет</x:t>
        </x:is>
      </x:c>
      <x:c r="E49" s="31" t="n"/>
      <x:c r="F49" s="31" t="inlineStr">
        <x:is>
          <x:t xml:space="preserve">Проверка меню для роли Руководитель продаж</x:t>
        </x:is>
      </x:c>
    </x:row>
    <x:row r="50" ht="18" customHeight="1">
      <x:c r="A50" s="31" t="inlineStr">
        <x:is>
          <x:t xml:space="preserve">Менеджер продаж</x:t>
        </x:is>
      </x:c>
      <x:c r="B50" s="31" t="inlineStr">
        <x:is>
          <x:t xml:space="preserve">Дашборд</x:t>
        </x:is>
      </x:c>
      <x:c r="C50" s="31" t="inlineStr">
        <x:is>
          <x:t xml:space="preserve">Свои записи</x:t>
        </x:is>
      </x:c>
      <x:c r="D50" s="31" t="inlineStr">
        <x:is>
          <x:t xml:space="preserve">Нет</x:t>
        </x:is>
      </x:c>
      <x:c r="E50" s="31" t="inlineStr">
        <x:is>
          <x:t xml:space="preserve">Свои/подразделение</x:t>
        </x:is>
      </x:c>
      <x:c r="F50" s="31" t="inlineStr">
        <x:is>
          <x:t xml:space="preserve">Проверка меню для роли Менеджер продаж</x:t>
        </x:is>
      </x:c>
    </x:row>
    <x:row r="51" ht="18" customHeight="1">
      <x:c r="A51" s="31" t="inlineStr">
        <x:is>
          <x:t xml:space="preserve">Менеджер продаж</x:t>
        </x:is>
      </x:c>
      <x:c r="B51" s="31" t="inlineStr">
        <x:is>
          <x:t xml:space="preserve">Продажи</x:t>
        </x:is>
      </x:c>
      <x:c r="C51" s="31" t="inlineStr">
        <x:is>
          <x:t xml:space="preserve">Свои записи</x:t>
        </x:is>
      </x:c>
      <x:c r="D51" s="31" t="inlineStr">
        <x:is>
          <x:t xml:space="preserve">Нет</x:t>
        </x:is>
      </x:c>
      <x:c r="E51" s="31" t="inlineStr">
        <x:is>
          <x:t xml:space="preserve">Свои/подразделение</x:t>
        </x:is>
      </x:c>
      <x:c r="F51" s="31" t="inlineStr">
        <x:is>
          <x:t xml:space="preserve">Проверка меню для роли Менеджер продаж</x:t>
        </x:is>
      </x:c>
    </x:row>
    <x:row r="52" ht="18" customHeight="1">
      <x:c r="A52" s="31" t="inlineStr">
        <x:is>
          <x:t xml:space="preserve">Менеджер продаж</x:t>
        </x:is>
      </x:c>
      <x:c r="B52" s="31" t="inlineStr">
        <x:is>
          <x:t xml:space="preserve">Заказы</x:t>
        </x:is>
      </x:c>
      <x:c r="C52" s="31" t="inlineStr">
        <x:is>
          <x:t xml:space="preserve">Свои записи</x:t>
        </x:is>
      </x:c>
      <x:c r="D52" s="31" t="inlineStr">
        <x:is>
          <x:t xml:space="preserve">Нет</x:t>
        </x:is>
      </x:c>
      <x:c r="E52" s="31" t="inlineStr">
        <x:is>
          <x:t xml:space="preserve">Свои/подразделение</x:t>
        </x:is>
      </x:c>
      <x:c r="F52" s="31" t="inlineStr">
        <x:is>
          <x:t xml:space="preserve">Проверка меню для роли Менеджер продаж</x:t>
        </x:is>
      </x:c>
    </x:row>
    <x:row r="53" ht="18" customHeight="1">
      <x:c r="A53" s="31" t="inlineStr">
        <x:is>
          <x:t xml:space="preserve">Менеджер продаж</x:t>
        </x:is>
      </x:c>
      <x:c r="B53" s="31" t="inlineStr">
        <x:is>
          <x:t xml:space="preserve">КП/Договоры</x:t>
        </x:is>
      </x:c>
      <x:c r="C53" s="31" t="inlineStr">
        <x:is>
          <x:t xml:space="preserve">Свои записи</x:t>
        </x:is>
      </x:c>
      <x:c r="D53" s="31" t="inlineStr">
        <x:is>
          <x:t xml:space="preserve">Нет</x:t>
        </x:is>
      </x:c>
      <x:c r="E53" s="31" t="inlineStr">
        <x:is>
          <x:t xml:space="preserve">Свои/подразделение</x:t>
        </x:is>
      </x:c>
      <x:c r="F53" s="31" t="inlineStr">
        <x:is>
          <x:t xml:space="preserve">Проверка меню для роли Менеджер продаж</x:t>
        </x:is>
      </x:c>
    </x:row>
    <x:row r="54" ht="18" customHeight="1">
      <x:c r="A54" s="31" t="inlineStr">
        <x:is>
          <x:t xml:space="preserve">Менеджер продаж</x:t>
        </x:is>
      </x:c>
      <x:c r="B54" s="31" t="inlineStr">
        <x:is>
          <x:t xml:space="preserve">КД/состав изделия</x:t>
        </x:is>
      </x:c>
      <x:c r="C54" s="31" t="inlineStr">
        <x:is>
          <x:t xml:space="preserve">Нет доступа</x:t>
        </x:is>
      </x:c>
      <x:c r="D54" s="31" t="inlineStr">
        <x:is>
          <x:t xml:space="preserve">Нет</x:t>
        </x:is>
      </x:c>
      <x:c r="E54" s="31" t="n"/>
      <x:c r="F54" s="31" t="inlineStr">
        <x:is>
          <x:t xml:space="preserve">Проверка меню для роли Менеджер продаж</x:t>
        </x:is>
      </x:c>
    </x:row>
    <x:row r="55" ht="18" customHeight="1">
      <x:c r="A55" s="31" t="inlineStr">
        <x:is>
          <x:t xml:space="preserve">Менеджер продаж</x:t>
        </x:is>
      </x:c>
      <x:c r="B55" s="31" t="inlineStr">
        <x:is>
          <x:t xml:space="preserve">План производства</x:t>
        </x:is>
      </x:c>
      <x:c r="C55" s="31" t="inlineStr">
        <x:is>
          <x:t xml:space="preserve">Нет доступа</x:t>
        </x:is>
      </x:c>
      <x:c r="D55" s="31" t="inlineStr">
        <x:is>
          <x:t xml:space="preserve">Нет</x:t>
        </x:is>
      </x:c>
      <x:c r="E55" s="31" t="n"/>
      <x:c r="F55" s="31" t="inlineStr">
        <x:is>
          <x:t xml:space="preserve">Проверка меню для роли Менеджер продаж</x:t>
        </x:is>
      </x:c>
    </x:row>
    <x:row r="56" ht="18" customHeight="1">
      <x:c r="A56" s="31" t="inlineStr">
        <x:is>
          <x:t xml:space="preserve">Менеджер продаж</x:t>
        </x:is>
      </x:c>
      <x:c r="B56" s="31" t="inlineStr">
        <x:is>
          <x:t xml:space="preserve">Смены</x:t>
        </x:is>
      </x:c>
      <x:c r="C56" s="31" t="inlineStr">
        <x:is>
          <x:t xml:space="preserve">Нет доступа</x:t>
        </x:is>
      </x:c>
      <x:c r="D56" s="31" t="inlineStr">
        <x:is>
          <x:t xml:space="preserve">Нет</x:t>
        </x:is>
      </x:c>
      <x:c r="E56" s="31" t="n"/>
      <x:c r="F56" s="31" t="inlineStr">
        <x:is>
          <x:t xml:space="preserve">Проверка меню для роли Менеджер продаж</x:t>
        </x:is>
      </x:c>
    </x:row>
    <x:row r="57" ht="18" customHeight="1">
      <x:c r="A57" s="31" t="inlineStr">
        <x:is>
          <x:t xml:space="preserve">Менеджер продаж</x:t>
        </x:is>
      </x:c>
      <x:c r="B57" s="31" t="inlineStr">
        <x:is>
          <x:t xml:space="preserve">Склад</x:t>
        </x:is>
      </x:c>
      <x:c r="C57" s="31" t="inlineStr">
        <x:is>
          <x:t xml:space="preserve">Нет доступа</x:t>
        </x:is>
      </x:c>
      <x:c r="D57" s="31" t="inlineStr">
        <x:is>
          <x:t xml:space="preserve">Нет</x:t>
        </x:is>
      </x:c>
      <x:c r="E57" s="31" t="n"/>
      <x:c r="F57" s="31" t="inlineStr">
        <x:is>
          <x:t xml:space="preserve">Проверка меню для роли Менеджер продаж</x:t>
        </x:is>
      </x:c>
    </x:row>
    <x:row r="58" ht="18" customHeight="1">
      <x:c r="A58" s="31" t="inlineStr">
        <x:is>
          <x:t xml:space="preserve">Менеджер продаж</x:t>
        </x:is>
      </x:c>
      <x:c r="B58" s="31" t="inlineStr">
        <x:is>
          <x:t xml:space="preserve">Закупки</x:t>
        </x:is>
      </x:c>
      <x:c r="C58" s="31" t="inlineStr">
        <x:is>
          <x:t xml:space="preserve">Нет доступа</x:t>
        </x:is>
      </x:c>
      <x:c r="D58" s="31" t="inlineStr">
        <x:is>
          <x:t xml:space="preserve">Нет</x:t>
        </x:is>
      </x:c>
      <x:c r="E58" s="31" t="n"/>
      <x:c r="F58" s="31" t="inlineStr">
        <x:is>
          <x:t xml:space="preserve">Проверка меню для роли Менеджер продаж</x:t>
        </x:is>
      </x:c>
    </x:row>
    <x:row r="59" ht="18" customHeight="1">
      <x:c r="A59" s="31" t="inlineStr">
        <x:is>
          <x:t xml:space="preserve">Менеджер продаж</x:t>
        </x:is>
      </x:c>
      <x:c r="B59" s="31" t="inlineStr">
        <x:is>
          <x:t xml:space="preserve">ОТК</x:t>
        </x:is>
      </x:c>
      <x:c r="C59" s="31" t="inlineStr">
        <x:is>
          <x:t xml:space="preserve">Нет доступа</x:t>
        </x:is>
      </x:c>
      <x:c r="D59" s="31" t="inlineStr">
        <x:is>
          <x:t xml:space="preserve">Нет</x:t>
        </x:is>
      </x:c>
      <x:c r="E59" s="31" t="n"/>
      <x:c r="F59" s="31" t="inlineStr">
        <x:is>
          <x:t xml:space="preserve">Проверка меню для роли Менеджер продаж</x:t>
        </x:is>
      </x:c>
    </x:row>
    <x:row r="60" ht="18" customHeight="1">
      <x:c r="A60" s="31" t="inlineStr">
        <x:is>
          <x:t xml:space="preserve">Менеджер продаж</x:t>
        </x:is>
      </x:c>
      <x:c r="B60" s="31" t="inlineStr">
        <x:is>
          <x:t xml:space="preserve">Логистика</x:t>
        </x:is>
      </x:c>
      <x:c r="C60" s="31" t="inlineStr">
        <x:is>
          <x:t xml:space="preserve">Нет доступа</x:t>
        </x:is>
      </x:c>
      <x:c r="D60" s="31" t="inlineStr">
        <x:is>
          <x:t xml:space="preserve">Нет</x:t>
        </x:is>
      </x:c>
      <x:c r="E60" s="31" t="n"/>
      <x:c r="F60" s="31" t="inlineStr">
        <x:is>
          <x:t xml:space="preserve">Проверка меню для роли Менеджер продаж</x:t>
        </x:is>
      </x:c>
    </x:row>
    <x:row r="61" ht="18" customHeight="1">
      <x:c r="A61" s="31" t="inlineStr">
        <x:is>
          <x:t xml:space="preserve">Менеджер продаж</x:t>
        </x:is>
      </x:c>
      <x:c r="B61" s="31" t="inlineStr">
        <x:is>
          <x:t xml:space="preserve">Финансы</x:t>
        </x:is>
      </x:c>
      <x:c r="C61" s="31" t="inlineStr">
        <x:is>
          <x:t xml:space="preserve">Свои записи</x:t>
        </x:is>
      </x:c>
      <x:c r="D61" s="31" t="inlineStr">
        <x:is>
          <x:t xml:space="preserve">Нет</x:t>
        </x:is>
      </x:c>
      <x:c r="E61" s="31" t="inlineStr">
        <x:is>
          <x:t xml:space="preserve">Свои/подразделение</x:t>
        </x:is>
      </x:c>
      <x:c r="F61" s="31" t="inlineStr">
        <x:is>
          <x:t xml:space="preserve">Проверка меню для роли Менеджер продаж</x:t>
        </x:is>
      </x:c>
    </x:row>
    <x:row r="62" ht="18" customHeight="1">
      <x:c r="A62" s="31" t="inlineStr">
        <x:is>
          <x:t xml:space="preserve">Менеджер продаж</x:t>
        </x:is>
      </x:c>
      <x:c r="B62" s="31" t="inlineStr">
        <x:is>
          <x:t xml:space="preserve">Сервис</x:t>
        </x:is>
      </x:c>
      <x:c r="C62" s="31" t="inlineStr">
        <x:is>
          <x:t xml:space="preserve">Нет доступа</x:t>
        </x:is>
      </x:c>
      <x:c r="D62" s="31" t="inlineStr">
        <x:is>
          <x:t xml:space="preserve">Нет</x:t>
        </x:is>
      </x:c>
      <x:c r="E62" s="31" t="n"/>
      <x:c r="F62" s="31" t="inlineStr">
        <x:is>
          <x:t xml:space="preserve">Проверка меню для роли Менеджер продаж</x:t>
        </x:is>
      </x:c>
    </x:row>
    <x:row r="63" ht="18" customHeight="1">
      <x:c r="A63" s="31" t="inlineStr">
        <x:is>
          <x:t xml:space="preserve">Менеджер продаж</x:t>
        </x:is>
      </x:c>
      <x:c r="B63" s="31" t="inlineStr">
        <x:is>
          <x:t xml:space="preserve">Согласования</x:t>
        </x:is>
      </x:c>
      <x:c r="C63" s="31" t="inlineStr">
        <x:is>
          <x:t xml:space="preserve">Нет доступа</x:t>
        </x:is>
      </x:c>
      <x:c r="D63" s="31" t="inlineStr">
        <x:is>
          <x:t xml:space="preserve">Нет</x:t>
        </x:is>
      </x:c>
      <x:c r="E63" s="31" t="n"/>
      <x:c r="F63" s="31" t="inlineStr">
        <x:is>
          <x:t xml:space="preserve">Проверка меню для роли Менеджер продаж</x:t>
        </x:is>
      </x:c>
    </x:row>
    <x:row r="64" ht="18" customHeight="1">
      <x:c r="A64" s="31" t="inlineStr">
        <x:is>
          <x:t xml:space="preserve">Менеджер продаж</x:t>
        </x:is>
      </x:c>
      <x:c r="B64" s="31" t="inlineStr">
        <x:is>
          <x:t xml:space="preserve">Отчеты</x:t>
        </x:is>
      </x:c>
      <x:c r="C64" s="31" t="inlineStr">
        <x:is>
          <x:t xml:space="preserve">Свои записи</x:t>
        </x:is>
      </x:c>
      <x:c r="D64" s="31" t="inlineStr">
        <x:is>
          <x:t xml:space="preserve">Нет</x:t>
        </x:is>
      </x:c>
      <x:c r="E64" s="31" t="inlineStr">
        <x:is>
          <x:t xml:space="preserve">Свои/подразделение</x:t>
        </x:is>
      </x:c>
      <x:c r="F64" s="31" t="inlineStr">
        <x:is>
          <x:t xml:space="preserve">Проверка меню для роли Менеджер продаж</x:t>
        </x:is>
      </x:c>
    </x:row>
    <x:row r="65" ht="18" customHeight="1">
      <x:c r="A65" s="31" t="inlineStr">
        <x:is>
          <x:t xml:space="preserve">Менеджер продаж</x:t>
        </x:is>
      </x:c>
      <x:c r="B65" s="31" t="inlineStr">
        <x:is>
          <x:t xml:space="preserve">Администрирование</x:t>
        </x:is>
      </x:c>
      <x:c r="C65" s="31" t="inlineStr">
        <x:is>
          <x:t xml:space="preserve">Нет доступа</x:t>
        </x:is>
      </x:c>
      <x:c r="D65" s="31" t="inlineStr">
        <x:is>
          <x:t xml:space="preserve">Нет</x:t>
        </x:is>
      </x:c>
      <x:c r="E65" s="31" t="n"/>
      <x:c r="F65" s="31" t="inlineStr">
        <x:is>
          <x:t xml:space="preserve">Проверка меню для роли Менеджер продаж</x:t>
        </x:is>
      </x:c>
    </x:row>
    <x:row r="66" ht="18" customHeight="1">
      <x:c r="A66" s="31" t="inlineStr">
        <x:is>
          <x:t xml:space="preserve">Главный инженер</x:t>
        </x:is>
      </x:c>
      <x:c r="B66" s="31" t="inlineStr">
        <x:is>
          <x:t xml:space="preserve">Дашборд</x:t>
        </x:is>
      </x:c>
      <x:c r="C66" s="31" t="inlineStr">
        <x:is>
          <x:t xml:space="preserve">Нет доступа</x:t>
        </x:is>
      </x:c>
      <x:c r="D66" s="31" t="inlineStr">
        <x:is>
          <x:t xml:space="preserve">Нет</x:t>
        </x:is>
      </x:c>
      <x:c r="E66" s="31" t="n"/>
      <x:c r="F66" s="31" t="inlineStr">
        <x:is>
          <x:t xml:space="preserve">Проверка меню для роли Главный инженер</x:t>
        </x:is>
      </x:c>
    </x:row>
    <x:row r="67" ht="18" customHeight="1">
      <x:c r="A67" s="31" t="inlineStr">
        <x:is>
          <x:t xml:space="preserve">Главный инженер</x:t>
        </x:is>
      </x:c>
      <x:c r="B67" s="31" t="inlineStr">
        <x:is>
          <x:t xml:space="preserve">Продажи</x:t>
        </x:is>
      </x:c>
      <x:c r="C67" s="31" t="inlineStr">
        <x:is>
          <x:t xml:space="preserve">Нет доступа</x:t>
        </x:is>
      </x:c>
      <x:c r="D67" s="31" t="inlineStr">
        <x:is>
          <x:t xml:space="preserve">Нет</x:t>
        </x:is>
      </x:c>
      <x:c r="E67" s="31" t="n"/>
      <x:c r="F67" s="31" t="inlineStr">
        <x:is>
          <x:t xml:space="preserve">Проверка меню для роли Главный инженер</x:t>
        </x:is>
      </x:c>
    </x:row>
    <x:row r="68" ht="18" customHeight="1">
      <x:c r="A68" s="31" t="inlineStr">
        <x:is>
          <x:t xml:space="preserve">Главный инженер</x:t>
        </x:is>
      </x:c>
      <x:c r="B68" s="31" t="inlineStr">
        <x:is>
          <x:t xml:space="preserve">Заказы</x:t>
        </x:is>
      </x:c>
      <x:c r="C68" s="31" t="inlineStr">
        <x:is>
          <x:t xml:space="preserve">Согласование</x:t>
        </x:is>
      </x:c>
      <x:c r="D68" s="31" t="inlineStr">
        <x:is>
          <x:t xml:space="preserve">Да</x:t>
        </x:is>
      </x:c>
      <x:c r="E68" s="31" t="inlineStr">
        <x:is>
          <x:t xml:space="preserve">Свои/подразделение</x:t>
        </x:is>
      </x:c>
      <x:c r="F68" s="31" t="inlineStr">
        <x:is>
          <x:t xml:space="preserve">Проверка меню для роли Главный инженер</x:t>
        </x:is>
      </x:c>
    </x:row>
    <x:row r="69" ht="18" customHeight="1">
      <x:c r="A69" s="31" t="inlineStr">
        <x:is>
          <x:t xml:space="preserve">Главный инженер</x:t>
        </x:is>
      </x:c>
      <x:c r="B69" s="31" t="inlineStr">
        <x:is>
          <x:t xml:space="preserve">КП/Договоры</x:t>
        </x:is>
      </x:c>
      <x:c r="C69" s="31" t="inlineStr">
        <x:is>
          <x:t xml:space="preserve">Нет доступа</x:t>
        </x:is>
      </x:c>
      <x:c r="D69" s="31" t="inlineStr">
        <x:is>
          <x:t xml:space="preserve">Нет</x:t>
        </x:is>
      </x:c>
      <x:c r="E69" s="31" t="n"/>
      <x:c r="F69" s="31" t="inlineStr">
        <x:is>
          <x:t xml:space="preserve">Проверка меню для роли Главный инженер</x:t>
        </x:is>
      </x:c>
    </x:row>
    <x:row r="70" ht="18" customHeight="1">
      <x:c r="A70" s="31" t="inlineStr">
        <x:is>
          <x:t xml:space="preserve">Главный инженер</x:t>
        </x:is>
      </x:c>
      <x:c r="B70" s="31" t="inlineStr">
        <x:is>
          <x:t xml:space="preserve">КД/состав изделия</x:t>
        </x:is>
      </x:c>
      <x:c r="C70" s="31" t="inlineStr">
        <x:is>
          <x:t xml:space="preserve">Согласование</x:t>
        </x:is>
      </x:c>
      <x:c r="D70" s="31" t="inlineStr">
        <x:is>
          <x:t xml:space="preserve">Да</x:t>
        </x:is>
      </x:c>
      <x:c r="E70" s="31" t="inlineStr">
        <x:is>
          <x:t xml:space="preserve">Свои/подразделение</x:t>
        </x:is>
      </x:c>
      <x:c r="F70" s="31" t="inlineStr">
        <x:is>
          <x:t xml:space="preserve">Проверка меню для роли Главный инженер</x:t>
        </x:is>
      </x:c>
    </x:row>
    <x:row r="71" ht="18" customHeight="1">
      <x:c r="A71" s="31" t="inlineStr">
        <x:is>
          <x:t xml:space="preserve">Главный инженер</x:t>
        </x:is>
      </x:c>
      <x:c r="B71" s="31" t="inlineStr">
        <x:is>
          <x:t xml:space="preserve">План производства</x:t>
        </x:is>
      </x:c>
      <x:c r="C71" s="31" t="inlineStr">
        <x:is>
          <x:t xml:space="preserve">Согласование</x:t>
        </x:is>
      </x:c>
      <x:c r="D71" s="31" t="inlineStr">
        <x:is>
          <x:t xml:space="preserve">Да</x:t>
        </x:is>
      </x:c>
      <x:c r="E71" s="31" t="inlineStr">
        <x:is>
          <x:t xml:space="preserve">Свои/подразделение</x:t>
        </x:is>
      </x:c>
      <x:c r="F71" s="31" t="inlineStr">
        <x:is>
          <x:t xml:space="preserve">Проверка меню для роли Главный инженер</x:t>
        </x:is>
      </x:c>
    </x:row>
    <x:row r="72" ht="18" customHeight="1">
      <x:c r="A72" s="31" t="inlineStr">
        <x:is>
          <x:t xml:space="preserve">Главный инженер</x:t>
        </x:is>
      </x:c>
      <x:c r="B72" s="31" t="inlineStr">
        <x:is>
          <x:t xml:space="preserve">Смены</x:t>
        </x:is>
      </x:c>
      <x:c r="C72" s="31" t="inlineStr">
        <x:is>
          <x:t xml:space="preserve">Нет доступа</x:t>
        </x:is>
      </x:c>
      <x:c r="D72" s="31" t="inlineStr">
        <x:is>
          <x:t xml:space="preserve">Нет</x:t>
        </x:is>
      </x:c>
      <x:c r="E72" s="31" t="n"/>
      <x:c r="F72" s="31" t="inlineStr">
        <x:is>
          <x:t xml:space="preserve">Проверка меню для роли Главный инженер</x:t>
        </x:is>
      </x:c>
    </x:row>
    <x:row r="73" ht="18" customHeight="1">
      <x:c r="A73" s="31" t="inlineStr">
        <x:is>
          <x:t xml:space="preserve">Главный инженер</x:t>
        </x:is>
      </x:c>
      <x:c r="B73" s="31" t="inlineStr">
        <x:is>
          <x:t xml:space="preserve">Склад</x:t>
        </x:is>
      </x:c>
      <x:c r="C73" s="31" t="inlineStr">
        <x:is>
          <x:t xml:space="preserve">Нет доступа</x:t>
        </x:is>
      </x:c>
      <x:c r="D73" s="31" t="inlineStr">
        <x:is>
          <x:t xml:space="preserve">Нет</x:t>
        </x:is>
      </x:c>
      <x:c r="E73" s="31" t="n"/>
      <x:c r="F73" s="31" t="inlineStr">
        <x:is>
          <x:t xml:space="preserve">Проверка меню для роли Главный инженер</x:t>
        </x:is>
      </x:c>
    </x:row>
    <x:row r="74" ht="18" customHeight="1">
      <x:c r="A74" s="31" t="inlineStr">
        <x:is>
          <x:t xml:space="preserve">Главный инженер</x:t>
        </x:is>
      </x:c>
      <x:c r="B74" s="31" t="inlineStr">
        <x:is>
          <x:t xml:space="preserve">Закупки</x:t>
        </x:is>
      </x:c>
      <x:c r="C74" s="31" t="inlineStr">
        <x:is>
          <x:t xml:space="preserve">Нет доступа</x:t>
        </x:is>
      </x:c>
      <x:c r="D74" s="31" t="inlineStr">
        <x:is>
          <x:t xml:space="preserve">Нет</x:t>
        </x:is>
      </x:c>
      <x:c r="E74" s="31" t="n"/>
      <x:c r="F74" s="31" t="inlineStr">
        <x:is>
          <x:t xml:space="preserve">Проверка меню для роли Главный инженер</x:t>
        </x:is>
      </x:c>
    </x:row>
    <x:row r="75" ht="18" customHeight="1">
      <x:c r="A75" s="31" t="inlineStr">
        <x:is>
          <x:t xml:space="preserve">Главный инженер</x:t>
        </x:is>
      </x:c>
      <x:c r="B75" s="31" t="inlineStr">
        <x:is>
          <x:t xml:space="preserve">ОТК</x:t>
        </x:is>
      </x:c>
      <x:c r="C75" s="31" t="inlineStr">
        <x:is>
          <x:t xml:space="preserve">Нет доступа</x:t>
        </x:is>
      </x:c>
      <x:c r="D75" s="31" t="inlineStr">
        <x:is>
          <x:t xml:space="preserve">Нет</x:t>
        </x:is>
      </x:c>
      <x:c r="E75" s="31" t="n"/>
      <x:c r="F75" s="31" t="inlineStr">
        <x:is>
          <x:t xml:space="preserve">Проверка меню для роли Главный инженер</x:t>
        </x:is>
      </x:c>
    </x:row>
    <x:row r="76" ht="18" customHeight="1">
      <x:c r="A76" s="31" t="inlineStr">
        <x:is>
          <x:t xml:space="preserve">Главный инженер</x:t>
        </x:is>
      </x:c>
      <x:c r="B76" s="31" t="inlineStr">
        <x:is>
          <x:t xml:space="preserve">Логистика</x:t>
        </x:is>
      </x:c>
      <x:c r="C76" s="31" t="inlineStr">
        <x:is>
          <x:t xml:space="preserve">Нет доступа</x:t>
        </x:is>
      </x:c>
      <x:c r="D76" s="31" t="inlineStr">
        <x:is>
          <x:t xml:space="preserve">Нет</x:t>
        </x:is>
      </x:c>
      <x:c r="E76" s="31" t="n"/>
      <x:c r="F76" s="31" t="inlineStr">
        <x:is>
          <x:t xml:space="preserve">Проверка меню для роли Главный инженер</x:t>
        </x:is>
      </x:c>
    </x:row>
    <x:row r="77" ht="18" customHeight="1">
      <x:c r="A77" s="31" t="inlineStr">
        <x:is>
          <x:t xml:space="preserve">Главный инженер</x:t>
        </x:is>
      </x:c>
      <x:c r="B77" s="31" t="inlineStr">
        <x:is>
          <x:t xml:space="preserve">Финансы</x:t>
        </x:is>
      </x:c>
      <x:c r="C77" s="31" t="inlineStr">
        <x:is>
          <x:t xml:space="preserve">Нет доступа</x:t>
        </x:is>
      </x:c>
      <x:c r="D77" s="31" t="inlineStr">
        <x:is>
          <x:t xml:space="preserve">Нет</x:t>
        </x:is>
      </x:c>
      <x:c r="E77" s="31" t="n"/>
      <x:c r="F77" s="31" t="inlineStr">
        <x:is>
          <x:t xml:space="preserve">Проверка меню для роли Главный инженер</x:t>
        </x:is>
      </x:c>
    </x:row>
    <x:row r="78" ht="18" customHeight="1">
      <x:c r="A78" s="31" t="inlineStr">
        <x:is>
          <x:t xml:space="preserve">Главный инженер</x:t>
        </x:is>
      </x:c>
      <x:c r="B78" s="31" t="inlineStr">
        <x:is>
          <x:t xml:space="preserve">Сервис</x:t>
        </x:is>
      </x:c>
      <x:c r="C78" s="31" t="inlineStr">
        <x:is>
          <x:t xml:space="preserve">Нет доступа</x:t>
        </x:is>
      </x:c>
      <x:c r="D78" s="31" t="inlineStr">
        <x:is>
          <x:t xml:space="preserve">Нет</x:t>
        </x:is>
      </x:c>
      <x:c r="E78" s="31" t="n"/>
      <x:c r="F78" s="31" t="inlineStr">
        <x:is>
          <x:t xml:space="preserve">Проверка меню для роли Главный инженер</x:t>
        </x:is>
      </x:c>
    </x:row>
    <x:row r="79" ht="18" customHeight="1">
      <x:c r="A79" s="31" t="inlineStr">
        <x:is>
          <x:t xml:space="preserve">Главный инженер</x:t>
        </x:is>
      </x:c>
      <x:c r="B79" s="31" t="inlineStr">
        <x:is>
          <x:t xml:space="preserve">Согласования</x:t>
        </x:is>
      </x:c>
      <x:c r="C79" s="31" t="inlineStr">
        <x:is>
          <x:t xml:space="preserve">Нет доступа</x:t>
        </x:is>
      </x:c>
      <x:c r="D79" s="31" t="inlineStr">
        <x:is>
          <x:t xml:space="preserve">Нет</x:t>
        </x:is>
      </x:c>
      <x:c r="E79" s="31" t="n"/>
      <x:c r="F79" s="31" t="inlineStr">
        <x:is>
          <x:t xml:space="preserve">Проверка меню для роли Главный инженер</x:t>
        </x:is>
      </x:c>
    </x:row>
    <x:row r="80" ht="18" customHeight="1">
      <x:c r="A80" s="31" t="inlineStr">
        <x:is>
          <x:t xml:space="preserve">Главный инженер</x:t>
        </x:is>
      </x:c>
      <x:c r="B80" s="31" t="inlineStr">
        <x:is>
          <x:t xml:space="preserve">Отчеты</x:t>
        </x:is>
      </x:c>
      <x:c r="C80" s="31" t="inlineStr">
        <x:is>
          <x:t xml:space="preserve">Согласование</x:t>
        </x:is>
      </x:c>
      <x:c r="D80" s="31" t="inlineStr">
        <x:is>
          <x:t xml:space="preserve">Да</x:t>
        </x:is>
      </x:c>
      <x:c r="E80" s="31" t="inlineStr">
        <x:is>
          <x:t xml:space="preserve">Свои/подразделение</x:t>
        </x:is>
      </x:c>
      <x:c r="F80" s="31" t="inlineStr">
        <x:is>
          <x:t xml:space="preserve">Проверка меню для роли Главный инженер</x:t>
        </x:is>
      </x:c>
    </x:row>
    <x:row r="81" ht="18" customHeight="1">
      <x:c r="A81" s="31" t="inlineStr">
        <x:is>
          <x:t xml:space="preserve">Главный инженер</x:t>
        </x:is>
      </x:c>
      <x:c r="B81" s="31" t="inlineStr">
        <x:is>
          <x:t xml:space="preserve">Администрирование</x:t>
        </x:is>
      </x:c>
      <x:c r="C81" s="31" t="inlineStr">
        <x:is>
          <x:t xml:space="preserve">Нет доступа</x:t>
        </x:is>
      </x:c>
      <x:c r="D81" s="31" t="inlineStr">
        <x:is>
          <x:t xml:space="preserve">Нет</x:t>
        </x:is>
      </x:c>
      <x:c r="E81" s="31" t="n"/>
      <x:c r="F81" s="31" t="inlineStr">
        <x:is>
          <x:t xml:space="preserve">Проверка меню для роли Главный инженер</x:t>
        </x:is>
      </x:c>
    </x:row>
    <x:row r="82" ht="18" customHeight="1">
      <x:c r="A82" s="31" t="inlineStr">
        <x:is>
          <x:t xml:space="preserve">Инженер-конструктор</x:t>
        </x:is>
      </x:c>
      <x:c r="B82" s="31" t="inlineStr">
        <x:is>
          <x:t xml:space="preserve">Дашборд</x:t>
        </x:is>
      </x:c>
      <x:c r="C82" s="31" t="inlineStr">
        <x:is>
          <x:t xml:space="preserve">Нет доступа</x:t>
        </x:is>
      </x:c>
      <x:c r="D82" s="31" t="inlineStr">
        <x:is>
          <x:t xml:space="preserve">Нет</x:t>
        </x:is>
      </x:c>
      <x:c r="E82" s="31" t="n"/>
      <x:c r="F82" s="31" t="inlineStr">
        <x:is>
          <x:t xml:space="preserve">Проверка меню для роли Инженер-конструктор</x:t>
        </x:is>
      </x:c>
    </x:row>
    <x:row r="83" ht="18" customHeight="1">
      <x:c r="A83" s="31" t="inlineStr">
        <x:is>
          <x:t xml:space="preserve">Инженер-конструктор</x:t>
        </x:is>
      </x:c>
      <x:c r="B83" s="31" t="inlineStr">
        <x:is>
          <x:t xml:space="preserve">Продажи</x:t>
        </x:is>
      </x:c>
      <x:c r="C83" s="31" t="inlineStr">
        <x:is>
          <x:t xml:space="preserve">Нет доступа</x:t>
        </x:is>
      </x:c>
      <x:c r="D83" s="31" t="inlineStr">
        <x:is>
          <x:t xml:space="preserve">Нет</x:t>
        </x:is>
      </x:c>
      <x:c r="E83" s="31" t="n"/>
      <x:c r="F83" s="31" t="inlineStr">
        <x:is>
          <x:t xml:space="preserve">Проверка меню для роли Инженер-конструктор</x:t>
        </x:is>
      </x:c>
    </x:row>
    <x:row r="84" ht="18" customHeight="1">
      <x:c r="A84" s="31" t="inlineStr">
        <x:is>
          <x:t xml:space="preserve">Инженер-конструктор</x:t>
        </x:is>
      </x:c>
      <x:c r="B84" s="31" t="inlineStr">
        <x:is>
          <x:t xml:space="preserve">Заказы</x:t>
        </x:is>
      </x:c>
      <x:c r="C84" s="31" t="inlineStr">
        <x:is>
          <x:t xml:space="preserve">Редактирование назначенных</x:t>
        </x:is>
      </x:c>
      <x:c r="D84" s="31" t="inlineStr">
        <x:is>
          <x:t xml:space="preserve">Нет</x:t>
        </x:is>
      </x:c>
      <x:c r="E84" s="31" t="inlineStr">
        <x:is>
          <x:t xml:space="preserve">Свои/подразделение</x:t>
        </x:is>
      </x:c>
      <x:c r="F84" s="31" t="inlineStr">
        <x:is>
          <x:t xml:space="preserve">Проверка меню для роли Инженер-конструктор</x:t>
        </x:is>
      </x:c>
    </x:row>
    <x:row r="85" ht="18" customHeight="1">
      <x:c r="A85" s="31" t="inlineStr">
        <x:is>
          <x:t xml:space="preserve">Инженер-конструктор</x:t>
        </x:is>
      </x:c>
      <x:c r="B85" s="31" t="inlineStr">
        <x:is>
          <x:t xml:space="preserve">КП/Договоры</x:t>
        </x:is>
      </x:c>
      <x:c r="C85" s="31" t="inlineStr">
        <x:is>
          <x:t xml:space="preserve">Нет доступа</x:t>
        </x:is>
      </x:c>
      <x:c r="D85" s="31" t="inlineStr">
        <x:is>
          <x:t xml:space="preserve">Нет</x:t>
        </x:is>
      </x:c>
      <x:c r="E85" s="31" t="n"/>
      <x:c r="F85" s="31" t="inlineStr">
        <x:is>
          <x:t xml:space="preserve">Проверка меню для роли Инженер-конструктор</x:t>
        </x:is>
      </x:c>
    </x:row>
    <x:row r="86" ht="18" customHeight="1">
      <x:c r="A86" s="31" t="inlineStr">
        <x:is>
          <x:t xml:space="preserve">Инженер-конструктор</x:t>
        </x:is>
      </x:c>
      <x:c r="B86" s="31" t="inlineStr">
        <x:is>
          <x:t xml:space="preserve">КД/состав изделия</x:t>
        </x:is>
      </x:c>
      <x:c r="C86" s="31" t="inlineStr">
        <x:is>
          <x:t xml:space="preserve">Редактирование назначенных</x:t>
        </x:is>
      </x:c>
      <x:c r="D86" s="31" t="inlineStr">
        <x:is>
          <x:t xml:space="preserve">Нет</x:t>
        </x:is>
      </x:c>
      <x:c r="E86" s="31" t="inlineStr">
        <x:is>
          <x:t xml:space="preserve">Свои/подразделение</x:t>
        </x:is>
      </x:c>
      <x:c r="F86" s="31" t="inlineStr">
        <x:is>
          <x:t xml:space="preserve">Проверка меню для роли Инженер-конструктор</x:t>
        </x:is>
      </x:c>
    </x:row>
    <x:row r="87" ht="18" customHeight="1">
      <x:c r="A87" s="31" t="inlineStr">
        <x:is>
          <x:t xml:space="preserve">Инженер-конструктор</x:t>
        </x:is>
      </x:c>
      <x:c r="B87" s="31" t="inlineStr">
        <x:is>
          <x:t xml:space="preserve">План производства</x:t>
        </x:is>
      </x:c>
      <x:c r="C87" s="31" t="inlineStr">
        <x:is>
          <x:t xml:space="preserve">Редактирование назначенных</x:t>
        </x:is>
      </x:c>
      <x:c r="D87" s="31" t="inlineStr">
        <x:is>
          <x:t xml:space="preserve">Нет</x:t>
        </x:is>
      </x:c>
      <x:c r="E87" s="31" t="inlineStr">
        <x:is>
          <x:t xml:space="preserve">Свои/подразделение</x:t>
        </x:is>
      </x:c>
      <x:c r="F87" s="31" t="inlineStr">
        <x:is>
          <x:t xml:space="preserve">Проверка меню для роли Инженер-конструктор</x:t>
        </x:is>
      </x:c>
    </x:row>
    <x:row r="88" ht="18" customHeight="1">
      <x:c r="A88" s="31" t="inlineStr">
        <x:is>
          <x:t xml:space="preserve">Инженер-конструктор</x:t>
        </x:is>
      </x:c>
      <x:c r="B88" s="31" t="inlineStr">
        <x:is>
          <x:t xml:space="preserve">Смены</x:t>
        </x:is>
      </x:c>
      <x:c r="C88" s="31" t="inlineStr">
        <x:is>
          <x:t xml:space="preserve">Нет доступа</x:t>
        </x:is>
      </x:c>
      <x:c r="D88" s="31" t="inlineStr">
        <x:is>
          <x:t xml:space="preserve">Нет</x:t>
        </x:is>
      </x:c>
      <x:c r="E88" s="31" t="n"/>
      <x:c r="F88" s="31" t="inlineStr">
        <x:is>
          <x:t xml:space="preserve">Проверка меню для роли Инженер-конструктор</x:t>
        </x:is>
      </x:c>
    </x:row>
    <x:row r="89" ht="18" customHeight="1">
      <x:c r="A89" s="31" t="inlineStr">
        <x:is>
          <x:t xml:space="preserve">Инженер-конструктор</x:t>
        </x:is>
      </x:c>
      <x:c r="B89" s="31" t="inlineStr">
        <x:is>
          <x:t xml:space="preserve">Склад</x:t>
        </x:is>
      </x:c>
      <x:c r="C89" s="31" t="inlineStr">
        <x:is>
          <x:t xml:space="preserve">Нет доступа</x:t>
        </x:is>
      </x:c>
      <x:c r="D89" s="31" t="inlineStr">
        <x:is>
          <x:t xml:space="preserve">Нет</x:t>
        </x:is>
      </x:c>
      <x:c r="E89" s="31" t="n"/>
      <x:c r="F89" s="31" t="inlineStr">
        <x:is>
          <x:t xml:space="preserve">Проверка меню для роли Инженер-конструктор</x:t>
        </x:is>
      </x:c>
    </x:row>
    <x:row r="90" ht="18" customHeight="1">
      <x:c r="A90" s="31" t="inlineStr">
        <x:is>
          <x:t xml:space="preserve">Инженер-конструктор</x:t>
        </x:is>
      </x:c>
      <x:c r="B90" s="31" t="inlineStr">
        <x:is>
          <x:t xml:space="preserve">Закупки</x:t>
        </x:is>
      </x:c>
      <x:c r="C90" s="31" t="inlineStr">
        <x:is>
          <x:t xml:space="preserve">Нет доступа</x:t>
        </x:is>
      </x:c>
      <x:c r="D90" s="31" t="inlineStr">
        <x:is>
          <x:t xml:space="preserve">Нет</x:t>
        </x:is>
      </x:c>
      <x:c r="E90" s="31" t="n"/>
      <x:c r="F90" s="31" t="inlineStr">
        <x:is>
          <x:t xml:space="preserve">Проверка меню для роли Инженер-конструктор</x:t>
        </x:is>
      </x:c>
    </x:row>
    <x:row r="91" ht="18" customHeight="1">
      <x:c r="A91" s="31" t="inlineStr">
        <x:is>
          <x:t xml:space="preserve">Инженер-конструктор</x:t>
        </x:is>
      </x:c>
      <x:c r="B91" s="31" t="inlineStr">
        <x:is>
          <x:t xml:space="preserve">ОТК</x:t>
        </x:is>
      </x:c>
      <x:c r="C91" s="31" t="inlineStr">
        <x:is>
          <x:t xml:space="preserve">Нет доступа</x:t>
        </x:is>
      </x:c>
      <x:c r="D91" s="31" t="inlineStr">
        <x:is>
          <x:t xml:space="preserve">Нет</x:t>
        </x:is>
      </x:c>
      <x:c r="E91" s="31" t="n"/>
      <x:c r="F91" s="31" t="inlineStr">
        <x:is>
          <x:t xml:space="preserve">Проверка меню для роли Инженер-конструктор</x:t>
        </x:is>
      </x:c>
    </x:row>
    <x:row r="92" ht="18" customHeight="1">
      <x:c r="A92" s="31" t="inlineStr">
        <x:is>
          <x:t xml:space="preserve">Инженер-конструктор</x:t>
        </x:is>
      </x:c>
      <x:c r="B92" s="31" t="inlineStr">
        <x:is>
          <x:t xml:space="preserve">Логистика</x:t>
        </x:is>
      </x:c>
      <x:c r="C92" s="31" t="inlineStr">
        <x:is>
          <x:t xml:space="preserve">Нет доступа</x:t>
        </x:is>
      </x:c>
      <x:c r="D92" s="31" t="inlineStr">
        <x:is>
          <x:t xml:space="preserve">Нет</x:t>
        </x:is>
      </x:c>
      <x:c r="E92" s="31" t="n"/>
      <x:c r="F92" s="31" t="inlineStr">
        <x:is>
          <x:t xml:space="preserve">Проверка меню для роли Инженер-конструктор</x:t>
        </x:is>
      </x:c>
    </x:row>
    <x:row r="93" ht="18" customHeight="1">
      <x:c r="A93" s="31" t="inlineStr">
        <x:is>
          <x:t xml:space="preserve">Инженер-конструктор</x:t>
        </x:is>
      </x:c>
      <x:c r="B93" s="31" t="inlineStr">
        <x:is>
          <x:t xml:space="preserve">Финансы</x:t>
        </x:is>
      </x:c>
      <x:c r="C93" s="31" t="inlineStr">
        <x:is>
          <x:t xml:space="preserve">Нет доступа</x:t>
        </x:is>
      </x:c>
      <x:c r="D93" s="31" t="inlineStr">
        <x:is>
          <x:t xml:space="preserve">Нет</x:t>
        </x:is>
      </x:c>
      <x:c r="E93" s="31" t="n"/>
      <x:c r="F93" s="31" t="inlineStr">
        <x:is>
          <x:t xml:space="preserve">Проверка меню для роли Инженер-конструктор</x:t>
        </x:is>
      </x:c>
    </x:row>
    <x:row r="94" ht="18" customHeight="1">
      <x:c r="A94" s="31" t="inlineStr">
        <x:is>
          <x:t xml:space="preserve">Инженер-конструктор</x:t>
        </x:is>
      </x:c>
      <x:c r="B94" s="31" t="inlineStr">
        <x:is>
          <x:t xml:space="preserve">Сервис</x:t>
        </x:is>
      </x:c>
      <x:c r="C94" s="31" t="inlineStr">
        <x:is>
          <x:t xml:space="preserve">Нет доступа</x:t>
        </x:is>
      </x:c>
      <x:c r="D94" s="31" t="inlineStr">
        <x:is>
          <x:t xml:space="preserve">Нет</x:t>
        </x:is>
      </x:c>
      <x:c r="E94" s="31" t="n"/>
      <x:c r="F94" s="31" t="inlineStr">
        <x:is>
          <x:t xml:space="preserve">Проверка меню для роли Инженер-конструктор</x:t>
        </x:is>
      </x:c>
    </x:row>
    <x:row r="95" ht="18" customHeight="1">
      <x:c r="A95" s="31" t="inlineStr">
        <x:is>
          <x:t xml:space="preserve">Инженер-конструктор</x:t>
        </x:is>
      </x:c>
      <x:c r="B95" s="31" t="inlineStr">
        <x:is>
          <x:t xml:space="preserve">Согласования</x:t>
        </x:is>
      </x:c>
      <x:c r="C95" s="31" t="inlineStr">
        <x:is>
          <x:t xml:space="preserve">Нет доступа</x:t>
        </x:is>
      </x:c>
      <x:c r="D95" s="31" t="inlineStr">
        <x:is>
          <x:t xml:space="preserve">Нет</x:t>
        </x:is>
      </x:c>
      <x:c r="E95" s="31" t="n"/>
      <x:c r="F95" s="31" t="inlineStr">
        <x:is>
          <x:t xml:space="preserve">Проверка меню для роли Инженер-конструктор</x:t>
        </x:is>
      </x:c>
    </x:row>
    <x:row r="96" ht="18" customHeight="1">
      <x:c r="A96" s="31" t="inlineStr">
        <x:is>
          <x:t xml:space="preserve">Инженер-конструктор</x:t>
        </x:is>
      </x:c>
      <x:c r="B96" s="31" t="inlineStr">
        <x:is>
          <x:t xml:space="preserve">Отчеты</x:t>
        </x:is>
      </x:c>
      <x:c r="C96" s="31" t="inlineStr">
        <x:is>
          <x:t xml:space="preserve">Редактирование назначенных</x:t>
        </x:is>
      </x:c>
      <x:c r="D96" s="31" t="inlineStr">
        <x:is>
          <x:t xml:space="preserve">Нет</x:t>
        </x:is>
      </x:c>
      <x:c r="E96" s="31" t="inlineStr">
        <x:is>
          <x:t xml:space="preserve">Свои/подразделение</x:t>
        </x:is>
      </x:c>
      <x:c r="F96" s="31" t="inlineStr">
        <x:is>
          <x:t xml:space="preserve">Проверка меню для роли Инженер-конструктор</x:t>
        </x:is>
      </x:c>
    </x:row>
    <x:row r="97" ht="18" customHeight="1">
      <x:c r="A97" s="31" t="inlineStr">
        <x:is>
          <x:t xml:space="preserve">Инженер-конструктор</x:t>
        </x:is>
      </x:c>
      <x:c r="B97" s="31" t="inlineStr">
        <x:is>
          <x:t xml:space="preserve">Администрирование</x:t>
        </x:is>
      </x:c>
      <x:c r="C97" s="31" t="inlineStr">
        <x:is>
          <x:t xml:space="preserve">Нет доступа</x:t>
        </x:is>
      </x:c>
      <x:c r="D97" s="31" t="inlineStr">
        <x:is>
          <x:t xml:space="preserve">Нет</x:t>
        </x:is>
      </x:c>
      <x:c r="E97" s="31" t="n"/>
      <x:c r="F97" s="31" t="inlineStr">
        <x:is>
          <x:t xml:space="preserve">Проверка меню для роли Инженер-конструктор</x:t>
        </x:is>
      </x:c>
    </x:row>
    <x:row r="98" ht="18" customHeight="1">
      <x:c r="A98" s="31" t="inlineStr">
        <x:is>
          <x:t xml:space="preserve">Руководитель снабжения</x:t>
        </x:is>
      </x:c>
      <x:c r="B98" s="31" t="inlineStr">
        <x:is>
          <x:t xml:space="preserve">Дашборд</x:t>
        </x:is>
      </x:c>
      <x:c r="C98" s="31" t="inlineStr">
        <x:is>
          <x:t xml:space="preserve">Нет доступа</x:t>
        </x:is>
      </x:c>
      <x:c r="D98" s="31" t="inlineStr">
        <x:is>
          <x:t xml:space="preserve">Нет</x:t>
        </x:is>
      </x:c>
      <x:c r="E98" s="31" t="n"/>
      <x:c r="F98" s="31" t="inlineStr">
        <x:is>
          <x:t xml:space="preserve">Проверка меню для роли Руководитель снабжения</x:t>
        </x:is>
      </x:c>
    </x:row>
    <x:row r="99" ht="18" customHeight="1">
      <x:c r="A99" s="31" t="inlineStr">
        <x:is>
          <x:t xml:space="preserve">Руководитель снабжения</x:t>
        </x:is>
      </x:c>
      <x:c r="B99" s="31" t="inlineStr">
        <x:is>
          <x:t xml:space="preserve">Продажи</x:t>
        </x:is>
      </x:c>
      <x:c r="C99" s="31" t="inlineStr">
        <x:is>
          <x:t xml:space="preserve">Нет доступа</x:t>
        </x:is>
      </x:c>
      <x:c r="D99" s="31" t="inlineStr">
        <x:is>
          <x:t xml:space="preserve">Нет</x:t>
        </x:is>
      </x:c>
      <x:c r="E99" s="31" t="n"/>
      <x:c r="F99" s="31" t="inlineStr">
        <x:is>
          <x:t xml:space="preserve">Проверка меню для роли Руководитель снабжения</x:t>
        </x:is>
      </x:c>
    </x:row>
    <x:row r="100" ht="18" customHeight="1">
      <x:c r="A100" s="31" t="inlineStr">
        <x:is>
          <x:t xml:space="preserve">Руководитель снабжения</x:t>
        </x:is>
      </x:c>
      <x:c r="B100" s="31" t="inlineStr">
        <x:is>
          <x:t xml:space="preserve">Заказы</x:t>
        </x:is>
      </x:c>
      <x:c r="C100" s="31" t="inlineStr">
        <x:is>
          <x:t xml:space="preserve">Согласование</x:t>
        </x:is>
      </x:c>
      <x:c r="D100" s="31" t="inlineStr">
        <x:is>
          <x:t xml:space="preserve">Да</x:t>
        </x:is>
      </x:c>
      <x:c r="E100" s="31" t="inlineStr">
        <x:is>
          <x:t xml:space="preserve">Свои/подразделение</x:t>
        </x:is>
      </x:c>
      <x:c r="F100" s="31" t="inlineStr">
        <x:is>
          <x:t xml:space="preserve">Проверка меню для роли Руководитель снабжения</x:t>
        </x:is>
      </x:c>
    </x:row>
    <x:row r="101" ht="18" customHeight="1">
      <x:c r="A101" s="31" t="inlineStr">
        <x:is>
          <x:t xml:space="preserve">Руководитель снабжения</x:t>
        </x:is>
      </x:c>
      <x:c r="B101" s="31" t="inlineStr">
        <x:is>
          <x:t xml:space="preserve">КП/Договоры</x:t>
        </x:is>
      </x:c>
      <x:c r="C101" s="31" t="inlineStr">
        <x:is>
          <x:t xml:space="preserve">Нет доступа</x:t>
        </x:is>
      </x:c>
      <x:c r="D101" s="31" t="inlineStr">
        <x:is>
          <x:t xml:space="preserve">Нет</x:t>
        </x:is>
      </x:c>
      <x:c r="E101" s="31" t="n"/>
      <x:c r="F101" s="31" t="inlineStr">
        <x:is>
          <x:t xml:space="preserve">Проверка меню для роли Руководитель снабжения</x:t>
        </x:is>
      </x:c>
    </x:row>
    <x:row r="102" ht="18" customHeight="1">
      <x:c r="A102" s="31" t="inlineStr">
        <x:is>
          <x:t xml:space="preserve">Руководитель снабжения</x:t>
        </x:is>
      </x:c>
      <x:c r="B102" s="31" t="inlineStr">
        <x:is>
          <x:t xml:space="preserve">КД/состав изделия</x:t>
        </x:is>
      </x:c>
      <x:c r="C102" s="31" t="inlineStr">
        <x:is>
          <x:t xml:space="preserve">Нет доступа</x:t>
        </x:is>
      </x:c>
      <x:c r="D102" s="31" t="inlineStr">
        <x:is>
          <x:t xml:space="preserve">Нет</x:t>
        </x:is>
      </x:c>
      <x:c r="E102" s="31" t="n"/>
      <x:c r="F102" s="31" t="inlineStr">
        <x:is>
          <x:t xml:space="preserve">Проверка меню для роли Руководитель снабжения</x:t>
        </x:is>
      </x:c>
    </x:row>
    <x:row r="103" ht="18" customHeight="1">
      <x:c r="A103" s="31" t="inlineStr">
        <x:is>
          <x:t xml:space="preserve">Руководитель снабжения</x:t>
        </x:is>
      </x:c>
      <x:c r="B103" s="31" t="inlineStr">
        <x:is>
          <x:t xml:space="preserve">План производства</x:t>
        </x:is>
      </x:c>
      <x:c r="C103" s="31" t="inlineStr">
        <x:is>
          <x:t xml:space="preserve">Нет доступа</x:t>
        </x:is>
      </x:c>
      <x:c r="D103" s="31" t="inlineStr">
        <x:is>
          <x:t xml:space="preserve">Нет</x:t>
        </x:is>
      </x:c>
      <x:c r="E103" s="31" t="n"/>
      <x:c r="F103" s="31" t="inlineStr">
        <x:is>
          <x:t xml:space="preserve">Проверка меню для роли Руководитель снабжения</x:t>
        </x:is>
      </x:c>
    </x:row>
    <x:row r="104" ht="18" customHeight="1">
      <x:c r="A104" s="31" t="inlineStr">
        <x:is>
          <x:t xml:space="preserve">Руководитель снабжения</x:t>
        </x:is>
      </x:c>
      <x:c r="B104" s="31" t="inlineStr">
        <x:is>
          <x:t xml:space="preserve">Смены</x:t>
        </x:is>
      </x:c>
      <x:c r="C104" s="31" t="inlineStr">
        <x:is>
          <x:t xml:space="preserve">Нет доступа</x:t>
        </x:is>
      </x:c>
      <x:c r="D104" s="31" t="inlineStr">
        <x:is>
          <x:t xml:space="preserve">Нет</x:t>
        </x:is>
      </x:c>
      <x:c r="E104" s="31" t="n"/>
      <x:c r="F104" s="31" t="inlineStr">
        <x:is>
          <x:t xml:space="preserve">Проверка меню для роли Руководитель снабжения</x:t>
        </x:is>
      </x:c>
    </x:row>
    <x:row r="105" ht="18" customHeight="1">
      <x:c r="A105" s="31" t="inlineStr">
        <x:is>
          <x:t xml:space="preserve">Руководитель снабжения</x:t>
        </x:is>
      </x:c>
      <x:c r="B105" s="31" t="inlineStr">
        <x:is>
          <x:t xml:space="preserve">Склад</x:t>
        </x:is>
      </x:c>
      <x:c r="C105" s="31" t="inlineStr">
        <x:is>
          <x:t xml:space="preserve">Согласование</x:t>
        </x:is>
      </x:c>
      <x:c r="D105" s="31" t="inlineStr">
        <x:is>
          <x:t xml:space="preserve">Да</x:t>
        </x:is>
      </x:c>
      <x:c r="E105" s="31" t="inlineStr">
        <x:is>
          <x:t xml:space="preserve">Свои/подразделение</x:t>
        </x:is>
      </x:c>
      <x:c r="F105" s="31" t="inlineStr">
        <x:is>
          <x:t xml:space="preserve">Проверка меню для роли Руководитель снабжения</x:t>
        </x:is>
      </x:c>
    </x:row>
    <x:row r="106" ht="18" customHeight="1">
      <x:c r="A106" s="31" t="inlineStr">
        <x:is>
          <x:t xml:space="preserve">Руководитель снабжения</x:t>
        </x:is>
      </x:c>
      <x:c r="B106" s="31" t="inlineStr">
        <x:is>
          <x:t xml:space="preserve">Закупки</x:t>
        </x:is>
      </x:c>
      <x:c r="C106" s="31" t="inlineStr">
        <x:is>
          <x:t xml:space="preserve">Согласование</x:t>
        </x:is>
      </x:c>
      <x:c r="D106" s="31" t="inlineStr">
        <x:is>
          <x:t xml:space="preserve">Да</x:t>
        </x:is>
      </x:c>
      <x:c r="E106" s="31" t="inlineStr">
        <x:is>
          <x:t xml:space="preserve">Свои/подразделение</x:t>
        </x:is>
      </x:c>
      <x:c r="F106" s="31" t="inlineStr">
        <x:is>
          <x:t xml:space="preserve">Проверка меню для роли Руководитель снабжения</x:t>
        </x:is>
      </x:c>
    </x:row>
    <x:row r="107" ht="18" customHeight="1">
      <x:c r="A107" s="31" t="inlineStr">
        <x:is>
          <x:t xml:space="preserve">Руководитель снабжения</x:t>
        </x:is>
      </x:c>
      <x:c r="B107" s="31" t="inlineStr">
        <x:is>
          <x:t xml:space="preserve">ОТК</x:t>
        </x:is>
      </x:c>
      <x:c r="C107" s="31" t="inlineStr">
        <x:is>
          <x:t xml:space="preserve">Нет доступа</x:t>
        </x:is>
      </x:c>
      <x:c r="D107" s="31" t="inlineStr">
        <x:is>
          <x:t xml:space="preserve">Нет</x:t>
        </x:is>
      </x:c>
      <x:c r="E107" s="31" t="n"/>
      <x:c r="F107" s="31" t="inlineStr">
        <x:is>
          <x:t xml:space="preserve">Проверка меню для роли Руководитель снабжения</x:t>
        </x:is>
      </x:c>
    </x:row>
    <x:row r="108" ht="18" customHeight="1">
      <x:c r="A108" s="31" t="inlineStr">
        <x:is>
          <x:t xml:space="preserve">Руководитель снабжения</x:t>
        </x:is>
      </x:c>
      <x:c r="B108" s="31" t="inlineStr">
        <x:is>
          <x:t xml:space="preserve">Логистика</x:t>
        </x:is>
      </x:c>
      <x:c r="C108" s="31" t="inlineStr">
        <x:is>
          <x:t xml:space="preserve">Нет доступа</x:t>
        </x:is>
      </x:c>
      <x:c r="D108" s="31" t="inlineStr">
        <x:is>
          <x:t xml:space="preserve">Нет</x:t>
        </x:is>
      </x:c>
      <x:c r="E108" s="31" t="n"/>
      <x:c r="F108" s="31" t="inlineStr">
        <x:is>
          <x:t xml:space="preserve">Проверка меню для роли Руководитель снабжения</x:t>
        </x:is>
      </x:c>
    </x:row>
    <x:row r="109" ht="18" customHeight="1">
      <x:c r="A109" s="31" t="inlineStr">
        <x:is>
          <x:t xml:space="preserve">Руководитель снабжения</x:t>
        </x:is>
      </x:c>
      <x:c r="B109" s="31" t="inlineStr">
        <x:is>
          <x:t xml:space="preserve">Финансы</x:t>
        </x:is>
      </x:c>
      <x:c r="C109" s="31" t="inlineStr">
        <x:is>
          <x:t xml:space="preserve">Нет доступа</x:t>
        </x:is>
      </x:c>
      <x:c r="D109" s="31" t="inlineStr">
        <x:is>
          <x:t xml:space="preserve">Нет</x:t>
        </x:is>
      </x:c>
      <x:c r="E109" s="31" t="n"/>
      <x:c r="F109" s="31" t="inlineStr">
        <x:is>
          <x:t xml:space="preserve">Проверка меню для роли Руководитель снабжения</x:t>
        </x:is>
      </x:c>
    </x:row>
    <x:row r="110" ht="18" customHeight="1">
      <x:c r="A110" s="31" t="inlineStr">
        <x:is>
          <x:t xml:space="preserve">Руководитель снабжения</x:t>
        </x:is>
      </x:c>
      <x:c r="B110" s="31" t="inlineStr">
        <x:is>
          <x:t xml:space="preserve">Сервис</x:t>
        </x:is>
      </x:c>
      <x:c r="C110" s="31" t="inlineStr">
        <x:is>
          <x:t xml:space="preserve">Нет доступа</x:t>
        </x:is>
      </x:c>
      <x:c r="D110" s="31" t="inlineStr">
        <x:is>
          <x:t xml:space="preserve">Нет</x:t>
        </x:is>
      </x:c>
      <x:c r="E110" s="31" t="n"/>
      <x:c r="F110" s="31" t="inlineStr">
        <x:is>
          <x:t xml:space="preserve">Проверка меню для роли Руководитель снабжения</x:t>
        </x:is>
      </x:c>
    </x:row>
    <x:row r="111" ht="18" customHeight="1">
      <x:c r="A111" s="31" t="inlineStr">
        <x:is>
          <x:t xml:space="preserve">Руководитель снабжения</x:t>
        </x:is>
      </x:c>
      <x:c r="B111" s="31" t="inlineStr">
        <x:is>
          <x:t xml:space="preserve">Согласования</x:t>
        </x:is>
      </x:c>
      <x:c r="C111" s="31" t="inlineStr">
        <x:is>
          <x:t xml:space="preserve">Нет доступа</x:t>
        </x:is>
      </x:c>
      <x:c r="D111" s="31" t="inlineStr">
        <x:is>
          <x:t xml:space="preserve">Нет</x:t>
        </x:is>
      </x:c>
      <x:c r="E111" s="31" t="n"/>
      <x:c r="F111" s="31" t="inlineStr">
        <x:is>
          <x:t xml:space="preserve">Проверка меню для роли Руководитель снабжения</x:t>
        </x:is>
      </x:c>
    </x:row>
    <x:row r="112" ht="18" customHeight="1">
      <x:c r="A112" s="31" t="inlineStr">
        <x:is>
          <x:t xml:space="preserve">Руководитель снабжения</x:t>
        </x:is>
      </x:c>
      <x:c r="B112" s="31" t="inlineStr">
        <x:is>
          <x:t xml:space="preserve">Отчеты</x:t>
        </x:is>
      </x:c>
      <x:c r="C112" s="31" t="inlineStr">
        <x:is>
          <x:t xml:space="preserve">Согласование</x:t>
        </x:is>
      </x:c>
      <x:c r="D112" s="31" t="inlineStr">
        <x:is>
          <x:t xml:space="preserve">Да</x:t>
        </x:is>
      </x:c>
      <x:c r="E112" s="31" t="inlineStr">
        <x:is>
          <x:t xml:space="preserve">Свои/подразделение</x:t>
        </x:is>
      </x:c>
      <x:c r="F112" s="31" t="inlineStr">
        <x:is>
          <x:t xml:space="preserve">Проверка меню для роли Руководитель снабжения</x:t>
        </x:is>
      </x:c>
    </x:row>
    <x:row r="113" ht="18" customHeight="1">
      <x:c r="A113" s="31" t="inlineStr">
        <x:is>
          <x:t xml:space="preserve">Руководитель снабжения</x:t>
        </x:is>
      </x:c>
      <x:c r="B113" s="31" t="inlineStr">
        <x:is>
          <x:t xml:space="preserve">Администрирование</x:t>
        </x:is>
      </x:c>
      <x:c r="C113" s="31" t="inlineStr">
        <x:is>
          <x:t xml:space="preserve">Нет доступа</x:t>
        </x:is>
      </x:c>
      <x:c r="D113" s="31" t="inlineStr">
        <x:is>
          <x:t xml:space="preserve">Нет</x:t>
        </x:is>
      </x:c>
      <x:c r="E113" s="31" t="n"/>
      <x:c r="F113" s="31" t="inlineStr">
        <x:is>
          <x:t xml:space="preserve">Проверка меню для роли Руководитель снабжения</x:t>
        </x:is>
      </x:c>
    </x:row>
    <x:row r="114" ht="18" customHeight="1">
      <x:c r="A114" s="31" t="inlineStr">
        <x:is>
          <x:t xml:space="preserve">Специалист снабжения</x:t>
        </x:is>
      </x:c>
      <x:c r="B114" s="31" t="inlineStr">
        <x:is>
          <x:t xml:space="preserve">Дашборд</x:t>
        </x:is>
      </x:c>
      <x:c r="C114" s="31" t="inlineStr">
        <x:is>
          <x:t xml:space="preserve">Нет доступа</x:t>
        </x:is>
      </x:c>
      <x:c r="D114" s="31" t="inlineStr">
        <x:is>
          <x:t xml:space="preserve">Нет</x:t>
        </x:is>
      </x:c>
      <x:c r="E114" s="31" t="n"/>
      <x:c r="F114" s="31" t="inlineStr">
        <x:is>
          <x:t xml:space="preserve">Проверка меню для роли Специалист снабжения</x:t>
        </x:is>
      </x:c>
    </x:row>
    <x:row r="115" ht="18" customHeight="1">
      <x:c r="A115" s="31" t="inlineStr">
        <x:is>
          <x:t xml:space="preserve">Специалист снабжения</x:t>
        </x:is>
      </x:c>
      <x:c r="B115" s="31" t="inlineStr">
        <x:is>
          <x:t xml:space="preserve">Продажи</x:t>
        </x:is>
      </x:c>
      <x:c r="C115" s="31" t="inlineStr">
        <x:is>
          <x:t xml:space="preserve">Нет доступа</x:t>
        </x:is>
      </x:c>
      <x:c r="D115" s="31" t="inlineStr">
        <x:is>
          <x:t xml:space="preserve">Нет</x:t>
        </x:is>
      </x:c>
      <x:c r="E115" s="31" t="n"/>
      <x:c r="F115" s="31" t="inlineStr">
        <x:is>
          <x:t xml:space="preserve">Проверка меню для роли Специалист снабжения</x:t>
        </x:is>
      </x:c>
    </x:row>
    <x:row r="116" ht="18" customHeight="1">
      <x:c r="A116" s="31" t="inlineStr">
        <x:is>
          <x:t xml:space="preserve">Специалист снабжения</x:t>
        </x:is>
      </x:c>
      <x:c r="B116" s="31" t="inlineStr">
        <x:is>
          <x:t xml:space="preserve">Заказы</x:t>
        </x:is>
      </x:c>
      <x:c r="C116" s="31" t="inlineStr">
        <x:is>
          <x:t xml:space="preserve">Редактирование назначенных</x:t>
        </x:is>
      </x:c>
      <x:c r="D116" s="31" t="inlineStr">
        <x:is>
          <x:t xml:space="preserve">Нет</x:t>
        </x:is>
      </x:c>
      <x:c r="E116" s="31" t="inlineStr">
        <x:is>
          <x:t xml:space="preserve">Свои/подразделение</x:t>
        </x:is>
      </x:c>
      <x:c r="F116" s="31" t="inlineStr">
        <x:is>
          <x:t xml:space="preserve">Проверка меню для роли Специалист снабжения</x:t>
        </x:is>
      </x:c>
    </x:row>
    <x:row r="117" ht="18" customHeight="1">
      <x:c r="A117" s="31" t="inlineStr">
        <x:is>
          <x:t xml:space="preserve">Специалист снабжения</x:t>
        </x:is>
      </x:c>
      <x:c r="B117" s="31" t="inlineStr">
        <x:is>
          <x:t xml:space="preserve">КП/Договоры</x:t>
        </x:is>
      </x:c>
      <x:c r="C117" s="31" t="inlineStr">
        <x:is>
          <x:t xml:space="preserve">Нет доступа</x:t>
        </x:is>
      </x:c>
      <x:c r="D117" s="31" t="inlineStr">
        <x:is>
          <x:t xml:space="preserve">Нет</x:t>
        </x:is>
      </x:c>
      <x:c r="E117" s="31" t="n"/>
      <x:c r="F117" s="31" t="inlineStr">
        <x:is>
          <x:t xml:space="preserve">Проверка меню для роли Специалист снабжения</x:t>
        </x:is>
      </x:c>
    </x:row>
    <x:row r="118" ht="18" customHeight="1">
      <x:c r="A118" s="31" t="inlineStr">
        <x:is>
          <x:t xml:space="preserve">Специалист снабжения</x:t>
        </x:is>
      </x:c>
      <x:c r="B118" s="31" t="inlineStr">
        <x:is>
          <x:t xml:space="preserve">КД/состав изделия</x:t>
        </x:is>
      </x:c>
      <x:c r="C118" s="31" t="inlineStr">
        <x:is>
          <x:t xml:space="preserve">Нет доступа</x:t>
        </x:is>
      </x:c>
      <x:c r="D118" s="31" t="inlineStr">
        <x:is>
          <x:t xml:space="preserve">Нет</x:t>
        </x:is>
      </x:c>
      <x:c r="E118" s="31" t="n"/>
      <x:c r="F118" s="31" t="inlineStr">
        <x:is>
          <x:t xml:space="preserve">Проверка меню для роли Специалист снабжения</x:t>
        </x:is>
      </x:c>
    </x:row>
    <x:row r="119" ht="18" customHeight="1">
      <x:c r="A119" s="31" t="inlineStr">
        <x:is>
          <x:t xml:space="preserve">Специалист снабжения</x:t>
        </x:is>
      </x:c>
      <x:c r="B119" s="31" t="inlineStr">
        <x:is>
          <x:t xml:space="preserve">План производства</x:t>
        </x:is>
      </x:c>
      <x:c r="C119" s="31" t="inlineStr">
        <x:is>
          <x:t xml:space="preserve">Нет доступа</x:t>
        </x:is>
      </x:c>
      <x:c r="D119" s="31" t="inlineStr">
        <x:is>
          <x:t xml:space="preserve">Нет</x:t>
        </x:is>
      </x:c>
      <x:c r="E119" s="31" t="n"/>
      <x:c r="F119" s="31" t="inlineStr">
        <x:is>
          <x:t xml:space="preserve">Проверка меню для роли Специалист снабжения</x:t>
        </x:is>
      </x:c>
    </x:row>
    <x:row r="120" ht="18" customHeight="1">
      <x:c r="A120" s="31" t="inlineStr">
        <x:is>
          <x:t xml:space="preserve">Специалист снабжения</x:t>
        </x:is>
      </x:c>
      <x:c r="B120" s="31" t="inlineStr">
        <x:is>
          <x:t xml:space="preserve">Смены</x:t>
        </x:is>
      </x:c>
      <x:c r="C120" s="31" t="inlineStr">
        <x:is>
          <x:t xml:space="preserve">Нет доступа</x:t>
        </x:is>
      </x:c>
      <x:c r="D120" s="31" t="inlineStr">
        <x:is>
          <x:t xml:space="preserve">Нет</x:t>
        </x:is>
      </x:c>
      <x:c r="E120" s="31" t="n"/>
      <x:c r="F120" s="31" t="inlineStr">
        <x:is>
          <x:t xml:space="preserve">Проверка меню для роли Специалист снабжения</x:t>
        </x:is>
      </x:c>
    </x:row>
    <x:row r="121" ht="18" customHeight="1">
      <x:c r="A121" s="31" t="inlineStr">
        <x:is>
          <x:t xml:space="preserve">Специалист снабжения</x:t>
        </x:is>
      </x:c>
      <x:c r="B121" s="31" t="inlineStr">
        <x:is>
          <x:t xml:space="preserve">Склад</x:t>
        </x:is>
      </x:c>
      <x:c r="C121" s="31" t="inlineStr">
        <x:is>
          <x:t xml:space="preserve">Редактирование назначенных</x:t>
        </x:is>
      </x:c>
      <x:c r="D121" s="31" t="inlineStr">
        <x:is>
          <x:t xml:space="preserve">Нет</x:t>
        </x:is>
      </x:c>
      <x:c r="E121" s="31" t="inlineStr">
        <x:is>
          <x:t xml:space="preserve">Свои/подразделение</x:t>
        </x:is>
      </x:c>
      <x:c r="F121" s="31" t="inlineStr">
        <x:is>
          <x:t xml:space="preserve">Проверка меню для роли Специалист снабжения</x:t>
        </x:is>
      </x:c>
    </x:row>
    <x:row r="122" ht="18" customHeight="1">
      <x:c r="A122" s="31" t="inlineStr">
        <x:is>
          <x:t xml:space="preserve">Специалист снабжения</x:t>
        </x:is>
      </x:c>
      <x:c r="B122" s="31" t="inlineStr">
        <x:is>
          <x:t xml:space="preserve">Закупки</x:t>
        </x:is>
      </x:c>
      <x:c r="C122" s="31" t="inlineStr">
        <x:is>
          <x:t xml:space="preserve">Редактирование назначенных</x:t>
        </x:is>
      </x:c>
      <x:c r="D122" s="31" t="inlineStr">
        <x:is>
          <x:t xml:space="preserve">Нет</x:t>
        </x:is>
      </x:c>
      <x:c r="E122" s="31" t="inlineStr">
        <x:is>
          <x:t xml:space="preserve">Свои/подразделение</x:t>
        </x:is>
      </x:c>
      <x:c r="F122" s="31" t="inlineStr">
        <x:is>
          <x:t xml:space="preserve">Проверка меню для роли Специалист снабжения</x:t>
        </x:is>
      </x:c>
    </x:row>
    <x:row r="123" ht="18" customHeight="1">
      <x:c r="A123" s="31" t="inlineStr">
        <x:is>
          <x:t xml:space="preserve">Специалист снабжения</x:t>
        </x:is>
      </x:c>
      <x:c r="B123" s="31" t="inlineStr">
        <x:is>
          <x:t xml:space="preserve">ОТК</x:t>
        </x:is>
      </x:c>
      <x:c r="C123" s="31" t="inlineStr">
        <x:is>
          <x:t xml:space="preserve">Нет доступа</x:t>
        </x:is>
      </x:c>
      <x:c r="D123" s="31" t="inlineStr">
        <x:is>
          <x:t xml:space="preserve">Нет</x:t>
        </x:is>
      </x:c>
      <x:c r="E123" s="31" t="n"/>
      <x:c r="F123" s="31" t="inlineStr">
        <x:is>
          <x:t xml:space="preserve">Проверка меню для роли Специалист снабжения</x:t>
        </x:is>
      </x:c>
    </x:row>
    <x:row r="124" ht="18" customHeight="1">
      <x:c r="A124" s="31" t="inlineStr">
        <x:is>
          <x:t xml:space="preserve">Специалист снабжения</x:t>
        </x:is>
      </x:c>
      <x:c r="B124" s="31" t="inlineStr">
        <x:is>
          <x:t xml:space="preserve">Логистика</x:t>
        </x:is>
      </x:c>
      <x:c r="C124" s="31" t="inlineStr">
        <x:is>
          <x:t xml:space="preserve">Нет доступа</x:t>
        </x:is>
      </x:c>
      <x:c r="D124" s="31" t="inlineStr">
        <x:is>
          <x:t xml:space="preserve">Нет</x:t>
        </x:is>
      </x:c>
      <x:c r="E124" s="31" t="n"/>
      <x:c r="F124" s="31" t="inlineStr">
        <x:is>
          <x:t xml:space="preserve">Проверка меню для роли Специалист снабжения</x:t>
        </x:is>
      </x:c>
    </x:row>
    <x:row r="125" ht="18" customHeight="1">
      <x:c r="A125" s="31" t="inlineStr">
        <x:is>
          <x:t xml:space="preserve">Специалист снабжения</x:t>
        </x:is>
      </x:c>
      <x:c r="B125" s="31" t="inlineStr">
        <x:is>
          <x:t xml:space="preserve">Финансы</x:t>
        </x:is>
      </x:c>
      <x:c r="C125" s="31" t="inlineStr">
        <x:is>
          <x:t xml:space="preserve">Нет доступа</x:t>
        </x:is>
      </x:c>
      <x:c r="D125" s="31" t="inlineStr">
        <x:is>
          <x:t xml:space="preserve">Нет</x:t>
        </x:is>
      </x:c>
      <x:c r="E125" s="31" t="n"/>
      <x:c r="F125" s="31" t="inlineStr">
        <x:is>
          <x:t xml:space="preserve">Проверка меню для роли Специалист снабжения</x:t>
        </x:is>
      </x:c>
    </x:row>
    <x:row r="126" ht="18" customHeight="1">
      <x:c r="A126" s="31" t="inlineStr">
        <x:is>
          <x:t xml:space="preserve">Специалист снабжения</x:t>
        </x:is>
      </x:c>
      <x:c r="B126" s="31" t="inlineStr">
        <x:is>
          <x:t xml:space="preserve">Сервис</x:t>
        </x:is>
      </x:c>
      <x:c r="C126" s="31" t="inlineStr">
        <x:is>
          <x:t xml:space="preserve">Нет доступа</x:t>
        </x:is>
      </x:c>
      <x:c r="D126" s="31" t="inlineStr">
        <x:is>
          <x:t xml:space="preserve">Нет</x:t>
        </x:is>
      </x:c>
      <x:c r="E126" s="31" t="n"/>
      <x:c r="F126" s="31" t="inlineStr">
        <x:is>
          <x:t xml:space="preserve">Проверка меню для роли Специалист снабжения</x:t>
        </x:is>
      </x:c>
    </x:row>
    <x:row r="127" ht="18" customHeight="1">
      <x:c r="A127" s="31" t="inlineStr">
        <x:is>
          <x:t xml:space="preserve">Специалист снабжения</x:t>
        </x:is>
      </x:c>
      <x:c r="B127" s="31" t="inlineStr">
        <x:is>
          <x:t xml:space="preserve">Согласования</x:t>
        </x:is>
      </x:c>
      <x:c r="C127" s="31" t="inlineStr">
        <x:is>
          <x:t xml:space="preserve">Нет доступа</x:t>
        </x:is>
      </x:c>
      <x:c r="D127" s="31" t="inlineStr">
        <x:is>
          <x:t xml:space="preserve">Нет</x:t>
        </x:is>
      </x:c>
      <x:c r="E127" s="31" t="n"/>
      <x:c r="F127" s="31" t="inlineStr">
        <x:is>
          <x:t xml:space="preserve">Проверка меню для роли Специалист снабжения</x:t>
        </x:is>
      </x:c>
    </x:row>
    <x:row r="128" ht="18" customHeight="1">
      <x:c r="A128" s="31" t="inlineStr">
        <x:is>
          <x:t xml:space="preserve">Специалист снабжения</x:t>
        </x:is>
      </x:c>
      <x:c r="B128" s="31" t="inlineStr">
        <x:is>
          <x:t xml:space="preserve">Отчеты</x:t>
        </x:is>
      </x:c>
      <x:c r="C128" s="31" t="inlineStr">
        <x:is>
          <x:t xml:space="preserve">Редактирование назначенных</x:t>
        </x:is>
      </x:c>
      <x:c r="D128" s="31" t="inlineStr">
        <x:is>
          <x:t xml:space="preserve">Нет</x:t>
        </x:is>
      </x:c>
      <x:c r="E128" s="31" t="inlineStr">
        <x:is>
          <x:t xml:space="preserve">Свои/подразделение</x:t>
        </x:is>
      </x:c>
      <x:c r="F128" s="31" t="inlineStr">
        <x:is>
          <x:t xml:space="preserve">Проверка меню для роли Специалист снабжения</x:t>
        </x:is>
      </x:c>
    </x:row>
    <x:row r="129" ht="18" customHeight="1">
      <x:c r="A129" s="31" t="inlineStr">
        <x:is>
          <x:t xml:space="preserve">Специалист снабжения</x:t>
        </x:is>
      </x:c>
      <x:c r="B129" s="31" t="inlineStr">
        <x:is>
          <x:t xml:space="preserve">Администрирование</x:t>
        </x:is>
      </x:c>
      <x:c r="C129" s="31" t="inlineStr">
        <x:is>
          <x:t xml:space="preserve">Нет доступа</x:t>
        </x:is>
      </x:c>
      <x:c r="D129" s="31" t="inlineStr">
        <x:is>
          <x:t xml:space="preserve">Нет</x:t>
        </x:is>
      </x:c>
      <x:c r="E129" s="31" t="n"/>
      <x:c r="F129" s="31" t="inlineStr">
        <x:is>
          <x:t xml:space="preserve">Проверка меню для роли Специалист снабжения</x:t>
        </x:is>
      </x:c>
    </x:row>
    <x:row r="130" ht="18" customHeight="1">
      <x:c r="A130" s="31" t="inlineStr">
        <x:is>
          <x:t xml:space="preserve">Кладовщик</x:t>
        </x:is>
      </x:c>
      <x:c r="B130" s="31" t="inlineStr">
        <x:is>
          <x:t xml:space="preserve">Дашборд</x:t>
        </x:is>
      </x:c>
      <x:c r="C130" s="31" t="inlineStr">
        <x:is>
          <x:t xml:space="preserve">Нет доступа</x:t>
        </x:is>
      </x:c>
      <x:c r="D130" s="31" t="inlineStr">
        <x:is>
          <x:t xml:space="preserve">Нет</x:t>
        </x:is>
      </x:c>
      <x:c r="E130" s="31" t="n"/>
      <x:c r="F130" s="31" t="inlineStr">
        <x:is>
          <x:t xml:space="preserve">Проверка меню для роли Кладовщик</x:t>
        </x:is>
      </x:c>
    </x:row>
    <x:row r="131" ht="18" customHeight="1">
      <x:c r="A131" s="31" t="inlineStr">
        <x:is>
          <x:t xml:space="preserve">Кладовщик</x:t>
        </x:is>
      </x:c>
      <x:c r="B131" s="31" t="inlineStr">
        <x:is>
          <x:t xml:space="preserve">Продажи</x:t>
        </x:is>
      </x:c>
      <x:c r="C131" s="31" t="inlineStr">
        <x:is>
          <x:t xml:space="preserve">Нет доступа</x:t>
        </x:is>
      </x:c>
      <x:c r="D131" s="31" t="inlineStr">
        <x:is>
          <x:t xml:space="preserve">Нет</x:t>
        </x:is>
      </x:c>
      <x:c r="E131" s="31" t="n"/>
      <x:c r="F131" s="31" t="inlineStr">
        <x:is>
          <x:t xml:space="preserve">Проверка меню для роли Кладовщик</x:t>
        </x:is>
      </x:c>
    </x:row>
    <x:row r="132" ht="18" customHeight="1">
      <x:c r="A132" s="31" t="inlineStr">
        <x:is>
          <x:t xml:space="preserve">Кладовщик</x:t>
        </x:is>
      </x:c>
      <x:c r="B132" s="31" t="inlineStr">
        <x:is>
          <x:t xml:space="preserve">Заказы</x:t>
        </x:is>
      </x:c>
      <x:c r="C132" s="31" t="inlineStr">
        <x:is>
          <x:t xml:space="preserve">Нет доступа</x:t>
        </x:is>
      </x:c>
      <x:c r="D132" s="31" t="inlineStr">
        <x:is>
          <x:t xml:space="preserve">Нет</x:t>
        </x:is>
      </x:c>
      <x:c r="E132" s="31" t="n"/>
      <x:c r="F132" s="31" t="inlineStr">
        <x:is>
          <x:t xml:space="preserve">Проверка меню для роли Кладовщик</x:t>
        </x:is>
      </x:c>
    </x:row>
    <x:row r="133" ht="18" customHeight="1">
      <x:c r="A133" s="31" t="inlineStr">
        <x:is>
          <x:t xml:space="preserve">Кладовщик</x:t>
        </x:is>
      </x:c>
      <x:c r="B133" s="31" t="inlineStr">
        <x:is>
          <x:t xml:space="preserve">КП/Договоры</x:t>
        </x:is>
      </x:c>
      <x:c r="C133" s="31" t="inlineStr">
        <x:is>
          <x:t xml:space="preserve">Нет доступа</x:t>
        </x:is>
      </x:c>
      <x:c r="D133" s="31" t="inlineStr">
        <x:is>
          <x:t xml:space="preserve">Нет</x:t>
        </x:is>
      </x:c>
      <x:c r="E133" s="31" t="n"/>
      <x:c r="F133" s="31" t="inlineStr">
        <x:is>
          <x:t xml:space="preserve">Проверка меню для роли Кладовщик</x:t>
        </x:is>
      </x:c>
    </x:row>
    <x:row r="134" ht="18" customHeight="1">
      <x:c r="A134" s="31" t="inlineStr">
        <x:is>
          <x:t xml:space="preserve">Кладовщик</x:t>
        </x:is>
      </x:c>
      <x:c r="B134" s="31" t="inlineStr">
        <x:is>
          <x:t xml:space="preserve">КД/состав изделия</x:t>
        </x:is>
      </x:c>
      <x:c r="C134" s="31" t="inlineStr">
        <x:is>
          <x:t xml:space="preserve">Нет доступа</x:t>
        </x:is>
      </x:c>
      <x:c r="D134" s="31" t="inlineStr">
        <x:is>
          <x:t xml:space="preserve">Нет</x:t>
        </x:is>
      </x:c>
      <x:c r="E134" s="31" t="n"/>
      <x:c r="F134" s="31" t="inlineStr">
        <x:is>
          <x:t xml:space="preserve">Проверка меню для роли Кладовщик</x:t>
        </x:is>
      </x:c>
    </x:row>
    <x:row r="135" ht="18" customHeight="1">
      <x:c r="A135" s="31" t="inlineStr">
        <x:is>
          <x:t xml:space="preserve">Кладовщик</x:t>
        </x:is>
      </x:c>
      <x:c r="B135" s="31" t="inlineStr">
        <x:is>
          <x:t xml:space="preserve">План производства</x:t>
        </x:is>
      </x:c>
      <x:c r="C135" s="31" t="inlineStr">
        <x:is>
          <x:t xml:space="preserve">Нет доступа</x:t>
        </x:is>
      </x:c>
      <x:c r="D135" s="31" t="inlineStr">
        <x:is>
          <x:t xml:space="preserve">Нет</x:t>
        </x:is>
      </x:c>
      <x:c r="E135" s="31" t="n"/>
      <x:c r="F135" s="31" t="inlineStr">
        <x:is>
          <x:t xml:space="preserve">Проверка меню для роли Кладовщик</x:t>
        </x:is>
      </x:c>
    </x:row>
    <x:row r="136" ht="18" customHeight="1">
      <x:c r="A136" s="31" t="inlineStr">
        <x:is>
          <x:t xml:space="preserve">Кладовщик</x:t>
        </x:is>
      </x:c>
      <x:c r="B136" s="31" t="inlineStr">
        <x:is>
          <x:t xml:space="preserve">Смены</x:t>
        </x:is>
      </x:c>
      <x:c r="C136" s="31" t="inlineStr">
        <x:is>
          <x:t xml:space="preserve">Операции склада</x:t>
        </x:is>
      </x:c>
      <x:c r="D136" s="31" t="inlineStr">
        <x:is>
          <x:t xml:space="preserve">Нет</x:t>
        </x:is>
      </x:c>
      <x:c r="E136" s="31" t="inlineStr">
        <x:is>
          <x:t xml:space="preserve">Свои/подразделение</x:t>
        </x:is>
      </x:c>
      <x:c r="F136" s="31" t="inlineStr">
        <x:is>
          <x:t xml:space="preserve">Проверка меню для роли Кладовщик</x:t>
        </x:is>
      </x:c>
    </x:row>
    <x:row r="137" ht="18" customHeight="1">
      <x:c r="A137" s="31" t="inlineStr">
        <x:is>
          <x:t xml:space="preserve">Кладовщик</x:t>
        </x:is>
      </x:c>
      <x:c r="B137" s="31" t="inlineStr">
        <x:is>
          <x:t xml:space="preserve">Склад</x:t>
        </x:is>
      </x:c>
      <x:c r="C137" s="31" t="inlineStr">
        <x:is>
          <x:t xml:space="preserve">Операции склада</x:t>
        </x:is>
      </x:c>
      <x:c r="D137" s="31" t="inlineStr">
        <x:is>
          <x:t xml:space="preserve">Нет</x:t>
        </x:is>
      </x:c>
      <x:c r="E137" s="31" t="inlineStr">
        <x:is>
          <x:t xml:space="preserve">Свои/подразделение</x:t>
        </x:is>
      </x:c>
      <x:c r="F137" s="31" t="inlineStr">
        <x:is>
          <x:t xml:space="preserve">Проверка меню для роли Кладовщик</x:t>
        </x:is>
      </x:c>
    </x:row>
    <x:row r="138" ht="18" customHeight="1">
      <x:c r="A138" s="31" t="inlineStr">
        <x:is>
          <x:t xml:space="preserve">Кладовщик</x:t>
        </x:is>
      </x:c>
      <x:c r="B138" s="31" t="inlineStr">
        <x:is>
          <x:t xml:space="preserve">Закупки</x:t>
        </x:is>
      </x:c>
      <x:c r="C138" s="31" t="inlineStr">
        <x:is>
          <x:t xml:space="preserve">Операции склада</x:t>
        </x:is>
      </x:c>
      <x:c r="D138" s="31" t="inlineStr">
        <x:is>
          <x:t xml:space="preserve">Нет</x:t>
        </x:is>
      </x:c>
      <x:c r="E138" s="31" t="inlineStr">
        <x:is>
          <x:t xml:space="preserve">Свои/подразделение</x:t>
        </x:is>
      </x:c>
      <x:c r="F138" s="31" t="inlineStr">
        <x:is>
          <x:t xml:space="preserve">Проверка меню для роли Кладовщик</x:t>
        </x:is>
      </x:c>
    </x:row>
    <x:row r="139" ht="18" customHeight="1">
      <x:c r="A139" s="31" t="inlineStr">
        <x:is>
          <x:t xml:space="preserve">Кладовщик</x:t>
        </x:is>
      </x:c>
      <x:c r="B139" s="31" t="inlineStr">
        <x:is>
          <x:t xml:space="preserve">ОТК</x:t>
        </x:is>
      </x:c>
      <x:c r="C139" s="31" t="inlineStr">
        <x:is>
          <x:t xml:space="preserve">Нет доступа</x:t>
        </x:is>
      </x:c>
      <x:c r="D139" s="31" t="inlineStr">
        <x:is>
          <x:t xml:space="preserve">Нет</x:t>
        </x:is>
      </x:c>
      <x:c r="E139" s="31" t="n"/>
      <x:c r="F139" s="31" t="inlineStr">
        <x:is>
          <x:t xml:space="preserve">Проверка меню для роли Кладовщик</x:t>
        </x:is>
      </x:c>
    </x:row>
    <x:row r="140" ht="18" customHeight="1">
      <x:c r="A140" s="31" t="inlineStr">
        <x:is>
          <x:t xml:space="preserve">Кладовщик</x:t>
        </x:is>
      </x:c>
      <x:c r="B140" s="31" t="inlineStr">
        <x:is>
          <x:t xml:space="preserve">Логистика</x:t>
        </x:is>
      </x:c>
      <x:c r="C140" s="31" t="inlineStr">
        <x:is>
          <x:t xml:space="preserve">Нет доступа</x:t>
        </x:is>
      </x:c>
      <x:c r="D140" s="31" t="inlineStr">
        <x:is>
          <x:t xml:space="preserve">Нет</x:t>
        </x:is>
      </x:c>
      <x:c r="E140" s="31" t="n"/>
      <x:c r="F140" s="31" t="inlineStr">
        <x:is>
          <x:t xml:space="preserve">Проверка меню для роли Кладовщик</x:t>
        </x:is>
      </x:c>
    </x:row>
    <x:row r="141" ht="18" customHeight="1">
      <x:c r="A141" s="31" t="inlineStr">
        <x:is>
          <x:t xml:space="preserve">Кладовщик</x:t>
        </x:is>
      </x:c>
      <x:c r="B141" s="31" t="inlineStr">
        <x:is>
          <x:t xml:space="preserve">Финансы</x:t>
        </x:is>
      </x:c>
      <x:c r="C141" s="31" t="inlineStr">
        <x:is>
          <x:t xml:space="preserve">Нет доступа</x:t>
        </x:is>
      </x:c>
      <x:c r="D141" s="31" t="inlineStr">
        <x:is>
          <x:t xml:space="preserve">Нет</x:t>
        </x:is>
      </x:c>
      <x:c r="E141" s="31" t="n"/>
      <x:c r="F141" s="31" t="inlineStr">
        <x:is>
          <x:t xml:space="preserve">Проверка меню для роли Кладовщик</x:t>
        </x:is>
      </x:c>
    </x:row>
    <x:row r="142" ht="18" customHeight="1">
      <x:c r="A142" s="31" t="inlineStr">
        <x:is>
          <x:t xml:space="preserve">Кладовщик</x:t>
        </x:is>
      </x:c>
      <x:c r="B142" s="31" t="inlineStr">
        <x:is>
          <x:t xml:space="preserve">Сервис</x:t>
        </x:is>
      </x:c>
      <x:c r="C142" s="31" t="inlineStr">
        <x:is>
          <x:t xml:space="preserve">Нет доступа</x:t>
        </x:is>
      </x:c>
      <x:c r="D142" s="31" t="inlineStr">
        <x:is>
          <x:t xml:space="preserve">Нет</x:t>
        </x:is>
      </x:c>
      <x:c r="E142" s="31" t="n"/>
      <x:c r="F142" s="31" t="inlineStr">
        <x:is>
          <x:t xml:space="preserve">Проверка меню для роли Кладовщик</x:t>
        </x:is>
      </x:c>
    </x:row>
    <x:row r="143" ht="18" customHeight="1">
      <x:c r="A143" s="31" t="inlineStr">
        <x:is>
          <x:t xml:space="preserve">Кладовщик</x:t>
        </x:is>
      </x:c>
      <x:c r="B143" s="31" t="inlineStr">
        <x:is>
          <x:t xml:space="preserve">Согласования</x:t>
        </x:is>
      </x:c>
      <x:c r="C143" s="31" t="inlineStr">
        <x:is>
          <x:t xml:space="preserve">Нет доступа</x:t>
        </x:is>
      </x:c>
      <x:c r="D143" s="31" t="inlineStr">
        <x:is>
          <x:t xml:space="preserve">Нет</x:t>
        </x:is>
      </x:c>
      <x:c r="E143" s="31" t="n"/>
      <x:c r="F143" s="31" t="inlineStr">
        <x:is>
          <x:t xml:space="preserve">Проверка меню для роли Кладовщик</x:t>
        </x:is>
      </x:c>
    </x:row>
    <x:row r="144" ht="18" customHeight="1">
      <x:c r="A144" s="31" t="inlineStr">
        <x:is>
          <x:t xml:space="preserve">Кладовщик</x:t>
        </x:is>
      </x:c>
      <x:c r="B144" s="31" t="inlineStr">
        <x:is>
          <x:t xml:space="preserve">Отчеты</x:t>
        </x:is>
      </x:c>
      <x:c r="C144" s="31" t="inlineStr">
        <x:is>
          <x:t xml:space="preserve">Нет доступа</x:t>
        </x:is>
      </x:c>
      <x:c r="D144" s="31" t="inlineStr">
        <x:is>
          <x:t xml:space="preserve">Нет</x:t>
        </x:is>
      </x:c>
      <x:c r="E144" s="31" t="n"/>
      <x:c r="F144" s="31" t="inlineStr">
        <x:is>
          <x:t xml:space="preserve">Проверка меню для роли Кладовщик</x:t>
        </x:is>
      </x:c>
    </x:row>
    <x:row r="145" ht="18" customHeight="1">
      <x:c r="A145" s="31" t="inlineStr">
        <x:is>
          <x:t xml:space="preserve">Кладовщик</x:t>
        </x:is>
      </x:c>
      <x:c r="B145" s="31" t="inlineStr">
        <x:is>
          <x:t xml:space="preserve">Администрирование</x:t>
        </x:is>
      </x:c>
      <x:c r="C145" s="31" t="inlineStr">
        <x:is>
          <x:t xml:space="preserve">Нет доступа</x:t>
        </x:is>
      </x:c>
      <x:c r="D145" s="31" t="inlineStr">
        <x:is>
          <x:t xml:space="preserve">Нет</x:t>
        </x:is>
      </x:c>
      <x:c r="E145" s="31" t="n"/>
      <x:c r="F145" s="31" t="inlineStr">
        <x:is>
          <x:t xml:space="preserve">Проверка меню для роли Кладовщик</x:t>
        </x:is>
      </x:c>
    </x:row>
    <x:row r="146" ht="18" customHeight="1">
      <x:c r="A146" s="31" t="inlineStr">
        <x:is>
          <x:t xml:space="preserve">Начальник производства</x:t>
        </x:is>
      </x:c>
      <x:c r="B146" s="31" t="inlineStr">
        <x:is>
          <x:t xml:space="preserve">Дашборд</x:t>
        </x:is>
      </x:c>
      <x:c r="C146" s="31" t="inlineStr">
        <x:is>
          <x:t xml:space="preserve">Нет доступа</x:t>
        </x:is>
      </x:c>
      <x:c r="D146" s="31" t="inlineStr">
        <x:is>
          <x:t xml:space="preserve">Нет</x:t>
        </x:is>
      </x:c>
      <x:c r="E146" s="31" t="n"/>
      <x:c r="F146" s="31" t="inlineStr">
        <x:is>
          <x:t xml:space="preserve">Проверка меню для роли Начальник производства</x:t>
        </x:is>
      </x:c>
    </x:row>
    <x:row r="147" ht="18" customHeight="1">
      <x:c r="A147" s="31" t="inlineStr">
        <x:is>
          <x:t xml:space="preserve">Начальник производства</x:t>
        </x:is>
      </x:c>
      <x:c r="B147" s="31" t="inlineStr">
        <x:is>
          <x:t xml:space="preserve">Продажи</x:t>
        </x:is>
      </x:c>
      <x:c r="C147" s="31" t="inlineStr">
        <x:is>
          <x:t xml:space="preserve">Нет доступа</x:t>
        </x:is>
      </x:c>
      <x:c r="D147" s="31" t="inlineStr">
        <x:is>
          <x:t xml:space="preserve">Нет</x:t>
        </x:is>
      </x:c>
      <x:c r="E147" s="31" t="n"/>
      <x:c r="F147" s="31" t="inlineStr">
        <x:is>
          <x:t xml:space="preserve">Проверка меню для роли Начальник производства</x:t>
        </x:is>
      </x:c>
    </x:row>
    <x:row r="148" ht="18" customHeight="1">
      <x:c r="A148" s="31" t="inlineStr">
        <x:is>
          <x:t xml:space="preserve">Начальник производства</x:t>
        </x:is>
      </x:c>
      <x:c r="B148" s="31" t="inlineStr">
        <x:is>
          <x:t xml:space="preserve">Заказы</x:t>
        </x:is>
      </x:c>
      <x:c r="C148" s="31" t="inlineStr">
        <x:is>
          <x:t xml:space="preserve">Нет доступа</x:t>
        </x:is>
      </x:c>
      <x:c r="D148" s="31" t="inlineStr">
        <x:is>
          <x:t xml:space="preserve">Нет</x:t>
        </x:is>
      </x:c>
      <x:c r="E148" s="31" t="n"/>
      <x:c r="F148" s="31" t="inlineStr">
        <x:is>
          <x:t xml:space="preserve">Проверка меню для роли Начальник производства</x:t>
        </x:is>
      </x:c>
    </x:row>
    <x:row r="149" ht="18" customHeight="1">
      <x:c r="A149" s="31" t="inlineStr">
        <x:is>
          <x:t xml:space="preserve">Начальник производства</x:t>
        </x:is>
      </x:c>
      <x:c r="B149" s="31" t="inlineStr">
        <x:is>
          <x:t xml:space="preserve">КП/Договоры</x:t>
        </x:is>
      </x:c>
      <x:c r="C149" s="31" t="inlineStr">
        <x:is>
          <x:t xml:space="preserve">Нет доступа</x:t>
        </x:is>
      </x:c>
      <x:c r="D149" s="31" t="inlineStr">
        <x:is>
          <x:t xml:space="preserve">Нет</x:t>
        </x:is>
      </x:c>
      <x:c r="E149" s="31" t="n"/>
      <x:c r="F149" s="31" t="inlineStr">
        <x:is>
          <x:t xml:space="preserve">Проверка меню для роли Начальник производства</x:t>
        </x:is>
      </x:c>
    </x:row>
    <x:row r="150" ht="18" customHeight="1">
      <x:c r="A150" s="31" t="inlineStr">
        <x:is>
          <x:t xml:space="preserve">Начальник производства</x:t>
        </x:is>
      </x:c>
      <x:c r="B150" s="31" t="inlineStr">
        <x:is>
          <x:t xml:space="preserve">КД/состав изделия</x:t>
        </x:is>
      </x:c>
      <x:c r="C150" s="31" t="inlineStr">
        <x:is>
          <x:t xml:space="preserve">Нет доступа</x:t>
        </x:is>
      </x:c>
      <x:c r="D150" s="31" t="inlineStr">
        <x:is>
          <x:t xml:space="preserve">Нет</x:t>
        </x:is>
      </x:c>
      <x:c r="E150" s="31" t="n"/>
      <x:c r="F150" s="31" t="inlineStr">
        <x:is>
          <x:t xml:space="preserve">Проверка меню для роли Начальник производства</x:t>
        </x:is>
      </x:c>
    </x:row>
    <x:row r="151" ht="18" customHeight="1">
      <x:c r="A151" s="31" t="inlineStr">
        <x:is>
          <x:t xml:space="preserve">Начальник производства</x:t>
        </x:is>
      </x:c>
      <x:c r="B151" s="31" t="inlineStr">
        <x:is>
          <x:t xml:space="preserve">План производства</x:t>
        </x:is>
      </x:c>
      <x:c r="C151" s="31" t="inlineStr">
        <x:is>
          <x:t xml:space="preserve">Планирование</x:t>
        </x:is>
      </x:c>
      <x:c r="D151" s="31" t="inlineStr">
        <x:is>
          <x:t xml:space="preserve">Нет</x:t>
        </x:is>
      </x:c>
      <x:c r="E151" s="31" t="inlineStr">
        <x:is>
          <x:t xml:space="preserve">Свои/подразделение</x:t>
        </x:is>
      </x:c>
      <x:c r="F151" s="31" t="inlineStr">
        <x:is>
          <x:t xml:space="preserve">Проверка меню для роли Начальник производства</x:t>
        </x:is>
      </x:c>
    </x:row>
    <x:row r="152" ht="18" customHeight="1">
      <x:c r="A152" s="31" t="inlineStr">
        <x:is>
          <x:t xml:space="preserve">Начальник производства</x:t>
        </x:is>
      </x:c>
      <x:c r="B152" s="31" t="inlineStr">
        <x:is>
          <x:t xml:space="preserve">Смены</x:t>
        </x:is>
      </x:c>
      <x:c r="C152" s="31" t="inlineStr">
        <x:is>
          <x:t xml:space="preserve">Планирование</x:t>
        </x:is>
      </x:c>
      <x:c r="D152" s="31" t="inlineStr">
        <x:is>
          <x:t xml:space="preserve">Нет</x:t>
        </x:is>
      </x:c>
      <x:c r="E152" s="31" t="inlineStr">
        <x:is>
          <x:t xml:space="preserve">Свои/подразделение</x:t>
        </x:is>
      </x:c>
      <x:c r="F152" s="31" t="inlineStr">
        <x:is>
          <x:t xml:space="preserve">Проверка меню для роли Начальник производства</x:t>
        </x:is>
      </x:c>
    </x:row>
    <x:row r="153" ht="18" customHeight="1">
      <x:c r="A153" s="31" t="inlineStr">
        <x:is>
          <x:t xml:space="preserve">Начальник производства</x:t>
        </x:is>
      </x:c>
      <x:c r="B153" s="31" t="inlineStr">
        <x:is>
          <x:t xml:space="preserve">Склад</x:t>
        </x:is>
      </x:c>
      <x:c r="C153" s="31" t="inlineStr">
        <x:is>
          <x:t xml:space="preserve">Планирование</x:t>
        </x:is>
      </x:c>
      <x:c r="D153" s="31" t="inlineStr">
        <x:is>
          <x:t xml:space="preserve">Нет</x:t>
        </x:is>
      </x:c>
      <x:c r="E153" s="31" t="inlineStr">
        <x:is>
          <x:t xml:space="preserve">Свои/подразделение</x:t>
        </x:is>
      </x:c>
      <x:c r="F153" s="31" t="inlineStr">
        <x:is>
          <x:t xml:space="preserve">Проверка меню для роли Начальник производства</x:t>
        </x:is>
      </x:c>
    </x:row>
    <x:row r="154" ht="18" customHeight="1">
      <x:c r="A154" s="31" t="inlineStr">
        <x:is>
          <x:t xml:space="preserve">Начальник производства</x:t>
        </x:is>
      </x:c>
      <x:c r="B154" s="31" t="inlineStr">
        <x:is>
          <x:t xml:space="preserve">Закупки</x:t>
        </x:is>
      </x:c>
      <x:c r="C154" s="31" t="inlineStr">
        <x:is>
          <x:t xml:space="preserve">Нет доступа</x:t>
        </x:is>
      </x:c>
      <x:c r="D154" s="31" t="inlineStr">
        <x:is>
          <x:t xml:space="preserve">Нет</x:t>
        </x:is>
      </x:c>
      <x:c r="E154" s="31" t="n"/>
      <x:c r="F154" s="31" t="inlineStr">
        <x:is>
          <x:t xml:space="preserve">Проверка меню для роли Начальник производства</x:t>
        </x:is>
      </x:c>
    </x:row>
    <x:row r="155" ht="18" customHeight="1">
      <x:c r="A155" s="31" t="inlineStr">
        <x:is>
          <x:t xml:space="preserve">Начальник производства</x:t>
        </x:is>
      </x:c>
      <x:c r="B155" s="31" t="inlineStr">
        <x:is>
          <x:t xml:space="preserve">ОТК</x:t>
        </x:is>
      </x:c>
      <x:c r="C155" s="31" t="inlineStr">
        <x:is>
          <x:t xml:space="preserve">Планирование</x:t>
        </x:is>
      </x:c>
      <x:c r="D155" s="31" t="inlineStr">
        <x:is>
          <x:t xml:space="preserve">Нет</x:t>
        </x:is>
      </x:c>
      <x:c r="E155" s="31" t="inlineStr">
        <x:is>
          <x:t xml:space="preserve">Свои/подразделение</x:t>
        </x:is>
      </x:c>
      <x:c r="F155" s="31" t="inlineStr">
        <x:is>
          <x:t xml:space="preserve">Проверка меню для роли Начальник производства</x:t>
        </x:is>
      </x:c>
    </x:row>
    <x:row r="156" ht="18" customHeight="1">
      <x:c r="A156" s="31" t="inlineStr">
        <x:is>
          <x:t xml:space="preserve">Начальник производства</x:t>
        </x:is>
      </x:c>
      <x:c r="B156" s="31" t="inlineStr">
        <x:is>
          <x:t xml:space="preserve">Логистика</x:t>
        </x:is>
      </x:c>
      <x:c r="C156" s="31" t="inlineStr">
        <x:is>
          <x:t xml:space="preserve">Нет доступа</x:t>
        </x:is>
      </x:c>
      <x:c r="D156" s="31" t="inlineStr">
        <x:is>
          <x:t xml:space="preserve">Нет</x:t>
        </x:is>
      </x:c>
      <x:c r="E156" s="31" t="n"/>
      <x:c r="F156" s="31" t="inlineStr">
        <x:is>
          <x:t xml:space="preserve">Проверка меню для роли Начальник производства</x:t>
        </x:is>
      </x:c>
    </x:row>
    <x:row r="157" ht="18" customHeight="1">
      <x:c r="A157" s="31" t="inlineStr">
        <x:is>
          <x:t xml:space="preserve">Начальник производства</x:t>
        </x:is>
      </x:c>
      <x:c r="B157" s="31" t="inlineStr">
        <x:is>
          <x:t xml:space="preserve">Финансы</x:t>
        </x:is>
      </x:c>
      <x:c r="C157" s="31" t="inlineStr">
        <x:is>
          <x:t xml:space="preserve">Нет доступа</x:t>
        </x:is>
      </x:c>
      <x:c r="D157" s="31" t="inlineStr">
        <x:is>
          <x:t xml:space="preserve">Нет</x:t>
        </x:is>
      </x:c>
      <x:c r="E157" s="31" t="n"/>
      <x:c r="F157" s="31" t="inlineStr">
        <x:is>
          <x:t xml:space="preserve">Проверка меню для роли Начальник производства</x:t>
        </x:is>
      </x:c>
    </x:row>
    <x:row r="158" ht="18" customHeight="1">
      <x:c r="A158" s="31" t="inlineStr">
        <x:is>
          <x:t xml:space="preserve">Начальник производства</x:t>
        </x:is>
      </x:c>
      <x:c r="B158" s="31" t="inlineStr">
        <x:is>
          <x:t xml:space="preserve">Сервис</x:t>
        </x:is>
      </x:c>
      <x:c r="C158" s="31" t="inlineStr">
        <x:is>
          <x:t xml:space="preserve">Нет доступа</x:t>
        </x:is>
      </x:c>
      <x:c r="D158" s="31" t="inlineStr">
        <x:is>
          <x:t xml:space="preserve">Нет</x:t>
        </x:is>
      </x:c>
      <x:c r="E158" s="31" t="n"/>
      <x:c r="F158" s="31" t="inlineStr">
        <x:is>
          <x:t xml:space="preserve">Проверка меню для роли Начальник производства</x:t>
        </x:is>
      </x:c>
    </x:row>
    <x:row r="159" ht="18" customHeight="1">
      <x:c r="A159" s="31" t="inlineStr">
        <x:is>
          <x:t xml:space="preserve">Начальник производства</x:t>
        </x:is>
      </x:c>
      <x:c r="B159" s="31" t="inlineStr">
        <x:is>
          <x:t xml:space="preserve">Согласования</x:t>
        </x:is>
      </x:c>
      <x:c r="C159" s="31" t="inlineStr">
        <x:is>
          <x:t xml:space="preserve">Нет доступа</x:t>
        </x:is>
      </x:c>
      <x:c r="D159" s="31" t="inlineStr">
        <x:is>
          <x:t xml:space="preserve">Нет</x:t>
        </x:is>
      </x:c>
      <x:c r="E159" s="31" t="n"/>
      <x:c r="F159" s="31" t="inlineStr">
        <x:is>
          <x:t xml:space="preserve">Проверка меню для роли Начальник производства</x:t>
        </x:is>
      </x:c>
    </x:row>
    <x:row r="160" ht="18" customHeight="1">
      <x:c r="A160" s="31" t="inlineStr">
        <x:is>
          <x:t xml:space="preserve">Начальник производства</x:t>
        </x:is>
      </x:c>
      <x:c r="B160" s="31" t="inlineStr">
        <x:is>
          <x:t xml:space="preserve">Отчеты</x:t>
        </x:is>
      </x:c>
      <x:c r="C160" s="31" t="inlineStr">
        <x:is>
          <x:t xml:space="preserve">Планирование</x:t>
        </x:is>
      </x:c>
      <x:c r="D160" s="31" t="inlineStr">
        <x:is>
          <x:t xml:space="preserve">Нет</x:t>
        </x:is>
      </x:c>
      <x:c r="E160" s="31" t="inlineStr">
        <x:is>
          <x:t xml:space="preserve">Свои/подразделение</x:t>
        </x:is>
      </x:c>
      <x:c r="F160" s="31" t="inlineStr">
        <x:is>
          <x:t xml:space="preserve">Проверка меню для роли Начальник производства</x:t>
        </x:is>
      </x:c>
    </x:row>
    <x:row r="161" ht="18" customHeight="1">
      <x:c r="A161" s="31" t="inlineStr">
        <x:is>
          <x:t xml:space="preserve">Начальник производства</x:t>
        </x:is>
      </x:c>
      <x:c r="B161" s="31" t="inlineStr">
        <x:is>
          <x:t xml:space="preserve">Администрирование</x:t>
        </x:is>
      </x:c>
      <x:c r="C161" s="31" t="inlineStr">
        <x:is>
          <x:t xml:space="preserve">Нет доступа</x:t>
        </x:is>
      </x:c>
      <x:c r="D161" s="31" t="inlineStr">
        <x:is>
          <x:t xml:space="preserve">Нет</x:t>
        </x:is>
      </x:c>
      <x:c r="E161" s="31" t="n"/>
      <x:c r="F161" s="31" t="inlineStr">
        <x:is>
          <x:t xml:space="preserve">Проверка меню для роли Начальник производства</x:t>
        </x:is>
      </x:c>
    </x:row>
    <x:row r="162" ht="18" customHeight="1">
      <x:c r="A162" s="31" t="inlineStr">
        <x:is>
          <x:t xml:space="preserve">Мастер участка</x:t>
        </x:is>
      </x:c>
      <x:c r="B162" s="31" t="inlineStr">
        <x:is>
          <x:t xml:space="preserve">Дашборд</x:t>
        </x:is>
      </x:c>
      <x:c r="C162" s="31" t="inlineStr">
        <x:is>
          <x:t xml:space="preserve">Нет доступа</x:t>
        </x:is>
      </x:c>
      <x:c r="D162" s="31" t="inlineStr">
        <x:is>
          <x:t xml:space="preserve">Нет</x:t>
        </x:is>
      </x:c>
      <x:c r="E162" s="31" t="n"/>
      <x:c r="F162" s="31" t="inlineStr">
        <x:is>
          <x:t xml:space="preserve">Проверка меню для роли Мастер участка</x:t>
        </x:is>
      </x:c>
    </x:row>
    <x:row r="163" ht="18" customHeight="1">
      <x:c r="A163" s="31" t="inlineStr">
        <x:is>
          <x:t xml:space="preserve">Мастер участка</x:t>
        </x:is>
      </x:c>
      <x:c r="B163" s="31" t="inlineStr">
        <x:is>
          <x:t xml:space="preserve">Продажи</x:t>
        </x:is>
      </x:c>
      <x:c r="C163" s="31" t="inlineStr">
        <x:is>
          <x:t xml:space="preserve">Нет доступа</x:t>
        </x:is>
      </x:c>
      <x:c r="D163" s="31" t="inlineStr">
        <x:is>
          <x:t xml:space="preserve">Нет</x:t>
        </x:is>
      </x:c>
      <x:c r="E163" s="31" t="n"/>
      <x:c r="F163" s="31" t="inlineStr">
        <x:is>
          <x:t xml:space="preserve">Проверка меню для роли Мастер участка</x:t>
        </x:is>
      </x:c>
    </x:row>
    <x:row r="164" ht="18" customHeight="1">
      <x:c r="A164" s="31" t="inlineStr">
        <x:is>
          <x:t xml:space="preserve">Мастер участка</x:t>
        </x:is>
      </x:c>
      <x:c r="B164" s="31" t="inlineStr">
        <x:is>
          <x:t xml:space="preserve">Заказы</x:t>
        </x:is>
      </x:c>
      <x:c r="C164" s="31" t="inlineStr">
        <x:is>
          <x:t xml:space="preserve">Нет доступа</x:t>
        </x:is>
      </x:c>
      <x:c r="D164" s="31" t="inlineStr">
        <x:is>
          <x:t xml:space="preserve">Нет</x:t>
        </x:is>
      </x:c>
      <x:c r="E164" s="31" t="n"/>
      <x:c r="F164" s="31" t="inlineStr">
        <x:is>
          <x:t xml:space="preserve">Проверка меню для роли Мастер участка</x:t>
        </x:is>
      </x:c>
    </x:row>
    <x:row r="165" ht="18" customHeight="1">
      <x:c r="A165" s="31" t="inlineStr">
        <x:is>
          <x:t xml:space="preserve">Мастер участка</x:t>
        </x:is>
      </x:c>
      <x:c r="B165" s="31" t="inlineStr">
        <x:is>
          <x:t xml:space="preserve">КП/Договоры</x:t>
        </x:is>
      </x:c>
      <x:c r="C165" s="31" t="inlineStr">
        <x:is>
          <x:t xml:space="preserve">Нет доступа</x:t>
        </x:is>
      </x:c>
      <x:c r="D165" s="31" t="inlineStr">
        <x:is>
          <x:t xml:space="preserve">Нет</x:t>
        </x:is>
      </x:c>
      <x:c r="E165" s="31" t="n"/>
      <x:c r="F165" s="31" t="inlineStr">
        <x:is>
          <x:t xml:space="preserve">Проверка меню для роли Мастер участка</x:t>
        </x:is>
      </x:c>
    </x:row>
    <x:row r="166" ht="18" customHeight="1">
      <x:c r="A166" s="31" t="inlineStr">
        <x:is>
          <x:t xml:space="preserve">Мастер участка</x:t>
        </x:is>
      </x:c>
      <x:c r="B166" s="31" t="inlineStr">
        <x:is>
          <x:t xml:space="preserve">КД/состав изделия</x:t>
        </x:is>
      </x:c>
      <x:c r="C166" s="31" t="inlineStr">
        <x:is>
          <x:t xml:space="preserve">Нет доступа</x:t>
        </x:is>
      </x:c>
      <x:c r="D166" s="31" t="inlineStr">
        <x:is>
          <x:t xml:space="preserve">Нет</x:t>
        </x:is>
      </x:c>
      <x:c r="E166" s="31" t="n"/>
      <x:c r="F166" s="31" t="inlineStr">
        <x:is>
          <x:t xml:space="preserve">Проверка меню для роли Мастер участка</x:t>
        </x:is>
      </x:c>
    </x:row>
    <x:row r="167" ht="18" customHeight="1">
      <x:c r="A167" s="31" t="inlineStr">
        <x:is>
          <x:t xml:space="preserve">Мастер участка</x:t>
        </x:is>
      </x:c>
      <x:c r="B167" s="31" t="inlineStr">
        <x:is>
          <x:t xml:space="preserve">План производства</x:t>
        </x:is>
      </x:c>
      <x:c r="C167" s="31" t="inlineStr">
        <x:is>
          <x:t xml:space="preserve">Свой участок</x:t>
        </x:is>
      </x:c>
      <x:c r="D167" s="31" t="inlineStr">
        <x:is>
          <x:t xml:space="preserve">Нет</x:t>
        </x:is>
      </x:c>
      <x:c r="E167" s="31" t="inlineStr">
        <x:is>
          <x:t xml:space="preserve">Свои/подразделение</x:t>
        </x:is>
      </x:c>
      <x:c r="F167" s="31" t="inlineStr">
        <x:is>
          <x:t xml:space="preserve">Проверка меню для роли Мастер участка</x:t>
        </x:is>
      </x:c>
    </x:row>
    <x:row r="168" ht="18" customHeight="1">
      <x:c r="A168" s="31" t="inlineStr">
        <x:is>
          <x:t xml:space="preserve">Мастер участка</x:t>
        </x:is>
      </x:c>
      <x:c r="B168" s="31" t="inlineStr">
        <x:is>
          <x:t xml:space="preserve">Смены</x:t>
        </x:is>
      </x:c>
      <x:c r="C168" s="31" t="inlineStr">
        <x:is>
          <x:t xml:space="preserve">Свой участок</x:t>
        </x:is>
      </x:c>
      <x:c r="D168" s="31" t="inlineStr">
        <x:is>
          <x:t xml:space="preserve">Нет</x:t>
        </x:is>
      </x:c>
      <x:c r="E168" s="31" t="inlineStr">
        <x:is>
          <x:t xml:space="preserve">Свои/подразделение</x:t>
        </x:is>
      </x:c>
      <x:c r="F168" s="31" t="inlineStr">
        <x:is>
          <x:t xml:space="preserve">Проверка меню для роли Мастер участка</x:t>
        </x:is>
      </x:c>
    </x:row>
    <x:row r="169" ht="18" customHeight="1">
      <x:c r="A169" s="31" t="inlineStr">
        <x:is>
          <x:t xml:space="preserve">Мастер участка</x:t>
        </x:is>
      </x:c>
      <x:c r="B169" s="31" t="inlineStr">
        <x:is>
          <x:t xml:space="preserve">Склад</x:t>
        </x:is>
      </x:c>
      <x:c r="C169" s="31" t="inlineStr">
        <x:is>
          <x:t xml:space="preserve">Свой участок</x:t>
        </x:is>
      </x:c>
      <x:c r="D169" s="31" t="inlineStr">
        <x:is>
          <x:t xml:space="preserve">Нет</x:t>
        </x:is>
      </x:c>
      <x:c r="E169" s="31" t="inlineStr">
        <x:is>
          <x:t xml:space="preserve">Свои/подразделение</x:t>
        </x:is>
      </x:c>
      <x:c r="F169" s="31" t="inlineStr">
        <x:is>
          <x:t xml:space="preserve">Проверка меню для роли Мастер участка</x:t>
        </x:is>
      </x:c>
    </x:row>
    <x:row r="170" ht="18" customHeight="1">
      <x:c r="A170" s="31" t="inlineStr">
        <x:is>
          <x:t xml:space="preserve">Мастер участка</x:t>
        </x:is>
      </x:c>
      <x:c r="B170" s="31" t="inlineStr">
        <x:is>
          <x:t xml:space="preserve">Закупки</x:t>
        </x:is>
      </x:c>
      <x:c r="C170" s="31" t="inlineStr">
        <x:is>
          <x:t xml:space="preserve">Нет доступа</x:t>
        </x:is>
      </x:c>
      <x:c r="D170" s="31" t="inlineStr">
        <x:is>
          <x:t xml:space="preserve">Нет</x:t>
        </x:is>
      </x:c>
      <x:c r="E170" s="31" t="n"/>
      <x:c r="F170" s="31" t="inlineStr">
        <x:is>
          <x:t xml:space="preserve">Проверка меню для роли Мастер участка</x:t>
        </x:is>
      </x:c>
    </x:row>
    <x:row r="171" ht="18" customHeight="1">
      <x:c r="A171" s="31" t="inlineStr">
        <x:is>
          <x:t xml:space="preserve">Мастер участка</x:t>
        </x:is>
      </x:c>
      <x:c r="B171" s="31" t="inlineStr">
        <x:is>
          <x:t xml:space="preserve">ОТК</x:t>
        </x:is>
      </x:c>
      <x:c r="C171" s="31" t="inlineStr">
        <x:is>
          <x:t xml:space="preserve">Свой участок</x:t>
        </x:is>
      </x:c>
      <x:c r="D171" s="31" t="inlineStr">
        <x:is>
          <x:t xml:space="preserve">Нет</x:t>
        </x:is>
      </x:c>
      <x:c r="E171" s="31" t="inlineStr">
        <x:is>
          <x:t xml:space="preserve">Свои/подразделение</x:t>
        </x:is>
      </x:c>
      <x:c r="F171" s="31" t="inlineStr">
        <x:is>
          <x:t xml:space="preserve">Проверка меню для роли Мастер участка</x:t>
        </x:is>
      </x:c>
    </x:row>
    <x:row r="172" ht="18" customHeight="1">
      <x:c r="A172" s="31" t="inlineStr">
        <x:is>
          <x:t xml:space="preserve">Мастер участка</x:t>
        </x:is>
      </x:c>
      <x:c r="B172" s="31" t="inlineStr">
        <x:is>
          <x:t xml:space="preserve">Логистика</x:t>
        </x:is>
      </x:c>
      <x:c r="C172" s="31" t="inlineStr">
        <x:is>
          <x:t xml:space="preserve">Нет доступа</x:t>
        </x:is>
      </x:c>
      <x:c r="D172" s="31" t="inlineStr">
        <x:is>
          <x:t xml:space="preserve">Нет</x:t>
        </x:is>
      </x:c>
      <x:c r="E172" s="31" t="n"/>
      <x:c r="F172" s="31" t="inlineStr">
        <x:is>
          <x:t xml:space="preserve">Проверка меню для роли Мастер участка</x:t>
        </x:is>
      </x:c>
    </x:row>
    <x:row r="173" ht="18" customHeight="1">
      <x:c r="A173" s="31" t="inlineStr">
        <x:is>
          <x:t xml:space="preserve">Мастер участка</x:t>
        </x:is>
      </x:c>
      <x:c r="B173" s="31" t="inlineStr">
        <x:is>
          <x:t xml:space="preserve">Финансы</x:t>
        </x:is>
      </x:c>
      <x:c r="C173" s="31" t="inlineStr">
        <x:is>
          <x:t xml:space="preserve">Нет доступа</x:t>
        </x:is>
      </x:c>
      <x:c r="D173" s="31" t="inlineStr">
        <x:is>
          <x:t xml:space="preserve">Нет</x:t>
        </x:is>
      </x:c>
      <x:c r="E173" s="31" t="n"/>
      <x:c r="F173" s="31" t="inlineStr">
        <x:is>
          <x:t xml:space="preserve">Проверка меню для роли Мастер участка</x:t>
        </x:is>
      </x:c>
    </x:row>
    <x:row r="174" ht="18" customHeight="1">
      <x:c r="A174" s="31" t="inlineStr">
        <x:is>
          <x:t xml:space="preserve">Мастер участка</x:t>
        </x:is>
      </x:c>
      <x:c r="B174" s="31" t="inlineStr">
        <x:is>
          <x:t xml:space="preserve">Сервис</x:t>
        </x:is>
      </x:c>
      <x:c r="C174" s="31" t="inlineStr">
        <x:is>
          <x:t xml:space="preserve">Нет доступа</x:t>
        </x:is>
      </x:c>
      <x:c r="D174" s="31" t="inlineStr">
        <x:is>
          <x:t xml:space="preserve">Нет</x:t>
        </x:is>
      </x:c>
      <x:c r="E174" s="31" t="n"/>
      <x:c r="F174" s="31" t="inlineStr">
        <x:is>
          <x:t xml:space="preserve">Проверка меню для роли Мастер участка</x:t>
        </x:is>
      </x:c>
    </x:row>
    <x:row r="175" ht="18" customHeight="1">
      <x:c r="A175" s="31" t="inlineStr">
        <x:is>
          <x:t xml:space="preserve">Мастер участка</x:t>
        </x:is>
      </x:c>
      <x:c r="B175" s="31" t="inlineStr">
        <x:is>
          <x:t xml:space="preserve">Согласования</x:t>
        </x:is>
      </x:c>
      <x:c r="C175" s="31" t="inlineStr">
        <x:is>
          <x:t xml:space="preserve">Нет доступа</x:t>
        </x:is>
      </x:c>
      <x:c r="D175" s="31" t="inlineStr">
        <x:is>
          <x:t xml:space="preserve">Нет</x:t>
        </x:is>
      </x:c>
      <x:c r="E175" s="31" t="n"/>
      <x:c r="F175" s="31" t="inlineStr">
        <x:is>
          <x:t xml:space="preserve">Проверка меню для роли Мастер участка</x:t>
        </x:is>
      </x:c>
    </x:row>
    <x:row r="176" ht="18" customHeight="1">
      <x:c r="A176" s="31" t="inlineStr">
        <x:is>
          <x:t xml:space="preserve">Мастер участка</x:t>
        </x:is>
      </x:c>
      <x:c r="B176" s="31" t="inlineStr">
        <x:is>
          <x:t xml:space="preserve">Отчеты</x:t>
        </x:is>
      </x:c>
      <x:c r="C176" s="31" t="inlineStr">
        <x:is>
          <x:t xml:space="preserve">Свой участок</x:t>
        </x:is>
      </x:c>
      <x:c r="D176" s="31" t="inlineStr">
        <x:is>
          <x:t xml:space="preserve">Нет</x:t>
        </x:is>
      </x:c>
      <x:c r="E176" s="31" t="inlineStr">
        <x:is>
          <x:t xml:space="preserve">Свои/подразделение</x:t>
        </x:is>
      </x:c>
      <x:c r="F176" s="31" t="inlineStr">
        <x:is>
          <x:t xml:space="preserve">Проверка меню для роли Мастер участка</x:t>
        </x:is>
      </x:c>
    </x:row>
    <x:row r="177" ht="18" customHeight="1">
      <x:c r="A177" s="31" t="inlineStr">
        <x:is>
          <x:t xml:space="preserve">Мастер участка</x:t>
        </x:is>
      </x:c>
      <x:c r="B177" s="31" t="inlineStr">
        <x:is>
          <x:t xml:space="preserve">Администрирование</x:t>
        </x:is>
      </x:c>
      <x:c r="C177" s="31" t="inlineStr">
        <x:is>
          <x:t xml:space="preserve">Нет доступа</x:t>
        </x:is>
      </x:c>
      <x:c r="D177" s="31" t="inlineStr">
        <x:is>
          <x:t xml:space="preserve">Нет</x:t>
        </x:is>
      </x:c>
      <x:c r="E177" s="31" t="n"/>
      <x:c r="F177" s="31" t="inlineStr">
        <x:is>
          <x:t xml:space="preserve">Проверка меню для роли Мастер участка</x:t>
        </x:is>
      </x:c>
    </x:row>
    <x:row r="178" ht="18" customHeight="1">
      <x:c r="A178" s="31" t="inlineStr">
        <x:is>
          <x:t xml:space="preserve">Рабочий</x:t>
        </x:is>
      </x:c>
      <x:c r="B178" s="31" t="inlineStr">
        <x:is>
          <x:t xml:space="preserve">Дашборд</x:t>
        </x:is>
      </x:c>
      <x:c r="C178" s="31" t="inlineStr">
        <x:is>
          <x:t xml:space="preserve">Нет доступа</x:t>
        </x:is>
      </x:c>
      <x:c r="D178" s="31" t="inlineStr">
        <x:is>
          <x:t xml:space="preserve">Нет</x:t>
        </x:is>
      </x:c>
      <x:c r="E178" s="31" t="n"/>
      <x:c r="F178" s="31" t="inlineStr">
        <x:is>
          <x:t xml:space="preserve">Проверка меню для роли Рабочий</x:t>
        </x:is>
      </x:c>
    </x:row>
    <x:row r="179" ht="18" customHeight="1">
      <x:c r="A179" s="31" t="inlineStr">
        <x:is>
          <x:t xml:space="preserve">Рабочий</x:t>
        </x:is>
      </x:c>
      <x:c r="B179" s="31" t="inlineStr">
        <x:is>
          <x:t xml:space="preserve">Продажи</x:t>
        </x:is>
      </x:c>
      <x:c r="C179" s="31" t="inlineStr">
        <x:is>
          <x:t xml:space="preserve">Нет доступа</x:t>
        </x:is>
      </x:c>
      <x:c r="D179" s="31" t="inlineStr">
        <x:is>
          <x:t xml:space="preserve">Нет</x:t>
        </x:is>
      </x:c>
      <x:c r="E179" s="31" t="n"/>
      <x:c r="F179" s="31" t="inlineStr">
        <x:is>
          <x:t xml:space="preserve">Проверка меню для роли Рабочий</x:t>
        </x:is>
      </x:c>
    </x:row>
    <x:row r="180" ht="18" customHeight="1">
      <x:c r="A180" s="31" t="inlineStr">
        <x:is>
          <x:t xml:space="preserve">Рабочий</x:t>
        </x:is>
      </x:c>
      <x:c r="B180" s="31" t="inlineStr">
        <x:is>
          <x:t xml:space="preserve">Заказы</x:t>
        </x:is>
      </x:c>
      <x:c r="C180" s="31" t="inlineStr">
        <x:is>
          <x:t xml:space="preserve">Нет доступа</x:t>
        </x:is>
      </x:c>
      <x:c r="D180" s="31" t="inlineStr">
        <x:is>
          <x:t xml:space="preserve">Нет</x:t>
        </x:is>
      </x:c>
      <x:c r="E180" s="31" t="n"/>
      <x:c r="F180" s="31" t="inlineStr">
        <x:is>
          <x:t xml:space="preserve">Проверка меню для роли Рабочий</x:t>
        </x:is>
      </x:c>
    </x:row>
    <x:row r="181" ht="18" customHeight="1">
      <x:c r="A181" s="31" t="inlineStr">
        <x:is>
          <x:t xml:space="preserve">Рабочий</x:t>
        </x:is>
      </x:c>
      <x:c r="B181" s="31" t="inlineStr">
        <x:is>
          <x:t xml:space="preserve">КП/Договоры</x:t>
        </x:is>
      </x:c>
      <x:c r="C181" s="31" t="inlineStr">
        <x:is>
          <x:t xml:space="preserve">Нет доступа</x:t>
        </x:is>
      </x:c>
      <x:c r="D181" s="31" t="inlineStr">
        <x:is>
          <x:t xml:space="preserve">Нет</x:t>
        </x:is>
      </x:c>
      <x:c r="E181" s="31" t="n"/>
      <x:c r="F181" s="31" t="inlineStr">
        <x:is>
          <x:t xml:space="preserve">Проверка меню для роли Рабочий</x:t>
        </x:is>
      </x:c>
    </x:row>
    <x:row r="182" ht="18" customHeight="1">
      <x:c r="A182" s="31" t="inlineStr">
        <x:is>
          <x:t xml:space="preserve">Рабочий</x:t>
        </x:is>
      </x:c>
      <x:c r="B182" s="31" t="inlineStr">
        <x:is>
          <x:t xml:space="preserve">КД/состав изделия</x:t>
        </x:is>
      </x:c>
      <x:c r="C182" s="31" t="inlineStr">
        <x:is>
          <x:t xml:space="preserve">Нет доступа</x:t>
        </x:is>
      </x:c>
      <x:c r="D182" s="31" t="inlineStr">
        <x:is>
          <x:t xml:space="preserve">Нет</x:t>
        </x:is>
      </x:c>
      <x:c r="E182" s="31" t="n"/>
      <x:c r="F182" s="31" t="inlineStr">
        <x:is>
          <x:t xml:space="preserve">Проверка меню для роли Рабочий</x:t>
        </x:is>
      </x:c>
    </x:row>
    <x:row r="183" ht="18" customHeight="1">
      <x:c r="A183" s="31" t="inlineStr">
        <x:is>
          <x:t xml:space="preserve">Рабочий</x:t>
        </x:is>
      </x:c>
      <x:c r="B183" s="31" t="inlineStr">
        <x:is>
          <x:t xml:space="preserve">План производства</x:t>
        </x:is>
      </x:c>
      <x:c r="C183" s="31" t="inlineStr">
        <x:is>
          <x:t xml:space="preserve">Нет доступа</x:t>
        </x:is>
      </x:c>
      <x:c r="D183" s="31" t="inlineStr">
        <x:is>
          <x:t xml:space="preserve">Нет</x:t>
        </x:is>
      </x:c>
      <x:c r="E183" s="31" t="n"/>
      <x:c r="F183" s="31" t="inlineStr">
        <x:is>
          <x:t xml:space="preserve">Проверка меню для роли Рабочий</x:t>
        </x:is>
      </x:c>
    </x:row>
    <x:row r="184" ht="18" customHeight="1">
      <x:c r="A184" s="31" t="inlineStr">
        <x:is>
          <x:t xml:space="preserve">Рабочий</x:t>
        </x:is>
      </x:c>
      <x:c r="B184" s="31" t="inlineStr">
        <x:is>
          <x:t xml:space="preserve">Смены</x:t>
        </x:is>
      </x:c>
      <x:c r="C184" s="31" t="inlineStr">
        <x:is>
          <x:t xml:space="preserve">Только свои задания</x:t>
        </x:is>
      </x:c>
      <x:c r="D184" s="31" t="inlineStr">
        <x:is>
          <x:t xml:space="preserve">Нет</x:t>
        </x:is>
      </x:c>
      <x:c r="E184" s="31" t="inlineStr">
        <x:is>
          <x:t xml:space="preserve">Свои/подразделение</x:t>
        </x:is>
      </x:c>
      <x:c r="F184" s="31" t="inlineStr">
        <x:is>
          <x:t xml:space="preserve">Проверка меню для роли Рабочий</x:t>
        </x:is>
      </x:c>
    </x:row>
    <x:row r="185" ht="18" customHeight="1">
      <x:c r="A185" s="31" t="inlineStr">
        <x:is>
          <x:t xml:space="preserve">Рабочий</x:t>
        </x:is>
      </x:c>
      <x:c r="B185" s="31" t="inlineStr">
        <x:is>
          <x:t xml:space="preserve">Склад</x:t>
        </x:is>
      </x:c>
      <x:c r="C185" s="31" t="inlineStr">
        <x:is>
          <x:t xml:space="preserve">Нет доступа</x:t>
        </x:is>
      </x:c>
      <x:c r="D185" s="31" t="inlineStr">
        <x:is>
          <x:t xml:space="preserve">Нет</x:t>
        </x:is>
      </x:c>
      <x:c r="E185" s="31" t="n"/>
      <x:c r="F185" s="31" t="inlineStr">
        <x:is>
          <x:t xml:space="preserve">Проверка меню для роли Рабочий</x:t>
        </x:is>
      </x:c>
    </x:row>
    <x:row r="186" ht="18" customHeight="1">
      <x:c r="A186" s="31" t="inlineStr">
        <x:is>
          <x:t xml:space="preserve">Рабочий</x:t>
        </x:is>
      </x:c>
      <x:c r="B186" s="31" t="inlineStr">
        <x:is>
          <x:t xml:space="preserve">Закупки</x:t>
        </x:is>
      </x:c>
      <x:c r="C186" s="31" t="inlineStr">
        <x:is>
          <x:t xml:space="preserve">Нет доступа</x:t>
        </x:is>
      </x:c>
      <x:c r="D186" s="31" t="inlineStr">
        <x:is>
          <x:t xml:space="preserve">Нет</x:t>
        </x:is>
      </x:c>
      <x:c r="E186" s="31" t="n"/>
      <x:c r="F186" s="31" t="inlineStr">
        <x:is>
          <x:t xml:space="preserve">Проверка меню для роли Рабочий</x:t>
        </x:is>
      </x:c>
    </x:row>
    <x:row r="187" ht="18" customHeight="1">
      <x:c r="A187" s="31" t="inlineStr">
        <x:is>
          <x:t xml:space="preserve">Рабочий</x:t>
        </x:is>
      </x:c>
      <x:c r="B187" s="31" t="inlineStr">
        <x:is>
          <x:t xml:space="preserve">ОТК</x:t>
        </x:is>
      </x:c>
      <x:c r="C187" s="31" t="inlineStr">
        <x:is>
          <x:t xml:space="preserve">Нет доступа</x:t>
        </x:is>
      </x:c>
      <x:c r="D187" s="31" t="inlineStr">
        <x:is>
          <x:t xml:space="preserve">Нет</x:t>
        </x:is>
      </x:c>
      <x:c r="E187" s="31" t="n"/>
      <x:c r="F187" s="31" t="inlineStr">
        <x:is>
          <x:t xml:space="preserve">Проверка меню для роли Рабочий</x:t>
        </x:is>
      </x:c>
    </x:row>
    <x:row r="188" ht="18" customHeight="1">
      <x:c r="A188" s="31" t="inlineStr">
        <x:is>
          <x:t xml:space="preserve">Рабочий</x:t>
        </x:is>
      </x:c>
      <x:c r="B188" s="31" t="inlineStr">
        <x:is>
          <x:t xml:space="preserve">Логистика</x:t>
        </x:is>
      </x:c>
      <x:c r="C188" s="31" t="inlineStr">
        <x:is>
          <x:t xml:space="preserve">Нет доступа</x:t>
        </x:is>
      </x:c>
      <x:c r="D188" s="31" t="inlineStr">
        <x:is>
          <x:t xml:space="preserve">Нет</x:t>
        </x:is>
      </x:c>
      <x:c r="E188" s="31" t="n"/>
      <x:c r="F188" s="31" t="inlineStr">
        <x:is>
          <x:t xml:space="preserve">Проверка меню для роли Рабочий</x:t>
        </x:is>
      </x:c>
    </x:row>
    <x:row r="189" ht="18" customHeight="1">
      <x:c r="A189" s="31" t="inlineStr">
        <x:is>
          <x:t xml:space="preserve">Рабочий</x:t>
        </x:is>
      </x:c>
      <x:c r="B189" s="31" t="inlineStr">
        <x:is>
          <x:t xml:space="preserve">Финансы</x:t>
        </x:is>
      </x:c>
      <x:c r="C189" s="31" t="inlineStr">
        <x:is>
          <x:t xml:space="preserve">Нет доступа</x:t>
        </x:is>
      </x:c>
      <x:c r="D189" s="31" t="inlineStr">
        <x:is>
          <x:t xml:space="preserve">Нет</x:t>
        </x:is>
      </x:c>
      <x:c r="E189" s="31" t="n"/>
      <x:c r="F189" s="31" t="inlineStr">
        <x:is>
          <x:t xml:space="preserve">Проверка меню для роли Рабочий</x:t>
        </x:is>
      </x:c>
    </x:row>
    <x:row r="190" ht="18" customHeight="1">
      <x:c r="A190" s="31" t="inlineStr">
        <x:is>
          <x:t xml:space="preserve">Рабочий</x:t>
        </x:is>
      </x:c>
      <x:c r="B190" s="31" t="inlineStr">
        <x:is>
          <x:t xml:space="preserve">Сервис</x:t>
        </x:is>
      </x:c>
      <x:c r="C190" s="31" t="inlineStr">
        <x:is>
          <x:t xml:space="preserve">Нет доступа</x:t>
        </x:is>
      </x:c>
      <x:c r="D190" s="31" t="inlineStr">
        <x:is>
          <x:t xml:space="preserve">Нет</x:t>
        </x:is>
      </x:c>
      <x:c r="E190" s="31" t="n"/>
      <x:c r="F190" s="31" t="inlineStr">
        <x:is>
          <x:t xml:space="preserve">Проверка меню для роли Рабочий</x:t>
        </x:is>
      </x:c>
    </x:row>
    <x:row r="191" ht="18" customHeight="1">
      <x:c r="A191" s="31" t="inlineStr">
        <x:is>
          <x:t xml:space="preserve">Рабочий</x:t>
        </x:is>
      </x:c>
      <x:c r="B191" s="31" t="inlineStr">
        <x:is>
          <x:t xml:space="preserve">Согласования</x:t>
        </x:is>
      </x:c>
      <x:c r="C191" s="31" t="inlineStr">
        <x:is>
          <x:t xml:space="preserve">Нет доступа</x:t>
        </x:is>
      </x:c>
      <x:c r="D191" s="31" t="inlineStr">
        <x:is>
          <x:t xml:space="preserve">Нет</x:t>
        </x:is>
      </x:c>
      <x:c r="E191" s="31" t="n"/>
      <x:c r="F191" s="31" t="inlineStr">
        <x:is>
          <x:t xml:space="preserve">Проверка меню для роли Рабочий</x:t>
        </x:is>
      </x:c>
    </x:row>
    <x:row r="192" ht="18" customHeight="1">
      <x:c r="A192" s="31" t="inlineStr">
        <x:is>
          <x:t xml:space="preserve">Рабочий</x:t>
        </x:is>
      </x:c>
      <x:c r="B192" s="31" t="inlineStr">
        <x:is>
          <x:t xml:space="preserve">Отчеты</x:t>
        </x:is>
      </x:c>
      <x:c r="C192" s="31" t="inlineStr">
        <x:is>
          <x:t xml:space="preserve">Нет доступа</x:t>
        </x:is>
      </x:c>
      <x:c r="D192" s="31" t="inlineStr">
        <x:is>
          <x:t xml:space="preserve">Нет</x:t>
        </x:is>
      </x:c>
      <x:c r="E192" s="31" t="n"/>
      <x:c r="F192" s="31" t="inlineStr">
        <x:is>
          <x:t xml:space="preserve">Проверка меню для роли Рабочий</x:t>
        </x:is>
      </x:c>
    </x:row>
    <x:row r="193" ht="18" customHeight="1">
      <x:c r="A193" s="31" t="inlineStr">
        <x:is>
          <x:t xml:space="preserve">Рабочий</x:t>
        </x:is>
      </x:c>
      <x:c r="B193" s="31" t="inlineStr">
        <x:is>
          <x:t xml:space="preserve">Администрирование</x:t>
        </x:is>
      </x:c>
      <x:c r="C193" s="31" t="inlineStr">
        <x:is>
          <x:t xml:space="preserve">Нет доступа</x:t>
        </x:is>
      </x:c>
      <x:c r="D193" s="31" t="inlineStr">
        <x:is>
          <x:t xml:space="preserve">Нет</x:t>
        </x:is>
      </x:c>
      <x:c r="E193" s="31" t="n"/>
      <x:c r="F193" s="31" t="inlineStr">
        <x:is>
          <x:t xml:space="preserve">Проверка меню для роли Рабочий</x:t>
        </x:is>
      </x:c>
    </x:row>
    <x:row r="194" ht="18" customHeight="1">
      <x:c r="A194" s="31" t="inlineStr">
        <x:is>
          <x:t xml:space="preserve">ОТК</x:t>
        </x:is>
      </x:c>
      <x:c r="B194" s="31" t="inlineStr">
        <x:is>
          <x:t xml:space="preserve">Дашборд</x:t>
        </x:is>
      </x:c>
      <x:c r="C194" s="31" t="inlineStr">
        <x:is>
          <x:t xml:space="preserve">Нет доступа</x:t>
        </x:is>
      </x:c>
      <x:c r="D194" s="31" t="inlineStr">
        <x:is>
          <x:t xml:space="preserve">Нет</x:t>
        </x:is>
      </x:c>
      <x:c r="E194" s="31" t="n"/>
      <x:c r="F194" s="31" t="inlineStr">
        <x:is>
          <x:t xml:space="preserve">Проверка меню для роли ОТК</x:t>
        </x:is>
      </x:c>
    </x:row>
    <x:row r="195" ht="18" customHeight="1">
      <x:c r="A195" s="31" t="inlineStr">
        <x:is>
          <x:t xml:space="preserve">ОТК</x:t>
        </x:is>
      </x:c>
      <x:c r="B195" s="31" t="inlineStr">
        <x:is>
          <x:t xml:space="preserve">Продажи</x:t>
        </x:is>
      </x:c>
      <x:c r="C195" s="31" t="inlineStr">
        <x:is>
          <x:t xml:space="preserve">Нет доступа</x:t>
        </x:is>
      </x:c>
      <x:c r="D195" s="31" t="inlineStr">
        <x:is>
          <x:t xml:space="preserve">Нет</x:t>
        </x:is>
      </x:c>
      <x:c r="E195" s="31" t="n"/>
      <x:c r="F195" s="31" t="inlineStr">
        <x:is>
          <x:t xml:space="preserve">Проверка меню для роли ОТК</x:t>
        </x:is>
      </x:c>
    </x:row>
    <x:row r="196" ht="18" customHeight="1">
      <x:c r="A196" s="31" t="inlineStr">
        <x:is>
          <x:t xml:space="preserve">ОТК</x:t>
        </x:is>
      </x:c>
      <x:c r="B196" s="31" t="inlineStr">
        <x:is>
          <x:t xml:space="preserve">Заказы</x:t>
        </x:is>
      </x:c>
      <x:c r="C196" s="31" t="inlineStr">
        <x:is>
          <x:t xml:space="preserve">Контроль/блокировка</x:t>
        </x:is>
      </x:c>
      <x:c r="D196" s="31" t="inlineStr">
        <x:is>
          <x:t xml:space="preserve">Да</x:t>
        </x:is>
      </x:c>
      <x:c r="E196" s="31" t="inlineStr">
        <x:is>
          <x:t xml:space="preserve">Свои/подразделение</x:t>
        </x:is>
      </x:c>
      <x:c r="F196" s="31" t="inlineStr">
        <x:is>
          <x:t xml:space="preserve">Проверка меню для роли ОТК</x:t>
        </x:is>
      </x:c>
    </x:row>
    <x:row r="197" ht="18" customHeight="1">
      <x:c r="A197" s="31" t="inlineStr">
        <x:is>
          <x:t xml:space="preserve">ОТК</x:t>
        </x:is>
      </x:c>
      <x:c r="B197" s="31" t="inlineStr">
        <x:is>
          <x:t xml:space="preserve">КП/Договоры</x:t>
        </x:is>
      </x:c>
      <x:c r="C197" s="31" t="inlineStr">
        <x:is>
          <x:t xml:space="preserve">Нет доступа</x:t>
        </x:is>
      </x:c>
      <x:c r="D197" s="31" t="inlineStr">
        <x:is>
          <x:t xml:space="preserve">Нет</x:t>
        </x:is>
      </x:c>
      <x:c r="E197" s="31" t="n"/>
      <x:c r="F197" s="31" t="inlineStr">
        <x:is>
          <x:t xml:space="preserve">Проверка меню для роли ОТК</x:t>
        </x:is>
      </x:c>
    </x:row>
    <x:row r="198" ht="18" customHeight="1">
      <x:c r="A198" s="31" t="inlineStr">
        <x:is>
          <x:t xml:space="preserve">ОТК</x:t>
        </x:is>
      </x:c>
      <x:c r="B198" s="31" t="inlineStr">
        <x:is>
          <x:t xml:space="preserve">КД/состав изделия</x:t>
        </x:is>
      </x:c>
      <x:c r="C198" s="31" t="inlineStr">
        <x:is>
          <x:t xml:space="preserve">Нет доступа</x:t>
        </x:is>
      </x:c>
      <x:c r="D198" s="31" t="inlineStr">
        <x:is>
          <x:t xml:space="preserve">Нет</x:t>
        </x:is>
      </x:c>
      <x:c r="E198" s="31" t="n"/>
      <x:c r="F198" s="31" t="inlineStr">
        <x:is>
          <x:t xml:space="preserve">Проверка меню для роли ОТК</x:t>
        </x:is>
      </x:c>
    </x:row>
    <x:row r="199" ht="18" customHeight="1">
      <x:c r="A199" s="31" t="inlineStr">
        <x:is>
          <x:t xml:space="preserve">ОТК</x:t>
        </x:is>
      </x:c>
      <x:c r="B199" s="31" t="inlineStr">
        <x:is>
          <x:t xml:space="preserve">План производства</x:t>
        </x:is>
      </x:c>
      <x:c r="C199" s="31" t="inlineStr">
        <x:is>
          <x:t xml:space="preserve">Контроль/блокировка</x:t>
        </x:is>
      </x:c>
      <x:c r="D199" s="31" t="inlineStr">
        <x:is>
          <x:t xml:space="preserve">Да</x:t>
        </x:is>
      </x:c>
      <x:c r="E199" s="31" t="inlineStr">
        <x:is>
          <x:t xml:space="preserve">Свои/подразделение</x:t>
        </x:is>
      </x:c>
      <x:c r="F199" s="31" t="inlineStr">
        <x:is>
          <x:t xml:space="preserve">Проверка меню для роли ОТК</x:t>
        </x:is>
      </x:c>
    </x:row>
    <x:row r="200" ht="18" customHeight="1">
      <x:c r="A200" s="31" t="inlineStr">
        <x:is>
          <x:t xml:space="preserve">ОТК</x:t>
        </x:is>
      </x:c>
      <x:c r="B200" s="31" t="inlineStr">
        <x:is>
          <x:t xml:space="preserve">Смены</x:t>
        </x:is>
      </x:c>
      <x:c r="C200" s="31" t="inlineStr">
        <x:is>
          <x:t xml:space="preserve">Нет доступа</x:t>
        </x:is>
      </x:c>
      <x:c r="D200" s="31" t="inlineStr">
        <x:is>
          <x:t xml:space="preserve">Нет</x:t>
        </x:is>
      </x:c>
      <x:c r="E200" s="31" t="n"/>
      <x:c r="F200" s="31" t="inlineStr">
        <x:is>
          <x:t xml:space="preserve">Проверка меню для роли ОТК</x:t>
        </x:is>
      </x:c>
    </x:row>
    <x:row r="201" ht="18" customHeight="1">
      <x:c r="A201" s="31" t="inlineStr">
        <x:is>
          <x:t xml:space="preserve">ОТК</x:t>
        </x:is>
      </x:c>
      <x:c r="B201" s="31" t="inlineStr">
        <x:is>
          <x:t xml:space="preserve">Склад</x:t>
        </x:is>
      </x:c>
      <x:c r="C201" s="31" t="inlineStr">
        <x:is>
          <x:t xml:space="preserve">Нет доступа</x:t>
        </x:is>
      </x:c>
      <x:c r="D201" s="31" t="inlineStr">
        <x:is>
          <x:t xml:space="preserve">Нет</x:t>
        </x:is>
      </x:c>
      <x:c r="E201" s="31" t="n"/>
      <x:c r="F201" s="31" t="inlineStr">
        <x:is>
          <x:t xml:space="preserve">Проверка меню для роли ОТК</x:t>
        </x:is>
      </x:c>
    </x:row>
    <x:row r="202" ht="18" customHeight="1">
      <x:c r="A202" s="31" t="inlineStr">
        <x:is>
          <x:t xml:space="preserve">ОТК</x:t>
        </x:is>
      </x:c>
      <x:c r="B202" s="31" t="inlineStr">
        <x:is>
          <x:t xml:space="preserve">Закупки</x:t>
        </x:is>
      </x:c>
      <x:c r="C202" s="31" t="inlineStr">
        <x:is>
          <x:t xml:space="preserve">Нет доступа</x:t>
        </x:is>
      </x:c>
      <x:c r="D202" s="31" t="inlineStr">
        <x:is>
          <x:t xml:space="preserve">Нет</x:t>
        </x:is>
      </x:c>
      <x:c r="E202" s="31" t="n"/>
      <x:c r="F202" s="31" t="inlineStr">
        <x:is>
          <x:t xml:space="preserve">Проверка меню для роли ОТК</x:t>
        </x:is>
      </x:c>
    </x:row>
    <x:row r="203" ht="18" customHeight="1">
      <x:c r="A203" s="31" t="inlineStr">
        <x:is>
          <x:t xml:space="preserve">ОТК</x:t>
        </x:is>
      </x:c>
      <x:c r="B203" s="31" t="inlineStr">
        <x:is>
          <x:t xml:space="preserve">ОТК</x:t>
        </x:is>
      </x:c>
      <x:c r="C203" s="31" t="inlineStr">
        <x:is>
          <x:t xml:space="preserve">Контроль/блокировка</x:t>
        </x:is>
      </x:c>
      <x:c r="D203" s="31" t="inlineStr">
        <x:is>
          <x:t xml:space="preserve">Да</x:t>
        </x:is>
      </x:c>
      <x:c r="E203" s="31" t="inlineStr">
        <x:is>
          <x:t xml:space="preserve">Свои/подразделение</x:t>
        </x:is>
      </x:c>
      <x:c r="F203" s="31" t="inlineStr">
        <x:is>
          <x:t xml:space="preserve">Проверка меню для роли ОТК</x:t>
        </x:is>
      </x:c>
    </x:row>
    <x:row r="204" ht="18" customHeight="1">
      <x:c r="A204" s="31" t="inlineStr">
        <x:is>
          <x:t xml:space="preserve">ОТК</x:t>
        </x:is>
      </x:c>
      <x:c r="B204" s="31" t="inlineStr">
        <x:is>
          <x:t xml:space="preserve">Логистика</x:t>
        </x:is>
      </x:c>
      <x:c r="C204" s="31" t="inlineStr">
        <x:is>
          <x:t xml:space="preserve">Нет доступа</x:t>
        </x:is>
      </x:c>
      <x:c r="D204" s="31" t="inlineStr">
        <x:is>
          <x:t xml:space="preserve">Нет</x:t>
        </x:is>
      </x:c>
      <x:c r="E204" s="31" t="n"/>
      <x:c r="F204" s="31" t="inlineStr">
        <x:is>
          <x:t xml:space="preserve">Проверка меню для роли ОТК</x:t>
        </x:is>
      </x:c>
    </x:row>
    <x:row r="205" ht="18" customHeight="1">
      <x:c r="A205" s="31" t="inlineStr">
        <x:is>
          <x:t xml:space="preserve">ОТК</x:t>
        </x:is>
      </x:c>
      <x:c r="B205" s="31" t="inlineStr">
        <x:is>
          <x:t xml:space="preserve">Финансы</x:t>
        </x:is>
      </x:c>
      <x:c r="C205" s="31" t="inlineStr">
        <x:is>
          <x:t xml:space="preserve">Нет доступа</x:t>
        </x:is>
      </x:c>
      <x:c r="D205" s="31" t="inlineStr">
        <x:is>
          <x:t xml:space="preserve">Нет</x:t>
        </x:is>
      </x:c>
      <x:c r="E205" s="31" t="n"/>
      <x:c r="F205" s="31" t="inlineStr">
        <x:is>
          <x:t xml:space="preserve">Проверка меню для роли ОТК</x:t>
        </x:is>
      </x:c>
    </x:row>
    <x:row r="206" ht="18" customHeight="1">
      <x:c r="A206" s="31" t="inlineStr">
        <x:is>
          <x:t xml:space="preserve">ОТК</x:t>
        </x:is>
      </x:c>
      <x:c r="B206" s="31" t="inlineStr">
        <x:is>
          <x:t xml:space="preserve">Сервис</x:t>
        </x:is>
      </x:c>
      <x:c r="C206" s="31" t="inlineStr">
        <x:is>
          <x:t xml:space="preserve">Контроль/блокировка</x:t>
        </x:is>
      </x:c>
      <x:c r="D206" s="31" t="inlineStr">
        <x:is>
          <x:t xml:space="preserve">Да</x:t>
        </x:is>
      </x:c>
      <x:c r="E206" s="31" t="inlineStr">
        <x:is>
          <x:t xml:space="preserve">Свои/подразделение</x:t>
        </x:is>
      </x:c>
      <x:c r="F206" s="31" t="inlineStr">
        <x:is>
          <x:t xml:space="preserve">Проверка меню для роли ОТК</x:t>
        </x:is>
      </x:c>
    </x:row>
    <x:row r="207" ht="18" customHeight="1">
      <x:c r="A207" s="31" t="inlineStr">
        <x:is>
          <x:t xml:space="preserve">ОТК</x:t>
        </x:is>
      </x:c>
      <x:c r="B207" s="31" t="inlineStr">
        <x:is>
          <x:t xml:space="preserve">Согласования</x:t>
        </x:is>
      </x:c>
      <x:c r="C207" s="31" t="inlineStr">
        <x:is>
          <x:t xml:space="preserve">Нет доступа</x:t>
        </x:is>
      </x:c>
      <x:c r="D207" s="31" t="inlineStr">
        <x:is>
          <x:t xml:space="preserve">Нет</x:t>
        </x:is>
      </x:c>
      <x:c r="E207" s="31" t="n"/>
      <x:c r="F207" s="31" t="inlineStr">
        <x:is>
          <x:t xml:space="preserve">Проверка меню для роли ОТК</x:t>
        </x:is>
      </x:c>
    </x:row>
    <x:row r="208" ht="18" customHeight="1">
      <x:c r="A208" s="31" t="inlineStr">
        <x:is>
          <x:t xml:space="preserve">ОТК</x:t>
        </x:is>
      </x:c>
      <x:c r="B208" s="31" t="inlineStr">
        <x:is>
          <x:t xml:space="preserve">Отчеты</x:t>
        </x:is>
      </x:c>
      <x:c r="C208" s="31" t="inlineStr">
        <x:is>
          <x:t xml:space="preserve">Нет доступа</x:t>
        </x:is>
      </x:c>
      <x:c r="D208" s="31" t="inlineStr">
        <x:is>
          <x:t xml:space="preserve">Нет</x:t>
        </x:is>
      </x:c>
      <x:c r="E208" s="31" t="n"/>
      <x:c r="F208" s="31" t="inlineStr">
        <x:is>
          <x:t xml:space="preserve">Проверка меню для роли ОТК</x:t>
        </x:is>
      </x:c>
    </x:row>
    <x:row r="209" ht="18" customHeight="1">
      <x:c r="A209" s="31" t="inlineStr">
        <x:is>
          <x:t xml:space="preserve">ОТК</x:t>
        </x:is>
      </x:c>
      <x:c r="B209" s="31" t="inlineStr">
        <x:is>
          <x:t xml:space="preserve">Администрирование</x:t>
        </x:is>
      </x:c>
      <x:c r="C209" s="31" t="inlineStr">
        <x:is>
          <x:t xml:space="preserve">Нет доступа</x:t>
        </x:is>
      </x:c>
      <x:c r="D209" s="31" t="inlineStr">
        <x:is>
          <x:t xml:space="preserve">Нет</x:t>
        </x:is>
      </x:c>
      <x:c r="E209" s="31" t="n"/>
      <x:c r="F209" s="31" t="inlineStr">
        <x:is>
          <x:t xml:space="preserve">Проверка меню для роли ОТК</x:t>
        </x:is>
      </x:c>
    </x:row>
    <x:row r="210" ht="18" customHeight="1">
      <x:c r="A210" s="31" t="inlineStr">
        <x:is>
          <x:t xml:space="preserve">Логист</x:t>
        </x:is>
      </x:c>
      <x:c r="B210" s="31" t="inlineStr">
        <x:is>
          <x:t xml:space="preserve">Дашборд</x:t>
        </x:is>
      </x:c>
      <x:c r="C210" s="31" t="inlineStr">
        <x:is>
          <x:t xml:space="preserve">Нет доступа</x:t>
        </x:is>
      </x:c>
      <x:c r="D210" s="31" t="inlineStr">
        <x:is>
          <x:t xml:space="preserve">Нет</x:t>
        </x:is>
      </x:c>
      <x:c r="E210" s="31" t="n"/>
      <x:c r="F210" s="31" t="inlineStr">
        <x:is>
          <x:t xml:space="preserve">Проверка меню для роли Логист</x:t>
        </x:is>
      </x:c>
    </x:row>
    <x:row r="211" ht="18" customHeight="1">
      <x:c r="A211" s="31" t="inlineStr">
        <x:is>
          <x:t xml:space="preserve">Логист</x:t>
        </x:is>
      </x:c>
      <x:c r="B211" s="31" t="inlineStr">
        <x:is>
          <x:t xml:space="preserve">Продажи</x:t>
        </x:is>
      </x:c>
      <x:c r="C211" s="31" t="inlineStr">
        <x:is>
          <x:t xml:space="preserve">Нет доступа</x:t>
        </x:is>
      </x:c>
      <x:c r="D211" s="31" t="inlineStr">
        <x:is>
          <x:t xml:space="preserve">Нет</x:t>
        </x:is>
      </x:c>
      <x:c r="E211" s="31" t="n"/>
      <x:c r="F211" s="31" t="inlineStr">
        <x:is>
          <x:t xml:space="preserve">Проверка меню для роли Логист</x:t>
        </x:is>
      </x:c>
    </x:row>
    <x:row r="212" ht="18" customHeight="1">
      <x:c r="A212" s="31" t="inlineStr">
        <x:is>
          <x:t xml:space="preserve">Логист</x:t>
        </x:is>
      </x:c>
      <x:c r="B212" s="31" t="inlineStr">
        <x:is>
          <x:t xml:space="preserve">Заказы</x:t>
        </x:is>
      </x:c>
      <x:c r="C212" s="31" t="inlineStr">
        <x:is>
          <x:t xml:space="preserve">Отгрузки</x:t>
        </x:is>
      </x:c>
      <x:c r="D212" s="31" t="inlineStr">
        <x:is>
          <x:t xml:space="preserve">Нет</x:t>
        </x:is>
      </x:c>
      <x:c r="E212" s="31" t="inlineStr">
        <x:is>
          <x:t xml:space="preserve">Свои/подразделение</x:t>
        </x:is>
      </x:c>
      <x:c r="F212" s="31" t="inlineStr">
        <x:is>
          <x:t xml:space="preserve">Проверка меню для роли Логист</x:t>
        </x:is>
      </x:c>
    </x:row>
    <x:row r="213" ht="18" customHeight="1">
      <x:c r="A213" s="31" t="inlineStr">
        <x:is>
          <x:t xml:space="preserve">Логист</x:t>
        </x:is>
      </x:c>
      <x:c r="B213" s="31" t="inlineStr">
        <x:is>
          <x:t xml:space="preserve">КП/Договоры</x:t>
        </x:is>
      </x:c>
      <x:c r="C213" s="31" t="inlineStr">
        <x:is>
          <x:t xml:space="preserve">Нет доступа</x:t>
        </x:is>
      </x:c>
      <x:c r="D213" s="31" t="inlineStr">
        <x:is>
          <x:t xml:space="preserve">Нет</x:t>
        </x:is>
      </x:c>
      <x:c r="E213" s="31" t="n"/>
      <x:c r="F213" s="31" t="inlineStr">
        <x:is>
          <x:t xml:space="preserve">Проверка меню для роли Логист</x:t>
        </x:is>
      </x:c>
    </x:row>
    <x:row r="214" ht="18" customHeight="1">
      <x:c r="A214" s="31" t="inlineStr">
        <x:is>
          <x:t xml:space="preserve">Логист</x:t>
        </x:is>
      </x:c>
      <x:c r="B214" s="31" t="inlineStr">
        <x:is>
          <x:t xml:space="preserve">КД/состав изделия</x:t>
        </x:is>
      </x:c>
      <x:c r="C214" s="31" t="inlineStr">
        <x:is>
          <x:t xml:space="preserve">Нет доступа</x:t>
        </x:is>
      </x:c>
      <x:c r="D214" s="31" t="inlineStr">
        <x:is>
          <x:t xml:space="preserve">Нет</x:t>
        </x:is>
      </x:c>
      <x:c r="E214" s="31" t="n"/>
      <x:c r="F214" s="31" t="inlineStr">
        <x:is>
          <x:t xml:space="preserve">Проверка меню для роли Логист</x:t>
        </x:is>
      </x:c>
    </x:row>
    <x:row r="215" ht="18" customHeight="1">
      <x:c r="A215" s="31" t="inlineStr">
        <x:is>
          <x:t xml:space="preserve">Логист</x:t>
        </x:is>
      </x:c>
      <x:c r="B215" s="31" t="inlineStr">
        <x:is>
          <x:t xml:space="preserve">План производства</x:t>
        </x:is>
      </x:c>
      <x:c r="C215" s="31" t="inlineStr">
        <x:is>
          <x:t xml:space="preserve">Нет доступа</x:t>
        </x:is>
      </x:c>
      <x:c r="D215" s="31" t="inlineStr">
        <x:is>
          <x:t xml:space="preserve">Нет</x:t>
        </x:is>
      </x:c>
      <x:c r="E215" s="31" t="n"/>
      <x:c r="F215" s="31" t="inlineStr">
        <x:is>
          <x:t xml:space="preserve">Проверка меню для роли Логист</x:t>
        </x:is>
      </x:c>
    </x:row>
    <x:row r="216" ht="18" customHeight="1">
      <x:c r="A216" s="31" t="inlineStr">
        <x:is>
          <x:t xml:space="preserve">Логист</x:t>
        </x:is>
      </x:c>
      <x:c r="B216" s="31" t="inlineStr">
        <x:is>
          <x:t xml:space="preserve">Смены</x:t>
        </x:is>
      </x:c>
      <x:c r="C216" s="31" t="inlineStr">
        <x:is>
          <x:t xml:space="preserve">Нет доступа</x:t>
        </x:is>
      </x:c>
      <x:c r="D216" s="31" t="inlineStr">
        <x:is>
          <x:t xml:space="preserve">Нет</x:t>
        </x:is>
      </x:c>
      <x:c r="E216" s="31" t="n"/>
      <x:c r="F216" s="31" t="inlineStr">
        <x:is>
          <x:t xml:space="preserve">Проверка меню для роли Логист</x:t>
        </x:is>
      </x:c>
    </x:row>
    <x:row r="217" ht="18" customHeight="1">
      <x:c r="A217" s="31" t="inlineStr">
        <x:is>
          <x:t xml:space="preserve">Логист</x:t>
        </x:is>
      </x:c>
      <x:c r="B217" s="31" t="inlineStr">
        <x:is>
          <x:t xml:space="preserve">Склад</x:t>
        </x:is>
      </x:c>
      <x:c r="C217" s="31" t="inlineStr">
        <x:is>
          <x:t xml:space="preserve">Отгрузки</x:t>
        </x:is>
      </x:c>
      <x:c r="D217" s="31" t="inlineStr">
        <x:is>
          <x:t xml:space="preserve">Нет</x:t>
        </x:is>
      </x:c>
      <x:c r="E217" s="31" t="inlineStr">
        <x:is>
          <x:t xml:space="preserve">Свои/подразделение</x:t>
        </x:is>
      </x:c>
      <x:c r="F217" s="31" t="inlineStr">
        <x:is>
          <x:t xml:space="preserve">Проверка меню для роли Логист</x:t>
        </x:is>
      </x:c>
    </x:row>
    <x:row r="218" ht="18" customHeight="1">
      <x:c r="A218" s="31" t="inlineStr">
        <x:is>
          <x:t xml:space="preserve">Логист</x:t>
        </x:is>
      </x:c>
      <x:c r="B218" s="31" t="inlineStr">
        <x:is>
          <x:t xml:space="preserve">Закупки</x:t>
        </x:is>
      </x:c>
      <x:c r="C218" s="31" t="inlineStr">
        <x:is>
          <x:t xml:space="preserve">Нет доступа</x:t>
        </x:is>
      </x:c>
      <x:c r="D218" s="31" t="inlineStr">
        <x:is>
          <x:t xml:space="preserve">Нет</x:t>
        </x:is>
      </x:c>
      <x:c r="E218" s="31" t="n"/>
      <x:c r="F218" s="31" t="inlineStr">
        <x:is>
          <x:t xml:space="preserve">Проверка меню для роли Логист</x:t>
        </x:is>
      </x:c>
    </x:row>
    <x:row r="219" ht="18" customHeight="1">
      <x:c r="A219" s="31" t="inlineStr">
        <x:is>
          <x:t xml:space="preserve">Логист</x:t>
        </x:is>
      </x:c>
      <x:c r="B219" s="31" t="inlineStr">
        <x:is>
          <x:t xml:space="preserve">ОТК</x:t>
        </x:is>
      </x:c>
      <x:c r="C219" s="31" t="inlineStr">
        <x:is>
          <x:t xml:space="preserve">Нет доступа</x:t>
        </x:is>
      </x:c>
      <x:c r="D219" s="31" t="inlineStr">
        <x:is>
          <x:t xml:space="preserve">Нет</x:t>
        </x:is>
      </x:c>
      <x:c r="E219" s="31" t="n"/>
      <x:c r="F219" s="31" t="inlineStr">
        <x:is>
          <x:t xml:space="preserve">Проверка меню для роли Логист</x:t>
        </x:is>
      </x:c>
    </x:row>
    <x:row r="220" ht="18" customHeight="1">
      <x:c r="A220" s="31" t="inlineStr">
        <x:is>
          <x:t xml:space="preserve">Логист</x:t>
        </x:is>
      </x:c>
      <x:c r="B220" s="31" t="inlineStr">
        <x:is>
          <x:t xml:space="preserve">Логистика</x:t>
        </x:is>
      </x:c>
      <x:c r="C220" s="31" t="inlineStr">
        <x:is>
          <x:t xml:space="preserve">Отгрузки</x:t>
        </x:is>
      </x:c>
      <x:c r="D220" s="31" t="inlineStr">
        <x:is>
          <x:t xml:space="preserve">Нет</x:t>
        </x:is>
      </x:c>
      <x:c r="E220" s="31" t="inlineStr">
        <x:is>
          <x:t xml:space="preserve">Свои/подразделение</x:t>
        </x:is>
      </x:c>
      <x:c r="F220" s="31" t="inlineStr">
        <x:is>
          <x:t xml:space="preserve">Проверка меню для роли Логист</x:t>
        </x:is>
      </x:c>
    </x:row>
    <x:row r="221" ht="18" customHeight="1">
      <x:c r="A221" s="31" t="inlineStr">
        <x:is>
          <x:t xml:space="preserve">Логист</x:t>
        </x:is>
      </x:c>
      <x:c r="B221" s="31" t="inlineStr">
        <x:is>
          <x:t xml:space="preserve">Финансы</x:t>
        </x:is>
      </x:c>
      <x:c r="C221" s="31" t="inlineStr">
        <x:is>
          <x:t xml:space="preserve">Нет доступа</x:t>
        </x:is>
      </x:c>
      <x:c r="D221" s="31" t="inlineStr">
        <x:is>
          <x:t xml:space="preserve">Нет</x:t>
        </x:is>
      </x:c>
      <x:c r="E221" s="31" t="n"/>
      <x:c r="F221" s="31" t="inlineStr">
        <x:is>
          <x:t xml:space="preserve">Проверка меню для роли Логист</x:t>
        </x:is>
      </x:c>
    </x:row>
    <x:row r="222" ht="18" customHeight="1">
      <x:c r="A222" s="31" t="inlineStr">
        <x:is>
          <x:t xml:space="preserve">Логист</x:t>
        </x:is>
      </x:c>
      <x:c r="B222" s="31" t="inlineStr">
        <x:is>
          <x:t xml:space="preserve">Сервис</x:t>
        </x:is>
      </x:c>
      <x:c r="C222" s="31" t="inlineStr">
        <x:is>
          <x:t xml:space="preserve">Нет доступа</x:t>
        </x:is>
      </x:c>
      <x:c r="D222" s="31" t="inlineStr">
        <x:is>
          <x:t xml:space="preserve">Нет</x:t>
        </x:is>
      </x:c>
      <x:c r="E222" s="31" t="n"/>
      <x:c r="F222" s="31" t="inlineStr">
        <x:is>
          <x:t xml:space="preserve">Проверка меню для роли Логист</x:t>
        </x:is>
      </x:c>
    </x:row>
    <x:row r="223" ht="18" customHeight="1">
      <x:c r="A223" s="31" t="inlineStr">
        <x:is>
          <x:t xml:space="preserve">Логист</x:t>
        </x:is>
      </x:c>
      <x:c r="B223" s="31" t="inlineStr">
        <x:is>
          <x:t xml:space="preserve">Согласования</x:t>
        </x:is>
      </x:c>
      <x:c r="C223" s="31" t="inlineStr">
        <x:is>
          <x:t xml:space="preserve">Нет доступа</x:t>
        </x:is>
      </x:c>
      <x:c r="D223" s="31" t="inlineStr">
        <x:is>
          <x:t xml:space="preserve">Нет</x:t>
        </x:is>
      </x:c>
      <x:c r="E223" s="31" t="n"/>
      <x:c r="F223" s="31" t="inlineStr">
        <x:is>
          <x:t xml:space="preserve">Проверка меню для роли Логист</x:t>
        </x:is>
      </x:c>
    </x:row>
    <x:row r="224" ht="18" customHeight="1">
      <x:c r="A224" s="31" t="inlineStr">
        <x:is>
          <x:t xml:space="preserve">Логист</x:t>
        </x:is>
      </x:c>
      <x:c r="B224" s="31" t="inlineStr">
        <x:is>
          <x:t xml:space="preserve">Отчеты</x:t>
        </x:is>
      </x:c>
      <x:c r="C224" s="31" t="inlineStr">
        <x:is>
          <x:t xml:space="preserve">Нет доступа</x:t>
        </x:is>
      </x:c>
      <x:c r="D224" s="31" t="inlineStr">
        <x:is>
          <x:t xml:space="preserve">Нет</x:t>
        </x:is>
      </x:c>
      <x:c r="E224" s="31" t="n"/>
      <x:c r="F224" s="31" t="inlineStr">
        <x:is>
          <x:t xml:space="preserve">Проверка меню для роли Логист</x:t>
        </x:is>
      </x:c>
    </x:row>
    <x:row r="225" ht="18" customHeight="1">
      <x:c r="A225" s="31" t="inlineStr">
        <x:is>
          <x:t xml:space="preserve">Логист</x:t>
        </x:is>
      </x:c>
      <x:c r="B225" s="31" t="inlineStr">
        <x:is>
          <x:t xml:space="preserve">Администрирование</x:t>
        </x:is>
      </x:c>
      <x:c r="C225" s="31" t="inlineStr">
        <x:is>
          <x:t xml:space="preserve">Нет доступа</x:t>
        </x:is>
      </x:c>
      <x:c r="D225" s="31" t="inlineStr">
        <x:is>
          <x:t xml:space="preserve">Нет</x:t>
        </x:is>
      </x:c>
      <x:c r="E225" s="31" t="n"/>
      <x:c r="F225" s="31" t="inlineStr">
        <x:is>
          <x:t xml:space="preserve">Проверка меню для роли Логист</x:t>
        </x:is>
      </x:c>
    </x:row>
    <x:row r="226" ht="18" customHeight="1">
      <x:c r="A226" s="31" t="inlineStr">
        <x:is>
          <x:t xml:space="preserve">Финансист</x:t>
        </x:is>
      </x:c>
      <x:c r="B226" s="31" t="inlineStr">
        <x:is>
          <x:t xml:space="preserve">Дашборд</x:t>
        </x:is>
      </x:c>
      <x:c r="C226" s="31" t="inlineStr">
        <x:is>
          <x:t xml:space="preserve">Нет доступа</x:t>
        </x:is>
      </x:c>
      <x:c r="D226" s="31" t="inlineStr">
        <x:is>
          <x:t xml:space="preserve">Нет</x:t>
        </x:is>
      </x:c>
      <x:c r="E226" s="31" t="n"/>
      <x:c r="F226" s="31" t="inlineStr">
        <x:is>
          <x:t xml:space="preserve">Проверка меню для роли Финансист</x:t>
        </x:is>
      </x:c>
    </x:row>
    <x:row r="227" ht="18" customHeight="1">
      <x:c r="A227" s="31" t="inlineStr">
        <x:is>
          <x:t xml:space="preserve">Финансист</x:t>
        </x:is>
      </x:c>
      <x:c r="B227" s="31" t="inlineStr">
        <x:is>
          <x:t xml:space="preserve">Продажи</x:t>
        </x:is>
      </x:c>
      <x:c r="C227" s="31" t="inlineStr">
        <x:is>
          <x:t xml:space="preserve">Нет доступа</x:t>
        </x:is>
      </x:c>
      <x:c r="D227" s="31" t="inlineStr">
        <x:is>
          <x:t xml:space="preserve">Нет</x:t>
        </x:is>
      </x:c>
      <x:c r="E227" s="31" t="n"/>
      <x:c r="F227" s="31" t="inlineStr">
        <x:is>
          <x:t xml:space="preserve">Проверка меню для роли Финансист</x:t>
        </x:is>
      </x:c>
    </x:row>
    <x:row r="228" ht="18" customHeight="1">
      <x:c r="A228" s="31" t="inlineStr">
        <x:is>
          <x:t xml:space="preserve">Финансист</x:t>
        </x:is>
      </x:c>
      <x:c r="B228" s="31" t="inlineStr">
        <x:is>
          <x:t xml:space="preserve">Заказы</x:t>
        </x:is>
      </x:c>
      <x:c r="C228" s="31" t="inlineStr">
        <x:is>
          <x:t xml:space="preserve">Финансовые операции</x:t>
        </x:is>
      </x:c>
      <x:c r="D228" s="31" t="inlineStr">
        <x:is>
          <x:t xml:space="preserve">Нет</x:t>
        </x:is>
      </x:c>
      <x:c r="E228" s="31" t="inlineStr">
        <x:is>
          <x:t xml:space="preserve">Свои/подразделение</x:t>
        </x:is>
      </x:c>
      <x:c r="F228" s="31" t="inlineStr">
        <x:is>
          <x:t xml:space="preserve">Проверка меню для роли Финансист</x:t>
        </x:is>
      </x:c>
    </x:row>
    <x:row r="229" ht="18" customHeight="1">
      <x:c r="A229" s="31" t="inlineStr">
        <x:is>
          <x:t xml:space="preserve">Финансист</x:t>
        </x:is>
      </x:c>
      <x:c r="B229" s="31" t="inlineStr">
        <x:is>
          <x:t xml:space="preserve">КП/Договоры</x:t>
        </x:is>
      </x:c>
      <x:c r="C229" s="31" t="inlineStr">
        <x:is>
          <x:t xml:space="preserve">Нет доступа</x:t>
        </x:is>
      </x:c>
      <x:c r="D229" s="31" t="inlineStr">
        <x:is>
          <x:t xml:space="preserve">Нет</x:t>
        </x:is>
      </x:c>
      <x:c r="E229" s="31" t="n"/>
      <x:c r="F229" s="31" t="inlineStr">
        <x:is>
          <x:t xml:space="preserve">Проверка меню для роли Финансист</x:t>
        </x:is>
      </x:c>
    </x:row>
    <x:row r="230" ht="18" customHeight="1">
      <x:c r="A230" s="31" t="inlineStr">
        <x:is>
          <x:t xml:space="preserve">Финансист</x:t>
        </x:is>
      </x:c>
      <x:c r="B230" s="31" t="inlineStr">
        <x:is>
          <x:t xml:space="preserve">КД/состав изделия</x:t>
        </x:is>
      </x:c>
      <x:c r="C230" s="31" t="inlineStr">
        <x:is>
          <x:t xml:space="preserve">Нет доступа</x:t>
        </x:is>
      </x:c>
      <x:c r="D230" s="31" t="inlineStr">
        <x:is>
          <x:t xml:space="preserve">Нет</x:t>
        </x:is>
      </x:c>
      <x:c r="E230" s="31" t="n"/>
      <x:c r="F230" s="31" t="inlineStr">
        <x:is>
          <x:t xml:space="preserve">Проверка меню для роли Финансист</x:t>
        </x:is>
      </x:c>
    </x:row>
    <x:row r="231" ht="18" customHeight="1">
      <x:c r="A231" s="31" t="inlineStr">
        <x:is>
          <x:t xml:space="preserve">Финансист</x:t>
        </x:is>
      </x:c>
      <x:c r="B231" s="31" t="inlineStr">
        <x:is>
          <x:t xml:space="preserve">План производства</x:t>
        </x:is>
      </x:c>
      <x:c r="C231" s="31" t="inlineStr">
        <x:is>
          <x:t xml:space="preserve">Нет доступа</x:t>
        </x:is>
      </x:c>
      <x:c r="D231" s="31" t="inlineStr">
        <x:is>
          <x:t xml:space="preserve">Нет</x:t>
        </x:is>
      </x:c>
      <x:c r="E231" s="31" t="n"/>
      <x:c r="F231" s="31" t="inlineStr">
        <x:is>
          <x:t xml:space="preserve">Проверка меню для роли Финансист</x:t>
        </x:is>
      </x:c>
    </x:row>
    <x:row r="232" ht="18" customHeight="1">
      <x:c r="A232" s="31" t="inlineStr">
        <x:is>
          <x:t xml:space="preserve">Финансист</x:t>
        </x:is>
      </x:c>
      <x:c r="B232" s="31" t="inlineStr">
        <x:is>
          <x:t xml:space="preserve">Смены</x:t>
        </x:is>
      </x:c>
      <x:c r="C232" s="31" t="inlineStr">
        <x:is>
          <x:t xml:space="preserve">Нет доступа</x:t>
        </x:is>
      </x:c>
      <x:c r="D232" s="31" t="inlineStr">
        <x:is>
          <x:t xml:space="preserve">Нет</x:t>
        </x:is>
      </x:c>
      <x:c r="E232" s="31" t="n"/>
      <x:c r="F232" s="31" t="inlineStr">
        <x:is>
          <x:t xml:space="preserve">Проверка меню для роли Финансист</x:t>
        </x:is>
      </x:c>
    </x:row>
    <x:row r="233" ht="18" customHeight="1">
      <x:c r="A233" s="31" t="inlineStr">
        <x:is>
          <x:t xml:space="preserve">Финансист</x:t>
        </x:is>
      </x:c>
      <x:c r="B233" s="31" t="inlineStr">
        <x:is>
          <x:t xml:space="preserve">Склад</x:t>
        </x:is>
      </x:c>
      <x:c r="C233" s="31" t="inlineStr">
        <x:is>
          <x:t xml:space="preserve">Нет доступа</x:t>
        </x:is>
      </x:c>
      <x:c r="D233" s="31" t="inlineStr">
        <x:is>
          <x:t xml:space="preserve">Нет</x:t>
        </x:is>
      </x:c>
      <x:c r="E233" s="31" t="n"/>
      <x:c r="F233" s="31" t="inlineStr">
        <x:is>
          <x:t xml:space="preserve">Проверка меню для роли Финансист</x:t>
        </x:is>
      </x:c>
    </x:row>
    <x:row r="234" ht="18" customHeight="1">
      <x:c r="A234" s="31" t="inlineStr">
        <x:is>
          <x:t xml:space="preserve">Финансист</x:t>
        </x:is>
      </x:c>
      <x:c r="B234" s="31" t="inlineStr">
        <x:is>
          <x:t xml:space="preserve">Закупки</x:t>
        </x:is>
      </x:c>
      <x:c r="C234" s="31" t="inlineStr">
        <x:is>
          <x:t xml:space="preserve">Нет доступа</x:t>
        </x:is>
      </x:c>
      <x:c r="D234" s="31" t="inlineStr">
        <x:is>
          <x:t xml:space="preserve">Нет</x:t>
        </x:is>
      </x:c>
      <x:c r="E234" s="31" t="n"/>
      <x:c r="F234" s="31" t="inlineStr">
        <x:is>
          <x:t xml:space="preserve">Проверка меню для роли Финансист</x:t>
        </x:is>
      </x:c>
    </x:row>
    <x:row r="235" ht="18" customHeight="1">
      <x:c r="A235" s="31" t="inlineStr">
        <x:is>
          <x:t xml:space="preserve">Финансист</x:t>
        </x:is>
      </x:c>
      <x:c r="B235" s="31" t="inlineStr">
        <x:is>
          <x:t xml:space="preserve">ОТК</x:t>
        </x:is>
      </x:c>
      <x:c r="C235" s="31" t="inlineStr">
        <x:is>
          <x:t xml:space="preserve">Нет доступа</x:t>
        </x:is>
      </x:c>
      <x:c r="D235" s="31" t="inlineStr">
        <x:is>
          <x:t xml:space="preserve">Нет</x:t>
        </x:is>
      </x:c>
      <x:c r="E235" s="31" t="n"/>
      <x:c r="F235" s="31" t="inlineStr">
        <x:is>
          <x:t xml:space="preserve">Проверка меню для роли Финансист</x:t>
        </x:is>
      </x:c>
    </x:row>
    <x:row r="236" ht="18" customHeight="1">
      <x:c r="A236" s="31" t="inlineStr">
        <x:is>
          <x:t xml:space="preserve">Финансист</x:t>
        </x:is>
      </x:c>
      <x:c r="B236" s="31" t="inlineStr">
        <x:is>
          <x:t xml:space="preserve">Логистика</x:t>
        </x:is>
      </x:c>
      <x:c r="C236" s="31" t="inlineStr">
        <x:is>
          <x:t xml:space="preserve">Нет доступа</x:t>
        </x:is>
      </x:c>
      <x:c r="D236" s="31" t="inlineStr">
        <x:is>
          <x:t xml:space="preserve">Нет</x:t>
        </x:is>
      </x:c>
      <x:c r="E236" s="31" t="n"/>
      <x:c r="F236" s="31" t="inlineStr">
        <x:is>
          <x:t xml:space="preserve">Проверка меню для роли Финансист</x:t>
        </x:is>
      </x:c>
    </x:row>
    <x:row r="237" ht="18" customHeight="1">
      <x:c r="A237" s="31" t="inlineStr">
        <x:is>
          <x:t xml:space="preserve">Финансист</x:t>
        </x:is>
      </x:c>
      <x:c r="B237" s="31" t="inlineStr">
        <x:is>
          <x:t xml:space="preserve">Финансы</x:t>
        </x:is>
      </x:c>
      <x:c r="C237" s="31" t="inlineStr">
        <x:is>
          <x:t xml:space="preserve">Финансовые операции</x:t>
        </x:is>
      </x:c>
      <x:c r="D237" s="31" t="inlineStr">
        <x:is>
          <x:t xml:space="preserve">Нет</x:t>
        </x:is>
      </x:c>
      <x:c r="E237" s="31" t="inlineStr">
        <x:is>
          <x:t xml:space="preserve">Свои/подразделение</x:t>
        </x:is>
      </x:c>
      <x:c r="F237" s="31" t="inlineStr">
        <x:is>
          <x:t xml:space="preserve">Проверка меню для роли Финансист</x:t>
        </x:is>
      </x:c>
    </x:row>
    <x:row r="238" ht="18" customHeight="1">
      <x:c r="A238" s="31" t="inlineStr">
        <x:is>
          <x:t xml:space="preserve">Финансист</x:t>
        </x:is>
      </x:c>
      <x:c r="B238" s="31" t="inlineStr">
        <x:is>
          <x:t xml:space="preserve">Сервис</x:t>
        </x:is>
      </x:c>
      <x:c r="C238" s="31" t="inlineStr">
        <x:is>
          <x:t xml:space="preserve">Нет доступа</x:t>
        </x:is>
      </x:c>
      <x:c r="D238" s="31" t="inlineStr">
        <x:is>
          <x:t xml:space="preserve">Нет</x:t>
        </x:is>
      </x:c>
      <x:c r="E238" s="31" t="n"/>
      <x:c r="F238" s="31" t="inlineStr">
        <x:is>
          <x:t xml:space="preserve">Проверка меню для роли Финансист</x:t>
        </x:is>
      </x:c>
    </x:row>
    <x:row r="239" ht="18" customHeight="1">
      <x:c r="A239" s="31" t="inlineStr">
        <x:is>
          <x:t xml:space="preserve">Финансист</x:t>
        </x:is>
      </x:c>
      <x:c r="B239" s="31" t="inlineStr">
        <x:is>
          <x:t xml:space="preserve">Согласования</x:t>
        </x:is>
      </x:c>
      <x:c r="C239" s="31" t="inlineStr">
        <x:is>
          <x:t xml:space="preserve">Финансовые операции</x:t>
        </x:is>
      </x:c>
      <x:c r="D239" s="31" t="inlineStr">
        <x:is>
          <x:t xml:space="preserve">Нет</x:t>
        </x:is>
      </x:c>
      <x:c r="E239" s="31" t="inlineStr">
        <x:is>
          <x:t xml:space="preserve">Свои/подразделение</x:t>
        </x:is>
      </x:c>
      <x:c r="F239" s="31" t="inlineStr">
        <x:is>
          <x:t xml:space="preserve">Проверка меню для роли Финансист</x:t>
        </x:is>
      </x:c>
    </x:row>
    <x:row r="240" ht="18" customHeight="1">
      <x:c r="A240" s="31" t="inlineStr">
        <x:is>
          <x:t xml:space="preserve">Финансист</x:t>
        </x:is>
      </x:c>
      <x:c r="B240" s="31" t="inlineStr">
        <x:is>
          <x:t xml:space="preserve">Отчеты</x:t>
        </x:is>
      </x:c>
      <x:c r="C240" s="31" t="inlineStr">
        <x:is>
          <x:t xml:space="preserve">Финансовые операции</x:t>
        </x:is>
      </x:c>
      <x:c r="D240" s="31" t="inlineStr">
        <x:is>
          <x:t xml:space="preserve">Нет</x:t>
        </x:is>
      </x:c>
      <x:c r="E240" s="31" t="inlineStr">
        <x:is>
          <x:t xml:space="preserve">Свои/подразделение</x:t>
        </x:is>
      </x:c>
      <x:c r="F240" s="31" t="inlineStr">
        <x:is>
          <x:t xml:space="preserve">Проверка меню для роли Финансист</x:t>
        </x:is>
      </x:c>
    </x:row>
    <x:row r="241" ht="18" customHeight="1">
      <x:c r="A241" s="31" t="inlineStr">
        <x:is>
          <x:t xml:space="preserve">Финансист</x:t>
        </x:is>
      </x:c>
      <x:c r="B241" s="31" t="inlineStr">
        <x:is>
          <x:t xml:space="preserve">Администрирование</x:t>
        </x:is>
      </x:c>
      <x:c r="C241" s="31" t="inlineStr">
        <x:is>
          <x:t xml:space="preserve">Нет доступа</x:t>
        </x:is>
      </x:c>
      <x:c r="D241" s="31" t="inlineStr">
        <x:is>
          <x:t xml:space="preserve">Нет</x:t>
        </x:is>
      </x:c>
      <x:c r="E241" s="31" t="n"/>
      <x:c r="F241" s="31" t="inlineStr">
        <x:is>
          <x:t xml:space="preserve">Проверка меню для роли Финансист</x:t>
        </x:is>
      </x:c>
    </x:row>
    <x:row r="242" ht="18" customHeight="1">
      <x:c r="A242" s="31" t="inlineStr">
        <x:is>
          <x:t xml:space="preserve">Сервис-инженер</x:t>
        </x:is>
      </x:c>
      <x:c r="B242" s="31" t="inlineStr">
        <x:is>
          <x:t xml:space="preserve">Дашборд</x:t>
        </x:is>
      </x:c>
      <x:c r="C242" s="31" t="inlineStr">
        <x:is>
          <x:t xml:space="preserve">Нет доступа</x:t>
        </x:is>
      </x:c>
      <x:c r="D242" s="31" t="inlineStr">
        <x:is>
          <x:t xml:space="preserve">Нет</x:t>
        </x:is>
      </x:c>
      <x:c r="E242" s="31" t="n"/>
      <x:c r="F242" s="31" t="inlineStr">
        <x:is>
          <x:t xml:space="preserve">Проверка меню для роли Сервис-инженер</x:t>
        </x:is>
      </x:c>
    </x:row>
    <x:row r="243" ht="18" customHeight="1">
      <x:c r="A243" s="31" t="inlineStr">
        <x:is>
          <x:t xml:space="preserve">Сервис-инженер</x:t>
        </x:is>
      </x:c>
      <x:c r="B243" s="31" t="inlineStr">
        <x:is>
          <x:t xml:space="preserve">Продажи</x:t>
        </x:is>
      </x:c>
      <x:c r="C243" s="31" t="inlineStr">
        <x:is>
          <x:t xml:space="preserve">Нет доступа</x:t>
        </x:is>
      </x:c>
      <x:c r="D243" s="31" t="inlineStr">
        <x:is>
          <x:t xml:space="preserve">Нет</x:t>
        </x:is>
      </x:c>
      <x:c r="E243" s="31" t="n"/>
      <x:c r="F243" s="31" t="inlineStr">
        <x:is>
          <x:t xml:space="preserve">Проверка меню для роли Сервис-инженер</x:t>
        </x:is>
      </x:c>
    </x:row>
    <x:row r="244" ht="18" customHeight="1">
      <x:c r="A244" s="31" t="inlineStr">
        <x:is>
          <x:t xml:space="preserve">Сервис-инженер</x:t>
        </x:is>
      </x:c>
      <x:c r="B244" s="31" t="inlineStr">
        <x:is>
          <x:t xml:space="preserve">Заказы</x:t>
        </x:is>
      </x:c>
      <x:c r="C244" s="31" t="inlineStr">
        <x:is>
          <x:t xml:space="preserve">Сервисные кейсы</x:t>
        </x:is>
      </x:c>
      <x:c r="D244" s="31" t="inlineStr">
        <x:is>
          <x:t xml:space="preserve">Нет</x:t>
        </x:is>
      </x:c>
      <x:c r="E244" s="31" t="inlineStr">
        <x:is>
          <x:t xml:space="preserve">Свои/подразделение</x:t>
        </x:is>
      </x:c>
      <x:c r="F244" s="31" t="inlineStr">
        <x:is>
          <x:t xml:space="preserve">Проверка меню для роли Сервис-инженер</x:t>
        </x:is>
      </x:c>
    </x:row>
    <x:row r="245" ht="18" customHeight="1">
      <x:c r="A245" s="31" t="inlineStr">
        <x:is>
          <x:t xml:space="preserve">Сервис-инженер</x:t>
        </x:is>
      </x:c>
      <x:c r="B245" s="31" t="inlineStr">
        <x:is>
          <x:t xml:space="preserve">КП/Договоры</x:t>
        </x:is>
      </x:c>
      <x:c r="C245" s="31" t="inlineStr">
        <x:is>
          <x:t xml:space="preserve">Нет доступа</x:t>
        </x:is>
      </x:c>
      <x:c r="D245" s="31" t="inlineStr">
        <x:is>
          <x:t xml:space="preserve">Нет</x:t>
        </x:is>
      </x:c>
      <x:c r="E245" s="31" t="n"/>
      <x:c r="F245" s="31" t="inlineStr">
        <x:is>
          <x:t xml:space="preserve">Проверка меню для роли Сервис-инженер</x:t>
        </x:is>
      </x:c>
    </x:row>
    <x:row r="246" ht="18" customHeight="1">
      <x:c r="A246" s="31" t="inlineStr">
        <x:is>
          <x:t xml:space="preserve">Сервис-инженер</x:t>
        </x:is>
      </x:c>
      <x:c r="B246" s="31" t="inlineStr">
        <x:is>
          <x:t xml:space="preserve">КД/состав изделия</x:t>
        </x:is>
      </x:c>
      <x:c r="C246" s="31" t="inlineStr">
        <x:is>
          <x:t xml:space="preserve">Нет доступа</x:t>
        </x:is>
      </x:c>
      <x:c r="D246" s="31" t="inlineStr">
        <x:is>
          <x:t xml:space="preserve">Нет</x:t>
        </x:is>
      </x:c>
      <x:c r="E246" s="31" t="n"/>
      <x:c r="F246" s="31" t="inlineStr">
        <x:is>
          <x:t xml:space="preserve">Проверка меню для роли Сервис-инженер</x:t>
        </x:is>
      </x:c>
    </x:row>
    <x:row r="247" ht="18" customHeight="1">
      <x:c r="A247" s="31" t="inlineStr">
        <x:is>
          <x:t xml:space="preserve">Сервис-инженер</x:t>
        </x:is>
      </x:c>
      <x:c r="B247" s="31" t="inlineStr">
        <x:is>
          <x:t xml:space="preserve">План производства</x:t>
        </x:is>
      </x:c>
      <x:c r="C247" s="31" t="inlineStr">
        <x:is>
          <x:t xml:space="preserve">Нет доступа</x:t>
        </x:is>
      </x:c>
      <x:c r="D247" s="31" t="inlineStr">
        <x:is>
          <x:t xml:space="preserve">Нет</x:t>
        </x:is>
      </x:c>
      <x:c r="E247" s="31" t="n"/>
      <x:c r="F247" s="31" t="inlineStr">
        <x:is>
          <x:t xml:space="preserve">Проверка меню для роли Сервис-инженер</x:t>
        </x:is>
      </x:c>
    </x:row>
    <x:row r="248" ht="18" customHeight="1">
      <x:c r="A248" s="31" t="inlineStr">
        <x:is>
          <x:t xml:space="preserve">Сервис-инженер</x:t>
        </x:is>
      </x:c>
      <x:c r="B248" s="31" t="inlineStr">
        <x:is>
          <x:t xml:space="preserve">Смены</x:t>
        </x:is>
      </x:c>
      <x:c r="C248" s="31" t="inlineStr">
        <x:is>
          <x:t xml:space="preserve">Нет доступа</x:t>
        </x:is>
      </x:c>
      <x:c r="D248" s="31" t="inlineStr">
        <x:is>
          <x:t xml:space="preserve">Нет</x:t>
        </x:is>
      </x:c>
      <x:c r="E248" s="31" t="n"/>
      <x:c r="F248" s="31" t="inlineStr">
        <x:is>
          <x:t xml:space="preserve">Проверка меню для роли Сервис-инженер</x:t>
        </x:is>
      </x:c>
    </x:row>
    <x:row r="249" ht="18" customHeight="1">
      <x:c r="A249" s="31" t="inlineStr">
        <x:is>
          <x:t xml:space="preserve">Сервис-инженер</x:t>
        </x:is>
      </x:c>
      <x:c r="B249" s="31" t="inlineStr">
        <x:is>
          <x:t xml:space="preserve">Склад</x:t>
        </x:is>
      </x:c>
      <x:c r="C249" s="31" t="inlineStr">
        <x:is>
          <x:t xml:space="preserve">Нет доступа</x:t>
        </x:is>
      </x:c>
      <x:c r="D249" s="31" t="inlineStr">
        <x:is>
          <x:t xml:space="preserve">Нет</x:t>
        </x:is>
      </x:c>
      <x:c r="E249" s="31" t="n"/>
      <x:c r="F249" s="31" t="inlineStr">
        <x:is>
          <x:t xml:space="preserve">Проверка меню для роли Сервис-инженер</x:t>
        </x:is>
      </x:c>
    </x:row>
    <x:row r="250" ht="18" customHeight="1">
      <x:c r="A250" s="31" t="inlineStr">
        <x:is>
          <x:t xml:space="preserve">Сервис-инженер</x:t>
        </x:is>
      </x:c>
      <x:c r="B250" s="31" t="inlineStr">
        <x:is>
          <x:t xml:space="preserve">Закупки</x:t>
        </x:is>
      </x:c>
      <x:c r="C250" s="31" t="inlineStr">
        <x:is>
          <x:t xml:space="preserve">Нет доступа</x:t>
        </x:is>
      </x:c>
      <x:c r="D250" s="31" t="inlineStr">
        <x:is>
          <x:t xml:space="preserve">Нет</x:t>
        </x:is>
      </x:c>
      <x:c r="E250" s="31" t="n"/>
      <x:c r="F250" s="31" t="inlineStr">
        <x:is>
          <x:t xml:space="preserve">Проверка меню для роли Сервис-инженер</x:t>
        </x:is>
      </x:c>
    </x:row>
    <x:row r="251" ht="18" customHeight="1">
      <x:c r="A251" s="31" t="inlineStr">
        <x:is>
          <x:t xml:space="preserve">Сервис-инженер</x:t>
        </x:is>
      </x:c>
      <x:c r="B251" s="31" t="inlineStr">
        <x:is>
          <x:t xml:space="preserve">ОТК</x:t>
        </x:is>
      </x:c>
      <x:c r="C251" s="31" t="inlineStr">
        <x:is>
          <x:t xml:space="preserve">Сервисные кейсы</x:t>
        </x:is>
      </x:c>
      <x:c r="D251" s="31" t="inlineStr">
        <x:is>
          <x:t xml:space="preserve">Нет</x:t>
        </x:is>
      </x:c>
      <x:c r="E251" s="31" t="inlineStr">
        <x:is>
          <x:t xml:space="preserve">Свои/подразделение</x:t>
        </x:is>
      </x:c>
      <x:c r="F251" s="31" t="inlineStr">
        <x:is>
          <x:t xml:space="preserve">Проверка меню для роли Сервис-инженер</x:t>
        </x:is>
      </x:c>
    </x:row>
    <x:row r="252" ht="18" customHeight="1">
      <x:c r="A252" s="31" t="inlineStr">
        <x:is>
          <x:t xml:space="preserve">Сервис-инженер</x:t>
        </x:is>
      </x:c>
      <x:c r="B252" s="31" t="inlineStr">
        <x:is>
          <x:t xml:space="preserve">Логистика</x:t>
        </x:is>
      </x:c>
      <x:c r="C252" s="31" t="inlineStr">
        <x:is>
          <x:t xml:space="preserve">Нет доступа</x:t>
        </x:is>
      </x:c>
      <x:c r="D252" s="31" t="inlineStr">
        <x:is>
          <x:t xml:space="preserve">Нет</x:t>
        </x:is>
      </x:c>
      <x:c r="E252" s="31" t="n"/>
      <x:c r="F252" s="31" t="inlineStr">
        <x:is>
          <x:t xml:space="preserve">Проверка меню для роли Сервис-инженер</x:t>
        </x:is>
      </x:c>
    </x:row>
    <x:row r="253" ht="18" customHeight="1">
      <x:c r="A253" s="31" t="inlineStr">
        <x:is>
          <x:t xml:space="preserve">Сервис-инженер</x:t>
        </x:is>
      </x:c>
      <x:c r="B253" s="31" t="inlineStr">
        <x:is>
          <x:t xml:space="preserve">Финансы</x:t>
        </x:is>
      </x:c>
      <x:c r="C253" s="31" t="inlineStr">
        <x:is>
          <x:t xml:space="preserve">Нет доступа</x:t>
        </x:is>
      </x:c>
      <x:c r="D253" s="31" t="inlineStr">
        <x:is>
          <x:t xml:space="preserve">Нет</x:t>
        </x:is>
      </x:c>
      <x:c r="E253" s="31" t="n"/>
      <x:c r="F253" s="31" t="inlineStr">
        <x:is>
          <x:t xml:space="preserve">Проверка меню для роли Сервис-инженер</x:t>
        </x:is>
      </x:c>
    </x:row>
    <x:row r="254" ht="18" customHeight="1">
      <x:c r="A254" s="31" t="inlineStr">
        <x:is>
          <x:t xml:space="preserve">Сервис-инженер</x:t>
        </x:is>
      </x:c>
      <x:c r="B254" s="31" t="inlineStr">
        <x:is>
          <x:t xml:space="preserve">Сервис</x:t>
        </x:is>
      </x:c>
      <x:c r="C254" s="31" t="inlineStr">
        <x:is>
          <x:t xml:space="preserve">Сервисные кейсы</x:t>
        </x:is>
      </x:c>
      <x:c r="D254" s="31" t="inlineStr">
        <x:is>
          <x:t xml:space="preserve">Нет</x:t>
        </x:is>
      </x:c>
      <x:c r="E254" s="31" t="inlineStr">
        <x:is>
          <x:t xml:space="preserve">Свои/подразделение</x:t>
        </x:is>
      </x:c>
      <x:c r="F254" s="31" t="inlineStr">
        <x:is>
          <x:t xml:space="preserve">Проверка меню для роли Сервис-инженер</x:t>
        </x:is>
      </x:c>
    </x:row>
    <x:row r="255" ht="18" customHeight="1">
      <x:c r="A255" s="31" t="inlineStr">
        <x:is>
          <x:t xml:space="preserve">Сервис-инженер</x:t>
        </x:is>
      </x:c>
      <x:c r="B255" s="31" t="inlineStr">
        <x:is>
          <x:t xml:space="preserve">Согласования</x:t>
        </x:is>
      </x:c>
      <x:c r="C255" s="31" t="inlineStr">
        <x:is>
          <x:t xml:space="preserve">Нет доступа</x:t>
        </x:is>
      </x:c>
      <x:c r="D255" s="31" t="inlineStr">
        <x:is>
          <x:t xml:space="preserve">Нет</x:t>
        </x:is>
      </x:c>
      <x:c r="E255" s="31" t="n"/>
      <x:c r="F255" s="31" t="inlineStr">
        <x:is>
          <x:t xml:space="preserve">Проверка меню для роли Сервис-инженер</x:t>
        </x:is>
      </x:c>
    </x:row>
    <x:row r="256" ht="18" customHeight="1">
      <x:c r="A256" s="31" t="inlineStr">
        <x:is>
          <x:t xml:space="preserve">Сервис-инженер</x:t>
        </x:is>
      </x:c>
      <x:c r="B256" s="31" t="inlineStr">
        <x:is>
          <x:t xml:space="preserve">Отчеты</x:t>
        </x:is>
      </x:c>
      <x:c r="C256" s="31" t="inlineStr">
        <x:is>
          <x:t xml:space="preserve">Нет доступа</x:t>
        </x:is>
      </x:c>
      <x:c r="D256" s="31" t="inlineStr">
        <x:is>
          <x:t xml:space="preserve">Нет</x:t>
        </x:is>
      </x:c>
      <x:c r="E256" s="31" t="n"/>
      <x:c r="F256" s="31" t="inlineStr">
        <x:is>
          <x:t xml:space="preserve">Проверка меню для роли Сервис-инженер</x:t>
        </x:is>
      </x:c>
    </x:row>
    <x:row r="257" ht="18" customHeight="1">
      <x:c r="A257" s="31" t="inlineStr">
        <x:is>
          <x:t xml:space="preserve">Сервис-инженер</x:t>
        </x:is>
      </x:c>
      <x:c r="B257" s="31" t="inlineStr">
        <x:is>
          <x:t xml:space="preserve">Администрирование</x:t>
        </x:is>
      </x:c>
      <x:c r="C257" s="31" t="inlineStr">
        <x:is>
          <x:t xml:space="preserve">Нет доступа</x:t>
        </x:is>
      </x:c>
      <x:c r="D257" s="31" t="inlineStr">
        <x:is>
          <x:t xml:space="preserve">Нет</x:t>
        </x:is>
      </x:c>
      <x:c r="E257" s="31" t="n"/>
      <x:c r="F257" s="31" t="inlineStr">
        <x:is>
          <x:t xml:space="preserve">Проверка меню для роли Сервис-инженер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5" customWidth="1"/>
    <x:col min="2" max="2" width="24" customWidth="1"/>
    <x:col min="3" max="3" width="24" customWidth="1"/>
    <x:col min="4" max="4" width="20" customWidth="1"/>
    <x:col min="5" max="5" width="19" customWidth="1"/>
    <x:col min="6" max="6" width="11" customWidth="1"/>
    <x:col min="7" max="7" width="23" customWidth="1"/>
    <x:col min="8" max="8" width="24" customWidth="1"/>
    <x:col min="9" max="9" width="38" customWidth="1"/>
    <x:col min="10" max="10" width="11" customWidth="1"/>
    <x:col min="11" max="11" width="16" customWidth="1"/>
  </x:cols>
  <x:sheetData>
    <x:row r="1" ht="18" customHeight="1">
      <x:c r="A1" s="30" t="inlineStr">
        <x:is>
          <x:t xml:space="preserve">Код заказчика</x:t>
        </x:is>
      </x:c>
      <x:c r="B1" s="30" t="inlineStr">
        <x:is>
          <x:t xml:space="preserve">Заказчик</x:t>
        </x:is>
      </x:c>
      <x:c r="C1" s="30" t="inlineStr">
        <x:is>
          <x:t xml:space="preserve">Отрасль</x:t>
        </x:is>
      </x:c>
      <x:c r="D1" s="30" t="inlineStr">
        <x:is>
          <x:t xml:space="preserve">Регион</x:t>
        </x:is>
      </x:c>
      <x:c r="E1" s="30" t="inlineStr">
        <x:is>
          <x:t xml:space="preserve">Сегмент</x:t>
        </x:is>
      </x:c>
      <x:c r="F1" s="30" t="inlineStr">
        <x:is>
          <x:t xml:space="preserve">Риск</x:t>
        </x:is>
      </x:c>
      <x:c r="G1" s="30" t="inlineStr">
        <x:is>
          <x:t xml:space="preserve">Кредитный лимит, руб.</x:t>
        </x:is>
      </x:c>
      <x:c r="H1" s="30" t="inlineStr">
        <x:is>
          <x:t xml:space="preserve">Ответственный менеджер</x:t>
        </x:is>
      </x:c>
      <x:c r="I1" s="30" t="inlineStr">
        <x:is>
          <x:t xml:space="preserve">Условия оплаты</x:t>
        </x:is>
      </x:c>
      <x:c r="J1" s="30" t="inlineStr">
        <x:is>
          <x:t xml:space="preserve">Факторинг</x:t>
        </x:is>
      </x:c>
      <x:c r="K1" s="30" t="inlineStr">
        <x:is>
          <x:t xml:space="preserve">ИНН</x:t>
        </x:is>
      </x:c>
    </x:row>
    <x:row r="2" ht="18" customHeight="1">
      <x:c r="A2" s="31" t="inlineStr">
        <x:is>
          <x:t xml:space="preserve">КЛ-001</x:t>
        </x:is>
      </x:c>
      <x:c r="B2" s="31" t="inlineStr">
        <x:is>
          <x:t xml:space="preserve">ООО «ТрансЭнерго»</x:t>
        </x:is>
      </x:c>
      <x:c r="C2" s="31" t="inlineStr">
        <x:is>
          <x:t xml:space="preserve">Горнодобыча</x:t>
        </x:is>
      </x:c>
      <x:c r="D2" s="31" t="inlineStr">
        <x:is>
          <x:t xml:space="preserve">ХМАО</x:t>
        </x:is>
      </x:c>
      <x:c r="E2" s="31" t="inlineStr">
        <x:is>
          <x:t xml:space="preserve">Г: рискованный</x:t>
        </x:is>
      </x:c>
      <x:c r="F2" s="31" t="inlineStr">
        <x:is>
          <x:t xml:space="preserve">Средний</x:t>
        </x:is>
      </x:c>
      <x:c r="G2" s="31" t="n">
        <x:v>5000000</x:v>
      </x:c>
      <x:c r="H2" s="31" t="inlineStr">
        <x:is>
          <x:t xml:space="preserve">СОТР-004</x:t>
        </x:is>
      </x:c>
      <x:c r="I2" s="31" t="inlineStr">
        <x:is>
          <x:t xml:space="preserve">Постоплата 20 дней с лимитом</x:t>
        </x:is>
      </x:c>
      <x:c r="J2" s="31" t="inlineStr">
        <x:is>
          <x:t xml:space="preserve">Нет</x:t>
        </x:is>
      </x:c>
      <x:c r="K2" s="31" t="inlineStr">
        <x:is>
          <x:t xml:space="preserve">ИНН 7826760532</x:t>
        </x:is>
      </x:c>
    </x:row>
    <x:row r="3" ht="18" customHeight="1">
      <x:c r="A3" s="31" t="inlineStr">
        <x:is>
          <x:t xml:space="preserve">КЛ-002</x:t>
        </x:is>
      </x:c>
      <x:c r="B3" s="31" t="inlineStr">
        <x:is>
          <x:t xml:space="preserve">ООО «ВолгаЛогистика»</x:t>
        </x:is>
      </x:c>
      <x:c r="C3" s="31" t="inlineStr">
        <x:is>
          <x:t xml:space="preserve">Строительство</x:t>
        </x:is>
      </x:c>
      <x:c r="D3" s="31" t="inlineStr">
        <x:is>
          <x:t xml:space="preserve">Москва</x:t>
        </x:is>
      </x:c>
      <x:c r="E3" s="31" t="inlineStr">
        <x:is>
          <x:t xml:space="preserve">Б: регулярный</x:t>
        </x:is>
      </x:c>
      <x:c r="F3" s="31" t="inlineStr">
        <x:is>
          <x:t xml:space="preserve">Средний</x:t>
        </x:is>
      </x:c>
      <x:c r="G3" s="31" t="n">
        <x:v>12000000</x:v>
      </x:c>
      <x:c r="H3" s="31" t="inlineStr">
        <x:is>
          <x:t xml:space="preserve">СОТР-003</x:t>
        </x:is>
      </x:c>
      <x:c r="I3" s="31" t="inlineStr">
        <x:is>
          <x:t xml:space="preserve">30% аванс / 70% перед отгрузкой</x:t>
        </x:is>
      </x:c>
      <x:c r="J3" s="31" t="inlineStr">
        <x:is>
          <x:t xml:space="preserve">Да</x:t>
        </x:is>
      </x:c>
      <x:c r="K3" s="31" t="inlineStr">
        <x:is>
          <x:t xml:space="preserve">ИНН 7811385258</x:t>
        </x:is>
      </x:c>
    </x:row>
    <x:row r="4" ht="18" customHeight="1">
      <x:c r="A4" s="31" t="inlineStr">
        <x:is>
          <x:t xml:space="preserve">КЛ-003</x:t>
        </x:is>
      </x:c>
      <x:c r="B4" s="31" t="inlineStr">
        <x:is>
          <x:t xml:space="preserve">ООО «МеталлРесурс»</x:t>
        </x:is>
      </x:c>
      <x:c r="C4" s="31" t="inlineStr">
        <x:is>
          <x:t xml:space="preserve">Водоканал</x:t>
        </x:is>
      </x:c>
      <x:c r="D4" s="31" t="inlineStr">
        <x:is>
          <x:t xml:space="preserve">Санкт-Петербург</x:t>
        </x:is>
      </x:c>
      <x:c r="E4" s="31" t="inlineStr">
        <x:is>
          <x:t xml:space="preserve">Б: регулярный</x:t>
        </x:is>
      </x:c>
      <x:c r="F4" s="31" t="inlineStr">
        <x:is>
          <x:t xml:space="preserve">Высокий</x:t>
        </x:is>
      </x:c>
      <x:c r="G4" s="31" t="n">
        <x:v>5000000</x:v>
      </x:c>
      <x:c r="H4" s="31" t="inlineStr">
        <x:is>
          <x:t xml:space="preserve">СОТР-005</x:t>
        </x:is>
      </x:c>
      <x:c r="I4" s="31" t="inlineStr">
        <x:is>
          <x:t xml:space="preserve">Постоплата 20 дней с лимитом</x:t>
        </x:is>
      </x:c>
      <x:c r="J4" s="31" t="inlineStr">
        <x:is>
          <x:t xml:space="preserve">Нет</x:t>
        </x:is>
      </x:c>
      <x:c r="K4" s="31" t="inlineStr">
        <x:is>
          <x:t xml:space="preserve">ИНН 7819869153</x:t>
        </x:is>
      </x:c>
    </x:row>
    <x:row r="5" ht="18" customHeight="1">
      <x:c r="A5" s="31" t="inlineStr">
        <x:is>
          <x:t xml:space="preserve">КЛ-004</x:t>
        </x:is>
      </x:c>
      <x:c r="B5" s="31" t="inlineStr">
        <x:is>
          <x:t xml:space="preserve">ООО «НефтеЛогистика»</x:t>
        </x:is>
      </x:c>
      <x:c r="C5" s="31" t="inlineStr">
        <x:is>
          <x:t xml:space="preserve">Металлургия</x:t>
        </x:is>
      </x:c>
      <x:c r="D5" s="31" t="inlineStr">
        <x:is>
          <x:t xml:space="preserve">Пермский край</x:t>
        </x:is>
      </x:c>
      <x:c r="E5" s="31" t="inlineStr">
        <x:is>
          <x:t xml:space="preserve">Б: регулярный</x:t>
        </x:is>
      </x:c>
      <x:c r="F5" s="31" t="inlineStr">
        <x:is>
          <x:t xml:space="preserve">Средний</x:t>
        </x:is>
      </x:c>
      <x:c r="G5" s="31" t="n">
        <x:v>12000000</x:v>
      </x:c>
      <x:c r="H5" s="31" t="inlineStr">
        <x:is>
          <x:t xml:space="preserve">СОТР-004</x:t>
        </x:is>
      </x:c>
      <x:c r="I5" s="31" t="inlineStr">
        <x:is>
          <x:t xml:space="preserve">50% аванс / 50% после приемочные испытания</x:t>
        </x:is>
      </x:c>
      <x:c r="J5" s="31" t="inlineStr">
        <x:is>
          <x:t xml:space="preserve">Нет</x:t>
        </x:is>
      </x:c>
      <x:c r="K5" s="31" t="inlineStr">
        <x:is>
          <x:t xml:space="preserve">ИНН 7764103875</x:t>
        </x:is>
      </x:c>
    </x:row>
    <x:row r="6" ht="18" customHeight="1">
      <x:c r="A6" s="31" t="inlineStr">
        <x:is>
          <x:t xml:space="preserve">КЛ-005</x:t>
        </x:is>
      </x:c>
      <x:c r="B6" s="31" t="inlineStr">
        <x:is>
          <x:t xml:space="preserve">ООО «АкваАвтоматика»</x:t>
        </x:is>
      </x:c>
      <x:c r="C6" s="31" t="inlineStr">
        <x:is>
          <x:t xml:space="preserve">Пищевая промышленность</x:t>
        </x:is>
      </x:c>
      <x:c r="D6" s="31" t="inlineStr">
        <x:is>
          <x:t xml:space="preserve">Беларусь</x:t>
        </x:is>
      </x:c>
      <x:c r="E6" s="31" t="inlineStr">
        <x:is>
          <x:t xml:space="preserve">Б: регулярный</x:t>
        </x:is>
      </x:c>
      <x:c r="F6" s="31" t="inlineStr">
        <x:is>
          <x:t xml:space="preserve">Средний</x:t>
        </x:is>
      </x:c>
      <x:c r="G6" s="31" t="n">
        <x:v>5000000</x:v>
      </x:c>
      <x:c r="H6" s="31" t="inlineStr">
        <x:is>
          <x:t xml:space="preserve">СОТР-005</x:t>
        </x:is>
      </x:c>
      <x:c r="I6" s="31" t="inlineStr">
        <x:is>
          <x:t xml:space="preserve">Постоплата 20 дней с лимитом</x:t>
        </x:is>
      </x:c>
      <x:c r="J6" s="31" t="inlineStr">
        <x:is>
          <x:t xml:space="preserve">Да</x:t>
        </x:is>
      </x:c>
      <x:c r="K6" s="31" t="inlineStr">
        <x:is>
          <x:t xml:space="preserve">ИНН 7878157613</x:t>
        </x:is>
      </x:c>
    </x:row>
    <x:row r="7" ht="18" customHeight="1">
      <x:c r="A7" s="31" t="inlineStr">
        <x:is>
          <x:t xml:space="preserve">КЛ-006</x:t>
        </x:is>
      </x:c>
      <x:c r="B7" s="31" t="inlineStr">
        <x:is>
          <x:t xml:space="preserve">ООО «БалтикЛогистика»</x:t>
        </x:is>
      </x:c>
      <x:c r="C7" s="31" t="inlineStr">
        <x:is>
          <x:t xml:space="preserve">Нефтегаз</x:t>
        </x:is>
      </x:c>
      <x:c r="D7" s="31" t="inlineStr">
        <x:is>
          <x:t xml:space="preserve">Москва</x:t>
        </x:is>
      </x:c>
      <x:c r="E7" s="31" t="inlineStr">
        <x:is>
          <x:t xml:space="preserve">Б: регулярный</x:t>
        </x:is>
      </x:c>
      <x:c r="F7" s="31" t="inlineStr">
        <x:is>
          <x:t xml:space="preserve">Низкий</x:t>
        </x:is>
      </x:c>
      <x:c r="G7" s="31" t="n">
        <x:v>12000000</x:v>
      </x:c>
      <x:c r="H7" s="31" t="inlineStr">
        <x:is>
          <x:t xml:space="preserve">СОТР-003</x:t>
        </x:is>
      </x:c>
      <x:c r="I7" s="31" t="inlineStr">
        <x:is>
          <x:t xml:space="preserve">Постоплата 20 дней с лимитом</x:t>
        </x:is>
      </x:c>
      <x:c r="J7" s="31" t="inlineStr">
        <x:is>
          <x:t xml:space="preserve">Да</x:t>
        </x:is>
      </x:c>
      <x:c r="K7" s="31" t="inlineStr">
        <x:is>
          <x:t xml:space="preserve">ИНН 7822655697</x:t>
        </x:is>
      </x:c>
    </x:row>
    <x:row r="8" ht="18" customHeight="1">
      <x:c r="A8" s="31" t="inlineStr">
        <x:is>
          <x:t xml:space="preserve">КЛ-007</x:t>
        </x:is>
      </x:c>
      <x:c r="B8" s="31" t="inlineStr">
        <x:is>
          <x:t xml:space="preserve">ООО «НордСервис»</x:t>
        </x:is>
      </x:c>
      <x:c r="C8" s="31" t="inlineStr">
        <x:is>
          <x:t xml:space="preserve">Энергетика</x:t>
        </x:is>
      </x:c>
      <x:c r="D8" s="31" t="inlineStr">
        <x:is>
          <x:t xml:space="preserve">Свердловская обл.</x:t>
        </x:is>
      </x:c>
      <x:c r="E8" s="31" t="inlineStr">
        <x:is>
          <x:t xml:space="preserve">Г: рискованный</x:t>
        </x:is>
      </x:c>
      <x:c r="F8" s="31" t="inlineStr">
        <x:is>
          <x:t xml:space="preserve">Средний</x:t>
        </x:is>
      </x:c>
      <x:c r="G8" s="31" t="n">
        <x:v>1500000</x:v>
      </x:c>
      <x:c r="H8" s="31" t="inlineStr">
        <x:is>
          <x:t xml:space="preserve">СОТР-004</x:t>
        </x:is>
      </x:c>
      <x:c r="I8" s="31" t="inlineStr">
        <x:is>
          <x:t xml:space="preserve">100% предоплата</x:t>
        </x:is>
      </x:c>
      <x:c r="J8" s="31" t="inlineStr">
        <x:is>
          <x:t xml:space="preserve">Нет</x:t>
        </x:is>
      </x:c>
      <x:c r="K8" s="31" t="inlineStr">
        <x:is>
          <x:t xml:space="preserve">ИНН 7806698617</x:t>
        </x:is>
      </x:c>
    </x:row>
    <x:row r="9" ht="18" customHeight="1">
      <x:c r="A9" s="31" t="inlineStr">
        <x:is>
          <x:t xml:space="preserve">КЛ-008</x:t>
        </x:is>
      </x:c>
      <x:c r="B9" s="31" t="inlineStr">
        <x:is>
          <x:t xml:space="preserve">ООО «ПромПроект»</x:t>
        </x:is>
      </x:c>
      <x:c r="C9" s="31" t="inlineStr">
        <x:is>
          <x:t xml:space="preserve">Строительство</x:t>
        </x:is>
      </x:c>
      <x:c r="D9" s="31" t="inlineStr">
        <x:is>
          <x:t xml:space="preserve">ЯНАО</x:t>
        </x:is>
      </x:c>
      <x:c r="E9" s="31" t="inlineStr">
        <x:is>
          <x:t xml:space="preserve">Г: рискованный</x:t>
        </x:is>
      </x:c>
      <x:c r="F9" s="31" t="inlineStr">
        <x:is>
          <x:t xml:space="preserve">Средний</x:t>
        </x:is>
      </x:c>
      <x:c r="G9" s="31" t="n">
        <x:v>20000000</x:v>
      </x:c>
      <x:c r="H9" s="31" t="inlineStr">
        <x:is>
          <x:t xml:space="preserve">СОТР-004</x:t>
        </x:is>
      </x:c>
      <x:c r="I9" s="31" t="inlineStr">
        <x:is>
          <x:t xml:space="preserve">20% аванс / 40% по готовности / 40% отгрузка</x:t>
        </x:is>
      </x:c>
      <x:c r="J9" s="31" t="inlineStr">
        <x:is>
          <x:t xml:space="preserve">Да</x:t>
        </x:is>
      </x:c>
      <x:c r="K9" s="31" t="inlineStr">
        <x:is>
          <x:t xml:space="preserve">ИНН 7718366554</x:t>
        </x:is>
      </x:c>
    </x:row>
    <x:row r="10" ht="18" customHeight="1">
      <x:c r="A10" s="31" t="inlineStr">
        <x:is>
          <x:t xml:space="preserve">КЛ-009</x:t>
        </x:is>
      </x:c>
      <x:c r="B10" s="31" t="inlineStr">
        <x:is>
          <x:t xml:space="preserve">ООО «ВолгаКомплект»</x:t>
        </x:is>
      </x:c>
      <x:c r="C10" s="31" t="inlineStr">
        <x:is>
          <x:t xml:space="preserve">Пищевая промышленность</x:t>
        </x:is>
      </x:c>
      <x:c r="D10" s="31" t="inlineStr">
        <x:is>
          <x:t xml:space="preserve">Казахстан</x:t>
        </x:is>
      </x:c>
      <x:c r="E10" s="31" t="inlineStr">
        <x:is>
          <x:t xml:space="preserve">А: стратегический</x:t>
        </x:is>
      </x:c>
      <x:c r="F10" s="31" t="inlineStr">
        <x:is>
          <x:t xml:space="preserve">Средний</x:t>
        </x:is>
      </x:c>
      <x:c r="G10" s="31" t="n">
        <x:v>3000000</x:v>
      </x:c>
      <x:c r="H10" s="31" t="inlineStr">
        <x:is>
          <x:t xml:space="preserve">СОТР-005</x:t>
        </x:is>
      </x:c>
      <x:c r="I10" s="31" t="inlineStr">
        <x:is>
          <x:t xml:space="preserve">30% аванс / 70% перед отгрузкой</x:t>
        </x:is>
      </x:c>
      <x:c r="J10" s="31" t="inlineStr">
        <x:is>
          <x:t xml:space="preserve">Да</x:t>
        </x:is>
      </x:c>
      <x:c r="K10" s="31" t="inlineStr">
        <x:is>
          <x:t xml:space="preserve">ИНН 7886294518</x:t>
        </x:is>
      </x:c>
    </x:row>
    <x:row r="11" ht="18" customHeight="1">
      <x:c r="A11" s="31" t="inlineStr">
        <x:is>
          <x:t xml:space="preserve">КЛ-010</x:t>
        </x:is>
      </x:c>
      <x:c r="B11" s="31" t="inlineStr">
        <x:is>
          <x:t xml:space="preserve">ООО «ЭнергоМаш»</x:t>
        </x:is>
      </x:c>
      <x:c r="C11" s="31" t="inlineStr">
        <x:is>
          <x:t xml:space="preserve">Нефтегаз</x:t>
        </x:is>
      </x:c>
      <x:c r="D11" s="31" t="inlineStr">
        <x:is>
          <x:t xml:space="preserve">Пермский край</x:t>
        </x:is>
      </x:c>
      <x:c r="E11" s="31" t="inlineStr">
        <x:is>
          <x:t xml:space="preserve">В: разовый</x:t>
        </x:is>
      </x:c>
      <x:c r="F11" s="31" t="inlineStr">
        <x:is>
          <x:t xml:space="preserve">Средний</x:t>
        </x:is>
      </x:c>
      <x:c r="G11" s="31" t="n">
        <x:v>5000000</x:v>
      </x:c>
      <x:c r="H11" s="31" t="inlineStr">
        <x:is>
          <x:t xml:space="preserve">СОТР-004</x:t>
        </x:is>
      </x:c>
      <x:c r="I11" s="31" t="inlineStr">
        <x:is>
          <x:t xml:space="preserve">50% аванс / 50% после приемочные испытания</x:t>
        </x:is>
      </x:c>
      <x:c r="J11" s="31" t="inlineStr">
        <x:is>
          <x:t xml:space="preserve">Да</x:t>
        </x:is>
      </x:c>
      <x:c r="K11" s="31" t="inlineStr">
        <x:is>
          <x:t xml:space="preserve">ИНН 7810609298</x:t>
        </x:is>
      </x:c>
    </x:row>
    <x:row r="12" ht="18" customHeight="1">
      <x:c r="A12" s="31" t="inlineStr">
        <x:is>
          <x:t xml:space="preserve">КЛ-011</x:t>
        </x:is>
      </x:c>
      <x:c r="B12" s="31" t="inlineStr">
        <x:is>
          <x:t xml:space="preserve">ООО «АкваСервис»</x:t>
        </x:is>
      </x:c>
      <x:c r="C12" s="31" t="inlineStr">
        <x:is>
          <x:t xml:space="preserve">Горнодобыча</x:t>
        </x:is>
      </x:c>
      <x:c r="D12" s="31" t="inlineStr">
        <x:is>
          <x:t xml:space="preserve">Москва</x:t>
        </x:is>
      </x:c>
      <x:c r="E12" s="31" t="inlineStr">
        <x:is>
          <x:t xml:space="preserve">А: стратегический</x:t>
        </x:is>
      </x:c>
      <x:c r="F12" s="31" t="inlineStr">
        <x:is>
          <x:t xml:space="preserve">Средний</x:t>
        </x:is>
      </x:c>
      <x:c r="G12" s="31" t="n">
        <x:v>16000000</x:v>
      </x:c>
      <x:c r="H12" s="31" t="inlineStr">
        <x:is>
          <x:t xml:space="preserve">СОТР-003</x:t>
        </x:is>
      </x:c>
      <x:c r="I12" s="31" t="inlineStr">
        <x:is>
          <x:t xml:space="preserve">Постоплата 20 дней с лимитом</x:t>
        </x:is>
      </x:c>
      <x:c r="J12" s="31" t="inlineStr">
        <x:is>
          <x:t xml:space="preserve">Нет</x:t>
        </x:is>
      </x:c>
      <x:c r="K12" s="31" t="inlineStr">
        <x:is>
          <x:t xml:space="preserve">ИНН 7738417871</x:t>
        </x:is>
      </x:c>
    </x:row>
    <x:row r="13" ht="18" customHeight="1">
      <x:c r="A13" s="31" t="inlineStr">
        <x:is>
          <x:t xml:space="preserve">КЛ-012</x:t>
        </x:is>
      </x:c>
      <x:c r="B13" s="31" t="inlineStr">
        <x:is>
          <x:t xml:space="preserve">ООО «ВолгаЛогистика»</x:t>
        </x:is>
      </x:c>
      <x:c r="C13" s="31" t="inlineStr">
        <x:is>
          <x:t xml:space="preserve">Водоканал</x:t>
        </x:is>
      </x:c>
      <x:c r="D13" s="31" t="inlineStr">
        <x:is>
          <x:t xml:space="preserve">ХМАО</x:t>
        </x:is>
      </x:c>
      <x:c r="E13" s="31" t="inlineStr">
        <x:is>
          <x:t xml:space="preserve">Б: регулярный</x:t>
        </x:is>
      </x:c>
      <x:c r="F13" s="31" t="inlineStr">
        <x:is>
          <x:t xml:space="preserve">Высокий</x:t>
        </x:is>
      </x:c>
      <x:c r="G13" s="31" t="n">
        <x:v>1500000</x:v>
      </x:c>
      <x:c r="H13" s="31" t="inlineStr">
        <x:is>
          <x:t xml:space="preserve">СОТР-004</x:t>
        </x:is>
      </x:c>
      <x:c r="I13" s="31" t="inlineStr">
        <x:is>
          <x:t xml:space="preserve">100% предоплата</x:t>
        </x:is>
      </x:c>
      <x:c r="J13" s="31" t="inlineStr">
        <x:is>
          <x:t xml:space="preserve">Нет</x:t>
        </x:is>
      </x:c>
      <x:c r="K13" s="31" t="inlineStr">
        <x:is>
          <x:t xml:space="preserve">ИНН 7742406259</x:t>
        </x:is>
      </x:c>
    </x:row>
    <x:row r="14" ht="18" customHeight="1">
      <x:c r="A14" s="31" t="inlineStr">
        <x:is>
          <x:t xml:space="preserve">КЛ-013</x:t>
        </x:is>
      </x:c>
      <x:c r="B14" s="31" t="inlineStr">
        <x:is>
          <x:t xml:space="preserve">ООО «ПромЛогистика»</x:t>
        </x:is>
      </x:c>
      <x:c r="C14" s="31" t="inlineStr">
        <x:is>
          <x:t xml:space="preserve">Металлургия</x:t>
        </x:is>
      </x:c>
      <x:c r="D14" s="31" t="inlineStr">
        <x:is>
          <x:t xml:space="preserve">Новосибирская обл.</x:t>
        </x:is>
      </x:c>
      <x:c r="E14" s="31" t="inlineStr">
        <x:is>
          <x:t xml:space="preserve">Б: регулярный</x:t>
        </x:is>
      </x:c>
      <x:c r="F14" s="31" t="inlineStr">
        <x:is>
          <x:t xml:space="preserve">Средний</x:t>
        </x:is>
      </x:c>
      <x:c r="G14" s="31" t="n">
        <x:v>8000000</x:v>
      </x:c>
      <x:c r="H14" s="31" t="inlineStr">
        <x:is>
          <x:t xml:space="preserve">СОТР-004</x:t>
        </x:is>
      </x:c>
      <x:c r="I14" s="31" t="inlineStr">
        <x:is>
          <x:t xml:space="preserve">100% предоплата</x:t>
        </x:is>
      </x:c>
      <x:c r="J14" s="31" t="inlineStr">
        <x:is>
          <x:t xml:space="preserve">Да</x:t>
        </x:is>
      </x:c>
      <x:c r="K14" s="31" t="inlineStr">
        <x:is>
          <x:t xml:space="preserve">ИНН 7803265306</x:t>
        </x:is>
      </x:c>
    </x:row>
    <x:row r="15" ht="18" customHeight="1">
      <x:c r="A15" s="31" t="inlineStr">
        <x:is>
          <x:t xml:space="preserve">КЛ-014</x:t>
        </x:is>
      </x:c>
      <x:c r="B15" s="31" t="inlineStr">
        <x:is>
          <x:t xml:space="preserve">ООО «ПортЭнерго»</x:t>
        </x:is>
      </x:c>
      <x:c r="C15" s="31" t="inlineStr">
        <x:is>
          <x:t xml:space="preserve">Пищевая промышленность</x:t>
        </x:is>
      </x:c>
      <x:c r="D15" s="31" t="inlineStr">
        <x:is>
          <x:t xml:space="preserve">ЯНАО</x:t>
        </x:is>
      </x:c>
      <x:c r="E15" s="31" t="inlineStr">
        <x:is>
          <x:t xml:space="preserve">Б: регулярный</x:t>
        </x:is>
      </x:c>
      <x:c r="F15" s="31" t="inlineStr">
        <x:is>
          <x:t xml:space="preserve">Низкий</x:t>
        </x:is>
      </x:c>
      <x:c r="G15" s="31" t="n">
        <x:v>12000000</x:v>
      </x:c>
      <x:c r="H15" s="31" t="inlineStr">
        <x:is>
          <x:t xml:space="preserve">СОТР-005</x:t>
        </x:is>
      </x:c>
      <x:c r="I15" s="31" t="inlineStr">
        <x:is>
          <x:t xml:space="preserve">100% предоплата</x:t>
        </x:is>
      </x:c>
      <x:c r="J15" s="31" t="inlineStr">
        <x:is>
          <x:t xml:space="preserve">Да</x:t>
        </x:is>
      </x:c>
      <x:c r="K15" s="31" t="inlineStr">
        <x:is>
          <x:t xml:space="preserve">ИНН 7876692221</x:t>
        </x:is>
      </x:c>
    </x:row>
    <x:row r="16" ht="18" customHeight="1">
      <x:c r="A16" s="31" t="inlineStr">
        <x:is>
          <x:t xml:space="preserve">КЛ-015</x:t>
        </x:is>
      </x:c>
      <x:c r="B16" s="31" t="inlineStr">
        <x:is>
          <x:t xml:space="preserve">ООО «ХимКомплект»</x:t>
        </x:is>
      </x:c>
      <x:c r="C16" s="31" t="inlineStr">
        <x:is>
          <x:t xml:space="preserve">Нефтегаз</x:t>
        </x:is>
      </x:c>
      <x:c r="D16" s="31" t="inlineStr">
        <x:is>
          <x:t xml:space="preserve">Новосибирская обл.</x:t>
        </x:is>
      </x:c>
      <x:c r="E16" s="31" t="inlineStr">
        <x:is>
          <x:t xml:space="preserve">В: разовый</x:t>
        </x:is>
      </x:c>
      <x:c r="F16" s="31" t="inlineStr">
        <x:is>
          <x:t xml:space="preserve">Стоп-лист</x:t>
        </x:is>
      </x:c>
      <x:c r="G16" s="31" t="n">
        <x:v>20000000</x:v>
      </x:c>
      <x:c r="H16" s="31" t="inlineStr">
        <x:is>
          <x:t xml:space="preserve">СОТР-005</x:t>
        </x:is>
      </x:c>
      <x:c r="I16" s="31" t="inlineStr">
        <x:is>
          <x:t xml:space="preserve">Постоплата 20 дней с лимитом</x:t>
        </x:is>
      </x:c>
      <x:c r="J16" s="31" t="inlineStr">
        <x:is>
          <x:t xml:space="preserve">Нет</x:t>
        </x:is>
      </x:c>
      <x:c r="K16" s="31" t="inlineStr">
        <x:is>
          <x:t xml:space="preserve">ИНН 7776824657</x:t>
        </x:is>
      </x:c>
    </x:row>
    <x:row r="17" ht="18" customHeight="1">
      <x:c r="A17" s="31" t="inlineStr">
        <x:is>
          <x:t xml:space="preserve">КЛ-016</x:t>
        </x:is>
      </x:c>
      <x:c r="B17" s="31" t="inlineStr">
        <x:is>
          <x:t xml:space="preserve">ООО «ВолгаТехнологии»</x:t>
        </x:is>
      </x:c>
      <x:c r="C17" s="31" t="inlineStr">
        <x:is>
          <x:t xml:space="preserve">Металлургия</x:t>
        </x:is>
      </x:c>
      <x:c r="D17" s="31" t="inlineStr">
        <x:is>
          <x:t xml:space="preserve">Татарстан</x:t>
        </x:is>
      </x:c>
      <x:c r="E17" s="31" t="inlineStr">
        <x:is>
          <x:t xml:space="preserve">В: разовый</x:t>
        </x:is>
      </x:c>
      <x:c r="F17" s="31" t="inlineStr">
        <x:is>
          <x:t xml:space="preserve">Низкий</x:t>
        </x:is>
      </x:c>
      <x:c r="G17" s="31" t="n">
        <x:v>12000000</x:v>
      </x:c>
      <x:c r="H17" s="31" t="inlineStr">
        <x:is>
          <x:t xml:space="preserve">СОТР-005</x:t>
        </x:is>
      </x:c>
      <x:c r="I17" s="31" t="inlineStr">
        <x:is>
          <x:t xml:space="preserve">50% аванс / 50% после приемочные испытания</x:t>
        </x:is>
      </x:c>
      <x:c r="J17" s="31" t="inlineStr">
        <x:is>
          <x:t xml:space="preserve">Нет</x:t>
        </x:is>
      </x:c>
      <x:c r="K17" s="31" t="inlineStr">
        <x:is>
          <x:t xml:space="preserve">ИНН 7868432003</x:t>
        </x:is>
      </x:c>
    </x:row>
    <x:row r="18" ht="18" customHeight="1">
      <x:c r="A18" s="31" t="inlineStr">
        <x:is>
          <x:t xml:space="preserve">КЛ-017</x:t>
        </x:is>
      </x:c>
      <x:c r="B18" s="31" t="inlineStr">
        <x:is>
          <x:t xml:space="preserve">ООО «ВекторКомплект»</x:t>
        </x:is>
      </x:c>
      <x:c r="C18" s="31" t="inlineStr">
        <x:is>
          <x:t xml:space="preserve">Порты и терминалы</x:t>
        </x:is>
      </x:c>
      <x:c r="D18" s="31" t="inlineStr">
        <x:is>
          <x:t xml:space="preserve">Санкт-Петербург</x:t>
        </x:is>
      </x:c>
      <x:c r="E18" s="31" t="inlineStr">
        <x:is>
          <x:t xml:space="preserve">Б: регулярный</x:t>
        </x:is>
      </x:c>
      <x:c r="F18" s="31" t="inlineStr">
        <x:is>
          <x:t xml:space="preserve">Низкий</x:t>
        </x:is>
      </x:c>
      <x:c r="G18" s="31" t="n">
        <x:v>20000000</x:v>
      </x:c>
      <x:c r="H18" s="31" t="inlineStr">
        <x:is>
          <x:t xml:space="preserve">СОТР-004</x:t>
        </x:is>
      </x:c>
      <x:c r="I18" s="31" t="inlineStr">
        <x:is>
          <x:t xml:space="preserve">100% предоплата</x:t>
        </x:is>
      </x:c>
      <x:c r="J18" s="31" t="inlineStr">
        <x:is>
          <x:t xml:space="preserve">Нет</x:t>
        </x:is>
      </x:c>
      <x:c r="K18" s="31" t="inlineStr">
        <x:is>
          <x:t xml:space="preserve">ИНН 7747148023</x:t>
        </x:is>
      </x:c>
    </x:row>
    <x:row r="19" ht="18" customHeight="1">
      <x:c r="A19" s="31" t="inlineStr">
        <x:is>
          <x:t xml:space="preserve">КЛ-018</x:t>
        </x:is>
      </x:c>
      <x:c r="B19" s="31" t="inlineStr">
        <x:is>
          <x:t xml:space="preserve">ООО «КамаСервис»</x:t>
        </x:is>
      </x:c>
      <x:c r="C19" s="31" t="inlineStr">
        <x:is>
          <x:t xml:space="preserve">Строительство</x:t>
        </x:is>
      </x:c>
      <x:c r="D19" s="31" t="inlineStr">
        <x:is>
          <x:t xml:space="preserve">Пермский край</x:t>
        </x:is>
      </x:c>
      <x:c r="E19" s="31" t="inlineStr">
        <x:is>
          <x:t xml:space="preserve">Б: регулярный</x:t>
        </x:is>
      </x:c>
      <x:c r="F19" s="31" t="inlineStr">
        <x:is>
          <x:t xml:space="preserve">Высокий</x:t>
        </x:is>
      </x:c>
      <x:c r="G19" s="31" t="n">
        <x:v>5000000</x:v>
      </x:c>
      <x:c r="H19" s="31" t="inlineStr">
        <x:is>
          <x:t xml:space="preserve">СОТР-004</x:t>
        </x:is>
      </x:c>
      <x:c r="I19" s="31" t="inlineStr">
        <x:is>
          <x:t xml:space="preserve">Постоплата 20 дней с лимитом</x:t>
        </x:is>
      </x:c>
      <x:c r="J19" s="31" t="inlineStr">
        <x:is>
          <x:t xml:space="preserve">Нет</x:t>
        </x:is>
      </x:c>
      <x:c r="K19" s="31" t="inlineStr">
        <x:is>
          <x:t xml:space="preserve">ИНН 7779226429</x:t>
        </x:is>
      </x:c>
    </x:row>
    <x:row r="20" ht="18" customHeight="1">
      <x:c r="A20" s="31" t="inlineStr">
        <x:is>
          <x:t xml:space="preserve">КЛ-019</x:t>
        </x:is>
      </x:c>
      <x:c r="B20" s="31" t="inlineStr">
        <x:is>
          <x:t xml:space="preserve">ООО «МеталлЭнерго»</x:t>
        </x:is>
      </x:c>
      <x:c r="C20" s="31" t="inlineStr">
        <x:is>
          <x:t xml:space="preserve">Порты и терминалы</x:t>
        </x:is>
      </x:c>
      <x:c r="D20" s="31" t="inlineStr">
        <x:is>
          <x:t xml:space="preserve">Ленинградская обл.</x:t>
        </x:is>
      </x:c>
      <x:c r="E20" s="31" t="inlineStr">
        <x:is>
          <x:t xml:space="preserve">А: стратегический</x:t>
        </x:is>
      </x:c>
      <x:c r="F20" s="31" t="inlineStr">
        <x:is>
          <x:t xml:space="preserve">Высокий</x:t>
        </x:is>
      </x:c>
      <x:c r="G20" s="31" t="n">
        <x:v>6000000</x:v>
      </x:c>
      <x:c r="H20" s="31" t="inlineStr">
        <x:is>
          <x:t xml:space="preserve">СОТР-005</x:t>
        </x:is>
      </x:c>
      <x:c r="I20" s="31" t="inlineStr">
        <x:is>
          <x:t xml:space="preserve">Постоплата 20 дней с лимитом</x:t>
        </x:is>
      </x:c>
      <x:c r="J20" s="31" t="inlineStr">
        <x:is>
          <x:t xml:space="preserve">Нет</x:t>
        </x:is>
      </x:c>
      <x:c r="K20" s="31" t="inlineStr">
        <x:is>
          <x:t xml:space="preserve">ИНН 7849602467</x:t>
        </x:is>
      </x:c>
    </x:row>
    <x:row r="21" ht="18" customHeight="1">
      <x:c r="A21" s="31" t="inlineStr">
        <x:is>
          <x:t xml:space="preserve">КЛ-020</x:t>
        </x:is>
      </x:c>
      <x:c r="B21" s="31" t="inlineStr">
        <x:is>
          <x:t xml:space="preserve">ООО «ГазЭнерго»</x:t>
        </x:is>
      </x:c>
      <x:c r="C21" s="31" t="inlineStr">
        <x:is>
          <x:t xml:space="preserve">Энергетика</x:t>
        </x:is>
      </x:c>
      <x:c r="D21" s="31" t="inlineStr">
        <x:is>
          <x:t xml:space="preserve">Санкт-Петербург</x:t>
        </x:is>
      </x:c>
      <x:c r="E21" s="31" t="inlineStr">
        <x:is>
          <x:t xml:space="preserve">Б: регулярный</x:t>
        </x:is>
      </x:c>
      <x:c r="F21" s="31" t="inlineStr">
        <x:is>
          <x:t xml:space="preserve">Средний</x:t>
        </x:is>
      </x:c>
      <x:c r="G21" s="31" t="n">
        <x:v>1500000</x:v>
      </x:c>
      <x:c r="H21" s="31" t="inlineStr">
        <x:is>
          <x:t xml:space="preserve">СОТР-005</x:t>
        </x:is>
      </x:c>
      <x:c r="I21" s="31" t="inlineStr">
        <x:is>
          <x:t xml:space="preserve">100% предоплата</x:t>
        </x:is>
      </x:c>
      <x:c r="J21" s="31" t="inlineStr">
        <x:is>
          <x:t xml:space="preserve">Да</x:t>
        </x:is>
      </x:c>
      <x:c r="K21" s="31" t="inlineStr">
        <x:is>
          <x:t xml:space="preserve">ИНН 7871409263</x:t>
        </x:is>
      </x:c>
    </x:row>
    <x:row r="22" ht="18" customHeight="1">
      <x:c r="A22" s="31" t="inlineStr">
        <x:is>
          <x:t xml:space="preserve">КЛ-021</x:t>
        </x:is>
      </x:c>
      <x:c r="B22" s="31" t="inlineStr">
        <x:is>
          <x:t xml:space="preserve">ООО «ГазЭнерго»</x:t>
        </x:is>
      </x:c>
      <x:c r="C22" s="31" t="inlineStr">
        <x:is>
          <x:t xml:space="preserve">Пищевая промышленность</x:t>
        </x:is>
      </x:c>
      <x:c r="D22" s="31" t="inlineStr">
        <x:is>
          <x:t xml:space="preserve">ХМАО</x:t>
        </x:is>
      </x:c>
      <x:c r="E22" s="31" t="inlineStr">
        <x:is>
          <x:t xml:space="preserve">А: стратегический</x:t>
        </x:is>
      </x:c>
      <x:c r="F22" s="31" t="inlineStr">
        <x:is>
          <x:t xml:space="preserve">Низкий</x:t>
        </x:is>
      </x:c>
      <x:c r="G22" s="31" t="n">
        <x:v>24000000</x:v>
      </x:c>
      <x:c r="H22" s="31" t="inlineStr">
        <x:is>
          <x:t xml:space="preserve">СОТР-005</x:t>
        </x:is>
      </x:c>
      <x:c r="I22" s="31" t="inlineStr">
        <x:is>
          <x:t xml:space="preserve">50% аванс / 50% после приемочные испытания</x:t>
        </x:is>
      </x:c>
      <x:c r="J22" s="31" t="inlineStr">
        <x:is>
          <x:t xml:space="preserve">Нет</x:t>
        </x:is>
      </x:c>
      <x:c r="K22" s="31" t="inlineStr">
        <x:is>
          <x:t xml:space="preserve">ИНН 7870564941</x:t>
        </x:is>
      </x:c>
    </x:row>
    <x:row r="23" ht="18" customHeight="1">
      <x:c r="A23" s="31" t="inlineStr">
        <x:is>
          <x:t xml:space="preserve">КЛ-022</x:t>
        </x:is>
      </x:c>
      <x:c r="B23" s="31" t="inlineStr">
        <x:is>
          <x:t xml:space="preserve">ООО «ТрансКомплект»</x:t>
        </x:is>
      </x:c>
      <x:c r="C23" s="31" t="inlineStr">
        <x:is>
          <x:t xml:space="preserve">Энергетика</x:t>
        </x:is>
      </x:c>
      <x:c r="D23" s="31" t="inlineStr">
        <x:is>
          <x:t xml:space="preserve">Ленинградская обл.</x:t>
        </x:is>
      </x:c>
      <x:c r="E23" s="31" t="inlineStr">
        <x:is>
          <x:t xml:space="preserve">А: стратегический</x:t>
        </x:is>
      </x:c>
      <x:c r="F23" s="31" t="inlineStr">
        <x:is>
          <x:t xml:space="preserve">Низкий</x:t>
        </x:is>
      </x:c>
      <x:c r="G23" s="31" t="n">
        <x:v>3000000</x:v>
      </x:c>
      <x:c r="H23" s="31" t="inlineStr">
        <x:is>
          <x:t xml:space="preserve">СОТР-004</x:t>
        </x:is>
      </x:c>
      <x:c r="I23" s="31" t="inlineStr">
        <x:is>
          <x:t xml:space="preserve">30% аванс / 70% перед отгрузкой</x:t>
        </x:is>
      </x:c>
      <x:c r="J23" s="31" t="inlineStr">
        <x:is>
          <x:t xml:space="preserve">Да</x:t>
        </x:is>
      </x:c>
      <x:c r="K23" s="31" t="inlineStr">
        <x:is>
          <x:t xml:space="preserve">ИНН 7844296568</x:t>
        </x:is>
      </x:c>
    </x:row>
    <x:row r="24" ht="18" customHeight="1">
      <x:c r="A24" s="31" t="inlineStr">
        <x:is>
          <x:t xml:space="preserve">КЛ-023</x:t>
        </x:is>
      </x:c>
      <x:c r="B24" s="31" t="inlineStr">
        <x:is>
          <x:t xml:space="preserve">ООО «БалтикАвтоматика»</x:t>
        </x:is>
      </x:c>
      <x:c r="C24" s="31" t="inlineStr">
        <x:is>
          <x:t xml:space="preserve">Порты и терминалы</x:t>
        </x:is>
      </x:c>
      <x:c r="D24" s="31" t="inlineStr">
        <x:is>
          <x:t xml:space="preserve">Пермский край</x:t>
        </x:is>
      </x:c>
      <x:c r="E24" s="31" t="inlineStr">
        <x:is>
          <x:t xml:space="preserve">В: разовый</x:t>
        </x:is>
      </x:c>
      <x:c r="F24" s="31" t="inlineStr">
        <x:is>
          <x:t xml:space="preserve">Средний</x:t>
        </x:is>
      </x:c>
      <x:c r="G24" s="31" t="n">
        <x:v>20000000</x:v>
      </x:c>
      <x:c r="H24" s="31" t="inlineStr">
        <x:is>
          <x:t xml:space="preserve">СОТР-005</x:t>
        </x:is>
      </x:c>
      <x:c r="I24" s="31" t="inlineStr">
        <x:is>
          <x:t xml:space="preserve">Постоплата 20 дней с лимитом</x:t>
        </x:is>
      </x:c>
      <x:c r="J24" s="31" t="inlineStr">
        <x:is>
          <x:t xml:space="preserve">Да</x:t>
        </x:is>
      </x:c>
      <x:c r="K24" s="31" t="inlineStr">
        <x:is>
          <x:t xml:space="preserve">ИНН 7895044974</x:t>
        </x:is>
      </x:c>
    </x:row>
    <x:row r="25" ht="18" customHeight="1">
      <x:c r="A25" s="31" t="inlineStr">
        <x:is>
          <x:t xml:space="preserve">КЛ-024</x:t>
        </x:is>
      </x:c>
      <x:c r="B25" s="31" t="inlineStr">
        <x:is>
          <x:t xml:space="preserve">ООО «БалтикАвтоматика»</x:t>
        </x:is>
      </x:c>
      <x:c r="C25" s="31" t="inlineStr">
        <x:is>
          <x:t xml:space="preserve">Химия</x:t>
        </x:is>
      </x:c>
      <x:c r="D25" s="31" t="inlineStr">
        <x:is>
          <x:t xml:space="preserve">ХМАО</x:t>
        </x:is>
      </x:c>
      <x:c r="E25" s="31" t="inlineStr">
        <x:is>
          <x:t xml:space="preserve">В: разовый</x:t>
        </x:is>
      </x:c>
      <x:c r="F25" s="31" t="inlineStr">
        <x:is>
          <x:t xml:space="preserve">Низкий</x:t>
        </x:is>
      </x:c>
      <x:c r="G25" s="31" t="n">
        <x:v>5000000</x:v>
      </x:c>
      <x:c r="H25" s="31" t="inlineStr">
        <x:is>
          <x:t xml:space="preserve">СОТР-004</x:t>
        </x:is>
      </x:c>
      <x:c r="I25" s="31" t="inlineStr">
        <x:is>
          <x:t xml:space="preserve">50% аванс / 50% после приемочные испытания</x:t>
        </x:is>
      </x:c>
      <x:c r="J25" s="31" t="inlineStr">
        <x:is>
          <x:t xml:space="preserve">Да</x:t>
        </x:is>
      </x:c>
      <x:c r="K25" s="31" t="inlineStr">
        <x:is>
          <x:t xml:space="preserve">ИНН 7763381003</x:t>
        </x:is>
      </x:c>
    </x:row>
    <x:row r="26" ht="18" customHeight="1">
      <x:c r="A26" s="31" t="inlineStr">
        <x:is>
          <x:t xml:space="preserve">КЛ-025</x:t>
        </x:is>
      </x:c>
      <x:c r="B26" s="31" t="inlineStr">
        <x:is>
          <x:t xml:space="preserve">ООО «ГазЭнерго»</x:t>
        </x:is>
      </x:c>
      <x:c r="C26" s="31" t="inlineStr">
        <x:is>
          <x:t xml:space="preserve">Металлургия</x:t>
        </x:is>
      </x:c>
      <x:c r="D26" s="31" t="inlineStr">
        <x:is>
          <x:t xml:space="preserve">Краснодарский край</x:t>
        </x:is>
      </x:c>
      <x:c r="E26" s="31" t="inlineStr">
        <x:is>
          <x:t xml:space="preserve">Г: рискованный</x:t>
        </x:is>
      </x:c>
      <x:c r="F26" s="31" t="inlineStr">
        <x:is>
          <x:t xml:space="preserve">Средний</x:t>
        </x:is>
      </x:c>
      <x:c r="G26" s="31" t="n">
        <x:v>20000000</x:v>
      </x:c>
      <x:c r="H26" s="31" t="inlineStr">
        <x:is>
          <x:t xml:space="preserve">СОТР-004</x:t>
        </x:is>
      </x:c>
      <x:c r="I26" s="31" t="inlineStr">
        <x:is>
          <x:t xml:space="preserve">100% предоплата</x:t>
        </x:is>
      </x:c>
      <x:c r="J26" s="31" t="inlineStr">
        <x:is>
          <x:t xml:space="preserve">Да</x:t>
        </x:is>
      </x:c>
      <x:c r="K26" s="31" t="inlineStr">
        <x:is>
          <x:t xml:space="preserve">ИНН 7732791999</x:t>
        </x:is>
      </x:c>
    </x:row>
    <x:row r="27" ht="18" customHeight="1">
      <x:c r="A27" s="31" t="inlineStr">
        <x:is>
          <x:t xml:space="preserve">КЛ-026</x:t>
        </x:is>
      </x:c>
      <x:c r="B27" s="31" t="inlineStr">
        <x:is>
          <x:t xml:space="preserve">ООО «ТрансЭнерго»</x:t>
        </x:is>
      </x:c>
      <x:c r="C27" s="31" t="inlineStr">
        <x:is>
          <x:t xml:space="preserve">Пищевая промышленность</x:t>
        </x:is>
      </x:c>
      <x:c r="D27" s="31" t="inlineStr">
        <x:is>
          <x:t xml:space="preserve">Свердловская обл.</x:t>
        </x:is>
      </x:c>
      <x:c r="E27" s="31" t="inlineStr">
        <x:is>
          <x:t xml:space="preserve">В: разовый</x:t>
        </x:is>
      </x:c>
      <x:c r="F27" s="31" t="inlineStr">
        <x:is>
          <x:t xml:space="preserve">Низкий</x:t>
        </x:is>
      </x:c>
      <x:c r="G27" s="31" t="n">
        <x:v>1500000</x:v>
      </x:c>
      <x:c r="H27" s="31" t="inlineStr">
        <x:is>
          <x:t xml:space="preserve">СОТР-004</x:t>
        </x:is>
      </x:c>
      <x:c r="I27" s="31" t="inlineStr">
        <x:is>
          <x:t xml:space="preserve">50% аванс / 50% после приемочные испытания</x:t>
        </x:is>
      </x:c>
      <x:c r="J27" s="31" t="inlineStr">
        <x:is>
          <x:t xml:space="preserve">Нет</x:t>
        </x:is>
      </x:c>
      <x:c r="K27" s="31" t="inlineStr">
        <x:is>
          <x:t xml:space="preserve">ИНН 7851552746</x:t>
        </x:is>
      </x:c>
    </x:row>
    <x:row r="28" ht="18" customHeight="1">
      <x:c r="A28" s="31" t="inlineStr">
        <x:is>
          <x:t xml:space="preserve">КЛ-027</x:t>
        </x:is>
      </x:c>
      <x:c r="B28" s="31" t="inlineStr">
        <x:is>
          <x:t xml:space="preserve">ООО «КамаЭнерго»</x:t>
        </x:is>
      </x:c>
      <x:c r="C28" s="31" t="inlineStr">
        <x:is>
          <x:t xml:space="preserve">Строительство</x:t>
        </x:is>
      </x:c>
      <x:c r="D28" s="31" t="inlineStr">
        <x:is>
          <x:t xml:space="preserve">Татарстан</x:t>
        </x:is>
      </x:c>
      <x:c r="E28" s="31" t="inlineStr">
        <x:is>
          <x:t xml:space="preserve">Б: регулярный</x:t>
        </x:is>
      </x:c>
      <x:c r="F28" s="31" t="inlineStr">
        <x:is>
          <x:t xml:space="preserve">Низкий</x:t>
        </x:is>
      </x:c>
      <x:c r="G28" s="31" t="n">
        <x:v>3000000</x:v>
      </x:c>
      <x:c r="H28" s="31" t="inlineStr">
        <x:is>
          <x:t xml:space="preserve">СОТР-003</x:t>
        </x:is>
      </x:c>
      <x:c r="I28" s="31" t="inlineStr">
        <x:is>
          <x:t xml:space="preserve">20% аванс / 40% по готовности / 40% отгрузка</x:t>
        </x:is>
      </x:c>
      <x:c r="J28" s="31" t="inlineStr">
        <x:is>
          <x:t xml:space="preserve">Да</x:t>
        </x:is>
      </x:c>
      <x:c r="K28" s="31" t="inlineStr">
        <x:is>
          <x:t xml:space="preserve">ИНН 7738839383</x:t>
        </x:is>
      </x:c>
    </x:row>
    <x:row r="29" ht="18" customHeight="1">
      <x:c r="A29" s="31" t="inlineStr">
        <x:is>
          <x:t xml:space="preserve">КЛ-028</x:t>
        </x:is>
      </x:c>
      <x:c r="B29" s="31" t="inlineStr">
        <x:is>
          <x:t xml:space="preserve">ООО «БалтикРесурс»</x:t>
        </x:is>
      </x:c>
      <x:c r="C29" s="31" t="inlineStr">
        <x:is>
          <x:t xml:space="preserve">Водоканал</x:t>
        </x:is>
      </x:c>
      <x:c r="D29" s="31" t="inlineStr">
        <x:is>
          <x:t xml:space="preserve">Беларусь</x:t>
        </x:is>
      </x:c>
      <x:c r="E29" s="31" t="inlineStr">
        <x:is>
          <x:t xml:space="preserve">Б: регулярный</x:t>
        </x:is>
      </x:c>
      <x:c r="F29" s="31" t="inlineStr">
        <x:is>
          <x:t xml:space="preserve">Высокий</x:t>
        </x:is>
      </x:c>
      <x:c r="G29" s="31" t="n">
        <x:v>20000000</x:v>
      </x:c>
      <x:c r="H29" s="31" t="inlineStr">
        <x:is>
          <x:t xml:space="preserve">СОТР-003</x:t>
        </x:is>
      </x:c>
      <x:c r="I29" s="31" t="inlineStr">
        <x:is>
          <x:t xml:space="preserve">30% аванс / 70% перед отгрузкой</x:t>
        </x:is>
      </x:c>
      <x:c r="J29" s="31" t="inlineStr">
        <x:is>
          <x:t xml:space="preserve">Да</x:t>
        </x:is>
      </x:c>
      <x:c r="K29" s="31" t="inlineStr">
        <x:is>
          <x:t xml:space="preserve">ИНН 7763869278</x:t>
        </x:is>
      </x:c>
    </x:row>
    <x:row r="30" ht="18" customHeight="1">
      <x:c r="A30" s="31" t="inlineStr">
        <x:is>
          <x:t xml:space="preserve">КЛ-029</x:t>
        </x:is>
      </x:c>
      <x:c r="B30" s="31" t="inlineStr">
        <x:is>
          <x:t xml:space="preserve">ООО «АкваПроект»</x:t>
        </x:is>
      </x:c>
      <x:c r="C30" s="31" t="inlineStr">
        <x:is>
          <x:t xml:space="preserve">Нефтегаз</x:t>
        </x:is>
      </x:c>
      <x:c r="D30" s="31" t="inlineStr">
        <x:is>
          <x:t xml:space="preserve">Москва</x:t>
        </x:is>
      </x:c>
      <x:c r="E30" s="31" t="inlineStr">
        <x:is>
          <x:t xml:space="preserve">Б: регулярный</x:t>
        </x:is>
      </x:c>
      <x:c r="F30" s="31" t="inlineStr">
        <x:is>
          <x:t xml:space="preserve">Средний</x:t>
        </x:is>
      </x:c>
      <x:c r="G30" s="31" t="n">
        <x:v>3000000</x:v>
      </x:c>
      <x:c r="H30" s="31" t="inlineStr">
        <x:is>
          <x:t xml:space="preserve">СОТР-005</x:t>
        </x:is>
      </x:c>
      <x:c r="I30" s="31" t="inlineStr">
        <x:is>
          <x:t xml:space="preserve">30% аванс / 70% перед отгрузкой</x:t>
        </x:is>
      </x:c>
      <x:c r="J30" s="31" t="inlineStr">
        <x:is>
          <x:t xml:space="preserve">Нет</x:t>
        </x:is>
      </x:c>
      <x:c r="K30" s="31" t="inlineStr">
        <x:is>
          <x:t xml:space="preserve">ИНН 7827841302</x:t>
        </x:is>
      </x:c>
    </x:row>
    <x:row r="31" ht="18" customHeight="1">
      <x:c r="A31" s="31" t="inlineStr">
        <x:is>
          <x:t xml:space="preserve">КЛ-030</x:t>
        </x:is>
      </x:c>
      <x:c r="B31" s="31" t="inlineStr">
        <x:is>
          <x:t xml:space="preserve">ООО «ТрансПроект»</x:t>
        </x:is>
      </x:c>
      <x:c r="C31" s="31" t="inlineStr">
        <x:is>
          <x:t xml:space="preserve">Строительство</x:t>
        </x:is>
      </x:c>
      <x:c r="D31" s="31" t="inlineStr">
        <x:is>
          <x:t xml:space="preserve">Новосибирская обл.</x:t>
        </x:is>
      </x:c>
      <x:c r="E31" s="31" t="inlineStr">
        <x:is>
          <x:t xml:space="preserve">А: стратегический</x:t>
        </x:is>
      </x:c>
      <x:c r="F31" s="31" t="inlineStr">
        <x:is>
          <x:t xml:space="preserve">Низкий</x:t>
        </x:is>
      </x:c>
      <x:c r="G31" s="31" t="n">
        <x:v>24000000</x:v>
      </x:c>
      <x:c r="H31" s="31" t="inlineStr">
        <x:is>
          <x:t xml:space="preserve">СОТР-005</x:t>
        </x:is>
      </x:c>
      <x:c r="I31" s="31" t="inlineStr">
        <x:is>
          <x:t xml:space="preserve">30% аванс / 70% перед отгрузкой</x:t>
        </x:is>
      </x:c>
      <x:c r="J31" s="31" t="inlineStr">
        <x:is>
          <x:t xml:space="preserve">Нет</x:t>
        </x:is>
      </x:c>
      <x:c r="K31" s="31" t="inlineStr">
        <x:is>
          <x:t xml:space="preserve">ИНН 7876872947</x:t>
        </x:is>
      </x:c>
    </x:row>
    <x:row r="32" ht="18" customHeight="1">
      <x:c r="A32" s="31" t="inlineStr">
        <x:is>
          <x:t xml:space="preserve">КЛ-031</x:t>
        </x:is>
      </x:c>
      <x:c r="B32" s="31" t="inlineStr">
        <x:is>
          <x:t xml:space="preserve">ООО «СтройКомплект»</x:t>
        </x:is>
      </x:c>
      <x:c r="C32" s="31" t="inlineStr">
        <x:is>
          <x:t xml:space="preserve">Порты и терминалы</x:t>
        </x:is>
      </x:c>
      <x:c r="D32" s="31" t="inlineStr">
        <x:is>
          <x:t xml:space="preserve">Свердловская обл.</x:t>
        </x:is>
      </x:c>
      <x:c r="E32" s="31" t="inlineStr">
        <x:is>
          <x:t xml:space="preserve">Г: рискованный</x:t>
        </x:is>
      </x:c>
      <x:c r="F32" s="31" t="inlineStr">
        <x:is>
          <x:t xml:space="preserve">Стоп-лист</x:t>
        </x:is>
      </x:c>
      <x:c r="G32" s="31" t="n">
        <x:v>1500000</x:v>
      </x:c>
      <x:c r="H32" s="31" t="inlineStr">
        <x:is>
          <x:t xml:space="preserve">СОТР-004</x:t>
        </x:is>
      </x:c>
      <x:c r="I32" s="31" t="inlineStr">
        <x:is>
          <x:t xml:space="preserve">Постоплата 20 дней с лимитом</x:t>
        </x:is>
      </x:c>
      <x:c r="J32" s="31" t="inlineStr">
        <x:is>
          <x:t xml:space="preserve">Нет</x:t>
        </x:is>
      </x:c>
      <x:c r="K32" s="31" t="inlineStr">
        <x:is>
          <x:t xml:space="preserve">ИНН 7831605542</x:t>
        </x:is>
      </x:c>
    </x:row>
    <x:row r="33" ht="18" customHeight="1">
      <x:c r="A33" s="31" t="inlineStr">
        <x:is>
          <x:t xml:space="preserve">КЛ-032</x:t>
        </x:is>
      </x:c>
      <x:c r="B33" s="31" t="inlineStr">
        <x:is>
          <x:t xml:space="preserve">ООО «ТрансЭнерго»</x:t>
        </x:is>
      </x:c>
      <x:c r="C33" s="31" t="inlineStr">
        <x:is>
          <x:t xml:space="preserve">Химия</x:t>
        </x:is>
      </x:c>
      <x:c r="D33" s="31" t="inlineStr">
        <x:is>
          <x:t xml:space="preserve">Пермский край</x:t>
        </x:is>
      </x:c>
      <x:c r="E33" s="31" t="inlineStr">
        <x:is>
          <x:t xml:space="preserve">В: разовый</x:t>
        </x:is>
      </x:c>
      <x:c r="F33" s="31" t="inlineStr">
        <x:is>
          <x:t xml:space="preserve">Низкий</x:t>
        </x:is>
      </x:c>
      <x:c r="G33" s="31" t="n">
        <x:v>1500000</x:v>
      </x:c>
      <x:c r="H33" s="31" t="inlineStr">
        <x:is>
          <x:t xml:space="preserve">СОТР-005</x:t>
        </x:is>
      </x:c>
      <x:c r="I33" s="31" t="inlineStr">
        <x:is>
          <x:t xml:space="preserve">20% аванс / 40% по готовности / 40% отгрузка</x:t>
        </x:is>
      </x:c>
      <x:c r="J33" s="31" t="inlineStr">
        <x:is>
          <x:t xml:space="preserve">Да</x:t>
        </x:is>
      </x:c>
      <x:c r="K33" s="31" t="inlineStr">
        <x:is>
          <x:t xml:space="preserve">ИНН 7787291303</x:t>
        </x:is>
      </x:c>
    </x:row>
    <x:row r="34" ht="18" customHeight="1">
      <x:c r="A34" s="31" t="inlineStr">
        <x:is>
          <x:t xml:space="preserve">КЛ-033</x:t>
        </x:is>
      </x:c>
      <x:c r="B34" s="31" t="inlineStr">
        <x:is>
          <x:t xml:space="preserve">ООО «ХимТехнологии»</x:t>
        </x:is>
      </x:c>
      <x:c r="C34" s="31" t="inlineStr">
        <x:is>
          <x:t xml:space="preserve">Строительство</x:t>
        </x:is>
      </x:c>
      <x:c r="D34" s="31" t="inlineStr">
        <x:is>
          <x:t xml:space="preserve">Башкортостан</x:t>
        </x:is>
      </x:c>
      <x:c r="E34" s="31" t="inlineStr">
        <x:is>
          <x:t xml:space="preserve">Б: регулярный</x:t>
        </x:is>
      </x:c>
      <x:c r="F34" s="31" t="inlineStr">
        <x:is>
          <x:t xml:space="preserve">Средний</x:t>
        </x:is>
      </x:c>
      <x:c r="G34" s="31" t="n">
        <x:v>12000000</x:v>
      </x:c>
      <x:c r="H34" s="31" t="inlineStr">
        <x:is>
          <x:t xml:space="preserve">СОТР-005</x:t>
        </x:is>
      </x:c>
      <x:c r="I34" s="31" t="inlineStr">
        <x:is>
          <x:t xml:space="preserve">30% аванс / 70% перед отгрузкой</x:t>
        </x:is>
      </x:c>
      <x:c r="J34" s="31" t="inlineStr">
        <x:is>
          <x:t xml:space="preserve">Нет</x:t>
        </x:is>
      </x:c>
      <x:c r="K34" s="31" t="inlineStr">
        <x:is>
          <x:t xml:space="preserve">ИНН 7874729110</x:t>
        </x:is>
      </x:c>
    </x:row>
    <x:row r="35" ht="18" customHeight="1">
      <x:c r="A35" s="31" t="inlineStr">
        <x:is>
          <x:t xml:space="preserve">КЛ-034</x:t>
        </x:is>
      </x:c>
      <x:c r="B35" s="31" t="inlineStr">
        <x:is>
          <x:t xml:space="preserve">ООО «НефтеИнжиниринг»</x:t>
        </x:is>
      </x:c>
      <x:c r="C35" s="31" t="inlineStr">
        <x:is>
          <x:t xml:space="preserve">Энергетика</x:t>
        </x:is>
      </x:c>
      <x:c r="D35" s="31" t="inlineStr">
        <x:is>
          <x:t xml:space="preserve">ХМАО</x:t>
        </x:is>
      </x:c>
      <x:c r="E35" s="31" t="inlineStr">
        <x:is>
          <x:t xml:space="preserve">В: разовый</x:t>
        </x:is>
      </x:c>
      <x:c r="F35" s="31" t="inlineStr">
        <x:is>
          <x:t xml:space="preserve">Низкий</x:t>
        </x:is>
      </x:c>
      <x:c r="G35" s="31" t="n">
        <x:v>8000000</x:v>
      </x:c>
      <x:c r="H35" s="31" t="inlineStr">
        <x:is>
          <x:t xml:space="preserve">СОТР-004</x:t>
        </x:is>
      </x:c>
      <x:c r="I35" s="31" t="inlineStr">
        <x:is>
          <x:t xml:space="preserve">Постоплата 20 дней с лимитом</x:t>
        </x:is>
      </x:c>
      <x:c r="J35" s="31" t="inlineStr">
        <x:is>
          <x:t xml:space="preserve">Да</x:t>
        </x:is>
      </x:c>
      <x:c r="K35" s="31" t="inlineStr">
        <x:is>
          <x:t xml:space="preserve">ИНН 7725524410</x:t>
        </x:is>
      </x:c>
    </x:row>
    <x:row r="36" ht="18" customHeight="1">
      <x:c r="A36" s="31" t="inlineStr">
        <x:is>
          <x:t xml:space="preserve">КЛ-035</x:t>
        </x:is>
      </x:c>
      <x:c r="B36" s="31" t="inlineStr">
        <x:is>
          <x:t xml:space="preserve">ООО «МеталлАвтоматика»</x:t>
        </x:is>
      </x:c>
      <x:c r="C36" s="31" t="inlineStr">
        <x:is>
          <x:t xml:space="preserve">Металлургия</x:t>
        </x:is>
      </x:c>
      <x:c r="D36" s="31" t="inlineStr">
        <x:is>
          <x:t xml:space="preserve">Свердловская обл.</x:t>
        </x:is>
      </x:c>
      <x:c r="E36" s="31" t="inlineStr">
        <x:is>
          <x:t xml:space="preserve">Б: регулярный</x:t>
        </x:is>
      </x:c>
      <x:c r="F36" s="31" t="inlineStr">
        <x:is>
          <x:t xml:space="preserve">Средний</x:t>
        </x:is>
      </x:c>
      <x:c r="G36" s="31" t="n">
        <x:v>3000000</x:v>
      </x:c>
      <x:c r="H36" s="31" t="inlineStr">
        <x:is>
          <x:t xml:space="preserve">СОТР-004</x:t>
        </x:is>
      </x:c>
      <x:c r="I36" s="31" t="inlineStr">
        <x:is>
          <x:t xml:space="preserve">30% аванс / 70% перед отгрузкой</x:t>
        </x:is>
      </x:c>
      <x:c r="J36" s="31" t="inlineStr">
        <x:is>
          <x:t xml:space="preserve">Да</x:t>
        </x:is>
      </x:c>
      <x:c r="K36" s="31" t="inlineStr">
        <x:is>
          <x:t xml:space="preserve">ИНН 7722914821</x:t>
        </x:is>
      </x:c>
    </x:row>
    <x:row r="37" ht="18" customHeight="1">
      <x:c r="A37" s="31" t="inlineStr">
        <x:is>
          <x:t xml:space="preserve">КЛ-036</x:t>
        </x:is>
      </x:c>
      <x:c r="B37" s="31" t="inlineStr">
        <x:is>
          <x:t xml:space="preserve">ООО «ПромАвтоматика»</x:t>
        </x:is>
      </x:c>
      <x:c r="C37" s="31" t="inlineStr">
        <x:is>
          <x:t xml:space="preserve">Химия</x:t>
        </x:is>
      </x:c>
      <x:c r="D37" s="31" t="inlineStr">
        <x:is>
          <x:t xml:space="preserve">Казахстан</x:t>
        </x:is>
      </x:c>
      <x:c r="E37" s="31" t="inlineStr">
        <x:is>
          <x:t xml:space="preserve">В: разовый</x:t>
        </x:is>
      </x:c>
      <x:c r="F37" s="31" t="inlineStr">
        <x:is>
          <x:t xml:space="preserve">Средний</x:t>
        </x:is>
      </x:c>
      <x:c r="G37" s="31" t="n">
        <x:v>3000000</x:v>
      </x:c>
      <x:c r="H37" s="31" t="inlineStr">
        <x:is>
          <x:t xml:space="preserve">СОТР-005</x:t>
        </x:is>
      </x:c>
      <x:c r="I37" s="31" t="inlineStr">
        <x:is>
          <x:t xml:space="preserve">20% аванс / 40% по готовности / 40% отгрузка</x:t>
        </x:is>
      </x:c>
      <x:c r="J37" s="31" t="inlineStr">
        <x:is>
          <x:t xml:space="preserve">Да</x:t>
        </x:is>
      </x:c>
      <x:c r="K37" s="31" t="inlineStr">
        <x:is>
          <x:t xml:space="preserve">ИНН 7879855317</x:t>
        </x:is>
      </x:c>
    </x:row>
    <x:row r="38" ht="18" customHeight="1">
      <x:c r="A38" s="31" t="inlineStr">
        <x:is>
          <x:t xml:space="preserve">КЛ-037</x:t>
        </x:is>
      </x:c>
      <x:c r="B38" s="31" t="inlineStr">
        <x:is>
          <x:t xml:space="preserve">ООО «УралАвтоматика»</x:t>
        </x:is>
      </x:c>
      <x:c r="C38" s="31" t="inlineStr">
        <x:is>
          <x:t xml:space="preserve">Металлургия</x:t>
        </x:is>
      </x:c>
      <x:c r="D38" s="31" t="inlineStr">
        <x:is>
          <x:t xml:space="preserve">Свердловская обл.</x:t>
        </x:is>
      </x:c>
      <x:c r="E38" s="31" t="inlineStr">
        <x:is>
          <x:t xml:space="preserve">Г: рискованный</x:t>
        </x:is>
      </x:c>
      <x:c r="F38" s="31" t="inlineStr">
        <x:is>
          <x:t xml:space="preserve">Высокий</x:t>
        </x:is>
      </x:c>
      <x:c r="G38" s="31" t="n">
        <x:v>8000000</x:v>
      </x:c>
      <x:c r="H38" s="31" t="inlineStr">
        <x:is>
          <x:t xml:space="preserve">СОТР-005</x:t>
        </x:is>
      </x:c>
      <x:c r="I38" s="31" t="inlineStr">
        <x:is>
          <x:t xml:space="preserve">30% аванс / 70% перед отгрузкой</x:t>
        </x:is>
      </x:c>
      <x:c r="J38" s="31" t="inlineStr">
        <x:is>
          <x:t xml:space="preserve">Нет</x:t>
        </x:is>
      </x:c>
      <x:c r="K38" s="31" t="inlineStr">
        <x:is>
          <x:t xml:space="preserve">ИНН 7861171357</x:t>
        </x:is>
      </x:c>
    </x:row>
    <x:row r="39" ht="18" customHeight="1">
      <x:c r="A39" s="31" t="inlineStr">
        <x:is>
          <x:t xml:space="preserve">КЛ-038</x:t>
        </x:is>
      </x:c>
      <x:c r="B39" s="31" t="inlineStr">
        <x:is>
          <x:t xml:space="preserve">ООО «ЭнергоПроект»</x:t>
        </x:is>
      </x:c>
      <x:c r="C39" s="31" t="inlineStr">
        <x:is>
          <x:t xml:space="preserve">Химия</x:t>
        </x:is>
      </x:c>
      <x:c r="D39" s="31" t="inlineStr">
        <x:is>
          <x:t xml:space="preserve">Новосибирская обл.</x:t>
        </x:is>
      </x:c>
      <x:c r="E39" s="31" t="inlineStr">
        <x:is>
          <x:t xml:space="preserve">Б: регулярный</x:t>
        </x:is>
      </x:c>
      <x:c r="F39" s="31" t="inlineStr">
        <x:is>
          <x:t xml:space="preserve">Средний</x:t>
        </x:is>
      </x:c>
      <x:c r="G39" s="31" t="n">
        <x:v>3000000</x:v>
      </x:c>
      <x:c r="H39" s="31" t="inlineStr">
        <x:is>
          <x:t xml:space="preserve">СОТР-003</x:t>
        </x:is>
      </x:c>
      <x:c r="I39" s="31" t="inlineStr">
        <x:is>
          <x:t xml:space="preserve">30% аванс / 70% перед отгрузкой</x:t>
        </x:is>
      </x:c>
      <x:c r="J39" s="31" t="inlineStr">
        <x:is>
          <x:t xml:space="preserve">Да</x:t>
        </x:is>
      </x:c>
      <x:c r="K39" s="31" t="inlineStr">
        <x:is>
          <x:t xml:space="preserve">ИНН 7849321376</x:t>
        </x:is>
      </x:c>
    </x:row>
    <x:row r="40" ht="18" customHeight="1">
      <x:c r="A40" s="31" t="inlineStr">
        <x:is>
          <x:t xml:space="preserve">КЛ-039</x:t>
        </x:is>
      </x:c>
      <x:c r="B40" s="31" t="inlineStr">
        <x:is>
          <x:t xml:space="preserve">ООО «ГазЭнерго»</x:t>
        </x:is>
      </x:c>
      <x:c r="C40" s="31" t="inlineStr">
        <x:is>
          <x:t xml:space="preserve">Водоканал</x:t>
        </x:is>
      </x:c>
      <x:c r="D40" s="31" t="inlineStr">
        <x:is>
          <x:t xml:space="preserve">Новосибирская обл.</x:t>
        </x:is>
      </x:c>
      <x:c r="E40" s="31" t="inlineStr">
        <x:is>
          <x:t xml:space="preserve">Б: регулярный</x:t>
        </x:is>
      </x:c>
      <x:c r="F40" s="31" t="inlineStr">
        <x:is>
          <x:t xml:space="preserve">Высокий</x:t>
        </x:is>
      </x:c>
      <x:c r="G40" s="31" t="n">
        <x:v>8000000</x:v>
      </x:c>
      <x:c r="H40" s="31" t="inlineStr">
        <x:is>
          <x:t xml:space="preserve">СОТР-005</x:t>
        </x:is>
      </x:c>
      <x:c r="I40" s="31" t="inlineStr">
        <x:is>
          <x:t xml:space="preserve">20% аванс / 40% по готовности / 40% отгрузка</x:t>
        </x:is>
      </x:c>
      <x:c r="J40" s="31" t="inlineStr">
        <x:is>
          <x:t xml:space="preserve">Нет</x:t>
        </x:is>
      </x:c>
      <x:c r="K40" s="31" t="inlineStr">
        <x:is>
          <x:t xml:space="preserve">ИНН 7849448691</x:t>
        </x:is>
      </x:c>
    </x:row>
    <x:row r="41" ht="18" customHeight="1">
      <x:c r="A41" s="31" t="inlineStr">
        <x:is>
          <x:t xml:space="preserve">КЛ-040</x:t>
        </x:is>
      </x:c>
      <x:c r="B41" s="31" t="inlineStr">
        <x:is>
          <x:t xml:space="preserve">ООО «НордТехнологии»</x:t>
        </x:is>
      </x:c>
      <x:c r="C41" s="31" t="inlineStr">
        <x:is>
          <x:t xml:space="preserve">Водоканал</x:t>
        </x:is>
      </x:c>
      <x:c r="D41" s="31" t="inlineStr">
        <x:is>
          <x:t xml:space="preserve">Санкт-Петербург</x:t>
        </x:is>
      </x:c>
      <x:c r="E41" s="31" t="inlineStr">
        <x:is>
          <x:t xml:space="preserve">Б: регулярный</x:t>
        </x:is>
      </x:c>
      <x:c r="F41" s="31" t="inlineStr">
        <x:is>
          <x:t xml:space="preserve">Средний</x:t>
        </x:is>
      </x:c>
      <x:c r="G41" s="31" t="n">
        <x:v>20000000</x:v>
      </x:c>
      <x:c r="H41" s="31" t="inlineStr">
        <x:is>
          <x:t xml:space="preserve">СОТР-004</x:t>
        </x:is>
      </x:c>
      <x:c r="I41" s="31" t="inlineStr">
        <x:is>
          <x:t xml:space="preserve">100% предоплата</x:t>
        </x:is>
      </x:c>
      <x:c r="J41" s="31" t="inlineStr">
        <x:is>
          <x:t xml:space="preserve">Да</x:t>
        </x:is>
      </x:c>
      <x:c r="K41" s="31" t="inlineStr">
        <x:is>
          <x:t xml:space="preserve">ИНН 7738453779</x:t>
        </x:is>
      </x:c>
    </x:row>
    <x:row r="42" ht="18" customHeight="1">
      <x:c r="A42" s="31" t="inlineStr">
        <x:is>
          <x:t xml:space="preserve">КЛ-041</x:t>
        </x:is>
      </x:c>
      <x:c r="B42" s="31" t="inlineStr">
        <x:is>
          <x:t xml:space="preserve">ООО «АкваАвтоматика»</x:t>
        </x:is>
      </x:c>
      <x:c r="C42" s="31" t="inlineStr">
        <x:is>
          <x:t xml:space="preserve">Химия</x:t>
        </x:is>
      </x:c>
      <x:c r="D42" s="31" t="inlineStr">
        <x:is>
          <x:t xml:space="preserve">Москва</x:t>
        </x:is>
      </x:c>
      <x:c r="E42" s="31" t="inlineStr">
        <x:is>
          <x:t xml:space="preserve">В: разовый</x:t>
        </x:is>
      </x:c>
      <x:c r="F42" s="31" t="inlineStr">
        <x:is>
          <x:t xml:space="preserve">Низкий</x:t>
        </x:is>
      </x:c>
      <x:c r="G42" s="31" t="n">
        <x:v>1500000</x:v>
      </x:c>
      <x:c r="H42" s="31" t="inlineStr">
        <x:is>
          <x:t xml:space="preserve">СОТР-005</x:t>
        </x:is>
      </x:c>
      <x:c r="I42" s="31" t="inlineStr">
        <x:is>
          <x:t xml:space="preserve">50% аванс / 50% после приемочные испытания</x:t>
        </x:is>
      </x:c>
      <x:c r="J42" s="31" t="inlineStr">
        <x:is>
          <x:t xml:space="preserve">Да</x:t>
        </x:is>
      </x:c>
      <x:c r="K42" s="31" t="inlineStr">
        <x:is>
          <x:t xml:space="preserve">ИНН 7821774614</x:t>
        </x:is>
      </x:c>
    </x:row>
    <x:row r="43" ht="18" customHeight="1">
      <x:c r="A43" s="31" t="inlineStr">
        <x:is>
          <x:t xml:space="preserve">КЛ-042</x:t>
        </x:is>
      </x:c>
      <x:c r="B43" s="31" t="inlineStr">
        <x:is>
          <x:t xml:space="preserve">ООО «МеталлСервис»</x:t>
        </x:is>
      </x:c>
      <x:c r="C43" s="31" t="inlineStr">
        <x:is>
          <x:t xml:space="preserve">Металлургия</x:t>
        </x:is>
      </x:c>
      <x:c r="D43" s="31" t="inlineStr">
        <x:is>
          <x:t xml:space="preserve">Башкортостан</x:t>
        </x:is>
      </x:c>
      <x:c r="E43" s="31" t="inlineStr">
        <x:is>
          <x:t xml:space="preserve">В: разовый</x:t>
        </x:is>
      </x:c>
      <x:c r="F43" s="31" t="inlineStr">
        <x:is>
          <x:t xml:space="preserve">Средний</x:t>
        </x:is>
      </x:c>
      <x:c r="G43" s="31" t="n">
        <x:v>12000000</x:v>
      </x:c>
      <x:c r="H43" s="31" t="inlineStr">
        <x:is>
          <x:t xml:space="preserve">СОТР-003</x:t>
        </x:is>
      </x:c>
      <x:c r="I43" s="31" t="inlineStr">
        <x:is>
          <x:t xml:space="preserve">50% аванс / 50% после приемочные испытания</x:t>
        </x:is>
      </x:c>
      <x:c r="J43" s="31" t="inlineStr">
        <x:is>
          <x:t xml:space="preserve">Да</x:t>
        </x:is>
      </x:c>
      <x:c r="K43" s="31" t="inlineStr">
        <x:is>
          <x:t xml:space="preserve">ИНН 7865849674</x:t>
        </x:is>
      </x:c>
    </x:row>
    <x:row r="44" ht="18" customHeight="1">
      <x:c r="A44" s="31" t="inlineStr">
        <x:is>
          <x:t xml:space="preserve">КЛ-043</x:t>
        </x:is>
      </x:c>
      <x:c r="B44" s="31" t="inlineStr">
        <x:is>
          <x:t xml:space="preserve">ООО «ВекторЭнерго»</x:t>
        </x:is>
      </x:c>
      <x:c r="C44" s="31" t="inlineStr">
        <x:is>
          <x:t xml:space="preserve">Водоканал</x:t>
        </x:is>
      </x:c>
      <x:c r="D44" s="31" t="inlineStr">
        <x:is>
          <x:t xml:space="preserve">ХМАО</x:t>
        </x:is>
      </x:c>
      <x:c r="E44" s="31" t="inlineStr">
        <x:is>
          <x:t xml:space="preserve">В: разовый</x:t>
        </x:is>
      </x:c>
      <x:c r="F44" s="31" t="inlineStr">
        <x:is>
          <x:t xml:space="preserve">Средний</x:t>
        </x:is>
      </x:c>
      <x:c r="G44" s="31" t="n">
        <x:v>8000000</x:v>
      </x:c>
      <x:c r="H44" s="31" t="inlineStr">
        <x:is>
          <x:t xml:space="preserve">СОТР-004</x:t>
        </x:is>
      </x:c>
      <x:c r="I44" s="31" t="inlineStr">
        <x:is>
          <x:t xml:space="preserve">100% предоплата</x:t>
        </x:is>
      </x:c>
      <x:c r="J44" s="31" t="inlineStr">
        <x:is>
          <x:t xml:space="preserve">Да</x:t>
        </x:is>
      </x:c>
      <x:c r="K44" s="31" t="inlineStr">
        <x:is>
          <x:t xml:space="preserve">ИНН 7837531915</x:t>
        </x:is>
      </x:c>
    </x:row>
    <x:row r="45" ht="18" customHeight="1">
      <x:c r="A45" s="31" t="inlineStr">
        <x:is>
          <x:t xml:space="preserve">КЛ-044</x:t>
        </x:is>
      </x:c>
      <x:c r="B45" s="31" t="inlineStr">
        <x:is>
          <x:t xml:space="preserve">ООО «УралПроект»</x:t>
        </x:is>
      </x:c>
      <x:c r="C45" s="31" t="inlineStr">
        <x:is>
          <x:t xml:space="preserve">Энергетика</x:t>
        </x:is>
      </x:c>
      <x:c r="D45" s="31" t="inlineStr">
        <x:is>
          <x:t xml:space="preserve">Ленинградская обл.</x:t>
        </x:is>
      </x:c>
      <x:c r="E45" s="31" t="inlineStr">
        <x:is>
          <x:t xml:space="preserve">Б: регулярный</x:t>
        </x:is>
      </x:c>
      <x:c r="F45" s="31" t="inlineStr">
        <x:is>
          <x:t xml:space="preserve">Средний</x:t>
        </x:is>
      </x:c>
      <x:c r="G45" s="31" t="n">
        <x:v>20000000</x:v>
      </x:c>
      <x:c r="H45" s="31" t="inlineStr">
        <x:is>
          <x:t xml:space="preserve">СОТР-005</x:t>
        </x:is>
      </x:c>
      <x:c r="I45" s="31" t="inlineStr">
        <x:is>
          <x:t xml:space="preserve">100% предоплата</x:t>
        </x:is>
      </x:c>
      <x:c r="J45" s="31" t="inlineStr">
        <x:is>
          <x:t xml:space="preserve">Да</x:t>
        </x:is>
      </x:c>
      <x:c r="K45" s="31" t="inlineStr">
        <x:is>
          <x:t xml:space="preserve">ИНН 7806102708</x:t>
        </x:is>
      </x:c>
    </x:row>
    <x:row r="46" ht="18" customHeight="1">
      <x:c r="A46" s="31" t="inlineStr">
        <x:is>
          <x:t xml:space="preserve">КЛ-045</x:t>
        </x:is>
      </x:c>
      <x:c r="B46" s="31" t="inlineStr">
        <x:is>
          <x:t xml:space="preserve">ООО «ГорМаш»</x:t>
        </x:is>
      </x:c>
      <x:c r="C46" s="31" t="inlineStr">
        <x:is>
          <x:t xml:space="preserve">Нефтегаз</x:t>
        </x:is>
      </x:c>
      <x:c r="D46" s="31" t="inlineStr">
        <x:is>
          <x:t xml:space="preserve">Татарстан</x:t>
        </x:is>
      </x:c>
      <x:c r="E46" s="31" t="inlineStr">
        <x:is>
          <x:t xml:space="preserve">Б: регулярный</x:t>
        </x:is>
      </x:c>
      <x:c r="F46" s="31" t="inlineStr">
        <x:is>
          <x:t xml:space="preserve">Средний</x:t>
        </x:is>
      </x:c>
      <x:c r="G46" s="31" t="n">
        <x:v>3000000</x:v>
      </x:c>
      <x:c r="H46" s="31" t="inlineStr">
        <x:is>
          <x:t xml:space="preserve">СОТР-004</x:t>
        </x:is>
      </x:c>
      <x:c r="I46" s="31" t="inlineStr">
        <x:is>
          <x:t xml:space="preserve">100% предоплата</x:t>
        </x:is>
      </x:c>
      <x:c r="J46" s="31" t="inlineStr">
        <x:is>
          <x:t xml:space="preserve">Да</x:t>
        </x:is>
      </x:c>
      <x:c r="K46" s="31" t="inlineStr">
        <x:is>
          <x:t xml:space="preserve">ИНН 7702074980</x:t>
        </x:is>
      </x:c>
    </x:row>
    <x:row r="47" ht="18" customHeight="1">
      <x:c r="A47" s="31" t="inlineStr">
        <x:is>
          <x:t xml:space="preserve">КЛ-046</x:t>
        </x:is>
      </x:c>
      <x:c r="B47" s="31" t="inlineStr">
        <x:is>
          <x:t xml:space="preserve">ООО «ПортАвтоматика»</x:t>
        </x:is>
      </x:c>
      <x:c r="C47" s="31" t="inlineStr">
        <x:is>
          <x:t xml:space="preserve">Горнодобыча</x:t>
        </x:is>
      </x:c>
      <x:c r="D47" s="31" t="inlineStr">
        <x:is>
          <x:t xml:space="preserve">Москва</x:t>
        </x:is>
      </x:c>
      <x:c r="E47" s="31" t="inlineStr">
        <x:is>
          <x:t xml:space="preserve">Б: регулярный</x:t>
        </x:is>
      </x:c>
      <x:c r="F47" s="31" t="inlineStr">
        <x:is>
          <x:t xml:space="preserve">Низкий</x:t>
        </x:is>
      </x:c>
      <x:c r="G47" s="31" t="n">
        <x:v>20000000</x:v>
      </x:c>
      <x:c r="H47" s="31" t="inlineStr">
        <x:is>
          <x:t xml:space="preserve">СОТР-005</x:t>
        </x:is>
      </x:c>
      <x:c r="I47" s="31" t="inlineStr">
        <x:is>
          <x:t xml:space="preserve">100% предоплата</x:t>
        </x:is>
      </x:c>
      <x:c r="J47" s="31" t="inlineStr">
        <x:is>
          <x:t xml:space="preserve">Да</x:t>
        </x:is>
      </x:c>
      <x:c r="K47" s="31" t="inlineStr">
        <x:is>
          <x:t xml:space="preserve">ИНН 7899190202</x:t>
        </x:is>
      </x:c>
    </x:row>
    <x:row r="48" ht="18" customHeight="1">
      <x:c r="A48" s="31" t="inlineStr">
        <x:is>
          <x:t xml:space="preserve">КЛ-047</x:t>
        </x:is>
      </x:c>
      <x:c r="B48" s="31" t="inlineStr">
        <x:is>
          <x:t xml:space="preserve">ООО «ВекторАвтоматика»</x:t>
        </x:is>
      </x:c>
      <x:c r="C48" s="31" t="inlineStr">
        <x:is>
          <x:t xml:space="preserve">Нефтегаз</x:t>
        </x:is>
      </x:c>
      <x:c r="D48" s="31" t="inlineStr">
        <x:is>
          <x:t xml:space="preserve">ХМАО</x:t>
        </x:is>
      </x:c>
      <x:c r="E48" s="31" t="inlineStr">
        <x:is>
          <x:t xml:space="preserve">Г: рискованный</x:t>
        </x:is>
      </x:c>
      <x:c r="F48" s="31" t="inlineStr">
        <x:is>
          <x:t xml:space="preserve">Средний</x:t>
        </x:is>
      </x:c>
      <x:c r="G48" s="31" t="n">
        <x:v>5000000</x:v>
      </x:c>
      <x:c r="H48" s="31" t="inlineStr">
        <x:is>
          <x:t xml:space="preserve">СОТР-005</x:t>
        </x:is>
      </x:c>
      <x:c r="I48" s="31" t="inlineStr">
        <x:is>
          <x:t xml:space="preserve">Постоплата 20 дней с лимитом</x:t>
        </x:is>
      </x:c>
      <x:c r="J48" s="31" t="inlineStr">
        <x:is>
          <x:t xml:space="preserve">Нет</x:t>
        </x:is>
      </x:c>
      <x:c r="K48" s="31" t="inlineStr">
        <x:is>
          <x:t xml:space="preserve">ИНН 7812123868</x:t>
        </x:is>
      </x:c>
    </x:row>
    <x:row r="49" ht="18" customHeight="1">
      <x:c r="A49" s="31" t="inlineStr">
        <x:is>
          <x:t xml:space="preserve">КЛ-048</x:t>
        </x:is>
      </x:c>
      <x:c r="B49" s="31" t="inlineStr">
        <x:is>
          <x:t xml:space="preserve">ООО «ЭнергоЭнерго»</x:t>
        </x:is>
      </x:c>
      <x:c r="C49" s="31" t="inlineStr">
        <x:is>
          <x:t xml:space="preserve">Энергетика</x:t>
        </x:is>
      </x:c>
      <x:c r="D49" s="31" t="inlineStr">
        <x:is>
          <x:t xml:space="preserve">Санкт-Петербург</x:t>
        </x:is>
      </x:c>
      <x:c r="E49" s="31" t="inlineStr">
        <x:is>
          <x:t xml:space="preserve">Г: рискованный</x:t>
        </x:is>
      </x:c>
      <x:c r="F49" s="31" t="inlineStr">
        <x:is>
          <x:t xml:space="preserve">Высокий</x:t>
        </x:is>
      </x:c>
      <x:c r="G49" s="31" t="n">
        <x:v>3000000</x:v>
      </x:c>
      <x:c r="H49" s="31" t="inlineStr">
        <x:is>
          <x:t xml:space="preserve">СОТР-005</x:t>
        </x:is>
      </x:c>
      <x:c r="I49" s="31" t="inlineStr">
        <x:is>
          <x:t xml:space="preserve">Постоплата 20 дней с лимитом</x:t>
        </x:is>
      </x:c>
      <x:c r="J49" s="31" t="inlineStr">
        <x:is>
          <x:t xml:space="preserve">Нет</x:t>
        </x:is>
      </x:c>
      <x:c r="K49" s="31" t="inlineStr">
        <x:is>
          <x:t xml:space="preserve">ИНН 7797134092</x:t>
        </x:is>
      </x:c>
    </x:row>
    <x:row r="50" ht="18" customHeight="1">
      <x:c r="A50" s="31" t="inlineStr">
        <x:is>
          <x:t xml:space="preserve">КЛ-049</x:t>
        </x:is>
      </x:c>
      <x:c r="B50" s="31" t="inlineStr">
        <x:is>
          <x:t xml:space="preserve">ООО «ПромАвтоматика»</x:t>
        </x:is>
      </x:c>
      <x:c r="C50" s="31" t="inlineStr">
        <x:is>
          <x:t xml:space="preserve">Химия</x:t>
        </x:is>
      </x:c>
      <x:c r="D50" s="31" t="inlineStr">
        <x:is>
          <x:t xml:space="preserve">Татарстан</x:t>
        </x:is>
      </x:c>
      <x:c r="E50" s="31" t="inlineStr">
        <x:is>
          <x:t xml:space="preserve">Б: регулярный</x:t>
        </x:is>
      </x:c>
      <x:c r="F50" s="31" t="inlineStr">
        <x:is>
          <x:t xml:space="preserve">Средний</x:t>
        </x:is>
      </x:c>
      <x:c r="G50" s="31" t="n">
        <x:v>8000000</x:v>
      </x:c>
      <x:c r="H50" s="31" t="inlineStr">
        <x:is>
          <x:t xml:space="preserve">СОТР-004</x:t>
        </x:is>
      </x:c>
      <x:c r="I50" s="31" t="inlineStr">
        <x:is>
          <x:t xml:space="preserve">100% предоплата</x:t>
        </x:is>
      </x:c>
      <x:c r="J50" s="31" t="inlineStr">
        <x:is>
          <x:t xml:space="preserve">Нет</x:t>
        </x:is>
      </x:c>
      <x:c r="K50" s="31" t="inlineStr">
        <x:is>
          <x:t xml:space="preserve">ИНН 7759477796</x:t>
        </x:is>
      </x:c>
    </x:row>
    <x:row r="51" ht="18" customHeight="1">
      <x:c r="A51" s="31" t="inlineStr">
        <x:is>
          <x:t xml:space="preserve">КЛ-050</x:t>
        </x:is>
      </x:c>
      <x:c r="B51" s="31" t="inlineStr">
        <x:is>
          <x:t xml:space="preserve">ООО «МеталлСервис»</x:t>
        </x:is>
      </x:c>
      <x:c r="C51" s="31" t="inlineStr">
        <x:is>
          <x:t xml:space="preserve">Химия</x:t>
        </x:is>
      </x:c>
      <x:c r="D51" s="31" t="inlineStr">
        <x:is>
          <x:t xml:space="preserve">Краснодарский край</x:t>
        </x:is>
      </x:c>
      <x:c r="E51" s="31" t="inlineStr">
        <x:is>
          <x:t xml:space="preserve">В: разовый</x:t>
        </x:is>
      </x:c>
      <x:c r="F51" s="31" t="inlineStr">
        <x:is>
          <x:t xml:space="preserve">Средний</x:t>
        </x:is>
      </x:c>
      <x:c r="G51" s="31" t="n">
        <x:v>12000000</x:v>
      </x:c>
      <x:c r="H51" s="31" t="inlineStr">
        <x:is>
          <x:t xml:space="preserve">СОТР-004</x:t>
        </x:is>
      </x:c>
      <x:c r="I51" s="31" t="inlineStr">
        <x:is>
          <x:t xml:space="preserve">100% предоплата</x:t>
        </x:is>
      </x:c>
      <x:c r="J51" s="31" t="inlineStr">
        <x:is>
          <x:t xml:space="preserve">Нет</x:t>
        </x:is>
      </x:c>
      <x:c r="K51" s="31" t="inlineStr">
        <x:is>
          <x:t xml:space="preserve">ИНН 7873259778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5" customWidth="1"/>
    <x:col min="3" max="3" width="30" customWidth="1"/>
    <x:col min="4" max="4" width="23" customWidth="1"/>
    <x:col min="5" max="5" width="18" customWidth="1"/>
    <x:col min="6" max="6" width="33" customWidth="1"/>
    <x:col min="7" max="7" width="15" customWidth="1"/>
    <x:col min="8" max="8" width="10" customWidth="1"/>
  </x:cols>
  <x:sheetData>
    <x:row r="1" ht="18" customHeight="1">
      <x:c r="A1" s="30" t="inlineStr">
        <x:is>
          <x:t xml:space="preserve">Код контакта</x:t>
        </x:is>
      </x:c>
      <x:c r="B1" s="30" t="inlineStr">
        <x:is>
          <x:t xml:space="preserve">Код заказчика</x:t>
        </x:is>
      </x:c>
      <x:c r="C1" s="30" t="inlineStr">
        <x:is>
          <x:t xml:space="preserve">ФИО</x:t>
        </x:is>
      </x:c>
      <x:c r="D1" s="30" t="inlineStr">
        <x:is>
          <x:t xml:space="preserve">Должность</x:t>
        </x:is>
      </x:c>
      <x:c r="E1" s="30" t="inlineStr">
        <x:is>
          <x:t xml:space="preserve">Телефон</x:t>
        </x:is>
      </x:c>
      <x:c r="F1" s="30" t="inlineStr">
        <x:is>
          <x:t xml:space="preserve">Эл. почта</x:t>
        </x:is>
      </x:c>
      <x:c r="G1" s="30" t="inlineStr">
        <x:is>
          <x:t xml:space="preserve">Роль контакта</x:t>
        </x:is>
      </x:c>
      <x:c r="H1" s="30" t="inlineStr">
        <x:is>
          <x:t xml:space="preserve">Активен</x:t>
        </x:is>
      </x:c>
    </x:row>
    <x:row r="2" ht="18" customHeight="1">
      <x:c r="A2" s="31" t="inlineStr">
        <x:is>
          <x:t xml:space="preserve">КОН-0001</x:t>
        </x:is>
      </x:c>
      <x:c r="B2" s="31" t="inlineStr">
        <x:is>
          <x:t xml:space="preserve">КЛ-001</x:t>
        </x:is>
      </x:c>
      <x:c r="C2" s="31" t="inlineStr">
        <x:is>
          <x:t xml:space="preserve">Семенов Андрей Сергеевич</x:t>
        </x:is>
      </x:c>
      <x:c r="D2" s="31" t="inlineStr">
        <x:is>
          <x:t xml:space="preserve">Руководитель закупок</x:t>
        </x:is>
      </x:c>
      <x:c r="E2" s="31" t="inlineStr">
        <x:is>
          <x:t xml:space="preserve">+7 935 277-87-29</x:t>
        </x:is>
      </x:c>
      <x:c r="F2" s="31" t="inlineStr">
        <x:is>
          <x:t xml:space="preserve">contact1@трансэнерго.test</x:t>
        </x:is>
      </x:c>
      <x:c r="G2" s="31" t="inlineStr">
        <x:is>
          <x:t xml:space="preserve">Финансы</x:t>
        </x:is>
      </x:c>
      <x:c r="H2" s="31" t="inlineStr">
        <x:is>
          <x:t xml:space="preserve">Да</x:t>
        </x:is>
      </x:c>
    </x:row>
    <x:row r="3" ht="18" customHeight="1">
      <x:c r="A3" s="31" t="inlineStr">
        <x:is>
          <x:t xml:space="preserve">КОН-0002</x:t>
        </x:is>
      </x:c>
      <x:c r="B3" s="31" t="inlineStr">
        <x:is>
          <x:t xml:space="preserve">КЛ-001</x:t>
        </x:is>
      </x:c>
      <x:c r="C3" s="31" t="inlineStr">
        <x:is>
          <x:t xml:space="preserve">Соловьев Ирина Михайлович</x:t>
        </x:is>
      </x:c>
      <x:c r="D3" s="31" t="inlineStr">
        <x:is>
          <x:t xml:space="preserve">Финансовый директор</x:t>
        </x:is>
      </x:c>
      <x:c r="E3" s="31" t="inlineStr">
        <x:is>
          <x:t xml:space="preserve">+7 982 878-84-67</x:t>
        </x:is>
      </x:c>
      <x:c r="F3" s="31" t="inlineStr">
        <x:is>
          <x:t xml:space="preserve">contact2@трансэнерго.test</x:t>
        </x:is>
      </x:c>
      <x:c r="G3" s="31" t="inlineStr">
        <x:is>
          <x:t xml:space="preserve">Финансы</x:t>
        </x:is>
      </x:c>
      <x:c r="H3" s="31" t="inlineStr">
        <x:is>
          <x:t xml:space="preserve">Нет</x:t>
        </x:is>
      </x:c>
    </x:row>
    <x:row r="4" ht="18" customHeight="1">
      <x:c r="A4" s="31" t="inlineStr">
        <x:is>
          <x:t xml:space="preserve">КОН-0003</x:t>
        </x:is>
      </x:c>
      <x:c r="B4" s="31" t="inlineStr">
        <x:is>
          <x:t xml:space="preserve">КЛ-002</x:t>
        </x:is>
      </x:c>
      <x:c r="C4" s="31" t="inlineStr">
        <x:is>
          <x:t xml:space="preserve">Федоров Николай Михайлович</x:t>
        </x:is>
      </x:c>
      <x:c r="D4" s="31" t="inlineStr">
        <x:is>
          <x:t xml:space="preserve">Главный инженер</x:t>
        </x:is>
      </x:c>
      <x:c r="E4" s="31" t="inlineStr">
        <x:is>
          <x:t xml:space="preserve">+7 970 552-90-48</x:t>
        </x:is>
      </x:c>
      <x:c r="F4" s="31" t="inlineStr">
        <x:is>
          <x:t xml:space="preserve">contact3@волгалогистика.test</x:t>
        </x:is>
      </x:c>
      <x:c r="G4" s="31" t="inlineStr">
        <x:is>
          <x:t xml:space="preserve">Финансы</x:t>
        </x:is>
      </x:c>
      <x:c r="H4" s="31" t="inlineStr">
        <x:is>
          <x:t xml:space="preserve">Да</x:t>
        </x:is>
      </x:c>
    </x:row>
    <x:row r="5" ht="18" customHeight="1">
      <x:c r="A5" s="31" t="inlineStr">
        <x:is>
          <x:t xml:space="preserve">КОН-0004</x:t>
        </x:is>
      </x:c>
      <x:c r="B5" s="31" t="inlineStr">
        <x:is>
          <x:t xml:space="preserve">КЛ-002</x:t>
        </x:is>
      </x:c>
      <x:c r="C5" s="31" t="inlineStr">
        <x:is>
          <x:t xml:space="preserve">Беляев Екатерина Дмитриевич</x:t>
        </x:is>
      </x:c>
      <x:c r="D5" s="31" t="inlineStr">
        <x:is>
          <x:t xml:space="preserve">Руководитель закупок</x:t>
        </x:is>
      </x:c>
      <x:c r="E5" s="31" t="inlineStr">
        <x:is>
          <x:t xml:space="preserve">+7 969 562-14-17</x:t>
        </x:is>
      </x:c>
      <x:c r="F5" s="31" t="inlineStr">
        <x:is>
          <x:t xml:space="preserve">contact4@волгалогистика.test</x:t>
        </x:is>
      </x:c>
      <x:c r="G5" s="31" t="inlineStr">
        <x:is>
          <x:t xml:space="preserve">Технический</x:t>
        </x:is>
      </x:c>
      <x:c r="H5" s="31" t="inlineStr">
        <x:is>
          <x:t xml:space="preserve">Да</x:t>
        </x:is>
      </x:c>
    </x:row>
    <x:row r="6" ht="18" customHeight="1">
      <x:c r="A6" s="31" t="inlineStr">
        <x:is>
          <x:t xml:space="preserve">КОН-0005</x:t>
        </x:is>
      </x:c>
      <x:c r="B6" s="31" t="inlineStr">
        <x:is>
          <x:t xml:space="preserve">КЛ-002</x:t>
        </x:is>
      </x:c>
      <x:c r="C6" s="31" t="inlineStr">
        <x:is>
          <x:t xml:space="preserve">Соколов Наталья Владимирович</x:t>
        </x:is>
      </x:c>
      <x:c r="D6" s="31" t="inlineStr">
        <x:is>
          <x:t xml:space="preserve">Менеджер проекта</x:t>
        </x:is>
      </x:c>
      <x:c r="E6" s="31" t="inlineStr">
        <x:is>
          <x:t xml:space="preserve">+7 959 573-84-80</x:t>
        </x:is>
      </x:c>
      <x:c r="F6" s="31" t="inlineStr">
        <x:is>
          <x:t xml:space="preserve">contact5@волгалогистика.test</x:t>
        </x:is>
      </x:c>
      <x:c r="G6" s="31" t="inlineStr">
        <x:is>
          <x:t xml:space="preserve">Закупки</x:t>
        </x:is>
      </x:c>
      <x:c r="H6" s="31" t="inlineStr">
        <x:is>
          <x:t xml:space="preserve">Да</x:t>
        </x:is>
      </x:c>
    </x:row>
    <x:row r="7" ht="18" customHeight="1">
      <x:c r="A7" s="31" t="inlineStr">
        <x:is>
          <x:t xml:space="preserve">КОН-0006</x:t>
        </x:is>
      </x:c>
      <x:c r="B7" s="31" t="inlineStr">
        <x:is>
          <x:t xml:space="preserve">КЛ-003</x:t>
        </x:is>
      </x:c>
      <x:c r="C7" s="31" t="inlineStr">
        <x:is>
          <x:t xml:space="preserve">Андреев Ольга Алексеевна</x:t>
        </x:is>
      </x:c>
      <x:c r="D7" s="31" t="inlineStr">
        <x:is>
          <x:t xml:space="preserve">Начальник ПТО</x:t>
        </x:is>
      </x:c>
      <x:c r="E7" s="31" t="inlineStr">
        <x:is>
          <x:t xml:space="preserve">+7 951 719-70-74</x:t>
        </x:is>
      </x:c>
      <x:c r="F7" s="31" t="inlineStr">
        <x:is>
          <x:t xml:space="preserve">contact6@металлресурс.test</x:t>
        </x:is>
      </x:c>
      <x:c r="G7" s="31" t="inlineStr">
        <x:is>
          <x:t xml:space="preserve">Основной</x:t>
        </x:is>
      </x:c>
      <x:c r="H7" s="31" t="inlineStr">
        <x:is>
          <x:t xml:space="preserve">Да</x:t>
        </x:is>
      </x:c>
    </x:row>
    <x:row r="8" ht="18" customHeight="1">
      <x:c r="A8" s="31" t="inlineStr">
        <x:is>
          <x:t xml:space="preserve">КОН-0007</x:t>
        </x:is>
      </x:c>
      <x:c r="B8" s="31" t="inlineStr">
        <x:is>
          <x:t xml:space="preserve">КЛ-004</x:t>
        </x:is>
      </x:c>
      <x:c r="C8" s="31" t="inlineStr">
        <x:is>
          <x:t xml:space="preserve">Михайлов Алина Дмитриевич</x:t>
        </x:is>
      </x:c>
      <x:c r="D8" s="31" t="inlineStr">
        <x:is>
          <x:t xml:space="preserve">Менеджер проекта</x:t>
        </x:is>
      </x:c>
      <x:c r="E8" s="31" t="inlineStr">
        <x:is>
          <x:t xml:space="preserve">+7 992 276-15-41</x:t>
        </x:is>
      </x:c>
      <x:c r="F8" s="31" t="inlineStr">
        <x:is>
          <x:t xml:space="preserve">contact7@нефтелогистика.test</x:t>
        </x:is>
      </x:c>
      <x:c r="G8" s="31" t="inlineStr">
        <x:is>
          <x:t xml:space="preserve">Финансы</x:t>
        </x:is>
      </x:c>
      <x:c r="H8" s="31" t="inlineStr">
        <x:is>
          <x:t xml:space="preserve">Нет</x:t>
        </x:is>
      </x:c>
    </x:row>
    <x:row r="9" ht="18" customHeight="1">
      <x:c r="A9" s="31" t="inlineStr">
        <x:is>
          <x:t xml:space="preserve">КОН-0008</x:t>
        </x:is>
      </x:c>
      <x:c r="B9" s="31" t="inlineStr">
        <x:is>
          <x:t xml:space="preserve">КЛ-005</x:t>
        </x:is>
      </x:c>
      <x:c r="C9" s="31" t="inlineStr">
        <x:is>
          <x:t xml:space="preserve">Тарасов Роман Николаевна</x:t>
        </x:is>
      </x:c>
      <x:c r="D9" s="31" t="inlineStr">
        <x:is>
          <x:t xml:space="preserve">Руководитель закупок</x:t>
        </x:is>
      </x:c>
      <x:c r="E9" s="31" t="inlineStr">
        <x:is>
          <x:t xml:space="preserve">+7 959 518-53-96</x:t>
        </x:is>
      </x:c>
      <x:c r="F9" s="31" t="inlineStr">
        <x:is>
          <x:t xml:space="preserve">contact8@акваавтоматика.test</x:t>
        </x:is>
      </x:c>
      <x:c r="G9" s="31" t="inlineStr">
        <x:is>
          <x:t xml:space="preserve">Технический</x:t>
        </x:is>
      </x:c>
      <x:c r="H9" s="31" t="inlineStr">
        <x:is>
          <x:t xml:space="preserve">Да</x:t>
        </x:is>
      </x:c>
    </x:row>
    <x:row r="10" ht="18" customHeight="1">
      <x:c r="A10" s="31" t="inlineStr">
        <x:is>
          <x:t xml:space="preserve">КОН-0009</x:t>
        </x:is>
      </x:c>
      <x:c r="B10" s="31" t="inlineStr">
        <x:is>
          <x:t xml:space="preserve">КЛ-005</x:t>
        </x:is>
      </x:c>
      <x:c r="C10" s="31" t="inlineStr">
        <x:is>
          <x:t xml:space="preserve">Михайлов Сергей Ильич</x:t>
        </x:is>
      </x:c>
      <x:c r="D10" s="31" t="inlineStr">
        <x:is>
          <x:t xml:space="preserve">Главный инженер</x:t>
        </x:is>
      </x:c>
      <x:c r="E10" s="31" t="inlineStr">
        <x:is>
          <x:t xml:space="preserve">+7 981 794-59-46</x:t>
        </x:is>
      </x:c>
      <x:c r="F10" s="31" t="inlineStr">
        <x:is>
          <x:t xml:space="preserve">contact9@акваавтоматика.test</x:t>
        </x:is>
      </x:c>
      <x:c r="G10" s="31" t="inlineStr">
        <x:is>
          <x:t xml:space="preserve">Основной</x:t>
        </x:is>
      </x:c>
      <x:c r="H10" s="31" t="inlineStr">
        <x:is>
          <x:t xml:space="preserve">Да</x:t>
        </x:is>
      </x:c>
    </x:row>
    <x:row r="11" ht="18" customHeight="1">
      <x:c r="A11" s="31" t="inlineStr">
        <x:is>
          <x:t xml:space="preserve">КОН-0010</x:t>
        </x:is>
      </x:c>
      <x:c r="B11" s="31" t="inlineStr">
        <x:is>
          <x:t xml:space="preserve">КЛ-006</x:t>
        </x:is>
      </x:c>
      <x:c r="C11" s="31" t="inlineStr">
        <x:is>
          <x:t xml:space="preserve">Михайлов Сергей Владимирович</x:t>
        </x:is>
      </x:c>
      <x:c r="D11" s="31" t="inlineStr">
        <x:is>
          <x:t xml:space="preserve">Главный механик</x:t>
        </x:is>
      </x:c>
      <x:c r="E11" s="31" t="inlineStr">
        <x:is>
          <x:t xml:space="preserve">+7 928 458-49-93</x:t>
        </x:is>
      </x:c>
      <x:c r="F11" s="31" t="inlineStr">
        <x:is>
          <x:t xml:space="preserve">contact10@балтиклогистика.test</x:t>
        </x:is>
      </x:c>
      <x:c r="G11" s="31" t="inlineStr">
        <x:is>
          <x:t xml:space="preserve">Финансы</x:t>
        </x:is>
      </x:c>
      <x:c r="H11" s="31" t="inlineStr">
        <x:is>
          <x:t xml:space="preserve">Да</x:t>
        </x:is>
      </x:c>
    </x:row>
    <x:row r="12" ht="18" customHeight="1">
      <x:c r="A12" s="31" t="inlineStr">
        <x:is>
          <x:t xml:space="preserve">КОН-0011</x:t>
        </x:is>
      </x:c>
      <x:c r="B12" s="31" t="inlineStr">
        <x:is>
          <x:t xml:space="preserve">КЛ-006</x:t>
        </x:is>
      </x:c>
      <x:c r="C12" s="31" t="inlineStr">
        <x:is>
          <x:t xml:space="preserve">Соколов Антон Олегович</x:t>
        </x:is>
      </x:c>
      <x:c r="D12" s="31" t="inlineStr">
        <x:is>
          <x:t xml:space="preserve">Финансовый директор</x:t>
        </x:is>
      </x:c>
      <x:c r="E12" s="31" t="inlineStr">
        <x:is>
          <x:t xml:space="preserve">+7 992 910-52-26</x:t>
        </x:is>
      </x:c>
      <x:c r="F12" s="31" t="inlineStr">
        <x:is>
          <x:t xml:space="preserve">contact11@балтиклогистика.test</x:t>
        </x:is>
      </x:c>
      <x:c r="G12" s="31" t="inlineStr">
        <x:is>
          <x:t xml:space="preserve">Финансы</x:t>
        </x:is>
      </x:c>
      <x:c r="H12" s="31" t="inlineStr">
        <x:is>
          <x:t xml:space="preserve">Да</x:t>
        </x:is>
      </x:c>
    </x:row>
    <x:row r="13" ht="18" customHeight="1">
      <x:c r="A13" s="31" t="inlineStr">
        <x:is>
          <x:t xml:space="preserve">КОН-0012</x:t>
        </x:is>
      </x:c>
      <x:c r="B13" s="31" t="inlineStr">
        <x:is>
          <x:t xml:space="preserve">КЛ-007</x:t>
        </x:is>
      </x:c>
      <x:c r="C13" s="31" t="inlineStr">
        <x:is>
          <x:t xml:space="preserve">Макаров Екатерина Ильич</x:t>
        </x:is>
      </x:c>
      <x:c r="D13" s="31" t="inlineStr">
        <x:is>
          <x:t xml:space="preserve">Главный инженер</x:t>
        </x:is>
      </x:c>
      <x:c r="E13" s="31" t="inlineStr">
        <x:is>
          <x:t xml:space="preserve">+7 956 416-33-37</x:t>
        </x:is>
      </x:c>
      <x:c r="F13" s="31" t="inlineStr">
        <x:is>
          <x:t xml:space="preserve">contact12@нордсервис.test</x:t>
        </x:is>
      </x:c>
      <x:c r="G13" s="31" t="inlineStr">
        <x:is>
          <x:t xml:space="preserve">Основной</x:t>
        </x:is>
      </x:c>
      <x:c r="H13" s="31" t="inlineStr">
        <x:is>
          <x:t xml:space="preserve">Да</x:t>
        </x:is>
      </x:c>
    </x:row>
    <x:row r="14" ht="18" customHeight="1">
      <x:c r="A14" s="31" t="inlineStr">
        <x:is>
          <x:t xml:space="preserve">КОН-0013</x:t>
        </x:is>
      </x:c>
      <x:c r="B14" s="31" t="inlineStr">
        <x:is>
          <x:t xml:space="preserve">КЛ-008</x:t>
        </x:is>
      </x:c>
      <x:c r="C14" s="31" t="inlineStr">
        <x:is>
          <x:t xml:space="preserve">Павлов Николай Сергеевич</x:t>
        </x:is>
      </x:c>
      <x:c r="D14" s="31" t="inlineStr">
        <x:is>
          <x:t xml:space="preserve">Главный инженер</x:t>
        </x:is>
      </x:c>
      <x:c r="E14" s="31" t="inlineStr">
        <x:is>
          <x:t xml:space="preserve">+7 947 964-22-74</x:t>
        </x:is>
      </x:c>
      <x:c r="F14" s="31" t="inlineStr">
        <x:is>
          <x:t xml:space="preserve">contact13@промпроект.test</x:t>
        </x:is>
      </x:c>
      <x:c r="G14" s="31" t="inlineStr">
        <x:is>
          <x:t xml:space="preserve">Финансы</x:t>
        </x:is>
      </x:c>
      <x:c r="H14" s="31" t="inlineStr">
        <x:is>
          <x:t xml:space="preserve">Да</x:t>
        </x:is>
      </x:c>
    </x:row>
    <x:row r="15" ht="18" customHeight="1">
      <x:c r="A15" s="31" t="inlineStr">
        <x:is>
          <x:t xml:space="preserve">КОН-0014</x:t>
        </x:is>
      </x:c>
      <x:c r="B15" s="31" t="inlineStr">
        <x:is>
          <x:t xml:space="preserve">КЛ-008</x:t>
        </x:is>
      </x:c>
      <x:c r="C15" s="31" t="inlineStr">
        <x:is>
          <x:t xml:space="preserve">Крылов Дмитрий Алексеевна</x:t>
        </x:is>
      </x:c>
      <x:c r="D15" s="31" t="inlineStr">
        <x:is>
          <x:t xml:space="preserve">Руководитель закупок</x:t>
        </x:is>
      </x:c>
      <x:c r="E15" s="31" t="inlineStr">
        <x:is>
          <x:t xml:space="preserve">+7 989 234-86-58</x:t>
        </x:is>
      </x:c>
      <x:c r="F15" s="31" t="inlineStr">
        <x:is>
          <x:t xml:space="preserve">contact14@промпроект.test</x:t>
        </x:is>
      </x:c>
      <x:c r="G15" s="31" t="inlineStr">
        <x:is>
          <x:t xml:space="preserve">Основной</x:t>
        </x:is>
      </x:c>
      <x:c r="H15" s="31" t="inlineStr">
        <x:is>
          <x:t xml:space="preserve">Да</x:t>
        </x:is>
      </x:c>
    </x:row>
    <x:row r="16" ht="18" customHeight="1">
      <x:c r="A16" s="31" t="inlineStr">
        <x:is>
          <x:t xml:space="preserve">КОН-0015</x:t>
        </x:is>
      </x:c>
      <x:c r="B16" s="31" t="inlineStr">
        <x:is>
          <x:t xml:space="preserve">КЛ-009</x:t>
        </x:is>
      </x:c>
      <x:c r="C16" s="31" t="inlineStr">
        <x:is>
          <x:t xml:space="preserve">Андреев Дмитрий Павлович</x:t>
        </x:is>
      </x:c>
      <x:c r="D16" s="31" t="inlineStr">
        <x:is>
          <x:t xml:space="preserve">Руководитель закупок</x:t>
        </x:is>
      </x:c>
      <x:c r="E16" s="31" t="inlineStr">
        <x:is>
          <x:t xml:space="preserve">+7 996 836-40-66</x:t>
        </x:is>
      </x:c>
      <x:c r="F16" s="31" t="inlineStr">
        <x:is>
          <x:t xml:space="preserve">contact15@волгакомплект.test</x:t>
        </x:is>
      </x:c>
      <x:c r="G16" s="31" t="inlineStr">
        <x:is>
          <x:t xml:space="preserve">Технический</x:t>
        </x:is>
      </x:c>
      <x:c r="H16" s="31" t="inlineStr">
        <x:is>
          <x:t xml:space="preserve">Да</x:t>
        </x:is>
      </x:c>
    </x:row>
    <x:row r="17" ht="18" customHeight="1">
      <x:c r="A17" s="31" t="inlineStr">
        <x:is>
          <x:t xml:space="preserve">КОН-0016</x:t>
        </x:is>
      </x:c>
      <x:c r="B17" s="31" t="inlineStr">
        <x:is>
          <x:t xml:space="preserve">КЛ-009</x:t>
        </x:is>
      </x:c>
      <x:c r="C17" s="31" t="inlineStr">
        <x:is>
          <x:t xml:space="preserve">Андреев Егор Олегович</x:t>
        </x:is>
      </x:c>
      <x:c r="D17" s="31" t="inlineStr">
        <x:is>
          <x:t xml:space="preserve">Начальник ПТО</x:t>
        </x:is>
      </x:c>
      <x:c r="E17" s="31" t="inlineStr">
        <x:is>
          <x:t xml:space="preserve">+7 949 928-70-34</x:t>
        </x:is>
      </x:c>
      <x:c r="F17" s="31" t="inlineStr">
        <x:is>
          <x:t xml:space="preserve">contact16@волгакомплект.test</x:t>
        </x:is>
      </x:c>
      <x:c r="G17" s="31" t="inlineStr">
        <x:is>
          <x:t xml:space="preserve">Технический</x:t>
        </x:is>
      </x:c>
      <x:c r="H17" s="31" t="inlineStr">
        <x:is>
          <x:t xml:space="preserve">Нет</x:t>
        </x:is>
      </x:c>
    </x:row>
    <x:row r="18" ht="18" customHeight="1">
      <x:c r="A18" s="31" t="inlineStr">
        <x:is>
          <x:t xml:space="preserve">КОН-0017</x:t>
        </x:is>
      </x:c>
      <x:c r="B18" s="31" t="inlineStr">
        <x:is>
          <x:t xml:space="preserve">КЛ-010</x:t>
        </x:is>
      </x:c>
      <x:c r="C18" s="31" t="inlineStr">
        <x:is>
          <x:t xml:space="preserve">Ковалев Антон Сергеевна</x:t>
        </x:is>
      </x:c>
      <x:c r="D18" s="31" t="inlineStr">
        <x:is>
          <x:t xml:space="preserve">Финансовый директор</x:t>
        </x:is>
      </x:c>
      <x:c r="E18" s="31" t="inlineStr">
        <x:is>
          <x:t xml:space="preserve">+7 974 640-63-30</x:t>
        </x:is>
      </x:c>
      <x:c r="F18" s="31" t="inlineStr">
        <x:is>
          <x:t xml:space="preserve">contact17@энергомаш.test</x:t>
        </x:is>
      </x:c>
      <x:c r="G18" s="31" t="inlineStr">
        <x:is>
          <x:t xml:space="preserve">Финансы</x:t>
        </x:is>
      </x:c>
      <x:c r="H18" s="31" t="inlineStr">
        <x:is>
          <x:t xml:space="preserve">Да</x:t>
        </x:is>
      </x:c>
    </x:row>
    <x:row r="19" ht="18" customHeight="1">
      <x:c r="A19" s="31" t="inlineStr">
        <x:is>
          <x:t xml:space="preserve">КОН-0018</x:t>
        </x:is>
      </x:c>
      <x:c r="B19" s="31" t="inlineStr">
        <x:is>
          <x:t xml:space="preserve">КЛ-010</x:t>
        </x:is>
      </x:c>
      <x:c r="C19" s="31" t="inlineStr">
        <x:is>
          <x:t xml:space="preserve">Новиков Михаил Алексеевич</x:t>
        </x:is>
      </x:c>
      <x:c r="D19" s="31" t="inlineStr">
        <x:is>
          <x:t xml:space="preserve">Главный механик</x:t>
        </x:is>
      </x:c>
      <x:c r="E19" s="31" t="inlineStr">
        <x:is>
          <x:t xml:space="preserve">+7 971 995-57-80</x:t>
        </x:is>
      </x:c>
      <x:c r="F19" s="31" t="inlineStr">
        <x:is>
          <x:t xml:space="preserve">contact18@энергомаш.test</x:t>
        </x:is>
      </x:c>
      <x:c r="G19" s="31" t="inlineStr">
        <x:is>
          <x:t xml:space="preserve">Закупки</x:t>
        </x:is>
      </x:c>
      <x:c r="H19" s="31" t="inlineStr">
        <x:is>
          <x:t xml:space="preserve">Да</x:t>
        </x:is>
      </x:c>
    </x:row>
    <x:row r="20" ht="18" customHeight="1">
      <x:c r="A20" s="31" t="inlineStr">
        <x:is>
          <x:t xml:space="preserve">КОН-0019</x:t>
        </x:is>
      </x:c>
      <x:c r="B20" s="31" t="inlineStr">
        <x:is>
          <x:t xml:space="preserve">КЛ-010</x:t>
        </x:is>
      </x:c>
      <x:c r="C20" s="31" t="inlineStr">
        <x:is>
          <x:t xml:space="preserve">Крылов Андрей Николаевич</x:t>
        </x:is>
      </x:c>
      <x:c r="D20" s="31" t="inlineStr">
        <x:is>
          <x:t xml:space="preserve">Главный инженер</x:t>
        </x:is>
      </x:c>
      <x:c r="E20" s="31" t="inlineStr">
        <x:is>
          <x:t xml:space="preserve">+7 930 379-67-75</x:t>
        </x:is>
      </x:c>
      <x:c r="F20" s="31" t="inlineStr">
        <x:is>
          <x:t xml:space="preserve">contact19@энергомаш.test</x:t>
        </x:is>
      </x:c>
      <x:c r="G20" s="31" t="inlineStr">
        <x:is>
          <x:t xml:space="preserve">Основной</x:t>
        </x:is>
      </x:c>
      <x:c r="H20" s="31" t="inlineStr">
        <x:is>
          <x:t xml:space="preserve">Да</x:t>
        </x:is>
      </x:c>
    </x:row>
    <x:row r="21" ht="18" customHeight="1">
      <x:c r="A21" s="31" t="inlineStr">
        <x:is>
          <x:t xml:space="preserve">КОН-0020</x:t>
        </x:is>
      </x:c>
      <x:c r="B21" s="31" t="inlineStr">
        <x:is>
          <x:t xml:space="preserve">КЛ-010</x:t>
        </x:is>
      </x:c>
      <x:c r="C21" s="31" t="inlineStr">
        <x:is>
          <x:t xml:space="preserve">Павлов Иван Николаевна</x:t>
        </x:is>
      </x:c>
      <x:c r="D21" s="31" t="inlineStr">
        <x:is>
          <x:t xml:space="preserve">Руководитель закупок</x:t>
        </x:is>
      </x:c>
      <x:c r="E21" s="31" t="inlineStr">
        <x:is>
          <x:t xml:space="preserve">+7 913 524-16-60</x:t>
        </x:is>
      </x:c>
      <x:c r="F21" s="31" t="inlineStr">
        <x:is>
          <x:t xml:space="preserve">contact20@энергомаш.test</x:t>
        </x:is>
      </x:c>
      <x:c r="G21" s="31" t="inlineStr">
        <x:is>
          <x:t xml:space="preserve">Технический</x:t>
        </x:is>
      </x:c>
      <x:c r="H21" s="31" t="inlineStr">
        <x:is>
          <x:t xml:space="preserve">Да</x:t>
        </x:is>
      </x:c>
    </x:row>
    <x:row r="22" ht="18" customHeight="1">
      <x:c r="A22" s="31" t="inlineStr">
        <x:is>
          <x:t xml:space="preserve">КОН-0021</x:t>
        </x:is>
      </x:c>
      <x:c r="B22" s="31" t="inlineStr">
        <x:is>
          <x:t xml:space="preserve">КЛ-011</x:t>
        </x:is>
      </x:c>
      <x:c r="C22" s="31" t="inlineStr">
        <x:is>
          <x:t xml:space="preserve">Тарасов Егор Алексеевич</x:t>
        </x:is>
      </x:c>
      <x:c r="D22" s="31" t="inlineStr">
        <x:is>
          <x:t xml:space="preserve">Руководитель закупок</x:t>
        </x:is>
      </x:c>
      <x:c r="E22" s="31" t="inlineStr">
        <x:is>
          <x:t xml:space="preserve">+7 922 959-93-52</x:t>
        </x:is>
      </x:c>
      <x:c r="F22" s="31" t="inlineStr">
        <x:is>
          <x:t xml:space="preserve">contact21@аквасервис.test</x:t>
        </x:is>
      </x:c>
      <x:c r="G22" s="31" t="inlineStr">
        <x:is>
          <x:t xml:space="preserve">Финансы</x:t>
        </x:is>
      </x:c>
      <x:c r="H22" s="31" t="inlineStr">
        <x:is>
          <x:t xml:space="preserve">Да</x:t>
        </x:is>
      </x:c>
    </x:row>
    <x:row r="23" ht="18" customHeight="1">
      <x:c r="A23" s="31" t="inlineStr">
        <x:is>
          <x:t xml:space="preserve">КОН-0022</x:t>
        </x:is>
      </x:c>
      <x:c r="B23" s="31" t="inlineStr">
        <x:is>
          <x:t xml:space="preserve">КЛ-012</x:t>
        </x:is>
      </x:c>
      <x:c r="C23" s="31" t="inlineStr">
        <x:is>
          <x:t xml:space="preserve">Ильин Алина Андреевна</x:t>
        </x:is>
      </x:c>
      <x:c r="D23" s="31" t="inlineStr">
        <x:is>
          <x:t xml:space="preserve">Начальник ПТО</x:t>
        </x:is>
      </x:c>
      <x:c r="E23" s="31" t="inlineStr">
        <x:is>
          <x:t xml:space="preserve">+7 970 559-88-10</x:t>
        </x:is>
      </x:c>
      <x:c r="F23" s="31" t="inlineStr">
        <x:is>
          <x:t xml:space="preserve">contact22@волгалогистика.test</x:t>
        </x:is>
      </x:c>
      <x:c r="G23" s="31" t="inlineStr">
        <x:is>
          <x:t xml:space="preserve">Закупки</x:t>
        </x:is>
      </x:c>
      <x:c r="H23" s="31" t="inlineStr">
        <x:is>
          <x:t xml:space="preserve">Да</x:t>
        </x:is>
      </x:c>
    </x:row>
    <x:row r="24" ht="18" customHeight="1">
      <x:c r="A24" s="31" t="inlineStr">
        <x:is>
          <x:t xml:space="preserve">КОН-0023</x:t>
        </x:is>
      </x:c>
      <x:c r="B24" s="31" t="inlineStr">
        <x:is>
          <x:t xml:space="preserve">КЛ-012</x:t>
        </x:is>
      </x:c>
      <x:c r="C24" s="31" t="inlineStr">
        <x:is>
          <x:t xml:space="preserve">Зайцев Николай Олегович</x:t>
        </x:is>
      </x:c>
      <x:c r="D24" s="31" t="inlineStr">
        <x:is>
          <x:t xml:space="preserve">Главный механик</x:t>
        </x:is>
      </x:c>
      <x:c r="E24" s="31" t="inlineStr">
        <x:is>
          <x:t xml:space="preserve">+7 987 640-64-24</x:t>
        </x:is>
      </x:c>
      <x:c r="F24" s="31" t="inlineStr">
        <x:is>
          <x:t xml:space="preserve">contact23@волгалогистика.test</x:t>
        </x:is>
      </x:c>
      <x:c r="G24" s="31" t="inlineStr">
        <x:is>
          <x:t xml:space="preserve">Финансы</x:t>
        </x:is>
      </x:c>
      <x:c r="H24" s="31" t="inlineStr">
        <x:is>
          <x:t xml:space="preserve">Да</x:t>
        </x:is>
      </x:c>
    </x:row>
    <x:row r="25" ht="18" customHeight="1">
      <x:c r="A25" s="31" t="inlineStr">
        <x:is>
          <x:t xml:space="preserve">КОН-0024</x:t>
        </x:is>
      </x:c>
      <x:c r="B25" s="31" t="inlineStr">
        <x:is>
          <x:t xml:space="preserve">КЛ-012</x:t>
        </x:is>
      </x:c>
      <x:c r="C25" s="31" t="inlineStr">
        <x:is>
          <x:t xml:space="preserve">Козлов Дмитрий Андреевич</x:t>
        </x:is>
      </x:c>
      <x:c r="D25" s="31" t="inlineStr">
        <x:is>
          <x:t xml:space="preserve">Финансовый директор</x:t>
        </x:is>
      </x:c>
      <x:c r="E25" s="31" t="inlineStr">
        <x:is>
          <x:t xml:space="preserve">+7 991 912-89-68</x:t>
        </x:is>
      </x:c>
      <x:c r="F25" s="31" t="inlineStr">
        <x:is>
          <x:t xml:space="preserve">contact24@волгалогистика.test</x:t>
        </x:is>
      </x:c>
      <x:c r="G25" s="31" t="inlineStr">
        <x:is>
          <x:t xml:space="preserve">Основной</x:t>
        </x:is>
      </x:c>
      <x:c r="H25" s="31" t="inlineStr">
        <x:is>
          <x:t xml:space="preserve">Да</x:t>
        </x:is>
      </x:c>
    </x:row>
    <x:row r="26" ht="18" customHeight="1">
      <x:c r="A26" s="31" t="inlineStr">
        <x:is>
          <x:t xml:space="preserve">КОН-0025</x:t>
        </x:is>
      </x:c>
      <x:c r="B26" s="31" t="inlineStr">
        <x:is>
          <x:t xml:space="preserve">КЛ-013</x:t>
        </x:is>
      </x:c>
      <x:c r="C26" s="31" t="inlineStr">
        <x:is>
          <x:t xml:space="preserve">Петров Ирина Олегович</x:t>
        </x:is>
      </x:c>
      <x:c r="D26" s="31" t="inlineStr">
        <x:is>
          <x:t xml:space="preserve">Менеджер проекта</x:t>
        </x:is>
      </x:c>
      <x:c r="E26" s="31" t="inlineStr">
        <x:is>
          <x:t xml:space="preserve">+7 940 835-28-47</x:t>
        </x:is>
      </x:c>
      <x:c r="F26" s="31" t="inlineStr">
        <x:is>
          <x:t xml:space="preserve">contact25@промлогистика.test</x:t>
        </x:is>
      </x:c>
      <x:c r="G26" s="31" t="inlineStr">
        <x:is>
          <x:t xml:space="preserve">Технический</x:t>
        </x:is>
      </x:c>
      <x:c r="H26" s="31" t="inlineStr">
        <x:is>
          <x:t xml:space="preserve">Да</x:t>
        </x:is>
      </x:c>
    </x:row>
    <x:row r="27" ht="18" customHeight="1">
      <x:c r="A27" s="31" t="inlineStr">
        <x:is>
          <x:t xml:space="preserve">КОН-0026</x:t>
        </x:is>
      </x:c>
      <x:c r="B27" s="31" t="inlineStr">
        <x:is>
          <x:t xml:space="preserve">КЛ-013</x:t>
        </x:is>
      </x:c>
      <x:c r="C27" s="31" t="inlineStr">
        <x:is>
          <x:t xml:space="preserve">Семенов Ольга Павлович</x:t>
        </x:is>
      </x:c>
      <x:c r="D27" s="31" t="inlineStr">
        <x:is>
          <x:t xml:space="preserve">Начальник ПТО</x:t>
        </x:is>
      </x:c>
      <x:c r="E27" s="31" t="inlineStr">
        <x:is>
          <x:t xml:space="preserve">+7 995 784-20-77</x:t>
        </x:is>
      </x:c>
      <x:c r="F27" s="31" t="inlineStr">
        <x:is>
          <x:t xml:space="preserve">contact26@промлогистика.test</x:t>
        </x:is>
      </x:c>
      <x:c r="G27" s="31" t="inlineStr">
        <x:is>
          <x:t xml:space="preserve">Закупки</x:t>
        </x:is>
      </x:c>
      <x:c r="H27" s="31" t="inlineStr">
        <x:is>
          <x:t xml:space="preserve">Да</x:t>
        </x:is>
      </x:c>
    </x:row>
    <x:row r="28" ht="18" customHeight="1">
      <x:c r="A28" s="31" t="inlineStr">
        <x:is>
          <x:t xml:space="preserve">КОН-0027</x:t>
        </x:is>
      </x:c>
      <x:c r="B28" s="31" t="inlineStr">
        <x:is>
          <x:t xml:space="preserve">КЛ-013</x:t>
        </x:is>
      </x:c>
      <x:c r="C28" s="31" t="inlineStr">
        <x:is>
          <x:t xml:space="preserve">Крылов Анна Олегович</x:t>
        </x:is>
      </x:c>
      <x:c r="D28" s="31" t="inlineStr">
        <x:is>
          <x:t xml:space="preserve">Директор производства</x:t>
        </x:is>
      </x:c>
      <x:c r="E28" s="31" t="inlineStr">
        <x:is>
          <x:t xml:space="preserve">+7 974 667-12-59</x:t>
        </x:is>
      </x:c>
      <x:c r="F28" s="31" t="inlineStr">
        <x:is>
          <x:t xml:space="preserve">contact27@промлогистика.test</x:t>
        </x:is>
      </x:c>
      <x:c r="G28" s="31" t="inlineStr">
        <x:is>
          <x:t xml:space="preserve">Закупки</x:t>
        </x:is>
      </x:c>
      <x:c r="H28" s="31" t="inlineStr">
        <x:is>
          <x:t xml:space="preserve">Да</x:t>
        </x:is>
      </x:c>
    </x:row>
    <x:row r="29" ht="18" customHeight="1">
      <x:c r="A29" s="31" t="inlineStr">
        <x:is>
          <x:t xml:space="preserve">КОН-0028</x:t>
        </x:is>
      </x:c>
      <x:c r="B29" s="31" t="inlineStr">
        <x:is>
          <x:t xml:space="preserve">КЛ-013</x:t>
        </x:is>
      </x:c>
      <x:c r="C29" s="31" t="inlineStr">
        <x:is>
          <x:t xml:space="preserve">Комаров Роман Николаевич</x:t>
        </x:is>
      </x:c>
      <x:c r="D29" s="31" t="inlineStr">
        <x:is>
          <x:t xml:space="preserve">Главный механик</x:t>
        </x:is>
      </x:c>
      <x:c r="E29" s="31" t="inlineStr">
        <x:is>
          <x:t xml:space="preserve">+7 912 465-18-54</x:t>
        </x:is>
      </x:c>
      <x:c r="F29" s="31" t="inlineStr">
        <x:is>
          <x:t xml:space="preserve">contact28@промлогистика.test</x:t>
        </x:is>
      </x:c>
      <x:c r="G29" s="31" t="inlineStr">
        <x:is>
          <x:t xml:space="preserve">Основной</x:t>
        </x:is>
      </x:c>
      <x:c r="H29" s="31" t="inlineStr">
        <x:is>
          <x:t xml:space="preserve">Да</x:t>
        </x:is>
      </x:c>
    </x:row>
    <x:row r="30" ht="18" customHeight="1">
      <x:c r="A30" s="31" t="inlineStr">
        <x:is>
          <x:t xml:space="preserve">КОН-0029</x:t>
        </x:is>
      </x:c>
      <x:c r="B30" s="31" t="inlineStr">
        <x:is>
          <x:t xml:space="preserve">КЛ-014</x:t>
        </x:is>
      </x:c>
      <x:c r="C30" s="31" t="inlineStr">
        <x:is>
          <x:t xml:space="preserve">Михайлов Николай Алексеевич</x:t>
        </x:is>
      </x:c>
      <x:c r="D30" s="31" t="inlineStr">
        <x:is>
          <x:t xml:space="preserve">Руководитель закупок</x:t>
        </x:is>
      </x:c>
      <x:c r="E30" s="31" t="inlineStr">
        <x:is>
          <x:t xml:space="preserve">+7 979 446-92-32</x:t>
        </x:is>
      </x:c>
      <x:c r="F30" s="31" t="inlineStr">
        <x:is>
          <x:t xml:space="preserve">contact29@портэнерго.test</x:t>
        </x:is>
      </x:c>
      <x:c r="G30" s="31" t="inlineStr">
        <x:is>
          <x:t xml:space="preserve">Финансы</x:t>
        </x:is>
      </x:c>
      <x:c r="H30" s="31" t="inlineStr">
        <x:is>
          <x:t xml:space="preserve">Да</x:t>
        </x:is>
      </x:c>
    </x:row>
    <x:row r="31" ht="18" customHeight="1">
      <x:c r="A31" s="31" t="inlineStr">
        <x:is>
          <x:t xml:space="preserve">КОН-0030</x:t>
        </x:is>
      </x:c>
      <x:c r="B31" s="31" t="inlineStr">
        <x:is>
          <x:t xml:space="preserve">КЛ-015</x:t>
        </x:is>
      </x:c>
      <x:c r="C31" s="31" t="inlineStr">
        <x:is>
          <x:t xml:space="preserve">Соловьев Николай Дмитриевич</x:t>
        </x:is>
      </x:c>
      <x:c r="D31" s="31" t="inlineStr">
        <x:is>
          <x:t xml:space="preserve">Главный механик</x:t>
        </x:is>
      </x:c>
      <x:c r="E31" s="31" t="inlineStr">
        <x:is>
          <x:t xml:space="preserve">+7 968 137-47-35</x:t>
        </x:is>
      </x:c>
      <x:c r="F31" s="31" t="inlineStr">
        <x:is>
          <x:t xml:space="preserve">contact30@химкомплект.test</x:t>
        </x:is>
      </x:c>
      <x:c r="G31" s="31" t="inlineStr">
        <x:is>
          <x:t xml:space="preserve">Основной</x:t>
        </x:is>
      </x:c>
      <x:c r="H31" s="31" t="inlineStr">
        <x:is>
          <x:t xml:space="preserve">Да</x:t>
        </x:is>
      </x:c>
    </x:row>
    <x:row r="32" ht="18" customHeight="1">
      <x:c r="A32" s="31" t="inlineStr">
        <x:is>
          <x:t xml:space="preserve">КОН-0031</x:t>
        </x:is>
      </x:c>
      <x:c r="B32" s="31" t="inlineStr">
        <x:is>
          <x:t xml:space="preserve">КЛ-015</x:t>
        </x:is>
      </x:c>
      <x:c r="C32" s="31" t="inlineStr">
        <x:is>
          <x:t xml:space="preserve">Смирнов Владимир Николаевна</x:t>
        </x:is>
      </x:c>
      <x:c r="D32" s="31" t="inlineStr">
        <x:is>
          <x:t xml:space="preserve">Руководитель закупок</x:t>
        </x:is>
      </x:c>
      <x:c r="E32" s="31" t="inlineStr">
        <x:is>
          <x:t xml:space="preserve">+7 975 507-79-70</x:t>
        </x:is>
      </x:c>
      <x:c r="F32" s="31" t="inlineStr">
        <x:is>
          <x:t xml:space="preserve">contact31@химкомплект.test</x:t>
        </x:is>
      </x:c>
      <x:c r="G32" s="31" t="inlineStr">
        <x:is>
          <x:t xml:space="preserve">Основной</x:t>
        </x:is>
      </x:c>
      <x:c r="H32" s="31" t="inlineStr">
        <x:is>
          <x:t xml:space="preserve">Да</x:t>
        </x:is>
      </x:c>
    </x:row>
    <x:row r="33" ht="18" customHeight="1">
      <x:c r="A33" s="31" t="inlineStr">
        <x:is>
          <x:t xml:space="preserve">КОН-0032</x:t>
        </x:is>
      </x:c>
      <x:c r="B33" s="31" t="inlineStr">
        <x:is>
          <x:t xml:space="preserve">КЛ-015</x:t>
        </x:is>
      </x:c>
      <x:c r="C33" s="31" t="inlineStr">
        <x:is>
          <x:t xml:space="preserve">Васильев Антон Ильич</x:t>
        </x:is>
      </x:c>
      <x:c r="D33" s="31" t="inlineStr">
        <x:is>
          <x:t xml:space="preserve">Директор производства</x:t>
        </x:is>
      </x:c>
      <x:c r="E33" s="31" t="inlineStr">
        <x:is>
          <x:t xml:space="preserve">+7 916 986-93-52</x:t>
        </x:is>
      </x:c>
      <x:c r="F33" s="31" t="inlineStr">
        <x:is>
          <x:t xml:space="preserve">contact32@химкомплект.test</x:t>
        </x:is>
      </x:c>
      <x:c r="G33" s="31" t="inlineStr">
        <x:is>
          <x:t xml:space="preserve">Основной</x:t>
        </x:is>
      </x:c>
      <x:c r="H33" s="31" t="inlineStr">
        <x:is>
          <x:t xml:space="preserve">Да</x:t>
        </x:is>
      </x:c>
    </x:row>
    <x:row r="34" ht="18" customHeight="1">
      <x:c r="A34" s="31" t="inlineStr">
        <x:is>
          <x:t xml:space="preserve">КОН-0033</x:t>
        </x:is>
      </x:c>
      <x:c r="B34" s="31" t="inlineStr">
        <x:is>
          <x:t xml:space="preserve">КЛ-015</x:t>
        </x:is>
      </x:c>
      <x:c r="C34" s="31" t="inlineStr">
        <x:is>
          <x:t xml:space="preserve">Макаров Кирилл Дмитриевна</x:t>
        </x:is>
      </x:c>
      <x:c r="D34" s="31" t="inlineStr">
        <x:is>
          <x:t xml:space="preserve">Финансовый директор</x:t>
        </x:is>
      </x:c>
      <x:c r="E34" s="31" t="inlineStr">
        <x:is>
          <x:t xml:space="preserve">+7 959 447-33-73</x:t>
        </x:is>
      </x:c>
      <x:c r="F34" s="31" t="inlineStr">
        <x:is>
          <x:t xml:space="preserve">contact33@химкомплект.test</x:t>
        </x:is>
      </x:c>
      <x:c r="G34" s="31" t="inlineStr">
        <x:is>
          <x:t xml:space="preserve">Финансы</x:t>
        </x:is>
      </x:c>
      <x:c r="H34" s="31" t="inlineStr">
        <x:is>
          <x:t xml:space="preserve">Да</x:t>
        </x:is>
      </x:c>
    </x:row>
    <x:row r="35" ht="18" customHeight="1">
      <x:c r="A35" s="31" t="inlineStr">
        <x:is>
          <x:t xml:space="preserve">КОН-0034</x:t>
        </x:is>
      </x:c>
      <x:c r="B35" s="31" t="inlineStr">
        <x:is>
          <x:t xml:space="preserve">КЛ-016</x:t>
        </x:is>
      </x:c>
      <x:c r="C35" s="31" t="inlineStr">
        <x:is>
          <x:t xml:space="preserve">Соколов Юлия Павлович</x:t>
        </x:is>
      </x:c>
      <x:c r="D35" s="31" t="inlineStr">
        <x:is>
          <x:t xml:space="preserve">Главный инженер</x:t>
        </x:is>
      </x:c>
      <x:c r="E35" s="31" t="inlineStr">
        <x:is>
          <x:t xml:space="preserve">+7 965 716-33-79</x:t>
        </x:is>
      </x:c>
      <x:c r="F35" s="31" t="inlineStr">
        <x:is>
          <x:t xml:space="preserve">contact34@волгатехнологии.test</x:t>
        </x:is>
      </x:c>
      <x:c r="G35" s="31" t="inlineStr">
        <x:is>
          <x:t xml:space="preserve">Основной</x:t>
        </x:is>
      </x:c>
      <x:c r="H35" s="31" t="inlineStr">
        <x:is>
          <x:t xml:space="preserve">Да</x:t>
        </x:is>
      </x:c>
    </x:row>
    <x:row r="36" ht="18" customHeight="1">
      <x:c r="A36" s="31" t="inlineStr">
        <x:is>
          <x:t xml:space="preserve">КОН-0035</x:t>
        </x:is>
      </x:c>
      <x:c r="B36" s="31" t="inlineStr">
        <x:is>
          <x:t xml:space="preserve">КЛ-016</x:t>
        </x:is>
      </x:c>
      <x:c r="C36" s="31" t="inlineStr">
        <x:is>
          <x:t xml:space="preserve">Федоров Елена Николаевич</x:t>
        </x:is>
      </x:c>
      <x:c r="D36" s="31" t="inlineStr">
        <x:is>
          <x:t xml:space="preserve">Руководитель закупок</x:t>
        </x:is>
      </x:c>
      <x:c r="E36" s="31" t="inlineStr">
        <x:is>
          <x:t xml:space="preserve">+7 967 717-64-31</x:t>
        </x:is>
      </x:c>
      <x:c r="F36" s="31" t="inlineStr">
        <x:is>
          <x:t xml:space="preserve">contact35@волгатехнологии.test</x:t>
        </x:is>
      </x:c>
      <x:c r="G36" s="31" t="inlineStr">
        <x:is>
          <x:t xml:space="preserve">Финансы</x:t>
        </x:is>
      </x:c>
      <x:c r="H36" s="31" t="inlineStr">
        <x:is>
          <x:t xml:space="preserve">Да</x:t>
        </x:is>
      </x:c>
    </x:row>
    <x:row r="37" ht="18" customHeight="1">
      <x:c r="A37" s="31" t="inlineStr">
        <x:is>
          <x:t xml:space="preserve">КОН-0036</x:t>
        </x:is>
      </x:c>
      <x:c r="B37" s="31" t="inlineStr">
        <x:is>
          <x:t xml:space="preserve">КЛ-016</x:t>
        </x:is>
      </x:c>
      <x:c r="C37" s="31" t="inlineStr">
        <x:is>
          <x:t xml:space="preserve">Смирнов Юлия Андреевна</x:t>
        </x:is>
      </x:c>
      <x:c r="D37" s="31" t="inlineStr">
        <x:is>
          <x:t xml:space="preserve">Руководитель закупок</x:t>
        </x:is>
      </x:c>
      <x:c r="E37" s="31" t="inlineStr">
        <x:is>
          <x:t xml:space="preserve">+7 988 545-45-91</x:t>
        </x:is>
      </x:c>
      <x:c r="F37" s="31" t="inlineStr">
        <x:is>
          <x:t xml:space="preserve">contact36@волгатехнологии.test</x:t>
        </x:is>
      </x:c>
      <x:c r="G37" s="31" t="inlineStr">
        <x:is>
          <x:t xml:space="preserve">Закупки</x:t>
        </x:is>
      </x:c>
      <x:c r="H37" s="31" t="inlineStr">
        <x:is>
          <x:t xml:space="preserve">Нет</x:t>
        </x:is>
      </x:c>
    </x:row>
    <x:row r="38" ht="18" customHeight="1">
      <x:c r="A38" s="31" t="inlineStr">
        <x:is>
          <x:t xml:space="preserve">КОН-0037</x:t>
        </x:is>
      </x:c>
      <x:c r="B38" s="31" t="inlineStr">
        <x:is>
          <x:t xml:space="preserve">КЛ-017</x:t>
        </x:is>
      </x:c>
      <x:c r="C38" s="31" t="inlineStr">
        <x:is>
          <x:t xml:space="preserve">Орлов Роман Олегович</x:t>
        </x:is>
      </x:c>
      <x:c r="D38" s="31" t="inlineStr">
        <x:is>
          <x:t xml:space="preserve">Директор производства</x:t>
        </x:is>
      </x:c>
      <x:c r="E38" s="31" t="inlineStr">
        <x:is>
          <x:t xml:space="preserve">+7 996 263-13-28</x:t>
        </x:is>
      </x:c>
      <x:c r="F38" s="31" t="inlineStr">
        <x:is>
          <x:t xml:space="preserve">contact37@векторкомплект.test</x:t>
        </x:is>
      </x:c>
      <x:c r="G38" s="31" t="inlineStr">
        <x:is>
          <x:t xml:space="preserve">Финансы</x:t>
        </x:is>
      </x:c>
      <x:c r="H38" s="31" t="inlineStr">
        <x:is>
          <x:t xml:space="preserve">Да</x:t>
        </x:is>
      </x:c>
    </x:row>
    <x:row r="39" ht="18" customHeight="1">
      <x:c r="A39" s="31" t="inlineStr">
        <x:is>
          <x:t xml:space="preserve">КОН-0038</x:t>
        </x:is>
      </x:c>
      <x:c r="B39" s="31" t="inlineStr">
        <x:is>
          <x:t xml:space="preserve">КЛ-018</x:t>
        </x:is>
      </x:c>
      <x:c r="C39" s="31" t="inlineStr">
        <x:is>
          <x:t xml:space="preserve">Смирнов Николай Дмитриевич</x:t>
        </x:is>
      </x:c>
      <x:c r="D39" s="31" t="inlineStr">
        <x:is>
          <x:t xml:space="preserve">Начальник ПТО</x:t>
        </x:is>
      </x:c>
      <x:c r="E39" s="31" t="inlineStr">
        <x:is>
          <x:t xml:space="preserve">+7 992 475-56-59</x:t>
        </x:is>
      </x:c>
      <x:c r="F39" s="31" t="inlineStr">
        <x:is>
          <x:t xml:space="preserve">contact38@камасервис.test</x:t>
        </x:is>
      </x:c>
      <x:c r="G39" s="31" t="inlineStr">
        <x:is>
          <x:t xml:space="preserve">Закупки</x:t>
        </x:is>
      </x:c>
      <x:c r="H39" s="31" t="inlineStr">
        <x:is>
          <x:t xml:space="preserve">Да</x:t>
        </x:is>
      </x:c>
    </x:row>
    <x:row r="40" ht="18" customHeight="1">
      <x:c r="A40" s="31" t="inlineStr">
        <x:is>
          <x:t xml:space="preserve">КОН-0039</x:t>
        </x:is>
      </x:c>
      <x:c r="B40" s="31" t="inlineStr">
        <x:is>
          <x:t xml:space="preserve">КЛ-018</x:t>
        </x:is>
      </x:c>
      <x:c r="C40" s="31" t="inlineStr">
        <x:is>
          <x:t xml:space="preserve">Морозов Елена Михайлович</x:t>
        </x:is>
      </x:c>
      <x:c r="D40" s="31" t="inlineStr">
        <x:is>
          <x:t xml:space="preserve">Руководитель закупок</x:t>
        </x:is>
      </x:c>
      <x:c r="E40" s="31" t="inlineStr">
        <x:is>
          <x:t xml:space="preserve">+7 957 554-19-83</x:t>
        </x:is>
      </x:c>
      <x:c r="F40" s="31" t="inlineStr">
        <x:is>
          <x:t xml:space="preserve">contact39@камасервис.test</x:t>
        </x:is>
      </x:c>
      <x:c r="G40" s="31" t="inlineStr">
        <x:is>
          <x:t xml:space="preserve">Основной</x:t>
        </x:is>
      </x:c>
      <x:c r="H40" s="31" t="inlineStr">
        <x:is>
          <x:t xml:space="preserve">Да</x:t>
        </x:is>
      </x:c>
    </x:row>
    <x:row r="41" ht="18" customHeight="1">
      <x:c r="A41" s="31" t="inlineStr">
        <x:is>
          <x:t xml:space="preserve">КОН-0040</x:t>
        </x:is>
      </x:c>
      <x:c r="B41" s="31" t="inlineStr">
        <x:is>
          <x:t xml:space="preserve">КЛ-018</x:t>
        </x:is>
      </x:c>
      <x:c r="C41" s="31" t="inlineStr">
        <x:is>
          <x:t xml:space="preserve">Федоров Ирина Николаевич</x:t>
        </x:is>
      </x:c>
      <x:c r="D41" s="31" t="inlineStr">
        <x:is>
          <x:t xml:space="preserve">Начальник ПТО</x:t>
        </x:is>
      </x:c>
      <x:c r="E41" s="31" t="inlineStr">
        <x:is>
          <x:t xml:space="preserve">+7 924 126-33-73</x:t>
        </x:is>
      </x:c>
      <x:c r="F41" s="31" t="inlineStr">
        <x:is>
          <x:t xml:space="preserve">contact40@камасервис.test</x:t>
        </x:is>
      </x:c>
      <x:c r="G41" s="31" t="inlineStr">
        <x:is>
          <x:t xml:space="preserve">Технический</x:t>
        </x:is>
      </x:c>
      <x:c r="H41" s="31" t="inlineStr">
        <x:is>
          <x:t xml:space="preserve">Нет</x:t>
        </x:is>
      </x:c>
    </x:row>
    <x:row r="42" ht="18" customHeight="1">
      <x:c r="A42" s="31" t="inlineStr">
        <x:is>
          <x:t xml:space="preserve">КОН-0041</x:t>
        </x:is>
      </x:c>
      <x:c r="B42" s="31" t="inlineStr">
        <x:is>
          <x:t xml:space="preserve">КЛ-018</x:t>
        </x:is>
      </x:c>
      <x:c r="C42" s="31" t="inlineStr">
        <x:is>
          <x:t xml:space="preserve">Козлов Михаил Сергеевна</x:t>
        </x:is>
      </x:c>
      <x:c r="D42" s="31" t="inlineStr">
        <x:is>
          <x:t xml:space="preserve">Руководитель закупок</x:t>
        </x:is>
      </x:c>
      <x:c r="E42" s="31" t="inlineStr">
        <x:is>
          <x:t xml:space="preserve">+7 967 319-88-46</x:t>
        </x:is>
      </x:c>
      <x:c r="F42" s="31" t="inlineStr">
        <x:is>
          <x:t xml:space="preserve">contact41@камасервис.test</x:t>
        </x:is>
      </x:c>
      <x:c r="G42" s="31" t="inlineStr">
        <x:is>
          <x:t xml:space="preserve">Финансы</x:t>
        </x:is>
      </x:c>
      <x:c r="H42" s="31" t="inlineStr">
        <x:is>
          <x:t xml:space="preserve">Нет</x:t>
        </x:is>
      </x:c>
    </x:row>
    <x:row r="43" ht="18" customHeight="1">
      <x:c r="A43" s="31" t="inlineStr">
        <x:is>
          <x:t xml:space="preserve">КОН-0042</x:t>
        </x:is>
      </x:c>
      <x:c r="B43" s="31" t="inlineStr">
        <x:is>
          <x:t xml:space="preserve">КЛ-019</x:t>
        </x:is>
      </x:c>
      <x:c r="C43" s="31" t="inlineStr">
        <x:is>
          <x:t xml:space="preserve">Козлов Николай Андреевна</x:t>
        </x:is>
      </x:c>
      <x:c r="D43" s="31" t="inlineStr">
        <x:is>
          <x:t xml:space="preserve">Главный инженер</x:t>
        </x:is>
      </x:c>
      <x:c r="E43" s="31" t="inlineStr">
        <x:is>
          <x:t xml:space="preserve">+7 967 276-66-21</x:t>
        </x:is>
      </x:c>
      <x:c r="F43" s="31" t="inlineStr">
        <x:is>
          <x:t xml:space="preserve">contact42@металлэнерго.test</x:t>
        </x:is>
      </x:c>
      <x:c r="G43" s="31" t="inlineStr">
        <x:is>
          <x:t xml:space="preserve">Финансы</x:t>
        </x:is>
      </x:c>
      <x:c r="H43" s="31" t="inlineStr">
        <x:is>
          <x:t xml:space="preserve">Нет</x:t>
        </x:is>
      </x:c>
    </x:row>
    <x:row r="44" ht="18" customHeight="1">
      <x:c r="A44" s="31" t="inlineStr">
        <x:is>
          <x:t xml:space="preserve">КОН-0043</x:t>
        </x:is>
      </x:c>
      <x:c r="B44" s="31" t="inlineStr">
        <x:is>
          <x:t xml:space="preserve">КЛ-019</x:t>
        </x:is>
      </x:c>
      <x:c r="C44" s="31" t="inlineStr">
        <x:is>
          <x:t xml:space="preserve">Федоров Елена Ильич</x:t>
        </x:is>
      </x:c>
      <x:c r="D44" s="31" t="inlineStr">
        <x:is>
          <x:t xml:space="preserve">Главный механик</x:t>
        </x:is>
      </x:c>
      <x:c r="E44" s="31" t="inlineStr">
        <x:is>
          <x:t xml:space="preserve">+7 918 663-79-47</x:t>
        </x:is>
      </x:c>
      <x:c r="F44" s="31" t="inlineStr">
        <x:is>
          <x:t xml:space="preserve">contact43@металлэнерго.test</x:t>
        </x:is>
      </x:c>
      <x:c r="G44" s="31" t="inlineStr">
        <x:is>
          <x:t xml:space="preserve">Закупки</x:t>
        </x:is>
      </x:c>
      <x:c r="H44" s="31" t="inlineStr">
        <x:is>
          <x:t xml:space="preserve">Да</x:t>
        </x:is>
      </x:c>
    </x:row>
    <x:row r="45" ht="18" customHeight="1">
      <x:c r="A45" s="31" t="inlineStr">
        <x:is>
          <x:t xml:space="preserve">КОН-0044</x:t>
        </x:is>
      </x:c>
      <x:c r="B45" s="31" t="inlineStr">
        <x:is>
          <x:t xml:space="preserve">КЛ-020</x:t>
        </x:is>
      </x:c>
      <x:c r="C45" s="31" t="inlineStr">
        <x:is>
          <x:t xml:space="preserve">Тарасов Екатерина Андреевич</x:t>
        </x:is>
      </x:c>
      <x:c r="D45" s="31" t="inlineStr">
        <x:is>
          <x:t xml:space="preserve">Главный инженер</x:t>
        </x:is>
      </x:c>
      <x:c r="E45" s="31" t="inlineStr">
        <x:is>
          <x:t xml:space="preserve">+7 935 911-27-40</x:t>
        </x:is>
      </x:c>
      <x:c r="F45" s="31" t="inlineStr">
        <x:is>
          <x:t xml:space="preserve">contact44@газэнерго.test</x:t>
        </x:is>
      </x:c>
      <x:c r="G45" s="31" t="inlineStr">
        <x:is>
          <x:t xml:space="preserve">Финансы</x:t>
        </x:is>
      </x:c>
      <x:c r="H45" s="31" t="inlineStr">
        <x:is>
          <x:t xml:space="preserve">Да</x:t>
        </x:is>
      </x:c>
    </x:row>
    <x:row r="46" ht="18" customHeight="1">
      <x:c r="A46" s="31" t="inlineStr">
        <x:is>
          <x:t xml:space="preserve">КОН-0045</x:t>
        </x:is>
      </x:c>
      <x:c r="B46" s="31" t="inlineStr">
        <x:is>
          <x:t xml:space="preserve">КЛ-020</x:t>
        </x:is>
      </x:c>
      <x:c r="C46" s="31" t="inlineStr">
        <x:is>
          <x:t xml:space="preserve">Тарасов Иван Сергеевна</x:t>
        </x:is>
      </x:c>
      <x:c r="D46" s="31" t="inlineStr">
        <x:is>
          <x:t xml:space="preserve">Менеджер проекта</x:t>
        </x:is>
      </x:c>
      <x:c r="E46" s="31" t="inlineStr">
        <x:is>
          <x:t xml:space="preserve">+7 926 726-21-18</x:t>
        </x:is>
      </x:c>
      <x:c r="F46" s="31" t="inlineStr">
        <x:is>
          <x:t xml:space="preserve">contact45@газэнерго.test</x:t>
        </x:is>
      </x:c>
      <x:c r="G46" s="31" t="inlineStr">
        <x:is>
          <x:t xml:space="preserve">Основной</x:t>
        </x:is>
      </x:c>
      <x:c r="H46" s="31" t="inlineStr">
        <x:is>
          <x:t xml:space="preserve">Нет</x:t>
        </x:is>
      </x:c>
    </x:row>
    <x:row r="47" ht="18" customHeight="1">
      <x:c r="A47" s="31" t="inlineStr">
        <x:is>
          <x:t xml:space="preserve">КОН-0046</x:t>
        </x:is>
      </x:c>
      <x:c r="B47" s="31" t="inlineStr">
        <x:is>
          <x:t xml:space="preserve">КЛ-021</x:t>
        </x:is>
      </x:c>
      <x:c r="C47" s="31" t="inlineStr">
        <x:is>
          <x:t xml:space="preserve">Крылов Олег Сергеевна</x:t>
        </x:is>
      </x:c>
      <x:c r="D47" s="31" t="inlineStr">
        <x:is>
          <x:t xml:space="preserve">Финансовый директор</x:t>
        </x:is>
      </x:c>
      <x:c r="E47" s="31" t="inlineStr">
        <x:is>
          <x:t xml:space="preserve">+7 983 175-26-50</x:t>
        </x:is>
      </x:c>
      <x:c r="F47" s="31" t="inlineStr">
        <x:is>
          <x:t xml:space="preserve">contact46@газэнерго.test</x:t>
        </x:is>
      </x:c>
      <x:c r="G47" s="31" t="inlineStr">
        <x:is>
          <x:t xml:space="preserve">Технический</x:t>
        </x:is>
      </x:c>
      <x:c r="H47" s="31" t="inlineStr">
        <x:is>
          <x:t xml:space="preserve">Да</x:t>
        </x:is>
      </x:c>
    </x:row>
    <x:row r="48" ht="18" customHeight="1">
      <x:c r="A48" s="31" t="inlineStr">
        <x:is>
          <x:t xml:space="preserve">КОН-0047</x:t>
        </x:is>
      </x:c>
      <x:c r="B48" s="31" t="inlineStr">
        <x:is>
          <x:t xml:space="preserve">КЛ-021</x:t>
        </x:is>
      </x:c>
      <x:c r="C48" s="31" t="inlineStr">
        <x:is>
          <x:t xml:space="preserve">Крылов Роман Сергеевич</x:t>
        </x:is>
      </x:c>
      <x:c r="D48" s="31" t="inlineStr">
        <x:is>
          <x:t xml:space="preserve">Директор производства</x:t>
        </x:is>
      </x:c>
      <x:c r="E48" s="31" t="inlineStr">
        <x:is>
          <x:t xml:space="preserve">+7 980 755-85-33</x:t>
        </x:is>
      </x:c>
      <x:c r="F48" s="31" t="inlineStr">
        <x:is>
          <x:t xml:space="preserve">contact47@газэнерго.test</x:t>
        </x:is>
      </x:c>
      <x:c r="G48" s="31" t="inlineStr">
        <x:is>
          <x:t xml:space="preserve">Финансы</x:t>
        </x:is>
      </x:c>
      <x:c r="H48" s="31" t="inlineStr">
        <x:is>
          <x:t xml:space="preserve">Да</x:t>
        </x:is>
      </x:c>
    </x:row>
    <x:row r="49" ht="18" customHeight="1">
      <x:c r="A49" s="31" t="inlineStr">
        <x:is>
          <x:t xml:space="preserve">КОН-0048</x:t>
        </x:is>
      </x:c>
      <x:c r="B49" s="31" t="inlineStr">
        <x:is>
          <x:t xml:space="preserve">КЛ-021</x:t>
        </x:is>
      </x:c>
      <x:c r="C49" s="31" t="inlineStr">
        <x:is>
          <x:t xml:space="preserve">Титов Дмитрий Андреевна</x:t>
        </x:is>
      </x:c>
      <x:c r="D49" s="31" t="inlineStr">
        <x:is>
          <x:t xml:space="preserve">Главный инженер</x:t>
        </x:is>
      </x:c>
      <x:c r="E49" s="31" t="inlineStr">
        <x:is>
          <x:t xml:space="preserve">+7 976 256-48-31</x:t>
        </x:is>
      </x:c>
      <x:c r="F49" s="31" t="inlineStr">
        <x:is>
          <x:t xml:space="preserve">contact48@газэнерго.test</x:t>
        </x:is>
      </x:c>
      <x:c r="G49" s="31" t="inlineStr">
        <x:is>
          <x:t xml:space="preserve">Основной</x:t>
        </x:is>
      </x:c>
      <x:c r="H49" s="31" t="inlineStr">
        <x:is>
          <x:t xml:space="preserve">Нет</x:t>
        </x:is>
      </x:c>
    </x:row>
    <x:row r="50" ht="18" customHeight="1">
      <x:c r="A50" s="31" t="inlineStr">
        <x:is>
          <x:t xml:space="preserve">КОН-0049</x:t>
        </x:is>
      </x:c>
      <x:c r="B50" s="31" t="inlineStr">
        <x:is>
          <x:t xml:space="preserve">КЛ-021</x:t>
        </x:is>
      </x:c>
      <x:c r="C50" s="31" t="inlineStr">
        <x:is>
          <x:t xml:space="preserve">Павлов Роман Олегович</x:t>
        </x:is>
      </x:c>
      <x:c r="D50" s="31" t="inlineStr">
        <x:is>
          <x:t xml:space="preserve">Руководитель закупок</x:t>
        </x:is>
      </x:c>
      <x:c r="E50" s="31" t="inlineStr">
        <x:is>
          <x:t xml:space="preserve">+7 920 356-35-91</x:t>
        </x:is>
      </x:c>
      <x:c r="F50" s="31" t="inlineStr">
        <x:is>
          <x:t xml:space="preserve">contact49@газэнерго.test</x:t>
        </x:is>
      </x:c>
      <x:c r="G50" s="31" t="inlineStr">
        <x:is>
          <x:t xml:space="preserve">Закупки</x:t>
        </x:is>
      </x:c>
      <x:c r="H50" s="31" t="inlineStr">
        <x:is>
          <x:t xml:space="preserve">Да</x:t>
        </x:is>
      </x:c>
    </x:row>
    <x:row r="51" ht="18" customHeight="1">
      <x:c r="A51" s="31" t="inlineStr">
        <x:is>
          <x:t xml:space="preserve">КОН-0050</x:t>
        </x:is>
      </x:c>
      <x:c r="B51" s="31" t="inlineStr">
        <x:is>
          <x:t xml:space="preserve">КЛ-022</x:t>
        </x:is>
      </x:c>
      <x:c r="C51" s="31" t="inlineStr">
        <x:is>
          <x:t xml:space="preserve">Соколов Екатерина Алексеевна</x:t>
        </x:is>
      </x:c>
      <x:c r="D51" s="31" t="inlineStr">
        <x:is>
          <x:t xml:space="preserve">Начальник ПТО</x:t>
        </x:is>
      </x:c>
      <x:c r="E51" s="31" t="inlineStr">
        <x:is>
          <x:t xml:space="preserve">+7 985 694-29-31</x:t>
        </x:is>
      </x:c>
      <x:c r="F51" s="31" t="inlineStr">
        <x:is>
          <x:t xml:space="preserve">contact50@транскомплект.test</x:t>
        </x:is>
      </x:c>
      <x:c r="G51" s="31" t="inlineStr">
        <x:is>
          <x:t xml:space="preserve">Финансы</x:t>
        </x:is>
      </x:c>
      <x:c r="H51" s="31" t="inlineStr">
        <x:is>
          <x:t xml:space="preserve">Да</x:t>
        </x:is>
      </x:c>
    </x:row>
    <x:row r="52" ht="18" customHeight="1">
      <x:c r="A52" s="31" t="inlineStr">
        <x:is>
          <x:t xml:space="preserve">КОН-0051</x:t>
        </x:is>
      </x:c>
      <x:c r="B52" s="31" t="inlineStr">
        <x:is>
          <x:t xml:space="preserve">КЛ-022</x:t>
        </x:is>
      </x:c>
      <x:c r="C52" s="31" t="inlineStr">
        <x:is>
          <x:t xml:space="preserve">Михайлов Ольга Алексеевич</x:t>
        </x:is>
      </x:c>
      <x:c r="D52" s="31" t="inlineStr">
        <x:is>
          <x:t xml:space="preserve">Директор производства</x:t>
        </x:is>
      </x:c>
      <x:c r="E52" s="31" t="inlineStr">
        <x:is>
          <x:t xml:space="preserve">+7 913 183-15-92</x:t>
        </x:is>
      </x:c>
      <x:c r="F52" s="31" t="inlineStr">
        <x:is>
          <x:t xml:space="preserve">contact51@транскомплект.test</x:t>
        </x:is>
      </x:c>
      <x:c r="G52" s="31" t="inlineStr">
        <x:is>
          <x:t xml:space="preserve">Финансы</x:t>
        </x:is>
      </x:c>
      <x:c r="H52" s="31" t="inlineStr">
        <x:is>
          <x:t xml:space="preserve">Да</x:t>
        </x:is>
      </x:c>
    </x:row>
    <x:row r="53" ht="18" customHeight="1">
      <x:c r="A53" s="31" t="inlineStr">
        <x:is>
          <x:t xml:space="preserve">КОН-0052</x:t>
        </x:is>
      </x:c>
      <x:c r="B53" s="31" t="inlineStr">
        <x:is>
          <x:t xml:space="preserve">КЛ-022</x:t>
        </x:is>
      </x:c>
      <x:c r="C53" s="31" t="inlineStr">
        <x:is>
          <x:t xml:space="preserve">Зайцев Ольга Павлович</x:t>
        </x:is>
      </x:c>
      <x:c r="D53" s="31" t="inlineStr">
        <x:is>
          <x:t xml:space="preserve">Менеджер проекта</x:t>
        </x:is>
      </x:c>
      <x:c r="E53" s="31" t="inlineStr">
        <x:is>
          <x:t xml:space="preserve">+7 991 131-73-90</x:t>
        </x:is>
      </x:c>
      <x:c r="F53" s="31" t="inlineStr">
        <x:is>
          <x:t xml:space="preserve">contact52@транскомплект.test</x:t>
        </x:is>
      </x:c>
      <x:c r="G53" s="31" t="inlineStr">
        <x:is>
          <x:t xml:space="preserve">Технический</x:t>
        </x:is>
      </x:c>
      <x:c r="H53" s="31" t="inlineStr">
        <x:is>
          <x:t xml:space="preserve">Да</x:t>
        </x:is>
      </x:c>
    </x:row>
    <x:row r="54" ht="18" customHeight="1">
      <x:c r="A54" s="31" t="inlineStr">
        <x:is>
          <x:t xml:space="preserve">КОН-0053</x:t>
        </x:is>
      </x:c>
      <x:c r="B54" s="31" t="inlineStr">
        <x:is>
          <x:t xml:space="preserve">КЛ-023</x:t>
        </x:is>
      </x:c>
      <x:c r="C54" s="31" t="inlineStr">
        <x:is>
          <x:t xml:space="preserve">Ильин Егор Сергеевна</x:t>
        </x:is>
      </x:c>
      <x:c r="D54" s="31" t="inlineStr">
        <x:is>
          <x:t xml:space="preserve">Директор производства</x:t>
        </x:is>
      </x:c>
      <x:c r="E54" s="31" t="inlineStr">
        <x:is>
          <x:t xml:space="preserve">+7 997 515-48-68</x:t>
        </x:is>
      </x:c>
      <x:c r="F54" s="31" t="inlineStr">
        <x:is>
          <x:t xml:space="preserve">contact53@балтикавтоматика.test</x:t>
        </x:is>
      </x:c>
      <x:c r="G54" s="31" t="inlineStr">
        <x:is>
          <x:t xml:space="preserve">Основной</x:t>
        </x:is>
      </x:c>
      <x:c r="H54" s="31" t="inlineStr">
        <x:is>
          <x:t xml:space="preserve">Да</x:t>
        </x:is>
      </x:c>
    </x:row>
    <x:row r="55" ht="18" customHeight="1">
      <x:c r="A55" s="31" t="inlineStr">
        <x:is>
          <x:t xml:space="preserve">КОН-0054</x:t>
        </x:is>
      </x:c>
      <x:c r="B55" s="31" t="inlineStr">
        <x:is>
          <x:t xml:space="preserve">КЛ-023</x:t>
        </x:is>
      </x:c>
      <x:c r="C55" s="31" t="inlineStr">
        <x:is>
          <x:t xml:space="preserve">Андреев Олег Михайлович</x:t>
        </x:is>
      </x:c>
      <x:c r="D55" s="31" t="inlineStr">
        <x:is>
          <x:t xml:space="preserve">Финансовый директор</x:t>
        </x:is>
      </x:c>
      <x:c r="E55" s="31" t="inlineStr">
        <x:is>
          <x:t xml:space="preserve">+7 936 448-87-28</x:t>
        </x:is>
      </x:c>
      <x:c r="F55" s="31" t="inlineStr">
        <x:is>
          <x:t xml:space="preserve">contact54@балтикавтоматика.test</x:t>
        </x:is>
      </x:c>
      <x:c r="G55" s="31" t="inlineStr">
        <x:is>
          <x:t xml:space="preserve">Основной</x:t>
        </x:is>
      </x:c>
      <x:c r="H55" s="31" t="inlineStr">
        <x:is>
          <x:t xml:space="preserve">Да</x:t>
        </x:is>
      </x:c>
    </x:row>
    <x:row r="56" ht="18" customHeight="1">
      <x:c r="A56" s="31" t="inlineStr">
        <x:is>
          <x:t xml:space="preserve">КОН-0055</x:t>
        </x:is>
      </x:c>
      <x:c r="B56" s="31" t="inlineStr">
        <x:is>
          <x:t xml:space="preserve">КЛ-023</x:t>
        </x:is>
      </x:c>
      <x:c r="C56" s="31" t="inlineStr">
        <x:is>
          <x:t xml:space="preserve">Беляев Кирилл Сергеевич</x:t>
        </x:is>
      </x:c>
      <x:c r="D56" s="31" t="inlineStr">
        <x:is>
          <x:t xml:space="preserve">Директор производства</x:t>
        </x:is>
      </x:c>
      <x:c r="E56" s="31" t="inlineStr">
        <x:is>
          <x:t xml:space="preserve">+7 957 627-81-23</x:t>
        </x:is>
      </x:c>
      <x:c r="F56" s="31" t="inlineStr">
        <x:is>
          <x:t xml:space="preserve">contact55@балтикавтоматика.test</x:t>
        </x:is>
      </x:c>
      <x:c r="G56" s="31" t="inlineStr">
        <x:is>
          <x:t xml:space="preserve">Основной</x:t>
        </x:is>
      </x:c>
      <x:c r="H56" s="31" t="inlineStr">
        <x:is>
          <x:t xml:space="preserve">Да</x:t>
        </x:is>
      </x:c>
    </x:row>
    <x:row r="57" ht="18" customHeight="1">
      <x:c r="A57" s="31" t="inlineStr">
        <x:is>
          <x:t xml:space="preserve">КОН-0056</x:t>
        </x:is>
      </x:c>
      <x:c r="B57" s="31" t="inlineStr">
        <x:is>
          <x:t xml:space="preserve">КЛ-024</x:t>
        </x:is>
      </x:c>
      <x:c r="C57" s="31" t="inlineStr">
        <x:is>
          <x:t xml:space="preserve">Андреев Егор Сергеевич</x:t>
        </x:is>
      </x:c>
      <x:c r="D57" s="31" t="inlineStr">
        <x:is>
          <x:t xml:space="preserve">Главный инженер</x:t>
        </x:is>
      </x:c>
      <x:c r="E57" s="31" t="inlineStr">
        <x:is>
          <x:t xml:space="preserve">+7 916 397-59-88</x:t>
        </x:is>
      </x:c>
      <x:c r="F57" s="31" t="inlineStr">
        <x:is>
          <x:t xml:space="preserve">contact56@балтикавтоматика.test</x:t>
        </x:is>
      </x:c>
      <x:c r="G57" s="31" t="inlineStr">
        <x:is>
          <x:t xml:space="preserve">Технический</x:t>
        </x:is>
      </x:c>
      <x:c r="H57" s="31" t="inlineStr">
        <x:is>
          <x:t xml:space="preserve">Нет</x:t>
        </x:is>
      </x:c>
    </x:row>
    <x:row r="58" ht="18" customHeight="1">
      <x:c r="A58" s="31" t="inlineStr">
        <x:is>
          <x:t xml:space="preserve">КОН-0057</x:t>
        </x:is>
      </x:c>
      <x:c r="B58" s="31" t="inlineStr">
        <x:is>
          <x:t xml:space="preserve">КЛ-024</x:t>
        </x:is>
      </x:c>
      <x:c r="C58" s="31" t="inlineStr">
        <x:is>
          <x:t xml:space="preserve">Волков Владимир Николаевна</x:t>
        </x:is>
      </x:c>
      <x:c r="D58" s="31" t="inlineStr">
        <x:is>
          <x:t xml:space="preserve">Менеджер проекта</x:t>
        </x:is>
      </x:c>
      <x:c r="E58" s="31" t="inlineStr">
        <x:is>
          <x:t xml:space="preserve">+7 950 294-30-73</x:t>
        </x:is>
      </x:c>
      <x:c r="F58" s="31" t="inlineStr">
        <x:is>
          <x:t xml:space="preserve">contact57@балтикавтоматика.test</x:t>
        </x:is>
      </x:c>
      <x:c r="G58" s="31" t="inlineStr">
        <x:is>
          <x:t xml:space="preserve">Закупки</x:t>
        </x:is>
      </x:c>
      <x:c r="H58" s="31" t="inlineStr">
        <x:is>
          <x:t xml:space="preserve">Да</x:t>
        </x:is>
      </x:c>
    </x:row>
    <x:row r="59" ht="18" customHeight="1">
      <x:c r="A59" s="31" t="inlineStr">
        <x:is>
          <x:t xml:space="preserve">КОН-0058</x:t>
        </x:is>
      </x:c>
      <x:c r="B59" s="31" t="inlineStr">
        <x:is>
          <x:t xml:space="preserve">КЛ-024</x:t>
        </x:is>
      </x:c>
      <x:c r="C59" s="31" t="inlineStr">
        <x:is>
          <x:t xml:space="preserve">Воробьев Мария Алексеевич</x:t>
        </x:is>
      </x:c>
      <x:c r="D59" s="31" t="inlineStr">
        <x:is>
          <x:t xml:space="preserve">Главный инженер</x:t>
        </x:is>
      </x:c>
      <x:c r="E59" s="31" t="inlineStr">
        <x:is>
          <x:t xml:space="preserve">+7 960 617-68-40</x:t>
        </x:is>
      </x:c>
      <x:c r="F59" s="31" t="inlineStr">
        <x:is>
          <x:t xml:space="preserve">contact58@балтикавтоматика.test</x:t>
        </x:is>
      </x:c>
      <x:c r="G59" s="31" t="inlineStr">
        <x:is>
          <x:t xml:space="preserve">Основной</x:t>
        </x:is>
      </x:c>
      <x:c r="H59" s="31" t="inlineStr">
        <x:is>
          <x:t xml:space="preserve">Да</x:t>
        </x:is>
      </x:c>
    </x:row>
    <x:row r="60" ht="18" customHeight="1">
      <x:c r="A60" s="31" t="inlineStr">
        <x:is>
          <x:t xml:space="preserve">КОН-0059</x:t>
        </x:is>
      </x:c>
      <x:c r="B60" s="31" t="inlineStr">
        <x:is>
          <x:t xml:space="preserve">КЛ-025</x:t>
        </x:is>
      </x:c>
      <x:c r="C60" s="31" t="inlineStr">
        <x:is>
          <x:t xml:space="preserve">Богданов Мария Владимирович</x:t>
        </x:is>
      </x:c>
      <x:c r="D60" s="31" t="inlineStr">
        <x:is>
          <x:t xml:space="preserve">Директор производства</x:t>
        </x:is>
      </x:c>
      <x:c r="E60" s="31" t="inlineStr">
        <x:is>
          <x:t xml:space="preserve">+7 993 788-70-46</x:t>
        </x:is>
      </x:c>
      <x:c r="F60" s="31" t="inlineStr">
        <x:is>
          <x:t xml:space="preserve">contact59@газэнерго.test</x:t>
        </x:is>
      </x:c>
      <x:c r="G60" s="31" t="inlineStr">
        <x:is>
          <x:t xml:space="preserve">Технический</x:t>
        </x:is>
      </x:c>
      <x:c r="H60" s="31" t="inlineStr">
        <x:is>
          <x:t xml:space="preserve">Да</x:t>
        </x:is>
      </x:c>
    </x:row>
    <x:row r="61" ht="18" customHeight="1">
      <x:c r="A61" s="31" t="inlineStr">
        <x:is>
          <x:t xml:space="preserve">КОН-0060</x:t>
        </x:is>
      </x:c>
      <x:c r="B61" s="31" t="inlineStr">
        <x:is>
          <x:t xml:space="preserve">КЛ-026</x:t>
        </x:is>
      </x:c>
      <x:c r="C61" s="31" t="inlineStr">
        <x:is>
          <x:t xml:space="preserve">Новиков Михаил Дмитриевна</x:t>
        </x:is>
      </x:c>
      <x:c r="D61" s="31" t="inlineStr">
        <x:is>
          <x:t xml:space="preserve">Руководитель закупок</x:t>
        </x:is>
      </x:c>
      <x:c r="E61" s="31" t="inlineStr">
        <x:is>
          <x:t xml:space="preserve">+7 961 474-15-61</x:t>
        </x:is>
      </x:c>
      <x:c r="F61" s="31" t="inlineStr">
        <x:is>
          <x:t xml:space="preserve">contact60@трансэнерго.test</x:t>
        </x:is>
      </x:c>
      <x:c r="G61" s="31" t="inlineStr">
        <x:is>
          <x:t xml:space="preserve">Основной</x:t>
        </x:is>
      </x:c>
      <x:c r="H61" s="31" t="inlineStr">
        <x:is>
          <x:t xml:space="preserve">Да</x:t>
        </x:is>
      </x:c>
    </x:row>
    <x:row r="62" ht="18" customHeight="1">
      <x:c r="A62" s="31" t="inlineStr">
        <x:is>
          <x:t xml:space="preserve">КОН-0061</x:t>
        </x:is>
      </x:c>
      <x:c r="B62" s="31" t="inlineStr">
        <x:is>
          <x:t xml:space="preserve">КЛ-026</x:t>
        </x:is>
      </x:c>
      <x:c r="C62" s="31" t="inlineStr">
        <x:is>
          <x:t xml:space="preserve">Тарасов Анна Николаевич</x:t>
        </x:is>
      </x:c>
      <x:c r="D62" s="31" t="inlineStr">
        <x:is>
          <x:t xml:space="preserve">Главный инженер</x:t>
        </x:is>
      </x:c>
      <x:c r="E62" s="31" t="inlineStr">
        <x:is>
          <x:t xml:space="preserve">+7 959 616-67-80</x:t>
        </x:is>
      </x:c>
      <x:c r="F62" s="31" t="inlineStr">
        <x:is>
          <x:t xml:space="preserve">contact61@трансэнерго.test</x:t>
        </x:is>
      </x:c>
      <x:c r="G62" s="31" t="inlineStr">
        <x:is>
          <x:t xml:space="preserve">Основной</x:t>
        </x:is>
      </x:c>
      <x:c r="H62" s="31" t="inlineStr">
        <x:is>
          <x:t xml:space="preserve">Нет</x:t>
        </x:is>
      </x:c>
    </x:row>
    <x:row r="63" ht="18" customHeight="1">
      <x:c r="A63" s="31" t="inlineStr">
        <x:is>
          <x:t xml:space="preserve">КОН-0062</x:t>
        </x:is>
      </x:c>
      <x:c r="B63" s="31" t="inlineStr">
        <x:is>
          <x:t xml:space="preserve">КЛ-026</x:t>
        </x:is>
      </x:c>
      <x:c r="C63" s="31" t="inlineStr">
        <x:is>
          <x:t xml:space="preserve">Козлов Николай Дмитриевич</x:t>
        </x:is>
      </x:c>
      <x:c r="D63" s="31" t="inlineStr">
        <x:is>
          <x:t xml:space="preserve">Финансовый директор</x:t>
        </x:is>
      </x:c>
      <x:c r="E63" s="31" t="inlineStr">
        <x:is>
          <x:t xml:space="preserve">+7 957 913-53-81</x:t>
        </x:is>
      </x:c>
      <x:c r="F63" s="31" t="inlineStr">
        <x:is>
          <x:t xml:space="preserve">contact62@трансэнерго.test</x:t>
        </x:is>
      </x:c>
      <x:c r="G63" s="31" t="inlineStr">
        <x:is>
          <x:t xml:space="preserve">Закупки</x:t>
        </x:is>
      </x:c>
      <x:c r="H63" s="31" t="inlineStr">
        <x:is>
          <x:t xml:space="preserve">Да</x:t>
        </x:is>
      </x:c>
    </x:row>
    <x:row r="64" ht="18" customHeight="1">
      <x:c r="A64" s="31" t="inlineStr">
        <x:is>
          <x:t xml:space="preserve">КОН-0063</x:t>
        </x:is>
      </x:c>
      <x:c r="B64" s="31" t="inlineStr">
        <x:is>
          <x:t xml:space="preserve">КЛ-026</x:t>
        </x:is>
      </x:c>
      <x:c r="C64" s="31" t="inlineStr">
        <x:is>
          <x:t xml:space="preserve">Васильев Наталья Олегович</x:t>
        </x:is>
      </x:c>
      <x:c r="D64" s="31" t="inlineStr">
        <x:is>
          <x:t xml:space="preserve">Финансовый директор</x:t>
        </x:is>
      </x:c>
      <x:c r="E64" s="31" t="inlineStr">
        <x:is>
          <x:t xml:space="preserve">+7 974 141-15-14</x:t>
        </x:is>
      </x:c>
      <x:c r="F64" s="31" t="inlineStr">
        <x:is>
          <x:t xml:space="preserve">contact63@трансэнерго.test</x:t>
        </x:is>
      </x:c>
      <x:c r="G64" s="31" t="inlineStr">
        <x:is>
          <x:t xml:space="preserve">Основной</x:t>
        </x:is>
      </x:c>
      <x:c r="H64" s="31" t="inlineStr">
        <x:is>
          <x:t xml:space="preserve">Да</x:t>
        </x:is>
      </x:c>
    </x:row>
    <x:row r="65" ht="18" customHeight="1">
      <x:c r="A65" s="31" t="inlineStr">
        <x:is>
          <x:t xml:space="preserve">КОН-0064</x:t>
        </x:is>
      </x:c>
      <x:c r="B65" s="31" t="inlineStr">
        <x:is>
          <x:t xml:space="preserve">КЛ-027</x:t>
        </x:is>
      </x:c>
      <x:c r="C65" s="31" t="inlineStr">
        <x:is>
          <x:t xml:space="preserve">Крылов Иван Сергеевич</x:t>
        </x:is>
      </x:c>
      <x:c r="D65" s="31" t="inlineStr">
        <x:is>
          <x:t xml:space="preserve">Менеджер проекта</x:t>
        </x:is>
      </x:c>
      <x:c r="E65" s="31" t="inlineStr">
        <x:is>
          <x:t xml:space="preserve">+7 975 243-51-88</x:t>
        </x:is>
      </x:c>
      <x:c r="F65" s="31" t="inlineStr">
        <x:is>
          <x:t xml:space="preserve">contact64@камаэнерго.test</x:t>
        </x:is>
      </x:c>
      <x:c r="G65" s="31" t="inlineStr">
        <x:is>
          <x:t xml:space="preserve">Основной</x:t>
        </x:is>
      </x:c>
      <x:c r="H65" s="31" t="inlineStr">
        <x:is>
          <x:t xml:space="preserve">Да</x:t>
        </x:is>
      </x:c>
    </x:row>
    <x:row r="66" ht="18" customHeight="1">
      <x:c r="A66" s="31" t="inlineStr">
        <x:is>
          <x:t xml:space="preserve">КОН-0065</x:t>
        </x:is>
      </x:c>
      <x:c r="B66" s="31" t="inlineStr">
        <x:is>
          <x:t xml:space="preserve">КЛ-027</x:t>
        </x:is>
      </x:c>
      <x:c r="C66" s="31" t="inlineStr">
        <x:is>
          <x:t xml:space="preserve">Воробьев Ольга Ильич</x:t>
        </x:is>
      </x:c>
      <x:c r="D66" s="31" t="inlineStr">
        <x:is>
          <x:t xml:space="preserve">Менеджер проекта</x:t>
        </x:is>
      </x:c>
      <x:c r="E66" s="31" t="inlineStr">
        <x:is>
          <x:t xml:space="preserve">+7 975 645-72-82</x:t>
        </x:is>
      </x:c>
      <x:c r="F66" s="31" t="inlineStr">
        <x:is>
          <x:t xml:space="preserve">contact65@камаэнерго.test</x:t>
        </x:is>
      </x:c>
      <x:c r="G66" s="31" t="inlineStr">
        <x:is>
          <x:t xml:space="preserve">Основной</x:t>
        </x:is>
      </x:c>
      <x:c r="H66" s="31" t="inlineStr">
        <x:is>
          <x:t xml:space="preserve">Да</x:t>
        </x:is>
      </x:c>
    </x:row>
    <x:row r="67" ht="18" customHeight="1">
      <x:c r="A67" s="31" t="inlineStr">
        <x:is>
          <x:t xml:space="preserve">КОН-0066</x:t>
        </x:is>
      </x:c>
      <x:c r="B67" s="31" t="inlineStr">
        <x:is>
          <x:t xml:space="preserve">КЛ-027</x:t>
        </x:is>
      </x:c>
      <x:c r="C67" s="31" t="inlineStr">
        <x:is>
          <x:t xml:space="preserve">Тарасов Владимир Алексеевна</x:t>
        </x:is>
      </x:c>
      <x:c r="D67" s="31" t="inlineStr">
        <x:is>
          <x:t xml:space="preserve">Главный инженер</x:t>
        </x:is>
      </x:c>
      <x:c r="E67" s="31" t="inlineStr">
        <x:is>
          <x:t xml:space="preserve">+7 963 697-49-98</x:t>
        </x:is>
      </x:c>
      <x:c r="F67" s="31" t="inlineStr">
        <x:is>
          <x:t xml:space="preserve">contact66@камаэнерго.test</x:t>
        </x:is>
      </x:c>
      <x:c r="G67" s="31" t="inlineStr">
        <x:is>
          <x:t xml:space="preserve">Технический</x:t>
        </x:is>
      </x:c>
      <x:c r="H67" s="31" t="inlineStr">
        <x:is>
          <x:t xml:space="preserve">Да</x:t>
        </x:is>
      </x:c>
    </x:row>
    <x:row r="68" ht="18" customHeight="1">
      <x:c r="A68" s="31" t="inlineStr">
        <x:is>
          <x:t xml:space="preserve">КОН-0067</x:t>
        </x:is>
      </x:c>
      <x:c r="B68" s="31" t="inlineStr">
        <x:is>
          <x:t xml:space="preserve">КЛ-027</x:t>
        </x:is>
      </x:c>
      <x:c r="C68" s="31" t="inlineStr">
        <x:is>
          <x:t xml:space="preserve">Голубев Ирина Сергеевна</x:t>
        </x:is>
      </x:c>
      <x:c r="D68" s="31" t="inlineStr">
        <x:is>
          <x:t xml:space="preserve">Директор производства</x:t>
        </x:is>
      </x:c>
      <x:c r="E68" s="31" t="inlineStr">
        <x:is>
          <x:t xml:space="preserve">+7 984 691-39-16</x:t>
        </x:is>
      </x:c>
      <x:c r="F68" s="31" t="inlineStr">
        <x:is>
          <x:t xml:space="preserve">contact67@камаэнерго.test</x:t>
        </x:is>
      </x:c>
      <x:c r="G68" s="31" t="inlineStr">
        <x:is>
          <x:t xml:space="preserve">Технический</x:t>
        </x:is>
      </x:c>
      <x:c r="H68" s="31" t="inlineStr">
        <x:is>
          <x:t xml:space="preserve">Да</x:t>
        </x:is>
      </x:c>
    </x:row>
    <x:row r="69" ht="18" customHeight="1">
      <x:c r="A69" s="31" t="inlineStr">
        <x:is>
          <x:t xml:space="preserve">КОН-0068</x:t>
        </x:is>
      </x:c>
      <x:c r="B69" s="31" t="inlineStr">
        <x:is>
          <x:t xml:space="preserve">КЛ-028</x:t>
        </x:is>
      </x:c>
      <x:c r="C69" s="31" t="inlineStr">
        <x:is>
          <x:t xml:space="preserve">Морозов Елена Андреевич</x:t>
        </x:is>
      </x:c>
      <x:c r="D69" s="31" t="inlineStr">
        <x:is>
          <x:t xml:space="preserve">Главный инженер</x:t>
        </x:is>
      </x:c>
      <x:c r="E69" s="31" t="inlineStr">
        <x:is>
          <x:t xml:space="preserve">+7 983 817-24-34</x:t>
        </x:is>
      </x:c>
      <x:c r="F69" s="31" t="inlineStr">
        <x:is>
          <x:t xml:space="preserve">contact68@балтикресурс.test</x:t>
        </x:is>
      </x:c>
      <x:c r="G69" s="31" t="inlineStr">
        <x:is>
          <x:t xml:space="preserve">Основной</x:t>
        </x:is>
      </x:c>
      <x:c r="H69" s="31" t="inlineStr">
        <x:is>
          <x:t xml:space="preserve">Да</x:t>
        </x:is>
      </x:c>
    </x:row>
    <x:row r="70" ht="18" customHeight="1">
      <x:c r="A70" s="31" t="inlineStr">
        <x:is>
          <x:t xml:space="preserve">КОН-0069</x:t>
        </x:is>
      </x:c>
      <x:c r="B70" s="31" t="inlineStr">
        <x:is>
          <x:t xml:space="preserve">КЛ-028</x:t>
        </x:is>
      </x:c>
      <x:c r="C70" s="31" t="inlineStr">
        <x:is>
          <x:t xml:space="preserve">Морозов Олег Дмитриевна</x:t>
        </x:is>
      </x:c>
      <x:c r="D70" s="31" t="inlineStr">
        <x:is>
          <x:t xml:space="preserve">Начальник ПТО</x:t>
        </x:is>
      </x:c>
      <x:c r="E70" s="31" t="inlineStr">
        <x:is>
          <x:t xml:space="preserve">+7 962 613-88-70</x:t>
        </x:is>
      </x:c>
      <x:c r="F70" s="31" t="inlineStr">
        <x:is>
          <x:t xml:space="preserve">contact69@балтикресурс.test</x:t>
        </x:is>
      </x:c>
      <x:c r="G70" s="31" t="inlineStr">
        <x:is>
          <x:t xml:space="preserve">Закупки</x:t>
        </x:is>
      </x:c>
      <x:c r="H70" s="31" t="inlineStr">
        <x:is>
          <x:t xml:space="preserve">Да</x:t>
        </x:is>
      </x:c>
    </x:row>
    <x:row r="71" ht="18" customHeight="1">
      <x:c r="A71" s="31" t="inlineStr">
        <x:is>
          <x:t xml:space="preserve">КОН-0070</x:t>
        </x:is>
      </x:c>
      <x:c r="B71" s="31" t="inlineStr">
        <x:is>
          <x:t xml:space="preserve">КЛ-028</x:t>
        </x:is>
      </x:c>
      <x:c r="C71" s="31" t="inlineStr">
        <x:is>
          <x:t xml:space="preserve">Кузнецов Алина Сергеевич</x:t>
        </x:is>
      </x:c>
      <x:c r="D71" s="31" t="inlineStr">
        <x:is>
          <x:t xml:space="preserve">Менеджер проекта</x:t>
        </x:is>
      </x:c>
      <x:c r="E71" s="31" t="inlineStr">
        <x:is>
          <x:t xml:space="preserve">+7 936 674-51-94</x:t>
        </x:is>
      </x:c>
      <x:c r="F71" s="31" t="inlineStr">
        <x:is>
          <x:t xml:space="preserve">contact70@балтикресурс.test</x:t>
        </x:is>
      </x:c>
      <x:c r="G71" s="31" t="inlineStr">
        <x:is>
          <x:t xml:space="preserve">Технический</x:t>
        </x:is>
      </x:c>
      <x:c r="H71" s="31" t="inlineStr">
        <x:is>
          <x:t xml:space="preserve">Да</x:t>
        </x:is>
      </x:c>
    </x:row>
    <x:row r="72" ht="18" customHeight="1">
      <x:c r="A72" s="31" t="inlineStr">
        <x:is>
          <x:t xml:space="preserve">КОН-0071</x:t>
        </x:is>
      </x:c>
      <x:c r="B72" s="31" t="inlineStr">
        <x:is>
          <x:t xml:space="preserve">КЛ-028</x:t>
        </x:is>
      </x:c>
      <x:c r="C72" s="31" t="inlineStr">
        <x:is>
          <x:t xml:space="preserve">Соловьев Иван Николаевна</x:t>
        </x:is>
      </x:c>
      <x:c r="D72" s="31" t="inlineStr">
        <x:is>
          <x:t xml:space="preserve">Менеджер проекта</x:t>
        </x:is>
      </x:c>
      <x:c r="E72" s="31" t="inlineStr">
        <x:is>
          <x:t xml:space="preserve">+7 953 659-55-96</x:t>
        </x:is>
      </x:c>
      <x:c r="F72" s="31" t="inlineStr">
        <x:is>
          <x:t xml:space="preserve">contact71@балтикресурс.test</x:t>
        </x:is>
      </x:c>
      <x:c r="G72" s="31" t="inlineStr">
        <x:is>
          <x:t xml:space="preserve">Финансы</x:t>
        </x:is>
      </x:c>
      <x:c r="H72" s="31" t="inlineStr">
        <x:is>
          <x:t xml:space="preserve">Да</x:t>
        </x:is>
      </x:c>
    </x:row>
    <x:row r="73" ht="18" customHeight="1">
      <x:c r="A73" s="31" t="inlineStr">
        <x:is>
          <x:t xml:space="preserve">КОН-0072</x:t>
        </x:is>
      </x:c>
      <x:c r="B73" s="31" t="inlineStr">
        <x:is>
          <x:t xml:space="preserve">КЛ-029</x:t>
        </x:is>
      </x:c>
      <x:c r="C73" s="31" t="inlineStr">
        <x:is>
          <x:t xml:space="preserve">Ильин Павел Андреевич</x:t>
        </x:is>
      </x:c>
      <x:c r="D73" s="31" t="inlineStr">
        <x:is>
          <x:t xml:space="preserve">Руководитель закупок</x:t>
        </x:is>
      </x:c>
      <x:c r="E73" s="31" t="inlineStr">
        <x:is>
          <x:t xml:space="preserve">+7 981 405-38-48</x:t>
        </x:is>
      </x:c>
      <x:c r="F73" s="31" t="inlineStr">
        <x:is>
          <x:t xml:space="preserve">contact72@аквапроект.test</x:t>
        </x:is>
      </x:c>
      <x:c r="G73" s="31" t="inlineStr">
        <x:is>
          <x:t xml:space="preserve">Финансы</x:t>
        </x:is>
      </x:c>
      <x:c r="H73" s="31" t="inlineStr">
        <x:is>
          <x:t xml:space="preserve">Да</x:t>
        </x:is>
      </x:c>
    </x:row>
    <x:row r="74" ht="18" customHeight="1">
      <x:c r="A74" s="31" t="inlineStr">
        <x:is>
          <x:t xml:space="preserve">КОН-0073</x:t>
        </x:is>
      </x:c>
      <x:c r="B74" s="31" t="inlineStr">
        <x:is>
          <x:t xml:space="preserve">КЛ-029</x:t>
        </x:is>
      </x:c>
      <x:c r="C74" s="31" t="inlineStr">
        <x:is>
          <x:t xml:space="preserve">Гусев Владимир Михайлович</x:t>
        </x:is>
      </x:c>
      <x:c r="D74" s="31" t="inlineStr">
        <x:is>
          <x:t xml:space="preserve">Руководитель закупок</x:t>
        </x:is>
      </x:c>
      <x:c r="E74" s="31" t="inlineStr">
        <x:is>
          <x:t xml:space="preserve">+7 981 914-45-46</x:t>
        </x:is>
      </x:c>
      <x:c r="F74" s="31" t="inlineStr">
        <x:is>
          <x:t xml:space="preserve">contact73@аквапроект.test</x:t>
        </x:is>
      </x:c>
      <x:c r="G74" s="31" t="inlineStr">
        <x:is>
          <x:t xml:space="preserve">Основной</x:t>
        </x:is>
      </x:c>
      <x:c r="H74" s="31" t="inlineStr">
        <x:is>
          <x:t xml:space="preserve">Да</x:t>
        </x:is>
      </x:c>
    </x:row>
    <x:row r="75" ht="18" customHeight="1">
      <x:c r="A75" s="31" t="inlineStr">
        <x:is>
          <x:t xml:space="preserve">КОН-0074</x:t>
        </x:is>
      </x:c>
      <x:c r="B75" s="31" t="inlineStr">
        <x:is>
          <x:t xml:space="preserve">КЛ-029</x:t>
        </x:is>
      </x:c>
      <x:c r="C75" s="31" t="inlineStr">
        <x:is>
          <x:t xml:space="preserve">Комаров Кирилл Андреевна</x:t>
        </x:is>
      </x:c>
      <x:c r="D75" s="31" t="inlineStr">
        <x:is>
          <x:t xml:space="preserve">Руководитель закупок</x:t>
        </x:is>
      </x:c>
      <x:c r="E75" s="31" t="inlineStr">
        <x:is>
          <x:t xml:space="preserve">+7 928 397-15-46</x:t>
        </x:is>
      </x:c>
      <x:c r="F75" s="31" t="inlineStr">
        <x:is>
          <x:t xml:space="preserve">contact74@аквапроект.test</x:t>
        </x:is>
      </x:c>
      <x:c r="G75" s="31" t="inlineStr">
        <x:is>
          <x:t xml:space="preserve">Закупки</x:t>
        </x:is>
      </x:c>
      <x:c r="H75" s="31" t="inlineStr">
        <x:is>
          <x:t xml:space="preserve">Да</x:t>
        </x:is>
      </x:c>
    </x:row>
    <x:row r="76" ht="18" customHeight="1">
      <x:c r="A76" s="31" t="inlineStr">
        <x:is>
          <x:t xml:space="preserve">КОН-0075</x:t>
        </x:is>
      </x:c>
      <x:c r="B76" s="31" t="inlineStr">
        <x:is>
          <x:t xml:space="preserve">КЛ-030</x:t>
        </x:is>
      </x:c>
      <x:c r="C76" s="31" t="inlineStr">
        <x:is>
          <x:t xml:space="preserve">Голубев Юлия Михайлович</x:t>
        </x:is>
      </x:c>
      <x:c r="D76" s="31" t="inlineStr">
        <x:is>
          <x:t xml:space="preserve">Начальник ПТО</x:t>
        </x:is>
      </x:c>
      <x:c r="E76" s="31" t="inlineStr">
        <x:is>
          <x:t xml:space="preserve">+7 935 947-78-44</x:t>
        </x:is>
      </x:c>
      <x:c r="F76" s="31" t="inlineStr">
        <x:is>
          <x:t xml:space="preserve">contact75@транспроект.test</x:t>
        </x:is>
      </x:c>
      <x:c r="G76" s="31" t="inlineStr">
        <x:is>
          <x:t xml:space="preserve">Закупки</x:t>
        </x:is>
      </x:c>
      <x:c r="H76" s="31" t="inlineStr">
        <x:is>
          <x:t xml:space="preserve">Да</x:t>
        </x:is>
      </x:c>
    </x:row>
    <x:row r="77" ht="18" customHeight="1">
      <x:c r="A77" s="31" t="inlineStr">
        <x:is>
          <x:t xml:space="preserve">КОН-0076</x:t>
        </x:is>
      </x:c>
      <x:c r="B77" s="31" t="inlineStr">
        <x:is>
          <x:t xml:space="preserve">КЛ-030</x:t>
        </x:is>
      </x:c>
      <x:c r="C77" s="31" t="inlineStr">
        <x:is>
          <x:t xml:space="preserve">Новиков Андрей Владимирович</x:t>
        </x:is>
      </x:c>
      <x:c r="D77" s="31" t="inlineStr">
        <x:is>
          <x:t xml:space="preserve">Главный механик</x:t>
        </x:is>
      </x:c>
      <x:c r="E77" s="31" t="inlineStr">
        <x:is>
          <x:t xml:space="preserve">+7 985 345-41-16</x:t>
        </x:is>
      </x:c>
      <x:c r="F77" s="31" t="inlineStr">
        <x:is>
          <x:t xml:space="preserve">contact76@транспроект.test</x:t>
        </x:is>
      </x:c>
      <x:c r="G77" s="31" t="inlineStr">
        <x:is>
          <x:t xml:space="preserve">Финансы</x:t>
        </x:is>
      </x:c>
      <x:c r="H77" s="31" t="inlineStr">
        <x:is>
          <x:t xml:space="preserve">Да</x:t>
        </x:is>
      </x:c>
    </x:row>
    <x:row r="78" ht="18" customHeight="1">
      <x:c r="A78" s="31" t="inlineStr">
        <x:is>
          <x:t xml:space="preserve">КОН-0077</x:t>
        </x:is>
      </x:c>
      <x:c r="B78" s="31" t="inlineStr">
        <x:is>
          <x:t xml:space="preserve">КЛ-030</x:t>
        </x:is>
      </x:c>
      <x:c r="C78" s="31" t="inlineStr">
        <x:is>
          <x:t xml:space="preserve">Павлов Дмитрий Дмитриевич</x:t>
        </x:is>
      </x:c>
      <x:c r="D78" s="31" t="inlineStr">
        <x:is>
          <x:t xml:space="preserve">Финансовый директор</x:t>
        </x:is>
      </x:c>
      <x:c r="E78" s="31" t="inlineStr">
        <x:is>
          <x:t xml:space="preserve">+7 952 834-70-22</x:t>
        </x:is>
      </x:c>
      <x:c r="F78" s="31" t="inlineStr">
        <x:is>
          <x:t xml:space="preserve">contact77@транспроект.test</x:t>
        </x:is>
      </x:c>
      <x:c r="G78" s="31" t="inlineStr">
        <x:is>
          <x:t xml:space="preserve">Финансы</x:t>
        </x:is>
      </x:c>
      <x:c r="H78" s="31" t="inlineStr">
        <x:is>
          <x:t xml:space="preserve">Да</x:t>
        </x:is>
      </x:c>
    </x:row>
    <x:row r="79" ht="18" customHeight="1">
      <x:c r="A79" s="31" t="inlineStr">
        <x:is>
          <x:t xml:space="preserve">КОН-0078</x:t>
        </x:is>
      </x:c>
      <x:c r="B79" s="31" t="inlineStr">
        <x:is>
          <x:t xml:space="preserve">КЛ-030</x:t>
        </x:is>
      </x:c>
      <x:c r="C79" s="31" t="inlineStr">
        <x:is>
          <x:t xml:space="preserve">Волков Олег Алексеевна</x:t>
        </x:is>
      </x:c>
      <x:c r="D79" s="31" t="inlineStr">
        <x:is>
          <x:t xml:space="preserve">Финансовый директор</x:t>
        </x:is>
      </x:c>
      <x:c r="E79" s="31" t="inlineStr">
        <x:is>
          <x:t xml:space="preserve">+7 971 766-35-46</x:t>
        </x:is>
      </x:c>
      <x:c r="F79" s="31" t="inlineStr">
        <x:is>
          <x:t xml:space="preserve">contact78@транспроект.test</x:t>
        </x:is>
      </x:c>
      <x:c r="G79" s="31" t="inlineStr">
        <x:is>
          <x:t xml:space="preserve">Основной</x:t>
        </x:is>
      </x:c>
      <x:c r="H79" s="31" t="inlineStr">
        <x:is>
          <x:t xml:space="preserve">Да</x:t>
        </x:is>
      </x:c>
    </x:row>
    <x:row r="80" ht="18" customHeight="1">
      <x:c r="A80" s="31" t="inlineStr">
        <x:is>
          <x:t xml:space="preserve">КОН-0079</x:t>
        </x:is>
      </x:c>
      <x:c r="B80" s="31" t="inlineStr">
        <x:is>
          <x:t xml:space="preserve">КЛ-031</x:t>
        </x:is>
      </x:c>
      <x:c r="C80" s="31" t="inlineStr">
        <x:is>
          <x:t xml:space="preserve">Павлов Анна Дмитриевна</x:t>
        </x:is>
      </x:c>
      <x:c r="D80" s="31" t="inlineStr">
        <x:is>
          <x:t xml:space="preserve">Главный механик</x:t>
        </x:is>
      </x:c>
      <x:c r="E80" s="31" t="inlineStr">
        <x:is>
          <x:t xml:space="preserve">+7 914 279-63-32</x:t>
        </x:is>
      </x:c>
      <x:c r="F80" s="31" t="inlineStr">
        <x:is>
          <x:t xml:space="preserve">contact79@стройкомплект.test</x:t>
        </x:is>
      </x:c>
      <x:c r="G80" s="31" t="inlineStr">
        <x:is>
          <x:t xml:space="preserve">Закупки</x:t>
        </x:is>
      </x:c>
      <x:c r="H80" s="31" t="inlineStr">
        <x:is>
          <x:t xml:space="preserve">Да</x:t>
        </x:is>
      </x:c>
    </x:row>
    <x:row r="81" ht="18" customHeight="1">
      <x:c r="A81" s="31" t="inlineStr">
        <x:is>
          <x:t xml:space="preserve">КОН-0080</x:t>
        </x:is>
      </x:c>
      <x:c r="B81" s="31" t="inlineStr">
        <x:is>
          <x:t xml:space="preserve">КЛ-032</x:t>
        </x:is>
      </x:c>
      <x:c r="C81" s="31" t="inlineStr">
        <x:is>
          <x:t xml:space="preserve">Гусев Илья Николаевна</x:t>
        </x:is>
      </x:c>
      <x:c r="D81" s="31" t="inlineStr">
        <x:is>
          <x:t xml:space="preserve">Главный механик</x:t>
        </x:is>
      </x:c>
      <x:c r="E81" s="31" t="inlineStr">
        <x:is>
          <x:t xml:space="preserve">+7 947 997-14-11</x:t>
        </x:is>
      </x:c>
      <x:c r="F81" s="31" t="inlineStr">
        <x:is>
          <x:t xml:space="preserve">contact80@трансэнерго.test</x:t>
        </x:is>
      </x:c>
      <x:c r="G81" s="31" t="inlineStr">
        <x:is>
          <x:t xml:space="preserve">Основной</x:t>
        </x:is>
      </x:c>
      <x:c r="H81" s="31" t="inlineStr">
        <x:is>
          <x:t xml:space="preserve">Да</x:t>
        </x:is>
      </x:c>
    </x:row>
    <x:row r="82" ht="18" customHeight="1">
      <x:c r="A82" s="31" t="inlineStr">
        <x:is>
          <x:t xml:space="preserve">КОН-0081</x:t>
        </x:is>
      </x:c>
      <x:c r="B82" s="31" t="inlineStr">
        <x:is>
          <x:t xml:space="preserve">КЛ-032</x:t>
        </x:is>
      </x:c>
      <x:c r="C82" s="31" t="inlineStr">
        <x:is>
          <x:t xml:space="preserve">Михайлов Антон Михайлович</x:t>
        </x:is>
      </x:c>
      <x:c r="D82" s="31" t="inlineStr">
        <x:is>
          <x:t xml:space="preserve">Главный механик</x:t>
        </x:is>
      </x:c>
      <x:c r="E82" s="31" t="inlineStr">
        <x:is>
          <x:t xml:space="preserve">+7 979 636-73-27</x:t>
        </x:is>
      </x:c>
      <x:c r="F82" s="31" t="inlineStr">
        <x:is>
          <x:t xml:space="preserve">contact81@трансэнерго.test</x:t>
        </x:is>
      </x:c>
      <x:c r="G82" s="31" t="inlineStr">
        <x:is>
          <x:t xml:space="preserve">Закупки</x:t>
        </x:is>
      </x:c>
      <x:c r="H82" s="31" t="inlineStr">
        <x:is>
          <x:t xml:space="preserve">Да</x:t>
        </x:is>
      </x:c>
    </x:row>
    <x:row r="83" ht="18" customHeight="1">
      <x:c r="A83" s="31" t="inlineStr">
        <x:is>
          <x:t xml:space="preserve">КОН-0082</x:t>
        </x:is>
      </x:c>
      <x:c r="B83" s="31" t="inlineStr">
        <x:is>
          <x:t xml:space="preserve">КЛ-032</x:t>
        </x:is>
      </x:c>
      <x:c r="C83" s="31" t="inlineStr">
        <x:is>
          <x:t xml:space="preserve">Васильев Андрей Ильич</x:t>
        </x:is>
      </x:c>
      <x:c r="D83" s="31" t="inlineStr">
        <x:is>
          <x:t xml:space="preserve">Начальник ПТО</x:t>
        </x:is>
      </x:c>
      <x:c r="E83" s="31" t="inlineStr">
        <x:is>
          <x:t xml:space="preserve">+7 968 763-42-33</x:t>
        </x:is>
      </x:c>
      <x:c r="F83" s="31" t="inlineStr">
        <x:is>
          <x:t xml:space="preserve">contact82@трансэнерго.test</x:t>
        </x:is>
      </x:c>
      <x:c r="G83" s="31" t="inlineStr">
        <x:is>
          <x:t xml:space="preserve">Основной</x:t>
        </x:is>
      </x:c>
      <x:c r="H83" s="31" t="inlineStr">
        <x:is>
          <x:t xml:space="preserve">Да</x:t>
        </x:is>
      </x:c>
    </x:row>
    <x:row r="84" ht="18" customHeight="1">
      <x:c r="A84" s="31" t="inlineStr">
        <x:is>
          <x:t xml:space="preserve">КОН-0083</x:t>
        </x:is>
      </x:c>
      <x:c r="B84" s="31" t="inlineStr">
        <x:is>
          <x:t xml:space="preserve">КЛ-032</x:t>
        </x:is>
      </x:c>
      <x:c r="C84" s="31" t="inlineStr">
        <x:is>
          <x:t xml:space="preserve">Богданов Ольга Алексеевна</x:t>
        </x:is>
      </x:c>
      <x:c r="D84" s="31" t="inlineStr">
        <x:is>
          <x:t xml:space="preserve">Директор производства</x:t>
        </x:is>
      </x:c>
      <x:c r="E84" s="31" t="inlineStr">
        <x:is>
          <x:t xml:space="preserve">+7 934 279-88-91</x:t>
        </x:is>
      </x:c>
      <x:c r="F84" s="31" t="inlineStr">
        <x:is>
          <x:t xml:space="preserve">contact83@трансэнерго.test</x:t>
        </x:is>
      </x:c>
      <x:c r="G84" s="31" t="inlineStr">
        <x:is>
          <x:t xml:space="preserve">Закупки</x:t>
        </x:is>
      </x:c>
      <x:c r="H84" s="31" t="inlineStr">
        <x:is>
          <x:t xml:space="preserve">Да</x:t>
        </x:is>
      </x:c>
    </x:row>
    <x:row r="85" ht="18" customHeight="1">
      <x:c r="A85" s="31" t="inlineStr">
        <x:is>
          <x:t xml:space="preserve">КОН-0084</x:t>
        </x:is>
      </x:c>
      <x:c r="B85" s="31" t="inlineStr">
        <x:is>
          <x:t xml:space="preserve">КЛ-033</x:t>
        </x:is>
      </x:c>
      <x:c r="C85" s="31" t="inlineStr">
        <x:is>
          <x:t xml:space="preserve">Соколов Кирилл Алексеевна</x:t>
        </x:is>
      </x:c>
      <x:c r="D85" s="31" t="inlineStr">
        <x:is>
          <x:t xml:space="preserve">Главный инженер</x:t>
        </x:is>
      </x:c>
      <x:c r="E85" s="31" t="inlineStr">
        <x:is>
          <x:t xml:space="preserve">+7 933 243-71-51</x:t>
        </x:is>
      </x:c>
      <x:c r="F85" s="31" t="inlineStr">
        <x:is>
          <x:t xml:space="preserve">contact84@химтехнологии.test</x:t>
        </x:is>
      </x:c>
      <x:c r="G85" s="31" t="inlineStr">
        <x:is>
          <x:t xml:space="preserve">Закупки</x:t>
        </x:is>
      </x:c>
      <x:c r="H85" s="31" t="inlineStr">
        <x:is>
          <x:t xml:space="preserve">Да</x:t>
        </x:is>
      </x:c>
    </x:row>
    <x:row r="86" ht="18" customHeight="1">
      <x:c r="A86" s="31" t="inlineStr">
        <x:is>
          <x:t xml:space="preserve">КОН-0085</x:t>
        </x:is>
      </x:c>
      <x:c r="B86" s="31" t="inlineStr">
        <x:is>
          <x:t xml:space="preserve">КЛ-033</x:t>
        </x:is>
      </x:c>
      <x:c r="C86" s="31" t="inlineStr">
        <x:is>
          <x:t xml:space="preserve">Комаров Егор Михайлович</x:t>
        </x:is>
      </x:c>
      <x:c r="D86" s="31" t="inlineStr">
        <x:is>
          <x:t xml:space="preserve">Директор производства</x:t>
        </x:is>
      </x:c>
      <x:c r="E86" s="31" t="inlineStr">
        <x:is>
          <x:t xml:space="preserve">+7 944 437-48-84</x:t>
        </x:is>
      </x:c>
      <x:c r="F86" s="31" t="inlineStr">
        <x:is>
          <x:t xml:space="preserve">contact85@химтехнологии.test</x:t>
        </x:is>
      </x:c>
      <x:c r="G86" s="31" t="inlineStr">
        <x:is>
          <x:t xml:space="preserve">Финансы</x:t>
        </x:is>
      </x:c>
      <x:c r="H86" s="31" t="inlineStr">
        <x:is>
          <x:t xml:space="preserve">Да</x:t>
        </x:is>
      </x:c>
    </x:row>
    <x:row r="87" ht="18" customHeight="1">
      <x:c r="A87" s="31" t="inlineStr">
        <x:is>
          <x:t xml:space="preserve">КОН-0086</x:t>
        </x:is>
      </x:c>
      <x:c r="B87" s="31" t="inlineStr">
        <x:is>
          <x:t xml:space="preserve">КЛ-033</x:t>
        </x:is>
      </x:c>
      <x:c r="C87" s="31" t="inlineStr">
        <x:is>
          <x:t xml:space="preserve">Тарасов Алина Андреевич</x:t>
        </x:is>
      </x:c>
      <x:c r="D87" s="31" t="inlineStr">
        <x:is>
          <x:t xml:space="preserve">Главный инженер</x:t>
        </x:is>
      </x:c>
      <x:c r="E87" s="31" t="inlineStr">
        <x:is>
          <x:t xml:space="preserve">+7 995 221-69-49</x:t>
        </x:is>
      </x:c>
      <x:c r="F87" s="31" t="inlineStr">
        <x:is>
          <x:t xml:space="preserve">contact86@химтехнологии.test</x:t>
        </x:is>
      </x:c>
      <x:c r="G87" s="31" t="inlineStr">
        <x:is>
          <x:t xml:space="preserve">Основной</x:t>
        </x:is>
      </x:c>
      <x:c r="H87" s="31" t="inlineStr">
        <x:is>
          <x:t xml:space="preserve">Да</x:t>
        </x:is>
      </x:c>
    </x:row>
    <x:row r="88" ht="18" customHeight="1">
      <x:c r="A88" s="31" t="inlineStr">
        <x:is>
          <x:t xml:space="preserve">КОН-0087</x:t>
        </x:is>
      </x:c>
      <x:c r="B88" s="31" t="inlineStr">
        <x:is>
          <x:t xml:space="preserve">КЛ-034</x:t>
        </x:is>
      </x:c>
      <x:c r="C88" s="31" t="inlineStr">
        <x:is>
          <x:t xml:space="preserve">Козлов Ирина Николаевна</x:t>
        </x:is>
      </x:c>
      <x:c r="D88" s="31" t="inlineStr">
        <x:is>
          <x:t xml:space="preserve">Руководитель закупок</x:t>
        </x:is>
      </x:c>
      <x:c r="E88" s="31" t="inlineStr">
        <x:is>
          <x:t xml:space="preserve">+7 957 729-38-38</x:t>
        </x:is>
      </x:c>
      <x:c r="F88" s="31" t="inlineStr">
        <x:is>
          <x:t xml:space="preserve">contact87@нефтеинжиниринг.test</x:t>
        </x:is>
      </x:c>
      <x:c r="G88" s="31" t="inlineStr">
        <x:is>
          <x:t xml:space="preserve">Закупки</x:t>
        </x:is>
      </x:c>
      <x:c r="H88" s="31" t="inlineStr">
        <x:is>
          <x:t xml:space="preserve">Да</x:t>
        </x:is>
      </x:c>
    </x:row>
    <x:row r="89" ht="18" customHeight="1">
      <x:c r="A89" s="31" t="inlineStr">
        <x:is>
          <x:t xml:space="preserve">КОН-0088</x:t>
        </x:is>
      </x:c>
      <x:c r="B89" s="31" t="inlineStr">
        <x:is>
          <x:t xml:space="preserve">КЛ-034</x:t>
        </x:is>
      </x:c>
      <x:c r="C89" s="31" t="inlineStr">
        <x:is>
          <x:t xml:space="preserve">Ковалев Юлия Владимирович</x:t>
        </x:is>
      </x:c>
      <x:c r="D89" s="31" t="inlineStr">
        <x:is>
          <x:t xml:space="preserve">Руководитель закупок</x:t>
        </x:is>
      </x:c>
      <x:c r="E89" s="31" t="inlineStr">
        <x:is>
          <x:t xml:space="preserve">+7 963 818-80-70</x:t>
        </x:is>
      </x:c>
      <x:c r="F89" s="31" t="inlineStr">
        <x:is>
          <x:t xml:space="preserve">contact88@нефтеинжиниринг.test</x:t>
        </x:is>
      </x:c>
      <x:c r="G89" s="31" t="inlineStr">
        <x:is>
          <x:t xml:space="preserve">Финансы</x:t>
        </x:is>
      </x:c>
      <x:c r="H89" s="31" t="inlineStr">
        <x:is>
          <x:t xml:space="preserve">Да</x:t>
        </x:is>
      </x:c>
    </x:row>
    <x:row r="90" ht="18" customHeight="1">
      <x:c r="A90" s="31" t="inlineStr">
        <x:is>
          <x:t xml:space="preserve">КОН-0089</x:t>
        </x:is>
      </x:c>
      <x:c r="B90" s="31" t="inlineStr">
        <x:is>
          <x:t xml:space="preserve">КЛ-034</x:t>
        </x:is>
      </x:c>
      <x:c r="C90" s="31" t="inlineStr">
        <x:is>
          <x:t xml:space="preserve">Зайцев Егор Алексеевна</x:t>
        </x:is>
      </x:c>
      <x:c r="D90" s="31" t="inlineStr">
        <x:is>
          <x:t xml:space="preserve">Директор производства</x:t>
        </x:is>
      </x:c>
      <x:c r="E90" s="31" t="inlineStr">
        <x:is>
          <x:t xml:space="preserve">+7 986 994-20-77</x:t>
        </x:is>
      </x:c>
      <x:c r="F90" s="31" t="inlineStr">
        <x:is>
          <x:t xml:space="preserve">contact89@нефтеинжиниринг.test</x:t>
        </x:is>
      </x:c>
      <x:c r="G90" s="31" t="inlineStr">
        <x:is>
          <x:t xml:space="preserve">Технический</x:t>
        </x:is>
      </x:c>
      <x:c r="H90" s="31" t="inlineStr">
        <x:is>
          <x:t xml:space="preserve">Да</x:t>
        </x:is>
      </x:c>
    </x:row>
    <x:row r="91" ht="18" customHeight="1">
      <x:c r="A91" s="31" t="inlineStr">
        <x:is>
          <x:t xml:space="preserve">КОН-0090</x:t>
        </x:is>
      </x:c>
      <x:c r="B91" s="31" t="inlineStr">
        <x:is>
          <x:t xml:space="preserve">КЛ-035</x:t>
        </x:is>
      </x:c>
      <x:c r="C91" s="31" t="inlineStr">
        <x:is>
          <x:t xml:space="preserve">Козлов Дмитрий Андреевна</x:t>
        </x:is>
      </x:c>
      <x:c r="D91" s="31" t="inlineStr">
        <x:is>
          <x:t xml:space="preserve">Менеджер проекта</x:t>
        </x:is>
      </x:c>
      <x:c r="E91" s="31" t="inlineStr">
        <x:is>
          <x:t xml:space="preserve">+7 974 307-83-78</x:t>
        </x:is>
      </x:c>
      <x:c r="F91" s="31" t="inlineStr">
        <x:is>
          <x:t xml:space="preserve">contact90@металлавтоматика.test</x:t>
        </x:is>
      </x:c>
      <x:c r="G91" s="31" t="inlineStr">
        <x:is>
          <x:t xml:space="preserve">Основной</x:t>
        </x:is>
      </x:c>
      <x:c r="H91" s="31" t="inlineStr">
        <x:is>
          <x:t xml:space="preserve">Да</x:t>
        </x:is>
      </x:c>
    </x:row>
    <x:row r="92" ht="18" customHeight="1">
      <x:c r="A92" s="31" t="inlineStr">
        <x:is>
          <x:t xml:space="preserve">КОН-0091</x:t>
        </x:is>
      </x:c>
      <x:c r="B92" s="31" t="inlineStr">
        <x:is>
          <x:t xml:space="preserve">КЛ-036</x:t>
        </x:is>
      </x:c>
      <x:c r="C92" s="31" t="inlineStr">
        <x:is>
          <x:t xml:space="preserve">Козлов Елена Андреевич</x:t>
        </x:is>
      </x:c>
      <x:c r="D92" s="31" t="inlineStr">
        <x:is>
          <x:t xml:space="preserve">Главный механик</x:t>
        </x:is>
      </x:c>
      <x:c r="E92" s="31" t="inlineStr">
        <x:is>
          <x:t xml:space="preserve">+7 984 600-21-75</x:t>
        </x:is>
      </x:c>
      <x:c r="F92" s="31" t="inlineStr">
        <x:is>
          <x:t xml:space="preserve">contact91@промавтоматика.test</x:t>
        </x:is>
      </x:c>
      <x:c r="G92" s="31" t="inlineStr">
        <x:is>
          <x:t xml:space="preserve">Технический</x:t>
        </x:is>
      </x:c>
      <x:c r="H92" s="31" t="inlineStr">
        <x:is>
          <x:t xml:space="preserve">Да</x:t>
        </x:is>
      </x:c>
    </x:row>
    <x:row r="93" ht="18" customHeight="1">
      <x:c r="A93" s="31" t="inlineStr">
        <x:is>
          <x:t xml:space="preserve">КОН-0092</x:t>
        </x:is>
      </x:c>
      <x:c r="B93" s="31" t="inlineStr">
        <x:is>
          <x:t xml:space="preserve">КЛ-036</x:t>
        </x:is>
      </x:c>
      <x:c r="C93" s="31" t="inlineStr">
        <x:is>
          <x:t xml:space="preserve">Новиков Екатерина Павлович</x:t>
        </x:is>
      </x:c>
      <x:c r="D93" s="31" t="inlineStr">
        <x:is>
          <x:t xml:space="preserve">Финансовый директор</x:t>
        </x:is>
      </x:c>
      <x:c r="E93" s="31" t="inlineStr">
        <x:is>
          <x:t xml:space="preserve">+7 982 159-81-69</x:t>
        </x:is>
      </x:c>
      <x:c r="F93" s="31" t="inlineStr">
        <x:is>
          <x:t xml:space="preserve">contact92@промавтоматика.test</x:t>
        </x:is>
      </x:c>
      <x:c r="G93" s="31" t="inlineStr">
        <x:is>
          <x:t xml:space="preserve">Финансы</x:t>
        </x:is>
      </x:c>
      <x:c r="H93" s="31" t="inlineStr">
        <x:is>
          <x:t xml:space="preserve">Да</x:t>
        </x:is>
      </x:c>
    </x:row>
    <x:row r="94" ht="18" customHeight="1">
      <x:c r="A94" s="31" t="inlineStr">
        <x:is>
          <x:t xml:space="preserve">КОН-0093</x:t>
        </x:is>
      </x:c>
      <x:c r="B94" s="31" t="inlineStr">
        <x:is>
          <x:t xml:space="preserve">КЛ-036</x:t>
        </x:is>
      </x:c>
      <x:c r="C94" s="31" t="inlineStr">
        <x:is>
          <x:t xml:space="preserve">Петров Кирилл Николаевич</x:t>
        </x:is>
      </x:c>
      <x:c r="D94" s="31" t="inlineStr">
        <x:is>
          <x:t xml:space="preserve">Директор производства</x:t>
        </x:is>
      </x:c>
      <x:c r="E94" s="31" t="inlineStr">
        <x:is>
          <x:t xml:space="preserve">+7 910 863-37-84</x:t>
        </x:is>
      </x:c>
      <x:c r="F94" s="31" t="inlineStr">
        <x:is>
          <x:t xml:space="preserve">contact93@промавтоматика.test</x:t>
        </x:is>
      </x:c>
      <x:c r="G94" s="31" t="inlineStr">
        <x:is>
          <x:t xml:space="preserve">Основной</x:t>
        </x:is>
      </x:c>
      <x:c r="H94" s="31" t="inlineStr">
        <x:is>
          <x:t xml:space="preserve">Да</x:t>
        </x:is>
      </x:c>
    </x:row>
    <x:row r="95" ht="18" customHeight="1">
      <x:c r="A95" s="31" t="inlineStr">
        <x:is>
          <x:t xml:space="preserve">КОН-0094</x:t>
        </x:is>
      </x:c>
      <x:c r="B95" s="31" t="inlineStr">
        <x:is>
          <x:t xml:space="preserve">КЛ-036</x:t>
        </x:is>
      </x:c>
      <x:c r="C95" s="31" t="inlineStr">
        <x:is>
          <x:t xml:space="preserve">Попов Анна Алексеевич</x:t>
        </x:is>
      </x:c>
      <x:c r="D95" s="31" t="inlineStr">
        <x:is>
          <x:t xml:space="preserve">Главный инженер</x:t>
        </x:is>
      </x:c>
      <x:c r="E95" s="31" t="inlineStr">
        <x:is>
          <x:t xml:space="preserve">+7 970 132-46-62</x:t>
        </x:is>
      </x:c>
      <x:c r="F95" s="31" t="inlineStr">
        <x:is>
          <x:t xml:space="preserve">contact94@промавтоматика.test</x:t>
        </x:is>
      </x:c>
      <x:c r="G95" s="31" t="inlineStr">
        <x:is>
          <x:t xml:space="preserve">Основной</x:t>
        </x:is>
      </x:c>
      <x:c r="H95" s="31" t="inlineStr">
        <x:is>
          <x:t xml:space="preserve">Да</x:t>
        </x:is>
      </x:c>
    </x:row>
    <x:row r="96" ht="18" customHeight="1">
      <x:c r="A96" s="31" t="inlineStr">
        <x:is>
          <x:t xml:space="preserve">КОН-0095</x:t>
        </x:is>
      </x:c>
      <x:c r="B96" s="31" t="inlineStr">
        <x:is>
          <x:t xml:space="preserve">КЛ-037</x:t>
        </x:is>
      </x:c>
      <x:c r="C96" s="31" t="inlineStr">
        <x:is>
          <x:t xml:space="preserve">Тарасов Кирилл Михайлович</x:t>
        </x:is>
      </x:c>
      <x:c r="D96" s="31" t="inlineStr">
        <x:is>
          <x:t xml:space="preserve">Директор производства</x:t>
        </x:is>
      </x:c>
      <x:c r="E96" s="31" t="inlineStr">
        <x:is>
          <x:t xml:space="preserve">+7 958 484-20-97</x:t>
        </x:is>
      </x:c>
      <x:c r="F96" s="31" t="inlineStr">
        <x:is>
          <x:t xml:space="preserve">contact95@уралавтоматика.test</x:t>
        </x:is>
      </x:c>
      <x:c r="G96" s="31" t="inlineStr">
        <x:is>
          <x:t xml:space="preserve">Закупки</x:t>
        </x:is>
      </x:c>
      <x:c r="H96" s="31" t="inlineStr">
        <x:is>
          <x:t xml:space="preserve">Да</x:t>
        </x:is>
      </x:c>
    </x:row>
    <x:row r="97" ht="18" customHeight="1">
      <x:c r="A97" s="31" t="inlineStr">
        <x:is>
          <x:t xml:space="preserve">КОН-0096</x:t>
        </x:is>
      </x:c>
      <x:c r="B97" s="31" t="inlineStr">
        <x:is>
          <x:t xml:space="preserve">КЛ-037</x:t>
        </x:is>
      </x:c>
      <x:c r="C97" s="31" t="inlineStr">
        <x:is>
          <x:t xml:space="preserve">Новиков Ирина Андреевна</x:t>
        </x:is>
      </x:c>
      <x:c r="D97" s="31" t="inlineStr">
        <x:is>
          <x:t xml:space="preserve">Руководитель закупок</x:t>
        </x:is>
      </x:c>
      <x:c r="E97" s="31" t="inlineStr">
        <x:is>
          <x:t xml:space="preserve">+7 925 282-78-60</x:t>
        </x:is>
      </x:c>
      <x:c r="F97" s="31" t="inlineStr">
        <x:is>
          <x:t xml:space="preserve">contact96@уралавтоматика.test</x:t>
        </x:is>
      </x:c>
      <x:c r="G97" s="31" t="inlineStr">
        <x:is>
          <x:t xml:space="preserve">Технический</x:t>
        </x:is>
      </x:c>
      <x:c r="H97" s="31" t="inlineStr">
        <x:is>
          <x:t xml:space="preserve">Да</x:t>
        </x:is>
      </x:c>
    </x:row>
    <x:row r="98" ht="18" customHeight="1">
      <x:c r="A98" s="31" t="inlineStr">
        <x:is>
          <x:t xml:space="preserve">КОН-0097</x:t>
        </x:is>
      </x:c>
      <x:c r="B98" s="31" t="inlineStr">
        <x:is>
          <x:t xml:space="preserve">КЛ-037</x:t>
        </x:is>
      </x:c>
      <x:c r="C98" s="31" t="inlineStr">
        <x:is>
          <x:t xml:space="preserve">Павлов Алексей Сергеевна</x:t>
        </x:is>
      </x:c>
      <x:c r="D98" s="31" t="inlineStr">
        <x:is>
          <x:t xml:space="preserve">Главный инженер</x:t>
        </x:is>
      </x:c>
      <x:c r="E98" s="31" t="inlineStr">
        <x:is>
          <x:t xml:space="preserve">+7 948 574-96-79</x:t>
        </x:is>
      </x:c>
      <x:c r="F98" s="31" t="inlineStr">
        <x:is>
          <x:t xml:space="preserve">contact97@уралавтоматика.test</x:t>
        </x:is>
      </x:c>
      <x:c r="G98" s="31" t="inlineStr">
        <x:is>
          <x:t xml:space="preserve">Технический</x:t>
        </x:is>
      </x:c>
      <x:c r="H98" s="31" t="inlineStr">
        <x:is>
          <x:t xml:space="preserve">Да</x:t>
        </x:is>
      </x:c>
    </x:row>
    <x:row r="99" ht="18" customHeight="1">
      <x:c r="A99" s="31" t="inlineStr">
        <x:is>
          <x:t xml:space="preserve">КОН-0098</x:t>
        </x:is>
      </x:c>
      <x:c r="B99" s="31" t="inlineStr">
        <x:is>
          <x:t xml:space="preserve">КЛ-037</x:t>
        </x:is>
      </x:c>
      <x:c r="C99" s="31" t="inlineStr">
        <x:is>
          <x:t xml:space="preserve">Павлов Егор Михайлович</x:t>
        </x:is>
      </x:c>
      <x:c r="D99" s="31" t="inlineStr">
        <x:is>
          <x:t xml:space="preserve">Руководитель закупок</x:t>
        </x:is>
      </x:c>
      <x:c r="E99" s="31" t="inlineStr">
        <x:is>
          <x:t xml:space="preserve">+7 929 382-34-24</x:t>
        </x:is>
      </x:c>
      <x:c r="F99" s="31" t="inlineStr">
        <x:is>
          <x:t xml:space="preserve">contact98@уралавтоматика.test</x:t>
        </x:is>
      </x:c>
      <x:c r="G99" s="31" t="inlineStr">
        <x:is>
          <x:t xml:space="preserve">Основной</x:t>
        </x:is>
      </x:c>
      <x:c r="H99" s="31" t="inlineStr">
        <x:is>
          <x:t xml:space="preserve">Да</x:t>
        </x:is>
      </x:c>
    </x:row>
    <x:row r="100" ht="18" customHeight="1">
      <x:c r="A100" s="31" t="inlineStr">
        <x:is>
          <x:t xml:space="preserve">КОН-0099</x:t>
        </x:is>
      </x:c>
      <x:c r="B100" s="31" t="inlineStr">
        <x:is>
          <x:t xml:space="preserve">КЛ-038</x:t>
        </x:is>
      </x:c>
      <x:c r="C100" s="31" t="inlineStr">
        <x:is>
          <x:t xml:space="preserve">Семенов Павел Дмитриевич</x:t>
        </x:is>
      </x:c>
      <x:c r="D100" s="31" t="inlineStr">
        <x:is>
          <x:t xml:space="preserve">Главный инженер</x:t>
        </x:is>
      </x:c>
      <x:c r="E100" s="31" t="inlineStr">
        <x:is>
          <x:t xml:space="preserve">+7 986 134-67-86</x:t>
        </x:is>
      </x:c>
      <x:c r="F100" s="31" t="inlineStr">
        <x:is>
          <x:t xml:space="preserve">contact99@энергопроект.test</x:t>
        </x:is>
      </x:c>
      <x:c r="G100" s="31" t="inlineStr">
        <x:is>
          <x:t xml:space="preserve">Финансы</x:t>
        </x:is>
      </x:c>
      <x:c r="H100" s="31" t="inlineStr">
        <x:is>
          <x:t xml:space="preserve">Да</x:t>
        </x:is>
      </x:c>
    </x:row>
    <x:row r="101" ht="18" customHeight="1">
      <x:c r="A101" s="31" t="inlineStr">
        <x:is>
          <x:t xml:space="preserve">КОН-0100</x:t>
        </x:is>
      </x:c>
      <x:c r="B101" s="31" t="inlineStr">
        <x:is>
          <x:t xml:space="preserve">КЛ-039</x:t>
        </x:is>
      </x:c>
      <x:c r="C101" s="31" t="inlineStr">
        <x:is>
          <x:t xml:space="preserve">Смирнов Кирилл Михайлович</x:t>
        </x:is>
      </x:c>
      <x:c r="D101" s="31" t="inlineStr">
        <x:is>
          <x:t xml:space="preserve">Начальник ПТО</x:t>
        </x:is>
      </x:c>
      <x:c r="E101" s="31" t="inlineStr">
        <x:is>
          <x:t xml:space="preserve">+7 979 322-17-27</x:t>
        </x:is>
      </x:c>
      <x:c r="F101" s="31" t="inlineStr">
        <x:is>
          <x:t xml:space="preserve">contact100@газэнерго.test</x:t>
        </x:is>
      </x:c>
      <x:c r="G101" s="31" t="inlineStr">
        <x:is>
          <x:t xml:space="preserve">Технический</x:t>
        </x:is>
      </x:c>
      <x:c r="H101" s="31" t="inlineStr">
        <x:is>
          <x:t xml:space="preserve">Да</x:t>
        </x:is>
      </x:c>
    </x:row>
    <x:row r="102" ht="18" customHeight="1">
      <x:c r="A102" s="31" t="inlineStr">
        <x:is>
          <x:t xml:space="preserve">КОН-0101</x:t>
        </x:is>
      </x:c>
      <x:c r="B102" s="31" t="inlineStr">
        <x:is>
          <x:t xml:space="preserve">КЛ-039</x:t>
        </x:is>
      </x:c>
      <x:c r="C102" s="31" t="inlineStr">
        <x:is>
          <x:t xml:space="preserve">Федоров Ольга Владимирович</x:t>
        </x:is>
      </x:c>
      <x:c r="D102" s="31" t="inlineStr">
        <x:is>
          <x:t xml:space="preserve">Директор производства</x:t>
        </x:is>
      </x:c>
      <x:c r="E102" s="31" t="inlineStr">
        <x:is>
          <x:t xml:space="preserve">+7 996 938-51-40</x:t>
        </x:is>
      </x:c>
      <x:c r="F102" s="31" t="inlineStr">
        <x:is>
          <x:t xml:space="preserve">contact101@газэнерго.test</x:t>
        </x:is>
      </x:c>
      <x:c r="G102" s="31" t="inlineStr">
        <x:is>
          <x:t xml:space="preserve">Основной</x:t>
        </x:is>
      </x:c>
      <x:c r="H102" s="31" t="inlineStr">
        <x:is>
          <x:t xml:space="preserve">Да</x:t>
        </x:is>
      </x:c>
    </x:row>
    <x:row r="103" ht="18" customHeight="1">
      <x:c r="A103" s="31" t="inlineStr">
        <x:is>
          <x:t xml:space="preserve">КОН-0102</x:t>
        </x:is>
      </x:c>
      <x:c r="B103" s="31" t="inlineStr">
        <x:is>
          <x:t xml:space="preserve">КЛ-040</x:t>
        </x:is>
      </x:c>
      <x:c r="C103" s="31" t="inlineStr">
        <x:is>
          <x:t xml:space="preserve">Киселев Антон Николаевич</x:t>
        </x:is>
      </x:c>
      <x:c r="D103" s="31" t="inlineStr">
        <x:is>
          <x:t xml:space="preserve">Главный инженер</x:t>
        </x:is>
      </x:c>
      <x:c r="E103" s="31" t="inlineStr">
        <x:is>
          <x:t xml:space="preserve">+7 981 705-32-90</x:t>
        </x:is>
      </x:c>
      <x:c r="F103" s="31" t="inlineStr">
        <x:is>
          <x:t xml:space="preserve">contact102@нордтехнологии.test</x:t>
        </x:is>
      </x:c>
      <x:c r="G103" s="31" t="inlineStr">
        <x:is>
          <x:t xml:space="preserve">Финансы</x:t>
        </x:is>
      </x:c>
      <x:c r="H103" s="31" t="inlineStr">
        <x:is>
          <x:t xml:space="preserve">Да</x:t>
        </x:is>
      </x:c>
    </x:row>
    <x:row r="104" ht="18" customHeight="1">
      <x:c r="A104" s="31" t="inlineStr">
        <x:is>
          <x:t xml:space="preserve">КОН-0103</x:t>
        </x:is>
      </x:c>
      <x:c r="B104" s="31" t="inlineStr">
        <x:is>
          <x:t xml:space="preserve">КЛ-040</x:t>
        </x:is>
      </x:c>
      <x:c r="C104" s="31" t="inlineStr">
        <x:is>
          <x:t xml:space="preserve">Кузнецов Роман Алексеевна</x:t>
        </x:is>
      </x:c>
      <x:c r="D104" s="31" t="inlineStr">
        <x:is>
          <x:t xml:space="preserve">Главный механик</x:t>
        </x:is>
      </x:c>
      <x:c r="E104" s="31" t="inlineStr">
        <x:is>
          <x:t xml:space="preserve">+7 958 904-77-50</x:t>
        </x:is>
      </x:c>
      <x:c r="F104" s="31" t="inlineStr">
        <x:is>
          <x:t xml:space="preserve">contact103@нордтехнологии.test</x:t>
        </x:is>
      </x:c>
      <x:c r="G104" s="31" t="inlineStr">
        <x:is>
          <x:t xml:space="preserve">Финансы</x:t>
        </x:is>
      </x:c>
      <x:c r="H104" s="31" t="inlineStr">
        <x:is>
          <x:t xml:space="preserve">Да</x:t>
        </x:is>
      </x:c>
    </x:row>
    <x:row r="105" ht="18" customHeight="1">
      <x:c r="A105" s="31" t="inlineStr">
        <x:is>
          <x:t xml:space="preserve">КОН-0104</x:t>
        </x:is>
      </x:c>
      <x:c r="B105" s="31" t="inlineStr">
        <x:is>
          <x:t xml:space="preserve">КЛ-041</x:t>
        </x:is>
      </x:c>
      <x:c r="C105" s="31" t="inlineStr">
        <x:is>
          <x:t xml:space="preserve">Комаров Илья Сергеевна</x:t>
        </x:is>
      </x:c>
      <x:c r="D105" s="31" t="inlineStr">
        <x:is>
          <x:t xml:space="preserve">Менеджер проекта</x:t>
        </x:is>
      </x:c>
      <x:c r="E105" s="31" t="inlineStr">
        <x:is>
          <x:t xml:space="preserve">+7 970 346-38-48</x:t>
        </x:is>
      </x:c>
      <x:c r="F105" s="31" t="inlineStr">
        <x:is>
          <x:t xml:space="preserve">contact104@акваавтоматика.test</x:t>
        </x:is>
      </x:c>
      <x:c r="G105" s="31" t="inlineStr">
        <x:is>
          <x:t xml:space="preserve">Закупки</x:t>
        </x:is>
      </x:c>
      <x:c r="H105" s="31" t="inlineStr">
        <x:is>
          <x:t xml:space="preserve">Да</x:t>
        </x:is>
      </x:c>
    </x:row>
    <x:row r="106" ht="18" customHeight="1">
      <x:c r="A106" s="31" t="inlineStr">
        <x:is>
          <x:t xml:space="preserve">КОН-0105</x:t>
        </x:is>
      </x:c>
      <x:c r="B106" s="31" t="inlineStr">
        <x:is>
          <x:t xml:space="preserve">КЛ-041</x:t>
        </x:is>
      </x:c>
      <x:c r="C106" s="31" t="inlineStr">
        <x:is>
          <x:t xml:space="preserve">Ковалев Дмитрий Олегович</x:t>
        </x:is>
      </x:c>
      <x:c r="D106" s="31" t="inlineStr">
        <x:is>
          <x:t xml:space="preserve">Финансовый директор</x:t>
        </x:is>
      </x:c>
      <x:c r="E106" s="31" t="inlineStr">
        <x:is>
          <x:t xml:space="preserve">+7 963 670-77-27</x:t>
        </x:is>
      </x:c>
      <x:c r="F106" s="31" t="inlineStr">
        <x:is>
          <x:t xml:space="preserve">contact105@акваавтоматика.test</x:t>
        </x:is>
      </x:c>
      <x:c r="G106" s="31" t="inlineStr">
        <x:is>
          <x:t xml:space="preserve">Технический</x:t>
        </x:is>
      </x:c>
      <x:c r="H106" s="31" t="inlineStr">
        <x:is>
          <x:t xml:space="preserve">Да</x:t>
        </x:is>
      </x:c>
    </x:row>
    <x:row r="107" ht="18" customHeight="1">
      <x:c r="A107" s="31" t="inlineStr">
        <x:is>
          <x:t xml:space="preserve">КОН-0106</x:t>
        </x:is>
      </x:c>
      <x:c r="B107" s="31" t="inlineStr">
        <x:is>
          <x:t xml:space="preserve">КЛ-041</x:t>
        </x:is>
      </x:c>
      <x:c r="C107" s="31" t="inlineStr">
        <x:is>
          <x:t xml:space="preserve">Михайлов Ирина Дмитриевич</x:t>
        </x:is>
      </x:c>
      <x:c r="D107" s="31" t="inlineStr">
        <x:is>
          <x:t xml:space="preserve">Финансовый директор</x:t>
        </x:is>
      </x:c>
      <x:c r="E107" s="31" t="inlineStr">
        <x:is>
          <x:t xml:space="preserve">+7 957 194-78-34</x:t>
        </x:is>
      </x:c>
      <x:c r="F107" s="31" t="inlineStr">
        <x:is>
          <x:t xml:space="preserve">contact106@акваавтоматика.test</x:t>
        </x:is>
      </x:c>
      <x:c r="G107" s="31" t="inlineStr">
        <x:is>
          <x:t xml:space="preserve">Основной</x:t>
        </x:is>
      </x:c>
      <x:c r="H107" s="31" t="inlineStr">
        <x:is>
          <x:t xml:space="preserve">Да</x:t>
        </x:is>
      </x:c>
    </x:row>
    <x:row r="108" ht="18" customHeight="1">
      <x:c r="A108" s="31" t="inlineStr">
        <x:is>
          <x:t xml:space="preserve">КОН-0107</x:t>
        </x:is>
      </x:c>
      <x:c r="B108" s="31" t="inlineStr">
        <x:is>
          <x:t xml:space="preserve">КЛ-042</x:t>
        </x:is>
      </x:c>
      <x:c r="C108" s="31" t="inlineStr">
        <x:is>
          <x:t xml:space="preserve">Попов Павел Сергеевна</x:t>
        </x:is>
      </x:c>
      <x:c r="D108" s="31" t="inlineStr">
        <x:is>
          <x:t xml:space="preserve">Директор производства</x:t>
        </x:is>
      </x:c>
      <x:c r="E108" s="31" t="inlineStr">
        <x:is>
          <x:t xml:space="preserve">+7 985 841-95-81</x:t>
        </x:is>
      </x:c>
      <x:c r="F108" s="31" t="inlineStr">
        <x:is>
          <x:t xml:space="preserve">contact107@металлсервис.test</x:t>
        </x:is>
      </x:c>
      <x:c r="G108" s="31" t="inlineStr">
        <x:is>
          <x:t xml:space="preserve">Основной</x:t>
        </x:is>
      </x:c>
      <x:c r="H108" s="31" t="inlineStr">
        <x:is>
          <x:t xml:space="preserve">Да</x:t>
        </x:is>
      </x:c>
    </x:row>
    <x:row r="109" ht="18" customHeight="1">
      <x:c r="A109" s="31" t="inlineStr">
        <x:is>
          <x:t xml:space="preserve">КОН-0108</x:t>
        </x:is>
      </x:c>
      <x:c r="B109" s="31" t="inlineStr">
        <x:is>
          <x:t xml:space="preserve">КЛ-043</x:t>
        </x:is>
      </x:c>
      <x:c r="C109" s="31" t="inlineStr">
        <x:is>
          <x:t xml:space="preserve">Воробьев Алексей Андреевич</x:t>
        </x:is>
      </x:c>
      <x:c r="D109" s="31" t="inlineStr">
        <x:is>
          <x:t xml:space="preserve">Начальник ПТО</x:t>
        </x:is>
      </x:c>
      <x:c r="E109" s="31" t="inlineStr">
        <x:is>
          <x:t xml:space="preserve">+7 925 864-71-41</x:t>
        </x:is>
      </x:c>
      <x:c r="F109" s="31" t="inlineStr">
        <x:is>
          <x:t xml:space="preserve">contact108@векторэнерго.test</x:t>
        </x:is>
      </x:c>
      <x:c r="G109" s="31" t="inlineStr">
        <x:is>
          <x:t xml:space="preserve">Финансы</x:t>
        </x:is>
      </x:c>
      <x:c r="H109" s="31" t="inlineStr">
        <x:is>
          <x:t xml:space="preserve">Да</x:t>
        </x:is>
      </x:c>
    </x:row>
    <x:row r="110" ht="18" customHeight="1">
      <x:c r="A110" s="31" t="inlineStr">
        <x:is>
          <x:t xml:space="preserve">КОН-0109</x:t>
        </x:is>
      </x:c>
      <x:c r="B110" s="31" t="inlineStr">
        <x:is>
          <x:t xml:space="preserve">КЛ-043</x:t>
        </x:is>
      </x:c>
      <x:c r="C110" s="31" t="inlineStr">
        <x:is>
          <x:t xml:space="preserve">Орлов Егор Олегович</x:t>
        </x:is>
      </x:c>
      <x:c r="D110" s="31" t="inlineStr">
        <x:is>
          <x:t xml:space="preserve">Руководитель закупок</x:t>
        </x:is>
      </x:c>
      <x:c r="E110" s="31" t="inlineStr">
        <x:is>
          <x:t xml:space="preserve">+7 946 489-69-78</x:t>
        </x:is>
      </x:c>
      <x:c r="F110" s="31" t="inlineStr">
        <x:is>
          <x:t xml:space="preserve">contact109@векторэнерго.test</x:t>
        </x:is>
      </x:c>
      <x:c r="G110" s="31" t="inlineStr">
        <x:is>
          <x:t xml:space="preserve">Технический</x:t>
        </x:is>
      </x:c>
      <x:c r="H110" s="31" t="inlineStr">
        <x:is>
          <x:t xml:space="preserve">Да</x:t>
        </x:is>
      </x:c>
    </x:row>
    <x:row r="111" ht="18" customHeight="1">
      <x:c r="A111" s="31" t="inlineStr">
        <x:is>
          <x:t xml:space="preserve">КОН-0110</x:t>
        </x:is>
      </x:c>
      <x:c r="B111" s="31" t="inlineStr">
        <x:is>
          <x:t xml:space="preserve">КЛ-043</x:t>
        </x:is>
      </x:c>
      <x:c r="C111" s="31" t="inlineStr">
        <x:is>
          <x:t xml:space="preserve">Тарасов Екатерина Николаевна</x:t>
        </x:is>
      </x:c>
      <x:c r="D111" s="31" t="inlineStr">
        <x:is>
          <x:t xml:space="preserve">Финансовый директор</x:t>
        </x:is>
      </x:c>
      <x:c r="E111" s="31" t="inlineStr">
        <x:is>
          <x:t xml:space="preserve">+7 969 200-70-50</x:t>
        </x:is>
      </x:c>
      <x:c r="F111" s="31" t="inlineStr">
        <x:is>
          <x:t xml:space="preserve">contact110@векторэнерго.test</x:t>
        </x:is>
      </x:c>
      <x:c r="G111" s="31" t="inlineStr">
        <x:is>
          <x:t xml:space="preserve">Закупки</x:t>
        </x:is>
      </x:c>
      <x:c r="H111" s="31" t="inlineStr">
        <x:is>
          <x:t xml:space="preserve">Да</x:t>
        </x:is>
      </x:c>
    </x:row>
    <x:row r="112" ht="18" customHeight="1">
      <x:c r="A112" s="31" t="inlineStr">
        <x:is>
          <x:t xml:space="preserve">КОН-0111</x:t>
        </x:is>
      </x:c>
      <x:c r="B112" s="31" t="inlineStr">
        <x:is>
          <x:t xml:space="preserve">КЛ-044</x:t>
        </x:is>
      </x:c>
      <x:c r="C112" s="31" t="inlineStr">
        <x:is>
          <x:t xml:space="preserve">Смирнов Ольга Андреевна</x:t>
        </x:is>
      </x:c>
      <x:c r="D112" s="31" t="inlineStr">
        <x:is>
          <x:t xml:space="preserve">Начальник ПТО</x:t>
        </x:is>
      </x:c>
      <x:c r="E112" s="31" t="inlineStr">
        <x:is>
          <x:t xml:space="preserve">+7 928 116-43-80</x:t>
        </x:is>
      </x:c>
      <x:c r="F112" s="31" t="inlineStr">
        <x:is>
          <x:t xml:space="preserve">contact111@уралпроект.test</x:t>
        </x:is>
      </x:c>
      <x:c r="G112" s="31" t="inlineStr">
        <x:is>
          <x:t xml:space="preserve">Закупки</x:t>
        </x:is>
      </x:c>
      <x:c r="H112" s="31" t="inlineStr">
        <x:is>
          <x:t xml:space="preserve">Да</x:t>
        </x:is>
      </x:c>
    </x:row>
    <x:row r="113" ht="18" customHeight="1">
      <x:c r="A113" s="31" t="inlineStr">
        <x:is>
          <x:t xml:space="preserve">КОН-0112</x:t>
        </x:is>
      </x:c>
      <x:c r="B113" s="31" t="inlineStr">
        <x:is>
          <x:t xml:space="preserve">КЛ-044</x:t>
        </x:is>
      </x:c>
      <x:c r="C113" s="31" t="inlineStr">
        <x:is>
          <x:t xml:space="preserve">Киселев Антон Сергеевич</x:t>
        </x:is>
      </x:c>
      <x:c r="D113" s="31" t="inlineStr">
        <x:is>
          <x:t xml:space="preserve">Начальник ПТО</x:t>
        </x:is>
      </x:c>
      <x:c r="E113" s="31" t="inlineStr">
        <x:is>
          <x:t xml:space="preserve">+7 952 335-58-82</x:t>
        </x:is>
      </x:c>
      <x:c r="F113" s="31" t="inlineStr">
        <x:is>
          <x:t xml:space="preserve">contact112@уралпроект.test</x:t>
        </x:is>
      </x:c>
      <x:c r="G113" s="31" t="inlineStr">
        <x:is>
          <x:t xml:space="preserve">Финансы</x:t>
        </x:is>
      </x:c>
      <x:c r="H113" s="31" t="inlineStr">
        <x:is>
          <x:t xml:space="preserve">Да</x:t>
        </x:is>
      </x:c>
    </x:row>
    <x:row r="114" ht="18" customHeight="1">
      <x:c r="A114" s="31" t="inlineStr">
        <x:is>
          <x:t xml:space="preserve">КОН-0113</x:t>
        </x:is>
      </x:c>
      <x:c r="B114" s="31" t="inlineStr">
        <x:is>
          <x:t xml:space="preserve">КЛ-044</x:t>
        </x:is>
      </x:c>
      <x:c r="C114" s="31" t="inlineStr">
        <x:is>
          <x:t xml:space="preserve">Михайлов Михаил Сергеевна</x:t>
        </x:is>
      </x:c>
      <x:c r="D114" s="31" t="inlineStr">
        <x:is>
          <x:t xml:space="preserve">Директор производства</x:t>
        </x:is>
      </x:c>
      <x:c r="E114" s="31" t="inlineStr">
        <x:is>
          <x:t xml:space="preserve">+7 972 840-92-72</x:t>
        </x:is>
      </x:c>
      <x:c r="F114" s="31" t="inlineStr">
        <x:is>
          <x:t xml:space="preserve">contact113@уралпроект.test</x:t>
        </x:is>
      </x:c>
      <x:c r="G114" s="31" t="inlineStr">
        <x:is>
          <x:t xml:space="preserve">Технический</x:t>
        </x:is>
      </x:c>
      <x:c r="H114" s="31" t="inlineStr">
        <x:is>
          <x:t xml:space="preserve">Да</x:t>
        </x:is>
      </x:c>
    </x:row>
    <x:row r="115" ht="18" customHeight="1">
      <x:c r="A115" s="31" t="inlineStr">
        <x:is>
          <x:t xml:space="preserve">КОН-0114</x:t>
        </x:is>
      </x:c>
      <x:c r="B115" s="31" t="inlineStr">
        <x:is>
          <x:t xml:space="preserve">КЛ-044</x:t>
        </x:is>
      </x:c>
      <x:c r="C115" s="31" t="inlineStr">
        <x:is>
          <x:t xml:space="preserve">Беляев Илья Сергеевич</x:t>
        </x:is>
      </x:c>
      <x:c r="D115" s="31" t="inlineStr">
        <x:is>
          <x:t xml:space="preserve">Главный механик</x:t>
        </x:is>
      </x:c>
      <x:c r="E115" s="31" t="inlineStr">
        <x:is>
          <x:t xml:space="preserve">+7 979 600-33-79</x:t>
        </x:is>
      </x:c>
      <x:c r="F115" s="31" t="inlineStr">
        <x:is>
          <x:t xml:space="preserve">contact114@уралпроект.test</x:t>
        </x:is>
      </x:c>
      <x:c r="G115" s="31" t="inlineStr">
        <x:is>
          <x:t xml:space="preserve">Закупки</x:t>
        </x:is>
      </x:c>
      <x:c r="H115" s="31" t="inlineStr">
        <x:is>
          <x:t xml:space="preserve">Нет</x:t>
        </x:is>
      </x:c>
    </x:row>
    <x:row r="116" ht="18" customHeight="1">
      <x:c r="A116" s="31" t="inlineStr">
        <x:is>
          <x:t xml:space="preserve">КОН-0115</x:t>
        </x:is>
      </x:c>
      <x:c r="B116" s="31" t="inlineStr">
        <x:is>
          <x:t xml:space="preserve">КЛ-045</x:t>
        </x:is>
      </x:c>
      <x:c r="C116" s="31" t="inlineStr">
        <x:is>
          <x:t xml:space="preserve">Попов Елена Алексеевич</x:t>
        </x:is>
      </x:c>
      <x:c r="D116" s="31" t="inlineStr">
        <x:is>
          <x:t xml:space="preserve">Директор производства</x:t>
        </x:is>
      </x:c>
      <x:c r="E116" s="31" t="inlineStr">
        <x:is>
          <x:t xml:space="preserve">+7 910 522-27-90</x:t>
        </x:is>
      </x:c>
      <x:c r="F116" s="31" t="inlineStr">
        <x:is>
          <x:t xml:space="preserve">contact115@гормаш.test</x:t>
        </x:is>
      </x:c>
      <x:c r="G116" s="31" t="inlineStr">
        <x:is>
          <x:t xml:space="preserve">Основной</x:t>
        </x:is>
      </x:c>
      <x:c r="H116" s="31" t="inlineStr">
        <x:is>
          <x:t xml:space="preserve">Да</x:t>
        </x:is>
      </x:c>
    </x:row>
    <x:row r="117" ht="18" customHeight="1">
      <x:c r="A117" s="31" t="inlineStr">
        <x:is>
          <x:t xml:space="preserve">КОН-0116</x:t>
        </x:is>
      </x:c>
      <x:c r="B117" s="31" t="inlineStr">
        <x:is>
          <x:t xml:space="preserve">КЛ-046</x:t>
        </x:is>
      </x:c>
      <x:c r="C117" s="31" t="inlineStr">
        <x:is>
          <x:t xml:space="preserve">Зайцев Екатерина Михайлович</x:t>
        </x:is>
      </x:c>
      <x:c r="D117" s="31" t="inlineStr">
        <x:is>
          <x:t xml:space="preserve">Руководитель закупок</x:t>
        </x:is>
      </x:c>
      <x:c r="E117" s="31" t="inlineStr">
        <x:is>
          <x:t xml:space="preserve">+7 917 732-91-95</x:t>
        </x:is>
      </x:c>
      <x:c r="F117" s="31" t="inlineStr">
        <x:is>
          <x:t xml:space="preserve">contact116@портавтоматика.test</x:t>
        </x:is>
      </x:c>
      <x:c r="G117" s="31" t="inlineStr">
        <x:is>
          <x:t xml:space="preserve">Закупки</x:t>
        </x:is>
      </x:c>
      <x:c r="H117" s="31" t="inlineStr">
        <x:is>
          <x:t xml:space="preserve">Нет</x:t>
        </x:is>
      </x:c>
    </x:row>
    <x:row r="118" ht="18" customHeight="1">
      <x:c r="A118" s="31" t="inlineStr">
        <x:is>
          <x:t xml:space="preserve">КОН-0117</x:t>
        </x:is>
      </x:c>
      <x:c r="B118" s="31" t="inlineStr">
        <x:is>
          <x:t xml:space="preserve">КЛ-047</x:t>
        </x:is>
      </x:c>
      <x:c r="C118" s="31" t="inlineStr">
        <x:is>
          <x:t xml:space="preserve">Петров Алексей Олегович</x:t>
        </x:is>
      </x:c>
      <x:c r="D118" s="31" t="inlineStr">
        <x:is>
          <x:t xml:space="preserve">Менеджер проекта</x:t>
        </x:is>
      </x:c>
      <x:c r="E118" s="31" t="inlineStr">
        <x:is>
          <x:t xml:space="preserve">+7 962 112-12-77</x:t>
        </x:is>
      </x:c>
      <x:c r="F118" s="31" t="inlineStr">
        <x:is>
          <x:t xml:space="preserve">contact117@векторавтоматика.test</x:t>
        </x:is>
      </x:c>
      <x:c r="G118" s="31" t="inlineStr">
        <x:is>
          <x:t xml:space="preserve">Финансы</x:t>
        </x:is>
      </x:c>
      <x:c r="H118" s="31" t="inlineStr">
        <x:is>
          <x:t xml:space="preserve">Да</x:t>
        </x:is>
      </x:c>
    </x:row>
    <x:row r="119" ht="18" customHeight="1">
      <x:c r="A119" s="31" t="inlineStr">
        <x:is>
          <x:t xml:space="preserve">КОН-0118</x:t>
        </x:is>
      </x:c>
      <x:c r="B119" s="31" t="inlineStr">
        <x:is>
          <x:t xml:space="preserve">КЛ-047</x:t>
        </x:is>
      </x:c>
      <x:c r="C119" s="31" t="inlineStr">
        <x:is>
          <x:t xml:space="preserve">Богданов Алексей Олегович</x:t>
        </x:is>
      </x:c>
      <x:c r="D119" s="31" t="inlineStr">
        <x:is>
          <x:t xml:space="preserve">Директор производства</x:t>
        </x:is>
      </x:c>
      <x:c r="E119" s="31" t="inlineStr">
        <x:is>
          <x:t xml:space="preserve">+7 999 790-65-32</x:t>
        </x:is>
      </x:c>
      <x:c r="F119" s="31" t="inlineStr">
        <x:is>
          <x:t xml:space="preserve">contact118@векторавтоматика.test</x:t>
        </x:is>
      </x:c>
      <x:c r="G119" s="31" t="inlineStr">
        <x:is>
          <x:t xml:space="preserve">Основной</x:t>
        </x:is>
      </x:c>
      <x:c r="H119" s="31" t="inlineStr">
        <x:is>
          <x:t xml:space="preserve">Да</x:t>
        </x:is>
      </x:c>
    </x:row>
    <x:row r="120" ht="18" customHeight="1">
      <x:c r="A120" s="31" t="inlineStr">
        <x:is>
          <x:t xml:space="preserve">КОН-0119</x:t>
        </x:is>
      </x:c>
      <x:c r="B120" s="31" t="inlineStr">
        <x:is>
          <x:t xml:space="preserve">КЛ-047</x:t>
        </x:is>
      </x:c>
      <x:c r="C120" s="31" t="inlineStr">
        <x:is>
          <x:t xml:space="preserve">Морозов Егор Андреевич</x:t>
        </x:is>
      </x:c>
      <x:c r="D120" s="31" t="inlineStr">
        <x:is>
          <x:t xml:space="preserve">Менеджер проекта</x:t>
        </x:is>
      </x:c>
      <x:c r="E120" s="31" t="inlineStr">
        <x:is>
          <x:t xml:space="preserve">+7 977 358-55-44</x:t>
        </x:is>
      </x:c>
      <x:c r="F120" s="31" t="inlineStr">
        <x:is>
          <x:t xml:space="preserve">contact119@векторавтоматика.test</x:t>
        </x:is>
      </x:c>
      <x:c r="G120" s="31" t="inlineStr">
        <x:is>
          <x:t xml:space="preserve">Финансы</x:t>
        </x:is>
      </x:c>
      <x:c r="H120" s="31" t="inlineStr">
        <x:is>
          <x:t xml:space="preserve">Да</x:t>
        </x:is>
      </x:c>
    </x:row>
    <x:row r="121" ht="18" customHeight="1">
      <x:c r="A121" s="31" t="inlineStr">
        <x:is>
          <x:t xml:space="preserve">КОН-0120</x:t>
        </x:is>
      </x:c>
      <x:c r="B121" s="31" t="inlineStr">
        <x:is>
          <x:t xml:space="preserve">КЛ-047</x:t>
        </x:is>
      </x:c>
      <x:c r="C121" s="31" t="inlineStr">
        <x:is>
          <x:t xml:space="preserve">Орлов Иван Владимирович</x:t>
        </x:is>
      </x:c>
      <x:c r="D121" s="31" t="inlineStr">
        <x:is>
          <x:t xml:space="preserve">Начальник ПТО</x:t>
        </x:is>
      </x:c>
      <x:c r="E121" s="31" t="inlineStr">
        <x:is>
          <x:t xml:space="preserve">+7 999 331-48-97</x:t>
        </x:is>
      </x:c>
      <x:c r="F121" s="31" t="inlineStr">
        <x:is>
          <x:t xml:space="preserve">contact120@векторавтоматика.test</x:t>
        </x:is>
      </x:c>
      <x:c r="G121" s="31" t="inlineStr">
        <x:is>
          <x:t xml:space="preserve">Финансы</x:t>
        </x:is>
      </x:c>
      <x:c r="H121" s="31" t="inlineStr">
        <x:is>
          <x:t xml:space="preserve">Да</x:t>
        </x:is>
      </x:c>
    </x:row>
    <x:row r="122" ht="18" customHeight="1">
      <x:c r="A122" s="31" t="inlineStr">
        <x:is>
          <x:t xml:space="preserve">КОН-0121</x:t>
        </x:is>
      </x:c>
      <x:c r="B122" s="31" t="inlineStr">
        <x:is>
          <x:t xml:space="preserve">КЛ-048</x:t>
        </x:is>
      </x:c>
      <x:c r="C122" s="31" t="inlineStr">
        <x:is>
          <x:t xml:space="preserve">Соколов Кирилл Павлович</x:t>
        </x:is>
      </x:c>
      <x:c r="D122" s="31" t="inlineStr">
        <x:is>
          <x:t xml:space="preserve">Финансовый директор</x:t>
        </x:is>
      </x:c>
      <x:c r="E122" s="31" t="inlineStr">
        <x:is>
          <x:t xml:space="preserve">+7 980 587-17-91</x:t>
        </x:is>
      </x:c>
      <x:c r="F122" s="31" t="inlineStr">
        <x:is>
          <x:t xml:space="preserve">contact121@энергоэнерго.test</x:t>
        </x:is>
      </x:c>
      <x:c r="G122" s="31" t="inlineStr">
        <x:is>
          <x:t xml:space="preserve">Основной</x:t>
        </x:is>
      </x:c>
      <x:c r="H122" s="31" t="inlineStr">
        <x:is>
          <x:t xml:space="preserve">Да</x:t>
        </x:is>
      </x:c>
    </x:row>
    <x:row r="123" ht="18" customHeight="1">
      <x:c r="A123" s="31" t="inlineStr">
        <x:is>
          <x:t xml:space="preserve">КОН-0122</x:t>
        </x:is>
      </x:c>
      <x:c r="B123" s="31" t="inlineStr">
        <x:is>
          <x:t xml:space="preserve">КЛ-049</x:t>
        </x:is>
      </x:c>
      <x:c r="C123" s="31" t="inlineStr">
        <x:is>
          <x:t xml:space="preserve">Макаров Ирина Сергеевна</x:t>
        </x:is>
      </x:c>
      <x:c r="D123" s="31" t="inlineStr">
        <x:is>
          <x:t xml:space="preserve">Руководитель закупок</x:t>
        </x:is>
      </x:c>
      <x:c r="E123" s="31" t="inlineStr">
        <x:is>
          <x:t xml:space="preserve">+7 982 978-22-77</x:t>
        </x:is>
      </x:c>
      <x:c r="F123" s="31" t="inlineStr">
        <x:is>
          <x:t xml:space="preserve">contact122@промавтоматика.test</x:t>
        </x:is>
      </x:c>
      <x:c r="G123" s="31" t="inlineStr">
        <x:is>
          <x:t xml:space="preserve">Закупки</x:t>
        </x:is>
      </x:c>
      <x:c r="H123" s="31" t="inlineStr">
        <x:is>
          <x:t xml:space="preserve">Да</x:t>
        </x:is>
      </x:c>
    </x:row>
    <x:row r="124" ht="18" customHeight="1">
      <x:c r="A124" s="31" t="inlineStr">
        <x:is>
          <x:t xml:space="preserve">КОН-0123</x:t>
        </x:is>
      </x:c>
      <x:c r="B124" s="31" t="inlineStr">
        <x:is>
          <x:t xml:space="preserve">КЛ-049</x:t>
        </x:is>
      </x:c>
      <x:c r="C124" s="31" t="inlineStr">
        <x:is>
          <x:t xml:space="preserve">Ильин Михаил Алексеевич</x:t>
        </x:is>
      </x:c>
      <x:c r="D124" s="31" t="inlineStr">
        <x:is>
          <x:t xml:space="preserve">Главный инженер</x:t>
        </x:is>
      </x:c>
      <x:c r="E124" s="31" t="inlineStr">
        <x:is>
          <x:t xml:space="preserve">+7 997 387-79-82</x:t>
        </x:is>
      </x:c>
      <x:c r="F124" s="31" t="inlineStr">
        <x:is>
          <x:t xml:space="preserve">contact123@промавтоматика.test</x:t>
        </x:is>
      </x:c>
      <x:c r="G124" s="31" t="inlineStr">
        <x:is>
          <x:t xml:space="preserve">Финансы</x:t>
        </x:is>
      </x:c>
      <x:c r="H124" s="31" t="inlineStr">
        <x:is>
          <x:t xml:space="preserve">Да</x:t>
        </x:is>
      </x:c>
    </x:row>
    <x:row r="125" ht="18" customHeight="1">
      <x:c r="A125" s="31" t="inlineStr">
        <x:is>
          <x:t xml:space="preserve">КОН-0124</x:t>
        </x:is>
      </x:c>
      <x:c r="B125" s="31" t="inlineStr">
        <x:is>
          <x:t xml:space="preserve">КЛ-049</x:t>
        </x:is>
      </x:c>
      <x:c r="C125" s="31" t="inlineStr">
        <x:is>
          <x:t xml:space="preserve">Федоров Алексей Андреевич</x:t>
        </x:is>
      </x:c>
      <x:c r="D125" s="31" t="inlineStr">
        <x:is>
          <x:t xml:space="preserve">Менеджер проекта</x:t>
        </x:is>
      </x:c>
      <x:c r="E125" s="31" t="inlineStr">
        <x:is>
          <x:t xml:space="preserve">+7 928 870-60-19</x:t>
        </x:is>
      </x:c>
      <x:c r="F125" s="31" t="inlineStr">
        <x:is>
          <x:t xml:space="preserve">contact124@промавтоматика.test</x:t>
        </x:is>
      </x:c>
      <x:c r="G125" s="31" t="inlineStr">
        <x:is>
          <x:t xml:space="preserve">Основной</x:t>
        </x:is>
      </x:c>
      <x:c r="H125" s="31" t="inlineStr">
        <x:is>
          <x:t xml:space="preserve">Да</x:t>
        </x:is>
      </x:c>
    </x:row>
    <x:row r="126" ht="18" customHeight="1">
      <x:c r="A126" s="31" t="inlineStr">
        <x:is>
          <x:t xml:space="preserve">КОН-0125</x:t>
        </x:is>
      </x:c>
      <x:c r="B126" s="31" t="inlineStr">
        <x:is>
          <x:t xml:space="preserve">КЛ-049</x:t>
        </x:is>
      </x:c>
      <x:c r="C126" s="31" t="inlineStr">
        <x:is>
          <x:t xml:space="preserve">Комаров Елена Николаевна</x:t>
        </x:is>
      </x:c>
      <x:c r="D126" s="31" t="inlineStr">
        <x:is>
          <x:t xml:space="preserve">Менеджер проекта</x:t>
        </x:is>
      </x:c>
      <x:c r="E126" s="31" t="inlineStr">
        <x:is>
          <x:t xml:space="preserve">+7 952 493-27-98</x:t>
        </x:is>
      </x:c>
      <x:c r="F126" s="31" t="inlineStr">
        <x:is>
          <x:t xml:space="preserve">contact125@промавтоматика.test</x:t>
        </x:is>
      </x:c>
      <x:c r="G126" s="31" t="inlineStr">
        <x:is>
          <x:t xml:space="preserve">Финансы</x:t>
        </x:is>
      </x:c>
      <x:c r="H126" s="31" t="inlineStr">
        <x:is>
          <x:t xml:space="preserve">Да</x:t>
        </x:is>
      </x:c>
    </x:row>
    <x:row r="127" ht="18" customHeight="1">
      <x:c r="A127" s="31" t="inlineStr">
        <x:is>
          <x:t xml:space="preserve">КОН-0126</x:t>
        </x:is>
      </x:c>
      <x:c r="B127" s="31" t="inlineStr">
        <x:is>
          <x:t xml:space="preserve">КЛ-050</x:t>
        </x:is>
      </x:c>
      <x:c r="C127" s="31" t="inlineStr">
        <x:is>
          <x:t xml:space="preserve">Кузнецов Андрей Павлович</x:t>
        </x:is>
      </x:c>
      <x:c r="D127" s="31" t="inlineStr">
        <x:is>
          <x:t xml:space="preserve">Начальник ПТО</x:t>
        </x:is>
      </x:c>
      <x:c r="E127" s="31" t="inlineStr">
        <x:is>
          <x:t xml:space="preserve">+7 919 448-87-88</x:t>
        </x:is>
      </x:c>
      <x:c r="F127" s="31" t="inlineStr">
        <x:is>
          <x:t xml:space="preserve">contact126@металлсервис.test</x:t>
        </x:is>
      </x:c>
      <x:c r="G127" s="31" t="inlineStr">
        <x:is>
          <x:t xml:space="preserve">Закупки</x:t>
        </x:is>
      </x:c>
      <x:c r="H127" s="31" t="inlineStr">
        <x:is>
          <x:t xml:space="preserve">Да</x:t>
        </x:is>
      </x:c>
    </x:row>
    <x:row r="128" ht="18" customHeight="1">
      <x:c r="A128" s="31" t="inlineStr">
        <x:is>
          <x:t xml:space="preserve">КОН-0127</x:t>
        </x:is>
      </x:c>
      <x:c r="B128" s="31" t="inlineStr">
        <x:is>
          <x:t xml:space="preserve">КЛ-050</x:t>
        </x:is>
      </x:c>
      <x:c r="C128" s="31" t="inlineStr">
        <x:is>
          <x:t xml:space="preserve">Федоров Алексей Алексеевна</x:t>
        </x:is>
      </x:c>
      <x:c r="D128" s="31" t="inlineStr">
        <x:is>
          <x:t xml:space="preserve">Руководитель закупок</x:t>
        </x:is>
      </x:c>
      <x:c r="E128" s="31" t="inlineStr">
        <x:is>
          <x:t xml:space="preserve">+7 967 602-39-55</x:t>
        </x:is>
      </x:c>
      <x:c r="F128" s="31" t="inlineStr">
        <x:is>
          <x:t xml:space="preserve">contact127@металлсервис.test</x:t>
        </x:is>
      </x:c>
      <x:c r="G128" s="31" t="inlineStr">
        <x:is>
          <x:t xml:space="preserve">Технический</x:t>
        </x:is>
      </x:c>
      <x:c r="H128" s="31" t="inlineStr">
        <x:is>
          <x:t xml:space="preserve">Да</x:t>
        </x:is>
      </x:c>
    </x:row>
    <x:row r="129" ht="18" customHeight="1">
      <x:c r="A129" s="31" t="inlineStr">
        <x:is>
          <x:t xml:space="preserve">КОН-0128</x:t>
        </x:is>
      </x:c>
      <x:c r="B129" s="31" t="inlineStr">
        <x:is>
          <x:t xml:space="preserve">КЛ-050</x:t>
        </x:is>
      </x:c>
      <x:c r="C129" s="31" t="inlineStr">
        <x:is>
          <x:t xml:space="preserve">Соловьев Елена Владимирович</x:t>
        </x:is>
      </x:c>
      <x:c r="D129" s="31" t="inlineStr">
        <x:is>
          <x:t xml:space="preserve">Главный механик</x:t>
        </x:is>
      </x:c>
      <x:c r="E129" s="31" t="inlineStr">
        <x:is>
          <x:t xml:space="preserve">+7 958 187-89-47</x:t>
        </x:is>
      </x:c>
      <x:c r="F129" s="31" t="inlineStr">
        <x:is>
          <x:t xml:space="preserve">contact128@металлсервис.test</x:t>
        </x:is>
      </x:c>
      <x:c r="G129" s="31" t="inlineStr">
        <x:is>
          <x:t xml:space="preserve">Финансы</x:t>
        </x:is>
      </x:c>
      <x:c r="H129" s="31" t="inlineStr">
        <x:is>
          <x:t xml:space="preserve">Да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6" customWidth="1"/>
    <x:col min="3" max="3" width="12" customWidth="1"/>
    <x:col min="4" max="4" width="15" customWidth="1"/>
    <x:col min="5" max="5" width="17" customWidth="1"/>
    <x:col min="6" max="6" width="13" customWidth="1"/>
    <x:col min="7" max="7" width="11" customWidth="1"/>
    <x:col min="8" max="8" width="17" customWidth="1"/>
    <x:col min="9" max="9" width="10" customWidth="1"/>
    <x:col min="10" max="10" width="28" customWidth="1"/>
    <x:col min="11" max="11" width="21" customWidth="1"/>
  </x:cols>
  <x:sheetData>
    <x:row r="1" ht="18" customHeight="1">
      <x:c r="A1" s="30" t="inlineStr">
        <x:is>
          <x:t xml:space="preserve">Код договора</x:t>
        </x:is>
      </x:c>
      <x:c r="B1" s="30" t="inlineStr">
        <x:is>
          <x:t xml:space="preserve">Номер договора</x:t>
        </x:is>
      </x:c>
      <x:c r="C1" s="30" t="inlineStr">
        <x:is>
          <x:t xml:space="preserve">Код заказа</x:t>
        </x:is>
      </x:c>
      <x:c r="D1" s="30" t="inlineStr">
        <x:is>
          <x:t xml:space="preserve">Код заказчика</x:t>
        </x:is>
      </x:c>
      <x:c r="E1" s="30" t="inlineStr">
        <x:is>
          <x:t xml:space="preserve">Дата подписания</x:t>
        </x:is>
      </x:c>
      <x:c r="F1" s="30" t="inlineStr">
        <x:is>
          <x:t xml:space="preserve">Сумма, руб.</x:t>
        </x:is>
      </x:c>
      <x:c r="G1" s="30" t="str">
        <x:v>НДС</x:v>
      </x:c>
      <x:c r="H1" s="30" t="inlineStr">
        <x:is>
          <x:t xml:space="preserve">Статус</x:t>
        </x:is>
      </x:c>
      <x:c r="I1" s="30" t="inlineStr">
        <x:is>
          <x:t xml:space="preserve">Есть ДС</x:t>
        </x:is>
      </x:c>
      <x:c r="J1" s="30" t="inlineStr">
        <x:is>
          <x:t xml:space="preserve">Условия</x:t>
        </x:is>
      </x:c>
      <x:c r="K1" s="30" t="inlineStr">
        <x:is>
          <x:t xml:space="preserve">Юридическая пометка</x:t>
        </x:is>
      </x:c>
    </x:row>
    <x:row r="2" ht="18" customHeight="1">
      <x:c r="A2" s="31" t="inlineStr">
        <x:is>
          <x:t xml:space="preserve">ДОГ-1002</x:t>
        </x:is>
      </x:c>
      <x:c r="B2" s="31" t="inlineStr">
        <x:is>
          <x:t xml:space="preserve">СТК-2026-1002</x:t>
        </x:is>
      </x:c>
      <x:c r="C2" s="31" t="inlineStr">
        <x:is>
          <x:t xml:space="preserve">ЗК-1002</x:t>
        </x:is>
      </x:c>
      <x:c r="D2" s="31" t="inlineStr">
        <x:is>
          <x:t xml:space="preserve">КЛ-046</x:t>
        </x:is>
      </x:c>
      <x:c r="E2" s="31" t="n">
        <x:v>46161</x:v>
      </x:c>
      <x:c r="F2" s="31" t="n">
        <x:v>1839800</x:v>
      </x:c>
      <x:c r="G2" s="31" t="str">
        <x:v>С НДС 22%</x:v>
      </x:c>
      <x:c r="H2" s="31" t="inlineStr">
        <x:is>
          <x:t xml:space="preserve">ДС в работе</x:t>
        </x:is>
      </x:c>
      <x:c r="I2" s="31" t="inlineStr">
        <x:is>
          <x:t xml:space="preserve">Нет</x:t>
        </x:is>
      </x:c>
      <x:c r="J2" s="31" t="inlineStr">
        <x:is>
          <x:t xml:space="preserve">Стандартные</x:t>
        </x:is>
      </x:c>
      <x:c r="K2" s="31" t="inlineStr">
        <x:is>
          <x:t xml:space="preserve">Юр. проверка 2</x:t>
        </x:is>
      </x:c>
    </x:row>
    <x:row r="3" ht="18" customHeight="1">
      <x:c r="A3" s="31" t="inlineStr">
        <x:is>
          <x:t xml:space="preserve">ДОГ-1003</x:t>
        </x:is>
      </x:c>
      <x:c r="B3" s="31" t="inlineStr">
        <x:is>
          <x:t xml:space="preserve">СТК-2026-1003</x:t>
        </x:is>
      </x:c>
      <x:c r="C3" s="31" t="inlineStr">
        <x:is>
          <x:t xml:space="preserve">ЗК-1003</x:t>
        </x:is>
      </x:c>
      <x:c r="D3" s="31" t="inlineStr">
        <x:is>
          <x:t xml:space="preserve">КЛ-001</x:t>
        </x:is>
      </x:c>
      <x:c r="E3" s="31" t="n">
        <x:v>46192</x:v>
      </x:c>
      <x:c r="F3" s="31" t="n">
        <x:v>2732179</x:v>
      </x:c>
      <x:c r="G3" s="31" t="str">
        <x:v>С НДС 22%</x:v>
      </x:c>
      <x:c r="H3" s="31" t="inlineStr">
        <x:is>
          <x:t xml:space="preserve">Подписан</x:t>
        </x:is>
      </x:c>
      <x:c r="I3" s="31" t="inlineStr">
        <x:is>
          <x:t xml:space="preserve">Нет</x:t>
        </x:is>
      </x:c>
      <x:c r="J3" s="31" t="inlineStr">
        <x:is>
          <x:t xml:space="preserve">Стандартные</x:t>
        </x:is>
      </x:c>
      <x:c r="K3" s="31" t="inlineStr">
        <x:is>
          <x:t xml:space="preserve">Юр. проверка 2</x:t>
        </x:is>
      </x:c>
    </x:row>
    <x:row r="4" ht="18" customHeight="1">
      <x:c r="A4" s="31" t="inlineStr">
        <x:is>
          <x:t xml:space="preserve">ДОГ-1004</x:t>
        </x:is>
      </x:c>
      <x:c r="B4" s="31" t="inlineStr">
        <x:is>
          <x:t xml:space="preserve">СТК-2026-1004</x:t>
        </x:is>
      </x:c>
      <x:c r="C4" s="31" t="inlineStr">
        <x:is>
          <x:t xml:space="preserve">ЗК-1004</x:t>
        </x:is>
      </x:c>
      <x:c r="D4" s="31" t="inlineStr">
        <x:is>
          <x:t xml:space="preserve">КЛ-044</x:t>
        </x:is>
      </x:c>
      <x:c r="E4" s="31" t="n">
        <x:v>46141</x:v>
      </x:c>
      <x:c r="F4" s="31" t="n">
        <x:v>3809034</x:v>
      </x:c>
      <x:c r="G4" s="31" t="str">
        <x:v>С НДС 22%</x:v>
      </x:c>
      <x:c r="H4" s="31" t="inlineStr">
        <x:is>
          <x:t xml:space="preserve">Подписан</x:t>
        </x:is>
      </x:c>
      <x:c r="I4" s="31" t="inlineStr">
        <x:is>
          <x:t xml:space="preserve">Нет</x:t>
        </x:is>
      </x:c>
      <x:c r="J4" s="31" t="inlineStr">
        <x:is>
          <x:t xml:space="preserve">Стандартные</x:t>
        </x:is>
      </x:c>
      <x:c r="K4" s="31" t="inlineStr">
        <x:is>
          <x:t xml:space="preserve">Юр. проверка 2</x:t>
        </x:is>
      </x:c>
    </x:row>
    <x:row r="5" ht="18" customHeight="1">
      <x:c r="A5" s="31" t="inlineStr">
        <x:is>
          <x:t xml:space="preserve">ДОГ-1005</x:t>
        </x:is>
      </x:c>
      <x:c r="B5" s="31" t="inlineStr">
        <x:is>
          <x:t xml:space="preserve">СТК-2026-1005</x:t>
        </x:is>
      </x:c>
      <x:c r="C5" s="31" t="inlineStr">
        <x:is>
          <x:t xml:space="preserve">ЗК-1005</x:t>
        </x:is>
      </x:c>
      <x:c r="D5" s="31" t="inlineStr">
        <x:is>
          <x:t xml:space="preserve">КЛ-010</x:t>
        </x:is>
      </x:c>
      <x:c r="E5" s="31" t="n">
        <x:v>46100</x:v>
      </x:c>
      <x:c r="F5" s="31" t="n">
        <x:v>7880282</x:v>
      </x:c>
      <x:c r="G5" s="31" t="str">
        <x:v>С НДС 22%</x:v>
      </x:c>
      <x:c r="H5" s="31" t="inlineStr">
        <x:is>
          <x:t xml:space="preserve">Подписан</x:t>
        </x:is>
      </x:c>
      <x:c r="I5" s="31" t="inlineStr">
        <x:is>
          <x:t xml:space="preserve">Нет</x:t>
        </x:is>
      </x:c>
      <x:c r="J5" s="31" t="inlineStr">
        <x:is>
          <x:t xml:space="preserve">Стандартные</x:t>
        </x:is>
      </x:c>
      <x:c r="K5" s="31" t="inlineStr">
        <x:is>
          <x:t xml:space="preserve">Юр. проверка 2</x:t>
        </x:is>
      </x:c>
    </x:row>
    <x:row r="6" ht="18" customHeight="1">
      <x:c r="A6" s="31" t="inlineStr">
        <x:is>
          <x:t xml:space="preserve">ДОГ-1007</x:t>
        </x:is>
      </x:c>
      <x:c r="B6" s="31" t="inlineStr">
        <x:is>
          <x:t xml:space="preserve">СТК-2026-1007</x:t>
        </x:is>
      </x:c>
      <x:c r="C6" s="31" t="inlineStr">
        <x:is>
          <x:t xml:space="preserve">ЗК-1007</x:t>
        </x:is>
      </x:c>
      <x:c r="D6" s="31" t="inlineStr">
        <x:is>
          <x:t xml:space="preserve">КЛ-039</x:t>
        </x:is>
      </x:c>
      <x:c r="E6" s="31" t="n">
        <x:v>46145</x:v>
      </x:c>
      <x:c r="F6" s="31" t="n">
        <x:v>2699654</x:v>
      </x:c>
      <x:c r="G6" s="31" t="str">
        <x:v>С НДС 22%</x:v>
      </x:c>
      <x:c r="H6" s="31" t="inlineStr">
        <x:is>
          <x:t xml:space="preserve">Подписан</x:t>
        </x:is>
      </x:c>
      <x:c r="I6" s="31" t="inlineStr">
        <x:is>
          <x:t xml:space="preserve">Нет</x:t>
        </x:is>
      </x:c>
      <x:c r="J6" s="31" t="inlineStr">
        <x:is>
          <x:t xml:space="preserve">Постоплата</x:t>
        </x:is>
      </x:c>
      <x:c r="K6" s="31" t="inlineStr">
        <x:is>
          <x:t xml:space="preserve">Юр. проверка 3</x:t>
        </x:is>
      </x:c>
    </x:row>
    <x:row r="7" ht="18" customHeight="1">
      <x:c r="A7" s="31" t="inlineStr">
        <x:is>
          <x:t xml:space="preserve">ДОГ-1008</x:t>
        </x:is>
      </x:c>
      <x:c r="B7" s="31" t="inlineStr">
        <x:is>
          <x:t xml:space="preserve">СТК-2026-1008</x:t>
        </x:is>
      </x:c>
      <x:c r="C7" s="31" t="inlineStr">
        <x:is>
          <x:t xml:space="preserve">ЗК-1008</x:t>
        </x:is>
      </x:c>
      <x:c r="D7" s="31" t="inlineStr">
        <x:is>
          <x:t xml:space="preserve">КЛ-014</x:t>
        </x:is>
      </x:c>
      <x:c r="E7" s="31" t="n">
        <x:v>46101</x:v>
      </x:c>
      <x:c r="F7" s="31" t="n">
        <x:v>5775535</x:v>
      </x:c>
      <x:c r="G7" s="31" t="str">
        <x:v>С НДС 22%</x:v>
      </x:c>
      <x:c r="H7" s="31" t="inlineStr">
        <x:is>
          <x:t xml:space="preserve">Подписан</x:t>
        </x:is>
      </x:c>
      <x:c r="I7" s="31" t="inlineStr">
        <x:is>
          <x:t xml:space="preserve">Нет</x:t>
        </x:is>
      </x:c>
      <x:c r="J7" s="31" t="inlineStr">
        <x:is>
          <x:t xml:space="preserve">Постоплата</x:t>
        </x:is>
      </x:c>
      <x:c r="K7" s="31" t="inlineStr">
        <x:is>
          <x:t xml:space="preserve">Юр. проверка 1</x:t>
        </x:is>
      </x:c>
    </x:row>
    <x:row r="8" ht="18" customHeight="1">
      <x:c r="A8" s="31" t="inlineStr">
        <x:is>
          <x:t xml:space="preserve">ДОГ-1009</x:t>
        </x:is>
      </x:c>
      <x:c r="B8" s="31" t="inlineStr">
        <x:is>
          <x:t xml:space="preserve">СТК-2026-1009</x:t>
        </x:is>
      </x:c>
      <x:c r="C8" s="31" t="inlineStr">
        <x:is>
          <x:t xml:space="preserve">ЗК-1009</x:t>
        </x:is>
      </x:c>
      <x:c r="D8" s="31" t="inlineStr">
        <x:is>
          <x:t xml:space="preserve">КЛ-011</x:t>
        </x:is>
      </x:c>
      <x:c r="E8" s="31" t="n">
        <x:v>46147</x:v>
      </x:c>
      <x:c r="F8" s="31" t="n">
        <x:v>7492838</x:v>
      </x:c>
      <x:c r="G8" s="31" t="str">
        <x:v>С НДС 22%</x:v>
      </x:c>
      <x:c r="H8" s="31" t="inlineStr">
        <x:is>
          <x:t xml:space="preserve">Подписан</x:t>
        </x:is>
      </x:c>
      <x:c r="I8" s="31" t="inlineStr">
        <x:is>
          <x:t xml:space="preserve">Нет</x:t>
        </x:is>
      </x:c>
      <x:c r="J8" s="31" t="inlineStr">
        <x:is>
          <x:t xml:space="preserve">Постоплата</x:t>
        </x:is>
      </x:c>
      <x:c r="K8" s="31" t="inlineStr">
        <x:is>
          <x:t xml:space="preserve">Юр. проверка 3</x:t>
        </x:is>
      </x:c>
    </x:row>
    <x:row r="9" ht="18" customHeight="1">
      <x:c r="A9" s="31" t="inlineStr">
        <x:is>
          <x:t xml:space="preserve">ДОГ-1010</x:t>
        </x:is>
      </x:c>
      <x:c r="B9" s="31" t="inlineStr">
        <x:is>
          <x:t xml:space="preserve">СТК-2026-1010</x:t>
        </x:is>
      </x:c>
      <x:c r="C9" s="31" t="inlineStr">
        <x:is>
          <x:t xml:space="preserve">ЗК-1010</x:t>
        </x:is>
      </x:c>
      <x:c r="D9" s="31" t="inlineStr">
        <x:is>
          <x:t xml:space="preserve">КЛ-049</x:t>
        </x:is>
      </x:c>
      <x:c r="E9" s="31" t="n">
        <x:v>46113</x:v>
      </x:c>
      <x:c r="F9" s="31" t="n">
        <x:v>2217864</x:v>
      </x:c>
      <x:c r="G9" s="31" t="str">
        <x:v>С НДС 22%</x:v>
      </x:c>
      <x:c r="H9" s="31" t="inlineStr">
        <x:is>
          <x:t xml:space="preserve">На согласовании</x:t>
        </x:is>
      </x:c>
      <x:c r="I9" s="31" t="inlineStr">
        <x:is>
          <x:t xml:space="preserve">Нет</x:t>
        </x:is>
      </x:c>
      <x:c r="J9" s="31" t="inlineStr">
        <x:is>
          <x:t xml:space="preserve">Казначейское сопровождение</x:t>
        </x:is>
      </x:c>
      <x:c r="K9" s="31" t="inlineStr">
        <x:is>
          <x:t xml:space="preserve">Юр. проверка 1</x:t>
        </x:is>
      </x:c>
    </x:row>
    <x:row r="10" ht="18" customHeight="1">
      <x:c r="A10" s="31" t="inlineStr">
        <x:is>
          <x:t xml:space="preserve">ДОГ-1011</x:t>
        </x:is>
      </x:c>
      <x:c r="B10" s="31" t="inlineStr">
        <x:is>
          <x:t xml:space="preserve">СТК-2026-1011</x:t>
        </x:is>
      </x:c>
      <x:c r="C10" s="31" t="inlineStr">
        <x:is>
          <x:t xml:space="preserve">ЗК-1011</x:t>
        </x:is>
      </x:c>
      <x:c r="D10" s="31" t="inlineStr">
        <x:is>
          <x:t xml:space="preserve">КЛ-033</x:t>
        </x:is>
      </x:c>
      <x:c r="E10" s="31" t="n">
        <x:v>46078</x:v>
      </x:c>
      <x:c r="F10" s="31" t="n">
        <x:v>5180289</x:v>
      </x:c>
      <x:c r="G10" s="31" t="str">
        <x:v>С НДС 22%</x:v>
      </x:c>
      <x:c r="H10" s="31" t="inlineStr">
        <x:is>
          <x:t xml:space="preserve">На согласовании</x:t>
        </x:is>
      </x:c>
      <x:c r="I10" s="31" t="inlineStr">
        <x:is>
          <x:t xml:space="preserve">Нет</x:t>
        </x:is>
      </x:c>
      <x:c r="J10" s="31" t="inlineStr">
        <x:is>
          <x:t xml:space="preserve">Стандартные</x:t>
        </x:is>
      </x:c>
      <x:c r="K10" s="31" t="inlineStr">
        <x:is>
          <x:t xml:space="preserve">Юр. проверка 2</x:t>
        </x:is>
      </x:c>
    </x:row>
    <x:row r="11" ht="18" customHeight="1">
      <x:c r="A11" s="31" t="inlineStr">
        <x:is>
          <x:t xml:space="preserve">ДОГ-1012</x:t>
        </x:is>
      </x:c>
      <x:c r="B11" s="31" t="inlineStr">
        <x:is>
          <x:t xml:space="preserve">СТК-2026-1012</x:t>
        </x:is>
      </x:c>
      <x:c r="C11" s="31" t="inlineStr">
        <x:is>
          <x:t xml:space="preserve">ЗК-1012</x:t>
        </x:is>
      </x:c>
      <x:c r="D11" s="31" t="inlineStr">
        <x:is>
          <x:t xml:space="preserve">КЛ-005</x:t>
        </x:is>
      </x:c>
      <x:c r="E11" s="31" t="n">
        <x:v>46074</x:v>
      </x:c>
      <x:c r="F11" s="31" t="n">
        <x:v>15207925</x:v>
      </x:c>
      <x:c r="G11" s="31" t="str">
        <x:v>Без НДС</x:v>
      </x:c>
      <x:c r="H11" s="31" t="inlineStr">
        <x:is>
          <x:t xml:space="preserve">Подписан</x:t>
        </x:is>
      </x:c>
      <x:c r="I11" s="31" t="inlineStr">
        <x:is>
          <x:t xml:space="preserve">Нет</x:t>
        </x:is>
      </x:c>
      <x:c r="J11" s="31" t="inlineStr">
        <x:is>
          <x:t xml:space="preserve">Постоплата</x:t>
        </x:is>
      </x:c>
      <x:c r="K11" s="31" t="inlineStr">
        <x:is>
          <x:t xml:space="preserve">Юр. проверка 3</x:t>
        </x:is>
      </x:c>
    </x:row>
    <x:row r="12" ht="18" customHeight="1">
      <x:c r="A12" s="31" t="inlineStr">
        <x:is>
          <x:t xml:space="preserve">ДОГ-1013</x:t>
        </x:is>
      </x:c>
      <x:c r="B12" s="31" t="inlineStr">
        <x:is>
          <x:t xml:space="preserve">СТК-2026-1013</x:t>
        </x:is>
      </x:c>
      <x:c r="C12" s="31" t="inlineStr">
        <x:is>
          <x:t xml:space="preserve">ЗК-1013</x:t>
        </x:is>
      </x:c>
      <x:c r="D12" s="31" t="inlineStr">
        <x:is>
          <x:t xml:space="preserve">КЛ-006</x:t>
        </x:is>
      </x:c>
      <x:c r="E12" s="31" t="n">
        <x:v>46066</x:v>
      </x:c>
      <x:c r="F12" s="31" t="n">
        <x:v>1298504</x:v>
      </x:c>
      <x:c r="G12" s="31" t="str">
        <x:v>Без НДС</x:v>
      </x:c>
      <x:c r="H12" s="31" t="inlineStr">
        <x:is>
          <x:t xml:space="preserve">Подписан</x:t>
        </x:is>
      </x:c>
      <x:c r="I12" s="31" t="inlineStr">
        <x:is>
          <x:t xml:space="preserve">Нет</x:t>
        </x:is>
      </x:c>
      <x:c r="J12" s="31" t="inlineStr">
        <x:is>
          <x:t xml:space="preserve">Стандартные</x:t>
        </x:is>
      </x:c>
      <x:c r="K12" s="31" t="inlineStr">
        <x:is>
          <x:t xml:space="preserve">Юр. проверка 3</x:t>
        </x:is>
      </x:c>
    </x:row>
    <x:row r="13" ht="18" customHeight="1">
      <x:c r="A13" s="31" t="inlineStr">
        <x:is>
          <x:t xml:space="preserve">ДОГ-1014</x:t>
        </x:is>
      </x:c>
      <x:c r="B13" s="31" t="inlineStr">
        <x:is>
          <x:t xml:space="preserve">СТК-2026-1014</x:t>
        </x:is>
      </x:c>
      <x:c r="C13" s="31" t="inlineStr">
        <x:is>
          <x:t xml:space="preserve">ЗК-1014</x:t>
        </x:is>
      </x:c>
      <x:c r="D13" s="31" t="inlineStr">
        <x:is>
          <x:t xml:space="preserve">КЛ-024</x:t>
        </x:is>
      </x:c>
      <x:c r="E13" s="31" t="n">
        <x:v>46057</x:v>
      </x:c>
      <x:c r="F13" s="31" t="n">
        <x:v>1382250</x:v>
      </x:c>
      <x:c r="G13" s="31" t="str">
        <x:v>С НДС 22%</x:v>
      </x:c>
      <x:c r="H13" s="31" t="inlineStr">
        <x:is>
          <x:t xml:space="preserve">Подписан</x:t>
        </x:is>
      </x:c>
      <x:c r="I13" s="31" t="inlineStr">
        <x:is>
          <x:t xml:space="preserve">Да</x:t>
        </x:is>
      </x:c>
      <x:c r="J13" s="31" t="inlineStr">
        <x:is>
          <x:t xml:space="preserve">Стандартные</x:t>
        </x:is>
      </x:c>
      <x:c r="K13" s="31" t="inlineStr">
        <x:is>
          <x:t xml:space="preserve">Юр. проверка 1</x:t>
        </x:is>
      </x:c>
    </x:row>
    <x:row r="14" ht="18" customHeight="1">
      <x:c r="A14" s="31" t="inlineStr">
        <x:is>
          <x:t xml:space="preserve">ДОГ-1015</x:t>
        </x:is>
      </x:c>
      <x:c r="B14" s="31" t="inlineStr">
        <x:is>
          <x:t xml:space="preserve">СТК-2026-1015</x:t>
        </x:is>
      </x:c>
      <x:c r="C14" s="31" t="inlineStr">
        <x:is>
          <x:t xml:space="preserve">ЗК-1015</x:t>
        </x:is>
      </x:c>
      <x:c r="D14" s="31" t="inlineStr">
        <x:is>
          <x:t xml:space="preserve">КЛ-049</x:t>
        </x:is>
      </x:c>
      <x:c r="E14" s="31" t="n">
        <x:v>46126</x:v>
      </x:c>
      <x:c r="F14" s="31" t="n">
        <x:v>4632105</x:v>
      </x:c>
      <x:c r="G14" s="31" t="str">
        <x:v>С НДС 22%</x:v>
      </x:c>
      <x:c r="H14" s="31" t="inlineStr">
        <x:is>
          <x:t xml:space="preserve">Подписан</x:t>
        </x:is>
      </x:c>
      <x:c r="I14" s="31" t="inlineStr">
        <x:is>
          <x:t xml:space="preserve">Нет</x:t>
        </x:is>
      </x:c>
      <x:c r="J14" s="31" t="inlineStr">
        <x:is>
          <x:t xml:space="preserve">Стандартные</x:t>
        </x:is>
      </x:c>
      <x:c r="K14" s="31" t="inlineStr">
        <x:is>
          <x:t xml:space="preserve">Юр. проверка 1</x:t>
        </x:is>
      </x:c>
    </x:row>
    <x:row r="15" ht="18" customHeight="1">
      <x:c r="A15" s="31" t="inlineStr">
        <x:is>
          <x:t xml:space="preserve">ДОГ-1016</x:t>
        </x:is>
      </x:c>
      <x:c r="B15" s="31" t="inlineStr">
        <x:is>
          <x:t xml:space="preserve">СТК-2026-1016</x:t>
        </x:is>
      </x:c>
      <x:c r="C15" s="31" t="inlineStr">
        <x:is>
          <x:t xml:space="preserve">ЗК-1016</x:t>
        </x:is>
      </x:c>
      <x:c r="D15" s="31" t="inlineStr">
        <x:is>
          <x:t xml:space="preserve">КЛ-010</x:t>
        </x:is>
      </x:c>
      <x:c r="E15" s="31" t="n">
        <x:v>46045</x:v>
      </x:c>
      <x:c r="F15" s="31" t="n">
        <x:v>5411050</x:v>
      </x:c>
      <x:c r="G15" s="31" t="str">
        <x:v>С НДС 22%</x:v>
      </x:c>
      <x:c r="H15" s="31" t="inlineStr">
        <x:is>
          <x:t xml:space="preserve">Архив</x:t>
        </x:is>
      </x:c>
      <x:c r="I15" s="31" t="inlineStr">
        <x:is>
          <x:t xml:space="preserve">Нет</x:t>
        </x:is>
      </x:c>
      <x:c r="J15" s="31" t="inlineStr">
        <x:is>
          <x:t xml:space="preserve">Стандартные</x:t>
        </x:is>
      </x:c>
      <x:c r="K15" s="31" t="inlineStr">
        <x:is>
          <x:t xml:space="preserve">Юр. проверка 1</x:t>
        </x:is>
      </x:c>
    </x:row>
    <x:row r="16" ht="18" customHeight="1">
      <x:c r="A16" s="31" t="inlineStr">
        <x:is>
          <x:t xml:space="preserve">ДОГ-1017</x:t>
        </x:is>
      </x:c>
      <x:c r="B16" s="31" t="inlineStr">
        <x:is>
          <x:t xml:space="preserve">СТК-2026-1017</x:t>
        </x:is>
      </x:c>
      <x:c r="C16" s="31" t="inlineStr">
        <x:is>
          <x:t xml:space="preserve">ЗК-1017</x:t>
        </x:is>
      </x:c>
      <x:c r="D16" s="31" t="inlineStr">
        <x:is>
          <x:t xml:space="preserve">КЛ-044</x:t>
        </x:is>
      </x:c>
      <x:c r="E16" s="31" t="n">
        <x:v>46086</x:v>
      </x:c>
      <x:c r="F16" s="31" t="n">
        <x:v>20969482</x:v>
      </x:c>
      <x:c r="G16" s="31" t="str">
        <x:v>С НДС 22%</x:v>
      </x:c>
      <x:c r="H16" s="31" t="inlineStr">
        <x:is>
          <x:t xml:space="preserve">На согласовании</x:t>
        </x:is>
      </x:c>
      <x:c r="I16" s="31" t="inlineStr">
        <x:is>
          <x:t xml:space="preserve">Нет</x:t>
        </x:is>
      </x:c>
      <x:c r="J16" s="31" t="inlineStr">
        <x:is>
          <x:t xml:space="preserve">Постоплата</x:t>
        </x:is>
      </x:c>
      <x:c r="K16" s="31" t="inlineStr">
        <x:is>
          <x:t xml:space="preserve">Юр. проверка 1</x:t>
        </x:is>
      </x:c>
    </x:row>
    <x:row r="17" ht="18" customHeight="1">
      <x:c r="A17" s="31" t="inlineStr">
        <x:is>
          <x:t xml:space="preserve">ДОГ-1018</x:t>
        </x:is>
      </x:c>
      <x:c r="B17" s="31" t="inlineStr">
        <x:is>
          <x:t xml:space="preserve">СТК-2026-1018</x:t>
        </x:is>
      </x:c>
      <x:c r="C17" s="31" t="inlineStr">
        <x:is>
          <x:t xml:space="preserve">ЗК-1018</x:t>
        </x:is>
      </x:c>
      <x:c r="D17" s="31" t="inlineStr">
        <x:is>
          <x:t xml:space="preserve">КЛ-033</x:t>
        </x:is>
      </x:c>
      <x:c r="E17" s="31" t="n">
        <x:v>46149</x:v>
      </x:c>
      <x:c r="F17" s="31" t="n">
        <x:v>4176732</x:v>
      </x:c>
      <x:c r="G17" s="31" t="str">
        <x:v>С НДС 22%</x:v>
      </x:c>
      <x:c r="H17" s="31" t="inlineStr">
        <x:is>
          <x:t xml:space="preserve">Подписан</x:t>
        </x:is>
      </x:c>
      <x:c r="I17" s="31" t="inlineStr">
        <x:is>
          <x:t xml:space="preserve">Нет</x:t>
        </x:is>
      </x:c>
      <x:c r="J17" s="31" t="inlineStr">
        <x:is>
          <x:t xml:space="preserve">Постоплата</x:t>
        </x:is>
      </x:c>
      <x:c r="K17" s="31" t="inlineStr">
        <x:is>
          <x:t xml:space="preserve">Юр. проверка 1</x:t>
        </x:is>
      </x:c>
    </x:row>
    <x:row r="18" ht="18" customHeight="1">
      <x:c r="A18" s="31" t="inlineStr">
        <x:is>
          <x:t xml:space="preserve">ДОГ-1019</x:t>
        </x:is>
      </x:c>
      <x:c r="B18" s="31" t="inlineStr">
        <x:is>
          <x:t xml:space="preserve">СТК-2026-1019</x:t>
        </x:is>
      </x:c>
      <x:c r="C18" s="31" t="inlineStr">
        <x:is>
          <x:t xml:space="preserve">ЗК-1019</x:t>
        </x:is>
      </x:c>
      <x:c r="D18" s="31" t="inlineStr">
        <x:is>
          <x:t xml:space="preserve">КЛ-011</x:t>
        </x:is>
      </x:c>
      <x:c r="E18" s="31" t="n">
        <x:v>46175</x:v>
      </x:c>
      <x:c r="F18" s="31" t="n">
        <x:v>1093208</x:v>
      </x:c>
      <x:c r="G18" s="31" t="str">
        <x:v>С НДС 22%</x:v>
      </x:c>
      <x:c r="H18" s="31" t="inlineStr">
        <x:is>
          <x:t xml:space="preserve">На согласовании</x:t>
        </x:is>
      </x:c>
      <x:c r="I18" s="31" t="inlineStr">
        <x:is>
          <x:t xml:space="preserve">Нет</x:t>
        </x:is>
      </x:c>
      <x:c r="J18" s="31" t="inlineStr">
        <x:is>
          <x:t xml:space="preserve">Стандартные</x:t>
        </x:is>
      </x:c>
      <x:c r="K18" s="31" t="inlineStr">
        <x:is>
          <x:t xml:space="preserve">Юр. проверка 1</x:t>
        </x:is>
      </x:c>
    </x:row>
    <x:row r="19" ht="18" customHeight="1">
      <x:c r="A19" s="31" t="inlineStr">
        <x:is>
          <x:t xml:space="preserve">ДОГ-1020</x:t>
        </x:is>
      </x:c>
      <x:c r="B19" s="31" t="inlineStr">
        <x:is>
          <x:t xml:space="preserve">СТК-2026-1020</x:t>
        </x:is>
      </x:c>
      <x:c r="C19" s="31" t="inlineStr">
        <x:is>
          <x:t xml:space="preserve">ЗК-1020</x:t>
        </x:is>
      </x:c>
      <x:c r="D19" s="31" t="inlineStr">
        <x:is>
          <x:t xml:space="preserve">КЛ-041</x:t>
        </x:is>
      </x:c>
      <x:c r="E19" s="31" t="n">
        <x:v>46150</x:v>
      </x:c>
      <x:c r="F19" s="31" t="n">
        <x:v>784552</x:v>
      </x:c>
      <x:c r="G19" s="31" t="str">
        <x:v>С НДС 22%</x:v>
      </x:c>
      <x:c r="H19" s="31" t="inlineStr">
        <x:is>
          <x:t xml:space="preserve">ДС в работе</x:t>
        </x:is>
      </x:c>
      <x:c r="I19" s="31" t="inlineStr">
        <x:is>
          <x:t xml:space="preserve">Нет</x:t>
        </x:is>
      </x:c>
      <x:c r="J19" s="31" t="inlineStr">
        <x:is>
          <x:t xml:space="preserve">Стандартные</x:t>
        </x:is>
      </x:c>
      <x:c r="K19" s="31" t="inlineStr">
        <x:is>
          <x:t xml:space="preserve">Юр. проверка 2</x:t>
        </x:is>
      </x:c>
    </x:row>
    <x:row r="20" ht="18" customHeight="1">
      <x:c r="A20" s="31" t="inlineStr">
        <x:is>
          <x:t xml:space="preserve">ДОГ-1022</x:t>
        </x:is>
      </x:c>
      <x:c r="B20" s="31" t="inlineStr">
        <x:is>
          <x:t xml:space="preserve">СТК-2026-1022</x:t>
        </x:is>
      </x:c>
      <x:c r="C20" s="31" t="inlineStr">
        <x:is>
          <x:t xml:space="preserve">ЗК-1022</x:t>
        </x:is>
      </x:c>
      <x:c r="D20" s="31" t="inlineStr">
        <x:is>
          <x:t xml:space="preserve">КЛ-046</x:t>
        </x:is>
      </x:c>
      <x:c r="E20" s="31" t="n">
        <x:v>46132</x:v>
      </x:c>
      <x:c r="F20" s="31" t="n">
        <x:v>2066484</x:v>
      </x:c>
      <x:c r="G20" s="31" t="str">
        <x:v>С НДС 22%</x:v>
      </x:c>
      <x:c r="H20" s="31" t="inlineStr">
        <x:is>
          <x:t xml:space="preserve">На согласовании</x:t>
        </x:is>
      </x:c>
      <x:c r="I20" s="31" t="inlineStr">
        <x:is>
          <x:t xml:space="preserve">Нет</x:t>
        </x:is>
      </x:c>
      <x:c r="J20" s="31" t="inlineStr">
        <x:is>
          <x:t xml:space="preserve">Стандартные</x:t>
        </x:is>
      </x:c>
      <x:c r="K20" s="31" t="inlineStr">
        <x:is>
          <x:t xml:space="preserve">Юр. проверка 3</x:t>
        </x:is>
      </x:c>
    </x:row>
    <x:row r="21" ht="18" customHeight="1">
      <x:c r="A21" s="31" t="inlineStr">
        <x:is>
          <x:t xml:space="preserve">ДОГ-1023</x:t>
        </x:is>
      </x:c>
      <x:c r="B21" s="31" t="inlineStr">
        <x:is>
          <x:t xml:space="preserve">СТК-2026-1023</x:t>
        </x:is>
      </x:c>
      <x:c r="C21" s="31" t="inlineStr">
        <x:is>
          <x:t xml:space="preserve">ЗК-1023</x:t>
        </x:is>
      </x:c>
      <x:c r="D21" s="31" t="inlineStr">
        <x:is>
          <x:t xml:space="preserve">КЛ-027</x:t>
        </x:is>
      </x:c>
      <x:c r="E21" s="31" t="n">
        <x:v>46183</x:v>
      </x:c>
      <x:c r="F21" s="31" t="n">
        <x:v>6567357</x:v>
      </x:c>
      <x:c r="G21" s="31" t="str">
        <x:v>С НДС 22%</x:v>
      </x:c>
      <x:c r="H21" s="31" t="inlineStr">
        <x:is>
          <x:t xml:space="preserve">Подписан</x:t>
        </x:is>
      </x:c>
      <x:c r="I21" s="31" t="inlineStr">
        <x:is>
          <x:t xml:space="preserve">Нет</x:t>
        </x:is>
      </x:c>
      <x:c r="J21" s="31" t="inlineStr">
        <x:is>
          <x:t xml:space="preserve">Ужесточенные штрафы</x:t>
        </x:is>
      </x:c>
      <x:c r="K21" s="31" t="inlineStr">
        <x:is>
          <x:t xml:space="preserve">Юр. проверка 1</x:t>
        </x:is>
      </x:c>
    </x:row>
    <x:row r="22" ht="18" customHeight="1">
      <x:c r="A22" s="31" t="inlineStr">
        <x:is>
          <x:t xml:space="preserve">ДОГ-1025</x:t>
        </x:is>
      </x:c>
      <x:c r="B22" s="31" t="inlineStr">
        <x:is>
          <x:t xml:space="preserve">СТК-2026-1025</x:t>
        </x:is>
      </x:c>
      <x:c r="C22" s="31" t="inlineStr">
        <x:is>
          <x:t xml:space="preserve">ЗК-1025</x:t>
        </x:is>
      </x:c>
      <x:c r="D22" s="31" t="inlineStr">
        <x:is>
          <x:t xml:space="preserve">КЛ-032</x:t>
        </x:is>
      </x:c>
      <x:c r="E22" s="31" t="n">
        <x:v>46149</x:v>
      </x:c>
      <x:c r="F22" s="31" t="n">
        <x:v>4289087</x:v>
      </x:c>
      <x:c r="G22" s="31" t="str">
        <x:v>Без НДС</x:v>
      </x:c>
      <x:c r="H22" s="31" t="inlineStr">
        <x:is>
          <x:t xml:space="preserve">Архив</x:t>
        </x:is>
      </x:c>
      <x:c r="I22" s="31" t="inlineStr">
        <x:is>
          <x:t xml:space="preserve">Нет</x:t>
        </x:is>
      </x:c>
      <x:c r="J22" s="31" t="inlineStr">
        <x:is>
          <x:t xml:space="preserve">Стандартные</x:t>
        </x:is>
      </x:c>
      <x:c r="K22" s="31" t="inlineStr">
        <x:is>
          <x:t xml:space="preserve">Юр. проверка 3</x:t>
        </x:is>
      </x:c>
    </x:row>
    <x:row r="23" ht="18" customHeight="1">
      <x:c r="A23" s="31" t="inlineStr">
        <x:is>
          <x:t xml:space="preserve">ДОГ-1029</x:t>
        </x:is>
      </x:c>
      <x:c r="B23" s="31" t="inlineStr">
        <x:is>
          <x:t xml:space="preserve">СТК-2026-1029</x:t>
        </x:is>
      </x:c>
      <x:c r="C23" s="31" t="inlineStr">
        <x:is>
          <x:t xml:space="preserve">ЗК-1029</x:t>
        </x:is>
      </x:c>
      <x:c r="D23" s="31" t="inlineStr">
        <x:is>
          <x:t xml:space="preserve">КЛ-011</x:t>
        </x:is>
      </x:c>
      <x:c r="E23" s="31" t="n">
        <x:v>46052</x:v>
      </x:c>
      <x:c r="F23" s="31" t="n">
        <x:v>7468462</x:v>
      </x:c>
      <x:c r="G23" s="31" t="str">
        <x:v>С НДС 22%</x:v>
      </x:c>
      <x:c r="H23" s="31" t="inlineStr">
        <x:is>
          <x:t xml:space="preserve">Архив</x:t>
        </x:is>
      </x:c>
      <x:c r="I23" s="31" t="inlineStr">
        <x:is>
          <x:t xml:space="preserve">Да</x:t>
        </x:is>
      </x:c>
      <x:c r="J23" s="31" t="inlineStr">
        <x:is>
          <x:t xml:space="preserve">Стандартные</x:t>
        </x:is>
      </x:c>
      <x:c r="K23" s="31" t="inlineStr">
        <x:is>
          <x:t xml:space="preserve">Юр. проверка 3</x:t>
        </x:is>
      </x:c>
    </x:row>
    <x:row r="24" ht="18" customHeight="1">
      <x:c r="A24" s="31" t="inlineStr">
        <x:is>
          <x:t xml:space="preserve">ДОГ-1030</x:t>
        </x:is>
      </x:c>
      <x:c r="B24" s="31" t="inlineStr">
        <x:is>
          <x:t xml:space="preserve">СТК-2026-1030</x:t>
        </x:is>
      </x:c>
      <x:c r="C24" s="31" t="inlineStr">
        <x:is>
          <x:t xml:space="preserve">ЗК-1030</x:t>
        </x:is>
      </x:c>
      <x:c r="D24" s="31" t="inlineStr">
        <x:is>
          <x:t xml:space="preserve">КЛ-050</x:t>
        </x:is>
      </x:c>
      <x:c r="E24" s="31" t="n">
        <x:v>46166</x:v>
      </x:c>
      <x:c r="F24" s="31" t="n">
        <x:v>8850265</x:v>
      </x:c>
      <x:c r="G24" s="31" t="str">
        <x:v>С НДС 22%</x:v>
      </x:c>
      <x:c r="H24" s="31" t="inlineStr">
        <x:is>
          <x:t xml:space="preserve">Подписан</x:t>
        </x:is>
      </x:c>
      <x:c r="I24" s="31" t="inlineStr">
        <x:is>
          <x:t xml:space="preserve">Нет</x:t>
        </x:is>
      </x:c>
      <x:c r="J24" s="31" t="inlineStr">
        <x:is>
          <x:t xml:space="preserve">Стандартные</x:t>
        </x:is>
      </x:c>
      <x:c r="K24" s="31" t="inlineStr">
        <x:is>
          <x:t xml:space="preserve">Юр. проверка 2</x:t>
        </x:is>
      </x:c>
    </x:row>
    <x:row r="25" ht="18" customHeight="1">
      <x:c r="A25" s="31" t="inlineStr">
        <x:is>
          <x:t xml:space="preserve">ДОГ-1031</x:t>
        </x:is>
      </x:c>
      <x:c r="B25" s="31" t="inlineStr">
        <x:is>
          <x:t xml:space="preserve">СТК-2026-1031</x:t>
        </x:is>
      </x:c>
      <x:c r="C25" s="31" t="inlineStr">
        <x:is>
          <x:t xml:space="preserve">ЗК-1031</x:t>
        </x:is>
      </x:c>
      <x:c r="D25" s="31" t="inlineStr">
        <x:is>
          <x:t xml:space="preserve">КЛ-008</x:t>
        </x:is>
      </x:c>
      <x:c r="E25" s="31" t="n">
        <x:v>46112</x:v>
      </x:c>
      <x:c r="F25" s="31" t="n">
        <x:v>2210225</x:v>
      </x:c>
      <x:c r="G25" s="31" t="str">
        <x:v>Без НДС</x:v>
      </x:c>
      <x:c r="H25" s="31" t="inlineStr">
        <x:is>
          <x:t xml:space="preserve">На согласовании</x:t>
        </x:is>
      </x:c>
      <x:c r="I25" s="31" t="inlineStr">
        <x:is>
          <x:t xml:space="preserve">Нет</x:t>
        </x:is>
      </x:c>
      <x:c r="J25" s="31" t="inlineStr">
        <x:is>
          <x:t xml:space="preserve">Стандартные</x:t>
        </x:is>
      </x:c>
      <x:c r="K25" s="31" t="inlineStr">
        <x:is>
          <x:t xml:space="preserve">Юр. проверка 3</x:t>
        </x:is>
      </x:c>
    </x:row>
    <x:row r="26" ht="18" customHeight="1">
      <x:c r="A26" s="31" t="inlineStr">
        <x:is>
          <x:t xml:space="preserve">ДОГ-1033</x:t>
        </x:is>
      </x:c>
      <x:c r="B26" s="31" t="inlineStr">
        <x:is>
          <x:t xml:space="preserve">СТК-2026-1033</x:t>
        </x:is>
      </x:c>
      <x:c r="C26" s="31" t="inlineStr">
        <x:is>
          <x:t xml:space="preserve">ЗК-1033</x:t>
        </x:is>
      </x:c>
      <x:c r="D26" s="31" t="inlineStr">
        <x:is>
          <x:t xml:space="preserve">КЛ-027</x:t>
        </x:is>
      </x:c>
      <x:c r="E26" s="31" t="n">
        <x:v>46139</x:v>
      </x:c>
      <x:c r="F26" s="31" t="n">
        <x:v>961118</x:v>
      </x:c>
      <x:c r="G26" s="31" t="str">
        <x:v>С НДС 22%</x:v>
      </x:c>
      <x:c r="H26" s="31" t="inlineStr">
        <x:is>
          <x:t xml:space="preserve">Подписан</x:t>
        </x:is>
      </x:c>
      <x:c r="I26" s="31" t="inlineStr">
        <x:is>
          <x:t xml:space="preserve">Да</x:t>
        </x:is>
      </x:c>
      <x:c r="J26" s="31" t="inlineStr">
        <x:is>
          <x:t xml:space="preserve">Ужесточенные штрафы</x:t>
        </x:is>
      </x:c>
      <x:c r="K26" s="31" t="inlineStr">
        <x:is>
          <x:t xml:space="preserve">Юр. проверка 1</x:t>
        </x:is>
      </x:c>
    </x:row>
    <x:row r="27" ht="18" customHeight="1">
      <x:c r="A27" s="31" t="inlineStr">
        <x:is>
          <x:t xml:space="preserve">ДОГ-1035</x:t>
        </x:is>
      </x:c>
      <x:c r="B27" s="31" t="inlineStr">
        <x:is>
          <x:t xml:space="preserve">СТК-2026-1035</x:t>
        </x:is>
      </x:c>
      <x:c r="C27" s="31" t="inlineStr">
        <x:is>
          <x:t xml:space="preserve">ЗК-1035</x:t>
        </x:is>
      </x:c>
      <x:c r="D27" s="31" t="inlineStr">
        <x:is>
          <x:t xml:space="preserve">КЛ-033</x:t>
        </x:is>
      </x:c>
      <x:c r="E27" s="31" t="n">
        <x:v>46080</x:v>
      </x:c>
      <x:c r="F27" s="31" t="n">
        <x:v>5667097</x:v>
      </x:c>
      <x:c r="G27" s="31" t="str">
        <x:v>Без НДС</x:v>
      </x:c>
      <x:c r="H27" s="31" t="inlineStr">
        <x:is>
          <x:t xml:space="preserve">На согласовании</x:t>
        </x:is>
      </x:c>
      <x:c r="I27" s="31" t="inlineStr">
        <x:is>
          <x:t xml:space="preserve">Да</x:t>
        </x:is>
      </x:c>
      <x:c r="J27" s="31" t="inlineStr">
        <x:is>
          <x:t xml:space="preserve">Ужесточенные штрафы</x:t>
        </x:is>
      </x:c>
      <x:c r="K27" s="31" t="inlineStr">
        <x:is>
          <x:t xml:space="preserve">Юр. проверка 3</x:t>
        </x:is>
      </x:c>
    </x:row>
    <x:row r="28" ht="18" customHeight="1">
      <x:c r="A28" s="31" t="inlineStr">
        <x:is>
          <x:t xml:space="preserve">ДОГ-1036</x:t>
        </x:is>
      </x:c>
      <x:c r="B28" s="31" t="inlineStr">
        <x:is>
          <x:t xml:space="preserve">СТК-2026-1036</x:t>
        </x:is>
      </x:c>
      <x:c r="C28" s="31" t="inlineStr">
        <x:is>
          <x:t xml:space="preserve">ЗК-1036</x:t>
        </x:is>
      </x:c>
      <x:c r="D28" s="31" t="inlineStr">
        <x:is>
          <x:t xml:space="preserve">КЛ-005</x:t>
        </x:is>
      </x:c>
      <x:c r="E28" s="31" t="n">
        <x:v>46140</x:v>
      </x:c>
      <x:c r="F28" s="31" t="n">
        <x:v>5187550</x:v>
      </x:c>
      <x:c r="G28" s="31" t="str">
        <x:v>Без НДС</x:v>
      </x:c>
      <x:c r="H28" s="31" t="inlineStr">
        <x:is>
          <x:t xml:space="preserve">ДС в работе</x:t>
        </x:is>
      </x:c>
      <x:c r="I28" s="31" t="inlineStr">
        <x:is>
          <x:t xml:space="preserve">Да</x:t>
        </x:is>
      </x:c>
      <x:c r="J28" s="31" t="inlineStr">
        <x:is>
          <x:t xml:space="preserve">Казначейское сопровождение</x:t>
        </x:is>
      </x:c>
      <x:c r="K28" s="31" t="inlineStr">
        <x:is>
          <x:t xml:space="preserve">Юр. проверка 2</x:t>
        </x:is>
      </x:c>
    </x:row>
    <x:row r="29" ht="18" customHeight="1">
      <x:c r="A29" s="31" t="inlineStr">
        <x:is>
          <x:t xml:space="preserve">ДОГ-1037</x:t>
        </x:is>
      </x:c>
      <x:c r="B29" s="31" t="inlineStr">
        <x:is>
          <x:t xml:space="preserve">СТК-2026-1037</x:t>
        </x:is>
      </x:c>
      <x:c r="C29" s="31" t="inlineStr">
        <x:is>
          <x:t xml:space="preserve">ЗК-1037</x:t>
        </x:is>
      </x:c>
      <x:c r="D29" s="31" t="inlineStr">
        <x:is>
          <x:t xml:space="preserve">КЛ-044</x:t>
        </x:is>
      </x:c>
      <x:c r="E29" s="31" t="n">
        <x:v>46147</x:v>
      </x:c>
      <x:c r="F29" s="31" t="n">
        <x:v>13497317</x:v>
      </x:c>
      <x:c r="G29" s="31" t="str">
        <x:v>С НДС 22%</x:v>
      </x:c>
      <x:c r="H29" s="31" t="inlineStr">
        <x:is>
          <x:t xml:space="preserve">Подписан</x:t>
        </x:is>
      </x:c>
      <x:c r="I29" s="31" t="inlineStr">
        <x:is>
          <x:t xml:space="preserve">Нет</x:t>
        </x:is>
      </x:c>
      <x:c r="J29" s="31" t="inlineStr">
        <x:is>
          <x:t xml:space="preserve">Стандартные</x:t>
        </x:is>
      </x:c>
      <x:c r="K29" s="31" t="inlineStr">
        <x:is>
          <x:t xml:space="preserve">Юр. проверка 2</x:t>
        </x:is>
      </x:c>
    </x:row>
    <x:row r="30" ht="18" customHeight="1">
      <x:c r="A30" s="31" t="inlineStr">
        <x:is>
          <x:t xml:space="preserve">ДОГ-1038</x:t>
        </x:is>
      </x:c>
      <x:c r="B30" s="31" t="inlineStr">
        <x:is>
          <x:t xml:space="preserve">СТК-2026-1038</x:t>
        </x:is>
      </x:c>
      <x:c r="C30" s="31" t="inlineStr">
        <x:is>
          <x:t xml:space="preserve">ЗК-1038</x:t>
        </x:is>
      </x:c>
      <x:c r="D30" s="31" t="inlineStr">
        <x:is>
          <x:t xml:space="preserve">КЛ-004</x:t>
        </x:is>
      </x:c>
      <x:c r="E30" s="31" t="n">
        <x:v>46099</x:v>
      </x:c>
      <x:c r="F30" s="31" t="n">
        <x:v>10597006</x:v>
      </x:c>
      <x:c r="G30" s="31" t="str">
        <x:v>С НДС 22%</x:v>
      </x:c>
      <x:c r="H30" s="31" t="inlineStr">
        <x:is>
          <x:t xml:space="preserve">Подписан</x:t>
        </x:is>
      </x:c>
      <x:c r="I30" s="31" t="inlineStr">
        <x:is>
          <x:t xml:space="preserve">Нет</x:t>
        </x:is>
      </x:c>
      <x:c r="J30" s="31" t="inlineStr">
        <x:is>
          <x:t xml:space="preserve">Стандартные</x:t>
        </x:is>
      </x:c>
      <x:c r="K30" s="31" t="inlineStr">
        <x:is>
          <x:t xml:space="preserve">Юр. проверка 1</x:t>
        </x:is>
      </x:c>
    </x:row>
    <x:row r="31" ht="18" customHeight="1">
      <x:c r="A31" s="31" t="inlineStr">
        <x:is>
          <x:t xml:space="preserve">ДОГ-1040</x:t>
        </x:is>
      </x:c>
      <x:c r="B31" s="31" t="inlineStr">
        <x:is>
          <x:t xml:space="preserve">СТК-2026-1040</x:t>
        </x:is>
      </x:c>
      <x:c r="C31" s="31" t="inlineStr">
        <x:is>
          <x:t xml:space="preserve">ЗК-1040</x:t>
        </x:is>
      </x:c>
      <x:c r="D31" s="31" t="inlineStr">
        <x:is>
          <x:t xml:space="preserve">КЛ-009</x:t>
        </x:is>
      </x:c>
      <x:c r="E31" s="31" t="n">
        <x:v>46114</x:v>
      </x:c>
      <x:c r="F31" s="31" t="n">
        <x:v>8606888</x:v>
      </x:c>
      <x:c r="G31" s="31" t="str">
        <x:v>С НДС 22%</x:v>
      </x:c>
      <x:c r="H31" s="31" t="inlineStr">
        <x:is>
          <x:t xml:space="preserve">На согласовании</x:t>
        </x:is>
      </x:c>
      <x:c r="I31" s="31" t="inlineStr">
        <x:is>
          <x:t xml:space="preserve">Нет</x:t>
        </x:is>
      </x:c>
      <x:c r="J31" s="31" t="inlineStr">
        <x:is>
          <x:t xml:space="preserve">Казначейское сопровождение</x:t>
        </x:is>
      </x:c>
      <x:c r="K31" s="31" t="inlineStr">
        <x:is>
          <x:t xml:space="preserve">Юр. проверка 1</x:t>
        </x:is>
      </x:c>
    </x:row>
    <x:row r="32" ht="18" customHeight="1">
      <x:c r="A32" s="31" t="inlineStr">
        <x:is>
          <x:t xml:space="preserve">ДОГ-1041</x:t>
        </x:is>
      </x:c>
      <x:c r="B32" s="31" t="inlineStr">
        <x:is>
          <x:t xml:space="preserve">СТК-2026-1041</x:t>
        </x:is>
      </x:c>
      <x:c r="C32" s="31" t="inlineStr">
        <x:is>
          <x:t xml:space="preserve">ЗК-1041</x:t>
        </x:is>
      </x:c>
      <x:c r="D32" s="31" t="inlineStr">
        <x:is>
          <x:t xml:space="preserve">КЛ-032</x:t>
        </x:is>
      </x:c>
      <x:c r="E32" s="31" t="n">
        <x:v>46046</x:v>
      </x:c>
      <x:c r="F32" s="31" t="n">
        <x:v>3854971</x:v>
      </x:c>
      <x:c r="G32" s="31" t="str">
        <x:v>С НДС 22%</x:v>
      </x:c>
      <x:c r="H32" s="31" t="inlineStr">
        <x:is>
          <x:t xml:space="preserve">Подписан</x:t>
        </x:is>
      </x:c>
      <x:c r="I32" s="31" t="inlineStr">
        <x:is>
          <x:t xml:space="preserve">Нет</x:t>
        </x:is>
      </x:c>
      <x:c r="J32" s="31" t="inlineStr">
        <x:is>
          <x:t xml:space="preserve">Ужесточенные штрафы</x:t>
        </x:is>
      </x:c>
      <x:c r="K32" s="31" t="inlineStr">
        <x:is>
          <x:t xml:space="preserve">Юр. проверка 1</x:t>
        </x:is>
      </x:c>
    </x:row>
    <x:row r="33" ht="18" customHeight="1">
      <x:c r="A33" s="31" t="inlineStr">
        <x:is>
          <x:t xml:space="preserve">ДОГ-1042</x:t>
        </x:is>
      </x:c>
      <x:c r="B33" s="31" t="inlineStr">
        <x:is>
          <x:t xml:space="preserve">СТК-2026-1042</x:t>
        </x:is>
      </x:c>
      <x:c r="C33" s="31" t="inlineStr">
        <x:is>
          <x:t xml:space="preserve">ЗК-1042</x:t>
        </x:is>
      </x:c>
      <x:c r="D33" s="31" t="inlineStr">
        <x:is>
          <x:t xml:space="preserve">КЛ-007</x:t>
        </x:is>
      </x:c>
      <x:c r="E33" s="31" t="n">
        <x:v>46050</x:v>
      </x:c>
      <x:c r="F33" s="31" t="n">
        <x:v>1744072</x:v>
      </x:c>
      <x:c r="G33" s="31" t="str">
        <x:v>С НДС 22%</x:v>
      </x:c>
      <x:c r="H33" s="31" t="inlineStr">
        <x:is>
          <x:t xml:space="preserve">На согласовании</x:t>
        </x:is>
      </x:c>
      <x:c r="I33" s="31" t="inlineStr">
        <x:is>
          <x:t xml:space="preserve">Да</x:t>
        </x:is>
      </x:c>
      <x:c r="J33" s="31" t="inlineStr">
        <x:is>
          <x:t xml:space="preserve">Стандартные</x:t>
        </x:is>
      </x:c>
      <x:c r="K33" s="31" t="inlineStr">
        <x:is>
          <x:t xml:space="preserve">Юр. проверка 2</x:t>
        </x:is>
      </x:c>
    </x:row>
    <x:row r="34" ht="18" customHeight="1">
      <x:c r="A34" s="31" t="inlineStr">
        <x:is>
          <x:t xml:space="preserve">ДОГ-1043</x:t>
        </x:is>
      </x:c>
      <x:c r="B34" s="31" t="inlineStr">
        <x:is>
          <x:t xml:space="preserve">СТК-2026-1043</x:t>
        </x:is>
      </x:c>
      <x:c r="C34" s="31" t="inlineStr">
        <x:is>
          <x:t xml:space="preserve">ЗК-1043</x:t>
        </x:is>
      </x:c>
      <x:c r="D34" s="31" t="inlineStr">
        <x:is>
          <x:t xml:space="preserve">КЛ-012</x:t>
        </x:is>
      </x:c>
      <x:c r="E34" s="31" t="n">
        <x:v>46099</x:v>
      </x:c>
      <x:c r="F34" s="31" t="n">
        <x:v>9847079</x:v>
      </x:c>
      <x:c r="G34" s="31" t="str">
        <x:v>С НДС 22%</x:v>
      </x:c>
      <x:c r="H34" s="31" t="inlineStr">
        <x:is>
          <x:t xml:space="preserve">На согласовании</x:t>
        </x:is>
      </x:c>
      <x:c r="I34" s="31" t="inlineStr">
        <x:is>
          <x:t xml:space="preserve">Нет</x:t>
        </x:is>
      </x:c>
      <x:c r="J34" s="31" t="inlineStr">
        <x:is>
          <x:t xml:space="preserve">Стандартные</x:t>
        </x:is>
      </x:c>
      <x:c r="K34" s="31" t="inlineStr">
        <x:is>
          <x:t xml:space="preserve">Юр. проверка 1</x:t>
        </x:is>
      </x:c>
    </x:row>
    <x:row r="35" ht="18" customHeight="1">
      <x:c r="A35" s="31" t="inlineStr">
        <x:is>
          <x:t xml:space="preserve">ДОГ-1044</x:t>
        </x:is>
      </x:c>
      <x:c r="B35" s="31" t="inlineStr">
        <x:is>
          <x:t xml:space="preserve">СТК-2026-1044</x:t>
        </x:is>
      </x:c>
      <x:c r="C35" s="31" t="inlineStr">
        <x:is>
          <x:t xml:space="preserve">ЗК-1044</x:t>
        </x:is>
      </x:c>
      <x:c r="D35" s="31" t="inlineStr">
        <x:is>
          <x:t xml:space="preserve">КЛ-016</x:t>
        </x:is>
      </x:c>
      <x:c r="E35" s="31" t="n">
        <x:v>46196</x:v>
      </x:c>
      <x:c r="F35" s="31" t="n">
        <x:v>4611161</x:v>
      </x:c>
      <x:c r="G35" s="31" t="str">
        <x:v>С НДС 22%</x:v>
      </x:c>
      <x:c r="H35" s="31" t="inlineStr">
        <x:is>
          <x:t xml:space="preserve">Подписан</x:t>
        </x:is>
      </x:c>
      <x:c r="I35" s="31" t="inlineStr">
        <x:is>
          <x:t xml:space="preserve">Нет</x:t>
        </x:is>
      </x:c>
      <x:c r="J35" s="31" t="inlineStr">
        <x:is>
          <x:t xml:space="preserve">Стандартные</x:t>
        </x:is>
      </x:c>
      <x:c r="K35" s="31" t="inlineStr">
        <x:is>
          <x:t xml:space="preserve">Юр. проверка 2</x:t>
        </x:is>
      </x:c>
    </x:row>
    <x:row r="36" ht="18" customHeight="1">
      <x:c r="A36" s="31" t="inlineStr">
        <x:is>
          <x:t xml:space="preserve">ДОГ-1045</x:t>
        </x:is>
      </x:c>
      <x:c r="B36" s="31" t="inlineStr">
        <x:is>
          <x:t xml:space="preserve">СТК-2026-1045</x:t>
        </x:is>
      </x:c>
      <x:c r="C36" s="31" t="inlineStr">
        <x:is>
          <x:t xml:space="preserve">ЗК-1045</x:t>
        </x:is>
      </x:c>
      <x:c r="D36" s="31" t="inlineStr">
        <x:is>
          <x:t xml:space="preserve">КЛ-046</x:t>
        </x:is>
      </x:c>
      <x:c r="E36" s="31" t="n">
        <x:v>46172</x:v>
      </x:c>
      <x:c r="F36" s="31" t="n">
        <x:v>34514080</x:v>
      </x:c>
      <x:c r="G36" s="31" t="str">
        <x:v>С НДС 22%</x:v>
      </x:c>
      <x:c r="H36" s="31" t="inlineStr">
        <x:is>
          <x:t xml:space="preserve">Подписан</x:t>
        </x:is>
      </x:c>
      <x:c r="I36" s="31" t="inlineStr">
        <x:is>
          <x:t xml:space="preserve">Нет</x:t>
        </x:is>
      </x:c>
      <x:c r="J36" s="31" t="inlineStr">
        <x:is>
          <x:t xml:space="preserve">Стандартные</x:t>
        </x:is>
      </x:c>
      <x:c r="K36" s="31" t="inlineStr">
        <x:is>
          <x:t xml:space="preserve">Юр. проверка 2</x:t>
        </x:is>
      </x:c>
    </x:row>
    <x:row r="37" ht="18" customHeight="1">
      <x:c r="A37" s="31" t="inlineStr">
        <x:is>
          <x:t xml:space="preserve">ДОГ-1046</x:t>
        </x:is>
      </x:c>
      <x:c r="B37" s="31" t="inlineStr">
        <x:is>
          <x:t xml:space="preserve">СТК-2026-1046</x:t>
        </x:is>
      </x:c>
      <x:c r="C37" s="31" t="inlineStr">
        <x:is>
          <x:t xml:space="preserve">ЗК-1046</x:t>
        </x:is>
      </x:c>
      <x:c r="D37" s="31" t="inlineStr">
        <x:is>
          <x:t xml:space="preserve">КЛ-044</x:t>
        </x:is>
      </x:c>
      <x:c r="E37" s="31" t="n">
        <x:v>46137</x:v>
      </x:c>
      <x:c r="F37" s="31" t="n">
        <x:v>5601620</x:v>
      </x:c>
      <x:c r="G37" s="31" t="str">
        <x:v>С НДС 22%</x:v>
      </x:c>
      <x:c r="H37" s="31" t="inlineStr">
        <x:is>
          <x:t xml:space="preserve">Подписан</x:t>
        </x:is>
      </x:c>
      <x:c r="I37" s="31" t="inlineStr">
        <x:is>
          <x:t xml:space="preserve">Да</x:t>
        </x:is>
      </x:c>
      <x:c r="J37" s="31" t="inlineStr">
        <x:is>
          <x:t xml:space="preserve">Стандартные</x:t>
        </x:is>
      </x:c>
      <x:c r="K37" s="31" t="inlineStr">
        <x:is>
          <x:t xml:space="preserve">Юр. проверка 1</x:t>
        </x:is>
      </x:c>
    </x:row>
    <x:row r="38" ht="18" customHeight="1">
      <x:c r="A38" s="31" t="inlineStr">
        <x:is>
          <x:t xml:space="preserve">ДОГ-1047</x:t>
        </x:is>
      </x:c>
      <x:c r="B38" s="31" t="inlineStr">
        <x:is>
          <x:t xml:space="preserve">СТК-2026-1047</x:t>
        </x:is>
      </x:c>
      <x:c r="C38" s="31" t="inlineStr">
        <x:is>
          <x:t xml:space="preserve">ЗК-1047</x:t>
        </x:is>
      </x:c>
      <x:c r="D38" s="31" t="inlineStr">
        <x:is>
          <x:t xml:space="preserve">КЛ-009</x:t>
        </x:is>
      </x:c>
      <x:c r="E38" s="31" t="n">
        <x:v>46132</x:v>
      </x:c>
      <x:c r="F38" s="31" t="n">
        <x:v>7339695</x:v>
      </x:c>
      <x:c r="G38" s="31" t="str">
        <x:v>Без НДС</x:v>
      </x:c>
      <x:c r="H38" s="31" t="inlineStr">
        <x:is>
          <x:t xml:space="preserve">Подписан</x:t>
        </x:is>
      </x:c>
      <x:c r="I38" s="31" t="inlineStr">
        <x:is>
          <x:t xml:space="preserve">Нет</x:t>
        </x:is>
      </x:c>
      <x:c r="J38" s="31" t="inlineStr">
        <x:is>
          <x:t xml:space="preserve">Ужесточенные штрафы</x:t>
        </x:is>
      </x:c>
      <x:c r="K38" s="31" t="inlineStr">
        <x:is>
          <x:t xml:space="preserve">Юр. проверка 2</x:t>
        </x:is>
      </x:c>
    </x:row>
    <x:row r="39" ht="18" customHeight="1">
      <x:c r="A39" s="31" t="inlineStr">
        <x:is>
          <x:t xml:space="preserve">ДОГ-1048</x:t>
        </x:is>
      </x:c>
      <x:c r="B39" s="31" t="inlineStr">
        <x:is>
          <x:t xml:space="preserve">СТК-2026-1048</x:t>
        </x:is>
      </x:c>
      <x:c r="C39" s="31" t="inlineStr">
        <x:is>
          <x:t xml:space="preserve">ЗК-1048</x:t>
        </x:is>
      </x:c>
      <x:c r="D39" s="31" t="inlineStr">
        <x:is>
          <x:t xml:space="preserve">КЛ-034</x:t>
        </x:is>
      </x:c>
      <x:c r="E39" s="31" t="n">
        <x:v>46146</x:v>
      </x:c>
      <x:c r="F39" s="31" t="n">
        <x:v>2195410</x:v>
      </x:c>
      <x:c r="G39" s="31" t="str">
        <x:v>С НДС 22%</x:v>
      </x:c>
      <x:c r="H39" s="31" t="inlineStr">
        <x:is>
          <x:t xml:space="preserve">Подписан</x:t>
        </x:is>
      </x:c>
      <x:c r="I39" s="31" t="inlineStr">
        <x:is>
          <x:t xml:space="preserve">Нет</x:t>
        </x:is>
      </x:c>
      <x:c r="J39" s="31" t="inlineStr">
        <x:is>
          <x:t xml:space="preserve">Постоплата</x:t>
        </x:is>
      </x:c>
      <x:c r="K39" s="31" t="inlineStr">
        <x:is>
          <x:t xml:space="preserve">Юр. проверка 2</x:t>
        </x:is>
      </x:c>
    </x:row>
    <x:row r="40" ht="18" customHeight="1">
      <x:c r="A40" s="31" t="inlineStr">
        <x:is>
          <x:t xml:space="preserve">ДОГ-1049</x:t>
        </x:is>
      </x:c>
      <x:c r="B40" s="31" t="inlineStr">
        <x:is>
          <x:t xml:space="preserve">СТК-2026-1049</x:t>
        </x:is>
      </x:c>
      <x:c r="C40" s="31" t="inlineStr">
        <x:is>
          <x:t xml:space="preserve">ЗК-1049</x:t>
        </x:is>
      </x:c>
      <x:c r="D40" s="31" t="inlineStr">
        <x:is>
          <x:t xml:space="preserve">КЛ-032</x:t>
        </x:is>
      </x:c>
      <x:c r="E40" s="31" t="n">
        <x:v>46041</x:v>
      </x:c>
      <x:c r="F40" s="31" t="n">
        <x:v>4932508</x:v>
      </x:c>
      <x:c r="G40" s="31" t="str">
        <x:v>С НДС 22%</x:v>
      </x:c>
      <x:c r="H40" s="31" t="inlineStr">
        <x:is>
          <x:t xml:space="preserve">На согласовании</x:t>
        </x:is>
      </x:c>
      <x:c r="I40" s="31" t="inlineStr">
        <x:is>
          <x:t xml:space="preserve">Нет</x:t>
        </x:is>
      </x:c>
      <x:c r="J40" s="31" t="inlineStr">
        <x:is>
          <x:t xml:space="preserve">Стандартные</x:t>
        </x:is>
      </x:c>
      <x:c r="K40" s="31" t="inlineStr">
        <x:is>
          <x:t xml:space="preserve">Юр. проверка 3</x:t>
        </x:is>
      </x:c>
    </x:row>
    <x:row r="41" ht="18" customHeight="1">
      <x:c r="A41" s="31" t="inlineStr">
        <x:is>
          <x:t xml:space="preserve">ДОГ-1050</x:t>
        </x:is>
      </x:c>
      <x:c r="B41" s="31" t="inlineStr">
        <x:is>
          <x:t xml:space="preserve">СТК-2026-1050</x:t>
        </x:is>
      </x:c>
      <x:c r="C41" s="31" t="inlineStr">
        <x:is>
          <x:t xml:space="preserve">ЗК-1050</x:t>
        </x:is>
      </x:c>
      <x:c r="D41" s="31" t="inlineStr">
        <x:is>
          <x:t xml:space="preserve">КЛ-047</x:t>
        </x:is>
      </x:c>
      <x:c r="E41" s="31" t="n">
        <x:v>46089</x:v>
      </x:c>
      <x:c r="F41" s="31" t="n">
        <x:v>10997637</x:v>
      </x:c>
      <x:c r="G41" s="31" t="str">
        <x:v>С НДС 22%</x:v>
      </x:c>
      <x:c r="H41" s="31" t="inlineStr">
        <x:is>
          <x:t xml:space="preserve">Подписан</x:t>
        </x:is>
      </x:c>
      <x:c r="I41" s="31" t="inlineStr">
        <x:is>
          <x:t xml:space="preserve">Нет</x:t>
        </x:is>
      </x:c>
      <x:c r="J41" s="31" t="inlineStr">
        <x:is>
          <x:t xml:space="preserve">Стандартные</x:t>
        </x:is>
      </x:c>
      <x:c r="K41" s="31" t="inlineStr">
        <x:is>
          <x:t xml:space="preserve">Юр. проверка 1</x:t>
        </x:is>
      </x:c>
    </x:row>
    <x:row r="42" ht="18" customHeight="1">
      <x:c r="A42" s="31" t="inlineStr">
        <x:is>
          <x:t xml:space="preserve">ДОГ-1051</x:t>
        </x:is>
      </x:c>
      <x:c r="B42" s="31" t="inlineStr">
        <x:is>
          <x:t xml:space="preserve">СТК-2026-1051</x:t>
        </x:is>
      </x:c>
      <x:c r="C42" s="31" t="inlineStr">
        <x:is>
          <x:t xml:space="preserve">ЗК-1051</x:t>
        </x:is>
      </x:c>
      <x:c r="D42" s="31" t="inlineStr">
        <x:is>
          <x:t xml:space="preserve">КЛ-002</x:t>
        </x:is>
      </x:c>
      <x:c r="E42" s="31" t="n">
        <x:v>46103</x:v>
      </x:c>
      <x:c r="F42" s="31" t="n">
        <x:v>4703218</x:v>
      </x:c>
      <x:c r="G42" s="31" t="str">
        <x:v>С НДС 22%</x:v>
      </x:c>
      <x:c r="H42" s="31" t="inlineStr">
        <x:is>
          <x:t xml:space="preserve">Подписан</x:t>
        </x:is>
      </x:c>
      <x:c r="I42" s="31" t="inlineStr">
        <x:is>
          <x:t xml:space="preserve">Нет</x:t>
        </x:is>
      </x:c>
      <x:c r="J42" s="31" t="inlineStr">
        <x:is>
          <x:t xml:space="preserve">Ужесточенные штрафы</x:t>
        </x:is>
      </x:c>
      <x:c r="K42" s="31" t="inlineStr">
        <x:is>
          <x:t xml:space="preserve">Юр. проверка 2</x:t>
        </x:is>
      </x:c>
    </x:row>
    <x:row r="43" ht="18" customHeight="1">
      <x:c r="A43" s="31" t="inlineStr">
        <x:is>
          <x:t xml:space="preserve">ДОГ-1052</x:t>
        </x:is>
      </x:c>
      <x:c r="B43" s="31" t="inlineStr">
        <x:is>
          <x:t xml:space="preserve">СТК-2026-1052</x:t>
        </x:is>
      </x:c>
      <x:c r="C43" s="31" t="inlineStr">
        <x:is>
          <x:t xml:space="preserve">ЗК-1052</x:t>
        </x:is>
      </x:c>
      <x:c r="D43" s="31" t="inlineStr">
        <x:is>
          <x:t xml:space="preserve">КЛ-019</x:t>
        </x:is>
      </x:c>
      <x:c r="E43" s="31" t="n">
        <x:v>46100</x:v>
      </x:c>
      <x:c r="F43" s="31" t="n">
        <x:v>5432458</x:v>
      </x:c>
      <x:c r="G43" s="31" t="str">
        <x:v>С НДС 22%</x:v>
      </x:c>
      <x:c r="H43" s="31" t="inlineStr">
        <x:is>
          <x:t xml:space="preserve">Подписан</x:t>
        </x:is>
      </x:c>
      <x:c r="I43" s="31" t="inlineStr">
        <x:is>
          <x:t xml:space="preserve">Нет</x:t>
        </x:is>
      </x:c>
      <x:c r="J43" s="31" t="inlineStr">
        <x:is>
          <x:t xml:space="preserve">Стандартные</x:t>
        </x:is>
      </x:c>
      <x:c r="K43" s="31" t="inlineStr">
        <x:is>
          <x:t xml:space="preserve">Юр. проверка 2</x:t>
        </x:is>
      </x:c>
    </x:row>
    <x:row r="44" ht="18" customHeight="1">
      <x:c r="A44" s="31" t="inlineStr">
        <x:is>
          <x:t xml:space="preserve">ДОГ-1053</x:t>
        </x:is>
      </x:c>
      <x:c r="B44" s="31" t="inlineStr">
        <x:is>
          <x:t xml:space="preserve">СТК-2026-1053</x:t>
        </x:is>
      </x:c>
      <x:c r="C44" s="31" t="inlineStr">
        <x:is>
          <x:t xml:space="preserve">ЗК-1053</x:t>
        </x:is>
      </x:c>
      <x:c r="D44" s="31" t="inlineStr">
        <x:is>
          <x:t xml:space="preserve">КЛ-042</x:t>
        </x:is>
      </x:c>
      <x:c r="E44" s="31" t="n">
        <x:v>46104</x:v>
      </x:c>
      <x:c r="F44" s="31" t="n">
        <x:v>14274736</x:v>
      </x:c>
      <x:c r="G44" s="31" t="str">
        <x:v>С НДС 22%</x:v>
      </x:c>
      <x:c r="H44" s="31" t="inlineStr">
        <x:is>
          <x:t xml:space="preserve">Подписан</x:t>
        </x:is>
      </x:c>
      <x:c r="I44" s="31" t="inlineStr">
        <x:is>
          <x:t xml:space="preserve">Нет</x:t>
        </x:is>
      </x:c>
      <x:c r="J44" s="31" t="inlineStr">
        <x:is>
          <x:t xml:space="preserve">Стандартные</x:t>
        </x:is>
      </x:c>
      <x:c r="K44" s="31" t="inlineStr">
        <x:is>
          <x:t xml:space="preserve">Юр. проверка 2</x:t>
        </x:is>
      </x:c>
    </x:row>
    <x:row r="45" ht="18" customHeight="1">
      <x:c r="A45" s="31" t="inlineStr">
        <x:is>
          <x:t xml:space="preserve">ДОГ-1054</x:t>
        </x:is>
      </x:c>
      <x:c r="B45" s="31" t="inlineStr">
        <x:is>
          <x:t xml:space="preserve">СТК-2026-1054</x:t>
        </x:is>
      </x:c>
      <x:c r="C45" s="31" t="inlineStr">
        <x:is>
          <x:t xml:space="preserve">ЗК-1054</x:t>
        </x:is>
      </x:c>
      <x:c r="D45" s="31" t="inlineStr">
        <x:is>
          <x:t xml:space="preserve">КЛ-045</x:t>
        </x:is>
      </x:c>
      <x:c r="E45" s="31" t="n">
        <x:v>46108</x:v>
      </x:c>
      <x:c r="F45" s="31" t="n">
        <x:v>414911</x:v>
      </x:c>
      <x:c r="G45" s="31" t="str">
        <x:v>С НДС 22%</x:v>
      </x:c>
      <x:c r="H45" s="31" t="inlineStr">
        <x:is>
          <x:t xml:space="preserve">Подписан</x:t>
        </x:is>
      </x:c>
      <x:c r="I45" s="31" t="inlineStr">
        <x:is>
          <x:t xml:space="preserve">Нет</x:t>
        </x:is>
      </x:c>
      <x:c r="J45" s="31" t="inlineStr">
        <x:is>
          <x:t xml:space="preserve">Ужесточенные штрафы</x:t>
        </x:is>
      </x:c>
      <x:c r="K45" s="31" t="inlineStr">
        <x:is>
          <x:t xml:space="preserve">Юр. проверка 1</x:t>
        </x:is>
      </x:c>
    </x:row>
    <x:row r="46" ht="18" customHeight="1">
      <x:c r="A46" s="31" t="inlineStr">
        <x:is>
          <x:t xml:space="preserve">ДОГ-1055</x:t>
        </x:is>
      </x:c>
      <x:c r="B46" s="31" t="inlineStr">
        <x:is>
          <x:t xml:space="preserve">СТК-2026-1055</x:t>
        </x:is>
      </x:c>
      <x:c r="C46" s="31" t="inlineStr">
        <x:is>
          <x:t xml:space="preserve">ЗК-1055</x:t>
        </x:is>
      </x:c>
      <x:c r="D46" s="31" t="inlineStr">
        <x:is>
          <x:t xml:space="preserve">КЛ-028</x:t>
        </x:is>
      </x:c>
      <x:c r="E46" s="31" t="n">
        <x:v>46050</x:v>
      </x:c>
      <x:c r="F46" s="31" t="n">
        <x:v>6753860</x:v>
      </x:c>
      <x:c r="G46" s="31" t="str">
        <x:v>С НДС 22%</x:v>
      </x:c>
      <x:c r="H46" s="31" t="inlineStr">
        <x:is>
          <x:t xml:space="preserve">Подписан</x:t>
        </x:is>
      </x:c>
      <x:c r="I46" s="31" t="inlineStr">
        <x:is>
          <x:t xml:space="preserve">Нет</x:t>
        </x:is>
      </x:c>
      <x:c r="J46" s="31" t="inlineStr">
        <x:is>
          <x:t xml:space="preserve">Стандартные</x:t>
        </x:is>
      </x:c>
      <x:c r="K46" s="31" t="inlineStr">
        <x:is>
          <x:t xml:space="preserve">Юр. проверка 3</x:t>
        </x:is>
      </x:c>
    </x:row>
    <x:row r="47" ht="18" customHeight="1">
      <x:c r="A47" s="31" t="inlineStr">
        <x:is>
          <x:t xml:space="preserve">ДОГ-1056</x:t>
        </x:is>
      </x:c>
      <x:c r="B47" s="31" t="inlineStr">
        <x:is>
          <x:t xml:space="preserve">СТК-2026-1056</x:t>
        </x:is>
      </x:c>
      <x:c r="C47" s="31" t="inlineStr">
        <x:is>
          <x:t xml:space="preserve">ЗК-1056</x:t>
        </x:is>
      </x:c>
      <x:c r="D47" s="31" t="inlineStr">
        <x:is>
          <x:t xml:space="preserve">КЛ-035</x:t>
        </x:is>
      </x:c>
      <x:c r="E47" s="31" t="n">
        <x:v>46066</x:v>
      </x:c>
      <x:c r="F47" s="31" t="n">
        <x:v>11269491</x:v>
      </x:c>
      <x:c r="G47" s="31" t="str">
        <x:v>С НДС 22%</x:v>
      </x:c>
      <x:c r="H47" s="31" t="inlineStr">
        <x:is>
          <x:t xml:space="preserve">Подписан</x:t>
        </x:is>
      </x:c>
      <x:c r="I47" s="31" t="inlineStr">
        <x:is>
          <x:t xml:space="preserve">Нет</x:t>
        </x:is>
      </x:c>
      <x:c r="J47" s="31" t="inlineStr">
        <x:is>
          <x:t xml:space="preserve">Постоплата</x:t>
        </x:is>
      </x:c>
      <x:c r="K47" s="31" t="inlineStr">
        <x:is>
          <x:t xml:space="preserve">Юр. проверка 3</x:t>
        </x:is>
      </x:c>
    </x:row>
    <x:row r="48" ht="18" customHeight="1">
      <x:c r="A48" s="31" t="inlineStr">
        <x:is>
          <x:t xml:space="preserve">ДОГ-1057</x:t>
        </x:is>
      </x:c>
      <x:c r="B48" s="31" t="inlineStr">
        <x:is>
          <x:t xml:space="preserve">СТК-2026-1057</x:t>
        </x:is>
      </x:c>
      <x:c r="C48" s="31" t="inlineStr">
        <x:is>
          <x:t xml:space="preserve">ЗК-1057</x:t>
        </x:is>
      </x:c>
      <x:c r="D48" s="31" t="inlineStr">
        <x:is>
          <x:t xml:space="preserve">КЛ-043</x:t>
        </x:is>
      </x:c>
      <x:c r="E48" s="31" t="n">
        <x:v>46148</x:v>
      </x:c>
      <x:c r="F48" s="31" t="n">
        <x:v>1470651</x:v>
      </x:c>
      <x:c r="G48" s="31" t="str">
        <x:v>С НДС 22%</x:v>
      </x:c>
      <x:c r="H48" s="31" t="inlineStr">
        <x:is>
          <x:t xml:space="preserve">На согласовании</x:t>
        </x:is>
      </x:c>
      <x:c r="I48" s="31" t="inlineStr">
        <x:is>
          <x:t xml:space="preserve">Нет</x:t>
        </x:is>
      </x:c>
      <x:c r="J48" s="31" t="inlineStr">
        <x:is>
          <x:t xml:space="preserve">Ужесточенные штрафы</x:t>
        </x:is>
      </x:c>
      <x:c r="K48" s="31" t="inlineStr">
        <x:is>
          <x:t xml:space="preserve">Юр. проверка 1</x:t>
        </x:is>
      </x:c>
    </x:row>
    <x:row r="49" ht="18" customHeight="1">
      <x:c r="A49" s="31" t="inlineStr">
        <x:is>
          <x:t xml:space="preserve">ДОГ-1059</x:t>
        </x:is>
      </x:c>
      <x:c r="B49" s="31" t="inlineStr">
        <x:is>
          <x:t xml:space="preserve">СТК-2026-1059</x:t>
        </x:is>
      </x:c>
      <x:c r="C49" s="31" t="inlineStr">
        <x:is>
          <x:t xml:space="preserve">ЗК-1059</x:t>
        </x:is>
      </x:c>
      <x:c r="D49" s="31" t="inlineStr">
        <x:is>
          <x:t xml:space="preserve">КЛ-002</x:t>
        </x:is>
      </x:c>
      <x:c r="E49" s="31" t="n">
        <x:v>46187</x:v>
      </x:c>
      <x:c r="F49" s="31" t="n">
        <x:v>4975062</x:v>
      </x:c>
      <x:c r="G49" s="31" t="str">
        <x:v>С НДС 22%</x:v>
      </x:c>
      <x:c r="H49" s="31" t="inlineStr">
        <x:is>
          <x:t xml:space="preserve">Архив</x:t>
        </x:is>
      </x:c>
      <x:c r="I49" s="31" t="inlineStr">
        <x:is>
          <x:t xml:space="preserve">Нет</x:t>
        </x:is>
      </x:c>
      <x:c r="J49" s="31" t="inlineStr">
        <x:is>
          <x:t xml:space="preserve">Ужесточенные штрафы</x:t>
        </x:is>
      </x:c>
      <x:c r="K49" s="31" t="inlineStr">
        <x:is>
          <x:t xml:space="preserve">Юр. проверка 2</x:t>
        </x:is>
      </x:c>
    </x:row>
    <x:row r="50" ht="18" customHeight="1">
      <x:c r="A50" s="31" t="inlineStr">
        <x:is>
          <x:t xml:space="preserve">ДОГ-1060</x:t>
        </x:is>
      </x:c>
      <x:c r="B50" s="31" t="inlineStr">
        <x:is>
          <x:t xml:space="preserve">СТК-2026-1060</x:t>
        </x:is>
      </x:c>
      <x:c r="C50" s="31" t="inlineStr">
        <x:is>
          <x:t xml:space="preserve">ЗК-1060</x:t>
        </x:is>
      </x:c>
      <x:c r="D50" s="31" t="inlineStr">
        <x:is>
          <x:t xml:space="preserve">КЛ-047</x:t>
        </x:is>
      </x:c>
      <x:c r="E50" s="31" t="n">
        <x:v>46187</x:v>
      </x:c>
      <x:c r="F50" s="31" t="n">
        <x:v>2597673</x:v>
      </x:c>
      <x:c r="G50" s="31" t="str">
        <x:v>С НДС 22%</x:v>
      </x:c>
      <x:c r="H50" s="31" t="inlineStr">
        <x:is>
          <x:t xml:space="preserve">Подписан</x:t>
        </x:is>
      </x:c>
      <x:c r="I50" s="31" t="inlineStr">
        <x:is>
          <x:t xml:space="preserve">Нет</x:t>
        </x:is>
      </x:c>
      <x:c r="J50" s="31" t="inlineStr">
        <x:is>
          <x:t xml:space="preserve">Стандартные</x:t>
        </x:is>
      </x:c>
      <x:c r="K50" s="31" t="inlineStr">
        <x:is>
          <x:t xml:space="preserve">Юр. проверка 3</x:t>
        </x:is>
      </x:c>
    </x:row>
    <x:row r="51" ht="18" customHeight="1">
      <x:c r="A51" s="31" t="inlineStr">
        <x:is>
          <x:t xml:space="preserve">ДОГ-1061</x:t>
        </x:is>
      </x:c>
      <x:c r="B51" s="31" t="inlineStr">
        <x:is>
          <x:t xml:space="preserve">СТК-2026-1061</x:t>
        </x:is>
      </x:c>
      <x:c r="C51" s="31" t="inlineStr">
        <x:is>
          <x:t xml:space="preserve">ЗК-1061</x:t>
        </x:is>
      </x:c>
      <x:c r="D51" s="31" t="inlineStr">
        <x:is>
          <x:t xml:space="preserve">КЛ-006</x:t>
        </x:is>
      </x:c>
      <x:c r="E51" s="31" t="n">
        <x:v>46154</x:v>
      </x:c>
      <x:c r="F51" s="31" t="n">
        <x:v>1405659</x:v>
      </x:c>
      <x:c r="G51" s="31" t="str">
        <x:v>С НДС 22%</x:v>
      </x:c>
      <x:c r="H51" s="31" t="inlineStr">
        <x:is>
          <x:t xml:space="preserve">Подписан</x:t>
        </x:is>
      </x:c>
      <x:c r="I51" s="31" t="inlineStr">
        <x:is>
          <x:t xml:space="preserve">Нет</x:t>
        </x:is>
      </x:c>
      <x:c r="J51" s="31" t="inlineStr">
        <x:is>
          <x:t xml:space="preserve">Казначейское сопровождение</x:t>
        </x:is>
      </x:c>
      <x:c r="K51" s="31" t="inlineStr">
        <x:is>
          <x:t xml:space="preserve">Юр. проверка 3</x:t>
        </x:is>
      </x:c>
    </x:row>
    <x:row r="52" ht="18" customHeight="1">
      <x:c r="A52" s="31" t="inlineStr">
        <x:is>
          <x:t xml:space="preserve">ДОГ-1062</x:t>
        </x:is>
      </x:c>
      <x:c r="B52" s="31" t="inlineStr">
        <x:is>
          <x:t xml:space="preserve">СТК-2026-1062</x:t>
        </x:is>
      </x:c>
      <x:c r="C52" s="31" t="inlineStr">
        <x:is>
          <x:t xml:space="preserve">ЗК-1062</x:t>
        </x:is>
      </x:c>
      <x:c r="D52" s="31" t="inlineStr">
        <x:is>
          <x:t xml:space="preserve">КЛ-014</x:t>
        </x:is>
      </x:c>
      <x:c r="E52" s="31" t="n">
        <x:v>46111</x:v>
      </x:c>
      <x:c r="F52" s="31" t="n">
        <x:v>8041488</x:v>
      </x:c>
      <x:c r="G52" s="31" t="str">
        <x:v>Без НДС</x:v>
      </x:c>
      <x:c r="H52" s="31" t="inlineStr">
        <x:is>
          <x:t xml:space="preserve">Подписан</x:t>
        </x:is>
      </x:c>
      <x:c r="I52" s="31" t="inlineStr">
        <x:is>
          <x:t xml:space="preserve">Нет</x:t>
        </x:is>
      </x:c>
      <x:c r="J52" s="31" t="inlineStr">
        <x:is>
          <x:t xml:space="preserve">Казначейское сопровождение</x:t>
        </x:is>
      </x:c>
      <x:c r="K52" s="31" t="inlineStr">
        <x:is>
          <x:t xml:space="preserve">Юр. проверка 2</x:t>
        </x:is>
      </x:c>
    </x:row>
    <x:row r="53" ht="18" customHeight="1">
      <x:c r="A53" s="31" t="inlineStr">
        <x:is>
          <x:t xml:space="preserve">ДОГ-1063</x:t>
        </x:is>
      </x:c>
      <x:c r="B53" s="31" t="inlineStr">
        <x:is>
          <x:t xml:space="preserve">СТК-2026-1063</x:t>
        </x:is>
      </x:c>
      <x:c r="C53" s="31" t="inlineStr">
        <x:is>
          <x:t xml:space="preserve">ЗК-1063</x:t>
        </x:is>
      </x:c>
      <x:c r="D53" s="31" t="inlineStr">
        <x:is>
          <x:t xml:space="preserve">КЛ-012</x:t>
        </x:is>
      </x:c>
      <x:c r="E53" s="31" t="n">
        <x:v>46179</x:v>
      </x:c>
      <x:c r="F53" s="31" t="n">
        <x:v>13774274</x:v>
      </x:c>
      <x:c r="G53" s="31" t="str">
        <x:v>С НДС 22%</x:v>
      </x:c>
      <x:c r="H53" s="31" t="inlineStr">
        <x:is>
          <x:t xml:space="preserve">Подписан</x:t>
        </x:is>
      </x:c>
      <x:c r="I53" s="31" t="inlineStr">
        <x:is>
          <x:t xml:space="preserve">Нет</x:t>
        </x:is>
      </x:c>
      <x:c r="J53" s="31" t="inlineStr">
        <x:is>
          <x:t xml:space="preserve">Стандартные</x:t>
        </x:is>
      </x:c>
      <x:c r="K53" s="31" t="inlineStr">
        <x:is>
          <x:t xml:space="preserve">Юр. проверка 1</x:t>
        </x:is>
      </x:c>
    </x:row>
    <x:row r="54" ht="18" customHeight="1">
      <x:c r="A54" s="31" t="inlineStr">
        <x:is>
          <x:t xml:space="preserve">ДОГ-1064</x:t>
        </x:is>
      </x:c>
      <x:c r="B54" s="31" t="inlineStr">
        <x:is>
          <x:t xml:space="preserve">СТК-2026-1064</x:t>
        </x:is>
      </x:c>
      <x:c r="C54" s="31" t="inlineStr">
        <x:is>
          <x:t xml:space="preserve">ЗК-1064</x:t>
        </x:is>
      </x:c>
      <x:c r="D54" s="31" t="inlineStr">
        <x:is>
          <x:t xml:space="preserve">КЛ-006</x:t>
        </x:is>
      </x:c>
      <x:c r="E54" s="31" t="n">
        <x:v>46051</x:v>
      </x:c>
      <x:c r="F54" s="31" t="n">
        <x:v>3246808</x:v>
      </x:c>
      <x:c r="G54" s="31" t="str">
        <x:v>С НДС 22%</x:v>
      </x:c>
      <x:c r="H54" s="31" t="inlineStr">
        <x:is>
          <x:t xml:space="preserve">Подписан</x:t>
        </x:is>
      </x:c>
      <x:c r="I54" s="31" t="inlineStr">
        <x:is>
          <x:t xml:space="preserve">Да</x:t>
        </x:is>
      </x:c>
      <x:c r="J54" s="31" t="inlineStr">
        <x:is>
          <x:t xml:space="preserve">Стандартные</x:t>
        </x:is>
      </x:c>
      <x:c r="K54" s="31" t="inlineStr">
        <x:is>
          <x:t xml:space="preserve">Юр. проверка 2</x:t>
        </x:is>
      </x:c>
    </x:row>
    <x:row r="55" ht="18" customHeight="1">
      <x:c r="A55" s="31" t="inlineStr">
        <x:is>
          <x:t xml:space="preserve">ДОГ-1065</x:t>
        </x:is>
      </x:c>
      <x:c r="B55" s="31" t="inlineStr">
        <x:is>
          <x:t xml:space="preserve">СТК-2026-1065</x:t>
        </x:is>
      </x:c>
      <x:c r="C55" s="31" t="inlineStr">
        <x:is>
          <x:t xml:space="preserve">ЗК-1065</x:t>
        </x:is>
      </x:c>
      <x:c r="D55" s="31" t="inlineStr">
        <x:is>
          <x:t xml:space="preserve">КЛ-049</x:t>
        </x:is>
      </x:c>
      <x:c r="E55" s="31" t="n">
        <x:v>46114</x:v>
      </x:c>
      <x:c r="F55" s="31" t="n">
        <x:v>8431125</x:v>
      </x:c>
      <x:c r="G55" s="31" t="str">
        <x:v>С НДС 22%</x:v>
      </x:c>
      <x:c r="H55" s="31" t="inlineStr">
        <x:is>
          <x:t xml:space="preserve">Подписан</x:t>
        </x:is>
      </x:c>
      <x:c r="I55" s="31" t="inlineStr">
        <x:is>
          <x:t xml:space="preserve">Нет</x:t>
        </x:is>
      </x:c>
      <x:c r="J55" s="31" t="inlineStr">
        <x:is>
          <x:t xml:space="preserve">Казначейское сопровождение</x:t>
        </x:is>
      </x:c>
      <x:c r="K55" s="31" t="inlineStr">
        <x:is>
          <x:t xml:space="preserve">Юр. проверка 1</x:t>
        </x:is>
      </x:c>
    </x:row>
    <x:row r="56" ht="18" customHeight="1">
      <x:c r="A56" s="31" t="inlineStr">
        <x:is>
          <x:t xml:space="preserve">ДОГ-1066</x:t>
        </x:is>
      </x:c>
      <x:c r="B56" s="31" t="inlineStr">
        <x:is>
          <x:t xml:space="preserve">СТК-2026-1066</x:t>
        </x:is>
      </x:c>
      <x:c r="C56" s="31" t="inlineStr">
        <x:is>
          <x:t xml:space="preserve">ЗК-1066</x:t>
        </x:is>
      </x:c>
      <x:c r="D56" s="31" t="inlineStr">
        <x:is>
          <x:t xml:space="preserve">КЛ-025</x:t>
        </x:is>
      </x:c>
      <x:c r="E56" s="31" t="n">
        <x:v>46112</x:v>
      </x:c>
      <x:c r="F56" s="31" t="n">
        <x:v>4874993</x:v>
      </x:c>
      <x:c r="G56" s="31" t="str">
        <x:v>С НДС 22%</x:v>
      </x:c>
      <x:c r="H56" s="31" t="inlineStr">
        <x:is>
          <x:t xml:space="preserve">Подписан</x:t>
        </x:is>
      </x:c>
      <x:c r="I56" s="31" t="inlineStr">
        <x:is>
          <x:t xml:space="preserve">Нет</x:t>
        </x:is>
      </x:c>
      <x:c r="J56" s="31" t="inlineStr">
        <x:is>
          <x:t xml:space="preserve">Постоплата</x:t>
        </x:is>
      </x:c>
      <x:c r="K56" s="31" t="inlineStr">
        <x:is>
          <x:t xml:space="preserve">Юр. проверка 3</x:t>
        </x:is>
      </x:c>
    </x:row>
    <x:row r="57" ht="18" customHeight="1">
      <x:c r="A57" s="31" t="inlineStr">
        <x:is>
          <x:t xml:space="preserve">ДОГ-1067</x:t>
        </x:is>
      </x:c>
      <x:c r="B57" s="31" t="inlineStr">
        <x:is>
          <x:t xml:space="preserve">СТК-2026-1067</x:t>
        </x:is>
      </x:c>
      <x:c r="C57" s="31" t="inlineStr">
        <x:is>
          <x:t xml:space="preserve">ЗК-1067</x:t>
        </x:is>
      </x:c>
      <x:c r="D57" s="31" t="inlineStr">
        <x:is>
          <x:t xml:space="preserve">КЛ-004</x:t>
        </x:is>
      </x:c>
      <x:c r="E57" s="31" t="n">
        <x:v>46153</x:v>
      </x:c>
      <x:c r="F57" s="31" t="n">
        <x:v>8094502</x:v>
      </x:c>
      <x:c r="G57" s="31" t="str">
        <x:v>С НДС 22%</x:v>
      </x:c>
      <x:c r="H57" s="31" t="inlineStr">
        <x:is>
          <x:t xml:space="preserve">Подписан</x:t>
        </x:is>
      </x:c>
      <x:c r="I57" s="31" t="inlineStr">
        <x:is>
          <x:t xml:space="preserve">Нет</x:t>
        </x:is>
      </x:c>
      <x:c r="J57" s="31" t="inlineStr">
        <x:is>
          <x:t xml:space="preserve">Стандартные</x:t>
        </x:is>
      </x:c>
      <x:c r="K57" s="31" t="inlineStr">
        <x:is>
          <x:t xml:space="preserve">Юр. проверка 1</x:t>
        </x:is>
      </x:c>
    </x:row>
    <x:row r="58" ht="18" customHeight="1">
      <x:c r="A58" s="31" t="inlineStr">
        <x:is>
          <x:t xml:space="preserve">ДОГ-1068</x:t>
        </x:is>
      </x:c>
      <x:c r="B58" s="31" t="inlineStr">
        <x:is>
          <x:t xml:space="preserve">СТК-2026-1068</x:t>
        </x:is>
      </x:c>
      <x:c r="C58" s="31" t="inlineStr">
        <x:is>
          <x:t xml:space="preserve">ЗК-1068</x:t>
        </x:is>
      </x:c>
      <x:c r="D58" s="31" t="inlineStr">
        <x:is>
          <x:t xml:space="preserve">КЛ-005</x:t>
        </x:is>
      </x:c>
      <x:c r="E58" s="31" t="n">
        <x:v>46047</x:v>
      </x:c>
      <x:c r="F58" s="31" t="n">
        <x:v>5042823</x:v>
      </x:c>
      <x:c r="G58" s="31" t="str">
        <x:v>С НДС 22%</x:v>
      </x:c>
      <x:c r="H58" s="31" t="inlineStr">
        <x:is>
          <x:t xml:space="preserve">На согласовании</x:t>
        </x:is>
      </x:c>
      <x:c r="I58" s="31" t="inlineStr">
        <x:is>
          <x:t xml:space="preserve">Нет</x:t>
        </x:is>
      </x:c>
      <x:c r="J58" s="31" t="inlineStr">
        <x:is>
          <x:t xml:space="preserve">Стандартные</x:t>
        </x:is>
      </x:c>
      <x:c r="K58" s="31" t="inlineStr">
        <x:is>
          <x:t xml:space="preserve">Юр. проверка 1</x:t>
        </x:is>
      </x:c>
    </x:row>
    <x:row r="59" ht="18" customHeight="1">
      <x:c r="A59" s="31" t="inlineStr">
        <x:is>
          <x:t xml:space="preserve">ДОГ-1069</x:t>
        </x:is>
      </x:c>
      <x:c r="B59" s="31" t="inlineStr">
        <x:is>
          <x:t xml:space="preserve">СТК-2026-1069</x:t>
        </x:is>
      </x:c>
      <x:c r="C59" s="31" t="inlineStr">
        <x:is>
          <x:t xml:space="preserve">ЗК-1069</x:t>
        </x:is>
      </x:c>
      <x:c r="D59" s="31" t="inlineStr">
        <x:is>
          <x:t xml:space="preserve">КЛ-027</x:t>
        </x:is>
      </x:c>
      <x:c r="E59" s="31" t="n">
        <x:v>46191</x:v>
      </x:c>
      <x:c r="F59" s="31" t="n">
        <x:v>3448416</x:v>
      </x:c>
      <x:c r="G59" s="31" t="str">
        <x:v>С НДС 22%</x:v>
      </x:c>
      <x:c r="H59" s="31" t="inlineStr">
        <x:is>
          <x:t xml:space="preserve">На согласовании</x:t>
        </x:is>
      </x:c>
      <x:c r="I59" s="31" t="inlineStr">
        <x:is>
          <x:t xml:space="preserve">Нет</x:t>
        </x:is>
      </x:c>
      <x:c r="J59" s="31" t="inlineStr">
        <x:is>
          <x:t xml:space="preserve">Стандартные</x:t>
        </x:is>
      </x:c>
      <x:c r="K59" s="31" t="inlineStr">
        <x:is>
          <x:t xml:space="preserve">Юр. проверка 1</x:t>
        </x:is>
      </x:c>
    </x:row>
    <x:row r="60" ht="18" customHeight="1">
      <x:c r="A60" s="31" t="inlineStr">
        <x:is>
          <x:t xml:space="preserve">ДОГ-1071</x:t>
        </x:is>
      </x:c>
      <x:c r="B60" s="31" t="inlineStr">
        <x:is>
          <x:t xml:space="preserve">СТК-2026-1071</x:t>
        </x:is>
      </x:c>
      <x:c r="C60" s="31" t="inlineStr">
        <x:is>
          <x:t xml:space="preserve">ЗК-1071</x:t>
        </x:is>
      </x:c>
      <x:c r="D60" s="31" t="inlineStr">
        <x:is>
          <x:t xml:space="preserve">КЛ-027</x:t>
        </x:is>
      </x:c>
      <x:c r="E60" s="31" t="n">
        <x:v>46174</x:v>
      </x:c>
      <x:c r="F60" s="31" t="n">
        <x:v>4910858</x:v>
      </x:c>
      <x:c r="G60" s="31" t="str">
        <x:v>Без НДС</x:v>
      </x:c>
      <x:c r="H60" s="31" t="inlineStr">
        <x:is>
          <x:t xml:space="preserve">Подписан</x:t>
        </x:is>
      </x:c>
      <x:c r="I60" s="31" t="inlineStr">
        <x:is>
          <x:t xml:space="preserve">Нет</x:t>
        </x:is>
      </x:c>
      <x:c r="J60" s="31" t="inlineStr">
        <x:is>
          <x:t xml:space="preserve">Стандартные</x:t>
        </x:is>
      </x:c>
      <x:c r="K60" s="31" t="inlineStr">
        <x:is>
          <x:t xml:space="preserve">Юр. проверка 2</x:t>
        </x:is>
      </x:c>
    </x:row>
    <x:row r="61" ht="18" customHeight="1">
      <x:c r="A61" s="31" t="inlineStr">
        <x:is>
          <x:t xml:space="preserve">ДОГ-1072</x:t>
        </x:is>
      </x:c>
      <x:c r="B61" s="31" t="inlineStr">
        <x:is>
          <x:t xml:space="preserve">СТК-2026-1072</x:t>
        </x:is>
      </x:c>
      <x:c r="C61" s="31" t="inlineStr">
        <x:is>
          <x:t xml:space="preserve">ЗК-1072</x:t>
        </x:is>
      </x:c>
      <x:c r="D61" s="31" t="inlineStr">
        <x:is>
          <x:t xml:space="preserve">КЛ-040</x:t>
        </x:is>
      </x:c>
      <x:c r="E61" s="31" t="n">
        <x:v>46042</x:v>
      </x:c>
      <x:c r="F61" s="31" t="n">
        <x:v>764404</x:v>
      </x:c>
      <x:c r="G61" s="31" t="str">
        <x:v>С НДС 22%</x:v>
      </x:c>
      <x:c r="H61" s="31" t="inlineStr">
        <x:is>
          <x:t xml:space="preserve">Подписан</x:t>
        </x:is>
      </x:c>
      <x:c r="I61" s="31" t="inlineStr">
        <x:is>
          <x:t xml:space="preserve">Да</x:t>
        </x:is>
      </x:c>
      <x:c r="J61" s="31" t="inlineStr">
        <x:is>
          <x:t xml:space="preserve">Стандартные</x:t>
        </x:is>
      </x:c>
      <x:c r="K61" s="31" t="inlineStr">
        <x:is>
          <x:t xml:space="preserve">Юр. проверка 3</x:t>
        </x:is>
      </x:c>
    </x:row>
    <x:row r="62" ht="18" customHeight="1">
      <x:c r="A62" s="31" t="inlineStr">
        <x:is>
          <x:t xml:space="preserve">ДОГ-1073</x:t>
        </x:is>
      </x:c>
      <x:c r="B62" s="31" t="inlineStr">
        <x:is>
          <x:t xml:space="preserve">СТК-2026-1073</x:t>
        </x:is>
      </x:c>
      <x:c r="C62" s="31" t="inlineStr">
        <x:is>
          <x:t xml:space="preserve">ЗК-1073</x:t>
        </x:is>
      </x:c>
      <x:c r="D62" s="31" t="inlineStr">
        <x:is>
          <x:t xml:space="preserve">КЛ-046</x:t>
        </x:is>
      </x:c>
      <x:c r="E62" s="31" t="n">
        <x:v>46156</x:v>
      </x:c>
      <x:c r="F62" s="31" t="n">
        <x:v>6463492</x:v>
      </x:c>
      <x:c r="G62" s="31" t="str">
        <x:v>С НДС 22%</x:v>
      </x:c>
      <x:c r="H62" s="31" t="inlineStr">
        <x:is>
          <x:t xml:space="preserve">Подписан</x:t>
        </x:is>
      </x:c>
      <x:c r="I62" s="31" t="inlineStr">
        <x:is>
          <x:t xml:space="preserve">Нет</x:t>
        </x:is>
      </x:c>
      <x:c r="J62" s="31" t="inlineStr">
        <x:is>
          <x:t xml:space="preserve">Стандартные</x:t>
        </x:is>
      </x:c>
      <x:c r="K62" s="31" t="inlineStr">
        <x:is>
          <x:t xml:space="preserve">Юр. проверка 1</x:t>
        </x:is>
      </x:c>
    </x:row>
    <x:row r="63" ht="18" customHeight="1">
      <x:c r="A63" s="31" t="inlineStr">
        <x:is>
          <x:t xml:space="preserve">ДОГ-1074</x:t>
        </x:is>
      </x:c>
      <x:c r="B63" s="31" t="inlineStr">
        <x:is>
          <x:t xml:space="preserve">СТК-2026-1074</x:t>
        </x:is>
      </x:c>
      <x:c r="C63" s="31" t="inlineStr">
        <x:is>
          <x:t xml:space="preserve">ЗК-1074</x:t>
        </x:is>
      </x:c>
      <x:c r="D63" s="31" t="inlineStr">
        <x:is>
          <x:t xml:space="preserve">КЛ-049</x:t>
        </x:is>
      </x:c>
      <x:c r="E63" s="31" t="n">
        <x:v>46187</x:v>
      </x:c>
      <x:c r="F63" s="31" t="n">
        <x:v>11531534</x:v>
      </x:c>
      <x:c r="G63" s="31" t="str">
        <x:v>С НДС 22%</x:v>
      </x:c>
      <x:c r="H63" s="31" t="inlineStr">
        <x:is>
          <x:t xml:space="preserve">ДС в работе</x:t>
        </x:is>
      </x:c>
      <x:c r="I63" s="31" t="inlineStr">
        <x:is>
          <x:t xml:space="preserve">Нет</x:t>
        </x:is>
      </x:c>
      <x:c r="J63" s="31" t="inlineStr">
        <x:is>
          <x:t xml:space="preserve">Стандартные</x:t>
        </x:is>
      </x:c>
      <x:c r="K63" s="31" t="inlineStr">
        <x:is>
          <x:t xml:space="preserve">Юр. проверка 1</x:t>
        </x:is>
      </x:c>
    </x:row>
    <x:row r="64" ht="18" customHeight="1">
      <x:c r="A64" s="31" t="inlineStr">
        <x:is>
          <x:t xml:space="preserve">ДОГ-1075</x:t>
        </x:is>
      </x:c>
      <x:c r="B64" s="31" t="inlineStr">
        <x:is>
          <x:t xml:space="preserve">СТК-2026-1075</x:t>
        </x:is>
      </x:c>
      <x:c r="C64" s="31" t="inlineStr">
        <x:is>
          <x:t xml:space="preserve">ЗК-1075</x:t>
        </x:is>
      </x:c>
      <x:c r="D64" s="31" t="inlineStr">
        <x:is>
          <x:t xml:space="preserve">КЛ-040</x:t>
        </x:is>
      </x:c>
      <x:c r="E64" s="31" t="n">
        <x:v>46157</x:v>
      </x:c>
      <x:c r="F64" s="31" t="n">
        <x:v>1133372</x:v>
      </x:c>
      <x:c r="G64" s="31" t="str">
        <x:v>С НДС 22%</x:v>
      </x:c>
      <x:c r="H64" s="31" t="inlineStr">
        <x:is>
          <x:t xml:space="preserve">Подписан</x:t>
        </x:is>
      </x:c>
      <x:c r="I64" s="31" t="inlineStr">
        <x:is>
          <x:t xml:space="preserve">Нет</x:t>
        </x:is>
      </x:c>
      <x:c r="J64" s="31" t="inlineStr">
        <x:is>
          <x:t xml:space="preserve">Постоплата</x:t>
        </x:is>
      </x:c>
      <x:c r="K64" s="31" t="inlineStr">
        <x:is>
          <x:t xml:space="preserve">Юр. проверка 2</x:t>
        </x:is>
      </x:c>
    </x:row>
    <x:row r="65" ht="18" customHeight="1">
      <x:c r="A65" s="31" t="inlineStr">
        <x:is>
          <x:t xml:space="preserve">ДОГ-1076</x:t>
        </x:is>
      </x:c>
      <x:c r="B65" s="31" t="inlineStr">
        <x:is>
          <x:t xml:space="preserve">СТК-2026-1076</x:t>
        </x:is>
      </x:c>
      <x:c r="C65" s="31" t="inlineStr">
        <x:is>
          <x:t xml:space="preserve">ЗК-1076</x:t>
        </x:is>
      </x:c>
      <x:c r="D65" s="31" t="inlineStr">
        <x:is>
          <x:t xml:space="preserve">КЛ-030</x:t>
        </x:is>
      </x:c>
      <x:c r="E65" s="31" t="n">
        <x:v>46162</x:v>
      </x:c>
      <x:c r="F65" s="31" t="n">
        <x:v>19822880</x:v>
      </x:c>
      <x:c r="G65" s="31" t="str">
        <x:v>С НДС 22%</x:v>
      </x:c>
      <x:c r="H65" s="31" t="inlineStr">
        <x:is>
          <x:t xml:space="preserve">Архив</x:t>
        </x:is>
      </x:c>
      <x:c r="I65" s="31" t="inlineStr">
        <x:is>
          <x:t xml:space="preserve">Нет</x:t>
        </x:is>
      </x:c>
      <x:c r="J65" s="31" t="inlineStr">
        <x:is>
          <x:t xml:space="preserve">Стандартные</x:t>
        </x:is>
      </x:c>
      <x:c r="K65" s="31" t="inlineStr">
        <x:is>
          <x:t xml:space="preserve">Юр. проверка 1</x:t>
        </x:is>
      </x:c>
    </x:row>
    <x:row r="66" ht="18" customHeight="1">
      <x:c r="A66" s="31" t="inlineStr">
        <x:is>
          <x:t xml:space="preserve">ДОГ-1078</x:t>
        </x:is>
      </x:c>
      <x:c r="B66" s="31" t="inlineStr">
        <x:is>
          <x:t xml:space="preserve">СТК-2026-1078</x:t>
        </x:is>
      </x:c>
      <x:c r="C66" s="31" t="inlineStr">
        <x:is>
          <x:t xml:space="preserve">ЗК-1078</x:t>
        </x:is>
      </x:c>
      <x:c r="D66" s="31" t="inlineStr">
        <x:is>
          <x:t xml:space="preserve">КЛ-044</x:t>
        </x:is>
      </x:c>
      <x:c r="E66" s="31" t="n">
        <x:v>46113</x:v>
      </x:c>
      <x:c r="F66" s="31" t="n">
        <x:v>17250828</x:v>
      </x:c>
      <x:c r="G66" s="31" t="str">
        <x:v>С НДС 22%</x:v>
      </x:c>
      <x:c r="H66" s="31" t="inlineStr">
        <x:is>
          <x:t xml:space="preserve">Архив</x:t>
        </x:is>
      </x:c>
      <x:c r="I66" s="31" t="inlineStr">
        <x:is>
          <x:t xml:space="preserve">Нет</x:t>
        </x:is>
      </x:c>
      <x:c r="J66" s="31" t="inlineStr">
        <x:is>
          <x:t xml:space="preserve">Стандартные</x:t>
        </x:is>
      </x:c>
      <x:c r="K66" s="31" t="inlineStr">
        <x:is>
          <x:t xml:space="preserve">Юр. проверка 2</x:t>
        </x:is>
      </x:c>
    </x:row>
    <x:row r="67" ht="18" customHeight="1">
      <x:c r="A67" s="31" t="inlineStr">
        <x:is>
          <x:t xml:space="preserve">ДОГ-1079</x:t>
        </x:is>
      </x:c>
      <x:c r="B67" s="31" t="inlineStr">
        <x:is>
          <x:t xml:space="preserve">СТК-2026-1079</x:t>
        </x:is>
      </x:c>
      <x:c r="C67" s="31" t="inlineStr">
        <x:is>
          <x:t xml:space="preserve">ЗК-1079</x:t>
        </x:is>
      </x:c>
      <x:c r="D67" s="31" t="inlineStr">
        <x:is>
          <x:t xml:space="preserve">КЛ-015</x:t>
        </x:is>
      </x:c>
      <x:c r="E67" s="31" t="n">
        <x:v>46103</x:v>
      </x:c>
      <x:c r="F67" s="31" t="n">
        <x:v>7837051</x:v>
      </x:c>
      <x:c r="G67" s="31" t="str">
        <x:v>С НДС 22%</x:v>
      </x:c>
      <x:c r="H67" s="31" t="inlineStr">
        <x:is>
          <x:t xml:space="preserve">Подписан</x:t>
        </x:is>
      </x:c>
      <x:c r="I67" s="31" t="inlineStr">
        <x:is>
          <x:t xml:space="preserve">Нет</x:t>
        </x:is>
      </x:c>
      <x:c r="J67" s="31" t="inlineStr">
        <x:is>
          <x:t xml:space="preserve">Стандартные</x:t>
        </x:is>
      </x:c>
      <x:c r="K67" s="31" t="inlineStr">
        <x:is>
          <x:t xml:space="preserve">Юр. проверка 2</x:t>
        </x:is>
      </x:c>
    </x:row>
    <x:row r="68" ht="18" customHeight="1">
      <x:c r="A68" s="31" t="inlineStr">
        <x:is>
          <x:t xml:space="preserve">ДОГ-1081</x:t>
        </x:is>
      </x:c>
      <x:c r="B68" s="31" t="inlineStr">
        <x:is>
          <x:t xml:space="preserve">СТК-2026-1081</x:t>
        </x:is>
      </x:c>
      <x:c r="C68" s="31" t="inlineStr">
        <x:is>
          <x:t xml:space="preserve">ЗК-1081</x:t>
        </x:is>
      </x:c>
      <x:c r="D68" s="31" t="inlineStr">
        <x:is>
          <x:t xml:space="preserve">КЛ-048</x:t>
        </x:is>
      </x:c>
      <x:c r="E68" s="31" t="n">
        <x:v>46146</x:v>
      </x:c>
      <x:c r="F68" s="31" t="n">
        <x:v>3717867</x:v>
      </x:c>
      <x:c r="G68" s="31" t="str">
        <x:v>С НДС 22%</x:v>
      </x:c>
      <x:c r="H68" s="31" t="inlineStr">
        <x:is>
          <x:t xml:space="preserve">Подписан</x:t>
        </x:is>
      </x:c>
      <x:c r="I68" s="31" t="inlineStr">
        <x:is>
          <x:t xml:space="preserve">Нет</x:t>
        </x:is>
      </x:c>
      <x:c r="J68" s="31" t="inlineStr">
        <x:is>
          <x:t xml:space="preserve">Ужесточенные штрафы</x:t>
        </x:is>
      </x:c>
      <x:c r="K68" s="31" t="inlineStr">
        <x:is>
          <x:t xml:space="preserve">Юр. проверка 2</x:t>
        </x:is>
      </x:c>
    </x:row>
    <x:row r="69" ht="18" customHeight="1">
      <x:c r="A69" s="31" t="inlineStr">
        <x:is>
          <x:t xml:space="preserve">ДОГ-1082</x:t>
        </x:is>
      </x:c>
      <x:c r="B69" s="31" t="inlineStr">
        <x:is>
          <x:t xml:space="preserve">СТК-2026-1082</x:t>
        </x:is>
      </x:c>
      <x:c r="C69" s="31" t="inlineStr">
        <x:is>
          <x:t xml:space="preserve">ЗК-1082</x:t>
        </x:is>
      </x:c>
      <x:c r="D69" s="31" t="inlineStr">
        <x:is>
          <x:t xml:space="preserve">КЛ-022</x:t>
        </x:is>
      </x:c>
      <x:c r="E69" s="31" t="n">
        <x:v>46181</x:v>
      </x:c>
      <x:c r="F69" s="31" t="n">
        <x:v>12835069</x:v>
      </x:c>
      <x:c r="G69" s="31" t="str">
        <x:v>С НДС 22%</x:v>
      </x:c>
      <x:c r="H69" s="31" t="inlineStr">
        <x:is>
          <x:t xml:space="preserve">Подписан</x:t>
        </x:is>
      </x:c>
      <x:c r="I69" s="31" t="inlineStr">
        <x:is>
          <x:t xml:space="preserve">Нет</x:t>
        </x:is>
      </x:c>
      <x:c r="J69" s="31" t="inlineStr">
        <x:is>
          <x:t xml:space="preserve">Стандартные</x:t>
        </x:is>
      </x:c>
      <x:c r="K69" s="31" t="inlineStr">
        <x:is>
          <x:t xml:space="preserve">Юр. проверка 2</x:t>
        </x:is>
      </x:c>
    </x:row>
    <x:row r="70" ht="18" customHeight="1">
      <x:c r="A70" s="31" t="inlineStr">
        <x:is>
          <x:t xml:space="preserve">ДОГ-1083</x:t>
        </x:is>
      </x:c>
      <x:c r="B70" s="31" t="inlineStr">
        <x:is>
          <x:t xml:space="preserve">СТК-2026-1083</x:t>
        </x:is>
      </x:c>
      <x:c r="C70" s="31" t="inlineStr">
        <x:is>
          <x:t xml:space="preserve">ЗК-1083</x:t>
        </x:is>
      </x:c>
      <x:c r="D70" s="31" t="inlineStr">
        <x:is>
          <x:t xml:space="preserve">КЛ-010</x:t>
        </x:is>
      </x:c>
      <x:c r="E70" s="31" t="n">
        <x:v>46182</x:v>
      </x:c>
      <x:c r="F70" s="31" t="n">
        <x:v>5136336</x:v>
      </x:c>
      <x:c r="G70" s="31" t="str">
        <x:v>С НДС 22%</x:v>
      </x:c>
      <x:c r="H70" s="31" t="inlineStr">
        <x:is>
          <x:t xml:space="preserve">Подписан</x:t>
        </x:is>
      </x:c>
      <x:c r="I70" s="31" t="inlineStr">
        <x:is>
          <x:t xml:space="preserve">Нет</x:t>
        </x:is>
      </x:c>
      <x:c r="J70" s="31" t="inlineStr">
        <x:is>
          <x:t xml:space="preserve">Ужесточенные штрафы</x:t>
        </x:is>
      </x:c>
      <x:c r="K70" s="31" t="inlineStr">
        <x:is>
          <x:t xml:space="preserve">Юр. проверка 1</x:t>
        </x:is>
      </x:c>
    </x:row>
    <x:row r="71" ht="18" customHeight="1">
      <x:c r="A71" s="31" t="inlineStr">
        <x:is>
          <x:t xml:space="preserve">ДОГ-1084</x:t>
        </x:is>
      </x:c>
      <x:c r="B71" s="31" t="inlineStr">
        <x:is>
          <x:t xml:space="preserve">СТК-2026-1084</x:t>
        </x:is>
      </x:c>
      <x:c r="C71" s="31" t="inlineStr">
        <x:is>
          <x:t xml:space="preserve">ЗК-1084</x:t>
        </x:is>
      </x:c>
      <x:c r="D71" s="31" t="inlineStr">
        <x:is>
          <x:t xml:space="preserve">КЛ-049</x:t>
        </x:is>
      </x:c>
      <x:c r="E71" s="31" t="n">
        <x:v>46079</x:v>
      </x:c>
      <x:c r="F71" s="31" t="n">
        <x:v>1071014</x:v>
      </x:c>
      <x:c r="G71" s="31" t="str">
        <x:v>С НДС 22%</x:v>
      </x:c>
      <x:c r="H71" s="31" t="inlineStr">
        <x:is>
          <x:t xml:space="preserve">Подписан</x:t>
        </x:is>
      </x:c>
      <x:c r="I71" s="31" t="inlineStr">
        <x:is>
          <x:t xml:space="preserve">Да</x:t>
        </x:is>
      </x:c>
      <x:c r="J71" s="31" t="inlineStr">
        <x:is>
          <x:t xml:space="preserve">Казначейское сопровождение</x:t>
        </x:is>
      </x:c>
      <x:c r="K71" s="31" t="inlineStr">
        <x:is>
          <x:t xml:space="preserve">Юр. проверка 1</x:t>
        </x:is>
      </x:c>
    </x:row>
    <x:row r="72" ht="18" customHeight="1">
      <x:c r="A72" s="31" t="inlineStr">
        <x:is>
          <x:t xml:space="preserve">ДОГ-1085</x:t>
        </x:is>
      </x:c>
      <x:c r="B72" s="31" t="inlineStr">
        <x:is>
          <x:t xml:space="preserve">СТК-2026-1085</x:t>
        </x:is>
      </x:c>
      <x:c r="C72" s="31" t="inlineStr">
        <x:is>
          <x:t xml:space="preserve">ЗК-1085</x:t>
        </x:is>
      </x:c>
      <x:c r="D72" s="31" t="inlineStr">
        <x:is>
          <x:t xml:space="preserve">КЛ-015</x:t>
        </x:is>
      </x:c>
      <x:c r="E72" s="31" t="n">
        <x:v>46118</x:v>
      </x:c>
      <x:c r="F72" s="31" t="n">
        <x:v>4027099</x:v>
      </x:c>
      <x:c r="G72" s="31" t="str">
        <x:v>С НДС 22%</x:v>
      </x:c>
      <x:c r="H72" s="31" t="inlineStr">
        <x:is>
          <x:t xml:space="preserve">Подписан</x:t>
        </x:is>
      </x:c>
      <x:c r="I72" s="31" t="inlineStr">
        <x:is>
          <x:t xml:space="preserve">Нет</x:t>
        </x:is>
      </x:c>
      <x:c r="J72" s="31" t="inlineStr">
        <x:is>
          <x:t xml:space="preserve">Стандартные</x:t>
        </x:is>
      </x:c>
      <x:c r="K72" s="31" t="inlineStr">
        <x:is>
          <x:t xml:space="preserve">Юр. проверка 2</x:t>
        </x:is>
      </x:c>
    </x:row>
    <x:row r="73" ht="18" customHeight="1">
      <x:c r="A73" s="31" t="inlineStr">
        <x:is>
          <x:t xml:space="preserve">ДОГ-1086</x:t>
        </x:is>
      </x:c>
      <x:c r="B73" s="31" t="inlineStr">
        <x:is>
          <x:t xml:space="preserve">СТК-2026-1086</x:t>
        </x:is>
      </x:c>
      <x:c r="C73" s="31" t="inlineStr">
        <x:is>
          <x:t xml:space="preserve">ЗК-1086</x:t>
        </x:is>
      </x:c>
      <x:c r="D73" s="31" t="inlineStr">
        <x:is>
          <x:t xml:space="preserve">КЛ-002</x:t>
        </x:is>
      </x:c>
      <x:c r="E73" s="31" t="n">
        <x:v>46078</x:v>
      </x:c>
      <x:c r="F73" s="31" t="n">
        <x:v>12449917</x:v>
      </x:c>
      <x:c r="G73" s="31" t="str">
        <x:v>С НДС 22%</x:v>
      </x:c>
      <x:c r="H73" s="31" t="inlineStr">
        <x:is>
          <x:t xml:space="preserve">Подписан</x:t>
        </x:is>
      </x:c>
      <x:c r="I73" s="31" t="inlineStr">
        <x:is>
          <x:t xml:space="preserve">Нет</x:t>
        </x:is>
      </x:c>
      <x:c r="J73" s="31" t="inlineStr">
        <x:is>
          <x:t xml:space="preserve">Казначейское сопровождение</x:t>
        </x:is>
      </x:c>
      <x:c r="K73" s="31" t="inlineStr">
        <x:is>
          <x:t xml:space="preserve">Юр. проверка 1</x:t>
        </x:is>
      </x:c>
    </x:row>
    <x:row r="74" ht="18" customHeight="1">
      <x:c r="A74" s="31" t="inlineStr">
        <x:is>
          <x:t xml:space="preserve">ДОГ-1087</x:t>
        </x:is>
      </x:c>
      <x:c r="B74" s="31" t="inlineStr">
        <x:is>
          <x:t xml:space="preserve">СТК-2026-1087</x:t>
        </x:is>
      </x:c>
      <x:c r="C74" s="31" t="inlineStr">
        <x:is>
          <x:t xml:space="preserve">ЗК-1087</x:t>
        </x:is>
      </x:c>
      <x:c r="D74" s="31" t="inlineStr">
        <x:is>
          <x:t xml:space="preserve">КЛ-008</x:t>
        </x:is>
      </x:c>
      <x:c r="E74" s="31" t="n">
        <x:v>46054</x:v>
      </x:c>
      <x:c r="F74" s="31" t="n">
        <x:v>4064394</x:v>
      </x:c>
      <x:c r="G74" s="31" t="str">
        <x:v>С НДС 22%</x:v>
      </x:c>
      <x:c r="H74" s="31" t="inlineStr">
        <x:is>
          <x:t xml:space="preserve">Подписан</x:t>
        </x:is>
      </x:c>
      <x:c r="I74" s="31" t="inlineStr">
        <x:is>
          <x:t xml:space="preserve">Нет</x:t>
        </x:is>
      </x:c>
      <x:c r="J74" s="31" t="inlineStr">
        <x:is>
          <x:t xml:space="preserve">Казначейское сопровождение</x:t>
        </x:is>
      </x:c>
      <x:c r="K74" s="31" t="inlineStr">
        <x:is>
          <x:t xml:space="preserve">Юр. проверка 2</x:t>
        </x:is>
      </x:c>
    </x:row>
    <x:row r="75" ht="18" customHeight="1">
      <x:c r="A75" s="31" t="inlineStr">
        <x:is>
          <x:t xml:space="preserve">ДОГ-1089</x:t>
        </x:is>
      </x:c>
      <x:c r="B75" s="31" t="inlineStr">
        <x:is>
          <x:t xml:space="preserve">СТК-2026-1089</x:t>
        </x:is>
      </x:c>
      <x:c r="C75" s="31" t="inlineStr">
        <x:is>
          <x:t xml:space="preserve">ЗК-1089</x:t>
        </x:is>
      </x:c>
      <x:c r="D75" s="31" t="inlineStr">
        <x:is>
          <x:t xml:space="preserve">КЛ-031</x:t>
        </x:is>
      </x:c>
      <x:c r="E75" s="31" t="n">
        <x:v>46180</x:v>
      </x:c>
      <x:c r="F75" s="31" t="n">
        <x:v>6266459</x:v>
      </x:c>
      <x:c r="G75" s="31" t="str">
        <x:v>С НДС 22%</x:v>
      </x:c>
      <x:c r="H75" s="31" t="inlineStr">
        <x:is>
          <x:t xml:space="preserve">Архив</x:t>
        </x:is>
      </x:c>
      <x:c r="I75" s="31" t="inlineStr">
        <x:is>
          <x:t xml:space="preserve">Нет</x:t>
        </x:is>
      </x:c>
      <x:c r="J75" s="31" t="inlineStr">
        <x:is>
          <x:t xml:space="preserve">Стандартные</x:t>
        </x:is>
      </x:c>
      <x:c r="K75" s="31" t="inlineStr">
        <x:is>
          <x:t xml:space="preserve">Юр. проверка 1</x:t>
        </x:is>
      </x:c>
    </x:row>
    <x:row r="76" ht="18" customHeight="1">
      <x:c r="A76" s="31" t="inlineStr">
        <x:is>
          <x:t xml:space="preserve">ДОГ-1090</x:t>
        </x:is>
      </x:c>
      <x:c r="B76" s="31" t="inlineStr">
        <x:is>
          <x:t xml:space="preserve">СТК-2026-1090</x:t>
        </x:is>
      </x:c>
      <x:c r="C76" s="31" t="inlineStr">
        <x:is>
          <x:t xml:space="preserve">ЗК-1090</x:t>
        </x:is>
      </x:c>
      <x:c r="D76" s="31" t="inlineStr">
        <x:is>
          <x:t xml:space="preserve">КЛ-033</x:t>
        </x:is>
      </x:c>
      <x:c r="E76" s="31" t="n">
        <x:v>46133</x:v>
      </x:c>
      <x:c r="F76" s="31" t="n">
        <x:v>18745338</x:v>
      </x:c>
      <x:c r="G76" s="31" t="str">
        <x:v>С НДС 22%</x:v>
      </x:c>
      <x:c r="H76" s="31" t="inlineStr">
        <x:is>
          <x:t xml:space="preserve">Подписан</x:t>
        </x:is>
      </x:c>
      <x:c r="I76" s="31" t="inlineStr">
        <x:is>
          <x:t xml:space="preserve">Нет</x:t>
        </x:is>
      </x:c>
      <x:c r="J76" s="31" t="inlineStr">
        <x:is>
          <x:t xml:space="preserve">Стандартные</x:t>
        </x:is>
      </x:c>
      <x:c r="K76" s="31" t="inlineStr">
        <x:is>
          <x:t xml:space="preserve">Юр. проверка 1</x:t>
        </x:is>
      </x:c>
    </x:row>
    <x:row r="77" ht="18" customHeight="1">
      <x:c r="A77" s="31" t="inlineStr">
        <x:is>
          <x:t xml:space="preserve">ДОГ-1091</x:t>
        </x:is>
      </x:c>
      <x:c r="B77" s="31" t="inlineStr">
        <x:is>
          <x:t xml:space="preserve">СТК-2026-1091</x:t>
        </x:is>
      </x:c>
      <x:c r="C77" s="31" t="inlineStr">
        <x:is>
          <x:t xml:space="preserve">ЗК-1091</x:t>
        </x:is>
      </x:c>
      <x:c r="D77" s="31" t="inlineStr">
        <x:is>
          <x:t xml:space="preserve">КЛ-034</x:t>
        </x:is>
      </x:c>
      <x:c r="E77" s="31" t="n">
        <x:v>46132</x:v>
      </x:c>
      <x:c r="F77" s="31" t="n">
        <x:v>1085448</x:v>
      </x:c>
      <x:c r="G77" s="31" t="str">
        <x:v>С НДС 22%</x:v>
      </x:c>
      <x:c r="H77" s="31" t="inlineStr">
        <x:is>
          <x:t xml:space="preserve">Подписан</x:t>
        </x:is>
      </x:c>
      <x:c r="I77" s="31" t="inlineStr">
        <x:is>
          <x:t xml:space="preserve">Нет</x:t>
        </x:is>
      </x:c>
      <x:c r="J77" s="31" t="inlineStr">
        <x:is>
          <x:t xml:space="preserve">Стандартные</x:t>
        </x:is>
      </x:c>
      <x:c r="K77" s="31" t="inlineStr">
        <x:is>
          <x:t xml:space="preserve">Юр. проверка 2</x:t>
        </x:is>
      </x:c>
    </x:row>
    <x:row r="78" ht="18" customHeight="1">
      <x:c r="A78" s="31" t="inlineStr">
        <x:is>
          <x:t xml:space="preserve">ДОГ-1092</x:t>
        </x:is>
      </x:c>
      <x:c r="B78" s="31" t="inlineStr">
        <x:is>
          <x:t xml:space="preserve">СТК-2026-1092</x:t>
        </x:is>
      </x:c>
      <x:c r="C78" s="31" t="inlineStr">
        <x:is>
          <x:t xml:space="preserve">ЗК-1092</x:t>
        </x:is>
      </x:c>
      <x:c r="D78" s="31" t="inlineStr">
        <x:is>
          <x:t xml:space="preserve">КЛ-026</x:t>
        </x:is>
      </x:c>
      <x:c r="E78" s="31" t="n">
        <x:v>46146</x:v>
      </x:c>
      <x:c r="F78" s="31" t="n">
        <x:v>5868327</x:v>
      </x:c>
      <x:c r="G78" s="31" t="str">
        <x:v>С НДС 22%</x:v>
      </x:c>
      <x:c r="H78" s="31" t="inlineStr">
        <x:is>
          <x:t xml:space="preserve">Подписан</x:t>
        </x:is>
      </x:c>
      <x:c r="I78" s="31" t="inlineStr">
        <x:is>
          <x:t xml:space="preserve">Нет</x:t>
        </x:is>
      </x:c>
      <x:c r="J78" s="31" t="inlineStr">
        <x:is>
          <x:t xml:space="preserve">Постоплата</x:t>
        </x:is>
      </x:c>
      <x:c r="K78" s="31" t="inlineStr">
        <x:is>
          <x:t xml:space="preserve">Юр. проверка 1</x:t>
        </x:is>
      </x:c>
    </x:row>
    <x:row r="79" ht="18" customHeight="1">
      <x:c r="A79" s="31" t="inlineStr">
        <x:is>
          <x:t xml:space="preserve">ДОГ-1093</x:t>
        </x:is>
      </x:c>
      <x:c r="B79" s="31" t="inlineStr">
        <x:is>
          <x:t xml:space="preserve">СТК-2026-1093</x:t>
        </x:is>
      </x:c>
      <x:c r="C79" s="31" t="inlineStr">
        <x:is>
          <x:t xml:space="preserve">ЗК-1093</x:t>
        </x:is>
      </x:c>
      <x:c r="D79" s="31" t="inlineStr">
        <x:is>
          <x:t xml:space="preserve">КЛ-043</x:t>
        </x:is>
      </x:c>
      <x:c r="E79" s="31" t="n">
        <x:v>46096</x:v>
      </x:c>
      <x:c r="F79" s="31" t="n">
        <x:v>13431805</x:v>
      </x:c>
      <x:c r="G79" s="31" t="str">
        <x:v>С НДС 22%</x:v>
      </x:c>
      <x:c r="H79" s="31" t="inlineStr">
        <x:is>
          <x:t xml:space="preserve">Подписан</x:t>
        </x:is>
      </x:c>
      <x:c r="I79" s="31" t="inlineStr">
        <x:is>
          <x:t xml:space="preserve">Да</x:t>
        </x:is>
      </x:c>
      <x:c r="J79" s="31" t="inlineStr">
        <x:is>
          <x:t xml:space="preserve">Постоплата</x:t>
        </x:is>
      </x:c>
      <x:c r="K79" s="31" t="inlineStr">
        <x:is>
          <x:t xml:space="preserve">Юр. проверка 3</x:t>
        </x:is>
      </x:c>
    </x:row>
    <x:row r="80" ht="18" customHeight="1">
      <x:c r="A80" s="31" t="inlineStr">
        <x:is>
          <x:t xml:space="preserve">ДОГ-1094</x:t>
        </x:is>
      </x:c>
      <x:c r="B80" s="31" t="inlineStr">
        <x:is>
          <x:t xml:space="preserve">СТК-2026-1094</x:t>
        </x:is>
      </x:c>
      <x:c r="C80" s="31" t="inlineStr">
        <x:is>
          <x:t xml:space="preserve">ЗК-1094</x:t>
        </x:is>
      </x:c>
      <x:c r="D80" s="31" t="inlineStr">
        <x:is>
          <x:t xml:space="preserve">КЛ-041</x:t>
        </x:is>
      </x:c>
      <x:c r="E80" s="31" t="n">
        <x:v>46134</x:v>
      </x:c>
      <x:c r="F80" s="31" t="n">
        <x:v>7203363</x:v>
      </x:c>
      <x:c r="G80" s="31" t="str">
        <x:v>С НДС 22%</x:v>
      </x:c>
      <x:c r="H80" s="31" t="inlineStr">
        <x:is>
          <x:t xml:space="preserve">На согласовании</x:t>
        </x:is>
      </x:c>
      <x:c r="I80" s="31" t="inlineStr">
        <x:is>
          <x:t xml:space="preserve">Нет</x:t>
        </x:is>
      </x:c>
      <x:c r="J80" s="31" t="inlineStr">
        <x:is>
          <x:t xml:space="preserve">Постоплата</x:t>
        </x:is>
      </x:c>
      <x:c r="K80" s="31" t="inlineStr">
        <x:is>
          <x:t xml:space="preserve">Юр. проверка 3</x:t>
        </x:is>
      </x:c>
    </x:row>
    <x:row r="81" ht="18" customHeight="1">
      <x:c r="A81" s="31" t="inlineStr">
        <x:is>
          <x:t xml:space="preserve">ДОГ-1095</x:t>
        </x:is>
      </x:c>
      <x:c r="B81" s="31" t="inlineStr">
        <x:is>
          <x:t xml:space="preserve">СТК-2026-1095</x:t>
        </x:is>
      </x:c>
      <x:c r="C81" s="31" t="inlineStr">
        <x:is>
          <x:t xml:space="preserve">ЗК-1095</x:t>
        </x:is>
      </x:c>
      <x:c r="D81" s="31" t="inlineStr">
        <x:is>
          <x:t xml:space="preserve">КЛ-041</x:t>
        </x:is>
      </x:c>
      <x:c r="E81" s="31" t="n">
        <x:v>46057</x:v>
      </x:c>
      <x:c r="F81" s="31" t="n">
        <x:v>1720381</x:v>
      </x:c>
      <x:c r="G81" s="31" t="str">
        <x:v>С НДС 22%</x:v>
      </x:c>
      <x:c r="H81" s="31" t="inlineStr">
        <x:is>
          <x:t xml:space="preserve">Подписан</x:t>
        </x:is>
      </x:c>
      <x:c r="I81" s="31" t="inlineStr">
        <x:is>
          <x:t xml:space="preserve">Нет</x:t>
        </x:is>
      </x:c>
      <x:c r="J81" s="31" t="inlineStr">
        <x:is>
          <x:t xml:space="preserve">Стандартные</x:t>
        </x:is>
      </x:c>
      <x:c r="K81" s="31" t="inlineStr">
        <x:is>
          <x:t xml:space="preserve">Юр. проверка 1</x:t>
        </x:is>
      </x:c>
    </x:row>
    <x:row r="82" ht="18" customHeight="1">
      <x:c r="A82" s="31" t="inlineStr">
        <x:is>
          <x:t xml:space="preserve">ДОГ-1097</x:t>
        </x:is>
      </x:c>
      <x:c r="B82" s="31" t="inlineStr">
        <x:is>
          <x:t xml:space="preserve">СТК-2026-1097</x:t>
        </x:is>
      </x:c>
      <x:c r="C82" s="31" t="inlineStr">
        <x:is>
          <x:t xml:space="preserve">ЗК-1097</x:t>
        </x:is>
      </x:c>
      <x:c r="D82" s="31" t="inlineStr">
        <x:is>
          <x:t xml:space="preserve">КЛ-015</x:t>
        </x:is>
      </x:c>
      <x:c r="E82" s="31" t="n">
        <x:v>46097</x:v>
      </x:c>
      <x:c r="F82" s="31" t="n">
        <x:v>17784015</x:v>
      </x:c>
      <x:c r="G82" s="31" t="str">
        <x:v>С НДС 22%</x:v>
      </x:c>
      <x:c r="H82" s="31" t="inlineStr">
        <x:is>
          <x:t xml:space="preserve">Подписан</x:t>
        </x:is>
      </x:c>
      <x:c r="I82" s="31" t="inlineStr">
        <x:is>
          <x:t xml:space="preserve">Нет</x:t>
        </x:is>
      </x:c>
      <x:c r="J82" s="31" t="inlineStr">
        <x:is>
          <x:t xml:space="preserve">Стандартные</x:t>
        </x:is>
      </x:c>
      <x:c r="K82" s="31" t="inlineStr">
        <x:is>
          <x:t xml:space="preserve">Юр. проверка 1</x:t>
        </x:is>
      </x:c>
    </x:row>
    <x:row r="83" ht="18" customHeight="1">
      <x:c r="A83" s="31" t="inlineStr">
        <x:is>
          <x:t xml:space="preserve">ДОГ-1098</x:t>
        </x:is>
      </x:c>
      <x:c r="B83" s="31" t="inlineStr">
        <x:is>
          <x:t xml:space="preserve">СТК-2026-1098</x:t>
        </x:is>
      </x:c>
      <x:c r="C83" s="31" t="inlineStr">
        <x:is>
          <x:t xml:space="preserve">ЗК-1098</x:t>
        </x:is>
      </x:c>
      <x:c r="D83" s="31" t="inlineStr">
        <x:is>
          <x:t xml:space="preserve">КЛ-018</x:t>
        </x:is>
      </x:c>
      <x:c r="E83" s="31" t="n">
        <x:v>46159</x:v>
      </x:c>
      <x:c r="F83" s="31" t="n">
        <x:v>965634</x:v>
      </x:c>
      <x:c r="G83" s="31" t="str">
        <x:v>С НДС 22%</x:v>
      </x:c>
      <x:c r="H83" s="31" t="inlineStr">
        <x:is>
          <x:t xml:space="preserve">Подписан</x:t>
        </x:is>
      </x:c>
      <x:c r="I83" s="31" t="inlineStr">
        <x:is>
          <x:t xml:space="preserve">Нет</x:t>
        </x:is>
      </x:c>
      <x:c r="J83" s="31" t="inlineStr">
        <x:is>
          <x:t xml:space="preserve">Ужесточенные штрафы</x:t>
        </x:is>
      </x:c>
      <x:c r="K83" s="31" t="inlineStr">
        <x:is>
          <x:t xml:space="preserve">Юр. проверка 1</x:t>
        </x:is>
      </x:c>
    </x:row>
    <x:row r="84" ht="18" customHeight="1">
      <x:c r="A84" s="31" t="inlineStr">
        <x:is>
          <x:t xml:space="preserve">ДОГ-1099</x:t>
        </x:is>
      </x:c>
      <x:c r="B84" s="31" t="inlineStr">
        <x:is>
          <x:t xml:space="preserve">СТК-2026-1099</x:t>
        </x:is>
      </x:c>
      <x:c r="C84" s="31" t="inlineStr">
        <x:is>
          <x:t xml:space="preserve">ЗК-1099</x:t>
        </x:is>
      </x:c>
      <x:c r="D84" s="31" t="inlineStr">
        <x:is>
          <x:t xml:space="preserve">КЛ-046</x:t>
        </x:is>
      </x:c>
      <x:c r="E84" s="31" t="n">
        <x:v>46150</x:v>
      </x:c>
      <x:c r="F84" s="31" t="n">
        <x:v>16317422</x:v>
      </x:c>
      <x:c r="G84" s="31" t="str">
        <x:v>С НДС 22%</x:v>
      </x:c>
      <x:c r="H84" s="31" t="inlineStr">
        <x:is>
          <x:t xml:space="preserve">Подписан</x:t>
        </x:is>
      </x:c>
      <x:c r="I84" s="31" t="inlineStr">
        <x:is>
          <x:t xml:space="preserve">Да</x:t>
        </x:is>
      </x:c>
      <x:c r="J84" s="31" t="inlineStr">
        <x:is>
          <x:t xml:space="preserve">Постоплата</x:t>
        </x:is>
      </x:c>
      <x:c r="K84" s="31" t="inlineStr">
        <x:is>
          <x:t xml:space="preserve">Юр. проверка 2</x:t>
        </x:is>
      </x:c>
    </x:row>
    <x:row r="85" ht="18" customHeight="1">
      <x:c r="A85" s="31" t="inlineStr">
        <x:is>
          <x:t xml:space="preserve">ДОГ-1100</x:t>
        </x:is>
      </x:c>
      <x:c r="B85" s="31" t="inlineStr">
        <x:is>
          <x:t xml:space="preserve">СТК-2026-1100</x:t>
        </x:is>
      </x:c>
      <x:c r="C85" s="31" t="inlineStr">
        <x:is>
          <x:t xml:space="preserve">ЗК-1100</x:t>
        </x:is>
      </x:c>
      <x:c r="D85" s="31" t="inlineStr">
        <x:is>
          <x:t xml:space="preserve">КЛ-002</x:t>
        </x:is>
      </x:c>
      <x:c r="E85" s="31" t="n">
        <x:v>46086</x:v>
      </x:c>
      <x:c r="F85" s="31" t="n">
        <x:v>1530669</x:v>
      </x:c>
      <x:c r="G85" s="31" t="str">
        <x:v>С НДС 22%</x:v>
      </x:c>
      <x:c r="H85" s="31" t="inlineStr">
        <x:is>
          <x:t xml:space="preserve">Подписан</x:t>
        </x:is>
      </x:c>
      <x:c r="I85" s="31" t="inlineStr">
        <x:is>
          <x:t xml:space="preserve">Нет</x:t>
        </x:is>
      </x:c>
      <x:c r="J85" s="31" t="inlineStr">
        <x:is>
          <x:t xml:space="preserve">Стандартные</x:t>
        </x:is>
      </x:c>
      <x:c r="K85" s="31" t="inlineStr">
        <x:is>
          <x:t xml:space="preserve">Юр. проверка 1</x:t>
        </x:is>
      </x:c>
    </x:row>
    <x:row r="86" ht="18" customHeight="1">
      <x:c r="A86" s="31" t="inlineStr">
        <x:is>
          <x:t xml:space="preserve">ДОГ-1101</x:t>
        </x:is>
      </x:c>
      <x:c r="B86" s="31" t="inlineStr">
        <x:is>
          <x:t xml:space="preserve">СТК-2026-1101</x:t>
        </x:is>
      </x:c>
      <x:c r="C86" s="31" t="inlineStr">
        <x:is>
          <x:t xml:space="preserve">ЗК-1101</x:t>
        </x:is>
      </x:c>
      <x:c r="D86" s="31" t="inlineStr">
        <x:is>
          <x:t xml:space="preserve">КЛ-004</x:t>
        </x:is>
      </x:c>
      <x:c r="E86" s="31" t="n">
        <x:v>46174</x:v>
      </x:c>
      <x:c r="F86" s="31" t="n">
        <x:v>4477589</x:v>
      </x:c>
      <x:c r="G86" s="31" t="str">
        <x:v>С НДС 22%</x:v>
      </x:c>
      <x:c r="H86" s="31" t="inlineStr">
        <x:is>
          <x:t xml:space="preserve">Архив</x:t>
        </x:is>
      </x:c>
      <x:c r="I86" s="31" t="inlineStr">
        <x:is>
          <x:t xml:space="preserve">Нет</x:t>
        </x:is>
      </x:c>
      <x:c r="J86" s="31" t="inlineStr">
        <x:is>
          <x:t xml:space="preserve">Ужесточенные штрафы</x:t>
        </x:is>
      </x:c>
      <x:c r="K86" s="31" t="inlineStr">
        <x:is>
          <x:t xml:space="preserve">Юр. проверка 2</x:t>
        </x:is>
      </x:c>
    </x:row>
    <x:row r="87" ht="18" customHeight="1">
      <x:c r="A87" s="31" t="inlineStr">
        <x:is>
          <x:t xml:space="preserve">ДОГ-1102</x:t>
        </x:is>
      </x:c>
      <x:c r="B87" s="31" t="inlineStr">
        <x:is>
          <x:t xml:space="preserve">СТК-2026-1102</x:t>
        </x:is>
      </x:c>
      <x:c r="C87" s="31" t="inlineStr">
        <x:is>
          <x:t xml:space="preserve">ЗК-1102</x:t>
        </x:is>
      </x:c>
      <x:c r="D87" s="31" t="inlineStr">
        <x:is>
          <x:t xml:space="preserve">КЛ-008</x:t>
        </x:is>
      </x:c>
      <x:c r="E87" s="31" t="n">
        <x:v>46178</x:v>
      </x:c>
      <x:c r="F87" s="31" t="n">
        <x:v>17595476</x:v>
      </x:c>
      <x:c r="G87" s="31" t="str">
        <x:v>С НДС 22%</x:v>
      </x:c>
      <x:c r="H87" s="31" t="inlineStr">
        <x:is>
          <x:t xml:space="preserve">Подписан</x:t>
        </x:is>
      </x:c>
      <x:c r="I87" s="31" t="inlineStr">
        <x:is>
          <x:t xml:space="preserve">Нет</x:t>
        </x:is>
      </x:c>
      <x:c r="J87" s="31" t="inlineStr">
        <x:is>
          <x:t xml:space="preserve">Ужесточенные штрафы</x:t>
        </x:is>
      </x:c>
      <x:c r="K87" s="31" t="inlineStr">
        <x:is>
          <x:t xml:space="preserve">Юр. проверка 3</x:t>
        </x:is>
      </x:c>
    </x:row>
    <x:row r="88" ht="18" customHeight="1">
      <x:c r="A88" s="31" t="inlineStr">
        <x:is>
          <x:t xml:space="preserve">ДОГ-1103</x:t>
        </x:is>
      </x:c>
      <x:c r="B88" s="31" t="inlineStr">
        <x:is>
          <x:t xml:space="preserve">СТК-2026-1103</x:t>
        </x:is>
      </x:c>
      <x:c r="C88" s="31" t="inlineStr">
        <x:is>
          <x:t xml:space="preserve">ЗК-1103</x:t>
        </x:is>
      </x:c>
      <x:c r="D88" s="31" t="inlineStr">
        <x:is>
          <x:t xml:space="preserve">КЛ-002</x:t>
        </x:is>
      </x:c>
      <x:c r="E88" s="31" t="n">
        <x:v>46160</x:v>
      </x:c>
      <x:c r="F88" s="31" t="n">
        <x:v>14434404</x:v>
      </x:c>
      <x:c r="G88" s="31" t="str">
        <x:v>С НДС 22%</x:v>
      </x:c>
      <x:c r="H88" s="31" t="inlineStr">
        <x:is>
          <x:t xml:space="preserve">Подписан</x:t>
        </x:is>
      </x:c>
      <x:c r="I88" s="31" t="inlineStr">
        <x:is>
          <x:t xml:space="preserve">Да</x:t>
        </x:is>
      </x:c>
      <x:c r="J88" s="31" t="inlineStr">
        <x:is>
          <x:t xml:space="preserve">Казначейское сопровождение</x:t>
        </x:is>
      </x:c>
      <x:c r="K88" s="31" t="inlineStr">
        <x:is>
          <x:t xml:space="preserve">Юр. проверка 1</x:t>
        </x:is>
      </x:c>
    </x:row>
    <x:row r="89" ht="18" customHeight="1">
      <x:c r="A89" s="31" t="inlineStr">
        <x:is>
          <x:t xml:space="preserve">ДОГ-1104</x:t>
        </x:is>
      </x:c>
      <x:c r="B89" s="31" t="inlineStr">
        <x:is>
          <x:t xml:space="preserve">СТК-2026-1104</x:t>
        </x:is>
      </x:c>
      <x:c r="C89" s="31" t="inlineStr">
        <x:is>
          <x:t xml:space="preserve">ЗК-1104</x:t>
        </x:is>
      </x:c>
      <x:c r="D89" s="31" t="inlineStr">
        <x:is>
          <x:t xml:space="preserve">КЛ-025</x:t>
        </x:is>
      </x:c>
      <x:c r="E89" s="31" t="n">
        <x:v>46043</x:v>
      </x:c>
      <x:c r="F89" s="31" t="n">
        <x:v>2038671</x:v>
      </x:c>
      <x:c r="G89" s="31" t="str">
        <x:v>С НДС 22%</x:v>
      </x:c>
      <x:c r="H89" s="31" t="inlineStr">
        <x:is>
          <x:t xml:space="preserve">Подписан</x:t>
        </x:is>
      </x:c>
      <x:c r="I89" s="31" t="inlineStr">
        <x:is>
          <x:t xml:space="preserve">Нет</x:t>
        </x:is>
      </x:c>
      <x:c r="J89" s="31" t="inlineStr">
        <x:is>
          <x:t xml:space="preserve">Постоплата</x:t>
        </x:is>
      </x:c>
      <x:c r="K89" s="31" t="inlineStr">
        <x:is>
          <x:t xml:space="preserve">Юр. проверка 3</x:t>
        </x:is>
      </x:c>
    </x:row>
    <x:row r="90" ht="18" customHeight="1">
      <x:c r="A90" s="31" t="inlineStr">
        <x:is>
          <x:t xml:space="preserve">ДОГ-1105</x:t>
        </x:is>
      </x:c>
      <x:c r="B90" s="31" t="inlineStr">
        <x:is>
          <x:t xml:space="preserve">СТК-2026-1105</x:t>
        </x:is>
      </x:c>
      <x:c r="C90" s="31" t="inlineStr">
        <x:is>
          <x:t xml:space="preserve">ЗК-1105</x:t>
        </x:is>
      </x:c>
      <x:c r="D90" s="31" t="inlineStr">
        <x:is>
          <x:t xml:space="preserve">КЛ-013</x:t>
        </x:is>
      </x:c>
      <x:c r="E90" s="31" t="n">
        <x:v>46111</x:v>
      </x:c>
      <x:c r="F90" s="31" t="n">
        <x:v>2268482</x:v>
      </x:c>
      <x:c r="G90" s="31" t="str">
        <x:v>С НДС 22%</x:v>
      </x:c>
      <x:c r="H90" s="31" t="inlineStr">
        <x:is>
          <x:t xml:space="preserve">ДС в работе</x:t>
        </x:is>
      </x:c>
      <x:c r="I90" s="31" t="inlineStr">
        <x:is>
          <x:t xml:space="preserve">Нет</x:t>
        </x:is>
      </x:c>
      <x:c r="J90" s="31" t="inlineStr">
        <x:is>
          <x:t xml:space="preserve">Ужесточенные штрафы</x:t>
        </x:is>
      </x:c>
      <x:c r="K90" s="31" t="inlineStr">
        <x:is>
          <x:t xml:space="preserve">Юр. проверка 3</x:t>
        </x:is>
      </x:c>
    </x:row>
    <x:row r="91" ht="18" customHeight="1">
      <x:c r="A91" s="31" t="inlineStr">
        <x:is>
          <x:t xml:space="preserve">ДОГ-1106</x:t>
        </x:is>
      </x:c>
      <x:c r="B91" s="31" t="inlineStr">
        <x:is>
          <x:t xml:space="preserve">СТК-2026-1106</x:t>
        </x:is>
      </x:c>
      <x:c r="C91" s="31" t="inlineStr">
        <x:is>
          <x:t xml:space="preserve">ЗК-1106</x:t>
        </x:is>
      </x:c>
      <x:c r="D91" s="31" t="inlineStr">
        <x:is>
          <x:t xml:space="preserve">КЛ-037</x:t>
        </x:is>
      </x:c>
      <x:c r="E91" s="31" t="n">
        <x:v>46109</x:v>
      </x:c>
      <x:c r="F91" s="31" t="n">
        <x:v>1979851</x:v>
      </x:c>
      <x:c r="G91" s="31" t="str">
        <x:v>С НДС 22%</x:v>
      </x:c>
      <x:c r="H91" s="31" t="inlineStr">
        <x:is>
          <x:t xml:space="preserve">Подписан</x:t>
        </x:is>
      </x:c>
      <x:c r="I91" s="31" t="inlineStr">
        <x:is>
          <x:t xml:space="preserve">Нет</x:t>
        </x:is>
      </x:c>
      <x:c r="J91" s="31" t="inlineStr">
        <x:is>
          <x:t xml:space="preserve">Стандартные</x:t>
        </x:is>
      </x:c>
      <x:c r="K91" s="31" t="inlineStr">
        <x:is>
          <x:t xml:space="preserve">Юр. проверка 2</x:t>
        </x:is>
      </x:c>
    </x:row>
    <x:row r="92" ht="18" customHeight="1">
      <x:c r="A92" s="31" t="inlineStr">
        <x:is>
          <x:t xml:space="preserve">ДОГ-1109</x:t>
        </x:is>
      </x:c>
      <x:c r="B92" s="31" t="inlineStr">
        <x:is>
          <x:t xml:space="preserve">СТК-2026-1109</x:t>
        </x:is>
      </x:c>
      <x:c r="C92" s="31" t="inlineStr">
        <x:is>
          <x:t xml:space="preserve">ЗК-1109</x:t>
        </x:is>
      </x:c>
      <x:c r="D92" s="31" t="inlineStr">
        <x:is>
          <x:t xml:space="preserve">КЛ-017</x:t>
        </x:is>
      </x:c>
      <x:c r="E92" s="31" t="n">
        <x:v>46196</x:v>
      </x:c>
      <x:c r="F92" s="31" t="n">
        <x:v>6417802</x:v>
      </x:c>
      <x:c r="G92" s="31" t="str">
        <x:v>С НДС 22%</x:v>
      </x:c>
      <x:c r="H92" s="31" t="inlineStr">
        <x:is>
          <x:t xml:space="preserve">Подписан</x:t>
        </x:is>
      </x:c>
      <x:c r="I92" s="31" t="inlineStr">
        <x:is>
          <x:t xml:space="preserve">Нет</x:t>
        </x:is>
      </x:c>
      <x:c r="J92" s="31" t="inlineStr">
        <x:is>
          <x:t xml:space="preserve">Стандартные</x:t>
        </x:is>
      </x:c>
      <x:c r="K92" s="31" t="inlineStr">
        <x:is>
          <x:t xml:space="preserve">Юр. проверка 1</x:t>
        </x:is>
      </x:c>
    </x:row>
    <x:row r="93" ht="18" customHeight="1">
      <x:c r="A93" s="31" t="inlineStr">
        <x:is>
          <x:t xml:space="preserve">ДОГ-1110</x:t>
        </x:is>
      </x:c>
      <x:c r="B93" s="31" t="inlineStr">
        <x:is>
          <x:t xml:space="preserve">СТК-2026-1110</x:t>
        </x:is>
      </x:c>
      <x:c r="C93" s="31" t="inlineStr">
        <x:is>
          <x:t xml:space="preserve">ЗК-1110</x:t>
        </x:is>
      </x:c>
      <x:c r="D93" s="31" t="inlineStr">
        <x:is>
          <x:t xml:space="preserve">КЛ-013</x:t>
        </x:is>
      </x:c>
      <x:c r="E93" s="31" t="n">
        <x:v>46180</x:v>
      </x:c>
      <x:c r="F93" s="31" t="n">
        <x:v>7418293</x:v>
      </x:c>
      <x:c r="G93" s="31" t="str">
        <x:v>Без НДС</x:v>
      </x:c>
      <x:c r="H93" s="31" t="inlineStr">
        <x:is>
          <x:t xml:space="preserve">ДС в работе</x:t>
        </x:is>
      </x:c>
      <x:c r="I93" s="31" t="inlineStr">
        <x:is>
          <x:t xml:space="preserve">Нет</x:t>
        </x:is>
      </x:c>
      <x:c r="J93" s="31" t="inlineStr">
        <x:is>
          <x:t xml:space="preserve">Стандартные</x:t>
        </x:is>
      </x:c>
      <x:c r="K93" s="31" t="inlineStr">
        <x:is>
          <x:t xml:space="preserve">Юр. проверка 2</x:t>
        </x:is>
      </x:c>
    </x:row>
    <x:row r="94" ht="18" customHeight="1">
      <x:c r="A94" s="31" t="inlineStr">
        <x:is>
          <x:t xml:space="preserve">ДОГ-1111</x:t>
        </x:is>
      </x:c>
      <x:c r="B94" s="31" t="inlineStr">
        <x:is>
          <x:t xml:space="preserve">СТК-2026-1111</x:t>
        </x:is>
      </x:c>
      <x:c r="C94" s="31" t="inlineStr">
        <x:is>
          <x:t xml:space="preserve">ЗК-1111</x:t>
        </x:is>
      </x:c>
      <x:c r="D94" s="31" t="inlineStr">
        <x:is>
          <x:t xml:space="preserve">КЛ-013</x:t>
        </x:is>
      </x:c>
      <x:c r="E94" s="31" t="n">
        <x:v>46129</x:v>
      </x:c>
      <x:c r="F94" s="31" t="n">
        <x:v>1804220</x:v>
      </x:c>
      <x:c r="G94" s="31" t="str">
        <x:v>С НДС 22%</x:v>
      </x:c>
      <x:c r="H94" s="31" t="inlineStr">
        <x:is>
          <x:t xml:space="preserve">Подписан</x:t>
        </x:is>
      </x:c>
      <x:c r="I94" s="31" t="inlineStr">
        <x:is>
          <x:t xml:space="preserve">Нет</x:t>
        </x:is>
      </x:c>
      <x:c r="J94" s="31" t="inlineStr">
        <x:is>
          <x:t xml:space="preserve">Стандартные</x:t>
        </x:is>
      </x:c>
      <x:c r="K94" s="31" t="inlineStr">
        <x:is>
          <x:t xml:space="preserve">Юр. проверка 1</x:t>
        </x:is>
      </x:c>
    </x:row>
    <x:row r="95" ht="18" customHeight="1">
      <x:c r="A95" s="31" t="inlineStr">
        <x:is>
          <x:t xml:space="preserve">ДОГ-1112</x:t>
        </x:is>
      </x:c>
      <x:c r="B95" s="31" t="inlineStr">
        <x:is>
          <x:t xml:space="preserve">СТК-2026-1112</x:t>
        </x:is>
      </x:c>
      <x:c r="C95" s="31" t="inlineStr">
        <x:is>
          <x:t xml:space="preserve">ЗК-1112</x:t>
        </x:is>
      </x:c>
      <x:c r="D95" s="31" t="inlineStr">
        <x:is>
          <x:t xml:space="preserve">КЛ-045</x:t>
        </x:is>
      </x:c>
      <x:c r="E95" s="31" t="n">
        <x:v>46106</x:v>
      </x:c>
      <x:c r="F95" s="31" t="n">
        <x:v>9861862</x:v>
      </x:c>
      <x:c r="G95" s="31" t="str">
        <x:v>С НДС 22%</x:v>
      </x:c>
      <x:c r="H95" s="31" t="inlineStr">
        <x:is>
          <x:t xml:space="preserve">Подписан</x:t>
        </x:is>
      </x:c>
      <x:c r="I95" s="31" t="inlineStr">
        <x:is>
          <x:t xml:space="preserve">Да</x:t>
        </x:is>
      </x:c>
      <x:c r="J95" s="31" t="inlineStr">
        <x:is>
          <x:t xml:space="preserve">Постоплата</x:t>
        </x:is>
      </x:c>
      <x:c r="K95" s="31" t="inlineStr">
        <x:is>
          <x:t xml:space="preserve">Юр. проверка 3</x:t>
        </x:is>
      </x:c>
    </x:row>
    <x:row r="96" ht="18" customHeight="1">
      <x:c r="A96" s="31" t="inlineStr">
        <x:is>
          <x:t xml:space="preserve">ДОГ-1113</x:t>
        </x:is>
      </x:c>
      <x:c r="B96" s="31" t="inlineStr">
        <x:is>
          <x:t xml:space="preserve">СТК-2026-1113</x:t>
        </x:is>
      </x:c>
      <x:c r="C96" s="31" t="inlineStr">
        <x:is>
          <x:t xml:space="preserve">ЗК-1113</x:t>
        </x:is>
      </x:c>
      <x:c r="D96" s="31" t="inlineStr">
        <x:is>
          <x:t xml:space="preserve">КЛ-004</x:t>
        </x:is>
      </x:c>
      <x:c r="E96" s="31" t="n">
        <x:v>46076</x:v>
      </x:c>
      <x:c r="F96" s="31" t="n">
        <x:v>4704623</x:v>
      </x:c>
      <x:c r="G96" s="31" t="str">
        <x:v>С НДС 22%</x:v>
      </x:c>
      <x:c r="H96" s="31" t="inlineStr">
        <x:is>
          <x:t xml:space="preserve">Подписан</x:t>
        </x:is>
      </x:c>
      <x:c r="I96" s="31" t="inlineStr">
        <x:is>
          <x:t xml:space="preserve">Нет</x:t>
        </x:is>
      </x:c>
      <x:c r="J96" s="31" t="inlineStr">
        <x:is>
          <x:t xml:space="preserve">Стандартные</x:t>
        </x:is>
      </x:c>
      <x:c r="K96" s="31" t="inlineStr">
        <x:is>
          <x:t xml:space="preserve">Юр. проверка 1</x:t>
        </x:is>
      </x:c>
    </x:row>
    <x:row r="97" ht="18" customHeight="1">
      <x:c r="A97" s="31" t="inlineStr">
        <x:is>
          <x:t xml:space="preserve">ДОГ-1114</x:t>
        </x:is>
      </x:c>
      <x:c r="B97" s="31" t="inlineStr">
        <x:is>
          <x:t xml:space="preserve">СТК-2026-1114</x:t>
        </x:is>
      </x:c>
      <x:c r="C97" s="31" t="inlineStr">
        <x:is>
          <x:t xml:space="preserve">ЗК-1114</x:t>
        </x:is>
      </x:c>
      <x:c r="D97" s="31" t="inlineStr">
        <x:is>
          <x:t xml:space="preserve">КЛ-036</x:t>
        </x:is>
      </x:c>
      <x:c r="E97" s="31" t="n">
        <x:v>46105</x:v>
      </x:c>
      <x:c r="F97" s="31" t="n">
        <x:v>4083264</x:v>
      </x:c>
      <x:c r="G97" s="31" t="str">
        <x:v>С НДС 22%</x:v>
      </x:c>
      <x:c r="H97" s="31" t="inlineStr">
        <x:is>
          <x:t xml:space="preserve">Подписан</x:t>
        </x:is>
      </x:c>
      <x:c r="I97" s="31" t="inlineStr">
        <x:is>
          <x:t xml:space="preserve">Нет</x:t>
        </x:is>
      </x:c>
      <x:c r="J97" s="31" t="inlineStr">
        <x:is>
          <x:t xml:space="preserve">Стандартные</x:t>
        </x:is>
      </x:c>
      <x:c r="K97" s="31" t="inlineStr">
        <x:is>
          <x:t xml:space="preserve">Юр. проверка 1</x:t>
        </x:is>
      </x:c>
    </x:row>
    <x:row r="98" ht="18" customHeight="1">
      <x:c r="A98" s="31" t="inlineStr">
        <x:is>
          <x:t xml:space="preserve">ДОГ-1116</x:t>
        </x:is>
      </x:c>
      <x:c r="B98" s="31" t="inlineStr">
        <x:is>
          <x:t xml:space="preserve">СТК-2026-1116</x:t>
        </x:is>
      </x:c>
      <x:c r="C98" s="31" t="inlineStr">
        <x:is>
          <x:t xml:space="preserve">ЗК-1116</x:t>
        </x:is>
      </x:c>
      <x:c r="D98" s="31" t="inlineStr">
        <x:is>
          <x:t xml:space="preserve">КЛ-019</x:t>
        </x:is>
      </x:c>
      <x:c r="E98" s="31" t="n">
        <x:v>46103</x:v>
      </x:c>
      <x:c r="F98" s="31" t="n">
        <x:v>3112143</x:v>
      </x:c>
      <x:c r="G98" s="31" t="str">
        <x:v>С НДС 22%</x:v>
      </x:c>
      <x:c r="H98" s="31" t="inlineStr">
        <x:is>
          <x:t xml:space="preserve">ДС в работе</x:t>
        </x:is>
      </x:c>
      <x:c r="I98" s="31" t="inlineStr">
        <x:is>
          <x:t xml:space="preserve">Нет</x:t>
        </x:is>
      </x:c>
      <x:c r="J98" s="31" t="inlineStr">
        <x:is>
          <x:t xml:space="preserve">Стандартные</x:t>
        </x:is>
      </x:c>
      <x:c r="K98" s="31" t="inlineStr">
        <x:is>
          <x:t xml:space="preserve">Юр. проверка 3</x:t>
        </x:is>
      </x:c>
    </x:row>
    <x:row r="99" ht="18" customHeight="1">
      <x:c r="A99" s="31" t="inlineStr">
        <x:is>
          <x:t xml:space="preserve">ДОГ-1117</x:t>
        </x:is>
      </x:c>
      <x:c r="B99" s="31" t="inlineStr">
        <x:is>
          <x:t xml:space="preserve">СТК-2026-1117</x:t>
        </x:is>
      </x:c>
      <x:c r="C99" s="31" t="inlineStr">
        <x:is>
          <x:t xml:space="preserve">ЗК-1117</x:t>
        </x:is>
      </x:c>
      <x:c r="D99" s="31" t="inlineStr">
        <x:is>
          <x:t xml:space="preserve">КЛ-023</x:t>
        </x:is>
      </x:c>
      <x:c r="E99" s="31" t="n">
        <x:v>46148</x:v>
      </x:c>
      <x:c r="F99" s="31" t="n">
        <x:v>14112917</x:v>
      </x:c>
      <x:c r="G99" s="31" t="str">
        <x:v>С НДС 22%</x:v>
      </x:c>
      <x:c r="H99" s="31" t="inlineStr">
        <x:is>
          <x:t xml:space="preserve">Подписан</x:t>
        </x:is>
      </x:c>
      <x:c r="I99" s="31" t="inlineStr">
        <x:is>
          <x:t xml:space="preserve">Нет</x:t>
        </x:is>
      </x:c>
      <x:c r="J99" s="31" t="inlineStr">
        <x:is>
          <x:t xml:space="preserve">Стандартные</x:t>
        </x:is>
      </x:c>
      <x:c r="K99" s="31" t="inlineStr">
        <x:is>
          <x:t xml:space="preserve">Юр. проверка 3</x:t>
        </x:is>
      </x:c>
    </x:row>
    <x:row r="100" ht="18" customHeight="1">
      <x:c r="A100" s="31" t="inlineStr">
        <x:is>
          <x:t xml:space="preserve">ДОГ-1119</x:t>
        </x:is>
      </x:c>
      <x:c r="B100" s="31" t="inlineStr">
        <x:is>
          <x:t xml:space="preserve">СТК-2026-1119</x:t>
        </x:is>
      </x:c>
      <x:c r="C100" s="31" t="inlineStr">
        <x:is>
          <x:t xml:space="preserve">ЗК-1119</x:t>
        </x:is>
      </x:c>
      <x:c r="D100" s="31" t="inlineStr">
        <x:is>
          <x:t xml:space="preserve">КЛ-041</x:t>
        </x:is>
      </x:c>
      <x:c r="E100" s="31" t="n">
        <x:v>46118</x:v>
      </x:c>
      <x:c r="F100" s="31" t="n">
        <x:v>4627012</x:v>
      </x:c>
      <x:c r="G100" s="31" t="str">
        <x:v>Без НДС</x:v>
      </x:c>
      <x:c r="H100" s="31" t="inlineStr">
        <x:is>
          <x:t xml:space="preserve">Подписан</x:t>
        </x:is>
      </x:c>
      <x:c r="I100" s="31" t="inlineStr">
        <x:is>
          <x:t xml:space="preserve">Нет</x:t>
        </x:is>
      </x:c>
      <x:c r="J100" s="31" t="inlineStr">
        <x:is>
          <x:t xml:space="preserve">Стандартные</x:t>
        </x:is>
      </x:c>
      <x:c r="K100" s="31" t="inlineStr">
        <x:is>
          <x:t xml:space="preserve">Юр. проверка 1</x:t>
        </x:is>
      </x:c>
    </x:row>
    <x:row r="101" ht="18" customHeight="1">
      <x:c r="A101" s="31" t="inlineStr">
        <x:is>
          <x:t xml:space="preserve">ДОГ-1120</x:t>
        </x:is>
      </x:c>
      <x:c r="B101" s="31" t="inlineStr">
        <x:is>
          <x:t xml:space="preserve">СТК-2026-1120</x:t>
        </x:is>
      </x:c>
      <x:c r="C101" s="31" t="inlineStr">
        <x:is>
          <x:t xml:space="preserve">ЗК-1120</x:t>
        </x:is>
      </x:c>
      <x:c r="D101" s="31" t="inlineStr">
        <x:is>
          <x:t xml:space="preserve">КЛ-024</x:t>
        </x:is>
      </x:c>
      <x:c r="E101" s="31" t="n">
        <x:v>46075</x:v>
      </x:c>
      <x:c r="F101" s="31" t="n">
        <x:v>7186409</x:v>
      </x:c>
      <x:c r="G101" s="31" t="str">
        <x:v>Без НДС</x:v>
      </x:c>
      <x:c r="H101" s="31" t="inlineStr">
        <x:is>
          <x:t xml:space="preserve">Подписан</x:t>
        </x:is>
      </x:c>
      <x:c r="I101" s="31" t="inlineStr">
        <x:is>
          <x:t xml:space="preserve">Нет</x:t>
        </x:is>
      </x:c>
      <x:c r="J101" s="31" t="inlineStr">
        <x:is>
          <x:t xml:space="preserve">Стандартные</x:t>
        </x:is>
      </x:c>
      <x:c r="K101" s="31" t="inlineStr">
        <x:is>
          <x:t xml:space="preserve">Юр. проверка 1</x:t>
        </x:is>
      </x:c>
    </x:row>
    <x:row r="102" ht="18" customHeight="1">
      <x:c r="A102" s="31" t="inlineStr">
        <x:is>
          <x:t xml:space="preserve">ДОГ-1121</x:t>
        </x:is>
      </x:c>
      <x:c r="B102" s="31" t="inlineStr">
        <x:is>
          <x:t xml:space="preserve">СТК-2026-1121</x:t>
        </x:is>
      </x:c>
      <x:c r="C102" s="31" t="inlineStr">
        <x:is>
          <x:t xml:space="preserve">ЗК-1121</x:t>
        </x:is>
      </x:c>
      <x:c r="D102" s="31" t="inlineStr">
        <x:is>
          <x:t xml:space="preserve">КЛ-011</x:t>
        </x:is>
      </x:c>
      <x:c r="E102" s="31" t="n">
        <x:v>46175</x:v>
      </x:c>
      <x:c r="F102" s="31" t="n">
        <x:v>2905271</x:v>
      </x:c>
      <x:c r="G102" s="31" t="str">
        <x:v>С НДС 22%</x:v>
      </x:c>
      <x:c r="H102" s="31" t="inlineStr">
        <x:is>
          <x:t xml:space="preserve">На согласовании</x:t>
        </x:is>
      </x:c>
      <x:c r="I102" s="31" t="inlineStr">
        <x:is>
          <x:t xml:space="preserve">Нет</x:t>
        </x:is>
      </x:c>
      <x:c r="J102" s="31" t="inlineStr">
        <x:is>
          <x:t xml:space="preserve">Стандартные</x:t>
        </x:is>
      </x:c>
      <x:c r="K102" s="31" t="inlineStr">
        <x:is>
          <x:t xml:space="preserve">Юр. проверка 1</x:t>
        </x:is>
      </x:c>
    </x:row>
    <x:row r="103" ht="18" customHeight="1">
      <x:c r="A103" s="31" t="inlineStr">
        <x:is>
          <x:t xml:space="preserve">ДОГ-1122</x:t>
        </x:is>
      </x:c>
      <x:c r="B103" s="31" t="inlineStr">
        <x:is>
          <x:t xml:space="preserve">СТК-2026-1122</x:t>
        </x:is>
      </x:c>
      <x:c r="C103" s="31" t="inlineStr">
        <x:is>
          <x:t xml:space="preserve">ЗК-1122</x:t>
        </x:is>
      </x:c>
      <x:c r="D103" s="31" t="inlineStr">
        <x:is>
          <x:t xml:space="preserve">КЛ-012</x:t>
        </x:is>
      </x:c>
      <x:c r="E103" s="31" t="n">
        <x:v>46143</x:v>
      </x:c>
      <x:c r="F103" s="31" t="n">
        <x:v>1111274</x:v>
      </x:c>
      <x:c r="G103" s="31" t="str">
        <x:v>С НДС 22%</x:v>
      </x:c>
      <x:c r="H103" s="31" t="inlineStr">
        <x:is>
          <x:t xml:space="preserve">Подписан</x:t>
        </x:is>
      </x:c>
      <x:c r="I103" s="31" t="inlineStr">
        <x:is>
          <x:t xml:space="preserve">Нет</x:t>
        </x:is>
      </x:c>
      <x:c r="J103" s="31" t="inlineStr">
        <x:is>
          <x:t xml:space="preserve">Постоплата</x:t>
        </x:is>
      </x:c>
      <x:c r="K103" s="31" t="inlineStr">
        <x:is>
          <x:t xml:space="preserve">Юр. проверка 2</x:t>
        </x:is>
      </x:c>
    </x:row>
    <x:row r="104" ht="18" customHeight="1">
      <x:c r="A104" s="31" t="inlineStr">
        <x:is>
          <x:t xml:space="preserve">ДОГ-1123</x:t>
        </x:is>
      </x:c>
      <x:c r="B104" s="31" t="inlineStr">
        <x:is>
          <x:t xml:space="preserve">СТК-2026-1123</x:t>
        </x:is>
      </x:c>
      <x:c r="C104" s="31" t="inlineStr">
        <x:is>
          <x:t xml:space="preserve">ЗК-1123</x:t>
        </x:is>
      </x:c>
      <x:c r="D104" s="31" t="inlineStr">
        <x:is>
          <x:t xml:space="preserve">КЛ-022</x:t>
        </x:is>
      </x:c>
      <x:c r="E104" s="31" t="n">
        <x:v>46142</x:v>
      </x:c>
      <x:c r="F104" s="31" t="n">
        <x:v>7152778</x:v>
      </x:c>
      <x:c r="G104" s="31" t="str">
        <x:v>С НДС 22%</x:v>
      </x:c>
      <x:c r="H104" s="31" t="inlineStr">
        <x:is>
          <x:t xml:space="preserve">Подписан</x:t>
        </x:is>
      </x:c>
      <x:c r="I104" s="31" t="inlineStr">
        <x:is>
          <x:t xml:space="preserve">Да</x:t>
        </x:is>
      </x:c>
      <x:c r="J104" s="31" t="inlineStr">
        <x:is>
          <x:t xml:space="preserve">Стандартные</x:t>
        </x:is>
      </x:c>
      <x:c r="K104" s="31" t="inlineStr">
        <x:is>
          <x:t xml:space="preserve">Юр. проверка 1</x:t>
        </x:is>
      </x:c>
    </x:row>
    <x:row r="105" ht="18" customHeight="1">
      <x:c r="A105" s="31" t="inlineStr">
        <x:is>
          <x:t xml:space="preserve">ДОГ-1124</x:t>
        </x:is>
      </x:c>
      <x:c r="B105" s="31" t="inlineStr">
        <x:is>
          <x:t xml:space="preserve">СТК-2026-1124</x:t>
        </x:is>
      </x:c>
      <x:c r="C105" s="31" t="inlineStr">
        <x:is>
          <x:t xml:space="preserve">ЗК-1124</x:t>
        </x:is>
      </x:c>
      <x:c r="D105" s="31" t="inlineStr">
        <x:is>
          <x:t xml:space="preserve">КЛ-043</x:t>
        </x:is>
      </x:c>
      <x:c r="E105" s="31" t="n">
        <x:v>46045</x:v>
      </x:c>
      <x:c r="F105" s="31" t="n">
        <x:v>1150009</x:v>
      </x:c>
      <x:c r="G105" s="31" t="str">
        <x:v>С НДС 22%</x:v>
      </x:c>
      <x:c r="H105" s="31" t="inlineStr">
        <x:is>
          <x:t xml:space="preserve">Подписан</x:t>
        </x:is>
      </x:c>
      <x:c r="I105" s="31" t="inlineStr">
        <x:is>
          <x:t xml:space="preserve">Нет</x:t>
        </x:is>
      </x:c>
      <x:c r="J105" s="31" t="inlineStr">
        <x:is>
          <x:t xml:space="preserve">Ужесточенные штрафы</x:t>
        </x:is>
      </x:c>
      <x:c r="K105" s="31" t="inlineStr">
        <x:is>
          <x:t xml:space="preserve">Юр. проверка 3</x:t>
        </x:is>
      </x:c>
    </x:row>
    <x:row r="106" ht="18" customHeight="1">
      <x:c r="A106" s="31" t="inlineStr">
        <x:is>
          <x:t xml:space="preserve">ДОГ-1125</x:t>
        </x:is>
      </x:c>
      <x:c r="B106" s="31" t="inlineStr">
        <x:is>
          <x:t xml:space="preserve">СТК-2026-1125</x:t>
        </x:is>
      </x:c>
      <x:c r="C106" s="31" t="inlineStr">
        <x:is>
          <x:t xml:space="preserve">ЗК-1125</x:t>
        </x:is>
      </x:c>
      <x:c r="D106" s="31" t="inlineStr">
        <x:is>
          <x:t xml:space="preserve">КЛ-029</x:t>
        </x:is>
      </x:c>
      <x:c r="E106" s="31" t="n">
        <x:v>46050</x:v>
      </x:c>
      <x:c r="F106" s="31" t="n">
        <x:v>2010557</x:v>
      </x:c>
      <x:c r="G106" s="31" t="str">
        <x:v>С НДС 22%</x:v>
      </x:c>
      <x:c r="H106" s="31" t="inlineStr">
        <x:is>
          <x:t xml:space="preserve">Подписан</x:t>
        </x:is>
      </x:c>
      <x:c r="I106" s="31" t="inlineStr">
        <x:is>
          <x:t xml:space="preserve">Нет</x:t>
        </x:is>
      </x:c>
      <x:c r="J106" s="31" t="inlineStr">
        <x:is>
          <x:t xml:space="preserve">Стандартные</x:t>
        </x:is>
      </x:c>
      <x:c r="K106" s="31" t="inlineStr">
        <x:is>
          <x:t xml:space="preserve">Юр. проверка 2</x:t>
        </x:is>
      </x:c>
    </x:row>
    <x:row r="107" ht="18" customHeight="1">
      <x:c r="A107" s="31" t="inlineStr">
        <x:is>
          <x:t xml:space="preserve">ДОГ-1126</x:t>
        </x:is>
      </x:c>
      <x:c r="B107" s="31" t="inlineStr">
        <x:is>
          <x:t xml:space="preserve">СТК-2026-1126</x:t>
        </x:is>
      </x:c>
      <x:c r="C107" s="31" t="inlineStr">
        <x:is>
          <x:t xml:space="preserve">ЗК-1126</x:t>
        </x:is>
      </x:c>
      <x:c r="D107" s="31" t="inlineStr">
        <x:is>
          <x:t xml:space="preserve">КЛ-026</x:t>
        </x:is>
      </x:c>
      <x:c r="E107" s="31" t="n">
        <x:v>46154</x:v>
      </x:c>
      <x:c r="F107" s="31" t="n">
        <x:v>8055644</x:v>
      </x:c>
      <x:c r="G107" s="31" t="str">
        <x:v>С НДС 22%</x:v>
      </x:c>
      <x:c r="H107" s="31" t="inlineStr">
        <x:is>
          <x:t xml:space="preserve">Подписан</x:t>
        </x:is>
      </x:c>
      <x:c r="I107" s="31" t="inlineStr">
        <x:is>
          <x:t xml:space="preserve">Нет</x:t>
        </x:is>
      </x:c>
      <x:c r="J107" s="31" t="inlineStr">
        <x:is>
          <x:t xml:space="preserve">Стандартные</x:t>
        </x:is>
      </x:c>
      <x:c r="K107" s="31" t="inlineStr">
        <x:is>
          <x:t xml:space="preserve">Юр. проверка 1</x:t>
        </x:is>
      </x:c>
    </x:row>
    <x:row r="108" ht="18" customHeight="1">
      <x:c r="A108" s="31" t="inlineStr">
        <x:is>
          <x:t xml:space="preserve">ДОГ-1128</x:t>
        </x:is>
      </x:c>
      <x:c r="B108" s="31" t="inlineStr">
        <x:is>
          <x:t xml:space="preserve">СТК-2026-1128</x:t>
        </x:is>
      </x:c>
      <x:c r="C108" s="31" t="inlineStr">
        <x:is>
          <x:t xml:space="preserve">ЗК-1128</x:t>
        </x:is>
      </x:c>
      <x:c r="D108" s="31" t="inlineStr">
        <x:is>
          <x:t xml:space="preserve">КЛ-047</x:t>
        </x:is>
      </x:c>
      <x:c r="E108" s="31" t="n">
        <x:v>46107</x:v>
      </x:c>
      <x:c r="F108" s="31" t="n">
        <x:v>9227442</x:v>
      </x:c>
      <x:c r="G108" s="31" t="str">
        <x:v>Без НДС</x:v>
      </x:c>
      <x:c r="H108" s="31" t="inlineStr">
        <x:is>
          <x:t xml:space="preserve">Подписан</x:t>
        </x:is>
      </x:c>
      <x:c r="I108" s="31" t="inlineStr">
        <x:is>
          <x:t xml:space="preserve">Нет</x:t>
        </x:is>
      </x:c>
      <x:c r="J108" s="31" t="inlineStr">
        <x:is>
          <x:t xml:space="preserve">Стандартные</x:t>
        </x:is>
      </x:c>
      <x:c r="K108" s="31" t="inlineStr">
        <x:is>
          <x:t xml:space="preserve">Юр. проверка 2</x:t>
        </x:is>
      </x:c>
    </x:row>
    <x:row r="109" ht="18" customHeight="1">
      <x:c r="A109" s="31" t="inlineStr">
        <x:is>
          <x:t xml:space="preserve">ДОГ-1129</x:t>
        </x:is>
      </x:c>
      <x:c r="B109" s="31" t="inlineStr">
        <x:is>
          <x:t xml:space="preserve">СТК-2026-1129</x:t>
        </x:is>
      </x:c>
      <x:c r="C109" s="31" t="inlineStr">
        <x:is>
          <x:t xml:space="preserve">ЗК-1129</x:t>
        </x:is>
      </x:c>
      <x:c r="D109" s="31" t="inlineStr">
        <x:is>
          <x:t xml:space="preserve">КЛ-033</x:t>
        </x:is>
      </x:c>
      <x:c r="E109" s="31" t="n">
        <x:v>46119</x:v>
      </x:c>
      <x:c r="F109" s="31" t="n">
        <x:v>3342082</x:v>
      </x:c>
      <x:c r="G109" s="31" t="str">
        <x:v>С НДС 22%</x:v>
      </x:c>
      <x:c r="H109" s="31" t="inlineStr">
        <x:is>
          <x:t xml:space="preserve">Подписан</x:t>
        </x:is>
      </x:c>
      <x:c r="I109" s="31" t="inlineStr">
        <x:is>
          <x:t xml:space="preserve">Нет</x:t>
        </x:is>
      </x:c>
      <x:c r="J109" s="31" t="inlineStr">
        <x:is>
          <x:t xml:space="preserve">Стандартные</x:t>
        </x:is>
      </x:c>
      <x:c r="K109" s="31" t="inlineStr">
        <x:is>
          <x:t xml:space="preserve">Юр. проверка 1</x:t>
        </x:is>
      </x:c>
    </x:row>
    <x:row r="110" ht="18" customHeight="1">
      <x:c r="A110" s="31" t="inlineStr">
        <x:is>
          <x:t xml:space="preserve">ДОГ-1130</x:t>
        </x:is>
      </x:c>
      <x:c r="B110" s="31" t="inlineStr">
        <x:is>
          <x:t xml:space="preserve">СТК-2026-1130</x:t>
        </x:is>
      </x:c>
      <x:c r="C110" s="31" t="inlineStr">
        <x:is>
          <x:t xml:space="preserve">ЗК-1130</x:t>
        </x:is>
      </x:c>
      <x:c r="D110" s="31" t="inlineStr">
        <x:is>
          <x:t xml:space="preserve">КЛ-008</x:t>
        </x:is>
      </x:c>
      <x:c r="E110" s="31" t="n">
        <x:v>46163</x:v>
      </x:c>
      <x:c r="F110" s="31" t="n">
        <x:v>3103593</x:v>
      </x:c>
      <x:c r="G110" s="31" t="str">
        <x:v>С НДС 22%</x:v>
      </x:c>
      <x:c r="H110" s="31" t="inlineStr">
        <x:is>
          <x:t xml:space="preserve">Подписан</x:t>
        </x:is>
      </x:c>
      <x:c r="I110" s="31" t="inlineStr">
        <x:is>
          <x:t xml:space="preserve">Нет</x:t>
        </x:is>
      </x:c>
      <x:c r="J110" s="31" t="inlineStr">
        <x:is>
          <x:t xml:space="preserve">Стандартные</x:t>
        </x:is>
      </x:c>
      <x:c r="K110" s="31" t="inlineStr">
        <x:is>
          <x:t xml:space="preserve">Юр. проверка 1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3" customWidth="1"/>
    <x:col min="3" max="3" width="15" customWidth="1"/>
    <x:col min="4" max="4" width="24" customWidth="1"/>
    <x:col min="5" max="5" width="20" customWidth="1"/>
    <x:col min="6" max="6" width="18" customWidth="1"/>
    <x:col min="7" max="7" width="11" customWidth="1"/>
    <x:col min="8" max="8" width="19" customWidth="1"/>
    <x:col min="9" max="9" width="18" customWidth="1"/>
    <x:col min="10" max="10" width="15" customWidth="1"/>
    <x:col min="11" max="11" width="17" customWidth="1"/>
    <x:col min="12" max="12" width="20" customWidth="1"/>
    <x:col min="13" max="13" width="17" customWidth="1"/>
    <x:col min="14" max="14" width="22" customWidth="1"/>
    <x:col min="15" max="15" width="10" customWidth="1"/>
    <x:col min="16" max="16" width="19" customWidth="1"/>
    <x:col min="17" max="17" width="16" customWidth="1"/>
    <x:col min="18" max="18" width="18" customWidth="1"/>
    <x:col min="19" max="19" width="13" customWidth="1"/>
    <x:col min="20" max="20" width="20" customWidth="1"/>
    <x:col min="21" max="21" width="38" customWidth="1"/>
  </x:cols>
  <x:sheetData>
    <x:row r="1" ht="18" customHeight="1">
      <x:c r="A1" s="30" t="inlineStr">
        <x:is>
          <x:t xml:space="preserve">Код заказа</x:t>
        </x:is>
      </x:c>
      <x:c r="B1" s="30" t="inlineStr">
        <x:is>
          <x:t xml:space="preserve">Дата заказа</x:t>
        </x:is>
      </x:c>
      <x:c r="C1" s="30" t="inlineStr">
        <x:is>
          <x:t xml:space="preserve">Код заказчика</x:t>
        </x:is>
      </x:c>
      <x:c r="D1" s="30" t="inlineStr">
        <x:is>
          <x:t xml:space="preserve">Ответственный менеджер</x:t>
        </x:is>
      </x:c>
      <x:c r="E1" s="30" t="inlineStr">
        <x:is>
          <x:t xml:space="preserve">Тип проекта</x:t>
        </x:is>
      </x:c>
      <x:c r="F1" s="30" t="inlineStr">
        <x:is>
          <x:t xml:space="preserve">Статус</x:t>
        </x:is>
      </x:c>
      <x:c r="G1" s="30" t="inlineStr">
        <x:is>
          <x:t xml:space="preserve">Приоритет</x:t>
        </x:is>
      </x:c>
      <x:c r="H1" s="30" t="inlineStr">
        <x:is>
          <x:t xml:space="preserve">Плановая отгрузка</x:t>
        </x:is>
      </x:c>
      <x:c r="I1" s="30" t="inlineStr">
        <x:is>
          <x:t xml:space="preserve">Прогноз отгрузки</x:t>
        </x:is>
      </x:c>
      <x:c r="J1" s="30" t="inlineStr">
        <x:is>
          <x:t xml:space="preserve">Выручка, руб.</x:t>
        </x:is>
      </x:c>
      <x:c r="K1" s="30" t="inlineStr">
        <x:is>
          <x:t xml:space="preserve">Материалы, руб.</x:t>
        </x:is>
      </x:c>
      <x:c r="L1" s="30" t="inlineStr">
        <x:is>
          <x:t xml:space="preserve">Трудозатраты, руб.</x:t>
        </x:is>
      </x:c>
      <x:c r="M1" s="30" t="inlineStr">
        <x:is>
          <x:t xml:space="preserve">Накладные, руб.</x:t>
        </x:is>
      </x:c>
      <x:c r="N1" s="30" t="inlineStr">
        <x:is>
          <x:t xml:space="preserve">Плановая маржа, руб.</x:t>
        </x:is>
      </x:c>
      <x:c r="O1" s="30" t="inlineStr">
        <x:is>
          <x:t xml:space="preserve">Аванс, %</x:t>
        </x:is>
      </x:c>
      <x:c r="P1" s="30" t="inlineStr">
        <x:is>
          <x:t xml:space="preserve">Статус оплаты</x:t>
        </x:is>
      </x:c>
      <x:c r="Q1" s="30" t="inlineStr">
        <x:is>
          <x:t xml:space="preserve">Номер договора</x:t>
        </x:is>
      </x:c>
      <x:c r="R1" s="30" t="inlineStr">
        <x:is>
          <x:t xml:space="preserve">Технический риск</x:t>
        </x:is>
      </x:c>
      <x:c r="S1" s="30" t="inlineStr">
        <x:is>
          <x:t xml:space="preserve">Кредит-блок</x:t>
        </x:is>
      </x:c>
      <x:c r="T1" s="30" t="inlineStr">
        <x:is>
          <x:t xml:space="preserve">Частичная отгрузка</x:t>
        </x:is>
      </x:c>
      <x:c r="U1" s="30" t="inlineStr">
        <x:is>
          <x:t xml:space="preserve">Заметки</x:t>
        </x:is>
      </x:c>
    </x:row>
    <x:row r="2" ht="18" customHeight="1">
      <x:c r="A2" s="31" t="inlineStr">
        <x:is>
          <x:t xml:space="preserve">ЗК-1001</x:t>
        </x:is>
      </x:c>
      <x:c r="B2" s="31" t="n">
        <x:v>46061</x:v>
      </x:c>
      <x:c r="C2" s="31" t="inlineStr">
        <x:is>
          <x:t xml:space="preserve">КЛ-028</x:t>
        </x:is>
      </x:c>
      <x:c r="D2" s="31" t="inlineStr">
        <x:is>
          <x:t xml:space="preserve">СОТР-003</x:t>
        </x:is>
      </x:c>
      <x:c r="E2" s="31" t="inlineStr">
        <x:is>
          <x:t xml:space="preserve">Модернизация</x:t>
        </x:is>
      </x:c>
      <x:c r="F2" s="31" t="inlineStr">
        <x:is>
          <x:t xml:space="preserve">Лид</x:t>
        </x:is>
      </x:c>
      <x:c r="G2" s="31" t="inlineStr">
        <x:is>
          <x:t xml:space="preserve">Средний</x:t>
        </x:is>
      </x:c>
      <x:c r="H2" s="31" t="n">
        <x:v>46143</x:v>
      </x:c>
      <x:c r="I2" s="31" t="n">
        <x:v>46143</x:v>
      </x:c>
      <x:c r="J2" s="31" t="n">
        <x:v>4317516</x:v>
      </x:c>
      <x:c r="K2" s="31" t="n">
        <x:v>1919600</x:v>
      </x:c>
      <x:c r="L2" s="31" t="n">
        <x:v>566838</x:v>
      </x:c>
      <x:c r="M2" s="31" t="n">
        <x:v>272638</x:v>
      </x:c>
      <x:c r="N2" s="31" t="n">
        <x:v>1558440</x:v>
      </x:c>
      <x:c r="O2" s="31" t="n">
        <x:v>30</x:v>
      </x:c>
      <x:c r="P2" s="31" t="inlineStr">
        <x:is>
          <x:t xml:space="preserve">Не выставлен счет</x:t>
        </x:is>
      </x:c>
      <x:c r="Q2" s="31" t="n"/>
      <x:c r="R2" s="31" t="inlineStr">
        <x:is>
          <x:t xml:space="preserve">Низкий</x:t>
        </x:is>
      </x:c>
      <x:c r="S2" s="31" t="inlineStr">
        <x:is>
          <x:t xml:space="preserve">Нет</x:t>
        </x:is>
      </x:c>
      <x:c r="T2" s="31" t="inlineStr">
        <x:is>
          <x:t xml:space="preserve">Нет</x:t>
        </x:is>
      </x:c>
      <x:c r="U2" s="31" t="inlineStr">
        <x:is>
          <x:t xml:space="preserve">Сделка создана из канала прямой запрос</x:t>
        </x:is>
      </x:c>
    </x:row>
    <x:row r="3" ht="18" customHeight="1">
      <x:c r="A3" s="31" t="inlineStr">
        <x:is>
          <x:t xml:space="preserve">ЗК-1002</x:t>
        </x:is>
      </x:c>
      <x:c r="B3" s="31" t="n">
        <x:v>46159</x:v>
      </x:c>
      <x:c r="C3" s="31" t="inlineStr">
        <x:is>
          <x:t xml:space="preserve">КЛ-046</x:t>
        </x:is>
      </x:c>
      <x:c r="D3" s="31" t="inlineStr">
        <x:is>
          <x:t xml:space="preserve">СОТР-005</x:t>
        </x:is>
      </x:c>
      <x:c r="E3" s="31" t="inlineStr">
        <x:is>
          <x:t xml:space="preserve">Новый проект</x:t>
        </x:is>
      </x:c>
      <x:c r="F3" s="31" t="inlineStr">
        <x:is>
          <x:t xml:space="preserve">ОТК</x:t>
        </x:is>
      </x:c>
      <x:c r="G3" s="31" t="inlineStr">
        <x:is>
          <x:t xml:space="preserve">Средний</x:t>
        </x:is>
      </x:c>
      <x:c r="H3" s="31" t="n">
        <x:v>46205</x:v>
      </x:c>
      <x:c r="I3" s="31" t="n">
        <x:v>46208</x:v>
      </x:c>
      <x:c r="J3" s="31" t="n">
        <x:v>1839800</x:v>
      </x:c>
      <x:c r="K3" s="31" t="n">
        <x:v>722288</x:v>
      </x:c>
      <x:c r="L3" s="31" t="n">
        <x:v>189008</x:v>
      </x:c>
      <x:c r="M3" s="31" t="n">
        <x:v>178054</x:v>
      </x:c>
      <x:c r="N3" s="31" t="n">
        <x:v>750450</x:v>
      </x:c>
      <x:c r="O3" s="31" t="n">
        <x:v>30</x:v>
      </x:c>
      <x:c r="P3" s="31" t="inlineStr">
        <x:is>
          <x:t xml:space="preserve">Не выставлен счет</x:t>
        </x:is>
      </x:c>
      <x:c r="Q3" s="31" t="inlineStr">
        <x:is>
          <x:t xml:space="preserve">СТК-2026-1002</x:t>
        </x:is>
      </x:c>
      <x:c r="R3" s="31" t="inlineStr">
        <x:is>
          <x:t xml:space="preserve">Низкий</x:t>
        </x:is>
      </x:c>
      <x:c r="S3" s="31" t="inlineStr">
        <x:is>
          <x:t xml:space="preserve">Нет</x:t>
        </x:is>
      </x:c>
      <x:c r="T3" s="31" t="inlineStr">
        <x:is>
          <x:t xml:space="preserve">Нет</x:t>
        </x:is>
      </x:c>
      <x:c r="U3" s="31" t="inlineStr">
        <x:is>
          <x:t xml:space="preserve">Сделка создана из канала повторная заявка</x:t>
        </x:is>
      </x:c>
    </x:row>
    <x:row r="4" ht="18" customHeight="1">
      <x:c r="A4" s="31" t="inlineStr">
        <x:is>
          <x:t xml:space="preserve">ЗК-1003</x:t>
        </x:is>
      </x:c>
      <x:c r="B4" s="31" t="n">
        <x:v>46191</x:v>
      </x:c>
      <x:c r="C4" s="31" t="inlineStr">
        <x:is>
          <x:t xml:space="preserve">КЛ-001</x:t>
        </x:is>
      </x:c>
      <x:c r="D4" s="31" t="inlineStr">
        <x:is>
          <x:t xml:space="preserve">СОТР-004</x:t>
        </x:is>
      </x:c>
      <x:c r="E4" s="31" t="inlineStr">
        <x:is>
          <x:t xml:space="preserve">Модернизация</x:t>
        </x:is>
      </x:c>
      <x:c r="F4" s="31" t="inlineStr">
        <x:is>
          <x:t xml:space="preserve">Отгружено</x:t>
        </x:is>
      </x:c>
      <x:c r="G4" s="31" t="inlineStr">
        <x:is>
          <x:t xml:space="preserve">Средний</x:t>
        </x:is>
      </x:c>
      <x:c r="H4" s="31" t="n">
        <x:v>46244</x:v>
      </x:c>
      <x:c r="I4" s="31" t="n">
        <x:v>46246</x:v>
      </x:c>
      <x:c r="J4" s="31" t="n">
        <x:v>2732179</x:v>
      </x:c>
      <x:c r="K4" s="31" t="n">
        <x:v>1206053</x:v>
      </x:c>
      <x:c r="L4" s="31" t="n">
        <x:v>363756</x:v>
      </x:c>
      <x:c r="M4" s="31" t="n">
        <x:v>168830</x:v>
      </x:c>
      <x:c r="N4" s="31" t="n">
        <x:v>993540</x:v>
      </x:c>
      <x:c r="O4" s="31" t="n">
        <x:v>70</x:v>
      </x:c>
      <x:c r="P4" s="31" t="inlineStr">
        <x:is>
          <x:t xml:space="preserve">Оплачен</x:t>
        </x:is>
      </x:c>
      <x:c r="Q4" s="31" t="inlineStr">
        <x:is>
          <x:t xml:space="preserve">СТК-2026-1003</x:t>
        </x:is>
      </x:c>
      <x:c r="R4" s="31" t="inlineStr">
        <x:is>
          <x:t xml:space="preserve">Низкий</x:t>
        </x:is>
      </x:c>
      <x:c r="S4" s="31" t="inlineStr">
        <x:is>
          <x:t xml:space="preserve">Нет</x:t>
        </x:is>
      </x:c>
      <x:c r="T4" s="31" t="inlineStr">
        <x:is>
          <x:t xml:space="preserve">Нет</x:t>
        </x:is>
      </x:c>
      <x:c r="U4" s="31" t="inlineStr">
        <x:is>
          <x:t xml:space="preserve">Сделка создана из канала сервис</x:t>
        </x:is>
      </x:c>
    </x:row>
    <x:row r="5" ht="18" customHeight="1">
      <x:c r="A5" s="31" t="inlineStr">
        <x:is>
          <x:t xml:space="preserve">ЗК-1004</x:t>
        </x:is>
      </x:c>
      <x:c r="B5" s="31" t="n">
        <x:v>46131</x:v>
      </x:c>
      <x:c r="C5" s="31" t="inlineStr">
        <x:is>
          <x:t xml:space="preserve">КЛ-044</x:t>
        </x:is>
      </x:c>
      <x:c r="D5" s="31" t="inlineStr">
        <x:is>
          <x:t xml:space="preserve">СОТР-005</x:t>
        </x:is>
      </x:c>
      <x:c r="E5" s="31" t="inlineStr">
        <x:is>
          <x:t xml:space="preserve">Аварийная поставка</x:t>
        </x:is>
      </x:c>
      <x:c r="F5" s="31" t="inlineStr">
        <x:is>
          <x:t xml:space="preserve">В производстве</x:t>
        </x:is>
      </x:c>
      <x:c r="G5" s="31" t="inlineStr">
        <x:is>
          <x:t xml:space="preserve">Низкий</x:t>
        </x:is>
      </x:c>
      <x:c r="H5" s="31" t="n">
        <x:v>46158</x:v>
      </x:c>
      <x:c r="I5" s="31" t="n">
        <x:v>46168</x:v>
      </x:c>
      <x:c r="J5" s="31" t="n">
        <x:v>3809034</x:v>
      </x:c>
      <x:c r="K5" s="31" t="n">
        <x:v>1907027</x:v>
      </x:c>
      <x:c r="L5" s="31" t="n">
        <x:v>487569</x:v>
      </x:c>
      <x:c r="M5" s="31" t="n">
        <x:v>200448</x:v>
      </x:c>
      <x:c r="N5" s="31" t="n">
        <x:v>1213990</x:v>
      </x:c>
      <x:c r="O5" s="31" t="n">
        <x:v>70</x:v>
      </x:c>
      <x:c r="P5" s="31" t="inlineStr">
        <x:is>
          <x:t xml:space="preserve">Не выставлен счет</x:t>
        </x:is>
      </x:c>
      <x:c r="Q5" s="31" t="inlineStr">
        <x:is>
          <x:t xml:space="preserve">СТК-2026-1004</x:t>
        </x:is>
      </x:c>
      <x:c r="R5" s="31" t="inlineStr">
        <x:is>
          <x:t xml:space="preserve">Низкий</x:t>
        </x:is>
      </x:c>
      <x:c r="S5" s="31" t="inlineStr">
        <x:is>
          <x:t xml:space="preserve">Нет</x:t>
        </x:is>
      </x:c>
      <x:c r="T5" s="31" t="inlineStr">
        <x:is>
          <x:t xml:space="preserve">Нет</x:t>
        </x:is>
      </x:c>
      <x:c r="U5" s="31" t="inlineStr">
        <x:is>
          <x:t xml:space="preserve">Сделка создана из канала прямой запрос</x:t>
        </x:is>
      </x:c>
    </x:row>
    <x:row r="6" ht="18" customHeight="1">
      <x:c r="A6" s="31" t="inlineStr">
        <x:is>
          <x:t xml:space="preserve">ЗК-1005</x:t>
        </x:is>
      </x:c>
      <x:c r="B6" s="31" t="n">
        <x:v>46099</x:v>
      </x:c>
      <x:c r="C6" s="31" t="inlineStr">
        <x:is>
          <x:t xml:space="preserve">КЛ-010</x:t>
        </x:is>
      </x:c>
      <x:c r="D6" s="31" t="inlineStr">
        <x:is>
          <x:t xml:space="preserve">СОТР-004</x:t>
        </x:is>
      </x:c>
      <x:c r="E6" s="31" t="inlineStr">
        <x:is>
          <x:t xml:space="preserve">Новый проект</x:t>
        </x:is>
      </x:c>
      <x:c r="F6" s="31" t="inlineStr">
        <x:is>
          <x:t xml:space="preserve">Отгружено</x:t>
        </x:is>
      </x:c>
      <x:c r="G6" s="31" t="inlineStr">
        <x:is>
          <x:t xml:space="preserve">Средний</x:t>
        </x:is>
      </x:c>
      <x:c r="H6" s="31" t="n">
        <x:v>46118</x:v>
      </x:c>
      <x:c r="I6" s="31" t="n">
        <x:v>46115</x:v>
      </x:c>
      <x:c r="J6" s="31" t="n">
        <x:v>7880282</x:v>
      </x:c>
      <x:c r="K6" s="31" t="n">
        <x:v>3033281</x:v>
      </x:c>
      <x:c r="L6" s="31" t="n">
        <x:v>1068334</x:v>
      </x:c>
      <x:c r="M6" s="31" t="n">
        <x:v>468593</x:v>
      </x:c>
      <x:c r="N6" s="31" t="n">
        <x:v>3310074</x:v>
      </x:c>
      <x:c r="O6" s="31" t="n">
        <x:v>50</x:v>
      </x:c>
      <x:c r="P6" s="31" t="inlineStr">
        <x:is>
          <x:t xml:space="preserve">Оплачен</x:t>
        </x:is>
      </x:c>
      <x:c r="Q6" s="31" t="inlineStr">
        <x:is>
          <x:t xml:space="preserve">СТК-2026-1005</x:t>
        </x:is>
      </x:c>
      <x:c r="R6" s="31" t="inlineStr">
        <x:is>
          <x:t xml:space="preserve">Высокий</x:t>
        </x:is>
      </x:c>
      <x:c r="S6" s="31" t="inlineStr">
        <x:is>
          <x:t xml:space="preserve">Нет</x:t>
        </x:is>
      </x:c>
      <x:c r="T6" s="31" t="inlineStr">
        <x:is>
          <x:t xml:space="preserve">Нет</x:t>
        </x:is>
      </x:c>
      <x:c r="U6" s="31" t="inlineStr">
        <x:is>
          <x:t xml:space="preserve">Сделка создана из канала сервис</x:t>
        </x:is>
      </x:c>
    </x:row>
    <x:row r="7" ht="18" customHeight="1">
      <x:c r="A7" s="31" t="inlineStr">
        <x:is>
          <x:t xml:space="preserve">ЗК-1006</x:t>
        </x:is>
      </x:c>
      <x:c r="B7" s="31" t="n">
        <x:v>46059</x:v>
      </x:c>
      <x:c r="C7" s="31" t="inlineStr">
        <x:is>
          <x:t xml:space="preserve">КЛ-032</x:t>
        </x:is>
      </x:c>
      <x:c r="D7" s="31" t="inlineStr">
        <x:is>
          <x:t xml:space="preserve">СОТР-005</x:t>
        </x:is>
      </x:c>
      <x:c r="E7" s="31" t="inlineStr">
        <x:is>
          <x:t xml:space="preserve">Новый проект</x:t>
        </x:is>
      </x:c>
      <x:c r="F7" s="31" t="inlineStr">
        <x:is>
          <x:t xml:space="preserve">КП отправлено</x:t>
        </x:is>
      </x:c>
      <x:c r="G7" s="31" t="inlineStr">
        <x:is>
          <x:t xml:space="preserve">Низкий</x:t>
        </x:is>
      </x:c>
      <x:c r="H7" s="31" t="n">
        <x:v>46090</x:v>
      </x:c>
      <x:c r="I7" s="31" t="n">
        <x:v>46091</x:v>
      </x:c>
      <x:c r="J7" s="31" t="n">
        <x:v>15041337</x:v>
      </x:c>
      <x:c r="K7" s="31" t="n">
        <x:v>6426596</x:v>
      </x:c>
      <x:c r="L7" s="31" t="n">
        <x:v>2029514</x:v>
      </x:c>
      <x:c r="M7" s="31" t="n">
        <x:v>1031612</x:v>
      </x:c>
      <x:c r="N7" s="31" t="n">
        <x:v>5553615</x:v>
      </x:c>
      <x:c r="O7" s="31" t="n">
        <x:v>20</x:v>
      </x:c>
      <x:c r="P7" s="31" t="inlineStr">
        <x:is>
          <x:t xml:space="preserve">Счет выставлен</x:t>
        </x:is>
      </x:c>
      <x:c r="Q7" s="31" t="n"/>
      <x:c r="R7" s="31" t="inlineStr">
        <x:is>
          <x:t xml:space="preserve">Высокий</x:t>
        </x:is>
      </x:c>
      <x:c r="S7" s="31" t="inlineStr">
        <x:is>
          <x:t xml:space="preserve">Нет</x:t>
        </x:is>
      </x:c>
      <x:c r="T7" s="31" t="inlineStr">
        <x:is>
          <x:t xml:space="preserve">Нет</x:t>
        </x:is>
      </x:c>
      <x:c r="U7" s="31" t="inlineStr">
        <x:is>
          <x:t xml:space="preserve">Сделка создана из канала тендер</x:t>
        </x:is>
      </x:c>
    </x:row>
    <x:row r="8" ht="18" customHeight="1">
      <x:c r="A8" s="31" t="inlineStr">
        <x:is>
          <x:t xml:space="preserve">ЗК-1007</x:t>
        </x:is>
      </x:c>
      <x:c r="B8" s="31" t="n">
        <x:v>46136</x:v>
      </x:c>
      <x:c r="C8" s="31" t="inlineStr">
        <x:is>
          <x:t xml:space="preserve">КЛ-039</x:t>
        </x:is>
      </x:c>
      <x:c r="D8" s="31" t="inlineStr">
        <x:is>
          <x:t xml:space="preserve">СОТР-005</x:t>
        </x:is>
      </x:c>
      <x:c r="E8" s="31" t="inlineStr">
        <x:is>
          <x:t xml:space="preserve">Повторный заказ</x:t>
        </x:is>
      </x:c>
      <x:c r="F8" s="31" t="inlineStr">
        <x:is>
          <x:t xml:space="preserve">Готов к отгрузке</x:t>
        </x:is>
      </x:c>
      <x:c r="G8" s="31" t="inlineStr">
        <x:is>
          <x:t xml:space="preserve">Средний</x:t>
        </x:is>
      </x:c>
      <x:c r="H8" s="31" t="n">
        <x:v>46185</x:v>
      </x:c>
      <x:c r="I8" s="31" t="n">
        <x:v>46191</x:v>
      </x:c>
      <x:c r="J8" s="31" t="n">
        <x:v>2699654</x:v>
      </x:c>
      <x:c r="K8" s="31" t="n">
        <x:v>1308189</x:v>
      </x:c>
      <x:c r="L8" s="31" t="n">
        <x:v>323821</x:v>
      </x:c>
      <x:c r="M8" s="31" t="n">
        <x:v>186674</x:v>
      </x:c>
      <x:c r="N8" s="31" t="n">
        <x:v>880970</x:v>
      </x:c>
      <x:c r="O8" s="31" t="n">
        <x:v>70</x:v>
      </x:c>
      <x:c r="P8" s="31" t="inlineStr">
        <x:is>
          <x:t xml:space="preserve">Счет выставлен</x:t>
        </x:is>
      </x:c>
      <x:c r="Q8" s="31" t="inlineStr">
        <x:is>
          <x:t xml:space="preserve">СТК-2026-1007</x:t>
        </x:is>
      </x:c>
      <x:c r="R8" s="31" t="inlineStr">
        <x:is>
          <x:t xml:space="preserve">Высокий</x:t>
        </x:is>
      </x:c>
      <x:c r="S8" s="31" t="inlineStr">
        <x:is>
          <x:t xml:space="preserve">Нет</x:t>
        </x:is>
      </x:c>
      <x:c r="T8" s="31" t="inlineStr">
        <x:is>
          <x:t xml:space="preserve">Нет</x:t>
        </x:is>
      </x:c>
      <x:c r="U8" s="31" t="inlineStr">
        <x:is>
          <x:t xml:space="preserve">Сделка создана из канала сервис</x:t>
        </x:is>
      </x:c>
    </x:row>
    <x:row r="9" ht="18" customHeight="1">
      <x:c r="A9" s="31" t="inlineStr">
        <x:is>
          <x:t xml:space="preserve">ЗК-1008</x:t>
        </x:is>
      </x:c>
      <x:c r="B9" s="31" t="n">
        <x:v>46093</x:v>
      </x:c>
      <x:c r="C9" s="31" t="inlineStr">
        <x:is>
          <x:t xml:space="preserve">КЛ-014</x:t>
        </x:is>
      </x:c>
      <x:c r="D9" s="31" t="inlineStr">
        <x:is>
          <x:t xml:space="preserve">СОТР-005</x:t>
        </x:is>
      </x:c>
      <x:c r="E9" s="31" t="inlineStr">
        <x:is>
          <x:t xml:space="preserve">Модернизация</x:t>
        </x:is>
      </x:c>
      <x:c r="F9" s="31" t="inlineStr">
        <x:is>
          <x:t xml:space="preserve">Отгружено</x:t>
        </x:is>
      </x:c>
      <x:c r="G9" s="31" t="inlineStr">
        <x:is>
          <x:t xml:space="preserve">Низкий</x:t>
        </x:is>
      </x:c>
      <x:c r="H9" s="31" t="n">
        <x:v>46128</x:v>
      </x:c>
      <x:c r="I9" s="31" t="n">
        <x:v>46122</x:v>
      </x:c>
      <x:c r="J9" s="31" t="n">
        <x:v>5775535</x:v>
      </x:c>
      <x:c r="K9" s="31" t="n">
        <x:v>2459713</x:v>
      </x:c>
      <x:c r="L9" s="31" t="n">
        <x:v>783268</x:v>
      </x:c>
      <x:c r="M9" s="31" t="n">
        <x:v>497490</x:v>
      </x:c>
      <x:c r="N9" s="31" t="n">
        <x:v>2035064</x:v>
      </x:c>
      <x:c r="O9" s="31" t="n">
        <x:v>20</x:v>
      </x:c>
      <x:c r="P9" s="31" t="inlineStr">
        <x:is>
          <x:t xml:space="preserve">Счет выставлен</x:t>
        </x:is>
      </x:c>
      <x:c r="Q9" s="31" t="inlineStr">
        <x:is>
          <x:t xml:space="preserve">СТК-2026-1008</x:t>
        </x:is>
      </x:c>
      <x:c r="R9" s="31" t="inlineStr">
        <x:is>
          <x:t xml:space="preserve">Средний</x:t>
        </x:is>
      </x:c>
      <x:c r="S9" s="31" t="inlineStr">
        <x:is>
          <x:t xml:space="preserve">Нет</x:t>
        </x:is>
      </x:c>
      <x:c r="T9" s="31" t="inlineStr">
        <x:is>
          <x:t xml:space="preserve">Нет</x:t>
        </x:is>
      </x:c>
      <x:c r="U9" s="31" t="inlineStr">
        <x:is>
          <x:t xml:space="preserve">Сделка создана из канала прямой запрос</x:t>
        </x:is>
      </x:c>
    </x:row>
    <x:row r="10" ht="18" customHeight="1">
      <x:c r="A10" s="31" t="inlineStr">
        <x:is>
          <x:t xml:space="preserve">ЗК-1009</x:t>
        </x:is>
      </x:c>
      <x:c r="B10" s="31" t="n">
        <x:v>46139</x:v>
      </x:c>
      <x:c r="C10" s="31" t="inlineStr">
        <x:is>
          <x:t xml:space="preserve">КЛ-011</x:t>
        </x:is>
      </x:c>
      <x:c r="D10" s="31" t="inlineStr">
        <x:is>
          <x:t xml:space="preserve">СОТР-003</x:t>
        </x:is>
      </x:c>
      <x:c r="E10" s="31" t="inlineStr">
        <x:is>
          <x:t xml:space="preserve">Новый проект</x:t>
        </x:is>
      </x:c>
      <x:c r="F10" s="31" t="inlineStr">
        <x:is>
          <x:t xml:space="preserve">Договор</x:t>
        </x:is>
      </x:c>
      <x:c r="G10" s="31" t="inlineStr">
        <x:is>
          <x:t xml:space="preserve">Низкий</x:t>
        </x:is>
      </x:c>
      <x:c r="H10" s="31" t="n">
        <x:v>46205</x:v>
      </x:c>
      <x:c r="I10" s="31" t="n">
        <x:v>46207</x:v>
      </x:c>
      <x:c r="J10" s="31" t="n">
        <x:v>7492838</x:v>
      </x:c>
      <x:c r="K10" s="31" t="n">
        <x:v>3062073</x:v>
      </x:c>
      <x:c r="L10" s="31" t="n">
        <x:v>658447</x:v>
      </x:c>
      <x:c r="M10" s="31" t="n">
        <x:v>518771</x:v>
      </x:c>
      <x:c r="N10" s="31" t="n">
        <x:v>3253547</x:v>
      </x:c>
      <x:c r="O10" s="31" t="n">
        <x:v>100</x:v>
      </x:c>
      <x:c r="P10" s="31" t="inlineStr">
        <x:is>
          <x:t xml:space="preserve">Счет выставлен</x:t>
        </x:is>
      </x:c>
      <x:c r="Q10" s="31" t="inlineStr">
        <x:is>
          <x:t xml:space="preserve">СТК-2026-1009</x:t>
        </x:is>
      </x:c>
      <x:c r="R10" s="31" t="inlineStr">
        <x:is>
          <x:t xml:space="preserve">Критичный</x:t>
        </x:is>
      </x:c>
      <x:c r="S10" s="31" t="inlineStr">
        <x:is>
          <x:t xml:space="preserve">Нет</x:t>
        </x:is>
      </x:c>
      <x:c r="T10" s="31" t="inlineStr">
        <x:is>
          <x:t xml:space="preserve">Нет</x:t>
        </x:is>
      </x:c>
      <x:c r="U10" s="31" t="inlineStr">
        <x:is>
          <x:t xml:space="preserve">Сделка создана из канала прямой запрос</x:t>
        </x:is>
      </x:c>
    </x:row>
    <x:row r="11" ht="18" customHeight="1">
      <x:c r="A11" s="31" t="inlineStr">
        <x:is>
          <x:t xml:space="preserve">ЗК-1010</x:t>
        </x:is>
      </x:c>
      <x:c r="B11" s="31" t="n">
        <x:v>46111</x:v>
      </x:c>
      <x:c r="C11" s="31" t="inlineStr">
        <x:is>
          <x:t xml:space="preserve">КЛ-049</x:t>
        </x:is>
      </x:c>
      <x:c r="D11" s="31" t="inlineStr">
        <x:is>
          <x:t xml:space="preserve">СОТР-004</x:t>
        </x:is>
      </x:c>
      <x:c r="E11" s="31" t="inlineStr">
        <x:is>
          <x:t xml:space="preserve">Новый проект</x:t>
        </x:is>
      </x:c>
      <x:c r="F11" s="31" t="inlineStr">
        <x:is>
          <x:t xml:space="preserve">КД</x:t>
        </x:is>
      </x:c>
      <x:c r="G11" s="31" t="inlineStr">
        <x:is>
          <x:t xml:space="preserve">Средний</x:t>
        </x:is>
      </x:c>
      <x:c r="H11" s="31" t="n">
        <x:v>46145</x:v>
      </x:c>
      <x:c r="I11" s="31" t="n">
        <x:v>46148</x:v>
      </x:c>
      <x:c r="J11" s="31" t="n">
        <x:v>2217864</x:v>
      </x:c>
      <x:c r="K11" s="31" t="n">
        <x:v>986111</x:v>
      </x:c>
      <x:c r="L11" s="31" t="n">
        <x:v>173872</x:v>
      </x:c>
      <x:c r="M11" s="31" t="n">
        <x:v>206500</x:v>
      </x:c>
      <x:c r="N11" s="31" t="n">
        <x:v>851381</x:v>
      </x:c>
      <x:c r="O11" s="31" t="n">
        <x:v>30</x:v>
      </x:c>
      <x:c r="P11" s="31" t="inlineStr">
        <x:is>
          <x:t xml:space="preserve">Оплачен</x:t>
        </x:is>
      </x:c>
      <x:c r="Q11" s="31" t="inlineStr">
        <x:is>
          <x:t xml:space="preserve">СТК-2026-1010</x:t>
        </x:is>
      </x:c>
      <x:c r="R11" s="31" t="inlineStr">
        <x:is>
          <x:t xml:space="preserve">Низкий</x:t>
        </x:is>
      </x:c>
      <x:c r="S11" s="31" t="inlineStr">
        <x:is>
          <x:t xml:space="preserve">Нет</x:t>
        </x:is>
      </x:c>
      <x:c r="T11" s="31" t="inlineStr">
        <x:is>
          <x:t xml:space="preserve">Нет</x:t>
        </x:is>
      </x:c>
      <x:c r="U11" s="31" t="inlineStr">
        <x:is>
          <x:t xml:space="preserve">Сделка создана из канала сервис</x:t>
        </x:is>
      </x:c>
    </x:row>
    <x:row r="12" ht="18" customHeight="1">
      <x:c r="A12" s="31" t="inlineStr">
        <x:is>
          <x:t xml:space="preserve">ЗК-1011</x:t>
        </x:is>
      </x:c>
      <x:c r="B12" s="31" t="n">
        <x:v>46072</x:v>
      </x:c>
      <x:c r="C12" s="31" t="inlineStr">
        <x:is>
          <x:t xml:space="preserve">КЛ-033</x:t>
        </x:is>
      </x:c>
      <x:c r="D12" s="31" t="inlineStr">
        <x:is>
          <x:t xml:space="preserve">СОТР-005</x:t>
        </x:is>
      </x:c>
      <x:c r="E12" s="31" t="inlineStr">
        <x:is>
          <x:t xml:space="preserve">Новый проект</x:t>
        </x:is>
      </x:c>
      <x:c r="F12" s="31" t="inlineStr">
        <x:is>
          <x:t xml:space="preserve">В производстве</x:t>
        </x:is>
      </x:c>
      <x:c r="G12" s="31" t="inlineStr">
        <x:is>
          <x:t xml:space="preserve">Высокий</x:t>
        </x:is>
      </x:c>
      <x:c r="H12" s="31" t="n">
        <x:v>46156</x:v>
      </x:c>
      <x:c r="I12" s="31" t="n">
        <x:v>46163</x:v>
      </x:c>
      <x:c r="J12" s="31" t="n">
        <x:v>5180289</x:v>
      </x:c>
      <x:c r="K12" s="31" t="n">
        <x:v>2756074</x:v>
      </x:c>
      <x:c r="L12" s="31" t="n">
        <x:v>595167</x:v>
      </x:c>
      <x:c r="M12" s="31" t="n">
        <x:v>410359</x:v>
      </x:c>
      <x:c r="N12" s="31" t="n">
        <x:v>1418689</x:v>
      </x:c>
      <x:c r="O12" s="31" t="n">
        <x:v>50</x:v>
      </x:c>
      <x:c r="P12" s="31" t="inlineStr">
        <x:is>
          <x:t xml:space="preserve">Частично оплачен</x:t>
        </x:is>
      </x:c>
      <x:c r="Q12" s="31" t="inlineStr">
        <x:is>
          <x:t xml:space="preserve">СТК-2026-1011</x:t>
        </x:is>
      </x:c>
      <x:c r="R12" s="31" t="inlineStr">
        <x:is>
          <x:t xml:space="preserve">Низкий</x:t>
        </x:is>
      </x:c>
      <x:c r="S12" s="31" t="inlineStr">
        <x:is>
          <x:t xml:space="preserve">Нет</x:t>
        </x:is>
      </x:c>
      <x:c r="T12" s="31" t="inlineStr">
        <x:is>
          <x:t xml:space="preserve">Нет</x:t>
        </x:is>
      </x:c>
      <x:c r="U12" s="31" t="inlineStr">
        <x:is>
          <x:t xml:space="preserve">Сделка создана из канала сервис</x:t>
        </x:is>
      </x:c>
    </x:row>
    <x:row r="13" ht="18" customHeight="1">
      <x:c r="A13" s="31" t="inlineStr">
        <x:is>
          <x:t xml:space="preserve">ЗК-1012</x:t>
        </x:is>
      </x:c>
      <x:c r="B13" s="31" t="n">
        <x:v>46072</x:v>
      </x:c>
      <x:c r="C13" s="31" t="inlineStr">
        <x:is>
          <x:t xml:space="preserve">КЛ-005</x:t>
        </x:is>
      </x:c>
      <x:c r="D13" s="31" t="inlineStr">
        <x:is>
          <x:t xml:space="preserve">СОТР-005</x:t>
        </x:is>
      </x:c>
      <x:c r="E13" s="31" t="inlineStr">
        <x:is>
          <x:t xml:space="preserve">Аварийная поставка</x:t>
        </x:is>
      </x:c>
      <x:c r="F13" s="31" t="inlineStr">
        <x:is>
          <x:t xml:space="preserve">Договор</x:t>
        </x:is>
      </x:c>
      <x:c r="G13" s="31" t="inlineStr">
        <x:is>
          <x:t xml:space="preserve">Средний</x:t>
        </x:is>
      </x:c>
      <x:c r="H13" s="31" t="n">
        <x:v>46101</x:v>
      </x:c>
      <x:c r="I13" s="31" t="n">
        <x:v>46103</x:v>
      </x:c>
      <x:c r="J13" s="31" t="n">
        <x:v>15207925</x:v>
      </x:c>
      <x:c r="K13" s="31" t="n">
        <x:v>6089243</x:v>
      </x:c>
      <x:c r="L13" s="31" t="n">
        <x:v>1579230</x:v>
      </x:c>
      <x:c r="M13" s="31" t="n">
        <x:v>1434639</x:v>
      </x:c>
      <x:c r="N13" s="31" t="n">
        <x:v>6104813</x:v>
      </x:c>
      <x:c r="O13" s="31" t="n">
        <x:v>50</x:v>
      </x:c>
      <x:c r="P13" s="31" t="inlineStr">
        <x:is>
          <x:t xml:space="preserve">Просрочка</x:t>
        </x:is>
      </x:c>
      <x:c r="Q13" s="31" t="inlineStr">
        <x:is>
          <x:t xml:space="preserve">СТК-2026-1012</x:t>
        </x:is>
      </x:c>
      <x:c r="R13" s="31" t="inlineStr">
        <x:is>
          <x:t xml:space="preserve">Средний</x:t>
        </x:is>
      </x:c>
      <x:c r="S13" s="31" t="inlineStr">
        <x:is>
          <x:t xml:space="preserve">Нет</x:t>
        </x:is>
      </x:c>
      <x:c r="T13" s="31" t="inlineStr">
        <x:is>
          <x:t xml:space="preserve">Нет</x:t>
        </x:is>
      </x:c>
      <x:c r="U13" s="31" t="inlineStr">
        <x:is>
          <x:t xml:space="preserve">Сделка создана из канала прямой запрос</x:t>
        </x:is>
      </x:c>
    </x:row>
    <x:row r="14" ht="18" customHeight="1">
      <x:c r="A14" s="31" t="inlineStr">
        <x:is>
          <x:t xml:space="preserve">ЗК-1013</x:t>
        </x:is>
      </x:c>
      <x:c r="B14" s="31" t="n">
        <x:v>46058</x:v>
      </x:c>
      <x:c r="C14" s="31" t="inlineStr">
        <x:is>
          <x:t xml:space="preserve">КЛ-006</x:t>
        </x:is>
      </x:c>
      <x:c r="D14" s="31" t="inlineStr">
        <x:is>
          <x:t xml:space="preserve">СОТР-003</x:t>
        </x:is>
      </x:c>
      <x:c r="E14" s="31" t="inlineStr">
        <x:is>
          <x:t xml:space="preserve">Новый проект</x:t>
        </x:is>
      </x:c>
      <x:c r="F14" s="31" t="inlineStr">
        <x:is>
          <x:t xml:space="preserve">Договор</x:t>
        </x:is>
      </x:c>
      <x:c r="G14" s="31" t="inlineStr">
        <x:is>
          <x:t xml:space="preserve">Низкий</x:t>
        </x:is>
      </x:c>
      <x:c r="H14" s="31" t="n">
        <x:v>46126</x:v>
      </x:c>
      <x:c r="I14" s="31" t="n">
        <x:v>46128</x:v>
      </x:c>
      <x:c r="J14" s="31" t="n">
        <x:v>1298504</x:v>
      </x:c>
      <x:c r="K14" s="31" t="n">
        <x:v>640902</x:v>
      </x:c>
      <x:c r="L14" s="31" t="n">
        <x:v>165714</x:v>
      </x:c>
      <x:c r="M14" s="31" t="n">
        <x:v>89871</x:v>
      </x:c>
      <x:c r="N14" s="31" t="n">
        <x:v>402017</x:v>
      </x:c>
      <x:c r="O14" s="31" t="n">
        <x:v>70</x:v>
      </x:c>
      <x:c r="P14" s="31" t="inlineStr">
        <x:is>
          <x:t xml:space="preserve">Счет выставлен</x:t>
        </x:is>
      </x:c>
      <x:c r="Q14" s="31" t="inlineStr">
        <x:is>
          <x:t xml:space="preserve">СТК-2026-1013</x:t>
        </x:is>
      </x:c>
      <x:c r="R14" s="31" t="inlineStr">
        <x:is>
          <x:t xml:space="preserve">Средний</x:t>
        </x:is>
      </x:c>
      <x:c r="S14" s="31" t="inlineStr">
        <x:is>
          <x:t xml:space="preserve">Нет</x:t>
        </x:is>
      </x:c>
      <x:c r="T14" s="31" t="inlineStr">
        <x:is>
          <x:t xml:space="preserve">Нет</x:t>
        </x:is>
      </x:c>
      <x:c r="U14" s="31" t="inlineStr">
        <x:is>
          <x:t xml:space="preserve">Сделка создана из канала сервис</x:t>
        </x:is>
      </x:c>
    </x:row>
    <x:row r="15" ht="18" customHeight="1">
      <x:c r="A15" s="31" t="inlineStr">
        <x:is>
          <x:t xml:space="preserve">ЗК-1014</x:t>
        </x:is>
      </x:c>
      <x:c r="B15" s="31" t="n">
        <x:v>46046</x:v>
      </x:c>
      <x:c r="C15" s="31" t="inlineStr">
        <x:is>
          <x:t xml:space="preserve">КЛ-024</x:t>
        </x:is>
      </x:c>
      <x:c r="D15" s="31" t="inlineStr">
        <x:is>
          <x:t xml:space="preserve">СОТР-004</x:t>
        </x:is>
      </x:c>
      <x:c r="E15" s="31" t="inlineStr">
        <x:is>
          <x:t xml:space="preserve">Повторный заказ</x:t>
        </x:is>
      </x:c>
      <x:c r="F15" s="31" t="inlineStr">
        <x:is>
          <x:t xml:space="preserve">Готов к отгрузке</x:t>
        </x:is>
      </x:c>
      <x:c r="G15" s="31" t="inlineStr">
        <x:is>
          <x:t xml:space="preserve">Срочный</x:t>
        </x:is>
      </x:c>
      <x:c r="H15" s="31" t="n">
        <x:v>46091</x:v>
      </x:c>
      <x:c r="I15" s="31" t="n">
        <x:v>46089</x:v>
      </x:c>
      <x:c r="J15" s="31" t="n">
        <x:v>1382250</x:v>
      </x:c>
      <x:c r="K15" s="31" t="n">
        <x:v>729847</x:v>
      </x:c>
      <x:c r="L15" s="31" t="n">
        <x:v>129033</x:v>
      </x:c>
      <x:c r="M15" s="31" t="n">
        <x:v>137994</x:v>
      </x:c>
      <x:c r="N15" s="31" t="n">
        <x:v>385376</x:v>
      </x:c>
      <x:c r="O15" s="31" t="n">
        <x:v>30</x:v>
      </x:c>
      <x:c r="P15" s="31" t="inlineStr">
        <x:is>
          <x:t xml:space="preserve">Счет выставлен</x:t>
        </x:is>
      </x:c>
      <x:c r="Q15" s="31" t="inlineStr">
        <x:is>
          <x:t xml:space="preserve">СТК-2026-1014</x:t>
        </x:is>
      </x:c>
      <x:c r="R15" s="31" t="inlineStr">
        <x:is>
          <x:t xml:space="preserve">Низкий</x:t>
        </x:is>
      </x:c>
      <x:c r="S15" s="31" t="inlineStr">
        <x:is>
          <x:t xml:space="preserve">Нет</x:t>
        </x:is>
      </x:c>
      <x:c r="T15" s="31" t="inlineStr">
        <x:is>
          <x:t xml:space="preserve">Да</x:t>
        </x:is>
      </x:c>
      <x:c r="U15" s="31" t="inlineStr">
        <x:is>
          <x:t xml:space="preserve">Сделка создана из канала сервис</x:t>
        </x:is>
      </x:c>
    </x:row>
    <x:row r="16" ht="18" customHeight="1">
      <x:c r="A16" s="31" t="inlineStr">
        <x:is>
          <x:t xml:space="preserve">ЗК-1015</x:t>
        </x:is>
      </x:c>
      <x:c r="B16" s="31" t="n">
        <x:v>46118</x:v>
      </x:c>
      <x:c r="C16" s="31" t="inlineStr">
        <x:is>
          <x:t xml:space="preserve">КЛ-049</x:t>
        </x:is>
      </x:c>
      <x:c r="D16" s="31" t="inlineStr">
        <x:is>
          <x:t xml:space="preserve">СОТР-004</x:t>
        </x:is>
      </x:c>
      <x:c r="E16" s="31" t="inlineStr">
        <x:is>
          <x:t xml:space="preserve">Аварийная поставка</x:t>
        </x:is>
      </x:c>
      <x:c r="F16" s="31" t="inlineStr">
        <x:is>
          <x:t xml:space="preserve">Договор</x:t>
        </x:is>
      </x:c>
      <x:c r="G16" s="31" t="inlineStr">
        <x:is>
          <x:t xml:space="preserve">Средний</x:t>
        </x:is>
      </x:c>
      <x:c r="H16" s="31" t="n">
        <x:v>46189</x:v>
      </x:c>
      <x:c r="I16" s="31" t="n">
        <x:v>46191</x:v>
      </x:c>
      <x:c r="J16" s="31" t="n">
        <x:v>4632105</x:v>
      </x:c>
      <x:c r="K16" s="31" t="n">
        <x:v>2482978</x:v>
      </x:c>
      <x:c r="L16" s="31" t="n">
        <x:v>715694</x:v>
      </x:c>
      <x:c r="M16" s="31" t="n">
        <x:v>438059</x:v>
      </x:c>
      <x:c r="N16" s="31" t="n">
        <x:v>995374</x:v>
      </x:c>
      <x:c r="O16" s="31" t="n">
        <x:v>100</x:v>
      </x:c>
      <x:c r="P16" s="31" t="inlineStr">
        <x:is>
          <x:t xml:space="preserve">Счет выставлен</x:t>
        </x:is>
      </x:c>
      <x:c r="Q16" s="31" t="inlineStr">
        <x:is>
          <x:t xml:space="preserve">СТК-2026-1015</x:t>
        </x:is>
      </x:c>
      <x:c r="R16" s="31" t="inlineStr">
        <x:is>
          <x:t xml:space="preserve">Средний</x:t>
        </x:is>
      </x:c>
      <x:c r="S16" s="31" t="inlineStr">
        <x:is>
          <x:t xml:space="preserve">Нет</x:t>
        </x:is>
      </x:c>
      <x:c r="T16" s="31" t="inlineStr">
        <x:is>
          <x:t xml:space="preserve">Нет</x:t>
        </x:is>
      </x:c>
      <x:c r="U16" s="31" t="inlineStr">
        <x:is>
          <x:t xml:space="preserve">Сделка создана из канала тендер</x:t>
        </x:is>
      </x:c>
    </x:row>
    <x:row r="17" ht="18" customHeight="1">
      <x:c r="A17" s="31" t="inlineStr">
        <x:is>
          <x:t xml:space="preserve">ЗК-1016</x:t>
        </x:is>
      </x:c>
      <x:c r="B17" s="31" t="n">
        <x:v>46034</x:v>
      </x:c>
      <x:c r="C17" s="31" t="inlineStr">
        <x:is>
          <x:t xml:space="preserve">КЛ-010</x:t>
        </x:is>
      </x:c>
      <x:c r="D17" s="31" t="inlineStr">
        <x:is>
          <x:t xml:space="preserve">СОТР-004</x:t>
        </x:is>
      </x:c>
      <x:c r="E17" s="31" t="inlineStr">
        <x:is>
          <x:t xml:space="preserve">Новый проект</x:t>
        </x:is>
      </x:c>
      <x:c r="F17" s="31" t="inlineStr">
        <x:is>
          <x:t xml:space="preserve">Отгружено</x:t>
        </x:is>
      </x:c>
      <x:c r="G17" s="31" t="inlineStr">
        <x:is>
          <x:t xml:space="preserve">Срочный</x:t>
        </x:is>
      </x:c>
      <x:c r="H17" s="31" t="n">
        <x:v>46115</x:v>
      </x:c>
      <x:c r="I17" s="31" t="n">
        <x:v>46115</x:v>
      </x:c>
      <x:c r="J17" s="31" t="n">
        <x:v>5411050</x:v>
      </x:c>
      <x:c r="K17" s="31" t="n">
        <x:v>2689983</x:v>
      </x:c>
      <x:c r="L17" s="31" t="n">
        <x:v>755894</x:v>
      </x:c>
      <x:c r="M17" s="31" t="n">
        <x:v>465657</x:v>
      </x:c>
      <x:c r="N17" s="31" t="n">
        <x:v>1499516</x:v>
      </x:c>
      <x:c r="O17" s="31" t="n">
        <x:v>50</x:v>
      </x:c>
      <x:c r="P17" s="31" t="inlineStr">
        <x:is>
          <x:t xml:space="preserve">Оплачен</x:t>
        </x:is>
      </x:c>
      <x:c r="Q17" s="31" t="inlineStr">
        <x:is>
          <x:t xml:space="preserve">СТК-2026-1016</x:t>
        </x:is>
      </x:c>
      <x:c r="R17" s="31" t="inlineStr">
        <x:is>
          <x:t xml:space="preserve">Высокий</x:t>
        </x:is>
      </x:c>
      <x:c r="S17" s="31" t="inlineStr">
        <x:is>
          <x:t xml:space="preserve">Нет</x:t>
        </x:is>
      </x:c>
      <x:c r="T17" s="31" t="inlineStr">
        <x:is>
          <x:t xml:space="preserve">Нет</x:t>
        </x:is>
      </x:c>
      <x:c r="U17" s="31" t="inlineStr">
        <x:is>
          <x:t xml:space="preserve">Сделка создана из канала сервис</x:t>
        </x:is>
      </x:c>
    </x:row>
    <x:row r="18" ht="18" customHeight="1">
      <x:c r="A18" s="31" t="inlineStr">
        <x:is>
          <x:t xml:space="preserve">ЗК-1017</x:t>
        </x:is>
      </x:c>
      <x:c r="B18" s="31" t="n">
        <x:v>46079</x:v>
      </x:c>
      <x:c r="C18" s="31" t="inlineStr">
        <x:is>
          <x:t xml:space="preserve">КЛ-044</x:t>
        </x:is>
      </x:c>
      <x:c r="D18" s="31" t="inlineStr">
        <x:is>
          <x:t xml:space="preserve">СОТР-005</x:t>
        </x:is>
      </x:c>
      <x:c r="E18" s="31" t="inlineStr">
        <x:is>
          <x:t xml:space="preserve">Сервисный комплект</x:t>
        </x:is>
      </x:c>
      <x:c r="F18" s="31" t="inlineStr">
        <x:is>
          <x:t xml:space="preserve">В производстве</x:t>
        </x:is>
      </x:c>
      <x:c r="G18" s="31" t="inlineStr">
        <x:is>
          <x:t xml:space="preserve">Низкий</x:t>
        </x:is>
      </x:c>
      <x:c r="H18" s="31" t="n">
        <x:v>46143</x:v>
      </x:c>
      <x:c r="I18" s="31" t="n">
        <x:v>46140</x:v>
      </x:c>
      <x:c r="J18" s="31" t="n">
        <x:v>20969482</x:v>
      </x:c>
      <x:c r="K18" s="31" t="n">
        <x:v>9831294</x:v>
      </x:c>
      <x:c r="L18" s="31" t="n">
        <x:v>2642356</x:v>
      </x:c>
      <x:c r="M18" s="31" t="n">
        <x:v>1756073</x:v>
      </x:c>
      <x:c r="N18" s="31" t="n">
        <x:v>6739759</x:v>
      </x:c>
      <x:c r="O18" s="31" t="n">
        <x:v>50</x:v>
      </x:c>
      <x:c r="P18" s="31" t="inlineStr">
        <x:is>
          <x:t xml:space="preserve">Не выставлен счет</x:t>
        </x:is>
      </x:c>
      <x:c r="Q18" s="31" t="inlineStr">
        <x:is>
          <x:t xml:space="preserve">СТК-2026-1017</x:t>
        </x:is>
      </x:c>
      <x:c r="R18" s="31" t="inlineStr">
        <x:is>
          <x:t xml:space="preserve">Средний</x:t>
        </x:is>
      </x:c>
      <x:c r="S18" s="31" t="inlineStr">
        <x:is>
          <x:t xml:space="preserve">Нет</x:t>
        </x:is>
      </x:c>
      <x:c r="T18" s="31" t="inlineStr">
        <x:is>
          <x:t xml:space="preserve">Нет</x:t>
        </x:is>
      </x:c>
      <x:c r="U18" s="31" t="inlineStr">
        <x:is>
          <x:t xml:space="preserve">Сделка создана из канала сервис</x:t>
        </x:is>
      </x:c>
    </x:row>
    <x:row r="19" ht="18" customHeight="1">
      <x:c r="A19" s="31" t="inlineStr">
        <x:is>
          <x:t xml:space="preserve">ЗК-1018</x:t>
        </x:is>
      </x:c>
      <x:c r="B19" s="31" t="n">
        <x:v>46144</x:v>
      </x:c>
      <x:c r="C19" s="31" t="inlineStr">
        <x:is>
          <x:t xml:space="preserve">КЛ-033</x:t>
        </x:is>
      </x:c>
      <x:c r="D19" s="31" t="inlineStr">
        <x:is>
          <x:t xml:space="preserve">СОТР-005</x:t>
        </x:is>
      </x:c>
      <x:c r="E19" s="31" t="inlineStr">
        <x:is>
          <x:t xml:space="preserve">Повторный заказ</x:t>
        </x:is>
      </x:c>
      <x:c r="F19" s="31" t="inlineStr">
        <x:is>
          <x:t xml:space="preserve">В производстве</x:t>
        </x:is>
      </x:c>
      <x:c r="G19" s="31" t="inlineStr">
        <x:is>
          <x:t xml:space="preserve">Низкий</x:t>
        </x:is>
      </x:c>
      <x:c r="H19" s="31" t="n">
        <x:v>46199</x:v>
      </x:c>
      <x:c r="I19" s="31" t="n">
        <x:v>46209</x:v>
      </x:c>
      <x:c r="J19" s="31" t="n">
        <x:v>4176732</x:v>
      </x:c>
      <x:c r="K19" s="31" t="n">
        <x:v>1786135</x:v>
      </x:c>
      <x:c r="L19" s="31" t="n">
        <x:v>460957</x:v>
      </x:c>
      <x:c r="M19" s="31" t="n">
        <x:v>400831</x:v>
      </x:c>
      <x:c r="N19" s="31" t="n">
        <x:v>1528809</x:v>
      </x:c>
      <x:c r="O19" s="31" t="n">
        <x:v>50</x:v>
      </x:c>
      <x:c r="P19" s="31" t="inlineStr">
        <x:is>
          <x:t xml:space="preserve">Не выставлен счет</x:t>
        </x:is>
      </x:c>
      <x:c r="Q19" s="31" t="inlineStr">
        <x:is>
          <x:t xml:space="preserve">СТК-2026-1018</x:t>
        </x:is>
      </x:c>
      <x:c r="R19" s="31" t="inlineStr">
        <x:is>
          <x:t xml:space="preserve">Высокий</x:t>
        </x:is>
      </x:c>
      <x:c r="S19" s="31" t="inlineStr">
        <x:is>
          <x:t xml:space="preserve">Нет</x:t>
        </x:is>
      </x:c>
      <x:c r="T19" s="31" t="inlineStr">
        <x:is>
          <x:t xml:space="preserve">Нет</x:t>
        </x:is>
      </x:c>
      <x:c r="U19" s="31" t="inlineStr">
        <x:is>
          <x:t xml:space="preserve">Сделка создана из канала сервис</x:t>
        </x:is>
      </x:c>
    </x:row>
    <x:row r="20" ht="18" customHeight="1">
      <x:c r="A20" s="31" t="inlineStr">
        <x:is>
          <x:t xml:space="preserve">ЗК-1019</x:t>
        </x:is>
      </x:c>
      <x:c r="B20" s="31" t="n">
        <x:v>46163</x:v>
      </x:c>
      <x:c r="C20" s="31" t="inlineStr">
        <x:is>
          <x:t xml:space="preserve">КЛ-011</x:t>
        </x:is>
      </x:c>
      <x:c r="D20" s="31" t="inlineStr">
        <x:is>
          <x:t xml:space="preserve">СОТР-003</x:t>
        </x:is>
      </x:c>
      <x:c r="E20" s="31" t="inlineStr">
        <x:is>
          <x:t xml:space="preserve">Сервисный комплект</x:t>
        </x:is>
      </x:c>
      <x:c r="F20" s="31" t="inlineStr">
        <x:is>
          <x:t xml:space="preserve">В производстве</x:t>
        </x:is>
      </x:c>
      <x:c r="G20" s="31" t="inlineStr">
        <x:is>
          <x:t xml:space="preserve">Низкий</x:t>
        </x:is>
      </x:c>
      <x:c r="H20" s="31" t="n">
        <x:v>46197</x:v>
      </x:c>
      <x:c r="I20" s="31" t="n">
        <x:v>46197</x:v>
      </x:c>
      <x:c r="J20" s="31" t="n">
        <x:v>1093208</x:v>
      </x:c>
      <x:c r="K20" s="31" t="n">
        <x:v>472297</x:v>
      </x:c>
      <x:c r="L20" s="31" t="n">
        <x:v>172198</x:v>
      </x:c>
      <x:c r="M20" s="31" t="n">
        <x:v>92166</x:v>
      </x:c>
      <x:c r="N20" s="31" t="n">
        <x:v>356547</x:v>
      </x:c>
      <x:c r="O20" s="31" t="n">
        <x:v>40</x:v>
      </x:c>
      <x:c r="P20" s="31" t="inlineStr">
        <x:is>
          <x:t xml:space="preserve">Не выставлен счет</x:t>
        </x:is>
      </x:c>
      <x:c r="Q20" s="31" t="inlineStr">
        <x:is>
          <x:t xml:space="preserve">СТК-2026-1019</x:t>
        </x:is>
      </x:c>
      <x:c r="R20" s="31" t="inlineStr">
        <x:is>
          <x:t xml:space="preserve">Низкий</x:t>
        </x:is>
      </x:c>
      <x:c r="S20" s="31" t="inlineStr">
        <x:is>
          <x:t xml:space="preserve">Нет</x:t>
        </x:is>
      </x:c>
      <x:c r="T20" s="31" t="inlineStr">
        <x:is>
          <x:t xml:space="preserve">Да</x:t>
        </x:is>
      </x:c>
      <x:c r="U20" s="31" t="inlineStr">
        <x:is>
          <x:t xml:space="preserve">Сделка создана из канала сервис</x:t>
        </x:is>
      </x:c>
    </x:row>
    <x:row r="21" ht="18" customHeight="1">
      <x:c r="A21" s="31" t="inlineStr">
        <x:is>
          <x:t xml:space="preserve">ЗК-1020</x:t>
        </x:is>
      </x:c>
      <x:c r="B21" s="31" t="n">
        <x:v>46147</x:v>
      </x:c>
      <x:c r="C21" s="31" t="inlineStr">
        <x:is>
          <x:t xml:space="preserve">КЛ-041</x:t>
        </x:is>
      </x:c>
      <x:c r="D21" s="31" t="inlineStr">
        <x:is>
          <x:t xml:space="preserve">СОТР-005</x:t>
        </x:is>
      </x:c>
      <x:c r="E21" s="31" t="inlineStr">
        <x:is>
          <x:t xml:space="preserve">Сервисный комплект</x:t>
        </x:is>
      </x:c>
      <x:c r="F21" s="31" t="inlineStr">
        <x:is>
          <x:t xml:space="preserve">В производстве</x:t>
        </x:is>
      </x:c>
      <x:c r="G21" s="31" t="inlineStr">
        <x:is>
          <x:t xml:space="preserve">Средний</x:t>
        </x:is>
      </x:c>
      <x:c r="H21" s="31" t="n">
        <x:v>46195</x:v>
      </x:c>
      <x:c r="I21" s="31" t="n">
        <x:v>46199</x:v>
      </x:c>
      <x:c r="J21" s="31" t="n">
        <x:v>784552</x:v>
      </x:c>
      <x:c r="K21" s="31" t="n">
        <x:v>274601</x:v>
      </x:c>
      <x:c r="L21" s="31" t="n">
        <x:v>87338</x:v>
      </x:c>
      <x:c r="M21" s="31" t="n">
        <x:v>67278</x:v>
      </x:c>
      <x:c r="N21" s="31" t="n">
        <x:v>355335</x:v>
      </x:c>
      <x:c r="O21" s="31" t="n">
        <x:v>50</x:v>
      </x:c>
      <x:c r="P21" s="31" t="inlineStr">
        <x:is>
          <x:t xml:space="preserve">Оплачен</x:t>
        </x:is>
      </x:c>
      <x:c r="Q21" s="31" t="inlineStr">
        <x:is>
          <x:t xml:space="preserve">СТК-2026-1020</x:t>
        </x:is>
      </x:c>
      <x:c r="R21" s="31" t="inlineStr">
        <x:is>
          <x:t xml:space="preserve">Средний</x:t>
        </x:is>
      </x:c>
      <x:c r="S21" s="31" t="inlineStr">
        <x:is>
          <x:t xml:space="preserve">Нет</x:t>
        </x:is>
      </x:c>
      <x:c r="T21" s="31" t="inlineStr">
        <x:is>
          <x:t xml:space="preserve">Нет</x:t>
        </x:is>
      </x:c>
      <x:c r="U21" s="31" t="inlineStr">
        <x:is>
          <x:t xml:space="preserve">Сделка создана из канала повторная заявка</x:t>
        </x:is>
      </x:c>
    </x:row>
    <x:row r="22" ht="18" customHeight="1">
      <x:c r="A22" s="31" t="inlineStr">
        <x:is>
          <x:t xml:space="preserve">ЗК-1021</x:t>
        </x:is>
      </x:c>
      <x:c r="B22" s="31" t="n">
        <x:v>46098</x:v>
      </x:c>
      <x:c r="C22" s="31" t="inlineStr">
        <x:is>
          <x:t xml:space="preserve">КЛ-012</x:t>
        </x:is>
      </x:c>
      <x:c r="D22" s="31" t="inlineStr">
        <x:is>
          <x:t xml:space="preserve">СОТР-004</x:t>
        </x:is>
      </x:c>
      <x:c r="E22" s="31" t="inlineStr">
        <x:is>
          <x:t xml:space="preserve">Модернизация</x:t>
        </x:is>
      </x:c>
      <x:c r="F22" s="31" t="inlineStr">
        <x:is>
          <x:t xml:space="preserve">КП отправлено</x:t>
        </x:is>
      </x:c>
      <x:c r="G22" s="31" t="inlineStr">
        <x:is>
          <x:t xml:space="preserve">Средний</x:t>
        </x:is>
      </x:c>
      <x:c r="H22" s="31" t="n">
        <x:v>46162</x:v>
      </x:c>
      <x:c r="I22" s="31" t="n">
        <x:v>46163</x:v>
      </x:c>
      <x:c r="J22" s="31" t="n">
        <x:v>19457349</x:v>
      </x:c>
      <x:c r="K22" s="31" t="n">
        <x:v>7755756</x:v>
      </x:c>
      <x:c r="L22" s="31" t="n">
        <x:v>1692514</x:v>
      </x:c>
      <x:c r="M22" s="31" t="n">
        <x:v>1970826</x:v>
      </x:c>
      <x:c r="N22" s="31" t="n">
        <x:v>8038253</x:v>
      </x:c>
      <x:c r="O22" s="31" t="n">
        <x:v>50</x:v>
      </x:c>
      <x:c r="P22" s="31" t="inlineStr">
        <x:is>
          <x:t xml:space="preserve">Счет выставлен</x:t>
        </x:is>
      </x:c>
      <x:c r="Q22" s="31" t="n"/>
      <x:c r="R22" s="31" t="inlineStr">
        <x:is>
          <x:t xml:space="preserve">Высокий</x:t>
        </x:is>
      </x:c>
      <x:c r="S22" s="31" t="inlineStr">
        <x:is>
          <x:t xml:space="preserve">Нет</x:t>
        </x:is>
      </x:c>
      <x:c r="T22" s="31" t="inlineStr">
        <x:is>
          <x:t xml:space="preserve">Да</x:t>
        </x:is>
      </x:c>
      <x:c r="U22" s="31" t="inlineStr">
        <x:is>
          <x:t xml:space="preserve">Сделка создана из канала сервис</x:t>
        </x:is>
      </x:c>
    </x:row>
    <x:row r="23" ht="18" customHeight="1">
      <x:c r="A23" s="31" t="inlineStr">
        <x:is>
          <x:t xml:space="preserve">ЗК-1022</x:t>
        </x:is>
      </x:c>
      <x:c r="B23" s="31" t="n">
        <x:v>46120</x:v>
      </x:c>
      <x:c r="C23" s="31" t="inlineStr">
        <x:is>
          <x:t xml:space="preserve">КЛ-046</x:t>
        </x:is>
      </x:c>
      <x:c r="D23" s="31" t="inlineStr">
        <x:is>
          <x:t xml:space="preserve">СОТР-005</x:t>
        </x:is>
      </x:c>
      <x:c r="E23" s="31" t="inlineStr">
        <x:is>
          <x:t xml:space="preserve">Новый проект</x:t>
        </x:is>
      </x:c>
      <x:c r="F23" s="31" t="inlineStr">
        <x:is>
          <x:t xml:space="preserve">В производстве</x:t>
        </x:is>
      </x:c>
      <x:c r="G23" s="31" t="inlineStr">
        <x:is>
          <x:t xml:space="preserve">Средний</x:t>
        </x:is>
      </x:c>
      <x:c r="H23" s="31" t="n">
        <x:v>46201</x:v>
      </x:c>
      <x:c r="I23" s="31" t="n">
        <x:v>46211</x:v>
      </x:c>
      <x:c r="J23" s="31" t="n">
        <x:v>2066484</x:v>
      </x:c>
      <x:c r="K23" s="31" t="n">
        <x:v>980713</x:v>
      </x:c>
      <x:c r="L23" s="31" t="n">
        <x:v>187147</x:v>
      </x:c>
      <x:c r="M23" s="31" t="n">
        <x:v>136405</x:v>
      </x:c>
      <x:c r="N23" s="31" t="n">
        <x:v>762219</x:v>
      </x:c>
      <x:c r="O23" s="31" t="n">
        <x:v>100</x:v>
      </x:c>
      <x:c r="P23" s="31" t="inlineStr">
        <x:is>
          <x:t xml:space="preserve">Частично оплачен</x:t>
        </x:is>
      </x:c>
      <x:c r="Q23" s="31" t="inlineStr">
        <x:is>
          <x:t xml:space="preserve">СТК-2026-1022</x:t>
        </x:is>
      </x:c>
      <x:c r="R23" s="31" t="inlineStr">
        <x:is>
          <x:t xml:space="preserve">Низкий</x:t>
        </x:is>
      </x:c>
      <x:c r="S23" s="31" t="inlineStr">
        <x:is>
          <x:t xml:space="preserve">Нет</x:t>
        </x:is>
      </x:c>
      <x:c r="T23" s="31" t="inlineStr">
        <x:is>
          <x:t xml:space="preserve">Нет</x:t>
        </x:is>
      </x:c>
      <x:c r="U23" s="31" t="inlineStr">
        <x:is>
          <x:t xml:space="preserve">Сделка создана из канала повторная заявка</x:t>
        </x:is>
      </x:c>
    </x:row>
    <x:row r="24" ht="18" customHeight="1">
      <x:c r="A24" s="31" t="inlineStr">
        <x:is>
          <x:t xml:space="preserve">ЗК-1023</x:t>
        </x:is>
      </x:c>
      <x:c r="B24" s="31" t="n">
        <x:v>46181</x:v>
      </x:c>
      <x:c r="C24" s="31" t="inlineStr">
        <x:is>
          <x:t xml:space="preserve">КЛ-027</x:t>
        </x:is>
      </x:c>
      <x:c r="D24" s="31" t="inlineStr">
        <x:is>
          <x:t xml:space="preserve">СОТР-003</x:t>
        </x:is>
      </x:c>
      <x:c r="E24" s="31" t="inlineStr">
        <x:is>
          <x:t xml:space="preserve">Новый проект</x:t>
        </x:is>
      </x:c>
      <x:c r="F24" s="31" t="inlineStr">
        <x:is>
          <x:t xml:space="preserve">Договор</x:t>
        </x:is>
      </x:c>
      <x:c r="G24" s="31" t="inlineStr">
        <x:is>
          <x:t xml:space="preserve">Высокий</x:t>
        </x:is>
      </x:c>
      <x:c r="H24" s="31" t="n">
        <x:v>46266</x:v>
      </x:c>
      <x:c r="I24" s="31" t="n">
        <x:v>46268</x:v>
      </x:c>
      <x:c r="J24" s="31" t="n">
        <x:v>6567357</x:v>
      </x:c>
      <x:c r="K24" s="31" t="n">
        <x:v>2728941</x:v>
      </x:c>
      <x:c r="L24" s="31" t="n">
        <x:v>672318</x:v>
      </x:c>
      <x:c r="M24" s="31" t="n">
        <x:v>476304</x:v>
      </x:c>
      <x:c r="N24" s="31" t="n">
        <x:v>2689794</x:v>
      </x:c>
      <x:c r="O24" s="31" t="n">
        <x:v>30</x:v>
      </x:c>
      <x:c r="P24" s="31" t="inlineStr">
        <x:is>
          <x:t xml:space="preserve">Счет выставлен</x:t>
        </x:is>
      </x:c>
      <x:c r="Q24" s="31" t="inlineStr">
        <x:is>
          <x:t xml:space="preserve">СТК-2026-1023</x:t>
        </x:is>
      </x:c>
      <x:c r="R24" s="31" t="inlineStr">
        <x:is>
          <x:t xml:space="preserve">Средний</x:t>
        </x:is>
      </x:c>
      <x:c r="S24" s="31" t="inlineStr">
        <x:is>
          <x:t xml:space="preserve">Нет</x:t>
        </x:is>
      </x:c>
      <x:c r="T24" s="31" t="inlineStr">
        <x:is>
          <x:t xml:space="preserve">Да</x:t>
        </x:is>
      </x:c>
      <x:c r="U24" s="31" t="inlineStr">
        <x:is>
          <x:t xml:space="preserve">Сделка создана из канала повторная заявка</x:t>
        </x:is>
      </x:c>
    </x:row>
    <x:row r="25" ht="18" customHeight="1">
      <x:c r="A25" s="31" t="inlineStr">
        <x:is>
          <x:t xml:space="preserve">ЗК-1024</x:t>
        </x:is>
      </x:c>
      <x:c r="B25" s="31" t="n">
        <x:v>46101</x:v>
      </x:c>
      <x:c r="C25" s="31" t="inlineStr">
        <x:is>
          <x:t xml:space="preserve">КЛ-027</x:t>
        </x:is>
      </x:c>
      <x:c r="D25" s="31" t="inlineStr">
        <x:is>
          <x:t xml:space="preserve">СОТР-003</x:t>
        </x:is>
      </x:c>
      <x:c r="E25" s="31" t="inlineStr">
        <x:is>
          <x:t xml:space="preserve">Новый проект</x:t>
        </x:is>
      </x:c>
      <x:c r="F25" s="31" t="inlineStr">
        <x:is>
          <x:t xml:space="preserve">КП отправлено</x:t>
        </x:is>
      </x:c>
      <x:c r="G25" s="31" t="inlineStr">
        <x:is>
          <x:t xml:space="preserve">Средний</x:t>
        </x:is>
      </x:c>
      <x:c r="H25" s="31" t="n">
        <x:v>46160</x:v>
      </x:c>
      <x:c r="I25" s="31" t="n">
        <x:v>46161</x:v>
      </x:c>
      <x:c r="J25" s="31" t="n">
        <x:v>10021534</x:v>
      </x:c>
      <x:c r="K25" s="31" t="n">
        <x:v>4310017</x:v>
      </x:c>
      <x:c r="L25" s="31" t="n">
        <x:v>1227740</x:v>
      </x:c>
      <x:c r="M25" s="31" t="n">
        <x:v>733015</x:v>
      </x:c>
      <x:c r="N25" s="31" t="n">
        <x:v>3750762</x:v>
      </x:c>
      <x:c r="O25" s="31" t="n">
        <x:v>70</x:v>
      </x:c>
      <x:c r="P25" s="31" t="inlineStr">
        <x:is>
          <x:t xml:space="preserve">Частично оплачен</x:t>
        </x:is>
      </x:c>
      <x:c r="Q25" s="31" t="n"/>
      <x:c r="R25" s="31" t="inlineStr">
        <x:is>
          <x:t xml:space="preserve">Критичный</x:t>
        </x:is>
      </x:c>
      <x:c r="S25" s="31" t="inlineStr">
        <x:is>
          <x:t xml:space="preserve">Нет</x:t>
        </x:is>
      </x:c>
      <x:c r="T25" s="31" t="inlineStr">
        <x:is>
          <x:t xml:space="preserve">Нет</x:t>
        </x:is>
      </x:c>
      <x:c r="U25" s="31" t="inlineStr">
        <x:is>
          <x:t xml:space="preserve">Сделка создана из канала повторная заявка</x:t>
        </x:is>
      </x:c>
    </x:row>
    <x:row r="26" ht="18" customHeight="1">
      <x:c r="A26" s="31" t="inlineStr">
        <x:is>
          <x:t xml:space="preserve">ЗК-1025</x:t>
        </x:is>
      </x:c>
      <x:c r="B26" s="31" t="n">
        <x:v>46147</x:v>
      </x:c>
      <x:c r="C26" s="31" t="inlineStr">
        <x:is>
          <x:t xml:space="preserve">КЛ-032</x:t>
        </x:is>
      </x:c>
      <x:c r="D26" s="31" t="inlineStr">
        <x:is>
          <x:t xml:space="preserve">СОТР-005</x:t>
        </x:is>
      </x:c>
      <x:c r="E26" s="31" t="inlineStr">
        <x:is>
          <x:t xml:space="preserve">Новый проект</x:t>
        </x:is>
      </x:c>
      <x:c r="F26" s="31" t="inlineStr">
        <x:is>
          <x:t xml:space="preserve">Отгружено</x:t>
        </x:is>
      </x:c>
      <x:c r="G26" s="31" t="inlineStr">
        <x:is>
          <x:t xml:space="preserve">Срочный</x:t>
        </x:is>
      </x:c>
      <x:c r="H26" s="31" t="n">
        <x:v>46180</x:v>
      </x:c>
      <x:c r="I26" s="31" t="n">
        <x:v>46177</x:v>
      </x:c>
      <x:c r="J26" s="31" t="n">
        <x:v>4289087</x:v>
      </x:c>
      <x:c r="K26" s="31" t="n">
        <x:v>1635768</x:v>
      </x:c>
      <x:c r="L26" s="31" t="n">
        <x:v>427151</x:v>
      </x:c>
      <x:c r="M26" s="31" t="n">
        <x:v>275331</x:v>
      </x:c>
      <x:c r="N26" s="31" t="n">
        <x:v>1950837</x:v>
      </x:c>
      <x:c r="O26" s="31" t="n">
        <x:v>20</x:v>
      </x:c>
      <x:c r="P26" s="31" t="inlineStr">
        <x:is>
          <x:t xml:space="preserve">Не выставлен счет</x:t>
        </x:is>
      </x:c>
      <x:c r="Q26" s="31" t="inlineStr">
        <x:is>
          <x:t xml:space="preserve">СТК-2026-1025</x:t>
        </x:is>
      </x:c>
      <x:c r="R26" s="31" t="inlineStr">
        <x:is>
          <x:t xml:space="preserve">Критичный</x:t>
        </x:is>
      </x:c>
      <x:c r="S26" s="31" t="inlineStr">
        <x:is>
          <x:t xml:space="preserve">Нет</x:t>
        </x:is>
      </x:c>
      <x:c r="T26" s="31" t="inlineStr">
        <x:is>
          <x:t xml:space="preserve">Нет</x:t>
        </x:is>
      </x:c>
      <x:c r="U26" s="31" t="inlineStr">
        <x:is>
          <x:t xml:space="preserve">Сделка создана из канала сервис</x:t>
        </x:is>
      </x:c>
    </x:row>
    <x:row r="27" ht="18" customHeight="1">
      <x:c r="A27" s="31" t="inlineStr">
        <x:is>
          <x:t xml:space="preserve">ЗК-1026</x:t>
        </x:is>
      </x:c>
      <x:c r="B27" s="31" t="n">
        <x:v>46100</x:v>
      </x:c>
      <x:c r="C27" s="31" t="inlineStr">
        <x:is>
          <x:t xml:space="preserve">КЛ-045</x:t>
        </x:is>
      </x:c>
      <x:c r="D27" s="31" t="inlineStr">
        <x:is>
          <x:t xml:space="preserve">СОТР-004</x:t>
        </x:is>
      </x:c>
      <x:c r="E27" s="31" t="inlineStr">
        <x:is>
          <x:t xml:space="preserve">Модернизация</x:t>
        </x:is>
      </x:c>
      <x:c r="F27" s="31" t="inlineStr">
        <x:is>
          <x:t xml:space="preserve">КП отправлено</x:t>
        </x:is>
      </x:c>
      <x:c r="G27" s="31" t="inlineStr">
        <x:is>
          <x:t xml:space="preserve">Средний</x:t>
        </x:is>
      </x:c>
      <x:c r="H27" s="31" t="n">
        <x:v>46176</x:v>
      </x:c>
      <x:c r="I27" s="31" t="n">
        <x:v>46177</x:v>
      </x:c>
      <x:c r="J27" s="31" t="n">
        <x:v>5757683</x:v>
      </x:c>
      <x:c r="K27" s="31" t="n">
        <x:v>2377062</x:v>
      </x:c>
      <x:c r="L27" s="31" t="n">
        <x:v>598480</x:v>
      </x:c>
      <x:c r="M27" s="31" t="n">
        <x:v>458024</x:v>
      </x:c>
      <x:c r="N27" s="31" t="n">
        <x:v>2324117</x:v>
      </x:c>
      <x:c r="O27" s="31" t="n">
        <x:v>50</x:v>
      </x:c>
      <x:c r="P27" s="31" t="inlineStr">
        <x:is>
          <x:t xml:space="preserve">Оплачен</x:t>
        </x:is>
      </x:c>
      <x:c r="Q27" s="31" t="n"/>
      <x:c r="R27" s="31" t="inlineStr">
        <x:is>
          <x:t xml:space="preserve">Средний</x:t>
        </x:is>
      </x:c>
      <x:c r="S27" s="31" t="inlineStr">
        <x:is>
          <x:t xml:space="preserve">Нет</x:t>
        </x:is>
      </x:c>
      <x:c r="T27" s="31" t="inlineStr">
        <x:is>
          <x:t xml:space="preserve">Нет</x:t>
        </x:is>
      </x:c>
      <x:c r="U27" s="31" t="inlineStr">
        <x:is>
          <x:t xml:space="preserve">Сделка создана из канала тендер</x:t>
        </x:is>
      </x:c>
    </x:row>
    <x:row r="28" ht="18" customHeight="1">
      <x:c r="A28" s="31" t="inlineStr">
        <x:is>
          <x:t xml:space="preserve">ЗК-1027</x:t>
        </x:is>
      </x:c>
      <x:c r="B28" s="31" t="n">
        <x:v>46133</x:v>
      </x:c>
      <x:c r="C28" s="31" t="inlineStr">
        <x:is>
          <x:t xml:space="preserve">КЛ-013</x:t>
        </x:is>
      </x:c>
      <x:c r="D28" s="31" t="inlineStr">
        <x:is>
          <x:t xml:space="preserve">СОТР-004</x:t>
        </x:is>
      </x:c>
      <x:c r="E28" s="31" t="inlineStr">
        <x:is>
          <x:t xml:space="preserve">Модернизация</x:t>
        </x:is>
      </x:c>
      <x:c r="F28" s="31" t="inlineStr">
        <x:is>
          <x:t xml:space="preserve">Лид</x:t>
        </x:is>
      </x:c>
      <x:c r="G28" s="31" t="inlineStr">
        <x:is>
          <x:t xml:space="preserve">Средний</x:t>
        </x:is>
      </x:c>
      <x:c r="H28" s="31" t="n">
        <x:v>46190</x:v>
      </x:c>
      <x:c r="I28" s="31" t="n">
        <x:v>46190</x:v>
      </x:c>
      <x:c r="J28" s="31" t="n">
        <x:v>5085620</x:v>
      </x:c>
      <x:c r="K28" s="31" t="n">
        <x:v>2445226</x:v>
      </x:c>
      <x:c r="L28" s="31" t="n">
        <x:v>394471</x:v>
      </x:c>
      <x:c r="M28" s="31" t="n">
        <x:v>385940</x:v>
      </x:c>
      <x:c r="N28" s="31" t="n">
        <x:v>1859983</x:v>
      </x:c>
      <x:c r="O28" s="31" t="n">
        <x:v>30</x:v>
      </x:c>
      <x:c r="P28" s="31" t="inlineStr">
        <x:is>
          <x:t xml:space="preserve">Не выставлен счет</x:t>
        </x:is>
      </x:c>
      <x:c r="Q28" s="31" t="n"/>
      <x:c r="R28" s="31" t="inlineStr">
        <x:is>
          <x:t xml:space="preserve">Низкий</x:t>
        </x:is>
      </x:c>
      <x:c r="S28" s="31" t="inlineStr">
        <x:is>
          <x:t xml:space="preserve">Нет</x:t>
        </x:is>
      </x:c>
      <x:c r="T28" s="31" t="inlineStr">
        <x:is>
          <x:t xml:space="preserve">Нет</x:t>
        </x:is>
      </x:c>
      <x:c r="U28" s="31" t="inlineStr">
        <x:is>
          <x:t xml:space="preserve">Сделка создана из канала повторная заявка</x:t>
        </x:is>
      </x:c>
    </x:row>
    <x:row r="29" ht="18" customHeight="1">
      <x:c r="A29" s="31" t="inlineStr">
        <x:is>
          <x:t xml:space="preserve">ЗК-1028</x:t>
        </x:is>
      </x:c>
      <x:c r="B29" s="31" t="n">
        <x:v>46161</x:v>
      </x:c>
      <x:c r="C29" s="31" t="inlineStr">
        <x:is>
          <x:t xml:space="preserve">КЛ-022</x:t>
        </x:is>
      </x:c>
      <x:c r="D29" s="31" t="inlineStr">
        <x:is>
          <x:t xml:space="preserve">СОТР-004</x:t>
        </x:is>
      </x:c>
      <x:c r="E29" s="31" t="inlineStr">
        <x:is>
          <x:t xml:space="preserve">Новый проект</x:t>
        </x:is>
      </x:c>
      <x:c r="F29" s="31" t="inlineStr">
        <x:is>
          <x:t xml:space="preserve">Лид</x:t>
        </x:is>
      </x:c>
      <x:c r="G29" s="31" t="inlineStr">
        <x:is>
          <x:t xml:space="preserve">Средний</x:t>
        </x:is>
      </x:c>
      <x:c r="H29" s="31" t="n">
        <x:v>46191</x:v>
      </x:c>
      <x:c r="I29" s="31" t="n">
        <x:v>46191</x:v>
      </x:c>
      <x:c r="J29" s="31" t="n">
        <x:v>10909374</x:v>
      </x:c>
      <x:c r="K29" s="31" t="n">
        <x:v>4031542</x:v>
      </x:c>
      <x:c r="L29" s="31" t="n">
        <x:v>942633</x:v>
      </x:c>
      <x:c r="M29" s="31" t="n">
        <x:v>830361</x:v>
      </x:c>
      <x:c r="N29" s="31" t="n">
        <x:v>5104838</x:v>
      </x:c>
      <x:c r="O29" s="31" t="n">
        <x:v>50</x:v>
      </x:c>
      <x:c r="P29" s="31" t="inlineStr">
        <x:is>
          <x:t xml:space="preserve">Не выставлен счет</x:t>
        </x:is>
      </x:c>
      <x:c r="Q29" s="31" t="n"/>
      <x:c r="R29" s="31" t="inlineStr">
        <x:is>
          <x:t xml:space="preserve">Низкий</x:t>
        </x:is>
      </x:c>
      <x:c r="S29" s="31" t="inlineStr">
        <x:is>
          <x:t xml:space="preserve">Нет</x:t>
        </x:is>
      </x:c>
      <x:c r="T29" s="31" t="inlineStr">
        <x:is>
          <x:t xml:space="preserve">Нет</x:t>
        </x:is>
      </x:c>
      <x:c r="U29" s="31" t="inlineStr">
        <x:is>
          <x:t xml:space="preserve">Сделка создана из канала сервис</x:t>
        </x:is>
      </x:c>
    </x:row>
    <x:row r="30" ht="18" customHeight="1">
      <x:c r="A30" s="31" t="inlineStr">
        <x:is>
          <x:t xml:space="preserve">ЗК-1029</x:t>
        </x:is>
      </x:c>
      <x:c r="B30" s="31" t="n">
        <x:v>46048</x:v>
      </x:c>
      <x:c r="C30" s="31" t="inlineStr">
        <x:is>
          <x:t xml:space="preserve">КЛ-011</x:t>
        </x:is>
      </x:c>
      <x:c r="D30" s="31" t="inlineStr">
        <x:is>
          <x:t xml:space="preserve">СОТР-003</x:t>
        </x:is>
      </x:c>
      <x:c r="E30" s="31" t="inlineStr">
        <x:is>
          <x:t xml:space="preserve">Новый проект</x:t>
        </x:is>
      </x:c>
      <x:c r="F30" s="31" t="inlineStr">
        <x:is>
          <x:t xml:space="preserve">Договор</x:t>
        </x:is>
      </x:c>
      <x:c r="G30" s="31" t="inlineStr">
        <x:is>
          <x:t xml:space="preserve">Срочный</x:t>
        </x:is>
      </x:c>
      <x:c r="H30" s="31" t="n">
        <x:v>46084</x:v>
      </x:c>
      <x:c r="I30" s="31" t="n">
        <x:v>46086</x:v>
      </x:c>
      <x:c r="J30" s="31" t="n">
        <x:v>7468462</x:v>
      </x:c>
      <x:c r="K30" s="31" t="n">
        <x:v>3052718</x:v>
      </x:c>
      <x:c r="L30" s="31" t="n">
        <x:v>583008</x:v>
      </x:c>
      <x:c r="M30" s="31" t="n">
        <x:v>650533</x:v>
      </x:c>
      <x:c r="N30" s="31" t="n">
        <x:v>3182203</x:v>
      </x:c>
      <x:c r="O30" s="31" t="n">
        <x:v>20</x:v>
      </x:c>
      <x:c r="P30" s="31" t="inlineStr">
        <x:is>
          <x:t xml:space="preserve">Просрочка</x:t>
        </x:is>
      </x:c>
      <x:c r="Q30" s="31" t="inlineStr">
        <x:is>
          <x:t xml:space="preserve">СТК-2026-1029</x:t>
        </x:is>
      </x:c>
      <x:c r="R30" s="31" t="inlineStr">
        <x:is>
          <x:t xml:space="preserve">Низкий</x:t>
        </x:is>
      </x:c>
      <x:c r="S30" s="31" t="inlineStr">
        <x:is>
          <x:t xml:space="preserve">Нет</x:t>
        </x:is>
      </x:c>
      <x:c r="T30" s="31" t="inlineStr">
        <x:is>
          <x:t xml:space="preserve">Нет</x:t>
        </x:is>
      </x:c>
      <x:c r="U30" s="31" t="inlineStr">
        <x:is>
          <x:t xml:space="preserve">Сделка создана из канала прямой запрос</x:t>
        </x:is>
      </x:c>
    </x:row>
    <x:row r="31" ht="18" customHeight="1">
      <x:c r="A31" s="31" t="inlineStr">
        <x:is>
          <x:t xml:space="preserve">ЗК-1030</x:t>
        </x:is>
      </x:c>
      <x:c r="B31" s="31" t="n">
        <x:v>46163</x:v>
      </x:c>
      <x:c r="C31" s="31" t="inlineStr">
        <x:is>
          <x:t xml:space="preserve">КЛ-050</x:t>
        </x:is>
      </x:c>
      <x:c r="D31" s="31" t="inlineStr">
        <x:is>
          <x:t xml:space="preserve">СОТР-004</x:t>
        </x:is>
      </x:c>
      <x:c r="E31" s="31" t="inlineStr">
        <x:is>
          <x:t xml:space="preserve">Модернизация</x:t>
        </x:is>
      </x:c>
      <x:c r="F31" s="31" t="inlineStr">
        <x:is>
          <x:t xml:space="preserve">ОТК</x:t>
        </x:is>
      </x:c>
      <x:c r="G31" s="31" t="inlineStr">
        <x:is>
          <x:t xml:space="preserve">Высокий</x:t>
        </x:is>
      </x:c>
      <x:c r="H31" s="31" t="n">
        <x:v>46242</x:v>
      </x:c>
      <x:c r="I31" s="31" t="n">
        <x:v>46245</x:v>
      </x:c>
      <x:c r="J31" s="31" t="n">
        <x:v>8850265</x:v>
      </x:c>
      <x:c r="K31" s="31" t="n">
        <x:v>3840014</x:v>
      </x:c>
      <x:c r="L31" s="31" t="n">
        <x:v>1191758</x:v>
      </x:c>
      <x:c r="M31" s="31" t="n">
        <x:v>670803</x:v>
      </x:c>
      <x:c r="N31" s="31" t="n">
        <x:v>3147690</x:v>
      </x:c>
      <x:c r="O31" s="31" t="n">
        <x:v>50</x:v>
      </x:c>
      <x:c r="P31" s="31" t="inlineStr">
        <x:is>
          <x:t xml:space="preserve">Не выставлен счет</x:t>
        </x:is>
      </x:c>
      <x:c r="Q31" s="31" t="inlineStr">
        <x:is>
          <x:t xml:space="preserve">СТК-2026-1030</x:t>
        </x:is>
      </x:c>
      <x:c r="R31" s="31" t="inlineStr">
        <x:is>
          <x:t xml:space="preserve">Высокий</x:t>
        </x:is>
      </x:c>
      <x:c r="S31" s="31" t="inlineStr">
        <x:is>
          <x:t xml:space="preserve">Нет</x:t>
        </x:is>
      </x:c>
      <x:c r="T31" s="31" t="inlineStr">
        <x:is>
          <x:t xml:space="preserve">Нет</x:t>
        </x:is>
      </x:c>
      <x:c r="U31" s="31" t="inlineStr">
        <x:is>
          <x:t xml:space="preserve">Сделка создана из канала тендер</x:t>
        </x:is>
      </x:c>
    </x:row>
    <x:row r="32" ht="18" customHeight="1">
      <x:c r="A32" s="31" t="inlineStr">
        <x:is>
          <x:t xml:space="preserve">ЗК-1031</x:t>
        </x:is>
      </x:c>
      <x:c r="B32" s="31" t="n">
        <x:v>46104</x:v>
      </x:c>
      <x:c r="C32" s="31" t="inlineStr">
        <x:is>
          <x:t xml:space="preserve">КЛ-008</x:t>
        </x:is>
      </x:c>
      <x:c r="D32" s="31" t="inlineStr">
        <x:is>
          <x:t xml:space="preserve">СОТР-004</x:t>
        </x:is>
      </x:c>
      <x:c r="E32" s="31" t="inlineStr">
        <x:is>
          <x:t xml:space="preserve">Повторный заказ</x:t>
        </x:is>
      </x:c>
      <x:c r="F32" s="31" t="inlineStr">
        <x:is>
          <x:t xml:space="preserve">Закрыт</x:t>
        </x:is>
      </x:c>
      <x:c r="G32" s="31" t="inlineStr">
        <x:is>
          <x:t xml:space="preserve">Средний</x:t>
        </x:is>
      </x:c>
      <x:c r="H32" s="31" t="n">
        <x:v>46140</x:v>
      </x:c>
      <x:c r="I32" s="31" t="n">
        <x:v>46140</x:v>
      </x:c>
      <x:c r="J32" s="31" t="n">
        <x:v>2210225</x:v>
      </x:c>
      <x:c r="K32" s="31" t="n">
        <x:v>843726</x:v>
      </x:c>
      <x:c r="L32" s="31" t="n">
        <x:v>251862</x:v>
      </x:c>
      <x:c r="M32" s="31" t="n">
        <x:v>111186</x:v>
      </x:c>
      <x:c r="N32" s="31" t="n">
        <x:v>1003451</x:v>
      </x:c>
      <x:c r="O32" s="31" t="n">
        <x:v>40</x:v>
      </x:c>
      <x:c r="P32" s="31" t="inlineStr">
        <x:is>
          <x:t xml:space="preserve">Частично оплачен</x:t>
        </x:is>
      </x:c>
      <x:c r="Q32" s="31" t="inlineStr">
        <x:is>
          <x:t xml:space="preserve">СТК-2026-1031</x:t>
        </x:is>
      </x:c>
      <x:c r="R32" s="31" t="inlineStr">
        <x:is>
          <x:t xml:space="preserve">Средний</x:t>
        </x:is>
      </x:c>
      <x:c r="S32" s="31" t="inlineStr">
        <x:is>
          <x:t xml:space="preserve">Нет</x:t>
        </x:is>
      </x:c>
      <x:c r="T32" s="31" t="inlineStr">
        <x:is>
          <x:t xml:space="preserve">Да</x:t>
        </x:is>
      </x:c>
      <x:c r="U32" s="31" t="inlineStr">
        <x:is>
          <x:t xml:space="preserve">Сделка создана из канала повторная заявка</x:t>
        </x:is>
      </x:c>
    </x:row>
    <x:row r="33" ht="18" customHeight="1">
      <x:c r="A33" s="31" t="inlineStr">
        <x:is>
          <x:t xml:space="preserve">ЗК-1032</x:t>
        </x:is>
      </x:c>
      <x:c r="B33" s="31" t="n">
        <x:v>46043</x:v>
      </x:c>
      <x:c r="C33" s="31" t="inlineStr">
        <x:is>
          <x:t xml:space="preserve">КЛ-017</x:t>
        </x:is>
      </x:c>
      <x:c r="D33" s="31" t="inlineStr">
        <x:is>
          <x:t xml:space="preserve">СОТР-004</x:t>
        </x:is>
      </x:c>
      <x:c r="E33" s="31" t="inlineStr">
        <x:is>
          <x:t xml:space="preserve">Аварийная поставка</x:t>
        </x:is>
      </x:c>
      <x:c r="F33" s="31" t="inlineStr">
        <x:is>
          <x:t xml:space="preserve">КП отправлено</x:t>
        </x:is>
      </x:c>
      <x:c r="G33" s="31" t="inlineStr">
        <x:is>
          <x:t xml:space="preserve">Высокий</x:t>
        </x:is>
      </x:c>
      <x:c r="H33" s="31" t="n">
        <x:v>46125</x:v>
      </x:c>
      <x:c r="I33" s="31" t="n">
        <x:v>46126</x:v>
      </x:c>
      <x:c r="J33" s="31" t="n">
        <x:v>8174676</x:v>
      </x:c>
      <x:c r="K33" s="31" t="n">
        <x:v>3593704</x:v>
      </x:c>
      <x:c r="L33" s="31" t="n">
        <x:v>776503</x:v>
      </x:c>
      <x:c r="M33" s="31" t="n">
        <x:v>595183</x:v>
      </x:c>
      <x:c r="N33" s="31" t="n">
        <x:v>3209286</x:v>
      </x:c>
      <x:c r="O33" s="31" t="n">
        <x:v>70</x:v>
      </x:c>
      <x:c r="P33" s="31" t="inlineStr">
        <x:is>
          <x:t xml:space="preserve">Не выставлен счет</x:t>
        </x:is>
      </x:c>
      <x:c r="Q33" s="31" t="n"/>
      <x:c r="R33" s="31" t="inlineStr">
        <x:is>
          <x:t xml:space="preserve">Высокий</x:t>
        </x:is>
      </x:c>
      <x:c r="S33" s="31" t="inlineStr">
        <x:is>
          <x:t xml:space="preserve">Нет</x:t>
        </x:is>
      </x:c>
      <x:c r="T33" s="31" t="inlineStr">
        <x:is>
          <x:t xml:space="preserve">Нет</x:t>
        </x:is>
      </x:c>
      <x:c r="U33" s="31" t="inlineStr">
        <x:is>
          <x:t xml:space="preserve">Сделка создана из канала прямой запрос</x:t>
        </x:is>
      </x:c>
    </x:row>
    <x:row r="34" ht="18" customHeight="1">
      <x:c r="A34" s="31" t="inlineStr">
        <x:is>
          <x:t xml:space="preserve">ЗК-1033</x:t>
        </x:is>
      </x:c>
      <x:c r="B34" s="31" t="n">
        <x:v>46138</x:v>
      </x:c>
      <x:c r="C34" s="31" t="inlineStr">
        <x:is>
          <x:t xml:space="preserve">КЛ-027</x:t>
        </x:is>
      </x:c>
      <x:c r="D34" s="31" t="inlineStr">
        <x:is>
          <x:t xml:space="preserve">СОТР-003</x:t>
        </x:is>
      </x:c>
      <x:c r="E34" s="31" t="inlineStr">
        <x:is>
          <x:t xml:space="preserve">Сервисный комплект</x:t>
        </x:is>
      </x:c>
      <x:c r="F34" s="31" t="inlineStr">
        <x:is>
          <x:t xml:space="preserve">В производстве</x:t>
        </x:is>
      </x:c>
      <x:c r="G34" s="31" t="inlineStr">
        <x:is>
          <x:t xml:space="preserve">Срочный</x:t>
        </x:is>
      </x:c>
      <x:c r="H34" s="31" t="n">
        <x:v>46159</x:v>
      </x:c>
      <x:c r="I34" s="31" t="n">
        <x:v>46169</x:v>
      </x:c>
      <x:c r="J34" s="31" t="n">
        <x:v>961118</x:v>
      </x:c>
      <x:c r="K34" s="31" t="n">
        <x:v>523265</x:v>
      </x:c>
      <x:c r="L34" s="31" t="n">
        <x:v>142959</x:v>
      </x:c>
      <x:c r="M34" s="31" t="n">
        <x:v>74595</x:v>
      </x:c>
      <x:c r="N34" s="31" t="n">
        <x:v>220299</x:v>
      </x:c>
      <x:c r="O34" s="31" t="n">
        <x:v>70</x:v>
      </x:c>
      <x:c r="P34" s="31" t="inlineStr">
        <x:is>
          <x:t xml:space="preserve">Оплачен</x:t>
        </x:is>
      </x:c>
      <x:c r="Q34" s="31" t="inlineStr">
        <x:is>
          <x:t xml:space="preserve">СТК-2026-1033</x:t>
        </x:is>
      </x:c>
      <x:c r="R34" s="31" t="inlineStr">
        <x:is>
          <x:t xml:space="preserve">Средний</x:t>
        </x:is>
      </x:c>
      <x:c r="S34" s="31" t="inlineStr">
        <x:is>
          <x:t xml:space="preserve">Нет</x:t>
        </x:is>
      </x:c>
      <x:c r="T34" s="31" t="inlineStr">
        <x:is>
          <x:t xml:space="preserve">Нет</x:t>
        </x:is>
      </x:c>
      <x:c r="U34" s="31" t="inlineStr">
        <x:is>
          <x:t xml:space="preserve">Сделка создана из канала повторная заявка</x:t>
        </x:is>
      </x:c>
    </x:row>
    <x:row r="35" ht="18" customHeight="1">
      <x:c r="A35" s="31" t="inlineStr">
        <x:is>
          <x:t xml:space="preserve">ЗК-1034</x:t>
        </x:is>
      </x:c>
      <x:c r="B35" s="31" t="n">
        <x:v>46100</x:v>
      </x:c>
      <x:c r="C35" s="31" t="inlineStr">
        <x:is>
          <x:t xml:space="preserve">КЛ-042</x:t>
        </x:is>
      </x:c>
      <x:c r="D35" s="31" t="inlineStr">
        <x:is>
          <x:t xml:space="preserve">СОТР-003</x:t>
        </x:is>
      </x:c>
      <x:c r="E35" s="31" t="inlineStr">
        <x:is>
          <x:t xml:space="preserve">Модернизация</x:t>
        </x:is>
      </x:c>
      <x:c r="F35" s="31" t="inlineStr">
        <x:is>
          <x:t xml:space="preserve">КП отправлено</x:t>
        </x:is>
      </x:c>
      <x:c r="G35" s="31" t="inlineStr">
        <x:is>
          <x:t xml:space="preserve">Средний</x:t>
        </x:is>
      </x:c>
      <x:c r="H35" s="31" t="n">
        <x:v>46155</x:v>
      </x:c>
      <x:c r="I35" s="31" t="n">
        <x:v>46156</x:v>
      </x:c>
      <x:c r="J35" s="31" t="n">
        <x:v>4549149</x:v>
      </x:c>
      <x:c r="K35" s="31" t="n">
        <x:v>2050387</x:v>
      </x:c>
      <x:c r="L35" s="31" t="n">
        <x:v>493258</x:v>
      </x:c>
      <x:c r="M35" s="31" t="n">
        <x:v>384610</x:v>
      </x:c>
      <x:c r="N35" s="31" t="n">
        <x:v>1620894</x:v>
      </x:c>
      <x:c r="O35" s="31" t="n">
        <x:v>100</x:v>
      </x:c>
      <x:c r="P35" s="31" t="inlineStr">
        <x:is>
          <x:t xml:space="preserve">Частично оплачен</x:t>
        </x:is>
      </x:c>
      <x:c r="Q35" s="31" t="n"/>
      <x:c r="R35" s="31" t="inlineStr">
        <x:is>
          <x:t xml:space="preserve">Средний</x:t>
        </x:is>
      </x:c>
      <x:c r="S35" s="31" t="inlineStr">
        <x:is>
          <x:t xml:space="preserve">Нет</x:t>
        </x:is>
      </x:c>
      <x:c r="T35" s="31" t="inlineStr">
        <x:is>
          <x:t xml:space="preserve">Нет</x:t>
        </x:is>
      </x:c>
      <x:c r="U35" s="31" t="inlineStr">
        <x:is>
          <x:t xml:space="preserve">Сделка создана из канала тендер</x:t>
        </x:is>
      </x:c>
    </x:row>
    <x:row r="36" ht="18" customHeight="1">
      <x:c r="A36" s="31" t="inlineStr">
        <x:is>
          <x:t xml:space="preserve">ЗК-1035</x:t>
        </x:is>
      </x:c>
      <x:c r="B36" s="31" t="n">
        <x:v>46074</x:v>
      </x:c>
      <x:c r="C36" s="31" t="inlineStr">
        <x:is>
          <x:t xml:space="preserve">КЛ-033</x:t>
        </x:is>
      </x:c>
      <x:c r="D36" s="31" t="inlineStr">
        <x:is>
          <x:t xml:space="preserve">СОТР-005</x:t>
        </x:is>
      </x:c>
      <x:c r="E36" s="31" t="inlineStr">
        <x:is>
          <x:t xml:space="preserve">Новый проект</x:t>
        </x:is>
      </x:c>
      <x:c r="F36" s="31" t="inlineStr">
        <x:is>
          <x:t xml:space="preserve">Готов к отгрузке</x:t>
        </x:is>
      </x:c>
      <x:c r="G36" s="31" t="inlineStr">
        <x:is>
          <x:t xml:space="preserve">Средний</x:t>
        </x:is>
      </x:c>
      <x:c r="H36" s="31" t="n">
        <x:v>46152</x:v>
      </x:c>
      <x:c r="I36" s="31" t="n">
        <x:v>46154</x:v>
      </x:c>
      <x:c r="J36" s="31" t="n">
        <x:v>5667097</x:v>
      </x:c>
      <x:c r="K36" s="31" t="n">
        <x:v>2237659</x:v>
      </x:c>
      <x:c r="L36" s="31" t="n">
        <x:v>737113</x:v>
      </x:c>
      <x:c r="M36" s="31" t="n">
        <x:v>491460</x:v>
      </x:c>
      <x:c r="N36" s="31" t="n">
        <x:v>2200865</x:v>
      </x:c>
      <x:c r="O36" s="31" t="n">
        <x:v>40</x:v>
      </x:c>
      <x:c r="P36" s="31" t="inlineStr">
        <x:is>
          <x:t xml:space="preserve">Частично оплачен</x:t>
        </x:is>
      </x:c>
      <x:c r="Q36" s="31" t="inlineStr">
        <x:is>
          <x:t xml:space="preserve">СТК-2026-1035</x:t>
        </x:is>
      </x:c>
      <x:c r="R36" s="31" t="inlineStr">
        <x:is>
          <x:t xml:space="preserve">Средний</x:t>
        </x:is>
      </x:c>
      <x:c r="S36" s="31" t="inlineStr">
        <x:is>
          <x:t xml:space="preserve">Нет</x:t>
        </x:is>
      </x:c>
      <x:c r="T36" s="31" t="inlineStr">
        <x:is>
          <x:t xml:space="preserve">Нет</x:t>
        </x:is>
      </x:c>
      <x:c r="U36" s="31" t="inlineStr">
        <x:is>
          <x:t xml:space="preserve">Сделка создана из канала прямой запрос</x:t>
        </x:is>
      </x:c>
    </x:row>
    <x:row r="37" ht="18" customHeight="1">
      <x:c r="A37" s="31" t="inlineStr">
        <x:is>
          <x:t xml:space="preserve">ЗК-1036</x:t>
        </x:is>
      </x:c>
      <x:c r="B37" s="31" t="n">
        <x:v>46131</x:v>
      </x:c>
      <x:c r="C37" s="31" t="inlineStr">
        <x:is>
          <x:t xml:space="preserve">КЛ-005</x:t>
        </x:is>
      </x:c>
      <x:c r="D37" s="31" t="inlineStr">
        <x:is>
          <x:t xml:space="preserve">СОТР-005</x:t>
        </x:is>
      </x:c>
      <x:c r="E37" s="31" t="inlineStr">
        <x:is>
          <x:t xml:space="preserve">Модернизация</x:t>
        </x:is>
      </x:c>
      <x:c r="F37" s="31" t="inlineStr">
        <x:is>
          <x:t xml:space="preserve">Отгружено</x:t>
        </x:is>
      </x:c>
      <x:c r="G37" s="31" t="inlineStr">
        <x:is>
          <x:t xml:space="preserve">Средний</x:t>
        </x:is>
      </x:c>
      <x:c r="H37" s="31" t="n">
        <x:v>46197</x:v>
      </x:c>
      <x:c r="I37" s="31" t="n">
        <x:v>46199</x:v>
      </x:c>
      <x:c r="J37" s="31" t="n">
        <x:v>5187550</x:v>
      </x:c>
      <x:c r="K37" s="31" t="n">
        <x:v>2662910</x:v>
      </x:c>
      <x:c r="L37" s="31" t="n">
        <x:v>659864</x:v>
      </x:c>
      <x:c r="M37" s="31" t="n">
        <x:v>427275</x:v>
      </x:c>
      <x:c r="N37" s="31" t="n">
        <x:v>1437501</x:v>
      </x:c>
      <x:c r="O37" s="31" t="n">
        <x:v>30</x:v>
      </x:c>
      <x:c r="P37" s="31" t="inlineStr">
        <x:is>
          <x:t xml:space="preserve">Частично оплачен</x:t>
        </x:is>
      </x:c>
      <x:c r="Q37" s="31" t="inlineStr">
        <x:is>
          <x:t xml:space="preserve">СТК-2026-1036</x:t>
        </x:is>
      </x:c>
      <x:c r="R37" s="31" t="inlineStr">
        <x:is>
          <x:t xml:space="preserve">Средний</x:t>
        </x:is>
      </x:c>
      <x:c r="S37" s="31" t="inlineStr">
        <x:is>
          <x:t xml:space="preserve">Нет</x:t>
        </x:is>
      </x:c>
      <x:c r="T37" s="31" t="inlineStr">
        <x:is>
          <x:t xml:space="preserve">Нет</x:t>
        </x:is>
      </x:c>
      <x:c r="U37" s="31" t="inlineStr">
        <x:is>
          <x:t xml:space="preserve">Сделка создана из канала повторная заявка</x:t>
        </x:is>
      </x:c>
    </x:row>
    <x:row r="38" ht="18" customHeight="1">
      <x:c r="A38" s="31" t="inlineStr">
        <x:is>
          <x:t xml:space="preserve">ЗК-1037</x:t>
        </x:is>
      </x:c>
      <x:c r="B38" s="31" t="n">
        <x:v>46143</x:v>
      </x:c>
      <x:c r="C38" s="31" t="inlineStr">
        <x:is>
          <x:t xml:space="preserve">КЛ-044</x:t>
        </x:is>
      </x:c>
      <x:c r="D38" s="31" t="inlineStr">
        <x:is>
          <x:t xml:space="preserve">СОТР-005</x:t>
        </x:is>
      </x:c>
      <x:c r="E38" s="31" t="inlineStr">
        <x:is>
          <x:t xml:space="preserve">Новый проект</x:t>
        </x:is>
      </x:c>
      <x:c r="F38" s="31" t="inlineStr">
        <x:is>
          <x:t xml:space="preserve">Договор</x:t>
        </x:is>
      </x:c>
      <x:c r="G38" s="31" t="inlineStr">
        <x:is>
          <x:t xml:space="preserve">Средний</x:t>
        </x:is>
      </x:c>
      <x:c r="H38" s="31" t="n">
        <x:v>46181</x:v>
      </x:c>
      <x:c r="I38" s="31" t="n">
        <x:v>46183</x:v>
      </x:c>
      <x:c r="J38" s="31" t="n">
        <x:v>13497317</x:v>
      </x:c>
      <x:c r="K38" s="31" t="n">
        <x:v>6028799</x:v>
      </x:c>
      <x:c r="L38" s="31" t="n">
        <x:v>1208357</x:v>
      </x:c>
      <x:c r="M38" s="31" t="n">
        <x:v>1116600</x:v>
      </x:c>
      <x:c r="N38" s="31" t="n">
        <x:v>5143561</x:v>
      </x:c>
      <x:c r="O38" s="31" t="n">
        <x:v>20</x:v>
      </x:c>
      <x:c r="P38" s="31" t="inlineStr">
        <x:is>
          <x:t xml:space="preserve">Просрочка</x:t>
        </x:is>
      </x:c>
      <x:c r="Q38" s="31" t="inlineStr">
        <x:is>
          <x:t xml:space="preserve">СТК-2026-1037</x:t>
        </x:is>
      </x:c>
      <x:c r="R38" s="31" t="inlineStr">
        <x:is>
          <x:t xml:space="preserve">Низкий</x:t>
        </x:is>
      </x:c>
      <x:c r="S38" s="31" t="inlineStr">
        <x:is>
          <x:t xml:space="preserve">Нет</x:t>
        </x:is>
      </x:c>
      <x:c r="T38" s="31" t="inlineStr">
        <x:is>
          <x:t xml:space="preserve">Нет</x:t>
        </x:is>
      </x:c>
      <x:c r="U38" s="31" t="inlineStr">
        <x:is>
          <x:t xml:space="preserve">Сделка создана из канала прямой запрос</x:t>
        </x:is>
      </x:c>
    </x:row>
    <x:row r="39" ht="18" customHeight="1">
      <x:c r="A39" s="31" t="inlineStr">
        <x:is>
          <x:t xml:space="preserve">ЗК-1038</x:t>
        </x:is>
      </x:c>
      <x:c r="B39" s="31" t="n">
        <x:v>46090</x:v>
      </x:c>
      <x:c r="C39" s="31" t="inlineStr">
        <x:is>
          <x:t xml:space="preserve">КЛ-004</x:t>
        </x:is>
      </x:c>
      <x:c r="D39" s="31" t="inlineStr">
        <x:is>
          <x:t xml:space="preserve">СОТР-004</x:t>
        </x:is>
      </x:c>
      <x:c r="E39" s="31" t="inlineStr">
        <x:is>
          <x:t xml:space="preserve">Новый проект</x:t>
        </x:is>
      </x:c>
      <x:c r="F39" s="31" t="inlineStr">
        <x:is>
          <x:t xml:space="preserve">В производстве</x:t>
        </x:is>
      </x:c>
      <x:c r="G39" s="31" t="inlineStr">
        <x:is>
          <x:t xml:space="preserve">Средний</x:t>
        </x:is>
      </x:c>
      <x:c r="H39" s="31" t="n">
        <x:v>46136</x:v>
      </x:c>
      <x:c r="I39" s="31" t="n">
        <x:v>46142</x:v>
      </x:c>
      <x:c r="J39" s="31" t="n">
        <x:v>10597006</x:v>
      </x:c>
      <x:c r="K39" s="31" t="n">
        <x:v>4488630</x:v>
      </x:c>
      <x:c r="L39" s="31" t="n">
        <x:v>1348540</x:v>
      </x:c>
      <x:c r="M39" s="31" t="n">
        <x:v>908557</x:v>
      </x:c>
      <x:c r="N39" s="31" t="n">
        <x:v>3851279</x:v>
      </x:c>
      <x:c r="O39" s="31" t="n">
        <x:v>40</x:v>
      </x:c>
      <x:c r="P39" s="31" t="inlineStr">
        <x:is>
          <x:t xml:space="preserve">Оплачен</x:t>
        </x:is>
      </x:c>
      <x:c r="Q39" s="31" t="inlineStr">
        <x:is>
          <x:t xml:space="preserve">СТК-2026-1038</x:t>
        </x:is>
      </x:c>
      <x:c r="R39" s="31" t="inlineStr">
        <x:is>
          <x:t xml:space="preserve">Низкий</x:t>
        </x:is>
      </x:c>
      <x:c r="S39" s="31" t="inlineStr">
        <x:is>
          <x:t xml:space="preserve">Нет</x:t>
        </x:is>
      </x:c>
      <x:c r="T39" s="31" t="inlineStr">
        <x:is>
          <x:t xml:space="preserve">Нет</x:t>
        </x:is>
      </x:c>
      <x:c r="U39" s="31" t="inlineStr">
        <x:is>
          <x:t xml:space="preserve">Сделка создана из канала повторная заявка</x:t>
        </x:is>
      </x:c>
    </x:row>
    <x:row r="40" ht="18" customHeight="1">
      <x:c r="A40" s="31" t="inlineStr">
        <x:is>
          <x:t xml:space="preserve">ЗК-1039</x:t>
        </x:is>
      </x:c>
      <x:c r="B40" s="31" t="n">
        <x:v>46041</x:v>
      </x:c>
      <x:c r="C40" s="31" t="inlineStr">
        <x:is>
          <x:t xml:space="preserve">КЛ-007</x:t>
        </x:is>
      </x:c>
      <x:c r="D40" s="31" t="inlineStr">
        <x:is>
          <x:t xml:space="preserve">СОТР-004</x:t>
        </x:is>
      </x:c>
      <x:c r="E40" s="31" t="inlineStr">
        <x:is>
          <x:t xml:space="preserve">Новый проект</x:t>
        </x:is>
      </x:c>
      <x:c r="F40" s="31" t="inlineStr">
        <x:is>
          <x:t xml:space="preserve">Лид</x:t>
        </x:is>
      </x:c>
      <x:c r="G40" s="31" t="inlineStr">
        <x:is>
          <x:t xml:space="preserve">Средний</x:t>
        </x:is>
      </x:c>
      <x:c r="H40" s="31" t="n">
        <x:v>46103</x:v>
      </x:c>
      <x:c r="I40" s="31" t="n">
        <x:v>46103</x:v>
      </x:c>
      <x:c r="J40" s="31" t="n">
        <x:v>6248895</x:v>
      </x:c>
      <x:c r="K40" s="31" t="n">
        <x:v>2518216</x:v>
      </x:c>
      <x:c r="L40" s="31" t="n">
        <x:v>672576</x:v>
      </x:c>
      <x:c r="M40" s="31" t="n">
        <x:v>359737</x:v>
      </x:c>
      <x:c r="N40" s="31" t="n">
        <x:v>2698366</x:v>
      </x:c>
      <x:c r="O40" s="31" t="n">
        <x:v>20</x:v>
      </x:c>
      <x:c r="P40" s="31" t="inlineStr">
        <x:is>
          <x:t xml:space="preserve">Не выставлен счет</x:t>
        </x:is>
      </x:c>
      <x:c r="Q40" s="31" t="n"/>
      <x:c r="R40" s="31" t="inlineStr">
        <x:is>
          <x:t xml:space="preserve">Низкий</x:t>
        </x:is>
      </x:c>
      <x:c r="S40" s="31" t="inlineStr">
        <x:is>
          <x:t xml:space="preserve">Нет</x:t>
        </x:is>
      </x:c>
      <x:c r="T40" s="31" t="inlineStr">
        <x:is>
          <x:t xml:space="preserve">Нет</x:t>
        </x:is>
      </x:c>
      <x:c r="U40" s="31" t="inlineStr">
        <x:is>
          <x:t xml:space="preserve">Сделка создана из канала тендер</x:t>
        </x:is>
      </x:c>
    </x:row>
    <x:row r="41" ht="18" customHeight="1">
      <x:c r="A41" s="31" t="inlineStr">
        <x:is>
          <x:t xml:space="preserve">ЗК-1040</x:t>
        </x:is>
      </x:c>
      <x:c r="B41" s="31" t="n">
        <x:v>46105</x:v>
      </x:c>
      <x:c r="C41" s="31" t="inlineStr">
        <x:is>
          <x:t xml:space="preserve">КЛ-009</x:t>
        </x:is>
      </x:c>
      <x:c r="D41" s="31" t="inlineStr">
        <x:is>
          <x:t xml:space="preserve">СОТР-005</x:t>
        </x:is>
      </x:c>
      <x:c r="E41" s="31" t="inlineStr">
        <x:is>
          <x:t xml:space="preserve">Новый проект</x:t>
        </x:is>
      </x:c>
      <x:c r="F41" s="31" t="inlineStr">
        <x:is>
          <x:t xml:space="preserve">В производстве</x:t>
        </x:is>
      </x:c>
      <x:c r="G41" s="31" t="inlineStr">
        <x:is>
          <x:t xml:space="preserve">Средний</x:t>
        </x:is>
      </x:c>
      <x:c r="H41" s="31" t="n">
        <x:v>46138</x:v>
      </x:c>
      <x:c r="I41" s="31" t="n">
        <x:v>46137</x:v>
      </x:c>
      <x:c r="J41" s="31" t="n">
        <x:v>8606888</x:v>
      </x:c>
      <x:c r="K41" s="31" t="n">
        <x:v>3648429</x:v>
      </x:c>
      <x:c r="L41" s="31" t="n">
        <x:v>904785</x:v>
      </x:c>
      <x:c r="M41" s="31" t="n">
        <x:v>576354</x:v>
      </x:c>
      <x:c r="N41" s="31" t="n">
        <x:v>3477320</x:v>
      </x:c>
      <x:c r="O41" s="31" t="n">
        <x:v>40</x:v>
      </x:c>
      <x:c r="P41" s="31" t="inlineStr">
        <x:is>
          <x:t xml:space="preserve">Частично оплачен</x:t>
        </x:is>
      </x:c>
      <x:c r="Q41" s="31" t="inlineStr">
        <x:is>
          <x:t xml:space="preserve">СТК-2026-1040</x:t>
        </x:is>
      </x:c>
      <x:c r="R41" s="31" t="inlineStr">
        <x:is>
          <x:t xml:space="preserve">Высокий</x:t>
        </x:is>
      </x:c>
      <x:c r="S41" s="31" t="inlineStr">
        <x:is>
          <x:t xml:space="preserve">Нет</x:t>
        </x:is>
      </x:c>
      <x:c r="T41" s="31" t="inlineStr">
        <x:is>
          <x:t xml:space="preserve">Нет</x:t>
        </x:is>
      </x:c>
      <x:c r="U41" s="31" t="inlineStr">
        <x:is>
          <x:t xml:space="preserve">Сделка создана из канала сервис</x:t>
        </x:is>
      </x:c>
    </x:row>
    <x:row r="42" ht="18" customHeight="1">
      <x:c r="A42" s="31" t="inlineStr">
        <x:is>
          <x:t xml:space="preserve">ЗК-1041</x:t>
        </x:is>
      </x:c>
      <x:c r="B42" s="31" t="n">
        <x:v>46036</x:v>
      </x:c>
      <x:c r="C42" s="31" t="inlineStr">
        <x:is>
          <x:t xml:space="preserve">КЛ-032</x:t>
        </x:is>
      </x:c>
      <x:c r="D42" s="31" t="inlineStr">
        <x:is>
          <x:t xml:space="preserve">СОТР-005</x:t>
        </x:is>
      </x:c>
      <x:c r="E42" s="31" t="inlineStr">
        <x:is>
          <x:t xml:space="preserve">Сервисный комплект</x:t>
        </x:is>
      </x:c>
      <x:c r="F42" s="31" t="inlineStr">
        <x:is>
          <x:t xml:space="preserve">Отгружено</x:t>
        </x:is>
      </x:c>
      <x:c r="G42" s="31" t="inlineStr">
        <x:is>
          <x:t xml:space="preserve">Средний</x:t>
        </x:is>
      </x:c>
      <x:c r="H42" s="31" t="n">
        <x:v>46103</x:v>
      </x:c>
      <x:c r="I42" s="31" t="n">
        <x:v>46101</x:v>
      </x:c>
      <x:c r="J42" s="31" t="n">
        <x:v>3854971</x:v>
      </x:c>
      <x:c r="K42" s="31" t="n">
        <x:v>1924446</x:v>
      </x:c>
      <x:c r="L42" s="31" t="n">
        <x:v>382165</x:v>
      </x:c>
      <x:c r="M42" s="31" t="n">
        <x:v>383698</x:v>
      </x:c>
      <x:c r="N42" s="31" t="n">
        <x:v>1164662</x:v>
      </x:c>
      <x:c r="O42" s="31" t="n">
        <x:v>20</x:v>
      </x:c>
      <x:c r="P42" s="31" t="inlineStr">
        <x:is>
          <x:t xml:space="preserve">Счет выставлен</x:t>
        </x:is>
      </x:c>
      <x:c r="Q42" s="31" t="inlineStr">
        <x:is>
          <x:t xml:space="preserve">СТК-2026-1041</x:t>
        </x:is>
      </x:c>
      <x:c r="R42" s="31" t="inlineStr">
        <x:is>
          <x:t xml:space="preserve">Высокий</x:t>
        </x:is>
      </x:c>
      <x:c r="S42" s="31" t="inlineStr">
        <x:is>
          <x:t xml:space="preserve">Нет</x:t>
        </x:is>
      </x:c>
      <x:c r="T42" s="31" t="inlineStr">
        <x:is>
          <x:t xml:space="preserve">Нет</x:t>
        </x:is>
      </x:c>
      <x:c r="U42" s="31" t="inlineStr">
        <x:is>
          <x:t xml:space="preserve">Сделка создана из канала прямой запрос</x:t>
        </x:is>
      </x:c>
    </x:row>
    <x:row r="43" ht="18" customHeight="1">
      <x:c r="A43" s="31" t="inlineStr">
        <x:is>
          <x:t xml:space="preserve">ЗК-1042</x:t>
        </x:is>
      </x:c>
      <x:c r="B43" s="31" t="n">
        <x:v>46045</x:v>
      </x:c>
      <x:c r="C43" s="31" t="inlineStr">
        <x:is>
          <x:t xml:space="preserve">КЛ-007</x:t>
        </x:is>
      </x:c>
      <x:c r="D43" s="31" t="inlineStr">
        <x:is>
          <x:t xml:space="preserve">СОТР-004</x:t>
        </x:is>
      </x:c>
      <x:c r="E43" s="31" t="inlineStr">
        <x:is>
          <x:t xml:space="preserve">Модернизация</x:t>
        </x:is>
      </x:c>
      <x:c r="F43" s="31" t="inlineStr">
        <x:is>
          <x:t xml:space="preserve">В производстве</x:t>
        </x:is>
      </x:c>
      <x:c r="G43" s="31" t="inlineStr">
        <x:is>
          <x:t xml:space="preserve">Срочный</x:t>
        </x:is>
      </x:c>
      <x:c r="H43" s="31" t="n">
        <x:v>46099</x:v>
      </x:c>
      <x:c r="I43" s="31" t="n">
        <x:v>46110</x:v>
      </x:c>
      <x:c r="J43" s="31" t="n">
        <x:v>1744072</x:v>
      </x:c>
      <x:c r="K43" s="31" t="n">
        <x:v>897290</x:v>
      </x:c>
      <x:c r="L43" s="31" t="n">
        <x:v>201497</x:v>
      </x:c>
      <x:c r="M43" s="31" t="n">
        <x:v>110887</x:v>
      </x:c>
      <x:c r="N43" s="31" t="n">
        <x:v>534398</x:v>
      </x:c>
      <x:c r="O43" s="31" t="n">
        <x:v>50</x:v>
      </x:c>
      <x:c r="P43" s="31" t="inlineStr">
        <x:is>
          <x:t xml:space="preserve">Счет выставлен</x:t>
        </x:is>
      </x:c>
      <x:c r="Q43" s="31" t="inlineStr">
        <x:is>
          <x:t xml:space="preserve">СТК-2026-1042</x:t>
        </x:is>
      </x:c>
      <x:c r="R43" s="31" t="inlineStr">
        <x:is>
          <x:t xml:space="preserve">Средний</x:t>
        </x:is>
      </x:c>
      <x:c r="S43" s="31" t="inlineStr">
        <x:is>
          <x:t xml:space="preserve">Нет</x:t>
        </x:is>
      </x:c>
      <x:c r="T43" s="31" t="inlineStr">
        <x:is>
          <x:t xml:space="preserve">Нет</x:t>
        </x:is>
      </x:c>
      <x:c r="U43" s="31" t="inlineStr">
        <x:is>
          <x:t xml:space="preserve">Сделка создана из канала тендер</x:t>
        </x:is>
      </x:c>
    </x:row>
    <x:row r="44" ht="18" customHeight="1">
      <x:c r="A44" s="31" t="inlineStr">
        <x:is>
          <x:t xml:space="preserve">ЗК-1043</x:t>
        </x:is>
      </x:c>
      <x:c r="B44" s="31" t="n">
        <x:v>46098</x:v>
      </x:c>
      <x:c r="C44" s="31" t="inlineStr">
        <x:is>
          <x:t xml:space="preserve">КЛ-012</x:t>
        </x:is>
      </x:c>
      <x:c r="D44" s="31" t="inlineStr">
        <x:is>
          <x:t xml:space="preserve">СОТР-004</x:t>
        </x:is>
      </x:c>
      <x:c r="E44" s="31" t="inlineStr">
        <x:is>
          <x:t xml:space="preserve">Повторный заказ</x:t>
        </x:is>
      </x:c>
      <x:c r="F44" s="31" t="inlineStr">
        <x:is>
          <x:t xml:space="preserve">В производстве</x:t>
        </x:is>
      </x:c>
      <x:c r="G44" s="31" t="inlineStr">
        <x:is>
          <x:t xml:space="preserve">Низкий</x:t>
        </x:is>
      </x:c>
      <x:c r="H44" s="31" t="n">
        <x:v>46117</x:v>
      </x:c>
      <x:c r="I44" s="31" t="n">
        <x:v>46128</x:v>
      </x:c>
      <x:c r="J44" s="31" t="n">
        <x:v>9847079</x:v>
      </x:c>
      <x:c r="K44" s="31" t="n">
        <x:v>4442329</x:v>
      </x:c>
      <x:c r="L44" s="31" t="n">
        <x:v>1267765</x:v>
      </x:c>
      <x:c r="M44" s="31" t="n">
        <x:v>849595</x:v>
      </x:c>
      <x:c r="N44" s="31" t="n">
        <x:v>3287390</x:v>
      </x:c>
      <x:c r="O44" s="31" t="n">
        <x:v>50</x:v>
      </x:c>
      <x:c r="P44" s="31" t="inlineStr">
        <x:is>
          <x:t xml:space="preserve">Частично оплачен</x:t>
        </x:is>
      </x:c>
      <x:c r="Q44" s="31" t="inlineStr">
        <x:is>
          <x:t xml:space="preserve">СТК-2026-1043</x:t>
        </x:is>
      </x:c>
      <x:c r="R44" s="31" t="inlineStr">
        <x:is>
          <x:t xml:space="preserve">Низкий</x:t>
        </x:is>
      </x:c>
      <x:c r="S44" s="31" t="inlineStr">
        <x:is>
          <x:t xml:space="preserve">Нет</x:t>
        </x:is>
      </x:c>
      <x:c r="T44" s="31" t="inlineStr">
        <x:is>
          <x:t xml:space="preserve">Нет</x:t>
        </x:is>
      </x:c>
      <x:c r="U44" s="31" t="inlineStr">
        <x:is>
          <x:t xml:space="preserve">Сделка создана из канала повторная заявка</x:t>
        </x:is>
      </x:c>
    </x:row>
    <x:row r="45" ht="18" customHeight="1">
      <x:c r="A45" s="31" t="inlineStr">
        <x:is>
          <x:t xml:space="preserve">ЗК-1044</x:t>
        </x:is>
      </x:c>
      <x:c r="B45" s="31" t="n">
        <x:v>46184</x:v>
      </x:c>
      <x:c r="C45" s="31" t="inlineStr">
        <x:is>
          <x:t xml:space="preserve">КЛ-016</x:t>
        </x:is>
      </x:c>
      <x:c r="D45" s="31" t="inlineStr">
        <x:is>
          <x:t xml:space="preserve">СОТР-005</x:t>
        </x:is>
      </x:c>
      <x:c r="E45" s="31" t="inlineStr">
        <x:is>
          <x:t xml:space="preserve">Новый проект</x:t>
        </x:is>
      </x:c>
      <x:c r="F45" s="31" t="inlineStr">
        <x:is>
          <x:t xml:space="preserve">КД</x:t>
        </x:is>
      </x:c>
      <x:c r="G45" s="31" t="inlineStr">
        <x:is>
          <x:t xml:space="preserve">Низкий</x:t>
        </x:is>
      </x:c>
      <x:c r="H45" s="31" t="n">
        <x:v>46258</x:v>
      </x:c>
      <x:c r="I45" s="31" t="n">
        <x:v>46261</x:v>
      </x:c>
      <x:c r="J45" s="31" t="n">
        <x:v>4611161</x:v>
      </x:c>
      <x:c r="K45" s="31" t="n">
        <x:v>1854663</x:v>
      </x:c>
      <x:c r="L45" s="31" t="n">
        <x:v>586721</x:v>
      </x:c>
      <x:c r="M45" s="31" t="n">
        <x:v>334249</x:v>
      </x:c>
      <x:c r="N45" s="31" t="n">
        <x:v>1835528</x:v>
      </x:c>
      <x:c r="O45" s="31" t="n">
        <x:v>100</x:v>
      </x:c>
      <x:c r="P45" s="31" t="inlineStr">
        <x:is>
          <x:t xml:space="preserve">Счет выставлен</x:t>
        </x:is>
      </x:c>
      <x:c r="Q45" s="31" t="inlineStr">
        <x:is>
          <x:t xml:space="preserve">СТК-2026-1044</x:t>
        </x:is>
      </x:c>
      <x:c r="R45" s="31" t="inlineStr">
        <x:is>
          <x:t xml:space="preserve">Средний</x:t>
        </x:is>
      </x:c>
      <x:c r="S45" s="31" t="inlineStr">
        <x:is>
          <x:t xml:space="preserve">Нет</x:t>
        </x:is>
      </x:c>
      <x:c r="T45" s="31" t="inlineStr">
        <x:is>
          <x:t xml:space="preserve">Нет</x:t>
        </x:is>
      </x:c>
      <x:c r="U45" s="31" t="inlineStr">
        <x:is>
          <x:t xml:space="preserve">Сделка создана из канала повторная заявка</x:t>
        </x:is>
      </x:c>
    </x:row>
    <x:row r="46" ht="18" customHeight="1">
      <x:c r="A46" s="31" t="inlineStr">
        <x:is>
          <x:t xml:space="preserve">ЗК-1045</x:t>
        </x:is>
      </x:c>
      <x:c r="B46" s="31" t="n">
        <x:v>46161</x:v>
      </x:c>
      <x:c r="C46" s="31" t="inlineStr">
        <x:is>
          <x:t xml:space="preserve">КЛ-046</x:t>
        </x:is>
      </x:c>
      <x:c r="D46" s="31" t="inlineStr">
        <x:is>
          <x:t xml:space="preserve">СОТР-005</x:t>
        </x:is>
      </x:c>
      <x:c r="E46" s="31" t="inlineStr">
        <x:is>
          <x:t xml:space="preserve">Модернизация</x:t>
        </x:is>
      </x:c>
      <x:c r="F46" s="31" t="inlineStr">
        <x:is>
          <x:t xml:space="preserve">Готов к отгрузке</x:t>
        </x:is>
      </x:c>
      <x:c r="G46" s="31" t="inlineStr">
        <x:is>
          <x:t xml:space="preserve">Средний</x:t>
        </x:is>
      </x:c>
      <x:c r="H46" s="31" t="n">
        <x:v>46223</x:v>
      </x:c>
      <x:c r="I46" s="31" t="n">
        <x:v>46230</x:v>
      </x:c>
      <x:c r="J46" s="31" t="n">
        <x:v>34514080</x:v>
      </x:c>
      <x:c r="K46" s="31" t="n">
        <x:v>14499795</x:v>
      </x:c>
      <x:c r="L46" s="31" t="n">
        <x:v>3608621</x:v>
      </x:c>
      <x:c r="M46" s="31" t="n">
        <x:v>3227850</x:v>
      </x:c>
      <x:c r="N46" s="31" t="n">
        <x:v>13177814</x:v>
      </x:c>
      <x:c r="O46" s="31" t="n">
        <x:v>100</x:v>
      </x:c>
      <x:c r="P46" s="31" t="inlineStr">
        <x:is>
          <x:t xml:space="preserve">Не выставлен счет</x:t>
        </x:is>
      </x:c>
      <x:c r="Q46" s="31" t="inlineStr">
        <x:is>
          <x:t xml:space="preserve">СТК-2026-1045</x:t>
        </x:is>
      </x:c>
      <x:c r="R46" s="31" t="inlineStr">
        <x:is>
          <x:t xml:space="preserve">Низкий</x:t>
        </x:is>
      </x:c>
      <x:c r="S46" s="31" t="inlineStr">
        <x:is>
          <x:t xml:space="preserve">Нет</x:t>
        </x:is>
      </x:c>
      <x:c r="T46" s="31" t="inlineStr">
        <x:is>
          <x:t xml:space="preserve">Да</x:t>
        </x:is>
      </x:c>
      <x:c r="U46" s="31" t="inlineStr">
        <x:is>
          <x:t xml:space="preserve">Сделка создана из канала тендер</x:t>
        </x:is>
      </x:c>
    </x:row>
    <x:row r="47" ht="18" customHeight="1">
      <x:c r="A47" s="31" t="inlineStr">
        <x:is>
          <x:t xml:space="preserve">ЗК-1046</x:t>
        </x:is>
      </x:c>
      <x:c r="B47" s="31" t="n">
        <x:v>46135</x:v>
      </x:c>
      <x:c r="C47" s="31" t="inlineStr">
        <x:is>
          <x:t xml:space="preserve">КЛ-044</x:t>
        </x:is>
      </x:c>
      <x:c r="D47" s="31" t="inlineStr">
        <x:is>
          <x:t xml:space="preserve">СОТР-005</x:t>
        </x:is>
      </x:c>
      <x:c r="E47" s="31" t="inlineStr">
        <x:is>
          <x:t xml:space="preserve">Новый проект</x:t>
        </x:is>
      </x:c>
      <x:c r="F47" s="31" t="inlineStr">
        <x:is>
          <x:t xml:space="preserve">В производстве</x:t>
        </x:is>
      </x:c>
      <x:c r="G47" s="31" t="inlineStr">
        <x:is>
          <x:t xml:space="preserve">Средний</x:t>
        </x:is>
      </x:c>
      <x:c r="H47" s="31" t="n">
        <x:v>46186</x:v>
      </x:c>
      <x:c r="I47" s="31" t="n">
        <x:v>46192</x:v>
      </x:c>
      <x:c r="J47" s="31" t="n">
        <x:v>5601620</x:v>
      </x:c>
      <x:c r="K47" s="31" t="n">
        <x:v>2439508</x:v>
      </x:c>
      <x:c r="L47" s="31" t="n">
        <x:v>824760</x:v>
      </x:c>
      <x:c r="M47" s="31" t="n">
        <x:v>517316</x:v>
      </x:c>
      <x:c r="N47" s="31" t="n">
        <x:v>1820036</x:v>
      </x:c>
      <x:c r="O47" s="31" t="n">
        <x:v>30</x:v>
      </x:c>
      <x:c r="P47" s="31" t="inlineStr">
        <x:is>
          <x:t xml:space="preserve">Счет выставлен</x:t>
        </x:is>
      </x:c>
      <x:c r="Q47" s="31" t="inlineStr">
        <x:is>
          <x:t xml:space="preserve">СТК-2026-1046</x:t>
        </x:is>
      </x:c>
      <x:c r="R47" s="31" t="inlineStr">
        <x:is>
          <x:t xml:space="preserve">Средний</x:t>
        </x:is>
      </x:c>
      <x:c r="S47" s="31" t="inlineStr">
        <x:is>
          <x:t xml:space="preserve">Нет</x:t>
        </x:is>
      </x:c>
      <x:c r="T47" s="31" t="inlineStr">
        <x:is>
          <x:t xml:space="preserve">Нет</x:t>
        </x:is>
      </x:c>
      <x:c r="U47" s="31" t="inlineStr">
        <x:is>
          <x:t xml:space="preserve">Сделка создана из канала тендер</x:t>
        </x:is>
      </x:c>
    </x:row>
    <x:row r="48" ht="18" customHeight="1">
      <x:c r="A48" s="31" t="inlineStr">
        <x:is>
          <x:t xml:space="preserve">ЗК-1047</x:t>
        </x:is>
      </x:c>
      <x:c r="B48" s="31" t="n">
        <x:v>46121</x:v>
      </x:c>
      <x:c r="C48" s="31" t="inlineStr">
        <x:is>
          <x:t xml:space="preserve">КЛ-009</x:t>
        </x:is>
      </x:c>
      <x:c r="D48" s="31" t="inlineStr">
        <x:is>
          <x:t xml:space="preserve">СОТР-005</x:t>
        </x:is>
      </x:c>
      <x:c r="E48" s="31" t="inlineStr">
        <x:is>
          <x:t xml:space="preserve">Повторный заказ</x:t>
        </x:is>
      </x:c>
      <x:c r="F48" s="31" t="inlineStr">
        <x:is>
          <x:t xml:space="preserve">КД</x:t>
        </x:is>
      </x:c>
      <x:c r="G48" s="31" t="inlineStr">
        <x:is>
          <x:t xml:space="preserve">Средний</x:t>
        </x:is>
      </x:c>
      <x:c r="H48" s="31" t="n">
        <x:v>46176</x:v>
      </x:c>
      <x:c r="I48" s="31" t="n">
        <x:v>46179</x:v>
      </x:c>
      <x:c r="J48" s="31" t="n">
        <x:v>7339695</x:v>
      </x:c>
      <x:c r="K48" s="31" t="n">
        <x:v>2986972</x:v>
      </x:c>
      <x:c r="L48" s="31" t="n">
        <x:v>854519</x:v>
      </x:c>
      <x:c r="M48" s="31" t="n">
        <x:v>623470</x:v>
      </x:c>
      <x:c r="N48" s="31" t="n">
        <x:v>2874734</x:v>
      </x:c>
      <x:c r="O48" s="31" t="n">
        <x:v>100</x:v>
      </x:c>
      <x:c r="P48" s="31" t="inlineStr">
        <x:is>
          <x:t xml:space="preserve">Не выставлен счет</x:t>
        </x:is>
      </x:c>
      <x:c r="Q48" s="31" t="inlineStr">
        <x:is>
          <x:t xml:space="preserve">СТК-2026-1047</x:t>
        </x:is>
      </x:c>
      <x:c r="R48" s="31" t="inlineStr">
        <x:is>
          <x:t xml:space="preserve">Низкий</x:t>
        </x:is>
      </x:c>
      <x:c r="S48" s="31" t="inlineStr">
        <x:is>
          <x:t xml:space="preserve">Нет</x:t>
        </x:is>
      </x:c>
      <x:c r="T48" s="31" t="inlineStr">
        <x:is>
          <x:t xml:space="preserve">Нет</x:t>
        </x:is>
      </x:c>
      <x:c r="U48" s="31" t="inlineStr">
        <x:is>
          <x:t xml:space="preserve">Сделка создана из канала повторная заявка</x:t>
        </x:is>
      </x:c>
    </x:row>
    <x:row r="49" ht="18" customHeight="1">
      <x:c r="A49" s="31" t="inlineStr">
        <x:is>
          <x:t xml:space="preserve">ЗК-1048</x:t>
        </x:is>
      </x:c>
      <x:c r="B49" s="31" t="n">
        <x:v>46141</x:v>
      </x:c>
      <x:c r="C49" s="31" t="inlineStr">
        <x:is>
          <x:t xml:space="preserve">КЛ-034</x:t>
        </x:is>
      </x:c>
      <x:c r="D49" s="31" t="inlineStr">
        <x:is>
          <x:t xml:space="preserve">СОТР-004</x:t>
        </x:is>
      </x:c>
      <x:c r="E49" s="31" t="inlineStr">
        <x:is>
          <x:t xml:space="preserve">Новый проект</x:t>
        </x:is>
      </x:c>
      <x:c r="F49" s="31" t="inlineStr">
        <x:is>
          <x:t xml:space="preserve">Договор</x:t>
        </x:is>
      </x:c>
      <x:c r="G49" s="31" t="inlineStr">
        <x:is>
          <x:t xml:space="preserve">Высокий</x:t>
        </x:is>
      </x:c>
      <x:c r="H49" s="31" t="n">
        <x:v>46199</x:v>
      </x:c>
      <x:c r="I49" s="31" t="n">
        <x:v>46201</x:v>
      </x:c>
      <x:c r="J49" s="31" t="n">
        <x:v>2195410</x:v>
      </x:c>
      <x:c r="K49" s="31" t="n">
        <x:v>1141712</x:v>
      </x:c>
      <x:c r="L49" s="31" t="n">
        <x:v>302830</x:v>
      </x:c>
      <x:c r="M49" s="31" t="n">
        <x:v>113373</x:v>
      </x:c>
      <x:c r="N49" s="31" t="n">
        <x:v>637495</x:v>
      </x:c>
      <x:c r="O49" s="31" t="n">
        <x:v>50</x:v>
      </x:c>
      <x:c r="P49" s="31" t="inlineStr">
        <x:is>
          <x:t xml:space="preserve">Счет выставлен</x:t>
        </x:is>
      </x:c>
      <x:c r="Q49" s="31" t="inlineStr">
        <x:is>
          <x:t xml:space="preserve">СТК-2026-1048</x:t>
        </x:is>
      </x:c>
      <x:c r="R49" s="31" t="inlineStr">
        <x:is>
          <x:t xml:space="preserve">Низкий</x:t>
        </x:is>
      </x:c>
      <x:c r="S49" s="31" t="inlineStr">
        <x:is>
          <x:t xml:space="preserve">Нет</x:t>
        </x:is>
      </x:c>
      <x:c r="T49" s="31" t="inlineStr">
        <x:is>
          <x:t xml:space="preserve">Нет</x:t>
        </x:is>
      </x:c>
      <x:c r="U49" s="31" t="inlineStr">
        <x:is>
          <x:t xml:space="preserve">Сделка создана из канала повторная заявка</x:t>
        </x:is>
      </x:c>
    </x:row>
    <x:row r="50" ht="18" customHeight="1">
      <x:c r="A50" s="31" t="inlineStr">
        <x:is>
          <x:t xml:space="preserve">ЗК-1049</x:t>
        </x:is>
      </x:c>
      <x:c r="B50" s="31" t="n">
        <x:v>46032</x:v>
      </x:c>
      <x:c r="C50" s="31" t="inlineStr">
        <x:is>
          <x:t xml:space="preserve">КЛ-032</x:t>
        </x:is>
      </x:c>
      <x:c r="D50" s="31" t="inlineStr">
        <x:is>
          <x:t xml:space="preserve">СОТР-005</x:t>
        </x:is>
      </x:c>
      <x:c r="E50" s="31" t="inlineStr">
        <x:is>
          <x:t xml:space="preserve">Новый проект</x:t>
        </x:is>
      </x:c>
      <x:c r="F50" s="31" t="inlineStr">
        <x:is>
          <x:t xml:space="preserve">Отгружено</x:t>
        </x:is>
      </x:c>
      <x:c r="G50" s="31" t="inlineStr">
        <x:is>
          <x:t xml:space="preserve">Низкий</x:t>
        </x:is>
      </x:c>
      <x:c r="H50" s="31" t="n">
        <x:v>46076</x:v>
      </x:c>
      <x:c r="I50" s="31" t="n">
        <x:v>46078</x:v>
      </x:c>
      <x:c r="J50" s="31" t="n">
        <x:v>4932508</x:v>
      </x:c>
      <x:c r="K50" s="31" t="n">
        <x:v>2225373</x:v>
      </x:c>
      <x:c r="L50" s="31" t="n">
        <x:v>564620</x:v>
      </x:c>
      <x:c r="M50" s="31" t="n">
        <x:v>387705</x:v>
      </x:c>
      <x:c r="N50" s="31" t="n">
        <x:v>1754810</x:v>
      </x:c>
      <x:c r="O50" s="31" t="n">
        <x:v>20</x:v>
      </x:c>
      <x:c r="P50" s="31" t="inlineStr">
        <x:is>
          <x:t xml:space="preserve">Счет выставлен</x:t>
        </x:is>
      </x:c>
      <x:c r="Q50" s="31" t="inlineStr">
        <x:is>
          <x:t xml:space="preserve">СТК-2026-1049</x:t>
        </x:is>
      </x:c>
      <x:c r="R50" s="31" t="inlineStr">
        <x:is>
          <x:t xml:space="preserve">Средний</x:t>
        </x:is>
      </x:c>
      <x:c r="S50" s="31" t="inlineStr">
        <x:is>
          <x:t xml:space="preserve">Нет</x:t>
        </x:is>
      </x:c>
      <x:c r="T50" s="31" t="inlineStr">
        <x:is>
          <x:t xml:space="preserve">Нет</x:t>
        </x:is>
      </x:c>
      <x:c r="U50" s="31" t="inlineStr">
        <x:is>
          <x:t xml:space="preserve">Сделка создана из канала прямой запрос</x:t>
        </x:is>
      </x:c>
    </x:row>
    <x:row r="51" ht="18" customHeight="1">
      <x:c r="A51" s="31" t="inlineStr">
        <x:is>
          <x:t xml:space="preserve">ЗК-1050</x:t>
        </x:is>
      </x:c>
      <x:c r="B51" s="31" t="n">
        <x:v>46078</x:v>
      </x:c>
      <x:c r="C51" s="31" t="inlineStr">
        <x:is>
          <x:t xml:space="preserve">КЛ-047</x:t>
        </x:is>
      </x:c>
      <x:c r="D51" s="31" t="inlineStr">
        <x:is>
          <x:t xml:space="preserve">СОТР-005</x:t>
        </x:is>
      </x:c>
      <x:c r="E51" s="31" t="inlineStr">
        <x:is>
          <x:t xml:space="preserve">Повторный заказ</x:t>
        </x:is>
      </x:c>
      <x:c r="F51" s="31" t="inlineStr">
        <x:is>
          <x:t xml:space="preserve">В производстве</x:t>
        </x:is>
      </x:c>
      <x:c r="G51" s="31" t="inlineStr">
        <x:is>
          <x:t xml:space="preserve">Средний</x:t>
        </x:is>
      </x:c>
      <x:c r="H51" s="31" t="n">
        <x:v>46107</x:v>
      </x:c>
      <x:c r="I51" s="31" t="n">
        <x:v>46110</x:v>
      </x:c>
      <x:c r="J51" s="31" t="n">
        <x:v>10997637</x:v>
      </x:c>
      <x:c r="K51" s="31" t="n">
        <x:v>5187243</x:v>
      </x:c>
      <x:c r="L51" s="31" t="n">
        <x:v>1054580</x:v>
      </x:c>
      <x:c r="M51" s="31" t="n">
        <x:v>988280</x:v>
      </x:c>
      <x:c r="N51" s="31" t="n">
        <x:v>3767534</x:v>
      </x:c>
      <x:c r="O51" s="31" t="n">
        <x:v>100</x:v>
      </x:c>
      <x:c r="P51" s="31" t="inlineStr">
        <x:is>
          <x:t xml:space="preserve">Частично оплачен</x:t>
        </x:is>
      </x:c>
      <x:c r="Q51" s="31" t="inlineStr">
        <x:is>
          <x:t xml:space="preserve">СТК-2026-1050</x:t>
        </x:is>
      </x:c>
      <x:c r="R51" s="31" t="inlineStr">
        <x:is>
          <x:t xml:space="preserve">Низкий</x:t>
        </x:is>
      </x:c>
      <x:c r="S51" s="31" t="inlineStr">
        <x:is>
          <x:t xml:space="preserve">Нет</x:t>
        </x:is>
      </x:c>
      <x:c r="T51" s="31" t="inlineStr">
        <x:is>
          <x:t xml:space="preserve">Нет</x:t>
        </x:is>
      </x:c>
      <x:c r="U51" s="31" t="inlineStr">
        <x:is>
          <x:t xml:space="preserve">Сделка создана из канала повторная заявка</x:t>
        </x:is>
      </x:c>
    </x:row>
    <x:row r="52" ht="18" customHeight="1">
      <x:c r="A52" s="31" t="inlineStr">
        <x:is>
          <x:t xml:space="preserve">ЗК-1051</x:t>
        </x:is>
      </x:c>
      <x:c r="B52" s="31" t="n">
        <x:v>46091</x:v>
      </x:c>
      <x:c r="C52" s="31" t="inlineStr">
        <x:is>
          <x:t xml:space="preserve">КЛ-002</x:t>
        </x:is>
      </x:c>
      <x:c r="D52" s="31" t="inlineStr">
        <x:is>
          <x:t xml:space="preserve">СОТР-003</x:t>
        </x:is>
      </x:c>
      <x:c r="E52" s="31" t="inlineStr">
        <x:is>
          <x:t xml:space="preserve">Новый проект</x:t>
        </x:is>
      </x:c>
      <x:c r="F52" s="31" t="inlineStr">
        <x:is>
          <x:t xml:space="preserve">Договор</x:t>
        </x:is>
      </x:c>
      <x:c r="G52" s="31" t="inlineStr">
        <x:is>
          <x:t xml:space="preserve">Средний</x:t>
        </x:is>
      </x:c>
      <x:c r="H52" s="31" t="n">
        <x:v>46161</x:v>
      </x:c>
      <x:c r="I52" s="31" t="n">
        <x:v>46163</x:v>
      </x:c>
      <x:c r="J52" s="31" t="n">
        <x:v>4703218</x:v>
      </x:c>
      <x:c r="K52" s="31" t="n">
        <x:v>1955076</x:v>
      </x:c>
      <x:c r="L52" s="31" t="n">
        <x:v>572679</x:v>
      </x:c>
      <x:c r="M52" s="31" t="n">
        <x:v>407006</x:v>
      </x:c>
      <x:c r="N52" s="31" t="n">
        <x:v>1768457</x:v>
      </x:c>
      <x:c r="O52" s="31" t="n">
        <x:v>50</x:v>
      </x:c>
      <x:c r="P52" s="31" t="inlineStr">
        <x:is>
          <x:t xml:space="preserve">Счет выставлен</x:t>
        </x:is>
      </x:c>
      <x:c r="Q52" s="31" t="inlineStr">
        <x:is>
          <x:t xml:space="preserve">СТК-2026-1051</x:t>
        </x:is>
      </x:c>
      <x:c r="R52" s="31" t="inlineStr">
        <x:is>
          <x:t xml:space="preserve">Средний</x:t>
        </x:is>
      </x:c>
      <x:c r="S52" s="31" t="inlineStr">
        <x:is>
          <x:t xml:space="preserve">Нет</x:t>
        </x:is>
      </x:c>
      <x:c r="T52" s="31" t="inlineStr">
        <x:is>
          <x:t xml:space="preserve">Нет</x:t>
        </x:is>
      </x:c>
      <x:c r="U52" s="31" t="inlineStr">
        <x:is>
          <x:t xml:space="preserve">Сделка создана из канала прямой запрос</x:t>
        </x:is>
      </x:c>
    </x:row>
    <x:row r="53" ht="18" customHeight="1">
      <x:c r="A53" s="31" t="inlineStr">
        <x:is>
          <x:t xml:space="preserve">ЗК-1052</x:t>
        </x:is>
      </x:c>
      <x:c r="B53" s="31" t="n">
        <x:v>46089</x:v>
      </x:c>
      <x:c r="C53" s="31" t="inlineStr">
        <x:is>
          <x:t xml:space="preserve">КЛ-019</x:t>
        </x:is>
      </x:c>
      <x:c r="D53" s="31" t="inlineStr">
        <x:is>
          <x:t xml:space="preserve">СОТР-005</x:t>
        </x:is>
      </x:c>
      <x:c r="E53" s="31" t="inlineStr">
        <x:is>
          <x:t xml:space="preserve">Аварийная поставка</x:t>
        </x:is>
      </x:c>
      <x:c r="F53" s="31" t="inlineStr">
        <x:is>
          <x:t xml:space="preserve">Готов к отгрузке</x:t>
        </x:is>
      </x:c>
      <x:c r="G53" s="31" t="inlineStr">
        <x:is>
          <x:t xml:space="preserve">Срочный</x:t>
        </x:is>
      </x:c>
      <x:c r="H53" s="31" t="n">
        <x:v>46149</x:v>
      </x:c>
      <x:c r="I53" s="31" t="n">
        <x:v>46155</x:v>
      </x:c>
      <x:c r="J53" s="31" t="n">
        <x:v>5432458</x:v>
      </x:c>
      <x:c r="K53" s="31" t="n">
        <x:v>2441098</x:v>
      </x:c>
      <x:c r="L53" s="31" t="n">
        <x:v>565795</x:v>
      </x:c>
      <x:c r="M53" s="31" t="n">
        <x:v>378124</x:v>
      </x:c>
      <x:c r="N53" s="31" t="n">
        <x:v>2047441</x:v>
      </x:c>
      <x:c r="O53" s="31" t="n">
        <x:v>20</x:v>
      </x:c>
      <x:c r="P53" s="31" t="inlineStr">
        <x:is>
          <x:t xml:space="preserve">Не выставлен счет</x:t>
        </x:is>
      </x:c>
      <x:c r="Q53" s="31" t="inlineStr">
        <x:is>
          <x:t xml:space="preserve">СТК-2026-1052</x:t>
        </x:is>
      </x:c>
      <x:c r="R53" s="31" t="inlineStr">
        <x:is>
          <x:t xml:space="preserve">Средний</x:t>
        </x:is>
      </x:c>
      <x:c r="S53" s="31" t="inlineStr">
        <x:is>
          <x:t xml:space="preserve">Да</x:t>
        </x:is>
      </x:c>
      <x:c r="T53" s="31" t="inlineStr">
        <x:is>
          <x:t xml:space="preserve">Нет</x:t>
        </x:is>
      </x:c>
      <x:c r="U53" s="31" t="inlineStr">
        <x:is>
          <x:t xml:space="preserve">Сделка создана из канала сервис</x:t>
        </x:is>
      </x:c>
    </x:row>
    <x:row r="54" ht="18" customHeight="1">
      <x:c r="A54" s="31" t="inlineStr">
        <x:is>
          <x:t xml:space="preserve">ЗК-1053</x:t>
        </x:is>
      </x:c>
      <x:c r="B54" s="31" t="n">
        <x:v>46098</x:v>
      </x:c>
      <x:c r="C54" s="31" t="inlineStr">
        <x:is>
          <x:t xml:space="preserve">КЛ-042</x:t>
        </x:is>
      </x:c>
      <x:c r="D54" s="31" t="inlineStr">
        <x:is>
          <x:t xml:space="preserve">СОТР-003</x:t>
        </x:is>
      </x:c>
      <x:c r="E54" s="31" t="inlineStr">
        <x:is>
          <x:t xml:space="preserve">Новый проект</x:t>
        </x:is>
      </x:c>
      <x:c r="F54" s="31" t="inlineStr">
        <x:is>
          <x:t xml:space="preserve">В производстве</x:t>
        </x:is>
      </x:c>
      <x:c r="G54" s="31" t="inlineStr">
        <x:is>
          <x:t xml:space="preserve">Средний</x:t>
        </x:is>
      </x:c>
      <x:c r="H54" s="31" t="n">
        <x:v>46170</x:v>
      </x:c>
      <x:c r="I54" s="31" t="n">
        <x:v>46169</x:v>
      </x:c>
      <x:c r="J54" s="31" t="n">
        <x:v>14274736</x:v>
      </x:c>
      <x:c r="K54" s="31" t="n">
        <x:v>6251412</x:v>
      </x:c>
      <x:c r="L54" s="31" t="n">
        <x:v>1409805</x:v>
      </x:c>
      <x:c r="M54" s="31" t="n">
        <x:v>1148613</x:v>
      </x:c>
      <x:c r="N54" s="31" t="n">
        <x:v>5464906</x:v>
      </x:c>
      <x:c r="O54" s="31" t="n">
        <x:v>100</x:v>
      </x:c>
      <x:c r="P54" s="31" t="inlineStr">
        <x:is>
          <x:t xml:space="preserve">Счет выставлен</x:t>
        </x:is>
      </x:c>
      <x:c r="Q54" s="31" t="inlineStr">
        <x:is>
          <x:t xml:space="preserve">СТК-2026-1053</x:t>
        </x:is>
      </x:c>
      <x:c r="R54" s="31" t="inlineStr">
        <x:is>
          <x:t xml:space="preserve">Средний</x:t>
        </x:is>
      </x:c>
      <x:c r="S54" s="31" t="inlineStr">
        <x:is>
          <x:t xml:space="preserve">Нет</x:t>
        </x:is>
      </x:c>
      <x:c r="T54" s="31" t="inlineStr">
        <x:is>
          <x:t xml:space="preserve">Нет</x:t>
        </x:is>
      </x:c>
      <x:c r="U54" s="31" t="inlineStr">
        <x:is>
          <x:t xml:space="preserve">Сделка создана из канала прямой запрос</x:t>
        </x:is>
      </x:c>
    </x:row>
    <x:row r="55" ht="18" customHeight="1">
      <x:c r="A55" s="31" t="inlineStr">
        <x:is>
          <x:t xml:space="preserve">ЗК-1054</x:t>
        </x:is>
      </x:c>
      <x:c r="B55" s="31" t="n">
        <x:v>46099</x:v>
      </x:c>
      <x:c r="C55" s="31" t="inlineStr">
        <x:is>
          <x:t xml:space="preserve">КЛ-045</x:t>
        </x:is>
      </x:c>
      <x:c r="D55" s="31" t="inlineStr">
        <x:is>
          <x:t xml:space="preserve">СОТР-004</x:t>
        </x:is>
      </x:c>
      <x:c r="E55" s="31" t="inlineStr">
        <x:is>
          <x:t xml:space="preserve">Новый проект</x:t>
        </x:is>
      </x:c>
      <x:c r="F55" s="31" t="inlineStr">
        <x:is>
          <x:t xml:space="preserve">Договор</x:t>
        </x:is>
      </x:c>
      <x:c r="G55" s="31" t="inlineStr">
        <x:is>
          <x:t xml:space="preserve">Средний</x:t>
        </x:is>
      </x:c>
      <x:c r="H55" s="31" t="n">
        <x:v>46179</x:v>
      </x:c>
      <x:c r="I55" s="31" t="n">
        <x:v>46181</x:v>
      </x:c>
      <x:c r="J55" s="31" t="n">
        <x:v>414911</x:v>
      </x:c>
      <x:c r="K55" s="31" t="n">
        <x:v>168132</x:v>
      </x:c>
      <x:c r="L55" s="31" t="n">
        <x:v>56981</x:v>
      </x:c>
      <x:c r="M55" s="31" t="n">
        <x:v>24883</x:v>
      </x:c>
      <x:c r="N55" s="31" t="n">
        <x:v>164915</x:v>
      </x:c>
      <x:c r="O55" s="31" t="n">
        <x:v>70</x:v>
      </x:c>
      <x:c r="P55" s="31" t="inlineStr">
        <x:is>
          <x:t xml:space="preserve">Частично оплачен</x:t>
        </x:is>
      </x:c>
      <x:c r="Q55" s="31" t="inlineStr">
        <x:is>
          <x:t xml:space="preserve">СТК-2026-1054</x:t>
        </x:is>
      </x:c>
      <x:c r="R55" s="31" t="inlineStr">
        <x:is>
          <x:t xml:space="preserve">Средний</x:t>
        </x:is>
      </x:c>
      <x:c r="S55" s="31" t="inlineStr">
        <x:is>
          <x:t xml:space="preserve">Нет</x:t>
        </x:is>
      </x:c>
      <x:c r="T55" s="31" t="inlineStr">
        <x:is>
          <x:t xml:space="preserve">Нет</x:t>
        </x:is>
      </x:c>
      <x:c r="U55" s="31" t="inlineStr">
        <x:is>
          <x:t xml:space="preserve">Сделка создана из канала прямой запрос</x:t>
        </x:is>
      </x:c>
    </x:row>
    <x:row r="56" ht="18" customHeight="1">
      <x:c r="A56" s="31" t="inlineStr">
        <x:is>
          <x:t xml:space="preserve">ЗК-1055</x:t>
        </x:is>
      </x:c>
      <x:c r="B56" s="31" t="n">
        <x:v>46040</x:v>
      </x:c>
      <x:c r="C56" s="31" t="inlineStr">
        <x:is>
          <x:t xml:space="preserve">КЛ-028</x:t>
        </x:is>
      </x:c>
      <x:c r="D56" s="31" t="inlineStr">
        <x:is>
          <x:t xml:space="preserve">СОТР-003</x:t>
        </x:is>
      </x:c>
      <x:c r="E56" s="31" t="inlineStr">
        <x:is>
          <x:t xml:space="preserve">Повторный заказ</x:t>
        </x:is>
      </x:c>
      <x:c r="F56" s="31" t="inlineStr">
        <x:is>
          <x:t xml:space="preserve">В производстве</x:t>
        </x:is>
      </x:c>
      <x:c r="G56" s="31" t="inlineStr">
        <x:is>
          <x:t xml:space="preserve">Средний</x:t>
        </x:is>
      </x:c>
      <x:c r="H56" s="31" t="n">
        <x:v>46125</x:v>
      </x:c>
      <x:c r="I56" s="31" t="n">
        <x:v>46137</x:v>
      </x:c>
      <x:c r="J56" s="31" t="n">
        <x:v>6753860</x:v>
      </x:c>
      <x:c r="K56" s="31" t="n">
        <x:v>3524180</x:v>
      </x:c>
      <x:c r="L56" s="31" t="n">
        <x:v>900156</x:v>
      </x:c>
      <x:c r="M56" s="31" t="n">
        <x:v>659525</x:v>
      </x:c>
      <x:c r="N56" s="31" t="n">
        <x:v>1669999</x:v>
      </x:c>
      <x:c r="O56" s="31" t="n">
        <x:v>50</x:v>
      </x:c>
      <x:c r="P56" s="31" t="inlineStr">
        <x:is>
          <x:t xml:space="preserve">Счет выставлен</x:t>
        </x:is>
      </x:c>
      <x:c r="Q56" s="31" t="inlineStr">
        <x:is>
          <x:t xml:space="preserve">СТК-2026-1055</x:t>
        </x:is>
      </x:c>
      <x:c r="R56" s="31" t="inlineStr">
        <x:is>
          <x:t xml:space="preserve">Критичный</x:t>
        </x:is>
      </x:c>
      <x:c r="S56" s="31" t="inlineStr">
        <x:is>
          <x:t xml:space="preserve">Нет</x:t>
        </x:is>
      </x:c>
      <x:c r="T56" s="31" t="inlineStr">
        <x:is>
          <x:t xml:space="preserve">Нет</x:t>
        </x:is>
      </x:c>
      <x:c r="U56" s="31" t="inlineStr">
        <x:is>
          <x:t xml:space="preserve">Сделка создана из канала повторная заявка</x:t>
        </x:is>
      </x:c>
    </x:row>
    <x:row r="57" ht="18" customHeight="1">
      <x:c r="A57" s="31" t="inlineStr">
        <x:is>
          <x:t xml:space="preserve">ЗК-1056</x:t>
        </x:is>
      </x:c>
      <x:c r="B57" s="31" t="n">
        <x:v>46055</x:v>
      </x:c>
      <x:c r="C57" s="31" t="inlineStr">
        <x:is>
          <x:t xml:space="preserve">КЛ-035</x:t>
        </x:is>
      </x:c>
      <x:c r="D57" s="31" t="inlineStr">
        <x:is>
          <x:t xml:space="preserve">СОТР-004</x:t>
        </x:is>
      </x:c>
      <x:c r="E57" s="31" t="inlineStr">
        <x:is>
          <x:t xml:space="preserve">Повторный заказ</x:t>
        </x:is>
      </x:c>
      <x:c r="F57" s="31" t="inlineStr">
        <x:is>
          <x:t xml:space="preserve">В производстве</x:t>
        </x:is>
      </x:c>
      <x:c r="G57" s="31" t="inlineStr">
        <x:is>
          <x:t xml:space="preserve">Низкий</x:t>
        </x:is>
      </x:c>
      <x:c r="H57" s="31" t="n">
        <x:v>46132</x:v>
      </x:c>
      <x:c r="I57" s="31" t="n">
        <x:v>46134</x:v>
      </x:c>
      <x:c r="J57" s="31" t="n">
        <x:v>11269491</x:v>
      </x:c>
      <x:c r="K57" s="31" t="n">
        <x:v>4975693</x:v>
      </x:c>
      <x:c r="L57" s="31" t="n">
        <x:v>1482312</x:v>
      </x:c>
      <x:c r="M57" s="31" t="n">
        <x:v>1083372</x:v>
      </x:c>
      <x:c r="N57" s="31" t="n">
        <x:v>3728114</x:v>
      </x:c>
      <x:c r="O57" s="31" t="n">
        <x:v>100</x:v>
      </x:c>
      <x:c r="P57" s="31" t="inlineStr">
        <x:is>
          <x:t xml:space="preserve">Счет выставлен</x:t>
        </x:is>
      </x:c>
      <x:c r="Q57" s="31" t="inlineStr">
        <x:is>
          <x:t xml:space="preserve">СТК-2026-1056</x:t>
        </x:is>
      </x:c>
      <x:c r="R57" s="31" t="inlineStr">
        <x:is>
          <x:t xml:space="preserve">Низкий</x:t>
        </x:is>
      </x:c>
      <x:c r="S57" s="31" t="inlineStr">
        <x:is>
          <x:t xml:space="preserve">Нет</x:t>
        </x:is>
      </x:c>
      <x:c r="T57" s="31" t="inlineStr">
        <x:is>
          <x:t xml:space="preserve">Нет</x:t>
        </x:is>
      </x:c>
      <x:c r="U57" s="31" t="inlineStr">
        <x:is>
          <x:t xml:space="preserve">Сделка создана из канала повторная заявка</x:t>
        </x:is>
      </x:c>
    </x:row>
    <x:row r="58" ht="18" customHeight="1">
      <x:c r="A58" s="31" t="inlineStr">
        <x:is>
          <x:t xml:space="preserve">ЗК-1057</x:t>
        </x:is>
      </x:c>
      <x:c r="B58" s="31" t="n">
        <x:v>46139</x:v>
      </x:c>
      <x:c r="C58" s="31" t="inlineStr">
        <x:is>
          <x:t xml:space="preserve">КЛ-043</x:t>
        </x:is>
      </x:c>
      <x:c r="D58" s="31" t="inlineStr">
        <x:is>
          <x:t xml:space="preserve">СОТР-004</x:t>
        </x:is>
      </x:c>
      <x:c r="E58" s="31" t="inlineStr">
        <x:is>
          <x:t xml:space="preserve">Модернизация</x:t>
        </x:is>
      </x:c>
      <x:c r="F58" s="31" t="inlineStr">
        <x:is>
          <x:t xml:space="preserve">В производстве</x:t>
        </x:is>
      </x:c>
      <x:c r="G58" s="31" t="inlineStr">
        <x:is>
          <x:t xml:space="preserve">Средний</x:t>
        </x:is>
      </x:c>
      <x:c r="H58" s="31" t="n">
        <x:v>46172</x:v>
      </x:c>
      <x:c r="I58" s="31" t="n">
        <x:v>46176</x:v>
      </x:c>
      <x:c r="J58" s="31" t="n">
        <x:v>1470651</x:v>
      </x:c>
      <x:c r="K58" s="31" t="n">
        <x:v>751668</x:v>
      </x:c>
      <x:c r="L58" s="31" t="n">
        <x:v>205829</x:v>
      </x:c>
      <x:c r="M58" s="31" t="n">
        <x:v>114846</x:v>
      </x:c>
      <x:c r="N58" s="31" t="n">
        <x:v>398308</x:v>
      </x:c>
      <x:c r="O58" s="31" t="n">
        <x:v>70</x:v>
      </x:c>
      <x:c r="P58" s="31" t="inlineStr">
        <x:is>
          <x:t xml:space="preserve">Счет выставлен</x:t>
        </x:is>
      </x:c>
      <x:c r="Q58" s="31" t="inlineStr">
        <x:is>
          <x:t xml:space="preserve">СТК-2026-1057</x:t>
        </x:is>
      </x:c>
      <x:c r="R58" s="31" t="inlineStr">
        <x:is>
          <x:t xml:space="preserve">Низкий</x:t>
        </x:is>
      </x:c>
      <x:c r="S58" s="31" t="inlineStr">
        <x:is>
          <x:t xml:space="preserve">Нет</x:t>
        </x:is>
      </x:c>
      <x:c r="T58" s="31" t="inlineStr">
        <x:is>
          <x:t xml:space="preserve">Да</x:t>
        </x:is>
      </x:c>
      <x:c r="U58" s="31" t="inlineStr">
        <x:is>
          <x:t xml:space="preserve">Сделка создана из канала тендер</x:t>
        </x:is>
      </x:c>
    </x:row>
    <x:row r="59" ht="18" customHeight="1">
      <x:c r="A59" s="31" t="inlineStr">
        <x:is>
          <x:t xml:space="preserve">ЗК-1058</x:t>
        </x:is>
      </x:c>
      <x:c r="B59" s="31" t="n">
        <x:v>46128</x:v>
      </x:c>
      <x:c r="C59" s="31" t="inlineStr">
        <x:is>
          <x:t xml:space="preserve">КЛ-024</x:t>
        </x:is>
      </x:c>
      <x:c r="D59" s="31" t="inlineStr">
        <x:is>
          <x:t xml:space="preserve">СОТР-004</x:t>
        </x:is>
      </x:c>
      <x:c r="E59" s="31" t="inlineStr">
        <x:is>
          <x:t xml:space="preserve">Новый проект</x:t>
        </x:is>
      </x:c>
      <x:c r="F59" s="31" t="inlineStr">
        <x:is>
          <x:t xml:space="preserve">КП отправлено</x:t>
        </x:is>
      </x:c>
      <x:c r="G59" s="31" t="inlineStr">
        <x:is>
          <x:t xml:space="preserve">Высокий</x:t>
        </x:is>
      </x:c>
      <x:c r="H59" s="31" t="n">
        <x:v>46147</x:v>
      </x:c>
      <x:c r="I59" s="31" t="n">
        <x:v>46148</x:v>
      </x:c>
      <x:c r="J59" s="31" t="n">
        <x:v>538311</x:v>
      </x:c>
      <x:c r="K59" s="31" t="n">
        <x:v>255848</x:v>
      </x:c>
      <x:c r="L59" s="31" t="n">
        <x:v>39809</x:v>
      </x:c>
      <x:c r="M59" s="31" t="n">
        <x:v>49379</x:v>
      </x:c>
      <x:c r="N59" s="31" t="n">
        <x:v>193275</x:v>
      </x:c>
      <x:c r="O59" s="31" t="n">
        <x:v>40</x:v>
      </x:c>
      <x:c r="P59" s="31" t="inlineStr">
        <x:is>
          <x:t xml:space="preserve">Частично оплачен</x:t>
        </x:is>
      </x:c>
      <x:c r="Q59" s="31" t="n"/>
      <x:c r="R59" s="31" t="inlineStr">
        <x:is>
          <x:t xml:space="preserve">Низкий</x:t>
        </x:is>
      </x:c>
      <x:c r="S59" s="31" t="inlineStr">
        <x:is>
          <x:t xml:space="preserve">Нет</x:t>
        </x:is>
      </x:c>
      <x:c r="T59" s="31" t="inlineStr">
        <x:is>
          <x:t xml:space="preserve">Нет</x:t>
        </x:is>
      </x:c>
      <x:c r="U59" s="31" t="inlineStr">
        <x:is>
          <x:t xml:space="preserve">Сделка создана из канала повторная заявка</x:t>
        </x:is>
      </x:c>
    </x:row>
    <x:row r="60" ht="18" customHeight="1">
      <x:c r="A60" s="31" t="inlineStr">
        <x:is>
          <x:t xml:space="preserve">ЗК-1059</x:t>
        </x:is>
      </x:c>
      <x:c r="B60" s="31" t="n">
        <x:v>46177</x:v>
      </x:c>
      <x:c r="C60" s="31" t="inlineStr">
        <x:is>
          <x:t xml:space="preserve">КЛ-002</x:t>
        </x:is>
      </x:c>
      <x:c r="D60" s="31" t="inlineStr">
        <x:is>
          <x:t xml:space="preserve">СОТР-003</x:t>
        </x:is>
      </x:c>
      <x:c r="E60" s="31" t="inlineStr">
        <x:is>
          <x:t xml:space="preserve">Модернизация</x:t>
        </x:is>
      </x:c>
      <x:c r="F60" s="31" t="inlineStr">
        <x:is>
          <x:t xml:space="preserve">Отгружено</x:t>
        </x:is>
      </x:c>
      <x:c r="G60" s="31" t="inlineStr">
        <x:is>
          <x:t xml:space="preserve">Срочный</x:t>
        </x:is>
      </x:c>
      <x:c r="H60" s="31" t="n">
        <x:v>46253</x:v>
      </x:c>
      <x:c r="I60" s="31" t="n">
        <x:v>46257</x:v>
      </x:c>
      <x:c r="J60" s="31" t="n">
        <x:v>4975062</x:v>
      </x:c>
      <x:c r="K60" s="31" t="n">
        <x:v>2104999</x:v>
      </x:c>
      <x:c r="L60" s="31" t="n">
        <x:v>658415</x:v>
      </x:c>
      <x:c r="M60" s="31" t="n">
        <x:v>423546</x:v>
      </x:c>
      <x:c r="N60" s="31" t="n">
        <x:v>1788102</x:v>
      </x:c>
      <x:c r="O60" s="31" t="n">
        <x:v>20</x:v>
      </x:c>
      <x:c r="P60" s="31" t="inlineStr">
        <x:is>
          <x:t xml:space="preserve">Оплачен</x:t>
        </x:is>
      </x:c>
      <x:c r="Q60" s="31" t="inlineStr">
        <x:is>
          <x:t xml:space="preserve">СТК-2026-1059</x:t>
        </x:is>
      </x:c>
      <x:c r="R60" s="31" t="inlineStr">
        <x:is>
          <x:t xml:space="preserve">Средний</x:t>
        </x:is>
      </x:c>
      <x:c r="S60" s="31" t="inlineStr">
        <x:is>
          <x:t xml:space="preserve">Нет</x:t>
        </x:is>
      </x:c>
      <x:c r="T60" s="31" t="inlineStr">
        <x:is>
          <x:t xml:space="preserve">Нет</x:t>
        </x:is>
      </x:c>
      <x:c r="U60" s="31" t="inlineStr">
        <x:is>
          <x:t xml:space="preserve">Сделка создана из канала тендер</x:t>
        </x:is>
      </x:c>
    </x:row>
    <x:row r="61" ht="18" customHeight="1">
      <x:c r="A61" s="31" t="inlineStr">
        <x:is>
          <x:t xml:space="preserve">ЗК-1060</x:t>
        </x:is>
      </x:c>
      <x:c r="B61" s="31" t="n">
        <x:v>46181</x:v>
      </x:c>
      <x:c r="C61" s="31" t="inlineStr">
        <x:is>
          <x:t xml:space="preserve">КЛ-047</x:t>
        </x:is>
      </x:c>
      <x:c r="D61" s="31" t="inlineStr">
        <x:is>
          <x:t xml:space="preserve">СОТР-005</x:t>
        </x:is>
      </x:c>
      <x:c r="E61" s="31" t="inlineStr">
        <x:is>
          <x:t xml:space="preserve">Сервисный комплект</x:t>
        </x:is>
      </x:c>
      <x:c r="F61" s="31" t="inlineStr">
        <x:is>
          <x:t xml:space="preserve">Закрыт</x:t>
        </x:is>
      </x:c>
      <x:c r="G61" s="31" t="inlineStr">
        <x:is>
          <x:t xml:space="preserve">Средний</x:t>
        </x:is>
      </x:c>
      <x:c r="H61" s="31" t="n">
        <x:v>46250</x:v>
      </x:c>
      <x:c r="I61" s="31" t="n">
        <x:v>46250</x:v>
      </x:c>
      <x:c r="J61" s="31" t="n">
        <x:v>2597673</x:v>
      </x:c>
      <x:c r="K61" s="31" t="n">
        <x:v>1194741</x:v>
      </x:c>
      <x:c r="L61" s="31" t="n">
        <x:v>390355</x:v>
      </x:c>
      <x:c r="M61" s="31" t="n">
        <x:v>184465</x:v>
      </x:c>
      <x:c r="N61" s="31" t="n">
        <x:v>828112</x:v>
      </x:c>
      <x:c r="O61" s="31" t="n">
        <x:v>100</x:v>
      </x:c>
      <x:c r="P61" s="31" t="inlineStr">
        <x:is>
          <x:t xml:space="preserve">Счет выставлен</x:t>
        </x:is>
      </x:c>
      <x:c r="Q61" s="31" t="inlineStr">
        <x:is>
          <x:t xml:space="preserve">СТК-2026-1060</x:t>
        </x:is>
      </x:c>
      <x:c r="R61" s="31" t="inlineStr">
        <x:is>
          <x:t xml:space="preserve">Низкий</x:t>
        </x:is>
      </x:c>
      <x:c r="S61" s="31" t="inlineStr">
        <x:is>
          <x:t xml:space="preserve">Нет</x:t>
        </x:is>
      </x:c>
      <x:c r="T61" s="31" t="inlineStr">
        <x:is>
          <x:t xml:space="preserve">Нет</x:t>
        </x:is>
      </x:c>
      <x:c r="U61" s="31" t="inlineStr">
        <x:is>
          <x:t xml:space="preserve">Сделка создана из канала прямой запрос</x:t>
        </x:is>
      </x:c>
    </x:row>
    <x:row r="62" ht="18" customHeight="1">
      <x:c r="A62" s="31" t="inlineStr">
        <x:is>
          <x:t xml:space="preserve">ЗК-1061</x:t>
        </x:is>
      </x:c>
      <x:c r="B62" s="31" t="n">
        <x:v>46148</x:v>
      </x:c>
      <x:c r="C62" s="31" t="inlineStr">
        <x:is>
          <x:t xml:space="preserve">КЛ-006</x:t>
        </x:is>
      </x:c>
      <x:c r="D62" s="31" t="inlineStr">
        <x:is>
          <x:t xml:space="preserve">СОТР-003</x:t>
        </x:is>
      </x:c>
      <x:c r="E62" s="31" t="inlineStr">
        <x:is>
          <x:t xml:space="preserve">Повторный заказ</x:t>
        </x:is>
      </x:c>
      <x:c r="F62" s="31" t="inlineStr">
        <x:is>
          <x:t xml:space="preserve">Отгружено</x:t>
        </x:is>
      </x:c>
      <x:c r="G62" s="31" t="inlineStr">
        <x:is>
          <x:t xml:space="preserve">Срочный</x:t>
        </x:is>
      </x:c>
      <x:c r="H62" s="31" t="n">
        <x:v>46205</x:v>
      </x:c>
      <x:c r="I62" s="31" t="n">
        <x:v>46199</x:v>
      </x:c>
      <x:c r="J62" s="31" t="n">
        <x:v>1405659</x:v>
      </x:c>
      <x:c r="K62" s="31" t="n">
        <x:v>636097</x:v>
      </x:c>
      <x:c r="L62" s="31" t="n">
        <x:v>133569</x:v>
      </x:c>
      <x:c r="M62" s="31" t="n">
        <x:v>95160</x:v>
      </x:c>
      <x:c r="N62" s="31" t="n">
        <x:v>540833</x:v>
      </x:c>
      <x:c r="O62" s="31" t="n">
        <x:v>40</x:v>
      </x:c>
      <x:c r="P62" s="31" t="inlineStr">
        <x:is>
          <x:t xml:space="preserve">Счет выставлен</x:t>
        </x:is>
      </x:c>
      <x:c r="Q62" s="31" t="inlineStr">
        <x:is>
          <x:t xml:space="preserve">СТК-2026-1061</x:t>
        </x:is>
      </x:c>
      <x:c r="R62" s="31" t="inlineStr">
        <x:is>
          <x:t xml:space="preserve">Низкий</x:t>
        </x:is>
      </x:c>
      <x:c r="S62" s="31" t="inlineStr">
        <x:is>
          <x:t xml:space="preserve">Нет</x:t>
        </x:is>
      </x:c>
      <x:c r="T62" s="31" t="inlineStr">
        <x:is>
          <x:t xml:space="preserve">Нет</x:t>
        </x:is>
      </x:c>
      <x:c r="U62" s="31" t="inlineStr">
        <x:is>
          <x:t xml:space="preserve">Сделка создана из канала тендер</x:t>
        </x:is>
      </x:c>
    </x:row>
    <x:row r="63" ht="18" customHeight="1">
      <x:c r="A63" s="31" t="inlineStr">
        <x:is>
          <x:t xml:space="preserve">ЗК-1062</x:t>
        </x:is>
      </x:c>
      <x:c r="B63" s="31" t="n">
        <x:v>46104</x:v>
      </x:c>
      <x:c r="C63" s="31" t="inlineStr">
        <x:is>
          <x:t xml:space="preserve">КЛ-014</x:t>
        </x:is>
      </x:c>
      <x:c r="D63" s="31" t="inlineStr">
        <x:is>
          <x:t xml:space="preserve">СОТР-005</x:t>
        </x:is>
      </x:c>
      <x:c r="E63" s="31" t="inlineStr">
        <x:is>
          <x:t xml:space="preserve">Повторный заказ</x:t>
        </x:is>
      </x:c>
      <x:c r="F63" s="31" t="inlineStr">
        <x:is>
          <x:t xml:space="preserve">КД</x:t>
        </x:is>
      </x:c>
      <x:c r="G63" s="31" t="inlineStr">
        <x:is>
          <x:t xml:space="preserve">Срочный</x:t>
        </x:is>
      </x:c>
      <x:c r="H63" s="31" t="n">
        <x:v>46156</x:v>
      </x:c>
      <x:c r="I63" s="31" t="n">
        <x:v>46159</x:v>
      </x:c>
      <x:c r="J63" s="31" t="n">
        <x:v>8041488</x:v>
      </x:c>
      <x:c r="K63" s="31" t="n">
        <x:v>3668390</x:v>
      </x:c>
      <x:c r="L63" s="31" t="n">
        <x:v>592420</x:v>
      </x:c>
      <x:c r="M63" s="31" t="n">
        <x:v>751120</x:v>
      </x:c>
      <x:c r="N63" s="31" t="n">
        <x:v>3029558</x:v>
      </x:c>
      <x:c r="O63" s="31" t="n">
        <x:v>20</x:v>
      </x:c>
      <x:c r="P63" s="31" t="inlineStr">
        <x:is>
          <x:t xml:space="preserve">Не выставлен счет</x:t>
        </x:is>
      </x:c>
      <x:c r="Q63" s="31" t="inlineStr">
        <x:is>
          <x:t xml:space="preserve">СТК-2026-1062</x:t>
        </x:is>
      </x:c>
      <x:c r="R63" s="31" t="inlineStr">
        <x:is>
          <x:t xml:space="preserve">Средний</x:t>
        </x:is>
      </x:c>
      <x:c r="S63" s="31" t="inlineStr">
        <x:is>
          <x:t xml:space="preserve">Нет</x:t>
        </x:is>
      </x:c>
      <x:c r="T63" s="31" t="inlineStr">
        <x:is>
          <x:t xml:space="preserve">Нет</x:t>
        </x:is>
      </x:c>
      <x:c r="U63" s="31" t="inlineStr">
        <x:is>
          <x:t xml:space="preserve">Сделка создана из канала сервис</x:t>
        </x:is>
      </x:c>
    </x:row>
    <x:row r="64" ht="18" customHeight="1">
      <x:c r="A64" s="31" t="inlineStr">
        <x:is>
          <x:t xml:space="preserve">ЗК-1063</x:t>
        </x:is>
      </x:c>
      <x:c r="B64" s="31" t="n">
        <x:v>46170</x:v>
      </x:c>
      <x:c r="C64" s="31" t="inlineStr">
        <x:is>
          <x:t xml:space="preserve">КЛ-012</x:t>
        </x:is>
      </x:c>
      <x:c r="D64" s="31" t="inlineStr">
        <x:is>
          <x:t xml:space="preserve">СОТР-004</x:t>
        </x:is>
      </x:c>
      <x:c r="E64" s="31" t="inlineStr">
        <x:is>
          <x:t xml:space="preserve">Новый проект</x:t>
        </x:is>
      </x:c>
      <x:c r="F64" s="31" t="inlineStr">
        <x:is>
          <x:t xml:space="preserve">Готов к отгрузке</x:t>
        </x:is>
      </x:c>
      <x:c r="G64" s="31" t="inlineStr">
        <x:is>
          <x:t xml:space="preserve">Средний</x:t>
        </x:is>
      </x:c>
      <x:c r="H64" s="31" t="n">
        <x:v>46246</x:v>
      </x:c>
      <x:c r="I64" s="31" t="n">
        <x:v>46251</x:v>
      </x:c>
      <x:c r="J64" s="31" t="n">
        <x:v>13774274</x:v>
      </x:c>
      <x:c r="K64" s="31" t="n">
        <x:v>5108351</x:v>
      </x:c>
      <x:c r="L64" s="31" t="n">
        <x:v>2090117</x:v>
      </x:c>
      <x:c r="M64" s="31" t="n">
        <x:v>1227870</x:v>
      </x:c>
      <x:c r="N64" s="31" t="n">
        <x:v>5347936</x:v>
      </x:c>
      <x:c r="O64" s="31" t="n">
        <x:v>40</x:v>
      </x:c>
      <x:c r="P64" s="31" t="inlineStr">
        <x:is>
          <x:t xml:space="preserve">Счет выставлен</x:t>
        </x:is>
      </x:c>
      <x:c r="Q64" s="31" t="inlineStr">
        <x:is>
          <x:t xml:space="preserve">СТК-2026-1063</x:t>
        </x:is>
      </x:c>
      <x:c r="R64" s="31" t="inlineStr">
        <x:is>
          <x:t xml:space="preserve">Средний</x:t>
        </x:is>
      </x:c>
      <x:c r="S64" s="31" t="inlineStr">
        <x:is>
          <x:t xml:space="preserve">Нет</x:t>
        </x:is>
      </x:c>
      <x:c r="T64" s="31" t="inlineStr">
        <x:is>
          <x:t xml:space="preserve">Нет</x:t>
        </x:is>
      </x:c>
      <x:c r="U64" s="31" t="inlineStr">
        <x:is>
          <x:t xml:space="preserve">Сделка создана из канала прямой запрос</x:t>
        </x:is>
      </x:c>
    </x:row>
    <x:row r="65" ht="18" customHeight="1">
      <x:c r="A65" s="31" t="inlineStr">
        <x:is>
          <x:t xml:space="preserve">ЗК-1064</x:t>
        </x:is>
      </x:c>
      <x:c r="B65" s="31" t="n">
        <x:v>46044</x:v>
      </x:c>
      <x:c r="C65" s="31" t="inlineStr">
        <x:is>
          <x:t xml:space="preserve">КЛ-006</x:t>
        </x:is>
      </x:c>
      <x:c r="D65" s="31" t="inlineStr">
        <x:is>
          <x:t xml:space="preserve">СОТР-003</x:t>
        </x:is>
      </x:c>
      <x:c r="E65" s="31" t="inlineStr">
        <x:is>
          <x:t xml:space="preserve">Новый проект</x:t>
        </x:is>
      </x:c>
      <x:c r="F65" s="31" t="inlineStr">
        <x:is>
          <x:t xml:space="preserve">КД</x:t>
        </x:is>
      </x:c>
      <x:c r="G65" s="31" t="inlineStr">
        <x:is>
          <x:t xml:space="preserve">Высокий</x:t>
        </x:is>
      </x:c>
      <x:c r="H65" s="31" t="n">
        <x:v>46106</x:v>
      </x:c>
      <x:c r="I65" s="31" t="n">
        <x:v>46109</x:v>
      </x:c>
      <x:c r="J65" s="31" t="n">
        <x:v>3246808</x:v>
      </x:c>
      <x:c r="K65" s="31" t="n">
        <x:v>1580897</x:v>
      </x:c>
      <x:c r="L65" s="31" t="n">
        <x:v>383194</x:v>
      </x:c>
      <x:c r="M65" s="31" t="n">
        <x:v>282035</x:v>
      </x:c>
      <x:c r="N65" s="31" t="n">
        <x:v>1000682</x:v>
      </x:c>
      <x:c r="O65" s="31" t="n">
        <x:v>30</x:v>
      </x:c>
      <x:c r="P65" s="31" t="inlineStr">
        <x:is>
          <x:t xml:space="preserve">Не выставлен счет</x:t>
        </x:is>
      </x:c>
      <x:c r="Q65" s="31" t="inlineStr">
        <x:is>
          <x:t xml:space="preserve">СТК-2026-1064</x:t>
        </x:is>
      </x:c>
      <x:c r="R65" s="31" t="inlineStr">
        <x:is>
          <x:t xml:space="preserve">Низкий</x:t>
        </x:is>
      </x:c>
      <x:c r="S65" s="31" t="inlineStr">
        <x:is>
          <x:t xml:space="preserve">Нет</x:t>
        </x:is>
      </x:c>
      <x:c r="T65" s="31" t="inlineStr">
        <x:is>
          <x:t xml:space="preserve">Да</x:t>
        </x:is>
      </x:c>
      <x:c r="U65" s="31" t="inlineStr">
        <x:is>
          <x:t xml:space="preserve">Сделка создана из канала тендер</x:t>
        </x:is>
      </x:c>
    </x:row>
    <x:row r="66" ht="18" customHeight="1">
      <x:c r="A66" s="31" t="inlineStr">
        <x:is>
          <x:t xml:space="preserve">ЗК-1065</x:t>
        </x:is>
      </x:c>
      <x:c r="B66" s="31" t="n">
        <x:v>46112</x:v>
      </x:c>
      <x:c r="C66" s="31" t="inlineStr">
        <x:is>
          <x:t xml:space="preserve">КЛ-049</x:t>
        </x:is>
      </x:c>
      <x:c r="D66" s="31" t="inlineStr">
        <x:is>
          <x:t xml:space="preserve">СОТР-004</x:t>
        </x:is>
      </x:c>
      <x:c r="E66" s="31" t="inlineStr">
        <x:is>
          <x:t xml:space="preserve">Повторный заказ</x:t>
        </x:is>
      </x:c>
      <x:c r="F66" s="31" t="inlineStr">
        <x:is>
          <x:t xml:space="preserve">Отгружено</x:t>
        </x:is>
      </x:c>
      <x:c r="G66" s="31" t="inlineStr">
        <x:is>
          <x:t xml:space="preserve">Средний</x:t>
        </x:is>
      </x:c>
      <x:c r="H66" s="31" t="n">
        <x:v>46171</x:v>
      </x:c>
      <x:c r="I66" s="31" t="n">
        <x:v>46171</x:v>
      </x:c>
      <x:c r="J66" s="31" t="n">
        <x:v>8431125</x:v>
      </x:c>
      <x:c r="K66" s="31" t="n">
        <x:v>3984510</x:v>
      </x:c>
      <x:c r="L66" s="31" t="n">
        <x:v>970734</x:v>
      </x:c>
      <x:c r="M66" s="31" t="n">
        <x:v>804207</x:v>
      </x:c>
      <x:c r="N66" s="31" t="n">
        <x:v>2671674</x:v>
      </x:c>
      <x:c r="O66" s="31" t="n">
        <x:v>100</x:v>
      </x:c>
      <x:c r="P66" s="31" t="inlineStr">
        <x:is>
          <x:t xml:space="preserve">Счет выставлен</x:t>
        </x:is>
      </x:c>
      <x:c r="Q66" s="31" t="inlineStr">
        <x:is>
          <x:t xml:space="preserve">СТК-2026-1065</x:t>
        </x:is>
      </x:c>
      <x:c r="R66" s="31" t="inlineStr">
        <x:is>
          <x:t xml:space="preserve">Средний</x:t>
        </x:is>
      </x:c>
      <x:c r="S66" s="31" t="inlineStr">
        <x:is>
          <x:t xml:space="preserve">Нет</x:t>
        </x:is>
      </x:c>
      <x:c r="T66" s="31" t="inlineStr">
        <x:is>
          <x:t xml:space="preserve">Нет</x:t>
        </x:is>
      </x:c>
      <x:c r="U66" s="31" t="inlineStr">
        <x:is>
          <x:t xml:space="preserve">Сделка создана из канала тендер</x:t>
        </x:is>
      </x:c>
    </x:row>
    <x:row r="67" ht="18" customHeight="1">
      <x:c r="A67" s="31" t="inlineStr">
        <x:is>
          <x:t xml:space="preserve">ЗК-1066</x:t>
        </x:is>
      </x:c>
      <x:c r="B67" s="31" t="n">
        <x:v>46110</x:v>
      </x:c>
      <x:c r="C67" s="31" t="inlineStr">
        <x:is>
          <x:t xml:space="preserve">КЛ-025</x:t>
        </x:is>
      </x:c>
      <x:c r="D67" s="31" t="inlineStr">
        <x:is>
          <x:t xml:space="preserve">СОТР-004</x:t>
        </x:is>
      </x:c>
      <x:c r="E67" s="31" t="inlineStr">
        <x:is>
          <x:t xml:space="preserve">Модернизация</x:t>
        </x:is>
      </x:c>
      <x:c r="F67" s="31" t="inlineStr">
        <x:is>
          <x:t xml:space="preserve">ОТК</x:t>
        </x:is>
      </x:c>
      <x:c r="G67" s="31" t="inlineStr">
        <x:is>
          <x:t xml:space="preserve">Средний</x:t>
        </x:is>
      </x:c>
      <x:c r="H67" s="31" t="n">
        <x:v>46161</x:v>
      </x:c>
      <x:c r="I67" s="31" t="n">
        <x:v>46161</x:v>
      </x:c>
      <x:c r="J67" s="31" t="n">
        <x:v>4874993</x:v>
      </x:c>
      <x:c r="K67" s="31" t="n">
        <x:v>2062782</x:v>
      </x:c>
      <x:c r="L67" s="31" t="n">
        <x:v>560079</x:v>
      </x:c>
      <x:c r="M67" s="31" t="n">
        <x:v>372715</x:v>
      </x:c>
      <x:c r="N67" s="31" t="n">
        <x:v>1879417</x:v>
      </x:c>
      <x:c r="O67" s="31" t="n">
        <x:v>50</x:v>
      </x:c>
      <x:c r="P67" s="31" t="inlineStr">
        <x:is>
          <x:t xml:space="preserve">Оплачен</x:t>
        </x:is>
      </x:c>
      <x:c r="Q67" s="31" t="inlineStr">
        <x:is>
          <x:t xml:space="preserve">СТК-2026-1066</x:t>
        </x:is>
      </x:c>
      <x:c r="R67" s="31" t="inlineStr">
        <x:is>
          <x:t xml:space="preserve">Средний</x:t>
        </x:is>
      </x:c>
      <x:c r="S67" s="31" t="inlineStr">
        <x:is>
          <x:t xml:space="preserve">Нет</x:t>
        </x:is>
      </x:c>
      <x:c r="T67" s="31" t="inlineStr">
        <x:is>
          <x:t xml:space="preserve">Нет</x:t>
        </x:is>
      </x:c>
      <x:c r="U67" s="31" t="inlineStr">
        <x:is>
          <x:t xml:space="preserve">Сделка создана из канала прямой запрос</x:t>
        </x:is>
      </x:c>
    </x:row>
    <x:row r="68" ht="18" customHeight="1">
      <x:c r="A68" s="31" t="inlineStr">
        <x:is>
          <x:t xml:space="preserve">ЗК-1067</x:t>
        </x:is>
      </x:c>
      <x:c r="B68" s="31" t="n">
        <x:v>46142</x:v>
      </x:c>
      <x:c r="C68" s="31" t="inlineStr">
        <x:is>
          <x:t xml:space="preserve">КЛ-004</x:t>
        </x:is>
      </x:c>
      <x:c r="D68" s="31" t="inlineStr">
        <x:is>
          <x:t xml:space="preserve">СОТР-004</x:t>
        </x:is>
      </x:c>
      <x:c r="E68" s="31" t="inlineStr">
        <x:is>
          <x:t xml:space="preserve">Модернизация</x:t>
        </x:is>
      </x:c>
      <x:c r="F68" s="31" t="inlineStr">
        <x:is>
          <x:t xml:space="preserve">В производстве</x:t>
        </x:is>
      </x:c>
      <x:c r="G68" s="31" t="inlineStr">
        <x:is>
          <x:t xml:space="preserve">Низкий</x:t>
        </x:is>
      </x:c>
      <x:c r="H68" s="31" t="n">
        <x:v>46222</x:v>
      </x:c>
      <x:c r="I68" s="31" t="n">
        <x:v>46233</x:v>
      </x:c>
      <x:c r="J68" s="31" t="n">
        <x:v>8094502</x:v>
      </x:c>
      <x:c r="K68" s="31" t="n">
        <x:v>3507282</x:v>
      </x:c>
      <x:c r="L68" s="31" t="n">
        <x:v>996268</x:v>
      </x:c>
      <x:c r="M68" s="31" t="n">
        <x:v>686746</x:v>
      </x:c>
      <x:c r="N68" s="31" t="n">
        <x:v>2904206</x:v>
      </x:c>
      <x:c r="O68" s="31" t="n">
        <x:v>40</x:v>
      </x:c>
      <x:c r="P68" s="31" t="inlineStr">
        <x:is>
          <x:t xml:space="preserve">Счет выставлен</x:t>
        </x:is>
      </x:c>
      <x:c r="Q68" s="31" t="inlineStr">
        <x:is>
          <x:t xml:space="preserve">СТК-2026-1067</x:t>
        </x:is>
      </x:c>
      <x:c r="R68" s="31" t="inlineStr">
        <x:is>
          <x:t xml:space="preserve">Средний</x:t>
        </x:is>
      </x:c>
      <x:c r="S68" s="31" t="inlineStr">
        <x:is>
          <x:t xml:space="preserve">Нет</x:t>
        </x:is>
      </x:c>
      <x:c r="T68" s="31" t="inlineStr">
        <x:is>
          <x:t xml:space="preserve">Нет</x:t>
        </x:is>
      </x:c>
      <x:c r="U68" s="31" t="inlineStr">
        <x:is>
          <x:t xml:space="preserve">Сделка создана из канала прямой запрос</x:t>
        </x:is>
      </x:c>
    </x:row>
    <x:row r="69" ht="18" customHeight="1">
      <x:c r="A69" s="31" t="inlineStr">
        <x:is>
          <x:t xml:space="preserve">ЗК-1068</x:t>
        </x:is>
      </x:c>
      <x:c r="B69" s="31" t="n">
        <x:v>46041</x:v>
      </x:c>
      <x:c r="C69" s="31" t="inlineStr">
        <x:is>
          <x:t xml:space="preserve">КЛ-005</x:t>
        </x:is>
      </x:c>
      <x:c r="D69" s="31" t="inlineStr">
        <x:is>
          <x:t xml:space="preserve">СОТР-005</x:t>
        </x:is>
      </x:c>
      <x:c r="E69" s="31" t="inlineStr">
        <x:is>
          <x:t xml:space="preserve">Модернизация</x:t>
        </x:is>
      </x:c>
      <x:c r="F69" s="31" t="inlineStr">
        <x:is>
          <x:t xml:space="preserve">КД</x:t>
        </x:is>
      </x:c>
      <x:c r="G69" s="31" t="inlineStr">
        <x:is>
          <x:t xml:space="preserve">Низкий</x:t>
        </x:is>
      </x:c>
      <x:c r="H69" s="31" t="n">
        <x:v>46071</x:v>
      </x:c>
      <x:c r="I69" s="31" t="n">
        <x:v>46074</x:v>
      </x:c>
      <x:c r="J69" s="31" t="n">
        <x:v>5042823</x:v>
      </x:c>
      <x:c r="K69" s="31" t="n">
        <x:v>2123989</x:v>
      </x:c>
      <x:c r="L69" s="31" t="n">
        <x:v>591767</x:v>
      </x:c>
      <x:c r="M69" s="31" t="n">
        <x:v>279492</x:v>
      </x:c>
      <x:c r="N69" s="31" t="n">
        <x:v>2047575</x:v>
      </x:c>
      <x:c r="O69" s="31" t="n">
        <x:v>20</x:v>
      </x:c>
      <x:c r="P69" s="31" t="inlineStr">
        <x:is>
          <x:t xml:space="preserve">Счет выставлен</x:t>
        </x:is>
      </x:c>
      <x:c r="Q69" s="31" t="inlineStr">
        <x:is>
          <x:t xml:space="preserve">СТК-2026-1068</x:t>
        </x:is>
      </x:c>
      <x:c r="R69" s="31" t="inlineStr">
        <x:is>
          <x:t xml:space="preserve">Низкий</x:t>
        </x:is>
      </x:c>
      <x:c r="S69" s="31" t="inlineStr">
        <x:is>
          <x:t xml:space="preserve">Нет</x:t>
        </x:is>
      </x:c>
      <x:c r="T69" s="31" t="inlineStr">
        <x:is>
          <x:t xml:space="preserve">Нет</x:t>
        </x:is>
      </x:c>
      <x:c r="U69" s="31" t="inlineStr">
        <x:is>
          <x:t xml:space="preserve">Сделка создана из канала прямой запрос</x:t>
        </x:is>
      </x:c>
    </x:row>
    <x:row r="70" ht="18" customHeight="1">
      <x:c r="A70" s="31" t="inlineStr">
        <x:is>
          <x:t xml:space="preserve">ЗК-1069</x:t>
        </x:is>
      </x:c>
      <x:c r="B70" s="31" t="n">
        <x:v>46181</x:v>
      </x:c>
      <x:c r="C70" s="31" t="inlineStr">
        <x:is>
          <x:t xml:space="preserve">КЛ-027</x:t>
        </x:is>
      </x:c>
      <x:c r="D70" s="31" t="inlineStr">
        <x:is>
          <x:t xml:space="preserve">СОТР-003</x:t>
        </x:is>
      </x:c>
      <x:c r="E70" s="31" t="inlineStr">
        <x:is>
          <x:t xml:space="preserve">Новый проект</x:t>
        </x:is>
      </x:c>
      <x:c r="F70" s="31" t="inlineStr">
        <x:is>
          <x:t xml:space="preserve">В производстве</x:t>
        </x:is>
      </x:c>
      <x:c r="G70" s="31" t="inlineStr">
        <x:is>
          <x:t xml:space="preserve">Средний</x:t>
        </x:is>
      </x:c>
      <x:c r="H70" s="31" t="n">
        <x:v>46248</x:v>
      </x:c>
      <x:c r="I70" s="31" t="n">
        <x:v>46260</x:v>
      </x:c>
      <x:c r="J70" s="31" t="n">
        <x:v>3448416</x:v>
      </x:c>
      <x:c r="K70" s="31" t="n">
        <x:v>1498267</x:v>
      </x:c>
      <x:c r="L70" s="31" t="n">
        <x:v>410528</x:v>
      </x:c>
      <x:c r="M70" s="31" t="n">
        <x:v>268059</x:v>
      </x:c>
      <x:c r="N70" s="31" t="n">
        <x:v>1271562</x:v>
      </x:c>
      <x:c r="O70" s="31" t="n">
        <x:v>30</x:v>
      </x:c>
      <x:c r="P70" s="31" t="inlineStr">
        <x:is>
          <x:t xml:space="preserve">Оплачен</x:t>
        </x:is>
      </x:c>
      <x:c r="Q70" s="31" t="inlineStr">
        <x:is>
          <x:t xml:space="preserve">СТК-2026-1069</x:t>
        </x:is>
      </x:c>
      <x:c r="R70" s="31" t="inlineStr">
        <x:is>
          <x:t xml:space="preserve">Средний</x:t>
        </x:is>
      </x:c>
      <x:c r="S70" s="31" t="inlineStr">
        <x:is>
          <x:t xml:space="preserve">Нет</x:t>
        </x:is>
      </x:c>
      <x:c r="T70" s="31" t="inlineStr">
        <x:is>
          <x:t xml:space="preserve">Нет</x:t>
        </x:is>
      </x:c>
      <x:c r="U70" s="31" t="inlineStr">
        <x:is>
          <x:t xml:space="preserve">Сделка создана из канала тендер</x:t>
        </x:is>
      </x:c>
    </x:row>
    <x:row r="71" ht="18" customHeight="1">
      <x:c r="A71" s="31" t="inlineStr">
        <x:is>
          <x:t xml:space="preserve">ЗК-1070</x:t>
        </x:is>
      </x:c>
      <x:c r="B71" s="31" t="n">
        <x:v>46190</x:v>
      </x:c>
      <x:c r="C71" s="31" t="inlineStr">
        <x:is>
          <x:t xml:space="preserve">КЛ-038</x:t>
        </x:is>
      </x:c>
      <x:c r="D71" s="31" t="inlineStr">
        <x:is>
          <x:t xml:space="preserve">СОТР-003</x:t>
        </x:is>
      </x:c>
      <x:c r="E71" s="31" t="inlineStr">
        <x:is>
          <x:t xml:space="preserve">Модернизация</x:t>
        </x:is>
      </x:c>
      <x:c r="F71" s="31" t="inlineStr">
        <x:is>
          <x:t xml:space="preserve">КП отправлено</x:t>
        </x:is>
      </x:c>
      <x:c r="G71" s="31" t="inlineStr">
        <x:is>
          <x:t xml:space="preserve">Средний</x:t>
        </x:is>
      </x:c>
      <x:c r="H71" s="31" t="n">
        <x:v>46263</x:v>
      </x:c>
      <x:c r="I71" s="31" t="n">
        <x:v>46264</x:v>
      </x:c>
      <x:c r="J71" s="31" t="n">
        <x:v>914386</x:v>
      </x:c>
      <x:c r="K71" s="31" t="n">
        <x:v>417186</x:v>
      </x:c>
      <x:c r="L71" s="31" t="n">
        <x:v>135183</x:v>
      </x:c>
      <x:c r="M71" s="31" t="n">
        <x:v>87792</x:v>
      </x:c>
      <x:c r="N71" s="31" t="n">
        <x:v>274225</x:v>
      </x:c>
      <x:c r="O71" s="31" t="n">
        <x:v>50</x:v>
      </x:c>
      <x:c r="P71" s="31" t="inlineStr">
        <x:is>
          <x:t xml:space="preserve">Просрочка</x:t>
        </x:is>
      </x:c>
      <x:c r="Q71" s="31" t="n"/>
      <x:c r="R71" s="31" t="inlineStr">
        <x:is>
          <x:t xml:space="preserve">Высокий</x:t>
        </x:is>
      </x:c>
      <x:c r="S71" s="31" t="inlineStr">
        <x:is>
          <x:t xml:space="preserve">Нет</x:t>
        </x:is>
      </x:c>
      <x:c r="T71" s="31" t="inlineStr">
        <x:is>
          <x:t xml:space="preserve">Нет</x:t>
        </x:is>
      </x:c>
      <x:c r="U71" s="31" t="inlineStr">
        <x:is>
          <x:t xml:space="preserve">Сделка создана из канала прямой запрос</x:t>
        </x:is>
      </x:c>
    </x:row>
    <x:row r="72" ht="18" customHeight="1">
      <x:c r="A72" s="31" t="inlineStr">
        <x:is>
          <x:t xml:space="preserve">ЗК-1071</x:t>
        </x:is>
      </x:c>
      <x:c r="B72" s="31" t="n">
        <x:v>46171</x:v>
      </x:c>
      <x:c r="C72" s="31" t="inlineStr">
        <x:is>
          <x:t xml:space="preserve">КЛ-027</x:t>
        </x:is>
      </x:c>
      <x:c r="D72" s="31" t="inlineStr">
        <x:is>
          <x:t xml:space="preserve">СОТР-003</x:t>
        </x:is>
      </x:c>
      <x:c r="E72" s="31" t="inlineStr">
        <x:is>
          <x:t xml:space="preserve">Модернизация</x:t>
        </x:is>
      </x:c>
      <x:c r="F72" s="31" t="inlineStr">
        <x:is>
          <x:t xml:space="preserve">КД</x:t>
        </x:is>
      </x:c>
      <x:c r="G72" s="31" t="inlineStr">
        <x:is>
          <x:t xml:space="preserve">Средний</x:t>
        </x:is>
      </x:c>
      <x:c r="H72" s="31" t="n">
        <x:v>46224</x:v>
      </x:c>
      <x:c r="I72" s="31" t="n">
        <x:v>46227</x:v>
      </x:c>
      <x:c r="J72" s="31" t="n">
        <x:v>4910858</x:v>
      </x:c>
      <x:c r="K72" s="31" t="n">
        <x:v>1968107</x:v>
      </x:c>
      <x:c r="L72" s="31" t="n">
        <x:v>644475</x:v>
      </x:c>
      <x:c r="M72" s="31" t="n">
        <x:v>366919</x:v>
      </x:c>
      <x:c r="N72" s="31" t="n">
        <x:v>1931357</x:v>
      </x:c>
      <x:c r="O72" s="31" t="n">
        <x:v>100</x:v>
      </x:c>
      <x:c r="P72" s="31" t="inlineStr">
        <x:is>
          <x:t xml:space="preserve">Частично оплачен</x:t>
        </x:is>
      </x:c>
      <x:c r="Q72" s="31" t="inlineStr">
        <x:is>
          <x:t xml:space="preserve">СТК-2026-1071</x:t>
        </x:is>
      </x:c>
      <x:c r="R72" s="31" t="inlineStr">
        <x:is>
          <x:t xml:space="preserve">Средний</x:t>
        </x:is>
      </x:c>
      <x:c r="S72" s="31" t="inlineStr">
        <x:is>
          <x:t xml:space="preserve">Нет</x:t>
        </x:is>
      </x:c>
      <x:c r="T72" s="31" t="inlineStr">
        <x:is>
          <x:t xml:space="preserve">Нет</x:t>
        </x:is>
      </x:c>
      <x:c r="U72" s="31" t="inlineStr">
        <x:is>
          <x:t xml:space="preserve">Сделка создана из канала сервис</x:t>
        </x:is>
      </x:c>
    </x:row>
    <x:row r="73" ht="18" customHeight="1">
      <x:c r="A73" s="31" t="inlineStr">
        <x:is>
          <x:t xml:space="preserve">ЗК-1072</x:t>
        </x:is>
      </x:c>
      <x:c r="B73" s="31" t="n">
        <x:v>46038</x:v>
      </x:c>
      <x:c r="C73" s="31" t="inlineStr">
        <x:is>
          <x:t xml:space="preserve">КЛ-040</x:t>
        </x:is>
      </x:c>
      <x:c r="D73" s="31" t="inlineStr">
        <x:is>
          <x:t xml:space="preserve">СОТР-004</x:t>
        </x:is>
      </x:c>
      <x:c r="E73" s="31" t="inlineStr">
        <x:is>
          <x:t xml:space="preserve">Повторный заказ</x:t>
        </x:is>
      </x:c>
      <x:c r="F73" s="31" t="inlineStr">
        <x:is>
          <x:t xml:space="preserve">Договор</x:t>
        </x:is>
      </x:c>
      <x:c r="G73" s="31" t="inlineStr">
        <x:is>
          <x:t xml:space="preserve">Средний</x:t>
        </x:is>
      </x:c>
      <x:c r="H73" s="31" t="n">
        <x:v>46120</x:v>
      </x:c>
      <x:c r="I73" s="31" t="n">
        <x:v>46122</x:v>
      </x:c>
      <x:c r="J73" s="31" t="n">
        <x:v>764404</x:v>
      </x:c>
      <x:c r="K73" s="31" t="n">
        <x:v>410341</x:v>
      </x:c>
      <x:c r="L73" s="31" t="n">
        <x:v>64611</x:v>
      </x:c>
      <x:c r="M73" s="31" t="n">
        <x:v>55147</x:v>
      </x:c>
      <x:c r="N73" s="31" t="n">
        <x:v>234305</x:v>
      </x:c>
      <x:c r="O73" s="31" t="n">
        <x:v>100</x:v>
      </x:c>
      <x:c r="P73" s="31" t="inlineStr">
        <x:is>
          <x:t xml:space="preserve">Не выставлен счет</x:t>
        </x:is>
      </x:c>
      <x:c r="Q73" s="31" t="inlineStr">
        <x:is>
          <x:t xml:space="preserve">СТК-2026-1072</x:t>
        </x:is>
      </x:c>
      <x:c r="R73" s="31" t="inlineStr">
        <x:is>
          <x:t xml:space="preserve">Средний</x:t>
        </x:is>
      </x:c>
      <x:c r="S73" s="31" t="inlineStr">
        <x:is>
          <x:t xml:space="preserve">Нет</x:t>
        </x:is>
      </x:c>
      <x:c r="T73" s="31" t="inlineStr">
        <x:is>
          <x:t xml:space="preserve">Да</x:t>
        </x:is>
      </x:c>
      <x:c r="U73" s="31" t="inlineStr">
        <x:is>
          <x:t xml:space="preserve">Сделка создана из канала повторная заявка</x:t>
        </x:is>
      </x:c>
    </x:row>
    <x:row r="74" ht="18" customHeight="1">
      <x:c r="A74" s="31" t="inlineStr">
        <x:is>
          <x:t xml:space="preserve">ЗК-1073</x:t>
        </x:is>
      </x:c>
      <x:c r="B74" s="31" t="n">
        <x:v>46151</x:v>
      </x:c>
      <x:c r="C74" s="31" t="inlineStr">
        <x:is>
          <x:t xml:space="preserve">КЛ-046</x:t>
        </x:is>
      </x:c>
      <x:c r="D74" s="31" t="inlineStr">
        <x:is>
          <x:t xml:space="preserve">СОТР-005</x:t>
        </x:is>
      </x:c>
      <x:c r="E74" s="31" t="inlineStr">
        <x:is>
          <x:t xml:space="preserve">Повторный заказ</x:t>
        </x:is>
      </x:c>
      <x:c r="F74" s="31" t="inlineStr">
        <x:is>
          <x:t xml:space="preserve">Отгружено</x:t>
        </x:is>
      </x:c>
      <x:c r="G74" s="31" t="inlineStr">
        <x:is>
          <x:t xml:space="preserve">Средний</x:t>
        </x:is>
      </x:c>
      <x:c r="H74" s="31" t="n">
        <x:v>46206</x:v>
      </x:c>
      <x:c r="I74" s="31" t="n">
        <x:v>46209</x:v>
      </x:c>
      <x:c r="J74" s="31" t="n">
        <x:v>6463492</x:v>
      </x:c>
      <x:c r="K74" s="31" t="n">
        <x:v>2414901</x:v>
      </x:c>
      <x:c r="L74" s="31" t="n">
        <x:v>760564</x:v>
      </x:c>
      <x:c r="M74" s="31" t="n">
        <x:v>434431</x:v>
      </x:c>
      <x:c r="N74" s="31" t="n">
        <x:v>2853596</x:v>
      </x:c>
      <x:c r="O74" s="31" t="n">
        <x:v>70</x:v>
      </x:c>
      <x:c r="P74" s="31" t="inlineStr">
        <x:is>
          <x:t xml:space="preserve">Счет выставлен</x:t>
        </x:is>
      </x:c>
      <x:c r="Q74" s="31" t="inlineStr">
        <x:is>
          <x:t xml:space="preserve">СТК-2026-1073</x:t>
        </x:is>
      </x:c>
      <x:c r="R74" s="31" t="inlineStr">
        <x:is>
          <x:t xml:space="preserve">Средний</x:t>
        </x:is>
      </x:c>
      <x:c r="S74" s="31" t="inlineStr">
        <x:is>
          <x:t xml:space="preserve">Нет</x:t>
        </x:is>
      </x:c>
      <x:c r="T74" s="31" t="inlineStr">
        <x:is>
          <x:t xml:space="preserve">Нет</x:t>
        </x:is>
      </x:c>
      <x:c r="U74" s="31" t="inlineStr">
        <x:is>
          <x:t xml:space="preserve">Сделка создана из канала тендер</x:t>
        </x:is>
      </x:c>
    </x:row>
    <x:row r="75" ht="18" customHeight="1">
      <x:c r="A75" s="31" t="inlineStr">
        <x:is>
          <x:t xml:space="preserve">ЗК-1074</x:t>
        </x:is>
      </x:c>
      <x:c r="B75" s="31" t="n">
        <x:v>46179</x:v>
      </x:c>
      <x:c r="C75" s="31" t="inlineStr">
        <x:is>
          <x:t xml:space="preserve">КЛ-049</x:t>
        </x:is>
      </x:c>
      <x:c r="D75" s="31" t="inlineStr">
        <x:is>
          <x:t xml:space="preserve">СОТР-004</x:t>
        </x:is>
      </x:c>
      <x:c r="E75" s="31" t="inlineStr">
        <x:is>
          <x:t xml:space="preserve">Модернизация</x:t>
        </x:is>
      </x:c>
      <x:c r="F75" s="31" t="inlineStr">
        <x:is>
          <x:t xml:space="preserve">Готов к отгрузке</x:t>
        </x:is>
      </x:c>
      <x:c r="G75" s="31" t="inlineStr">
        <x:is>
          <x:t xml:space="preserve">Высокий</x:t>
        </x:is>
      </x:c>
      <x:c r="H75" s="31" t="n">
        <x:v>46243</x:v>
      </x:c>
      <x:c r="I75" s="31" t="n">
        <x:v>46243</x:v>
      </x:c>
      <x:c r="J75" s="31" t="n">
        <x:v>11531534</x:v>
      </x:c>
      <x:c r="K75" s="31" t="n">
        <x:v>4410444</x:v>
      </x:c>
      <x:c r="L75" s="31" t="n">
        <x:v>1217025</x:v>
      </x:c>
      <x:c r="M75" s="31" t="n">
        <x:v>779088</x:v>
      </x:c>
      <x:c r="N75" s="31" t="n">
        <x:v>5124977</x:v>
      </x:c>
      <x:c r="O75" s="31" t="n">
        <x:v>20</x:v>
      </x:c>
      <x:c r="P75" s="31" t="inlineStr">
        <x:is>
          <x:t xml:space="preserve">Не выставлен счет</x:t>
        </x:is>
      </x:c>
      <x:c r="Q75" s="31" t="inlineStr">
        <x:is>
          <x:t xml:space="preserve">СТК-2026-1074</x:t>
        </x:is>
      </x:c>
      <x:c r="R75" s="31" t="inlineStr">
        <x:is>
          <x:t xml:space="preserve">Низкий</x:t>
        </x:is>
      </x:c>
      <x:c r="S75" s="31" t="inlineStr">
        <x:is>
          <x:t xml:space="preserve">Нет</x:t>
        </x:is>
      </x:c>
      <x:c r="T75" s="31" t="inlineStr">
        <x:is>
          <x:t xml:space="preserve">Нет</x:t>
        </x:is>
      </x:c>
      <x:c r="U75" s="31" t="inlineStr">
        <x:is>
          <x:t xml:space="preserve">Сделка создана из канала сервис</x:t>
        </x:is>
      </x:c>
    </x:row>
    <x:row r="76" ht="18" customHeight="1">
      <x:c r="A76" s="31" t="inlineStr">
        <x:is>
          <x:t xml:space="preserve">ЗК-1075</x:t>
        </x:is>
      </x:c>
      <x:c r="B76" s="31" t="n">
        <x:v>46153</x:v>
      </x:c>
      <x:c r="C76" s="31" t="inlineStr">
        <x:is>
          <x:t xml:space="preserve">КЛ-040</x:t>
        </x:is>
      </x:c>
      <x:c r="D76" s="31" t="inlineStr">
        <x:is>
          <x:t xml:space="preserve">СОТР-004</x:t>
        </x:is>
      </x:c>
      <x:c r="E76" s="31" t="inlineStr">
        <x:is>
          <x:t xml:space="preserve">Повторный заказ</x:t>
        </x:is>
      </x:c>
      <x:c r="F76" s="31" t="inlineStr">
        <x:is>
          <x:t xml:space="preserve">Отгружено</x:t>
        </x:is>
      </x:c>
      <x:c r="G76" s="31" t="inlineStr">
        <x:is>
          <x:t xml:space="preserve">Срочный</x:t>
        </x:is>
      </x:c>
      <x:c r="H76" s="31" t="n">
        <x:v>46190</x:v>
      </x:c>
      <x:c r="I76" s="31" t="n">
        <x:v>46191</x:v>
      </x:c>
      <x:c r="J76" s="31" t="n">
        <x:v>1133372</x:v>
      </x:c>
      <x:c r="K76" s="31" t="n">
        <x:v>417543</x:v>
      </x:c>
      <x:c r="L76" s="31" t="n">
        <x:v>158696</x:v>
      </x:c>
      <x:c r="M76" s="31" t="n">
        <x:v>110341</x:v>
      </x:c>
      <x:c r="N76" s="31" t="n">
        <x:v>446792</x:v>
      </x:c>
      <x:c r="O76" s="31" t="n">
        <x:v>50</x:v>
      </x:c>
      <x:c r="P76" s="31" t="inlineStr">
        <x:is>
          <x:t xml:space="preserve">Оплачен</x:t>
        </x:is>
      </x:c>
      <x:c r="Q76" s="31" t="inlineStr">
        <x:is>
          <x:t xml:space="preserve">СТК-2026-1075</x:t>
        </x:is>
      </x:c>
      <x:c r="R76" s="31" t="inlineStr">
        <x:is>
          <x:t xml:space="preserve">Низкий</x:t>
        </x:is>
      </x:c>
      <x:c r="S76" s="31" t="inlineStr">
        <x:is>
          <x:t xml:space="preserve">Нет</x:t>
        </x:is>
      </x:c>
      <x:c r="T76" s="31" t="inlineStr">
        <x:is>
          <x:t xml:space="preserve">Нет</x:t>
        </x:is>
      </x:c>
      <x:c r="U76" s="31" t="inlineStr">
        <x:is>
          <x:t xml:space="preserve">Сделка создана из канала прямой запрос</x:t>
        </x:is>
      </x:c>
    </x:row>
    <x:row r="77" ht="18" customHeight="1">
      <x:c r="A77" s="31" t="inlineStr">
        <x:is>
          <x:t xml:space="preserve">ЗК-1076</x:t>
        </x:is>
      </x:c>
      <x:c r="B77" s="31" t="n">
        <x:v>46158</x:v>
      </x:c>
      <x:c r="C77" s="31" t="inlineStr">
        <x:is>
          <x:t xml:space="preserve">КЛ-030</x:t>
        </x:is>
      </x:c>
      <x:c r="D77" s="31" t="inlineStr">
        <x:is>
          <x:t xml:space="preserve">СОТР-005</x:t>
        </x:is>
      </x:c>
      <x:c r="E77" s="31" t="inlineStr">
        <x:is>
          <x:t xml:space="preserve">Новый проект</x:t>
        </x:is>
      </x:c>
      <x:c r="F77" s="31" t="inlineStr">
        <x:is>
          <x:t xml:space="preserve">В производстве</x:t>
        </x:is>
      </x:c>
      <x:c r="G77" s="31" t="inlineStr">
        <x:is>
          <x:t xml:space="preserve">Средний</x:t>
        </x:is>
      </x:c>
      <x:c r="H77" s="31" t="n">
        <x:v>46177</x:v>
      </x:c>
      <x:c r="I77" s="31" t="n">
        <x:v>46181</x:v>
      </x:c>
      <x:c r="J77" s="31" t="n">
        <x:v>19822880</x:v>
      </x:c>
      <x:c r="K77" s="31" t="n">
        <x:v>8577152</x:v>
      </x:c>
      <x:c r="L77" s="31" t="n">
        <x:v>1713522</x:v>
      </x:c>
      <x:c r="M77" s="31" t="n">
        <x:v>2104794</x:v>
      </x:c>
      <x:c r="N77" s="31" t="n">
        <x:v>7427412</x:v>
      </x:c>
      <x:c r="O77" s="31" t="n">
        <x:v>40</x:v>
      </x:c>
      <x:c r="P77" s="31" t="inlineStr">
        <x:is>
          <x:t xml:space="preserve">Частично оплачен</x:t>
        </x:is>
      </x:c>
      <x:c r="Q77" s="31" t="inlineStr">
        <x:is>
          <x:t xml:space="preserve">СТК-2026-1076</x:t>
        </x:is>
      </x:c>
      <x:c r="R77" s="31" t="inlineStr">
        <x:is>
          <x:t xml:space="preserve">Средний</x:t>
        </x:is>
      </x:c>
      <x:c r="S77" s="31" t="inlineStr">
        <x:is>
          <x:t xml:space="preserve">Нет</x:t>
        </x:is>
      </x:c>
      <x:c r="T77" s="31" t="inlineStr">
        <x:is>
          <x:t xml:space="preserve">Нет</x:t>
        </x:is>
      </x:c>
      <x:c r="U77" s="31" t="inlineStr">
        <x:is>
          <x:t xml:space="preserve">Сделка создана из канала прямой запрос</x:t>
        </x:is>
      </x:c>
    </x:row>
    <x:row r="78" ht="18" customHeight="1">
      <x:c r="A78" s="31" t="inlineStr">
        <x:is>
          <x:t xml:space="preserve">ЗК-1077</x:t>
        </x:is>
      </x:c>
      <x:c r="B78" s="31" t="n">
        <x:v>46147</x:v>
      </x:c>
      <x:c r="C78" s="31" t="inlineStr">
        <x:is>
          <x:t xml:space="preserve">КЛ-012</x:t>
        </x:is>
      </x:c>
      <x:c r="D78" s="31" t="inlineStr">
        <x:is>
          <x:t xml:space="preserve">СОТР-004</x:t>
        </x:is>
      </x:c>
      <x:c r="E78" s="31" t="inlineStr">
        <x:is>
          <x:t xml:space="preserve">Повторный заказ</x:t>
        </x:is>
      </x:c>
      <x:c r="F78" s="31" t="inlineStr">
        <x:is>
          <x:t xml:space="preserve">Лид</x:t>
        </x:is>
      </x:c>
      <x:c r="G78" s="31" t="inlineStr">
        <x:is>
          <x:t xml:space="preserve">Средний</x:t>
        </x:is>
      </x:c>
      <x:c r="H78" s="31" t="n">
        <x:v>46200</x:v>
      </x:c>
      <x:c r="I78" s="31" t="n">
        <x:v>46200</x:v>
      </x:c>
      <x:c r="J78" s="31" t="n">
        <x:v>17415440</x:v>
      </x:c>
      <x:c r="K78" s="31" t="n">
        <x:v>7530931</x:v>
      </x:c>
      <x:c r="L78" s="31" t="n">
        <x:v>1415825</x:v>
      </x:c>
      <x:c r="M78" s="31" t="n">
        <x:v>1670202</x:v>
      </x:c>
      <x:c r="N78" s="31" t="n">
        <x:v>6798482</x:v>
      </x:c>
      <x:c r="O78" s="31" t="n">
        <x:v>20</x:v>
      </x:c>
      <x:c r="P78" s="31" t="inlineStr">
        <x:is>
          <x:t xml:space="preserve">Не выставлен счет</x:t>
        </x:is>
      </x:c>
      <x:c r="Q78" s="31" t="n"/>
      <x:c r="R78" s="31" t="inlineStr">
        <x:is>
          <x:t xml:space="preserve">Низкий</x:t>
        </x:is>
      </x:c>
      <x:c r="S78" s="31" t="inlineStr">
        <x:is>
          <x:t xml:space="preserve">Нет</x:t>
        </x:is>
      </x:c>
      <x:c r="T78" s="31" t="inlineStr">
        <x:is>
          <x:t xml:space="preserve">Нет</x:t>
        </x:is>
      </x:c>
      <x:c r="U78" s="31" t="inlineStr">
        <x:is>
          <x:t xml:space="preserve">Сделка создана из канала сервис</x:t>
        </x:is>
      </x:c>
    </x:row>
    <x:row r="79" ht="18" customHeight="1">
      <x:c r="A79" s="31" t="inlineStr">
        <x:is>
          <x:t xml:space="preserve">ЗК-1078</x:t>
        </x:is>
      </x:c>
      <x:c r="B79" s="31" t="n">
        <x:v>46101</x:v>
      </x:c>
      <x:c r="C79" s="31" t="inlineStr">
        <x:is>
          <x:t xml:space="preserve">КЛ-044</x:t>
        </x:is>
      </x:c>
      <x:c r="D79" s="31" t="inlineStr">
        <x:is>
          <x:t xml:space="preserve">СОТР-005</x:t>
        </x:is>
      </x:c>
      <x:c r="E79" s="31" t="inlineStr">
        <x:is>
          <x:t xml:space="preserve">Новый проект</x:t>
        </x:is>
      </x:c>
      <x:c r="F79" s="31" t="inlineStr">
        <x:is>
          <x:t xml:space="preserve">В производстве</x:t>
        </x:is>
      </x:c>
      <x:c r="G79" s="31" t="inlineStr">
        <x:is>
          <x:t xml:space="preserve">Средний</x:t>
        </x:is>
      </x:c>
      <x:c r="H79" s="31" t="n">
        <x:v>46175</x:v>
      </x:c>
      <x:c r="I79" s="31" t="n">
        <x:v>46175</x:v>
      </x:c>
      <x:c r="J79" s="31" t="n">
        <x:v>17250828</x:v>
      </x:c>
      <x:c r="K79" s="31" t="n">
        <x:v>5989594</x:v>
      </x:c>
      <x:c r="L79" s="31" t="n">
        <x:v>1794564</x:v>
      </x:c>
      <x:c r="M79" s="31" t="n">
        <x:v>1233881</x:v>
      </x:c>
      <x:c r="N79" s="31" t="n">
        <x:v>8232789</x:v>
      </x:c>
      <x:c r="O79" s="31" t="n">
        <x:v>50</x:v>
      </x:c>
      <x:c r="P79" s="31" t="inlineStr">
        <x:is>
          <x:t xml:space="preserve">Просрочка</x:t>
        </x:is>
      </x:c>
      <x:c r="Q79" s="31" t="inlineStr">
        <x:is>
          <x:t xml:space="preserve">СТК-2026-1078</x:t>
        </x:is>
      </x:c>
      <x:c r="R79" s="31" t="inlineStr">
        <x:is>
          <x:t xml:space="preserve">Средний</x:t>
        </x:is>
      </x:c>
      <x:c r="S79" s="31" t="inlineStr">
        <x:is>
          <x:t xml:space="preserve">Нет</x:t>
        </x:is>
      </x:c>
      <x:c r="T79" s="31" t="inlineStr">
        <x:is>
          <x:t xml:space="preserve">Нет</x:t>
        </x:is>
      </x:c>
      <x:c r="U79" s="31" t="inlineStr">
        <x:is>
          <x:t xml:space="preserve">Сделка создана из канала сервис</x:t>
        </x:is>
      </x:c>
    </x:row>
    <x:row r="80" ht="18" customHeight="1">
      <x:c r="A80" s="31" t="inlineStr">
        <x:is>
          <x:t xml:space="preserve">ЗК-1079</x:t>
        </x:is>
      </x:c>
      <x:c r="B80" s="31" t="n">
        <x:v>46099</x:v>
      </x:c>
      <x:c r="C80" s="31" t="inlineStr">
        <x:is>
          <x:t xml:space="preserve">КЛ-015</x:t>
        </x:is>
      </x:c>
      <x:c r="D80" s="31" t="inlineStr">
        <x:is>
          <x:t xml:space="preserve">СОТР-005</x:t>
        </x:is>
      </x:c>
      <x:c r="E80" s="31" t="inlineStr">
        <x:is>
          <x:t xml:space="preserve">Модернизация</x:t>
        </x:is>
      </x:c>
      <x:c r="F80" s="31" t="inlineStr">
        <x:is>
          <x:t xml:space="preserve">Отгружено</x:t>
        </x:is>
      </x:c>
      <x:c r="G80" s="31" t="inlineStr">
        <x:is>
          <x:t xml:space="preserve">Средний</x:t>
        </x:is>
      </x:c>
      <x:c r="H80" s="31" t="n">
        <x:v>46155</x:v>
      </x:c>
      <x:c r="I80" s="31" t="n">
        <x:v>46154</x:v>
      </x:c>
      <x:c r="J80" s="31" t="n">
        <x:v>7837051</x:v>
      </x:c>
      <x:c r="K80" s="31" t="n">
        <x:v>3144376</x:v>
      </x:c>
      <x:c r="L80" s="31" t="n">
        <x:v>770582</x:v>
      </x:c>
      <x:c r="M80" s="31" t="n">
        <x:v>593430</x:v>
      </x:c>
      <x:c r="N80" s="31" t="n">
        <x:v>3328663</x:v>
      </x:c>
      <x:c r="O80" s="31" t="n">
        <x:v>40</x:v>
      </x:c>
      <x:c r="P80" s="31" t="inlineStr">
        <x:is>
          <x:t xml:space="preserve">Оплачен</x:t>
        </x:is>
      </x:c>
      <x:c r="Q80" s="31" t="inlineStr">
        <x:is>
          <x:t xml:space="preserve">СТК-2026-1079</x:t>
        </x:is>
      </x:c>
      <x:c r="R80" s="31" t="inlineStr">
        <x:is>
          <x:t xml:space="preserve">Средний</x:t>
        </x:is>
      </x:c>
      <x:c r="S80" s="31" t="inlineStr">
        <x:is>
          <x:t xml:space="preserve">Нет</x:t>
        </x:is>
      </x:c>
      <x:c r="T80" s="31" t="inlineStr">
        <x:is>
          <x:t xml:space="preserve">Нет</x:t>
        </x:is>
      </x:c>
      <x:c r="U80" s="31" t="inlineStr">
        <x:is>
          <x:t xml:space="preserve">Сделка создана из канала сервис</x:t>
        </x:is>
      </x:c>
    </x:row>
    <x:row r="81" ht="18" customHeight="1">
      <x:c r="A81" s="31" t="inlineStr">
        <x:is>
          <x:t xml:space="preserve">ЗК-1080</x:t>
        </x:is>
      </x:c>
      <x:c r="B81" s="31" t="n">
        <x:v>46046</x:v>
      </x:c>
      <x:c r="C81" s="31" t="inlineStr">
        <x:is>
          <x:t xml:space="preserve">КЛ-007</x:t>
        </x:is>
      </x:c>
      <x:c r="D81" s="31" t="inlineStr">
        <x:is>
          <x:t xml:space="preserve">СОТР-004</x:t>
        </x:is>
      </x:c>
      <x:c r="E81" s="31" t="inlineStr">
        <x:is>
          <x:t xml:space="preserve">Новый проект</x:t>
        </x:is>
      </x:c>
      <x:c r="F81" s="31" t="inlineStr">
        <x:is>
          <x:t xml:space="preserve">Лид</x:t>
        </x:is>
      </x:c>
      <x:c r="G81" s="31" t="inlineStr">
        <x:is>
          <x:t xml:space="preserve">Средний</x:t>
        </x:is>
      </x:c>
      <x:c r="H81" s="31" t="n">
        <x:v>46111</x:v>
      </x:c>
      <x:c r="I81" s="31" t="n">
        <x:v>46111</x:v>
      </x:c>
      <x:c r="J81" s="31" t="n">
        <x:v>2688243</x:v>
      </x:c>
      <x:c r="K81" s="31" t="n">
        <x:v>1114739</x:v>
      </x:c>
      <x:c r="L81" s="31" t="n">
        <x:v>279891</x:v>
      </x:c>
      <x:c r="M81" s="31" t="n">
        <x:v>226855</x:v>
      </x:c>
      <x:c r="N81" s="31" t="n">
        <x:v>1066758</x:v>
      </x:c>
      <x:c r="O81" s="31" t="n">
        <x:v>100</x:v>
      </x:c>
      <x:c r="P81" s="31" t="inlineStr">
        <x:is>
          <x:t xml:space="preserve">Не выставлен счет</x:t>
        </x:is>
      </x:c>
      <x:c r="Q81" s="31" t="n"/>
      <x:c r="R81" s="31" t="inlineStr">
        <x:is>
          <x:t xml:space="preserve">Низкий</x:t>
        </x:is>
      </x:c>
      <x:c r="S81" s="31" t="inlineStr">
        <x:is>
          <x:t xml:space="preserve">Нет</x:t>
        </x:is>
      </x:c>
      <x:c r="T81" s="31" t="inlineStr">
        <x:is>
          <x:t xml:space="preserve">Нет</x:t>
        </x:is>
      </x:c>
      <x:c r="U81" s="31" t="inlineStr">
        <x:is>
          <x:t xml:space="preserve">Сделка создана из канала сервис</x:t>
        </x:is>
      </x:c>
    </x:row>
    <x:row r="82" ht="18" customHeight="1">
      <x:c r="A82" s="31" t="inlineStr">
        <x:is>
          <x:t xml:space="preserve">ЗК-1081</x:t>
        </x:is>
      </x:c>
      <x:c r="B82" s="31" t="n">
        <x:v>46145</x:v>
      </x:c>
      <x:c r="C82" s="31" t="inlineStr">
        <x:is>
          <x:t xml:space="preserve">КЛ-048</x:t>
        </x:is>
      </x:c>
      <x:c r="D82" s="31" t="inlineStr">
        <x:is>
          <x:t xml:space="preserve">СОТР-005</x:t>
        </x:is>
      </x:c>
      <x:c r="E82" s="31" t="inlineStr">
        <x:is>
          <x:t xml:space="preserve">Новый проект</x:t>
        </x:is>
      </x:c>
      <x:c r="F82" s="31" t="inlineStr">
        <x:is>
          <x:t xml:space="preserve">Отгружено</x:t>
        </x:is>
      </x:c>
      <x:c r="G82" s="31" t="inlineStr">
        <x:is>
          <x:t xml:space="preserve">Средний</x:t>
        </x:is>
      </x:c>
      <x:c r="H82" s="31" t="n">
        <x:v>46222</x:v>
      </x:c>
      <x:c r="I82" s="31" t="n">
        <x:v>46221</x:v>
      </x:c>
      <x:c r="J82" s="31" t="n">
        <x:v>3717867</x:v>
      </x:c>
      <x:c r="K82" s="31" t="n">
        <x:v>1705055</x:v>
      </x:c>
      <x:c r="L82" s="31" t="n">
        <x:v>540821</x:v>
      </x:c>
      <x:c r="M82" s="31" t="n">
        <x:v>209156</x:v>
      </x:c>
      <x:c r="N82" s="31" t="n">
        <x:v>1262835</x:v>
      </x:c>
      <x:c r="O82" s="31" t="n">
        <x:v>40</x:v>
      </x:c>
      <x:c r="P82" s="31" t="inlineStr">
        <x:is>
          <x:t xml:space="preserve">Просрочка</x:t>
        </x:is>
      </x:c>
      <x:c r="Q82" s="31" t="inlineStr">
        <x:is>
          <x:t xml:space="preserve">СТК-2026-1081</x:t>
        </x:is>
      </x:c>
      <x:c r="R82" s="31" t="inlineStr">
        <x:is>
          <x:t xml:space="preserve">Низкий</x:t>
        </x:is>
      </x:c>
      <x:c r="S82" s="31" t="inlineStr">
        <x:is>
          <x:t xml:space="preserve">Да</x:t>
        </x:is>
      </x:c>
      <x:c r="T82" s="31" t="inlineStr">
        <x:is>
          <x:t xml:space="preserve">Нет</x:t>
        </x:is>
      </x:c>
      <x:c r="U82" s="31" t="inlineStr">
        <x:is>
          <x:t xml:space="preserve">Сделка создана из канала прямой запрос</x:t>
        </x:is>
      </x:c>
    </x:row>
    <x:row r="83" ht="18" customHeight="1">
      <x:c r="A83" s="31" t="inlineStr">
        <x:is>
          <x:t xml:space="preserve">ЗК-1082</x:t>
        </x:is>
      </x:c>
      <x:c r="B83" s="31" t="n">
        <x:v>46178</x:v>
      </x:c>
      <x:c r="C83" s="31" t="inlineStr">
        <x:is>
          <x:t xml:space="preserve">КЛ-022</x:t>
        </x:is>
      </x:c>
      <x:c r="D83" s="31" t="inlineStr">
        <x:is>
          <x:t xml:space="preserve">СОТР-004</x:t>
        </x:is>
      </x:c>
      <x:c r="E83" s="31" t="inlineStr">
        <x:is>
          <x:t xml:space="preserve">Повторный заказ</x:t>
        </x:is>
      </x:c>
      <x:c r="F83" s="31" t="inlineStr">
        <x:is>
          <x:t xml:space="preserve">В производстве</x:t>
        </x:is>
      </x:c>
      <x:c r="G83" s="31" t="inlineStr">
        <x:is>
          <x:t xml:space="preserve">Высокий</x:t>
        </x:is>
      </x:c>
      <x:c r="H83" s="31" t="n">
        <x:v>46207</x:v>
      </x:c>
      <x:c r="I83" s="31" t="n">
        <x:v>46207</x:v>
      </x:c>
      <x:c r="J83" s="31" t="n">
        <x:v>12835069</x:v>
      </x:c>
      <x:c r="K83" s="31" t="n">
        <x:v>5371153</x:v>
      </x:c>
      <x:c r="L83" s="31" t="n">
        <x:v>1461396</x:v>
      </x:c>
      <x:c r="M83" s="31" t="n">
        <x:v>1011477</x:v>
      </x:c>
      <x:c r="N83" s="31" t="n">
        <x:v>4991043</x:v>
      </x:c>
      <x:c r="O83" s="31" t="n">
        <x:v>100</x:v>
      </x:c>
      <x:c r="P83" s="31" t="inlineStr">
        <x:is>
          <x:t xml:space="preserve">Счет выставлен</x:t>
        </x:is>
      </x:c>
      <x:c r="Q83" s="31" t="inlineStr">
        <x:is>
          <x:t xml:space="preserve">СТК-2026-1082</x:t>
        </x:is>
      </x:c>
      <x:c r="R83" s="31" t="inlineStr">
        <x:is>
          <x:t xml:space="preserve">Критичный</x:t>
        </x:is>
      </x:c>
      <x:c r="S83" s="31" t="inlineStr">
        <x:is>
          <x:t xml:space="preserve">Нет</x:t>
        </x:is>
      </x:c>
      <x:c r="T83" s="31" t="inlineStr">
        <x:is>
          <x:t xml:space="preserve">Нет</x:t>
        </x:is>
      </x:c>
      <x:c r="U83" s="31" t="inlineStr">
        <x:is>
          <x:t xml:space="preserve">Сделка создана из канала сервис</x:t>
        </x:is>
      </x:c>
    </x:row>
    <x:row r="84" ht="18" customHeight="1">
      <x:c r="A84" s="31" t="inlineStr">
        <x:is>
          <x:t xml:space="preserve">ЗК-1083</x:t>
        </x:is>
      </x:c>
      <x:c r="B84" s="31" t="n">
        <x:v>46178</x:v>
      </x:c>
      <x:c r="C84" s="31" t="inlineStr">
        <x:is>
          <x:t xml:space="preserve">КЛ-010</x:t>
        </x:is>
      </x:c>
      <x:c r="D84" s="31" t="inlineStr">
        <x:is>
          <x:t xml:space="preserve">СОТР-004</x:t>
        </x:is>
      </x:c>
      <x:c r="E84" s="31" t="inlineStr">
        <x:is>
          <x:t xml:space="preserve">Повторный заказ</x:t>
        </x:is>
      </x:c>
      <x:c r="F84" s="31" t="inlineStr">
        <x:is>
          <x:t xml:space="preserve">Договор</x:t>
        </x:is>
      </x:c>
      <x:c r="G84" s="31" t="inlineStr">
        <x:is>
          <x:t xml:space="preserve">Средний</x:t>
        </x:is>
      </x:c>
      <x:c r="H84" s="31" t="n">
        <x:v>46235</x:v>
      </x:c>
      <x:c r="I84" s="31" t="n">
        <x:v>46237</x:v>
      </x:c>
      <x:c r="J84" s="31" t="n">
        <x:v>5136336</x:v>
      </x:c>
      <x:c r="K84" s="31" t="n">
        <x:v>2102775</x:v>
      </x:c>
      <x:c r="L84" s="31" t="n">
        <x:v>761138</x:v>
      </x:c>
      <x:c r="M84" s="31" t="n">
        <x:v>433762</x:v>
      </x:c>
      <x:c r="N84" s="31" t="n">
        <x:v>1838661</x:v>
      </x:c>
      <x:c r="O84" s="31" t="n">
        <x:v>30</x:v>
      </x:c>
      <x:c r="P84" s="31" t="inlineStr">
        <x:is>
          <x:t xml:space="preserve">Оплачен</x:t>
        </x:is>
      </x:c>
      <x:c r="Q84" s="31" t="inlineStr">
        <x:is>
          <x:t xml:space="preserve">СТК-2026-1083</x:t>
        </x:is>
      </x:c>
      <x:c r="R84" s="31" t="inlineStr">
        <x:is>
          <x:t xml:space="preserve">Средний</x:t>
        </x:is>
      </x:c>
      <x:c r="S84" s="31" t="inlineStr">
        <x:is>
          <x:t xml:space="preserve">Нет</x:t>
        </x:is>
      </x:c>
      <x:c r="T84" s="31" t="inlineStr">
        <x:is>
          <x:t xml:space="preserve">Нет</x:t>
        </x:is>
      </x:c>
      <x:c r="U84" s="31" t="inlineStr">
        <x:is>
          <x:t xml:space="preserve">Сделка создана из канала повторная заявка</x:t>
        </x:is>
      </x:c>
    </x:row>
    <x:row r="85" ht="18" customHeight="1">
      <x:c r="A85" s="31" t="inlineStr">
        <x:is>
          <x:t xml:space="preserve">ЗК-1084</x:t>
        </x:is>
      </x:c>
      <x:c r="B85" s="31" t="n">
        <x:v>46072</x:v>
      </x:c>
      <x:c r="C85" s="31" t="inlineStr">
        <x:is>
          <x:t xml:space="preserve">КЛ-049</x:t>
        </x:is>
      </x:c>
      <x:c r="D85" s="31" t="inlineStr">
        <x:is>
          <x:t xml:space="preserve">СОТР-004</x:t>
        </x:is>
      </x:c>
      <x:c r="E85" s="31" t="inlineStr">
        <x:is>
          <x:t xml:space="preserve">Аварийная поставка</x:t>
        </x:is>
      </x:c>
      <x:c r="F85" s="31" t="inlineStr">
        <x:is>
          <x:t xml:space="preserve">Договор</x:t>
        </x:is>
      </x:c>
      <x:c r="G85" s="31" t="inlineStr">
        <x:is>
          <x:t xml:space="preserve">Срочный</x:t>
        </x:is>
      </x:c>
      <x:c r="H85" s="31" t="n">
        <x:v>46135</x:v>
      </x:c>
      <x:c r="I85" s="31" t="n">
        <x:v>46137</x:v>
      </x:c>
      <x:c r="J85" s="31" t="n">
        <x:v>1071014</x:v>
      </x:c>
      <x:c r="K85" s="31" t="n">
        <x:v>536192</x:v>
      </x:c>
      <x:c r="L85" s="31" t="n">
        <x:v>109159</x:v>
      </x:c>
      <x:c r="M85" s="31" t="n">
        <x:v>114324</x:v>
      </x:c>
      <x:c r="N85" s="31" t="n">
        <x:v>311339</x:v>
      </x:c>
      <x:c r="O85" s="31" t="n">
        <x:v>40</x:v>
      </x:c>
      <x:c r="P85" s="31" t="inlineStr">
        <x:is>
          <x:t xml:space="preserve">Оплачен</x:t>
        </x:is>
      </x:c>
      <x:c r="Q85" s="31" t="inlineStr">
        <x:is>
          <x:t xml:space="preserve">СТК-2026-1084</x:t>
        </x:is>
      </x:c>
      <x:c r="R85" s="31" t="inlineStr">
        <x:is>
          <x:t xml:space="preserve">Средний</x:t>
        </x:is>
      </x:c>
      <x:c r="S85" s="31" t="inlineStr">
        <x:is>
          <x:t xml:space="preserve">Нет</x:t>
        </x:is>
      </x:c>
      <x:c r="T85" s="31" t="inlineStr">
        <x:is>
          <x:t xml:space="preserve">Нет</x:t>
        </x:is>
      </x:c>
      <x:c r="U85" s="31" t="inlineStr">
        <x:is>
          <x:t xml:space="preserve">Сделка создана из канала сервис</x:t>
        </x:is>
      </x:c>
    </x:row>
    <x:row r="86" ht="18" customHeight="1">
      <x:c r="A86" s="31" t="inlineStr">
        <x:is>
          <x:t xml:space="preserve">ЗК-1085</x:t>
        </x:is>
      </x:c>
      <x:c r="B86" s="31" t="n">
        <x:v>46107</x:v>
      </x:c>
      <x:c r="C86" s="31" t="inlineStr">
        <x:is>
          <x:t xml:space="preserve">КЛ-015</x:t>
        </x:is>
      </x:c>
      <x:c r="D86" s="31" t="inlineStr">
        <x:is>
          <x:t xml:space="preserve">СОТР-005</x:t>
        </x:is>
      </x:c>
      <x:c r="E86" s="31" t="inlineStr">
        <x:is>
          <x:t xml:space="preserve">Сервисный комплект</x:t>
        </x:is>
      </x:c>
      <x:c r="F86" s="31" t="inlineStr">
        <x:is>
          <x:t xml:space="preserve">Закрыт</x:t>
        </x:is>
      </x:c>
      <x:c r="G86" s="31" t="inlineStr">
        <x:is>
          <x:t xml:space="preserve">Низкий</x:t>
        </x:is>
      </x:c>
      <x:c r="H86" s="31" t="n">
        <x:v>46174</x:v>
      </x:c>
      <x:c r="I86" s="31" t="n">
        <x:v>46174</x:v>
      </x:c>
      <x:c r="J86" s="31" t="n">
        <x:v>4027099</x:v>
      </x:c>
      <x:c r="K86" s="31" t="n">
        <x:v>1959071</x:v>
      </x:c>
      <x:c r="L86" s="31" t="n">
        <x:v>546276</x:v>
      </x:c>
      <x:c r="M86" s="31" t="n">
        <x:v>380766</x:v>
      </x:c>
      <x:c r="N86" s="31" t="n">
        <x:v>1140986</x:v>
      </x:c>
      <x:c r="O86" s="31" t="n">
        <x:v>30</x:v>
      </x:c>
      <x:c r="P86" s="31" t="inlineStr">
        <x:is>
          <x:t xml:space="preserve">Не выставлен счет</x:t>
        </x:is>
      </x:c>
      <x:c r="Q86" s="31" t="inlineStr">
        <x:is>
          <x:t xml:space="preserve">СТК-2026-1085</x:t>
        </x:is>
      </x:c>
      <x:c r="R86" s="31" t="inlineStr">
        <x:is>
          <x:t xml:space="preserve">Низкий</x:t>
        </x:is>
      </x:c>
      <x:c r="S86" s="31" t="inlineStr">
        <x:is>
          <x:t xml:space="preserve">Нет</x:t>
        </x:is>
      </x:c>
      <x:c r="T86" s="31" t="inlineStr">
        <x:is>
          <x:t xml:space="preserve">Да</x:t>
        </x:is>
      </x:c>
      <x:c r="U86" s="31" t="inlineStr">
        <x:is>
          <x:t xml:space="preserve">Сделка создана из канала тендер</x:t>
        </x:is>
      </x:c>
    </x:row>
    <x:row r="87" ht="18" customHeight="1">
      <x:c r="A87" s="31" t="inlineStr">
        <x:is>
          <x:t xml:space="preserve">ЗК-1086</x:t>
        </x:is>
      </x:c>
      <x:c r="B87" s="31" t="n">
        <x:v>46072</x:v>
      </x:c>
      <x:c r="C87" s="31" t="inlineStr">
        <x:is>
          <x:t xml:space="preserve">КЛ-002</x:t>
        </x:is>
      </x:c>
      <x:c r="D87" s="31" t="inlineStr">
        <x:is>
          <x:t xml:space="preserve">СОТР-003</x:t>
        </x:is>
      </x:c>
      <x:c r="E87" s="31" t="inlineStr">
        <x:is>
          <x:t xml:space="preserve">Новый проект</x:t>
        </x:is>
      </x:c>
      <x:c r="F87" s="31" t="inlineStr">
        <x:is>
          <x:t xml:space="preserve">В производстве</x:t>
        </x:is>
      </x:c>
      <x:c r="G87" s="31" t="inlineStr">
        <x:is>
          <x:t xml:space="preserve">Средний</x:t>
        </x:is>
      </x:c>
      <x:c r="H87" s="31" t="n">
        <x:v>46137</x:v>
      </x:c>
      <x:c r="I87" s="31" t="n">
        <x:v>46142</x:v>
      </x:c>
      <x:c r="J87" s="31" t="n">
        <x:v>12449917</x:v>
      </x:c>
      <x:c r="K87" s="31" t="n">
        <x:v>4766776</x:v>
      </x:c>
      <x:c r="L87" s="31" t="n">
        <x:v>983673</x:v>
      </x:c>
      <x:c r="M87" s="31" t="n">
        <x:v>882948</x:v>
      </x:c>
      <x:c r="N87" s="31" t="n">
        <x:v>5816520</x:v>
      </x:c>
      <x:c r="O87" s="31" t="n">
        <x:v>20</x:v>
      </x:c>
      <x:c r="P87" s="31" t="inlineStr">
        <x:is>
          <x:t xml:space="preserve">Оплачен</x:t>
        </x:is>
      </x:c>
      <x:c r="Q87" s="31" t="inlineStr">
        <x:is>
          <x:t xml:space="preserve">СТК-2026-1086</x:t>
        </x:is>
      </x:c>
      <x:c r="R87" s="31" t="inlineStr">
        <x:is>
          <x:t xml:space="preserve">Средний</x:t>
        </x:is>
      </x:c>
      <x:c r="S87" s="31" t="inlineStr">
        <x:is>
          <x:t xml:space="preserve">Нет</x:t>
        </x:is>
      </x:c>
      <x:c r="T87" s="31" t="inlineStr">
        <x:is>
          <x:t xml:space="preserve">Нет</x:t>
        </x:is>
      </x:c>
      <x:c r="U87" s="31" t="inlineStr">
        <x:is>
          <x:t xml:space="preserve">Сделка создана из канала сервис</x:t>
        </x:is>
      </x:c>
    </x:row>
    <x:row r="88" ht="18" customHeight="1">
      <x:c r="A88" s="31" t="inlineStr">
        <x:is>
          <x:t xml:space="preserve">ЗК-1087</x:t>
        </x:is>
      </x:c>
      <x:c r="B88" s="31" t="n">
        <x:v>46047</x:v>
      </x:c>
      <x:c r="C88" s="31" t="inlineStr">
        <x:is>
          <x:t xml:space="preserve">КЛ-008</x:t>
        </x:is>
      </x:c>
      <x:c r="D88" s="31" t="inlineStr">
        <x:is>
          <x:t xml:space="preserve">СОТР-004</x:t>
        </x:is>
      </x:c>
      <x:c r="E88" s="31" t="inlineStr">
        <x:is>
          <x:t xml:space="preserve">Новый проект</x:t>
        </x:is>
      </x:c>
      <x:c r="F88" s="31" t="inlineStr">
        <x:is>
          <x:t xml:space="preserve">Закрыт</x:t>
        </x:is>
      </x:c>
      <x:c r="G88" s="31" t="inlineStr">
        <x:is>
          <x:t xml:space="preserve">Средний</x:t>
        </x:is>
      </x:c>
      <x:c r="H88" s="31" t="n">
        <x:v>46118</x:v>
      </x:c>
      <x:c r="I88" s="31" t="n">
        <x:v>46118</x:v>
      </x:c>
      <x:c r="J88" s="31" t="n">
        <x:v>4064394</x:v>
      </x:c>
      <x:c r="K88" s="31" t="n">
        <x:v>1523912</x:v>
      </x:c>
      <x:c r="L88" s="31" t="n">
        <x:v>364731</x:v>
      </x:c>
      <x:c r="M88" s="31" t="n">
        <x:v>234875</x:v>
      </x:c>
      <x:c r="N88" s="31" t="n">
        <x:v>1940876</x:v>
      </x:c>
      <x:c r="O88" s="31" t="n">
        <x:v>40</x:v>
      </x:c>
      <x:c r="P88" s="31" t="inlineStr">
        <x:is>
          <x:t xml:space="preserve">Счет выставлен</x:t>
        </x:is>
      </x:c>
      <x:c r="Q88" s="31" t="inlineStr">
        <x:is>
          <x:t xml:space="preserve">СТК-2026-1087</x:t>
        </x:is>
      </x:c>
      <x:c r="R88" s="31" t="inlineStr">
        <x:is>
          <x:t xml:space="preserve">Низкий</x:t>
        </x:is>
      </x:c>
      <x:c r="S88" s="31" t="inlineStr">
        <x:is>
          <x:t xml:space="preserve">Нет</x:t>
        </x:is>
      </x:c>
      <x:c r="T88" s="31" t="inlineStr">
        <x:is>
          <x:t xml:space="preserve">Нет</x:t>
        </x:is>
      </x:c>
      <x:c r="U88" s="31" t="inlineStr">
        <x:is>
          <x:t xml:space="preserve">Сделка создана из канала повторная заявка</x:t>
        </x:is>
      </x:c>
    </x:row>
    <x:row r="89" ht="18" customHeight="1">
      <x:c r="A89" s="31" t="inlineStr">
        <x:is>
          <x:t xml:space="preserve">ЗК-1088</x:t>
        </x:is>
      </x:c>
      <x:c r="B89" s="31" t="n">
        <x:v>46052</x:v>
      </x:c>
      <x:c r="C89" s="31" t="inlineStr">
        <x:is>
          <x:t xml:space="preserve">КЛ-048</x:t>
        </x:is>
      </x:c>
      <x:c r="D89" s="31" t="inlineStr">
        <x:is>
          <x:t xml:space="preserve">СОТР-005</x:t>
        </x:is>
      </x:c>
      <x:c r="E89" s="31" t="inlineStr">
        <x:is>
          <x:t xml:space="preserve">Модернизация</x:t>
        </x:is>
      </x:c>
      <x:c r="F89" s="31" t="inlineStr">
        <x:is>
          <x:t xml:space="preserve">КП отправлено</x:t>
        </x:is>
      </x:c>
      <x:c r="G89" s="31" t="inlineStr">
        <x:is>
          <x:t xml:space="preserve">Средний</x:t>
        </x:is>
      </x:c>
      <x:c r="H89" s="31" t="n">
        <x:v>46083</x:v>
      </x:c>
      <x:c r="I89" s="31" t="n">
        <x:v>46084</x:v>
      </x:c>
      <x:c r="J89" s="31" t="n">
        <x:v>2906060</x:v>
      </x:c>
      <x:c r="K89" s="31" t="n">
        <x:v>1369749</x:v>
      </x:c>
      <x:c r="L89" s="31" t="n">
        <x:v>285074</x:v>
      </x:c>
      <x:c r="M89" s="31" t="n">
        <x:v>262857</x:v>
      </x:c>
      <x:c r="N89" s="31" t="n">
        <x:v>988380</x:v>
      </x:c>
      <x:c r="O89" s="31" t="n">
        <x:v>100</x:v>
      </x:c>
      <x:c r="P89" s="31" t="inlineStr">
        <x:is>
          <x:t xml:space="preserve">Счет выставлен</x:t>
        </x:is>
      </x:c>
      <x:c r="Q89" s="31" t="n"/>
      <x:c r="R89" s="31" t="inlineStr">
        <x:is>
          <x:t xml:space="preserve">Критичный</x:t>
        </x:is>
      </x:c>
      <x:c r="S89" s="31" t="inlineStr">
        <x:is>
          <x:t xml:space="preserve">Нет</x:t>
        </x:is>
      </x:c>
      <x:c r="T89" s="31" t="inlineStr">
        <x:is>
          <x:t xml:space="preserve">Нет</x:t>
        </x:is>
      </x:c>
      <x:c r="U89" s="31" t="inlineStr">
        <x:is>
          <x:t xml:space="preserve">Сделка создана из канала повторная заявка</x:t>
        </x:is>
      </x:c>
    </x:row>
    <x:row r="90" ht="18" customHeight="1">
      <x:c r="A90" s="31" t="inlineStr">
        <x:is>
          <x:t xml:space="preserve">ЗК-1089</x:t>
        </x:is>
      </x:c>
      <x:c r="B90" s="31" t="n">
        <x:v>46177</x:v>
      </x:c>
      <x:c r="C90" s="31" t="inlineStr">
        <x:is>
          <x:t xml:space="preserve">КЛ-031</x:t>
        </x:is>
      </x:c>
      <x:c r="D90" s="31" t="inlineStr">
        <x:is>
          <x:t xml:space="preserve">СОТР-004</x:t>
        </x:is>
      </x:c>
      <x:c r="E90" s="31" t="inlineStr">
        <x:is>
          <x:t xml:space="preserve">Новый проект</x:t>
        </x:is>
      </x:c>
      <x:c r="F90" s="31" t="inlineStr">
        <x:is>
          <x:t xml:space="preserve">В производстве</x:t>
        </x:is>
      </x:c>
      <x:c r="G90" s="31" t="inlineStr">
        <x:is>
          <x:t xml:space="preserve">Средний</x:t>
        </x:is>
      </x:c>
      <x:c r="H90" s="31" t="n">
        <x:v>46246</x:v>
      </x:c>
      <x:c r="I90" s="31" t="n">
        <x:v>46257</x:v>
      </x:c>
      <x:c r="J90" s="31" t="n">
        <x:v>6266459</x:v>
      </x:c>
      <x:c r="K90" s="31" t="n">
        <x:v>2397526</x:v>
      </x:c>
      <x:c r="L90" s="31" t="n">
        <x:v>778781</x:v>
      </x:c>
      <x:c r="M90" s="31" t="n">
        <x:v>496135</x:v>
      </x:c>
      <x:c r="N90" s="31" t="n">
        <x:v>2594017</x:v>
      </x:c>
      <x:c r="O90" s="31" t="n">
        <x:v>100</x:v>
      </x:c>
      <x:c r="P90" s="31" t="inlineStr">
        <x:is>
          <x:t xml:space="preserve">Счет выставлен</x:t>
        </x:is>
      </x:c>
      <x:c r="Q90" s="31" t="inlineStr">
        <x:is>
          <x:t xml:space="preserve">СТК-2026-1089</x:t>
        </x:is>
      </x:c>
      <x:c r="R90" s="31" t="inlineStr">
        <x:is>
          <x:t xml:space="preserve">Низкий</x:t>
        </x:is>
      </x:c>
      <x:c r="S90" s="31" t="inlineStr">
        <x:is>
          <x:t xml:space="preserve">Нет</x:t>
        </x:is>
      </x:c>
      <x:c r="T90" s="31" t="inlineStr">
        <x:is>
          <x:t xml:space="preserve">Нет</x:t>
        </x:is>
      </x:c>
      <x:c r="U90" s="31" t="inlineStr">
        <x:is>
          <x:t xml:space="preserve">Сделка создана из канала повторная заявка</x:t>
        </x:is>
      </x:c>
    </x:row>
    <x:row r="91" ht="18" customHeight="1">
      <x:c r="A91" s="31" t="inlineStr">
        <x:is>
          <x:t xml:space="preserve">ЗК-1090</x:t>
        </x:is>
      </x:c>
      <x:c r="B91" s="31" t="n">
        <x:v>46132</x:v>
      </x:c>
      <x:c r="C91" s="31" t="inlineStr">
        <x:is>
          <x:t xml:space="preserve">КЛ-033</x:t>
        </x:is>
      </x:c>
      <x:c r="D91" s="31" t="inlineStr">
        <x:is>
          <x:t xml:space="preserve">СОТР-005</x:t>
        </x:is>
      </x:c>
      <x:c r="E91" s="31" t="inlineStr">
        <x:is>
          <x:t xml:space="preserve">Повторный заказ</x:t>
        </x:is>
      </x:c>
      <x:c r="F91" s="31" t="inlineStr">
        <x:is>
          <x:t xml:space="preserve">Договор</x:t>
        </x:is>
      </x:c>
      <x:c r="G91" s="31" t="inlineStr">
        <x:is>
          <x:t xml:space="preserve">Высокий</x:t>
        </x:is>
      </x:c>
      <x:c r="H91" s="31" t="n">
        <x:v>46178</x:v>
      </x:c>
      <x:c r="I91" s="31" t="n">
        <x:v>46180</x:v>
      </x:c>
      <x:c r="J91" s="31" t="n">
        <x:v>18745338</x:v>
      </x:c>
      <x:c r="K91" s="31" t="n">
        <x:v>9602202</x:v>
      </x:c>
      <x:c r="L91" s="31" t="n">
        <x:v>1828507</x:v>
      </x:c>
      <x:c r="M91" s="31" t="n">
        <x:v>1986173</x:v>
      </x:c>
      <x:c r="N91" s="31" t="n">
        <x:v>5328456</x:v>
      </x:c>
      <x:c r="O91" s="31" t="n">
        <x:v>70</x:v>
      </x:c>
      <x:c r="P91" s="31" t="inlineStr">
        <x:is>
          <x:t xml:space="preserve">Не выставлен счет</x:t>
        </x:is>
      </x:c>
      <x:c r="Q91" s="31" t="inlineStr">
        <x:is>
          <x:t xml:space="preserve">СТК-2026-1090</x:t>
        </x:is>
      </x:c>
      <x:c r="R91" s="31" t="inlineStr">
        <x:is>
          <x:t xml:space="preserve">Средний</x:t>
        </x:is>
      </x:c>
      <x:c r="S91" s="31" t="inlineStr">
        <x:is>
          <x:t xml:space="preserve">Нет</x:t>
        </x:is>
      </x:c>
      <x:c r="T91" s="31" t="inlineStr">
        <x:is>
          <x:t xml:space="preserve">Нет</x:t>
        </x:is>
      </x:c>
      <x:c r="U91" s="31" t="inlineStr">
        <x:is>
          <x:t xml:space="preserve">Сделка создана из канала повторная заявка</x:t>
        </x:is>
      </x:c>
    </x:row>
    <x:row r="92" ht="18" customHeight="1">
      <x:c r="A92" s="31" t="inlineStr">
        <x:is>
          <x:t xml:space="preserve">ЗК-1091</x:t>
        </x:is>
      </x:c>
      <x:c r="B92" s="31" t="n">
        <x:v>46130</x:v>
      </x:c>
      <x:c r="C92" s="31" t="inlineStr">
        <x:is>
          <x:t xml:space="preserve">КЛ-034</x:t>
        </x:is>
      </x:c>
      <x:c r="D92" s="31" t="inlineStr">
        <x:is>
          <x:t xml:space="preserve">СОТР-004</x:t>
        </x:is>
      </x:c>
      <x:c r="E92" s="31" t="inlineStr">
        <x:is>
          <x:t xml:space="preserve">Новый проект</x:t>
        </x:is>
      </x:c>
      <x:c r="F92" s="31" t="inlineStr">
        <x:is>
          <x:t xml:space="preserve">Закрыт</x:t>
        </x:is>
      </x:c>
      <x:c r="G92" s="31" t="inlineStr">
        <x:is>
          <x:t xml:space="preserve">Срочный</x:t>
        </x:is>
      </x:c>
      <x:c r="H92" s="31" t="n">
        <x:v>46207</x:v>
      </x:c>
      <x:c r="I92" s="31" t="n">
        <x:v>46207</x:v>
      </x:c>
      <x:c r="J92" s="31" t="n">
        <x:v>1085448</x:v>
      </x:c>
      <x:c r="K92" s="31" t="n">
        <x:v>598788</x:v>
      </x:c>
      <x:c r="L92" s="31" t="n">
        <x:v>154816</x:v>
      </x:c>
      <x:c r="M92" s="31" t="n">
        <x:v>116202</x:v>
      </x:c>
      <x:c r="N92" s="31" t="n">
        <x:v>215642</x:v>
      </x:c>
      <x:c r="O92" s="31" t="n">
        <x:v>100</x:v>
      </x:c>
      <x:c r="P92" s="31" t="inlineStr">
        <x:is>
          <x:t xml:space="preserve">Частично оплачен</x:t>
        </x:is>
      </x:c>
      <x:c r="Q92" s="31" t="inlineStr">
        <x:is>
          <x:t xml:space="preserve">СТК-2026-1091</x:t>
        </x:is>
      </x:c>
      <x:c r="R92" s="31" t="inlineStr">
        <x:is>
          <x:t xml:space="preserve">Низкий</x:t>
        </x:is>
      </x:c>
      <x:c r="S92" s="31" t="inlineStr">
        <x:is>
          <x:t xml:space="preserve">Нет</x:t>
        </x:is>
      </x:c>
      <x:c r="T92" s="31" t="inlineStr">
        <x:is>
          <x:t xml:space="preserve">Нет</x:t>
        </x:is>
      </x:c>
      <x:c r="U92" s="31" t="inlineStr">
        <x:is>
          <x:t xml:space="preserve">Сделка создана из канала прямой запрос</x:t>
        </x:is>
      </x:c>
    </x:row>
    <x:row r="93" ht="18" customHeight="1">
      <x:c r="A93" s="31" t="inlineStr">
        <x:is>
          <x:t xml:space="preserve">ЗК-1092</x:t>
        </x:is>
      </x:c>
      <x:c r="B93" s="31" t="n">
        <x:v>46138</x:v>
      </x:c>
      <x:c r="C93" s="31" t="inlineStr">
        <x:is>
          <x:t xml:space="preserve">КЛ-026</x:t>
        </x:is>
      </x:c>
      <x:c r="D93" s="31" t="inlineStr">
        <x:is>
          <x:t xml:space="preserve">СОТР-004</x:t>
        </x:is>
      </x:c>
      <x:c r="E93" s="31" t="inlineStr">
        <x:is>
          <x:t xml:space="preserve">Сервисный комплект</x:t>
        </x:is>
      </x:c>
      <x:c r="F93" s="31" t="inlineStr">
        <x:is>
          <x:t xml:space="preserve">В производстве</x:t>
        </x:is>
      </x:c>
      <x:c r="G93" s="31" t="inlineStr">
        <x:is>
          <x:t xml:space="preserve">Средний</x:t>
        </x:is>
      </x:c>
      <x:c r="H93" s="31" t="n">
        <x:v>46200</x:v>
      </x:c>
      <x:c r="I93" s="31" t="n">
        <x:v>46199</x:v>
      </x:c>
      <x:c r="J93" s="31" t="n">
        <x:v>5868327</x:v>
      </x:c>
      <x:c r="K93" s="31" t="n">
        <x:v>2479113</x:v>
      </x:c>
      <x:c r="L93" s="31" t="n">
        <x:v>749486</x:v>
      </x:c>
      <x:c r="M93" s="31" t="n">
        <x:v>527166</x:v>
      </x:c>
      <x:c r="N93" s="31" t="n">
        <x:v>2112562</x:v>
      </x:c>
      <x:c r="O93" s="31" t="n">
        <x:v>100</x:v>
      </x:c>
      <x:c r="P93" s="31" t="inlineStr">
        <x:is>
          <x:t xml:space="preserve">Не выставлен счет</x:t>
        </x:is>
      </x:c>
      <x:c r="Q93" s="31" t="inlineStr">
        <x:is>
          <x:t xml:space="preserve">СТК-2026-1092</x:t>
        </x:is>
      </x:c>
      <x:c r="R93" s="31" t="inlineStr">
        <x:is>
          <x:t xml:space="preserve">Средний</x:t>
        </x:is>
      </x:c>
      <x:c r="S93" s="31" t="inlineStr">
        <x:is>
          <x:t xml:space="preserve">Нет</x:t>
        </x:is>
      </x:c>
      <x:c r="T93" s="31" t="inlineStr">
        <x:is>
          <x:t xml:space="preserve">Нет</x:t>
        </x:is>
      </x:c>
      <x:c r="U93" s="31" t="inlineStr">
        <x:is>
          <x:t xml:space="preserve">Сделка создана из канала тендер</x:t>
        </x:is>
      </x:c>
    </x:row>
    <x:row r="94" ht="18" customHeight="1">
      <x:c r="A94" s="31" t="inlineStr">
        <x:is>
          <x:t xml:space="preserve">ЗК-1093</x:t>
        </x:is>
      </x:c>
      <x:c r="B94" s="31" t="n">
        <x:v>46092</x:v>
      </x:c>
      <x:c r="C94" s="31" t="inlineStr">
        <x:is>
          <x:t xml:space="preserve">КЛ-043</x:t>
        </x:is>
      </x:c>
      <x:c r="D94" s="31" t="inlineStr">
        <x:is>
          <x:t xml:space="preserve">СОТР-004</x:t>
        </x:is>
      </x:c>
      <x:c r="E94" s="31" t="inlineStr">
        <x:is>
          <x:t xml:space="preserve">Сервисный комплект</x:t>
        </x:is>
      </x:c>
      <x:c r="F94" s="31" t="inlineStr">
        <x:is>
          <x:t xml:space="preserve">В производстве</x:t>
        </x:is>
      </x:c>
      <x:c r="G94" s="31" t="inlineStr">
        <x:is>
          <x:t xml:space="preserve">Высокий</x:t>
        </x:is>
      </x:c>
      <x:c r="H94" s="31" t="n">
        <x:v>46165</x:v>
      </x:c>
      <x:c r="I94" s="31" t="n">
        <x:v>46175</x:v>
      </x:c>
      <x:c r="J94" s="31" t="n">
        <x:v>13431805</x:v>
      </x:c>
      <x:c r="K94" s="31" t="n">
        <x:v>5673469</x:v>
      </x:c>
      <x:c r="L94" s="31" t="n">
        <x:v>1343008</x:v>
      </x:c>
      <x:c r="M94" s="31" t="n">
        <x:v>1277059</x:v>
      </x:c>
      <x:c r="N94" s="31" t="n">
        <x:v>5138269</x:v>
      </x:c>
      <x:c r="O94" s="31" t="n">
        <x:v>100</x:v>
      </x:c>
      <x:c r="P94" s="31" t="inlineStr">
        <x:is>
          <x:t xml:space="preserve">Счет выставлен</x:t>
        </x:is>
      </x:c>
      <x:c r="Q94" s="31" t="inlineStr">
        <x:is>
          <x:t xml:space="preserve">СТК-2026-1093</x:t>
        </x:is>
      </x:c>
      <x:c r="R94" s="31" t="inlineStr">
        <x:is>
          <x:t xml:space="preserve">Средний</x:t>
        </x:is>
      </x:c>
      <x:c r="S94" s="31" t="inlineStr">
        <x:is>
          <x:t xml:space="preserve">Нет</x:t>
        </x:is>
      </x:c>
      <x:c r="T94" s="31" t="inlineStr">
        <x:is>
          <x:t xml:space="preserve">Нет</x:t>
        </x:is>
      </x:c>
      <x:c r="U94" s="31" t="inlineStr">
        <x:is>
          <x:t xml:space="preserve">Сделка создана из канала повторная заявка</x:t>
        </x:is>
      </x:c>
    </x:row>
    <x:row r="95" ht="18" customHeight="1">
      <x:c r="A95" s="31" t="inlineStr">
        <x:is>
          <x:t xml:space="preserve">ЗК-1094</x:t>
        </x:is>
      </x:c>
      <x:c r="B95" s="31" t="n">
        <x:v>46133</x:v>
      </x:c>
      <x:c r="C95" s="31" t="inlineStr">
        <x:is>
          <x:t xml:space="preserve">КЛ-041</x:t>
        </x:is>
      </x:c>
      <x:c r="D95" s="31" t="inlineStr">
        <x:is>
          <x:t xml:space="preserve">СОТР-005</x:t>
        </x:is>
      </x:c>
      <x:c r="E95" s="31" t="inlineStr">
        <x:is>
          <x:t xml:space="preserve">Аварийная поставка</x:t>
        </x:is>
      </x:c>
      <x:c r="F95" s="31" t="inlineStr">
        <x:is>
          <x:t xml:space="preserve">Готов к отгрузке</x:t>
        </x:is>
      </x:c>
      <x:c r="G95" s="31" t="inlineStr">
        <x:is>
          <x:t xml:space="preserve">Средний</x:t>
        </x:is>
      </x:c>
      <x:c r="H95" s="31" t="n">
        <x:v>46154</x:v>
      </x:c>
      <x:c r="I95" s="31" t="n">
        <x:v>46152</x:v>
      </x:c>
      <x:c r="J95" s="31" t="n">
        <x:v>7203363</x:v>
      </x:c>
      <x:c r="K95" s="31" t="n">
        <x:v>3077731</x:v>
      </x:c>
      <x:c r="L95" s="31" t="n">
        <x:v>868138</x:v>
      </x:c>
      <x:c r="M95" s="31" t="n">
        <x:v>496876</x:v>
      </x:c>
      <x:c r="N95" s="31" t="n">
        <x:v>2760618</x:v>
      </x:c>
      <x:c r="O95" s="31" t="n">
        <x:v>50</x:v>
      </x:c>
      <x:c r="P95" s="31" t="inlineStr">
        <x:is>
          <x:t xml:space="preserve">Не выставлен счет</x:t>
        </x:is>
      </x:c>
      <x:c r="Q95" s="31" t="inlineStr">
        <x:is>
          <x:t xml:space="preserve">СТК-2026-1094</x:t>
        </x:is>
      </x:c>
      <x:c r="R95" s="31" t="inlineStr">
        <x:is>
          <x:t xml:space="preserve">Средний</x:t>
        </x:is>
      </x:c>
      <x:c r="S95" s="31" t="inlineStr">
        <x:is>
          <x:t xml:space="preserve">Нет</x:t>
        </x:is>
      </x:c>
      <x:c r="T95" s="31" t="inlineStr">
        <x:is>
          <x:t xml:space="preserve">Нет</x:t>
        </x:is>
      </x:c>
      <x:c r="U95" s="31" t="inlineStr">
        <x:is>
          <x:t xml:space="preserve">Сделка создана из канала повторная заявка</x:t>
        </x:is>
      </x:c>
    </x:row>
    <x:row r="96" ht="18" customHeight="1">
      <x:c r="A96" s="31" t="inlineStr">
        <x:is>
          <x:t xml:space="preserve">ЗК-1095</x:t>
        </x:is>
      </x:c>
      <x:c r="B96" s="31" t="n">
        <x:v>46054</x:v>
      </x:c>
      <x:c r="C96" s="31" t="inlineStr">
        <x:is>
          <x:t xml:space="preserve">КЛ-041</x:t>
        </x:is>
      </x:c>
      <x:c r="D96" s="31" t="inlineStr">
        <x:is>
          <x:t xml:space="preserve">СОТР-005</x:t>
        </x:is>
      </x:c>
      <x:c r="E96" s="31" t="inlineStr">
        <x:is>
          <x:t xml:space="preserve">Повторный заказ</x:t>
        </x:is>
      </x:c>
      <x:c r="F96" s="31" t="inlineStr">
        <x:is>
          <x:t xml:space="preserve">КД</x:t>
        </x:is>
      </x:c>
      <x:c r="G96" s="31" t="inlineStr">
        <x:is>
          <x:t xml:space="preserve">Средний</x:t>
        </x:is>
      </x:c>
      <x:c r="H96" s="31" t="n">
        <x:v>46095</x:v>
      </x:c>
      <x:c r="I96" s="31" t="n">
        <x:v>46098</x:v>
      </x:c>
      <x:c r="J96" s="31" t="n">
        <x:v>1720381</x:v>
      </x:c>
      <x:c r="K96" s="31" t="n">
        <x:v>758434</x:v>
      </x:c>
      <x:c r="L96" s="31" t="n">
        <x:v>207209</x:v>
      </x:c>
      <x:c r="M96" s="31" t="n">
        <x:v>164135</x:v>
      </x:c>
      <x:c r="N96" s="31" t="n">
        <x:v>590603</x:v>
      </x:c>
      <x:c r="O96" s="31" t="n">
        <x:v>40</x:v>
      </x:c>
      <x:c r="P96" s="31" t="inlineStr">
        <x:is>
          <x:t xml:space="preserve">Оплачен</x:t>
        </x:is>
      </x:c>
      <x:c r="Q96" s="31" t="inlineStr">
        <x:is>
          <x:t xml:space="preserve">СТК-2026-1095</x:t>
        </x:is>
      </x:c>
      <x:c r="R96" s="31" t="inlineStr">
        <x:is>
          <x:t xml:space="preserve">Средний</x:t>
        </x:is>
      </x:c>
      <x:c r="S96" s="31" t="inlineStr">
        <x:is>
          <x:t xml:space="preserve">Нет</x:t>
        </x:is>
      </x:c>
      <x:c r="T96" s="31" t="inlineStr">
        <x:is>
          <x:t xml:space="preserve">Нет</x:t>
        </x:is>
      </x:c>
      <x:c r="U96" s="31" t="inlineStr">
        <x:is>
          <x:t xml:space="preserve">Сделка создана из канала повторная заявка</x:t>
        </x:is>
      </x:c>
    </x:row>
    <x:row r="97" ht="18" customHeight="1">
      <x:c r="A97" s="31" t="inlineStr">
        <x:is>
          <x:t xml:space="preserve">ЗК-1096</x:t>
        </x:is>
      </x:c>
      <x:c r="B97" s="31" t="n">
        <x:v>46189</x:v>
      </x:c>
      <x:c r="C97" s="31" t="inlineStr">
        <x:is>
          <x:t xml:space="preserve">КЛ-045</x:t>
        </x:is>
      </x:c>
      <x:c r="D97" s="31" t="inlineStr">
        <x:is>
          <x:t xml:space="preserve">СОТР-004</x:t>
        </x:is>
      </x:c>
      <x:c r="E97" s="31" t="inlineStr">
        <x:is>
          <x:t xml:space="preserve">Повторный заказ</x:t>
        </x:is>
      </x:c>
      <x:c r="F97" s="31" t="inlineStr">
        <x:is>
          <x:t xml:space="preserve">Лид</x:t>
        </x:is>
      </x:c>
      <x:c r="G97" s="31" t="inlineStr">
        <x:is>
          <x:t xml:space="preserve">Низкий</x:t>
        </x:is>
      </x:c>
      <x:c r="H97" s="31" t="n">
        <x:v>46258</x:v>
      </x:c>
      <x:c r="I97" s="31" t="n">
        <x:v>46258</x:v>
      </x:c>
      <x:c r="J97" s="31" t="n">
        <x:v>1236420</x:v>
      </x:c>
      <x:c r="K97" s="31" t="n">
        <x:v>509878</x:v>
      </x:c>
      <x:c r="L97" s="31" t="n">
        <x:v>160830</x:v>
      </x:c>
      <x:c r="M97" s="31" t="n">
        <x:v>82132</x:v>
      </x:c>
      <x:c r="N97" s="31" t="n">
        <x:v>483580</x:v>
      </x:c>
      <x:c r="O97" s="31" t="n">
        <x:v>30</x:v>
      </x:c>
      <x:c r="P97" s="31" t="inlineStr">
        <x:is>
          <x:t xml:space="preserve">Не выставлен счет</x:t>
        </x:is>
      </x:c>
      <x:c r="Q97" s="31" t="n"/>
      <x:c r="R97" s="31" t="inlineStr">
        <x:is>
          <x:t xml:space="preserve">Высокий</x:t>
        </x:is>
      </x:c>
      <x:c r="S97" s="31" t="inlineStr">
        <x:is>
          <x:t xml:space="preserve">Нет</x:t>
        </x:is>
      </x:c>
      <x:c r="T97" s="31" t="inlineStr">
        <x:is>
          <x:t xml:space="preserve">Да</x:t>
        </x:is>
      </x:c>
      <x:c r="U97" s="31" t="inlineStr">
        <x:is>
          <x:t xml:space="preserve">Сделка создана из канала повторная заявка</x:t>
        </x:is>
      </x:c>
    </x:row>
    <x:row r="98" ht="18" customHeight="1">
      <x:c r="A98" s="31" t="inlineStr">
        <x:is>
          <x:t xml:space="preserve">ЗК-1097</x:t>
        </x:is>
      </x:c>
      <x:c r="B98" s="31" t="n">
        <x:v>46093</x:v>
      </x:c>
      <x:c r="C98" s="31" t="inlineStr">
        <x:is>
          <x:t xml:space="preserve">КЛ-015</x:t>
        </x:is>
      </x:c>
      <x:c r="D98" s="31" t="inlineStr">
        <x:is>
          <x:t xml:space="preserve">СОТР-005</x:t>
        </x:is>
      </x:c>
      <x:c r="E98" s="31" t="inlineStr">
        <x:is>
          <x:t xml:space="preserve">Сервисный комплект</x:t>
        </x:is>
      </x:c>
      <x:c r="F98" s="31" t="inlineStr">
        <x:is>
          <x:t xml:space="preserve">В производстве</x:t>
        </x:is>
      </x:c>
      <x:c r="G98" s="31" t="inlineStr">
        <x:is>
          <x:t xml:space="preserve">Высокий</x:t>
        </x:is>
      </x:c>
      <x:c r="H98" s="31" t="n">
        <x:v>46129</x:v>
      </x:c>
      <x:c r="I98" s="31" t="n">
        <x:v>46126</x:v>
      </x:c>
      <x:c r="J98" s="31" t="n">
        <x:v>17784015</x:v>
      </x:c>
      <x:c r="K98" s="31" t="n">
        <x:v>9092149</x:v>
      </x:c>
      <x:c r="L98" s="31" t="n">
        <x:v>1949666</x:v>
      </x:c>
      <x:c r="M98" s="31" t="n">
        <x:v>1398542</x:v>
      </x:c>
      <x:c r="N98" s="31" t="n">
        <x:v>5343658</x:v>
      </x:c>
      <x:c r="O98" s="31" t="n">
        <x:v>50</x:v>
      </x:c>
      <x:c r="P98" s="31" t="inlineStr">
        <x:is>
          <x:t xml:space="preserve">Счет выставлен</x:t>
        </x:is>
      </x:c>
      <x:c r="Q98" s="31" t="inlineStr">
        <x:is>
          <x:t xml:space="preserve">СТК-2026-1097</x:t>
        </x:is>
      </x:c>
      <x:c r="R98" s="31" t="inlineStr">
        <x:is>
          <x:t xml:space="preserve">Средний</x:t>
        </x:is>
      </x:c>
      <x:c r="S98" s="31" t="inlineStr">
        <x:is>
          <x:t xml:space="preserve">Нет</x:t>
        </x:is>
      </x:c>
      <x:c r="T98" s="31" t="inlineStr">
        <x:is>
          <x:t xml:space="preserve">Нет</x:t>
        </x:is>
      </x:c>
      <x:c r="U98" s="31" t="inlineStr">
        <x:is>
          <x:t xml:space="preserve">Сделка создана из канала тендер</x:t>
        </x:is>
      </x:c>
    </x:row>
    <x:row r="99" ht="18" customHeight="1">
      <x:c r="A99" s="31" t="inlineStr">
        <x:is>
          <x:t xml:space="preserve">ЗК-1098</x:t>
        </x:is>
      </x:c>
      <x:c r="B99" s="31" t="n">
        <x:v>46150</x:v>
      </x:c>
      <x:c r="C99" s="31" t="inlineStr">
        <x:is>
          <x:t xml:space="preserve">КЛ-018</x:t>
        </x:is>
      </x:c>
      <x:c r="D99" s="31" t="inlineStr">
        <x:is>
          <x:t xml:space="preserve">СОТР-004</x:t>
        </x:is>
      </x:c>
      <x:c r="E99" s="31" t="inlineStr">
        <x:is>
          <x:t xml:space="preserve">Новый проект</x:t>
        </x:is>
      </x:c>
      <x:c r="F99" s="31" t="inlineStr">
        <x:is>
          <x:t xml:space="preserve">В производстве</x:t>
        </x:is>
      </x:c>
      <x:c r="G99" s="31" t="inlineStr">
        <x:is>
          <x:t xml:space="preserve">Низкий</x:t>
        </x:is>
      </x:c>
      <x:c r="H99" s="31" t="n">
        <x:v>46224</x:v>
      </x:c>
      <x:c r="I99" s="31" t="n">
        <x:v>46236</x:v>
      </x:c>
      <x:c r="J99" s="31" t="n">
        <x:v>965634</x:v>
      </x:c>
      <x:c r="K99" s="31" t="n">
        <x:v>434041</x:v>
      </x:c>
      <x:c r="L99" s="31" t="n">
        <x:v>149926</x:v>
      </x:c>
      <x:c r="M99" s="31" t="n">
        <x:v>90447</x:v>
      </x:c>
      <x:c r="N99" s="31" t="n">
        <x:v>291220</x:v>
      </x:c>
      <x:c r="O99" s="31" t="n">
        <x:v>100</x:v>
      </x:c>
      <x:c r="P99" s="31" t="inlineStr">
        <x:is>
          <x:t xml:space="preserve">Счет выставлен</x:t>
        </x:is>
      </x:c>
      <x:c r="Q99" s="31" t="inlineStr">
        <x:is>
          <x:t xml:space="preserve">СТК-2026-1098</x:t>
        </x:is>
      </x:c>
      <x:c r="R99" s="31" t="inlineStr">
        <x:is>
          <x:t xml:space="preserve">Низкий</x:t>
        </x:is>
      </x:c>
      <x:c r="S99" s="31" t="inlineStr">
        <x:is>
          <x:t xml:space="preserve">Нет</x:t>
        </x:is>
      </x:c>
      <x:c r="T99" s="31" t="inlineStr">
        <x:is>
          <x:t xml:space="preserve">Нет</x:t>
        </x:is>
      </x:c>
      <x:c r="U99" s="31" t="inlineStr">
        <x:is>
          <x:t xml:space="preserve">Сделка создана из канала тендер</x:t>
        </x:is>
      </x:c>
    </x:row>
    <x:row r="100" ht="18" customHeight="1">
      <x:c r="A100" s="31" t="inlineStr">
        <x:is>
          <x:t xml:space="preserve">ЗК-1099</x:t>
        </x:is>
      </x:c>
      <x:c r="B100" s="31" t="n">
        <x:v>46141</x:v>
      </x:c>
      <x:c r="C100" s="31" t="inlineStr">
        <x:is>
          <x:t xml:space="preserve">КЛ-046</x:t>
        </x:is>
      </x:c>
      <x:c r="D100" s="31" t="inlineStr">
        <x:is>
          <x:t xml:space="preserve">СОТР-005</x:t>
        </x:is>
      </x:c>
      <x:c r="E100" s="31" t="inlineStr">
        <x:is>
          <x:t xml:space="preserve">Модернизация</x:t>
        </x:is>
      </x:c>
      <x:c r="F100" s="31" t="inlineStr">
        <x:is>
          <x:t xml:space="preserve">Готов к отгрузке</x:t>
        </x:is>
      </x:c>
      <x:c r="G100" s="31" t="inlineStr">
        <x:is>
          <x:t xml:space="preserve">Средний</x:t>
        </x:is>
      </x:c>
      <x:c r="H100" s="31" t="n">
        <x:v>46209</x:v>
      </x:c>
      <x:c r="I100" s="31" t="n">
        <x:v>46211</x:v>
      </x:c>
      <x:c r="J100" s="31" t="n">
        <x:v>16317422</x:v>
      </x:c>
      <x:c r="K100" s="31" t="n">
        <x:v>7220099</x:v>
      </x:c>
      <x:c r="L100" s="31" t="n">
        <x:v>2111510</x:v>
      </x:c>
      <x:c r="M100" s="31" t="n">
        <x:v>1227952</x:v>
      </x:c>
      <x:c r="N100" s="31" t="n">
        <x:v>5757861</x:v>
      </x:c>
      <x:c r="O100" s="31" t="n">
        <x:v>30</x:v>
      </x:c>
      <x:c r="P100" s="31" t="inlineStr">
        <x:is>
          <x:t xml:space="preserve">Счет выставлен</x:t>
        </x:is>
      </x:c>
      <x:c r="Q100" s="31" t="inlineStr">
        <x:is>
          <x:t xml:space="preserve">СТК-2026-1099</x:t>
        </x:is>
      </x:c>
      <x:c r="R100" s="31" t="inlineStr">
        <x:is>
          <x:t xml:space="preserve">Средний</x:t>
        </x:is>
      </x:c>
      <x:c r="S100" s="31" t="inlineStr">
        <x:is>
          <x:t xml:space="preserve">Нет</x:t>
        </x:is>
      </x:c>
      <x:c r="T100" s="31" t="inlineStr">
        <x:is>
          <x:t xml:space="preserve">Нет</x:t>
        </x:is>
      </x:c>
      <x:c r="U100" s="31" t="inlineStr">
        <x:is>
          <x:t xml:space="preserve">Сделка создана из канала сервис</x:t>
        </x:is>
      </x:c>
    </x:row>
    <x:row r="101" ht="18" customHeight="1">
      <x:c r="A101" s="31" t="inlineStr">
        <x:is>
          <x:t xml:space="preserve">ЗК-1100</x:t>
        </x:is>
      </x:c>
      <x:c r="B101" s="31" t="n">
        <x:v>46077</x:v>
      </x:c>
      <x:c r="C101" s="31" t="inlineStr">
        <x:is>
          <x:t xml:space="preserve">КЛ-002</x:t>
        </x:is>
      </x:c>
      <x:c r="D101" s="31" t="inlineStr">
        <x:is>
          <x:t xml:space="preserve">СОТР-003</x:t>
        </x:is>
      </x:c>
      <x:c r="E101" s="31" t="inlineStr">
        <x:is>
          <x:t xml:space="preserve">Повторный заказ</x:t>
        </x:is>
      </x:c>
      <x:c r="F101" s="31" t="inlineStr">
        <x:is>
          <x:t xml:space="preserve">ОТК</x:t>
        </x:is>
      </x:c>
      <x:c r="G101" s="31" t="inlineStr">
        <x:is>
          <x:t xml:space="preserve">Средний</x:t>
        </x:is>
      </x:c>
      <x:c r="H101" s="31" t="n">
        <x:v>46110</x:v>
      </x:c>
      <x:c r="I101" s="31" t="n">
        <x:v>46107</x:v>
      </x:c>
      <x:c r="J101" s="31" t="n">
        <x:v>1530669</x:v>
      </x:c>
      <x:c r="K101" s="31" t="n">
        <x:v>555122</x:v>
      </x:c>
      <x:c r="L101" s="31" t="n">
        <x:v>159186</x:v>
      </x:c>
      <x:c r="M101" s="31" t="n">
        <x:v>85057</x:v>
      </x:c>
      <x:c r="N101" s="31" t="n">
        <x:v>731304</x:v>
      </x:c>
      <x:c r="O101" s="31" t="n">
        <x:v>50</x:v>
      </x:c>
      <x:c r="P101" s="31" t="inlineStr">
        <x:is>
          <x:t xml:space="preserve">Просрочка</x:t>
        </x:is>
      </x:c>
      <x:c r="Q101" s="31" t="inlineStr">
        <x:is>
          <x:t xml:space="preserve">СТК-2026-1100</x:t>
        </x:is>
      </x:c>
      <x:c r="R101" s="31" t="inlineStr">
        <x:is>
          <x:t xml:space="preserve">Средний</x:t>
        </x:is>
      </x:c>
      <x:c r="S101" s="31" t="inlineStr">
        <x:is>
          <x:t xml:space="preserve">Нет</x:t>
        </x:is>
      </x:c>
      <x:c r="T101" s="31" t="inlineStr">
        <x:is>
          <x:t xml:space="preserve">Нет</x:t>
        </x:is>
      </x:c>
      <x:c r="U101" s="31" t="inlineStr">
        <x:is>
          <x:t xml:space="preserve">Сделка создана из канала сервис</x:t>
        </x:is>
      </x:c>
    </x:row>
    <x:row r="102" ht="18" customHeight="1">
      <x:c r="A102" s="31" t="inlineStr">
        <x:is>
          <x:t xml:space="preserve">ЗК-1101</x:t>
        </x:is>
      </x:c>
      <x:c r="B102" s="31" t="n">
        <x:v>46173</x:v>
      </x:c>
      <x:c r="C102" s="31" t="inlineStr">
        <x:is>
          <x:t xml:space="preserve">КЛ-004</x:t>
        </x:is>
      </x:c>
      <x:c r="D102" s="31" t="inlineStr">
        <x:is>
          <x:t xml:space="preserve">СОТР-004</x:t>
        </x:is>
      </x:c>
      <x:c r="E102" s="31" t="inlineStr">
        <x:is>
          <x:t xml:space="preserve">Новый проект</x:t>
        </x:is>
      </x:c>
      <x:c r="F102" s="31" t="inlineStr">
        <x:is>
          <x:t xml:space="preserve">ОТК</x:t>
        </x:is>
      </x:c>
      <x:c r="G102" s="31" t="inlineStr">
        <x:is>
          <x:t xml:space="preserve">Низкий</x:t>
        </x:is>
      </x:c>
      <x:c r="H102" s="31" t="n">
        <x:v>46191</x:v>
      </x:c>
      <x:c r="I102" s="31" t="n">
        <x:v>46186</x:v>
      </x:c>
      <x:c r="J102" s="31" t="n">
        <x:v>4477589</x:v>
      </x:c>
      <x:c r="K102" s="31" t="n">
        <x:v>1862818</x:v>
      </x:c>
      <x:c r="L102" s="31" t="n">
        <x:v>433806</x:v>
      </x:c>
      <x:c r="M102" s="31" t="n">
        <x:v>449119</x:v>
      </x:c>
      <x:c r="N102" s="31" t="n">
        <x:v>1731846</x:v>
      </x:c>
      <x:c r="O102" s="31" t="n">
        <x:v>70</x:v>
      </x:c>
      <x:c r="P102" s="31" t="inlineStr">
        <x:is>
          <x:t xml:space="preserve">Оплачен</x:t>
        </x:is>
      </x:c>
      <x:c r="Q102" s="31" t="inlineStr">
        <x:is>
          <x:t xml:space="preserve">СТК-2026-1101</x:t>
        </x:is>
      </x:c>
      <x:c r="R102" s="31" t="inlineStr">
        <x:is>
          <x:t xml:space="preserve">Средний</x:t>
        </x:is>
      </x:c>
      <x:c r="S102" s="31" t="inlineStr">
        <x:is>
          <x:t xml:space="preserve">Нет</x:t>
        </x:is>
      </x:c>
      <x:c r="T102" s="31" t="inlineStr">
        <x:is>
          <x:t xml:space="preserve">Нет</x:t>
        </x:is>
      </x:c>
      <x:c r="U102" s="31" t="inlineStr">
        <x:is>
          <x:t xml:space="preserve">Сделка создана из канала тендер</x:t>
        </x:is>
      </x:c>
    </x:row>
    <x:row r="103" ht="18" customHeight="1">
      <x:c r="A103" s="31" t="inlineStr">
        <x:is>
          <x:t xml:space="preserve">ЗК-1102</x:t>
        </x:is>
      </x:c>
      <x:c r="B103" s="31" t="n">
        <x:v>46168</x:v>
      </x:c>
      <x:c r="C103" s="31" t="inlineStr">
        <x:is>
          <x:t xml:space="preserve">КЛ-008</x:t>
        </x:is>
      </x:c>
      <x:c r="D103" s="31" t="inlineStr">
        <x:is>
          <x:t xml:space="preserve">СОТР-004</x:t>
        </x:is>
      </x:c>
      <x:c r="E103" s="31" t="inlineStr">
        <x:is>
          <x:t xml:space="preserve">Повторный заказ</x:t>
        </x:is>
      </x:c>
      <x:c r="F103" s="31" t="inlineStr">
        <x:is>
          <x:t xml:space="preserve">Готов к отгрузке</x:t>
        </x:is>
      </x:c>
      <x:c r="G103" s="31" t="inlineStr">
        <x:is>
          <x:t xml:space="preserve">Средний</x:t>
        </x:is>
      </x:c>
      <x:c r="H103" s="31" t="n">
        <x:v>46223</x:v>
      </x:c>
      <x:c r="I103" s="31" t="n">
        <x:v>46231</x:v>
      </x:c>
      <x:c r="J103" s="31" t="n">
        <x:v>17595476</x:v>
      </x:c>
      <x:c r="K103" s="31" t="n">
        <x:v>7197563</x:v>
      </x:c>
      <x:c r="L103" s="31" t="n">
        <x:v>2480187</x:v>
      </x:c>
      <x:c r="M103" s="31" t="n">
        <x:v>1463367</x:v>
      </x:c>
      <x:c r="N103" s="31" t="n">
        <x:v>6454359</x:v>
      </x:c>
      <x:c r="O103" s="31" t="n">
        <x:v>20</x:v>
      </x:c>
      <x:c r="P103" s="31" t="inlineStr">
        <x:is>
          <x:t xml:space="preserve">Не выставлен счет</x:t>
        </x:is>
      </x:c>
      <x:c r="Q103" s="31" t="inlineStr">
        <x:is>
          <x:t xml:space="preserve">СТК-2026-1102</x:t>
        </x:is>
      </x:c>
      <x:c r="R103" s="31" t="inlineStr">
        <x:is>
          <x:t xml:space="preserve">Средний</x:t>
        </x:is>
      </x:c>
      <x:c r="S103" s="31" t="inlineStr">
        <x:is>
          <x:t xml:space="preserve">Нет</x:t>
        </x:is>
      </x:c>
      <x:c r="T103" s="31" t="inlineStr">
        <x:is>
          <x:t xml:space="preserve">Нет</x:t>
        </x:is>
      </x:c>
      <x:c r="U103" s="31" t="inlineStr">
        <x:is>
          <x:t xml:space="preserve">Сделка создана из канала повторная заявка</x:t>
        </x:is>
      </x:c>
    </x:row>
    <x:row r="104" ht="18" customHeight="1">
      <x:c r="A104" s="31" t="inlineStr">
        <x:is>
          <x:t xml:space="preserve">ЗК-1103</x:t>
        </x:is>
      </x:c>
      <x:c r="B104" s="31" t="n">
        <x:v>46156</x:v>
      </x:c>
      <x:c r="C104" s="31" t="inlineStr">
        <x:is>
          <x:t xml:space="preserve">КЛ-002</x:t>
        </x:is>
      </x:c>
      <x:c r="D104" s="31" t="inlineStr">
        <x:is>
          <x:t xml:space="preserve">СОТР-003</x:t>
        </x:is>
      </x:c>
      <x:c r="E104" s="31" t="inlineStr">
        <x:is>
          <x:t xml:space="preserve">Модернизация</x:t>
        </x:is>
      </x:c>
      <x:c r="F104" s="31" t="inlineStr">
        <x:is>
          <x:t xml:space="preserve">В производстве</x:t>
        </x:is>
      </x:c>
      <x:c r="G104" s="31" t="inlineStr">
        <x:is>
          <x:t xml:space="preserve">Средний</x:t>
        </x:is>
      </x:c>
      <x:c r="H104" s="31" t="n">
        <x:v>46235</x:v>
      </x:c>
      <x:c r="I104" s="31" t="n">
        <x:v>46244</x:v>
      </x:c>
      <x:c r="J104" s="31" t="n">
        <x:v>14434404</x:v>
      </x:c>
      <x:c r="K104" s="31" t="n">
        <x:v>6639012</x:v>
      </x:c>
      <x:c r="L104" s="31" t="n">
        <x:v>1126640</x:v>
      </x:c>
      <x:c r="M104" s="31" t="n">
        <x:v>929033</x:v>
      </x:c>
      <x:c r="N104" s="31" t="n">
        <x:v>5739719</x:v>
      </x:c>
      <x:c r="O104" s="31" t="n">
        <x:v>70</x:v>
      </x:c>
      <x:c r="P104" s="31" t="inlineStr">
        <x:is>
          <x:t xml:space="preserve">Частично оплачен</x:t>
        </x:is>
      </x:c>
      <x:c r="Q104" s="31" t="inlineStr">
        <x:is>
          <x:t xml:space="preserve">СТК-2026-1103</x:t>
        </x:is>
      </x:c>
      <x:c r="R104" s="31" t="inlineStr">
        <x:is>
          <x:t xml:space="preserve">Высокий</x:t>
        </x:is>
      </x:c>
      <x:c r="S104" s="31" t="inlineStr">
        <x:is>
          <x:t xml:space="preserve">Нет</x:t>
        </x:is>
      </x:c>
      <x:c r="T104" s="31" t="inlineStr">
        <x:is>
          <x:t xml:space="preserve">Нет</x:t>
        </x:is>
      </x:c>
      <x:c r="U104" s="31" t="inlineStr">
        <x:is>
          <x:t xml:space="preserve">Сделка создана из канала прямой запрос</x:t>
        </x:is>
      </x:c>
    </x:row>
    <x:row r="105" ht="18" customHeight="1">
      <x:c r="A105" s="31" t="inlineStr">
        <x:is>
          <x:t xml:space="preserve">ЗК-1104</x:t>
        </x:is>
      </x:c>
      <x:c r="B105" s="31" t="n">
        <x:v>46042</x:v>
      </x:c>
      <x:c r="C105" s="31" t="inlineStr">
        <x:is>
          <x:t xml:space="preserve">КЛ-025</x:t>
        </x:is>
      </x:c>
      <x:c r="D105" s="31" t="inlineStr">
        <x:is>
          <x:t xml:space="preserve">СОТР-004</x:t>
        </x:is>
      </x:c>
      <x:c r="E105" s="31" t="inlineStr">
        <x:is>
          <x:t xml:space="preserve">Аварийная поставка</x:t>
        </x:is>
      </x:c>
      <x:c r="F105" s="31" t="inlineStr">
        <x:is>
          <x:t xml:space="preserve">Договор</x:t>
        </x:is>
      </x:c>
      <x:c r="G105" s="31" t="inlineStr">
        <x:is>
          <x:t xml:space="preserve">Высокий</x:t>
        </x:is>
      </x:c>
      <x:c r="H105" s="31" t="n">
        <x:v>46097</x:v>
      </x:c>
      <x:c r="I105" s="31" t="n">
        <x:v>46099</x:v>
      </x:c>
      <x:c r="J105" s="31" t="n">
        <x:v>2038671</x:v>
      </x:c>
      <x:c r="K105" s="31" t="n">
        <x:v>982978</x:v>
      </x:c>
      <x:c r="L105" s="31" t="n">
        <x:v>257112</x:v>
      </x:c>
      <x:c r="M105" s="31" t="n">
        <x:v>170849</x:v>
      </x:c>
      <x:c r="N105" s="31" t="n">
        <x:v>627732</x:v>
      </x:c>
      <x:c r="O105" s="31" t="n">
        <x:v>30</x:v>
      </x:c>
      <x:c r="P105" s="31" t="inlineStr">
        <x:is>
          <x:t xml:space="preserve">Просрочка</x:t>
        </x:is>
      </x:c>
      <x:c r="Q105" s="31" t="inlineStr">
        <x:is>
          <x:t xml:space="preserve">СТК-2026-1104</x:t>
        </x:is>
      </x:c>
      <x:c r="R105" s="31" t="inlineStr">
        <x:is>
          <x:t xml:space="preserve">Средний</x:t>
        </x:is>
      </x:c>
      <x:c r="S105" s="31" t="inlineStr">
        <x:is>
          <x:t xml:space="preserve">Нет</x:t>
        </x:is>
      </x:c>
      <x:c r="T105" s="31" t="inlineStr">
        <x:is>
          <x:t xml:space="preserve">Нет</x:t>
        </x:is>
      </x:c>
      <x:c r="U105" s="31" t="inlineStr">
        <x:is>
          <x:t xml:space="preserve">Сделка создана из канала прямой запрос</x:t>
        </x:is>
      </x:c>
    </x:row>
    <x:row r="106" ht="18" customHeight="1">
      <x:c r="A106" s="31" t="inlineStr">
        <x:is>
          <x:t xml:space="preserve">ЗК-1105</x:t>
        </x:is>
      </x:c>
      <x:c r="B106" s="31" t="n">
        <x:v>46102</x:v>
      </x:c>
      <x:c r="C106" s="31" t="inlineStr">
        <x:is>
          <x:t xml:space="preserve">КЛ-013</x:t>
        </x:is>
      </x:c>
      <x:c r="D106" s="31" t="inlineStr">
        <x:is>
          <x:t xml:space="preserve">СОТР-004</x:t>
        </x:is>
      </x:c>
      <x:c r="E106" s="31" t="inlineStr">
        <x:is>
          <x:t xml:space="preserve">Модернизация</x:t>
        </x:is>
      </x:c>
      <x:c r="F106" s="31" t="inlineStr">
        <x:is>
          <x:t xml:space="preserve">Готов к отгрузке</x:t>
        </x:is>
      </x:c>
      <x:c r="G106" s="31" t="inlineStr">
        <x:is>
          <x:t xml:space="preserve">Средний</x:t>
        </x:is>
      </x:c>
      <x:c r="H106" s="31" t="n">
        <x:v>46121</x:v>
      </x:c>
      <x:c r="I106" s="31" t="n">
        <x:v>46126</x:v>
      </x:c>
      <x:c r="J106" s="31" t="n">
        <x:v>2268482</x:v>
      </x:c>
      <x:c r="K106" s="31" t="n">
        <x:v>842711</x:v>
      </x:c>
      <x:c r="L106" s="31" t="n">
        <x:v>297810</x:v>
      </x:c>
      <x:c r="M106" s="31" t="n">
        <x:v>240090</x:v>
      </x:c>
      <x:c r="N106" s="31" t="n">
        <x:v>887871</x:v>
      </x:c>
      <x:c r="O106" s="31" t="n">
        <x:v>100</x:v>
      </x:c>
      <x:c r="P106" s="31" t="inlineStr">
        <x:is>
          <x:t xml:space="preserve">Счет выставлен</x:t>
        </x:is>
      </x:c>
      <x:c r="Q106" s="31" t="inlineStr">
        <x:is>
          <x:t xml:space="preserve">СТК-2026-1105</x:t>
        </x:is>
      </x:c>
      <x:c r="R106" s="31" t="inlineStr">
        <x:is>
          <x:t xml:space="preserve">Низкий</x:t>
        </x:is>
      </x:c>
      <x:c r="S106" s="31" t="inlineStr">
        <x:is>
          <x:t xml:space="preserve">Нет</x:t>
        </x:is>
      </x:c>
      <x:c r="T106" s="31" t="inlineStr">
        <x:is>
          <x:t xml:space="preserve">Нет</x:t>
        </x:is>
      </x:c>
      <x:c r="U106" s="31" t="inlineStr">
        <x:is>
          <x:t xml:space="preserve">Сделка создана из канала сервис</x:t>
        </x:is>
      </x:c>
    </x:row>
    <x:row r="107" ht="18" customHeight="1">
      <x:c r="A107" s="31" t="inlineStr">
        <x:is>
          <x:t xml:space="preserve">ЗК-1106</x:t>
        </x:is>
      </x:c>
      <x:c r="B107" s="31" t="n">
        <x:v>46103</x:v>
      </x:c>
      <x:c r="C107" s="31" t="inlineStr">
        <x:is>
          <x:t xml:space="preserve">КЛ-037</x:t>
        </x:is>
      </x:c>
      <x:c r="D107" s="31" t="inlineStr">
        <x:is>
          <x:t xml:space="preserve">СОТР-005</x:t>
        </x:is>
      </x:c>
      <x:c r="E107" s="31" t="inlineStr">
        <x:is>
          <x:t xml:space="preserve">Новый проект</x:t>
        </x:is>
      </x:c>
      <x:c r="F107" s="31" t="inlineStr">
        <x:is>
          <x:t xml:space="preserve">Договор</x:t>
        </x:is>
      </x:c>
      <x:c r="G107" s="31" t="inlineStr">
        <x:is>
          <x:t xml:space="preserve">Высокий</x:t>
        </x:is>
      </x:c>
      <x:c r="H107" s="31" t="n">
        <x:v>46171</x:v>
      </x:c>
      <x:c r="I107" s="31" t="n">
        <x:v>46173</x:v>
      </x:c>
      <x:c r="J107" s="31" t="n">
        <x:v>1979851</x:v>
      </x:c>
      <x:c r="K107" s="31" t="n">
        <x:v>772531</x:v>
      </x:c>
      <x:c r="L107" s="31" t="n">
        <x:v>216270</x:v>
      </x:c>
      <x:c r="M107" s="31" t="n">
        <x:v>143052</x:v>
      </x:c>
      <x:c r="N107" s="31" t="n">
        <x:v>847998</x:v>
      </x:c>
      <x:c r="O107" s="31" t="n">
        <x:v>20</x:v>
      </x:c>
      <x:c r="P107" s="31" t="inlineStr">
        <x:is>
          <x:t xml:space="preserve">Счет выставлен</x:t>
        </x:is>
      </x:c>
      <x:c r="Q107" s="31" t="inlineStr">
        <x:is>
          <x:t xml:space="preserve">СТК-2026-1106</x:t>
        </x:is>
      </x:c>
      <x:c r="R107" s="31" t="inlineStr">
        <x:is>
          <x:t xml:space="preserve">Средний</x:t>
        </x:is>
      </x:c>
      <x:c r="S107" s="31" t="inlineStr">
        <x:is>
          <x:t xml:space="preserve">Нет</x:t>
        </x:is>
      </x:c>
      <x:c r="T107" s="31" t="inlineStr">
        <x:is>
          <x:t xml:space="preserve">Да</x:t>
        </x:is>
      </x:c>
      <x:c r="U107" s="31" t="inlineStr">
        <x:is>
          <x:t xml:space="preserve">Сделка создана из канала тендер</x:t>
        </x:is>
      </x:c>
    </x:row>
    <x:row r="108" ht="18" customHeight="1">
      <x:c r="A108" s="31" t="inlineStr">
        <x:is>
          <x:t xml:space="preserve">ЗК-1107</x:t>
        </x:is>
      </x:c>
      <x:c r="B108" s="31" t="n">
        <x:v>46183</x:v>
      </x:c>
      <x:c r="C108" s="31" t="inlineStr">
        <x:is>
          <x:t xml:space="preserve">КЛ-050</x:t>
        </x:is>
      </x:c>
      <x:c r="D108" s="31" t="inlineStr">
        <x:is>
          <x:t xml:space="preserve">СОТР-004</x:t>
        </x:is>
      </x:c>
      <x:c r="E108" s="31" t="inlineStr">
        <x:is>
          <x:t xml:space="preserve">Новый проект</x:t>
        </x:is>
      </x:c>
      <x:c r="F108" s="31" t="inlineStr">
        <x:is>
          <x:t xml:space="preserve">Лид</x:t>
        </x:is>
      </x:c>
      <x:c r="G108" s="31" t="inlineStr">
        <x:is>
          <x:t xml:space="preserve">Срочный</x:t>
        </x:is>
      </x:c>
      <x:c r="H108" s="31" t="n">
        <x:v>46225</x:v>
      </x:c>
      <x:c r="I108" s="31" t="n">
        <x:v>46225</x:v>
      </x:c>
      <x:c r="J108" s="31" t="n">
        <x:v>3516472</x:v>
      </x:c>
      <x:c r="K108" s="31" t="n">
        <x:v>1427326</x:v>
      </x:c>
      <x:c r="L108" s="31" t="n">
        <x:v>279878</x:v>
      </x:c>
      <x:c r="M108" s="31" t="n">
        <x:v>243975</x:v>
      </x:c>
      <x:c r="N108" s="31" t="n">
        <x:v>1565293</x:v>
      </x:c>
      <x:c r="O108" s="31" t="n">
        <x:v>30</x:v>
      </x:c>
      <x:c r="P108" s="31" t="inlineStr">
        <x:is>
          <x:t xml:space="preserve">Не выставлен счет</x:t>
        </x:is>
      </x:c>
      <x:c r="Q108" s="31" t="n"/>
      <x:c r="R108" s="31" t="inlineStr">
        <x:is>
          <x:t xml:space="preserve">Низкий</x:t>
        </x:is>
      </x:c>
      <x:c r="S108" s="31" t="inlineStr">
        <x:is>
          <x:t xml:space="preserve">Нет</x:t>
        </x:is>
      </x:c>
      <x:c r="T108" s="31" t="inlineStr">
        <x:is>
          <x:t xml:space="preserve">Нет</x:t>
        </x:is>
      </x:c>
      <x:c r="U108" s="31" t="inlineStr">
        <x:is>
          <x:t xml:space="preserve">Сделка создана из канала тендер</x:t>
        </x:is>
      </x:c>
    </x:row>
    <x:row r="109" ht="18" customHeight="1">
      <x:c r="A109" s="31" t="inlineStr">
        <x:is>
          <x:t xml:space="preserve">ЗК-1108</x:t>
        </x:is>
      </x:c>
      <x:c r="B109" s="31" t="n">
        <x:v>46125</x:v>
      </x:c>
      <x:c r="C109" s="31" t="inlineStr">
        <x:is>
          <x:t xml:space="preserve">КЛ-003</x:t>
        </x:is>
      </x:c>
      <x:c r="D109" s="31" t="inlineStr">
        <x:is>
          <x:t xml:space="preserve">СОТР-005</x:t>
        </x:is>
      </x:c>
      <x:c r="E109" s="31" t="inlineStr">
        <x:is>
          <x:t xml:space="preserve">Новый проект</x:t>
        </x:is>
      </x:c>
      <x:c r="F109" s="31" t="inlineStr">
        <x:is>
          <x:t xml:space="preserve">КП отправлено</x:t>
        </x:is>
      </x:c>
      <x:c r="G109" s="31" t="inlineStr">
        <x:is>
          <x:t xml:space="preserve">Низкий</x:t>
        </x:is>
      </x:c>
      <x:c r="H109" s="31" t="n">
        <x:v>46172</x:v>
      </x:c>
      <x:c r="I109" s="31" t="n">
        <x:v>46173</x:v>
      </x:c>
      <x:c r="J109" s="31" t="n">
        <x:v>2671278</x:v>
      </x:c>
      <x:c r="K109" s="31" t="n">
        <x:v>1067787</x:v>
      </x:c>
      <x:c r="L109" s="31" t="n">
        <x:v>335097</x:v>
      </x:c>
      <x:c r="M109" s="31" t="n">
        <x:v>205636</x:v>
      </x:c>
      <x:c r="N109" s="31" t="n">
        <x:v>1062758</x:v>
      </x:c>
      <x:c r="O109" s="31" t="n">
        <x:v>70</x:v>
      </x:c>
      <x:c r="P109" s="31" t="inlineStr">
        <x:is>
          <x:t xml:space="preserve">Счет выставлен</x:t>
        </x:is>
      </x:c>
      <x:c r="Q109" s="31" t="n"/>
      <x:c r="R109" s="31" t="inlineStr">
        <x:is>
          <x:t xml:space="preserve">Низкий</x:t>
        </x:is>
      </x:c>
      <x:c r="S109" s="31" t="inlineStr">
        <x:is>
          <x:t xml:space="preserve">Нет</x:t>
        </x:is>
      </x:c>
      <x:c r="T109" s="31" t="inlineStr">
        <x:is>
          <x:t xml:space="preserve">Нет</x:t>
        </x:is>
      </x:c>
      <x:c r="U109" s="31" t="inlineStr">
        <x:is>
          <x:t xml:space="preserve">Сделка создана из канала прямой запрос</x:t>
        </x:is>
      </x:c>
    </x:row>
    <x:row r="110" ht="18" customHeight="1">
      <x:c r="A110" s="31" t="inlineStr">
        <x:is>
          <x:t xml:space="preserve">ЗК-1109</x:t>
        </x:is>
      </x:c>
      <x:c r="B110" s="31" t="n">
        <x:v>46187</x:v>
      </x:c>
      <x:c r="C110" s="31" t="inlineStr">
        <x:is>
          <x:t xml:space="preserve">КЛ-017</x:t>
        </x:is>
      </x:c>
      <x:c r="D110" s="31" t="inlineStr">
        <x:is>
          <x:t xml:space="preserve">СОТР-004</x:t>
        </x:is>
      </x:c>
      <x:c r="E110" s="31" t="inlineStr">
        <x:is>
          <x:t xml:space="preserve">Сервисный комплект</x:t>
        </x:is>
      </x:c>
      <x:c r="F110" s="31" t="inlineStr">
        <x:is>
          <x:t xml:space="preserve">КД</x:t>
        </x:is>
      </x:c>
      <x:c r="G110" s="31" t="inlineStr">
        <x:is>
          <x:t xml:space="preserve">Срочный</x:t>
        </x:is>
      </x:c>
      <x:c r="H110" s="31" t="n">
        <x:v>46263</x:v>
      </x:c>
      <x:c r="I110" s="31" t="n">
        <x:v>46266</x:v>
      </x:c>
      <x:c r="J110" s="31" t="n">
        <x:v>6417802</x:v>
      </x:c>
      <x:c r="K110" s="31" t="n">
        <x:v>3240738</x:v>
      </x:c>
      <x:c r="L110" s="31" t="n">
        <x:v>653038</x:v>
      </x:c>
      <x:c r="M110" s="31" t="n">
        <x:v>506000</x:v>
      </x:c>
      <x:c r="N110" s="31" t="n">
        <x:v>2018026</x:v>
      </x:c>
      <x:c r="O110" s="31" t="n">
        <x:v>40</x:v>
      </x:c>
      <x:c r="P110" s="31" t="inlineStr">
        <x:is>
          <x:t xml:space="preserve">Счет выставлен</x:t>
        </x:is>
      </x:c>
      <x:c r="Q110" s="31" t="inlineStr">
        <x:is>
          <x:t xml:space="preserve">СТК-2026-1109</x:t>
        </x:is>
      </x:c>
      <x:c r="R110" s="31" t="inlineStr">
        <x:is>
          <x:t xml:space="preserve">Средний</x:t>
        </x:is>
      </x:c>
      <x:c r="S110" s="31" t="inlineStr">
        <x:is>
          <x:t xml:space="preserve">Нет</x:t>
        </x:is>
      </x:c>
      <x:c r="T110" s="31" t="inlineStr">
        <x:is>
          <x:t xml:space="preserve">Нет</x:t>
        </x:is>
      </x:c>
      <x:c r="U110" s="31" t="inlineStr">
        <x:is>
          <x:t xml:space="preserve">Сделка создана из канала сервис</x:t>
        </x:is>
      </x:c>
    </x:row>
    <x:row r="111" ht="18" customHeight="1">
      <x:c r="A111" s="31" t="inlineStr">
        <x:is>
          <x:t xml:space="preserve">ЗК-1110</x:t>
        </x:is>
      </x:c>
      <x:c r="B111" s="31" t="n">
        <x:v>46176</x:v>
      </x:c>
      <x:c r="C111" s="31" t="inlineStr">
        <x:is>
          <x:t xml:space="preserve">КЛ-013</x:t>
        </x:is>
      </x:c>
      <x:c r="D111" s="31" t="inlineStr">
        <x:is>
          <x:t xml:space="preserve">СОТР-004</x:t>
        </x:is>
      </x:c>
      <x:c r="E111" s="31" t="inlineStr">
        <x:is>
          <x:t xml:space="preserve">Новый проект</x:t>
        </x:is>
      </x:c>
      <x:c r="F111" s="31" t="inlineStr">
        <x:is>
          <x:t xml:space="preserve">Закрыт</x:t>
        </x:is>
      </x:c>
      <x:c r="G111" s="31" t="inlineStr">
        <x:is>
          <x:t xml:space="preserve">Высокий</x:t>
        </x:is>
      </x:c>
      <x:c r="H111" s="31" t="n">
        <x:v>46240</x:v>
      </x:c>
      <x:c r="I111" s="31" t="n">
        <x:v>46240</x:v>
      </x:c>
      <x:c r="J111" s="31" t="n">
        <x:v>7418293</x:v>
      </x:c>
      <x:c r="K111" s="31" t="n">
        <x:v>3342629</x:v>
      </x:c>
      <x:c r="L111" s="31" t="n">
        <x:v>859163</x:v>
      </x:c>
      <x:c r="M111" s="31" t="n">
        <x:v>741455</x:v>
      </x:c>
      <x:c r="N111" s="31" t="n">
        <x:v>2475046</x:v>
      </x:c>
      <x:c r="O111" s="31" t="n">
        <x:v>50</x:v>
      </x:c>
      <x:c r="P111" s="31" t="inlineStr">
        <x:is>
          <x:t xml:space="preserve">Счет выставлен</x:t>
        </x:is>
      </x:c>
      <x:c r="Q111" s="31" t="inlineStr">
        <x:is>
          <x:t xml:space="preserve">СТК-2026-1110</x:t>
        </x:is>
      </x:c>
      <x:c r="R111" s="31" t="inlineStr">
        <x:is>
          <x:t xml:space="preserve">Низкий</x:t>
        </x:is>
      </x:c>
      <x:c r="S111" s="31" t="inlineStr">
        <x:is>
          <x:t xml:space="preserve">Нет</x:t>
        </x:is>
      </x:c>
      <x:c r="T111" s="31" t="inlineStr">
        <x:is>
          <x:t xml:space="preserve">Нет</x:t>
        </x:is>
      </x:c>
      <x:c r="U111" s="31" t="inlineStr">
        <x:is>
          <x:t xml:space="preserve">Сделка создана из канала повторная заявка</x:t>
        </x:is>
      </x:c>
    </x:row>
    <x:row r="112" ht="18" customHeight="1">
      <x:c r="A112" s="31" t="inlineStr">
        <x:is>
          <x:t xml:space="preserve">ЗК-1111</x:t>
        </x:is>
      </x:c>
      <x:c r="B112" s="31" t="n">
        <x:v>46122</x:v>
      </x:c>
      <x:c r="C112" s="31" t="inlineStr">
        <x:is>
          <x:t xml:space="preserve">КЛ-013</x:t>
        </x:is>
      </x:c>
      <x:c r="D112" s="31" t="inlineStr">
        <x:is>
          <x:t xml:space="preserve">СОТР-004</x:t>
        </x:is>
      </x:c>
      <x:c r="E112" s="31" t="inlineStr">
        <x:is>
          <x:t xml:space="preserve">Повторный заказ</x:t>
        </x:is>
      </x:c>
      <x:c r="F112" s="31" t="inlineStr">
        <x:is>
          <x:t xml:space="preserve">Готов к отгрузке</x:t>
        </x:is>
      </x:c>
      <x:c r="G112" s="31" t="inlineStr">
        <x:is>
          <x:t xml:space="preserve">Срочный</x:t>
        </x:is>
      </x:c>
      <x:c r="H112" s="31" t="n">
        <x:v>46179</x:v>
      </x:c>
      <x:c r="I112" s="31" t="n">
        <x:v>46186</x:v>
      </x:c>
      <x:c r="J112" s="31" t="n">
        <x:v>1804220</x:v>
      </x:c>
      <x:c r="K112" s="31" t="n">
        <x:v>733705</x:v>
      </x:c>
      <x:c r="L112" s="31" t="n">
        <x:v>212731</x:v>
      </x:c>
      <x:c r="M112" s="31" t="n">
        <x:v>157143</x:v>
      </x:c>
      <x:c r="N112" s="31" t="n">
        <x:v>700641</x:v>
      </x:c>
      <x:c r="O112" s="31" t="n">
        <x:v>50</x:v>
      </x:c>
      <x:c r="P112" s="31" t="inlineStr">
        <x:is>
          <x:t xml:space="preserve">Оплачен</x:t>
        </x:is>
      </x:c>
      <x:c r="Q112" s="31" t="inlineStr">
        <x:is>
          <x:t xml:space="preserve">СТК-2026-1111</x:t>
        </x:is>
      </x:c>
      <x:c r="R112" s="31" t="inlineStr">
        <x:is>
          <x:t xml:space="preserve">Низкий</x:t>
        </x:is>
      </x:c>
      <x:c r="S112" s="31" t="inlineStr">
        <x:is>
          <x:t xml:space="preserve">Нет</x:t>
        </x:is>
      </x:c>
      <x:c r="T112" s="31" t="inlineStr">
        <x:is>
          <x:t xml:space="preserve">Нет</x:t>
        </x:is>
      </x:c>
      <x:c r="U112" s="31" t="inlineStr">
        <x:is>
          <x:t xml:space="preserve">Сделка создана из канала повторная заявка</x:t>
        </x:is>
      </x:c>
    </x:row>
    <x:row r="113" ht="18" customHeight="1">
      <x:c r="A113" s="31" t="inlineStr">
        <x:is>
          <x:t xml:space="preserve">ЗК-1112</x:t>
        </x:is>
      </x:c>
      <x:c r="B113" s="31" t="n">
        <x:v>46102</x:v>
      </x:c>
      <x:c r="C113" s="31" t="inlineStr">
        <x:is>
          <x:t xml:space="preserve">КЛ-045</x:t>
        </x:is>
      </x:c>
      <x:c r="D113" s="31" t="inlineStr">
        <x:is>
          <x:t xml:space="preserve">СОТР-004</x:t>
        </x:is>
      </x:c>
      <x:c r="E113" s="31" t="inlineStr">
        <x:is>
          <x:t xml:space="preserve">Новый проект</x:t>
        </x:is>
      </x:c>
      <x:c r="F113" s="31" t="inlineStr">
        <x:is>
          <x:t xml:space="preserve">Отгружено</x:t>
        </x:is>
      </x:c>
      <x:c r="G113" s="31" t="inlineStr">
        <x:is>
          <x:t xml:space="preserve">Средний</x:t>
        </x:is>
      </x:c>
      <x:c r="H113" s="31" t="n">
        <x:v>46134</x:v>
      </x:c>
      <x:c r="I113" s="31" t="n">
        <x:v>46128</x:v>
      </x:c>
      <x:c r="J113" s="31" t="n">
        <x:v>9861862</x:v>
      </x:c>
      <x:c r="K113" s="31" t="n">
        <x:v>4007232</x:v>
      </x:c>
      <x:c r="L113" s="31" t="n">
        <x:v>1448883</x:v>
      </x:c>
      <x:c r="M113" s="31" t="n">
        <x:v>1039152</x:v>
      </x:c>
      <x:c r="N113" s="31" t="n">
        <x:v>3366595</x:v>
      </x:c>
      <x:c r="O113" s="31" t="n">
        <x:v>50</x:v>
      </x:c>
      <x:c r="P113" s="31" t="inlineStr">
        <x:is>
          <x:t xml:space="preserve">Счет выставлен</x:t>
        </x:is>
      </x:c>
      <x:c r="Q113" s="31" t="inlineStr">
        <x:is>
          <x:t xml:space="preserve">СТК-2026-1112</x:t>
        </x:is>
      </x:c>
      <x:c r="R113" s="31" t="inlineStr">
        <x:is>
          <x:t xml:space="preserve">Средний</x:t>
        </x:is>
      </x:c>
      <x:c r="S113" s="31" t="inlineStr">
        <x:is>
          <x:t xml:space="preserve">Нет</x:t>
        </x:is>
      </x:c>
      <x:c r="T113" s="31" t="inlineStr">
        <x:is>
          <x:t xml:space="preserve">Нет</x:t>
        </x:is>
      </x:c>
      <x:c r="U113" s="31" t="inlineStr">
        <x:is>
          <x:t xml:space="preserve">Сделка создана из канала повторная заявка</x:t>
        </x:is>
      </x:c>
    </x:row>
    <x:row r="114" ht="18" customHeight="1">
      <x:c r="A114" s="31" t="inlineStr">
        <x:is>
          <x:t xml:space="preserve">ЗК-1113</x:t>
        </x:is>
      </x:c>
      <x:c r="B114" s="31" t="n">
        <x:v>46073</x:v>
      </x:c>
      <x:c r="C114" s="31" t="inlineStr">
        <x:is>
          <x:t xml:space="preserve">КЛ-004</x:t>
        </x:is>
      </x:c>
      <x:c r="D114" s="31" t="inlineStr">
        <x:is>
          <x:t xml:space="preserve">СОТР-004</x:t>
        </x:is>
      </x:c>
      <x:c r="E114" s="31" t="inlineStr">
        <x:is>
          <x:t xml:space="preserve">Новый проект</x:t>
        </x:is>
      </x:c>
      <x:c r="F114" s="31" t="inlineStr">
        <x:is>
          <x:t xml:space="preserve">ОТК</x:t>
        </x:is>
      </x:c>
      <x:c r="G114" s="31" t="inlineStr">
        <x:is>
          <x:t xml:space="preserve">Высокий</x:t>
        </x:is>
      </x:c>
      <x:c r="H114" s="31" t="n">
        <x:v>46124</x:v>
      </x:c>
      <x:c r="I114" s="31" t="n">
        <x:v>46132</x:v>
      </x:c>
      <x:c r="J114" s="31" t="n">
        <x:v>4704623</x:v>
      </x:c>
      <x:c r="K114" s="31" t="n">
        <x:v>2518381</x:v>
      </x:c>
      <x:c r="L114" s="31" t="n">
        <x:v>493535</x:v>
      </x:c>
      <x:c r="M114" s="31" t="n">
        <x:v>278646</x:v>
      </x:c>
      <x:c r="N114" s="31" t="n">
        <x:v>1414061</x:v>
      </x:c>
      <x:c r="O114" s="31" t="n">
        <x:v>100</x:v>
      </x:c>
      <x:c r="P114" s="31" t="inlineStr">
        <x:is>
          <x:t xml:space="preserve">Просрочка</x:t>
        </x:is>
      </x:c>
      <x:c r="Q114" s="31" t="inlineStr">
        <x:is>
          <x:t xml:space="preserve">СТК-2026-1113</x:t>
        </x:is>
      </x:c>
      <x:c r="R114" s="31" t="inlineStr">
        <x:is>
          <x:t xml:space="preserve">Средний</x:t>
        </x:is>
      </x:c>
      <x:c r="S114" s="31" t="inlineStr">
        <x:is>
          <x:t xml:space="preserve">Нет</x:t>
        </x:is>
      </x:c>
      <x:c r="T114" s="31" t="inlineStr">
        <x:is>
          <x:t xml:space="preserve">Да</x:t>
        </x:is>
      </x:c>
      <x:c r="U114" s="31" t="inlineStr">
        <x:is>
          <x:t xml:space="preserve">Сделка создана из канала прямой запрос</x:t>
        </x:is>
      </x:c>
    </x:row>
    <x:row r="115" ht="18" customHeight="1">
      <x:c r="A115" s="31" t="inlineStr">
        <x:is>
          <x:t xml:space="preserve">ЗК-1114</x:t>
        </x:is>
      </x:c>
      <x:c r="B115" s="31" t="n">
        <x:v>46097</x:v>
      </x:c>
      <x:c r="C115" s="31" t="inlineStr">
        <x:is>
          <x:t xml:space="preserve">КЛ-036</x:t>
        </x:is>
      </x:c>
      <x:c r="D115" s="31" t="inlineStr">
        <x:is>
          <x:t xml:space="preserve">СОТР-005</x:t>
        </x:is>
      </x:c>
      <x:c r="E115" s="31" t="inlineStr">
        <x:is>
          <x:t xml:space="preserve">Сервисный комплект</x:t>
        </x:is>
      </x:c>
      <x:c r="F115" s="31" t="inlineStr">
        <x:is>
          <x:t xml:space="preserve">Договор</x:t>
        </x:is>
      </x:c>
      <x:c r="G115" s="31" t="inlineStr">
        <x:is>
          <x:t xml:space="preserve">Средний</x:t>
        </x:is>
      </x:c>
      <x:c r="H115" s="31" t="n">
        <x:v>46125</x:v>
      </x:c>
      <x:c r="I115" s="31" t="n">
        <x:v>46127</x:v>
      </x:c>
      <x:c r="J115" s="31" t="n">
        <x:v>4083264</x:v>
      </x:c>
      <x:c r="K115" s="31" t="n">
        <x:v>1880542</x:v>
      </x:c>
      <x:c r="L115" s="31" t="n">
        <x:v>499061</x:v>
      </x:c>
      <x:c r="M115" s="31" t="n">
        <x:v>298723</x:v>
      </x:c>
      <x:c r="N115" s="31" t="n">
        <x:v>1404938</x:v>
      </x:c>
      <x:c r="O115" s="31" t="n">
        <x:v>20</x:v>
      </x:c>
      <x:c r="P115" s="31" t="inlineStr">
        <x:is>
          <x:t xml:space="preserve">Оплачен</x:t>
        </x:is>
      </x:c>
      <x:c r="Q115" s="31" t="inlineStr">
        <x:is>
          <x:t xml:space="preserve">СТК-2026-1114</x:t>
        </x:is>
      </x:c>
      <x:c r="R115" s="31" t="inlineStr">
        <x:is>
          <x:t xml:space="preserve">Высокий</x:t>
        </x:is>
      </x:c>
      <x:c r="S115" s="31" t="inlineStr">
        <x:is>
          <x:t xml:space="preserve">Нет</x:t>
        </x:is>
      </x:c>
      <x:c r="T115" s="31" t="inlineStr">
        <x:is>
          <x:t xml:space="preserve">Нет</x:t>
        </x:is>
      </x:c>
      <x:c r="U115" s="31" t="inlineStr">
        <x:is>
          <x:t xml:space="preserve">Сделка создана из канала прямой запрос</x:t>
        </x:is>
      </x:c>
    </x:row>
    <x:row r="116" ht="18" customHeight="1">
      <x:c r="A116" s="31" t="inlineStr">
        <x:is>
          <x:t xml:space="preserve">ЗК-1115</x:t>
        </x:is>
      </x:c>
      <x:c r="B116" s="31" t="n">
        <x:v>46187</x:v>
      </x:c>
      <x:c r="C116" s="31" t="inlineStr">
        <x:is>
          <x:t xml:space="preserve">КЛ-008</x:t>
        </x:is>
      </x:c>
      <x:c r="D116" s="31" t="inlineStr">
        <x:is>
          <x:t xml:space="preserve">СОТР-004</x:t>
        </x:is>
      </x:c>
      <x:c r="E116" s="31" t="inlineStr">
        <x:is>
          <x:t xml:space="preserve">Повторный заказ</x:t>
        </x:is>
      </x:c>
      <x:c r="F116" s="31" t="inlineStr">
        <x:is>
          <x:t xml:space="preserve">Лид</x:t>
        </x:is>
      </x:c>
      <x:c r="G116" s="31" t="inlineStr">
        <x:is>
          <x:t xml:space="preserve">Средний</x:t>
        </x:is>
      </x:c>
      <x:c r="H116" s="31" t="n">
        <x:v>46215</x:v>
      </x:c>
      <x:c r="I116" s="31" t="n">
        <x:v>46215</x:v>
      </x:c>
      <x:c r="J116" s="31" t="n">
        <x:v>8597197</x:v>
      </x:c>
      <x:c r="K116" s="31" t="n">
        <x:v>3447103</x:v>
      </x:c>
      <x:c r="L116" s="31" t="n">
        <x:v>918713</x:v>
      </x:c>
      <x:c r="M116" s="31" t="n">
        <x:v>749504</x:v>
      </x:c>
      <x:c r="N116" s="31" t="n">
        <x:v>3481877</x:v>
      </x:c>
      <x:c r="O116" s="31" t="n">
        <x:v>100</x:v>
      </x:c>
      <x:c r="P116" s="31" t="inlineStr">
        <x:is>
          <x:t xml:space="preserve">Не выставлен счет</x:t>
        </x:is>
      </x:c>
      <x:c r="Q116" s="31" t="n"/>
      <x:c r="R116" s="31" t="inlineStr">
        <x:is>
          <x:t xml:space="preserve">Низкий</x:t>
        </x:is>
      </x:c>
      <x:c r="S116" s="31" t="inlineStr">
        <x:is>
          <x:t xml:space="preserve">Нет</x:t>
        </x:is>
      </x:c>
      <x:c r="T116" s="31" t="inlineStr">
        <x:is>
          <x:t xml:space="preserve">Да</x:t>
        </x:is>
      </x:c>
      <x:c r="U116" s="31" t="inlineStr">
        <x:is>
          <x:t xml:space="preserve">Сделка создана из канала прямой запрос</x:t>
        </x:is>
      </x:c>
    </x:row>
    <x:row r="117" ht="18" customHeight="1">
      <x:c r="A117" s="31" t="inlineStr">
        <x:is>
          <x:t xml:space="preserve">ЗК-1116</x:t>
        </x:is>
      </x:c>
      <x:c r="B117" s="31" t="n">
        <x:v>46095</x:v>
      </x:c>
      <x:c r="C117" s="31" t="inlineStr">
        <x:is>
          <x:t xml:space="preserve">КЛ-019</x:t>
        </x:is>
      </x:c>
      <x:c r="D117" s="31" t="inlineStr">
        <x:is>
          <x:t xml:space="preserve">СОТР-005</x:t>
        </x:is>
      </x:c>
      <x:c r="E117" s="31" t="inlineStr">
        <x:is>
          <x:t xml:space="preserve">Модернизация</x:t>
        </x:is>
      </x:c>
      <x:c r="F117" s="31" t="inlineStr">
        <x:is>
          <x:t xml:space="preserve">Готов к отгрузке</x:t>
        </x:is>
      </x:c>
      <x:c r="G117" s="31" t="inlineStr">
        <x:is>
          <x:t xml:space="preserve">Низкий</x:t>
        </x:is>
      </x:c>
      <x:c r="H117" s="31" t="n">
        <x:v>46121</x:v>
      </x:c>
      <x:c r="I117" s="31" t="n">
        <x:v>46119</x:v>
      </x:c>
      <x:c r="J117" s="31" t="n">
        <x:v>3112143</x:v>
      </x:c>
      <x:c r="K117" s="31" t="n">
        <x:v>1348927</x:v>
      </x:c>
      <x:c r="L117" s="31" t="n">
        <x:v>387448</x:v>
      </x:c>
      <x:c r="M117" s="31" t="n">
        <x:v>334735</x:v>
      </x:c>
      <x:c r="N117" s="31" t="n">
        <x:v>1041033</x:v>
      </x:c>
      <x:c r="O117" s="31" t="n">
        <x:v>100</x:v>
      </x:c>
      <x:c r="P117" s="31" t="inlineStr">
        <x:is>
          <x:t xml:space="preserve">Счет выставлен</x:t>
        </x:is>
      </x:c>
      <x:c r="Q117" s="31" t="inlineStr">
        <x:is>
          <x:t xml:space="preserve">СТК-2026-1116</x:t>
        </x:is>
      </x:c>
      <x:c r="R117" s="31" t="inlineStr">
        <x:is>
          <x:t xml:space="preserve">Средний</x:t>
        </x:is>
      </x:c>
      <x:c r="S117" s="31" t="inlineStr">
        <x:is>
          <x:t xml:space="preserve">Нет</x:t>
        </x:is>
      </x:c>
      <x:c r="T117" s="31" t="inlineStr">
        <x:is>
          <x:t xml:space="preserve">Нет</x:t>
        </x:is>
      </x:c>
      <x:c r="U117" s="31" t="inlineStr">
        <x:is>
          <x:t xml:space="preserve">Сделка создана из канала прямой запрос</x:t>
        </x:is>
      </x:c>
    </x:row>
    <x:row r="118" ht="18" customHeight="1">
      <x:c r="A118" s="31" t="inlineStr">
        <x:is>
          <x:t xml:space="preserve">ЗК-1117</x:t>
        </x:is>
      </x:c>
      <x:c r="B118" s="31" t="n">
        <x:v>46146</x:v>
      </x:c>
      <x:c r="C118" s="31" t="inlineStr">
        <x:is>
          <x:t xml:space="preserve">КЛ-023</x:t>
        </x:is>
      </x:c>
      <x:c r="D118" s="31" t="inlineStr">
        <x:is>
          <x:t xml:space="preserve">СОТР-005</x:t>
        </x:is>
      </x:c>
      <x:c r="E118" s="31" t="inlineStr">
        <x:is>
          <x:t xml:space="preserve">Аварийная поставка</x:t>
        </x:is>
      </x:c>
      <x:c r="F118" s="31" t="inlineStr">
        <x:is>
          <x:t xml:space="preserve">Готов к отгрузке</x:t>
        </x:is>
      </x:c>
      <x:c r="G118" s="31" t="inlineStr">
        <x:is>
          <x:t xml:space="preserve">Средний</x:t>
        </x:is>
      </x:c>
      <x:c r="H118" s="31" t="n">
        <x:v>46227</x:v>
      </x:c>
      <x:c r="I118" s="31" t="n">
        <x:v>46230</x:v>
      </x:c>
      <x:c r="J118" s="31" t="n">
        <x:v>14112917</x:v>
      </x:c>
      <x:c r="K118" s="31" t="n">
        <x:v>5849956</x:v>
      </x:c>
      <x:c r="L118" s="31" t="n">
        <x:v>1467606</x:v>
      </x:c>
      <x:c r="M118" s="31" t="n">
        <x:v>1129859</x:v>
      </x:c>
      <x:c r="N118" s="31" t="n">
        <x:v>5665496</x:v>
      </x:c>
      <x:c r="O118" s="31" t="n">
        <x:v>70</x:v>
      </x:c>
      <x:c r="P118" s="31" t="inlineStr">
        <x:is>
          <x:t xml:space="preserve">Не выставлен счет</x:t>
        </x:is>
      </x:c>
      <x:c r="Q118" s="31" t="inlineStr">
        <x:is>
          <x:t xml:space="preserve">СТК-2026-1117</x:t>
        </x:is>
      </x:c>
      <x:c r="R118" s="31" t="inlineStr">
        <x:is>
          <x:t xml:space="preserve">Низкий</x:t>
        </x:is>
      </x:c>
      <x:c r="S118" s="31" t="inlineStr">
        <x:is>
          <x:t xml:space="preserve">Нет</x:t>
        </x:is>
      </x:c>
      <x:c r="T118" s="31" t="inlineStr">
        <x:is>
          <x:t xml:space="preserve">Нет</x:t>
        </x:is>
      </x:c>
      <x:c r="U118" s="31" t="inlineStr">
        <x:is>
          <x:t xml:space="preserve">Сделка создана из канала сервис</x:t>
        </x:is>
      </x:c>
    </x:row>
    <x:row r="119" ht="18" customHeight="1">
      <x:c r="A119" s="31" t="inlineStr">
        <x:is>
          <x:t xml:space="preserve">ЗК-1118</x:t>
        </x:is>
      </x:c>
      <x:c r="B119" s="31" t="n">
        <x:v>46121</x:v>
      </x:c>
      <x:c r="C119" s="31" t="inlineStr">
        <x:is>
          <x:t xml:space="preserve">КЛ-007</x:t>
        </x:is>
      </x:c>
      <x:c r="D119" s="31" t="inlineStr">
        <x:is>
          <x:t xml:space="preserve">СОТР-004</x:t>
        </x:is>
      </x:c>
      <x:c r="E119" s="31" t="inlineStr">
        <x:is>
          <x:t xml:space="preserve">Аварийная поставка</x:t>
        </x:is>
      </x:c>
      <x:c r="F119" s="31" t="inlineStr">
        <x:is>
          <x:t xml:space="preserve">Лид</x:t>
        </x:is>
      </x:c>
      <x:c r="G119" s="31" t="inlineStr">
        <x:is>
          <x:t xml:space="preserve">Средний</x:t>
        </x:is>
      </x:c>
      <x:c r="H119" s="31" t="n">
        <x:v>46200</x:v>
      </x:c>
      <x:c r="I119" s="31" t="n">
        <x:v>46200</x:v>
      </x:c>
      <x:c r="J119" s="31" t="n">
        <x:v>2554197</x:v>
      </x:c>
      <x:c r="K119" s="31" t="n">
        <x:v>891635</x:v>
      </x:c>
      <x:c r="L119" s="31" t="n">
        <x:v>224667</x:v>
      </x:c>
      <x:c r="M119" s="31" t="n">
        <x:v>169313</x:v>
      </x:c>
      <x:c r="N119" s="31" t="n">
        <x:v>1268582</x:v>
      </x:c>
      <x:c r="O119" s="31" t="n">
        <x:v>30</x:v>
      </x:c>
      <x:c r="P119" s="31" t="inlineStr">
        <x:is>
          <x:t xml:space="preserve">Не выставлен счет</x:t>
        </x:is>
      </x:c>
      <x:c r="Q119" s="31" t="n"/>
      <x:c r="R119" s="31" t="inlineStr">
        <x:is>
          <x:t xml:space="preserve">Средний</x:t>
        </x:is>
      </x:c>
      <x:c r="S119" s="31" t="inlineStr">
        <x:is>
          <x:t xml:space="preserve">Нет</x:t>
        </x:is>
      </x:c>
      <x:c r="T119" s="31" t="inlineStr">
        <x:is>
          <x:t xml:space="preserve">Да</x:t>
        </x:is>
      </x:c>
      <x:c r="U119" s="31" t="inlineStr">
        <x:is>
          <x:t xml:space="preserve">Сделка создана из канала повторная заявка</x:t>
        </x:is>
      </x:c>
    </x:row>
    <x:row r="120" ht="18" customHeight="1">
      <x:c r="A120" s="31" t="inlineStr">
        <x:is>
          <x:t xml:space="preserve">ЗК-1119</x:t>
        </x:is>
      </x:c>
      <x:c r="B120" s="31" t="n">
        <x:v>46111</x:v>
      </x:c>
      <x:c r="C120" s="31" t="inlineStr">
        <x:is>
          <x:t xml:space="preserve">КЛ-041</x:t>
        </x:is>
      </x:c>
      <x:c r="D120" s="31" t="inlineStr">
        <x:is>
          <x:t xml:space="preserve">СОТР-005</x:t>
        </x:is>
      </x:c>
      <x:c r="E120" s="31" t="inlineStr">
        <x:is>
          <x:t xml:space="preserve">Аварийная поставка</x:t>
        </x:is>
      </x:c>
      <x:c r="F120" s="31" t="inlineStr">
        <x:is>
          <x:t xml:space="preserve">Отгружено</x:t>
        </x:is>
      </x:c>
      <x:c r="G120" s="31" t="inlineStr">
        <x:is>
          <x:t xml:space="preserve">Срочный</x:t>
        </x:is>
      </x:c>
      <x:c r="H120" s="31" t="n">
        <x:v>46164</x:v>
      </x:c>
      <x:c r="I120" s="31" t="n">
        <x:v>46160</x:v>
      </x:c>
      <x:c r="J120" s="31" t="n">
        <x:v>4627012</x:v>
      </x:c>
      <x:c r="K120" s="31" t="n">
        <x:v>2336473</x:v>
      </x:c>
      <x:c r="L120" s="31" t="n">
        <x:v>475245</x:v>
      </x:c>
      <x:c r="M120" s="31" t="n">
        <x:v>287177</x:v>
      </x:c>
      <x:c r="N120" s="31" t="n">
        <x:v>1528117</x:v>
      </x:c>
      <x:c r="O120" s="31" t="n">
        <x:v>70</x:v>
      </x:c>
      <x:c r="P120" s="31" t="inlineStr">
        <x:is>
          <x:t xml:space="preserve">Оплачен</x:t>
        </x:is>
      </x:c>
      <x:c r="Q120" s="31" t="inlineStr">
        <x:is>
          <x:t xml:space="preserve">СТК-2026-1119</x:t>
        </x:is>
      </x:c>
      <x:c r="R120" s="31" t="inlineStr">
        <x:is>
          <x:t xml:space="preserve">Критичный</x:t>
        </x:is>
      </x:c>
      <x:c r="S120" s="31" t="inlineStr">
        <x:is>
          <x:t xml:space="preserve">Нет</x:t>
        </x:is>
      </x:c>
      <x:c r="T120" s="31" t="inlineStr">
        <x:is>
          <x:t xml:space="preserve">Нет</x:t>
        </x:is>
      </x:c>
      <x:c r="U120" s="31" t="inlineStr">
        <x:is>
          <x:t xml:space="preserve">Сделка создана из канала тендер</x:t>
        </x:is>
      </x:c>
    </x:row>
    <x:row r="121" ht="18" customHeight="1">
      <x:c r="A121" s="31" t="inlineStr">
        <x:is>
          <x:t xml:space="preserve">ЗК-1120</x:t>
        </x:is>
      </x:c>
      <x:c r="B121" s="31" t="n">
        <x:v>46067</x:v>
      </x:c>
      <x:c r="C121" s="31" t="inlineStr">
        <x:is>
          <x:t xml:space="preserve">КЛ-024</x:t>
        </x:is>
      </x:c>
      <x:c r="D121" s="31" t="inlineStr">
        <x:is>
          <x:t xml:space="preserve">СОТР-004</x:t>
        </x:is>
      </x:c>
      <x:c r="E121" s="31" t="inlineStr">
        <x:is>
          <x:t xml:space="preserve">Сервисный комплект</x:t>
        </x:is>
      </x:c>
      <x:c r="F121" s="31" t="inlineStr">
        <x:is>
          <x:t xml:space="preserve">Отгружено</x:t>
        </x:is>
      </x:c>
      <x:c r="G121" s="31" t="inlineStr">
        <x:is>
          <x:t xml:space="preserve">Низкий</x:t>
        </x:is>
      </x:c>
      <x:c r="H121" s="31" t="n">
        <x:v>46116</x:v>
      </x:c>
      <x:c r="I121" s="31" t="n">
        <x:v>46115</x:v>
      </x:c>
      <x:c r="J121" s="31" t="n">
        <x:v>7186409</x:v>
      </x:c>
      <x:c r="K121" s="31" t="n">
        <x:v>3377827</x:v>
      </x:c>
      <x:c r="L121" s="31" t="n">
        <x:v>552924</x:v>
      </x:c>
      <x:c r="M121" s="31" t="n">
        <x:v>497975</x:v>
      </x:c>
      <x:c r="N121" s="31" t="n">
        <x:v>2757683</x:v>
      </x:c>
      <x:c r="O121" s="31" t="n">
        <x:v>30</x:v>
      </x:c>
      <x:c r="P121" s="31" t="inlineStr">
        <x:is>
          <x:t xml:space="preserve">Счет выставлен</x:t>
        </x:is>
      </x:c>
      <x:c r="Q121" s="31" t="inlineStr">
        <x:is>
          <x:t xml:space="preserve">СТК-2026-1120</x:t>
        </x:is>
      </x:c>
      <x:c r="R121" s="31" t="inlineStr">
        <x:is>
          <x:t xml:space="preserve">Средний</x:t>
        </x:is>
      </x:c>
      <x:c r="S121" s="31" t="inlineStr">
        <x:is>
          <x:t xml:space="preserve">Нет</x:t>
        </x:is>
      </x:c>
      <x:c r="T121" s="31" t="inlineStr">
        <x:is>
          <x:t xml:space="preserve">Нет</x:t>
        </x:is>
      </x:c>
      <x:c r="U121" s="31" t="inlineStr">
        <x:is>
          <x:t xml:space="preserve">Сделка создана из канала сервис</x:t>
        </x:is>
      </x:c>
    </x:row>
    <x:row r="122" ht="18" customHeight="1">
      <x:c r="A122" s="31" t="inlineStr">
        <x:is>
          <x:t xml:space="preserve">ЗК-1121</x:t>
        </x:is>
      </x:c>
      <x:c r="B122" s="31" t="n">
        <x:v>46173</x:v>
      </x:c>
      <x:c r="C122" s="31" t="inlineStr">
        <x:is>
          <x:t xml:space="preserve">КЛ-011</x:t>
        </x:is>
      </x:c>
      <x:c r="D122" s="31" t="inlineStr">
        <x:is>
          <x:t xml:space="preserve">СОТР-003</x:t>
        </x:is>
      </x:c>
      <x:c r="E122" s="31" t="inlineStr">
        <x:is>
          <x:t xml:space="preserve">Модернизация</x:t>
        </x:is>
      </x:c>
      <x:c r="F122" s="31" t="inlineStr">
        <x:is>
          <x:t xml:space="preserve">В производстве</x:t>
        </x:is>
      </x:c>
      <x:c r="G122" s="31" t="inlineStr">
        <x:is>
          <x:t xml:space="preserve">Высокий</x:t>
        </x:is>
      </x:c>
      <x:c r="H122" s="31" t="n">
        <x:v>46204</x:v>
      </x:c>
      <x:c r="I122" s="31" t="n">
        <x:v>46209</x:v>
      </x:c>
      <x:c r="J122" s="31" t="n">
        <x:v>2905271</x:v>
      </x:c>
      <x:c r="K122" s="31" t="n">
        <x:v>1067054</x:v>
      </x:c>
      <x:c r="L122" s="31" t="n">
        <x:v>391762</x:v>
      </x:c>
      <x:c r="M122" s="31" t="n">
        <x:v>241160</x:v>
      </x:c>
      <x:c r="N122" s="31" t="n">
        <x:v>1205295</x:v>
      </x:c>
      <x:c r="O122" s="31" t="n">
        <x:v>30</x:v>
      </x:c>
      <x:c r="P122" s="31" t="inlineStr">
        <x:is>
          <x:t xml:space="preserve">Счет выставлен</x:t>
        </x:is>
      </x:c>
      <x:c r="Q122" s="31" t="inlineStr">
        <x:is>
          <x:t xml:space="preserve">СТК-2026-1121</x:t>
        </x:is>
      </x:c>
      <x:c r="R122" s="31" t="inlineStr">
        <x:is>
          <x:t xml:space="preserve">Средний</x:t>
        </x:is>
      </x:c>
      <x:c r="S122" s="31" t="inlineStr">
        <x:is>
          <x:t xml:space="preserve">Нет</x:t>
        </x:is>
      </x:c>
      <x:c r="T122" s="31" t="inlineStr">
        <x:is>
          <x:t xml:space="preserve">Нет</x:t>
        </x:is>
      </x:c>
      <x:c r="U122" s="31" t="inlineStr">
        <x:is>
          <x:t xml:space="preserve">Сделка создана из канала прямой запрос</x:t>
        </x:is>
      </x:c>
    </x:row>
    <x:row r="123" ht="18" customHeight="1">
      <x:c r="A123" s="31" t="inlineStr">
        <x:is>
          <x:t xml:space="preserve">ЗК-1122</x:t>
        </x:is>
      </x:c>
      <x:c r="B123" s="31" t="n">
        <x:v>46132</x:v>
      </x:c>
      <x:c r="C123" s="31" t="inlineStr">
        <x:is>
          <x:t xml:space="preserve">КЛ-012</x:t>
        </x:is>
      </x:c>
      <x:c r="D123" s="31" t="inlineStr">
        <x:is>
          <x:t xml:space="preserve">СОТР-004</x:t>
        </x:is>
      </x:c>
      <x:c r="E123" s="31" t="inlineStr">
        <x:is>
          <x:t xml:space="preserve">Новый проект</x:t>
        </x:is>
      </x:c>
      <x:c r="F123" s="31" t="inlineStr">
        <x:is>
          <x:t xml:space="preserve">КД</x:t>
        </x:is>
      </x:c>
      <x:c r="G123" s="31" t="inlineStr">
        <x:is>
          <x:t xml:space="preserve">Высокий</x:t>
        </x:is>
      </x:c>
      <x:c r="H123" s="31" t="n">
        <x:v>46154</x:v>
      </x:c>
      <x:c r="I123" s="31" t="n">
        <x:v>46157</x:v>
      </x:c>
      <x:c r="J123" s="31" t="n">
        <x:v>1111274</x:v>
      </x:c>
      <x:c r="K123" s="31" t="n">
        <x:v>531750</x:v>
      </x:c>
      <x:c r="L123" s="31" t="n">
        <x:v>86976</x:v>
      </x:c>
      <x:c r="M123" s="31" t="n">
        <x:v>79588</x:v>
      </x:c>
      <x:c r="N123" s="31" t="n">
        <x:v>412960</x:v>
      </x:c>
      <x:c r="O123" s="31" t="n">
        <x:v>100</x:v>
      </x:c>
      <x:c r="P123" s="31" t="inlineStr">
        <x:is>
          <x:t xml:space="preserve">Счет выставлен</x:t>
        </x:is>
      </x:c>
      <x:c r="Q123" s="31" t="inlineStr">
        <x:is>
          <x:t xml:space="preserve">СТК-2026-1122</x:t>
        </x:is>
      </x:c>
      <x:c r="R123" s="31" t="inlineStr">
        <x:is>
          <x:t xml:space="preserve">Средний</x:t>
        </x:is>
      </x:c>
      <x:c r="S123" s="31" t="inlineStr">
        <x:is>
          <x:t xml:space="preserve">Нет</x:t>
        </x:is>
      </x:c>
      <x:c r="T123" s="31" t="inlineStr">
        <x:is>
          <x:t xml:space="preserve">Нет</x:t>
        </x:is>
      </x:c>
      <x:c r="U123" s="31" t="inlineStr">
        <x:is>
          <x:t xml:space="preserve">Сделка создана из канала прямой запрос</x:t>
        </x:is>
      </x:c>
    </x:row>
    <x:row r="124" ht="18" customHeight="1">
      <x:c r="A124" s="31" t="inlineStr">
        <x:is>
          <x:t xml:space="preserve">ЗК-1123</x:t>
        </x:is>
      </x:c>
      <x:c r="B124" s="31" t="n">
        <x:v>46136</x:v>
      </x:c>
      <x:c r="C124" s="31" t="inlineStr">
        <x:is>
          <x:t xml:space="preserve">КЛ-022</x:t>
        </x:is>
      </x:c>
      <x:c r="D124" s="31" t="inlineStr">
        <x:is>
          <x:t xml:space="preserve">СОТР-004</x:t>
        </x:is>
      </x:c>
      <x:c r="E124" s="31" t="inlineStr">
        <x:is>
          <x:t xml:space="preserve">Сервисный комплект</x:t>
        </x:is>
      </x:c>
      <x:c r="F124" s="31" t="inlineStr">
        <x:is>
          <x:t xml:space="preserve">Готов к отгрузке</x:t>
        </x:is>
      </x:c>
      <x:c r="G124" s="31" t="inlineStr">
        <x:is>
          <x:t xml:space="preserve">Средний</x:t>
        </x:is>
      </x:c>
      <x:c r="H124" s="31" t="n">
        <x:v>46161</x:v>
      </x:c>
      <x:c r="I124" s="31" t="n">
        <x:v>46161</x:v>
      </x:c>
      <x:c r="J124" s="31" t="n">
        <x:v>7152778</x:v>
      </x:c>
      <x:c r="K124" s="31" t="n">
        <x:v>3344850</x:v>
      </x:c>
      <x:c r="L124" s="31" t="n">
        <x:v>842843</x:v>
      </x:c>
      <x:c r="M124" s="31" t="n">
        <x:v>373028</x:v>
      </x:c>
      <x:c r="N124" s="31" t="n">
        <x:v>2592057</x:v>
      </x:c>
      <x:c r="O124" s="31" t="n">
        <x:v>50</x:v>
      </x:c>
      <x:c r="P124" s="31" t="inlineStr">
        <x:is>
          <x:t xml:space="preserve">Оплачен</x:t>
        </x:is>
      </x:c>
      <x:c r="Q124" s="31" t="inlineStr">
        <x:is>
          <x:t xml:space="preserve">СТК-2026-1123</x:t>
        </x:is>
      </x:c>
      <x:c r="R124" s="31" t="inlineStr">
        <x:is>
          <x:t xml:space="preserve">Низкий</x:t>
        </x:is>
      </x:c>
      <x:c r="S124" s="31" t="inlineStr">
        <x:is>
          <x:t xml:space="preserve">Нет</x:t>
        </x:is>
      </x:c>
      <x:c r="T124" s="31" t="inlineStr">
        <x:is>
          <x:t xml:space="preserve">Нет</x:t>
        </x:is>
      </x:c>
      <x:c r="U124" s="31" t="inlineStr">
        <x:is>
          <x:t xml:space="preserve">Сделка создана из канала повторная заявка</x:t>
        </x:is>
      </x:c>
    </x:row>
    <x:row r="125" ht="18" customHeight="1">
      <x:c r="A125" s="31" t="inlineStr">
        <x:is>
          <x:t xml:space="preserve">ЗК-1124</x:t>
        </x:is>
      </x:c>
      <x:c r="B125" s="31" t="n">
        <x:v>46037</x:v>
      </x:c>
      <x:c r="C125" s="31" t="inlineStr">
        <x:is>
          <x:t xml:space="preserve">КЛ-043</x:t>
        </x:is>
      </x:c>
      <x:c r="D125" s="31" t="inlineStr">
        <x:is>
          <x:t xml:space="preserve">СОТР-004</x:t>
        </x:is>
      </x:c>
      <x:c r="E125" s="31" t="inlineStr">
        <x:is>
          <x:t xml:space="preserve">Новый проект</x:t>
        </x:is>
      </x:c>
      <x:c r="F125" s="31" t="inlineStr">
        <x:is>
          <x:t xml:space="preserve">ОТК</x:t>
        </x:is>
      </x:c>
      <x:c r="G125" s="31" t="inlineStr">
        <x:is>
          <x:t xml:space="preserve">Средний</x:t>
        </x:is>
      </x:c>
      <x:c r="H125" s="31" t="n">
        <x:v>46063</x:v>
      </x:c>
      <x:c r="I125" s="31" t="n">
        <x:v>46064</x:v>
      </x:c>
      <x:c r="J125" s="31" t="n">
        <x:v>1150009</x:v>
      </x:c>
      <x:c r="K125" s="31" t="n">
        <x:v>587258</x:v>
      </x:c>
      <x:c r="L125" s="31" t="n">
        <x:v>122164</x:v>
      </x:c>
      <x:c r="M125" s="31" t="n">
        <x:v>93665</x:v>
      </x:c>
      <x:c r="N125" s="31" t="n">
        <x:v>346922</x:v>
      </x:c>
      <x:c r="O125" s="31" t="n">
        <x:v>20</x:v>
      </x:c>
      <x:c r="P125" s="31" t="inlineStr">
        <x:is>
          <x:t xml:space="preserve">Частично оплачен</x:t>
        </x:is>
      </x:c>
      <x:c r="Q125" s="31" t="inlineStr">
        <x:is>
          <x:t xml:space="preserve">СТК-2026-1124</x:t>
        </x:is>
      </x:c>
      <x:c r="R125" s="31" t="inlineStr">
        <x:is>
          <x:t xml:space="preserve">Низкий</x:t>
        </x:is>
      </x:c>
      <x:c r="S125" s="31" t="inlineStr">
        <x:is>
          <x:t xml:space="preserve">Нет</x:t>
        </x:is>
      </x:c>
      <x:c r="T125" s="31" t="inlineStr">
        <x:is>
          <x:t xml:space="preserve">Да</x:t>
        </x:is>
      </x:c>
      <x:c r="U125" s="31" t="inlineStr">
        <x:is>
          <x:t xml:space="preserve">Сделка создана из канала повторная заявка</x:t>
        </x:is>
      </x:c>
    </x:row>
    <x:row r="126" ht="18" customHeight="1">
      <x:c r="A126" s="31" t="inlineStr">
        <x:is>
          <x:t xml:space="preserve">ЗК-1125</x:t>
        </x:is>
      </x:c>
      <x:c r="B126" s="31" t="n">
        <x:v>46038</x:v>
      </x:c>
      <x:c r="C126" s="31" t="inlineStr">
        <x:is>
          <x:t xml:space="preserve">КЛ-029</x:t>
        </x:is>
      </x:c>
      <x:c r="D126" s="31" t="inlineStr">
        <x:is>
          <x:t xml:space="preserve">СОТР-005</x:t>
        </x:is>
      </x:c>
      <x:c r="E126" s="31" t="inlineStr">
        <x:is>
          <x:t xml:space="preserve">Новый проект</x:t>
        </x:is>
      </x:c>
      <x:c r="F126" s="31" t="inlineStr">
        <x:is>
          <x:t xml:space="preserve">В производстве</x:t>
        </x:is>
      </x:c>
      <x:c r="G126" s="31" t="inlineStr">
        <x:is>
          <x:t xml:space="preserve">Средний</x:t>
        </x:is>
      </x:c>
      <x:c r="H126" s="31" t="n">
        <x:v>46121</x:v>
      </x:c>
      <x:c r="I126" s="31" t="n">
        <x:v>46130</x:v>
      </x:c>
      <x:c r="J126" s="31" t="n">
        <x:v>2010557</x:v>
      </x:c>
      <x:c r="K126" s="31" t="n">
        <x:v>959631</x:v>
      </x:c>
      <x:c r="L126" s="31" t="n">
        <x:v>252563</x:v>
      </x:c>
      <x:c r="M126" s="31" t="n">
        <x:v>207247</x:v>
      </x:c>
      <x:c r="N126" s="31" t="n">
        <x:v>591116</x:v>
      </x:c>
      <x:c r="O126" s="31" t="n">
        <x:v>100</x:v>
      </x:c>
      <x:c r="P126" s="31" t="inlineStr">
        <x:is>
          <x:t xml:space="preserve">Оплачен</x:t>
        </x:is>
      </x:c>
      <x:c r="Q126" s="31" t="inlineStr">
        <x:is>
          <x:t xml:space="preserve">СТК-2026-1125</x:t>
        </x:is>
      </x:c>
      <x:c r="R126" s="31" t="inlineStr">
        <x:is>
          <x:t xml:space="preserve">Высокий</x:t>
        </x:is>
      </x:c>
      <x:c r="S126" s="31" t="inlineStr">
        <x:is>
          <x:t xml:space="preserve">Нет</x:t>
        </x:is>
      </x:c>
      <x:c r="T126" s="31" t="inlineStr">
        <x:is>
          <x:t xml:space="preserve">Нет</x:t>
        </x:is>
      </x:c>
      <x:c r="U126" s="31" t="inlineStr">
        <x:is>
          <x:t xml:space="preserve">Сделка создана из канала повторная заявка</x:t>
        </x:is>
      </x:c>
    </x:row>
    <x:row r="127" ht="18" customHeight="1">
      <x:c r="A127" s="31" t="inlineStr">
        <x:is>
          <x:t xml:space="preserve">ЗК-1126</x:t>
        </x:is>
      </x:c>
      <x:c r="B127" s="31" t="n">
        <x:v>46148</x:v>
      </x:c>
      <x:c r="C127" s="31" t="inlineStr">
        <x:is>
          <x:t xml:space="preserve">КЛ-026</x:t>
        </x:is>
      </x:c>
      <x:c r="D127" s="31" t="inlineStr">
        <x:is>
          <x:t xml:space="preserve">СОТР-004</x:t>
        </x:is>
      </x:c>
      <x:c r="E127" s="31" t="inlineStr">
        <x:is>
          <x:t xml:space="preserve">Новый проект</x:t>
        </x:is>
      </x:c>
      <x:c r="F127" s="31" t="inlineStr">
        <x:is>
          <x:t xml:space="preserve">В производстве</x:t>
        </x:is>
      </x:c>
      <x:c r="G127" s="31" t="inlineStr">
        <x:is>
          <x:t xml:space="preserve">Средний</x:t>
        </x:is>
      </x:c>
      <x:c r="H127" s="31" t="n">
        <x:v>46228</x:v>
      </x:c>
      <x:c r="I127" s="31" t="n">
        <x:v>46240</x:v>
      </x:c>
      <x:c r="J127" s="31" t="n">
        <x:v>8055644</x:v>
      </x:c>
      <x:c r="K127" s="31" t="n">
        <x:v>3589532</x:v>
      </x:c>
      <x:c r="L127" s="31" t="n">
        <x:v>1081337</x:v>
      </x:c>
      <x:c r="M127" s="31" t="n">
        <x:v>801151</x:v>
      </x:c>
      <x:c r="N127" s="31" t="n">
        <x:v>2583624</x:v>
      </x:c>
      <x:c r="O127" s="31" t="n">
        <x:v>20</x:v>
      </x:c>
      <x:c r="P127" s="31" t="inlineStr">
        <x:is>
          <x:t xml:space="preserve">Не выставлен счет</x:t>
        </x:is>
      </x:c>
      <x:c r="Q127" s="31" t="inlineStr">
        <x:is>
          <x:t xml:space="preserve">СТК-2026-1126</x:t>
        </x:is>
      </x:c>
      <x:c r="R127" s="31" t="inlineStr">
        <x:is>
          <x:t xml:space="preserve">Высокий</x:t>
        </x:is>
      </x:c>
      <x:c r="S127" s="31" t="inlineStr">
        <x:is>
          <x:t xml:space="preserve">Нет</x:t>
        </x:is>
      </x:c>
      <x:c r="T127" s="31" t="inlineStr">
        <x:is>
          <x:t xml:space="preserve">Нет</x:t>
        </x:is>
      </x:c>
      <x:c r="U127" s="31" t="inlineStr">
        <x:is>
          <x:t xml:space="preserve">Сделка создана из канала прямой запрос</x:t>
        </x:is>
      </x:c>
    </x:row>
    <x:row r="128" ht="18" customHeight="1">
      <x:c r="A128" s="31" t="inlineStr">
        <x:is>
          <x:t xml:space="preserve">ЗК-1127</x:t>
        </x:is>
      </x:c>
      <x:c r="B128" s="31" t="n">
        <x:v>46034</x:v>
      </x:c>
      <x:c r="C128" s="31" t="inlineStr">
        <x:is>
          <x:t xml:space="preserve">КЛ-008</x:t>
        </x:is>
      </x:c>
      <x:c r="D128" s="31" t="inlineStr">
        <x:is>
          <x:t xml:space="preserve">СОТР-004</x:t>
        </x:is>
      </x:c>
      <x:c r="E128" s="31" t="inlineStr">
        <x:is>
          <x:t xml:space="preserve">Новый проект</x:t>
        </x:is>
      </x:c>
      <x:c r="F128" s="31" t="inlineStr">
        <x:is>
          <x:t xml:space="preserve">КП отправлено</x:t>
        </x:is>
      </x:c>
      <x:c r="G128" s="31" t="inlineStr">
        <x:is>
          <x:t xml:space="preserve">Средний</x:t>
        </x:is>
      </x:c>
      <x:c r="H128" s="31" t="n">
        <x:v>46086</x:v>
      </x:c>
      <x:c r="I128" s="31" t="n">
        <x:v>46087</x:v>
      </x:c>
      <x:c r="J128" s="31" t="n">
        <x:v>3222359</x:v>
      </x:c>
      <x:c r="K128" s="31" t="n">
        <x:v>1670551</x:v>
      </x:c>
      <x:c r="L128" s="31" t="n">
        <x:v>392833</x:v>
      </x:c>
      <x:c r="M128" s="31" t="n">
        <x:v>169631</x:v>
      </x:c>
      <x:c r="N128" s="31" t="n">
        <x:v>989344</x:v>
      </x:c>
      <x:c r="O128" s="31" t="n">
        <x:v>30</x:v>
      </x:c>
      <x:c r="P128" s="31" t="inlineStr">
        <x:is>
          <x:t xml:space="preserve">Частично оплачен</x:t>
        </x:is>
      </x:c>
      <x:c r="Q128" s="31" t="n"/>
      <x:c r="R128" s="31" t="inlineStr">
        <x:is>
          <x:t xml:space="preserve">Низкий</x:t>
        </x:is>
      </x:c>
      <x:c r="S128" s="31" t="inlineStr">
        <x:is>
          <x:t xml:space="preserve">Нет</x:t>
        </x:is>
      </x:c>
      <x:c r="T128" s="31" t="inlineStr">
        <x:is>
          <x:t xml:space="preserve">Нет</x:t>
        </x:is>
      </x:c>
      <x:c r="U128" s="31" t="inlineStr">
        <x:is>
          <x:t xml:space="preserve">Сделка создана из канала прямой запрос</x:t>
        </x:is>
      </x:c>
    </x:row>
    <x:row r="129" ht="18" customHeight="1">
      <x:c r="A129" s="31" t="inlineStr">
        <x:is>
          <x:t xml:space="preserve">ЗК-1128</x:t>
        </x:is>
      </x:c>
      <x:c r="B129" s="31" t="n">
        <x:v>46103</x:v>
      </x:c>
      <x:c r="C129" s="31" t="inlineStr">
        <x:is>
          <x:t xml:space="preserve">КЛ-047</x:t>
        </x:is>
      </x:c>
      <x:c r="D129" s="31" t="inlineStr">
        <x:is>
          <x:t xml:space="preserve">СОТР-005</x:t>
        </x:is>
      </x:c>
      <x:c r="E129" s="31" t="inlineStr">
        <x:is>
          <x:t xml:space="preserve">Сервисный комплект</x:t>
        </x:is>
      </x:c>
      <x:c r="F129" s="31" t="inlineStr">
        <x:is>
          <x:t xml:space="preserve">В производстве</x:t>
        </x:is>
      </x:c>
      <x:c r="G129" s="31" t="inlineStr">
        <x:is>
          <x:t xml:space="preserve">Высокий</x:t>
        </x:is>
      </x:c>
      <x:c r="H129" s="31" t="n">
        <x:v>46124</x:v>
      </x:c>
      <x:c r="I129" s="31" t="n">
        <x:v>46129</x:v>
      </x:c>
      <x:c r="J129" s="31" t="n">
        <x:v>9227442</x:v>
      </x:c>
      <x:c r="K129" s="31" t="n">
        <x:v>3771457</x:v>
      </x:c>
      <x:c r="L129" s="31" t="n">
        <x:v>1073158</x:v>
      </x:c>
      <x:c r="M129" s="31" t="n">
        <x:v>775712</x:v>
      </x:c>
      <x:c r="N129" s="31" t="n">
        <x:v>3607115</x:v>
      </x:c>
      <x:c r="O129" s="31" t="n">
        <x:v>20</x:v>
      </x:c>
      <x:c r="P129" s="31" t="inlineStr">
        <x:is>
          <x:t xml:space="preserve">Просрочка</x:t>
        </x:is>
      </x:c>
      <x:c r="Q129" s="31" t="inlineStr">
        <x:is>
          <x:t xml:space="preserve">СТК-2026-1128</x:t>
        </x:is>
      </x:c>
      <x:c r="R129" s="31" t="inlineStr">
        <x:is>
          <x:t xml:space="preserve">Высокий</x:t>
        </x:is>
      </x:c>
      <x:c r="S129" s="31" t="inlineStr">
        <x:is>
          <x:t xml:space="preserve">Нет</x:t>
        </x:is>
      </x:c>
      <x:c r="T129" s="31" t="inlineStr">
        <x:is>
          <x:t xml:space="preserve">Нет</x:t>
        </x:is>
      </x:c>
      <x:c r="U129" s="31" t="inlineStr">
        <x:is>
          <x:t xml:space="preserve">Сделка создана из канала сервис</x:t>
        </x:is>
      </x:c>
    </x:row>
    <x:row r="130" ht="18" customHeight="1">
      <x:c r="A130" s="31" t="inlineStr">
        <x:is>
          <x:t xml:space="preserve">ЗК-1129</x:t>
        </x:is>
      </x:c>
      <x:c r="B130" s="31" t="n">
        <x:v>46118</x:v>
      </x:c>
      <x:c r="C130" s="31" t="inlineStr">
        <x:is>
          <x:t xml:space="preserve">КЛ-033</x:t>
        </x:is>
      </x:c>
      <x:c r="D130" s="31" t="inlineStr">
        <x:is>
          <x:t xml:space="preserve">СОТР-005</x:t>
        </x:is>
      </x:c>
      <x:c r="E130" s="31" t="inlineStr">
        <x:is>
          <x:t xml:space="preserve">Аварийная поставка</x:t>
        </x:is>
      </x:c>
      <x:c r="F130" s="31" t="inlineStr">
        <x:is>
          <x:t xml:space="preserve">Отгружено</x:t>
        </x:is>
      </x:c>
      <x:c r="G130" s="31" t="inlineStr">
        <x:is>
          <x:t xml:space="preserve">Срочный</x:t>
        </x:is>
      </x:c>
      <x:c r="H130" s="31" t="n">
        <x:v>46154</x:v>
      </x:c>
      <x:c r="I130" s="31" t="n">
        <x:v>46150</x:v>
      </x:c>
      <x:c r="J130" s="31" t="n">
        <x:v>3342082</x:v>
      </x:c>
      <x:c r="K130" s="31" t="n">
        <x:v>1582884</x:v>
      </x:c>
      <x:c r="L130" s="31" t="n">
        <x:v>517375</x:v>
      </x:c>
      <x:c r="M130" s="31" t="n">
        <x:v>315435</x:v>
      </x:c>
      <x:c r="N130" s="31" t="n">
        <x:v>926388</x:v>
      </x:c>
      <x:c r="O130" s="31" t="n">
        <x:v>100</x:v>
      </x:c>
      <x:c r="P130" s="31" t="inlineStr">
        <x:is>
          <x:t xml:space="preserve">Оплачен</x:t>
        </x:is>
      </x:c>
      <x:c r="Q130" s="31" t="inlineStr">
        <x:is>
          <x:t xml:space="preserve">СТК-2026-1129</x:t>
        </x:is>
      </x:c>
      <x:c r="R130" s="31" t="inlineStr">
        <x:is>
          <x:t xml:space="preserve">Средний</x:t>
        </x:is>
      </x:c>
      <x:c r="S130" s="31" t="inlineStr">
        <x:is>
          <x:t xml:space="preserve">Нет</x:t>
        </x:is>
      </x:c>
      <x:c r="T130" s="31" t="inlineStr">
        <x:is>
          <x:t xml:space="preserve">Нет</x:t>
        </x:is>
      </x:c>
      <x:c r="U130" s="31" t="inlineStr">
        <x:is>
          <x:t xml:space="preserve">Сделка создана из канала прямой запрос</x:t>
        </x:is>
      </x:c>
    </x:row>
    <x:row r="131" ht="18" customHeight="1">
      <x:c r="A131" s="31" t="inlineStr">
        <x:is>
          <x:t xml:space="preserve">ЗК-1130</x:t>
        </x:is>
      </x:c>
      <x:c r="B131" s="31" t="n">
        <x:v>46156</x:v>
      </x:c>
      <x:c r="C131" s="31" t="inlineStr">
        <x:is>
          <x:t xml:space="preserve">КЛ-008</x:t>
        </x:is>
      </x:c>
      <x:c r="D131" s="31" t="inlineStr">
        <x:is>
          <x:t xml:space="preserve">СОТР-004</x:t>
        </x:is>
      </x:c>
      <x:c r="E131" s="31" t="inlineStr">
        <x:is>
          <x:t xml:space="preserve">Повторный заказ</x:t>
        </x:is>
      </x:c>
      <x:c r="F131" s="31" t="inlineStr">
        <x:is>
          <x:t xml:space="preserve">КД</x:t>
        </x:is>
      </x:c>
      <x:c r="G131" s="31" t="inlineStr">
        <x:is>
          <x:t xml:space="preserve">Высокий</x:t>
        </x:is>
      </x:c>
      <x:c r="H131" s="31" t="n">
        <x:v>46221</x:v>
      </x:c>
      <x:c r="I131" s="31" t="n">
        <x:v>46224</x:v>
      </x:c>
      <x:c r="J131" s="31" t="n">
        <x:v>3103593</x:v>
      </x:c>
      <x:c r="K131" s="31" t="n">
        <x:v>1212254</x:v>
      </x:c>
      <x:c r="L131" s="31" t="n">
        <x:v>230685</x:v>
      </x:c>
      <x:c r="M131" s="31" t="n">
        <x:v>219663</x:v>
      </x:c>
      <x:c r="N131" s="31" t="n">
        <x:v>1440991</x:v>
      </x:c>
      <x:c r="O131" s="31" t="n">
        <x:v>20</x:v>
      </x:c>
      <x:c r="P131" s="31" t="inlineStr">
        <x:is>
          <x:t xml:space="preserve">Счет выставлен</x:t>
        </x:is>
      </x:c>
      <x:c r="Q131" s="31" t="inlineStr">
        <x:is>
          <x:t xml:space="preserve">СТК-2026-1130</x:t>
        </x:is>
      </x:c>
      <x:c r="R131" s="31" t="inlineStr">
        <x:is>
          <x:t xml:space="preserve">Низкий</x:t>
        </x:is>
      </x:c>
      <x:c r="S131" s="31" t="inlineStr">
        <x:is>
          <x:t xml:space="preserve">Нет</x:t>
        </x:is>
      </x:c>
      <x:c r="T131" s="31" t="inlineStr">
        <x:is>
          <x:t xml:space="preserve">Нет</x:t>
        </x:is>
      </x:c>
      <x:c r="U131" s="31" t="inlineStr">
        <x:is>
          <x:t xml:space="preserve">Сделка создана из канала тендер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13" customWidth="1"/>
    <x:col min="2" max="2" width="12" customWidth="1"/>
    <x:col min="3" max="3" width="13" customWidth="1"/>
    <x:col min="4" max="4" width="30" customWidth="1"/>
    <x:col min="5" max="5" width="12" customWidth="1"/>
    <x:col min="6" max="6" width="19" customWidth="1"/>
    <x:col min="7" max="7" width="11" customWidth="1"/>
    <x:col min="8" max="8" width="20" customWidth="1"/>
    <x:col min="9" max="9" width="23" customWidth="1"/>
    <x:col min="10" max="10" width="18" customWidth="1"/>
    <x:col min="11" max="11" width="22" customWidth="1"/>
    <x:col min="12" max="12" width="13" customWidth="1"/>
    <x:col min="13" max="13" width="10" customWidth="1"/>
    <x:col min="14" max="14" width="18" customWidth="1"/>
    <x:col min="15" max="15" width="19" customWidth="1"/>
    <x:col min="16" max="16" width="27" customWidth="1"/>
  </x:cols>
  <x:sheetData>
    <x:row r="1" ht="18" customHeight="1">
      <x:c r="A1" s="30" t="inlineStr">
        <x:is>
          <x:t xml:space="preserve">Код позиции</x:t>
        </x:is>
      </x:c>
      <x:c r="B1" s="30" t="inlineStr">
        <x:is>
          <x:t xml:space="preserve">Код заказа</x:t>
        </x:is>
      </x:c>
      <x:c r="C1" s="30" t="inlineStr">
        <x:is>
          <x:t xml:space="preserve">Код изделия</x:t>
        </x:is>
      </x:c>
      <x:c r="D1" s="30" t="inlineStr">
        <x:is>
          <x:t xml:space="preserve">Изделие</x:t>
        </x:is>
      </x:c>
      <x:c r="E1" s="30" t="inlineStr">
        <x:is>
          <x:t xml:space="preserve">Количество</x:t>
        </x:is>
      </x:c>
      <x:c r="F1" s="30" t="inlineStr">
        <x:is>
          <x:t xml:space="preserve">Цена за ед., руб.</x:t>
        </x:is>
      </x:c>
      <x:c r="G1" s="30" t="inlineStr">
        <x:is>
          <x:t xml:space="preserve">Скидка, %</x:t>
        </x:is>
      </x:c>
      <x:c r="H1" s="30" t="inlineStr">
        <x:is>
          <x:t xml:space="preserve">Сумма строки, руб.</x:t>
        </x:is>
      </x:c>
      <x:c r="I1" s="30" t="inlineStr">
        <x:is>
          <x:t xml:space="preserve">План материалов, руб.</x:t>
        </x:is>
      </x:c>
      <x:c r="J1" s="30" t="inlineStr">
        <x:is>
          <x:t xml:space="preserve">План труда, руб.</x:t>
        </x:is>
      </x:c>
      <x:c r="K1" s="30" t="inlineStr">
        <x:is>
          <x:t xml:space="preserve">План накладных, руб.</x:t>
        </x:is>
      </x:c>
      <x:c r="L1" s="30" t="inlineStr">
        <x:is>
          <x:t xml:space="preserve">Маржа, руб.</x:t>
        </x:is>
      </x:c>
      <x:c r="M1" s="30" t="inlineStr">
        <x:is>
          <x:t xml:space="preserve">Маржа, %</x:t>
        </x:is>
      </x:c>
      <x:c r="N1" s="30" t="inlineStr">
        <x:is>
          <x:t xml:space="preserve">Тип строки</x:t>
        </x:is>
      </x:c>
      <x:c r="O1" s="30" t="inlineStr">
        <x:is>
          <x:t xml:space="preserve">Плановая отгрузка</x:t>
        </x:is>
      </x:c>
      <x:c r="P1" s="30" t="inlineStr">
        <x:is>
          <x:t xml:space="preserve">Примечание к спецификации</x:t>
        </x:is>
      </x:c>
    </x:row>
    <x:row r="2" ht="18" customHeight="1">
      <x:c r="A2" s="31" t="inlineStr">
        <x:is>
          <x:t xml:space="preserve">ПОЗ-0001-1</x:t>
        </x:is>
      </x:c>
      <x:c r="B2" s="31" t="inlineStr">
        <x:is>
          <x:t xml:space="preserve">ЗК-1001</x:t>
        </x:is>
      </x:c>
      <x:c r="C2" s="31" t="inlineStr">
        <x:is>
          <x:t xml:space="preserve">ИЗД-026</x:t>
        </x:is>
      </x:c>
      <x:c r="D2" s="31" t="inlineStr">
        <x:is>
          <x:t xml:space="preserve">Шкаф управления СТК-126</x:t>
        </x:is>
      </x:c>
      <x:c r="E2" s="31" t="n">
        <x:v>5</x:v>
      </x:c>
      <x:c r="F2" s="31" t="n">
        <x:v>537537</x:v>
      </x:c>
      <x:c r="G2" s="31" t="n">
        <x:v>10</x:v>
      </x:c>
      <x:c r="H2" s="31" t="n">
        <x:v>2418916</x:v>
      </x:c>
      <x:c r="I2" s="31" t="n">
        <x:v>1052643</x:v>
      </x:c>
      <x:c r="J2" s="31" t="n">
        <x:v>332759</x:v>
      </x:c>
      <x:c r="K2" s="31" t="n">
        <x:v>176699</x:v>
      </x:c>
      <x:c r="L2" s="31" t="n">
        <x:v>856815</x:v>
      </x:c>
      <x:c r="M2" s="31" t="n">
        <x:v>0.354</x:v>
      </x:c>
      <x:c r="N2" s="31" t="inlineStr">
        <x:is>
          <x:t xml:space="preserve">Нестандарт</x:t>
        </x:is>
      </x:c>
      <x:c r="O2" s="31" t="n">
        <x:v>46143</x:v>
      </x:c>
      <x:c r="P2" s="31" t="inlineStr">
        <x:is>
          <x:t xml:space="preserve">Спецификация 4</x:t>
        </x:is>
      </x:c>
    </x:row>
    <x:row r="3" ht="18" customHeight="1">
      <x:c r="A3" s="31" t="inlineStr">
        <x:is>
          <x:t xml:space="preserve">ПОЗ-0001-2</x:t>
        </x:is>
      </x:c>
      <x:c r="B3" s="31" t="inlineStr">
        <x:is>
          <x:t xml:space="preserve">ЗК-1001</x:t>
        </x:is>
      </x:c>
      <x:c r="C3" s="31" t="inlineStr">
        <x:is>
          <x:t xml:space="preserve">ИЗД-032</x:t>
        </x:is>
      </x:c>
      <x:c r="D3" s="31" t="inlineStr">
        <x:is>
          <x:t xml:space="preserve">Комплект ЗИП СТК-132</x:t>
        </x:is>
      </x:c>
      <x:c r="E3" s="31" t="n">
        <x:v>10</x:v>
      </x:c>
      <x:c r="F3" s="31" t="n">
        <x:v>189860</x:v>
      </x:c>
      <x:c r="G3" s="31" t="n">
        <x:v>0</x:v>
      </x:c>
      <x:c r="H3" s="31" t="n">
        <x:v>1898600</x:v>
      </x:c>
      <x:c r="I3" s="31" t="n">
        <x:v>866957</x:v>
      </x:c>
      <x:c r="J3" s="31" t="n">
        <x:v>234079</x:v>
      </x:c>
      <x:c r="K3" s="31" t="n">
        <x:v>95939</x:v>
      </x:c>
      <x:c r="L3" s="31" t="n">
        <x:v>701625</x:v>
      </x:c>
      <x:c r="M3" s="31" t="n">
        <x:v>0.37</x:v>
      </x:c>
      <x:c r="N3" s="31" t="inlineStr">
        <x:is>
          <x:t xml:space="preserve">Замена материала</x:t>
        </x:is>
      </x:c>
      <x:c r="O3" s="31" t="n">
        <x:v>46143</x:v>
      </x:c>
      <x:c r="P3" s="31" t="inlineStr">
        <x:is>
          <x:t xml:space="preserve">Спецификация 4</x:t>
        </x:is>
      </x:c>
    </x:row>
    <x:row r="4" ht="18" customHeight="1">
      <x:c r="A4" s="31" t="inlineStr">
        <x:is>
          <x:t xml:space="preserve">ПОЗ-0002-1</x:t>
        </x:is>
      </x:c>
      <x:c r="B4" s="31" t="inlineStr">
        <x:is>
          <x:t xml:space="preserve">ЗК-1002</x:t>
        </x:is>
      </x:c>
      <x:c r="C4" s="31" t="inlineStr">
        <x:is>
          <x:t xml:space="preserve">ИЗД-018</x:t>
        </x:is>
      </x:c>
      <x:c r="D4" s="31" t="inlineStr">
        <x:is>
          <x:t xml:space="preserve">Шкаф управления СТК-118</x:t>
        </x:is>
      </x:c>
      <x:c r="E4" s="31" t="n">
        <x:v>2</x:v>
      </x:c>
      <x:c r="F4" s="31" t="n">
        <x:v>410962</x:v>
      </x:c>
      <x:c r="G4" s="31" t="n">
        <x:v>0</x:v>
      </x:c>
      <x:c r="H4" s="31" t="n">
        <x:v>821924</x:v>
      </x:c>
      <x:c r="I4" s="31" t="n">
        <x:v>355517</x:v>
      </x:c>
      <x:c r="J4" s="31" t="n">
        <x:v>105517</x:v>
      </x:c>
      <x:c r="K4" s="31" t="n">
        <x:v>72297</x:v>
      </x:c>
      <x:c r="L4" s="31" t="n">
        <x:v>288593</x:v>
      </x:c>
      <x:c r="M4" s="31" t="n">
        <x:v>0.351</x:v>
      </x:c>
      <x:c r="N4" s="31" t="inlineStr">
        <x:is>
          <x:t xml:space="preserve">Срочная поставка</x:t>
        </x:is>
      </x:c>
      <x:c r="O4" s="31" t="n">
        <x:v>46205</x:v>
      </x:c>
      <x:c r="P4" s="31" t="inlineStr">
        <x:is>
          <x:t xml:space="preserve">Спецификация 3</x:t>
        </x:is>
      </x:c>
    </x:row>
    <x:row r="5" ht="18" customHeight="1">
      <x:c r="A5" s="31" t="inlineStr">
        <x:is>
          <x:t xml:space="preserve">ПОЗ-0002-2</x:t>
        </x:is>
      </x:c>
      <x:c r="B5" s="31" t="inlineStr">
        <x:is>
          <x:t xml:space="preserve">ЗК-1002</x:t>
        </x:is>
      </x:c>
      <x:c r="C5" s="31" t="inlineStr">
        <x:is>
          <x:t xml:space="preserve">ИЗД-004</x:t>
        </x:is>
      </x:c>
      <x:c r="D5" s="31" t="inlineStr">
        <x:is>
          <x:t xml:space="preserve">Блок дозирования СТК-104</x:t>
        </x:is>
      </x:c>
      <x:c r="E5" s="31" t="n">
        <x:v>1</x:v>
      </x:c>
      <x:c r="F5" s="31" t="n">
        <x:v>1094490</x:v>
      </x:c>
      <x:c r="G5" s="31" t="n">
        <x:v>7</x:v>
      </x:c>
      <x:c r="H5" s="31" t="n">
        <x:v>1017876</x:v>
      </x:c>
      <x:c r="I5" s="31" t="n">
        <x:v>366771</x:v>
      </x:c>
      <x:c r="J5" s="31" t="n">
        <x:v>83491</x:v>
      </x:c>
      <x:c r="K5" s="31" t="n">
        <x:v>105757</x:v>
      </x:c>
      <x:c r="L5" s="31" t="n">
        <x:v>461857</x:v>
      </x:c>
      <x:c r="M5" s="31" t="n">
        <x:v>0.454</x:v>
      </x:c>
      <x:c r="N5" s="31" t="inlineStr">
        <x:is>
          <x:t xml:space="preserve">Стандарт</x:t>
        </x:is>
      </x:c>
      <x:c r="O5" s="31" t="n">
        <x:v>46205</x:v>
      </x:c>
      <x:c r="P5" s="31" t="inlineStr">
        <x:is>
          <x:t xml:space="preserve">Спецификация 1</x:t>
        </x:is>
      </x:c>
    </x:row>
    <x:row r="6" ht="18" customHeight="1">
      <x:c r="A6" s="31" t="inlineStr">
        <x:is>
          <x:t xml:space="preserve">ПОЗ-0003-1</x:t>
        </x:is>
      </x:c>
      <x:c r="B6" s="31" t="inlineStr">
        <x:is>
          <x:t xml:space="preserve">ЗК-1003</x:t>
        </x:is>
      </x:c>
      <x:c r="C6" s="31" t="inlineStr">
        <x:is>
          <x:t xml:space="preserve">ИЗД-041</x:t>
        </x:is>
      </x:c>
      <x:c r="D6" s="31" t="inlineStr">
        <x:is>
          <x:t xml:space="preserve">Рама-основание СТК-141</x:t>
        </x:is>
      </x:c>
      <x:c r="E6" s="31" t="n">
        <x:v>2</x:v>
      </x:c>
      <x:c r="F6" s="31" t="n">
        <x:v>271534</x:v>
      </x:c>
      <x:c r="G6" s="31" t="n">
        <x:v>0</x:v>
      </x:c>
      <x:c r="H6" s="31" t="n">
        <x:v>543068</x:v>
      </x:c>
      <x:c r="I6" s="31" t="n">
        <x:v>212647</x:v>
      </x:c>
      <x:c r="J6" s="31" t="n">
        <x:v>66444</x:v>
      </x:c>
      <x:c r="K6" s="31" t="n">
        <x:v>53473</x:v>
      </x:c>
      <x:c r="L6" s="31" t="n">
        <x:v>210504</x:v>
      </x:c>
      <x:c r="M6" s="31" t="n">
        <x:v>0.388</x:v>
      </x:c>
      <x:c r="N6" s="31" t="inlineStr">
        <x:is>
          <x:t xml:space="preserve">Нестандарт</x:t>
        </x:is>
      </x:c>
      <x:c r="O6" s="31" t="n">
        <x:v>46244</x:v>
      </x:c>
      <x:c r="P6" s="31" t="inlineStr">
        <x:is>
          <x:t xml:space="preserve">Спецификация 2</x:t>
        </x:is>
      </x:c>
    </x:row>
    <x:row r="7" ht="18" customHeight="1">
      <x:c r="A7" s="31" t="inlineStr">
        <x:is>
          <x:t xml:space="preserve">ПОЗ-0003-2</x:t>
        </x:is>
      </x:c>
      <x:c r="B7" s="31" t="inlineStr">
        <x:is>
          <x:t xml:space="preserve">ЗК-1003</x:t>
        </x:is>
      </x:c>
      <x:c r="C7" s="31" t="inlineStr">
        <x:is>
          <x:t xml:space="preserve">ИЗД-039</x:t>
        </x:is>
      </x:c>
      <x:c r="D7" s="31" t="inlineStr">
        <x:is>
          <x:t xml:space="preserve">Рама-основание СТК-139</x:t>
        </x:is>
      </x:c>
      <x:c r="E7" s="31" t="n">
        <x:v>4</x:v>
      </x:c>
      <x:c r="F7" s="31" t="n">
        <x:v>189393</x:v>
      </x:c>
      <x:c r="G7" s="31" t="n">
        <x:v>5</x:v>
      </x:c>
      <x:c r="H7" s="31" t="n">
        <x:v>719693</x:v>
      </x:c>
      <x:c r="I7" s="31" t="n">
        <x:v>328933</x:v>
      </x:c>
      <x:c r="J7" s="31" t="n">
        <x:v>108814</x:v>
      </x:c>
      <x:c r="K7" s="31" t="n">
        <x:v>40030</x:v>
      </x:c>
      <x:c r="L7" s="31" t="n">
        <x:v>241916</x:v>
      </x:c>
      <x:c r="M7" s="31" t="n">
        <x:v>0.336</x:v>
      </x:c>
      <x:c r="N7" s="31" t="inlineStr">
        <x:is>
          <x:t xml:space="preserve">Стандарт</x:t>
        </x:is>
      </x:c>
      <x:c r="O7" s="31" t="n">
        <x:v>46244</x:v>
      </x:c>
      <x:c r="P7" s="31" t="inlineStr">
        <x:is>
          <x:t xml:space="preserve">Спецификация 2</x:t>
        </x:is>
      </x:c>
    </x:row>
    <x:row r="8" ht="18" customHeight="1">
      <x:c r="A8" s="31" t="inlineStr">
        <x:is>
          <x:t xml:space="preserve">ПОЗ-0003-3</x:t>
        </x:is>
      </x:c>
      <x:c r="B8" s="31" t="inlineStr">
        <x:is>
          <x:t xml:space="preserve">ЗК-1003</x:t>
        </x:is>
      </x:c>
      <x:c r="C8" s="31" t="inlineStr">
        <x:is>
          <x:t xml:space="preserve">ИЗД-036</x:t>
        </x:is>
      </x:c>
      <x:c r="D8" s="31" t="inlineStr">
        <x:is>
          <x:t xml:space="preserve">Шкаф управления СТК-136</x:t>
        </x:is>
      </x:c>
      <x:c r="E8" s="31" t="n">
        <x:v>2</x:v>
      </x:c>
      <x:c r="F8" s="31" t="n">
        <x:v>757432</x:v>
      </x:c>
      <x:c r="G8" s="31" t="n">
        <x:v>3</x:v>
      </x:c>
      <x:c r="H8" s="31" t="n">
        <x:v>1469418</x:v>
      </x:c>
      <x:c r="I8" s="31" t="n">
        <x:v>664473</x:v>
      </x:c>
      <x:c r="J8" s="31" t="n">
        <x:v>188498</x:v>
      </x:c>
      <x:c r="K8" s="31" t="n">
        <x:v>75327</x:v>
      </x:c>
      <x:c r="L8" s="31" t="n">
        <x:v>541120</x:v>
      </x:c>
      <x:c r="M8" s="31" t="n">
        <x:v>0.368</x:v>
      </x:c>
      <x:c r="N8" s="31" t="inlineStr">
        <x:is>
          <x:t xml:space="preserve">Стандарт</x:t>
        </x:is>
      </x:c>
      <x:c r="O8" s="31" t="n">
        <x:v>46244</x:v>
      </x:c>
      <x:c r="P8" s="31" t="inlineStr">
        <x:is>
          <x:t xml:space="preserve">Спецификация 2</x:t>
        </x:is>
      </x:c>
    </x:row>
    <x:row r="9" ht="18" customHeight="1">
      <x:c r="A9" s="31" t="inlineStr">
        <x:is>
          <x:t xml:space="preserve">ПОЗ-0004-1</x:t>
        </x:is>
      </x:c>
      <x:c r="B9" s="31" t="inlineStr">
        <x:is>
          <x:t xml:space="preserve">ЗК-1004</x:t>
        </x:is>
      </x:c>
      <x:c r="C9" s="31" t="inlineStr">
        <x:is>
          <x:t xml:space="preserve">ИЗД-025</x:t>
        </x:is>
      </x:c>
      <x:c r="D9" s="31" t="inlineStr">
        <x:is>
          <x:t xml:space="preserve">Блок дозирования СТК-125</x:t>
        </x:is>
      </x:c>
      <x:c r="E9" s="31" t="n">
        <x:v>4</x:v>
      </x:c>
      <x:c r="F9" s="31" t="n">
        <x:v>1023934</x:v>
      </x:c>
      <x:c r="G9" s="31" t="n">
        <x:v>7</x:v>
      </x:c>
      <x:c r="H9" s="31" t="n">
        <x:v>3809034</x:v>
      </x:c>
      <x:c r="I9" s="31" t="n">
        <x:v>1907027</x:v>
      </x:c>
      <x:c r="J9" s="31" t="n">
        <x:v>487569</x:v>
      </x:c>
      <x:c r="K9" s="31" t="n">
        <x:v>200448</x:v>
      </x:c>
      <x:c r="L9" s="31" t="n">
        <x:v>1213990</x:v>
      </x:c>
      <x:c r="M9" s="31" t="n">
        <x:v>0.319</x:v>
      </x:c>
      <x:c r="N9" s="31" t="inlineStr">
        <x:is>
          <x:t xml:space="preserve">Стандарт</x:t>
        </x:is>
      </x:c>
      <x:c r="O9" s="31" t="n">
        <x:v>46158</x:v>
      </x:c>
      <x:c r="P9" s="31" t="inlineStr">
        <x:is>
          <x:t xml:space="preserve">Спецификация 1</x:t>
        </x:is>
      </x:c>
    </x:row>
    <x:row r="10" ht="18" customHeight="1">
      <x:c r="A10" s="31" t="inlineStr">
        <x:is>
          <x:t xml:space="preserve">ПОЗ-0005-1</x:t>
        </x:is>
      </x:c>
      <x:c r="B10" s="31" t="inlineStr">
        <x:is>
          <x:t xml:space="preserve">ЗК-1005</x:t>
        </x:is>
      </x:c>
      <x:c r="C10" s="31" t="inlineStr">
        <x:is>
          <x:t xml:space="preserve">ИЗД-016</x:t>
        </x:is>
      </x:c>
      <x:c r="D10" s="31" t="inlineStr">
        <x:is>
          <x:t xml:space="preserve">Насосная станция СТК-116</x:t>
        </x:is>
      </x:c>
      <x:c r="E10" s="31" t="n">
        <x:v>5</x:v>
      </x:c>
      <x:c r="F10" s="31" t="n">
        <x:v>1295293</x:v>
      </x:c>
      <x:c r="G10" s="31" t="n">
        <x:v>5</x:v>
      </x:c>
      <x:c r="H10" s="31" t="n">
        <x:v>6152642</x:v>
      </x:c>
      <x:c r="I10" s="31" t="n">
        <x:v>2419520</x:v>
      </x:c>
      <x:c r="J10" s="31" t="n">
        <x:v>887477</x:v>
      </x:c>
      <x:c r="K10" s="31" t="n">
        <x:v>345587</x:v>
      </x:c>
      <x:c r="L10" s="31" t="n">
        <x:v>2500058</x:v>
      </x:c>
      <x:c r="M10" s="31" t="n">
        <x:v>0.406</x:v>
      </x:c>
      <x:c r="N10" s="31" t="inlineStr">
        <x:is>
          <x:t xml:space="preserve">Стандарт</x:t>
        </x:is>
      </x:c>
      <x:c r="O10" s="31" t="n">
        <x:v>46118</x:v>
      </x:c>
      <x:c r="P10" s="31" t="inlineStr">
        <x:is>
          <x:t xml:space="preserve">Спецификация 4</x:t>
        </x:is>
      </x:c>
    </x:row>
    <x:row r="11" ht="18" customHeight="1">
      <x:c r="A11" s="31" t="inlineStr">
        <x:is>
          <x:t xml:space="preserve">ПОЗ-0005-2</x:t>
        </x:is>
      </x:c>
      <x:c r="B11" s="31" t="inlineStr">
        <x:is>
          <x:t xml:space="preserve">ЗК-1005</x:t>
        </x:is>
      </x:c>
      <x:c r="C11" s="31" t="inlineStr">
        <x:is>
          <x:t xml:space="preserve">ИЗД-004</x:t>
        </x:is>
      </x:c>
      <x:c r="D11" s="31" t="inlineStr">
        <x:is>
          <x:t xml:space="preserve">Блок дозирования СТК-104</x:t>
        </x:is>
      </x:c>
      <x:c r="E11" s="31" t="n">
        <x:v>2</x:v>
      </x:c>
      <x:c r="F11" s="31" t="n">
        <x:v>863820</x:v>
      </x:c>
      <x:c r="G11" s="31" t="n">
        <x:v>0</x:v>
      </x:c>
      <x:c r="H11" s="31" t="n">
        <x:v>1727640</x:v>
      </x:c>
      <x:c r="I11" s="31" t="n">
        <x:v>613761</x:v>
      </x:c>
      <x:c r="J11" s="31" t="n">
        <x:v>180857</x:v>
      </x:c>
      <x:c r="K11" s="31" t="n">
        <x:v>123006</x:v>
      </x:c>
      <x:c r="L11" s="31" t="n">
        <x:v>810016</x:v>
      </x:c>
      <x:c r="M11" s="31" t="n">
        <x:v>0.469</x:v>
      </x:c>
      <x:c r="N11" s="31" t="inlineStr">
        <x:is>
          <x:t xml:space="preserve">Стандарт</x:t>
        </x:is>
      </x:c>
      <x:c r="O11" s="31" t="n">
        <x:v>46118</x:v>
      </x:c>
      <x:c r="P11" s="31" t="inlineStr">
        <x:is>
          <x:t xml:space="preserve">Спецификация 4</x:t>
        </x:is>
      </x:c>
    </x:row>
    <x:row r="12" ht="18" customHeight="1">
      <x:c r="A12" s="31" t="inlineStr">
        <x:is>
          <x:t xml:space="preserve">ПОЗ-0006-1</x:t>
        </x:is>
      </x:c>
      <x:c r="B12" s="31" t="inlineStr">
        <x:is>
          <x:t xml:space="preserve">ЗК-1006</x:t>
        </x:is>
      </x:c>
      <x:c r="C12" s="31" t="inlineStr">
        <x:is>
          <x:t xml:space="preserve">ИЗД-034</x:t>
        </x:is>
      </x:c>
      <x:c r="D12" s="31" t="inlineStr">
        <x:is>
          <x:t xml:space="preserve">Компрессорный модуль СТК-134</x:t>
        </x:is>
      </x:c>
      <x:c r="E12" s="31" t="n">
        <x:v>4</x:v>
      </x:c>
      <x:c r="F12" s="31" t="n">
        <x:v>2996621</x:v>
      </x:c>
      <x:c r="G12" s="31" t="n">
        <x:v>5</x:v>
      </x:c>
      <x:c r="H12" s="31" t="n">
        <x:v>11387160</x:v>
      </x:c>
      <x:c r="I12" s="31" t="n">
        <x:v>4936923</x:v>
      </x:c>
      <x:c r="J12" s="31" t="n">
        <x:v>1634976</x:v>
      </x:c>
      <x:c r="K12" s="31" t="n">
        <x:v>807385</x:v>
      </x:c>
      <x:c r="L12" s="31" t="n">
        <x:v>4007876</x:v>
      </x:c>
      <x:c r="M12" s="31" t="n">
        <x:v>0.352</x:v>
      </x:c>
      <x:c r="N12" s="31" t="inlineStr">
        <x:is>
          <x:t xml:space="preserve">Стандарт</x:t>
        </x:is>
      </x:c>
      <x:c r="O12" s="31" t="n">
        <x:v>46090</x:v>
      </x:c>
      <x:c r="P12" s="31" t="inlineStr">
        <x:is>
          <x:t xml:space="preserve">Спецификация 4</x:t>
        </x:is>
      </x:c>
    </x:row>
    <x:row r="13" ht="18" customHeight="1">
      <x:c r="A13" s="31" t="inlineStr">
        <x:is>
          <x:t xml:space="preserve">ПОЗ-0006-2</x:t>
        </x:is>
      </x:c>
      <x:c r="B13" s="31" t="inlineStr">
        <x:is>
          <x:t xml:space="preserve">ЗК-1006</x:t>
        </x:is>
      </x:c>
      <x:c r="C13" s="31" t="inlineStr">
        <x:is>
          <x:t xml:space="preserve">ИЗД-022</x:t>
        </x:is>
      </x:c>
      <x:c r="D13" s="31" t="inlineStr">
        <x:is>
          <x:t xml:space="preserve">Блок дозирования СТК-122</x:t>
        </x:is>
      </x:c>
      <x:c r="E13" s="31" t="n">
        <x:v>3</x:v>
      </x:c>
      <x:c r="F13" s="31" t="n">
        <x:v>658524</x:v>
      </x:c>
      <x:c r="G13" s="31" t="n">
        <x:v>7</x:v>
      </x:c>
      <x:c r="H13" s="31" t="n">
        <x:v>1837282</x:v>
      </x:c>
      <x:c r="I13" s="31" t="n">
        <x:v>786651</x:v>
      </x:c>
      <x:c r="J13" s="31" t="n">
        <x:v>141238</x:v>
      </x:c>
      <x:c r="K13" s="31" t="n">
        <x:v>92104</x:v>
      </x:c>
      <x:c r="L13" s="31" t="n">
        <x:v>817289</x:v>
      </x:c>
      <x:c r="M13" s="31" t="n">
        <x:v>0.445</x:v>
      </x:c>
      <x:c r="N13" s="31" t="inlineStr">
        <x:is>
          <x:t xml:space="preserve">Замена материала</x:t>
        </x:is>
      </x:c>
      <x:c r="O13" s="31" t="n">
        <x:v>46090</x:v>
      </x:c>
      <x:c r="P13" s="31" t="inlineStr">
        <x:is>
          <x:t xml:space="preserve">Спецификация 2</x:t>
        </x:is>
      </x:c>
    </x:row>
    <x:row r="14" ht="18" customHeight="1">
      <x:c r="A14" s="31" t="inlineStr">
        <x:is>
          <x:t xml:space="preserve">ПОЗ-0006-3</x:t>
        </x:is>
      </x:c>
      <x:c r="B14" s="31" t="inlineStr">
        <x:is>
          <x:t xml:space="preserve">ЗК-1006</x:t>
        </x:is>
      </x:c>
      <x:c r="C14" s="31" t="inlineStr">
        <x:is>
          <x:t xml:space="preserve">ИЗД-039</x:t>
        </x:is>
      </x:c>
      <x:c r="D14" s="31" t="inlineStr">
        <x:is>
          <x:t xml:space="preserve">Рама-основание СТК-139</x:t>
        </x:is>
      </x:c>
      <x:c r="E14" s="31" t="n">
        <x:v>2</x:v>
      </x:c>
      <x:c r="F14" s="31" t="n">
        <x:v>193841</x:v>
      </x:c>
      <x:c r="G14" s="31" t="n">
        <x:v>3</x:v>
      </x:c>
      <x:c r="H14" s="31" t="n">
        <x:v>376052</x:v>
      </x:c>
      <x:c r="I14" s="31" t="n">
        <x:v>193838</x:v>
      </x:c>
      <x:c r="J14" s="31" t="n">
        <x:v>52910</x:v>
      </x:c>
      <x:c r="K14" s="31" t="n">
        <x:v>29598</x:v>
      </x:c>
      <x:c r="L14" s="31" t="n">
        <x:v>99706</x:v>
      </x:c>
      <x:c r="M14" s="31" t="n">
        <x:v>0.265</x:v>
      </x:c>
      <x:c r="N14" s="31" t="inlineStr">
        <x:is>
          <x:t xml:space="preserve">Стандарт</x:t>
        </x:is>
      </x:c>
      <x:c r="O14" s="31" t="n">
        <x:v>46090</x:v>
      </x:c>
      <x:c r="P14" s="31" t="inlineStr">
        <x:is>
          <x:t xml:space="preserve">Спецификация 4</x:t>
        </x:is>
      </x:c>
    </x:row>
    <x:row r="15" ht="18" customHeight="1">
      <x:c r="A15" s="31" t="inlineStr">
        <x:is>
          <x:t xml:space="preserve">ПОЗ-0006-4</x:t>
        </x:is>
      </x:c>
      <x:c r="B15" s="31" t="inlineStr">
        <x:is>
          <x:t xml:space="preserve">ЗК-1006</x:t>
        </x:is>
      </x:c>
      <x:c r="C15" s="31" t="inlineStr">
        <x:is>
          <x:t xml:space="preserve">ИЗД-012</x:t>
        </x:is>
      </x:c>
      <x:c r="D15" s="31" t="inlineStr">
        <x:is>
          <x:t xml:space="preserve">Трубная обвязка СТК-112</x:t>
        </x:is>
      </x:c>
      <x:c r="E15" s="31" t="n">
        <x:v>3</x:v>
      </x:c>
      <x:c r="F15" s="31" t="n">
        <x:v>480281</x:v>
      </x:c>
      <x:c r="G15" s="31" t="n">
        <x:v>0</x:v>
      </x:c>
      <x:c r="H15" s="31" t="n">
        <x:v>1440843</x:v>
      </x:c>
      <x:c r="I15" s="31" t="n">
        <x:v>509184</x:v>
      </x:c>
      <x:c r="J15" s="31" t="n">
        <x:v>200390</x:v>
      </x:c>
      <x:c r="K15" s="31" t="n">
        <x:v>102525</x:v>
      </x:c>
      <x:c r="L15" s="31" t="n">
        <x:v>628744</x:v>
      </x:c>
      <x:c r="M15" s="31" t="n">
        <x:v>0.436</x:v>
      </x:c>
      <x:c r="N15" s="31" t="inlineStr">
        <x:is>
          <x:t xml:space="preserve">Стандарт</x:t>
        </x:is>
      </x:c>
      <x:c r="O15" s="31" t="n">
        <x:v>46090</x:v>
      </x:c>
      <x:c r="P15" s="31" t="inlineStr">
        <x:is>
          <x:t xml:space="preserve">Спецификация 4</x:t>
        </x:is>
      </x:c>
    </x:row>
    <x:row r="16" ht="18" customHeight="1">
      <x:c r="A16" s="31" t="inlineStr">
        <x:is>
          <x:t xml:space="preserve">ПОЗ-0007-1</x:t>
        </x:is>
      </x:c>
      <x:c r="B16" s="31" t="inlineStr">
        <x:is>
          <x:t xml:space="preserve">ЗК-1007</x:t>
        </x:is>
      </x:c>
      <x:c r="C16" s="31" t="inlineStr">
        <x:is>
          <x:t xml:space="preserve">ИЗД-045</x:t>
        </x:is>
      </x:c>
      <x:c r="D16" s="31" t="inlineStr">
        <x:is>
          <x:t xml:space="preserve">Шкаф управления СТК-145</x:t>
        </x:is>
      </x:c>
      <x:c r="E16" s="31" t="n">
        <x:v>2</x:v>
      </x:c>
      <x:c r="F16" s="31" t="n">
        <x:v>725284</x:v>
      </x:c>
      <x:c r="G16" s="31" t="n">
        <x:v>0</x:v>
      </x:c>
      <x:c r="H16" s="31" t="n">
        <x:v>1450568</x:v>
      </x:c>
      <x:c r="I16" s="31" t="n">
        <x:v>703038</x:v>
      </x:c>
      <x:c r="J16" s="31" t="n">
        <x:v>148851</x:v>
      </x:c>
      <x:c r="K16" s="31" t="n">
        <x:v>113776</x:v>
      </x:c>
      <x:c r="L16" s="31" t="n">
        <x:v>484903</x:v>
      </x:c>
      <x:c r="M16" s="31" t="n">
        <x:v>0.334</x:v>
      </x:c>
      <x:c r="N16" s="31" t="inlineStr">
        <x:is>
          <x:t xml:space="preserve">Стандарт</x:t>
        </x:is>
      </x:c>
      <x:c r="O16" s="31" t="n">
        <x:v>46185</x:v>
      </x:c>
      <x:c r="P16" s="31" t="inlineStr">
        <x:is>
          <x:t xml:space="preserve">Спецификация 1</x:t>
        </x:is>
      </x:c>
    </x:row>
    <x:row r="17" ht="18" customHeight="1">
      <x:c r="A17" s="31" t="inlineStr">
        <x:is>
          <x:t xml:space="preserve">ПОЗ-0007-2</x:t>
        </x:is>
      </x:c>
      <x:c r="B17" s="31" t="inlineStr">
        <x:is>
          <x:t xml:space="preserve">ЗК-1007</x:t>
        </x:is>
      </x:c>
      <x:c r="C17" s="31" t="inlineStr">
        <x:is>
          <x:t xml:space="preserve">ИЗД-006</x:t>
        </x:is>
      </x:c>
      <x:c r="D17" s="31" t="inlineStr">
        <x:is>
          <x:t xml:space="preserve">Насосная станция СТК-106</x:t>
        </x:is>
      </x:c>
      <x:c r="E17" s="31" t="n">
        <x:v>1</x:v>
      </x:c>
      <x:c r="F17" s="31" t="n">
        <x:v>1287718</x:v>
      </x:c>
      <x:c r="G17" s="31" t="n">
        <x:v>3</x:v>
      </x:c>
      <x:c r="H17" s="31" t="n">
        <x:v>1249086</x:v>
      </x:c>
      <x:c r="I17" s="31" t="n">
        <x:v>605151</x:v>
      </x:c>
      <x:c r="J17" s="31" t="n">
        <x:v>174970</x:v>
      </x:c>
      <x:c r="K17" s="31" t="n">
        <x:v>72898</x:v>
      </x:c>
      <x:c r="L17" s="31" t="n">
        <x:v>396067</x:v>
      </x:c>
      <x:c r="M17" s="31" t="n">
        <x:v>0.317</x:v>
      </x:c>
      <x:c r="N17" s="31" t="inlineStr">
        <x:is>
          <x:t xml:space="preserve">Стандарт</x:t>
        </x:is>
      </x:c>
      <x:c r="O17" s="31" t="n">
        <x:v>46185</x:v>
      </x:c>
      <x:c r="P17" s="31" t="inlineStr">
        <x:is>
          <x:t xml:space="preserve">Спецификация 4</x:t>
        </x:is>
      </x:c>
    </x:row>
    <x:row r="18" ht="18" customHeight="1">
      <x:c r="A18" s="31" t="inlineStr">
        <x:is>
          <x:t xml:space="preserve">ПОЗ-0008-1</x:t>
        </x:is>
      </x:c>
      <x:c r="B18" s="31" t="inlineStr">
        <x:is>
          <x:t xml:space="preserve">ЗК-1008</x:t>
        </x:is>
      </x:c>
      <x:c r="C18" s="31" t="inlineStr">
        <x:is>
          <x:t xml:space="preserve">ИЗД-039</x:t>
        </x:is>
      </x:c>
      <x:c r="D18" s="31" t="inlineStr">
        <x:is>
          <x:t xml:space="preserve">Рама-основание СТК-139</x:t>
        </x:is>
      </x:c>
      <x:c r="E18" s="31" t="n">
        <x:v>3</x:v>
      </x:c>
      <x:c r="F18" s="31" t="n">
        <x:v>184850</x:v>
      </x:c>
      <x:c r="G18" s="31" t="n">
        <x:v>0</x:v>
      </x:c>
      <x:c r="H18" s="31" t="n">
        <x:v>554550</x:v>
      </x:c>
      <x:c r="I18" s="31" t="n">
        <x:v>220748</x:v>
      </x:c>
      <x:c r="J18" s="31" t="n">
        <x:v>80297</x:v>
      </x:c>
      <x:c r="K18" s="31" t="n">
        <x:v>41586</x:v>
      </x:c>
      <x:c r="L18" s="31" t="n">
        <x:v>211919</x:v>
      </x:c>
      <x:c r="M18" s="31" t="n">
        <x:v>0.382</x:v>
      </x:c>
      <x:c r="N18" s="31" t="inlineStr">
        <x:is>
          <x:t xml:space="preserve">Нестандарт</x:t>
        </x:is>
      </x:c>
      <x:c r="O18" s="31" t="n">
        <x:v>46128</x:v>
      </x:c>
      <x:c r="P18" s="31" t="inlineStr">
        <x:is>
          <x:t xml:space="preserve">Спецификация 4</x:t>
        </x:is>
      </x:c>
    </x:row>
    <x:row r="19" ht="18" customHeight="1">
      <x:c r="A19" s="31" t="inlineStr">
        <x:is>
          <x:t xml:space="preserve">ПОЗ-0008-2</x:t>
        </x:is>
      </x:c>
      <x:c r="B19" s="31" t="inlineStr">
        <x:is>
          <x:t xml:space="preserve">ЗК-1008</x:t>
        </x:is>
      </x:c>
      <x:c r="C19" s="31" t="inlineStr">
        <x:is>
          <x:t xml:space="preserve">ИЗД-011</x:t>
        </x:is>
      </x:c>
      <x:c r="D19" s="31" t="inlineStr">
        <x:is>
          <x:t xml:space="preserve">Шкаф управления СТК-111</x:t>
        </x:is>
      </x:c>
      <x:c r="E19" s="31" t="n">
        <x:v>2</x:v>
      </x:c>
      <x:c r="F19" s="31" t="n">
        <x:v>243448</x:v>
      </x:c>
      <x:c r="G19" s="31" t="n">
        <x:v>5</x:v>
      </x:c>
      <x:c r="H19" s="31" t="n">
        <x:v>462551</x:v>
      </x:c>
      <x:c r="I19" s="31" t="n">
        <x:v>203249</x:v>
      </x:c>
      <x:c r="J19" s="31" t="n">
        <x:v>49510</x:v>
      </x:c>
      <x:c r="K19" s="31" t="n">
        <x:v>32490</x:v>
      </x:c>
      <x:c r="L19" s="31" t="n">
        <x:v>177302</x:v>
      </x:c>
      <x:c r="M19" s="31" t="n">
        <x:v>0.383</x:v>
      </x:c>
      <x:c r="N19" s="31" t="inlineStr">
        <x:is>
          <x:t xml:space="preserve">Нестандарт</x:t>
        </x:is>
      </x:c>
      <x:c r="O19" s="31" t="n">
        <x:v>46128</x:v>
      </x:c>
      <x:c r="P19" s="31" t="inlineStr">
        <x:is>
          <x:t xml:space="preserve">Спецификация 1</x:t>
        </x:is>
      </x:c>
    </x:row>
    <x:row r="20" ht="18" customHeight="1">
      <x:c r="A20" s="31" t="inlineStr">
        <x:is>
          <x:t xml:space="preserve">ПОЗ-0008-3</x:t>
        </x:is>
      </x:c>
      <x:c r="B20" s="31" t="inlineStr">
        <x:is>
          <x:t xml:space="preserve">ЗК-1008</x:t>
        </x:is>
      </x:c>
      <x:c r="C20" s="31" t="inlineStr">
        <x:is>
          <x:t xml:space="preserve">ИЗД-002</x:t>
        </x:is>
      </x:c>
      <x:c r="D20" s="31" t="inlineStr">
        <x:is>
          <x:t xml:space="preserve">Шкаф управления СТК-102</x:t>
        </x:is>
      </x:c>
      <x:c r="E20" s="31" t="n">
        <x:v>3</x:v>
      </x:c>
      <x:c r="F20" s="31" t="n">
        <x:v>573242</x:v>
      </x:c>
      <x:c r="G20" s="31" t="n">
        <x:v>0</x:v>
      </x:c>
      <x:c r="H20" s="31" t="n">
        <x:v>1719726</x:v>
      </x:c>
      <x:c r="I20" s="31" t="n">
        <x:v>779976</x:v>
      </x:c>
      <x:c r="J20" s="31" t="n">
        <x:v>213892</x:v>
      </x:c>
      <x:c r="K20" s="31" t="n">
        <x:v>103897</x:v>
      </x:c>
      <x:c r="L20" s="31" t="n">
        <x:v>621961</x:v>
      </x:c>
      <x:c r="M20" s="31" t="n">
        <x:v>0.362</x:v>
      </x:c>
      <x:c r="N20" s="31" t="inlineStr">
        <x:is>
          <x:t xml:space="preserve">Стандарт</x:t>
        </x:is>
      </x:c>
      <x:c r="O20" s="31" t="n">
        <x:v>46128</x:v>
      </x:c>
      <x:c r="P20" s="31" t="inlineStr">
        <x:is>
          <x:t xml:space="preserve">Спецификация 4</x:t>
        </x:is>
      </x:c>
    </x:row>
    <x:row r="21" ht="18" customHeight="1">
      <x:c r="A21" s="31" t="inlineStr">
        <x:is>
          <x:t xml:space="preserve">ПОЗ-0008-4</x:t>
        </x:is>
      </x:c>
      <x:c r="B21" s="31" t="inlineStr">
        <x:is>
          <x:t xml:space="preserve">ЗК-1008</x:t>
        </x:is>
      </x:c>
      <x:c r="C21" s="31" t="inlineStr">
        <x:is>
          <x:t xml:space="preserve">ИЗД-010</x:t>
        </x:is>
      </x:c>
      <x:c r="D21" s="31" t="inlineStr">
        <x:is>
          <x:t xml:space="preserve">Шкаф управления СТК-110</x:t>
        </x:is>
      </x:c>
      <x:c r="E21" s="31" t="n">
        <x:v>4</x:v>
      </x:c>
      <x:c r="F21" s="31" t="n">
        <x:v>816857</x:v>
      </x:c>
      <x:c r="G21" s="31" t="n">
        <x:v>7</x:v>
      </x:c>
      <x:c r="H21" s="31" t="n">
        <x:v>3038708</x:v>
      </x:c>
      <x:c r="I21" s="31" t="n">
        <x:v>1255740</x:v>
      </x:c>
      <x:c r="J21" s="31" t="n">
        <x:v>439569</x:v>
      </x:c>
      <x:c r="K21" s="31" t="n">
        <x:v>319517</x:v>
      </x:c>
      <x:c r="L21" s="31" t="n">
        <x:v>1023882</x:v>
      </x:c>
      <x:c r="M21" s="31" t="n">
        <x:v>0.337</x:v>
      </x:c>
      <x:c r="N21" s="31" t="inlineStr">
        <x:is>
          <x:t xml:space="preserve">Стандарт</x:t>
        </x:is>
      </x:c>
      <x:c r="O21" s="31" t="n">
        <x:v>46128</x:v>
      </x:c>
      <x:c r="P21" s="31" t="inlineStr">
        <x:is>
          <x:t xml:space="preserve">Спецификация 2</x:t>
        </x:is>
      </x:c>
    </x:row>
    <x:row r="22" ht="18" customHeight="1">
      <x:c r="A22" s="31" t="inlineStr">
        <x:is>
          <x:t xml:space="preserve">ПОЗ-0009-1</x:t>
        </x:is>
      </x:c>
      <x:c r="B22" s="31" t="inlineStr">
        <x:is>
          <x:t xml:space="preserve">ЗК-1009</x:t>
        </x:is>
      </x:c>
      <x:c r="C22" s="31" t="inlineStr">
        <x:is>
          <x:t xml:space="preserve">ИЗД-031</x:t>
        </x:is>
      </x:c>
      <x:c r="D22" s="31" t="inlineStr">
        <x:is>
          <x:t xml:space="preserve">Насосная станция СТК-131</x:t>
        </x:is>
      </x:c>
      <x:c r="E22" s="31" t="n">
        <x:v>4</x:v>
      </x:c>
      <x:c r="F22" s="31" t="n">
        <x:v>943775</x:v>
      </x:c>
      <x:c r="G22" s="31" t="n">
        <x:v>7</x:v>
      </x:c>
      <x:c r="H22" s="31" t="n">
        <x:v>3510843</x:v>
      </x:c>
      <x:c r="I22" s="31" t="n">
        <x:v>1545470</x:v>
      </x:c>
      <x:c r="J22" s="31" t="n">
        <x:v>307289</x:v>
      </x:c>
      <x:c r="K22" s="31" t="n">
        <x:v>198377</x:v>
      </x:c>
      <x:c r="L22" s="31" t="n">
        <x:v>1459707</x:v>
      </x:c>
      <x:c r="M22" s="31" t="n">
        <x:v>0.416</x:v>
      </x:c>
      <x:c r="N22" s="31" t="inlineStr">
        <x:is>
          <x:t xml:space="preserve">Стандарт</x:t>
        </x:is>
      </x:c>
      <x:c r="O22" s="31" t="n">
        <x:v>46205</x:v>
      </x:c>
      <x:c r="P22" s="31" t="inlineStr">
        <x:is>
          <x:t xml:space="preserve">Спецификация 3</x:t>
        </x:is>
      </x:c>
    </x:row>
    <x:row r="23" ht="18" customHeight="1">
      <x:c r="A23" s="31" t="inlineStr">
        <x:is>
          <x:t xml:space="preserve">ПОЗ-0009-2</x:t>
        </x:is>
      </x:c>
      <x:c r="B23" s="31" t="inlineStr">
        <x:is>
          <x:t xml:space="preserve">ЗК-1009</x:t>
        </x:is>
      </x:c>
      <x:c r="C23" s="31" t="inlineStr">
        <x:is>
          <x:t xml:space="preserve">ИЗД-021</x:t>
        </x:is>
      </x:c>
      <x:c r="D23" s="31" t="inlineStr">
        <x:is>
          <x:t xml:space="preserve">Блок дозирования СТК-121</x:t>
        </x:is>
      </x:c>
      <x:c r="E23" s="31" t="n">
        <x:v>1</x:v>
      </x:c>
      <x:c r="F23" s="31" t="n">
        <x:v>586686</x:v>
      </x:c>
      <x:c r="G23" s="31" t="n">
        <x:v>0</x:v>
      </x:c>
      <x:c r="H23" s="31" t="n">
        <x:v>586686</x:v>
      </x:c>
      <x:c r="I23" s="31" t="n">
        <x:v>205596</x:v>
      </x:c>
      <x:c r="J23" s="31" t="n">
        <x:v>52257</x:v>
      </x:c>
      <x:c r="K23" s="31" t="n">
        <x:v>29721</x:v>
      </x:c>
      <x:c r="L23" s="31" t="n">
        <x:v>299112</x:v>
      </x:c>
      <x:c r="M23" s="31" t="n">
        <x:v>0.51</x:v>
      </x:c>
      <x:c r="N23" s="31" t="inlineStr">
        <x:is>
          <x:t xml:space="preserve">Замена материала</x:t>
        </x:is>
      </x:c>
      <x:c r="O23" s="31" t="n">
        <x:v>46205</x:v>
      </x:c>
      <x:c r="P23" s="31" t="inlineStr">
        <x:is>
          <x:t xml:space="preserve">Спецификация 2</x:t>
        </x:is>
      </x:c>
    </x:row>
    <x:row r="24" ht="18" customHeight="1">
      <x:c r="A24" s="31" t="inlineStr">
        <x:is>
          <x:t xml:space="preserve">ПОЗ-0009-3</x:t>
        </x:is>
      </x:c>
      <x:c r="B24" s="31" t="inlineStr">
        <x:is>
          <x:t xml:space="preserve">ЗК-1009</x:t>
        </x:is>
      </x:c>
      <x:c r="C24" s="31" t="inlineStr">
        <x:is>
          <x:t xml:space="preserve">ИЗД-042</x:t>
        </x:is>
      </x:c>
      <x:c r="D24" s="31" t="inlineStr">
        <x:is>
          <x:t xml:space="preserve">Шкаф управления СТК-142</x:t>
        </x:is>
      </x:c>
      <x:c r="E24" s="31" t="n">
        <x:v>5</x:v>
      </x:c>
      <x:c r="F24" s="31" t="n">
        <x:v>657338</x:v>
      </x:c>
      <x:c r="G24" s="31" t="n">
        <x:v>10</x:v>
      </x:c>
      <x:c r="H24" s="31" t="n">
        <x:v>2958021</x:v>
      </x:c>
      <x:c r="I24" s="31" t="n">
        <x:v>1110062</x:v>
      </x:c>
      <x:c r="J24" s="31" t="n">
        <x:v>229701</x:v>
      </x:c>
      <x:c r="K24" s="31" t="n">
        <x:v>249087</x:v>
      </x:c>
      <x:c r="L24" s="31" t="n">
        <x:v>1369171</x:v>
      </x:c>
      <x:c r="M24" s="31" t="n">
        <x:v>0.463</x:v>
      </x:c>
      <x:c r="N24" s="31" t="inlineStr">
        <x:is>
          <x:t xml:space="preserve">Стандарт</x:t>
        </x:is>
      </x:c>
      <x:c r="O24" s="31" t="n">
        <x:v>46205</x:v>
      </x:c>
      <x:c r="P24" s="31" t="inlineStr">
        <x:is>
          <x:t xml:space="preserve">Спецификация 4</x:t>
        </x:is>
      </x:c>
    </x:row>
    <x:row r="25" ht="18" customHeight="1">
      <x:c r="A25" s="31" t="inlineStr">
        <x:is>
          <x:t xml:space="preserve">ПОЗ-0009-4</x:t>
        </x:is>
      </x:c>
      <x:c r="B25" s="31" t="inlineStr">
        <x:is>
          <x:t xml:space="preserve">ЗК-1009</x:t>
        </x:is>
      </x:c>
      <x:c r="C25" s="31" t="inlineStr">
        <x:is>
          <x:t xml:space="preserve">ИЗД-026</x:t>
        </x:is>
      </x:c>
      <x:c r="D25" s="31" t="inlineStr">
        <x:is>
          <x:t xml:space="preserve">Шкаф управления СТК-126</x:t>
        </x:is>
      </x:c>
      <x:c r="E25" s="31" t="n">
        <x:v>1</x:v>
      </x:c>
      <x:c r="F25" s="31" t="n">
        <x:v>437288</x:v>
      </x:c>
      <x:c r="G25" s="31" t="n">
        <x:v>0</x:v>
      </x:c>
      <x:c r="H25" s="31" t="n">
        <x:v>437288</x:v>
      </x:c>
      <x:c r="I25" s="31" t="n">
        <x:v>200945</x:v>
      </x:c>
      <x:c r="J25" s="31" t="n">
        <x:v>69200</x:v>
      </x:c>
      <x:c r="K25" s="31" t="n">
        <x:v>41586</x:v>
      </x:c>
      <x:c r="L25" s="31" t="n">
        <x:v>125557</x:v>
      </x:c>
      <x:c r="M25" s="31" t="n">
        <x:v>0.287</x:v>
      </x:c>
      <x:c r="N25" s="31" t="inlineStr">
        <x:is>
          <x:t xml:space="preserve">Замена материала</x:t>
        </x:is>
      </x:c>
      <x:c r="O25" s="31" t="n">
        <x:v>46205</x:v>
      </x:c>
      <x:c r="P25" s="31" t="inlineStr">
        <x:is>
          <x:t xml:space="preserve">Спецификация 2</x:t>
        </x:is>
      </x:c>
    </x:row>
    <x:row r="26" ht="18" customHeight="1">
      <x:c r="A26" s="31" t="inlineStr">
        <x:is>
          <x:t xml:space="preserve">ПОЗ-0010-1</x:t>
        </x:is>
      </x:c>
      <x:c r="B26" s="31" t="inlineStr">
        <x:is>
          <x:t xml:space="preserve">ЗК-1010</x:t>
        </x:is>
      </x:c>
      <x:c r="C26" s="31" t="inlineStr">
        <x:is>
          <x:t xml:space="preserve">ИЗД-019</x:t>
        </x:is>
      </x:c>
      <x:c r="D26" s="31" t="inlineStr">
        <x:is>
          <x:t xml:space="preserve">Насосная станция СТК-119</x:t>
        </x:is>
      </x:c>
      <x:c r="E26" s="31" t="n">
        <x:v>2</x:v>
      </x:c>
      <x:c r="F26" s="31" t="n">
        <x:v>1143229</x:v>
      </x:c>
      <x:c r="G26" s="31" t="n">
        <x:v>3</x:v>
      </x:c>
      <x:c r="H26" s="31" t="n">
        <x:v>2217864</x:v>
      </x:c>
      <x:c r="I26" s="31" t="n">
        <x:v>986111</x:v>
      </x:c>
      <x:c r="J26" s="31" t="n">
        <x:v>173872</x:v>
      </x:c>
      <x:c r="K26" s="31" t="n">
        <x:v>206500</x:v>
      </x:c>
      <x:c r="L26" s="31" t="n">
        <x:v>851381</x:v>
      </x:c>
      <x:c r="M26" s="31" t="n">
        <x:v>0.384</x:v>
      </x:c>
      <x:c r="N26" s="31" t="inlineStr">
        <x:is>
          <x:t xml:space="preserve">Нестандарт</x:t>
        </x:is>
      </x:c>
      <x:c r="O26" s="31" t="n">
        <x:v>46145</x:v>
      </x:c>
      <x:c r="P26" s="31" t="inlineStr">
        <x:is>
          <x:t xml:space="preserve">Спецификация 2</x:t>
        </x:is>
      </x:c>
    </x:row>
    <x:row r="27" ht="18" customHeight="1">
      <x:c r="A27" s="31" t="inlineStr">
        <x:is>
          <x:t xml:space="preserve">ПОЗ-0011-1</x:t>
        </x:is>
      </x:c>
      <x:c r="B27" s="31" t="inlineStr">
        <x:is>
          <x:t xml:space="preserve">ЗК-1011</x:t>
        </x:is>
      </x:c>
      <x:c r="C27" s="31" t="inlineStr">
        <x:is>
          <x:t xml:space="preserve">ИЗД-014</x:t>
        </x:is>
      </x:c>
      <x:c r="D27" s="31" t="inlineStr">
        <x:is>
          <x:t xml:space="preserve">Рама-основание СТК-114</x:t>
        </x:is>
      </x:c>
      <x:c r="E27" s="31" t="n">
        <x:v>5</x:v>
      </x:c>
      <x:c r="F27" s="31" t="n">
        <x:v>95097</x:v>
      </x:c>
      <x:c r="G27" s="31" t="n">
        <x:v>0</x:v>
      </x:c>
      <x:c r="H27" s="31" t="n">
        <x:v>475485</x:v>
      </x:c>
      <x:c r="I27" s="31" t="n">
        <x:v>231121</x:v>
      </x:c>
      <x:c r="J27" s="31" t="n">
        <x:v>54575</x:v>
      </x:c>
      <x:c r="K27" s="31" t="n">
        <x:v>46732</x:v>
      </x:c>
      <x:c r="L27" s="31" t="n">
        <x:v>143057</x:v>
      </x:c>
      <x:c r="M27" s="31" t="n">
        <x:v>0.301</x:v>
      </x:c>
      <x:c r="N27" s="31" t="inlineStr">
        <x:is>
          <x:t xml:space="preserve">Стандарт</x:t>
        </x:is>
      </x:c>
      <x:c r="O27" s="31" t="n">
        <x:v>46156</x:v>
      </x:c>
      <x:c r="P27" s="31" t="inlineStr">
        <x:is>
          <x:t xml:space="preserve">Спецификация 3</x:t>
        </x:is>
      </x:c>
    </x:row>
    <x:row r="28" ht="18" customHeight="1">
      <x:c r="A28" s="31" t="inlineStr">
        <x:is>
          <x:t xml:space="preserve">ПОЗ-0011-2</x:t>
        </x:is>
      </x:c>
      <x:c r="B28" s="31" t="inlineStr">
        <x:is>
          <x:t xml:space="preserve">ЗК-1011</x:t>
        </x:is>
      </x:c>
      <x:c r="C28" s="31" t="inlineStr">
        <x:is>
          <x:t xml:space="preserve">ИЗД-040</x:t>
        </x:is>
      </x:c>
      <x:c r="D28" s="31" t="inlineStr">
        <x:is>
          <x:t xml:space="preserve">Блок дозирования СТК-140</x:t>
        </x:is>
      </x:c>
      <x:c r="E28" s="31" t="n">
        <x:v>5</x:v>
      </x:c>
      <x:c r="F28" s="31" t="n">
        <x:v>990485</x:v>
      </x:c>
      <x:c r="G28" s="31" t="n">
        <x:v>5</x:v>
      </x:c>
      <x:c r="H28" s="31" t="n">
        <x:v>4704804</x:v>
      </x:c>
      <x:c r="I28" s="31" t="n">
        <x:v>2524953</x:v>
      </x:c>
      <x:c r="J28" s="31" t="n">
        <x:v>540592</x:v>
      </x:c>
      <x:c r="K28" s="31" t="n">
        <x:v>363627</x:v>
      </x:c>
      <x:c r="L28" s="31" t="n">
        <x:v>1275632</x:v>
      </x:c>
      <x:c r="M28" s="31" t="n">
        <x:v>0.271</x:v>
      </x:c>
      <x:c r="N28" s="31" t="inlineStr">
        <x:is>
          <x:t xml:space="preserve">Стандарт</x:t>
        </x:is>
      </x:c>
      <x:c r="O28" s="31" t="n">
        <x:v>46156</x:v>
      </x:c>
      <x:c r="P28" s="31" t="inlineStr">
        <x:is>
          <x:t xml:space="preserve">Спецификация 3</x:t>
        </x:is>
      </x:c>
    </x:row>
    <x:row r="29" ht="18" customHeight="1">
      <x:c r="A29" s="31" t="inlineStr">
        <x:is>
          <x:t xml:space="preserve">ПОЗ-0012-1</x:t>
        </x:is>
      </x:c>
      <x:c r="B29" s="31" t="inlineStr">
        <x:is>
          <x:t xml:space="preserve">ЗК-1012</x:t>
        </x:is>
      </x:c>
      <x:c r="C29" s="31" t="inlineStr">
        <x:is>
          <x:t xml:space="preserve">ИЗД-003</x:t>
        </x:is>
      </x:c>
      <x:c r="D29" s="31" t="inlineStr">
        <x:is>
          <x:t xml:space="preserve">Насосная станция СТК-103</x:t>
        </x:is>
      </x:c>
      <x:c r="E29" s="31" t="n">
        <x:v>4</x:v>
      </x:c>
      <x:c r="F29" s="31" t="n">
        <x:v>2775808</x:v>
      </x:c>
      <x:c r="G29" s="31" t="n">
        <x:v>7</x:v>
      </x:c>
      <x:c r="H29" s="31" t="n">
        <x:v>10326006</x:v>
      </x:c>
      <x:c r="I29" s="31" t="n">
        <x:v>4189947</x:v>
      </x:c>
      <x:c r="J29" s="31" t="n">
        <x:v>1063640</x:v>
      </x:c>
      <x:c r="K29" s="31" t="n">
        <x:v>1039727</x:v>
      </x:c>
      <x:c r="L29" s="31" t="n">
        <x:v>4032692</x:v>
      </x:c>
      <x:c r="M29" s="31" t="n">
        <x:v>0.391</x:v>
      </x:c>
      <x:c r="N29" s="31" t="inlineStr">
        <x:is>
          <x:t xml:space="preserve">Замена материала</x:t>
        </x:is>
      </x:c>
      <x:c r="O29" s="31" t="n">
        <x:v>46101</x:v>
      </x:c>
      <x:c r="P29" s="31" t="inlineStr">
        <x:is>
          <x:t xml:space="preserve">Спецификация 3</x:t>
        </x:is>
      </x:c>
    </x:row>
    <x:row r="30" ht="18" customHeight="1">
      <x:c r="A30" s="31" t="inlineStr">
        <x:is>
          <x:t xml:space="preserve">ПОЗ-0012-2</x:t>
        </x:is>
      </x:c>
      <x:c r="B30" s="31" t="inlineStr">
        <x:is>
          <x:t xml:space="preserve">ЗК-1012</x:t>
        </x:is>
      </x:c>
      <x:c r="C30" s="31" t="inlineStr">
        <x:is>
          <x:t xml:space="preserve">ИЗД-024</x:t>
        </x:is>
      </x:c>
      <x:c r="D30" s="31" t="inlineStr">
        <x:is>
          <x:t xml:space="preserve">Блок дозирования СТК-124</x:t>
        </x:is>
      </x:c>
      <x:c r="E30" s="31" t="n">
        <x:v>1</x:v>
      </x:c>
      <x:c r="F30" s="31" t="n">
        <x:v>1449230</x:v>
      </x:c>
      <x:c r="G30" s="31" t="n">
        <x:v>3</x:v>
      </x:c>
      <x:c r="H30" s="31" t="n">
        <x:v>1405753</x:v>
      </x:c>
      <x:c r="I30" s="31" t="n">
        <x:v>626444</x:v>
      </x:c>
      <x:c r="J30" s="31" t="n">
        <x:v>209174</x:v>
      </x:c>
      <x:c r="K30" s="31" t="n">
        <x:v>127858</x:v>
      </x:c>
      <x:c r="L30" s="31" t="n">
        <x:v>442277</x:v>
      </x:c>
      <x:c r="M30" s="31" t="n">
        <x:v>0.315</x:v>
      </x:c>
      <x:c r="N30" s="31" t="inlineStr">
        <x:is>
          <x:t xml:space="preserve">Стандарт</x:t>
        </x:is>
      </x:c>
      <x:c r="O30" s="31" t="n">
        <x:v>46101</x:v>
      </x:c>
      <x:c r="P30" s="31" t="inlineStr">
        <x:is>
          <x:t xml:space="preserve">Спецификация 1</x:t>
        </x:is>
      </x:c>
    </x:row>
    <x:row r="31" ht="18" customHeight="1">
      <x:c r="A31" s="31" t="inlineStr">
        <x:is>
          <x:t xml:space="preserve">ПОЗ-0012-3</x:t>
        </x:is>
      </x:c>
      <x:c r="B31" s="31" t="inlineStr">
        <x:is>
          <x:t xml:space="preserve">ЗК-1012</x:t>
        </x:is>
      </x:c>
      <x:c r="C31" s="31" t="inlineStr">
        <x:is>
          <x:t xml:space="preserve">ИЗД-019</x:t>
        </x:is>
      </x:c>
      <x:c r="D31" s="31" t="inlineStr">
        <x:is>
          <x:t xml:space="preserve">Насосная станция СТК-119</x:t>
        </x:is>
      </x:c>
      <x:c r="E31" s="31" t="n">
        <x:v>2</x:v>
      </x:c>
      <x:c r="F31" s="31" t="n">
        <x:v>1313074</x:v>
      </x:c>
      <x:c r="G31" s="31" t="n">
        <x:v>3</x:v>
      </x:c>
      <x:c r="H31" s="31" t="n">
        <x:v>2547364</x:v>
      </x:c>
      <x:c r="I31" s="31" t="n">
        <x:v>880048</x:v>
      </x:c>
      <x:c r="J31" s="31" t="n">
        <x:v>202456</x:v>
      </x:c>
      <x:c r="K31" s="31" t="n">
        <x:v>184809</x:v>
      </x:c>
      <x:c r="L31" s="31" t="n">
        <x:v>1280051</x:v>
      </x:c>
      <x:c r="M31" s="31" t="n">
        <x:v>0.503</x:v>
      </x:c>
      <x:c r="N31" s="31" t="inlineStr">
        <x:is>
          <x:t xml:space="preserve">Стандарт</x:t>
        </x:is>
      </x:c>
      <x:c r="O31" s="31" t="n">
        <x:v>46101</x:v>
      </x:c>
      <x:c r="P31" s="31" t="inlineStr">
        <x:is>
          <x:t xml:space="preserve">Спецификация 1</x:t>
        </x:is>
      </x:c>
    </x:row>
    <x:row r="32" ht="18" customHeight="1">
      <x:c r="A32" s="31" t="inlineStr">
        <x:is>
          <x:t xml:space="preserve">ПОЗ-0012-4</x:t>
        </x:is>
      </x:c>
      <x:c r="B32" s="31" t="inlineStr">
        <x:is>
          <x:t xml:space="preserve">ЗК-1012</x:t>
        </x:is>
      </x:c>
      <x:c r="C32" s="31" t="inlineStr">
        <x:is>
          <x:t xml:space="preserve">ИЗД-026</x:t>
        </x:is>
      </x:c>
      <x:c r="D32" s="31" t="inlineStr">
        <x:is>
          <x:t xml:space="preserve">Шкаф управления СТК-126</x:t>
        </x:is>
      </x:c>
      <x:c r="E32" s="31" t="n">
        <x:v>2</x:v>
      </x:c>
      <x:c r="F32" s="31" t="n">
        <x:v>478764</x:v>
      </x:c>
      <x:c r="G32" s="31" t="n">
        <x:v>3</x:v>
      </x:c>
      <x:c r="H32" s="31" t="n">
        <x:v>928802</x:v>
      </x:c>
      <x:c r="I32" s="31" t="n">
        <x:v>392804</x:v>
      </x:c>
      <x:c r="J32" s="31" t="n">
        <x:v>103960</x:v>
      </x:c>
      <x:c r="K32" s="31" t="n">
        <x:v>82245</x:v>
      </x:c>
      <x:c r="L32" s="31" t="n">
        <x:v>349793</x:v>
      </x:c>
      <x:c r="M32" s="31" t="n">
        <x:v>0.377</x:v>
      </x:c>
      <x:c r="N32" s="31" t="inlineStr">
        <x:is>
          <x:t xml:space="preserve">Замена материала</x:t>
        </x:is>
      </x:c>
      <x:c r="O32" s="31" t="n">
        <x:v>46101</x:v>
      </x:c>
      <x:c r="P32" s="31" t="inlineStr">
        <x:is>
          <x:t xml:space="preserve">Спецификация 4</x:t>
        </x:is>
      </x:c>
    </x:row>
    <x:row r="33" ht="18" customHeight="1">
      <x:c r="A33" s="31" t="inlineStr">
        <x:is>
          <x:t xml:space="preserve">ПОЗ-0013-1</x:t>
        </x:is>
      </x:c>
      <x:c r="B33" s="31" t="inlineStr">
        <x:is>
          <x:t xml:space="preserve">ЗК-1013</x:t>
        </x:is>
      </x:c>
      <x:c r="C33" s="31" t="inlineStr">
        <x:is>
          <x:t xml:space="preserve">ИЗД-018</x:t>
        </x:is>
      </x:c>
      <x:c r="D33" s="31" t="inlineStr">
        <x:is>
          <x:t xml:space="preserve">Шкаф управления СТК-118</x:t>
        </x:is>
      </x:c>
      <x:c r="E33" s="31" t="n">
        <x:v>4</x:v>
      </x:c>
      <x:c r="F33" s="31" t="n">
        <x:v>324626</x:v>
      </x:c>
      <x:c r="G33" s="31" t="n">
        <x:v>0</x:v>
      </x:c>
      <x:c r="H33" s="31" t="n">
        <x:v>1298504</x:v>
      </x:c>
      <x:c r="I33" s="31" t="n">
        <x:v>640902</x:v>
      </x:c>
      <x:c r="J33" s="31" t="n">
        <x:v>165714</x:v>
      </x:c>
      <x:c r="K33" s="31" t="n">
        <x:v>89871</x:v>
      </x:c>
      <x:c r="L33" s="31" t="n">
        <x:v>402017</x:v>
      </x:c>
      <x:c r="M33" s="31" t="n">
        <x:v>0.31</x:v>
      </x:c>
      <x:c r="N33" s="31" t="inlineStr">
        <x:is>
          <x:t xml:space="preserve">Стандарт</x:t>
        </x:is>
      </x:c>
      <x:c r="O33" s="31" t="n">
        <x:v>46126</x:v>
      </x:c>
      <x:c r="P33" s="31" t="inlineStr">
        <x:is>
          <x:t xml:space="preserve">Спецификация 4</x:t>
        </x:is>
      </x:c>
    </x:row>
    <x:row r="34" ht="18" customHeight="1">
      <x:c r="A34" s="31" t="inlineStr">
        <x:is>
          <x:t xml:space="preserve">ПОЗ-0014-1</x:t>
        </x:is>
      </x:c>
      <x:c r="B34" s="31" t="inlineStr">
        <x:is>
          <x:t xml:space="preserve">ЗК-1014</x:t>
        </x:is>
      </x:c>
      <x:c r="C34" s="31" t="inlineStr">
        <x:is>
          <x:t xml:space="preserve">ИЗД-020</x:t>
        </x:is>
      </x:c>
      <x:c r="D34" s="31" t="inlineStr">
        <x:is>
          <x:t xml:space="preserve">Трубная обвязка СТК-120</x:t>
        </x:is>
      </x:c>
      <x:c r="E34" s="31" t="n">
        <x:v>4</x:v>
      </x:c>
      <x:c r="F34" s="31" t="n">
        <x:v>356250</x:v>
      </x:c>
      <x:c r="G34" s="31" t="n">
        <x:v>3</x:v>
      </x:c>
      <x:c r="H34" s="31" t="n">
        <x:v>1382250</x:v>
      </x:c>
      <x:c r="I34" s="31" t="n">
        <x:v>729847</x:v>
      </x:c>
      <x:c r="J34" s="31" t="n">
        <x:v>129033</x:v>
      </x:c>
      <x:c r="K34" s="31" t="n">
        <x:v>137994</x:v>
      </x:c>
      <x:c r="L34" s="31" t="n">
        <x:v>385376</x:v>
      </x:c>
      <x:c r="M34" s="31" t="n">
        <x:v>0.279</x:v>
      </x:c>
      <x:c r="N34" s="31" t="inlineStr">
        <x:is>
          <x:t xml:space="preserve">Стандарт</x:t>
        </x:is>
      </x:c>
      <x:c r="O34" s="31" t="n">
        <x:v>46091</x:v>
      </x:c>
      <x:c r="P34" s="31" t="inlineStr">
        <x:is>
          <x:t xml:space="preserve">Спецификация 4</x:t>
        </x:is>
      </x:c>
    </x:row>
    <x:row r="35" ht="18" customHeight="1">
      <x:c r="A35" s="31" t="inlineStr">
        <x:is>
          <x:t xml:space="preserve">ПОЗ-0015-1</x:t>
        </x:is>
      </x:c>
      <x:c r="B35" s="31" t="inlineStr">
        <x:is>
          <x:t xml:space="preserve">ЗК-1015</x:t>
        </x:is>
      </x:c>
      <x:c r="C35" s="31" t="inlineStr">
        <x:is>
          <x:t xml:space="preserve">ИЗД-043</x:t>
        </x:is>
      </x:c>
      <x:c r="D35" s="31" t="inlineStr">
        <x:is>
          <x:t xml:space="preserve">Насосная станция СТК-143</x:t>
        </x:is>
      </x:c>
      <x:c r="E35" s="31" t="n">
        <x:v>5</x:v>
      </x:c>
      <x:c r="F35" s="31" t="n">
        <x:v>926421</x:v>
      </x:c>
      <x:c r="G35" s="31" t="n">
        <x:v>0</x:v>
      </x:c>
      <x:c r="H35" s="31" t="n">
        <x:v>4632105</x:v>
      </x:c>
      <x:c r="I35" s="31" t="n">
        <x:v>2482978</x:v>
      </x:c>
      <x:c r="J35" s="31" t="n">
        <x:v>715694</x:v>
      </x:c>
      <x:c r="K35" s="31" t="n">
        <x:v>438059</x:v>
      </x:c>
      <x:c r="L35" s="31" t="n">
        <x:v>995374</x:v>
      </x:c>
      <x:c r="M35" s="31" t="n">
        <x:v>0.215</x:v>
      </x:c>
      <x:c r="N35" s="31" t="inlineStr">
        <x:is>
          <x:t xml:space="preserve">Нестандарт</x:t>
        </x:is>
      </x:c>
      <x:c r="O35" s="31" t="n">
        <x:v>46189</x:v>
      </x:c>
      <x:c r="P35" s="31" t="inlineStr">
        <x:is>
          <x:t xml:space="preserve">Спецификация 3</x:t>
        </x:is>
      </x:c>
    </x:row>
    <x:row r="36" ht="18" customHeight="1">
      <x:c r="A36" s="31" t="inlineStr">
        <x:is>
          <x:t xml:space="preserve">ПОЗ-0016-1</x:t>
        </x:is>
      </x:c>
      <x:c r="B36" s="31" t="inlineStr">
        <x:is>
          <x:t xml:space="preserve">ЗК-1016</x:t>
        </x:is>
      </x:c>
      <x:c r="C36" s="31" t="inlineStr">
        <x:is>
          <x:t xml:space="preserve">ИЗД-003</x:t>
        </x:is>
      </x:c>
      <x:c r="D36" s="31" t="inlineStr">
        <x:is>
          <x:t xml:space="preserve">Насосная станция СТК-103</x:t>
        </x:is>
      </x:c>
      <x:c r="E36" s="31" t="n">
        <x:v>2</x:v>
      </x:c>
      <x:c r="F36" s="31" t="n">
        <x:v>2705525</x:v>
      </x:c>
      <x:c r="G36" s="31" t="n">
        <x:v>0</x:v>
      </x:c>
      <x:c r="H36" s="31" t="n">
        <x:v>5411050</x:v>
      </x:c>
      <x:c r="I36" s="31" t="n">
        <x:v>2689983</x:v>
      </x:c>
      <x:c r="J36" s="31" t="n">
        <x:v>755894</x:v>
      </x:c>
      <x:c r="K36" s="31" t="n">
        <x:v>465657</x:v>
      </x:c>
      <x:c r="L36" s="31" t="n">
        <x:v>1499516</x:v>
      </x:c>
      <x:c r="M36" s="31" t="n">
        <x:v>0.277</x:v>
      </x:c>
      <x:c r="N36" s="31" t="inlineStr">
        <x:is>
          <x:t xml:space="preserve">Стандарт</x:t>
        </x:is>
      </x:c>
      <x:c r="O36" s="31" t="n">
        <x:v>46115</x:v>
      </x:c>
      <x:c r="P36" s="31" t="inlineStr">
        <x:is>
          <x:t xml:space="preserve">Спецификация 2</x:t>
        </x:is>
      </x:c>
    </x:row>
    <x:row r="37" ht="18" customHeight="1">
      <x:c r="A37" s="31" t="inlineStr">
        <x:is>
          <x:t xml:space="preserve">ПОЗ-0017-1</x:t>
        </x:is>
      </x:c>
      <x:c r="B37" s="31" t="inlineStr">
        <x:is>
          <x:t xml:space="preserve">ЗК-1017</x:t>
        </x:is>
      </x:c>
      <x:c r="C37" s="31" t="inlineStr">
        <x:is>
          <x:t xml:space="preserve">ИЗД-023</x:t>
        </x:is>
      </x:c>
      <x:c r="D37" s="31" t="inlineStr">
        <x:is>
          <x:t xml:space="preserve">Шкаф управления СТК-123</x:t>
        </x:is>
      </x:c>
      <x:c r="E37" s="31" t="n">
        <x:v>5</x:v>
      </x:c>
      <x:c r="F37" s="31" t="n">
        <x:v>1069461</x:v>
      </x:c>
      <x:c r="G37" s="31" t="n">
        <x:v>0</x:v>
      </x:c>
      <x:c r="H37" s="31" t="n">
        <x:v>5347305</x:v>
      </x:c>
      <x:c r="I37" s="31" t="n">
        <x:v>2693008</x:v>
      </x:c>
      <x:c r="J37" s="31" t="n">
        <x:v>595124</x:v>
      </x:c>
      <x:c r="K37" s="31" t="n">
        <x:v>387077</x:v>
      </x:c>
      <x:c r="L37" s="31" t="n">
        <x:v>1672096</x:v>
      </x:c>
      <x:c r="M37" s="31" t="n">
        <x:v>0.313</x:v>
      </x:c>
      <x:c r="N37" s="31" t="inlineStr">
        <x:is>
          <x:t xml:space="preserve">Стандарт</x:t>
        </x:is>
      </x:c>
      <x:c r="O37" s="31" t="n">
        <x:v>46143</x:v>
      </x:c>
      <x:c r="P37" s="31" t="inlineStr">
        <x:is>
          <x:t xml:space="preserve">Спецификация 2</x:t>
        </x:is>
      </x:c>
    </x:row>
    <x:row r="38" ht="18" customHeight="1">
      <x:c r="A38" s="31" t="inlineStr">
        <x:is>
          <x:t xml:space="preserve">ПОЗ-0017-2</x:t>
        </x:is>
      </x:c>
      <x:c r="B38" s="31" t="inlineStr">
        <x:is>
          <x:t xml:space="preserve">ЗК-1017</x:t>
        </x:is>
      </x:c>
      <x:c r="C38" s="31" t="inlineStr">
        <x:is>
          <x:t xml:space="preserve">ИЗД-035</x:t>
        </x:is>
      </x:c>
      <x:c r="D38" s="31" t="inlineStr">
        <x:is>
          <x:t xml:space="preserve">Компрессорный модуль СТК-135</x:t>
        </x:is>
      </x:c>
      <x:c r="E38" s="31" t="n">
        <x:v>5</x:v>
      </x:c>
      <x:c r="F38" s="31" t="n">
        <x:v>3027484</x:v>
      </x:c>
      <x:c r="G38" s="31" t="n">
        <x:v>0</x:v>
      </x:c>
      <x:c r="H38" s="31" t="n">
        <x:v>15137420</x:v>
      </x:c>
      <x:c r="I38" s="31" t="n">
        <x:v>6904344</x:v>
      </x:c>
      <x:c r="J38" s="31" t="n">
        <x:v>1986413</x:v>
      </x:c>
      <x:c r="K38" s="31" t="n">
        <x:v>1332796</x:v>
      </x:c>
      <x:c r="L38" s="31" t="n">
        <x:v>4913867</x:v>
      </x:c>
      <x:c r="M38" s="31" t="n">
        <x:v>0.325</x:v>
      </x:c>
      <x:c r="N38" s="31" t="inlineStr">
        <x:is>
          <x:t xml:space="preserve">Нестандарт</x:t>
        </x:is>
      </x:c>
      <x:c r="O38" s="31" t="n">
        <x:v>46143</x:v>
      </x:c>
      <x:c r="P38" s="31" t="inlineStr">
        <x:is>
          <x:t xml:space="preserve">Спецификация 1</x:t>
        </x:is>
      </x:c>
    </x:row>
    <x:row r="39" ht="18" customHeight="1">
      <x:c r="A39" s="31" t="inlineStr">
        <x:is>
          <x:t xml:space="preserve">ПОЗ-0017-3</x:t>
        </x:is>
      </x:c>
      <x:c r="B39" s="31" t="inlineStr">
        <x:is>
          <x:t xml:space="preserve">ЗК-1017</x:t>
        </x:is>
      </x:c>
      <x:c r="C39" s="31" t="inlineStr">
        <x:is>
          <x:t xml:space="preserve">ИЗД-028</x:t>
        </x:is>
      </x:c>
      <x:c r="D39" s="31" t="inlineStr">
        <x:is>
          <x:t xml:space="preserve">Блок дозирования СТК-128</x:t>
        </x:is>
      </x:c>
      <x:c r="E39" s="31" t="n">
        <x:v>1</x:v>
      </x:c>
      <x:c r="F39" s="31" t="n">
        <x:v>484757</x:v>
      </x:c>
      <x:c r="G39" s="31" t="n">
        <x:v>0</x:v>
      </x:c>
      <x:c r="H39" s="31" t="n">
        <x:v>484757</x:v>
      </x:c>
      <x:c r="I39" s="31" t="n">
        <x:v>233942</x:v>
      </x:c>
      <x:c r="J39" s="31" t="n">
        <x:v>60819</x:v>
      </x:c>
      <x:c r="K39" s="31" t="n">
        <x:v>36200</x:v>
      </x:c>
      <x:c r="L39" s="31" t="n">
        <x:v>153796</x:v>
      </x:c>
      <x:c r="M39" s="31" t="n">
        <x:v>0.317</x:v>
      </x:c>
      <x:c r="N39" s="31" t="inlineStr">
        <x:is>
          <x:t xml:space="preserve">Стандарт</x:t>
        </x:is>
      </x:c>
      <x:c r="O39" s="31" t="n">
        <x:v>46143</x:v>
      </x:c>
      <x:c r="P39" s="31" t="inlineStr">
        <x:is>
          <x:t xml:space="preserve">Спецификация 1</x:t>
        </x:is>
      </x:c>
    </x:row>
    <x:row r="40" ht="18" customHeight="1">
      <x:c r="A40" s="31" t="inlineStr">
        <x:is>
          <x:t xml:space="preserve">ПОЗ-0018-1</x:t>
        </x:is>
      </x:c>
      <x:c r="B40" s="31" t="inlineStr">
        <x:is>
          <x:t xml:space="preserve">ЗК-1018</x:t>
        </x:is>
      </x:c>
      <x:c r="C40" s="31" t="inlineStr">
        <x:is>
          <x:t xml:space="preserve">ИЗД-042</x:t>
        </x:is>
      </x:c>
      <x:c r="D40" s="31" t="inlineStr">
        <x:is>
          <x:t xml:space="preserve">Шкаф управления СТК-142</x:t>
        </x:is>
      </x:c>
      <x:c r="E40" s="31" t="n">
        <x:v>2</x:v>
      </x:c>
      <x:c r="F40" s="31" t="n">
        <x:v>711088</x:v>
      </x:c>
      <x:c r="G40" s="31" t="n">
        <x:v>0</x:v>
      </x:c>
      <x:c r="H40" s="31" t="n">
        <x:v>1422176</x:v>
      </x:c>
      <x:c r="I40" s="31" t="n">
        <x:v>618544</x:v>
      </x:c>
      <x:c r="J40" s="31" t="n">
        <x:v>138898</x:v>
      </x:c>
      <x:c r="K40" s="31" t="n">
        <x:v>148134</x:v>
      </x:c>
      <x:c r="L40" s="31" t="n">
        <x:v>516600</x:v>
      </x:c>
      <x:c r="M40" s="31" t="n">
        <x:v>0.363</x:v>
      </x:c>
      <x:c r="N40" s="31" t="inlineStr">
        <x:is>
          <x:t xml:space="preserve">Замена материала</x:t>
        </x:is>
      </x:c>
      <x:c r="O40" s="31" t="n">
        <x:v>46199</x:v>
      </x:c>
      <x:c r="P40" s="31" t="inlineStr">
        <x:is>
          <x:t xml:space="preserve">Спецификация 2</x:t>
        </x:is>
      </x:c>
    </x:row>
    <x:row r="41" ht="18" customHeight="1">
      <x:c r="A41" s="31" t="inlineStr">
        <x:is>
          <x:t xml:space="preserve">ПОЗ-0018-2</x:t>
        </x:is>
      </x:c>
      <x:c r="B41" s="31" t="inlineStr">
        <x:is>
          <x:t xml:space="preserve">ЗК-1018</x:t>
        </x:is>
      </x:c>
      <x:c r="C41" s="31" t="inlineStr">
        <x:is>
          <x:t xml:space="preserve">ИЗД-026</x:t>
        </x:is>
      </x:c>
      <x:c r="D41" s="31" t="inlineStr">
        <x:is>
          <x:t xml:space="preserve">Шкаф управления СТК-126</x:t>
        </x:is>
      </x:c>
      <x:c r="E41" s="31" t="n">
        <x:v>1</x:v>
      </x:c>
      <x:c r="F41" s="31" t="n">
        <x:v>541186</x:v>
      </x:c>
      <x:c r="G41" s="31" t="n">
        <x:v>3</x:v>
      </x:c>
      <x:c r="H41" s="31" t="n">
        <x:v>524950</x:v>
      </x:c>
      <x:c r="I41" s="31" t="n">
        <x:v>215042</x:v>
      </x:c>
      <x:c r="J41" s="31" t="n">
        <x:v>43993</x:v>
      </x:c>
      <x:c r="K41" s="31" t="n">
        <x:v>38040</x:v>
      </x:c>
      <x:c r="L41" s="31" t="n">
        <x:v>227875</x:v>
      </x:c>
      <x:c r="M41" s="31" t="n">
        <x:v>0.434</x:v>
      </x:c>
      <x:c r="N41" s="31" t="inlineStr">
        <x:is>
          <x:t xml:space="preserve">Нестандарт</x:t>
        </x:is>
      </x:c>
      <x:c r="O41" s="31" t="n">
        <x:v>46199</x:v>
      </x:c>
      <x:c r="P41" s="31" t="inlineStr">
        <x:is>
          <x:t xml:space="preserve">Спецификация 3</x:t>
        </x:is>
      </x:c>
    </x:row>
    <x:row r="42" ht="18" customHeight="1">
      <x:c r="A42" s="31" t="inlineStr">
        <x:is>
          <x:t xml:space="preserve">ПОЗ-0018-3</x:t>
        </x:is>
      </x:c>
      <x:c r="B42" s="31" t="inlineStr">
        <x:is>
          <x:t xml:space="preserve">ЗК-1018</x:t>
        </x:is>
      </x:c>
      <x:c r="C42" s="31" t="inlineStr">
        <x:is>
          <x:t xml:space="preserve">ИЗД-001</x:t>
        </x:is>
      </x:c>
      <x:c r="D42" s="31" t="inlineStr">
        <x:is>
          <x:t xml:space="preserve">Комплект ЗИП СТК-101</x:t>
        </x:is>
      </x:c>
      <x:c r="E42" s="31" t="n">
        <x:v>12</x:v>
      </x:c>
      <x:c r="F42" s="31" t="n">
        <x:v>67369</x:v>
      </x:c>
      <x:c r="G42" s="31" t="n">
        <x:v>3</x:v>
      </x:c>
      <x:c r="H42" s="31" t="n">
        <x:v>784175</x:v>
      </x:c>
      <x:c r="I42" s="31" t="n">
        <x:v>340933</x:v>
      </x:c>
      <x:c r="J42" s="31" t="n">
        <x:v>94114</x:v>
      </x:c>
      <x:c r="K42" s="31" t="n">
        <x:v>57623</x:v>
      </x:c>
      <x:c r="L42" s="31" t="n">
        <x:v>291505</x:v>
      </x:c>
      <x:c r="M42" s="31" t="n">
        <x:v>0.372</x:v>
      </x:c>
      <x:c r="N42" s="31" t="inlineStr">
        <x:is>
          <x:t xml:space="preserve">Стандарт</x:t>
        </x:is>
      </x:c>
      <x:c r="O42" s="31" t="n">
        <x:v>46199</x:v>
      </x:c>
      <x:c r="P42" s="31" t="inlineStr">
        <x:is>
          <x:t xml:space="preserve">Спецификация 4</x:t>
        </x:is>
      </x:c>
    </x:row>
    <x:row r="43" ht="18" customHeight="1">
      <x:c r="A43" s="31" t="inlineStr">
        <x:is>
          <x:t xml:space="preserve">ПОЗ-0018-4</x:t>
        </x:is>
      </x:c>
      <x:c r="B43" s="31" t="inlineStr">
        <x:is>
          <x:t xml:space="preserve">ЗК-1018</x:t>
        </x:is>
      </x:c>
      <x:c r="C43" s="31" t="inlineStr">
        <x:is>
          <x:t xml:space="preserve">ИЗД-024</x:t>
        </x:is>
      </x:c>
      <x:c r="D43" s="31" t="inlineStr">
        <x:is>
          <x:t xml:space="preserve">Блок дозирования СТК-124</x:t>
        </x:is>
      </x:c>
      <x:c r="E43" s="31" t="n">
        <x:v>1</x:v>
      </x:c>
      <x:c r="F43" s="31" t="n">
        <x:v>1490135</x:v>
      </x:c>
      <x:c r="G43" s="31" t="n">
        <x:v>3</x:v>
      </x:c>
      <x:c r="H43" s="31" t="n">
        <x:v>1445431</x:v>
      </x:c>
      <x:c r="I43" s="31" t="n">
        <x:v>611616</x:v>
      </x:c>
      <x:c r="J43" s="31" t="n">
        <x:v>183952</x:v>
      </x:c>
      <x:c r="K43" s="31" t="n">
        <x:v>157034</x:v>
      </x:c>
      <x:c r="L43" s="31" t="n">
        <x:v>492829</x:v>
      </x:c>
      <x:c r="M43" s="31" t="n">
        <x:v>0.341</x:v>
      </x:c>
      <x:c r="N43" s="31" t="inlineStr">
        <x:is>
          <x:t xml:space="preserve">Стандарт</x:t>
        </x:is>
      </x:c>
      <x:c r="O43" s="31" t="n">
        <x:v>46199</x:v>
      </x:c>
      <x:c r="P43" s="31" t="inlineStr">
        <x:is>
          <x:t xml:space="preserve">Спецификация 3</x:t>
        </x:is>
      </x:c>
    </x:row>
    <x:row r="44" ht="18" customHeight="1">
      <x:c r="A44" s="31" t="inlineStr">
        <x:is>
          <x:t xml:space="preserve">ПОЗ-0019-1</x:t>
        </x:is>
      </x:c>
      <x:c r="B44" s="31" t="inlineStr">
        <x:is>
          <x:t xml:space="preserve">ЗК-1019</x:t>
        </x:is>
      </x:c>
      <x:c r="C44" s="31" t="inlineStr">
        <x:is>
          <x:t xml:space="preserve">ИЗД-041</x:t>
        </x:is>
      </x:c>
      <x:c r="D44" s="31" t="inlineStr">
        <x:is>
          <x:t xml:space="preserve">Рама-основание СТК-141</x:t>
        </x:is>
      </x:c>
      <x:c r="E44" s="31" t="n">
        <x:v>5</x:v>
      </x:c>
      <x:c r="F44" s="31" t="n">
        <x:v>230149</x:v>
      </x:c>
      <x:c r="G44" s="31" t="n">
        <x:v>5</x:v>
      </x:c>
      <x:c r="H44" s="31" t="n">
        <x:v>1093208</x:v>
      </x:c>
      <x:c r="I44" s="31" t="n">
        <x:v>472297</x:v>
      </x:c>
      <x:c r="J44" s="31" t="n">
        <x:v>172198</x:v>
      </x:c>
      <x:c r="K44" s="31" t="n">
        <x:v>92166</x:v>
      </x:c>
      <x:c r="L44" s="31" t="n">
        <x:v>356547</x:v>
      </x:c>
      <x:c r="M44" s="31" t="n">
        <x:v>0.326</x:v>
      </x:c>
      <x:c r="N44" s="31" t="inlineStr">
        <x:is>
          <x:t xml:space="preserve">Стандарт</x:t>
        </x:is>
      </x:c>
      <x:c r="O44" s="31" t="n">
        <x:v>46197</x:v>
      </x:c>
      <x:c r="P44" s="31" t="inlineStr">
        <x:is>
          <x:t xml:space="preserve">Спецификация 2</x:t>
        </x:is>
      </x:c>
    </x:row>
    <x:row r="45" ht="18" customHeight="1">
      <x:c r="A45" s="31" t="inlineStr">
        <x:is>
          <x:t xml:space="preserve">ПОЗ-0020-1</x:t>
        </x:is>
      </x:c>
      <x:c r="B45" s="31" t="inlineStr">
        <x:is>
          <x:t xml:space="preserve">ЗК-1020</x:t>
        </x:is>
      </x:c>
      <x:c r="C45" s="31" t="inlineStr">
        <x:is>
          <x:t xml:space="preserve">ИЗД-010</x:t>
        </x:is>
      </x:c>
      <x:c r="D45" s="31" t="inlineStr">
        <x:is>
          <x:t xml:space="preserve">Шкаф управления СТК-110</x:t>
        </x:is>
      </x:c>
      <x:c r="E45" s="31" t="n">
        <x:v>1</x:v>
      </x:c>
      <x:c r="F45" s="31" t="n">
        <x:v>808817</x:v>
      </x:c>
      <x:c r="G45" s="31" t="n">
        <x:v>3</x:v>
      </x:c>
      <x:c r="H45" s="31" t="n">
        <x:v>784552</x:v>
      </x:c>
      <x:c r="I45" s="31" t="n">
        <x:v>274601</x:v>
      </x:c>
      <x:c r="J45" s="31" t="n">
        <x:v>87338</x:v>
      </x:c>
      <x:c r="K45" s="31" t="n">
        <x:v>67278</x:v>
      </x:c>
      <x:c r="L45" s="31" t="n">
        <x:v>355335</x:v>
      </x:c>
      <x:c r="M45" s="31" t="n">
        <x:v>0.453</x:v>
      </x:c>
      <x:c r="N45" s="31" t="inlineStr">
        <x:is>
          <x:t xml:space="preserve">Стандарт</x:t>
        </x:is>
      </x:c>
      <x:c r="O45" s="31" t="n">
        <x:v>46195</x:v>
      </x:c>
      <x:c r="P45" s="31" t="inlineStr">
        <x:is>
          <x:t xml:space="preserve">Спецификация 3</x:t>
        </x:is>
      </x:c>
    </x:row>
    <x:row r="46" ht="18" customHeight="1">
      <x:c r="A46" s="31" t="inlineStr">
        <x:is>
          <x:t xml:space="preserve">ПОЗ-0021-1</x:t>
        </x:is>
      </x:c>
      <x:c r="B46" s="31" t="inlineStr">
        <x:is>
          <x:t xml:space="preserve">ЗК-1021</x:t>
        </x:is>
      </x:c>
      <x:c r="C46" s="31" t="inlineStr">
        <x:is>
          <x:t xml:space="preserve">ИЗД-021</x:t>
        </x:is>
      </x:c>
      <x:c r="D46" s="31" t="inlineStr">
        <x:is>
          <x:t xml:space="preserve">Блок дозирования СТК-121</x:t>
        </x:is>
      </x:c>
      <x:c r="E46" s="31" t="n">
        <x:v>2</x:v>
      </x:c>
      <x:c r="F46" s="31" t="n">
        <x:v>595883</x:v>
      </x:c>
      <x:c r="G46" s="31" t="n">
        <x:v>7</x:v>
      </x:c>
      <x:c r="H46" s="31" t="n">
        <x:v>1108342</x:v>
      </x:c>
      <x:c r="I46" s="31" t="n">
        <x:v>474427</x:v>
      </x:c>
      <x:c r="J46" s="31" t="n">
        <x:v>140548</x:v>
      </x:c>
      <x:c r="K46" s="31" t="n">
        <x:v>112262</x:v>
      </x:c>
      <x:c r="L46" s="31" t="n">
        <x:v>381105</x:v>
      </x:c>
      <x:c r="M46" s="31" t="n">
        <x:v>0.344</x:v>
      </x:c>
      <x:c r="N46" s="31" t="inlineStr">
        <x:is>
          <x:t xml:space="preserve">Стандарт</x:t>
        </x:is>
      </x:c>
      <x:c r="O46" s="31" t="n">
        <x:v>46162</x:v>
      </x:c>
      <x:c r="P46" s="31" t="inlineStr">
        <x:is>
          <x:t xml:space="preserve">Спецификация 3</x:t>
        </x:is>
      </x:c>
    </x:row>
    <x:row r="47" ht="18" customHeight="1">
      <x:c r="A47" s="31" t="inlineStr">
        <x:is>
          <x:t xml:space="preserve">ПОЗ-0021-2</x:t>
        </x:is>
      </x:c>
      <x:c r="B47" s="31" t="inlineStr">
        <x:is>
          <x:t xml:space="preserve">ЗК-1021</x:t>
        </x:is>
      </x:c>
      <x:c r="C47" s="31" t="inlineStr">
        <x:is>
          <x:t xml:space="preserve">ИЗД-041</x:t>
        </x:is>
      </x:c>
      <x:c r="D47" s="31" t="inlineStr">
        <x:is>
          <x:t xml:space="preserve">Рама-основание СТК-141</x:t>
        </x:is>
      </x:c>
      <x:c r="E47" s="31" t="n">
        <x:v>3</x:v>
      </x:c>
      <x:c r="F47" s="31" t="n">
        <x:v>250777</x:v>
      </x:c>
      <x:c r="G47" s="31" t="n">
        <x:v>5</x:v>
      </x:c>
      <x:c r="H47" s="31" t="n">
        <x:v>714714</x:v>
      </x:c>
      <x:c r="I47" s="31" t="n">
        <x:v>309073</x:v>
      </x:c>
      <x:c r="J47" s="31" t="n">
        <x:v>60218</x:v>
      </x:c>
      <x:c r="K47" s="31" t="n">
        <x:v>67542</x:v>
      </x:c>
      <x:c r="L47" s="31" t="n">
        <x:v>277881</x:v>
      </x:c>
      <x:c r="M47" s="31" t="n">
        <x:v>0.389</x:v>
      </x:c>
      <x:c r="N47" s="31" t="inlineStr">
        <x:is>
          <x:t xml:space="preserve">Замена материала</x:t>
        </x:is>
      </x:c>
      <x:c r="O47" s="31" t="n">
        <x:v>46162</x:v>
      </x:c>
      <x:c r="P47" s="31" t="inlineStr">
        <x:is>
          <x:t xml:space="preserve">Спецификация 2</x:t>
        </x:is>
      </x:c>
    </x:row>
    <x:row r="48" ht="18" customHeight="1">
      <x:c r="A48" s="31" t="inlineStr">
        <x:is>
          <x:t xml:space="preserve">ПОЗ-0021-3</x:t>
        </x:is>
      </x:c>
      <x:c r="B48" s="31" t="inlineStr">
        <x:is>
          <x:t xml:space="preserve">ЗК-1021</x:t>
        </x:is>
      </x:c>
      <x:c r="C48" s="31" t="inlineStr">
        <x:is>
          <x:t xml:space="preserve">ИЗД-029</x:t>
        </x:is>
      </x:c>
      <x:c r="D48" s="31" t="inlineStr">
        <x:is>
          <x:t xml:space="preserve">Компрессорный модуль СТК-129</x:t>
        </x:is>
      </x:c>
      <x:c r="E48" s="31" t="n">
        <x:v>5</x:v>
      </x:c>
      <x:c r="F48" s="31" t="n">
        <x:v>3482946</x:v>
      </x:c>
      <x:c r="G48" s="31" t="n">
        <x:v>0</x:v>
      </x:c>
      <x:c r="H48" s="31" t="n">
        <x:v>17414730</x:v>
      </x:c>
      <x:c r="I48" s="31" t="n">
        <x:v>6860424</x:v>
      </x:c>
      <x:c r="J48" s="31" t="n">
        <x:v>1457807</x:v>
      </x:c>
      <x:c r="K48" s="31" t="n">
        <x:v>1776519</x:v>
      </x:c>
      <x:c r="L48" s="31" t="n">
        <x:v>7319980</x:v>
      </x:c>
      <x:c r="M48" s="31" t="n">
        <x:v>0.42</x:v>
      </x:c>
      <x:c r="N48" s="31" t="inlineStr">
        <x:is>
          <x:t xml:space="preserve">Стандарт</x:t>
        </x:is>
      </x:c>
      <x:c r="O48" s="31" t="n">
        <x:v>46162</x:v>
      </x:c>
      <x:c r="P48" s="31" t="inlineStr">
        <x:is>
          <x:t xml:space="preserve">Спецификация 2</x:t>
        </x:is>
      </x:c>
    </x:row>
    <x:row r="49" ht="18" customHeight="1">
      <x:c r="A49" s="31" t="inlineStr">
        <x:is>
          <x:t xml:space="preserve">ПОЗ-0021-4</x:t>
        </x:is>
      </x:c>
      <x:c r="B49" s="31" t="inlineStr">
        <x:is>
          <x:t xml:space="preserve">ЗК-1021</x:t>
        </x:is>
      </x:c>
      <x:c r="C49" s="31" t="inlineStr">
        <x:is>
          <x:t xml:space="preserve">ИЗД-011</x:t>
        </x:is>
      </x:c>
      <x:c r="D49" s="31" t="inlineStr">
        <x:is>
          <x:t xml:space="preserve">Шкаф управления СТК-111</x:t>
        </x:is>
      </x:c>
      <x:c r="E49" s="31" t="n">
        <x:v>1</x:v>
      </x:c>
      <x:c r="F49" s="31" t="n">
        <x:v>219563</x:v>
      </x:c>
      <x:c r="G49" s="31" t="n">
        <x:v>0</x:v>
      </x:c>
      <x:c r="H49" s="31" t="n">
        <x:v>219563</x:v>
      </x:c>
      <x:c r="I49" s="31" t="n">
        <x:v>111832</x:v>
      </x:c>
      <x:c r="J49" s="31" t="n">
        <x:v>33941</x:v>
      </x:c>
      <x:c r="K49" s="31" t="n">
        <x:v>14503</x:v>
      </x:c>
      <x:c r="L49" s="31" t="n">
        <x:v>59287</x:v>
      </x:c>
      <x:c r="M49" s="31" t="n">
        <x:v>0.27</x:v>
      </x:c>
      <x:c r="N49" s="31" t="inlineStr">
        <x:is>
          <x:t xml:space="preserve">Стандарт</x:t>
        </x:is>
      </x:c>
      <x:c r="O49" s="31" t="n">
        <x:v>46162</x:v>
      </x:c>
      <x:c r="P49" s="31" t="inlineStr">
        <x:is>
          <x:t xml:space="preserve">Спецификация 1</x:t>
        </x:is>
      </x:c>
    </x:row>
    <x:row r="50" ht="18" customHeight="1">
      <x:c r="A50" s="31" t="inlineStr">
        <x:is>
          <x:t xml:space="preserve">ПОЗ-0022-1</x:t>
        </x:is>
      </x:c>
      <x:c r="B50" s="31" t="inlineStr">
        <x:is>
          <x:t xml:space="preserve">ЗК-1022</x:t>
        </x:is>
      </x:c>
      <x:c r="C50" s="31" t="inlineStr">
        <x:is>
          <x:t xml:space="preserve">ИЗД-014</x:t>
        </x:is>
      </x:c>
      <x:c r="D50" s="31" t="inlineStr">
        <x:is>
          <x:t xml:space="preserve">Рама-основание СТК-114</x:t>
        </x:is>
      </x:c>
      <x:c r="E50" s="31" t="n">
        <x:v>4</x:v>
      </x:c>
      <x:c r="F50" s="31" t="n">
        <x:v>116357</x:v>
      </x:c>
      <x:c r="G50" s="31" t="n">
        <x:v>3</x:v>
      </x:c>
      <x:c r="H50" s="31" t="n">
        <x:v>451465</x:v>
      </x:c>
      <x:c r="I50" s="31" t="n">
        <x:v>228116</x:v>
      </x:c>
      <x:c r="J50" s="31" t="n">
        <x:v>64754</x:v>
      </x:c>
      <x:c r="K50" s="31" t="n">
        <x:v>39447</x:v>
      </x:c>
      <x:c r="L50" s="31" t="n">
        <x:v>119148</x:v>
      </x:c>
      <x:c r="M50" s="31" t="n">
        <x:v>0.264</x:v>
      </x:c>
      <x:c r="N50" s="31" t="inlineStr">
        <x:is>
          <x:t xml:space="preserve">Стандарт</x:t>
        </x:is>
      </x:c>
      <x:c r="O50" s="31" t="n">
        <x:v>46201</x:v>
      </x:c>
      <x:c r="P50" s="31" t="inlineStr">
        <x:is>
          <x:t xml:space="preserve">Спецификация 4</x:t>
        </x:is>
      </x:c>
    </x:row>
    <x:row r="51" ht="18" customHeight="1">
      <x:c r="A51" s="31" t="inlineStr">
        <x:is>
          <x:t xml:space="preserve">ПОЗ-0022-2</x:t>
        </x:is>
      </x:c>
      <x:c r="B51" s="31" t="inlineStr">
        <x:is>
          <x:t xml:space="preserve">ЗК-1022</x:t>
        </x:is>
      </x:c>
      <x:c r="C51" s="31" t="inlineStr">
        <x:is>
          <x:t xml:space="preserve">ИЗД-032</x:t>
        </x:is>
      </x:c>
      <x:c r="D51" s="31" t="inlineStr">
        <x:is>
          <x:t xml:space="preserve">Комплект ЗИП СТК-132</x:t>
        </x:is>
      </x:c>
      <x:c r="E51" s="31" t="n">
        <x:v>8</x:v>
      </x:c>
      <x:c r="F51" s="31" t="n">
        <x:v>208121</x:v>
      </x:c>
      <x:c r="G51" s="31" t="n">
        <x:v>3</x:v>
      </x:c>
      <x:c r="H51" s="31" t="n">
        <x:v>1615019</x:v>
      </x:c>
      <x:c r="I51" s="31" t="n">
        <x:v>752597</x:v>
      </x:c>
      <x:c r="J51" s="31" t="n">
        <x:v>122393</x:v>
      </x:c>
      <x:c r="K51" s="31" t="n">
        <x:v>96958</x:v>
      </x:c>
      <x:c r="L51" s="31" t="n">
        <x:v>643071</x:v>
      </x:c>
      <x:c r="M51" s="31" t="n">
        <x:v>0.398</x:v>
      </x:c>
      <x:c r="N51" s="31" t="inlineStr">
        <x:is>
          <x:t xml:space="preserve">Стандарт</x:t>
        </x:is>
      </x:c>
      <x:c r="O51" s="31" t="n">
        <x:v>46201</x:v>
      </x:c>
      <x:c r="P51" s="31" t="inlineStr">
        <x:is>
          <x:t xml:space="preserve">Спецификация 3</x:t>
        </x:is>
      </x:c>
    </x:row>
    <x:row r="52" ht="18" customHeight="1">
      <x:c r="A52" s="31" t="inlineStr">
        <x:is>
          <x:t xml:space="preserve">ПОЗ-0023-1</x:t>
        </x:is>
      </x:c>
      <x:c r="B52" s="31" t="inlineStr">
        <x:is>
          <x:t xml:space="preserve">ЗК-1023</x:t>
        </x:is>
      </x:c>
      <x:c r="C52" s="31" t="inlineStr">
        <x:is>
          <x:t xml:space="preserve">ИЗД-010</x:t>
        </x:is>
      </x:c>
      <x:c r="D52" s="31" t="inlineStr">
        <x:is>
          <x:t xml:space="preserve">Шкаф управления СТК-110</x:t>
        </x:is>
      </x:c>
      <x:c r="E52" s="31" t="n">
        <x:v>1</x:v>
      </x:c>
      <x:c r="F52" s="31" t="n">
        <x:v>746891</x:v>
      </x:c>
      <x:c r="G52" s="31" t="n">
        <x:v>0</x:v>
      </x:c>
      <x:c r="H52" s="31" t="n">
        <x:v>746891</x:v>
      </x:c>
      <x:c r="I52" s="31" t="n">
        <x:v>285044</x:v>
      </x:c>
      <x:c r="J52" s="31" t="n">
        <x:v>83565</x:v>
      </x:c>
      <x:c r="K52" s="31" t="n">
        <x:v>72982</x:v>
      </x:c>
      <x:c r="L52" s="31" t="n">
        <x:v>305300</x:v>
      </x:c>
      <x:c r="M52" s="31" t="n">
        <x:v>0.409</x:v>
      </x:c>
      <x:c r="N52" s="31" t="inlineStr">
        <x:is>
          <x:t xml:space="preserve">Нестандарт</x:t>
        </x:is>
      </x:c>
      <x:c r="O52" s="31" t="n">
        <x:v>46266</x:v>
      </x:c>
      <x:c r="P52" s="31" t="inlineStr">
        <x:is>
          <x:t xml:space="preserve">Спецификация 1</x:t>
        </x:is>
      </x:c>
    </x:row>
    <x:row r="53" ht="18" customHeight="1">
      <x:c r="A53" s="31" t="inlineStr">
        <x:is>
          <x:t xml:space="preserve">ПОЗ-0023-2</x:t>
        </x:is>
      </x:c>
      <x:c r="B53" s="31" t="inlineStr">
        <x:is>
          <x:t xml:space="preserve">ЗК-1023</x:t>
        </x:is>
      </x:c>
      <x:c r="C53" s="31" t="inlineStr">
        <x:is>
          <x:t xml:space="preserve">ИЗД-021</x:t>
        </x:is>
      </x:c>
      <x:c r="D53" s="31" t="inlineStr">
        <x:is>
          <x:t xml:space="preserve">Блок дозирования СТК-121</x:t>
        </x:is>
      </x:c>
      <x:c r="E53" s="31" t="n">
        <x:v>4</x:v>
      </x:c>
      <x:c r="F53" s="31" t="n">
        <x:v>593531</x:v>
      </x:c>
      <x:c r="G53" s="31" t="n">
        <x:v>0</x:v>
      </x:c>
      <x:c r="H53" s="31" t="n">
        <x:v>2374124</x:v>
      </x:c>
      <x:c r="I53" s="31" t="n">
        <x:v>868953</x:v>
      </x:c>
      <x:c r="J53" s="31" t="n">
        <x:v>286049</x:v>
      </x:c>
      <x:c r="K53" s="31" t="n">
        <x:v>220736</x:v>
      </x:c>
      <x:c r="L53" s="31" t="n">
        <x:v>998386</x:v>
      </x:c>
      <x:c r="M53" s="31" t="n">
        <x:v>0.421</x:v>
      </x:c>
      <x:c r="N53" s="31" t="inlineStr">
        <x:is>
          <x:t xml:space="preserve">Замена материала</x:t>
        </x:is>
      </x:c>
      <x:c r="O53" s="31" t="n">
        <x:v>46266</x:v>
      </x:c>
      <x:c r="P53" s="31" t="inlineStr">
        <x:is>
          <x:t xml:space="preserve">Спецификация 1</x:t>
        </x:is>
      </x:c>
    </x:row>
    <x:row r="54" ht="18" customHeight="1">
      <x:c r="A54" s="31" t="inlineStr">
        <x:is>
          <x:t xml:space="preserve">ПОЗ-0023-3</x:t>
        </x:is>
      </x:c>
      <x:c r="B54" s="31" t="inlineStr">
        <x:is>
          <x:t xml:space="preserve">ЗК-1023</x:t>
        </x:is>
      </x:c>
      <x:c r="C54" s="31" t="inlineStr">
        <x:is>
          <x:t xml:space="preserve">ИЗД-008</x:t>
        </x:is>
      </x:c>
      <x:c r="D54" s="31" t="inlineStr">
        <x:is>
          <x:t xml:space="preserve">Комплект ЗИП СТК-108</x:t>
        </x:is>
      </x:c>
      <x:c r="E54" s="31" t="n">
        <x:v>15</x:v>
      </x:c>
      <x:c r="F54" s="31" t="n">
        <x:v>236862</x:v>
      </x:c>
      <x:c r="G54" s="31" t="n">
        <x:v>3</x:v>
      </x:c>
      <x:c r="H54" s="31" t="n">
        <x:v>3446342</x:v>
      </x:c>
      <x:c r="I54" s="31" t="n">
        <x:v>1574944</x:v>
      </x:c>
      <x:c r="J54" s="31" t="n">
        <x:v>302704</x:v>
      </x:c>
      <x:c r="K54" s="31" t="n">
        <x:v>182586</x:v>
      </x:c>
      <x:c r="L54" s="31" t="n">
        <x:v>1386108</x:v>
      </x:c>
      <x:c r="M54" s="31" t="n">
        <x:v>0.402</x:v>
      </x:c>
      <x:c r="N54" s="31" t="inlineStr">
        <x:is>
          <x:t xml:space="preserve">Стандарт</x:t>
        </x:is>
      </x:c>
      <x:c r="O54" s="31" t="n">
        <x:v>46266</x:v>
      </x:c>
      <x:c r="P54" s="31" t="inlineStr">
        <x:is>
          <x:t xml:space="preserve">Спецификация 1</x:t>
        </x:is>
      </x:c>
    </x:row>
    <x:row r="55" ht="18" customHeight="1">
      <x:c r="A55" s="31" t="inlineStr">
        <x:is>
          <x:t xml:space="preserve">ПОЗ-0024-1</x:t>
        </x:is>
      </x:c>
      <x:c r="B55" s="31" t="inlineStr">
        <x:is>
          <x:t xml:space="preserve">ЗК-1024</x:t>
        </x:is>
      </x:c>
      <x:c r="C55" s="31" t="inlineStr">
        <x:is>
          <x:t xml:space="preserve">ИЗД-026</x:t>
        </x:is>
      </x:c>
      <x:c r="D55" s="31" t="inlineStr">
        <x:is>
          <x:t xml:space="preserve">Шкаф управления СТК-126</x:t>
        </x:is>
      </x:c>
      <x:c r="E55" s="31" t="n">
        <x:v>5</x:v>
      </x:c>
      <x:c r="F55" s="31" t="n">
        <x:v>543362</x:v>
      </x:c>
      <x:c r="G55" s="31" t="n">
        <x:v>0</x:v>
      </x:c>
      <x:c r="H55" s="31" t="n">
        <x:v>2716810</x:v>
      </x:c>
      <x:c r="I55" s="31" t="n">
        <x:v>1403887</x:v>
      </x:c>
      <x:c r="J55" s="31" t="n">
        <x:v>207159</x:v>
      </x:c>
      <x:c r="K55" s="31" t="n">
        <x:v>151346</x:v>
      </x:c>
      <x:c r="L55" s="31" t="n">
        <x:v>954418</x:v>
      </x:c>
      <x:c r="M55" s="31" t="n">
        <x:v>0.351</x:v>
      </x:c>
      <x:c r="N55" s="31" t="inlineStr">
        <x:is>
          <x:t xml:space="preserve">Нестандарт</x:t>
        </x:is>
      </x:c>
      <x:c r="O55" s="31" t="n">
        <x:v>46160</x:v>
      </x:c>
      <x:c r="P55" s="31" t="inlineStr">
        <x:is>
          <x:t xml:space="preserve">Спецификация 3</x:t>
        </x:is>
      </x:c>
    </x:row>
    <x:row r="56" ht="18" customHeight="1">
      <x:c r="A56" s="31" t="inlineStr">
        <x:is>
          <x:t xml:space="preserve">ПОЗ-0024-2</x:t>
        </x:is>
      </x:c>
      <x:c r="B56" s="31" t="inlineStr">
        <x:is>
          <x:t xml:space="preserve">ЗК-1024</x:t>
        </x:is>
      </x:c>
      <x:c r="C56" s="31" t="inlineStr">
        <x:is>
          <x:t xml:space="preserve">ИЗД-003</x:t>
        </x:is>
      </x:c>
      <x:c r="D56" s="31" t="inlineStr">
        <x:is>
          <x:t xml:space="preserve">Насосная станция СТК-103</x:t>
        </x:is>
      </x:c>
      <x:c r="E56" s="31" t="n">
        <x:v>3</x:v>
      </x:c>
      <x:c r="F56" s="31" t="n">
        <x:v>2434908</x:v>
      </x:c>
      <x:c r="G56" s="31" t="n">
        <x:v>0</x:v>
      </x:c>
      <x:c r="H56" s="31" t="n">
        <x:v>7304724</x:v>
      </x:c>
      <x:c r="I56" s="31" t="n">
        <x:v>2906130</x:v>
      </x:c>
      <x:c r="J56" s="31" t="n">
        <x:v>1020581</x:v>
      </x:c>
      <x:c r="K56" s="31" t="n">
        <x:v>581669</x:v>
      </x:c>
      <x:c r="L56" s="31" t="n">
        <x:v>2796344</x:v>
      </x:c>
      <x:c r="M56" s="31" t="n">
        <x:v>0.383</x:v>
      </x:c>
      <x:c r="N56" s="31" t="inlineStr">
        <x:is>
          <x:t xml:space="preserve">Стандарт</x:t>
        </x:is>
      </x:c>
      <x:c r="O56" s="31" t="n">
        <x:v>46160</x:v>
      </x:c>
      <x:c r="P56" s="31" t="inlineStr">
        <x:is>
          <x:t xml:space="preserve">Спецификация 3</x:t>
        </x:is>
      </x:c>
    </x:row>
    <x:row r="57" ht="18" customHeight="1">
      <x:c r="A57" s="31" t="inlineStr">
        <x:is>
          <x:t xml:space="preserve">ПОЗ-0025-1</x:t>
        </x:is>
      </x:c>
      <x:c r="B57" s="31" t="inlineStr">
        <x:is>
          <x:t xml:space="preserve">ЗК-1025</x:t>
        </x:is>
      </x:c>
      <x:c r="C57" s="31" t="inlineStr">
        <x:is>
          <x:t xml:space="preserve">ИЗД-011</x:t>
        </x:is>
      </x:c>
      <x:c r="D57" s="31" t="inlineStr">
        <x:is>
          <x:t xml:space="preserve">Шкаф управления СТК-111</x:t>
        </x:is>
      </x:c>
      <x:c r="E57" s="31" t="n">
        <x:v>2</x:v>
      </x:c>
      <x:c r="F57" s="31" t="n">
        <x:v>242085</x:v>
      </x:c>
      <x:c r="G57" s="31" t="n">
        <x:v>7</x:v>
      </x:c>
      <x:c r="H57" s="31" t="n">
        <x:v>450278</x:v>
      </x:c>
      <x:c r="I57" s="31" t="n">
        <x:v>235845</x:v>
      </x:c>
      <x:c r="J57" s="31" t="n">
        <x:v>53304</x:v>
      </x:c>
      <x:c r="K57" s="31" t="n">
        <x:v>22647</x:v>
      </x:c>
      <x:c r="L57" s="31" t="n">
        <x:v>138482</x:v>
      </x:c>
      <x:c r="M57" s="31" t="n">
        <x:v>0.308</x:v>
      </x:c>
      <x:c r="N57" s="31" t="inlineStr">
        <x:is>
          <x:t xml:space="preserve">Стандарт</x:t>
        </x:is>
      </x:c>
      <x:c r="O57" s="31" t="n">
        <x:v>46180</x:v>
      </x:c>
      <x:c r="P57" s="31" t="inlineStr">
        <x:is>
          <x:t xml:space="preserve">Спецификация 1</x:t>
        </x:is>
      </x:c>
    </x:row>
    <x:row r="58" ht="18" customHeight="1">
      <x:c r="A58" s="31" t="inlineStr">
        <x:is>
          <x:t xml:space="preserve">ПОЗ-0025-2</x:t>
        </x:is>
      </x:c>
      <x:c r="B58" s="31" t="inlineStr">
        <x:is>
          <x:t xml:space="preserve">ЗК-1025</x:t>
        </x:is>
      </x:c>
      <x:c r="C58" s="31" t="inlineStr">
        <x:is>
          <x:t xml:space="preserve">ИЗД-006</x:t>
        </x:is>
      </x:c>
      <x:c r="D58" s="31" t="inlineStr">
        <x:is>
          <x:t xml:space="preserve">Насосная станция СТК-106</x:t>
        </x:is>
      </x:c>
      <x:c r="E58" s="31" t="n">
        <x:v>3</x:v>
      </x:c>
      <x:c r="F58" s="31" t="n">
        <x:v>1279603</x:v>
      </x:c>
      <x:c r="G58" s="31" t="n">
        <x:v>0</x:v>
      </x:c>
      <x:c r="H58" s="31" t="n">
        <x:v>3838809</x:v>
      </x:c>
      <x:c r="I58" s="31" t="n">
        <x:v>1399923</x:v>
      </x:c>
      <x:c r="J58" s="31" t="n">
        <x:v>373847</x:v>
      </x:c>
      <x:c r="K58" s="31" t="n">
        <x:v>252684</x:v>
      </x:c>
      <x:c r="L58" s="31" t="n">
        <x:v>1812355</x:v>
      </x:c>
      <x:c r="M58" s="31" t="n">
        <x:v>0.472</x:v>
      </x:c>
      <x:c r="N58" s="31" t="inlineStr">
        <x:is>
          <x:t xml:space="preserve">Стандарт</x:t>
        </x:is>
      </x:c>
      <x:c r="O58" s="31" t="n">
        <x:v>46180</x:v>
      </x:c>
      <x:c r="P58" s="31" t="inlineStr">
        <x:is>
          <x:t xml:space="preserve">Спецификация 4</x:t>
        </x:is>
      </x:c>
    </x:row>
    <x:row r="59" ht="18" customHeight="1">
      <x:c r="A59" s="31" t="inlineStr">
        <x:is>
          <x:t xml:space="preserve">ПОЗ-0026-1</x:t>
        </x:is>
      </x:c>
      <x:c r="B59" s="31" t="inlineStr">
        <x:is>
          <x:t xml:space="preserve">ЗК-1026</x:t>
        </x:is>
      </x:c>
      <x:c r="C59" s="31" t="inlineStr">
        <x:is>
          <x:t xml:space="preserve">ИЗД-043</x:t>
        </x:is>
      </x:c>
      <x:c r="D59" s="31" t="inlineStr">
        <x:is>
          <x:t xml:space="preserve">Насосная станция СТК-143</x:t>
        </x:is>
      </x:c>
      <x:c r="E59" s="31" t="n">
        <x:v>4</x:v>
      </x:c>
      <x:c r="F59" s="31" t="n">
        <x:v>839312</x:v>
      </x:c>
      <x:c r="G59" s="31" t="n">
        <x:v>0</x:v>
      </x:c>
      <x:c r="H59" s="31" t="n">
        <x:v>3357248</x:v>
      </x:c>
      <x:c r="I59" s="31" t="n">
        <x:v>1431908</x:v>
      </x:c>
      <x:c r="J59" s="31" t="n">
        <x:v>260024</x:v>
      </x:c>
      <x:c r="K59" s="31" t="n">
        <x:v>280367</x:v>
      </x:c>
      <x:c r="L59" s="31" t="n">
        <x:v>1384949</x:v>
      </x:c>
      <x:c r="M59" s="31" t="n">
        <x:v>0.413</x:v>
      </x:c>
      <x:c r="N59" s="31" t="inlineStr">
        <x:is>
          <x:t xml:space="preserve">Нестандарт</x:t>
        </x:is>
      </x:c>
      <x:c r="O59" s="31" t="n">
        <x:v>46176</x:v>
      </x:c>
      <x:c r="P59" s="31" t="inlineStr">
        <x:is>
          <x:t xml:space="preserve">Спецификация 2</x:t>
        </x:is>
      </x:c>
    </x:row>
    <x:row r="60" ht="18" customHeight="1">
      <x:c r="A60" s="31" t="inlineStr">
        <x:is>
          <x:t xml:space="preserve">ПОЗ-0026-2</x:t>
        </x:is>
      </x:c>
      <x:c r="B60" s="31" t="inlineStr">
        <x:is>
          <x:t xml:space="preserve">ЗК-1026</x:t>
        </x:is>
      </x:c>
      <x:c r="C60" s="31" t="inlineStr">
        <x:is>
          <x:t xml:space="preserve">ИЗД-032</x:t>
        </x:is>
      </x:c>
      <x:c r="D60" s="31" t="inlineStr">
        <x:is>
          <x:t xml:space="preserve">Комплект ЗИП СТК-132</x:t>
        </x:is>
      </x:c>
      <x:c r="E60" s="31" t="n">
        <x:v>4</x:v>
      </x:c>
      <x:c r="F60" s="31" t="n">
        <x:v>183180</x:v>
      </x:c>
      <x:c r="G60" s="31" t="n">
        <x:v>3</x:v>
      </x:c>
      <x:c r="H60" s="31" t="n">
        <x:v>710738</x:v>
      </x:c>
      <x:c r="I60" s="31" t="n">
        <x:v>285178</x:v>
      </x:c>
      <x:c r="J60" s="31" t="n">
        <x:v>92641</x:v>
      </x:c>
      <x:c r="K60" s="31" t="n">
        <x:v>55501</x:v>
      </x:c>
      <x:c r="L60" s="31" t="n">
        <x:v>277418</x:v>
      </x:c>
      <x:c r="M60" s="31" t="n">
        <x:v>0.39</x:v>
      </x:c>
      <x:c r="N60" s="31" t="inlineStr">
        <x:is>
          <x:t xml:space="preserve">Стандарт</x:t>
        </x:is>
      </x:c>
      <x:c r="O60" s="31" t="n">
        <x:v>46176</x:v>
      </x:c>
      <x:c r="P60" s="31" t="inlineStr">
        <x:is>
          <x:t xml:space="preserve">Спецификация 4</x:t>
        </x:is>
      </x:c>
    </x:row>
    <x:row r="61" ht="18" customHeight="1">
      <x:c r="A61" s="31" t="inlineStr">
        <x:is>
          <x:t xml:space="preserve">ПОЗ-0026-3</x:t>
        </x:is>
      </x:c>
      <x:c r="B61" s="31" t="inlineStr">
        <x:is>
          <x:t xml:space="preserve">ЗК-1026</x:t>
        </x:is>
      </x:c>
      <x:c r="C61" s="31" t="inlineStr">
        <x:is>
          <x:t xml:space="preserve">ИЗД-018</x:t>
        </x:is>
      </x:c>
      <x:c r="D61" s="31" t="inlineStr">
        <x:is>
          <x:t xml:space="preserve">Шкаф управления СТК-118</x:t>
        </x:is>
      </x:c>
      <x:c r="E61" s="31" t="n">
        <x:v>1</x:v>
      </x:c>
      <x:c r="F61" s="31" t="n">
        <x:v>352051</x:v>
      </x:c>
      <x:c r="G61" s="31" t="n">
        <x:v>7</x:v>
      </x:c>
      <x:c r="H61" s="31" t="n">
        <x:v>327407</x:v>
      </x:c>
      <x:c r="I61" s="31" t="n">
        <x:v>178069</x:v>
      </x:c>
      <x:c r="J61" s="31" t="n">
        <x:v>38062</x:v>
      </x:c>
      <x:c r="K61" s="31" t="n">
        <x:v>22526</x:v>
      </x:c>
      <x:c r="L61" s="31" t="n">
        <x:v>88750</x:v>
      </x:c>
      <x:c r="M61" s="31" t="n">
        <x:v>0.271</x:v>
      </x:c>
      <x:c r="N61" s="31" t="inlineStr">
        <x:is>
          <x:t xml:space="preserve">Замена материала</x:t>
        </x:is>
      </x:c>
      <x:c r="O61" s="31" t="n">
        <x:v>46176</x:v>
      </x:c>
      <x:c r="P61" s="31" t="inlineStr">
        <x:is>
          <x:t xml:space="preserve">Спецификация 4</x:t>
        </x:is>
      </x:c>
    </x:row>
    <x:row r="62" ht="18" customHeight="1">
      <x:c r="A62" s="31" t="inlineStr">
        <x:is>
          <x:t xml:space="preserve">ПОЗ-0026-4</x:t>
        </x:is>
      </x:c>
      <x:c r="B62" s="31" t="inlineStr">
        <x:is>
          <x:t xml:space="preserve">ЗК-1026</x:t>
        </x:is>
      </x:c>
      <x:c r="C62" s="31" t="inlineStr">
        <x:is>
          <x:t xml:space="preserve">ИЗД-021</x:t>
        </x:is>
      </x:c>
      <x:c r="D62" s="31" t="inlineStr">
        <x:is>
          <x:t xml:space="preserve">Блок дозирования СТК-121</x:t>
        </x:is>
      </x:c>
      <x:c r="E62" s="31" t="n">
        <x:v>2</x:v>
      </x:c>
      <x:c r="F62" s="31" t="n">
        <x:v>681145</x:v>
      </x:c>
      <x:c r="G62" s="31" t="n">
        <x:v>0</x:v>
      </x:c>
      <x:c r="H62" s="31" t="n">
        <x:v>1362290</x:v>
      </x:c>
      <x:c r="I62" s="31" t="n">
        <x:v>481907</x:v>
      </x:c>
      <x:c r="J62" s="31" t="n">
        <x:v>207753</x:v>
      </x:c>
      <x:c r="K62" s="31" t="n">
        <x:v>99630</x:v>
      </x:c>
      <x:c r="L62" s="31" t="n">
        <x:v>573000</x:v>
      </x:c>
      <x:c r="M62" s="31" t="n">
        <x:v>0.421</x:v>
      </x:c>
      <x:c r="N62" s="31" t="inlineStr">
        <x:is>
          <x:t xml:space="preserve">Стандарт</x:t>
        </x:is>
      </x:c>
      <x:c r="O62" s="31" t="n">
        <x:v>46176</x:v>
      </x:c>
      <x:c r="P62" s="31" t="inlineStr">
        <x:is>
          <x:t xml:space="preserve">Спецификация 2</x:t>
        </x:is>
      </x:c>
    </x:row>
    <x:row r="63" ht="18" customHeight="1">
      <x:c r="A63" s="31" t="inlineStr">
        <x:is>
          <x:t xml:space="preserve">ПОЗ-0027-1</x:t>
        </x:is>
      </x:c>
      <x:c r="B63" s="31" t="inlineStr">
        <x:is>
          <x:t xml:space="preserve">ЗК-1027</x:t>
        </x:is>
      </x:c>
      <x:c r="C63" s="31" t="inlineStr">
        <x:is>
          <x:t xml:space="preserve">ИЗД-031</x:t>
        </x:is>
      </x:c>
      <x:c r="D63" s="31" t="inlineStr">
        <x:is>
          <x:t xml:space="preserve">Насосная станция СТК-131</x:t>
        </x:is>
      </x:c>
      <x:c r="E63" s="31" t="n">
        <x:v>5</x:v>
      </x:c>
      <x:c r="F63" s="31" t="n">
        <x:v>1017124</x:v>
      </x:c>
      <x:c r="G63" s="31" t="n">
        <x:v>0</x:v>
      </x:c>
      <x:c r="H63" s="31" t="n">
        <x:v>5085620</x:v>
      </x:c>
      <x:c r="I63" s="31" t="n">
        <x:v>2445226</x:v>
      </x:c>
      <x:c r="J63" s="31" t="n">
        <x:v>394471</x:v>
      </x:c>
      <x:c r="K63" s="31" t="n">
        <x:v>385940</x:v>
      </x:c>
      <x:c r="L63" s="31" t="n">
        <x:v>1859983</x:v>
      </x:c>
      <x:c r="M63" s="31" t="n">
        <x:v>0.366</x:v>
      </x:c>
      <x:c r="N63" s="31" t="inlineStr">
        <x:is>
          <x:t xml:space="preserve">Стандарт</x:t>
        </x:is>
      </x:c>
      <x:c r="O63" s="31" t="n">
        <x:v>46190</x:v>
      </x:c>
      <x:c r="P63" s="31" t="inlineStr">
        <x:is>
          <x:t xml:space="preserve">Спецификация 4</x:t>
        </x:is>
      </x:c>
    </x:row>
    <x:row r="64" ht="18" customHeight="1">
      <x:c r="A64" s="31" t="inlineStr">
        <x:is>
          <x:t xml:space="preserve">ПОЗ-0028-1</x:t>
        </x:is>
      </x:c>
      <x:c r="B64" s="31" t="inlineStr">
        <x:is>
          <x:t xml:space="preserve">ЗК-1028</x:t>
        </x:is>
      </x:c>
      <x:c r="C64" s="31" t="inlineStr">
        <x:is>
          <x:t xml:space="preserve">ИЗД-007</x:t>
        </x:is>
      </x:c>
      <x:c r="D64" s="31" t="inlineStr">
        <x:is>
          <x:t xml:space="preserve">Насосная станция СТК-107</x:t>
        </x:is>
      </x:c>
      <x:c r="E64" s="31" t="n">
        <x:v>2</x:v>
      </x:c>
      <x:c r="F64" s="31" t="n">
        <x:v>2539404</x:v>
      </x:c>
      <x:c r="G64" s="31" t="n">
        <x:v>0</x:v>
      </x:c>
      <x:c r="H64" s="31" t="n">
        <x:v>5078808</x:v>
      </x:c>
      <x:c r="I64" s="31" t="n">
        <x:v>1713250</x:v>
      </x:c>
      <x:c r="J64" s="31" t="n">
        <x:v>371829</x:v>
      </x:c>
      <x:c r="K64" s="31" t="n">
        <x:v>335052</x:v>
      </x:c>
      <x:c r="L64" s="31" t="n">
        <x:v>2658677</x:v>
      </x:c>
      <x:c r="M64" s="31" t="n">
        <x:v>0.523</x:v>
      </x:c>
      <x:c r="N64" s="31" t="inlineStr">
        <x:is>
          <x:t xml:space="preserve">Стандарт</x:t>
        </x:is>
      </x:c>
      <x:c r="O64" s="31" t="n">
        <x:v>46191</x:v>
      </x:c>
      <x:c r="P64" s="31" t="inlineStr">
        <x:is>
          <x:t xml:space="preserve">Спецификация 1</x:t>
        </x:is>
      </x:c>
    </x:row>
    <x:row r="65" ht="18" customHeight="1">
      <x:c r="A65" s="31" t="inlineStr">
        <x:is>
          <x:t xml:space="preserve">ПОЗ-0028-2</x:t>
        </x:is>
      </x:c>
      <x:c r="B65" s="31" t="inlineStr">
        <x:is>
          <x:t xml:space="preserve">ЗК-1028</x:t>
        </x:is>
      </x:c>
      <x:c r="C65" s="31" t="inlineStr">
        <x:is>
          <x:t xml:space="preserve">ИЗД-044</x:t>
        </x:is>
      </x:c>
      <x:c r="D65" s="31" t="inlineStr">
        <x:is>
          <x:t xml:space="preserve">Блок дозирования СТК-144</x:t>
        </x:is>
      </x:c>
      <x:c r="E65" s="31" t="n">
        <x:v>3</x:v>
      </x:c>
      <x:c r="F65" s="31" t="n">
        <x:v>353960</x:v>
      </x:c>
      <x:c r="G65" s="31" t="n">
        <x:v>5</x:v>
      </x:c>
      <x:c r="H65" s="31" t="n">
        <x:v>1008786</x:v>
      </x:c>
      <x:c r="I65" s="31" t="n">
        <x:v>475806</x:v>
      </x:c>
      <x:c r="J65" s="31" t="n">
        <x:v>106197</x:v>
      </x:c>
      <x:c r="K65" s="31" t="n">
        <x:v>56571</x:v>
      </x:c>
      <x:c r="L65" s="31" t="n">
        <x:v>370212</x:v>
      </x:c>
      <x:c r="M65" s="31" t="n">
        <x:v>0.367</x:v>
      </x:c>
      <x:c r="N65" s="31" t="inlineStr">
        <x:is>
          <x:t xml:space="preserve">Нестандарт</x:t>
        </x:is>
      </x:c>
      <x:c r="O65" s="31" t="n">
        <x:v>46191</x:v>
      </x:c>
      <x:c r="P65" s="31" t="inlineStr">
        <x:is>
          <x:t xml:space="preserve">Спецификация 3</x:t>
        </x:is>
      </x:c>
    </x:row>
    <x:row r="66" ht="18" customHeight="1">
      <x:c r="A66" s="31" t="inlineStr">
        <x:is>
          <x:t xml:space="preserve">ПОЗ-0028-3</x:t>
        </x:is>
      </x:c>
      <x:c r="B66" s="31" t="inlineStr">
        <x:is>
          <x:t xml:space="preserve">ЗК-1028</x:t>
        </x:is>
      </x:c>
      <x:c r="C66" s="31" t="inlineStr">
        <x:is>
          <x:t xml:space="preserve">ИЗД-004</x:t>
        </x:is>
      </x:c>
      <x:c r="D66" s="31" t="inlineStr">
        <x:is>
          <x:t xml:space="preserve">Блок дозирования СТК-104</x:t>
        </x:is>
      </x:c>
      <x:c r="E66" s="31" t="n">
        <x:v>4</x:v>
      </x:c>
      <x:c r="F66" s="31" t="n">
        <x:v>913725</x:v>
      </x:c>
      <x:c r="G66" s="31" t="n">
        <x:v>5</x:v>
      </x:c>
      <x:c r="H66" s="31" t="n">
        <x:v>3472155</x:v>
      </x:c>
      <x:c r="I66" s="31" t="n">
        <x:v>1290509</x:v>
      </x:c>
      <x:c r="J66" s="31" t="n">
        <x:v>333047</x:v>
      </x:c>
      <x:c r="K66" s="31" t="n">
        <x:v>297837</x:v>
      </x:c>
      <x:c r="L66" s="31" t="n">
        <x:v>1550762</x:v>
      </x:c>
      <x:c r="M66" s="31" t="n">
        <x:v>0.447</x:v>
      </x:c>
      <x:c r="N66" s="31" t="inlineStr">
        <x:is>
          <x:t xml:space="preserve">Нестандарт</x:t>
        </x:is>
      </x:c>
      <x:c r="O66" s="31" t="n">
        <x:v>46191</x:v>
      </x:c>
      <x:c r="P66" s="31" t="inlineStr">
        <x:is>
          <x:t xml:space="preserve">Спецификация 1</x:t>
        </x:is>
      </x:c>
    </x:row>
    <x:row r="67" ht="18" customHeight="1">
      <x:c r="A67" s="31" t="inlineStr">
        <x:is>
          <x:t xml:space="preserve">ПОЗ-0028-4</x:t>
        </x:is>
      </x:c>
      <x:c r="B67" s="31" t="inlineStr">
        <x:is>
          <x:t xml:space="preserve">ЗК-1028</x:t>
        </x:is>
      </x:c>
      <x:c r="C67" s="31" t="inlineStr">
        <x:is>
          <x:t xml:space="preserve">ИЗД-042</x:t>
        </x:is>
      </x:c>
      <x:c r="D67" s="31" t="inlineStr">
        <x:is>
          <x:t xml:space="preserve">Шкаф управления СТК-142</x:t>
        </x:is>
      </x:c>
      <x:c r="E67" s="31" t="n">
        <x:v>2</x:v>
      </x:c>
      <x:c r="F67" s="31" t="n">
        <x:v>710329</x:v>
      </x:c>
      <x:c r="G67" s="31" t="n">
        <x:v>5</x:v>
      </x:c>
      <x:c r="H67" s="31" t="n">
        <x:v>1349625</x:v>
      </x:c>
      <x:c r="I67" s="31" t="n">
        <x:v>551977</x:v>
      </x:c>
      <x:c r="J67" s="31" t="n">
        <x:v>131560</x:v>
      </x:c>
      <x:c r="K67" s="31" t="n">
        <x:v>140901</x:v>
      </x:c>
      <x:c r="L67" s="31" t="n">
        <x:v>525187</x:v>
      </x:c>
      <x:c r="M67" s="31" t="n">
        <x:v>0.389</x:v>
      </x:c>
      <x:c r="N67" s="31" t="inlineStr">
        <x:is>
          <x:t xml:space="preserve">Стандарт</x:t>
        </x:is>
      </x:c>
      <x:c r="O67" s="31" t="n">
        <x:v>46191</x:v>
      </x:c>
      <x:c r="P67" s="31" t="inlineStr">
        <x:is>
          <x:t xml:space="preserve">Спецификация 3</x:t>
        </x:is>
      </x:c>
    </x:row>
    <x:row r="68" ht="18" customHeight="1">
      <x:c r="A68" s="31" t="inlineStr">
        <x:is>
          <x:t xml:space="preserve">ПОЗ-0029-1</x:t>
        </x:is>
      </x:c>
      <x:c r="B68" s="31" t="inlineStr">
        <x:is>
          <x:t xml:space="preserve">ЗК-1029</x:t>
        </x:is>
      </x:c>
      <x:c r="C68" s="31" t="inlineStr">
        <x:is>
          <x:t xml:space="preserve">ИЗД-031</x:t>
        </x:is>
      </x:c>
      <x:c r="D68" s="31" t="inlineStr">
        <x:is>
          <x:t xml:space="preserve">Насосная станция СТК-131</x:t>
        </x:is>
      </x:c>
      <x:c r="E68" s="31" t="n">
        <x:v>4</x:v>
      </x:c>
      <x:c r="F68" s="31" t="n">
        <x:v>1124308</x:v>
      </x:c>
      <x:c r="G68" s="31" t="n">
        <x:v>3</x:v>
      </x:c>
      <x:c r="H68" s="31" t="n">
        <x:v>4362315</x:v>
      </x:c>
      <x:c r="I68" s="31" t="n">
        <x:v>1540098</x:v>
      </x:c>
      <x:c r="J68" s="31" t="n">
        <x:v>312190</x:v>
      </x:c>
      <x:c r="K68" s="31" t="n">
        <x:v>396110</x:v>
      </x:c>
      <x:c r="L68" s="31" t="n">
        <x:v>2113917</x:v>
      </x:c>
      <x:c r="M68" s="31" t="n">
        <x:v>0.485</x:v>
      </x:c>
      <x:c r="N68" s="31" t="inlineStr">
        <x:is>
          <x:t xml:space="preserve">Стандарт</x:t>
        </x:is>
      </x:c>
      <x:c r="O68" s="31" t="n">
        <x:v>46084</x:v>
      </x:c>
      <x:c r="P68" s="31" t="inlineStr">
        <x:is>
          <x:t xml:space="preserve">Спецификация 2</x:t>
        </x:is>
      </x:c>
    </x:row>
    <x:row r="69" ht="18" customHeight="1">
      <x:c r="A69" s="31" t="inlineStr">
        <x:is>
          <x:t xml:space="preserve">ПОЗ-0029-2</x:t>
        </x:is>
      </x:c>
      <x:c r="B69" s="31" t="inlineStr">
        <x:is>
          <x:t xml:space="preserve">ЗК-1029</x:t>
        </x:is>
      </x:c>
      <x:c r="C69" s="31" t="inlineStr">
        <x:is>
          <x:t xml:space="preserve">ИЗД-038</x:t>
        </x:is>
      </x:c>
      <x:c r="D69" s="31" t="inlineStr">
        <x:is>
          <x:t xml:space="preserve">Трубная обвязка СТК-138</x:t>
        </x:is>
      </x:c>
      <x:c r="E69" s="31" t="n">
        <x:v>5</x:v>
      </x:c>
      <x:c r="F69" s="31" t="n">
        <x:v>428815</x:v>
      </x:c>
      <x:c r="G69" s="31" t="n">
        <x:v>5</x:v>
      </x:c>
      <x:c r="H69" s="31" t="n">
        <x:v>2036871</x:v>
      </x:c>
      <x:c r="I69" s="31" t="n">
        <x:v>1038430</x:v>
      </x:c>
      <x:c r="J69" s="31" t="n">
        <x:v>160911</x:v>
      </x:c>
      <x:c r="K69" s="31" t="n">
        <x:v>200089</x:v>
      </x:c>
      <x:c r="L69" s="31" t="n">
        <x:v>637441</x:v>
      </x:c>
      <x:c r="M69" s="31" t="n">
        <x:v>0.313</x:v>
      </x:c>
      <x:c r="N69" s="31" t="inlineStr">
        <x:is>
          <x:t xml:space="preserve">Стандарт</x:t>
        </x:is>
      </x:c>
      <x:c r="O69" s="31" t="n">
        <x:v>46084</x:v>
      </x:c>
      <x:c r="P69" s="31" t="inlineStr">
        <x:is>
          <x:t xml:space="preserve">Спецификация 4</x:t>
        </x:is>
      </x:c>
    </x:row>
    <x:row r="70" ht="18" customHeight="1">
      <x:c r="A70" s="31" t="inlineStr">
        <x:is>
          <x:t xml:space="preserve">ПОЗ-0029-3</x:t>
        </x:is>
      </x:c>
      <x:c r="B70" s="31" t="inlineStr">
        <x:is>
          <x:t xml:space="preserve">ЗК-1029</x:t>
        </x:is>
      </x:c>
      <x:c r="C70" s="31" t="inlineStr">
        <x:is>
          <x:t xml:space="preserve">ИЗД-001</x:t>
        </x:is>
      </x:c>
      <x:c r="D70" s="31" t="inlineStr">
        <x:is>
          <x:t xml:space="preserve">Комплект ЗИП СТК-101</x:t>
        </x:is>
      </x:c>
      <x:c r="E70" s="31" t="n">
        <x:v>13</x:v>
      </x:c>
      <x:c r="F70" s="31" t="n">
        <x:v>82252</x:v>
      </x:c>
      <x:c r="G70" s="31" t="n">
        <x:v>0</x:v>
      </x:c>
      <x:c r="H70" s="31" t="n">
        <x:v>1069276</x:v>
      </x:c>
      <x:c r="I70" s="31" t="n">
        <x:v>474190</x:v>
      </x:c>
      <x:c r="J70" s="31" t="n">
        <x:v>109907</x:v>
      </x:c>
      <x:c r="K70" s="31" t="n">
        <x:v>54334</x:v>
      </x:c>
      <x:c r="L70" s="31" t="n">
        <x:v>430845</x:v>
      </x:c>
      <x:c r="M70" s="31" t="n">
        <x:v>0.403</x:v>
      </x:c>
      <x:c r="N70" s="31" t="inlineStr">
        <x:is>
          <x:t xml:space="preserve">Стандарт</x:t>
        </x:is>
      </x:c>
      <x:c r="O70" s="31" t="n">
        <x:v>46084</x:v>
      </x:c>
      <x:c r="P70" s="31" t="inlineStr">
        <x:is>
          <x:t xml:space="preserve">Спецификация 3</x:t>
        </x:is>
      </x:c>
    </x:row>
    <x:row r="71" ht="18" customHeight="1">
      <x:c r="A71" s="31" t="inlineStr">
        <x:is>
          <x:t xml:space="preserve">ПОЗ-0030-1</x:t>
        </x:is>
      </x:c>
      <x:c r="B71" s="31" t="inlineStr">
        <x:is>
          <x:t xml:space="preserve">ЗК-1030</x:t>
        </x:is>
      </x:c>
      <x:c r="C71" s="31" t="inlineStr">
        <x:is>
          <x:t xml:space="preserve">ИЗД-032</x:t>
        </x:is>
      </x:c>
      <x:c r="D71" s="31" t="inlineStr">
        <x:is>
          <x:t xml:space="preserve">Комплект ЗИП СТК-132</x:t>
        </x:is>
      </x:c>
      <x:c r="E71" s="31" t="n">
        <x:v>15</x:v>
      </x:c>
      <x:c r="F71" s="31" t="n">
        <x:v>197591</x:v>
      </x:c>
      <x:c r="G71" s="31" t="n">
        <x:v>5</x:v>
      </x:c>
      <x:c r="H71" s="31" t="n">
        <x:v>2815672</x:v>
      </x:c>
      <x:c r="I71" s="31" t="n">
        <x:v>1121682</x:v>
      </x:c>
      <x:c r="J71" s="31" t="n">
        <x:v>439057</x:v>
      </x:c>
      <x:c r="K71" s="31" t="n">
        <x:v>248691</x:v>
      </x:c>
      <x:c r="L71" s="31" t="n">
        <x:v>1006242</x:v>
      </x:c>
      <x:c r="M71" s="31" t="n">
        <x:v>0.357</x:v>
      </x:c>
      <x:c r="N71" s="31" t="inlineStr">
        <x:is>
          <x:t xml:space="preserve">Замена материала</x:t>
        </x:is>
      </x:c>
      <x:c r="O71" s="31" t="n">
        <x:v>46242</x:v>
      </x:c>
      <x:c r="P71" s="31" t="inlineStr">
        <x:is>
          <x:t xml:space="preserve">Спецификация 4</x:t>
        </x:is>
      </x:c>
    </x:row>
    <x:row r="72" ht="18" customHeight="1">
      <x:c r="A72" s="31" t="inlineStr">
        <x:is>
          <x:t xml:space="preserve">ПОЗ-0030-2</x:t>
        </x:is>
      </x:c>
      <x:c r="B72" s="31" t="inlineStr">
        <x:is>
          <x:t xml:space="preserve">ЗК-1030</x:t>
        </x:is>
      </x:c>
      <x:c r="C72" s="31" t="inlineStr">
        <x:is>
          <x:t xml:space="preserve">ИЗД-002</x:t>
        </x:is>
      </x:c>
      <x:c r="D72" s="31" t="inlineStr">
        <x:is>
          <x:t xml:space="preserve">Шкаф управления СТК-102</x:t>
        </x:is>
      </x:c>
      <x:c r="E72" s="31" t="n">
        <x:v>5</x:v>
      </x:c>
      <x:c r="F72" s="31" t="n">
        <x:v>583245</x:v>
      </x:c>
      <x:c r="G72" s="31" t="n">
        <x:v>7</x:v>
      </x:c>
      <x:c r="H72" s="31" t="n">
        <x:v>2712089</x:v>
      </x:c>
      <x:c r="I72" s="31" t="n">
        <x:v>1111014</x:v>
      </x:c>
      <x:c r="J72" s="31" t="n">
        <x:v>270687</x:v>
      </x:c>
      <x:c r="K72" s="31" t="n">
        <x:v>231474</x:v>
      </x:c>
      <x:c r="L72" s="31" t="n">
        <x:v>1098914</x:v>
      </x:c>
      <x:c r="M72" s="31" t="n">
        <x:v>0.405</x:v>
      </x:c>
      <x:c r="N72" s="31" t="inlineStr">
        <x:is>
          <x:t xml:space="preserve">Замена материала</x:t>
        </x:is>
      </x:c>
      <x:c r="O72" s="31" t="n">
        <x:v>46242</x:v>
      </x:c>
      <x:c r="P72" s="31" t="inlineStr">
        <x:is>
          <x:t xml:space="preserve">Спецификация 3</x:t>
        </x:is>
      </x:c>
    </x:row>
    <x:row r="73" ht="18" customHeight="1">
      <x:c r="A73" s="31" t="inlineStr">
        <x:is>
          <x:t xml:space="preserve">ПОЗ-0030-3</x:t>
        </x:is>
      </x:c>
      <x:c r="B73" s="31" t="inlineStr">
        <x:is>
          <x:t xml:space="preserve">ЗК-1030</x:t>
        </x:is>
      </x:c>
      <x:c r="C73" s="31" t="inlineStr">
        <x:is>
          <x:t xml:space="preserve">ИЗД-016</x:t>
        </x:is>
      </x:c>
      <x:c r="D73" s="31" t="inlineStr">
        <x:is>
          <x:t xml:space="preserve">Насосная станция СТК-116</x:t>
        </x:is>
      </x:c>
      <x:c r="E73" s="31" t="n">
        <x:v>3</x:v>
      </x:c>
      <x:c r="F73" s="31" t="n">
        <x:v>1141754</x:v>
      </x:c>
      <x:c r="G73" s="31" t="n">
        <x:v>3</x:v>
      </x:c>
      <x:c r="H73" s="31" t="n">
        <x:v>3322504</x:v>
      </x:c>
      <x:c r="I73" s="31" t="n">
        <x:v>1607318</x:v>
      </x:c>
      <x:c r="J73" s="31" t="n">
        <x:v>482014</x:v>
      </x:c>
      <x:c r="K73" s="31" t="n">
        <x:v>190638</x:v>
      </x:c>
      <x:c r="L73" s="31" t="n">
        <x:v>1042534</x:v>
      </x:c>
      <x:c r="M73" s="31" t="n">
        <x:v>0.314</x:v>
      </x:c>
      <x:c r="N73" s="31" t="inlineStr">
        <x:is>
          <x:t xml:space="preserve">Нестандарт</x:t>
        </x:is>
      </x:c>
      <x:c r="O73" s="31" t="n">
        <x:v>46242</x:v>
      </x:c>
      <x:c r="P73" s="31" t="inlineStr">
        <x:is>
          <x:t xml:space="preserve">Спецификация 3</x:t>
        </x:is>
      </x:c>
    </x:row>
    <x:row r="74" ht="18" customHeight="1">
      <x:c r="A74" s="31" t="inlineStr">
        <x:is>
          <x:t xml:space="preserve">ПОЗ-0031-1</x:t>
        </x:is>
      </x:c>
      <x:c r="B74" s="31" t="inlineStr">
        <x:is>
          <x:t xml:space="preserve">ЗК-1031</x:t>
        </x:is>
      </x:c>
      <x:c r="C74" s="31" t="inlineStr">
        <x:is>
          <x:t xml:space="preserve">ИЗД-030</x:t>
        </x:is>
      </x:c>
      <x:c r="D74" s="31" t="inlineStr">
        <x:is>
          <x:t xml:space="preserve">Насосная станция СТК-130</x:t>
        </x:is>
      </x:c>
      <x:c r="E74" s="31" t="n">
        <x:v>1</x:v>
      </x:c>
      <x:c r="F74" s="31" t="n">
        <x:v>2376586</x:v>
      </x:c>
      <x:c r="G74" s="31" t="n">
        <x:v>7</x:v>
      </x:c>
      <x:c r="H74" s="31" t="n">
        <x:v>2210225</x:v>
      </x:c>
      <x:c r="I74" s="31" t="n">
        <x:v>843726</x:v>
      </x:c>
      <x:c r="J74" s="31" t="n">
        <x:v>251862</x:v>
      </x:c>
      <x:c r="K74" s="31" t="n">
        <x:v>111186</x:v>
      </x:c>
      <x:c r="L74" s="31" t="n">
        <x:v>1003451</x:v>
      </x:c>
      <x:c r="M74" s="31" t="n">
        <x:v>0.454</x:v>
      </x:c>
      <x:c r="N74" s="31" t="inlineStr">
        <x:is>
          <x:t xml:space="preserve">Стандарт</x:t>
        </x:is>
      </x:c>
      <x:c r="O74" s="31" t="n">
        <x:v>46140</x:v>
      </x:c>
      <x:c r="P74" s="31" t="inlineStr">
        <x:is>
          <x:t xml:space="preserve">Спецификация 1</x:t>
        </x:is>
      </x:c>
    </x:row>
    <x:row r="75" ht="18" customHeight="1">
      <x:c r="A75" s="31" t="inlineStr">
        <x:is>
          <x:t xml:space="preserve">ПОЗ-0032-1</x:t>
        </x:is>
      </x:c>
      <x:c r="B75" s="31" t="inlineStr">
        <x:is>
          <x:t xml:space="preserve">ЗК-1032</x:t>
        </x:is>
      </x:c>
      <x:c r="C75" s="31" t="inlineStr">
        <x:is>
          <x:t xml:space="preserve">ИЗД-023</x:t>
        </x:is>
      </x:c>
      <x:c r="D75" s="31" t="inlineStr">
        <x:is>
          <x:t xml:space="preserve">Шкаф управления СТК-123</x:t>
        </x:is>
      </x:c>
      <x:c r="E75" s="31" t="n">
        <x:v>4</x:v>
      </x:c>
      <x:c r="F75" s="31" t="n">
        <x:v>938755</x:v>
      </x:c>
      <x:c r="G75" s="31" t="n">
        <x:v>10</x:v>
      </x:c>
      <x:c r="H75" s="31" t="n">
        <x:v>3379518</x:v>
      </x:c>
      <x:c r="I75" s="31" t="n">
        <x:v>1277111</x:v>
      </x:c>
      <x:c r="J75" s="31" t="n">
        <x:v>316030</x:v>
      </x:c>
      <x:c r="K75" s="31" t="n">
        <x:v>230217</x:v>
      </x:c>
      <x:c r="L75" s="31" t="n">
        <x:v>1556160</x:v>
      </x:c>
      <x:c r="M75" s="31" t="n">
        <x:v>0.46</x:v>
      </x:c>
      <x:c r="N75" s="31" t="inlineStr">
        <x:is>
          <x:t xml:space="preserve">Стандарт</x:t>
        </x:is>
      </x:c>
      <x:c r="O75" s="31" t="n">
        <x:v>46125</x:v>
      </x:c>
      <x:c r="P75" s="31" t="inlineStr">
        <x:is>
          <x:t xml:space="preserve">Спецификация 4</x:t>
        </x:is>
      </x:c>
    </x:row>
    <x:row r="76" ht="18" customHeight="1">
      <x:c r="A76" s="31" t="inlineStr">
        <x:is>
          <x:t xml:space="preserve">ПОЗ-0032-2</x:t>
        </x:is>
      </x:c>
      <x:c r="B76" s="31" t="inlineStr">
        <x:is>
          <x:t xml:space="preserve">ЗК-1032</x:t>
        </x:is>
      </x:c>
      <x:c r="C76" s="31" t="inlineStr">
        <x:is>
          <x:t xml:space="preserve">ИЗД-016</x:t>
        </x:is>
      </x:c>
      <x:c r="D76" s="31" t="inlineStr">
        <x:is>
          <x:t xml:space="preserve">Насосная станция СТК-116</x:t>
        </x:is>
      </x:c>
      <x:c r="E76" s="31" t="n">
        <x:v>3</x:v>
      </x:c>
      <x:c r="F76" s="31" t="n">
        <x:v>1329689</x:v>
      </x:c>
      <x:c r="G76" s="31" t="n">
        <x:v>0</x:v>
      </x:c>
      <x:c r="H76" s="31" t="n">
        <x:v>3989067</x:v>
      </x:c>
      <x:c r="I76" s="31" t="n">
        <x:v>1970847</x:v>
      </x:c>
      <x:c r="J76" s="31" t="n">
        <x:v>368996</x:v>
      </x:c>
      <x:c r="K76" s="31" t="n">
        <x:v>299095</x:v>
      </x:c>
      <x:c r="L76" s="31" t="n">
        <x:v>1350129</x:v>
      </x:c>
      <x:c r="M76" s="31" t="n">
        <x:v>0.338</x:v>
      </x:c>
      <x:c r="N76" s="31" t="inlineStr">
        <x:is>
          <x:t xml:space="preserve">Стандарт</x:t>
        </x:is>
      </x:c>
      <x:c r="O76" s="31" t="n">
        <x:v>46125</x:v>
      </x:c>
      <x:c r="P76" s="31" t="inlineStr">
        <x:is>
          <x:t xml:space="preserve">Спецификация 3</x:t>
        </x:is>
      </x:c>
    </x:row>
    <x:row r="77" ht="18" customHeight="1">
      <x:c r="A77" s="31" t="inlineStr">
        <x:is>
          <x:t xml:space="preserve">ПОЗ-0032-3</x:t>
        </x:is>
      </x:c>
      <x:c r="B77" s="31" t="inlineStr">
        <x:is>
          <x:t xml:space="preserve">ЗК-1032</x:t>
        </x:is>
      </x:c>
      <x:c r="C77" s="31" t="inlineStr">
        <x:is>
          <x:t xml:space="preserve">ИЗД-044</x:t>
        </x:is>
      </x:c>
      <x:c r="D77" s="31" t="inlineStr">
        <x:is>
          <x:t xml:space="preserve">Блок дозирования СТК-144</x:t>
        </x:is>
      </x:c>
      <x:c r="E77" s="31" t="n">
        <x:v>1</x:v>
      </x:c>
      <x:c r="F77" s="31" t="n">
        <x:v>360623</x:v>
      </x:c>
      <x:c r="G77" s="31" t="n">
        <x:v>10</x:v>
      </x:c>
      <x:c r="H77" s="31" t="n">
        <x:v>324561</x:v>
      </x:c>
      <x:c r="I77" s="31" t="n">
        <x:v>140536</x:v>
      </x:c>
      <x:c r="J77" s="31" t="n">
        <x:v>28076</x:v>
      </x:c>
      <x:c r="K77" s="31" t="n">
        <x:v>31464</x:v>
      </x:c>
      <x:c r="L77" s="31" t="n">
        <x:v>124485</x:v>
      </x:c>
      <x:c r="M77" s="31" t="n">
        <x:v>0.384</x:v>
      </x:c>
      <x:c r="N77" s="31" t="inlineStr">
        <x:is>
          <x:t xml:space="preserve">Нестандарт</x:t>
        </x:is>
      </x:c>
      <x:c r="O77" s="31" t="n">
        <x:v>46125</x:v>
      </x:c>
      <x:c r="P77" s="31" t="inlineStr">
        <x:is>
          <x:t xml:space="preserve">Спецификация 1</x:t>
        </x:is>
      </x:c>
    </x:row>
    <x:row r="78" ht="18" customHeight="1">
      <x:c r="A78" s="31" t="inlineStr">
        <x:is>
          <x:t xml:space="preserve">ПОЗ-0032-4</x:t>
        </x:is>
      </x:c>
      <x:c r="B78" s="31" t="inlineStr">
        <x:is>
          <x:t xml:space="preserve">ЗК-1032</x:t>
        </x:is>
      </x:c>
      <x:c r="C78" s="31" t="inlineStr">
        <x:is>
          <x:t xml:space="preserve">ИЗД-041</x:t>
        </x:is>
      </x:c>
      <x:c r="D78" s="31" t="inlineStr">
        <x:is>
          <x:t xml:space="preserve">Рама-основание СТК-141</x:t>
        </x:is>
      </x:c>
      <x:c r="E78" s="31" t="n">
        <x:v>2</x:v>
      </x:c>
      <x:c r="F78" s="31" t="n">
        <x:v>253437</x:v>
      </x:c>
      <x:c r="G78" s="31" t="n">
        <x:v>5</x:v>
      </x:c>
      <x:c r="H78" s="31" t="n">
        <x:v>481530</x:v>
      </x:c>
      <x:c r="I78" s="31" t="n">
        <x:v>205210</x:v>
      </x:c>
      <x:c r="J78" s="31" t="n">
        <x:v>63401</x:v>
      </x:c>
      <x:c r="K78" s="31" t="n">
        <x:v>34407</x:v>
      </x:c>
      <x:c r="L78" s="31" t="n">
        <x:v>178512</x:v>
      </x:c>
      <x:c r="M78" s="31" t="n">
        <x:v>0.371</x:v>
      </x:c>
      <x:c r="N78" s="31" t="inlineStr">
        <x:is>
          <x:t xml:space="preserve">Стандарт</x:t>
        </x:is>
      </x:c>
      <x:c r="O78" s="31" t="n">
        <x:v>46125</x:v>
      </x:c>
      <x:c r="P78" s="31" t="inlineStr">
        <x:is>
          <x:t xml:space="preserve">Спецификация 4</x:t>
        </x:is>
      </x:c>
    </x:row>
    <x:row r="79" ht="18" customHeight="1">
      <x:c r="A79" s="31" t="inlineStr">
        <x:is>
          <x:t xml:space="preserve">ПОЗ-0033-1</x:t>
        </x:is>
      </x:c>
      <x:c r="B79" s="31" t="inlineStr">
        <x:is>
          <x:t xml:space="preserve">ЗК-1033</x:t>
        </x:is>
      </x:c>
      <x:c r="C79" s="31" t="inlineStr">
        <x:is>
          <x:t xml:space="preserve">ИЗД-026</x:t>
        </x:is>
      </x:c>
      <x:c r="D79" s="31" t="inlineStr">
        <x:is>
          <x:t xml:space="preserve">Шкаф управления СТК-126</x:t>
        </x:is>
      </x:c>
      <x:c r="E79" s="31" t="n">
        <x:v>2</x:v>
      </x:c>
      <x:c r="F79" s="31" t="n">
        <x:v>480559</x:v>
      </x:c>
      <x:c r="G79" s="31" t="n">
        <x:v>0</x:v>
      </x:c>
      <x:c r="H79" s="31" t="n">
        <x:v>961118</x:v>
      </x:c>
      <x:c r="I79" s="31" t="n">
        <x:v>523265</x:v>
      </x:c>
      <x:c r="J79" s="31" t="n">
        <x:v>142959</x:v>
      </x:c>
      <x:c r="K79" s="31" t="n">
        <x:v>74595</x:v>
      </x:c>
      <x:c r="L79" s="31" t="n">
        <x:v>220299</x:v>
      </x:c>
      <x:c r="M79" s="31" t="n">
        <x:v>0.229</x:v>
      </x:c>
      <x:c r="N79" s="31" t="inlineStr">
        <x:is>
          <x:t xml:space="preserve">Стандарт</x:t>
        </x:is>
      </x:c>
      <x:c r="O79" s="31" t="n">
        <x:v>46159</x:v>
      </x:c>
      <x:c r="P79" s="31" t="inlineStr">
        <x:is>
          <x:t xml:space="preserve">Спецификация 1</x:t>
        </x:is>
      </x:c>
    </x:row>
    <x:row r="80" ht="18" customHeight="1">
      <x:c r="A80" s="31" t="inlineStr">
        <x:is>
          <x:t xml:space="preserve">ПОЗ-0034-1</x:t>
        </x:is>
      </x:c>
      <x:c r="B80" s="31" t="inlineStr">
        <x:is>
          <x:t xml:space="preserve">ЗК-1034</x:t>
        </x:is>
      </x:c>
      <x:c r="C80" s="31" t="inlineStr">
        <x:is>
          <x:t xml:space="preserve">ИЗД-009</x:t>
        </x:is>
      </x:c>
      <x:c r="D80" s="31" t="inlineStr">
        <x:is>
          <x:t xml:space="preserve">Трубная обвязка СТК-109</x:t>
        </x:is>
      </x:c>
      <x:c r="E80" s="31" t="n">
        <x:v>2</x:v>
      </x:c>
      <x:c r="F80" s="31" t="n">
        <x:v>585953</x:v>
      </x:c>
      <x:c r="G80" s="31" t="n">
        <x:v>0</x:v>
      </x:c>
      <x:c r="H80" s="31" t="n">
        <x:v>1171906</x:v>
      </x:c>
      <x:c r="I80" s="31" t="n">
        <x:v>610480</x:v>
      </x:c>
      <x:c r="J80" s="31" t="n">
        <x:v>82714</x:v>
      </x:c>
      <x:c r="K80" s="31" t="n">
        <x:v>92695</x:v>
      </x:c>
      <x:c r="L80" s="31" t="n">
        <x:v>386017</x:v>
      </x:c>
      <x:c r="M80" s="31" t="n">
        <x:v>0.329</x:v>
      </x:c>
      <x:c r="N80" s="31" t="inlineStr">
        <x:is>
          <x:t xml:space="preserve">Стандарт</x:t>
        </x:is>
      </x:c>
      <x:c r="O80" s="31" t="n">
        <x:v>46155</x:v>
      </x:c>
      <x:c r="P80" s="31" t="inlineStr">
        <x:is>
          <x:t xml:space="preserve">Спецификация 1</x:t>
        </x:is>
      </x:c>
    </x:row>
    <x:row r="81" ht="18" customHeight="1">
      <x:c r="A81" s="31" t="inlineStr">
        <x:is>
          <x:t xml:space="preserve">ПОЗ-0034-2</x:t>
        </x:is>
      </x:c>
      <x:c r="B81" s="31" t="inlineStr">
        <x:is>
          <x:t xml:space="preserve">ЗК-1034</x:t>
        </x:is>
      </x:c>
      <x:c r="C81" s="31" t="inlineStr">
        <x:is>
          <x:t xml:space="preserve">ИЗД-015</x:t>
        </x:is>
      </x:c>
      <x:c r="D81" s="31" t="inlineStr">
        <x:is>
          <x:t xml:space="preserve">Сервисный комплект СТК-115</x:t>
        </x:is>
      </x:c>
      <x:c r="E81" s="31" t="n">
        <x:v>4</x:v>
      </x:c>
      <x:c r="F81" s="31" t="n">
        <x:v>211130</x:v>
      </x:c>
      <x:c r="G81" s="31" t="n">
        <x:v>5</x:v>
      </x:c>
      <x:c r="H81" s="31" t="n">
        <x:v>802294</x:v>
      </x:c>
      <x:c r="I81" s="31" t="n">
        <x:v>324517</x:v>
      </x:c>
      <x:c r="J81" s="31" t="n">
        <x:v>63155</x:v>
      </x:c>
      <x:c r="K81" s="31" t="n">
        <x:v>49949</x:v>
      </x:c>
      <x:c r="L81" s="31" t="n">
        <x:v>364673</x:v>
      </x:c>
      <x:c r="M81" s="31" t="n">
        <x:v>0.455</x:v>
      </x:c>
      <x:c r="N81" s="31" t="inlineStr">
        <x:is>
          <x:t xml:space="preserve">Стандарт</x:t>
        </x:is>
      </x:c>
      <x:c r="O81" s="31" t="n">
        <x:v>46155</x:v>
      </x:c>
      <x:c r="P81" s="31" t="inlineStr">
        <x:is>
          <x:t xml:space="preserve">Спецификация 4</x:t>
        </x:is>
      </x:c>
    </x:row>
    <x:row r="82" ht="18" customHeight="1">
      <x:c r="A82" s="31" t="inlineStr">
        <x:is>
          <x:t xml:space="preserve">ПОЗ-0034-3</x:t>
        </x:is>
      </x:c>
      <x:c r="B82" s="31" t="inlineStr">
        <x:is>
          <x:t xml:space="preserve">ЗК-1034</x:t>
        </x:is>
      </x:c>
      <x:c r="C82" s="31" t="inlineStr">
        <x:is>
          <x:t xml:space="preserve">ИЗД-044</x:t>
        </x:is>
      </x:c>
      <x:c r="D82" s="31" t="inlineStr">
        <x:is>
          <x:t xml:space="preserve">Блок дозирования СТК-144</x:t>
        </x:is>
      </x:c>
      <x:c r="E82" s="31" t="n">
        <x:v>4</x:v>
      </x:c>
      <x:c r="F82" s="31" t="n">
        <x:v>337901</x:v>
      </x:c>
      <x:c r="G82" s="31" t="n">
        <x:v>0</x:v>
      </x:c>
      <x:c r="H82" s="31" t="n">
        <x:v>1351604</x:v>
      </x:c>
      <x:c r="I82" s="31" t="n">
        <x:v>573637</x:v>
      </x:c>
      <x:c r="J82" s="31" t="n">
        <x:v>214152</x:v>
      </x:c>
      <x:c r="K82" s="31" t="n">
        <x:v>134101</x:v>
      </x:c>
      <x:c r="L82" s="31" t="n">
        <x:v>429714</x:v>
      </x:c>
      <x:c r="M82" s="31" t="n">
        <x:v>0.318</x:v>
      </x:c>
      <x:c r="N82" s="31" t="inlineStr">
        <x:is>
          <x:t xml:space="preserve">Нестандарт</x:t>
        </x:is>
      </x:c>
      <x:c r="O82" s="31" t="n">
        <x:v>46155</x:v>
      </x:c>
      <x:c r="P82" s="31" t="inlineStr">
        <x:is>
          <x:t xml:space="preserve">Спецификация 3</x:t>
        </x:is>
      </x:c>
    </x:row>
    <x:row r="83" ht="18" customHeight="1">
      <x:c r="A83" s="31" t="inlineStr">
        <x:is>
          <x:t xml:space="preserve">ПОЗ-0034-4</x:t>
        </x:is>
      </x:c>
      <x:c r="B83" s="31" t="inlineStr">
        <x:is>
          <x:t xml:space="preserve">ЗК-1034</x:t>
        </x:is>
      </x:c>
      <x:c r="C83" s="31" t="inlineStr">
        <x:is>
          <x:t xml:space="preserve">ИЗД-041</x:t>
        </x:is>
      </x:c>
      <x:c r="D83" s="31" t="inlineStr">
        <x:is>
          <x:t xml:space="preserve">Рама-основание СТК-141</x:t>
        </x:is>
      </x:c>
      <x:c r="E83" s="31" t="n">
        <x:v>5</x:v>
      </x:c>
      <x:c r="F83" s="31" t="n">
        <x:v>263085</x:v>
      </x:c>
      <x:c r="G83" s="31" t="n">
        <x:v>7</x:v>
      </x:c>
      <x:c r="H83" s="31" t="n">
        <x:v>1223345</x:v>
      </x:c>
      <x:c r="I83" s="31" t="n">
        <x:v>541753</x:v>
      </x:c>
      <x:c r="J83" s="31" t="n">
        <x:v>133237</x:v>
      </x:c>
      <x:c r="K83" s="31" t="n">
        <x:v>107865</x:v>
      </x:c>
      <x:c r="L83" s="31" t="n">
        <x:v>440490</x:v>
      </x:c>
      <x:c r="M83" s="31" t="n">
        <x:v>0.36</x:v>
      </x:c>
      <x:c r="N83" s="31" t="inlineStr">
        <x:is>
          <x:t xml:space="preserve">Стандарт</x:t>
        </x:is>
      </x:c>
      <x:c r="O83" s="31" t="n">
        <x:v>46155</x:v>
      </x:c>
      <x:c r="P83" s="31" t="inlineStr">
        <x:is>
          <x:t xml:space="preserve">Спецификация 2</x:t>
        </x:is>
      </x:c>
    </x:row>
    <x:row r="84" ht="18" customHeight="1">
      <x:c r="A84" s="31" t="inlineStr">
        <x:is>
          <x:t xml:space="preserve">ПОЗ-0035-1</x:t>
        </x:is>
      </x:c>
      <x:c r="B84" s="31" t="inlineStr">
        <x:is>
          <x:t xml:space="preserve">ЗК-1035</x:t>
        </x:is>
      </x:c>
      <x:c r="C84" s="31" t="inlineStr">
        <x:is>
          <x:t xml:space="preserve">ИЗД-027</x:t>
        </x:is>
      </x:c>
      <x:c r="D84" s="31" t="inlineStr">
        <x:is>
          <x:t xml:space="preserve">Блок дозирования СТК-127</x:t>
        </x:is>
      </x:c>
      <x:c r="E84" s="31" t="n">
        <x:v>3</x:v>
      </x:c>
      <x:c r="F84" s="31" t="n">
        <x:v>633225</x:v>
      </x:c>
      <x:c r="G84" s="31" t="n">
        <x:v>3</x:v>
      </x:c>
      <x:c r="H84" s="31" t="n">
        <x:v>1842685</x:v>
      </x:c>
      <x:c r="I84" s="31" t="n">
        <x:v>773792</x:v>
      </x:c>
      <x:c r="J84" s="31" t="n">
        <x:v>179198</x:v>
      </x:c>
      <x:c r="K84" s="31" t="n">
        <x:v>163458</x:v>
      </x:c>
      <x:c r="L84" s="31" t="n">
        <x:v>726237</x:v>
      </x:c>
      <x:c r="M84" s="31" t="n">
        <x:v>0.394</x:v>
      </x:c>
      <x:c r="N84" s="31" t="inlineStr">
        <x:is>
          <x:t xml:space="preserve">Нестандарт</x:t>
        </x:is>
      </x:c>
      <x:c r="O84" s="31" t="n">
        <x:v>46152</x:v>
      </x:c>
      <x:c r="P84" s="31" t="inlineStr">
        <x:is>
          <x:t xml:space="preserve">Спецификация 4</x:t>
        </x:is>
      </x:c>
    </x:row>
    <x:row r="85" ht="18" customHeight="1">
      <x:c r="A85" s="31" t="inlineStr">
        <x:is>
          <x:t xml:space="preserve">ПОЗ-0035-2</x:t>
        </x:is>
      </x:c>
      <x:c r="B85" s="31" t="inlineStr">
        <x:is>
          <x:t xml:space="preserve">ЗК-1035</x:t>
        </x:is>
      </x:c>
      <x:c r="C85" s="31" t="inlineStr">
        <x:is>
          <x:t xml:space="preserve">ИЗД-028</x:t>
        </x:is>
      </x:c>
      <x:c r="D85" s="31" t="inlineStr">
        <x:is>
          <x:t xml:space="preserve">Блок дозирования СТК-128</x:t>
        </x:is>
      </x:c>
      <x:c r="E85" s="31" t="n">
        <x:v>1</x:v>
      </x:c>
      <x:c r="F85" s="31" t="n">
        <x:v>496157</x:v>
      </x:c>
      <x:c r="G85" s="31" t="n">
        <x:v>3</x:v>
      </x:c>
      <x:c r="H85" s="31" t="n">
        <x:v>481272</x:v>
      </x:c>
      <x:c r="I85" s="31" t="n">
        <x:v>193282</x:v>
      </x:c>
      <x:c r="J85" s="31" t="n">
        <x:v>71911</x:v>
      </x:c>
      <x:c r="K85" s="31" t="n">
        <x:v>37299</x:v>
      </x:c>
      <x:c r="L85" s="31" t="n">
        <x:v>178780</x:v>
      </x:c>
      <x:c r="M85" s="31" t="n">
        <x:v>0.371</x:v>
      </x:c>
      <x:c r="N85" s="31" t="inlineStr">
        <x:is>
          <x:t xml:space="preserve">Стандарт</x:t>
        </x:is>
      </x:c>
      <x:c r="O85" s="31" t="n">
        <x:v>46152</x:v>
      </x:c>
      <x:c r="P85" s="31" t="inlineStr">
        <x:is>
          <x:t xml:space="preserve">Спецификация 2</x:t>
        </x:is>
      </x:c>
    </x:row>
    <x:row r="86" ht="18" customHeight="1">
      <x:c r="A86" s="31" t="inlineStr">
        <x:is>
          <x:t xml:space="preserve">ПОЗ-0035-3</x:t>
        </x:is>
      </x:c>
      <x:c r="B86" s="31" t="inlineStr">
        <x:is>
          <x:t xml:space="preserve">ЗК-1035</x:t>
        </x:is>
      </x:c>
      <x:c r="C86" s="31" t="inlineStr">
        <x:is>
          <x:t xml:space="preserve">ИЗД-010</x:t>
        </x:is>
      </x:c>
      <x:c r="D86" s="31" t="inlineStr">
        <x:is>
          <x:t xml:space="preserve">Шкаф управления СТК-110</x:t>
        </x:is>
      </x:c>
      <x:c r="E86" s="31" t="n">
        <x:v>3</x:v>
      </x:c>
      <x:c r="F86" s="31" t="n">
        <x:v>782143</x:v>
      </x:c>
      <x:c r="G86" s="31" t="n">
        <x:v>7</x:v>
      </x:c>
      <x:c r="H86" s="31" t="n">
        <x:v>2182179</x:v>
      </x:c>
      <x:c r="I86" s="31" t="n">
        <x:v>796653</x:v>
      </x:c>
      <x:c r="J86" s="31" t="n">
        <x:v>330010</x:v>
      </x:c>
      <x:c r="K86" s="31" t="n">
        <x:v>177855</x:v>
      </x:c>
      <x:c r="L86" s="31" t="n">
        <x:v>877661</x:v>
      </x:c>
      <x:c r="M86" s="31" t="n">
        <x:v>0.402</x:v>
      </x:c>
      <x:c r="N86" s="31" t="inlineStr">
        <x:is>
          <x:t xml:space="preserve">Стандарт</x:t>
        </x:is>
      </x:c>
      <x:c r="O86" s="31" t="n">
        <x:v>46152</x:v>
      </x:c>
      <x:c r="P86" s="31" t="inlineStr">
        <x:is>
          <x:t xml:space="preserve">Спецификация 2</x:t>
        </x:is>
      </x:c>
    </x:row>
    <x:row r="87" ht="18" customHeight="1">
      <x:c r="A87" s="31" t="inlineStr">
        <x:is>
          <x:t xml:space="preserve">ПОЗ-0035-4</x:t>
        </x:is>
      </x:c>
      <x:c r="B87" s="31" t="inlineStr">
        <x:is>
          <x:t xml:space="preserve">ЗК-1035</x:t>
        </x:is>
      </x:c>
      <x:c r="C87" s="31" t="inlineStr">
        <x:is>
          <x:t xml:space="preserve">ИЗД-002</x:t>
        </x:is>
      </x:c>
      <x:c r="D87" s="31" t="inlineStr">
        <x:is>
          <x:t xml:space="preserve">Шкаф управления СТК-102</x:t>
        </x:is>
      </x:c>
      <x:c r="E87" s="31" t="n">
        <x:v>2</x:v>
      </x:c>
      <x:c r="F87" s="31" t="n">
        <x:v>611032</x:v>
      </x:c>
      <x:c r="G87" s="31" t="n">
        <x:v>5</x:v>
      </x:c>
      <x:c r="H87" s="31" t="n">
        <x:v>1160961</x:v>
      </x:c>
      <x:c r="I87" s="31" t="n">
        <x:v>473932</x:v>
      </x:c>
      <x:c r="J87" s="31" t="n">
        <x:v>155994</x:v>
      </x:c>
      <x:c r="K87" s="31" t="n">
        <x:v>112848</x:v>
      </x:c>
      <x:c r="L87" s="31" t="n">
        <x:v>418187</x:v>
      </x:c>
      <x:c r="M87" s="31" t="n">
        <x:v>0.36</x:v>
      </x:c>
      <x:c r="N87" s="31" t="inlineStr">
        <x:is>
          <x:t xml:space="preserve">Стандарт</x:t>
        </x:is>
      </x:c>
      <x:c r="O87" s="31" t="n">
        <x:v>46152</x:v>
      </x:c>
      <x:c r="P87" s="31" t="inlineStr">
        <x:is>
          <x:t xml:space="preserve">Спецификация 3</x:t>
        </x:is>
      </x:c>
    </x:row>
    <x:row r="88" ht="18" customHeight="1">
      <x:c r="A88" s="31" t="inlineStr">
        <x:is>
          <x:t xml:space="preserve">ПОЗ-0036-1</x:t>
        </x:is>
      </x:c>
      <x:c r="B88" s="31" t="inlineStr">
        <x:is>
          <x:t xml:space="preserve">ЗК-1036</x:t>
        </x:is>
      </x:c>
      <x:c r="C88" s="31" t="inlineStr">
        <x:is>
          <x:t xml:space="preserve">ИЗД-005</x:t>
        </x:is>
      </x:c>
      <x:c r="D88" s="31" t="inlineStr">
        <x:is>
          <x:t xml:space="preserve">Насосная станция СТК-105</x:t>
        </x:is>
      </x:c>
      <x:c r="E88" s="31" t="n">
        <x:v>2</x:v>
      </x:c>
      <x:c r="F88" s="31" t="n">
        <x:v>624284</x:v>
      </x:c>
      <x:c r="G88" s="31" t="n">
        <x:v>0</x:v>
      </x:c>
      <x:c r="H88" s="31" t="n">
        <x:v>1248568</x:v>
      </x:c>
      <x:c r="I88" s="31" t="n">
        <x:v>706698</x:v>
      </x:c>
      <x:c r="J88" s="31" t="n">
        <x:v>140935</x:v>
      </x:c>
      <x:c r="K88" s="31" t="n">
        <x:v>119356</x:v>
      </x:c>
      <x:c r="L88" s="31" t="n">
        <x:v>281579</x:v>
      </x:c>
      <x:c r="M88" s="31" t="n">
        <x:v>0.226</x:v>
      </x:c>
      <x:c r="N88" s="31" t="inlineStr">
        <x:is>
          <x:t xml:space="preserve">Срочная поставка</x:t>
        </x:is>
      </x:c>
      <x:c r="O88" s="31" t="n">
        <x:v>46197</x:v>
      </x:c>
      <x:c r="P88" s="31" t="inlineStr">
        <x:is>
          <x:t xml:space="preserve">Спецификация 2</x:t>
        </x:is>
      </x:c>
    </x:row>
    <x:row r="89" ht="18" customHeight="1">
      <x:c r="A89" s="31" t="inlineStr">
        <x:is>
          <x:t xml:space="preserve">ПОЗ-0036-2</x:t>
        </x:is>
      </x:c>
      <x:c r="B89" s="31" t="inlineStr">
        <x:is>
          <x:t xml:space="preserve">ЗК-1036</x:t>
        </x:is>
      </x:c>
      <x:c r="C89" s="31" t="inlineStr">
        <x:is>
          <x:t xml:space="preserve">ИЗД-003</x:t>
        </x:is>
      </x:c>
      <x:c r="D89" s="31" t="inlineStr">
        <x:is>
          <x:t xml:space="preserve">Насосная станция СТК-103</x:t>
        </x:is>
      </x:c>
      <x:c r="E89" s="31" t="n">
        <x:v>1</x:v>
      </x:c>
      <x:c r="F89" s="31" t="n">
        <x:v>2802833</x:v>
      </x:c>
      <x:c r="G89" s="31" t="n">
        <x:v>0</x:v>
      </x:c>
      <x:c r="H89" s="31" t="n">
        <x:v>2802833</x:v>
      </x:c>
      <x:c r="I89" s="31" t="n">
        <x:v>1481825</x:v>
      </x:c>
      <x:c r="J89" s="31" t="n">
        <x:v>386856</x:v>
      </x:c>
      <x:c r="K89" s="31" t="n">
        <x:v>210782</x:v>
      </x:c>
      <x:c r="L89" s="31" t="n">
        <x:v>723370</x:v>
      </x:c>
      <x:c r="M89" s="31" t="n">
        <x:v>0.258</x:v>
      </x:c>
      <x:c r="N89" s="31" t="inlineStr">
        <x:is>
          <x:t xml:space="preserve">Стандарт</x:t>
        </x:is>
      </x:c>
      <x:c r="O89" s="31" t="n">
        <x:v>46197</x:v>
      </x:c>
      <x:c r="P89" s="31" t="inlineStr">
        <x:is>
          <x:t xml:space="preserve">Спецификация 3</x:t>
        </x:is>
      </x:c>
    </x:row>
    <x:row r="90" ht="18" customHeight="1">
      <x:c r="A90" s="31" t="inlineStr">
        <x:is>
          <x:t xml:space="preserve">ПОЗ-0036-3</x:t>
        </x:is>
      </x:c>
      <x:c r="B90" s="31" t="inlineStr">
        <x:is>
          <x:t xml:space="preserve">ЗК-1036</x:t>
        </x:is>
      </x:c>
      <x:c r="C90" s="31" t="inlineStr">
        <x:is>
          <x:t xml:space="preserve">ИЗД-002</x:t>
        </x:is>
      </x:c>
      <x:c r="D90" s="31" t="inlineStr">
        <x:is>
          <x:t xml:space="preserve">Шкаф управления СТК-102</x:t>
        </x:is>
      </x:c>
      <x:c r="E90" s="31" t="n">
        <x:v>1</x:v>
      </x:c>
      <x:c r="F90" s="31" t="n">
        <x:v>561643</x:v>
      </x:c>
      <x:c r="G90" s="31" t="n">
        <x:v>5</x:v>
      </x:c>
      <x:c r="H90" s="31" t="n">
        <x:v>533561</x:v>
      </x:c>
      <x:c r="I90" s="31" t="n">
        <x:v>225968</x:v>
      </x:c>
      <x:c r="J90" s="31" t="n">
        <x:v>55324</x:v>
      </x:c>
      <x:c r="K90" s="31" t="n">
        <x:v>46888</x:v>
      </x:c>
      <x:c r="L90" s="31" t="n">
        <x:v>205381</x:v>
      </x:c>
      <x:c r="M90" s="31" t="n">
        <x:v>0.385</x:v>
      </x:c>
      <x:c r="N90" s="31" t="inlineStr">
        <x:is>
          <x:t xml:space="preserve">Стандарт</x:t>
        </x:is>
      </x:c>
      <x:c r="O90" s="31" t="n">
        <x:v>46197</x:v>
      </x:c>
      <x:c r="P90" s="31" t="inlineStr">
        <x:is>
          <x:t xml:space="preserve">Спецификация 2</x:t>
        </x:is>
      </x:c>
    </x:row>
    <x:row r="91" ht="18" customHeight="1">
      <x:c r="A91" s="31" t="inlineStr">
        <x:is>
          <x:t xml:space="preserve">ПОЗ-0036-4</x:t>
        </x:is>
      </x:c>
      <x:c r="B91" s="31" t="inlineStr">
        <x:is>
          <x:t xml:space="preserve">ЗК-1036</x:t>
        </x:is>
      </x:c>
      <x:c r="C91" s="31" t="inlineStr">
        <x:is>
          <x:t xml:space="preserve">ИЗД-011</x:t>
        </x:is>
      </x:c>
      <x:c r="D91" s="31" t="inlineStr">
        <x:is>
          <x:t xml:space="preserve">Шкаф управления СТК-111</x:t>
        </x:is>
      </x:c>
      <x:c r="E91" s="31" t="n">
        <x:v>3</x:v>
      </x:c>
      <x:c r="F91" s="31" t="n">
        <x:v>207075</x:v>
      </x:c>
      <x:c r="G91" s="31" t="n">
        <x:v>3</x:v>
      </x:c>
      <x:c r="H91" s="31" t="n">
        <x:v>602588</x:v>
      </x:c>
      <x:c r="I91" s="31" t="n">
        <x:v>248419</x:v>
      </x:c>
      <x:c r="J91" s="31" t="n">
        <x:v>76749</x:v>
      </x:c>
      <x:c r="K91" s="31" t="n">
        <x:v>50249</x:v>
      </x:c>
      <x:c r="L91" s="31" t="n">
        <x:v>227171</x:v>
      </x:c>
      <x:c r="M91" s="31" t="n">
        <x:v>0.377</x:v>
      </x:c>
      <x:c r="N91" s="31" t="inlineStr">
        <x:is>
          <x:t xml:space="preserve">Стандарт</x:t>
        </x:is>
      </x:c>
      <x:c r="O91" s="31" t="n">
        <x:v>46197</x:v>
      </x:c>
      <x:c r="P91" s="31" t="inlineStr">
        <x:is>
          <x:t xml:space="preserve">Спецификация 4</x:t>
        </x:is>
      </x:c>
    </x:row>
    <x:row r="92" ht="18" customHeight="1">
      <x:c r="A92" s="31" t="inlineStr">
        <x:is>
          <x:t xml:space="preserve">ПОЗ-0037-1</x:t>
        </x:is>
      </x:c>
      <x:c r="B92" s="31" t="inlineStr">
        <x:is>
          <x:t xml:space="preserve">ЗК-1037</x:t>
        </x:is>
      </x:c>
      <x:c r="C92" s="31" t="inlineStr">
        <x:is>
          <x:t xml:space="preserve">ИЗД-027</x:t>
        </x:is>
      </x:c>
      <x:c r="D92" s="31" t="inlineStr">
        <x:is>
          <x:t xml:space="preserve">Блок дозирования СТК-127</x:t>
        </x:is>
      </x:c>
      <x:c r="E92" s="31" t="n">
        <x:v>1</x:v>
      </x:c>
      <x:c r="F92" s="31" t="n">
        <x:v>614782</x:v>
      </x:c>
      <x:c r="G92" s="31" t="n">
        <x:v>5</x:v>
      </x:c>
      <x:c r="H92" s="31" t="n">
        <x:v>584043</x:v>
      </x:c>
      <x:c r="I92" s="31" t="n">
        <x:v>341907</x:v>
      </x:c>
      <x:c r="J92" s="31" t="n">
        <x:v>79164</x:v>
      </x:c>
      <x:c r="K92" s="31" t="n">
        <x:v>47710</x:v>
      </x:c>
      <x:c r="L92" s="31" t="n">
        <x:v>115262</x:v>
      </x:c>
      <x:c r="M92" s="31" t="n">
        <x:v>0.197</x:v>
      </x:c>
      <x:c r="N92" s="31" t="inlineStr">
        <x:is>
          <x:t xml:space="preserve">Стандарт</x:t>
        </x:is>
      </x:c>
      <x:c r="O92" s="31" t="n">
        <x:v>46181</x:v>
      </x:c>
      <x:c r="P92" s="31" t="inlineStr">
        <x:is>
          <x:t xml:space="preserve">Спецификация 2</x:t>
        </x:is>
      </x:c>
    </x:row>
    <x:row r="93" ht="18" customHeight="1">
      <x:c r="A93" s="31" t="inlineStr">
        <x:is>
          <x:t xml:space="preserve">ПОЗ-0037-2</x:t>
        </x:is>
      </x:c>
      <x:c r="B93" s="31" t="inlineStr">
        <x:is>
          <x:t xml:space="preserve">ЗК-1037</x:t>
        </x:is>
      </x:c>
      <x:c r="C93" s="31" t="inlineStr">
        <x:is>
          <x:t xml:space="preserve">ИЗД-037</x:t>
        </x:is>
      </x:c>
      <x:c r="D93" s="31" t="inlineStr">
        <x:is>
          <x:t xml:space="preserve">Трубная обвязка СТК-137</x:t>
        </x:is>
      </x:c>
      <x:c r="E93" s="31" t="n">
        <x:v>5</x:v>
      </x:c>
      <x:c r="F93" s="31" t="n">
        <x:v>229644</x:v>
      </x:c>
      <x:c r="G93" s="31" t="n">
        <x:v>3</x:v>
      </x:c>
      <x:c r="H93" s="31" t="n">
        <x:v>1113773</x:v>
      </x:c>
      <x:c r="I93" s="31" t="n">
        <x:v>464571</x:v>
      </x:c>
      <x:c r="J93" s="31" t="n">
        <x:v>168155</x:v>
      </x:c>
      <x:c r="K93" s="31" t="n">
        <x:v>112720</x:v>
      </x:c>
      <x:c r="L93" s="31" t="n">
        <x:v>368327</x:v>
      </x:c>
      <x:c r="M93" s="31" t="n">
        <x:v>0.331</x:v>
      </x:c>
      <x:c r="N93" s="31" t="inlineStr">
        <x:is>
          <x:t xml:space="preserve">Нестандарт</x:t>
        </x:is>
      </x:c>
      <x:c r="O93" s="31" t="n">
        <x:v>46181</x:v>
      </x:c>
      <x:c r="P93" s="31" t="inlineStr">
        <x:is>
          <x:t xml:space="preserve">Спецификация 4</x:t>
        </x:is>
      </x:c>
    </x:row>
    <x:row r="94" ht="18" customHeight="1">
      <x:c r="A94" s="31" t="inlineStr">
        <x:is>
          <x:t xml:space="preserve">ПОЗ-0037-3</x:t>
        </x:is>
      </x:c>
      <x:c r="B94" s="31" t="inlineStr">
        <x:is>
          <x:t xml:space="preserve">ЗК-1037</x:t>
        </x:is>
      </x:c>
      <x:c r="C94" s="31" t="inlineStr">
        <x:is>
          <x:t xml:space="preserve">ИЗД-035</x:t>
        </x:is>
      </x:c>
      <x:c r="D94" s="31" t="inlineStr">
        <x:is>
          <x:t xml:space="preserve">Компрессорный модуль СТК-135</x:t>
        </x:is>
      </x:c>
      <x:c r="E94" s="31" t="n">
        <x:v>4</x:v>
      </x:c>
      <x:c r="F94" s="31" t="n">
        <x:v>3171909</x:v>
      </x:c>
      <x:c r="G94" s="31" t="n">
        <x:v>7</x:v>
      </x:c>
      <x:c r="H94" s="31" t="n">
        <x:v>11799501</x:v>
      </x:c>
      <x:c r="I94" s="31" t="n">
        <x:v>5222321</x:v>
      </x:c>
      <x:c r="J94" s="31" t="n">
        <x:v>961038</x:v>
      </x:c>
      <x:c r="K94" s="31" t="n">
        <x:v>956170</x:v>
      </x:c>
      <x:c r="L94" s="31" t="n">
        <x:v>4659972</x:v>
      </x:c>
      <x:c r="M94" s="31" t="n">
        <x:v>0.395</x:v>
      </x:c>
      <x:c r="N94" s="31" t="inlineStr">
        <x:is>
          <x:t xml:space="preserve">Стандарт</x:t>
        </x:is>
      </x:c>
      <x:c r="O94" s="31" t="n">
        <x:v>46181</x:v>
      </x:c>
      <x:c r="P94" s="31" t="inlineStr">
        <x:is>
          <x:t xml:space="preserve">Спецификация 4</x:t>
        </x:is>
      </x:c>
    </x:row>
    <x:row r="95" ht="18" customHeight="1">
      <x:c r="A95" s="31" t="inlineStr">
        <x:is>
          <x:t xml:space="preserve">ПОЗ-0038-1</x:t>
        </x:is>
      </x:c>
      <x:c r="B95" s="31" t="inlineStr">
        <x:is>
          <x:t xml:space="preserve">ЗК-1038</x:t>
        </x:is>
      </x:c>
      <x:c r="C95" s="31" t="inlineStr">
        <x:is>
          <x:t xml:space="preserve">ИЗД-040</x:t>
        </x:is>
      </x:c>
      <x:c r="D95" s="31" t="inlineStr">
        <x:is>
          <x:t xml:space="preserve">Блок дозирования СТК-140</x:t>
        </x:is>
      </x:c>
      <x:c r="E95" s="31" t="n">
        <x:v>1</x:v>
      </x:c>
      <x:c r="F95" s="31" t="n">
        <x:v>926470</x:v>
      </x:c>
      <x:c r="G95" s="31" t="n">
        <x:v>10</x:v>
      </x:c>
      <x:c r="H95" s="31" t="n">
        <x:v>833823</x:v>
      </x:c>
      <x:c r="I95" s="31" t="n">
        <x:v>459720</x:v>
      </x:c>
      <x:c r="J95" s="31" t="n">
        <x:v>107389</x:v>
      </x:c>
      <x:c r="K95" s="31" t="n">
        <x:v>43306</x:v>
      </x:c>
      <x:c r="L95" s="31" t="n">
        <x:v>223408</x:v>
      </x:c>
      <x:c r="M95" s="31" t="n">
        <x:v>0.268</x:v>
      </x:c>
      <x:c r="N95" s="31" t="inlineStr">
        <x:is>
          <x:t xml:space="preserve">Стандарт</x:t>
        </x:is>
      </x:c>
      <x:c r="O95" s="31" t="n">
        <x:v>46136</x:v>
      </x:c>
      <x:c r="P95" s="31" t="inlineStr">
        <x:is>
          <x:t xml:space="preserve">Спецификация 2</x:t>
        </x:is>
      </x:c>
    </x:row>
    <x:row r="96" ht="18" customHeight="1">
      <x:c r="A96" s="31" t="inlineStr">
        <x:is>
          <x:t xml:space="preserve">ПОЗ-0038-2</x:t>
        </x:is>
      </x:c>
      <x:c r="B96" s="31" t="inlineStr">
        <x:is>
          <x:t xml:space="preserve">ЗК-1038</x:t>
        </x:is>
      </x:c>
      <x:c r="C96" s="31" t="inlineStr">
        <x:is>
          <x:t xml:space="preserve">ИЗД-004</x:t>
        </x:is>
      </x:c>
      <x:c r="D96" s="31" t="inlineStr">
        <x:is>
          <x:t xml:space="preserve">Блок дозирования СТК-104</x:t>
        </x:is>
      </x:c>
      <x:c r="E96" s="31" t="n">
        <x:v>3</x:v>
      </x:c>
      <x:c r="F96" s="31" t="n">
        <x:v>1080238</x:v>
      </x:c>
      <x:c r="G96" s="31" t="n">
        <x:v>0</x:v>
      </x:c>
      <x:c r="H96" s="31" t="n">
        <x:v>3240714</x:v>
      </x:c>
      <x:c r="I96" s="31" t="n">
        <x:v>1141426</x:v>
      </x:c>
      <x:c r="J96" s="31" t="n">
        <x:v>465070</x:v>
      </x:c>
      <x:c r="K96" s="31" t="n">
        <x:v>226126</x:v>
      </x:c>
      <x:c r="L96" s="31" t="n">
        <x:v>1408092</x:v>
      </x:c>
      <x:c r="M96" s="31" t="n">
        <x:v>0.435</x:v>
      </x:c>
      <x:c r="N96" s="31" t="inlineStr">
        <x:is>
          <x:t xml:space="preserve">Нестандарт</x:t>
        </x:is>
      </x:c>
      <x:c r="O96" s="31" t="n">
        <x:v>46136</x:v>
      </x:c>
      <x:c r="P96" s="31" t="inlineStr">
        <x:is>
          <x:t xml:space="preserve">Спецификация 1</x:t>
        </x:is>
      </x:c>
    </x:row>
    <x:row r="97" ht="18" customHeight="1">
      <x:c r="A97" s="31" t="inlineStr">
        <x:is>
          <x:t xml:space="preserve">ПОЗ-0038-3</x:t>
        </x:is>
      </x:c>
      <x:c r="B97" s="31" t="inlineStr">
        <x:is>
          <x:t xml:space="preserve">ЗК-1038</x:t>
        </x:is>
      </x:c>
      <x:c r="C97" s="31" t="inlineStr">
        <x:is>
          <x:t xml:space="preserve">ИЗД-035</x:t>
        </x:is>
      </x:c>
      <x:c r="D97" s="31" t="inlineStr">
        <x:is>
          <x:t xml:space="preserve">Компрессорный модуль СТК-135</x:t>
        </x:is>
      </x:c>
      <x:c r="E97" s="31" t="n">
        <x:v>2</x:v>
      </x:c>
      <x:c r="F97" s="31" t="n">
        <x:v>3071421</x:v>
      </x:c>
      <x:c r="G97" s="31" t="n">
        <x:v>7</x:v>
      </x:c>
      <x:c r="H97" s="31" t="n">
        <x:v>5712843</x:v>
      </x:c>
      <x:c r="I97" s="31" t="n">
        <x:v>2523914</x:v>
      </x:c>
      <x:c r="J97" s="31" t="n">
        <x:v>713535</x:v>
      </x:c>
      <x:c r="K97" s="31" t="n">
        <x:v>571857</x:v>
      </x:c>
      <x:c r="L97" s="31" t="n">
        <x:v>1903537</x:v>
      </x:c>
      <x:c r="M97" s="31" t="n">
        <x:v>0.333</x:v>
      </x:c>
      <x:c r="N97" s="31" t="inlineStr">
        <x:is>
          <x:t xml:space="preserve">Нестандарт</x:t>
        </x:is>
      </x:c>
      <x:c r="O97" s="31" t="n">
        <x:v>46136</x:v>
      </x:c>
      <x:c r="P97" s="31" t="inlineStr">
        <x:is>
          <x:t xml:space="preserve">Спецификация 3</x:t>
        </x:is>
      </x:c>
    </x:row>
    <x:row r="98" ht="18" customHeight="1">
      <x:c r="A98" s="31" t="inlineStr">
        <x:is>
          <x:t xml:space="preserve">ПОЗ-0038-4</x:t>
        </x:is>
      </x:c>
      <x:c r="B98" s="31" t="inlineStr">
        <x:is>
          <x:t xml:space="preserve">ЗК-1038</x:t>
        </x:is>
      </x:c>
      <x:c r="C98" s="31" t="inlineStr">
        <x:is>
          <x:t xml:space="preserve">ИЗД-045</x:t>
        </x:is>
      </x:c>
      <x:c r="D98" s="31" t="inlineStr">
        <x:is>
          <x:t xml:space="preserve">Шкаф управления СТК-145</x:t>
        </x:is>
      </x:c>
      <x:c r="E98" s="31" t="n">
        <x:v>1</x:v>
      </x:c>
      <x:c r="F98" s="31" t="n">
        <x:v>834666</x:v>
      </x:c>
      <x:c r="G98" s="31" t="n">
        <x:v>3</x:v>
      </x:c>
      <x:c r="H98" s="31" t="n">
        <x:v>809626</x:v>
      </x:c>
      <x:c r="I98" s="31" t="n">
        <x:v>363570</x:v>
      </x:c>
      <x:c r="J98" s="31" t="n">
        <x:v>62546</x:v>
      </x:c>
      <x:c r="K98" s="31" t="n">
        <x:v>67268</x:v>
      </x:c>
      <x:c r="L98" s="31" t="n">
        <x:v>316242</x:v>
      </x:c>
      <x:c r="M98" s="31" t="n">
        <x:v>0.391</x:v>
      </x:c>
      <x:c r="N98" s="31" t="inlineStr">
        <x:is>
          <x:t xml:space="preserve">Замена материала</x:t>
        </x:is>
      </x:c>
      <x:c r="O98" s="31" t="n">
        <x:v>46136</x:v>
      </x:c>
      <x:c r="P98" s="31" t="inlineStr">
        <x:is>
          <x:t xml:space="preserve">Спецификация 3</x:t>
        </x:is>
      </x:c>
    </x:row>
    <x:row r="99" ht="18" customHeight="1">
      <x:c r="A99" s="31" t="inlineStr">
        <x:is>
          <x:t xml:space="preserve">ПОЗ-0039-1</x:t>
        </x:is>
      </x:c>
      <x:c r="B99" s="31" t="inlineStr">
        <x:is>
          <x:t xml:space="preserve">ЗК-1039</x:t>
        </x:is>
      </x:c>
      <x:c r="C99" s="31" t="inlineStr">
        <x:is>
          <x:t xml:space="preserve">ИЗД-044</x:t>
        </x:is>
      </x:c>
      <x:c r="D99" s="31" t="inlineStr">
        <x:is>
          <x:t xml:space="preserve">Блок дозирования СТК-144</x:t>
        </x:is>
      </x:c>
      <x:c r="E99" s="31" t="n">
        <x:v>1</x:v>
      </x:c>
      <x:c r="F99" s="31" t="n">
        <x:v>369064</x:v>
      </x:c>
      <x:c r="G99" s="31" t="n">
        <x:v>3</x:v>
      </x:c>
      <x:c r="H99" s="31" t="n">
        <x:v>357992</x:v>
      </x:c>
      <x:c r="I99" s="31" t="n">
        <x:v>136757</x:v>
      </x:c>
      <x:c r="J99" s="31" t="n">
        <x:v>47656</x:v>
      </x:c>
      <x:c r="K99" s="31" t="n">
        <x:v>29704</x:v>
      </x:c>
      <x:c r="L99" s="31" t="n">
        <x:v>143875</x:v>
      </x:c>
      <x:c r="M99" s="31" t="n">
        <x:v>0.402</x:v>
      </x:c>
      <x:c r="N99" s="31" t="inlineStr">
        <x:is>
          <x:t xml:space="preserve">Стандарт</x:t>
        </x:is>
      </x:c>
      <x:c r="O99" s="31" t="n">
        <x:v>46103</x:v>
      </x:c>
      <x:c r="P99" s="31" t="inlineStr">
        <x:is>
          <x:t xml:space="preserve">Спецификация 1</x:t>
        </x:is>
      </x:c>
    </x:row>
    <x:row r="100" ht="18" customHeight="1">
      <x:c r="A100" s="31" t="inlineStr">
        <x:is>
          <x:t xml:space="preserve">ПОЗ-0039-2</x:t>
        </x:is>
      </x:c>
      <x:c r="B100" s="31" t="inlineStr">
        <x:is>
          <x:t xml:space="preserve">ЗК-1039</x:t>
        </x:is>
      </x:c>
      <x:c r="C100" s="31" t="inlineStr">
        <x:is>
          <x:t xml:space="preserve">ИЗД-002</x:t>
        </x:is>
      </x:c>
      <x:c r="D100" s="31" t="inlineStr">
        <x:is>
          <x:t xml:space="preserve">Шкаф управления СТК-102</x:t>
        </x:is>
      </x:c>
      <x:c r="E100" s="31" t="n">
        <x:v>5</x:v>
      </x:c>
      <x:c r="F100" s="31" t="n">
        <x:v>710087</x:v>
      </x:c>
      <x:c r="G100" s="31" t="n">
        <x:v>3</x:v>
      </x:c>
      <x:c r="H100" s="31" t="n">
        <x:v>3443922</x:v>
      </x:c>
      <x:c r="I100" s="31" t="n">
        <x:v>1330904</x:v>
      </x:c>
      <x:c r="J100" s="31" t="n">
        <x:v>376377</x:v>
      </x:c>
      <x:c r="K100" s="31" t="n">
        <x:v>184165</x:v>
      </x:c>
      <x:c r="L100" s="31" t="n">
        <x:v>1552476</x:v>
      </x:c>
      <x:c r="M100" s="31" t="n">
        <x:v>0.451</x:v>
      </x:c>
      <x:c r="N100" s="31" t="inlineStr">
        <x:is>
          <x:t xml:space="preserve">Стандарт</x:t>
        </x:is>
      </x:c>
      <x:c r="O100" s="31" t="n">
        <x:v>46103</x:v>
      </x:c>
      <x:c r="P100" s="31" t="inlineStr">
        <x:is>
          <x:t xml:space="preserve">Спецификация 1</x:t>
        </x:is>
      </x:c>
    </x:row>
    <x:row r="101" ht="18" customHeight="1">
      <x:c r="A101" s="31" t="inlineStr">
        <x:is>
          <x:t xml:space="preserve">ПОЗ-0039-3</x:t>
        </x:is>
      </x:c>
      <x:c r="B101" s="31" t="inlineStr">
        <x:is>
          <x:t xml:space="preserve">ЗК-1039</x:t>
        </x:is>
      </x:c>
      <x:c r="C101" s="31" t="inlineStr">
        <x:is>
          <x:t xml:space="preserve">ИЗД-036</x:t>
        </x:is>
      </x:c>
      <x:c r="D101" s="31" t="inlineStr">
        <x:is>
          <x:t xml:space="preserve">Шкаф управления СТК-136</x:t>
        </x:is>
      </x:c>
      <x:c r="E101" s="31" t="n">
        <x:v>2</x:v>
      </x:c>
      <x:c r="F101" s="31" t="n">
        <x:v>802993</x:v>
      </x:c>
      <x:c r="G101" s="31" t="n">
        <x:v>5</x:v>
      </x:c>
      <x:c r="H101" s="31" t="n">
        <x:v>1525687</x:v>
      </x:c>
      <x:c r="I101" s="31" t="n">
        <x:v>707218</x:v>
      </x:c>
      <x:c r="J101" s="31" t="n">
        <x:v>180427</x:v>
      </x:c>
      <x:c r="K101" s="31" t="n">
        <x:v>80475</x:v>
      </x:c>
      <x:c r="L101" s="31" t="n">
        <x:v>557567</x:v>
      </x:c>
      <x:c r="M101" s="31" t="n">
        <x:v>0.365</x:v>
      </x:c>
      <x:c r="N101" s="31" t="inlineStr">
        <x:is>
          <x:t xml:space="preserve">Нестандарт</x:t>
        </x:is>
      </x:c>
      <x:c r="O101" s="31" t="n">
        <x:v>46103</x:v>
      </x:c>
      <x:c r="P101" s="31" t="inlineStr">
        <x:is>
          <x:t xml:space="preserve">Спецификация 2</x:t>
        </x:is>
      </x:c>
    </x:row>
    <x:row r="102" ht="18" customHeight="1">
      <x:c r="A102" s="31" t="inlineStr">
        <x:is>
          <x:t xml:space="preserve">ПОЗ-0039-4</x:t>
        </x:is>
      </x:c>
      <x:c r="B102" s="31" t="inlineStr">
        <x:is>
          <x:t xml:space="preserve">ЗК-1039</x:t>
        </x:is>
      </x:c>
      <x:c r="C102" s="31" t="inlineStr">
        <x:is>
          <x:t xml:space="preserve">ИЗД-031</x:t>
        </x:is>
      </x:c>
      <x:c r="D102" s="31" t="inlineStr">
        <x:is>
          <x:t xml:space="preserve">Насосная станция СТК-131</x:t>
        </x:is>
      </x:c>
      <x:c r="E102" s="31" t="n">
        <x:v>1</x:v>
      </x:c>
      <x:c r="F102" s="31" t="n">
        <x:v>921294</x:v>
      </x:c>
      <x:c r="G102" s="31" t="n">
        <x:v>0</x:v>
      </x:c>
      <x:c r="H102" s="31" t="n">
        <x:v>921294</x:v>
      </x:c>
      <x:c r="I102" s="31" t="n">
        <x:v>343337</x:v>
      </x:c>
      <x:c r="J102" s="31" t="n">
        <x:v>68116</x:v>
      </x:c>
      <x:c r="K102" s="31" t="n">
        <x:v>65393</x:v>
      </x:c>
      <x:c r="L102" s="31" t="n">
        <x:v>444448</x:v>
      </x:c>
      <x:c r="M102" s="31" t="n">
        <x:v>0.482</x:v>
      </x:c>
      <x:c r="N102" s="31" t="inlineStr">
        <x:is>
          <x:t xml:space="preserve">Стандарт</x:t>
        </x:is>
      </x:c>
      <x:c r="O102" s="31" t="n">
        <x:v>46103</x:v>
      </x:c>
      <x:c r="P102" s="31" t="inlineStr">
        <x:is>
          <x:t xml:space="preserve">Спецификация 2</x:t>
        </x:is>
      </x:c>
    </x:row>
    <x:row r="103" ht="18" customHeight="1">
      <x:c r="A103" s="31" t="inlineStr">
        <x:is>
          <x:t xml:space="preserve">ПОЗ-0040-1</x:t>
        </x:is>
      </x:c>
      <x:c r="B103" s="31" t="inlineStr">
        <x:is>
          <x:t xml:space="preserve">ЗК-1040</x:t>
        </x:is>
      </x:c>
      <x:c r="C103" s="31" t="inlineStr">
        <x:is>
          <x:t xml:space="preserve">ИЗД-024</x:t>
        </x:is>
      </x:c>
      <x:c r="D103" s="31" t="inlineStr">
        <x:is>
          <x:t xml:space="preserve">Блок дозирования СТК-124</x:t>
        </x:is>
      </x:c>
      <x:c r="E103" s="31" t="n">
        <x:v>2</x:v>
      </x:c>
      <x:c r="F103" s="31" t="n">
        <x:v>1395886</x:v>
      </x:c>
      <x:c r="G103" s="31" t="n">
        <x:v>0</x:v>
      </x:c>
      <x:c r="H103" s="31" t="n">
        <x:v>2791772</x:v>
      </x:c>
      <x:c r="I103" s="31" t="n">
        <x:v>1447969</x:v>
      </x:c>
      <x:c r="J103" s="31" t="n">
        <x:v>321919</x:v>
      </x:c>
      <x:c r="K103" s="31" t="n">
        <x:v>148634</x:v>
      </x:c>
      <x:c r="L103" s="31" t="n">
        <x:v>873250</x:v>
      </x:c>
      <x:c r="M103" s="31" t="n">
        <x:v>0.313</x:v>
      </x:c>
      <x:c r="N103" s="31" t="inlineStr">
        <x:is>
          <x:t xml:space="preserve">Замена материала</x:t>
        </x:is>
      </x:c>
      <x:c r="O103" s="31" t="n">
        <x:v>46138</x:v>
      </x:c>
      <x:c r="P103" s="31" t="inlineStr">
        <x:is>
          <x:t xml:space="preserve">Спецификация 4</x:t>
        </x:is>
      </x:c>
    </x:row>
    <x:row r="104" ht="18" customHeight="1">
      <x:c r="A104" s="31" t="inlineStr">
        <x:is>
          <x:t xml:space="preserve">ПОЗ-0040-2</x:t>
        </x:is>
      </x:c>
      <x:c r="B104" s="31" t="inlineStr">
        <x:is>
          <x:t xml:space="preserve">ЗК-1040</x:t>
        </x:is>
      </x:c>
      <x:c r="C104" s="31" t="inlineStr">
        <x:is>
          <x:t xml:space="preserve">ИЗД-036</x:t>
        </x:is>
      </x:c>
      <x:c r="D104" s="31" t="inlineStr">
        <x:is>
          <x:t xml:space="preserve">Шкаф управления СТК-136</x:t>
        </x:is>
      </x:c>
      <x:c r="E104" s="31" t="n">
        <x:v>3</x:v>
      </x:c>
      <x:c r="F104" s="31" t="n">
        <x:v>734995</x:v>
      </x:c>
      <x:c r="G104" s="31" t="n">
        <x:v>7</x:v>
      </x:c>
      <x:c r="H104" s="31" t="n">
        <x:v>2050636</x:v>
      </x:c>
      <x:c r="I104" s="31" t="n">
        <x:v>960564</x:v>
      </x:c>
      <x:c r="J104" s="31" t="n">
        <x:v>239698</x:v>
      </x:c>
      <x:c r="K104" s="31" t="n">
        <x:v>140051</x:v>
      </x:c>
      <x:c r="L104" s="31" t="n">
        <x:v>710323</x:v>
      </x:c>
      <x:c r="M104" s="31" t="n">
        <x:v>0.346</x:v>
      </x:c>
      <x:c r="N104" s="31" t="inlineStr">
        <x:is>
          <x:t xml:space="preserve">Стандарт</x:t>
        </x:is>
      </x:c>
      <x:c r="O104" s="31" t="n">
        <x:v>46138</x:v>
      </x:c>
      <x:c r="P104" s="31" t="inlineStr">
        <x:is>
          <x:t xml:space="preserve">Спецификация 1</x:t>
        </x:is>
      </x:c>
    </x:row>
    <x:row r="105" ht="18" customHeight="1">
      <x:c r="A105" s="31" t="inlineStr">
        <x:is>
          <x:t xml:space="preserve">ПОЗ-0040-3</x:t>
        </x:is>
      </x:c>
      <x:c r="B105" s="31" t="inlineStr">
        <x:is>
          <x:t xml:space="preserve">ЗК-1040</x:t>
        </x:is>
      </x:c>
      <x:c r="C105" s="31" t="inlineStr">
        <x:is>
          <x:t xml:space="preserve">ИЗД-019</x:t>
        </x:is>
      </x:c>
      <x:c r="D105" s="31" t="inlineStr">
        <x:is>
          <x:t xml:space="preserve">Насосная станция СТК-119</x:t>
        </x:is>
      </x:c>
      <x:c r="E105" s="31" t="n">
        <x:v>3</x:v>
      </x:c>
      <x:c r="F105" s="31" t="n">
        <x:v>1320870</x:v>
      </x:c>
      <x:c r="G105" s="31" t="n">
        <x:v>5</x:v>
      </x:c>
      <x:c r="H105" s="31" t="n">
        <x:v>3764480</x:v>
      </x:c>
      <x:c r="I105" s="31" t="n">
        <x:v>1239896</x:v>
      </x:c>
      <x:c r="J105" s="31" t="n">
        <x:v>343168</x:v>
      </x:c>
      <x:c r="K105" s="31" t="n">
        <x:v>287669</x:v>
      </x:c>
      <x:c r="L105" s="31" t="n">
        <x:v>1893747</x:v>
      </x:c>
      <x:c r="M105" s="31" t="n">
        <x:v>0.503</x:v>
      </x:c>
      <x:c r="N105" s="31" t="inlineStr">
        <x:is>
          <x:t xml:space="preserve">Нестандарт</x:t>
        </x:is>
      </x:c>
      <x:c r="O105" s="31" t="n">
        <x:v>46138</x:v>
      </x:c>
      <x:c r="P105" s="31" t="inlineStr">
        <x:is>
          <x:t xml:space="preserve">Спецификация 1</x:t>
        </x:is>
      </x:c>
    </x:row>
    <x:row r="106" ht="18" customHeight="1">
      <x:c r="A106" s="31" t="inlineStr">
        <x:is>
          <x:t xml:space="preserve">ПОЗ-0041-1</x:t>
        </x:is>
      </x:c>
      <x:c r="B106" s="31" t="inlineStr">
        <x:is>
          <x:t xml:space="preserve">ЗК-1041</x:t>
        </x:is>
      </x:c>
      <x:c r="C106" s="31" t="inlineStr">
        <x:is>
          <x:t xml:space="preserve">ИЗД-014</x:t>
        </x:is>
      </x:c>
      <x:c r="D106" s="31" t="inlineStr">
        <x:is>
          <x:t xml:space="preserve">Рама-основание СТК-114</x:t>
        </x:is>
      </x:c>
      <x:c r="E106" s="31" t="n">
        <x:v>2</x:v>
      </x:c>
      <x:c r="F106" s="31" t="n">
        <x:v>110490</x:v>
      </x:c>
      <x:c r="G106" s="31" t="n">
        <x:v>3</x:v>
      </x:c>
      <x:c r="H106" s="31" t="n">
        <x:v>214351</x:v>
      </x:c>
      <x:c r="I106" s="31" t="n">
        <x:v>105316</x:v>
      </x:c>
      <x:c r="J106" s="31" t="n">
        <x:v>15609</x:v>
      </x:c>
      <x:c r="K106" s="31" t="n">
        <x:v>20530</x:v>
      </x:c>
      <x:c r="L106" s="31" t="n">
        <x:v>72896</x:v>
      </x:c>
      <x:c r="M106" s="31" t="n">
        <x:v>0.34</x:v>
      </x:c>
      <x:c r="N106" s="31" t="inlineStr">
        <x:is>
          <x:t xml:space="preserve">Замена материала</x:t>
        </x:is>
      </x:c>
      <x:c r="O106" s="31" t="n">
        <x:v>46103</x:v>
      </x:c>
      <x:c r="P106" s="31" t="inlineStr">
        <x:is>
          <x:t xml:space="preserve">Спецификация 3</x:t>
        </x:is>
      </x:c>
    </x:row>
    <x:row r="107" ht="18" customHeight="1">
      <x:c r="A107" s="31" t="inlineStr">
        <x:is>
          <x:t xml:space="preserve">ПОЗ-0041-2</x:t>
        </x:is>
      </x:c>
      <x:c r="B107" s="31" t="inlineStr">
        <x:is>
          <x:t xml:space="preserve">ЗК-1041</x:t>
        </x:is>
      </x:c>
      <x:c r="C107" s="31" t="inlineStr">
        <x:is>
          <x:t xml:space="preserve">ИЗД-025</x:t>
        </x:is>
      </x:c>
      <x:c r="D107" s="31" t="inlineStr">
        <x:is>
          <x:t xml:space="preserve">Блок дозирования СТК-125</x:t>
        </x:is>
      </x:c>
      <x:c r="E107" s="31" t="n">
        <x:v>3</x:v>
      </x:c>
      <x:c r="F107" s="31" t="n">
        <x:v>1251072</x:v>
      </x:c>
      <x:c r="G107" s="31" t="n">
        <x:v>3</x:v>
      </x:c>
      <x:c r="H107" s="31" t="n">
        <x:v>3640620</x:v>
      </x:c>
      <x:c r="I107" s="31" t="n">
        <x:v>1819130</x:v>
      </x:c>
      <x:c r="J107" s="31" t="n">
        <x:v>366556</x:v>
      </x:c>
      <x:c r="K107" s="31" t="n">
        <x:v>363168</x:v>
      </x:c>
      <x:c r="L107" s="31" t="n">
        <x:v>1091766</x:v>
      </x:c>
      <x:c r="M107" s="31" t="n">
        <x:v>0.3</x:v>
      </x:c>
      <x:c r="N107" s="31" t="inlineStr">
        <x:is>
          <x:t xml:space="preserve">Стандарт</x:t>
        </x:is>
      </x:c>
      <x:c r="O107" s="31" t="n">
        <x:v>46103</x:v>
      </x:c>
      <x:c r="P107" s="31" t="inlineStr">
        <x:is>
          <x:t xml:space="preserve">Спецификация 4</x:t>
        </x:is>
      </x:c>
    </x:row>
    <x:row r="108" ht="18" customHeight="1">
      <x:c r="A108" s="31" t="inlineStr">
        <x:is>
          <x:t xml:space="preserve">ПОЗ-0042-1</x:t>
        </x:is>
      </x:c>
      <x:c r="B108" s="31" t="inlineStr">
        <x:is>
          <x:t xml:space="preserve">ЗК-1042</x:t>
        </x:is>
      </x:c>
      <x:c r="C108" s="31" t="inlineStr">
        <x:is>
          <x:t xml:space="preserve">ИЗД-001</x:t>
        </x:is>
      </x:c>
      <x:c r="D108" s="31" t="inlineStr">
        <x:is>
          <x:t xml:space="preserve">Комплект ЗИП СТК-101</x:t>
        </x:is>
      </x:c>
      <x:c r="E108" s="31" t="n">
        <x:v>10</x:v>
      </x:c>
      <x:c r="F108" s="31" t="n">
        <x:v>65827</x:v>
      </x:c>
      <x:c r="G108" s="31" t="n">
        <x:v>0</x:v>
      </x:c>
      <x:c r="H108" s="31" t="n">
        <x:v>658270</x:v>
      </x:c>
      <x:c r="I108" s="31" t="n">
        <x:v>297634</x:v>
      </x:c>
      <x:c r="J108" s="31" t="n">
        <x:v>66076</x:v>
      </x:c>
      <x:c r="K108" s="31" t="n">
        <x:v>48499</x:v>
      </x:c>
      <x:c r="L108" s="31" t="n">
        <x:v>246061</x:v>
      </x:c>
      <x:c r="M108" s="31" t="n">
        <x:v>0.374</x:v>
      </x:c>
      <x:c r="N108" s="31" t="inlineStr">
        <x:is>
          <x:t xml:space="preserve">Стандарт</x:t>
        </x:is>
      </x:c>
      <x:c r="O108" s="31" t="n">
        <x:v>46099</x:v>
      </x:c>
      <x:c r="P108" s="31" t="inlineStr">
        <x:is>
          <x:t xml:space="preserve">Спецификация 3</x:t>
        </x:is>
      </x:c>
    </x:row>
    <x:row r="109" ht="18" customHeight="1">
      <x:c r="A109" s="31" t="inlineStr">
        <x:is>
          <x:t xml:space="preserve">ПОЗ-0042-2</x:t>
        </x:is>
      </x:c>
      <x:c r="B109" s="31" t="inlineStr">
        <x:is>
          <x:t xml:space="preserve">ЗК-1042</x:t>
        </x:is>
      </x:c>
      <x:c r="C109" s="31" t="inlineStr">
        <x:is>
          <x:t xml:space="preserve">ИЗД-018</x:t>
        </x:is>
      </x:c>
      <x:c r="D109" s="31" t="inlineStr">
        <x:is>
          <x:t xml:space="preserve">Шкаф управления СТК-118</x:t>
        </x:is>
      </x:c>
      <x:c r="E109" s="31" t="n">
        <x:v>3</x:v>
      </x:c>
      <x:c r="F109" s="31" t="n">
        <x:v>380983</x:v>
      </x:c>
      <x:c r="G109" s="31" t="n">
        <x:v>5</x:v>
      </x:c>
      <x:c r="H109" s="31" t="n">
        <x:v>1085802</x:v>
      </x:c>
      <x:c r="I109" s="31" t="n">
        <x:v>599656</x:v>
      </x:c>
      <x:c r="J109" s="31" t="n">
        <x:v>135421</x:v>
      </x:c>
      <x:c r="K109" s="31" t="n">
        <x:v>62388</x:v>
      </x:c>
      <x:c r="L109" s="31" t="n">
        <x:v>288337</x:v>
      </x:c>
      <x:c r="M109" s="31" t="n">
        <x:v>0.266</x:v>
      </x:c>
      <x:c r="N109" s="31" t="inlineStr">
        <x:is>
          <x:t xml:space="preserve">Стандарт</x:t>
        </x:is>
      </x:c>
      <x:c r="O109" s="31" t="n">
        <x:v>46099</x:v>
      </x:c>
      <x:c r="P109" s="31" t="inlineStr">
        <x:is>
          <x:t xml:space="preserve">Спецификация 3</x:t>
        </x:is>
      </x:c>
    </x:row>
    <x:row r="110" ht="18" customHeight="1">
      <x:c r="A110" s="31" t="inlineStr">
        <x:is>
          <x:t xml:space="preserve">ПОЗ-0043-1</x:t>
        </x:is>
      </x:c>
      <x:c r="B110" s="31" t="inlineStr">
        <x:is>
          <x:t xml:space="preserve">ЗК-1043</x:t>
        </x:is>
      </x:c>
      <x:c r="C110" s="31" t="inlineStr">
        <x:is>
          <x:t xml:space="preserve">ИЗД-005</x:t>
        </x:is>
      </x:c>
      <x:c r="D110" s="31" t="inlineStr">
        <x:is>
          <x:t xml:space="preserve">Насосная станция СТК-105</x:t>
        </x:is>
      </x:c>
      <x:c r="E110" s="31" t="n">
        <x:v>3</x:v>
      </x:c>
      <x:c r="F110" s="31" t="n">
        <x:v>739254</x:v>
      </x:c>
      <x:c r="G110" s="31" t="n">
        <x:v>0</x:v>
      </x:c>
      <x:c r="H110" s="31" t="n">
        <x:v>2217762</x:v>
      </x:c>
      <x:c r="I110" s="31" t="n">
        <x:v>1230665</x:v>
      </x:c>
      <x:c r="J110" s="31" t="n">
        <x:v>180637</x:v>
      </x:c>
      <x:c r="K110" s="31" t="n">
        <x:v>194765</x:v>
      </x:c>
      <x:c r="L110" s="31" t="n">
        <x:v>611695</x:v>
      </x:c>
      <x:c r="M110" s="31" t="n">
        <x:v>0.276</x:v>
      </x:c>
      <x:c r="N110" s="31" t="inlineStr">
        <x:is>
          <x:t xml:space="preserve">Стандарт</x:t>
        </x:is>
      </x:c>
      <x:c r="O110" s="31" t="n">
        <x:v>46117</x:v>
      </x:c>
      <x:c r="P110" s="31" t="inlineStr">
        <x:is>
          <x:t xml:space="preserve">Спецификация 1</x:t>
        </x:is>
      </x:c>
    </x:row>
    <x:row r="111" ht="18" customHeight="1">
      <x:c r="A111" s="31" t="inlineStr">
        <x:is>
          <x:t xml:space="preserve">ПОЗ-0043-2</x:t>
        </x:is>
      </x:c>
      <x:c r="B111" s="31" t="inlineStr">
        <x:is>
          <x:t xml:space="preserve">ЗК-1043</x:t>
        </x:is>
      </x:c>
      <x:c r="C111" s="31" t="inlineStr">
        <x:is>
          <x:t xml:space="preserve">ИЗД-029</x:t>
        </x:is>
      </x:c>
      <x:c r="D111" s="31" t="inlineStr">
        <x:is>
          <x:t xml:space="preserve">Компрессорный модуль СТК-129</x:t>
        </x:is>
      </x:c>
      <x:c r="E111" s="31" t="n">
        <x:v>2</x:v>
      </x:c>
      <x:c r="F111" s="31" t="n">
        <x:v>3565813</x:v>
      </x:c>
      <x:c r="G111" s="31" t="n">
        <x:v>0</x:v>
      </x:c>
      <x:c r="H111" s="31" t="n">
        <x:v>7131626</x:v>
      </x:c>
      <x:c r="I111" s="31" t="n">
        <x:v>2976589</x:v>
      </x:c>
      <x:c r="J111" s="31" t="n">
        <x:v>1051568</x:v>
      </x:c>
      <x:c r="K111" s="31" t="n">
        <x:v>604715</x:v>
      </x:c>
      <x:c r="L111" s="31" t="n">
        <x:v>2498754</x:v>
      </x:c>
      <x:c r="M111" s="31" t="n">
        <x:v>0.35</x:v>
      </x:c>
      <x:c r="N111" s="31" t="inlineStr">
        <x:is>
          <x:t xml:space="preserve">Стандарт</x:t>
        </x:is>
      </x:c>
      <x:c r="O111" s="31" t="n">
        <x:v>46117</x:v>
      </x:c>
      <x:c r="P111" s="31" t="inlineStr">
        <x:is>
          <x:t xml:space="preserve">Спецификация 2</x:t>
        </x:is>
      </x:c>
    </x:row>
    <x:row r="112" ht="18" customHeight="1">
      <x:c r="A112" s="31" t="inlineStr">
        <x:is>
          <x:t xml:space="preserve">ПОЗ-0043-3</x:t>
        </x:is>
      </x:c>
      <x:c r="B112" s="31" t="inlineStr">
        <x:is>
          <x:t xml:space="preserve">ЗК-1043</x:t>
        </x:is>
      </x:c>
      <x:c r="C112" s="31" t="inlineStr">
        <x:is>
          <x:t xml:space="preserve">ИЗД-012</x:t>
        </x:is>
      </x:c>
      <x:c r="D112" s="31" t="inlineStr">
        <x:is>
          <x:t xml:space="preserve">Трубная обвязка СТК-112</x:t>
        </x:is>
      </x:c>
      <x:c r="E112" s="31" t="n">
        <x:v>1</x:v>
      </x:c>
      <x:c r="F112" s="31" t="n">
        <x:v>585519</x:v>
      </x:c>
      <x:c r="G112" s="31" t="n">
        <x:v>15</x:v>
      </x:c>
      <x:c r="H112" s="31" t="n">
        <x:v>497691</x:v>
      </x:c>
      <x:c r="I112" s="31" t="n">
        <x:v>235075</x:v>
      </x:c>
      <x:c r="J112" s="31" t="n">
        <x:v>35560</x:v>
      </x:c>
      <x:c r="K112" s="31" t="n">
        <x:v>50115</x:v>
      </x:c>
      <x:c r="L112" s="31" t="n">
        <x:v>176941</x:v>
      </x:c>
      <x:c r="M112" s="31" t="n">
        <x:v>0.356</x:v>
      </x:c>
      <x:c r="N112" s="31" t="inlineStr">
        <x:is>
          <x:t xml:space="preserve">Нестандарт</x:t>
        </x:is>
      </x:c>
      <x:c r="O112" s="31" t="n">
        <x:v>46117</x:v>
      </x:c>
      <x:c r="P112" s="31" t="inlineStr">
        <x:is>
          <x:t xml:space="preserve">Спецификация 1</x:t>
        </x:is>
      </x:c>
    </x:row>
    <x:row r="113" ht="18" customHeight="1">
      <x:c r="A113" s="31" t="inlineStr">
        <x:is>
          <x:t xml:space="preserve">ПОЗ-0044-1</x:t>
        </x:is>
      </x:c>
      <x:c r="B113" s="31" t="inlineStr">
        <x:is>
          <x:t xml:space="preserve">ЗК-1044</x:t>
        </x:is>
      </x:c>
      <x:c r="C113" s="31" t="inlineStr">
        <x:is>
          <x:t xml:space="preserve">ИЗД-002</x:t>
        </x:is>
      </x:c>
      <x:c r="D113" s="31" t="inlineStr">
        <x:is>
          <x:t xml:space="preserve">Шкаф управления СТК-102</x:t>
        </x:is>
      </x:c>
      <x:c r="E113" s="31" t="n">
        <x:v>5</x:v>
      </x:c>
      <x:c r="F113" s="31" t="n">
        <x:v>679559</x:v>
      </x:c>
      <x:c r="G113" s="31" t="n">
        <x:v>0</x:v>
      </x:c>
      <x:c r="H113" s="31" t="n">
        <x:v>3397795</x:v>
      </x:c>
      <x:c r="I113" s="31" t="n">
        <x:v>1422033</x:v>
      </x:c>
      <x:c r="J113" s="31" t="n">
        <x:v>437222</x:v>
      </x:c>
      <x:c r="K113" s="31" t="n">
        <x:v>265847</x:v>
      </x:c>
      <x:c r="L113" s="31" t="n">
        <x:v>1272693</x:v>
      </x:c>
      <x:c r="M113" s="31" t="n">
        <x:v>0.375</x:v>
      </x:c>
      <x:c r="N113" s="31" t="inlineStr">
        <x:is>
          <x:t xml:space="preserve">Срочная поставка</x:t>
        </x:is>
      </x:c>
      <x:c r="O113" s="31" t="n">
        <x:v>46258</x:v>
      </x:c>
      <x:c r="P113" s="31" t="inlineStr">
        <x:is>
          <x:t xml:space="preserve">Спецификация 1</x:t>
        </x:is>
      </x:c>
    </x:row>
    <x:row r="114" ht="18" customHeight="1">
      <x:c r="A114" s="31" t="inlineStr">
        <x:is>
          <x:t xml:space="preserve">ПОЗ-0044-2</x:t>
        </x:is>
      </x:c>
      <x:c r="B114" s="31" t="inlineStr">
        <x:is>
          <x:t xml:space="preserve">ЗК-1044</x:t>
        </x:is>
      </x:c>
      <x:c r="C114" s="31" t="inlineStr">
        <x:is>
          <x:t xml:space="preserve">ИЗД-021</x:t>
        </x:is>
      </x:c>
      <x:c r="D114" s="31" t="inlineStr">
        <x:is>
          <x:t xml:space="preserve">Блок дозирования СТК-121</x:t>
        </x:is>
      </x:c>
      <x:c r="E114" s="31" t="n">
        <x:v>2</x:v>
      </x:c>
      <x:c r="F114" s="31" t="n">
        <x:v>606683</x:v>
      </x:c>
      <x:c r="G114" s="31" t="n">
        <x:v>0</x:v>
      </x:c>
      <x:c r="H114" s="31" t="n">
        <x:v>1213366</x:v>
      </x:c>
      <x:c r="I114" s="31" t="n">
        <x:v>432630</x:v>
      </x:c>
      <x:c r="J114" s="31" t="n">
        <x:v>149499</x:v>
      </x:c>
      <x:c r="K114" s="31" t="n">
        <x:v>68402</x:v>
      </x:c>
      <x:c r="L114" s="31" t="n">
        <x:v>562835</x:v>
      </x:c>
      <x:c r="M114" s="31" t="n">
        <x:v>0.464</x:v>
      </x:c>
      <x:c r="N114" s="31" t="inlineStr">
        <x:is>
          <x:t xml:space="preserve">Стандарт</x:t>
        </x:is>
      </x:c>
      <x:c r="O114" s="31" t="n">
        <x:v>46258</x:v>
      </x:c>
      <x:c r="P114" s="31" t="inlineStr">
        <x:is>
          <x:t xml:space="preserve">Спецификация 3</x:t>
        </x:is>
      </x:c>
    </x:row>
    <x:row r="115" ht="18" customHeight="1">
      <x:c r="A115" s="31" t="inlineStr">
        <x:is>
          <x:t xml:space="preserve">ПОЗ-0045-1</x:t>
        </x:is>
      </x:c>
      <x:c r="B115" s="31" t="inlineStr">
        <x:is>
          <x:t xml:space="preserve">ЗК-1045</x:t>
        </x:is>
      </x:c>
      <x:c r="C115" s="31" t="inlineStr">
        <x:is>
          <x:t xml:space="preserve">ИЗД-035</x:t>
        </x:is>
      </x:c>
      <x:c r="D115" s="31" t="inlineStr">
        <x:is>
          <x:t xml:space="preserve">Компрессорный модуль СТК-135</x:t>
        </x:is>
      </x:c>
      <x:c r="E115" s="31" t="n">
        <x:v>5</x:v>
      </x:c>
      <x:c r="F115" s="31" t="n">
        <x:v>3055252</x:v>
      </x:c>
      <x:c r="G115" s="31" t="n">
        <x:v>3</x:v>
      </x:c>
      <x:c r="H115" s="31" t="n">
        <x:v>14817972</x:v>
      </x:c>
      <x:c r="I115" s="31" t="n">
        <x:v>6274405</x:v>
      </x:c>
      <x:c r="J115" s="31" t="n">
        <x:v>1396245</x:v>
      </x:c>
      <x:c r="K115" s="31" t="n">
        <x:v>1484176</x:v>
      </x:c>
      <x:c r="L115" s="31" t="n">
        <x:v>5663146</x:v>
      </x:c>
      <x:c r="M115" s="31" t="n">
        <x:v>0.382</x:v>
      </x:c>
      <x:c r="N115" s="31" t="inlineStr">
        <x:is>
          <x:t xml:space="preserve">Стандарт</x:t>
        </x:is>
      </x:c>
      <x:c r="O115" s="31" t="n">
        <x:v>46223</x:v>
      </x:c>
      <x:c r="P115" s="31" t="inlineStr">
        <x:is>
          <x:t xml:space="preserve">Спецификация 2</x:t>
        </x:is>
      </x:c>
    </x:row>
    <x:row r="116" ht="18" customHeight="1">
      <x:c r="A116" s="31" t="inlineStr">
        <x:is>
          <x:t xml:space="preserve">ПОЗ-0045-2</x:t>
        </x:is>
      </x:c>
      <x:c r="B116" s="31" t="inlineStr">
        <x:is>
          <x:t xml:space="preserve">ЗК-1045</x:t>
        </x:is>
      </x:c>
      <x:c r="C116" s="31" t="inlineStr">
        <x:is>
          <x:t xml:space="preserve">ИЗД-008</x:t>
        </x:is>
      </x:c>
      <x:c r="D116" s="31" t="inlineStr">
        <x:is>
          <x:t xml:space="preserve">Комплект ЗИП СТК-108</x:t>
        </x:is>
      </x:c>
      <x:c r="E116" s="31" t="n">
        <x:v>12</x:v>
      </x:c>
      <x:c r="F116" s="31" t="n">
        <x:v>212222</x:v>
      </x:c>
      <x:c r="G116" s="31" t="n">
        <x:v>5</x:v>
      </x:c>
      <x:c r="H116" s="31" t="n">
        <x:v>2419331</x:v>
      </x:c>
      <x:c r="I116" s="31" t="n">
        <x:v>949869</x:v>
      </x:c>
      <x:c r="J116" s="31" t="n">
        <x:v>268604</x:v>
      </x:c>
      <x:c r="K116" s="31" t="n">
        <x:v>229573</x:v>
      </x:c>
      <x:c r="L116" s="31" t="n">
        <x:v>971285</x:v>
      </x:c>
      <x:c r="M116" s="31" t="n">
        <x:v>0.401</x:v>
      </x:c>
      <x:c r="N116" s="31" t="inlineStr">
        <x:is>
          <x:t xml:space="preserve">Стандарт</x:t>
        </x:is>
      </x:c>
      <x:c r="O116" s="31" t="n">
        <x:v>46223</x:v>
      </x:c>
      <x:c r="P116" s="31" t="inlineStr">
        <x:is>
          <x:t xml:space="preserve">Спецификация 2</x:t>
        </x:is>
      </x:c>
    </x:row>
    <x:row r="117" ht="18" customHeight="1">
      <x:c r="A117" s="31" t="inlineStr">
        <x:is>
          <x:t xml:space="preserve">ПОЗ-0045-3</x:t>
        </x:is>
      </x:c>
      <x:c r="B117" s="31" t="inlineStr">
        <x:is>
          <x:t xml:space="preserve">ЗК-1045</x:t>
        </x:is>
      </x:c>
      <x:c r="C117" s="31" t="inlineStr">
        <x:is>
          <x:t xml:space="preserve">ИЗД-034</x:t>
        </x:is>
      </x:c>
      <x:c r="D117" s="31" t="inlineStr">
        <x:is>
          <x:t xml:space="preserve">Компрессорный модуль СТК-134</x:t>
        </x:is>
      </x:c>
      <x:c r="E117" s="31" t="n">
        <x:v>4</x:v>
      </x:c>
      <x:c r="F117" s="31" t="n">
        <x:v>3469897</x:v>
      </x:c>
      <x:c r="G117" s="31" t="n">
        <x:v>7</x:v>
      </x:c>
      <x:c r="H117" s="31" t="n">
        <x:v>12908017</x:v>
      </x:c>
      <x:c r="I117" s="31" t="n">
        <x:v>5721645</x:v>
      </x:c>
      <x:c r="J117" s="31" t="n">
        <x:v>1312469</x:v>
      </x:c>
      <x:c r="K117" s="31" t="n">
        <x:v>1037012</x:v>
      </x:c>
      <x:c r="L117" s="31" t="n">
        <x:v>4836891</x:v>
      </x:c>
      <x:c r="M117" s="31" t="n">
        <x:v>0.375</x:v>
      </x:c>
      <x:c r="N117" s="31" t="inlineStr">
        <x:is>
          <x:t xml:space="preserve">Замена материала</x:t>
        </x:is>
      </x:c>
      <x:c r="O117" s="31" t="n">
        <x:v>46223</x:v>
      </x:c>
      <x:c r="P117" s="31" t="inlineStr">
        <x:is>
          <x:t xml:space="preserve">Спецификация 4</x:t>
        </x:is>
      </x:c>
    </x:row>
    <x:row r="118" ht="18" customHeight="1">
      <x:c r="A118" s="31" t="inlineStr">
        <x:is>
          <x:t xml:space="preserve">ПОЗ-0045-4</x:t>
        </x:is>
      </x:c>
      <x:c r="B118" s="31" t="inlineStr">
        <x:is>
          <x:t xml:space="preserve">ЗК-1045</x:t>
        </x:is>
      </x:c>
      <x:c r="C118" s="31" t="inlineStr">
        <x:is>
          <x:t xml:space="preserve">ИЗД-004</x:t>
        </x:is>
      </x:c>
      <x:c r="D118" s="31" t="inlineStr">
        <x:is>
          <x:t xml:space="preserve">Блок дозирования СТК-104</x:t>
        </x:is>
      </x:c>
      <x:c r="E118" s="31" t="n">
        <x:v>5</x:v>
      </x:c>
      <x:c r="F118" s="31" t="n">
        <x:v>919739</x:v>
      </x:c>
      <x:c r="G118" s="31" t="n">
        <x:v>5</x:v>
      </x:c>
      <x:c r="H118" s="31" t="n">
        <x:v>4368760</x:v>
      </x:c>
      <x:c r="I118" s="31" t="n">
        <x:v>1553876</x:v>
      </x:c>
      <x:c r="J118" s="31" t="n">
        <x:v>631303</x:v>
      </x:c>
      <x:c r="K118" s="31" t="n">
        <x:v>477089</x:v>
      </x:c>
      <x:c r="L118" s="31" t="n">
        <x:v>1706492</x:v>
      </x:c>
      <x:c r="M118" s="31" t="n">
        <x:v>0.391</x:v>
      </x:c>
      <x:c r="N118" s="31" t="inlineStr">
        <x:is>
          <x:t xml:space="preserve">Замена материала</x:t>
        </x:is>
      </x:c>
      <x:c r="O118" s="31" t="n">
        <x:v>46223</x:v>
      </x:c>
      <x:c r="P118" s="31" t="inlineStr">
        <x:is>
          <x:t xml:space="preserve">Спецификация 2</x:t>
        </x:is>
      </x:c>
    </x:row>
    <x:row r="119" ht="18" customHeight="1">
      <x:c r="A119" s="31" t="inlineStr">
        <x:is>
          <x:t xml:space="preserve">ПОЗ-0046-1</x:t>
        </x:is>
      </x:c>
      <x:c r="B119" s="31" t="inlineStr">
        <x:is>
          <x:t xml:space="preserve">ЗК-1046</x:t>
        </x:is>
      </x:c>
      <x:c r="C119" s="31" t="inlineStr">
        <x:is>
          <x:t xml:space="preserve">ИЗД-030</x:t>
        </x:is>
      </x:c>
      <x:c r="D119" s="31" t="inlineStr">
        <x:is>
          <x:t xml:space="preserve">Насосная станция СТК-130</x:t>
        </x:is>
      </x:c>
      <x:c r="E119" s="31" t="n">
        <x:v>2</x:v>
      </x:c>
      <x:c r="F119" s="31" t="n">
        <x:v>2315500</x:v>
      </x:c>
      <x:c r="G119" s="31" t="n">
        <x:v>0</x:v>
      </x:c>
      <x:c r="H119" s="31" t="n">
        <x:v>4631000</x:v>
      </x:c>
      <x:c r="I119" s="31" t="n">
        <x:v>2070914</x:v>
      </x:c>
      <x:c r="J119" s="31" t="n">
        <x:v>711837</x:v>
      </x:c>
      <x:c r="K119" s="31" t="n">
        <x:v>437959</x:v>
      </x:c>
      <x:c r="L119" s="31" t="n">
        <x:v>1410290</x:v>
      </x:c>
      <x:c r="M119" s="31" t="n">
        <x:v>0.305</x:v>
      </x:c>
      <x:c r="N119" s="31" t="inlineStr">
        <x:is>
          <x:t xml:space="preserve">Стандарт</x:t>
        </x:is>
      </x:c>
      <x:c r="O119" s="31" t="n">
        <x:v>46186</x:v>
      </x:c>
      <x:c r="P119" s="31" t="inlineStr">
        <x:is>
          <x:t xml:space="preserve">Спецификация 1</x:t>
        </x:is>
      </x:c>
    </x:row>
    <x:row r="120" ht="18" customHeight="1">
      <x:c r="A120" s="31" t="inlineStr">
        <x:is>
          <x:t xml:space="preserve">ПОЗ-0046-2</x:t>
        </x:is>
      </x:c>
      <x:c r="B120" s="31" t="inlineStr">
        <x:is>
          <x:t xml:space="preserve">ЗК-1046</x:t>
        </x:is>
      </x:c>
      <x:c r="C120" s="31" t="inlineStr">
        <x:is>
          <x:t xml:space="preserve">ИЗД-001</x:t>
        </x:is>
      </x:c>
      <x:c r="D120" s="31" t="inlineStr">
        <x:is>
          <x:t xml:space="preserve">Комплект ЗИП СТК-101</x:t>
        </x:is>
      </x:c>
      <x:c r="E120" s="31" t="n">
        <x:v>15</x:v>
      </x:c>
      <x:c r="F120" s="31" t="n">
        <x:v>64708</x:v>
      </x:c>
      <x:c r="G120" s="31" t="n">
        <x:v>0</x:v>
      </x:c>
      <x:c r="H120" s="31" t="n">
        <x:v>970620</x:v>
      </x:c>
      <x:c r="I120" s="31" t="n">
        <x:v>368594</x:v>
      </x:c>
      <x:c r="J120" s="31" t="n">
        <x:v>112923</x:v>
      </x:c>
      <x:c r="K120" s="31" t="n">
        <x:v>79357</x:v>
      </x:c>
      <x:c r="L120" s="31" t="n">
        <x:v>409746</x:v>
      </x:c>
      <x:c r="M120" s="31" t="n">
        <x:v>0.422</x:v>
      </x:c>
      <x:c r="N120" s="31" t="inlineStr">
        <x:is>
          <x:t xml:space="preserve">Стандарт</x:t>
        </x:is>
      </x:c>
      <x:c r="O120" s="31" t="n">
        <x:v>46186</x:v>
      </x:c>
      <x:c r="P120" s="31" t="inlineStr">
        <x:is>
          <x:t xml:space="preserve">Спецификация 4</x:t>
        </x:is>
      </x:c>
    </x:row>
    <x:row r="121" ht="18" customHeight="1">
      <x:c r="A121" s="31" t="inlineStr">
        <x:is>
          <x:t xml:space="preserve">ПОЗ-0047-1</x:t>
        </x:is>
      </x:c>
      <x:c r="B121" s="31" t="inlineStr">
        <x:is>
          <x:t xml:space="preserve">ЗК-1047</x:t>
        </x:is>
      </x:c>
      <x:c r="C121" s="31" t="inlineStr">
        <x:is>
          <x:t xml:space="preserve">ИЗД-027</x:t>
        </x:is>
      </x:c>
      <x:c r="D121" s="31" t="inlineStr">
        <x:is>
          <x:t xml:space="preserve">Блок дозирования СТК-127</x:t>
        </x:is>
      </x:c>
      <x:c r="E121" s="31" t="n">
        <x:v>3</x:v>
      </x:c>
      <x:c r="F121" s="31" t="n">
        <x:v>680862</x:v>
      </x:c>
      <x:c r="G121" s="31" t="n">
        <x:v>5</x:v>
      </x:c>
      <x:c r="H121" s="31" t="n">
        <x:v>1940457</x:v>
      </x:c>
      <x:c r="I121" s="31" t="n">
        <x:v>1059889</x:v>
      </x:c>
      <x:c r="J121" s="31" t="n">
        <x:v>262221</x:v>
      </x:c>
      <x:c r="K121" s="31" t="n">
        <x:v>165664</x:v>
      </x:c>
      <x:c r="L121" s="31" t="n">
        <x:v>452683</x:v>
      </x:c>
      <x:c r="M121" s="31" t="n">
        <x:v>0.233</x:v>
      </x:c>
      <x:c r="N121" s="31" t="inlineStr">
        <x:is>
          <x:t xml:space="preserve">Нестандарт</x:t>
        </x:is>
      </x:c>
      <x:c r="O121" s="31" t="n">
        <x:v>46176</x:v>
      </x:c>
      <x:c r="P121" s="31" t="inlineStr">
        <x:is>
          <x:t xml:space="preserve">Спецификация 1</x:t>
        </x:is>
      </x:c>
    </x:row>
    <x:row r="122" ht="18" customHeight="1">
      <x:c r="A122" s="31" t="inlineStr">
        <x:is>
          <x:t xml:space="preserve">ПОЗ-0047-2</x:t>
        </x:is>
      </x:c>
      <x:c r="B122" s="31" t="inlineStr">
        <x:is>
          <x:t xml:space="preserve">ЗК-1047</x:t>
        </x:is>
      </x:c>
      <x:c r="C122" s="31" t="inlineStr">
        <x:is>
          <x:t xml:space="preserve">ИЗД-041</x:t>
        </x:is>
      </x:c>
      <x:c r="D122" s="31" t="inlineStr">
        <x:is>
          <x:t xml:space="preserve">Рама-основание СТК-141</x:t>
        </x:is>
      </x:c>
      <x:c r="E122" s="31" t="n">
        <x:v>2</x:v>
      </x:c>
      <x:c r="F122" s="31" t="n">
        <x:v>276444</x:v>
      </x:c>
      <x:c r="G122" s="31" t="n">
        <x:v>3</x:v>
      </x:c>
      <x:c r="H122" s="31" t="n">
        <x:v>536301</x:v>
      </x:c>
      <x:c r="I122" s="31" t="n">
        <x:v>217977</x:v>
      </x:c>
      <x:c r="J122" s="31" t="n">
        <x:v>68886</x:v>
      </x:c>
      <x:c r="K122" s="31" t="n">
        <x:v>39023</x:v>
      </x:c>
      <x:c r="L122" s="31" t="n">
        <x:v>210415</x:v>
      </x:c>
      <x:c r="M122" s="31" t="n">
        <x:v>0.392</x:v>
      </x:c>
      <x:c r="N122" s="31" t="inlineStr">
        <x:is>
          <x:t xml:space="preserve">Стандарт</x:t>
        </x:is>
      </x:c>
      <x:c r="O122" s="31" t="n">
        <x:v>46176</x:v>
      </x:c>
      <x:c r="P122" s="31" t="inlineStr">
        <x:is>
          <x:t xml:space="preserve">Спецификация 3</x:t>
        </x:is>
      </x:c>
    </x:row>
    <x:row r="123" ht="18" customHeight="1">
      <x:c r="A123" s="31" t="inlineStr">
        <x:is>
          <x:t xml:space="preserve">ПОЗ-0047-3</x:t>
        </x:is>
      </x:c>
      <x:c r="B123" s="31" t="inlineStr">
        <x:is>
          <x:t xml:space="preserve">ЗК-1047</x:t>
        </x:is>
      </x:c>
      <x:c r="C123" s="31" t="inlineStr">
        <x:is>
          <x:t xml:space="preserve">ИЗД-029</x:t>
        </x:is>
      </x:c>
      <x:c r="D123" s="31" t="inlineStr">
        <x:is>
          <x:t xml:space="preserve">Компрессорный модуль СТК-129</x:t>
        </x:is>
      </x:c>
      <x:c r="E123" s="31" t="n">
        <x:v>1</x:v>
      </x:c>
      <x:c r="F123" s="31" t="n">
        <x:v>3680821</x:v>
      </x:c>
      <x:c r="G123" s="31" t="n">
        <x:v>3</x:v>
      </x:c>
      <x:c r="H123" s="31" t="n">
        <x:v>3570396</x:v>
      </x:c>
      <x:c r="I123" s="31" t="n">
        <x:v>1181989</x:v>
      </x:c>
      <x:c r="J123" s="31" t="n">
        <x:v>416276</x:v>
      </x:c>
      <x:c r="K123" s="31" t="n">
        <x:v>291029</x:v>
      </x:c>
      <x:c r="L123" s="31" t="n">
        <x:v>1681102</x:v>
      </x:c>
      <x:c r="M123" s="31" t="n">
        <x:v>0.471</x:v>
      </x:c>
      <x:c r="N123" s="31" t="inlineStr">
        <x:is>
          <x:t xml:space="preserve">Стандарт</x:t>
        </x:is>
      </x:c>
      <x:c r="O123" s="31" t="n">
        <x:v>46176</x:v>
      </x:c>
      <x:c r="P123" s="31" t="inlineStr">
        <x:is>
          <x:t xml:space="preserve">Спецификация 4</x:t>
        </x:is>
      </x:c>
    </x:row>
    <x:row r="124" ht="18" customHeight="1">
      <x:c r="A124" s="31" t="inlineStr">
        <x:is>
          <x:t xml:space="preserve">ПОЗ-0047-4</x:t>
        </x:is>
      </x:c>
      <x:c r="B124" s="31" t="inlineStr">
        <x:is>
          <x:t xml:space="preserve">ЗК-1047</x:t>
        </x:is>
      </x:c>
      <x:c r="C124" s="31" t="inlineStr">
        <x:is>
          <x:t xml:space="preserve">ИЗД-028</x:t>
        </x:is>
      </x:c>
      <x:c r="D124" s="31" t="inlineStr">
        <x:is>
          <x:t xml:space="preserve">Блок дозирования СТК-128</x:t>
        </x:is>
      </x:c>
      <x:c r="E124" s="31" t="n">
        <x:v>3</x:v>
      </x:c>
      <x:c r="F124" s="31" t="n">
        <x:v>430847</x:v>
      </x:c>
      <x:c r="G124" s="31" t="n">
        <x:v>0</x:v>
      </x:c>
      <x:c r="H124" s="31" t="n">
        <x:v>1292541</x:v>
      </x:c>
      <x:c r="I124" s="31" t="n">
        <x:v>527117</x:v>
      </x:c>
      <x:c r="J124" s="31" t="n">
        <x:v>107136</x:v>
      </x:c>
      <x:c r="K124" s="31" t="n">
        <x:v>127754</x:v>
      </x:c>
      <x:c r="L124" s="31" t="n">
        <x:v>530534</x:v>
      </x:c>
      <x:c r="M124" s="31" t="n">
        <x:v>0.41</x:v>
      </x:c>
      <x:c r="N124" s="31" t="inlineStr">
        <x:is>
          <x:t xml:space="preserve">Нестандарт</x:t>
        </x:is>
      </x:c>
      <x:c r="O124" s="31" t="n">
        <x:v>46176</x:v>
      </x:c>
      <x:c r="P124" s="31" t="inlineStr">
        <x:is>
          <x:t xml:space="preserve">Спецификация 2</x:t>
        </x:is>
      </x:c>
    </x:row>
    <x:row r="125" ht="18" customHeight="1">
      <x:c r="A125" s="31" t="inlineStr">
        <x:is>
          <x:t xml:space="preserve">ПОЗ-0048-1</x:t>
        </x:is>
      </x:c>
      <x:c r="B125" s="31" t="inlineStr">
        <x:is>
          <x:t xml:space="preserve">ЗК-1048</x:t>
        </x:is>
      </x:c>
      <x:c r="C125" s="31" t="inlineStr">
        <x:is>
          <x:t xml:space="preserve">ИЗД-015</x:t>
        </x:is>
      </x:c>
      <x:c r="D125" s="31" t="inlineStr">
        <x:is>
          <x:t xml:space="preserve">Сервисный комплект СТК-115</x:t>
        </x:is>
      </x:c>
      <x:c r="E125" s="31" t="n">
        <x:v>10</x:v>
      </x:c>
      <x:c r="F125" s="31" t="n">
        <x:v>219541</x:v>
      </x:c>
      <x:c r="G125" s="31" t="n">
        <x:v>0</x:v>
      </x:c>
      <x:c r="H125" s="31" t="n">
        <x:v>2195410</x:v>
      </x:c>
      <x:c r="I125" s="31" t="n">
        <x:v>1141712</x:v>
      </x:c>
      <x:c r="J125" s="31" t="n">
        <x:v>302830</x:v>
      </x:c>
      <x:c r="K125" s="31" t="n">
        <x:v>113373</x:v>
      </x:c>
      <x:c r="L125" s="31" t="n">
        <x:v>637495</x:v>
      </x:c>
      <x:c r="M125" s="31" t="n">
        <x:v>0.29</x:v>
      </x:c>
      <x:c r="N125" s="31" t="inlineStr">
        <x:is>
          <x:t xml:space="preserve">Замена материала</x:t>
        </x:is>
      </x:c>
      <x:c r="O125" s="31" t="n">
        <x:v>46199</x:v>
      </x:c>
      <x:c r="P125" s="31" t="inlineStr">
        <x:is>
          <x:t xml:space="preserve">Спецификация 2</x:t>
        </x:is>
      </x:c>
    </x:row>
    <x:row r="126" ht="18" customHeight="1">
      <x:c r="A126" s="31" t="inlineStr">
        <x:is>
          <x:t xml:space="preserve">ПОЗ-0049-1</x:t>
        </x:is>
      </x:c>
      <x:c r="B126" s="31" t="inlineStr">
        <x:is>
          <x:t xml:space="preserve">ЗК-1049</x:t>
        </x:is>
      </x:c>
      <x:c r="C126" s="31" t="inlineStr">
        <x:is>
          <x:t xml:space="preserve">ИЗД-028</x:t>
        </x:is>
      </x:c>
      <x:c r="D126" s="31" t="inlineStr">
        <x:is>
          <x:t xml:space="preserve">Блок дозирования СТК-128</x:t>
        </x:is>
      </x:c>
      <x:c r="E126" s="31" t="n">
        <x:v>2</x:v>
      </x:c>
      <x:c r="F126" s="31" t="n">
        <x:v>505638</x:v>
      </x:c>
      <x:c r="G126" s="31" t="n">
        <x:v>5</x:v>
      </x:c>
      <x:c r="H126" s="31" t="n">
        <x:v>960712</x:v>
      </x:c>
      <x:c r="I126" s="31" t="n">
        <x:v>382347</x:v>
      </x:c>
      <x:c r="J126" s="31" t="n">
        <x:v>97834</x:v>
      </x:c>
      <x:c r="K126" s="31" t="n">
        <x:v>52593</x:v>
      </x:c>
      <x:c r="L126" s="31" t="n">
        <x:v>427938</x:v>
      </x:c>
      <x:c r="M126" s="31" t="n">
        <x:v>0.445</x:v>
      </x:c>
      <x:c r="N126" s="31" t="inlineStr">
        <x:is>
          <x:t xml:space="preserve">Нестандарт</x:t>
        </x:is>
      </x:c>
      <x:c r="O126" s="31" t="n">
        <x:v>46076</x:v>
      </x:c>
      <x:c r="P126" s="31" t="inlineStr">
        <x:is>
          <x:t xml:space="preserve">Спецификация 1</x:t>
        </x:is>
      </x:c>
    </x:row>
    <x:row r="127" ht="18" customHeight="1">
      <x:c r="A127" s="31" t="inlineStr">
        <x:is>
          <x:t xml:space="preserve">ПОЗ-0049-2</x:t>
        </x:is>
      </x:c>
      <x:c r="B127" s="31" t="inlineStr">
        <x:is>
          <x:t xml:space="preserve">ЗК-1049</x:t>
        </x:is>
      </x:c>
      <x:c r="C127" s="31" t="inlineStr">
        <x:is>
          <x:t xml:space="preserve">ИЗД-032</x:t>
        </x:is>
      </x:c>
      <x:c r="D127" s="31" t="inlineStr">
        <x:is>
          <x:t xml:space="preserve">Комплект ЗИП СТК-132</x:t>
        </x:is>
      </x:c>
      <x:c r="E127" s="31" t="n">
        <x:v>12</x:v>
      </x:c>
      <x:c r="F127" s="31" t="n">
        <x:v>187316</x:v>
      </x:c>
      <x:c r="G127" s="31" t="n">
        <x:v>0</x:v>
      </x:c>
      <x:c r="H127" s="31" t="n">
        <x:v>2247792</x:v>
      </x:c>
      <x:c r="I127" s="31" t="n">
        <x:v>985384</x:v>
      </x:c>
      <x:c r="J127" s="31" t="n">
        <x:v>306142</x:v>
      </x:c>
      <x:c r="K127" s="31" t="n">
        <x:v>203032</x:v>
      </x:c>
      <x:c r="L127" s="31" t="n">
        <x:v>753234</x:v>
      </x:c>
      <x:c r="M127" s="31" t="n">
        <x:v>0.335</x:v>
      </x:c>
      <x:c r="N127" s="31" t="inlineStr">
        <x:is>
          <x:t xml:space="preserve">Стандарт</x:t>
        </x:is>
      </x:c>
      <x:c r="O127" s="31" t="n">
        <x:v>46076</x:v>
      </x:c>
      <x:c r="P127" s="31" t="inlineStr">
        <x:is>
          <x:t xml:space="preserve">Спецификация 3</x:t>
        </x:is>
      </x:c>
    </x:row>
    <x:row r="128" ht="18" customHeight="1">
      <x:c r="A128" s="31" t="inlineStr">
        <x:is>
          <x:t xml:space="preserve">ПОЗ-0049-3</x:t>
        </x:is>
      </x:c>
      <x:c r="B128" s="31" t="inlineStr">
        <x:is>
          <x:t xml:space="preserve">ЗК-1049</x:t>
        </x:is>
      </x:c>
      <x:c r="C128" s="31" t="inlineStr">
        <x:is>
          <x:t xml:space="preserve">ИЗД-017</x:t>
        </x:is>
      </x:c>
      <x:c r="D128" s="31" t="inlineStr">
        <x:is>
          <x:t xml:space="preserve">Блок дозирования СТК-117</x:t>
        </x:is>
      </x:c>
      <x:c r="E128" s="31" t="n">
        <x:v>1</x:v>
      </x:c>
      <x:c r="F128" s="31" t="n">
        <x:v>735234</x:v>
      </x:c>
      <x:c r="G128" s="31" t="n">
        <x:v>10</x:v>
      </x:c>
      <x:c r="H128" s="31" t="n">
        <x:v>661711</x:v>
      </x:c>
      <x:c r="I128" s="31" t="n">
        <x:v>339369</x:v>
      </x:c>
      <x:c r="J128" s="31" t="n">
        <x:v>65230</x:v>
      </x:c>
      <x:c r="K128" s="31" t="n">
        <x:v>66493</x:v>
      </x:c>
      <x:c r="L128" s="31" t="n">
        <x:v>190619</x:v>
      </x:c>
      <x:c r="M128" s="31" t="n">
        <x:v>0.288</x:v>
      </x:c>
      <x:c r="N128" s="31" t="inlineStr">
        <x:is>
          <x:t xml:space="preserve">Стандарт</x:t>
        </x:is>
      </x:c>
      <x:c r="O128" s="31" t="n">
        <x:v>46076</x:v>
      </x:c>
      <x:c r="P128" s="31" t="inlineStr">
        <x:is>
          <x:t xml:space="preserve">Спецификация 1</x:t>
        </x:is>
      </x:c>
    </x:row>
    <x:row r="129" ht="18" customHeight="1">
      <x:c r="A129" s="31" t="inlineStr">
        <x:is>
          <x:t xml:space="preserve">ПОЗ-0049-4</x:t>
        </x:is>
      </x:c>
      <x:c r="B129" s="31" t="inlineStr">
        <x:is>
          <x:t xml:space="preserve">ЗК-1049</x:t>
        </x:is>
      </x:c>
      <x:c r="C129" s="31" t="inlineStr">
        <x:is>
          <x:t xml:space="preserve">ИЗД-006</x:t>
        </x:is>
      </x:c>
      <x:c r="D129" s="31" t="inlineStr">
        <x:is>
          <x:t xml:space="preserve">Насосная станция СТК-106</x:t>
        </x:is>
      </x:c>
      <x:c r="E129" s="31" t="n">
        <x:v>1</x:v>
      </x:c>
      <x:c r="F129" s="31" t="n">
        <x:v>1095147</x:v>
      </x:c>
      <x:c r="G129" s="31" t="n">
        <x:v>3</x:v>
      </x:c>
      <x:c r="H129" s="31" t="n">
        <x:v>1062293</x:v>
      </x:c>
      <x:c r="I129" s="31" t="n">
        <x:v>518273</x:v>
      </x:c>
      <x:c r="J129" s="31" t="n">
        <x:v>95414</x:v>
      </x:c>
      <x:c r="K129" s="31" t="n">
        <x:v>65587</x:v>
      </x:c>
      <x:c r="L129" s="31" t="n">
        <x:v>383019</x:v>
      </x:c>
      <x:c r="M129" s="31" t="n">
        <x:v>0.361</x:v>
      </x:c>
      <x:c r="N129" s="31" t="inlineStr">
        <x:is>
          <x:t xml:space="preserve">Стандарт</x:t>
        </x:is>
      </x:c>
      <x:c r="O129" s="31" t="n">
        <x:v>46076</x:v>
      </x:c>
      <x:c r="P129" s="31" t="inlineStr">
        <x:is>
          <x:t xml:space="preserve">Спецификация 4</x:t>
        </x:is>
      </x:c>
    </x:row>
    <x:row r="130" ht="18" customHeight="1">
      <x:c r="A130" s="31" t="inlineStr">
        <x:is>
          <x:t xml:space="preserve">ПОЗ-0050-1</x:t>
        </x:is>
      </x:c>
      <x:c r="B130" s="31" t="inlineStr">
        <x:is>
          <x:t xml:space="preserve">ЗК-1050</x:t>
        </x:is>
      </x:c>
      <x:c r="C130" s="31" t="inlineStr">
        <x:is>
          <x:t xml:space="preserve">ИЗД-041</x:t>
        </x:is>
      </x:c>
      <x:c r="D130" s="31" t="inlineStr">
        <x:is>
          <x:t xml:space="preserve">Рама-основание СТК-141</x:t>
        </x:is>
      </x:c>
      <x:c r="E130" s="31" t="n">
        <x:v>4</x:v>
      </x:c>
      <x:c r="F130" s="31" t="n">
        <x:v>253679</x:v>
      </x:c>
      <x:c r="G130" s="31" t="n">
        <x:v>10</x:v>
      </x:c>
      <x:c r="H130" s="31" t="n">
        <x:v>913244</x:v>
      </x:c>
      <x:c r="I130" s="31" t="n">
        <x:v>439476</x:v>
      </x:c>
      <x:c r="J130" s="31" t="n">
        <x:v>133025</x:v>
      </x:c>
      <x:c r="K130" s="31" t="n">
        <x:v>93610</x:v>
      </x:c>
      <x:c r="L130" s="31" t="n">
        <x:v>247133</x:v>
      </x:c>
      <x:c r="M130" s="31" t="n">
        <x:v>0.271</x:v>
      </x:c>
      <x:c r="N130" s="31" t="inlineStr">
        <x:is>
          <x:t xml:space="preserve">Стандарт</x:t>
        </x:is>
      </x:c>
      <x:c r="O130" s="31" t="n">
        <x:v>46107</x:v>
      </x:c>
      <x:c r="P130" s="31" t="inlineStr">
        <x:is>
          <x:t xml:space="preserve">Спецификация 4</x:t>
        </x:is>
      </x:c>
    </x:row>
    <x:row r="131" ht="18" customHeight="1">
      <x:c r="A131" s="31" t="inlineStr">
        <x:is>
          <x:t xml:space="preserve">ПОЗ-0050-2</x:t>
        </x:is>
      </x:c>
      <x:c r="B131" s="31" t="inlineStr">
        <x:is>
          <x:t xml:space="preserve">ЗК-1050</x:t>
        </x:is>
      </x:c>
      <x:c r="C131" s="31" t="inlineStr">
        <x:is>
          <x:t xml:space="preserve">ИЗД-038</x:t>
        </x:is>
      </x:c>
      <x:c r="D131" s="31" t="inlineStr">
        <x:is>
          <x:t xml:space="preserve">Трубная обвязка СТК-138</x:t>
        </x:is>
      </x:c>
      <x:c r="E131" s="31" t="n">
        <x:v>4</x:v>
      </x:c>
      <x:c r="F131" s="31" t="n">
        <x:v>438862</x:v>
      </x:c>
      <x:c r="G131" s="31" t="n">
        <x:v>3</x:v>
      </x:c>
      <x:c r="H131" s="31" t="n">
        <x:v>1702785</x:v>
      </x:c>
      <x:c r="I131" s="31" t="n">
        <x:v>736560</x:v>
      </x:c>
      <x:c r="J131" s="31" t="n">
        <x:v>152746</x:v>
      </x:c>
      <x:c r="K131" s="31" t="n">
        <x:v>183518</x:v>
      </x:c>
      <x:c r="L131" s="31" t="n">
        <x:v>629961</x:v>
      </x:c>
      <x:c r="M131" s="31" t="n">
        <x:v>0.37</x:v>
      </x:c>
      <x:c r="N131" s="31" t="inlineStr">
        <x:is>
          <x:t xml:space="preserve">Нестандарт</x:t>
        </x:is>
      </x:c>
      <x:c r="O131" s="31" t="n">
        <x:v>46107</x:v>
      </x:c>
      <x:c r="P131" s="31" t="inlineStr">
        <x:is>
          <x:t xml:space="preserve">Спецификация 3</x:t>
        </x:is>
      </x:c>
    </x:row>
    <x:row r="132" ht="18" customHeight="1">
      <x:c r="A132" s="31" t="inlineStr">
        <x:is>
          <x:t xml:space="preserve">ПОЗ-0050-3</x:t>
        </x:is>
      </x:c>
      <x:c r="B132" s="31" t="inlineStr">
        <x:is>
          <x:t xml:space="preserve">ЗК-1050</x:t>
        </x:is>
      </x:c>
      <x:c r="C132" s="31" t="inlineStr">
        <x:is>
          <x:t xml:space="preserve">ИЗД-016</x:t>
        </x:is>
      </x:c>
      <x:c r="D132" s="31" t="inlineStr">
        <x:is>
          <x:t xml:space="preserve">Насосная станция СТК-116</x:t>
        </x:is>
      </x:c>
      <x:c r="E132" s="31" t="n">
        <x:v>4</x:v>
      </x:c>
      <x:c r="F132" s="31" t="n">
        <x:v>1380203</x:v>
      </x:c>
      <x:c r="G132" s="31" t="n">
        <x:v>0</x:v>
      </x:c>
      <x:c r="H132" s="31" t="n">
        <x:v>5520812</x:v>
      </x:c>
      <x:c r="I132" s="31" t="n">
        <x:v>2636752</x:v>
      </x:c>
      <x:c r="J132" s="31" t="n">
        <x:v>444004</x:v>
      </x:c>
      <x:c r="K132" s="31" t="n">
        <x:v>429984</x:v>
      </x:c>
      <x:c r="L132" s="31" t="n">
        <x:v>2010072</x:v>
      </x:c>
      <x:c r="M132" s="31" t="n">
        <x:v>0.364</x:v>
      </x:c>
      <x:c r="N132" s="31" t="inlineStr">
        <x:is>
          <x:t xml:space="preserve">Стандарт</x:t>
        </x:is>
      </x:c>
      <x:c r="O132" s="31" t="n">
        <x:v>46107</x:v>
      </x:c>
      <x:c r="P132" s="31" t="inlineStr">
        <x:is>
          <x:t xml:space="preserve">Спецификация 1</x:t>
        </x:is>
      </x:c>
    </x:row>
    <x:row r="133" ht="18" customHeight="1">
      <x:c r="A133" s="31" t="inlineStr">
        <x:is>
          <x:t xml:space="preserve">ПОЗ-0050-4</x:t>
        </x:is>
      </x:c>
      <x:c r="B133" s="31" t="inlineStr">
        <x:is>
          <x:t xml:space="preserve">ЗК-1050</x:t>
        </x:is>
      </x:c>
      <x:c r="C133" s="31" t="inlineStr">
        <x:is>
          <x:t xml:space="preserve">ИЗД-023</x:t>
        </x:is>
      </x:c>
      <x:c r="D133" s="31" t="inlineStr">
        <x:is>
          <x:t xml:space="preserve">Шкаф управления СТК-123</x:t>
        </x:is>
      </x:c>
      <x:c r="E133" s="31" t="n">
        <x:v>3</x:v>
      </x:c>
      <x:c r="F133" s="31" t="n">
        <x:v>1003788</x:v>
      </x:c>
      <x:c r="G133" s="31" t="n">
        <x:v>5</x:v>
      </x:c>
      <x:c r="H133" s="31" t="n">
        <x:v>2860796</x:v>
      </x:c>
      <x:c r="I133" s="31" t="n">
        <x:v>1374455</x:v>
      </x:c>
      <x:c r="J133" s="31" t="n">
        <x:v>324805</x:v>
      </x:c>
      <x:c r="K133" s="31" t="n">
        <x:v>281168</x:v>
      </x:c>
      <x:c r="L133" s="31" t="n">
        <x:v>880368</x:v>
      </x:c>
      <x:c r="M133" s="31" t="n">
        <x:v>0.308</x:v>
      </x:c>
      <x:c r="N133" s="31" t="inlineStr">
        <x:is>
          <x:t xml:space="preserve">Стандарт</x:t>
        </x:is>
      </x:c>
      <x:c r="O133" s="31" t="n">
        <x:v>46107</x:v>
      </x:c>
      <x:c r="P133" s="31" t="inlineStr">
        <x:is>
          <x:t xml:space="preserve">Спецификация 4</x:t>
        </x:is>
      </x:c>
    </x:row>
    <x:row r="134" ht="18" customHeight="1">
      <x:c r="A134" s="31" t="inlineStr">
        <x:is>
          <x:t xml:space="preserve">ПОЗ-0051-1</x:t>
        </x:is>
      </x:c>
      <x:c r="B134" s="31" t="inlineStr">
        <x:is>
          <x:t xml:space="preserve">ЗК-1051</x:t>
        </x:is>
      </x:c>
      <x:c r="C134" s="31" t="inlineStr">
        <x:is>
          <x:t xml:space="preserve">ИЗД-032</x:t>
        </x:is>
      </x:c>
      <x:c r="D134" s="31" t="inlineStr">
        <x:is>
          <x:t xml:space="preserve">Комплект ЗИП СТК-132</x:t>
        </x:is>
      </x:c>
      <x:c r="E134" s="31" t="n">
        <x:v>3</x:v>
      </x:c>
      <x:c r="F134" s="31" t="n">
        <x:v>195010</x:v>
      </x:c>
      <x:c r="G134" s="31" t="n">
        <x:v>3</x:v>
      </x:c>
      <x:c r="H134" s="31" t="n">
        <x:v>567479</x:v>
      </x:c>
      <x:c r="I134" s="31" t="n">
        <x:v>259181</x:v>
      </x:c>
      <x:c r="J134" s="31" t="n">
        <x:v>48229</x:v>
      </x:c>
      <x:c r="K134" s="31" t="n">
        <x:v>35395</x:v>
      </x:c>
      <x:c r="L134" s="31" t="n">
        <x:v>224674</x:v>
      </x:c>
      <x:c r="M134" s="31" t="n">
        <x:v>0.396</x:v>
      </x:c>
      <x:c r="N134" s="31" t="inlineStr">
        <x:is>
          <x:t xml:space="preserve">Стандарт</x:t>
        </x:is>
      </x:c>
      <x:c r="O134" s="31" t="n">
        <x:v>46161</x:v>
      </x:c>
      <x:c r="P134" s="31" t="inlineStr">
        <x:is>
          <x:t xml:space="preserve">Спецификация 3</x:t>
        </x:is>
      </x:c>
    </x:row>
    <x:row r="135" ht="18" customHeight="1">
      <x:c r="A135" s="31" t="inlineStr">
        <x:is>
          <x:t xml:space="preserve">ПОЗ-0051-2</x:t>
        </x:is>
      </x:c>
      <x:c r="B135" s="31" t="inlineStr">
        <x:is>
          <x:t xml:space="preserve">ЗК-1051</x:t>
        </x:is>
      </x:c>
      <x:c r="C135" s="31" t="inlineStr">
        <x:is>
          <x:t xml:space="preserve">ИЗД-015</x:t>
        </x:is>
      </x:c>
      <x:c r="D135" s="31" t="inlineStr">
        <x:is>
          <x:t xml:space="preserve">Сервисный комплект СТК-115</x:t>
        </x:is>
      </x:c>
      <x:c r="E135" s="31" t="n">
        <x:v>6</x:v>
      </x:c>
      <x:c r="F135" s="31" t="n">
        <x:v>247224</x:v>
      </x:c>
      <x:c r="G135" s="31" t="n">
        <x:v>0</x:v>
      </x:c>
      <x:c r="H135" s="31" t="n">
        <x:v>1483344</x:v>
      </x:c>
      <x:c r="I135" s="31" t="n">
        <x:v>743569</x:v>
      </x:c>
      <x:c r="J135" s="31" t="n">
        <x:v>210957</x:v>
      </x:c>
      <x:c r="K135" s="31" t="n">
        <x:v>82200</x:v>
      </x:c>
      <x:c r="L135" s="31" t="n">
        <x:v>446618</x:v>
      </x:c>
      <x:c r="M135" s="31" t="n">
        <x:v>0.301</x:v>
      </x:c>
      <x:c r="N135" s="31" t="inlineStr">
        <x:is>
          <x:t xml:space="preserve">Нестандарт</x:t>
        </x:is>
      </x:c>
      <x:c r="O135" s="31" t="n">
        <x:v>46161</x:v>
      </x:c>
      <x:c r="P135" s="31" t="inlineStr">
        <x:is>
          <x:t xml:space="preserve">Спецификация 3</x:t>
        </x:is>
      </x:c>
    </x:row>
    <x:row r="136" ht="18" customHeight="1">
      <x:c r="A136" s="31" t="inlineStr">
        <x:is>
          <x:t xml:space="preserve">ПОЗ-0051-3</x:t>
        </x:is>
      </x:c>
      <x:c r="B136" s="31" t="inlineStr">
        <x:is>
          <x:t xml:space="preserve">ЗК-1051</x:t>
        </x:is>
      </x:c>
      <x:c r="C136" s="31" t="inlineStr">
        <x:is>
          <x:t xml:space="preserve">ИЗД-022</x:t>
        </x:is>
      </x:c>
      <x:c r="D136" s="31" t="inlineStr">
        <x:is>
          <x:t xml:space="preserve">Блок дозирования СТК-122</x:t>
        </x:is>
      </x:c>
      <x:c r="E136" s="31" t="n">
        <x:v>5</x:v>
      </x:c>
      <x:c r="F136" s="31" t="n">
        <x:v>530479</x:v>
      </x:c>
      <x:c r="G136" s="31" t="n">
        <x:v>0</x:v>
      </x:c>
      <x:c r="H136" s="31" t="n">
        <x:v>2652395</x:v>
      </x:c>
      <x:c r="I136" s="31" t="n">
        <x:v>952326</x:v>
      </x:c>
      <x:c r="J136" s="31" t="n">
        <x:v>313493</x:v>
      </x:c>
      <x:c r="K136" s="31" t="n">
        <x:v>289411</x:v>
      </x:c>
      <x:c r="L136" s="31" t="n">
        <x:v>1097165</x:v>
      </x:c>
      <x:c r="M136" s="31" t="n">
        <x:v>0.414</x:v>
      </x:c>
      <x:c r="N136" s="31" t="inlineStr">
        <x:is>
          <x:t xml:space="preserve">Нестандарт</x:t>
        </x:is>
      </x:c>
      <x:c r="O136" s="31" t="n">
        <x:v>46161</x:v>
      </x:c>
      <x:c r="P136" s="31" t="inlineStr">
        <x:is>
          <x:t xml:space="preserve">Спецификация 4</x:t>
        </x:is>
      </x:c>
    </x:row>
    <x:row r="137" ht="18" customHeight="1">
      <x:c r="A137" s="31" t="inlineStr">
        <x:is>
          <x:t xml:space="preserve">ПОЗ-0052-1</x:t>
        </x:is>
      </x:c>
      <x:c r="B137" s="31" t="inlineStr">
        <x:is>
          <x:t xml:space="preserve">ЗК-1052</x:t>
        </x:is>
      </x:c>
      <x:c r="C137" s="31" t="inlineStr">
        <x:is>
          <x:t xml:space="preserve">ИЗД-003</x:t>
        </x:is>
      </x:c>
      <x:c r="D137" s="31" t="inlineStr">
        <x:is>
          <x:t xml:space="preserve">Насосная станция СТК-103</x:t>
        </x:is>
      </x:c>
      <x:c r="E137" s="31" t="n">
        <x:v>1</x:v>
      </x:c>
      <x:c r="F137" s="31" t="n">
        <x:v>2379850</x:v>
      </x:c>
      <x:c r="G137" s="31" t="n">
        <x:v>5</x:v>
      </x:c>
      <x:c r="H137" s="31" t="n">
        <x:v>2260858</x:v>
      </x:c>
      <x:c r="I137" s="31" t="n">
        <x:v>960450</x:v>
      </x:c>
      <x:c r="J137" s="31" t="n">
        <x:v>213699</x:v>
      </x:c>
      <x:c r="K137" s="31" t="n">
        <x:v>129815</x:v>
      </x:c>
      <x:c r="L137" s="31" t="n">
        <x:v>956894</x:v>
      </x:c>
      <x:c r="M137" s="31" t="n">
        <x:v>0.423</x:v>
      </x:c>
      <x:c r="N137" s="31" t="inlineStr">
        <x:is>
          <x:t xml:space="preserve">Нестандарт</x:t>
        </x:is>
      </x:c>
      <x:c r="O137" s="31" t="n">
        <x:v>46149</x:v>
      </x:c>
      <x:c r="P137" s="31" t="inlineStr">
        <x:is>
          <x:t xml:space="preserve">Спецификация 4</x:t>
        </x:is>
      </x:c>
    </x:row>
    <x:row r="138" ht="18" customHeight="1">
      <x:c r="A138" s="31" t="inlineStr">
        <x:is>
          <x:t xml:space="preserve">ПОЗ-0052-2</x:t>
        </x:is>
      </x:c>
      <x:c r="B138" s="31" t="inlineStr">
        <x:is>
          <x:t xml:space="preserve">ЗК-1052</x:t>
        </x:is>
      </x:c>
      <x:c r="C138" s="31" t="inlineStr">
        <x:is>
          <x:t xml:space="preserve">ИЗД-011</x:t>
        </x:is>
      </x:c>
      <x:c r="D138" s="31" t="inlineStr">
        <x:is>
          <x:t xml:space="preserve">Шкаф управления СТК-111</x:t>
        </x:is>
      </x:c>
      <x:c r="E138" s="31" t="n">
        <x:v>2</x:v>
      </x:c>
      <x:c r="F138" s="31" t="n">
        <x:v>247434</x:v>
      </x:c>
      <x:c r="G138" s="31" t="n">
        <x:v>7</x:v>
      </x:c>
      <x:c r="H138" s="31" t="n">
        <x:v>460227</x:v>
      </x:c>
      <x:c r="I138" s="31" t="n">
        <x:v>244501</x:v>
      </x:c>
      <x:c r="J138" s="31" t="n">
        <x:v>35386</x:v>
      </x:c>
      <x:c r="K138" s="31" t="n">
        <x:v>36943</x:v>
      </x:c>
      <x:c r="L138" s="31" t="n">
        <x:v>143397</x:v>
      </x:c>
      <x:c r="M138" s="31" t="n">
        <x:v>0.312</x:v>
      </x:c>
      <x:c r="N138" s="31" t="inlineStr">
        <x:is>
          <x:t xml:space="preserve">Нестандарт</x:t>
        </x:is>
      </x:c>
      <x:c r="O138" s="31" t="n">
        <x:v>46149</x:v>
      </x:c>
      <x:c r="P138" s="31" t="inlineStr">
        <x:is>
          <x:t xml:space="preserve">Спецификация 4</x:t>
        </x:is>
      </x:c>
    </x:row>
    <x:row r="139" ht="18" customHeight="1">
      <x:c r="A139" s="31" t="inlineStr">
        <x:is>
          <x:t xml:space="preserve">ПОЗ-0052-3</x:t>
        </x:is>
      </x:c>
      <x:c r="B139" s="31" t="inlineStr">
        <x:is>
          <x:t xml:space="preserve">ЗК-1052</x:t>
        </x:is>
      </x:c>
      <x:c r="C139" s="31" t="inlineStr">
        <x:is>
          <x:t xml:space="preserve">ИЗД-019</x:t>
        </x:is>
      </x:c>
      <x:c r="D139" s="31" t="inlineStr">
        <x:is>
          <x:t xml:space="preserve">Насосная станция СТК-119</x:t>
        </x:is>
      </x:c>
      <x:c r="E139" s="31" t="n">
        <x:v>1</x:v>
      </x:c>
      <x:c r="F139" s="31" t="n">
        <x:v>1100847</x:v>
      </x:c>
      <x:c r="G139" s="31" t="n">
        <x:v>7</x:v>
      </x:c>
      <x:c r="H139" s="31" t="n">
        <x:v>1023788</x:v>
      </x:c>
      <x:c r="I139" s="31" t="n">
        <x:v>416253</x:v>
      </x:c>
      <x:c r="J139" s="31" t="n">
        <x:v>85657</x:v>
      </x:c>
      <x:c r="K139" s="31" t="n">
        <x:v>96392</x:v>
      </x:c>
      <x:c r="L139" s="31" t="n">
        <x:v>425486</x:v>
      </x:c>
      <x:c r="M139" s="31" t="n">
        <x:v>0.416</x:v>
      </x:c>
      <x:c r="N139" s="31" t="inlineStr">
        <x:is>
          <x:t xml:space="preserve">Нестандарт</x:t>
        </x:is>
      </x:c>
      <x:c r="O139" s="31" t="n">
        <x:v>46149</x:v>
      </x:c>
      <x:c r="P139" s="31" t="inlineStr">
        <x:is>
          <x:t xml:space="preserve">Спецификация 2</x:t>
        </x:is>
      </x:c>
    </x:row>
    <x:row r="140" ht="18" customHeight="1">
      <x:c r="A140" s="31" t="inlineStr">
        <x:is>
          <x:t xml:space="preserve">ПОЗ-0052-4</x:t>
        </x:is>
      </x:c>
      <x:c r="B140" s="31" t="inlineStr">
        <x:is>
          <x:t xml:space="preserve">ЗК-1052</x:t>
        </x:is>
      </x:c>
      <x:c r="C140" s="31" t="inlineStr">
        <x:is>
          <x:t xml:space="preserve">ИЗД-020</x:t>
        </x:is>
      </x:c>
      <x:c r="D140" s="31" t="inlineStr">
        <x:is>
          <x:t xml:space="preserve">Трубная обвязка СТК-120</x:t>
        </x:is>
      </x:c>
      <x:c r="E140" s="31" t="n">
        <x:v>5</x:v>
      </x:c>
      <x:c r="F140" s="31" t="n">
        <x:v>355281</x:v>
      </x:c>
      <x:c r="G140" s="31" t="n">
        <x:v>5</x:v>
      </x:c>
      <x:c r="H140" s="31" t="n">
        <x:v>1687585</x:v>
      </x:c>
      <x:c r="I140" s="31" t="n">
        <x:v>819894</x:v>
      </x:c>
      <x:c r="J140" s="31" t="n">
        <x:v>231053</x:v>
      </x:c>
      <x:c r="K140" s="31" t="n">
        <x:v>114974</x:v>
      </x:c>
      <x:c r="L140" s="31" t="n">
        <x:v>521664</x:v>
      </x:c>
      <x:c r="M140" s="31" t="n">
        <x:v>0.309</x:v>
      </x:c>
      <x:c r="N140" s="31" t="inlineStr">
        <x:is>
          <x:t xml:space="preserve">Стандарт</x:t>
        </x:is>
      </x:c>
      <x:c r="O140" s="31" t="n">
        <x:v>46149</x:v>
      </x:c>
      <x:c r="P140" s="31" t="inlineStr">
        <x:is>
          <x:t xml:space="preserve">Спецификация 1</x:t>
        </x:is>
      </x:c>
    </x:row>
    <x:row r="141" ht="18" customHeight="1">
      <x:c r="A141" s="31" t="inlineStr">
        <x:is>
          <x:t xml:space="preserve">ПОЗ-0053-1</x:t>
        </x:is>
      </x:c>
      <x:c r="B141" s="31" t="inlineStr">
        <x:is>
          <x:t xml:space="preserve">ЗК-1053</x:t>
        </x:is>
      </x:c>
      <x:c r="C141" s="31" t="inlineStr">
        <x:is>
          <x:t xml:space="preserve">ИЗД-026</x:t>
        </x:is>
      </x:c>
      <x:c r="D141" s="31" t="inlineStr">
        <x:is>
          <x:t xml:space="preserve">Шкаф управления СТК-126</x:t>
        </x:is>
      </x:c>
      <x:c r="E141" s="31" t="n">
        <x:v>4</x:v>
      </x:c>
      <x:c r="F141" s="31" t="n">
        <x:v>458749</x:v>
      </x:c>
      <x:c r="G141" s="31" t="n">
        <x:v>10</x:v>
      </x:c>
      <x:c r="H141" s="31" t="n">
        <x:v>1651496</x:v>
      </x:c>
      <x:c r="I141" s="31" t="n">
        <x:v>783847</x:v>
      </x:c>
      <x:c r="J141" s="31" t="n">
        <x:v>150105</x:v>
      </x:c>
      <x:c r="K141" s="31" t="n">
        <x:v>119220</x:v>
      </x:c>
      <x:c r="L141" s="31" t="n">
        <x:v>598324</x:v>
      </x:c>
      <x:c r="M141" s="31" t="n">
        <x:v>0.362</x:v>
      </x:c>
      <x:c r="N141" s="31" t="inlineStr">
        <x:is>
          <x:t xml:space="preserve">Стандарт</x:t>
        </x:is>
      </x:c>
      <x:c r="O141" s="31" t="n">
        <x:v>46170</x:v>
      </x:c>
      <x:c r="P141" s="31" t="inlineStr">
        <x:is>
          <x:t xml:space="preserve">Спецификация 3</x:t>
        </x:is>
      </x:c>
    </x:row>
    <x:row r="142" ht="18" customHeight="1">
      <x:c r="A142" s="31" t="inlineStr">
        <x:is>
          <x:t xml:space="preserve">ПОЗ-0053-2</x:t>
        </x:is>
      </x:c>
      <x:c r="B142" s="31" t="inlineStr">
        <x:is>
          <x:t xml:space="preserve">ЗК-1053</x:t>
        </x:is>
      </x:c>
      <x:c r="C142" s="31" t="inlineStr">
        <x:is>
          <x:t xml:space="preserve">ИЗД-024</x:t>
        </x:is>
      </x:c>
      <x:c r="D142" s="31" t="inlineStr">
        <x:is>
          <x:t xml:space="preserve">Блок дозирования СТК-124</x:t>
        </x:is>
      </x:c>
      <x:c r="E142" s="31" t="n">
        <x:v>3</x:v>
      </x:c>
      <x:c r="F142" s="31" t="n">
        <x:v>1264352</x:v>
      </x:c>
      <x:c r="G142" s="31" t="n">
        <x:v>5</x:v>
      </x:c>
      <x:c r="H142" s="31" t="n">
        <x:v>3603403</x:v>
      </x:c>
      <x:c r="I142" s="31" t="n">
        <x:v>1497366</x:v>
      </x:c>
      <x:c r="J142" s="31" t="n">
        <x:v>434137</x:v>
      </x:c>
      <x:c r="K142" s="31" t="n">
        <x:v>225072</x:v>
      </x:c>
      <x:c r="L142" s="31" t="n">
        <x:v>1446828</x:v>
      </x:c>
      <x:c r="M142" s="31" t="n">
        <x:v>0.402</x:v>
      </x:c>
      <x:c r="N142" s="31" t="inlineStr">
        <x:is>
          <x:t xml:space="preserve">Замена материала</x:t>
        </x:is>
      </x:c>
      <x:c r="O142" s="31" t="n">
        <x:v>46170</x:v>
      </x:c>
      <x:c r="P142" s="31" t="inlineStr">
        <x:is>
          <x:t xml:space="preserve">Спецификация 2</x:t>
        </x:is>
      </x:c>
    </x:row>
    <x:row r="143" ht="18" customHeight="1">
      <x:c r="A143" s="31" t="inlineStr">
        <x:is>
          <x:t xml:space="preserve">ПОЗ-0053-3</x:t>
        </x:is>
      </x:c>
      <x:c r="B143" s="31" t="inlineStr">
        <x:is>
          <x:t xml:space="preserve">ЗК-1053</x:t>
        </x:is>
      </x:c>
      <x:c r="C143" s="31" t="inlineStr">
        <x:is>
          <x:t xml:space="preserve">ИЗД-035</x:t>
        </x:is>
      </x:c>
      <x:c r="D143" s="31" t="inlineStr">
        <x:is>
          <x:t xml:space="preserve">Компрессорный модуль СТК-135</x:t>
        </x:is>
      </x:c>
      <x:c r="E143" s="31" t="n">
        <x:v>1</x:v>
      </x:c>
      <x:c r="F143" s="31" t="n">
        <x:v>2803111</x:v>
      </x:c>
      <x:c r="G143" s="31" t="n">
        <x:v>5</x:v>
      </x:c>
      <x:c r="H143" s="31" t="n">
        <x:v>2662955</x:v>
      </x:c>
      <x:c r="I143" s="31" t="n">
        <x:v>1140518</x:v>
      </x:c>
      <x:c r="J143" s="31" t="n">
        <x:v>359693</x:v>
      </x:c>
      <x:c r="K143" s="31" t="n">
        <x:v>223684</x:v>
      </x:c>
      <x:c r="L143" s="31" t="n">
        <x:v>939060</x:v>
      </x:c>
      <x:c r="M143" s="31" t="n">
        <x:v>0.353</x:v>
      </x:c>
      <x:c r="N143" s="31" t="inlineStr">
        <x:is>
          <x:t xml:space="preserve">Стандарт</x:t>
        </x:is>
      </x:c>
      <x:c r="O143" s="31" t="n">
        <x:v>46170</x:v>
      </x:c>
      <x:c r="P143" s="31" t="inlineStr">
        <x:is>
          <x:t xml:space="preserve">Спецификация 4</x:t>
        </x:is>
      </x:c>
    </x:row>
    <x:row r="144" ht="18" customHeight="1">
      <x:c r="A144" s="31" t="inlineStr">
        <x:is>
          <x:t xml:space="preserve">ПОЗ-0053-4</x:t>
        </x:is>
      </x:c>
      <x:c r="B144" s="31" t="inlineStr">
        <x:is>
          <x:t xml:space="preserve">ЗК-1053</x:t>
        </x:is>
      </x:c>
      <x:c r="C144" s="31" t="inlineStr">
        <x:is>
          <x:t xml:space="preserve">ИЗД-007</x:t>
        </x:is>
      </x:c>
      <x:c r="D144" s="31" t="inlineStr">
        <x:is>
          <x:t xml:space="preserve">Насосная станция СТК-107</x:t>
        </x:is>
      </x:c>
      <x:c r="E144" s="31" t="n">
        <x:v>3</x:v>
      </x:c>
      <x:c r="F144" s="31" t="n">
        <x:v>2230485</x:v>
      </x:c>
      <x:c r="G144" s="31" t="n">
        <x:v>5</x:v>
      </x:c>
      <x:c r="H144" s="31" t="n">
        <x:v>6356882</x:v>
      </x:c>
      <x:c r="I144" s="31" t="n">
        <x:v>2829681</x:v>
      </x:c>
      <x:c r="J144" s="31" t="n">
        <x:v>465870</x:v>
      </x:c>
      <x:c r="K144" s="31" t="n">
        <x:v>580637</x:v>
      </x:c>
      <x:c r="L144" s="31" t="n">
        <x:v>2480694</x:v>
      </x:c>
      <x:c r="M144" s="31" t="n">
        <x:v>0.39</x:v>
      </x:c>
      <x:c r="N144" s="31" t="inlineStr">
        <x:is>
          <x:t xml:space="preserve">Стандарт</x:t>
        </x:is>
      </x:c>
      <x:c r="O144" s="31" t="n">
        <x:v>46170</x:v>
      </x:c>
      <x:c r="P144" s="31" t="inlineStr">
        <x:is>
          <x:t xml:space="preserve">Спецификация 1</x:t>
        </x:is>
      </x:c>
    </x:row>
    <x:row r="145" ht="18" customHeight="1">
      <x:c r="A145" s="31" t="inlineStr">
        <x:is>
          <x:t xml:space="preserve">ПОЗ-0054-1</x:t>
        </x:is>
      </x:c>
      <x:c r="B145" s="31" t="inlineStr">
        <x:is>
          <x:t xml:space="preserve">ЗК-1054</x:t>
        </x:is>
      </x:c>
      <x:c r="C145" s="31" t="inlineStr">
        <x:is>
          <x:t xml:space="preserve">ИЗД-028</x:t>
        </x:is>
      </x:c>
      <x:c r="D145" s="31" t="inlineStr">
        <x:is>
          <x:t xml:space="preserve">Блок дозирования СТК-128</x:t>
        </x:is>
      </x:c>
      <x:c r="E145" s="31" t="n">
        <x:v>1</x:v>
      </x:c>
      <x:c r="F145" s="31" t="n">
        <x:v>436748</x:v>
      </x:c>
      <x:c r="G145" s="31" t="n">
        <x:v>5</x:v>
      </x:c>
      <x:c r="H145" s="31" t="n">
        <x:v>414911</x:v>
      </x:c>
      <x:c r="I145" s="31" t="n">
        <x:v>168132</x:v>
      </x:c>
      <x:c r="J145" s="31" t="n">
        <x:v>56981</x:v>
      </x:c>
      <x:c r="K145" s="31" t="n">
        <x:v>24883</x:v>
      </x:c>
      <x:c r="L145" s="31" t="n">
        <x:v>164915</x:v>
      </x:c>
      <x:c r="M145" s="31" t="n">
        <x:v>0.397</x:v>
      </x:c>
      <x:c r="N145" s="31" t="inlineStr">
        <x:is>
          <x:t xml:space="preserve">Стандарт</x:t>
        </x:is>
      </x:c>
      <x:c r="O145" s="31" t="n">
        <x:v>46179</x:v>
      </x:c>
      <x:c r="P145" s="31" t="inlineStr">
        <x:is>
          <x:t xml:space="preserve">Спецификация 1</x:t>
        </x:is>
      </x:c>
    </x:row>
    <x:row r="146" ht="18" customHeight="1">
      <x:c r="A146" s="31" t="inlineStr">
        <x:is>
          <x:t xml:space="preserve">ПОЗ-0055-1</x:t>
        </x:is>
      </x:c>
      <x:c r="B146" s="31" t="inlineStr">
        <x:is>
          <x:t xml:space="preserve">ЗК-1055</x:t>
        </x:is>
      </x:c>
      <x:c r="C146" s="31" t="inlineStr">
        <x:is>
          <x:t xml:space="preserve">ИЗД-040</x:t>
        </x:is>
      </x:c>
      <x:c r="D146" s="31" t="inlineStr">
        <x:is>
          <x:t xml:space="preserve">Блок дозирования СТК-140</x:t>
        </x:is>
      </x:c>
      <x:c r="E146" s="31" t="n">
        <x:v>2</x:v>
      </x:c>
      <x:c r="F146" s="31" t="n">
        <x:v>827274</x:v>
      </x:c>
      <x:c r="G146" s="31" t="n">
        <x:v>3</x:v>
      </x:c>
      <x:c r="H146" s="31" t="n">
        <x:v>1604912</x:v>
      </x:c>
      <x:c r="I146" s="31" t="n">
        <x:v>680304</x:v>
      </x:c>
      <x:c r="J146" s="31" t="n">
        <x:v>201031</x:v>
      </x:c>
      <x:c r="K146" s="31" t="n">
        <x:v>149046</x:v>
      </x:c>
      <x:c r="L146" s="31" t="n">
        <x:v>574531</x:v>
      </x:c>
      <x:c r="M146" s="31" t="n">
        <x:v>0.358</x:v>
      </x:c>
      <x:c r="N146" s="31" t="inlineStr">
        <x:is>
          <x:t xml:space="preserve">Стандарт</x:t>
        </x:is>
      </x:c>
      <x:c r="O146" s="31" t="n">
        <x:v>46125</x:v>
      </x:c>
      <x:c r="P146" s="31" t="inlineStr">
        <x:is>
          <x:t xml:space="preserve">Спецификация 3</x:t>
        </x:is>
      </x:c>
    </x:row>
    <x:row r="147" ht="18" customHeight="1">
      <x:c r="A147" s="31" t="inlineStr">
        <x:is>
          <x:t xml:space="preserve">ПОЗ-0055-2</x:t>
        </x:is>
      </x:c>
      <x:c r="B147" s="31" t="inlineStr">
        <x:is>
          <x:t xml:space="preserve">ЗК-1055</x:t>
        </x:is>
      </x:c>
      <x:c r="C147" s="31" t="inlineStr">
        <x:is>
          <x:t xml:space="preserve">ИЗД-024</x:t>
        </x:is>
      </x:c>
      <x:c r="D147" s="31" t="inlineStr">
        <x:is>
          <x:t xml:space="preserve">Блок дозирования СТК-124</x:t>
        </x:is>
      </x:c>
      <x:c r="E147" s="31" t="n">
        <x:v>4</x:v>
      </x:c>
      <x:c r="F147" s="31" t="n">
        <x:v>1373923</x:v>
      </x:c>
      <x:c r="G147" s="31" t="n">
        <x:v>10</x:v>
      </x:c>
      <x:c r="H147" s="31" t="n">
        <x:v>4946123</x:v>
      </x:c>
      <x:c r="I147" s="31" t="n">
        <x:v>2755765</x:v>
      </x:c>
      <x:c r="J147" s="31" t="n">
        <x:v>666795</x:v>
      </x:c>
      <x:c r="K147" s="31" t="n">
        <x:v>500270</x:v>
      </x:c>
      <x:c r="L147" s="31" t="n">
        <x:v>1023293</x:v>
      </x:c>
      <x:c r="M147" s="31" t="n">
        <x:v>0.207</x:v>
      </x:c>
      <x:c r="N147" s="31" t="inlineStr">
        <x:is>
          <x:t xml:space="preserve">Стандарт</x:t>
        </x:is>
      </x:c>
      <x:c r="O147" s="31" t="n">
        <x:v>46125</x:v>
      </x:c>
      <x:c r="P147" s="31" t="inlineStr">
        <x:is>
          <x:t xml:space="preserve">Спецификация 4</x:t>
        </x:is>
      </x:c>
    </x:row>
    <x:row r="148" ht="18" customHeight="1">
      <x:c r="A148" s="31" t="inlineStr">
        <x:is>
          <x:t xml:space="preserve">ПОЗ-0055-3</x:t>
        </x:is>
      </x:c>
      <x:c r="B148" s="31" t="inlineStr">
        <x:is>
          <x:t xml:space="preserve">ЗК-1055</x:t>
        </x:is>
      </x:c>
      <x:c r="C148" s="31" t="inlineStr">
        <x:is>
          <x:t xml:space="preserve">ИЗД-037</x:t>
        </x:is>
      </x:c>
      <x:c r="D148" s="31" t="inlineStr">
        <x:is>
          <x:t xml:space="preserve">Трубная обвязка СТК-137</x:t>
        </x:is>
      </x:c>
      <x:c r="E148" s="31" t="n">
        <x:v>1</x:v>
      </x:c>
      <x:c r="F148" s="31" t="n">
        <x:v>202825</x:v>
      </x:c>
      <x:c r="G148" s="31" t="n">
        <x:v>0</x:v>
      </x:c>
      <x:c r="H148" s="31" t="n">
        <x:v>202825</x:v>
      </x:c>
      <x:c r="I148" s="31" t="n">
        <x:v>88111</x:v>
      </x:c>
      <x:c r="J148" s="31" t="n">
        <x:v>32330</x:v>
      </x:c>
      <x:c r="K148" s="31" t="n">
        <x:v>10209</x:v>
      </x:c>
      <x:c r="L148" s="31" t="n">
        <x:v>72175</x:v>
      </x:c>
      <x:c r="M148" s="31" t="n">
        <x:v>0.356</x:v>
      </x:c>
      <x:c r="N148" s="31" t="inlineStr">
        <x:is>
          <x:t xml:space="preserve">Нестандарт</x:t>
        </x:is>
      </x:c>
      <x:c r="O148" s="31" t="n">
        <x:v>46125</x:v>
      </x:c>
      <x:c r="P148" s="31" t="inlineStr">
        <x:is>
          <x:t xml:space="preserve">Спецификация 2</x:t>
        </x:is>
      </x:c>
    </x:row>
    <x:row r="149" ht="18" customHeight="1">
      <x:c r="A149" s="31" t="inlineStr">
        <x:is>
          <x:t xml:space="preserve">ПОЗ-0056-1</x:t>
        </x:is>
      </x:c>
      <x:c r="B149" s="31" t="inlineStr">
        <x:is>
          <x:t xml:space="preserve">ЗК-1056</x:t>
        </x:is>
      </x:c>
      <x:c r="C149" s="31" t="inlineStr">
        <x:is>
          <x:t xml:space="preserve">ИЗД-038</x:t>
        </x:is>
      </x:c>
      <x:c r="D149" s="31" t="inlineStr">
        <x:is>
          <x:t xml:space="preserve">Трубная обвязка СТК-138</x:t>
        </x:is>
      </x:c>
      <x:c r="E149" s="31" t="n">
        <x:v>4</x:v>
      </x:c>
      <x:c r="F149" s="31" t="n">
        <x:v>474562</x:v>
      </x:c>
      <x:c r="G149" s="31" t="n">
        <x:v>3</x:v>
      </x:c>
      <x:c r="H149" s="31" t="n">
        <x:v>1841301</x:v>
      </x:c>
      <x:c r="I149" s="31" t="n">
        <x:v>899103</x:v>
      </x:c>
      <x:c r="J149" s="31" t="n">
        <x:v>162463</x:v>
      </x:c>
      <x:c r="K149" s="31" t="n">
        <x:v>157539</x:v>
      </x:c>
      <x:c r="L149" s="31" t="n">
        <x:v>622196</x:v>
      </x:c>
      <x:c r="M149" s="31" t="n">
        <x:v>0.338</x:v>
      </x:c>
      <x:c r="N149" s="31" t="inlineStr">
        <x:is>
          <x:t xml:space="preserve">Стандарт</x:t>
        </x:is>
      </x:c>
      <x:c r="O149" s="31" t="n">
        <x:v>46132</x:v>
      </x:c>
      <x:c r="P149" s="31" t="inlineStr">
        <x:is>
          <x:t xml:space="preserve">Спецификация 2</x:t>
        </x:is>
      </x:c>
    </x:row>
    <x:row r="150" ht="18" customHeight="1">
      <x:c r="A150" s="31" t="inlineStr">
        <x:is>
          <x:t xml:space="preserve">ПОЗ-0056-2</x:t>
        </x:is>
      </x:c>
      <x:c r="B150" s="31" t="inlineStr">
        <x:is>
          <x:t xml:space="preserve">ЗК-1056</x:t>
        </x:is>
      </x:c>
      <x:c r="C150" s="31" t="inlineStr">
        <x:is>
          <x:t xml:space="preserve">ИЗД-020</x:t>
        </x:is>
      </x:c>
      <x:c r="D150" s="31" t="inlineStr">
        <x:is>
          <x:t xml:space="preserve">Трубная обвязка СТК-120</x:t>
        </x:is>
      </x:c>
      <x:c r="E150" s="31" t="n">
        <x:v>3</x:v>
      </x:c>
      <x:c r="F150" s="31" t="n">
        <x:v>300267</x:v>
      </x:c>
      <x:c r="G150" s="31" t="n">
        <x:v>3</x:v>
      </x:c>
      <x:c r="H150" s="31" t="n">
        <x:v>873777</x:v>
      </x:c>
      <x:c r="I150" s="31" t="n">
        <x:v>379531</x:v>
      </x:c>
      <x:c r="J150" s="31" t="n">
        <x:v>102239</x:v>
      </x:c>
      <x:c r="K150" s="31" t="n">
        <x:v>77495</x:v>
      </x:c>
      <x:c r="L150" s="31" t="n">
        <x:v>314512</x:v>
      </x:c>
      <x:c r="M150" s="31" t="n">
        <x:v>0.36</x:v>
      </x:c>
      <x:c r="N150" s="31" t="inlineStr">
        <x:is>
          <x:t xml:space="preserve">Стандарт</x:t>
        </x:is>
      </x:c>
      <x:c r="O150" s="31" t="n">
        <x:v>46132</x:v>
      </x:c>
      <x:c r="P150" s="31" t="inlineStr">
        <x:is>
          <x:t xml:space="preserve">Спецификация 3</x:t>
        </x:is>
      </x:c>
    </x:row>
    <x:row r="151" ht="18" customHeight="1">
      <x:c r="A151" s="31" t="inlineStr">
        <x:is>
          <x:t xml:space="preserve">ПОЗ-0056-3</x:t>
        </x:is>
      </x:c>
      <x:c r="B151" s="31" t="inlineStr">
        <x:is>
          <x:t xml:space="preserve">ЗК-1056</x:t>
        </x:is>
      </x:c>
      <x:c r="C151" s="31" t="inlineStr">
        <x:is>
          <x:t xml:space="preserve">ИЗД-024</x:t>
        </x:is>
      </x:c>
      <x:c r="D151" s="31" t="inlineStr">
        <x:is>
          <x:t xml:space="preserve">Блок дозирования СТК-124</x:t>
        </x:is>
      </x:c>
      <x:c r="E151" s="31" t="n">
        <x:v>5</x:v>
      </x:c>
      <x:c r="F151" s="31" t="n">
        <x:v>1444524</x:v>
      </x:c>
      <x:c r="G151" s="31" t="n">
        <x:v>3</x:v>
      </x:c>
      <x:c r="H151" s="31" t="n">
        <x:v>7005941</x:v>
      </x:c>
      <x:c r="I151" s="31" t="n">
        <x:v>3010620</x:v>
      </x:c>
      <x:c r="J151" s="31" t="n">
        <x:v>984355</x:v>
      </x:c>
      <x:c r="K151" s="31" t="n">
        <x:v>766066</x:v>
      </x:c>
      <x:c r="L151" s="31" t="n">
        <x:v>2244900</x:v>
      </x:c>
      <x:c r="M151" s="31" t="n">
        <x:v>0.32</x:v>
      </x:c>
      <x:c r="N151" s="31" t="inlineStr">
        <x:is>
          <x:t xml:space="preserve">Стандарт</x:t>
        </x:is>
      </x:c>
      <x:c r="O151" s="31" t="n">
        <x:v>46132</x:v>
      </x:c>
      <x:c r="P151" s="31" t="inlineStr">
        <x:is>
          <x:t xml:space="preserve">Спецификация 2</x:t>
        </x:is>
      </x:c>
    </x:row>
    <x:row r="152" ht="18" customHeight="1">
      <x:c r="A152" s="31" t="inlineStr">
        <x:is>
          <x:t xml:space="preserve">ПОЗ-0056-4</x:t>
        </x:is>
      </x:c>
      <x:c r="B152" s="31" t="inlineStr">
        <x:is>
          <x:t xml:space="preserve">ЗК-1056</x:t>
        </x:is>
      </x:c>
      <x:c r="C152" s="31" t="inlineStr">
        <x:is>
          <x:t xml:space="preserve">ИЗД-040</x:t>
        </x:is>
      </x:c>
      <x:c r="D152" s="31" t="inlineStr">
        <x:is>
          <x:t xml:space="preserve">Блок дозирования СТК-140</x:t>
        </x:is>
      </x:c>
      <x:c r="E152" s="31" t="n">
        <x:v>2</x:v>
      </x:c>
      <x:c r="F152" s="31" t="n">
        <x:v>832512</x:v>
      </x:c>
      <x:c r="G152" s="31" t="n">
        <x:v>7</x:v>
      </x:c>
      <x:c r="H152" s="31" t="n">
        <x:v>1548472</x:v>
      </x:c>
      <x:c r="I152" s="31" t="n">
        <x:v>686439</x:v>
      </x:c>
      <x:c r="J152" s="31" t="n">
        <x:v>233255</x:v>
      </x:c>
      <x:c r="K152" s="31" t="n">
        <x:v>82272</x:v>
      </x:c>
      <x:c r="L152" s="31" t="n">
        <x:v>546506</x:v>
      </x:c>
      <x:c r="M152" s="31" t="n">
        <x:v>0.353</x:v>
      </x:c>
      <x:c r="N152" s="31" t="inlineStr">
        <x:is>
          <x:t xml:space="preserve">Стандарт</x:t>
        </x:is>
      </x:c>
      <x:c r="O152" s="31" t="n">
        <x:v>46132</x:v>
      </x:c>
      <x:c r="P152" s="31" t="inlineStr">
        <x:is>
          <x:t xml:space="preserve">Спецификация 4</x:t>
        </x:is>
      </x:c>
    </x:row>
    <x:row r="153" ht="18" customHeight="1">
      <x:c r="A153" s="31" t="inlineStr">
        <x:is>
          <x:t xml:space="preserve">ПОЗ-0057-1</x:t>
        </x:is>
      </x:c>
      <x:c r="B153" s="31" t="inlineStr">
        <x:is>
          <x:t xml:space="preserve">ЗК-1057</x:t>
        </x:is>
      </x:c>
      <x:c r="C153" s="31" t="inlineStr">
        <x:is>
          <x:t xml:space="preserve">ИЗД-041</x:t>
        </x:is>
      </x:c>
      <x:c r="D153" s="31" t="inlineStr">
        <x:is>
          <x:t xml:space="preserve">Рама-основание СТК-141</x:t>
        </x:is>
      </x:c>
      <x:c r="E153" s="31" t="n">
        <x:v>2</x:v>
      </x:c>
      <x:c r="F153" s="31" t="n">
        <x:v>272970</x:v>
      </x:c>
      <x:c r="G153" s="31" t="n">
        <x:v>3</x:v>
      </x:c>
      <x:c r="H153" s="31" t="n">
        <x:v>529562</x:v>
      </x:c>
      <x:c r="I153" s="31" t="n">
        <x:v>224609</x:v>
      </x:c>
      <x:c r="J153" s="31" t="n">
        <x:v>74672</x:v>
      </x:c>
      <x:c r="K153" s="31" t="n">
        <x:v>48255</x:v>
      </x:c>
      <x:c r="L153" s="31" t="n">
        <x:v>182026</x:v>
      </x:c>
      <x:c r="M153" s="31" t="n">
        <x:v>0.344</x:v>
      </x:c>
      <x:c r="N153" s="31" t="inlineStr">
        <x:is>
          <x:t xml:space="preserve">Стандарт</x:t>
        </x:is>
      </x:c>
      <x:c r="O153" s="31" t="n">
        <x:v>46172</x:v>
      </x:c>
      <x:c r="P153" s="31" t="inlineStr">
        <x:is>
          <x:t xml:space="preserve">Спецификация 4</x:t>
        </x:is>
      </x:c>
    </x:row>
    <x:row r="154" ht="18" customHeight="1">
      <x:c r="A154" s="31" t="inlineStr">
        <x:is>
          <x:t xml:space="preserve">ПОЗ-0057-2</x:t>
        </x:is>
      </x:c>
      <x:c r="B154" s="31" t="inlineStr">
        <x:is>
          <x:t xml:space="preserve">ЗК-1057</x:t>
        </x:is>
      </x:c>
      <x:c r="C154" s="31" t="inlineStr">
        <x:is>
          <x:t xml:space="preserve">ИЗД-018</x:t>
        </x:is>
      </x:c>
      <x:c r="D154" s="31" t="inlineStr">
        <x:is>
          <x:t xml:space="preserve">Шкаф управления СТК-118</x:t>
        </x:is>
      </x:c>
      <x:c r="E154" s="31" t="n">
        <x:v>3</x:v>
      </x:c>
      <x:c r="F154" s="31" t="n">
        <x:v>337308</x:v>
      </x:c>
      <x:c r="G154" s="31" t="n">
        <x:v>7</x:v>
      </x:c>
      <x:c r="H154" s="31" t="n">
        <x:v>941089</x:v>
      </x:c>
      <x:c r="I154" s="31" t="n">
        <x:v>527059</x:v>
      </x:c>
      <x:c r="J154" s="31" t="n">
        <x:v>131157</x:v>
      </x:c>
      <x:c r="K154" s="31" t="n">
        <x:v>66591</x:v>
      </x:c>
      <x:c r="L154" s="31" t="n">
        <x:v>216282</x:v>
      </x:c>
      <x:c r="M154" s="31" t="n">
        <x:v>0.23</x:v>
      </x:c>
      <x:c r="N154" s="31" t="inlineStr">
        <x:is>
          <x:t xml:space="preserve">Стандарт</x:t>
        </x:is>
      </x:c>
      <x:c r="O154" s="31" t="n">
        <x:v>46172</x:v>
      </x:c>
      <x:c r="P154" s="31" t="inlineStr">
        <x:is>
          <x:t xml:space="preserve">Спецификация 2</x:t>
        </x:is>
      </x:c>
    </x:row>
    <x:row r="155" ht="18" customHeight="1">
      <x:c r="A155" s="31" t="inlineStr">
        <x:is>
          <x:t xml:space="preserve">ПОЗ-0058-1</x:t>
        </x:is>
      </x:c>
      <x:c r="B155" s="31" t="inlineStr">
        <x:is>
          <x:t xml:space="preserve">ЗК-1058</x:t>
        </x:is>
      </x:c>
      <x:c r="C155" s="31" t="inlineStr">
        <x:is>
          <x:t xml:space="preserve">ИЗД-039</x:t>
        </x:is>
      </x:c>
      <x:c r="D155" s="31" t="inlineStr">
        <x:is>
          <x:t xml:space="preserve">Рама-основание СТК-139</x:t>
        </x:is>
      </x:c>
      <x:c r="E155" s="31" t="n">
        <x:v>3</x:v>
      </x:c>
      <x:c r="F155" s="31" t="n">
        <x:v>179437</x:v>
      </x:c>
      <x:c r="G155" s="31" t="n">
        <x:v>0</x:v>
      </x:c>
      <x:c r="H155" s="31" t="n">
        <x:v>538311</x:v>
      </x:c>
      <x:c r="I155" s="31" t="n">
        <x:v>255848</x:v>
      </x:c>
      <x:c r="J155" s="31" t="n">
        <x:v>39809</x:v>
      </x:c>
      <x:c r="K155" s="31" t="n">
        <x:v>49379</x:v>
      </x:c>
      <x:c r="L155" s="31" t="n">
        <x:v>193275</x:v>
      </x:c>
      <x:c r="M155" s="31" t="n">
        <x:v>0.359</x:v>
      </x:c>
      <x:c r="N155" s="31" t="inlineStr">
        <x:is>
          <x:t xml:space="preserve">Стандарт</x:t>
        </x:is>
      </x:c>
      <x:c r="O155" s="31" t="n">
        <x:v>46147</x:v>
      </x:c>
      <x:c r="P155" s="31" t="inlineStr">
        <x:is>
          <x:t xml:space="preserve">Спецификация 1</x:t>
        </x:is>
      </x:c>
    </x:row>
    <x:row r="156" ht="18" customHeight="1">
      <x:c r="A156" s="31" t="inlineStr">
        <x:is>
          <x:t xml:space="preserve">ПОЗ-0059-1</x:t>
        </x:is>
      </x:c>
      <x:c r="B156" s="31" t="inlineStr">
        <x:is>
          <x:t xml:space="preserve">ЗК-1059</x:t>
        </x:is>
      </x:c>
      <x:c r="C156" s="31" t="inlineStr">
        <x:is>
          <x:t xml:space="preserve">ИЗД-009</x:t>
        </x:is>
      </x:c>
      <x:c r="D156" s="31" t="inlineStr">
        <x:is>
          <x:t xml:space="preserve">Трубная обвязка СТК-109</x:t>
        </x:is>
      </x:c>
      <x:c r="E156" s="31" t="n">
        <x:v>4</x:v>
      </x:c>
      <x:c r="F156" s="31" t="n">
        <x:v>667324</x:v>
      </x:c>
      <x:c r="G156" s="31" t="n">
        <x:v>0</x:v>
      </x:c>
      <x:c r="H156" s="31" t="n">
        <x:v>2669296</x:v>
      </x:c>
      <x:c r="I156" s="31" t="n">
        <x:v>1166014</x:v>
      </x:c>
      <x:c r="J156" s="31" t="n">
        <x:v>357561</x:v>
      </x:c>
      <x:c r="K156" s="31" t="n">
        <x:v>183792</x:v>
      </x:c>
      <x:c r="L156" s="31" t="n">
        <x:v>961929</x:v>
      </x:c>
      <x:c r="M156" s="31" t="n">
        <x:v>0.36</x:v>
      </x:c>
      <x:c r="N156" s="31" t="inlineStr">
        <x:is>
          <x:t xml:space="preserve">Нестандарт</x:t>
        </x:is>
      </x:c>
      <x:c r="O156" s="31" t="n">
        <x:v>46253</x:v>
      </x:c>
      <x:c r="P156" s="31" t="inlineStr">
        <x:is>
          <x:t xml:space="preserve">Спецификация 3</x:t>
        </x:is>
      </x:c>
    </x:row>
    <x:row r="157" ht="18" customHeight="1">
      <x:c r="A157" s="31" t="inlineStr">
        <x:is>
          <x:t xml:space="preserve">ПОЗ-0059-2</x:t>
        </x:is>
      </x:c>
      <x:c r="B157" s="31" t="inlineStr">
        <x:is>
          <x:t xml:space="preserve">ЗК-1059</x:t>
        </x:is>
      </x:c>
      <x:c r="C157" s="31" t="inlineStr">
        <x:is>
          <x:t xml:space="preserve">ИЗД-006</x:t>
        </x:is>
      </x:c>
      <x:c r="D157" s="31" t="inlineStr">
        <x:is>
          <x:t xml:space="preserve">Насосная станция СТК-106</x:t>
        </x:is>
      </x:c>
      <x:c r="E157" s="31" t="n">
        <x:v>2</x:v>
      </x:c>
      <x:c r="F157" s="31" t="n">
        <x:v>1213561</x:v>
      </x:c>
      <x:c r="G157" s="31" t="n">
        <x:v>5</x:v>
      </x:c>
      <x:c r="H157" s="31" t="n">
        <x:v>2305766</x:v>
      </x:c>
      <x:c r="I157" s="31" t="n">
        <x:v>938985</x:v>
      </x:c>
      <x:c r="J157" s="31" t="n">
        <x:v>300854</x:v>
      </x:c>
      <x:c r="K157" s="31" t="n">
        <x:v>239754</x:v>
      </x:c>
      <x:c r="L157" s="31" t="n">
        <x:v>826173</x:v>
      </x:c>
      <x:c r="M157" s="31" t="n">
        <x:v>0.358</x:v>
      </x:c>
      <x:c r="N157" s="31" t="inlineStr">
        <x:is>
          <x:t xml:space="preserve">Нестандарт</x:t>
        </x:is>
      </x:c>
      <x:c r="O157" s="31" t="n">
        <x:v>46253</x:v>
      </x:c>
      <x:c r="P157" s="31" t="inlineStr">
        <x:is>
          <x:t xml:space="preserve">Спецификация 2</x:t>
        </x:is>
      </x:c>
    </x:row>
    <x:row r="158" ht="18" customHeight="1">
      <x:c r="A158" s="31" t="inlineStr">
        <x:is>
          <x:t xml:space="preserve">ПОЗ-0060-1</x:t>
        </x:is>
      </x:c>
      <x:c r="B158" s="31" t="inlineStr">
        <x:is>
          <x:t xml:space="preserve">ЗК-1060</x:t>
        </x:is>
      </x:c>
      <x:c r="C158" s="31" t="inlineStr">
        <x:is>
          <x:t xml:space="preserve">ИЗД-039</x:t>
        </x:is>
      </x:c>
      <x:c r="D158" s="31" t="inlineStr">
        <x:is>
          <x:t xml:space="preserve">Рама-основание СТК-139</x:t>
        </x:is>
      </x:c>
      <x:c r="E158" s="31" t="n">
        <x:v>5</x:v>
      </x:c>
      <x:c r="F158" s="31" t="n">
        <x:v>198311</x:v>
      </x:c>
      <x:c r="G158" s="31" t="n">
        <x:v>5</x:v>
      </x:c>
      <x:c r="H158" s="31" t="n">
        <x:v>941977</x:v>
      </x:c>
      <x:c r="I158" s="31" t="n">
        <x:v>504387</x:v>
      </x:c>
      <x:c r="J158" s="31" t="n">
        <x:v>145722</x:v>
      </x:c>
      <x:c r="K158" s="31" t="n">
        <x:v>64685</x:v>
      </x:c>
      <x:c r="L158" s="31" t="n">
        <x:v>227183</x:v>
      </x:c>
      <x:c r="M158" s="31" t="n">
        <x:v>0.241</x:v>
      </x:c>
      <x:c r="N158" s="31" t="inlineStr">
        <x:is>
          <x:t xml:space="preserve">Стандарт</x:t>
        </x:is>
      </x:c>
      <x:c r="O158" s="31" t="n">
        <x:v>46250</x:v>
      </x:c>
      <x:c r="P158" s="31" t="inlineStr">
        <x:is>
          <x:t xml:space="preserve">Спецификация 1</x:t>
        </x:is>
      </x:c>
    </x:row>
    <x:row r="159" ht="18" customHeight="1">
      <x:c r="A159" s="31" t="inlineStr">
        <x:is>
          <x:t xml:space="preserve">ПОЗ-0060-2</x:t>
        </x:is>
      </x:c>
      <x:c r="B159" s="31" t="inlineStr">
        <x:is>
          <x:t xml:space="preserve">ЗК-1060</x:t>
        </x:is>
      </x:c>
      <x:c r="C159" s="31" t="inlineStr">
        <x:is>
          <x:t xml:space="preserve">ИЗД-013</x:t>
        </x:is>
      </x:c>
      <x:c r="D159" s="31" t="inlineStr">
        <x:is>
          <x:t xml:space="preserve">Рама-основание СТК-113</x:t>
        </x:is>
      </x:c>
      <x:c r="E159" s="31" t="n">
        <x:v>3</x:v>
      </x:c>
      <x:c r="F159" s="31" t="n">
        <x:v>352662</x:v>
      </x:c>
      <x:c r="G159" s="31" t="n">
        <x:v>7</x:v>
      </x:c>
      <x:c r="H159" s="31" t="n">
        <x:v>983927</x:v>
      </x:c>
      <x:c r="I159" s="31" t="n">
        <x:v>353205</x:v>
      </x:c>
      <x:c r="J159" s="31" t="n">
        <x:v>151254</x:v>
      </x:c>
      <x:c r="K159" s="31" t="n">
        <x:v>54401</x:v>
      </x:c>
      <x:c r="L159" s="31" t="n">
        <x:v>425067</x:v>
      </x:c>
      <x:c r="M159" s="31" t="n">
        <x:v>0.432</x:v>
      </x:c>
      <x:c r="N159" s="31" t="inlineStr">
        <x:is>
          <x:t xml:space="preserve">Замена материала</x:t>
        </x:is>
      </x:c>
      <x:c r="O159" s="31" t="n">
        <x:v>46250</x:v>
      </x:c>
      <x:c r="P159" s="31" t="inlineStr">
        <x:is>
          <x:t xml:space="preserve">Спецификация 2</x:t>
        </x:is>
      </x:c>
    </x:row>
    <x:row r="160" ht="18" customHeight="1">
      <x:c r="A160" s="31" t="inlineStr">
        <x:is>
          <x:t xml:space="preserve">ПОЗ-0060-3</x:t>
        </x:is>
      </x:c>
      <x:c r="B160" s="31" t="inlineStr">
        <x:is>
          <x:t xml:space="preserve">ЗК-1060</x:t>
        </x:is>
      </x:c>
      <x:c r="C160" s="31" t="inlineStr">
        <x:is>
          <x:t xml:space="preserve">ИЗД-045</x:t>
        </x:is>
      </x:c>
      <x:c r="D160" s="31" t="inlineStr">
        <x:is>
          <x:t xml:space="preserve">Шкаф управления СТК-145</x:t>
        </x:is>
      </x:c>
      <x:c r="E160" s="31" t="n">
        <x:v>1</x:v>
      </x:c>
      <x:c r="F160" s="31" t="n">
        <x:v>692545</x:v>
      </x:c>
      <x:c r="G160" s="31" t="n">
        <x:v>3</x:v>
      </x:c>
      <x:c r="H160" s="31" t="n">
        <x:v>671769</x:v>
      </x:c>
      <x:c r="I160" s="31" t="n">
        <x:v>337149</x:v>
      </x:c>
      <x:c r="J160" s="31" t="n">
        <x:v>93379</x:v>
      </x:c>
      <x:c r="K160" s="31" t="n">
        <x:v>65379</x:v>
      </x:c>
      <x:c r="L160" s="31" t="n">
        <x:v>175862</x:v>
      </x:c>
      <x:c r="M160" s="31" t="n">
        <x:v>0.262</x:v>
      </x:c>
      <x:c r="N160" s="31" t="inlineStr">
        <x:is>
          <x:t xml:space="preserve">Стандарт</x:t>
        </x:is>
      </x:c>
      <x:c r="O160" s="31" t="n">
        <x:v>46250</x:v>
      </x:c>
      <x:c r="P160" s="31" t="inlineStr">
        <x:is>
          <x:t xml:space="preserve">Спецификация 3</x:t>
        </x:is>
      </x:c>
    </x:row>
    <x:row r="161" ht="18" customHeight="1">
      <x:c r="A161" s="31" t="inlineStr">
        <x:is>
          <x:t xml:space="preserve">ПОЗ-0061-1</x:t>
        </x:is>
      </x:c>
      <x:c r="B161" s="31" t="inlineStr">
        <x:is>
          <x:t xml:space="preserve">ЗК-1061</x:t>
        </x:is>
      </x:c>
      <x:c r="C161" s="31" t="inlineStr">
        <x:is>
          <x:t xml:space="preserve">ИЗД-018</x:t>
        </x:is>
      </x:c>
      <x:c r="D161" s="31" t="inlineStr">
        <x:is>
          <x:t xml:space="preserve">Шкаф управления СТК-118</x:t>
        </x:is>
      </x:c>
      <x:c r="E161" s="31" t="n">
        <x:v>2</x:v>
      </x:c>
      <x:c r="F161" s="31" t="n">
        <x:v>410031</x:v>
      </x:c>
      <x:c r="G161" s="31" t="n">
        <x:v>0</x:v>
      </x:c>
      <x:c r="H161" s="31" t="n">
        <x:v>820062</x:v>
      </x:c>
      <x:c r="I161" s="31" t="n">
        <x:v>400461</x:v>
      </x:c>
      <x:c r="J161" s="31" t="n">
        <x:v>64225</x:v>
      </x:c>
      <x:c r="K161" s="31" t="n">
        <x:v>58478</x:v>
      </x:c>
      <x:c r="L161" s="31" t="n">
        <x:v>296898</x:v>
      </x:c>
      <x:c r="M161" s="31" t="n">
        <x:v>0.362</x:v>
      </x:c>
      <x:c r="N161" s="31" t="inlineStr">
        <x:is>
          <x:t xml:space="preserve">Стандарт</x:t>
        </x:is>
      </x:c>
      <x:c r="O161" s="31" t="n">
        <x:v>46205</x:v>
      </x:c>
      <x:c r="P161" s="31" t="inlineStr">
        <x:is>
          <x:t xml:space="preserve">Спецификация 4</x:t>
        </x:is>
      </x:c>
    </x:row>
    <x:row r="162" ht="18" customHeight="1">
      <x:c r="A162" s="31" t="inlineStr">
        <x:is>
          <x:t xml:space="preserve">ПОЗ-0061-2</x:t>
        </x:is>
      </x:c>
      <x:c r="B162" s="31" t="inlineStr">
        <x:is>
          <x:t xml:space="preserve">ЗК-1061</x:t>
        </x:is>
      </x:c>
      <x:c r="C162" s="31" t="inlineStr">
        <x:is>
          <x:t xml:space="preserve">ИЗД-013</x:t>
        </x:is>
      </x:c>
      <x:c r="D162" s="31" t="inlineStr">
        <x:is>
          <x:t xml:space="preserve">Рама-основание СТК-113</x:t>
        </x:is>
      </x:c>
      <x:c r="E162" s="31" t="n">
        <x:v>2</x:v>
      </x:c>
      <x:c r="F162" s="31" t="n">
        <x:v>314837</x:v>
      </x:c>
      <x:c r="G162" s="31" t="n">
        <x:v>7</x:v>
      </x:c>
      <x:c r="H162" s="31" t="n">
        <x:v>585597</x:v>
      </x:c>
      <x:c r="I162" s="31" t="n">
        <x:v>235636</x:v>
      </x:c>
      <x:c r="J162" s="31" t="n">
        <x:v>69344</x:v>
      </x:c>
      <x:c r="K162" s="31" t="n">
        <x:v>36682</x:v>
      </x:c>
      <x:c r="L162" s="31" t="n">
        <x:v>243935</x:v>
      </x:c>
      <x:c r="M162" s="31" t="n">
        <x:v>0.417</x:v>
      </x:c>
      <x:c r="N162" s="31" t="inlineStr">
        <x:is>
          <x:t xml:space="preserve">Нестандарт</x:t>
        </x:is>
      </x:c>
      <x:c r="O162" s="31" t="n">
        <x:v>46205</x:v>
      </x:c>
      <x:c r="P162" s="31" t="inlineStr">
        <x:is>
          <x:t xml:space="preserve">Спецификация 3</x:t>
        </x:is>
      </x:c>
    </x:row>
    <x:row r="163" ht="18" customHeight="1">
      <x:c r="A163" s="31" t="inlineStr">
        <x:is>
          <x:t xml:space="preserve">ПОЗ-0062-1</x:t>
        </x:is>
      </x:c>
      <x:c r="B163" s="31" t="inlineStr">
        <x:is>
          <x:t xml:space="preserve">ЗК-1062</x:t>
        </x:is>
      </x:c>
      <x:c r="C163" s="31" t="inlineStr">
        <x:is>
          <x:t xml:space="preserve">ИЗД-030</x:t>
        </x:is>
      </x:c>
      <x:c r="D163" s="31" t="inlineStr">
        <x:is>
          <x:t xml:space="preserve">Насосная станция СТК-130</x:t>
        </x:is>
      </x:c>
      <x:c r="E163" s="31" t="n">
        <x:v>3</x:v>
      </x:c>
      <x:c r="F163" s="31" t="n">
        <x:v>2474640</x:v>
      </x:c>
      <x:c r="G163" s="31" t="n">
        <x:v>3</x:v>
      </x:c>
      <x:c r="H163" s="31" t="n">
        <x:v>7201202</x:v>
      </x:c>
      <x:c r="I163" s="31" t="n">
        <x:v>3257231</x:v>
      </x:c>
      <x:c r="J163" s="31" t="n">
        <x:v>526022</x:v>
      </x:c>
      <x:c r="K163" s="31" t="n">
        <x:v>663067</x:v>
      </x:c>
      <x:c r="L163" s="31" t="n">
        <x:v>2754882</x:v>
      </x:c>
      <x:c r="M163" s="31" t="n">
        <x:v>0.383</x:v>
      </x:c>
      <x:c r="N163" s="31" t="inlineStr">
        <x:is>
          <x:t xml:space="preserve">Стандарт</x:t>
        </x:is>
      </x:c>
      <x:c r="O163" s="31" t="n">
        <x:v>46156</x:v>
      </x:c>
      <x:c r="P163" s="31" t="inlineStr">
        <x:is>
          <x:t xml:space="preserve">Спецификация 1</x:t>
        </x:is>
      </x:c>
    </x:row>
    <x:row r="164" ht="18" customHeight="1">
      <x:c r="A164" s="31" t="inlineStr">
        <x:is>
          <x:t xml:space="preserve">ПОЗ-0062-2</x:t>
        </x:is>
      </x:c>
      <x:c r="B164" s="31" t="inlineStr">
        <x:is>
          <x:t xml:space="preserve">ЗК-1062</x:t>
        </x:is>
      </x:c>
      <x:c r="C164" s="31" t="inlineStr">
        <x:is>
          <x:t xml:space="preserve">ИЗД-038</x:t>
        </x:is>
      </x:c>
      <x:c r="D164" s="31" t="inlineStr">
        <x:is>
          <x:t xml:space="preserve">Трубная обвязка СТК-138</x:t>
        </x:is>
      </x:c>
      <x:c r="E164" s="31" t="n">
        <x:v>2</x:v>
      </x:c>
      <x:c r="F164" s="31" t="n">
        <x:v>420143</x:v>
      </x:c>
      <x:c r="G164" s="31" t="n">
        <x:v>0</x:v>
      </x:c>
      <x:c r="H164" s="31" t="n">
        <x:v>840286</x:v>
      </x:c>
      <x:c r="I164" s="31" t="n">
        <x:v>411159</x:v>
      </x:c>
      <x:c r="J164" s="31" t="n">
        <x:v>66398</x:v>
      </x:c>
      <x:c r="K164" s="31" t="n">
        <x:v>88053</x:v>
      </x:c>
      <x:c r="L164" s="31" t="n">
        <x:v>274676</x:v>
      </x:c>
      <x:c r="M164" s="31" t="n">
        <x:v>0.327</x:v>
      </x:c>
      <x:c r="N164" s="31" t="inlineStr">
        <x:is>
          <x:t xml:space="preserve">Стандарт</x:t>
        </x:is>
      </x:c>
      <x:c r="O164" s="31" t="n">
        <x:v>46156</x:v>
      </x:c>
      <x:c r="P164" s="31" t="inlineStr">
        <x:is>
          <x:t xml:space="preserve">Спецификация 4</x:t>
        </x:is>
      </x:c>
    </x:row>
    <x:row r="165" ht="18" customHeight="1">
      <x:c r="A165" s="31" t="inlineStr">
        <x:is>
          <x:t xml:space="preserve">ПОЗ-0063-1</x:t>
        </x:is>
      </x:c>
      <x:c r="B165" s="31" t="inlineStr">
        <x:is>
          <x:t xml:space="preserve">ЗК-1063</x:t>
        </x:is>
      </x:c>
      <x:c r="C165" s="31" t="inlineStr">
        <x:is>
          <x:t xml:space="preserve">ИЗД-033</x:t>
        </x:is>
      </x:c>
      <x:c r="D165" s="31" t="inlineStr">
        <x:is>
          <x:t xml:space="preserve">Блок дозирования СТК-133</x:t>
        </x:is>
      </x:c>
      <x:c r="E165" s="31" t="n">
        <x:v>4</x:v>
      </x:c>
      <x:c r="F165" s="31" t="n">
        <x:v>582760</x:v>
      </x:c>
      <x:c r="G165" s="31" t="n">
        <x:v>0</x:v>
      </x:c>
      <x:c r="H165" s="31" t="n">
        <x:v>2331040</x:v>
      </x:c>
      <x:c r="I165" s="31" t="n">
        <x:v>1018679</x:v>
      </x:c>
      <x:c r="J165" s="31" t="n">
        <x:v>287596</x:v>
      </x:c>
      <x:c r="K165" s="31" t="n">
        <x:v>139493</x:v>
      </x:c>
      <x:c r="L165" s="31" t="n">
        <x:v>885272</x:v>
      </x:c>
      <x:c r="M165" s="31" t="n">
        <x:v>0.38</x:v>
      </x:c>
      <x:c r="N165" s="31" t="inlineStr">
        <x:is>
          <x:t xml:space="preserve">Стандарт</x:t>
        </x:is>
      </x:c>
      <x:c r="O165" s="31" t="n">
        <x:v>46246</x:v>
      </x:c>
      <x:c r="P165" s="31" t="inlineStr">
        <x:is>
          <x:t xml:space="preserve">Спецификация 3</x:t>
        </x:is>
      </x:c>
    </x:row>
    <x:row r="166" ht="18" customHeight="1">
      <x:c r="A166" s="31" t="inlineStr">
        <x:is>
          <x:t xml:space="preserve">ПОЗ-0063-2</x:t>
        </x:is>
      </x:c>
      <x:c r="B166" s="31" t="inlineStr">
        <x:is>
          <x:t xml:space="preserve">ЗК-1063</x:t>
        </x:is>
      </x:c>
      <x:c r="C166" s="31" t="inlineStr">
        <x:is>
          <x:t xml:space="preserve">ИЗД-007</x:t>
        </x:is>
      </x:c>
      <x:c r="D166" s="31" t="inlineStr">
        <x:is>
          <x:t xml:space="preserve">Насосная станция СТК-107</x:t>
        </x:is>
      </x:c>
      <x:c r="E166" s="31" t="n">
        <x:v>5</x:v>
      </x:c>
      <x:c r="F166" s="31" t="n">
        <x:v>2542941</x:v>
      </x:c>
      <x:c r="G166" s="31" t="n">
        <x:v>10</x:v>
      </x:c>
      <x:c r="H166" s="31" t="n">
        <x:v>11443234</x:v>
      </x:c>
      <x:c r="I166" s="31" t="n">
        <x:v>4089672</x:v>
      </x:c>
      <x:c r="J166" s="31" t="n">
        <x:v>1802521</x:v>
      </x:c>
      <x:c r="K166" s="31" t="n">
        <x:v>1088377</x:v>
      </x:c>
      <x:c r="L166" s="31" t="n">
        <x:v>4462664</x:v>
      </x:c>
      <x:c r="M166" s="31" t="n">
        <x:v>0.39</x:v>
      </x:c>
      <x:c r="N166" s="31" t="inlineStr">
        <x:is>
          <x:t xml:space="preserve">Стандарт</x:t>
        </x:is>
      </x:c>
      <x:c r="O166" s="31" t="n">
        <x:v>46246</x:v>
      </x:c>
      <x:c r="P166" s="31" t="inlineStr">
        <x:is>
          <x:t xml:space="preserve">Спецификация 3</x:t>
        </x:is>
      </x:c>
    </x:row>
    <x:row r="167" ht="18" customHeight="1">
      <x:c r="A167" s="31" t="inlineStr">
        <x:is>
          <x:t xml:space="preserve">ПОЗ-0064-1</x:t>
        </x:is>
      </x:c>
      <x:c r="B167" s="31" t="inlineStr">
        <x:is>
          <x:t xml:space="preserve">ЗК-1064</x:t>
        </x:is>
      </x:c>
      <x:c r="C167" s="31" t="inlineStr">
        <x:is>
          <x:t xml:space="preserve">ИЗД-028</x:t>
        </x:is>
      </x:c>
      <x:c r="D167" s="31" t="inlineStr">
        <x:is>
          <x:t xml:space="preserve">Блок дозирования СТК-128</x:t>
        </x:is>
      </x:c>
      <x:c r="E167" s="31" t="n">
        <x:v>2</x:v>
      </x:c>
      <x:c r="F167" s="31" t="n">
        <x:v>412028</x:v>
      </x:c>
      <x:c r="G167" s="31" t="n">
        <x:v>3</x:v>
      </x:c>
      <x:c r="H167" s="31" t="n">
        <x:v>799334</x:v>
      </x:c>
      <x:c r="I167" s="31" t="n">
        <x:v>401737</x:v>
      </x:c>
      <x:c r="J167" s="31" t="n">
        <x:v>56309</x:v>
      </x:c>
      <x:c r="K167" s="31" t="n">
        <x:v>47608</x:v>
      </x:c>
      <x:c r="L167" s="31" t="n">
        <x:v>293680</x:v>
      </x:c>
      <x:c r="M167" s="31" t="n">
        <x:v>0.367</x:v>
      </x:c>
      <x:c r="N167" s="31" t="inlineStr">
        <x:is>
          <x:t xml:space="preserve">Стандарт</x:t>
        </x:is>
      </x:c>
      <x:c r="O167" s="31" t="n">
        <x:v>46106</x:v>
      </x:c>
      <x:c r="P167" s="31" t="inlineStr">
        <x:is>
          <x:t xml:space="preserve">Спецификация 4</x:t>
        </x:is>
      </x:c>
    </x:row>
    <x:row r="168" ht="18" customHeight="1">
      <x:c r="A168" s="31" t="inlineStr">
        <x:is>
          <x:t xml:space="preserve">ПОЗ-0064-2</x:t>
        </x:is>
      </x:c>
      <x:c r="B168" s="31" t="inlineStr">
        <x:is>
          <x:t xml:space="preserve">ЗК-1064</x:t>
        </x:is>
      </x:c>
      <x:c r="C168" s="31" t="inlineStr">
        <x:is>
          <x:t xml:space="preserve">ИЗД-006</x:t>
        </x:is>
      </x:c>
      <x:c r="D168" s="31" t="inlineStr">
        <x:is>
          <x:t xml:space="preserve">Насосная станция СТК-106</x:t>
        </x:is>
      </x:c>
      <x:c r="E168" s="31" t="n">
        <x:v>2</x:v>
      </x:c>
      <x:c r="F168" s="31" t="n">
        <x:v>1288144</x:v>
      </x:c>
      <x:c r="G168" s="31" t="n">
        <x:v>5</x:v>
      </x:c>
      <x:c r="H168" s="31" t="n">
        <x:v>2447474</x:v>
      </x:c>
      <x:c r="I168" s="31" t="n">
        <x:v>1179160</x:v>
      </x:c>
      <x:c r="J168" s="31" t="n">
        <x:v>326885</x:v>
      </x:c>
      <x:c r="K168" s="31" t="n">
        <x:v>234427</x:v>
      </x:c>
      <x:c r="L168" s="31" t="n">
        <x:v>707002</x:v>
      </x:c>
      <x:c r="M168" s="31" t="n">
        <x:v>0.289</x:v>
      </x:c>
      <x:c r="N168" s="31" t="inlineStr">
        <x:is>
          <x:t xml:space="preserve">Стандарт</x:t>
        </x:is>
      </x:c>
      <x:c r="O168" s="31" t="n">
        <x:v>46106</x:v>
      </x:c>
      <x:c r="P168" s="31" t="inlineStr">
        <x:is>
          <x:t xml:space="preserve">Спецификация 2</x:t>
        </x:is>
      </x:c>
    </x:row>
    <x:row r="169" ht="18" customHeight="1">
      <x:c r="A169" s="31" t="inlineStr">
        <x:is>
          <x:t xml:space="preserve">ПОЗ-0065-1</x:t>
        </x:is>
      </x:c>
      <x:c r="B169" s="31" t="inlineStr">
        <x:is>
          <x:t xml:space="preserve">ЗК-1065</x:t>
        </x:is>
      </x:c>
      <x:c r="C169" s="31" t="inlineStr">
        <x:is>
          <x:t xml:space="preserve">ИЗД-016</x:t>
        </x:is>
      </x:c>
      <x:c r="D169" s="31" t="inlineStr">
        <x:is>
          <x:t xml:space="preserve">Насосная станция СТК-116</x:t>
        </x:is>
      </x:c>
      <x:c r="E169" s="31" t="n">
        <x:v>3</x:v>
      </x:c>
      <x:c r="F169" s="31" t="n">
        <x:v>1187460</x:v>
      </x:c>
      <x:c r="G169" s="31" t="n">
        <x:v>7</x:v>
      </x:c>
      <x:c r="H169" s="31" t="n">
        <x:v>3313013</x:v>
      </x:c>
      <x:c r="I169" s="31" t="n">
        <x:v>1555435</x:v>
      </x:c>
      <x:c r="J169" s="31" t="n">
        <x:v>456042</x:v>
      </x:c>
      <x:c r="K169" s="31" t="n">
        <x:v>347453</x:v>
      </x:c>
      <x:c r="L169" s="31" t="n">
        <x:v>954083</x:v>
      </x:c>
      <x:c r="M169" s="31" t="n">
        <x:v>0.288</x:v>
      </x:c>
      <x:c r="N169" s="31" t="inlineStr">
        <x:is>
          <x:t xml:space="preserve">Стандарт</x:t>
        </x:is>
      </x:c>
      <x:c r="O169" s="31" t="n">
        <x:v>46171</x:v>
      </x:c>
      <x:c r="P169" s="31" t="inlineStr">
        <x:is>
          <x:t xml:space="preserve">Спецификация 2</x:t>
        </x:is>
      </x:c>
    </x:row>
    <x:row r="170" ht="18" customHeight="1">
      <x:c r="A170" s="31" t="inlineStr">
        <x:is>
          <x:t xml:space="preserve">ПОЗ-0065-2</x:t>
        </x:is>
      </x:c>
      <x:c r="B170" s="31" t="inlineStr">
        <x:is>
          <x:t xml:space="preserve">ЗК-1065</x:t>
        </x:is>
      </x:c>
      <x:c r="C170" s="31" t="inlineStr">
        <x:is>
          <x:t xml:space="preserve">ИЗД-024</x:t>
        </x:is>
      </x:c>
      <x:c r="D170" s="31" t="inlineStr">
        <x:is>
          <x:t xml:space="preserve">Блок дозирования СТК-124</x:t>
        </x:is>
      </x:c>
      <x:c r="E170" s="31" t="n">
        <x:v>4</x:v>
      </x:c>
      <x:c r="F170" s="31" t="n">
        <x:v>1279528</x:v>
      </x:c>
      <x:c r="G170" s="31" t="n">
        <x:v>0</x:v>
      </x:c>
      <x:c r="H170" s="31" t="n">
        <x:v>5118112</x:v>
      </x:c>
      <x:c r="I170" s="31" t="n">
        <x:v>2429075</x:v>
      </x:c>
      <x:c r="J170" s="31" t="n">
        <x:v>514692</x:v>
      </x:c>
      <x:c r="K170" s="31" t="n">
        <x:v>456754</x:v>
      </x:c>
      <x:c r="L170" s="31" t="n">
        <x:v>1717591</x:v>
      </x:c>
      <x:c r="M170" s="31" t="n">
        <x:v>0.336</x:v>
      </x:c>
      <x:c r="N170" s="31" t="inlineStr">
        <x:is>
          <x:t xml:space="preserve">Стандарт</x:t>
        </x:is>
      </x:c>
      <x:c r="O170" s="31" t="n">
        <x:v>46171</x:v>
      </x:c>
      <x:c r="P170" s="31" t="inlineStr">
        <x:is>
          <x:t xml:space="preserve">Спецификация 3</x:t>
        </x:is>
      </x:c>
    </x:row>
    <x:row r="171" ht="18" customHeight="1">
      <x:c r="A171" s="31" t="inlineStr">
        <x:is>
          <x:t xml:space="preserve">ПОЗ-0066-1</x:t>
        </x:is>
      </x:c>
      <x:c r="B171" s="31" t="inlineStr">
        <x:is>
          <x:t xml:space="preserve">ЗК-1066</x:t>
        </x:is>
      </x:c>
      <x:c r="C171" s="31" t="inlineStr">
        <x:is>
          <x:t xml:space="preserve">ИЗД-001</x:t>
        </x:is>
      </x:c>
      <x:c r="D171" s="31" t="inlineStr">
        <x:is>
          <x:t xml:space="preserve">Комплект ЗИП СТК-101</x:t>
        </x:is>
      </x:c>
      <x:c r="E171" s="31" t="n">
        <x:v>18</x:v>
      </x:c>
      <x:c r="F171" s="31" t="n">
        <x:v>71248</x:v>
      </x:c>
      <x:c r="G171" s="31" t="n">
        <x:v>3</x:v>
      </x:c>
      <x:c r="H171" s="31" t="n">
        <x:v>1243990</x:v>
      </x:c>
      <x:c r="I171" s="31" t="n">
        <x:v>551603</x:v>
      </x:c>
      <x:c r="J171" s="31" t="n">
        <x:v>194551</x:v>
      </x:c>
      <x:c r="K171" s="31" t="n">
        <x:v>92182</x:v>
      </x:c>
      <x:c r="L171" s="31" t="n">
        <x:v>405654</x:v>
      </x:c>
      <x:c r="M171" s="31" t="n">
        <x:v>0.326</x:v>
      </x:c>
      <x:c r="N171" s="31" t="inlineStr">
        <x:is>
          <x:t xml:space="preserve">Нестандарт</x:t>
        </x:is>
      </x:c>
      <x:c r="O171" s="31" t="n">
        <x:v>46161</x:v>
      </x:c>
      <x:c r="P171" s="31" t="inlineStr">
        <x:is>
          <x:t xml:space="preserve">Спецификация 3</x:t>
        </x:is>
      </x:c>
    </x:row>
    <x:row r="172" ht="18" customHeight="1">
      <x:c r="A172" s="31" t="inlineStr">
        <x:is>
          <x:t xml:space="preserve">ПОЗ-0066-2</x:t>
        </x:is>
      </x:c>
      <x:c r="B172" s="31" t="inlineStr">
        <x:is>
          <x:t xml:space="preserve">ЗК-1066</x:t>
        </x:is>
      </x:c>
      <x:c r="C172" s="31" t="inlineStr">
        <x:is>
          <x:t xml:space="preserve">ИЗД-011</x:t>
        </x:is>
      </x:c>
      <x:c r="D172" s="31" t="inlineStr">
        <x:is>
          <x:t xml:space="preserve">Шкаф управления СТК-111</x:t>
        </x:is>
      </x:c>
      <x:c r="E172" s="31" t="n">
        <x:v>4</x:v>
      </x:c>
      <x:c r="F172" s="31" t="n">
        <x:v>215650</x:v>
      </x:c>
      <x:c r="G172" s="31" t="n">
        <x:v>5</x:v>
      </x:c>
      <x:c r="H172" s="31" t="n">
        <x:v>819470</x:v>
      </x:c>
      <x:c r="I172" s="31" t="n">
        <x:v>400781</x:v>
      </x:c>
      <x:c r="J172" s="31" t="n">
        <x:v>116543</x:v>
      </x:c>
      <x:c r="K172" s="31" t="n">
        <x:v>63112</x:v>
      </x:c>
      <x:c r="L172" s="31" t="n">
        <x:v>239034</x:v>
      </x:c>
      <x:c r="M172" s="31" t="n">
        <x:v>0.292</x:v>
      </x:c>
      <x:c r="N172" s="31" t="inlineStr">
        <x:is>
          <x:t xml:space="preserve">Стандарт</x:t>
        </x:is>
      </x:c>
      <x:c r="O172" s="31" t="n">
        <x:v>46161</x:v>
      </x:c>
      <x:c r="P172" s="31" t="inlineStr">
        <x:is>
          <x:t xml:space="preserve">Спецификация 4</x:t>
        </x:is>
      </x:c>
    </x:row>
    <x:row r="173" ht="18" customHeight="1">
      <x:c r="A173" s="31" t="inlineStr">
        <x:is>
          <x:t xml:space="preserve">ПОЗ-0066-3</x:t>
        </x:is>
      </x:c>
      <x:c r="B173" s="31" t="inlineStr">
        <x:is>
          <x:t xml:space="preserve">ЗК-1066</x:t>
        </x:is>
      </x:c>
      <x:c r="C173" s="31" t="inlineStr">
        <x:is>
          <x:t xml:space="preserve">ИЗД-021</x:t>
        </x:is>
      </x:c>
      <x:c r="D173" s="31" t="inlineStr">
        <x:is>
          <x:t xml:space="preserve">Блок дозирования СТК-121</x:t>
        </x:is>
      </x:c>
      <x:c r="E173" s="31" t="n">
        <x:v>3</x:v>
      </x:c>
      <x:c r="F173" s="31" t="n">
        <x:v>680580</x:v>
      </x:c>
      <x:c r="G173" s="31" t="n">
        <x:v>10</x:v>
      </x:c>
      <x:c r="H173" s="31" t="n">
        <x:v>1837566</x:v>
      </x:c>
      <x:c r="I173" s="31" t="n">
        <x:v>645294</x:v>
      </x:c>
      <x:c r="J173" s="31" t="n">
        <x:v>158206</x:v>
      </x:c>
      <x:c r="K173" s="31" t="n">
        <x:v>138633</x:v>
      </x:c>
      <x:c r="L173" s="31" t="n">
        <x:v>895433</x:v>
      </x:c>
      <x:c r="M173" s="31" t="n">
        <x:v>0.487</x:v>
      </x:c>
      <x:c r="N173" s="31" t="inlineStr">
        <x:is>
          <x:t xml:space="preserve">Нестандарт</x:t>
        </x:is>
      </x:c>
      <x:c r="O173" s="31" t="n">
        <x:v>46161</x:v>
      </x:c>
      <x:c r="P173" s="31" t="inlineStr">
        <x:is>
          <x:t xml:space="preserve">Спецификация 1</x:t>
        </x:is>
      </x:c>
    </x:row>
    <x:row r="174" ht="18" customHeight="1">
      <x:c r="A174" s="31" t="inlineStr">
        <x:is>
          <x:t xml:space="preserve">ПОЗ-0066-4</x:t>
        </x:is>
      </x:c>
      <x:c r="B174" s="31" t="inlineStr">
        <x:is>
          <x:t xml:space="preserve">ЗК-1066</x:t>
        </x:is>
      </x:c>
      <x:c r="C174" s="31" t="inlineStr">
        <x:is>
          <x:t xml:space="preserve">ИЗД-009</x:t>
        </x:is>
      </x:c>
      <x:c r="D174" s="31" t="inlineStr">
        <x:is>
          <x:t xml:space="preserve">Трубная обвязка СТК-109</x:t>
        </x:is>
      </x:c>
      <x:c r="E174" s="31" t="n">
        <x:v>2</x:v>
      </x:c>
      <x:c r="F174" s="31" t="n">
        <x:v>541093</x:v>
      </x:c>
      <x:c r="G174" s="31" t="n">
        <x:v>10</x:v>
      </x:c>
      <x:c r="H174" s="31" t="n">
        <x:v>973967</x:v>
      </x:c>
      <x:c r="I174" s="31" t="n">
        <x:v>465104</x:v>
      </x:c>
      <x:c r="J174" s="31" t="n">
        <x:v>90779</x:v>
      </x:c>
      <x:c r="K174" s="31" t="n">
        <x:v>78788</x:v>
      </x:c>
      <x:c r="L174" s="31" t="n">
        <x:v>339296</x:v>
      </x:c>
      <x:c r="M174" s="31" t="n">
        <x:v>0.348</x:v>
      </x:c>
      <x:c r="N174" s="31" t="inlineStr">
        <x:is>
          <x:t xml:space="preserve">Стандарт</x:t>
        </x:is>
      </x:c>
      <x:c r="O174" s="31" t="n">
        <x:v>46161</x:v>
      </x:c>
      <x:c r="P174" s="31" t="inlineStr">
        <x:is>
          <x:t xml:space="preserve">Спецификация 4</x:t>
        </x:is>
      </x:c>
    </x:row>
    <x:row r="175" ht="18" customHeight="1">
      <x:c r="A175" s="31" t="inlineStr">
        <x:is>
          <x:t xml:space="preserve">ПОЗ-0067-1</x:t>
        </x:is>
      </x:c>
      <x:c r="B175" s="31" t="inlineStr">
        <x:is>
          <x:t xml:space="preserve">ЗК-1067</x:t>
        </x:is>
      </x:c>
      <x:c r="C175" s="31" t="inlineStr">
        <x:is>
          <x:t xml:space="preserve">ИЗД-012</x:t>
        </x:is>
      </x:c>
      <x:c r="D175" s="31" t="inlineStr">
        <x:is>
          <x:t xml:space="preserve">Трубная обвязка СТК-112</x:t>
        </x:is>
      </x:c>
      <x:c r="E175" s="31" t="n">
        <x:v>4</x:v>
      </x:c>
      <x:c r="F175" s="31" t="n">
        <x:v>463701</x:v>
      </x:c>
      <x:c r="G175" s="31" t="n">
        <x:v>0</x:v>
      </x:c>
      <x:c r="H175" s="31" t="n">
        <x:v>1854804</x:v>
      </x:c>
      <x:c r="I175" s="31" t="n">
        <x:v>787788</x:v>
      </x:c>
      <x:c r="J175" s="31" t="n">
        <x:v>229291</x:v>
      </x:c>
      <x:c r="K175" s="31" t="n">
        <x:v>132497</x:v>
      </x:c>
      <x:c r="L175" s="31" t="n">
        <x:v>705228</x:v>
      </x:c>
      <x:c r="M175" s="31" t="n">
        <x:v>0.38</x:v>
      </x:c>
      <x:c r="N175" s="31" t="inlineStr">
        <x:is>
          <x:t xml:space="preserve">Стандарт</x:t>
        </x:is>
      </x:c>
      <x:c r="O175" s="31" t="n">
        <x:v>46222</x:v>
      </x:c>
      <x:c r="P175" s="31" t="inlineStr">
        <x:is>
          <x:t xml:space="preserve">Спецификация 4</x:t>
        </x:is>
      </x:c>
    </x:row>
    <x:row r="176" ht="18" customHeight="1">
      <x:c r="A176" s="31" t="inlineStr">
        <x:is>
          <x:t xml:space="preserve">ПОЗ-0067-2</x:t>
        </x:is>
      </x:c>
      <x:c r="B176" s="31" t="inlineStr">
        <x:is>
          <x:t xml:space="preserve">ЗК-1067</x:t>
        </x:is>
      </x:c>
      <x:c r="C176" s="31" t="inlineStr">
        <x:is>
          <x:t xml:space="preserve">ИЗД-019</x:t>
        </x:is>
      </x:c>
      <x:c r="D176" s="31" t="inlineStr">
        <x:is>
          <x:t xml:space="preserve">Насосная станция СТК-119</x:t>
        </x:is>
      </x:c>
      <x:c r="E176" s="31" t="n">
        <x:v>2</x:v>
      </x:c>
      <x:c r="F176" s="31" t="n">
        <x:v>1150570</x:v>
      </x:c>
      <x:c r="G176" s="31" t="n">
        <x:v>3</x:v>
      </x:c>
      <x:c r="H176" s="31" t="n">
        <x:v>2232106</x:v>
      </x:c>
      <x:c r="I176" s="31" t="n">
        <x:v>762500</x:v>
      </x:c>
      <x:c r="J176" s="31" t="n">
        <x:v>185305</x:v>
      </x:c>
      <x:c r="K176" s="31" t="n">
        <x:v>177691</x:v>
      </x:c>
      <x:c r="L176" s="31" t="n">
        <x:v>1106610</x:v>
      </x:c>
      <x:c r="M176" s="31" t="n">
        <x:v>0.496</x:v>
      </x:c>
      <x:c r="N176" s="31" t="inlineStr">
        <x:is>
          <x:t xml:space="preserve">Нестандарт</x:t>
        </x:is>
      </x:c>
      <x:c r="O176" s="31" t="n">
        <x:v>46222</x:v>
      </x:c>
      <x:c r="P176" s="31" t="inlineStr">
        <x:is>
          <x:t xml:space="preserve">Спецификация 3</x:t>
        </x:is>
      </x:c>
    </x:row>
    <x:row r="177" ht="18" customHeight="1">
      <x:c r="A177" s="31" t="inlineStr">
        <x:is>
          <x:t xml:space="preserve">ПОЗ-0067-3</x:t>
        </x:is>
      </x:c>
      <x:c r="B177" s="31" t="inlineStr">
        <x:is>
          <x:t xml:space="preserve">ЗК-1067</x:t>
        </x:is>
      </x:c>
      <x:c r="C177" s="31" t="inlineStr">
        <x:is>
          <x:t xml:space="preserve">ИЗД-023</x:t>
        </x:is>
      </x:c>
      <x:c r="D177" s="31" t="inlineStr">
        <x:is>
          <x:t xml:space="preserve">Шкаф управления СТК-123</x:t>
        </x:is>
      </x:c>
      <x:c r="E177" s="31" t="n">
        <x:v>4</x:v>
      </x:c>
      <x:c r="F177" s="31" t="n">
        <x:v>1001898</x:v>
      </x:c>
      <x:c r="G177" s="31" t="n">
        <x:v>0</x:v>
      </x:c>
      <x:c r="H177" s="31" t="n">
        <x:v>4007592</x:v>
      </x:c>
      <x:c r="I177" s="31" t="n">
        <x:v>1956994</x:v>
      </x:c>
      <x:c r="J177" s="31" t="n">
        <x:v>581672</x:v>
      </x:c>
      <x:c r="K177" s="31" t="n">
        <x:v>376558</x:v>
      </x:c>
      <x:c r="L177" s="31" t="n">
        <x:v>1092368</x:v>
      </x:c>
      <x:c r="M177" s="31" t="n">
        <x:v>0.273</x:v>
      </x:c>
      <x:c r="N177" s="31" t="inlineStr">
        <x:is>
          <x:t xml:space="preserve">Стандарт</x:t>
        </x:is>
      </x:c>
      <x:c r="O177" s="31" t="n">
        <x:v>46222</x:v>
      </x:c>
      <x:c r="P177" s="31" t="inlineStr">
        <x:is>
          <x:t xml:space="preserve">Спецификация 4</x:t>
        </x:is>
      </x:c>
    </x:row>
    <x:row r="178" ht="18" customHeight="1">
      <x:c r="A178" s="31" t="inlineStr">
        <x:is>
          <x:t xml:space="preserve">ПОЗ-0068-1</x:t>
        </x:is>
      </x:c>
      <x:c r="B178" s="31" t="inlineStr">
        <x:is>
          <x:t xml:space="preserve">ЗК-1068</x:t>
        </x:is>
      </x:c>
      <x:c r="C178" s="31" t="inlineStr">
        <x:is>
          <x:t xml:space="preserve">ИЗД-008</x:t>
        </x:is>
      </x:c>
      <x:c r="D178" s="31" t="inlineStr">
        <x:is>
          <x:t xml:space="preserve">Комплект ЗИП СТК-108</x:t>
        </x:is>
      </x:c>
      <x:c r="E178" s="31" t="n">
        <x:v>11</x:v>
      </x:c>
      <x:c r="F178" s="31" t="n">
        <x:v>233127</x:v>
      </x:c>
      <x:c r="G178" s="31" t="n">
        <x:v>3</x:v>
      </x:c>
      <x:c r="H178" s="31" t="n">
        <x:v>2487465</x:v>
      </x:c>
      <x:c r="I178" s="31" t="n">
        <x:v>1129769</x:v>
      </x:c>
      <x:c r="J178" s="31" t="n">
        <x:v>329547</x:v>
      </x:c>
      <x:c r="K178" s="31" t="n">
        <x:v>131661</x:v>
      </x:c>
      <x:c r="L178" s="31" t="n">
        <x:v>896488</x:v>
      </x:c>
      <x:c r="M178" s="31" t="n">
        <x:v>0.36</x:v>
      </x:c>
      <x:c r="N178" s="31" t="inlineStr">
        <x:is>
          <x:t xml:space="preserve">Стандарт</x:t>
        </x:is>
      </x:c>
      <x:c r="O178" s="31" t="n">
        <x:v>46071</x:v>
      </x:c>
      <x:c r="P178" s="31" t="inlineStr">
        <x:is>
          <x:t xml:space="preserve">Спецификация 2</x:t>
        </x:is>
      </x:c>
    </x:row>
    <x:row r="179" ht="18" customHeight="1">
      <x:c r="A179" s="31" t="inlineStr">
        <x:is>
          <x:t xml:space="preserve">ПОЗ-0068-2</x:t>
        </x:is>
      </x:c>
      <x:c r="B179" s="31" t="inlineStr">
        <x:is>
          <x:t xml:space="preserve">ЗК-1068</x:t>
        </x:is>
      </x:c>
      <x:c r="C179" s="31" t="inlineStr">
        <x:is>
          <x:t xml:space="preserve">ИЗД-013</x:t>
        </x:is>
      </x:c>
      <x:c r="D179" s="31" t="inlineStr">
        <x:is>
          <x:t xml:space="preserve">Рама-основание СТК-113</x:t>
        </x:is>
      </x:c>
      <x:c r="E179" s="31" t="n">
        <x:v>4</x:v>
      </x:c>
      <x:c r="F179" s="31" t="n">
        <x:v>335801</x:v>
      </x:c>
      <x:c r="G179" s="31" t="n">
        <x:v>5</x:v>
      </x:c>
      <x:c r="H179" s="31" t="n">
        <x:v>1276044</x:v>
      </x:c>
      <x:c r="I179" s="31" t="n">
        <x:v>476487</x:v>
      </x:c>
      <x:c r="J179" s="31" t="n">
        <x:v>146925</x:v>
      </x:c>
      <x:c r="K179" s="31" t="n">
        <x:v>67304</x:v>
      </x:c>
      <x:c r="L179" s="31" t="n">
        <x:v>585328</x:v>
      </x:c>
      <x:c r="M179" s="31" t="n">
        <x:v>0.459</x:v>
      </x:c>
      <x:c r="N179" s="31" t="inlineStr">
        <x:is>
          <x:t xml:space="preserve">Стандарт</x:t>
        </x:is>
      </x:c>
      <x:c r="O179" s="31" t="n">
        <x:v>46071</x:v>
      </x:c>
      <x:c r="P179" s="31" t="inlineStr">
        <x:is>
          <x:t xml:space="preserve">Спецификация 2</x:t>
        </x:is>
      </x:c>
    </x:row>
    <x:row r="180" ht="18" customHeight="1">
      <x:c r="A180" s="31" t="inlineStr">
        <x:is>
          <x:t xml:space="preserve">ПОЗ-0068-3</x:t>
        </x:is>
      </x:c>
      <x:c r="B180" s="31" t="inlineStr">
        <x:is>
          <x:t xml:space="preserve">ЗК-1068</x:t>
        </x:is>
      </x:c>
      <x:c r="C180" s="31" t="inlineStr">
        <x:is>
          <x:t xml:space="preserve">ИЗД-037</x:t>
        </x:is>
      </x:c>
      <x:c r="D180" s="31" t="inlineStr">
        <x:is>
          <x:t xml:space="preserve">Трубная обвязка СТК-137</x:t>
        </x:is>
      </x:c>
      <x:c r="E180" s="31" t="n">
        <x:v>3</x:v>
      </x:c>
      <x:c r="F180" s="31" t="n">
        <x:v>200458</x:v>
      </x:c>
      <x:c r="G180" s="31" t="n">
        <x:v>3</x:v>
      </x:c>
      <x:c r="H180" s="31" t="n">
        <x:v>583333</x:v>
      </x:c>
      <x:c r="I180" s="31" t="n">
        <x:v>213407</x:v>
      </x:c>
      <x:c r="J180" s="31" t="n">
        <x:v>62585</x:v>
      </x:c>
      <x:c r="K180" s="31" t="n">
        <x:v>33708</x:v>
      </x:c>
      <x:c r="L180" s="31" t="n">
        <x:v>273633</x:v>
      </x:c>
      <x:c r="M180" s="31" t="n">
        <x:v>0.469</x:v>
      </x:c>
      <x:c r="N180" s="31" t="inlineStr">
        <x:is>
          <x:t xml:space="preserve">Стандарт</x:t>
        </x:is>
      </x:c>
      <x:c r="O180" s="31" t="n">
        <x:v>46071</x:v>
      </x:c>
      <x:c r="P180" s="31" t="inlineStr">
        <x:is>
          <x:t xml:space="preserve">Спецификация 3</x:t>
        </x:is>
      </x:c>
    </x:row>
    <x:row r="181" ht="18" customHeight="1">
      <x:c r="A181" s="31" t="inlineStr">
        <x:is>
          <x:t xml:space="preserve">ПОЗ-0068-4</x:t>
        </x:is>
      </x:c>
      <x:c r="B181" s="31" t="inlineStr">
        <x:is>
          <x:t xml:space="preserve">ЗК-1068</x:t>
        </x:is>
      </x:c>
      <x:c r="C181" s="31" t="inlineStr">
        <x:is>
          <x:t xml:space="preserve">ИЗД-017</x:t>
        </x:is>
      </x:c>
      <x:c r="D181" s="31" t="inlineStr">
        <x:is>
          <x:t xml:space="preserve">Блок дозирования СТК-117</x:t>
        </x:is>
      </x:c>
      <x:c r="E181" s="31" t="n">
        <x:v>1</x:v>
      </x:c>
      <x:c r="F181" s="31" t="n">
        <x:v>695981</x:v>
      </x:c>
      <x:c r="G181" s="31" t="n">
        <x:v>0</x:v>
      </x:c>
      <x:c r="H181" s="31" t="n">
        <x:v>695981</x:v>
      </x:c>
      <x:c r="I181" s="31" t="n">
        <x:v>304326</x:v>
      </x:c>
      <x:c r="J181" s="31" t="n">
        <x:v>52710</x:v>
      </x:c>
      <x:c r="K181" s="31" t="n">
        <x:v>46819</x:v>
      </x:c>
      <x:c r="L181" s="31" t="n">
        <x:v>292126</x:v>
      </x:c>
      <x:c r="M181" s="31" t="n">
        <x:v>0.42</x:v>
      </x:c>
      <x:c r="N181" s="31" t="inlineStr">
        <x:is>
          <x:t xml:space="preserve">Нестандарт</x:t>
        </x:is>
      </x:c>
      <x:c r="O181" s="31" t="n">
        <x:v>46071</x:v>
      </x:c>
      <x:c r="P181" s="31" t="inlineStr">
        <x:is>
          <x:t xml:space="preserve">Спецификация 4</x:t>
        </x:is>
      </x:c>
    </x:row>
    <x:row r="182" ht="18" customHeight="1">
      <x:c r="A182" s="31" t="inlineStr">
        <x:is>
          <x:t xml:space="preserve">ПОЗ-0069-1</x:t>
        </x:is>
      </x:c>
      <x:c r="B182" s="31" t="inlineStr">
        <x:is>
          <x:t xml:space="preserve">ЗК-1069</x:t>
        </x:is>
      </x:c>
      <x:c r="C182" s="31" t="inlineStr">
        <x:is>
          <x:t xml:space="preserve">ИЗД-044</x:t>
        </x:is>
      </x:c>
      <x:c r="D182" s="31" t="inlineStr">
        <x:is>
          <x:t xml:space="preserve">Блок дозирования СТК-144</x:t>
        </x:is>
      </x:c>
      <x:c r="E182" s="31" t="n">
        <x:v>3</x:v>
      </x:c>
      <x:c r="F182" s="31" t="n">
        <x:v>370551</x:v>
      </x:c>
      <x:c r="G182" s="31" t="n">
        <x:v>5</x:v>
      </x:c>
      <x:c r="H182" s="31" t="n">
        <x:v>1056070</x:v>
      </x:c>
      <x:c r="I182" s="31" t="n">
        <x:v>474941</x:v>
      </x:c>
      <x:c r="J182" s="31" t="n">
        <x:v>81396</x:v>
      </x:c>
      <x:c r="K182" s="31" t="n">
        <x:v>83633</x:v>
      </x:c>
      <x:c r="L182" s="31" t="n">
        <x:v>416100</x:v>
      </x:c>
      <x:c r="M182" s="31" t="n">
        <x:v>0.394</x:v>
      </x:c>
      <x:c r="N182" s="31" t="inlineStr">
        <x:is>
          <x:t xml:space="preserve">Срочная поставка</x:t>
        </x:is>
      </x:c>
      <x:c r="O182" s="31" t="n">
        <x:v>46248</x:v>
      </x:c>
      <x:c r="P182" s="31" t="inlineStr">
        <x:is>
          <x:t xml:space="preserve">Спецификация 1</x:t>
        </x:is>
      </x:c>
    </x:row>
    <x:row r="183" ht="18" customHeight="1">
      <x:c r="A183" s="31" t="inlineStr">
        <x:is>
          <x:t xml:space="preserve">ПОЗ-0069-2</x:t>
        </x:is>
      </x:c>
      <x:c r="B183" s="31" t="inlineStr">
        <x:is>
          <x:t xml:space="preserve">ЗК-1069</x:t>
        </x:is>
      </x:c>
      <x:c r="C183" s="31" t="inlineStr">
        <x:is>
          <x:t xml:space="preserve">ИЗД-025</x:t>
        </x:is>
      </x:c>
      <x:c r="D183" s="31" t="inlineStr">
        <x:is>
          <x:t xml:space="preserve">Блок дозирования СТК-125</x:t>
        </x:is>
      </x:c>
      <x:c r="E183" s="31" t="n">
        <x:v>2</x:v>
      </x:c>
      <x:c r="F183" s="31" t="n">
        <x:v>1233168</x:v>
      </x:c>
      <x:c r="G183" s="31" t="n">
        <x:v>3</x:v>
      </x:c>
      <x:c r="H183" s="31" t="n">
        <x:v>2392346</x:v>
      </x:c>
      <x:c r="I183" s="31" t="n">
        <x:v>1023326</x:v>
      </x:c>
      <x:c r="J183" s="31" t="n">
        <x:v>329132</x:v>
      </x:c>
      <x:c r="K183" s="31" t="n">
        <x:v>184426</x:v>
      </x:c>
      <x:c r="L183" s="31" t="n">
        <x:v>855462</x:v>
      </x:c>
      <x:c r="M183" s="31" t="n">
        <x:v>0.358</x:v>
      </x:c>
      <x:c r="N183" s="31" t="inlineStr">
        <x:is>
          <x:t xml:space="preserve">Стандарт</x:t>
        </x:is>
      </x:c>
      <x:c r="O183" s="31" t="n">
        <x:v>46248</x:v>
      </x:c>
      <x:c r="P183" s="31" t="inlineStr">
        <x:is>
          <x:t xml:space="preserve">Спецификация 2</x:t>
        </x:is>
      </x:c>
    </x:row>
    <x:row r="184" ht="18" customHeight="1">
      <x:c r="A184" s="31" t="inlineStr">
        <x:is>
          <x:t xml:space="preserve">ПОЗ-0070-1</x:t>
        </x:is>
      </x:c>
      <x:c r="B184" s="31" t="inlineStr">
        <x:is>
          <x:t xml:space="preserve">ЗК-1070</x:t>
        </x:is>
      </x:c>
      <x:c r="C184" s="31" t="inlineStr">
        <x:is>
          <x:t xml:space="preserve">ИЗД-026</x:t>
        </x:is>
      </x:c>
      <x:c r="D184" s="31" t="inlineStr">
        <x:is>
          <x:t xml:space="preserve">Шкаф управления СТК-126</x:t>
        </x:is>
      </x:c>
      <x:c r="E184" s="31" t="n">
        <x:v>2</x:v>
      </x:c>
      <x:c r="F184" s="31" t="n">
        <x:v>457193</x:v>
      </x:c>
      <x:c r="G184" s="31" t="n">
        <x:v>0</x:v>
      </x:c>
      <x:c r="H184" s="31" t="n">
        <x:v>914386</x:v>
      </x:c>
      <x:c r="I184" s="31" t="n">
        <x:v>417186</x:v>
      </x:c>
      <x:c r="J184" s="31" t="n">
        <x:v>135183</x:v>
      </x:c>
      <x:c r="K184" s="31" t="n">
        <x:v>87792</x:v>
      </x:c>
      <x:c r="L184" s="31" t="n">
        <x:v>274225</x:v>
      </x:c>
      <x:c r="M184" s="31" t="n">
        <x:v>0.3</x:v>
      </x:c>
      <x:c r="N184" s="31" t="inlineStr">
        <x:is>
          <x:t xml:space="preserve">Срочная поставка</x:t>
        </x:is>
      </x:c>
      <x:c r="O184" s="31" t="n">
        <x:v>46263</x:v>
      </x:c>
      <x:c r="P184" s="31" t="inlineStr">
        <x:is>
          <x:t xml:space="preserve">Спецификация 4</x:t>
        </x:is>
      </x:c>
    </x:row>
    <x:row r="185" ht="18" customHeight="1">
      <x:c r="A185" s="31" t="inlineStr">
        <x:is>
          <x:t xml:space="preserve">ПОЗ-0071-1</x:t>
        </x:is>
      </x:c>
      <x:c r="B185" s="31" t="inlineStr">
        <x:is>
          <x:t xml:space="preserve">ЗК-1071</x:t>
        </x:is>
      </x:c>
      <x:c r="C185" s="31" t="inlineStr">
        <x:is>
          <x:t xml:space="preserve">ИЗД-026</x:t>
        </x:is>
      </x:c>
      <x:c r="D185" s="31" t="inlineStr">
        <x:is>
          <x:t xml:space="preserve">Шкаф управления СТК-126</x:t>
        </x:is>
      </x:c>
      <x:c r="E185" s="31" t="n">
        <x:v>4</x:v>
      </x:c>
      <x:c r="F185" s="31" t="n">
        <x:v>466335</x:v>
      </x:c>
      <x:c r="G185" s="31" t="n">
        <x:v>10</x:v>
      </x:c>
      <x:c r="H185" s="31" t="n">
        <x:v>1678806</x:v>
      </x:c>
      <x:c r="I185" s="31" t="n">
        <x:v>728125</x:v>
      </x:c>
      <x:c r="J185" s="31" t="n">
        <x:v>249472</x:v>
      </x:c>
      <x:c r="K185" s="31" t="n">
        <x:v>124237</x:v>
      </x:c>
      <x:c r="L185" s="31" t="n">
        <x:v>576972</x:v>
      </x:c>
      <x:c r="M185" s="31" t="n">
        <x:v>0.344</x:v>
      </x:c>
      <x:c r="N185" s="31" t="inlineStr">
        <x:is>
          <x:t xml:space="preserve">Стандарт</x:t>
        </x:is>
      </x:c>
      <x:c r="O185" s="31" t="n">
        <x:v>46224</x:v>
      </x:c>
      <x:c r="P185" s="31" t="inlineStr">
        <x:is>
          <x:t xml:space="preserve">Спецификация 3</x:t>
        </x:is>
      </x:c>
    </x:row>
    <x:row r="186" ht="18" customHeight="1">
      <x:c r="A186" s="31" t="inlineStr">
        <x:is>
          <x:t xml:space="preserve">ПОЗ-0071-2</x:t>
        </x:is>
      </x:c>
      <x:c r="B186" s="31" t="inlineStr">
        <x:is>
          <x:t xml:space="preserve">ЗК-1071</x:t>
        </x:is>
      </x:c>
      <x:c r="C186" s="31" t="inlineStr">
        <x:is>
          <x:t xml:space="preserve">ИЗД-032</x:t>
        </x:is>
      </x:c>
      <x:c r="D186" s="31" t="inlineStr">
        <x:is>
          <x:t xml:space="preserve">Комплект ЗИП СТК-132</x:t>
        </x:is>
      </x:c>
      <x:c r="E186" s="31" t="n">
        <x:v>16</x:v>
      </x:c>
      <x:c r="F186" s="31" t="n">
        <x:v>212635</x:v>
      </x:c>
      <x:c r="G186" s="31" t="n">
        <x:v>5</x:v>
      </x:c>
      <x:c r="H186" s="31" t="n">
        <x:v>3232052</x:v>
      </x:c>
      <x:c r="I186" s="31" t="n">
        <x:v>1239982</x:v>
      </x:c>
      <x:c r="J186" s="31" t="n">
        <x:v>395003</x:v>
      </x:c>
      <x:c r="K186" s="31" t="n">
        <x:v>242682</x:v>
      </x:c>
      <x:c r="L186" s="31" t="n">
        <x:v>1354385</x:v>
      </x:c>
      <x:c r="M186" s="31" t="n">
        <x:v>0.419</x:v>
      </x:c>
      <x:c r="N186" s="31" t="inlineStr">
        <x:is>
          <x:t xml:space="preserve">Стандарт</x:t>
        </x:is>
      </x:c>
      <x:c r="O186" s="31" t="n">
        <x:v>46224</x:v>
      </x:c>
      <x:c r="P186" s="31" t="inlineStr">
        <x:is>
          <x:t xml:space="preserve">Спецификация 2</x:t>
        </x:is>
      </x:c>
    </x:row>
    <x:row r="187" ht="18" customHeight="1">
      <x:c r="A187" s="31" t="inlineStr">
        <x:is>
          <x:t xml:space="preserve">ПОЗ-0072-1</x:t>
        </x:is>
      </x:c>
      <x:c r="B187" s="31" t="inlineStr">
        <x:is>
          <x:t xml:space="preserve">ЗК-1072</x:t>
        </x:is>
      </x:c>
      <x:c r="C187" s="31" t="inlineStr">
        <x:is>
          <x:t xml:space="preserve">ИЗД-039</x:t>
        </x:is>
      </x:c>
      <x:c r="D187" s="31" t="inlineStr">
        <x:is>
          <x:t xml:space="preserve">Рама-основание СТК-139</x:t>
        </x:is>
      </x:c>
      <x:c r="E187" s="31" t="n">
        <x:v>4</x:v>
      </x:c>
      <x:c r="F187" s="31" t="n">
        <x:v>205485</x:v>
      </x:c>
      <x:c r="G187" s="31" t="n">
        <x:v>7</x:v>
      </x:c>
      <x:c r="H187" s="31" t="n">
        <x:v>764404</x:v>
      </x:c>
      <x:c r="I187" s="31" t="n">
        <x:v>410341</x:v>
      </x:c>
      <x:c r="J187" s="31" t="n">
        <x:v>64611</x:v>
      </x:c>
      <x:c r="K187" s="31" t="n">
        <x:v>55147</x:v>
      </x:c>
      <x:c r="L187" s="31" t="n">
        <x:v>234305</x:v>
      </x:c>
      <x:c r="M187" s="31" t="n">
        <x:v>0.307</x:v>
      </x:c>
      <x:c r="N187" s="31" t="inlineStr">
        <x:is>
          <x:t xml:space="preserve">Нестандарт</x:t>
        </x:is>
      </x:c>
      <x:c r="O187" s="31" t="n">
        <x:v>46120</x:v>
      </x:c>
      <x:c r="P187" s="31" t="inlineStr">
        <x:is>
          <x:t xml:space="preserve">Спецификация 2</x:t>
        </x:is>
      </x:c>
    </x:row>
    <x:row r="188" ht="18" customHeight="1">
      <x:c r="A188" s="31" t="inlineStr">
        <x:is>
          <x:t xml:space="preserve">ПОЗ-0073-1</x:t>
        </x:is>
      </x:c>
      <x:c r="B188" s="31" t="inlineStr">
        <x:is>
          <x:t xml:space="preserve">ЗК-1073</x:t>
        </x:is>
      </x:c>
      <x:c r="C188" s="31" t="inlineStr">
        <x:is>
          <x:t xml:space="preserve">ИЗД-033</x:t>
        </x:is>
      </x:c>
      <x:c r="D188" s="31" t="inlineStr">
        <x:is>
          <x:t xml:space="preserve">Блок дозирования СТК-133</x:t>
        </x:is>
      </x:c>
      <x:c r="E188" s="31" t="n">
        <x:v>3</x:v>
      </x:c>
      <x:c r="F188" s="31" t="n">
        <x:v>648350</x:v>
      </x:c>
      <x:c r="G188" s="31" t="n">
        <x:v>7</x:v>
      </x:c>
      <x:c r="H188" s="31" t="n">
        <x:v>1808896</x:v>
      </x:c>
      <x:c r="I188" s="31" t="n">
        <x:v>701931</x:v>
      </x:c>
      <x:c r="J188" s="31" t="n">
        <x:v>244172</x:v>
      </x:c>
      <x:c r="K188" s="31" t="n">
        <x:v>98025</x:v>
      </x:c>
      <x:c r="L188" s="31" t="n">
        <x:v>764768</x:v>
      </x:c>
      <x:c r="M188" s="31" t="n">
        <x:v>0.423</x:v>
      </x:c>
      <x:c r="N188" s="31" t="inlineStr">
        <x:is>
          <x:t xml:space="preserve">Нестандарт</x:t>
        </x:is>
      </x:c>
      <x:c r="O188" s="31" t="n">
        <x:v>46206</x:v>
      </x:c>
      <x:c r="P188" s="31" t="inlineStr">
        <x:is>
          <x:t xml:space="preserve">Спецификация 4</x:t>
        </x:is>
      </x:c>
    </x:row>
    <x:row r="189" ht="18" customHeight="1">
      <x:c r="A189" s="31" t="inlineStr">
        <x:is>
          <x:t xml:space="preserve">ПОЗ-0073-2</x:t>
        </x:is>
      </x:c>
      <x:c r="B189" s="31" t="inlineStr">
        <x:is>
          <x:t xml:space="preserve">ЗК-1073</x:t>
        </x:is>
      </x:c>
      <x:c r="C189" s="31" t="inlineStr">
        <x:is>
          <x:t xml:space="preserve">ИЗД-042</x:t>
        </x:is>
      </x:c>
      <x:c r="D189" s="31" t="inlineStr">
        <x:is>
          <x:t xml:space="preserve">Шкаф управления СТК-142</x:t>
        </x:is>
      </x:c>
      <x:c r="E189" s="31" t="n">
        <x:v>5</x:v>
      </x:c>
      <x:c r="F189" s="31" t="n">
        <x:v>796850</x:v>
      </x:c>
      <x:c r="G189" s="31" t="n">
        <x:v>7</x:v>
      </x:c>
      <x:c r="H189" s="31" t="n">
        <x:v>3705352</x:v>
      </x:c>
      <x:c r="I189" s="31" t="n">
        <x:v>1300705</x:v>
      </x:c>
      <x:c r="J189" s="31" t="n">
        <x:v>398466</x:v>
      </x:c>
      <x:c r="K189" s="31" t="n">
        <x:v>243078</x:v>
      </x:c>
      <x:c r="L189" s="31" t="n">
        <x:v>1763103</x:v>
      </x:c>
      <x:c r="M189" s="31" t="n">
        <x:v>0.476</x:v>
      </x:c>
      <x:c r="N189" s="31" t="inlineStr">
        <x:is>
          <x:t xml:space="preserve">Нестандарт</x:t>
        </x:is>
      </x:c>
      <x:c r="O189" s="31" t="n">
        <x:v>46206</x:v>
      </x:c>
      <x:c r="P189" s="31" t="inlineStr">
        <x:is>
          <x:t xml:space="preserve">Спецификация 1</x:t>
        </x:is>
      </x:c>
    </x:row>
    <x:row r="190" ht="18" customHeight="1">
      <x:c r="A190" s="31" t="inlineStr">
        <x:is>
          <x:t xml:space="preserve">ПОЗ-0073-3</x:t>
        </x:is>
      </x:c>
      <x:c r="B190" s="31" t="inlineStr">
        <x:is>
          <x:t xml:space="preserve">ЗК-1073</x:t>
        </x:is>
      </x:c>
      <x:c r="C190" s="31" t="inlineStr">
        <x:is>
          <x:t xml:space="preserve">ИЗД-008</x:t>
        </x:is>
      </x:c>
      <x:c r="D190" s="31" t="inlineStr">
        <x:is>
          <x:t xml:space="preserve">Комплект ЗИП СТК-108</x:t>
        </x:is>
      </x:c>
      <x:c r="E190" s="31" t="n">
        <x:v>2</x:v>
      </x:c>
      <x:c r="F190" s="31" t="n">
        <x:v>223191</x:v>
      </x:c>
      <x:c r="G190" s="31" t="n">
        <x:v>7</x:v>
      </x:c>
      <x:c r="H190" s="31" t="n">
        <x:v>415135</x:v>
      </x:c>
      <x:c r="I190" s="31" t="n">
        <x:v>145100</x:v>
      </x:c>
      <x:c r="J190" s="31" t="n">
        <x:v>59385</x:v>
      </x:c>
      <x:c r="K190" s="31" t="n">
        <x:v>41388</x:v>
      </x:c>
      <x:c r="L190" s="31" t="n">
        <x:v>169262</x:v>
      </x:c>
      <x:c r="M190" s="31" t="n">
        <x:v>0.408</x:v>
      </x:c>
      <x:c r="N190" s="31" t="inlineStr">
        <x:is>
          <x:t xml:space="preserve">Нестандарт</x:t>
        </x:is>
      </x:c>
      <x:c r="O190" s="31" t="n">
        <x:v>46206</x:v>
      </x:c>
      <x:c r="P190" s="31" t="inlineStr">
        <x:is>
          <x:t xml:space="preserve">Спецификация 1</x:t>
        </x:is>
      </x:c>
    </x:row>
    <x:row r="191" ht="18" customHeight="1">
      <x:c r="A191" s="31" t="inlineStr">
        <x:is>
          <x:t xml:space="preserve">ПОЗ-0073-4</x:t>
        </x:is>
      </x:c>
      <x:c r="B191" s="31" t="inlineStr">
        <x:is>
          <x:t xml:space="preserve">ЗК-1073</x:t>
        </x:is>
      </x:c>
      <x:c r="C191" s="31" t="inlineStr">
        <x:is>
          <x:t xml:space="preserve">ИЗД-039</x:t>
        </x:is>
      </x:c>
      <x:c r="D191" s="31" t="inlineStr">
        <x:is>
          <x:t xml:space="preserve">Рама-основание СТК-139</x:t>
        </x:is>
      </x:c>
      <x:c r="E191" s="31" t="n">
        <x:v>3</x:v>
      </x:c>
      <x:c r="F191" s="31" t="n">
        <x:v>197818</x:v>
      </x:c>
      <x:c r="G191" s="31" t="n">
        <x:v>10</x:v>
      </x:c>
      <x:c r="H191" s="31" t="n">
        <x:v>534109</x:v>
      </x:c>
      <x:c r="I191" s="31" t="n">
        <x:v>267165</x:v>
      </x:c>
      <x:c r="J191" s="31" t="n">
        <x:v>58541</x:v>
      </x:c>
      <x:c r="K191" s="31" t="n">
        <x:v>51940</x:v>
      </x:c>
      <x:c r="L191" s="31" t="n">
        <x:v>156463</x:v>
      </x:c>
      <x:c r="M191" s="31" t="n">
        <x:v>0.293</x:v>
      </x:c>
      <x:c r="N191" s="31" t="inlineStr">
        <x:is>
          <x:t xml:space="preserve">Стандарт</x:t>
        </x:is>
      </x:c>
      <x:c r="O191" s="31" t="n">
        <x:v>46206</x:v>
      </x:c>
      <x:c r="P191" s="31" t="inlineStr">
        <x:is>
          <x:t xml:space="preserve">Спецификация 3</x:t>
        </x:is>
      </x:c>
    </x:row>
    <x:row r="192" ht="18" customHeight="1">
      <x:c r="A192" s="31" t="inlineStr">
        <x:is>
          <x:t xml:space="preserve">ПОЗ-0074-1</x:t>
        </x:is>
      </x:c>
      <x:c r="B192" s="31" t="inlineStr">
        <x:is>
          <x:t xml:space="preserve">ЗК-1074</x:t>
        </x:is>
      </x:c>
      <x:c r="C192" s="31" t="inlineStr">
        <x:is>
          <x:t xml:space="preserve">ИЗД-016</x:t>
        </x:is>
      </x:c>
      <x:c r="D192" s="31" t="inlineStr">
        <x:is>
          <x:t xml:space="preserve">Насосная станция СТК-116</x:t>
        </x:is>
      </x:c>
      <x:c r="E192" s="31" t="n">
        <x:v>4</x:v>
      </x:c>
      <x:c r="F192" s="31" t="n">
        <x:v>1184646</x:v>
      </x:c>
      <x:c r="G192" s="31" t="n">
        <x:v>3</x:v>
      </x:c>
      <x:c r="H192" s="31" t="n">
        <x:v>4596426</x:v>
      </x:c>
      <x:c r="I192" s="31" t="n">
        <x:v>1904478</x:v>
      </x:c>
      <x:c r="J192" s="31" t="n">
        <x:v>435635</x:v>
      </x:c>
      <x:c r="K192" s="31" t="n">
        <x:v>239679</x:v>
      </x:c>
      <x:c r="L192" s="31" t="n">
        <x:v>2016634</x:v>
      </x:c>
      <x:c r="M192" s="31" t="n">
        <x:v>0.439</x:v>
      </x:c>
      <x:c r="N192" s="31" t="inlineStr">
        <x:is>
          <x:t xml:space="preserve">Стандарт</x:t>
        </x:is>
      </x:c>
      <x:c r="O192" s="31" t="n">
        <x:v>46243</x:v>
      </x:c>
      <x:c r="P192" s="31" t="inlineStr">
        <x:is>
          <x:t xml:space="preserve">Спецификация 3</x:t>
        </x:is>
      </x:c>
    </x:row>
    <x:row r="193" ht="18" customHeight="1">
      <x:c r="A193" s="31" t="inlineStr">
        <x:is>
          <x:t xml:space="preserve">ПОЗ-0074-2</x:t>
        </x:is>
      </x:c>
      <x:c r="B193" s="31" t="inlineStr">
        <x:is>
          <x:t xml:space="preserve">ЗК-1074</x:t>
        </x:is>
      </x:c>
      <x:c r="C193" s="31" t="inlineStr">
        <x:is>
          <x:t xml:space="preserve">ИЗД-017</x:t>
        </x:is>
      </x:c>
      <x:c r="D193" s="31" t="inlineStr">
        <x:is>
          <x:t xml:space="preserve">Блок дозирования СТК-117</x:t>
        </x:is>
      </x:c>
      <x:c r="E193" s="31" t="n">
        <x:v>1</x:v>
      </x:c>
      <x:c r="F193" s="31" t="n">
        <x:v>695925</x:v>
      </x:c>
      <x:c r="G193" s="31" t="n">
        <x:v>3</x:v>
      </x:c>
      <x:c r="H193" s="31" t="n">
        <x:v>675047</x:v>
      </x:c>
      <x:c r="I193" s="31" t="n">
        <x:v>299315</x:v>
      </x:c>
      <x:c r="J193" s="31" t="n">
        <x:v>64946</x:v>
      </x:c>
      <x:c r="K193" s="31" t="n">
        <x:v>72019</x:v>
      </x:c>
      <x:c r="L193" s="31" t="n">
        <x:v>238767</x:v>
      </x:c>
      <x:c r="M193" s="31" t="n">
        <x:v>0.354</x:v>
      </x:c>
      <x:c r="N193" s="31" t="inlineStr">
        <x:is>
          <x:t xml:space="preserve">Стандарт</x:t>
        </x:is>
      </x:c>
      <x:c r="O193" s="31" t="n">
        <x:v>46243</x:v>
      </x:c>
      <x:c r="P193" s="31" t="inlineStr">
        <x:is>
          <x:t xml:space="preserve">Спецификация 3</x:t>
        </x:is>
      </x:c>
    </x:row>
    <x:row r="194" ht="18" customHeight="1">
      <x:c r="A194" s="31" t="inlineStr">
        <x:is>
          <x:t xml:space="preserve">ПОЗ-0074-3</x:t>
        </x:is>
      </x:c>
      <x:c r="B194" s="31" t="inlineStr">
        <x:is>
          <x:t xml:space="preserve">ЗК-1074</x:t>
        </x:is>
      </x:c>
      <x:c r="C194" s="31" t="inlineStr">
        <x:is>
          <x:t xml:space="preserve">ИЗД-022</x:t>
        </x:is>
      </x:c>
      <x:c r="D194" s="31" t="inlineStr">
        <x:is>
          <x:t xml:space="preserve">Блок дозирования СТК-122</x:t>
        </x:is>
      </x:c>
      <x:c r="E194" s="31" t="n">
        <x:v>4</x:v>
      </x:c>
      <x:c r="F194" s="31" t="n">
        <x:v>626153</x:v>
      </x:c>
      <x:c r="G194" s="31" t="n">
        <x:v>5</x:v>
      </x:c>
      <x:c r="H194" s="31" t="n">
        <x:v>2379381</x:v>
      </x:c>
      <x:c r="I194" s="31" t="n">
        <x:v>835907</x:v>
      </x:c>
      <x:c r="J194" s="31" t="n">
        <x:v>338985</x:v>
      </x:c>
      <x:c r="K194" s="31" t="n">
        <x:v>137322</x:v>
      </x:c>
      <x:c r="L194" s="31" t="n">
        <x:v>1067167</x:v>
      </x:c>
      <x:c r="M194" s="31" t="n">
        <x:v>0.449</x:v>
      </x:c>
      <x:c r="N194" s="31" t="inlineStr">
        <x:is>
          <x:t xml:space="preserve">Стандарт</x:t>
        </x:is>
      </x:c>
      <x:c r="O194" s="31" t="n">
        <x:v>46243</x:v>
      </x:c>
      <x:c r="P194" s="31" t="inlineStr">
        <x:is>
          <x:t xml:space="preserve">Спецификация 4</x:t>
        </x:is>
      </x:c>
    </x:row>
    <x:row r="195" ht="18" customHeight="1">
      <x:c r="A195" s="31" t="inlineStr">
        <x:is>
          <x:t xml:space="preserve">ПОЗ-0074-4</x:t>
        </x:is>
      </x:c>
      <x:c r="B195" s="31" t="inlineStr">
        <x:is>
          <x:t xml:space="preserve">ЗК-1074</x:t>
        </x:is>
      </x:c>
      <x:c r="C195" s="31" t="inlineStr">
        <x:is>
          <x:t xml:space="preserve">ИЗД-019</x:t>
        </x:is>
      </x:c>
      <x:c r="D195" s="31" t="inlineStr">
        <x:is>
          <x:t xml:space="preserve">Насосная станция СТК-119</x:t>
        </x:is>
      </x:c>
      <x:c r="E195" s="31" t="n">
        <x:v>3</x:v>
      </x:c>
      <x:c r="F195" s="31" t="n">
        <x:v>1293560</x:v>
      </x:c>
      <x:c r="G195" s="31" t="n">
        <x:v>0</x:v>
      </x:c>
      <x:c r="H195" s="31" t="n">
        <x:v>3880680</x:v>
      </x:c>
      <x:c r="I195" s="31" t="n">
        <x:v>1370744</x:v>
      </x:c>
      <x:c r="J195" s="31" t="n">
        <x:v>377459</x:v>
      </x:c>
      <x:c r="K195" s="31" t="n">
        <x:v>330068</x:v>
      </x:c>
      <x:c r="L195" s="31" t="n">
        <x:v>1802409</x:v>
      </x:c>
      <x:c r="M195" s="31" t="n">
        <x:v>0.464</x:v>
      </x:c>
      <x:c r="N195" s="31" t="inlineStr">
        <x:is>
          <x:t xml:space="preserve">Стандарт</x:t>
        </x:is>
      </x:c>
      <x:c r="O195" s="31" t="n">
        <x:v>46243</x:v>
      </x:c>
      <x:c r="P195" s="31" t="inlineStr">
        <x:is>
          <x:t xml:space="preserve">Спецификация 4</x:t>
        </x:is>
      </x:c>
    </x:row>
    <x:row r="196" ht="18" customHeight="1">
      <x:c r="A196" s="31" t="inlineStr">
        <x:is>
          <x:t xml:space="preserve">ПОЗ-0075-1</x:t>
        </x:is>
      </x:c>
      <x:c r="B196" s="31" t="inlineStr">
        <x:is>
          <x:t xml:space="preserve">ЗК-1075</x:t>
        </x:is>
      </x:c>
      <x:c r="C196" s="31" t="inlineStr">
        <x:is>
          <x:t xml:space="preserve">ИЗД-022</x:t>
        </x:is>
      </x:c>
      <x:c r="D196" s="31" t="inlineStr">
        <x:is>
          <x:t xml:space="preserve">Блок дозирования СТК-122</x:t>
        </x:is>
      </x:c>
      <x:c r="E196" s="31" t="n">
        <x:v>2</x:v>
      </x:c>
      <x:c r="F196" s="31" t="n">
        <x:v>566686</x:v>
      </x:c>
      <x:c r="G196" s="31" t="n">
        <x:v>0</x:v>
      </x:c>
      <x:c r="H196" s="31" t="n">
        <x:v>1133372</x:v>
      </x:c>
      <x:c r="I196" s="31" t="n">
        <x:v>417543</x:v>
      </x:c>
      <x:c r="J196" s="31" t="n">
        <x:v>158696</x:v>
      </x:c>
      <x:c r="K196" s="31" t="n">
        <x:v>110341</x:v>
      </x:c>
      <x:c r="L196" s="31" t="n">
        <x:v>446792</x:v>
      </x:c>
      <x:c r="M196" s="31" t="n">
        <x:v>0.394</x:v>
      </x:c>
      <x:c r="N196" s="31" t="inlineStr">
        <x:is>
          <x:t xml:space="preserve">Стандарт</x:t>
        </x:is>
      </x:c>
      <x:c r="O196" s="31" t="n">
        <x:v>46190</x:v>
      </x:c>
      <x:c r="P196" s="31" t="inlineStr">
        <x:is>
          <x:t xml:space="preserve">Спецификация 3</x:t>
        </x:is>
      </x:c>
    </x:row>
    <x:row r="197" ht="18" customHeight="1">
      <x:c r="A197" s="31" t="inlineStr">
        <x:is>
          <x:t xml:space="preserve">ПОЗ-0076-1</x:t>
        </x:is>
      </x:c>
      <x:c r="B197" s="31" t="inlineStr">
        <x:is>
          <x:t xml:space="preserve">ЗК-1076</x:t>
        </x:is>
      </x:c>
      <x:c r="C197" s="31" t="inlineStr">
        <x:is>
          <x:t xml:space="preserve">ИЗД-029</x:t>
        </x:is>
      </x:c>
      <x:c r="D197" s="31" t="inlineStr">
        <x:is>
          <x:t xml:space="preserve">Компрессорный модуль СТК-129</x:t>
        </x:is>
      </x:c>
      <x:c r="E197" s="31" t="n">
        <x:v>5</x:v>
      </x:c>
      <x:c r="F197" s="31" t="n">
        <x:v>3964576</x:v>
      </x:c>
      <x:c r="G197" s="31" t="n">
        <x:v>0</x:v>
      </x:c>
      <x:c r="H197" s="31" t="n">
        <x:v>19822880</x:v>
      </x:c>
      <x:c r="I197" s="31" t="n">
        <x:v>8577152</x:v>
      </x:c>
      <x:c r="J197" s="31" t="n">
        <x:v>1713522</x:v>
      </x:c>
      <x:c r="K197" s="31" t="n">
        <x:v>2104794</x:v>
      </x:c>
      <x:c r="L197" s="31" t="n">
        <x:v>7427412</x:v>
      </x:c>
      <x:c r="M197" s="31" t="n">
        <x:v>0.375</x:v>
      </x:c>
      <x:c r="N197" s="31" t="inlineStr">
        <x:is>
          <x:t xml:space="preserve">Нестандарт</x:t>
        </x:is>
      </x:c>
      <x:c r="O197" s="31" t="n">
        <x:v>46177</x:v>
      </x:c>
      <x:c r="P197" s="31" t="inlineStr">
        <x:is>
          <x:t xml:space="preserve">Спецификация 2</x:t>
        </x:is>
      </x:c>
    </x:row>
    <x:row r="198" ht="18" customHeight="1">
      <x:c r="A198" s="31" t="inlineStr">
        <x:is>
          <x:t xml:space="preserve">ПОЗ-0077-1</x:t>
        </x:is>
      </x:c>
      <x:c r="B198" s="31" t="inlineStr">
        <x:is>
          <x:t xml:space="preserve">ЗК-1077</x:t>
        </x:is>
      </x:c>
      <x:c r="C198" s="31" t="inlineStr">
        <x:is>
          <x:t xml:space="preserve">ИЗД-007</x:t>
        </x:is>
      </x:c>
      <x:c r="D198" s="31" t="inlineStr">
        <x:is>
          <x:t xml:space="preserve">Насосная станция СТК-107</x:t>
        </x:is>
      </x:c>
      <x:c r="E198" s="31" t="n">
        <x:v>1</x:v>
      </x:c>
      <x:c r="F198" s="31" t="n">
        <x:v>2108845</x:v>
      </x:c>
      <x:c r="G198" s="31" t="n">
        <x:v>0</x:v>
      </x:c>
      <x:c r="H198" s="31" t="n">
        <x:v>2108845</x:v>
      </x:c>
      <x:c r="I198" s="31" t="n">
        <x:v>720186</x:v>
      </x:c>
      <x:c r="J198" s="31" t="n">
        <x:v>185084</x:v>
      </x:c>
      <x:c r="K198" s="31" t="n">
        <x:v>174069</x:v>
      </x:c>
      <x:c r="L198" s="31" t="n">
        <x:v>1029506</x:v>
      </x:c>
      <x:c r="M198" s="31" t="n">
        <x:v>0.488</x:v>
      </x:c>
      <x:c r="N198" s="31" t="inlineStr">
        <x:is>
          <x:t xml:space="preserve">Стандарт</x:t>
        </x:is>
      </x:c>
      <x:c r="O198" s="31" t="n">
        <x:v>46200</x:v>
      </x:c>
      <x:c r="P198" s="31" t="inlineStr">
        <x:is>
          <x:t xml:space="preserve">Спецификация 4</x:t>
        </x:is>
      </x:c>
    </x:row>
    <x:row r="199" ht="18" customHeight="1">
      <x:c r="A199" s="31" t="inlineStr">
        <x:is>
          <x:t xml:space="preserve">ПОЗ-0077-2</x:t>
        </x:is>
      </x:c>
      <x:c r="B199" s="31" t="inlineStr">
        <x:is>
          <x:t xml:space="preserve">ЗК-1077</x:t>
        </x:is>
      </x:c>
      <x:c r="C199" s="31" t="inlineStr">
        <x:is>
          <x:t xml:space="preserve">ИЗД-035</x:t>
        </x:is>
      </x:c>
      <x:c r="D199" s="31" t="inlineStr">
        <x:is>
          <x:t xml:space="preserve">Компрессорный модуль СТК-135</x:t>
        </x:is>
      </x:c>
      <x:c r="E199" s="31" t="n">
        <x:v>3</x:v>
      </x:c>
      <x:c r="F199" s="31" t="n">
        <x:v>3129143</x:v>
      </x:c>
      <x:c r="G199" s="31" t="n">
        <x:v>3</x:v>
      </x:c>
      <x:c r="H199" s="31" t="n">
        <x:v>9105806</x:v>
      </x:c>
      <x:c r="I199" s="31" t="n">
        <x:v>4427610</x:v>
      </x:c>
      <x:c r="J199" s="31" t="n">
        <x:v>728803</x:v>
      </x:c>
      <x:c r="K199" s="31" t="n">
        <x:v>939638</x:v>
      </x:c>
      <x:c r="L199" s="31" t="n">
        <x:v>3009755</x:v>
      </x:c>
      <x:c r="M199" s="31" t="n">
        <x:v>0.331</x:v>
      </x:c>
      <x:c r="N199" s="31" t="inlineStr">
        <x:is>
          <x:t xml:space="preserve">Нестандарт</x:t>
        </x:is>
      </x:c>
      <x:c r="O199" s="31" t="n">
        <x:v>46200</x:v>
      </x:c>
      <x:c r="P199" s="31" t="inlineStr">
        <x:is>
          <x:t xml:space="preserve">Спецификация 2</x:t>
        </x:is>
      </x:c>
    </x:row>
    <x:row r="200" ht="18" customHeight="1">
      <x:c r="A200" s="31" t="inlineStr">
        <x:is>
          <x:t xml:space="preserve">ПОЗ-0077-3</x:t>
        </x:is>
      </x:c>
      <x:c r="B200" s="31" t="inlineStr">
        <x:is>
          <x:t xml:space="preserve">ЗК-1077</x:t>
        </x:is>
      </x:c>
      <x:c r="C200" s="31" t="inlineStr">
        <x:is>
          <x:t xml:space="preserve">ИЗД-004</x:t>
        </x:is>
      </x:c>
      <x:c r="D200" s="31" t="inlineStr">
        <x:is>
          <x:t xml:space="preserve">Блок дозирования СТК-104</x:t>
        </x:is>
      </x:c>
      <x:c r="E200" s="31" t="n">
        <x:v>5</x:v>
      </x:c>
      <x:c r="F200" s="31" t="n">
        <x:v>1060163</x:v>
      </x:c>
      <x:c r="G200" s="31" t="n">
        <x:v>5</x:v>
      </x:c>
      <x:c r="H200" s="31" t="n">
        <x:v>5035774</x:v>
      </x:c>
      <x:c r="I200" s="31" t="n">
        <x:v>1945892</x:v>
      </x:c>
      <x:c r="J200" s="31" t="n">
        <x:v>352729</x:v>
      </x:c>
      <x:c r="K200" s="31" t="n">
        <x:v>479776</x:v>
      </x:c>
      <x:c r="L200" s="31" t="n">
        <x:v>2257377</x:v>
      </x:c>
      <x:c r="M200" s="31" t="n">
        <x:v>0.448</x:v>
      </x:c>
      <x:c r="N200" s="31" t="inlineStr">
        <x:is>
          <x:t xml:space="preserve">Стандарт</x:t>
        </x:is>
      </x:c>
      <x:c r="O200" s="31" t="n">
        <x:v>46200</x:v>
      </x:c>
      <x:c r="P200" s="31" t="inlineStr">
        <x:is>
          <x:t xml:space="preserve">Спецификация 4</x:t>
        </x:is>
      </x:c>
    </x:row>
    <x:row r="201" ht="18" customHeight="1">
      <x:c r="A201" s="31" t="inlineStr">
        <x:is>
          <x:t xml:space="preserve">ПОЗ-0077-4</x:t>
        </x:is>
      </x:c>
      <x:c r="B201" s="31" t="inlineStr">
        <x:is>
          <x:t xml:space="preserve">ЗК-1077</x:t>
        </x:is>
      </x:c>
      <x:c r="C201" s="31" t="inlineStr">
        <x:is>
          <x:t xml:space="preserve">ИЗД-021</x:t>
        </x:is>
      </x:c>
      <x:c r="D201" s="31" t="inlineStr">
        <x:is>
          <x:t xml:space="preserve">Блок дозирования СТК-121</x:t>
        </x:is>
      </x:c>
      <x:c r="E201" s="31" t="n">
        <x:v>2</x:v>
      </x:c>
      <x:c r="F201" s="31" t="n">
        <x:v>600523</x:v>
      </x:c>
      <x:c r="G201" s="31" t="n">
        <x:v>3</x:v>
      </x:c>
      <x:c r="H201" s="31" t="n">
        <x:v>1165015</x:v>
      </x:c>
      <x:c r="I201" s="31" t="n">
        <x:v>437243</x:v>
      </x:c>
      <x:c r="J201" s="31" t="n">
        <x:v>149209</x:v>
      </x:c>
      <x:c r="K201" s="31" t="n">
        <x:v>76719</x:v>
      </x:c>
      <x:c r="L201" s="31" t="n">
        <x:v>501844</x:v>
      </x:c>
      <x:c r="M201" s="31" t="n">
        <x:v>0.431</x:v>
      </x:c>
      <x:c r="N201" s="31" t="inlineStr">
        <x:is>
          <x:t xml:space="preserve">Стандарт</x:t>
        </x:is>
      </x:c>
      <x:c r="O201" s="31" t="n">
        <x:v>46200</x:v>
      </x:c>
      <x:c r="P201" s="31" t="inlineStr">
        <x:is>
          <x:t xml:space="preserve">Спецификация 3</x:t>
        </x:is>
      </x:c>
    </x:row>
    <x:row r="202" ht="18" customHeight="1">
      <x:c r="A202" s="31" t="inlineStr">
        <x:is>
          <x:t xml:space="preserve">ПОЗ-0078-1</x:t>
        </x:is>
      </x:c>
      <x:c r="B202" s="31" t="inlineStr">
        <x:is>
          <x:t xml:space="preserve">ЗК-1078</x:t>
        </x:is>
      </x:c>
      <x:c r="C202" s="31" t="inlineStr">
        <x:is>
          <x:t xml:space="preserve">ИЗД-007</x:t>
        </x:is>
      </x:c>
      <x:c r="D202" s="31" t="inlineStr">
        <x:is>
          <x:t xml:space="preserve">Насосная станция СТК-107</x:t>
        </x:is>
      </x:c>
      <x:c r="E202" s="31" t="n">
        <x:v>5</x:v>
      </x:c>
      <x:c r="F202" s="31" t="n">
        <x:v>2462380</x:v>
      </x:c>
      <x:c r="G202" s="31" t="n">
        <x:v>0</x:v>
      </x:c>
      <x:c r="H202" s="31" t="n">
        <x:v>12311900</x:v>
      </x:c>
      <x:c r="I202" s="31" t="n">
        <x:v>4247633</x:v>
      </x:c>
      <x:c r="J202" s="31" t="n">
        <x:v>1118687</x:v>
      </x:c>
      <x:c r="K202" s="31" t="n">
        <x:v>842528</x:v>
      </x:c>
      <x:c r="L202" s="31" t="n">
        <x:v>6103052</x:v>
      </x:c>
      <x:c r="M202" s="31" t="n">
        <x:v>0.496</x:v>
      </x:c>
      <x:c r="N202" s="31" t="inlineStr">
        <x:is>
          <x:t xml:space="preserve">Стандарт</x:t>
        </x:is>
      </x:c>
      <x:c r="O202" s="31" t="n">
        <x:v>46175</x:v>
      </x:c>
      <x:c r="P202" s="31" t="inlineStr">
        <x:is>
          <x:t xml:space="preserve">Спецификация 4</x:t>
        </x:is>
      </x:c>
    </x:row>
    <x:row r="203" ht="18" customHeight="1">
      <x:c r="A203" s="31" t="inlineStr">
        <x:is>
          <x:t xml:space="preserve">ПОЗ-0078-2</x:t>
        </x:is>
      </x:c>
      <x:c r="B203" s="31" t="inlineStr">
        <x:is>
          <x:t xml:space="preserve">ЗК-1078</x:t>
        </x:is>
      </x:c>
      <x:c r="C203" s="31" t="inlineStr">
        <x:is>
          <x:t xml:space="preserve">ИЗД-029</x:t>
        </x:is>
      </x:c>
      <x:c r="D203" s="31" t="inlineStr">
        <x:is>
          <x:t xml:space="preserve">Компрессорный модуль СТК-129</x:t>
        </x:is>
      </x:c>
      <x:c r="E203" s="31" t="n">
        <x:v>1</x:v>
      </x:c>
      <x:c r="F203" s="31" t="n">
        <x:v>4122516</x:v>
      </x:c>
      <x:c r="G203" s="31" t="n">
        <x:v>10</x:v>
      </x:c>
      <x:c r="H203" s="31" t="n">
        <x:v>3710264</x:v>
      </x:c>
      <x:c r="I203" s="31" t="n">
        <x:v>1309859</x:v>
      </x:c>
      <x:c r="J203" s="31" t="n">
        <x:v>484078</x:v>
      </x:c>
      <x:c r="K203" s="31" t="n">
        <x:v>257589</x:v>
      </x:c>
      <x:c r="L203" s="31" t="n">
        <x:v>1658738</x:v>
      </x:c>
      <x:c r="M203" s="31" t="n">
        <x:v>0.447</x:v>
      </x:c>
      <x:c r="N203" s="31" t="inlineStr">
        <x:is>
          <x:t xml:space="preserve">Стандарт</x:t>
        </x:is>
      </x:c>
      <x:c r="O203" s="31" t="n">
        <x:v>46175</x:v>
      </x:c>
      <x:c r="P203" s="31" t="inlineStr">
        <x:is>
          <x:t xml:space="preserve">Спецификация 4</x:t>
        </x:is>
      </x:c>
    </x:row>
    <x:row r="204" ht="18" customHeight="1">
      <x:c r="A204" s="31" t="inlineStr">
        <x:is>
          <x:t xml:space="preserve">ПОЗ-0078-3</x:t>
        </x:is>
      </x:c>
      <x:c r="B204" s="31" t="inlineStr">
        <x:is>
          <x:t xml:space="preserve">ЗК-1078</x:t>
        </x:is>
      </x:c>
      <x:c r="C204" s="31" t="inlineStr">
        <x:is>
          <x:t xml:space="preserve">ИЗД-022</x:t>
        </x:is>
      </x:c>
      <x:c r="D204" s="31" t="inlineStr">
        <x:is>
          <x:t xml:space="preserve">Блок дозирования СТК-122</x:t>
        </x:is>
      </x:c>
      <x:c r="E204" s="31" t="n">
        <x:v>2</x:v>
      </x:c>
      <x:c r="F204" s="31" t="n">
        <x:v>646665</x:v>
      </x:c>
      <x:c r="G204" s="31" t="n">
        <x:v>5</x:v>
      </x:c>
      <x:c r="H204" s="31" t="n">
        <x:v>1228664</x:v>
      </x:c>
      <x:c r="I204" s="31" t="n">
        <x:v>432102</x:v>
      </x:c>
      <x:c r="J204" s="31" t="n">
        <x:v>191799</x:v>
      </x:c>
      <x:c r="K204" s="31" t="n">
        <x:v>133764</x:v>
      </x:c>
      <x:c r="L204" s="31" t="n">
        <x:v>470999</x:v>
      </x:c>
      <x:c r="M204" s="31" t="n">
        <x:v>0.383</x:v>
      </x:c>
      <x:c r="N204" s="31" t="inlineStr">
        <x:is>
          <x:t xml:space="preserve">Стандарт</x:t>
        </x:is>
      </x:c>
      <x:c r="O204" s="31" t="n">
        <x:v>46175</x:v>
      </x:c>
      <x:c r="P204" s="31" t="inlineStr">
        <x:is>
          <x:t xml:space="preserve">Спецификация 4</x:t>
        </x:is>
      </x:c>
    </x:row>
    <x:row r="205" ht="18" customHeight="1">
      <x:c r="A205" s="31" t="inlineStr">
        <x:is>
          <x:t xml:space="preserve">ПОЗ-0079-1</x:t>
        </x:is>
      </x:c>
      <x:c r="B205" s="31" t="inlineStr">
        <x:is>
          <x:t xml:space="preserve">ЗК-1079</x:t>
        </x:is>
      </x:c>
      <x:c r="C205" s="31" t="inlineStr">
        <x:is>
          <x:t xml:space="preserve">ИЗД-001</x:t>
        </x:is>
      </x:c>
      <x:c r="D205" s="31" t="inlineStr">
        <x:is>
          <x:t xml:space="preserve">Комплект ЗИП СТК-101</x:t>
        </x:is>
      </x:c>
      <x:c r="E205" s="31" t="n">
        <x:v>13</x:v>
      </x:c>
      <x:c r="F205" s="31" t="n">
        <x:v>76004</x:v>
      </x:c>
      <x:c r="G205" s="31" t="n">
        <x:v>0</x:v>
      </x:c>
      <x:c r="H205" s="31" t="n">
        <x:v>988052</x:v>
      </x:c>
      <x:c r="I205" s="31" t="n">
        <x:v>433663</x:v>
      </x:c>
      <x:c r="J205" s="31" t="n">
        <x:v>93547</x:v>
      </x:c>
      <x:c r="K205" s="31" t="n">
        <x:v>97928</x:v>
      </x:c>
      <x:c r="L205" s="31" t="n">
        <x:v>362914</x:v>
      </x:c>
      <x:c r="M205" s="31" t="n">
        <x:v>0.367</x:v>
      </x:c>
      <x:c r="N205" s="31" t="inlineStr">
        <x:is>
          <x:t xml:space="preserve">Стандарт</x:t>
        </x:is>
      </x:c>
      <x:c r="O205" s="31" t="n">
        <x:v>46155</x:v>
      </x:c>
      <x:c r="P205" s="31" t="inlineStr">
        <x:is>
          <x:t xml:space="preserve">Спецификация 3</x:t>
        </x:is>
      </x:c>
    </x:row>
    <x:row r="206" ht="18" customHeight="1">
      <x:c r="A206" s="31" t="inlineStr">
        <x:is>
          <x:t xml:space="preserve">ПОЗ-0079-2</x:t>
        </x:is>
      </x:c>
      <x:c r="B206" s="31" t="inlineStr">
        <x:is>
          <x:t xml:space="preserve">ЗК-1079</x:t>
        </x:is>
      </x:c>
      <x:c r="C206" s="31" t="inlineStr">
        <x:is>
          <x:t xml:space="preserve">ИЗД-026</x:t>
        </x:is>
      </x:c>
      <x:c r="D206" s="31" t="inlineStr">
        <x:is>
          <x:t xml:space="preserve">Шкаф управления СТК-126</x:t>
        </x:is>
      </x:c>
      <x:c r="E206" s="31" t="n">
        <x:v>3</x:v>
      </x:c>
      <x:c r="F206" s="31" t="n">
        <x:v>532939</x:v>
      </x:c>
      <x:c r="G206" s="31" t="n">
        <x:v>0</x:v>
      </x:c>
      <x:c r="H206" s="31" t="n">
        <x:v>1598817</x:v>
      </x:c>
      <x:c r="I206" s="31" t="n">
        <x:v>767049</x:v>
      </x:c>
      <x:c r="J206" s="31" t="n">
        <x:v>166943</x:v>
      </x:c>
      <x:c r="K206" s="31" t="n">
        <x:v>133476</x:v>
      </x:c>
      <x:c r="L206" s="31" t="n">
        <x:v>531349</x:v>
      </x:c>
      <x:c r="M206" s="31" t="n">
        <x:v>0.332</x:v>
      </x:c>
      <x:c r="N206" s="31" t="inlineStr">
        <x:is>
          <x:t xml:space="preserve">Нестандарт</x:t>
        </x:is>
      </x:c>
      <x:c r="O206" s="31" t="n">
        <x:v>46155</x:v>
      </x:c>
      <x:c r="P206" s="31" t="inlineStr">
        <x:is>
          <x:t xml:space="preserve">Спецификация 2</x:t>
        </x:is>
      </x:c>
    </x:row>
    <x:row r="207" ht="18" customHeight="1">
      <x:c r="A207" s="31" t="inlineStr">
        <x:is>
          <x:t xml:space="preserve">ПОЗ-0079-3</x:t>
        </x:is>
      </x:c>
      <x:c r="B207" s="31" t="inlineStr">
        <x:is>
          <x:t xml:space="preserve">ЗК-1079</x:t>
        </x:is>
      </x:c>
      <x:c r="C207" s="31" t="inlineStr">
        <x:is>
          <x:t xml:space="preserve">ИЗД-004</x:t>
        </x:is>
      </x:c>
      <x:c r="D207" s="31" t="inlineStr">
        <x:is>
          <x:t xml:space="preserve">Блок дозирования СТК-104</x:t>
        </x:is>
      </x:c>
      <x:c r="E207" s="31" t="n">
        <x:v>5</x:v>
      </x:c>
      <x:c r="F207" s="31" t="n">
        <x:v>986263</x:v>
      </x:c>
      <x:c r="G207" s="31" t="n">
        <x:v>7</x:v>
      </x:c>
      <x:c r="H207" s="31" t="n">
        <x:v>4586123</x:v>
      </x:c>
      <x:c r="I207" s="31" t="n">
        <x:v>1554684</x:v>
      </x:c>
      <x:c r="J207" s="31" t="n">
        <x:v>421384</x:v>
      </x:c>
      <x:c r="K207" s="31" t="n">
        <x:v>318868</x:v>
      </x:c>
      <x:c r="L207" s="31" t="n">
        <x:v>2291187</x:v>
      </x:c>
      <x:c r="M207" s="31" t="n">
        <x:v>0.5</x:v>
      </x:c>
      <x:c r="N207" s="31" t="inlineStr">
        <x:is>
          <x:t xml:space="preserve">Стандарт</x:t>
        </x:is>
      </x:c>
      <x:c r="O207" s="31" t="n">
        <x:v>46155</x:v>
      </x:c>
      <x:c r="P207" s="31" t="inlineStr">
        <x:is>
          <x:t xml:space="preserve">Спецификация 4</x:t>
        </x:is>
      </x:c>
    </x:row>
    <x:row r="208" ht="18" customHeight="1">
      <x:c r="A208" s="31" t="inlineStr">
        <x:is>
          <x:t xml:space="preserve">ПОЗ-0079-4</x:t>
        </x:is>
      </x:c>
      <x:c r="B208" s="31" t="inlineStr">
        <x:is>
          <x:t xml:space="preserve">ЗК-1079</x:t>
        </x:is>
      </x:c>
      <x:c r="C208" s="31" t="inlineStr">
        <x:is>
          <x:t xml:space="preserve">ИЗД-027</x:t>
        </x:is>
      </x:c>
      <x:c r="D208" s="31" t="inlineStr">
        <x:is>
          <x:t xml:space="preserve">Блок дозирования СТК-127</x:t>
        </x:is>
      </x:c>
      <x:c r="E208" s="31" t="n">
        <x:v>1</x:v>
      </x:c>
      <x:c r="F208" s="31" t="n">
        <x:v>684597</x:v>
      </x:c>
      <x:c r="G208" s="31" t="n">
        <x:v>3</x:v>
      </x:c>
      <x:c r="H208" s="31" t="n">
        <x:v>664059</x:v>
      </x:c>
      <x:c r="I208" s="31" t="n">
        <x:v>388980</x:v>
      </x:c>
      <x:c r="J208" s="31" t="n">
        <x:v>88708</x:v>
      </x:c>
      <x:c r="K208" s="31" t="n">
        <x:v>43158</x:v>
      </x:c>
      <x:c r="L208" s="31" t="n">
        <x:v>143213</x:v>
      </x:c>
      <x:c r="M208" s="31" t="n">
        <x:v>0.216</x:v>
      </x:c>
      <x:c r="N208" s="31" t="inlineStr">
        <x:is>
          <x:t xml:space="preserve">Срочная поставка</x:t>
        </x:is>
      </x:c>
      <x:c r="O208" s="31" t="n">
        <x:v>46155</x:v>
      </x:c>
      <x:c r="P208" s="31" t="inlineStr">
        <x:is>
          <x:t xml:space="preserve">Спецификация 4</x:t>
        </x:is>
      </x:c>
    </x:row>
    <x:row r="209" ht="18" customHeight="1">
      <x:c r="A209" s="31" t="inlineStr">
        <x:is>
          <x:t xml:space="preserve">ПОЗ-0080-1</x:t>
        </x:is>
      </x:c>
      <x:c r="B209" s="31" t="inlineStr">
        <x:is>
          <x:t xml:space="preserve">ЗК-1080</x:t>
        </x:is>
      </x:c>
      <x:c r="C209" s="31" t="inlineStr">
        <x:is>
          <x:t xml:space="preserve">ИЗД-010</x:t>
        </x:is>
      </x:c>
      <x:c r="D209" s="31" t="inlineStr">
        <x:is>
          <x:t xml:space="preserve">Шкаф управления СТК-110</x:t>
        </x:is>
      </x:c>
      <x:c r="E209" s="31" t="n">
        <x:v>3</x:v>
      </x:c>
      <x:c r="F209" s="31" t="n">
        <x:v>796366</x:v>
      </x:c>
      <x:c r="G209" s="31" t="n">
        <x:v>3</x:v>
      </x:c>
      <x:c r="H209" s="31" t="n">
        <x:v>2317425</x:v>
      </x:c>
      <x:c r="I209" s="31" t="n">
        <x:v>919990</x:v>
      </x:c>
      <x:c r="J209" s="31" t="n">
        <x:v>230597</x:v>
      </x:c>
      <x:c r="K209" s="31" t="n">
        <x:v>191871</x:v>
      </x:c>
      <x:c r="L209" s="31" t="n">
        <x:v>974967</x:v>
      </x:c>
      <x:c r="M209" s="31" t="n">
        <x:v>0.421</x:v>
      </x:c>
      <x:c r="N209" s="31" t="inlineStr">
        <x:is>
          <x:t xml:space="preserve">Стандарт</x:t>
        </x:is>
      </x:c>
      <x:c r="O209" s="31" t="n">
        <x:v>46111</x:v>
      </x:c>
      <x:c r="P209" s="31" t="inlineStr">
        <x:is>
          <x:t xml:space="preserve">Спецификация 3</x:t>
        </x:is>
      </x:c>
    </x:row>
    <x:row r="210" ht="18" customHeight="1">
      <x:c r="A210" s="31" t="inlineStr">
        <x:is>
          <x:t xml:space="preserve">ПОЗ-0080-2</x:t>
        </x:is>
      </x:c>
      <x:c r="B210" s="31" t="inlineStr">
        <x:is>
          <x:t xml:space="preserve">ЗК-1080</x:t>
        </x:is>
      </x:c>
      <x:c r="C210" s="31" t="inlineStr">
        <x:is>
          <x:t xml:space="preserve">ИЗД-038</x:t>
        </x:is>
      </x:c>
      <x:c r="D210" s="31" t="inlineStr">
        <x:is>
          <x:t xml:space="preserve">Трубная обвязка СТК-138</x:t>
        </x:is>
      </x:c>
      <x:c r="E210" s="31" t="n">
        <x:v>1</x:v>
      </x:c>
      <x:c r="F210" s="31" t="n">
        <x:v>390335</x:v>
      </x:c>
      <x:c r="G210" s="31" t="n">
        <x:v>5</x:v>
      </x:c>
      <x:c r="H210" s="31" t="n">
        <x:v>370818</x:v>
      </x:c>
      <x:c r="I210" s="31" t="n">
        <x:v>194749</x:v>
      </x:c>
      <x:c r="J210" s="31" t="n">
        <x:v>49294</x:v>
      </x:c>
      <x:c r="K210" s="31" t="n">
        <x:v>34984</x:v>
      </x:c>
      <x:c r="L210" s="31" t="n">
        <x:v>91791</x:v>
      </x:c>
      <x:c r="M210" s="31" t="n">
        <x:v>0.248</x:v>
      </x:c>
      <x:c r="N210" s="31" t="inlineStr">
        <x:is>
          <x:t xml:space="preserve">Замена материала</x:t>
        </x:is>
      </x:c>
      <x:c r="O210" s="31" t="n">
        <x:v>46111</x:v>
      </x:c>
      <x:c r="P210" s="31" t="inlineStr">
        <x:is>
          <x:t xml:space="preserve">Спецификация 3</x:t>
        </x:is>
      </x:c>
    </x:row>
    <x:row r="211" ht="18" customHeight="1">
      <x:c r="A211" s="31" t="inlineStr">
        <x:is>
          <x:t xml:space="preserve">ПОЗ-0081-1</x:t>
        </x:is>
      </x:c>
      <x:c r="B211" s="31" t="inlineStr">
        <x:is>
          <x:t xml:space="preserve">ЗК-1081</x:t>
        </x:is>
      </x:c>
      <x:c r="C211" s="31" t="inlineStr">
        <x:is>
          <x:t xml:space="preserve">ИЗД-008</x:t>
        </x:is>
      </x:c>
      <x:c r="D211" s="31" t="inlineStr">
        <x:is>
          <x:t xml:space="preserve">Комплект ЗИП СТК-108</x:t>
        </x:is>
      </x:c>
      <x:c r="E211" s="31" t="n">
        <x:v>15</x:v>
      </x:c>
      <x:c r="F211" s="31" t="n">
        <x:v>222563</x:v>
      </x:c>
      <x:c r="G211" s="31" t="n">
        <x:v>7</x:v>
      </x:c>
      <x:c r="H211" s="31" t="n">
        <x:v>3104754</x:v>
      </x:c>
      <x:c r="I211" s="31" t="n">
        <x:v>1412069</x:v>
      </x:c>
      <x:c r="J211" s="31" t="n">
        <x:v>449726</x:v>
      </x:c>
      <x:c r="K211" s="31" t="n">
        <x:v>166468</x:v>
      </x:c>
      <x:c r="L211" s="31" t="n">
        <x:v>1076491</x:v>
      </x:c>
      <x:c r="M211" s="31" t="n">
        <x:v>0.347</x:v>
      </x:c>
      <x:c r="N211" s="31" t="inlineStr">
        <x:is>
          <x:t xml:space="preserve">Срочная поставка</x:t>
        </x:is>
      </x:c>
      <x:c r="O211" s="31" t="n">
        <x:v>46222</x:v>
      </x:c>
      <x:c r="P211" s="31" t="inlineStr">
        <x:is>
          <x:t xml:space="preserve">Спецификация 3</x:t>
        </x:is>
      </x:c>
    </x:row>
    <x:row r="212" ht="18" customHeight="1">
      <x:c r="A212" s="31" t="inlineStr">
        <x:is>
          <x:t xml:space="preserve">ПОЗ-0081-2</x:t>
        </x:is>
      </x:c>
      <x:c r="B212" s="31" t="inlineStr">
        <x:is>
          <x:t xml:space="preserve">ЗК-1081</x:t>
        </x:is>
      </x:c>
      <x:c r="C212" s="31" t="inlineStr">
        <x:is>
          <x:t xml:space="preserve">ИЗД-042</x:t>
        </x:is>
      </x:c>
      <x:c r="D212" s="31" t="inlineStr">
        <x:is>
          <x:t xml:space="preserve">Шкаф управления СТК-142</x:t>
        </x:is>
      </x:c>
      <x:c r="E212" s="31" t="n">
        <x:v>1</x:v>
      </x:c>
      <x:c r="F212" s="31" t="n">
        <x:v>721309</x:v>
      </x:c>
      <x:c r="G212" s="31" t="n">
        <x:v>15</x:v>
      </x:c>
      <x:c r="H212" s="31" t="n">
        <x:v>613113</x:v>
      </x:c>
      <x:c r="I212" s="31" t="n">
        <x:v>292986</x:v>
      </x:c>
      <x:c r="J212" s="31" t="n">
        <x:v>91095</x:v>
      </x:c>
      <x:c r="K212" s="31" t="n">
        <x:v>42688</x:v>
      </x:c>
      <x:c r="L212" s="31" t="n">
        <x:v>186344</x:v>
      </x:c>
      <x:c r="M212" s="31" t="n">
        <x:v>0.304</x:v>
      </x:c>
      <x:c r="N212" s="31" t="inlineStr">
        <x:is>
          <x:t xml:space="preserve">Стандарт</x:t>
        </x:is>
      </x:c>
      <x:c r="O212" s="31" t="n">
        <x:v>46222</x:v>
      </x:c>
      <x:c r="P212" s="31" t="inlineStr">
        <x:is>
          <x:t xml:space="preserve">Спецификация 3</x:t>
        </x:is>
      </x:c>
    </x:row>
    <x:row r="213" ht="18" customHeight="1">
      <x:c r="A213" s="31" t="inlineStr">
        <x:is>
          <x:t xml:space="preserve">ПОЗ-0082-1</x:t>
        </x:is>
      </x:c>
      <x:c r="B213" s="31" t="inlineStr">
        <x:is>
          <x:t xml:space="preserve">ЗК-1082</x:t>
        </x:is>
      </x:c>
      <x:c r="C213" s="31" t="inlineStr">
        <x:is>
          <x:t xml:space="preserve">ИЗД-030</x:t>
        </x:is>
      </x:c>
      <x:c r="D213" s="31" t="inlineStr">
        <x:is>
          <x:t xml:space="preserve">Насосная станция СТК-130</x:t>
        </x:is>
      </x:c>
      <x:c r="E213" s="31" t="n">
        <x:v>3</x:v>
      </x:c>
      <x:c r="F213" s="31" t="n">
        <x:v>2285276</x:v>
      </x:c>
      <x:c r="G213" s="31" t="n">
        <x:v>5</x:v>
      </x:c>
      <x:c r="H213" s="31" t="n">
        <x:v>6513037</x:v>
      </x:c>
      <x:c r="I213" s="31" t="n">
        <x:v>2700195</x:v>
      </x:c>
      <x:c r="J213" s="31" t="n">
        <x:v>765244</x:v>
      </x:c>
      <x:c r="K213" s="31" t="n">
        <x:v>596302</x:v>
      </x:c>
      <x:c r="L213" s="31" t="n">
        <x:v>2451296</x:v>
      </x:c>
      <x:c r="M213" s="31" t="n">
        <x:v>0.376</x:v>
      </x:c>
      <x:c r="N213" s="31" t="inlineStr">
        <x:is>
          <x:t xml:space="preserve">Нестандарт</x:t>
        </x:is>
      </x:c>
      <x:c r="O213" s="31" t="n">
        <x:v>46207</x:v>
      </x:c>
      <x:c r="P213" s="31" t="inlineStr">
        <x:is>
          <x:t xml:space="preserve">Спецификация 4</x:t>
        </x:is>
      </x:c>
    </x:row>
    <x:row r="214" ht="18" customHeight="1">
      <x:c r="A214" s="31" t="inlineStr">
        <x:is>
          <x:t xml:space="preserve">ПОЗ-0082-2</x:t>
        </x:is>
      </x:c>
      <x:c r="B214" s="31" t="inlineStr">
        <x:is>
          <x:t xml:space="preserve">ЗК-1082</x:t>
        </x:is>
      </x:c>
      <x:c r="C214" s="31" t="inlineStr">
        <x:is>
          <x:t xml:space="preserve">ИЗД-029</x:t>
        </x:is>
      </x:c>
      <x:c r="D214" s="31" t="inlineStr">
        <x:is>
          <x:t xml:space="preserve">Компрессорный модуль СТК-129</x:t>
        </x:is>
      </x:c>
      <x:c r="E214" s="31" t="n">
        <x:v>1</x:v>
      </x:c>
      <x:c r="F214" s="31" t="n">
        <x:v>3845989</x:v>
      </x:c>
      <x:c r="G214" s="31" t="n">
        <x:v>0</x:v>
      </x:c>
      <x:c r="H214" s="31" t="n">
        <x:v>3845989</x:v>
      </x:c>
      <x:c r="I214" s="31" t="n">
        <x:v>1573528</x:v>
      </x:c>
      <x:c r="J214" s="31" t="n">
        <x:v>404195</x:v>
      </x:c>
      <x:c r="K214" s="31" t="n">
        <x:v>194270</x:v>
      </x:c>
      <x:c r="L214" s="31" t="n">
        <x:v>1673996</x:v>
      </x:c>
      <x:c r="M214" s="31" t="n">
        <x:v>0.435</x:v>
      </x:c>
      <x:c r="N214" s="31" t="inlineStr">
        <x:is>
          <x:t xml:space="preserve">Стандарт</x:t>
        </x:is>
      </x:c>
      <x:c r="O214" s="31" t="n">
        <x:v>46207</x:v>
      </x:c>
      <x:c r="P214" s="31" t="inlineStr">
        <x:is>
          <x:t xml:space="preserve">Спецификация 2</x:t>
        </x:is>
      </x:c>
    </x:row>
    <x:row r="215" ht="18" customHeight="1">
      <x:c r="A215" s="31" t="inlineStr">
        <x:is>
          <x:t xml:space="preserve">ПОЗ-0082-3</x:t>
        </x:is>
      </x:c>
      <x:c r="B215" s="31" t="inlineStr">
        <x:is>
          <x:t xml:space="preserve">ЗК-1082</x:t>
        </x:is>
      </x:c>
      <x:c r="C215" s="31" t="inlineStr">
        <x:is>
          <x:t xml:space="preserve">ИЗД-010</x:t>
        </x:is>
      </x:c>
      <x:c r="D215" s="31" t="inlineStr">
        <x:is>
          <x:t xml:space="preserve">Шкаф управления СТК-110</x:t>
        </x:is>
      </x:c>
      <x:c r="E215" s="31" t="n">
        <x:v>3</x:v>
      </x:c>
      <x:c r="F215" s="31" t="n">
        <x:v>850874</x:v>
      </x:c>
      <x:c r="G215" s="31" t="n">
        <x:v>3</x:v>
      </x:c>
      <x:c r="H215" s="31" t="n">
        <x:v>2476043</x:v>
      </x:c>
      <x:c r="I215" s="31" t="n">
        <x:v>1097430</x:v>
      </x:c>
      <x:c r="J215" s="31" t="n">
        <x:v>291957</x:v>
      </x:c>
      <x:c r="K215" s="31" t="n">
        <x:v>220905</x:v>
      </x:c>
      <x:c r="L215" s="31" t="n">
        <x:v>865751</x:v>
      </x:c>
      <x:c r="M215" s="31" t="n">
        <x:v>0.35</x:v>
      </x:c>
      <x:c r="N215" s="31" t="inlineStr">
        <x:is>
          <x:t xml:space="preserve">Стандарт</x:t>
        </x:is>
      </x:c>
      <x:c r="O215" s="31" t="n">
        <x:v>46207</x:v>
      </x:c>
      <x:c r="P215" s="31" t="inlineStr">
        <x:is>
          <x:t xml:space="preserve">Спецификация 3</x:t>
        </x:is>
      </x:c>
    </x:row>
    <x:row r="216" ht="18" customHeight="1">
      <x:c r="A216" s="31" t="inlineStr">
        <x:is>
          <x:t xml:space="preserve">ПОЗ-0083-1</x:t>
        </x:is>
      </x:c>
      <x:c r="B216" s="31" t="inlineStr">
        <x:is>
          <x:t xml:space="preserve">ЗК-1083</x:t>
        </x:is>
      </x:c>
      <x:c r="C216" s="31" t="inlineStr">
        <x:is>
          <x:t xml:space="preserve">ИЗД-015</x:t>
        </x:is>
      </x:c>
      <x:c r="D216" s="31" t="inlineStr">
        <x:is>
          <x:t xml:space="preserve">Сервисный комплект СТК-115</x:t>
        </x:is>
      </x:c>
      <x:c r="E216" s="31" t="n">
        <x:v>8</x:v>
      </x:c>
      <x:c r="F216" s="31" t="n">
        <x:v>229202</x:v>
      </x:c>
      <x:c r="G216" s="31" t="n">
        <x:v>3</x:v>
      </x:c>
      <x:c r="H216" s="31" t="n">
        <x:v>1778608</x:v>
      </x:c>
      <x:c r="I216" s="31" t="n">
        <x:v>762389</x:v>
      </x:c>
      <x:c r="J216" s="31" t="n">
        <x:v>274381</x:v>
      </x:c>
      <x:c r="K216" s="31" t="n">
        <x:v>112113</x:v>
      </x:c>
      <x:c r="L216" s="31" t="n">
        <x:v>629725</x:v>
      </x:c>
      <x:c r="M216" s="31" t="n">
        <x:v>0.354</x:v>
      </x:c>
      <x:c r="N216" s="31" t="inlineStr">
        <x:is>
          <x:t xml:space="preserve">Стандарт</x:t>
        </x:is>
      </x:c>
      <x:c r="O216" s="31" t="n">
        <x:v>46235</x:v>
      </x:c>
      <x:c r="P216" s="31" t="inlineStr">
        <x:is>
          <x:t xml:space="preserve">Спецификация 2</x:t>
        </x:is>
      </x:c>
    </x:row>
    <x:row r="217" ht="18" customHeight="1">
      <x:c r="A217" s="31" t="inlineStr">
        <x:is>
          <x:t xml:space="preserve">ПОЗ-0083-2</x:t>
        </x:is>
      </x:c>
      <x:c r="B217" s="31" t="inlineStr">
        <x:is>
          <x:t xml:space="preserve">ЗК-1083</x:t>
        </x:is>
      </x:c>
      <x:c r="C217" s="31" t="inlineStr">
        <x:is>
          <x:t xml:space="preserve">ИЗД-043</x:t>
        </x:is>
      </x:c>
      <x:c r="D217" s="31" t="inlineStr">
        <x:is>
          <x:t xml:space="preserve">Насосная станция СТК-143</x:t>
        </x:is>
      </x:c>
      <x:c r="E217" s="31" t="n">
        <x:v>4</x:v>
      </x:c>
      <x:c r="F217" s="31" t="n">
        <x:v>816409</x:v>
      </x:c>
      <x:c r="G217" s="31" t="n">
        <x:v>10</x:v>
      </x:c>
      <x:c r="H217" s="31" t="n">
        <x:v>2939072</x:v>
      </x:c>
      <x:c r="I217" s="31" t="n">
        <x:v>1127236</x:v>
      </x:c>
      <x:c r="J217" s="31" t="n">
        <x:v>435212</x:v>
      </x:c>
      <x:c r="K217" s="31" t="n">
        <x:v>297585</x:v>
      </x:c>
      <x:c r="L217" s="31" t="n">
        <x:v>1079039</x:v>
      </x:c>
      <x:c r="M217" s="31" t="n">
        <x:v>0.367</x:v>
      </x:c>
      <x:c r="N217" s="31" t="inlineStr">
        <x:is>
          <x:t xml:space="preserve">Стандарт</x:t>
        </x:is>
      </x:c>
      <x:c r="O217" s="31" t="n">
        <x:v>46235</x:v>
      </x:c>
      <x:c r="P217" s="31" t="inlineStr">
        <x:is>
          <x:t xml:space="preserve">Спецификация 1</x:t>
        </x:is>
      </x:c>
    </x:row>
    <x:row r="218" ht="18" customHeight="1">
      <x:c r="A218" s="31" t="inlineStr">
        <x:is>
          <x:t xml:space="preserve">ПОЗ-0083-3</x:t>
        </x:is>
      </x:c>
      <x:c r="B218" s="31" t="inlineStr">
        <x:is>
          <x:t xml:space="preserve">ЗК-1083</x:t>
        </x:is>
      </x:c>
      <x:c r="C218" s="31" t="inlineStr">
        <x:is>
          <x:t xml:space="preserve">ИЗД-014</x:t>
        </x:is>
      </x:c>
      <x:c r="D218" s="31" t="inlineStr">
        <x:is>
          <x:t xml:space="preserve">Рама-основание СТК-114</x:t>
        </x:is>
      </x:c>
      <x:c r="E218" s="31" t="n">
        <x:v>4</x:v>
      </x:c>
      <x:c r="F218" s="31" t="n">
        <x:v>104664</x:v>
      </x:c>
      <x:c r="G218" s="31" t="n">
        <x:v>0</x:v>
      </x:c>
      <x:c r="H218" s="31" t="n">
        <x:v>418656</x:v>
      </x:c>
      <x:c r="I218" s="31" t="n">
        <x:v>213150</x:v>
      </x:c>
      <x:c r="J218" s="31" t="n">
        <x:v>51545</x:v>
      </x:c>
      <x:c r="K218" s="31" t="n">
        <x:v>24064</x:v>
      </x:c>
      <x:c r="L218" s="31" t="n">
        <x:v>129897</x:v>
      </x:c>
      <x:c r="M218" s="31" t="n">
        <x:v>0.31</x:v>
      </x:c>
      <x:c r="N218" s="31" t="inlineStr">
        <x:is>
          <x:t xml:space="preserve">Замена материала</x:t>
        </x:is>
      </x:c>
      <x:c r="O218" s="31" t="n">
        <x:v>46235</x:v>
      </x:c>
      <x:c r="P218" s="31" t="inlineStr">
        <x:is>
          <x:t xml:space="preserve">Спецификация 1</x:t>
        </x:is>
      </x:c>
    </x:row>
    <x:row r="219" ht="18" customHeight="1">
      <x:c r="A219" s="31" t="inlineStr">
        <x:is>
          <x:t xml:space="preserve">ПОЗ-0084-1</x:t>
        </x:is>
      </x:c>
      <x:c r="B219" s="31" t="inlineStr">
        <x:is>
          <x:t xml:space="preserve">ЗК-1084</x:t>
        </x:is>
      </x:c>
      <x:c r="C219" s="31" t="inlineStr">
        <x:is>
          <x:t xml:space="preserve">ИЗД-001</x:t>
        </x:is>
      </x:c>
      <x:c r="D219" s="31" t="inlineStr">
        <x:is>
          <x:t xml:space="preserve">Комплект ЗИП СТК-101</x:t>
        </x:is>
      </x:c>
      <x:c r="E219" s="31" t="n">
        <x:v>14</x:v>
      </x:c>
      <x:c r="F219" s="31" t="n">
        <x:v>78867</x:v>
      </x:c>
      <x:c r="G219" s="31" t="n">
        <x:v>3</x:v>
      </x:c>
      <x:c r="H219" s="31" t="n">
        <x:v>1071014</x:v>
      </x:c>
      <x:c r="I219" s="31" t="n">
        <x:v>536192</x:v>
      </x:c>
      <x:c r="J219" s="31" t="n">
        <x:v>109159</x:v>
      </x:c>
      <x:c r="K219" s="31" t="n">
        <x:v>114324</x:v>
      </x:c>
      <x:c r="L219" s="31" t="n">
        <x:v>311339</x:v>
      </x:c>
      <x:c r="M219" s="31" t="n">
        <x:v>0.291</x:v>
      </x:c>
      <x:c r="N219" s="31" t="inlineStr">
        <x:is>
          <x:t xml:space="preserve">Нестандарт</x:t>
        </x:is>
      </x:c>
      <x:c r="O219" s="31" t="n">
        <x:v>46135</x:v>
      </x:c>
      <x:c r="P219" s="31" t="inlineStr">
        <x:is>
          <x:t xml:space="preserve">Спецификация 4</x:t>
        </x:is>
      </x:c>
    </x:row>
    <x:row r="220" ht="18" customHeight="1">
      <x:c r="A220" s="31" t="inlineStr">
        <x:is>
          <x:t xml:space="preserve">ПОЗ-0085-1</x:t>
        </x:is>
      </x:c>
      <x:c r="B220" s="31" t="inlineStr">
        <x:is>
          <x:t xml:space="preserve">ЗК-1085</x:t>
        </x:is>
      </x:c>
      <x:c r="C220" s="31" t="inlineStr">
        <x:is>
          <x:t xml:space="preserve">ИЗД-045</x:t>
        </x:is>
      </x:c>
      <x:c r="D220" s="31" t="inlineStr">
        <x:is>
          <x:t xml:space="preserve">Шкаф управления СТК-145</x:t>
        </x:is>
      </x:c>
      <x:c r="E220" s="31" t="n">
        <x:v>1</x:v>
      </x:c>
      <x:c r="F220" s="31" t="n">
        <x:v>669397</x:v>
      </x:c>
      <x:c r="G220" s="31" t="n">
        <x:v>7</x:v>
      </x:c>
      <x:c r="H220" s="31" t="n">
        <x:v>622539</x:v>
      </x:c>
      <x:c r="I220" s="31" t="n">
        <x:v>303188</x:v>
      </x:c>
      <x:c r="J220" s="31" t="n">
        <x:v>80610</x:v>
      </x:c>
      <x:c r="K220" s="31" t="n">
        <x:v>45011</x:v>
      </x:c>
      <x:c r="L220" s="31" t="n">
        <x:v>193730</x:v>
      </x:c>
      <x:c r="M220" s="31" t="n">
        <x:v>0.311</x:v>
      </x:c>
      <x:c r="N220" s="31" t="inlineStr">
        <x:is>
          <x:t xml:space="preserve">Стандарт</x:t>
        </x:is>
      </x:c>
      <x:c r="O220" s="31" t="n">
        <x:v>46174</x:v>
      </x:c>
      <x:c r="P220" s="31" t="inlineStr">
        <x:is>
          <x:t xml:space="preserve">Спецификация 2</x:t>
        </x:is>
      </x:c>
    </x:row>
    <x:row r="221" ht="18" customHeight="1">
      <x:c r="A221" s="31" t="inlineStr">
        <x:is>
          <x:t xml:space="preserve">ПОЗ-0085-2</x:t>
        </x:is>
      </x:c>
      <x:c r="B221" s="31" t="inlineStr">
        <x:is>
          <x:t xml:space="preserve">ЗК-1085</x:t>
        </x:is>
      </x:c>
      <x:c r="C221" s="31" t="inlineStr">
        <x:is>
          <x:t xml:space="preserve">ИЗД-031</x:t>
        </x:is>
      </x:c>
      <x:c r="D221" s="31" t="inlineStr">
        <x:is>
          <x:t xml:space="preserve">Насосная станция СТК-131</x:t>
        </x:is>
      </x:c>
      <x:c r="E221" s="31" t="n">
        <x:v>4</x:v>
      </x:c>
      <x:c r="F221" s="31" t="n">
        <x:v>945711</x:v>
      </x:c>
      <x:c r="G221" s="31" t="n">
        <x:v>10</x:v>
      </x:c>
      <x:c r="H221" s="31" t="n">
        <x:v>3404560</x:v>
      </x:c>
      <x:c r="I221" s="31" t="n">
        <x:v>1655883</x:v>
      </x:c>
      <x:c r="J221" s="31" t="n">
        <x:v>465666</x:v>
      </x:c>
      <x:c r="K221" s="31" t="n">
        <x:v>335755</x:v>
      </x:c>
      <x:c r="L221" s="31" t="n">
        <x:v>947256</x:v>
      </x:c>
      <x:c r="M221" s="31" t="n">
        <x:v>0.278</x:v>
      </x:c>
      <x:c r="N221" s="31" t="inlineStr">
        <x:is>
          <x:t xml:space="preserve">Стандарт</x:t>
        </x:is>
      </x:c>
      <x:c r="O221" s="31" t="n">
        <x:v>46174</x:v>
      </x:c>
      <x:c r="P221" s="31" t="inlineStr">
        <x:is>
          <x:t xml:space="preserve">Спецификация 1</x:t>
        </x:is>
      </x:c>
    </x:row>
    <x:row r="222" ht="18" customHeight="1">
      <x:c r="A222" s="31" t="inlineStr">
        <x:is>
          <x:t xml:space="preserve">ПОЗ-0086-1</x:t>
        </x:is>
      </x:c>
      <x:c r="B222" s="31" t="inlineStr">
        <x:is>
          <x:t xml:space="preserve">ЗК-1086</x:t>
        </x:is>
      </x:c>
      <x:c r="C222" s="31" t="inlineStr">
        <x:is>
          <x:t xml:space="preserve">ИЗД-035</x:t>
        </x:is>
      </x:c>
      <x:c r="D222" s="31" t="inlineStr">
        <x:is>
          <x:t xml:space="preserve">Компрессорный модуль СТК-135</x:t>
        </x:is>
      </x:c>
      <x:c r="E222" s="31" t="n">
        <x:v>4</x:v>
      </x:c>
      <x:c r="F222" s="31" t="n">
        <x:v>3276294</x:v>
      </x:c>
      <x:c r="G222" s="31" t="n">
        <x:v>5</x:v>
      </x:c>
      <x:c r="H222" s="31" t="n">
        <x:v>12449917</x:v>
      </x:c>
      <x:c r="I222" s="31" t="n">
        <x:v>4766776</x:v>
      </x:c>
      <x:c r="J222" s="31" t="n">
        <x:v>983673</x:v>
      </x:c>
      <x:c r="K222" s="31" t="n">
        <x:v>882948</x:v>
      </x:c>
      <x:c r="L222" s="31" t="n">
        <x:v>5816520</x:v>
      </x:c>
      <x:c r="M222" s="31" t="n">
        <x:v>0.467</x:v>
      </x:c>
      <x:c r="N222" s="31" t="inlineStr">
        <x:is>
          <x:t xml:space="preserve">Стандарт</x:t>
        </x:is>
      </x:c>
      <x:c r="O222" s="31" t="n">
        <x:v>46137</x:v>
      </x:c>
      <x:c r="P222" s="31" t="inlineStr">
        <x:is>
          <x:t xml:space="preserve">Спецификация 4</x:t>
        </x:is>
      </x:c>
    </x:row>
    <x:row r="223" ht="18" customHeight="1">
      <x:c r="A223" s="31" t="inlineStr">
        <x:is>
          <x:t xml:space="preserve">ПОЗ-0087-1</x:t>
        </x:is>
      </x:c>
      <x:c r="B223" s="31" t="inlineStr">
        <x:is>
          <x:t xml:space="preserve">ЗК-1087</x:t>
        </x:is>
      </x:c>
      <x:c r="C223" s="31" t="inlineStr">
        <x:is>
          <x:t xml:space="preserve">ИЗД-031</x:t>
        </x:is>
      </x:c>
      <x:c r="D223" s="31" t="inlineStr">
        <x:is>
          <x:t xml:space="preserve">Насосная станция СТК-131</x:t>
        </x:is>
      </x:c>
      <x:c r="E223" s="31" t="n">
        <x:v>4</x:v>
      </x:c>
      <x:c r="F223" s="31" t="n">
        <x:v>1092579</x:v>
      </x:c>
      <x:c r="G223" s="31" t="n">
        <x:v>7</x:v>
      </x:c>
      <x:c r="H223" s="31" t="n">
        <x:v>4064394</x:v>
      </x:c>
      <x:c r="I223" s="31" t="n">
        <x:v>1523912</x:v>
      </x:c>
      <x:c r="J223" s="31" t="n">
        <x:v>364731</x:v>
      </x:c>
      <x:c r="K223" s="31" t="n">
        <x:v>234875</x:v>
      </x:c>
      <x:c r="L223" s="31" t="n">
        <x:v>1940876</x:v>
      </x:c>
      <x:c r="M223" s="31" t="n">
        <x:v>0.478</x:v>
      </x:c>
      <x:c r="N223" s="31" t="inlineStr">
        <x:is>
          <x:t xml:space="preserve">Замена материала</x:t>
        </x:is>
      </x:c>
      <x:c r="O223" s="31" t="n">
        <x:v>46118</x:v>
      </x:c>
      <x:c r="P223" s="31" t="inlineStr">
        <x:is>
          <x:t xml:space="preserve">Спецификация 2</x:t>
        </x:is>
      </x:c>
    </x:row>
    <x:row r="224" ht="18" customHeight="1">
      <x:c r="A224" s="31" t="inlineStr">
        <x:is>
          <x:t xml:space="preserve">ПОЗ-0088-1</x:t>
        </x:is>
      </x:c>
      <x:c r="B224" s="31" t="inlineStr">
        <x:is>
          <x:t xml:space="preserve">ЗК-1088</x:t>
        </x:is>
      </x:c>
      <x:c r="C224" s="31" t="inlineStr">
        <x:is>
          <x:t xml:space="preserve">ИЗД-021</x:t>
        </x:is>
      </x:c>
      <x:c r="D224" s="31" t="inlineStr">
        <x:is>
          <x:t xml:space="preserve">Блок дозирования СТК-121</x:t>
        </x:is>
      </x:c>
      <x:c r="E224" s="31" t="n">
        <x:v>3</x:v>
      </x:c>
      <x:c r="F224" s="31" t="n">
        <x:v>652167</x:v>
      </x:c>
      <x:c r="G224" s="31" t="n">
        <x:v>3</x:v>
      </x:c>
      <x:c r="H224" s="31" t="n">
        <x:v>1897806</x:v>
      </x:c>
      <x:c r="I224" s="31" t="n">
        <x:v>885569</x:v>
      </x:c>
      <x:c r="J224" s="31" t="n">
        <x:v>138692</x:v>
      </x:c>
      <x:c r="K224" s="31" t="n">
        <x:v>198057</x:v>
      </x:c>
      <x:c r="L224" s="31" t="n">
        <x:v>675488</x:v>
      </x:c>
      <x:c r="M224" s="31" t="n">
        <x:v>0.356</x:v>
      </x:c>
      <x:c r="N224" s="31" t="inlineStr">
        <x:is>
          <x:t xml:space="preserve">Стандарт</x:t>
        </x:is>
      </x:c>
      <x:c r="O224" s="31" t="n">
        <x:v>46083</x:v>
      </x:c>
      <x:c r="P224" s="31" t="inlineStr">
        <x:is>
          <x:t xml:space="preserve">Спецификация 1</x:t>
        </x:is>
      </x:c>
    </x:row>
    <x:row r="225" ht="18" customHeight="1">
      <x:c r="A225" s="31" t="inlineStr">
        <x:is>
          <x:t xml:space="preserve">ПОЗ-0088-2</x:t>
        </x:is>
      </x:c>
      <x:c r="B225" s="31" t="inlineStr">
        <x:is>
          <x:t xml:space="preserve">ЗК-1088</x:t>
        </x:is>
      </x:c>
      <x:c r="C225" s="31" t="inlineStr">
        <x:is>
          <x:t xml:space="preserve">ИЗД-028</x:t>
        </x:is>
      </x:c>
      <x:c r="D225" s="31" t="inlineStr">
        <x:is>
          <x:t xml:space="preserve">Блок дозирования СТК-128</x:t>
        </x:is>
      </x:c>
      <x:c r="E225" s="31" t="n">
        <x:v>2</x:v>
      </x:c>
      <x:c r="F225" s="31" t="n">
        <x:v>504127</x:v>
      </x:c>
      <x:c r="G225" s="31" t="n">
        <x:v>0</x:v>
      </x:c>
      <x:c r="H225" s="31" t="n">
        <x:v>1008254</x:v>
      </x:c>
      <x:c r="I225" s="31" t="n">
        <x:v>484180</x:v>
      </x:c>
      <x:c r="J225" s="31" t="n">
        <x:v>146382</x:v>
      </x:c>
      <x:c r="K225" s="31" t="n">
        <x:v>64800</x:v>
      </x:c>
      <x:c r="L225" s="31" t="n">
        <x:v>312892</x:v>
      </x:c>
      <x:c r="M225" s="31" t="n">
        <x:v>0.31</x:v>
      </x:c>
      <x:c r="N225" s="31" t="inlineStr">
        <x:is>
          <x:t xml:space="preserve">Стандарт</x:t>
        </x:is>
      </x:c>
      <x:c r="O225" s="31" t="n">
        <x:v>46083</x:v>
      </x:c>
      <x:c r="P225" s="31" t="inlineStr">
        <x:is>
          <x:t xml:space="preserve">Спецификация 1</x:t>
        </x:is>
      </x:c>
    </x:row>
    <x:row r="226" ht="18" customHeight="1">
      <x:c r="A226" s="31" t="inlineStr">
        <x:is>
          <x:t xml:space="preserve">ПОЗ-0089-1</x:t>
        </x:is>
      </x:c>
      <x:c r="B226" s="31" t="inlineStr">
        <x:is>
          <x:t xml:space="preserve">ЗК-1089</x:t>
        </x:is>
      </x:c>
      <x:c r="C226" s="31" t="inlineStr">
        <x:is>
          <x:t xml:space="preserve">ИЗД-012</x:t>
        </x:is>
      </x:c>
      <x:c r="D226" s="31" t="inlineStr">
        <x:is>
          <x:t xml:space="preserve">Трубная обвязка СТК-112</x:t>
        </x:is>
      </x:c>
      <x:c r="E226" s="31" t="n">
        <x:v>4</x:v>
      </x:c>
      <x:c r="F226" s="31" t="n">
        <x:v>562086</x:v>
      </x:c>
      <x:c r="G226" s="31" t="n">
        <x:v>3</x:v>
      </x:c>
      <x:c r="H226" s="31" t="n">
        <x:v>2180894</x:v>
      </x:c>
      <x:c r="I226" s="31" t="n">
        <x:v>761218</x:v>
      </x:c>
      <x:c r="J226" s="31" t="n">
        <x:v>320721</x:v>
      </x:c>
      <x:c r="K226" s="31" t="n">
        <x:v>208921</x:v>
      </x:c>
      <x:c r="L226" s="31" t="n">
        <x:v>890034</x:v>
      </x:c>
      <x:c r="M226" s="31" t="n">
        <x:v>0.408</x:v>
      </x:c>
      <x:c r="N226" s="31" t="inlineStr">
        <x:is>
          <x:t xml:space="preserve">Стандарт</x:t>
        </x:is>
      </x:c>
      <x:c r="O226" s="31" t="n">
        <x:v>46246</x:v>
      </x:c>
      <x:c r="P226" s="31" t="inlineStr">
        <x:is>
          <x:t xml:space="preserve">Спецификация 3</x:t>
        </x:is>
      </x:c>
    </x:row>
    <x:row r="227" ht="18" customHeight="1">
      <x:c r="A227" s="31" t="inlineStr">
        <x:is>
          <x:t xml:space="preserve">ПОЗ-0089-2</x:t>
        </x:is>
      </x:c>
      <x:c r="B227" s="31" t="inlineStr">
        <x:is>
          <x:t xml:space="preserve">ЗК-1089</x:t>
        </x:is>
      </x:c>
      <x:c r="C227" s="31" t="inlineStr">
        <x:is>
          <x:t xml:space="preserve">ИЗД-017</x:t>
        </x:is>
      </x:c>
      <x:c r="D227" s="31" t="inlineStr">
        <x:is>
          <x:t xml:space="preserve">Блок дозирования СТК-117</x:t>
        </x:is>
      </x:c>
      <x:c r="E227" s="31" t="n">
        <x:v>4</x:v>
      </x:c>
      <x:c r="F227" s="31" t="n">
        <x:v>773907</x:v>
      </x:c>
      <x:c r="G227" s="31" t="n">
        <x:v>10</x:v>
      </x:c>
      <x:c r="H227" s="31" t="n">
        <x:v>2786065</x:v>
      </x:c>
      <x:c r="I227" s="31" t="n">
        <x:v>1129255</x:v>
      </x:c>
      <x:c r="J227" s="31" t="n">
        <x:v>251975</x:v>
      </x:c>
      <x:c r="K227" s="31" t="n">
        <x:v>215770</x:v>
      </x:c>
      <x:c r="L227" s="31" t="n">
        <x:v>1189065</x:v>
      </x:c>
      <x:c r="M227" s="31" t="n">
        <x:v>0.427</x:v>
      </x:c>
      <x:c r="N227" s="31" t="inlineStr">
        <x:is>
          <x:t xml:space="preserve">Стандарт</x:t>
        </x:is>
      </x:c>
      <x:c r="O227" s="31" t="n">
        <x:v>46246</x:v>
      </x:c>
      <x:c r="P227" s="31" t="inlineStr">
        <x:is>
          <x:t xml:space="preserve">Спецификация 3</x:t>
        </x:is>
      </x:c>
    </x:row>
    <x:row r="228" ht="18" customHeight="1">
      <x:c r="A228" s="31" t="inlineStr">
        <x:is>
          <x:t xml:space="preserve">ПОЗ-0089-3</x:t>
        </x:is>
      </x:c>
      <x:c r="B228" s="31" t="inlineStr">
        <x:is>
          <x:t xml:space="preserve">ЗК-1089</x:t>
        </x:is>
      </x:c>
      <x:c r="C228" s="31" t="inlineStr">
        <x:is>
          <x:t xml:space="preserve">ИЗД-022</x:t>
        </x:is>
      </x:c>
      <x:c r="D228" s="31" t="inlineStr">
        <x:is>
          <x:t xml:space="preserve">Блок дозирования СТК-122</x:t>
        </x:is>
      </x:c>
      <x:c r="E228" s="31" t="n">
        <x:v>2</x:v>
      </x:c>
      <x:c r="F228" s="31" t="n">
        <x:v>649750</x:v>
      </x:c>
      <x:c r="G228" s="31" t="n">
        <x:v>0</x:v>
      </x:c>
      <x:c r="H228" s="31" t="n">
        <x:v>1299500</x:v>
      </x:c>
      <x:c r="I228" s="31" t="n">
        <x:v>507053</x:v>
      </x:c>
      <x:c r="J228" s="31" t="n">
        <x:v>206085</x:v>
      </x:c>
      <x:c r="K228" s="31" t="n">
        <x:v>71444</x:v>
      </x:c>
      <x:c r="L228" s="31" t="n">
        <x:v>514918</x:v>
      </x:c>
      <x:c r="M228" s="31" t="n">
        <x:v>0.396</x:v>
      </x:c>
      <x:c r="N228" s="31" t="inlineStr">
        <x:is>
          <x:t xml:space="preserve">Нестандарт</x:t>
        </x:is>
      </x:c>
      <x:c r="O228" s="31" t="n">
        <x:v>46246</x:v>
      </x:c>
      <x:c r="P228" s="31" t="inlineStr">
        <x:is>
          <x:t xml:space="preserve">Спецификация 2</x:t>
        </x:is>
      </x:c>
    </x:row>
    <x:row r="229" ht="18" customHeight="1">
      <x:c r="A229" s="31" t="inlineStr">
        <x:is>
          <x:t xml:space="preserve">ПОЗ-0090-1</x:t>
        </x:is>
      </x:c>
      <x:c r="B229" s="31" t="inlineStr">
        <x:is>
          <x:t xml:space="preserve">ЗК-1090</x:t>
        </x:is>
      </x:c>
      <x:c r="C229" s="31" t="inlineStr">
        <x:is>
          <x:t xml:space="preserve">ИЗД-045</x:t>
        </x:is>
      </x:c>
      <x:c r="D229" s="31" t="inlineStr">
        <x:is>
          <x:t xml:space="preserve">Шкаф управления СТК-145</x:t>
        </x:is>
      </x:c>
      <x:c r="E229" s="31" t="n">
        <x:v>2</x:v>
      </x:c>
      <x:c r="F229" s="31" t="n">
        <x:v>727657</x:v>
      </x:c>
      <x:c r="G229" s="31" t="n">
        <x:v>0</x:v>
      </x:c>
      <x:c r="H229" s="31" t="n">
        <x:v>1455314</x:v>
      </x:c>
      <x:c r="I229" s="31" t="n">
        <x:v>556312</x:v>
      </x:c>
      <x:c r="J229" s="31" t="n">
        <x:v>184953</x:v>
      </x:c>
      <x:c r="K229" s="31" t="n">
        <x:v>126745</x:v>
      </x:c>
      <x:c r="L229" s="31" t="n">
        <x:v>587304</x:v>
      </x:c>
      <x:c r="M229" s="31" t="n">
        <x:v>0.404</x:v>
      </x:c>
      <x:c r="N229" s="31" t="inlineStr">
        <x:is>
          <x:t xml:space="preserve">Нестандарт</x:t>
        </x:is>
      </x:c>
      <x:c r="O229" s="31" t="n">
        <x:v>46178</x:v>
      </x:c>
      <x:c r="P229" s="31" t="inlineStr">
        <x:is>
          <x:t xml:space="preserve">Спецификация 2</x:t>
        </x:is>
      </x:c>
    </x:row>
    <x:row r="230" ht="18" customHeight="1">
      <x:c r="A230" s="31" t="inlineStr">
        <x:is>
          <x:t xml:space="preserve">ПОЗ-0090-2</x:t>
        </x:is>
      </x:c>
      <x:c r="B230" s="31" t="inlineStr">
        <x:is>
          <x:t xml:space="preserve">ЗК-1090</x:t>
        </x:is>
      </x:c>
      <x:c r="C230" s="31" t="inlineStr">
        <x:is>
          <x:t xml:space="preserve">ИЗД-034</x:t>
        </x:is>
      </x:c>
      <x:c r="D230" s="31" t="inlineStr">
        <x:is>
          <x:t xml:space="preserve">Компрессорный модуль СТК-134</x:t>
        </x:is>
      </x:c>
      <x:c r="E230" s="31" t="n">
        <x:v>5</x:v>
      </x:c>
      <x:c r="F230" s="31" t="n">
        <x:v>3640005</x:v>
      </x:c>
      <x:c r="G230" s="31" t="n">
        <x:v>5</x:v>
      </x:c>
      <x:c r="H230" s="31" t="n">
        <x:v>17290024</x:v>
      </x:c>
      <x:c r="I230" s="31" t="n">
        <x:v>9045890</x:v>
      </x:c>
      <x:c r="J230" s="31" t="n">
        <x:v>1643554</x:v>
      </x:c>
      <x:c r="K230" s="31" t="n">
        <x:v>1859428</x:v>
      </x:c>
      <x:c r="L230" s="31" t="n">
        <x:v>4741152</x:v>
      </x:c>
      <x:c r="M230" s="31" t="n">
        <x:v>0.274</x:v>
      </x:c>
      <x:c r="N230" s="31" t="inlineStr">
        <x:is>
          <x:t xml:space="preserve">Замена материала</x:t>
        </x:is>
      </x:c>
      <x:c r="O230" s="31" t="n">
        <x:v>46178</x:v>
      </x:c>
      <x:c r="P230" s="31" t="inlineStr">
        <x:is>
          <x:t xml:space="preserve">Спецификация 3</x:t>
        </x:is>
      </x:c>
    </x:row>
    <x:row r="231" ht="18" customHeight="1">
      <x:c r="A231" s="31" t="inlineStr">
        <x:is>
          <x:t xml:space="preserve">ПОЗ-0091-1</x:t>
        </x:is>
      </x:c>
      <x:c r="B231" s="31" t="inlineStr">
        <x:is>
          <x:t xml:space="preserve">ЗК-1091</x:t>
        </x:is>
      </x:c>
      <x:c r="C231" s="31" t="inlineStr">
        <x:is>
          <x:t xml:space="preserve">ИЗД-027</x:t>
        </x:is>
      </x:c>
      <x:c r="D231" s="31" t="inlineStr">
        <x:is>
          <x:t xml:space="preserve">Блок дозирования СТК-127</x:t>
        </x:is>
      </x:c>
      <x:c r="E231" s="31" t="n">
        <x:v>2</x:v>
      </x:c>
      <x:c r="F231" s="31" t="n">
        <x:v>583574</x:v>
      </x:c>
      <x:c r="G231" s="31" t="n">
        <x:v>7</x:v>
      </x:c>
      <x:c r="H231" s="31" t="n">
        <x:v>1085448</x:v>
      </x:c>
      <x:c r="I231" s="31" t="n">
        <x:v>598788</x:v>
      </x:c>
      <x:c r="J231" s="31" t="n">
        <x:v>154816</x:v>
      </x:c>
      <x:c r="K231" s="31" t="n">
        <x:v>116202</x:v>
      </x:c>
      <x:c r="L231" s="31" t="n">
        <x:v>215642</x:v>
      </x:c>
      <x:c r="M231" s="31" t="n">
        <x:v>0.199</x:v>
      </x:c>
      <x:c r="N231" s="31" t="inlineStr">
        <x:is>
          <x:t xml:space="preserve">Стандарт</x:t>
        </x:is>
      </x:c>
      <x:c r="O231" s="31" t="n">
        <x:v>46207</x:v>
      </x:c>
      <x:c r="P231" s="31" t="inlineStr">
        <x:is>
          <x:t xml:space="preserve">Спецификация 2</x:t>
        </x:is>
      </x:c>
    </x:row>
    <x:row r="232" ht="18" customHeight="1">
      <x:c r="A232" s="31" t="inlineStr">
        <x:is>
          <x:t xml:space="preserve">ПОЗ-0092-1</x:t>
        </x:is>
      </x:c>
      <x:c r="B232" s="31" t="inlineStr">
        <x:is>
          <x:t xml:space="preserve">ЗК-1092</x:t>
        </x:is>
      </x:c>
      <x:c r="C232" s="31" t="inlineStr">
        <x:is>
          <x:t xml:space="preserve">ИЗД-010</x:t>
        </x:is>
      </x:c>
      <x:c r="D232" s="31" t="inlineStr">
        <x:is>
          <x:t xml:space="preserve">Шкаф управления СТК-110</x:t>
        </x:is>
      </x:c>
      <x:c r="E232" s="31" t="n">
        <x:v>1</x:v>
      </x:c>
      <x:c r="F232" s="31" t="n">
        <x:v>808502</x:v>
      </x:c>
      <x:c r="G232" s="31" t="n">
        <x:v>3</x:v>
      </x:c>
      <x:c r="H232" s="31" t="n">
        <x:v>784247</x:v>
      </x:c>
      <x:c r="I232" s="31" t="n">
        <x:v>320797</x:v>
      </x:c>
      <x:c r="J232" s="31" t="n">
        <x:v>109363</x:v>
      </x:c>
      <x:c r="K232" s="31" t="n">
        <x:v>67372</x:v>
      </x:c>
      <x:c r="L232" s="31" t="n">
        <x:v>286715</x:v>
      </x:c>
      <x:c r="M232" s="31" t="n">
        <x:v>0.366</x:v>
      </x:c>
      <x:c r="N232" s="31" t="inlineStr">
        <x:is>
          <x:t xml:space="preserve">Стандарт</x:t>
        </x:is>
      </x:c>
      <x:c r="O232" s="31" t="n">
        <x:v>46200</x:v>
      </x:c>
      <x:c r="P232" s="31" t="inlineStr">
        <x:is>
          <x:t xml:space="preserve">Спецификация 4</x:t>
        </x:is>
      </x:c>
    </x:row>
    <x:row r="233" ht="18" customHeight="1">
      <x:c r="A233" s="31" t="inlineStr">
        <x:is>
          <x:t xml:space="preserve">ПОЗ-0092-2</x:t>
        </x:is>
      </x:c>
      <x:c r="B233" s="31" t="inlineStr">
        <x:is>
          <x:t xml:space="preserve">ЗК-1092</x:t>
        </x:is>
      </x:c>
      <x:c r="C233" s="31" t="inlineStr">
        <x:is>
          <x:t xml:space="preserve">ИЗД-044</x:t>
        </x:is>
      </x:c>
      <x:c r="D233" s="31" t="inlineStr">
        <x:is>
          <x:t xml:space="preserve">Блок дозирования СТК-144</x:t>
        </x:is>
      </x:c>
      <x:c r="E233" s="31" t="n">
        <x:v>3</x:v>
      </x:c>
      <x:c r="F233" s="31" t="n">
        <x:v>409972</x:v>
      </x:c>
      <x:c r="G233" s="31" t="n">
        <x:v>3</x:v>
      </x:c>
      <x:c r="H233" s="31" t="n">
        <x:v>1193019</x:v>
      </x:c>
      <x:c r="I233" s="31" t="n">
        <x:v>543544</x:v>
      </x:c>
      <x:c r="J233" s="31" t="n">
        <x:v>100012</x:v>
      </x:c>
      <x:c r="K233" s="31" t="n">
        <x:v>122659</x:v>
      </x:c>
      <x:c r="L233" s="31" t="n">
        <x:v>426804</x:v>
      </x:c>
      <x:c r="M233" s="31" t="n">
        <x:v>0.358</x:v>
      </x:c>
      <x:c r="N233" s="31" t="inlineStr">
        <x:is>
          <x:t xml:space="preserve">Нестандарт</x:t>
        </x:is>
      </x:c>
      <x:c r="O233" s="31" t="n">
        <x:v>46200</x:v>
      </x:c>
      <x:c r="P233" s="31" t="inlineStr">
        <x:is>
          <x:t xml:space="preserve">Спецификация 3</x:t>
        </x:is>
      </x:c>
    </x:row>
    <x:row r="234" ht="18" customHeight="1">
      <x:c r="A234" s="31" t="inlineStr">
        <x:is>
          <x:t xml:space="preserve">ПОЗ-0092-3</x:t>
        </x:is>
      </x:c>
      <x:c r="B234" s="31" t="inlineStr">
        <x:is>
          <x:t xml:space="preserve">ЗК-1092</x:t>
        </x:is>
      </x:c>
      <x:c r="C234" s="31" t="inlineStr">
        <x:is>
          <x:t xml:space="preserve">ИЗД-018</x:t>
        </x:is>
      </x:c>
      <x:c r="D234" s="31" t="inlineStr">
        <x:is>
          <x:t xml:space="preserve">Шкаф управления СТК-118</x:t>
        </x:is>
      </x:c>
      <x:c r="E234" s="31" t="n">
        <x:v>3</x:v>
      </x:c>
      <x:c r="F234" s="31" t="n">
        <x:v>407327</x:v>
      </x:c>
      <x:c r="G234" s="31" t="n">
        <x:v>0</x:v>
      </x:c>
      <x:c r="H234" s="31" t="n">
        <x:v>1221981</x:v>
      </x:c>
      <x:c r="I234" s="31" t="n">
        <x:v>680706</x:v>
      </x:c>
      <x:c r="J234" s="31" t="n">
        <x:v>113633</x:v>
      </x:c>
      <x:c r="K234" s="31" t="n">
        <x:v>107063</x:v>
      </x:c>
      <x:c r="L234" s="31" t="n">
        <x:v>320579</x:v>
      </x:c>
      <x:c r="M234" s="31" t="n">
        <x:v>0.262</x:v>
      </x:c>
      <x:c r="N234" s="31" t="inlineStr">
        <x:is>
          <x:t xml:space="preserve">Стандарт</x:t>
        </x:is>
      </x:c>
      <x:c r="O234" s="31" t="n">
        <x:v>46200</x:v>
      </x:c>
      <x:c r="P234" s="31" t="inlineStr">
        <x:is>
          <x:t xml:space="preserve">Спецификация 2</x:t>
        </x:is>
      </x:c>
    </x:row>
    <x:row r="235" ht="18" customHeight="1">
      <x:c r="A235" s="31" t="inlineStr">
        <x:is>
          <x:t xml:space="preserve">ПОЗ-0092-4</x:t>
        </x:is>
      </x:c>
      <x:c r="B235" s="31" t="inlineStr">
        <x:is>
          <x:t xml:space="preserve">ЗК-1092</x:t>
        </x:is>
      </x:c>
      <x:c r="C235" s="31" t="inlineStr">
        <x:is>
          <x:t xml:space="preserve">ИЗД-021</x:t>
        </x:is>
      </x:c>
      <x:c r="D235" s="31" t="inlineStr">
        <x:is>
          <x:t xml:space="preserve">Блок дозирования СТК-121</x:t>
        </x:is>
      </x:c>
      <x:c r="E235" s="31" t="n">
        <x:v>4</x:v>
      </x:c>
      <x:c r="F235" s="31" t="n">
        <x:v>667270</x:v>
      </x:c>
      <x:c r="G235" s="31" t="n">
        <x:v>0</x:v>
      </x:c>
      <x:c r="H235" s="31" t="n">
        <x:v>2669080</x:v>
      </x:c>
      <x:c r="I235" s="31" t="n">
        <x:v>934066</x:v>
      </x:c>
      <x:c r="J235" s="31" t="n">
        <x:v>426478</x:v>
      </x:c>
      <x:c r="K235" s="31" t="n">
        <x:v>230072</x:v>
      </x:c>
      <x:c r="L235" s="31" t="n">
        <x:v>1078464</x:v>
      </x:c>
      <x:c r="M235" s="31" t="n">
        <x:v>0.404</x:v>
      </x:c>
      <x:c r="N235" s="31" t="inlineStr">
        <x:is>
          <x:t xml:space="preserve">Стандарт</x:t>
        </x:is>
      </x:c>
      <x:c r="O235" s="31" t="n">
        <x:v>46200</x:v>
      </x:c>
      <x:c r="P235" s="31" t="inlineStr">
        <x:is>
          <x:t xml:space="preserve">Спецификация 3</x:t>
        </x:is>
      </x:c>
    </x:row>
    <x:row r="236" ht="18" customHeight="1">
      <x:c r="A236" s="31" t="inlineStr">
        <x:is>
          <x:t xml:space="preserve">ПОЗ-0093-1</x:t>
        </x:is>
      </x:c>
      <x:c r="B236" s="31" t="inlineStr">
        <x:is>
          <x:t xml:space="preserve">ЗК-1093</x:t>
        </x:is>
      </x:c>
      <x:c r="C236" s="31" t="inlineStr">
        <x:is>
          <x:t xml:space="preserve">ИЗД-043</x:t>
        </x:is>
      </x:c>
      <x:c r="D236" s="31" t="inlineStr">
        <x:is>
          <x:t xml:space="preserve">Насосная станция СТК-143</x:t>
        </x:is>
      </x:c>
      <x:c r="E236" s="31" t="n">
        <x:v>1</x:v>
      </x:c>
      <x:c r="F236" s="31" t="n">
        <x:v>811508</x:v>
      </x:c>
      <x:c r="G236" s="31" t="n">
        <x:v>7</x:v>
      </x:c>
      <x:c r="H236" s="31" t="n">
        <x:v>754702</x:v>
      </x:c>
      <x:c r="I236" s="31" t="n">
        <x:v>315483</x:v>
      </x:c>
      <x:c r="J236" s="31" t="n">
        <x:v>86449</x:v>
      </x:c>
      <x:c r="K236" s="31" t="n">
        <x:v>64501</x:v>
      </x:c>
      <x:c r="L236" s="31" t="n">
        <x:v>288269</x:v>
      </x:c>
      <x:c r="M236" s="31" t="n">
        <x:v>0.382</x:v>
      </x:c>
      <x:c r="N236" s="31" t="inlineStr">
        <x:is>
          <x:t xml:space="preserve">Стандарт</x:t>
        </x:is>
      </x:c>
      <x:c r="O236" s="31" t="n">
        <x:v>46165</x:v>
      </x:c>
      <x:c r="P236" s="31" t="inlineStr">
        <x:is>
          <x:t xml:space="preserve">Спецификация 1</x:t>
        </x:is>
      </x:c>
    </x:row>
    <x:row r="237" ht="18" customHeight="1">
      <x:c r="A237" s="31" t="inlineStr">
        <x:is>
          <x:t xml:space="preserve">ПОЗ-0093-2</x:t>
        </x:is>
      </x:c>
      <x:c r="B237" s="31" t="inlineStr">
        <x:is>
          <x:t xml:space="preserve">ЗК-1093</x:t>
        </x:is>
      </x:c>
      <x:c r="C237" s="31" t="inlineStr">
        <x:is>
          <x:t xml:space="preserve">ИЗД-017</x:t>
        </x:is>
      </x:c>
      <x:c r="D237" s="31" t="inlineStr">
        <x:is>
          <x:t xml:space="preserve">Блок дозирования СТК-117</x:t>
        </x:is>
      </x:c>
      <x:c r="E237" s="31" t="n">
        <x:v>4</x:v>
      </x:c>
      <x:c r="F237" s="31" t="n">
        <x:v>758798</x:v>
      </x:c>
      <x:c r="G237" s="31" t="n">
        <x:v>7</x:v>
      </x:c>
      <x:c r="H237" s="31" t="n">
        <x:v>2822729</x:v>
      </x:c>
      <x:c r="I237" s="31" t="n">
        <x:v>1257547</x:v>
      </x:c>
      <x:c r="J237" s="31" t="n">
        <x:v>329432</x:v>
      </x:c>
      <x:c r="K237" s="31" t="n">
        <x:v>297839</x:v>
      </x:c>
      <x:c r="L237" s="31" t="n">
        <x:v>937911</x:v>
      </x:c>
      <x:c r="M237" s="31" t="n">
        <x:v>0.332</x:v>
      </x:c>
      <x:c r="N237" s="31" t="inlineStr">
        <x:is>
          <x:t xml:space="preserve">Стандарт</x:t>
        </x:is>
      </x:c>
      <x:c r="O237" s="31" t="n">
        <x:v>46165</x:v>
      </x:c>
      <x:c r="P237" s="31" t="inlineStr">
        <x:is>
          <x:t xml:space="preserve">Спецификация 1</x:t>
        </x:is>
      </x:c>
    </x:row>
    <x:row r="238" ht="18" customHeight="1">
      <x:c r="A238" s="31" t="inlineStr">
        <x:is>
          <x:t xml:space="preserve">ПОЗ-0093-3</x:t>
        </x:is>
      </x:c>
      <x:c r="B238" s="31" t="inlineStr">
        <x:is>
          <x:t xml:space="preserve">ЗК-1093</x:t>
        </x:is>
      </x:c>
      <x:c r="C238" s="31" t="inlineStr">
        <x:is>
          <x:t xml:space="preserve">ИЗД-023</x:t>
        </x:is>
      </x:c>
      <x:c r="D238" s="31" t="inlineStr">
        <x:is>
          <x:t xml:space="preserve">Шкаф управления СТК-123</x:t>
        </x:is>
      </x:c>
      <x:c r="E238" s="31" t="n">
        <x:v>5</x:v>
      </x:c>
      <x:c r="F238" s="31" t="n">
        <x:v>1037261</x:v>
      </x:c>
      <x:c r="G238" s="31" t="n">
        <x:v>5</x:v>
      </x:c>
      <x:c r="H238" s="31" t="n">
        <x:v>4926990</x:v>
      </x:c>
      <x:c r="I238" s="31" t="n">
        <x:v>1862225</x:v>
      </x:c>
      <x:c r="J238" s="31" t="n">
        <x:v>386977</x:v>
      </x:c>
      <x:c r="K238" s="31" t="n">
        <x:v>532134</x:v>
      </x:c>
      <x:c r="L238" s="31" t="n">
        <x:v>2145654</x:v>
      </x:c>
      <x:c r="M238" s="31" t="n">
        <x:v>0.435</x:v>
      </x:c>
      <x:c r="N238" s="31" t="inlineStr">
        <x:is>
          <x:t xml:space="preserve">Стандарт</x:t>
        </x:is>
      </x:c>
      <x:c r="O238" s="31" t="n">
        <x:v>46165</x:v>
      </x:c>
      <x:c r="P238" s="31" t="inlineStr">
        <x:is>
          <x:t xml:space="preserve">Спецификация 4</x:t>
        </x:is>
      </x:c>
    </x:row>
    <x:row r="239" ht="18" customHeight="1">
      <x:c r="A239" s="31" t="inlineStr">
        <x:is>
          <x:t xml:space="preserve">ПОЗ-0093-4</x:t>
        </x:is>
      </x:c>
      <x:c r="B239" s="31" t="inlineStr">
        <x:is>
          <x:t xml:space="preserve">ЗК-1093</x:t>
        </x:is>
      </x:c>
      <x:c r="C239" s="31" t="inlineStr">
        <x:is>
          <x:t xml:space="preserve">ИЗД-006</x:t>
        </x:is>
      </x:c>
      <x:c r="D239" s="31" t="inlineStr">
        <x:is>
          <x:t xml:space="preserve">Насосная станция СТК-106</x:t>
        </x:is>
      </x:c>
      <x:c r="E239" s="31" t="n">
        <x:v>4</x:v>
      </x:c>
      <x:c r="F239" s="31" t="n">
        <x:v>1231846</x:v>
      </x:c>
      <x:c r="G239" s="31" t="n">
        <x:v>0</x:v>
      </x:c>
      <x:c r="H239" s="31" t="n">
        <x:v>4927384</x:v>
      </x:c>
      <x:c r="I239" s="31" t="n">
        <x:v>2238214</x:v>
      </x:c>
      <x:c r="J239" s="31" t="n">
        <x:v>540150</x:v>
      </x:c>
      <x:c r="K239" s="31" t="n">
        <x:v>382585</x:v>
      </x:c>
      <x:c r="L239" s="31" t="n">
        <x:v>1766435</x:v>
      </x:c>
      <x:c r="M239" s="31" t="n">
        <x:v>0.358</x:v>
      </x:c>
      <x:c r="N239" s="31" t="inlineStr">
        <x:is>
          <x:t xml:space="preserve">Нестандарт</x:t>
        </x:is>
      </x:c>
      <x:c r="O239" s="31" t="n">
        <x:v>46165</x:v>
      </x:c>
      <x:c r="P239" s="31" t="inlineStr">
        <x:is>
          <x:t xml:space="preserve">Спецификация 1</x:t>
        </x:is>
      </x:c>
    </x:row>
    <x:row r="240" ht="18" customHeight="1">
      <x:c r="A240" s="31" t="inlineStr">
        <x:is>
          <x:t xml:space="preserve">ПОЗ-0094-1</x:t>
        </x:is>
      </x:c>
      <x:c r="B240" s="31" t="inlineStr">
        <x:is>
          <x:t xml:space="preserve">ЗК-1094</x:t>
        </x:is>
      </x:c>
      <x:c r="C240" s="31" t="inlineStr">
        <x:is>
          <x:t xml:space="preserve">ИЗД-044</x:t>
        </x:is>
      </x:c>
      <x:c r="D240" s="31" t="inlineStr">
        <x:is>
          <x:t xml:space="preserve">Блок дозирования СТК-144</x:t>
        </x:is>
      </x:c>
      <x:c r="E240" s="31" t="n">
        <x:v>3</x:v>
      </x:c>
      <x:c r="F240" s="31" t="n">
        <x:v>374600</x:v>
      </x:c>
      <x:c r="G240" s="31" t="n">
        <x:v>0</x:v>
      </x:c>
      <x:c r="H240" s="31" t="n">
        <x:v>1123800</x:v>
      </x:c>
      <x:c r="I240" s="31" t="n">
        <x:v>486106</x:v>
      </x:c>
      <x:c r="J240" s="31" t="n">
        <x:v>178895</x:v>
      </x:c>
      <x:c r="K240" s="31" t="n">
        <x:v>73935</x:v>
      </x:c>
      <x:c r="L240" s="31" t="n">
        <x:v>384864</x:v>
      </x:c>
      <x:c r="M240" s="31" t="n">
        <x:v>0.342</x:v>
      </x:c>
      <x:c r="N240" s="31" t="inlineStr">
        <x:is>
          <x:t xml:space="preserve">Нестандарт</x:t>
        </x:is>
      </x:c>
      <x:c r="O240" s="31" t="n">
        <x:v>46154</x:v>
      </x:c>
      <x:c r="P240" s="31" t="inlineStr">
        <x:is>
          <x:t xml:space="preserve">Спецификация 2</x:t>
        </x:is>
      </x:c>
    </x:row>
    <x:row r="241" ht="18" customHeight="1">
      <x:c r="A241" s="31" t="inlineStr">
        <x:is>
          <x:t xml:space="preserve">ПОЗ-0094-2</x:t>
        </x:is>
      </x:c>
      <x:c r="B241" s="31" t="inlineStr">
        <x:is>
          <x:t xml:space="preserve">ЗК-1094</x:t>
        </x:is>
      </x:c>
      <x:c r="C241" s="31" t="inlineStr">
        <x:is>
          <x:t xml:space="preserve">ИЗД-023</x:t>
        </x:is>
      </x:c>
      <x:c r="D241" s="31" t="inlineStr">
        <x:is>
          <x:t xml:space="preserve">Шкаф управления СТК-123</x:t>
        </x:is>
      </x:c>
      <x:c r="E241" s="31" t="n">
        <x:v>5</x:v>
      </x:c>
      <x:c r="F241" s="31" t="n">
        <x:v>1021288</x:v>
      </x:c>
      <x:c r="G241" s="31" t="n">
        <x:v>3</x:v>
      </x:c>
      <x:c r="H241" s="31" t="n">
        <x:v>4953247</x:v>
      </x:c>
      <x:c r="I241" s="31" t="n">
        <x:v>2040052</x:v>
      </x:c>
      <x:c r="J241" s="31" t="n">
        <x:v>525633</x:v>
      </x:c>
      <x:c r="K241" s="31" t="n">
        <x:v>351246</x:v>
      </x:c>
      <x:c r="L241" s="31" t="n">
        <x:v>2036316</x:v>
      </x:c>
      <x:c r="M241" s="31" t="n">
        <x:v>0.411</x:v>
      </x:c>
      <x:c r="N241" s="31" t="inlineStr">
        <x:is>
          <x:t xml:space="preserve">Нестандарт</x:t>
        </x:is>
      </x:c>
      <x:c r="O241" s="31" t="n">
        <x:v>46154</x:v>
      </x:c>
      <x:c r="P241" s="31" t="inlineStr">
        <x:is>
          <x:t xml:space="preserve">Спецификация 4</x:t>
        </x:is>
      </x:c>
    </x:row>
    <x:row r="242" ht="18" customHeight="1">
      <x:c r="A242" s="31" t="inlineStr">
        <x:is>
          <x:t xml:space="preserve">ПОЗ-0094-3</x:t>
        </x:is>
      </x:c>
      <x:c r="B242" s="31" t="inlineStr">
        <x:is>
          <x:t xml:space="preserve">ЗК-1094</x:t>
        </x:is>
      </x:c>
      <x:c r="C242" s="31" t="inlineStr">
        <x:is>
          <x:t xml:space="preserve">ИЗД-016</x:t>
        </x:is>
      </x:c>
      <x:c r="D242" s="31" t="inlineStr">
        <x:is>
          <x:t xml:space="preserve">Насосная станция СТК-116</x:t>
        </x:is>
      </x:c>
      <x:c r="E242" s="31" t="n">
        <x:v>1</x:v>
      </x:c>
      <x:c r="F242" s="31" t="n">
        <x:v>1185596</x:v>
      </x:c>
      <x:c r="G242" s="31" t="n">
        <x:v>5</x:v>
      </x:c>
      <x:c r="H242" s="31" t="n">
        <x:v>1126316</x:v>
      </x:c>
      <x:c r="I242" s="31" t="n">
        <x:v>551573</x:v>
      </x:c>
      <x:c r="J242" s="31" t="n">
        <x:v>163610</x:v>
      </x:c>
      <x:c r="K242" s="31" t="n">
        <x:v>71695</x:v>
      </x:c>
      <x:c r="L242" s="31" t="n">
        <x:v>339438</x:v>
      </x:c>
      <x:c r="M242" s="31" t="n">
        <x:v>0.301</x:v>
      </x:c>
      <x:c r="N242" s="31" t="inlineStr">
        <x:is>
          <x:t xml:space="preserve">Нестандарт</x:t>
        </x:is>
      </x:c>
      <x:c r="O242" s="31" t="n">
        <x:v>46154</x:v>
      </x:c>
      <x:c r="P242" s="31" t="inlineStr">
        <x:is>
          <x:t xml:space="preserve">Спецификация 1</x:t>
        </x:is>
      </x:c>
    </x:row>
    <x:row r="243" ht="18" customHeight="1">
      <x:c r="A243" s="31" t="inlineStr">
        <x:is>
          <x:t xml:space="preserve">ПОЗ-0095-1</x:t>
        </x:is>
      </x:c>
      <x:c r="B243" s="31" t="inlineStr">
        <x:is>
          <x:t xml:space="preserve">ЗК-1095</x:t>
        </x:is>
      </x:c>
      <x:c r="C243" s="31" t="inlineStr">
        <x:is>
          <x:t xml:space="preserve">ИЗД-008</x:t>
        </x:is>
      </x:c>
      <x:c r="D243" s="31" t="inlineStr">
        <x:is>
          <x:t xml:space="preserve">Комплект ЗИП СТК-108</x:t>
        </x:is>
      </x:c>
      <x:c r="E243" s="31" t="n">
        <x:v>8</x:v>
      </x:c>
      <x:c r="F243" s="31" t="n">
        <x:v>231234</x:v>
      </x:c>
      <x:c r="G243" s="31" t="n">
        <x:v>7</x:v>
      </x:c>
      <x:c r="H243" s="31" t="n">
        <x:v>1720381</x:v>
      </x:c>
      <x:c r="I243" s="31" t="n">
        <x:v>758434</x:v>
      </x:c>
      <x:c r="J243" s="31" t="n">
        <x:v>207209</x:v>
      </x:c>
      <x:c r="K243" s="31" t="n">
        <x:v>164135</x:v>
      </x:c>
      <x:c r="L243" s="31" t="n">
        <x:v>590603</x:v>
      </x:c>
      <x:c r="M243" s="31" t="n">
        <x:v>0.343</x:v>
      </x:c>
      <x:c r="N243" s="31" t="inlineStr">
        <x:is>
          <x:t xml:space="preserve">Стандарт</x:t>
        </x:is>
      </x:c>
      <x:c r="O243" s="31" t="n">
        <x:v>46095</x:v>
      </x:c>
      <x:c r="P243" s="31" t="inlineStr">
        <x:is>
          <x:t xml:space="preserve">Спецификация 4</x:t>
        </x:is>
      </x:c>
    </x:row>
    <x:row r="244" ht="18" customHeight="1">
      <x:c r="A244" s="31" t="inlineStr">
        <x:is>
          <x:t xml:space="preserve">ПОЗ-0096-1</x:t>
        </x:is>
      </x:c>
      <x:c r="B244" s="31" t="inlineStr">
        <x:is>
          <x:t xml:space="preserve">ЗК-1096</x:t>
        </x:is>
      </x:c>
      <x:c r="C244" s="31" t="inlineStr">
        <x:is>
          <x:t xml:space="preserve">ИЗД-021</x:t>
        </x:is>
      </x:c>
      <x:c r="D244" s="31" t="inlineStr">
        <x:is>
          <x:t xml:space="preserve">Блок дозирования СТК-121</x:t>
        </x:is>
      </x:c>
      <x:c r="E244" s="31" t="n">
        <x:v>2</x:v>
      </x:c>
      <x:c r="F244" s="31" t="n">
        <x:v>618210</x:v>
      </x:c>
      <x:c r="G244" s="31" t="n">
        <x:v>0</x:v>
      </x:c>
      <x:c r="H244" s="31" t="n">
        <x:v>1236420</x:v>
      </x:c>
      <x:c r="I244" s="31" t="n">
        <x:v>509878</x:v>
      </x:c>
      <x:c r="J244" s="31" t="n">
        <x:v>160830</x:v>
      </x:c>
      <x:c r="K244" s="31" t="n">
        <x:v>82132</x:v>
      </x:c>
      <x:c r="L244" s="31" t="n">
        <x:v>483580</x:v>
      </x:c>
      <x:c r="M244" s="31" t="n">
        <x:v>0.391</x:v>
      </x:c>
      <x:c r="N244" s="31" t="inlineStr">
        <x:is>
          <x:t xml:space="preserve">Стандарт</x:t>
        </x:is>
      </x:c>
      <x:c r="O244" s="31" t="n">
        <x:v>46258</x:v>
      </x:c>
      <x:c r="P244" s="31" t="inlineStr">
        <x:is>
          <x:t xml:space="preserve">Спецификация 2</x:t>
        </x:is>
      </x:c>
    </x:row>
    <x:row r="245" ht="18" customHeight="1">
      <x:c r="A245" s="31" t="inlineStr">
        <x:is>
          <x:t xml:space="preserve">ПОЗ-0097-1</x:t>
        </x:is>
      </x:c>
      <x:c r="B245" s="31" t="inlineStr">
        <x:is>
          <x:t xml:space="preserve">ЗК-1097</x:t>
        </x:is>
      </x:c>
      <x:c r="C245" s="31" t="inlineStr">
        <x:is>
          <x:t xml:space="preserve">ИЗД-012</x:t>
        </x:is>
      </x:c>
      <x:c r="D245" s="31" t="inlineStr">
        <x:is>
          <x:t xml:space="preserve">Трубная обвязка СТК-112</x:t>
        </x:is>
      </x:c>
      <x:c r="E245" s="31" t="n">
        <x:v>5</x:v>
      </x:c>
      <x:c r="F245" s="31" t="n">
        <x:v>577291</x:v>
      </x:c>
      <x:c r="G245" s="31" t="n">
        <x:v>10</x:v>
      </x:c>
      <x:c r="H245" s="31" t="n">
        <x:v>2597810</x:v>
      </x:c>
      <x:c r="I245" s="31" t="n">
        <x:v>1143751</x:v>
      </x:c>
      <x:c r="J245" s="31" t="n">
        <x:v>347086</x:v>
      </x:c>
      <x:c r="K245" s="31" t="n">
        <x:v>282940</x:v>
      </x:c>
      <x:c r="L245" s="31" t="n">
        <x:v>824033</x:v>
      </x:c>
      <x:c r="M245" s="31" t="n">
        <x:v>0.317</x:v>
      </x:c>
      <x:c r="N245" s="31" t="inlineStr">
        <x:is>
          <x:t xml:space="preserve">Нестандарт</x:t>
        </x:is>
      </x:c>
      <x:c r="O245" s="31" t="n">
        <x:v>46129</x:v>
      </x:c>
      <x:c r="P245" s="31" t="inlineStr">
        <x:is>
          <x:t xml:space="preserve">Спецификация 3</x:t>
        </x:is>
      </x:c>
    </x:row>
    <x:row r="246" ht="18" customHeight="1">
      <x:c r="A246" s="31" t="inlineStr">
        <x:is>
          <x:t xml:space="preserve">ПОЗ-0097-2</x:t>
        </x:is>
      </x:c>
      <x:c r="B246" s="31" t="inlineStr">
        <x:is>
          <x:t xml:space="preserve">ЗК-1097</x:t>
        </x:is>
      </x:c>
      <x:c r="C246" s="31" t="inlineStr">
        <x:is>
          <x:t xml:space="preserve">ИЗД-034</x:t>
        </x:is>
      </x:c>
      <x:c r="D246" s="31" t="inlineStr">
        <x:is>
          <x:t xml:space="preserve">Компрессорный модуль СТК-134</x:t>
        </x:is>
      </x:c>
      <x:c r="E246" s="31" t="n">
        <x:v>4</x:v>
      </x:c>
      <x:c r="F246" s="31" t="n">
        <x:v>3175352</x:v>
      </x:c>
      <x:c r="G246" s="31" t="n">
        <x:v>7</x:v>
      </x:c>
      <x:c r="H246" s="31" t="n">
        <x:v>11812309</x:v>
      </x:c>
      <x:c r="I246" s="31" t="n">
        <x:v>6329560</x:v>
      </x:c>
      <x:c r="J246" s="31" t="n">
        <x:v>1167221</x:v>
      </x:c>
      <x:c r="K246" s="31" t="n">
        <x:v>843688</x:v>
      </x:c>
      <x:c r="L246" s="31" t="n">
        <x:v>3471840</x:v>
      </x:c>
      <x:c r="M246" s="31" t="n">
        <x:v>0.294</x:v>
      </x:c>
      <x:c r="N246" s="31" t="inlineStr">
        <x:is>
          <x:t xml:space="preserve">Замена материала</x:t>
        </x:is>
      </x:c>
      <x:c r="O246" s="31" t="n">
        <x:v>46129</x:v>
      </x:c>
      <x:c r="P246" s="31" t="inlineStr">
        <x:is>
          <x:t xml:space="preserve">Спецификация 2</x:t>
        </x:is>
      </x:c>
    </x:row>
    <x:row r="247" ht="18" customHeight="1">
      <x:c r="A247" s="31" t="inlineStr">
        <x:is>
          <x:t xml:space="preserve">ПОЗ-0097-3</x:t>
        </x:is>
      </x:c>
      <x:c r="B247" s="31" t="inlineStr">
        <x:is>
          <x:t xml:space="preserve">ЗК-1097</x:t>
        </x:is>
      </x:c>
      <x:c r="C247" s="31" t="inlineStr">
        <x:is>
          <x:t xml:space="preserve">ИЗД-038</x:t>
        </x:is>
      </x:c>
      <x:c r="D247" s="31" t="inlineStr">
        <x:is>
          <x:t xml:space="preserve">Трубная обвязка СТК-138</x:t>
        </x:is>
      </x:c>
      <x:c r="E247" s="31" t="n">
        <x:v>3</x:v>
      </x:c>
      <x:c r="F247" s="31" t="n">
        <x:v>466672</x:v>
      </x:c>
      <x:c r="G247" s="31" t="n">
        <x:v>15</x:v>
      </x:c>
      <x:c r="H247" s="31" t="n">
        <x:v>1190014</x:v>
      </x:c>
      <x:c r="I247" s="31" t="n">
        <x:v>505459</x:v>
      </x:c>
      <x:c r="J247" s="31" t="n">
        <x:v>140951</x:v>
      </x:c>
      <x:c r="K247" s="31" t="n">
        <x:v>68695</x:v>
      </x:c>
      <x:c r="L247" s="31" t="n">
        <x:v>474909</x:v>
      </x:c>
      <x:c r="M247" s="31" t="n">
        <x:v>0.399</x:v>
      </x:c>
      <x:c r="N247" s="31" t="inlineStr">
        <x:is>
          <x:t xml:space="preserve">Срочная поставка</x:t>
        </x:is>
      </x:c>
      <x:c r="O247" s="31" t="n">
        <x:v>46129</x:v>
      </x:c>
      <x:c r="P247" s="31" t="inlineStr">
        <x:is>
          <x:t xml:space="preserve">Спецификация 4</x:t>
        </x:is>
      </x:c>
    </x:row>
    <x:row r="248" ht="18" customHeight="1">
      <x:c r="A248" s="31" t="inlineStr">
        <x:is>
          <x:t xml:space="preserve">ПОЗ-0097-4</x:t>
        </x:is>
      </x:c>
      <x:c r="B248" s="31" t="inlineStr">
        <x:is>
          <x:t xml:space="preserve">ЗК-1097</x:t>
        </x:is>
      </x:c>
      <x:c r="C248" s="31" t="inlineStr">
        <x:is>
          <x:t xml:space="preserve">ИЗД-026</x:t>
        </x:is>
      </x:c>
      <x:c r="D248" s="31" t="inlineStr">
        <x:is>
          <x:t xml:space="preserve">Шкаф управления СТК-126</x:t>
        </x:is>
      </x:c>
      <x:c r="E248" s="31" t="n">
        <x:v>5</x:v>
      </x:c>
      <x:c r="F248" s="31" t="n">
        <x:v>469652</x:v>
      </x:c>
      <x:c r="G248" s="31" t="n">
        <x:v>7</x:v>
      </x:c>
      <x:c r="H248" s="31" t="n">
        <x:v>2183882</x:v>
      </x:c>
      <x:c r="I248" s="31" t="n">
        <x:v>1113379</x:v>
      </x:c>
      <x:c r="J248" s="31" t="n">
        <x:v>294408</x:v>
      </x:c>
      <x:c r="K248" s="31" t="n">
        <x:v>203219</x:v>
      </x:c>
      <x:c r="L248" s="31" t="n">
        <x:v>572876</x:v>
      </x:c>
      <x:c r="M248" s="31" t="n">
        <x:v>0.262</x:v>
      </x:c>
      <x:c r="N248" s="31" t="inlineStr">
        <x:is>
          <x:t xml:space="preserve">Стандарт</x:t>
        </x:is>
      </x:c>
      <x:c r="O248" s="31" t="n">
        <x:v>46129</x:v>
      </x:c>
      <x:c r="P248" s="31" t="inlineStr">
        <x:is>
          <x:t xml:space="preserve">Спецификация 2</x:t>
        </x:is>
      </x:c>
    </x:row>
    <x:row r="249" ht="18" customHeight="1">
      <x:c r="A249" s="31" t="inlineStr">
        <x:is>
          <x:t xml:space="preserve">ПОЗ-0098-1</x:t>
        </x:is>
      </x:c>
      <x:c r="B249" s="31" t="inlineStr">
        <x:is>
          <x:t xml:space="preserve">ЗК-1098</x:t>
        </x:is>
      </x:c>
      <x:c r="C249" s="31" t="inlineStr">
        <x:is>
          <x:t xml:space="preserve">ИЗД-044</x:t>
        </x:is>
      </x:c>
      <x:c r="D249" s="31" t="inlineStr">
        <x:is>
          <x:t xml:space="preserve">Блок дозирования СТК-144</x:t>
        </x:is>
      </x:c>
      <x:c r="E249" s="31" t="n">
        <x:v>3</x:v>
      </x:c>
      <x:c r="F249" s="31" t="n">
        <x:v>338819</x:v>
      </x:c>
      <x:c r="G249" s="31" t="n">
        <x:v>5</x:v>
      </x:c>
      <x:c r="H249" s="31" t="n">
        <x:v>965634</x:v>
      </x:c>
      <x:c r="I249" s="31" t="n">
        <x:v>434041</x:v>
      </x:c>
      <x:c r="J249" s="31" t="n">
        <x:v>149926</x:v>
      </x:c>
      <x:c r="K249" s="31" t="n">
        <x:v>90447</x:v>
      </x:c>
      <x:c r="L249" s="31" t="n">
        <x:v>291220</x:v>
      </x:c>
      <x:c r="M249" s="31" t="n">
        <x:v>0.302</x:v>
      </x:c>
      <x:c r="N249" s="31" t="inlineStr">
        <x:is>
          <x:t xml:space="preserve">Нестандарт</x:t>
        </x:is>
      </x:c>
      <x:c r="O249" s="31" t="n">
        <x:v>46224</x:v>
      </x:c>
      <x:c r="P249" s="31" t="inlineStr">
        <x:is>
          <x:t xml:space="preserve">Спецификация 4</x:t>
        </x:is>
      </x:c>
    </x:row>
    <x:row r="250" ht="18" customHeight="1">
      <x:c r="A250" s="31" t="inlineStr">
        <x:is>
          <x:t xml:space="preserve">ПОЗ-0099-1</x:t>
        </x:is>
      </x:c>
      <x:c r="B250" s="31" t="inlineStr">
        <x:is>
          <x:t xml:space="preserve">ЗК-1099</x:t>
        </x:is>
      </x:c>
      <x:c r="C250" s="31" t="inlineStr">
        <x:is>
          <x:t xml:space="preserve">ИЗД-035</x:t>
        </x:is>
      </x:c>
      <x:c r="D250" s="31" t="inlineStr">
        <x:is>
          <x:t xml:space="preserve">Компрессорный модуль СТК-135</x:t>
        </x:is>
      </x:c>
      <x:c r="E250" s="31" t="n">
        <x:v>5</x:v>
      </x:c>
      <x:c r="F250" s="31" t="n">
        <x:v>2934993</x:v>
      </x:c>
      <x:c r="G250" s="31" t="n">
        <x:v>0</x:v>
      </x:c>
      <x:c r="H250" s="31" t="n">
        <x:v>14674965</x:v>
      </x:c>
      <x:c r="I250" s="31" t="n">
        <x:v>6583694</x:v>
      </x:c>
      <x:c r="J250" s="31" t="n">
        <x:v>1967769</x:v>
      </x:c>
      <x:c r="K250" s="31" t="n">
        <x:v>1049274</x:v>
      </x:c>
      <x:c r="L250" s="31" t="n">
        <x:v>5074228</x:v>
      </x:c>
      <x:c r="M250" s="31" t="n">
        <x:v>0.346</x:v>
      </x:c>
      <x:c r="N250" s="31" t="inlineStr">
        <x:is>
          <x:t xml:space="preserve">Стандарт</x:t>
        </x:is>
      </x:c>
      <x:c r="O250" s="31" t="n">
        <x:v>46209</x:v>
      </x:c>
      <x:c r="P250" s="31" t="inlineStr">
        <x:is>
          <x:t xml:space="preserve">Спецификация 1</x:t>
        </x:is>
      </x:c>
    </x:row>
    <x:row r="251" ht="18" customHeight="1">
      <x:c r="A251" s="31" t="inlineStr">
        <x:is>
          <x:t xml:space="preserve">ПОЗ-0099-2</x:t>
        </x:is>
      </x:c>
      <x:c r="B251" s="31" t="inlineStr">
        <x:is>
          <x:t xml:space="preserve">ЗК-1099</x:t>
        </x:is>
      </x:c>
      <x:c r="C251" s="31" t="inlineStr">
        <x:is>
          <x:t xml:space="preserve">ИЗД-044</x:t>
        </x:is>
      </x:c>
      <x:c r="D251" s="31" t="inlineStr">
        <x:is>
          <x:t xml:space="preserve">Блок дозирования СТК-144</x:t>
        </x:is>
      </x:c>
      <x:c r="E251" s="31" t="n">
        <x:v>5</x:v>
      </x:c>
      <x:c r="F251" s="31" t="n">
        <x:v>338651</x:v>
      </x:c>
      <x:c r="G251" s="31" t="n">
        <x:v>3</x:v>
      </x:c>
      <x:c r="H251" s="31" t="n">
        <x:v>1642457</x:v>
      </x:c>
      <x:c r="I251" s="31" t="n">
        <x:v>636405</x:v>
      </x:c>
      <x:c r="J251" s="31" t="n">
        <x:v>143741</x:v>
      </x:c>
      <x:c r="K251" s="31" t="n">
        <x:v>178678</x:v>
      </x:c>
      <x:c r="L251" s="31" t="n">
        <x:v>683633</x:v>
      </x:c>
      <x:c r="M251" s="31" t="n">
        <x:v>0.416</x:v>
      </x:c>
      <x:c r="N251" s="31" t="inlineStr">
        <x:is>
          <x:t xml:space="preserve">Нестандарт</x:t>
        </x:is>
      </x:c>
      <x:c r="O251" s="31" t="n">
        <x:v>46209</x:v>
      </x:c>
      <x:c r="P251" s="31" t="inlineStr">
        <x:is>
          <x:t xml:space="preserve">Спецификация 2</x:t>
        </x:is>
      </x:c>
    </x:row>
    <x:row r="252" ht="18" customHeight="1">
      <x:c r="A252" s="31" t="inlineStr">
        <x:is>
          <x:t xml:space="preserve">ПОЗ-0100-1</x:t>
        </x:is>
      </x:c>
      <x:c r="B252" s="31" t="inlineStr">
        <x:is>
          <x:t xml:space="preserve">ЗК-1100</x:t>
        </x:is>
      </x:c>
      <x:c r="C252" s="31" t="inlineStr">
        <x:is>
          <x:t xml:space="preserve">ИЗД-022</x:t>
        </x:is>
      </x:c>
      <x:c r="D252" s="31" t="inlineStr">
        <x:is>
          <x:t xml:space="preserve">Блок дозирования СТК-122</x:t>
        </x:is>
      </x:c>
      <x:c r="E252" s="31" t="n">
        <x:v>1</x:v>
      </x:c>
      <x:c r="F252" s="31" t="n">
        <x:v>566964</x:v>
      </x:c>
      <x:c r="G252" s="31" t="n">
        <x:v>0</x:v>
      </x:c>
      <x:c r="H252" s="31" t="n">
        <x:v>566964</x:v>
      </x:c>
      <x:c r="I252" s="31" t="n">
        <x:v>220770</x:v>
      </x:c>
      <x:c r="J252" s="31" t="n">
        <x:v>52547</x:v>
      </x:c>
      <x:c r="K252" s="31" t="n">
        <x:v>31435</x:v>
      </x:c>
      <x:c r="L252" s="31" t="n">
        <x:v>262212</x:v>
      </x:c>
      <x:c r="M252" s="31" t="n">
        <x:v>0.462</x:v>
      </x:c>
      <x:c r="N252" s="31" t="inlineStr">
        <x:is>
          <x:t xml:space="preserve">Стандарт</x:t>
        </x:is>
      </x:c>
      <x:c r="O252" s="31" t="n">
        <x:v>46110</x:v>
      </x:c>
      <x:c r="P252" s="31" t="inlineStr">
        <x:is>
          <x:t xml:space="preserve">Спецификация 2</x:t>
        </x:is>
      </x:c>
    </x:row>
    <x:row r="253" ht="18" customHeight="1">
      <x:c r="A253" s="31" t="inlineStr">
        <x:is>
          <x:t xml:space="preserve">ПОЗ-0100-2</x:t>
        </x:is>
      </x:c>
      <x:c r="B253" s="31" t="inlineStr">
        <x:is>
          <x:t xml:space="preserve">ЗК-1100</x:t>
        </x:is>
      </x:c>
      <x:c r="C253" s="31" t="inlineStr">
        <x:is>
          <x:t xml:space="preserve">ИЗД-012</x:t>
        </x:is>
      </x:c>
      <x:c r="D253" s="31" t="inlineStr">
        <x:is>
          <x:t xml:space="preserve">Трубная обвязка СТК-112</x:t>
        </x:is>
      </x:c>
      <x:c r="E253" s="31" t="n">
        <x:v>2</x:v>
      </x:c>
      <x:c r="F253" s="31" t="n">
        <x:v>507213</x:v>
      </x:c>
      <x:c r="G253" s="31" t="n">
        <x:v>5</x:v>
      </x:c>
      <x:c r="H253" s="31" t="n">
        <x:v>963705</x:v>
      </x:c>
      <x:c r="I253" s="31" t="n">
        <x:v>334352</x:v>
      </x:c>
      <x:c r="J253" s="31" t="n">
        <x:v>106639</x:v>
      </x:c>
      <x:c r="K253" s="31" t="n">
        <x:v>53622</x:v>
      </x:c>
      <x:c r="L253" s="31" t="n">
        <x:v>469092</x:v>
      </x:c>
      <x:c r="M253" s="31" t="n">
        <x:v>0.487</x:v>
      </x:c>
      <x:c r="N253" s="31" t="inlineStr">
        <x:is>
          <x:t xml:space="preserve">Стандарт</x:t>
        </x:is>
      </x:c>
      <x:c r="O253" s="31" t="n">
        <x:v>46110</x:v>
      </x:c>
      <x:c r="P253" s="31" t="inlineStr">
        <x:is>
          <x:t xml:space="preserve">Спецификация 1</x:t>
        </x:is>
      </x:c>
    </x:row>
    <x:row r="254" ht="18" customHeight="1">
      <x:c r="A254" s="31" t="inlineStr">
        <x:is>
          <x:t xml:space="preserve">ПОЗ-0101-1</x:t>
        </x:is>
      </x:c>
      <x:c r="B254" s="31" t="inlineStr">
        <x:is>
          <x:t xml:space="preserve">ЗК-1101</x:t>
        </x:is>
      </x:c>
      <x:c r="C254" s="31" t="inlineStr">
        <x:is>
          <x:t xml:space="preserve">ИЗД-041</x:t>
        </x:is>
      </x:c>
      <x:c r="D254" s="31" t="inlineStr">
        <x:is>
          <x:t xml:space="preserve">Рама-основание СТК-141</x:t>
        </x:is>
      </x:c>
      <x:c r="E254" s="31" t="n">
        <x:v>4</x:v>
      </x:c>
      <x:c r="F254" s="31" t="n">
        <x:v>231941</x:v>
      </x:c>
      <x:c r="G254" s="31" t="n">
        <x:v>0</x:v>
      </x:c>
      <x:c r="H254" s="31" t="n">
        <x:v>927764</x:v>
      </x:c>
      <x:c r="I254" s="31" t="n">
        <x:v>373722</x:v>
      </x:c>
      <x:c r="J254" s="31" t="n">
        <x:v>137763</x:v>
      </x:c>
      <x:c r="K254" s="31" t="n">
        <x:v>97190</x:v>
      </x:c>
      <x:c r="L254" s="31" t="n">
        <x:v>319089</x:v>
      </x:c>
      <x:c r="M254" s="31" t="n">
        <x:v>0.344</x:v>
      </x:c>
      <x:c r="N254" s="31" t="inlineStr">
        <x:is>
          <x:t xml:space="preserve">Стандарт</x:t>
        </x:is>
      </x:c>
      <x:c r="O254" s="31" t="n">
        <x:v>46191</x:v>
      </x:c>
      <x:c r="P254" s="31" t="inlineStr">
        <x:is>
          <x:t xml:space="preserve">Спецификация 2</x:t>
        </x:is>
      </x:c>
    </x:row>
    <x:row r="255" ht="18" customHeight="1">
      <x:c r="A255" s="31" t="inlineStr">
        <x:is>
          <x:t xml:space="preserve">ПОЗ-0101-2</x:t>
        </x:is>
      </x:c>
      <x:c r="B255" s="31" t="inlineStr">
        <x:is>
          <x:t xml:space="preserve">ЗК-1101</x:t>
        </x:is>
      </x:c>
      <x:c r="C255" s="31" t="inlineStr">
        <x:is>
          <x:t xml:space="preserve">ИЗД-040</x:t>
        </x:is>
      </x:c>
      <x:c r="D255" s="31" t="inlineStr">
        <x:is>
          <x:t xml:space="preserve">Блок дозирования СТК-140</x:t>
        </x:is>
      </x:c>
      <x:c r="E255" s="31" t="n">
        <x:v>4</x:v>
      </x:c>
      <x:c r="F255" s="31" t="n">
        <x:v>954254</x:v>
      </x:c>
      <x:c r="G255" s="31" t="n">
        <x:v>7</x:v>
      </x:c>
      <x:c r="H255" s="31" t="n">
        <x:v>3549825</x:v>
      </x:c>
      <x:c r="I255" s="31" t="n">
        <x:v>1489096</x:v>
      </x:c>
      <x:c r="J255" s="31" t="n">
        <x:v>296043</x:v>
      </x:c>
      <x:c r="K255" s="31" t="n">
        <x:v>351929</x:v>
      </x:c>
      <x:c r="L255" s="31" t="n">
        <x:v>1412757</x:v>
      </x:c>
      <x:c r="M255" s="31" t="n">
        <x:v>0.398</x:v>
      </x:c>
      <x:c r="N255" s="31" t="inlineStr">
        <x:is>
          <x:t xml:space="preserve">Стандарт</x:t>
        </x:is>
      </x:c>
      <x:c r="O255" s="31" t="n">
        <x:v>46191</x:v>
      </x:c>
      <x:c r="P255" s="31" t="inlineStr">
        <x:is>
          <x:t xml:space="preserve">Спецификация 1</x:t>
        </x:is>
      </x:c>
    </x:row>
    <x:row r="256" ht="18" customHeight="1">
      <x:c r="A256" s="31" t="inlineStr">
        <x:is>
          <x:t xml:space="preserve">ПОЗ-0102-1</x:t>
        </x:is>
      </x:c>
      <x:c r="B256" s="31" t="inlineStr">
        <x:is>
          <x:t xml:space="preserve">ЗК-1102</x:t>
        </x:is>
      </x:c>
      <x:c r="C256" s="31" t="inlineStr">
        <x:is>
          <x:t xml:space="preserve">ИЗД-043</x:t>
        </x:is>
      </x:c>
      <x:c r="D256" s="31" t="inlineStr">
        <x:is>
          <x:t xml:space="preserve">Насосная станция СТК-143</x:t>
        </x:is>
      </x:c>
      <x:c r="E256" s="31" t="n">
        <x:v>1</x:v>
      </x:c>
      <x:c r="F256" s="31" t="n">
        <x:v>938058</x:v>
      </x:c>
      <x:c r="G256" s="31" t="n">
        <x:v>0</x:v>
      </x:c>
      <x:c r="H256" s="31" t="n">
        <x:v>938058</x:v>
      </x:c>
      <x:c r="I256" s="31" t="n">
        <x:v>392648</x:v>
      </x:c>
      <x:c r="J256" s="31" t="n">
        <x:v>77600</x:v>
      </x:c>
      <x:c r="K256" s="31" t="n">
        <x:v>100957</x:v>
      </x:c>
      <x:c r="L256" s="31" t="n">
        <x:v>366853</x:v>
      </x:c>
      <x:c r="M256" s="31" t="n">
        <x:v>0.391</x:v>
      </x:c>
      <x:c r="N256" s="31" t="inlineStr">
        <x:is>
          <x:t xml:space="preserve">Стандарт</x:t>
        </x:is>
      </x:c>
      <x:c r="O256" s="31" t="n">
        <x:v>46223</x:v>
      </x:c>
      <x:c r="P256" s="31" t="inlineStr">
        <x:is>
          <x:t xml:space="preserve">Спецификация 4</x:t>
        </x:is>
      </x:c>
    </x:row>
    <x:row r="257" ht="18" customHeight="1">
      <x:c r="A257" s="31" t="inlineStr">
        <x:is>
          <x:t xml:space="preserve">ПОЗ-0102-2</x:t>
        </x:is>
      </x:c>
      <x:c r="B257" s="31" t="inlineStr">
        <x:is>
          <x:t xml:space="preserve">ЗК-1102</x:t>
        </x:is>
      </x:c>
      <x:c r="C257" s="31" t="inlineStr">
        <x:is>
          <x:t xml:space="preserve">ИЗД-036</x:t>
        </x:is>
      </x:c>
      <x:c r="D257" s="31" t="inlineStr">
        <x:is>
          <x:t xml:space="preserve">Шкаф управления СТК-136</x:t>
        </x:is>
      </x:c>
      <x:c r="E257" s="31" t="n">
        <x:v>1</x:v>
      </x:c>
      <x:c r="F257" s="31" t="n">
        <x:v>791869</x:v>
      </x:c>
      <x:c r="G257" s="31" t="n">
        <x:v>7</x:v>
      </x:c>
      <x:c r="H257" s="31" t="n">
        <x:v>736438</x:v>
      </x:c>
      <x:c r="I257" s="31" t="n">
        <x:v>353469</x:v>
      </x:c>
      <x:c r="J257" s="31" t="n">
        <x:v>105297</x:v>
      </x:c>
      <x:c r="K257" s="31" t="n">
        <x:v>77017</x:v>
      </x:c>
      <x:c r="L257" s="31" t="n">
        <x:v>200655</x:v>
      </x:c>
      <x:c r="M257" s="31" t="n">
        <x:v>0.272</x:v>
      </x:c>
      <x:c r="N257" s="31" t="inlineStr">
        <x:is>
          <x:t xml:space="preserve">Нестандарт</x:t>
        </x:is>
      </x:c>
      <x:c r="O257" s="31" t="n">
        <x:v>46223</x:v>
      </x:c>
      <x:c r="P257" s="31" t="inlineStr">
        <x:is>
          <x:t xml:space="preserve">Спецификация 1</x:t>
        </x:is>
      </x:c>
    </x:row>
    <x:row r="258" ht="18" customHeight="1">
      <x:c r="A258" s="31" t="inlineStr">
        <x:is>
          <x:t xml:space="preserve">ПОЗ-0102-3</x:t>
        </x:is>
      </x:c>
      <x:c r="B258" s="31" t="inlineStr">
        <x:is>
          <x:t xml:space="preserve">ЗК-1102</x:t>
        </x:is>
      </x:c>
      <x:c r="C258" s="31" t="inlineStr">
        <x:is>
          <x:t xml:space="preserve">ИЗД-025</x:t>
        </x:is>
      </x:c>
      <x:c r="D258" s="31" t="inlineStr">
        <x:is>
          <x:t xml:space="preserve">Блок дозирования СТК-125</x:t>
        </x:is>
      </x:c>
      <x:c r="E258" s="31" t="n">
        <x:v>5</x:v>
      </x:c>
      <x:c r="F258" s="31" t="n">
        <x:v>1044140</x:v>
      </x:c>
      <x:c r="G258" s="31" t="n">
        <x:v>5</x:v>
      </x:c>
      <x:c r="H258" s="31" t="n">
        <x:v>4959665</x:v>
      </x:c>
      <x:c r="I258" s="31" t="n">
        <x:v>2599922</x:v>
      </x:c>
      <x:c r="J258" s="31" t="n">
        <x:v>598481</x:v>
      </x:c>
      <x:c r="K258" s="31" t="n">
        <x:v>456946</x:v>
      </x:c>
      <x:c r="L258" s="31" t="n">
        <x:v>1304316</x:v>
      </x:c>
      <x:c r="M258" s="31" t="n">
        <x:v>0.263</x:v>
      </x:c>
      <x:c r="N258" s="31" t="inlineStr">
        <x:is>
          <x:t xml:space="preserve">Стандарт</x:t>
        </x:is>
      </x:c>
      <x:c r="O258" s="31" t="n">
        <x:v>46223</x:v>
      </x:c>
      <x:c r="P258" s="31" t="inlineStr">
        <x:is>
          <x:t xml:space="preserve">Спецификация 2</x:t>
        </x:is>
      </x:c>
    </x:row>
    <x:row r="259" ht="18" customHeight="1">
      <x:c r="A259" s="31" t="inlineStr">
        <x:is>
          <x:t xml:space="preserve">ПОЗ-0102-4</x:t>
        </x:is>
      </x:c>
      <x:c r="B259" s="31" t="inlineStr">
        <x:is>
          <x:t xml:space="preserve">ЗК-1102</x:t>
        </x:is>
      </x:c>
      <x:c r="C259" s="31" t="inlineStr">
        <x:is>
          <x:t xml:space="preserve">ИЗД-029</x:t>
        </x:is>
      </x:c>
      <x:c r="D259" s="31" t="inlineStr">
        <x:is>
          <x:t xml:space="preserve">Компрессорный модуль СТК-129</x:t>
        </x:is>
      </x:c>
      <x:c r="E259" s="31" t="n">
        <x:v>3</x:v>
      </x:c>
      <x:c r="F259" s="31" t="n">
        <x:v>3766775</x:v>
      </x:c>
      <x:c r="G259" s="31" t="n">
        <x:v>3</x:v>
      </x:c>
      <x:c r="H259" s="31" t="n">
        <x:v>10961315</x:v>
      </x:c>
      <x:c r="I259" s="31" t="n">
        <x:v>3851524</x:v>
      </x:c>
      <x:c r="J259" s="31" t="n">
        <x:v>1698809</x:v>
      </x:c>
      <x:c r="K259" s="31" t="n">
        <x:v>828447</x:v>
      </x:c>
      <x:c r="L259" s="31" t="n">
        <x:v>4582535</x:v>
      </x:c>
      <x:c r="M259" s="31" t="n">
        <x:v>0.418</x:v>
      </x:c>
      <x:c r="N259" s="31" t="inlineStr">
        <x:is>
          <x:t xml:space="preserve">Стандарт</x:t>
        </x:is>
      </x:c>
      <x:c r="O259" s="31" t="n">
        <x:v>46223</x:v>
      </x:c>
      <x:c r="P259" s="31" t="inlineStr">
        <x:is>
          <x:t xml:space="preserve">Спецификация 1</x:t>
        </x:is>
      </x:c>
    </x:row>
    <x:row r="260" ht="18" customHeight="1">
      <x:c r="A260" s="31" t="inlineStr">
        <x:is>
          <x:t xml:space="preserve">ПОЗ-0103-1</x:t>
        </x:is>
      </x:c>
      <x:c r="B260" s="31" t="inlineStr">
        <x:is>
          <x:t xml:space="preserve">ЗК-1103</x:t>
        </x:is>
      </x:c>
      <x:c r="C260" s="31" t="inlineStr">
        <x:is>
          <x:t xml:space="preserve">ИЗД-038</x:t>
        </x:is>
      </x:c>
      <x:c r="D260" s="31" t="inlineStr">
        <x:is>
          <x:t xml:space="preserve">Трубная обвязка СТК-138</x:t>
        </x:is>
      </x:c>
      <x:c r="E260" s="31" t="n">
        <x:v>2</x:v>
      </x:c>
      <x:c r="F260" s="31" t="n">
        <x:v>443434</x:v>
      </x:c>
      <x:c r="G260" s="31" t="n">
        <x:v>5</x:v>
      </x:c>
      <x:c r="H260" s="31" t="n">
        <x:v>842525</x:v>
      </x:c>
      <x:c r="I260" s="31" t="n">
        <x:v>396847</x:v>
      </x:c>
      <x:c r="J260" s="31" t="n">
        <x:v>62556</x:v>
      </x:c>
      <x:c r="K260" s="31" t="n">
        <x:v>57441</x:v>
      </x:c>
      <x:c r="L260" s="31" t="n">
        <x:v>325681</x:v>
      </x:c>
      <x:c r="M260" s="31" t="n">
        <x:v>0.387</x:v>
      </x:c>
      <x:c r="N260" s="31" t="inlineStr">
        <x:is>
          <x:t xml:space="preserve">Стандарт</x:t>
        </x:is>
      </x:c>
      <x:c r="O260" s="31" t="n">
        <x:v>46235</x:v>
      </x:c>
      <x:c r="P260" s="31" t="inlineStr">
        <x:is>
          <x:t xml:space="preserve">Спецификация 1</x:t>
        </x:is>
      </x:c>
    </x:row>
    <x:row r="261" ht="18" customHeight="1">
      <x:c r="A261" s="31" t="inlineStr">
        <x:is>
          <x:t xml:space="preserve">ПОЗ-0103-2</x:t>
        </x:is>
      </x:c>
      <x:c r="B261" s="31" t="inlineStr">
        <x:is>
          <x:t xml:space="preserve">ЗК-1103</x:t>
        </x:is>
      </x:c>
      <x:c r="C261" s="31" t="inlineStr">
        <x:is>
          <x:t xml:space="preserve">ИЗД-037</x:t>
        </x:is>
      </x:c>
      <x:c r="D261" s="31" t="inlineStr">
        <x:is>
          <x:t xml:space="preserve">Трубная обвязка СТК-137</x:t>
        </x:is>
      </x:c>
      <x:c r="E261" s="31" t="n">
        <x:v>4</x:v>
      </x:c>
      <x:c r="F261" s="31" t="n">
        <x:v>224961</x:v>
      </x:c>
      <x:c r="G261" s="31" t="n">
        <x:v>3</x:v>
      </x:c>
      <x:c r="H261" s="31" t="n">
        <x:v>872849</x:v>
      </x:c>
      <x:c r="I261" s="31" t="n">
        <x:v>340467</x:v>
      </x:c>
      <x:c r="J261" s="31" t="n">
        <x:v>90230</x:v>
      </x:c>
      <x:c r="K261" s="31" t="n">
        <x:v>80259</x:v>
      </x:c>
      <x:c r="L261" s="31" t="n">
        <x:v>361893</x:v>
      </x:c>
      <x:c r="M261" s="31" t="n">
        <x:v>0.415</x:v>
      </x:c>
      <x:c r="N261" s="31" t="inlineStr">
        <x:is>
          <x:t xml:space="preserve">Замена материала</x:t>
        </x:is>
      </x:c>
      <x:c r="O261" s="31" t="n">
        <x:v>46235</x:v>
      </x:c>
      <x:c r="P261" s="31" t="inlineStr">
        <x:is>
          <x:t xml:space="preserve">Спецификация 1</x:t>
        </x:is>
      </x:c>
    </x:row>
    <x:row r="262" ht="18" customHeight="1">
      <x:c r="A262" s="31" t="inlineStr">
        <x:is>
          <x:t xml:space="preserve">ПОЗ-0103-3</x:t>
        </x:is>
      </x:c>
      <x:c r="B262" s="31" t="inlineStr">
        <x:is>
          <x:t xml:space="preserve">ЗК-1103</x:t>
        </x:is>
      </x:c>
      <x:c r="C262" s="31" t="inlineStr">
        <x:is>
          <x:t xml:space="preserve">ИЗД-035</x:t>
        </x:is>
      </x:c>
      <x:c r="D262" s="31" t="inlineStr">
        <x:is>
          <x:t xml:space="preserve">Компрессорный модуль СТК-135</x:t>
        </x:is>
      </x:c>
      <x:c r="E262" s="31" t="n">
        <x:v>4</x:v>
      </x:c>
      <x:c r="F262" s="31" t="n">
        <x:v>3419094</x:v>
      </x:c>
      <x:c r="G262" s="31" t="n">
        <x:v>7</x:v>
      </x:c>
      <x:c r="H262" s="31" t="n">
        <x:v>12719030</x:v>
      </x:c>
      <x:c r="I262" s="31" t="n">
        <x:v>5901698</x:v>
      </x:c>
      <x:c r="J262" s="31" t="n">
        <x:v>973854</x:v>
      </x:c>
      <x:c r="K262" s="31" t="n">
        <x:v>791333</x:v>
      </x:c>
      <x:c r="L262" s="31" t="n">
        <x:v>5052145</x:v>
      </x:c>
      <x:c r="M262" s="31" t="n">
        <x:v>0.397</x:v>
      </x:c>
      <x:c r="N262" s="31" t="inlineStr">
        <x:is>
          <x:t xml:space="preserve">Стандарт</x:t>
        </x:is>
      </x:c>
      <x:c r="O262" s="31" t="n">
        <x:v>46235</x:v>
      </x:c>
      <x:c r="P262" s="31" t="inlineStr">
        <x:is>
          <x:t xml:space="preserve">Спецификация 1</x:t>
        </x:is>
      </x:c>
    </x:row>
    <x:row r="263" ht="18" customHeight="1">
      <x:c r="A263" s="31" t="inlineStr">
        <x:is>
          <x:t xml:space="preserve">ПОЗ-0104-1</x:t>
        </x:is>
      </x:c>
      <x:c r="B263" s="31" t="inlineStr">
        <x:is>
          <x:t xml:space="preserve">ЗК-1104</x:t>
        </x:is>
      </x:c>
      <x:c r="C263" s="31" t="inlineStr">
        <x:is>
          <x:t xml:space="preserve">ИЗД-010</x:t>
        </x:is>
      </x:c>
      <x:c r="D263" s="31" t="inlineStr">
        <x:is>
          <x:t xml:space="preserve">Шкаф управления СТК-110</x:t>
        </x:is>
      </x:c>
      <x:c r="E263" s="31" t="n">
        <x:v>2</x:v>
      </x:c>
      <x:c r="F263" s="31" t="n">
        <x:v>805598</x:v>
      </x:c>
      <x:c r="G263" s="31" t="n">
        <x:v>0</x:v>
      </x:c>
      <x:c r="H263" s="31" t="n">
        <x:v>1611196</x:v>
      </x:c>
      <x:c r="I263" s="31" t="n">
        <x:v>749015</x:v>
      </x:c>
      <x:c r="J263" s="31" t="n">
        <x:v>211446</x:v>
      </x:c>
      <x:c r="K263" s="31" t="n">
        <x:v>149213</x:v>
      </x:c>
      <x:c r="L263" s="31" t="n">
        <x:v>501522</x:v>
      </x:c>
      <x:c r="M263" s="31" t="n">
        <x:v>0.311</x:v>
      </x:c>
      <x:c r="N263" s="31" t="inlineStr">
        <x:is>
          <x:t xml:space="preserve">Замена материала</x:t>
        </x:is>
      </x:c>
      <x:c r="O263" s="31" t="n">
        <x:v>46097</x:v>
      </x:c>
      <x:c r="P263" s="31" t="inlineStr">
        <x:is>
          <x:t xml:space="preserve">Спецификация 3</x:t>
        </x:is>
      </x:c>
    </x:row>
    <x:row r="264" ht="18" customHeight="1">
      <x:c r="A264" s="31" t="inlineStr">
        <x:is>
          <x:t xml:space="preserve">ПОЗ-0104-2</x:t>
        </x:is>
      </x:c>
      <x:c r="B264" s="31" t="inlineStr">
        <x:is>
          <x:t xml:space="preserve">ЗК-1104</x:t>
        </x:is>
      </x:c>
      <x:c r="C264" s="31" t="inlineStr">
        <x:is>
          <x:t xml:space="preserve">ИЗД-039</x:t>
        </x:is>
      </x:c>
      <x:c r="D264" s="31" t="inlineStr">
        <x:is>
          <x:t xml:space="preserve">Рама-основание СТК-139</x:t>
        </x:is>
      </x:c>
      <x:c r="E264" s="31" t="n">
        <x:v>2</x:v>
      </x:c>
      <x:c r="F264" s="31" t="n">
        <x:v>224987</x:v>
      </x:c>
      <x:c r="G264" s="31" t="n">
        <x:v>5</x:v>
      </x:c>
      <x:c r="H264" s="31" t="n">
        <x:v>427475</x:v>
      </x:c>
      <x:c r="I264" s="31" t="n">
        <x:v>233963</x:v>
      </x:c>
      <x:c r="J264" s="31" t="n">
        <x:v>45666</x:v>
      </x:c>
      <x:c r="K264" s="31" t="n">
        <x:v>21636</x:v>
      </x:c>
      <x:c r="L264" s="31" t="n">
        <x:v>126210</x:v>
      </x:c>
      <x:c r="M264" s="31" t="n">
        <x:v>0.295</x:v>
      </x:c>
      <x:c r="N264" s="31" t="inlineStr">
        <x:is>
          <x:t xml:space="preserve">Нестандарт</x:t>
        </x:is>
      </x:c>
      <x:c r="O264" s="31" t="n">
        <x:v>46097</x:v>
      </x:c>
      <x:c r="P264" s="31" t="inlineStr">
        <x:is>
          <x:t xml:space="preserve">Спецификация 4</x:t>
        </x:is>
      </x:c>
    </x:row>
    <x:row r="265" ht="18" customHeight="1">
      <x:c r="A265" s="31" t="inlineStr">
        <x:is>
          <x:t xml:space="preserve">ПОЗ-0105-1</x:t>
        </x:is>
      </x:c>
      <x:c r="B265" s="31" t="inlineStr">
        <x:is>
          <x:t xml:space="preserve">ЗК-1105</x:t>
        </x:is>
      </x:c>
      <x:c r="C265" s="31" t="inlineStr">
        <x:is>
          <x:t xml:space="preserve">ИЗД-012</x:t>
        </x:is>
      </x:c>
      <x:c r="D265" s="31" t="inlineStr">
        <x:is>
          <x:t xml:space="preserve">Трубная обвязка СТК-112</x:t>
        </x:is>
      </x:c>
      <x:c r="E265" s="31" t="n">
        <x:v>5</x:v>
      </x:c>
      <x:c r="F265" s="31" t="n">
        <x:v>504107</x:v>
      </x:c>
      <x:c r="G265" s="31" t="n">
        <x:v>10</x:v>
      </x:c>
      <x:c r="H265" s="31" t="n">
        <x:v>2268482</x:v>
      </x:c>
      <x:c r="I265" s="31" t="n">
        <x:v>842711</x:v>
      </x:c>
      <x:c r="J265" s="31" t="n">
        <x:v>297810</x:v>
      </x:c>
      <x:c r="K265" s="31" t="n">
        <x:v>240090</x:v>
      </x:c>
      <x:c r="L265" s="31" t="n">
        <x:v>887871</x:v>
      </x:c>
      <x:c r="M265" s="31" t="n">
        <x:v>0.391</x:v>
      </x:c>
      <x:c r="N265" s="31" t="inlineStr">
        <x:is>
          <x:t xml:space="preserve">Стандарт</x:t>
        </x:is>
      </x:c>
      <x:c r="O265" s="31" t="n">
        <x:v>46121</x:v>
      </x:c>
      <x:c r="P265" s="31" t="inlineStr">
        <x:is>
          <x:t xml:space="preserve">Спецификация 3</x:t>
        </x:is>
      </x:c>
    </x:row>
    <x:row r="266" ht="18" customHeight="1">
      <x:c r="A266" s="31" t="inlineStr">
        <x:is>
          <x:t xml:space="preserve">ПОЗ-0106-1</x:t>
        </x:is>
      </x:c>
      <x:c r="B266" s="31" t="inlineStr">
        <x:is>
          <x:t xml:space="preserve">ЗК-1106</x:t>
        </x:is>
      </x:c>
      <x:c r="C266" s="31" t="inlineStr">
        <x:is>
          <x:t xml:space="preserve">ИЗД-025</x:t>
        </x:is>
      </x:c>
      <x:c r="D266" s="31" t="inlineStr">
        <x:is>
          <x:t xml:space="preserve">Блок дозирования СТК-125</x:t>
        </x:is>
      </x:c>
      <x:c r="E266" s="31" t="n">
        <x:v>2</x:v>
      </x:c>
      <x:c r="F266" s="31" t="n">
        <x:v>1042027</x:v>
      </x:c>
      <x:c r="G266" s="31" t="n">
        <x:v>5</x:v>
      </x:c>
      <x:c r="H266" s="31" t="n">
        <x:v>1979851</x:v>
      </x:c>
      <x:c r="I266" s="31" t="n">
        <x:v>772531</x:v>
      </x:c>
      <x:c r="J266" s="31" t="n">
        <x:v>216270</x:v>
      </x:c>
      <x:c r="K266" s="31" t="n">
        <x:v>143052</x:v>
      </x:c>
      <x:c r="L266" s="31" t="n">
        <x:v>847998</x:v>
      </x:c>
      <x:c r="M266" s="31" t="n">
        <x:v>0.428</x:v>
      </x:c>
      <x:c r="N266" s="31" t="inlineStr">
        <x:is>
          <x:t xml:space="preserve">Нестандарт</x:t>
        </x:is>
      </x:c>
      <x:c r="O266" s="31" t="n">
        <x:v>46171</x:v>
      </x:c>
      <x:c r="P266" s="31" t="inlineStr">
        <x:is>
          <x:t xml:space="preserve">Спецификация 4</x:t>
        </x:is>
      </x:c>
    </x:row>
    <x:row r="267" ht="18" customHeight="1">
      <x:c r="A267" s="31" t="inlineStr">
        <x:is>
          <x:t xml:space="preserve">ПОЗ-0107-1</x:t>
        </x:is>
      </x:c>
      <x:c r="B267" s="31" t="inlineStr">
        <x:is>
          <x:t xml:space="preserve">ЗК-1107</x:t>
        </x:is>
      </x:c>
      <x:c r="C267" s="31" t="inlineStr">
        <x:is>
          <x:t xml:space="preserve">ИЗД-030</x:t>
        </x:is>
      </x:c>
      <x:c r="D267" s="31" t="inlineStr">
        <x:is>
          <x:t xml:space="preserve">Насосная станция СТК-130</x:t>
        </x:is>
      </x:c>
      <x:c r="E267" s="31" t="n">
        <x:v>1</x:v>
      </x:c>
      <x:c r="F267" s="31" t="n">
        <x:v>2486681</x:v>
      </x:c>
      <x:c r="G267" s="31" t="n">
        <x:v>0</x:v>
      </x:c>
      <x:c r="H267" s="31" t="n">
        <x:v>2486681</x:v>
      </x:c>
      <x:c r="I267" s="31" t="n">
        <x:v>1012815</x:v>
      </x:c>
      <x:c r="J267" s="31" t="n">
        <x:v>188312</x:v>
      </x:c>
      <x:c r="K267" s="31" t="n">
        <x:v>151782</x:v>
      </x:c>
      <x:c r="L267" s="31" t="n">
        <x:v>1133772</x:v>
      </x:c>
      <x:c r="M267" s="31" t="n">
        <x:v>0.456</x:v>
      </x:c>
      <x:c r="N267" s="31" t="inlineStr">
        <x:is>
          <x:t xml:space="preserve">Стандарт</x:t>
        </x:is>
      </x:c>
      <x:c r="O267" s="31" t="n">
        <x:v>46225</x:v>
      </x:c>
      <x:c r="P267" s="31" t="inlineStr">
        <x:is>
          <x:t xml:space="preserve">Спецификация 4</x:t>
        </x:is>
      </x:c>
    </x:row>
    <x:row r="268" ht="18" customHeight="1">
      <x:c r="A268" s="31" t="inlineStr">
        <x:is>
          <x:t xml:space="preserve">ПОЗ-0107-2</x:t>
        </x:is>
      </x:c>
      <x:c r="B268" s="31" t="inlineStr">
        <x:is>
          <x:t xml:space="preserve">ЗК-1107</x:t>
        </x:is>
      </x:c>
      <x:c r="C268" s="31" t="inlineStr">
        <x:is>
          <x:t xml:space="preserve">ИЗД-013</x:t>
        </x:is>
      </x:c>
      <x:c r="D268" s="31" t="inlineStr">
        <x:is>
          <x:t xml:space="preserve">Рама-основание СТК-113</x:t>
        </x:is>
      </x:c>
      <x:c r="E268" s="31" t="n">
        <x:v>1</x:v>
      </x:c>
      <x:c r="F268" s="31" t="n">
        <x:v>388334</x:v>
      </x:c>
      <x:c r="G268" s="31" t="n">
        <x:v>0</x:v>
      </x:c>
      <x:c r="H268" s="31" t="n">
        <x:v>388334</x:v>
      </x:c>
      <x:c r="I268" s="31" t="n">
        <x:v>148387</x:v>
      </x:c>
      <x:c r="J268" s="31" t="n">
        <x:v>45656</x:v>
      </x:c>
      <x:c r="K268" s="31" t="n">
        <x:v>32391</x:v>
      </x:c>
      <x:c r="L268" s="31" t="n">
        <x:v>161900</x:v>
      </x:c>
      <x:c r="M268" s="31" t="n">
        <x:v>0.417</x:v>
      </x:c>
      <x:c r="N268" s="31" t="inlineStr">
        <x:is>
          <x:t xml:space="preserve">Стандарт</x:t>
        </x:is>
      </x:c>
      <x:c r="O268" s="31" t="n">
        <x:v>46225</x:v>
      </x:c>
      <x:c r="P268" s="31" t="inlineStr">
        <x:is>
          <x:t xml:space="preserve">Спецификация 3</x:t>
        </x:is>
      </x:c>
    </x:row>
    <x:row r="269" ht="18" customHeight="1">
      <x:c r="A269" s="31" t="inlineStr">
        <x:is>
          <x:t xml:space="preserve">ПОЗ-0107-3</x:t>
        </x:is>
      </x:c>
      <x:c r="B269" s="31" t="inlineStr">
        <x:is>
          <x:t xml:space="preserve">ЗК-1107</x:t>
        </x:is>
      </x:c>
      <x:c r="C269" s="31" t="inlineStr">
        <x:is>
          <x:t xml:space="preserve">ИЗД-042</x:t>
        </x:is>
      </x:c>
      <x:c r="D269" s="31" t="inlineStr">
        <x:is>
          <x:t xml:space="preserve">Шкаф управления СТК-142</x:t>
        </x:is>
      </x:c>
      <x:c r="E269" s="31" t="n">
        <x:v>1</x:v>
      </x:c>
      <x:c r="F269" s="31" t="n">
        <x:v>641457</x:v>
      </x:c>
      <x:c r="G269" s="31" t="n">
        <x:v>0</x:v>
      </x:c>
      <x:c r="H269" s="31" t="n">
        <x:v>641457</x:v>
      </x:c>
      <x:c r="I269" s="31" t="n">
        <x:v>266124</x:v>
      </x:c>
      <x:c r="J269" s="31" t="n">
        <x:v>45910</x:v>
      </x:c>
      <x:c r="K269" s="31" t="n">
        <x:v>59802</x:v>
      </x:c>
      <x:c r="L269" s="31" t="n">
        <x:v>269621</x:v>
      </x:c>
      <x:c r="M269" s="31" t="n">
        <x:v>0.42</x:v>
      </x:c>
      <x:c r="N269" s="31" t="inlineStr">
        <x:is>
          <x:t xml:space="preserve">Нестандарт</x:t>
        </x:is>
      </x:c>
      <x:c r="O269" s="31" t="n">
        <x:v>46225</x:v>
      </x:c>
      <x:c r="P269" s="31" t="inlineStr">
        <x:is>
          <x:t xml:space="preserve">Спецификация 3</x:t>
        </x:is>
      </x:c>
    </x:row>
    <x:row r="270" ht="18" customHeight="1">
      <x:c r="A270" s="31" t="inlineStr">
        <x:is>
          <x:t xml:space="preserve">ПОЗ-0108-1</x:t>
        </x:is>
      </x:c>
      <x:c r="B270" s="31" t="inlineStr">
        <x:is>
          <x:t xml:space="preserve">ЗК-1108</x:t>
        </x:is>
      </x:c>
      <x:c r="C270" s="31" t="inlineStr">
        <x:is>
          <x:t xml:space="preserve">ИЗД-002</x:t>
        </x:is>
      </x:c>
      <x:c r="D270" s="31" t="inlineStr">
        <x:is>
          <x:t xml:space="preserve">Шкаф управления СТК-102</x:t>
        </x:is>
      </x:c>
      <x:c r="E270" s="31" t="n">
        <x:v>4</x:v>
      </x:c>
      <x:c r="F270" s="31" t="n">
        <x:v>702968</x:v>
      </x:c>
      <x:c r="G270" s="31" t="n">
        <x:v>5</x:v>
      </x:c>
      <x:c r="H270" s="31" t="n">
        <x:v>2671278</x:v>
      </x:c>
      <x:c r="I270" s="31" t="n">
        <x:v>1067787</x:v>
      </x:c>
      <x:c r="J270" s="31" t="n">
        <x:v>335097</x:v>
      </x:c>
      <x:c r="K270" s="31" t="n">
        <x:v>205636</x:v>
      </x:c>
      <x:c r="L270" s="31" t="n">
        <x:v>1062758</x:v>
      </x:c>
      <x:c r="M270" s="31" t="n">
        <x:v>0.398</x:v>
      </x:c>
      <x:c r="N270" s="31" t="inlineStr">
        <x:is>
          <x:t xml:space="preserve">Нестандарт</x:t>
        </x:is>
      </x:c>
      <x:c r="O270" s="31" t="n">
        <x:v>46172</x:v>
      </x:c>
      <x:c r="P270" s="31" t="inlineStr">
        <x:is>
          <x:t xml:space="preserve">Спецификация 4</x:t>
        </x:is>
      </x:c>
    </x:row>
    <x:row r="271" ht="18" customHeight="1">
      <x:c r="A271" s="31" t="inlineStr">
        <x:is>
          <x:t xml:space="preserve">ПОЗ-0109-1</x:t>
        </x:is>
      </x:c>
      <x:c r="B271" s="31" t="inlineStr">
        <x:is>
          <x:t xml:space="preserve">ЗК-1109</x:t>
        </x:is>
      </x:c>
      <x:c r="C271" s="31" t="inlineStr">
        <x:is>
          <x:t xml:space="preserve">ИЗД-011</x:t>
        </x:is>
      </x:c>
      <x:c r="D271" s="31" t="inlineStr">
        <x:is>
          <x:t xml:space="preserve">Шкаф управления СТК-111</x:t>
        </x:is>
      </x:c>
      <x:c r="E271" s="31" t="n">
        <x:v>4</x:v>
      </x:c>
      <x:c r="F271" s="31" t="n">
        <x:v>246705</x:v>
      </x:c>
      <x:c r="G271" s="31" t="n">
        <x:v>0</x:v>
      </x:c>
      <x:c r="H271" s="31" t="n">
        <x:v>986820</x:v>
      </x:c>
      <x:c r="I271" s="31" t="n">
        <x:v>459470</x:v>
      </x:c>
      <x:c r="J271" s="31" t="n">
        <x:v>132196</x:v>
      </x:c>
      <x:c r="K271" s="31" t="n">
        <x:v>81403</x:v>
      </x:c>
      <x:c r="L271" s="31" t="n">
        <x:v>313751</x:v>
      </x:c>
      <x:c r="M271" s="31" t="n">
        <x:v>0.318</x:v>
      </x:c>
      <x:c r="N271" s="31" t="inlineStr">
        <x:is>
          <x:t xml:space="preserve">Стандарт</x:t>
        </x:is>
      </x:c>
      <x:c r="O271" s="31" t="n">
        <x:v>46263</x:v>
      </x:c>
      <x:c r="P271" s="31" t="inlineStr">
        <x:is>
          <x:t xml:space="preserve">Спецификация 4</x:t>
        </x:is>
      </x:c>
    </x:row>
    <x:row r="272" ht="18" customHeight="1">
      <x:c r="A272" s="31" t="inlineStr">
        <x:is>
          <x:t xml:space="preserve">ПОЗ-0109-2</x:t>
        </x:is>
      </x:c>
      <x:c r="B272" s="31" t="inlineStr">
        <x:is>
          <x:t xml:space="preserve">ЗК-1109</x:t>
        </x:is>
      </x:c>
      <x:c r="C272" s="31" t="inlineStr">
        <x:is>
          <x:t xml:space="preserve">ИЗД-024</x:t>
        </x:is>
      </x:c>
      <x:c r="D272" s="31" t="inlineStr">
        <x:is>
          <x:t xml:space="preserve">Блок дозирования СТК-124</x:t>
        </x:is>
      </x:c>
      <x:c r="E272" s="31" t="n">
        <x:v>2</x:v>
      </x:c>
      <x:c r="F272" s="31" t="n">
        <x:v>1503459</x:v>
      </x:c>
      <x:c r="G272" s="31" t="n">
        <x:v>3</x:v>
      </x:c>
      <x:c r="H272" s="31" t="n">
        <x:v>2916710</x:v>
      </x:c>
      <x:c r="I272" s="31" t="n">
        <x:v>1632313</x:v>
      </x:c>
      <x:c r="J272" s="31" t="n">
        <x:v>314721</x:v>
      </x:c>
      <x:c r="K272" s="31" t="n">
        <x:v>218939</x:v>
      </x:c>
      <x:c r="L272" s="31" t="n">
        <x:v>750737</x:v>
      </x:c>
      <x:c r="M272" s="31" t="n">
        <x:v>0.257</x:v>
      </x:c>
      <x:c r="N272" s="31" t="inlineStr">
        <x:is>
          <x:t xml:space="preserve">Нестандарт</x:t>
        </x:is>
      </x:c>
      <x:c r="O272" s="31" t="n">
        <x:v>46263</x:v>
      </x:c>
      <x:c r="P272" s="31" t="inlineStr">
        <x:is>
          <x:t xml:space="preserve">Спецификация 4</x:t>
        </x:is>
      </x:c>
    </x:row>
    <x:row r="273" ht="18" customHeight="1">
      <x:c r="A273" s="31" t="inlineStr">
        <x:is>
          <x:t xml:space="preserve">ПОЗ-0109-3</x:t>
        </x:is>
      </x:c>
      <x:c r="B273" s="31" t="inlineStr">
        <x:is>
          <x:t xml:space="preserve">ЗК-1109</x:t>
        </x:is>
      </x:c>
      <x:c r="C273" s="31" t="inlineStr">
        <x:is>
          <x:t xml:space="preserve">ИЗД-002</x:t>
        </x:is>
      </x:c>
      <x:c r="D273" s="31" t="inlineStr">
        <x:is>
          <x:t xml:space="preserve">Шкаф управления СТК-102</x:t>
        </x:is>
      </x:c>
      <x:c r="E273" s="31" t="n">
        <x:v>4</x:v>
      </x:c>
      <x:c r="F273" s="31" t="n">
        <x:v>628568</x:v>
      </x:c>
      <x:c r="G273" s="31" t="n">
        <x:v>0</x:v>
      </x:c>
      <x:c r="H273" s="31" t="n">
        <x:v>2514272</x:v>
      </x:c>
      <x:c r="I273" s="31" t="n">
        <x:v>1148955</x:v>
      </x:c>
      <x:c r="J273" s="31" t="n">
        <x:v>206121</x:v>
      </x:c>
      <x:c r="K273" s="31" t="n">
        <x:v>205658</x:v>
      </x:c>
      <x:c r="L273" s="31" t="n">
        <x:v>953538</x:v>
      </x:c>
      <x:c r="M273" s="31" t="n">
        <x:v>0.379</x:v>
      </x:c>
      <x:c r="N273" s="31" t="inlineStr">
        <x:is>
          <x:t xml:space="preserve">Стандарт</x:t>
        </x:is>
      </x:c>
      <x:c r="O273" s="31" t="n">
        <x:v>46263</x:v>
      </x:c>
      <x:c r="P273" s="31" t="inlineStr">
        <x:is>
          <x:t xml:space="preserve">Спецификация 2</x:t>
        </x:is>
      </x:c>
    </x:row>
    <x:row r="274" ht="18" customHeight="1">
      <x:c r="A274" s="31" t="inlineStr">
        <x:is>
          <x:t xml:space="preserve">ПОЗ-0110-1</x:t>
        </x:is>
      </x:c>
      <x:c r="B274" s="31" t="inlineStr">
        <x:is>
          <x:t xml:space="preserve">ЗК-1110</x:t>
        </x:is>
      </x:c>
      <x:c r="C274" s="31" t="inlineStr">
        <x:is>
          <x:t xml:space="preserve">ИЗД-004</x:t>
        </x:is>
      </x:c>
      <x:c r="D274" s="31" t="inlineStr">
        <x:is>
          <x:t xml:space="preserve">Блок дозирования СТК-104</x:t>
        </x:is>
      </x:c>
      <x:c r="E274" s="31" t="n">
        <x:v>5</x:v>
      </x:c>
      <x:c r="F274" s="31" t="n">
        <x:v>1080701</x:v>
      </x:c>
      <x:c r="G274" s="31" t="n">
        <x:v>5</x:v>
      </x:c>
      <x:c r="H274" s="31" t="n">
        <x:v>5133330</x:v>
      </x:c>
      <x:c r="I274" s="31" t="n">
        <x:v>2318558</x:v>
      </x:c>
      <x:c r="J274" s="31" t="n">
        <x:v>558817</x:v>
      </x:c>
      <x:c r="K274" s="31" t="n">
        <x:v>547172</x:v>
      </x:c>
      <x:c r="L274" s="31" t="n">
        <x:v>1708783</x:v>
      </x:c>
      <x:c r="M274" s="31" t="n">
        <x:v>0.333</x:v>
      </x:c>
      <x:c r="N274" s="31" t="inlineStr">
        <x:is>
          <x:t xml:space="preserve">Стандарт</x:t>
        </x:is>
      </x:c>
      <x:c r="O274" s="31" t="n">
        <x:v>46240</x:v>
      </x:c>
      <x:c r="P274" s="31" t="inlineStr">
        <x:is>
          <x:t xml:space="preserve">Спецификация 2</x:t>
        </x:is>
      </x:c>
    </x:row>
    <x:row r="275" ht="18" customHeight="1">
      <x:c r="A275" s="31" t="inlineStr">
        <x:is>
          <x:t xml:space="preserve">ПОЗ-0110-2</x:t>
        </x:is>
      </x:c>
      <x:c r="B275" s="31" t="inlineStr">
        <x:is>
          <x:t xml:space="preserve">ЗК-1110</x:t>
        </x:is>
      </x:c>
      <x:c r="C275" s="31" t="inlineStr">
        <x:is>
          <x:t xml:space="preserve">ИЗД-013</x:t>
        </x:is>
      </x:c>
      <x:c r="D275" s="31" t="inlineStr">
        <x:is>
          <x:t xml:space="preserve">Рама-основание СТК-113</x:t>
        </x:is>
      </x:c>
      <x:c r="E275" s="31" t="n">
        <x:v>4</x:v>
      </x:c>
      <x:c r="F275" s="31" t="n">
        <x:v>361568</x:v>
      </x:c>
      <x:c r="G275" s="31" t="n">
        <x:v>0</x:v>
      </x:c>
      <x:c r="H275" s="31" t="n">
        <x:v>1446272</x:v>
      </x:c>
      <x:c r="I275" s="31" t="n">
        <x:v>707268</x:v>
      </x:c>
      <x:c r="J275" s="31" t="n">
        <x:v>189833</x:v>
      </x:c>
      <x:c r="K275" s="31" t="n">
        <x:v>139065</x:v>
      </x:c>
      <x:c r="L275" s="31" t="n">
        <x:v>410106</x:v>
      </x:c>
      <x:c r="M275" s="31" t="n">
        <x:v>0.284</x:v>
      </x:c>
      <x:c r="N275" s="31" t="inlineStr">
        <x:is>
          <x:t xml:space="preserve">Стандарт</x:t>
        </x:is>
      </x:c>
      <x:c r="O275" s="31" t="n">
        <x:v>46240</x:v>
      </x:c>
      <x:c r="P275" s="31" t="inlineStr">
        <x:is>
          <x:t xml:space="preserve">Спецификация 2</x:t>
        </x:is>
      </x:c>
    </x:row>
    <x:row r="276" ht="18" customHeight="1">
      <x:c r="A276" s="31" t="inlineStr">
        <x:is>
          <x:t xml:space="preserve">ПОЗ-0110-3</x:t>
        </x:is>
      </x:c>
      <x:c r="B276" s="31" t="inlineStr">
        <x:is>
          <x:t xml:space="preserve">ЗК-1110</x:t>
        </x:is>
      </x:c>
      <x:c r="C276" s="31" t="inlineStr">
        <x:is>
          <x:t xml:space="preserve">ИЗД-014</x:t>
        </x:is>
      </x:c>
      <x:c r="D276" s="31" t="inlineStr">
        <x:is>
          <x:t xml:space="preserve">Рама-основание СТК-114</x:t>
        </x:is>
      </x:c>
      <x:c r="E276" s="31" t="n">
        <x:v>2</x:v>
      </x:c>
      <x:c r="F276" s="31" t="n">
        <x:v>103947</x:v>
      </x:c>
      <x:c r="G276" s="31" t="n">
        <x:v>3</x:v>
      </x:c>
      <x:c r="H276" s="31" t="n">
        <x:v>201657</x:v>
      </x:c>
      <x:c r="I276" s="31" t="n">
        <x:v>105820</x:v>
      </x:c>
      <x:c r="J276" s="31" t="n">
        <x:v>16485</x:v>
      </x:c>
      <x:c r="K276" s="31" t="n">
        <x:v>21350</x:v>
      </x:c>
      <x:c r="L276" s="31" t="n">
        <x:v>58002</x:v>
      </x:c>
      <x:c r="M276" s="31" t="n">
        <x:v>0.288</x:v>
      </x:c>
      <x:c r="N276" s="31" t="inlineStr">
        <x:is>
          <x:t xml:space="preserve">Стандарт</x:t>
        </x:is>
      </x:c>
      <x:c r="O276" s="31" t="n">
        <x:v>46240</x:v>
      </x:c>
      <x:c r="P276" s="31" t="inlineStr">
        <x:is>
          <x:t xml:space="preserve">Спецификация 1</x:t>
        </x:is>
      </x:c>
    </x:row>
    <x:row r="277" ht="18" customHeight="1">
      <x:c r="A277" s="31" t="inlineStr">
        <x:is>
          <x:t xml:space="preserve">ПОЗ-0110-4</x:t>
        </x:is>
      </x:c>
      <x:c r="B277" s="31" t="inlineStr">
        <x:is>
          <x:t xml:space="preserve">ЗК-1110</x:t>
        </x:is>
      </x:c>
      <x:c r="C277" s="31" t="inlineStr">
        <x:is>
          <x:t xml:space="preserve">ИЗД-022</x:t>
        </x:is>
      </x:c>
      <x:c r="D277" s="31" t="inlineStr">
        <x:is>
          <x:t xml:space="preserve">Блок дозирования СТК-122</x:t>
        </x:is>
      </x:c>
      <x:c r="E277" s="31" t="n">
        <x:v>1</x:v>
      </x:c>
      <x:c r="F277" s="31" t="n">
        <x:v>637034</x:v>
      </x:c>
      <x:c r="G277" s="31" t="n">
        <x:v>0</x:v>
      </x:c>
      <x:c r="H277" s="31" t="n">
        <x:v>637034</x:v>
      </x:c>
      <x:c r="I277" s="31" t="n">
        <x:v>210983</x:v>
      </x:c>
      <x:c r="J277" s="31" t="n">
        <x:v>94028</x:v>
      </x:c>
      <x:c r="K277" s="31" t="n">
        <x:v>33868</x:v>
      </x:c>
      <x:c r="L277" s="31" t="n">
        <x:v>298155</x:v>
      </x:c>
      <x:c r="M277" s="31" t="n">
        <x:v>0.468</x:v>
      </x:c>
      <x:c r="N277" s="31" t="inlineStr">
        <x:is>
          <x:t xml:space="preserve">Нестандарт</x:t>
        </x:is>
      </x:c>
      <x:c r="O277" s="31" t="n">
        <x:v>46240</x:v>
      </x:c>
      <x:c r="P277" s="31" t="inlineStr">
        <x:is>
          <x:t xml:space="preserve">Спецификация 3</x:t>
        </x:is>
      </x:c>
    </x:row>
    <x:row r="278" ht="18" customHeight="1">
      <x:c r="A278" s="31" t="inlineStr">
        <x:is>
          <x:t xml:space="preserve">ПОЗ-0111-1</x:t>
        </x:is>
      </x:c>
      <x:c r="B278" s="31" t="inlineStr">
        <x:is>
          <x:t xml:space="preserve">ЗК-1111</x:t>
        </x:is>
      </x:c>
      <x:c r="C278" s="31" t="inlineStr">
        <x:is>
          <x:t xml:space="preserve">ИЗД-036</x:t>
        </x:is>
      </x:c>
      <x:c r="D278" s="31" t="inlineStr">
        <x:is>
          <x:t xml:space="preserve">Шкаф управления СТК-136</x:t>
        </x:is>
      </x:c>
      <x:c r="E278" s="31" t="n">
        <x:v>2</x:v>
      </x:c>
      <x:c r="F278" s="31" t="n">
        <x:v>902110</x:v>
      </x:c>
      <x:c r="G278" s="31" t="n">
        <x:v>0</x:v>
      </x:c>
      <x:c r="H278" s="31" t="n">
        <x:v>1804220</x:v>
      </x:c>
      <x:c r="I278" s="31" t="n">
        <x:v>733705</x:v>
      </x:c>
      <x:c r="J278" s="31" t="n">
        <x:v>212731</x:v>
      </x:c>
      <x:c r="K278" s="31" t="n">
        <x:v>157143</x:v>
      </x:c>
      <x:c r="L278" s="31" t="n">
        <x:v>700641</x:v>
      </x:c>
      <x:c r="M278" s="31" t="n">
        <x:v>0.388</x:v>
      </x:c>
      <x:c r="N278" s="31" t="inlineStr">
        <x:is>
          <x:t xml:space="preserve">Стандарт</x:t>
        </x:is>
      </x:c>
      <x:c r="O278" s="31" t="n">
        <x:v>46179</x:v>
      </x:c>
      <x:c r="P278" s="31" t="inlineStr">
        <x:is>
          <x:t xml:space="preserve">Спецификация 4</x:t>
        </x:is>
      </x:c>
    </x:row>
    <x:row r="279" ht="18" customHeight="1">
      <x:c r="A279" s="31" t="inlineStr">
        <x:is>
          <x:t xml:space="preserve">ПОЗ-0112-1</x:t>
        </x:is>
      </x:c>
      <x:c r="B279" s="31" t="inlineStr">
        <x:is>
          <x:t xml:space="preserve">ЗК-1112</x:t>
        </x:is>
      </x:c>
      <x:c r="C279" s="31" t="inlineStr">
        <x:is>
          <x:t xml:space="preserve">ИЗД-038</x:t>
        </x:is>
      </x:c>
      <x:c r="D279" s="31" t="inlineStr">
        <x:is>
          <x:t xml:space="preserve">Трубная обвязка СТК-138</x:t>
        </x:is>
      </x:c>
      <x:c r="E279" s="31" t="n">
        <x:v>1</x:v>
      </x:c>
      <x:c r="F279" s="31" t="n">
        <x:v>478380</x:v>
      </x:c>
      <x:c r="G279" s="31" t="n">
        <x:v>10</x:v>
      </x:c>
      <x:c r="H279" s="31" t="n">
        <x:v>430542</x:v>
      </x:c>
      <x:c r="I279" s="31" t="n">
        <x:v>205047</x:v>
      </x:c>
      <x:c r="J279" s="31" t="n">
        <x:v>64454</x:v>
      </x:c>
      <x:c r="K279" s="31" t="n">
        <x:v>47045</x:v>
      </x:c>
      <x:c r="L279" s="31" t="n">
        <x:v>113996</x:v>
      </x:c>
      <x:c r="M279" s="31" t="n">
        <x:v>0.265</x:v>
      </x:c>
      <x:c r="N279" s="31" t="inlineStr">
        <x:is>
          <x:t xml:space="preserve">Нестандарт</x:t>
        </x:is>
      </x:c>
      <x:c r="O279" s="31" t="n">
        <x:v>46134</x:v>
      </x:c>
      <x:c r="P279" s="31" t="inlineStr">
        <x:is>
          <x:t xml:space="preserve">Спецификация 1</x:t>
        </x:is>
      </x:c>
    </x:row>
    <x:row r="280" ht="18" customHeight="1">
      <x:c r="A280" s="31" t="inlineStr">
        <x:is>
          <x:t xml:space="preserve">ПОЗ-0112-2</x:t>
        </x:is>
      </x:c>
      <x:c r="B280" s="31" t="inlineStr">
        <x:is>
          <x:t xml:space="preserve">ЗК-1112</x:t>
        </x:is>
      </x:c>
      <x:c r="C280" s="31" t="inlineStr">
        <x:is>
          <x:t xml:space="preserve">ИЗД-037</x:t>
        </x:is>
      </x:c>
      <x:c r="D280" s="31" t="inlineStr">
        <x:is>
          <x:t xml:space="preserve">Трубная обвязка СТК-137</x:t>
        </x:is>
      </x:c>
      <x:c r="E280" s="31" t="n">
        <x:v>2</x:v>
      </x:c>
      <x:c r="F280" s="31" t="n">
        <x:v>193213</x:v>
      </x:c>
      <x:c r="G280" s="31" t="n">
        <x:v>0</x:v>
      </x:c>
      <x:c r="H280" s="31" t="n">
        <x:v>386426</x:v>
      </x:c>
      <x:c r="I280" s="31" t="n">
        <x:v>163362</x:v>
      </x:c>
      <x:c r="J280" s="31" t="n">
        <x:v>32249</x:v>
      </x:c>
      <x:c r="K280" s="31" t="n">
        <x:v>42342</x:v>
      </x:c>
      <x:c r="L280" s="31" t="n">
        <x:v>148473</x:v>
      </x:c>
      <x:c r="M280" s="31" t="n">
        <x:v>0.384</x:v>
      </x:c>
      <x:c r="N280" s="31" t="inlineStr">
        <x:is>
          <x:t xml:space="preserve">Нестандарт</x:t>
        </x:is>
      </x:c>
      <x:c r="O280" s="31" t="n">
        <x:v>46134</x:v>
      </x:c>
      <x:c r="P280" s="31" t="inlineStr">
        <x:is>
          <x:t xml:space="preserve">Спецификация 2</x:t>
        </x:is>
      </x:c>
    </x:row>
    <x:row r="281" ht="18" customHeight="1">
      <x:c r="A281" s="31" t="inlineStr">
        <x:is>
          <x:t xml:space="preserve">ПОЗ-0112-3</x:t>
        </x:is>
      </x:c>
      <x:c r="B281" s="31" t="inlineStr">
        <x:is>
          <x:t xml:space="preserve">ЗК-1112</x:t>
        </x:is>
      </x:c>
      <x:c r="C281" s="31" t="inlineStr">
        <x:is>
          <x:t xml:space="preserve">ИЗД-012</x:t>
        </x:is>
      </x:c>
      <x:c r="D281" s="31" t="inlineStr">
        <x:is>
          <x:t xml:space="preserve">Трубная обвязка СТК-112</x:t>
        </x:is>
      </x:c>
      <x:c r="E281" s="31" t="n">
        <x:v>3</x:v>
      </x:c>
      <x:c r="F281" s="31" t="n">
        <x:v>499539</x:v>
      </x:c>
      <x:c r="G281" s="31" t="n">
        <x:v>5</x:v>
      </x:c>
      <x:c r="H281" s="31" t="n">
        <x:v>1423686</x:v>
      </x:c>
      <x:c r="I281" s="31" t="n">
        <x:v>634760</x:v>
      </x:c>
      <x:c r="J281" s="31" t="n">
        <x:v>145108</x:v>
      </x:c>
      <x:c r="K281" s="31" t="n">
        <x:v>155202</x:v>
      </x:c>
      <x:c r="L281" s="31" t="n">
        <x:v>488616</x:v>
      </x:c>
      <x:c r="M281" s="31" t="n">
        <x:v>0.343</x:v>
      </x:c>
      <x:c r="N281" s="31" t="inlineStr">
        <x:is>
          <x:t xml:space="preserve">Стандарт</x:t>
        </x:is>
      </x:c>
      <x:c r="O281" s="31" t="n">
        <x:v>46134</x:v>
      </x:c>
      <x:c r="P281" s="31" t="inlineStr">
        <x:is>
          <x:t xml:space="preserve">Спецификация 4</x:t>
        </x:is>
      </x:c>
    </x:row>
    <x:row r="282" ht="18" customHeight="1">
      <x:c r="A282" s="31" t="inlineStr">
        <x:is>
          <x:t xml:space="preserve">ПОЗ-0112-4</x:t>
        </x:is>
      </x:c>
      <x:c r="B282" s="31" t="inlineStr">
        <x:is>
          <x:t xml:space="preserve">ЗК-1112</x:t>
        </x:is>
      </x:c>
      <x:c r="C282" s="31" t="inlineStr">
        <x:is>
          <x:t xml:space="preserve">ИЗД-029</x:t>
        </x:is>
      </x:c>
      <x:c r="D282" s="31" t="inlineStr">
        <x:is>
          <x:t xml:space="preserve">Компрессорный модуль СТК-129</x:t>
        </x:is>
      </x:c>
      <x:c r="E282" s="31" t="n">
        <x:v>2</x:v>
      </x:c>
      <x:c r="F282" s="31" t="n">
        <x:v>3810604</x:v>
      </x:c>
      <x:c r="G282" s="31" t="n">
        <x:v>0</x:v>
      </x:c>
      <x:c r="H282" s="31" t="n">
        <x:v>7621208</x:v>
      </x:c>
      <x:c r="I282" s="31" t="n">
        <x:v>3004063</x:v>
      </x:c>
      <x:c r="J282" s="31" t="n">
        <x:v>1207072</x:v>
      </x:c>
      <x:c r="K282" s="31" t="n">
        <x:v>794563</x:v>
      </x:c>
      <x:c r="L282" s="31" t="n">
        <x:v>2615510</x:v>
      </x:c>
      <x:c r="M282" s="31" t="n">
        <x:v>0.343</x:v>
      </x:c>
      <x:c r="N282" s="31" t="inlineStr">
        <x:is>
          <x:t xml:space="preserve">Стандарт</x:t>
        </x:is>
      </x:c>
      <x:c r="O282" s="31" t="n">
        <x:v>46134</x:v>
      </x:c>
      <x:c r="P282" s="31" t="inlineStr">
        <x:is>
          <x:t xml:space="preserve">Спецификация 3</x:t>
        </x:is>
      </x:c>
    </x:row>
    <x:row r="283" ht="18" customHeight="1">
      <x:c r="A283" s="31" t="inlineStr">
        <x:is>
          <x:t xml:space="preserve">ПОЗ-0113-1</x:t>
        </x:is>
      </x:c>
      <x:c r="B283" s="31" t="inlineStr">
        <x:is>
          <x:t xml:space="preserve">ЗК-1113</x:t>
        </x:is>
      </x:c>
      <x:c r="C283" s="31" t="inlineStr">
        <x:is>
          <x:t xml:space="preserve">ИЗД-040</x:t>
        </x:is>
      </x:c>
      <x:c r="D283" s="31" t="inlineStr">
        <x:is>
          <x:t xml:space="preserve">Блок дозирования СТК-140</x:t>
        </x:is>
      </x:c>
      <x:c r="E283" s="31" t="n">
        <x:v>5</x:v>
      </x:c>
      <x:c r="F283" s="31" t="n">
        <x:v>799779</x:v>
      </x:c>
      <x:c r="G283" s="31" t="n">
        <x:v>3</x:v>
      </x:c>
      <x:c r="H283" s="31" t="n">
        <x:v>3878928</x:v>
      </x:c>
      <x:c r="I283" s="31" t="n">
        <x:v>2087680</x:v>
      </x:c>
      <x:c r="J283" s="31" t="n">
        <x:v>404190</x:v>
      </x:c>
      <x:c r="K283" s="31" t="n">
        <x:v>202321</x:v>
      </x:c>
      <x:c r="L283" s="31" t="n">
        <x:v>1184737</x:v>
      </x:c>
      <x:c r="M283" s="31" t="n">
        <x:v>0.305</x:v>
      </x:c>
      <x:c r="N283" s="31" t="inlineStr">
        <x:is>
          <x:t xml:space="preserve">Стандарт</x:t>
        </x:is>
      </x:c>
      <x:c r="O283" s="31" t="n">
        <x:v>46124</x:v>
      </x:c>
      <x:c r="P283" s="31" t="inlineStr">
        <x:is>
          <x:t xml:space="preserve">Спецификация 4</x:t>
        </x:is>
      </x:c>
    </x:row>
    <x:row r="284" ht="18" customHeight="1">
      <x:c r="A284" s="31" t="inlineStr">
        <x:is>
          <x:t xml:space="preserve">ПОЗ-0113-2</x:t>
        </x:is>
      </x:c>
      <x:c r="B284" s="31" t="inlineStr">
        <x:is>
          <x:t xml:space="preserve">ЗК-1113</x:t>
        </x:is>
      </x:c>
      <x:c r="C284" s="31" t="inlineStr">
        <x:is>
          <x:t xml:space="preserve">ИЗД-001</x:t>
        </x:is>
      </x:c>
      <x:c r="D284" s="31" t="inlineStr">
        <x:is>
          <x:t xml:space="preserve">Комплект ЗИП СТК-101</x:t>
        </x:is>
      </x:c>
      <x:c r="E284" s="31" t="n">
        <x:v>12</x:v>
      </x:c>
      <x:c r="F284" s="31" t="n">
        <x:v>70936</x:v>
      </x:c>
      <x:c r="G284" s="31" t="n">
        <x:v>3</x:v>
      </x:c>
      <x:c r="H284" s="31" t="n">
        <x:v>825695</x:v>
      </x:c>
      <x:c r="I284" s="31" t="n">
        <x:v>430701</x:v>
      </x:c>
      <x:c r="J284" s="31" t="n">
        <x:v>89345</x:v>
      </x:c>
      <x:c r="K284" s="31" t="n">
        <x:v>76325</x:v>
      </x:c>
      <x:c r="L284" s="31" t="n">
        <x:v>229324</x:v>
      </x:c>
      <x:c r="M284" s="31" t="n">
        <x:v>0.278</x:v>
      </x:c>
      <x:c r="N284" s="31" t="inlineStr">
        <x:is>
          <x:t xml:space="preserve">Стандарт</x:t>
        </x:is>
      </x:c>
      <x:c r="O284" s="31" t="n">
        <x:v>46124</x:v>
      </x:c>
      <x:c r="P284" s="31" t="inlineStr">
        <x:is>
          <x:t xml:space="preserve">Спецификация 3</x:t>
        </x:is>
      </x:c>
    </x:row>
    <x:row r="285" ht="18" customHeight="1">
      <x:c r="A285" s="31" t="inlineStr">
        <x:is>
          <x:t xml:space="preserve">ПОЗ-0114-1</x:t>
        </x:is>
      </x:c>
      <x:c r="B285" s="31" t="inlineStr">
        <x:is>
          <x:t xml:space="preserve">ЗК-1114</x:t>
        </x:is>
      </x:c>
      <x:c r="C285" s="31" t="inlineStr">
        <x:is>
          <x:t xml:space="preserve">ИЗД-005</x:t>
        </x:is>
      </x:c>
      <x:c r="D285" s="31" t="inlineStr">
        <x:is>
          <x:t xml:space="preserve">Насосная станция СТК-105</x:t>
        </x:is>
      </x:c>
      <x:c r="E285" s="31" t="n">
        <x:v>3</x:v>
      </x:c>
      <x:c r="F285" s="31" t="n">
        <x:v>618860</x:v>
      </x:c>
      <x:c r="G285" s="31" t="n">
        <x:v>3</x:v>
      </x:c>
      <x:c r="H285" s="31" t="n">
        <x:v>1800883</x:v>
      </x:c>
      <x:c r="I285" s="31" t="n">
        <x:v>805586</x:v>
      </x:c>
      <x:c r="J285" s="31" t="n">
        <x:v>140225</x:v>
      </x:c>
      <x:c r="K285" s="31" t="n">
        <x:v>98193</x:v>
      </x:c>
      <x:c r="L285" s="31" t="n">
        <x:v>756879</x:v>
      </x:c>
      <x:c r="M285" s="31" t="n">
        <x:v>0.42</x:v>
      </x:c>
      <x:c r="N285" s="31" t="inlineStr">
        <x:is>
          <x:t xml:space="preserve">Нестандарт</x:t>
        </x:is>
      </x:c>
      <x:c r="O285" s="31" t="n">
        <x:v>46125</x:v>
      </x:c>
      <x:c r="P285" s="31" t="inlineStr">
        <x:is>
          <x:t xml:space="preserve">Спецификация 3</x:t>
        </x:is>
      </x:c>
    </x:row>
    <x:row r="286" ht="18" customHeight="1">
      <x:c r="A286" s="31" t="inlineStr">
        <x:is>
          <x:t xml:space="preserve">ПОЗ-0114-2</x:t>
        </x:is>
      </x:c>
      <x:c r="B286" s="31" t="inlineStr">
        <x:is>
          <x:t xml:space="preserve">ЗК-1114</x:t>
        </x:is>
      </x:c>
      <x:c r="C286" s="31" t="inlineStr">
        <x:is>
          <x:t xml:space="preserve">ИЗД-012</x:t>
        </x:is>
      </x:c>
      <x:c r="D286" s="31" t="inlineStr">
        <x:is>
          <x:t xml:space="preserve">Трубная обвязка СТК-112</x:t>
        </x:is>
      </x:c>
      <x:c r="E286" s="31" t="n">
        <x:v>5</x:v>
      </x:c>
      <x:c r="F286" s="31" t="n">
        <x:v>470594</x:v>
      </x:c>
      <x:c r="G286" s="31" t="n">
        <x:v>3</x:v>
      </x:c>
      <x:c r="H286" s="31" t="n">
        <x:v>2282381</x:v>
      </x:c>
      <x:c r="I286" s="31" t="n">
        <x:v>1074956</x:v>
      </x:c>
      <x:c r="J286" s="31" t="n">
        <x:v>358836</x:v>
      </x:c>
      <x:c r="K286" s="31" t="n">
        <x:v>200530</x:v>
      </x:c>
      <x:c r="L286" s="31" t="n">
        <x:v>648059</x:v>
      </x:c>
      <x:c r="M286" s="31" t="n">
        <x:v>0.284</x:v>
      </x:c>
      <x:c r="N286" s="31" t="inlineStr">
        <x:is>
          <x:t xml:space="preserve">Стандарт</x:t>
        </x:is>
      </x:c>
      <x:c r="O286" s="31" t="n">
        <x:v>46125</x:v>
      </x:c>
      <x:c r="P286" s="31" t="inlineStr">
        <x:is>
          <x:t xml:space="preserve">Спецификация 1</x:t>
        </x:is>
      </x:c>
    </x:row>
    <x:row r="287" ht="18" customHeight="1">
      <x:c r="A287" s="31" t="inlineStr">
        <x:is>
          <x:t xml:space="preserve">ПОЗ-0115-1</x:t>
        </x:is>
      </x:c>
      <x:c r="B287" s="31" t="inlineStr">
        <x:is>
          <x:t xml:space="preserve">ЗК-1115</x:t>
        </x:is>
      </x:c>
      <x:c r="C287" s="31" t="inlineStr">
        <x:is>
          <x:t xml:space="preserve">ИЗД-021</x:t>
        </x:is>
      </x:c>
      <x:c r="D287" s="31" t="inlineStr">
        <x:is>
          <x:t xml:space="preserve">Блок дозирования СТК-121</x:t>
        </x:is>
      </x:c>
      <x:c r="E287" s="31" t="n">
        <x:v>4</x:v>
      </x:c>
      <x:c r="F287" s="31" t="n">
        <x:v>676447</x:v>
      </x:c>
      <x:c r="G287" s="31" t="n">
        <x:v>5</x:v>
      </x:c>
      <x:c r="H287" s="31" t="n">
        <x:v>2570499</x:v>
      </x:c>
      <x:c r="I287" s="31" t="n">
        <x:v>1041028</x:v>
      </x:c>
      <x:c r="J287" s="31" t="n">
        <x:v>343328</x:v>
      </x:c>
      <x:c r="K287" s="31" t="n">
        <x:v>200891</x:v>
      </x:c>
      <x:c r="L287" s="31" t="n">
        <x:v>985252</x:v>
      </x:c>
      <x:c r="M287" s="31" t="n">
        <x:v>0.383</x:v>
      </x:c>
      <x:c r="N287" s="31" t="inlineStr">
        <x:is>
          <x:t xml:space="preserve">Нестандарт</x:t>
        </x:is>
      </x:c>
      <x:c r="O287" s="31" t="n">
        <x:v>46215</x:v>
      </x:c>
      <x:c r="P287" s="31" t="inlineStr">
        <x:is>
          <x:t xml:space="preserve">Спецификация 1</x:t>
        </x:is>
      </x:c>
    </x:row>
    <x:row r="288" ht="18" customHeight="1">
      <x:c r="A288" s="31" t="inlineStr">
        <x:is>
          <x:t xml:space="preserve">ПОЗ-0115-2</x:t>
        </x:is>
      </x:c>
      <x:c r="B288" s="31" t="inlineStr">
        <x:is>
          <x:t xml:space="preserve">ЗК-1115</x:t>
        </x:is>
      </x:c>
      <x:c r="C288" s="31" t="inlineStr">
        <x:is>
          <x:t xml:space="preserve">ИЗД-041</x:t>
        </x:is>
      </x:c>
      <x:c r="D288" s="31" t="inlineStr">
        <x:is>
          <x:t xml:space="preserve">Рама-основание СТК-141</x:t>
        </x:is>
      </x:c>
      <x:c r="E288" s="31" t="n">
        <x:v>4</x:v>
      </x:c>
      <x:c r="F288" s="31" t="n">
        <x:v>232137</x:v>
      </x:c>
      <x:c r="G288" s="31" t="n">
        <x:v>0</x:v>
      </x:c>
      <x:c r="H288" s="31" t="n">
        <x:v>928548</x:v>
      </x:c>
      <x:c r="I288" s="31" t="n">
        <x:v>350885</x:v>
      </x:c>
      <x:c r="J288" s="31" t="n">
        <x:v>81522</x:v>
      </x:c>
      <x:c r="K288" s="31" t="n">
        <x:v>54444</x:v>
      </x:c>
      <x:c r="L288" s="31" t="n">
        <x:v>441697</x:v>
      </x:c>
      <x:c r="M288" s="31" t="n">
        <x:v>0.476</x:v>
      </x:c>
      <x:c r="N288" s="31" t="inlineStr">
        <x:is>
          <x:t xml:space="preserve">Стандарт</x:t>
        </x:is>
      </x:c>
      <x:c r="O288" s="31" t="n">
        <x:v>46215</x:v>
      </x:c>
      <x:c r="P288" s="31" t="inlineStr">
        <x:is>
          <x:t xml:space="preserve">Спецификация 2</x:t>
        </x:is>
      </x:c>
    </x:row>
    <x:row r="289" ht="18" customHeight="1">
      <x:c r="A289" s="31" t="inlineStr">
        <x:is>
          <x:t xml:space="preserve">ПОЗ-0115-3</x:t>
        </x:is>
      </x:c>
      <x:c r="B289" s="31" t="inlineStr">
        <x:is>
          <x:t xml:space="preserve">ЗК-1115</x:t>
        </x:is>
      </x:c>
      <x:c r="C289" s="31" t="inlineStr">
        <x:is>
          <x:t xml:space="preserve">ИЗД-034</x:t>
        </x:is>
      </x:c>
      <x:c r="D289" s="31" t="inlineStr">
        <x:is>
          <x:t xml:space="preserve">Компрессорный модуль СТК-134</x:t>
        </x:is>
      </x:c>
      <x:c r="E289" s="31" t="n">
        <x:v>1</x:v>
      </x:c>
      <x:c r="F289" s="31" t="n">
        <x:v>3445582</x:v>
      </x:c>
      <x:c r="G289" s="31" t="n">
        <x:v>0</x:v>
      </x:c>
      <x:c r="H289" s="31" t="n">
        <x:v>3445582</x:v>
      </x:c>
      <x:c r="I289" s="31" t="n">
        <x:v>1430312</x:v>
      </x:c>
      <x:c r="J289" s="31" t="n">
        <x:v>340859</x:v>
      </x:c>
      <x:c r="K289" s="31" t="n">
        <x:v>377356</x:v>
      </x:c>
      <x:c r="L289" s="31" t="n">
        <x:v>1297055</x:v>
      </x:c>
      <x:c r="M289" s="31" t="n">
        <x:v>0.376</x:v>
      </x:c>
      <x:c r="N289" s="31" t="inlineStr">
        <x:is>
          <x:t xml:space="preserve">Стандарт</x:t>
        </x:is>
      </x:c>
      <x:c r="O289" s="31" t="n">
        <x:v>46215</x:v>
      </x:c>
      <x:c r="P289" s="31" t="inlineStr">
        <x:is>
          <x:t xml:space="preserve">Спецификация 3</x:t>
        </x:is>
      </x:c>
    </x:row>
    <x:row r="290" ht="18" customHeight="1">
      <x:c r="A290" s="31" t="inlineStr">
        <x:is>
          <x:t xml:space="preserve">ПОЗ-0115-4</x:t>
        </x:is>
      </x:c>
      <x:c r="B290" s="31" t="inlineStr">
        <x:is>
          <x:t xml:space="preserve">ЗК-1115</x:t>
        </x:is>
      </x:c>
      <x:c r="C290" s="31" t="inlineStr">
        <x:is>
          <x:t xml:space="preserve">ИЗД-013</x:t>
        </x:is>
      </x:c>
      <x:c r="D290" s="31" t="inlineStr">
        <x:is>
          <x:t xml:space="preserve">Рама-основание СТК-113</x:t>
        </x:is>
      </x:c>
      <x:c r="E290" s="31" t="n">
        <x:v>5</x:v>
      </x:c>
      <x:c r="F290" s="31" t="n">
        <x:v>347909</x:v>
      </x:c>
      <x:c r="G290" s="31" t="n">
        <x:v>5</x:v>
      </x:c>
      <x:c r="H290" s="31" t="n">
        <x:v>1652568</x:v>
      </x:c>
      <x:c r="I290" s="31" t="n">
        <x:v>624878</x:v>
      </x:c>
      <x:c r="J290" s="31" t="n">
        <x:v>153004</x:v>
      </x:c>
      <x:c r="K290" s="31" t="n">
        <x:v>116813</x:v>
      </x:c>
      <x:c r="L290" s="31" t="n">
        <x:v>757873</x:v>
      </x:c>
      <x:c r="M290" s="31" t="n">
        <x:v>0.459</x:v>
      </x:c>
      <x:c r="N290" s="31" t="inlineStr">
        <x:is>
          <x:t xml:space="preserve">Стандарт</x:t>
        </x:is>
      </x:c>
      <x:c r="O290" s="31" t="n">
        <x:v>46215</x:v>
      </x:c>
      <x:c r="P290" s="31" t="inlineStr">
        <x:is>
          <x:t xml:space="preserve">Спецификация 1</x:t>
        </x:is>
      </x:c>
    </x:row>
    <x:row r="291" ht="18" customHeight="1">
      <x:c r="A291" s="31" t="inlineStr">
        <x:is>
          <x:t xml:space="preserve">ПОЗ-0116-1</x:t>
        </x:is>
      </x:c>
      <x:c r="B291" s="31" t="inlineStr">
        <x:is>
          <x:t xml:space="preserve">ЗК-1116</x:t>
        </x:is>
      </x:c>
      <x:c r="C291" s="31" t="inlineStr">
        <x:is>
          <x:t xml:space="preserve">ИЗД-021</x:t>
        </x:is>
      </x:c>
      <x:c r="D291" s="31" t="inlineStr">
        <x:is>
          <x:t xml:space="preserve">Блок дозирования СТК-121</x:t>
        </x:is>
      </x:c>
      <x:c r="E291" s="31" t="n">
        <x:v>5</x:v>
      </x:c>
      <x:c r="F291" s="31" t="n">
        <x:v>669278</x:v>
      </x:c>
      <x:c r="G291" s="31" t="n">
        <x:v>7</x:v>
      </x:c>
      <x:c r="H291" s="31" t="n">
        <x:v>3112143</x:v>
      </x:c>
      <x:c r="I291" s="31" t="n">
        <x:v>1348927</x:v>
      </x:c>
      <x:c r="J291" s="31" t="n">
        <x:v>387448</x:v>
      </x:c>
      <x:c r="K291" s="31" t="n">
        <x:v>334735</x:v>
      </x:c>
      <x:c r="L291" s="31" t="n">
        <x:v>1041033</x:v>
      </x:c>
      <x:c r="M291" s="31" t="n">
        <x:v>0.335</x:v>
      </x:c>
      <x:c r="N291" s="31" t="inlineStr">
        <x:is>
          <x:t xml:space="preserve">Стандарт</x:t>
        </x:is>
      </x:c>
      <x:c r="O291" s="31" t="n">
        <x:v>46121</x:v>
      </x:c>
      <x:c r="P291" s="31" t="inlineStr">
        <x:is>
          <x:t xml:space="preserve">Спецификация 3</x:t>
        </x:is>
      </x:c>
    </x:row>
    <x:row r="292" ht="18" customHeight="1">
      <x:c r="A292" s="31" t="inlineStr">
        <x:is>
          <x:t xml:space="preserve">ПОЗ-0117-1</x:t>
        </x:is>
      </x:c>
      <x:c r="B292" s="31" t="inlineStr">
        <x:is>
          <x:t xml:space="preserve">ЗК-1117</x:t>
        </x:is>
      </x:c>
      <x:c r="C292" s="31" t="inlineStr">
        <x:is>
          <x:t xml:space="preserve">ИЗД-030</x:t>
        </x:is>
      </x:c>
      <x:c r="D292" s="31" t="inlineStr">
        <x:is>
          <x:t xml:space="preserve">Насосная станция СТК-130</x:t>
        </x:is>
      </x:c>
      <x:c r="E292" s="31" t="n">
        <x:v>2</x:v>
      </x:c>
      <x:c r="F292" s="31" t="n">
        <x:v>2328974</x:v>
      </x:c>
      <x:c r="G292" s="31" t="n">
        <x:v>5</x:v>
      </x:c>
      <x:c r="H292" s="31" t="n">
        <x:v>4425051</x:v>
      </x:c>
      <x:c r="I292" s="31" t="n">
        <x:v>1888146</x:v>
      </x:c>
      <x:c r="J292" s="31" t="n">
        <x:v>319503</x:v>
      </x:c>
      <x:c r="K292" s="31" t="n">
        <x:v>258272</x:v>
      </x:c>
      <x:c r="L292" s="31" t="n">
        <x:v>1959130</x:v>
      </x:c>
      <x:c r="M292" s="31" t="n">
        <x:v>0.443</x:v>
      </x:c>
      <x:c r="N292" s="31" t="inlineStr">
        <x:is>
          <x:t xml:space="preserve">Стандарт</x:t>
        </x:is>
      </x:c>
      <x:c r="O292" s="31" t="n">
        <x:v>46227</x:v>
      </x:c>
      <x:c r="P292" s="31" t="inlineStr">
        <x:is>
          <x:t xml:space="preserve">Спецификация 2</x:t>
        </x:is>
      </x:c>
    </x:row>
    <x:row r="293" ht="18" customHeight="1">
      <x:c r="A293" s="31" t="inlineStr">
        <x:is>
          <x:t xml:space="preserve">ПОЗ-0117-2</x:t>
        </x:is>
      </x:c>
      <x:c r="B293" s="31" t="inlineStr">
        <x:is>
          <x:t xml:space="preserve">ЗК-1117</x:t>
        </x:is>
      </x:c>
      <x:c r="C293" s="31" t="inlineStr">
        <x:is>
          <x:t xml:space="preserve">ИЗД-021</x:t>
        </x:is>
      </x:c>
      <x:c r="D293" s="31" t="inlineStr">
        <x:is>
          <x:t xml:space="preserve">Блок дозирования СТК-121</x:t>
        </x:is>
      </x:c>
      <x:c r="E293" s="31" t="n">
        <x:v>4</x:v>
      </x:c>
      <x:c r="F293" s="31" t="n">
        <x:v>606280</x:v>
      </x:c>
      <x:c r="G293" s="31" t="n">
        <x:v>3</x:v>
      </x:c>
      <x:c r="H293" s="31" t="n">
        <x:v>2352366</x:v>
      </x:c>
      <x:c r="I293" s="31" t="n">
        <x:v>1058993</x:v>
      </x:c>
      <x:c r="J293" s="31" t="n">
        <x:v>356343</x:v>
      </x:c>
      <x:c r="K293" s="31" t="n">
        <x:v>138936</x:v>
      </x:c>
      <x:c r="L293" s="31" t="n">
        <x:v>798094</x:v>
      </x:c>
      <x:c r="M293" s="31" t="n">
        <x:v>0.339</x:v>
      </x:c>
      <x:c r="N293" s="31" t="inlineStr">
        <x:is>
          <x:t xml:space="preserve">Замена материала</x:t>
        </x:is>
      </x:c>
      <x:c r="O293" s="31" t="n">
        <x:v>46227</x:v>
      </x:c>
      <x:c r="P293" s="31" t="inlineStr">
        <x:is>
          <x:t xml:space="preserve">Спецификация 2</x:t>
        </x:is>
      </x:c>
    </x:row>
    <x:row r="294" ht="18" customHeight="1">
      <x:c r="A294" s="31" t="inlineStr">
        <x:is>
          <x:t xml:space="preserve">ПОЗ-0117-3</x:t>
        </x:is>
      </x:c>
      <x:c r="B294" s="31" t="inlineStr">
        <x:is>
          <x:t xml:space="preserve">ЗК-1117</x:t>
        </x:is>
      </x:c>
      <x:c r="C294" s="31" t="inlineStr">
        <x:is>
          <x:t xml:space="preserve">ИЗД-026</x:t>
        </x:is>
      </x:c>
      <x:c r="D294" s="31" t="inlineStr">
        <x:is>
          <x:t xml:space="preserve">Шкаф управления СТК-126</x:t>
        </x:is>
      </x:c>
      <x:c r="E294" s="31" t="n">
        <x:v>1</x:v>
      </x:c>
      <x:c r="F294" s="31" t="n">
        <x:v>433428</x:v>
      </x:c>
      <x:c r="G294" s="31" t="n">
        <x:v>3</x:v>
      </x:c>
      <x:c r="H294" s="31" t="n">
        <x:v>420425</x:v>
      </x:c>
      <x:c r="I294" s="31" t="n">
        <x:v>190497</x:v>
      </x:c>
      <x:c r="J294" s="31" t="n">
        <x:v>36913</x:v>
      </x:c>
      <x:c r="K294" s="31" t="n">
        <x:v>33566</x:v>
      </x:c>
      <x:c r="L294" s="31" t="n">
        <x:v>159449</x:v>
      </x:c>
      <x:c r="M294" s="31" t="n">
        <x:v>0.379</x:v>
      </x:c>
      <x:c r="N294" s="31" t="inlineStr">
        <x:is>
          <x:t xml:space="preserve">Стандарт</x:t>
        </x:is>
      </x:c>
      <x:c r="O294" s="31" t="n">
        <x:v>46227</x:v>
      </x:c>
      <x:c r="P294" s="31" t="inlineStr">
        <x:is>
          <x:t xml:space="preserve">Спецификация 3</x:t>
        </x:is>
      </x:c>
    </x:row>
    <x:row r="295" ht="18" customHeight="1">
      <x:c r="A295" s="31" t="inlineStr">
        <x:is>
          <x:t xml:space="preserve">ПОЗ-0117-4</x:t>
        </x:is>
      </x:c>
      <x:c r="B295" s="31" t="inlineStr">
        <x:is>
          <x:t xml:space="preserve">ЗК-1117</x:t>
        </x:is>
      </x:c>
      <x:c r="C295" s="31" t="inlineStr">
        <x:is>
          <x:t xml:space="preserve">ИЗД-029</x:t>
        </x:is>
      </x:c>
      <x:c r="D295" s="31" t="inlineStr">
        <x:is>
          <x:t xml:space="preserve">Компрессорный модуль СТК-129</x:t>
        </x:is>
      </x:c>
      <x:c r="E295" s="31" t="n">
        <x:v>2</x:v>
      </x:c>
      <x:c r="F295" s="31" t="n">
        <x:v>3639513</x:v>
      </x:c>
      <x:c r="G295" s="31" t="n">
        <x:v>5</x:v>
      </x:c>
      <x:c r="H295" s="31" t="n">
        <x:v>6915075</x:v>
      </x:c>
      <x:c r="I295" s="31" t="n">
        <x:v>2712320</x:v>
      </x:c>
      <x:c r="J295" s="31" t="n">
        <x:v>754847</x:v>
      </x:c>
      <x:c r="K295" s="31" t="n">
        <x:v>699085</x:v>
      </x:c>
      <x:c r="L295" s="31" t="n">
        <x:v>2748823</x:v>
      </x:c>
      <x:c r="M295" s="31" t="n">
        <x:v>0.398</x:v>
      </x:c>
      <x:c r="N295" s="31" t="inlineStr">
        <x:is>
          <x:t xml:space="preserve">Стандарт</x:t>
        </x:is>
      </x:c>
      <x:c r="O295" s="31" t="n">
        <x:v>46227</x:v>
      </x:c>
      <x:c r="P295" s="31" t="inlineStr">
        <x:is>
          <x:t xml:space="preserve">Спецификация 1</x:t>
        </x:is>
      </x:c>
    </x:row>
    <x:row r="296" ht="18" customHeight="1">
      <x:c r="A296" s="31" t="inlineStr">
        <x:is>
          <x:t xml:space="preserve">ПОЗ-0118-1</x:t>
        </x:is>
      </x:c>
      <x:c r="B296" s="31" t="inlineStr">
        <x:is>
          <x:t xml:space="preserve">ЗК-1118</x:t>
        </x:is>
      </x:c>
      <x:c r="C296" s="31" t="inlineStr">
        <x:is>
          <x:t xml:space="preserve">ИЗД-022</x:t>
        </x:is>
      </x:c>
      <x:c r="D296" s="31" t="inlineStr">
        <x:is>
          <x:t xml:space="preserve">Блок дозирования СТК-122</x:t>
        </x:is>
      </x:c>
      <x:c r="E296" s="31" t="n">
        <x:v>3</x:v>
      </x:c>
      <x:c r="F296" s="31" t="n">
        <x:v>621878</x:v>
      </x:c>
      <x:c r="G296" s="31" t="n">
        <x:v>3</x:v>
      </x:c>
      <x:c r="H296" s="31" t="n">
        <x:v>1809665</x:v>
      </x:c>
      <x:c r="I296" s="31" t="n">
        <x:v>627619</x:v>
      </x:c>
      <x:c r="J296" s="31" t="n">
        <x:v>147756</x:v>
      </x:c>
      <x:c r="K296" s="31" t="n">
        <x:v>121092</x:v>
      </x:c>
      <x:c r="L296" s="31" t="n">
        <x:v>913198</x:v>
      </x:c>
      <x:c r="M296" s="31" t="n">
        <x:v>0.505</x:v>
      </x:c>
      <x:c r="N296" s="31" t="inlineStr">
        <x:is>
          <x:t xml:space="preserve">Нестандарт</x:t>
        </x:is>
      </x:c>
      <x:c r="O296" s="31" t="n">
        <x:v>46200</x:v>
      </x:c>
      <x:c r="P296" s="31" t="inlineStr">
        <x:is>
          <x:t xml:space="preserve">Спецификация 2</x:t>
        </x:is>
      </x:c>
    </x:row>
    <x:row r="297" ht="18" customHeight="1">
      <x:c r="A297" s="31" t="inlineStr">
        <x:is>
          <x:t xml:space="preserve">ПОЗ-0118-2</x:t>
        </x:is>
      </x:c>
      <x:c r="B297" s="31" t="inlineStr">
        <x:is>
          <x:t xml:space="preserve">ЗК-1118</x:t>
        </x:is>
      </x:c>
      <x:c r="C297" s="31" t="inlineStr">
        <x:is>
          <x:t xml:space="preserve">ИЗД-041</x:t>
        </x:is>
      </x:c>
      <x:c r="D297" s="31" t="inlineStr">
        <x:is>
          <x:t xml:space="preserve">Рама-основание СТК-141</x:t>
        </x:is>
      </x:c>
      <x:c r="E297" s="31" t="n">
        <x:v>3</x:v>
      </x:c>
      <x:c r="F297" s="31" t="n">
        <x:v>255853</x:v>
      </x:c>
      <x:c r="G297" s="31" t="n">
        <x:v>3</x:v>
      </x:c>
      <x:c r="H297" s="31" t="n">
        <x:v>744532</x:v>
      </x:c>
      <x:c r="I297" s="31" t="n">
        <x:v>264016</x:v>
      </x:c>
      <x:c r="J297" s="31" t="n">
        <x:v>76911</x:v>
      </x:c>
      <x:c r="K297" s="31" t="n">
        <x:v>48221</x:v>
      </x:c>
      <x:c r="L297" s="31" t="n">
        <x:v>355384</x:v>
      </x:c>
      <x:c r="M297" s="31" t="n">
        <x:v>0.477</x:v>
      </x:c>
      <x:c r="N297" s="31" t="inlineStr">
        <x:is>
          <x:t xml:space="preserve">Замена материала</x:t>
        </x:is>
      </x:c>
      <x:c r="O297" s="31" t="n">
        <x:v>46200</x:v>
      </x:c>
      <x:c r="P297" s="31" t="inlineStr">
        <x:is>
          <x:t xml:space="preserve">Спецификация 2</x:t>
        </x:is>
      </x:c>
    </x:row>
    <x:row r="298" ht="18" customHeight="1">
      <x:c r="A298" s="31" t="inlineStr">
        <x:is>
          <x:t xml:space="preserve">ПОЗ-0119-1</x:t>
        </x:is>
      </x:c>
      <x:c r="B298" s="31" t="inlineStr">
        <x:is>
          <x:t xml:space="preserve">ЗК-1119</x:t>
        </x:is>
      </x:c>
      <x:c r="C298" s="31" t="inlineStr">
        <x:is>
          <x:t xml:space="preserve">ИЗД-032</x:t>
        </x:is>
      </x:c>
      <x:c r="D298" s="31" t="inlineStr">
        <x:is>
          <x:t xml:space="preserve">Комплект ЗИП СТК-132</x:t>
        </x:is>
      </x:c>
      <x:c r="E298" s="31" t="n">
        <x:v>17</x:v>
      </x:c>
      <x:c r="F298" s="31" t="n">
        <x:v>224515</x:v>
      </x:c>
      <x:c r="G298" s="31" t="n">
        <x:v>0</x:v>
      </x:c>
      <x:c r="H298" s="31" t="n">
        <x:v>3816755</x:v>
      </x:c>
      <x:c r="I298" s="31" t="n">
        <x:v>1924485</x:v>
      </x:c>
      <x:c r="J298" s="31" t="n">
        <x:v>399129</x:v>
      </x:c>
      <x:c r="K298" s="31" t="n">
        <x:v>224812</x:v>
      </x:c>
      <x:c r="L298" s="31" t="n">
        <x:v>1268329</x:v>
      </x:c>
      <x:c r="M298" s="31" t="n">
        <x:v>0.332</x:v>
      </x:c>
      <x:c r="N298" s="31" t="inlineStr">
        <x:is>
          <x:t xml:space="preserve">Стандарт</x:t>
        </x:is>
      </x:c>
      <x:c r="O298" s="31" t="n">
        <x:v>46164</x:v>
      </x:c>
      <x:c r="P298" s="31" t="inlineStr">
        <x:is>
          <x:t xml:space="preserve">Спецификация 4</x:t>
        </x:is>
      </x:c>
    </x:row>
    <x:row r="299" ht="18" customHeight="1">
      <x:c r="A299" s="31" t="inlineStr">
        <x:is>
          <x:t xml:space="preserve">ПОЗ-0119-2</x:t>
        </x:is>
      </x:c>
      <x:c r="B299" s="31" t="inlineStr">
        <x:is>
          <x:t xml:space="preserve">ЗК-1119</x:t>
        </x:is>
      </x:c>
      <x:c r="C299" s="31" t="inlineStr">
        <x:is>
          <x:t xml:space="preserve">ИЗД-037</x:t>
        </x:is>
      </x:c>
      <x:c r="D299" s="31" t="inlineStr">
        <x:is>
          <x:t xml:space="preserve">Трубная обвязка СТК-137</x:t>
        </x:is>
      </x:c>
      <x:c r="E299" s="31" t="n">
        <x:v>4</x:v>
      </x:c>
      <x:c r="F299" s="31" t="n">
        <x:v>217811</x:v>
      </x:c>
      <x:c r="G299" s="31" t="n">
        <x:v>7</x:v>
      </x:c>
      <x:c r="H299" s="31" t="n">
        <x:v>810257</x:v>
      </x:c>
      <x:c r="I299" s="31" t="n">
        <x:v>411988</x:v>
      </x:c>
      <x:c r="J299" s="31" t="n">
        <x:v>76116</x:v>
      </x:c>
      <x:c r="K299" s="31" t="n">
        <x:v>62365</x:v>
      </x:c>
      <x:c r="L299" s="31" t="n">
        <x:v>259788</x:v>
      </x:c>
      <x:c r="M299" s="31" t="n">
        <x:v>0.321</x:v>
      </x:c>
      <x:c r="N299" s="31" t="inlineStr">
        <x:is>
          <x:t xml:space="preserve">Нестандарт</x:t>
        </x:is>
      </x:c>
      <x:c r="O299" s="31" t="n">
        <x:v>46164</x:v>
      </x:c>
      <x:c r="P299" s="31" t="inlineStr">
        <x:is>
          <x:t xml:space="preserve">Спецификация 3</x:t>
        </x:is>
      </x:c>
    </x:row>
    <x:row r="300" ht="18" customHeight="1">
      <x:c r="A300" s="31" t="inlineStr">
        <x:is>
          <x:t xml:space="preserve">ПОЗ-0120-1</x:t>
        </x:is>
      </x:c>
      <x:c r="B300" s="31" t="inlineStr">
        <x:is>
          <x:t xml:space="preserve">ЗК-1120</x:t>
        </x:is>
      </x:c>
      <x:c r="C300" s="31" t="inlineStr">
        <x:is>
          <x:t xml:space="preserve">ИЗД-039</x:t>
        </x:is>
      </x:c>
      <x:c r="D300" s="31" t="inlineStr">
        <x:is>
          <x:t xml:space="preserve">Рама-основание СТК-139</x:t>
        </x:is>
      </x:c>
      <x:c r="E300" s="31" t="n">
        <x:v>2</x:v>
      </x:c>
      <x:c r="F300" s="31" t="n">
        <x:v>225864</x:v>
      </x:c>
      <x:c r="G300" s="31" t="n">
        <x:v>3</x:v>
      </x:c>
      <x:c r="H300" s="31" t="n">
        <x:v>438176</x:v>
      </x:c>
      <x:c r="I300" s="31" t="n">
        <x:v>182251</x:v>
      </x:c>
      <x:c r="J300" s="31" t="n">
        <x:v>59595</x:v>
      </x:c>
      <x:c r="K300" s="31" t="n">
        <x:v>41245</x:v>
      </x:c>
      <x:c r="L300" s="31" t="n">
        <x:v>155085</x:v>
      </x:c>
      <x:c r="M300" s="31" t="n">
        <x:v>0.354</x:v>
      </x:c>
      <x:c r="N300" s="31" t="inlineStr">
        <x:is>
          <x:t xml:space="preserve">Стандарт</x:t>
        </x:is>
      </x:c>
      <x:c r="O300" s="31" t="n">
        <x:v>46116</x:v>
      </x:c>
      <x:c r="P300" s="31" t="inlineStr">
        <x:is>
          <x:t xml:space="preserve">Спецификация 3</x:t>
        </x:is>
      </x:c>
    </x:row>
    <x:row r="301">
      <x:c r="A301" s="31" t="inlineStr">
        <x:is>
          <x:t xml:space="preserve">ПОЗ-0120-2</x:t>
        </x:is>
      </x:c>
      <x:c r="B301" s="31" t="inlineStr">
        <x:is>
          <x:t xml:space="preserve">ЗК-1120</x:t>
        </x:is>
      </x:c>
      <x:c r="C301" s="31" t="inlineStr">
        <x:is>
          <x:t xml:space="preserve">ИЗД-035</x:t>
        </x:is>
      </x:c>
      <x:c r="D301" s="31" t="inlineStr">
        <x:is>
          <x:t xml:space="preserve">Компрессорный модуль СТК-135</x:t>
        </x:is>
      </x:c>
      <x:c r="E301" s="31" t="n">
        <x:v>2</x:v>
      </x:c>
      <x:c r="F301" s="31" t="n">
        <x:v>3297781</x:v>
      </x:c>
      <x:c r="G301" s="31" t="n">
        <x:v>3</x:v>
      </x:c>
      <x:c r="H301" s="31" t="n">
        <x:v>6397695</x:v>
      </x:c>
      <x:c r="I301" s="31" t="n">
        <x:v>3070117</x:v>
      </x:c>
      <x:c r="J301" s="31" t="n">
        <x:v>454123</x:v>
      </x:c>
      <x:c r="K301" s="31" t="n">
        <x:v>420068</x:v>
      </x:c>
      <x:c r="L301" s="31" t="n">
        <x:v>2453387</x:v>
      </x:c>
      <x:c r="M301" s="31" t="n">
        <x:v>0.383</x:v>
      </x:c>
      <x:c r="N301" s="31" t="inlineStr">
        <x:is>
          <x:t xml:space="preserve">Стандарт</x:t>
        </x:is>
      </x:c>
      <x:c r="O301" s="31" t="n">
        <x:v>46116</x:v>
      </x:c>
      <x:c r="P301" s="31" t="inlineStr">
        <x:is>
          <x:t xml:space="preserve">Спецификация 1</x:t>
        </x:is>
      </x:c>
    </x:row>
    <x:row r="302">
      <x:c r="A302" s="31" t="inlineStr">
        <x:is>
          <x:t xml:space="preserve">ПОЗ-0120-3</x:t>
        </x:is>
      </x:c>
      <x:c r="B302" s="31" t="inlineStr">
        <x:is>
          <x:t xml:space="preserve">ЗК-1120</x:t>
        </x:is>
      </x:c>
      <x:c r="C302" s="31" t="inlineStr">
        <x:is>
          <x:t xml:space="preserve">ИЗД-013</x:t>
        </x:is>
      </x:c>
      <x:c r="D302" s="31" t="inlineStr">
        <x:is>
          <x:t xml:space="preserve">Рама-основание СТК-113</x:t>
        </x:is>
      </x:c>
      <x:c r="E302" s="31" t="n">
        <x:v>1</x:v>
      </x:c>
      <x:c r="F302" s="31" t="n">
        <x:v>368987</x:v>
      </x:c>
      <x:c r="G302" s="31" t="n">
        <x:v>5</x:v>
      </x:c>
      <x:c r="H302" s="31" t="n">
        <x:v>350538</x:v>
      </x:c>
      <x:c r="I302" s="31" t="n">
        <x:v>125459</x:v>
      </x:c>
      <x:c r="J302" s="31" t="n">
        <x:v>39206</x:v>
      </x:c>
      <x:c r="K302" s="31" t="n">
        <x:v>36662</x:v>
      </x:c>
      <x:c r="L302" s="31" t="n">
        <x:v>149211</x:v>
      </x:c>
      <x:c r="M302" s="31" t="n">
        <x:v>0.426</x:v>
      </x:c>
      <x:c r="N302" s="31" t="inlineStr">
        <x:is>
          <x:t xml:space="preserve">Стандарт</x:t>
        </x:is>
      </x:c>
      <x:c r="O302" s="31" t="n">
        <x:v>46116</x:v>
      </x:c>
      <x:c r="P302" s="31" t="inlineStr">
        <x:is>
          <x:t xml:space="preserve">Спецификация 4</x:t>
        </x:is>
      </x:c>
    </x:row>
    <x:row r="303">
      <x:c r="A303" s="31" t="inlineStr">
        <x:is>
          <x:t xml:space="preserve">ПОЗ-0121-1</x:t>
        </x:is>
      </x:c>
      <x:c r="B303" s="31" t="inlineStr">
        <x:is>
          <x:t xml:space="preserve">ЗК-1121</x:t>
        </x:is>
      </x:c>
      <x:c r="C303" s="31" t="inlineStr">
        <x:is>
          <x:t xml:space="preserve">ИЗД-004</x:t>
        </x:is>
      </x:c>
      <x:c r="D303" s="31" t="inlineStr">
        <x:is>
          <x:t xml:space="preserve">Блок дозирования СТК-104</x:t>
        </x:is>
      </x:c>
      <x:c r="E303" s="31" t="n">
        <x:v>3</x:v>
      </x:c>
      <x:c r="F303" s="31" t="n">
        <x:v>998375</x:v>
      </x:c>
      <x:c r="G303" s="31" t="n">
        <x:v>3</x:v>
      </x:c>
      <x:c r="H303" s="31" t="n">
        <x:v>2905271</x:v>
      </x:c>
      <x:c r="I303" s="31" t="n">
        <x:v>1067054</x:v>
      </x:c>
      <x:c r="J303" s="31" t="n">
        <x:v>391762</x:v>
      </x:c>
      <x:c r="K303" s="31" t="n">
        <x:v>241160</x:v>
      </x:c>
      <x:c r="L303" s="31" t="n">
        <x:v>1205295</x:v>
      </x:c>
      <x:c r="M303" s="31" t="n">
        <x:v>0.415</x:v>
      </x:c>
      <x:c r="N303" s="31" t="inlineStr">
        <x:is>
          <x:t xml:space="preserve">Стандарт</x:t>
        </x:is>
      </x:c>
      <x:c r="O303" s="31" t="n">
        <x:v>46204</x:v>
      </x:c>
      <x:c r="P303" s="31" t="inlineStr">
        <x:is>
          <x:t xml:space="preserve">Спецификация 3</x:t>
        </x:is>
      </x:c>
    </x:row>
    <x:row r="304">
      <x:c r="A304" s="31" t="inlineStr">
        <x:is>
          <x:t xml:space="preserve">ПОЗ-0122-1</x:t>
        </x:is>
      </x:c>
      <x:c r="B304" s="31" t="inlineStr">
        <x:is>
          <x:t xml:space="preserve">ЗК-1122</x:t>
        </x:is>
      </x:c>
      <x:c r="C304" s="31" t="inlineStr">
        <x:is>
          <x:t xml:space="preserve">ИЗД-009</x:t>
        </x:is>
      </x:c>
      <x:c r="D304" s="31" t="inlineStr">
        <x:is>
          <x:t xml:space="preserve">Трубная обвязка СТК-109</x:t>
        </x:is>
      </x:c>
      <x:c r="E304" s="31" t="n">
        <x:v>2</x:v>
      </x:c>
      <x:c r="F304" s="31" t="n">
        <x:v>555637</x:v>
      </x:c>
      <x:c r="G304" s="31" t="n">
        <x:v>0</x:v>
      </x:c>
      <x:c r="H304" s="31" t="n">
        <x:v>1111274</x:v>
      </x:c>
      <x:c r="I304" s="31" t="n">
        <x:v>531750</x:v>
      </x:c>
      <x:c r="J304" s="31" t="n">
        <x:v>86976</x:v>
      </x:c>
      <x:c r="K304" s="31" t="n">
        <x:v>79588</x:v>
      </x:c>
      <x:c r="L304" s="31" t="n">
        <x:v>412960</x:v>
      </x:c>
      <x:c r="M304" s="31" t="n">
        <x:v>0.372</x:v>
      </x:c>
      <x:c r="N304" s="31" t="inlineStr">
        <x:is>
          <x:t xml:space="preserve">Стандарт</x:t>
        </x:is>
      </x:c>
      <x:c r="O304" s="31" t="n">
        <x:v>46154</x:v>
      </x:c>
      <x:c r="P304" s="31" t="inlineStr">
        <x:is>
          <x:t xml:space="preserve">Спецификация 1</x:t>
        </x:is>
      </x:c>
    </x:row>
    <x:row r="305">
      <x:c r="A305" s="31" t="inlineStr">
        <x:is>
          <x:t xml:space="preserve">ПОЗ-0123-1</x:t>
        </x:is>
      </x:c>
      <x:c r="B305" s="31" t="inlineStr">
        <x:is>
          <x:t xml:space="preserve">ЗК-1123</x:t>
        </x:is>
      </x:c>
      <x:c r="C305" s="31" t="inlineStr">
        <x:is>
          <x:t xml:space="preserve">ИЗД-016</x:t>
        </x:is>
      </x:c>
      <x:c r="D305" s="31" t="inlineStr">
        <x:is>
          <x:t xml:space="preserve">Насосная станция СТК-116</x:t>
        </x:is>
      </x:c>
      <x:c r="E305" s="31" t="n">
        <x:v>5</x:v>
      </x:c>
      <x:c r="F305" s="31" t="n">
        <x:v>1090822</x:v>
      </x:c>
      <x:c r="G305" s="31" t="n">
        <x:v>5</x:v>
      </x:c>
      <x:c r="H305" s="31" t="n">
        <x:v>5181404</x:v>
      </x:c>
      <x:c r="I305" s="31" t="n">
        <x:v>2502907</x:v>
      </x:c>
      <x:c r="J305" s="31" t="n">
        <x:v>585926</x:v>
      </x:c>
      <x:c r="K305" s="31" t="n">
        <x:v>272182</x:v>
      </x:c>
      <x:c r="L305" s="31" t="n">
        <x:v>1820389</x:v>
      </x:c>
      <x:c r="M305" s="31" t="n">
        <x:v>0.351</x:v>
      </x:c>
      <x:c r="N305" s="31" t="inlineStr">
        <x:is>
          <x:t xml:space="preserve">Нестандарт</x:t>
        </x:is>
      </x:c>
      <x:c r="O305" s="31" t="n">
        <x:v>46161</x:v>
      </x:c>
      <x:c r="P305" s="31" t="inlineStr">
        <x:is>
          <x:t xml:space="preserve">Спецификация 2</x:t>
        </x:is>
      </x:c>
    </x:row>
    <x:row r="306">
      <x:c r="A306" s="31" t="inlineStr">
        <x:is>
          <x:t xml:space="preserve">ПОЗ-0123-2</x:t>
        </x:is>
      </x:c>
      <x:c r="B306" s="31" t="inlineStr">
        <x:is>
          <x:t xml:space="preserve">ЗК-1123</x:t>
        </x:is>
      </x:c>
      <x:c r="C306" s="31" t="inlineStr">
        <x:is>
          <x:t xml:space="preserve">ИЗД-004</x:t>
        </x:is>
      </x:c>
      <x:c r="D306" s="31" t="inlineStr">
        <x:is>
          <x:t xml:space="preserve">Блок дозирования СТК-104</x:t>
        </x:is>
      </x:c>
      <x:c r="E306" s="31" t="n">
        <x:v>2</x:v>
      </x:c>
      <x:c r="F306" s="31" t="n">
        <x:v>985687</x:v>
      </x:c>
      <x:c r="G306" s="31" t="n">
        <x:v>0</x:v>
      </x:c>
      <x:c r="H306" s="31" t="n">
        <x:v>1971374</x:v>
      </x:c>
      <x:c r="I306" s="31" t="n">
        <x:v>841943</x:v>
      </x:c>
      <x:c r="J306" s="31" t="n">
        <x:v>256917</x:v>
      </x:c>
      <x:c r="K306" s="31" t="n">
        <x:v>100846</x:v>
      </x:c>
      <x:c r="L306" s="31" t="n">
        <x:v>771668</x:v>
      </x:c>
      <x:c r="M306" s="31" t="n">
        <x:v>0.391</x:v>
      </x:c>
      <x:c r="N306" s="31" t="inlineStr">
        <x:is>
          <x:t xml:space="preserve">Нестандарт</x:t>
        </x:is>
      </x:c>
      <x:c r="O306" s="31" t="n">
        <x:v>46161</x:v>
      </x:c>
      <x:c r="P306" s="31" t="inlineStr">
        <x:is>
          <x:t xml:space="preserve">Спецификация 4</x:t>
        </x:is>
      </x:c>
    </x:row>
    <x:row r="307">
      <x:c r="A307" s="31" t="inlineStr">
        <x:is>
          <x:t xml:space="preserve">ПОЗ-0124-1</x:t>
        </x:is>
      </x:c>
      <x:c r="B307" s="31" t="inlineStr">
        <x:is>
          <x:t xml:space="preserve">ЗК-1124</x:t>
        </x:is>
      </x:c>
      <x:c r="C307" s="31" t="inlineStr">
        <x:is>
          <x:t xml:space="preserve">ИЗД-026</x:t>
        </x:is>
      </x:c>
      <x:c r="D307" s="31" t="inlineStr">
        <x:is>
          <x:t xml:space="preserve">Шкаф управления СТК-126</x:t>
        </x:is>
      </x:c>
      <x:c r="E307" s="31" t="n">
        <x:v>2</x:v>
      </x:c>
      <x:c r="F307" s="31" t="n">
        <x:v>496810</x:v>
      </x:c>
      <x:c r="G307" s="31" t="n">
        <x:v>7</x:v>
      </x:c>
      <x:c r="H307" s="31" t="n">
        <x:v>924067</x:v>
      </x:c>
      <x:c r="I307" s="31" t="n">
        <x:v>493149</x:v>
      </x:c>
      <x:c r="J307" s="31" t="n">
        <x:v>88089</x:v>
      </x:c>
      <x:c r="K307" s="31" t="n">
        <x:v>77045</x:v>
      </x:c>
      <x:c r="L307" s="31" t="n">
        <x:v>265784</x:v>
      </x:c>
      <x:c r="M307" s="31" t="n">
        <x:v>0.288</x:v>
      </x:c>
      <x:c r="N307" s="31" t="inlineStr">
        <x:is>
          <x:t xml:space="preserve">Стандарт</x:t>
        </x:is>
      </x:c>
      <x:c r="O307" s="31" t="n">
        <x:v>46063</x:v>
      </x:c>
      <x:c r="P307" s="31" t="inlineStr">
        <x:is>
          <x:t xml:space="preserve">Спецификация 2</x:t>
        </x:is>
      </x:c>
    </x:row>
    <x:row r="308">
      <x:c r="A308" s="31" t="inlineStr">
        <x:is>
          <x:t xml:space="preserve">ПОЗ-0124-2</x:t>
        </x:is>
      </x:c>
      <x:c r="B308" s="31" t="inlineStr">
        <x:is>
          <x:t xml:space="preserve">ЗК-1124</x:t>
        </x:is>
      </x:c>
      <x:c r="C308" s="31" t="inlineStr">
        <x:is>
          <x:t xml:space="preserve">ИЗД-014</x:t>
        </x:is>
      </x:c>
      <x:c r="D308" s="31" t="inlineStr">
        <x:is>
          <x:t xml:space="preserve">Рама-основание СТК-114</x:t>
        </x:is>
      </x:c>
      <x:c r="E308" s="31" t="n">
        <x:v>2</x:v>
      </x:c>
      <x:c r="F308" s="31" t="n">
        <x:v>112971</x:v>
      </x:c>
      <x:c r="G308" s="31" t="n">
        <x:v>0</x:v>
      </x:c>
      <x:c r="H308" s="31" t="n">
        <x:v>225942</x:v>
      </x:c>
      <x:c r="I308" s="31" t="n">
        <x:v>94109</x:v>
      </x:c>
      <x:c r="J308" s="31" t="n">
        <x:v>34075</x:v>
      </x:c>
      <x:c r="K308" s="31" t="n">
        <x:v>16620</x:v>
      </x:c>
      <x:c r="L308" s="31" t="n">
        <x:v>81138</x:v>
      </x:c>
      <x:c r="M308" s="31" t="n">
        <x:v>0.359</x:v>
      </x:c>
      <x:c r="N308" s="31" t="inlineStr">
        <x:is>
          <x:t xml:space="preserve">Стандарт</x:t>
        </x:is>
      </x:c>
      <x:c r="O308" s="31" t="n">
        <x:v>46063</x:v>
      </x:c>
      <x:c r="P308" s="31" t="inlineStr">
        <x:is>
          <x:t xml:space="preserve">Спецификация 4</x:t>
        </x:is>
      </x:c>
    </x:row>
    <x:row r="309">
      <x:c r="A309" s="31" t="inlineStr">
        <x:is>
          <x:t xml:space="preserve">ПОЗ-0125-1</x:t>
        </x:is>
      </x:c>
      <x:c r="B309" s="31" t="inlineStr">
        <x:is>
          <x:t xml:space="preserve">ЗК-1125</x:t>
        </x:is>
      </x:c>
      <x:c r="C309" s="31" t="inlineStr">
        <x:is>
          <x:t xml:space="preserve">ИЗД-038</x:t>
        </x:is>
      </x:c>
      <x:c r="D309" s="31" t="inlineStr">
        <x:is>
          <x:t xml:space="preserve">Трубная обвязка СТК-138</x:t>
        </x:is>
      </x:c>
      <x:c r="E309" s="31" t="n">
        <x:v>3</x:v>
      </x:c>
      <x:c r="F309" s="31" t="n">
        <x:v>424638</x:v>
      </x:c>
      <x:c r="G309" s="31" t="n">
        <x:v>5</x:v>
      </x:c>
      <x:c r="H309" s="31" t="n">
        <x:v>1210218</x:v>
      </x:c>
      <x:c r="I309" s="31" t="n">
        <x:v>510711</x:v>
      </x:c>
      <x:c r="J309" s="31" t="n">
        <x:v>181676</x:v>
      </x:c>
      <x:c r="K309" s="31" t="n">
        <x:v>121765</x:v>
      </x:c>
      <x:c r="L309" s="31" t="n">
        <x:v>396066</x:v>
      </x:c>
      <x:c r="M309" s="31" t="n">
        <x:v>0.327</x:v>
      </x:c>
      <x:c r="N309" s="31" t="inlineStr">
        <x:is>
          <x:t xml:space="preserve">Стандарт</x:t>
        </x:is>
      </x:c>
      <x:c r="O309" s="31" t="n">
        <x:v>46121</x:v>
      </x:c>
      <x:c r="P309" s="31" t="inlineStr">
        <x:is>
          <x:t xml:space="preserve">Спецификация 1</x:t>
        </x:is>
      </x:c>
    </x:row>
    <x:row r="310">
      <x:c r="A310" s="31" t="inlineStr">
        <x:is>
          <x:t xml:space="preserve">ПОЗ-0125-2</x:t>
        </x:is>
      </x:c>
      <x:c r="B310" s="31" t="inlineStr">
        <x:is>
          <x:t xml:space="preserve">ЗК-1125</x:t>
        </x:is>
      </x:c>
      <x:c r="C310" s="31" t="inlineStr">
        <x:is>
          <x:t xml:space="preserve">ИЗД-020</x:t>
        </x:is>
      </x:c>
      <x:c r="D310" s="31" t="inlineStr">
        <x:is>
          <x:t xml:space="preserve">Трубная обвязка СТК-120</x:t>
        </x:is>
      </x:c>
      <x:c r="E310" s="31" t="n">
        <x:v>3</x:v>
      </x:c>
      <x:c r="F310" s="31" t="n">
        <x:v>286860</x:v>
      </x:c>
      <x:c r="G310" s="31" t="n">
        <x:v>7</x:v>
      </x:c>
      <x:c r="H310" s="31" t="n">
        <x:v>800339</x:v>
      </x:c>
      <x:c r="I310" s="31" t="n">
        <x:v>448920</x:v>
      </x:c>
      <x:c r="J310" s="31" t="n">
        <x:v>70887</x:v>
      </x:c>
      <x:c r="K310" s="31" t="n">
        <x:v>85482</x:v>
      </x:c>
      <x:c r="L310" s="31" t="n">
        <x:v>195050</x:v>
      </x:c>
      <x:c r="M310" s="31" t="n">
        <x:v>0.244</x:v>
      </x:c>
      <x:c r="N310" s="31" t="inlineStr">
        <x:is>
          <x:t xml:space="preserve">Стандарт</x:t>
        </x:is>
      </x:c>
      <x:c r="O310" s="31" t="n">
        <x:v>46121</x:v>
      </x:c>
      <x:c r="P310" s="31" t="inlineStr">
        <x:is>
          <x:t xml:space="preserve">Спецификация 3</x:t>
        </x:is>
      </x:c>
    </x:row>
    <x:row r="311">
      <x:c r="A311" s="31" t="inlineStr">
        <x:is>
          <x:t xml:space="preserve">ПОЗ-0126-1</x:t>
        </x:is>
      </x:c>
      <x:c r="B311" s="31" t="inlineStr">
        <x:is>
          <x:t xml:space="preserve">ЗК-1126</x:t>
        </x:is>
      </x:c>
      <x:c r="C311" s="31" t="inlineStr">
        <x:is>
          <x:t xml:space="preserve">ИЗД-001</x:t>
        </x:is>
      </x:c>
      <x:c r="D311" s="31" t="inlineStr">
        <x:is>
          <x:t xml:space="preserve">Комплект ЗИП СТК-101</x:t>
        </x:is>
      </x:c>
      <x:c r="E311" s="31" t="n">
        <x:v>14</x:v>
      </x:c>
      <x:c r="F311" s="31" t="n">
        <x:v>77511</x:v>
      </x:c>
      <x:c r="G311" s="31" t="n">
        <x:v>10</x:v>
      </x:c>
      <x:c r="H311" s="31" t="n">
        <x:v>976639</x:v>
      </x:c>
      <x:c r="I311" s="31" t="n">
        <x:v>374525</x:v>
      </x:c>
      <x:c r="J311" s="31" t="n">
        <x:v>100715</x:v>
      </x:c>
      <x:c r="K311" s="31" t="n">
        <x:v>86673</x:v>
      </x:c>
      <x:c r="L311" s="31" t="n">
        <x:v>414726</x:v>
      </x:c>
      <x:c r="M311" s="31" t="n">
        <x:v>0.425</x:v>
      </x:c>
      <x:c r="N311" s="31" t="inlineStr">
        <x:is>
          <x:t xml:space="preserve">Срочная поставка</x:t>
        </x:is>
      </x:c>
      <x:c r="O311" s="31" t="n">
        <x:v>46228</x:v>
      </x:c>
      <x:c r="P311" s="31" t="inlineStr">
        <x:is>
          <x:t xml:space="preserve">Спецификация 3</x:t>
        </x:is>
      </x:c>
    </x:row>
    <x:row r="312">
      <x:c r="A312" s="31" t="inlineStr">
        <x:is>
          <x:t xml:space="preserve">ПОЗ-0126-2</x:t>
        </x:is>
      </x:c>
      <x:c r="B312" s="31" t="inlineStr">
        <x:is>
          <x:t xml:space="preserve">ЗК-1126</x:t>
        </x:is>
      </x:c>
      <x:c r="C312" s="31" t="inlineStr">
        <x:is>
          <x:t xml:space="preserve">ИЗД-020</x:t>
        </x:is>
      </x:c>
      <x:c r="D312" s="31" t="inlineStr">
        <x:is>
          <x:t xml:space="preserve">Трубная обвязка СТК-120</x:t>
        </x:is>
      </x:c>
      <x:c r="E312" s="31" t="n">
        <x:v>1</x:v>
      </x:c>
      <x:c r="F312" s="31" t="n">
        <x:v>308480</x:v>
      </x:c>
      <x:c r="G312" s="31" t="n">
        <x:v>5</x:v>
      </x:c>
      <x:c r="H312" s="31" t="n">
        <x:v>293056</x:v>
      </x:c>
      <x:c r="I312" s="31" t="n">
        <x:v>135923</x:v>
      </x:c>
      <x:c r="J312" s="31" t="n">
        <x:v>21437</x:v>
      </x:c>
      <x:c r="K312" s="31" t="n">
        <x:v>16764</x:v>
      </x:c>
      <x:c r="L312" s="31" t="n">
        <x:v>118932</x:v>
      </x:c>
      <x:c r="M312" s="31" t="n">
        <x:v>0.406</x:v>
      </x:c>
      <x:c r="N312" s="31" t="inlineStr">
        <x:is>
          <x:t xml:space="preserve">Стандарт</x:t>
        </x:is>
      </x:c>
      <x:c r="O312" s="31" t="n">
        <x:v>46228</x:v>
      </x:c>
      <x:c r="P312" s="31" t="inlineStr">
        <x:is>
          <x:t xml:space="preserve">Спецификация 4</x:t>
        </x:is>
      </x:c>
    </x:row>
    <x:row r="313">
      <x:c r="A313" s="31" t="inlineStr">
        <x:is>
          <x:t xml:space="preserve">ПОЗ-0126-3</x:t>
        </x:is>
      </x:c>
      <x:c r="B313" s="31" t="inlineStr">
        <x:is>
          <x:t xml:space="preserve">ЗК-1126</x:t>
        </x:is>
      </x:c>
      <x:c r="C313" s="31" t="inlineStr">
        <x:is>
          <x:t xml:space="preserve">ИЗД-029</x:t>
        </x:is>
      </x:c>
      <x:c r="D313" s="31" t="inlineStr">
        <x:is>
          <x:t xml:space="preserve">Компрессорный модуль СТК-129</x:t>
        </x:is>
      </x:c>
      <x:c r="E313" s="31" t="n">
        <x:v>2</x:v>
      </x:c>
      <x:c r="F313" s="31" t="n">
        <x:v>3571552</x:v>
      </x:c>
      <x:c r="G313" s="31" t="n">
        <x:v>5</x:v>
      </x:c>
      <x:c r="H313" s="31" t="n">
        <x:v>6785949</x:v>
      </x:c>
      <x:c r="I313" s="31" t="n">
        <x:v>3079084</x:v>
      </x:c>
      <x:c r="J313" s="31" t="n">
        <x:v>959185</x:v>
      </x:c>
      <x:c r="K313" s="31" t="n">
        <x:v>697714</x:v>
      </x:c>
      <x:c r="L313" s="31" t="n">
        <x:v>2049966</x:v>
      </x:c>
      <x:c r="M313" s="31" t="n">
        <x:v>0.302</x:v>
      </x:c>
      <x:c r="N313" s="31" t="inlineStr">
        <x:is>
          <x:t xml:space="preserve">Замена материала</x:t>
        </x:is>
      </x:c>
      <x:c r="O313" s="31" t="n">
        <x:v>46228</x:v>
      </x:c>
      <x:c r="P313" s="31" t="inlineStr">
        <x:is>
          <x:t xml:space="preserve">Спецификация 2</x:t>
        </x:is>
      </x:c>
    </x:row>
    <x:row r="314">
      <x:c r="A314" s="31" t="inlineStr">
        <x:is>
          <x:t xml:space="preserve">ПОЗ-0127-1</x:t>
        </x:is>
      </x:c>
      <x:c r="B314" s="31" t="inlineStr">
        <x:is>
          <x:t xml:space="preserve">ЗК-1127</x:t>
        </x:is>
      </x:c>
      <x:c r="C314" s="31" t="inlineStr">
        <x:is>
          <x:t xml:space="preserve">ИЗД-032</x:t>
        </x:is>
      </x:c>
      <x:c r="D314" s="31" t="inlineStr">
        <x:is>
          <x:t xml:space="preserve">Комплект ЗИП СТК-132</x:t>
        </x:is>
      </x:c>
      <x:c r="E314" s="31" t="n">
        <x:v>15</x:v>
      </x:c>
      <x:c r="F314" s="31" t="n">
        <x:v>221468</x:v>
      </x:c>
      <x:c r="G314" s="31" t="n">
        <x:v>3</x:v>
      </x:c>
      <x:c r="H314" s="31" t="n">
        <x:v>3222359</x:v>
      </x:c>
      <x:c r="I314" s="31" t="n">
        <x:v>1670551</x:v>
      </x:c>
      <x:c r="J314" s="31" t="n">
        <x:v>392833</x:v>
      </x:c>
      <x:c r="K314" s="31" t="n">
        <x:v>169631</x:v>
      </x:c>
      <x:c r="L314" s="31" t="n">
        <x:v>989344</x:v>
      </x:c>
      <x:c r="M314" s="31" t="n">
        <x:v>0.307</x:v>
      </x:c>
      <x:c r="N314" s="31" t="inlineStr">
        <x:is>
          <x:t xml:space="preserve">Стандарт</x:t>
        </x:is>
      </x:c>
      <x:c r="O314" s="31" t="n">
        <x:v>46086</x:v>
      </x:c>
      <x:c r="P314" s="31" t="inlineStr">
        <x:is>
          <x:t xml:space="preserve">Спецификация 3</x:t>
        </x:is>
      </x:c>
    </x:row>
    <x:row r="315">
      <x:c r="A315" s="31" t="inlineStr">
        <x:is>
          <x:t xml:space="preserve">ПОЗ-0128-1</x:t>
        </x:is>
      </x:c>
      <x:c r="B315" s="31" t="inlineStr">
        <x:is>
          <x:t xml:space="preserve">ЗК-1128</x:t>
        </x:is>
      </x:c>
      <x:c r="C315" s="31" t="inlineStr">
        <x:is>
          <x:t xml:space="preserve">ИЗД-015</x:t>
        </x:is>
      </x:c>
      <x:c r="D315" s="31" t="inlineStr">
        <x:is>
          <x:t xml:space="preserve">Сервисный комплект СТК-115</x:t>
        </x:is>
      </x:c>
      <x:c r="E315" s="31" t="n">
        <x:v>4</x:v>
      </x:c>
      <x:c r="F315" s="31" t="n">
        <x:v>246811</x:v>
      </x:c>
      <x:c r="G315" s="31" t="n">
        <x:v>3</x:v>
      </x:c>
      <x:c r="H315" s="31" t="n">
        <x:v>957627</x:v>
      </x:c>
      <x:c r="I315" s="31" t="n">
        <x:v>441532</x:v>
      </x:c>
      <x:c r="J315" s="31" t="n">
        <x:v>81159</x:v>
      </x:c>
      <x:c r="K315" s="31" t="n">
        <x:v>85723</x:v>
      </x:c>
      <x:c r="L315" s="31" t="n">
        <x:v>349213</x:v>
      </x:c>
      <x:c r="M315" s="31" t="n">
        <x:v>0.365</x:v>
      </x:c>
      <x:c r="N315" s="31" t="inlineStr">
        <x:is>
          <x:t xml:space="preserve">Стандарт</x:t>
        </x:is>
      </x:c>
      <x:c r="O315" s="31" t="n">
        <x:v>46124</x:v>
      </x:c>
      <x:c r="P315" s="31" t="inlineStr">
        <x:is>
          <x:t xml:space="preserve">Спецификация 2</x:t>
        </x:is>
      </x:c>
    </x:row>
    <x:row r="316">
      <x:c r="A316" s="31" t="inlineStr">
        <x:is>
          <x:t xml:space="preserve">ПОЗ-0128-2</x:t>
        </x:is>
      </x:c>
      <x:c r="B316" s="31" t="inlineStr">
        <x:is>
          <x:t xml:space="preserve">ЗК-1128</x:t>
        </x:is>
      </x:c>
      <x:c r="C316" s="31" t="inlineStr">
        <x:is>
          <x:t xml:space="preserve">ИЗД-004</x:t>
        </x:is>
      </x:c>
      <x:c r="D316" s="31" t="inlineStr">
        <x:is>
          <x:t xml:space="preserve">Блок дозирования СТК-104</x:t>
        </x:is>
      </x:c>
      <x:c r="E316" s="31" t="n">
        <x:v>3</x:v>
      </x:c>
      <x:c r="F316" s="31" t="n">
        <x:v>1042941</x:v>
      </x:c>
      <x:c r="G316" s="31" t="n">
        <x:v>0</x:v>
      </x:c>
      <x:c r="H316" s="31" t="n">
        <x:v>3128823</x:v>
      </x:c>
      <x:c r="I316" s="31" t="n">
        <x:v>1089164</x:v>
      </x:c>
      <x:c r="J316" s="31" t="n">
        <x:v>332156</x:v>
      </x:c>
      <x:c r="K316" s="31" t="n">
        <x:v>244202</x:v>
      </x:c>
      <x:c r="L316" s="31" t="n">
        <x:v>1463301</x:v>
      </x:c>
      <x:c r="M316" s="31" t="n">
        <x:v>0.468</x:v>
      </x:c>
      <x:c r="N316" s="31" t="inlineStr">
        <x:is>
          <x:t xml:space="preserve">Стандарт</x:t>
        </x:is>
      </x:c>
      <x:c r="O316" s="31" t="n">
        <x:v>46124</x:v>
      </x:c>
      <x:c r="P316" s="31" t="inlineStr">
        <x:is>
          <x:t xml:space="preserve">Спецификация 3</x:t>
        </x:is>
      </x:c>
    </x:row>
    <x:row r="317">
      <x:c r="A317" s="31" t="inlineStr">
        <x:is>
          <x:t xml:space="preserve">ПОЗ-0128-3</x:t>
        </x:is>
      </x:c>
      <x:c r="B317" s="31" t="inlineStr">
        <x:is>
          <x:t xml:space="preserve">ЗК-1128</x:t>
        </x:is>
      </x:c>
      <x:c r="C317" s="31" t="inlineStr">
        <x:is>
          <x:t xml:space="preserve">ИЗД-019</x:t>
        </x:is>
      </x:c>
      <x:c r="D317" s="31" t="inlineStr">
        <x:is>
          <x:t xml:space="preserve">Насосная станция СТК-119</x:t>
        </x:is>
      </x:c>
      <x:c r="E317" s="31" t="n">
        <x:v>2</x:v>
      </x:c>
      <x:c r="F317" s="31" t="n">
        <x:v>1348542</x:v>
      </x:c>
      <x:c r="G317" s="31" t="n">
        <x:v>5</x:v>
      </x:c>
      <x:c r="H317" s="31" t="n">
        <x:v>2562230</x:v>
      </x:c>
      <x:c r="I317" s="31" t="n">
        <x:v>1003382</x:v>
      </x:c>
      <x:c r="J317" s="31" t="n">
        <x:v>304404</x:v>
      </x:c>
      <x:c r="K317" s="31" t="n">
        <x:v>183506</x:v>
      </x:c>
      <x:c r="L317" s="31" t="n">
        <x:v>1070938</x:v>
      </x:c>
      <x:c r="M317" s="31" t="n">
        <x:v>0.418</x:v>
      </x:c>
      <x:c r="N317" s="31" t="inlineStr">
        <x:is>
          <x:t xml:space="preserve">Стандарт</x:t>
        </x:is>
      </x:c>
      <x:c r="O317" s="31" t="n">
        <x:v>46124</x:v>
      </x:c>
      <x:c r="P317" s="31" t="inlineStr">
        <x:is>
          <x:t xml:space="preserve">Спецификация 3</x:t>
        </x:is>
      </x:c>
    </x:row>
    <x:row r="318">
      <x:c r="A318" s="31" t="inlineStr">
        <x:is>
          <x:t xml:space="preserve">ПОЗ-0128-4</x:t>
        </x:is>
      </x:c>
      <x:c r="B318" s="31" t="inlineStr">
        <x:is>
          <x:t xml:space="preserve">ЗК-1128</x:t>
        </x:is>
      </x:c>
      <x:c r="C318" s="31" t="inlineStr">
        <x:is>
          <x:t xml:space="preserve">ИЗД-024</x:t>
        </x:is>
      </x:c>
      <x:c r="D318" s="31" t="inlineStr">
        <x:is>
          <x:t xml:space="preserve">Блок дозирования СТК-124</x:t>
        </x:is>
      </x:c>
      <x:c r="E318" s="31" t="n">
        <x:v>2</x:v>
      </x:c>
      <x:c r="F318" s="31" t="n">
        <x:v>1329259</x:v>
      </x:c>
      <x:c r="G318" s="31" t="n">
        <x:v>3</x:v>
      </x:c>
      <x:c r="H318" s="31" t="n">
        <x:v>2578762</x:v>
      </x:c>
      <x:c r="I318" s="31" t="n">
        <x:v>1237379</x:v>
      </x:c>
      <x:c r="J318" s="31" t="n">
        <x:v>355439</x:v>
      </x:c>
      <x:c r="K318" s="31" t="n">
        <x:v>262281</x:v>
      </x:c>
      <x:c r="L318" s="31" t="n">
        <x:v>723663</x:v>
      </x:c>
      <x:c r="M318" s="31" t="n">
        <x:v>0.281</x:v>
      </x:c>
      <x:c r="N318" s="31" t="inlineStr">
        <x:is>
          <x:t xml:space="preserve">Стандарт</x:t>
        </x:is>
      </x:c>
      <x:c r="O318" s="31" t="n">
        <x:v>46124</x:v>
      </x:c>
      <x:c r="P318" s="31" t="inlineStr">
        <x:is>
          <x:t xml:space="preserve">Спецификация 1</x:t>
        </x:is>
      </x:c>
    </x:row>
    <x:row r="319">
      <x:c r="A319" s="31" t="inlineStr">
        <x:is>
          <x:t xml:space="preserve">ПОЗ-0129-1</x:t>
        </x:is>
      </x:c>
      <x:c r="B319" s="31" t="inlineStr">
        <x:is>
          <x:t xml:space="preserve">ЗК-1129</x:t>
        </x:is>
      </x:c>
      <x:c r="C319" s="31" t="inlineStr">
        <x:is>
          <x:t xml:space="preserve">ИЗД-034</x:t>
        </x:is>
      </x:c>
      <x:c r="D319" s="31" t="inlineStr">
        <x:is>
          <x:t xml:space="preserve">Компрессорный модуль СТК-134</x:t>
        </x:is>
      </x:c>
      <x:c r="E319" s="31" t="n">
        <x:v>1</x:v>
      </x:c>
      <x:c r="F319" s="31" t="n">
        <x:v>3342082</x:v>
      </x:c>
      <x:c r="G319" s="31" t="n">
        <x:v>0</x:v>
      </x:c>
      <x:c r="H319" s="31" t="n">
        <x:v>3342082</x:v>
      </x:c>
      <x:c r="I319" s="31" t="n">
        <x:v>1582884</x:v>
      </x:c>
      <x:c r="J319" s="31" t="n">
        <x:v>517375</x:v>
      </x:c>
      <x:c r="K319" s="31" t="n">
        <x:v>315435</x:v>
      </x:c>
      <x:c r="L319" s="31" t="n">
        <x:v>926388</x:v>
      </x:c>
      <x:c r="M319" s="31" t="n">
        <x:v>0.277</x:v>
      </x:c>
      <x:c r="N319" s="31" t="inlineStr">
        <x:is>
          <x:t xml:space="preserve">Стандарт</x:t>
        </x:is>
      </x:c>
      <x:c r="O319" s="31" t="n">
        <x:v>46154</x:v>
      </x:c>
      <x:c r="P319" s="31" t="inlineStr">
        <x:is>
          <x:t xml:space="preserve">Спецификация 3</x:t>
        </x:is>
      </x:c>
    </x:row>
    <x:row r="320">
      <x:c r="A320" s="31" t="inlineStr">
        <x:is>
          <x:t xml:space="preserve">ПОЗ-0130-1</x:t>
        </x:is>
      </x:c>
      <x:c r="B320" s="31" t="inlineStr">
        <x:is>
          <x:t xml:space="preserve">ЗК-1130</x:t>
        </x:is>
      </x:c>
      <x:c r="C320" s="31" t="inlineStr">
        <x:is>
          <x:t xml:space="preserve">ИЗД-001</x:t>
        </x:is>
      </x:c>
      <x:c r="D320" s="31" t="inlineStr">
        <x:is>
          <x:t xml:space="preserve">Комплект ЗИП СТК-101</x:t>
        </x:is>
      </x:c>
      <x:c r="E320" s="31" t="n">
        <x:v>5</x:v>
      </x:c>
      <x:c r="F320" s="31" t="n">
        <x:v>73269</x:v>
      </x:c>
      <x:c r="G320" s="31" t="n">
        <x:v>7</x:v>
      </x:c>
      <x:c r="H320" s="31" t="n">
        <x:v>340701</x:v>
      </x:c>
      <x:c r="I320" s="31" t="n">
        <x:v>162034</x:v>
      </x:c>
      <x:c r="J320" s="31" t="n">
        <x:v>33249</x:v>
      </x:c>
      <x:c r="K320" s="31" t="n">
        <x:v>32485</x:v>
      </x:c>
      <x:c r="L320" s="31" t="n">
        <x:v>112933</x:v>
      </x:c>
      <x:c r="M320" s="31" t="n">
        <x:v>0.331</x:v>
      </x:c>
      <x:c r="N320" s="31" t="inlineStr">
        <x:is>
          <x:t xml:space="preserve">Стандарт</x:t>
        </x:is>
      </x:c>
      <x:c r="O320" s="31" t="n">
        <x:v>46221</x:v>
      </x:c>
      <x:c r="P320" s="31" t="inlineStr">
        <x:is>
          <x:t xml:space="preserve">Спецификация 2</x:t>
        </x:is>
      </x:c>
    </x:row>
    <x:row r="321">
      <x:c r="A321" s="31" t="inlineStr">
        <x:is>
          <x:t xml:space="preserve">ПОЗ-0130-2</x:t>
        </x:is>
      </x:c>
      <x:c r="B321" s="31" t="inlineStr">
        <x:is>
          <x:t xml:space="preserve">ЗК-1130</x:t>
        </x:is>
      </x:c>
      <x:c r="C321" s="31" t="inlineStr">
        <x:is>
          <x:t xml:space="preserve">ИЗД-033</x:t>
        </x:is>
      </x:c>
      <x:c r="D321" s="31" t="inlineStr">
        <x:is>
          <x:t xml:space="preserve">Блок дозирования СТК-133</x:t>
        </x:is>
      </x:c>
      <x:c r="E321" s="31" t="n">
        <x:v>5</x:v>
      </x:c>
      <x:c r="F321" s="31" t="n">
        <x:v>613976</x:v>
      </x:c>
      <x:c r="G321" s="31" t="n">
        <x:v>10</x:v>
      </x:c>
      <x:c r="H321" s="31" t="n">
        <x:v>2762892</x:v>
      </x:c>
      <x:c r="I321" s="31" t="n">
        <x:v>1050220</x:v>
      </x:c>
      <x:c r="J321" s="31" t="n">
        <x:v>197436</x:v>
      </x:c>
      <x:c r="K321" s="31" t="n">
        <x:v>187178</x:v>
      </x:c>
      <x:c r="L321" s="31" t="n">
        <x:v>1328058</x:v>
      </x:c>
      <x:c r="M321" s="31" t="n">
        <x:v>0.481</x:v>
      </x:c>
      <x:c r="N321" s="31" t="inlineStr">
        <x:is>
          <x:t xml:space="preserve">Стандарт</x:t>
        </x:is>
      </x:c>
      <x:c r="O321" s="31" t="n">
        <x:v>46221</x:v>
      </x:c>
      <x:c r="P321" s="31" t="inlineStr">
        <x:is>
          <x:t xml:space="preserve">Спецификация 1</x:t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13" customWidth="1"/>
    <x:col min="2" max="2" width="30" customWidth="1"/>
    <x:col min="3" max="3" width="22" customWidth="1"/>
    <x:col min="4" max="4" width="11" customWidth="1"/>
    <x:col min="5" max="5" width="20" customWidth="1"/>
    <x:col min="6" max="6" width="18" customWidth="1"/>
    <x:col min="7" max="7" width="24" customWidth="1"/>
    <x:col min="8" max="8" width="15" customWidth="1"/>
    <x:col min="9" max="9" width="12" customWidth="1"/>
    <x:col min="10" max="10" width="10" customWidth="1"/>
  </x:cols>
  <x:sheetData>
    <x:row r="1" ht="18" customHeight="1">
      <x:c r="A1" s="30" t="inlineStr">
        <x:is>
          <x:t xml:space="preserve">Код изделия</x:t>
        </x:is>
      </x:c>
      <x:c r="B1" s="30" t="inlineStr">
        <x:is>
          <x:t xml:space="preserve">Изделие</x:t>
        </x:is>
      </x:c>
      <x:c r="C1" s="30" t="inlineStr">
        <x:is>
          <x:t xml:space="preserve">Тип изделия</x:t>
        </x:is>
      </x:c>
      <x:c r="D1" s="30" t="inlineStr">
        <x:is>
          <x:t xml:space="preserve">Сложность</x:t>
        </x:is>
      </x:c>
      <x:c r="E1" s="30" t="inlineStr">
        <x:is>
          <x:t xml:space="preserve">Базовая цена, руб.</x:t>
        </x:is>
      </x:c>
      <x:c r="F1" s="30" t="inlineStr">
        <x:is>
          <x:t xml:space="preserve">Целевая маржа, %</x:t>
        </x:is>
      </x:c>
      <x:c r="G1" s="30" t="inlineStr">
        <x:is>
          <x:t xml:space="preserve">Нормативный срок, дней</x:t>
        </x:is>
      </x:c>
      <x:c r="H1" s="30" t="inlineStr">
        <x:is>
          <x:t xml:space="preserve">Режим выпуска</x:t>
        </x:is>
      </x:c>
      <x:c r="I1" s="30" t="inlineStr">
        <x:is>
          <x:t xml:space="preserve">Требует КД</x:t>
        </x:is>
      </x:c>
      <x:c r="J1" s="30" t="inlineStr">
        <x:is>
          <x:t xml:space="preserve">Версия</x:t>
        </x:is>
      </x:c>
    </x:row>
    <x:row r="2" ht="18" customHeight="1">
      <x:c r="A2" s="31" t="inlineStr">
        <x:is>
          <x:t xml:space="preserve">ИЗД-001</x:t>
        </x:is>
      </x:c>
      <x:c r="B2" s="31" t="inlineStr">
        <x:is>
          <x:t xml:space="preserve">Комплект ЗИП СТК-101</x:t>
        </x:is>
      </x:c>
      <x:c r="C2" s="31" t="inlineStr">
        <x:is>
          <x:t xml:space="preserve">Комплект ЗИП</x:t>
        </x:is>
      </x:c>
      <x:c r="D2" s="31" t="inlineStr">
        <x:is>
          <x:t xml:space="preserve">Малая</x:t>
        </x:is>
      </x:c>
      <x:c r="E2" s="31" t="n">
        <x:v>69863</x:v>
      </x:c>
      <x:c r="F2" s="31" t="n">
        <x:v>0.33</x:v>
      </x:c>
      <x:c r="G2" s="31" t="n">
        <x:v>9</x:v>
      </x:c>
      <x:c r="H2" s="31" t="inlineStr">
        <x:is>
          <x:t xml:space="preserve">Проектное</x:t>
        </x:is>
      </x:c>
      <x:c r="I2" s="31" t="inlineStr">
        <x:is>
          <x:t xml:space="preserve">Да</x:t>
        </x:is>
      </x:c>
      <x:c r="J2" s="31" t="inlineStr">
        <x:is>
          <x:t xml:space="preserve">ВЕР-3</x:t>
        </x:is>
      </x:c>
    </x:row>
    <x:row r="3" ht="18" customHeight="1">
      <x:c r="A3" s="31" t="inlineStr">
        <x:is>
          <x:t xml:space="preserve">ИЗД-002</x:t>
        </x:is>
      </x:c>
      <x:c r="B3" s="31" t="inlineStr">
        <x:is>
          <x:t xml:space="preserve">Шкаф управления СТК-102</x:t>
        </x:is>
      </x:c>
      <x:c r="C3" s="31" t="inlineStr">
        <x:is>
          <x:t xml:space="preserve">Шкаф управления</x:t>
        </x:is>
      </x:c>
      <x:c r="D3" s="31" t="inlineStr">
        <x:is>
          <x:t xml:space="preserve">Малая</x:t>
        </x:is>
      </x:c>
      <x:c r="E3" s="31" t="n">
        <x:v>604094</x:v>
      </x:c>
      <x:c r="F3" s="31" t="n">
        <x:v>0.35</x:v>
      </x:c>
      <x:c r="G3" s="31" t="n">
        <x:v>5</x:v>
      </x:c>
      <x:c r="H3" s="31" t="inlineStr">
        <x:is>
          <x:t xml:space="preserve">Проектное</x:t>
        </x:is>
      </x:c>
      <x:c r="I3" s="31" t="inlineStr">
        <x:is>
          <x:t xml:space="preserve">Нет</x:t>
        </x:is>
      </x:c>
      <x:c r="J3" s="31" t="inlineStr">
        <x:is>
          <x:t xml:space="preserve">ВЕР-5</x:t>
        </x:is>
      </x:c>
    </x:row>
    <x:row r="4" ht="18" customHeight="1">
      <x:c r="A4" s="31" t="inlineStr">
        <x:is>
          <x:t xml:space="preserve">ИЗД-003</x:t>
        </x:is>
      </x:c>
      <x:c r="B4" s="31" t="inlineStr">
        <x:is>
          <x:t xml:space="preserve">Насосная станция СТК-103</x:t>
        </x:is>
      </x:c>
      <x:c r="C4" s="31" t="inlineStr">
        <x:is>
          <x:t xml:space="preserve">Насосная станция</x:t>
        </x:is>
      </x:c>
      <x:c r="D4" s="31" t="inlineStr">
        <x:is>
          <x:t xml:space="preserve">Малая</x:t>
        </x:is>
      </x:c>
      <x:c r="E4" s="31" t="n">
        <x:v>2428911</x:v>
      </x:c>
      <x:c r="F4" s="31" t="n">
        <x:v>0.3</x:v>
      </x:c>
      <x:c r="G4" s="31" t="n">
        <x:v>12</x:v>
      </x:c>
      <x:c r="H4" s="31" t="inlineStr">
        <x:is>
          <x:t xml:space="preserve">Проектное</x:t>
        </x:is>
      </x:c>
      <x:c r="I4" s="31" t="inlineStr">
        <x:is>
          <x:t xml:space="preserve">Да</x:t>
        </x:is>
      </x:c>
      <x:c r="J4" s="31" t="inlineStr">
        <x:is>
          <x:t xml:space="preserve">ВЕР-2</x:t>
        </x:is>
      </x:c>
    </x:row>
    <x:row r="5" ht="18" customHeight="1">
      <x:c r="A5" s="31" t="inlineStr">
        <x:is>
          <x:t xml:space="preserve">ИЗД-004</x:t>
        </x:is>
      </x:c>
      <x:c r="B5" s="31" t="inlineStr">
        <x:is>
          <x:t xml:space="preserve">Блок дозирования СТК-104</x:t>
        </x:is>
      </x:c>
      <x:c r="C5" s="31" t="inlineStr">
        <x:is>
          <x:t xml:space="preserve">Блок дозирования</x:t>
        </x:is>
      </x:c>
      <x:c r="D5" s="31" t="inlineStr">
        <x:is>
          <x:t xml:space="preserve">Высокая</x:t>
        </x:is>
      </x:c>
      <x:c r="E5" s="31" t="n">
        <x:v>938614</x:v>
      </x:c>
      <x:c r="F5" s="31" t="n">
        <x:v>0.41</x:v>
      </x:c>
      <x:c r="G5" s="31" t="n">
        <x:v>31</x:v>
      </x:c>
      <x:c r="H5" s="31" t="inlineStr">
        <x:is>
          <x:t xml:space="preserve">Серийное</x:t>
        </x:is>
      </x:c>
      <x:c r="I5" s="31" t="inlineStr">
        <x:is>
          <x:t xml:space="preserve">Нет</x:t>
        </x:is>
      </x:c>
      <x:c r="J5" s="31" t="inlineStr">
        <x:is>
          <x:t xml:space="preserve">ВЕР-2</x:t>
        </x:is>
      </x:c>
    </x:row>
    <x:row r="6" ht="18" customHeight="1">
      <x:c r="A6" s="31" t="inlineStr">
        <x:is>
          <x:t xml:space="preserve">ИЗД-005</x:t>
        </x:is>
      </x:c>
      <x:c r="B6" s="31" t="inlineStr">
        <x:is>
          <x:t xml:space="preserve">Насосная станция СТК-105</x:t>
        </x:is>
      </x:c>
      <x:c r="C6" s="31" t="inlineStr">
        <x:is>
          <x:t xml:space="preserve">Насосная станция</x:t>
        </x:is>
      </x:c>
      <x:c r="D6" s="31" t="inlineStr">
        <x:is>
          <x:t xml:space="preserve">Малая</x:t>
        </x:is>
      </x:c>
      <x:c r="E6" s="31" t="n">
        <x:v>660548</x:v>
      </x:c>
      <x:c r="F6" s="31" t="n">
        <x:v>0.26</x:v>
      </x:c>
      <x:c r="G6" s="31" t="n">
        <x:v>10</x:v>
      </x:c>
      <x:c r="H6" s="31" t="inlineStr">
        <x:is>
          <x:t xml:space="preserve">Сервисное</x:t>
        </x:is>
      </x:c>
      <x:c r="I6" s="31" t="inlineStr">
        <x:is>
          <x:t xml:space="preserve">Нет</x:t>
        </x:is>
      </x:c>
      <x:c r="J6" s="31" t="inlineStr">
        <x:is>
          <x:t xml:space="preserve">ВЕР-2</x:t>
        </x:is>
      </x:c>
    </x:row>
    <x:row r="7" ht="18" customHeight="1">
      <x:c r="A7" s="31" t="inlineStr">
        <x:is>
          <x:t xml:space="preserve">ИЗД-006</x:t>
        </x:is>
      </x:c>
      <x:c r="B7" s="31" t="inlineStr">
        <x:is>
          <x:t xml:space="preserve">Насосная станция СТК-106</x:t>
        </x:is>
      </x:c>
      <x:c r="C7" s="31" t="inlineStr">
        <x:is>
          <x:t xml:space="preserve">Насосная станция</x:t>
        </x:is>
      </x:c>
      <x:c r="D7" s="31" t="inlineStr">
        <x:is>
          <x:t xml:space="preserve">Высокая</x:t>
        </x:is>
      </x:c>
      <x:c r="E7" s="31" t="n">
        <x:v>1113025</x:v>
      </x:c>
      <x:c r="F7" s="31" t="n">
        <x:v>0.35</x:v>
      </x:c>
      <x:c r="G7" s="31" t="n">
        <x:v>33</x:v>
      </x:c>
      <x:c r="H7" s="31" t="inlineStr">
        <x:is>
          <x:t xml:space="preserve">Серийное</x:t>
        </x:is>
      </x:c>
      <x:c r="I7" s="31" t="inlineStr">
        <x:is>
          <x:t xml:space="preserve">Нет</x:t>
        </x:is>
      </x:c>
      <x:c r="J7" s="31" t="inlineStr">
        <x:is>
          <x:t xml:space="preserve">ВЕР-3</x:t>
        </x:is>
      </x:c>
    </x:row>
    <x:row r="8" ht="18" customHeight="1">
      <x:c r="A8" s="31" t="inlineStr">
        <x:is>
          <x:t xml:space="preserve">ИЗД-007</x:t>
        </x:is>
      </x:c>
      <x:c r="B8" s="31" t="inlineStr">
        <x:is>
          <x:t xml:space="preserve">Насосная станция СТК-107</x:t>
        </x:is>
      </x:c>
      <x:c r="C8" s="31" t="inlineStr">
        <x:is>
          <x:t xml:space="preserve">Насосная станция</x:t>
        </x:is>
      </x:c>
      <x:c r="D8" s="31" t="inlineStr">
        <x:is>
          <x:t xml:space="preserve">Средняя</x:t>
        </x:is>
      </x:c>
      <x:c r="E8" s="31" t="n">
        <x:v>2171670</x:v>
      </x:c>
      <x:c r="F8" s="31" t="n">
        <x:v>0.4</x:v>
      </x:c>
      <x:c r="G8" s="31" t="n">
        <x:v>14</x:v>
      </x:c>
      <x:c r="H8" s="31" t="inlineStr">
        <x:is>
          <x:t xml:space="preserve">Серийное</x:t>
        </x:is>
      </x:c>
      <x:c r="I8" s="31" t="inlineStr">
        <x:is>
          <x:t xml:space="preserve">Нет</x:t>
        </x:is>
      </x:c>
      <x:c r="J8" s="31" t="inlineStr">
        <x:is>
          <x:t xml:space="preserve">ВЕР-5</x:t>
        </x:is>
      </x:c>
    </x:row>
    <x:row r="9" ht="18" customHeight="1">
      <x:c r="A9" s="31" t="inlineStr">
        <x:is>
          <x:t xml:space="preserve">ИЗД-008</x:t>
        </x:is>
      </x:c>
      <x:c r="B9" s="31" t="inlineStr">
        <x:is>
          <x:t xml:space="preserve">Комплект ЗИП СТК-108</x:t>
        </x:is>
      </x:c>
      <x:c r="C9" s="31" t="inlineStr">
        <x:is>
          <x:t xml:space="preserve">Комплект ЗИП</x:t>
        </x:is>
      </x:c>
      <x:c r="D9" s="31" t="inlineStr">
        <x:is>
          <x:t xml:space="preserve">Малая</x:t>
        </x:is>
      </x:c>
      <x:c r="E9" s="31" t="n">
        <x:v>215849</x:v>
      </x:c>
      <x:c r="F9" s="31" t="n">
        <x:v>0.38</x:v>
      </x:c>
      <x:c r="G9" s="31" t="n">
        <x:v>8</x:v>
      </x:c>
      <x:c r="H9" s="31" t="inlineStr">
        <x:is>
          <x:t xml:space="preserve">Проектное</x:t>
        </x:is>
      </x:c>
      <x:c r="I9" s="31" t="inlineStr">
        <x:is>
          <x:t xml:space="preserve">Нет</x:t>
        </x:is>
      </x:c>
      <x:c r="J9" s="31" t="inlineStr">
        <x:is>
          <x:t xml:space="preserve">ВЕР-3</x:t>
        </x:is>
      </x:c>
    </x:row>
    <x:row r="10" ht="18" customHeight="1">
      <x:c r="A10" s="31" t="inlineStr">
        <x:is>
          <x:t xml:space="preserve">ИЗД-009</x:t>
        </x:is>
      </x:c>
      <x:c r="B10" s="31" t="inlineStr">
        <x:is>
          <x:t xml:space="preserve">Трубная обвязка СТК-109</x:t>
        </x:is>
      </x:c>
      <x:c r="C10" s="31" t="inlineStr">
        <x:is>
          <x:t xml:space="preserve">Трубная обвязка</x:t>
        </x:is>
      </x:c>
      <x:c r="D10" s="31" t="inlineStr">
        <x:is>
          <x:t xml:space="preserve">Высокая</x:t>
        </x:is>
      </x:c>
      <x:c r="E10" s="31" t="n">
        <x:v>586991</x:v>
      </x:c>
      <x:c r="F10" s="31" t="n">
        <x:v>0.33</x:v>
      </x:c>
      <x:c r="G10" s="31" t="n">
        <x:v>33</x:v>
      </x:c>
      <x:c r="H10" s="31" t="inlineStr">
        <x:is>
          <x:t xml:space="preserve">Серийное</x:t>
        </x:is>
      </x:c>
      <x:c r="I10" s="31" t="inlineStr">
        <x:is>
          <x:t xml:space="preserve">Нет</x:t>
        </x:is>
      </x:c>
      <x:c r="J10" s="31" t="inlineStr">
        <x:is>
          <x:t xml:space="preserve">ВЕР-7</x:t>
        </x:is>
      </x:c>
    </x:row>
    <x:row r="11" ht="18" customHeight="1">
      <x:c r="A11" s="31" t="inlineStr">
        <x:is>
          <x:t xml:space="preserve">ИЗД-010</x:t>
        </x:is>
      </x:c>
      <x:c r="B11" s="31" t="inlineStr">
        <x:is>
          <x:t xml:space="preserve">Шкаф управления СТК-110</x:t>
        </x:is>
      </x:c>
      <x:c r="C11" s="31" t="inlineStr">
        <x:is>
          <x:t xml:space="preserve">Шкаф управления</x:t>
        </x:is>
      </x:c>
      <x:c r="D11" s="31" t="inlineStr">
        <x:is>
          <x:t xml:space="preserve">Высокая</x:t>
        </x:is>
      </x:c>
      <x:c r="E11" s="31" t="n">
        <x:v>744781</x:v>
      </x:c>
      <x:c r="F11" s="31" t="n">
        <x:v>0.39</x:v>
      </x:c>
      <x:c r="G11" s="31" t="n">
        <x:v>26</x:v>
      </x:c>
      <x:c r="H11" s="31" t="inlineStr">
        <x:is>
          <x:t xml:space="preserve">Проектное</x:t>
        </x:is>
      </x:c>
      <x:c r="I11" s="31" t="inlineStr">
        <x:is>
          <x:t xml:space="preserve">Нет</x:t>
        </x:is>
      </x:c>
      <x:c r="J11" s="31" t="inlineStr">
        <x:is>
          <x:t xml:space="preserve">ВЕР-5</x:t>
        </x:is>
      </x:c>
    </x:row>
    <x:row r="12" ht="18" customHeight="1">
      <x:c r="A12" s="31" t="inlineStr">
        <x:is>
          <x:t xml:space="preserve">ИЗД-011</x:t>
        </x:is>
      </x:c>
      <x:c r="B12" s="31" t="inlineStr">
        <x:is>
          <x:t xml:space="preserve">Шкаф управления СТК-111</x:t>
        </x:is>
      </x:c>
      <x:c r="C12" s="31" t="inlineStr">
        <x:is>
          <x:t xml:space="preserve">Шкаф управления</x:t>
        </x:is>
      </x:c>
      <x:c r="D12" s="31" t="inlineStr">
        <x:is>
          <x:t xml:space="preserve">Средняя</x:t>
        </x:is>
      </x:c>
      <x:c r="E12" s="31" t="n">
        <x:v>218436</x:v>
      </x:c>
      <x:c r="F12" s="31" t="n">
        <x:v>0.29</x:v>
      </x:c>
      <x:c r="G12" s="31" t="n">
        <x:v>15</x:v>
      </x:c>
      <x:c r="H12" s="31" t="inlineStr">
        <x:is>
          <x:t xml:space="preserve">Серийное</x:t>
        </x:is>
      </x:c>
      <x:c r="I12" s="31" t="inlineStr">
        <x:is>
          <x:t xml:space="preserve">Нет</x:t>
        </x:is>
      </x:c>
      <x:c r="J12" s="31" t="inlineStr">
        <x:is>
          <x:t xml:space="preserve">ВЕР-6</x:t>
        </x:is>
      </x:c>
    </x:row>
    <x:row r="13" ht="18" customHeight="1">
      <x:c r="A13" s="31" t="inlineStr">
        <x:is>
          <x:t xml:space="preserve">ИЗД-012</x:t>
        </x:is>
      </x:c>
      <x:c r="B13" s="31" t="inlineStr">
        <x:is>
          <x:t xml:space="preserve">Трубная обвязка СТК-112</x:t>
        </x:is>
      </x:c>
      <x:c r="C13" s="31" t="inlineStr">
        <x:is>
          <x:t xml:space="preserve">Трубная обвязка</x:t>
        </x:is>
      </x:c>
      <x:c r="D13" s="31" t="inlineStr">
        <x:is>
          <x:t xml:space="preserve">Малая</x:t>
        </x:is>
      </x:c>
      <x:c r="E13" s="31" t="n">
        <x:v>501540</x:v>
      </x:c>
      <x:c r="F13" s="31" t="n">
        <x:v>0.39</x:v>
      </x:c>
      <x:c r="G13" s="31" t="n">
        <x:v>8</x:v>
      </x:c>
      <x:c r="H13" s="31" t="inlineStr">
        <x:is>
          <x:t xml:space="preserve">Проектное</x:t>
        </x:is>
      </x:c>
      <x:c r="I13" s="31" t="inlineStr">
        <x:is>
          <x:t xml:space="preserve">Нет</x:t>
        </x:is>
      </x:c>
      <x:c r="J13" s="31" t="inlineStr">
        <x:is>
          <x:t xml:space="preserve">ВЕР-2</x:t>
        </x:is>
      </x:c>
    </x:row>
    <x:row r="14" ht="18" customHeight="1">
      <x:c r="A14" s="31" t="inlineStr">
        <x:is>
          <x:t xml:space="preserve">ИЗД-013</x:t>
        </x:is>
      </x:c>
      <x:c r="B14" s="31" t="inlineStr">
        <x:is>
          <x:t xml:space="preserve">Рама-основание СТК-113</x:t>
        </x:is>
      </x:c>
      <x:c r="C14" s="31" t="inlineStr">
        <x:is>
          <x:t xml:space="preserve">Рама-основание</x:t>
        </x:is>
      </x:c>
      <x:c r="D14" s="31" t="inlineStr">
        <x:is>
          <x:t xml:space="preserve">Высокая</x:t>
        </x:is>
      </x:c>
      <x:c r="E14" s="31" t="n">
        <x:v>338699</x:v>
      </x:c>
      <x:c r="F14" s="31" t="n">
        <x:v>0.37</x:v>
      </x:c>
      <x:c r="G14" s="31" t="n">
        <x:v>28</x:v>
      </x:c>
      <x:c r="H14" s="31" t="inlineStr">
        <x:is>
          <x:t xml:space="preserve">Серийное</x:t>
        </x:is>
      </x:c>
      <x:c r="I14" s="31" t="inlineStr">
        <x:is>
          <x:t xml:space="preserve">Да</x:t>
        </x:is>
      </x:c>
      <x:c r="J14" s="31" t="inlineStr">
        <x:is>
          <x:t xml:space="preserve">ВЕР-2</x:t>
        </x:is>
      </x:c>
    </x:row>
    <x:row r="15" ht="18" customHeight="1">
      <x:c r="A15" s="31" t="inlineStr">
        <x:is>
          <x:t xml:space="preserve">ИЗД-014</x:t>
        </x:is>
      </x:c>
      <x:c r="B15" s="31" t="inlineStr">
        <x:is>
          <x:t xml:space="preserve">Рама-основание СТК-114</x:t>
        </x:is>
      </x:c>
      <x:c r="C15" s="31" t="inlineStr">
        <x:is>
          <x:t xml:space="preserve">Рама-основание</x:t>
        </x:is>
      </x:c>
      <x:c r="D15" s="31" t="inlineStr">
        <x:is>
          <x:t xml:space="preserve">Высокая</x:t>
        </x:is>
      </x:c>
      <x:c r="E15" s="31" t="n">
        <x:v>101221</x:v>
      </x:c>
      <x:c r="F15" s="31" t="n">
        <x:v>0.3</x:v>
      </x:c>
      <x:c r="G15" s="31" t="n">
        <x:v>31</x:v>
      </x:c>
      <x:c r="H15" s="31" t="inlineStr">
        <x:is>
          <x:t xml:space="preserve">Сервисное</x:t>
        </x:is>
      </x:c>
      <x:c r="I15" s="31" t="inlineStr">
        <x:is>
          <x:t xml:space="preserve">Нет</x:t>
        </x:is>
      </x:c>
      <x:c r="J15" s="31" t="inlineStr">
        <x:is>
          <x:t xml:space="preserve">ВЕР-1</x:t>
        </x:is>
      </x:c>
    </x:row>
    <x:row r="16" ht="18" customHeight="1">
      <x:c r="A16" s="31" t="inlineStr">
        <x:is>
          <x:t xml:space="preserve">ИЗД-015</x:t>
        </x:is>
      </x:c>
      <x:c r="B16" s="31" t="inlineStr">
        <x:is>
          <x:t xml:space="preserve">Сервисный комплект СТК-115</x:t>
        </x:is>
      </x:c>
      <x:c r="C16" s="31" t="inlineStr">
        <x:is>
          <x:t xml:space="preserve">Сервисный комплект</x:t>
        </x:is>
      </x:c>
      <x:c r="D16" s="31" t="inlineStr">
        <x:is>
          <x:t xml:space="preserve">Средняя</x:t>
        </x:is>
      </x:c>
      <x:c r="E16" s="31" t="n">
        <x:v>229487</x:v>
      </x:c>
      <x:c r="F16" s="31" t="n">
        <x:v>0.3</x:v>
      </x:c>
      <x:c r="G16" s="31" t="n">
        <x:v>15</x:v>
      </x:c>
      <x:c r="H16" s="31" t="inlineStr">
        <x:is>
          <x:t xml:space="preserve">Серийное</x:t>
        </x:is>
      </x:c>
      <x:c r="I16" s="31" t="inlineStr">
        <x:is>
          <x:t xml:space="preserve">Нет</x:t>
        </x:is>
      </x:c>
      <x:c r="J16" s="31" t="inlineStr">
        <x:is>
          <x:t xml:space="preserve">ВЕР-7</x:t>
        </x:is>
      </x:c>
    </x:row>
    <x:row r="17" ht="18" customHeight="1">
      <x:c r="A17" s="31" t="inlineStr">
        <x:is>
          <x:t xml:space="preserve">ИЗД-016</x:t>
        </x:is>
      </x:c>
      <x:c r="B17" s="31" t="inlineStr">
        <x:is>
          <x:t xml:space="preserve">Насосная станция СТК-116</x:t>
        </x:is>
      </x:c>
      <x:c r="C17" s="31" t="inlineStr">
        <x:is>
          <x:t xml:space="preserve">Насосная станция</x:t>
        </x:is>
      </x:c>
      <x:c r="D17" s="31" t="inlineStr">
        <x:is>
          <x:t xml:space="preserve">Высокая</x:t>
        </x:is>
      </x:c>
      <x:c r="E17" s="31" t="n">
        <x:v>1177614</x:v>
      </x:c>
      <x:c r="F17" s="31" t="n">
        <x:v>0.32</x:v>
      </x:c>
      <x:c r="G17" s="31" t="n">
        <x:v>26</x:v>
      </x:c>
      <x:c r="H17" s="31" t="inlineStr">
        <x:is>
          <x:t xml:space="preserve">Серийное</x:t>
        </x:is>
      </x:c>
      <x:c r="I17" s="31" t="inlineStr">
        <x:is>
          <x:t xml:space="preserve">Да</x:t>
        </x:is>
      </x:c>
      <x:c r="J17" s="31" t="inlineStr">
        <x:is>
          <x:t xml:space="preserve">ВЕР-1</x:t>
        </x:is>
      </x:c>
    </x:row>
    <x:row r="18" ht="18" customHeight="1">
      <x:c r="A18" s="31" t="inlineStr">
        <x:is>
          <x:t xml:space="preserve">ИЗД-017</x:t>
        </x:is>
      </x:c>
      <x:c r="B18" s="31" t="inlineStr">
        <x:is>
          <x:t xml:space="preserve">Блок дозирования СТК-117</x:t>
        </x:is>
      </x:c>
      <x:c r="C18" s="31" t="inlineStr">
        <x:is>
          <x:t xml:space="preserve">Блок дозирования</x:t>
        </x:is>
      </x:c>
      <x:c r="D18" s="31" t="inlineStr">
        <x:is>
          <x:t xml:space="preserve">Высокая</x:t>
        </x:is>
      </x:c>
      <x:c r="E18" s="31" t="n">
        <x:v>711969</x:v>
      </x:c>
      <x:c r="F18" s="31" t="n">
        <x:v>0.3</x:v>
      </x:c>
      <x:c r="G18" s="31" t="n">
        <x:v>29</x:v>
      </x:c>
      <x:c r="H18" s="31" t="inlineStr">
        <x:is>
          <x:t xml:space="preserve">Серийное</x:t>
        </x:is>
      </x:c>
      <x:c r="I18" s="31" t="inlineStr">
        <x:is>
          <x:t xml:space="preserve">Да</x:t>
        </x:is>
      </x:c>
      <x:c r="J18" s="31" t="inlineStr">
        <x:is>
          <x:t xml:space="preserve">ВЕР-6</x:t>
        </x:is>
      </x:c>
    </x:row>
    <x:row r="19" ht="18" customHeight="1">
      <x:c r="A19" s="31" t="inlineStr">
        <x:is>
          <x:t xml:space="preserve">ИЗД-018</x:t>
        </x:is>
      </x:c>
      <x:c r="B19" s="31" t="inlineStr">
        <x:is>
          <x:t xml:space="preserve">Шкаф управления СТК-118</x:t>
        </x:is>
      </x:c>
      <x:c r="C19" s="31" t="inlineStr">
        <x:is>
          <x:t xml:space="preserve">Шкаф управления</x:t>
        </x:is>
      </x:c>
      <x:c r="D19" s="31" t="inlineStr">
        <x:is>
          <x:t xml:space="preserve">Средняя</x:t>
        </x:is>
      </x:c>
      <x:c r="E19" s="31" t="n">
        <x:v>349078</x:v>
      </x:c>
      <x:c r="F19" s="31" t="n">
        <x:v>0.25</x:v>
      </x:c>
      <x:c r="G19" s="31" t="n">
        <x:v>15</x:v>
      </x:c>
      <x:c r="H19" s="31" t="inlineStr">
        <x:is>
          <x:t xml:space="preserve">Проектное</x:t>
        </x:is>
      </x:c>
      <x:c r="I19" s="31" t="inlineStr">
        <x:is>
          <x:t xml:space="preserve">Нет</x:t>
        </x:is>
      </x:c>
      <x:c r="J19" s="31" t="inlineStr">
        <x:is>
          <x:t xml:space="preserve">ВЕР-2</x:t>
        </x:is>
      </x:c>
    </x:row>
    <x:row r="20" ht="18" customHeight="1">
      <x:c r="A20" s="31" t="inlineStr">
        <x:is>
          <x:t xml:space="preserve">ИЗД-019</x:t>
        </x:is>
      </x:c>
      <x:c r="B20" s="31" t="inlineStr">
        <x:is>
          <x:t xml:space="preserve">Насосная станция СТК-119</x:t>
        </x:is>
      </x:c>
      <x:c r="C20" s="31" t="inlineStr">
        <x:is>
          <x:t xml:space="preserve">Насосная станция</x:t>
        </x:is>
      </x:c>
      <x:c r="D20" s="31" t="inlineStr">
        <x:is>
          <x:t xml:space="preserve">Малая</x:t>
        </x:is>
      </x:c>
      <x:c r="E20" s="31" t="n">
        <x:v>1191609</x:v>
      </x:c>
      <x:c r="F20" s="31" t="n">
        <x:v>0.41</x:v>
      </x:c>
      <x:c r="G20" s="31" t="n">
        <x:v>9</x:v>
      </x:c>
      <x:c r="H20" s="31" t="inlineStr">
        <x:is>
          <x:t xml:space="preserve">Серийное</x:t>
        </x:is>
      </x:c>
      <x:c r="I20" s="31" t="inlineStr">
        <x:is>
          <x:t xml:space="preserve">Нет</x:t>
        </x:is>
      </x:c>
      <x:c r="J20" s="31" t="inlineStr">
        <x:is>
          <x:t xml:space="preserve">ВЕР-4</x:t>
        </x:is>
      </x:c>
    </x:row>
    <x:row r="21" ht="18" customHeight="1">
      <x:c r="A21" s="31" t="inlineStr">
        <x:is>
          <x:t xml:space="preserve">ИЗД-020</x:t>
        </x:is>
      </x:c>
      <x:c r="B21" s="31" t="inlineStr">
        <x:is>
          <x:t xml:space="preserve">Трубная обвязка СТК-120</x:t>
        </x:is>
      </x:c>
      <x:c r="C21" s="31" t="inlineStr">
        <x:is>
          <x:t xml:space="preserve">Трубная обвязка</x:t>
        </x:is>
      </x:c>
      <x:c r="D21" s="31" t="inlineStr">
        <x:is>
          <x:t xml:space="preserve">Средняя</x:t>
        </x:is>
      </x:c>
      <x:c r="E21" s="31" t="n">
        <x:v>310719</x:v>
      </x:c>
      <x:c r="F21" s="31" t="n">
        <x:v>0.25</x:v>
      </x:c>
      <x:c r="G21" s="31" t="n">
        <x:v>17</x:v>
      </x:c>
      <x:c r="H21" s="31" t="inlineStr">
        <x:is>
          <x:t xml:space="preserve">Проектное</x:t>
        </x:is>
      </x:c>
      <x:c r="I21" s="31" t="inlineStr">
        <x:is>
          <x:t xml:space="preserve">Нет</x:t>
        </x:is>
      </x:c>
      <x:c r="J21" s="31" t="inlineStr">
        <x:is>
          <x:t xml:space="preserve">ВЕР-5</x:t>
        </x:is>
      </x:c>
    </x:row>
    <x:row r="22" ht="18" customHeight="1">
      <x:c r="A22" s="31" t="inlineStr">
        <x:is>
          <x:t xml:space="preserve">ИЗД-021</x:t>
        </x:is>
      </x:c>
      <x:c r="B22" s="31" t="inlineStr">
        <x:is>
          <x:t xml:space="preserve">Блок дозирования СТК-121</x:t>
        </x:is>
      </x:c>
      <x:c r="C22" s="31" t="inlineStr">
        <x:is>
          <x:t xml:space="preserve">Блок дозирования</x:t>
        </x:is>
      </x:c>
      <x:c r="D22" s="31" t="inlineStr">
        <x:is>
          <x:t xml:space="preserve">Высокая</x:t>
        </x:is>
      </x:c>
      <x:c r="E22" s="31" t="n">
        <x:v>597271</x:v>
      </x:c>
      <x:c r="F22" s="31" t="n">
        <x:v>0.39</x:v>
      </x:c>
      <x:c r="G22" s="31" t="n">
        <x:v>32</x:v>
      </x:c>
      <x:c r="H22" s="31" t="inlineStr">
        <x:is>
          <x:t xml:space="preserve">Проектное</x:t>
        </x:is>
      </x:c>
      <x:c r="I22" s="31" t="inlineStr">
        <x:is>
          <x:t xml:space="preserve">Да</x:t>
        </x:is>
      </x:c>
      <x:c r="J22" s="31" t="inlineStr">
        <x:is>
          <x:t xml:space="preserve">ВЕР-5</x:t>
        </x:is>
      </x:c>
    </x:row>
    <x:row r="23" ht="18" customHeight="1">
      <x:c r="A23" s="31" t="inlineStr">
        <x:is>
          <x:t xml:space="preserve">ИЗД-022</x:t>
        </x:is>
      </x:c>
      <x:c r="B23" s="31" t="inlineStr">
        <x:is>
          <x:t xml:space="preserve">Блок дозирования СТК-122</x:t>
        </x:is>
      </x:c>
      <x:c r="C23" s="31" t="inlineStr">
        <x:is>
          <x:t xml:space="preserve">Блок дозирования</x:t>
        </x:is>
      </x:c>
      <x:c r="D23" s="31" t="inlineStr">
        <x:is>
          <x:t xml:space="preserve">Средняя</x:t>
        </x:is>
      </x:c>
      <x:c r="E23" s="31" t="n">
        <x:v>566449</x:v>
      </x:c>
      <x:c r="F23" s="31" t="n">
        <x:v>0.4</x:v>
      </x:c>
      <x:c r="G23" s="31" t="n">
        <x:v>13</x:v>
      </x:c>
      <x:c r="H23" s="31" t="inlineStr">
        <x:is>
          <x:t xml:space="preserve">Проектное</x:t>
        </x:is>
      </x:c>
      <x:c r="I23" s="31" t="inlineStr">
        <x:is>
          <x:t xml:space="preserve">Нет</x:t>
        </x:is>
      </x:c>
      <x:c r="J23" s="31" t="inlineStr">
        <x:is>
          <x:t xml:space="preserve">ВЕР-5</x:t>
        </x:is>
      </x:c>
    </x:row>
    <x:row r="24" ht="18" customHeight="1">
      <x:c r="A24" s="31" t="inlineStr">
        <x:is>
          <x:t xml:space="preserve">ИЗД-023</x:t>
        </x:is>
      </x:c>
      <x:c r="B24" s="31" t="inlineStr">
        <x:is>
          <x:t xml:space="preserve">Шкаф управления СТК-123</x:t>
        </x:is>
      </x:c>
      <x:c r="C24" s="31" t="inlineStr">
        <x:is>
          <x:t xml:space="preserve">Шкаф управления</x:t>
        </x:is>
      </x:c>
      <x:c r="D24" s="31" t="inlineStr">
        <x:is>
          <x:t xml:space="preserve">Высокая</x:t>
        </x:is>
      </x:c>
      <x:c r="E24" s="31" t="n">
        <x:v>911531</x:v>
      </x:c>
      <x:c r="F24" s="31" t="n">
        <x:v>0.34</x:v>
      </x:c>
      <x:c r="G24" s="31" t="n">
        <x:v>31</x:v>
      </x:c>
      <x:c r="H24" s="31" t="inlineStr">
        <x:is>
          <x:t xml:space="preserve">Проектное</x:t>
        </x:is>
      </x:c>
      <x:c r="I24" s="31" t="inlineStr">
        <x:is>
          <x:t xml:space="preserve">Нет</x:t>
        </x:is>
      </x:c>
      <x:c r="J24" s="31" t="inlineStr">
        <x:is>
          <x:t xml:space="preserve">ВЕР-6</x:t>
        </x:is>
      </x:c>
    </x:row>
    <x:row r="25" ht="18" customHeight="1">
      <x:c r="A25" s="31" t="inlineStr">
        <x:is>
          <x:t xml:space="preserve">ИЗД-024</x:t>
        </x:is>
      </x:c>
      <x:c r="B25" s="31" t="inlineStr">
        <x:is>
          <x:t xml:space="preserve">Блок дозирования СТК-124</x:t>
        </x:is>
      </x:c>
      <x:c r="C25" s="31" t="inlineStr">
        <x:is>
          <x:t xml:space="preserve">Блок дозирования</x:t>
        </x:is>
      </x:c>
      <x:c r="D25" s="31" t="inlineStr">
        <x:is>
          <x:t xml:space="preserve">Средняя</x:t>
        </x:is>
      </x:c>
      <x:c r="E25" s="31" t="n">
        <x:v>1320637</x:v>
      </x:c>
      <x:c r="F25" s="31" t="n">
        <x:v>0.27</x:v>
      </x:c>
      <x:c r="G25" s="31" t="n">
        <x:v>19</x:v>
      </x:c>
      <x:c r="H25" s="31" t="inlineStr">
        <x:is>
          <x:t xml:space="preserve">Серийное</x:t>
        </x:is>
      </x:c>
      <x:c r="I25" s="31" t="inlineStr">
        <x:is>
          <x:t xml:space="preserve">Нет</x:t>
        </x:is>
      </x:c>
      <x:c r="J25" s="31" t="inlineStr">
        <x:is>
          <x:t xml:space="preserve">ВЕР-1</x:t>
        </x:is>
      </x:c>
    </x:row>
    <x:row r="26" ht="18" customHeight="1">
      <x:c r="A26" s="31" t="inlineStr">
        <x:is>
          <x:t xml:space="preserve">ИЗД-025</x:t>
        </x:is>
      </x:c>
      <x:c r="B26" s="31" t="inlineStr">
        <x:is>
          <x:t xml:space="preserve">Блок дозирования СТК-125</x:t>
        </x:is>
      </x:c>
      <x:c r="C26" s="31" t="inlineStr">
        <x:is>
          <x:t xml:space="preserve">Блок дозирования</x:t>
        </x:is>
      </x:c>
      <x:c r="D26" s="31" t="inlineStr">
        <x:is>
          <x:t xml:space="preserve">Средняя</x:t>
        </x:is>
      </x:c>
      <x:c r="E26" s="31" t="n">
        <x:v>1106494</x:v>
      </x:c>
      <x:c r="F26" s="31" t="n">
        <x:v>0.31</x:v>
      </x:c>
      <x:c r="G26" s="31" t="n">
        <x:v>15</x:v>
      </x:c>
      <x:c r="H26" s="31" t="inlineStr">
        <x:is>
          <x:t xml:space="preserve">Проектное</x:t>
        </x:is>
      </x:c>
      <x:c r="I26" s="31" t="inlineStr">
        <x:is>
          <x:t xml:space="preserve">Да</x:t>
        </x:is>
      </x:c>
      <x:c r="J26" s="31" t="inlineStr">
        <x:is>
          <x:t xml:space="preserve">ВЕР-5</x:t>
        </x:is>
      </x:c>
    </x:row>
    <x:row r="27" ht="18" customHeight="1">
      <x:c r="A27" s="31" t="inlineStr">
        <x:is>
          <x:t xml:space="preserve">ИЗД-026</x:t>
        </x:is>
      </x:c>
      <x:c r="B27" s="31" t="inlineStr">
        <x:is>
          <x:t xml:space="preserve">Шкаф управления СТК-126</x:t>
        </x:is>
      </x:c>
      <x:c r="C27" s="31" t="inlineStr">
        <x:is>
          <x:t xml:space="preserve">Шкаф управления</x:t>
        </x:is>
      </x:c>
      <x:c r="D27" s="31" t="inlineStr">
        <x:is>
          <x:t xml:space="preserve">Высокая</x:t>
        </x:is>
      </x:c>
      <x:c r="E27" s="31" t="n">
        <x:v>468946</x:v>
      </x:c>
      <x:c r="F27" s="31" t="n">
        <x:v>0.26</x:v>
      </x:c>
      <x:c r="G27" s="31" t="n">
        <x:v>33</x:v>
      </x:c>
      <x:c r="H27" s="31" t="inlineStr">
        <x:is>
          <x:t xml:space="preserve">Проектное</x:t>
        </x:is>
      </x:c>
      <x:c r="I27" s="31" t="inlineStr">
        <x:is>
          <x:t xml:space="preserve">Нет</x:t>
        </x:is>
      </x:c>
      <x:c r="J27" s="31" t="inlineStr">
        <x:is>
          <x:t xml:space="preserve">ВЕР-3</x:t>
        </x:is>
      </x:c>
    </x:row>
    <x:row r="28" ht="18" customHeight="1">
      <x:c r="A28" s="31" t="inlineStr">
        <x:is>
          <x:t xml:space="preserve">ИЗД-027</x:t>
        </x:is>
      </x:c>
      <x:c r="B28" s="31" t="inlineStr">
        <x:is>
          <x:t xml:space="preserve">Блок дозирования СТК-127</x:t>
        </x:is>
      </x:c>
      <x:c r="C28" s="31" t="inlineStr">
        <x:is>
          <x:t xml:space="preserve">Блок дозирования</x:t>
        </x:is>
      </x:c>
      <x:c r="D28" s="31" t="inlineStr">
        <x:is>
          <x:t xml:space="preserve">Высокая</x:t>
        </x:is>
      </x:c>
      <x:c r="E28" s="31" t="n">
        <x:v>609550</x:v>
      </x:c>
      <x:c r="F28" s="31" t="n">
        <x:v>0.24</x:v>
      </x:c>
      <x:c r="G28" s="31" t="n">
        <x:v>28</x:v>
      </x:c>
      <x:c r="H28" s="31" t="inlineStr">
        <x:is>
          <x:t xml:space="preserve">Проектное</x:t>
        </x:is>
      </x:c>
      <x:c r="I28" s="31" t="inlineStr">
        <x:is>
          <x:t xml:space="preserve">Нет</x:t>
        </x:is>
      </x:c>
      <x:c r="J28" s="31" t="inlineStr">
        <x:is>
          <x:t xml:space="preserve">ВЕР-7</x:t>
        </x:is>
      </x:c>
    </x:row>
    <x:row r="29" ht="18" customHeight="1">
      <x:c r="A29" s="31" t="inlineStr">
        <x:is>
          <x:t xml:space="preserve">ИЗД-028</x:t>
        </x:is>
      </x:c>
      <x:c r="B29" s="31" t="inlineStr">
        <x:is>
          <x:t xml:space="preserve">Блок дозирования СТК-128</x:t>
        </x:is>
      </x:c>
      <x:c r="C29" s="31" t="inlineStr">
        <x:is>
          <x:t xml:space="preserve">Блок дозирования</x:t>
        </x:is>
      </x:c>
      <x:c r="D29" s="31" t="inlineStr">
        <x:is>
          <x:t xml:space="preserve">Высокая</x:t>
        </x:is>
      </x:c>
      <x:c r="E29" s="31" t="n">
        <x:v>429162</x:v>
      </x:c>
      <x:c r="F29" s="31" t="n">
        <x:v>0.31</x:v>
      </x:c>
      <x:c r="G29" s="31" t="n">
        <x:v>28</x:v>
      </x:c>
      <x:c r="H29" s="31" t="inlineStr">
        <x:is>
          <x:t xml:space="preserve">Проектное</x:t>
        </x:is>
      </x:c>
      <x:c r="I29" s="31" t="inlineStr">
        <x:is>
          <x:t xml:space="preserve">Да</x:t>
        </x:is>
      </x:c>
      <x:c r="J29" s="31" t="inlineStr">
        <x:is>
          <x:t xml:space="preserve">ВЕР-3</x:t>
        </x:is>
      </x:c>
    </x:row>
    <x:row r="30" ht="18" customHeight="1">
      <x:c r="A30" s="31" t="inlineStr">
        <x:is>
          <x:t xml:space="preserve">ИЗД-029</x:t>
        </x:is>
      </x:c>
      <x:c r="B30" s="31" t="inlineStr">
        <x:is>
          <x:t xml:space="preserve">Компрессорный модуль СТК-129</x:t>
        </x:is>
      </x:c>
      <x:c r="C30" s="31" t="inlineStr">
        <x:is>
          <x:t xml:space="preserve">Компрессорный модуль</x:t>
        </x:is>
      </x:c>
      <x:c r="D30" s="31" t="inlineStr">
        <x:is>
          <x:t xml:space="preserve">Высокая</x:t>
        </x:is>
      </x:c>
      <x:c r="E30" s="31" t="n">
        <x:v>3754452</x:v>
      </x:c>
      <x:c r="F30" s="31" t="n">
        <x:v>0.41</x:v>
      </x:c>
      <x:c r="G30" s="31" t="n">
        <x:v>26</x:v>
      </x:c>
      <x:c r="H30" s="31" t="inlineStr">
        <x:is>
          <x:t xml:space="preserve">Проектное</x:t>
        </x:is>
      </x:c>
      <x:c r="I30" s="31" t="inlineStr">
        <x:is>
          <x:t xml:space="preserve">Нет</x:t>
        </x:is>
      </x:c>
      <x:c r="J30" s="31" t="inlineStr">
        <x:is>
          <x:t xml:space="preserve">ВЕР-4</x:t>
        </x:is>
      </x:c>
    </x:row>
    <x:row r="31" ht="18" customHeight="1">
      <x:c r="A31" s="31" t="inlineStr">
        <x:is>
          <x:t xml:space="preserve">ИЗД-030</x:t>
        </x:is>
      </x:c>
      <x:c r="B31" s="31" t="inlineStr">
        <x:is>
          <x:t xml:space="preserve">Насосная станция СТК-130</x:t>
        </x:is>
      </x:c>
      <x:c r="C31" s="31" t="inlineStr">
        <x:is>
          <x:t xml:space="preserve">Насосная станция</x:t>
        </x:is>
      </x:c>
      <x:c r="D31" s="31" t="inlineStr">
        <x:is>
          <x:t xml:space="preserve">Средняя</x:t>
        </x:is>
      </x:c>
      <x:c r="E31" s="31" t="n">
        <x:v>2433769</x:v>
      </x:c>
      <x:c r="F31" s="31" t="n">
        <x:v>0.34</x:v>
      </x:c>
      <x:c r="G31" s="31" t="n">
        <x:v>16</x:v>
      </x:c>
      <x:c r="H31" s="31" t="inlineStr">
        <x:is>
          <x:t xml:space="preserve">Проектное</x:t>
        </x:is>
      </x:c>
      <x:c r="I31" s="31" t="inlineStr">
        <x:is>
          <x:t xml:space="preserve">Да</x:t>
        </x:is>
      </x:c>
      <x:c r="J31" s="31" t="inlineStr">
        <x:is>
          <x:t xml:space="preserve">ВЕР-6</x:t>
        </x:is>
      </x:c>
    </x:row>
    <x:row r="32" ht="18" customHeight="1">
      <x:c r="A32" s="31" t="inlineStr">
        <x:is>
          <x:t xml:space="preserve">ИЗД-031</x:t>
        </x:is>
      </x:c>
      <x:c r="B32" s="31" t="inlineStr">
        <x:is>
          <x:t xml:space="preserve">Насосная станция СТК-131</x:t>
        </x:is>
      </x:c>
      <x:c r="C32" s="31" t="inlineStr">
        <x:is>
          <x:t xml:space="preserve">Насосная станция</x:t>
        </x:is>
      </x:c>
      <x:c r="D32" s="31" t="inlineStr">
        <x:is>
          <x:t xml:space="preserve">Средняя</x:t>
        </x:is>
      </x:c>
      <x:c r="E32" s="31" t="n">
        <x:v>980185</x:v>
      </x:c>
      <x:c r="F32" s="31" t="n">
        <x:v>0.37</x:v>
      </x:c>
      <x:c r="G32" s="31" t="n">
        <x:v>13</x:v>
      </x:c>
      <x:c r="H32" s="31" t="inlineStr">
        <x:is>
          <x:t xml:space="preserve">Серийное</x:t>
        </x:is>
      </x:c>
      <x:c r="I32" s="31" t="inlineStr">
        <x:is>
          <x:t xml:space="preserve">Да</x:t>
        </x:is>
      </x:c>
      <x:c r="J32" s="31" t="inlineStr">
        <x:is>
          <x:t xml:space="preserve">ВЕР-3</x:t>
        </x:is>
      </x:c>
    </x:row>
    <x:row r="33" ht="18" customHeight="1">
      <x:c r="A33" s="31" t="inlineStr">
        <x:is>
          <x:t xml:space="preserve">ИЗД-032</x:t>
        </x:is>
      </x:c>
      <x:c r="B33" s="31" t="inlineStr">
        <x:is>
          <x:t xml:space="preserve">Комплект ЗИП СТК-132</x:t>
        </x:is>
      </x:c>
      <x:c r="C33" s="31" t="inlineStr">
        <x:is>
          <x:t xml:space="preserve">Комплект ЗИП</x:t>
        </x:is>
      </x:c>
      <x:c r="D33" s="31" t="inlineStr">
        <x:is>
          <x:t xml:space="preserve">Средняя</x:t>
        </x:is>
      </x:c>
      <x:c r="E33" s="31" t="n">
        <x:v>194969</x:v>
      </x:c>
      <x:c r="F33" s="31" t="n">
        <x:v>0.33</x:v>
      </x:c>
      <x:c r="G33" s="31" t="n">
        <x:v>19</x:v>
      </x:c>
      <x:c r="H33" s="31" t="inlineStr">
        <x:is>
          <x:t xml:space="preserve">Серийное</x:t>
        </x:is>
      </x:c>
      <x:c r="I33" s="31" t="inlineStr">
        <x:is>
          <x:t xml:space="preserve">Нет</x:t>
        </x:is>
      </x:c>
      <x:c r="J33" s="31" t="inlineStr">
        <x:is>
          <x:t xml:space="preserve">ВЕР-1</x:t>
        </x:is>
      </x:c>
    </x:row>
    <x:row r="34" ht="18" customHeight="1">
      <x:c r="A34" s="31" t="inlineStr">
        <x:is>
          <x:t xml:space="preserve">ИЗД-033</x:t>
        </x:is>
      </x:c>
      <x:c r="B34" s="31" t="inlineStr">
        <x:is>
          <x:t xml:space="preserve">Блок дозирования СТК-133</x:t>
        </x:is>
      </x:c>
      <x:c r="C34" s="31" t="inlineStr">
        <x:is>
          <x:t xml:space="preserve">Блок дозирования</x:t>
        </x:is>
      </x:c>
      <x:c r="D34" s="31" t="inlineStr">
        <x:is>
          <x:t xml:space="preserve">Высокая</x:t>
        </x:is>
      </x:c>
      <x:c r="E34" s="31" t="n">
        <x:v>565385</x:v>
      </x:c>
      <x:c r="F34" s="31" t="n">
        <x:v>0.36</x:v>
      </x:c>
      <x:c r="G34" s="31" t="n">
        <x:v>30</x:v>
      </x:c>
      <x:c r="H34" s="31" t="inlineStr">
        <x:is>
          <x:t xml:space="preserve">Сервисное</x:t>
        </x:is>
      </x:c>
      <x:c r="I34" s="31" t="inlineStr">
        <x:is>
          <x:t xml:space="preserve">Нет</x:t>
        </x:is>
      </x:c>
      <x:c r="J34" s="31" t="inlineStr">
        <x:is>
          <x:t xml:space="preserve">ВЕР-7</x:t>
        </x:is>
      </x:c>
    </x:row>
    <x:row r="35" ht="18" customHeight="1">
      <x:c r="A35" s="31" t="inlineStr">
        <x:is>
          <x:t xml:space="preserve">ИЗД-034</x:t>
        </x:is>
      </x:c>
      <x:c r="B35" s="31" t="inlineStr">
        <x:is>
          <x:t xml:space="preserve">Компрессорный модуль СТК-134</x:t>
        </x:is>
      </x:c>
      <x:c r="C35" s="31" t="inlineStr">
        <x:is>
          <x:t xml:space="preserve">Компрессорный модуль</x:t>
        </x:is>
      </x:c>
      <x:c r="D35" s="31" t="inlineStr">
        <x:is>
          <x:t xml:space="preserve">Малая</x:t>
        </x:is>
      </x:c>
      <x:c r="E35" s="31" t="n">
        <x:v>3124549</x:v>
      </x:c>
      <x:c r="F35" s="31" t="n">
        <x:v>0.3</x:v>
      </x:c>
      <x:c r="G35" s="31" t="n">
        <x:v>6</x:v>
      </x:c>
      <x:c r="H35" s="31" t="inlineStr">
        <x:is>
          <x:t xml:space="preserve">Проектное</x:t>
        </x:is>
      </x:c>
      <x:c r="I35" s="31" t="inlineStr">
        <x:is>
          <x:t xml:space="preserve">Да</x:t>
        </x:is>
      </x:c>
      <x:c r="J35" s="31" t="inlineStr">
        <x:is>
          <x:t xml:space="preserve">ВЕР-6</x:t>
        </x:is>
      </x:c>
    </x:row>
    <x:row r="36" ht="18" customHeight="1">
      <x:c r="A36" s="31" t="inlineStr">
        <x:is>
          <x:t xml:space="preserve">ИЗД-035</x:t>
        </x:is>
      </x:c>
      <x:c r="B36" s="31" t="inlineStr">
        <x:is>
          <x:t xml:space="preserve">Компрессорный модуль СТК-135</x:t>
        </x:is>
      </x:c>
      <x:c r="C36" s="31" t="inlineStr">
        <x:is>
          <x:t xml:space="preserve">Компрессорный модуль</x:t>
        </x:is>
      </x:c>
      <x:c r="D36" s="31" t="inlineStr">
        <x:is>
          <x:t xml:space="preserve">Средняя</x:t>
        </x:is>
      </x:c>
      <x:c r="E36" s="31" t="n">
        <x:v>2929839</x:v>
      </x:c>
      <x:c r="F36" s="31" t="n">
        <x:v>0.35</x:v>
      </x:c>
      <x:c r="G36" s="31" t="n">
        <x:v>19</x:v>
      </x:c>
      <x:c r="H36" s="31" t="inlineStr">
        <x:is>
          <x:t xml:space="preserve">Проектное</x:t>
        </x:is>
      </x:c>
      <x:c r="I36" s="31" t="inlineStr">
        <x:is>
          <x:t xml:space="preserve">Да</x:t>
        </x:is>
      </x:c>
      <x:c r="J36" s="31" t="inlineStr">
        <x:is>
          <x:t xml:space="preserve">ВЕР-2</x:t>
        </x:is>
      </x:c>
    </x:row>
    <x:row r="37" ht="18" customHeight="1">
      <x:c r="A37" s="31" t="inlineStr">
        <x:is>
          <x:t xml:space="preserve">ИЗД-036</x:t>
        </x:is>
      </x:c>
      <x:c r="B37" s="31" t="inlineStr">
        <x:is>
          <x:t xml:space="preserve">Шкаф управления СТК-136</x:t>
        </x:is>
      </x:c>
      <x:c r="C37" s="31" t="inlineStr">
        <x:is>
          <x:t xml:space="preserve">Шкаф управления</x:t>
        </x:is>
      </x:c>
      <x:c r="D37" s="31" t="inlineStr">
        <x:is>
          <x:t xml:space="preserve">Высокая</x:t>
        </x:is>
      </x:c>
      <x:c r="E37" s="31" t="n">
        <x:v>781581</x:v>
      </x:c>
      <x:c r="F37" s="31" t="n">
        <x:v>0.37</x:v>
      </x:c>
      <x:c r="G37" s="31" t="n">
        <x:v>29</x:v>
      </x:c>
      <x:c r="H37" s="31" t="inlineStr">
        <x:is>
          <x:t xml:space="preserve">Сервисное</x:t>
        </x:is>
      </x:c>
      <x:c r="I37" s="31" t="inlineStr">
        <x:is>
          <x:t xml:space="preserve">Да</x:t>
        </x:is>
      </x:c>
      <x:c r="J37" s="31" t="inlineStr">
        <x:is>
          <x:t xml:space="preserve">ВЕР-2</x:t>
        </x:is>
      </x:c>
    </x:row>
    <x:row r="38" ht="18" customHeight="1">
      <x:c r="A38" s="31" t="inlineStr">
        <x:is>
          <x:t xml:space="preserve">ИЗД-037</x:t>
        </x:is>
      </x:c>
      <x:c r="B38" s="31" t="inlineStr">
        <x:is>
          <x:t xml:space="preserve">Трубная обвязка СТК-137</x:t>
        </x:is>
      </x:c>
      <x:c r="C38" s="31" t="inlineStr">
        <x:is>
          <x:t xml:space="preserve">Трубная обвязка</x:t>
        </x:is>
      </x:c>
      <x:c r="D38" s="31" t="inlineStr">
        <x:is>
          <x:t xml:space="preserve">Очень высокая</x:t>
        </x:is>
      </x:c>
      <x:c r="E38" s="31" t="n">
        <x:v>202300</x:v>
      </x:c>
      <x:c r="F38" s="31" t="n">
        <x:v>0.34</x:v>
      </x:c>
      <x:c r="G38" s="31" t="n">
        <x:v>50</x:v>
      </x:c>
      <x:c r="H38" s="31" t="inlineStr">
        <x:is>
          <x:t xml:space="preserve">Проектное</x:t>
        </x:is>
      </x:c>
      <x:c r="I38" s="31" t="inlineStr">
        <x:is>
          <x:t xml:space="preserve">Нет</x:t>
        </x:is>
      </x:c>
      <x:c r="J38" s="31" t="inlineStr">
        <x:is>
          <x:t xml:space="preserve">ВЕР-1</x:t>
        </x:is>
      </x:c>
    </x:row>
    <x:row r="39" ht="18" customHeight="1">
      <x:c r="A39" s="31" t="inlineStr">
        <x:is>
          <x:t xml:space="preserve">ИЗД-038</x:t>
        </x:is>
      </x:c>
      <x:c r="B39" s="31" t="inlineStr">
        <x:is>
          <x:t xml:space="preserve">Трубная обвязка СТК-138</x:t>
        </x:is>
      </x:c>
      <x:c r="C39" s="31" t="inlineStr">
        <x:is>
          <x:t xml:space="preserve">Трубная обвязка</x:t>
        </x:is>
      </x:c>
      <x:c r="D39" s="31" t="inlineStr">
        <x:is>
          <x:t xml:space="preserve">Малая</x:t>
        </x:is>
      </x:c>
      <x:c r="E39" s="31" t="n">
        <x:v>408078</x:v>
      </x:c>
      <x:c r="F39" s="31" t="n">
        <x:v>0.3</x:v>
      </x:c>
      <x:c r="G39" s="31" t="n">
        <x:v>9</x:v>
      </x:c>
      <x:c r="H39" s="31" t="inlineStr">
        <x:is>
          <x:t xml:space="preserve">Проектное</x:t>
        </x:is>
      </x:c>
      <x:c r="I39" s="31" t="inlineStr">
        <x:is>
          <x:t xml:space="preserve">Да</x:t>
        </x:is>
      </x:c>
      <x:c r="J39" s="31" t="inlineStr">
        <x:is>
          <x:t xml:space="preserve">ВЕР-5</x:t>
        </x:is>
      </x:c>
    </x:row>
    <x:row r="40" ht="18" customHeight="1">
      <x:c r="A40" s="31" t="inlineStr">
        <x:is>
          <x:t xml:space="preserve">ИЗД-039</x:t>
        </x:is>
      </x:c>
      <x:c r="B40" s="31" t="inlineStr">
        <x:is>
          <x:t xml:space="preserve">Рама-основание СТК-139</x:t>
        </x:is>
      </x:c>
      <x:c r="C40" s="31" t="inlineStr">
        <x:is>
          <x:t xml:space="preserve">Рама-основание</x:t>
        </x:is>
      </x:c>
      <x:c r="D40" s="31" t="inlineStr">
        <x:is>
          <x:t xml:space="preserve">Очень высокая</x:t>
        </x:is>
      </x:c>
      <x:c r="E40" s="31" t="n">
        <x:v>193210</x:v>
      </x:c>
      <x:c r="F40" s="31" t="n">
        <x:v>0.28</x:v>
      </x:c>
      <x:c r="G40" s="31" t="n">
        <x:v>50</x:v>
      </x:c>
      <x:c r="H40" s="31" t="inlineStr">
        <x:is>
          <x:t xml:space="preserve">Серийное</x:t>
        </x:is>
      </x:c>
      <x:c r="I40" s="31" t="inlineStr">
        <x:is>
          <x:t xml:space="preserve">Нет</x:t>
        </x:is>
      </x:c>
      <x:c r="J40" s="31" t="inlineStr">
        <x:is>
          <x:t xml:space="preserve">ВЕР-4</x:t>
        </x:is>
      </x:c>
    </x:row>
    <x:row r="41" ht="18" customHeight="1">
      <x:c r="A41" s="31" t="inlineStr">
        <x:is>
          <x:t xml:space="preserve">ИЗД-040</x:t>
        </x:is>
      </x:c>
      <x:c r="B41" s="31" t="inlineStr">
        <x:is>
          <x:t xml:space="preserve">Блок дозирования СТК-140</x:t>
        </x:is>
      </x:c>
      <x:c r="C41" s="31" t="inlineStr">
        <x:is>
          <x:t xml:space="preserve">Блок дозирования</x:t>
        </x:is>
      </x:c>
      <x:c r="D41" s="31" t="inlineStr">
        <x:is>
          <x:t xml:space="preserve">Средняя</x:t>
        </x:is>
      </x:c>
      <x:c r="E41" s="31" t="n">
        <x:v>864631</x:v>
      </x:c>
      <x:c r="F41" s="31" t="n">
        <x:v>0.29</x:v>
      </x:c>
      <x:c r="G41" s="31" t="n">
        <x:v>18</x:v>
      </x:c>
      <x:c r="H41" s="31" t="inlineStr">
        <x:is>
          <x:t xml:space="preserve">Серийное</x:t>
        </x:is>
      </x:c>
      <x:c r="I41" s="31" t="inlineStr">
        <x:is>
          <x:t xml:space="preserve">Да</x:t>
        </x:is>
      </x:c>
      <x:c r="J41" s="31" t="inlineStr">
        <x:is>
          <x:t xml:space="preserve">ВЕР-6</x:t>
        </x:is>
      </x:c>
    </x:row>
    <x:row r="42" ht="18" customHeight="1">
      <x:c r="A42" s="31" t="inlineStr">
        <x:is>
          <x:t xml:space="preserve">ИЗД-041</x:t>
        </x:is>
      </x:c>
      <x:c r="B42" s="31" t="inlineStr">
        <x:is>
          <x:t xml:space="preserve">Рама-основание СТК-141</x:t>
        </x:is>
      </x:c>
      <x:c r="C42" s="31" t="inlineStr">
        <x:is>
          <x:t xml:space="preserve">Рама-основание</x:t>
        </x:is>
      </x:c>
      <x:c r="D42" s="31" t="inlineStr">
        <x:is>
          <x:t xml:space="preserve">Средняя</x:t>
        </x:is>
      </x:c>
      <x:c r="E42" s="31" t="n">
        <x:v>239791</x:v>
      </x:c>
      <x:c r="F42" s="31" t="n">
        <x:v>0.36</x:v>
      </x:c>
      <x:c r="G42" s="31" t="n">
        <x:v>14</x:v>
      </x:c>
      <x:c r="H42" s="31" t="inlineStr">
        <x:is>
          <x:t xml:space="preserve">Проектное</x:t>
        </x:is>
      </x:c>
      <x:c r="I42" s="31" t="inlineStr">
        <x:is>
          <x:t xml:space="preserve">Нет</x:t>
        </x:is>
      </x:c>
      <x:c r="J42" s="31" t="inlineStr">
        <x:is>
          <x:t xml:space="preserve">ВЕР-7</x:t>
        </x:is>
      </x:c>
    </x:row>
    <x:row r="43" ht="18" customHeight="1">
      <x:c r="A43" s="31" t="inlineStr">
        <x:is>
          <x:t xml:space="preserve">ИЗД-042</x:t>
        </x:is>
      </x:c>
      <x:c r="B43" s="31" t="inlineStr">
        <x:is>
          <x:t xml:space="preserve">Шкаф управления СТК-142</x:t>
        </x:is>
      </x:c>
      <x:c r="C43" s="31" t="inlineStr">
        <x:is>
          <x:t xml:space="preserve">Шкаф управления</x:t>
        </x:is>
      </x:c>
      <x:c r="D43" s="31" t="inlineStr">
        <x:is>
          <x:t xml:space="preserve">Очень высокая</x:t>
        </x:is>
      </x:c>
      <x:c r="E43" s="31" t="n">
        <x:v>675962</x:v>
      </x:c>
      <x:c r="F43" s="31" t="n">
        <x:v>0.38</x:v>
      </x:c>
      <x:c r="G43" s="31" t="n">
        <x:v>48</x:v>
      </x:c>
      <x:c r="H43" s="31" t="inlineStr">
        <x:is>
          <x:t xml:space="preserve">Серийное</x:t>
        </x:is>
      </x:c>
      <x:c r="I43" s="31" t="inlineStr">
        <x:is>
          <x:t xml:space="preserve">Нет</x:t>
        </x:is>
      </x:c>
      <x:c r="J43" s="31" t="inlineStr">
        <x:is>
          <x:t xml:space="preserve">ВЕР-5</x:t>
        </x:is>
      </x:c>
    </x:row>
    <x:row r="44" ht="18" customHeight="1">
      <x:c r="A44" s="31" t="inlineStr">
        <x:is>
          <x:t xml:space="preserve">ИЗД-043</x:t>
        </x:is>
      </x:c>
      <x:c r="B44" s="31" t="inlineStr">
        <x:is>
          <x:t xml:space="preserve">Насосная станция СТК-143</x:t>
        </x:is>
      </x:c>
      <x:c r="C44" s="31" t="inlineStr">
        <x:is>
          <x:t xml:space="preserve">Насосная станция</x:t>
        </x:is>
      </x:c>
      <x:c r="D44" s="31" t="inlineStr">
        <x:is>
          <x:t xml:space="preserve">Высокая</x:t>
        </x:is>
      </x:c>
      <x:c r="E44" s="31" t="n">
        <x:v>857565</x:v>
      </x:c>
      <x:c r="F44" s="31" t="n">
        <x:v>0.31</x:v>
      </x:c>
      <x:c r="G44" s="31" t="n">
        <x:v>27</x:v>
      </x:c>
      <x:c r="H44" s="31" t="inlineStr">
        <x:is>
          <x:t xml:space="preserve">Серийное</x:t>
        </x:is>
      </x:c>
      <x:c r="I44" s="31" t="inlineStr">
        <x:is>
          <x:t xml:space="preserve">Да</x:t>
        </x:is>
      </x:c>
      <x:c r="J44" s="31" t="inlineStr">
        <x:is>
          <x:t xml:space="preserve">ВЕР-5</x:t>
        </x:is>
      </x:c>
    </x:row>
    <x:row r="45" ht="18" customHeight="1">
      <x:c r="A45" s="31" t="inlineStr">
        <x:is>
          <x:t xml:space="preserve">ИЗД-044</x:t>
        </x:is>
      </x:c>
      <x:c r="B45" s="31" t="inlineStr">
        <x:is>
          <x:t xml:space="preserve">Блок дозирования СТК-144</x:t>
        </x:is>
      </x:c>
      <x:c r="C45" s="31" t="inlineStr">
        <x:is>
          <x:t xml:space="preserve">Блок дозирования</x:t>
        </x:is>
      </x:c>
      <x:c r="D45" s="31" t="inlineStr">
        <x:is>
          <x:t xml:space="preserve">Очень высокая</x:t>
        </x:is>
      </x:c>
      <x:c r="E45" s="31" t="n">
        <x:v>361597</x:v>
      </x:c>
      <x:c r="F45" s="31" t="n">
        <x:v>0.34</x:v>
      </x:c>
      <x:c r="G45" s="31" t="n">
        <x:v>46</x:v>
      </x:c>
      <x:c r="H45" s="31" t="inlineStr">
        <x:is>
          <x:t xml:space="preserve">Проектное</x:t>
        </x:is>
      </x:c>
      <x:c r="I45" s="31" t="inlineStr">
        <x:is>
          <x:t xml:space="preserve">Нет</x:t>
        </x:is>
      </x:c>
      <x:c r="J45" s="31" t="inlineStr">
        <x:is>
          <x:t xml:space="preserve">ВЕР-7</x:t>
        </x:is>
      </x:c>
    </x:row>
    <x:row r="46" ht="18" customHeight="1">
      <x:c r="A46" s="31" t="inlineStr">
        <x:is>
          <x:t xml:space="preserve">ИЗД-045</x:t>
        </x:is>
      </x:c>
      <x:c r="B46" s="31" t="inlineStr">
        <x:is>
          <x:t xml:space="preserve">Шкаф управления СТК-145</x:t>
        </x:is>
      </x:c>
      <x:c r="C46" s="31" t="inlineStr">
        <x:is>
          <x:t xml:space="preserve">Шкаф управления</x:t>
        </x:is>
      </x:c>
      <x:c r="D46" s="31" t="inlineStr">
        <x:is>
          <x:t xml:space="preserve">Средняя</x:t>
        </x:is>
      </x:c>
      <x:c r="E46" s="31" t="n">
        <x:v>715239</x:v>
      </x:c>
      <x:c r="F46" s="31" t="n">
        <x:v>0.35</x:v>
      </x:c>
      <x:c r="G46" s="31" t="n">
        <x:v>20</x:v>
      </x:c>
      <x:c r="H46" s="31" t="inlineStr">
        <x:is>
          <x:t xml:space="preserve">Серийное</x:t>
        </x:is>
      </x:c>
      <x:c r="I46" s="31" t="inlineStr">
        <x:is>
          <x:t xml:space="preserve">Да</x:t>
        </x:is>
      </x:c>
      <x:c r="J46" s="31" t="inlineStr">
        <x:is>
          <x:t xml:space="preserve">ВЕР-7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3" customWidth="1"/>
    <x:col min="3" max="3" width="12" customWidth="1"/>
    <x:col min="4" max="4" width="22" customWidth="1"/>
    <x:col min="5" max="5" width="18" customWidth="1"/>
    <x:col min="6" max="6" width="24" customWidth="1"/>
    <x:col min="7" max="7" width="20" customWidth="1"/>
    <x:col min="8" max="8" width="13" customWidth="1"/>
    <x:col min="9" max="9" width="19" customWidth="1"/>
    <x:col min="10" max="10" width="21" customWidth="1"/>
  </x:cols>
  <x:sheetData>
    <x:row r="1" ht="18" customHeight="1">
      <x:c r="A1" s="30" t="inlineStr">
        <x:is>
          <x:t xml:space="preserve">Код маршрута</x:t>
        </x:is>
      </x:c>
      <x:c r="B1" s="30" t="inlineStr">
        <x:is>
          <x:t xml:space="preserve">Код изделия</x:t>
        </x:is>
      </x:c>
      <x:c r="C1" s="30" t="inlineStr">
        <x:is>
          <x:t xml:space="preserve">№ операции</x:t>
        </x:is>
      </x:c>
      <x:c r="D1" s="30" t="inlineStr">
        <x:is>
          <x:t xml:space="preserve">Операция</x:t>
        </x:is>
      </x:c>
      <x:c r="E1" s="30" t="inlineStr">
        <x:is>
          <x:t xml:space="preserve">Цех/участок</x:t>
        </x:is>
      </x:c>
      <x:c r="F1" s="30" t="inlineStr">
        <x:is>
          <x:t xml:space="preserve">Требуемое оборудование</x:t>
        </x:is>
      </x:c>
      <x:c r="G1" s="30" t="inlineStr">
        <x:is>
          <x:t xml:space="preserve">Норма часов на ед.</x:t>
        </x:is>
      </x:c>
      <x:c r="H1" s="30" t="inlineStr">
        <x:is>
          <x:t xml:space="preserve">Требует ОТК</x:t>
        </x:is>
      </x:c>
      <x:c r="I1" s="30" t="inlineStr">
        <x:is>
          <x:t xml:space="preserve">Можно параллельно</x:t>
        </x:is>
      </x:c>
      <x:c r="J1" s="30" t="inlineStr">
        <x:is>
          <x:t xml:space="preserve">Примечание к версии</x:t>
        </x:is>
      </x:c>
    </x:row>
    <x:row r="2" ht="18" customHeight="1">
      <x:c r="A2" s="31" t="inlineStr">
        <x:is>
          <x:t xml:space="preserve">МАР-0001</x:t>
        </x:is>
      </x:c>
      <x:c r="B2" s="31" t="inlineStr">
        <x:is>
          <x:t xml:space="preserve">ИЗД-001</x:t>
        </x:is>
      </x:c>
      <x:c r="C2" s="31" t="n">
        <x:v>10</x:v>
      </x:c>
      <x:c r="D2" s="31" t="inlineStr">
        <x:is>
          <x:t xml:space="preserve">Комплектация</x:t>
        </x:is>
      </x:c>
      <x:c r="E2" s="31" t="inlineStr">
        <x:is>
          <x:t xml:space="preserve">Склад</x:t>
        </x:is>
      </x:c>
      <x:c r="F2" s="31" t="inlineStr">
        <x:is>
          <x:t xml:space="preserve">ОБ-011</x:t>
        </x:is>
      </x:c>
      <x:c r="G2" s="31" t="n">
        <x:v>4.2</x:v>
      </x:c>
      <x:c r="H2" s="31" t="inlineStr">
        <x:is>
          <x:t xml:space="preserve">Нет</x:t>
        </x:is>
      </x:c>
      <x:c r="I2" s="31" t="inlineStr">
        <x:is>
          <x:t xml:space="preserve">Нет</x:t>
        </x:is>
      </x:c>
      <x:c r="J2" s="31" t="inlineStr">
        <x:is>
          <x:t xml:space="preserve">Версия 3</x:t>
        </x:is>
      </x:c>
    </x:row>
    <x:row r="3" ht="18" customHeight="1">
      <x:c r="A3" s="31" t="inlineStr">
        <x:is>
          <x:t xml:space="preserve">МАР-0002</x:t>
        </x:is>
      </x:c>
      <x:c r="B3" s="31" t="inlineStr">
        <x:is>
          <x:t xml:space="preserve">ИЗД-001</x:t>
        </x:is>
      </x:c>
      <x:c r="C3" s="31" t="n">
        <x:v>20</x:v>
      </x:c>
      <x:c r="D3" s="31" t="inlineStr">
        <x:is>
          <x:t xml:space="preserve">Входной контроль</x:t>
        </x:is>
      </x:c>
      <x:c r="E3" s="31" t="inlineStr">
        <x:is>
          <x:t xml:space="preserve">ОТК</x:t>
        </x:is>
      </x:c>
      <x:c r="F3" s="31" t="inlineStr">
        <x:is>
          <x:t xml:space="preserve">ОБ-032</x:t>
        </x:is>
      </x:c>
      <x:c r="G3" s="31" t="n">
        <x:v>6.7</x:v>
      </x:c>
      <x:c r="H3" s="31" t="inlineStr">
        <x:is>
          <x:t xml:space="preserve">Нет</x:t>
        </x:is>
      </x:c>
      <x:c r="I3" s="31" t="inlineStr">
        <x:is>
          <x:t xml:space="preserve">Нет</x:t>
        </x:is>
      </x:c>
      <x:c r="J3" s="31" t="inlineStr">
        <x:is>
          <x:t xml:space="preserve">Версия 3</x:t>
        </x:is>
      </x:c>
    </x:row>
    <x:row r="4" ht="18" customHeight="1">
      <x:c r="A4" s="31" t="inlineStr">
        <x:is>
          <x:t xml:space="preserve">МАР-0003</x:t>
        </x:is>
      </x:c>
      <x:c r="B4" s="31" t="inlineStr">
        <x:is>
          <x:t xml:space="preserve">ИЗД-001</x:t>
        </x:is>
      </x:c>
      <x:c r="C4" s="31" t="n">
        <x:v>30</x:v>
      </x:c>
      <x:c r="D4" s="31" t="inlineStr">
        <x:is>
          <x:t xml:space="preserve">Упаковка</x:t>
        </x:is>
      </x:c>
      <x:c r="E4" s="31" t="inlineStr">
        <x:is>
          <x:t xml:space="preserve">Логистика</x:t>
        </x:is>
      </x:c>
      <x:c r="F4" s="31" t="n"/>
      <x:c r="G4" s="31" t="n">
        <x:v>0.8</x:v>
      </x:c>
      <x:c r="H4" s="31" t="inlineStr">
        <x:is>
          <x:t xml:space="preserve">Нет</x:t>
        </x:is>
      </x:c>
      <x:c r="I4" s="31" t="inlineStr">
        <x:is>
          <x:t xml:space="preserve">Нет</x:t>
        </x:is>
      </x:c>
      <x:c r="J4" s="31" t="inlineStr">
        <x:is>
          <x:t xml:space="preserve">Версия 3</x:t>
        </x:is>
      </x:c>
    </x:row>
    <x:row r="5" ht="18" customHeight="1">
      <x:c r="A5" s="31" t="inlineStr">
        <x:is>
          <x:t xml:space="preserve">МАР-0004</x:t>
        </x:is>
      </x:c>
      <x:c r="B5" s="31" t="inlineStr">
        <x:is>
          <x:t xml:space="preserve">ИЗД-001</x:t>
        </x:is>
      </x:c>
      <x:c r="C5" s="31" t="n">
        <x:v>40</x:v>
      </x:c>
      <x:c r="D5" s="31" t="inlineStr">
        <x:is>
          <x:t xml:space="preserve">ОТК</x:t>
        </x:is>
      </x:c>
      <x:c r="E5" s="31" t="inlineStr">
        <x:is>
          <x:t xml:space="preserve">ОТК</x:t>
        </x:is>
      </x:c>
      <x:c r="F5" s="31" t="inlineStr">
        <x:is>
          <x:t xml:space="preserve">ОБ-006</x:t>
        </x:is>
      </x:c>
      <x:c r="G5" s="31" t="n">
        <x:v>2.5</x:v>
      </x:c>
      <x:c r="H5" s="31" t="inlineStr">
        <x:is>
          <x:t xml:space="preserve">Нет</x:t>
        </x:is>
      </x:c>
      <x:c r="I5" s="31" t="inlineStr">
        <x:is>
          <x:t xml:space="preserve">Нет</x:t>
        </x:is>
      </x:c>
      <x:c r="J5" s="31" t="inlineStr">
        <x:is>
          <x:t xml:space="preserve">Версия 3</x:t>
        </x:is>
      </x:c>
    </x:row>
    <x:row r="6" ht="18" customHeight="1">
      <x:c r="A6" s="31" t="inlineStr">
        <x:is>
          <x:t xml:space="preserve">МАР-0005</x:t>
        </x:is>
      </x:c>
      <x:c r="B6" s="31" t="inlineStr">
        <x:is>
          <x:t xml:space="preserve">ИЗД-002</x:t>
        </x:is>
      </x:c>
      <x:c r="C6" s="31" t="n">
        <x:v>10</x:v>
      </x:c>
      <x:c r="D6" s="31" t="inlineStr">
        <x:is>
          <x:t xml:space="preserve">КД</x:t>
        </x:is>
      </x:c>
      <x:c r="E6" s="31" t="inlineStr">
        <x:is>
          <x:t xml:space="preserve">Инженерный отдел</x:t>
        </x:is>
      </x:c>
      <x:c r="F6" s="31" t="n"/>
      <x:c r="G6" s="31" t="n">
        <x:v>3.7</x:v>
      </x:c>
      <x:c r="H6" s="31" t="inlineStr">
        <x:is>
          <x:t xml:space="preserve">Нет</x:t>
        </x:is>
      </x:c>
      <x:c r="I6" s="31" t="inlineStr">
        <x:is>
          <x:t xml:space="preserve">Нет</x:t>
        </x:is>
      </x:c>
      <x:c r="J6" s="31" t="inlineStr">
        <x:is>
          <x:t xml:space="preserve">Версия 5</x:t>
        </x:is>
      </x:c>
    </x:row>
    <x:row r="7" ht="18" customHeight="1">
      <x:c r="A7" s="31" t="inlineStr">
        <x:is>
          <x:t xml:space="preserve">МАР-0006</x:t>
        </x:is>
      </x:c>
      <x:c r="B7" s="31" t="inlineStr">
        <x:is>
          <x:t xml:space="preserve">ИЗД-002</x:t>
        </x:is>
      </x:c>
      <x:c r="C7" s="31" t="n">
        <x:v>20</x:v>
      </x:c>
      <x:c r="D7" s="31" t="inlineStr">
        <x:is>
          <x:t xml:space="preserve">Комплектация</x:t>
        </x:is>
      </x:c>
      <x:c r="E7" s="31" t="inlineStr">
        <x:is>
          <x:t xml:space="preserve">Склад</x:t>
        </x:is>
      </x:c>
      <x:c r="F7" s="31" t="inlineStr">
        <x:is>
          <x:t xml:space="preserve">ОБ-025</x:t>
        </x:is>
      </x:c>
      <x:c r="G7" s="31" t="n">
        <x:v>4.9</x:v>
      </x:c>
      <x:c r="H7" s="31" t="inlineStr">
        <x:is>
          <x:t xml:space="preserve">Нет</x:t>
        </x:is>
      </x:c>
      <x:c r="I7" s="31" t="inlineStr">
        <x:is>
          <x:t xml:space="preserve">Нет</x:t>
        </x:is>
      </x:c>
      <x:c r="J7" s="31" t="inlineStr">
        <x:is>
          <x:t xml:space="preserve">Версия 5</x:t>
        </x:is>
      </x:c>
    </x:row>
    <x:row r="8" ht="18" customHeight="1">
      <x:c r="A8" s="31" t="inlineStr">
        <x:is>
          <x:t xml:space="preserve">МАР-0007</x:t>
        </x:is>
      </x:c>
      <x:c r="B8" s="31" t="inlineStr">
        <x:is>
          <x:t xml:space="preserve">ИЗД-002</x:t>
        </x:is>
      </x:c>
      <x:c r="C8" s="31" t="n">
        <x:v>30</x:v>
      </x:c>
      <x:c r="D8" s="31" t="inlineStr">
        <x:is>
          <x:t xml:space="preserve">Сборка шкафа</x:t>
        </x:is>
      </x:c>
      <x:c r="E8" s="31" t="inlineStr">
        <x:is>
          <x:t xml:space="preserve">Сборка</x:t>
        </x:is>
      </x:c>
      <x:c r="F8" s="31" t="inlineStr">
        <x:is>
          <x:t xml:space="preserve">ОБ-005</x:t>
        </x:is>
      </x:c>
      <x:c r="G8" s="31" t="n">
        <x:v>3.2</x:v>
      </x:c>
      <x:c r="H8" s="31" t="inlineStr">
        <x:is>
          <x:t xml:space="preserve">Нет</x:t>
        </x:is>
      </x:c>
      <x:c r="I8" s="31" t="inlineStr">
        <x:is>
          <x:t xml:space="preserve">Да</x:t>
        </x:is>
      </x:c>
      <x:c r="J8" s="31" t="inlineStr">
        <x:is>
          <x:t xml:space="preserve">Версия 5</x:t>
        </x:is>
      </x:c>
    </x:row>
    <x:row r="9" ht="18" customHeight="1">
      <x:c r="A9" s="31" t="inlineStr">
        <x:is>
          <x:t xml:space="preserve">МАР-0008</x:t>
        </x:is>
      </x:c>
      <x:c r="B9" s="31" t="inlineStr">
        <x:is>
          <x:t xml:space="preserve">ИЗД-002</x:t>
        </x:is>
      </x:c>
      <x:c r="C9" s="31" t="n">
        <x:v>40</x:v>
      </x:c>
      <x:c r="D9" s="31" t="inlineStr">
        <x:is>
          <x:t xml:space="preserve">Маркировка</x:t>
        </x:is>
      </x:c>
      <x:c r="E9" s="31" t="inlineStr">
        <x:is>
          <x:t xml:space="preserve">Сборка</x:t>
        </x:is>
      </x:c>
      <x:c r="F9" s="31" t="inlineStr">
        <x:is>
          <x:t xml:space="preserve">ОБ-012</x:t>
        </x:is>
      </x:c>
      <x:c r="G9" s="31" t="n">
        <x:v>7.1</x:v>
      </x:c>
      <x:c r="H9" s="31" t="inlineStr">
        <x:is>
          <x:t xml:space="preserve">Да</x:t>
        </x:is>
      </x:c>
      <x:c r="I9" s="31" t="inlineStr">
        <x:is>
          <x:t xml:space="preserve">Да</x:t>
        </x:is>
      </x:c>
      <x:c r="J9" s="31" t="inlineStr">
        <x:is>
          <x:t xml:space="preserve">Версия 5</x:t>
        </x:is>
      </x:c>
    </x:row>
    <x:row r="10" ht="18" customHeight="1">
      <x:c r="A10" s="31" t="inlineStr">
        <x:is>
          <x:t xml:space="preserve">МАР-0009</x:t>
        </x:is>
      </x:c>
      <x:c r="B10" s="31" t="inlineStr">
        <x:is>
          <x:t xml:space="preserve">ИЗД-002</x:t>
        </x:is>
      </x:c>
      <x:c r="C10" s="31" t="n">
        <x:v>50</x:v>
      </x:c>
      <x:c r="D10" s="31" t="inlineStr">
        <x:is>
          <x:t xml:space="preserve">Электромонтаж</x:t>
        </x:is>
      </x:c>
      <x:c r="E10" s="31" t="inlineStr">
        <x:is>
          <x:t xml:space="preserve">Сборка</x:t>
        </x:is>
      </x:c>
      <x:c r="F10" s="31" t="inlineStr">
        <x:is>
          <x:t xml:space="preserve">ОБ-014</x:t>
        </x:is>
      </x:c>
      <x:c r="G10" s="31" t="n">
        <x:v>1.5</x:v>
      </x:c>
      <x:c r="H10" s="31" t="inlineStr">
        <x:is>
          <x:t xml:space="preserve">Да</x:t>
        </x:is>
      </x:c>
      <x:c r="I10" s="31" t="inlineStr">
        <x:is>
          <x:t xml:space="preserve">Нет</x:t>
        </x:is>
      </x:c>
      <x:c r="J10" s="31" t="inlineStr">
        <x:is>
          <x:t xml:space="preserve">Версия 5</x:t>
        </x:is>
      </x:c>
    </x:row>
    <x:row r="11" ht="18" customHeight="1">
      <x:c r="A11" s="31" t="inlineStr">
        <x:is>
          <x:t xml:space="preserve">МАР-0010</x:t>
        </x:is>
      </x:c>
      <x:c r="B11" s="31" t="inlineStr">
        <x:is>
          <x:t xml:space="preserve">ИЗД-002</x:t>
        </x:is>
      </x:c>
      <x:c r="C11" s="31" t="n">
        <x:v>60</x:v>
      </x:c>
      <x:c r="D11" s="31" t="inlineStr">
        <x:is>
          <x:t xml:space="preserve">Программирование ПЛК</x:t>
        </x:is>
      </x:c>
      <x:c r="E11" s="31" t="inlineStr">
        <x:is>
          <x:t xml:space="preserve">Инженерный отдел</x:t>
        </x:is>
      </x:c>
      <x:c r="F11" s="31" t="n"/>
      <x:c r="G11" s="31" t="n">
        <x:v>7.1</x:v>
      </x:c>
      <x:c r="H11" s="31" t="inlineStr">
        <x:is>
          <x:t xml:space="preserve">Нет</x:t>
        </x:is>
      </x:c>
      <x:c r="I11" s="31" t="inlineStr">
        <x:is>
          <x:t xml:space="preserve">Нет</x:t>
        </x:is>
      </x:c>
      <x:c r="J11" s="31" t="inlineStr">
        <x:is>
          <x:t xml:space="preserve">Версия 5</x:t>
        </x:is>
      </x:c>
    </x:row>
    <x:row r="12" ht="18" customHeight="1">
      <x:c r="A12" s="31" t="inlineStr">
        <x:is>
          <x:t xml:space="preserve">МАР-0011</x:t>
        </x:is>
      </x:c>
      <x:c r="B12" s="31" t="inlineStr">
        <x:is>
          <x:t xml:space="preserve">ИЗД-002</x:t>
        </x:is>
      </x:c>
      <x:c r="C12" s="31" t="n">
        <x:v>70</x:v>
      </x:c>
      <x:c r="D12" s="31" t="inlineStr">
        <x:is>
          <x:t xml:space="preserve">Приемочные испытания</x:t>
        </x:is>
      </x:c>
      <x:c r="E12" s="31" t="inlineStr">
        <x:is>
          <x:t xml:space="preserve">ОТК</x:t>
        </x:is>
      </x:c>
      <x:c r="F12" s="31" t="inlineStr">
        <x:is>
          <x:t xml:space="preserve">ОБ-015</x:t>
        </x:is>
      </x:c>
      <x:c r="G12" s="31" t="n">
        <x:v>6.1</x:v>
      </x:c>
      <x:c r="H12" s="31" t="inlineStr">
        <x:is>
          <x:t xml:space="preserve">Да</x:t>
        </x:is>
      </x:c>
      <x:c r="I12" s="31" t="inlineStr">
        <x:is>
          <x:t xml:space="preserve">Нет</x:t>
        </x:is>
      </x:c>
      <x:c r="J12" s="31" t="inlineStr">
        <x:is>
          <x:t xml:space="preserve">Версия 5</x:t>
        </x:is>
      </x:c>
    </x:row>
    <x:row r="13" ht="18" customHeight="1">
      <x:c r="A13" s="31" t="inlineStr">
        <x:is>
          <x:t xml:space="preserve">МАР-0012</x:t>
        </x:is>
      </x:c>
      <x:c r="B13" s="31" t="inlineStr">
        <x:is>
          <x:t xml:space="preserve">ИЗД-002</x:t>
        </x:is>
      </x:c>
      <x:c r="C13" s="31" t="n">
        <x:v>80</x:v>
      </x:c>
      <x:c r="D13" s="31" t="inlineStr">
        <x:is>
          <x:t xml:space="preserve">ОТК</x:t>
        </x:is>
      </x:c>
      <x:c r="E13" s="31" t="inlineStr">
        <x:is>
          <x:t xml:space="preserve">ОТК</x:t>
        </x:is>
      </x:c>
      <x:c r="F13" s="31" t="inlineStr">
        <x:is>
          <x:t xml:space="preserve">ОБ-001</x:t>
        </x:is>
      </x:c>
      <x:c r="G13" s="31" t="n">
        <x:v>6.2</x:v>
      </x:c>
      <x:c r="H13" s="31" t="inlineStr">
        <x:is>
          <x:t xml:space="preserve">Нет</x:t>
        </x:is>
      </x:c>
      <x:c r="I13" s="31" t="inlineStr">
        <x:is>
          <x:t xml:space="preserve">Нет</x:t>
        </x:is>
      </x:c>
      <x:c r="J13" s="31" t="inlineStr">
        <x:is>
          <x:t xml:space="preserve">Версия 5</x:t>
        </x:is>
      </x:c>
    </x:row>
    <x:row r="14" ht="18" customHeight="1">
      <x:c r="A14" s="31" t="inlineStr">
        <x:is>
          <x:t xml:space="preserve">МАР-0013</x:t>
        </x:is>
      </x:c>
      <x:c r="B14" s="31" t="inlineStr">
        <x:is>
          <x:t xml:space="preserve">ИЗД-002</x:t>
        </x:is>
      </x:c>
      <x:c r="C14" s="31" t="n">
        <x:v>90</x:v>
      </x:c>
      <x:c r="D14" s="31" t="inlineStr">
        <x:is>
          <x:t xml:space="preserve">Упаковка</x:t>
        </x:is>
      </x:c>
      <x:c r="E14" s="31" t="inlineStr">
        <x:is>
          <x:t xml:space="preserve">Логистика</x:t>
        </x:is>
      </x:c>
      <x:c r="F14" s="31" t="n"/>
      <x:c r="G14" s="31" t="n">
        <x:v>4.5</x:v>
      </x:c>
      <x:c r="H14" s="31" t="inlineStr">
        <x:is>
          <x:t xml:space="preserve">Нет</x:t>
        </x:is>
      </x:c>
      <x:c r="I14" s="31" t="inlineStr">
        <x:is>
          <x:t xml:space="preserve">Да</x:t>
        </x:is>
      </x:c>
      <x:c r="J14" s="31" t="inlineStr">
        <x:is>
          <x:t xml:space="preserve">Версия 5</x:t>
        </x:is>
      </x:c>
    </x:row>
    <x:row r="15" ht="18" customHeight="1">
      <x:c r="A15" s="31" t="inlineStr">
        <x:is>
          <x:t xml:space="preserve">МАР-0014</x:t>
        </x:is>
      </x:c>
      <x:c r="B15" s="31" t="inlineStr">
        <x:is>
          <x:t xml:space="preserve">ИЗД-003</x:t>
        </x:is>
      </x:c>
      <x:c r="C15" s="31" t="n">
        <x:v>10</x:v>
      </x:c>
      <x:c r="D15" s="31" t="inlineStr">
        <x:is>
          <x:t xml:space="preserve">КД</x:t>
        </x:is>
      </x:c>
      <x:c r="E15" s="31" t="inlineStr">
        <x:is>
          <x:t xml:space="preserve">Инженерный отдел</x:t>
        </x:is>
      </x:c>
      <x:c r="F15" s="31" t="n"/>
      <x:c r="G15" s="31" t="n">
        <x:v>6.9</x:v>
      </x:c>
      <x:c r="H15" s="31" t="inlineStr">
        <x:is>
          <x:t xml:space="preserve">Да</x:t>
        </x:is>
      </x:c>
      <x:c r="I15" s="31" t="inlineStr">
        <x:is>
          <x:t xml:space="preserve">Нет</x:t>
        </x:is>
      </x:c>
      <x:c r="J15" s="31" t="inlineStr">
        <x:is>
          <x:t xml:space="preserve">Версия 2</x:t>
        </x:is>
      </x:c>
    </x:row>
    <x:row r="16" ht="18" customHeight="1">
      <x:c r="A16" s="31" t="inlineStr">
        <x:is>
          <x:t xml:space="preserve">МАР-0015</x:t>
        </x:is>
      </x:c>
      <x:c r="B16" s="31" t="inlineStr">
        <x:is>
          <x:t xml:space="preserve">ИЗД-003</x:t>
        </x:is>
      </x:c>
      <x:c r="C16" s="31" t="n">
        <x:v>20</x:v>
      </x:c>
      <x:c r="D16" s="31" t="inlineStr">
        <x:is>
          <x:t xml:space="preserve">Резерв материалов</x:t>
        </x:is>
      </x:c>
      <x:c r="E16" s="31" t="inlineStr">
        <x:is>
          <x:t xml:space="preserve">Склад</x:t>
        </x:is>
      </x:c>
      <x:c r="F16" s="31" t="inlineStr">
        <x:is>
          <x:t xml:space="preserve">ОБ-023</x:t>
        </x:is>
      </x:c>
      <x:c r="G16" s="31" t="n">
        <x:v>7.9</x:v>
      </x:c>
      <x:c r="H16" s="31" t="inlineStr">
        <x:is>
          <x:t xml:space="preserve">Нет</x:t>
        </x:is>
      </x:c>
      <x:c r="I16" s="31" t="inlineStr">
        <x:is>
          <x:t xml:space="preserve">Нет</x:t>
        </x:is>
      </x:c>
      <x:c r="J16" s="31" t="inlineStr">
        <x:is>
          <x:t xml:space="preserve">Версия 2</x:t>
        </x:is>
      </x:c>
    </x:row>
    <x:row r="17" ht="18" customHeight="1">
      <x:c r="A17" s="31" t="inlineStr">
        <x:is>
          <x:t xml:space="preserve">МАР-0016</x:t>
        </x:is>
      </x:c>
      <x:c r="B17" s="31" t="inlineStr">
        <x:is>
          <x:t xml:space="preserve">ИЗД-003</x:t>
        </x:is>
      </x:c>
      <x:c r="C17" s="31" t="n">
        <x:v>30</x:v>
      </x:c>
      <x:c r="D17" s="31" t="inlineStr">
        <x:is>
          <x:t xml:space="preserve">Резка металла</x:t>
        </x:is>
      </x:c>
      <x:c r="E17" s="31" t="inlineStr">
        <x:is>
          <x:t xml:space="preserve">Сварка</x:t>
        </x:is>
      </x:c>
      <x:c r="F17" s="31" t="inlineStr">
        <x:is>
          <x:t xml:space="preserve">ОБ-019</x:t>
        </x:is>
      </x:c>
      <x:c r="G17" s="31" t="n">
        <x:v>1.1</x:v>
      </x:c>
      <x:c r="H17" s="31" t="inlineStr">
        <x:is>
          <x:t xml:space="preserve">Нет</x:t>
        </x:is>
      </x:c>
      <x:c r="I17" s="31" t="inlineStr">
        <x:is>
          <x:t xml:space="preserve">Нет</x:t>
        </x:is>
      </x:c>
      <x:c r="J17" s="31" t="inlineStr">
        <x:is>
          <x:t xml:space="preserve">Версия 2</x:t>
        </x:is>
      </x:c>
    </x:row>
    <x:row r="18" ht="18" customHeight="1">
      <x:c r="A18" s="31" t="inlineStr">
        <x:is>
          <x:t xml:space="preserve">МАР-0017</x:t>
        </x:is>
      </x:c>
      <x:c r="B18" s="31" t="inlineStr">
        <x:is>
          <x:t xml:space="preserve">ИЗД-003</x:t>
        </x:is>
      </x:c>
      <x:c r="C18" s="31" t="n">
        <x:v>40</x:v>
      </x:c>
      <x:c r="D18" s="31" t="inlineStr">
        <x:is>
          <x:t xml:space="preserve">Сварка рамы</x:t>
        </x:is>
      </x:c>
      <x:c r="E18" s="31" t="inlineStr">
        <x:is>
          <x:t xml:space="preserve">Сварка</x:t>
        </x:is>
      </x:c>
      <x:c r="F18" s="31" t="inlineStr">
        <x:is>
          <x:t xml:space="preserve">ОБ-004</x:t>
        </x:is>
      </x:c>
      <x:c r="G18" s="31" t="n">
        <x:v>7.1</x:v>
      </x:c>
      <x:c r="H18" s="31" t="inlineStr">
        <x:is>
          <x:t xml:space="preserve">Нет</x:t>
        </x:is>
      </x:c>
      <x:c r="I18" s="31" t="inlineStr">
        <x:is>
          <x:t xml:space="preserve">Нет</x:t>
        </x:is>
      </x:c>
      <x:c r="J18" s="31" t="inlineStr">
        <x:is>
          <x:t xml:space="preserve">Версия 2</x:t>
        </x:is>
      </x:c>
    </x:row>
    <x:row r="19" ht="18" customHeight="1">
      <x:c r="A19" s="31" t="inlineStr">
        <x:is>
          <x:t xml:space="preserve">МАР-0018</x:t>
        </x:is>
      </x:c>
      <x:c r="B19" s="31" t="inlineStr">
        <x:is>
          <x:t xml:space="preserve">ИЗД-003</x:t>
        </x:is>
      </x:c>
      <x:c r="C19" s="31" t="n">
        <x:v>50</x:v>
      </x:c>
      <x:c r="D19" s="31" t="inlineStr">
        <x:is>
          <x:t xml:space="preserve">Механообработка</x:t>
        </x:is>
      </x:c>
      <x:c r="E19" s="31" t="inlineStr">
        <x:is>
          <x:t xml:space="preserve">Механообработка</x:t>
        </x:is>
      </x:c>
      <x:c r="F19" s="31" t="inlineStr">
        <x:is>
          <x:t xml:space="preserve">ОБ-031</x:t>
        </x:is>
      </x:c>
      <x:c r="G19" s="31" t="n">
        <x:v>1.4</x:v>
      </x:c>
      <x:c r="H19" s="31" t="inlineStr">
        <x:is>
          <x:t xml:space="preserve">Нет</x:t>
        </x:is>
      </x:c>
      <x:c r="I19" s="31" t="inlineStr">
        <x:is>
          <x:t xml:space="preserve">Нет</x:t>
        </x:is>
      </x:c>
      <x:c r="J19" s="31" t="inlineStr">
        <x:is>
          <x:t xml:space="preserve">Версия 2</x:t>
        </x:is>
      </x:c>
    </x:row>
    <x:row r="20" ht="18" customHeight="1">
      <x:c r="A20" s="31" t="inlineStr">
        <x:is>
          <x:t xml:space="preserve">МАР-0019</x:t>
        </x:is>
      </x:c>
      <x:c r="B20" s="31" t="inlineStr">
        <x:is>
          <x:t xml:space="preserve">ИЗД-003</x:t>
        </x:is>
      </x:c>
      <x:c r="C20" s="31" t="n">
        <x:v>60</x:v>
      </x:c>
      <x:c r="D20" s="31" t="inlineStr">
        <x:is>
          <x:t xml:space="preserve">Сборка</x:t>
        </x:is>
      </x:c>
      <x:c r="E20" s="31" t="inlineStr">
        <x:is>
          <x:t xml:space="preserve">Сборка</x:t>
        </x:is>
      </x:c>
      <x:c r="F20" s="31" t="inlineStr">
        <x:is>
          <x:t xml:space="preserve">ОБ-014</x:t>
        </x:is>
      </x:c>
      <x:c r="G20" s="31" t="n">
        <x:v>2.2</x:v>
      </x:c>
      <x:c r="H20" s="31" t="inlineStr">
        <x:is>
          <x:t xml:space="preserve">Нет</x:t>
        </x:is>
      </x:c>
      <x:c r="I20" s="31" t="inlineStr">
        <x:is>
          <x:t xml:space="preserve">Нет</x:t>
        </x:is>
      </x:c>
      <x:c r="J20" s="31" t="inlineStr">
        <x:is>
          <x:t xml:space="preserve">Версия 2</x:t>
        </x:is>
      </x:c>
    </x:row>
    <x:row r="21" ht="18" customHeight="1">
      <x:c r="A21" s="31" t="inlineStr">
        <x:is>
          <x:t xml:space="preserve">МАР-0020</x:t>
        </x:is>
      </x:c>
      <x:c r="B21" s="31" t="inlineStr">
        <x:is>
          <x:t xml:space="preserve">ИЗД-003</x:t>
        </x:is>
      </x:c>
      <x:c r="C21" s="31" t="n">
        <x:v>70</x:v>
      </x:c>
      <x:c r="D21" s="31" t="inlineStr">
        <x:is>
          <x:t xml:space="preserve">Электромонтаж</x:t>
        </x:is>
      </x:c>
      <x:c r="E21" s="31" t="inlineStr">
        <x:is>
          <x:t xml:space="preserve">Сборка</x:t>
        </x:is>
      </x:c>
      <x:c r="F21" s="31" t="inlineStr">
        <x:is>
          <x:t xml:space="preserve">ОБ-034</x:t>
        </x:is>
      </x:c>
      <x:c r="G21" s="31" t="n">
        <x:v>5</x:v>
      </x:c>
      <x:c r="H21" s="31" t="inlineStr">
        <x:is>
          <x:t xml:space="preserve">Нет</x:t>
        </x:is>
      </x:c>
      <x:c r="I21" s="31" t="inlineStr">
        <x:is>
          <x:t xml:space="preserve">Да</x:t>
        </x:is>
      </x:c>
      <x:c r="J21" s="31" t="inlineStr">
        <x:is>
          <x:t xml:space="preserve">Версия 2</x:t>
        </x:is>
      </x:c>
    </x:row>
    <x:row r="22" ht="18" customHeight="1">
      <x:c r="A22" s="31" t="inlineStr">
        <x:is>
          <x:t xml:space="preserve">МАР-0021</x:t>
        </x:is>
      </x:c>
      <x:c r="B22" s="31" t="inlineStr">
        <x:is>
          <x:t xml:space="preserve">ИЗД-003</x:t>
        </x:is>
      </x:c>
      <x:c r="C22" s="31" t="n">
        <x:v>80</x:v>
      </x:c>
      <x:c r="D22" s="31" t="inlineStr">
        <x:is>
          <x:t xml:space="preserve">Гидроиспытания</x:t>
        </x:is>
      </x:c>
      <x:c r="E22" s="31" t="inlineStr">
        <x:is>
          <x:t xml:space="preserve">ОТК</x:t>
        </x:is>
      </x:c>
      <x:c r="F22" s="31" t="inlineStr">
        <x:is>
          <x:t xml:space="preserve">ОБ-022</x:t>
        </x:is>
      </x:c>
      <x:c r="G22" s="31" t="n">
        <x:v>5.6</x:v>
      </x:c>
      <x:c r="H22" s="31" t="inlineStr">
        <x:is>
          <x:t xml:space="preserve">Нет</x:t>
        </x:is>
      </x:c>
      <x:c r="I22" s="31" t="inlineStr">
        <x:is>
          <x:t xml:space="preserve">Нет</x:t>
        </x:is>
      </x:c>
      <x:c r="J22" s="31" t="inlineStr">
        <x:is>
          <x:t xml:space="preserve">Версия 2</x:t>
        </x:is>
      </x:c>
    </x:row>
    <x:row r="23" ht="18" customHeight="1">
      <x:c r="A23" s="31" t="inlineStr">
        <x:is>
          <x:t xml:space="preserve">МАР-0022</x:t>
        </x:is>
      </x:c>
      <x:c r="B23" s="31" t="inlineStr">
        <x:is>
          <x:t xml:space="preserve">ИЗД-003</x:t>
        </x:is>
      </x:c>
      <x:c r="C23" s="31" t="n">
        <x:v>90</x:v>
      </x:c>
      <x:c r="D23" s="31" t="inlineStr">
        <x:is>
          <x:t xml:space="preserve">ОТК</x:t>
        </x:is>
      </x:c>
      <x:c r="E23" s="31" t="inlineStr">
        <x:is>
          <x:t xml:space="preserve">ОТК</x:t>
        </x:is>
      </x:c>
      <x:c r="F23" s="31" t="inlineStr">
        <x:is>
          <x:t xml:space="preserve">ОБ-006</x:t>
        </x:is>
      </x:c>
      <x:c r="G23" s="31" t="n">
        <x:v>4</x:v>
      </x:c>
      <x:c r="H23" s="31" t="inlineStr">
        <x:is>
          <x:t xml:space="preserve">Да</x:t>
        </x:is>
      </x:c>
      <x:c r="I23" s="31" t="inlineStr">
        <x:is>
          <x:t xml:space="preserve">Нет</x:t>
        </x:is>
      </x:c>
      <x:c r="J23" s="31" t="inlineStr">
        <x:is>
          <x:t xml:space="preserve">Версия 2</x:t>
        </x:is>
      </x:c>
    </x:row>
    <x:row r="24" ht="18" customHeight="1">
      <x:c r="A24" s="31" t="inlineStr">
        <x:is>
          <x:t xml:space="preserve">МАР-0023</x:t>
        </x:is>
      </x:c>
      <x:c r="B24" s="31" t="inlineStr">
        <x:is>
          <x:t xml:space="preserve">ИЗД-003</x:t>
        </x:is>
      </x:c>
      <x:c r="C24" s="31" t="n">
        <x:v>100</x:v>
      </x:c>
      <x:c r="D24" s="31" t="inlineStr">
        <x:is>
          <x:t xml:space="preserve">Упаковка</x:t>
        </x:is>
      </x:c>
      <x:c r="E24" s="31" t="inlineStr">
        <x:is>
          <x:t xml:space="preserve">Логистика</x:t>
        </x:is>
      </x:c>
      <x:c r="F24" s="31" t="n"/>
      <x:c r="G24" s="31" t="n">
        <x:v>3.8</x:v>
      </x:c>
      <x:c r="H24" s="31" t="inlineStr">
        <x:is>
          <x:t xml:space="preserve">Нет</x:t>
        </x:is>
      </x:c>
      <x:c r="I24" s="31" t="inlineStr">
        <x:is>
          <x:t xml:space="preserve">Нет</x:t>
        </x:is>
      </x:c>
      <x:c r="J24" s="31" t="inlineStr">
        <x:is>
          <x:t xml:space="preserve">Версия 2</x:t>
        </x:is>
      </x:c>
    </x:row>
    <x:row r="25" ht="18" customHeight="1">
      <x:c r="A25" s="31" t="inlineStr">
        <x:is>
          <x:t xml:space="preserve">МАР-0024</x:t>
        </x:is>
      </x:c>
      <x:c r="B25" s="31" t="inlineStr">
        <x:is>
          <x:t xml:space="preserve">ИЗД-004</x:t>
        </x:is>
      </x:c>
      <x:c r="C25" s="31" t="n">
        <x:v>10</x:v>
      </x:c>
      <x:c r="D25" s="31" t="inlineStr">
        <x:is>
          <x:t xml:space="preserve">КД</x:t>
        </x:is>
      </x:c>
      <x:c r="E25" s="31" t="inlineStr">
        <x:is>
          <x:t xml:space="preserve">Инженерный отдел</x:t>
        </x:is>
      </x:c>
      <x:c r="F25" s="31" t="n"/>
      <x:c r="G25" s="31" t="n">
        <x:v>19.2</x:v>
      </x:c>
      <x:c r="H25" s="31" t="inlineStr">
        <x:is>
          <x:t xml:space="preserve">Нет</x:t>
        </x:is>
      </x:c>
      <x:c r="I25" s="31" t="inlineStr">
        <x:is>
          <x:t xml:space="preserve">Нет</x:t>
        </x:is>
      </x:c>
      <x:c r="J25" s="31" t="inlineStr">
        <x:is>
          <x:t xml:space="preserve">Версия 2</x:t>
        </x:is>
      </x:c>
    </x:row>
    <x:row r="26" ht="18" customHeight="1">
      <x:c r="A26" s="31" t="inlineStr">
        <x:is>
          <x:t xml:space="preserve">МАР-0025</x:t>
        </x:is>
      </x:c>
      <x:c r="B26" s="31" t="inlineStr">
        <x:is>
          <x:t xml:space="preserve">ИЗД-004</x:t>
        </x:is>
      </x:c>
      <x:c r="C26" s="31" t="n">
        <x:v>20</x:v>
      </x:c>
      <x:c r="D26" s="31" t="inlineStr">
        <x:is>
          <x:t xml:space="preserve">Резерв материалов</x:t>
        </x:is>
      </x:c>
      <x:c r="E26" s="31" t="inlineStr">
        <x:is>
          <x:t xml:space="preserve">Склад</x:t>
        </x:is>
      </x:c>
      <x:c r="F26" s="31" t="inlineStr">
        <x:is>
          <x:t xml:space="preserve">ОБ-011</x:t>
        </x:is>
      </x:c>
      <x:c r="G26" s="31" t="n">
        <x:v>7.1</x:v>
      </x:c>
      <x:c r="H26" s="31" t="inlineStr">
        <x:is>
          <x:t xml:space="preserve">Нет</x:t>
        </x:is>
      </x:c>
      <x:c r="I26" s="31" t="inlineStr">
        <x:is>
          <x:t xml:space="preserve">Нет</x:t>
        </x:is>
      </x:c>
      <x:c r="J26" s="31" t="inlineStr">
        <x:is>
          <x:t xml:space="preserve">Версия 2</x:t>
        </x:is>
      </x:c>
    </x:row>
    <x:row r="27" ht="18" customHeight="1">
      <x:c r="A27" s="31" t="inlineStr">
        <x:is>
          <x:t xml:space="preserve">МАР-0026</x:t>
        </x:is>
      </x:c>
      <x:c r="B27" s="31" t="inlineStr">
        <x:is>
          <x:t xml:space="preserve">ИЗД-004</x:t>
        </x:is>
      </x:c>
      <x:c r="C27" s="31" t="n">
        <x:v>30</x:v>
      </x:c>
      <x:c r="D27" s="31" t="inlineStr">
        <x:is>
          <x:t xml:space="preserve">Сварка рамы</x:t>
        </x:is>
      </x:c>
      <x:c r="E27" s="31" t="inlineStr">
        <x:is>
          <x:t xml:space="preserve">Сварка</x:t>
        </x:is>
      </x:c>
      <x:c r="F27" s="31" t="inlineStr">
        <x:is>
          <x:t xml:space="preserve">ОБ-021</x:t>
        </x:is>
      </x:c>
      <x:c r="G27" s="31" t="n">
        <x:v>12.7</x:v>
      </x:c>
      <x:c r="H27" s="31" t="inlineStr">
        <x:is>
          <x:t xml:space="preserve">Нет</x:t>
        </x:is>
      </x:c>
      <x:c r="I27" s="31" t="inlineStr">
        <x:is>
          <x:t xml:space="preserve">Нет</x:t>
        </x:is>
      </x:c>
      <x:c r="J27" s="31" t="inlineStr">
        <x:is>
          <x:t xml:space="preserve">Версия 2</x:t>
        </x:is>
      </x:c>
    </x:row>
    <x:row r="28" ht="18" customHeight="1">
      <x:c r="A28" s="31" t="inlineStr">
        <x:is>
          <x:t xml:space="preserve">МАР-0027</x:t>
        </x:is>
      </x:c>
      <x:c r="B28" s="31" t="inlineStr">
        <x:is>
          <x:t xml:space="preserve">ИЗД-004</x:t>
        </x:is>
      </x:c>
      <x:c r="C28" s="31" t="n">
        <x:v>40</x:v>
      </x:c>
      <x:c r="D28" s="31" t="inlineStr">
        <x:is>
          <x:t xml:space="preserve">Сборка</x:t>
        </x:is>
      </x:c>
      <x:c r="E28" s="31" t="inlineStr">
        <x:is>
          <x:t xml:space="preserve">Сборка</x:t>
        </x:is>
      </x:c>
      <x:c r="F28" s="31" t="inlineStr">
        <x:is>
          <x:t xml:space="preserve">ОБ-034</x:t>
        </x:is>
      </x:c>
      <x:c r="G28" s="31" t="n">
        <x:v>5.4</x:v>
      </x:c>
      <x:c r="H28" s="31" t="inlineStr">
        <x:is>
          <x:t xml:space="preserve">Нет</x:t>
        </x:is>
      </x:c>
      <x:c r="I28" s="31" t="inlineStr">
        <x:is>
          <x:t xml:space="preserve">Нет</x:t>
        </x:is>
      </x:c>
      <x:c r="J28" s="31" t="inlineStr">
        <x:is>
          <x:t xml:space="preserve">Версия 2</x:t>
        </x:is>
      </x:c>
    </x:row>
    <x:row r="29" ht="18" customHeight="1">
      <x:c r="A29" s="31" t="inlineStr">
        <x:is>
          <x:t xml:space="preserve">МАР-0028</x:t>
        </x:is>
      </x:c>
      <x:c r="B29" s="31" t="inlineStr">
        <x:is>
          <x:t xml:space="preserve">ИЗД-004</x:t>
        </x:is>
      </x:c>
      <x:c r="C29" s="31" t="n">
        <x:v>50</x:v>
      </x:c>
      <x:c r="D29" s="31" t="inlineStr">
        <x:is>
          <x:t xml:space="preserve">Обвязка труб</x:t>
        </x:is>
      </x:c>
      <x:c r="E29" s="31" t="inlineStr">
        <x:is>
          <x:t xml:space="preserve">Сборка</x:t>
        </x:is>
      </x:c>
      <x:c r="F29" s="31" t="inlineStr">
        <x:is>
          <x:t xml:space="preserve">ОБ-027</x:t>
        </x:is>
      </x:c>
      <x:c r="G29" s="31" t="n">
        <x:v>18.5</x:v>
      </x:c>
      <x:c r="H29" s="31" t="inlineStr">
        <x:is>
          <x:t xml:space="preserve">Нет</x:t>
        </x:is>
      </x:c>
      <x:c r="I29" s="31" t="inlineStr">
        <x:is>
          <x:t xml:space="preserve">Да</x:t>
        </x:is>
      </x:c>
      <x:c r="J29" s="31" t="inlineStr">
        <x:is>
          <x:t xml:space="preserve">Версия 2</x:t>
        </x:is>
      </x:c>
    </x:row>
    <x:row r="30" ht="18" customHeight="1">
      <x:c r="A30" s="31" t="inlineStr">
        <x:is>
          <x:t xml:space="preserve">МАР-0029</x:t>
        </x:is>
      </x:c>
      <x:c r="B30" s="31" t="inlineStr">
        <x:is>
          <x:t xml:space="preserve">ИЗД-004</x:t>
        </x:is>
      </x:c>
      <x:c r="C30" s="31" t="n">
        <x:v>60</x:v>
      </x:c>
      <x:c r="D30" s="31" t="inlineStr">
        <x:is>
          <x:t xml:space="preserve">Электромонтаж</x:t>
        </x:is>
      </x:c>
      <x:c r="E30" s="31" t="inlineStr">
        <x:is>
          <x:t xml:space="preserve">Сборка</x:t>
        </x:is>
      </x:c>
      <x:c r="F30" s="31" t="inlineStr">
        <x:is>
          <x:t xml:space="preserve">ОБ-016</x:t>
        </x:is>
      </x:c>
      <x:c r="G30" s="31" t="n">
        <x:v>2.2</x:v>
      </x:c>
      <x:c r="H30" s="31" t="inlineStr">
        <x:is>
          <x:t xml:space="preserve">Нет</x:t>
        </x:is>
      </x:c>
      <x:c r="I30" s="31" t="inlineStr">
        <x:is>
          <x:t xml:space="preserve">Нет</x:t>
        </x:is>
      </x:c>
      <x:c r="J30" s="31" t="inlineStr">
        <x:is>
          <x:t xml:space="preserve">Версия 2</x:t>
        </x:is>
      </x:c>
    </x:row>
    <x:row r="31" ht="18" customHeight="1">
      <x:c r="A31" s="31" t="inlineStr">
        <x:is>
          <x:t xml:space="preserve">МАР-0030</x:t>
        </x:is>
      </x:c>
      <x:c r="B31" s="31" t="inlineStr">
        <x:is>
          <x:t xml:space="preserve">ИЗД-004</x:t>
        </x:is>
      </x:c>
      <x:c r="C31" s="31" t="n">
        <x:v>70</x:v>
      </x:c>
      <x:c r="D31" s="31" t="inlineStr">
        <x:is>
          <x:t xml:space="preserve">Гидроиспытания</x:t>
        </x:is>
      </x:c>
      <x:c r="E31" s="31" t="inlineStr">
        <x:is>
          <x:t xml:space="preserve">ОТК</x:t>
        </x:is>
      </x:c>
      <x:c r="F31" s="31" t="inlineStr">
        <x:is>
          <x:t xml:space="preserve">ОБ-015</x:t>
        </x:is>
      </x:c>
      <x:c r="G31" s="31" t="n">
        <x:v>19.1</x:v>
      </x:c>
      <x:c r="H31" s="31" t="inlineStr">
        <x:is>
          <x:t xml:space="preserve">Да</x:t>
        </x:is>
      </x:c>
      <x:c r="I31" s="31" t="inlineStr">
        <x:is>
          <x:t xml:space="preserve">Нет</x:t>
        </x:is>
      </x:c>
      <x:c r="J31" s="31" t="inlineStr">
        <x:is>
          <x:t xml:space="preserve">Версия 2</x:t>
        </x:is>
      </x:c>
    </x:row>
    <x:row r="32" ht="18" customHeight="1">
      <x:c r="A32" s="31" t="inlineStr">
        <x:is>
          <x:t xml:space="preserve">МАР-0031</x:t>
        </x:is>
      </x:c>
      <x:c r="B32" s="31" t="inlineStr">
        <x:is>
          <x:t xml:space="preserve">ИЗД-004</x:t>
        </x:is>
      </x:c>
      <x:c r="C32" s="31" t="n">
        <x:v>80</x:v>
      </x:c>
      <x:c r="D32" s="31" t="inlineStr">
        <x:is>
          <x:t xml:space="preserve">ОТК</x:t>
        </x:is>
      </x:c>
      <x:c r="E32" s="31" t="inlineStr">
        <x:is>
          <x:t xml:space="preserve">ОТК</x:t>
        </x:is>
      </x:c>
      <x:c r="F32" s="31" t="inlineStr">
        <x:is>
          <x:t xml:space="preserve">ОБ-022</x:t>
        </x:is>
      </x:c>
      <x:c r="G32" s="31" t="n">
        <x:v>5.4</x:v>
      </x:c>
      <x:c r="H32" s="31" t="inlineStr">
        <x:is>
          <x:t xml:space="preserve">Да</x:t>
        </x:is>
      </x:c>
      <x:c r="I32" s="31" t="inlineStr">
        <x:is>
          <x:t xml:space="preserve">Нет</x:t>
        </x:is>
      </x:c>
      <x:c r="J32" s="31" t="inlineStr">
        <x:is>
          <x:t xml:space="preserve">Версия 2</x:t>
        </x:is>
      </x:c>
    </x:row>
    <x:row r="33" ht="18" customHeight="1">
      <x:c r="A33" s="31" t="inlineStr">
        <x:is>
          <x:t xml:space="preserve">МАР-0032</x:t>
        </x:is>
      </x:c>
      <x:c r="B33" s="31" t="inlineStr">
        <x:is>
          <x:t xml:space="preserve">ИЗД-004</x:t>
        </x:is>
      </x:c>
      <x:c r="C33" s="31" t="n">
        <x:v>90</x:v>
      </x:c>
      <x:c r="D33" s="31" t="inlineStr">
        <x:is>
          <x:t xml:space="preserve">Упаковка</x:t>
        </x:is>
      </x:c>
      <x:c r="E33" s="31" t="inlineStr">
        <x:is>
          <x:t xml:space="preserve">Логистика</x:t>
        </x:is>
      </x:c>
      <x:c r="F33" s="31" t="n"/>
      <x:c r="G33" s="31" t="n">
        <x:v>13.7</x:v>
      </x:c>
      <x:c r="H33" s="31" t="inlineStr">
        <x:is>
          <x:t xml:space="preserve">Нет</x:t>
        </x:is>
      </x:c>
      <x:c r="I33" s="31" t="inlineStr">
        <x:is>
          <x:t xml:space="preserve">Нет</x:t>
        </x:is>
      </x:c>
      <x:c r="J33" s="31" t="inlineStr">
        <x:is>
          <x:t xml:space="preserve">Версия 2</x:t>
        </x:is>
      </x:c>
    </x:row>
    <x:row r="34" ht="18" customHeight="1">
      <x:c r="A34" s="31" t="inlineStr">
        <x:is>
          <x:t xml:space="preserve">МАР-0033</x:t>
        </x:is>
      </x:c>
      <x:c r="B34" s="31" t="inlineStr">
        <x:is>
          <x:t xml:space="preserve">ИЗД-005</x:t>
        </x:is>
      </x:c>
      <x:c r="C34" s="31" t="n">
        <x:v>10</x:v>
      </x:c>
      <x:c r="D34" s="31" t="inlineStr">
        <x:is>
          <x:t xml:space="preserve">КД</x:t>
        </x:is>
      </x:c>
      <x:c r="E34" s="31" t="inlineStr">
        <x:is>
          <x:t xml:space="preserve">Инженерный отдел</x:t>
        </x:is>
      </x:c>
      <x:c r="F34" s="31" t="n"/>
      <x:c r="G34" s="31" t="n">
        <x:v>5</x:v>
      </x:c>
      <x:c r="H34" s="31" t="inlineStr">
        <x:is>
          <x:t xml:space="preserve">Нет</x:t>
        </x:is>
      </x:c>
      <x:c r="I34" s="31" t="inlineStr">
        <x:is>
          <x:t xml:space="preserve">Нет</x:t>
        </x:is>
      </x:c>
      <x:c r="J34" s="31" t="inlineStr">
        <x:is>
          <x:t xml:space="preserve">Версия 2</x:t>
        </x:is>
      </x:c>
    </x:row>
    <x:row r="35" ht="18" customHeight="1">
      <x:c r="A35" s="31" t="inlineStr">
        <x:is>
          <x:t xml:space="preserve">МАР-0034</x:t>
        </x:is>
      </x:c>
      <x:c r="B35" s="31" t="inlineStr">
        <x:is>
          <x:t xml:space="preserve">ИЗД-005</x:t>
        </x:is>
      </x:c>
      <x:c r="C35" s="31" t="n">
        <x:v>20</x:v>
      </x:c>
      <x:c r="D35" s="31" t="inlineStr">
        <x:is>
          <x:t xml:space="preserve">Резерв материалов</x:t>
        </x:is>
      </x:c>
      <x:c r="E35" s="31" t="inlineStr">
        <x:is>
          <x:t xml:space="preserve">Склад</x:t>
        </x:is>
      </x:c>
      <x:c r="F35" s="31" t="inlineStr">
        <x:is>
          <x:t xml:space="preserve">ОБ-011</x:t>
        </x:is>
      </x:c>
      <x:c r="G35" s="31" t="n">
        <x:v>1</x:v>
      </x:c>
      <x:c r="H35" s="31" t="inlineStr">
        <x:is>
          <x:t xml:space="preserve">Да</x:t>
        </x:is>
      </x:c>
      <x:c r="I35" s="31" t="inlineStr">
        <x:is>
          <x:t xml:space="preserve">Нет</x:t>
        </x:is>
      </x:c>
      <x:c r="J35" s="31" t="inlineStr">
        <x:is>
          <x:t xml:space="preserve">Версия 2</x:t>
        </x:is>
      </x:c>
    </x:row>
    <x:row r="36" ht="18" customHeight="1">
      <x:c r="A36" s="31" t="inlineStr">
        <x:is>
          <x:t xml:space="preserve">МАР-0035</x:t>
        </x:is>
      </x:c>
      <x:c r="B36" s="31" t="inlineStr">
        <x:is>
          <x:t xml:space="preserve">ИЗД-005</x:t>
        </x:is>
      </x:c>
      <x:c r="C36" s="31" t="n">
        <x:v>30</x:v>
      </x:c>
      <x:c r="D36" s="31" t="inlineStr">
        <x:is>
          <x:t xml:space="preserve">Резка металла</x:t>
        </x:is>
      </x:c>
      <x:c r="E36" s="31" t="inlineStr">
        <x:is>
          <x:t xml:space="preserve">Сварка</x:t>
        </x:is>
      </x:c>
      <x:c r="F36" s="31" t="inlineStr">
        <x:is>
          <x:t xml:space="preserve">ОБ-018</x:t>
        </x:is>
      </x:c>
      <x:c r="G36" s="31" t="n">
        <x:v>7.6</x:v>
      </x:c>
      <x:c r="H36" s="31" t="inlineStr">
        <x:is>
          <x:t xml:space="preserve">Нет</x:t>
        </x:is>
      </x:c>
      <x:c r="I36" s="31" t="inlineStr">
        <x:is>
          <x:t xml:space="preserve">Нет</x:t>
        </x:is>
      </x:c>
      <x:c r="J36" s="31" t="inlineStr">
        <x:is>
          <x:t xml:space="preserve">Версия 2</x:t>
        </x:is>
      </x:c>
    </x:row>
    <x:row r="37" ht="18" customHeight="1">
      <x:c r="A37" s="31" t="inlineStr">
        <x:is>
          <x:t xml:space="preserve">МАР-0036</x:t>
        </x:is>
      </x:c>
      <x:c r="B37" s="31" t="inlineStr">
        <x:is>
          <x:t xml:space="preserve">ИЗД-005</x:t>
        </x:is>
      </x:c>
      <x:c r="C37" s="31" t="n">
        <x:v>40</x:v>
      </x:c>
      <x:c r="D37" s="31" t="inlineStr">
        <x:is>
          <x:t xml:space="preserve">Сварка рамы</x:t>
        </x:is>
      </x:c>
      <x:c r="E37" s="31" t="inlineStr">
        <x:is>
          <x:t xml:space="preserve">Сварка</x:t>
        </x:is>
      </x:c>
      <x:c r="F37" s="31" t="inlineStr">
        <x:is>
          <x:t xml:space="preserve">ОБ-026</x:t>
        </x:is>
      </x:c>
      <x:c r="G37" s="31" t="n">
        <x:v>1.4</x:v>
      </x:c>
      <x:c r="H37" s="31" t="inlineStr">
        <x:is>
          <x:t xml:space="preserve">Нет</x:t>
        </x:is>
      </x:c>
      <x:c r="I37" s="31" t="inlineStr">
        <x:is>
          <x:t xml:space="preserve">Нет</x:t>
        </x:is>
      </x:c>
      <x:c r="J37" s="31" t="inlineStr">
        <x:is>
          <x:t xml:space="preserve">Версия 2</x:t>
        </x:is>
      </x:c>
    </x:row>
    <x:row r="38" ht="18" customHeight="1">
      <x:c r="A38" s="31" t="inlineStr">
        <x:is>
          <x:t xml:space="preserve">МАР-0037</x:t>
        </x:is>
      </x:c>
      <x:c r="B38" s="31" t="inlineStr">
        <x:is>
          <x:t xml:space="preserve">ИЗД-005</x:t>
        </x:is>
      </x:c>
      <x:c r="C38" s="31" t="n">
        <x:v>50</x:v>
      </x:c>
      <x:c r="D38" s="31" t="inlineStr">
        <x:is>
          <x:t xml:space="preserve">Механообработка</x:t>
        </x:is>
      </x:c>
      <x:c r="E38" s="31" t="inlineStr">
        <x:is>
          <x:t xml:space="preserve">Механообработка</x:t>
        </x:is>
      </x:c>
      <x:c r="F38" s="31" t="inlineStr">
        <x:is>
          <x:t xml:space="preserve">ОБ-030</x:t>
        </x:is>
      </x:c>
      <x:c r="G38" s="31" t="n">
        <x:v>1.3</x:v>
      </x:c>
      <x:c r="H38" s="31" t="inlineStr">
        <x:is>
          <x:t xml:space="preserve">Нет</x:t>
        </x:is>
      </x:c>
      <x:c r="I38" s="31" t="inlineStr">
        <x:is>
          <x:t xml:space="preserve">Нет</x:t>
        </x:is>
      </x:c>
      <x:c r="J38" s="31" t="inlineStr">
        <x:is>
          <x:t xml:space="preserve">Версия 2</x:t>
        </x:is>
      </x:c>
    </x:row>
    <x:row r="39" ht="18" customHeight="1">
      <x:c r="A39" s="31" t="inlineStr">
        <x:is>
          <x:t xml:space="preserve">МАР-0038</x:t>
        </x:is>
      </x:c>
      <x:c r="B39" s="31" t="inlineStr">
        <x:is>
          <x:t xml:space="preserve">ИЗД-005</x:t>
        </x:is>
      </x:c>
      <x:c r="C39" s="31" t="n">
        <x:v>60</x:v>
      </x:c>
      <x:c r="D39" s="31" t="inlineStr">
        <x:is>
          <x:t xml:space="preserve">Сборка</x:t>
        </x:is>
      </x:c>
      <x:c r="E39" s="31" t="inlineStr">
        <x:is>
          <x:t xml:space="preserve">Сборка</x:t>
        </x:is>
      </x:c>
      <x:c r="F39" s="31" t="inlineStr">
        <x:is>
          <x:t xml:space="preserve">ОБ-005</x:t>
        </x:is>
      </x:c>
      <x:c r="G39" s="31" t="n">
        <x:v>7.1</x:v>
      </x:c>
      <x:c r="H39" s="31" t="inlineStr">
        <x:is>
          <x:t xml:space="preserve">Нет</x:t>
        </x:is>
      </x:c>
      <x:c r="I39" s="31" t="inlineStr">
        <x:is>
          <x:t xml:space="preserve">Нет</x:t>
        </x:is>
      </x:c>
      <x:c r="J39" s="31" t="inlineStr">
        <x:is>
          <x:t xml:space="preserve">Версия 2</x:t>
        </x:is>
      </x:c>
    </x:row>
    <x:row r="40" ht="18" customHeight="1">
      <x:c r="A40" s="31" t="inlineStr">
        <x:is>
          <x:t xml:space="preserve">МАР-0039</x:t>
        </x:is>
      </x:c>
      <x:c r="B40" s="31" t="inlineStr">
        <x:is>
          <x:t xml:space="preserve">ИЗД-005</x:t>
        </x:is>
      </x:c>
      <x:c r="C40" s="31" t="n">
        <x:v>70</x:v>
      </x:c>
      <x:c r="D40" s="31" t="inlineStr">
        <x:is>
          <x:t xml:space="preserve">Электромонтаж</x:t>
        </x:is>
      </x:c>
      <x:c r="E40" s="31" t="inlineStr">
        <x:is>
          <x:t xml:space="preserve">Сборка</x:t>
        </x:is>
      </x:c>
      <x:c r="F40" s="31" t="inlineStr">
        <x:is>
          <x:t xml:space="preserve">ОБ-020</x:t>
        </x:is>
      </x:c>
      <x:c r="G40" s="31" t="n">
        <x:v>6.3</x:v>
      </x:c>
      <x:c r="H40" s="31" t="inlineStr">
        <x:is>
          <x:t xml:space="preserve">Да</x:t>
        </x:is>
      </x:c>
      <x:c r="I40" s="31" t="inlineStr">
        <x:is>
          <x:t xml:space="preserve">Да</x:t>
        </x:is>
      </x:c>
      <x:c r="J40" s="31" t="inlineStr">
        <x:is>
          <x:t xml:space="preserve">Версия 2</x:t>
        </x:is>
      </x:c>
    </x:row>
    <x:row r="41" ht="18" customHeight="1">
      <x:c r="A41" s="31" t="inlineStr">
        <x:is>
          <x:t xml:space="preserve">МАР-0040</x:t>
        </x:is>
      </x:c>
      <x:c r="B41" s="31" t="inlineStr">
        <x:is>
          <x:t xml:space="preserve">ИЗД-005</x:t>
        </x:is>
      </x:c>
      <x:c r="C41" s="31" t="n">
        <x:v>80</x:v>
      </x:c>
      <x:c r="D41" s="31" t="inlineStr">
        <x:is>
          <x:t xml:space="preserve">Гидроиспытания</x:t>
        </x:is>
      </x:c>
      <x:c r="E41" s="31" t="inlineStr">
        <x:is>
          <x:t xml:space="preserve">ОТК</x:t>
        </x:is>
      </x:c>
      <x:c r="F41" s="31" t="inlineStr">
        <x:is>
          <x:t xml:space="preserve">ОБ-022</x:t>
        </x:is>
      </x:c>
      <x:c r="G41" s="31" t="n">
        <x:v>6.6</x:v>
      </x:c>
      <x:c r="H41" s="31" t="inlineStr">
        <x:is>
          <x:t xml:space="preserve">Нет</x:t>
        </x:is>
      </x:c>
      <x:c r="I41" s="31" t="inlineStr">
        <x:is>
          <x:t xml:space="preserve">Нет</x:t>
        </x:is>
      </x:c>
      <x:c r="J41" s="31" t="inlineStr">
        <x:is>
          <x:t xml:space="preserve">Версия 2</x:t>
        </x:is>
      </x:c>
    </x:row>
    <x:row r="42" ht="18" customHeight="1">
      <x:c r="A42" s="31" t="inlineStr">
        <x:is>
          <x:t xml:space="preserve">МАР-0041</x:t>
        </x:is>
      </x:c>
      <x:c r="B42" s="31" t="inlineStr">
        <x:is>
          <x:t xml:space="preserve">ИЗД-005</x:t>
        </x:is>
      </x:c>
      <x:c r="C42" s="31" t="n">
        <x:v>90</x:v>
      </x:c>
      <x:c r="D42" s="31" t="inlineStr">
        <x:is>
          <x:t xml:space="preserve">ОТК</x:t>
        </x:is>
      </x:c>
      <x:c r="E42" s="31" t="inlineStr">
        <x:is>
          <x:t xml:space="preserve">ОТК</x:t>
        </x:is>
      </x:c>
      <x:c r="F42" s="31" t="inlineStr">
        <x:is>
          <x:t xml:space="preserve">ОБ-006</x:t>
        </x:is>
      </x:c>
      <x:c r="G42" s="31" t="n">
        <x:v>7.9</x:v>
      </x:c>
      <x:c r="H42" s="31" t="inlineStr">
        <x:is>
          <x:t xml:space="preserve">Нет</x:t>
        </x:is>
      </x:c>
      <x:c r="I42" s="31" t="inlineStr">
        <x:is>
          <x:t xml:space="preserve">Нет</x:t>
        </x:is>
      </x:c>
      <x:c r="J42" s="31" t="inlineStr">
        <x:is>
          <x:t xml:space="preserve">Версия 2</x:t>
        </x:is>
      </x:c>
    </x:row>
    <x:row r="43" ht="18" customHeight="1">
      <x:c r="A43" s="31" t="inlineStr">
        <x:is>
          <x:t xml:space="preserve">МАР-0042</x:t>
        </x:is>
      </x:c>
      <x:c r="B43" s="31" t="inlineStr">
        <x:is>
          <x:t xml:space="preserve">ИЗД-005</x:t>
        </x:is>
      </x:c>
      <x:c r="C43" s="31" t="n">
        <x:v>100</x:v>
      </x:c>
      <x:c r="D43" s="31" t="inlineStr">
        <x:is>
          <x:t xml:space="preserve">Упаковка</x:t>
        </x:is>
      </x:c>
      <x:c r="E43" s="31" t="inlineStr">
        <x:is>
          <x:t xml:space="preserve">Логистика</x:t>
        </x:is>
      </x:c>
      <x:c r="F43" s="31" t="n"/>
      <x:c r="G43" s="31" t="n">
        <x:v>5.7</x:v>
      </x:c>
      <x:c r="H43" s="31" t="inlineStr">
        <x:is>
          <x:t xml:space="preserve">Нет</x:t>
        </x:is>
      </x:c>
      <x:c r="I43" s="31" t="inlineStr">
        <x:is>
          <x:t xml:space="preserve">Да</x:t>
        </x:is>
      </x:c>
      <x:c r="J43" s="31" t="inlineStr">
        <x:is>
          <x:t xml:space="preserve">Версия 2</x:t>
        </x:is>
      </x:c>
    </x:row>
    <x:row r="44" ht="18" customHeight="1">
      <x:c r="A44" s="31" t="inlineStr">
        <x:is>
          <x:t xml:space="preserve">МАР-0043</x:t>
        </x:is>
      </x:c>
      <x:c r="B44" s="31" t="inlineStr">
        <x:is>
          <x:t xml:space="preserve">ИЗД-006</x:t>
        </x:is>
      </x:c>
      <x:c r="C44" s="31" t="n">
        <x:v>10</x:v>
      </x:c>
      <x:c r="D44" s="31" t="inlineStr">
        <x:is>
          <x:t xml:space="preserve">КД</x:t>
        </x:is>
      </x:c>
      <x:c r="E44" s="31" t="inlineStr">
        <x:is>
          <x:t xml:space="preserve">Инженерный отдел</x:t>
        </x:is>
      </x:c>
      <x:c r="F44" s="31" t="n"/>
      <x:c r="G44" s="31" t="n">
        <x:v>15.3</x:v>
      </x:c>
      <x:c r="H44" s="31" t="inlineStr">
        <x:is>
          <x:t xml:space="preserve">Нет</x:t>
        </x:is>
      </x:c>
      <x:c r="I44" s="31" t="inlineStr">
        <x:is>
          <x:t xml:space="preserve">Нет</x:t>
        </x:is>
      </x:c>
      <x:c r="J44" s="31" t="inlineStr">
        <x:is>
          <x:t xml:space="preserve">Версия 3</x:t>
        </x:is>
      </x:c>
    </x:row>
    <x:row r="45" ht="18" customHeight="1">
      <x:c r="A45" s="31" t="inlineStr">
        <x:is>
          <x:t xml:space="preserve">МАР-0044</x:t>
        </x:is>
      </x:c>
      <x:c r="B45" s="31" t="inlineStr">
        <x:is>
          <x:t xml:space="preserve">ИЗД-006</x:t>
        </x:is>
      </x:c>
      <x:c r="C45" s="31" t="n">
        <x:v>20</x:v>
      </x:c>
      <x:c r="D45" s="31" t="inlineStr">
        <x:is>
          <x:t xml:space="preserve">Резерв материалов</x:t>
        </x:is>
      </x:c>
      <x:c r="E45" s="31" t="inlineStr">
        <x:is>
          <x:t xml:space="preserve">Склад</x:t>
        </x:is>
      </x:c>
      <x:c r="F45" s="31" t="inlineStr">
        <x:is>
          <x:t xml:space="preserve">ОБ-025</x:t>
        </x:is>
      </x:c>
      <x:c r="G45" s="31" t="n">
        <x:v>2.3</x:v>
      </x:c>
      <x:c r="H45" s="31" t="inlineStr">
        <x:is>
          <x:t xml:space="preserve">Нет</x:t>
        </x:is>
      </x:c>
      <x:c r="I45" s="31" t="inlineStr">
        <x:is>
          <x:t xml:space="preserve">Нет</x:t>
        </x:is>
      </x:c>
      <x:c r="J45" s="31" t="inlineStr">
        <x:is>
          <x:t xml:space="preserve">Версия 3</x:t>
        </x:is>
      </x:c>
    </x:row>
    <x:row r="46" ht="18" customHeight="1">
      <x:c r="A46" s="31" t="inlineStr">
        <x:is>
          <x:t xml:space="preserve">МАР-0045</x:t>
        </x:is>
      </x:c>
      <x:c r="B46" s="31" t="inlineStr">
        <x:is>
          <x:t xml:space="preserve">ИЗД-006</x:t>
        </x:is>
      </x:c>
      <x:c r="C46" s="31" t="n">
        <x:v>30</x:v>
      </x:c>
      <x:c r="D46" s="31" t="inlineStr">
        <x:is>
          <x:t xml:space="preserve">Резка металла</x:t>
        </x:is>
      </x:c>
      <x:c r="E46" s="31" t="inlineStr">
        <x:is>
          <x:t xml:space="preserve">Сварка</x:t>
        </x:is>
      </x:c>
      <x:c r="F46" s="31" t="inlineStr">
        <x:is>
          <x:t xml:space="preserve">ОБ-010</x:t>
        </x:is>
      </x:c>
      <x:c r="G46" s="31" t="n">
        <x:v>13.9</x:v>
      </x:c>
      <x:c r="H46" s="31" t="inlineStr">
        <x:is>
          <x:t xml:space="preserve">Да</x:t>
        </x:is>
      </x:c>
      <x:c r="I46" s="31" t="inlineStr">
        <x:is>
          <x:t xml:space="preserve">Нет</x:t>
        </x:is>
      </x:c>
      <x:c r="J46" s="31" t="inlineStr">
        <x:is>
          <x:t xml:space="preserve">Версия 3</x:t>
        </x:is>
      </x:c>
    </x:row>
    <x:row r="47" ht="18" customHeight="1">
      <x:c r="A47" s="31" t="inlineStr">
        <x:is>
          <x:t xml:space="preserve">МАР-0046</x:t>
        </x:is>
      </x:c>
      <x:c r="B47" s="31" t="inlineStr">
        <x:is>
          <x:t xml:space="preserve">ИЗД-006</x:t>
        </x:is>
      </x:c>
      <x:c r="C47" s="31" t="n">
        <x:v>40</x:v>
      </x:c>
      <x:c r="D47" s="31" t="inlineStr">
        <x:is>
          <x:t xml:space="preserve">Сварка рамы</x:t>
        </x:is>
      </x:c>
      <x:c r="E47" s="31" t="inlineStr">
        <x:is>
          <x:t xml:space="preserve">Сварка</x:t>
        </x:is>
      </x:c>
      <x:c r="F47" s="31" t="inlineStr">
        <x:is>
          <x:t xml:space="preserve">ОБ-035</x:t>
        </x:is>
      </x:c>
      <x:c r="G47" s="31" t="n">
        <x:v>8.5</x:v>
      </x:c>
      <x:c r="H47" s="31" t="inlineStr">
        <x:is>
          <x:t xml:space="preserve">Нет</x:t>
        </x:is>
      </x:c>
      <x:c r="I47" s="31" t="inlineStr">
        <x:is>
          <x:t xml:space="preserve">Нет</x:t>
        </x:is>
      </x:c>
      <x:c r="J47" s="31" t="inlineStr">
        <x:is>
          <x:t xml:space="preserve">Версия 3</x:t>
        </x:is>
      </x:c>
    </x:row>
    <x:row r="48" ht="18" customHeight="1">
      <x:c r="A48" s="31" t="inlineStr">
        <x:is>
          <x:t xml:space="preserve">МАР-0047</x:t>
        </x:is>
      </x:c>
      <x:c r="B48" s="31" t="inlineStr">
        <x:is>
          <x:t xml:space="preserve">ИЗД-006</x:t>
        </x:is>
      </x:c>
      <x:c r="C48" s="31" t="n">
        <x:v>50</x:v>
      </x:c>
      <x:c r="D48" s="31" t="inlineStr">
        <x:is>
          <x:t xml:space="preserve">Механообработка</x:t>
        </x:is>
      </x:c>
      <x:c r="E48" s="31" t="inlineStr">
        <x:is>
          <x:t xml:space="preserve">Механообработка</x:t>
        </x:is>
      </x:c>
      <x:c r="F48" s="31" t="inlineStr">
        <x:is>
          <x:t xml:space="preserve">ОБ-030</x:t>
        </x:is>
      </x:c>
      <x:c r="G48" s="31" t="n">
        <x:v>3.2</x:v>
      </x:c>
      <x:c r="H48" s="31" t="inlineStr">
        <x:is>
          <x:t xml:space="preserve">Нет</x:t>
        </x:is>
      </x:c>
      <x:c r="I48" s="31" t="inlineStr">
        <x:is>
          <x:t xml:space="preserve">Нет</x:t>
        </x:is>
      </x:c>
      <x:c r="J48" s="31" t="inlineStr">
        <x:is>
          <x:t xml:space="preserve">Версия 3</x:t>
        </x:is>
      </x:c>
    </x:row>
    <x:row r="49" ht="18" customHeight="1">
      <x:c r="A49" s="31" t="inlineStr">
        <x:is>
          <x:t xml:space="preserve">МАР-0048</x:t>
        </x:is>
      </x:c>
      <x:c r="B49" s="31" t="inlineStr">
        <x:is>
          <x:t xml:space="preserve">ИЗД-006</x:t>
        </x:is>
      </x:c>
      <x:c r="C49" s="31" t="n">
        <x:v>60</x:v>
      </x:c>
      <x:c r="D49" s="31" t="inlineStr">
        <x:is>
          <x:t xml:space="preserve">Сборка</x:t>
        </x:is>
      </x:c>
      <x:c r="E49" s="31" t="inlineStr">
        <x:is>
          <x:t xml:space="preserve">Сборка</x:t>
        </x:is>
      </x:c>
      <x:c r="F49" s="31" t="inlineStr">
        <x:is>
          <x:t xml:space="preserve">ОБ-005</x:t>
        </x:is>
      </x:c>
      <x:c r="G49" s="31" t="n">
        <x:v>3.9</x:v>
      </x:c>
      <x:c r="H49" s="31" t="inlineStr">
        <x:is>
          <x:t xml:space="preserve">Нет</x:t>
        </x:is>
      </x:c>
      <x:c r="I49" s="31" t="inlineStr">
        <x:is>
          <x:t xml:space="preserve">Нет</x:t>
        </x:is>
      </x:c>
      <x:c r="J49" s="31" t="inlineStr">
        <x:is>
          <x:t xml:space="preserve">Версия 3</x:t>
        </x:is>
      </x:c>
    </x:row>
    <x:row r="50" ht="18" customHeight="1">
      <x:c r="A50" s="31" t="inlineStr">
        <x:is>
          <x:t xml:space="preserve">МАР-0049</x:t>
        </x:is>
      </x:c>
      <x:c r="B50" s="31" t="inlineStr">
        <x:is>
          <x:t xml:space="preserve">ИЗД-006</x:t>
        </x:is>
      </x:c>
      <x:c r="C50" s="31" t="n">
        <x:v>70</x:v>
      </x:c>
      <x:c r="D50" s="31" t="inlineStr">
        <x:is>
          <x:t xml:space="preserve">Электромонтаж</x:t>
        </x:is>
      </x:c>
      <x:c r="E50" s="31" t="inlineStr">
        <x:is>
          <x:t xml:space="preserve">Сборка</x:t>
        </x:is>
      </x:c>
      <x:c r="F50" s="31" t="inlineStr">
        <x:is>
          <x:t xml:space="preserve">ОБ-016</x:t>
        </x:is>
      </x:c>
      <x:c r="G50" s="31" t="n">
        <x:v>11.2</x:v>
      </x:c>
      <x:c r="H50" s="31" t="inlineStr">
        <x:is>
          <x:t xml:space="preserve">Да</x:t>
        </x:is>
      </x:c>
      <x:c r="I50" s="31" t="inlineStr">
        <x:is>
          <x:t xml:space="preserve">Нет</x:t>
        </x:is>
      </x:c>
      <x:c r="J50" s="31" t="inlineStr">
        <x:is>
          <x:t xml:space="preserve">Версия 3</x:t>
        </x:is>
      </x:c>
    </x:row>
    <x:row r="51" ht="18" customHeight="1">
      <x:c r="A51" s="31" t="inlineStr">
        <x:is>
          <x:t xml:space="preserve">МАР-0050</x:t>
        </x:is>
      </x:c>
      <x:c r="B51" s="31" t="inlineStr">
        <x:is>
          <x:t xml:space="preserve">ИЗД-006</x:t>
        </x:is>
      </x:c>
      <x:c r="C51" s="31" t="n">
        <x:v>80</x:v>
      </x:c>
      <x:c r="D51" s="31" t="inlineStr">
        <x:is>
          <x:t xml:space="preserve">Гидроиспытания</x:t>
        </x:is>
      </x:c>
      <x:c r="E51" s="31" t="inlineStr">
        <x:is>
          <x:t xml:space="preserve">ОТК</x:t>
        </x:is>
      </x:c>
      <x:c r="F51" s="31" t="inlineStr">
        <x:is>
          <x:t xml:space="preserve">ОБ-007</x:t>
        </x:is>
      </x:c>
      <x:c r="G51" s="31" t="n">
        <x:v>15.2</x:v>
      </x:c>
      <x:c r="H51" s="31" t="inlineStr">
        <x:is>
          <x:t xml:space="preserve">Нет</x:t>
        </x:is>
      </x:c>
      <x:c r="I51" s="31" t="inlineStr">
        <x:is>
          <x:t xml:space="preserve">Нет</x:t>
        </x:is>
      </x:c>
      <x:c r="J51" s="31" t="inlineStr">
        <x:is>
          <x:t xml:space="preserve">Версия 3</x:t>
        </x:is>
      </x:c>
    </x:row>
    <x:row r="52" ht="18" customHeight="1">
      <x:c r="A52" s="31" t="inlineStr">
        <x:is>
          <x:t xml:space="preserve">МАР-0051</x:t>
        </x:is>
      </x:c>
      <x:c r="B52" s="31" t="inlineStr">
        <x:is>
          <x:t xml:space="preserve">ИЗД-006</x:t>
        </x:is>
      </x:c>
      <x:c r="C52" s="31" t="n">
        <x:v>90</x:v>
      </x:c>
      <x:c r="D52" s="31" t="inlineStr">
        <x:is>
          <x:t xml:space="preserve">ОТК</x:t>
        </x:is>
      </x:c>
      <x:c r="E52" s="31" t="inlineStr">
        <x:is>
          <x:t xml:space="preserve">ОТК</x:t>
        </x:is>
      </x:c>
      <x:c r="F52" s="31" t="inlineStr">
        <x:is>
          <x:t xml:space="preserve">ОБ-024</x:t>
        </x:is>
      </x:c>
      <x:c r="G52" s="31" t="n">
        <x:v>5.1</x:v>
      </x:c>
      <x:c r="H52" s="31" t="inlineStr">
        <x:is>
          <x:t xml:space="preserve">Нет</x:t>
        </x:is>
      </x:c>
      <x:c r="I52" s="31" t="inlineStr">
        <x:is>
          <x:t xml:space="preserve">Нет</x:t>
        </x:is>
      </x:c>
      <x:c r="J52" s="31" t="inlineStr">
        <x:is>
          <x:t xml:space="preserve">Версия 3</x:t>
        </x:is>
      </x:c>
    </x:row>
    <x:row r="53" ht="18" customHeight="1">
      <x:c r="A53" s="31" t="inlineStr">
        <x:is>
          <x:t xml:space="preserve">МАР-0052</x:t>
        </x:is>
      </x:c>
      <x:c r="B53" s="31" t="inlineStr">
        <x:is>
          <x:t xml:space="preserve">ИЗД-006</x:t>
        </x:is>
      </x:c>
      <x:c r="C53" s="31" t="n">
        <x:v>100</x:v>
      </x:c>
      <x:c r="D53" s="31" t="inlineStr">
        <x:is>
          <x:t xml:space="preserve">Упаковка</x:t>
        </x:is>
      </x:c>
      <x:c r="E53" s="31" t="inlineStr">
        <x:is>
          <x:t xml:space="preserve">Логистика</x:t>
        </x:is>
      </x:c>
      <x:c r="F53" s="31" t="n"/>
      <x:c r="G53" s="31" t="n">
        <x:v>12.4</x:v>
      </x:c>
      <x:c r="H53" s="31" t="inlineStr">
        <x:is>
          <x:t xml:space="preserve">Нет</x:t>
        </x:is>
      </x:c>
      <x:c r="I53" s="31" t="inlineStr">
        <x:is>
          <x:t xml:space="preserve">Нет</x:t>
        </x:is>
      </x:c>
      <x:c r="J53" s="31" t="inlineStr">
        <x:is>
          <x:t xml:space="preserve">Версия 3</x:t>
        </x:is>
      </x:c>
    </x:row>
    <x:row r="54" ht="18" customHeight="1">
      <x:c r="A54" s="31" t="inlineStr">
        <x:is>
          <x:t xml:space="preserve">МАР-0053</x:t>
        </x:is>
      </x:c>
      <x:c r="B54" s="31" t="inlineStr">
        <x:is>
          <x:t xml:space="preserve">ИЗД-007</x:t>
        </x:is>
      </x:c>
      <x:c r="C54" s="31" t="n">
        <x:v>10</x:v>
      </x:c>
      <x:c r="D54" s="31" t="inlineStr">
        <x:is>
          <x:t xml:space="preserve">КД</x:t>
        </x:is>
      </x:c>
      <x:c r="E54" s="31" t="inlineStr">
        <x:is>
          <x:t xml:space="preserve">Инженерный отдел</x:t>
        </x:is>
      </x:c>
      <x:c r="F54" s="31" t="n"/>
      <x:c r="G54" s="31" t="n">
        <x:v>1.8</x:v>
      </x:c>
      <x:c r="H54" s="31" t="inlineStr">
        <x:is>
          <x:t xml:space="preserve">Нет</x:t>
        </x:is>
      </x:c>
      <x:c r="I54" s="31" t="inlineStr">
        <x:is>
          <x:t xml:space="preserve">Нет</x:t>
        </x:is>
      </x:c>
      <x:c r="J54" s="31" t="inlineStr">
        <x:is>
          <x:t xml:space="preserve">Версия 5</x:t>
        </x:is>
      </x:c>
    </x:row>
    <x:row r="55" ht="18" customHeight="1">
      <x:c r="A55" s="31" t="inlineStr">
        <x:is>
          <x:t xml:space="preserve">МАР-0054</x:t>
        </x:is>
      </x:c>
      <x:c r="B55" s="31" t="inlineStr">
        <x:is>
          <x:t xml:space="preserve">ИЗД-007</x:t>
        </x:is>
      </x:c>
      <x:c r="C55" s="31" t="n">
        <x:v>20</x:v>
      </x:c>
      <x:c r="D55" s="31" t="inlineStr">
        <x:is>
          <x:t xml:space="preserve">Резерв материалов</x:t>
        </x:is>
      </x:c>
      <x:c r="E55" s="31" t="inlineStr">
        <x:is>
          <x:t xml:space="preserve">Склад</x:t>
        </x:is>
      </x:c>
      <x:c r="F55" s="31" t="inlineStr">
        <x:is>
          <x:t xml:space="preserve">ОБ-008</x:t>
        </x:is>
      </x:c>
      <x:c r="G55" s="31" t="n">
        <x:v>11.2</x:v>
      </x:c>
      <x:c r="H55" s="31" t="inlineStr">
        <x:is>
          <x:t xml:space="preserve">Да</x:t>
        </x:is>
      </x:c>
      <x:c r="I55" s="31" t="inlineStr">
        <x:is>
          <x:t xml:space="preserve">Нет</x:t>
        </x:is>
      </x:c>
      <x:c r="J55" s="31" t="inlineStr">
        <x:is>
          <x:t xml:space="preserve">Версия 5</x:t>
        </x:is>
      </x:c>
    </x:row>
    <x:row r="56" ht="18" customHeight="1">
      <x:c r="A56" s="31" t="inlineStr">
        <x:is>
          <x:t xml:space="preserve">МАР-0055</x:t>
        </x:is>
      </x:c>
      <x:c r="B56" s="31" t="inlineStr">
        <x:is>
          <x:t xml:space="preserve">ИЗД-007</x:t>
        </x:is>
      </x:c>
      <x:c r="C56" s="31" t="n">
        <x:v>30</x:v>
      </x:c>
      <x:c r="D56" s="31" t="inlineStr">
        <x:is>
          <x:t xml:space="preserve">Резка металла</x:t>
        </x:is>
      </x:c>
      <x:c r="E56" s="31" t="inlineStr">
        <x:is>
          <x:t xml:space="preserve">Сварка</x:t>
        </x:is>
      </x:c>
      <x:c r="F56" s="31" t="inlineStr">
        <x:is>
          <x:t xml:space="preserve">ОБ-018</x:t>
        </x:is>
      </x:c>
      <x:c r="G56" s="31" t="n">
        <x:v>5</x:v>
      </x:c>
      <x:c r="H56" s="31" t="inlineStr">
        <x:is>
          <x:t xml:space="preserve">Нет</x:t>
        </x:is>
      </x:c>
      <x:c r="I56" s="31" t="inlineStr">
        <x:is>
          <x:t xml:space="preserve">Нет</x:t>
        </x:is>
      </x:c>
      <x:c r="J56" s="31" t="inlineStr">
        <x:is>
          <x:t xml:space="preserve">Версия 5</x:t>
        </x:is>
      </x:c>
    </x:row>
    <x:row r="57" ht="18" customHeight="1">
      <x:c r="A57" s="31" t="inlineStr">
        <x:is>
          <x:t xml:space="preserve">МАР-0056</x:t>
        </x:is>
      </x:c>
      <x:c r="B57" s="31" t="inlineStr">
        <x:is>
          <x:t xml:space="preserve">ИЗД-007</x:t>
        </x:is>
      </x:c>
      <x:c r="C57" s="31" t="n">
        <x:v>40</x:v>
      </x:c>
      <x:c r="D57" s="31" t="inlineStr">
        <x:is>
          <x:t xml:space="preserve">Сварка рамы</x:t>
        </x:is>
      </x:c>
      <x:c r="E57" s="31" t="inlineStr">
        <x:is>
          <x:t xml:space="preserve">Сварка</x:t>
        </x:is>
      </x:c>
      <x:c r="F57" s="31" t="inlineStr">
        <x:is>
          <x:t xml:space="preserve">ОБ-019</x:t>
        </x:is>
      </x:c>
      <x:c r="G57" s="31" t="n">
        <x:v>1.3</x:v>
      </x:c>
      <x:c r="H57" s="31" t="inlineStr">
        <x:is>
          <x:t xml:space="preserve">Да</x:t>
        </x:is>
      </x:c>
      <x:c r="I57" s="31" t="inlineStr">
        <x:is>
          <x:t xml:space="preserve">Нет</x:t>
        </x:is>
      </x:c>
      <x:c r="J57" s="31" t="inlineStr">
        <x:is>
          <x:t xml:space="preserve">Версия 5</x:t>
        </x:is>
      </x:c>
    </x:row>
    <x:row r="58" ht="18" customHeight="1">
      <x:c r="A58" s="31" t="inlineStr">
        <x:is>
          <x:t xml:space="preserve">МАР-0057</x:t>
        </x:is>
      </x:c>
      <x:c r="B58" s="31" t="inlineStr">
        <x:is>
          <x:t xml:space="preserve">ИЗД-007</x:t>
        </x:is>
      </x:c>
      <x:c r="C58" s="31" t="n">
        <x:v>50</x:v>
      </x:c>
      <x:c r="D58" s="31" t="inlineStr">
        <x:is>
          <x:t xml:space="preserve">Механообработка</x:t>
        </x:is>
      </x:c>
      <x:c r="E58" s="31" t="inlineStr">
        <x:is>
          <x:t xml:space="preserve">Механообработка</x:t>
        </x:is>
      </x:c>
      <x:c r="F58" s="31" t="inlineStr">
        <x:is>
          <x:t xml:space="preserve">ОБ-030</x:t>
        </x:is>
      </x:c>
      <x:c r="G58" s="31" t="n">
        <x:v>10</x:v>
      </x:c>
      <x:c r="H58" s="31" t="inlineStr">
        <x:is>
          <x:t xml:space="preserve">Нет</x:t>
        </x:is>
      </x:c>
      <x:c r="I58" s="31" t="inlineStr">
        <x:is>
          <x:t xml:space="preserve">Нет</x:t>
        </x:is>
      </x:c>
      <x:c r="J58" s="31" t="inlineStr">
        <x:is>
          <x:t xml:space="preserve">Версия 5</x:t>
        </x:is>
      </x:c>
    </x:row>
    <x:row r="59" ht="18" customHeight="1">
      <x:c r="A59" s="31" t="inlineStr">
        <x:is>
          <x:t xml:space="preserve">МАР-0058</x:t>
        </x:is>
      </x:c>
      <x:c r="B59" s="31" t="inlineStr">
        <x:is>
          <x:t xml:space="preserve">ИЗД-007</x:t>
        </x:is>
      </x:c>
      <x:c r="C59" s="31" t="n">
        <x:v>60</x:v>
      </x:c>
      <x:c r="D59" s="31" t="inlineStr">
        <x:is>
          <x:t xml:space="preserve">Сборка</x:t>
        </x:is>
      </x:c>
      <x:c r="E59" s="31" t="inlineStr">
        <x:is>
          <x:t xml:space="preserve">Сборка</x:t>
        </x:is>
      </x:c>
      <x:c r="F59" s="31" t="inlineStr">
        <x:is>
          <x:t xml:space="preserve">ОБ-014</x:t>
        </x:is>
      </x:c>
      <x:c r="G59" s="31" t="n">
        <x:v>11.2</x:v>
      </x:c>
      <x:c r="H59" s="31" t="inlineStr">
        <x:is>
          <x:t xml:space="preserve">Да</x:t>
        </x:is>
      </x:c>
      <x:c r="I59" s="31" t="inlineStr">
        <x:is>
          <x:t xml:space="preserve">Нет</x:t>
        </x:is>
      </x:c>
      <x:c r="J59" s="31" t="inlineStr">
        <x:is>
          <x:t xml:space="preserve">Версия 5</x:t>
        </x:is>
      </x:c>
    </x:row>
    <x:row r="60" ht="18" customHeight="1">
      <x:c r="A60" s="31" t="inlineStr">
        <x:is>
          <x:t xml:space="preserve">МАР-0059</x:t>
        </x:is>
      </x:c>
      <x:c r="B60" s="31" t="inlineStr">
        <x:is>
          <x:t xml:space="preserve">ИЗД-007</x:t>
        </x:is>
      </x:c>
      <x:c r="C60" s="31" t="n">
        <x:v>70</x:v>
      </x:c>
      <x:c r="D60" s="31" t="inlineStr">
        <x:is>
          <x:t xml:space="preserve">Электромонтаж</x:t>
        </x:is>
      </x:c>
      <x:c r="E60" s="31" t="inlineStr">
        <x:is>
          <x:t xml:space="preserve">Сборка</x:t>
        </x:is>
      </x:c>
      <x:c r="F60" s="31" t="inlineStr">
        <x:is>
          <x:t xml:space="preserve">ОБ-005</x:t>
        </x:is>
      </x:c>
      <x:c r="G60" s="31" t="n">
        <x:v>9.300000000000001</x:v>
      </x:c>
      <x:c r="H60" s="31" t="inlineStr">
        <x:is>
          <x:t xml:space="preserve">Да</x:t>
        </x:is>
      </x:c>
      <x:c r="I60" s="31" t="inlineStr">
        <x:is>
          <x:t xml:space="preserve">Да</x:t>
        </x:is>
      </x:c>
      <x:c r="J60" s="31" t="inlineStr">
        <x:is>
          <x:t xml:space="preserve">Версия 5</x:t>
        </x:is>
      </x:c>
    </x:row>
    <x:row r="61" ht="18" customHeight="1">
      <x:c r="A61" s="31" t="inlineStr">
        <x:is>
          <x:t xml:space="preserve">МАР-0060</x:t>
        </x:is>
      </x:c>
      <x:c r="B61" s="31" t="inlineStr">
        <x:is>
          <x:t xml:space="preserve">ИЗД-007</x:t>
        </x:is>
      </x:c>
      <x:c r="C61" s="31" t="n">
        <x:v>80</x:v>
      </x:c>
      <x:c r="D61" s="31" t="inlineStr">
        <x:is>
          <x:t xml:space="preserve">Гидроиспытания</x:t>
        </x:is>
      </x:c>
      <x:c r="E61" s="31" t="inlineStr">
        <x:is>
          <x:t xml:space="preserve">ОТК</x:t>
        </x:is>
      </x:c>
      <x:c r="F61" s="31" t="inlineStr">
        <x:is>
          <x:t xml:space="preserve">ОБ-007</x:t>
        </x:is>
      </x:c>
      <x:c r="G61" s="31" t="n">
        <x:v>11.4</x:v>
      </x:c>
      <x:c r="H61" s="31" t="inlineStr">
        <x:is>
          <x:t xml:space="preserve">Нет</x:t>
        </x:is>
      </x:c>
      <x:c r="I61" s="31" t="inlineStr">
        <x:is>
          <x:t xml:space="preserve">Нет</x:t>
        </x:is>
      </x:c>
      <x:c r="J61" s="31" t="inlineStr">
        <x:is>
          <x:t xml:space="preserve">Версия 5</x:t>
        </x:is>
      </x:c>
    </x:row>
    <x:row r="62" ht="18" customHeight="1">
      <x:c r="A62" s="31" t="inlineStr">
        <x:is>
          <x:t xml:space="preserve">МАР-0061</x:t>
        </x:is>
      </x:c>
      <x:c r="B62" s="31" t="inlineStr">
        <x:is>
          <x:t xml:space="preserve">ИЗД-007</x:t>
        </x:is>
      </x:c>
      <x:c r="C62" s="31" t="n">
        <x:v>90</x:v>
      </x:c>
      <x:c r="D62" s="31" t="inlineStr">
        <x:is>
          <x:t xml:space="preserve">ОТК</x:t>
        </x:is>
      </x:c>
      <x:c r="E62" s="31" t="inlineStr">
        <x:is>
          <x:t xml:space="preserve">ОТК</x:t>
        </x:is>
      </x:c>
      <x:c r="F62" s="31" t="inlineStr">
        <x:is>
          <x:t xml:space="preserve">ОБ-006</x:t>
        </x:is>
      </x:c>
      <x:c r="G62" s="31" t="n">
        <x:v>1.2</x:v>
      </x:c>
      <x:c r="H62" s="31" t="inlineStr">
        <x:is>
          <x:t xml:space="preserve">Нет</x:t>
        </x:is>
      </x:c>
      <x:c r="I62" s="31" t="inlineStr">
        <x:is>
          <x:t xml:space="preserve">Нет</x:t>
        </x:is>
      </x:c>
      <x:c r="J62" s="31" t="inlineStr">
        <x:is>
          <x:t xml:space="preserve">Версия 5</x:t>
        </x:is>
      </x:c>
    </x:row>
    <x:row r="63" ht="18" customHeight="1">
      <x:c r="A63" s="31" t="inlineStr">
        <x:is>
          <x:t xml:space="preserve">МАР-0062</x:t>
        </x:is>
      </x:c>
      <x:c r="B63" s="31" t="inlineStr">
        <x:is>
          <x:t xml:space="preserve">ИЗД-007</x:t>
        </x:is>
      </x:c>
      <x:c r="C63" s="31" t="n">
        <x:v>100</x:v>
      </x:c>
      <x:c r="D63" s="31" t="inlineStr">
        <x:is>
          <x:t xml:space="preserve">Упаковка</x:t>
        </x:is>
      </x:c>
      <x:c r="E63" s="31" t="inlineStr">
        <x:is>
          <x:t xml:space="preserve">Логистика</x:t>
        </x:is>
      </x:c>
      <x:c r="F63" s="31" t="n"/>
      <x:c r="G63" s="31" t="n">
        <x:v>4.7</x:v>
      </x:c>
      <x:c r="H63" s="31" t="inlineStr">
        <x:is>
          <x:t xml:space="preserve">Нет</x:t>
        </x:is>
      </x:c>
      <x:c r="I63" s="31" t="inlineStr">
        <x:is>
          <x:t xml:space="preserve">Нет</x:t>
        </x:is>
      </x:c>
      <x:c r="J63" s="31" t="inlineStr">
        <x:is>
          <x:t xml:space="preserve">Версия 5</x:t>
        </x:is>
      </x:c>
    </x:row>
    <x:row r="64" ht="18" customHeight="1">
      <x:c r="A64" s="31" t="inlineStr">
        <x:is>
          <x:t xml:space="preserve">МАР-0063</x:t>
        </x:is>
      </x:c>
      <x:c r="B64" s="31" t="inlineStr">
        <x:is>
          <x:t xml:space="preserve">ИЗД-008</x:t>
        </x:is>
      </x:c>
      <x:c r="C64" s="31" t="n">
        <x:v>10</x:v>
      </x:c>
      <x:c r="D64" s="31" t="inlineStr">
        <x:is>
          <x:t xml:space="preserve">Комплектация</x:t>
        </x:is>
      </x:c>
      <x:c r="E64" s="31" t="inlineStr">
        <x:is>
          <x:t xml:space="preserve">Склад</x:t>
        </x:is>
      </x:c>
      <x:c r="F64" s="31" t="inlineStr">
        <x:is>
          <x:t xml:space="preserve">ОБ-011</x:t>
        </x:is>
      </x:c>
      <x:c r="G64" s="31" t="n">
        <x:v>4.9</x:v>
      </x:c>
      <x:c r="H64" s="31" t="inlineStr">
        <x:is>
          <x:t xml:space="preserve">Нет</x:t>
        </x:is>
      </x:c>
      <x:c r="I64" s="31" t="inlineStr">
        <x:is>
          <x:t xml:space="preserve">Нет</x:t>
        </x:is>
      </x:c>
      <x:c r="J64" s="31" t="inlineStr">
        <x:is>
          <x:t xml:space="preserve">Версия 3</x:t>
        </x:is>
      </x:c>
    </x:row>
    <x:row r="65" ht="18" customHeight="1">
      <x:c r="A65" s="31" t="inlineStr">
        <x:is>
          <x:t xml:space="preserve">МАР-0064</x:t>
        </x:is>
      </x:c>
      <x:c r="B65" s="31" t="inlineStr">
        <x:is>
          <x:t xml:space="preserve">ИЗД-008</x:t>
        </x:is>
      </x:c>
      <x:c r="C65" s="31" t="n">
        <x:v>20</x:v>
      </x:c>
      <x:c r="D65" s="31" t="inlineStr">
        <x:is>
          <x:t xml:space="preserve">Входной контроль</x:t>
        </x:is>
      </x:c>
      <x:c r="E65" s="31" t="inlineStr">
        <x:is>
          <x:t xml:space="preserve">ОТК</x:t>
        </x:is>
      </x:c>
      <x:c r="F65" s="31" t="inlineStr">
        <x:is>
          <x:t xml:space="preserve">ОБ-001</x:t>
        </x:is>
      </x:c>
      <x:c r="G65" s="31" t="n">
        <x:v>8.300000000000001</x:v>
      </x:c>
      <x:c r="H65" s="31" t="inlineStr">
        <x:is>
          <x:t xml:space="preserve">Нет</x:t>
        </x:is>
      </x:c>
      <x:c r="I65" s="31" t="inlineStr">
        <x:is>
          <x:t xml:space="preserve">Нет</x:t>
        </x:is>
      </x:c>
      <x:c r="J65" s="31" t="inlineStr">
        <x:is>
          <x:t xml:space="preserve">Версия 3</x:t>
        </x:is>
      </x:c>
    </x:row>
    <x:row r="66" ht="18" customHeight="1">
      <x:c r="A66" s="31" t="inlineStr">
        <x:is>
          <x:t xml:space="preserve">МАР-0065</x:t>
        </x:is>
      </x:c>
      <x:c r="B66" s="31" t="inlineStr">
        <x:is>
          <x:t xml:space="preserve">ИЗД-008</x:t>
        </x:is>
      </x:c>
      <x:c r="C66" s="31" t="n">
        <x:v>30</x:v>
      </x:c>
      <x:c r="D66" s="31" t="inlineStr">
        <x:is>
          <x:t xml:space="preserve">Упаковка</x:t>
        </x:is>
      </x:c>
      <x:c r="E66" s="31" t="inlineStr">
        <x:is>
          <x:t xml:space="preserve">Логистика</x:t>
        </x:is>
      </x:c>
      <x:c r="F66" s="31" t="n"/>
      <x:c r="G66" s="31" t="n">
        <x:v>4.8</x:v>
      </x:c>
      <x:c r="H66" s="31" t="inlineStr">
        <x:is>
          <x:t xml:space="preserve">Нет</x:t>
        </x:is>
      </x:c>
      <x:c r="I66" s="31" t="inlineStr">
        <x:is>
          <x:t xml:space="preserve">Да</x:t>
        </x:is>
      </x:c>
      <x:c r="J66" s="31" t="inlineStr">
        <x:is>
          <x:t xml:space="preserve">Версия 3</x:t>
        </x:is>
      </x:c>
    </x:row>
    <x:row r="67" ht="18" customHeight="1">
      <x:c r="A67" s="31" t="inlineStr">
        <x:is>
          <x:t xml:space="preserve">МАР-0066</x:t>
        </x:is>
      </x:c>
      <x:c r="B67" s="31" t="inlineStr">
        <x:is>
          <x:t xml:space="preserve">ИЗД-008</x:t>
        </x:is>
      </x:c>
      <x:c r="C67" s="31" t="n">
        <x:v>40</x:v>
      </x:c>
      <x:c r="D67" s="31" t="inlineStr">
        <x:is>
          <x:t xml:space="preserve">ОТК</x:t>
        </x:is>
      </x:c>
      <x:c r="E67" s="31" t="inlineStr">
        <x:is>
          <x:t xml:space="preserve">ОТК</x:t>
        </x:is>
      </x:c>
      <x:c r="F67" s="31" t="inlineStr">
        <x:is>
          <x:t xml:space="preserve">ОБ-033</x:t>
        </x:is>
      </x:c>
      <x:c r="G67" s="31" t="n">
        <x:v>2.2</x:v>
      </x:c>
      <x:c r="H67" s="31" t="inlineStr">
        <x:is>
          <x:t xml:space="preserve">Нет</x:t>
        </x:is>
      </x:c>
      <x:c r="I67" s="31" t="inlineStr">
        <x:is>
          <x:t xml:space="preserve">Нет</x:t>
        </x:is>
      </x:c>
      <x:c r="J67" s="31" t="inlineStr">
        <x:is>
          <x:t xml:space="preserve">Версия 3</x:t>
        </x:is>
      </x:c>
    </x:row>
    <x:row r="68" ht="18" customHeight="1">
      <x:c r="A68" s="31" t="inlineStr">
        <x:is>
          <x:t xml:space="preserve">МАР-0067</x:t>
        </x:is>
      </x:c>
      <x:c r="B68" s="31" t="inlineStr">
        <x:is>
          <x:t xml:space="preserve">ИЗД-009</x:t>
        </x:is>
      </x:c>
      <x:c r="C68" s="31" t="n">
        <x:v>10</x:v>
      </x:c>
      <x:c r="D68" s="31" t="inlineStr">
        <x:is>
          <x:t xml:space="preserve">КД</x:t>
        </x:is>
      </x:c>
      <x:c r="E68" s="31" t="inlineStr">
        <x:is>
          <x:t xml:space="preserve">Инженерный отдел</x:t>
        </x:is>
      </x:c>
      <x:c r="F68" s="31" t="n"/>
      <x:c r="G68" s="31" t="n">
        <x:v>18.2</x:v>
      </x:c>
      <x:c r="H68" s="31" t="inlineStr">
        <x:is>
          <x:t xml:space="preserve">Да</x:t>
        </x:is>
      </x:c>
      <x:c r="I68" s="31" t="inlineStr">
        <x:is>
          <x:t xml:space="preserve">Нет</x:t>
        </x:is>
      </x:c>
      <x:c r="J68" s="31" t="inlineStr">
        <x:is>
          <x:t xml:space="preserve">Версия 7</x:t>
        </x:is>
      </x:c>
    </x:row>
    <x:row r="69" ht="18" customHeight="1">
      <x:c r="A69" s="31" t="inlineStr">
        <x:is>
          <x:t xml:space="preserve">МАР-0068</x:t>
        </x:is>
      </x:c>
      <x:c r="B69" s="31" t="inlineStr">
        <x:is>
          <x:t xml:space="preserve">ИЗД-009</x:t>
        </x:is>
      </x:c>
      <x:c r="C69" s="31" t="n">
        <x:v>20</x:v>
      </x:c>
      <x:c r="D69" s="31" t="inlineStr">
        <x:is>
          <x:t xml:space="preserve">Резка труб</x:t>
        </x:is>
      </x:c>
      <x:c r="E69" s="31" t="inlineStr">
        <x:is>
          <x:t xml:space="preserve">Сварка</x:t>
        </x:is>
      </x:c>
      <x:c r="F69" s="31" t="inlineStr">
        <x:is>
          <x:t xml:space="preserve">ОБ-021</x:t>
        </x:is>
      </x:c>
      <x:c r="G69" s="31" t="n">
        <x:v>13.3</x:v>
      </x:c>
      <x:c r="H69" s="31" t="inlineStr">
        <x:is>
          <x:t xml:space="preserve">Нет</x:t>
        </x:is>
      </x:c>
      <x:c r="I69" s="31" t="inlineStr">
        <x:is>
          <x:t xml:space="preserve">Да</x:t>
        </x:is>
      </x:c>
      <x:c r="J69" s="31" t="inlineStr">
        <x:is>
          <x:t xml:space="preserve">Версия 7</x:t>
        </x:is>
      </x:c>
    </x:row>
    <x:row r="70" ht="18" customHeight="1">
      <x:c r="A70" s="31" t="inlineStr">
        <x:is>
          <x:t xml:space="preserve">МАР-0069</x:t>
        </x:is>
      </x:c>
      <x:c r="B70" s="31" t="inlineStr">
        <x:is>
          <x:t xml:space="preserve">ИЗД-009</x:t>
        </x:is>
      </x:c>
      <x:c r="C70" s="31" t="n">
        <x:v>30</x:v>
      </x:c>
      <x:c r="D70" s="31" t="inlineStr">
        <x:is>
          <x:t xml:space="preserve">Сварка</x:t>
        </x:is>
      </x:c>
      <x:c r="E70" s="31" t="inlineStr">
        <x:is>
          <x:t xml:space="preserve">Сварка</x:t>
        </x:is>
      </x:c>
      <x:c r="F70" s="31" t="inlineStr">
        <x:is>
          <x:t xml:space="preserve">ОБ-026</x:t>
        </x:is>
      </x:c>
      <x:c r="G70" s="31" t="n">
        <x:v>16.9</x:v>
      </x:c>
      <x:c r="H70" s="31" t="inlineStr">
        <x:is>
          <x:t xml:space="preserve">Нет</x:t>
        </x:is>
      </x:c>
      <x:c r="I70" s="31" t="inlineStr">
        <x:is>
          <x:t xml:space="preserve">Нет</x:t>
        </x:is>
      </x:c>
      <x:c r="J70" s="31" t="inlineStr">
        <x:is>
          <x:t xml:space="preserve">Версия 7</x:t>
        </x:is>
      </x:c>
    </x:row>
    <x:row r="71" ht="18" customHeight="1">
      <x:c r="A71" s="31" t="inlineStr">
        <x:is>
          <x:t xml:space="preserve">МАР-0070</x:t>
        </x:is>
      </x:c>
      <x:c r="B71" s="31" t="inlineStr">
        <x:is>
          <x:t xml:space="preserve">ИЗД-009</x:t>
        </x:is>
      </x:c>
      <x:c r="C71" s="31" t="n">
        <x:v>40</x:v>
      </x:c>
      <x:c r="D71" s="31" t="inlineStr">
        <x:is>
          <x:t xml:space="preserve">НК сварных швов</x:t>
        </x:is>
      </x:c>
      <x:c r="E71" s="31" t="inlineStr">
        <x:is>
          <x:t xml:space="preserve">ОТК</x:t>
        </x:is>
      </x:c>
      <x:c r="F71" s="31" t="inlineStr">
        <x:is>
          <x:t xml:space="preserve">ОБ-006</x:t>
        </x:is>
      </x:c>
      <x:c r="G71" s="31" t="n">
        <x:v>18.8</x:v>
      </x:c>
      <x:c r="H71" s="31" t="inlineStr">
        <x:is>
          <x:t xml:space="preserve">Нет</x:t>
        </x:is>
      </x:c>
      <x:c r="I71" s="31" t="inlineStr">
        <x:is>
          <x:t xml:space="preserve">Нет</x:t>
        </x:is>
      </x:c>
      <x:c r="J71" s="31" t="inlineStr">
        <x:is>
          <x:t xml:space="preserve">Версия 7</x:t>
        </x:is>
      </x:c>
    </x:row>
    <x:row r="72" ht="18" customHeight="1">
      <x:c r="A72" s="31" t="inlineStr">
        <x:is>
          <x:t xml:space="preserve">МАР-0071</x:t>
        </x:is>
      </x:c>
      <x:c r="B72" s="31" t="inlineStr">
        <x:is>
          <x:t xml:space="preserve">ИЗД-009</x:t>
        </x:is>
      </x:c>
      <x:c r="C72" s="31" t="n">
        <x:v>50</x:v>
      </x:c>
      <x:c r="D72" s="31" t="inlineStr">
        <x:is>
          <x:t xml:space="preserve">Гидроиспытания</x:t>
        </x:is>
      </x:c>
      <x:c r="E72" s="31" t="inlineStr">
        <x:is>
          <x:t xml:space="preserve">ОТК</x:t>
        </x:is>
      </x:c>
      <x:c r="F72" s="31" t="inlineStr">
        <x:is>
          <x:t xml:space="preserve">ОБ-006</x:t>
        </x:is>
      </x:c>
      <x:c r="G72" s="31" t="n">
        <x:v>12.1</x:v>
      </x:c>
      <x:c r="H72" s="31" t="inlineStr">
        <x:is>
          <x:t xml:space="preserve">Да</x:t>
        </x:is>
      </x:c>
      <x:c r="I72" s="31" t="inlineStr">
        <x:is>
          <x:t xml:space="preserve">Нет</x:t>
        </x:is>
      </x:c>
      <x:c r="J72" s="31" t="inlineStr">
        <x:is>
          <x:t xml:space="preserve">Версия 7</x:t>
        </x:is>
      </x:c>
    </x:row>
    <x:row r="73" ht="18" customHeight="1">
      <x:c r="A73" s="31" t="inlineStr">
        <x:is>
          <x:t xml:space="preserve">МАР-0072</x:t>
        </x:is>
      </x:c>
      <x:c r="B73" s="31" t="inlineStr">
        <x:is>
          <x:t xml:space="preserve">ИЗД-009</x:t>
        </x:is>
      </x:c>
      <x:c r="C73" s="31" t="n">
        <x:v>60</x:v>
      </x:c>
      <x:c r="D73" s="31" t="inlineStr">
        <x:is>
          <x:t xml:space="preserve">Покраска</x:t>
        </x:is>
      </x:c>
      <x:c r="E73" s="31" t="inlineStr">
        <x:is>
          <x:t xml:space="preserve">Сварка</x:t>
        </x:is>
      </x:c>
      <x:c r="F73" s="31" t="inlineStr">
        <x:is>
          <x:t xml:space="preserve">ОБ-003</x:t>
        </x:is>
      </x:c>
      <x:c r="G73" s="31" t="n">
        <x:v>9.699999999999999</x:v>
      </x:c>
      <x:c r="H73" s="31" t="inlineStr">
        <x:is>
          <x:t xml:space="preserve">Да</x:t>
        </x:is>
      </x:c>
      <x:c r="I73" s="31" t="inlineStr">
        <x:is>
          <x:t xml:space="preserve">Нет</x:t>
        </x:is>
      </x:c>
      <x:c r="J73" s="31" t="inlineStr">
        <x:is>
          <x:t xml:space="preserve">Версия 7</x:t>
        </x:is>
      </x:c>
    </x:row>
    <x:row r="74" ht="18" customHeight="1">
      <x:c r="A74" s="31" t="inlineStr">
        <x:is>
          <x:t xml:space="preserve">МАР-0073</x:t>
        </x:is>
      </x:c>
      <x:c r="B74" s="31" t="inlineStr">
        <x:is>
          <x:t xml:space="preserve">ИЗД-009</x:t>
        </x:is>
      </x:c>
      <x:c r="C74" s="31" t="n">
        <x:v>70</x:v>
      </x:c>
      <x:c r="D74" s="31" t="inlineStr">
        <x:is>
          <x:t xml:space="preserve">ОТК</x:t>
        </x:is>
      </x:c>
      <x:c r="E74" s="31" t="inlineStr">
        <x:is>
          <x:t xml:space="preserve">ОТК</x:t>
        </x:is>
      </x:c>
      <x:c r="F74" s="31" t="inlineStr">
        <x:is>
          <x:t xml:space="preserve">ОБ-028</x:t>
        </x:is>
      </x:c>
      <x:c r="G74" s="31" t="n">
        <x:v>7</x:v>
      </x:c>
      <x:c r="H74" s="31" t="inlineStr">
        <x:is>
          <x:t xml:space="preserve">Нет</x:t>
        </x:is>
      </x:c>
      <x:c r="I74" s="31" t="inlineStr">
        <x:is>
          <x:t xml:space="preserve">Нет</x:t>
        </x:is>
      </x:c>
      <x:c r="J74" s="31" t="inlineStr">
        <x:is>
          <x:t xml:space="preserve">Версия 7</x:t>
        </x:is>
      </x:c>
    </x:row>
    <x:row r="75" ht="18" customHeight="1">
      <x:c r="A75" s="31" t="inlineStr">
        <x:is>
          <x:t xml:space="preserve">МАР-0074</x:t>
        </x:is>
      </x:c>
      <x:c r="B75" s="31" t="inlineStr">
        <x:is>
          <x:t xml:space="preserve">ИЗД-010</x:t>
        </x:is>
      </x:c>
      <x:c r="C75" s="31" t="n">
        <x:v>10</x:v>
      </x:c>
      <x:c r="D75" s="31" t="inlineStr">
        <x:is>
          <x:t xml:space="preserve">КД</x:t>
        </x:is>
      </x:c>
      <x:c r="E75" s="31" t="inlineStr">
        <x:is>
          <x:t xml:space="preserve">Инженерный отдел</x:t>
        </x:is>
      </x:c>
      <x:c r="F75" s="31" t="n"/>
      <x:c r="G75" s="31" t="n">
        <x:v>7.7</x:v>
      </x:c>
      <x:c r="H75" s="31" t="inlineStr">
        <x:is>
          <x:t xml:space="preserve">Нет</x:t>
        </x:is>
      </x:c>
      <x:c r="I75" s="31" t="inlineStr">
        <x:is>
          <x:t xml:space="preserve">Нет</x:t>
        </x:is>
      </x:c>
      <x:c r="J75" s="31" t="inlineStr">
        <x:is>
          <x:t xml:space="preserve">Версия 5</x:t>
        </x:is>
      </x:c>
    </x:row>
    <x:row r="76" ht="18" customHeight="1">
      <x:c r="A76" s="31" t="inlineStr">
        <x:is>
          <x:t xml:space="preserve">МАР-0075</x:t>
        </x:is>
      </x:c>
      <x:c r="B76" s="31" t="inlineStr">
        <x:is>
          <x:t xml:space="preserve">ИЗД-010</x:t>
        </x:is>
      </x:c>
      <x:c r="C76" s="31" t="n">
        <x:v>20</x:v>
      </x:c>
      <x:c r="D76" s="31" t="inlineStr">
        <x:is>
          <x:t xml:space="preserve">Комплектация</x:t>
        </x:is>
      </x:c>
      <x:c r="E76" s="31" t="inlineStr">
        <x:is>
          <x:t xml:space="preserve">Склад</x:t>
        </x:is>
      </x:c>
      <x:c r="F76" s="31" t="inlineStr">
        <x:is>
          <x:t xml:space="preserve">ОБ-025</x:t>
        </x:is>
      </x:c>
      <x:c r="G76" s="31" t="n">
        <x:v>5.8</x:v>
      </x:c>
      <x:c r="H76" s="31" t="inlineStr">
        <x:is>
          <x:t xml:space="preserve">Нет</x:t>
        </x:is>
      </x:c>
      <x:c r="I76" s="31" t="inlineStr">
        <x:is>
          <x:t xml:space="preserve">Да</x:t>
        </x:is>
      </x:c>
      <x:c r="J76" s="31" t="inlineStr">
        <x:is>
          <x:t xml:space="preserve">Версия 5</x:t>
        </x:is>
      </x:c>
    </x:row>
    <x:row r="77" ht="18" customHeight="1">
      <x:c r="A77" s="31" t="inlineStr">
        <x:is>
          <x:t xml:space="preserve">МАР-0076</x:t>
        </x:is>
      </x:c>
      <x:c r="B77" s="31" t="inlineStr">
        <x:is>
          <x:t xml:space="preserve">ИЗД-010</x:t>
        </x:is>
      </x:c>
      <x:c r="C77" s="31" t="n">
        <x:v>30</x:v>
      </x:c>
      <x:c r="D77" s="31" t="inlineStr">
        <x:is>
          <x:t xml:space="preserve">Сборка шкафа</x:t>
        </x:is>
      </x:c>
      <x:c r="E77" s="31" t="inlineStr">
        <x:is>
          <x:t xml:space="preserve">Сборка</x:t>
        </x:is>
      </x:c>
      <x:c r="F77" s="31" t="inlineStr">
        <x:is>
          <x:t xml:space="preserve">ОБ-020</x:t>
        </x:is>
      </x:c>
      <x:c r="G77" s="31" t="n">
        <x:v>6.1</x:v>
      </x:c>
      <x:c r="H77" s="31" t="inlineStr">
        <x:is>
          <x:t xml:space="preserve">Нет</x:t>
        </x:is>
      </x:c>
      <x:c r="I77" s="31" t="inlineStr">
        <x:is>
          <x:t xml:space="preserve">Нет</x:t>
        </x:is>
      </x:c>
      <x:c r="J77" s="31" t="inlineStr">
        <x:is>
          <x:t xml:space="preserve">Версия 5</x:t>
        </x:is>
      </x:c>
    </x:row>
    <x:row r="78" ht="18" customHeight="1">
      <x:c r="A78" s="31" t="inlineStr">
        <x:is>
          <x:t xml:space="preserve">МАР-0077</x:t>
        </x:is>
      </x:c>
      <x:c r="B78" s="31" t="inlineStr">
        <x:is>
          <x:t xml:space="preserve">ИЗД-010</x:t>
        </x:is>
      </x:c>
      <x:c r="C78" s="31" t="n">
        <x:v>40</x:v>
      </x:c>
      <x:c r="D78" s="31" t="inlineStr">
        <x:is>
          <x:t xml:space="preserve">Маркировка</x:t>
        </x:is>
      </x:c>
      <x:c r="E78" s="31" t="inlineStr">
        <x:is>
          <x:t xml:space="preserve">Сборка</x:t>
        </x:is>
      </x:c>
      <x:c r="F78" s="31" t="inlineStr">
        <x:is>
          <x:t xml:space="preserve">ОБ-034</x:t>
        </x:is>
      </x:c>
      <x:c r="G78" s="31" t="n">
        <x:v>2.1</x:v>
      </x:c>
      <x:c r="H78" s="31" t="inlineStr">
        <x:is>
          <x:t xml:space="preserve">Нет</x:t>
        </x:is>
      </x:c>
      <x:c r="I78" s="31" t="inlineStr">
        <x:is>
          <x:t xml:space="preserve">Нет</x:t>
        </x:is>
      </x:c>
      <x:c r="J78" s="31" t="inlineStr">
        <x:is>
          <x:t xml:space="preserve">Версия 5</x:t>
        </x:is>
      </x:c>
    </x:row>
    <x:row r="79" ht="18" customHeight="1">
      <x:c r="A79" s="31" t="inlineStr">
        <x:is>
          <x:t xml:space="preserve">МАР-0078</x:t>
        </x:is>
      </x:c>
      <x:c r="B79" s="31" t="inlineStr">
        <x:is>
          <x:t xml:space="preserve">ИЗД-010</x:t>
        </x:is>
      </x:c>
      <x:c r="C79" s="31" t="n">
        <x:v>50</x:v>
      </x:c>
      <x:c r="D79" s="31" t="inlineStr">
        <x:is>
          <x:t xml:space="preserve">Электромонтаж</x:t>
        </x:is>
      </x:c>
      <x:c r="E79" s="31" t="inlineStr">
        <x:is>
          <x:t xml:space="preserve">Сборка</x:t>
        </x:is>
      </x:c>
      <x:c r="F79" s="31" t="inlineStr">
        <x:is>
          <x:t xml:space="preserve">ОБ-020</x:t>
        </x:is>
      </x:c>
      <x:c r="G79" s="31" t="n">
        <x:v>7.6</x:v>
      </x:c>
      <x:c r="H79" s="31" t="inlineStr">
        <x:is>
          <x:t xml:space="preserve">Нет</x:t>
        </x:is>
      </x:c>
      <x:c r="I79" s="31" t="inlineStr">
        <x:is>
          <x:t xml:space="preserve">Да</x:t>
        </x:is>
      </x:c>
      <x:c r="J79" s="31" t="inlineStr">
        <x:is>
          <x:t xml:space="preserve">Версия 5</x:t>
        </x:is>
      </x:c>
    </x:row>
    <x:row r="80" ht="18" customHeight="1">
      <x:c r="A80" s="31" t="inlineStr">
        <x:is>
          <x:t xml:space="preserve">МАР-0079</x:t>
        </x:is>
      </x:c>
      <x:c r="B80" s="31" t="inlineStr">
        <x:is>
          <x:t xml:space="preserve">ИЗД-010</x:t>
        </x:is>
      </x:c>
      <x:c r="C80" s="31" t="n">
        <x:v>60</x:v>
      </x:c>
      <x:c r="D80" s="31" t="inlineStr">
        <x:is>
          <x:t xml:space="preserve">Программирование ПЛК</x:t>
        </x:is>
      </x:c>
      <x:c r="E80" s="31" t="inlineStr">
        <x:is>
          <x:t xml:space="preserve">Инженерный отдел</x:t>
        </x:is>
      </x:c>
      <x:c r="F80" s="31" t="n"/>
      <x:c r="G80" s="31" t="n">
        <x:v>8.300000000000001</x:v>
      </x:c>
      <x:c r="H80" s="31" t="inlineStr">
        <x:is>
          <x:t xml:space="preserve">Нет</x:t>
        </x:is>
      </x:c>
      <x:c r="I80" s="31" t="inlineStr">
        <x:is>
          <x:t xml:space="preserve">Нет</x:t>
        </x:is>
      </x:c>
      <x:c r="J80" s="31" t="inlineStr">
        <x:is>
          <x:t xml:space="preserve">Версия 5</x:t>
        </x:is>
      </x:c>
    </x:row>
    <x:row r="81" ht="18" customHeight="1">
      <x:c r="A81" s="31" t="inlineStr">
        <x:is>
          <x:t xml:space="preserve">МАР-0080</x:t>
        </x:is>
      </x:c>
      <x:c r="B81" s="31" t="inlineStr">
        <x:is>
          <x:t xml:space="preserve">ИЗД-010</x:t>
        </x:is>
      </x:c>
      <x:c r="C81" s="31" t="n">
        <x:v>70</x:v>
      </x:c>
      <x:c r="D81" s="31" t="inlineStr">
        <x:is>
          <x:t xml:space="preserve">Приемочные испытания</x:t>
        </x:is>
      </x:c>
      <x:c r="E81" s="31" t="inlineStr">
        <x:is>
          <x:t xml:space="preserve">ОТК</x:t>
        </x:is>
      </x:c>
      <x:c r="F81" s="31" t="inlineStr">
        <x:is>
          <x:t xml:space="preserve">ОБ-013</x:t>
        </x:is>
      </x:c>
      <x:c r="G81" s="31" t="n">
        <x:v>12.6</x:v>
      </x:c>
      <x:c r="H81" s="31" t="inlineStr">
        <x:is>
          <x:t xml:space="preserve">Нет</x:t>
        </x:is>
      </x:c>
      <x:c r="I81" s="31" t="inlineStr">
        <x:is>
          <x:t xml:space="preserve">Нет</x:t>
        </x:is>
      </x:c>
      <x:c r="J81" s="31" t="inlineStr">
        <x:is>
          <x:t xml:space="preserve">Версия 5</x:t>
        </x:is>
      </x:c>
    </x:row>
    <x:row r="82" ht="18" customHeight="1">
      <x:c r="A82" s="31" t="inlineStr">
        <x:is>
          <x:t xml:space="preserve">МАР-0081</x:t>
        </x:is>
      </x:c>
      <x:c r="B82" s="31" t="inlineStr">
        <x:is>
          <x:t xml:space="preserve">ИЗД-010</x:t>
        </x:is>
      </x:c>
      <x:c r="C82" s="31" t="n">
        <x:v>80</x:v>
      </x:c>
      <x:c r="D82" s="31" t="inlineStr">
        <x:is>
          <x:t xml:space="preserve">ОТК</x:t>
        </x:is>
      </x:c>
      <x:c r="E82" s="31" t="inlineStr">
        <x:is>
          <x:t xml:space="preserve">ОТК</x:t>
        </x:is>
      </x:c>
      <x:c r="F82" s="31" t="inlineStr">
        <x:is>
          <x:t xml:space="preserve">ОБ-015</x:t>
        </x:is>
      </x:c>
      <x:c r="G82" s="31" t="n">
        <x:v>9.1</x:v>
      </x:c>
      <x:c r="H82" s="31" t="inlineStr">
        <x:is>
          <x:t xml:space="preserve">Нет</x:t>
        </x:is>
      </x:c>
      <x:c r="I82" s="31" t="inlineStr">
        <x:is>
          <x:t xml:space="preserve">Нет</x:t>
        </x:is>
      </x:c>
      <x:c r="J82" s="31" t="inlineStr">
        <x:is>
          <x:t xml:space="preserve">Версия 5</x:t>
        </x:is>
      </x:c>
    </x:row>
    <x:row r="83" ht="18" customHeight="1">
      <x:c r="A83" s="31" t="inlineStr">
        <x:is>
          <x:t xml:space="preserve">МАР-0082</x:t>
        </x:is>
      </x:c>
      <x:c r="B83" s="31" t="inlineStr">
        <x:is>
          <x:t xml:space="preserve">ИЗД-010</x:t>
        </x:is>
      </x:c>
      <x:c r="C83" s="31" t="n">
        <x:v>90</x:v>
      </x:c>
      <x:c r="D83" s="31" t="inlineStr">
        <x:is>
          <x:t xml:space="preserve">Упаковка</x:t>
        </x:is>
      </x:c>
      <x:c r="E83" s="31" t="inlineStr">
        <x:is>
          <x:t xml:space="preserve">Логистика</x:t>
        </x:is>
      </x:c>
      <x:c r="F83" s="31" t="n"/>
      <x:c r="G83" s="31" t="n">
        <x:v>11.1</x:v>
      </x:c>
      <x:c r="H83" s="31" t="inlineStr">
        <x:is>
          <x:t xml:space="preserve">Нет</x:t>
        </x:is>
      </x:c>
      <x:c r="I83" s="31" t="inlineStr">
        <x:is>
          <x:t xml:space="preserve">Нет</x:t>
        </x:is>
      </x:c>
      <x:c r="J83" s="31" t="inlineStr">
        <x:is>
          <x:t xml:space="preserve">Версия 5</x:t>
        </x:is>
      </x:c>
    </x:row>
    <x:row r="84" ht="18" customHeight="1">
      <x:c r="A84" s="31" t="inlineStr">
        <x:is>
          <x:t xml:space="preserve">МАР-0083</x:t>
        </x:is>
      </x:c>
      <x:c r="B84" s="31" t="inlineStr">
        <x:is>
          <x:t xml:space="preserve">ИЗД-011</x:t>
        </x:is>
      </x:c>
      <x:c r="C84" s="31" t="n">
        <x:v>10</x:v>
      </x:c>
      <x:c r="D84" s="31" t="inlineStr">
        <x:is>
          <x:t xml:space="preserve">КД</x:t>
        </x:is>
      </x:c>
      <x:c r="E84" s="31" t="inlineStr">
        <x:is>
          <x:t xml:space="preserve">Инженерный отдел</x:t>
        </x:is>
      </x:c>
      <x:c r="F84" s="31" t="n"/>
      <x:c r="G84" s="31" t="n">
        <x:v>7</x:v>
      </x:c>
      <x:c r="H84" s="31" t="inlineStr">
        <x:is>
          <x:t xml:space="preserve">Нет</x:t>
        </x:is>
      </x:c>
      <x:c r="I84" s="31" t="inlineStr">
        <x:is>
          <x:t xml:space="preserve">Нет</x:t>
        </x:is>
      </x:c>
      <x:c r="J84" s="31" t="inlineStr">
        <x:is>
          <x:t xml:space="preserve">Версия 6</x:t>
        </x:is>
      </x:c>
    </x:row>
    <x:row r="85" ht="18" customHeight="1">
      <x:c r="A85" s="31" t="inlineStr">
        <x:is>
          <x:t xml:space="preserve">МАР-0084</x:t>
        </x:is>
      </x:c>
      <x:c r="B85" s="31" t="inlineStr">
        <x:is>
          <x:t xml:space="preserve">ИЗД-011</x:t>
        </x:is>
      </x:c>
      <x:c r="C85" s="31" t="n">
        <x:v>20</x:v>
      </x:c>
      <x:c r="D85" s="31" t="inlineStr">
        <x:is>
          <x:t xml:space="preserve">Комплектация</x:t>
        </x:is>
      </x:c>
      <x:c r="E85" s="31" t="inlineStr">
        <x:is>
          <x:t xml:space="preserve">Склад</x:t>
        </x:is>
      </x:c>
      <x:c r="F85" s="31" t="inlineStr">
        <x:is>
          <x:t xml:space="preserve">ОБ-025</x:t>
        </x:is>
      </x:c>
      <x:c r="G85" s="31" t="n">
        <x:v>4.4</x:v>
      </x:c>
      <x:c r="H85" s="31" t="inlineStr">
        <x:is>
          <x:t xml:space="preserve">Нет</x:t>
        </x:is>
      </x:c>
      <x:c r="I85" s="31" t="inlineStr">
        <x:is>
          <x:t xml:space="preserve">Нет</x:t>
        </x:is>
      </x:c>
      <x:c r="J85" s="31" t="inlineStr">
        <x:is>
          <x:t xml:space="preserve">Версия 6</x:t>
        </x:is>
      </x:c>
    </x:row>
    <x:row r="86" ht="18" customHeight="1">
      <x:c r="A86" s="31" t="inlineStr">
        <x:is>
          <x:t xml:space="preserve">МАР-0085</x:t>
        </x:is>
      </x:c>
      <x:c r="B86" s="31" t="inlineStr">
        <x:is>
          <x:t xml:space="preserve">ИЗД-011</x:t>
        </x:is>
      </x:c>
      <x:c r="C86" s="31" t="n">
        <x:v>30</x:v>
      </x:c>
      <x:c r="D86" s="31" t="inlineStr">
        <x:is>
          <x:t xml:space="preserve">Сборка шкафа</x:t>
        </x:is>
      </x:c>
      <x:c r="E86" s="31" t="inlineStr">
        <x:is>
          <x:t xml:space="preserve">Сборка</x:t>
        </x:is>
      </x:c>
      <x:c r="F86" s="31" t="inlineStr">
        <x:is>
          <x:t xml:space="preserve">ОБ-012</x:t>
        </x:is>
      </x:c>
      <x:c r="G86" s="31" t="n">
        <x:v>11</x:v>
      </x:c>
      <x:c r="H86" s="31" t="inlineStr">
        <x:is>
          <x:t xml:space="preserve">Нет</x:t>
        </x:is>
      </x:c>
      <x:c r="I86" s="31" t="inlineStr">
        <x:is>
          <x:t xml:space="preserve">Нет</x:t>
        </x:is>
      </x:c>
      <x:c r="J86" s="31" t="inlineStr">
        <x:is>
          <x:t xml:space="preserve">Версия 6</x:t>
        </x:is>
      </x:c>
    </x:row>
    <x:row r="87" ht="18" customHeight="1">
      <x:c r="A87" s="31" t="inlineStr">
        <x:is>
          <x:t xml:space="preserve">МАР-0086</x:t>
        </x:is>
      </x:c>
      <x:c r="B87" s="31" t="inlineStr">
        <x:is>
          <x:t xml:space="preserve">ИЗД-011</x:t>
        </x:is>
      </x:c>
      <x:c r="C87" s="31" t="n">
        <x:v>40</x:v>
      </x:c>
      <x:c r="D87" s="31" t="inlineStr">
        <x:is>
          <x:t xml:space="preserve">Маркировка</x:t>
        </x:is>
      </x:c>
      <x:c r="E87" s="31" t="inlineStr">
        <x:is>
          <x:t xml:space="preserve">Сборка</x:t>
        </x:is>
      </x:c>
      <x:c r="F87" s="31" t="inlineStr">
        <x:is>
          <x:t xml:space="preserve">ОБ-005</x:t>
        </x:is>
      </x:c>
      <x:c r="G87" s="31" t="n">
        <x:v>2.7</x:v>
      </x:c>
      <x:c r="H87" s="31" t="inlineStr">
        <x:is>
          <x:t xml:space="preserve">Нет</x:t>
        </x:is>
      </x:c>
      <x:c r="I87" s="31" t="inlineStr">
        <x:is>
          <x:t xml:space="preserve">Нет</x:t>
        </x:is>
      </x:c>
      <x:c r="J87" s="31" t="inlineStr">
        <x:is>
          <x:t xml:space="preserve">Версия 6</x:t>
        </x:is>
      </x:c>
    </x:row>
    <x:row r="88" ht="18" customHeight="1">
      <x:c r="A88" s="31" t="inlineStr">
        <x:is>
          <x:t xml:space="preserve">МАР-0087</x:t>
        </x:is>
      </x:c>
      <x:c r="B88" s="31" t="inlineStr">
        <x:is>
          <x:t xml:space="preserve">ИЗД-011</x:t>
        </x:is>
      </x:c>
      <x:c r="C88" s="31" t="n">
        <x:v>50</x:v>
      </x:c>
      <x:c r="D88" s="31" t="inlineStr">
        <x:is>
          <x:t xml:space="preserve">Электромонтаж</x:t>
        </x:is>
      </x:c>
      <x:c r="E88" s="31" t="inlineStr">
        <x:is>
          <x:t xml:space="preserve">Сборка</x:t>
        </x:is>
      </x:c>
      <x:c r="F88" s="31" t="inlineStr">
        <x:is>
          <x:t xml:space="preserve">ОБ-017</x:t>
        </x:is>
      </x:c>
      <x:c r="G88" s="31" t="n">
        <x:v>2.3</x:v>
      </x:c>
      <x:c r="H88" s="31" t="inlineStr">
        <x:is>
          <x:t xml:space="preserve">Нет</x:t>
        </x:is>
      </x:c>
      <x:c r="I88" s="31" t="inlineStr">
        <x:is>
          <x:t xml:space="preserve">Нет</x:t>
        </x:is>
      </x:c>
      <x:c r="J88" s="31" t="inlineStr">
        <x:is>
          <x:t xml:space="preserve">Версия 6</x:t>
        </x:is>
      </x:c>
    </x:row>
    <x:row r="89" ht="18" customHeight="1">
      <x:c r="A89" s="31" t="inlineStr">
        <x:is>
          <x:t xml:space="preserve">МАР-0088</x:t>
        </x:is>
      </x:c>
      <x:c r="B89" s="31" t="inlineStr">
        <x:is>
          <x:t xml:space="preserve">ИЗД-011</x:t>
        </x:is>
      </x:c>
      <x:c r="C89" s="31" t="n">
        <x:v>60</x:v>
      </x:c>
      <x:c r="D89" s="31" t="inlineStr">
        <x:is>
          <x:t xml:space="preserve">Программирование ПЛК</x:t>
        </x:is>
      </x:c>
      <x:c r="E89" s="31" t="inlineStr">
        <x:is>
          <x:t xml:space="preserve">Инженерный отдел</x:t>
        </x:is>
      </x:c>
      <x:c r="F89" s="31" t="n"/>
      <x:c r="G89" s="31" t="n">
        <x:v>1.3</x:v>
      </x:c>
      <x:c r="H89" s="31" t="inlineStr">
        <x:is>
          <x:t xml:space="preserve">Нет</x:t>
        </x:is>
      </x:c>
      <x:c r="I89" s="31" t="inlineStr">
        <x:is>
          <x:t xml:space="preserve">Нет</x:t>
        </x:is>
      </x:c>
      <x:c r="J89" s="31" t="inlineStr">
        <x:is>
          <x:t xml:space="preserve">Версия 6</x:t>
        </x:is>
      </x:c>
    </x:row>
    <x:row r="90" ht="18" customHeight="1">
      <x:c r="A90" s="31" t="inlineStr">
        <x:is>
          <x:t xml:space="preserve">МАР-0089</x:t>
        </x:is>
      </x:c>
      <x:c r="B90" s="31" t="inlineStr">
        <x:is>
          <x:t xml:space="preserve">ИЗД-011</x:t>
        </x:is>
      </x:c>
      <x:c r="C90" s="31" t="n">
        <x:v>70</x:v>
      </x:c>
      <x:c r="D90" s="31" t="inlineStr">
        <x:is>
          <x:t xml:space="preserve">Приемочные испытания</x:t>
        </x:is>
      </x:c>
      <x:c r="E90" s="31" t="inlineStr">
        <x:is>
          <x:t xml:space="preserve">ОТК</x:t>
        </x:is>
      </x:c>
      <x:c r="F90" s="31" t="inlineStr">
        <x:is>
          <x:t xml:space="preserve">ОБ-015</x:t>
        </x:is>
      </x:c>
      <x:c r="G90" s="31" t="n">
        <x:v>11.6</x:v>
      </x:c>
      <x:c r="H90" s="31" t="inlineStr">
        <x:is>
          <x:t xml:space="preserve">Нет</x:t>
        </x:is>
      </x:c>
      <x:c r="I90" s="31" t="inlineStr">
        <x:is>
          <x:t xml:space="preserve">Нет</x:t>
        </x:is>
      </x:c>
      <x:c r="J90" s="31" t="inlineStr">
        <x:is>
          <x:t xml:space="preserve">Версия 6</x:t>
        </x:is>
      </x:c>
    </x:row>
    <x:row r="91" ht="18" customHeight="1">
      <x:c r="A91" s="31" t="inlineStr">
        <x:is>
          <x:t xml:space="preserve">МАР-0090</x:t>
        </x:is>
      </x:c>
      <x:c r="B91" s="31" t="inlineStr">
        <x:is>
          <x:t xml:space="preserve">ИЗД-011</x:t>
        </x:is>
      </x:c>
      <x:c r="C91" s="31" t="n">
        <x:v>80</x:v>
      </x:c>
      <x:c r="D91" s="31" t="inlineStr">
        <x:is>
          <x:t xml:space="preserve">ОТК</x:t>
        </x:is>
      </x:c>
      <x:c r="E91" s="31" t="inlineStr">
        <x:is>
          <x:t xml:space="preserve">ОТК</x:t>
        </x:is>
      </x:c>
      <x:c r="F91" s="31" t="inlineStr">
        <x:is>
          <x:t xml:space="preserve">ОБ-015</x:t>
        </x:is>
      </x:c>
      <x:c r="G91" s="31" t="n">
        <x:v>10.8</x:v>
      </x:c>
      <x:c r="H91" s="31" t="inlineStr">
        <x:is>
          <x:t xml:space="preserve">Да</x:t>
        </x:is>
      </x:c>
      <x:c r="I91" s="31" t="inlineStr">
        <x:is>
          <x:t xml:space="preserve">Нет</x:t>
        </x:is>
      </x:c>
      <x:c r="J91" s="31" t="inlineStr">
        <x:is>
          <x:t xml:space="preserve">Версия 6</x:t>
        </x:is>
      </x:c>
    </x:row>
    <x:row r="92" ht="18" customHeight="1">
      <x:c r="A92" s="31" t="inlineStr">
        <x:is>
          <x:t xml:space="preserve">МАР-0091</x:t>
        </x:is>
      </x:c>
      <x:c r="B92" s="31" t="inlineStr">
        <x:is>
          <x:t xml:space="preserve">ИЗД-011</x:t>
        </x:is>
      </x:c>
      <x:c r="C92" s="31" t="n">
        <x:v>90</x:v>
      </x:c>
      <x:c r="D92" s="31" t="inlineStr">
        <x:is>
          <x:t xml:space="preserve">Упаковка</x:t>
        </x:is>
      </x:c>
      <x:c r="E92" s="31" t="inlineStr">
        <x:is>
          <x:t xml:space="preserve">Логистика</x:t>
        </x:is>
      </x:c>
      <x:c r="F92" s="31" t="n"/>
      <x:c r="G92" s="31" t="n">
        <x:v>2.4</x:v>
      </x:c>
      <x:c r="H92" s="31" t="inlineStr">
        <x:is>
          <x:t xml:space="preserve">Да</x:t>
        </x:is>
      </x:c>
      <x:c r="I92" s="31" t="inlineStr">
        <x:is>
          <x:t xml:space="preserve">Нет</x:t>
        </x:is>
      </x:c>
      <x:c r="J92" s="31" t="inlineStr">
        <x:is>
          <x:t xml:space="preserve">Версия 6</x:t>
        </x:is>
      </x:c>
    </x:row>
    <x:row r="93" ht="18" customHeight="1">
      <x:c r="A93" s="31" t="inlineStr">
        <x:is>
          <x:t xml:space="preserve">МАР-0092</x:t>
        </x:is>
      </x:c>
      <x:c r="B93" s="31" t="inlineStr">
        <x:is>
          <x:t xml:space="preserve">ИЗД-012</x:t>
        </x:is>
      </x:c>
      <x:c r="C93" s="31" t="n">
        <x:v>10</x:v>
      </x:c>
      <x:c r="D93" s="31" t="inlineStr">
        <x:is>
          <x:t xml:space="preserve">КД</x:t>
        </x:is>
      </x:c>
      <x:c r="E93" s="31" t="inlineStr">
        <x:is>
          <x:t xml:space="preserve">Инженерный отдел</x:t>
        </x:is>
      </x:c>
      <x:c r="F93" s="31" t="n"/>
      <x:c r="G93" s="31" t="n">
        <x:v>5.5</x:v>
      </x:c>
      <x:c r="H93" s="31" t="inlineStr">
        <x:is>
          <x:t xml:space="preserve">Нет</x:t>
        </x:is>
      </x:c>
      <x:c r="I93" s="31" t="inlineStr">
        <x:is>
          <x:t xml:space="preserve">Нет</x:t>
        </x:is>
      </x:c>
      <x:c r="J93" s="31" t="inlineStr">
        <x:is>
          <x:t xml:space="preserve">Версия 2</x:t>
        </x:is>
      </x:c>
    </x:row>
    <x:row r="94" ht="18" customHeight="1">
      <x:c r="A94" s="31" t="inlineStr">
        <x:is>
          <x:t xml:space="preserve">МАР-0093</x:t>
        </x:is>
      </x:c>
      <x:c r="B94" s="31" t="inlineStr">
        <x:is>
          <x:t xml:space="preserve">ИЗД-012</x:t>
        </x:is>
      </x:c>
      <x:c r="C94" s="31" t="n">
        <x:v>20</x:v>
      </x:c>
      <x:c r="D94" s="31" t="inlineStr">
        <x:is>
          <x:t xml:space="preserve">Резка труб</x:t>
        </x:is>
      </x:c>
      <x:c r="E94" s="31" t="inlineStr">
        <x:is>
          <x:t xml:space="preserve">Сварка</x:t>
        </x:is>
      </x:c>
      <x:c r="F94" s="31" t="inlineStr">
        <x:is>
          <x:t xml:space="preserve">ОБ-018</x:t>
        </x:is>
      </x:c>
      <x:c r="G94" s="31" t="n">
        <x:v>5.3</x:v>
      </x:c>
      <x:c r="H94" s="31" t="inlineStr">
        <x:is>
          <x:t xml:space="preserve">Нет</x:t>
        </x:is>
      </x:c>
      <x:c r="I94" s="31" t="inlineStr">
        <x:is>
          <x:t xml:space="preserve">Нет</x:t>
        </x:is>
      </x:c>
      <x:c r="J94" s="31" t="inlineStr">
        <x:is>
          <x:t xml:space="preserve">Версия 2</x:t>
        </x:is>
      </x:c>
    </x:row>
    <x:row r="95" ht="18" customHeight="1">
      <x:c r="A95" s="31" t="inlineStr">
        <x:is>
          <x:t xml:space="preserve">МАР-0094</x:t>
        </x:is>
      </x:c>
      <x:c r="B95" s="31" t="inlineStr">
        <x:is>
          <x:t xml:space="preserve">ИЗД-012</x:t>
        </x:is>
      </x:c>
      <x:c r="C95" s="31" t="n">
        <x:v>30</x:v>
      </x:c>
      <x:c r="D95" s="31" t="inlineStr">
        <x:is>
          <x:t xml:space="preserve">Сварка</x:t>
        </x:is>
      </x:c>
      <x:c r="E95" s="31" t="inlineStr">
        <x:is>
          <x:t xml:space="preserve">Сварка</x:t>
        </x:is>
      </x:c>
      <x:c r="F95" s="31" t="inlineStr">
        <x:is>
          <x:t xml:space="preserve">ОБ-035</x:t>
        </x:is>
      </x:c>
      <x:c r="G95" s="31" t="n">
        <x:v>6</x:v>
      </x:c>
      <x:c r="H95" s="31" t="inlineStr">
        <x:is>
          <x:t xml:space="preserve">Да</x:t>
        </x:is>
      </x:c>
      <x:c r="I95" s="31" t="inlineStr">
        <x:is>
          <x:t xml:space="preserve">Нет</x:t>
        </x:is>
      </x:c>
      <x:c r="J95" s="31" t="inlineStr">
        <x:is>
          <x:t xml:space="preserve">Версия 2</x:t>
        </x:is>
      </x:c>
    </x:row>
    <x:row r="96" ht="18" customHeight="1">
      <x:c r="A96" s="31" t="inlineStr">
        <x:is>
          <x:t xml:space="preserve">МАР-0095</x:t>
        </x:is>
      </x:c>
      <x:c r="B96" s="31" t="inlineStr">
        <x:is>
          <x:t xml:space="preserve">ИЗД-012</x:t>
        </x:is>
      </x:c>
      <x:c r="C96" s="31" t="n">
        <x:v>40</x:v>
      </x:c>
      <x:c r="D96" s="31" t="inlineStr">
        <x:is>
          <x:t xml:space="preserve">НК сварных швов</x:t>
        </x:is>
      </x:c>
      <x:c r="E96" s="31" t="inlineStr">
        <x:is>
          <x:t xml:space="preserve">ОТК</x:t>
        </x:is>
      </x:c>
      <x:c r="F96" s="31" t="inlineStr">
        <x:is>
          <x:t xml:space="preserve">ОБ-022</x:t>
        </x:is>
      </x:c>
      <x:c r="G96" s="31" t="n">
        <x:v>4.3</x:v>
      </x:c>
      <x:c r="H96" s="31" t="inlineStr">
        <x:is>
          <x:t xml:space="preserve">Да</x:t>
        </x:is>
      </x:c>
      <x:c r="I96" s="31" t="inlineStr">
        <x:is>
          <x:t xml:space="preserve">Нет</x:t>
        </x:is>
      </x:c>
      <x:c r="J96" s="31" t="inlineStr">
        <x:is>
          <x:t xml:space="preserve">Версия 2</x:t>
        </x:is>
      </x:c>
    </x:row>
    <x:row r="97" ht="18" customHeight="1">
      <x:c r="A97" s="31" t="inlineStr">
        <x:is>
          <x:t xml:space="preserve">МАР-0096</x:t>
        </x:is>
      </x:c>
      <x:c r="B97" s="31" t="inlineStr">
        <x:is>
          <x:t xml:space="preserve">ИЗД-012</x:t>
        </x:is>
      </x:c>
      <x:c r="C97" s="31" t="n">
        <x:v>50</x:v>
      </x:c>
      <x:c r="D97" s="31" t="inlineStr">
        <x:is>
          <x:t xml:space="preserve">Гидроиспытания</x:t>
        </x:is>
      </x:c>
      <x:c r="E97" s="31" t="inlineStr">
        <x:is>
          <x:t xml:space="preserve">ОТК</x:t>
        </x:is>
      </x:c>
      <x:c r="F97" s="31" t="inlineStr">
        <x:is>
          <x:t xml:space="preserve">ОБ-007</x:t>
        </x:is>
      </x:c>
      <x:c r="G97" s="31" t="n">
        <x:v>4.3</x:v>
      </x:c>
      <x:c r="H97" s="31" t="inlineStr">
        <x:is>
          <x:t xml:space="preserve">Да</x:t>
        </x:is>
      </x:c>
      <x:c r="I97" s="31" t="inlineStr">
        <x:is>
          <x:t xml:space="preserve">Да</x:t>
        </x:is>
      </x:c>
      <x:c r="J97" s="31" t="inlineStr">
        <x:is>
          <x:t xml:space="preserve">Версия 2</x:t>
        </x:is>
      </x:c>
    </x:row>
    <x:row r="98" ht="18" customHeight="1">
      <x:c r="A98" s="31" t="inlineStr">
        <x:is>
          <x:t xml:space="preserve">МАР-0097</x:t>
        </x:is>
      </x:c>
      <x:c r="B98" s="31" t="inlineStr">
        <x:is>
          <x:t xml:space="preserve">ИЗД-012</x:t>
        </x:is>
      </x:c>
      <x:c r="C98" s="31" t="n">
        <x:v>60</x:v>
      </x:c>
      <x:c r="D98" s="31" t="inlineStr">
        <x:is>
          <x:t xml:space="preserve">Покраска</x:t>
        </x:is>
      </x:c>
      <x:c r="E98" s="31" t="inlineStr">
        <x:is>
          <x:t xml:space="preserve">Сварка</x:t>
        </x:is>
      </x:c>
      <x:c r="F98" s="31" t="inlineStr">
        <x:is>
          <x:t xml:space="preserve">ОБ-003</x:t>
        </x:is>
      </x:c>
      <x:c r="G98" s="31" t="n">
        <x:v>6.6</x:v>
      </x:c>
      <x:c r="H98" s="31" t="inlineStr">
        <x:is>
          <x:t xml:space="preserve">Нет</x:t>
        </x:is>
      </x:c>
      <x:c r="I98" s="31" t="inlineStr">
        <x:is>
          <x:t xml:space="preserve">Нет</x:t>
        </x:is>
      </x:c>
      <x:c r="J98" s="31" t="inlineStr">
        <x:is>
          <x:t xml:space="preserve">Версия 2</x:t>
        </x:is>
      </x:c>
    </x:row>
    <x:row r="99" ht="18" customHeight="1">
      <x:c r="A99" s="31" t="inlineStr">
        <x:is>
          <x:t xml:space="preserve">МАР-0098</x:t>
        </x:is>
      </x:c>
      <x:c r="B99" s="31" t="inlineStr">
        <x:is>
          <x:t xml:space="preserve">ИЗД-012</x:t>
        </x:is>
      </x:c>
      <x:c r="C99" s="31" t="n">
        <x:v>70</x:v>
      </x:c>
      <x:c r="D99" s="31" t="inlineStr">
        <x:is>
          <x:t xml:space="preserve">ОТК</x:t>
        </x:is>
      </x:c>
      <x:c r="E99" s="31" t="inlineStr">
        <x:is>
          <x:t xml:space="preserve">ОТК</x:t>
        </x:is>
      </x:c>
      <x:c r="F99" s="31" t="inlineStr">
        <x:is>
          <x:t xml:space="preserve">ОБ-013</x:t>
        </x:is>
      </x:c>
      <x:c r="G99" s="31" t="n">
        <x:v>2.4</x:v>
      </x:c>
      <x:c r="H99" s="31" t="inlineStr">
        <x:is>
          <x:t xml:space="preserve">Нет</x:t>
        </x:is>
      </x:c>
      <x:c r="I99" s="31" t="inlineStr">
        <x:is>
          <x:t xml:space="preserve">Да</x:t>
        </x:is>
      </x:c>
      <x:c r="J99" s="31" t="inlineStr">
        <x:is>
          <x:t xml:space="preserve">Версия 2</x:t>
        </x:is>
      </x:c>
    </x:row>
    <x:row r="100" ht="18" customHeight="1">
      <x:c r="A100" s="31" t="inlineStr">
        <x:is>
          <x:t xml:space="preserve">МАР-0099</x:t>
        </x:is>
      </x:c>
      <x:c r="B100" s="31" t="inlineStr">
        <x:is>
          <x:t xml:space="preserve">ИЗД-013</x:t>
        </x:is>
      </x:c>
      <x:c r="C100" s="31" t="n">
        <x:v>10</x:v>
      </x:c>
      <x:c r="D100" s="31" t="inlineStr">
        <x:is>
          <x:t xml:space="preserve">КД</x:t>
        </x:is>
      </x:c>
      <x:c r="E100" s="31" t="inlineStr">
        <x:is>
          <x:t xml:space="preserve">Инженерный отдел</x:t>
        </x:is>
      </x:c>
      <x:c r="F100" s="31" t="n"/>
      <x:c r="G100" s="31" t="n">
        <x:v>17.9</x:v>
      </x:c>
      <x:c r="H100" s="31" t="inlineStr">
        <x:is>
          <x:t xml:space="preserve">Нет</x:t>
        </x:is>
      </x:c>
      <x:c r="I100" s="31" t="inlineStr">
        <x:is>
          <x:t xml:space="preserve">Нет</x:t>
        </x:is>
      </x:c>
      <x:c r="J100" s="31" t="inlineStr">
        <x:is>
          <x:t xml:space="preserve">Версия 2</x:t>
        </x:is>
      </x:c>
    </x:row>
    <x:row r="101" ht="18" customHeight="1">
      <x:c r="A101" s="31" t="inlineStr">
        <x:is>
          <x:t xml:space="preserve">МАР-0100</x:t>
        </x:is>
      </x:c>
      <x:c r="B101" s="31" t="inlineStr">
        <x:is>
          <x:t xml:space="preserve">ИЗД-013</x:t>
        </x:is>
      </x:c>
      <x:c r="C101" s="31" t="n">
        <x:v>20</x:v>
      </x:c>
      <x:c r="D101" s="31" t="inlineStr">
        <x:is>
          <x:t xml:space="preserve">Резка металла</x:t>
        </x:is>
      </x:c>
      <x:c r="E101" s="31" t="inlineStr">
        <x:is>
          <x:t xml:space="preserve">Сварка</x:t>
        </x:is>
      </x:c>
      <x:c r="F101" s="31" t="inlineStr">
        <x:is>
          <x:t xml:space="preserve">ОБ-021</x:t>
        </x:is>
      </x:c>
      <x:c r="G101" s="31" t="n">
        <x:v>10.2</x:v>
      </x:c>
      <x:c r="H101" s="31" t="inlineStr">
        <x:is>
          <x:t xml:space="preserve">Нет</x:t>
        </x:is>
      </x:c>
      <x:c r="I101" s="31" t="inlineStr">
        <x:is>
          <x:t xml:space="preserve">Нет</x:t>
        </x:is>
      </x:c>
      <x:c r="J101" s="31" t="inlineStr">
        <x:is>
          <x:t xml:space="preserve">Версия 2</x:t>
        </x:is>
      </x:c>
    </x:row>
    <x:row r="102" ht="18" customHeight="1">
      <x:c r="A102" s="31" t="inlineStr">
        <x:is>
          <x:t xml:space="preserve">МАР-0101</x:t>
        </x:is>
      </x:c>
      <x:c r="B102" s="31" t="inlineStr">
        <x:is>
          <x:t xml:space="preserve">ИЗД-013</x:t>
        </x:is>
      </x:c>
      <x:c r="C102" s="31" t="n">
        <x:v>30</x:v>
      </x:c>
      <x:c r="D102" s="31" t="inlineStr">
        <x:is>
          <x:t xml:space="preserve">Сварка рамы</x:t>
        </x:is>
      </x:c>
      <x:c r="E102" s="31" t="inlineStr">
        <x:is>
          <x:t xml:space="preserve">Сварка</x:t>
        </x:is>
      </x:c>
      <x:c r="F102" s="31" t="inlineStr">
        <x:is>
          <x:t xml:space="preserve">ОБ-003</x:t>
        </x:is>
      </x:c>
      <x:c r="G102" s="31" t="n">
        <x:v>9.1</x:v>
      </x:c>
      <x:c r="H102" s="31" t="inlineStr">
        <x:is>
          <x:t xml:space="preserve">Нет</x:t>
        </x:is>
      </x:c>
      <x:c r="I102" s="31" t="inlineStr">
        <x:is>
          <x:t xml:space="preserve">Нет</x:t>
        </x:is>
      </x:c>
      <x:c r="J102" s="31" t="inlineStr">
        <x:is>
          <x:t xml:space="preserve">Версия 2</x:t>
        </x:is>
      </x:c>
    </x:row>
    <x:row r="103" ht="18" customHeight="1">
      <x:c r="A103" s="31" t="inlineStr">
        <x:is>
          <x:t xml:space="preserve">МАР-0102</x:t>
        </x:is>
      </x:c>
      <x:c r="B103" s="31" t="inlineStr">
        <x:is>
          <x:t xml:space="preserve">ИЗД-013</x:t>
        </x:is>
      </x:c>
      <x:c r="C103" s="31" t="n">
        <x:v>40</x:v>
      </x:c>
      <x:c r="D103" s="31" t="inlineStr">
        <x:is>
          <x:t xml:space="preserve">Пескоструй</x:t>
        </x:is>
      </x:c>
      <x:c r="E103" s="31" t="inlineStr">
        <x:is>
          <x:t xml:space="preserve">Сварка</x:t>
        </x:is>
      </x:c>
      <x:c r="F103" s="31" t="inlineStr">
        <x:is>
          <x:t xml:space="preserve">ОБ-026</x:t>
        </x:is>
      </x:c>
      <x:c r="G103" s="31" t="n">
        <x:v>14.3</x:v>
      </x:c>
      <x:c r="H103" s="31" t="inlineStr">
        <x:is>
          <x:t xml:space="preserve">Нет</x:t>
        </x:is>
      </x:c>
      <x:c r="I103" s="31" t="inlineStr">
        <x:is>
          <x:t xml:space="preserve">Нет</x:t>
        </x:is>
      </x:c>
      <x:c r="J103" s="31" t="inlineStr">
        <x:is>
          <x:t xml:space="preserve">Версия 2</x:t>
        </x:is>
      </x:c>
    </x:row>
    <x:row r="104" ht="18" customHeight="1">
      <x:c r="A104" s="31" t="inlineStr">
        <x:is>
          <x:t xml:space="preserve">МАР-0103</x:t>
        </x:is>
      </x:c>
      <x:c r="B104" s="31" t="inlineStr">
        <x:is>
          <x:t xml:space="preserve">ИЗД-013</x:t>
        </x:is>
      </x:c>
      <x:c r="C104" s="31" t="n">
        <x:v>50</x:v>
      </x:c>
      <x:c r="D104" s="31" t="inlineStr">
        <x:is>
          <x:t xml:space="preserve">Покраска</x:t>
        </x:is>
      </x:c>
      <x:c r="E104" s="31" t="inlineStr">
        <x:is>
          <x:t xml:space="preserve">Сварка</x:t>
        </x:is>
      </x:c>
      <x:c r="F104" s="31" t="inlineStr">
        <x:is>
          <x:t xml:space="preserve">ОБ-003</x:t>
        </x:is>
      </x:c>
      <x:c r="G104" s="31" t="n">
        <x:v>12.1</x:v>
      </x:c>
      <x:c r="H104" s="31" t="inlineStr">
        <x:is>
          <x:t xml:space="preserve">Нет</x:t>
        </x:is>
      </x:c>
      <x:c r="I104" s="31" t="inlineStr">
        <x:is>
          <x:t xml:space="preserve">Нет</x:t>
        </x:is>
      </x:c>
      <x:c r="J104" s="31" t="inlineStr">
        <x:is>
          <x:t xml:space="preserve">Версия 2</x:t>
        </x:is>
      </x:c>
    </x:row>
    <x:row r="105" ht="18" customHeight="1">
      <x:c r="A105" s="31" t="inlineStr">
        <x:is>
          <x:t xml:space="preserve">МАР-0104</x:t>
        </x:is>
      </x:c>
      <x:c r="B105" s="31" t="inlineStr">
        <x:is>
          <x:t xml:space="preserve">ИЗД-013</x:t>
        </x:is>
      </x:c>
      <x:c r="C105" s="31" t="n">
        <x:v>60</x:v>
      </x:c>
      <x:c r="D105" s="31" t="inlineStr">
        <x:is>
          <x:t xml:space="preserve">ОТК</x:t>
        </x:is>
      </x:c>
      <x:c r="E105" s="31" t="inlineStr">
        <x:is>
          <x:t xml:space="preserve">ОТК</x:t>
        </x:is>
      </x:c>
      <x:c r="F105" s="31" t="inlineStr">
        <x:is>
          <x:t xml:space="preserve">ОБ-001</x:t>
        </x:is>
      </x:c>
      <x:c r="G105" s="31" t="n">
        <x:v>16.2</x:v>
      </x:c>
      <x:c r="H105" s="31" t="inlineStr">
        <x:is>
          <x:t xml:space="preserve">Нет</x:t>
        </x:is>
      </x:c>
      <x:c r="I105" s="31" t="inlineStr">
        <x:is>
          <x:t xml:space="preserve">Нет</x:t>
        </x:is>
      </x:c>
      <x:c r="J105" s="31" t="inlineStr">
        <x:is>
          <x:t xml:space="preserve">Версия 2</x:t>
        </x:is>
      </x:c>
    </x:row>
    <x:row r="106" ht="18" customHeight="1">
      <x:c r="A106" s="31" t="inlineStr">
        <x:is>
          <x:t xml:space="preserve">МАР-0105</x:t>
        </x:is>
      </x:c>
      <x:c r="B106" s="31" t="inlineStr">
        <x:is>
          <x:t xml:space="preserve">ИЗД-014</x:t>
        </x:is>
      </x:c>
      <x:c r="C106" s="31" t="n">
        <x:v>10</x:v>
      </x:c>
      <x:c r="D106" s="31" t="inlineStr">
        <x:is>
          <x:t xml:space="preserve">КД</x:t>
        </x:is>
      </x:c>
      <x:c r="E106" s="31" t="inlineStr">
        <x:is>
          <x:t xml:space="preserve">Инженерный отдел</x:t>
        </x:is>
      </x:c>
      <x:c r="F106" s="31" t="n"/>
      <x:c r="G106" s="31" t="n">
        <x:v>11.1</x:v>
      </x:c>
      <x:c r="H106" s="31" t="inlineStr">
        <x:is>
          <x:t xml:space="preserve">Нет</x:t>
        </x:is>
      </x:c>
      <x:c r="I106" s="31" t="inlineStr">
        <x:is>
          <x:t xml:space="preserve">Да</x:t>
        </x:is>
      </x:c>
      <x:c r="J106" s="31" t="inlineStr">
        <x:is>
          <x:t xml:space="preserve">Версия 1</x:t>
        </x:is>
      </x:c>
    </x:row>
    <x:row r="107" ht="18" customHeight="1">
      <x:c r="A107" s="31" t="inlineStr">
        <x:is>
          <x:t xml:space="preserve">МАР-0106</x:t>
        </x:is>
      </x:c>
      <x:c r="B107" s="31" t="inlineStr">
        <x:is>
          <x:t xml:space="preserve">ИЗД-014</x:t>
        </x:is>
      </x:c>
      <x:c r="C107" s="31" t="n">
        <x:v>20</x:v>
      </x:c>
      <x:c r="D107" s="31" t="inlineStr">
        <x:is>
          <x:t xml:space="preserve">Резка металла</x:t>
        </x:is>
      </x:c>
      <x:c r="E107" s="31" t="inlineStr">
        <x:is>
          <x:t xml:space="preserve">Сварка</x:t>
        </x:is>
      </x:c>
      <x:c r="F107" s="31" t="inlineStr">
        <x:is>
          <x:t xml:space="preserve">ОБ-003</x:t>
        </x:is>
      </x:c>
      <x:c r="G107" s="31" t="n">
        <x:v>8.4</x:v>
      </x:c>
      <x:c r="H107" s="31" t="inlineStr">
        <x:is>
          <x:t xml:space="preserve">Да</x:t>
        </x:is>
      </x:c>
      <x:c r="I107" s="31" t="inlineStr">
        <x:is>
          <x:t xml:space="preserve">Нет</x:t>
        </x:is>
      </x:c>
      <x:c r="J107" s="31" t="inlineStr">
        <x:is>
          <x:t xml:space="preserve">Версия 1</x:t>
        </x:is>
      </x:c>
    </x:row>
    <x:row r="108" ht="18" customHeight="1">
      <x:c r="A108" s="31" t="inlineStr">
        <x:is>
          <x:t xml:space="preserve">МАР-0107</x:t>
        </x:is>
      </x:c>
      <x:c r="B108" s="31" t="inlineStr">
        <x:is>
          <x:t xml:space="preserve">ИЗД-014</x:t>
        </x:is>
      </x:c>
      <x:c r="C108" s="31" t="n">
        <x:v>30</x:v>
      </x:c>
      <x:c r="D108" s="31" t="inlineStr">
        <x:is>
          <x:t xml:space="preserve">Сварка рамы</x:t>
        </x:is>
      </x:c>
      <x:c r="E108" s="31" t="inlineStr">
        <x:is>
          <x:t xml:space="preserve">Сварка</x:t>
        </x:is>
      </x:c>
      <x:c r="F108" s="31" t="inlineStr">
        <x:is>
          <x:t xml:space="preserve">ОБ-019</x:t>
        </x:is>
      </x:c>
      <x:c r="G108" s="31" t="n">
        <x:v>17.2</x:v>
      </x:c>
      <x:c r="H108" s="31" t="inlineStr">
        <x:is>
          <x:t xml:space="preserve">Нет</x:t>
        </x:is>
      </x:c>
      <x:c r="I108" s="31" t="inlineStr">
        <x:is>
          <x:t xml:space="preserve">Нет</x:t>
        </x:is>
      </x:c>
      <x:c r="J108" s="31" t="inlineStr">
        <x:is>
          <x:t xml:space="preserve">Версия 1</x:t>
        </x:is>
      </x:c>
    </x:row>
    <x:row r="109" ht="18" customHeight="1">
      <x:c r="A109" s="31" t="inlineStr">
        <x:is>
          <x:t xml:space="preserve">МАР-0108</x:t>
        </x:is>
      </x:c>
      <x:c r="B109" s="31" t="inlineStr">
        <x:is>
          <x:t xml:space="preserve">ИЗД-014</x:t>
        </x:is>
      </x:c>
      <x:c r="C109" s="31" t="n">
        <x:v>40</x:v>
      </x:c>
      <x:c r="D109" s="31" t="inlineStr">
        <x:is>
          <x:t xml:space="preserve">Пескоструй</x:t>
        </x:is>
      </x:c>
      <x:c r="E109" s="31" t="inlineStr">
        <x:is>
          <x:t xml:space="preserve">Сварка</x:t>
        </x:is>
      </x:c>
      <x:c r="F109" s="31" t="inlineStr">
        <x:is>
          <x:t xml:space="preserve">ОБ-003</x:t>
        </x:is>
      </x:c>
      <x:c r="G109" s="31" t="n">
        <x:v>12.4</x:v>
      </x:c>
      <x:c r="H109" s="31" t="inlineStr">
        <x:is>
          <x:t xml:space="preserve">Нет</x:t>
        </x:is>
      </x:c>
      <x:c r="I109" s="31" t="inlineStr">
        <x:is>
          <x:t xml:space="preserve">Нет</x:t>
        </x:is>
      </x:c>
      <x:c r="J109" s="31" t="inlineStr">
        <x:is>
          <x:t xml:space="preserve">Версия 1</x:t>
        </x:is>
      </x:c>
    </x:row>
    <x:row r="110" ht="18" customHeight="1">
      <x:c r="A110" s="31" t="inlineStr">
        <x:is>
          <x:t xml:space="preserve">МАР-0109</x:t>
        </x:is>
      </x:c>
      <x:c r="B110" s="31" t="inlineStr">
        <x:is>
          <x:t xml:space="preserve">ИЗД-014</x:t>
        </x:is>
      </x:c>
      <x:c r="C110" s="31" t="n">
        <x:v>50</x:v>
      </x:c>
      <x:c r="D110" s="31" t="inlineStr">
        <x:is>
          <x:t xml:space="preserve">Покраска</x:t>
        </x:is>
      </x:c>
      <x:c r="E110" s="31" t="inlineStr">
        <x:is>
          <x:t xml:space="preserve">Сварка</x:t>
        </x:is>
      </x:c>
      <x:c r="F110" s="31" t="inlineStr">
        <x:is>
          <x:t xml:space="preserve">ОБ-035</x:t>
        </x:is>
      </x:c>
      <x:c r="G110" s="31" t="n">
        <x:v>9.800000000000001</x:v>
      </x:c>
      <x:c r="H110" s="31" t="inlineStr">
        <x:is>
          <x:t xml:space="preserve">Да</x:t>
        </x:is>
      </x:c>
      <x:c r="I110" s="31" t="inlineStr">
        <x:is>
          <x:t xml:space="preserve">Нет</x:t>
        </x:is>
      </x:c>
      <x:c r="J110" s="31" t="inlineStr">
        <x:is>
          <x:t xml:space="preserve">Версия 1</x:t>
        </x:is>
      </x:c>
    </x:row>
    <x:row r="111" ht="18" customHeight="1">
      <x:c r="A111" s="31" t="inlineStr">
        <x:is>
          <x:t xml:space="preserve">МАР-0110</x:t>
        </x:is>
      </x:c>
      <x:c r="B111" s="31" t="inlineStr">
        <x:is>
          <x:t xml:space="preserve">ИЗД-014</x:t>
        </x:is>
      </x:c>
      <x:c r="C111" s="31" t="n">
        <x:v>60</x:v>
      </x:c>
      <x:c r="D111" s="31" t="inlineStr">
        <x:is>
          <x:t xml:space="preserve">ОТК</x:t>
        </x:is>
      </x:c>
      <x:c r="E111" s="31" t="inlineStr">
        <x:is>
          <x:t xml:space="preserve">ОТК</x:t>
        </x:is>
      </x:c>
      <x:c r="F111" s="31" t="inlineStr">
        <x:is>
          <x:t xml:space="preserve">ОБ-033</x:t>
        </x:is>
      </x:c>
      <x:c r="G111" s="31" t="n">
        <x:v>4.8</x:v>
      </x:c>
      <x:c r="H111" s="31" t="inlineStr">
        <x:is>
          <x:t xml:space="preserve">Нет</x:t>
        </x:is>
      </x:c>
      <x:c r="I111" s="31" t="inlineStr">
        <x:is>
          <x:t xml:space="preserve">Нет</x:t>
        </x:is>
      </x:c>
      <x:c r="J111" s="31" t="inlineStr">
        <x:is>
          <x:t xml:space="preserve">Версия 1</x:t>
        </x:is>
      </x:c>
    </x:row>
    <x:row r="112" ht="18" customHeight="1">
      <x:c r="A112" s="31" t="inlineStr">
        <x:is>
          <x:t xml:space="preserve">МАР-0111</x:t>
        </x:is>
      </x:c>
      <x:c r="B112" s="31" t="inlineStr">
        <x:is>
          <x:t xml:space="preserve">ИЗД-015</x:t>
        </x:is>
      </x:c>
      <x:c r="C112" s="31" t="n">
        <x:v>10</x:v>
      </x:c>
      <x:c r="D112" s="31" t="inlineStr">
        <x:is>
          <x:t xml:space="preserve">Комплектация</x:t>
        </x:is>
      </x:c>
      <x:c r="E112" s="31" t="inlineStr">
        <x:is>
          <x:t xml:space="preserve">Склад</x:t>
        </x:is>
      </x:c>
      <x:c r="F112" s="31" t="inlineStr">
        <x:is>
          <x:t xml:space="preserve">ОБ-023</x:t>
        </x:is>
      </x:c>
      <x:c r="G112" s="31" t="n">
        <x:v>2.5</x:v>
      </x:c>
      <x:c r="H112" s="31" t="inlineStr">
        <x:is>
          <x:t xml:space="preserve">Нет</x:t>
        </x:is>
      </x:c>
      <x:c r="I112" s="31" t="inlineStr">
        <x:is>
          <x:t xml:space="preserve">Да</x:t>
        </x:is>
      </x:c>
      <x:c r="J112" s="31" t="inlineStr">
        <x:is>
          <x:t xml:space="preserve">Версия 7</x:t>
        </x:is>
      </x:c>
    </x:row>
    <x:row r="113" ht="18" customHeight="1">
      <x:c r="A113" s="31" t="inlineStr">
        <x:is>
          <x:t xml:space="preserve">МАР-0112</x:t>
        </x:is>
      </x:c>
      <x:c r="B113" s="31" t="inlineStr">
        <x:is>
          <x:t xml:space="preserve">ИЗД-015</x:t>
        </x:is>
      </x:c>
      <x:c r="C113" s="31" t="n">
        <x:v>20</x:v>
      </x:c>
      <x:c r="D113" s="31" t="inlineStr">
        <x:is>
          <x:t xml:space="preserve">Проверка</x:t>
        </x:is>
      </x:c>
      <x:c r="E113" s="31" t="inlineStr">
        <x:is>
          <x:t xml:space="preserve">ОТК</x:t>
        </x:is>
      </x:c>
      <x:c r="F113" s="31" t="inlineStr">
        <x:is>
          <x:t xml:space="preserve">ОБ-013</x:t>
        </x:is>
      </x:c>
      <x:c r="G113" s="31" t="n">
        <x:v>6</x:v>
      </x:c>
      <x:c r="H113" s="31" t="inlineStr">
        <x:is>
          <x:t xml:space="preserve">Нет</x:t>
        </x:is>
      </x:c>
      <x:c r="I113" s="31" t="inlineStr">
        <x:is>
          <x:t xml:space="preserve">Да</x:t>
        </x:is>
      </x:c>
      <x:c r="J113" s="31" t="inlineStr">
        <x:is>
          <x:t xml:space="preserve">Версия 7</x:t>
        </x:is>
      </x:c>
    </x:row>
    <x:row r="114" ht="18" customHeight="1">
      <x:c r="A114" s="31" t="inlineStr">
        <x:is>
          <x:t xml:space="preserve">МАР-0113</x:t>
        </x:is>
      </x:c>
      <x:c r="B114" s="31" t="inlineStr">
        <x:is>
          <x:t xml:space="preserve">ИЗД-015</x:t>
        </x:is>
      </x:c>
      <x:c r="C114" s="31" t="n">
        <x:v>30</x:v>
      </x:c>
      <x:c r="D114" s="31" t="inlineStr">
        <x:is>
          <x:t xml:space="preserve">Упаковка</x:t>
        </x:is>
      </x:c>
      <x:c r="E114" s="31" t="inlineStr">
        <x:is>
          <x:t xml:space="preserve">Логистика</x:t>
        </x:is>
      </x:c>
      <x:c r="F114" s="31" t="n"/>
      <x:c r="G114" s="31" t="n">
        <x:v>4.6</x:v>
      </x:c>
      <x:c r="H114" s="31" t="inlineStr">
        <x:is>
          <x:t xml:space="preserve">Нет</x:t>
        </x:is>
      </x:c>
      <x:c r="I114" s="31" t="inlineStr">
        <x:is>
          <x:t xml:space="preserve">Нет</x:t>
        </x:is>
      </x:c>
      <x:c r="J114" s="31" t="inlineStr">
        <x:is>
          <x:t xml:space="preserve">Версия 7</x:t>
        </x:is>
      </x:c>
    </x:row>
    <x:row r="115" ht="18" customHeight="1">
      <x:c r="A115" s="31" t="inlineStr">
        <x:is>
          <x:t xml:space="preserve">МАР-0114</x:t>
        </x:is>
      </x:c>
      <x:c r="B115" s="31" t="inlineStr">
        <x:is>
          <x:t xml:space="preserve">ИЗД-015</x:t>
        </x:is>
      </x:c>
      <x:c r="C115" s="31" t="n">
        <x:v>40</x:v>
      </x:c>
      <x:c r="D115" s="31" t="inlineStr">
        <x:is>
          <x:t xml:space="preserve">ОТК</x:t>
        </x:is>
      </x:c>
      <x:c r="E115" s="31" t="inlineStr">
        <x:is>
          <x:t xml:space="preserve">ОТК</x:t>
        </x:is>
      </x:c>
      <x:c r="F115" s="31" t="inlineStr">
        <x:is>
          <x:t xml:space="preserve">ОБ-006</x:t>
        </x:is>
      </x:c>
      <x:c r="G115" s="31" t="n">
        <x:v>2.8</x:v>
      </x:c>
      <x:c r="H115" s="31" t="inlineStr">
        <x:is>
          <x:t xml:space="preserve">Да</x:t>
        </x:is>
      </x:c>
      <x:c r="I115" s="31" t="inlineStr">
        <x:is>
          <x:t xml:space="preserve">Нет</x:t>
        </x:is>
      </x:c>
      <x:c r="J115" s="31" t="inlineStr">
        <x:is>
          <x:t xml:space="preserve">Версия 7</x:t>
        </x:is>
      </x:c>
    </x:row>
    <x:row r="116" ht="18" customHeight="1">
      <x:c r="A116" s="31" t="inlineStr">
        <x:is>
          <x:t xml:space="preserve">МАР-0115</x:t>
        </x:is>
      </x:c>
      <x:c r="B116" s="31" t="inlineStr">
        <x:is>
          <x:t xml:space="preserve">ИЗД-016</x:t>
        </x:is>
      </x:c>
      <x:c r="C116" s="31" t="n">
        <x:v>10</x:v>
      </x:c>
      <x:c r="D116" s="31" t="inlineStr">
        <x:is>
          <x:t xml:space="preserve">КД</x:t>
        </x:is>
      </x:c>
      <x:c r="E116" s="31" t="inlineStr">
        <x:is>
          <x:t xml:space="preserve">Инженерный отдел</x:t>
        </x:is>
      </x:c>
      <x:c r="F116" s="31" t="n"/>
      <x:c r="G116" s="31" t="n">
        <x:v>12.8</x:v>
      </x:c>
      <x:c r="H116" s="31" t="inlineStr">
        <x:is>
          <x:t xml:space="preserve">Да</x:t>
        </x:is>
      </x:c>
      <x:c r="I116" s="31" t="inlineStr">
        <x:is>
          <x:t xml:space="preserve">Нет</x:t>
        </x:is>
      </x:c>
      <x:c r="J116" s="31" t="inlineStr">
        <x:is>
          <x:t xml:space="preserve">Версия 1</x:t>
        </x:is>
      </x:c>
    </x:row>
    <x:row r="117" ht="18" customHeight="1">
      <x:c r="A117" s="31" t="inlineStr">
        <x:is>
          <x:t xml:space="preserve">МАР-0116</x:t>
        </x:is>
      </x:c>
      <x:c r="B117" s="31" t="inlineStr">
        <x:is>
          <x:t xml:space="preserve">ИЗД-016</x:t>
        </x:is>
      </x:c>
      <x:c r="C117" s="31" t="n">
        <x:v>20</x:v>
      </x:c>
      <x:c r="D117" s="31" t="inlineStr">
        <x:is>
          <x:t xml:space="preserve">Резерв материалов</x:t>
        </x:is>
      </x:c>
      <x:c r="E117" s="31" t="inlineStr">
        <x:is>
          <x:t xml:space="preserve">Склад</x:t>
        </x:is>
      </x:c>
      <x:c r="F117" s="31" t="inlineStr">
        <x:is>
          <x:t xml:space="preserve">ОБ-025</x:t>
        </x:is>
      </x:c>
      <x:c r="G117" s="31" t="n">
        <x:v>14.4</x:v>
      </x:c>
      <x:c r="H117" s="31" t="inlineStr">
        <x:is>
          <x:t xml:space="preserve">Нет</x:t>
        </x:is>
      </x:c>
      <x:c r="I117" s="31" t="inlineStr">
        <x:is>
          <x:t xml:space="preserve">Нет</x:t>
        </x:is>
      </x:c>
      <x:c r="J117" s="31" t="inlineStr">
        <x:is>
          <x:t xml:space="preserve">Версия 1</x:t>
        </x:is>
      </x:c>
    </x:row>
    <x:row r="118" ht="18" customHeight="1">
      <x:c r="A118" s="31" t="inlineStr">
        <x:is>
          <x:t xml:space="preserve">МАР-0117</x:t>
        </x:is>
      </x:c>
      <x:c r="B118" s="31" t="inlineStr">
        <x:is>
          <x:t xml:space="preserve">ИЗД-016</x:t>
        </x:is>
      </x:c>
      <x:c r="C118" s="31" t="n">
        <x:v>30</x:v>
      </x:c>
      <x:c r="D118" s="31" t="inlineStr">
        <x:is>
          <x:t xml:space="preserve">Резка металла</x:t>
        </x:is>
      </x:c>
      <x:c r="E118" s="31" t="inlineStr">
        <x:is>
          <x:t xml:space="preserve">Сварка</x:t>
        </x:is>
      </x:c>
      <x:c r="F118" s="31" t="inlineStr">
        <x:is>
          <x:t xml:space="preserve">ОБ-003</x:t>
        </x:is>
      </x:c>
      <x:c r="G118" s="31" t="n">
        <x:v>11.3</x:v>
      </x:c>
      <x:c r="H118" s="31" t="inlineStr">
        <x:is>
          <x:t xml:space="preserve">Нет</x:t>
        </x:is>
      </x:c>
      <x:c r="I118" s="31" t="inlineStr">
        <x:is>
          <x:t xml:space="preserve">Нет</x:t>
        </x:is>
      </x:c>
      <x:c r="J118" s="31" t="inlineStr">
        <x:is>
          <x:t xml:space="preserve">Версия 1</x:t>
        </x:is>
      </x:c>
    </x:row>
    <x:row r="119" ht="18" customHeight="1">
      <x:c r="A119" s="31" t="inlineStr">
        <x:is>
          <x:t xml:space="preserve">МАР-0118</x:t>
        </x:is>
      </x:c>
      <x:c r="B119" s="31" t="inlineStr">
        <x:is>
          <x:t xml:space="preserve">ИЗД-016</x:t>
        </x:is>
      </x:c>
      <x:c r="C119" s="31" t="n">
        <x:v>40</x:v>
      </x:c>
      <x:c r="D119" s="31" t="inlineStr">
        <x:is>
          <x:t xml:space="preserve">Сварка рамы</x:t>
        </x:is>
      </x:c>
      <x:c r="E119" s="31" t="inlineStr">
        <x:is>
          <x:t xml:space="preserve">Сварка</x:t>
        </x:is>
      </x:c>
      <x:c r="F119" s="31" t="inlineStr">
        <x:is>
          <x:t xml:space="preserve">ОБ-010</x:t>
        </x:is>
      </x:c>
      <x:c r="G119" s="31" t="n">
        <x:v>11.6</x:v>
      </x:c>
      <x:c r="H119" s="31" t="inlineStr">
        <x:is>
          <x:t xml:space="preserve">Да</x:t>
        </x:is>
      </x:c>
      <x:c r="I119" s="31" t="inlineStr">
        <x:is>
          <x:t xml:space="preserve">Нет</x:t>
        </x:is>
      </x:c>
      <x:c r="J119" s="31" t="inlineStr">
        <x:is>
          <x:t xml:space="preserve">Версия 1</x:t>
        </x:is>
      </x:c>
    </x:row>
    <x:row r="120" ht="18" customHeight="1">
      <x:c r="A120" s="31" t="inlineStr">
        <x:is>
          <x:t xml:space="preserve">МАР-0119</x:t>
        </x:is>
      </x:c>
      <x:c r="B120" s="31" t="inlineStr">
        <x:is>
          <x:t xml:space="preserve">ИЗД-016</x:t>
        </x:is>
      </x:c>
      <x:c r="C120" s="31" t="n">
        <x:v>50</x:v>
      </x:c>
      <x:c r="D120" s="31" t="inlineStr">
        <x:is>
          <x:t xml:space="preserve">Механообработка</x:t>
        </x:is>
      </x:c>
      <x:c r="E120" s="31" t="inlineStr">
        <x:is>
          <x:t xml:space="preserve">Механообработка</x:t>
        </x:is>
      </x:c>
      <x:c r="F120" s="31" t="inlineStr">
        <x:is>
          <x:t xml:space="preserve">ОБ-029</x:t>
        </x:is>
      </x:c>
      <x:c r="G120" s="31" t="n">
        <x:v>15.1</x:v>
      </x:c>
      <x:c r="H120" s="31" t="inlineStr">
        <x:is>
          <x:t xml:space="preserve">Нет</x:t>
        </x:is>
      </x:c>
      <x:c r="I120" s="31" t="inlineStr">
        <x:is>
          <x:t xml:space="preserve">Нет</x:t>
        </x:is>
      </x:c>
      <x:c r="J120" s="31" t="inlineStr">
        <x:is>
          <x:t xml:space="preserve">Версия 1</x:t>
        </x:is>
      </x:c>
    </x:row>
    <x:row r="121" ht="18" customHeight="1">
      <x:c r="A121" s="31" t="inlineStr">
        <x:is>
          <x:t xml:space="preserve">МАР-0120</x:t>
        </x:is>
      </x:c>
      <x:c r="B121" s="31" t="inlineStr">
        <x:is>
          <x:t xml:space="preserve">ИЗД-016</x:t>
        </x:is>
      </x:c>
      <x:c r="C121" s="31" t="n">
        <x:v>60</x:v>
      </x:c>
      <x:c r="D121" s="31" t="inlineStr">
        <x:is>
          <x:t xml:space="preserve">Сборка</x:t>
        </x:is>
      </x:c>
      <x:c r="E121" s="31" t="inlineStr">
        <x:is>
          <x:t xml:space="preserve">Сборка</x:t>
        </x:is>
      </x:c>
      <x:c r="F121" s="31" t="inlineStr">
        <x:is>
          <x:t xml:space="preserve">ОБ-027</x:t>
        </x:is>
      </x:c>
      <x:c r="G121" s="31" t="n">
        <x:v>15.1</x:v>
      </x:c>
      <x:c r="H121" s="31" t="inlineStr">
        <x:is>
          <x:t xml:space="preserve">Нет</x:t>
        </x:is>
      </x:c>
      <x:c r="I121" s="31" t="inlineStr">
        <x:is>
          <x:t xml:space="preserve">Нет</x:t>
        </x:is>
      </x:c>
      <x:c r="J121" s="31" t="inlineStr">
        <x:is>
          <x:t xml:space="preserve">Версия 1</x:t>
        </x:is>
      </x:c>
    </x:row>
    <x:row r="122" ht="18" customHeight="1">
      <x:c r="A122" s="31" t="inlineStr">
        <x:is>
          <x:t xml:space="preserve">МАР-0121</x:t>
        </x:is>
      </x:c>
      <x:c r="B122" s="31" t="inlineStr">
        <x:is>
          <x:t xml:space="preserve">ИЗД-016</x:t>
        </x:is>
      </x:c>
      <x:c r="C122" s="31" t="n">
        <x:v>70</x:v>
      </x:c>
      <x:c r="D122" s="31" t="inlineStr">
        <x:is>
          <x:t xml:space="preserve">Электромонтаж</x:t>
        </x:is>
      </x:c>
      <x:c r="E122" s="31" t="inlineStr">
        <x:is>
          <x:t xml:space="preserve">Сборка</x:t>
        </x:is>
      </x:c>
      <x:c r="F122" s="31" t="inlineStr">
        <x:is>
          <x:t xml:space="preserve">ОБ-014</x:t>
        </x:is>
      </x:c>
      <x:c r="G122" s="31" t="n">
        <x:v>17.4</x:v>
      </x:c>
      <x:c r="H122" s="31" t="inlineStr">
        <x:is>
          <x:t xml:space="preserve">Да</x:t>
        </x:is>
      </x:c>
      <x:c r="I122" s="31" t="inlineStr">
        <x:is>
          <x:t xml:space="preserve">Нет</x:t>
        </x:is>
      </x:c>
      <x:c r="J122" s="31" t="inlineStr">
        <x:is>
          <x:t xml:space="preserve">Версия 1</x:t>
        </x:is>
      </x:c>
    </x:row>
    <x:row r="123" ht="18" customHeight="1">
      <x:c r="A123" s="31" t="inlineStr">
        <x:is>
          <x:t xml:space="preserve">МАР-0122</x:t>
        </x:is>
      </x:c>
      <x:c r="B123" s="31" t="inlineStr">
        <x:is>
          <x:t xml:space="preserve">ИЗД-016</x:t>
        </x:is>
      </x:c>
      <x:c r="C123" s="31" t="n">
        <x:v>80</x:v>
      </x:c>
      <x:c r="D123" s="31" t="inlineStr">
        <x:is>
          <x:t xml:space="preserve">Гидроиспытания</x:t>
        </x:is>
      </x:c>
      <x:c r="E123" s="31" t="inlineStr">
        <x:is>
          <x:t xml:space="preserve">ОТК</x:t>
        </x:is>
      </x:c>
      <x:c r="F123" s="31" t="inlineStr">
        <x:is>
          <x:t xml:space="preserve">ОБ-028</x:t>
        </x:is>
      </x:c>
      <x:c r="G123" s="31" t="n">
        <x:v>1.8</x:v>
      </x:c>
      <x:c r="H123" s="31" t="inlineStr">
        <x:is>
          <x:t xml:space="preserve">Нет</x:t>
        </x:is>
      </x:c>
      <x:c r="I123" s="31" t="inlineStr">
        <x:is>
          <x:t xml:space="preserve">Нет</x:t>
        </x:is>
      </x:c>
      <x:c r="J123" s="31" t="inlineStr">
        <x:is>
          <x:t xml:space="preserve">Версия 1</x:t>
        </x:is>
      </x:c>
    </x:row>
    <x:row r="124" ht="18" customHeight="1">
      <x:c r="A124" s="31" t="inlineStr">
        <x:is>
          <x:t xml:space="preserve">МАР-0123</x:t>
        </x:is>
      </x:c>
      <x:c r="B124" s="31" t="inlineStr">
        <x:is>
          <x:t xml:space="preserve">ИЗД-016</x:t>
        </x:is>
      </x:c>
      <x:c r="C124" s="31" t="n">
        <x:v>90</x:v>
      </x:c>
      <x:c r="D124" s="31" t="inlineStr">
        <x:is>
          <x:t xml:space="preserve">ОТК</x:t>
        </x:is>
      </x:c>
      <x:c r="E124" s="31" t="inlineStr">
        <x:is>
          <x:t xml:space="preserve">ОТК</x:t>
        </x:is>
      </x:c>
      <x:c r="F124" s="31" t="inlineStr">
        <x:is>
          <x:t xml:space="preserve">ОБ-028</x:t>
        </x:is>
      </x:c>
      <x:c r="G124" s="31" t="n">
        <x:v>1.7</x:v>
      </x:c>
      <x:c r="H124" s="31" t="inlineStr">
        <x:is>
          <x:t xml:space="preserve">Нет</x:t>
        </x:is>
      </x:c>
      <x:c r="I124" s="31" t="inlineStr">
        <x:is>
          <x:t xml:space="preserve">Нет</x:t>
        </x:is>
      </x:c>
      <x:c r="J124" s="31" t="inlineStr">
        <x:is>
          <x:t xml:space="preserve">Версия 1</x:t>
        </x:is>
      </x:c>
    </x:row>
    <x:row r="125" ht="18" customHeight="1">
      <x:c r="A125" s="31" t="inlineStr">
        <x:is>
          <x:t xml:space="preserve">МАР-0124</x:t>
        </x:is>
      </x:c>
      <x:c r="B125" s="31" t="inlineStr">
        <x:is>
          <x:t xml:space="preserve">ИЗД-016</x:t>
        </x:is>
      </x:c>
      <x:c r="C125" s="31" t="n">
        <x:v>100</x:v>
      </x:c>
      <x:c r="D125" s="31" t="inlineStr">
        <x:is>
          <x:t xml:space="preserve">Упаковка</x:t>
        </x:is>
      </x:c>
      <x:c r="E125" s="31" t="inlineStr">
        <x:is>
          <x:t xml:space="preserve">Логистика</x:t>
        </x:is>
      </x:c>
      <x:c r="F125" s="31" t="n"/>
      <x:c r="G125" s="31" t="n">
        <x:v>10</x:v>
      </x:c>
      <x:c r="H125" s="31" t="inlineStr">
        <x:is>
          <x:t xml:space="preserve">Нет</x:t>
        </x:is>
      </x:c>
      <x:c r="I125" s="31" t="inlineStr">
        <x:is>
          <x:t xml:space="preserve">Да</x:t>
        </x:is>
      </x:c>
      <x:c r="J125" s="31" t="inlineStr">
        <x:is>
          <x:t xml:space="preserve">Версия 1</x:t>
        </x:is>
      </x:c>
    </x:row>
    <x:row r="126" ht="18" customHeight="1">
      <x:c r="A126" s="31" t="inlineStr">
        <x:is>
          <x:t xml:space="preserve">МАР-0125</x:t>
        </x:is>
      </x:c>
      <x:c r="B126" s="31" t="inlineStr">
        <x:is>
          <x:t xml:space="preserve">ИЗД-017</x:t>
        </x:is>
      </x:c>
      <x:c r="C126" s="31" t="n">
        <x:v>10</x:v>
      </x:c>
      <x:c r="D126" s="31" t="inlineStr">
        <x:is>
          <x:t xml:space="preserve">КД</x:t>
        </x:is>
      </x:c>
      <x:c r="E126" s="31" t="inlineStr">
        <x:is>
          <x:t xml:space="preserve">Инженерный отдел</x:t>
        </x:is>
      </x:c>
      <x:c r="F126" s="31" t="n"/>
      <x:c r="G126" s="31" t="n">
        <x:v>12.2</x:v>
      </x:c>
      <x:c r="H126" s="31" t="inlineStr">
        <x:is>
          <x:t xml:space="preserve">Нет</x:t>
        </x:is>
      </x:c>
      <x:c r="I126" s="31" t="inlineStr">
        <x:is>
          <x:t xml:space="preserve">Нет</x:t>
        </x:is>
      </x:c>
      <x:c r="J126" s="31" t="inlineStr">
        <x:is>
          <x:t xml:space="preserve">Версия 6</x:t>
        </x:is>
      </x:c>
    </x:row>
    <x:row r="127" ht="18" customHeight="1">
      <x:c r="A127" s="31" t="inlineStr">
        <x:is>
          <x:t xml:space="preserve">МАР-0126</x:t>
        </x:is>
      </x:c>
      <x:c r="B127" s="31" t="inlineStr">
        <x:is>
          <x:t xml:space="preserve">ИЗД-017</x:t>
        </x:is>
      </x:c>
      <x:c r="C127" s="31" t="n">
        <x:v>20</x:v>
      </x:c>
      <x:c r="D127" s="31" t="inlineStr">
        <x:is>
          <x:t xml:space="preserve">Резерв материалов</x:t>
        </x:is>
      </x:c>
      <x:c r="E127" s="31" t="inlineStr">
        <x:is>
          <x:t xml:space="preserve">Склад</x:t>
        </x:is>
      </x:c>
      <x:c r="F127" s="31" t="inlineStr">
        <x:is>
          <x:t xml:space="preserve">ОБ-025</x:t>
        </x:is>
      </x:c>
      <x:c r="G127" s="31" t="n">
        <x:v>12.5</x:v>
      </x:c>
      <x:c r="H127" s="31" t="inlineStr">
        <x:is>
          <x:t xml:space="preserve">Нет</x:t>
        </x:is>
      </x:c>
      <x:c r="I127" s="31" t="inlineStr">
        <x:is>
          <x:t xml:space="preserve">Нет</x:t>
        </x:is>
      </x:c>
      <x:c r="J127" s="31" t="inlineStr">
        <x:is>
          <x:t xml:space="preserve">Версия 6</x:t>
        </x:is>
      </x:c>
    </x:row>
    <x:row r="128" ht="18" customHeight="1">
      <x:c r="A128" s="31" t="inlineStr">
        <x:is>
          <x:t xml:space="preserve">МАР-0127</x:t>
        </x:is>
      </x:c>
      <x:c r="B128" s="31" t="inlineStr">
        <x:is>
          <x:t xml:space="preserve">ИЗД-017</x:t>
        </x:is>
      </x:c>
      <x:c r="C128" s="31" t="n">
        <x:v>30</x:v>
      </x:c>
      <x:c r="D128" s="31" t="inlineStr">
        <x:is>
          <x:t xml:space="preserve">Сварка рамы</x:t>
        </x:is>
      </x:c>
      <x:c r="E128" s="31" t="inlineStr">
        <x:is>
          <x:t xml:space="preserve">Сварка</x:t>
        </x:is>
      </x:c>
      <x:c r="F128" s="31" t="inlineStr">
        <x:is>
          <x:t xml:space="preserve">ОБ-003</x:t>
        </x:is>
      </x:c>
      <x:c r="G128" s="31" t="n">
        <x:v>4.9</x:v>
      </x:c>
      <x:c r="H128" s="31" t="inlineStr">
        <x:is>
          <x:t xml:space="preserve">Нет</x:t>
        </x:is>
      </x:c>
      <x:c r="I128" s="31" t="inlineStr">
        <x:is>
          <x:t xml:space="preserve">Да</x:t>
        </x:is>
      </x:c>
      <x:c r="J128" s="31" t="inlineStr">
        <x:is>
          <x:t xml:space="preserve">Версия 6</x:t>
        </x:is>
      </x:c>
    </x:row>
    <x:row r="129" ht="18" customHeight="1">
      <x:c r="A129" s="31" t="inlineStr">
        <x:is>
          <x:t xml:space="preserve">МАР-0128</x:t>
        </x:is>
      </x:c>
      <x:c r="B129" s="31" t="inlineStr">
        <x:is>
          <x:t xml:space="preserve">ИЗД-017</x:t>
        </x:is>
      </x:c>
      <x:c r="C129" s="31" t="n">
        <x:v>40</x:v>
      </x:c>
      <x:c r="D129" s="31" t="inlineStr">
        <x:is>
          <x:t xml:space="preserve">Сборка</x:t>
        </x:is>
      </x:c>
      <x:c r="E129" s="31" t="inlineStr">
        <x:is>
          <x:t xml:space="preserve">Сборка</x:t>
        </x:is>
      </x:c>
      <x:c r="F129" s="31" t="inlineStr">
        <x:is>
          <x:t xml:space="preserve">ОБ-016</x:t>
        </x:is>
      </x:c>
      <x:c r="G129" s="31" t="n">
        <x:v>16.6</x:v>
      </x:c>
      <x:c r="H129" s="31" t="inlineStr">
        <x:is>
          <x:t xml:space="preserve">Нет</x:t>
        </x:is>
      </x:c>
      <x:c r="I129" s="31" t="inlineStr">
        <x:is>
          <x:t xml:space="preserve">Да</x:t>
        </x:is>
      </x:c>
      <x:c r="J129" s="31" t="inlineStr">
        <x:is>
          <x:t xml:space="preserve">Версия 6</x:t>
        </x:is>
      </x:c>
    </x:row>
    <x:row r="130" ht="18" customHeight="1">
      <x:c r="A130" s="31" t="inlineStr">
        <x:is>
          <x:t xml:space="preserve">МАР-0129</x:t>
        </x:is>
      </x:c>
      <x:c r="B130" s="31" t="inlineStr">
        <x:is>
          <x:t xml:space="preserve">ИЗД-017</x:t>
        </x:is>
      </x:c>
      <x:c r="C130" s="31" t="n">
        <x:v>50</x:v>
      </x:c>
      <x:c r="D130" s="31" t="inlineStr">
        <x:is>
          <x:t xml:space="preserve">Обвязка труб</x:t>
        </x:is>
      </x:c>
      <x:c r="E130" s="31" t="inlineStr">
        <x:is>
          <x:t xml:space="preserve">Сборка</x:t>
        </x:is>
      </x:c>
      <x:c r="F130" s="31" t="inlineStr">
        <x:is>
          <x:t xml:space="preserve">ОБ-012</x:t>
        </x:is>
      </x:c>
      <x:c r="G130" s="31" t="n">
        <x:v>3.5</x:v>
      </x:c>
      <x:c r="H130" s="31" t="inlineStr">
        <x:is>
          <x:t xml:space="preserve">Да</x:t>
        </x:is>
      </x:c>
      <x:c r="I130" s="31" t="inlineStr">
        <x:is>
          <x:t xml:space="preserve">Нет</x:t>
        </x:is>
      </x:c>
      <x:c r="J130" s="31" t="inlineStr">
        <x:is>
          <x:t xml:space="preserve">Версия 6</x:t>
        </x:is>
      </x:c>
    </x:row>
    <x:row r="131" ht="18" customHeight="1">
      <x:c r="A131" s="31" t="inlineStr">
        <x:is>
          <x:t xml:space="preserve">МАР-0130</x:t>
        </x:is>
      </x:c>
      <x:c r="B131" s="31" t="inlineStr">
        <x:is>
          <x:t xml:space="preserve">ИЗД-017</x:t>
        </x:is>
      </x:c>
      <x:c r="C131" s="31" t="n">
        <x:v>60</x:v>
      </x:c>
      <x:c r="D131" s="31" t="inlineStr">
        <x:is>
          <x:t xml:space="preserve">Электромонтаж</x:t>
        </x:is>
      </x:c>
      <x:c r="E131" s="31" t="inlineStr">
        <x:is>
          <x:t xml:space="preserve">Сборка</x:t>
        </x:is>
      </x:c>
      <x:c r="F131" s="31" t="inlineStr">
        <x:is>
          <x:t xml:space="preserve">ОБ-034</x:t>
        </x:is>
      </x:c>
      <x:c r="G131" s="31" t="n">
        <x:v>13.2</x:v>
      </x:c>
      <x:c r="H131" s="31" t="inlineStr">
        <x:is>
          <x:t xml:space="preserve">Да</x:t>
        </x:is>
      </x:c>
      <x:c r="I131" s="31" t="inlineStr">
        <x:is>
          <x:t xml:space="preserve">Нет</x:t>
        </x:is>
      </x:c>
      <x:c r="J131" s="31" t="inlineStr">
        <x:is>
          <x:t xml:space="preserve">Версия 6</x:t>
        </x:is>
      </x:c>
    </x:row>
    <x:row r="132" ht="18" customHeight="1">
      <x:c r="A132" s="31" t="inlineStr">
        <x:is>
          <x:t xml:space="preserve">МАР-0131</x:t>
        </x:is>
      </x:c>
      <x:c r="B132" s="31" t="inlineStr">
        <x:is>
          <x:t xml:space="preserve">ИЗД-017</x:t>
        </x:is>
      </x:c>
      <x:c r="C132" s="31" t="n">
        <x:v>70</x:v>
      </x:c>
      <x:c r="D132" s="31" t="inlineStr">
        <x:is>
          <x:t xml:space="preserve">Гидроиспытания</x:t>
        </x:is>
      </x:c>
      <x:c r="E132" s="31" t="inlineStr">
        <x:is>
          <x:t xml:space="preserve">ОТК</x:t>
        </x:is>
      </x:c>
      <x:c r="F132" s="31" t="inlineStr">
        <x:is>
          <x:t xml:space="preserve">ОБ-001</x:t>
        </x:is>
      </x:c>
      <x:c r="G132" s="31" t="n">
        <x:v>11.8</x:v>
      </x:c>
      <x:c r="H132" s="31" t="inlineStr">
        <x:is>
          <x:t xml:space="preserve">Да</x:t>
        </x:is>
      </x:c>
      <x:c r="I132" s="31" t="inlineStr">
        <x:is>
          <x:t xml:space="preserve">Нет</x:t>
        </x:is>
      </x:c>
      <x:c r="J132" s="31" t="inlineStr">
        <x:is>
          <x:t xml:space="preserve">Версия 6</x:t>
        </x:is>
      </x:c>
    </x:row>
    <x:row r="133" ht="18" customHeight="1">
      <x:c r="A133" s="31" t="inlineStr">
        <x:is>
          <x:t xml:space="preserve">МАР-0132</x:t>
        </x:is>
      </x:c>
      <x:c r="B133" s="31" t="inlineStr">
        <x:is>
          <x:t xml:space="preserve">ИЗД-017</x:t>
        </x:is>
      </x:c>
      <x:c r="C133" s="31" t="n">
        <x:v>80</x:v>
      </x:c>
      <x:c r="D133" s="31" t="inlineStr">
        <x:is>
          <x:t xml:space="preserve">ОТК</x:t>
        </x:is>
      </x:c>
      <x:c r="E133" s="31" t="inlineStr">
        <x:is>
          <x:t xml:space="preserve">ОТК</x:t>
        </x:is>
      </x:c>
      <x:c r="F133" s="31" t="inlineStr">
        <x:is>
          <x:t xml:space="preserve">ОБ-024</x:t>
        </x:is>
      </x:c>
      <x:c r="G133" s="31" t="n">
        <x:v>8.1</x:v>
      </x:c>
      <x:c r="H133" s="31" t="inlineStr">
        <x:is>
          <x:t xml:space="preserve">Нет</x:t>
        </x:is>
      </x:c>
      <x:c r="I133" s="31" t="inlineStr">
        <x:is>
          <x:t xml:space="preserve">Нет</x:t>
        </x:is>
      </x:c>
      <x:c r="J133" s="31" t="inlineStr">
        <x:is>
          <x:t xml:space="preserve">Версия 6</x:t>
        </x:is>
      </x:c>
    </x:row>
    <x:row r="134" ht="18" customHeight="1">
      <x:c r="A134" s="31" t="inlineStr">
        <x:is>
          <x:t xml:space="preserve">МАР-0133</x:t>
        </x:is>
      </x:c>
      <x:c r="B134" s="31" t="inlineStr">
        <x:is>
          <x:t xml:space="preserve">ИЗД-017</x:t>
        </x:is>
      </x:c>
      <x:c r="C134" s="31" t="n">
        <x:v>90</x:v>
      </x:c>
      <x:c r="D134" s="31" t="inlineStr">
        <x:is>
          <x:t xml:space="preserve">Упаковка</x:t>
        </x:is>
      </x:c>
      <x:c r="E134" s="31" t="inlineStr">
        <x:is>
          <x:t xml:space="preserve">Логистика</x:t>
        </x:is>
      </x:c>
      <x:c r="F134" s="31" t="n"/>
      <x:c r="G134" s="31" t="n">
        <x:v>16.4</x:v>
      </x:c>
      <x:c r="H134" s="31" t="inlineStr">
        <x:is>
          <x:t xml:space="preserve">Да</x:t>
        </x:is>
      </x:c>
      <x:c r="I134" s="31" t="inlineStr">
        <x:is>
          <x:t xml:space="preserve">Нет</x:t>
        </x:is>
      </x:c>
      <x:c r="J134" s="31" t="inlineStr">
        <x:is>
          <x:t xml:space="preserve">Версия 6</x:t>
        </x:is>
      </x:c>
    </x:row>
    <x:row r="135" ht="18" customHeight="1">
      <x:c r="A135" s="31" t="inlineStr">
        <x:is>
          <x:t xml:space="preserve">МАР-0134</x:t>
        </x:is>
      </x:c>
      <x:c r="B135" s="31" t="inlineStr">
        <x:is>
          <x:t xml:space="preserve">ИЗД-018</x:t>
        </x:is>
      </x:c>
      <x:c r="C135" s="31" t="n">
        <x:v>10</x:v>
      </x:c>
      <x:c r="D135" s="31" t="inlineStr">
        <x:is>
          <x:t xml:space="preserve">КД</x:t>
        </x:is>
      </x:c>
      <x:c r="E135" s="31" t="inlineStr">
        <x:is>
          <x:t xml:space="preserve">Инженерный отдел</x:t>
        </x:is>
      </x:c>
      <x:c r="F135" s="31" t="n"/>
      <x:c r="G135" s="31" t="n">
        <x:v>2.3</x:v>
      </x:c>
      <x:c r="H135" s="31" t="inlineStr">
        <x:is>
          <x:t xml:space="preserve">Нет</x:t>
        </x:is>
      </x:c>
      <x:c r="I135" s="31" t="inlineStr">
        <x:is>
          <x:t xml:space="preserve">Нет</x:t>
        </x:is>
      </x:c>
      <x:c r="J135" s="31" t="inlineStr">
        <x:is>
          <x:t xml:space="preserve">Версия 2</x:t>
        </x:is>
      </x:c>
    </x:row>
    <x:row r="136" ht="18" customHeight="1">
      <x:c r="A136" s="31" t="inlineStr">
        <x:is>
          <x:t xml:space="preserve">МАР-0135</x:t>
        </x:is>
      </x:c>
      <x:c r="B136" s="31" t="inlineStr">
        <x:is>
          <x:t xml:space="preserve">ИЗД-018</x:t>
        </x:is>
      </x:c>
      <x:c r="C136" s="31" t="n">
        <x:v>20</x:v>
      </x:c>
      <x:c r="D136" s="31" t="inlineStr">
        <x:is>
          <x:t xml:space="preserve">Комплектация</x:t>
        </x:is>
      </x:c>
      <x:c r="E136" s="31" t="inlineStr">
        <x:is>
          <x:t xml:space="preserve">Склад</x:t>
        </x:is>
      </x:c>
      <x:c r="F136" s="31" t="inlineStr">
        <x:is>
          <x:t xml:space="preserve">ОБ-009</x:t>
        </x:is>
      </x:c>
      <x:c r="G136" s="31" t="n">
        <x:v>5.6</x:v>
      </x:c>
      <x:c r="H136" s="31" t="inlineStr">
        <x:is>
          <x:t xml:space="preserve">Нет</x:t>
        </x:is>
      </x:c>
      <x:c r="I136" s="31" t="inlineStr">
        <x:is>
          <x:t xml:space="preserve">Нет</x:t>
        </x:is>
      </x:c>
      <x:c r="J136" s="31" t="inlineStr">
        <x:is>
          <x:t xml:space="preserve">Версия 2</x:t>
        </x:is>
      </x:c>
    </x:row>
    <x:row r="137" ht="18" customHeight="1">
      <x:c r="A137" s="31" t="inlineStr">
        <x:is>
          <x:t xml:space="preserve">МАР-0136</x:t>
        </x:is>
      </x:c>
      <x:c r="B137" s="31" t="inlineStr">
        <x:is>
          <x:t xml:space="preserve">ИЗД-018</x:t>
        </x:is>
      </x:c>
      <x:c r="C137" s="31" t="n">
        <x:v>30</x:v>
      </x:c>
      <x:c r="D137" s="31" t="inlineStr">
        <x:is>
          <x:t xml:space="preserve">Сборка шкафа</x:t>
        </x:is>
      </x:c>
      <x:c r="E137" s="31" t="inlineStr">
        <x:is>
          <x:t xml:space="preserve">Сборка</x:t>
        </x:is>
      </x:c>
      <x:c r="F137" s="31" t="inlineStr">
        <x:is>
          <x:t xml:space="preserve">ОБ-034</x:t>
        </x:is>
      </x:c>
      <x:c r="G137" s="31" t="n">
        <x:v>2.2</x:v>
      </x:c>
      <x:c r="H137" s="31" t="inlineStr">
        <x:is>
          <x:t xml:space="preserve">Нет</x:t>
        </x:is>
      </x:c>
      <x:c r="I137" s="31" t="inlineStr">
        <x:is>
          <x:t xml:space="preserve">Нет</x:t>
        </x:is>
      </x:c>
      <x:c r="J137" s="31" t="inlineStr">
        <x:is>
          <x:t xml:space="preserve">Версия 2</x:t>
        </x:is>
      </x:c>
    </x:row>
    <x:row r="138" ht="18" customHeight="1">
      <x:c r="A138" s="31" t="inlineStr">
        <x:is>
          <x:t xml:space="preserve">МАР-0137</x:t>
        </x:is>
      </x:c>
      <x:c r="B138" s="31" t="inlineStr">
        <x:is>
          <x:t xml:space="preserve">ИЗД-018</x:t>
        </x:is>
      </x:c>
      <x:c r="C138" s="31" t="n">
        <x:v>40</x:v>
      </x:c>
      <x:c r="D138" s="31" t="inlineStr">
        <x:is>
          <x:t xml:space="preserve">Маркировка</x:t>
        </x:is>
      </x:c>
      <x:c r="E138" s="31" t="inlineStr">
        <x:is>
          <x:t xml:space="preserve">Сборка</x:t>
        </x:is>
      </x:c>
      <x:c r="F138" s="31" t="inlineStr">
        <x:is>
          <x:t xml:space="preserve">ОБ-016</x:t>
        </x:is>
      </x:c>
      <x:c r="G138" s="31" t="n">
        <x:v>8.6</x:v>
      </x:c>
      <x:c r="H138" s="31" t="inlineStr">
        <x:is>
          <x:t xml:space="preserve">Нет</x:t>
        </x:is>
      </x:c>
      <x:c r="I138" s="31" t="inlineStr">
        <x:is>
          <x:t xml:space="preserve">Нет</x:t>
        </x:is>
      </x:c>
      <x:c r="J138" s="31" t="inlineStr">
        <x:is>
          <x:t xml:space="preserve">Версия 2</x:t>
        </x:is>
      </x:c>
    </x:row>
    <x:row r="139" ht="18" customHeight="1">
      <x:c r="A139" s="31" t="inlineStr">
        <x:is>
          <x:t xml:space="preserve">МАР-0138</x:t>
        </x:is>
      </x:c>
      <x:c r="B139" s="31" t="inlineStr">
        <x:is>
          <x:t xml:space="preserve">ИЗД-018</x:t>
        </x:is>
      </x:c>
      <x:c r="C139" s="31" t="n">
        <x:v>50</x:v>
      </x:c>
      <x:c r="D139" s="31" t="inlineStr">
        <x:is>
          <x:t xml:space="preserve">Электромонтаж</x:t>
        </x:is>
      </x:c>
      <x:c r="E139" s="31" t="inlineStr">
        <x:is>
          <x:t xml:space="preserve">Сборка</x:t>
        </x:is>
      </x:c>
      <x:c r="F139" s="31" t="inlineStr">
        <x:is>
          <x:t xml:space="preserve">ОБ-017</x:t>
        </x:is>
      </x:c>
      <x:c r="G139" s="31" t="n">
        <x:v>3.9</x:v>
      </x:c>
      <x:c r="H139" s="31" t="inlineStr">
        <x:is>
          <x:t xml:space="preserve">Нет</x:t>
        </x:is>
      </x:c>
      <x:c r="I139" s="31" t="inlineStr">
        <x:is>
          <x:t xml:space="preserve">Нет</x:t>
        </x:is>
      </x:c>
      <x:c r="J139" s="31" t="inlineStr">
        <x:is>
          <x:t xml:space="preserve">Версия 2</x:t>
        </x:is>
      </x:c>
    </x:row>
    <x:row r="140" ht="18" customHeight="1">
      <x:c r="A140" s="31" t="inlineStr">
        <x:is>
          <x:t xml:space="preserve">МАР-0139</x:t>
        </x:is>
      </x:c>
      <x:c r="B140" s="31" t="inlineStr">
        <x:is>
          <x:t xml:space="preserve">ИЗД-018</x:t>
        </x:is>
      </x:c>
      <x:c r="C140" s="31" t="n">
        <x:v>60</x:v>
      </x:c>
      <x:c r="D140" s="31" t="inlineStr">
        <x:is>
          <x:t xml:space="preserve">Программирование ПЛК</x:t>
        </x:is>
      </x:c>
      <x:c r="E140" s="31" t="inlineStr">
        <x:is>
          <x:t xml:space="preserve">Инженерный отдел</x:t>
        </x:is>
      </x:c>
      <x:c r="F140" s="31" t="n"/>
      <x:c r="G140" s="31" t="n">
        <x:v>6.5</x:v>
      </x:c>
      <x:c r="H140" s="31" t="inlineStr">
        <x:is>
          <x:t xml:space="preserve">Нет</x:t>
        </x:is>
      </x:c>
      <x:c r="I140" s="31" t="inlineStr">
        <x:is>
          <x:t xml:space="preserve">Нет</x:t>
        </x:is>
      </x:c>
      <x:c r="J140" s="31" t="inlineStr">
        <x:is>
          <x:t xml:space="preserve">Версия 2</x:t>
        </x:is>
      </x:c>
    </x:row>
    <x:row r="141" ht="18" customHeight="1">
      <x:c r="A141" s="31" t="inlineStr">
        <x:is>
          <x:t xml:space="preserve">МАР-0140</x:t>
        </x:is>
      </x:c>
      <x:c r="B141" s="31" t="inlineStr">
        <x:is>
          <x:t xml:space="preserve">ИЗД-018</x:t>
        </x:is>
      </x:c>
      <x:c r="C141" s="31" t="n">
        <x:v>70</x:v>
      </x:c>
      <x:c r="D141" s="31" t="inlineStr">
        <x:is>
          <x:t xml:space="preserve">Приемочные испытания</x:t>
        </x:is>
      </x:c>
      <x:c r="E141" s="31" t="inlineStr">
        <x:is>
          <x:t xml:space="preserve">ОТК</x:t>
        </x:is>
      </x:c>
      <x:c r="F141" s="31" t="inlineStr">
        <x:is>
          <x:t xml:space="preserve">ОБ-033</x:t>
        </x:is>
      </x:c>
      <x:c r="G141" s="31" t="n">
        <x:v>9.9</x:v>
      </x:c>
      <x:c r="H141" s="31" t="inlineStr">
        <x:is>
          <x:t xml:space="preserve">Нет</x:t>
        </x:is>
      </x:c>
      <x:c r="I141" s="31" t="inlineStr">
        <x:is>
          <x:t xml:space="preserve">Нет</x:t>
        </x:is>
      </x:c>
      <x:c r="J141" s="31" t="inlineStr">
        <x:is>
          <x:t xml:space="preserve">Версия 2</x:t>
        </x:is>
      </x:c>
    </x:row>
    <x:row r="142" ht="18" customHeight="1">
      <x:c r="A142" s="31" t="inlineStr">
        <x:is>
          <x:t xml:space="preserve">МАР-0141</x:t>
        </x:is>
      </x:c>
      <x:c r="B142" s="31" t="inlineStr">
        <x:is>
          <x:t xml:space="preserve">ИЗД-018</x:t>
        </x:is>
      </x:c>
      <x:c r="C142" s="31" t="n">
        <x:v>80</x:v>
      </x:c>
      <x:c r="D142" s="31" t="inlineStr">
        <x:is>
          <x:t xml:space="preserve">ОТК</x:t>
        </x:is>
      </x:c>
      <x:c r="E142" s="31" t="inlineStr">
        <x:is>
          <x:t xml:space="preserve">ОТК</x:t>
        </x:is>
      </x:c>
      <x:c r="F142" s="31" t="inlineStr">
        <x:is>
          <x:t xml:space="preserve">ОБ-006</x:t>
        </x:is>
      </x:c>
      <x:c r="G142" s="31" t="n">
        <x:v>3.1</x:v>
      </x:c>
      <x:c r="H142" s="31" t="inlineStr">
        <x:is>
          <x:t xml:space="preserve">Да</x:t>
        </x:is>
      </x:c>
      <x:c r="I142" s="31" t="inlineStr">
        <x:is>
          <x:t xml:space="preserve">Нет</x:t>
        </x:is>
      </x:c>
      <x:c r="J142" s="31" t="inlineStr">
        <x:is>
          <x:t xml:space="preserve">Версия 2</x:t>
        </x:is>
      </x:c>
    </x:row>
    <x:row r="143" ht="18" customHeight="1">
      <x:c r="A143" s="31" t="inlineStr">
        <x:is>
          <x:t xml:space="preserve">МАР-0142</x:t>
        </x:is>
      </x:c>
      <x:c r="B143" s="31" t="inlineStr">
        <x:is>
          <x:t xml:space="preserve">ИЗД-018</x:t>
        </x:is>
      </x:c>
      <x:c r="C143" s="31" t="n">
        <x:v>90</x:v>
      </x:c>
      <x:c r="D143" s="31" t="inlineStr">
        <x:is>
          <x:t xml:space="preserve">Упаковка</x:t>
        </x:is>
      </x:c>
      <x:c r="E143" s="31" t="inlineStr">
        <x:is>
          <x:t xml:space="preserve">Логистика</x:t>
        </x:is>
      </x:c>
      <x:c r="F143" s="31" t="n"/>
      <x:c r="G143" s="31" t="n">
        <x:v>2.3</x:v>
      </x:c>
      <x:c r="H143" s="31" t="inlineStr">
        <x:is>
          <x:t xml:space="preserve">Нет</x:t>
        </x:is>
      </x:c>
      <x:c r="I143" s="31" t="inlineStr">
        <x:is>
          <x:t xml:space="preserve">Нет</x:t>
        </x:is>
      </x:c>
      <x:c r="J143" s="31" t="inlineStr">
        <x:is>
          <x:t xml:space="preserve">Версия 2</x:t>
        </x:is>
      </x:c>
    </x:row>
    <x:row r="144" ht="18" customHeight="1">
      <x:c r="A144" s="31" t="inlineStr">
        <x:is>
          <x:t xml:space="preserve">МАР-0143</x:t>
        </x:is>
      </x:c>
      <x:c r="B144" s="31" t="inlineStr">
        <x:is>
          <x:t xml:space="preserve">ИЗД-019</x:t>
        </x:is>
      </x:c>
      <x:c r="C144" s="31" t="n">
        <x:v>10</x:v>
      </x:c>
      <x:c r="D144" s="31" t="inlineStr">
        <x:is>
          <x:t xml:space="preserve">КД</x:t>
        </x:is>
      </x:c>
      <x:c r="E144" s="31" t="inlineStr">
        <x:is>
          <x:t xml:space="preserve">Инженерный отдел</x:t>
        </x:is>
      </x:c>
      <x:c r="F144" s="31" t="n"/>
      <x:c r="G144" s="31" t="n">
        <x:v>8.4</x:v>
      </x:c>
      <x:c r="H144" s="31" t="inlineStr">
        <x:is>
          <x:t xml:space="preserve">Нет</x:t>
        </x:is>
      </x:c>
      <x:c r="I144" s="31" t="inlineStr">
        <x:is>
          <x:t xml:space="preserve">Нет</x:t>
        </x:is>
      </x:c>
      <x:c r="J144" s="31" t="inlineStr">
        <x:is>
          <x:t xml:space="preserve">Версия 4</x:t>
        </x:is>
      </x:c>
    </x:row>
    <x:row r="145" ht="18" customHeight="1">
      <x:c r="A145" s="31" t="inlineStr">
        <x:is>
          <x:t xml:space="preserve">МАР-0144</x:t>
        </x:is>
      </x:c>
      <x:c r="B145" s="31" t="inlineStr">
        <x:is>
          <x:t xml:space="preserve">ИЗД-019</x:t>
        </x:is>
      </x:c>
      <x:c r="C145" s="31" t="n">
        <x:v>20</x:v>
      </x:c>
      <x:c r="D145" s="31" t="inlineStr">
        <x:is>
          <x:t xml:space="preserve">Резерв материалов</x:t>
        </x:is>
      </x:c>
      <x:c r="E145" s="31" t="inlineStr">
        <x:is>
          <x:t xml:space="preserve">Склад</x:t>
        </x:is>
      </x:c>
      <x:c r="F145" s="31" t="inlineStr">
        <x:is>
          <x:t xml:space="preserve">ОБ-009</x:t>
        </x:is>
      </x:c>
      <x:c r="G145" s="31" t="n">
        <x:v>5</x:v>
      </x:c>
      <x:c r="H145" s="31" t="inlineStr">
        <x:is>
          <x:t xml:space="preserve">Да</x:t>
        </x:is>
      </x:c>
      <x:c r="I145" s="31" t="inlineStr">
        <x:is>
          <x:t xml:space="preserve">Нет</x:t>
        </x:is>
      </x:c>
      <x:c r="J145" s="31" t="inlineStr">
        <x:is>
          <x:t xml:space="preserve">Версия 4</x:t>
        </x:is>
      </x:c>
    </x:row>
    <x:row r="146" ht="18" customHeight="1">
      <x:c r="A146" s="31" t="inlineStr">
        <x:is>
          <x:t xml:space="preserve">МАР-0145</x:t>
        </x:is>
      </x:c>
      <x:c r="B146" s="31" t="inlineStr">
        <x:is>
          <x:t xml:space="preserve">ИЗД-019</x:t>
        </x:is>
      </x:c>
      <x:c r="C146" s="31" t="n">
        <x:v>30</x:v>
      </x:c>
      <x:c r="D146" s="31" t="inlineStr">
        <x:is>
          <x:t xml:space="preserve">Резка металла</x:t>
        </x:is>
      </x:c>
      <x:c r="E146" s="31" t="inlineStr">
        <x:is>
          <x:t xml:space="preserve">Сварка</x:t>
        </x:is>
      </x:c>
      <x:c r="F146" s="31" t="inlineStr">
        <x:is>
          <x:t xml:space="preserve">ОБ-004</x:t>
        </x:is>
      </x:c>
      <x:c r="G146" s="31" t="n">
        <x:v>2.9</x:v>
      </x:c>
      <x:c r="H146" s="31" t="inlineStr">
        <x:is>
          <x:t xml:space="preserve">Нет</x:t>
        </x:is>
      </x:c>
      <x:c r="I146" s="31" t="inlineStr">
        <x:is>
          <x:t xml:space="preserve">Нет</x:t>
        </x:is>
      </x:c>
      <x:c r="J146" s="31" t="inlineStr">
        <x:is>
          <x:t xml:space="preserve">Версия 4</x:t>
        </x:is>
      </x:c>
    </x:row>
    <x:row r="147" ht="18" customHeight="1">
      <x:c r="A147" s="31" t="inlineStr">
        <x:is>
          <x:t xml:space="preserve">МАР-0146</x:t>
        </x:is>
      </x:c>
      <x:c r="B147" s="31" t="inlineStr">
        <x:is>
          <x:t xml:space="preserve">ИЗД-019</x:t>
        </x:is>
      </x:c>
      <x:c r="C147" s="31" t="n">
        <x:v>40</x:v>
      </x:c>
      <x:c r="D147" s="31" t="inlineStr">
        <x:is>
          <x:t xml:space="preserve">Сварка рамы</x:t>
        </x:is>
      </x:c>
      <x:c r="E147" s="31" t="inlineStr">
        <x:is>
          <x:t xml:space="preserve">Сварка</x:t>
        </x:is>
      </x:c>
      <x:c r="F147" s="31" t="inlineStr">
        <x:is>
          <x:t xml:space="preserve">ОБ-003</x:t>
        </x:is>
      </x:c>
      <x:c r="G147" s="31" t="n">
        <x:v>3.2</x:v>
      </x:c>
      <x:c r="H147" s="31" t="inlineStr">
        <x:is>
          <x:t xml:space="preserve">Да</x:t>
        </x:is>
      </x:c>
      <x:c r="I147" s="31" t="inlineStr">
        <x:is>
          <x:t xml:space="preserve">Нет</x:t>
        </x:is>
      </x:c>
      <x:c r="J147" s="31" t="inlineStr">
        <x:is>
          <x:t xml:space="preserve">Версия 4</x:t>
        </x:is>
      </x:c>
    </x:row>
    <x:row r="148" ht="18" customHeight="1">
      <x:c r="A148" s="31" t="inlineStr">
        <x:is>
          <x:t xml:space="preserve">МАР-0147</x:t>
        </x:is>
      </x:c>
      <x:c r="B148" s="31" t="inlineStr">
        <x:is>
          <x:t xml:space="preserve">ИЗД-019</x:t>
        </x:is>
      </x:c>
      <x:c r="C148" s="31" t="n">
        <x:v>50</x:v>
      </x:c>
      <x:c r="D148" s="31" t="inlineStr">
        <x:is>
          <x:t xml:space="preserve">Механообработка</x:t>
        </x:is>
      </x:c>
      <x:c r="E148" s="31" t="inlineStr">
        <x:is>
          <x:t xml:space="preserve">Механообработка</x:t>
        </x:is>
      </x:c>
      <x:c r="F148" s="31" t="inlineStr">
        <x:is>
          <x:t xml:space="preserve">ОБ-031</x:t>
        </x:is>
      </x:c>
      <x:c r="G148" s="31" t="n">
        <x:v>3.7</x:v>
      </x:c>
      <x:c r="H148" s="31" t="inlineStr">
        <x:is>
          <x:t xml:space="preserve">Нет</x:t>
        </x:is>
      </x:c>
      <x:c r="I148" s="31" t="inlineStr">
        <x:is>
          <x:t xml:space="preserve">Да</x:t>
        </x:is>
      </x:c>
      <x:c r="J148" s="31" t="inlineStr">
        <x:is>
          <x:t xml:space="preserve">Версия 4</x:t>
        </x:is>
      </x:c>
    </x:row>
    <x:row r="149" ht="18" customHeight="1">
      <x:c r="A149" s="31" t="inlineStr">
        <x:is>
          <x:t xml:space="preserve">МАР-0148</x:t>
        </x:is>
      </x:c>
      <x:c r="B149" s="31" t="inlineStr">
        <x:is>
          <x:t xml:space="preserve">ИЗД-019</x:t>
        </x:is>
      </x:c>
      <x:c r="C149" s="31" t="n">
        <x:v>60</x:v>
      </x:c>
      <x:c r="D149" s="31" t="inlineStr">
        <x:is>
          <x:t xml:space="preserve">Сборка</x:t>
        </x:is>
      </x:c>
      <x:c r="E149" s="31" t="inlineStr">
        <x:is>
          <x:t xml:space="preserve">Сборка</x:t>
        </x:is>
      </x:c>
      <x:c r="F149" s="31" t="inlineStr">
        <x:is>
          <x:t xml:space="preserve">ОБ-017</x:t>
        </x:is>
      </x:c>
      <x:c r="G149" s="31" t="n">
        <x:v>2.1</x:v>
      </x:c>
      <x:c r="H149" s="31" t="inlineStr">
        <x:is>
          <x:t xml:space="preserve">Нет</x:t>
        </x:is>
      </x:c>
      <x:c r="I149" s="31" t="inlineStr">
        <x:is>
          <x:t xml:space="preserve">Нет</x:t>
        </x:is>
      </x:c>
      <x:c r="J149" s="31" t="inlineStr">
        <x:is>
          <x:t xml:space="preserve">Версия 4</x:t>
        </x:is>
      </x:c>
    </x:row>
    <x:row r="150" ht="18" customHeight="1">
      <x:c r="A150" s="31" t="inlineStr">
        <x:is>
          <x:t xml:space="preserve">МАР-0149</x:t>
        </x:is>
      </x:c>
      <x:c r="B150" s="31" t="inlineStr">
        <x:is>
          <x:t xml:space="preserve">ИЗД-019</x:t>
        </x:is>
      </x:c>
      <x:c r="C150" s="31" t="n">
        <x:v>70</x:v>
      </x:c>
      <x:c r="D150" s="31" t="inlineStr">
        <x:is>
          <x:t xml:space="preserve">Электромонтаж</x:t>
        </x:is>
      </x:c>
      <x:c r="E150" s="31" t="inlineStr">
        <x:is>
          <x:t xml:space="preserve">Сборка</x:t>
        </x:is>
      </x:c>
      <x:c r="F150" s="31" t="inlineStr">
        <x:is>
          <x:t xml:space="preserve">ОБ-027</x:t>
        </x:is>
      </x:c>
      <x:c r="G150" s="31" t="n">
        <x:v>4.4</x:v>
      </x:c>
      <x:c r="H150" s="31" t="inlineStr">
        <x:is>
          <x:t xml:space="preserve">Нет</x:t>
        </x:is>
      </x:c>
      <x:c r="I150" s="31" t="inlineStr">
        <x:is>
          <x:t xml:space="preserve">Нет</x:t>
        </x:is>
      </x:c>
      <x:c r="J150" s="31" t="inlineStr">
        <x:is>
          <x:t xml:space="preserve">Версия 4</x:t>
        </x:is>
      </x:c>
    </x:row>
    <x:row r="151" ht="18" customHeight="1">
      <x:c r="A151" s="31" t="inlineStr">
        <x:is>
          <x:t xml:space="preserve">МАР-0150</x:t>
        </x:is>
      </x:c>
      <x:c r="B151" s="31" t="inlineStr">
        <x:is>
          <x:t xml:space="preserve">ИЗД-019</x:t>
        </x:is>
      </x:c>
      <x:c r="C151" s="31" t="n">
        <x:v>80</x:v>
      </x:c>
      <x:c r="D151" s="31" t="inlineStr">
        <x:is>
          <x:t xml:space="preserve">Гидроиспытания</x:t>
        </x:is>
      </x:c>
      <x:c r="E151" s="31" t="inlineStr">
        <x:is>
          <x:t xml:space="preserve">ОТК</x:t>
        </x:is>
      </x:c>
      <x:c r="F151" s="31" t="inlineStr">
        <x:is>
          <x:t xml:space="preserve">ОБ-028</x:t>
        </x:is>
      </x:c>
      <x:c r="G151" s="31" t="n">
        <x:v>4.4</x:v>
      </x:c>
      <x:c r="H151" s="31" t="inlineStr">
        <x:is>
          <x:t xml:space="preserve">Нет</x:t>
        </x:is>
      </x:c>
      <x:c r="I151" s="31" t="inlineStr">
        <x:is>
          <x:t xml:space="preserve">Нет</x:t>
        </x:is>
      </x:c>
      <x:c r="J151" s="31" t="inlineStr">
        <x:is>
          <x:t xml:space="preserve">Версия 4</x:t>
        </x:is>
      </x:c>
    </x:row>
    <x:row r="152" ht="18" customHeight="1">
      <x:c r="A152" s="31" t="inlineStr">
        <x:is>
          <x:t xml:space="preserve">МАР-0151</x:t>
        </x:is>
      </x:c>
      <x:c r="B152" s="31" t="inlineStr">
        <x:is>
          <x:t xml:space="preserve">ИЗД-019</x:t>
        </x:is>
      </x:c>
      <x:c r="C152" s="31" t="n">
        <x:v>90</x:v>
      </x:c>
      <x:c r="D152" s="31" t="inlineStr">
        <x:is>
          <x:t xml:space="preserve">ОТК</x:t>
        </x:is>
      </x:c>
      <x:c r="E152" s="31" t="inlineStr">
        <x:is>
          <x:t xml:space="preserve">ОТК</x:t>
        </x:is>
      </x:c>
      <x:c r="F152" s="31" t="inlineStr">
        <x:is>
          <x:t xml:space="preserve">ОБ-024</x:t>
        </x:is>
      </x:c>
      <x:c r="G152" s="31" t="n">
        <x:v>3.3</x:v>
      </x:c>
      <x:c r="H152" s="31" t="inlineStr">
        <x:is>
          <x:t xml:space="preserve">Нет</x:t>
        </x:is>
      </x:c>
      <x:c r="I152" s="31" t="inlineStr">
        <x:is>
          <x:t xml:space="preserve">Да</x:t>
        </x:is>
      </x:c>
      <x:c r="J152" s="31" t="inlineStr">
        <x:is>
          <x:t xml:space="preserve">Версия 4</x:t>
        </x:is>
      </x:c>
    </x:row>
    <x:row r="153" ht="18" customHeight="1">
      <x:c r="A153" s="31" t="inlineStr">
        <x:is>
          <x:t xml:space="preserve">МАР-0152</x:t>
        </x:is>
      </x:c>
      <x:c r="B153" s="31" t="inlineStr">
        <x:is>
          <x:t xml:space="preserve">ИЗД-019</x:t>
        </x:is>
      </x:c>
      <x:c r="C153" s="31" t="n">
        <x:v>100</x:v>
      </x:c>
      <x:c r="D153" s="31" t="inlineStr">
        <x:is>
          <x:t xml:space="preserve">Упаковка</x:t>
        </x:is>
      </x:c>
      <x:c r="E153" s="31" t="inlineStr">
        <x:is>
          <x:t xml:space="preserve">Логистика</x:t>
        </x:is>
      </x:c>
      <x:c r="F153" s="31" t="n"/>
      <x:c r="G153" s="31" t="n">
        <x:v>4.7</x:v>
      </x:c>
      <x:c r="H153" s="31" t="inlineStr">
        <x:is>
          <x:t xml:space="preserve">Нет</x:t>
        </x:is>
      </x:c>
      <x:c r="I153" s="31" t="inlineStr">
        <x:is>
          <x:t xml:space="preserve">Нет</x:t>
        </x:is>
      </x:c>
      <x:c r="J153" s="31" t="inlineStr">
        <x:is>
          <x:t xml:space="preserve">Версия 4</x:t>
        </x:is>
      </x:c>
    </x:row>
    <x:row r="154" ht="18" customHeight="1">
      <x:c r="A154" s="31" t="inlineStr">
        <x:is>
          <x:t xml:space="preserve">МАР-0153</x:t>
        </x:is>
      </x:c>
      <x:c r="B154" s="31" t="inlineStr">
        <x:is>
          <x:t xml:space="preserve">ИЗД-020</x:t>
        </x:is>
      </x:c>
      <x:c r="C154" s="31" t="n">
        <x:v>10</x:v>
      </x:c>
      <x:c r="D154" s="31" t="inlineStr">
        <x:is>
          <x:t xml:space="preserve">КД</x:t>
        </x:is>
      </x:c>
      <x:c r="E154" s="31" t="inlineStr">
        <x:is>
          <x:t xml:space="preserve">Инженерный отдел</x:t>
        </x:is>
      </x:c>
      <x:c r="F154" s="31" t="n"/>
      <x:c r="G154" s="31" t="n">
        <x:v>7.1</x:v>
      </x:c>
      <x:c r="H154" s="31" t="inlineStr">
        <x:is>
          <x:t xml:space="preserve">Да</x:t>
        </x:is>
      </x:c>
      <x:c r="I154" s="31" t="inlineStr">
        <x:is>
          <x:t xml:space="preserve">Нет</x:t>
        </x:is>
      </x:c>
      <x:c r="J154" s="31" t="inlineStr">
        <x:is>
          <x:t xml:space="preserve">Версия 5</x:t>
        </x:is>
      </x:c>
    </x:row>
    <x:row r="155" ht="18" customHeight="1">
      <x:c r="A155" s="31" t="inlineStr">
        <x:is>
          <x:t xml:space="preserve">МАР-0154</x:t>
        </x:is>
      </x:c>
      <x:c r="B155" s="31" t="inlineStr">
        <x:is>
          <x:t xml:space="preserve">ИЗД-020</x:t>
        </x:is>
      </x:c>
      <x:c r="C155" s="31" t="n">
        <x:v>20</x:v>
      </x:c>
      <x:c r="D155" s="31" t="inlineStr">
        <x:is>
          <x:t xml:space="preserve">Резка труб</x:t>
        </x:is>
      </x:c>
      <x:c r="E155" s="31" t="inlineStr">
        <x:is>
          <x:t xml:space="preserve">Сварка</x:t>
        </x:is>
      </x:c>
      <x:c r="F155" s="31" t="inlineStr">
        <x:is>
          <x:t xml:space="preserve">ОБ-021</x:t>
        </x:is>
      </x:c>
      <x:c r="G155" s="31" t="n">
        <x:v>4.6</x:v>
      </x:c>
      <x:c r="H155" s="31" t="inlineStr">
        <x:is>
          <x:t xml:space="preserve">Да</x:t>
        </x:is>
      </x:c>
      <x:c r="I155" s="31" t="inlineStr">
        <x:is>
          <x:t xml:space="preserve">Нет</x:t>
        </x:is>
      </x:c>
      <x:c r="J155" s="31" t="inlineStr">
        <x:is>
          <x:t xml:space="preserve">Версия 5</x:t>
        </x:is>
      </x:c>
    </x:row>
    <x:row r="156" ht="18" customHeight="1">
      <x:c r="A156" s="31" t="inlineStr">
        <x:is>
          <x:t xml:space="preserve">МАР-0155</x:t>
        </x:is>
      </x:c>
      <x:c r="B156" s="31" t="inlineStr">
        <x:is>
          <x:t xml:space="preserve">ИЗД-020</x:t>
        </x:is>
      </x:c>
      <x:c r="C156" s="31" t="n">
        <x:v>30</x:v>
      </x:c>
      <x:c r="D156" s="31" t="inlineStr">
        <x:is>
          <x:t xml:space="preserve">Сварка</x:t>
        </x:is>
      </x:c>
      <x:c r="E156" s="31" t="inlineStr">
        <x:is>
          <x:t xml:space="preserve">Сварка</x:t>
        </x:is>
      </x:c>
      <x:c r="F156" s="31" t="inlineStr">
        <x:is>
          <x:t xml:space="preserve">ОБ-021</x:t>
        </x:is>
      </x:c>
      <x:c r="G156" s="31" t="n">
        <x:v>10.2</x:v>
      </x:c>
      <x:c r="H156" s="31" t="inlineStr">
        <x:is>
          <x:t xml:space="preserve">Нет</x:t>
        </x:is>
      </x:c>
      <x:c r="I156" s="31" t="inlineStr">
        <x:is>
          <x:t xml:space="preserve">Нет</x:t>
        </x:is>
      </x:c>
      <x:c r="J156" s="31" t="inlineStr">
        <x:is>
          <x:t xml:space="preserve">Версия 5</x:t>
        </x:is>
      </x:c>
    </x:row>
    <x:row r="157" ht="18" customHeight="1">
      <x:c r="A157" s="31" t="inlineStr">
        <x:is>
          <x:t xml:space="preserve">МАР-0156</x:t>
        </x:is>
      </x:c>
      <x:c r="B157" s="31" t="inlineStr">
        <x:is>
          <x:t xml:space="preserve">ИЗД-020</x:t>
        </x:is>
      </x:c>
      <x:c r="C157" s="31" t="n">
        <x:v>40</x:v>
      </x:c>
      <x:c r="D157" s="31" t="inlineStr">
        <x:is>
          <x:t xml:space="preserve">НК сварных швов</x:t>
        </x:is>
      </x:c>
      <x:c r="E157" s="31" t="inlineStr">
        <x:is>
          <x:t xml:space="preserve">ОТК</x:t>
        </x:is>
      </x:c>
      <x:c r="F157" s="31" t="inlineStr">
        <x:is>
          <x:t xml:space="preserve">ОБ-033</x:t>
        </x:is>
      </x:c>
      <x:c r="G157" s="31" t="n">
        <x:v>10.3</x:v>
      </x:c>
      <x:c r="H157" s="31" t="inlineStr">
        <x:is>
          <x:t xml:space="preserve">Нет</x:t>
        </x:is>
      </x:c>
      <x:c r="I157" s="31" t="inlineStr">
        <x:is>
          <x:t xml:space="preserve">Нет</x:t>
        </x:is>
      </x:c>
      <x:c r="J157" s="31" t="inlineStr">
        <x:is>
          <x:t xml:space="preserve">Версия 5</x:t>
        </x:is>
      </x:c>
    </x:row>
    <x:row r="158" ht="18" customHeight="1">
      <x:c r="A158" s="31" t="inlineStr">
        <x:is>
          <x:t xml:space="preserve">МАР-0157</x:t>
        </x:is>
      </x:c>
      <x:c r="B158" s="31" t="inlineStr">
        <x:is>
          <x:t xml:space="preserve">ИЗД-020</x:t>
        </x:is>
      </x:c>
      <x:c r="C158" s="31" t="n">
        <x:v>50</x:v>
      </x:c>
      <x:c r="D158" s="31" t="inlineStr">
        <x:is>
          <x:t xml:space="preserve">Гидроиспытания</x:t>
        </x:is>
      </x:c>
      <x:c r="E158" s="31" t="inlineStr">
        <x:is>
          <x:t xml:space="preserve">ОТК</x:t>
        </x:is>
      </x:c>
      <x:c r="F158" s="31" t="inlineStr">
        <x:is>
          <x:t xml:space="preserve">ОБ-015</x:t>
        </x:is>
      </x:c>
      <x:c r="G158" s="31" t="n">
        <x:v>2.3</x:v>
      </x:c>
      <x:c r="H158" s="31" t="inlineStr">
        <x:is>
          <x:t xml:space="preserve">Нет</x:t>
        </x:is>
      </x:c>
      <x:c r="I158" s="31" t="inlineStr">
        <x:is>
          <x:t xml:space="preserve">Нет</x:t>
        </x:is>
      </x:c>
      <x:c r="J158" s="31" t="inlineStr">
        <x:is>
          <x:t xml:space="preserve">Версия 5</x:t>
        </x:is>
      </x:c>
    </x:row>
    <x:row r="159" ht="18" customHeight="1">
      <x:c r="A159" s="31" t="inlineStr">
        <x:is>
          <x:t xml:space="preserve">МАР-0158</x:t>
        </x:is>
      </x:c>
      <x:c r="B159" s="31" t="inlineStr">
        <x:is>
          <x:t xml:space="preserve">ИЗД-020</x:t>
        </x:is>
      </x:c>
      <x:c r="C159" s="31" t="n">
        <x:v>60</x:v>
      </x:c>
      <x:c r="D159" s="31" t="inlineStr">
        <x:is>
          <x:t xml:space="preserve">Покраска</x:t>
        </x:is>
      </x:c>
      <x:c r="E159" s="31" t="inlineStr">
        <x:is>
          <x:t xml:space="preserve">Сварка</x:t>
        </x:is>
      </x:c>
      <x:c r="F159" s="31" t="inlineStr">
        <x:is>
          <x:t xml:space="preserve">ОБ-026</x:t>
        </x:is>
      </x:c>
      <x:c r="G159" s="31" t="n">
        <x:v>1.3</x:v>
      </x:c>
      <x:c r="H159" s="31" t="inlineStr">
        <x:is>
          <x:t xml:space="preserve">Да</x:t>
        </x:is>
      </x:c>
      <x:c r="I159" s="31" t="inlineStr">
        <x:is>
          <x:t xml:space="preserve">Нет</x:t>
        </x:is>
      </x:c>
      <x:c r="J159" s="31" t="inlineStr">
        <x:is>
          <x:t xml:space="preserve">Версия 5</x:t>
        </x:is>
      </x:c>
    </x:row>
    <x:row r="160" ht="18" customHeight="1">
      <x:c r="A160" s="31" t="inlineStr">
        <x:is>
          <x:t xml:space="preserve">МАР-0159</x:t>
        </x:is>
      </x:c>
      <x:c r="B160" s="31" t="inlineStr">
        <x:is>
          <x:t xml:space="preserve">ИЗД-020</x:t>
        </x:is>
      </x:c>
      <x:c r="C160" s="31" t="n">
        <x:v>70</x:v>
      </x:c>
      <x:c r="D160" s="31" t="inlineStr">
        <x:is>
          <x:t xml:space="preserve">ОТК</x:t>
        </x:is>
      </x:c>
      <x:c r="E160" s="31" t="inlineStr">
        <x:is>
          <x:t xml:space="preserve">ОТК</x:t>
        </x:is>
      </x:c>
      <x:c r="F160" s="31" t="inlineStr">
        <x:is>
          <x:t xml:space="preserve">ОБ-015</x:t>
        </x:is>
      </x:c>
      <x:c r="G160" s="31" t="n">
        <x:v>5.1</x:v>
      </x:c>
      <x:c r="H160" s="31" t="inlineStr">
        <x:is>
          <x:t xml:space="preserve">Нет</x:t>
        </x:is>
      </x:c>
      <x:c r="I160" s="31" t="inlineStr">
        <x:is>
          <x:t xml:space="preserve">Нет</x:t>
        </x:is>
      </x:c>
      <x:c r="J160" s="31" t="inlineStr">
        <x:is>
          <x:t xml:space="preserve">Версия 5</x:t>
        </x:is>
      </x:c>
    </x:row>
    <x:row r="161" ht="18" customHeight="1">
      <x:c r="A161" s="31" t="inlineStr">
        <x:is>
          <x:t xml:space="preserve">МАР-0160</x:t>
        </x:is>
      </x:c>
      <x:c r="B161" s="31" t="inlineStr">
        <x:is>
          <x:t xml:space="preserve">ИЗД-021</x:t>
        </x:is>
      </x:c>
      <x:c r="C161" s="31" t="n">
        <x:v>10</x:v>
      </x:c>
      <x:c r="D161" s="31" t="inlineStr">
        <x:is>
          <x:t xml:space="preserve">КД</x:t>
        </x:is>
      </x:c>
      <x:c r="E161" s="31" t="inlineStr">
        <x:is>
          <x:t xml:space="preserve">Инженерный отдел</x:t>
        </x:is>
      </x:c>
      <x:c r="F161" s="31" t="n"/>
      <x:c r="G161" s="31" t="n">
        <x:v>3.6</x:v>
      </x:c>
      <x:c r="H161" s="31" t="inlineStr">
        <x:is>
          <x:t xml:space="preserve">Нет</x:t>
        </x:is>
      </x:c>
      <x:c r="I161" s="31" t="inlineStr">
        <x:is>
          <x:t xml:space="preserve">Нет</x:t>
        </x:is>
      </x:c>
      <x:c r="J161" s="31" t="inlineStr">
        <x:is>
          <x:t xml:space="preserve">Версия 5</x:t>
        </x:is>
      </x:c>
    </x:row>
    <x:row r="162" ht="18" customHeight="1">
      <x:c r="A162" s="31" t="inlineStr">
        <x:is>
          <x:t xml:space="preserve">МАР-0161</x:t>
        </x:is>
      </x:c>
      <x:c r="B162" s="31" t="inlineStr">
        <x:is>
          <x:t xml:space="preserve">ИЗД-021</x:t>
        </x:is>
      </x:c>
      <x:c r="C162" s="31" t="n">
        <x:v>20</x:v>
      </x:c>
      <x:c r="D162" s="31" t="inlineStr">
        <x:is>
          <x:t xml:space="preserve">Резерв материалов</x:t>
        </x:is>
      </x:c>
      <x:c r="E162" s="31" t="inlineStr">
        <x:is>
          <x:t xml:space="preserve">Склад</x:t>
        </x:is>
      </x:c>
      <x:c r="F162" s="31" t="inlineStr">
        <x:is>
          <x:t xml:space="preserve">ОБ-023</x:t>
        </x:is>
      </x:c>
      <x:c r="G162" s="31" t="n">
        <x:v>17.7</x:v>
      </x:c>
      <x:c r="H162" s="31" t="inlineStr">
        <x:is>
          <x:t xml:space="preserve">Нет</x:t>
        </x:is>
      </x:c>
      <x:c r="I162" s="31" t="inlineStr">
        <x:is>
          <x:t xml:space="preserve">Нет</x:t>
        </x:is>
      </x:c>
      <x:c r="J162" s="31" t="inlineStr">
        <x:is>
          <x:t xml:space="preserve">Версия 5</x:t>
        </x:is>
      </x:c>
    </x:row>
    <x:row r="163" ht="18" customHeight="1">
      <x:c r="A163" s="31" t="inlineStr">
        <x:is>
          <x:t xml:space="preserve">МАР-0162</x:t>
        </x:is>
      </x:c>
      <x:c r="B163" s="31" t="inlineStr">
        <x:is>
          <x:t xml:space="preserve">ИЗД-021</x:t>
        </x:is>
      </x:c>
      <x:c r="C163" s="31" t="n">
        <x:v>30</x:v>
      </x:c>
      <x:c r="D163" s="31" t="inlineStr">
        <x:is>
          <x:t xml:space="preserve">Сварка рамы</x:t>
        </x:is>
      </x:c>
      <x:c r="E163" s="31" t="inlineStr">
        <x:is>
          <x:t xml:space="preserve">Сварка</x:t>
        </x:is>
      </x:c>
      <x:c r="F163" s="31" t="inlineStr">
        <x:is>
          <x:t xml:space="preserve">ОБ-010</x:t>
        </x:is>
      </x:c>
      <x:c r="G163" s="31" t="n">
        <x:v>17.5</x:v>
      </x:c>
      <x:c r="H163" s="31" t="inlineStr">
        <x:is>
          <x:t xml:space="preserve">Да</x:t>
        </x:is>
      </x:c>
      <x:c r="I163" s="31" t="inlineStr">
        <x:is>
          <x:t xml:space="preserve">Нет</x:t>
        </x:is>
      </x:c>
      <x:c r="J163" s="31" t="inlineStr">
        <x:is>
          <x:t xml:space="preserve">Версия 5</x:t>
        </x:is>
      </x:c>
    </x:row>
    <x:row r="164" ht="18" customHeight="1">
      <x:c r="A164" s="31" t="inlineStr">
        <x:is>
          <x:t xml:space="preserve">МАР-0163</x:t>
        </x:is>
      </x:c>
      <x:c r="B164" s="31" t="inlineStr">
        <x:is>
          <x:t xml:space="preserve">ИЗД-021</x:t>
        </x:is>
      </x:c>
      <x:c r="C164" s="31" t="n">
        <x:v>40</x:v>
      </x:c>
      <x:c r="D164" s="31" t="inlineStr">
        <x:is>
          <x:t xml:space="preserve">Сборка</x:t>
        </x:is>
      </x:c>
      <x:c r="E164" s="31" t="inlineStr">
        <x:is>
          <x:t xml:space="preserve">Сборка</x:t>
        </x:is>
      </x:c>
      <x:c r="F164" s="31" t="inlineStr">
        <x:is>
          <x:t xml:space="preserve">ОБ-034</x:t>
        </x:is>
      </x:c>
      <x:c r="G164" s="31" t="n">
        <x:v>14.5</x:v>
      </x:c>
      <x:c r="H164" s="31" t="inlineStr">
        <x:is>
          <x:t xml:space="preserve">Нет</x:t>
        </x:is>
      </x:c>
      <x:c r="I164" s="31" t="inlineStr">
        <x:is>
          <x:t xml:space="preserve">Нет</x:t>
        </x:is>
      </x:c>
      <x:c r="J164" s="31" t="inlineStr">
        <x:is>
          <x:t xml:space="preserve">Версия 5</x:t>
        </x:is>
      </x:c>
    </x:row>
    <x:row r="165" ht="18" customHeight="1">
      <x:c r="A165" s="31" t="inlineStr">
        <x:is>
          <x:t xml:space="preserve">МАР-0164</x:t>
        </x:is>
      </x:c>
      <x:c r="B165" s="31" t="inlineStr">
        <x:is>
          <x:t xml:space="preserve">ИЗД-021</x:t>
        </x:is>
      </x:c>
      <x:c r="C165" s="31" t="n">
        <x:v>50</x:v>
      </x:c>
      <x:c r="D165" s="31" t="inlineStr">
        <x:is>
          <x:t xml:space="preserve">Обвязка труб</x:t>
        </x:is>
      </x:c>
      <x:c r="E165" s="31" t="inlineStr">
        <x:is>
          <x:t xml:space="preserve">Сборка</x:t>
        </x:is>
      </x:c>
      <x:c r="F165" s="31" t="inlineStr">
        <x:is>
          <x:t xml:space="preserve">ОБ-005</x:t>
        </x:is>
      </x:c>
      <x:c r="G165" s="31" t="n">
        <x:v>15.1</x:v>
      </x:c>
      <x:c r="H165" s="31" t="inlineStr">
        <x:is>
          <x:t xml:space="preserve">Нет</x:t>
        </x:is>
      </x:c>
      <x:c r="I165" s="31" t="inlineStr">
        <x:is>
          <x:t xml:space="preserve">Нет</x:t>
        </x:is>
      </x:c>
      <x:c r="J165" s="31" t="inlineStr">
        <x:is>
          <x:t xml:space="preserve">Версия 5</x:t>
        </x:is>
      </x:c>
    </x:row>
    <x:row r="166" ht="18" customHeight="1">
      <x:c r="A166" s="31" t="inlineStr">
        <x:is>
          <x:t xml:space="preserve">МАР-0165</x:t>
        </x:is>
      </x:c>
      <x:c r="B166" s="31" t="inlineStr">
        <x:is>
          <x:t xml:space="preserve">ИЗД-021</x:t>
        </x:is>
      </x:c>
      <x:c r="C166" s="31" t="n">
        <x:v>60</x:v>
      </x:c>
      <x:c r="D166" s="31" t="inlineStr">
        <x:is>
          <x:t xml:space="preserve">Электромонтаж</x:t>
        </x:is>
      </x:c>
      <x:c r="E166" s="31" t="inlineStr">
        <x:is>
          <x:t xml:space="preserve">Сборка</x:t>
        </x:is>
      </x:c>
      <x:c r="F166" s="31" t="inlineStr">
        <x:is>
          <x:t xml:space="preserve">ОБ-012</x:t>
        </x:is>
      </x:c>
      <x:c r="G166" s="31" t="n">
        <x:v>13.5</x:v>
      </x:c>
      <x:c r="H166" s="31" t="inlineStr">
        <x:is>
          <x:t xml:space="preserve">Нет</x:t>
        </x:is>
      </x:c>
      <x:c r="I166" s="31" t="inlineStr">
        <x:is>
          <x:t xml:space="preserve">Да</x:t>
        </x:is>
      </x:c>
      <x:c r="J166" s="31" t="inlineStr">
        <x:is>
          <x:t xml:space="preserve">Версия 5</x:t>
        </x:is>
      </x:c>
    </x:row>
    <x:row r="167" ht="18" customHeight="1">
      <x:c r="A167" s="31" t="inlineStr">
        <x:is>
          <x:t xml:space="preserve">МАР-0166</x:t>
        </x:is>
      </x:c>
      <x:c r="B167" s="31" t="inlineStr">
        <x:is>
          <x:t xml:space="preserve">ИЗД-021</x:t>
        </x:is>
      </x:c>
      <x:c r="C167" s="31" t="n">
        <x:v>70</x:v>
      </x:c>
      <x:c r="D167" s="31" t="inlineStr">
        <x:is>
          <x:t xml:space="preserve">Гидроиспытания</x:t>
        </x:is>
      </x:c>
      <x:c r="E167" s="31" t="inlineStr">
        <x:is>
          <x:t xml:space="preserve">ОТК</x:t>
        </x:is>
      </x:c>
      <x:c r="F167" s="31" t="inlineStr">
        <x:is>
          <x:t xml:space="preserve">ОБ-032</x:t>
        </x:is>
      </x:c>
      <x:c r="G167" s="31" t="n">
        <x:v>8.4</x:v>
      </x:c>
      <x:c r="H167" s="31" t="inlineStr">
        <x:is>
          <x:t xml:space="preserve">Да</x:t>
        </x:is>
      </x:c>
      <x:c r="I167" s="31" t="inlineStr">
        <x:is>
          <x:t xml:space="preserve">Нет</x:t>
        </x:is>
      </x:c>
      <x:c r="J167" s="31" t="inlineStr">
        <x:is>
          <x:t xml:space="preserve">Версия 5</x:t>
        </x:is>
      </x:c>
    </x:row>
    <x:row r="168" ht="18" customHeight="1">
      <x:c r="A168" s="31" t="inlineStr">
        <x:is>
          <x:t xml:space="preserve">МАР-0167</x:t>
        </x:is>
      </x:c>
      <x:c r="B168" s="31" t="inlineStr">
        <x:is>
          <x:t xml:space="preserve">ИЗД-021</x:t>
        </x:is>
      </x:c>
      <x:c r="C168" s="31" t="n">
        <x:v>80</x:v>
      </x:c>
      <x:c r="D168" s="31" t="inlineStr">
        <x:is>
          <x:t xml:space="preserve">ОТК</x:t>
        </x:is>
      </x:c>
      <x:c r="E168" s="31" t="inlineStr">
        <x:is>
          <x:t xml:space="preserve">ОТК</x:t>
        </x:is>
      </x:c>
      <x:c r="F168" s="31" t="inlineStr">
        <x:is>
          <x:t xml:space="preserve">ОБ-033</x:t>
        </x:is>
      </x:c>
      <x:c r="G168" s="31" t="n">
        <x:v>2.4</x:v>
      </x:c>
      <x:c r="H168" s="31" t="inlineStr">
        <x:is>
          <x:t xml:space="preserve">Нет</x:t>
        </x:is>
      </x:c>
      <x:c r="I168" s="31" t="inlineStr">
        <x:is>
          <x:t xml:space="preserve">Нет</x:t>
        </x:is>
      </x:c>
      <x:c r="J168" s="31" t="inlineStr">
        <x:is>
          <x:t xml:space="preserve">Версия 5</x:t>
        </x:is>
      </x:c>
    </x:row>
    <x:row r="169" ht="18" customHeight="1">
      <x:c r="A169" s="31" t="inlineStr">
        <x:is>
          <x:t xml:space="preserve">МАР-0168</x:t>
        </x:is>
      </x:c>
      <x:c r="B169" s="31" t="inlineStr">
        <x:is>
          <x:t xml:space="preserve">ИЗД-021</x:t>
        </x:is>
      </x:c>
      <x:c r="C169" s="31" t="n">
        <x:v>90</x:v>
      </x:c>
      <x:c r="D169" s="31" t="inlineStr">
        <x:is>
          <x:t xml:space="preserve">Упаковка</x:t>
        </x:is>
      </x:c>
      <x:c r="E169" s="31" t="inlineStr">
        <x:is>
          <x:t xml:space="preserve">Логистика</x:t>
        </x:is>
      </x:c>
      <x:c r="F169" s="31" t="n"/>
      <x:c r="G169" s="31" t="n">
        <x:v>17.2</x:v>
      </x:c>
      <x:c r="H169" s="31" t="inlineStr">
        <x:is>
          <x:t xml:space="preserve">Да</x:t>
        </x:is>
      </x:c>
      <x:c r="I169" s="31" t="inlineStr">
        <x:is>
          <x:t xml:space="preserve">Нет</x:t>
        </x:is>
      </x:c>
      <x:c r="J169" s="31" t="inlineStr">
        <x:is>
          <x:t xml:space="preserve">Версия 5</x:t>
        </x:is>
      </x:c>
    </x:row>
    <x:row r="170" ht="18" customHeight="1">
      <x:c r="A170" s="31" t="inlineStr">
        <x:is>
          <x:t xml:space="preserve">МАР-0169</x:t>
        </x:is>
      </x:c>
      <x:c r="B170" s="31" t="inlineStr">
        <x:is>
          <x:t xml:space="preserve">ИЗД-022</x:t>
        </x:is>
      </x:c>
      <x:c r="C170" s="31" t="n">
        <x:v>10</x:v>
      </x:c>
      <x:c r="D170" s="31" t="inlineStr">
        <x:is>
          <x:t xml:space="preserve">КД</x:t>
        </x:is>
      </x:c>
      <x:c r="E170" s="31" t="inlineStr">
        <x:is>
          <x:t xml:space="preserve">Инженерный отдел</x:t>
        </x:is>
      </x:c>
      <x:c r="F170" s="31" t="n"/>
      <x:c r="G170" s="31" t="n">
        <x:v>9.199999999999999</x:v>
      </x:c>
      <x:c r="H170" s="31" t="inlineStr">
        <x:is>
          <x:t xml:space="preserve">Да</x:t>
        </x:is>
      </x:c>
      <x:c r="I170" s="31" t="inlineStr">
        <x:is>
          <x:t xml:space="preserve">Нет</x:t>
        </x:is>
      </x:c>
      <x:c r="J170" s="31" t="inlineStr">
        <x:is>
          <x:t xml:space="preserve">Версия 5</x:t>
        </x:is>
      </x:c>
    </x:row>
    <x:row r="171" ht="18" customHeight="1">
      <x:c r="A171" s="31" t="inlineStr">
        <x:is>
          <x:t xml:space="preserve">МАР-0170</x:t>
        </x:is>
      </x:c>
      <x:c r="B171" s="31" t="inlineStr">
        <x:is>
          <x:t xml:space="preserve">ИЗД-022</x:t>
        </x:is>
      </x:c>
      <x:c r="C171" s="31" t="n">
        <x:v>20</x:v>
      </x:c>
      <x:c r="D171" s="31" t="inlineStr">
        <x:is>
          <x:t xml:space="preserve">Резерв материалов</x:t>
        </x:is>
      </x:c>
      <x:c r="E171" s="31" t="inlineStr">
        <x:is>
          <x:t xml:space="preserve">Склад</x:t>
        </x:is>
      </x:c>
      <x:c r="F171" s="31" t="inlineStr">
        <x:is>
          <x:t xml:space="preserve">ОБ-009</x:t>
        </x:is>
      </x:c>
      <x:c r="G171" s="31" t="n">
        <x:v>8</x:v>
      </x:c>
      <x:c r="H171" s="31" t="inlineStr">
        <x:is>
          <x:t xml:space="preserve">Нет</x:t>
        </x:is>
      </x:c>
      <x:c r="I171" s="31" t="inlineStr">
        <x:is>
          <x:t xml:space="preserve">Нет</x:t>
        </x:is>
      </x:c>
      <x:c r="J171" s="31" t="inlineStr">
        <x:is>
          <x:t xml:space="preserve">Версия 5</x:t>
        </x:is>
      </x:c>
    </x:row>
    <x:row r="172" ht="18" customHeight="1">
      <x:c r="A172" s="31" t="inlineStr">
        <x:is>
          <x:t xml:space="preserve">МАР-0171</x:t>
        </x:is>
      </x:c>
      <x:c r="B172" s="31" t="inlineStr">
        <x:is>
          <x:t xml:space="preserve">ИЗД-022</x:t>
        </x:is>
      </x:c>
      <x:c r="C172" s="31" t="n">
        <x:v>30</x:v>
      </x:c>
      <x:c r="D172" s="31" t="inlineStr">
        <x:is>
          <x:t xml:space="preserve">Сварка рамы</x:t>
        </x:is>
      </x:c>
      <x:c r="E172" s="31" t="inlineStr">
        <x:is>
          <x:t xml:space="preserve">Сварка</x:t>
        </x:is>
      </x:c>
      <x:c r="F172" s="31" t="inlineStr">
        <x:is>
          <x:t xml:space="preserve">ОБ-021</x:t>
        </x:is>
      </x:c>
      <x:c r="G172" s="31" t="n">
        <x:v>4</x:v>
      </x:c>
      <x:c r="H172" s="31" t="inlineStr">
        <x:is>
          <x:t xml:space="preserve">Нет</x:t>
        </x:is>
      </x:c>
      <x:c r="I172" s="31" t="inlineStr">
        <x:is>
          <x:t xml:space="preserve">Нет</x:t>
        </x:is>
      </x:c>
      <x:c r="J172" s="31" t="inlineStr">
        <x:is>
          <x:t xml:space="preserve">Версия 5</x:t>
        </x:is>
      </x:c>
    </x:row>
    <x:row r="173" ht="18" customHeight="1">
      <x:c r="A173" s="31" t="inlineStr">
        <x:is>
          <x:t xml:space="preserve">МАР-0172</x:t>
        </x:is>
      </x:c>
      <x:c r="B173" s="31" t="inlineStr">
        <x:is>
          <x:t xml:space="preserve">ИЗД-022</x:t>
        </x:is>
      </x:c>
      <x:c r="C173" s="31" t="n">
        <x:v>40</x:v>
      </x:c>
      <x:c r="D173" s="31" t="inlineStr">
        <x:is>
          <x:t xml:space="preserve">Сборка</x:t>
        </x:is>
      </x:c>
      <x:c r="E173" s="31" t="inlineStr">
        <x:is>
          <x:t xml:space="preserve">Сборка</x:t>
        </x:is>
      </x:c>
      <x:c r="F173" s="31" t="inlineStr">
        <x:is>
          <x:t xml:space="preserve">ОБ-012</x:t>
        </x:is>
      </x:c>
      <x:c r="G173" s="31" t="n">
        <x:v>4</x:v>
      </x:c>
      <x:c r="H173" s="31" t="inlineStr">
        <x:is>
          <x:t xml:space="preserve">Нет</x:t>
        </x:is>
      </x:c>
      <x:c r="I173" s="31" t="inlineStr">
        <x:is>
          <x:t xml:space="preserve">Да</x:t>
        </x:is>
      </x:c>
      <x:c r="J173" s="31" t="inlineStr">
        <x:is>
          <x:t xml:space="preserve">Версия 5</x:t>
        </x:is>
      </x:c>
    </x:row>
    <x:row r="174" ht="18" customHeight="1">
      <x:c r="A174" s="31" t="inlineStr">
        <x:is>
          <x:t xml:space="preserve">МАР-0173</x:t>
        </x:is>
      </x:c>
      <x:c r="B174" s="31" t="inlineStr">
        <x:is>
          <x:t xml:space="preserve">ИЗД-022</x:t>
        </x:is>
      </x:c>
      <x:c r="C174" s="31" t="n">
        <x:v>50</x:v>
      </x:c>
      <x:c r="D174" s="31" t="inlineStr">
        <x:is>
          <x:t xml:space="preserve">Обвязка труб</x:t>
        </x:is>
      </x:c>
      <x:c r="E174" s="31" t="inlineStr">
        <x:is>
          <x:t xml:space="preserve">Сборка</x:t>
        </x:is>
      </x:c>
      <x:c r="F174" s="31" t="inlineStr">
        <x:is>
          <x:t xml:space="preserve">ОБ-034</x:t>
        </x:is>
      </x:c>
      <x:c r="G174" s="31" t="n">
        <x:v>7.9</x:v>
      </x:c>
      <x:c r="H174" s="31" t="inlineStr">
        <x:is>
          <x:t xml:space="preserve">Да</x:t>
        </x:is>
      </x:c>
      <x:c r="I174" s="31" t="inlineStr">
        <x:is>
          <x:t xml:space="preserve">Нет</x:t>
        </x:is>
      </x:c>
      <x:c r="J174" s="31" t="inlineStr">
        <x:is>
          <x:t xml:space="preserve">Версия 5</x:t>
        </x:is>
      </x:c>
    </x:row>
    <x:row r="175" ht="18" customHeight="1">
      <x:c r="A175" s="31" t="inlineStr">
        <x:is>
          <x:t xml:space="preserve">МАР-0174</x:t>
        </x:is>
      </x:c>
      <x:c r="B175" s="31" t="inlineStr">
        <x:is>
          <x:t xml:space="preserve">ИЗД-022</x:t>
        </x:is>
      </x:c>
      <x:c r="C175" s="31" t="n">
        <x:v>60</x:v>
      </x:c>
      <x:c r="D175" s="31" t="inlineStr">
        <x:is>
          <x:t xml:space="preserve">Электромонтаж</x:t>
        </x:is>
      </x:c>
      <x:c r="E175" s="31" t="inlineStr">
        <x:is>
          <x:t xml:space="preserve">Сборка</x:t>
        </x:is>
      </x:c>
      <x:c r="F175" s="31" t="inlineStr">
        <x:is>
          <x:t xml:space="preserve">ОБ-016</x:t>
        </x:is>
      </x:c>
      <x:c r="G175" s="31" t="n">
        <x:v>7</x:v>
      </x:c>
      <x:c r="H175" s="31" t="inlineStr">
        <x:is>
          <x:t xml:space="preserve">Да</x:t>
        </x:is>
      </x:c>
      <x:c r="I175" s="31" t="inlineStr">
        <x:is>
          <x:t xml:space="preserve">Нет</x:t>
        </x:is>
      </x:c>
      <x:c r="J175" s="31" t="inlineStr">
        <x:is>
          <x:t xml:space="preserve">Версия 5</x:t>
        </x:is>
      </x:c>
    </x:row>
    <x:row r="176" ht="18" customHeight="1">
      <x:c r="A176" s="31" t="inlineStr">
        <x:is>
          <x:t xml:space="preserve">МАР-0175</x:t>
        </x:is>
      </x:c>
      <x:c r="B176" s="31" t="inlineStr">
        <x:is>
          <x:t xml:space="preserve">ИЗД-022</x:t>
        </x:is>
      </x:c>
      <x:c r="C176" s="31" t="n">
        <x:v>70</x:v>
      </x:c>
      <x:c r="D176" s="31" t="inlineStr">
        <x:is>
          <x:t xml:space="preserve">Гидроиспытания</x:t>
        </x:is>
      </x:c>
      <x:c r="E176" s="31" t="inlineStr">
        <x:is>
          <x:t xml:space="preserve">ОТК</x:t>
        </x:is>
      </x:c>
      <x:c r="F176" s="31" t="inlineStr">
        <x:is>
          <x:t xml:space="preserve">ОБ-013</x:t>
        </x:is>
      </x:c>
      <x:c r="G176" s="31" t="n">
        <x:v>4.1</x:v>
      </x:c>
      <x:c r="H176" s="31" t="inlineStr">
        <x:is>
          <x:t xml:space="preserve">Да</x:t>
        </x:is>
      </x:c>
      <x:c r="I176" s="31" t="inlineStr">
        <x:is>
          <x:t xml:space="preserve">Нет</x:t>
        </x:is>
      </x:c>
      <x:c r="J176" s="31" t="inlineStr">
        <x:is>
          <x:t xml:space="preserve">Версия 5</x:t>
        </x:is>
      </x:c>
    </x:row>
    <x:row r="177" ht="18" customHeight="1">
      <x:c r="A177" s="31" t="inlineStr">
        <x:is>
          <x:t xml:space="preserve">МАР-0176</x:t>
        </x:is>
      </x:c>
      <x:c r="B177" s="31" t="inlineStr">
        <x:is>
          <x:t xml:space="preserve">ИЗД-022</x:t>
        </x:is>
      </x:c>
      <x:c r="C177" s="31" t="n">
        <x:v>80</x:v>
      </x:c>
      <x:c r="D177" s="31" t="inlineStr">
        <x:is>
          <x:t xml:space="preserve">ОТК</x:t>
        </x:is>
      </x:c>
      <x:c r="E177" s="31" t="inlineStr">
        <x:is>
          <x:t xml:space="preserve">ОТК</x:t>
        </x:is>
      </x:c>
      <x:c r="F177" s="31" t="inlineStr">
        <x:is>
          <x:t xml:space="preserve">ОБ-032</x:t>
        </x:is>
      </x:c>
      <x:c r="G177" s="31" t="n">
        <x:v>10.8</x:v>
      </x:c>
      <x:c r="H177" s="31" t="inlineStr">
        <x:is>
          <x:t xml:space="preserve">Нет</x:t>
        </x:is>
      </x:c>
      <x:c r="I177" s="31" t="inlineStr">
        <x:is>
          <x:t xml:space="preserve">Нет</x:t>
        </x:is>
      </x:c>
      <x:c r="J177" s="31" t="inlineStr">
        <x:is>
          <x:t xml:space="preserve">Версия 5</x:t>
        </x:is>
      </x:c>
    </x:row>
    <x:row r="178" ht="18" customHeight="1">
      <x:c r="A178" s="31" t="inlineStr">
        <x:is>
          <x:t xml:space="preserve">МАР-0177</x:t>
        </x:is>
      </x:c>
      <x:c r="B178" s="31" t="inlineStr">
        <x:is>
          <x:t xml:space="preserve">ИЗД-022</x:t>
        </x:is>
      </x:c>
      <x:c r="C178" s="31" t="n">
        <x:v>90</x:v>
      </x:c>
      <x:c r="D178" s="31" t="inlineStr">
        <x:is>
          <x:t xml:space="preserve">Упаковка</x:t>
        </x:is>
      </x:c>
      <x:c r="E178" s="31" t="inlineStr">
        <x:is>
          <x:t xml:space="preserve">Логистика</x:t>
        </x:is>
      </x:c>
      <x:c r="F178" s="31" t="n"/>
      <x:c r="G178" s="31" t="n">
        <x:v>6.2</x:v>
      </x:c>
      <x:c r="H178" s="31" t="inlineStr">
        <x:is>
          <x:t xml:space="preserve">Нет</x:t>
        </x:is>
      </x:c>
      <x:c r="I178" s="31" t="inlineStr">
        <x:is>
          <x:t xml:space="preserve">Да</x:t>
        </x:is>
      </x:c>
      <x:c r="J178" s="31" t="inlineStr">
        <x:is>
          <x:t xml:space="preserve">Версия 5</x:t>
        </x:is>
      </x:c>
    </x:row>
    <x:row r="179" ht="18" customHeight="1">
      <x:c r="A179" s="31" t="inlineStr">
        <x:is>
          <x:t xml:space="preserve">МАР-0178</x:t>
        </x:is>
      </x:c>
      <x:c r="B179" s="31" t="inlineStr">
        <x:is>
          <x:t xml:space="preserve">ИЗД-023</x:t>
        </x:is>
      </x:c>
      <x:c r="C179" s="31" t="n">
        <x:v>10</x:v>
      </x:c>
      <x:c r="D179" s="31" t="inlineStr">
        <x:is>
          <x:t xml:space="preserve">КД</x:t>
        </x:is>
      </x:c>
      <x:c r="E179" s="31" t="inlineStr">
        <x:is>
          <x:t xml:space="preserve">Инженерный отдел</x:t>
        </x:is>
      </x:c>
      <x:c r="F179" s="31" t="n"/>
      <x:c r="G179" s="31" t="n">
        <x:v>2.5</x:v>
      </x:c>
      <x:c r="H179" s="31" t="inlineStr">
        <x:is>
          <x:t xml:space="preserve">Нет</x:t>
        </x:is>
      </x:c>
      <x:c r="I179" s="31" t="inlineStr">
        <x:is>
          <x:t xml:space="preserve">Нет</x:t>
        </x:is>
      </x:c>
      <x:c r="J179" s="31" t="inlineStr">
        <x:is>
          <x:t xml:space="preserve">Версия 6</x:t>
        </x:is>
      </x:c>
    </x:row>
    <x:row r="180" ht="18" customHeight="1">
      <x:c r="A180" s="31" t="inlineStr">
        <x:is>
          <x:t xml:space="preserve">МАР-0179</x:t>
        </x:is>
      </x:c>
      <x:c r="B180" s="31" t="inlineStr">
        <x:is>
          <x:t xml:space="preserve">ИЗД-023</x:t>
        </x:is>
      </x:c>
      <x:c r="C180" s="31" t="n">
        <x:v>20</x:v>
      </x:c>
      <x:c r="D180" s="31" t="inlineStr">
        <x:is>
          <x:t xml:space="preserve">Комплектация</x:t>
        </x:is>
      </x:c>
      <x:c r="E180" s="31" t="inlineStr">
        <x:is>
          <x:t xml:space="preserve">Склад</x:t>
        </x:is>
      </x:c>
      <x:c r="F180" s="31" t="inlineStr">
        <x:is>
          <x:t xml:space="preserve">ОБ-025</x:t>
        </x:is>
      </x:c>
      <x:c r="G180" s="31" t="n">
        <x:v>12.1</x:v>
      </x:c>
      <x:c r="H180" s="31" t="inlineStr">
        <x:is>
          <x:t xml:space="preserve">Нет</x:t>
        </x:is>
      </x:c>
      <x:c r="I180" s="31" t="inlineStr">
        <x:is>
          <x:t xml:space="preserve">Нет</x:t>
        </x:is>
      </x:c>
      <x:c r="J180" s="31" t="inlineStr">
        <x:is>
          <x:t xml:space="preserve">Версия 6</x:t>
        </x:is>
      </x:c>
    </x:row>
    <x:row r="181" ht="18" customHeight="1">
      <x:c r="A181" s="31" t="inlineStr">
        <x:is>
          <x:t xml:space="preserve">МАР-0180</x:t>
        </x:is>
      </x:c>
      <x:c r="B181" s="31" t="inlineStr">
        <x:is>
          <x:t xml:space="preserve">ИЗД-023</x:t>
        </x:is>
      </x:c>
      <x:c r="C181" s="31" t="n">
        <x:v>30</x:v>
      </x:c>
      <x:c r="D181" s="31" t="inlineStr">
        <x:is>
          <x:t xml:space="preserve">Сборка шкафа</x:t>
        </x:is>
      </x:c>
      <x:c r="E181" s="31" t="inlineStr">
        <x:is>
          <x:t xml:space="preserve">Сборка</x:t>
        </x:is>
      </x:c>
      <x:c r="F181" s="31" t="inlineStr">
        <x:is>
          <x:t xml:space="preserve">ОБ-017</x:t>
        </x:is>
      </x:c>
      <x:c r="G181" s="31" t="n">
        <x:v>9.4</x:v>
      </x:c>
      <x:c r="H181" s="31" t="inlineStr">
        <x:is>
          <x:t xml:space="preserve">Нет</x:t>
        </x:is>
      </x:c>
      <x:c r="I181" s="31" t="inlineStr">
        <x:is>
          <x:t xml:space="preserve">Нет</x:t>
        </x:is>
      </x:c>
      <x:c r="J181" s="31" t="inlineStr">
        <x:is>
          <x:t xml:space="preserve">Версия 6</x:t>
        </x:is>
      </x:c>
    </x:row>
    <x:row r="182" ht="18" customHeight="1">
      <x:c r="A182" s="31" t="inlineStr">
        <x:is>
          <x:t xml:space="preserve">МАР-0181</x:t>
        </x:is>
      </x:c>
      <x:c r="B182" s="31" t="inlineStr">
        <x:is>
          <x:t xml:space="preserve">ИЗД-023</x:t>
        </x:is>
      </x:c>
      <x:c r="C182" s="31" t="n">
        <x:v>40</x:v>
      </x:c>
      <x:c r="D182" s="31" t="inlineStr">
        <x:is>
          <x:t xml:space="preserve">Маркировка</x:t>
        </x:is>
      </x:c>
      <x:c r="E182" s="31" t="inlineStr">
        <x:is>
          <x:t xml:space="preserve">Сборка</x:t>
        </x:is>
      </x:c>
      <x:c r="F182" s="31" t="inlineStr">
        <x:is>
          <x:t xml:space="preserve">ОБ-034</x:t>
        </x:is>
      </x:c>
      <x:c r="G182" s="31" t="n">
        <x:v>14.1</x:v>
      </x:c>
      <x:c r="H182" s="31" t="inlineStr">
        <x:is>
          <x:t xml:space="preserve">Да</x:t>
        </x:is>
      </x:c>
      <x:c r="I182" s="31" t="inlineStr">
        <x:is>
          <x:t xml:space="preserve">Нет</x:t>
        </x:is>
      </x:c>
      <x:c r="J182" s="31" t="inlineStr">
        <x:is>
          <x:t xml:space="preserve">Версия 6</x:t>
        </x:is>
      </x:c>
    </x:row>
    <x:row r="183" ht="18" customHeight="1">
      <x:c r="A183" s="31" t="inlineStr">
        <x:is>
          <x:t xml:space="preserve">МАР-0182</x:t>
        </x:is>
      </x:c>
      <x:c r="B183" s="31" t="inlineStr">
        <x:is>
          <x:t xml:space="preserve">ИЗД-023</x:t>
        </x:is>
      </x:c>
      <x:c r="C183" s="31" t="n">
        <x:v>50</x:v>
      </x:c>
      <x:c r="D183" s="31" t="inlineStr">
        <x:is>
          <x:t xml:space="preserve">Электромонтаж</x:t>
        </x:is>
      </x:c>
      <x:c r="E183" s="31" t="inlineStr">
        <x:is>
          <x:t xml:space="preserve">Сборка</x:t>
        </x:is>
      </x:c>
      <x:c r="F183" s="31" t="inlineStr">
        <x:is>
          <x:t xml:space="preserve">ОБ-012</x:t>
        </x:is>
      </x:c>
      <x:c r="G183" s="31" t="n">
        <x:v>15.1</x:v>
      </x:c>
      <x:c r="H183" s="31" t="inlineStr">
        <x:is>
          <x:t xml:space="preserve">Да</x:t>
        </x:is>
      </x:c>
      <x:c r="I183" s="31" t="inlineStr">
        <x:is>
          <x:t xml:space="preserve">Нет</x:t>
        </x:is>
      </x:c>
      <x:c r="J183" s="31" t="inlineStr">
        <x:is>
          <x:t xml:space="preserve">Версия 6</x:t>
        </x:is>
      </x:c>
    </x:row>
    <x:row r="184" ht="18" customHeight="1">
      <x:c r="A184" s="31" t="inlineStr">
        <x:is>
          <x:t xml:space="preserve">МАР-0183</x:t>
        </x:is>
      </x:c>
      <x:c r="B184" s="31" t="inlineStr">
        <x:is>
          <x:t xml:space="preserve">ИЗД-023</x:t>
        </x:is>
      </x:c>
      <x:c r="C184" s="31" t="n">
        <x:v>60</x:v>
      </x:c>
      <x:c r="D184" s="31" t="inlineStr">
        <x:is>
          <x:t xml:space="preserve">Программирование ПЛК</x:t>
        </x:is>
      </x:c>
      <x:c r="E184" s="31" t="inlineStr">
        <x:is>
          <x:t xml:space="preserve">Инженерный отдел</x:t>
        </x:is>
      </x:c>
      <x:c r="F184" s="31" t="n"/>
      <x:c r="G184" s="31" t="n">
        <x:v>13.9</x:v>
      </x:c>
      <x:c r="H184" s="31" t="inlineStr">
        <x:is>
          <x:t xml:space="preserve">Да</x:t>
        </x:is>
      </x:c>
      <x:c r="I184" s="31" t="inlineStr">
        <x:is>
          <x:t xml:space="preserve">Нет</x:t>
        </x:is>
      </x:c>
      <x:c r="J184" s="31" t="inlineStr">
        <x:is>
          <x:t xml:space="preserve">Версия 6</x:t>
        </x:is>
      </x:c>
    </x:row>
    <x:row r="185" ht="18" customHeight="1">
      <x:c r="A185" s="31" t="inlineStr">
        <x:is>
          <x:t xml:space="preserve">МАР-0184</x:t>
        </x:is>
      </x:c>
      <x:c r="B185" s="31" t="inlineStr">
        <x:is>
          <x:t xml:space="preserve">ИЗД-023</x:t>
        </x:is>
      </x:c>
      <x:c r="C185" s="31" t="n">
        <x:v>70</x:v>
      </x:c>
      <x:c r="D185" s="31" t="inlineStr">
        <x:is>
          <x:t xml:space="preserve">Приемочные испытания</x:t>
        </x:is>
      </x:c>
      <x:c r="E185" s="31" t="inlineStr">
        <x:is>
          <x:t xml:space="preserve">ОТК</x:t>
        </x:is>
      </x:c>
      <x:c r="F185" s="31" t="inlineStr">
        <x:is>
          <x:t xml:space="preserve">ОБ-028</x:t>
        </x:is>
      </x:c>
      <x:c r="G185" s="31" t="n">
        <x:v>12.9</x:v>
      </x:c>
      <x:c r="H185" s="31" t="inlineStr">
        <x:is>
          <x:t xml:space="preserve">Нет</x:t>
        </x:is>
      </x:c>
      <x:c r="I185" s="31" t="inlineStr">
        <x:is>
          <x:t xml:space="preserve">Нет</x:t>
        </x:is>
      </x:c>
      <x:c r="J185" s="31" t="inlineStr">
        <x:is>
          <x:t xml:space="preserve">Версия 6</x:t>
        </x:is>
      </x:c>
    </x:row>
    <x:row r="186" ht="18" customHeight="1">
      <x:c r="A186" s="31" t="inlineStr">
        <x:is>
          <x:t xml:space="preserve">МАР-0185</x:t>
        </x:is>
      </x:c>
      <x:c r="B186" s="31" t="inlineStr">
        <x:is>
          <x:t xml:space="preserve">ИЗД-023</x:t>
        </x:is>
      </x:c>
      <x:c r="C186" s="31" t="n">
        <x:v>80</x:v>
      </x:c>
      <x:c r="D186" s="31" t="inlineStr">
        <x:is>
          <x:t xml:space="preserve">ОТК</x:t>
        </x:is>
      </x:c>
      <x:c r="E186" s="31" t="inlineStr">
        <x:is>
          <x:t xml:space="preserve">ОТК</x:t>
        </x:is>
      </x:c>
      <x:c r="F186" s="31" t="inlineStr">
        <x:is>
          <x:t xml:space="preserve">ОБ-033</x:t>
        </x:is>
      </x:c>
      <x:c r="G186" s="31" t="n">
        <x:v>4.1</x:v>
      </x:c>
      <x:c r="H186" s="31" t="inlineStr">
        <x:is>
          <x:t xml:space="preserve">Нет</x:t>
        </x:is>
      </x:c>
      <x:c r="I186" s="31" t="inlineStr">
        <x:is>
          <x:t xml:space="preserve">Нет</x:t>
        </x:is>
      </x:c>
      <x:c r="J186" s="31" t="inlineStr">
        <x:is>
          <x:t xml:space="preserve">Версия 6</x:t>
        </x:is>
      </x:c>
    </x:row>
    <x:row r="187" ht="18" customHeight="1">
      <x:c r="A187" s="31" t="inlineStr">
        <x:is>
          <x:t xml:space="preserve">МАР-0186</x:t>
        </x:is>
      </x:c>
      <x:c r="B187" s="31" t="inlineStr">
        <x:is>
          <x:t xml:space="preserve">ИЗД-023</x:t>
        </x:is>
      </x:c>
      <x:c r="C187" s="31" t="n">
        <x:v>90</x:v>
      </x:c>
      <x:c r="D187" s="31" t="inlineStr">
        <x:is>
          <x:t xml:space="preserve">Упаковка</x:t>
        </x:is>
      </x:c>
      <x:c r="E187" s="31" t="inlineStr">
        <x:is>
          <x:t xml:space="preserve">Логистика</x:t>
        </x:is>
      </x:c>
      <x:c r="F187" s="31" t="n"/>
      <x:c r="G187" s="31" t="n">
        <x:v>4.8</x:v>
      </x:c>
      <x:c r="H187" s="31" t="inlineStr">
        <x:is>
          <x:t xml:space="preserve">Нет</x:t>
        </x:is>
      </x:c>
      <x:c r="I187" s="31" t="inlineStr">
        <x:is>
          <x:t xml:space="preserve">Нет</x:t>
        </x:is>
      </x:c>
      <x:c r="J187" s="31" t="inlineStr">
        <x:is>
          <x:t xml:space="preserve">Версия 6</x:t>
        </x:is>
      </x:c>
    </x:row>
    <x:row r="188" ht="18" customHeight="1">
      <x:c r="A188" s="31" t="inlineStr">
        <x:is>
          <x:t xml:space="preserve">МАР-0187</x:t>
        </x:is>
      </x:c>
      <x:c r="B188" s="31" t="inlineStr">
        <x:is>
          <x:t xml:space="preserve">ИЗД-024</x:t>
        </x:is>
      </x:c>
      <x:c r="C188" s="31" t="n">
        <x:v>10</x:v>
      </x:c>
      <x:c r="D188" s="31" t="inlineStr">
        <x:is>
          <x:t xml:space="preserve">КД</x:t>
        </x:is>
      </x:c>
      <x:c r="E188" s="31" t="inlineStr">
        <x:is>
          <x:t xml:space="preserve">Инженерный отдел</x:t>
        </x:is>
      </x:c>
      <x:c r="F188" s="31" t="n"/>
      <x:c r="G188" s="31" t="n">
        <x:v>10.5</x:v>
      </x:c>
      <x:c r="H188" s="31" t="inlineStr">
        <x:is>
          <x:t xml:space="preserve">Нет</x:t>
        </x:is>
      </x:c>
      <x:c r="I188" s="31" t="inlineStr">
        <x:is>
          <x:t xml:space="preserve">Нет</x:t>
        </x:is>
      </x:c>
      <x:c r="J188" s="31" t="inlineStr">
        <x:is>
          <x:t xml:space="preserve">Версия 1</x:t>
        </x:is>
      </x:c>
    </x:row>
    <x:row r="189" ht="18" customHeight="1">
      <x:c r="A189" s="31" t="inlineStr">
        <x:is>
          <x:t xml:space="preserve">МАР-0188</x:t>
        </x:is>
      </x:c>
      <x:c r="B189" s="31" t="inlineStr">
        <x:is>
          <x:t xml:space="preserve">ИЗД-024</x:t>
        </x:is>
      </x:c>
      <x:c r="C189" s="31" t="n">
        <x:v>20</x:v>
      </x:c>
      <x:c r="D189" s="31" t="inlineStr">
        <x:is>
          <x:t xml:space="preserve">Резерв материалов</x:t>
        </x:is>
      </x:c>
      <x:c r="E189" s="31" t="inlineStr">
        <x:is>
          <x:t xml:space="preserve">Склад</x:t>
        </x:is>
      </x:c>
      <x:c r="F189" s="31" t="inlineStr">
        <x:is>
          <x:t xml:space="preserve">ОБ-008</x:t>
        </x:is>
      </x:c>
      <x:c r="G189" s="31" t="n">
        <x:v>1.7</x:v>
      </x:c>
      <x:c r="H189" s="31" t="inlineStr">
        <x:is>
          <x:t xml:space="preserve">Нет</x:t>
        </x:is>
      </x:c>
      <x:c r="I189" s="31" t="inlineStr">
        <x:is>
          <x:t xml:space="preserve">Нет</x:t>
        </x:is>
      </x:c>
      <x:c r="J189" s="31" t="inlineStr">
        <x:is>
          <x:t xml:space="preserve">Версия 1</x:t>
        </x:is>
      </x:c>
    </x:row>
    <x:row r="190" ht="18" customHeight="1">
      <x:c r="A190" s="31" t="inlineStr">
        <x:is>
          <x:t xml:space="preserve">МАР-0189</x:t>
        </x:is>
      </x:c>
      <x:c r="B190" s="31" t="inlineStr">
        <x:is>
          <x:t xml:space="preserve">ИЗД-024</x:t>
        </x:is>
      </x:c>
      <x:c r="C190" s="31" t="n">
        <x:v>30</x:v>
      </x:c>
      <x:c r="D190" s="31" t="inlineStr">
        <x:is>
          <x:t xml:space="preserve">Сварка рамы</x:t>
        </x:is>
      </x:c>
      <x:c r="E190" s="31" t="inlineStr">
        <x:is>
          <x:t xml:space="preserve">Сварка</x:t>
        </x:is>
      </x:c>
      <x:c r="F190" s="31" t="inlineStr">
        <x:is>
          <x:t xml:space="preserve">ОБ-021</x:t>
        </x:is>
      </x:c>
      <x:c r="G190" s="31" t="n">
        <x:v>2.9</x:v>
      </x:c>
      <x:c r="H190" s="31" t="inlineStr">
        <x:is>
          <x:t xml:space="preserve">Нет</x:t>
        </x:is>
      </x:c>
      <x:c r="I190" s="31" t="inlineStr">
        <x:is>
          <x:t xml:space="preserve">Нет</x:t>
        </x:is>
      </x:c>
      <x:c r="J190" s="31" t="inlineStr">
        <x:is>
          <x:t xml:space="preserve">Версия 1</x:t>
        </x:is>
      </x:c>
    </x:row>
    <x:row r="191" ht="18" customHeight="1">
      <x:c r="A191" s="31" t="inlineStr">
        <x:is>
          <x:t xml:space="preserve">МАР-0190</x:t>
        </x:is>
      </x:c>
      <x:c r="B191" s="31" t="inlineStr">
        <x:is>
          <x:t xml:space="preserve">ИЗД-024</x:t>
        </x:is>
      </x:c>
      <x:c r="C191" s="31" t="n">
        <x:v>40</x:v>
      </x:c>
      <x:c r="D191" s="31" t="inlineStr">
        <x:is>
          <x:t xml:space="preserve">Сборка</x:t>
        </x:is>
      </x:c>
      <x:c r="E191" s="31" t="inlineStr">
        <x:is>
          <x:t xml:space="preserve">Сборка</x:t>
        </x:is>
      </x:c>
      <x:c r="F191" s="31" t="inlineStr">
        <x:is>
          <x:t xml:space="preserve">ОБ-005</x:t>
        </x:is>
      </x:c>
      <x:c r="G191" s="31" t="n">
        <x:v>2.1</x:v>
      </x:c>
      <x:c r="H191" s="31" t="inlineStr">
        <x:is>
          <x:t xml:space="preserve">Нет</x:t>
        </x:is>
      </x:c>
      <x:c r="I191" s="31" t="inlineStr">
        <x:is>
          <x:t xml:space="preserve">Нет</x:t>
        </x:is>
      </x:c>
      <x:c r="J191" s="31" t="inlineStr">
        <x:is>
          <x:t xml:space="preserve">Версия 1</x:t>
        </x:is>
      </x:c>
    </x:row>
    <x:row r="192" ht="18" customHeight="1">
      <x:c r="A192" s="31" t="inlineStr">
        <x:is>
          <x:t xml:space="preserve">МАР-0191</x:t>
        </x:is>
      </x:c>
      <x:c r="B192" s="31" t="inlineStr">
        <x:is>
          <x:t xml:space="preserve">ИЗД-024</x:t>
        </x:is>
      </x:c>
      <x:c r="C192" s="31" t="n">
        <x:v>50</x:v>
      </x:c>
      <x:c r="D192" s="31" t="inlineStr">
        <x:is>
          <x:t xml:space="preserve">Обвязка труб</x:t>
        </x:is>
      </x:c>
      <x:c r="E192" s="31" t="inlineStr">
        <x:is>
          <x:t xml:space="preserve">Сборка</x:t>
        </x:is>
      </x:c>
      <x:c r="F192" s="31" t="inlineStr">
        <x:is>
          <x:t xml:space="preserve">ОБ-034</x:t>
        </x:is>
      </x:c>
      <x:c r="G192" s="31" t="n">
        <x:v>9.699999999999999</x:v>
      </x:c>
      <x:c r="H192" s="31" t="inlineStr">
        <x:is>
          <x:t xml:space="preserve">Нет</x:t>
        </x:is>
      </x:c>
      <x:c r="I192" s="31" t="inlineStr">
        <x:is>
          <x:t xml:space="preserve">Нет</x:t>
        </x:is>
      </x:c>
      <x:c r="J192" s="31" t="inlineStr">
        <x:is>
          <x:t xml:space="preserve">Версия 1</x:t>
        </x:is>
      </x:c>
    </x:row>
    <x:row r="193" ht="18" customHeight="1">
      <x:c r="A193" s="31" t="inlineStr">
        <x:is>
          <x:t xml:space="preserve">МАР-0192</x:t>
        </x:is>
      </x:c>
      <x:c r="B193" s="31" t="inlineStr">
        <x:is>
          <x:t xml:space="preserve">ИЗД-024</x:t>
        </x:is>
      </x:c>
      <x:c r="C193" s="31" t="n">
        <x:v>60</x:v>
      </x:c>
      <x:c r="D193" s="31" t="inlineStr">
        <x:is>
          <x:t xml:space="preserve">Электромонтаж</x:t>
        </x:is>
      </x:c>
      <x:c r="E193" s="31" t="inlineStr">
        <x:is>
          <x:t xml:space="preserve">Сборка</x:t>
        </x:is>
      </x:c>
      <x:c r="F193" s="31" t="inlineStr">
        <x:is>
          <x:t xml:space="preserve">ОБ-014</x:t>
        </x:is>
      </x:c>
      <x:c r="G193" s="31" t="n">
        <x:v>3.6</x:v>
      </x:c>
      <x:c r="H193" s="31" t="inlineStr">
        <x:is>
          <x:t xml:space="preserve">Нет</x:t>
        </x:is>
      </x:c>
      <x:c r="I193" s="31" t="inlineStr">
        <x:is>
          <x:t xml:space="preserve">Нет</x:t>
        </x:is>
      </x:c>
      <x:c r="J193" s="31" t="inlineStr">
        <x:is>
          <x:t xml:space="preserve">Версия 1</x:t>
        </x:is>
      </x:c>
    </x:row>
    <x:row r="194" ht="18" customHeight="1">
      <x:c r="A194" s="31" t="inlineStr">
        <x:is>
          <x:t xml:space="preserve">МАР-0193</x:t>
        </x:is>
      </x:c>
      <x:c r="B194" s="31" t="inlineStr">
        <x:is>
          <x:t xml:space="preserve">ИЗД-024</x:t>
        </x:is>
      </x:c>
      <x:c r="C194" s="31" t="n">
        <x:v>70</x:v>
      </x:c>
      <x:c r="D194" s="31" t="inlineStr">
        <x:is>
          <x:t xml:space="preserve">Гидроиспытания</x:t>
        </x:is>
      </x:c>
      <x:c r="E194" s="31" t="inlineStr">
        <x:is>
          <x:t xml:space="preserve">ОТК</x:t>
        </x:is>
      </x:c>
      <x:c r="F194" s="31" t="inlineStr">
        <x:is>
          <x:t xml:space="preserve">ОБ-022</x:t>
        </x:is>
      </x:c>
      <x:c r="G194" s="31" t="n">
        <x:v>5.2</x:v>
      </x:c>
      <x:c r="H194" s="31" t="inlineStr">
        <x:is>
          <x:t xml:space="preserve">Нет</x:t>
        </x:is>
      </x:c>
      <x:c r="I194" s="31" t="inlineStr">
        <x:is>
          <x:t xml:space="preserve">Нет</x:t>
        </x:is>
      </x:c>
      <x:c r="J194" s="31" t="inlineStr">
        <x:is>
          <x:t xml:space="preserve">Версия 1</x:t>
        </x:is>
      </x:c>
    </x:row>
    <x:row r="195" ht="18" customHeight="1">
      <x:c r="A195" s="31" t="inlineStr">
        <x:is>
          <x:t xml:space="preserve">МАР-0194</x:t>
        </x:is>
      </x:c>
      <x:c r="B195" s="31" t="inlineStr">
        <x:is>
          <x:t xml:space="preserve">ИЗД-024</x:t>
        </x:is>
      </x:c>
      <x:c r="C195" s="31" t="n">
        <x:v>80</x:v>
      </x:c>
      <x:c r="D195" s="31" t="inlineStr">
        <x:is>
          <x:t xml:space="preserve">ОТК</x:t>
        </x:is>
      </x:c>
      <x:c r="E195" s="31" t="inlineStr">
        <x:is>
          <x:t xml:space="preserve">ОТК</x:t>
        </x:is>
      </x:c>
      <x:c r="F195" s="31" t="inlineStr">
        <x:is>
          <x:t xml:space="preserve">ОБ-024</x:t>
        </x:is>
      </x:c>
      <x:c r="G195" s="31" t="n">
        <x:v>5.7</x:v>
      </x:c>
      <x:c r="H195" s="31" t="inlineStr">
        <x:is>
          <x:t xml:space="preserve">Нет</x:t>
        </x:is>
      </x:c>
      <x:c r="I195" s="31" t="inlineStr">
        <x:is>
          <x:t xml:space="preserve">Нет</x:t>
        </x:is>
      </x:c>
      <x:c r="J195" s="31" t="inlineStr">
        <x:is>
          <x:t xml:space="preserve">Версия 1</x:t>
        </x:is>
      </x:c>
    </x:row>
    <x:row r="196" ht="18" customHeight="1">
      <x:c r="A196" s="31" t="inlineStr">
        <x:is>
          <x:t xml:space="preserve">МАР-0195</x:t>
        </x:is>
      </x:c>
      <x:c r="B196" s="31" t="inlineStr">
        <x:is>
          <x:t xml:space="preserve">ИЗД-024</x:t>
        </x:is>
      </x:c>
      <x:c r="C196" s="31" t="n">
        <x:v>90</x:v>
      </x:c>
      <x:c r="D196" s="31" t="inlineStr">
        <x:is>
          <x:t xml:space="preserve">Упаковка</x:t>
        </x:is>
      </x:c>
      <x:c r="E196" s="31" t="inlineStr">
        <x:is>
          <x:t xml:space="preserve">Логистика</x:t>
        </x:is>
      </x:c>
      <x:c r="F196" s="31" t="n"/>
      <x:c r="G196" s="31" t="n">
        <x:v>8.6</x:v>
      </x:c>
      <x:c r="H196" s="31" t="inlineStr">
        <x:is>
          <x:t xml:space="preserve">Да</x:t>
        </x:is>
      </x:c>
      <x:c r="I196" s="31" t="inlineStr">
        <x:is>
          <x:t xml:space="preserve">Нет</x:t>
        </x:is>
      </x:c>
      <x:c r="J196" s="31" t="inlineStr">
        <x:is>
          <x:t xml:space="preserve">Версия 1</x:t>
        </x:is>
      </x:c>
    </x:row>
    <x:row r="197" ht="18" customHeight="1">
      <x:c r="A197" s="31" t="inlineStr">
        <x:is>
          <x:t xml:space="preserve">МАР-0196</x:t>
        </x:is>
      </x:c>
      <x:c r="B197" s="31" t="inlineStr">
        <x:is>
          <x:t xml:space="preserve">ИЗД-025</x:t>
        </x:is>
      </x:c>
      <x:c r="C197" s="31" t="n">
        <x:v>10</x:v>
      </x:c>
      <x:c r="D197" s="31" t="inlineStr">
        <x:is>
          <x:t xml:space="preserve">КД</x:t>
        </x:is>
      </x:c>
      <x:c r="E197" s="31" t="inlineStr">
        <x:is>
          <x:t xml:space="preserve">Инженерный отдел</x:t>
        </x:is>
      </x:c>
      <x:c r="F197" s="31" t="n"/>
      <x:c r="G197" s="31" t="n">
        <x:v>9.1</x:v>
      </x:c>
      <x:c r="H197" s="31" t="inlineStr">
        <x:is>
          <x:t xml:space="preserve">Нет</x:t>
        </x:is>
      </x:c>
      <x:c r="I197" s="31" t="inlineStr">
        <x:is>
          <x:t xml:space="preserve">Нет</x:t>
        </x:is>
      </x:c>
      <x:c r="J197" s="31" t="inlineStr">
        <x:is>
          <x:t xml:space="preserve">Версия 5</x:t>
        </x:is>
      </x:c>
    </x:row>
    <x:row r="198" ht="18" customHeight="1">
      <x:c r="A198" s="31" t="inlineStr">
        <x:is>
          <x:t xml:space="preserve">МАР-0197</x:t>
        </x:is>
      </x:c>
      <x:c r="B198" s="31" t="inlineStr">
        <x:is>
          <x:t xml:space="preserve">ИЗД-025</x:t>
        </x:is>
      </x:c>
      <x:c r="C198" s="31" t="n">
        <x:v>20</x:v>
      </x:c>
      <x:c r="D198" s="31" t="inlineStr">
        <x:is>
          <x:t xml:space="preserve">Резерв материалов</x:t>
        </x:is>
      </x:c>
      <x:c r="E198" s="31" t="inlineStr">
        <x:is>
          <x:t xml:space="preserve">Склад</x:t>
        </x:is>
      </x:c>
      <x:c r="F198" s="31" t="inlineStr">
        <x:is>
          <x:t xml:space="preserve">ОБ-025</x:t>
        </x:is>
      </x:c>
      <x:c r="G198" s="31" t="n">
        <x:v>2.3</x:v>
      </x:c>
      <x:c r="H198" s="31" t="inlineStr">
        <x:is>
          <x:t xml:space="preserve">Нет</x:t>
        </x:is>
      </x:c>
      <x:c r="I198" s="31" t="inlineStr">
        <x:is>
          <x:t xml:space="preserve">Нет</x:t>
        </x:is>
      </x:c>
      <x:c r="J198" s="31" t="inlineStr">
        <x:is>
          <x:t xml:space="preserve">Версия 5</x:t>
        </x:is>
      </x:c>
    </x:row>
    <x:row r="199" ht="18" customHeight="1">
      <x:c r="A199" s="31" t="inlineStr">
        <x:is>
          <x:t xml:space="preserve">МАР-0198</x:t>
        </x:is>
      </x:c>
      <x:c r="B199" s="31" t="inlineStr">
        <x:is>
          <x:t xml:space="preserve">ИЗД-025</x:t>
        </x:is>
      </x:c>
      <x:c r="C199" s="31" t="n">
        <x:v>30</x:v>
      </x:c>
      <x:c r="D199" s="31" t="inlineStr">
        <x:is>
          <x:t xml:space="preserve">Сварка рамы</x:t>
        </x:is>
      </x:c>
      <x:c r="E199" s="31" t="inlineStr">
        <x:is>
          <x:t xml:space="preserve">Сварка</x:t>
        </x:is>
      </x:c>
      <x:c r="F199" s="31" t="inlineStr">
        <x:is>
          <x:t xml:space="preserve">ОБ-010</x:t>
        </x:is>
      </x:c>
      <x:c r="G199" s="31" t="n">
        <x:v>10</x:v>
      </x:c>
      <x:c r="H199" s="31" t="inlineStr">
        <x:is>
          <x:t xml:space="preserve">Нет</x:t>
        </x:is>
      </x:c>
      <x:c r="I199" s="31" t="inlineStr">
        <x:is>
          <x:t xml:space="preserve">Нет</x:t>
        </x:is>
      </x:c>
      <x:c r="J199" s="31" t="inlineStr">
        <x:is>
          <x:t xml:space="preserve">Версия 5</x:t>
        </x:is>
      </x:c>
    </x:row>
    <x:row r="200" ht="18" customHeight="1">
      <x:c r="A200" s="31" t="inlineStr">
        <x:is>
          <x:t xml:space="preserve">МАР-0199</x:t>
        </x:is>
      </x:c>
      <x:c r="B200" s="31" t="inlineStr">
        <x:is>
          <x:t xml:space="preserve">ИЗД-025</x:t>
        </x:is>
      </x:c>
      <x:c r="C200" s="31" t="n">
        <x:v>40</x:v>
      </x:c>
      <x:c r="D200" s="31" t="inlineStr">
        <x:is>
          <x:t xml:space="preserve">Сборка</x:t>
        </x:is>
      </x:c>
      <x:c r="E200" s="31" t="inlineStr">
        <x:is>
          <x:t xml:space="preserve">Сборка</x:t>
        </x:is>
      </x:c>
      <x:c r="F200" s="31" t="inlineStr">
        <x:is>
          <x:t xml:space="preserve">ОБ-020</x:t>
        </x:is>
      </x:c>
      <x:c r="G200" s="31" t="n">
        <x:v>7.6</x:v>
      </x:c>
      <x:c r="H200" s="31" t="inlineStr">
        <x:is>
          <x:t xml:space="preserve">Нет</x:t>
        </x:is>
      </x:c>
      <x:c r="I200" s="31" t="inlineStr">
        <x:is>
          <x:t xml:space="preserve">Нет</x:t>
        </x:is>
      </x:c>
      <x:c r="J200" s="31" t="inlineStr">
        <x:is>
          <x:t xml:space="preserve">Версия 5</x:t>
        </x:is>
      </x:c>
    </x:row>
    <x:row r="201" ht="18" customHeight="1">
      <x:c r="A201" s="31" t="inlineStr">
        <x:is>
          <x:t xml:space="preserve">МАР-0200</x:t>
        </x:is>
      </x:c>
      <x:c r="B201" s="31" t="inlineStr">
        <x:is>
          <x:t xml:space="preserve">ИЗД-025</x:t>
        </x:is>
      </x:c>
      <x:c r="C201" s="31" t="n">
        <x:v>50</x:v>
      </x:c>
      <x:c r="D201" s="31" t="inlineStr">
        <x:is>
          <x:t xml:space="preserve">Обвязка труб</x:t>
        </x:is>
      </x:c>
      <x:c r="E201" s="31" t="inlineStr">
        <x:is>
          <x:t xml:space="preserve">Сборка</x:t>
        </x:is>
      </x:c>
      <x:c r="F201" s="31" t="inlineStr">
        <x:is>
          <x:t xml:space="preserve">ОБ-014</x:t>
        </x:is>
      </x:c>
      <x:c r="G201" s="31" t="n">
        <x:v>1.7</x:v>
      </x:c>
      <x:c r="H201" s="31" t="inlineStr">
        <x:is>
          <x:t xml:space="preserve">Нет</x:t>
        </x:is>
      </x:c>
      <x:c r="I201" s="31" t="inlineStr">
        <x:is>
          <x:t xml:space="preserve">Нет</x:t>
        </x:is>
      </x:c>
      <x:c r="J201" s="31" t="inlineStr">
        <x:is>
          <x:t xml:space="preserve">Версия 5</x:t>
        </x:is>
      </x:c>
    </x:row>
    <x:row r="202" ht="18" customHeight="1">
      <x:c r="A202" s="31" t="inlineStr">
        <x:is>
          <x:t xml:space="preserve">МАР-0201</x:t>
        </x:is>
      </x:c>
      <x:c r="B202" s="31" t="inlineStr">
        <x:is>
          <x:t xml:space="preserve">ИЗД-025</x:t>
        </x:is>
      </x:c>
      <x:c r="C202" s="31" t="n">
        <x:v>60</x:v>
      </x:c>
      <x:c r="D202" s="31" t="inlineStr">
        <x:is>
          <x:t xml:space="preserve">Электромонтаж</x:t>
        </x:is>
      </x:c>
      <x:c r="E202" s="31" t="inlineStr">
        <x:is>
          <x:t xml:space="preserve">Сборка</x:t>
        </x:is>
      </x:c>
      <x:c r="F202" s="31" t="inlineStr">
        <x:is>
          <x:t xml:space="preserve">ОБ-002</x:t>
        </x:is>
      </x:c>
      <x:c r="G202" s="31" t="n">
        <x:v>10.9</x:v>
      </x:c>
      <x:c r="H202" s="31" t="inlineStr">
        <x:is>
          <x:t xml:space="preserve">Нет</x:t>
        </x:is>
      </x:c>
      <x:c r="I202" s="31" t="inlineStr">
        <x:is>
          <x:t xml:space="preserve">Нет</x:t>
        </x:is>
      </x:c>
      <x:c r="J202" s="31" t="inlineStr">
        <x:is>
          <x:t xml:space="preserve">Версия 5</x:t>
        </x:is>
      </x:c>
    </x:row>
    <x:row r="203" ht="18" customHeight="1">
      <x:c r="A203" s="31" t="inlineStr">
        <x:is>
          <x:t xml:space="preserve">МАР-0202</x:t>
        </x:is>
      </x:c>
      <x:c r="B203" s="31" t="inlineStr">
        <x:is>
          <x:t xml:space="preserve">ИЗД-025</x:t>
        </x:is>
      </x:c>
      <x:c r="C203" s="31" t="n">
        <x:v>70</x:v>
      </x:c>
      <x:c r="D203" s="31" t="inlineStr">
        <x:is>
          <x:t xml:space="preserve">Гидроиспытания</x:t>
        </x:is>
      </x:c>
      <x:c r="E203" s="31" t="inlineStr">
        <x:is>
          <x:t xml:space="preserve">ОТК</x:t>
        </x:is>
      </x:c>
      <x:c r="F203" s="31" t="inlineStr">
        <x:is>
          <x:t xml:space="preserve">ОБ-015</x:t>
        </x:is>
      </x:c>
      <x:c r="G203" s="31" t="n">
        <x:v>6</x:v>
      </x:c>
      <x:c r="H203" s="31" t="inlineStr">
        <x:is>
          <x:t xml:space="preserve">Нет</x:t>
        </x:is>
      </x:c>
      <x:c r="I203" s="31" t="inlineStr">
        <x:is>
          <x:t xml:space="preserve">Нет</x:t>
        </x:is>
      </x:c>
      <x:c r="J203" s="31" t="inlineStr">
        <x:is>
          <x:t xml:space="preserve">Версия 5</x:t>
        </x:is>
      </x:c>
    </x:row>
    <x:row r="204" ht="18" customHeight="1">
      <x:c r="A204" s="31" t="inlineStr">
        <x:is>
          <x:t xml:space="preserve">МАР-0203</x:t>
        </x:is>
      </x:c>
      <x:c r="B204" s="31" t="inlineStr">
        <x:is>
          <x:t xml:space="preserve">ИЗД-025</x:t>
        </x:is>
      </x:c>
      <x:c r="C204" s="31" t="n">
        <x:v>80</x:v>
      </x:c>
      <x:c r="D204" s="31" t="inlineStr">
        <x:is>
          <x:t xml:space="preserve">ОТК</x:t>
        </x:is>
      </x:c>
      <x:c r="E204" s="31" t="inlineStr">
        <x:is>
          <x:t xml:space="preserve">ОТК</x:t>
        </x:is>
      </x:c>
      <x:c r="F204" s="31" t="inlineStr">
        <x:is>
          <x:t xml:space="preserve">ОБ-022</x:t>
        </x:is>
      </x:c>
      <x:c r="G204" s="31" t="n">
        <x:v>3.2</x:v>
      </x:c>
      <x:c r="H204" s="31" t="inlineStr">
        <x:is>
          <x:t xml:space="preserve">Нет</x:t>
        </x:is>
      </x:c>
      <x:c r="I204" s="31" t="inlineStr">
        <x:is>
          <x:t xml:space="preserve">Нет</x:t>
        </x:is>
      </x:c>
      <x:c r="J204" s="31" t="inlineStr">
        <x:is>
          <x:t xml:space="preserve">Версия 5</x:t>
        </x:is>
      </x:c>
    </x:row>
    <x:row r="205" ht="18" customHeight="1">
      <x:c r="A205" s="31" t="inlineStr">
        <x:is>
          <x:t xml:space="preserve">МАР-0204</x:t>
        </x:is>
      </x:c>
      <x:c r="B205" s="31" t="inlineStr">
        <x:is>
          <x:t xml:space="preserve">ИЗД-025</x:t>
        </x:is>
      </x:c>
      <x:c r="C205" s="31" t="n">
        <x:v>90</x:v>
      </x:c>
      <x:c r="D205" s="31" t="inlineStr">
        <x:is>
          <x:t xml:space="preserve">Упаковка</x:t>
        </x:is>
      </x:c>
      <x:c r="E205" s="31" t="inlineStr">
        <x:is>
          <x:t xml:space="preserve">Логистика</x:t>
        </x:is>
      </x:c>
      <x:c r="F205" s="31" t="n"/>
      <x:c r="G205" s="31" t="n">
        <x:v>8.5</x:v>
      </x:c>
      <x:c r="H205" s="31" t="inlineStr">
        <x:is>
          <x:t xml:space="preserve">Нет</x:t>
        </x:is>
      </x:c>
      <x:c r="I205" s="31" t="inlineStr">
        <x:is>
          <x:t xml:space="preserve">Нет</x:t>
        </x:is>
      </x:c>
      <x:c r="J205" s="31" t="inlineStr">
        <x:is>
          <x:t xml:space="preserve">Версия 5</x:t>
        </x:is>
      </x:c>
    </x:row>
    <x:row r="206" ht="18" customHeight="1">
      <x:c r="A206" s="31" t="inlineStr">
        <x:is>
          <x:t xml:space="preserve">МАР-0205</x:t>
        </x:is>
      </x:c>
      <x:c r="B206" s="31" t="inlineStr">
        <x:is>
          <x:t xml:space="preserve">ИЗД-026</x:t>
        </x:is>
      </x:c>
      <x:c r="C206" s="31" t="n">
        <x:v>10</x:v>
      </x:c>
      <x:c r="D206" s="31" t="inlineStr">
        <x:is>
          <x:t xml:space="preserve">КД</x:t>
        </x:is>
      </x:c>
      <x:c r="E206" s="31" t="inlineStr">
        <x:is>
          <x:t xml:space="preserve">Инженерный отдел</x:t>
        </x:is>
      </x:c>
      <x:c r="F206" s="31" t="n"/>
      <x:c r="G206" s="31" t="n">
        <x:v>14.2</x:v>
      </x:c>
      <x:c r="H206" s="31" t="inlineStr">
        <x:is>
          <x:t xml:space="preserve">Нет</x:t>
        </x:is>
      </x:c>
      <x:c r="I206" s="31" t="inlineStr">
        <x:is>
          <x:t xml:space="preserve">Нет</x:t>
        </x:is>
      </x:c>
      <x:c r="J206" s="31" t="inlineStr">
        <x:is>
          <x:t xml:space="preserve">Версия 3</x:t>
        </x:is>
      </x:c>
    </x:row>
    <x:row r="207" ht="18" customHeight="1">
      <x:c r="A207" s="31" t="inlineStr">
        <x:is>
          <x:t xml:space="preserve">МАР-0206</x:t>
        </x:is>
      </x:c>
      <x:c r="B207" s="31" t="inlineStr">
        <x:is>
          <x:t xml:space="preserve">ИЗД-026</x:t>
        </x:is>
      </x:c>
      <x:c r="C207" s="31" t="n">
        <x:v>20</x:v>
      </x:c>
      <x:c r="D207" s="31" t="inlineStr">
        <x:is>
          <x:t xml:space="preserve">Комплектация</x:t>
        </x:is>
      </x:c>
      <x:c r="E207" s="31" t="inlineStr">
        <x:is>
          <x:t xml:space="preserve">Склад</x:t>
        </x:is>
      </x:c>
      <x:c r="F207" s="31" t="inlineStr">
        <x:is>
          <x:t xml:space="preserve">ОБ-025</x:t>
        </x:is>
      </x:c>
      <x:c r="G207" s="31" t="n">
        <x:v>11.9</x:v>
      </x:c>
      <x:c r="H207" s="31" t="inlineStr">
        <x:is>
          <x:t xml:space="preserve">Нет</x:t>
        </x:is>
      </x:c>
      <x:c r="I207" s="31" t="inlineStr">
        <x:is>
          <x:t xml:space="preserve">Нет</x:t>
        </x:is>
      </x:c>
      <x:c r="J207" s="31" t="inlineStr">
        <x:is>
          <x:t xml:space="preserve">Версия 3</x:t>
        </x:is>
      </x:c>
    </x:row>
    <x:row r="208" ht="18" customHeight="1">
      <x:c r="A208" s="31" t="inlineStr">
        <x:is>
          <x:t xml:space="preserve">МАР-0207</x:t>
        </x:is>
      </x:c>
      <x:c r="B208" s="31" t="inlineStr">
        <x:is>
          <x:t xml:space="preserve">ИЗД-026</x:t>
        </x:is>
      </x:c>
      <x:c r="C208" s="31" t="n">
        <x:v>30</x:v>
      </x:c>
      <x:c r="D208" s="31" t="inlineStr">
        <x:is>
          <x:t xml:space="preserve">Сборка шкафа</x:t>
        </x:is>
      </x:c>
      <x:c r="E208" s="31" t="inlineStr">
        <x:is>
          <x:t xml:space="preserve">Сборка</x:t>
        </x:is>
      </x:c>
      <x:c r="F208" s="31" t="inlineStr">
        <x:is>
          <x:t xml:space="preserve">ОБ-016</x:t>
        </x:is>
      </x:c>
      <x:c r="G208" s="31" t="n">
        <x:v>3.8</x:v>
      </x:c>
      <x:c r="H208" s="31" t="inlineStr">
        <x:is>
          <x:t xml:space="preserve">Да</x:t>
        </x:is>
      </x:c>
      <x:c r="I208" s="31" t="inlineStr">
        <x:is>
          <x:t xml:space="preserve">Нет</x:t>
        </x:is>
      </x:c>
      <x:c r="J208" s="31" t="inlineStr">
        <x:is>
          <x:t xml:space="preserve">Версия 3</x:t>
        </x:is>
      </x:c>
    </x:row>
    <x:row r="209" ht="18" customHeight="1">
      <x:c r="A209" s="31" t="inlineStr">
        <x:is>
          <x:t xml:space="preserve">МАР-0208</x:t>
        </x:is>
      </x:c>
      <x:c r="B209" s="31" t="inlineStr">
        <x:is>
          <x:t xml:space="preserve">ИЗД-026</x:t>
        </x:is>
      </x:c>
      <x:c r="C209" s="31" t="n">
        <x:v>40</x:v>
      </x:c>
      <x:c r="D209" s="31" t="inlineStr">
        <x:is>
          <x:t xml:space="preserve">Маркировка</x:t>
        </x:is>
      </x:c>
      <x:c r="E209" s="31" t="inlineStr">
        <x:is>
          <x:t xml:space="preserve">Сборка</x:t>
        </x:is>
      </x:c>
      <x:c r="F209" s="31" t="inlineStr">
        <x:is>
          <x:t xml:space="preserve">ОБ-002</x:t>
        </x:is>
      </x:c>
      <x:c r="G209" s="31" t="n">
        <x:v>18.6</x:v>
      </x:c>
      <x:c r="H209" s="31" t="inlineStr">
        <x:is>
          <x:t xml:space="preserve">Нет</x:t>
        </x:is>
      </x:c>
      <x:c r="I209" s="31" t="inlineStr">
        <x:is>
          <x:t xml:space="preserve">Нет</x:t>
        </x:is>
      </x:c>
      <x:c r="J209" s="31" t="inlineStr">
        <x:is>
          <x:t xml:space="preserve">Версия 3</x:t>
        </x:is>
      </x:c>
    </x:row>
    <x:row r="210" ht="18" customHeight="1">
      <x:c r="A210" s="31" t="inlineStr">
        <x:is>
          <x:t xml:space="preserve">МАР-0209</x:t>
        </x:is>
      </x:c>
      <x:c r="B210" s="31" t="inlineStr">
        <x:is>
          <x:t xml:space="preserve">ИЗД-026</x:t>
        </x:is>
      </x:c>
      <x:c r="C210" s="31" t="n">
        <x:v>50</x:v>
      </x:c>
      <x:c r="D210" s="31" t="inlineStr">
        <x:is>
          <x:t xml:space="preserve">Электромонтаж</x:t>
        </x:is>
      </x:c>
      <x:c r="E210" s="31" t="inlineStr">
        <x:is>
          <x:t xml:space="preserve">Сборка</x:t>
        </x:is>
      </x:c>
      <x:c r="F210" s="31" t="inlineStr">
        <x:is>
          <x:t xml:space="preserve">ОБ-016</x:t>
        </x:is>
      </x:c>
      <x:c r="G210" s="31" t="n">
        <x:v>7.9</x:v>
      </x:c>
      <x:c r="H210" s="31" t="inlineStr">
        <x:is>
          <x:t xml:space="preserve">Нет</x:t>
        </x:is>
      </x:c>
      <x:c r="I210" s="31" t="inlineStr">
        <x:is>
          <x:t xml:space="preserve">Нет</x:t>
        </x:is>
      </x:c>
      <x:c r="J210" s="31" t="inlineStr">
        <x:is>
          <x:t xml:space="preserve">Версия 3</x:t>
        </x:is>
      </x:c>
    </x:row>
    <x:row r="211" ht="18" customHeight="1">
      <x:c r="A211" s="31" t="inlineStr">
        <x:is>
          <x:t xml:space="preserve">МАР-0210</x:t>
        </x:is>
      </x:c>
      <x:c r="B211" s="31" t="inlineStr">
        <x:is>
          <x:t xml:space="preserve">ИЗД-026</x:t>
        </x:is>
      </x:c>
      <x:c r="C211" s="31" t="n">
        <x:v>60</x:v>
      </x:c>
      <x:c r="D211" s="31" t="inlineStr">
        <x:is>
          <x:t xml:space="preserve">Программирование ПЛК</x:t>
        </x:is>
      </x:c>
      <x:c r="E211" s="31" t="inlineStr">
        <x:is>
          <x:t xml:space="preserve">Инженерный отдел</x:t>
        </x:is>
      </x:c>
      <x:c r="F211" s="31" t="n"/>
      <x:c r="G211" s="31" t="n">
        <x:v>14</x:v>
      </x:c>
      <x:c r="H211" s="31" t="inlineStr">
        <x:is>
          <x:t xml:space="preserve">Нет</x:t>
        </x:is>
      </x:c>
      <x:c r="I211" s="31" t="inlineStr">
        <x:is>
          <x:t xml:space="preserve">Нет</x:t>
        </x:is>
      </x:c>
      <x:c r="J211" s="31" t="inlineStr">
        <x:is>
          <x:t xml:space="preserve">Версия 3</x:t>
        </x:is>
      </x:c>
    </x:row>
    <x:row r="212" ht="18" customHeight="1">
      <x:c r="A212" s="31" t="inlineStr">
        <x:is>
          <x:t xml:space="preserve">МАР-0211</x:t>
        </x:is>
      </x:c>
      <x:c r="B212" s="31" t="inlineStr">
        <x:is>
          <x:t xml:space="preserve">ИЗД-026</x:t>
        </x:is>
      </x:c>
      <x:c r="C212" s="31" t="n">
        <x:v>70</x:v>
      </x:c>
      <x:c r="D212" s="31" t="inlineStr">
        <x:is>
          <x:t xml:space="preserve">Приемочные испытания</x:t>
        </x:is>
      </x:c>
      <x:c r="E212" s="31" t="inlineStr">
        <x:is>
          <x:t xml:space="preserve">ОТК</x:t>
        </x:is>
      </x:c>
      <x:c r="F212" s="31" t="inlineStr">
        <x:is>
          <x:t xml:space="preserve">ОБ-024</x:t>
        </x:is>
      </x:c>
      <x:c r="G212" s="31" t="n">
        <x:v>8.300000000000001</x:v>
      </x:c>
      <x:c r="H212" s="31" t="inlineStr">
        <x:is>
          <x:t xml:space="preserve">Нет</x:t>
        </x:is>
      </x:c>
      <x:c r="I212" s="31" t="inlineStr">
        <x:is>
          <x:t xml:space="preserve">Нет</x:t>
        </x:is>
      </x:c>
      <x:c r="J212" s="31" t="inlineStr">
        <x:is>
          <x:t xml:space="preserve">Версия 3</x:t>
        </x:is>
      </x:c>
    </x:row>
    <x:row r="213" ht="18" customHeight="1">
      <x:c r="A213" s="31" t="inlineStr">
        <x:is>
          <x:t xml:space="preserve">МАР-0212</x:t>
        </x:is>
      </x:c>
      <x:c r="B213" s="31" t="inlineStr">
        <x:is>
          <x:t xml:space="preserve">ИЗД-026</x:t>
        </x:is>
      </x:c>
      <x:c r="C213" s="31" t="n">
        <x:v>80</x:v>
      </x:c>
      <x:c r="D213" s="31" t="inlineStr">
        <x:is>
          <x:t xml:space="preserve">ОТК</x:t>
        </x:is>
      </x:c>
      <x:c r="E213" s="31" t="inlineStr">
        <x:is>
          <x:t xml:space="preserve">ОТК</x:t>
        </x:is>
      </x:c>
      <x:c r="F213" s="31" t="inlineStr">
        <x:is>
          <x:t xml:space="preserve">ОБ-007</x:t>
        </x:is>
      </x:c>
      <x:c r="G213" s="31" t="n">
        <x:v>4.7</x:v>
      </x:c>
      <x:c r="H213" s="31" t="inlineStr">
        <x:is>
          <x:t xml:space="preserve">Да</x:t>
        </x:is>
      </x:c>
      <x:c r="I213" s="31" t="inlineStr">
        <x:is>
          <x:t xml:space="preserve">Нет</x:t>
        </x:is>
      </x:c>
      <x:c r="J213" s="31" t="inlineStr">
        <x:is>
          <x:t xml:space="preserve">Версия 3</x:t>
        </x:is>
      </x:c>
    </x:row>
    <x:row r="214" ht="18" customHeight="1">
      <x:c r="A214" s="31" t="inlineStr">
        <x:is>
          <x:t xml:space="preserve">МАР-0213</x:t>
        </x:is>
      </x:c>
      <x:c r="B214" s="31" t="inlineStr">
        <x:is>
          <x:t xml:space="preserve">ИЗД-026</x:t>
        </x:is>
      </x:c>
      <x:c r="C214" s="31" t="n">
        <x:v>90</x:v>
      </x:c>
      <x:c r="D214" s="31" t="inlineStr">
        <x:is>
          <x:t xml:space="preserve">Упаковка</x:t>
        </x:is>
      </x:c>
      <x:c r="E214" s="31" t="inlineStr">
        <x:is>
          <x:t xml:space="preserve">Логистика</x:t>
        </x:is>
      </x:c>
      <x:c r="F214" s="31" t="n"/>
      <x:c r="G214" s="31" t="n">
        <x:v>17.9</x:v>
      </x:c>
      <x:c r="H214" s="31" t="inlineStr">
        <x:is>
          <x:t xml:space="preserve">Нет</x:t>
        </x:is>
      </x:c>
      <x:c r="I214" s="31" t="inlineStr">
        <x:is>
          <x:t xml:space="preserve">Нет</x:t>
        </x:is>
      </x:c>
      <x:c r="J214" s="31" t="inlineStr">
        <x:is>
          <x:t xml:space="preserve">Версия 3</x:t>
        </x:is>
      </x:c>
    </x:row>
    <x:row r="215" ht="18" customHeight="1">
      <x:c r="A215" s="31" t="inlineStr">
        <x:is>
          <x:t xml:space="preserve">МАР-0214</x:t>
        </x:is>
      </x:c>
      <x:c r="B215" s="31" t="inlineStr">
        <x:is>
          <x:t xml:space="preserve">ИЗД-027</x:t>
        </x:is>
      </x:c>
      <x:c r="C215" s="31" t="n">
        <x:v>10</x:v>
      </x:c>
      <x:c r="D215" s="31" t="inlineStr">
        <x:is>
          <x:t xml:space="preserve">КД</x:t>
        </x:is>
      </x:c>
      <x:c r="E215" s="31" t="inlineStr">
        <x:is>
          <x:t xml:space="preserve">Инженерный отдел</x:t>
        </x:is>
      </x:c>
      <x:c r="F215" s="31" t="n"/>
      <x:c r="G215" s="31" t="n">
        <x:v>19.2</x:v>
      </x:c>
      <x:c r="H215" s="31" t="inlineStr">
        <x:is>
          <x:t xml:space="preserve">Нет</x:t>
        </x:is>
      </x:c>
      <x:c r="I215" s="31" t="inlineStr">
        <x:is>
          <x:t xml:space="preserve">Нет</x:t>
        </x:is>
      </x:c>
      <x:c r="J215" s="31" t="inlineStr">
        <x:is>
          <x:t xml:space="preserve">Версия 7</x:t>
        </x:is>
      </x:c>
    </x:row>
    <x:row r="216" ht="18" customHeight="1">
      <x:c r="A216" s="31" t="inlineStr">
        <x:is>
          <x:t xml:space="preserve">МАР-0215</x:t>
        </x:is>
      </x:c>
      <x:c r="B216" s="31" t="inlineStr">
        <x:is>
          <x:t xml:space="preserve">ИЗД-027</x:t>
        </x:is>
      </x:c>
      <x:c r="C216" s="31" t="n">
        <x:v>20</x:v>
      </x:c>
      <x:c r="D216" s="31" t="inlineStr">
        <x:is>
          <x:t xml:space="preserve">Резерв материалов</x:t>
        </x:is>
      </x:c>
      <x:c r="E216" s="31" t="inlineStr">
        <x:is>
          <x:t xml:space="preserve">Склад</x:t>
        </x:is>
      </x:c>
      <x:c r="F216" s="31" t="inlineStr">
        <x:is>
          <x:t xml:space="preserve">ОБ-008</x:t>
        </x:is>
      </x:c>
      <x:c r="G216" s="31" t="n">
        <x:v>2.9</x:v>
      </x:c>
      <x:c r="H216" s="31" t="inlineStr">
        <x:is>
          <x:t xml:space="preserve">Да</x:t>
        </x:is>
      </x:c>
      <x:c r="I216" s="31" t="inlineStr">
        <x:is>
          <x:t xml:space="preserve">Нет</x:t>
        </x:is>
      </x:c>
      <x:c r="J216" s="31" t="inlineStr">
        <x:is>
          <x:t xml:space="preserve">Версия 7</x:t>
        </x:is>
      </x:c>
    </x:row>
    <x:row r="217" ht="18" customHeight="1">
      <x:c r="A217" s="31" t="inlineStr">
        <x:is>
          <x:t xml:space="preserve">МАР-0216</x:t>
        </x:is>
      </x:c>
      <x:c r="B217" s="31" t="inlineStr">
        <x:is>
          <x:t xml:space="preserve">ИЗД-027</x:t>
        </x:is>
      </x:c>
      <x:c r="C217" s="31" t="n">
        <x:v>30</x:v>
      </x:c>
      <x:c r="D217" s="31" t="inlineStr">
        <x:is>
          <x:t xml:space="preserve">Сварка рамы</x:t>
        </x:is>
      </x:c>
      <x:c r="E217" s="31" t="inlineStr">
        <x:is>
          <x:t xml:space="preserve">Сварка</x:t>
        </x:is>
      </x:c>
      <x:c r="F217" s="31" t="inlineStr">
        <x:is>
          <x:t xml:space="preserve">ОБ-010</x:t>
        </x:is>
      </x:c>
      <x:c r="G217" s="31" t="n">
        <x:v>13.2</x:v>
      </x:c>
      <x:c r="H217" s="31" t="inlineStr">
        <x:is>
          <x:t xml:space="preserve">Да</x:t>
        </x:is>
      </x:c>
      <x:c r="I217" s="31" t="inlineStr">
        <x:is>
          <x:t xml:space="preserve">Нет</x:t>
        </x:is>
      </x:c>
      <x:c r="J217" s="31" t="inlineStr">
        <x:is>
          <x:t xml:space="preserve">Версия 7</x:t>
        </x:is>
      </x:c>
    </x:row>
    <x:row r="218" ht="18" customHeight="1">
      <x:c r="A218" s="31" t="inlineStr">
        <x:is>
          <x:t xml:space="preserve">МАР-0217</x:t>
        </x:is>
      </x:c>
      <x:c r="B218" s="31" t="inlineStr">
        <x:is>
          <x:t xml:space="preserve">ИЗД-027</x:t>
        </x:is>
      </x:c>
      <x:c r="C218" s="31" t="n">
        <x:v>40</x:v>
      </x:c>
      <x:c r="D218" s="31" t="inlineStr">
        <x:is>
          <x:t xml:space="preserve">Сборка</x:t>
        </x:is>
      </x:c>
      <x:c r="E218" s="31" t="inlineStr">
        <x:is>
          <x:t xml:space="preserve">Сборка</x:t>
        </x:is>
      </x:c>
      <x:c r="F218" s="31" t="inlineStr">
        <x:is>
          <x:t xml:space="preserve">ОБ-027</x:t>
        </x:is>
      </x:c>
      <x:c r="G218" s="31" t="n">
        <x:v>8.9</x:v>
      </x:c>
      <x:c r="H218" s="31" t="inlineStr">
        <x:is>
          <x:t xml:space="preserve">Нет</x:t>
        </x:is>
      </x:c>
      <x:c r="I218" s="31" t="inlineStr">
        <x:is>
          <x:t xml:space="preserve">Нет</x:t>
        </x:is>
      </x:c>
      <x:c r="J218" s="31" t="inlineStr">
        <x:is>
          <x:t xml:space="preserve">Версия 7</x:t>
        </x:is>
      </x:c>
    </x:row>
    <x:row r="219" ht="18" customHeight="1">
      <x:c r="A219" s="31" t="inlineStr">
        <x:is>
          <x:t xml:space="preserve">МАР-0218</x:t>
        </x:is>
      </x:c>
      <x:c r="B219" s="31" t="inlineStr">
        <x:is>
          <x:t xml:space="preserve">ИЗД-027</x:t>
        </x:is>
      </x:c>
      <x:c r="C219" s="31" t="n">
        <x:v>50</x:v>
      </x:c>
      <x:c r="D219" s="31" t="inlineStr">
        <x:is>
          <x:t xml:space="preserve">Обвязка труб</x:t>
        </x:is>
      </x:c>
      <x:c r="E219" s="31" t="inlineStr">
        <x:is>
          <x:t xml:space="preserve">Сборка</x:t>
        </x:is>
      </x:c>
      <x:c r="F219" s="31" t="inlineStr">
        <x:is>
          <x:t xml:space="preserve">ОБ-012</x:t>
        </x:is>
      </x:c>
      <x:c r="G219" s="31" t="n">
        <x:v>18</x:v>
      </x:c>
      <x:c r="H219" s="31" t="inlineStr">
        <x:is>
          <x:t xml:space="preserve">Нет</x:t>
        </x:is>
      </x:c>
      <x:c r="I219" s="31" t="inlineStr">
        <x:is>
          <x:t xml:space="preserve">Нет</x:t>
        </x:is>
      </x:c>
      <x:c r="J219" s="31" t="inlineStr">
        <x:is>
          <x:t xml:space="preserve">Версия 7</x:t>
        </x:is>
      </x:c>
    </x:row>
    <x:row r="220" ht="18" customHeight="1">
      <x:c r="A220" s="31" t="inlineStr">
        <x:is>
          <x:t xml:space="preserve">МАР-0219</x:t>
        </x:is>
      </x:c>
      <x:c r="B220" s="31" t="inlineStr">
        <x:is>
          <x:t xml:space="preserve">ИЗД-027</x:t>
        </x:is>
      </x:c>
      <x:c r="C220" s="31" t="n">
        <x:v>60</x:v>
      </x:c>
      <x:c r="D220" s="31" t="inlineStr">
        <x:is>
          <x:t xml:space="preserve">Электромонтаж</x:t>
        </x:is>
      </x:c>
      <x:c r="E220" s="31" t="inlineStr">
        <x:is>
          <x:t xml:space="preserve">Сборка</x:t>
        </x:is>
      </x:c>
      <x:c r="F220" s="31" t="inlineStr">
        <x:is>
          <x:t xml:space="preserve">ОБ-020</x:t>
        </x:is>
      </x:c>
      <x:c r="G220" s="31" t="n">
        <x:v>16</x:v>
      </x:c>
      <x:c r="H220" s="31" t="inlineStr">
        <x:is>
          <x:t xml:space="preserve">Нет</x:t>
        </x:is>
      </x:c>
      <x:c r="I220" s="31" t="inlineStr">
        <x:is>
          <x:t xml:space="preserve">Нет</x:t>
        </x:is>
      </x:c>
      <x:c r="J220" s="31" t="inlineStr">
        <x:is>
          <x:t xml:space="preserve">Версия 7</x:t>
        </x:is>
      </x:c>
    </x:row>
    <x:row r="221" ht="18" customHeight="1">
      <x:c r="A221" s="31" t="inlineStr">
        <x:is>
          <x:t xml:space="preserve">МАР-0220</x:t>
        </x:is>
      </x:c>
      <x:c r="B221" s="31" t="inlineStr">
        <x:is>
          <x:t xml:space="preserve">ИЗД-027</x:t>
        </x:is>
      </x:c>
      <x:c r="C221" s="31" t="n">
        <x:v>70</x:v>
      </x:c>
      <x:c r="D221" s="31" t="inlineStr">
        <x:is>
          <x:t xml:space="preserve">Гидроиспытания</x:t>
        </x:is>
      </x:c>
      <x:c r="E221" s="31" t="inlineStr">
        <x:is>
          <x:t xml:space="preserve">ОТК</x:t>
        </x:is>
      </x:c>
      <x:c r="F221" s="31" t="inlineStr">
        <x:is>
          <x:t xml:space="preserve">ОБ-033</x:t>
        </x:is>
      </x:c>
      <x:c r="G221" s="31" t="n">
        <x:v>12.2</x:v>
      </x:c>
      <x:c r="H221" s="31" t="inlineStr">
        <x:is>
          <x:t xml:space="preserve">Нет</x:t>
        </x:is>
      </x:c>
      <x:c r="I221" s="31" t="inlineStr">
        <x:is>
          <x:t xml:space="preserve">Нет</x:t>
        </x:is>
      </x:c>
      <x:c r="J221" s="31" t="inlineStr">
        <x:is>
          <x:t xml:space="preserve">Версия 7</x:t>
        </x:is>
      </x:c>
    </x:row>
    <x:row r="222" ht="18" customHeight="1">
      <x:c r="A222" s="31" t="inlineStr">
        <x:is>
          <x:t xml:space="preserve">МАР-0221</x:t>
        </x:is>
      </x:c>
      <x:c r="B222" s="31" t="inlineStr">
        <x:is>
          <x:t xml:space="preserve">ИЗД-027</x:t>
        </x:is>
      </x:c>
      <x:c r="C222" s="31" t="n">
        <x:v>80</x:v>
      </x:c>
      <x:c r="D222" s="31" t="inlineStr">
        <x:is>
          <x:t xml:space="preserve">ОТК</x:t>
        </x:is>
      </x:c>
      <x:c r="E222" s="31" t="inlineStr">
        <x:is>
          <x:t xml:space="preserve">ОТК</x:t>
        </x:is>
      </x:c>
      <x:c r="F222" s="31" t="inlineStr">
        <x:is>
          <x:t xml:space="preserve">ОБ-015</x:t>
        </x:is>
      </x:c>
      <x:c r="G222" s="31" t="n">
        <x:v>14.1</x:v>
      </x:c>
      <x:c r="H222" s="31" t="inlineStr">
        <x:is>
          <x:t xml:space="preserve">Нет</x:t>
        </x:is>
      </x:c>
      <x:c r="I222" s="31" t="inlineStr">
        <x:is>
          <x:t xml:space="preserve">Нет</x:t>
        </x:is>
      </x:c>
      <x:c r="J222" s="31" t="inlineStr">
        <x:is>
          <x:t xml:space="preserve">Версия 7</x:t>
        </x:is>
      </x:c>
    </x:row>
    <x:row r="223" ht="18" customHeight="1">
      <x:c r="A223" s="31" t="inlineStr">
        <x:is>
          <x:t xml:space="preserve">МАР-0222</x:t>
        </x:is>
      </x:c>
      <x:c r="B223" s="31" t="inlineStr">
        <x:is>
          <x:t xml:space="preserve">ИЗД-027</x:t>
        </x:is>
      </x:c>
      <x:c r="C223" s="31" t="n">
        <x:v>90</x:v>
      </x:c>
      <x:c r="D223" s="31" t="inlineStr">
        <x:is>
          <x:t xml:space="preserve">Упаковка</x:t>
        </x:is>
      </x:c>
      <x:c r="E223" s="31" t="inlineStr">
        <x:is>
          <x:t xml:space="preserve">Логистика</x:t>
        </x:is>
      </x:c>
      <x:c r="F223" s="31" t="n"/>
      <x:c r="G223" s="31" t="n">
        <x:v>8.1</x:v>
      </x:c>
      <x:c r="H223" s="31" t="inlineStr">
        <x:is>
          <x:t xml:space="preserve">Нет</x:t>
        </x:is>
      </x:c>
      <x:c r="I223" s="31" t="inlineStr">
        <x:is>
          <x:t xml:space="preserve">Нет</x:t>
        </x:is>
      </x:c>
      <x:c r="J223" s="31" t="inlineStr">
        <x:is>
          <x:t xml:space="preserve">Версия 7</x:t>
        </x:is>
      </x:c>
    </x:row>
    <x:row r="224" ht="18" customHeight="1">
      <x:c r="A224" s="31" t="inlineStr">
        <x:is>
          <x:t xml:space="preserve">МАР-0223</x:t>
        </x:is>
      </x:c>
      <x:c r="B224" s="31" t="inlineStr">
        <x:is>
          <x:t xml:space="preserve">ИЗД-028</x:t>
        </x:is>
      </x:c>
      <x:c r="C224" s="31" t="n">
        <x:v>10</x:v>
      </x:c>
      <x:c r="D224" s="31" t="inlineStr">
        <x:is>
          <x:t xml:space="preserve">КД</x:t>
        </x:is>
      </x:c>
      <x:c r="E224" s="31" t="inlineStr">
        <x:is>
          <x:t xml:space="preserve">Инженерный отдел</x:t>
        </x:is>
      </x:c>
      <x:c r="F224" s="31" t="n"/>
      <x:c r="G224" s="31" t="n">
        <x:v>14</x:v>
      </x:c>
      <x:c r="H224" s="31" t="inlineStr">
        <x:is>
          <x:t xml:space="preserve">Да</x:t>
        </x:is>
      </x:c>
      <x:c r="I224" s="31" t="inlineStr">
        <x:is>
          <x:t xml:space="preserve">Нет</x:t>
        </x:is>
      </x:c>
      <x:c r="J224" s="31" t="inlineStr">
        <x:is>
          <x:t xml:space="preserve">Версия 3</x:t>
        </x:is>
      </x:c>
    </x:row>
    <x:row r="225" ht="18" customHeight="1">
      <x:c r="A225" s="31" t="inlineStr">
        <x:is>
          <x:t xml:space="preserve">МАР-0224</x:t>
        </x:is>
      </x:c>
      <x:c r="B225" s="31" t="inlineStr">
        <x:is>
          <x:t xml:space="preserve">ИЗД-028</x:t>
        </x:is>
      </x:c>
      <x:c r="C225" s="31" t="n">
        <x:v>20</x:v>
      </x:c>
      <x:c r="D225" s="31" t="inlineStr">
        <x:is>
          <x:t xml:space="preserve">Резерв материалов</x:t>
        </x:is>
      </x:c>
      <x:c r="E225" s="31" t="inlineStr">
        <x:is>
          <x:t xml:space="preserve">Склад</x:t>
        </x:is>
      </x:c>
      <x:c r="F225" s="31" t="inlineStr">
        <x:is>
          <x:t xml:space="preserve">ОБ-009</x:t>
        </x:is>
      </x:c>
      <x:c r="G225" s="31" t="n">
        <x:v>13.8</x:v>
      </x:c>
      <x:c r="H225" s="31" t="inlineStr">
        <x:is>
          <x:t xml:space="preserve">Нет</x:t>
        </x:is>
      </x:c>
      <x:c r="I225" s="31" t="inlineStr">
        <x:is>
          <x:t xml:space="preserve">Нет</x:t>
        </x:is>
      </x:c>
      <x:c r="J225" s="31" t="inlineStr">
        <x:is>
          <x:t xml:space="preserve">Версия 3</x:t>
        </x:is>
      </x:c>
    </x:row>
    <x:row r="226" ht="18" customHeight="1">
      <x:c r="A226" s="31" t="inlineStr">
        <x:is>
          <x:t xml:space="preserve">МАР-0225</x:t>
        </x:is>
      </x:c>
      <x:c r="B226" s="31" t="inlineStr">
        <x:is>
          <x:t xml:space="preserve">ИЗД-028</x:t>
        </x:is>
      </x:c>
      <x:c r="C226" s="31" t="n">
        <x:v>30</x:v>
      </x:c>
      <x:c r="D226" s="31" t="inlineStr">
        <x:is>
          <x:t xml:space="preserve">Сварка рамы</x:t>
        </x:is>
      </x:c>
      <x:c r="E226" s="31" t="inlineStr">
        <x:is>
          <x:t xml:space="preserve">Сварка</x:t>
        </x:is>
      </x:c>
      <x:c r="F226" s="31" t="inlineStr">
        <x:is>
          <x:t xml:space="preserve">ОБ-019</x:t>
        </x:is>
      </x:c>
      <x:c r="G226" s="31" t="n">
        <x:v>16.7</x:v>
      </x:c>
      <x:c r="H226" s="31" t="inlineStr">
        <x:is>
          <x:t xml:space="preserve">Нет</x:t>
        </x:is>
      </x:c>
      <x:c r="I226" s="31" t="inlineStr">
        <x:is>
          <x:t xml:space="preserve">Да</x:t>
        </x:is>
      </x:c>
      <x:c r="J226" s="31" t="inlineStr">
        <x:is>
          <x:t xml:space="preserve">Версия 3</x:t>
        </x:is>
      </x:c>
    </x:row>
    <x:row r="227" ht="18" customHeight="1">
      <x:c r="A227" s="31" t="inlineStr">
        <x:is>
          <x:t xml:space="preserve">МАР-0226</x:t>
        </x:is>
      </x:c>
      <x:c r="B227" s="31" t="inlineStr">
        <x:is>
          <x:t xml:space="preserve">ИЗД-028</x:t>
        </x:is>
      </x:c>
      <x:c r="C227" s="31" t="n">
        <x:v>40</x:v>
      </x:c>
      <x:c r="D227" s="31" t="inlineStr">
        <x:is>
          <x:t xml:space="preserve">Сборка</x:t>
        </x:is>
      </x:c>
      <x:c r="E227" s="31" t="inlineStr">
        <x:is>
          <x:t xml:space="preserve">Сборка</x:t>
        </x:is>
      </x:c>
      <x:c r="F227" s="31" t="inlineStr">
        <x:is>
          <x:t xml:space="preserve">ОБ-005</x:t>
        </x:is>
      </x:c>
      <x:c r="G227" s="31" t="n">
        <x:v>17.3</x:v>
      </x:c>
      <x:c r="H227" s="31" t="inlineStr">
        <x:is>
          <x:t xml:space="preserve">Нет</x:t>
        </x:is>
      </x:c>
      <x:c r="I227" s="31" t="inlineStr">
        <x:is>
          <x:t xml:space="preserve">Нет</x:t>
        </x:is>
      </x:c>
      <x:c r="J227" s="31" t="inlineStr">
        <x:is>
          <x:t xml:space="preserve">Версия 3</x:t>
        </x:is>
      </x:c>
    </x:row>
    <x:row r="228" ht="18" customHeight="1">
      <x:c r="A228" s="31" t="inlineStr">
        <x:is>
          <x:t xml:space="preserve">МАР-0227</x:t>
        </x:is>
      </x:c>
      <x:c r="B228" s="31" t="inlineStr">
        <x:is>
          <x:t xml:space="preserve">ИЗД-028</x:t>
        </x:is>
      </x:c>
      <x:c r="C228" s="31" t="n">
        <x:v>50</x:v>
      </x:c>
      <x:c r="D228" s="31" t="inlineStr">
        <x:is>
          <x:t xml:space="preserve">Обвязка труб</x:t>
        </x:is>
      </x:c>
      <x:c r="E228" s="31" t="inlineStr">
        <x:is>
          <x:t xml:space="preserve">Сборка</x:t>
        </x:is>
      </x:c>
      <x:c r="F228" s="31" t="inlineStr">
        <x:is>
          <x:t xml:space="preserve">ОБ-005</x:t>
        </x:is>
      </x:c>
      <x:c r="G228" s="31" t="n">
        <x:v>13.3</x:v>
      </x:c>
      <x:c r="H228" s="31" t="inlineStr">
        <x:is>
          <x:t xml:space="preserve">Нет</x:t>
        </x:is>
      </x:c>
      <x:c r="I228" s="31" t="inlineStr">
        <x:is>
          <x:t xml:space="preserve">Нет</x:t>
        </x:is>
      </x:c>
      <x:c r="J228" s="31" t="inlineStr">
        <x:is>
          <x:t xml:space="preserve">Версия 3</x:t>
        </x:is>
      </x:c>
    </x:row>
    <x:row r="229" ht="18" customHeight="1">
      <x:c r="A229" s="31" t="inlineStr">
        <x:is>
          <x:t xml:space="preserve">МАР-0228</x:t>
        </x:is>
      </x:c>
      <x:c r="B229" s="31" t="inlineStr">
        <x:is>
          <x:t xml:space="preserve">ИЗД-028</x:t>
        </x:is>
      </x:c>
      <x:c r="C229" s="31" t="n">
        <x:v>60</x:v>
      </x:c>
      <x:c r="D229" s="31" t="inlineStr">
        <x:is>
          <x:t xml:space="preserve">Электромонтаж</x:t>
        </x:is>
      </x:c>
      <x:c r="E229" s="31" t="inlineStr">
        <x:is>
          <x:t xml:space="preserve">Сборка</x:t>
        </x:is>
      </x:c>
      <x:c r="F229" s="31" t="inlineStr">
        <x:is>
          <x:t xml:space="preserve">ОБ-002</x:t>
        </x:is>
      </x:c>
      <x:c r="G229" s="31" t="n">
        <x:v>11.8</x:v>
      </x:c>
      <x:c r="H229" s="31" t="inlineStr">
        <x:is>
          <x:t xml:space="preserve">Нет</x:t>
        </x:is>
      </x:c>
      <x:c r="I229" s="31" t="inlineStr">
        <x:is>
          <x:t xml:space="preserve">Нет</x:t>
        </x:is>
      </x:c>
      <x:c r="J229" s="31" t="inlineStr">
        <x:is>
          <x:t xml:space="preserve">Версия 3</x:t>
        </x:is>
      </x:c>
    </x:row>
    <x:row r="230" ht="18" customHeight="1">
      <x:c r="A230" s="31" t="inlineStr">
        <x:is>
          <x:t xml:space="preserve">МАР-0229</x:t>
        </x:is>
      </x:c>
      <x:c r="B230" s="31" t="inlineStr">
        <x:is>
          <x:t xml:space="preserve">ИЗД-028</x:t>
        </x:is>
      </x:c>
      <x:c r="C230" s="31" t="n">
        <x:v>70</x:v>
      </x:c>
      <x:c r="D230" s="31" t="inlineStr">
        <x:is>
          <x:t xml:space="preserve">Гидроиспытания</x:t>
        </x:is>
      </x:c>
      <x:c r="E230" s="31" t="inlineStr">
        <x:is>
          <x:t xml:space="preserve">ОТК</x:t>
        </x:is>
      </x:c>
      <x:c r="F230" s="31" t="inlineStr">
        <x:is>
          <x:t xml:space="preserve">ОБ-028</x:t>
        </x:is>
      </x:c>
      <x:c r="G230" s="31" t="n">
        <x:v>1.8</x:v>
      </x:c>
      <x:c r="H230" s="31" t="inlineStr">
        <x:is>
          <x:t xml:space="preserve">Нет</x:t>
        </x:is>
      </x:c>
      <x:c r="I230" s="31" t="inlineStr">
        <x:is>
          <x:t xml:space="preserve">Нет</x:t>
        </x:is>
      </x:c>
      <x:c r="J230" s="31" t="inlineStr">
        <x:is>
          <x:t xml:space="preserve">Версия 3</x:t>
        </x:is>
      </x:c>
    </x:row>
    <x:row r="231" ht="18" customHeight="1">
      <x:c r="A231" s="31" t="inlineStr">
        <x:is>
          <x:t xml:space="preserve">МАР-0230</x:t>
        </x:is>
      </x:c>
      <x:c r="B231" s="31" t="inlineStr">
        <x:is>
          <x:t xml:space="preserve">ИЗД-028</x:t>
        </x:is>
      </x:c>
      <x:c r="C231" s="31" t="n">
        <x:v>80</x:v>
      </x:c>
      <x:c r="D231" s="31" t="inlineStr">
        <x:is>
          <x:t xml:space="preserve">ОТК</x:t>
        </x:is>
      </x:c>
      <x:c r="E231" s="31" t="inlineStr">
        <x:is>
          <x:t xml:space="preserve">ОТК</x:t>
        </x:is>
      </x:c>
      <x:c r="F231" s="31" t="inlineStr">
        <x:is>
          <x:t xml:space="preserve">ОБ-024</x:t>
        </x:is>
      </x:c>
      <x:c r="G231" s="31" t="n">
        <x:v>14.5</x:v>
      </x:c>
      <x:c r="H231" s="31" t="inlineStr">
        <x:is>
          <x:t xml:space="preserve">Нет</x:t>
        </x:is>
      </x:c>
      <x:c r="I231" s="31" t="inlineStr">
        <x:is>
          <x:t xml:space="preserve">Нет</x:t>
        </x:is>
      </x:c>
      <x:c r="J231" s="31" t="inlineStr">
        <x:is>
          <x:t xml:space="preserve">Версия 3</x:t>
        </x:is>
      </x:c>
    </x:row>
    <x:row r="232" ht="18" customHeight="1">
      <x:c r="A232" s="31" t="inlineStr">
        <x:is>
          <x:t xml:space="preserve">МАР-0231</x:t>
        </x:is>
      </x:c>
      <x:c r="B232" s="31" t="inlineStr">
        <x:is>
          <x:t xml:space="preserve">ИЗД-028</x:t>
        </x:is>
      </x:c>
      <x:c r="C232" s="31" t="n">
        <x:v>90</x:v>
      </x:c>
      <x:c r="D232" s="31" t="inlineStr">
        <x:is>
          <x:t xml:space="preserve">Упаковка</x:t>
        </x:is>
      </x:c>
      <x:c r="E232" s="31" t="inlineStr">
        <x:is>
          <x:t xml:space="preserve">Логистика</x:t>
        </x:is>
      </x:c>
      <x:c r="F232" s="31" t="n"/>
      <x:c r="G232" s="31" t="n">
        <x:v>6.8</x:v>
      </x:c>
      <x:c r="H232" s="31" t="inlineStr">
        <x:is>
          <x:t xml:space="preserve">Да</x:t>
        </x:is>
      </x:c>
      <x:c r="I232" s="31" t="inlineStr">
        <x:is>
          <x:t xml:space="preserve">Нет</x:t>
        </x:is>
      </x:c>
      <x:c r="J232" s="31" t="inlineStr">
        <x:is>
          <x:t xml:space="preserve">Версия 3</x:t>
        </x:is>
      </x:c>
    </x:row>
    <x:row r="233" ht="18" customHeight="1">
      <x:c r="A233" s="31" t="inlineStr">
        <x:is>
          <x:t xml:space="preserve">МАР-0232</x:t>
        </x:is>
      </x:c>
      <x:c r="B233" s="31" t="inlineStr">
        <x:is>
          <x:t xml:space="preserve">ИЗД-029</x:t>
        </x:is>
      </x:c>
      <x:c r="C233" s="31" t="n">
        <x:v>10</x:v>
      </x:c>
      <x:c r="D233" s="31" t="inlineStr">
        <x:is>
          <x:t xml:space="preserve">КД</x:t>
        </x:is>
      </x:c>
      <x:c r="E233" s="31" t="inlineStr">
        <x:is>
          <x:t xml:space="preserve">Инженерный отдел</x:t>
        </x:is>
      </x:c>
      <x:c r="F233" s="31" t="n"/>
      <x:c r="G233" s="31" t="n">
        <x:v>12.1</x:v>
      </x:c>
      <x:c r="H233" s="31" t="inlineStr">
        <x:is>
          <x:t xml:space="preserve">Нет</x:t>
        </x:is>
      </x:c>
      <x:c r="I233" s="31" t="inlineStr">
        <x:is>
          <x:t xml:space="preserve">Нет</x:t>
        </x:is>
      </x:c>
      <x:c r="J233" s="31" t="inlineStr">
        <x:is>
          <x:t xml:space="preserve">Версия 4</x:t>
        </x:is>
      </x:c>
    </x:row>
    <x:row r="234" ht="18" customHeight="1">
      <x:c r="A234" s="31" t="inlineStr">
        <x:is>
          <x:t xml:space="preserve">МАР-0233</x:t>
        </x:is>
      </x:c>
      <x:c r="B234" s="31" t="inlineStr">
        <x:is>
          <x:t xml:space="preserve">ИЗД-029</x:t>
        </x:is>
      </x:c>
      <x:c r="C234" s="31" t="n">
        <x:v>20</x:v>
      </x:c>
      <x:c r="D234" s="31" t="inlineStr">
        <x:is>
          <x:t xml:space="preserve">Резерв материалов</x:t>
        </x:is>
      </x:c>
      <x:c r="E234" s="31" t="inlineStr">
        <x:is>
          <x:t xml:space="preserve">Склад</x:t>
        </x:is>
      </x:c>
      <x:c r="F234" s="31" t="inlineStr">
        <x:is>
          <x:t xml:space="preserve">ОБ-023</x:t>
        </x:is>
      </x:c>
      <x:c r="G234" s="31" t="n">
        <x:v>6.2</x:v>
      </x:c>
      <x:c r="H234" s="31" t="inlineStr">
        <x:is>
          <x:t xml:space="preserve">Нет</x:t>
        </x:is>
      </x:c>
      <x:c r="I234" s="31" t="inlineStr">
        <x:is>
          <x:t xml:space="preserve">Нет</x:t>
        </x:is>
      </x:c>
      <x:c r="J234" s="31" t="inlineStr">
        <x:is>
          <x:t xml:space="preserve">Версия 4</x:t>
        </x:is>
      </x:c>
    </x:row>
    <x:row r="235" ht="18" customHeight="1">
      <x:c r="A235" s="31" t="inlineStr">
        <x:is>
          <x:t xml:space="preserve">МАР-0234</x:t>
        </x:is>
      </x:c>
      <x:c r="B235" s="31" t="inlineStr">
        <x:is>
          <x:t xml:space="preserve">ИЗД-029</x:t>
        </x:is>
      </x:c>
      <x:c r="C235" s="31" t="n">
        <x:v>30</x:v>
      </x:c>
      <x:c r="D235" s="31" t="inlineStr">
        <x:is>
          <x:t xml:space="preserve">Резка металла</x:t>
        </x:is>
      </x:c>
      <x:c r="E235" s="31" t="inlineStr">
        <x:is>
          <x:t xml:space="preserve">Сварка</x:t>
        </x:is>
      </x:c>
      <x:c r="F235" s="31" t="inlineStr">
        <x:is>
          <x:t xml:space="preserve">ОБ-019</x:t>
        </x:is>
      </x:c>
      <x:c r="G235" s="31" t="n">
        <x:v>13.2</x:v>
      </x:c>
      <x:c r="H235" s="31" t="inlineStr">
        <x:is>
          <x:t xml:space="preserve">Нет</x:t>
        </x:is>
      </x:c>
      <x:c r="I235" s="31" t="inlineStr">
        <x:is>
          <x:t xml:space="preserve">Нет</x:t>
        </x:is>
      </x:c>
      <x:c r="J235" s="31" t="inlineStr">
        <x:is>
          <x:t xml:space="preserve">Версия 4</x:t>
        </x:is>
      </x:c>
    </x:row>
    <x:row r="236" ht="18" customHeight="1">
      <x:c r="A236" s="31" t="inlineStr">
        <x:is>
          <x:t xml:space="preserve">МАР-0235</x:t>
        </x:is>
      </x:c>
      <x:c r="B236" s="31" t="inlineStr">
        <x:is>
          <x:t xml:space="preserve">ИЗД-029</x:t>
        </x:is>
      </x:c>
      <x:c r="C236" s="31" t="n">
        <x:v>40</x:v>
      </x:c>
      <x:c r="D236" s="31" t="inlineStr">
        <x:is>
          <x:t xml:space="preserve">Сварка рамы</x:t>
        </x:is>
      </x:c>
      <x:c r="E236" s="31" t="inlineStr">
        <x:is>
          <x:t xml:space="preserve">Сварка</x:t>
        </x:is>
      </x:c>
      <x:c r="F236" s="31" t="inlineStr">
        <x:is>
          <x:t xml:space="preserve">ОБ-004</x:t>
        </x:is>
      </x:c>
      <x:c r="G236" s="31" t="n">
        <x:v>6.6</x:v>
      </x:c>
      <x:c r="H236" s="31" t="inlineStr">
        <x:is>
          <x:t xml:space="preserve">Да</x:t>
        </x:is>
      </x:c>
      <x:c r="I236" s="31" t="inlineStr">
        <x:is>
          <x:t xml:space="preserve">Да</x:t>
        </x:is>
      </x:c>
      <x:c r="J236" s="31" t="inlineStr">
        <x:is>
          <x:t xml:space="preserve">Версия 4</x:t>
        </x:is>
      </x:c>
    </x:row>
    <x:row r="237" ht="18" customHeight="1">
      <x:c r="A237" s="31" t="inlineStr">
        <x:is>
          <x:t xml:space="preserve">МАР-0236</x:t>
        </x:is>
      </x:c>
      <x:c r="B237" s="31" t="inlineStr">
        <x:is>
          <x:t xml:space="preserve">ИЗД-029</x:t>
        </x:is>
      </x:c>
      <x:c r="C237" s="31" t="n">
        <x:v>50</x:v>
      </x:c>
      <x:c r="D237" s="31" t="inlineStr">
        <x:is>
          <x:t xml:space="preserve">Механообработка</x:t>
        </x:is>
      </x:c>
      <x:c r="E237" s="31" t="inlineStr">
        <x:is>
          <x:t xml:space="preserve">Механообработка</x:t>
        </x:is>
      </x:c>
      <x:c r="F237" s="31" t="inlineStr">
        <x:is>
          <x:t xml:space="preserve">ОБ-030</x:t>
        </x:is>
      </x:c>
      <x:c r="G237" s="31" t="n">
        <x:v>15.4</x:v>
      </x:c>
      <x:c r="H237" s="31" t="inlineStr">
        <x:is>
          <x:t xml:space="preserve">Да</x:t>
        </x:is>
      </x:c>
      <x:c r="I237" s="31" t="inlineStr">
        <x:is>
          <x:t xml:space="preserve">Нет</x:t>
        </x:is>
      </x:c>
      <x:c r="J237" s="31" t="inlineStr">
        <x:is>
          <x:t xml:space="preserve">Версия 4</x:t>
        </x:is>
      </x:c>
    </x:row>
    <x:row r="238" ht="18" customHeight="1">
      <x:c r="A238" s="31" t="inlineStr">
        <x:is>
          <x:t xml:space="preserve">МАР-0237</x:t>
        </x:is>
      </x:c>
      <x:c r="B238" s="31" t="inlineStr">
        <x:is>
          <x:t xml:space="preserve">ИЗД-029</x:t>
        </x:is>
      </x:c>
      <x:c r="C238" s="31" t="n">
        <x:v>60</x:v>
      </x:c>
      <x:c r="D238" s="31" t="inlineStr">
        <x:is>
          <x:t xml:space="preserve">Сборка</x:t>
        </x:is>
      </x:c>
      <x:c r="E238" s="31" t="inlineStr">
        <x:is>
          <x:t xml:space="preserve">Сборка</x:t>
        </x:is>
      </x:c>
      <x:c r="F238" s="31" t="inlineStr">
        <x:is>
          <x:t xml:space="preserve">ОБ-002</x:t>
        </x:is>
      </x:c>
      <x:c r="G238" s="31" t="n">
        <x:v>16.7</x:v>
      </x:c>
      <x:c r="H238" s="31" t="inlineStr">
        <x:is>
          <x:t xml:space="preserve">Нет</x:t>
        </x:is>
      </x:c>
      <x:c r="I238" s="31" t="inlineStr">
        <x:is>
          <x:t xml:space="preserve">Нет</x:t>
        </x:is>
      </x:c>
      <x:c r="J238" s="31" t="inlineStr">
        <x:is>
          <x:t xml:space="preserve">Версия 4</x:t>
        </x:is>
      </x:c>
    </x:row>
    <x:row r="239" ht="18" customHeight="1">
      <x:c r="A239" s="31" t="inlineStr">
        <x:is>
          <x:t xml:space="preserve">МАР-0238</x:t>
        </x:is>
      </x:c>
      <x:c r="B239" s="31" t="inlineStr">
        <x:is>
          <x:t xml:space="preserve">ИЗД-029</x:t>
        </x:is>
      </x:c>
      <x:c r="C239" s="31" t="n">
        <x:v>70</x:v>
      </x:c>
      <x:c r="D239" s="31" t="inlineStr">
        <x:is>
          <x:t xml:space="preserve">Обвязка труб</x:t>
        </x:is>
      </x:c>
      <x:c r="E239" s="31" t="inlineStr">
        <x:is>
          <x:t xml:space="preserve">Сборка</x:t>
        </x:is>
      </x:c>
      <x:c r="F239" s="31" t="inlineStr">
        <x:is>
          <x:t xml:space="preserve">ОБ-012</x:t>
        </x:is>
      </x:c>
      <x:c r="G239" s="31" t="n">
        <x:v>17.6</x:v>
      </x:c>
      <x:c r="H239" s="31" t="inlineStr">
        <x:is>
          <x:t xml:space="preserve">Нет</x:t>
        </x:is>
      </x:c>
      <x:c r="I239" s="31" t="inlineStr">
        <x:is>
          <x:t xml:space="preserve">Нет</x:t>
        </x:is>
      </x:c>
      <x:c r="J239" s="31" t="inlineStr">
        <x:is>
          <x:t xml:space="preserve">Версия 4</x:t>
        </x:is>
      </x:c>
    </x:row>
    <x:row r="240" ht="18" customHeight="1">
      <x:c r="A240" s="31" t="inlineStr">
        <x:is>
          <x:t xml:space="preserve">МАР-0239</x:t>
        </x:is>
      </x:c>
      <x:c r="B240" s="31" t="inlineStr">
        <x:is>
          <x:t xml:space="preserve">ИЗД-029</x:t>
        </x:is>
      </x:c>
      <x:c r="C240" s="31" t="n">
        <x:v>80</x:v>
      </x:c>
      <x:c r="D240" s="31" t="inlineStr">
        <x:is>
          <x:t xml:space="preserve">Электромонтаж</x:t>
        </x:is>
      </x:c>
      <x:c r="E240" s="31" t="inlineStr">
        <x:is>
          <x:t xml:space="preserve">Сборка</x:t>
        </x:is>
      </x:c>
      <x:c r="F240" s="31" t="inlineStr">
        <x:is>
          <x:t xml:space="preserve">ОБ-014</x:t>
        </x:is>
      </x:c>
      <x:c r="G240" s="31" t="n">
        <x:v>4.7</x:v>
      </x:c>
      <x:c r="H240" s="31" t="inlineStr">
        <x:is>
          <x:t xml:space="preserve">Нет</x:t>
        </x:is>
      </x:c>
      <x:c r="I240" s="31" t="inlineStr">
        <x:is>
          <x:t xml:space="preserve">Нет</x:t>
        </x:is>
      </x:c>
      <x:c r="J240" s="31" t="inlineStr">
        <x:is>
          <x:t xml:space="preserve">Версия 4</x:t>
        </x:is>
      </x:c>
    </x:row>
    <x:row r="241" ht="18" customHeight="1">
      <x:c r="A241" s="31" t="inlineStr">
        <x:is>
          <x:t xml:space="preserve">МАР-0240</x:t>
        </x:is>
      </x:c>
      <x:c r="B241" s="31" t="inlineStr">
        <x:is>
          <x:t xml:space="preserve">ИЗД-029</x:t>
        </x:is>
      </x:c>
      <x:c r="C241" s="31" t="n">
        <x:v>90</x:v>
      </x:c>
      <x:c r="D241" s="31" t="inlineStr">
        <x:is>
          <x:t xml:space="preserve">Приемочные испытания</x:t>
        </x:is>
      </x:c>
      <x:c r="E241" s="31" t="inlineStr">
        <x:is>
          <x:t xml:space="preserve">ОТК</x:t>
        </x:is>
      </x:c>
      <x:c r="F241" s="31" t="inlineStr">
        <x:is>
          <x:t xml:space="preserve">ОБ-022</x:t>
        </x:is>
      </x:c>
      <x:c r="G241" s="31" t="n">
        <x:v>16.8</x:v>
      </x:c>
      <x:c r="H241" s="31" t="inlineStr">
        <x:is>
          <x:t xml:space="preserve">Нет</x:t>
        </x:is>
      </x:c>
      <x:c r="I241" s="31" t="inlineStr">
        <x:is>
          <x:t xml:space="preserve">Нет</x:t>
        </x:is>
      </x:c>
      <x:c r="J241" s="31" t="inlineStr">
        <x:is>
          <x:t xml:space="preserve">Версия 4</x:t>
        </x:is>
      </x:c>
    </x:row>
    <x:row r="242" ht="18" customHeight="1">
      <x:c r="A242" s="31" t="inlineStr">
        <x:is>
          <x:t xml:space="preserve">МАР-0241</x:t>
        </x:is>
      </x:c>
      <x:c r="B242" s="31" t="inlineStr">
        <x:is>
          <x:t xml:space="preserve">ИЗД-029</x:t>
        </x:is>
      </x:c>
      <x:c r="C242" s="31" t="n">
        <x:v>100</x:v>
      </x:c>
      <x:c r="D242" s="31" t="inlineStr">
        <x:is>
          <x:t xml:space="preserve">ОТК</x:t>
        </x:is>
      </x:c>
      <x:c r="E242" s="31" t="inlineStr">
        <x:is>
          <x:t xml:space="preserve">ОТК</x:t>
        </x:is>
      </x:c>
      <x:c r="F242" s="31" t="inlineStr">
        <x:is>
          <x:t xml:space="preserve">ОБ-007</x:t>
        </x:is>
      </x:c>
      <x:c r="G242" s="31" t="n">
        <x:v>12.1</x:v>
      </x:c>
      <x:c r="H242" s="31" t="inlineStr">
        <x:is>
          <x:t xml:space="preserve">Нет</x:t>
        </x:is>
      </x:c>
      <x:c r="I242" s="31" t="inlineStr">
        <x:is>
          <x:t xml:space="preserve">Нет</x:t>
        </x:is>
      </x:c>
      <x:c r="J242" s="31" t="inlineStr">
        <x:is>
          <x:t xml:space="preserve">Версия 4</x:t>
        </x:is>
      </x:c>
    </x:row>
    <x:row r="243" ht="18" customHeight="1">
      <x:c r="A243" s="31" t="inlineStr">
        <x:is>
          <x:t xml:space="preserve">МАР-0242</x:t>
        </x:is>
      </x:c>
      <x:c r="B243" s="31" t="inlineStr">
        <x:is>
          <x:t xml:space="preserve">ИЗД-029</x:t>
        </x:is>
      </x:c>
      <x:c r="C243" s="31" t="n">
        <x:v>110</x:v>
      </x:c>
      <x:c r="D243" s="31" t="inlineStr">
        <x:is>
          <x:t xml:space="preserve">Упаковка</x:t>
        </x:is>
      </x:c>
      <x:c r="E243" s="31" t="inlineStr">
        <x:is>
          <x:t xml:space="preserve">Логистика</x:t>
        </x:is>
      </x:c>
      <x:c r="F243" s="31" t="n"/>
      <x:c r="G243" s="31" t="n">
        <x:v>8.9</x:v>
      </x:c>
      <x:c r="H243" s="31" t="inlineStr">
        <x:is>
          <x:t xml:space="preserve">Нет</x:t>
        </x:is>
      </x:c>
      <x:c r="I243" s="31" t="inlineStr">
        <x:is>
          <x:t xml:space="preserve">Нет</x:t>
        </x:is>
      </x:c>
      <x:c r="J243" s="31" t="inlineStr">
        <x:is>
          <x:t xml:space="preserve">Версия 4</x:t>
        </x:is>
      </x:c>
    </x:row>
    <x:row r="244" ht="18" customHeight="1">
      <x:c r="A244" s="31" t="inlineStr">
        <x:is>
          <x:t xml:space="preserve">МАР-0243</x:t>
        </x:is>
      </x:c>
      <x:c r="B244" s="31" t="inlineStr">
        <x:is>
          <x:t xml:space="preserve">ИЗД-030</x:t>
        </x:is>
      </x:c>
      <x:c r="C244" s="31" t="n">
        <x:v>10</x:v>
      </x:c>
      <x:c r="D244" s="31" t="inlineStr">
        <x:is>
          <x:t xml:space="preserve">КД</x:t>
        </x:is>
      </x:c>
      <x:c r="E244" s="31" t="inlineStr">
        <x:is>
          <x:t xml:space="preserve">Инженерный отдел</x:t>
        </x:is>
      </x:c>
      <x:c r="F244" s="31" t="n"/>
      <x:c r="G244" s="31" t="n">
        <x:v>9</x:v>
      </x:c>
      <x:c r="H244" s="31" t="inlineStr">
        <x:is>
          <x:t xml:space="preserve">Да</x:t>
        </x:is>
      </x:c>
      <x:c r="I244" s="31" t="inlineStr">
        <x:is>
          <x:t xml:space="preserve">Нет</x:t>
        </x:is>
      </x:c>
      <x:c r="J244" s="31" t="inlineStr">
        <x:is>
          <x:t xml:space="preserve">Версия 6</x:t>
        </x:is>
      </x:c>
    </x:row>
    <x:row r="245" ht="18" customHeight="1">
      <x:c r="A245" s="31" t="inlineStr">
        <x:is>
          <x:t xml:space="preserve">МАР-0244</x:t>
        </x:is>
      </x:c>
      <x:c r="B245" s="31" t="inlineStr">
        <x:is>
          <x:t xml:space="preserve">ИЗД-030</x:t>
        </x:is>
      </x:c>
      <x:c r="C245" s="31" t="n">
        <x:v>20</x:v>
      </x:c>
      <x:c r="D245" s="31" t="inlineStr">
        <x:is>
          <x:t xml:space="preserve">Резерв материалов</x:t>
        </x:is>
      </x:c>
      <x:c r="E245" s="31" t="inlineStr">
        <x:is>
          <x:t xml:space="preserve">Склад</x:t>
        </x:is>
      </x:c>
      <x:c r="F245" s="31" t="inlineStr">
        <x:is>
          <x:t xml:space="preserve">ОБ-008</x:t>
        </x:is>
      </x:c>
      <x:c r="G245" s="31" t="n">
        <x:v>10.3</x:v>
      </x:c>
      <x:c r="H245" s="31" t="inlineStr">
        <x:is>
          <x:t xml:space="preserve">Нет</x:t>
        </x:is>
      </x:c>
      <x:c r="I245" s="31" t="inlineStr">
        <x:is>
          <x:t xml:space="preserve">Нет</x:t>
        </x:is>
      </x:c>
      <x:c r="J245" s="31" t="inlineStr">
        <x:is>
          <x:t xml:space="preserve">Версия 6</x:t>
        </x:is>
      </x:c>
    </x:row>
    <x:row r="246" ht="18" customHeight="1">
      <x:c r="A246" s="31" t="inlineStr">
        <x:is>
          <x:t xml:space="preserve">МАР-0245</x:t>
        </x:is>
      </x:c>
      <x:c r="B246" s="31" t="inlineStr">
        <x:is>
          <x:t xml:space="preserve">ИЗД-030</x:t>
        </x:is>
      </x:c>
      <x:c r="C246" s="31" t="n">
        <x:v>30</x:v>
      </x:c>
      <x:c r="D246" s="31" t="inlineStr">
        <x:is>
          <x:t xml:space="preserve">Резка металла</x:t>
        </x:is>
      </x:c>
      <x:c r="E246" s="31" t="inlineStr">
        <x:is>
          <x:t xml:space="preserve">Сварка</x:t>
        </x:is>
      </x:c>
      <x:c r="F246" s="31" t="inlineStr">
        <x:is>
          <x:t xml:space="preserve">ОБ-010</x:t>
        </x:is>
      </x:c>
      <x:c r="G246" s="31" t="n">
        <x:v>2.3</x:v>
      </x:c>
      <x:c r="H246" s="31" t="inlineStr">
        <x:is>
          <x:t xml:space="preserve">Нет</x:t>
        </x:is>
      </x:c>
      <x:c r="I246" s="31" t="inlineStr">
        <x:is>
          <x:t xml:space="preserve">Нет</x:t>
        </x:is>
      </x:c>
      <x:c r="J246" s="31" t="inlineStr">
        <x:is>
          <x:t xml:space="preserve">Версия 6</x:t>
        </x:is>
      </x:c>
    </x:row>
    <x:row r="247" ht="18" customHeight="1">
      <x:c r="A247" s="31" t="inlineStr">
        <x:is>
          <x:t xml:space="preserve">МАР-0246</x:t>
        </x:is>
      </x:c>
      <x:c r="B247" s="31" t="inlineStr">
        <x:is>
          <x:t xml:space="preserve">ИЗД-030</x:t>
        </x:is>
      </x:c>
      <x:c r="C247" s="31" t="n">
        <x:v>40</x:v>
      </x:c>
      <x:c r="D247" s="31" t="inlineStr">
        <x:is>
          <x:t xml:space="preserve">Сварка рамы</x:t>
        </x:is>
      </x:c>
      <x:c r="E247" s="31" t="inlineStr">
        <x:is>
          <x:t xml:space="preserve">Сварка</x:t>
        </x:is>
      </x:c>
      <x:c r="F247" s="31" t="inlineStr">
        <x:is>
          <x:t xml:space="preserve">ОБ-018</x:t>
        </x:is>
      </x:c>
      <x:c r="G247" s="31" t="n">
        <x:v>6.2</x:v>
      </x:c>
      <x:c r="H247" s="31" t="inlineStr">
        <x:is>
          <x:t xml:space="preserve">Нет</x:t>
        </x:is>
      </x:c>
      <x:c r="I247" s="31" t="inlineStr">
        <x:is>
          <x:t xml:space="preserve">Нет</x:t>
        </x:is>
      </x:c>
      <x:c r="J247" s="31" t="inlineStr">
        <x:is>
          <x:t xml:space="preserve">Версия 6</x:t>
        </x:is>
      </x:c>
    </x:row>
    <x:row r="248" ht="18" customHeight="1">
      <x:c r="A248" s="31" t="inlineStr">
        <x:is>
          <x:t xml:space="preserve">МАР-0247</x:t>
        </x:is>
      </x:c>
      <x:c r="B248" s="31" t="inlineStr">
        <x:is>
          <x:t xml:space="preserve">ИЗД-030</x:t>
        </x:is>
      </x:c>
      <x:c r="C248" s="31" t="n">
        <x:v>50</x:v>
      </x:c>
      <x:c r="D248" s="31" t="inlineStr">
        <x:is>
          <x:t xml:space="preserve">Механообработка</x:t>
        </x:is>
      </x:c>
      <x:c r="E248" s="31" t="inlineStr">
        <x:is>
          <x:t xml:space="preserve">Механообработка</x:t>
        </x:is>
      </x:c>
      <x:c r="F248" s="31" t="inlineStr">
        <x:is>
          <x:t xml:space="preserve">ОБ-029</x:t>
        </x:is>
      </x:c>
      <x:c r="G248" s="31" t="n">
        <x:v>6.2</x:v>
      </x:c>
      <x:c r="H248" s="31" t="inlineStr">
        <x:is>
          <x:t xml:space="preserve">Нет</x:t>
        </x:is>
      </x:c>
      <x:c r="I248" s="31" t="inlineStr">
        <x:is>
          <x:t xml:space="preserve">Нет</x:t>
        </x:is>
      </x:c>
      <x:c r="J248" s="31" t="inlineStr">
        <x:is>
          <x:t xml:space="preserve">Версия 6</x:t>
        </x:is>
      </x:c>
    </x:row>
    <x:row r="249" ht="18" customHeight="1">
      <x:c r="A249" s="31" t="inlineStr">
        <x:is>
          <x:t xml:space="preserve">МАР-0248</x:t>
        </x:is>
      </x:c>
      <x:c r="B249" s="31" t="inlineStr">
        <x:is>
          <x:t xml:space="preserve">ИЗД-030</x:t>
        </x:is>
      </x:c>
      <x:c r="C249" s="31" t="n">
        <x:v>60</x:v>
      </x:c>
      <x:c r="D249" s="31" t="inlineStr">
        <x:is>
          <x:t xml:space="preserve">Сборка</x:t>
        </x:is>
      </x:c>
      <x:c r="E249" s="31" t="inlineStr">
        <x:is>
          <x:t xml:space="preserve">Сборка</x:t>
        </x:is>
      </x:c>
      <x:c r="F249" s="31" t="inlineStr">
        <x:is>
          <x:t xml:space="preserve">ОБ-027</x:t>
        </x:is>
      </x:c>
      <x:c r="G249" s="31" t="n">
        <x:v>4.2</x:v>
      </x:c>
      <x:c r="H249" s="31" t="inlineStr">
        <x:is>
          <x:t xml:space="preserve">Нет</x:t>
        </x:is>
      </x:c>
      <x:c r="I249" s="31" t="inlineStr">
        <x:is>
          <x:t xml:space="preserve">Нет</x:t>
        </x:is>
      </x:c>
      <x:c r="J249" s="31" t="inlineStr">
        <x:is>
          <x:t xml:space="preserve">Версия 6</x:t>
        </x:is>
      </x:c>
    </x:row>
    <x:row r="250" ht="18" customHeight="1">
      <x:c r="A250" s="31" t="inlineStr">
        <x:is>
          <x:t xml:space="preserve">МАР-0249</x:t>
        </x:is>
      </x:c>
      <x:c r="B250" s="31" t="inlineStr">
        <x:is>
          <x:t xml:space="preserve">ИЗД-030</x:t>
        </x:is>
      </x:c>
      <x:c r="C250" s="31" t="n">
        <x:v>70</x:v>
      </x:c>
      <x:c r="D250" s="31" t="inlineStr">
        <x:is>
          <x:t xml:space="preserve">Электромонтаж</x:t>
        </x:is>
      </x:c>
      <x:c r="E250" s="31" t="inlineStr">
        <x:is>
          <x:t xml:space="preserve">Сборка</x:t>
        </x:is>
      </x:c>
      <x:c r="F250" s="31" t="inlineStr">
        <x:is>
          <x:t xml:space="preserve">ОБ-002</x:t>
        </x:is>
      </x:c>
      <x:c r="G250" s="31" t="n">
        <x:v>6.8</x:v>
      </x:c>
      <x:c r="H250" s="31" t="inlineStr">
        <x:is>
          <x:t xml:space="preserve">Да</x:t>
        </x:is>
      </x:c>
      <x:c r="I250" s="31" t="inlineStr">
        <x:is>
          <x:t xml:space="preserve">Нет</x:t>
        </x:is>
      </x:c>
      <x:c r="J250" s="31" t="inlineStr">
        <x:is>
          <x:t xml:space="preserve">Версия 6</x:t>
        </x:is>
      </x:c>
    </x:row>
    <x:row r="251" ht="18" customHeight="1">
      <x:c r="A251" s="31" t="inlineStr">
        <x:is>
          <x:t xml:space="preserve">МАР-0250</x:t>
        </x:is>
      </x:c>
      <x:c r="B251" s="31" t="inlineStr">
        <x:is>
          <x:t xml:space="preserve">ИЗД-030</x:t>
        </x:is>
      </x:c>
      <x:c r="C251" s="31" t="n">
        <x:v>80</x:v>
      </x:c>
      <x:c r="D251" s="31" t="inlineStr">
        <x:is>
          <x:t xml:space="preserve">Гидроиспытания</x:t>
        </x:is>
      </x:c>
      <x:c r="E251" s="31" t="inlineStr">
        <x:is>
          <x:t xml:space="preserve">ОТК</x:t>
        </x:is>
      </x:c>
      <x:c r="F251" s="31" t="inlineStr">
        <x:is>
          <x:t xml:space="preserve">ОБ-024</x:t>
        </x:is>
      </x:c>
      <x:c r="G251" s="31" t="n">
        <x:v>4.9</x:v>
      </x:c>
      <x:c r="H251" s="31" t="inlineStr">
        <x:is>
          <x:t xml:space="preserve">Нет</x:t>
        </x:is>
      </x:c>
      <x:c r="I251" s="31" t="inlineStr">
        <x:is>
          <x:t xml:space="preserve">Нет</x:t>
        </x:is>
      </x:c>
      <x:c r="J251" s="31" t="inlineStr">
        <x:is>
          <x:t xml:space="preserve">Версия 6</x:t>
        </x:is>
      </x:c>
    </x:row>
    <x:row r="252" ht="18" customHeight="1">
      <x:c r="A252" s="31" t="inlineStr">
        <x:is>
          <x:t xml:space="preserve">МАР-0251</x:t>
        </x:is>
      </x:c>
      <x:c r="B252" s="31" t="inlineStr">
        <x:is>
          <x:t xml:space="preserve">ИЗД-030</x:t>
        </x:is>
      </x:c>
      <x:c r="C252" s="31" t="n">
        <x:v>90</x:v>
      </x:c>
      <x:c r="D252" s="31" t="inlineStr">
        <x:is>
          <x:t xml:space="preserve">ОТК</x:t>
        </x:is>
      </x:c>
      <x:c r="E252" s="31" t="inlineStr">
        <x:is>
          <x:t xml:space="preserve">ОТК</x:t>
        </x:is>
      </x:c>
      <x:c r="F252" s="31" t="inlineStr">
        <x:is>
          <x:t xml:space="preserve">ОБ-015</x:t>
        </x:is>
      </x:c>
      <x:c r="G252" s="31" t="n">
        <x:v>4</x:v>
      </x:c>
      <x:c r="H252" s="31" t="inlineStr">
        <x:is>
          <x:t xml:space="preserve">Нет</x:t>
        </x:is>
      </x:c>
      <x:c r="I252" s="31" t="inlineStr">
        <x:is>
          <x:t xml:space="preserve">Да</x:t>
        </x:is>
      </x:c>
      <x:c r="J252" s="31" t="inlineStr">
        <x:is>
          <x:t xml:space="preserve">Версия 6</x:t>
        </x:is>
      </x:c>
    </x:row>
    <x:row r="253" ht="18" customHeight="1">
      <x:c r="A253" s="31" t="inlineStr">
        <x:is>
          <x:t xml:space="preserve">МАР-0252</x:t>
        </x:is>
      </x:c>
      <x:c r="B253" s="31" t="inlineStr">
        <x:is>
          <x:t xml:space="preserve">ИЗД-030</x:t>
        </x:is>
      </x:c>
      <x:c r="C253" s="31" t="n">
        <x:v>100</x:v>
      </x:c>
      <x:c r="D253" s="31" t="inlineStr">
        <x:is>
          <x:t xml:space="preserve">Упаковка</x:t>
        </x:is>
      </x:c>
      <x:c r="E253" s="31" t="inlineStr">
        <x:is>
          <x:t xml:space="preserve">Логистика</x:t>
        </x:is>
      </x:c>
      <x:c r="F253" s="31" t="n"/>
      <x:c r="G253" s="31" t="n">
        <x:v>8.199999999999999</x:v>
      </x:c>
      <x:c r="H253" s="31" t="inlineStr">
        <x:is>
          <x:t xml:space="preserve">Нет</x:t>
        </x:is>
      </x:c>
      <x:c r="I253" s="31" t="inlineStr">
        <x:is>
          <x:t xml:space="preserve">Нет</x:t>
        </x:is>
      </x:c>
      <x:c r="J253" s="31" t="inlineStr">
        <x:is>
          <x:t xml:space="preserve">Версия 6</x:t>
        </x:is>
      </x:c>
    </x:row>
    <x:row r="254" ht="18" customHeight="1">
      <x:c r="A254" s="31" t="inlineStr">
        <x:is>
          <x:t xml:space="preserve">МАР-0253</x:t>
        </x:is>
      </x:c>
      <x:c r="B254" s="31" t="inlineStr">
        <x:is>
          <x:t xml:space="preserve">ИЗД-031</x:t>
        </x:is>
      </x:c>
      <x:c r="C254" s="31" t="n">
        <x:v>10</x:v>
      </x:c>
      <x:c r="D254" s="31" t="inlineStr">
        <x:is>
          <x:t xml:space="preserve">КД</x:t>
        </x:is>
      </x:c>
      <x:c r="E254" s="31" t="inlineStr">
        <x:is>
          <x:t xml:space="preserve">Инженерный отдел</x:t>
        </x:is>
      </x:c>
      <x:c r="F254" s="31" t="n"/>
      <x:c r="G254" s="31" t="n">
        <x:v>9.199999999999999</x:v>
      </x:c>
      <x:c r="H254" s="31" t="inlineStr">
        <x:is>
          <x:t xml:space="preserve">Нет</x:t>
        </x:is>
      </x:c>
      <x:c r="I254" s="31" t="inlineStr">
        <x:is>
          <x:t xml:space="preserve">Нет</x:t>
        </x:is>
      </x:c>
      <x:c r="J254" s="31" t="inlineStr">
        <x:is>
          <x:t xml:space="preserve">Версия 3</x:t>
        </x:is>
      </x:c>
    </x:row>
    <x:row r="255" ht="18" customHeight="1">
      <x:c r="A255" s="31" t="inlineStr">
        <x:is>
          <x:t xml:space="preserve">МАР-0254</x:t>
        </x:is>
      </x:c>
      <x:c r="B255" s="31" t="inlineStr">
        <x:is>
          <x:t xml:space="preserve">ИЗД-031</x:t>
        </x:is>
      </x:c>
      <x:c r="C255" s="31" t="n">
        <x:v>20</x:v>
      </x:c>
      <x:c r="D255" s="31" t="inlineStr">
        <x:is>
          <x:t xml:space="preserve">Резерв материалов</x:t>
        </x:is>
      </x:c>
      <x:c r="E255" s="31" t="inlineStr">
        <x:is>
          <x:t xml:space="preserve">Склад</x:t>
        </x:is>
      </x:c>
      <x:c r="F255" s="31" t="inlineStr">
        <x:is>
          <x:t xml:space="preserve">ОБ-011</x:t>
        </x:is>
      </x:c>
      <x:c r="G255" s="31" t="n">
        <x:v>3.1</x:v>
      </x:c>
      <x:c r="H255" s="31" t="inlineStr">
        <x:is>
          <x:t xml:space="preserve">Нет</x:t>
        </x:is>
      </x:c>
      <x:c r="I255" s="31" t="inlineStr">
        <x:is>
          <x:t xml:space="preserve">Нет</x:t>
        </x:is>
      </x:c>
      <x:c r="J255" s="31" t="inlineStr">
        <x:is>
          <x:t xml:space="preserve">Версия 3</x:t>
        </x:is>
      </x:c>
    </x:row>
    <x:row r="256" ht="18" customHeight="1">
      <x:c r="A256" s="31" t="inlineStr">
        <x:is>
          <x:t xml:space="preserve">МАР-0255</x:t>
        </x:is>
      </x:c>
      <x:c r="B256" s="31" t="inlineStr">
        <x:is>
          <x:t xml:space="preserve">ИЗД-031</x:t>
        </x:is>
      </x:c>
      <x:c r="C256" s="31" t="n">
        <x:v>30</x:v>
      </x:c>
      <x:c r="D256" s="31" t="inlineStr">
        <x:is>
          <x:t xml:space="preserve">Резка металла</x:t>
        </x:is>
      </x:c>
      <x:c r="E256" s="31" t="inlineStr">
        <x:is>
          <x:t xml:space="preserve">Сварка</x:t>
        </x:is>
      </x:c>
      <x:c r="F256" s="31" t="inlineStr">
        <x:is>
          <x:t xml:space="preserve">ОБ-003</x:t>
        </x:is>
      </x:c>
      <x:c r="G256" s="31" t="n">
        <x:v>4.4</x:v>
      </x:c>
      <x:c r="H256" s="31" t="inlineStr">
        <x:is>
          <x:t xml:space="preserve">Нет</x:t>
        </x:is>
      </x:c>
      <x:c r="I256" s="31" t="inlineStr">
        <x:is>
          <x:t xml:space="preserve">Нет</x:t>
        </x:is>
      </x:c>
      <x:c r="J256" s="31" t="inlineStr">
        <x:is>
          <x:t xml:space="preserve">Версия 3</x:t>
        </x:is>
      </x:c>
    </x:row>
    <x:row r="257" ht="18" customHeight="1">
      <x:c r="A257" s="31" t="inlineStr">
        <x:is>
          <x:t xml:space="preserve">МАР-0256</x:t>
        </x:is>
      </x:c>
      <x:c r="B257" s="31" t="inlineStr">
        <x:is>
          <x:t xml:space="preserve">ИЗД-031</x:t>
        </x:is>
      </x:c>
      <x:c r="C257" s="31" t="n">
        <x:v>40</x:v>
      </x:c>
      <x:c r="D257" s="31" t="inlineStr">
        <x:is>
          <x:t xml:space="preserve">Сварка рамы</x:t>
        </x:is>
      </x:c>
      <x:c r="E257" s="31" t="inlineStr">
        <x:is>
          <x:t xml:space="preserve">Сварка</x:t>
        </x:is>
      </x:c>
      <x:c r="F257" s="31" t="inlineStr">
        <x:is>
          <x:t xml:space="preserve">ОБ-004</x:t>
        </x:is>
      </x:c>
      <x:c r="G257" s="31" t="n">
        <x:v>1.1</x:v>
      </x:c>
      <x:c r="H257" s="31" t="inlineStr">
        <x:is>
          <x:t xml:space="preserve">Нет</x:t>
        </x:is>
      </x:c>
      <x:c r="I257" s="31" t="inlineStr">
        <x:is>
          <x:t xml:space="preserve">Нет</x:t>
        </x:is>
      </x:c>
      <x:c r="J257" s="31" t="inlineStr">
        <x:is>
          <x:t xml:space="preserve">Версия 3</x:t>
        </x:is>
      </x:c>
    </x:row>
    <x:row r="258" ht="18" customHeight="1">
      <x:c r="A258" s="31" t="inlineStr">
        <x:is>
          <x:t xml:space="preserve">МАР-0257</x:t>
        </x:is>
      </x:c>
      <x:c r="B258" s="31" t="inlineStr">
        <x:is>
          <x:t xml:space="preserve">ИЗД-031</x:t>
        </x:is>
      </x:c>
      <x:c r="C258" s="31" t="n">
        <x:v>50</x:v>
      </x:c>
      <x:c r="D258" s="31" t="inlineStr">
        <x:is>
          <x:t xml:space="preserve">Механообработка</x:t>
        </x:is>
      </x:c>
      <x:c r="E258" s="31" t="inlineStr">
        <x:is>
          <x:t xml:space="preserve">Механообработка</x:t>
        </x:is>
      </x:c>
      <x:c r="F258" s="31" t="inlineStr">
        <x:is>
          <x:t xml:space="preserve">ОБ-031</x:t>
        </x:is>
      </x:c>
      <x:c r="G258" s="31" t="n">
        <x:v>4.9</x:v>
      </x:c>
      <x:c r="H258" s="31" t="inlineStr">
        <x:is>
          <x:t xml:space="preserve">Нет</x:t>
        </x:is>
      </x:c>
      <x:c r="I258" s="31" t="inlineStr">
        <x:is>
          <x:t xml:space="preserve">Нет</x:t>
        </x:is>
      </x:c>
      <x:c r="J258" s="31" t="inlineStr">
        <x:is>
          <x:t xml:space="preserve">Версия 3</x:t>
        </x:is>
      </x:c>
    </x:row>
    <x:row r="259" ht="18" customHeight="1">
      <x:c r="A259" s="31" t="inlineStr">
        <x:is>
          <x:t xml:space="preserve">МАР-0258</x:t>
        </x:is>
      </x:c>
      <x:c r="B259" s="31" t="inlineStr">
        <x:is>
          <x:t xml:space="preserve">ИЗД-031</x:t>
        </x:is>
      </x:c>
      <x:c r="C259" s="31" t="n">
        <x:v>60</x:v>
      </x:c>
      <x:c r="D259" s="31" t="inlineStr">
        <x:is>
          <x:t xml:space="preserve">Сборка</x:t>
        </x:is>
      </x:c>
      <x:c r="E259" s="31" t="inlineStr">
        <x:is>
          <x:t xml:space="preserve">Сборка</x:t>
        </x:is>
      </x:c>
      <x:c r="F259" s="31" t="inlineStr">
        <x:is>
          <x:t xml:space="preserve">ОБ-005</x:t>
        </x:is>
      </x:c>
      <x:c r="G259" s="31" t="n">
        <x:v>1.3</x:v>
      </x:c>
      <x:c r="H259" s="31" t="inlineStr">
        <x:is>
          <x:t xml:space="preserve">Да</x:t>
        </x:is>
      </x:c>
      <x:c r="I259" s="31" t="inlineStr">
        <x:is>
          <x:t xml:space="preserve">Нет</x:t>
        </x:is>
      </x:c>
      <x:c r="J259" s="31" t="inlineStr">
        <x:is>
          <x:t xml:space="preserve">Версия 3</x:t>
        </x:is>
      </x:c>
    </x:row>
    <x:row r="260" ht="18" customHeight="1">
      <x:c r="A260" s="31" t="inlineStr">
        <x:is>
          <x:t xml:space="preserve">МАР-0259</x:t>
        </x:is>
      </x:c>
      <x:c r="B260" s="31" t="inlineStr">
        <x:is>
          <x:t xml:space="preserve">ИЗД-031</x:t>
        </x:is>
      </x:c>
      <x:c r="C260" s="31" t="n">
        <x:v>70</x:v>
      </x:c>
      <x:c r="D260" s="31" t="inlineStr">
        <x:is>
          <x:t xml:space="preserve">Электромонтаж</x:t>
        </x:is>
      </x:c>
      <x:c r="E260" s="31" t="inlineStr">
        <x:is>
          <x:t xml:space="preserve">Сборка</x:t>
        </x:is>
      </x:c>
      <x:c r="F260" s="31" t="inlineStr">
        <x:is>
          <x:t xml:space="preserve">ОБ-014</x:t>
        </x:is>
      </x:c>
      <x:c r="G260" s="31" t="n">
        <x:v>10.8</x:v>
      </x:c>
      <x:c r="H260" s="31" t="inlineStr">
        <x:is>
          <x:t xml:space="preserve">Нет</x:t>
        </x:is>
      </x:c>
      <x:c r="I260" s="31" t="inlineStr">
        <x:is>
          <x:t xml:space="preserve">Нет</x:t>
        </x:is>
      </x:c>
      <x:c r="J260" s="31" t="inlineStr">
        <x:is>
          <x:t xml:space="preserve">Версия 3</x:t>
        </x:is>
      </x:c>
    </x:row>
    <x:row r="261" ht="18" customHeight="1">
      <x:c r="A261" s="31" t="inlineStr">
        <x:is>
          <x:t xml:space="preserve">МАР-0260</x:t>
        </x:is>
      </x:c>
      <x:c r="B261" s="31" t="inlineStr">
        <x:is>
          <x:t xml:space="preserve">ИЗД-031</x:t>
        </x:is>
      </x:c>
      <x:c r="C261" s="31" t="n">
        <x:v>80</x:v>
      </x:c>
      <x:c r="D261" s="31" t="inlineStr">
        <x:is>
          <x:t xml:space="preserve">Гидроиспытания</x:t>
        </x:is>
      </x:c>
      <x:c r="E261" s="31" t="inlineStr">
        <x:is>
          <x:t xml:space="preserve">ОТК</x:t>
        </x:is>
      </x:c>
      <x:c r="F261" s="31" t="inlineStr">
        <x:is>
          <x:t xml:space="preserve">ОБ-006</x:t>
        </x:is>
      </x:c>
      <x:c r="G261" s="31" t="n">
        <x:v>8.800000000000001</x:v>
      </x:c>
      <x:c r="H261" s="31" t="inlineStr">
        <x:is>
          <x:t xml:space="preserve">Да</x:t>
        </x:is>
      </x:c>
      <x:c r="I261" s="31" t="inlineStr">
        <x:is>
          <x:t xml:space="preserve">Нет</x:t>
        </x:is>
      </x:c>
      <x:c r="J261" s="31" t="inlineStr">
        <x:is>
          <x:t xml:space="preserve">Версия 3</x:t>
        </x:is>
      </x:c>
    </x:row>
    <x:row r="262" ht="18" customHeight="1">
      <x:c r="A262" s="31" t="inlineStr">
        <x:is>
          <x:t xml:space="preserve">МАР-0261</x:t>
        </x:is>
      </x:c>
      <x:c r="B262" s="31" t="inlineStr">
        <x:is>
          <x:t xml:space="preserve">ИЗД-031</x:t>
        </x:is>
      </x:c>
      <x:c r="C262" s="31" t="n">
        <x:v>90</x:v>
      </x:c>
      <x:c r="D262" s="31" t="inlineStr">
        <x:is>
          <x:t xml:space="preserve">ОТК</x:t>
        </x:is>
      </x:c>
      <x:c r="E262" s="31" t="inlineStr">
        <x:is>
          <x:t xml:space="preserve">ОТК</x:t>
        </x:is>
      </x:c>
      <x:c r="F262" s="31" t="inlineStr">
        <x:is>
          <x:t xml:space="preserve">ОБ-033</x:t>
        </x:is>
      </x:c>
      <x:c r="G262" s="31" t="n">
        <x:v>5.1</x:v>
      </x:c>
      <x:c r="H262" s="31" t="inlineStr">
        <x:is>
          <x:t xml:space="preserve">Нет</x:t>
        </x:is>
      </x:c>
      <x:c r="I262" s="31" t="inlineStr">
        <x:is>
          <x:t xml:space="preserve">Нет</x:t>
        </x:is>
      </x:c>
      <x:c r="J262" s="31" t="inlineStr">
        <x:is>
          <x:t xml:space="preserve">Версия 3</x:t>
        </x:is>
      </x:c>
    </x:row>
    <x:row r="263" ht="18" customHeight="1">
      <x:c r="A263" s="31" t="inlineStr">
        <x:is>
          <x:t xml:space="preserve">МАР-0262</x:t>
        </x:is>
      </x:c>
      <x:c r="B263" s="31" t="inlineStr">
        <x:is>
          <x:t xml:space="preserve">ИЗД-031</x:t>
        </x:is>
      </x:c>
      <x:c r="C263" s="31" t="n">
        <x:v>100</x:v>
      </x:c>
      <x:c r="D263" s="31" t="inlineStr">
        <x:is>
          <x:t xml:space="preserve">Упаковка</x:t>
        </x:is>
      </x:c>
      <x:c r="E263" s="31" t="inlineStr">
        <x:is>
          <x:t xml:space="preserve">Логистика</x:t>
        </x:is>
      </x:c>
      <x:c r="F263" s="31" t="n"/>
      <x:c r="G263" s="31" t="n">
        <x:v>2.2</x:v>
      </x:c>
      <x:c r="H263" s="31" t="inlineStr">
        <x:is>
          <x:t xml:space="preserve">Да</x:t>
        </x:is>
      </x:c>
      <x:c r="I263" s="31" t="inlineStr">
        <x:is>
          <x:t xml:space="preserve">Нет</x:t>
        </x:is>
      </x:c>
      <x:c r="J263" s="31" t="inlineStr">
        <x:is>
          <x:t xml:space="preserve">Версия 3</x:t>
        </x:is>
      </x:c>
    </x:row>
    <x:row r="264" ht="18" customHeight="1">
      <x:c r="A264" s="31" t="inlineStr">
        <x:is>
          <x:t xml:space="preserve">МАР-0263</x:t>
        </x:is>
      </x:c>
      <x:c r="B264" s="31" t="inlineStr">
        <x:is>
          <x:t xml:space="preserve">ИЗД-032</x:t>
        </x:is>
      </x:c>
      <x:c r="C264" s="31" t="n">
        <x:v>10</x:v>
      </x:c>
      <x:c r="D264" s="31" t="inlineStr">
        <x:is>
          <x:t xml:space="preserve">Комплектация</x:t>
        </x:is>
      </x:c>
      <x:c r="E264" s="31" t="inlineStr">
        <x:is>
          <x:t xml:space="preserve">Склад</x:t>
        </x:is>
      </x:c>
      <x:c r="F264" s="31" t="inlineStr">
        <x:is>
          <x:t xml:space="preserve">ОБ-008</x:t>
        </x:is>
      </x:c>
      <x:c r="G264" s="31" t="n">
        <x:v>8.300000000000001</x:v>
      </x:c>
      <x:c r="H264" s="31" t="inlineStr">
        <x:is>
          <x:t xml:space="preserve">Нет</x:t>
        </x:is>
      </x:c>
      <x:c r="I264" s="31" t="inlineStr">
        <x:is>
          <x:t xml:space="preserve">Нет</x:t>
        </x:is>
      </x:c>
      <x:c r="J264" s="31" t="inlineStr">
        <x:is>
          <x:t xml:space="preserve">Версия 1</x:t>
        </x:is>
      </x:c>
    </x:row>
    <x:row r="265" ht="18" customHeight="1">
      <x:c r="A265" s="31" t="inlineStr">
        <x:is>
          <x:t xml:space="preserve">МАР-0264</x:t>
        </x:is>
      </x:c>
      <x:c r="B265" s="31" t="inlineStr">
        <x:is>
          <x:t xml:space="preserve">ИЗД-032</x:t>
        </x:is>
      </x:c>
      <x:c r="C265" s="31" t="n">
        <x:v>20</x:v>
      </x:c>
      <x:c r="D265" s="31" t="inlineStr">
        <x:is>
          <x:t xml:space="preserve">Входной контроль</x:t>
        </x:is>
      </x:c>
      <x:c r="E265" s="31" t="inlineStr">
        <x:is>
          <x:t xml:space="preserve">ОТК</x:t>
        </x:is>
      </x:c>
      <x:c r="F265" s="31" t="inlineStr">
        <x:is>
          <x:t xml:space="preserve">ОБ-024</x:t>
        </x:is>
      </x:c>
      <x:c r="G265" s="31" t="n">
        <x:v>4</x:v>
      </x:c>
      <x:c r="H265" s="31" t="inlineStr">
        <x:is>
          <x:t xml:space="preserve">Нет</x:t>
        </x:is>
      </x:c>
      <x:c r="I265" s="31" t="inlineStr">
        <x:is>
          <x:t xml:space="preserve">Нет</x:t>
        </x:is>
      </x:c>
      <x:c r="J265" s="31" t="inlineStr">
        <x:is>
          <x:t xml:space="preserve">Версия 1</x:t>
        </x:is>
      </x:c>
    </x:row>
    <x:row r="266" ht="18" customHeight="1">
      <x:c r="A266" s="31" t="inlineStr">
        <x:is>
          <x:t xml:space="preserve">МАР-0265</x:t>
        </x:is>
      </x:c>
      <x:c r="B266" s="31" t="inlineStr">
        <x:is>
          <x:t xml:space="preserve">ИЗД-032</x:t>
        </x:is>
      </x:c>
      <x:c r="C266" s="31" t="n">
        <x:v>30</x:v>
      </x:c>
      <x:c r="D266" s="31" t="inlineStr">
        <x:is>
          <x:t xml:space="preserve">Упаковка</x:t>
        </x:is>
      </x:c>
      <x:c r="E266" s="31" t="inlineStr">
        <x:is>
          <x:t xml:space="preserve">Логистика</x:t>
        </x:is>
      </x:c>
      <x:c r="F266" s="31" t="n"/>
      <x:c r="G266" s="31" t="n">
        <x:v>9.5</x:v>
      </x:c>
      <x:c r="H266" s="31" t="inlineStr">
        <x:is>
          <x:t xml:space="preserve">Нет</x:t>
        </x:is>
      </x:c>
      <x:c r="I266" s="31" t="inlineStr">
        <x:is>
          <x:t xml:space="preserve">Нет</x:t>
        </x:is>
      </x:c>
      <x:c r="J266" s="31" t="inlineStr">
        <x:is>
          <x:t xml:space="preserve">Версия 1</x:t>
        </x:is>
      </x:c>
    </x:row>
    <x:row r="267" ht="18" customHeight="1">
      <x:c r="A267" s="31" t="inlineStr">
        <x:is>
          <x:t xml:space="preserve">МАР-0266</x:t>
        </x:is>
      </x:c>
      <x:c r="B267" s="31" t="inlineStr">
        <x:is>
          <x:t xml:space="preserve">ИЗД-032</x:t>
        </x:is>
      </x:c>
      <x:c r="C267" s="31" t="n">
        <x:v>40</x:v>
      </x:c>
      <x:c r="D267" s="31" t="inlineStr">
        <x:is>
          <x:t xml:space="preserve">ОТК</x:t>
        </x:is>
      </x:c>
      <x:c r="E267" s="31" t="inlineStr">
        <x:is>
          <x:t xml:space="preserve">ОТК</x:t>
        </x:is>
      </x:c>
      <x:c r="F267" s="31" t="inlineStr">
        <x:is>
          <x:t xml:space="preserve">ОБ-001</x:t>
        </x:is>
      </x:c>
      <x:c r="G267" s="31" t="n">
        <x:v>4.1</x:v>
      </x:c>
      <x:c r="H267" s="31" t="inlineStr">
        <x:is>
          <x:t xml:space="preserve">Нет</x:t>
        </x:is>
      </x:c>
      <x:c r="I267" s="31" t="inlineStr">
        <x:is>
          <x:t xml:space="preserve">Нет</x:t>
        </x:is>
      </x:c>
      <x:c r="J267" s="31" t="inlineStr">
        <x:is>
          <x:t xml:space="preserve">Версия 1</x:t>
        </x:is>
      </x:c>
    </x:row>
    <x:row r="268" ht="18" customHeight="1">
      <x:c r="A268" s="31" t="inlineStr">
        <x:is>
          <x:t xml:space="preserve">МАР-0267</x:t>
        </x:is>
      </x:c>
      <x:c r="B268" s="31" t="inlineStr">
        <x:is>
          <x:t xml:space="preserve">ИЗД-033</x:t>
        </x:is>
      </x:c>
      <x:c r="C268" s="31" t="n">
        <x:v>10</x:v>
      </x:c>
      <x:c r="D268" s="31" t="inlineStr">
        <x:is>
          <x:t xml:space="preserve">КД</x:t>
        </x:is>
      </x:c>
      <x:c r="E268" s="31" t="inlineStr">
        <x:is>
          <x:t xml:space="preserve">Инженерный отдел</x:t>
        </x:is>
      </x:c>
      <x:c r="F268" s="31" t="n"/>
      <x:c r="G268" s="31" t="n">
        <x:v>2.7</x:v>
      </x:c>
      <x:c r="H268" s="31" t="inlineStr">
        <x:is>
          <x:t xml:space="preserve">Нет</x:t>
        </x:is>
      </x:c>
      <x:c r="I268" s="31" t="inlineStr">
        <x:is>
          <x:t xml:space="preserve">Нет</x:t>
        </x:is>
      </x:c>
      <x:c r="J268" s="31" t="inlineStr">
        <x:is>
          <x:t xml:space="preserve">Версия 7</x:t>
        </x:is>
      </x:c>
    </x:row>
    <x:row r="269" ht="18" customHeight="1">
      <x:c r="A269" s="31" t="inlineStr">
        <x:is>
          <x:t xml:space="preserve">МАР-0268</x:t>
        </x:is>
      </x:c>
      <x:c r="B269" s="31" t="inlineStr">
        <x:is>
          <x:t xml:space="preserve">ИЗД-033</x:t>
        </x:is>
      </x:c>
      <x:c r="C269" s="31" t="n">
        <x:v>20</x:v>
      </x:c>
      <x:c r="D269" s="31" t="inlineStr">
        <x:is>
          <x:t xml:space="preserve">Резерв материалов</x:t>
        </x:is>
      </x:c>
      <x:c r="E269" s="31" t="inlineStr">
        <x:is>
          <x:t xml:space="preserve">Склад</x:t>
        </x:is>
      </x:c>
      <x:c r="F269" s="31" t="inlineStr">
        <x:is>
          <x:t xml:space="preserve">ОБ-023</x:t>
        </x:is>
      </x:c>
      <x:c r="G269" s="31" t="n">
        <x:v>9.4</x:v>
      </x:c>
      <x:c r="H269" s="31" t="inlineStr">
        <x:is>
          <x:t xml:space="preserve">Нет</x:t>
        </x:is>
      </x:c>
      <x:c r="I269" s="31" t="inlineStr">
        <x:is>
          <x:t xml:space="preserve">Нет</x:t>
        </x:is>
      </x:c>
      <x:c r="J269" s="31" t="inlineStr">
        <x:is>
          <x:t xml:space="preserve">Версия 7</x:t>
        </x:is>
      </x:c>
    </x:row>
    <x:row r="270" ht="18" customHeight="1">
      <x:c r="A270" s="31" t="inlineStr">
        <x:is>
          <x:t xml:space="preserve">МАР-0269</x:t>
        </x:is>
      </x:c>
      <x:c r="B270" s="31" t="inlineStr">
        <x:is>
          <x:t xml:space="preserve">ИЗД-033</x:t>
        </x:is>
      </x:c>
      <x:c r="C270" s="31" t="n">
        <x:v>30</x:v>
      </x:c>
      <x:c r="D270" s="31" t="inlineStr">
        <x:is>
          <x:t xml:space="preserve">Сварка рамы</x:t>
        </x:is>
      </x:c>
      <x:c r="E270" s="31" t="inlineStr">
        <x:is>
          <x:t xml:space="preserve">Сварка</x:t>
        </x:is>
      </x:c>
      <x:c r="F270" s="31" t="inlineStr">
        <x:is>
          <x:t xml:space="preserve">ОБ-035</x:t>
        </x:is>
      </x:c>
      <x:c r="G270" s="31" t="n">
        <x:v>8.5</x:v>
      </x:c>
      <x:c r="H270" s="31" t="inlineStr">
        <x:is>
          <x:t xml:space="preserve">Да</x:t>
        </x:is>
      </x:c>
      <x:c r="I270" s="31" t="inlineStr">
        <x:is>
          <x:t xml:space="preserve">Нет</x:t>
        </x:is>
      </x:c>
      <x:c r="J270" s="31" t="inlineStr">
        <x:is>
          <x:t xml:space="preserve">Версия 7</x:t>
        </x:is>
      </x:c>
    </x:row>
    <x:row r="271" ht="18" customHeight="1">
      <x:c r="A271" s="31" t="inlineStr">
        <x:is>
          <x:t xml:space="preserve">МАР-0270</x:t>
        </x:is>
      </x:c>
      <x:c r="B271" s="31" t="inlineStr">
        <x:is>
          <x:t xml:space="preserve">ИЗД-033</x:t>
        </x:is>
      </x:c>
      <x:c r="C271" s="31" t="n">
        <x:v>40</x:v>
      </x:c>
      <x:c r="D271" s="31" t="inlineStr">
        <x:is>
          <x:t xml:space="preserve">Сборка</x:t>
        </x:is>
      </x:c>
      <x:c r="E271" s="31" t="inlineStr">
        <x:is>
          <x:t xml:space="preserve">Сборка</x:t>
        </x:is>
      </x:c>
      <x:c r="F271" s="31" t="inlineStr">
        <x:is>
          <x:t xml:space="preserve">ОБ-005</x:t>
        </x:is>
      </x:c>
      <x:c r="G271" s="31" t="n">
        <x:v>9.199999999999999</x:v>
      </x:c>
      <x:c r="H271" s="31" t="inlineStr">
        <x:is>
          <x:t xml:space="preserve">Нет</x:t>
        </x:is>
      </x:c>
      <x:c r="I271" s="31" t="inlineStr">
        <x:is>
          <x:t xml:space="preserve">Нет</x:t>
        </x:is>
      </x:c>
      <x:c r="J271" s="31" t="inlineStr">
        <x:is>
          <x:t xml:space="preserve">Версия 7</x:t>
        </x:is>
      </x:c>
    </x:row>
    <x:row r="272" ht="18" customHeight="1">
      <x:c r="A272" s="31" t="inlineStr">
        <x:is>
          <x:t xml:space="preserve">МАР-0271</x:t>
        </x:is>
      </x:c>
      <x:c r="B272" s="31" t="inlineStr">
        <x:is>
          <x:t xml:space="preserve">ИЗД-033</x:t>
        </x:is>
      </x:c>
      <x:c r="C272" s="31" t="n">
        <x:v>50</x:v>
      </x:c>
      <x:c r="D272" s="31" t="inlineStr">
        <x:is>
          <x:t xml:space="preserve">Обвязка труб</x:t>
        </x:is>
      </x:c>
      <x:c r="E272" s="31" t="inlineStr">
        <x:is>
          <x:t xml:space="preserve">Сборка</x:t>
        </x:is>
      </x:c>
      <x:c r="F272" s="31" t="inlineStr">
        <x:is>
          <x:t xml:space="preserve">ОБ-005</x:t>
        </x:is>
      </x:c>
      <x:c r="G272" s="31" t="n">
        <x:v>3.4</x:v>
      </x:c>
      <x:c r="H272" s="31" t="inlineStr">
        <x:is>
          <x:t xml:space="preserve">Да</x:t>
        </x:is>
      </x:c>
      <x:c r="I272" s="31" t="inlineStr">
        <x:is>
          <x:t xml:space="preserve">Нет</x:t>
        </x:is>
      </x:c>
      <x:c r="J272" s="31" t="inlineStr">
        <x:is>
          <x:t xml:space="preserve">Версия 7</x:t>
        </x:is>
      </x:c>
    </x:row>
    <x:row r="273" ht="18" customHeight="1">
      <x:c r="A273" s="31" t="inlineStr">
        <x:is>
          <x:t xml:space="preserve">МАР-0272</x:t>
        </x:is>
      </x:c>
      <x:c r="B273" s="31" t="inlineStr">
        <x:is>
          <x:t xml:space="preserve">ИЗД-033</x:t>
        </x:is>
      </x:c>
      <x:c r="C273" s="31" t="n">
        <x:v>60</x:v>
      </x:c>
      <x:c r="D273" s="31" t="inlineStr">
        <x:is>
          <x:t xml:space="preserve">Электромонтаж</x:t>
        </x:is>
      </x:c>
      <x:c r="E273" s="31" t="inlineStr">
        <x:is>
          <x:t xml:space="preserve">Сборка</x:t>
        </x:is>
      </x:c>
      <x:c r="F273" s="31" t="inlineStr">
        <x:is>
          <x:t xml:space="preserve">ОБ-002</x:t>
        </x:is>
      </x:c>
      <x:c r="G273" s="31" t="n">
        <x:v>15.3</x:v>
      </x:c>
      <x:c r="H273" s="31" t="inlineStr">
        <x:is>
          <x:t xml:space="preserve">Нет</x:t>
        </x:is>
      </x:c>
      <x:c r="I273" s="31" t="inlineStr">
        <x:is>
          <x:t xml:space="preserve">Нет</x:t>
        </x:is>
      </x:c>
      <x:c r="J273" s="31" t="inlineStr">
        <x:is>
          <x:t xml:space="preserve">Версия 7</x:t>
        </x:is>
      </x:c>
    </x:row>
    <x:row r="274" ht="18" customHeight="1">
      <x:c r="A274" s="31" t="inlineStr">
        <x:is>
          <x:t xml:space="preserve">МАР-0273</x:t>
        </x:is>
      </x:c>
      <x:c r="B274" s="31" t="inlineStr">
        <x:is>
          <x:t xml:space="preserve">ИЗД-033</x:t>
        </x:is>
      </x:c>
      <x:c r="C274" s="31" t="n">
        <x:v>70</x:v>
      </x:c>
      <x:c r="D274" s="31" t="inlineStr">
        <x:is>
          <x:t xml:space="preserve">Гидроиспытания</x:t>
        </x:is>
      </x:c>
      <x:c r="E274" s="31" t="inlineStr">
        <x:is>
          <x:t xml:space="preserve">ОТК</x:t>
        </x:is>
      </x:c>
      <x:c r="F274" s="31" t="inlineStr">
        <x:is>
          <x:t xml:space="preserve">ОБ-001</x:t>
        </x:is>
      </x:c>
      <x:c r="G274" s="31" t="n">
        <x:v>12.9</x:v>
      </x:c>
      <x:c r="H274" s="31" t="inlineStr">
        <x:is>
          <x:t xml:space="preserve">Нет</x:t>
        </x:is>
      </x:c>
      <x:c r="I274" s="31" t="inlineStr">
        <x:is>
          <x:t xml:space="preserve">Нет</x:t>
        </x:is>
      </x:c>
      <x:c r="J274" s="31" t="inlineStr">
        <x:is>
          <x:t xml:space="preserve">Версия 7</x:t>
        </x:is>
      </x:c>
    </x:row>
    <x:row r="275" ht="18" customHeight="1">
      <x:c r="A275" s="31" t="inlineStr">
        <x:is>
          <x:t xml:space="preserve">МАР-0274</x:t>
        </x:is>
      </x:c>
      <x:c r="B275" s="31" t="inlineStr">
        <x:is>
          <x:t xml:space="preserve">ИЗД-033</x:t>
        </x:is>
      </x:c>
      <x:c r="C275" s="31" t="n">
        <x:v>80</x:v>
      </x:c>
      <x:c r="D275" s="31" t="inlineStr">
        <x:is>
          <x:t xml:space="preserve">ОТК</x:t>
        </x:is>
      </x:c>
      <x:c r="E275" s="31" t="inlineStr">
        <x:is>
          <x:t xml:space="preserve">ОТК</x:t>
        </x:is>
      </x:c>
      <x:c r="F275" s="31" t="inlineStr">
        <x:is>
          <x:t xml:space="preserve">ОБ-024</x:t>
        </x:is>
      </x:c>
      <x:c r="G275" s="31" t="n">
        <x:v>13.9</x:v>
      </x:c>
      <x:c r="H275" s="31" t="inlineStr">
        <x:is>
          <x:t xml:space="preserve">Нет</x:t>
        </x:is>
      </x:c>
      <x:c r="I275" s="31" t="inlineStr">
        <x:is>
          <x:t xml:space="preserve">Нет</x:t>
        </x:is>
      </x:c>
      <x:c r="J275" s="31" t="inlineStr">
        <x:is>
          <x:t xml:space="preserve">Версия 7</x:t>
        </x:is>
      </x:c>
    </x:row>
    <x:row r="276" ht="18" customHeight="1">
      <x:c r="A276" s="31" t="inlineStr">
        <x:is>
          <x:t xml:space="preserve">МАР-0275</x:t>
        </x:is>
      </x:c>
      <x:c r="B276" s="31" t="inlineStr">
        <x:is>
          <x:t xml:space="preserve">ИЗД-033</x:t>
        </x:is>
      </x:c>
      <x:c r="C276" s="31" t="n">
        <x:v>90</x:v>
      </x:c>
      <x:c r="D276" s="31" t="inlineStr">
        <x:is>
          <x:t xml:space="preserve">Упаковка</x:t>
        </x:is>
      </x:c>
      <x:c r="E276" s="31" t="inlineStr">
        <x:is>
          <x:t xml:space="preserve">Логистика</x:t>
        </x:is>
      </x:c>
      <x:c r="F276" s="31" t="n"/>
      <x:c r="G276" s="31" t="n">
        <x:v>18.1</x:v>
      </x:c>
      <x:c r="H276" s="31" t="inlineStr">
        <x:is>
          <x:t xml:space="preserve">Нет</x:t>
        </x:is>
      </x:c>
      <x:c r="I276" s="31" t="inlineStr">
        <x:is>
          <x:t xml:space="preserve">Нет</x:t>
        </x:is>
      </x:c>
      <x:c r="J276" s="31" t="inlineStr">
        <x:is>
          <x:t xml:space="preserve">Версия 7</x:t>
        </x:is>
      </x:c>
    </x:row>
    <x:row r="277" ht="18" customHeight="1">
      <x:c r="A277" s="31" t="inlineStr">
        <x:is>
          <x:t xml:space="preserve">МАР-0276</x:t>
        </x:is>
      </x:c>
      <x:c r="B277" s="31" t="inlineStr">
        <x:is>
          <x:t xml:space="preserve">ИЗД-034</x:t>
        </x:is>
      </x:c>
      <x:c r="C277" s="31" t="n">
        <x:v>10</x:v>
      </x:c>
      <x:c r="D277" s="31" t="inlineStr">
        <x:is>
          <x:t xml:space="preserve">КД</x:t>
        </x:is>
      </x:c>
      <x:c r="E277" s="31" t="inlineStr">
        <x:is>
          <x:t xml:space="preserve">Инженерный отдел</x:t>
        </x:is>
      </x:c>
      <x:c r="F277" s="31" t="n"/>
      <x:c r="G277" s="31" t="n">
        <x:v>7.2</x:v>
      </x:c>
      <x:c r="H277" s="31" t="inlineStr">
        <x:is>
          <x:t xml:space="preserve">Нет</x:t>
        </x:is>
      </x:c>
      <x:c r="I277" s="31" t="inlineStr">
        <x:is>
          <x:t xml:space="preserve">Нет</x:t>
        </x:is>
      </x:c>
      <x:c r="J277" s="31" t="inlineStr">
        <x:is>
          <x:t xml:space="preserve">Версия 6</x:t>
        </x:is>
      </x:c>
    </x:row>
    <x:row r="278" ht="18" customHeight="1">
      <x:c r="A278" s="31" t="inlineStr">
        <x:is>
          <x:t xml:space="preserve">МАР-0277</x:t>
        </x:is>
      </x:c>
      <x:c r="B278" s="31" t="inlineStr">
        <x:is>
          <x:t xml:space="preserve">ИЗД-034</x:t>
        </x:is>
      </x:c>
      <x:c r="C278" s="31" t="n">
        <x:v>20</x:v>
      </x:c>
      <x:c r="D278" s="31" t="inlineStr">
        <x:is>
          <x:t xml:space="preserve">Резерв материалов</x:t>
        </x:is>
      </x:c>
      <x:c r="E278" s="31" t="inlineStr">
        <x:is>
          <x:t xml:space="preserve">Склад</x:t>
        </x:is>
      </x:c>
      <x:c r="F278" s="31" t="inlineStr">
        <x:is>
          <x:t xml:space="preserve">ОБ-008</x:t>
        </x:is>
      </x:c>
      <x:c r="G278" s="31" t="n">
        <x:v>4.9</x:v>
      </x:c>
      <x:c r="H278" s="31" t="inlineStr">
        <x:is>
          <x:t xml:space="preserve">Нет</x:t>
        </x:is>
      </x:c>
      <x:c r="I278" s="31" t="inlineStr">
        <x:is>
          <x:t xml:space="preserve">Нет</x:t>
        </x:is>
      </x:c>
      <x:c r="J278" s="31" t="inlineStr">
        <x:is>
          <x:t xml:space="preserve">Версия 6</x:t>
        </x:is>
      </x:c>
    </x:row>
    <x:row r="279" ht="18" customHeight="1">
      <x:c r="A279" s="31" t="inlineStr">
        <x:is>
          <x:t xml:space="preserve">МАР-0278</x:t>
        </x:is>
      </x:c>
      <x:c r="B279" s="31" t="inlineStr">
        <x:is>
          <x:t xml:space="preserve">ИЗД-034</x:t>
        </x:is>
      </x:c>
      <x:c r="C279" s="31" t="n">
        <x:v>30</x:v>
      </x:c>
      <x:c r="D279" s="31" t="inlineStr">
        <x:is>
          <x:t xml:space="preserve">Резка металла</x:t>
        </x:is>
      </x:c>
      <x:c r="E279" s="31" t="inlineStr">
        <x:is>
          <x:t xml:space="preserve">Сварка</x:t>
        </x:is>
      </x:c>
      <x:c r="F279" s="31" t="inlineStr">
        <x:is>
          <x:t xml:space="preserve">ОБ-004</x:t>
        </x:is>
      </x:c>
      <x:c r="G279" s="31" t="n">
        <x:v>6.7</x:v>
      </x:c>
      <x:c r="H279" s="31" t="inlineStr">
        <x:is>
          <x:t xml:space="preserve">Нет</x:t>
        </x:is>
      </x:c>
      <x:c r="I279" s="31" t="inlineStr">
        <x:is>
          <x:t xml:space="preserve">Нет</x:t>
        </x:is>
      </x:c>
      <x:c r="J279" s="31" t="inlineStr">
        <x:is>
          <x:t xml:space="preserve">Версия 6</x:t>
        </x:is>
      </x:c>
    </x:row>
    <x:row r="280" ht="18" customHeight="1">
      <x:c r="A280" s="31" t="inlineStr">
        <x:is>
          <x:t xml:space="preserve">МАР-0279</x:t>
        </x:is>
      </x:c>
      <x:c r="B280" s="31" t="inlineStr">
        <x:is>
          <x:t xml:space="preserve">ИЗД-034</x:t>
        </x:is>
      </x:c>
      <x:c r="C280" s="31" t="n">
        <x:v>40</x:v>
      </x:c>
      <x:c r="D280" s="31" t="inlineStr">
        <x:is>
          <x:t xml:space="preserve">Сварка рамы</x:t>
        </x:is>
      </x:c>
      <x:c r="E280" s="31" t="inlineStr">
        <x:is>
          <x:t xml:space="preserve">Сварка</x:t>
        </x:is>
      </x:c>
      <x:c r="F280" s="31" t="inlineStr">
        <x:is>
          <x:t xml:space="preserve">ОБ-019</x:t>
        </x:is>
      </x:c>
      <x:c r="G280" s="31" t="n">
        <x:v>3.5</x:v>
      </x:c>
      <x:c r="H280" s="31" t="inlineStr">
        <x:is>
          <x:t xml:space="preserve">Нет</x:t>
        </x:is>
      </x:c>
      <x:c r="I280" s="31" t="inlineStr">
        <x:is>
          <x:t xml:space="preserve">Нет</x:t>
        </x:is>
      </x:c>
      <x:c r="J280" s="31" t="inlineStr">
        <x:is>
          <x:t xml:space="preserve">Версия 6</x:t>
        </x:is>
      </x:c>
    </x:row>
    <x:row r="281" ht="18" customHeight="1">
      <x:c r="A281" s="31" t="inlineStr">
        <x:is>
          <x:t xml:space="preserve">МАР-0280</x:t>
        </x:is>
      </x:c>
      <x:c r="B281" s="31" t="inlineStr">
        <x:is>
          <x:t xml:space="preserve">ИЗД-034</x:t>
        </x:is>
      </x:c>
      <x:c r="C281" s="31" t="n">
        <x:v>50</x:v>
      </x:c>
      <x:c r="D281" s="31" t="inlineStr">
        <x:is>
          <x:t xml:space="preserve">Механообработка</x:t>
        </x:is>
      </x:c>
      <x:c r="E281" s="31" t="inlineStr">
        <x:is>
          <x:t xml:space="preserve">Механообработка</x:t>
        </x:is>
      </x:c>
      <x:c r="F281" s="31" t="inlineStr">
        <x:is>
          <x:t xml:space="preserve">ОБ-029</x:t>
        </x:is>
      </x:c>
      <x:c r="G281" s="31" t="n">
        <x:v>8.1</x:v>
      </x:c>
      <x:c r="H281" s="31" t="inlineStr">
        <x:is>
          <x:t xml:space="preserve">Нет</x:t>
        </x:is>
      </x:c>
      <x:c r="I281" s="31" t="inlineStr">
        <x:is>
          <x:t xml:space="preserve">Нет</x:t>
        </x:is>
      </x:c>
      <x:c r="J281" s="31" t="inlineStr">
        <x:is>
          <x:t xml:space="preserve">Версия 6</x:t>
        </x:is>
      </x:c>
    </x:row>
    <x:row r="282" ht="18" customHeight="1">
      <x:c r="A282" s="31" t="inlineStr">
        <x:is>
          <x:t xml:space="preserve">МАР-0281</x:t>
        </x:is>
      </x:c>
      <x:c r="B282" s="31" t="inlineStr">
        <x:is>
          <x:t xml:space="preserve">ИЗД-034</x:t>
        </x:is>
      </x:c>
      <x:c r="C282" s="31" t="n">
        <x:v>60</x:v>
      </x:c>
      <x:c r="D282" s="31" t="inlineStr">
        <x:is>
          <x:t xml:space="preserve">Сборка</x:t>
        </x:is>
      </x:c>
      <x:c r="E282" s="31" t="inlineStr">
        <x:is>
          <x:t xml:space="preserve">Сборка</x:t>
        </x:is>
      </x:c>
      <x:c r="F282" s="31" t="inlineStr">
        <x:is>
          <x:t xml:space="preserve">ОБ-027</x:t>
        </x:is>
      </x:c>
      <x:c r="G282" s="31" t="n">
        <x:v>3.3</x:v>
      </x:c>
      <x:c r="H282" s="31" t="inlineStr">
        <x:is>
          <x:t xml:space="preserve">Нет</x:t>
        </x:is>
      </x:c>
      <x:c r="I282" s="31" t="inlineStr">
        <x:is>
          <x:t xml:space="preserve">Нет</x:t>
        </x:is>
      </x:c>
      <x:c r="J282" s="31" t="inlineStr">
        <x:is>
          <x:t xml:space="preserve">Версия 6</x:t>
        </x:is>
      </x:c>
    </x:row>
    <x:row r="283" ht="18" customHeight="1">
      <x:c r="A283" s="31" t="inlineStr">
        <x:is>
          <x:t xml:space="preserve">МАР-0282</x:t>
        </x:is>
      </x:c>
      <x:c r="B283" s="31" t="inlineStr">
        <x:is>
          <x:t xml:space="preserve">ИЗД-034</x:t>
        </x:is>
      </x:c>
      <x:c r="C283" s="31" t="n">
        <x:v>70</x:v>
      </x:c>
      <x:c r="D283" s="31" t="inlineStr">
        <x:is>
          <x:t xml:space="preserve">Обвязка труб</x:t>
        </x:is>
      </x:c>
      <x:c r="E283" s="31" t="inlineStr">
        <x:is>
          <x:t xml:space="preserve">Сборка</x:t>
        </x:is>
      </x:c>
      <x:c r="F283" s="31" t="inlineStr">
        <x:is>
          <x:t xml:space="preserve">ОБ-034</x:t>
        </x:is>
      </x:c>
      <x:c r="G283" s="31" t="n">
        <x:v>2.3</x:v>
      </x:c>
      <x:c r="H283" s="31" t="inlineStr">
        <x:is>
          <x:t xml:space="preserve">Да</x:t>
        </x:is>
      </x:c>
      <x:c r="I283" s="31" t="inlineStr">
        <x:is>
          <x:t xml:space="preserve">Нет</x:t>
        </x:is>
      </x:c>
      <x:c r="J283" s="31" t="inlineStr">
        <x:is>
          <x:t xml:space="preserve">Версия 6</x:t>
        </x:is>
      </x:c>
    </x:row>
    <x:row r="284" ht="18" customHeight="1">
      <x:c r="A284" s="31" t="inlineStr">
        <x:is>
          <x:t xml:space="preserve">МАР-0283</x:t>
        </x:is>
      </x:c>
      <x:c r="B284" s="31" t="inlineStr">
        <x:is>
          <x:t xml:space="preserve">ИЗД-034</x:t>
        </x:is>
      </x:c>
      <x:c r="C284" s="31" t="n">
        <x:v>80</x:v>
      </x:c>
      <x:c r="D284" s="31" t="inlineStr">
        <x:is>
          <x:t xml:space="preserve">Электромонтаж</x:t>
        </x:is>
      </x:c>
      <x:c r="E284" s="31" t="inlineStr">
        <x:is>
          <x:t xml:space="preserve">Сборка</x:t>
        </x:is>
      </x:c>
      <x:c r="F284" s="31" t="inlineStr">
        <x:is>
          <x:t xml:space="preserve">ОБ-020</x:t>
        </x:is>
      </x:c>
      <x:c r="G284" s="31" t="n">
        <x:v>2.2</x:v>
      </x:c>
      <x:c r="H284" s="31" t="inlineStr">
        <x:is>
          <x:t xml:space="preserve">Нет</x:t>
        </x:is>
      </x:c>
      <x:c r="I284" s="31" t="inlineStr">
        <x:is>
          <x:t xml:space="preserve">Нет</x:t>
        </x:is>
      </x:c>
      <x:c r="J284" s="31" t="inlineStr">
        <x:is>
          <x:t xml:space="preserve">Версия 6</x:t>
        </x:is>
      </x:c>
    </x:row>
    <x:row r="285" ht="18" customHeight="1">
      <x:c r="A285" s="31" t="inlineStr">
        <x:is>
          <x:t xml:space="preserve">МАР-0284</x:t>
        </x:is>
      </x:c>
      <x:c r="B285" s="31" t="inlineStr">
        <x:is>
          <x:t xml:space="preserve">ИЗД-034</x:t>
        </x:is>
      </x:c>
      <x:c r="C285" s="31" t="n">
        <x:v>90</x:v>
      </x:c>
      <x:c r="D285" s="31" t="inlineStr">
        <x:is>
          <x:t xml:space="preserve">Приемочные испытания</x:t>
        </x:is>
      </x:c>
      <x:c r="E285" s="31" t="inlineStr">
        <x:is>
          <x:t xml:space="preserve">ОТК</x:t>
        </x:is>
      </x:c>
      <x:c r="F285" s="31" t="inlineStr">
        <x:is>
          <x:t xml:space="preserve">ОБ-006</x:t>
        </x:is>
      </x:c>
      <x:c r="G285" s="31" t="n">
        <x:v>3.5</x:v>
      </x:c>
      <x:c r="H285" s="31" t="inlineStr">
        <x:is>
          <x:t xml:space="preserve">Нет</x:t>
        </x:is>
      </x:c>
      <x:c r="I285" s="31" t="inlineStr">
        <x:is>
          <x:t xml:space="preserve">Нет</x:t>
        </x:is>
      </x:c>
      <x:c r="J285" s="31" t="inlineStr">
        <x:is>
          <x:t xml:space="preserve">Версия 6</x:t>
        </x:is>
      </x:c>
    </x:row>
    <x:row r="286" ht="18" customHeight="1">
      <x:c r="A286" s="31" t="inlineStr">
        <x:is>
          <x:t xml:space="preserve">МАР-0285</x:t>
        </x:is>
      </x:c>
      <x:c r="B286" s="31" t="inlineStr">
        <x:is>
          <x:t xml:space="preserve">ИЗД-034</x:t>
        </x:is>
      </x:c>
      <x:c r="C286" s="31" t="n">
        <x:v>100</x:v>
      </x:c>
      <x:c r="D286" s="31" t="inlineStr">
        <x:is>
          <x:t xml:space="preserve">ОТК</x:t>
        </x:is>
      </x:c>
      <x:c r="E286" s="31" t="inlineStr">
        <x:is>
          <x:t xml:space="preserve">ОТК</x:t>
        </x:is>
      </x:c>
      <x:c r="F286" s="31" t="inlineStr">
        <x:is>
          <x:t xml:space="preserve">ОБ-001</x:t>
        </x:is>
      </x:c>
      <x:c r="G286" s="31" t="n">
        <x:v>2.2</x:v>
      </x:c>
      <x:c r="H286" s="31" t="inlineStr">
        <x:is>
          <x:t xml:space="preserve">Да</x:t>
        </x:is>
      </x:c>
      <x:c r="I286" s="31" t="inlineStr">
        <x:is>
          <x:t xml:space="preserve">Нет</x:t>
        </x:is>
      </x:c>
      <x:c r="J286" s="31" t="inlineStr">
        <x:is>
          <x:t xml:space="preserve">Версия 6</x:t>
        </x:is>
      </x:c>
    </x:row>
    <x:row r="287" ht="18" customHeight="1">
      <x:c r="A287" s="31" t="inlineStr">
        <x:is>
          <x:t xml:space="preserve">МАР-0286</x:t>
        </x:is>
      </x:c>
      <x:c r="B287" s="31" t="inlineStr">
        <x:is>
          <x:t xml:space="preserve">ИЗД-034</x:t>
        </x:is>
      </x:c>
      <x:c r="C287" s="31" t="n">
        <x:v>110</x:v>
      </x:c>
      <x:c r="D287" s="31" t="inlineStr">
        <x:is>
          <x:t xml:space="preserve">Упаковка</x:t>
        </x:is>
      </x:c>
      <x:c r="E287" s="31" t="inlineStr">
        <x:is>
          <x:t xml:space="preserve">Логистика</x:t>
        </x:is>
      </x:c>
      <x:c r="F287" s="31" t="n"/>
      <x:c r="G287" s="31" t="n">
        <x:v>5.3</x:v>
      </x:c>
      <x:c r="H287" s="31" t="inlineStr">
        <x:is>
          <x:t xml:space="preserve">Нет</x:t>
        </x:is>
      </x:c>
      <x:c r="I287" s="31" t="inlineStr">
        <x:is>
          <x:t xml:space="preserve">Да</x:t>
        </x:is>
      </x:c>
      <x:c r="J287" s="31" t="inlineStr">
        <x:is>
          <x:t xml:space="preserve">Версия 6</x:t>
        </x:is>
      </x:c>
    </x:row>
    <x:row r="288" ht="18" customHeight="1">
      <x:c r="A288" s="31" t="inlineStr">
        <x:is>
          <x:t xml:space="preserve">МАР-0287</x:t>
        </x:is>
      </x:c>
      <x:c r="B288" s="31" t="inlineStr">
        <x:is>
          <x:t xml:space="preserve">ИЗД-035</x:t>
        </x:is>
      </x:c>
      <x:c r="C288" s="31" t="n">
        <x:v>10</x:v>
      </x:c>
      <x:c r="D288" s="31" t="inlineStr">
        <x:is>
          <x:t xml:space="preserve">КД</x:t>
        </x:is>
      </x:c>
      <x:c r="E288" s="31" t="inlineStr">
        <x:is>
          <x:t xml:space="preserve">Инженерный отдел</x:t>
        </x:is>
      </x:c>
      <x:c r="F288" s="31" t="n"/>
      <x:c r="G288" s="31" t="n">
        <x:v>6.9</x:v>
      </x:c>
      <x:c r="H288" s="31" t="inlineStr">
        <x:is>
          <x:t xml:space="preserve">Нет</x:t>
        </x:is>
      </x:c>
      <x:c r="I288" s="31" t="inlineStr">
        <x:is>
          <x:t xml:space="preserve">Нет</x:t>
        </x:is>
      </x:c>
      <x:c r="J288" s="31" t="inlineStr">
        <x:is>
          <x:t xml:space="preserve">Версия 2</x:t>
        </x:is>
      </x:c>
    </x:row>
    <x:row r="289" ht="18" customHeight="1">
      <x:c r="A289" s="31" t="inlineStr">
        <x:is>
          <x:t xml:space="preserve">МАР-0288</x:t>
        </x:is>
      </x:c>
      <x:c r="B289" s="31" t="inlineStr">
        <x:is>
          <x:t xml:space="preserve">ИЗД-035</x:t>
        </x:is>
      </x:c>
      <x:c r="C289" s="31" t="n">
        <x:v>20</x:v>
      </x:c>
      <x:c r="D289" s="31" t="inlineStr">
        <x:is>
          <x:t xml:space="preserve">Резерв материалов</x:t>
        </x:is>
      </x:c>
      <x:c r="E289" s="31" t="inlineStr">
        <x:is>
          <x:t xml:space="preserve">Склад</x:t>
        </x:is>
      </x:c>
      <x:c r="F289" s="31" t="inlineStr">
        <x:is>
          <x:t xml:space="preserve">ОБ-023</x:t>
        </x:is>
      </x:c>
      <x:c r="G289" s="31" t="n">
        <x:v>10.2</x:v>
      </x:c>
      <x:c r="H289" s="31" t="inlineStr">
        <x:is>
          <x:t xml:space="preserve">Нет</x:t>
        </x:is>
      </x:c>
      <x:c r="I289" s="31" t="inlineStr">
        <x:is>
          <x:t xml:space="preserve">Да</x:t>
        </x:is>
      </x:c>
      <x:c r="J289" s="31" t="inlineStr">
        <x:is>
          <x:t xml:space="preserve">Версия 2</x:t>
        </x:is>
      </x:c>
    </x:row>
    <x:row r="290" ht="18" customHeight="1">
      <x:c r="A290" s="31" t="inlineStr">
        <x:is>
          <x:t xml:space="preserve">МАР-0289</x:t>
        </x:is>
      </x:c>
      <x:c r="B290" s="31" t="inlineStr">
        <x:is>
          <x:t xml:space="preserve">ИЗД-035</x:t>
        </x:is>
      </x:c>
      <x:c r="C290" s="31" t="n">
        <x:v>30</x:v>
      </x:c>
      <x:c r="D290" s="31" t="inlineStr">
        <x:is>
          <x:t xml:space="preserve">Резка металла</x:t>
        </x:is>
      </x:c>
      <x:c r="E290" s="31" t="inlineStr">
        <x:is>
          <x:t xml:space="preserve">Сварка</x:t>
        </x:is>
      </x:c>
      <x:c r="F290" s="31" t="inlineStr">
        <x:is>
          <x:t xml:space="preserve">ОБ-021</x:t>
        </x:is>
      </x:c>
      <x:c r="G290" s="31" t="n">
        <x:v>4.7</x:v>
      </x:c>
      <x:c r="H290" s="31" t="inlineStr">
        <x:is>
          <x:t xml:space="preserve">Нет</x:t>
        </x:is>
      </x:c>
      <x:c r="I290" s="31" t="inlineStr">
        <x:is>
          <x:t xml:space="preserve">Да</x:t>
        </x:is>
      </x:c>
      <x:c r="J290" s="31" t="inlineStr">
        <x:is>
          <x:t xml:space="preserve">Версия 2</x:t>
        </x:is>
      </x:c>
    </x:row>
    <x:row r="291" ht="18" customHeight="1">
      <x:c r="A291" s="31" t="inlineStr">
        <x:is>
          <x:t xml:space="preserve">МАР-0290</x:t>
        </x:is>
      </x:c>
      <x:c r="B291" s="31" t="inlineStr">
        <x:is>
          <x:t xml:space="preserve">ИЗД-035</x:t>
        </x:is>
      </x:c>
      <x:c r="C291" s="31" t="n">
        <x:v>40</x:v>
      </x:c>
      <x:c r="D291" s="31" t="inlineStr">
        <x:is>
          <x:t xml:space="preserve">Сварка рамы</x:t>
        </x:is>
      </x:c>
      <x:c r="E291" s="31" t="inlineStr">
        <x:is>
          <x:t xml:space="preserve">Сварка</x:t>
        </x:is>
      </x:c>
      <x:c r="F291" s="31" t="inlineStr">
        <x:is>
          <x:t xml:space="preserve">ОБ-035</x:t>
        </x:is>
      </x:c>
      <x:c r="G291" s="31" t="n">
        <x:v>2.3</x:v>
      </x:c>
      <x:c r="H291" s="31" t="inlineStr">
        <x:is>
          <x:t xml:space="preserve">Нет</x:t>
        </x:is>
      </x:c>
      <x:c r="I291" s="31" t="inlineStr">
        <x:is>
          <x:t xml:space="preserve">Нет</x:t>
        </x:is>
      </x:c>
      <x:c r="J291" s="31" t="inlineStr">
        <x:is>
          <x:t xml:space="preserve">Версия 2</x:t>
        </x:is>
      </x:c>
    </x:row>
    <x:row r="292" ht="18" customHeight="1">
      <x:c r="A292" s="31" t="inlineStr">
        <x:is>
          <x:t xml:space="preserve">МАР-0291</x:t>
        </x:is>
      </x:c>
      <x:c r="B292" s="31" t="inlineStr">
        <x:is>
          <x:t xml:space="preserve">ИЗД-035</x:t>
        </x:is>
      </x:c>
      <x:c r="C292" s="31" t="n">
        <x:v>50</x:v>
      </x:c>
      <x:c r="D292" s="31" t="inlineStr">
        <x:is>
          <x:t xml:space="preserve">Механообработка</x:t>
        </x:is>
      </x:c>
      <x:c r="E292" s="31" t="inlineStr">
        <x:is>
          <x:t xml:space="preserve">Механообработка</x:t>
        </x:is>
      </x:c>
      <x:c r="F292" s="31" t="inlineStr">
        <x:is>
          <x:t xml:space="preserve">ОБ-031</x:t>
        </x:is>
      </x:c>
      <x:c r="G292" s="31" t="n">
        <x:v>6.9</x:v>
      </x:c>
      <x:c r="H292" s="31" t="inlineStr">
        <x:is>
          <x:t xml:space="preserve">Нет</x:t>
        </x:is>
      </x:c>
      <x:c r="I292" s="31" t="inlineStr">
        <x:is>
          <x:t xml:space="preserve">Нет</x:t>
        </x:is>
      </x:c>
      <x:c r="J292" s="31" t="inlineStr">
        <x:is>
          <x:t xml:space="preserve">Версия 2</x:t>
        </x:is>
      </x:c>
    </x:row>
    <x:row r="293" ht="18" customHeight="1">
      <x:c r="A293" s="31" t="inlineStr">
        <x:is>
          <x:t xml:space="preserve">МАР-0292</x:t>
        </x:is>
      </x:c>
      <x:c r="B293" s="31" t="inlineStr">
        <x:is>
          <x:t xml:space="preserve">ИЗД-035</x:t>
        </x:is>
      </x:c>
      <x:c r="C293" s="31" t="n">
        <x:v>60</x:v>
      </x:c>
      <x:c r="D293" s="31" t="inlineStr">
        <x:is>
          <x:t xml:space="preserve">Сборка</x:t>
        </x:is>
      </x:c>
      <x:c r="E293" s="31" t="inlineStr">
        <x:is>
          <x:t xml:space="preserve">Сборка</x:t>
        </x:is>
      </x:c>
      <x:c r="F293" s="31" t="inlineStr">
        <x:is>
          <x:t xml:space="preserve">ОБ-012</x:t>
        </x:is>
      </x:c>
      <x:c r="G293" s="31" t="n">
        <x:v>1.4</x:v>
      </x:c>
      <x:c r="H293" s="31" t="inlineStr">
        <x:is>
          <x:t xml:space="preserve">Нет</x:t>
        </x:is>
      </x:c>
      <x:c r="I293" s="31" t="inlineStr">
        <x:is>
          <x:t xml:space="preserve">Да</x:t>
        </x:is>
      </x:c>
      <x:c r="J293" s="31" t="inlineStr">
        <x:is>
          <x:t xml:space="preserve">Версия 2</x:t>
        </x:is>
      </x:c>
    </x:row>
    <x:row r="294" ht="18" customHeight="1">
      <x:c r="A294" s="31" t="inlineStr">
        <x:is>
          <x:t xml:space="preserve">МАР-0293</x:t>
        </x:is>
      </x:c>
      <x:c r="B294" s="31" t="inlineStr">
        <x:is>
          <x:t xml:space="preserve">ИЗД-035</x:t>
        </x:is>
      </x:c>
      <x:c r="C294" s="31" t="n">
        <x:v>70</x:v>
      </x:c>
      <x:c r="D294" s="31" t="inlineStr">
        <x:is>
          <x:t xml:space="preserve">Обвязка труб</x:t>
        </x:is>
      </x:c>
      <x:c r="E294" s="31" t="inlineStr">
        <x:is>
          <x:t xml:space="preserve">Сборка</x:t>
        </x:is>
      </x:c>
      <x:c r="F294" s="31" t="inlineStr">
        <x:is>
          <x:t xml:space="preserve">ОБ-002</x:t>
        </x:is>
      </x:c>
      <x:c r="G294" s="31" t="n">
        <x:v>11</x:v>
      </x:c>
      <x:c r="H294" s="31" t="inlineStr">
        <x:is>
          <x:t xml:space="preserve">Нет</x:t>
        </x:is>
      </x:c>
      <x:c r="I294" s="31" t="inlineStr">
        <x:is>
          <x:t xml:space="preserve">Нет</x:t>
        </x:is>
      </x:c>
      <x:c r="J294" s="31" t="inlineStr">
        <x:is>
          <x:t xml:space="preserve">Версия 2</x:t>
        </x:is>
      </x:c>
    </x:row>
    <x:row r="295" ht="18" customHeight="1">
      <x:c r="A295" s="31" t="inlineStr">
        <x:is>
          <x:t xml:space="preserve">МАР-0294</x:t>
        </x:is>
      </x:c>
      <x:c r="B295" s="31" t="inlineStr">
        <x:is>
          <x:t xml:space="preserve">ИЗД-035</x:t>
        </x:is>
      </x:c>
      <x:c r="C295" s="31" t="n">
        <x:v>80</x:v>
      </x:c>
      <x:c r="D295" s="31" t="inlineStr">
        <x:is>
          <x:t xml:space="preserve">Электромонтаж</x:t>
        </x:is>
      </x:c>
      <x:c r="E295" s="31" t="inlineStr">
        <x:is>
          <x:t xml:space="preserve">Сборка</x:t>
        </x:is>
      </x:c>
      <x:c r="F295" s="31" t="inlineStr">
        <x:is>
          <x:t xml:space="preserve">ОБ-002</x:t>
        </x:is>
      </x:c>
      <x:c r="G295" s="31" t="n">
        <x:v>1.2</x:v>
      </x:c>
      <x:c r="H295" s="31" t="inlineStr">
        <x:is>
          <x:t xml:space="preserve">Нет</x:t>
        </x:is>
      </x:c>
      <x:c r="I295" s="31" t="inlineStr">
        <x:is>
          <x:t xml:space="preserve">Нет</x:t>
        </x:is>
      </x:c>
      <x:c r="J295" s="31" t="inlineStr">
        <x:is>
          <x:t xml:space="preserve">Версия 2</x:t>
        </x:is>
      </x:c>
    </x:row>
    <x:row r="296" ht="18" customHeight="1">
      <x:c r="A296" s="31" t="inlineStr">
        <x:is>
          <x:t xml:space="preserve">МАР-0295</x:t>
        </x:is>
      </x:c>
      <x:c r="B296" s="31" t="inlineStr">
        <x:is>
          <x:t xml:space="preserve">ИЗД-035</x:t>
        </x:is>
      </x:c>
      <x:c r="C296" s="31" t="n">
        <x:v>90</x:v>
      </x:c>
      <x:c r="D296" s="31" t="inlineStr">
        <x:is>
          <x:t xml:space="preserve">Приемочные испытания</x:t>
        </x:is>
      </x:c>
      <x:c r="E296" s="31" t="inlineStr">
        <x:is>
          <x:t xml:space="preserve">ОТК</x:t>
        </x:is>
      </x:c>
      <x:c r="F296" s="31" t="inlineStr">
        <x:is>
          <x:t xml:space="preserve">ОБ-033</x:t>
        </x:is>
      </x:c>
      <x:c r="G296" s="31" t="n">
        <x:v>2.1</x:v>
      </x:c>
      <x:c r="H296" s="31" t="inlineStr">
        <x:is>
          <x:t xml:space="preserve">Да</x:t>
        </x:is>
      </x:c>
      <x:c r="I296" s="31" t="inlineStr">
        <x:is>
          <x:t xml:space="preserve">Нет</x:t>
        </x:is>
      </x:c>
      <x:c r="J296" s="31" t="inlineStr">
        <x:is>
          <x:t xml:space="preserve">Версия 2</x:t>
        </x:is>
      </x:c>
    </x:row>
    <x:row r="297" ht="18" customHeight="1">
      <x:c r="A297" s="31" t="inlineStr">
        <x:is>
          <x:t xml:space="preserve">МАР-0296</x:t>
        </x:is>
      </x:c>
      <x:c r="B297" s="31" t="inlineStr">
        <x:is>
          <x:t xml:space="preserve">ИЗД-035</x:t>
        </x:is>
      </x:c>
      <x:c r="C297" s="31" t="n">
        <x:v>100</x:v>
      </x:c>
      <x:c r="D297" s="31" t="inlineStr">
        <x:is>
          <x:t xml:space="preserve">ОТК</x:t>
        </x:is>
      </x:c>
      <x:c r="E297" s="31" t="inlineStr">
        <x:is>
          <x:t xml:space="preserve">ОТК</x:t>
        </x:is>
      </x:c>
      <x:c r="F297" s="31" t="inlineStr">
        <x:is>
          <x:t xml:space="preserve">ОБ-006</x:t>
        </x:is>
      </x:c>
      <x:c r="G297" s="31" t="n">
        <x:v>10</x:v>
      </x:c>
      <x:c r="H297" s="31" t="inlineStr">
        <x:is>
          <x:t xml:space="preserve">Да</x:t>
        </x:is>
      </x:c>
      <x:c r="I297" s="31" t="inlineStr">
        <x:is>
          <x:t xml:space="preserve">Нет</x:t>
        </x:is>
      </x:c>
      <x:c r="J297" s="31" t="inlineStr">
        <x:is>
          <x:t xml:space="preserve">Версия 2</x:t>
        </x:is>
      </x:c>
    </x:row>
    <x:row r="298" ht="18" customHeight="1">
      <x:c r="A298" s="31" t="inlineStr">
        <x:is>
          <x:t xml:space="preserve">МАР-0297</x:t>
        </x:is>
      </x:c>
      <x:c r="B298" s="31" t="inlineStr">
        <x:is>
          <x:t xml:space="preserve">ИЗД-035</x:t>
        </x:is>
      </x:c>
      <x:c r="C298" s="31" t="n">
        <x:v>110</x:v>
      </x:c>
      <x:c r="D298" s="31" t="inlineStr">
        <x:is>
          <x:t xml:space="preserve">Упаковка</x:t>
        </x:is>
      </x:c>
      <x:c r="E298" s="31" t="inlineStr">
        <x:is>
          <x:t xml:space="preserve">Логистика</x:t>
        </x:is>
      </x:c>
      <x:c r="F298" s="31" t="n"/>
      <x:c r="G298" s="31" t="n">
        <x:v>7.8</x:v>
      </x:c>
      <x:c r="H298" s="31" t="inlineStr">
        <x:is>
          <x:t xml:space="preserve">Да</x:t>
        </x:is>
      </x:c>
      <x:c r="I298" s="31" t="inlineStr">
        <x:is>
          <x:t xml:space="preserve">Нет</x:t>
        </x:is>
      </x:c>
      <x:c r="J298" s="31" t="inlineStr">
        <x:is>
          <x:t xml:space="preserve">Версия 2</x:t>
        </x:is>
      </x:c>
    </x:row>
    <x:row r="299" ht="18" customHeight="1">
      <x:c r="A299" s="31" t="inlineStr">
        <x:is>
          <x:t xml:space="preserve">МАР-0298</x:t>
        </x:is>
      </x:c>
      <x:c r="B299" s="31" t="inlineStr">
        <x:is>
          <x:t xml:space="preserve">ИЗД-036</x:t>
        </x:is>
      </x:c>
      <x:c r="C299" s="31" t="n">
        <x:v>10</x:v>
      </x:c>
      <x:c r="D299" s="31" t="inlineStr">
        <x:is>
          <x:t xml:space="preserve">КД</x:t>
        </x:is>
      </x:c>
      <x:c r="E299" s="31" t="inlineStr">
        <x:is>
          <x:t xml:space="preserve">Инженерный отдел</x:t>
        </x:is>
      </x:c>
      <x:c r="F299" s="31" t="n"/>
      <x:c r="G299" s="31" t="n">
        <x:v>7.5</x:v>
      </x:c>
      <x:c r="H299" s="31" t="inlineStr">
        <x:is>
          <x:t xml:space="preserve">Нет</x:t>
        </x:is>
      </x:c>
      <x:c r="I299" s="31" t="inlineStr">
        <x:is>
          <x:t xml:space="preserve">Нет</x:t>
        </x:is>
      </x:c>
      <x:c r="J299" s="31" t="inlineStr">
        <x:is>
          <x:t xml:space="preserve">Версия 2</x:t>
        </x:is>
      </x:c>
    </x:row>
    <x:row r="300" ht="18" customHeight="1">
      <x:c r="A300" s="31" t="inlineStr">
        <x:is>
          <x:t xml:space="preserve">МАР-0299</x:t>
        </x:is>
      </x:c>
      <x:c r="B300" s="31" t="inlineStr">
        <x:is>
          <x:t xml:space="preserve">ИЗД-036</x:t>
        </x:is>
      </x:c>
      <x:c r="C300" s="31" t="n">
        <x:v>20</x:v>
      </x:c>
      <x:c r="D300" s="31" t="inlineStr">
        <x:is>
          <x:t xml:space="preserve">Комплектация</x:t>
        </x:is>
      </x:c>
      <x:c r="E300" s="31" t="inlineStr">
        <x:is>
          <x:t xml:space="preserve">Склад</x:t>
        </x:is>
      </x:c>
      <x:c r="F300" s="31" t="inlineStr">
        <x:is>
          <x:t xml:space="preserve">ОБ-008</x:t>
        </x:is>
      </x:c>
      <x:c r="G300" s="31" t="n">
        <x:v>8.699999999999999</x:v>
      </x:c>
      <x:c r="H300" s="31" t="inlineStr">
        <x:is>
          <x:t xml:space="preserve">Нет</x:t>
        </x:is>
      </x:c>
      <x:c r="I300" s="31" t="inlineStr">
        <x:is>
          <x:t xml:space="preserve">Нет</x:t>
        </x:is>
      </x:c>
      <x:c r="J300" s="31" t="inlineStr">
        <x:is>
          <x:t xml:space="preserve">Версия 2</x:t>
        </x:is>
      </x:c>
    </x:row>
    <x:row r="301">
      <x:c r="A301" s="31" t="inlineStr">
        <x:is>
          <x:t xml:space="preserve">МАР-0300</x:t>
        </x:is>
      </x:c>
      <x:c r="B301" s="31" t="inlineStr">
        <x:is>
          <x:t xml:space="preserve">ИЗД-036</x:t>
        </x:is>
      </x:c>
      <x:c r="C301" s="31" t="n">
        <x:v>30</x:v>
      </x:c>
      <x:c r="D301" s="31" t="inlineStr">
        <x:is>
          <x:t xml:space="preserve">Сборка шкафа</x:t>
        </x:is>
      </x:c>
      <x:c r="E301" s="31" t="inlineStr">
        <x:is>
          <x:t xml:space="preserve">Сборка</x:t>
        </x:is>
      </x:c>
      <x:c r="F301" s="31" t="inlineStr">
        <x:is>
          <x:t xml:space="preserve">ОБ-014</x:t>
        </x:is>
      </x:c>
      <x:c r="G301" s="31" t="n">
        <x:v>4</x:v>
      </x:c>
      <x:c r="H301" s="31" t="inlineStr">
        <x:is>
          <x:t xml:space="preserve">Нет</x:t>
        </x:is>
      </x:c>
      <x:c r="I301" s="31" t="inlineStr">
        <x:is>
          <x:t xml:space="preserve">Нет</x:t>
        </x:is>
      </x:c>
      <x:c r="J301" s="31" t="inlineStr">
        <x:is>
          <x:t xml:space="preserve">Версия 2</x:t>
        </x:is>
      </x:c>
    </x:row>
    <x:row r="302">
      <x:c r="A302" s="31" t="inlineStr">
        <x:is>
          <x:t xml:space="preserve">МАР-0301</x:t>
        </x:is>
      </x:c>
      <x:c r="B302" s="31" t="inlineStr">
        <x:is>
          <x:t xml:space="preserve">ИЗД-036</x:t>
        </x:is>
      </x:c>
      <x:c r="C302" s="31" t="n">
        <x:v>40</x:v>
      </x:c>
      <x:c r="D302" s="31" t="inlineStr">
        <x:is>
          <x:t xml:space="preserve">Маркировка</x:t>
        </x:is>
      </x:c>
      <x:c r="E302" s="31" t="inlineStr">
        <x:is>
          <x:t xml:space="preserve">Сборка</x:t>
        </x:is>
      </x:c>
      <x:c r="F302" s="31" t="inlineStr">
        <x:is>
          <x:t xml:space="preserve">ОБ-005</x:t>
        </x:is>
      </x:c>
      <x:c r="G302" s="31" t="n">
        <x:v>7.5</x:v>
      </x:c>
      <x:c r="H302" s="31" t="inlineStr">
        <x:is>
          <x:t xml:space="preserve">Нет</x:t>
        </x:is>
      </x:c>
      <x:c r="I302" s="31" t="inlineStr">
        <x:is>
          <x:t xml:space="preserve">Нет</x:t>
        </x:is>
      </x:c>
      <x:c r="J302" s="31" t="inlineStr">
        <x:is>
          <x:t xml:space="preserve">Версия 2</x:t>
        </x:is>
      </x:c>
    </x:row>
    <x:row r="303">
      <x:c r="A303" s="31" t="inlineStr">
        <x:is>
          <x:t xml:space="preserve">МАР-0302</x:t>
        </x:is>
      </x:c>
      <x:c r="B303" s="31" t="inlineStr">
        <x:is>
          <x:t xml:space="preserve">ИЗД-036</x:t>
        </x:is>
      </x:c>
      <x:c r="C303" s="31" t="n">
        <x:v>50</x:v>
      </x:c>
      <x:c r="D303" s="31" t="inlineStr">
        <x:is>
          <x:t xml:space="preserve">Электромонтаж</x:t>
        </x:is>
      </x:c>
      <x:c r="E303" s="31" t="inlineStr">
        <x:is>
          <x:t xml:space="preserve">Сборка</x:t>
        </x:is>
      </x:c>
      <x:c r="F303" s="31" t="inlineStr">
        <x:is>
          <x:t xml:space="preserve">ОБ-017</x:t>
        </x:is>
      </x:c>
      <x:c r="G303" s="31" t="n">
        <x:v>4.6</x:v>
      </x:c>
      <x:c r="H303" s="31" t="inlineStr">
        <x:is>
          <x:t xml:space="preserve">Нет</x:t>
        </x:is>
      </x:c>
      <x:c r="I303" s="31" t="inlineStr">
        <x:is>
          <x:t xml:space="preserve">Нет</x:t>
        </x:is>
      </x:c>
      <x:c r="J303" s="31" t="inlineStr">
        <x:is>
          <x:t xml:space="preserve">Версия 2</x:t>
        </x:is>
      </x:c>
    </x:row>
    <x:row r="304">
      <x:c r="A304" s="31" t="inlineStr">
        <x:is>
          <x:t xml:space="preserve">МАР-0303</x:t>
        </x:is>
      </x:c>
      <x:c r="B304" s="31" t="inlineStr">
        <x:is>
          <x:t xml:space="preserve">ИЗД-036</x:t>
        </x:is>
      </x:c>
      <x:c r="C304" s="31" t="n">
        <x:v>60</x:v>
      </x:c>
      <x:c r="D304" s="31" t="inlineStr">
        <x:is>
          <x:t xml:space="preserve">Программирование ПЛК</x:t>
        </x:is>
      </x:c>
      <x:c r="E304" s="31" t="inlineStr">
        <x:is>
          <x:t xml:space="preserve">Инженерный отдел</x:t>
        </x:is>
      </x:c>
      <x:c r="F304" s="31" t="n"/>
      <x:c r="G304" s="31" t="n">
        <x:v>17.9</x:v>
      </x:c>
      <x:c r="H304" s="31" t="inlineStr">
        <x:is>
          <x:t xml:space="preserve">Да</x:t>
        </x:is>
      </x:c>
      <x:c r="I304" s="31" t="inlineStr">
        <x:is>
          <x:t xml:space="preserve">Да</x:t>
        </x:is>
      </x:c>
      <x:c r="J304" s="31" t="inlineStr">
        <x:is>
          <x:t xml:space="preserve">Версия 2</x:t>
        </x:is>
      </x:c>
    </x:row>
    <x:row r="305">
      <x:c r="A305" s="31" t="inlineStr">
        <x:is>
          <x:t xml:space="preserve">МАР-0304</x:t>
        </x:is>
      </x:c>
      <x:c r="B305" s="31" t="inlineStr">
        <x:is>
          <x:t xml:space="preserve">ИЗД-036</x:t>
        </x:is>
      </x:c>
      <x:c r="C305" s="31" t="n">
        <x:v>70</x:v>
      </x:c>
      <x:c r="D305" s="31" t="inlineStr">
        <x:is>
          <x:t xml:space="preserve">Приемочные испытания</x:t>
        </x:is>
      </x:c>
      <x:c r="E305" s="31" t="inlineStr">
        <x:is>
          <x:t xml:space="preserve">ОТК</x:t>
        </x:is>
      </x:c>
      <x:c r="F305" s="31" t="inlineStr">
        <x:is>
          <x:t xml:space="preserve">ОБ-033</x:t>
        </x:is>
      </x:c>
      <x:c r="G305" s="31" t="n">
        <x:v>16.5</x:v>
      </x:c>
      <x:c r="H305" s="31" t="inlineStr">
        <x:is>
          <x:t xml:space="preserve">Нет</x:t>
        </x:is>
      </x:c>
      <x:c r="I305" s="31" t="inlineStr">
        <x:is>
          <x:t xml:space="preserve">Нет</x:t>
        </x:is>
      </x:c>
      <x:c r="J305" s="31" t="inlineStr">
        <x:is>
          <x:t xml:space="preserve">Версия 2</x:t>
        </x:is>
      </x:c>
    </x:row>
    <x:row r="306">
      <x:c r="A306" s="31" t="inlineStr">
        <x:is>
          <x:t xml:space="preserve">МАР-0305</x:t>
        </x:is>
      </x:c>
      <x:c r="B306" s="31" t="inlineStr">
        <x:is>
          <x:t xml:space="preserve">ИЗД-036</x:t>
        </x:is>
      </x:c>
      <x:c r="C306" s="31" t="n">
        <x:v>80</x:v>
      </x:c>
      <x:c r="D306" s="31" t="inlineStr">
        <x:is>
          <x:t xml:space="preserve">ОТК</x:t>
        </x:is>
      </x:c>
      <x:c r="E306" s="31" t="inlineStr">
        <x:is>
          <x:t xml:space="preserve">ОТК</x:t>
        </x:is>
      </x:c>
      <x:c r="F306" s="31" t="inlineStr">
        <x:is>
          <x:t xml:space="preserve">ОБ-006</x:t>
        </x:is>
      </x:c>
      <x:c r="G306" s="31" t="n">
        <x:v>17.1</x:v>
      </x:c>
      <x:c r="H306" s="31" t="inlineStr">
        <x:is>
          <x:t xml:space="preserve">Да</x:t>
        </x:is>
      </x:c>
      <x:c r="I306" s="31" t="inlineStr">
        <x:is>
          <x:t xml:space="preserve">Нет</x:t>
        </x:is>
      </x:c>
      <x:c r="J306" s="31" t="inlineStr">
        <x:is>
          <x:t xml:space="preserve">Версия 2</x:t>
        </x:is>
      </x:c>
    </x:row>
    <x:row r="307">
      <x:c r="A307" s="31" t="inlineStr">
        <x:is>
          <x:t xml:space="preserve">МАР-0306</x:t>
        </x:is>
      </x:c>
      <x:c r="B307" s="31" t="inlineStr">
        <x:is>
          <x:t xml:space="preserve">ИЗД-036</x:t>
        </x:is>
      </x:c>
      <x:c r="C307" s="31" t="n">
        <x:v>90</x:v>
      </x:c>
      <x:c r="D307" s="31" t="inlineStr">
        <x:is>
          <x:t xml:space="preserve">Упаковка</x:t>
        </x:is>
      </x:c>
      <x:c r="E307" s="31" t="inlineStr">
        <x:is>
          <x:t xml:space="preserve">Логистика</x:t>
        </x:is>
      </x:c>
      <x:c r="F307" s="31" t="n"/>
      <x:c r="G307" s="31" t="n">
        <x:v>3.2</x:v>
      </x:c>
      <x:c r="H307" s="31" t="inlineStr">
        <x:is>
          <x:t xml:space="preserve">Нет</x:t>
        </x:is>
      </x:c>
      <x:c r="I307" s="31" t="inlineStr">
        <x:is>
          <x:t xml:space="preserve">Нет</x:t>
        </x:is>
      </x:c>
      <x:c r="J307" s="31" t="inlineStr">
        <x:is>
          <x:t xml:space="preserve">Версия 2</x:t>
        </x:is>
      </x:c>
    </x:row>
    <x:row r="308">
      <x:c r="A308" s="31" t="inlineStr">
        <x:is>
          <x:t xml:space="preserve">МАР-0307</x:t>
        </x:is>
      </x:c>
      <x:c r="B308" s="31" t="inlineStr">
        <x:is>
          <x:t xml:space="preserve">ИЗД-037</x:t>
        </x:is>
      </x:c>
      <x:c r="C308" s="31" t="n">
        <x:v>10</x:v>
      </x:c>
      <x:c r="D308" s="31" t="inlineStr">
        <x:is>
          <x:t xml:space="preserve">КД</x:t>
        </x:is>
      </x:c>
      <x:c r="E308" s="31" t="inlineStr">
        <x:is>
          <x:t xml:space="preserve">Инженерный отдел</x:t>
        </x:is>
      </x:c>
      <x:c r="F308" s="31" t="n"/>
      <x:c r="G308" s="31" t="n">
        <x:v>13.4</x:v>
      </x:c>
      <x:c r="H308" s="31" t="inlineStr">
        <x:is>
          <x:t xml:space="preserve">Нет</x:t>
        </x:is>
      </x:c>
      <x:c r="I308" s="31" t="inlineStr">
        <x:is>
          <x:t xml:space="preserve">Нет</x:t>
        </x:is>
      </x:c>
      <x:c r="J308" s="31" t="inlineStr">
        <x:is>
          <x:t xml:space="preserve">Версия 1</x:t>
        </x:is>
      </x:c>
    </x:row>
    <x:row r="309">
      <x:c r="A309" s="31" t="inlineStr">
        <x:is>
          <x:t xml:space="preserve">МАР-0308</x:t>
        </x:is>
      </x:c>
      <x:c r="B309" s="31" t="inlineStr">
        <x:is>
          <x:t xml:space="preserve">ИЗД-037</x:t>
        </x:is>
      </x:c>
      <x:c r="C309" s="31" t="n">
        <x:v>20</x:v>
      </x:c>
      <x:c r="D309" s="31" t="inlineStr">
        <x:is>
          <x:t xml:space="preserve">Резка труб</x:t>
        </x:is>
      </x:c>
      <x:c r="E309" s="31" t="inlineStr">
        <x:is>
          <x:t xml:space="preserve">Сварка</x:t>
        </x:is>
      </x:c>
      <x:c r="F309" s="31" t="inlineStr">
        <x:is>
          <x:t xml:space="preserve">ОБ-018</x:t>
        </x:is>
      </x:c>
      <x:c r="G309" s="31" t="n">
        <x:v>20.7</x:v>
      </x:c>
      <x:c r="H309" s="31" t="inlineStr">
        <x:is>
          <x:t xml:space="preserve">Да</x:t>
        </x:is>
      </x:c>
      <x:c r="I309" s="31" t="inlineStr">
        <x:is>
          <x:t xml:space="preserve">Нет</x:t>
        </x:is>
      </x:c>
      <x:c r="J309" s="31" t="inlineStr">
        <x:is>
          <x:t xml:space="preserve">Версия 1</x:t>
        </x:is>
      </x:c>
    </x:row>
    <x:row r="310">
      <x:c r="A310" s="31" t="inlineStr">
        <x:is>
          <x:t xml:space="preserve">МАР-0309</x:t>
        </x:is>
      </x:c>
      <x:c r="B310" s="31" t="inlineStr">
        <x:is>
          <x:t xml:space="preserve">ИЗД-037</x:t>
        </x:is>
      </x:c>
      <x:c r="C310" s="31" t="n">
        <x:v>30</x:v>
      </x:c>
      <x:c r="D310" s="31" t="inlineStr">
        <x:is>
          <x:t xml:space="preserve">Сварка</x:t>
        </x:is>
      </x:c>
      <x:c r="E310" s="31" t="inlineStr">
        <x:is>
          <x:t xml:space="preserve">Сварка</x:t>
        </x:is>
      </x:c>
      <x:c r="F310" s="31" t="inlineStr">
        <x:is>
          <x:t xml:space="preserve">ОБ-018</x:t>
        </x:is>
      </x:c>
      <x:c r="G310" s="31" t="n">
        <x:v>14.3</x:v>
      </x:c>
      <x:c r="H310" s="31" t="inlineStr">
        <x:is>
          <x:t xml:space="preserve">Нет</x:t>
        </x:is>
      </x:c>
      <x:c r="I310" s="31" t="inlineStr">
        <x:is>
          <x:t xml:space="preserve">Нет</x:t>
        </x:is>
      </x:c>
      <x:c r="J310" s="31" t="inlineStr">
        <x:is>
          <x:t xml:space="preserve">Версия 1</x:t>
        </x:is>
      </x:c>
    </x:row>
    <x:row r="311">
      <x:c r="A311" s="31" t="inlineStr">
        <x:is>
          <x:t xml:space="preserve">МАР-0310</x:t>
        </x:is>
      </x:c>
      <x:c r="B311" s="31" t="inlineStr">
        <x:is>
          <x:t xml:space="preserve">ИЗД-037</x:t>
        </x:is>
      </x:c>
      <x:c r="C311" s="31" t="n">
        <x:v>40</x:v>
      </x:c>
      <x:c r="D311" s="31" t="inlineStr">
        <x:is>
          <x:t xml:space="preserve">НК сварных швов</x:t>
        </x:is>
      </x:c>
      <x:c r="E311" s="31" t="inlineStr">
        <x:is>
          <x:t xml:space="preserve">ОТК</x:t>
        </x:is>
      </x:c>
      <x:c r="F311" s="31" t="inlineStr">
        <x:is>
          <x:t xml:space="preserve">ОБ-007</x:t>
        </x:is>
      </x:c>
      <x:c r="G311" s="31" t="n">
        <x:v>3.4</x:v>
      </x:c>
      <x:c r="H311" s="31" t="inlineStr">
        <x:is>
          <x:t xml:space="preserve">Нет</x:t>
        </x:is>
      </x:c>
      <x:c r="I311" s="31" t="inlineStr">
        <x:is>
          <x:t xml:space="preserve">Нет</x:t>
        </x:is>
      </x:c>
      <x:c r="J311" s="31" t="inlineStr">
        <x:is>
          <x:t xml:space="preserve">Версия 1</x:t>
        </x:is>
      </x:c>
    </x:row>
    <x:row r="312">
      <x:c r="A312" s="31" t="inlineStr">
        <x:is>
          <x:t xml:space="preserve">МАР-0311</x:t>
        </x:is>
      </x:c>
      <x:c r="B312" s="31" t="inlineStr">
        <x:is>
          <x:t xml:space="preserve">ИЗД-037</x:t>
        </x:is>
      </x:c>
      <x:c r="C312" s="31" t="n">
        <x:v>50</x:v>
      </x:c>
      <x:c r="D312" s="31" t="inlineStr">
        <x:is>
          <x:t xml:space="preserve">Гидроиспытания</x:t>
        </x:is>
      </x:c>
      <x:c r="E312" s="31" t="inlineStr">
        <x:is>
          <x:t xml:space="preserve">ОТК</x:t>
        </x:is>
      </x:c>
      <x:c r="F312" s="31" t="inlineStr">
        <x:is>
          <x:t xml:space="preserve">ОБ-015</x:t>
        </x:is>
      </x:c>
      <x:c r="G312" s="31" t="n">
        <x:v>4.7</x:v>
      </x:c>
      <x:c r="H312" s="31" t="inlineStr">
        <x:is>
          <x:t xml:space="preserve">Нет</x:t>
        </x:is>
      </x:c>
      <x:c r="I312" s="31" t="inlineStr">
        <x:is>
          <x:t xml:space="preserve">Да</x:t>
        </x:is>
      </x:c>
      <x:c r="J312" s="31" t="inlineStr">
        <x:is>
          <x:t xml:space="preserve">Версия 1</x:t>
        </x:is>
      </x:c>
    </x:row>
    <x:row r="313">
      <x:c r="A313" s="31" t="inlineStr">
        <x:is>
          <x:t xml:space="preserve">МАР-0312</x:t>
        </x:is>
      </x:c>
      <x:c r="B313" s="31" t="inlineStr">
        <x:is>
          <x:t xml:space="preserve">ИЗД-037</x:t>
        </x:is>
      </x:c>
      <x:c r="C313" s="31" t="n">
        <x:v>60</x:v>
      </x:c>
      <x:c r="D313" s="31" t="inlineStr">
        <x:is>
          <x:t xml:space="preserve">Покраска</x:t>
        </x:is>
      </x:c>
      <x:c r="E313" s="31" t="inlineStr">
        <x:is>
          <x:t xml:space="preserve">Сварка</x:t>
        </x:is>
      </x:c>
      <x:c r="F313" s="31" t="inlineStr">
        <x:is>
          <x:t xml:space="preserve">ОБ-004</x:t>
        </x:is>
      </x:c>
      <x:c r="G313" s="31" t="n">
        <x:v>8.6</x:v>
      </x:c>
      <x:c r="H313" s="31" t="inlineStr">
        <x:is>
          <x:t xml:space="preserve">Нет</x:t>
        </x:is>
      </x:c>
      <x:c r="I313" s="31" t="inlineStr">
        <x:is>
          <x:t xml:space="preserve">Нет</x:t>
        </x:is>
      </x:c>
      <x:c r="J313" s="31" t="inlineStr">
        <x:is>
          <x:t xml:space="preserve">Версия 1</x:t>
        </x:is>
      </x:c>
    </x:row>
    <x:row r="314">
      <x:c r="A314" s="31" t="inlineStr">
        <x:is>
          <x:t xml:space="preserve">МАР-0313</x:t>
        </x:is>
      </x:c>
      <x:c r="B314" s="31" t="inlineStr">
        <x:is>
          <x:t xml:space="preserve">ИЗД-037</x:t>
        </x:is>
      </x:c>
      <x:c r="C314" s="31" t="n">
        <x:v>70</x:v>
      </x:c>
      <x:c r="D314" s="31" t="inlineStr">
        <x:is>
          <x:t xml:space="preserve">ОТК</x:t>
        </x:is>
      </x:c>
      <x:c r="E314" s="31" t="inlineStr">
        <x:is>
          <x:t xml:space="preserve">ОТК</x:t>
        </x:is>
      </x:c>
      <x:c r="F314" s="31" t="inlineStr">
        <x:is>
          <x:t xml:space="preserve">ОБ-032</x:t>
        </x:is>
      </x:c>
      <x:c r="G314" s="31" t="n">
        <x:v>18.7</x:v>
      </x:c>
      <x:c r="H314" s="31" t="inlineStr">
        <x:is>
          <x:t xml:space="preserve">Нет</x:t>
        </x:is>
      </x:c>
      <x:c r="I314" s="31" t="inlineStr">
        <x:is>
          <x:t xml:space="preserve">Нет</x:t>
        </x:is>
      </x:c>
      <x:c r="J314" s="31" t="inlineStr">
        <x:is>
          <x:t xml:space="preserve">Версия 1</x:t>
        </x:is>
      </x:c>
    </x:row>
    <x:row r="315">
      <x:c r="A315" s="31" t="inlineStr">
        <x:is>
          <x:t xml:space="preserve">МАР-0314</x:t>
        </x:is>
      </x:c>
      <x:c r="B315" s="31" t="inlineStr">
        <x:is>
          <x:t xml:space="preserve">ИЗД-038</x:t>
        </x:is>
      </x:c>
      <x:c r="C315" s="31" t="n">
        <x:v>10</x:v>
      </x:c>
      <x:c r="D315" s="31" t="inlineStr">
        <x:is>
          <x:t xml:space="preserve">КД</x:t>
        </x:is>
      </x:c>
      <x:c r="E315" s="31" t="inlineStr">
        <x:is>
          <x:t xml:space="preserve">Инженерный отдел</x:t>
        </x:is>
      </x:c>
      <x:c r="F315" s="31" t="n"/>
      <x:c r="G315" s="31" t="n">
        <x:v>5.5</x:v>
      </x:c>
      <x:c r="H315" s="31" t="inlineStr">
        <x:is>
          <x:t xml:space="preserve">Нет</x:t>
        </x:is>
      </x:c>
      <x:c r="I315" s="31" t="inlineStr">
        <x:is>
          <x:t xml:space="preserve">Да</x:t>
        </x:is>
      </x:c>
      <x:c r="J315" s="31" t="inlineStr">
        <x:is>
          <x:t xml:space="preserve">Версия 5</x:t>
        </x:is>
      </x:c>
    </x:row>
    <x:row r="316">
      <x:c r="A316" s="31" t="inlineStr">
        <x:is>
          <x:t xml:space="preserve">МАР-0315</x:t>
        </x:is>
      </x:c>
      <x:c r="B316" s="31" t="inlineStr">
        <x:is>
          <x:t xml:space="preserve">ИЗД-038</x:t>
        </x:is>
      </x:c>
      <x:c r="C316" s="31" t="n">
        <x:v>20</x:v>
      </x:c>
      <x:c r="D316" s="31" t="inlineStr">
        <x:is>
          <x:t xml:space="preserve">Резка труб</x:t>
        </x:is>
      </x:c>
      <x:c r="E316" s="31" t="inlineStr">
        <x:is>
          <x:t xml:space="preserve">Сварка</x:t>
        </x:is>
      </x:c>
      <x:c r="F316" s="31" t="inlineStr">
        <x:is>
          <x:t xml:space="preserve">ОБ-010</x:t>
        </x:is>
      </x:c>
      <x:c r="G316" s="31" t="n">
        <x:v>1.6</x:v>
      </x:c>
      <x:c r="H316" s="31" t="inlineStr">
        <x:is>
          <x:t xml:space="preserve">Нет</x:t>
        </x:is>
      </x:c>
      <x:c r="I316" s="31" t="inlineStr">
        <x:is>
          <x:t xml:space="preserve">Нет</x:t>
        </x:is>
      </x:c>
      <x:c r="J316" s="31" t="inlineStr">
        <x:is>
          <x:t xml:space="preserve">Версия 5</x:t>
        </x:is>
      </x:c>
    </x:row>
    <x:row r="317">
      <x:c r="A317" s="31" t="inlineStr">
        <x:is>
          <x:t xml:space="preserve">МАР-0316</x:t>
        </x:is>
      </x:c>
      <x:c r="B317" s="31" t="inlineStr">
        <x:is>
          <x:t xml:space="preserve">ИЗД-038</x:t>
        </x:is>
      </x:c>
      <x:c r="C317" s="31" t="n">
        <x:v>30</x:v>
      </x:c>
      <x:c r="D317" s="31" t="inlineStr">
        <x:is>
          <x:t xml:space="preserve">Сварка</x:t>
        </x:is>
      </x:c>
      <x:c r="E317" s="31" t="inlineStr">
        <x:is>
          <x:t xml:space="preserve">Сварка</x:t>
        </x:is>
      </x:c>
      <x:c r="F317" s="31" t="inlineStr">
        <x:is>
          <x:t xml:space="preserve">ОБ-010</x:t>
        </x:is>
      </x:c>
      <x:c r="G317" s="31" t="n">
        <x:v>4.4</x:v>
      </x:c>
      <x:c r="H317" s="31" t="inlineStr">
        <x:is>
          <x:t xml:space="preserve">Да</x:t>
        </x:is>
      </x:c>
      <x:c r="I317" s="31" t="inlineStr">
        <x:is>
          <x:t xml:space="preserve">Нет</x:t>
        </x:is>
      </x:c>
      <x:c r="J317" s="31" t="inlineStr">
        <x:is>
          <x:t xml:space="preserve">Версия 5</x:t>
        </x:is>
      </x:c>
    </x:row>
    <x:row r="318">
      <x:c r="A318" s="31" t="inlineStr">
        <x:is>
          <x:t xml:space="preserve">МАР-0317</x:t>
        </x:is>
      </x:c>
      <x:c r="B318" s="31" t="inlineStr">
        <x:is>
          <x:t xml:space="preserve">ИЗД-038</x:t>
        </x:is>
      </x:c>
      <x:c r="C318" s="31" t="n">
        <x:v>40</x:v>
      </x:c>
      <x:c r="D318" s="31" t="inlineStr">
        <x:is>
          <x:t xml:space="preserve">НК сварных швов</x:t>
        </x:is>
      </x:c>
      <x:c r="E318" s="31" t="inlineStr">
        <x:is>
          <x:t xml:space="preserve">ОТК</x:t>
        </x:is>
      </x:c>
      <x:c r="F318" s="31" t="inlineStr">
        <x:is>
          <x:t xml:space="preserve">ОБ-022</x:t>
        </x:is>
      </x:c>
      <x:c r="G318" s="31" t="n">
        <x:v>1.1</x:v>
      </x:c>
      <x:c r="H318" s="31" t="inlineStr">
        <x:is>
          <x:t xml:space="preserve">Нет</x:t>
        </x:is>
      </x:c>
      <x:c r="I318" s="31" t="inlineStr">
        <x:is>
          <x:t xml:space="preserve">Нет</x:t>
        </x:is>
      </x:c>
      <x:c r="J318" s="31" t="inlineStr">
        <x:is>
          <x:t xml:space="preserve">Версия 5</x:t>
        </x:is>
      </x:c>
    </x:row>
    <x:row r="319">
      <x:c r="A319" s="31" t="inlineStr">
        <x:is>
          <x:t xml:space="preserve">МАР-0318</x:t>
        </x:is>
      </x:c>
      <x:c r="B319" s="31" t="inlineStr">
        <x:is>
          <x:t xml:space="preserve">ИЗД-038</x:t>
        </x:is>
      </x:c>
      <x:c r="C319" s="31" t="n">
        <x:v>50</x:v>
      </x:c>
      <x:c r="D319" s="31" t="inlineStr">
        <x:is>
          <x:t xml:space="preserve">Гидроиспытания</x:t>
        </x:is>
      </x:c>
      <x:c r="E319" s="31" t="inlineStr">
        <x:is>
          <x:t xml:space="preserve">ОТК</x:t>
        </x:is>
      </x:c>
      <x:c r="F319" s="31" t="inlineStr">
        <x:is>
          <x:t xml:space="preserve">ОБ-028</x:t>
        </x:is>
      </x:c>
      <x:c r="G319" s="31" t="n">
        <x:v>3.3</x:v>
      </x:c>
      <x:c r="H319" s="31" t="inlineStr">
        <x:is>
          <x:t xml:space="preserve">Да</x:t>
        </x:is>
      </x:c>
      <x:c r="I319" s="31" t="inlineStr">
        <x:is>
          <x:t xml:space="preserve">Нет</x:t>
        </x:is>
      </x:c>
      <x:c r="J319" s="31" t="inlineStr">
        <x:is>
          <x:t xml:space="preserve">Версия 5</x:t>
        </x:is>
      </x:c>
    </x:row>
    <x:row r="320">
      <x:c r="A320" s="31" t="inlineStr">
        <x:is>
          <x:t xml:space="preserve">МАР-0319</x:t>
        </x:is>
      </x:c>
      <x:c r="B320" s="31" t="inlineStr">
        <x:is>
          <x:t xml:space="preserve">ИЗД-038</x:t>
        </x:is>
      </x:c>
      <x:c r="C320" s="31" t="n">
        <x:v>60</x:v>
      </x:c>
      <x:c r="D320" s="31" t="inlineStr">
        <x:is>
          <x:t xml:space="preserve">Покраска</x:t>
        </x:is>
      </x:c>
      <x:c r="E320" s="31" t="inlineStr">
        <x:is>
          <x:t xml:space="preserve">Сварка</x:t>
        </x:is>
      </x:c>
      <x:c r="F320" s="31" t="inlineStr">
        <x:is>
          <x:t xml:space="preserve">ОБ-010</x:t>
        </x:is>
      </x:c>
      <x:c r="G320" s="31" t="n">
        <x:v>7.8</x:v>
      </x:c>
      <x:c r="H320" s="31" t="inlineStr">
        <x:is>
          <x:t xml:space="preserve">Да</x:t>
        </x:is>
      </x:c>
      <x:c r="I320" s="31" t="inlineStr">
        <x:is>
          <x:t xml:space="preserve">Да</x:t>
        </x:is>
      </x:c>
      <x:c r="J320" s="31" t="inlineStr">
        <x:is>
          <x:t xml:space="preserve">Версия 5</x:t>
        </x:is>
      </x:c>
    </x:row>
    <x:row r="321">
      <x:c r="A321" s="31" t="inlineStr">
        <x:is>
          <x:t xml:space="preserve">МАР-0320</x:t>
        </x:is>
      </x:c>
      <x:c r="B321" s="31" t="inlineStr">
        <x:is>
          <x:t xml:space="preserve">ИЗД-038</x:t>
        </x:is>
      </x:c>
      <x:c r="C321" s="31" t="n">
        <x:v>70</x:v>
      </x:c>
      <x:c r="D321" s="31" t="inlineStr">
        <x:is>
          <x:t xml:space="preserve">ОТК</x:t>
        </x:is>
      </x:c>
      <x:c r="E321" s="31" t="inlineStr">
        <x:is>
          <x:t xml:space="preserve">ОТК</x:t>
        </x:is>
      </x:c>
      <x:c r="F321" s="31" t="inlineStr">
        <x:is>
          <x:t xml:space="preserve">ОБ-006</x:t>
        </x:is>
      </x:c>
      <x:c r="G321" s="31" t="n">
        <x:v>4.7</x:v>
      </x:c>
      <x:c r="H321" s="31" t="inlineStr">
        <x:is>
          <x:t xml:space="preserve">Нет</x:t>
        </x:is>
      </x:c>
      <x:c r="I321" s="31" t="inlineStr">
        <x:is>
          <x:t xml:space="preserve">Нет</x:t>
        </x:is>
      </x:c>
      <x:c r="J321" s="31" t="inlineStr">
        <x:is>
          <x:t xml:space="preserve">Версия 5</x:t>
        </x:is>
      </x:c>
    </x:row>
    <x:row r="322">
      <x:c r="A322" s="31" t="inlineStr">
        <x:is>
          <x:t xml:space="preserve">МАР-0321</x:t>
        </x:is>
      </x:c>
      <x:c r="B322" s="31" t="inlineStr">
        <x:is>
          <x:t xml:space="preserve">ИЗД-039</x:t>
        </x:is>
      </x:c>
      <x:c r="C322" s="31" t="n">
        <x:v>10</x:v>
      </x:c>
      <x:c r="D322" s="31" t="inlineStr">
        <x:is>
          <x:t xml:space="preserve">КД</x:t>
        </x:is>
      </x:c>
      <x:c r="E322" s="31" t="inlineStr">
        <x:is>
          <x:t xml:space="preserve">Инженерный отдел</x:t>
        </x:is>
      </x:c>
      <x:c r="F322" s="31" t="n"/>
      <x:c r="G322" s="31" t="n">
        <x:v>18</x:v>
      </x:c>
      <x:c r="H322" s="31" t="inlineStr">
        <x:is>
          <x:t xml:space="preserve">Нет</x:t>
        </x:is>
      </x:c>
      <x:c r="I322" s="31" t="inlineStr">
        <x:is>
          <x:t xml:space="preserve">Нет</x:t>
        </x:is>
      </x:c>
      <x:c r="J322" s="31" t="inlineStr">
        <x:is>
          <x:t xml:space="preserve">Версия 4</x:t>
        </x:is>
      </x:c>
    </x:row>
    <x:row r="323">
      <x:c r="A323" s="31" t="inlineStr">
        <x:is>
          <x:t xml:space="preserve">МАР-0322</x:t>
        </x:is>
      </x:c>
      <x:c r="B323" s="31" t="inlineStr">
        <x:is>
          <x:t xml:space="preserve">ИЗД-039</x:t>
        </x:is>
      </x:c>
      <x:c r="C323" s="31" t="n">
        <x:v>20</x:v>
      </x:c>
      <x:c r="D323" s="31" t="inlineStr">
        <x:is>
          <x:t xml:space="preserve">Резка металла</x:t>
        </x:is>
      </x:c>
      <x:c r="E323" s="31" t="inlineStr">
        <x:is>
          <x:t xml:space="preserve">Сварка</x:t>
        </x:is>
      </x:c>
      <x:c r="F323" s="31" t="inlineStr">
        <x:is>
          <x:t xml:space="preserve">ОБ-021</x:t>
        </x:is>
      </x:c>
      <x:c r="G323" s="31" t="n">
        <x:v>20.3</x:v>
      </x:c>
      <x:c r="H323" s="31" t="inlineStr">
        <x:is>
          <x:t xml:space="preserve">Нет</x:t>
        </x:is>
      </x:c>
      <x:c r="I323" s="31" t="inlineStr">
        <x:is>
          <x:t xml:space="preserve">Да</x:t>
        </x:is>
      </x:c>
      <x:c r="J323" s="31" t="inlineStr">
        <x:is>
          <x:t xml:space="preserve">Версия 4</x:t>
        </x:is>
      </x:c>
    </x:row>
    <x:row r="324">
      <x:c r="A324" s="31" t="inlineStr">
        <x:is>
          <x:t xml:space="preserve">МАР-0323</x:t>
        </x:is>
      </x:c>
      <x:c r="B324" s="31" t="inlineStr">
        <x:is>
          <x:t xml:space="preserve">ИЗД-039</x:t>
        </x:is>
      </x:c>
      <x:c r="C324" s="31" t="n">
        <x:v>30</x:v>
      </x:c>
      <x:c r="D324" s="31" t="inlineStr">
        <x:is>
          <x:t xml:space="preserve">Сварка рамы</x:t>
        </x:is>
      </x:c>
      <x:c r="E324" s="31" t="inlineStr">
        <x:is>
          <x:t xml:space="preserve">Сварка</x:t>
        </x:is>
      </x:c>
      <x:c r="F324" s="31" t="inlineStr">
        <x:is>
          <x:t xml:space="preserve">ОБ-018</x:t>
        </x:is>
      </x:c>
      <x:c r="G324" s="31" t="n">
        <x:v>8.4</x:v>
      </x:c>
      <x:c r="H324" s="31" t="inlineStr">
        <x:is>
          <x:t xml:space="preserve">Нет</x:t>
        </x:is>
      </x:c>
      <x:c r="I324" s="31" t="inlineStr">
        <x:is>
          <x:t xml:space="preserve">Нет</x:t>
        </x:is>
      </x:c>
      <x:c r="J324" s="31" t="inlineStr">
        <x:is>
          <x:t xml:space="preserve">Версия 4</x:t>
        </x:is>
      </x:c>
    </x:row>
    <x:row r="325">
      <x:c r="A325" s="31" t="inlineStr">
        <x:is>
          <x:t xml:space="preserve">МАР-0324</x:t>
        </x:is>
      </x:c>
      <x:c r="B325" s="31" t="inlineStr">
        <x:is>
          <x:t xml:space="preserve">ИЗД-039</x:t>
        </x:is>
      </x:c>
      <x:c r="C325" s="31" t="n">
        <x:v>40</x:v>
      </x:c>
      <x:c r="D325" s="31" t="inlineStr">
        <x:is>
          <x:t xml:space="preserve">Пескоструй</x:t>
        </x:is>
      </x:c>
      <x:c r="E325" s="31" t="inlineStr">
        <x:is>
          <x:t xml:space="preserve">Сварка</x:t>
        </x:is>
      </x:c>
      <x:c r="F325" s="31" t="inlineStr">
        <x:is>
          <x:t xml:space="preserve">ОБ-018</x:t>
        </x:is>
      </x:c>
      <x:c r="G325" s="31" t="n">
        <x:v>12.3</x:v>
      </x:c>
      <x:c r="H325" s="31" t="inlineStr">
        <x:is>
          <x:t xml:space="preserve">Да</x:t>
        </x:is>
      </x:c>
      <x:c r="I325" s="31" t="inlineStr">
        <x:is>
          <x:t xml:space="preserve">Нет</x:t>
        </x:is>
      </x:c>
      <x:c r="J325" s="31" t="inlineStr">
        <x:is>
          <x:t xml:space="preserve">Версия 4</x:t>
        </x:is>
      </x:c>
    </x:row>
    <x:row r="326">
      <x:c r="A326" s="31" t="inlineStr">
        <x:is>
          <x:t xml:space="preserve">МАР-0325</x:t>
        </x:is>
      </x:c>
      <x:c r="B326" s="31" t="inlineStr">
        <x:is>
          <x:t xml:space="preserve">ИЗД-039</x:t>
        </x:is>
      </x:c>
      <x:c r="C326" s="31" t="n">
        <x:v>50</x:v>
      </x:c>
      <x:c r="D326" s="31" t="inlineStr">
        <x:is>
          <x:t xml:space="preserve">Покраска</x:t>
        </x:is>
      </x:c>
      <x:c r="E326" s="31" t="inlineStr">
        <x:is>
          <x:t xml:space="preserve">Сварка</x:t>
        </x:is>
      </x:c>
      <x:c r="F326" s="31" t="inlineStr">
        <x:is>
          <x:t xml:space="preserve">ОБ-026</x:t>
        </x:is>
      </x:c>
      <x:c r="G326" s="31" t="n">
        <x:v>3.8</x:v>
      </x:c>
      <x:c r="H326" s="31" t="inlineStr">
        <x:is>
          <x:t xml:space="preserve">Да</x:t>
        </x:is>
      </x:c>
      <x:c r="I326" s="31" t="inlineStr">
        <x:is>
          <x:t xml:space="preserve">Нет</x:t>
        </x:is>
      </x:c>
      <x:c r="J326" s="31" t="inlineStr">
        <x:is>
          <x:t xml:space="preserve">Версия 4</x:t>
        </x:is>
      </x:c>
    </x:row>
    <x:row r="327">
      <x:c r="A327" s="31" t="inlineStr">
        <x:is>
          <x:t xml:space="preserve">МАР-0326</x:t>
        </x:is>
      </x:c>
      <x:c r="B327" s="31" t="inlineStr">
        <x:is>
          <x:t xml:space="preserve">ИЗД-039</x:t>
        </x:is>
      </x:c>
      <x:c r="C327" s="31" t="n">
        <x:v>60</x:v>
      </x:c>
      <x:c r="D327" s="31" t="inlineStr">
        <x:is>
          <x:t xml:space="preserve">ОТК</x:t>
        </x:is>
      </x:c>
      <x:c r="E327" s="31" t="inlineStr">
        <x:is>
          <x:t xml:space="preserve">ОТК</x:t>
        </x:is>
      </x:c>
      <x:c r="F327" s="31" t="inlineStr">
        <x:is>
          <x:t xml:space="preserve">ОБ-024</x:t>
        </x:is>
      </x:c>
      <x:c r="G327" s="31" t="n">
        <x:v>14.4</x:v>
      </x:c>
      <x:c r="H327" s="31" t="inlineStr">
        <x:is>
          <x:t xml:space="preserve">Нет</x:t>
        </x:is>
      </x:c>
      <x:c r="I327" s="31" t="inlineStr">
        <x:is>
          <x:t xml:space="preserve">Нет</x:t>
        </x:is>
      </x:c>
      <x:c r="J327" s="31" t="inlineStr">
        <x:is>
          <x:t xml:space="preserve">Версия 4</x:t>
        </x:is>
      </x:c>
    </x:row>
    <x:row r="328">
      <x:c r="A328" s="31" t="inlineStr">
        <x:is>
          <x:t xml:space="preserve">МАР-0327</x:t>
        </x:is>
      </x:c>
      <x:c r="B328" s="31" t="inlineStr">
        <x:is>
          <x:t xml:space="preserve">ИЗД-040</x:t>
        </x:is>
      </x:c>
      <x:c r="C328" s="31" t="n">
        <x:v>10</x:v>
      </x:c>
      <x:c r="D328" s="31" t="inlineStr">
        <x:is>
          <x:t xml:space="preserve">КД</x:t>
        </x:is>
      </x:c>
      <x:c r="E328" s="31" t="inlineStr">
        <x:is>
          <x:t xml:space="preserve">Инженерный отдел</x:t>
        </x:is>
      </x:c>
      <x:c r="F328" s="31" t="n"/>
      <x:c r="G328" s="31" t="n">
        <x:v>3.1</x:v>
      </x:c>
      <x:c r="H328" s="31" t="inlineStr">
        <x:is>
          <x:t xml:space="preserve">Нет</x:t>
        </x:is>
      </x:c>
      <x:c r="I328" s="31" t="inlineStr">
        <x:is>
          <x:t xml:space="preserve">Нет</x:t>
        </x:is>
      </x:c>
      <x:c r="J328" s="31" t="inlineStr">
        <x:is>
          <x:t xml:space="preserve">Версия 6</x:t>
        </x:is>
      </x:c>
    </x:row>
    <x:row r="329">
      <x:c r="A329" s="31" t="inlineStr">
        <x:is>
          <x:t xml:space="preserve">МАР-0328</x:t>
        </x:is>
      </x:c>
      <x:c r="B329" s="31" t="inlineStr">
        <x:is>
          <x:t xml:space="preserve">ИЗД-040</x:t>
        </x:is>
      </x:c>
      <x:c r="C329" s="31" t="n">
        <x:v>20</x:v>
      </x:c>
      <x:c r="D329" s="31" t="inlineStr">
        <x:is>
          <x:t xml:space="preserve">Резерв материалов</x:t>
        </x:is>
      </x:c>
      <x:c r="E329" s="31" t="inlineStr">
        <x:is>
          <x:t xml:space="preserve">Склад</x:t>
        </x:is>
      </x:c>
      <x:c r="F329" s="31" t="inlineStr">
        <x:is>
          <x:t xml:space="preserve">ОБ-008</x:t>
        </x:is>
      </x:c>
      <x:c r="G329" s="31" t="n">
        <x:v>4.7</x:v>
      </x:c>
      <x:c r="H329" s="31" t="inlineStr">
        <x:is>
          <x:t xml:space="preserve">Нет</x:t>
        </x:is>
      </x:c>
      <x:c r="I329" s="31" t="inlineStr">
        <x:is>
          <x:t xml:space="preserve">Да</x:t>
        </x:is>
      </x:c>
      <x:c r="J329" s="31" t="inlineStr">
        <x:is>
          <x:t xml:space="preserve">Версия 6</x:t>
        </x:is>
      </x:c>
    </x:row>
    <x:row r="330">
      <x:c r="A330" s="31" t="inlineStr">
        <x:is>
          <x:t xml:space="preserve">МАР-0329</x:t>
        </x:is>
      </x:c>
      <x:c r="B330" s="31" t="inlineStr">
        <x:is>
          <x:t xml:space="preserve">ИЗД-040</x:t>
        </x:is>
      </x:c>
      <x:c r="C330" s="31" t="n">
        <x:v>30</x:v>
      </x:c>
      <x:c r="D330" s="31" t="inlineStr">
        <x:is>
          <x:t xml:space="preserve">Сварка рамы</x:t>
        </x:is>
      </x:c>
      <x:c r="E330" s="31" t="inlineStr">
        <x:is>
          <x:t xml:space="preserve">Сварка</x:t>
        </x:is>
      </x:c>
      <x:c r="F330" s="31" t="inlineStr">
        <x:is>
          <x:t xml:space="preserve">ОБ-035</x:t>
        </x:is>
      </x:c>
      <x:c r="G330" s="31" t="n">
        <x:v>2.5</x:v>
      </x:c>
      <x:c r="H330" s="31" t="inlineStr">
        <x:is>
          <x:t xml:space="preserve">Нет</x:t>
        </x:is>
      </x:c>
      <x:c r="I330" s="31" t="inlineStr">
        <x:is>
          <x:t xml:space="preserve">Нет</x:t>
        </x:is>
      </x:c>
      <x:c r="J330" s="31" t="inlineStr">
        <x:is>
          <x:t xml:space="preserve">Версия 6</x:t>
        </x:is>
      </x:c>
    </x:row>
    <x:row r="331">
      <x:c r="A331" s="31" t="inlineStr">
        <x:is>
          <x:t xml:space="preserve">МАР-0330</x:t>
        </x:is>
      </x:c>
      <x:c r="B331" s="31" t="inlineStr">
        <x:is>
          <x:t xml:space="preserve">ИЗД-040</x:t>
        </x:is>
      </x:c>
      <x:c r="C331" s="31" t="n">
        <x:v>40</x:v>
      </x:c>
      <x:c r="D331" s="31" t="inlineStr">
        <x:is>
          <x:t xml:space="preserve">Сборка</x:t>
        </x:is>
      </x:c>
      <x:c r="E331" s="31" t="inlineStr">
        <x:is>
          <x:t xml:space="preserve">Сборка</x:t>
        </x:is>
      </x:c>
      <x:c r="F331" s="31" t="inlineStr">
        <x:is>
          <x:t xml:space="preserve">ОБ-016</x:t>
        </x:is>
      </x:c>
      <x:c r="G331" s="31" t="n">
        <x:v>4.8</x:v>
      </x:c>
      <x:c r="H331" s="31" t="inlineStr">
        <x:is>
          <x:t xml:space="preserve">Нет</x:t>
        </x:is>
      </x:c>
      <x:c r="I331" s="31" t="inlineStr">
        <x:is>
          <x:t xml:space="preserve">Нет</x:t>
        </x:is>
      </x:c>
      <x:c r="J331" s="31" t="inlineStr">
        <x:is>
          <x:t xml:space="preserve">Версия 6</x:t>
        </x:is>
      </x:c>
    </x:row>
    <x:row r="332">
      <x:c r="A332" s="31" t="inlineStr">
        <x:is>
          <x:t xml:space="preserve">МАР-0331</x:t>
        </x:is>
      </x:c>
      <x:c r="B332" s="31" t="inlineStr">
        <x:is>
          <x:t xml:space="preserve">ИЗД-040</x:t>
        </x:is>
      </x:c>
      <x:c r="C332" s="31" t="n">
        <x:v>50</x:v>
      </x:c>
      <x:c r="D332" s="31" t="inlineStr">
        <x:is>
          <x:t xml:space="preserve">Обвязка труб</x:t>
        </x:is>
      </x:c>
      <x:c r="E332" s="31" t="inlineStr">
        <x:is>
          <x:t xml:space="preserve">Сборка</x:t>
        </x:is>
      </x:c>
      <x:c r="F332" s="31" t="inlineStr">
        <x:is>
          <x:t xml:space="preserve">ОБ-012</x:t>
        </x:is>
      </x:c>
      <x:c r="G332" s="31" t="n">
        <x:v>8</x:v>
      </x:c>
      <x:c r="H332" s="31" t="inlineStr">
        <x:is>
          <x:t xml:space="preserve">Нет</x:t>
        </x:is>
      </x:c>
      <x:c r="I332" s="31" t="inlineStr">
        <x:is>
          <x:t xml:space="preserve">Нет</x:t>
        </x:is>
      </x:c>
      <x:c r="J332" s="31" t="inlineStr">
        <x:is>
          <x:t xml:space="preserve">Версия 6</x:t>
        </x:is>
      </x:c>
    </x:row>
    <x:row r="333">
      <x:c r="A333" s="31" t="inlineStr">
        <x:is>
          <x:t xml:space="preserve">МАР-0332</x:t>
        </x:is>
      </x:c>
      <x:c r="B333" s="31" t="inlineStr">
        <x:is>
          <x:t xml:space="preserve">ИЗД-040</x:t>
        </x:is>
      </x:c>
      <x:c r="C333" s="31" t="n">
        <x:v>60</x:v>
      </x:c>
      <x:c r="D333" s="31" t="inlineStr">
        <x:is>
          <x:t xml:space="preserve">Электромонтаж</x:t>
        </x:is>
      </x:c>
      <x:c r="E333" s="31" t="inlineStr">
        <x:is>
          <x:t xml:space="preserve">Сборка</x:t>
        </x:is>
      </x:c>
      <x:c r="F333" s="31" t="inlineStr">
        <x:is>
          <x:t xml:space="preserve">ОБ-020</x:t>
        </x:is>
      </x:c>
      <x:c r="G333" s="31" t="n">
        <x:v>3.5</x:v>
      </x:c>
      <x:c r="H333" s="31" t="inlineStr">
        <x:is>
          <x:t xml:space="preserve">Нет</x:t>
        </x:is>
      </x:c>
      <x:c r="I333" s="31" t="inlineStr">
        <x:is>
          <x:t xml:space="preserve">Нет</x:t>
        </x:is>
      </x:c>
      <x:c r="J333" s="31" t="inlineStr">
        <x:is>
          <x:t xml:space="preserve">Версия 6</x:t>
        </x:is>
      </x:c>
    </x:row>
    <x:row r="334">
      <x:c r="A334" s="31" t="inlineStr">
        <x:is>
          <x:t xml:space="preserve">МАР-0333</x:t>
        </x:is>
      </x:c>
      <x:c r="B334" s="31" t="inlineStr">
        <x:is>
          <x:t xml:space="preserve">ИЗД-040</x:t>
        </x:is>
      </x:c>
      <x:c r="C334" s="31" t="n">
        <x:v>70</x:v>
      </x:c>
      <x:c r="D334" s="31" t="inlineStr">
        <x:is>
          <x:t xml:space="preserve">Гидроиспытания</x:t>
        </x:is>
      </x:c>
      <x:c r="E334" s="31" t="inlineStr">
        <x:is>
          <x:t xml:space="preserve">ОТК</x:t>
        </x:is>
      </x:c>
      <x:c r="F334" s="31" t="inlineStr">
        <x:is>
          <x:t xml:space="preserve">ОБ-033</x:t>
        </x:is>
      </x:c>
      <x:c r="G334" s="31" t="n">
        <x:v>12</x:v>
      </x:c>
      <x:c r="H334" s="31" t="inlineStr">
        <x:is>
          <x:t xml:space="preserve">Нет</x:t>
        </x:is>
      </x:c>
      <x:c r="I334" s="31" t="inlineStr">
        <x:is>
          <x:t xml:space="preserve">Нет</x:t>
        </x:is>
      </x:c>
      <x:c r="J334" s="31" t="inlineStr">
        <x:is>
          <x:t xml:space="preserve">Версия 6</x:t>
        </x:is>
      </x:c>
    </x:row>
    <x:row r="335">
      <x:c r="A335" s="31" t="inlineStr">
        <x:is>
          <x:t xml:space="preserve">МАР-0334</x:t>
        </x:is>
      </x:c>
      <x:c r="B335" s="31" t="inlineStr">
        <x:is>
          <x:t xml:space="preserve">ИЗД-040</x:t>
        </x:is>
      </x:c>
      <x:c r="C335" s="31" t="n">
        <x:v>80</x:v>
      </x:c>
      <x:c r="D335" s="31" t="inlineStr">
        <x:is>
          <x:t xml:space="preserve">ОТК</x:t>
        </x:is>
      </x:c>
      <x:c r="E335" s="31" t="inlineStr">
        <x:is>
          <x:t xml:space="preserve">ОТК</x:t>
        </x:is>
      </x:c>
      <x:c r="F335" s="31" t="inlineStr">
        <x:is>
          <x:t xml:space="preserve">ОБ-024</x:t>
        </x:is>
      </x:c>
      <x:c r="G335" s="31" t="n">
        <x:v>1.2</x:v>
      </x:c>
      <x:c r="H335" s="31" t="inlineStr">
        <x:is>
          <x:t xml:space="preserve">Нет</x:t>
        </x:is>
      </x:c>
      <x:c r="I335" s="31" t="inlineStr">
        <x:is>
          <x:t xml:space="preserve">Нет</x:t>
        </x:is>
      </x:c>
      <x:c r="J335" s="31" t="inlineStr">
        <x:is>
          <x:t xml:space="preserve">Версия 6</x:t>
        </x:is>
      </x:c>
    </x:row>
    <x:row r="336">
      <x:c r="A336" s="31" t="inlineStr">
        <x:is>
          <x:t xml:space="preserve">МАР-0335</x:t>
        </x:is>
      </x:c>
      <x:c r="B336" s="31" t="inlineStr">
        <x:is>
          <x:t xml:space="preserve">ИЗД-040</x:t>
        </x:is>
      </x:c>
      <x:c r="C336" s="31" t="n">
        <x:v>90</x:v>
      </x:c>
      <x:c r="D336" s="31" t="inlineStr">
        <x:is>
          <x:t xml:space="preserve">Упаковка</x:t>
        </x:is>
      </x:c>
      <x:c r="E336" s="31" t="inlineStr">
        <x:is>
          <x:t xml:space="preserve">Логистика</x:t>
        </x:is>
      </x:c>
      <x:c r="F336" s="31" t="n"/>
      <x:c r="G336" s="31" t="n">
        <x:v>4.6</x:v>
      </x:c>
      <x:c r="H336" s="31" t="inlineStr">
        <x:is>
          <x:t xml:space="preserve">Нет</x:t>
        </x:is>
      </x:c>
      <x:c r="I336" s="31" t="inlineStr">
        <x:is>
          <x:t xml:space="preserve">Нет</x:t>
        </x:is>
      </x:c>
      <x:c r="J336" s="31" t="inlineStr">
        <x:is>
          <x:t xml:space="preserve">Версия 6</x:t>
        </x:is>
      </x:c>
    </x:row>
    <x:row r="337">
      <x:c r="A337" s="31" t="inlineStr">
        <x:is>
          <x:t xml:space="preserve">МАР-0336</x:t>
        </x:is>
      </x:c>
      <x:c r="B337" s="31" t="inlineStr">
        <x:is>
          <x:t xml:space="preserve">ИЗД-041</x:t>
        </x:is>
      </x:c>
      <x:c r="C337" s="31" t="n">
        <x:v>10</x:v>
      </x:c>
      <x:c r="D337" s="31" t="inlineStr">
        <x:is>
          <x:t xml:space="preserve">КД</x:t>
        </x:is>
      </x:c>
      <x:c r="E337" s="31" t="inlineStr">
        <x:is>
          <x:t xml:space="preserve">Инженерный отдел</x:t>
        </x:is>
      </x:c>
      <x:c r="F337" s="31" t="n"/>
      <x:c r="G337" s="31" t="n">
        <x:v>7.5</x:v>
      </x:c>
      <x:c r="H337" s="31" t="inlineStr">
        <x:is>
          <x:t xml:space="preserve">Да</x:t>
        </x:is>
      </x:c>
      <x:c r="I337" s="31" t="inlineStr">
        <x:is>
          <x:t xml:space="preserve">Нет</x:t>
        </x:is>
      </x:c>
      <x:c r="J337" s="31" t="inlineStr">
        <x:is>
          <x:t xml:space="preserve">Версия 7</x:t>
        </x:is>
      </x:c>
    </x:row>
    <x:row r="338">
      <x:c r="A338" s="31" t="inlineStr">
        <x:is>
          <x:t xml:space="preserve">МАР-0337</x:t>
        </x:is>
      </x:c>
      <x:c r="B338" s="31" t="inlineStr">
        <x:is>
          <x:t xml:space="preserve">ИЗД-041</x:t>
        </x:is>
      </x:c>
      <x:c r="C338" s="31" t="n">
        <x:v>20</x:v>
      </x:c>
      <x:c r="D338" s="31" t="inlineStr">
        <x:is>
          <x:t xml:space="preserve">Резка металла</x:t>
        </x:is>
      </x:c>
      <x:c r="E338" s="31" t="inlineStr">
        <x:is>
          <x:t xml:space="preserve">Сварка</x:t>
        </x:is>
      </x:c>
      <x:c r="F338" s="31" t="inlineStr">
        <x:is>
          <x:t xml:space="preserve">ОБ-003</x:t>
        </x:is>
      </x:c>
      <x:c r="G338" s="31" t="n">
        <x:v>1.1</x:v>
      </x:c>
      <x:c r="H338" s="31" t="inlineStr">
        <x:is>
          <x:t xml:space="preserve">Да</x:t>
        </x:is>
      </x:c>
      <x:c r="I338" s="31" t="inlineStr">
        <x:is>
          <x:t xml:space="preserve">Нет</x:t>
        </x:is>
      </x:c>
      <x:c r="J338" s="31" t="inlineStr">
        <x:is>
          <x:t xml:space="preserve">Версия 7</x:t>
        </x:is>
      </x:c>
    </x:row>
    <x:row r="339">
      <x:c r="A339" s="31" t="inlineStr">
        <x:is>
          <x:t xml:space="preserve">МАР-0338</x:t>
        </x:is>
      </x:c>
      <x:c r="B339" s="31" t="inlineStr">
        <x:is>
          <x:t xml:space="preserve">ИЗД-041</x:t>
        </x:is>
      </x:c>
      <x:c r="C339" s="31" t="n">
        <x:v>30</x:v>
      </x:c>
      <x:c r="D339" s="31" t="inlineStr">
        <x:is>
          <x:t xml:space="preserve">Сварка рамы</x:t>
        </x:is>
      </x:c>
      <x:c r="E339" s="31" t="inlineStr">
        <x:is>
          <x:t xml:space="preserve">Сварка</x:t>
        </x:is>
      </x:c>
      <x:c r="F339" s="31" t="inlineStr">
        <x:is>
          <x:t xml:space="preserve">ОБ-003</x:t>
        </x:is>
      </x:c>
      <x:c r="G339" s="31" t="n">
        <x:v>9.5</x:v>
      </x:c>
      <x:c r="H339" s="31" t="inlineStr">
        <x:is>
          <x:t xml:space="preserve">Нет</x:t>
        </x:is>
      </x:c>
      <x:c r="I339" s="31" t="inlineStr">
        <x:is>
          <x:t xml:space="preserve">Нет</x:t>
        </x:is>
      </x:c>
      <x:c r="J339" s="31" t="inlineStr">
        <x:is>
          <x:t xml:space="preserve">Версия 7</x:t>
        </x:is>
      </x:c>
    </x:row>
    <x:row r="340">
      <x:c r="A340" s="31" t="inlineStr">
        <x:is>
          <x:t xml:space="preserve">МАР-0339</x:t>
        </x:is>
      </x:c>
      <x:c r="B340" s="31" t="inlineStr">
        <x:is>
          <x:t xml:space="preserve">ИЗД-041</x:t>
        </x:is>
      </x:c>
      <x:c r="C340" s="31" t="n">
        <x:v>40</x:v>
      </x:c>
      <x:c r="D340" s="31" t="inlineStr">
        <x:is>
          <x:t xml:space="preserve">Пескоструй</x:t>
        </x:is>
      </x:c>
      <x:c r="E340" s="31" t="inlineStr">
        <x:is>
          <x:t xml:space="preserve">Сварка</x:t>
        </x:is>
      </x:c>
      <x:c r="F340" s="31" t="inlineStr">
        <x:is>
          <x:t xml:space="preserve">ОБ-004</x:t>
        </x:is>
      </x:c>
      <x:c r="G340" s="31" t="n">
        <x:v>9.9</x:v>
      </x:c>
      <x:c r="H340" s="31" t="inlineStr">
        <x:is>
          <x:t xml:space="preserve">Нет</x:t>
        </x:is>
      </x:c>
      <x:c r="I340" s="31" t="inlineStr">
        <x:is>
          <x:t xml:space="preserve">Нет</x:t>
        </x:is>
      </x:c>
      <x:c r="J340" s="31" t="inlineStr">
        <x:is>
          <x:t xml:space="preserve">Версия 7</x:t>
        </x:is>
      </x:c>
    </x:row>
    <x:row r="341">
      <x:c r="A341" s="31" t="inlineStr">
        <x:is>
          <x:t xml:space="preserve">МАР-0340</x:t>
        </x:is>
      </x:c>
      <x:c r="B341" s="31" t="inlineStr">
        <x:is>
          <x:t xml:space="preserve">ИЗД-041</x:t>
        </x:is>
      </x:c>
      <x:c r="C341" s="31" t="n">
        <x:v>50</x:v>
      </x:c>
      <x:c r="D341" s="31" t="inlineStr">
        <x:is>
          <x:t xml:space="preserve">Покраска</x:t>
        </x:is>
      </x:c>
      <x:c r="E341" s="31" t="inlineStr">
        <x:is>
          <x:t xml:space="preserve">Сварка</x:t>
        </x:is>
      </x:c>
      <x:c r="F341" s="31" t="inlineStr">
        <x:is>
          <x:t xml:space="preserve">ОБ-003</x:t>
        </x:is>
      </x:c>
      <x:c r="G341" s="31" t="n">
        <x:v>7.1</x:v>
      </x:c>
      <x:c r="H341" s="31" t="inlineStr">
        <x:is>
          <x:t xml:space="preserve">Нет</x:t>
        </x:is>
      </x:c>
      <x:c r="I341" s="31" t="inlineStr">
        <x:is>
          <x:t xml:space="preserve">Нет</x:t>
        </x:is>
      </x:c>
      <x:c r="J341" s="31" t="inlineStr">
        <x:is>
          <x:t xml:space="preserve">Версия 7</x:t>
        </x:is>
      </x:c>
    </x:row>
    <x:row r="342">
      <x:c r="A342" s="31" t="inlineStr">
        <x:is>
          <x:t xml:space="preserve">МАР-0341</x:t>
        </x:is>
      </x:c>
      <x:c r="B342" s="31" t="inlineStr">
        <x:is>
          <x:t xml:space="preserve">ИЗД-041</x:t>
        </x:is>
      </x:c>
      <x:c r="C342" s="31" t="n">
        <x:v>60</x:v>
      </x:c>
      <x:c r="D342" s="31" t="inlineStr">
        <x:is>
          <x:t xml:space="preserve">ОТК</x:t>
        </x:is>
      </x:c>
      <x:c r="E342" s="31" t="inlineStr">
        <x:is>
          <x:t xml:space="preserve">ОТК</x:t>
        </x:is>
      </x:c>
      <x:c r="F342" s="31" t="inlineStr">
        <x:is>
          <x:t xml:space="preserve">ОБ-022</x:t>
        </x:is>
      </x:c>
      <x:c r="G342" s="31" t="n">
        <x:v>3.4</x:v>
      </x:c>
      <x:c r="H342" s="31" t="inlineStr">
        <x:is>
          <x:t xml:space="preserve">Нет</x:t>
        </x:is>
      </x:c>
      <x:c r="I342" s="31" t="inlineStr">
        <x:is>
          <x:t xml:space="preserve">Нет</x:t>
        </x:is>
      </x:c>
      <x:c r="J342" s="31" t="inlineStr">
        <x:is>
          <x:t xml:space="preserve">Версия 7</x:t>
        </x:is>
      </x:c>
    </x:row>
    <x:row r="343">
      <x:c r="A343" s="31" t="inlineStr">
        <x:is>
          <x:t xml:space="preserve">МАР-0342</x:t>
        </x:is>
      </x:c>
      <x:c r="B343" s="31" t="inlineStr">
        <x:is>
          <x:t xml:space="preserve">ИЗД-042</x:t>
        </x:is>
      </x:c>
      <x:c r="C343" s="31" t="n">
        <x:v>10</x:v>
      </x:c>
      <x:c r="D343" s="31" t="inlineStr">
        <x:is>
          <x:t xml:space="preserve">КД</x:t>
        </x:is>
      </x:c>
      <x:c r="E343" s="31" t="inlineStr">
        <x:is>
          <x:t xml:space="preserve">Инженерный отдел</x:t>
        </x:is>
      </x:c>
      <x:c r="F343" s="31" t="n"/>
      <x:c r="G343" s="31" t="n">
        <x:v>4.8</x:v>
      </x:c>
      <x:c r="H343" s="31" t="inlineStr">
        <x:is>
          <x:t xml:space="preserve">Нет</x:t>
        </x:is>
      </x:c>
      <x:c r="I343" s="31" t="inlineStr">
        <x:is>
          <x:t xml:space="preserve">Нет</x:t>
        </x:is>
      </x:c>
      <x:c r="J343" s="31" t="inlineStr">
        <x:is>
          <x:t xml:space="preserve">Версия 5</x:t>
        </x:is>
      </x:c>
    </x:row>
    <x:row r="344">
      <x:c r="A344" s="31" t="inlineStr">
        <x:is>
          <x:t xml:space="preserve">МАР-0343</x:t>
        </x:is>
      </x:c>
      <x:c r="B344" s="31" t="inlineStr">
        <x:is>
          <x:t xml:space="preserve">ИЗД-042</x:t>
        </x:is>
      </x:c>
      <x:c r="C344" s="31" t="n">
        <x:v>20</x:v>
      </x:c>
      <x:c r="D344" s="31" t="inlineStr">
        <x:is>
          <x:t xml:space="preserve">Комплектация</x:t>
        </x:is>
      </x:c>
      <x:c r="E344" s="31" t="inlineStr">
        <x:is>
          <x:t xml:space="preserve">Склад</x:t>
        </x:is>
      </x:c>
      <x:c r="F344" s="31" t="inlineStr">
        <x:is>
          <x:t xml:space="preserve">ОБ-025</x:t>
        </x:is>
      </x:c>
      <x:c r="G344" s="31" t="n">
        <x:v>21</x:v>
      </x:c>
      <x:c r="H344" s="31" t="inlineStr">
        <x:is>
          <x:t xml:space="preserve">Нет</x:t>
        </x:is>
      </x:c>
      <x:c r="I344" s="31" t="inlineStr">
        <x:is>
          <x:t xml:space="preserve">Да</x:t>
        </x:is>
      </x:c>
      <x:c r="J344" s="31" t="inlineStr">
        <x:is>
          <x:t xml:space="preserve">Версия 5</x:t>
        </x:is>
      </x:c>
    </x:row>
    <x:row r="345">
      <x:c r="A345" s="31" t="inlineStr">
        <x:is>
          <x:t xml:space="preserve">МАР-0344</x:t>
        </x:is>
      </x:c>
      <x:c r="B345" s="31" t="inlineStr">
        <x:is>
          <x:t xml:space="preserve">ИЗД-042</x:t>
        </x:is>
      </x:c>
      <x:c r="C345" s="31" t="n">
        <x:v>30</x:v>
      </x:c>
      <x:c r="D345" s="31" t="inlineStr">
        <x:is>
          <x:t xml:space="preserve">Сборка шкафа</x:t>
        </x:is>
      </x:c>
      <x:c r="E345" s="31" t="inlineStr">
        <x:is>
          <x:t xml:space="preserve">Сборка</x:t>
        </x:is>
      </x:c>
      <x:c r="F345" s="31" t="inlineStr">
        <x:is>
          <x:t xml:space="preserve">ОБ-012</x:t>
        </x:is>
      </x:c>
      <x:c r="G345" s="31" t="n">
        <x:v>14.4</x:v>
      </x:c>
      <x:c r="H345" s="31" t="inlineStr">
        <x:is>
          <x:t xml:space="preserve">Нет</x:t>
        </x:is>
      </x:c>
      <x:c r="I345" s="31" t="inlineStr">
        <x:is>
          <x:t xml:space="preserve">Нет</x:t>
        </x:is>
      </x:c>
      <x:c r="J345" s="31" t="inlineStr">
        <x:is>
          <x:t xml:space="preserve">Версия 5</x:t>
        </x:is>
      </x:c>
    </x:row>
    <x:row r="346">
      <x:c r="A346" s="31" t="inlineStr">
        <x:is>
          <x:t xml:space="preserve">МАР-0345</x:t>
        </x:is>
      </x:c>
      <x:c r="B346" s="31" t="inlineStr">
        <x:is>
          <x:t xml:space="preserve">ИЗД-042</x:t>
        </x:is>
      </x:c>
      <x:c r="C346" s="31" t="n">
        <x:v>40</x:v>
      </x:c>
      <x:c r="D346" s="31" t="inlineStr">
        <x:is>
          <x:t xml:space="preserve">Маркировка</x:t>
        </x:is>
      </x:c>
      <x:c r="E346" s="31" t="inlineStr">
        <x:is>
          <x:t xml:space="preserve">Сборка</x:t>
        </x:is>
      </x:c>
      <x:c r="F346" s="31" t="inlineStr">
        <x:is>
          <x:t xml:space="preserve">ОБ-017</x:t>
        </x:is>
      </x:c>
      <x:c r="G346" s="31" t="n">
        <x:v>23.3</x:v>
      </x:c>
      <x:c r="H346" s="31" t="inlineStr">
        <x:is>
          <x:t xml:space="preserve">Нет</x:t>
        </x:is>
      </x:c>
      <x:c r="I346" s="31" t="inlineStr">
        <x:is>
          <x:t xml:space="preserve">Нет</x:t>
        </x:is>
      </x:c>
      <x:c r="J346" s="31" t="inlineStr">
        <x:is>
          <x:t xml:space="preserve">Версия 5</x:t>
        </x:is>
      </x:c>
    </x:row>
    <x:row r="347">
      <x:c r="A347" s="31" t="inlineStr">
        <x:is>
          <x:t xml:space="preserve">МАР-0346</x:t>
        </x:is>
      </x:c>
      <x:c r="B347" s="31" t="inlineStr">
        <x:is>
          <x:t xml:space="preserve">ИЗД-042</x:t>
        </x:is>
      </x:c>
      <x:c r="C347" s="31" t="n">
        <x:v>50</x:v>
      </x:c>
      <x:c r="D347" s="31" t="inlineStr">
        <x:is>
          <x:t xml:space="preserve">Электромонтаж</x:t>
        </x:is>
      </x:c>
      <x:c r="E347" s="31" t="inlineStr">
        <x:is>
          <x:t xml:space="preserve">Сборка</x:t>
        </x:is>
      </x:c>
      <x:c r="F347" s="31" t="inlineStr">
        <x:is>
          <x:t xml:space="preserve">ОБ-005</x:t>
        </x:is>
      </x:c>
      <x:c r="G347" s="31" t="n">
        <x:v>2.4</x:v>
      </x:c>
      <x:c r="H347" s="31" t="inlineStr">
        <x:is>
          <x:t xml:space="preserve">Нет</x:t>
        </x:is>
      </x:c>
      <x:c r="I347" s="31" t="inlineStr">
        <x:is>
          <x:t xml:space="preserve">Нет</x:t>
        </x:is>
      </x:c>
      <x:c r="J347" s="31" t="inlineStr">
        <x:is>
          <x:t xml:space="preserve">Версия 5</x:t>
        </x:is>
      </x:c>
    </x:row>
    <x:row r="348">
      <x:c r="A348" s="31" t="inlineStr">
        <x:is>
          <x:t xml:space="preserve">МАР-0347</x:t>
        </x:is>
      </x:c>
      <x:c r="B348" s="31" t="inlineStr">
        <x:is>
          <x:t xml:space="preserve">ИЗД-042</x:t>
        </x:is>
      </x:c>
      <x:c r="C348" s="31" t="n">
        <x:v>60</x:v>
      </x:c>
      <x:c r="D348" s="31" t="inlineStr">
        <x:is>
          <x:t xml:space="preserve">Программирование ПЛК</x:t>
        </x:is>
      </x:c>
      <x:c r="E348" s="31" t="inlineStr">
        <x:is>
          <x:t xml:space="preserve">Инженерный отдел</x:t>
        </x:is>
      </x:c>
      <x:c r="F348" s="31" t="n"/>
      <x:c r="G348" s="31" t="n">
        <x:v>16.4</x:v>
      </x:c>
      <x:c r="H348" s="31" t="inlineStr">
        <x:is>
          <x:t xml:space="preserve">Нет</x:t>
        </x:is>
      </x:c>
      <x:c r="I348" s="31" t="inlineStr">
        <x:is>
          <x:t xml:space="preserve">Нет</x:t>
        </x:is>
      </x:c>
      <x:c r="J348" s="31" t="inlineStr">
        <x:is>
          <x:t xml:space="preserve">Версия 5</x:t>
        </x:is>
      </x:c>
    </x:row>
    <x:row r="349">
      <x:c r="A349" s="31" t="inlineStr">
        <x:is>
          <x:t xml:space="preserve">МАР-0348</x:t>
        </x:is>
      </x:c>
      <x:c r="B349" s="31" t="inlineStr">
        <x:is>
          <x:t xml:space="preserve">ИЗД-042</x:t>
        </x:is>
      </x:c>
      <x:c r="C349" s="31" t="n">
        <x:v>70</x:v>
      </x:c>
      <x:c r="D349" s="31" t="inlineStr">
        <x:is>
          <x:t xml:space="preserve">Приемочные испытания</x:t>
        </x:is>
      </x:c>
      <x:c r="E349" s="31" t="inlineStr">
        <x:is>
          <x:t xml:space="preserve">ОТК</x:t>
        </x:is>
      </x:c>
      <x:c r="F349" s="31" t="inlineStr">
        <x:is>
          <x:t xml:space="preserve">ОБ-033</x:t>
        </x:is>
      </x:c>
      <x:c r="G349" s="31" t="n">
        <x:v>20.8</x:v>
      </x:c>
      <x:c r="H349" s="31" t="inlineStr">
        <x:is>
          <x:t xml:space="preserve">Нет</x:t>
        </x:is>
      </x:c>
      <x:c r="I349" s="31" t="inlineStr">
        <x:is>
          <x:t xml:space="preserve">Нет</x:t>
        </x:is>
      </x:c>
      <x:c r="J349" s="31" t="inlineStr">
        <x:is>
          <x:t xml:space="preserve">Версия 5</x:t>
        </x:is>
      </x:c>
    </x:row>
    <x:row r="350">
      <x:c r="A350" s="31" t="inlineStr">
        <x:is>
          <x:t xml:space="preserve">МАР-0349</x:t>
        </x:is>
      </x:c>
      <x:c r="B350" s="31" t="inlineStr">
        <x:is>
          <x:t xml:space="preserve">ИЗД-042</x:t>
        </x:is>
      </x:c>
      <x:c r="C350" s="31" t="n">
        <x:v>80</x:v>
      </x:c>
      <x:c r="D350" s="31" t="inlineStr">
        <x:is>
          <x:t xml:space="preserve">ОТК</x:t>
        </x:is>
      </x:c>
      <x:c r="E350" s="31" t="inlineStr">
        <x:is>
          <x:t xml:space="preserve">ОТК</x:t>
        </x:is>
      </x:c>
      <x:c r="F350" s="31" t="inlineStr">
        <x:is>
          <x:t xml:space="preserve">ОБ-006</x:t>
        </x:is>
      </x:c>
      <x:c r="G350" s="31" t="n">
        <x:v>23.2</x:v>
      </x:c>
      <x:c r="H350" s="31" t="inlineStr">
        <x:is>
          <x:t xml:space="preserve">Нет</x:t>
        </x:is>
      </x:c>
      <x:c r="I350" s="31" t="inlineStr">
        <x:is>
          <x:t xml:space="preserve">Нет</x:t>
        </x:is>
      </x:c>
      <x:c r="J350" s="31" t="inlineStr">
        <x:is>
          <x:t xml:space="preserve">Версия 5</x:t>
        </x:is>
      </x:c>
    </x:row>
    <x:row r="351">
      <x:c r="A351" s="31" t="inlineStr">
        <x:is>
          <x:t xml:space="preserve">МАР-0350</x:t>
        </x:is>
      </x:c>
      <x:c r="B351" s="31" t="inlineStr">
        <x:is>
          <x:t xml:space="preserve">ИЗД-042</x:t>
        </x:is>
      </x:c>
      <x:c r="C351" s="31" t="n">
        <x:v>90</x:v>
      </x:c>
      <x:c r="D351" s="31" t="inlineStr">
        <x:is>
          <x:t xml:space="preserve">Упаковка</x:t>
        </x:is>
      </x:c>
      <x:c r="E351" s="31" t="inlineStr">
        <x:is>
          <x:t xml:space="preserve">Логистика</x:t>
        </x:is>
      </x:c>
      <x:c r="F351" s="31" t="n"/>
      <x:c r="G351" s="31" t="n">
        <x:v>27</x:v>
      </x:c>
      <x:c r="H351" s="31" t="inlineStr">
        <x:is>
          <x:t xml:space="preserve">Нет</x:t>
        </x:is>
      </x:c>
      <x:c r="I351" s="31" t="inlineStr">
        <x:is>
          <x:t xml:space="preserve">Нет</x:t>
        </x:is>
      </x:c>
      <x:c r="J351" s="31" t="inlineStr">
        <x:is>
          <x:t xml:space="preserve">Версия 5</x:t>
        </x:is>
      </x:c>
    </x:row>
    <x:row r="352">
      <x:c r="A352" s="31" t="inlineStr">
        <x:is>
          <x:t xml:space="preserve">МАР-0351</x:t>
        </x:is>
      </x:c>
      <x:c r="B352" s="31" t="inlineStr">
        <x:is>
          <x:t xml:space="preserve">ИЗД-043</x:t>
        </x:is>
      </x:c>
      <x:c r="C352" s="31" t="n">
        <x:v>10</x:v>
      </x:c>
      <x:c r="D352" s="31" t="inlineStr">
        <x:is>
          <x:t xml:space="preserve">КД</x:t>
        </x:is>
      </x:c>
      <x:c r="E352" s="31" t="inlineStr">
        <x:is>
          <x:t xml:space="preserve">Инженерный отдел</x:t>
        </x:is>
      </x:c>
      <x:c r="F352" s="31" t="n"/>
      <x:c r="G352" s="31" t="n">
        <x:v>8</x:v>
      </x:c>
      <x:c r="H352" s="31" t="inlineStr">
        <x:is>
          <x:t xml:space="preserve">Да</x:t>
        </x:is>
      </x:c>
      <x:c r="I352" s="31" t="inlineStr">
        <x:is>
          <x:t xml:space="preserve">Нет</x:t>
        </x:is>
      </x:c>
      <x:c r="J352" s="31" t="inlineStr">
        <x:is>
          <x:t xml:space="preserve">Версия 5</x:t>
        </x:is>
      </x:c>
    </x:row>
    <x:row r="353">
      <x:c r="A353" s="31" t="inlineStr">
        <x:is>
          <x:t xml:space="preserve">МАР-0352</x:t>
        </x:is>
      </x:c>
      <x:c r="B353" s="31" t="inlineStr">
        <x:is>
          <x:t xml:space="preserve">ИЗД-043</x:t>
        </x:is>
      </x:c>
      <x:c r="C353" s="31" t="n">
        <x:v>20</x:v>
      </x:c>
      <x:c r="D353" s="31" t="inlineStr">
        <x:is>
          <x:t xml:space="preserve">Резерв материалов</x:t>
        </x:is>
      </x:c>
      <x:c r="E353" s="31" t="inlineStr">
        <x:is>
          <x:t xml:space="preserve">Склад</x:t>
        </x:is>
      </x:c>
      <x:c r="F353" s="31" t="inlineStr">
        <x:is>
          <x:t xml:space="preserve">ОБ-008</x:t>
        </x:is>
      </x:c>
      <x:c r="G353" s="31" t="n">
        <x:v>9.800000000000001</x:v>
      </x:c>
      <x:c r="H353" s="31" t="inlineStr">
        <x:is>
          <x:t xml:space="preserve">Нет</x:t>
        </x:is>
      </x:c>
      <x:c r="I353" s="31" t="inlineStr">
        <x:is>
          <x:t xml:space="preserve">Нет</x:t>
        </x:is>
      </x:c>
      <x:c r="J353" s="31" t="inlineStr">
        <x:is>
          <x:t xml:space="preserve">Версия 5</x:t>
        </x:is>
      </x:c>
    </x:row>
    <x:row r="354">
      <x:c r="A354" s="31" t="inlineStr">
        <x:is>
          <x:t xml:space="preserve">МАР-0353</x:t>
        </x:is>
      </x:c>
      <x:c r="B354" s="31" t="inlineStr">
        <x:is>
          <x:t xml:space="preserve">ИЗД-043</x:t>
        </x:is>
      </x:c>
      <x:c r="C354" s="31" t="n">
        <x:v>30</x:v>
      </x:c>
      <x:c r="D354" s="31" t="inlineStr">
        <x:is>
          <x:t xml:space="preserve">Резка металла</x:t>
        </x:is>
      </x:c>
      <x:c r="E354" s="31" t="inlineStr">
        <x:is>
          <x:t xml:space="preserve">Сварка</x:t>
        </x:is>
      </x:c>
      <x:c r="F354" s="31" t="inlineStr">
        <x:is>
          <x:t xml:space="preserve">ОБ-004</x:t>
        </x:is>
      </x:c>
      <x:c r="G354" s="31" t="n">
        <x:v>11.4</x:v>
      </x:c>
      <x:c r="H354" s="31" t="inlineStr">
        <x:is>
          <x:t xml:space="preserve">Нет</x:t>
        </x:is>
      </x:c>
      <x:c r="I354" s="31" t="inlineStr">
        <x:is>
          <x:t xml:space="preserve">Нет</x:t>
        </x:is>
      </x:c>
      <x:c r="J354" s="31" t="inlineStr">
        <x:is>
          <x:t xml:space="preserve">Версия 5</x:t>
        </x:is>
      </x:c>
    </x:row>
    <x:row r="355">
      <x:c r="A355" s="31" t="inlineStr">
        <x:is>
          <x:t xml:space="preserve">МАР-0354</x:t>
        </x:is>
      </x:c>
      <x:c r="B355" s="31" t="inlineStr">
        <x:is>
          <x:t xml:space="preserve">ИЗД-043</x:t>
        </x:is>
      </x:c>
      <x:c r="C355" s="31" t="n">
        <x:v>40</x:v>
      </x:c>
      <x:c r="D355" s="31" t="inlineStr">
        <x:is>
          <x:t xml:space="preserve">Сварка рамы</x:t>
        </x:is>
      </x:c>
      <x:c r="E355" s="31" t="inlineStr">
        <x:is>
          <x:t xml:space="preserve">Сварка</x:t>
        </x:is>
      </x:c>
      <x:c r="F355" s="31" t="inlineStr">
        <x:is>
          <x:t xml:space="preserve">ОБ-021</x:t>
        </x:is>
      </x:c>
      <x:c r="G355" s="31" t="n">
        <x:v>4</x:v>
      </x:c>
      <x:c r="H355" s="31" t="inlineStr">
        <x:is>
          <x:t xml:space="preserve">Нет</x:t>
        </x:is>
      </x:c>
      <x:c r="I355" s="31" t="inlineStr">
        <x:is>
          <x:t xml:space="preserve">Да</x:t>
        </x:is>
      </x:c>
      <x:c r="J355" s="31" t="inlineStr">
        <x:is>
          <x:t xml:space="preserve">Версия 5</x:t>
        </x:is>
      </x:c>
    </x:row>
    <x:row r="356">
      <x:c r="A356" s="31" t="inlineStr">
        <x:is>
          <x:t xml:space="preserve">МАР-0355</x:t>
        </x:is>
      </x:c>
      <x:c r="B356" s="31" t="inlineStr">
        <x:is>
          <x:t xml:space="preserve">ИЗД-043</x:t>
        </x:is>
      </x:c>
      <x:c r="C356" s="31" t="n">
        <x:v>50</x:v>
      </x:c>
      <x:c r="D356" s="31" t="inlineStr">
        <x:is>
          <x:t xml:space="preserve">Механообработка</x:t>
        </x:is>
      </x:c>
      <x:c r="E356" s="31" t="inlineStr">
        <x:is>
          <x:t xml:space="preserve">Механообработка</x:t>
        </x:is>
      </x:c>
      <x:c r="F356" s="31" t="inlineStr">
        <x:is>
          <x:t xml:space="preserve">ОБ-031</x:t>
        </x:is>
      </x:c>
      <x:c r="G356" s="31" t="n">
        <x:v>10</x:v>
      </x:c>
      <x:c r="H356" s="31" t="inlineStr">
        <x:is>
          <x:t xml:space="preserve">Нет</x:t>
        </x:is>
      </x:c>
      <x:c r="I356" s="31" t="inlineStr">
        <x:is>
          <x:t xml:space="preserve">Нет</x:t>
        </x:is>
      </x:c>
      <x:c r="J356" s="31" t="inlineStr">
        <x:is>
          <x:t xml:space="preserve">Версия 5</x:t>
        </x:is>
      </x:c>
    </x:row>
    <x:row r="357">
      <x:c r="A357" s="31" t="inlineStr">
        <x:is>
          <x:t xml:space="preserve">МАР-0356</x:t>
        </x:is>
      </x:c>
      <x:c r="B357" s="31" t="inlineStr">
        <x:is>
          <x:t xml:space="preserve">ИЗД-043</x:t>
        </x:is>
      </x:c>
      <x:c r="C357" s="31" t="n">
        <x:v>60</x:v>
      </x:c>
      <x:c r="D357" s="31" t="inlineStr">
        <x:is>
          <x:t xml:space="preserve">Сборка</x:t>
        </x:is>
      </x:c>
      <x:c r="E357" s="31" t="inlineStr">
        <x:is>
          <x:t xml:space="preserve">Сборка</x:t>
        </x:is>
      </x:c>
      <x:c r="F357" s="31" t="inlineStr">
        <x:is>
          <x:t xml:space="preserve">ОБ-014</x:t>
        </x:is>
      </x:c>
      <x:c r="G357" s="31" t="n">
        <x:v>14.9</x:v>
      </x:c>
      <x:c r="H357" s="31" t="inlineStr">
        <x:is>
          <x:t xml:space="preserve">Нет</x:t>
        </x:is>
      </x:c>
      <x:c r="I357" s="31" t="inlineStr">
        <x:is>
          <x:t xml:space="preserve">Нет</x:t>
        </x:is>
      </x:c>
      <x:c r="J357" s="31" t="inlineStr">
        <x:is>
          <x:t xml:space="preserve">Версия 5</x:t>
        </x:is>
      </x:c>
    </x:row>
    <x:row r="358">
      <x:c r="A358" s="31" t="inlineStr">
        <x:is>
          <x:t xml:space="preserve">МАР-0357</x:t>
        </x:is>
      </x:c>
      <x:c r="B358" s="31" t="inlineStr">
        <x:is>
          <x:t xml:space="preserve">ИЗД-043</x:t>
        </x:is>
      </x:c>
      <x:c r="C358" s="31" t="n">
        <x:v>70</x:v>
      </x:c>
      <x:c r="D358" s="31" t="inlineStr">
        <x:is>
          <x:t xml:space="preserve">Электромонтаж</x:t>
        </x:is>
      </x:c>
      <x:c r="E358" s="31" t="inlineStr">
        <x:is>
          <x:t xml:space="preserve">Сборка</x:t>
        </x:is>
      </x:c>
      <x:c r="F358" s="31" t="inlineStr">
        <x:is>
          <x:t xml:space="preserve">ОБ-020</x:t>
        </x:is>
      </x:c>
      <x:c r="G358" s="31" t="n">
        <x:v>10.5</x:v>
      </x:c>
      <x:c r="H358" s="31" t="inlineStr">
        <x:is>
          <x:t xml:space="preserve">Нет</x:t>
        </x:is>
      </x:c>
      <x:c r="I358" s="31" t="inlineStr">
        <x:is>
          <x:t xml:space="preserve">Да</x:t>
        </x:is>
      </x:c>
      <x:c r="J358" s="31" t="inlineStr">
        <x:is>
          <x:t xml:space="preserve">Версия 5</x:t>
        </x:is>
      </x:c>
    </x:row>
    <x:row r="359">
      <x:c r="A359" s="31" t="inlineStr">
        <x:is>
          <x:t xml:space="preserve">МАР-0358</x:t>
        </x:is>
      </x:c>
      <x:c r="B359" s="31" t="inlineStr">
        <x:is>
          <x:t xml:space="preserve">ИЗД-043</x:t>
        </x:is>
      </x:c>
      <x:c r="C359" s="31" t="n">
        <x:v>80</x:v>
      </x:c>
      <x:c r="D359" s="31" t="inlineStr">
        <x:is>
          <x:t xml:space="preserve">Гидроиспытания</x:t>
        </x:is>
      </x:c>
      <x:c r="E359" s="31" t="inlineStr">
        <x:is>
          <x:t xml:space="preserve">ОТК</x:t>
        </x:is>
      </x:c>
      <x:c r="F359" s="31" t="inlineStr">
        <x:is>
          <x:t xml:space="preserve">ОБ-028</x:t>
        </x:is>
      </x:c>
      <x:c r="G359" s="31" t="n">
        <x:v>7.7</x:v>
      </x:c>
      <x:c r="H359" s="31" t="inlineStr">
        <x:is>
          <x:t xml:space="preserve">Нет</x:t>
        </x:is>
      </x:c>
      <x:c r="I359" s="31" t="inlineStr">
        <x:is>
          <x:t xml:space="preserve">Нет</x:t>
        </x:is>
      </x:c>
      <x:c r="J359" s="31" t="inlineStr">
        <x:is>
          <x:t xml:space="preserve">Версия 5</x:t>
        </x:is>
      </x:c>
    </x:row>
    <x:row r="360">
      <x:c r="A360" s="31" t="inlineStr">
        <x:is>
          <x:t xml:space="preserve">МАР-0359</x:t>
        </x:is>
      </x:c>
      <x:c r="B360" s="31" t="inlineStr">
        <x:is>
          <x:t xml:space="preserve">ИЗД-043</x:t>
        </x:is>
      </x:c>
      <x:c r="C360" s="31" t="n">
        <x:v>90</x:v>
      </x:c>
      <x:c r="D360" s="31" t="inlineStr">
        <x:is>
          <x:t xml:space="preserve">ОТК</x:t>
        </x:is>
      </x:c>
      <x:c r="E360" s="31" t="inlineStr">
        <x:is>
          <x:t xml:space="preserve">ОТК</x:t>
        </x:is>
      </x:c>
      <x:c r="F360" s="31" t="inlineStr">
        <x:is>
          <x:t xml:space="preserve">ОБ-032</x:t>
        </x:is>
      </x:c>
      <x:c r="G360" s="31" t="n">
        <x:v>9.9</x:v>
      </x:c>
      <x:c r="H360" s="31" t="inlineStr">
        <x:is>
          <x:t xml:space="preserve">Нет</x:t>
        </x:is>
      </x:c>
      <x:c r="I360" s="31" t="inlineStr">
        <x:is>
          <x:t xml:space="preserve">Нет</x:t>
        </x:is>
      </x:c>
      <x:c r="J360" s="31" t="inlineStr">
        <x:is>
          <x:t xml:space="preserve">Версия 5</x:t>
        </x:is>
      </x:c>
    </x:row>
    <x:row r="361">
      <x:c r="A361" s="31" t="inlineStr">
        <x:is>
          <x:t xml:space="preserve">МАР-0360</x:t>
        </x:is>
      </x:c>
      <x:c r="B361" s="31" t="inlineStr">
        <x:is>
          <x:t xml:space="preserve">ИЗД-043</x:t>
        </x:is>
      </x:c>
      <x:c r="C361" s="31" t="n">
        <x:v>100</x:v>
      </x:c>
      <x:c r="D361" s="31" t="inlineStr">
        <x:is>
          <x:t xml:space="preserve">Упаковка</x:t>
        </x:is>
      </x:c>
      <x:c r="E361" s="31" t="inlineStr">
        <x:is>
          <x:t xml:space="preserve">Логистика</x:t>
        </x:is>
      </x:c>
      <x:c r="F361" s="31" t="n"/>
      <x:c r="G361" s="31" t="n">
        <x:v>6.7</x:v>
      </x:c>
      <x:c r="H361" s="31" t="inlineStr">
        <x:is>
          <x:t xml:space="preserve">Нет</x:t>
        </x:is>
      </x:c>
      <x:c r="I361" s="31" t="inlineStr">
        <x:is>
          <x:t xml:space="preserve">Нет</x:t>
        </x:is>
      </x:c>
      <x:c r="J361" s="31" t="inlineStr">
        <x:is>
          <x:t xml:space="preserve">Версия 5</x:t>
        </x:is>
      </x:c>
    </x:row>
    <x:row r="362">
      <x:c r="A362" s="31" t="inlineStr">
        <x:is>
          <x:t xml:space="preserve">МАР-0361</x:t>
        </x:is>
      </x:c>
      <x:c r="B362" s="31" t="inlineStr">
        <x:is>
          <x:t xml:space="preserve">ИЗД-044</x:t>
        </x:is>
      </x:c>
      <x:c r="C362" s="31" t="n">
        <x:v>10</x:v>
      </x:c>
      <x:c r="D362" s="31" t="inlineStr">
        <x:is>
          <x:t xml:space="preserve">КД</x:t>
        </x:is>
      </x:c>
      <x:c r="E362" s="31" t="inlineStr">
        <x:is>
          <x:t xml:space="preserve">Инженерный отдел</x:t>
        </x:is>
      </x:c>
      <x:c r="F362" s="31" t="n"/>
      <x:c r="G362" s="31" t="n">
        <x:v>27.4</x:v>
      </x:c>
      <x:c r="H362" s="31" t="inlineStr">
        <x:is>
          <x:t xml:space="preserve">Нет</x:t>
        </x:is>
      </x:c>
      <x:c r="I362" s="31" t="inlineStr">
        <x:is>
          <x:t xml:space="preserve">Нет</x:t>
        </x:is>
      </x:c>
      <x:c r="J362" s="31" t="inlineStr">
        <x:is>
          <x:t xml:space="preserve">Версия 7</x:t>
        </x:is>
      </x:c>
    </x:row>
    <x:row r="363">
      <x:c r="A363" s="31" t="inlineStr">
        <x:is>
          <x:t xml:space="preserve">МАР-0362</x:t>
        </x:is>
      </x:c>
      <x:c r="B363" s="31" t="inlineStr">
        <x:is>
          <x:t xml:space="preserve">ИЗД-044</x:t>
        </x:is>
      </x:c>
      <x:c r="C363" s="31" t="n">
        <x:v>20</x:v>
      </x:c>
      <x:c r="D363" s="31" t="inlineStr">
        <x:is>
          <x:t xml:space="preserve">Резерв материалов</x:t>
        </x:is>
      </x:c>
      <x:c r="E363" s="31" t="inlineStr">
        <x:is>
          <x:t xml:space="preserve">Склад</x:t>
        </x:is>
      </x:c>
      <x:c r="F363" s="31" t="inlineStr">
        <x:is>
          <x:t xml:space="preserve">ОБ-023</x:t>
        </x:is>
      </x:c>
      <x:c r="G363" s="31" t="n">
        <x:v>4.1</x:v>
      </x:c>
      <x:c r="H363" s="31" t="inlineStr">
        <x:is>
          <x:t xml:space="preserve">Да</x:t>
        </x:is>
      </x:c>
      <x:c r="I363" s="31" t="inlineStr">
        <x:is>
          <x:t xml:space="preserve">Нет</x:t>
        </x:is>
      </x:c>
      <x:c r="J363" s="31" t="inlineStr">
        <x:is>
          <x:t xml:space="preserve">Версия 7</x:t>
        </x:is>
      </x:c>
    </x:row>
    <x:row r="364">
      <x:c r="A364" s="31" t="inlineStr">
        <x:is>
          <x:t xml:space="preserve">МАР-0363</x:t>
        </x:is>
      </x:c>
      <x:c r="B364" s="31" t="inlineStr">
        <x:is>
          <x:t xml:space="preserve">ИЗД-044</x:t>
        </x:is>
      </x:c>
      <x:c r="C364" s="31" t="n">
        <x:v>30</x:v>
      </x:c>
      <x:c r="D364" s="31" t="inlineStr">
        <x:is>
          <x:t xml:space="preserve">Сварка рамы</x:t>
        </x:is>
      </x:c>
      <x:c r="E364" s="31" t="inlineStr">
        <x:is>
          <x:t xml:space="preserve">Сварка</x:t>
        </x:is>
      </x:c>
      <x:c r="F364" s="31" t="inlineStr">
        <x:is>
          <x:t xml:space="preserve">ОБ-004</x:t>
        </x:is>
      </x:c>
      <x:c r="G364" s="31" t="n">
        <x:v>7.1</x:v>
      </x:c>
      <x:c r="H364" s="31" t="inlineStr">
        <x:is>
          <x:t xml:space="preserve">Да</x:t>
        </x:is>
      </x:c>
      <x:c r="I364" s="31" t="inlineStr">
        <x:is>
          <x:t xml:space="preserve">Нет</x:t>
        </x:is>
      </x:c>
      <x:c r="J364" s="31" t="inlineStr">
        <x:is>
          <x:t xml:space="preserve">Версия 7</x:t>
        </x:is>
      </x:c>
    </x:row>
    <x:row r="365">
      <x:c r="A365" s="31" t="inlineStr">
        <x:is>
          <x:t xml:space="preserve">МАР-0364</x:t>
        </x:is>
      </x:c>
      <x:c r="B365" s="31" t="inlineStr">
        <x:is>
          <x:t xml:space="preserve">ИЗД-044</x:t>
        </x:is>
      </x:c>
      <x:c r="C365" s="31" t="n">
        <x:v>40</x:v>
      </x:c>
      <x:c r="D365" s="31" t="inlineStr">
        <x:is>
          <x:t xml:space="preserve">Сборка</x:t>
        </x:is>
      </x:c>
      <x:c r="E365" s="31" t="inlineStr">
        <x:is>
          <x:t xml:space="preserve">Сборка</x:t>
        </x:is>
      </x:c>
      <x:c r="F365" s="31" t="inlineStr">
        <x:is>
          <x:t xml:space="preserve">ОБ-027</x:t>
        </x:is>
      </x:c>
      <x:c r="G365" s="31" t="n">
        <x:v>20.8</x:v>
      </x:c>
      <x:c r="H365" s="31" t="inlineStr">
        <x:is>
          <x:t xml:space="preserve">Да</x:t>
        </x:is>
      </x:c>
      <x:c r="I365" s="31" t="inlineStr">
        <x:is>
          <x:t xml:space="preserve">Нет</x:t>
        </x:is>
      </x:c>
      <x:c r="J365" s="31" t="inlineStr">
        <x:is>
          <x:t xml:space="preserve">Версия 7</x:t>
        </x:is>
      </x:c>
    </x:row>
    <x:row r="366">
      <x:c r="A366" s="31" t="inlineStr">
        <x:is>
          <x:t xml:space="preserve">МАР-0365</x:t>
        </x:is>
      </x:c>
      <x:c r="B366" s="31" t="inlineStr">
        <x:is>
          <x:t xml:space="preserve">ИЗД-044</x:t>
        </x:is>
      </x:c>
      <x:c r="C366" s="31" t="n">
        <x:v>50</x:v>
      </x:c>
      <x:c r="D366" s="31" t="inlineStr">
        <x:is>
          <x:t xml:space="preserve">Обвязка труб</x:t>
        </x:is>
      </x:c>
      <x:c r="E366" s="31" t="inlineStr">
        <x:is>
          <x:t xml:space="preserve">Сборка</x:t>
        </x:is>
      </x:c>
      <x:c r="F366" s="31" t="inlineStr">
        <x:is>
          <x:t xml:space="preserve">ОБ-002</x:t>
        </x:is>
      </x:c>
      <x:c r="G366" s="31" t="n">
        <x:v>27.5</x:v>
      </x:c>
      <x:c r="H366" s="31" t="inlineStr">
        <x:is>
          <x:t xml:space="preserve">Нет</x:t>
        </x:is>
      </x:c>
      <x:c r="I366" s="31" t="inlineStr">
        <x:is>
          <x:t xml:space="preserve">Нет</x:t>
        </x:is>
      </x:c>
      <x:c r="J366" s="31" t="inlineStr">
        <x:is>
          <x:t xml:space="preserve">Версия 7</x:t>
        </x:is>
      </x:c>
    </x:row>
    <x:row r="367">
      <x:c r="A367" s="31" t="inlineStr">
        <x:is>
          <x:t xml:space="preserve">МАР-0366</x:t>
        </x:is>
      </x:c>
      <x:c r="B367" s="31" t="inlineStr">
        <x:is>
          <x:t xml:space="preserve">ИЗД-044</x:t>
        </x:is>
      </x:c>
      <x:c r="C367" s="31" t="n">
        <x:v>60</x:v>
      </x:c>
      <x:c r="D367" s="31" t="inlineStr">
        <x:is>
          <x:t xml:space="preserve">Электромонтаж</x:t>
        </x:is>
      </x:c>
      <x:c r="E367" s="31" t="inlineStr">
        <x:is>
          <x:t xml:space="preserve">Сборка</x:t>
        </x:is>
      </x:c>
      <x:c r="F367" s="31" t="inlineStr">
        <x:is>
          <x:t xml:space="preserve">ОБ-012</x:t>
        </x:is>
      </x:c>
      <x:c r="G367" s="31" t="n">
        <x:v>16.7</x:v>
      </x:c>
      <x:c r="H367" s="31" t="inlineStr">
        <x:is>
          <x:t xml:space="preserve">Нет</x:t>
        </x:is>
      </x:c>
      <x:c r="I367" s="31" t="inlineStr">
        <x:is>
          <x:t xml:space="preserve">Нет</x:t>
        </x:is>
      </x:c>
      <x:c r="J367" s="31" t="inlineStr">
        <x:is>
          <x:t xml:space="preserve">Версия 7</x:t>
        </x:is>
      </x:c>
    </x:row>
    <x:row r="368">
      <x:c r="A368" s="31" t="inlineStr">
        <x:is>
          <x:t xml:space="preserve">МАР-0367</x:t>
        </x:is>
      </x:c>
      <x:c r="B368" s="31" t="inlineStr">
        <x:is>
          <x:t xml:space="preserve">ИЗД-044</x:t>
        </x:is>
      </x:c>
      <x:c r="C368" s="31" t="n">
        <x:v>70</x:v>
      </x:c>
      <x:c r="D368" s="31" t="inlineStr">
        <x:is>
          <x:t xml:space="preserve">Гидроиспытания</x:t>
        </x:is>
      </x:c>
      <x:c r="E368" s="31" t="inlineStr">
        <x:is>
          <x:t xml:space="preserve">ОТК</x:t>
        </x:is>
      </x:c>
      <x:c r="F368" s="31" t="inlineStr">
        <x:is>
          <x:t xml:space="preserve">ОБ-001</x:t>
        </x:is>
      </x:c>
      <x:c r="G368" s="31" t="n">
        <x:v>21.9</x:v>
      </x:c>
      <x:c r="H368" s="31" t="inlineStr">
        <x:is>
          <x:t xml:space="preserve">Нет</x:t>
        </x:is>
      </x:c>
      <x:c r="I368" s="31" t="inlineStr">
        <x:is>
          <x:t xml:space="preserve">Да</x:t>
        </x:is>
      </x:c>
      <x:c r="J368" s="31" t="inlineStr">
        <x:is>
          <x:t xml:space="preserve">Версия 7</x:t>
        </x:is>
      </x:c>
    </x:row>
    <x:row r="369">
      <x:c r="A369" s="31" t="inlineStr">
        <x:is>
          <x:t xml:space="preserve">МАР-0368</x:t>
        </x:is>
      </x:c>
      <x:c r="B369" s="31" t="inlineStr">
        <x:is>
          <x:t xml:space="preserve">ИЗД-044</x:t>
        </x:is>
      </x:c>
      <x:c r="C369" s="31" t="n">
        <x:v>80</x:v>
      </x:c>
      <x:c r="D369" s="31" t="inlineStr">
        <x:is>
          <x:t xml:space="preserve">ОТК</x:t>
        </x:is>
      </x:c>
      <x:c r="E369" s="31" t="inlineStr">
        <x:is>
          <x:t xml:space="preserve">ОТК</x:t>
        </x:is>
      </x:c>
      <x:c r="F369" s="31" t="inlineStr">
        <x:is>
          <x:t xml:space="preserve">ОБ-013</x:t>
        </x:is>
      </x:c>
      <x:c r="G369" s="31" t="n">
        <x:v>25.4</x:v>
      </x:c>
      <x:c r="H369" s="31" t="inlineStr">
        <x:is>
          <x:t xml:space="preserve">Нет</x:t>
        </x:is>
      </x:c>
      <x:c r="I369" s="31" t="inlineStr">
        <x:is>
          <x:t xml:space="preserve">Нет</x:t>
        </x:is>
      </x:c>
      <x:c r="J369" s="31" t="inlineStr">
        <x:is>
          <x:t xml:space="preserve">Версия 7</x:t>
        </x:is>
      </x:c>
    </x:row>
    <x:row r="370">
      <x:c r="A370" s="31" t="inlineStr">
        <x:is>
          <x:t xml:space="preserve">МАР-0369</x:t>
        </x:is>
      </x:c>
      <x:c r="B370" s="31" t="inlineStr">
        <x:is>
          <x:t xml:space="preserve">ИЗД-044</x:t>
        </x:is>
      </x:c>
      <x:c r="C370" s="31" t="n">
        <x:v>90</x:v>
      </x:c>
      <x:c r="D370" s="31" t="inlineStr">
        <x:is>
          <x:t xml:space="preserve">Упаковка</x:t>
        </x:is>
      </x:c>
      <x:c r="E370" s="31" t="inlineStr">
        <x:is>
          <x:t xml:space="preserve">Логистика</x:t>
        </x:is>
      </x:c>
      <x:c r="F370" s="31" t="n"/>
      <x:c r="G370" s="31" t="n">
        <x:v>11.3</x:v>
      </x:c>
      <x:c r="H370" s="31" t="inlineStr">
        <x:is>
          <x:t xml:space="preserve">Нет</x:t>
        </x:is>
      </x:c>
      <x:c r="I370" s="31" t="inlineStr">
        <x:is>
          <x:t xml:space="preserve">Нет</x:t>
        </x:is>
      </x:c>
      <x:c r="J370" s="31" t="inlineStr">
        <x:is>
          <x:t xml:space="preserve">Версия 7</x:t>
        </x:is>
      </x:c>
    </x:row>
    <x:row r="371">
      <x:c r="A371" s="31" t="inlineStr">
        <x:is>
          <x:t xml:space="preserve">МАР-0370</x:t>
        </x:is>
      </x:c>
      <x:c r="B371" s="31" t="inlineStr">
        <x:is>
          <x:t xml:space="preserve">ИЗД-045</x:t>
        </x:is>
      </x:c>
      <x:c r="C371" s="31" t="n">
        <x:v>10</x:v>
      </x:c>
      <x:c r="D371" s="31" t="inlineStr">
        <x:is>
          <x:t xml:space="preserve">КД</x:t>
        </x:is>
      </x:c>
      <x:c r="E371" s="31" t="inlineStr">
        <x:is>
          <x:t xml:space="preserve">Инженерный отдел</x:t>
        </x:is>
      </x:c>
      <x:c r="F371" s="31" t="n"/>
      <x:c r="G371" s="31" t="n">
        <x:v>9.699999999999999</x:v>
      </x:c>
      <x:c r="H371" s="31" t="inlineStr">
        <x:is>
          <x:t xml:space="preserve">Нет</x:t>
        </x:is>
      </x:c>
      <x:c r="I371" s="31" t="inlineStr">
        <x:is>
          <x:t xml:space="preserve">Нет</x:t>
        </x:is>
      </x:c>
      <x:c r="J371" s="31" t="inlineStr">
        <x:is>
          <x:t xml:space="preserve">Версия 7</x:t>
        </x:is>
      </x:c>
    </x:row>
    <x:row r="372">
      <x:c r="A372" s="31" t="inlineStr">
        <x:is>
          <x:t xml:space="preserve">МАР-0371</x:t>
        </x:is>
      </x:c>
      <x:c r="B372" s="31" t="inlineStr">
        <x:is>
          <x:t xml:space="preserve">ИЗД-045</x:t>
        </x:is>
      </x:c>
      <x:c r="C372" s="31" t="n">
        <x:v>20</x:v>
      </x:c>
      <x:c r="D372" s="31" t="inlineStr">
        <x:is>
          <x:t xml:space="preserve">Комплектация</x:t>
        </x:is>
      </x:c>
      <x:c r="E372" s="31" t="inlineStr">
        <x:is>
          <x:t xml:space="preserve">Склад</x:t>
        </x:is>
      </x:c>
      <x:c r="F372" s="31" t="inlineStr">
        <x:is>
          <x:t xml:space="preserve">ОБ-025</x:t>
        </x:is>
      </x:c>
      <x:c r="G372" s="31" t="n">
        <x:v>6.8</x:v>
      </x:c>
      <x:c r="H372" s="31" t="inlineStr">
        <x:is>
          <x:t xml:space="preserve">Нет</x:t>
        </x:is>
      </x:c>
      <x:c r="I372" s="31" t="inlineStr">
        <x:is>
          <x:t xml:space="preserve">Нет</x:t>
        </x:is>
      </x:c>
      <x:c r="J372" s="31" t="inlineStr">
        <x:is>
          <x:t xml:space="preserve">Версия 7</x:t>
        </x:is>
      </x:c>
    </x:row>
    <x:row r="373">
      <x:c r="A373" s="31" t="inlineStr">
        <x:is>
          <x:t xml:space="preserve">МАР-0372</x:t>
        </x:is>
      </x:c>
      <x:c r="B373" s="31" t="inlineStr">
        <x:is>
          <x:t xml:space="preserve">ИЗД-045</x:t>
        </x:is>
      </x:c>
      <x:c r="C373" s="31" t="n">
        <x:v>30</x:v>
      </x:c>
      <x:c r="D373" s="31" t="inlineStr">
        <x:is>
          <x:t xml:space="preserve">Сборка шкафа</x:t>
        </x:is>
      </x:c>
      <x:c r="E373" s="31" t="inlineStr">
        <x:is>
          <x:t xml:space="preserve">Сборка</x:t>
        </x:is>
      </x:c>
      <x:c r="F373" s="31" t="inlineStr">
        <x:is>
          <x:t xml:space="preserve">ОБ-016</x:t>
        </x:is>
      </x:c>
      <x:c r="G373" s="31" t="n">
        <x:v>2.5</x:v>
      </x:c>
      <x:c r="H373" s="31" t="inlineStr">
        <x:is>
          <x:t xml:space="preserve">Да</x:t>
        </x:is>
      </x:c>
      <x:c r="I373" s="31" t="inlineStr">
        <x:is>
          <x:t xml:space="preserve">Нет</x:t>
        </x:is>
      </x:c>
      <x:c r="J373" s="31" t="inlineStr">
        <x:is>
          <x:t xml:space="preserve">Версия 7</x:t>
        </x:is>
      </x:c>
    </x:row>
    <x:row r="374">
      <x:c r="A374" s="31" t="inlineStr">
        <x:is>
          <x:t xml:space="preserve">МАР-0373</x:t>
        </x:is>
      </x:c>
      <x:c r="B374" s="31" t="inlineStr">
        <x:is>
          <x:t xml:space="preserve">ИЗД-045</x:t>
        </x:is>
      </x:c>
      <x:c r="C374" s="31" t="n">
        <x:v>40</x:v>
      </x:c>
      <x:c r="D374" s="31" t="inlineStr">
        <x:is>
          <x:t xml:space="preserve">Маркировка</x:t>
        </x:is>
      </x:c>
      <x:c r="E374" s="31" t="inlineStr">
        <x:is>
          <x:t xml:space="preserve">Сборка</x:t>
        </x:is>
      </x:c>
      <x:c r="F374" s="31" t="inlineStr">
        <x:is>
          <x:t xml:space="preserve">ОБ-016</x:t>
        </x:is>
      </x:c>
      <x:c r="G374" s="31" t="n">
        <x:v>6.3</x:v>
      </x:c>
      <x:c r="H374" s="31" t="inlineStr">
        <x:is>
          <x:t xml:space="preserve">Нет</x:t>
        </x:is>
      </x:c>
      <x:c r="I374" s="31" t="inlineStr">
        <x:is>
          <x:t xml:space="preserve">Да</x:t>
        </x:is>
      </x:c>
      <x:c r="J374" s="31" t="inlineStr">
        <x:is>
          <x:t xml:space="preserve">Версия 7</x:t>
        </x:is>
      </x:c>
    </x:row>
    <x:row r="375">
      <x:c r="A375" s="31" t="inlineStr">
        <x:is>
          <x:t xml:space="preserve">МАР-0374</x:t>
        </x:is>
      </x:c>
      <x:c r="B375" s="31" t="inlineStr">
        <x:is>
          <x:t xml:space="preserve">ИЗД-045</x:t>
        </x:is>
      </x:c>
      <x:c r="C375" s="31" t="n">
        <x:v>50</x:v>
      </x:c>
      <x:c r="D375" s="31" t="inlineStr">
        <x:is>
          <x:t xml:space="preserve">Электромонтаж</x:t>
        </x:is>
      </x:c>
      <x:c r="E375" s="31" t="inlineStr">
        <x:is>
          <x:t xml:space="preserve">Сборка</x:t>
        </x:is>
      </x:c>
      <x:c r="F375" s="31" t="inlineStr">
        <x:is>
          <x:t xml:space="preserve">ОБ-027</x:t>
        </x:is>
      </x:c>
      <x:c r="G375" s="31" t="n">
        <x:v>4.9</x:v>
      </x:c>
      <x:c r="H375" s="31" t="inlineStr">
        <x:is>
          <x:t xml:space="preserve">Нет</x:t>
        </x:is>
      </x:c>
      <x:c r="I375" s="31" t="inlineStr">
        <x:is>
          <x:t xml:space="preserve">Нет</x:t>
        </x:is>
      </x:c>
      <x:c r="J375" s="31" t="inlineStr">
        <x:is>
          <x:t xml:space="preserve">Версия 7</x:t>
        </x:is>
      </x:c>
    </x:row>
    <x:row r="376">
      <x:c r="A376" s="31" t="inlineStr">
        <x:is>
          <x:t xml:space="preserve">МАР-0375</x:t>
        </x:is>
      </x:c>
      <x:c r="B376" s="31" t="inlineStr">
        <x:is>
          <x:t xml:space="preserve">ИЗД-045</x:t>
        </x:is>
      </x:c>
      <x:c r="C376" s="31" t="n">
        <x:v>60</x:v>
      </x:c>
      <x:c r="D376" s="31" t="inlineStr">
        <x:is>
          <x:t xml:space="preserve">Программирование ПЛК</x:t>
        </x:is>
      </x:c>
      <x:c r="E376" s="31" t="inlineStr">
        <x:is>
          <x:t xml:space="preserve">Инженерный отдел</x:t>
        </x:is>
      </x:c>
      <x:c r="F376" s="31" t="n"/>
      <x:c r="G376" s="31" t="n">
        <x:v>2.8</x:v>
      </x:c>
      <x:c r="H376" s="31" t="inlineStr">
        <x:is>
          <x:t xml:space="preserve">Нет</x:t>
        </x:is>
      </x:c>
      <x:c r="I376" s="31" t="inlineStr">
        <x:is>
          <x:t xml:space="preserve">Нет</x:t>
        </x:is>
      </x:c>
      <x:c r="J376" s="31" t="inlineStr">
        <x:is>
          <x:t xml:space="preserve">Версия 7</x:t>
        </x:is>
      </x:c>
    </x:row>
    <x:row r="377">
      <x:c r="A377" s="31" t="inlineStr">
        <x:is>
          <x:t xml:space="preserve">МАР-0376</x:t>
        </x:is>
      </x:c>
      <x:c r="B377" s="31" t="inlineStr">
        <x:is>
          <x:t xml:space="preserve">ИЗД-045</x:t>
        </x:is>
      </x:c>
      <x:c r="C377" s="31" t="n">
        <x:v>70</x:v>
      </x:c>
      <x:c r="D377" s="31" t="inlineStr">
        <x:is>
          <x:t xml:space="preserve">Приемочные испытания</x:t>
        </x:is>
      </x:c>
      <x:c r="E377" s="31" t="inlineStr">
        <x:is>
          <x:t xml:space="preserve">ОТК</x:t>
        </x:is>
      </x:c>
      <x:c r="F377" s="31" t="inlineStr">
        <x:is>
          <x:t xml:space="preserve">ОБ-007</x:t>
        </x:is>
      </x:c>
      <x:c r="G377" s="31" t="n">
        <x:v>2.9</x:v>
      </x:c>
      <x:c r="H377" s="31" t="inlineStr">
        <x:is>
          <x:t xml:space="preserve">Да</x:t>
        </x:is>
      </x:c>
      <x:c r="I377" s="31" t="inlineStr">
        <x:is>
          <x:t xml:space="preserve">Да</x:t>
        </x:is>
      </x:c>
      <x:c r="J377" s="31" t="inlineStr">
        <x:is>
          <x:t xml:space="preserve">Версия 7</x:t>
        </x:is>
      </x:c>
    </x:row>
    <x:row r="378">
      <x:c r="A378" s="31" t="inlineStr">
        <x:is>
          <x:t xml:space="preserve">МАР-0377</x:t>
        </x:is>
      </x:c>
      <x:c r="B378" s="31" t="inlineStr">
        <x:is>
          <x:t xml:space="preserve">ИЗД-045</x:t>
        </x:is>
      </x:c>
      <x:c r="C378" s="31" t="n">
        <x:v>80</x:v>
      </x:c>
      <x:c r="D378" s="31" t="inlineStr">
        <x:is>
          <x:t xml:space="preserve">ОТК</x:t>
        </x:is>
      </x:c>
      <x:c r="E378" s="31" t="inlineStr">
        <x:is>
          <x:t xml:space="preserve">ОТК</x:t>
        </x:is>
      </x:c>
      <x:c r="F378" s="31" t="inlineStr">
        <x:is>
          <x:t xml:space="preserve">ОБ-033</x:t>
        </x:is>
      </x:c>
      <x:c r="G378" s="31" t="n">
        <x:v>11.9</x:v>
      </x:c>
      <x:c r="H378" s="31" t="inlineStr">
        <x:is>
          <x:t xml:space="preserve">Да</x:t>
        </x:is>
      </x:c>
      <x:c r="I378" s="31" t="inlineStr">
        <x:is>
          <x:t xml:space="preserve">Нет</x:t>
        </x:is>
      </x:c>
      <x:c r="J378" s="31" t="inlineStr">
        <x:is>
          <x:t xml:space="preserve">Версия 7</x:t>
        </x:is>
      </x:c>
    </x:row>
    <x:row r="379">
      <x:c r="A379" s="31" t="inlineStr">
        <x:is>
          <x:t xml:space="preserve">МАР-0378</x:t>
        </x:is>
      </x:c>
      <x:c r="B379" s="31" t="inlineStr">
        <x:is>
          <x:t xml:space="preserve">ИЗД-045</x:t>
        </x:is>
      </x:c>
      <x:c r="C379" s="31" t="n">
        <x:v>90</x:v>
      </x:c>
      <x:c r="D379" s="31" t="inlineStr">
        <x:is>
          <x:t xml:space="preserve">Упаковка</x:t>
        </x:is>
      </x:c>
      <x:c r="E379" s="31" t="inlineStr">
        <x:is>
          <x:t xml:space="preserve">Логистика</x:t>
        </x:is>
      </x:c>
      <x:c r="F379" s="31" t="n"/>
      <x:c r="G379" s="31" t="n">
        <x:v>3</x:v>
      </x:c>
      <x:c r="H379" s="31" t="inlineStr">
        <x:is>
          <x:t xml:space="preserve">Нет</x:t>
        </x:is>
      </x:c>
      <x:c r="I379" s="31" t="inlineStr">
        <x:is>
          <x:t xml:space="preserve">Да</x:t>
        </x:is>
      </x:c>
      <x:c r="J379" s="31" t="inlineStr">
        <x:is>
          <x:t xml:space="preserve">Версия 7</x:t>
        </x:is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13" customWidth="1"/>
    <x:col min="2" max="2" width="13" customWidth="1"/>
    <x:col min="3" max="3" width="15" customWidth="1"/>
    <x:col min="4" max="4" width="38" customWidth="1"/>
    <x:col min="5" max="5" width="19" customWidth="1"/>
    <x:col min="6" max="6" width="18" customWidth="1"/>
    <x:col min="7" max="7" width="10" customWidth="1"/>
    <x:col min="8" max="8" width="19" customWidth="1"/>
    <x:col min="9" max="9" width="15" customWidth="1"/>
    <x:col min="10" max="10" width="21" customWidth="1"/>
  </x:cols>
  <x:sheetData>
    <x:row r="1" ht="18" customHeight="1">
      <x:c r="A1" s="30" t="inlineStr">
        <x:is>
          <x:t xml:space="preserve">Код состава</x:t>
        </x:is>
      </x:c>
      <x:c r="B1" s="30" t="inlineStr">
        <x:is>
          <x:t xml:space="preserve">Код изделия</x:t>
        </x:is>
      </x:c>
      <x:c r="C1" s="30" t="inlineStr">
        <x:is>
          <x:t xml:space="preserve">Код материала</x:t>
        </x:is>
      </x:c>
      <x:c r="D1" s="30" t="inlineStr">
        <x:is>
          <x:t xml:space="preserve">Материал</x:t>
        </x:is>
      </x:c>
      <x:c r="E1" s="30" t="inlineStr">
        <x:is>
          <x:t xml:space="preserve">Категория</x:t>
        </x:is>
      </x:c>
      <x:c r="F1" s="30" t="inlineStr">
        <x:is>
          <x:t xml:space="preserve">Норма на изделие</x:t>
        </x:is>
      </x:c>
      <x:c r="G1" s="30" t="inlineStr">
        <x:is>
          <x:t xml:space="preserve">Ед. изм.</x:t>
        </x:is>
      </x:c>
      <x:c r="H1" s="30" t="inlineStr">
        <x:is>
          <x:t xml:space="preserve">Тип использования</x:t>
        </x:is>
      </x:c>
      <x:c r="I1" s="30" t="inlineStr">
        <x:is>
          <x:t xml:space="preserve">Группа замены</x:t>
        </x:is>
      </x:c>
      <x:c r="J1" s="30" t="inlineStr">
        <x:is>
          <x:t xml:space="preserve">Критичный компонент</x:t>
        </x:is>
      </x:c>
    </x:row>
    <x:row r="2" ht="18" customHeight="1">
      <x:c r="A2" s="31" t="inlineStr">
        <x:is>
          <x:t xml:space="preserve">СОСТ-00001</x:t>
        </x:is>
      </x:c>
      <x:c r="B2" s="31" t="inlineStr">
        <x:is>
          <x:t xml:space="preserve">ИЗД-001</x:t>
        </x:is>
      </x:c>
      <x:c r="C2" s="31" t="inlineStr">
        <x:is>
          <x:t xml:space="preserve">МАТ-0020</x:t>
        </x:is>
      </x:c>
      <x:c r="D2" s="31" t="inlineStr">
        <x:is>
          <x:t xml:space="preserve">Насос дозировочный / исп.2</x:t>
        </x:is>
      </x:c>
      <x:c r="E2" s="31" t="inlineStr">
        <x:is>
          <x:t xml:space="preserve">Насосы</x:t>
        </x:is>
      </x:c>
      <x:c r="F2" s="31" t="n">
        <x:v>2.04</x:v>
      </x:c>
      <x:c r="G2" s="31" t="inlineStr">
        <x:is>
          <x:t xml:space="preserve">шт</x:t>
        </x:is>
      </x:c>
      <x:c r="H2" s="31" t="inlineStr">
        <x:is>
          <x:t xml:space="preserve">Обязательный</x:t>
        </x:is>
      </x:c>
      <x:c r="I2" s="31" t="inlineStr">
        <x:is>
          <x:t xml:space="preserve">ГЗ-НАС-1</x:t>
        </x:is>
      </x:c>
      <x:c r="J2" s="31" t="inlineStr">
        <x:is>
          <x:t xml:space="preserve">Нет</x:t>
        </x:is>
      </x:c>
    </x:row>
    <x:row r="3" ht="18" customHeight="1">
      <x:c r="A3" s="31" t="inlineStr">
        <x:is>
          <x:t xml:space="preserve">СОСТ-00002</x:t>
        </x:is>
      </x:c>
      <x:c r="B3" s="31" t="inlineStr">
        <x:is>
          <x:t xml:space="preserve">ИЗД-001</x:t>
        </x:is>
      </x:c>
      <x:c r="C3" s="31" t="inlineStr">
        <x:is>
          <x:t xml:space="preserve">МАТ-0023</x:t>
        </x:is>
      </x:c>
      <x:c r="D3" s="31" t="inlineStr">
        <x:is>
          <x:t xml:space="preserve">Рабочее колесо</x:t>
        </x:is>
      </x:c>
      <x:c r="E3" s="31" t="inlineStr">
        <x:is>
          <x:t xml:space="preserve">Насосы</x:t>
        </x:is>
      </x:c>
      <x:c r="F3" s="31" t="n">
        <x:v>3.11</x:v>
      </x:c>
      <x:c r="G3" s="31" t="inlineStr">
        <x:is>
          <x:t xml:space="preserve">шт</x:t>
        </x:is>
      </x:c>
      <x:c r="H3" s="31" t="inlineStr">
        <x:is>
          <x:t xml:space="preserve">Опция</x:t>
        </x:is>
      </x:c>
      <x:c r="I3" s="31" t="inlineStr">
        <x:is>
          <x:t xml:space="preserve">ГЗ-НАС-6</x:t>
        </x:is>
      </x:c>
      <x:c r="J3" s="31" t="inlineStr">
        <x:is>
          <x:t xml:space="preserve">Нет</x:t>
        </x:is>
      </x:c>
    </x:row>
    <x:row r="4" ht="18" customHeight="1">
      <x:c r="A4" s="31" t="inlineStr">
        <x:is>
          <x:t xml:space="preserve">СОСТ-00003</x:t>
        </x:is>
      </x:c>
      <x:c r="B4" s="31" t="inlineStr">
        <x:is>
          <x:t xml:space="preserve">ИЗД-001</x:t>
        </x:is>
      </x:c>
      <x:c r="C4" s="31" t="inlineStr">
        <x:is>
          <x:t xml:space="preserve">МАТ-0037</x:t>
        </x:is>
      </x:c>
      <x:c r="D4" s="31" t="inlineStr">
        <x:is>
          <x:t xml:space="preserve">Клапан электромагнитный 24В / исп.3</x:t>
        </x:is>
      </x:c>
      <x:c r="E4" s="31" t="inlineStr">
        <x:is>
          <x:t xml:space="preserve">КИПиА</x:t>
        </x:is>
      </x:c>
      <x:c r="F4" s="31" t="n">
        <x:v>2.02</x:v>
      </x:c>
      <x:c r="G4" s="31" t="inlineStr">
        <x:is>
          <x:t xml:space="preserve">шт</x:t>
        </x:is>
      </x:c>
      <x:c r="H4" s="31" t="inlineStr">
        <x:is>
          <x:t xml:space="preserve">Обязательный</x:t>
        </x:is>
      </x:c>
      <x:c r="I4" s="31" t="inlineStr">
        <x:is>
          <x:t xml:space="preserve">ГЗ-КИП-3</x:t>
        </x:is>
      </x:c>
      <x:c r="J4" s="31" t="inlineStr">
        <x:is>
          <x:t xml:space="preserve">Нет</x:t>
        </x:is>
      </x:c>
    </x:row>
    <x:row r="5" ht="18" customHeight="1">
      <x:c r="A5" s="31" t="inlineStr">
        <x:is>
          <x:t xml:space="preserve">СОСТ-00004</x:t>
        </x:is>
      </x:c>
      <x:c r="B5" s="31" t="inlineStr">
        <x:is>
          <x:t xml:space="preserve">ИЗД-001</x:t>
        </x:is>
      </x:c>
      <x:c r="C5" s="31" t="inlineStr">
        <x:is>
          <x:t xml:space="preserve">МАТ-0031</x:t>
        </x:is>
      </x:c>
      <x:c r="D5" s="31" t="inlineStr">
        <x:is>
          <x:t xml:space="preserve">Датчик давления 0-16 бар</x:t>
        </x:is>
      </x:c>
      <x:c r="E5" s="31" t="inlineStr">
        <x:is>
          <x:t xml:space="preserve">КИПиА</x:t>
        </x:is>
      </x:c>
      <x:c r="F5" s="31" t="n">
        <x:v>7.79</x:v>
      </x:c>
      <x:c r="G5" s="31" t="inlineStr">
        <x:is>
          <x:t xml:space="preserve">шт</x:t>
        </x:is>
      </x:c>
      <x:c r="H5" s="31" t="inlineStr">
        <x:is>
          <x:t xml:space="preserve">Обязательный</x:t>
        </x:is>
      </x:c>
      <x:c r="I5" s="31" t="inlineStr">
        <x:is>
          <x:t xml:space="preserve">ГЗ-КИП-7</x:t>
        </x:is>
      </x:c>
      <x:c r="J5" s="31" t="inlineStr">
        <x:is>
          <x:t xml:space="preserve">Нет</x:t>
        </x:is>
      </x:c>
    </x:row>
    <x:row r="6" ht="18" customHeight="1">
      <x:c r="A6" s="31" t="inlineStr">
        <x:is>
          <x:t xml:space="preserve">СОСТ-00005</x:t>
        </x:is>
      </x:c>
      <x:c r="B6" s="31" t="inlineStr">
        <x:is>
          <x:t xml:space="preserve">ИЗД-001</x:t>
        </x:is>
      </x:c>
      <x:c r="C6" s="31" t="inlineStr">
        <x:is>
          <x:t xml:space="preserve">МАТ-0055</x:t>
        </x:is>
      </x:c>
      <x:c r="D6" s="31" t="inlineStr">
        <x:is>
          <x:t xml:space="preserve">Клапан обратный Ду50</x:t>
        </x:is>
      </x:c>
      <x:c r="E6" s="31" t="inlineStr">
        <x:is>
          <x:t xml:space="preserve">Запорная арматура</x:t>
        </x:is>
      </x:c>
      <x:c r="F6" s="31" t="n">
        <x:v>4.32</x:v>
      </x:c>
      <x:c r="G6" s="31" t="inlineStr">
        <x:is>
          <x:t xml:space="preserve">шт</x:t>
        </x:is>
      </x:c>
      <x:c r="H6" s="31" t="inlineStr">
        <x:is>
          <x:t xml:space="preserve">Обязательный</x:t>
        </x:is>
      </x:c>
      <x:c r="I6" s="31" t="inlineStr">
        <x:is>
          <x:t xml:space="preserve">ГЗ-ЗАП-7</x:t>
        </x:is>
      </x:c>
      <x:c r="J6" s="31" t="inlineStr">
        <x:is>
          <x:t xml:space="preserve">Нет</x:t>
        </x:is>
      </x:c>
    </x:row>
    <x:row r="7" ht="18" customHeight="1">
      <x:c r="A7" s="31" t="inlineStr">
        <x:is>
          <x:t xml:space="preserve">СОСТ-00006</x:t>
        </x:is>
      </x:c>
      <x:c r="B7" s="31" t="inlineStr">
        <x:is>
          <x:t xml:space="preserve">ИЗД-001</x:t>
        </x:is>
      </x:c>
      <x:c r="C7" s="31" t="inlineStr">
        <x:is>
          <x:t xml:space="preserve">МАТ-0060</x:t>
        </x:is>
      </x:c>
      <x:c r="D7" s="31" t="inlineStr">
        <x:is>
          <x:t xml:space="preserve">Фильтр сетчатый Ду50 / исп.2</x:t>
        </x:is>
      </x:c>
      <x:c r="E7" s="31" t="inlineStr">
        <x:is>
          <x:t xml:space="preserve">Запорная арматура</x:t>
        </x:is>
      </x:c>
      <x:c r="F7" s="31" t="n">
        <x:v>5.67</x:v>
      </x:c>
      <x:c r="G7" s="31" t="inlineStr">
        <x:is>
          <x:t xml:space="preserve">шт</x:t>
        </x:is>
      </x:c>
      <x:c r="H7" s="31" t="inlineStr">
        <x:is>
          <x:t xml:space="preserve">Обязательный</x:t>
        </x:is>
      </x:c>
      <x:c r="I7" s="31" t="inlineStr">
        <x:is>
          <x:t xml:space="preserve">ГЗ-ЗАП-3</x:t>
        </x:is>
      </x:c>
      <x:c r="J7" s="31" t="inlineStr">
        <x:is>
          <x:t xml:space="preserve">Нет</x:t>
        </x:is>
      </x:c>
    </x:row>
    <x:row r="8" ht="18" customHeight="1">
      <x:c r="A8" s="31" t="inlineStr">
        <x:is>
          <x:t xml:space="preserve">СОСТ-00007</x:t>
        </x:is>
      </x:c>
      <x:c r="B8" s="31" t="inlineStr">
        <x:is>
          <x:t xml:space="preserve">ИЗД-001</x:t>
        </x:is>
      </x:c>
      <x:c r="C8" s="31" t="inlineStr">
        <x:is>
          <x:t xml:space="preserve">МАТ-0058</x:t>
        </x:is>
      </x:c>
      <x:c r="D8" s="31" t="inlineStr">
        <x:is>
          <x:t xml:space="preserve">Задвижка Ду100 / исп.3</x:t>
        </x:is>
      </x:c>
      <x:c r="E8" s="31" t="inlineStr">
        <x:is>
          <x:t xml:space="preserve">Запорная арматура</x:t>
        </x:is>
      </x:c>
      <x:c r="F8" s="31" t="n">
        <x:v>3.37</x:v>
      </x:c>
      <x:c r="G8" s="31" t="inlineStr">
        <x:is>
          <x:t xml:space="preserve">шт</x:t>
        </x:is>
      </x:c>
      <x:c r="H8" s="31" t="inlineStr">
        <x:is>
          <x:t xml:space="preserve">Обязательный</x:t>
        </x:is>
      </x:c>
      <x:c r="I8" s="31" t="inlineStr">
        <x:is>
          <x:t xml:space="preserve">ГЗ-ЗАП-2</x:t>
        </x:is>
      </x:c>
      <x:c r="J8" s="31" t="inlineStr">
        <x:is>
          <x:t xml:space="preserve">Нет</x:t>
        </x:is>
      </x:c>
    </x:row>
    <x:row r="9" ht="18" customHeight="1">
      <x:c r="A9" s="31" t="inlineStr">
        <x:is>
          <x:t xml:space="preserve">СОСТ-00008</x:t>
        </x:is>
      </x:c>
      <x:c r="B9" s="31" t="inlineStr">
        <x:is>
          <x:t xml:space="preserve">ИЗД-001</x:t>
        </x:is>
      </x:c>
      <x:c r="C9" s="31" t="inlineStr">
        <x:is>
          <x:t xml:space="preserve">МАТ-0077</x:t>
        </x:is>
      </x:c>
      <x:c r="D9" s="31" t="inlineStr">
        <x:is>
          <x:t xml:space="preserve">Болт М16</x:t>
        </x:is>
      </x:c>
      <x:c r="E9" s="31" t="inlineStr">
        <x:is>
          <x:t xml:space="preserve">Крепеж</x:t>
        </x:is>
      </x:c>
      <x:c r="F9" s="31" t="n">
        <x:v>5.75</x:v>
      </x:c>
      <x:c r="G9" s="31" t="inlineStr">
        <x:is>
          <x:t xml:space="preserve">шт</x:t>
        </x:is>
      </x:c>
      <x:c r="H9" s="31" t="inlineStr">
        <x:is>
          <x:t xml:space="preserve">Обязательный</x:t>
        </x:is>
      </x:c>
      <x:c r="I9" s="31" t="inlineStr">
        <x:is>
          <x:t xml:space="preserve">ГЗ-КРЕ-1</x:t>
        </x:is>
      </x:c>
      <x:c r="J9" s="31" t="inlineStr">
        <x:is>
          <x:t xml:space="preserve">Да</x:t>
        </x:is>
      </x:c>
    </x:row>
    <x:row r="10" ht="18" customHeight="1">
      <x:c r="A10" s="31" t="inlineStr">
        <x:is>
          <x:t xml:space="preserve">СОСТ-00009</x:t>
        </x:is>
      </x:c>
      <x:c r="B10" s="31" t="inlineStr">
        <x:is>
          <x:t xml:space="preserve">ИЗД-001</x:t>
        </x:is>
      </x:c>
      <x:c r="C10" s="31" t="inlineStr">
        <x:is>
          <x:t xml:space="preserve">МАТ-0085</x:t>
        </x:is>
      </x:c>
      <x:c r="D10" s="31" t="inlineStr">
        <x:is>
          <x:t xml:space="preserve">Пленка стрейч</x:t>
        </x:is>
      </x:c>
      <x:c r="E10" s="31" t="inlineStr">
        <x:is>
          <x:t xml:space="preserve">Упаковка</x:t>
        </x:is>
      </x:c>
      <x:c r="F10" s="31" t="n">
        <x:v>4.12</x:v>
      </x:c>
      <x:c r="G10" s="31" t="inlineStr">
        <x:is>
          <x:t xml:space="preserve">шт</x:t>
        </x:is>
      </x:c>
      <x:c r="H10" s="31" t="inlineStr">
        <x:is>
          <x:t xml:space="preserve">Обязательный</x:t>
        </x:is>
      </x:c>
      <x:c r="I10" s="31" t="inlineStr">
        <x:is>
          <x:t xml:space="preserve">ГЗ-УПА-5</x:t>
        </x:is>
      </x:c>
      <x:c r="J10" s="31" t="inlineStr">
        <x:is>
          <x:t xml:space="preserve">Да</x:t>
        </x:is>
      </x:c>
    </x:row>
    <x:row r="11" ht="18" customHeight="1">
      <x:c r="A11" s="31" t="inlineStr">
        <x:is>
          <x:t xml:space="preserve">СОСТ-00010</x:t>
        </x:is>
      </x:c>
      <x:c r="B11" s="31" t="inlineStr">
        <x:is>
          <x:t xml:space="preserve">ИЗД-001</x:t>
        </x:is>
      </x:c>
      <x:c r="C11" s="31" t="inlineStr">
        <x:is>
          <x:t xml:space="preserve">МАТ-0089</x:t>
        </x:is>
      </x:c>
      <x:c r="D11" s="31" t="inlineStr">
        <x:is>
          <x:t xml:space="preserve">Маркировочная этикетка</x:t>
        </x:is>
      </x:c>
      <x:c r="E11" s="31" t="inlineStr">
        <x:is>
          <x:t xml:space="preserve">Упаковка</x:t>
        </x:is>
      </x:c>
      <x:c r="F11" s="31" t="n">
        <x:v>2.37</x:v>
      </x:c>
      <x:c r="G11" s="31" t="inlineStr">
        <x:is>
          <x:t xml:space="preserve">шт</x:t>
        </x:is>
      </x:c>
      <x:c r="H11" s="31" t="inlineStr">
        <x:is>
          <x:t xml:space="preserve">Обязательный</x:t>
        </x:is>
      </x:c>
      <x:c r="I11" s="31" t="inlineStr">
        <x:is>
          <x:t xml:space="preserve">ГЗ-УПА-7</x:t>
        </x:is>
      </x:c>
      <x:c r="J11" s="31" t="inlineStr">
        <x:is>
          <x:t xml:space="preserve">Нет</x:t>
        </x:is>
      </x:c>
    </x:row>
    <x:row r="12" ht="18" customHeight="1">
      <x:c r="A12" s="31" t="inlineStr">
        <x:is>
          <x:t xml:space="preserve">СОСТ-00011</x:t>
        </x:is>
      </x:c>
      <x:c r="B12" s="31" t="inlineStr">
        <x:is>
          <x:t xml:space="preserve">ИЗД-001</x:t>
        </x:is>
      </x:c>
      <x:c r="C12" s="31" t="inlineStr">
        <x:is>
          <x:t xml:space="preserve">МАТ-0086</x:t>
        </x:is>
      </x:c>
      <x:c r="D12" s="31" t="inlineStr">
        <x:is>
          <x:t xml:space="preserve">Пленка стрейч / исп.2</x:t>
        </x:is>
      </x:c>
      <x:c r="E12" s="31" t="inlineStr">
        <x:is>
          <x:t xml:space="preserve">Упаковка</x:t>
        </x:is>
      </x:c>
      <x:c r="F12" s="31" t="n">
        <x:v>2.37</x:v>
      </x:c>
      <x:c r="G12" s="31" t="inlineStr">
        <x:is>
          <x:t xml:space="preserve">шт</x:t>
        </x:is>
      </x:c>
      <x:c r="H12" s="31" t="inlineStr">
        <x:is>
          <x:t xml:space="preserve">Обязательный</x:t>
        </x:is>
      </x:c>
      <x:c r="I12" s="31" t="inlineStr">
        <x:is>
          <x:t xml:space="preserve">ГЗ-УПА-4</x:t>
        </x:is>
      </x:c>
      <x:c r="J12" s="31" t="inlineStr">
        <x:is>
          <x:t xml:space="preserve">Нет</x:t>
        </x:is>
      </x:c>
    </x:row>
    <x:row r="13" ht="18" customHeight="1">
      <x:c r="A13" s="31" t="inlineStr">
        <x:is>
          <x:t xml:space="preserve">СОСТ-00012</x:t>
        </x:is>
      </x:c>
      <x:c r="B13" s="31" t="inlineStr">
        <x:is>
          <x:t xml:space="preserve">ИЗД-002</x:t>
        </x:is>
      </x:c>
      <x:c r="C13" s="31" t="inlineStr">
        <x:is>
          <x:t xml:space="preserve">МАТ-0048</x:t>
        </x:is>
      </x:c>
      <x:c r="D13" s="31" t="inlineStr">
        <x:is>
          <x:t xml:space="preserve">Контактор 25А / исп.3</x:t>
        </x:is>
      </x:c>
      <x:c r="E13" s="31" t="inlineStr">
        <x:is>
          <x:t xml:space="preserve">ПЛК/электрика</x:t>
        </x:is>
      </x:c>
      <x:c r="F13" s="31" t="n">
        <x:v>7.7</x:v>
      </x:c>
      <x:c r="G13" s="31" t="inlineStr">
        <x:is>
          <x:t xml:space="preserve">шт</x:t>
        </x:is>
      </x:c>
      <x:c r="H13" s="31" t="inlineStr">
        <x:is>
          <x:t xml:space="preserve">Замена</x:t>
        </x:is>
      </x:c>
      <x:c r="I13" s="31" t="inlineStr">
        <x:is>
          <x:t xml:space="preserve">ГЗ-ПЛК-2</x:t>
        </x:is>
      </x:c>
      <x:c r="J13" s="31" t="inlineStr">
        <x:is>
          <x:t xml:space="preserve">Нет</x:t>
        </x:is>
      </x:c>
    </x:row>
    <x:row r="14" ht="18" customHeight="1">
      <x:c r="A14" s="31" t="inlineStr">
        <x:is>
          <x:t xml:space="preserve">СОСТ-00013</x:t>
        </x:is>
      </x:c>
      <x:c r="B14" s="31" t="inlineStr">
        <x:is>
          <x:t xml:space="preserve">ИЗД-002</x:t>
        </x:is>
      </x:c>
      <x:c r="C14" s="31" t="inlineStr">
        <x:is>
          <x:t xml:space="preserve">МАТ-0045</x:t>
        </x:is>
      </x:c>
      <x:c r="D14" s="31" t="inlineStr">
        <x:is>
          <x:t xml:space="preserve">Автоматический выключатель 16А</x:t>
        </x:is>
      </x:c>
      <x:c r="E14" s="31" t="inlineStr">
        <x:is>
          <x:t xml:space="preserve">ПЛК/электрика</x:t>
        </x:is>
      </x:c>
      <x:c r="F14" s="31" t="n">
        <x:v>3.22</x:v>
      </x:c>
      <x:c r="G14" s="31" t="inlineStr">
        <x:is>
          <x:t xml:space="preserve">шт</x:t>
        </x:is>
      </x:c>
      <x:c r="H14" s="31" t="inlineStr">
        <x:is>
          <x:t xml:space="preserve">Обязательный</x:t>
        </x:is>
      </x:c>
      <x:c r="I14" s="31" t="inlineStr">
        <x:is>
          <x:t xml:space="preserve">ГЗ-ПЛК-2</x:t>
        </x:is>
      </x:c>
      <x:c r="J14" s="31" t="inlineStr">
        <x:is>
          <x:t xml:space="preserve">Нет</x:t>
        </x:is>
      </x:c>
    </x:row>
    <x:row r="15" ht="18" customHeight="1">
      <x:c r="A15" s="31" t="inlineStr">
        <x:is>
          <x:t xml:space="preserve">СОСТ-00014</x:t>
        </x:is>
      </x:c>
      <x:c r="B15" s="31" t="inlineStr">
        <x:is>
          <x:t xml:space="preserve">ИЗД-002</x:t>
        </x:is>
      </x:c>
      <x:c r="C15" s="31" t="inlineStr">
        <x:is>
          <x:t xml:space="preserve">МАТ-0048</x:t>
        </x:is>
      </x:c>
      <x:c r="D15" s="31" t="inlineStr">
        <x:is>
          <x:t xml:space="preserve">Контактор 25А / исп.3</x:t>
        </x:is>
      </x:c>
      <x:c r="E15" s="31" t="inlineStr">
        <x:is>
          <x:t xml:space="preserve">ПЛК/электрика</x:t>
        </x:is>
      </x:c>
      <x:c r="F15" s="31" t="n">
        <x:v>3.53</x:v>
      </x:c>
      <x:c r="G15" s="31" t="inlineStr">
        <x:is>
          <x:t xml:space="preserve">шт</x:t>
        </x:is>
      </x:c>
      <x:c r="H15" s="31" t="inlineStr">
        <x:is>
          <x:t xml:space="preserve">Обязательный</x:t>
        </x:is>
      </x:c>
      <x:c r="I15" s="31" t="inlineStr">
        <x:is>
          <x:t xml:space="preserve">ГЗ-ПЛК-2</x:t>
        </x:is>
      </x:c>
      <x:c r="J15" s="31" t="inlineStr">
        <x:is>
          <x:t xml:space="preserve">Нет</x:t>
        </x:is>
      </x:c>
    </x:row>
    <x:row r="16" ht="18" customHeight="1">
      <x:c r="A16" s="31" t="inlineStr">
        <x:is>
          <x:t xml:space="preserve">СОСТ-00015</x:t>
        </x:is>
      </x:c>
      <x:c r="B16" s="31" t="inlineStr">
        <x:is>
          <x:t xml:space="preserve">ИЗД-002</x:t>
        </x:is>
      </x:c>
      <x:c r="C16" s="31" t="inlineStr">
        <x:is>
          <x:t xml:space="preserve">МАТ-0065</x:t>
        </x:is>
      </x:c>
      <x:c r="D16" s="31" t="inlineStr">
        <x:is>
          <x:t xml:space="preserve">Гофра металлическая</x:t>
        </x:is>
      </x:c>
      <x:c r="E16" s="31" t="inlineStr">
        <x:is>
          <x:t xml:space="preserve">Кабель</x:t>
        </x:is>
      </x:c>
      <x:c r="F16" s="31" t="n">
        <x:v>3.61</x:v>
      </x:c>
      <x:c r="G16" s="31" t="inlineStr">
        <x:is>
          <x:t xml:space="preserve">шт</x:t>
        </x:is>
      </x:c>
      <x:c r="H16" s="31" t="inlineStr">
        <x:is>
          <x:t xml:space="preserve">Обязательный</x:t>
        </x:is>
      </x:c>
      <x:c r="I16" s="31" t="inlineStr">
        <x:is>
          <x:t xml:space="preserve">ГЗ-КАБ-2</x:t>
        </x:is>
      </x:c>
      <x:c r="J16" s="31" t="inlineStr">
        <x:is>
          <x:t xml:space="preserve">Нет</x:t>
        </x:is>
      </x:c>
    </x:row>
    <x:row r="17" ht="18" customHeight="1">
      <x:c r="A17" s="31" t="inlineStr">
        <x:is>
          <x:t xml:space="preserve">СОСТ-00016</x:t>
        </x:is>
      </x:c>
      <x:c r="B17" s="31" t="inlineStr">
        <x:is>
          <x:t xml:space="preserve">ИЗД-002</x:t>
        </x:is>
      </x:c>
      <x:c r="C17" s="31" t="inlineStr">
        <x:is>
          <x:t xml:space="preserve">МАТ-0065</x:t>
        </x:is>
      </x:c>
      <x:c r="D17" s="31" t="inlineStr">
        <x:is>
          <x:t xml:space="preserve">Гофра металлическая</x:t>
        </x:is>
      </x:c>
      <x:c r="E17" s="31" t="inlineStr">
        <x:is>
          <x:t xml:space="preserve">Кабель</x:t>
        </x:is>
      </x:c>
      <x:c r="F17" s="31" t="n">
        <x:v>7.12</x:v>
      </x:c>
      <x:c r="G17" s="31" t="inlineStr">
        <x:is>
          <x:t xml:space="preserve">шт</x:t>
        </x:is>
      </x:c>
      <x:c r="H17" s="31" t="inlineStr">
        <x:is>
          <x:t xml:space="preserve">Обязательный</x:t>
        </x:is>
      </x:c>
      <x:c r="I17" s="31" t="inlineStr">
        <x:is>
          <x:t xml:space="preserve">ГЗ-КАБ-2</x:t>
        </x:is>
      </x:c>
      <x:c r="J17" s="31" t="inlineStr">
        <x:is>
          <x:t xml:space="preserve">Нет</x:t>
        </x:is>
      </x:c>
    </x:row>
    <x:row r="18" ht="18" customHeight="1">
      <x:c r="A18" s="31" t="inlineStr">
        <x:is>
          <x:t xml:space="preserve">СОСТ-00017</x:t>
        </x:is>
      </x:c>
      <x:c r="B18" s="31" t="inlineStr">
        <x:is>
          <x:t xml:space="preserve">ИЗД-002</x:t>
        </x:is>
      </x:c>
      <x:c r="C18" s="31" t="inlineStr">
        <x:is>
          <x:t xml:space="preserve">МАТ-0036</x:t>
        </x:is>
      </x:c>
      <x:c r="D18" s="31" t="inlineStr">
        <x:is>
          <x:t xml:space="preserve">Клапан электромагнитный 24В / исп.2</x:t>
        </x:is>
      </x:c>
      <x:c r="E18" s="31" t="inlineStr">
        <x:is>
          <x:t xml:space="preserve">КИПиА</x:t>
        </x:is>
      </x:c>
      <x:c r="F18" s="31" t="n">
        <x:v>7.95</x:v>
      </x:c>
      <x:c r="G18" s="31" t="inlineStr">
        <x:is>
          <x:t xml:space="preserve">шт</x:t>
        </x:is>
      </x:c>
      <x:c r="H18" s="31" t="inlineStr">
        <x:is>
          <x:t xml:space="preserve">Обязательный</x:t>
        </x:is>
      </x:c>
      <x:c r="I18" s="31" t="inlineStr">
        <x:is>
          <x:t xml:space="preserve">ГЗ-КИП-6</x:t>
        </x:is>
      </x:c>
      <x:c r="J18" s="31" t="inlineStr">
        <x:is>
          <x:t xml:space="preserve">Нет</x:t>
        </x:is>
      </x:c>
    </x:row>
    <x:row r="19" ht="18" customHeight="1">
      <x:c r="A19" s="31" t="inlineStr">
        <x:is>
          <x:t xml:space="preserve">СОСТ-00018</x:t>
        </x:is>
      </x:c>
      <x:c r="B19" s="31" t="inlineStr">
        <x:is>
          <x:t xml:space="preserve">ИЗД-002</x:t>
        </x:is>
      </x:c>
      <x:c r="C19" s="31" t="inlineStr">
        <x:is>
          <x:t xml:space="preserve">МАТ-0037</x:t>
        </x:is>
      </x:c>
      <x:c r="D19" s="31" t="inlineStr">
        <x:is>
          <x:t xml:space="preserve">Клапан электромагнитный 24В / исп.3</x:t>
        </x:is>
      </x:c>
      <x:c r="E19" s="31" t="inlineStr">
        <x:is>
          <x:t xml:space="preserve">КИПиА</x:t>
        </x:is>
      </x:c>
      <x:c r="F19" s="31" t="n">
        <x:v>6.1</x:v>
      </x:c>
      <x:c r="G19" s="31" t="inlineStr">
        <x:is>
          <x:t xml:space="preserve">шт</x:t>
        </x:is>
      </x:c>
      <x:c r="H19" s="31" t="inlineStr">
        <x:is>
          <x:t xml:space="preserve">Опция</x:t>
        </x:is>
      </x:c>
      <x:c r="I19" s="31" t="inlineStr">
        <x:is>
          <x:t xml:space="preserve">ГЗ-КИП-3</x:t>
        </x:is>
      </x:c>
      <x:c r="J19" s="31" t="inlineStr">
        <x:is>
          <x:t xml:space="preserve">Нет</x:t>
        </x:is>
      </x:c>
    </x:row>
    <x:row r="20" ht="18" customHeight="1">
      <x:c r="A20" s="31" t="inlineStr">
        <x:is>
          <x:t xml:space="preserve">СОСТ-00019</x:t>
        </x:is>
      </x:c>
      <x:c r="B20" s="31" t="inlineStr">
        <x:is>
          <x:t xml:space="preserve">ИЗД-002</x:t>
        </x:is>
      </x:c>
      <x:c r="C20" s="31" t="inlineStr">
        <x:is>
          <x:t xml:space="preserve">МАТ-0077</x:t>
        </x:is>
      </x:c>
      <x:c r="D20" s="31" t="inlineStr">
        <x:is>
          <x:t xml:space="preserve">Болт М16</x:t>
        </x:is>
      </x:c>
      <x:c r="E20" s="31" t="inlineStr">
        <x:is>
          <x:t xml:space="preserve">Крепеж</x:t>
        </x:is>
      </x:c>
      <x:c r="F20" s="31" t="n">
        <x:v>6.85</x:v>
      </x:c>
      <x:c r="G20" s="31" t="inlineStr">
        <x:is>
          <x:t xml:space="preserve">шт</x:t>
        </x:is>
      </x:c>
      <x:c r="H20" s="31" t="inlineStr">
        <x:is>
          <x:t xml:space="preserve">Обязательный</x:t>
        </x:is>
      </x:c>
      <x:c r="I20" s="31" t="inlineStr">
        <x:is>
          <x:t xml:space="preserve">ГЗ-КРЕ-1</x:t>
        </x:is>
      </x:c>
      <x:c r="J20" s="31" t="inlineStr">
        <x:is>
          <x:t xml:space="preserve">Нет</x:t>
        </x:is>
      </x:c>
    </x:row>
    <x:row r="21" ht="18" customHeight="1">
      <x:c r="A21" s="31" t="inlineStr">
        <x:is>
          <x:t xml:space="preserve">СОСТ-00020</x:t>
        </x:is>
      </x:c>
      <x:c r="B21" s="31" t="inlineStr">
        <x:is>
          <x:t xml:space="preserve">ИЗД-002</x:t>
        </x:is>
      </x:c>
      <x:c r="C21" s="31" t="inlineStr">
        <x:is>
          <x:t xml:space="preserve">МАТ-0079</x:t>
        </x:is>
      </x:c>
      <x:c r="D21" s="31" t="inlineStr">
        <x:is>
          <x:t xml:space="preserve">Гайка М12 / исп.2</x:t>
        </x:is>
      </x:c>
      <x:c r="E21" s="31" t="inlineStr">
        <x:is>
          <x:t xml:space="preserve">Крепеж</x:t>
        </x:is>
      </x:c>
      <x:c r="F21" s="31" t="n">
        <x:v>4.32</x:v>
      </x:c>
      <x:c r="G21" s="31" t="inlineStr">
        <x:is>
          <x:t xml:space="preserve">шт</x:t>
        </x:is>
      </x:c>
      <x:c r="H21" s="31" t="inlineStr">
        <x:is>
          <x:t xml:space="preserve">Обязательный</x:t>
        </x:is>
      </x:c>
      <x:c r="I21" s="31" t="inlineStr">
        <x:is>
          <x:t xml:space="preserve">ГЗ-КРЕ-9</x:t>
        </x:is>
      </x:c>
      <x:c r="J21" s="31" t="inlineStr">
        <x:is>
          <x:t xml:space="preserve">Нет</x:t>
        </x:is>
      </x:c>
    </x:row>
    <x:row r="22" ht="18" customHeight="1">
      <x:c r="A22" s="31" t="inlineStr">
        <x:is>
          <x:t xml:space="preserve">СОСТ-00021</x:t>
        </x:is>
      </x:c>
      <x:c r="B22" s="31" t="inlineStr">
        <x:is>
          <x:t xml:space="preserve">ИЗД-002</x:t>
        </x:is>
      </x:c>
      <x:c r="C22" s="31" t="inlineStr">
        <x:is>
          <x:t xml:space="preserve">МАТ-0088</x:t>
        </x:is>
      </x:c>
      <x:c r="D22" s="31" t="inlineStr">
        <x:is>
          <x:t xml:space="preserve">Ящик фанерный / исп.2</x:t>
        </x:is>
      </x:c>
      <x:c r="E22" s="31" t="inlineStr">
        <x:is>
          <x:t xml:space="preserve">Упаковка</x:t>
        </x:is>
      </x:c>
      <x:c r="F22" s="31" t="n">
        <x:v>6.29</x:v>
      </x:c>
      <x:c r="G22" s="31" t="inlineStr">
        <x:is>
          <x:t xml:space="preserve">шт</x:t>
        </x:is>
      </x:c>
      <x:c r="H22" s="31" t="inlineStr">
        <x:is>
          <x:t xml:space="preserve">Обязательный</x:t>
        </x:is>
      </x:c>
      <x:c r="I22" s="31" t="inlineStr">
        <x:is>
          <x:t xml:space="preserve">ГЗ-УПА-4</x:t>
        </x:is>
      </x:c>
      <x:c r="J22" s="31" t="inlineStr">
        <x:is>
          <x:t xml:space="preserve">Нет</x:t>
        </x:is>
      </x:c>
    </x:row>
    <x:row r="23" ht="18" customHeight="1">
      <x:c r="A23" s="31" t="inlineStr">
        <x:is>
          <x:t xml:space="preserve">СОСТ-00022</x:t>
        </x:is>
      </x:c>
      <x:c r="B23" s="31" t="inlineStr">
        <x:is>
          <x:t xml:space="preserve">ИЗД-003</x:t>
        </x:is>
      </x:c>
      <x:c r="C23" s="31" t="inlineStr">
        <x:is>
          <x:t xml:space="preserve">МАТ-0007</x:t>
        </x:is>
      </x:c>
      <x:c r="D23" s="31" t="inlineStr">
        <x:is>
          <x:t xml:space="preserve">Труба нержавеющая 38×3 / исп.2</x:t>
        </x:is>
      </x:c>
      <x:c r="E23" s="31" t="inlineStr">
        <x:is>
          <x:t xml:space="preserve">Металл</x:t>
        </x:is>
      </x:c>
      <x:c r="F23" s="31" t="n">
        <x:v>38.05</x:v>
      </x:c>
      <x:c r="G23" s="31" t="inlineStr">
        <x:is>
          <x:t xml:space="preserve">л</x:t>
        </x:is>
      </x:c>
      <x:c r="H23" s="31" t="inlineStr">
        <x:is>
          <x:t xml:space="preserve">Обязательный</x:t>
        </x:is>
      </x:c>
      <x:c r="I23" s="31" t="inlineStr">
        <x:is>
          <x:t xml:space="preserve">ГЗ-МЕТ-3</x:t>
        </x:is>
      </x:c>
      <x:c r="J23" s="31" t="inlineStr">
        <x:is>
          <x:t xml:space="preserve">Нет</x:t>
        </x:is>
      </x:c>
    </x:row>
    <x:row r="24" ht="18" customHeight="1">
      <x:c r="A24" s="31" t="inlineStr">
        <x:is>
          <x:t xml:space="preserve">СОСТ-00023</x:t>
        </x:is>
      </x:c>
      <x:c r="B24" s="31" t="inlineStr">
        <x:is>
          <x:t xml:space="preserve">ИЗД-003</x:t>
        </x:is>
      </x:c>
      <x:c r="C24" s="31" t="inlineStr">
        <x:is>
          <x:t xml:space="preserve">МАТ-0004</x:t>
        </x:is>
      </x:c>
      <x:c r="D24" s="31" t="inlineStr">
        <x:is>
          <x:t xml:space="preserve">Лист стальной 09Г2С 12 мм / исп.3</x:t>
        </x:is>
      </x:c>
      <x:c r="E24" s="31" t="inlineStr">
        <x:is>
          <x:t xml:space="preserve">Металл</x:t>
        </x:is>
      </x:c>
      <x:c r="F24" s="31" t="n">
        <x:v>31.78</x:v>
      </x:c>
      <x:c r="G24" s="31" t="inlineStr">
        <x:is>
          <x:t xml:space="preserve">л</x:t>
        </x:is>
      </x:c>
      <x:c r="H24" s="31" t="inlineStr">
        <x:is>
          <x:t xml:space="preserve">Обязательный</x:t>
        </x:is>
      </x:c>
      <x:c r="I24" s="31" t="inlineStr">
        <x:is>
          <x:t xml:space="preserve">ГЗ-МЕТ-3</x:t>
        </x:is>
      </x:c>
      <x:c r="J24" s="31" t="inlineStr">
        <x:is>
          <x:t xml:space="preserve">Да</x:t>
        </x:is>
      </x:c>
    </x:row>
    <x:row r="25" ht="18" customHeight="1">
      <x:c r="A25" s="31" t="inlineStr">
        <x:is>
          <x:t xml:space="preserve">СОСТ-00024</x:t>
        </x:is>
      </x:c>
      <x:c r="B25" s="31" t="inlineStr">
        <x:is>
          <x:t xml:space="preserve">ИЗД-003</x:t>
        </x:is>
      </x:c>
      <x:c r="C25" s="31" t="inlineStr">
        <x:is>
          <x:t xml:space="preserve">МАТ-0024</x:t>
        </x:is>
      </x:c>
      <x:c r="D25" s="31" t="inlineStr">
        <x:is>
          <x:t xml:space="preserve">Рабочее колесо / исп.2</x:t>
        </x:is>
      </x:c>
      <x:c r="E25" s="31" t="inlineStr">
        <x:is>
          <x:t xml:space="preserve">Насосы</x:t>
        </x:is>
      </x:c>
      <x:c r="F25" s="31" t="n">
        <x:v>3.13</x:v>
      </x:c>
      <x:c r="G25" s="31" t="inlineStr">
        <x:is>
          <x:t xml:space="preserve">шт</x:t>
        </x:is>
      </x:c>
      <x:c r="H25" s="31" t="inlineStr">
        <x:is>
          <x:t xml:space="preserve">Обязательный</x:t>
        </x:is>
      </x:c>
      <x:c r="I25" s="31" t="inlineStr">
        <x:is>
          <x:t xml:space="preserve">ГЗ-НАС-7</x:t>
        </x:is>
      </x:c>
      <x:c r="J25" s="31" t="inlineStr">
        <x:is>
          <x:t xml:space="preserve">Нет</x:t>
        </x:is>
      </x:c>
    </x:row>
    <x:row r="26" ht="18" customHeight="1">
      <x:c r="A26" s="31" t="inlineStr">
        <x:is>
          <x:t xml:space="preserve">СОСТ-00025</x:t>
        </x:is>
      </x:c>
      <x:c r="B26" s="31" t="inlineStr">
        <x:is>
          <x:t xml:space="preserve">ИЗД-003</x:t>
        </x:is>
      </x:c>
      <x:c r="C26" s="31" t="inlineStr">
        <x:is>
          <x:t xml:space="preserve">МАТ-0015</x:t>
        </x:is>
      </x:c>
      <x:c r="D26" s="31" t="inlineStr">
        <x:is>
          <x:t xml:space="preserve">Насос центробежный 15 кВт</x:t>
        </x:is>
      </x:c>
      <x:c r="E26" s="31" t="inlineStr">
        <x:is>
          <x:t xml:space="preserve">Насосы</x:t>
        </x:is>
      </x:c>
      <x:c r="F26" s="31" t="n">
        <x:v>6.54</x:v>
      </x:c>
      <x:c r="G26" s="31" t="inlineStr">
        <x:is>
          <x:t xml:space="preserve">шт</x:t>
        </x:is>
      </x:c>
      <x:c r="H26" s="31" t="inlineStr">
        <x:is>
          <x:t xml:space="preserve">Обязательный</x:t>
        </x:is>
      </x:c>
      <x:c r="I26" s="31" t="inlineStr">
        <x:is>
          <x:t xml:space="preserve">ГЗ-НАС-2</x:t>
        </x:is>
      </x:c>
      <x:c r="J26" s="31" t="inlineStr">
        <x:is>
          <x:t xml:space="preserve">Нет</x:t>
        </x:is>
      </x:c>
    </x:row>
    <x:row r="27" ht="18" customHeight="1">
      <x:c r="A27" s="31" t="inlineStr">
        <x:is>
          <x:t xml:space="preserve">СОСТ-00026</x:t>
        </x:is>
      </x:c>
      <x:c r="B27" s="31" t="inlineStr">
        <x:is>
          <x:t xml:space="preserve">ИЗД-003</x:t>
        </x:is>
      </x:c>
      <x:c r="C27" s="31" t="inlineStr">
        <x:is>
          <x:t xml:space="preserve">МАТ-0030</x:t>
        </x:is>
      </x:c>
      <x:c r="D27" s="31" t="inlineStr">
        <x:is>
          <x:t xml:space="preserve">Частотный преобразователь 22 кВт / исп.2</x:t>
        </x:is>
      </x:c>
      <x:c r="E27" s="31" t="inlineStr">
        <x:is>
          <x:t xml:space="preserve">Электродвигатели</x:t>
        </x:is>
      </x:c>
      <x:c r="F27" s="31" t="n">
        <x:v>4.31</x:v>
      </x:c>
      <x:c r="G27" s="31" t="inlineStr">
        <x:is>
          <x:t xml:space="preserve">шт</x:t>
        </x:is>
      </x:c>
      <x:c r="H27" s="31" t="inlineStr">
        <x:is>
          <x:t xml:space="preserve">Обязательный</x:t>
        </x:is>
      </x:c>
      <x:c r="I27" s="31" t="inlineStr">
        <x:is>
          <x:t xml:space="preserve">ГЗ-ЭЛЕ-1</x:t>
        </x:is>
      </x:c>
      <x:c r="J27" s="31" t="inlineStr">
        <x:is>
          <x:t xml:space="preserve">Нет</x:t>
        </x:is>
      </x:c>
    </x:row>
    <x:row r="28" ht="18" customHeight="1">
      <x:c r="A28" s="31" t="inlineStr">
        <x:is>
          <x:t xml:space="preserve">СОСТ-00027</x:t>
        </x:is>
      </x:c>
      <x:c r="B28" s="31" t="inlineStr">
        <x:is>
          <x:t xml:space="preserve">ИЗД-003</x:t>
        </x:is>
      </x:c>
      <x:c r="C28" s="31" t="inlineStr">
        <x:is>
          <x:t xml:space="preserve">МАТ-0028</x:t>
        </x:is>
      </x:c>
      <x:c r="D28" s="31" t="inlineStr">
        <x:is>
          <x:t xml:space="preserve">Частотный преобразователь 15 кВт</x:t>
        </x:is>
      </x:c>
      <x:c r="E28" s="31" t="inlineStr">
        <x:is>
          <x:t xml:space="preserve">Электродвигатели</x:t>
        </x:is>
      </x:c>
      <x:c r="F28" s="31" t="n">
        <x:v>2.26</x:v>
      </x:c>
      <x:c r="G28" s="31" t="inlineStr">
        <x:is>
          <x:t xml:space="preserve">шт</x:t>
        </x:is>
      </x:c>
      <x:c r="H28" s="31" t="inlineStr">
        <x:is>
          <x:t xml:space="preserve">Опция</x:t>
        </x:is>
      </x:c>
      <x:c r="I28" s="31" t="inlineStr">
        <x:is>
          <x:t xml:space="preserve">ГЗ-ЭЛЕ-3</x:t>
        </x:is>
      </x:c>
      <x:c r="J28" s="31" t="inlineStr">
        <x:is>
          <x:t xml:space="preserve">Нет</x:t>
        </x:is>
      </x:c>
    </x:row>
    <x:row r="29" ht="18" customHeight="1">
      <x:c r="A29" s="31" t="inlineStr">
        <x:is>
          <x:t xml:space="preserve">СОСТ-00028</x:t>
        </x:is>
      </x:c>
      <x:c r="B29" s="31" t="inlineStr">
        <x:is>
          <x:t xml:space="preserve">ИЗД-003</x:t>
        </x:is>
      </x:c>
      <x:c r="C29" s="31" t="inlineStr">
        <x:is>
          <x:t xml:space="preserve">МАТ-0025</x:t>
        </x:is>
      </x:c>
      <x:c r="D29" s="31" t="inlineStr">
        <x:is>
          <x:t xml:space="preserve">Двигатель 7.5 кВт</x:t>
        </x:is>
      </x:c>
      <x:c r="E29" s="31" t="inlineStr">
        <x:is>
          <x:t xml:space="preserve">Электродвигатели</x:t>
        </x:is>
      </x:c>
      <x:c r="F29" s="31" t="n">
        <x:v>1.84</x:v>
      </x:c>
      <x:c r="G29" s="31" t="inlineStr">
        <x:is>
          <x:t xml:space="preserve">шт</x:t>
        </x:is>
      </x:c>
      <x:c r="H29" s="31" t="inlineStr">
        <x:is>
          <x:t xml:space="preserve">Обязательный</x:t>
        </x:is>
      </x:c>
      <x:c r="I29" s="31" t="inlineStr">
        <x:is>
          <x:t xml:space="preserve">ГЗ-ЭЛЕ-6</x:t>
        </x:is>
      </x:c>
      <x:c r="J29" s="31" t="inlineStr">
        <x:is>
          <x:t xml:space="preserve">Нет</x:t>
        </x:is>
      </x:c>
    </x:row>
    <x:row r="30" ht="18" customHeight="1">
      <x:c r="A30" s="31" t="inlineStr">
        <x:is>
          <x:t xml:space="preserve">СОСТ-00029</x:t>
        </x:is>
      </x:c>
      <x:c r="B30" s="31" t="inlineStr">
        <x:is>
          <x:t xml:space="preserve">ИЗД-003</x:t>
        </x:is>
      </x:c>
      <x:c r="C30" s="31" t="inlineStr">
        <x:is>
          <x:t xml:space="preserve">МАТ-0035</x:t>
        </x:is>
      </x:c>
      <x:c r="D30" s="31" t="inlineStr">
        <x:is>
          <x:t xml:space="preserve">Клапан электромагнитный 24В</x:t>
        </x:is>
      </x:c>
      <x:c r="E30" s="31" t="inlineStr">
        <x:is>
          <x:t xml:space="preserve">КИПиА</x:t>
        </x:is>
      </x:c>
      <x:c r="F30" s="31" t="n">
        <x:v>6.22</x:v>
      </x:c>
      <x:c r="G30" s="31" t="inlineStr">
        <x:is>
          <x:t xml:space="preserve">шт</x:t>
        </x:is>
      </x:c>
      <x:c r="H30" s="31" t="inlineStr">
        <x:is>
          <x:t xml:space="preserve">Обязательный</x:t>
        </x:is>
      </x:c>
      <x:c r="I30" s="31" t="inlineStr">
        <x:is>
          <x:t xml:space="preserve">ГЗ-КИП-7</x:t>
        </x:is>
      </x:c>
      <x:c r="J30" s="31" t="inlineStr">
        <x:is>
          <x:t xml:space="preserve">Нет</x:t>
        </x:is>
      </x:c>
    </x:row>
    <x:row r="31" ht="18" customHeight="1">
      <x:c r="A31" s="31" t="inlineStr">
        <x:is>
          <x:t xml:space="preserve">СОСТ-00030</x:t>
        </x:is>
      </x:c>
      <x:c r="B31" s="31" t="inlineStr">
        <x:is>
          <x:t xml:space="preserve">ИЗД-003</x:t>
        </x:is>
      </x:c>
      <x:c r="C31" s="31" t="inlineStr">
        <x:is>
          <x:t xml:space="preserve">МАТ-0061</x:t>
        </x:is>
      </x:c>
      <x:c r="D31" s="31" t="inlineStr">
        <x:is>
          <x:t xml:space="preserve">Фильтр сетчатый Ду50 / исп.3</x:t>
        </x:is>
      </x:c>
      <x:c r="E31" s="31" t="inlineStr">
        <x:is>
          <x:t xml:space="preserve">Запорная арматура</x:t>
        </x:is>
      </x:c>
      <x:c r="F31" s="31" t="n">
        <x:v>5.8</x:v>
      </x:c>
      <x:c r="G31" s="31" t="inlineStr">
        <x:is>
          <x:t xml:space="preserve">шт</x:t>
        </x:is>
      </x:c>
      <x:c r="H31" s="31" t="inlineStr">
        <x:is>
          <x:t xml:space="preserve">Замена</x:t>
        </x:is>
      </x:c>
      <x:c r="I31" s="31" t="inlineStr">
        <x:is>
          <x:t xml:space="preserve">ГЗ-ЗАП-1</x:t>
        </x:is>
      </x:c>
      <x:c r="J31" s="31" t="inlineStr">
        <x:is>
          <x:t xml:space="preserve">Нет</x:t>
        </x:is>
      </x:c>
    </x:row>
    <x:row r="32" ht="18" customHeight="1">
      <x:c r="A32" s="31" t="inlineStr">
        <x:is>
          <x:t xml:space="preserve">СОСТ-00031</x:t>
        </x:is>
      </x:c>
      <x:c r="B32" s="31" t="inlineStr">
        <x:is>
          <x:t xml:space="preserve">ИЗД-003</x:t>
        </x:is>
      </x:c>
      <x:c r="C32" s="31" t="inlineStr">
        <x:is>
          <x:t xml:space="preserve">МАТ-0056</x:t>
        </x:is>
      </x:c>
      <x:c r="D32" s="31" t="inlineStr">
        <x:is>
          <x:t xml:space="preserve">Задвижка Ду100</x:t>
        </x:is>
      </x:c>
      <x:c r="E32" s="31" t="inlineStr">
        <x:is>
          <x:t xml:space="preserve">Запорная арматура</x:t>
        </x:is>
      </x:c>
      <x:c r="F32" s="31" t="n">
        <x:v>4.59</x:v>
      </x:c>
      <x:c r="G32" s="31" t="inlineStr">
        <x:is>
          <x:t xml:space="preserve">шт</x:t>
        </x:is>
      </x:c>
      <x:c r="H32" s="31" t="inlineStr">
        <x:is>
          <x:t xml:space="preserve">Обязательный</x:t>
        </x:is>
      </x:c>
      <x:c r="I32" s="31" t="inlineStr">
        <x:is>
          <x:t xml:space="preserve">ГЗ-ЗАП-4</x:t>
        </x:is>
      </x:c>
      <x:c r="J32" s="31" t="inlineStr">
        <x:is>
          <x:t xml:space="preserve">Нет</x:t>
        </x:is>
      </x:c>
    </x:row>
    <x:row r="33" ht="18" customHeight="1">
      <x:c r="A33" s="31" t="inlineStr">
        <x:is>
          <x:t xml:space="preserve">СОСТ-00032</x:t>
        </x:is>
      </x:c>
      <x:c r="B33" s="31" t="inlineStr">
        <x:is>
          <x:t xml:space="preserve">ИЗД-003</x:t>
        </x:is>
      </x:c>
      <x:c r="C33" s="31" t="inlineStr">
        <x:is>
          <x:t xml:space="preserve">МАТ-0066</x:t>
        </x:is>
      </x:c>
      <x:c r="D33" s="31" t="inlineStr">
        <x:is>
          <x:t xml:space="preserve">Гофра металлическая / исп.2</x:t>
        </x:is>
      </x:c>
      <x:c r="E33" s="31" t="inlineStr">
        <x:is>
          <x:t xml:space="preserve">Кабель</x:t>
        </x:is>
      </x:c>
      <x:c r="F33" s="31" t="n">
        <x:v>26.94</x:v>
      </x:c>
      <x:c r="G33" s="31" t="inlineStr">
        <x:is>
          <x:t xml:space="preserve">кг</x:t>
        </x:is>
      </x:c>
      <x:c r="H33" s="31" t="inlineStr">
        <x:is>
          <x:t xml:space="preserve">Обязательный</x:t>
        </x:is>
      </x:c>
      <x:c r="I33" s="31" t="inlineStr">
        <x:is>
          <x:t xml:space="preserve">ГЗ-КАБ-8</x:t>
        </x:is>
      </x:c>
      <x:c r="J33" s="31" t="inlineStr">
        <x:is>
          <x:t xml:space="preserve">Нет</x:t>
        </x:is>
      </x:c>
    </x:row>
    <x:row r="34" ht="18" customHeight="1">
      <x:c r="A34" s="31" t="inlineStr">
        <x:is>
          <x:t xml:space="preserve">СОСТ-00033</x:t>
        </x:is>
      </x:c>
      <x:c r="B34" s="31" t="inlineStr">
        <x:is>
          <x:t xml:space="preserve">ИЗД-003</x:t>
        </x:is>
      </x:c>
      <x:c r="C34" s="31" t="inlineStr">
        <x:is>
          <x:t xml:space="preserve">МАТ-0038</x:t>
        </x:is>
      </x:c>
      <x:c r="D34" s="31" t="inlineStr">
        <x:is>
          <x:t xml:space="preserve">ПЛК 24 дискр. входа / 16 дискр. выхода</x:t>
        </x:is>
      </x:c>
      <x:c r="E34" s="31" t="inlineStr">
        <x:is>
          <x:t xml:space="preserve">ПЛК/электрика</x:t>
        </x:is>
      </x:c>
      <x:c r="F34" s="31" t="n">
        <x:v>2.91</x:v>
      </x:c>
      <x:c r="G34" s="31" t="inlineStr">
        <x:is>
          <x:t xml:space="preserve">шт</x:t>
        </x:is>
      </x:c>
      <x:c r="H34" s="31" t="inlineStr">
        <x:is>
          <x:t xml:space="preserve">Обязательный</x:t>
        </x:is>
      </x:c>
      <x:c r="I34" s="31" t="inlineStr">
        <x:is>
          <x:t xml:space="preserve">ГЗ-ПЛК-1</x:t>
        </x:is>
      </x:c>
      <x:c r="J34" s="31" t="inlineStr">
        <x:is>
          <x:t xml:space="preserve">Нет</x:t>
        </x:is>
      </x:c>
    </x:row>
    <x:row r="35" ht="18" customHeight="1">
      <x:c r="A35" s="31" t="inlineStr">
        <x:is>
          <x:t xml:space="preserve">СОСТ-00034</x:t>
        </x:is>
      </x:c>
      <x:c r="B35" s="31" t="inlineStr">
        <x:is>
          <x:t xml:space="preserve">ИЗД-003</x:t>
        </x:is>
      </x:c>
      <x:c r="C35" s="31" t="inlineStr">
        <x:is>
          <x:t xml:space="preserve">МАТ-0068</x:t>
        </x:is>
      </x:c>
      <x:c r="D35" s="31" t="inlineStr">
        <x:is>
          <x:t xml:space="preserve">Грунт эпоксидный</x:t>
        </x:is>
      </x:c>
      <x:c r="E35" s="31" t="inlineStr">
        <x:is>
          <x:t xml:space="preserve">Покраска</x:t>
        </x:is>
      </x:c>
      <x:c r="F35" s="31" t="n">
        <x:v>43.31</x:v>
      </x:c>
      <x:c r="G35" s="31" t="inlineStr">
        <x:is>
          <x:t xml:space="preserve">л</x:t>
        </x:is>
      </x:c>
      <x:c r="H35" s="31" t="inlineStr">
        <x:is>
          <x:t xml:space="preserve">Опция</x:t>
        </x:is>
      </x:c>
      <x:c r="I35" s="31" t="inlineStr">
        <x:is>
          <x:t xml:space="preserve">ГЗ-ПОК-6</x:t>
        </x:is>
      </x:c>
      <x:c r="J35" s="31" t="inlineStr">
        <x:is>
          <x:t xml:space="preserve">Нет</x:t>
        </x:is>
      </x:c>
    </x:row>
    <x:row r="36" ht="18" customHeight="1">
      <x:c r="A36" s="31" t="inlineStr">
        <x:is>
          <x:t xml:space="preserve">СОСТ-00035</x:t>
        </x:is>
      </x:c>
      <x:c r="B36" s="31" t="inlineStr">
        <x:is>
          <x:t xml:space="preserve">ИЗД-003</x:t>
        </x:is>
      </x:c>
      <x:c r="C36" s="31" t="inlineStr">
        <x:is>
          <x:t xml:space="preserve">МАТ-0074</x:t>
        </x:is>
      </x:c>
      <x:c r="D36" s="31" t="inlineStr">
        <x:is>
          <x:t xml:space="preserve">Абразив для пескоструя</x:t>
        </x:is>
      </x:c>
      <x:c r="E36" s="31" t="inlineStr">
        <x:is>
          <x:t xml:space="preserve">Покраска</x:t>
        </x:is>
      </x:c>
      <x:c r="F36" s="31" t="n">
        <x:v>5.4</x:v>
      </x:c>
      <x:c r="G36" s="31" t="inlineStr">
        <x:is>
          <x:t xml:space="preserve">шт</x:t>
        </x:is>
      </x:c>
      <x:c r="H36" s="31" t="inlineStr">
        <x:is>
          <x:t xml:space="preserve">Обязательный</x:t>
        </x:is>
      </x:c>
      <x:c r="I36" s="31" t="inlineStr">
        <x:is>
          <x:t xml:space="preserve">ГЗ-ПОК-9</x:t>
        </x:is>
      </x:c>
      <x:c r="J36" s="31" t="inlineStr">
        <x:is>
          <x:t xml:space="preserve">Нет</x:t>
        </x:is>
      </x:c>
    </x:row>
    <x:row r="37" ht="18" customHeight="1">
      <x:c r="A37" s="31" t="inlineStr">
        <x:is>
          <x:t xml:space="preserve">СОСТ-00036</x:t>
        </x:is>
      </x:c>
      <x:c r="B37" s="31" t="inlineStr">
        <x:is>
          <x:t xml:space="preserve">ИЗД-003</x:t>
        </x:is>
      </x:c>
      <x:c r="C37" s="31" t="inlineStr">
        <x:is>
          <x:t xml:space="preserve">МАТ-0083</x:t>
        </x:is>
      </x:c>
      <x:c r="D37" s="31" t="inlineStr">
        <x:is>
          <x:t xml:space="preserve">Анкер М16</x:t>
        </x:is>
      </x:c>
      <x:c r="E37" s="31" t="inlineStr">
        <x:is>
          <x:t xml:space="preserve">Крепеж</x:t>
        </x:is>
      </x:c>
      <x:c r="F37" s="31" t="n">
        <x:v>3.26</x:v>
      </x:c>
      <x:c r="G37" s="31" t="inlineStr">
        <x:is>
          <x:t xml:space="preserve">шт</x:t>
        </x:is>
      </x:c>
      <x:c r="H37" s="31" t="inlineStr">
        <x:is>
          <x:t xml:space="preserve">Обязательный</x:t>
        </x:is>
      </x:c>
      <x:c r="I37" s="31" t="inlineStr">
        <x:is>
          <x:t xml:space="preserve">ГЗ-КРЕ-5</x:t>
        </x:is>
      </x:c>
      <x:c r="J37" s="31" t="inlineStr">
        <x:is>
          <x:t xml:space="preserve">Нет</x:t>
        </x:is>
      </x:c>
    </x:row>
    <x:row r="38" ht="18" customHeight="1">
      <x:c r="A38" s="31" t="inlineStr">
        <x:is>
          <x:t xml:space="preserve">СОСТ-00037</x:t>
        </x:is>
      </x:c>
      <x:c r="B38" s="31" t="inlineStr">
        <x:is>
          <x:t xml:space="preserve">ИЗД-003</x:t>
        </x:is>
      </x:c>
      <x:c r="C38" s="31" t="inlineStr">
        <x:is>
          <x:t xml:space="preserve">МАТ-0086</x:t>
        </x:is>
      </x:c>
      <x:c r="D38" s="31" t="inlineStr">
        <x:is>
          <x:t xml:space="preserve">Пленка стрейч / исп.2</x:t>
        </x:is>
      </x:c>
      <x:c r="E38" s="31" t="inlineStr">
        <x:is>
          <x:t xml:space="preserve">Упаковка</x:t>
        </x:is>
      </x:c>
      <x:c r="F38" s="31" t="n">
        <x:v>5.8</x:v>
      </x:c>
      <x:c r="G38" s="31" t="inlineStr">
        <x:is>
          <x:t xml:space="preserve">шт</x:t>
        </x:is>
      </x:c>
      <x:c r="H38" s="31" t="inlineStr">
        <x:is>
          <x:t xml:space="preserve">Обязательный</x:t>
        </x:is>
      </x:c>
      <x:c r="I38" s="31" t="inlineStr">
        <x:is>
          <x:t xml:space="preserve">ГЗ-УПА-4</x:t>
        </x:is>
      </x:c>
      <x:c r="J38" s="31" t="inlineStr">
        <x:is>
          <x:t xml:space="preserve">Нет</x:t>
        </x:is>
      </x:c>
    </x:row>
    <x:row r="39" ht="18" customHeight="1">
      <x:c r="A39" s="31" t="inlineStr">
        <x:is>
          <x:t xml:space="preserve">СОСТ-00038</x:t>
        </x:is>
      </x:c>
      <x:c r="B39" s="31" t="inlineStr">
        <x:is>
          <x:t xml:space="preserve">ИЗД-003</x:t>
        </x:is>
      </x:c>
      <x:c r="C39" s="31" t="inlineStr">
        <x:is>
          <x:t xml:space="preserve">МАТ-0088</x:t>
        </x:is>
      </x:c>
      <x:c r="D39" s="31" t="inlineStr">
        <x:is>
          <x:t xml:space="preserve">Ящик фанерный / исп.2</x:t>
        </x:is>
      </x:c>
      <x:c r="E39" s="31" t="inlineStr">
        <x:is>
          <x:t xml:space="preserve">Упаковка</x:t>
        </x:is>
      </x:c>
      <x:c r="F39" s="31" t="n">
        <x:v>3.46</x:v>
      </x:c>
      <x:c r="G39" s="31" t="inlineStr">
        <x:is>
          <x:t xml:space="preserve">шт</x:t>
        </x:is>
      </x:c>
      <x:c r="H39" s="31" t="inlineStr">
        <x:is>
          <x:t xml:space="preserve">Обязательный</x:t>
        </x:is>
      </x:c>
      <x:c r="I39" s="31" t="inlineStr">
        <x:is>
          <x:t xml:space="preserve">ГЗ-УПА-4</x:t>
        </x:is>
      </x:c>
      <x:c r="J39" s="31" t="inlineStr">
        <x:is>
          <x:t xml:space="preserve">Нет</x:t>
        </x:is>
      </x:c>
    </x:row>
    <x:row r="40" ht="18" customHeight="1">
      <x:c r="A40" s="31" t="inlineStr">
        <x:is>
          <x:t xml:space="preserve">СОСТ-00039</x:t>
        </x:is>
      </x:c>
      <x:c r="B40" s="31" t="inlineStr">
        <x:is>
          <x:t xml:space="preserve">ИЗД-004</x:t>
        </x:is>
      </x:c>
      <x:c r="C40" s="31" t="inlineStr">
        <x:is>
          <x:t xml:space="preserve">МАТ-0006</x:t>
        </x:is>
      </x:c>
      <x:c r="D40" s="31" t="inlineStr">
        <x:is>
          <x:t xml:space="preserve">Труба нержавеющая 38×3</x:t>
        </x:is>
      </x:c>
      <x:c r="E40" s="31" t="inlineStr">
        <x:is>
          <x:t xml:space="preserve">Металл</x:t>
        </x:is>
      </x:c>
      <x:c r="F40" s="31" t="n">
        <x:v>6.45</x:v>
      </x:c>
      <x:c r="G40" s="31" t="inlineStr">
        <x:is>
          <x:t xml:space="preserve">шт</x:t>
        </x:is>
      </x:c>
      <x:c r="H40" s="31" t="inlineStr">
        <x:is>
          <x:t xml:space="preserve">Обязательный</x:t>
        </x:is>
      </x:c>
      <x:c r="I40" s="31" t="inlineStr">
        <x:is>
          <x:t xml:space="preserve">ГЗ-МЕТ-8</x:t>
        </x:is>
      </x:c>
      <x:c r="J40" s="31" t="inlineStr">
        <x:is>
          <x:t xml:space="preserve">Нет</x:t>
        </x:is>
      </x:c>
    </x:row>
    <x:row r="41" ht="18" customHeight="1">
      <x:c r="A41" s="31" t="inlineStr">
        <x:is>
          <x:t xml:space="preserve">СОСТ-00040</x:t>
        </x:is>
      </x:c>
      <x:c r="B41" s="31" t="inlineStr">
        <x:is>
          <x:t xml:space="preserve">ИЗД-004</x:t>
        </x:is>
      </x:c>
      <x:c r="C41" s="31" t="inlineStr">
        <x:is>
          <x:t xml:space="preserve">МАТ-0003</x:t>
        </x:is>
      </x:c>
      <x:c r="D41" s="31" t="inlineStr">
        <x:is>
          <x:t xml:space="preserve">Лист стальной 09Г2С 12 мм / исп.2</x:t>
        </x:is>
      </x:c>
      <x:c r="E41" s="31" t="inlineStr">
        <x:is>
          <x:t xml:space="preserve">Металл</x:t>
        </x:is>
      </x:c>
      <x:c r="F41" s="31" t="n">
        <x:v>14.06</x:v>
      </x:c>
      <x:c r="G41" s="31" t="inlineStr">
        <x:is>
          <x:t xml:space="preserve">м</x:t>
        </x:is>
      </x:c>
      <x:c r="H41" s="31" t="inlineStr">
        <x:is>
          <x:t xml:space="preserve">Обязательный</x:t>
        </x:is>
      </x:c>
      <x:c r="I41" s="31" t="inlineStr">
        <x:is>
          <x:t xml:space="preserve">ГЗ-МЕТ-9</x:t>
        </x:is>
      </x:c>
      <x:c r="J41" s="31" t="inlineStr">
        <x:is>
          <x:t xml:space="preserve">Нет</x:t>
        </x:is>
      </x:c>
    </x:row>
    <x:row r="42" ht="18" customHeight="1">
      <x:c r="A42" s="31" t="inlineStr">
        <x:is>
          <x:t xml:space="preserve">СОСТ-00041</x:t>
        </x:is>
      </x:c>
      <x:c r="B42" s="31" t="inlineStr">
        <x:is>
          <x:t xml:space="preserve">ИЗД-004</x:t>
        </x:is>
      </x:c>
      <x:c r="C42" s="31" t="inlineStr">
        <x:is>
          <x:t xml:space="preserve">МАТ-0024</x:t>
        </x:is>
      </x:c>
      <x:c r="D42" s="31" t="inlineStr">
        <x:is>
          <x:t xml:space="preserve">Рабочее колесо / исп.2</x:t>
        </x:is>
      </x:c>
      <x:c r="E42" s="31" t="inlineStr">
        <x:is>
          <x:t xml:space="preserve">Насосы</x:t>
        </x:is>
      </x:c>
      <x:c r="F42" s="31" t="n">
        <x:v>5.83</x:v>
      </x:c>
      <x:c r="G42" s="31" t="inlineStr">
        <x:is>
          <x:t xml:space="preserve">шт</x:t>
        </x:is>
      </x:c>
      <x:c r="H42" s="31" t="inlineStr">
        <x:is>
          <x:t xml:space="preserve">Опция</x:t>
        </x:is>
      </x:c>
      <x:c r="I42" s="31" t="inlineStr">
        <x:is>
          <x:t xml:space="preserve">ГЗ-НАС-7</x:t>
        </x:is>
      </x:c>
      <x:c r="J42" s="31" t="inlineStr">
        <x:is>
          <x:t xml:space="preserve">Нет</x:t>
        </x:is>
      </x:c>
    </x:row>
    <x:row r="43" ht="18" customHeight="1">
      <x:c r="A43" s="31" t="inlineStr">
        <x:is>
          <x:t xml:space="preserve">СОСТ-00042</x:t>
        </x:is>
      </x:c>
      <x:c r="B43" s="31" t="inlineStr">
        <x:is>
          <x:t xml:space="preserve">ИЗД-004</x:t>
        </x:is>
      </x:c>
      <x:c r="C43" s="31" t="inlineStr">
        <x:is>
          <x:t xml:space="preserve">МАТ-0023</x:t>
        </x:is>
      </x:c>
      <x:c r="D43" s="31" t="inlineStr">
        <x:is>
          <x:t xml:space="preserve">Рабочее колесо</x:t>
        </x:is>
      </x:c>
      <x:c r="E43" s="31" t="inlineStr">
        <x:is>
          <x:t xml:space="preserve">Насосы</x:t>
        </x:is>
      </x:c>
      <x:c r="F43" s="31" t="n">
        <x:v>5.92</x:v>
      </x:c>
      <x:c r="G43" s="31" t="inlineStr">
        <x:is>
          <x:t xml:space="preserve">шт</x:t>
        </x:is>
      </x:c>
      <x:c r="H43" s="31" t="inlineStr">
        <x:is>
          <x:t xml:space="preserve">Обязательный</x:t>
        </x:is>
      </x:c>
      <x:c r="I43" s="31" t="inlineStr">
        <x:is>
          <x:t xml:space="preserve">ГЗ-НАС-6</x:t>
        </x:is>
      </x:c>
      <x:c r="J43" s="31" t="inlineStr">
        <x:is>
          <x:t xml:space="preserve">Нет</x:t>
        </x:is>
      </x:c>
    </x:row>
    <x:row r="44" ht="18" customHeight="1">
      <x:c r="A44" s="31" t="inlineStr">
        <x:is>
          <x:t xml:space="preserve">СОСТ-00043</x:t>
        </x:is>
      </x:c>
      <x:c r="B44" s="31" t="inlineStr">
        <x:is>
          <x:t xml:space="preserve">ИЗД-004</x:t>
        </x:is>
      </x:c>
      <x:c r="C44" s="31" t="inlineStr">
        <x:is>
          <x:t xml:space="preserve">МАТ-0016</x:t>
        </x:is>
      </x:c>
      <x:c r="D44" s="31" t="inlineStr">
        <x:is>
          <x:t xml:space="preserve">Насос центробежный 15 кВт / исп.2</x:t>
        </x:is>
      </x:c>
      <x:c r="E44" s="31" t="inlineStr">
        <x:is>
          <x:t xml:space="preserve">Насосы</x:t>
        </x:is>
      </x:c>
      <x:c r="F44" s="31" t="n">
        <x:v>1.82</x:v>
      </x:c>
      <x:c r="G44" s="31" t="inlineStr">
        <x:is>
          <x:t xml:space="preserve">шт</x:t>
        </x:is>
      </x:c>
      <x:c r="H44" s="31" t="inlineStr">
        <x:is>
          <x:t xml:space="preserve">Обязательный</x:t>
        </x:is>
      </x:c>
      <x:c r="I44" s="31" t="inlineStr">
        <x:is>
          <x:t xml:space="preserve">ГЗ-НАС-1</x:t>
        </x:is>
      </x:c>
      <x:c r="J44" s="31" t="inlineStr">
        <x:is>
          <x:t xml:space="preserve">Да</x:t>
        </x:is>
      </x:c>
    </x:row>
    <x:row r="45" ht="18" customHeight="1">
      <x:c r="A45" s="31" t="inlineStr">
        <x:is>
          <x:t xml:space="preserve">СОСТ-00044</x:t>
        </x:is>
      </x:c>
      <x:c r="B45" s="31" t="inlineStr">
        <x:is>
          <x:t xml:space="preserve">ИЗД-004</x:t>
        </x:is>
      </x:c>
      <x:c r="C45" s="31" t="inlineStr">
        <x:is>
          <x:t xml:space="preserve">МАТ-0027</x:t>
        </x:is>
      </x:c>
      <x:c r="D45" s="31" t="inlineStr">
        <x:is>
          <x:t xml:space="preserve">Двигатель 22 кВт</x:t>
        </x:is>
      </x:c>
      <x:c r="E45" s="31" t="inlineStr">
        <x:is>
          <x:t xml:space="preserve">Электродвигатели</x:t>
        </x:is>
      </x:c>
      <x:c r="F45" s="31" t="n">
        <x:v>5.84</x:v>
      </x:c>
      <x:c r="G45" s="31" t="inlineStr">
        <x:is>
          <x:t xml:space="preserve">шт</x:t>
        </x:is>
      </x:c>
      <x:c r="H45" s="31" t="inlineStr">
        <x:is>
          <x:t xml:space="preserve">Обязательный</x:t>
        </x:is>
      </x:c>
      <x:c r="I45" s="31" t="inlineStr">
        <x:is>
          <x:t xml:space="preserve">ГЗ-ЭЛЕ-2</x:t>
        </x:is>
      </x:c>
      <x:c r="J45" s="31" t="inlineStr">
        <x:is>
          <x:t xml:space="preserve">Нет</x:t>
        </x:is>
      </x:c>
    </x:row>
    <x:row r="46" ht="18" customHeight="1">
      <x:c r="A46" s="31" t="inlineStr">
        <x:is>
          <x:t xml:space="preserve">СОСТ-00045</x:t>
        </x:is>
      </x:c>
      <x:c r="B46" s="31" t="inlineStr">
        <x:is>
          <x:t xml:space="preserve">ИЗД-004</x:t>
        </x:is>
      </x:c>
      <x:c r="C46" s="31" t="inlineStr">
        <x:is>
          <x:t xml:space="preserve">МАТ-0029</x:t>
        </x:is>
      </x:c>
      <x:c r="D46" s="31" t="inlineStr">
        <x:is>
          <x:t xml:space="preserve">Частотный преобразователь 22 кВт</x:t>
        </x:is>
      </x:c>
      <x:c r="E46" s="31" t="inlineStr">
        <x:is>
          <x:t xml:space="preserve">Электродвигатели</x:t>
        </x:is>
      </x:c>
      <x:c r="F46" s="31" t="n">
        <x:v>4.66</x:v>
      </x:c>
      <x:c r="G46" s="31" t="inlineStr">
        <x:is>
          <x:t xml:space="preserve">шт</x:t>
        </x:is>
      </x:c>
      <x:c r="H46" s="31" t="inlineStr">
        <x:is>
          <x:t xml:space="preserve">Замена</x:t>
        </x:is>
      </x:c>
      <x:c r="I46" s="31" t="inlineStr">
        <x:is>
          <x:t xml:space="preserve">ГЗ-ЭЛЕ-9</x:t>
        </x:is>
      </x:c>
      <x:c r="J46" s="31" t="inlineStr">
        <x:is>
          <x:t xml:space="preserve">Нет</x:t>
        </x:is>
      </x:c>
    </x:row>
    <x:row r="47" ht="18" customHeight="1">
      <x:c r="A47" s="31" t="inlineStr">
        <x:is>
          <x:t xml:space="preserve">СОСТ-00046</x:t>
        </x:is>
      </x:c>
      <x:c r="B47" s="31" t="inlineStr">
        <x:is>
          <x:t xml:space="preserve">ИЗД-004</x:t>
        </x:is>
      </x:c>
      <x:c r="C47" s="31" t="inlineStr">
        <x:is>
          <x:t xml:space="preserve">МАТ-0031</x:t>
        </x:is>
      </x:c>
      <x:c r="D47" s="31" t="inlineStr">
        <x:is>
          <x:t xml:space="preserve">Датчик давления 0-16 бар</x:t>
        </x:is>
      </x:c>
      <x:c r="E47" s="31" t="inlineStr">
        <x:is>
          <x:t xml:space="preserve">КИПиА</x:t>
        </x:is>
      </x:c>
      <x:c r="F47" s="31" t="n">
        <x:v>6.21</x:v>
      </x:c>
      <x:c r="G47" s="31" t="inlineStr">
        <x:is>
          <x:t xml:space="preserve">шт</x:t>
        </x:is>
      </x:c>
      <x:c r="H47" s="31" t="inlineStr">
        <x:is>
          <x:t xml:space="preserve">Обязательный</x:t>
        </x:is>
      </x:c>
      <x:c r="I47" s="31" t="inlineStr">
        <x:is>
          <x:t xml:space="preserve">ГЗ-КИП-7</x:t>
        </x:is>
      </x:c>
      <x:c r="J47" s="31" t="inlineStr">
        <x:is>
          <x:t xml:space="preserve">Нет</x:t>
        </x:is>
      </x:c>
    </x:row>
    <x:row r="48" ht="18" customHeight="1">
      <x:c r="A48" s="31" t="inlineStr">
        <x:is>
          <x:t xml:space="preserve">СОСТ-00047</x:t>
        </x:is>
      </x:c>
      <x:c r="B48" s="31" t="inlineStr">
        <x:is>
          <x:t xml:space="preserve">ИЗД-004</x:t>
        </x:is>
      </x:c>
      <x:c r="C48" s="31" t="inlineStr">
        <x:is>
          <x:t xml:space="preserve">МАТ-0036</x:t>
        </x:is>
      </x:c>
      <x:c r="D48" s="31" t="inlineStr">
        <x:is>
          <x:t xml:space="preserve">Клапан электромагнитный 24В / исп.2</x:t>
        </x:is>
      </x:c>
      <x:c r="E48" s="31" t="inlineStr">
        <x:is>
          <x:t xml:space="preserve">КИПиА</x:t>
        </x:is>
      </x:c>
      <x:c r="F48" s="31" t="n">
        <x:v>2</x:v>
      </x:c>
      <x:c r="G48" s="31" t="inlineStr">
        <x:is>
          <x:t xml:space="preserve">шт</x:t>
        </x:is>
      </x:c>
      <x:c r="H48" s="31" t="inlineStr">
        <x:is>
          <x:t xml:space="preserve">Обязательный</x:t>
        </x:is>
      </x:c>
      <x:c r="I48" s="31" t="inlineStr">
        <x:is>
          <x:t xml:space="preserve">ГЗ-КИП-6</x:t>
        </x:is>
      </x:c>
      <x:c r="J48" s="31" t="inlineStr">
        <x:is>
          <x:t xml:space="preserve">Нет</x:t>
        </x:is>
      </x:c>
    </x:row>
    <x:row r="49" ht="18" customHeight="1">
      <x:c r="A49" s="31" t="inlineStr">
        <x:is>
          <x:t xml:space="preserve">СОСТ-00048</x:t>
        </x:is>
      </x:c>
      <x:c r="B49" s="31" t="inlineStr">
        <x:is>
          <x:t xml:space="preserve">ИЗД-004</x:t>
        </x:is>
      </x:c>
      <x:c r="C49" s="31" t="inlineStr">
        <x:is>
          <x:t xml:space="preserve">МАТ-0052</x:t>
        </x:is>
      </x:c>
      <x:c r="D49" s="31" t="inlineStr">
        <x:is>
          <x:t xml:space="preserve">Кран шаровой Ду50 / исп.2</x:t>
        </x:is>
      </x:c>
      <x:c r="E49" s="31" t="inlineStr">
        <x:is>
          <x:t xml:space="preserve">Запорная арматура</x:t>
        </x:is>
      </x:c>
      <x:c r="F49" s="31" t="n">
        <x:v>3.97</x:v>
      </x:c>
      <x:c r="G49" s="31" t="inlineStr">
        <x:is>
          <x:t xml:space="preserve">шт</x:t>
        </x:is>
      </x:c>
      <x:c r="H49" s="31" t="inlineStr">
        <x:is>
          <x:t xml:space="preserve">Обязательный</x:t>
        </x:is>
      </x:c>
      <x:c r="I49" s="31" t="inlineStr">
        <x:is>
          <x:t xml:space="preserve">ГЗ-ЗАП-7</x:t>
        </x:is>
      </x:c>
      <x:c r="J49" s="31" t="inlineStr">
        <x:is>
          <x:t xml:space="preserve">Нет</x:t>
        </x:is>
      </x:c>
    </x:row>
    <x:row r="50" ht="18" customHeight="1">
      <x:c r="A50" s="31" t="inlineStr">
        <x:is>
          <x:t xml:space="preserve">СОСТ-00049</x:t>
        </x:is>
      </x:c>
      <x:c r="B50" s="31" t="inlineStr">
        <x:is>
          <x:t xml:space="preserve">ИЗД-004</x:t>
        </x:is>
      </x:c>
      <x:c r="C50" s="31" t="inlineStr">
        <x:is>
          <x:t xml:space="preserve">МАТ-0065</x:t>
        </x:is>
      </x:c>
      <x:c r="D50" s="31" t="inlineStr">
        <x:is>
          <x:t xml:space="preserve">Гофра металлическая</x:t>
        </x:is>
      </x:c>
      <x:c r="E50" s="31" t="inlineStr">
        <x:is>
          <x:t xml:space="preserve">Кабель</x:t>
        </x:is>
      </x:c>
      <x:c r="F50" s="31" t="n">
        <x:v>6.3</x:v>
      </x:c>
      <x:c r="G50" s="31" t="inlineStr">
        <x:is>
          <x:t xml:space="preserve">шт</x:t>
        </x:is>
      </x:c>
      <x:c r="H50" s="31" t="inlineStr">
        <x:is>
          <x:t xml:space="preserve">Обязательный</x:t>
        </x:is>
      </x:c>
      <x:c r="I50" s="31" t="inlineStr">
        <x:is>
          <x:t xml:space="preserve">ГЗ-КАБ-2</x:t>
        </x:is>
      </x:c>
      <x:c r="J50" s="31" t="inlineStr">
        <x:is>
          <x:t xml:space="preserve">Нет</x:t>
        </x:is>
      </x:c>
    </x:row>
    <x:row r="51" ht="18" customHeight="1">
      <x:c r="A51" s="31" t="inlineStr">
        <x:is>
          <x:t xml:space="preserve">СОСТ-00050</x:t>
        </x:is>
      </x:c>
      <x:c r="B51" s="31" t="inlineStr">
        <x:is>
          <x:t xml:space="preserve">ИЗД-004</x:t>
        </x:is>
      </x:c>
      <x:c r="C51" s="31" t="inlineStr">
        <x:is>
          <x:t xml:space="preserve">МАТ-0046</x:t>
        </x:is>
      </x:c>
      <x:c r="D51" s="31" t="inlineStr">
        <x:is>
          <x:t xml:space="preserve">Контактор 25А</x:t>
        </x:is>
      </x:c>
      <x:c r="E51" s="31" t="inlineStr">
        <x:is>
          <x:t xml:space="preserve">ПЛК/электрика</x:t>
        </x:is>
      </x:c>
      <x:c r="F51" s="31" t="n">
        <x:v>5.15</x:v>
      </x:c>
      <x:c r="G51" s="31" t="inlineStr">
        <x:is>
          <x:t xml:space="preserve">шт</x:t>
        </x:is>
      </x:c>
      <x:c r="H51" s="31" t="inlineStr">
        <x:is>
          <x:t xml:space="preserve">Обязательный</x:t>
        </x:is>
      </x:c>
      <x:c r="I51" s="31" t="inlineStr">
        <x:is>
          <x:t xml:space="preserve">ГЗ-ПЛК-3</x:t>
        </x:is>
      </x:c>
      <x:c r="J51" s="31" t="inlineStr">
        <x:is>
          <x:t xml:space="preserve">Нет</x:t>
        </x:is>
      </x:c>
    </x:row>
    <x:row r="52" ht="18" customHeight="1">
      <x:c r="A52" s="31" t="inlineStr">
        <x:is>
          <x:t xml:space="preserve">СОСТ-00051</x:t>
        </x:is>
      </x:c>
      <x:c r="B52" s="31" t="inlineStr">
        <x:is>
          <x:t xml:space="preserve">ИЗД-004</x:t>
        </x:is>
      </x:c>
      <x:c r="C52" s="31" t="inlineStr">
        <x:is>
          <x:t xml:space="preserve">МАТ-0038</x:t>
        </x:is>
      </x:c>
      <x:c r="D52" s="31" t="inlineStr">
        <x:is>
          <x:t xml:space="preserve">ПЛК 24 дискр. входа / 16 дискр. выхода</x:t>
        </x:is>
      </x:c>
      <x:c r="E52" s="31" t="inlineStr">
        <x:is>
          <x:t xml:space="preserve">ПЛК/электрика</x:t>
        </x:is>
      </x:c>
      <x:c r="F52" s="31" t="n">
        <x:v>1.46</x:v>
      </x:c>
      <x:c r="G52" s="31" t="inlineStr">
        <x:is>
          <x:t xml:space="preserve">шт</x:t>
        </x:is>
      </x:c>
      <x:c r="H52" s="31" t="inlineStr">
        <x:is>
          <x:t xml:space="preserve">Обязательный</x:t>
        </x:is>
      </x:c>
      <x:c r="I52" s="31" t="inlineStr">
        <x:is>
          <x:t xml:space="preserve">ГЗ-ПЛК-1</x:t>
        </x:is>
      </x:c>
      <x:c r="J52" s="31" t="inlineStr">
        <x:is>
          <x:t xml:space="preserve">Нет</x:t>
        </x:is>
      </x:c>
    </x:row>
    <x:row r="53" ht="18" customHeight="1">
      <x:c r="A53" s="31" t="inlineStr">
        <x:is>
          <x:t xml:space="preserve">СОСТ-00052</x:t>
        </x:is>
      </x:c>
      <x:c r="B53" s="31" t="inlineStr">
        <x:is>
          <x:t xml:space="preserve">ИЗД-004</x:t>
        </x:is>
      </x:c>
      <x:c r="C53" s="31" t="inlineStr">
        <x:is>
          <x:t xml:space="preserve">МАТ-0050</x:t>
        </x:is>
      </x:c>
      <x:c r="D53" s="31" t="inlineStr">
        <x:is>
          <x:t xml:space="preserve">панель оператора 7"</x:t>
        </x:is>
      </x:c>
      <x:c r="E53" s="31" t="inlineStr">
        <x:is>
          <x:t xml:space="preserve">ПЛК/электрика</x:t>
        </x:is>
      </x:c>
      <x:c r="F53" s="31" t="n">
        <x:v>1.87</x:v>
      </x:c>
      <x:c r="G53" s="31" t="inlineStr">
        <x:is>
          <x:t xml:space="preserve">шт</x:t>
        </x:is>
      </x:c>
      <x:c r="H53" s="31" t="inlineStr">
        <x:is>
          <x:t xml:space="preserve">Обязательный</x:t>
        </x:is>
      </x:c>
      <x:c r="I53" s="31" t="inlineStr">
        <x:is>
          <x:t xml:space="preserve">ГЗ-ПЛК-8</x:t>
        </x:is>
      </x:c>
      <x:c r="J53" s="31" t="inlineStr">
        <x:is>
          <x:t xml:space="preserve">Нет</x:t>
        </x:is>
      </x:c>
    </x:row>
    <x:row r="54" ht="18" customHeight="1">
      <x:c r="A54" s="31" t="inlineStr">
        <x:is>
          <x:t xml:space="preserve">СОСТ-00053</x:t>
        </x:is>
      </x:c>
      <x:c r="B54" s="31" t="inlineStr">
        <x:is>
          <x:t xml:space="preserve">ИЗД-004</x:t>
        </x:is>
      </x:c>
      <x:c r="C54" s="31" t="inlineStr">
        <x:is>
          <x:t xml:space="preserve">МАТ-0069</x:t>
        </x:is>
      </x:c>
      <x:c r="D54" s="31" t="inlineStr">
        <x:is>
          <x:t xml:space="preserve">Эмаль полиуретановая</x:t>
        </x:is>
      </x:c>
      <x:c r="E54" s="31" t="inlineStr">
        <x:is>
          <x:t xml:space="preserve">Покраска</x:t>
        </x:is>
      </x:c>
      <x:c r="F54" s="31" t="n">
        <x:v>4.28</x:v>
      </x:c>
      <x:c r="G54" s="31" t="inlineStr">
        <x:is>
          <x:t xml:space="preserve">л</x:t>
        </x:is>
      </x:c>
      <x:c r="H54" s="31" t="inlineStr">
        <x:is>
          <x:t xml:space="preserve">Обязательный</x:t>
        </x:is>
      </x:c>
      <x:c r="I54" s="31" t="inlineStr">
        <x:is>
          <x:t xml:space="preserve">ГЗ-ПОК-1</x:t>
        </x:is>
      </x:c>
      <x:c r="J54" s="31" t="inlineStr">
        <x:is>
          <x:t xml:space="preserve">Нет</x:t>
        </x:is>
      </x:c>
    </x:row>
    <x:row r="55" ht="18" customHeight="1">
      <x:c r="A55" s="31" t="inlineStr">
        <x:is>
          <x:t xml:space="preserve">СОСТ-00054</x:t>
        </x:is>
      </x:c>
      <x:c r="B55" s="31" t="inlineStr">
        <x:is>
          <x:t xml:space="preserve">ИЗД-004</x:t>
        </x:is>
      </x:c>
      <x:c r="C55" s="31" t="inlineStr">
        <x:is>
          <x:t xml:space="preserve">МАТ-0080</x:t>
        </x:is>
      </x:c>
      <x:c r="D55" s="31" t="inlineStr">
        <x:is>
          <x:t xml:space="preserve">Гайка М12 / исп.3</x:t>
        </x:is>
      </x:c>
      <x:c r="E55" s="31" t="inlineStr">
        <x:is>
          <x:t xml:space="preserve">Крепеж</x:t>
        </x:is>
      </x:c>
      <x:c r="F55" s="31" t="n">
        <x:v>3.47</x:v>
      </x:c>
      <x:c r="G55" s="31" t="inlineStr">
        <x:is>
          <x:t xml:space="preserve">шт</x:t>
        </x:is>
      </x:c>
      <x:c r="H55" s="31" t="inlineStr">
        <x:is>
          <x:t xml:space="preserve">Обязательный</x:t>
        </x:is>
      </x:c>
      <x:c r="I55" s="31" t="inlineStr">
        <x:is>
          <x:t xml:space="preserve">ГЗ-КРЕ-6</x:t>
        </x:is>
      </x:c>
      <x:c r="J55" s="31" t="inlineStr">
        <x:is>
          <x:t xml:space="preserve">Нет</x:t>
        </x:is>
      </x:c>
    </x:row>
    <x:row r="56" ht="18" customHeight="1">
      <x:c r="A56" s="31" t="inlineStr">
        <x:is>
          <x:t xml:space="preserve">СОСТ-00055</x:t>
        </x:is>
      </x:c>
      <x:c r="B56" s="31" t="inlineStr">
        <x:is>
          <x:t xml:space="preserve">ИЗД-004</x:t>
        </x:is>
      </x:c>
      <x:c r="C56" s="31" t="inlineStr">
        <x:is>
          <x:t xml:space="preserve">МАТ-0078</x:t>
        </x:is>
      </x:c>
      <x:c r="D56" s="31" t="inlineStr">
        <x:is>
          <x:t xml:space="preserve">Гайка М12</x:t>
        </x:is>
      </x:c>
      <x:c r="E56" s="31" t="inlineStr">
        <x:is>
          <x:t xml:space="preserve">Крепеж</x:t>
        </x:is>
      </x:c>
      <x:c r="F56" s="31" t="n">
        <x:v>4.53</x:v>
      </x:c>
      <x:c r="G56" s="31" t="inlineStr">
        <x:is>
          <x:t xml:space="preserve">шт</x:t>
        </x:is>
      </x:c>
      <x:c r="H56" s="31" t="inlineStr">
        <x:is>
          <x:t xml:space="preserve">Обязательный</x:t>
        </x:is>
      </x:c>
      <x:c r="I56" s="31" t="inlineStr">
        <x:is>
          <x:t xml:space="preserve">ГЗ-КРЕ-9</x:t>
        </x:is>
      </x:c>
      <x:c r="J56" s="31" t="inlineStr">
        <x:is>
          <x:t xml:space="preserve">Нет</x:t>
        </x:is>
      </x:c>
    </x:row>
    <x:row r="57" ht="18" customHeight="1">
      <x:c r="A57" s="31" t="inlineStr">
        <x:is>
          <x:t xml:space="preserve">СОСТ-00056</x:t>
        </x:is>
      </x:c>
      <x:c r="B57" s="31" t="inlineStr">
        <x:is>
          <x:t xml:space="preserve">ИЗД-004</x:t>
        </x:is>
      </x:c>
      <x:c r="C57" s="31" t="inlineStr">
        <x:is>
          <x:t xml:space="preserve">МАТ-0088</x:t>
        </x:is>
      </x:c>
      <x:c r="D57" s="31" t="inlineStr">
        <x:is>
          <x:t xml:space="preserve">Ящик фанерный / исп.2</x:t>
        </x:is>
      </x:c>
      <x:c r="E57" s="31" t="inlineStr">
        <x:is>
          <x:t xml:space="preserve">Упаковка</x:t>
        </x:is>
      </x:c>
      <x:c r="F57" s="31" t="n">
        <x:v>2.52</x:v>
      </x:c>
      <x:c r="G57" s="31" t="inlineStr">
        <x:is>
          <x:t xml:space="preserve">шт</x:t>
        </x:is>
      </x:c>
      <x:c r="H57" s="31" t="inlineStr">
        <x:is>
          <x:t xml:space="preserve">Обязательный</x:t>
        </x:is>
      </x:c>
      <x:c r="I57" s="31" t="inlineStr">
        <x:is>
          <x:t xml:space="preserve">ГЗ-УПА-4</x:t>
        </x:is>
      </x:c>
      <x:c r="J57" s="31" t="inlineStr">
        <x:is>
          <x:t xml:space="preserve">Нет</x:t>
        </x:is>
      </x:c>
    </x:row>
    <x:row r="58" ht="18" customHeight="1">
      <x:c r="A58" s="31" t="inlineStr">
        <x:is>
          <x:t xml:space="preserve">СОСТ-00057</x:t>
        </x:is>
      </x:c>
      <x:c r="B58" s="31" t="inlineStr">
        <x:is>
          <x:t xml:space="preserve">ИЗД-005</x:t>
        </x:is>
      </x:c>
      <x:c r="C58" s="31" t="inlineStr">
        <x:is>
          <x:t xml:space="preserve">МАТ-0001</x:t>
        </x:is>
      </x:c>
      <x:c r="D58" s="31" t="inlineStr">
        <x:is>
          <x:t xml:space="preserve">Лист стальной 09Г2С 8 мм</x:t>
        </x:is>
      </x:c>
      <x:c r="E58" s="31" t="inlineStr">
        <x:is>
          <x:t xml:space="preserve">Металл</x:t>
        </x:is>
      </x:c>
      <x:c r="F58" s="31" t="n">
        <x:v>9.699999999999999</x:v>
      </x:c>
      <x:c r="G58" s="31" t="inlineStr">
        <x:is>
          <x:t xml:space="preserve">м</x:t>
        </x:is>
      </x:c>
      <x:c r="H58" s="31" t="inlineStr">
        <x:is>
          <x:t xml:space="preserve">Обязательный</x:t>
        </x:is>
      </x:c>
      <x:c r="I58" s="31" t="inlineStr">
        <x:is>
          <x:t xml:space="preserve">ГЗ-МЕТ-9</x:t>
        </x:is>
      </x:c>
      <x:c r="J58" s="31" t="inlineStr">
        <x:is>
          <x:t xml:space="preserve">Нет</x:t>
        </x:is>
      </x:c>
    </x:row>
    <x:row r="59" ht="18" customHeight="1">
      <x:c r="A59" s="31" t="inlineStr">
        <x:is>
          <x:t xml:space="preserve">СОСТ-00058</x:t>
        </x:is>
      </x:c>
      <x:c r="B59" s="31" t="inlineStr">
        <x:is>
          <x:t xml:space="preserve">ИЗД-005</x:t>
        </x:is>
      </x:c>
      <x:c r="C59" s="31" t="inlineStr">
        <x:is>
          <x:t xml:space="preserve">МАТ-0012</x:t>
        </x:is>
      </x:c>
      <x:c r="D59" s="31" t="inlineStr">
        <x:is>
          <x:t xml:space="preserve">Фланец Ду80 Ру16</x:t>
        </x:is>
      </x:c>
      <x:c r="E59" s="31" t="inlineStr">
        <x:is>
          <x:t xml:space="preserve">Металл</x:t>
        </x:is>
      </x:c>
      <x:c r="F59" s="31" t="n">
        <x:v>56.45</x:v>
      </x:c>
      <x:c r="G59" s="31" t="inlineStr">
        <x:is>
          <x:t xml:space="preserve">л</x:t>
        </x:is>
      </x:c>
      <x:c r="H59" s="31" t="inlineStr">
        <x:is>
          <x:t xml:space="preserve">Обязательный</x:t>
        </x:is>
      </x:c>
      <x:c r="I59" s="31" t="inlineStr">
        <x:is>
          <x:t xml:space="preserve">ГЗ-МЕТ-9</x:t>
        </x:is>
      </x:c>
      <x:c r="J59" s="31" t="inlineStr">
        <x:is>
          <x:t xml:space="preserve">Нет</x:t>
        </x:is>
      </x:c>
    </x:row>
    <x:row r="60" ht="18" customHeight="1">
      <x:c r="A60" s="31" t="inlineStr">
        <x:is>
          <x:t xml:space="preserve">СОСТ-00059</x:t>
        </x:is>
      </x:c>
      <x:c r="B60" s="31" t="inlineStr">
        <x:is>
          <x:t xml:space="preserve">ИЗД-005</x:t>
        </x:is>
      </x:c>
      <x:c r="C60" s="31" t="inlineStr">
        <x:is>
          <x:t xml:space="preserve">МАТ-0002</x:t>
        </x:is>
      </x:c>
      <x:c r="D60" s="31" t="inlineStr">
        <x:is>
          <x:t xml:space="preserve">Лист стальной 09Г2С 12 мм</x:t>
        </x:is>
      </x:c>
      <x:c r="E60" s="31" t="inlineStr">
        <x:is>
          <x:t xml:space="preserve">Металл</x:t>
        </x:is>
      </x:c>
      <x:c r="F60" s="31" t="n">
        <x:v>29.68</x:v>
      </x:c>
      <x:c r="G60" s="31" t="inlineStr">
        <x:is>
          <x:t xml:space="preserve">кг</x:t>
        </x:is>
      </x:c>
      <x:c r="H60" s="31" t="inlineStr">
        <x:is>
          <x:t xml:space="preserve">Обязательный</x:t>
        </x:is>
      </x:c>
      <x:c r="I60" s="31" t="inlineStr">
        <x:is>
          <x:t xml:space="preserve">ГЗ-МЕТ-2</x:t>
        </x:is>
      </x:c>
      <x:c r="J60" s="31" t="inlineStr">
        <x:is>
          <x:t xml:space="preserve">Нет</x:t>
        </x:is>
      </x:c>
    </x:row>
    <x:row r="61" ht="18" customHeight="1">
      <x:c r="A61" s="31" t="inlineStr">
        <x:is>
          <x:t xml:space="preserve">СОСТ-00060</x:t>
        </x:is>
      </x:c>
      <x:c r="B61" s="31" t="inlineStr">
        <x:is>
          <x:t xml:space="preserve">ИЗД-005</x:t>
        </x:is>
      </x:c>
      <x:c r="C61" s="31" t="inlineStr">
        <x:is>
          <x:t xml:space="preserve">МАТ-0021</x:t>
        </x:is>
      </x:c>
      <x:c r="D61" s="31" t="inlineStr">
        <x:is>
          <x:t xml:space="preserve">Торцевое уплотнение</x:t>
        </x:is>
      </x:c>
      <x:c r="E61" s="31" t="inlineStr">
        <x:is>
          <x:t xml:space="preserve">Насосы</x:t>
        </x:is>
      </x:c>
      <x:c r="F61" s="31" t="n">
        <x:v>1.79</x:v>
      </x:c>
      <x:c r="G61" s="31" t="inlineStr">
        <x:is>
          <x:t xml:space="preserve">шт</x:t>
        </x:is>
      </x:c>
      <x:c r="H61" s="31" t="inlineStr">
        <x:is>
          <x:t xml:space="preserve">Замена</x:t>
        </x:is>
      </x:c>
      <x:c r="I61" s="31" t="inlineStr">
        <x:is>
          <x:t xml:space="preserve">ГЗ-НАС-1</x:t>
        </x:is>
      </x:c>
      <x:c r="J61" s="31" t="inlineStr">
        <x:is>
          <x:t xml:space="preserve">Нет</x:t>
        </x:is>
      </x:c>
    </x:row>
    <x:row r="62" ht="18" customHeight="1">
      <x:c r="A62" s="31" t="inlineStr">
        <x:is>
          <x:t xml:space="preserve">СОСТ-00061</x:t>
        </x:is>
      </x:c>
      <x:c r="B62" s="31" t="inlineStr">
        <x:is>
          <x:t xml:space="preserve">ИЗД-005</x:t>
        </x:is>
      </x:c>
      <x:c r="C62" s="31" t="inlineStr">
        <x:is>
          <x:t xml:space="preserve">МАТ-0029</x:t>
        </x:is>
      </x:c>
      <x:c r="D62" s="31" t="inlineStr">
        <x:is>
          <x:t xml:space="preserve">Частотный преобразователь 22 кВт</x:t>
        </x:is>
      </x:c>
      <x:c r="E62" s="31" t="inlineStr">
        <x:is>
          <x:t xml:space="preserve">Электродвигатели</x:t>
        </x:is>
      </x:c>
      <x:c r="F62" s="31" t="n">
        <x:v>1.95</x:v>
      </x:c>
      <x:c r="G62" s="31" t="inlineStr">
        <x:is>
          <x:t xml:space="preserve">шт</x:t>
        </x:is>
      </x:c>
      <x:c r="H62" s="31" t="inlineStr">
        <x:is>
          <x:t xml:space="preserve">Обязательный</x:t>
        </x:is>
      </x:c>
      <x:c r="I62" s="31" t="inlineStr">
        <x:is>
          <x:t xml:space="preserve">ГЗ-ЭЛЕ-9</x:t>
        </x:is>
      </x:c>
      <x:c r="J62" s="31" t="inlineStr">
        <x:is>
          <x:t xml:space="preserve">Нет</x:t>
        </x:is>
      </x:c>
    </x:row>
    <x:row r="63" ht="18" customHeight="1">
      <x:c r="A63" s="31" t="inlineStr">
        <x:is>
          <x:t xml:space="preserve">СОСТ-00062</x:t>
        </x:is>
      </x:c>
      <x:c r="B63" s="31" t="inlineStr">
        <x:is>
          <x:t xml:space="preserve">ИЗД-005</x:t>
        </x:is>
      </x:c>
      <x:c r="C63" s="31" t="inlineStr">
        <x:is>
          <x:t xml:space="preserve">МАТ-0036</x:t>
        </x:is>
      </x:c>
      <x:c r="D63" s="31" t="inlineStr">
        <x:is>
          <x:t xml:space="preserve">Клапан электромагнитный 24В / исп.2</x:t>
        </x:is>
      </x:c>
      <x:c r="E63" s="31" t="inlineStr">
        <x:is>
          <x:t xml:space="preserve">КИПиА</x:t>
        </x:is>
      </x:c>
      <x:c r="F63" s="31" t="n">
        <x:v>1.28</x:v>
      </x:c>
      <x:c r="G63" s="31" t="inlineStr">
        <x:is>
          <x:t xml:space="preserve">шт</x:t>
        </x:is>
      </x:c>
      <x:c r="H63" s="31" t="inlineStr">
        <x:is>
          <x:t xml:space="preserve">Обязательный</x:t>
        </x:is>
      </x:c>
      <x:c r="I63" s="31" t="inlineStr">
        <x:is>
          <x:t xml:space="preserve">ГЗ-КИП-6</x:t>
        </x:is>
      </x:c>
      <x:c r="J63" s="31" t="inlineStr">
        <x:is>
          <x:t xml:space="preserve">Нет</x:t>
        </x:is>
      </x:c>
    </x:row>
    <x:row r="64" ht="18" customHeight="1">
      <x:c r="A64" s="31" t="inlineStr">
        <x:is>
          <x:t xml:space="preserve">СОСТ-00063</x:t>
        </x:is>
      </x:c>
      <x:c r="B64" s="31" t="inlineStr">
        <x:is>
          <x:t xml:space="preserve">ИЗД-005</x:t>
        </x:is>
      </x:c>
      <x:c r="C64" s="31" t="inlineStr">
        <x:is>
          <x:t xml:space="preserve">МАТ-0033</x:t>
        </x:is>
      </x:c>
      <x:c r="D64" s="31" t="inlineStr">
        <x:is>
          <x:t xml:space="preserve">Расходомер электромагнитный Ду50</x:t>
        </x:is>
      </x:c>
      <x:c r="E64" s="31" t="inlineStr">
        <x:is>
          <x:t xml:space="preserve">КИПиА</x:t>
        </x:is>
      </x:c>
      <x:c r="F64" s="31" t="n">
        <x:v>4.2</x:v>
      </x:c>
      <x:c r="G64" s="31" t="inlineStr">
        <x:is>
          <x:t xml:space="preserve">шт</x:t>
        </x:is>
      </x:c>
      <x:c r="H64" s="31" t="inlineStr">
        <x:is>
          <x:t xml:space="preserve">Обязательный</x:t>
        </x:is>
      </x:c>
      <x:c r="I64" s="31" t="inlineStr">
        <x:is>
          <x:t xml:space="preserve">ГЗ-КИП-6</x:t>
        </x:is>
      </x:c>
      <x:c r="J64" s="31" t="inlineStr">
        <x:is>
          <x:t xml:space="preserve">Нет</x:t>
        </x:is>
      </x:c>
    </x:row>
    <x:row r="65" ht="18" customHeight="1">
      <x:c r="A65" s="31" t="inlineStr">
        <x:is>
          <x:t xml:space="preserve">СОСТ-00064</x:t>
        </x:is>
      </x:c>
      <x:c r="B65" s="31" t="inlineStr">
        <x:is>
          <x:t xml:space="preserve">ИЗД-005</x:t>
        </x:is>
      </x:c>
      <x:c r="C65" s="31" t="inlineStr">
        <x:is>
          <x:t xml:space="preserve">МАТ-0037</x:t>
        </x:is>
      </x:c>
      <x:c r="D65" s="31" t="inlineStr">
        <x:is>
          <x:t xml:space="preserve">Клапан электромагнитный 24В / исп.3</x:t>
        </x:is>
      </x:c>
      <x:c r="E65" s="31" t="inlineStr">
        <x:is>
          <x:t xml:space="preserve">КИПиА</x:t>
        </x:is>
      </x:c>
      <x:c r="F65" s="31" t="n">
        <x:v>4.11</x:v>
      </x:c>
      <x:c r="G65" s="31" t="inlineStr">
        <x:is>
          <x:t xml:space="preserve">шт</x:t>
        </x:is>
      </x:c>
      <x:c r="H65" s="31" t="inlineStr">
        <x:is>
          <x:t xml:space="preserve">Обязательный</x:t>
        </x:is>
      </x:c>
      <x:c r="I65" s="31" t="inlineStr">
        <x:is>
          <x:t xml:space="preserve">ГЗ-КИП-3</x:t>
        </x:is>
      </x:c>
      <x:c r="J65" s="31" t="inlineStr">
        <x:is>
          <x:t xml:space="preserve">Нет</x:t>
        </x:is>
      </x:c>
    </x:row>
    <x:row r="66" ht="18" customHeight="1">
      <x:c r="A66" s="31" t="inlineStr">
        <x:is>
          <x:t xml:space="preserve">СОСТ-00065</x:t>
        </x:is>
      </x:c>
      <x:c r="B66" s="31" t="inlineStr">
        <x:is>
          <x:t xml:space="preserve">ИЗД-005</x:t>
        </x:is>
      </x:c>
      <x:c r="C66" s="31" t="inlineStr">
        <x:is>
          <x:t xml:space="preserve">МАТ-0054</x:t>
        </x:is>
      </x:c>
      <x:c r="D66" s="31" t="inlineStr">
        <x:is>
          <x:t xml:space="preserve">Кран шаровой Ду80</x:t>
        </x:is>
      </x:c>
      <x:c r="E66" s="31" t="inlineStr">
        <x:is>
          <x:t xml:space="preserve">Запорная арматура</x:t>
        </x:is>
      </x:c>
      <x:c r="F66" s="31" t="n">
        <x:v>7</x:v>
      </x:c>
      <x:c r="G66" s="31" t="inlineStr">
        <x:is>
          <x:t xml:space="preserve">шт</x:t>
        </x:is>
      </x:c>
      <x:c r="H66" s="31" t="inlineStr">
        <x:is>
          <x:t xml:space="preserve">Опция</x:t>
        </x:is>
      </x:c>
      <x:c r="I66" s="31" t="inlineStr">
        <x:is>
          <x:t xml:space="preserve">ГЗ-ЗАП-5</x:t>
        </x:is>
      </x:c>
      <x:c r="J66" s="31" t="inlineStr">
        <x:is>
          <x:t xml:space="preserve">Нет</x:t>
        </x:is>
      </x:c>
    </x:row>
    <x:row r="67" ht="18" customHeight="1">
      <x:c r="A67" s="31" t="inlineStr">
        <x:is>
          <x:t xml:space="preserve">СОСТ-00066</x:t>
        </x:is>
      </x:c>
      <x:c r="B67" s="31" t="inlineStr">
        <x:is>
          <x:t xml:space="preserve">ИЗД-005</x:t>
        </x:is>
      </x:c>
      <x:c r="C67" s="31" t="inlineStr">
        <x:is>
          <x:t xml:space="preserve">МАТ-0061</x:t>
        </x:is>
      </x:c>
      <x:c r="D67" s="31" t="inlineStr">
        <x:is>
          <x:t xml:space="preserve">Фильтр сетчатый Ду50 / исп.3</x:t>
        </x:is>
      </x:c>
      <x:c r="E67" s="31" t="inlineStr">
        <x:is>
          <x:t xml:space="preserve">Запорная арматура</x:t>
        </x:is>
      </x:c>
      <x:c r="F67" s="31" t="n">
        <x:v>3.57</x:v>
      </x:c>
      <x:c r="G67" s="31" t="inlineStr">
        <x:is>
          <x:t xml:space="preserve">шт</x:t>
        </x:is>
      </x:c>
      <x:c r="H67" s="31" t="inlineStr">
        <x:is>
          <x:t xml:space="preserve">Обязательный</x:t>
        </x:is>
      </x:c>
      <x:c r="I67" s="31" t="inlineStr">
        <x:is>
          <x:t xml:space="preserve">ГЗ-ЗАП-1</x:t>
        </x:is>
      </x:c>
      <x:c r="J67" s="31" t="inlineStr">
        <x:is>
          <x:t xml:space="preserve">Нет</x:t>
        </x:is>
      </x:c>
    </x:row>
    <x:row r="68" ht="18" customHeight="1">
      <x:c r="A68" s="31" t="inlineStr">
        <x:is>
          <x:t xml:space="preserve">СОСТ-00067</x:t>
        </x:is>
      </x:c>
      <x:c r="B68" s="31" t="inlineStr">
        <x:is>
          <x:t xml:space="preserve">ИЗД-005</x:t>
        </x:is>
      </x:c>
      <x:c r="C68" s="31" t="inlineStr">
        <x:is>
          <x:t xml:space="preserve">МАТ-0062</x:t>
        </x:is>
      </x:c>
      <x:c r="D68" s="31" t="inlineStr">
        <x:is>
          <x:t xml:space="preserve">Кабель КВВГ 4×1.5</x:t>
        </x:is>
      </x:c>
      <x:c r="E68" s="31" t="inlineStr">
        <x:is>
          <x:t xml:space="preserve">Кабель</x:t>
        </x:is>
      </x:c>
      <x:c r="F68" s="31" t="n">
        <x:v>42.77</x:v>
      </x:c>
      <x:c r="G68" s="31" t="inlineStr">
        <x:is>
          <x:t xml:space="preserve">м</x:t>
        </x:is>
      </x:c>
      <x:c r="H68" s="31" t="inlineStr">
        <x:is>
          <x:t xml:space="preserve">Обязательный</x:t>
        </x:is>
      </x:c>
      <x:c r="I68" s="31" t="inlineStr">
        <x:is>
          <x:t xml:space="preserve">ГЗ-КАБ-9</x:t>
        </x:is>
      </x:c>
      <x:c r="J68" s="31" t="inlineStr">
        <x:is>
          <x:t xml:space="preserve">Нет</x:t>
        </x:is>
      </x:c>
    </x:row>
    <x:row r="69" ht="18" customHeight="1">
      <x:c r="A69" s="31" t="inlineStr">
        <x:is>
          <x:t xml:space="preserve">СОСТ-00068</x:t>
        </x:is>
      </x:c>
      <x:c r="B69" s="31" t="inlineStr">
        <x:is>
          <x:t xml:space="preserve">ИЗД-005</x:t>
        </x:is>
      </x:c>
      <x:c r="C69" s="31" t="inlineStr">
        <x:is>
          <x:t xml:space="preserve">МАТ-0065</x:t>
        </x:is>
      </x:c>
      <x:c r="D69" s="31" t="inlineStr">
        <x:is>
          <x:t xml:space="preserve">Гофра металлическая</x:t>
        </x:is>
      </x:c>
      <x:c r="E69" s="31" t="inlineStr">
        <x:is>
          <x:t xml:space="preserve">Кабель</x:t>
        </x:is>
      </x:c>
      <x:c r="F69" s="31" t="n">
        <x:v>3.8</x:v>
      </x:c>
      <x:c r="G69" s="31" t="inlineStr">
        <x:is>
          <x:t xml:space="preserve">шт</x:t>
        </x:is>
      </x:c>
      <x:c r="H69" s="31" t="inlineStr">
        <x:is>
          <x:t xml:space="preserve">Обязательный</x:t>
        </x:is>
      </x:c>
      <x:c r="I69" s="31" t="inlineStr">
        <x:is>
          <x:t xml:space="preserve">ГЗ-КАБ-2</x:t>
        </x:is>
      </x:c>
      <x:c r="J69" s="31" t="inlineStr">
        <x:is>
          <x:t xml:space="preserve">Нет</x:t>
        </x:is>
      </x:c>
    </x:row>
    <x:row r="70" ht="18" customHeight="1">
      <x:c r="A70" s="31" t="inlineStr">
        <x:is>
          <x:t xml:space="preserve">СОСТ-00069</x:t>
        </x:is>
      </x:c>
      <x:c r="B70" s="31" t="inlineStr">
        <x:is>
          <x:t xml:space="preserve">ИЗД-005</x:t>
        </x:is>
      </x:c>
      <x:c r="C70" s="31" t="inlineStr">
        <x:is>
          <x:t xml:space="preserve">МАТ-0063</x:t>
        </x:is>
      </x:c>
      <x:c r="D70" s="31" t="inlineStr">
        <x:is>
          <x:t xml:space="preserve">Кабель ВВГнг 3×2.5</x:t>
        </x:is>
      </x:c>
      <x:c r="E70" s="31" t="inlineStr">
        <x:is>
          <x:t xml:space="preserve">Кабель</x:t>
        </x:is>
      </x:c>
      <x:c r="F70" s="31" t="n">
        <x:v>1.45</x:v>
      </x:c>
      <x:c r="G70" s="31" t="inlineStr">
        <x:is>
          <x:t xml:space="preserve">шт</x:t>
        </x:is>
      </x:c>
      <x:c r="H70" s="31" t="inlineStr">
        <x:is>
          <x:t xml:space="preserve">Замена</x:t>
        </x:is>
      </x:c>
      <x:c r="I70" s="31" t="inlineStr">
        <x:is>
          <x:t xml:space="preserve">ГЗ-КАБ-2</x:t>
        </x:is>
      </x:c>
      <x:c r="J70" s="31" t="inlineStr">
        <x:is>
          <x:t xml:space="preserve">Нет</x:t>
        </x:is>
      </x:c>
    </x:row>
    <x:row r="71" ht="18" customHeight="1">
      <x:c r="A71" s="31" t="inlineStr">
        <x:is>
          <x:t xml:space="preserve">СОСТ-00070</x:t>
        </x:is>
      </x:c>
      <x:c r="B71" s="31" t="inlineStr">
        <x:is>
          <x:t xml:space="preserve">ИЗД-005</x:t>
        </x:is>
      </x:c>
      <x:c r="C71" s="31" t="inlineStr">
        <x:is>
          <x:t xml:space="preserve">МАТ-0044</x:t>
        </x:is>
      </x:c>
      <x:c r="D71" s="31" t="inlineStr">
        <x:is>
          <x:t xml:space="preserve">Блок питания 24В / исп.2</x:t>
        </x:is>
      </x:c>
      <x:c r="E71" s="31" t="inlineStr">
        <x:is>
          <x:t xml:space="preserve">ПЛК/электрика</x:t>
        </x:is>
      </x:c>
      <x:c r="F71" s="31" t="n">
        <x:v>1.86</x:v>
      </x:c>
      <x:c r="G71" s="31" t="inlineStr">
        <x:is>
          <x:t xml:space="preserve">шт</x:t>
        </x:is>
      </x:c>
      <x:c r="H71" s="31" t="inlineStr">
        <x:is>
          <x:t xml:space="preserve">Обязательный</x:t>
        </x:is>
      </x:c>
      <x:c r="I71" s="31" t="inlineStr">
        <x:is>
          <x:t xml:space="preserve">ГЗ-ПЛК-1</x:t>
        </x:is>
      </x:c>
      <x:c r="J71" s="31" t="inlineStr">
        <x:is>
          <x:t xml:space="preserve">Нет</x:t>
        </x:is>
      </x:c>
    </x:row>
    <x:row r="72" ht="18" customHeight="1">
      <x:c r="A72" s="31" t="inlineStr">
        <x:is>
          <x:t xml:space="preserve">СОСТ-00071</x:t>
        </x:is>
      </x:c>
      <x:c r="B72" s="31" t="inlineStr">
        <x:is>
          <x:t xml:space="preserve">ИЗД-005</x:t>
        </x:is>
      </x:c>
      <x:c r="C72" s="31" t="inlineStr">
        <x:is>
          <x:t xml:space="preserve">МАТ-0042</x:t>
        </x:is>
      </x:c>
      <x:c r="D72" s="31" t="inlineStr">
        <x:is>
          <x:t xml:space="preserve">модуль аналогового входа 4 канала / исп.3</x:t>
        </x:is>
      </x:c>
      <x:c r="E72" s="31" t="inlineStr">
        <x:is>
          <x:t xml:space="preserve">ПЛК/электрика</x:t>
        </x:is>
      </x:c>
      <x:c r="F72" s="31" t="n">
        <x:v>6.35</x:v>
      </x:c>
      <x:c r="G72" s="31" t="inlineStr">
        <x:is>
          <x:t xml:space="preserve">шт</x:t>
        </x:is>
      </x:c>
      <x:c r="H72" s="31" t="inlineStr">
        <x:is>
          <x:t xml:space="preserve">Обязательный</x:t>
        </x:is>
      </x:c>
      <x:c r="I72" s="31" t="inlineStr">
        <x:is>
          <x:t xml:space="preserve">ГЗ-ПЛК-7</x:t>
        </x:is>
      </x:c>
      <x:c r="J72" s="31" t="inlineStr">
        <x:is>
          <x:t xml:space="preserve">Нет</x:t>
        </x:is>
      </x:c>
    </x:row>
    <x:row r="73" ht="18" customHeight="1">
      <x:c r="A73" s="31" t="inlineStr">
        <x:is>
          <x:t xml:space="preserve">СОСТ-00072</x:t>
        </x:is>
      </x:c>
      <x:c r="B73" s="31" t="inlineStr">
        <x:is>
          <x:t xml:space="preserve">ИЗД-005</x:t>
        </x:is>
      </x:c>
      <x:c r="C73" s="31" t="inlineStr">
        <x:is>
          <x:t xml:space="preserve">МАТ-0050</x:t>
        </x:is>
      </x:c>
      <x:c r="D73" s="31" t="inlineStr">
        <x:is>
          <x:t xml:space="preserve">панель оператора 7"</x:t>
        </x:is>
      </x:c>
      <x:c r="E73" s="31" t="inlineStr">
        <x:is>
          <x:t xml:space="preserve">ПЛК/электрика</x:t>
        </x:is>
      </x:c>
      <x:c r="F73" s="31" t="n">
        <x:v>6.53</x:v>
      </x:c>
      <x:c r="G73" s="31" t="inlineStr">
        <x:is>
          <x:t xml:space="preserve">шт</x:t>
        </x:is>
      </x:c>
      <x:c r="H73" s="31" t="inlineStr">
        <x:is>
          <x:t xml:space="preserve">Обязательный</x:t>
        </x:is>
      </x:c>
      <x:c r="I73" s="31" t="inlineStr">
        <x:is>
          <x:t xml:space="preserve">ГЗ-ПЛК-8</x:t>
        </x:is>
      </x:c>
      <x:c r="J73" s="31" t="inlineStr">
        <x:is>
          <x:t xml:space="preserve">Нет</x:t>
        </x:is>
      </x:c>
    </x:row>
    <x:row r="74" ht="18" customHeight="1">
      <x:c r="A74" s="31" t="inlineStr">
        <x:is>
          <x:t xml:space="preserve">СОСТ-00073</x:t>
        </x:is>
      </x:c>
      <x:c r="B74" s="31" t="inlineStr">
        <x:is>
          <x:t xml:space="preserve">ИЗД-005</x:t>
        </x:is>
      </x:c>
      <x:c r="C74" s="31" t="inlineStr">
        <x:is>
          <x:t xml:space="preserve">МАТ-0073</x:t>
        </x:is>
      </x:c>
      <x:c r="D74" s="31" t="inlineStr">
        <x:is>
          <x:t xml:space="preserve">Растворитель / исп.2</x:t>
        </x:is>
      </x:c>
      <x:c r="E74" s="31" t="inlineStr">
        <x:is>
          <x:t xml:space="preserve">Покраска</x:t>
        </x:is>
      </x:c>
      <x:c r="F74" s="31" t="n">
        <x:v>33.55</x:v>
      </x:c>
      <x:c r="G74" s="31" t="inlineStr">
        <x:is>
          <x:t xml:space="preserve">л</x:t>
        </x:is>
      </x:c>
      <x:c r="H74" s="31" t="inlineStr">
        <x:is>
          <x:t xml:space="preserve">Обязательный</x:t>
        </x:is>
      </x:c>
      <x:c r="I74" s="31" t="inlineStr">
        <x:is>
          <x:t xml:space="preserve">ГЗ-ПОК-8</x:t>
        </x:is>
      </x:c>
      <x:c r="J74" s="31" t="inlineStr">
        <x:is>
          <x:t xml:space="preserve">Нет</x:t>
        </x:is>
      </x:c>
    </x:row>
    <x:row r="75" ht="18" customHeight="1">
      <x:c r="A75" s="31" t="inlineStr">
        <x:is>
          <x:t xml:space="preserve">СОСТ-00074</x:t>
        </x:is>
      </x:c>
      <x:c r="B75" s="31" t="inlineStr">
        <x:is>
          <x:t xml:space="preserve">ИЗД-005</x:t>
        </x:is>
      </x:c>
      <x:c r="C75" s="31" t="inlineStr">
        <x:is>
          <x:t xml:space="preserve">МАТ-0074</x:t>
        </x:is>
      </x:c>
      <x:c r="D75" s="31" t="inlineStr">
        <x:is>
          <x:t xml:space="preserve">Абразив для пескоструя</x:t>
        </x:is>
      </x:c>
      <x:c r="E75" s="31" t="inlineStr">
        <x:is>
          <x:t xml:space="preserve">Покраска</x:t>
        </x:is>
      </x:c>
      <x:c r="F75" s="31" t="n">
        <x:v>4.18</x:v>
      </x:c>
      <x:c r="G75" s="31" t="inlineStr">
        <x:is>
          <x:t xml:space="preserve">шт</x:t>
        </x:is>
      </x:c>
      <x:c r="H75" s="31" t="inlineStr">
        <x:is>
          <x:t xml:space="preserve">Обязательный</x:t>
        </x:is>
      </x:c>
      <x:c r="I75" s="31" t="inlineStr">
        <x:is>
          <x:t xml:space="preserve">ГЗ-ПОК-9</x:t>
        </x:is>
      </x:c>
      <x:c r="J75" s="31" t="inlineStr">
        <x:is>
          <x:t xml:space="preserve">Нет</x:t>
        </x:is>
      </x:c>
    </x:row>
    <x:row r="76" ht="18" customHeight="1">
      <x:c r="A76" s="31" t="inlineStr">
        <x:is>
          <x:t xml:space="preserve">СОСТ-00075</x:t>
        </x:is>
      </x:c>
      <x:c r="B76" s="31" t="inlineStr">
        <x:is>
          <x:t xml:space="preserve">ИЗД-005</x:t>
        </x:is>
      </x:c>
      <x:c r="C76" s="31" t="inlineStr">
        <x:is>
          <x:t xml:space="preserve">МАТ-0077</x:t>
        </x:is>
      </x:c>
      <x:c r="D76" s="31" t="inlineStr">
        <x:is>
          <x:t xml:space="preserve">Болт М16</x:t>
        </x:is>
      </x:c>
      <x:c r="E76" s="31" t="inlineStr">
        <x:is>
          <x:t xml:space="preserve">Крепеж</x:t>
        </x:is>
      </x:c>
      <x:c r="F76" s="31" t="n">
        <x:v>1.21</x:v>
      </x:c>
      <x:c r="G76" s="31" t="inlineStr">
        <x:is>
          <x:t xml:space="preserve">шт</x:t>
        </x:is>
      </x:c>
      <x:c r="H76" s="31" t="inlineStr">
        <x:is>
          <x:t xml:space="preserve">Обязательный</x:t>
        </x:is>
      </x:c>
      <x:c r="I76" s="31" t="inlineStr">
        <x:is>
          <x:t xml:space="preserve">ГЗ-КРЕ-1</x:t>
        </x:is>
      </x:c>
      <x:c r="J76" s="31" t="inlineStr">
        <x:is>
          <x:t xml:space="preserve">Нет</x:t>
        </x:is>
      </x:c>
    </x:row>
    <x:row r="77" ht="18" customHeight="1">
      <x:c r="A77" s="31" t="inlineStr">
        <x:is>
          <x:t xml:space="preserve">СОСТ-00076</x:t>
        </x:is>
      </x:c>
      <x:c r="B77" s="31" t="inlineStr">
        <x:is>
          <x:t xml:space="preserve">ИЗД-005</x:t>
        </x:is>
      </x:c>
      <x:c r="C77" s="31" t="inlineStr">
        <x:is>
          <x:t xml:space="preserve">МАТ-0089</x:t>
        </x:is>
      </x:c>
      <x:c r="D77" s="31" t="inlineStr">
        <x:is>
          <x:t xml:space="preserve">Маркировочная этикетка</x:t>
        </x:is>
      </x:c>
      <x:c r="E77" s="31" t="inlineStr">
        <x:is>
          <x:t xml:space="preserve">Упаковка</x:t>
        </x:is>
      </x:c>
      <x:c r="F77" s="31" t="n">
        <x:v>1.19</x:v>
      </x:c>
      <x:c r="G77" s="31" t="inlineStr">
        <x:is>
          <x:t xml:space="preserve">шт</x:t>
        </x:is>
      </x:c>
      <x:c r="H77" s="31" t="inlineStr">
        <x:is>
          <x:t xml:space="preserve">Обязательный</x:t>
        </x:is>
      </x:c>
      <x:c r="I77" s="31" t="inlineStr">
        <x:is>
          <x:t xml:space="preserve">ГЗ-УПА-7</x:t>
        </x:is>
      </x:c>
      <x:c r="J77" s="31" t="inlineStr">
        <x:is>
          <x:t xml:space="preserve">Нет</x:t>
        </x:is>
      </x:c>
    </x:row>
    <x:row r="78" ht="18" customHeight="1">
      <x:c r="A78" s="31" t="inlineStr">
        <x:is>
          <x:t xml:space="preserve">СОСТ-00077</x:t>
        </x:is>
      </x:c>
      <x:c r="B78" s="31" t="inlineStr">
        <x:is>
          <x:t xml:space="preserve">ИЗД-005</x:t>
        </x:is>
      </x:c>
      <x:c r="C78" s="31" t="inlineStr">
        <x:is>
          <x:t xml:space="preserve">МАТ-0086</x:t>
        </x:is>
      </x:c>
      <x:c r="D78" s="31" t="inlineStr">
        <x:is>
          <x:t xml:space="preserve">Пленка стрейч / исп.2</x:t>
        </x:is>
      </x:c>
      <x:c r="E78" s="31" t="inlineStr">
        <x:is>
          <x:t xml:space="preserve">Упаковка</x:t>
        </x:is>
      </x:c>
      <x:c r="F78" s="31" t="n">
        <x:v>2.07</x:v>
      </x:c>
      <x:c r="G78" s="31" t="inlineStr">
        <x:is>
          <x:t xml:space="preserve">шт</x:t>
        </x:is>
      </x:c>
      <x:c r="H78" s="31" t="inlineStr">
        <x:is>
          <x:t xml:space="preserve">Обязательный</x:t>
        </x:is>
      </x:c>
      <x:c r="I78" s="31" t="inlineStr">
        <x:is>
          <x:t xml:space="preserve">ГЗ-УПА-4</x:t>
        </x:is>
      </x:c>
      <x:c r="J78" s="31" t="inlineStr">
        <x:is>
          <x:t xml:space="preserve">Нет</x:t>
        </x:is>
      </x:c>
    </x:row>
    <x:row r="79" ht="18" customHeight="1">
      <x:c r="A79" s="31" t="inlineStr">
        <x:is>
          <x:t xml:space="preserve">СОСТ-00078</x:t>
        </x:is>
      </x:c>
      <x:c r="B79" s="31" t="inlineStr">
        <x:is>
          <x:t xml:space="preserve">ИЗД-006</x:t>
        </x:is>
      </x:c>
      <x:c r="C79" s="31" t="inlineStr">
        <x:is>
          <x:t xml:space="preserve">МАТ-0011</x:t>
        </x:is>
      </x:c>
      <x:c r="D79" s="31" t="inlineStr">
        <x:is>
          <x:t xml:space="preserve">Фланец Ду50 Ру16 / исп.3</x:t>
        </x:is>
      </x:c>
      <x:c r="E79" s="31" t="inlineStr">
        <x:is>
          <x:t xml:space="preserve">Металл</x:t>
        </x:is>
      </x:c>
      <x:c r="F79" s="31" t="n">
        <x:v>6.26</x:v>
      </x:c>
      <x:c r="G79" s="31" t="inlineStr">
        <x:is>
          <x:t xml:space="preserve">шт</x:t>
        </x:is>
      </x:c>
      <x:c r="H79" s="31" t="inlineStr">
        <x:is>
          <x:t xml:space="preserve">Обязательный</x:t>
        </x:is>
      </x:c>
      <x:c r="I79" s="31" t="inlineStr">
        <x:is>
          <x:t xml:space="preserve">ГЗ-МЕТ-6</x:t>
        </x:is>
      </x:c>
      <x:c r="J79" s="31" t="inlineStr">
        <x:is>
          <x:t xml:space="preserve">Нет</x:t>
        </x:is>
      </x:c>
    </x:row>
    <x:row r="80" ht="18" customHeight="1">
      <x:c r="A80" s="31" t="inlineStr">
        <x:is>
          <x:t xml:space="preserve">СОСТ-00079</x:t>
        </x:is>
      </x:c>
      <x:c r="B80" s="31" t="inlineStr">
        <x:is>
          <x:t xml:space="preserve">ИЗД-006</x:t>
        </x:is>
      </x:c>
      <x:c r="C80" s="31" t="inlineStr">
        <x:is>
          <x:t xml:space="preserve">МАТ-0019</x:t>
        </x:is>
      </x:c>
      <x:c r="D80" s="31" t="inlineStr">
        <x:is>
          <x:t xml:space="preserve">Насос дозировочный</x:t>
        </x:is>
      </x:c>
      <x:c r="E80" s="31" t="inlineStr">
        <x:is>
          <x:t xml:space="preserve">Насосы</x:t>
        </x:is>
      </x:c>
      <x:c r="F80" s="31" t="n">
        <x:v>5.63</x:v>
      </x:c>
      <x:c r="G80" s="31" t="inlineStr">
        <x:is>
          <x:t xml:space="preserve">шт</x:t>
        </x:is>
      </x:c>
      <x:c r="H80" s="31" t="inlineStr">
        <x:is>
          <x:t xml:space="preserve">Обязательный</x:t>
        </x:is>
      </x:c>
      <x:c r="I80" s="31" t="inlineStr">
        <x:is>
          <x:t xml:space="preserve">ГЗ-НАС-2</x:t>
        </x:is>
      </x:c>
      <x:c r="J80" s="31" t="inlineStr">
        <x:is>
          <x:t xml:space="preserve">Нет</x:t>
        </x:is>
      </x:c>
    </x:row>
    <x:row r="81" ht="18" customHeight="1">
      <x:c r="A81" s="31" t="inlineStr">
        <x:is>
          <x:t xml:space="preserve">СОСТ-00080</x:t>
        </x:is>
      </x:c>
      <x:c r="B81" s="31" t="inlineStr">
        <x:is>
          <x:t xml:space="preserve">ИЗД-006</x:t>
        </x:is>
      </x:c>
      <x:c r="C81" s="31" t="inlineStr">
        <x:is>
          <x:t xml:space="preserve">МАТ-0029</x:t>
        </x:is>
      </x:c>
      <x:c r="D81" s="31" t="inlineStr">
        <x:is>
          <x:t xml:space="preserve">Частотный преобразователь 22 кВт</x:t>
        </x:is>
      </x:c>
      <x:c r="E81" s="31" t="inlineStr">
        <x:is>
          <x:t xml:space="preserve">Электродвигатели</x:t>
        </x:is>
      </x:c>
      <x:c r="F81" s="31" t="n">
        <x:v>4.83</x:v>
      </x:c>
      <x:c r="G81" s="31" t="inlineStr">
        <x:is>
          <x:t xml:space="preserve">шт</x:t>
        </x:is>
      </x:c>
      <x:c r="H81" s="31" t="inlineStr">
        <x:is>
          <x:t xml:space="preserve">Опция</x:t>
        </x:is>
      </x:c>
      <x:c r="I81" s="31" t="inlineStr">
        <x:is>
          <x:t xml:space="preserve">ГЗ-ЭЛЕ-9</x:t>
        </x:is>
      </x:c>
      <x:c r="J81" s="31" t="inlineStr">
        <x:is>
          <x:t xml:space="preserve">Да</x:t>
        </x:is>
      </x:c>
    </x:row>
    <x:row r="82" ht="18" customHeight="1">
      <x:c r="A82" s="31" t="inlineStr">
        <x:is>
          <x:t xml:space="preserve">СОСТ-00081</x:t>
        </x:is>
      </x:c>
      <x:c r="B82" s="31" t="inlineStr">
        <x:is>
          <x:t xml:space="preserve">ИЗД-006</x:t>
        </x:is>
      </x:c>
      <x:c r="C82" s="31" t="inlineStr">
        <x:is>
          <x:t xml:space="preserve">МАТ-0028</x:t>
        </x:is>
      </x:c>
      <x:c r="D82" s="31" t="inlineStr">
        <x:is>
          <x:t xml:space="preserve">Частотный преобразователь 15 кВт</x:t>
        </x:is>
      </x:c>
      <x:c r="E82" s="31" t="inlineStr">
        <x:is>
          <x:t xml:space="preserve">Электродвигатели</x:t>
        </x:is>
      </x:c>
      <x:c r="F82" s="31" t="n">
        <x:v>7.16</x:v>
      </x:c>
      <x:c r="G82" s="31" t="inlineStr">
        <x:is>
          <x:t xml:space="preserve">шт</x:t>
        </x:is>
      </x:c>
      <x:c r="H82" s="31" t="inlineStr">
        <x:is>
          <x:t xml:space="preserve">Обязательный</x:t>
        </x:is>
      </x:c>
      <x:c r="I82" s="31" t="inlineStr">
        <x:is>
          <x:t xml:space="preserve">ГЗ-ЭЛЕ-3</x:t>
        </x:is>
      </x:c>
      <x:c r="J82" s="31" t="inlineStr">
        <x:is>
          <x:t xml:space="preserve">Нет</x:t>
        </x:is>
      </x:c>
    </x:row>
    <x:row r="83" ht="18" customHeight="1">
      <x:c r="A83" s="31" t="inlineStr">
        <x:is>
          <x:t xml:space="preserve">СОСТ-00082</x:t>
        </x:is>
      </x:c>
      <x:c r="B83" s="31" t="inlineStr">
        <x:is>
          <x:t xml:space="preserve">ИЗД-006</x:t>
        </x:is>
      </x:c>
      <x:c r="C83" s="31" t="inlineStr">
        <x:is>
          <x:t xml:space="preserve">МАТ-0034</x:t>
        </x:is>
      </x:c>
      <x:c r="D83" s="31" t="inlineStr">
        <x:is>
          <x:t xml:space="preserve">Манометр виброустойчивый</x:t>
        </x:is>
      </x:c>
      <x:c r="E83" s="31" t="inlineStr">
        <x:is>
          <x:t xml:space="preserve">КИПиА</x:t>
        </x:is>
      </x:c>
      <x:c r="F83" s="31" t="n">
        <x:v>4.22</x:v>
      </x:c>
      <x:c r="G83" s="31" t="inlineStr">
        <x:is>
          <x:t xml:space="preserve">шт</x:t>
        </x:is>
      </x:c>
      <x:c r="H83" s="31" t="inlineStr">
        <x:is>
          <x:t xml:space="preserve">Обязательный</x:t>
        </x:is>
      </x:c>
      <x:c r="I83" s="31" t="inlineStr">
        <x:is>
          <x:t xml:space="preserve">ГЗ-КИП-3</x:t>
        </x:is>
      </x:c>
      <x:c r="J83" s="31" t="inlineStr">
        <x:is>
          <x:t xml:space="preserve">Нет</x:t>
        </x:is>
      </x:c>
    </x:row>
    <x:row r="84" ht="18" customHeight="1">
      <x:c r="A84" s="31" t="inlineStr">
        <x:is>
          <x:t xml:space="preserve">СОСТ-00083</x:t>
        </x:is>
      </x:c>
      <x:c r="B84" s="31" t="inlineStr">
        <x:is>
          <x:t xml:space="preserve">ИЗД-006</x:t>
        </x:is>
      </x:c>
      <x:c r="C84" s="31" t="inlineStr">
        <x:is>
          <x:t xml:space="preserve">МАТ-0037</x:t>
        </x:is>
      </x:c>
      <x:c r="D84" s="31" t="inlineStr">
        <x:is>
          <x:t xml:space="preserve">Клапан электромагнитный 24В / исп.3</x:t>
        </x:is>
      </x:c>
      <x:c r="E84" s="31" t="inlineStr">
        <x:is>
          <x:t xml:space="preserve">КИПиА</x:t>
        </x:is>
      </x:c>
      <x:c r="F84" s="31" t="n">
        <x:v>6.46</x:v>
      </x:c>
      <x:c r="G84" s="31" t="inlineStr">
        <x:is>
          <x:t xml:space="preserve">шт</x:t>
        </x:is>
      </x:c>
      <x:c r="H84" s="31" t="inlineStr">
        <x:is>
          <x:t xml:space="preserve">Опция</x:t>
        </x:is>
      </x:c>
      <x:c r="I84" s="31" t="inlineStr">
        <x:is>
          <x:t xml:space="preserve">ГЗ-КИП-3</x:t>
        </x:is>
      </x:c>
      <x:c r="J84" s="31" t="inlineStr">
        <x:is>
          <x:t xml:space="preserve">Нет</x:t>
        </x:is>
      </x:c>
    </x:row>
    <x:row r="85" ht="18" customHeight="1">
      <x:c r="A85" s="31" t="inlineStr">
        <x:is>
          <x:t xml:space="preserve">СОСТ-00084</x:t>
        </x:is>
      </x:c>
      <x:c r="B85" s="31" t="inlineStr">
        <x:is>
          <x:t xml:space="preserve">ИЗД-006</x:t>
        </x:is>
      </x:c>
      <x:c r="C85" s="31" t="inlineStr">
        <x:is>
          <x:t xml:space="preserve">МАТ-0053</x:t>
        </x:is>
      </x:c>
      <x:c r="D85" s="31" t="inlineStr">
        <x:is>
          <x:t xml:space="preserve">Кран шаровой Ду50 / исп.3</x:t>
        </x:is>
      </x:c>
      <x:c r="E85" s="31" t="inlineStr">
        <x:is>
          <x:t xml:space="preserve">Запорная арматура</x:t>
        </x:is>
      </x:c>
      <x:c r="F85" s="31" t="n">
        <x:v>3.19</x:v>
      </x:c>
      <x:c r="G85" s="31" t="inlineStr">
        <x:is>
          <x:t xml:space="preserve">шт</x:t>
        </x:is>
      </x:c>
      <x:c r="H85" s="31" t="inlineStr">
        <x:is>
          <x:t xml:space="preserve">Обязательный</x:t>
        </x:is>
      </x:c>
      <x:c r="I85" s="31" t="inlineStr">
        <x:is>
          <x:t xml:space="preserve">ГЗ-ЗАП-6</x:t>
        </x:is>
      </x:c>
      <x:c r="J85" s="31" t="inlineStr">
        <x:is>
          <x:t xml:space="preserve">Нет</x:t>
        </x:is>
      </x:c>
    </x:row>
    <x:row r="86" ht="18" customHeight="1">
      <x:c r="A86" s="31" t="inlineStr">
        <x:is>
          <x:t xml:space="preserve">СОСТ-00085</x:t>
        </x:is>
      </x:c>
      <x:c r="B86" s="31" t="inlineStr">
        <x:is>
          <x:t xml:space="preserve">ИЗД-006</x:t>
        </x:is>
      </x:c>
      <x:c r="C86" s="31" t="inlineStr">
        <x:is>
          <x:t xml:space="preserve">МАТ-0060</x:t>
        </x:is>
      </x:c>
      <x:c r="D86" s="31" t="inlineStr">
        <x:is>
          <x:t xml:space="preserve">Фильтр сетчатый Ду50 / исп.2</x:t>
        </x:is>
      </x:c>
      <x:c r="E86" s="31" t="inlineStr">
        <x:is>
          <x:t xml:space="preserve">Запорная арматура</x:t>
        </x:is>
      </x:c>
      <x:c r="F86" s="31" t="n">
        <x:v>5.73</x:v>
      </x:c>
      <x:c r="G86" s="31" t="inlineStr">
        <x:is>
          <x:t xml:space="preserve">шт</x:t>
        </x:is>
      </x:c>
      <x:c r="H86" s="31" t="inlineStr">
        <x:is>
          <x:t xml:space="preserve">Обязательный</x:t>
        </x:is>
      </x:c>
      <x:c r="I86" s="31" t="inlineStr">
        <x:is>
          <x:t xml:space="preserve">ГЗ-ЗАП-3</x:t>
        </x:is>
      </x:c>
      <x:c r="J86" s="31" t="inlineStr">
        <x:is>
          <x:t xml:space="preserve">Нет</x:t>
        </x:is>
      </x:c>
    </x:row>
    <x:row r="87" ht="18" customHeight="1">
      <x:c r="A87" s="31" t="inlineStr">
        <x:is>
          <x:t xml:space="preserve">СОСТ-00086</x:t>
        </x:is>
      </x:c>
      <x:c r="B87" s="31" t="inlineStr">
        <x:is>
          <x:t xml:space="preserve">ИЗД-006</x:t>
        </x:is>
      </x:c>
      <x:c r="C87" s="31" t="inlineStr">
        <x:is>
          <x:t xml:space="preserve">МАТ-0065</x:t>
        </x:is>
      </x:c>
      <x:c r="D87" s="31" t="inlineStr">
        <x:is>
          <x:t xml:space="preserve">Гофра металлическая</x:t>
        </x:is>
      </x:c>
      <x:c r="E87" s="31" t="inlineStr">
        <x:is>
          <x:t xml:space="preserve">Кабель</x:t>
        </x:is>
      </x:c>
      <x:c r="F87" s="31" t="n">
        <x:v>4.33</x:v>
      </x:c>
      <x:c r="G87" s="31" t="inlineStr">
        <x:is>
          <x:t xml:space="preserve">шт</x:t>
        </x:is>
      </x:c>
      <x:c r="H87" s="31" t="inlineStr">
        <x:is>
          <x:t xml:space="preserve">Обязательный</x:t>
        </x:is>
      </x:c>
      <x:c r="I87" s="31" t="inlineStr">
        <x:is>
          <x:t xml:space="preserve">ГЗ-КАБ-2</x:t>
        </x:is>
      </x:c>
      <x:c r="J87" s="31" t="inlineStr">
        <x:is>
          <x:t xml:space="preserve">Нет</x:t>
        </x:is>
      </x:c>
    </x:row>
    <x:row r="88" ht="18" customHeight="1">
      <x:c r="A88" s="31" t="inlineStr">
        <x:is>
          <x:t xml:space="preserve">СОСТ-00087</x:t>
        </x:is>
      </x:c>
      <x:c r="B88" s="31" t="inlineStr">
        <x:is>
          <x:t xml:space="preserve">ИЗД-006</x:t>
        </x:is>
      </x:c>
      <x:c r="C88" s="31" t="inlineStr">
        <x:is>
          <x:t xml:space="preserve">МАТ-0065</x:t>
        </x:is>
      </x:c>
      <x:c r="D88" s="31" t="inlineStr">
        <x:is>
          <x:t xml:space="preserve">Гофра металлическая</x:t>
        </x:is>
      </x:c>
      <x:c r="E88" s="31" t="inlineStr">
        <x:is>
          <x:t xml:space="preserve">Кабель</x:t>
        </x:is>
      </x:c>
      <x:c r="F88" s="31" t="n">
        <x:v>2.84</x:v>
      </x:c>
      <x:c r="G88" s="31" t="inlineStr">
        <x:is>
          <x:t xml:space="preserve">шт</x:t>
        </x:is>
      </x:c>
      <x:c r="H88" s="31" t="inlineStr">
        <x:is>
          <x:t xml:space="preserve">Обязательный</x:t>
        </x:is>
      </x:c>
      <x:c r="I88" s="31" t="inlineStr">
        <x:is>
          <x:t xml:space="preserve">ГЗ-КАБ-2</x:t>
        </x:is>
      </x:c>
      <x:c r="J88" s="31" t="inlineStr">
        <x:is>
          <x:t xml:space="preserve">Нет</x:t>
        </x:is>
      </x:c>
    </x:row>
    <x:row r="89" ht="18" customHeight="1">
      <x:c r="A89" s="31" t="inlineStr">
        <x:is>
          <x:t xml:space="preserve">СОСТ-00088</x:t>
        </x:is>
      </x:c>
      <x:c r="B89" s="31" t="inlineStr">
        <x:is>
          <x:t xml:space="preserve">ИЗД-006</x:t>
        </x:is>
      </x:c>
      <x:c r="C89" s="31" t="inlineStr">
        <x:is>
          <x:t xml:space="preserve">МАТ-0067</x:t>
        </x:is>
      </x:c>
      <x:c r="D89" s="31" t="inlineStr">
        <x:is>
          <x:t xml:space="preserve">Кабельный ввод М20</x:t>
        </x:is>
      </x:c>
      <x:c r="E89" s="31" t="inlineStr">
        <x:is>
          <x:t xml:space="preserve">Кабель</x:t>
        </x:is>
      </x:c>
      <x:c r="F89" s="31" t="n">
        <x:v>78.27</x:v>
      </x:c>
      <x:c r="G89" s="31" t="inlineStr">
        <x:is>
          <x:t xml:space="preserve">кг</x:t>
        </x:is>
      </x:c>
      <x:c r="H89" s="31" t="inlineStr">
        <x:is>
          <x:t xml:space="preserve">Обязательный</x:t>
        </x:is>
      </x:c>
      <x:c r="I89" s="31" t="inlineStr">
        <x:is>
          <x:t xml:space="preserve">ГЗ-КАБ-1</x:t>
        </x:is>
      </x:c>
      <x:c r="J89" s="31" t="inlineStr">
        <x:is>
          <x:t xml:space="preserve">Да</x:t>
        </x:is>
      </x:c>
    </x:row>
    <x:row r="90" ht="18" customHeight="1">
      <x:c r="A90" s="31" t="inlineStr">
        <x:is>
          <x:t xml:space="preserve">СОСТ-00089</x:t>
        </x:is>
      </x:c>
      <x:c r="B90" s="31" t="inlineStr">
        <x:is>
          <x:t xml:space="preserve">ИЗД-006</x:t>
        </x:is>
      </x:c>
      <x:c r="C90" s="31" t="inlineStr">
        <x:is>
          <x:t xml:space="preserve">МАТ-0040</x:t>
        </x:is>
      </x:c>
      <x:c r="D90" s="31" t="inlineStr">
        <x:is>
          <x:t xml:space="preserve">модуль аналогового входа 4 канала</x:t>
        </x:is>
      </x:c>
      <x:c r="E90" s="31" t="inlineStr">
        <x:is>
          <x:t xml:space="preserve">ПЛК/электрика</x:t>
        </x:is>
      </x:c>
      <x:c r="F90" s="31" t="n">
        <x:v>6.86</x:v>
      </x:c>
      <x:c r="G90" s="31" t="inlineStr">
        <x:is>
          <x:t xml:space="preserve">шт</x:t>
        </x:is>
      </x:c>
      <x:c r="H90" s="31" t="inlineStr">
        <x:is>
          <x:t xml:space="preserve">Обязательный</x:t>
        </x:is>
      </x:c>
      <x:c r="I90" s="31" t="inlineStr">
        <x:is>
          <x:t xml:space="preserve">ГЗ-ПЛК-4</x:t>
        </x:is>
      </x:c>
      <x:c r="J90" s="31" t="inlineStr">
        <x:is>
          <x:t xml:space="preserve">Нет</x:t>
        </x:is>
      </x:c>
    </x:row>
    <x:row r="91" ht="18" customHeight="1">
      <x:c r="A91" s="31" t="inlineStr">
        <x:is>
          <x:t xml:space="preserve">СОСТ-00090</x:t>
        </x:is>
      </x:c>
      <x:c r="B91" s="31" t="inlineStr">
        <x:is>
          <x:t xml:space="preserve">ИЗД-006</x:t>
        </x:is>
      </x:c>
      <x:c r="C91" s="31" t="inlineStr">
        <x:is>
          <x:t xml:space="preserve">МАТ-0074</x:t>
        </x:is>
      </x:c>
      <x:c r="D91" s="31" t="inlineStr">
        <x:is>
          <x:t xml:space="preserve">Абразив для пескоструя</x:t>
        </x:is>
      </x:c>
      <x:c r="E91" s="31" t="inlineStr">
        <x:is>
          <x:t xml:space="preserve">Покраска</x:t>
        </x:is>
      </x:c>
      <x:c r="F91" s="31" t="n">
        <x:v>7.24</x:v>
      </x:c>
      <x:c r="G91" s="31" t="inlineStr">
        <x:is>
          <x:t xml:space="preserve">шт</x:t>
        </x:is>
      </x:c>
      <x:c r="H91" s="31" t="inlineStr">
        <x:is>
          <x:t xml:space="preserve">Обязательный</x:t>
        </x:is>
      </x:c>
      <x:c r="I91" s="31" t="inlineStr">
        <x:is>
          <x:t xml:space="preserve">ГЗ-ПОК-9</x:t>
        </x:is>
      </x:c>
      <x:c r="J91" s="31" t="inlineStr">
        <x:is>
          <x:t xml:space="preserve">Нет</x:t>
        </x:is>
      </x:c>
    </x:row>
    <x:row r="92" ht="18" customHeight="1">
      <x:c r="A92" s="31" t="inlineStr">
        <x:is>
          <x:t xml:space="preserve">СОСТ-00091</x:t>
        </x:is>
      </x:c>
      <x:c r="B92" s="31" t="inlineStr">
        <x:is>
          <x:t xml:space="preserve">ИЗД-006</x:t>
        </x:is>
      </x:c>
      <x:c r="C92" s="31" t="inlineStr">
        <x:is>
          <x:t xml:space="preserve">МАТ-0080</x:t>
        </x:is>
      </x:c>
      <x:c r="D92" s="31" t="inlineStr">
        <x:is>
          <x:t xml:space="preserve">Гайка М12 / исп.3</x:t>
        </x:is>
      </x:c>
      <x:c r="E92" s="31" t="inlineStr">
        <x:is>
          <x:t xml:space="preserve">Крепеж</x:t>
        </x:is>
      </x:c>
      <x:c r="F92" s="31" t="n">
        <x:v>3.88</x:v>
      </x:c>
      <x:c r="G92" s="31" t="inlineStr">
        <x:is>
          <x:t xml:space="preserve">шт</x:t>
        </x:is>
      </x:c>
      <x:c r="H92" s="31" t="inlineStr">
        <x:is>
          <x:t xml:space="preserve">Обязательный</x:t>
        </x:is>
      </x:c>
      <x:c r="I92" s="31" t="inlineStr">
        <x:is>
          <x:t xml:space="preserve">ГЗ-КРЕ-6</x:t>
        </x:is>
      </x:c>
      <x:c r="J92" s="31" t="inlineStr">
        <x:is>
          <x:t xml:space="preserve">Нет</x:t>
        </x:is>
      </x:c>
    </x:row>
    <x:row r="93" ht="18" customHeight="1">
      <x:c r="A93" s="31" t="inlineStr">
        <x:is>
          <x:t xml:space="preserve">СОСТ-00092</x:t>
        </x:is>
      </x:c>
      <x:c r="B93" s="31" t="inlineStr">
        <x:is>
          <x:t xml:space="preserve">ИЗД-006</x:t>
        </x:is>
      </x:c>
      <x:c r="C93" s="31" t="inlineStr">
        <x:is>
          <x:t xml:space="preserve">МАТ-0078</x:t>
        </x:is>
      </x:c>
      <x:c r="D93" s="31" t="inlineStr">
        <x:is>
          <x:t xml:space="preserve">Гайка М12</x:t>
        </x:is>
      </x:c>
      <x:c r="E93" s="31" t="inlineStr">
        <x:is>
          <x:t xml:space="preserve">Крепеж</x:t>
        </x:is>
      </x:c>
      <x:c r="F93" s="31" t="n">
        <x:v>5.54</x:v>
      </x:c>
      <x:c r="G93" s="31" t="inlineStr">
        <x:is>
          <x:t xml:space="preserve">шт</x:t>
        </x:is>
      </x:c>
      <x:c r="H93" s="31" t="inlineStr">
        <x:is>
          <x:t xml:space="preserve">Обязательный</x:t>
        </x:is>
      </x:c>
      <x:c r="I93" s="31" t="inlineStr">
        <x:is>
          <x:t xml:space="preserve">ГЗ-КРЕ-9</x:t>
        </x:is>
      </x:c>
      <x:c r="J93" s="31" t="inlineStr">
        <x:is>
          <x:t xml:space="preserve">Нет</x:t>
        </x:is>
      </x:c>
    </x:row>
    <x:row r="94" ht="18" customHeight="1">
      <x:c r="A94" s="31" t="inlineStr">
        <x:is>
          <x:t xml:space="preserve">СОСТ-00093</x:t>
        </x:is>
      </x:c>
      <x:c r="B94" s="31" t="inlineStr">
        <x:is>
          <x:t xml:space="preserve">ИЗД-006</x:t>
        </x:is>
      </x:c>
      <x:c r="C94" s="31" t="inlineStr">
        <x:is>
          <x:t xml:space="preserve">МАТ-0086</x:t>
        </x:is>
      </x:c>
      <x:c r="D94" s="31" t="inlineStr">
        <x:is>
          <x:t xml:space="preserve">Пленка стрейч / исп.2</x:t>
        </x:is>
      </x:c>
      <x:c r="E94" s="31" t="inlineStr">
        <x:is>
          <x:t xml:space="preserve">Упаковка</x:t>
        </x:is>
      </x:c>
      <x:c r="F94" s="31" t="n">
        <x:v>1.8</x:v>
      </x:c>
      <x:c r="G94" s="31" t="inlineStr">
        <x:is>
          <x:t xml:space="preserve">шт</x:t>
        </x:is>
      </x:c>
      <x:c r="H94" s="31" t="inlineStr">
        <x:is>
          <x:t xml:space="preserve">Обязательный</x:t>
        </x:is>
      </x:c>
      <x:c r="I94" s="31" t="inlineStr">
        <x:is>
          <x:t xml:space="preserve">ГЗ-УПА-4</x:t>
        </x:is>
      </x:c>
      <x:c r="J94" s="31" t="inlineStr">
        <x:is>
          <x:t xml:space="preserve">Нет</x:t>
        </x:is>
      </x:c>
    </x:row>
    <x:row r="95" ht="18" customHeight="1">
      <x:c r="A95" s="31" t="inlineStr">
        <x:is>
          <x:t xml:space="preserve">СОСТ-00094</x:t>
        </x:is>
      </x:c>
      <x:c r="B95" s="31" t="inlineStr">
        <x:is>
          <x:t xml:space="preserve">ИЗД-007</x:t>
        </x:is>
      </x:c>
      <x:c r="C95" s="31" t="inlineStr">
        <x:is>
          <x:t xml:space="preserve">МАТ-0008</x:t>
        </x:is>
      </x:c>
      <x:c r="D95" s="31" t="inlineStr">
        <x:is>
          <x:t xml:space="preserve">Швеллер 12П</x:t>
        </x:is>
      </x:c>
      <x:c r="E95" s="31" t="inlineStr">
        <x:is>
          <x:t xml:space="preserve">Металл</x:t>
        </x:is>
      </x:c>
      <x:c r="F95" s="31" t="n">
        <x:v>5.6</x:v>
      </x:c>
      <x:c r="G95" s="31" t="inlineStr">
        <x:is>
          <x:t xml:space="preserve">шт</x:t>
        </x:is>
      </x:c>
      <x:c r="H95" s="31" t="inlineStr">
        <x:is>
          <x:t xml:space="preserve">Обязательный</x:t>
        </x:is>
      </x:c>
      <x:c r="I95" s="31" t="inlineStr">
        <x:is>
          <x:t xml:space="preserve">ГЗ-МЕТ-3</x:t>
        </x:is>
      </x:c>
      <x:c r="J95" s="31" t="inlineStr">
        <x:is>
          <x:t xml:space="preserve">Нет</x:t>
        </x:is>
      </x:c>
    </x:row>
    <x:row r="96" ht="18" customHeight="1">
      <x:c r="A96" s="31" t="inlineStr">
        <x:is>
          <x:t xml:space="preserve">СОСТ-00095</x:t>
        </x:is>
      </x:c>
      <x:c r="B96" s="31" t="inlineStr">
        <x:is>
          <x:t xml:space="preserve">ИЗД-007</x:t>
        </x:is>
      </x:c>
      <x:c r="C96" s="31" t="inlineStr">
        <x:is>
          <x:t xml:space="preserve">МАТ-0019</x:t>
        </x:is>
      </x:c>
      <x:c r="D96" s="31" t="inlineStr">
        <x:is>
          <x:t xml:space="preserve">Насос дозировочный</x:t>
        </x:is>
      </x:c>
      <x:c r="E96" s="31" t="inlineStr">
        <x:is>
          <x:t xml:space="preserve">Насосы</x:t>
        </x:is>
      </x:c>
      <x:c r="F96" s="31" t="n">
        <x:v>1.14</x:v>
      </x:c>
      <x:c r="G96" s="31" t="inlineStr">
        <x:is>
          <x:t xml:space="preserve">шт</x:t>
        </x:is>
      </x:c>
      <x:c r="H96" s="31" t="inlineStr">
        <x:is>
          <x:t xml:space="preserve">Обязательный</x:t>
        </x:is>
      </x:c>
      <x:c r="I96" s="31" t="inlineStr">
        <x:is>
          <x:t xml:space="preserve">ГЗ-НАС-2</x:t>
        </x:is>
      </x:c>
      <x:c r="J96" s="31" t="inlineStr">
        <x:is>
          <x:t xml:space="preserve">Да</x:t>
        </x:is>
      </x:c>
    </x:row>
    <x:row r="97" ht="18" customHeight="1">
      <x:c r="A97" s="31" t="inlineStr">
        <x:is>
          <x:t xml:space="preserve">СОСТ-00096</x:t>
        </x:is>
      </x:c>
      <x:c r="B97" s="31" t="inlineStr">
        <x:is>
          <x:t xml:space="preserve">ИЗД-007</x:t>
        </x:is>
      </x:c>
      <x:c r="C97" s="31" t="inlineStr">
        <x:is>
          <x:t xml:space="preserve">МАТ-0020</x:t>
        </x:is>
      </x:c>
      <x:c r="D97" s="31" t="inlineStr">
        <x:is>
          <x:t xml:space="preserve">Насос дозировочный / исп.2</x:t>
        </x:is>
      </x:c>
      <x:c r="E97" s="31" t="inlineStr">
        <x:is>
          <x:t xml:space="preserve">Насосы</x:t>
        </x:is>
      </x:c>
      <x:c r="F97" s="31" t="n">
        <x:v>3.64</x:v>
      </x:c>
      <x:c r="G97" s="31" t="inlineStr">
        <x:is>
          <x:t xml:space="preserve">шт</x:t>
        </x:is>
      </x:c>
      <x:c r="H97" s="31" t="inlineStr">
        <x:is>
          <x:t xml:space="preserve">Обязательный</x:t>
        </x:is>
      </x:c>
      <x:c r="I97" s="31" t="inlineStr">
        <x:is>
          <x:t xml:space="preserve">ГЗ-НАС-1</x:t>
        </x:is>
      </x:c>
      <x:c r="J97" s="31" t="inlineStr">
        <x:is>
          <x:t xml:space="preserve">Нет</x:t>
        </x:is>
      </x:c>
    </x:row>
    <x:row r="98" ht="18" customHeight="1">
      <x:c r="A98" s="31" t="inlineStr">
        <x:is>
          <x:t xml:space="preserve">СОСТ-00097</x:t>
        </x:is>
      </x:c>
      <x:c r="B98" s="31" t="inlineStr">
        <x:is>
          <x:t xml:space="preserve">ИЗД-007</x:t>
        </x:is>
      </x:c>
      <x:c r="C98" s="31" t="inlineStr">
        <x:is>
          <x:t xml:space="preserve">МАТ-0025</x:t>
        </x:is>
      </x:c>
      <x:c r="D98" s="31" t="inlineStr">
        <x:is>
          <x:t xml:space="preserve">Двигатель 7.5 кВт</x:t>
        </x:is>
      </x:c>
      <x:c r="E98" s="31" t="inlineStr">
        <x:is>
          <x:t xml:space="preserve">Электродвигатели</x:t>
        </x:is>
      </x:c>
      <x:c r="F98" s="31" t="n">
        <x:v>5.84</x:v>
      </x:c>
      <x:c r="G98" s="31" t="inlineStr">
        <x:is>
          <x:t xml:space="preserve">шт</x:t>
        </x:is>
      </x:c>
      <x:c r="H98" s="31" t="inlineStr">
        <x:is>
          <x:t xml:space="preserve">Обязательный</x:t>
        </x:is>
      </x:c>
      <x:c r="I98" s="31" t="inlineStr">
        <x:is>
          <x:t xml:space="preserve">ГЗ-ЭЛЕ-6</x:t>
        </x:is>
      </x:c>
      <x:c r="J98" s="31" t="inlineStr">
        <x:is>
          <x:t xml:space="preserve">Нет</x:t>
        </x:is>
      </x:c>
    </x:row>
    <x:row r="99" ht="18" customHeight="1">
      <x:c r="A99" s="31" t="inlineStr">
        <x:is>
          <x:t xml:space="preserve">СОСТ-00098</x:t>
        </x:is>
      </x:c>
      <x:c r="B99" s="31" t="inlineStr">
        <x:is>
          <x:t xml:space="preserve">ИЗД-007</x:t>
        </x:is>
      </x:c>
      <x:c r="C99" s="31" t="inlineStr">
        <x:is>
          <x:t xml:space="preserve">МАТ-0030</x:t>
        </x:is>
      </x:c>
      <x:c r="D99" s="31" t="inlineStr">
        <x:is>
          <x:t xml:space="preserve">Частотный преобразователь 22 кВт / исп.2</x:t>
        </x:is>
      </x:c>
      <x:c r="E99" s="31" t="inlineStr">
        <x:is>
          <x:t xml:space="preserve">Электродвигатели</x:t>
        </x:is>
      </x:c>
      <x:c r="F99" s="31" t="n">
        <x:v>3.38</x:v>
      </x:c>
      <x:c r="G99" s="31" t="inlineStr">
        <x:is>
          <x:t xml:space="preserve">шт</x:t>
        </x:is>
      </x:c>
      <x:c r="H99" s="31" t="inlineStr">
        <x:is>
          <x:t xml:space="preserve">Обязательный</x:t>
        </x:is>
      </x:c>
      <x:c r="I99" s="31" t="inlineStr">
        <x:is>
          <x:t xml:space="preserve">ГЗ-ЭЛЕ-1</x:t>
        </x:is>
      </x:c>
      <x:c r="J99" s="31" t="inlineStr">
        <x:is>
          <x:t xml:space="preserve">Нет</x:t>
        </x:is>
      </x:c>
    </x:row>
    <x:row r="100" ht="18" customHeight="1">
      <x:c r="A100" s="31" t="inlineStr">
        <x:is>
          <x:t xml:space="preserve">СОСТ-00099</x:t>
        </x:is>
      </x:c>
      <x:c r="B100" s="31" t="inlineStr">
        <x:is>
          <x:t xml:space="preserve">ИЗД-007</x:t>
        </x:is>
      </x:c>
      <x:c r="C100" s="31" t="inlineStr">
        <x:is>
          <x:t xml:space="preserve">МАТ-0032</x:t>
        </x:is>
      </x:c>
      <x:c r="D100" s="31" t="inlineStr">
        <x:is>
          <x:t xml:space="preserve">Датчик температуры Пт100</x:t>
        </x:is>
      </x:c>
      <x:c r="E100" s="31" t="inlineStr">
        <x:is>
          <x:t xml:space="preserve">КИПиА</x:t>
        </x:is>
      </x:c>
      <x:c r="F100" s="31" t="n">
        <x:v>4.48</x:v>
      </x:c>
      <x:c r="G100" s="31" t="inlineStr">
        <x:is>
          <x:t xml:space="preserve">шт</x:t>
        </x:is>
      </x:c>
      <x:c r="H100" s="31" t="inlineStr">
        <x:is>
          <x:t xml:space="preserve">Обязательный</x:t>
        </x:is>
      </x:c>
      <x:c r="I100" s="31" t="inlineStr">
        <x:is>
          <x:t xml:space="preserve">ГЗ-КИП-8</x:t>
        </x:is>
      </x:c>
      <x:c r="J100" s="31" t="inlineStr">
        <x:is>
          <x:t xml:space="preserve">Нет</x:t>
        </x:is>
      </x:c>
    </x:row>
    <x:row r="101" ht="18" customHeight="1">
      <x:c r="A101" s="31" t="inlineStr">
        <x:is>
          <x:t xml:space="preserve">СОСТ-00100</x:t>
        </x:is>
      </x:c>
      <x:c r="B101" s="31" t="inlineStr">
        <x:is>
          <x:t xml:space="preserve">ИЗД-007</x:t>
        </x:is>
      </x:c>
      <x:c r="C101" s="31" t="inlineStr">
        <x:is>
          <x:t xml:space="preserve">МАТ-0037</x:t>
        </x:is>
      </x:c>
      <x:c r="D101" s="31" t="inlineStr">
        <x:is>
          <x:t xml:space="preserve">Клапан электромагнитный 24В / исп.3</x:t>
        </x:is>
      </x:c>
      <x:c r="E101" s="31" t="inlineStr">
        <x:is>
          <x:t xml:space="preserve">КИПиА</x:t>
        </x:is>
      </x:c>
      <x:c r="F101" s="31" t="n">
        <x:v>6.95</x:v>
      </x:c>
      <x:c r="G101" s="31" t="inlineStr">
        <x:is>
          <x:t xml:space="preserve">шт</x:t>
        </x:is>
      </x:c>
      <x:c r="H101" s="31" t="inlineStr">
        <x:is>
          <x:t xml:space="preserve">Обязательный</x:t>
        </x:is>
      </x:c>
      <x:c r="I101" s="31" t="inlineStr">
        <x:is>
          <x:t xml:space="preserve">ГЗ-КИП-3</x:t>
        </x:is>
      </x:c>
      <x:c r="J101" s="31" t="inlineStr">
        <x:is>
          <x:t xml:space="preserve">Нет</x:t>
        </x:is>
      </x:c>
    </x:row>
    <x:row r="102" ht="18" customHeight="1">
      <x:c r="A102" s="31" t="inlineStr">
        <x:is>
          <x:t xml:space="preserve">СОСТ-00101</x:t>
        </x:is>
      </x:c>
      <x:c r="B102" s="31" t="inlineStr">
        <x:is>
          <x:t xml:space="preserve">ИЗД-007</x:t>
        </x:is>
      </x:c>
      <x:c r="C102" s="31" t="inlineStr">
        <x:is>
          <x:t xml:space="preserve">МАТ-0060</x:t>
        </x:is>
      </x:c>
      <x:c r="D102" s="31" t="inlineStr">
        <x:is>
          <x:t xml:space="preserve">Фильтр сетчатый Ду50 / исп.2</x:t>
        </x:is>
      </x:c>
      <x:c r="E102" s="31" t="inlineStr">
        <x:is>
          <x:t xml:space="preserve">Запорная арматура</x:t>
        </x:is>
      </x:c>
      <x:c r="F102" s="31" t="n">
        <x:v>3.81</x:v>
      </x:c>
      <x:c r="G102" s="31" t="inlineStr">
        <x:is>
          <x:t xml:space="preserve">шт</x:t>
        </x:is>
      </x:c>
      <x:c r="H102" s="31" t="inlineStr">
        <x:is>
          <x:t xml:space="preserve">Обязательный</x:t>
        </x:is>
      </x:c>
      <x:c r="I102" s="31" t="inlineStr">
        <x:is>
          <x:t xml:space="preserve">ГЗ-ЗАП-3</x:t>
        </x:is>
      </x:c>
      <x:c r="J102" s="31" t="inlineStr">
        <x:is>
          <x:t xml:space="preserve">Нет</x:t>
        </x:is>
      </x:c>
    </x:row>
    <x:row r="103" ht="18" customHeight="1">
      <x:c r="A103" s="31" t="inlineStr">
        <x:is>
          <x:t xml:space="preserve">СОСТ-00102</x:t>
        </x:is>
      </x:c>
      <x:c r="B103" s="31" t="inlineStr">
        <x:is>
          <x:t xml:space="preserve">ИЗД-007</x:t>
        </x:is>
      </x:c>
      <x:c r="C103" s="31" t="inlineStr">
        <x:is>
          <x:t xml:space="preserve">МАТ-0052</x:t>
        </x:is>
      </x:c>
      <x:c r="D103" s="31" t="inlineStr">
        <x:is>
          <x:t xml:space="preserve">Кран шаровой Ду50 / исп.2</x:t>
        </x:is>
      </x:c>
      <x:c r="E103" s="31" t="inlineStr">
        <x:is>
          <x:t xml:space="preserve">Запорная арматура</x:t>
        </x:is>
      </x:c>
      <x:c r="F103" s="31" t="n">
        <x:v>6.02</x:v>
      </x:c>
      <x:c r="G103" s="31" t="inlineStr">
        <x:is>
          <x:t xml:space="preserve">шт</x:t>
        </x:is>
      </x:c>
      <x:c r="H103" s="31" t="inlineStr">
        <x:is>
          <x:t xml:space="preserve">Обязательный</x:t>
        </x:is>
      </x:c>
      <x:c r="I103" s="31" t="inlineStr">
        <x:is>
          <x:t xml:space="preserve">ГЗ-ЗАП-7</x:t>
        </x:is>
      </x:c>
      <x:c r="J103" s="31" t="inlineStr">
        <x:is>
          <x:t xml:space="preserve">Нет</x:t>
        </x:is>
      </x:c>
    </x:row>
    <x:row r="104" ht="18" customHeight="1">
      <x:c r="A104" s="31" t="inlineStr">
        <x:is>
          <x:t xml:space="preserve">СОСТ-00103</x:t>
        </x:is>
      </x:c>
      <x:c r="B104" s="31" t="inlineStr">
        <x:is>
          <x:t xml:space="preserve">ИЗД-007</x:t>
        </x:is>
      </x:c>
      <x:c r="C104" s="31" t="inlineStr">
        <x:is>
          <x:t xml:space="preserve">МАТ-0062</x:t>
        </x:is>
      </x:c>
      <x:c r="D104" s="31" t="inlineStr">
        <x:is>
          <x:t xml:space="preserve">Кабель КВВГ 4×1.5</x:t>
        </x:is>
      </x:c>
      <x:c r="E104" s="31" t="inlineStr">
        <x:is>
          <x:t xml:space="preserve">Кабель</x:t>
        </x:is>
      </x:c>
      <x:c r="F104" s="31" t="n">
        <x:v>43.42</x:v>
      </x:c>
      <x:c r="G104" s="31" t="inlineStr">
        <x:is>
          <x:t xml:space="preserve">м</x:t>
        </x:is>
      </x:c>
      <x:c r="H104" s="31" t="inlineStr">
        <x:is>
          <x:t xml:space="preserve">Обязательный</x:t>
        </x:is>
      </x:c>
      <x:c r="I104" s="31" t="inlineStr">
        <x:is>
          <x:t xml:space="preserve">ГЗ-КАБ-9</x:t>
        </x:is>
      </x:c>
      <x:c r="J104" s="31" t="inlineStr">
        <x:is>
          <x:t xml:space="preserve">Нет</x:t>
        </x:is>
      </x:c>
    </x:row>
    <x:row r="105" ht="18" customHeight="1">
      <x:c r="A105" s="31" t="inlineStr">
        <x:is>
          <x:t xml:space="preserve">СОСТ-00104</x:t>
        </x:is>
      </x:c>
      <x:c r="B105" s="31" t="inlineStr">
        <x:is>
          <x:t xml:space="preserve">ИЗД-007</x:t>
        </x:is>
      </x:c>
      <x:c r="C105" s="31" t="inlineStr">
        <x:is>
          <x:t xml:space="preserve">МАТ-0062</x:t>
        </x:is>
      </x:c>
      <x:c r="D105" s="31" t="inlineStr">
        <x:is>
          <x:t xml:space="preserve">Кабель КВВГ 4×1.5</x:t>
        </x:is>
      </x:c>
      <x:c r="E105" s="31" t="inlineStr">
        <x:is>
          <x:t xml:space="preserve">Кабель</x:t>
        </x:is>
      </x:c>
      <x:c r="F105" s="31" t="n">
        <x:v>25.54</x:v>
      </x:c>
      <x:c r="G105" s="31" t="inlineStr">
        <x:is>
          <x:t xml:space="preserve">м</x:t>
        </x:is>
      </x:c>
      <x:c r="H105" s="31" t="inlineStr">
        <x:is>
          <x:t xml:space="preserve">Обязательный</x:t>
        </x:is>
      </x:c>
      <x:c r="I105" s="31" t="inlineStr">
        <x:is>
          <x:t xml:space="preserve">ГЗ-КАБ-9</x:t>
        </x:is>
      </x:c>
      <x:c r="J105" s="31" t="inlineStr">
        <x:is>
          <x:t xml:space="preserve">Нет</x:t>
        </x:is>
      </x:c>
    </x:row>
    <x:row r="106" ht="18" customHeight="1">
      <x:c r="A106" s="31" t="inlineStr">
        <x:is>
          <x:t xml:space="preserve">СОСТ-00105</x:t>
        </x:is>
      </x:c>
      <x:c r="B106" s="31" t="inlineStr">
        <x:is>
          <x:t xml:space="preserve">ИЗД-007</x:t>
        </x:is>
      </x:c>
      <x:c r="C106" s="31" t="inlineStr">
        <x:is>
          <x:t xml:space="preserve">МАТ-0043</x:t>
        </x:is>
      </x:c>
      <x:c r="D106" s="31" t="inlineStr">
        <x:is>
          <x:t xml:space="preserve">Блок питания 24В</x:t>
        </x:is>
      </x:c>
      <x:c r="E106" s="31" t="inlineStr">
        <x:is>
          <x:t xml:space="preserve">ПЛК/электрика</x:t>
        </x:is>
      </x:c>
      <x:c r="F106" s="31" t="n">
        <x:v>2.4</x:v>
      </x:c>
      <x:c r="G106" s="31" t="inlineStr">
        <x:is>
          <x:t xml:space="preserve">шт</x:t>
        </x:is>
      </x:c>
      <x:c r="H106" s="31" t="inlineStr">
        <x:is>
          <x:t xml:space="preserve">Обязательный</x:t>
        </x:is>
      </x:c>
      <x:c r="I106" s="31" t="inlineStr">
        <x:is>
          <x:t xml:space="preserve">ГЗ-ПЛК-7</x:t>
        </x:is>
      </x:c>
      <x:c r="J106" s="31" t="inlineStr">
        <x:is>
          <x:t xml:space="preserve">Нет</x:t>
        </x:is>
      </x:c>
    </x:row>
    <x:row r="107" ht="18" customHeight="1">
      <x:c r="A107" s="31" t="inlineStr">
        <x:is>
          <x:t xml:space="preserve">СОСТ-00106</x:t>
        </x:is>
      </x:c>
      <x:c r="B107" s="31" t="inlineStr">
        <x:is>
          <x:t xml:space="preserve">ИЗД-007</x:t>
        </x:is>
      </x:c>
      <x:c r="C107" s="31" t="inlineStr">
        <x:is>
          <x:t xml:space="preserve">МАТ-0045</x:t>
        </x:is>
      </x:c>
      <x:c r="D107" s="31" t="inlineStr">
        <x:is>
          <x:t xml:space="preserve">Автоматический выключатель 16А</x:t>
        </x:is>
      </x:c>
      <x:c r="E107" s="31" t="inlineStr">
        <x:is>
          <x:t xml:space="preserve">ПЛК/электрика</x:t>
        </x:is>
      </x:c>
      <x:c r="F107" s="31" t="n">
        <x:v>5.7</x:v>
      </x:c>
      <x:c r="G107" s="31" t="inlineStr">
        <x:is>
          <x:t xml:space="preserve">шт</x:t>
        </x:is>
      </x:c>
      <x:c r="H107" s="31" t="inlineStr">
        <x:is>
          <x:t xml:space="preserve">Обязательный</x:t>
        </x:is>
      </x:c>
      <x:c r="I107" s="31" t="inlineStr">
        <x:is>
          <x:t xml:space="preserve">ГЗ-ПЛК-2</x:t>
        </x:is>
      </x:c>
      <x:c r="J107" s="31" t="inlineStr">
        <x:is>
          <x:t xml:space="preserve">Нет</x:t>
        </x:is>
      </x:c>
    </x:row>
    <x:row r="108" ht="18" customHeight="1">
      <x:c r="A108" s="31" t="inlineStr">
        <x:is>
          <x:t xml:space="preserve">СОСТ-00107</x:t>
        </x:is>
      </x:c>
      <x:c r="B108" s="31" t="inlineStr">
        <x:is>
          <x:t xml:space="preserve">ИЗД-007</x:t>
        </x:is>
      </x:c>
      <x:c r="C108" s="31" t="inlineStr">
        <x:is>
          <x:t xml:space="preserve">МАТ-0048</x:t>
        </x:is>
      </x:c>
      <x:c r="D108" s="31" t="inlineStr">
        <x:is>
          <x:t xml:space="preserve">Контактор 25А / исп.3</x:t>
        </x:is>
      </x:c>
      <x:c r="E108" s="31" t="inlineStr">
        <x:is>
          <x:t xml:space="preserve">ПЛК/электрика</x:t>
        </x:is>
      </x:c>
      <x:c r="F108" s="31" t="n">
        <x:v>5.92</x:v>
      </x:c>
      <x:c r="G108" s="31" t="inlineStr">
        <x:is>
          <x:t xml:space="preserve">шт</x:t>
        </x:is>
      </x:c>
      <x:c r="H108" s="31" t="inlineStr">
        <x:is>
          <x:t xml:space="preserve">Обязательный</x:t>
        </x:is>
      </x:c>
      <x:c r="I108" s="31" t="inlineStr">
        <x:is>
          <x:t xml:space="preserve">ГЗ-ПЛК-2</x:t>
        </x:is>
      </x:c>
      <x:c r="J108" s="31" t="inlineStr">
        <x:is>
          <x:t xml:space="preserve">Нет</x:t>
        </x:is>
      </x:c>
    </x:row>
    <x:row r="109" ht="18" customHeight="1">
      <x:c r="A109" s="31" t="inlineStr">
        <x:is>
          <x:t xml:space="preserve">СОСТ-00108</x:t>
        </x:is>
      </x:c>
      <x:c r="B109" s="31" t="inlineStr">
        <x:is>
          <x:t xml:space="preserve">ИЗД-007</x:t>
        </x:is>
      </x:c>
      <x:c r="C109" s="31" t="inlineStr">
        <x:is>
          <x:t xml:space="preserve">МАТ-0073</x:t>
        </x:is>
      </x:c>
      <x:c r="D109" s="31" t="inlineStr">
        <x:is>
          <x:t xml:space="preserve">Растворитель / исп.2</x:t>
        </x:is>
      </x:c>
      <x:c r="E109" s="31" t="inlineStr">
        <x:is>
          <x:t xml:space="preserve">Покраска</x:t>
        </x:is>
      </x:c>
      <x:c r="F109" s="31" t="n">
        <x:v>59.89</x:v>
      </x:c>
      <x:c r="G109" s="31" t="inlineStr">
        <x:is>
          <x:t xml:space="preserve">л</x:t>
        </x:is>
      </x:c>
      <x:c r="H109" s="31" t="inlineStr">
        <x:is>
          <x:t xml:space="preserve">Обязательный</x:t>
        </x:is>
      </x:c>
      <x:c r="I109" s="31" t="inlineStr">
        <x:is>
          <x:t xml:space="preserve">ГЗ-ПОК-8</x:t>
        </x:is>
      </x:c>
      <x:c r="J109" s="31" t="inlineStr">
        <x:is>
          <x:t xml:space="preserve">Нет</x:t>
        </x:is>
      </x:c>
    </x:row>
    <x:row r="110" ht="18" customHeight="1">
      <x:c r="A110" s="31" t="inlineStr">
        <x:is>
          <x:t xml:space="preserve">СОСТ-00109</x:t>
        </x:is>
      </x:c>
      <x:c r="B110" s="31" t="inlineStr">
        <x:is>
          <x:t xml:space="preserve">ИЗД-007</x:t>
        </x:is>
      </x:c>
      <x:c r="C110" s="31" t="inlineStr">
        <x:is>
          <x:t xml:space="preserve">МАТ-0081</x:t>
        </x:is>
      </x:c>
      <x:c r="D110" s="31" t="inlineStr">
        <x:is>
          <x:t xml:space="preserve">Шайба 12</x:t>
        </x:is>
      </x:c>
      <x:c r="E110" s="31" t="inlineStr">
        <x:is>
          <x:t xml:space="preserve">Крепеж</x:t>
        </x:is>
      </x:c>
      <x:c r="F110" s="31" t="n">
        <x:v>7.54</x:v>
      </x:c>
      <x:c r="G110" s="31" t="inlineStr">
        <x:is>
          <x:t xml:space="preserve">шт</x:t>
        </x:is>
      </x:c>
      <x:c r="H110" s="31" t="inlineStr">
        <x:is>
          <x:t xml:space="preserve">Обязательный</x:t>
        </x:is>
      </x:c>
      <x:c r="I110" s="31" t="inlineStr">
        <x:is>
          <x:t xml:space="preserve">ГЗ-КРЕ-1</x:t>
        </x:is>
      </x:c>
      <x:c r="J110" s="31" t="inlineStr">
        <x:is>
          <x:t xml:space="preserve">Да</x:t>
        </x:is>
      </x:c>
    </x:row>
    <x:row r="111" ht="18" customHeight="1">
      <x:c r="A111" s="31" t="inlineStr">
        <x:is>
          <x:t xml:space="preserve">СОСТ-00110</x:t>
        </x:is>
      </x:c>
      <x:c r="B111" s="31" t="inlineStr">
        <x:is>
          <x:t xml:space="preserve">ИЗД-007</x:t>
        </x:is>
      </x:c>
      <x:c r="C111" s="31" t="inlineStr">
        <x:is>
          <x:t xml:space="preserve">МАТ-0078</x:t>
        </x:is>
      </x:c>
      <x:c r="D111" s="31" t="inlineStr">
        <x:is>
          <x:t xml:space="preserve">Гайка М12</x:t>
        </x:is>
      </x:c>
      <x:c r="E111" s="31" t="inlineStr">
        <x:is>
          <x:t xml:space="preserve">Крепеж</x:t>
        </x:is>
      </x:c>
      <x:c r="F111" s="31" t="n">
        <x:v>3.55</x:v>
      </x:c>
      <x:c r="G111" s="31" t="inlineStr">
        <x:is>
          <x:t xml:space="preserve">шт</x:t>
        </x:is>
      </x:c>
      <x:c r="H111" s="31" t="inlineStr">
        <x:is>
          <x:t xml:space="preserve">Обязательный</x:t>
        </x:is>
      </x:c>
      <x:c r="I111" s="31" t="inlineStr">
        <x:is>
          <x:t xml:space="preserve">ГЗ-КРЕ-9</x:t>
        </x:is>
      </x:c>
      <x:c r="J111" s="31" t="inlineStr">
        <x:is>
          <x:t xml:space="preserve">Нет</x:t>
        </x:is>
      </x:c>
    </x:row>
    <x:row r="112" ht="18" customHeight="1">
      <x:c r="A112" s="31" t="inlineStr">
        <x:is>
          <x:t xml:space="preserve">СОСТ-00111</x:t>
        </x:is>
      </x:c>
      <x:c r="B112" s="31" t="inlineStr">
        <x:is>
          <x:t xml:space="preserve">ИЗД-007</x:t>
        </x:is>
      </x:c>
      <x:c r="C112" s="31" t="inlineStr">
        <x:is>
          <x:t xml:space="preserve">МАТ-0079</x:t>
        </x:is>
      </x:c>
      <x:c r="D112" s="31" t="inlineStr">
        <x:is>
          <x:t xml:space="preserve">Гайка М12 / исп.2</x:t>
        </x:is>
      </x:c>
      <x:c r="E112" s="31" t="inlineStr">
        <x:is>
          <x:t xml:space="preserve">Крепеж</x:t>
        </x:is>
      </x:c>
      <x:c r="F112" s="31" t="n">
        <x:v>6.91</x:v>
      </x:c>
      <x:c r="G112" s="31" t="inlineStr">
        <x:is>
          <x:t xml:space="preserve">шт</x:t>
        </x:is>
      </x:c>
      <x:c r="H112" s="31" t="inlineStr">
        <x:is>
          <x:t xml:space="preserve">Обязательный</x:t>
        </x:is>
      </x:c>
      <x:c r="I112" s="31" t="inlineStr">
        <x:is>
          <x:t xml:space="preserve">ГЗ-КРЕ-9</x:t>
        </x:is>
      </x:c>
      <x:c r="J112" s="31" t="inlineStr">
        <x:is>
          <x:t xml:space="preserve">Нет</x:t>
        </x:is>
      </x:c>
    </x:row>
    <x:row r="113" ht="18" customHeight="1">
      <x:c r="A113" s="31" t="inlineStr">
        <x:is>
          <x:t xml:space="preserve">СОСТ-00112</x:t>
        </x:is>
      </x:c>
      <x:c r="B113" s="31" t="inlineStr">
        <x:is>
          <x:t xml:space="preserve">ИЗД-007</x:t>
        </x:is>
      </x:c>
      <x:c r="C113" s="31" t="inlineStr">
        <x:is>
          <x:t xml:space="preserve">МАТ-0089</x:t>
        </x:is>
      </x:c>
      <x:c r="D113" s="31" t="inlineStr">
        <x:is>
          <x:t xml:space="preserve">Маркировочная этикетка</x:t>
        </x:is>
      </x:c>
      <x:c r="E113" s="31" t="inlineStr">
        <x:is>
          <x:t xml:space="preserve">Упаковка</x:t>
        </x:is>
      </x:c>
      <x:c r="F113" s="31" t="n">
        <x:v>2.42</x:v>
      </x:c>
      <x:c r="G113" s="31" t="inlineStr">
        <x:is>
          <x:t xml:space="preserve">шт</x:t>
        </x:is>
      </x:c>
      <x:c r="H113" s="31" t="inlineStr">
        <x:is>
          <x:t xml:space="preserve">Обязательный</x:t>
        </x:is>
      </x:c>
      <x:c r="I113" s="31" t="inlineStr">
        <x:is>
          <x:t xml:space="preserve">ГЗ-УПА-7</x:t>
        </x:is>
      </x:c>
      <x:c r="J113" s="31" t="inlineStr">
        <x:is>
          <x:t xml:space="preserve">Нет</x:t>
        </x:is>
      </x:c>
    </x:row>
    <x:row r="114" ht="18" customHeight="1">
      <x:c r="A114" s="31" t="inlineStr">
        <x:is>
          <x:t xml:space="preserve">СОСТ-00113</x:t>
        </x:is>
      </x:c>
      <x:c r="B114" s="31" t="inlineStr">
        <x:is>
          <x:t xml:space="preserve">ИЗД-008</x:t>
        </x:is>
      </x:c>
      <x:c r="C114" s="31" t="inlineStr">
        <x:is>
          <x:t xml:space="preserve">МАТ-0017</x:t>
        </x:is>
      </x:c>
      <x:c r="D114" s="31" t="inlineStr">
        <x:is>
          <x:t xml:space="preserve">Насос шестеренный 7.5 кВт</x:t>
        </x:is>
      </x:c>
      <x:c r="E114" s="31" t="inlineStr">
        <x:is>
          <x:t xml:space="preserve">Насосы</x:t>
        </x:is>
      </x:c>
      <x:c r="F114" s="31" t="n">
        <x:v>2.8</x:v>
      </x:c>
      <x:c r="G114" s="31" t="inlineStr">
        <x:is>
          <x:t xml:space="preserve">шт</x:t>
        </x:is>
      </x:c>
      <x:c r="H114" s="31" t="inlineStr">
        <x:is>
          <x:t xml:space="preserve">Обязательный</x:t>
        </x:is>
      </x:c>
      <x:c r="I114" s="31" t="inlineStr">
        <x:is>
          <x:t xml:space="preserve">ГЗ-НАС-8</x:t>
        </x:is>
      </x:c>
      <x:c r="J114" s="31" t="inlineStr">
        <x:is>
          <x:t xml:space="preserve">Нет</x:t>
        </x:is>
      </x:c>
    </x:row>
    <x:row r="115" ht="18" customHeight="1">
      <x:c r="A115" s="31" t="inlineStr">
        <x:is>
          <x:t xml:space="preserve">СОСТ-00114</x:t>
        </x:is>
      </x:c>
      <x:c r="B115" s="31" t="inlineStr">
        <x:is>
          <x:t xml:space="preserve">ИЗД-008</x:t>
        </x:is>
      </x:c>
      <x:c r="C115" s="31" t="inlineStr">
        <x:is>
          <x:t xml:space="preserve">МАТ-0016</x:t>
        </x:is>
      </x:c>
      <x:c r="D115" s="31" t="inlineStr">
        <x:is>
          <x:t xml:space="preserve">Насос центробежный 15 кВт / исп.2</x:t>
        </x:is>
      </x:c>
      <x:c r="E115" s="31" t="inlineStr">
        <x:is>
          <x:t xml:space="preserve">Насосы</x:t>
        </x:is>
      </x:c>
      <x:c r="F115" s="31" t="n">
        <x:v>2.05</x:v>
      </x:c>
      <x:c r="G115" s="31" t="inlineStr">
        <x:is>
          <x:t xml:space="preserve">шт</x:t>
        </x:is>
      </x:c>
      <x:c r="H115" s="31" t="inlineStr">
        <x:is>
          <x:t xml:space="preserve">Обязательный</x:t>
        </x:is>
      </x:c>
      <x:c r="I115" s="31" t="inlineStr">
        <x:is>
          <x:t xml:space="preserve">ГЗ-НАС-1</x:t>
        </x:is>
      </x:c>
      <x:c r="J115" s="31" t="inlineStr">
        <x:is>
          <x:t xml:space="preserve">Нет</x:t>
        </x:is>
      </x:c>
    </x:row>
    <x:row r="116" ht="18" customHeight="1">
      <x:c r="A116" s="31" t="inlineStr">
        <x:is>
          <x:t xml:space="preserve">СОСТ-00115</x:t>
        </x:is>
      </x:c>
      <x:c r="B116" s="31" t="inlineStr">
        <x:is>
          <x:t xml:space="preserve">ИЗД-008</x:t>
        </x:is>
      </x:c>
      <x:c r="C116" s="31" t="inlineStr">
        <x:is>
          <x:t xml:space="preserve">МАТ-0019</x:t>
        </x:is>
      </x:c>
      <x:c r="D116" s="31" t="inlineStr">
        <x:is>
          <x:t xml:space="preserve">Насос дозировочный</x:t>
        </x:is>
      </x:c>
      <x:c r="E116" s="31" t="inlineStr">
        <x:is>
          <x:t xml:space="preserve">Насосы</x:t>
        </x:is>
      </x:c>
      <x:c r="F116" s="31" t="n">
        <x:v>4.25</x:v>
      </x:c>
      <x:c r="G116" s="31" t="inlineStr">
        <x:is>
          <x:t xml:space="preserve">шт</x:t>
        </x:is>
      </x:c>
      <x:c r="H116" s="31" t="inlineStr">
        <x:is>
          <x:t xml:space="preserve">Обязательный</x:t>
        </x:is>
      </x:c>
      <x:c r="I116" s="31" t="inlineStr">
        <x:is>
          <x:t xml:space="preserve">ГЗ-НАС-2</x:t>
        </x:is>
      </x:c>
      <x:c r="J116" s="31" t="inlineStr">
        <x:is>
          <x:t xml:space="preserve">Нет</x:t>
        </x:is>
      </x:c>
    </x:row>
    <x:row r="117" ht="18" customHeight="1">
      <x:c r="A117" s="31" t="inlineStr">
        <x:is>
          <x:t xml:space="preserve">СОСТ-00116</x:t>
        </x:is>
      </x:c>
      <x:c r="B117" s="31" t="inlineStr">
        <x:is>
          <x:t xml:space="preserve">ИЗД-008</x:t>
        </x:is>
      </x:c>
      <x:c r="C117" s="31" t="inlineStr">
        <x:is>
          <x:t xml:space="preserve">МАТ-0031</x:t>
        </x:is>
      </x:c>
      <x:c r="D117" s="31" t="inlineStr">
        <x:is>
          <x:t xml:space="preserve">Датчик давления 0-16 бар</x:t>
        </x:is>
      </x:c>
      <x:c r="E117" s="31" t="inlineStr">
        <x:is>
          <x:t xml:space="preserve">КИПиА</x:t>
        </x:is>
      </x:c>
      <x:c r="F117" s="31" t="n">
        <x:v>2.41</x:v>
      </x:c>
      <x:c r="G117" s="31" t="inlineStr">
        <x:is>
          <x:t xml:space="preserve">шт</x:t>
        </x:is>
      </x:c>
      <x:c r="H117" s="31" t="inlineStr">
        <x:is>
          <x:t xml:space="preserve">Обязательный</x:t>
        </x:is>
      </x:c>
      <x:c r="I117" s="31" t="inlineStr">
        <x:is>
          <x:t xml:space="preserve">ГЗ-КИП-7</x:t>
        </x:is>
      </x:c>
      <x:c r="J117" s="31" t="inlineStr">
        <x:is>
          <x:t xml:space="preserve">Да</x:t>
        </x:is>
      </x:c>
    </x:row>
    <x:row r="118" ht="18" customHeight="1">
      <x:c r="A118" s="31" t="inlineStr">
        <x:is>
          <x:t xml:space="preserve">СОСТ-00117</x:t>
        </x:is>
      </x:c>
      <x:c r="B118" s="31" t="inlineStr">
        <x:is>
          <x:t xml:space="preserve">ИЗД-008</x:t>
        </x:is>
      </x:c>
      <x:c r="C118" s="31" t="inlineStr">
        <x:is>
          <x:t xml:space="preserve">МАТ-0037</x:t>
        </x:is>
      </x:c>
      <x:c r="D118" s="31" t="inlineStr">
        <x:is>
          <x:t xml:space="preserve">Клапан электромагнитный 24В / исп.3</x:t>
        </x:is>
      </x:c>
      <x:c r="E118" s="31" t="inlineStr">
        <x:is>
          <x:t xml:space="preserve">КИПиА</x:t>
        </x:is>
      </x:c>
      <x:c r="F118" s="31" t="n">
        <x:v>6.62</x:v>
      </x:c>
      <x:c r="G118" s="31" t="inlineStr">
        <x:is>
          <x:t xml:space="preserve">шт</x:t>
        </x:is>
      </x:c>
      <x:c r="H118" s="31" t="inlineStr">
        <x:is>
          <x:t xml:space="preserve">Обязательный</x:t>
        </x:is>
      </x:c>
      <x:c r="I118" s="31" t="inlineStr">
        <x:is>
          <x:t xml:space="preserve">ГЗ-КИП-3</x:t>
        </x:is>
      </x:c>
      <x:c r="J118" s="31" t="inlineStr">
        <x:is>
          <x:t xml:space="preserve">Нет</x:t>
        </x:is>
      </x:c>
    </x:row>
    <x:row r="119" ht="18" customHeight="1">
      <x:c r="A119" s="31" t="inlineStr">
        <x:is>
          <x:t xml:space="preserve">СОСТ-00118</x:t>
        </x:is>
      </x:c>
      <x:c r="B119" s="31" t="inlineStr">
        <x:is>
          <x:t xml:space="preserve">ИЗД-008</x:t>
        </x:is>
      </x:c>
      <x:c r="C119" s="31" t="inlineStr">
        <x:is>
          <x:t xml:space="preserve">МАТ-0037</x:t>
        </x:is>
      </x:c>
      <x:c r="D119" s="31" t="inlineStr">
        <x:is>
          <x:t xml:space="preserve">Клапан электромагнитный 24В / исп.3</x:t>
        </x:is>
      </x:c>
      <x:c r="E119" s="31" t="inlineStr">
        <x:is>
          <x:t xml:space="preserve">КИПиА</x:t>
        </x:is>
      </x:c>
      <x:c r="F119" s="31" t="n">
        <x:v>1.3</x:v>
      </x:c>
      <x:c r="G119" s="31" t="inlineStr">
        <x:is>
          <x:t xml:space="preserve">шт</x:t>
        </x:is>
      </x:c>
      <x:c r="H119" s="31" t="inlineStr">
        <x:is>
          <x:t xml:space="preserve">Обязательный</x:t>
        </x:is>
      </x:c>
      <x:c r="I119" s="31" t="inlineStr">
        <x:is>
          <x:t xml:space="preserve">ГЗ-КИП-3</x:t>
        </x:is>
      </x:c>
      <x:c r="J119" s="31" t="inlineStr">
        <x:is>
          <x:t xml:space="preserve">Нет</x:t>
        </x:is>
      </x:c>
    </x:row>
    <x:row r="120" ht="18" customHeight="1">
      <x:c r="A120" s="31" t="inlineStr">
        <x:is>
          <x:t xml:space="preserve">СОСТ-00119</x:t>
        </x:is>
      </x:c>
      <x:c r="B120" s="31" t="inlineStr">
        <x:is>
          <x:t xml:space="preserve">ИЗД-008</x:t>
        </x:is>
      </x:c>
      <x:c r="C120" s="31" t="inlineStr">
        <x:is>
          <x:t xml:space="preserve">МАТ-0052</x:t>
        </x:is>
      </x:c>
      <x:c r="D120" s="31" t="inlineStr">
        <x:is>
          <x:t xml:space="preserve">Кран шаровой Ду50 / исп.2</x:t>
        </x:is>
      </x:c>
      <x:c r="E120" s="31" t="inlineStr">
        <x:is>
          <x:t xml:space="preserve">Запорная арматура</x:t>
        </x:is>
      </x:c>
      <x:c r="F120" s="31" t="n">
        <x:v>3.2</x:v>
      </x:c>
      <x:c r="G120" s="31" t="inlineStr">
        <x:is>
          <x:t xml:space="preserve">шт</x:t>
        </x:is>
      </x:c>
      <x:c r="H120" s="31" t="inlineStr">
        <x:is>
          <x:t xml:space="preserve">Обязательный</x:t>
        </x:is>
      </x:c>
      <x:c r="I120" s="31" t="inlineStr">
        <x:is>
          <x:t xml:space="preserve">ГЗ-ЗАП-7</x:t>
        </x:is>
      </x:c>
      <x:c r="J120" s="31" t="inlineStr">
        <x:is>
          <x:t xml:space="preserve">Да</x:t>
        </x:is>
      </x:c>
    </x:row>
    <x:row r="121" ht="18" customHeight="1">
      <x:c r="A121" s="31" t="inlineStr">
        <x:is>
          <x:t xml:space="preserve">СОСТ-00120</x:t>
        </x:is>
      </x:c>
      <x:c r="B121" s="31" t="inlineStr">
        <x:is>
          <x:t xml:space="preserve">ИЗД-008</x:t>
        </x:is>
      </x:c>
      <x:c r="C121" s="31" t="inlineStr">
        <x:is>
          <x:t xml:space="preserve">МАТ-0080</x:t>
        </x:is>
      </x:c>
      <x:c r="D121" s="31" t="inlineStr">
        <x:is>
          <x:t xml:space="preserve">Гайка М12 / исп.3</x:t>
        </x:is>
      </x:c>
      <x:c r="E121" s="31" t="inlineStr">
        <x:is>
          <x:t xml:space="preserve">Крепеж</x:t>
        </x:is>
      </x:c>
      <x:c r="F121" s="31" t="n">
        <x:v>5.7</x:v>
      </x:c>
      <x:c r="G121" s="31" t="inlineStr">
        <x:is>
          <x:t xml:space="preserve">шт</x:t>
        </x:is>
      </x:c>
      <x:c r="H121" s="31" t="inlineStr">
        <x:is>
          <x:t xml:space="preserve">Опция</x:t>
        </x:is>
      </x:c>
      <x:c r="I121" s="31" t="inlineStr">
        <x:is>
          <x:t xml:space="preserve">ГЗ-КРЕ-6</x:t>
        </x:is>
      </x:c>
      <x:c r="J121" s="31" t="inlineStr">
        <x:is>
          <x:t xml:space="preserve">Нет</x:t>
        </x:is>
      </x:c>
    </x:row>
    <x:row r="122" ht="18" customHeight="1">
      <x:c r="A122" s="31" t="inlineStr">
        <x:is>
          <x:t xml:space="preserve">СОСТ-00121</x:t>
        </x:is>
      </x:c>
      <x:c r="B122" s="31" t="inlineStr">
        <x:is>
          <x:t xml:space="preserve">ИЗД-008</x:t>
        </x:is>
      </x:c>
      <x:c r="C122" s="31" t="inlineStr">
        <x:is>
          <x:t xml:space="preserve">МАТ-0077</x:t>
        </x:is>
      </x:c>
      <x:c r="D122" s="31" t="inlineStr">
        <x:is>
          <x:t xml:space="preserve">Болт М16</x:t>
        </x:is>
      </x:c>
      <x:c r="E122" s="31" t="inlineStr">
        <x:is>
          <x:t xml:space="preserve">Крепеж</x:t>
        </x:is>
      </x:c>
      <x:c r="F122" s="31" t="n">
        <x:v>2.65</x:v>
      </x:c>
      <x:c r="G122" s="31" t="inlineStr">
        <x:is>
          <x:t xml:space="preserve">шт</x:t>
        </x:is>
      </x:c>
      <x:c r="H122" s="31" t="inlineStr">
        <x:is>
          <x:t xml:space="preserve">Обязательный</x:t>
        </x:is>
      </x:c>
      <x:c r="I122" s="31" t="inlineStr">
        <x:is>
          <x:t xml:space="preserve">ГЗ-КРЕ-1</x:t>
        </x:is>
      </x:c>
      <x:c r="J122" s="31" t="inlineStr">
        <x:is>
          <x:t xml:space="preserve">Нет</x:t>
        </x:is>
      </x:c>
    </x:row>
    <x:row r="123" ht="18" customHeight="1">
      <x:c r="A123" s="31" t="inlineStr">
        <x:is>
          <x:t xml:space="preserve">СОСТ-00122</x:t>
        </x:is>
      </x:c>
      <x:c r="B123" s="31" t="inlineStr">
        <x:is>
          <x:t xml:space="preserve">ИЗД-008</x:t>
        </x:is>
      </x:c>
      <x:c r="C123" s="31" t="inlineStr">
        <x:is>
          <x:t xml:space="preserve">МАТ-0088</x:t>
        </x:is>
      </x:c>
      <x:c r="D123" s="31" t="inlineStr">
        <x:is>
          <x:t xml:space="preserve">Ящик фанерный / исп.2</x:t>
        </x:is>
      </x:c>
      <x:c r="E123" s="31" t="inlineStr">
        <x:is>
          <x:t xml:space="preserve">Упаковка</x:t>
        </x:is>
      </x:c>
      <x:c r="F123" s="31" t="n">
        <x:v>5.65</x:v>
      </x:c>
      <x:c r="G123" s="31" t="inlineStr">
        <x:is>
          <x:t xml:space="preserve">шт</x:t>
        </x:is>
      </x:c>
      <x:c r="H123" s="31" t="inlineStr">
        <x:is>
          <x:t xml:space="preserve">Обязательный</x:t>
        </x:is>
      </x:c>
      <x:c r="I123" s="31" t="inlineStr">
        <x:is>
          <x:t xml:space="preserve">ГЗ-УПА-4</x:t>
        </x:is>
      </x:c>
      <x:c r="J123" s="31" t="inlineStr">
        <x:is>
          <x:t xml:space="preserve">Нет</x:t>
        </x:is>
      </x:c>
    </x:row>
    <x:row r="124" ht="18" customHeight="1">
      <x:c r="A124" s="31" t="inlineStr">
        <x:is>
          <x:t xml:space="preserve">СОСТ-00123</x:t>
        </x:is>
      </x:c>
      <x:c r="B124" s="31" t="inlineStr">
        <x:is>
          <x:t xml:space="preserve">ИЗД-009</x:t>
        </x:is>
      </x:c>
      <x:c r="C124" s="31" t="inlineStr">
        <x:is>
          <x:t xml:space="preserve">МАТ-0005</x:t>
        </x:is>
      </x:c>
      <x:c r="D124" s="31" t="inlineStr">
        <x:is>
          <x:t xml:space="preserve">Труба бесшовная 57×4</x:t>
        </x:is>
      </x:c>
      <x:c r="E124" s="31" t="inlineStr">
        <x:is>
          <x:t xml:space="preserve">Металл</x:t>
        </x:is>
      </x:c>
      <x:c r="F124" s="31" t="n">
        <x:v>9.039999999999999</x:v>
      </x:c>
      <x:c r="G124" s="31" t="inlineStr">
        <x:is>
          <x:t xml:space="preserve">м</x:t>
        </x:is>
      </x:c>
      <x:c r="H124" s="31" t="inlineStr">
        <x:is>
          <x:t xml:space="preserve">Обязательный</x:t>
        </x:is>
      </x:c>
      <x:c r="I124" s="31" t="inlineStr">
        <x:is>
          <x:t xml:space="preserve">ГЗ-МЕТ-5</x:t>
        </x:is>
      </x:c>
      <x:c r="J124" s="31" t="inlineStr">
        <x:is>
          <x:t xml:space="preserve">Нет</x:t>
        </x:is>
      </x:c>
    </x:row>
    <x:row r="125" ht="18" customHeight="1">
      <x:c r="A125" s="31" t="inlineStr">
        <x:is>
          <x:t xml:space="preserve">СОСТ-00124</x:t>
        </x:is>
      </x:c>
      <x:c r="B125" s="31" t="inlineStr">
        <x:is>
          <x:t xml:space="preserve">ИЗД-009</x:t>
        </x:is>
      </x:c>
      <x:c r="C125" s="31" t="inlineStr">
        <x:is>
          <x:t xml:space="preserve">МАТ-0006</x:t>
        </x:is>
      </x:c>
      <x:c r="D125" s="31" t="inlineStr">
        <x:is>
          <x:t xml:space="preserve">Труба нержавеющая 38×3</x:t>
        </x:is>
      </x:c>
      <x:c r="E125" s="31" t="inlineStr">
        <x:is>
          <x:t xml:space="preserve">Металл</x:t>
        </x:is>
      </x:c>
      <x:c r="F125" s="31" t="n">
        <x:v>3.31</x:v>
      </x:c>
      <x:c r="G125" s="31" t="inlineStr">
        <x:is>
          <x:t xml:space="preserve">шт</x:t>
        </x:is>
      </x:c>
      <x:c r="H125" s="31" t="inlineStr">
        <x:is>
          <x:t xml:space="preserve">Обязательный</x:t>
        </x:is>
      </x:c>
      <x:c r="I125" s="31" t="inlineStr">
        <x:is>
          <x:t xml:space="preserve">ГЗ-МЕТ-8</x:t>
        </x:is>
      </x:c>
      <x:c r="J125" s="31" t="inlineStr">
        <x:is>
          <x:t xml:space="preserve">Нет</x:t>
        </x:is>
      </x:c>
    </x:row>
    <x:row r="126" ht="18" customHeight="1">
      <x:c r="A126" s="31" t="inlineStr">
        <x:is>
          <x:t xml:space="preserve">СОСТ-00125</x:t>
        </x:is>
      </x:c>
      <x:c r="B126" s="31" t="inlineStr">
        <x:is>
          <x:t xml:space="preserve">ИЗД-009</x:t>
        </x:is>
      </x:c>
      <x:c r="C126" s="31" t="inlineStr">
        <x:is>
          <x:t xml:space="preserve">МАТ-0012</x:t>
        </x:is>
      </x:c>
      <x:c r="D126" s="31" t="inlineStr">
        <x:is>
          <x:t xml:space="preserve">Фланец Ду80 Ру16</x:t>
        </x:is>
      </x:c>
      <x:c r="E126" s="31" t="inlineStr">
        <x:is>
          <x:t xml:space="preserve">Металл</x:t>
        </x:is>
      </x:c>
      <x:c r="F126" s="31" t="n">
        <x:v>74.97</x:v>
      </x:c>
      <x:c r="G126" s="31" t="inlineStr">
        <x:is>
          <x:t xml:space="preserve">л</x:t>
        </x:is>
      </x:c>
      <x:c r="H126" s="31" t="inlineStr">
        <x:is>
          <x:t xml:space="preserve">Обязательный</x:t>
        </x:is>
      </x:c>
      <x:c r="I126" s="31" t="inlineStr">
        <x:is>
          <x:t xml:space="preserve">ГЗ-МЕТ-9</x:t>
        </x:is>
      </x:c>
      <x:c r="J126" s="31" t="inlineStr">
        <x:is>
          <x:t xml:space="preserve">Нет</x:t>
        </x:is>
      </x:c>
    </x:row>
    <x:row r="127" ht="18" customHeight="1">
      <x:c r="A127" s="31" t="inlineStr">
        <x:is>
          <x:t xml:space="preserve">СОСТ-00126</x:t>
        </x:is>
      </x:c>
      <x:c r="B127" s="31" t="inlineStr">
        <x:is>
          <x:t xml:space="preserve">ИЗД-009</x:t>
        </x:is>
      </x:c>
      <x:c r="C127" s="31" t="inlineStr">
        <x:is>
          <x:t xml:space="preserve">МАТ-0055</x:t>
        </x:is>
      </x:c>
      <x:c r="D127" s="31" t="inlineStr">
        <x:is>
          <x:t xml:space="preserve">Клапан обратный Ду50</x:t>
        </x:is>
      </x:c>
      <x:c r="E127" s="31" t="inlineStr">
        <x:is>
          <x:t xml:space="preserve">Запорная арматура</x:t>
        </x:is>
      </x:c>
      <x:c r="F127" s="31" t="n">
        <x:v>4.08</x:v>
      </x:c>
      <x:c r="G127" s="31" t="inlineStr">
        <x:is>
          <x:t xml:space="preserve">шт</x:t>
        </x:is>
      </x:c>
      <x:c r="H127" s="31" t="inlineStr">
        <x:is>
          <x:t xml:space="preserve">Обязательный</x:t>
        </x:is>
      </x:c>
      <x:c r="I127" s="31" t="inlineStr">
        <x:is>
          <x:t xml:space="preserve">ГЗ-ЗАП-7</x:t>
        </x:is>
      </x:c>
      <x:c r="J127" s="31" t="inlineStr">
        <x:is>
          <x:t xml:space="preserve">Нет</x:t>
        </x:is>
      </x:c>
    </x:row>
    <x:row r="128" ht="18" customHeight="1">
      <x:c r="A128" s="31" t="inlineStr">
        <x:is>
          <x:t xml:space="preserve">СОСТ-00127</x:t>
        </x:is>
      </x:c>
      <x:c r="B128" s="31" t="inlineStr">
        <x:is>
          <x:t xml:space="preserve">ИЗД-009</x:t>
        </x:is>
      </x:c>
      <x:c r="C128" s="31" t="inlineStr">
        <x:is>
          <x:t xml:space="preserve">МАТ-0035</x:t>
        </x:is>
      </x:c>
      <x:c r="D128" s="31" t="inlineStr">
        <x:is>
          <x:t xml:space="preserve">Клапан электромагнитный 24В</x:t>
        </x:is>
      </x:c>
      <x:c r="E128" s="31" t="inlineStr">
        <x:is>
          <x:t xml:space="preserve">КИПиА</x:t>
        </x:is>
      </x:c>
      <x:c r="F128" s="31" t="n">
        <x:v>3.62</x:v>
      </x:c>
      <x:c r="G128" s="31" t="inlineStr">
        <x:is>
          <x:t xml:space="preserve">шт</x:t>
        </x:is>
      </x:c>
      <x:c r="H128" s="31" t="inlineStr">
        <x:is>
          <x:t xml:space="preserve">Опция</x:t>
        </x:is>
      </x:c>
      <x:c r="I128" s="31" t="inlineStr">
        <x:is>
          <x:t xml:space="preserve">ГЗ-КИП-7</x:t>
        </x:is>
      </x:c>
      <x:c r="J128" s="31" t="inlineStr">
        <x:is>
          <x:t xml:space="preserve">Нет</x:t>
        </x:is>
      </x:c>
    </x:row>
    <x:row r="129" ht="18" customHeight="1">
      <x:c r="A129" s="31" t="inlineStr">
        <x:is>
          <x:t xml:space="preserve">СОСТ-00128</x:t>
        </x:is>
      </x:c>
      <x:c r="B129" s="31" t="inlineStr">
        <x:is>
          <x:t xml:space="preserve">ИЗД-009</x:t>
        </x:is>
      </x:c>
      <x:c r="C129" s="31" t="inlineStr">
        <x:is>
          <x:t xml:space="preserve">МАТ-0034</x:t>
        </x:is>
      </x:c>
      <x:c r="D129" s="31" t="inlineStr">
        <x:is>
          <x:t xml:space="preserve">Манометр виброустойчивый</x:t>
        </x:is>
      </x:c>
      <x:c r="E129" s="31" t="inlineStr">
        <x:is>
          <x:t xml:space="preserve">КИПиА</x:t>
        </x:is>
      </x:c>
      <x:c r="F129" s="31" t="n">
        <x:v>4.32</x:v>
      </x:c>
      <x:c r="G129" s="31" t="inlineStr">
        <x:is>
          <x:t xml:space="preserve">шт</x:t>
        </x:is>
      </x:c>
      <x:c r="H129" s="31" t="inlineStr">
        <x:is>
          <x:t xml:space="preserve">Обязательный</x:t>
        </x:is>
      </x:c>
      <x:c r="I129" s="31" t="inlineStr">
        <x:is>
          <x:t xml:space="preserve">ГЗ-КИП-3</x:t>
        </x:is>
      </x:c>
      <x:c r="J129" s="31" t="inlineStr">
        <x:is>
          <x:t xml:space="preserve">Нет</x:t>
        </x:is>
      </x:c>
    </x:row>
    <x:row r="130" ht="18" customHeight="1">
      <x:c r="A130" s="31" t="inlineStr">
        <x:is>
          <x:t xml:space="preserve">СОСТ-00129</x:t>
        </x:is>
      </x:c>
      <x:c r="B130" s="31" t="inlineStr">
        <x:is>
          <x:t xml:space="preserve">ИЗД-009</x:t>
        </x:is>
      </x:c>
      <x:c r="C130" s="31" t="inlineStr">
        <x:is>
          <x:t xml:space="preserve">МАТ-0070</x:t>
        </x:is>
      </x:c>
      <x:c r="D130" s="31" t="inlineStr">
        <x:is>
          <x:t xml:space="preserve">Эмаль полиуретановая / исп.2</x:t>
        </x:is>
      </x:c>
      <x:c r="E130" s="31" t="inlineStr">
        <x:is>
          <x:t xml:space="preserve">Покраска</x:t>
        </x:is>
      </x:c>
      <x:c r="F130" s="31" t="n">
        <x:v>30.68</x:v>
      </x:c>
      <x:c r="G130" s="31" t="inlineStr">
        <x:is>
          <x:t xml:space="preserve">кг</x:t>
        </x:is>
      </x:c>
      <x:c r="H130" s="31" t="inlineStr">
        <x:is>
          <x:t xml:space="preserve">Обязательный</x:t>
        </x:is>
      </x:c>
      <x:c r="I130" s="31" t="inlineStr">
        <x:is>
          <x:t xml:space="preserve">ГЗ-ПОК-3</x:t>
        </x:is>
      </x:c>
      <x:c r="J130" s="31" t="inlineStr">
        <x:is>
          <x:t xml:space="preserve">Нет</x:t>
        </x:is>
      </x:c>
    </x:row>
    <x:row r="131" ht="18" customHeight="1">
      <x:c r="A131" s="31" t="inlineStr">
        <x:is>
          <x:t xml:space="preserve">СОСТ-00130</x:t>
        </x:is>
      </x:c>
      <x:c r="B131" s="31" t="inlineStr">
        <x:is>
          <x:t xml:space="preserve">ИЗД-009</x:t>
        </x:is>
      </x:c>
      <x:c r="C131" s="31" t="inlineStr">
        <x:is>
          <x:t xml:space="preserve">МАТ-0075</x:t>
        </x:is>
      </x:c>
      <x:c r="D131" s="31" t="inlineStr">
        <x:is>
          <x:t xml:space="preserve">Болт М12</x:t>
        </x:is>
      </x:c>
      <x:c r="E131" s="31" t="inlineStr">
        <x:is>
          <x:t xml:space="preserve">Крепеж</x:t>
        </x:is>
      </x:c>
      <x:c r="F131" s="31" t="n">
        <x:v>6.89</x:v>
      </x:c>
      <x:c r="G131" s="31" t="inlineStr">
        <x:is>
          <x:t xml:space="preserve">шт</x:t>
        </x:is>
      </x:c>
      <x:c r="H131" s="31" t="inlineStr">
        <x:is>
          <x:t xml:space="preserve">Обязательный</x:t>
        </x:is>
      </x:c>
      <x:c r="I131" s="31" t="inlineStr">
        <x:is>
          <x:t xml:space="preserve">ГЗ-КРЕ-6</x:t>
        </x:is>
      </x:c>
      <x:c r="J131" s="31" t="inlineStr">
        <x:is>
          <x:t xml:space="preserve">Нет</x:t>
        </x:is>
      </x:c>
    </x:row>
    <x:row r="132" ht="18" customHeight="1">
      <x:c r="A132" s="31" t="inlineStr">
        <x:is>
          <x:t xml:space="preserve">СОСТ-00131</x:t>
        </x:is>
      </x:c>
      <x:c r="B132" s="31" t="inlineStr">
        <x:is>
          <x:t xml:space="preserve">ИЗД-009</x:t>
        </x:is>
      </x:c>
      <x:c r="C132" s="31" t="inlineStr">
        <x:is>
          <x:t xml:space="preserve">МАТ-0078</x:t>
        </x:is>
      </x:c>
      <x:c r="D132" s="31" t="inlineStr">
        <x:is>
          <x:t xml:space="preserve">Гайка М12</x:t>
        </x:is>
      </x:c>
      <x:c r="E132" s="31" t="inlineStr">
        <x:is>
          <x:t xml:space="preserve">Крепеж</x:t>
        </x:is>
      </x:c>
      <x:c r="F132" s="31" t="n">
        <x:v>2.77</x:v>
      </x:c>
      <x:c r="G132" s="31" t="inlineStr">
        <x:is>
          <x:t xml:space="preserve">шт</x:t>
        </x:is>
      </x:c>
      <x:c r="H132" s="31" t="inlineStr">
        <x:is>
          <x:t xml:space="preserve">Обязательный</x:t>
        </x:is>
      </x:c>
      <x:c r="I132" s="31" t="inlineStr">
        <x:is>
          <x:t xml:space="preserve">ГЗ-КРЕ-9</x:t>
        </x:is>
      </x:c>
      <x:c r="J132" s="31" t="inlineStr">
        <x:is>
          <x:t xml:space="preserve">Нет</x:t>
        </x:is>
      </x:c>
    </x:row>
    <x:row r="133" ht="18" customHeight="1">
      <x:c r="A133" s="31" t="inlineStr">
        <x:is>
          <x:t xml:space="preserve">СОСТ-00132</x:t>
        </x:is>
      </x:c>
      <x:c r="B133" s="31" t="inlineStr">
        <x:is>
          <x:t xml:space="preserve">ИЗД-009</x:t>
        </x:is>
      </x:c>
      <x:c r="C133" s="31" t="inlineStr">
        <x:is>
          <x:t xml:space="preserve">МАТ-0080</x:t>
        </x:is>
      </x:c>
      <x:c r="D133" s="31" t="inlineStr">
        <x:is>
          <x:t xml:space="preserve">Гайка М12 / исп.3</x:t>
        </x:is>
      </x:c>
      <x:c r="E133" s="31" t="inlineStr">
        <x:is>
          <x:t xml:space="preserve">Крепеж</x:t>
        </x:is>
      </x:c>
      <x:c r="F133" s="31" t="n">
        <x:v>7.32</x:v>
      </x:c>
      <x:c r="G133" s="31" t="inlineStr">
        <x:is>
          <x:t xml:space="preserve">шт</x:t>
        </x:is>
      </x:c>
      <x:c r="H133" s="31" t="inlineStr">
        <x:is>
          <x:t xml:space="preserve">Обязательный</x:t>
        </x:is>
      </x:c>
      <x:c r="I133" s="31" t="inlineStr">
        <x:is>
          <x:t xml:space="preserve">ГЗ-КРЕ-6</x:t>
        </x:is>
      </x:c>
      <x:c r="J133" s="31" t="inlineStr">
        <x:is>
          <x:t xml:space="preserve">Нет</x:t>
        </x:is>
      </x:c>
    </x:row>
    <x:row r="134" ht="18" customHeight="1">
      <x:c r="A134" s="31" t="inlineStr">
        <x:is>
          <x:t xml:space="preserve">СОСТ-00133</x:t>
        </x:is>
      </x:c>
      <x:c r="B134" s="31" t="inlineStr">
        <x:is>
          <x:t xml:space="preserve">ИЗД-009</x:t>
        </x:is>
      </x:c>
      <x:c r="C134" s="31" t="inlineStr">
        <x:is>
          <x:t xml:space="preserve">МАТ-0087</x:t>
        </x:is>
      </x:c>
      <x:c r="D134" s="31" t="inlineStr">
        <x:is>
          <x:t xml:space="preserve">Ящик фанерный</x:t>
        </x:is>
      </x:c>
      <x:c r="E134" s="31" t="inlineStr">
        <x:is>
          <x:t xml:space="preserve">Упаковка</x:t>
        </x:is>
      </x:c>
      <x:c r="F134" s="31" t="n">
        <x:v>3.72</x:v>
      </x:c>
      <x:c r="G134" s="31" t="inlineStr">
        <x:is>
          <x:t xml:space="preserve">шт</x:t>
        </x:is>
      </x:c>
      <x:c r="H134" s="31" t="inlineStr">
        <x:is>
          <x:t xml:space="preserve">Опция</x:t>
        </x:is>
      </x:c>
      <x:c r="I134" s="31" t="inlineStr">
        <x:is>
          <x:t xml:space="preserve">ГЗ-УПА-6</x:t>
        </x:is>
      </x:c>
      <x:c r="J134" s="31" t="inlineStr">
        <x:is>
          <x:t xml:space="preserve">Нет</x:t>
        </x:is>
      </x:c>
    </x:row>
    <x:row r="135" ht="18" customHeight="1">
      <x:c r="A135" s="31" t="inlineStr">
        <x:is>
          <x:t xml:space="preserve">СОСТ-00134</x:t>
        </x:is>
      </x:c>
      <x:c r="B135" s="31" t="inlineStr">
        <x:is>
          <x:t xml:space="preserve">ИЗД-010</x:t>
        </x:is>
      </x:c>
      <x:c r="C135" s="31" t="inlineStr">
        <x:is>
          <x:t xml:space="preserve">МАТ-0042</x:t>
        </x:is>
      </x:c>
      <x:c r="D135" s="31" t="inlineStr">
        <x:is>
          <x:t xml:space="preserve">модуль аналогового входа 4 канала / исп.3</x:t>
        </x:is>
      </x:c>
      <x:c r="E135" s="31" t="inlineStr">
        <x:is>
          <x:t xml:space="preserve">ПЛК/электрика</x:t>
        </x:is>
      </x:c>
      <x:c r="F135" s="31" t="n">
        <x:v>1.63</x:v>
      </x:c>
      <x:c r="G135" s="31" t="inlineStr">
        <x:is>
          <x:t xml:space="preserve">шт</x:t>
        </x:is>
      </x:c>
      <x:c r="H135" s="31" t="inlineStr">
        <x:is>
          <x:t xml:space="preserve">Обязательный</x:t>
        </x:is>
      </x:c>
      <x:c r="I135" s="31" t="inlineStr">
        <x:is>
          <x:t xml:space="preserve">ГЗ-ПЛК-7</x:t>
        </x:is>
      </x:c>
      <x:c r="J135" s="31" t="inlineStr">
        <x:is>
          <x:t xml:space="preserve">Нет</x:t>
        </x:is>
      </x:c>
    </x:row>
    <x:row r="136" ht="18" customHeight="1">
      <x:c r="A136" s="31" t="inlineStr">
        <x:is>
          <x:t xml:space="preserve">СОСТ-00135</x:t>
        </x:is>
      </x:c>
      <x:c r="B136" s="31" t="inlineStr">
        <x:is>
          <x:t xml:space="preserve">ИЗД-010</x:t>
        </x:is>
      </x:c>
      <x:c r="C136" s="31" t="inlineStr">
        <x:is>
          <x:t xml:space="preserve">МАТ-0041</x:t>
        </x:is>
      </x:c>
      <x:c r="D136" s="31" t="inlineStr">
        <x:is>
          <x:t xml:space="preserve">модуль аналогового входа 4 канала / исп.2</x:t>
        </x:is>
      </x:c>
      <x:c r="E136" s="31" t="inlineStr">
        <x:is>
          <x:t xml:space="preserve">ПЛК/электрика</x:t>
        </x:is>
      </x:c>
      <x:c r="F136" s="31" t="n">
        <x:v>7.02</x:v>
      </x:c>
      <x:c r="G136" s="31" t="inlineStr">
        <x:is>
          <x:t xml:space="preserve">шт</x:t>
        </x:is>
      </x:c>
      <x:c r="H136" s="31" t="inlineStr">
        <x:is>
          <x:t xml:space="preserve">Обязательный</x:t>
        </x:is>
      </x:c>
      <x:c r="I136" s="31" t="inlineStr">
        <x:is>
          <x:t xml:space="preserve">ГЗ-ПЛК-4</x:t>
        </x:is>
      </x:c>
      <x:c r="J136" s="31" t="inlineStr">
        <x:is>
          <x:t xml:space="preserve">Нет</x:t>
        </x:is>
      </x:c>
    </x:row>
    <x:row r="137" ht="18" customHeight="1">
      <x:c r="A137" s="31" t="inlineStr">
        <x:is>
          <x:t xml:space="preserve">СОСТ-00136</x:t>
        </x:is>
      </x:c>
      <x:c r="B137" s="31" t="inlineStr">
        <x:is>
          <x:t xml:space="preserve">ИЗД-010</x:t>
        </x:is>
      </x:c>
      <x:c r="C137" s="31" t="inlineStr">
        <x:is>
          <x:t xml:space="preserve">МАТ-0067</x:t>
        </x:is>
      </x:c>
      <x:c r="D137" s="31" t="inlineStr">
        <x:is>
          <x:t xml:space="preserve">Кабельный ввод М20</x:t>
        </x:is>
      </x:c>
      <x:c r="E137" s="31" t="inlineStr">
        <x:is>
          <x:t xml:space="preserve">Кабель</x:t>
        </x:is>
      </x:c>
      <x:c r="F137" s="31" t="n">
        <x:v>4.64</x:v>
      </x:c>
      <x:c r="G137" s="31" t="inlineStr">
        <x:is>
          <x:t xml:space="preserve">кг</x:t>
        </x:is>
      </x:c>
      <x:c r="H137" s="31" t="inlineStr">
        <x:is>
          <x:t xml:space="preserve">Обязательный</x:t>
        </x:is>
      </x:c>
      <x:c r="I137" s="31" t="inlineStr">
        <x:is>
          <x:t xml:space="preserve">ГЗ-КАБ-1</x:t>
        </x:is>
      </x:c>
      <x:c r="J137" s="31" t="inlineStr">
        <x:is>
          <x:t xml:space="preserve">Нет</x:t>
        </x:is>
      </x:c>
    </x:row>
    <x:row r="138" ht="18" customHeight="1">
      <x:c r="A138" s="31" t="inlineStr">
        <x:is>
          <x:t xml:space="preserve">СОСТ-00137</x:t>
        </x:is>
      </x:c>
      <x:c r="B138" s="31" t="inlineStr">
        <x:is>
          <x:t xml:space="preserve">ИЗД-010</x:t>
        </x:is>
      </x:c>
      <x:c r="C138" s="31" t="inlineStr">
        <x:is>
          <x:t xml:space="preserve">МАТ-0065</x:t>
        </x:is>
      </x:c>
      <x:c r="D138" s="31" t="inlineStr">
        <x:is>
          <x:t xml:space="preserve">Гофра металлическая</x:t>
        </x:is>
      </x:c>
      <x:c r="E138" s="31" t="inlineStr">
        <x:is>
          <x:t xml:space="preserve">Кабель</x:t>
        </x:is>
      </x:c>
      <x:c r="F138" s="31" t="n">
        <x:v>4.3</x:v>
      </x:c>
      <x:c r="G138" s="31" t="inlineStr">
        <x:is>
          <x:t xml:space="preserve">шт</x:t>
        </x:is>
      </x:c>
      <x:c r="H138" s="31" t="inlineStr">
        <x:is>
          <x:t xml:space="preserve">Обязательный</x:t>
        </x:is>
      </x:c>
      <x:c r="I138" s="31" t="inlineStr">
        <x:is>
          <x:t xml:space="preserve">ГЗ-КАБ-2</x:t>
        </x:is>
      </x:c>
      <x:c r="J138" s="31" t="inlineStr">
        <x:is>
          <x:t xml:space="preserve">Нет</x:t>
        </x:is>
      </x:c>
    </x:row>
    <x:row r="139" ht="18" customHeight="1">
      <x:c r="A139" s="31" t="inlineStr">
        <x:is>
          <x:t xml:space="preserve">СОСТ-00138</x:t>
        </x:is>
      </x:c>
      <x:c r="B139" s="31" t="inlineStr">
        <x:is>
          <x:t xml:space="preserve">ИЗД-010</x:t>
        </x:is>
      </x:c>
      <x:c r="C139" s="31" t="inlineStr">
        <x:is>
          <x:t xml:space="preserve">МАТ-0034</x:t>
        </x:is>
      </x:c>
      <x:c r="D139" s="31" t="inlineStr">
        <x:is>
          <x:t xml:space="preserve">Манометр виброустойчивый</x:t>
        </x:is>
      </x:c>
      <x:c r="E139" s="31" t="inlineStr">
        <x:is>
          <x:t xml:space="preserve">КИПиА</x:t>
        </x:is>
      </x:c>
      <x:c r="F139" s="31" t="n">
        <x:v>7.14</x:v>
      </x:c>
      <x:c r="G139" s="31" t="inlineStr">
        <x:is>
          <x:t xml:space="preserve">шт</x:t>
        </x:is>
      </x:c>
      <x:c r="H139" s="31" t="inlineStr">
        <x:is>
          <x:t xml:space="preserve">Обязательный</x:t>
        </x:is>
      </x:c>
      <x:c r="I139" s="31" t="inlineStr">
        <x:is>
          <x:t xml:space="preserve">ГЗ-КИП-3</x:t>
        </x:is>
      </x:c>
      <x:c r="J139" s="31" t="inlineStr">
        <x:is>
          <x:t xml:space="preserve">Нет</x:t>
        </x:is>
      </x:c>
    </x:row>
    <x:row r="140" ht="18" customHeight="1">
      <x:c r="A140" s="31" t="inlineStr">
        <x:is>
          <x:t xml:space="preserve">СОСТ-00139</x:t>
        </x:is>
      </x:c>
      <x:c r="B140" s="31" t="inlineStr">
        <x:is>
          <x:t xml:space="preserve">ИЗД-010</x:t>
        </x:is>
      </x:c>
      <x:c r="C140" s="31" t="inlineStr">
        <x:is>
          <x:t xml:space="preserve">МАТ-0036</x:t>
        </x:is>
      </x:c>
      <x:c r="D140" s="31" t="inlineStr">
        <x:is>
          <x:t xml:space="preserve">Клапан электромагнитный 24В / исп.2</x:t>
        </x:is>
      </x:c>
      <x:c r="E140" s="31" t="inlineStr">
        <x:is>
          <x:t xml:space="preserve">КИПиА</x:t>
        </x:is>
      </x:c>
      <x:c r="F140" s="31" t="n">
        <x:v>2.83</x:v>
      </x:c>
      <x:c r="G140" s="31" t="inlineStr">
        <x:is>
          <x:t xml:space="preserve">шт</x:t>
        </x:is>
      </x:c>
      <x:c r="H140" s="31" t="inlineStr">
        <x:is>
          <x:t xml:space="preserve">Обязательный</x:t>
        </x:is>
      </x:c>
      <x:c r="I140" s="31" t="inlineStr">
        <x:is>
          <x:t xml:space="preserve">ГЗ-КИП-6</x:t>
        </x:is>
      </x:c>
      <x:c r="J140" s="31" t="inlineStr">
        <x:is>
          <x:t xml:space="preserve">Нет</x:t>
        </x:is>
      </x:c>
    </x:row>
    <x:row r="141" ht="18" customHeight="1">
      <x:c r="A141" s="31" t="inlineStr">
        <x:is>
          <x:t xml:space="preserve">СОСТ-00140</x:t>
        </x:is>
      </x:c>
      <x:c r="B141" s="31" t="inlineStr">
        <x:is>
          <x:t xml:space="preserve">ИЗД-010</x:t>
        </x:is>
      </x:c>
      <x:c r="C141" s="31" t="inlineStr">
        <x:is>
          <x:t xml:space="preserve">МАТ-0036</x:t>
        </x:is>
      </x:c>
      <x:c r="D141" s="31" t="inlineStr">
        <x:is>
          <x:t xml:space="preserve">Клапан электромагнитный 24В / исп.2</x:t>
        </x:is>
      </x:c>
      <x:c r="E141" s="31" t="inlineStr">
        <x:is>
          <x:t xml:space="preserve">КИПиА</x:t>
        </x:is>
      </x:c>
      <x:c r="F141" s="31" t="n">
        <x:v>6.69</x:v>
      </x:c>
      <x:c r="G141" s="31" t="inlineStr">
        <x:is>
          <x:t xml:space="preserve">шт</x:t>
        </x:is>
      </x:c>
      <x:c r="H141" s="31" t="inlineStr">
        <x:is>
          <x:t xml:space="preserve">Обязательный</x:t>
        </x:is>
      </x:c>
      <x:c r="I141" s="31" t="inlineStr">
        <x:is>
          <x:t xml:space="preserve">ГЗ-КИП-6</x:t>
        </x:is>
      </x:c>
      <x:c r="J141" s="31" t="inlineStr">
        <x:is>
          <x:t xml:space="preserve">Нет</x:t>
        </x:is>
      </x:c>
    </x:row>
    <x:row r="142" ht="18" customHeight="1">
      <x:c r="A142" s="31" t="inlineStr">
        <x:is>
          <x:t xml:space="preserve">СОСТ-00141</x:t>
        </x:is>
      </x:c>
      <x:c r="B142" s="31" t="inlineStr">
        <x:is>
          <x:t xml:space="preserve">ИЗД-010</x:t>
        </x:is>
      </x:c>
      <x:c r="C142" s="31" t="inlineStr">
        <x:is>
          <x:t xml:space="preserve">МАТ-0075</x:t>
        </x:is>
      </x:c>
      <x:c r="D142" s="31" t="inlineStr">
        <x:is>
          <x:t xml:space="preserve">Болт М12</x:t>
        </x:is>
      </x:c>
      <x:c r="E142" s="31" t="inlineStr">
        <x:is>
          <x:t xml:space="preserve">Крепеж</x:t>
        </x:is>
      </x:c>
      <x:c r="F142" s="31" t="n">
        <x:v>5.49</x:v>
      </x:c>
      <x:c r="G142" s="31" t="inlineStr">
        <x:is>
          <x:t xml:space="preserve">шт</x:t>
        </x:is>
      </x:c>
      <x:c r="H142" s="31" t="inlineStr">
        <x:is>
          <x:t xml:space="preserve">Обязательный</x:t>
        </x:is>
      </x:c>
      <x:c r="I142" s="31" t="inlineStr">
        <x:is>
          <x:t xml:space="preserve">ГЗ-КРЕ-6</x:t>
        </x:is>
      </x:c>
      <x:c r="J142" s="31" t="inlineStr">
        <x:is>
          <x:t xml:space="preserve">Нет</x:t>
        </x:is>
      </x:c>
    </x:row>
    <x:row r="143" ht="18" customHeight="1">
      <x:c r="A143" s="31" t="inlineStr">
        <x:is>
          <x:t xml:space="preserve">СОСТ-00142</x:t>
        </x:is>
      </x:c>
      <x:c r="B143" s="31" t="inlineStr">
        <x:is>
          <x:t xml:space="preserve">ИЗД-010</x:t>
        </x:is>
      </x:c>
      <x:c r="C143" s="31" t="inlineStr">
        <x:is>
          <x:t xml:space="preserve">МАТ-0085</x:t>
        </x:is>
      </x:c>
      <x:c r="D143" s="31" t="inlineStr">
        <x:is>
          <x:t xml:space="preserve">Пленка стрейч</x:t>
        </x:is>
      </x:c>
      <x:c r="E143" s="31" t="inlineStr">
        <x:is>
          <x:t xml:space="preserve">Упаковка</x:t>
        </x:is>
      </x:c>
      <x:c r="F143" s="31" t="n">
        <x:v>1.02</x:v>
      </x:c>
      <x:c r="G143" s="31" t="inlineStr">
        <x:is>
          <x:t xml:space="preserve">шт</x:t>
        </x:is>
      </x:c>
      <x:c r="H143" s="31" t="inlineStr">
        <x:is>
          <x:t xml:space="preserve">Обязательный</x:t>
        </x:is>
      </x:c>
      <x:c r="I143" s="31" t="inlineStr">
        <x:is>
          <x:t xml:space="preserve">ГЗ-УПА-5</x:t>
        </x:is>
      </x:c>
      <x:c r="J143" s="31" t="inlineStr">
        <x:is>
          <x:t xml:space="preserve">Нет</x:t>
        </x:is>
      </x:c>
    </x:row>
    <x:row r="144" ht="18" customHeight="1">
      <x:c r="A144" s="31" t="inlineStr">
        <x:is>
          <x:t xml:space="preserve">СОСТ-00143</x:t>
        </x:is>
      </x:c>
      <x:c r="B144" s="31" t="inlineStr">
        <x:is>
          <x:t xml:space="preserve">ИЗД-010</x:t>
        </x:is>
      </x:c>
      <x:c r="C144" s="31" t="inlineStr">
        <x:is>
          <x:t xml:space="preserve">МАТ-0088</x:t>
        </x:is>
      </x:c>
      <x:c r="D144" s="31" t="inlineStr">
        <x:is>
          <x:t xml:space="preserve">Ящик фанерный / исп.2</x:t>
        </x:is>
      </x:c>
      <x:c r="E144" s="31" t="inlineStr">
        <x:is>
          <x:t xml:space="preserve">Упаковка</x:t>
        </x:is>
      </x:c>
      <x:c r="F144" s="31" t="n">
        <x:v>1.58</x:v>
      </x:c>
      <x:c r="G144" s="31" t="inlineStr">
        <x:is>
          <x:t xml:space="preserve">шт</x:t>
        </x:is>
      </x:c>
      <x:c r="H144" s="31" t="inlineStr">
        <x:is>
          <x:t xml:space="preserve">Обязательный</x:t>
        </x:is>
      </x:c>
      <x:c r="I144" s="31" t="inlineStr">
        <x:is>
          <x:t xml:space="preserve">ГЗ-УПА-4</x:t>
        </x:is>
      </x:c>
      <x:c r="J144" s="31" t="inlineStr">
        <x:is>
          <x:t xml:space="preserve">Нет</x:t>
        </x:is>
      </x:c>
    </x:row>
    <x:row r="145" ht="18" customHeight="1">
      <x:c r="A145" s="31" t="inlineStr">
        <x:is>
          <x:t xml:space="preserve">СОСТ-00144</x:t>
        </x:is>
      </x:c>
      <x:c r="B145" s="31" t="inlineStr">
        <x:is>
          <x:t xml:space="preserve">ИЗД-010</x:t>
        </x:is>
      </x:c>
      <x:c r="C145" s="31" t="inlineStr">
        <x:is>
          <x:t xml:space="preserve">МАТ-0089</x:t>
        </x:is>
      </x:c>
      <x:c r="D145" s="31" t="inlineStr">
        <x:is>
          <x:t xml:space="preserve">Маркировочная этикетка</x:t>
        </x:is>
      </x:c>
      <x:c r="E145" s="31" t="inlineStr">
        <x:is>
          <x:t xml:space="preserve">Упаковка</x:t>
        </x:is>
      </x:c>
      <x:c r="F145" s="31" t="n">
        <x:v>6.34</x:v>
      </x:c>
      <x:c r="G145" s="31" t="inlineStr">
        <x:is>
          <x:t xml:space="preserve">шт</x:t>
        </x:is>
      </x:c>
      <x:c r="H145" s="31" t="inlineStr">
        <x:is>
          <x:t xml:space="preserve">Обязательный</x:t>
        </x:is>
      </x:c>
      <x:c r="I145" s="31" t="inlineStr">
        <x:is>
          <x:t xml:space="preserve">ГЗ-УПА-7</x:t>
        </x:is>
      </x:c>
      <x:c r="J145" s="31" t="inlineStr">
        <x:is>
          <x:t xml:space="preserve">Нет</x:t>
        </x:is>
      </x:c>
    </x:row>
    <x:row r="146" ht="18" customHeight="1">
      <x:c r="A146" s="31" t="inlineStr">
        <x:is>
          <x:t xml:space="preserve">СОСТ-00145</x:t>
        </x:is>
      </x:c>
      <x:c r="B146" s="31" t="inlineStr">
        <x:is>
          <x:t xml:space="preserve">ИЗД-011</x:t>
        </x:is>
      </x:c>
      <x:c r="C146" s="31" t="inlineStr">
        <x:is>
          <x:t xml:space="preserve">МАТ-0045</x:t>
        </x:is>
      </x:c>
      <x:c r="D146" s="31" t="inlineStr">
        <x:is>
          <x:t xml:space="preserve">Автоматический выключатель 16А</x:t>
        </x:is>
      </x:c>
      <x:c r="E146" s="31" t="inlineStr">
        <x:is>
          <x:t xml:space="preserve">ПЛК/электрика</x:t>
        </x:is>
      </x:c>
      <x:c r="F146" s="31" t="n">
        <x:v>4.35</x:v>
      </x:c>
      <x:c r="G146" s="31" t="inlineStr">
        <x:is>
          <x:t xml:space="preserve">шт</x:t>
        </x:is>
      </x:c>
      <x:c r="H146" s="31" t="inlineStr">
        <x:is>
          <x:t xml:space="preserve">Обязательный</x:t>
        </x:is>
      </x:c>
      <x:c r="I146" s="31" t="inlineStr">
        <x:is>
          <x:t xml:space="preserve">ГЗ-ПЛК-2</x:t>
        </x:is>
      </x:c>
      <x:c r="J146" s="31" t="inlineStr">
        <x:is>
          <x:t xml:space="preserve">Нет</x:t>
        </x:is>
      </x:c>
    </x:row>
    <x:row r="147" ht="18" customHeight="1">
      <x:c r="A147" s="31" t="inlineStr">
        <x:is>
          <x:t xml:space="preserve">СОСТ-00146</x:t>
        </x:is>
      </x:c>
      <x:c r="B147" s="31" t="inlineStr">
        <x:is>
          <x:t xml:space="preserve">ИЗД-011</x:t>
        </x:is>
      </x:c>
      <x:c r="C147" s="31" t="inlineStr">
        <x:is>
          <x:t xml:space="preserve">МАТ-0048</x:t>
        </x:is>
      </x:c>
      <x:c r="D147" s="31" t="inlineStr">
        <x:is>
          <x:t xml:space="preserve">Контактор 25А / исп.3</x:t>
        </x:is>
      </x:c>
      <x:c r="E147" s="31" t="inlineStr">
        <x:is>
          <x:t xml:space="preserve">ПЛК/электрика</x:t>
        </x:is>
      </x:c>
      <x:c r="F147" s="31" t="n">
        <x:v>5.15</x:v>
      </x:c>
      <x:c r="G147" s="31" t="inlineStr">
        <x:is>
          <x:t xml:space="preserve">шт</x:t>
        </x:is>
      </x:c>
      <x:c r="H147" s="31" t="inlineStr">
        <x:is>
          <x:t xml:space="preserve">Обязательный</x:t>
        </x:is>
      </x:c>
      <x:c r="I147" s="31" t="inlineStr">
        <x:is>
          <x:t xml:space="preserve">ГЗ-ПЛК-2</x:t>
        </x:is>
      </x:c>
      <x:c r="J147" s="31" t="inlineStr">
        <x:is>
          <x:t xml:space="preserve">Нет</x:t>
        </x:is>
      </x:c>
    </x:row>
    <x:row r="148" ht="18" customHeight="1">
      <x:c r="A148" s="31" t="inlineStr">
        <x:is>
          <x:t xml:space="preserve">СОСТ-00147</x:t>
        </x:is>
      </x:c>
      <x:c r="B148" s="31" t="inlineStr">
        <x:is>
          <x:t xml:space="preserve">ИЗД-011</x:t>
        </x:is>
      </x:c>
      <x:c r="C148" s="31" t="inlineStr">
        <x:is>
          <x:t xml:space="preserve">МАТ-0065</x:t>
        </x:is>
      </x:c>
      <x:c r="D148" s="31" t="inlineStr">
        <x:is>
          <x:t xml:space="preserve">Гофра металлическая</x:t>
        </x:is>
      </x:c>
      <x:c r="E148" s="31" t="inlineStr">
        <x:is>
          <x:t xml:space="preserve">Кабель</x:t>
        </x:is>
      </x:c>
      <x:c r="F148" s="31" t="n">
        <x:v>3.57</x:v>
      </x:c>
      <x:c r="G148" s="31" t="inlineStr">
        <x:is>
          <x:t xml:space="preserve">шт</x:t>
        </x:is>
      </x:c>
      <x:c r="H148" s="31" t="inlineStr">
        <x:is>
          <x:t xml:space="preserve">Обязательный</x:t>
        </x:is>
      </x:c>
      <x:c r="I148" s="31" t="inlineStr">
        <x:is>
          <x:t xml:space="preserve">ГЗ-КАБ-2</x:t>
        </x:is>
      </x:c>
      <x:c r="J148" s="31" t="inlineStr">
        <x:is>
          <x:t xml:space="preserve">Нет</x:t>
        </x:is>
      </x:c>
    </x:row>
    <x:row r="149" ht="18" customHeight="1">
      <x:c r="A149" s="31" t="inlineStr">
        <x:is>
          <x:t xml:space="preserve">СОСТ-00148</x:t>
        </x:is>
      </x:c>
      <x:c r="B149" s="31" t="inlineStr">
        <x:is>
          <x:t xml:space="preserve">ИЗД-011</x:t>
        </x:is>
      </x:c>
      <x:c r="C149" s="31" t="inlineStr">
        <x:is>
          <x:t xml:space="preserve">МАТ-0032</x:t>
        </x:is>
      </x:c>
      <x:c r="D149" s="31" t="inlineStr">
        <x:is>
          <x:t xml:space="preserve">Датчик температуры Пт100</x:t>
        </x:is>
      </x:c>
      <x:c r="E149" s="31" t="inlineStr">
        <x:is>
          <x:t xml:space="preserve">КИПиА</x:t>
        </x:is>
      </x:c>
      <x:c r="F149" s="31" t="n">
        <x:v>1.15</x:v>
      </x:c>
      <x:c r="G149" s="31" t="inlineStr">
        <x:is>
          <x:t xml:space="preserve">шт</x:t>
        </x:is>
      </x:c>
      <x:c r="H149" s="31" t="inlineStr">
        <x:is>
          <x:t xml:space="preserve">Обязательный</x:t>
        </x:is>
      </x:c>
      <x:c r="I149" s="31" t="inlineStr">
        <x:is>
          <x:t xml:space="preserve">ГЗ-КИП-8</x:t>
        </x:is>
      </x:c>
      <x:c r="J149" s="31" t="inlineStr">
        <x:is>
          <x:t xml:space="preserve">Нет</x:t>
        </x:is>
      </x:c>
    </x:row>
    <x:row r="150" ht="18" customHeight="1">
      <x:c r="A150" s="31" t="inlineStr">
        <x:is>
          <x:t xml:space="preserve">СОСТ-00149</x:t>
        </x:is>
      </x:c>
      <x:c r="B150" s="31" t="inlineStr">
        <x:is>
          <x:t xml:space="preserve">ИЗД-011</x:t>
        </x:is>
      </x:c>
      <x:c r="C150" s="31" t="inlineStr">
        <x:is>
          <x:t xml:space="preserve">МАТ-0035</x:t>
        </x:is>
      </x:c>
      <x:c r="D150" s="31" t="inlineStr">
        <x:is>
          <x:t xml:space="preserve">Клапан электромагнитный 24В</x:t>
        </x:is>
      </x:c>
      <x:c r="E150" s="31" t="inlineStr">
        <x:is>
          <x:t xml:space="preserve">КИПиА</x:t>
        </x:is>
      </x:c>
      <x:c r="F150" s="31" t="n">
        <x:v>5.39</x:v>
      </x:c>
      <x:c r="G150" s="31" t="inlineStr">
        <x:is>
          <x:t xml:space="preserve">шт</x:t>
        </x:is>
      </x:c>
      <x:c r="H150" s="31" t="inlineStr">
        <x:is>
          <x:t xml:space="preserve">Опция</x:t>
        </x:is>
      </x:c>
      <x:c r="I150" s="31" t="inlineStr">
        <x:is>
          <x:t xml:space="preserve">ГЗ-КИП-7</x:t>
        </x:is>
      </x:c>
      <x:c r="J150" s="31" t="inlineStr">
        <x:is>
          <x:t xml:space="preserve">Нет</x:t>
        </x:is>
      </x:c>
    </x:row>
    <x:row r="151" ht="18" customHeight="1">
      <x:c r="A151" s="31" t="inlineStr">
        <x:is>
          <x:t xml:space="preserve">СОСТ-00150</x:t>
        </x:is>
      </x:c>
      <x:c r="B151" s="31" t="inlineStr">
        <x:is>
          <x:t xml:space="preserve">ИЗД-011</x:t>
        </x:is>
      </x:c>
      <x:c r="C151" s="31" t="inlineStr">
        <x:is>
          <x:t xml:space="preserve">МАТ-0032</x:t>
        </x:is>
      </x:c>
      <x:c r="D151" s="31" t="inlineStr">
        <x:is>
          <x:t xml:space="preserve">Датчик температуры Пт100</x:t>
        </x:is>
      </x:c>
      <x:c r="E151" s="31" t="inlineStr">
        <x:is>
          <x:t xml:space="preserve">КИПиА</x:t>
        </x:is>
      </x:c>
      <x:c r="F151" s="31" t="n">
        <x:v>2.83</x:v>
      </x:c>
      <x:c r="G151" s="31" t="inlineStr">
        <x:is>
          <x:t xml:space="preserve">шт</x:t>
        </x:is>
      </x:c>
      <x:c r="H151" s="31" t="inlineStr">
        <x:is>
          <x:t xml:space="preserve">Обязательный</x:t>
        </x:is>
      </x:c>
      <x:c r="I151" s="31" t="inlineStr">
        <x:is>
          <x:t xml:space="preserve">ГЗ-КИП-8</x:t>
        </x:is>
      </x:c>
      <x:c r="J151" s="31" t="inlineStr">
        <x:is>
          <x:t xml:space="preserve">Да</x:t>
        </x:is>
      </x:c>
    </x:row>
    <x:row r="152" ht="18" customHeight="1">
      <x:c r="A152" s="31" t="inlineStr">
        <x:is>
          <x:t xml:space="preserve">СОСТ-00151</x:t>
        </x:is>
      </x:c>
      <x:c r="B152" s="31" t="inlineStr">
        <x:is>
          <x:t xml:space="preserve">ИЗД-011</x:t>
        </x:is>
      </x:c>
      <x:c r="C152" s="31" t="inlineStr">
        <x:is>
          <x:t xml:space="preserve">МАТ-0081</x:t>
        </x:is>
      </x:c>
      <x:c r="D152" s="31" t="inlineStr">
        <x:is>
          <x:t xml:space="preserve">Шайба 12</x:t>
        </x:is>
      </x:c>
      <x:c r="E152" s="31" t="inlineStr">
        <x:is>
          <x:t xml:space="preserve">Крепеж</x:t>
        </x:is>
      </x:c>
      <x:c r="F152" s="31" t="n">
        <x:v>5.2</x:v>
      </x:c>
      <x:c r="G152" s="31" t="inlineStr">
        <x:is>
          <x:t xml:space="preserve">шт</x:t>
        </x:is>
      </x:c>
      <x:c r="H152" s="31" t="inlineStr">
        <x:is>
          <x:t xml:space="preserve">Обязательный</x:t>
        </x:is>
      </x:c>
      <x:c r="I152" s="31" t="inlineStr">
        <x:is>
          <x:t xml:space="preserve">ГЗ-КРЕ-1</x:t>
        </x:is>
      </x:c>
      <x:c r="J152" s="31" t="inlineStr">
        <x:is>
          <x:t xml:space="preserve">Нет</x:t>
        </x:is>
      </x:c>
    </x:row>
    <x:row r="153" ht="18" customHeight="1">
      <x:c r="A153" s="31" t="inlineStr">
        <x:is>
          <x:t xml:space="preserve">СОСТ-00152</x:t>
        </x:is>
      </x:c>
      <x:c r="B153" s="31" t="inlineStr">
        <x:is>
          <x:t xml:space="preserve">ИЗД-011</x:t>
        </x:is>
      </x:c>
      <x:c r="C153" s="31" t="inlineStr">
        <x:is>
          <x:t xml:space="preserve">МАТ-0077</x:t>
        </x:is>
      </x:c>
      <x:c r="D153" s="31" t="inlineStr">
        <x:is>
          <x:t xml:space="preserve">Болт М16</x:t>
        </x:is>
      </x:c>
      <x:c r="E153" s="31" t="inlineStr">
        <x:is>
          <x:t xml:space="preserve">Крепеж</x:t>
        </x:is>
      </x:c>
      <x:c r="F153" s="31" t="n">
        <x:v>7.63</x:v>
      </x:c>
      <x:c r="G153" s="31" t="inlineStr">
        <x:is>
          <x:t xml:space="preserve">шт</x:t>
        </x:is>
      </x:c>
      <x:c r="H153" s="31" t="inlineStr">
        <x:is>
          <x:t xml:space="preserve">Обязательный</x:t>
        </x:is>
      </x:c>
      <x:c r="I153" s="31" t="inlineStr">
        <x:is>
          <x:t xml:space="preserve">ГЗ-КРЕ-1</x:t>
        </x:is>
      </x:c>
      <x:c r="J153" s="31" t="inlineStr">
        <x:is>
          <x:t xml:space="preserve">Нет</x:t>
        </x:is>
      </x:c>
    </x:row>
    <x:row r="154" ht="18" customHeight="1">
      <x:c r="A154" s="31" t="inlineStr">
        <x:is>
          <x:t xml:space="preserve">СОСТ-00153</x:t>
        </x:is>
      </x:c>
      <x:c r="B154" s="31" t="inlineStr">
        <x:is>
          <x:t xml:space="preserve">ИЗД-011</x:t>
        </x:is>
      </x:c>
      <x:c r="C154" s="31" t="inlineStr">
        <x:is>
          <x:t xml:space="preserve">МАТ-0081</x:t>
        </x:is>
      </x:c>
      <x:c r="D154" s="31" t="inlineStr">
        <x:is>
          <x:t xml:space="preserve">Шайба 12</x:t>
        </x:is>
      </x:c>
      <x:c r="E154" s="31" t="inlineStr">
        <x:is>
          <x:t xml:space="preserve">Крепеж</x:t>
        </x:is>
      </x:c>
      <x:c r="F154" s="31" t="n">
        <x:v>6.41</x:v>
      </x:c>
      <x:c r="G154" s="31" t="inlineStr">
        <x:is>
          <x:t xml:space="preserve">шт</x:t>
        </x:is>
      </x:c>
      <x:c r="H154" s="31" t="inlineStr">
        <x:is>
          <x:t xml:space="preserve">Опция</x:t>
        </x:is>
      </x:c>
      <x:c r="I154" s="31" t="inlineStr">
        <x:is>
          <x:t xml:space="preserve">ГЗ-КРЕ-1</x:t>
        </x:is>
      </x:c>
      <x:c r="J154" s="31" t="inlineStr">
        <x:is>
          <x:t xml:space="preserve">Нет</x:t>
        </x:is>
      </x:c>
    </x:row>
    <x:row r="155" ht="18" customHeight="1">
      <x:c r="A155" s="31" t="inlineStr">
        <x:is>
          <x:t xml:space="preserve">СОСТ-00154</x:t>
        </x:is>
      </x:c>
      <x:c r="B155" s="31" t="inlineStr">
        <x:is>
          <x:t xml:space="preserve">ИЗД-011</x:t>
        </x:is>
      </x:c>
      <x:c r="C155" s="31" t="inlineStr">
        <x:is>
          <x:t xml:space="preserve">МАТ-0084</x:t>
        </x:is>
      </x:c>
      <x:c r="D155" s="31" t="inlineStr">
        <x:is>
          <x:t xml:space="preserve">Поддон 1200×800</x:t>
        </x:is>
      </x:c>
      <x:c r="E155" s="31" t="inlineStr">
        <x:is>
          <x:t xml:space="preserve">Упаковка</x:t>
        </x:is>
      </x:c>
      <x:c r="F155" s="31" t="n">
        <x:v>2.57</x:v>
      </x:c>
      <x:c r="G155" s="31" t="inlineStr">
        <x:is>
          <x:t xml:space="preserve">шт</x:t>
        </x:is>
      </x:c>
      <x:c r="H155" s="31" t="inlineStr">
        <x:is>
          <x:t xml:space="preserve">Обязательный</x:t>
        </x:is>
      </x:c>
      <x:c r="I155" s="31" t="inlineStr">
        <x:is>
          <x:t xml:space="preserve">ГЗ-УПА-3</x:t>
        </x:is>
      </x:c>
      <x:c r="J155" s="31" t="inlineStr">
        <x:is>
          <x:t xml:space="preserve">Нет</x:t>
        </x:is>
      </x:c>
    </x:row>
    <x:row r="156" ht="18" customHeight="1">
      <x:c r="A156" s="31" t="inlineStr">
        <x:is>
          <x:t xml:space="preserve">СОСТ-00155</x:t>
        </x:is>
      </x:c>
      <x:c r="B156" s="31" t="inlineStr">
        <x:is>
          <x:t xml:space="preserve">ИЗД-011</x:t>
        </x:is>
      </x:c>
      <x:c r="C156" s="31" t="inlineStr">
        <x:is>
          <x:t xml:space="preserve">МАТ-0086</x:t>
        </x:is>
      </x:c>
      <x:c r="D156" s="31" t="inlineStr">
        <x:is>
          <x:t xml:space="preserve">Пленка стрейч / исп.2</x:t>
        </x:is>
      </x:c>
      <x:c r="E156" s="31" t="inlineStr">
        <x:is>
          <x:t xml:space="preserve">Упаковка</x:t>
        </x:is>
      </x:c>
      <x:c r="F156" s="31" t="n">
        <x:v>3.02</x:v>
      </x:c>
      <x:c r="G156" s="31" t="inlineStr">
        <x:is>
          <x:t xml:space="preserve">шт</x:t>
        </x:is>
      </x:c>
      <x:c r="H156" s="31" t="inlineStr">
        <x:is>
          <x:t xml:space="preserve">Обязательный</x:t>
        </x:is>
      </x:c>
      <x:c r="I156" s="31" t="inlineStr">
        <x:is>
          <x:t xml:space="preserve">ГЗ-УПА-4</x:t>
        </x:is>
      </x:c>
      <x:c r="J156" s="31" t="inlineStr">
        <x:is>
          <x:t xml:space="preserve">Нет</x:t>
        </x:is>
      </x:c>
    </x:row>
    <x:row r="157" ht="18" customHeight="1">
      <x:c r="A157" s="31" t="inlineStr">
        <x:is>
          <x:t xml:space="preserve">СОСТ-00156</x:t>
        </x:is>
      </x:c>
      <x:c r="B157" s="31" t="inlineStr">
        <x:is>
          <x:t xml:space="preserve">ИЗД-012</x:t>
        </x:is>
      </x:c>
      <x:c r="C157" s="31" t="inlineStr">
        <x:is>
          <x:t xml:space="preserve">МАТ-0010</x:t>
        </x:is>
      </x:c>
      <x:c r="D157" s="31" t="inlineStr">
        <x:is>
          <x:t xml:space="preserve">Фланец Ду50 Ру16 / исп.2</x:t>
        </x:is>
      </x:c>
      <x:c r="E157" s="31" t="inlineStr">
        <x:is>
          <x:t xml:space="preserve">Металл</x:t>
        </x:is>
      </x:c>
      <x:c r="F157" s="31" t="n">
        <x:v>2.51</x:v>
      </x:c>
      <x:c r="G157" s="31" t="inlineStr">
        <x:is>
          <x:t xml:space="preserve">шт</x:t>
        </x:is>
      </x:c>
      <x:c r="H157" s="31" t="inlineStr">
        <x:is>
          <x:t xml:space="preserve">Обязательный</x:t>
        </x:is>
      </x:c>
      <x:c r="I157" s="31" t="inlineStr">
        <x:is>
          <x:t xml:space="preserve">ГЗ-МЕТ-1</x:t>
        </x:is>
      </x:c>
      <x:c r="J157" s="31" t="inlineStr">
        <x:is>
          <x:t xml:space="preserve">Нет</x:t>
        </x:is>
      </x:c>
    </x:row>
    <x:row r="158" ht="18" customHeight="1">
      <x:c r="A158" s="31" t="inlineStr">
        <x:is>
          <x:t xml:space="preserve">СОСТ-00157</x:t>
        </x:is>
      </x:c>
      <x:c r="B158" s="31" t="inlineStr">
        <x:is>
          <x:t xml:space="preserve">ИЗД-012</x:t>
        </x:is>
      </x:c>
      <x:c r="C158" s="31" t="inlineStr">
        <x:is>
          <x:t xml:space="preserve">МАТ-0057</x:t>
        </x:is>
      </x:c>
      <x:c r="D158" s="31" t="inlineStr">
        <x:is>
          <x:t xml:space="preserve">Задвижка Ду100 / исп.2</x:t>
        </x:is>
      </x:c>
      <x:c r="E158" s="31" t="inlineStr">
        <x:is>
          <x:t xml:space="preserve">Запорная арматура</x:t>
        </x:is>
      </x:c>
      <x:c r="F158" s="31" t="n">
        <x:v>2.26</x:v>
      </x:c>
      <x:c r="G158" s="31" t="inlineStr">
        <x:is>
          <x:t xml:space="preserve">шт</x:t>
        </x:is>
      </x:c>
      <x:c r="H158" s="31" t="inlineStr">
        <x:is>
          <x:t xml:space="preserve">Обязательный</x:t>
        </x:is>
      </x:c>
      <x:c r="I158" s="31" t="inlineStr">
        <x:is>
          <x:t xml:space="preserve">ГЗ-ЗАП-4</x:t>
        </x:is>
      </x:c>
      <x:c r="J158" s="31" t="inlineStr">
        <x:is>
          <x:t xml:space="preserve">Да</x:t>
        </x:is>
      </x:c>
    </x:row>
    <x:row r="159" ht="18" customHeight="1">
      <x:c r="A159" s="31" t="inlineStr">
        <x:is>
          <x:t xml:space="preserve">СОСТ-00158</x:t>
        </x:is>
      </x:c>
      <x:c r="B159" s="31" t="inlineStr">
        <x:is>
          <x:t xml:space="preserve">ИЗД-012</x:t>
        </x:is>
      </x:c>
      <x:c r="C159" s="31" t="inlineStr">
        <x:is>
          <x:t xml:space="preserve">МАТ-0032</x:t>
        </x:is>
      </x:c>
      <x:c r="D159" s="31" t="inlineStr">
        <x:is>
          <x:t xml:space="preserve">Датчик температуры Пт100</x:t>
        </x:is>
      </x:c>
      <x:c r="E159" s="31" t="inlineStr">
        <x:is>
          <x:t xml:space="preserve">КИПиА</x:t>
        </x:is>
      </x:c>
      <x:c r="F159" s="31" t="n">
        <x:v>5.32</x:v>
      </x:c>
      <x:c r="G159" s="31" t="inlineStr">
        <x:is>
          <x:t xml:space="preserve">шт</x:t>
        </x:is>
      </x:c>
      <x:c r="H159" s="31" t="inlineStr">
        <x:is>
          <x:t xml:space="preserve">Опция</x:t>
        </x:is>
      </x:c>
      <x:c r="I159" s="31" t="inlineStr">
        <x:is>
          <x:t xml:space="preserve">ГЗ-КИП-8</x:t>
        </x:is>
      </x:c>
      <x:c r="J159" s="31" t="inlineStr">
        <x:is>
          <x:t xml:space="preserve">Нет</x:t>
        </x:is>
      </x:c>
    </x:row>
    <x:row r="160" ht="18" customHeight="1">
      <x:c r="A160" s="31" t="inlineStr">
        <x:is>
          <x:t xml:space="preserve">СОСТ-00159</x:t>
        </x:is>
      </x:c>
      <x:c r="B160" s="31" t="inlineStr">
        <x:is>
          <x:t xml:space="preserve">ИЗД-012</x:t>
        </x:is>
      </x:c>
      <x:c r="C160" s="31" t="inlineStr">
        <x:is>
          <x:t xml:space="preserve">МАТ-0036</x:t>
        </x:is>
      </x:c>
      <x:c r="D160" s="31" t="inlineStr">
        <x:is>
          <x:t xml:space="preserve">Клапан электромагнитный 24В / исп.2</x:t>
        </x:is>
      </x:c>
      <x:c r="E160" s="31" t="inlineStr">
        <x:is>
          <x:t xml:space="preserve">КИПиА</x:t>
        </x:is>
      </x:c>
      <x:c r="F160" s="31" t="n">
        <x:v>5.53</x:v>
      </x:c>
      <x:c r="G160" s="31" t="inlineStr">
        <x:is>
          <x:t xml:space="preserve">шт</x:t>
        </x:is>
      </x:c>
      <x:c r="H160" s="31" t="inlineStr">
        <x:is>
          <x:t xml:space="preserve">Обязательный</x:t>
        </x:is>
      </x:c>
      <x:c r="I160" s="31" t="inlineStr">
        <x:is>
          <x:t xml:space="preserve">ГЗ-КИП-6</x:t>
        </x:is>
      </x:c>
      <x:c r="J160" s="31" t="inlineStr">
        <x:is>
          <x:t xml:space="preserve">Нет</x:t>
        </x:is>
      </x:c>
    </x:row>
    <x:row r="161" ht="18" customHeight="1">
      <x:c r="A161" s="31" t="inlineStr">
        <x:is>
          <x:t xml:space="preserve">СОСТ-00160</x:t>
        </x:is>
      </x:c>
      <x:c r="B161" s="31" t="inlineStr">
        <x:is>
          <x:t xml:space="preserve">ИЗД-012</x:t>
        </x:is>
      </x:c>
      <x:c r="C161" s="31" t="inlineStr">
        <x:is>
          <x:t xml:space="preserve">МАТ-0073</x:t>
        </x:is>
      </x:c>
      <x:c r="D161" s="31" t="inlineStr">
        <x:is>
          <x:t xml:space="preserve">Растворитель / исп.2</x:t>
        </x:is>
      </x:c>
      <x:c r="E161" s="31" t="inlineStr">
        <x:is>
          <x:t xml:space="preserve">Покраска</x:t>
        </x:is>
      </x:c>
      <x:c r="F161" s="31" t="n">
        <x:v>18.55</x:v>
      </x:c>
      <x:c r="G161" s="31" t="inlineStr">
        <x:is>
          <x:t xml:space="preserve">л</x:t>
        </x:is>
      </x:c>
      <x:c r="H161" s="31" t="inlineStr">
        <x:is>
          <x:t xml:space="preserve">Обязательный</x:t>
        </x:is>
      </x:c>
      <x:c r="I161" s="31" t="inlineStr">
        <x:is>
          <x:t xml:space="preserve">ГЗ-ПОК-8</x:t>
        </x:is>
      </x:c>
      <x:c r="J161" s="31" t="inlineStr">
        <x:is>
          <x:t xml:space="preserve">Нет</x:t>
        </x:is>
      </x:c>
    </x:row>
    <x:row r="162" ht="18" customHeight="1">
      <x:c r="A162" s="31" t="inlineStr">
        <x:is>
          <x:t xml:space="preserve">СОСТ-00161</x:t>
        </x:is>
      </x:c>
      <x:c r="B162" s="31" t="inlineStr">
        <x:is>
          <x:t xml:space="preserve">ИЗД-012</x:t>
        </x:is>
      </x:c>
      <x:c r="C162" s="31" t="inlineStr">
        <x:is>
          <x:t xml:space="preserve">МАТ-0072</x:t>
        </x:is>
      </x:c>
      <x:c r="D162" s="31" t="inlineStr">
        <x:is>
          <x:t xml:space="preserve">Растворитель</x:t>
        </x:is>
      </x:c>
      <x:c r="E162" s="31" t="inlineStr">
        <x:is>
          <x:t xml:space="preserve">Покраска</x:t>
        </x:is>
      </x:c>
      <x:c r="F162" s="31" t="n">
        <x:v>9.43</x:v>
      </x:c>
      <x:c r="G162" s="31" t="inlineStr">
        <x:is>
          <x:t xml:space="preserve">л</x:t>
        </x:is>
      </x:c>
      <x:c r="H162" s="31" t="inlineStr">
        <x:is>
          <x:t xml:space="preserve">Обязательный</x:t>
        </x:is>
      </x:c>
      <x:c r="I162" s="31" t="inlineStr">
        <x:is>
          <x:t xml:space="preserve">ГЗ-ПОК-2</x:t>
        </x:is>
      </x:c>
      <x:c r="J162" s="31" t="inlineStr">
        <x:is>
          <x:t xml:space="preserve">Нет</x:t>
        </x:is>
      </x:c>
    </x:row>
    <x:row r="163" ht="18" customHeight="1">
      <x:c r="A163" s="31" t="inlineStr">
        <x:is>
          <x:t xml:space="preserve">СОСТ-00162</x:t>
        </x:is>
      </x:c>
      <x:c r="B163" s="31" t="inlineStr">
        <x:is>
          <x:t xml:space="preserve">ИЗД-012</x:t>
        </x:is>
      </x:c>
      <x:c r="C163" s="31" t="inlineStr">
        <x:is>
          <x:t xml:space="preserve">МАТ-0082</x:t>
        </x:is>
      </x:c>
      <x:c r="D163" s="31" t="inlineStr">
        <x:is>
          <x:t xml:space="preserve">Шайба 12 / исп.2</x:t>
        </x:is>
      </x:c>
      <x:c r="E163" s="31" t="inlineStr">
        <x:is>
          <x:t xml:space="preserve">Крепеж</x:t>
        </x:is>
      </x:c>
      <x:c r="F163" s="31" t="n">
        <x:v>7.36</x:v>
      </x:c>
      <x:c r="G163" s="31" t="inlineStr">
        <x:is>
          <x:t xml:space="preserve">шт</x:t>
        </x:is>
      </x:c>
      <x:c r="H163" s="31" t="inlineStr">
        <x:is>
          <x:t xml:space="preserve">Замена</x:t>
        </x:is>
      </x:c>
      <x:c r="I163" s="31" t="inlineStr">
        <x:is>
          <x:t xml:space="preserve">ГЗ-КРЕ-1</x:t>
        </x:is>
      </x:c>
      <x:c r="J163" s="31" t="inlineStr">
        <x:is>
          <x:t xml:space="preserve">Нет</x:t>
        </x:is>
      </x:c>
    </x:row>
    <x:row r="164" ht="18" customHeight="1">
      <x:c r="A164" s="31" t="inlineStr">
        <x:is>
          <x:t xml:space="preserve">СОСТ-00163</x:t>
        </x:is>
      </x:c>
      <x:c r="B164" s="31" t="inlineStr">
        <x:is>
          <x:t xml:space="preserve">ИЗД-012</x:t>
        </x:is>
      </x:c>
      <x:c r="C164" s="31" t="inlineStr">
        <x:is>
          <x:t xml:space="preserve">МАТ-0089</x:t>
        </x:is>
      </x:c>
      <x:c r="D164" s="31" t="inlineStr">
        <x:is>
          <x:t xml:space="preserve">Маркировочная этикетка</x:t>
        </x:is>
      </x:c>
      <x:c r="E164" s="31" t="inlineStr">
        <x:is>
          <x:t xml:space="preserve">Упаковка</x:t>
        </x:is>
      </x:c>
      <x:c r="F164" s="31" t="n">
        <x:v>6.24</x:v>
      </x:c>
      <x:c r="G164" s="31" t="inlineStr">
        <x:is>
          <x:t xml:space="preserve">шт</x:t>
        </x:is>
      </x:c>
      <x:c r="H164" s="31" t="inlineStr">
        <x:is>
          <x:t xml:space="preserve">Обязательный</x:t>
        </x:is>
      </x:c>
      <x:c r="I164" s="31" t="inlineStr">
        <x:is>
          <x:t xml:space="preserve">ГЗ-УПА-7</x:t>
        </x:is>
      </x:c>
      <x:c r="J164" s="31" t="inlineStr">
        <x:is>
          <x:t xml:space="preserve">Нет</x:t>
        </x:is>
      </x:c>
    </x:row>
    <x:row r="165" ht="18" customHeight="1">
      <x:c r="A165" s="31" t="inlineStr">
        <x:is>
          <x:t xml:space="preserve">СОСТ-00164</x:t>
        </x:is>
      </x:c>
      <x:c r="B165" s="31" t="inlineStr">
        <x:is>
          <x:t xml:space="preserve">ИЗД-012</x:t>
        </x:is>
      </x:c>
      <x:c r="C165" s="31" t="inlineStr">
        <x:is>
          <x:t xml:space="preserve">МАТ-0088</x:t>
        </x:is>
      </x:c>
      <x:c r="D165" s="31" t="inlineStr">
        <x:is>
          <x:t xml:space="preserve">Ящик фанерный / исп.2</x:t>
        </x:is>
      </x:c>
      <x:c r="E165" s="31" t="inlineStr">
        <x:is>
          <x:t xml:space="preserve">Упаковка</x:t>
        </x:is>
      </x:c>
      <x:c r="F165" s="31" t="n">
        <x:v>3.67</x:v>
      </x:c>
      <x:c r="G165" s="31" t="inlineStr">
        <x:is>
          <x:t xml:space="preserve">шт</x:t>
        </x:is>
      </x:c>
      <x:c r="H165" s="31" t="inlineStr">
        <x:is>
          <x:t xml:space="preserve">Замена</x:t>
        </x:is>
      </x:c>
      <x:c r="I165" s="31" t="inlineStr">
        <x:is>
          <x:t xml:space="preserve">ГЗ-УПА-4</x:t>
        </x:is>
      </x:c>
      <x:c r="J165" s="31" t="inlineStr">
        <x:is>
          <x:t xml:space="preserve">Нет</x:t>
        </x:is>
      </x:c>
    </x:row>
    <x:row r="166" ht="18" customHeight="1">
      <x:c r="A166" s="31" t="inlineStr">
        <x:is>
          <x:t xml:space="preserve">СОСТ-00165</x:t>
        </x:is>
      </x:c>
      <x:c r="B166" s="31" t="inlineStr">
        <x:is>
          <x:t xml:space="preserve">ИЗД-012</x:t>
        </x:is>
      </x:c>
      <x:c r="C166" s="31" t="inlineStr">
        <x:is>
          <x:t xml:space="preserve">МАТ-0085</x:t>
        </x:is>
      </x:c>
      <x:c r="D166" s="31" t="inlineStr">
        <x:is>
          <x:t xml:space="preserve">Пленка стрейч</x:t>
        </x:is>
      </x:c>
      <x:c r="E166" s="31" t="inlineStr">
        <x:is>
          <x:t xml:space="preserve">Упаковка</x:t>
        </x:is>
      </x:c>
      <x:c r="F166" s="31" t="n">
        <x:v>7.78</x:v>
      </x:c>
      <x:c r="G166" s="31" t="inlineStr">
        <x:is>
          <x:t xml:space="preserve">шт</x:t>
        </x:is>
      </x:c>
      <x:c r="H166" s="31" t="inlineStr">
        <x:is>
          <x:t xml:space="preserve">Обязательный</x:t>
        </x:is>
      </x:c>
      <x:c r="I166" s="31" t="inlineStr">
        <x:is>
          <x:t xml:space="preserve">ГЗ-УПА-5</x:t>
        </x:is>
      </x:c>
      <x:c r="J166" s="31" t="inlineStr">
        <x:is>
          <x:t xml:space="preserve">Нет</x:t>
        </x:is>
      </x:c>
    </x:row>
    <x:row r="167" ht="18" customHeight="1">
      <x:c r="A167" s="31" t="inlineStr">
        <x:is>
          <x:t xml:space="preserve">СОСТ-00166</x:t>
        </x:is>
      </x:c>
      <x:c r="B167" s="31" t="inlineStr">
        <x:is>
          <x:t xml:space="preserve">ИЗД-013</x:t>
        </x:is>
      </x:c>
      <x:c r="C167" s="31" t="inlineStr">
        <x:is>
          <x:t xml:space="preserve">МАТ-0003</x:t>
        </x:is>
      </x:c>
      <x:c r="D167" s="31" t="inlineStr">
        <x:is>
          <x:t xml:space="preserve">Лист стальной 09Г2С 12 мм / исп.2</x:t>
        </x:is>
      </x:c>
      <x:c r="E167" s="31" t="inlineStr">
        <x:is>
          <x:t xml:space="preserve">Металл</x:t>
        </x:is>
      </x:c>
      <x:c r="F167" s="31" t="n">
        <x:v>74.56999999999999</x:v>
      </x:c>
      <x:c r="G167" s="31" t="inlineStr">
        <x:is>
          <x:t xml:space="preserve">м</x:t>
        </x:is>
      </x:c>
      <x:c r="H167" s="31" t="inlineStr">
        <x:is>
          <x:t xml:space="preserve">Обязательный</x:t>
        </x:is>
      </x:c>
      <x:c r="I167" s="31" t="inlineStr">
        <x:is>
          <x:t xml:space="preserve">ГЗ-МЕТ-9</x:t>
        </x:is>
      </x:c>
      <x:c r="J167" s="31" t="inlineStr">
        <x:is>
          <x:t xml:space="preserve">Нет</x:t>
        </x:is>
      </x:c>
    </x:row>
    <x:row r="168" ht="18" customHeight="1">
      <x:c r="A168" s="31" t="inlineStr">
        <x:is>
          <x:t xml:space="preserve">СОСТ-00167</x:t>
        </x:is>
      </x:c>
      <x:c r="B168" s="31" t="inlineStr">
        <x:is>
          <x:t xml:space="preserve">ИЗД-013</x:t>
        </x:is>
      </x:c>
      <x:c r="C168" s="31" t="inlineStr">
        <x:is>
          <x:t xml:space="preserve">МАТ-0006</x:t>
        </x:is>
      </x:c>
      <x:c r="D168" s="31" t="inlineStr">
        <x:is>
          <x:t xml:space="preserve">Труба нержавеющая 38×3</x:t>
        </x:is>
      </x:c>
      <x:c r="E168" s="31" t="inlineStr">
        <x:is>
          <x:t xml:space="preserve">Металл</x:t>
        </x:is>
      </x:c>
      <x:c r="F168" s="31" t="n">
        <x:v>5.97</x:v>
      </x:c>
      <x:c r="G168" s="31" t="inlineStr">
        <x:is>
          <x:t xml:space="preserve">шт</x:t>
        </x:is>
      </x:c>
      <x:c r="H168" s="31" t="inlineStr">
        <x:is>
          <x:t xml:space="preserve">Обязательный</x:t>
        </x:is>
      </x:c>
      <x:c r="I168" s="31" t="inlineStr">
        <x:is>
          <x:t xml:space="preserve">ГЗ-МЕТ-8</x:t>
        </x:is>
      </x:c>
      <x:c r="J168" s="31" t="inlineStr">
        <x:is>
          <x:t xml:space="preserve">Нет</x:t>
        </x:is>
      </x:c>
    </x:row>
    <x:row r="169" ht="18" customHeight="1">
      <x:c r="A169" s="31" t="inlineStr">
        <x:is>
          <x:t xml:space="preserve">СОСТ-00168</x:t>
        </x:is>
      </x:c>
      <x:c r="B169" s="31" t="inlineStr">
        <x:is>
          <x:t xml:space="preserve">ИЗД-013</x:t>
        </x:is>
      </x:c>
      <x:c r="C169" s="31" t="inlineStr">
        <x:is>
          <x:t xml:space="preserve">МАТ-0068</x:t>
        </x:is>
      </x:c>
      <x:c r="D169" s="31" t="inlineStr">
        <x:is>
          <x:t xml:space="preserve">Грунт эпоксидный</x:t>
        </x:is>
      </x:c>
      <x:c r="E169" s="31" t="inlineStr">
        <x:is>
          <x:t xml:space="preserve">Покраска</x:t>
        </x:is>
      </x:c>
      <x:c r="F169" s="31" t="n">
        <x:v>40.94</x:v>
      </x:c>
      <x:c r="G169" s="31" t="inlineStr">
        <x:is>
          <x:t xml:space="preserve">л</x:t>
        </x:is>
      </x:c>
      <x:c r="H169" s="31" t="inlineStr">
        <x:is>
          <x:t xml:space="preserve">Замена</x:t>
        </x:is>
      </x:c>
      <x:c r="I169" s="31" t="inlineStr">
        <x:is>
          <x:t xml:space="preserve">ГЗ-ПОК-6</x:t>
        </x:is>
      </x:c>
      <x:c r="J169" s="31" t="inlineStr">
        <x:is>
          <x:t xml:space="preserve">Нет</x:t>
        </x:is>
      </x:c>
    </x:row>
    <x:row r="170" ht="18" customHeight="1">
      <x:c r="A170" s="31" t="inlineStr">
        <x:is>
          <x:t xml:space="preserve">СОСТ-00169</x:t>
        </x:is>
      </x:c>
      <x:c r="B170" s="31" t="inlineStr">
        <x:is>
          <x:t xml:space="preserve">ИЗД-013</x:t>
        </x:is>
      </x:c>
      <x:c r="C170" s="31" t="inlineStr">
        <x:is>
          <x:t xml:space="preserve">МАТ-0070</x:t>
        </x:is>
      </x:c>
      <x:c r="D170" s="31" t="inlineStr">
        <x:is>
          <x:t xml:space="preserve">Эмаль полиуретановая / исп.2</x:t>
        </x:is>
      </x:c>
      <x:c r="E170" s="31" t="inlineStr">
        <x:is>
          <x:t xml:space="preserve">Покраска</x:t>
        </x:is>
      </x:c>
      <x:c r="F170" s="31" t="n">
        <x:v>24.07</x:v>
      </x:c>
      <x:c r="G170" s="31" t="inlineStr">
        <x:is>
          <x:t xml:space="preserve">кг</x:t>
        </x:is>
      </x:c>
      <x:c r="H170" s="31" t="inlineStr">
        <x:is>
          <x:t xml:space="preserve">Обязательный</x:t>
        </x:is>
      </x:c>
      <x:c r="I170" s="31" t="inlineStr">
        <x:is>
          <x:t xml:space="preserve">ГЗ-ПОК-3</x:t>
        </x:is>
      </x:c>
      <x:c r="J170" s="31" t="inlineStr">
        <x:is>
          <x:t xml:space="preserve">Нет</x:t>
        </x:is>
      </x:c>
    </x:row>
    <x:row r="171" ht="18" customHeight="1">
      <x:c r="A171" s="31" t="inlineStr">
        <x:is>
          <x:t xml:space="preserve">СОСТ-00170</x:t>
        </x:is>
      </x:c>
      <x:c r="B171" s="31" t="inlineStr">
        <x:is>
          <x:t xml:space="preserve">ИЗД-013</x:t>
        </x:is>
      </x:c>
      <x:c r="C171" s="31" t="inlineStr">
        <x:is>
          <x:t xml:space="preserve">МАТ-0083</x:t>
        </x:is>
      </x:c>
      <x:c r="D171" s="31" t="inlineStr">
        <x:is>
          <x:t xml:space="preserve">Анкер М16</x:t>
        </x:is>
      </x:c>
      <x:c r="E171" s="31" t="inlineStr">
        <x:is>
          <x:t xml:space="preserve">Крепеж</x:t>
        </x:is>
      </x:c>
      <x:c r="F171" s="31" t="n">
        <x:v>3.19</x:v>
      </x:c>
      <x:c r="G171" s="31" t="inlineStr">
        <x:is>
          <x:t xml:space="preserve">шт</x:t>
        </x:is>
      </x:c>
      <x:c r="H171" s="31" t="inlineStr">
        <x:is>
          <x:t xml:space="preserve">Опция</x:t>
        </x:is>
      </x:c>
      <x:c r="I171" s="31" t="inlineStr">
        <x:is>
          <x:t xml:space="preserve">ГЗ-КРЕ-5</x:t>
        </x:is>
      </x:c>
      <x:c r="J171" s="31" t="inlineStr">
        <x:is>
          <x:t xml:space="preserve">Нет</x:t>
        </x:is>
      </x:c>
    </x:row>
    <x:row r="172" ht="18" customHeight="1">
      <x:c r="A172" s="31" t="inlineStr">
        <x:is>
          <x:t xml:space="preserve">СОСТ-00171</x:t>
        </x:is>
      </x:c>
      <x:c r="B172" s="31" t="inlineStr">
        <x:is>
          <x:t xml:space="preserve">ИЗД-013</x:t>
        </x:is>
      </x:c>
      <x:c r="C172" s="31" t="inlineStr">
        <x:is>
          <x:t xml:space="preserve">МАТ-0082</x:t>
        </x:is>
      </x:c>
      <x:c r="D172" s="31" t="inlineStr">
        <x:is>
          <x:t xml:space="preserve">Шайба 12 / исп.2</x:t>
        </x:is>
      </x:c>
      <x:c r="E172" s="31" t="inlineStr">
        <x:is>
          <x:t xml:space="preserve">Крепеж</x:t>
        </x:is>
      </x:c>
      <x:c r="F172" s="31" t="n">
        <x:v>6.35</x:v>
      </x:c>
      <x:c r="G172" s="31" t="inlineStr">
        <x:is>
          <x:t xml:space="preserve">шт</x:t>
        </x:is>
      </x:c>
      <x:c r="H172" s="31" t="inlineStr">
        <x:is>
          <x:t xml:space="preserve">Обязательный</x:t>
        </x:is>
      </x:c>
      <x:c r="I172" s="31" t="inlineStr">
        <x:is>
          <x:t xml:space="preserve">ГЗ-КРЕ-1</x:t>
        </x:is>
      </x:c>
      <x:c r="J172" s="31" t="inlineStr">
        <x:is>
          <x:t xml:space="preserve">Нет</x:t>
        </x:is>
      </x:c>
    </x:row>
    <x:row r="173" ht="18" customHeight="1">
      <x:c r="A173" s="31" t="inlineStr">
        <x:is>
          <x:t xml:space="preserve">СОСТ-00172</x:t>
        </x:is>
      </x:c>
      <x:c r="B173" s="31" t="inlineStr">
        <x:is>
          <x:t xml:space="preserve">ИЗД-013</x:t>
        </x:is>
      </x:c>
      <x:c r="C173" s="31" t="inlineStr">
        <x:is>
          <x:t xml:space="preserve">МАТ-0089</x:t>
        </x:is>
      </x:c>
      <x:c r="D173" s="31" t="inlineStr">
        <x:is>
          <x:t xml:space="preserve">Маркировочная этикетка</x:t>
        </x:is>
      </x:c>
      <x:c r="E173" s="31" t="inlineStr">
        <x:is>
          <x:t xml:space="preserve">Упаковка</x:t>
        </x:is>
      </x:c>
      <x:c r="F173" s="31" t="n">
        <x:v>6.59</x:v>
      </x:c>
      <x:c r="G173" s="31" t="inlineStr">
        <x:is>
          <x:t xml:space="preserve">шт</x:t>
        </x:is>
      </x:c>
      <x:c r="H173" s="31" t="inlineStr">
        <x:is>
          <x:t xml:space="preserve">Обязательный</x:t>
        </x:is>
      </x:c>
      <x:c r="I173" s="31" t="inlineStr">
        <x:is>
          <x:t xml:space="preserve">ГЗ-УПА-7</x:t>
        </x:is>
      </x:c>
      <x:c r="J173" s="31" t="inlineStr">
        <x:is>
          <x:t xml:space="preserve">Нет</x:t>
        </x:is>
      </x:c>
    </x:row>
    <x:row r="174" ht="18" customHeight="1">
      <x:c r="A174" s="31" t="inlineStr">
        <x:is>
          <x:t xml:space="preserve">СОСТ-00173</x:t>
        </x:is>
      </x:c>
      <x:c r="B174" s="31" t="inlineStr">
        <x:is>
          <x:t xml:space="preserve">ИЗД-013</x:t>
        </x:is>
      </x:c>
      <x:c r="C174" s="31" t="inlineStr">
        <x:is>
          <x:t xml:space="preserve">МАТ-0085</x:t>
        </x:is>
      </x:c>
      <x:c r="D174" s="31" t="inlineStr">
        <x:is>
          <x:t xml:space="preserve">Пленка стрейч</x:t>
        </x:is>
      </x:c>
      <x:c r="E174" s="31" t="inlineStr">
        <x:is>
          <x:t xml:space="preserve">Упаковка</x:t>
        </x:is>
      </x:c>
      <x:c r="F174" s="31" t="n">
        <x:v>2.28</x:v>
      </x:c>
      <x:c r="G174" s="31" t="inlineStr">
        <x:is>
          <x:t xml:space="preserve">шт</x:t>
        </x:is>
      </x:c>
      <x:c r="H174" s="31" t="inlineStr">
        <x:is>
          <x:t xml:space="preserve">Обязательный</x:t>
        </x:is>
      </x:c>
      <x:c r="I174" s="31" t="inlineStr">
        <x:is>
          <x:t xml:space="preserve">ГЗ-УПА-5</x:t>
        </x:is>
      </x:c>
      <x:c r="J174" s="31" t="inlineStr">
        <x:is>
          <x:t xml:space="preserve">Нет</x:t>
        </x:is>
      </x:c>
    </x:row>
    <x:row r="175" ht="18" customHeight="1">
      <x:c r="A175" s="31" t="inlineStr">
        <x:is>
          <x:t xml:space="preserve">СОСТ-00174</x:t>
        </x:is>
      </x:c>
      <x:c r="B175" s="31" t="inlineStr">
        <x:is>
          <x:t xml:space="preserve">ИЗД-013</x:t>
        </x:is>
      </x:c>
      <x:c r="C175" s="31" t="inlineStr">
        <x:is>
          <x:t xml:space="preserve">МАТ-0087</x:t>
        </x:is>
      </x:c>
      <x:c r="D175" s="31" t="inlineStr">
        <x:is>
          <x:t xml:space="preserve">Ящик фанерный</x:t>
        </x:is>
      </x:c>
      <x:c r="E175" s="31" t="inlineStr">
        <x:is>
          <x:t xml:space="preserve">Упаковка</x:t>
        </x:is>
      </x:c>
      <x:c r="F175" s="31" t="n">
        <x:v>4.06</x:v>
      </x:c>
      <x:c r="G175" s="31" t="inlineStr">
        <x:is>
          <x:t xml:space="preserve">шт</x:t>
        </x:is>
      </x:c>
      <x:c r="H175" s="31" t="inlineStr">
        <x:is>
          <x:t xml:space="preserve">Замена</x:t>
        </x:is>
      </x:c>
      <x:c r="I175" s="31" t="inlineStr">
        <x:is>
          <x:t xml:space="preserve">ГЗ-УПА-6</x:t>
        </x:is>
      </x:c>
      <x:c r="J175" s="31" t="inlineStr">
        <x:is>
          <x:t xml:space="preserve">Нет</x:t>
        </x:is>
      </x:c>
    </x:row>
    <x:row r="176" ht="18" customHeight="1">
      <x:c r="A176" s="31" t="inlineStr">
        <x:is>
          <x:t xml:space="preserve">СОСТ-00175</x:t>
        </x:is>
      </x:c>
      <x:c r="B176" s="31" t="inlineStr">
        <x:is>
          <x:t xml:space="preserve">ИЗД-014</x:t>
        </x:is>
      </x:c>
      <x:c r="C176" s="31" t="inlineStr">
        <x:is>
          <x:t xml:space="preserve">МАТ-0008</x:t>
        </x:is>
      </x:c>
      <x:c r="D176" s="31" t="inlineStr">
        <x:is>
          <x:t xml:space="preserve">Швеллер 12П</x:t>
        </x:is>
      </x:c>
      <x:c r="E176" s="31" t="inlineStr">
        <x:is>
          <x:t xml:space="preserve">Металл</x:t>
        </x:is>
      </x:c>
      <x:c r="F176" s="31" t="n">
        <x:v>3.5</x:v>
      </x:c>
      <x:c r="G176" s="31" t="inlineStr">
        <x:is>
          <x:t xml:space="preserve">шт</x:t>
        </x:is>
      </x:c>
      <x:c r="H176" s="31" t="inlineStr">
        <x:is>
          <x:t xml:space="preserve">Обязательный</x:t>
        </x:is>
      </x:c>
      <x:c r="I176" s="31" t="inlineStr">
        <x:is>
          <x:t xml:space="preserve">ГЗ-МЕТ-3</x:t>
        </x:is>
      </x:c>
      <x:c r="J176" s="31" t="inlineStr">
        <x:is>
          <x:t xml:space="preserve">Нет</x:t>
        </x:is>
      </x:c>
    </x:row>
    <x:row r="177" ht="18" customHeight="1">
      <x:c r="A177" s="31" t="inlineStr">
        <x:is>
          <x:t xml:space="preserve">СОСТ-00176</x:t>
        </x:is>
      </x:c>
      <x:c r="B177" s="31" t="inlineStr">
        <x:is>
          <x:t xml:space="preserve">ИЗД-014</x:t>
        </x:is>
      </x:c>
      <x:c r="C177" s="31" t="inlineStr">
        <x:is>
          <x:t xml:space="preserve">МАТ-0068</x:t>
        </x:is>
      </x:c>
      <x:c r="D177" s="31" t="inlineStr">
        <x:is>
          <x:t xml:space="preserve">Грунт эпоксидный</x:t>
        </x:is>
      </x:c>
      <x:c r="E177" s="31" t="inlineStr">
        <x:is>
          <x:t xml:space="preserve">Покраска</x:t>
        </x:is>
      </x:c>
      <x:c r="F177" s="31" t="n">
        <x:v>69.62</x:v>
      </x:c>
      <x:c r="G177" s="31" t="inlineStr">
        <x:is>
          <x:t xml:space="preserve">л</x:t>
        </x:is>
      </x:c>
      <x:c r="H177" s="31" t="inlineStr">
        <x:is>
          <x:t xml:space="preserve">Обязательный</x:t>
        </x:is>
      </x:c>
      <x:c r="I177" s="31" t="inlineStr">
        <x:is>
          <x:t xml:space="preserve">ГЗ-ПОК-6</x:t>
        </x:is>
      </x:c>
      <x:c r="J177" s="31" t="inlineStr">
        <x:is>
          <x:t xml:space="preserve">Нет</x:t>
        </x:is>
      </x:c>
    </x:row>
    <x:row r="178" ht="18" customHeight="1">
      <x:c r="A178" s="31" t="inlineStr">
        <x:is>
          <x:t xml:space="preserve">СОСТ-00177</x:t>
        </x:is>
      </x:c>
      <x:c r="B178" s="31" t="inlineStr">
        <x:is>
          <x:t xml:space="preserve">ИЗД-014</x:t>
        </x:is>
      </x:c>
      <x:c r="C178" s="31" t="inlineStr">
        <x:is>
          <x:t xml:space="preserve">МАТ-0074</x:t>
        </x:is>
      </x:c>
      <x:c r="D178" s="31" t="inlineStr">
        <x:is>
          <x:t xml:space="preserve">Абразив для пескоструя</x:t>
        </x:is>
      </x:c>
      <x:c r="E178" s="31" t="inlineStr">
        <x:is>
          <x:t xml:space="preserve">Покраска</x:t>
        </x:is>
      </x:c>
      <x:c r="F178" s="31" t="n">
        <x:v>2.99</x:v>
      </x:c>
      <x:c r="G178" s="31" t="inlineStr">
        <x:is>
          <x:t xml:space="preserve">шт</x:t>
        </x:is>
      </x:c>
      <x:c r="H178" s="31" t="inlineStr">
        <x:is>
          <x:t xml:space="preserve">Обязательный</x:t>
        </x:is>
      </x:c>
      <x:c r="I178" s="31" t="inlineStr">
        <x:is>
          <x:t xml:space="preserve">ГЗ-ПОК-9</x:t>
        </x:is>
      </x:c>
      <x:c r="J178" s="31" t="inlineStr">
        <x:is>
          <x:t xml:space="preserve">Нет</x:t>
        </x:is>
      </x:c>
    </x:row>
    <x:row r="179" ht="18" customHeight="1">
      <x:c r="A179" s="31" t="inlineStr">
        <x:is>
          <x:t xml:space="preserve">СОСТ-00178</x:t>
        </x:is>
      </x:c>
      <x:c r="B179" s="31" t="inlineStr">
        <x:is>
          <x:t xml:space="preserve">ИЗД-014</x:t>
        </x:is>
      </x:c>
      <x:c r="C179" s="31" t="inlineStr">
        <x:is>
          <x:t xml:space="preserve">МАТ-0078</x:t>
        </x:is>
      </x:c>
      <x:c r="D179" s="31" t="inlineStr">
        <x:is>
          <x:t xml:space="preserve">Гайка М12</x:t>
        </x:is>
      </x:c>
      <x:c r="E179" s="31" t="inlineStr">
        <x:is>
          <x:t xml:space="preserve">Крепеж</x:t>
        </x:is>
      </x:c>
      <x:c r="F179" s="31" t="n">
        <x:v>5.08</x:v>
      </x:c>
      <x:c r="G179" s="31" t="inlineStr">
        <x:is>
          <x:t xml:space="preserve">шт</x:t>
        </x:is>
      </x:c>
      <x:c r="H179" s="31" t="inlineStr">
        <x:is>
          <x:t xml:space="preserve">Замена</x:t>
        </x:is>
      </x:c>
      <x:c r="I179" s="31" t="inlineStr">
        <x:is>
          <x:t xml:space="preserve">ГЗ-КРЕ-9</x:t>
        </x:is>
      </x:c>
      <x:c r="J179" s="31" t="inlineStr">
        <x:is>
          <x:t xml:space="preserve">Нет</x:t>
        </x:is>
      </x:c>
    </x:row>
    <x:row r="180" ht="18" customHeight="1">
      <x:c r="A180" s="31" t="inlineStr">
        <x:is>
          <x:t xml:space="preserve">СОСТ-00179</x:t>
        </x:is>
      </x:c>
      <x:c r="B180" s="31" t="inlineStr">
        <x:is>
          <x:t xml:space="preserve">ИЗД-014</x:t>
        </x:is>
      </x:c>
      <x:c r="C180" s="31" t="inlineStr">
        <x:is>
          <x:t xml:space="preserve">МАТ-0077</x:t>
        </x:is>
      </x:c>
      <x:c r="D180" s="31" t="inlineStr">
        <x:is>
          <x:t xml:space="preserve">Болт М16</x:t>
        </x:is>
      </x:c>
      <x:c r="E180" s="31" t="inlineStr">
        <x:is>
          <x:t xml:space="preserve">Крепеж</x:t>
        </x:is>
      </x:c>
      <x:c r="F180" s="31" t="n">
        <x:v>3.91</x:v>
      </x:c>
      <x:c r="G180" s="31" t="inlineStr">
        <x:is>
          <x:t xml:space="preserve">шт</x:t>
        </x:is>
      </x:c>
      <x:c r="H180" s="31" t="inlineStr">
        <x:is>
          <x:t xml:space="preserve">Обязательный</x:t>
        </x:is>
      </x:c>
      <x:c r="I180" s="31" t="inlineStr">
        <x:is>
          <x:t xml:space="preserve">ГЗ-КРЕ-1</x:t>
        </x:is>
      </x:c>
      <x:c r="J180" s="31" t="inlineStr">
        <x:is>
          <x:t xml:space="preserve">Нет</x:t>
        </x:is>
      </x:c>
    </x:row>
    <x:row r="181" ht="18" customHeight="1">
      <x:c r="A181" s="31" t="inlineStr">
        <x:is>
          <x:t xml:space="preserve">СОСТ-00180</x:t>
        </x:is>
      </x:c>
      <x:c r="B181" s="31" t="inlineStr">
        <x:is>
          <x:t xml:space="preserve">ИЗД-014</x:t>
        </x:is>
      </x:c>
      <x:c r="C181" s="31" t="inlineStr">
        <x:is>
          <x:t xml:space="preserve">МАТ-0084</x:t>
        </x:is>
      </x:c>
      <x:c r="D181" s="31" t="inlineStr">
        <x:is>
          <x:t xml:space="preserve">Поддон 1200×800</x:t>
        </x:is>
      </x:c>
      <x:c r="E181" s="31" t="inlineStr">
        <x:is>
          <x:t xml:space="preserve">Упаковка</x:t>
        </x:is>
      </x:c>
      <x:c r="F181" s="31" t="n">
        <x:v>7.21</x:v>
      </x:c>
      <x:c r="G181" s="31" t="inlineStr">
        <x:is>
          <x:t xml:space="preserve">шт</x:t>
        </x:is>
      </x:c>
      <x:c r="H181" s="31" t="inlineStr">
        <x:is>
          <x:t xml:space="preserve">Обязательный</x:t>
        </x:is>
      </x:c>
      <x:c r="I181" s="31" t="inlineStr">
        <x:is>
          <x:t xml:space="preserve">ГЗ-УПА-3</x:t>
        </x:is>
      </x:c>
      <x:c r="J181" s="31" t="inlineStr">
        <x:is>
          <x:t xml:space="preserve">Нет</x:t>
        </x:is>
      </x:c>
    </x:row>
    <x:row r="182" ht="18" customHeight="1">
      <x:c r="A182" s="31" t="inlineStr">
        <x:is>
          <x:t xml:space="preserve">СОСТ-00181</x:t>
        </x:is>
      </x:c>
      <x:c r="B182" s="31" t="inlineStr">
        <x:is>
          <x:t xml:space="preserve">ИЗД-014</x:t>
        </x:is>
      </x:c>
      <x:c r="C182" s="31" t="inlineStr">
        <x:is>
          <x:t xml:space="preserve">МАТ-0089</x:t>
        </x:is>
      </x:c>
      <x:c r="D182" s="31" t="inlineStr">
        <x:is>
          <x:t xml:space="preserve">Маркировочная этикетка</x:t>
        </x:is>
      </x:c>
      <x:c r="E182" s="31" t="inlineStr">
        <x:is>
          <x:t xml:space="preserve">Упаковка</x:t>
        </x:is>
      </x:c>
      <x:c r="F182" s="31" t="n">
        <x:v>1.85</x:v>
      </x:c>
      <x:c r="G182" s="31" t="inlineStr">
        <x:is>
          <x:t xml:space="preserve">шт</x:t>
        </x:is>
      </x:c>
      <x:c r="H182" s="31" t="inlineStr">
        <x:is>
          <x:t xml:space="preserve">Обязательный</x:t>
        </x:is>
      </x:c>
      <x:c r="I182" s="31" t="inlineStr">
        <x:is>
          <x:t xml:space="preserve">ГЗ-УПА-7</x:t>
        </x:is>
      </x:c>
      <x:c r="J182" s="31" t="inlineStr">
        <x:is>
          <x:t xml:space="preserve">Нет</x:t>
        </x:is>
      </x:c>
    </x:row>
    <x:row r="183" ht="18" customHeight="1">
      <x:c r="A183" s="31" t="inlineStr">
        <x:is>
          <x:t xml:space="preserve">СОСТ-00182</x:t>
        </x:is>
      </x:c>
      <x:c r="B183" s="31" t="inlineStr">
        <x:is>
          <x:t xml:space="preserve">ИЗД-014</x:t>
        </x:is>
      </x:c>
      <x:c r="C183" s="31" t="inlineStr">
        <x:is>
          <x:t xml:space="preserve">МАТ-0084</x:t>
        </x:is>
      </x:c>
      <x:c r="D183" s="31" t="inlineStr">
        <x:is>
          <x:t xml:space="preserve">Поддон 1200×800</x:t>
        </x:is>
      </x:c>
      <x:c r="E183" s="31" t="inlineStr">
        <x:is>
          <x:t xml:space="preserve">Упаковка</x:t>
        </x:is>
      </x:c>
      <x:c r="F183" s="31" t="n">
        <x:v>6.86</x:v>
      </x:c>
      <x:c r="G183" s="31" t="inlineStr">
        <x:is>
          <x:t xml:space="preserve">шт</x:t>
        </x:is>
      </x:c>
      <x:c r="H183" s="31" t="inlineStr">
        <x:is>
          <x:t xml:space="preserve">Обязательный</x:t>
        </x:is>
      </x:c>
      <x:c r="I183" s="31" t="inlineStr">
        <x:is>
          <x:t xml:space="preserve">ГЗ-УПА-3</x:t>
        </x:is>
      </x:c>
      <x:c r="J183" s="31" t="inlineStr">
        <x:is>
          <x:t xml:space="preserve">Нет</x:t>
        </x:is>
      </x:c>
    </x:row>
    <x:row r="184" ht="18" customHeight="1">
      <x:c r="A184" s="31" t="inlineStr">
        <x:is>
          <x:t xml:space="preserve">СОСТ-00183</x:t>
        </x:is>
      </x:c>
      <x:c r="B184" s="31" t="inlineStr">
        <x:is>
          <x:t xml:space="preserve">ИЗД-015</x:t>
        </x:is>
      </x:c>
      <x:c r="C184" s="31" t="inlineStr">
        <x:is>
          <x:t xml:space="preserve">МАТ-0022</x:t>
        </x:is>
      </x:c>
      <x:c r="D184" s="31" t="inlineStr">
        <x:is>
          <x:t xml:space="preserve">Торцевое уплотнение / исп.2</x:t>
        </x:is>
      </x:c>
      <x:c r="E184" s="31" t="inlineStr">
        <x:is>
          <x:t xml:space="preserve">Насосы</x:t>
        </x:is>
      </x:c>
      <x:c r="F184" s="31" t="n">
        <x:v>4.18</x:v>
      </x:c>
      <x:c r="G184" s="31" t="inlineStr">
        <x:is>
          <x:t xml:space="preserve">шт</x:t>
        </x:is>
      </x:c>
      <x:c r="H184" s="31" t="inlineStr">
        <x:is>
          <x:t xml:space="preserve">Опция</x:t>
        </x:is>
      </x:c>
      <x:c r="I184" s="31" t="inlineStr">
        <x:is>
          <x:t xml:space="preserve">ГЗ-НАС-9</x:t>
        </x:is>
      </x:c>
      <x:c r="J184" s="31" t="inlineStr">
        <x:is>
          <x:t xml:space="preserve">Нет</x:t>
        </x:is>
      </x:c>
    </x:row>
    <x:row r="185" ht="18" customHeight="1">
      <x:c r="A185" s="31" t="inlineStr">
        <x:is>
          <x:t xml:space="preserve">СОСТ-00184</x:t>
        </x:is>
      </x:c>
      <x:c r="B185" s="31" t="inlineStr">
        <x:is>
          <x:t xml:space="preserve">ИЗД-015</x:t>
        </x:is>
      </x:c>
      <x:c r="C185" s="31" t="inlineStr">
        <x:is>
          <x:t xml:space="preserve">МАТ-0015</x:t>
        </x:is>
      </x:c>
      <x:c r="D185" s="31" t="inlineStr">
        <x:is>
          <x:t xml:space="preserve">Насос центробежный 15 кВт</x:t>
        </x:is>
      </x:c>
      <x:c r="E185" s="31" t="inlineStr">
        <x:is>
          <x:t xml:space="preserve">Насосы</x:t>
        </x:is>
      </x:c>
      <x:c r="F185" s="31" t="n">
        <x:v>3.31</x:v>
      </x:c>
      <x:c r="G185" s="31" t="inlineStr">
        <x:is>
          <x:t xml:space="preserve">шт</x:t>
        </x:is>
      </x:c>
      <x:c r="H185" s="31" t="inlineStr">
        <x:is>
          <x:t xml:space="preserve">Обязательный</x:t>
        </x:is>
      </x:c>
      <x:c r="I185" s="31" t="inlineStr">
        <x:is>
          <x:t xml:space="preserve">ГЗ-НАС-2</x:t>
        </x:is>
      </x:c>
      <x:c r="J185" s="31" t="inlineStr">
        <x:is>
          <x:t xml:space="preserve">Нет</x:t>
        </x:is>
      </x:c>
    </x:row>
    <x:row r="186" ht="18" customHeight="1">
      <x:c r="A186" s="31" t="inlineStr">
        <x:is>
          <x:t xml:space="preserve">СОСТ-00185</x:t>
        </x:is>
      </x:c>
      <x:c r="B186" s="31" t="inlineStr">
        <x:is>
          <x:t xml:space="preserve">ИЗД-015</x:t>
        </x:is>
      </x:c>
      <x:c r="C186" s="31" t="inlineStr">
        <x:is>
          <x:t xml:space="preserve">МАТ-0022</x:t>
        </x:is>
      </x:c>
      <x:c r="D186" s="31" t="inlineStr">
        <x:is>
          <x:t xml:space="preserve">Торцевое уплотнение / исп.2</x:t>
        </x:is>
      </x:c>
      <x:c r="E186" s="31" t="inlineStr">
        <x:is>
          <x:t xml:space="preserve">Насосы</x:t>
        </x:is>
      </x:c>
      <x:c r="F186" s="31" t="n">
        <x:v>3.27</x:v>
      </x:c>
      <x:c r="G186" s="31" t="inlineStr">
        <x:is>
          <x:t xml:space="preserve">шт</x:t>
        </x:is>
      </x:c>
      <x:c r="H186" s="31" t="inlineStr">
        <x:is>
          <x:t xml:space="preserve">Обязательный</x:t>
        </x:is>
      </x:c>
      <x:c r="I186" s="31" t="inlineStr">
        <x:is>
          <x:t xml:space="preserve">ГЗ-НАС-9</x:t>
        </x:is>
      </x:c>
      <x:c r="J186" s="31" t="inlineStr">
        <x:is>
          <x:t xml:space="preserve">Нет</x:t>
        </x:is>
      </x:c>
    </x:row>
    <x:row r="187" ht="18" customHeight="1">
      <x:c r="A187" s="31" t="inlineStr">
        <x:is>
          <x:t xml:space="preserve">СОСТ-00186</x:t>
        </x:is>
      </x:c>
      <x:c r="B187" s="31" t="inlineStr">
        <x:is>
          <x:t xml:space="preserve">ИЗД-015</x:t>
        </x:is>
      </x:c>
      <x:c r="C187" s="31" t="inlineStr">
        <x:is>
          <x:t xml:space="preserve">МАТ-0032</x:t>
        </x:is>
      </x:c>
      <x:c r="D187" s="31" t="inlineStr">
        <x:is>
          <x:t xml:space="preserve">Датчик температуры Пт100</x:t>
        </x:is>
      </x:c>
      <x:c r="E187" s="31" t="inlineStr">
        <x:is>
          <x:t xml:space="preserve">КИПиА</x:t>
        </x:is>
      </x:c>
      <x:c r="F187" s="31" t="n">
        <x:v>2.48</x:v>
      </x:c>
      <x:c r="G187" s="31" t="inlineStr">
        <x:is>
          <x:t xml:space="preserve">шт</x:t>
        </x:is>
      </x:c>
      <x:c r="H187" s="31" t="inlineStr">
        <x:is>
          <x:t xml:space="preserve">Обязательный</x:t>
        </x:is>
      </x:c>
      <x:c r="I187" s="31" t="inlineStr">
        <x:is>
          <x:t xml:space="preserve">ГЗ-КИП-8</x:t>
        </x:is>
      </x:c>
      <x:c r="J187" s="31" t="inlineStr">
        <x:is>
          <x:t xml:space="preserve">Нет</x:t>
        </x:is>
      </x:c>
    </x:row>
    <x:row r="188" ht="18" customHeight="1">
      <x:c r="A188" s="31" t="inlineStr">
        <x:is>
          <x:t xml:space="preserve">СОСТ-00187</x:t>
        </x:is>
      </x:c>
      <x:c r="B188" s="31" t="inlineStr">
        <x:is>
          <x:t xml:space="preserve">ИЗД-015</x:t>
        </x:is>
      </x:c>
      <x:c r="C188" s="31" t="inlineStr">
        <x:is>
          <x:t xml:space="preserve">МАТ-0033</x:t>
        </x:is>
      </x:c>
      <x:c r="D188" s="31" t="inlineStr">
        <x:is>
          <x:t xml:space="preserve">Расходомер электромагнитный Ду50</x:t>
        </x:is>
      </x:c>
      <x:c r="E188" s="31" t="inlineStr">
        <x:is>
          <x:t xml:space="preserve">КИПиА</x:t>
        </x:is>
      </x:c>
      <x:c r="F188" s="31" t="n">
        <x:v>6.59</x:v>
      </x:c>
      <x:c r="G188" s="31" t="inlineStr">
        <x:is>
          <x:t xml:space="preserve">шт</x:t>
        </x:is>
      </x:c>
      <x:c r="H188" s="31" t="inlineStr">
        <x:is>
          <x:t xml:space="preserve">Обязательный</x:t>
        </x:is>
      </x:c>
      <x:c r="I188" s="31" t="inlineStr">
        <x:is>
          <x:t xml:space="preserve">ГЗ-КИП-6</x:t>
        </x:is>
      </x:c>
      <x:c r="J188" s="31" t="inlineStr">
        <x:is>
          <x:t xml:space="preserve">Нет</x:t>
        </x:is>
      </x:c>
    </x:row>
    <x:row r="189" ht="18" customHeight="1">
      <x:c r="A189" s="31" t="inlineStr">
        <x:is>
          <x:t xml:space="preserve">СОСТ-00188</x:t>
        </x:is>
      </x:c>
      <x:c r="B189" s="31" t="inlineStr">
        <x:is>
          <x:t xml:space="preserve">ИЗД-015</x:t>
        </x:is>
      </x:c>
      <x:c r="C189" s="31" t="inlineStr">
        <x:is>
          <x:t xml:space="preserve">МАТ-0035</x:t>
        </x:is>
      </x:c>
      <x:c r="D189" s="31" t="inlineStr">
        <x:is>
          <x:t xml:space="preserve">Клапан электромагнитный 24В</x:t>
        </x:is>
      </x:c>
      <x:c r="E189" s="31" t="inlineStr">
        <x:is>
          <x:t xml:space="preserve">КИПиА</x:t>
        </x:is>
      </x:c>
      <x:c r="F189" s="31" t="n">
        <x:v>3.67</x:v>
      </x:c>
      <x:c r="G189" s="31" t="inlineStr">
        <x:is>
          <x:t xml:space="preserve">шт</x:t>
        </x:is>
      </x:c>
      <x:c r="H189" s="31" t="inlineStr">
        <x:is>
          <x:t xml:space="preserve">Обязательный</x:t>
        </x:is>
      </x:c>
      <x:c r="I189" s="31" t="inlineStr">
        <x:is>
          <x:t xml:space="preserve">ГЗ-КИП-7</x:t>
        </x:is>
      </x:c>
      <x:c r="J189" s="31" t="inlineStr">
        <x:is>
          <x:t xml:space="preserve">Нет</x:t>
        </x:is>
      </x:c>
    </x:row>
    <x:row r="190" ht="18" customHeight="1">
      <x:c r="A190" s="31" t="inlineStr">
        <x:is>
          <x:t xml:space="preserve">СОСТ-00189</x:t>
        </x:is>
      </x:c>
      <x:c r="B190" s="31" t="inlineStr">
        <x:is>
          <x:t xml:space="preserve">ИЗД-015</x:t>
        </x:is>
      </x:c>
      <x:c r="C190" s="31" t="inlineStr">
        <x:is>
          <x:t xml:space="preserve">МАТ-0039</x:t>
        </x:is>
      </x:c>
      <x:c r="D190" s="31" t="inlineStr">
        <x:is>
          <x:t xml:space="preserve">ПЛК 24 дискр. входа / 16 дискр. выхода / исп.2</x:t>
        </x:is>
      </x:c>
      <x:c r="E190" s="31" t="inlineStr">
        <x:is>
          <x:t xml:space="preserve">ПЛК/электрика</x:t>
        </x:is>
      </x:c>
      <x:c r="F190" s="31" t="n">
        <x:v>1.14</x:v>
      </x:c>
      <x:c r="G190" s="31" t="inlineStr">
        <x:is>
          <x:t xml:space="preserve">шт</x:t>
        </x:is>
      </x:c>
      <x:c r="H190" s="31" t="inlineStr">
        <x:is>
          <x:t xml:space="preserve">Обязательный</x:t>
        </x:is>
      </x:c>
      <x:c r="I190" s="31" t="inlineStr">
        <x:is>
          <x:t xml:space="preserve">ГЗ-ПЛК-7</x:t>
        </x:is>
      </x:c>
      <x:c r="J190" s="31" t="inlineStr">
        <x:is>
          <x:t xml:space="preserve">Нет</x:t>
        </x:is>
      </x:c>
    </x:row>
    <x:row r="191" ht="18" customHeight="1">
      <x:c r="A191" s="31" t="inlineStr">
        <x:is>
          <x:t xml:space="preserve">СОСТ-00190</x:t>
        </x:is>
      </x:c>
      <x:c r="B191" s="31" t="inlineStr">
        <x:is>
          <x:t xml:space="preserve">ИЗД-015</x:t>
        </x:is>
      </x:c>
      <x:c r="C191" s="31" t="inlineStr">
        <x:is>
          <x:t xml:space="preserve">МАТ-0044</x:t>
        </x:is>
      </x:c>
      <x:c r="D191" s="31" t="inlineStr">
        <x:is>
          <x:t xml:space="preserve">Блок питания 24В / исп.2</x:t>
        </x:is>
      </x:c>
      <x:c r="E191" s="31" t="inlineStr">
        <x:is>
          <x:t xml:space="preserve">ПЛК/электрика</x:t>
        </x:is>
      </x:c>
      <x:c r="F191" s="31" t="n">
        <x:v>2.99</x:v>
      </x:c>
      <x:c r="G191" s="31" t="inlineStr">
        <x:is>
          <x:t xml:space="preserve">шт</x:t>
        </x:is>
      </x:c>
      <x:c r="H191" s="31" t="inlineStr">
        <x:is>
          <x:t xml:space="preserve">Обязательный</x:t>
        </x:is>
      </x:c>
      <x:c r="I191" s="31" t="inlineStr">
        <x:is>
          <x:t xml:space="preserve">ГЗ-ПЛК-1</x:t>
        </x:is>
      </x:c>
      <x:c r="J191" s="31" t="inlineStr">
        <x:is>
          <x:t xml:space="preserve">Нет</x:t>
        </x:is>
      </x:c>
    </x:row>
    <x:row r="192" ht="18" customHeight="1">
      <x:c r="A192" s="31" t="inlineStr">
        <x:is>
          <x:t xml:space="preserve">СОСТ-00191</x:t>
        </x:is>
      </x:c>
      <x:c r="B192" s="31" t="inlineStr">
        <x:is>
          <x:t xml:space="preserve">ИЗД-015</x:t>
        </x:is>
      </x:c>
      <x:c r="C192" s="31" t="inlineStr">
        <x:is>
          <x:t xml:space="preserve">МАТ-0079</x:t>
        </x:is>
      </x:c>
      <x:c r="D192" s="31" t="inlineStr">
        <x:is>
          <x:t xml:space="preserve">Гайка М12 / исп.2</x:t>
        </x:is>
      </x:c>
      <x:c r="E192" s="31" t="inlineStr">
        <x:is>
          <x:t xml:space="preserve">Крепеж</x:t>
        </x:is>
      </x:c>
      <x:c r="F192" s="31" t="n">
        <x:v>4.44</x:v>
      </x:c>
      <x:c r="G192" s="31" t="inlineStr">
        <x:is>
          <x:t xml:space="preserve">шт</x:t>
        </x:is>
      </x:c>
      <x:c r="H192" s="31" t="inlineStr">
        <x:is>
          <x:t xml:space="preserve">Обязательный</x:t>
        </x:is>
      </x:c>
      <x:c r="I192" s="31" t="inlineStr">
        <x:is>
          <x:t xml:space="preserve">ГЗ-КРЕ-9</x:t>
        </x:is>
      </x:c>
      <x:c r="J192" s="31" t="inlineStr">
        <x:is>
          <x:t xml:space="preserve">Нет</x:t>
        </x:is>
      </x:c>
    </x:row>
    <x:row r="193" ht="18" customHeight="1">
      <x:c r="A193" s="31" t="inlineStr">
        <x:is>
          <x:t xml:space="preserve">СОСТ-00192</x:t>
        </x:is>
      </x:c>
      <x:c r="B193" s="31" t="inlineStr">
        <x:is>
          <x:t xml:space="preserve">ИЗД-015</x:t>
        </x:is>
      </x:c>
      <x:c r="C193" s="31" t="inlineStr">
        <x:is>
          <x:t xml:space="preserve">МАТ-0089</x:t>
        </x:is>
      </x:c>
      <x:c r="D193" s="31" t="inlineStr">
        <x:is>
          <x:t xml:space="preserve">Маркировочная этикетка</x:t>
        </x:is>
      </x:c>
      <x:c r="E193" s="31" t="inlineStr">
        <x:is>
          <x:t xml:space="preserve">Упаковка</x:t>
        </x:is>
      </x:c>
      <x:c r="F193" s="31" t="n">
        <x:v>5.22</x:v>
      </x:c>
      <x:c r="G193" s="31" t="inlineStr">
        <x:is>
          <x:t xml:space="preserve">шт</x:t>
        </x:is>
      </x:c>
      <x:c r="H193" s="31" t="inlineStr">
        <x:is>
          <x:t xml:space="preserve">Обязательный</x:t>
        </x:is>
      </x:c>
      <x:c r="I193" s="31" t="inlineStr">
        <x:is>
          <x:t xml:space="preserve">ГЗ-УПА-7</x:t>
        </x:is>
      </x:c>
      <x:c r="J193" s="31" t="inlineStr">
        <x:is>
          <x:t xml:space="preserve">Нет</x:t>
        </x:is>
      </x:c>
    </x:row>
    <x:row r="194" ht="18" customHeight="1">
      <x:c r="A194" s="31" t="inlineStr">
        <x:is>
          <x:t xml:space="preserve">СОСТ-00193</x:t>
        </x:is>
      </x:c>
      <x:c r="B194" s="31" t="inlineStr">
        <x:is>
          <x:t xml:space="preserve">ИЗД-015</x:t>
        </x:is>
      </x:c>
      <x:c r="C194" s="31" t="inlineStr">
        <x:is>
          <x:t xml:space="preserve">МАТ-0086</x:t>
        </x:is>
      </x:c>
      <x:c r="D194" s="31" t="inlineStr">
        <x:is>
          <x:t xml:space="preserve">Пленка стрейч / исп.2</x:t>
        </x:is>
      </x:c>
      <x:c r="E194" s="31" t="inlineStr">
        <x:is>
          <x:t xml:space="preserve">Упаковка</x:t>
        </x:is>
      </x:c>
      <x:c r="F194" s="31" t="n">
        <x:v>4.59</x:v>
      </x:c>
      <x:c r="G194" s="31" t="inlineStr">
        <x:is>
          <x:t xml:space="preserve">шт</x:t>
        </x:is>
      </x:c>
      <x:c r="H194" s="31" t="inlineStr">
        <x:is>
          <x:t xml:space="preserve">Обязательный</x:t>
        </x:is>
      </x:c>
      <x:c r="I194" s="31" t="inlineStr">
        <x:is>
          <x:t xml:space="preserve">ГЗ-УПА-4</x:t>
        </x:is>
      </x:c>
      <x:c r="J194" s="31" t="inlineStr">
        <x:is>
          <x:t xml:space="preserve">Нет</x:t>
        </x:is>
      </x:c>
    </x:row>
    <x:row r="195" ht="18" customHeight="1">
      <x:c r="A195" s="31" t="inlineStr">
        <x:is>
          <x:t xml:space="preserve">СОСТ-00194</x:t>
        </x:is>
      </x:c>
      <x:c r="B195" s="31" t="inlineStr">
        <x:is>
          <x:t xml:space="preserve">ИЗД-016</x:t>
        </x:is>
      </x:c>
      <x:c r="C195" s="31" t="inlineStr">
        <x:is>
          <x:t xml:space="preserve">МАТ-0005</x:t>
        </x:is>
      </x:c>
      <x:c r="D195" s="31" t="inlineStr">
        <x:is>
          <x:t xml:space="preserve">Труба бесшовная 57×4</x:t>
        </x:is>
      </x:c>
      <x:c r="E195" s="31" t="inlineStr">
        <x:is>
          <x:t xml:space="preserve">Металл</x:t>
        </x:is>
      </x:c>
      <x:c r="F195" s="31" t="n">
        <x:v>35</x:v>
      </x:c>
      <x:c r="G195" s="31" t="inlineStr">
        <x:is>
          <x:t xml:space="preserve">м</x:t>
        </x:is>
      </x:c>
      <x:c r="H195" s="31" t="inlineStr">
        <x:is>
          <x:t xml:space="preserve">Обязательный</x:t>
        </x:is>
      </x:c>
      <x:c r="I195" s="31" t="inlineStr">
        <x:is>
          <x:t xml:space="preserve">ГЗ-МЕТ-5</x:t>
        </x:is>
      </x:c>
      <x:c r="J195" s="31" t="inlineStr">
        <x:is>
          <x:t xml:space="preserve">Нет</x:t>
        </x:is>
      </x:c>
    </x:row>
    <x:row r="196" ht="18" customHeight="1">
      <x:c r="A196" s="31" t="inlineStr">
        <x:is>
          <x:t xml:space="preserve">СОСТ-00195</x:t>
        </x:is>
      </x:c>
      <x:c r="B196" s="31" t="inlineStr">
        <x:is>
          <x:t xml:space="preserve">ИЗД-016</x:t>
        </x:is>
      </x:c>
      <x:c r="C196" s="31" t="inlineStr">
        <x:is>
          <x:t xml:space="preserve">МАТ-0010</x:t>
        </x:is>
      </x:c>
      <x:c r="D196" s="31" t="inlineStr">
        <x:is>
          <x:t xml:space="preserve">Фланец Ду50 Ру16 / исп.2</x:t>
        </x:is>
      </x:c>
      <x:c r="E196" s="31" t="inlineStr">
        <x:is>
          <x:t xml:space="preserve">Металл</x:t>
        </x:is>
      </x:c>
      <x:c r="F196" s="31" t="n">
        <x:v>2.3</x:v>
      </x:c>
      <x:c r="G196" s="31" t="inlineStr">
        <x:is>
          <x:t xml:space="preserve">шт</x:t>
        </x:is>
      </x:c>
      <x:c r="H196" s="31" t="inlineStr">
        <x:is>
          <x:t xml:space="preserve">Обязательный</x:t>
        </x:is>
      </x:c>
      <x:c r="I196" s="31" t="inlineStr">
        <x:is>
          <x:t xml:space="preserve">ГЗ-МЕТ-1</x:t>
        </x:is>
      </x:c>
      <x:c r="J196" s="31" t="inlineStr">
        <x:is>
          <x:t xml:space="preserve">Нет</x:t>
        </x:is>
      </x:c>
    </x:row>
    <x:row r="197" ht="18" customHeight="1">
      <x:c r="A197" s="31" t="inlineStr">
        <x:is>
          <x:t xml:space="preserve">СОСТ-00196</x:t>
        </x:is>
      </x:c>
      <x:c r="B197" s="31" t="inlineStr">
        <x:is>
          <x:t xml:space="preserve">ИЗД-016</x:t>
        </x:is>
      </x:c>
      <x:c r="C197" s="31" t="inlineStr">
        <x:is>
          <x:t xml:space="preserve">МАТ-0020</x:t>
        </x:is>
      </x:c>
      <x:c r="D197" s="31" t="inlineStr">
        <x:is>
          <x:t xml:space="preserve">Насос дозировочный / исп.2</x:t>
        </x:is>
      </x:c>
      <x:c r="E197" s="31" t="inlineStr">
        <x:is>
          <x:t xml:space="preserve">Насосы</x:t>
        </x:is>
      </x:c>
      <x:c r="F197" s="31" t="n">
        <x:v>7.81</x:v>
      </x:c>
      <x:c r="G197" s="31" t="inlineStr">
        <x:is>
          <x:t xml:space="preserve">шт</x:t>
        </x:is>
      </x:c>
      <x:c r="H197" s="31" t="inlineStr">
        <x:is>
          <x:t xml:space="preserve">Обязательный</x:t>
        </x:is>
      </x:c>
      <x:c r="I197" s="31" t="inlineStr">
        <x:is>
          <x:t xml:space="preserve">ГЗ-НАС-1</x:t>
        </x:is>
      </x:c>
      <x:c r="J197" s="31" t="inlineStr">
        <x:is>
          <x:t xml:space="preserve">Нет</x:t>
        </x:is>
      </x:c>
    </x:row>
    <x:row r="198" ht="18" customHeight="1">
      <x:c r="A198" s="31" t="inlineStr">
        <x:is>
          <x:t xml:space="preserve">СОСТ-00197</x:t>
        </x:is>
      </x:c>
      <x:c r="B198" s="31" t="inlineStr">
        <x:is>
          <x:t xml:space="preserve">ИЗД-016</x:t>
        </x:is>
      </x:c>
      <x:c r="C198" s="31" t="inlineStr">
        <x:is>
          <x:t xml:space="preserve">МАТ-0017</x:t>
        </x:is>
      </x:c>
      <x:c r="D198" s="31" t="inlineStr">
        <x:is>
          <x:t xml:space="preserve">Насос шестеренный 7.5 кВт</x:t>
        </x:is>
      </x:c>
      <x:c r="E198" s="31" t="inlineStr">
        <x:is>
          <x:t xml:space="preserve">Насосы</x:t>
        </x:is>
      </x:c>
      <x:c r="F198" s="31" t="n">
        <x:v>7.51</x:v>
      </x:c>
      <x:c r="G198" s="31" t="inlineStr">
        <x:is>
          <x:t xml:space="preserve">шт</x:t>
        </x:is>
      </x:c>
      <x:c r="H198" s="31" t="inlineStr">
        <x:is>
          <x:t xml:space="preserve">Обязательный</x:t>
        </x:is>
      </x:c>
      <x:c r="I198" s="31" t="inlineStr">
        <x:is>
          <x:t xml:space="preserve">ГЗ-НАС-8</x:t>
        </x:is>
      </x:c>
      <x:c r="J198" s="31" t="inlineStr">
        <x:is>
          <x:t xml:space="preserve">Нет</x:t>
        </x:is>
      </x:c>
    </x:row>
    <x:row r="199" ht="18" customHeight="1">
      <x:c r="A199" s="31" t="inlineStr">
        <x:is>
          <x:t xml:space="preserve">СОСТ-00198</x:t>
        </x:is>
      </x:c>
      <x:c r="B199" s="31" t="inlineStr">
        <x:is>
          <x:t xml:space="preserve">ИЗД-016</x:t>
        </x:is>
      </x:c>
      <x:c r="C199" s="31" t="inlineStr">
        <x:is>
          <x:t xml:space="preserve">МАТ-0016</x:t>
        </x:is>
      </x:c>
      <x:c r="D199" s="31" t="inlineStr">
        <x:is>
          <x:t xml:space="preserve">Насос центробежный 15 кВт / исп.2</x:t>
        </x:is>
      </x:c>
      <x:c r="E199" s="31" t="inlineStr">
        <x:is>
          <x:t xml:space="preserve">Насосы</x:t>
        </x:is>
      </x:c>
      <x:c r="F199" s="31" t="n">
        <x:v>3.03</x:v>
      </x:c>
      <x:c r="G199" s="31" t="inlineStr">
        <x:is>
          <x:t xml:space="preserve">шт</x:t>
        </x:is>
      </x:c>
      <x:c r="H199" s="31" t="inlineStr">
        <x:is>
          <x:t xml:space="preserve">Обязательный</x:t>
        </x:is>
      </x:c>
      <x:c r="I199" s="31" t="inlineStr">
        <x:is>
          <x:t xml:space="preserve">ГЗ-НАС-1</x:t>
        </x:is>
      </x:c>
      <x:c r="J199" s="31" t="inlineStr">
        <x:is>
          <x:t xml:space="preserve">Нет</x:t>
        </x:is>
      </x:c>
    </x:row>
    <x:row r="200" ht="18" customHeight="1">
      <x:c r="A200" s="31" t="inlineStr">
        <x:is>
          <x:t xml:space="preserve">СОСТ-00199</x:t>
        </x:is>
      </x:c>
      <x:c r="B200" s="31" t="inlineStr">
        <x:is>
          <x:t xml:space="preserve">ИЗД-016</x:t>
        </x:is>
      </x:c>
      <x:c r="C200" s="31" t="inlineStr">
        <x:is>
          <x:t xml:space="preserve">МАТ-0027</x:t>
        </x:is>
      </x:c>
      <x:c r="D200" s="31" t="inlineStr">
        <x:is>
          <x:t xml:space="preserve">Двигатель 22 кВт</x:t>
        </x:is>
      </x:c>
      <x:c r="E200" s="31" t="inlineStr">
        <x:is>
          <x:t xml:space="preserve">Электродвигатели</x:t>
        </x:is>
      </x:c>
      <x:c r="F200" s="31" t="n">
        <x:v>2.04</x:v>
      </x:c>
      <x:c r="G200" s="31" t="inlineStr">
        <x:is>
          <x:t xml:space="preserve">шт</x:t>
        </x:is>
      </x:c>
      <x:c r="H200" s="31" t="inlineStr">
        <x:is>
          <x:t xml:space="preserve">Обязательный</x:t>
        </x:is>
      </x:c>
      <x:c r="I200" s="31" t="inlineStr">
        <x:is>
          <x:t xml:space="preserve">ГЗ-ЭЛЕ-2</x:t>
        </x:is>
      </x:c>
      <x:c r="J200" s="31" t="inlineStr">
        <x:is>
          <x:t xml:space="preserve">Нет</x:t>
        </x:is>
      </x:c>
    </x:row>
    <x:row r="201" ht="18" customHeight="1">
      <x:c r="A201" s="31" t="inlineStr">
        <x:is>
          <x:t xml:space="preserve">СОСТ-00200</x:t>
        </x:is>
      </x:c>
      <x:c r="B201" s="31" t="inlineStr">
        <x:is>
          <x:t xml:space="preserve">ИЗД-016</x:t>
        </x:is>
      </x:c>
      <x:c r="C201" s="31" t="inlineStr">
        <x:is>
          <x:t xml:space="preserve">МАТ-0026</x:t>
        </x:is>
      </x:c>
      <x:c r="D201" s="31" t="inlineStr">
        <x:is>
          <x:t xml:space="preserve">Двигатель 15 кВт</x:t>
        </x:is>
      </x:c>
      <x:c r="E201" s="31" t="inlineStr">
        <x:is>
          <x:t xml:space="preserve">Электродвигатели</x:t>
        </x:is>
      </x:c>
      <x:c r="F201" s="31" t="n">
        <x:v>4.66</x:v>
      </x:c>
      <x:c r="G201" s="31" t="inlineStr">
        <x:is>
          <x:t xml:space="preserve">шт</x:t>
        </x:is>
      </x:c>
      <x:c r="H201" s="31" t="inlineStr">
        <x:is>
          <x:t xml:space="preserve">Обязательный</x:t>
        </x:is>
      </x:c>
      <x:c r="I201" s="31" t="inlineStr">
        <x:is>
          <x:t xml:space="preserve">ГЗ-ЭЛЕ-1</x:t>
        </x:is>
      </x:c>
      <x:c r="J201" s="31" t="inlineStr">
        <x:is>
          <x:t xml:space="preserve">Да</x:t>
        </x:is>
      </x:c>
    </x:row>
    <x:row r="202" ht="18" customHeight="1">
      <x:c r="A202" s="31" t="inlineStr">
        <x:is>
          <x:t xml:space="preserve">СОСТ-00201</x:t>
        </x:is>
      </x:c>
      <x:c r="B202" s="31" t="inlineStr">
        <x:is>
          <x:t xml:space="preserve">ИЗД-016</x:t>
        </x:is>
      </x:c>
      <x:c r="C202" s="31" t="inlineStr">
        <x:is>
          <x:t xml:space="preserve">МАТ-0031</x:t>
        </x:is>
      </x:c>
      <x:c r="D202" s="31" t="inlineStr">
        <x:is>
          <x:t xml:space="preserve">Датчик давления 0-16 бар</x:t>
        </x:is>
      </x:c>
      <x:c r="E202" s="31" t="inlineStr">
        <x:is>
          <x:t xml:space="preserve">КИПиА</x:t>
        </x:is>
      </x:c>
      <x:c r="F202" s="31" t="n">
        <x:v>4.59</x:v>
      </x:c>
      <x:c r="G202" s="31" t="inlineStr">
        <x:is>
          <x:t xml:space="preserve">шт</x:t>
        </x:is>
      </x:c>
      <x:c r="H202" s="31" t="inlineStr">
        <x:is>
          <x:t xml:space="preserve">Обязательный</x:t>
        </x:is>
      </x:c>
      <x:c r="I202" s="31" t="inlineStr">
        <x:is>
          <x:t xml:space="preserve">ГЗ-КИП-7</x:t>
        </x:is>
      </x:c>
      <x:c r="J202" s="31" t="inlineStr">
        <x:is>
          <x:t xml:space="preserve">Нет</x:t>
        </x:is>
      </x:c>
    </x:row>
    <x:row r="203" ht="18" customHeight="1">
      <x:c r="A203" s="31" t="inlineStr">
        <x:is>
          <x:t xml:space="preserve">СОСТ-00202</x:t>
        </x:is>
      </x:c>
      <x:c r="B203" s="31" t="inlineStr">
        <x:is>
          <x:t xml:space="preserve">ИЗД-016</x:t>
        </x:is>
      </x:c>
      <x:c r="C203" s="31" t="inlineStr">
        <x:is>
          <x:t xml:space="preserve">МАТ-0061</x:t>
        </x:is>
      </x:c>
      <x:c r="D203" s="31" t="inlineStr">
        <x:is>
          <x:t xml:space="preserve">Фильтр сетчатый Ду50 / исп.3</x:t>
        </x:is>
      </x:c>
      <x:c r="E203" s="31" t="inlineStr">
        <x:is>
          <x:t xml:space="preserve">Запорная арматура</x:t>
        </x:is>
      </x:c>
      <x:c r="F203" s="31" t="n">
        <x:v>6.04</x:v>
      </x:c>
      <x:c r="G203" s="31" t="inlineStr">
        <x:is>
          <x:t xml:space="preserve">шт</x:t>
        </x:is>
      </x:c>
      <x:c r="H203" s="31" t="inlineStr">
        <x:is>
          <x:t xml:space="preserve">Обязательный</x:t>
        </x:is>
      </x:c>
      <x:c r="I203" s="31" t="inlineStr">
        <x:is>
          <x:t xml:space="preserve">ГЗ-ЗАП-1</x:t>
        </x:is>
      </x:c>
      <x:c r="J203" s="31" t="inlineStr">
        <x:is>
          <x:t xml:space="preserve">Нет</x:t>
        </x:is>
      </x:c>
    </x:row>
    <x:row r="204" ht="18" customHeight="1">
      <x:c r="A204" s="31" t="inlineStr">
        <x:is>
          <x:t xml:space="preserve">СОСТ-00203</x:t>
        </x:is>
      </x:c>
      <x:c r="B204" s="31" t="inlineStr">
        <x:is>
          <x:t xml:space="preserve">ИЗД-016</x:t>
        </x:is>
      </x:c>
      <x:c r="C204" s="31" t="inlineStr">
        <x:is>
          <x:t xml:space="preserve">МАТ-0060</x:t>
        </x:is>
      </x:c>
      <x:c r="D204" s="31" t="inlineStr">
        <x:is>
          <x:t xml:space="preserve">Фильтр сетчатый Ду50 / исп.2</x:t>
        </x:is>
      </x:c>
      <x:c r="E204" s="31" t="inlineStr">
        <x:is>
          <x:t xml:space="preserve">Запорная арматура</x:t>
        </x:is>
      </x:c>
      <x:c r="F204" s="31" t="n">
        <x:v>1.57</x:v>
      </x:c>
      <x:c r="G204" s="31" t="inlineStr">
        <x:is>
          <x:t xml:space="preserve">шт</x:t>
        </x:is>
      </x:c>
      <x:c r="H204" s="31" t="inlineStr">
        <x:is>
          <x:t xml:space="preserve">Обязательный</x:t>
        </x:is>
      </x:c>
      <x:c r="I204" s="31" t="inlineStr">
        <x:is>
          <x:t xml:space="preserve">ГЗ-ЗАП-3</x:t>
        </x:is>
      </x:c>
      <x:c r="J204" s="31" t="inlineStr">
        <x:is>
          <x:t xml:space="preserve">Нет</x:t>
        </x:is>
      </x:c>
    </x:row>
    <x:row r="205" ht="18" customHeight="1">
      <x:c r="A205" s="31" t="inlineStr">
        <x:is>
          <x:t xml:space="preserve">СОСТ-00204</x:t>
        </x:is>
      </x:c>
      <x:c r="B205" s="31" t="inlineStr">
        <x:is>
          <x:t xml:space="preserve">ИЗД-016</x:t>
        </x:is>
      </x:c>
      <x:c r="C205" s="31" t="inlineStr">
        <x:is>
          <x:t xml:space="preserve">МАТ-0065</x:t>
        </x:is>
      </x:c>
      <x:c r="D205" s="31" t="inlineStr">
        <x:is>
          <x:t xml:space="preserve">Гофра металлическая</x:t>
        </x:is>
      </x:c>
      <x:c r="E205" s="31" t="inlineStr">
        <x:is>
          <x:t xml:space="preserve">Кабель</x:t>
        </x:is>
      </x:c>
      <x:c r="F205" s="31" t="n">
        <x:v>2.26</x:v>
      </x:c>
      <x:c r="G205" s="31" t="inlineStr">
        <x:is>
          <x:t xml:space="preserve">шт</x:t>
        </x:is>
      </x:c>
      <x:c r="H205" s="31" t="inlineStr">
        <x:is>
          <x:t xml:space="preserve">Обязательный</x:t>
        </x:is>
      </x:c>
      <x:c r="I205" s="31" t="inlineStr">
        <x:is>
          <x:t xml:space="preserve">ГЗ-КАБ-2</x:t>
        </x:is>
      </x:c>
      <x:c r="J205" s="31" t="inlineStr">
        <x:is>
          <x:t xml:space="preserve">Нет</x:t>
        </x:is>
      </x:c>
    </x:row>
    <x:row r="206" ht="18" customHeight="1">
      <x:c r="A206" s="31" t="inlineStr">
        <x:is>
          <x:t xml:space="preserve">СОСТ-00205</x:t>
        </x:is>
      </x:c>
      <x:c r="B206" s="31" t="inlineStr">
        <x:is>
          <x:t xml:space="preserve">ИЗД-016</x:t>
        </x:is>
      </x:c>
      <x:c r="C206" s="31" t="inlineStr">
        <x:is>
          <x:t xml:space="preserve">МАТ-0062</x:t>
        </x:is>
      </x:c>
      <x:c r="D206" s="31" t="inlineStr">
        <x:is>
          <x:t xml:space="preserve">Кабель КВВГ 4×1.5</x:t>
        </x:is>
      </x:c>
      <x:c r="E206" s="31" t="inlineStr">
        <x:is>
          <x:t xml:space="preserve">Кабель</x:t>
        </x:is>
      </x:c>
      <x:c r="F206" s="31" t="n">
        <x:v>56.94</x:v>
      </x:c>
      <x:c r="G206" s="31" t="inlineStr">
        <x:is>
          <x:t xml:space="preserve">м</x:t>
        </x:is>
      </x:c>
      <x:c r="H206" s="31" t="inlineStr">
        <x:is>
          <x:t xml:space="preserve">Обязательный</x:t>
        </x:is>
      </x:c>
      <x:c r="I206" s="31" t="inlineStr">
        <x:is>
          <x:t xml:space="preserve">ГЗ-КАБ-9</x:t>
        </x:is>
      </x:c>
      <x:c r="J206" s="31" t="inlineStr">
        <x:is>
          <x:t xml:space="preserve">Нет</x:t>
        </x:is>
      </x:c>
    </x:row>
    <x:row r="207" ht="18" customHeight="1">
      <x:c r="A207" s="31" t="inlineStr">
        <x:is>
          <x:t xml:space="preserve">СОСТ-00206</x:t>
        </x:is>
      </x:c>
      <x:c r="B207" s="31" t="inlineStr">
        <x:is>
          <x:t xml:space="preserve">ИЗД-016</x:t>
        </x:is>
      </x:c>
      <x:c r="C207" s="31" t="inlineStr">
        <x:is>
          <x:t xml:space="preserve">МАТ-0067</x:t>
        </x:is>
      </x:c>
      <x:c r="D207" s="31" t="inlineStr">
        <x:is>
          <x:t xml:space="preserve">Кабельный ввод М20</x:t>
        </x:is>
      </x:c>
      <x:c r="E207" s="31" t="inlineStr">
        <x:is>
          <x:t xml:space="preserve">Кабель</x:t>
        </x:is>
      </x:c>
      <x:c r="F207" s="31" t="n">
        <x:v>65.01000000000001</x:v>
      </x:c>
      <x:c r="G207" s="31" t="inlineStr">
        <x:is>
          <x:t xml:space="preserve">кг</x:t>
        </x:is>
      </x:c>
      <x:c r="H207" s="31" t="inlineStr">
        <x:is>
          <x:t xml:space="preserve">Обязательный</x:t>
        </x:is>
      </x:c>
      <x:c r="I207" s="31" t="inlineStr">
        <x:is>
          <x:t xml:space="preserve">ГЗ-КАБ-1</x:t>
        </x:is>
      </x:c>
      <x:c r="J207" s="31" t="inlineStr">
        <x:is>
          <x:t xml:space="preserve">Нет</x:t>
        </x:is>
      </x:c>
    </x:row>
    <x:row r="208" ht="18" customHeight="1">
      <x:c r="A208" s="31" t="inlineStr">
        <x:is>
          <x:t xml:space="preserve">СОСТ-00207</x:t>
        </x:is>
      </x:c>
      <x:c r="B208" s="31" t="inlineStr">
        <x:is>
          <x:t xml:space="preserve">ИЗД-016</x:t>
        </x:is>
      </x:c>
      <x:c r="C208" s="31" t="inlineStr">
        <x:is>
          <x:t xml:space="preserve">МАТ-0041</x:t>
        </x:is>
      </x:c>
      <x:c r="D208" s="31" t="inlineStr">
        <x:is>
          <x:t xml:space="preserve">модуль аналогового входа 4 канала / исп.2</x:t>
        </x:is>
      </x:c>
      <x:c r="E208" s="31" t="inlineStr">
        <x:is>
          <x:t xml:space="preserve">ПЛК/электрика</x:t>
        </x:is>
      </x:c>
      <x:c r="F208" s="31" t="n">
        <x:v>2.3</x:v>
      </x:c>
      <x:c r="G208" s="31" t="inlineStr">
        <x:is>
          <x:t xml:space="preserve">шт</x:t>
        </x:is>
      </x:c>
      <x:c r="H208" s="31" t="inlineStr">
        <x:is>
          <x:t xml:space="preserve">Обязательный</x:t>
        </x:is>
      </x:c>
      <x:c r="I208" s="31" t="inlineStr">
        <x:is>
          <x:t xml:space="preserve">ГЗ-ПЛК-4</x:t>
        </x:is>
      </x:c>
      <x:c r="J208" s="31" t="inlineStr">
        <x:is>
          <x:t xml:space="preserve">Нет</x:t>
        </x:is>
      </x:c>
    </x:row>
    <x:row r="209" ht="18" customHeight="1">
      <x:c r="A209" s="31" t="inlineStr">
        <x:is>
          <x:t xml:space="preserve">СОСТ-00208</x:t>
        </x:is>
      </x:c>
      <x:c r="B209" s="31" t="inlineStr">
        <x:is>
          <x:t xml:space="preserve">ИЗД-016</x:t>
        </x:is>
      </x:c>
      <x:c r="C209" s="31" t="inlineStr">
        <x:is>
          <x:t xml:space="preserve">МАТ-0068</x:t>
        </x:is>
      </x:c>
      <x:c r="D209" s="31" t="inlineStr">
        <x:is>
          <x:t xml:space="preserve">Грунт эпоксидный</x:t>
        </x:is>
      </x:c>
      <x:c r="E209" s="31" t="inlineStr">
        <x:is>
          <x:t xml:space="preserve">Покраска</x:t>
        </x:is>
      </x:c>
      <x:c r="F209" s="31" t="n">
        <x:v>3.4</x:v>
      </x:c>
      <x:c r="G209" s="31" t="inlineStr">
        <x:is>
          <x:t xml:space="preserve">л</x:t>
        </x:is>
      </x:c>
      <x:c r="H209" s="31" t="inlineStr">
        <x:is>
          <x:t xml:space="preserve">Обязательный</x:t>
        </x:is>
      </x:c>
      <x:c r="I209" s="31" t="inlineStr">
        <x:is>
          <x:t xml:space="preserve">ГЗ-ПОК-6</x:t>
        </x:is>
      </x:c>
      <x:c r="J209" s="31" t="inlineStr">
        <x:is>
          <x:t xml:space="preserve">Да</x:t>
        </x:is>
      </x:c>
    </x:row>
    <x:row r="210" ht="18" customHeight="1">
      <x:c r="A210" s="31" t="inlineStr">
        <x:is>
          <x:t xml:space="preserve">СОСТ-00209</x:t>
        </x:is>
      </x:c>
      <x:c r="B210" s="31" t="inlineStr">
        <x:is>
          <x:t xml:space="preserve">ИЗД-016</x:t>
        </x:is>
      </x:c>
      <x:c r="C210" s="31" t="inlineStr">
        <x:is>
          <x:t xml:space="preserve">МАТ-0073</x:t>
        </x:is>
      </x:c>
      <x:c r="D210" s="31" t="inlineStr">
        <x:is>
          <x:t xml:space="preserve">Растворитель / исп.2</x:t>
        </x:is>
      </x:c>
      <x:c r="E210" s="31" t="inlineStr">
        <x:is>
          <x:t xml:space="preserve">Покраска</x:t>
        </x:is>
      </x:c>
      <x:c r="F210" s="31" t="n">
        <x:v>55.96</x:v>
      </x:c>
      <x:c r="G210" s="31" t="inlineStr">
        <x:is>
          <x:t xml:space="preserve">л</x:t>
        </x:is>
      </x:c>
      <x:c r="H210" s="31" t="inlineStr">
        <x:is>
          <x:t xml:space="preserve">Обязательный</x:t>
        </x:is>
      </x:c>
      <x:c r="I210" s="31" t="inlineStr">
        <x:is>
          <x:t xml:space="preserve">ГЗ-ПОК-8</x:t>
        </x:is>
      </x:c>
      <x:c r="J210" s="31" t="inlineStr">
        <x:is>
          <x:t xml:space="preserve">Нет</x:t>
        </x:is>
      </x:c>
    </x:row>
    <x:row r="211" ht="18" customHeight="1">
      <x:c r="A211" s="31" t="inlineStr">
        <x:is>
          <x:t xml:space="preserve">СОСТ-00210</x:t>
        </x:is>
      </x:c>
      <x:c r="B211" s="31" t="inlineStr">
        <x:is>
          <x:t xml:space="preserve">ИЗД-016</x:t>
        </x:is>
      </x:c>
      <x:c r="C211" s="31" t="inlineStr">
        <x:is>
          <x:t xml:space="preserve">МАТ-0072</x:t>
        </x:is>
      </x:c>
      <x:c r="D211" s="31" t="inlineStr">
        <x:is>
          <x:t xml:space="preserve">Растворитель</x:t>
        </x:is>
      </x:c>
      <x:c r="E211" s="31" t="inlineStr">
        <x:is>
          <x:t xml:space="preserve">Покраска</x:t>
        </x:is>
      </x:c>
      <x:c r="F211" s="31" t="n">
        <x:v>25.62</x:v>
      </x:c>
      <x:c r="G211" s="31" t="inlineStr">
        <x:is>
          <x:t xml:space="preserve">л</x:t>
        </x:is>
      </x:c>
      <x:c r="H211" s="31" t="inlineStr">
        <x:is>
          <x:t xml:space="preserve">Обязательный</x:t>
        </x:is>
      </x:c>
      <x:c r="I211" s="31" t="inlineStr">
        <x:is>
          <x:t xml:space="preserve">ГЗ-ПОК-2</x:t>
        </x:is>
      </x:c>
      <x:c r="J211" s="31" t="inlineStr">
        <x:is>
          <x:t xml:space="preserve">Нет</x:t>
        </x:is>
      </x:c>
    </x:row>
    <x:row r="212" ht="18" customHeight="1">
      <x:c r="A212" s="31" t="inlineStr">
        <x:is>
          <x:t xml:space="preserve">СОСТ-00211</x:t>
        </x:is>
      </x:c>
      <x:c r="B212" s="31" t="inlineStr">
        <x:is>
          <x:t xml:space="preserve">ИЗД-016</x:t>
        </x:is>
      </x:c>
      <x:c r="C212" s="31" t="inlineStr">
        <x:is>
          <x:t xml:space="preserve">МАТ-0081</x:t>
        </x:is>
      </x:c>
      <x:c r="D212" s="31" t="inlineStr">
        <x:is>
          <x:t xml:space="preserve">Шайба 12</x:t>
        </x:is>
      </x:c>
      <x:c r="E212" s="31" t="inlineStr">
        <x:is>
          <x:t xml:space="preserve">Крепеж</x:t>
        </x:is>
      </x:c>
      <x:c r="F212" s="31" t="n">
        <x:v>6.63</x:v>
      </x:c>
      <x:c r="G212" s="31" t="inlineStr">
        <x:is>
          <x:t xml:space="preserve">шт</x:t>
        </x:is>
      </x:c>
      <x:c r="H212" s="31" t="inlineStr">
        <x:is>
          <x:t xml:space="preserve">Обязательный</x:t>
        </x:is>
      </x:c>
      <x:c r="I212" s="31" t="inlineStr">
        <x:is>
          <x:t xml:space="preserve">ГЗ-КРЕ-1</x:t>
        </x:is>
      </x:c>
      <x:c r="J212" s="31" t="inlineStr">
        <x:is>
          <x:t xml:space="preserve">Нет</x:t>
        </x:is>
      </x:c>
    </x:row>
    <x:row r="213" ht="18" customHeight="1">
      <x:c r="A213" s="31" t="inlineStr">
        <x:is>
          <x:t xml:space="preserve">СОСТ-00212</x:t>
        </x:is>
      </x:c>
      <x:c r="B213" s="31" t="inlineStr">
        <x:is>
          <x:t xml:space="preserve">ИЗД-016</x:t>
        </x:is>
      </x:c>
      <x:c r="C213" s="31" t="inlineStr">
        <x:is>
          <x:t xml:space="preserve">МАТ-0078</x:t>
        </x:is>
      </x:c>
      <x:c r="D213" s="31" t="inlineStr">
        <x:is>
          <x:t xml:space="preserve">Гайка М12</x:t>
        </x:is>
      </x:c>
      <x:c r="E213" s="31" t="inlineStr">
        <x:is>
          <x:t xml:space="preserve">Крепеж</x:t>
        </x:is>
      </x:c>
      <x:c r="F213" s="31" t="n">
        <x:v>1.78</x:v>
      </x:c>
      <x:c r="G213" s="31" t="inlineStr">
        <x:is>
          <x:t xml:space="preserve">шт</x:t>
        </x:is>
      </x:c>
      <x:c r="H213" s="31" t="inlineStr">
        <x:is>
          <x:t xml:space="preserve">Обязательный</x:t>
        </x:is>
      </x:c>
      <x:c r="I213" s="31" t="inlineStr">
        <x:is>
          <x:t xml:space="preserve">ГЗ-КРЕ-9</x:t>
        </x:is>
      </x:c>
      <x:c r="J213" s="31" t="inlineStr">
        <x:is>
          <x:t xml:space="preserve">Нет</x:t>
        </x:is>
      </x:c>
    </x:row>
    <x:row r="214" ht="18" customHeight="1">
      <x:c r="A214" s="31" t="inlineStr">
        <x:is>
          <x:t xml:space="preserve">СОСТ-00213</x:t>
        </x:is>
      </x:c>
      <x:c r="B214" s="31" t="inlineStr">
        <x:is>
          <x:t xml:space="preserve">ИЗД-016</x:t>
        </x:is>
      </x:c>
      <x:c r="C214" s="31" t="inlineStr">
        <x:is>
          <x:t xml:space="preserve">МАТ-0075</x:t>
        </x:is>
      </x:c>
      <x:c r="D214" s="31" t="inlineStr">
        <x:is>
          <x:t xml:space="preserve">Болт М12</x:t>
        </x:is>
      </x:c>
      <x:c r="E214" s="31" t="inlineStr">
        <x:is>
          <x:t xml:space="preserve">Крепеж</x:t>
        </x:is>
      </x:c>
      <x:c r="F214" s="31" t="n">
        <x:v>2.46</x:v>
      </x:c>
      <x:c r="G214" s="31" t="inlineStr">
        <x:is>
          <x:t xml:space="preserve">шт</x:t>
        </x:is>
      </x:c>
      <x:c r="H214" s="31" t="inlineStr">
        <x:is>
          <x:t xml:space="preserve">Обязательный</x:t>
        </x:is>
      </x:c>
      <x:c r="I214" s="31" t="inlineStr">
        <x:is>
          <x:t xml:space="preserve">ГЗ-КРЕ-6</x:t>
        </x:is>
      </x:c>
      <x:c r="J214" s="31" t="inlineStr">
        <x:is>
          <x:t xml:space="preserve">Нет</x:t>
        </x:is>
      </x:c>
    </x:row>
    <x:row r="215" ht="18" customHeight="1">
      <x:c r="A215" s="31" t="inlineStr">
        <x:is>
          <x:t xml:space="preserve">СОСТ-00214</x:t>
        </x:is>
      </x:c>
      <x:c r="B215" s="31" t="inlineStr">
        <x:is>
          <x:t xml:space="preserve">ИЗД-016</x:t>
        </x:is>
      </x:c>
      <x:c r="C215" s="31" t="inlineStr">
        <x:is>
          <x:t xml:space="preserve">МАТ-0089</x:t>
        </x:is>
      </x:c>
      <x:c r="D215" s="31" t="inlineStr">
        <x:is>
          <x:t xml:space="preserve">Маркировочная этикетка</x:t>
        </x:is>
      </x:c>
      <x:c r="E215" s="31" t="inlineStr">
        <x:is>
          <x:t xml:space="preserve">Упаковка</x:t>
        </x:is>
      </x:c>
      <x:c r="F215" s="31" t="n">
        <x:v>7.01</x:v>
      </x:c>
      <x:c r="G215" s="31" t="inlineStr">
        <x:is>
          <x:t xml:space="preserve">шт</x:t>
        </x:is>
      </x:c>
      <x:c r="H215" s="31" t="inlineStr">
        <x:is>
          <x:t xml:space="preserve">Обязательный</x:t>
        </x:is>
      </x:c>
      <x:c r="I215" s="31" t="inlineStr">
        <x:is>
          <x:t xml:space="preserve">ГЗ-УПА-7</x:t>
        </x:is>
      </x:c>
      <x:c r="J215" s="31" t="inlineStr">
        <x:is>
          <x:t xml:space="preserve">Нет</x:t>
        </x:is>
      </x:c>
    </x:row>
    <x:row r="216" ht="18" customHeight="1">
      <x:c r="A216" s="31" t="inlineStr">
        <x:is>
          <x:t xml:space="preserve">СОСТ-00215</x:t>
        </x:is>
      </x:c>
      <x:c r="B216" s="31" t="inlineStr">
        <x:is>
          <x:t xml:space="preserve">ИЗД-016</x:t>
        </x:is>
      </x:c>
      <x:c r="C216" s="31" t="inlineStr">
        <x:is>
          <x:t xml:space="preserve">МАТ-0087</x:t>
        </x:is>
      </x:c>
      <x:c r="D216" s="31" t="inlineStr">
        <x:is>
          <x:t xml:space="preserve">Ящик фанерный</x:t>
        </x:is>
      </x:c>
      <x:c r="E216" s="31" t="inlineStr">
        <x:is>
          <x:t xml:space="preserve">Упаковка</x:t>
        </x:is>
      </x:c>
      <x:c r="F216" s="31" t="n">
        <x:v>2.04</x:v>
      </x:c>
      <x:c r="G216" s="31" t="inlineStr">
        <x:is>
          <x:t xml:space="preserve">шт</x:t>
        </x:is>
      </x:c>
      <x:c r="H216" s="31" t="inlineStr">
        <x:is>
          <x:t xml:space="preserve">Обязательный</x:t>
        </x:is>
      </x:c>
      <x:c r="I216" s="31" t="inlineStr">
        <x:is>
          <x:t xml:space="preserve">ГЗ-УПА-6</x:t>
        </x:is>
      </x:c>
      <x:c r="J216" s="31" t="inlineStr">
        <x:is>
          <x:t xml:space="preserve">Нет</x:t>
        </x:is>
      </x:c>
    </x:row>
    <x:row r="217" ht="18" customHeight="1">
      <x:c r="A217" s="31" t="inlineStr">
        <x:is>
          <x:t xml:space="preserve">СОСТ-00216</x:t>
        </x:is>
      </x:c>
      <x:c r="B217" s="31" t="inlineStr">
        <x:is>
          <x:t xml:space="preserve">ИЗД-017</x:t>
        </x:is>
      </x:c>
      <x:c r="C217" s="31" t="inlineStr">
        <x:is>
          <x:t xml:space="preserve">МАТ-0012</x:t>
        </x:is>
      </x:c>
      <x:c r="D217" s="31" t="inlineStr">
        <x:is>
          <x:t xml:space="preserve">Фланец Ду80 Ру16</x:t>
        </x:is>
      </x:c>
      <x:c r="E217" s="31" t="inlineStr">
        <x:is>
          <x:t xml:space="preserve">Металл</x:t>
        </x:is>
      </x:c>
      <x:c r="F217" s="31" t="n">
        <x:v>77.18000000000001</x:v>
      </x:c>
      <x:c r="G217" s="31" t="inlineStr">
        <x:is>
          <x:t xml:space="preserve">л</x:t>
        </x:is>
      </x:c>
      <x:c r="H217" s="31" t="inlineStr">
        <x:is>
          <x:t xml:space="preserve">Обязательный</x:t>
        </x:is>
      </x:c>
      <x:c r="I217" s="31" t="inlineStr">
        <x:is>
          <x:t xml:space="preserve">ГЗ-МЕТ-9</x:t>
        </x:is>
      </x:c>
      <x:c r="J217" s="31" t="inlineStr">
        <x:is>
          <x:t xml:space="preserve">Нет</x:t>
        </x:is>
      </x:c>
    </x:row>
    <x:row r="218" ht="18" customHeight="1">
      <x:c r="A218" s="31" t="inlineStr">
        <x:is>
          <x:t xml:space="preserve">СОСТ-00217</x:t>
        </x:is>
      </x:c>
      <x:c r="B218" s="31" t="inlineStr">
        <x:is>
          <x:t xml:space="preserve">ИЗД-017</x:t>
        </x:is>
      </x:c>
      <x:c r="C218" s="31" t="inlineStr">
        <x:is>
          <x:t xml:space="preserve">МАТ-0018</x:t>
        </x:is>
      </x:c>
      <x:c r="D218" s="31" t="inlineStr">
        <x:is>
          <x:t xml:space="preserve">Насос шестеренный 7.5 кВт / исп.2</x:t>
        </x:is>
      </x:c>
      <x:c r="E218" s="31" t="inlineStr">
        <x:is>
          <x:t xml:space="preserve">Насосы</x:t>
        </x:is>
      </x:c>
      <x:c r="F218" s="31" t="n">
        <x:v>2.41</x:v>
      </x:c>
      <x:c r="G218" s="31" t="inlineStr">
        <x:is>
          <x:t xml:space="preserve">шт</x:t>
        </x:is>
      </x:c>
      <x:c r="H218" s="31" t="inlineStr">
        <x:is>
          <x:t xml:space="preserve">Обязательный</x:t>
        </x:is>
      </x:c>
      <x:c r="I218" s="31" t="inlineStr">
        <x:is>
          <x:t xml:space="preserve">ГЗ-НАС-1</x:t>
        </x:is>
      </x:c>
      <x:c r="J218" s="31" t="inlineStr">
        <x:is>
          <x:t xml:space="preserve">Нет</x:t>
        </x:is>
      </x:c>
    </x:row>
    <x:row r="219" ht="18" customHeight="1">
      <x:c r="A219" s="31" t="inlineStr">
        <x:is>
          <x:t xml:space="preserve">СОСТ-00218</x:t>
        </x:is>
      </x:c>
      <x:c r="B219" s="31" t="inlineStr">
        <x:is>
          <x:t xml:space="preserve">ИЗД-017</x:t>
        </x:is>
      </x:c>
      <x:c r="C219" s="31" t="inlineStr">
        <x:is>
          <x:t xml:space="preserve">МАТ-0015</x:t>
        </x:is>
      </x:c>
      <x:c r="D219" s="31" t="inlineStr">
        <x:is>
          <x:t xml:space="preserve">Насос центробежный 15 кВт</x:t>
        </x:is>
      </x:c>
      <x:c r="E219" s="31" t="inlineStr">
        <x:is>
          <x:t xml:space="preserve">Насосы</x:t>
        </x:is>
      </x:c>
      <x:c r="F219" s="31" t="n">
        <x:v>3.34</x:v>
      </x:c>
      <x:c r="G219" s="31" t="inlineStr">
        <x:is>
          <x:t xml:space="preserve">шт</x:t>
        </x:is>
      </x:c>
      <x:c r="H219" s="31" t="inlineStr">
        <x:is>
          <x:t xml:space="preserve">Обязательный</x:t>
        </x:is>
      </x:c>
      <x:c r="I219" s="31" t="inlineStr">
        <x:is>
          <x:t xml:space="preserve">ГЗ-НАС-2</x:t>
        </x:is>
      </x:c>
      <x:c r="J219" s="31" t="inlineStr">
        <x:is>
          <x:t xml:space="preserve">Нет</x:t>
        </x:is>
      </x:c>
    </x:row>
    <x:row r="220" ht="18" customHeight="1">
      <x:c r="A220" s="31" t="inlineStr">
        <x:is>
          <x:t xml:space="preserve">СОСТ-00219</x:t>
        </x:is>
      </x:c>
      <x:c r="B220" s="31" t="inlineStr">
        <x:is>
          <x:t xml:space="preserve">ИЗД-017</x:t>
        </x:is>
      </x:c>
      <x:c r="C220" s="31" t="inlineStr">
        <x:is>
          <x:t xml:space="preserve">МАТ-0021</x:t>
        </x:is>
      </x:c>
      <x:c r="D220" s="31" t="inlineStr">
        <x:is>
          <x:t xml:space="preserve">Торцевое уплотнение</x:t>
        </x:is>
      </x:c>
      <x:c r="E220" s="31" t="inlineStr">
        <x:is>
          <x:t xml:space="preserve">Насосы</x:t>
        </x:is>
      </x:c>
      <x:c r="F220" s="31" t="n">
        <x:v>7.86</x:v>
      </x:c>
      <x:c r="G220" s="31" t="inlineStr">
        <x:is>
          <x:t xml:space="preserve">шт</x:t>
        </x:is>
      </x:c>
      <x:c r="H220" s="31" t="inlineStr">
        <x:is>
          <x:t xml:space="preserve">Обязательный</x:t>
        </x:is>
      </x:c>
      <x:c r="I220" s="31" t="inlineStr">
        <x:is>
          <x:t xml:space="preserve">ГЗ-НАС-1</x:t>
        </x:is>
      </x:c>
      <x:c r="J220" s="31" t="inlineStr">
        <x:is>
          <x:t xml:space="preserve">Нет</x:t>
        </x:is>
      </x:c>
    </x:row>
    <x:row r="221" ht="18" customHeight="1">
      <x:c r="A221" s="31" t="inlineStr">
        <x:is>
          <x:t xml:space="preserve">СОСТ-00220</x:t>
        </x:is>
      </x:c>
      <x:c r="B221" s="31" t="inlineStr">
        <x:is>
          <x:t xml:space="preserve">ИЗД-017</x:t>
        </x:is>
      </x:c>
      <x:c r="C221" s="31" t="inlineStr">
        <x:is>
          <x:t xml:space="preserve">МАТ-0030</x:t>
        </x:is>
      </x:c>
      <x:c r="D221" s="31" t="inlineStr">
        <x:is>
          <x:t xml:space="preserve">Частотный преобразователь 22 кВт / исп.2</x:t>
        </x:is>
      </x:c>
      <x:c r="E221" s="31" t="inlineStr">
        <x:is>
          <x:t xml:space="preserve">Электродвигатели</x:t>
        </x:is>
      </x:c>
      <x:c r="F221" s="31" t="n">
        <x:v>4.88</x:v>
      </x:c>
      <x:c r="G221" s="31" t="inlineStr">
        <x:is>
          <x:t xml:space="preserve">шт</x:t>
        </x:is>
      </x:c>
      <x:c r="H221" s="31" t="inlineStr">
        <x:is>
          <x:t xml:space="preserve">Обязательный</x:t>
        </x:is>
      </x:c>
      <x:c r="I221" s="31" t="inlineStr">
        <x:is>
          <x:t xml:space="preserve">ГЗ-ЭЛЕ-1</x:t>
        </x:is>
      </x:c>
      <x:c r="J221" s="31" t="inlineStr">
        <x:is>
          <x:t xml:space="preserve">Нет</x:t>
        </x:is>
      </x:c>
    </x:row>
    <x:row r="222" ht="18" customHeight="1">
      <x:c r="A222" s="31" t="inlineStr">
        <x:is>
          <x:t xml:space="preserve">СОСТ-00221</x:t>
        </x:is>
      </x:c>
      <x:c r="B222" s="31" t="inlineStr">
        <x:is>
          <x:t xml:space="preserve">ИЗД-017</x:t>
        </x:is>
      </x:c>
      <x:c r="C222" s="31" t="inlineStr">
        <x:is>
          <x:t xml:space="preserve">МАТ-0028</x:t>
        </x:is>
      </x:c>
      <x:c r="D222" s="31" t="inlineStr">
        <x:is>
          <x:t xml:space="preserve">Частотный преобразователь 15 кВт</x:t>
        </x:is>
      </x:c>
      <x:c r="E222" s="31" t="inlineStr">
        <x:is>
          <x:t xml:space="preserve">Электродвигатели</x:t>
        </x:is>
      </x:c>
      <x:c r="F222" s="31" t="n">
        <x:v>4.59</x:v>
      </x:c>
      <x:c r="G222" s="31" t="inlineStr">
        <x:is>
          <x:t xml:space="preserve">шт</x:t>
        </x:is>
      </x:c>
      <x:c r="H222" s="31" t="inlineStr">
        <x:is>
          <x:t xml:space="preserve">Обязательный</x:t>
        </x:is>
      </x:c>
      <x:c r="I222" s="31" t="inlineStr">
        <x:is>
          <x:t xml:space="preserve">ГЗ-ЭЛЕ-3</x:t>
        </x:is>
      </x:c>
      <x:c r="J222" s="31" t="inlineStr">
        <x:is>
          <x:t xml:space="preserve">Нет</x:t>
        </x:is>
      </x:c>
    </x:row>
    <x:row r="223" ht="18" customHeight="1">
      <x:c r="A223" s="31" t="inlineStr">
        <x:is>
          <x:t xml:space="preserve">СОСТ-00222</x:t>
        </x:is>
      </x:c>
      <x:c r="B223" s="31" t="inlineStr">
        <x:is>
          <x:t xml:space="preserve">ИЗД-017</x:t>
        </x:is>
      </x:c>
      <x:c r="C223" s="31" t="inlineStr">
        <x:is>
          <x:t xml:space="preserve">МАТ-0028</x:t>
        </x:is>
      </x:c>
      <x:c r="D223" s="31" t="inlineStr">
        <x:is>
          <x:t xml:space="preserve">Частотный преобразователь 15 кВт</x:t>
        </x:is>
      </x:c>
      <x:c r="E223" s="31" t="inlineStr">
        <x:is>
          <x:t xml:space="preserve">Электродвигатели</x:t>
        </x:is>
      </x:c>
      <x:c r="F223" s="31" t="n">
        <x:v>2.62</x:v>
      </x:c>
      <x:c r="G223" s="31" t="inlineStr">
        <x:is>
          <x:t xml:space="preserve">шт</x:t>
        </x:is>
      </x:c>
      <x:c r="H223" s="31" t="inlineStr">
        <x:is>
          <x:t xml:space="preserve">Обязательный</x:t>
        </x:is>
      </x:c>
      <x:c r="I223" s="31" t="inlineStr">
        <x:is>
          <x:t xml:space="preserve">ГЗ-ЭЛЕ-3</x:t>
        </x:is>
      </x:c>
      <x:c r="J223" s="31" t="inlineStr">
        <x:is>
          <x:t xml:space="preserve">Да</x:t>
        </x:is>
      </x:c>
    </x:row>
    <x:row r="224" ht="18" customHeight="1">
      <x:c r="A224" s="31" t="inlineStr">
        <x:is>
          <x:t xml:space="preserve">СОСТ-00223</x:t>
        </x:is>
      </x:c>
      <x:c r="B224" s="31" t="inlineStr">
        <x:is>
          <x:t xml:space="preserve">ИЗД-017</x:t>
        </x:is>
      </x:c>
      <x:c r="C224" s="31" t="inlineStr">
        <x:is>
          <x:t xml:space="preserve">МАТ-0033</x:t>
        </x:is>
      </x:c>
      <x:c r="D224" s="31" t="inlineStr">
        <x:is>
          <x:t xml:space="preserve">Расходомер электромагнитный Ду50</x:t>
        </x:is>
      </x:c>
      <x:c r="E224" s="31" t="inlineStr">
        <x:is>
          <x:t xml:space="preserve">КИПиА</x:t>
        </x:is>
      </x:c>
      <x:c r="F224" s="31" t="n">
        <x:v>4.87</x:v>
      </x:c>
      <x:c r="G224" s="31" t="inlineStr">
        <x:is>
          <x:t xml:space="preserve">шт</x:t>
        </x:is>
      </x:c>
      <x:c r="H224" s="31" t="inlineStr">
        <x:is>
          <x:t xml:space="preserve">Обязательный</x:t>
        </x:is>
      </x:c>
      <x:c r="I224" s="31" t="inlineStr">
        <x:is>
          <x:t xml:space="preserve">ГЗ-КИП-6</x:t>
        </x:is>
      </x:c>
      <x:c r="J224" s="31" t="inlineStr">
        <x:is>
          <x:t xml:space="preserve">Нет</x:t>
        </x:is>
      </x:c>
    </x:row>
    <x:row r="225" ht="18" customHeight="1">
      <x:c r="A225" s="31" t="inlineStr">
        <x:is>
          <x:t xml:space="preserve">СОСТ-00224</x:t>
        </x:is>
      </x:c>
      <x:c r="B225" s="31" t="inlineStr">
        <x:is>
          <x:t xml:space="preserve">ИЗД-017</x:t>
        </x:is>
      </x:c>
      <x:c r="C225" s="31" t="inlineStr">
        <x:is>
          <x:t xml:space="preserve">МАТ-0034</x:t>
        </x:is>
      </x:c>
      <x:c r="D225" s="31" t="inlineStr">
        <x:is>
          <x:t xml:space="preserve">Манометр виброустойчивый</x:t>
        </x:is>
      </x:c>
      <x:c r="E225" s="31" t="inlineStr">
        <x:is>
          <x:t xml:space="preserve">КИПиА</x:t>
        </x:is>
      </x:c>
      <x:c r="F225" s="31" t="n">
        <x:v>1.82</x:v>
      </x:c>
      <x:c r="G225" s="31" t="inlineStr">
        <x:is>
          <x:t xml:space="preserve">шт</x:t>
        </x:is>
      </x:c>
      <x:c r="H225" s="31" t="inlineStr">
        <x:is>
          <x:t xml:space="preserve">Обязательный</x:t>
        </x:is>
      </x:c>
      <x:c r="I225" s="31" t="inlineStr">
        <x:is>
          <x:t xml:space="preserve">ГЗ-КИП-3</x:t>
        </x:is>
      </x:c>
      <x:c r="J225" s="31" t="inlineStr">
        <x:is>
          <x:t xml:space="preserve">Нет</x:t>
        </x:is>
      </x:c>
    </x:row>
    <x:row r="226" ht="18" customHeight="1">
      <x:c r="A226" s="31" t="inlineStr">
        <x:is>
          <x:t xml:space="preserve">СОСТ-00225</x:t>
        </x:is>
      </x:c>
      <x:c r="B226" s="31" t="inlineStr">
        <x:is>
          <x:t xml:space="preserve">ИЗД-017</x:t>
        </x:is>
      </x:c>
      <x:c r="C226" s="31" t="inlineStr">
        <x:is>
          <x:t xml:space="preserve">МАТ-0034</x:t>
        </x:is>
      </x:c>
      <x:c r="D226" s="31" t="inlineStr">
        <x:is>
          <x:t xml:space="preserve">Манометр виброустойчивый</x:t>
        </x:is>
      </x:c>
      <x:c r="E226" s="31" t="inlineStr">
        <x:is>
          <x:t xml:space="preserve">КИПиА</x:t>
        </x:is>
      </x:c>
      <x:c r="F226" s="31" t="n">
        <x:v>5.88</x:v>
      </x:c>
      <x:c r="G226" s="31" t="inlineStr">
        <x:is>
          <x:t xml:space="preserve">шт</x:t>
        </x:is>
      </x:c>
      <x:c r="H226" s="31" t="inlineStr">
        <x:is>
          <x:t xml:space="preserve">Обязательный</x:t>
        </x:is>
      </x:c>
      <x:c r="I226" s="31" t="inlineStr">
        <x:is>
          <x:t xml:space="preserve">ГЗ-КИП-3</x:t>
        </x:is>
      </x:c>
      <x:c r="J226" s="31" t="inlineStr">
        <x:is>
          <x:t xml:space="preserve">Нет</x:t>
        </x:is>
      </x:c>
    </x:row>
    <x:row r="227" ht="18" customHeight="1">
      <x:c r="A227" s="31" t="inlineStr">
        <x:is>
          <x:t xml:space="preserve">СОСТ-00226</x:t>
        </x:is>
      </x:c>
      <x:c r="B227" s="31" t="inlineStr">
        <x:is>
          <x:t xml:space="preserve">ИЗД-017</x:t>
        </x:is>
      </x:c>
      <x:c r="C227" s="31" t="inlineStr">
        <x:is>
          <x:t xml:space="preserve">МАТ-0058</x:t>
        </x:is>
      </x:c>
      <x:c r="D227" s="31" t="inlineStr">
        <x:is>
          <x:t xml:space="preserve">Задвижка Ду100 / исп.3</x:t>
        </x:is>
      </x:c>
      <x:c r="E227" s="31" t="inlineStr">
        <x:is>
          <x:t xml:space="preserve">Запорная арматура</x:t>
        </x:is>
      </x:c>
      <x:c r="F227" s="31" t="n">
        <x:v>3.41</x:v>
      </x:c>
      <x:c r="G227" s="31" t="inlineStr">
        <x:is>
          <x:t xml:space="preserve">шт</x:t>
        </x:is>
      </x:c>
      <x:c r="H227" s="31" t="inlineStr">
        <x:is>
          <x:t xml:space="preserve">Обязательный</x:t>
        </x:is>
      </x:c>
      <x:c r="I227" s="31" t="inlineStr">
        <x:is>
          <x:t xml:space="preserve">ГЗ-ЗАП-2</x:t>
        </x:is>
      </x:c>
      <x:c r="J227" s="31" t="inlineStr">
        <x:is>
          <x:t xml:space="preserve">Нет</x:t>
        </x:is>
      </x:c>
    </x:row>
    <x:row r="228" ht="18" customHeight="1">
      <x:c r="A228" s="31" t="inlineStr">
        <x:is>
          <x:t xml:space="preserve">СОСТ-00227</x:t>
        </x:is>
      </x:c>
      <x:c r="B228" s="31" t="inlineStr">
        <x:is>
          <x:t xml:space="preserve">ИЗД-017</x:t>
        </x:is>
      </x:c>
      <x:c r="C228" s="31" t="inlineStr">
        <x:is>
          <x:t xml:space="preserve">МАТ-0064</x:t>
        </x:is>
      </x:c>
      <x:c r="D228" s="31" t="inlineStr">
        <x:is>
          <x:t xml:space="preserve">Кабель ВВГнг 3×2.5 / исп.2</x:t>
        </x:is>
      </x:c>
      <x:c r="E228" s="31" t="inlineStr">
        <x:is>
          <x:t xml:space="preserve">Кабель</x:t>
        </x:is>
      </x:c>
      <x:c r="F228" s="31" t="n">
        <x:v>7.45</x:v>
      </x:c>
      <x:c r="G228" s="31" t="inlineStr">
        <x:is>
          <x:t xml:space="preserve">шт</x:t>
        </x:is>
      </x:c>
      <x:c r="H228" s="31" t="inlineStr">
        <x:is>
          <x:t xml:space="preserve">Обязательный</x:t>
        </x:is>
      </x:c>
      <x:c r="I228" s="31" t="inlineStr">
        <x:is>
          <x:t xml:space="preserve">ГЗ-КАБ-7</x:t>
        </x:is>
      </x:c>
      <x:c r="J228" s="31" t="inlineStr">
        <x:is>
          <x:t xml:space="preserve">Нет</x:t>
        </x:is>
      </x:c>
    </x:row>
    <x:row r="229" ht="18" customHeight="1">
      <x:c r="A229" s="31" t="inlineStr">
        <x:is>
          <x:t xml:space="preserve">СОСТ-00228</x:t>
        </x:is>
      </x:c>
      <x:c r="B229" s="31" t="inlineStr">
        <x:is>
          <x:t xml:space="preserve">ИЗД-017</x:t>
        </x:is>
      </x:c>
      <x:c r="C229" s="31" t="inlineStr">
        <x:is>
          <x:t xml:space="preserve">МАТ-0065</x:t>
        </x:is>
      </x:c>
      <x:c r="D229" s="31" t="inlineStr">
        <x:is>
          <x:t xml:space="preserve">Гофра металлическая</x:t>
        </x:is>
      </x:c>
      <x:c r="E229" s="31" t="inlineStr">
        <x:is>
          <x:t xml:space="preserve">Кабель</x:t>
        </x:is>
      </x:c>
      <x:c r="F229" s="31" t="n">
        <x:v>1.92</x:v>
      </x:c>
      <x:c r="G229" s="31" t="inlineStr">
        <x:is>
          <x:t xml:space="preserve">шт</x:t>
        </x:is>
      </x:c>
      <x:c r="H229" s="31" t="inlineStr">
        <x:is>
          <x:t xml:space="preserve">Обязательный</x:t>
        </x:is>
      </x:c>
      <x:c r="I229" s="31" t="inlineStr">
        <x:is>
          <x:t xml:space="preserve">ГЗ-КАБ-2</x:t>
        </x:is>
      </x:c>
      <x:c r="J229" s="31" t="inlineStr">
        <x:is>
          <x:t xml:space="preserve">Нет</x:t>
        </x:is>
      </x:c>
    </x:row>
    <x:row r="230" ht="18" customHeight="1">
      <x:c r="A230" s="31" t="inlineStr">
        <x:is>
          <x:t xml:space="preserve">СОСТ-00229</x:t>
        </x:is>
      </x:c>
      <x:c r="B230" s="31" t="inlineStr">
        <x:is>
          <x:t xml:space="preserve">ИЗД-017</x:t>
        </x:is>
      </x:c>
      <x:c r="C230" s="31" t="inlineStr">
        <x:is>
          <x:t xml:space="preserve">МАТ-0065</x:t>
        </x:is>
      </x:c>
      <x:c r="D230" s="31" t="inlineStr">
        <x:is>
          <x:t xml:space="preserve">Гофра металлическая</x:t>
        </x:is>
      </x:c>
      <x:c r="E230" s="31" t="inlineStr">
        <x:is>
          <x:t xml:space="preserve">Кабель</x:t>
        </x:is>
      </x:c>
      <x:c r="F230" s="31" t="n">
        <x:v>6.83</x:v>
      </x:c>
      <x:c r="G230" s="31" t="inlineStr">
        <x:is>
          <x:t xml:space="preserve">шт</x:t>
        </x:is>
      </x:c>
      <x:c r="H230" s="31" t="inlineStr">
        <x:is>
          <x:t xml:space="preserve">Обязательный</x:t>
        </x:is>
      </x:c>
      <x:c r="I230" s="31" t="inlineStr">
        <x:is>
          <x:t xml:space="preserve">ГЗ-КАБ-2</x:t>
        </x:is>
      </x:c>
      <x:c r="J230" s="31" t="inlineStr">
        <x:is>
          <x:t xml:space="preserve">Нет</x:t>
        </x:is>
      </x:c>
    </x:row>
    <x:row r="231" ht="18" customHeight="1">
      <x:c r="A231" s="31" t="inlineStr">
        <x:is>
          <x:t xml:space="preserve">СОСТ-00230</x:t>
        </x:is>
      </x:c>
      <x:c r="B231" s="31" t="inlineStr">
        <x:is>
          <x:t xml:space="preserve">ИЗД-017</x:t>
        </x:is>
      </x:c>
      <x:c r="C231" s="31" t="inlineStr">
        <x:is>
          <x:t xml:space="preserve">МАТ-0050</x:t>
        </x:is>
      </x:c>
      <x:c r="D231" s="31" t="inlineStr">
        <x:is>
          <x:t xml:space="preserve">панель оператора 7"</x:t>
        </x:is>
      </x:c>
      <x:c r="E231" s="31" t="inlineStr">
        <x:is>
          <x:t xml:space="preserve">ПЛК/электрика</x:t>
        </x:is>
      </x:c>
      <x:c r="F231" s="31" t="n">
        <x:v>7.8</x:v>
      </x:c>
      <x:c r="G231" s="31" t="inlineStr">
        <x:is>
          <x:t xml:space="preserve">шт</x:t>
        </x:is>
      </x:c>
      <x:c r="H231" s="31" t="inlineStr">
        <x:is>
          <x:t xml:space="preserve">Обязательный</x:t>
        </x:is>
      </x:c>
      <x:c r="I231" s="31" t="inlineStr">
        <x:is>
          <x:t xml:space="preserve">ГЗ-ПЛК-8</x:t>
        </x:is>
      </x:c>
      <x:c r="J231" s="31" t="inlineStr">
        <x:is>
          <x:t xml:space="preserve">Нет</x:t>
        </x:is>
      </x:c>
    </x:row>
    <x:row r="232" ht="18" customHeight="1">
      <x:c r="A232" s="31" t="inlineStr">
        <x:is>
          <x:t xml:space="preserve">СОСТ-00231</x:t>
        </x:is>
      </x:c>
      <x:c r="B232" s="31" t="inlineStr">
        <x:is>
          <x:t xml:space="preserve">ИЗД-017</x:t>
        </x:is>
      </x:c>
      <x:c r="C232" s="31" t="inlineStr">
        <x:is>
          <x:t xml:space="preserve">МАТ-0049</x:t>
        </x:is>
      </x:c>
      <x:c r="D232" s="31" t="inlineStr">
        <x:is>
          <x:t xml:space="preserve">Рейковая клемма</x:t>
        </x:is>
      </x:c>
      <x:c r="E232" s="31" t="inlineStr">
        <x:is>
          <x:t xml:space="preserve">ПЛК/электрика</x:t>
        </x:is>
      </x:c>
      <x:c r="F232" s="31" t="n">
        <x:v>6.24</x:v>
      </x:c>
      <x:c r="G232" s="31" t="inlineStr">
        <x:is>
          <x:t xml:space="preserve">шт</x:t>
        </x:is>
      </x:c>
      <x:c r="H232" s="31" t="inlineStr">
        <x:is>
          <x:t xml:space="preserve">Обязательный</x:t>
        </x:is>
      </x:c>
      <x:c r="I232" s="31" t="inlineStr">
        <x:is>
          <x:t xml:space="preserve">ГЗ-ПЛК-1</x:t>
        </x:is>
      </x:c>
      <x:c r="J232" s="31" t="inlineStr">
        <x:is>
          <x:t xml:space="preserve">Нет</x:t>
        </x:is>
      </x:c>
    </x:row>
    <x:row r="233" ht="18" customHeight="1">
      <x:c r="A233" s="31" t="inlineStr">
        <x:is>
          <x:t xml:space="preserve">СОСТ-00232</x:t>
        </x:is>
      </x:c>
      <x:c r="B233" s="31" t="inlineStr">
        <x:is>
          <x:t xml:space="preserve">ИЗД-017</x:t>
        </x:is>
      </x:c>
      <x:c r="C233" s="31" t="inlineStr">
        <x:is>
          <x:t xml:space="preserve">МАТ-0069</x:t>
        </x:is>
      </x:c>
      <x:c r="D233" s="31" t="inlineStr">
        <x:is>
          <x:t xml:space="preserve">Эмаль полиуретановая</x:t>
        </x:is>
      </x:c>
      <x:c r="E233" s="31" t="inlineStr">
        <x:is>
          <x:t xml:space="preserve">Покраска</x:t>
        </x:is>
      </x:c>
      <x:c r="F233" s="31" t="n">
        <x:v>9.869999999999999</x:v>
      </x:c>
      <x:c r="G233" s="31" t="inlineStr">
        <x:is>
          <x:t xml:space="preserve">л</x:t>
        </x:is>
      </x:c>
      <x:c r="H233" s="31" t="inlineStr">
        <x:is>
          <x:t xml:space="preserve">Обязательный</x:t>
        </x:is>
      </x:c>
      <x:c r="I233" s="31" t="inlineStr">
        <x:is>
          <x:t xml:space="preserve">ГЗ-ПОК-1</x:t>
        </x:is>
      </x:c>
      <x:c r="J233" s="31" t="inlineStr">
        <x:is>
          <x:t xml:space="preserve">Нет</x:t>
        </x:is>
      </x:c>
    </x:row>
    <x:row r="234" ht="18" customHeight="1">
      <x:c r="A234" s="31" t="inlineStr">
        <x:is>
          <x:t xml:space="preserve">СОСТ-00233</x:t>
        </x:is>
      </x:c>
      <x:c r="B234" s="31" t="inlineStr">
        <x:is>
          <x:t xml:space="preserve">ИЗД-017</x:t>
        </x:is>
      </x:c>
      <x:c r="C234" s="31" t="inlineStr">
        <x:is>
          <x:t xml:space="preserve">МАТ-0078</x:t>
        </x:is>
      </x:c>
      <x:c r="D234" s="31" t="inlineStr">
        <x:is>
          <x:t xml:space="preserve">Гайка М12</x:t>
        </x:is>
      </x:c>
      <x:c r="E234" s="31" t="inlineStr">
        <x:is>
          <x:t xml:space="preserve">Крепеж</x:t>
        </x:is>
      </x:c>
      <x:c r="F234" s="31" t="n">
        <x:v>2.47</x:v>
      </x:c>
      <x:c r="G234" s="31" t="inlineStr">
        <x:is>
          <x:t xml:space="preserve">шт</x:t>
        </x:is>
      </x:c>
      <x:c r="H234" s="31" t="inlineStr">
        <x:is>
          <x:t xml:space="preserve">Обязательный</x:t>
        </x:is>
      </x:c>
      <x:c r="I234" s="31" t="inlineStr">
        <x:is>
          <x:t xml:space="preserve">ГЗ-КРЕ-9</x:t>
        </x:is>
      </x:c>
      <x:c r="J234" s="31" t="inlineStr">
        <x:is>
          <x:t xml:space="preserve">Да</x:t>
        </x:is>
      </x:c>
    </x:row>
    <x:row r="235" ht="18" customHeight="1">
      <x:c r="A235" s="31" t="inlineStr">
        <x:is>
          <x:t xml:space="preserve">СОСТ-00234</x:t>
        </x:is>
      </x:c>
      <x:c r="B235" s="31" t="inlineStr">
        <x:is>
          <x:t xml:space="preserve">ИЗД-017</x:t>
        </x:is>
      </x:c>
      <x:c r="C235" s="31" t="inlineStr">
        <x:is>
          <x:t xml:space="preserve">МАТ-0079</x:t>
        </x:is>
      </x:c>
      <x:c r="D235" s="31" t="inlineStr">
        <x:is>
          <x:t xml:space="preserve">Гайка М12 / исп.2</x:t>
        </x:is>
      </x:c>
      <x:c r="E235" s="31" t="inlineStr">
        <x:is>
          <x:t xml:space="preserve">Крепеж</x:t>
        </x:is>
      </x:c>
      <x:c r="F235" s="31" t="n">
        <x:v>3.5</x:v>
      </x:c>
      <x:c r="G235" s="31" t="inlineStr">
        <x:is>
          <x:t xml:space="preserve">шт</x:t>
        </x:is>
      </x:c>
      <x:c r="H235" s="31" t="inlineStr">
        <x:is>
          <x:t xml:space="preserve">Обязательный</x:t>
        </x:is>
      </x:c>
      <x:c r="I235" s="31" t="inlineStr">
        <x:is>
          <x:t xml:space="preserve">ГЗ-КРЕ-9</x:t>
        </x:is>
      </x:c>
      <x:c r="J235" s="31" t="inlineStr">
        <x:is>
          <x:t xml:space="preserve">Нет</x:t>
        </x:is>
      </x:c>
    </x:row>
    <x:row r="236" ht="18" customHeight="1">
      <x:c r="A236" s="31" t="inlineStr">
        <x:is>
          <x:t xml:space="preserve">СОСТ-00235</x:t>
        </x:is>
      </x:c>
      <x:c r="B236" s="31" t="inlineStr">
        <x:is>
          <x:t xml:space="preserve">ИЗД-017</x:t>
        </x:is>
      </x:c>
      <x:c r="C236" s="31" t="inlineStr">
        <x:is>
          <x:t xml:space="preserve">МАТ-0084</x:t>
        </x:is>
      </x:c>
      <x:c r="D236" s="31" t="inlineStr">
        <x:is>
          <x:t xml:space="preserve">Поддон 1200×800</x:t>
        </x:is>
      </x:c>
      <x:c r="E236" s="31" t="inlineStr">
        <x:is>
          <x:t xml:space="preserve">Упаковка</x:t>
        </x:is>
      </x:c>
      <x:c r="F236" s="31" t="n">
        <x:v>6.65</x:v>
      </x:c>
      <x:c r="G236" s="31" t="inlineStr">
        <x:is>
          <x:t xml:space="preserve">шт</x:t>
        </x:is>
      </x:c>
      <x:c r="H236" s="31" t="inlineStr">
        <x:is>
          <x:t xml:space="preserve">Обязательный</x:t>
        </x:is>
      </x:c>
      <x:c r="I236" s="31" t="inlineStr">
        <x:is>
          <x:t xml:space="preserve">ГЗ-УПА-3</x:t>
        </x:is>
      </x:c>
      <x:c r="J236" s="31" t="inlineStr">
        <x:is>
          <x:t xml:space="preserve">Нет</x:t>
        </x:is>
      </x:c>
    </x:row>
    <x:row r="237" ht="18" customHeight="1">
      <x:c r="A237" s="31" t="inlineStr">
        <x:is>
          <x:t xml:space="preserve">СОСТ-00236</x:t>
        </x:is>
      </x:c>
      <x:c r="B237" s="31" t="inlineStr">
        <x:is>
          <x:t xml:space="preserve">ИЗД-017</x:t>
        </x:is>
      </x:c>
      <x:c r="C237" s="31" t="inlineStr">
        <x:is>
          <x:t xml:space="preserve">МАТ-0085</x:t>
        </x:is>
      </x:c>
      <x:c r="D237" s="31" t="inlineStr">
        <x:is>
          <x:t xml:space="preserve">Пленка стрейч</x:t>
        </x:is>
      </x:c>
      <x:c r="E237" s="31" t="inlineStr">
        <x:is>
          <x:t xml:space="preserve">Упаковка</x:t>
        </x:is>
      </x:c>
      <x:c r="F237" s="31" t="n">
        <x:v>1.84</x:v>
      </x:c>
      <x:c r="G237" s="31" t="inlineStr">
        <x:is>
          <x:t xml:space="preserve">шт</x:t>
        </x:is>
      </x:c>
      <x:c r="H237" s="31" t="inlineStr">
        <x:is>
          <x:t xml:space="preserve">Обязательный</x:t>
        </x:is>
      </x:c>
      <x:c r="I237" s="31" t="inlineStr">
        <x:is>
          <x:t xml:space="preserve">ГЗ-УПА-5</x:t>
        </x:is>
      </x:c>
      <x:c r="J237" s="31" t="inlineStr">
        <x:is>
          <x:t xml:space="preserve">Нет</x:t>
        </x:is>
      </x:c>
    </x:row>
    <x:row r="238" ht="18" customHeight="1">
      <x:c r="A238" s="31" t="inlineStr">
        <x:is>
          <x:t xml:space="preserve">СОСТ-00237</x:t>
        </x:is>
      </x:c>
      <x:c r="B238" s="31" t="inlineStr">
        <x:is>
          <x:t xml:space="preserve">ИЗД-017</x:t>
        </x:is>
      </x:c>
      <x:c r="C238" s="31" t="inlineStr">
        <x:is>
          <x:t xml:space="preserve">МАТ-0086</x:t>
        </x:is>
      </x:c>
      <x:c r="D238" s="31" t="inlineStr">
        <x:is>
          <x:t xml:space="preserve">Пленка стрейч / исп.2</x:t>
        </x:is>
      </x:c>
      <x:c r="E238" s="31" t="inlineStr">
        <x:is>
          <x:t xml:space="preserve">Упаковка</x:t>
        </x:is>
      </x:c>
      <x:c r="F238" s="31" t="n">
        <x:v>6.49</x:v>
      </x:c>
      <x:c r="G238" s="31" t="inlineStr">
        <x:is>
          <x:t xml:space="preserve">шт</x:t>
        </x:is>
      </x:c>
      <x:c r="H238" s="31" t="inlineStr">
        <x:is>
          <x:t xml:space="preserve">Обязательный</x:t>
        </x:is>
      </x:c>
      <x:c r="I238" s="31" t="inlineStr">
        <x:is>
          <x:t xml:space="preserve">ГЗ-УПА-4</x:t>
        </x:is>
      </x:c>
      <x:c r="J238" s="31" t="inlineStr">
        <x:is>
          <x:t xml:space="preserve">Нет</x:t>
        </x:is>
      </x:c>
    </x:row>
    <x:row r="239" ht="18" customHeight="1">
      <x:c r="A239" s="31" t="inlineStr">
        <x:is>
          <x:t xml:space="preserve">СОСТ-00238</x:t>
        </x:is>
      </x:c>
      <x:c r="B239" s="31" t="inlineStr">
        <x:is>
          <x:t xml:space="preserve">ИЗД-018</x:t>
        </x:is>
      </x:c>
      <x:c r="C239" s="31" t="inlineStr">
        <x:is>
          <x:t xml:space="preserve">МАТ-0042</x:t>
        </x:is>
      </x:c>
      <x:c r="D239" s="31" t="inlineStr">
        <x:is>
          <x:t xml:space="preserve">модуль аналогового входа 4 канала / исп.3</x:t>
        </x:is>
      </x:c>
      <x:c r="E239" s="31" t="inlineStr">
        <x:is>
          <x:t xml:space="preserve">ПЛК/электрика</x:t>
        </x:is>
      </x:c>
      <x:c r="F239" s="31" t="n">
        <x:v>7.27</x:v>
      </x:c>
      <x:c r="G239" s="31" t="inlineStr">
        <x:is>
          <x:t xml:space="preserve">шт</x:t>
        </x:is>
      </x:c>
      <x:c r="H239" s="31" t="inlineStr">
        <x:is>
          <x:t xml:space="preserve">Обязательный</x:t>
        </x:is>
      </x:c>
      <x:c r="I239" s="31" t="inlineStr">
        <x:is>
          <x:t xml:space="preserve">ГЗ-ПЛК-7</x:t>
        </x:is>
      </x:c>
      <x:c r="J239" s="31" t="inlineStr">
        <x:is>
          <x:t xml:space="preserve">Нет</x:t>
        </x:is>
      </x:c>
    </x:row>
    <x:row r="240" ht="18" customHeight="1">
      <x:c r="A240" s="31" t="inlineStr">
        <x:is>
          <x:t xml:space="preserve">СОСТ-00239</x:t>
        </x:is>
      </x:c>
      <x:c r="B240" s="31" t="inlineStr">
        <x:is>
          <x:t xml:space="preserve">ИЗД-018</x:t>
        </x:is>
      </x:c>
      <x:c r="C240" s="31" t="inlineStr">
        <x:is>
          <x:t xml:space="preserve">МАТ-0047</x:t>
        </x:is>
      </x:c>
      <x:c r="D240" s="31" t="inlineStr">
        <x:is>
          <x:t xml:space="preserve">Контактор 25А / исп.2</x:t>
        </x:is>
      </x:c>
      <x:c r="E240" s="31" t="inlineStr">
        <x:is>
          <x:t xml:space="preserve">ПЛК/электрика</x:t>
        </x:is>
      </x:c>
      <x:c r="F240" s="31" t="n">
        <x:v>5.69</x:v>
      </x:c>
      <x:c r="G240" s="31" t="inlineStr">
        <x:is>
          <x:t xml:space="preserve">шт</x:t>
        </x:is>
      </x:c>
      <x:c r="H240" s="31" t="inlineStr">
        <x:is>
          <x:t xml:space="preserve">Обязательный</x:t>
        </x:is>
      </x:c>
      <x:c r="I240" s="31" t="inlineStr">
        <x:is>
          <x:t xml:space="preserve">ГЗ-ПЛК-7</x:t>
        </x:is>
      </x:c>
      <x:c r="J240" s="31" t="inlineStr">
        <x:is>
          <x:t xml:space="preserve">Нет</x:t>
        </x:is>
      </x:c>
    </x:row>
    <x:row r="241" ht="18" customHeight="1">
      <x:c r="A241" s="31" t="inlineStr">
        <x:is>
          <x:t xml:space="preserve">СОСТ-00240</x:t>
        </x:is>
      </x:c>
      <x:c r="B241" s="31" t="inlineStr">
        <x:is>
          <x:t xml:space="preserve">ИЗД-018</x:t>
        </x:is>
      </x:c>
      <x:c r="C241" s="31" t="inlineStr">
        <x:is>
          <x:t xml:space="preserve">МАТ-0045</x:t>
        </x:is>
      </x:c>
      <x:c r="D241" s="31" t="inlineStr">
        <x:is>
          <x:t xml:space="preserve">Автоматический выключатель 16А</x:t>
        </x:is>
      </x:c>
      <x:c r="E241" s="31" t="inlineStr">
        <x:is>
          <x:t xml:space="preserve">ПЛК/электрика</x:t>
        </x:is>
      </x:c>
      <x:c r="F241" s="31" t="n">
        <x:v>6.59</x:v>
      </x:c>
      <x:c r="G241" s="31" t="inlineStr">
        <x:is>
          <x:t xml:space="preserve">шт</x:t>
        </x:is>
      </x:c>
      <x:c r="H241" s="31" t="inlineStr">
        <x:is>
          <x:t xml:space="preserve">Опция</x:t>
        </x:is>
      </x:c>
      <x:c r="I241" s="31" t="inlineStr">
        <x:is>
          <x:t xml:space="preserve">ГЗ-ПЛК-2</x:t>
        </x:is>
      </x:c>
      <x:c r="J241" s="31" t="inlineStr">
        <x:is>
          <x:t xml:space="preserve">Нет</x:t>
        </x:is>
      </x:c>
    </x:row>
    <x:row r="242" ht="18" customHeight="1">
      <x:c r="A242" s="31" t="inlineStr">
        <x:is>
          <x:t xml:space="preserve">СОСТ-00241</x:t>
        </x:is>
      </x:c>
      <x:c r="B242" s="31" t="inlineStr">
        <x:is>
          <x:t xml:space="preserve">ИЗД-018</x:t>
        </x:is>
      </x:c>
      <x:c r="C242" s="31" t="inlineStr">
        <x:is>
          <x:t xml:space="preserve">МАТ-0066</x:t>
        </x:is>
      </x:c>
      <x:c r="D242" s="31" t="inlineStr">
        <x:is>
          <x:t xml:space="preserve">Гофра металлическая / исп.2</x:t>
        </x:is>
      </x:c>
      <x:c r="E242" s="31" t="inlineStr">
        <x:is>
          <x:t xml:space="preserve">Кабель</x:t>
        </x:is>
      </x:c>
      <x:c r="F242" s="31" t="n">
        <x:v>68.95</x:v>
      </x:c>
      <x:c r="G242" s="31" t="inlineStr">
        <x:is>
          <x:t xml:space="preserve">кг</x:t>
        </x:is>
      </x:c>
      <x:c r="H242" s="31" t="inlineStr">
        <x:is>
          <x:t xml:space="preserve">Обязательный</x:t>
        </x:is>
      </x:c>
      <x:c r="I242" s="31" t="inlineStr">
        <x:is>
          <x:t xml:space="preserve">ГЗ-КАБ-8</x:t>
        </x:is>
      </x:c>
      <x:c r="J242" s="31" t="inlineStr">
        <x:is>
          <x:t xml:space="preserve">Нет</x:t>
        </x:is>
      </x:c>
    </x:row>
    <x:row r="243" ht="18" customHeight="1">
      <x:c r="A243" s="31" t="inlineStr">
        <x:is>
          <x:t xml:space="preserve">СОСТ-00242</x:t>
        </x:is>
      </x:c>
      <x:c r="B243" s="31" t="inlineStr">
        <x:is>
          <x:t xml:space="preserve">ИЗД-018</x:t>
        </x:is>
      </x:c>
      <x:c r="C243" s="31" t="inlineStr">
        <x:is>
          <x:t xml:space="preserve">МАТ-0031</x:t>
        </x:is>
      </x:c>
      <x:c r="D243" s="31" t="inlineStr">
        <x:is>
          <x:t xml:space="preserve">Датчик давления 0-16 бар</x:t>
        </x:is>
      </x:c>
      <x:c r="E243" s="31" t="inlineStr">
        <x:is>
          <x:t xml:space="preserve">КИПиА</x:t>
        </x:is>
      </x:c>
      <x:c r="F243" s="31" t="n">
        <x:v>2.17</x:v>
      </x:c>
      <x:c r="G243" s="31" t="inlineStr">
        <x:is>
          <x:t xml:space="preserve">шт</x:t>
        </x:is>
      </x:c>
      <x:c r="H243" s="31" t="inlineStr">
        <x:is>
          <x:t xml:space="preserve">Обязательный</x:t>
        </x:is>
      </x:c>
      <x:c r="I243" s="31" t="inlineStr">
        <x:is>
          <x:t xml:space="preserve">ГЗ-КИП-7</x:t>
        </x:is>
      </x:c>
      <x:c r="J243" s="31" t="inlineStr">
        <x:is>
          <x:t xml:space="preserve">Нет</x:t>
        </x:is>
      </x:c>
    </x:row>
    <x:row r="244" ht="18" customHeight="1">
      <x:c r="A244" s="31" t="inlineStr">
        <x:is>
          <x:t xml:space="preserve">СОСТ-00243</x:t>
        </x:is>
      </x:c>
      <x:c r="B244" s="31" t="inlineStr">
        <x:is>
          <x:t xml:space="preserve">ИЗД-018</x:t>
        </x:is>
      </x:c>
      <x:c r="C244" s="31" t="inlineStr">
        <x:is>
          <x:t xml:space="preserve">МАТ-0033</x:t>
        </x:is>
      </x:c>
      <x:c r="D244" s="31" t="inlineStr">
        <x:is>
          <x:t xml:space="preserve">Расходомер электромагнитный Ду50</x:t>
        </x:is>
      </x:c>
      <x:c r="E244" s="31" t="inlineStr">
        <x:is>
          <x:t xml:space="preserve">КИПиА</x:t>
        </x:is>
      </x:c>
      <x:c r="F244" s="31" t="n">
        <x:v>2.1</x:v>
      </x:c>
      <x:c r="G244" s="31" t="inlineStr">
        <x:is>
          <x:t xml:space="preserve">шт</x:t>
        </x:is>
      </x:c>
      <x:c r="H244" s="31" t="inlineStr">
        <x:is>
          <x:t xml:space="preserve">Обязательный</x:t>
        </x:is>
      </x:c>
      <x:c r="I244" s="31" t="inlineStr">
        <x:is>
          <x:t xml:space="preserve">ГЗ-КИП-6</x:t>
        </x:is>
      </x:c>
      <x:c r="J244" s="31" t="inlineStr">
        <x:is>
          <x:t xml:space="preserve">Нет</x:t>
        </x:is>
      </x:c>
    </x:row>
    <x:row r="245" ht="18" customHeight="1">
      <x:c r="A245" s="31" t="inlineStr">
        <x:is>
          <x:t xml:space="preserve">СОСТ-00244</x:t>
        </x:is>
      </x:c>
      <x:c r="B245" s="31" t="inlineStr">
        <x:is>
          <x:t xml:space="preserve">ИЗД-018</x:t>
        </x:is>
      </x:c>
      <x:c r="C245" s="31" t="inlineStr">
        <x:is>
          <x:t xml:space="preserve">МАТ-0035</x:t>
        </x:is>
      </x:c>
      <x:c r="D245" s="31" t="inlineStr">
        <x:is>
          <x:t xml:space="preserve">Клапан электромагнитный 24В</x:t>
        </x:is>
      </x:c>
      <x:c r="E245" s="31" t="inlineStr">
        <x:is>
          <x:t xml:space="preserve">КИПиА</x:t>
        </x:is>
      </x:c>
      <x:c r="F245" s="31" t="n">
        <x:v>4.49</x:v>
      </x:c>
      <x:c r="G245" s="31" t="inlineStr">
        <x:is>
          <x:t xml:space="preserve">шт</x:t>
        </x:is>
      </x:c>
      <x:c r="H245" s="31" t="inlineStr">
        <x:is>
          <x:t xml:space="preserve">Обязательный</x:t>
        </x:is>
      </x:c>
      <x:c r="I245" s="31" t="inlineStr">
        <x:is>
          <x:t xml:space="preserve">ГЗ-КИП-7</x:t>
        </x:is>
      </x:c>
      <x:c r="J245" s="31" t="inlineStr">
        <x:is>
          <x:t xml:space="preserve">Нет</x:t>
        </x:is>
      </x:c>
    </x:row>
    <x:row r="246" ht="18" customHeight="1">
      <x:c r="A246" s="31" t="inlineStr">
        <x:is>
          <x:t xml:space="preserve">СОСТ-00245</x:t>
        </x:is>
      </x:c>
      <x:c r="B246" s="31" t="inlineStr">
        <x:is>
          <x:t xml:space="preserve">ИЗД-018</x:t>
        </x:is>
      </x:c>
      <x:c r="C246" s="31" t="inlineStr">
        <x:is>
          <x:t xml:space="preserve">МАТ-0080</x:t>
        </x:is>
      </x:c>
      <x:c r="D246" s="31" t="inlineStr">
        <x:is>
          <x:t xml:space="preserve">Гайка М12 / исп.3</x:t>
        </x:is>
      </x:c>
      <x:c r="E246" s="31" t="inlineStr">
        <x:is>
          <x:t xml:space="preserve">Крепеж</x:t>
        </x:is>
      </x:c>
      <x:c r="F246" s="31" t="n">
        <x:v>6.73</x:v>
      </x:c>
      <x:c r="G246" s="31" t="inlineStr">
        <x:is>
          <x:t xml:space="preserve">шт</x:t>
        </x:is>
      </x:c>
      <x:c r="H246" s="31" t="inlineStr">
        <x:is>
          <x:t xml:space="preserve">Обязательный</x:t>
        </x:is>
      </x:c>
      <x:c r="I246" s="31" t="inlineStr">
        <x:is>
          <x:t xml:space="preserve">ГЗ-КРЕ-6</x:t>
        </x:is>
      </x:c>
      <x:c r="J246" s="31" t="inlineStr">
        <x:is>
          <x:t xml:space="preserve">Нет</x:t>
        </x:is>
      </x:c>
    </x:row>
    <x:row r="247" ht="18" customHeight="1">
      <x:c r="A247" s="31" t="inlineStr">
        <x:is>
          <x:t xml:space="preserve">СОСТ-00246</x:t>
        </x:is>
      </x:c>
      <x:c r="B247" s="31" t="inlineStr">
        <x:is>
          <x:t xml:space="preserve">ИЗД-018</x:t>
        </x:is>
      </x:c>
      <x:c r="C247" s="31" t="inlineStr">
        <x:is>
          <x:t xml:space="preserve">МАТ-0081</x:t>
        </x:is>
      </x:c>
      <x:c r="D247" s="31" t="inlineStr">
        <x:is>
          <x:t xml:space="preserve">Шайба 12</x:t>
        </x:is>
      </x:c>
      <x:c r="E247" s="31" t="inlineStr">
        <x:is>
          <x:t xml:space="preserve">Крепеж</x:t>
        </x:is>
      </x:c>
      <x:c r="F247" s="31" t="n">
        <x:v>6.38</x:v>
      </x:c>
      <x:c r="G247" s="31" t="inlineStr">
        <x:is>
          <x:t xml:space="preserve">шт</x:t>
        </x:is>
      </x:c>
      <x:c r="H247" s="31" t="inlineStr">
        <x:is>
          <x:t xml:space="preserve">Обязательный</x:t>
        </x:is>
      </x:c>
      <x:c r="I247" s="31" t="inlineStr">
        <x:is>
          <x:t xml:space="preserve">ГЗ-КРЕ-1</x:t>
        </x:is>
      </x:c>
      <x:c r="J247" s="31" t="inlineStr">
        <x:is>
          <x:t xml:space="preserve">Нет</x:t>
        </x:is>
      </x:c>
    </x:row>
    <x:row r="248" ht="18" customHeight="1">
      <x:c r="A248" s="31" t="inlineStr">
        <x:is>
          <x:t xml:space="preserve">СОСТ-00247</x:t>
        </x:is>
      </x:c>
      <x:c r="B248" s="31" t="inlineStr">
        <x:is>
          <x:t xml:space="preserve">ИЗД-018</x:t>
        </x:is>
      </x:c>
      <x:c r="C248" s="31" t="inlineStr">
        <x:is>
          <x:t xml:space="preserve">МАТ-0086</x:t>
        </x:is>
      </x:c>
      <x:c r="D248" s="31" t="inlineStr">
        <x:is>
          <x:t xml:space="preserve">Пленка стрейч / исп.2</x:t>
        </x:is>
      </x:c>
      <x:c r="E248" s="31" t="inlineStr">
        <x:is>
          <x:t xml:space="preserve">Упаковка</x:t>
        </x:is>
      </x:c>
      <x:c r="F248" s="31" t="n">
        <x:v>3.01</x:v>
      </x:c>
      <x:c r="G248" s="31" t="inlineStr">
        <x:is>
          <x:t xml:space="preserve">шт</x:t>
        </x:is>
      </x:c>
      <x:c r="H248" s="31" t="inlineStr">
        <x:is>
          <x:t xml:space="preserve">Обязательный</x:t>
        </x:is>
      </x:c>
      <x:c r="I248" s="31" t="inlineStr">
        <x:is>
          <x:t xml:space="preserve">ГЗ-УПА-4</x:t>
        </x:is>
      </x:c>
      <x:c r="J248" s="31" t="inlineStr">
        <x:is>
          <x:t xml:space="preserve">Нет</x:t>
        </x:is>
      </x:c>
    </x:row>
    <x:row r="249" ht="18" customHeight="1">
      <x:c r="A249" s="31" t="inlineStr">
        <x:is>
          <x:t xml:space="preserve">СОСТ-00248</x:t>
        </x:is>
      </x:c>
      <x:c r="B249" s="31" t="inlineStr">
        <x:is>
          <x:t xml:space="preserve">ИЗД-018</x:t>
        </x:is>
      </x:c>
      <x:c r="C249" s="31" t="inlineStr">
        <x:is>
          <x:t xml:space="preserve">МАТ-0089</x:t>
        </x:is>
      </x:c>
      <x:c r="D249" s="31" t="inlineStr">
        <x:is>
          <x:t xml:space="preserve">Маркировочная этикетка</x:t>
        </x:is>
      </x:c>
      <x:c r="E249" s="31" t="inlineStr">
        <x:is>
          <x:t xml:space="preserve">Упаковка</x:t>
        </x:is>
      </x:c>
      <x:c r="F249" s="31" t="n">
        <x:v>6.28</x:v>
      </x:c>
      <x:c r="G249" s="31" t="inlineStr">
        <x:is>
          <x:t xml:space="preserve">шт</x:t>
        </x:is>
      </x:c>
      <x:c r="H249" s="31" t="inlineStr">
        <x:is>
          <x:t xml:space="preserve">Обязательный</x:t>
        </x:is>
      </x:c>
      <x:c r="I249" s="31" t="inlineStr">
        <x:is>
          <x:t xml:space="preserve">ГЗ-УПА-7</x:t>
        </x:is>
      </x:c>
      <x:c r="J249" s="31" t="inlineStr">
        <x:is>
          <x:t xml:space="preserve">Нет</x:t>
        </x:is>
      </x:c>
    </x:row>
    <x:row r="250" ht="18" customHeight="1">
      <x:c r="A250" s="31" t="inlineStr">
        <x:is>
          <x:t xml:space="preserve">СОСТ-00249</x:t>
        </x:is>
      </x:c>
      <x:c r="B250" s="31" t="inlineStr">
        <x:is>
          <x:t xml:space="preserve">ИЗД-019</x:t>
        </x:is>
      </x:c>
      <x:c r="C250" s="31" t="inlineStr">
        <x:is>
          <x:t xml:space="preserve">МАТ-0013</x:t>
        </x:is>
      </x:c>
      <x:c r="D250" s="31" t="inlineStr">
        <x:is>
          <x:t xml:space="preserve">Уголок 50×5</x:t>
        </x:is>
      </x:c>
      <x:c r="E250" s="31" t="inlineStr">
        <x:is>
          <x:t xml:space="preserve">Металл</x:t>
        </x:is>
      </x:c>
      <x:c r="F250" s="31" t="n">
        <x:v>34.89</x:v>
      </x:c>
      <x:c r="G250" s="31" t="inlineStr">
        <x:is>
          <x:t xml:space="preserve">кг</x:t>
        </x:is>
      </x:c>
      <x:c r="H250" s="31" t="inlineStr">
        <x:is>
          <x:t xml:space="preserve">Обязательный</x:t>
        </x:is>
      </x:c>
      <x:c r="I250" s="31" t="inlineStr">
        <x:is>
          <x:t xml:space="preserve">ГЗ-МЕТ-7</x:t>
        </x:is>
      </x:c>
      <x:c r="J250" s="31" t="inlineStr">
        <x:is>
          <x:t xml:space="preserve">Нет</x:t>
        </x:is>
      </x:c>
    </x:row>
    <x:row r="251" ht="18" customHeight="1">
      <x:c r="A251" s="31" t="inlineStr">
        <x:is>
          <x:t xml:space="preserve">СОСТ-00250</x:t>
        </x:is>
      </x:c>
      <x:c r="B251" s="31" t="inlineStr">
        <x:is>
          <x:t xml:space="preserve">ИЗД-019</x:t>
        </x:is>
      </x:c>
      <x:c r="C251" s="31" t="inlineStr">
        <x:is>
          <x:t xml:space="preserve">МАТ-0021</x:t>
        </x:is>
      </x:c>
      <x:c r="D251" s="31" t="inlineStr">
        <x:is>
          <x:t xml:space="preserve">Торцевое уплотнение</x:t>
        </x:is>
      </x:c>
      <x:c r="E251" s="31" t="inlineStr">
        <x:is>
          <x:t xml:space="preserve">Насосы</x:t>
        </x:is>
      </x:c>
      <x:c r="F251" s="31" t="n">
        <x:v>7.29</x:v>
      </x:c>
      <x:c r="G251" s="31" t="inlineStr">
        <x:is>
          <x:t xml:space="preserve">шт</x:t>
        </x:is>
      </x:c>
      <x:c r="H251" s="31" t="inlineStr">
        <x:is>
          <x:t xml:space="preserve">Опция</x:t>
        </x:is>
      </x:c>
      <x:c r="I251" s="31" t="inlineStr">
        <x:is>
          <x:t xml:space="preserve">ГЗ-НАС-1</x:t>
        </x:is>
      </x:c>
      <x:c r="J251" s="31" t="inlineStr">
        <x:is>
          <x:t xml:space="preserve">Нет</x:t>
        </x:is>
      </x:c>
    </x:row>
    <x:row r="252" ht="18" customHeight="1">
      <x:c r="A252" s="31" t="inlineStr">
        <x:is>
          <x:t xml:space="preserve">СОСТ-00251</x:t>
        </x:is>
      </x:c>
      <x:c r="B252" s="31" t="inlineStr">
        <x:is>
          <x:t xml:space="preserve">ИЗД-019</x:t>
        </x:is>
      </x:c>
      <x:c r="C252" s="31" t="inlineStr">
        <x:is>
          <x:t xml:space="preserve">МАТ-0020</x:t>
        </x:is>
      </x:c>
      <x:c r="D252" s="31" t="inlineStr">
        <x:is>
          <x:t xml:space="preserve">Насос дозировочный / исп.2</x:t>
        </x:is>
      </x:c>
      <x:c r="E252" s="31" t="inlineStr">
        <x:is>
          <x:t xml:space="preserve">Насосы</x:t>
        </x:is>
      </x:c>
      <x:c r="F252" s="31" t="n">
        <x:v>7.61</x:v>
      </x:c>
      <x:c r="G252" s="31" t="inlineStr">
        <x:is>
          <x:t xml:space="preserve">шт</x:t>
        </x:is>
      </x:c>
      <x:c r="H252" s="31" t="inlineStr">
        <x:is>
          <x:t xml:space="preserve">Обязательный</x:t>
        </x:is>
      </x:c>
      <x:c r="I252" s="31" t="inlineStr">
        <x:is>
          <x:t xml:space="preserve">ГЗ-НАС-1</x:t>
        </x:is>
      </x:c>
      <x:c r="J252" s="31" t="inlineStr">
        <x:is>
          <x:t xml:space="preserve">Нет</x:t>
        </x:is>
      </x:c>
    </x:row>
    <x:row r="253" ht="18" customHeight="1">
      <x:c r="A253" s="31" t="inlineStr">
        <x:is>
          <x:t xml:space="preserve">СОСТ-00252</x:t>
        </x:is>
      </x:c>
      <x:c r="B253" s="31" t="inlineStr">
        <x:is>
          <x:t xml:space="preserve">ИЗД-019</x:t>
        </x:is>
      </x:c>
      <x:c r="C253" s="31" t="inlineStr">
        <x:is>
          <x:t xml:space="preserve">МАТ-0029</x:t>
        </x:is>
      </x:c>
      <x:c r="D253" s="31" t="inlineStr">
        <x:is>
          <x:t xml:space="preserve">Частотный преобразователь 22 кВт</x:t>
        </x:is>
      </x:c>
      <x:c r="E253" s="31" t="inlineStr">
        <x:is>
          <x:t xml:space="preserve">Электродвигатели</x:t>
        </x:is>
      </x:c>
      <x:c r="F253" s="31" t="n">
        <x:v>7.61</x:v>
      </x:c>
      <x:c r="G253" s="31" t="inlineStr">
        <x:is>
          <x:t xml:space="preserve">шт</x:t>
        </x:is>
      </x:c>
      <x:c r="H253" s="31" t="inlineStr">
        <x:is>
          <x:t xml:space="preserve">Обязательный</x:t>
        </x:is>
      </x:c>
      <x:c r="I253" s="31" t="inlineStr">
        <x:is>
          <x:t xml:space="preserve">ГЗ-ЭЛЕ-9</x:t>
        </x:is>
      </x:c>
      <x:c r="J253" s="31" t="inlineStr">
        <x:is>
          <x:t xml:space="preserve">Нет</x:t>
        </x:is>
      </x:c>
    </x:row>
    <x:row r="254" ht="18" customHeight="1">
      <x:c r="A254" s="31" t="inlineStr">
        <x:is>
          <x:t xml:space="preserve">СОСТ-00253</x:t>
        </x:is>
      </x:c>
      <x:c r="B254" s="31" t="inlineStr">
        <x:is>
          <x:t xml:space="preserve">ИЗД-019</x:t>
        </x:is>
      </x:c>
      <x:c r="C254" s="31" t="inlineStr">
        <x:is>
          <x:t xml:space="preserve">МАТ-0026</x:t>
        </x:is>
      </x:c>
      <x:c r="D254" s="31" t="inlineStr">
        <x:is>
          <x:t xml:space="preserve">Двигатель 15 кВт</x:t>
        </x:is>
      </x:c>
      <x:c r="E254" s="31" t="inlineStr">
        <x:is>
          <x:t xml:space="preserve">Электродвигатели</x:t>
        </x:is>
      </x:c>
      <x:c r="F254" s="31" t="n">
        <x:v>4.04</x:v>
      </x:c>
      <x:c r="G254" s="31" t="inlineStr">
        <x:is>
          <x:t xml:space="preserve">шт</x:t>
        </x:is>
      </x:c>
      <x:c r="H254" s="31" t="inlineStr">
        <x:is>
          <x:t xml:space="preserve">Обязательный</x:t>
        </x:is>
      </x:c>
      <x:c r="I254" s="31" t="inlineStr">
        <x:is>
          <x:t xml:space="preserve">ГЗ-ЭЛЕ-1</x:t>
        </x:is>
      </x:c>
      <x:c r="J254" s="31" t="inlineStr">
        <x:is>
          <x:t xml:space="preserve">Да</x:t>
        </x:is>
      </x:c>
    </x:row>
    <x:row r="255" ht="18" customHeight="1">
      <x:c r="A255" s="31" t="inlineStr">
        <x:is>
          <x:t xml:space="preserve">СОСТ-00254</x:t>
        </x:is>
      </x:c>
      <x:c r="B255" s="31" t="inlineStr">
        <x:is>
          <x:t xml:space="preserve">ИЗД-019</x:t>
        </x:is>
      </x:c>
      <x:c r="C255" s="31" t="inlineStr">
        <x:is>
          <x:t xml:space="preserve">МАТ-0030</x:t>
        </x:is>
      </x:c>
      <x:c r="D255" s="31" t="inlineStr">
        <x:is>
          <x:t xml:space="preserve">Частотный преобразователь 22 кВт / исп.2</x:t>
        </x:is>
      </x:c>
      <x:c r="E255" s="31" t="inlineStr">
        <x:is>
          <x:t xml:space="preserve">Электродвигатели</x:t>
        </x:is>
      </x:c>
      <x:c r="F255" s="31" t="n">
        <x:v>2.06</x:v>
      </x:c>
      <x:c r="G255" s="31" t="inlineStr">
        <x:is>
          <x:t xml:space="preserve">шт</x:t>
        </x:is>
      </x:c>
      <x:c r="H255" s="31" t="inlineStr">
        <x:is>
          <x:t xml:space="preserve">Обязательный</x:t>
        </x:is>
      </x:c>
      <x:c r="I255" s="31" t="inlineStr">
        <x:is>
          <x:t xml:space="preserve">ГЗ-ЭЛЕ-1</x:t>
        </x:is>
      </x:c>
      <x:c r="J255" s="31" t="inlineStr">
        <x:is>
          <x:t xml:space="preserve">Нет</x:t>
        </x:is>
      </x:c>
    </x:row>
    <x:row r="256" ht="18" customHeight="1">
      <x:c r="A256" s="31" t="inlineStr">
        <x:is>
          <x:t xml:space="preserve">СОСТ-00255</x:t>
        </x:is>
      </x:c>
      <x:c r="B256" s="31" t="inlineStr">
        <x:is>
          <x:t xml:space="preserve">ИЗД-019</x:t>
        </x:is>
      </x:c>
      <x:c r="C256" s="31" t="inlineStr">
        <x:is>
          <x:t xml:space="preserve">МАТ-0037</x:t>
        </x:is>
      </x:c>
      <x:c r="D256" s="31" t="inlineStr">
        <x:is>
          <x:t xml:space="preserve">Клапан электромагнитный 24В / исп.3</x:t>
        </x:is>
      </x:c>
      <x:c r="E256" s="31" t="inlineStr">
        <x:is>
          <x:t xml:space="preserve">КИПиА</x:t>
        </x:is>
      </x:c>
      <x:c r="F256" s="31" t="n">
        <x:v>5.62</x:v>
      </x:c>
      <x:c r="G256" s="31" t="inlineStr">
        <x:is>
          <x:t xml:space="preserve">шт</x:t>
        </x:is>
      </x:c>
      <x:c r="H256" s="31" t="inlineStr">
        <x:is>
          <x:t xml:space="preserve">Обязательный</x:t>
        </x:is>
      </x:c>
      <x:c r="I256" s="31" t="inlineStr">
        <x:is>
          <x:t xml:space="preserve">ГЗ-КИП-3</x:t>
        </x:is>
      </x:c>
      <x:c r="J256" s="31" t="inlineStr">
        <x:is>
          <x:t xml:space="preserve">Нет</x:t>
        </x:is>
      </x:c>
    </x:row>
    <x:row r="257" ht="18" customHeight="1">
      <x:c r="A257" s="31" t="inlineStr">
        <x:is>
          <x:t xml:space="preserve">СОСТ-00256</x:t>
        </x:is>
      </x:c>
      <x:c r="B257" s="31" t="inlineStr">
        <x:is>
          <x:t xml:space="preserve">ИЗД-019</x:t>
        </x:is>
      </x:c>
      <x:c r="C257" s="31" t="inlineStr">
        <x:is>
          <x:t xml:space="preserve">МАТ-0034</x:t>
        </x:is>
      </x:c>
      <x:c r="D257" s="31" t="inlineStr">
        <x:is>
          <x:t xml:space="preserve">Манометр виброустойчивый</x:t>
        </x:is>
      </x:c>
      <x:c r="E257" s="31" t="inlineStr">
        <x:is>
          <x:t xml:space="preserve">КИПиА</x:t>
        </x:is>
      </x:c>
      <x:c r="F257" s="31" t="n">
        <x:v>7.2</x:v>
      </x:c>
      <x:c r="G257" s="31" t="inlineStr">
        <x:is>
          <x:t xml:space="preserve">шт</x:t>
        </x:is>
      </x:c>
      <x:c r="H257" s="31" t="inlineStr">
        <x:is>
          <x:t xml:space="preserve">Обязательный</x:t>
        </x:is>
      </x:c>
      <x:c r="I257" s="31" t="inlineStr">
        <x:is>
          <x:t xml:space="preserve">ГЗ-КИП-3</x:t>
        </x:is>
      </x:c>
      <x:c r="J257" s="31" t="inlineStr">
        <x:is>
          <x:t xml:space="preserve">Нет</x:t>
        </x:is>
      </x:c>
    </x:row>
    <x:row r="258" ht="18" customHeight="1">
      <x:c r="A258" s="31" t="inlineStr">
        <x:is>
          <x:t xml:space="preserve">СОСТ-00257</x:t>
        </x:is>
      </x:c>
      <x:c r="B258" s="31" t="inlineStr">
        <x:is>
          <x:t xml:space="preserve">ИЗД-019</x:t>
        </x:is>
      </x:c>
      <x:c r="C258" s="31" t="inlineStr">
        <x:is>
          <x:t xml:space="preserve">МАТ-0036</x:t>
        </x:is>
      </x:c>
      <x:c r="D258" s="31" t="inlineStr">
        <x:is>
          <x:t xml:space="preserve">Клапан электромагнитный 24В / исп.2</x:t>
        </x:is>
      </x:c>
      <x:c r="E258" s="31" t="inlineStr">
        <x:is>
          <x:t xml:space="preserve">КИПиА</x:t>
        </x:is>
      </x:c>
      <x:c r="F258" s="31" t="n">
        <x:v>6.2</x:v>
      </x:c>
      <x:c r="G258" s="31" t="inlineStr">
        <x:is>
          <x:t xml:space="preserve">шт</x:t>
        </x:is>
      </x:c>
      <x:c r="H258" s="31" t="inlineStr">
        <x:is>
          <x:t xml:space="preserve">Опция</x:t>
        </x:is>
      </x:c>
      <x:c r="I258" s="31" t="inlineStr">
        <x:is>
          <x:t xml:space="preserve">ГЗ-КИП-6</x:t>
        </x:is>
      </x:c>
      <x:c r="J258" s="31" t="inlineStr">
        <x:is>
          <x:t xml:space="preserve">Да</x:t>
        </x:is>
      </x:c>
    </x:row>
    <x:row r="259" ht="18" customHeight="1">
      <x:c r="A259" s="31" t="inlineStr">
        <x:is>
          <x:t xml:space="preserve">СОСТ-00258</x:t>
        </x:is>
      </x:c>
      <x:c r="B259" s="31" t="inlineStr">
        <x:is>
          <x:t xml:space="preserve">ИЗД-019</x:t>
        </x:is>
      </x:c>
      <x:c r="C259" s="31" t="inlineStr">
        <x:is>
          <x:t xml:space="preserve">МАТ-0059</x:t>
        </x:is>
      </x:c>
      <x:c r="D259" s="31" t="inlineStr">
        <x:is>
          <x:t xml:space="preserve">Фильтр сетчатый Ду50</x:t>
        </x:is>
      </x:c>
      <x:c r="E259" s="31" t="inlineStr">
        <x:is>
          <x:t xml:space="preserve">Запорная арматура</x:t>
        </x:is>
      </x:c>
      <x:c r="F259" s="31" t="n">
        <x:v>5.27</x:v>
      </x:c>
      <x:c r="G259" s="31" t="inlineStr">
        <x:is>
          <x:t xml:space="preserve">шт</x:t>
        </x:is>
      </x:c>
      <x:c r="H259" s="31" t="inlineStr">
        <x:is>
          <x:t xml:space="preserve">Обязательный</x:t>
        </x:is>
      </x:c>
      <x:c r="I259" s="31" t="inlineStr">
        <x:is>
          <x:t xml:space="preserve">ГЗ-ЗАП-3</x:t>
        </x:is>
      </x:c>
      <x:c r="J259" s="31" t="inlineStr">
        <x:is>
          <x:t xml:space="preserve">Нет</x:t>
        </x:is>
      </x:c>
    </x:row>
    <x:row r="260" ht="18" customHeight="1">
      <x:c r="A260" s="31" t="inlineStr">
        <x:is>
          <x:t xml:space="preserve">СОСТ-00259</x:t>
        </x:is>
      </x:c>
      <x:c r="B260" s="31" t="inlineStr">
        <x:is>
          <x:t xml:space="preserve">ИЗД-019</x:t>
        </x:is>
      </x:c>
      <x:c r="C260" s="31" t="inlineStr">
        <x:is>
          <x:t xml:space="preserve">МАТ-0061</x:t>
        </x:is>
      </x:c>
      <x:c r="D260" s="31" t="inlineStr">
        <x:is>
          <x:t xml:space="preserve">Фильтр сетчатый Ду50 / исп.3</x:t>
        </x:is>
      </x:c>
      <x:c r="E260" s="31" t="inlineStr">
        <x:is>
          <x:t xml:space="preserve">Запорная арматура</x:t>
        </x:is>
      </x:c>
      <x:c r="F260" s="31" t="n">
        <x:v>2.44</x:v>
      </x:c>
      <x:c r="G260" s="31" t="inlineStr">
        <x:is>
          <x:t xml:space="preserve">шт</x:t>
        </x:is>
      </x:c>
      <x:c r="H260" s="31" t="inlineStr">
        <x:is>
          <x:t xml:space="preserve">Обязательный</x:t>
        </x:is>
      </x:c>
      <x:c r="I260" s="31" t="inlineStr">
        <x:is>
          <x:t xml:space="preserve">ГЗ-ЗАП-1</x:t>
        </x:is>
      </x:c>
      <x:c r="J260" s="31" t="inlineStr">
        <x:is>
          <x:t xml:space="preserve">Нет</x:t>
        </x:is>
      </x:c>
    </x:row>
    <x:row r="261" ht="18" customHeight="1">
      <x:c r="A261" s="31" t="inlineStr">
        <x:is>
          <x:t xml:space="preserve">СОСТ-00260</x:t>
        </x:is>
      </x:c>
      <x:c r="B261" s="31" t="inlineStr">
        <x:is>
          <x:t xml:space="preserve">ИЗД-019</x:t>
        </x:is>
      </x:c>
      <x:c r="C261" s="31" t="inlineStr">
        <x:is>
          <x:t xml:space="preserve">МАТ-0065</x:t>
        </x:is>
      </x:c>
      <x:c r="D261" s="31" t="inlineStr">
        <x:is>
          <x:t xml:space="preserve">Гофра металлическая</x:t>
        </x:is>
      </x:c>
      <x:c r="E261" s="31" t="inlineStr">
        <x:is>
          <x:t xml:space="preserve">Кабель</x:t>
        </x:is>
      </x:c>
      <x:c r="F261" s="31" t="n">
        <x:v>5.88</x:v>
      </x:c>
      <x:c r="G261" s="31" t="inlineStr">
        <x:is>
          <x:t xml:space="preserve">шт</x:t>
        </x:is>
      </x:c>
      <x:c r="H261" s="31" t="inlineStr">
        <x:is>
          <x:t xml:space="preserve">Опция</x:t>
        </x:is>
      </x:c>
      <x:c r="I261" s="31" t="inlineStr">
        <x:is>
          <x:t xml:space="preserve">ГЗ-КАБ-2</x:t>
        </x:is>
      </x:c>
      <x:c r="J261" s="31" t="inlineStr">
        <x:is>
          <x:t xml:space="preserve">Нет</x:t>
        </x:is>
      </x:c>
    </x:row>
    <x:row r="262" ht="18" customHeight="1">
      <x:c r="A262" s="31" t="inlineStr">
        <x:is>
          <x:t xml:space="preserve">СОСТ-00261</x:t>
        </x:is>
      </x:c>
      <x:c r="B262" s="31" t="inlineStr">
        <x:is>
          <x:t xml:space="preserve">ИЗД-019</x:t>
        </x:is>
      </x:c>
      <x:c r="C262" s="31" t="inlineStr">
        <x:is>
          <x:t xml:space="preserve">МАТ-0065</x:t>
        </x:is>
      </x:c>
      <x:c r="D262" s="31" t="inlineStr">
        <x:is>
          <x:t xml:space="preserve">Гофра металлическая</x:t>
        </x:is>
      </x:c>
      <x:c r="E262" s="31" t="inlineStr">
        <x:is>
          <x:t xml:space="preserve">Кабель</x:t>
        </x:is>
      </x:c>
      <x:c r="F262" s="31" t="n">
        <x:v>6.43</x:v>
      </x:c>
      <x:c r="G262" s="31" t="inlineStr">
        <x:is>
          <x:t xml:space="preserve">шт</x:t>
        </x:is>
      </x:c>
      <x:c r="H262" s="31" t="inlineStr">
        <x:is>
          <x:t xml:space="preserve">Опция</x:t>
        </x:is>
      </x:c>
      <x:c r="I262" s="31" t="inlineStr">
        <x:is>
          <x:t xml:space="preserve">ГЗ-КАБ-2</x:t>
        </x:is>
      </x:c>
      <x:c r="J262" s="31" t="inlineStr">
        <x:is>
          <x:t xml:space="preserve">Нет</x:t>
        </x:is>
      </x:c>
    </x:row>
    <x:row r="263" ht="18" customHeight="1">
      <x:c r="A263" s="31" t="inlineStr">
        <x:is>
          <x:t xml:space="preserve">СОСТ-00262</x:t>
        </x:is>
      </x:c>
      <x:c r="B263" s="31" t="inlineStr">
        <x:is>
          <x:t xml:space="preserve">ИЗД-019</x:t>
        </x:is>
      </x:c>
      <x:c r="C263" s="31" t="inlineStr">
        <x:is>
          <x:t xml:space="preserve">МАТ-0066</x:t>
        </x:is>
      </x:c>
      <x:c r="D263" s="31" t="inlineStr">
        <x:is>
          <x:t xml:space="preserve">Гофра металлическая / исп.2</x:t>
        </x:is>
      </x:c>
      <x:c r="E263" s="31" t="inlineStr">
        <x:is>
          <x:t xml:space="preserve">Кабель</x:t>
        </x:is>
      </x:c>
      <x:c r="F263" s="31" t="n">
        <x:v>58.56</x:v>
      </x:c>
      <x:c r="G263" s="31" t="inlineStr">
        <x:is>
          <x:t xml:space="preserve">кг</x:t>
        </x:is>
      </x:c>
      <x:c r="H263" s="31" t="inlineStr">
        <x:is>
          <x:t xml:space="preserve">Обязательный</x:t>
        </x:is>
      </x:c>
      <x:c r="I263" s="31" t="inlineStr">
        <x:is>
          <x:t xml:space="preserve">ГЗ-КАБ-8</x:t>
        </x:is>
      </x:c>
      <x:c r="J263" s="31" t="inlineStr">
        <x:is>
          <x:t xml:space="preserve">Нет</x:t>
        </x:is>
      </x:c>
    </x:row>
    <x:row r="264" ht="18" customHeight="1">
      <x:c r="A264" s="31" t="inlineStr">
        <x:is>
          <x:t xml:space="preserve">СОСТ-00263</x:t>
        </x:is>
      </x:c>
      <x:c r="B264" s="31" t="inlineStr">
        <x:is>
          <x:t xml:space="preserve">ИЗД-019</x:t>
        </x:is>
      </x:c>
      <x:c r="C264" s="31" t="inlineStr">
        <x:is>
          <x:t xml:space="preserve">МАТ-0042</x:t>
        </x:is>
      </x:c>
      <x:c r="D264" s="31" t="inlineStr">
        <x:is>
          <x:t xml:space="preserve">модуль аналогового входа 4 канала / исп.3</x:t>
        </x:is>
      </x:c>
      <x:c r="E264" s="31" t="inlineStr">
        <x:is>
          <x:t xml:space="preserve">ПЛК/электрика</x:t>
        </x:is>
      </x:c>
      <x:c r="F264" s="31" t="n">
        <x:v>2.5</x:v>
      </x:c>
      <x:c r="G264" s="31" t="inlineStr">
        <x:is>
          <x:t xml:space="preserve">шт</x:t>
        </x:is>
      </x:c>
      <x:c r="H264" s="31" t="inlineStr">
        <x:is>
          <x:t xml:space="preserve">Обязательный</x:t>
        </x:is>
      </x:c>
      <x:c r="I264" s="31" t="inlineStr">
        <x:is>
          <x:t xml:space="preserve">ГЗ-ПЛК-7</x:t>
        </x:is>
      </x:c>
      <x:c r="J264" s="31" t="inlineStr">
        <x:is>
          <x:t xml:space="preserve">Нет</x:t>
        </x:is>
      </x:c>
    </x:row>
    <x:row r="265" ht="18" customHeight="1">
      <x:c r="A265" s="31" t="inlineStr">
        <x:is>
          <x:t xml:space="preserve">СОСТ-00264</x:t>
        </x:is>
      </x:c>
      <x:c r="B265" s="31" t="inlineStr">
        <x:is>
          <x:t xml:space="preserve">ИЗД-019</x:t>
        </x:is>
      </x:c>
      <x:c r="C265" s="31" t="inlineStr">
        <x:is>
          <x:t xml:space="preserve">МАТ-0043</x:t>
        </x:is>
      </x:c>
      <x:c r="D265" s="31" t="inlineStr">
        <x:is>
          <x:t xml:space="preserve">Блок питания 24В</x:t>
        </x:is>
      </x:c>
      <x:c r="E265" s="31" t="inlineStr">
        <x:is>
          <x:t xml:space="preserve">ПЛК/электрика</x:t>
        </x:is>
      </x:c>
      <x:c r="F265" s="31" t="n">
        <x:v>6.3</x:v>
      </x:c>
      <x:c r="G265" s="31" t="inlineStr">
        <x:is>
          <x:t xml:space="preserve">шт</x:t>
        </x:is>
      </x:c>
      <x:c r="H265" s="31" t="inlineStr">
        <x:is>
          <x:t xml:space="preserve">Обязательный</x:t>
        </x:is>
      </x:c>
      <x:c r="I265" s="31" t="inlineStr">
        <x:is>
          <x:t xml:space="preserve">ГЗ-ПЛК-7</x:t>
        </x:is>
      </x:c>
      <x:c r="J265" s="31" t="inlineStr">
        <x:is>
          <x:t xml:space="preserve">Да</x:t>
        </x:is>
      </x:c>
    </x:row>
    <x:row r="266" ht="18" customHeight="1">
      <x:c r="A266" s="31" t="inlineStr">
        <x:is>
          <x:t xml:space="preserve">СОСТ-00265</x:t>
        </x:is>
      </x:c>
      <x:c r="B266" s="31" t="inlineStr">
        <x:is>
          <x:t xml:space="preserve">ИЗД-019</x:t>
        </x:is>
      </x:c>
      <x:c r="C266" s="31" t="inlineStr">
        <x:is>
          <x:t xml:space="preserve">МАТ-0050</x:t>
        </x:is>
      </x:c>
      <x:c r="D266" s="31" t="inlineStr">
        <x:is>
          <x:t xml:space="preserve">панель оператора 7"</x:t>
        </x:is>
      </x:c>
      <x:c r="E266" s="31" t="inlineStr">
        <x:is>
          <x:t xml:space="preserve">ПЛК/электрика</x:t>
        </x:is>
      </x:c>
      <x:c r="F266" s="31" t="n">
        <x:v>4.78</x:v>
      </x:c>
      <x:c r="G266" s="31" t="inlineStr">
        <x:is>
          <x:t xml:space="preserve">шт</x:t>
        </x:is>
      </x:c>
      <x:c r="H266" s="31" t="inlineStr">
        <x:is>
          <x:t xml:space="preserve">Обязательный</x:t>
        </x:is>
      </x:c>
      <x:c r="I266" s="31" t="inlineStr">
        <x:is>
          <x:t xml:space="preserve">ГЗ-ПЛК-8</x:t>
        </x:is>
      </x:c>
      <x:c r="J266" s="31" t="inlineStr">
        <x:is>
          <x:t xml:space="preserve">Нет</x:t>
        </x:is>
      </x:c>
    </x:row>
    <x:row r="267" ht="18" customHeight="1">
      <x:c r="A267" s="31" t="inlineStr">
        <x:is>
          <x:t xml:space="preserve">СОСТ-00266</x:t>
        </x:is>
      </x:c>
      <x:c r="B267" s="31" t="inlineStr">
        <x:is>
          <x:t xml:space="preserve">ИЗД-019</x:t>
        </x:is>
      </x:c>
      <x:c r="C267" s="31" t="inlineStr">
        <x:is>
          <x:t xml:space="preserve">МАТ-0073</x:t>
        </x:is>
      </x:c>
      <x:c r="D267" s="31" t="inlineStr">
        <x:is>
          <x:t xml:space="preserve">Растворитель / исп.2</x:t>
        </x:is>
      </x:c>
      <x:c r="E267" s="31" t="inlineStr">
        <x:is>
          <x:t xml:space="preserve">Покраска</x:t>
        </x:is>
      </x:c>
      <x:c r="F267" s="31" t="n">
        <x:v>41.41</x:v>
      </x:c>
      <x:c r="G267" s="31" t="inlineStr">
        <x:is>
          <x:t xml:space="preserve">л</x:t>
        </x:is>
      </x:c>
      <x:c r="H267" s="31" t="inlineStr">
        <x:is>
          <x:t xml:space="preserve">Обязательный</x:t>
        </x:is>
      </x:c>
      <x:c r="I267" s="31" t="inlineStr">
        <x:is>
          <x:t xml:space="preserve">ГЗ-ПОК-8</x:t>
        </x:is>
      </x:c>
      <x:c r="J267" s="31" t="inlineStr">
        <x:is>
          <x:t xml:space="preserve">Нет</x:t>
        </x:is>
      </x:c>
    </x:row>
    <x:row r="268" ht="18" customHeight="1">
      <x:c r="A268" s="31" t="inlineStr">
        <x:is>
          <x:t xml:space="preserve">СОСТ-00267</x:t>
        </x:is>
      </x:c>
      <x:c r="B268" s="31" t="inlineStr">
        <x:is>
          <x:t xml:space="preserve">ИЗД-019</x:t>
        </x:is>
      </x:c>
      <x:c r="C268" s="31" t="inlineStr">
        <x:is>
          <x:t xml:space="preserve">МАТ-0070</x:t>
        </x:is>
      </x:c>
      <x:c r="D268" s="31" t="inlineStr">
        <x:is>
          <x:t xml:space="preserve">Эмаль полиуретановая / исп.2</x:t>
        </x:is>
      </x:c>
      <x:c r="E268" s="31" t="inlineStr">
        <x:is>
          <x:t xml:space="preserve">Покраска</x:t>
        </x:is>
      </x:c>
      <x:c r="F268" s="31" t="n">
        <x:v>29.65</x:v>
      </x:c>
      <x:c r="G268" s="31" t="inlineStr">
        <x:is>
          <x:t xml:space="preserve">кг</x:t>
        </x:is>
      </x:c>
      <x:c r="H268" s="31" t="inlineStr">
        <x:is>
          <x:t xml:space="preserve">Обязательный</x:t>
        </x:is>
      </x:c>
      <x:c r="I268" s="31" t="inlineStr">
        <x:is>
          <x:t xml:space="preserve">ГЗ-ПОК-3</x:t>
        </x:is>
      </x:c>
      <x:c r="J268" s="31" t="inlineStr">
        <x:is>
          <x:t xml:space="preserve">Нет</x:t>
        </x:is>
      </x:c>
    </x:row>
    <x:row r="269" ht="18" customHeight="1">
      <x:c r="A269" s="31" t="inlineStr">
        <x:is>
          <x:t xml:space="preserve">СОСТ-00268</x:t>
        </x:is>
      </x:c>
      <x:c r="B269" s="31" t="inlineStr">
        <x:is>
          <x:t xml:space="preserve">ИЗД-019</x:t>
        </x:is>
      </x:c>
      <x:c r="C269" s="31" t="inlineStr">
        <x:is>
          <x:t xml:space="preserve">МАТ-0082</x:t>
        </x:is>
      </x:c>
      <x:c r="D269" s="31" t="inlineStr">
        <x:is>
          <x:t xml:space="preserve">Шайба 12 / исп.2</x:t>
        </x:is>
      </x:c>
      <x:c r="E269" s="31" t="inlineStr">
        <x:is>
          <x:t xml:space="preserve">Крепеж</x:t>
        </x:is>
      </x:c>
      <x:c r="F269" s="31" t="n">
        <x:v>3.09</x:v>
      </x:c>
      <x:c r="G269" s="31" t="inlineStr">
        <x:is>
          <x:t xml:space="preserve">шт</x:t>
        </x:is>
      </x:c>
      <x:c r="H269" s="31" t="inlineStr">
        <x:is>
          <x:t xml:space="preserve">Обязательный</x:t>
        </x:is>
      </x:c>
      <x:c r="I269" s="31" t="inlineStr">
        <x:is>
          <x:t xml:space="preserve">ГЗ-КРЕ-1</x:t>
        </x:is>
      </x:c>
      <x:c r="J269" s="31" t="inlineStr">
        <x:is>
          <x:t xml:space="preserve">Нет</x:t>
        </x:is>
      </x:c>
    </x:row>
    <x:row r="270" ht="18" customHeight="1">
      <x:c r="A270" s="31" t="inlineStr">
        <x:is>
          <x:t xml:space="preserve">СОСТ-00269</x:t>
        </x:is>
      </x:c>
      <x:c r="B270" s="31" t="inlineStr">
        <x:is>
          <x:t xml:space="preserve">ИЗД-019</x:t>
        </x:is>
      </x:c>
      <x:c r="C270" s="31" t="inlineStr">
        <x:is>
          <x:t xml:space="preserve">МАТ-0089</x:t>
        </x:is>
      </x:c>
      <x:c r="D270" s="31" t="inlineStr">
        <x:is>
          <x:t xml:space="preserve">Маркировочная этикетка</x:t>
        </x:is>
      </x:c>
      <x:c r="E270" s="31" t="inlineStr">
        <x:is>
          <x:t xml:space="preserve">Упаковка</x:t>
        </x:is>
      </x:c>
      <x:c r="F270" s="31" t="n">
        <x:v>7.92</x:v>
      </x:c>
      <x:c r="G270" s="31" t="inlineStr">
        <x:is>
          <x:t xml:space="preserve">шт</x:t>
        </x:is>
      </x:c>
      <x:c r="H270" s="31" t="inlineStr">
        <x:is>
          <x:t xml:space="preserve">Обязательный</x:t>
        </x:is>
      </x:c>
      <x:c r="I270" s="31" t="inlineStr">
        <x:is>
          <x:t xml:space="preserve">ГЗ-УПА-7</x:t>
        </x:is>
      </x:c>
      <x:c r="J270" s="31" t="inlineStr">
        <x:is>
          <x:t xml:space="preserve">Нет</x:t>
        </x:is>
      </x:c>
    </x:row>
    <x:row r="271" ht="18" customHeight="1">
      <x:c r="A271" s="31" t="inlineStr">
        <x:is>
          <x:t xml:space="preserve">СОСТ-00270</x:t>
        </x:is>
      </x:c>
      <x:c r="B271" s="31" t="inlineStr">
        <x:is>
          <x:t xml:space="preserve">ИЗД-020</x:t>
        </x:is>
      </x:c>
      <x:c r="C271" s="31" t="inlineStr">
        <x:is>
          <x:t xml:space="preserve">МАТ-0011</x:t>
        </x:is>
      </x:c>
      <x:c r="D271" s="31" t="inlineStr">
        <x:is>
          <x:t xml:space="preserve">Фланец Ду50 Ру16 / исп.3</x:t>
        </x:is>
      </x:c>
      <x:c r="E271" s="31" t="inlineStr">
        <x:is>
          <x:t xml:space="preserve">Металл</x:t>
        </x:is>
      </x:c>
      <x:c r="F271" s="31" t="n">
        <x:v>4.73</x:v>
      </x:c>
      <x:c r="G271" s="31" t="inlineStr">
        <x:is>
          <x:t xml:space="preserve">шт</x:t>
        </x:is>
      </x:c>
      <x:c r="H271" s="31" t="inlineStr">
        <x:is>
          <x:t xml:space="preserve">Обязательный</x:t>
        </x:is>
      </x:c>
      <x:c r="I271" s="31" t="inlineStr">
        <x:is>
          <x:t xml:space="preserve">ГЗ-МЕТ-6</x:t>
        </x:is>
      </x:c>
      <x:c r="J271" s="31" t="inlineStr">
        <x:is>
          <x:t xml:space="preserve">Нет</x:t>
        </x:is>
      </x:c>
    </x:row>
    <x:row r="272" ht="18" customHeight="1">
      <x:c r="A272" s="31" t="inlineStr">
        <x:is>
          <x:t xml:space="preserve">СОСТ-00271</x:t>
        </x:is>
      </x:c>
      <x:c r="B272" s="31" t="inlineStr">
        <x:is>
          <x:t xml:space="preserve">ИЗД-020</x:t>
        </x:is>
      </x:c>
      <x:c r="C272" s="31" t="inlineStr">
        <x:is>
          <x:t xml:space="preserve">МАТ-0005</x:t>
        </x:is>
      </x:c>
      <x:c r="D272" s="31" t="inlineStr">
        <x:is>
          <x:t xml:space="preserve">Труба бесшовная 57×4</x:t>
        </x:is>
      </x:c>
      <x:c r="E272" s="31" t="inlineStr">
        <x:is>
          <x:t xml:space="preserve">Металл</x:t>
        </x:is>
      </x:c>
      <x:c r="F272" s="31" t="n">
        <x:v>65.58</x:v>
      </x:c>
      <x:c r="G272" s="31" t="inlineStr">
        <x:is>
          <x:t xml:space="preserve">м</x:t>
        </x:is>
      </x:c>
      <x:c r="H272" s="31" t="inlineStr">
        <x:is>
          <x:t xml:space="preserve">Обязательный</x:t>
        </x:is>
      </x:c>
      <x:c r="I272" s="31" t="inlineStr">
        <x:is>
          <x:t xml:space="preserve">ГЗ-МЕТ-5</x:t>
        </x:is>
      </x:c>
      <x:c r="J272" s="31" t="inlineStr">
        <x:is>
          <x:t xml:space="preserve">Нет</x:t>
        </x:is>
      </x:c>
    </x:row>
    <x:row r="273" ht="18" customHeight="1">
      <x:c r="A273" s="31" t="inlineStr">
        <x:is>
          <x:t xml:space="preserve">СОСТ-00272</x:t>
        </x:is>
      </x:c>
      <x:c r="B273" s="31" t="inlineStr">
        <x:is>
          <x:t xml:space="preserve">ИЗД-020</x:t>
        </x:is>
      </x:c>
      <x:c r="C273" s="31" t="inlineStr">
        <x:is>
          <x:t xml:space="preserve">МАТ-0007</x:t>
        </x:is>
      </x:c>
      <x:c r="D273" s="31" t="inlineStr">
        <x:is>
          <x:t xml:space="preserve">Труба нержавеющая 38×3 / исп.2</x:t>
        </x:is>
      </x:c>
      <x:c r="E273" s="31" t="inlineStr">
        <x:is>
          <x:t xml:space="preserve">Металл</x:t>
        </x:is>
      </x:c>
      <x:c r="F273" s="31" t="n">
        <x:v>21.32</x:v>
      </x:c>
      <x:c r="G273" s="31" t="inlineStr">
        <x:is>
          <x:t xml:space="preserve">л</x:t>
        </x:is>
      </x:c>
      <x:c r="H273" s="31" t="inlineStr">
        <x:is>
          <x:t xml:space="preserve">Обязательный</x:t>
        </x:is>
      </x:c>
      <x:c r="I273" s="31" t="inlineStr">
        <x:is>
          <x:t xml:space="preserve">ГЗ-МЕТ-3</x:t>
        </x:is>
      </x:c>
      <x:c r="J273" s="31" t="inlineStr">
        <x:is>
          <x:t xml:space="preserve">Нет</x:t>
        </x:is>
      </x:c>
    </x:row>
    <x:row r="274" ht="18" customHeight="1">
      <x:c r="A274" s="31" t="inlineStr">
        <x:is>
          <x:t xml:space="preserve">СОСТ-00273</x:t>
        </x:is>
      </x:c>
      <x:c r="B274" s="31" t="inlineStr">
        <x:is>
          <x:t xml:space="preserve">ИЗД-020</x:t>
        </x:is>
      </x:c>
      <x:c r="C274" s="31" t="inlineStr">
        <x:is>
          <x:t xml:space="preserve">МАТ-0058</x:t>
        </x:is>
      </x:c>
      <x:c r="D274" s="31" t="inlineStr">
        <x:is>
          <x:t xml:space="preserve">Задвижка Ду100 / исп.3</x:t>
        </x:is>
      </x:c>
      <x:c r="E274" s="31" t="inlineStr">
        <x:is>
          <x:t xml:space="preserve">Запорная арматура</x:t>
        </x:is>
      </x:c>
      <x:c r="F274" s="31" t="n">
        <x:v>1.69</x:v>
      </x:c>
      <x:c r="G274" s="31" t="inlineStr">
        <x:is>
          <x:t xml:space="preserve">шт</x:t>
        </x:is>
      </x:c>
      <x:c r="H274" s="31" t="inlineStr">
        <x:is>
          <x:t xml:space="preserve">Обязательный</x:t>
        </x:is>
      </x:c>
      <x:c r="I274" s="31" t="inlineStr">
        <x:is>
          <x:t xml:space="preserve">ГЗ-ЗАП-2</x:t>
        </x:is>
      </x:c>
      <x:c r="J274" s="31" t="inlineStr">
        <x:is>
          <x:t xml:space="preserve">Нет</x:t>
        </x:is>
      </x:c>
    </x:row>
    <x:row r="275" ht="18" customHeight="1">
      <x:c r="A275" s="31" t="inlineStr">
        <x:is>
          <x:t xml:space="preserve">СОСТ-00274</x:t>
        </x:is>
      </x:c>
      <x:c r="B275" s="31" t="inlineStr">
        <x:is>
          <x:t xml:space="preserve">ИЗД-020</x:t>
        </x:is>
      </x:c>
      <x:c r="C275" s="31" t="inlineStr">
        <x:is>
          <x:t xml:space="preserve">МАТ-0052</x:t>
        </x:is>
      </x:c>
      <x:c r="D275" s="31" t="inlineStr">
        <x:is>
          <x:t xml:space="preserve">Кран шаровой Ду50 / исп.2</x:t>
        </x:is>
      </x:c>
      <x:c r="E275" s="31" t="inlineStr">
        <x:is>
          <x:t xml:space="preserve">Запорная арматура</x:t>
        </x:is>
      </x:c>
      <x:c r="F275" s="31" t="n">
        <x:v>1.65</x:v>
      </x:c>
      <x:c r="G275" s="31" t="inlineStr">
        <x:is>
          <x:t xml:space="preserve">шт</x:t>
        </x:is>
      </x:c>
      <x:c r="H275" s="31" t="inlineStr">
        <x:is>
          <x:t xml:space="preserve">Обязательный</x:t>
        </x:is>
      </x:c>
      <x:c r="I275" s="31" t="inlineStr">
        <x:is>
          <x:t xml:space="preserve">ГЗ-ЗАП-7</x:t>
        </x:is>
      </x:c>
      <x:c r="J275" s="31" t="inlineStr">
        <x:is>
          <x:t xml:space="preserve">Нет</x:t>
        </x:is>
      </x:c>
    </x:row>
    <x:row r="276" ht="18" customHeight="1">
      <x:c r="A276" s="31" t="inlineStr">
        <x:is>
          <x:t xml:space="preserve">СОСТ-00275</x:t>
        </x:is>
      </x:c>
      <x:c r="B276" s="31" t="inlineStr">
        <x:is>
          <x:t xml:space="preserve">ИЗД-020</x:t>
        </x:is>
      </x:c>
      <x:c r="C276" s="31" t="inlineStr">
        <x:is>
          <x:t xml:space="preserve">МАТ-0034</x:t>
        </x:is>
      </x:c>
      <x:c r="D276" s="31" t="inlineStr">
        <x:is>
          <x:t xml:space="preserve">Манометр виброустойчивый</x:t>
        </x:is>
      </x:c>
      <x:c r="E276" s="31" t="inlineStr">
        <x:is>
          <x:t xml:space="preserve">КИПиА</x:t>
        </x:is>
      </x:c>
      <x:c r="F276" s="31" t="n">
        <x:v>1.55</x:v>
      </x:c>
      <x:c r="G276" s="31" t="inlineStr">
        <x:is>
          <x:t xml:space="preserve">шт</x:t>
        </x:is>
      </x:c>
      <x:c r="H276" s="31" t="inlineStr">
        <x:is>
          <x:t xml:space="preserve">Обязательный</x:t>
        </x:is>
      </x:c>
      <x:c r="I276" s="31" t="inlineStr">
        <x:is>
          <x:t xml:space="preserve">ГЗ-КИП-3</x:t>
        </x:is>
      </x:c>
      <x:c r="J276" s="31" t="inlineStr">
        <x:is>
          <x:t xml:space="preserve">Нет</x:t>
        </x:is>
      </x:c>
    </x:row>
    <x:row r="277" ht="18" customHeight="1">
      <x:c r="A277" s="31" t="inlineStr">
        <x:is>
          <x:t xml:space="preserve">СОСТ-00276</x:t>
        </x:is>
      </x:c>
      <x:c r="B277" s="31" t="inlineStr">
        <x:is>
          <x:t xml:space="preserve">ИЗД-020</x:t>
        </x:is>
      </x:c>
      <x:c r="C277" s="31" t="inlineStr">
        <x:is>
          <x:t xml:space="preserve">МАТ-0072</x:t>
        </x:is>
      </x:c>
      <x:c r="D277" s="31" t="inlineStr">
        <x:is>
          <x:t xml:space="preserve">Растворитель</x:t>
        </x:is>
      </x:c>
      <x:c r="E277" s="31" t="inlineStr">
        <x:is>
          <x:t xml:space="preserve">Покраска</x:t>
        </x:is>
      </x:c>
      <x:c r="F277" s="31" t="n">
        <x:v>70.02</x:v>
      </x:c>
      <x:c r="G277" s="31" t="inlineStr">
        <x:is>
          <x:t xml:space="preserve">л</x:t>
        </x:is>
      </x:c>
      <x:c r="H277" s="31" t="inlineStr">
        <x:is>
          <x:t xml:space="preserve">Обязательный</x:t>
        </x:is>
      </x:c>
      <x:c r="I277" s="31" t="inlineStr">
        <x:is>
          <x:t xml:space="preserve">ГЗ-ПОК-2</x:t>
        </x:is>
      </x:c>
      <x:c r="J277" s="31" t="inlineStr">
        <x:is>
          <x:t xml:space="preserve">Нет</x:t>
        </x:is>
      </x:c>
    </x:row>
    <x:row r="278" ht="18" customHeight="1">
      <x:c r="A278" s="31" t="inlineStr">
        <x:is>
          <x:t xml:space="preserve">СОСТ-00277</x:t>
        </x:is>
      </x:c>
      <x:c r="B278" s="31" t="inlineStr">
        <x:is>
          <x:t xml:space="preserve">ИЗД-020</x:t>
        </x:is>
      </x:c>
      <x:c r="C278" s="31" t="inlineStr">
        <x:is>
          <x:t xml:space="preserve">МАТ-0071</x:t>
        </x:is>
      </x:c>
      <x:c r="D278" s="31" t="inlineStr">
        <x:is>
          <x:t xml:space="preserve">Эмаль полиуретановая / исп.3</x:t>
        </x:is>
      </x:c>
      <x:c r="E278" s="31" t="inlineStr">
        <x:is>
          <x:t xml:space="preserve">Покраска</x:t>
        </x:is>
      </x:c>
      <x:c r="F278" s="31" t="n">
        <x:v>75.93000000000001</x:v>
      </x:c>
      <x:c r="G278" s="31" t="inlineStr">
        <x:is>
          <x:t xml:space="preserve">кг</x:t>
        </x:is>
      </x:c>
      <x:c r="H278" s="31" t="inlineStr">
        <x:is>
          <x:t xml:space="preserve">Обязательный</x:t>
        </x:is>
      </x:c>
      <x:c r="I278" s="31" t="inlineStr">
        <x:is>
          <x:t xml:space="preserve">ГЗ-ПОК-2</x:t>
        </x:is>
      </x:c>
      <x:c r="J278" s="31" t="inlineStr">
        <x:is>
          <x:t xml:space="preserve">Нет</x:t>
        </x:is>
      </x:c>
    </x:row>
    <x:row r="279" ht="18" customHeight="1">
      <x:c r="A279" s="31" t="inlineStr">
        <x:is>
          <x:t xml:space="preserve">СОСТ-00278</x:t>
        </x:is>
      </x:c>
      <x:c r="B279" s="31" t="inlineStr">
        <x:is>
          <x:t xml:space="preserve">ИЗД-020</x:t>
        </x:is>
      </x:c>
      <x:c r="C279" s="31" t="inlineStr">
        <x:is>
          <x:t xml:space="preserve">МАТ-0069</x:t>
        </x:is>
      </x:c>
      <x:c r="D279" s="31" t="inlineStr">
        <x:is>
          <x:t xml:space="preserve">Эмаль полиуретановая</x:t>
        </x:is>
      </x:c>
      <x:c r="E279" s="31" t="inlineStr">
        <x:is>
          <x:t xml:space="preserve">Покраска</x:t>
        </x:is>
      </x:c>
      <x:c r="F279" s="31" t="n">
        <x:v>11.92</x:v>
      </x:c>
      <x:c r="G279" s="31" t="inlineStr">
        <x:is>
          <x:t xml:space="preserve">л</x:t>
        </x:is>
      </x:c>
      <x:c r="H279" s="31" t="inlineStr">
        <x:is>
          <x:t xml:space="preserve">Обязательный</x:t>
        </x:is>
      </x:c>
      <x:c r="I279" s="31" t="inlineStr">
        <x:is>
          <x:t xml:space="preserve">ГЗ-ПОК-1</x:t>
        </x:is>
      </x:c>
      <x:c r="J279" s="31" t="inlineStr">
        <x:is>
          <x:t xml:space="preserve">Нет</x:t>
        </x:is>
      </x:c>
    </x:row>
    <x:row r="280" ht="18" customHeight="1">
      <x:c r="A280" s="31" t="inlineStr">
        <x:is>
          <x:t xml:space="preserve">СОСТ-00279</x:t>
        </x:is>
      </x:c>
      <x:c r="B280" s="31" t="inlineStr">
        <x:is>
          <x:t xml:space="preserve">ИЗД-020</x:t>
        </x:is>
      </x:c>
      <x:c r="C280" s="31" t="inlineStr">
        <x:is>
          <x:t xml:space="preserve">МАТ-0083</x:t>
        </x:is>
      </x:c>
      <x:c r="D280" s="31" t="inlineStr">
        <x:is>
          <x:t xml:space="preserve">Анкер М16</x:t>
        </x:is>
      </x:c>
      <x:c r="E280" s="31" t="inlineStr">
        <x:is>
          <x:t xml:space="preserve">Крепеж</x:t>
        </x:is>
      </x:c>
      <x:c r="F280" s="31" t="n">
        <x:v>7.04</x:v>
      </x:c>
      <x:c r="G280" s="31" t="inlineStr">
        <x:is>
          <x:t xml:space="preserve">шт</x:t>
        </x:is>
      </x:c>
      <x:c r="H280" s="31" t="inlineStr">
        <x:is>
          <x:t xml:space="preserve">Обязательный</x:t>
        </x:is>
      </x:c>
      <x:c r="I280" s="31" t="inlineStr">
        <x:is>
          <x:t xml:space="preserve">ГЗ-КРЕ-5</x:t>
        </x:is>
      </x:c>
      <x:c r="J280" s="31" t="inlineStr">
        <x:is>
          <x:t xml:space="preserve">Нет</x:t>
        </x:is>
      </x:c>
    </x:row>
    <x:row r="281" ht="18" customHeight="1">
      <x:c r="A281" s="31" t="inlineStr">
        <x:is>
          <x:t xml:space="preserve">СОСТ-00280</x:t>
        </x:is>
      </x:c>
      <x:c r="B281" s="31" t="inlineStr">
        <x:is>
          <x:t xml:space="preserve">ИЗД-020</x:t>
        </x:is>
      </x:c>
      <x:c r="C281" s="31" t="inlineStr">
        <x:is>
          <x:t xml:space="preserve">МАТ-0082</x:t>
        </x:is>
      </x:c>
      <x:c r="D281" s="31" t="inlineStr">
        <x:is>
          <x:t xml:space="preserve">Шайба 12 / исп.2</x:t>
        </x:is>
      </x:c>
      <x:c r="E281" s="31" t="inlineStr">
        <x:is>
          <x:t xml:space="preserve">Крепеж</x:t>
        </x:is>
      </x:c>
      <x:c r="F281" s="31" t="n">
        <x:v>1.23</x:v>
      </x:c>
      <x:c r="G281" s="31" t="inlineStr">
        <x:is>
          <x:t xml:space="preserve">шт</x:t>
        </x:is>
      </x:c>
      <x:c r="H281" s="31" t="inlineStr">
        <x:is>
          <x:t xml:space="preserve">Обязательный</x:t>
        </x:is>
      </x:c>
      <x:c r="I281" s="31" t="inlineStr">
        <x:is>
          <x:t xml:space="preserve">ГЗ-КРЕ-1</x:t>
        </x:is>
      </x:c>
      <x:c r="J281" s="31" t="inlineStr">
        <x:is>
          <x:t xml:space="preserve">Нет</x:t>
        </x:is>
      </x:c>
    </x:row>
    <x:row r="282" ht="18" customHeight="1">
      <x:c r="A282" s="31" t="inlineStr">
        <x:is>
          <x:t xml:space="preserve">СОСТ-00281</x:t>
        </x:is>
      </x:c>
      <x:c r="B282" s="31" t="inlineStr">
        <x:is>
          <x:t xml:space="preserve">ИЗД-020</x:t>
        </x:is>
      </x:c>
      <x:c r="C282" s="31" t="inlineStr">
        <x:is>
          <x:t xml:space="preserve">МАТ-0076</x:t>
        </x:is>
      </x:c>
      <x:c r="D282" s="31" t="inlineStr">
        <x:is>
          <x:t xml:space="preserve">Болт М12 / исп.2</x:t>
        </x:is>
      </x:c>
      <x:c r="E282" s="31" t="inlineStr">
        <x:is>
          <x:t xml:space="preserve">Крепеж</x:t>
        </x:is>
      </x:c>
      <x:c r="F282" s="31" t="n">
        <x:v>5.21</x:v>
      </x:c>
      <x:c r="G282" s="31" t="inlineStr">
        <x:is>
          <x:t xml:space="preserve">шт</x:t>
        </x:is>
      </x:c>
      <x:c r="H282" s="31" t="inlineStr">
        <x:is>
          <x:t xml:space="preserve">Обязательный</x:t>
        </x:is>
      </x:c>
      <x:c r="I282" s="31" t="inlineStr">
        <x:is>
          <x:t xml:space="preserve">ГЗ-КРЕ-7</x:t>
        </x:is>
      </x:c>
      <x:c r="J282" s="31" t="inlineStr">
        <x:is>
          <x:t xml:space="preserve">Нет</x:t>
        </x:is>
      </x:c>
    </x:row>
    <x:row r="283" ht="18" customHeight="1">
      <x:c r="A283" s="31" t="inlineStr">
        <x:is>
          <x:t xml:space="preserve">СОСТ-00282</x:t>
        </x:is>
      </x:c>
      <x:c r="B283" s="31" t="inlineStr">
        <x:is>
          <x:t xml:space="preserve">ИЗД-020</x:t>
        </x:is>
      </x:c>
      <x:c r="C283" s="31" t="inlineStr">
        <x:is>
          <x:t xml:space="preserve">МАТ-0086</x:t>
        </x:is>
      </x:c>
      <x:c r="D283" s="31" t="inlineStr">
        <x:is>
          <x:t xml:space="preserve">Пленка стрейч / исп.2</x:t>
        </x:is>
      </x:c>
      <x:c r="E283" s="31" t="inlineStr">
        <x:is>
          <x:t xml:space="preserve">Упаковка</x:t>
        </x:is>
      </x:c>
      <x:c r="F283" s="31" t="n">
        <x:v>1.28</x:v>
      </x:c>
      <x:c r="G283" s="31" t="inlineStr">
        <x:is>
          <x:t xml:space="preserve">шт</x:t>
        </x:is>
      </x:c>
      <x:c r="H283" s="31" t="inlineStr">
        <x:is>
          <x:t xml:space="preserve">Обязательный</x:t>
        </x:is>
      </x:c>
      <x:c r="I283" s="31" t="inlineStr">
        <x:is>
          <x:t xml:space="preserve">ГЗ-УПА-4</x:t>
        </x:is>
      </x:c>
      <x:c r="J283" s="31" t="inlineStr">
        <x:is>
          <x:t xml:space="preserve">Нет</x:t>
        </x:is>
      </x:c>
    </x:row>
    <x:row r="284" ht="18" customHeight="1">
      <x:c r="A284" s="31" t="inlineStr">
        <x:is>
          <x:t xml:space="preserve">СОСТ-00283</x:t>
        </x:is>
      </x:c>
      <x:c r="B284" s="31" t="inlineStr">
        <x:is>
          <x:t xml:space="preserve">ИЗД-020</x:t>
        </x:is>
      </x:c>
      <x:c r="C284" s="31" t="inlineStr">
        <x:is>
          <x:t xml:space="preserve">МАТ-0086</x:t>
        </x:is>
      </x:c>
      <x:c r="D284" s="31" t="inlineStr">
        <x:is>
          <x:t xml:space="preserve">Пленка стрейч / исп.2</x:t>
        </x:is>
      </x:c>
      <x:c r="E284" s="31" t="inlineStr">
        <x:is>
          <x:t xml:space="preserve">Упаковка</x:t>
        </x:is>
      </x:c>
      <x:c r="F284" s="31" t="n">
        <x:v>3.12</x:v>
      </x:c>
      <x:c r="G284" s="31" t="inlineStr">
        <x:is>
          <x:t xml:space="preserve">шт</x:t>
        </x:is>
      </x:c>
      <x:c r="H284" s="31" t="inlineStr">
        <x:is>
          <x:t xml:space="preserve">Обязательный</x:t>
        </x:is>
      </x:c>
      <x:c r="I284" s="31" t="inlineStr">
        <x:is>
          <x:t xml:space="preserve">ГЗ-УПА-4</x:t>
        </x:is>
      </x:c>
      <x:c r="J284" s="31" t="inlineStr">
        <x:is>
          <x:t xml:space="preserve">Нет</x:t>
        </x:is>
      </x:c>
    </x:row>
    <x:row r="285" ht="18" customHeight="1">
      <x:c r="A285" s="31" t="inlineStr">
        <x:is>
          <x:t xml:space="preserve">СОСТ-00284</x:t>
        </x:is>
      </x:c>
      <x:c r="B285" s="31" t="inlineStr">
        <x:is>
          <x:t xml:space="preserve">ИЗД-020</x:t>
        </x:is>
      </x:c>
      <x:c r="C285" s="31" t="inlineStr">
        <x:is>
          <x:t xml:space="preserve">МАТ-0085</x:t>
        </x:is>
      </x:c>
      <x:c r="D285" s="31" t="inlineStr">
        <x:is>
          <x:t xml:space="preserve">Пленка стрейч</x:t>
        </x:is>
      </x:c>
      <x:c r="E285" s="31" t="inlineStr">
        <x:is>
          <x:t xml:space="preserve">Упаковка</x:t>
        </x:is>
      </x:c>
      <x:c r="F285" s="31" t="n">
        <x:v>6.49</x:v>
      </x:c>
      <x:c r="G285" s="31" t="inlineStr">
        <x:is>
          <x:t xml:space="preserve">шт</x:t>
        </x:is>
      </x:c>
      <x:c r="H285" s="31" t="inlineStr">
        <x:is>
          <x:t xml:space="preserve">Обязательный</x:t>
        </x:is>
      </x:c>
      <x:c r="I285" s="31" t="inlineStr">
        <x:is>
          <x:t xml:space="preserve">ГЗ-УПА-5</x:t>
        </x:is>
      </x:c>
      <x:c r="J285" s="31" t="inlineStr">
        <x:is>
          <x:t xml:space="preserve">Нет</x:t>
        </x:is>
      </x:c>
    </x:row>
    <x:row r="286" ht="18" customHeight="1">
      <x:c r="A286" s="31" t="inlineStr">
        <x:is>
          <x:t xml:space="preserve">СОСТ-00285</x:t>
        </x:is>
      </x:c>
      <x:c r="B286" s="31" t="inlineStr">
        <x:is>
          <x:t xml:space="preserve">ИЗД-021</x:t>
        </x:is>
      </x:c>
      <x:c r="C286" s="31" t="inlineStr">
        <x:is>
          <x:t xml:space="preserve">МАТ-0005</x:t>
        </x:is>
      </x:c>
      <x:c r="D286" s="31" t="inlineStr">
        <x:is>
          <x:t xml:space="preserve">Труба бесшовная 57×4</x:t>
        </x:is>
      </x:c>
      <x:c r="E286" s="31" t="inlineStr">
        <x:is>
          <x:t xml:space="preserve">Металл</x:t>
        </x:is>
      </x:c>
      <x:c r="F286" s="31" t="n">
        <x:v>65.89</x:v>
      </x:c>
      <x:c r="G286" s="31" t="inlineStr">
        <x:is>
          <x:t xml:space="preserve">м</x:t>
        </x:is>
      </x:c>
      <x:c r="H286" s="31" t="inlineStr">
        <x:is>
          <x:t xml:space="preserve">Обязательный</x:t>
        </x:is>
      </x:c>
      <x:c r="I286" s="31" t="inlineStr">
        <x:is>
          <x:t xml:space="preserve">ГЗ-МЕТ-5</x:t>
        </x:is>
      </x:c>
      <x:c r="J286" s="31" t="inlineStr">
        <x:is>
          <x:t xml:space="preserve">Нет</x:t>
        </x:is>
      </x:c>
    </x:row>
    <x:row r="287" ht="18" customHeight="1">
      <x:c r="A287" s="31" t="inlineStr">
        <x:is>
          <x:t xml:space="preserve">СОСТ-00286</x:t>
        </x:is>
      </x:c>
      <x:c r="B287" s="31" t="inlineStr">
        <x:is>
          <x:t xml:space="preserve">ИЗД-021</x:t>
        </x:is>
      </x:c>
      <x:c r="C287" s="31" t="inlineStr">
        <x:is>
          <x:t xml:space="preserve">МАТ-0006</x:t>
        </x:is>
      </x:c>
      <x:c r="D287" s="31" t="inlineStr">
        <x:is>
          <x:t xml:space="preserve">Труба нержавеющая 38×3</x:t>
        </x:is>
      </x:c>
      <x:c r="E287" s="31" t="inlineStr">
        <x:is>
          <x:t xml:space="preserve">Металл</x:t>
        </x:is>
      </x:c>
      <x:c r="F287" s="31" t="n">
        <x:v>1.47</x:v>
      </x:c>
      <x:c r="G287" s="31" t="inlineStr">
        <x:is>
          <x:t xml:space="preserve">шт</x:t>
        </x:is>
      </x:c>
      <x:c r="H287" s="31" t="inlineStr">
        <x:is>
          <x:t xml:space="preserve">Обязательный</x:t>
        </x:is>
      </x:c>
      <x:c r="I287" s="31" t="inlineStr">
        <x:is>
          <x:t xml:space="preserve">ГЗ-МЕТ-8</x:t>
        </x:is>
      </x:c>
      <x:c r="J287" s="31" t="inlineStr">
        <x:is>
          <x:t xml:space="preserve">Нет</x:t>
        </x:is>
      </x:c>
    </x:row>
    <x:row r="288" ht="18" customHeight="1">
      <x:c r="A288" s="31" t="inlineStr">
        <x:is>
          <x:t xml:space="preserve">СОСТ-00287</x:t>
        </x:is>
      </x:c>
      <x:c r="B288" s="31" t="inlineStr">
        <x:is>
          <x:t xml:space="preserve">ИЗД-021</x:t>
        </x:is>
      </x:c>
      <x:c r="C288" s="31" t="inlineStr">
        <x:is>
          <x:t xml:space="preserve">МАТ-0024</x:t>
        </x:is>
      </x:c>
      <x:c r="D288" s="31" t="inlineStr">
        <x:is>
          <x:t xml:space="preserve">Рабочее колесо / исп.2</x:t>
        </x:is>
      </x:c>
      <x:c r="E288" s="31" t="inlineStr">
        <x:is>
          <x:t xml:space="preserve">Насосы</x:t>
        </x:is>
      </x:c>
      <x:c r="F288" s="31" t="n">
        <x:v>4.17</x:v>
      </x:c>
      <x:c r="G288" s="31" t="inlineStr">
        <x:is>
          <x:t xml:space="preserve">шт</x:t>
        </x:is>
      </x:c>
      <x:c r="H288" s="31" t="inlineStr">
        <x:is>
          <x:t xml:space="preserve">Обязательный</x:t>
        </x:is>
      </x:c>
      <x:c r="I288" s="31" t="inlineStr">
        <x:is>
          <x:t xml:space="preserve">ГЗ-НАС-7</x:t>
        </x:is>
      </x:c>
      <x:c r="J288" s="31" t="inlineStr">
        <x:is>
          <x:t xml:space="preserve">Нет</x:t>
        </x:is>
      </x:c>
    </x:row>
    <x:row r="289" ht="18" customHeight="1">
      <x:c r="A289" s="31" t="inlineStr">
        <x:is>
          <x:t xml:space="preserve">СОСТ-00288</x:t>
        </x:is>
      </x:c>
      <x:c r="B289" s="31" t="inlineStr">
        <x:is>
          <x:t xml:space="preserve">ИЗД-021</x:t>
        </x:is>
      </x:c>
      <x:c r="C289" s="31" t="inlineStr">
        <x:is>
          <x:t xml:space="preserve">МАТ-0024</x:t>
        </x:is>
      </x:c>
      <x:c r="D289" s="31" t="inlineStr">
        <x:is>
          <x:t xml:space="preserve">Рабочее колесо / исп.2</x:t>
        </x:is>
      </x:c>
      <x:c r="E289" s="31" t="inlineStr">
        <x:is>
          <x:t xml:space="preserve">Насосы</x:t>
        </x:is>
      </x:c>
      <x:c r="F289" s="31" t="n">
        <x:v>1.93</x:v>
      </x:c>
      <x:c r="G289" s="31" t="inlineStr">
        <x:is>
          <x:t xml:space="preserve">шт</x:t>
        </x:is>
      </x:c>
      <x:c r="H289" s="31" t="inlineStr">
        <x:is>
          <x:t xml:space="preserve">Обязательный</x:t>
        </x:is>
      </x:c>
      <x:c r="I289" s="31" t="inlineStr">
        <x:is>
          <x:t xml:space="preserve">ГЗ-НАС-7</x:t>
        </x:is>
      </x:c>
      <x:c r="J289" s="31" t="inlineStr">
        <x:is>
          <x:t xml:space="preserve">Нет</x:t>
        </x:is>
      </x:c>
    </x:row>
    <x:row r="290" ht="18" customHeight="1">
      <x:c r="A290" s="31" t="inlineStr">
        <x:is>
          <x:t xml:space="preserve">СОСТ-00289</x:t>
        </x:is>
      </x:c>
      <x:c r="B290" s="31" t="inlineStr">
        <x:is>
          <x:t xml:space="preserve">ИЗД-021</x:t>
        </x:is>
      </x:c>
      <x:c r="C290" s="31" t="inlineStr">
        <x:is>
          <x:t xml:space="preserve">МАТ-0030</x:t>
        </x:is>
      </x:c>
      <x:c r="D290" s="31" t="inlineStr">
        <x:is>
          <x:t xml:space="preserve">Частотный преобразователь 22 кВт / исп.2</x:t>
        </x:is>
      </x:c>
      <x:c r="E290" s="31" t="inlineStr">
        <x:is>
          <x:t xml:space="preserve">Электродвигатели</x:t>
        </x:is>
      </x:c>
      <x:c r="F290" s="31" t="n">
        <x:v>4.14</x:v>
      </x:c>
      <x:c r="G290" s="31" t="inlineStr">
        <x:is>
          <x:t xml:space="preserve">шт</x:t>
        </x:is>
      </x:c>
      <x:c r="H290" s="31" t="inlineStr">
        <x:is>
          <x:t xml:space="preserve">Обязательный</x:t>
        </x:is>
      </x:c>
      <x:c r="I290" s="31" t="inlineStr">
        <x:is>
          <x:t xml:space="preserve">ГЗ-ЭЛЕ-1</x:t>
        </x:is>
      </x:c>
      <x:c r="J290" s="31" t="inlineStr">
        <x:is>
          <x:t xml:space="preserve">Нет</x:t>
        </x:is>
      </x:c>
    </x:row>
    <x:row r="291" ht="18" customHeight="1">
      <x:c r="A291" s="31" t="inlineStr">
        <x:is>
          <x:t xml:space="preserve">СОСТ-00290</x:t>
        </x:is>
      </x:c>
      <x:c r="B291" s="31" t="inlineStr">
        <x:is>
          <x:t xml:space="preserve">ИЗД-021</x:t>
        </x:is>
      </x:c>
      <x:c r="C291" s="31" t="inlineStr">
        <x:is>
          <x:t xml:space="preserve">МАТ-0029</x:t>
        </x:is>
      </x:c>
      <x:c r="D291" s="31" t="inlineStr">
        <x:is>
          <x:t xml:space="preserve">Частотный преобразователь 22 кВт</x:t>
        </x:is>
      </x:c>
      <x:c r="E291" s="31" t="inlineStr">
        <x:is>
          <x:t xml:space="preserve">Электродвигатели</x:t>
        </x:is>
      </x:c>
      <x:c r="F291" s="31" t="n">
        <x:v>5.65</x:v>
      </x:c>
      <x:c r="G291" s="31" t="inlineStr">
        <x:is>
          <x:t xml:space="preserve">шт</x:t>
        </x:is>
      </x:c>
      <x:c r="H291" s="31" t="inlineStr">
        <x:is>
          <x:t xml:space="preserve">Обязательный</x:t>
        </x:is>
      </x:c>
      <x:c r="I291" s="31" t="inlineStr">
        <x:is>
          <x:t xml:space="preserve">ГЗ-ЭЛЕ-9</x:t>
        </x:is>
      </x:c>
      <x:c r="J291" s="31" t="inlineStr">
        <x:is>
          <x:t xml:space="preserve">Нет</x:t>
        </x:is>
      </x:c>
    </x:row>
    <x:row r="292" ht="18" customHeight="1">
      <x:c r="A292" s="31" t="inlineStr">
        <x:is>
          <x:t xml:space="preserve">СОСТ-00291</x:t>
        </x:is>
      </x:c>
      <x:c r="B292" s="31" t="inlineStr">
        <x:is>
          <x:t xml:space="preserve">ИЗД-021</x:t>
        </x:is>
      </x:c>
      <x:c r="C292" s="31" t="inlineStr">
        <x:is>
          <x:t xml:space="preserve">МАТ-0033</x:t>
        </x:is>
      </x:c>
      <x:c r="D292" s="31" t="inlineStr">
        <x:is>
          <x:t xml:space="preserve">Расходомер электромагнитный Ду50</x:t>
        </x:is>
      </x:c>
      <x:c r="E292" s="31" t="inlineStr">
        <x:is>
          <x:t xml:space="preserve">КИПиА</x:t>
        </x:is>
      </x:c>
      <x:c r="F292" s="31" t="n">
        <x:v>4.79</x:v>
      </x:c>
      <x:c r="G292" s="31" t="inlineStr">
        <x:is>
          <x:t xml:space="preserve">шт</x:t>
        </x:is>
      </x:c>
      <x:c r="H292" s="31" t="inlineStr">
        <x:is>
          <x:t xml:space="preserve">Опция</x:t>
        </x:is>
      </x:c>
      <x:c r="I292" s="31" t="inlineStr">
        <x:is>
          <x:t xml:space="preserve">ГЗ-КИП-6</x:t>
        </x:is>
      </x:c>
      <x:c r="J292" s="31" t="inlineStr">
        <x:is>
          <x:t xml:space="preserve">Нет</x:t>
        </x:is>
      </x:c>
    </x:row>
    <x:row r="293" ht="18" customHeight="1">
      <x:c r="A293" s="31" t="inlineStr">
        <x:is>
          <x:t xml:space="preserve">СОСТ-00292</x:t>
        </x:is>
      </x:c>
      <x:c r="B293" s="31" t="inlineStr">
        <x:is>
          <x:t xml:space="preserve">ИЗД-021</x:t>
        </x:is>
      </x:c>
      <x:c r="C293" s="31" t="inlineStr">
        <x:is>
          <x:t xml:space="preserve">МАТ-0036</x:t>
        </x:is>
      </x:c>
      <x:c r="D293" s="31" t="inlineStr">
        <x:is>
          <x:t xml:space="preserve">Клапан электромагнитный 24В / исп.2</x:t>
        </x:is>
      </x:c>
      <x:c r="E293" s="31" t="inlineStr">
        <x:is>
          <x:t xml:space="preserve">КИПиА</x:t>
        </x:is>
      </x:c>
      <x:c r="F293" s="31" t="n">
        <x:v>2.94</x:v>
      </x:c>
      <x:c r="G293" s="31" t="inlineStr">
        <x:is>
          <x:t xml:space="preserve">шт</x:t>
        </x:is>
      </x:c>
      <x:c r="H293" s="31" t="inlineStr">
        <x:is>
          <x:t xml:space="preserve">Обязательный</x:t>
        </x:is>
      </x:c>
      <x:c r="I293" s="31" t="inlineStr">
        <x:is>
          <x:t xml:space="preserve">ГЗ-КИП-6</x:t>
        </x:is>
      </x:c>
      <x:c r="J293" s="31" t="inlineStr">
        <x:is>
          <x:t xml:space="preserve">Нет</x:t>
        </x:is>
      </x:c>
    </x:row>
    <x:row r="294" ht="18" customHeight="1">
      <x:c r="A294" s="31" t="inlineStr">
        <x:is>
          <x:t xml:space="preserve">СОСТ-00293</x:t>
        </x:is>
      </x:c>
      <x:c r="B294" s="31" t="inlineStr">
        <x:is>
          <x:t xml:space="preserve">ИЗД-021</x:t>
        </x:is>
      </x:c>
      <x:c r="C294" s="31" t="inlineStr">
        <x:is>
          <x:t xml:space="preserve">МАТ-0060</x:t>
        </x:is>
      </x:c>
      <x:c r="D294" s="31" t="inlineStr">
        <x:is>
          <x:t xml:space="preserve">Фильтр сетчатый Ду50 / исп.2</x:t>
        </x:is>
      </x:c>
      <x:c r="E294" s="31" t="inlineStr">
        <x:is>
          <x:t xml:space="preserve">Запорная арматура</x:t>
        </x:is>
      </x:c>
      <x:c r="F294" s="31" t="n">
        <x:v>5.41</x:v>
      </x:c>
      <x:c r="G294" s="31" t="inlineStr">
        <x:is>
          <x:t xml:space="preserve">шт</x:t>
        </x:is>
      </x:c>
      <x:c r="H294" s="31" t="inlineStr">
        <x:is>
          <x:t xml:space="preserve">Обязательный</x:t>
        </x:is>
      </x:c>
      <x:c r="I294" s="31" t="inlineStr">
        <x:is>
          <x:t xml:space="preserve">ГЗ-ЗАП-3</x:t>
        </x:is>
      </x:c>
      <x:c r="J294" s="31" t="inlineStr">
        <x:is>
          <x:t xml:space="preserve">Нет</x:t>
        </x:is>
      </x:c>
    </x:row>
    <x:row r="295" ht="18" customHeight="1">
      <x:c r="A295" s="31" t="inlineStr">
        <x:is>
          <x:t xml:space="preserve">СОСТ-00294</x:t>
        </x:is>
      </x:c>
      <x:c r="B295" s="31" t="inlineStr">
        <x:is>
          <x:t xml:space="preserve">ИЗД-021</x:t>
        </x:is>
      </x:c>
      <x:c r="C295" s="31" t="inlineStr">
        <x:is>
          <x:t xml:space="preserve">МАТ-0062</x:t>
        </x:is>
      </x:c>
      <x:c r="D295" s="31" t="inlineStr">
        <x:is>
          <x:t xml:space="preserve">Кабель КВВГ 4×1.5</x:t>
        </x:is>
      </x:c>
      <x:c r="E295" s="31" t="inlineStr">
        <x:is>
          <x:t xml:space="preserve">Кабель</x:t>
        </x:is>
      </x:c>
      <x:c r="F295" s="31" t="n">
        <x:v>8.640000000000001</x:v>
      </x:c>
      <x:c r="G295" s="31" t="inlineStr">
        <x:is>
          <x:t xml:space="preserve">м</x:t>
        </x:is>
      </x:c>
      <x:c r="H295" s="31" t="inlineStr">
        <x:is>
          <x:t xml:space="preserve">Опция</x:t>
        </x:is>
      </x:c>
      <x:c r="I295" s="31" t="inlineStr">
        <x:is>
          <x:t xml:space="preserve">ГЗ-КАБ-9</x:t>
        </x:is>
      </x:c>
      <x:c r="J295" s="31" t="inlineStr">
        <x:is>
          <x:t xml:space="preserve">Нет</x:t>
        </x:is>
      </x:c>
    </x:row>
    <x:row r="296" ht="18" customHeight="1">
      <x:c r="A296" s="31" t="inlineStr">
        <x:is>
          <x:t xml:space="preserve">СОСТ-00295</x:t>
        </x:is>
      </x:c>
      <x:c r="B296" s="31" t="inlineStr">
        <x:is>
          <x:t xml:space="preserve">ИЗД-021</x:t>
        </x:is>
      </x:c>
      <x:c r="C296" s="31" t="inlineStr">
        <x:is>
          <x:t xml:space="preserve">МАТ-0062</x:t>
        </x:is>
      </x:c>
      <x:c r="D296" s="31" t="inlineStr">
        <x:is>
          <x:t xml:space="preserve">Кабель КВВГ 4×1.5</x:t>
        </x:is>
      </x:c>
      <x:c r="E296" s="31" t="inlineStr">
        <x:is>
          <x:t xml:space="preserve">Кабель</x:t>
        </x:is>
      </x:c>
      <x:c r="F296" s="31" t="n">
        <x:v>42.7</x:v>
      </x:c>
      <x:c r="G296" s="31" t="inlineStr">
        <x:is>
          <x:t xml:space="preserve">м</x:t>
        </x:is>
      </x:c>
      <x:c r="H296" s="31" t="inlineStr">
        <x:is>
          <x:t xml:space="preserve">Обязательный</x:t>
        </x:is>
      </x:c>
      <x:c r="I296" s="31" t="inlineStr">
        <x:is>
          <x:t xml:space="preserve">ГЗ-КАБ-9</x:t>
        </x:is>
      </x:c>
      <x:c r="J296" s="31" t="inlineStr">
        <x:is>
          <x:t xml:space="preserve">Нет</x:t>
        </x:is>
      </x:c>
    </x:row>
    <x:row r="297" ht="18" customHeight="1">
      <x:c r="A297" s="31" t="inlineStr">
        <x:is>
          <x:t xml:space="preserve">СОСТ-00296</x:t>
        </x:is>
      </x:c>
      <x:c r="B297" s="31" t="inlineStr">
        <x:is>
          <x:t xml:space="preserve">ИЗД-021</x:t>
        </x:is>
      </x:c>
      <x:c r="C297" s="31" t="inlineStr">
        <x:is>
          <x:t xml:space="preserve">МАТ-0062</x:t>
        </x:is>
      </x:c>
      <x:c r="D297" s="31" t="inlineStr">
        <x:is>
          <x:t xml:space="preserve">Кабель КВВГ 4×1.5</x:t>
        </x:is>
      </x:c>
      <x:c r="E297" s="31" t="inlineStr">
        <x:is>
          <x:t xml:space="preserve">Кабель</x:t>
        </x:is>
      </x:c>
      <x:c r="F297" s="31" t="n">
        <x:v>75.02</x:v>
      </x:c>
      <x:c r="G297" s="31" t="inlineStr">
        <x:is>
          <x:t xml:space="preserve">м</x:t>
        </x:is>
      </x:c>
      <x:c r="H297" s="31" t="inlineStr">
        <x:is>
          <x:t xml:space="preserve">Обязательный</x:t>
        </x:is>
      </x:c>
      <x:c r="I297" s="31" t="inlineStr">
        <x:is>
          <x:t xml:space="preserve">ГЗ-КАБ-9</x:t>
        </x:is>
      </x:c>
      <x:c r="J297" s="31" t="inlineStr">
        <x:is>
          <x:t xml:space="preserve">Да</x:t>
        </x:is>
      </x:c>
    </x:row>
    <x:row r="298" ht="18" customHeight="1">
      <x:c r="A298" s="31" t="inlineStr">
        <x:is>
          <x:t xml:space="preserve">СОСТ-00297</x:t>
        </x:is>
      </x:c>
      <x:c r="B298" s="31" t="inlineStr">
        <x:is>
          <x:t xml:space="preserve">ИЗД-021</x:t>
        </x:is>
      </x:c>
      <x:c r="C298" s="31" t="inlineStr">
        <x:is>
          <x:t xml:space="preserve">МАТ-0041</x:t>
        </x:is>
      </x:c>
      <x:c r="D298" s="31" t="inlineStr">
        <x:is>
          <x:t xml:space="preserve">модуль аналогового входа 4 канала / исп.2</x:t>
        </x:is>
      </x:c>
      <x:c r="E298" s="31" t="inlineStr">
        <x:is>
          <x:t xml:space="preserve">ПЛК/электрика</x:t>
        </x:is>
      </x:c>
      <x:c r="F298" s="31" t="n">
        <x:v>6.81</x:v>
      </x:c>
      <x:c r="G298" s="31" t="inlineStr">
        <x:is>
          <x:t xml:space="preserve">шт</x:t>
        </x:is>
      </x:c>
      <x:c r="H298" s="31" t="inlineStr">
        <x:is>
          <x:t xml:space="preserve">Обязательный</x:t>
        </x:is>
      </x:c>
      <x:c r="I298" s="31" t="inlineStr">
        <x:is>
          <x:t xml:space="preserve">ГЗ-ПЛК-4</x:t>
        </x:is>
      </x:c>
      <x:c r="J298" s="31" t="inlineStr">
        <x:is>
          <x:t xml:space="preserve">Нет</x:t>
        </x:is>
      </x:c>
    </x:row>
    <x:row r="299" ht="18" customHeight="1">
      <x:c r="A299" s="31" t="inlineStr">
        <x:is>
          <x:t xml:space="preserve">СОСТ-00298</x:t>
        </x:is>
      </x:c>
      <x:c r="B299" s="31" t="inlineStr">
        <x:is>
          <x:t xml:space="preserve">ИЗД-021</x:t>
        </x:is>
      </x:c>
      <x:c r="C299" s="31" t="inlineStr">
        <x:is>
          <x:t xml:space="preserve">МАТ-0074</x:t>
        </x:is>
      </x:c>
      <x:c r="D299" s="31" t="inlineStr">
        <x:is>
          <x:t xml:space="preserve">Абразив для пескоструя</x:t>
        </x:is>
      </x:c>
      <x:c r="E299" s="31" t="inlineStr">
        <x:is>
          <x:t xml:space="preserve">Покраска</x:t>
        </x:is>
      </x:c>
      <x:c r="F299" s="31" t="n">
        <x:v>4.73</x:v>
      </x:c>
      <x:c r="G299" s="31" t="inlineStr">
        <x:is>
          <x:t xml:space="preserve">шт</x:t>
        </x:is>
      </x:c>
      <x:c r="H299" s="31" t="inlineStr">
        <x:is>
          <x:t xml:space="preserve">Обязательный</x:t>
        </x:is>
      </x:c>
      <x:c r="I299" s="31" t="inlineStr">
        <x:is>
          <x:t xml:space="preserve">ГЗ-ПОК-9</x:t>
        </x:is>
      </x:c>
      <x:c r="J299" s="31" t="inlineStr">
        <x:is>
          <x:t xml:space="preserve">Нет</x:t>
        </x:is>
      </x:c>
    </x:row>
    <x:row r="300" ht="18" customHeight="1">
      <x:c r="A300" s="31" t="inlineStr">
        <x:is>
          <x:t xml:space="preserve">СОСТ-00299</x:t>
        </x:is>
      </x:c>
      <x:c r="B300" s="31" t="inlineStr">
        <x:is>
          <x:t xml:space="preserve">ИЗД-021</x:t>
        </x:is>
      </x:c>
      <x:c r="C300" s="31" t="inlineStr">
        <x:is>
          <x:t xml:space="preserve">МАТ-0075</x:t>
        </x:is>
      </x:c>
      <x:c r="D300" s="31" t="inlineStr">
        <x:is>
          <x:t xml:space="preserve">Болт М12</x:t>
        </x:is>
      </x:c>
      <x:c r="E300" s="31" t="inlineStr">
        <x:is>
          <x:t xml:space="preserve">Крепеж</x:t>
        </x:is>
      </x:c>
      <x:c r="F300" s="31" t="n">
        <x:v>3.38</x:v>
      </x:c>
      <x:c r="G300" s="31" t="inlineStr">
        <x:is>
          <x:t xml:space="preserve">шт</x:t>
        </x:is>
      </x:c>
      <x:c r="H300" s="31" t="inlineStr">
        <x:is>
          <x:t xml:space="preserve">Обязательный</x:t>
        </x:is>
      </x:c>
      <x:c r="I300" s="31" t="inlineStr">
        <x:is>
          <x:t xml:space="preserve">ГЗ-КРЕ-6</x:t>
        </x:is>
      </x:c>
      <x:c r="J300" s="31" t="inlineStr">
        <x:is>
          <x:t xml:space="preserve">Да</x:t>
        </x:is>
      </x:c>
    </x:row>
    <x:row r="301">
      <x:c r="A301" s="31" t="inlineStr">
        <x:is>
          <x:t xml:space="preserve">СОСТ-00300</x:t>
        </x:is>
      </x:c>
      <x:c r="B301" s="31" t="inlineStr">
        <x:is>
          <x:t xml:space="preserve">ИЗД-021</x:t>
        </x:is>
      </x:c>
      <x:c r="C301" s="31" t="inlineStr">
        <x:is>
          <x:t xml:space="preserve">МАТ-0083</x:t>
        </x:is>
      </x:c>
      <x:c r="D301" s="31" t="inlineStr">
        <x:is>
          <x:t xml:space="preserve">Анкер М16</x:t>
        </x:is>
      </x:c>
      <x:c r="E301" s="31" t="inlineStr">
        <x:is>
          <x:t xml:space="preserve">Крепеж</x:t>
        </x:is>
      </x:c>
      <x:c r="F301" s="31" t="n">
        <x:v>3.22</x:v>
      </x:c>
      <x:c r="G301" s="31" t="inlineStr">
        <x:is>
          <x:t xml:space="preserve">шт</x:t>
        </x:is>
      </x:c>
      <x:c r="H301" s="31" t="inlineStr">
        <x:is>
          <x:t xml:space="preserve">Обязательный</x:t>
        </x:is>
      </x:c>
      <x:c r="I301" s="31" t="inlineStr">
        <x:is>
          <x:t xml:space="preserve">ГЗ-КРЕ-5</x:t>
        </x:is>
      </x:c>
      <x:c r="J301" s="31" t="inlineStr">
        <x:is>
          <x:t xml:space="preserve">Нет</x:t>
        </x:is>
      </x:c>
    </x:row>
    <x:row r="302">
      <x:c r="A302" s="31" t="inlineStr">
        <x:is>
          <x:t xml:space="preserve">СОСТ-00301</x:t>
        </x:is>
      </x:c>
      <x:c r="B302" s="31" t="inlineStr">
        <x:is>
          <x:t xml:space="preserve">ИЗД-021</x:t>
        </x:is>
      </x:c>
      <x:c r="C302" s="31" t="inlineStr">
        <x:is>
          <x:t xml:space="preserve">МАТ-0088</x:t>
        </x:is>
      </x:c>
      <x:c r="D302" s="31" t="inlineStr">
        <x:is>
          <x:t xml:space="preserve">Ящик фанерный / исп.2</x:t>
        </x:is>
      </x:c>
      <x:c r="E302" s="31" t="inlineStr">
        <x:is>
          <x:t xml:space="preserve">Упаковка</x:t>
        </x:is>
      </x:c>
      <x:c r="F302" s="31" t="n">
        <x:v>2.18</x:v>
      </x:c>
      <x:c r="G302" s="31" t="inlineStr">
        <x:is>
          <x:t xml:space="preserve">шт</x:t>
        </x:is>
      </x:c>
      <x:c r="H302" s="31" t="inlineStr">
        <x:is>
          <x:t xml:space="preserve">Обязательный</x:t>
        </x:is>
      </x:c>
      <x:c r="I302" s="31" t="inlineStr">
        <x:is>
          <x:t xml:space="preserve">ГЗ-УПА-4</x:t>
        </x:is>
      </x:c>
      <x:c r="J302" s="31" t="inlineStr">
        <x:is>
          <x:t xml:space="preserve">Нет</x:t>
        </x:is>
      </x:c>
    </x:row>
    <x:row r="303">
      <x:c r="A303" s="31" t="inlineStr">
        <x:is>
          <x:t xml:space="preserve">СОСТ-00302</x:t>
        </x:is>
      </x:c>
      <x:c r="B303" s="31" t="inlineStr">
        <x:is>
          <x:t xml:space="preserve">ИЗД-022</x:t>
        </x:is>
      </x:c>
      <x:c r="C303" s="31" t="inlineStr">
        <x:is>
          <x:t xml:space="preserve">МАТ-0003</x:t>
        </x:is>
      </x:c>
      <x:c r="D303" s="31" t="inlineStr">
        <x:is>
          <x:t xml:space="preserve">Лист стальной 09Г2С 12 мм / исп.2</x:t>
        </x:is>
      </x:c>
      <x:c r="E303" s="31" t="inlineStr">
        <x:is>
          <x:t xml:space="preserve">Металл</x:t>
        </x:is>
      </x:c>
      <x:c r="F303" s="31" t="n">
        <x:v>33.77</x:v>
      </x:c>
      <x:c r="G303" s="31" t="inlineStr">
        <x:is>
          <x:t xml:space="preserve">м</x:t>
        </x:is>
      </x:c>
      <x:c r="H303" s="31" t="inlineStr">
        <x:is>
          <x:t xml:space="preserve">Обязательный</x:t>
        </x:is>
      </x:c>
      <x:c r="I303" s="31" t="inlineStr">
        <x:is>
          <x:t xml:space="preserve">ГЗ-МЕТ-9</x:t>
        </x:is>
      </x:c>
      <x:c r="J303" s="31" t="inlineStr">
        <x:is>
          <x:t xml:space="preserve">Нет</x:t>
        </x:is>
      </x:c>
    </x:row>
    <x:row r="304">
      <x:c r="A304" s="31" t="inlineStr">
        <x:is>
          <x:t xml:space="preserve">СОСТ-00303</x:t>
        </x:is>
      </x:c>
      <x:c r="B304" s="31" t="inlineStr">
        <x:is>
          <x:t xml:space="preserve">ИЗД-022</x:t>
        </x:is>
      </x:c>
      <x:c r="C304" s="31" t="inlineStr">
        <x:is>
          <x:t xml:space="preserve">МАТ-0017</x:t>
        </x:is>
      </x:c>
      <x:c r="D304" s="31" t="inlineStr">
        <x:is>
          <x:t xml:space="preserve">Насос шестеренный 7.5 кВт</x:t>
        </x:is>
      </x:c>
      <x:c r="E304" s="31" t="inlineStr">
        <x:is>
          <x:t xml:space="preserve">Насосы</x:t>
        </x:is>
      </x:c>
      <x:c r="F304" s="31" t="n">
        <x:v>1.19</x:v>
      </x:c>
      <x:c r="G304" s="31" t="inlineStr">
        <x:is>
          <x:t xml:space="preserve">шт</x:t>
        </x:is>
      </x:c>
      <x:c r="H304" s="31" t="inlineStr">
        <x:is>
          <x:t xml:space="preserve">Обязательный</x:t>
        </x:is>
      </x:c>
      <x:c r="I304" s="31" t="inlineStr">
        <x:is>
          <x:t xml:space="preserve">ГЗ-НАС-8</x:t>
        </x:is>
      </x:c>
      <x:c r="J304" s="31" t="inlineStr">
        <x:is>
          <x:t xml:space="preserve">Нет</x:t>
        </x:is>
      </x:c>
    </x:row>
    <x:row r="305">
      <x:c r="A305" s="31" t="inlineStr">
        <x:is>
          <x:t xml:space="preserve">СОСТ-00304</x:t>
        </x:is>
      </x:c>
      <x:c r="B305" s="31" t="inlineStr">
        <x:is>
          <x:t xml:space="preserve">ИЗД-022</x:t>
        </x:is>
      </x:c>
      <x:c r="C305" s="31" t="inlineStr">
        <x:is>
          <x:t xml:space="preserve">МАТ-0020</x:t>
        </x:is>
      </x:c>
      <x:c r="D305" s="31" t="inlineStr">
        <x:is>
          <x:t xml:space="preserve">Насос дозировочный / исп.2</x:t>
        </x:is>
      </x:c>
      <x:c r="E305" s="31" t="inlineStr">
        <x:is>
          <x:t xml:space="preserve">Насосы</x:t>
        </x:is>
      </x:c>
      <x:c r="F305" s="31" t="n">
        <x:v>2</x:v>
      </x:c>
      <x:c r="G305" s="31" t="inlineStr">
        <x:is>
          <x:t xml:space="preserve">шт</x:t>
        </x:is>
      </x:c>
      <x:c r="H305" s="31" t="inlineStr">
        <x:is>
          <x:t xml:space="preserve">Опция</x:t>
        </x:is>
      </x:c>
      <x:c r="I305" s="31" t="inlineStr">
        <x:is>
          <x:t xml:space="preserve">ГЗ-НАС-1</x:t>
        </x:is>
      </x:c>
      <x:c r="J305" s="31" t="inlineStr">
        <x:is>
          <x:t xml:space="preserve">Нет</x:t>
        </x:is>
      </x:c>
    </x:row>
    <x:row r="306">
      <x:c r="A306" s="31" t="inlineStr">
        <x:is>
          <x:t xml:space="preserve">СОСТ-00305</x:t>
        </x:is>
      </x:c>
      <x:c r="B306" s="31" t="inlineStr">
        <x:is>
          <x:t xml:space="preserve">ИЗД-022</x:t>
        </x:is>
      </x:c>
      <x:c r="C306" s="31" t="inlineStr">
        <x:is>
          <x:t xml:space="preserve">МАТ-0025</x:t>
        </x:is>
      </x:c>
      <x:c r="D306" s="31" t="inlineStr">
        <x:is>
          <x:t xml:space="preserve">Двигатель 7.5 кВт</x:t>
        </x:is>
      </x:c>
      <x:c r="E306" s="31" t="inlineStr">
        <x:is>
          <x:t xml:space="preserve">Электродвигатели</x:t>
        </x:is>
      </x:c>
      <x:c r="F306" s="31" t="n">
        <x:v>2.42</x:v>
      </x:c>
      <x:c r="G306" s="31" t="inlineStr">
        <x:is>
          <x:t xml:space="preserve">шт</x:t>
        </x:is>
      </x:c>
      <x:c r="H306" s="31" t="inlineStr">
        <x:is>
          <x:t xml:space="preserve">Обязательный</x:t>
        </x:is>
      </x:c>
      <x:c r="I306" s="31" t="inlineStr">
        <x:is>
          <x:t xml:space="preserve">ГЗ-ЭЛЕ-6</x:t>
        </x:is>
      </x:c>
      <x:c r="J306" s="31" t="inlineStr">
        <x:is>
          <x:t xml:space="preserve">Нет</x:t>
        </x:is>
      </x:c>
    </x:row>
    <x:row r="307">
      <x:c r="A307" s="31" t="inlineStr">
        <x:is>
          <x:t xml:space="preserve">СОСТ-00306</x:t>
        </x:is>
      </x:c>
      <x:c r="B307" s="31" t="inlineStr">
        <x:is>
          <x:t xml:space="preserve">ИЗД-022</x:t>
        </x:is>
      </x:c>
      <x:c r="C307" s="31" t="inlineStr">
        <x:is>
          <x:t xml:space="preserve">МАТ-0035</x:t>
        </x:is>
      </x:c>
      <x:c r="D307" s="31" t="inlineStr">
        <x:is>
          <x:t xml:space="preserve">Клапан электромагнитный 24В</x:t>
        </x:is>
      </x:c>
      <x:c r="E307" s="31" t="inlineStr">
        <x:is>
          <x:t xml:space="preserve">КИПиА</x:t>
        </x:is>
      </x:c>
      <x:c r="F307" s="31" t="n">
        <x:v>6.27</x:v>
      </x:c>
      <x:c r="G307" s="31" t="inlineStr">
        <x:is>
          <x:t xml:space="preserve">шт</x:t>
        </x:is>
      </x:c>
      <x:c r="H307" s="31" t="inlineStr">
        <x:is>
          <x:t xml:space="preserve">Обязательный</x:t>
        </x:is>
      </x:c>
      <x:c r="I307" s="31" t="inlineStr">
        <x:is>
          <x:t xml:space="preserve">ГЗ-КИП-7</x:t>
        </x:is>
      </x:c>
      <x:c r="J307" s="31" t="inlineStr">
        <x:is>
          <x:t xml:space="preserve">Нет</x:t>
        </x:is>
      </x:c>
    </x:row>
    <x:row r="308">
      <x:c r="A308" s="31" t="inlineStr">
        <x:is>
          <x:t xml:space="preserve">СОСТ-00307</x:t>
        </x:is>
      </x:c>
      <x:c r="B308" s="31" t="inlineStr">
        <x:is>
          <x:t xml:space="preserve">ИЗД-022</x:t>
        </x:is>
      </x:c>
      <x:c r="C308" s="31" t="inlineStr">
        <x:is>
          <x:t xml:space="preserve">МАТ-0031</x:t>
        </x:is>
      </x:c>
      <x:c r="D308" s="31" t="inlineStr">
        <x:is>
          <x:t xml:space="preserve">Датчик давления 0-16 бар</x:t>
        </x:is>
      </x:c>
      <x:c r="E308" s="31" t="inlineStr">
        <x:is>
          <x:t xml:space="preserve">КИПиА</x:t>
        </x:is>
      </x:c>
      <x:c r="F308" s="31" t="n">
        <x:v>3.23</x:v>
      </x:c>
      <x:c r="G308" s="31" t="inlineStr">
        <x:is>
          <x:t xml:space="preserve">шт</x:t>
        </x:is>
      </x:c>
      <x:c r="H308" s="31" t="inlineStr">
        <x:is>
          <x:t xml:space="preserve">Обязательный</x:t>
        </x:is>
      </x:c>
      <x:c r="I308" s="31" t="inlineStr">
        <x:is>
          <x:t xml:space="preserve">ГЗ-КИП-7</x:t>
        </x:is>
      </x:c>
      <x:c r="J308" s="31" t="inlineStr">
        <x:is>
          <x:t xml:space="preserve">Да</x:t>
        </x:is>
      </x:c>
    </x:row>
    <x:row r="309">
      <x:c r="A309" s="31" t="inlineStr">
        <x:is>
          <x:t xml:space="preserve">СОСТ-00308</x:t>
        </x:is>
      </x:c>
      <x:c r="B309" s="31" t="inlineStr">
        <x:is>
          <x:t xml:space="preserve">ИЗД-022</x:t>
        </x:is>
      </x:c>
      <x:c r="C309" s="31" t="inlineStr">
        <x:is>
          <x:t xml:space="preserve">МАТ-0057</x:t>
        </x:is>
      </x:c>
      <x:c r="D309" s="31" t="inlineStr">
        <x:is>
          <x:t xml:space="preserve">Задвижка Ду100 / исп.2</x:t>
        </x:is>
      </x:c>
      <x:c r="E309" s="31" t="inlineStr">
        <x:is>
          <x:t xml:space="preserve">Запорная арматура</x:t>
        </x:is>
      </x:c>
      <x:c r="F309" s="31" t="n">
        <x:v>5.43</x:v>
      </x:c>
      <x:c r="G309" s="31" t="inlineStr">
        <x:is>
          <x:t xml:space="preserve">шт</x:t>
        </x:is>
      </x:c>
      <x:c r="H309" s="31" t="inlineStr">
        <x:is>
          <x:t xml:space="preserve">Опция</x:t>
        </x:is>
      </x:c>
      <x:c r="I309" s="31" t="inlineStr">
        <x:is>
          <x:t xml:space="preserve">ГЗ-ЗАП-4</x:t>
        </x:is>
      </x:c>
      <x:c r="J309" s="31" t="inlineStr">
        <x:is>
          <x:t xml:space="preserve">Да</x:t>
        </x:is>
      </x:c>
    </x:row>
    <x:row r="310">
      <x:c r="A310" s="31" t="inlineStr">
        <x:is>
          <x:t xml:space="preserve">СОСТ-00309</x:t>
        </x:is>
      </x:c>
      <x:c r="B310" s="31" t="inlineStr">
        <x:is>
          <x:t xml:space="preserve">ИЗД-022</x:t>
        </x:is>
      </x:c>
      <x:c r="C310" s="31" t="inlineStr">
        <x:is>
          <x:t xml:space="preserve">МАТ-0066</x:t>
        </x:is>
      </x:c>
      <x:c r="D310" s="31" t="inlineStr">
        <x:is>
          <x:t xml:space="preserve">Гофра металлическая / исп.2</x:t>
        </x:is>
      </x:c>
      <x:c r="E310" s="31" t="inlineStr">
        <x:is>
          <x:t xml:space="preserve">Кабель</x:t>
        </x:is>
      </x:c>
      <x:c r="F310" s="31" t="n">
        <x:v>21.21</x:v>
      </x:c>
      <x:c r="G310" s="31" t="inlineStr">
        <x:is>
          <x:t xml:space="preserve">кг</x:t>
        </x:is>
      </x:c>
      <x:c r="H310" s="31" t="inlineStr">
        <x:is>
          <x:t xml:space="preserve">Обязательный</x:t>
        </x:is>
      </x:c>
      <x:c r="I310" s="31" t="inlineStr">
        <x:is>
          <x:t xml:space="preserve">ГЗ-КАБ-8</x:t>
        </x:is>
      </x:c>
      <x:c r="J310" s="31" t="inlineStr">
        <x:is>
          <x:t xml:space="preserve">Нет</x:t>
        </x:is>
      </x:c>
    </x:row>
    <x:row r="311">
      <x:c r="A311" s="31" t="inlineStr">
        <x:is>
          <x:t xml:space="preserve">СОСТ-00310</x:t>
        </x:is>
      </x:c>
      <x:c r="B311" s="31" t="inlineStr">
        <x:is>
          <x:t xml:space="preserve">ИЗД-022</x:t>
        </x:is>
      </x:c>
      <x:c r="C311" s="31" t="inlineStr">
        <x:is>
          <x:t xml:space="preserve">МАТ-0064</x:t>
        </x:is>
      </x:c>
      <x:c r="D311" s="31" t="inlineStr">
        <x:is>
          <x:t xml:space="preserve">Кабель ВВГнг 3×2.5 / исп.2</x:t>
        </x:is>
      </x:c>
      <x:c r="E311" s="31" t="inlineStr">
        <x:is>
          <x:t xml:space="preserve">Кабель</x:t>
        </x:is>
      </x:c>
      <x:c r="F311" s="31" t="n">
        <x:v>4.98</x:v>
      </x:c>
      <x:c r="G311" s="31" t="inlineStr">
        <x:is>
          <x:t xml:space="preserve">шт</x:t>
        </x:is>
      </x:c>
      <x:c r="H311" s="31" t="inlineStr">
        <x:is>
          <x:t xml:space="preserve">Обязательный</x:t>
        </x:is>
      </x:c>
      <x:c r="I311" s="31" t="inlineStr">
        <x:is>
          <x:t xml:space="preserve">ГЗ-КАБ-7</x:t>
        </x:is>
      </x:c>
      <x:c r="J311" s="31" t="inlineStr">
        <x:is>
          <x:t xml:space="preserve">Нет</x:t>
        </x:is>
      </x:c>
    </x:row>
    <x:row r="312">
      <x:c r="A312" s="31" t="inlineStr">
        <x:is>
          <x:t xml:space="preserve">СОСТ-00311</x:t>
        </x:is>
      </x:c>
      <x:c r="B312" s="31" t="inlineStr">
        <x:is>
          <x:t xml:space="preserve">ИЗД-022</x:t>
        </x:is>
      </x:c>
      <x:c r="C312" s="31" t="inlineStr">
        <x:is>
          <x:t xml:space="preserve">МАТ-0066</x:t>
        </x:is>
      </x:c>
      <x:c r="D312" s="31" t="inlineStr">
        <x:is>
          <x:t xml:space="preserve">Гофра металлическая / исп.2</x:t>
        </x:is>
      </x:c>
      <x:c r="E312" s="31" t="inlineStr">
        <x:is>
          <x:t xml:space="preserve">Кабель</x:t>
        </x:is>
      </x:c>
      <x:c r="F312" s="31" t="n">
        <x:v>77.5</x:v>
      </x:c>
      <x:c r="G312" s="31" t="inlineStr">
        <x:is>
          <x:t xml:space="preserve">кг</x:t>
        </x:is>
      </x:c>
      <x:c r="H312" s="31" t="inlineStr">
        <x:is>
          <x:t xml:space="preserve">Обязательный</x:t>
        </x:is>
      </x:c>
      <x:c r="I312" s="31" t="inlineStr">
        <x:is>
          <x:t xml:space="preserve">ГЗ-КАБ-8</x:t>
        </x:is>
      </x:c>
      <x:c r="J312" s="31" t="inlineStr">
        <x:is>
          <x:t xml:space="preserve">Нет</x:t>
        </x:is>
      </x:c>
    </x:row>
    <x:row r="313">
      <x:c r="A313" s="31" t="inlineStr">
        <x:is>
          <x:t xml:space="preserve">СОСТ-00312</x:t>
        </x:is>
      </x:c>
      <x:c r="B313" s="31" t="inlineStr">
        <x:is>
          <x:t xml:space="preserve">ИЗД-022</x:t>
        </x:is>
      </x:c>
      <x:c r="C313" s="31" t="inlineStr">
        <x:is>
          <x:t xml:space="preserve">МАТ-0046</x:t>
        </x:is>
      </x:c>
      <x:c r="D313" s="31" t="inlineStr">
        <x:is>
          <x:t xml:space="preserve">Контактор 25А</x:t>
        </x:is>
      </x:c>
      <x:c r="E313" s="31" t="inlineStr">
        <x:is>
          <x:t xml:space="preserve">ПЛК/электрика</x:t>
        </x:is>
      </x:c>
      <x:c r="F313" s="31" t="n">
        <x:v>7.67</x:v>
      </x:c>
      <x:c r="G313" s="31" t="inlineStr">
        <x:is>
          <x:t xml:space="preserve">шт</x:t>
        </x:is>
      </x:c>
      <x:c r="H313" s="31" t="inlineStr">
        <x:is>
          <x:t xml:space="preserve">Опция</x:t>
        </x:is>
      </x:c>
      <x:c r="I313" s="31" t="inlineStr">
        <x:is>
          <x:t xml:space="preserve">ГЗ-ПЛК-3</x:t>
        </x:is>
      </x:c>
      <x:c r="J313" s="31" t="inlineStr">
        <x:is>
          <x:t xml:space="preserve">Нет</x:t>
        </x:is>
      </x:c>
    </x:row>
    <x:row r="314">
      <x:c r="A314" s="31" t="inlineStr">
        <x:is>
          <x:t xml:space="preserve">СОСТ-00313</x:t>
        </x:is>
      </x:c>
      <x:c r="B314" s="31" t="inlineStr">
        <x:is>
          <x:t xml:space="preserve">ИЗД-022</x:t>
        </x:is>
      </x:c>
      <x:c r="C314" s="31" t="inlineStr">
        <x:is>
          <x:t xml:space="preserve">МАТ-0068</x:t>
        </x:is>
      </x:c>
      <x:c r="D314" s="31" t="inlineStr">
        <x:is>
          <x:t xml:space="preserve">Грунт эпоксидный</x:t>
        </x:is>
      </x:c>
      <x:c r="E314" s="31" t="inlineStr">
        <x:is>
          <x:t xml:space="preserve">Покраска</x:t>
        </x:is>
      </x:c>
      <x:c r="F314" s="31" t="n">
        <x:v>76.97</x:v>
      </x:c>
      <x:c r="G314" s="31" t="inlineStr">
        <x:is>
          <x:t xml:space="preserve">л</x:t>
        </x:is>
      </x:c>
      <x:c r="H314" s="31" t="inlineStr">
        <x:is>
          <x:t xml:space="preserve">Обязательный</x:t>
        </x:is>
      </x:c>
      <x:c r="I314" s="31" t="inlineStr">
        <x:is>
          <x:t xml:space="preserve">ГЗ-ПОК-6</x:t>
        </x:is>
      </x:c>
      <x:c r="J314" s="31" t="inlineStr">
        <x:is>
          <x:t xml:space="preserve">Нет</x:t>
        </x:is>
      </x:c>
    </x:row>
    <x:row r="315">
      <x:c r="A315" s="31" t="inlineStr">
        <x:is>
          <x:t xml:space="preserve">СОСТ-00314</x:t>
        </x:is>
      </x:c>
      <x:c r="B315" s="31" t="inlineStr">
        <x:is>
          <x:t xml:space="preserve">ИЗД-022</x:t>
        </x:is>
      </x:c>
      <x:c r="C315" s="31" t="inlineStr">
        <x:is>
          <x:t xml:space="preserve">МАТ-0075</x:t>
        </x:is>
      </x:c>
      <x:c r="D315" s="31" t="inlineStr">
        <x:is>
          <x:t xml:space="preserve">Болт М12</x:t>
        </x:is>
      </x:c>
      <x:c r="E315" s="31" t="inlineStr">
        <x:is>
          <x:t xml:space="preserve">Крепеж</x:t>
        </x:is>
      </x:c>
      <x:c r="F315" s="31" t="n">
        <x:v>1.42</x:v>
      </x:c>
      <x:c r="G315" s="31" t="inlineStr">
        <x:is>
          <x:t xml:space="preserve">шт</x:t>
        </x:is>
      </x:c>
      <x:c r="H315" s="31" t="inlineStr">
        <x:is>
          <x:t xml:space="preserve">Опция</x:t>
        </x:is>
      </x:c>
      <x:c r="I315" s="31" t="inlineStr">
        <x:is>
          <x:t xml:space="preserve">ГЗ-КРЕ-6</x:t>
        </x:is>
      </x:c>
      <x:c r="J315" s="31" t="inlineStr">
        <x:is>
          <x:t xml:space="preserve">Нет</x:t>
        </x:is>
      </x:c>
    </x:row>
    <x:row r="316">
      <x:c r="A316" s="31" t="inlineStr">
        <x:is>
          <x:t xml:space="preserve">СОСТ-00315</x:t>
        </x:is>
      </x:c>
      <x:c r="B316" s="31" t="inlineStr">
        <x:is>
          <x:t xml:space="preserve">ИЗД-022</x:t>
        </x:is>
      </x:c>
      <x:c r="C316" s="31" t="inlineStr">
        <x:is>
          <x:t xml:space="preserve">МАТ-0089</x:t>
        </x:is>
      </x:c>
      <x:c r="D316" s="31" t="inlineStr">
        <x:is>
          <x:t xml:space="preserve">Маркировочная этикетка</x:t>
        </x:is>
      </x:c>
      <x:c r="E316" s="31" t="inlineStr">
        <x:is>
          <x:t xml:space="preserve">Упаковка</x:t>
        </x:is>
      </x:c>
      <x:c r="F316" s="31" t="n">
        <x:v>3.66</x:v>
      </x:c>
      <x:c r="G316" s="31" t="inlineStr">
        <x:is>
          <x:t xml:space="preserve">шт</x:t>
        </x:is>
      </x:c>
      <x:c r="H316" s="31" t="inlineStr">
        <x:is>
          <x:t xml:space="preserve">Обязательный</x:t>
        </x:is>
      </x:c>
      <x:c r="I316" s="31" t="inlineStr">
        <x:is>
          <x:t xml:space="preserve">ГЗ-УПА-7</x:t>
        </x:is>
      </x:c>
      <x:c r="J316" s="31" t="inlineStr">
        <x:is>
          <x:t xml:space="preserve">Нет</x:t>
        </x:is>
      </x:c>
    </x:row>
    <x:row r="317">
      <x:c r="A317" s="31" t="inlineStr">
        <x:is>
          <x:t xml:space="preserve">СОСТ-00316</x:t>
        </x:is>
      </x:c>
      <x:c r="B317" s="31" t="inlineStr">
        <x:is>
          <x:t xml:space="preserve">ИЗД-022</x:t>
        </x:is>
      </x:c>
      <x:c r="C317" s="31" t="inlineStr">
        <x:is>
          <x:t xml:space="preserve">МАТ-0088</x:t>
        </x:is>
      </x:c>
      <x:c r="D317" s="31" t="inlineStr">
        <x:is>
          <x:t xml:space="preserve">Ящик фанерный / исп.2</x:t>
        </x:is>
      </x:c>
      <x:c r="E317" s="31" t="inlineStr">
        <x:is>
          <x:t xml:space="preserve">Упаковка</x:t>
        </x:is>
      </x:c>
      <x:c r="F317" s="31" t="n">
        <x:v>6.88</x:v>
      </x:c>
      <x:c r="G317" s="31" t="inlineStr">
        <x:is>
          <x:t xml:space="preserve">шт</x:t>
        </x:is>
      </x:c>
      <x:c r="H317" s="31" t="inlineStr">
        <x:is>
          <x:t xml:space="preserve">Обязательный</x:t>
        </x:is>
      </x:c>
      <x:c r="I317" s="31" t="inlineStr">
        <x:is>
          <x:t xml:space="preserve">ГЗ-УПА-4</x:t>
        </x:is>
      </x:c>
      <x:c r="J317" s="31" t="inlineStr">
        <x:is>
          <x:t xml:space="preserve">Нет</x:t>
        </x:is>
      </x:c>
    </x:row>
    <x:row r="318">
      <x:c r="A318" s="31" t="inlineStr">
        <x:is>
          <x:t xml:space="preserve">СОСТ-00317</x:t>
        </x:is>
      </x:c>
      <x:c r="B318" s="31" t="inlineStr">
        <x:is>
          <x:t xml:space="preserve">ИЗД-023</x:t>
        </x:is>
      </x:c>
      <x:c r="C318" s="31" t="inlineStr">
        <x:is>
          <x:t xml:space="preserve">МАТ-0047</x:t>
        </x:is>
      </x:c>
      <x:c r="D318" s="31" t="inlineStr">
        <x:is>
          <x:t xml:space="preserve">Контактор 25А / исп.2</x:t>
        </x:is>
      </x:c>
      <x:c r="E318" s="31" t="inlineStr">
        <x:is>
          <x:t xml:space="preserve">ПЛК/электрика</x:t>
        </x:is>
      </x:c>
      <x:c r="F318" s="31" t="n">
        <x:v>1.49</x:v>
      </x:c>
      <x:c r="G318" s="31" t="inlineStr">
        <x:is>
          <x:t xml:space="preserve">шт</x:t>
        </x:is>
      </x:c>
      <x:c r="H318" s="31" t="inlineStr">
        <x:is>
          <x:t xml:space="preserve">Обязательный</x:t>
        </x:is>
      </x:c>
      <x:c r="I318" s="31" t="inlineStr">
        <x:is>
          <x:t xml:space="preserve">ГЗ-ПЛК-7</x:t>
        </x:is>
      </x:c>
      <x:c r="J318" s="31" t="inlineStr">
        <x:is>
          <x:t xml:space="preserve">Нет</x:t>
        </x:is>
      </x:c>
    </x:row>
    <x:row r="319">
      <x:c r="A319" s="31" t="inlineStr">
        <x:is>
          <x:t xml:space="preserve">СОСТ-00318</x:t>
        </x:is>
      </x:c>
      <x:c r="B319" s="31" t="inlineStr">
        <x:is>
          <x:t xml:space="preserve">ИЗД-023</x:t>
        </x:is>
      </x:c>
      <x:c r="C319" s="31" t="inlineStr">
        <x:is>
          <x:t xml:space="preserve">МАТ-0040</x:t>
        </x:is>
      </x:c>
      <x:c r="D319" s="31" t="inlineStr">
        <x:is>
          <x:t xml:space="preserve">модуль аналогового входа 4 канала</x:t>
        </x:is>
      </x:c>
      <x:c r="E319" s="31" t="inlineStr">
        <x:is>
          <x:t xml:space="preserve">ПЛК/электрика</x:t>
        </x:is>
      </x:c>
      <x:c r="F319" s="31" t="n">
        <x:v>6.08</x:v>
      </x:c>
      <x:c r="G319" s="31" t="inlineStr">
        <x:is>
          <x:t xml:space="preserve">шт</x:t>
        </x:is>
      </x:c>
      <x:c r="H319" s="31" t="inlineStr">
        <x:is>
          <x:t xml:space="preserve">Замена</x:t>
        </x:is>
      </x:c>
      <x:c r="I319" s="31" t="inlineStr">
        <x:is>
          <x:t xml:space="preserve">ГЗ-ПЛК-4</x:t>
        </x:is>
      </x:c>
      <x:c r="J319" s="31" t="inlineStr">
        <x:is>
          <x:t xml:space="preserve">Нет</x:t>
        </x:is>
      </x:c>
    </x:row>
    <x:row r="320">
      <x:c r="A320" s="31" t="inlineStr">
        <x:is>
          <x:t xml:space="preserve">СОСТ-00319</x:t>
        </x:is>
      </x:c>
      <x:c r="B320" s="31" t="inlineStr">
        <x:is>
          <x:t xml:space="preserve">ИЗД-023</x:t>
        </x:is>
      </x:c>
      <x:c r="C320" s="31" t="inlineStr">
        <x:is>
          <x:t xml:space="preserve">МАТ-0041</x:t>
        </x:is>
      </x:c>
      <x:c r="D320" s="31" t="inlineStr">
        <x:is>
          <x:t xml:space="preserve">модуль аналогового входа 4 канала / исп.2</x:t>
        </x:is>
      </x:c>
      <x:c r="E320" s="31" t="inlineStr">
        <x:is>
          <x:t xml:space="preserve">ПЛК/электрика</x:t>
        </x:is>
      </x:c>
      <x:c r="F320" s="31" t="n">
        <x:v>5.27</x:v>
      </x:c>
      <x:c r="G320" s="31" t="inlineStr">
        <x:is>
          <x:t xml:space="preserve">шт</x:t>
        </x:is>
      </x:c>
      <x:c r="H320" s="31" t="inlineStr">
        <x:is>
          <x:t xml:space="preserve">Опция</x:t>
        </x:is>
      </x:c>
      <x:c r="I320" s="31" t="inlineStr">
        <x:is>
          <x:t xml:space="preserve">ГЗ-ПЛК-4</x:t>
        </x:is>
      </x:c>
      <x:c r="J320" s="31" t="inlineStr">
        <x:is>
          <x:t xml:space="preserve">Нет</x:t>
        </x:is>
      </x:c>
    </x:row>
    <x:row r="321">
      <x:c r="A321" s="31" t="inlineStr">
        <x:is>
          <x:t xml:space="preserve">СОСТ-00320</x:t>
        </x:is>
      </x:c>
      <x:c r="B321" s="31" t="inlineStr">
        <x:is>
          <x:t xml:space="preserve">ИЗД-023</x:t>
        </x:is>
      </x:c>
      <x:c r="C321" s="31" t="inlineStr">
        <x:is>
          <x:t xml:space="preserve">МАТ-0064</x:t>
        </x:is>
      </x:c>
      <x:c r="D321" s="31" t="inlineStr">
        <x:is>
          <x:t xml:space="preserve">Кабель ВВГнг 3×2.5 / исп.2</x:t>
        </x:is>
      </x:c>
      <x:c r="E321" s="31" t="inlineStr">
        <x:is>
          <x:t xml:space="preserve">Кабель</x:t>
        </x:is>
      </x:c>
      <x:c r="F321" s="31" t="n">
        <x:v>5.45</x:v>
      </x:c>
      <x:c r="G321" s="31" t="inlineStr">
        <x:is>
          <x:t xml:space="preserve">шт</x:t>
        </x:is>
      </x:c>
      <x:c r="H321" s="31" t="inlineStr">
        <x:is>
          <x:t xml:space="preserve">Замена</x:t>
        </x:is>
      </x:c>
      <x:c r="I321" s="31" t="inlineStr">
        <x:is>
          <x:t xml:space="preserve">ГЗ-КАБ-7</x:t>
        </x:is>
      </x:c>
      <x:c r="J321" s="31" t="inlineStr">
        <x:is>
          <x:t xml:space="preserve">Нет</x:t>
        </x:is>
      </x:c>
    </x:row>
    <x:row r="322">
      <x:c r="A322" s="31" t="inlineStr">
        <x:is>
          <x:t xml:space="preserve">СОСТ-00321</x:t>
        </x:is>
      </x:c>
      <x:c r="B322" s="31" t="inlineStr">
        <x:is>
          <x:t xml:space="preserve">ИЗД-023</x:t>
        </x:is>
      </x:c>
      <x:c r="C322" s="31" t="inlineStr">
        <x:is>
          <x:t xml:space="preserve">МАТ-0064</x:t>
        </x:is>
      </x:c>
      <x:c r="D322" s="31" t="inlineStr">
        <x:is>
          <x:t xml:space="preserve">Кабель ВВГнг 3×2.5 / исп.2</x:t>
        </x:is>
      </x:c>
      <x:c r="E322" s="31" t="inlineStr">
        <x:is>
          <x:t xml:space="preserve">Кабель</x:t>
        </x:is>
      </x:c>
      <x:c r="F322" s="31" t="n">
        <x:v>2.72</x:v>
      </x:c>
      <x:c r="G322" s="31" t="inlineStr">
        <x:is>
          <x:t xml:space="preserve">шт</x:t>
        </x:is>
      </x:c>
      <x:c r="H322" s="31" t="inlineStr">
        <x:is>
          <x:t xml:space="preserve">Замена</x:t>
        </x:is>
      </x:c>
      <x:c r="I322" s="31" t="inlineStr">
        <x:is>
          <x:t xml:space="preserve">ГЗ-КАБ-7</x:t>
        </x:is>
      </x:c>
      <x:c r="J322" s="31" t="inlineStr">
        <x:is>
          <x:t xml:space="preserve">Нет</x:t>
        </x:is>
      </x:c>
    </x:row>
    <x:row r="323">
      <x:c r="A323" s="31" t="inlineStr">
        <x:is>
          <x:t xml:space="preserve">СОСТ-00322</x:t>
        </x:is>
      </x:c>
      <x:c r="B323" s="31" t="inlineStr">
        <x:is>
          <x:t xml:space="preserve">ИЗД-023</x:t>
        </x:is>
      </x:c>
      <x:c r="C323" s="31" t="inlineStr">
        <x:is>
          <x:t xml:space="preserve">МАТ-0065</x:t>
        </x:is>
      </x:c>
      <x:c r="D323" s="31" t="inlineStr">
        <x:is>
          <x:t xml:space="preserve">Гофра металлическая</x:t>
        </x:is>
      </x:c>
      <x:c r="E323" s="31" t="inlineStr">
        <x:is>
          <x:t xml:space="preserve">Кабель</x:t>
        </x:is>
      </x:c>
      <x:c r="F323" s="31" t="n">
        <x:v>7.71</x:v>
      </x:c>
      <x:c r="G323" s="31" t="inlineStr">
        <x:is>
          <x:t xml:space="preserve">шт</x:t>
        </x:is>
      </x:c>
      <x:c r="H323" s="31" t="inlineStr">
        <x:is>
          <x:t xml:space="preserve">Обязательный</x:t>
        </x:is>
      </x:c>
      <x:c r="I323" s="31" t="inlineStr">
        <x:is>
          <x:t xml:space="preserve">ГЗ-КАБ-2</x:t>
        </x:is>
      </x:c>
      <x:c r="J323" s="31" t="inlineStr">
        <x:is>
          <x:t xml:space="preserve">Нет</x:t>
        </x:is>
      </x:c>
    </x:row>
    <x:row r="324">
      <x:c r="A324" s="31" t="inlineStr">
        <x:is>
          <x:t xml:space="preserve">СОСТ-00323</x:t>
        </x:is>
      </x:c>
      <x:c r="B324" s="31" t="inlineStr">
        <x:is>
          <x:t xml:space="preserve">ИЗД-023</x:t>
        </x:is>
      </x:c>
      <x:c r="C324" s="31" t="inlineStr">
        <x:is>
          <x:t xml:space="preserve">МАТ-0036</x:t>
        </x:is>
      </x:c>
      <x:c r="D324" s="31" t="inlineStr">
        <x:is>
          <x:t xml:space="preserve">Клапан электромагнитный 24В / исп.2</x:t>
        </x:is>
      </x:c>
      <x:c r="E324" s="31" t="inlineStr">
        <x:is>
          <x:t xml:space="preserve">КИПиА</x:t>
        </x:is>
      </x:c>
      <x:c r="F324" s="31" t="n">
        <x:v>7.46</x:v>
      </x:c>
      <x:c r="G324" s="31" t="inlineStr">
        <x:is>
          <x:t xml:space="preserve">шт</x:t>
        </x:is>
      </x:c>
      <x:c r="H324" s="31" t="inlineStr">
        <x:is>
          <x:t xml:space="preserve">Обязательный</x:t>
        </x:is>
      </x:c>
      <x:c r="I324" s="31" t="inlineStr">
        <x:is>
          <x:t xml:space="preserve">ГЗ-КИП-6</x:t>
        </x:is>
      </x:c>
      <x:c r="J324" s="31" t="inlineStr">
        <x:is>
          <x:t xml:space="preserve">Да</x:t>
        </x:is>
      </x:c>
    </x:row>
    <x:row r="325">
      <x:c r="A325" s="31" t="inlineStr">
        <x:is>
          <x:t xml:space="preserve">СОСТ-00324</x:t>
        </x:is>
      </x:c>
      <x:c r="B325" s="31" t="inlineStr">
        <x:is>
          <x:t xml:space="preserve">ИЗД-023</x:t>
        </x:is>
      </x:c>
      <x:c r="C325" s="31" t="inlineStr">
        <x:is>
          <x:t xml:space="preserve">МАТ-0077</x:t>
        </x:is>
      </x:c>
      <x:c r="D325" s="31" t="inlineStr">
        <x:is>
          <x:t xml:space="preserve">Болт М16</x:t>
        </x:is>
      </x:c>
      <x:c r="E325" s="31" t="inlineStr">
        <x:is>
          <x:t xml:space="preserve">Крепеж</x:t>
        </x:is>
      </x:c>
      <x:c r="F325" s="31" t="n">
        <x:v>3.89</x:v>
      </x:c>
      <x:c r="G325" s="31" t="inlineStr">
        <x:is>
          <x:t xml:space="preserve">шт</x:t>
        </x:is>
      </x:c>
      <x:c r="H325" s="31" t="inlineStr">
        <x:is>
          <x:t xml:space="preserve">Опция</x:t>
        </x:is>
      </x:c>
      <x:c r="I325" s="31" t="inlineStr">
        <x:is>
          <x:t xml:space="preserve">ГЗ-КРЕ-1</x:t>
        </x:is>
      </x:c>
      <x:c r="J325" s="31" t="inlineStr">
        <x:is>
          <x:t xml:space="preserve">Нет</x:t>
        </x:is>
      </x:c>
    </x:row>
    <x:row r="326">
      <x:c r="A326" s="31" t="inlineStr">
        <x:is>
          <x:t xml:space="preserve">СОСТ-00325</x:t>
        </x:is>
      </x:c>
      <x:c r="B326" s="31" t="inlineStr">
        <x:is>
          <x:t xml:space="preserve">ИЗД-023</x:t>
        </x:is>
      </x:c>
      <x:c r="C326" s="31" t="inlineStr">
        <x:is>
          <x:t xml:space="preserve">МАТ-0088</x:t>
        </x:is>
      </x:c>
      <x:c r="D326" s="31" t="inlineStr">
        <x:is>
          <x:t xml:space="preserve">Ящик фанерный / исп.2</x:t>
        </x:is>
      </x:c>
      <x:c r="E326" s="31" t="inlineStr">
        <x:is>
          <x:t xml:space="preserve">Упаковка</x:t>
        </x:is>
      </x:c>
      <x:c r="F326" s="31" t="n">
        <x:v>1.57</x:v>
      </x:c>
      <x:c r="G326" s="31" t="inlineStr">
        <x:is>
          <x:t xml:space="preserve">шт</x:t>
        </x:is>
      </x:c>
      <x:c r="H326" s="31" t="inlineStr">
        <x:is>
          <x:t xml:space="preserve">Обязательный</x:t>
        </x:is>
      </x:c>
      <x:c r="I326" s="31" t="inlineStr">
        <x:is>
          <x:t xml:space="preserve">ГЗ-УПА-4</x:t>
        </x:is>
      </x:c>
      <x:c r="J326" s="31" t="inlineStr">
        <x:is>
          <x:t xml:space="preserve">Нет</x:t>
        </x:is>
      </x:c>
    </x:row>
    <x:row r="327">
      <x:c r="A327" s="31" t="inlineStr">
        <x:is>
          <x:t xml:space="preserve">СОСТ-00326</x:t>
        </x:is>
      </x:c>
      <x:c r="B327" s="31" t="inlineStr">
        <x:is>
          <x:t xml:space="preserve">ИЗД-023</x:t>
        </x:is>
      </x:c>
      <x:c r="C327" s="31" t="inlineStr">
        <x:is>
          <x:t xml:space="preserve">МАТ-0088</x:t>
        </x:is>
      </x:c>
      <x:c r="D327" s="31" t="inlineStr">
        <x:is>
          <x:t xml:space="preserve">Ящик фанерный / исп.2</x:t>
        </x:is>
      </x:c>
      <x:c r="E327" s="31" t="inlineStr">
        <x:is>
          <x:t xml:space="preserve">Упаковка</x:t>
        </x:is>
      </x:c>
      <x:c r="F327" s="31" t="n">
        <x:v>1.22</x:v>
      </x:c>
      <x:c r="G327" s="31" t="inlineStr">
        <x:is>
          <x:t xml:space="preserve">шт</x:t>
        </x:is>
      </x:c>
      <x:c r="H327" s="31" t="inlineStr">
        <x:is>
          <x:t xml:space="preserve">Обязательный</x:t>
        </x:is>
      </x:c>
      <x:c r="I327" s="31" t="inlineStr">
        <x:is>
          <x:t xml:space="preserve">ГЗ-УПА-4</x:t>
        </x:is>
      </x:c>
      <x:c r="J327" s="31" t="inlineStr">
        <x:is>
          <x:t xml:space="preserve">Нет</x:t>
        </x:is>
      </x:c>
    </x:row>
    <x:row r="328">
      <x:c r="A328" s="31" t="inlineStr">
        <x:is>
          <x:t xml:space="preserve">СОСТ-00327</x:t>
        </x:is>
      </x:c>
      <x:c r="B328" s="31" t="inlineStr">
        <x:is>
          <x:t xml:space="preserve">ИЗД-024</x:t>
        </x:is>
      </x:c>
      <x:c r="C328" s="31" t="inlineStr">
        <x:is>
          <x:t xml:space="preserve">МАТ-0002</x:t>
        </x:is>
      </x:c>
      <x:c r="D328" s="31" t="inlineStr">
        <x:is>
          <x:t xml:space="preserve">Лист стальной 09Г2С 12 мм</x:t>
        </x:is>
      </x:c>
      <x:c r="E328" s="31" t="inlineStr">
        <x:is>
          <x:t xml:space="preserve">Металл</x:t>
        </x:is>
      </x:c>
      <x:c r="F328" s="31" t="n">
        <x:v>65.40000000000001</x:v>
      </x:c>
      <x:c r="G328" s="31" t="inlineStr">
        <x:is>
          <x:t xml:space="preserve">кг</x:t>
        </x:is>
      </x:c>
      <x:c r="H328" s="31" t="inlineStr">
        <x:is>
          <x:t xml:space="preserve">Обязательный</x:t>
        </x:is>
      </x:c>
      <x:c r="I328" s="31" t="inlineStr">
        <x:is>
          <x:t xml:space="preserve">ГЗ-МЕТ-2</x:t>
        </x:is>
      </x:c>
      <x:c r="J328" s="31" t="inlineStr">
        <x:is>
          <x:t xml:space="preserve">Нет</x:t>
        </x:is>
      </x:c>
    </x:row>
    <x:row r="329">
      <x:c r="A329" s="31" t="inlineStr">
        <x:is>
          <x:t xml:space="preserve">СОСТ-00328</x:t>
        </x:is>
      </x:c>
      <x:c r="B329" s="31" t="inlineStr">
        <x:is>
          <x:t xml:space="preserve">ИЗД-024</x:t>
        </x:is>
      </x:c>
      <x:c r="C329" s="31" t="inlineStr">
        <x:is>
          <x:t xml:space="preserve">МАТ-0003</x:t>
        </x:is>
      </x:c>
      <x:c r="D329" s="31" t="inlineStr">
        <x:is>
          <x:t xml:space="preserve">Лист стальной 09Г2С 12 мм / исп.2</x:t>
        </x:is>
      </x:c>
      <x:c r="E329" s="31" t="inlineStr">
        <x:is>
          <x:t xml:space="preserve">Металл</x:t>
        </x:is>
      </x:c>
      <x:c r="F329" s="31" t="n">
        <x:v>65.33</x:v>
      </x:c>
      <x:c r="G329" s="31" t="inlineStr">
        <x:is>
          <x:t xml:space="preserve">м</x:t>
        </x:is>
      </x:c>
      <x:c r="H329" s="31" t="inlineStr">
        <x:is>
          <x:t xml:space="preserve">Замена</x:t>
        </x:is>
      </x:c>
      <x:c r="I329" s="31" t="inlineStr">
        <x:is>
          <x:t xml:space="preserve">ГЗ-МЕТ-9</x:t>
        </x:is>
      </x:c>
      <x:c r="J329" s="31" t="inlineStr">
        <x:is>
          <x:t xml:space="preserve">Нет</x:t>
        </x:is>
      </x:c>
    </x:row>
    <x:row r="330">
      <x:c r="A330" s="31" t="inlineStr">
        <x:is>
          <x:t xml:space="preserve">СОСТ-00329</x:t>
        </x:is>
      </x:c>
      <x:c r="B330" s="31" t="inlineStr">
        <x:is>
          <x:t xml:space="preserve">ИЗД-024</x:t>
        </x:is>
      </x:c>
      <x:c r="C330" s="31" t="inlineStr">
        <x:is>
          <x:t xml:space="preserve">МАТ-0006</x:t>
        </x:is>
      </x:c>
      <x:c r="D330" s="31" t="inlineStr">
        <x:is>
          <x:t xml:space="preserve">Труба нержавеющая 38×3</x:t>
        </x:is>
      </x:c>
      <x:c r="E330" s="31" t="inlineStr">
        <x:is>
          <x:t xml:space="preserve">Металл</x:t>
        </x:is>
      </x:c>
      <x:c r="F330" s="31" t="n">
        <x:v>7.55</x:v>
      </x:c>
      <x:c r="G330" s="31" t="inlineStr">
        <x:is>
          <x:t xml:space="preserve">шт</x:t>
        </x:is>
      </x:c>
      <x:c r="H330" s="31" t="inlineStr">
        <x:is>
          <x:t xml:space="preserve">Обязательный</x:t>
        </x:is>
      </x:c>
      <x:c r="I330" s="31" t="inlineStr">
        <x:is>
          <x:t xml:space="preserve">ГЗ-МЕТ-8</x:t>
        </x:is>
      </x:c>
      <x:c r="J330" s="31" t="inlineStr">
        <x:is>
          <x:t xml:space="preserve">Нет</x:t>
        </x:is>
      </x:c>
    </x:row>
    <x:row r="331">
      <x:c r="A331" s="31" t="inlineStr">
        <x:is>
          <x:t xml:space="preserve">СОСТ-00330</x:t>
        </x:is>
      </x:c>
      <x:c r="B331" s="31" t="inlineStr">
        <x:is>
          <x:t xml:space="preserve">ИЗД-024</x:t>
        </x:is>
      </x:c>
      <x:c r="C331" s="31" t="inlineStr">
        <x:is>
          <x:t xml:space="preserve">МАТ-0019</x:t>
        </x:is>
      </x:c>
      <x:c r="D331" s="31" t="inlineStr">
        <x:is>
          <x:t xml:space="preserve">Насос дозировочный</x:t>
        </x:is>
      </x:c>
      <x:c r="E331" s="31" t="inlineStr">
        <x:is>
          <x:t xml:space="preserve">Насосы</x:t>
        </x:is>
      </x:c>
      <x:c r="F331" s="31" t="n">
        <x:v>5.76</x:v>
      </x:c>
      <x:c r="G331" s="31" t="inlineStr">
        <x:is>
          <x:t xml:space="preserve">шт</x:t>
        </x:is>
      </x:c>
      <x:c r="H331" s="31" t="inlineStr">
        <x:is>
          <x:t xml:space="preserve">Обязательный</x:t>
        </x:is>
      </x:c>
      <x:c r="I331" s="31" t="inlineStr">
        <x:is>
          <x:t xml:space="preserve">ГЗ-НАС-2</x:t>
        </x:is>
      </x:c>
      <x:c r="J331" s="31" t="inlineStr">
        <x:is>
          <x:t xml:space="preserve">Нет</x:t>
        </x:is>
      </x:c>
    </x:row>
    <x:row r="332">
      <x:c r="A332" s="31" t="inlineStr">
        <x:is>
          <x:t xml:space="preserve">СОСТ-00331</x:t>
        </x:is>
      </x:c>
      <x:c r="B332" s="31" t="inlineStr">
        <x:is>
          <x:t xml:space="preserve">ИЗД-024</x:t>
        </x:is>
      </x:c>
      <x:c r="C332" s="31" t="inlineStr">
        <x:is>
          <x:t xml:space="preserve">МАТ-0030</x:t>
        </x:is>
      </x:c>
      <x:c r="D332" s="31" t="inlineStr">
        <x:is>
          <x:t xml:space="preserve">Частотный преобразователь 22 кВт / исп.2</x:t>
        </x:is>
      </x:c>
      <x:c r="E332" s="31" t="inlineStr">
        <x:is>
          <x:t xml:space="preserve">Электродвигатели</x:t>
        </x:is>
      </x:c>
      <x:c r="F332" s="31" t="n">
        <x:v>3.12</x:v>
      </x:c>
      <x:c r="G332" s="31" t="inlineStr">
        <x:is>
          <x:t xml:space="preserve">шт</x:t>
        </x:is>
      </x:c>
      <x:c r="H332" s="31" t="inlineStr">
        <x:is>
          <x:t xml:space="preserve">Обязательный</x:t>
        </x:is>
      </x:c>
      <x:c r="I332" s="31" t="inlineStr">
        <x:is>
          <x:t xml:space="preserve">ГЗ-ЭЛЕ-1</x:t>
        </x:is>
      </x:c>
      <x:c r="J332" s="31" t="inlineStr">
        <x:is>
          <x:t xml:space="preserve">Нет</x:t>
        </x:is>
      </x:c>
    </x:row>
    <x:row r="333">
      <x:c r="A333" s="31" t="inlineStr">
        <x:is>
          <x:t xml:space="preserve">СОСТ-00332</x:t>
        </x:is>
      </x:c>
      <x:c r="B333" s="31" t="inlineStr">
        <x:is>
          <x:t xml:space="preserve">ИЗД-024</x:t>
        </x:is>
      </x:c>
      <x:c r="C333" s="31" t="inlineStr">
        <x:is>
          <x:t xml:space="preserve">МАТ-0028</x:t>
        </x:is>
      </x:c>
      <x:c r="D333" s="31" t="inlineStr">
        <x:is>
          <x:t xml:space="preserve">Частотный преобразователь 15 кВт</x:t>
        </x:is>
      </x:c>
      <x:c r="E333" s="31" t="inlineStr">
        <x:is>
          <x:t xml:space="preserve">Электродвигатели</x:t>
        </x:is>
      </x:c>
      <x:c r="F333" s="31" t="n">
        <x:v>7.77</x:v>
      </x:c>
      <x:c r="G333" s="31" t="inlineStr">
        <x:is>
          <x:t xml:space="preserve">шт</x:t>
        </x:is>
      </x:c>
      <x:c r="H333" s="31" t="inlineStr">
        <x:is>
          <x:t xml:space="preserve">Обязательный</x:t>
        </x:is>
      </x:c>
      <x:c r="I333" s="31" t="inlineStr">
        <x:is>
          <x:t xml:space="preserve">ГЗ-ЭЛЕ-3</x:t>
        </x:is>
      </x:c>
      <x:c r="J333" s="31" t="inlineStr">
        <x:is>
          <x:t xml:space="preserve">Нет</x:t>
        </x:is>
      </x:c>
    </x:row>
    <x:row r="334">
      <x:c r="A334" s="31" t="inlineStr">
        <x:is>
          <x:t xml:space="preserve">СОСТ-00333</x:t>
        </x:is>
      </x:c>
      <x:c r="B334" s="31" t="inlineStr">
        <x:is>
          <x:t xml:space="preserve">ИЗД-024</x:t>
        </x:is>
      </x:c>
      <x:c r="C334" s="31" t="inlineStr">
        <x:is>
          <x:t xml:space="preserve">МАТ-0030</x:t>
        </x:is>
      </x:c>
      <x:c r="D334" s="31" t="inlineStr">
        <x:is>
          <x:t xml:space="preserve">Частотный преобразователь 22 кВт / исп.2</x:t>
        </x:is>
      </x:c>
      <x:c r="E334" s="31" t="inlineStr">
        <x:is>
          <x:t xml:space="preserve">Электродвигатели</x:t>
        </x:is>
      </x:c>
      <x:c r="F334" s="31" t="n">
        <x:v>5.95</x:v>
      </x:c>
      <x:c r="G334" s="31" t="inlineStr">
        <x:is>
          <x:t xml:space="preserve">шт</x:t>
        </x:is>
      </x:c>
      <x:c r="H334" s="31" t="inlineStr">
        <x:is>
          <x:t xml:space="preserve">Обязательный</x:t>
        </x:is>
      </x:c>
      <x:c r="I334" s="31" t="inlineStr">
        <x:is>
          <x:t xml:space="preserve">ГЗ-ЭЛЕ-1</x:t>
        </x:is>
      </x:c>
      <x:c r="J334" s="31" t="inlineStr">
        <x:is>
          <x:t xml:space="preserve">Нет</x:t>
        </x:is>
      </x:c>
    </x:row>
    <x:row r="335">
      <x:c r="A335" s="31" t="inlineStr">
        <x:is>
          <x:t xml:space="preserve">СОСТ-00334</x:t>
        </x:is>
      </x:c>
      <x:c r="B335" s="31" t="inlineStr">
        <x:is>
          <x:t xml:space="preserve">ИЗД-024</x:t>
        </x:is>
      </x:c>
      <x:c r="C335" s="31" t="inlineStr">
        <x:is>
          <x:t xml:space="preserve">МАТ-0034</x:t>
        </x:is>
      </x:c>
      <x:c r="D335" s="31" t="inlineStr">
        <x:is>
          <x:t xml:space="preserve">Манометр виброустойчивый</x:t>
        </x:is>
      </x:c>
      <x:c r="E335" s="31" t="inlineStr">
        <x:is>
          <x:t xml:space="preserve">КИПиА</x:t>
        </x:is>
      </x:c>
      <x:c r="F335" s="31" t="n">
        <x:v>1.78</x:v>
      </x:c>
      <x:c r="G335" s="31" t="inlineStr">
        <x:is>
          <x:t xml:space="preserve">шт</x:t>
        </x:is>
      </x:c>
      <x:c r="H335" s="31" t="inlineStr">
        <x:is>
          <x:t xml:space="preserve">Обязательный</x:t>
        </x:is>
      </x:c>
      <x:c r="I335" s="31" t="inlineStr">
        <x:is>
          <x:t xml:space="preserve">ГЗ-КИП-3</x:t>
        </x:is>
      </x:c>
      <x:c r="J335" s="31" t="inlineStr">
        <x:is>
          <x:t xml:space="preserve">Нет</x:t>
        </x:is>
      </x:c>
    </x:row>
    <x:row r="336">
      <x:c r="A336" s="31" t="inlineStr">
        <x:is>
          <x:t xml:space="preserve">СОСТ-00335</x:t>
        </x:is>
      </x:c>
      <x:c r="B336" s="31" t="inlineStr">
        <x:is>
          <x:t xml:space="preserve">ИЗД-024</x:t>
        </x:is>
      </x:c>
      <x:c r="C336" s="31" t="inlineStr">
        <x:is>
          <x:t xml:space="preserve">МАТ-0032</x:t>
        </x:is>
      </x:c>
      <x:c r="D336" s="31" t="inlineStr">
        <x:is>
          <x:t xml:space="preserve">Датчик температуры Пт100</x:t>
        </x:is>
      </x:c>
      <x:c r="E336" s="31" t="inlineStr">
        <x:is>
          <x:t xml:space="preserve">КИПиА</x:t>
        </x:is>
      </x:c>
      <x:c r="F336" s="31" t="n">
        <x:v>4.86</x:v>
      </x:c>
      <x:c r="G336" s="31" t="inlineStr">
        <x:is>
          <x:t xml:space="preserve">шт</x:t>
        </x:is>
      </x:c>
      <x:c r="H336" s="31" t="inlineStr">
        <x:is>
          <x:t xml:space="preserve">Обязательный</x:t>
        </x:is>
      </x:c>
      <x:c r="I336" s="31" t="inlineStr">
        <x:is>
          <x:t xml:space="preserve">ГЗ-КИП-8</x:t>
        </x:is>
      </x:c>
      <x:c r="J336" s="31" t="inlineStr">
        <x:is>
          <x:t xml:space="preserve">Нет</x:t>
        </x:is>
      </x:c>
    </x:row>
    <x:row r="337">
      <x:c r="A337" s="31" t="inlineStr">
        <x:is>
          <x:t xml:space="preserve">СОСТ-00336</x:t>
        </x:is>
      </x:c>
      <x:c r="B337" s="31" t="inlineStr">
        <x:is>
          <x:t xml:space="preserve">ИЗД-024</x:t>
        </x:is>
      </x:c>
      <x:c r="C337" s="31" t="inlineStr">
        <x:is>
          <x:t xml:space="preserve">МАТ-0036</x:t>
        </x:is>
      </x:c>
      <x:c r="D337" s="31" t="inlineStr">
        <x:is>
          <x:t xml:space="preserve">Клапан электромагнитный 24В / исп.2</x:t>
        </x:is>
      </x:c>
      <x:c r="E337" s="31" t="inlineStr">
        <x:is>
          <x:t xml:space="preserve">КИПиА</x:t>
        </x:is>
      </x:c>
      <x:c r="F337" s="31" t="n">
        <x:v>5.22</x:v>
      </x:c>
      <x:c r="G337" s="31" t="inlineStr">
        <x:is>
          <x:t xml:space="preserve">шт</x:t>
        </x:is>
      </x:c>
      <x:c r="H337" s="31" t="inlineStr">
        <x:is>
          <x:t xml:space="preserve">Обязательный</x:t>
        </x:is>
      </x:c>
      <x:c r="I337" s="31" t="inlineStr">
        <x:is>
          <x:t xml:space="preserve">ГЗ-КИП-6</x:t>
        </x:is>
      </x:c>
      <x:c r="J337" s="31" t="inlineStr">
        <x:is>
          <x:t xml:space="preserve">Нет</x:t>
        </x:is>
      </x:c>
    </x:row>
    <x:row r="338">
      <x:c r="A338" s="31" t="inlineStr">
        <x:is>
          <x:t xml:space="preserve">СОСТ-00337</x:t>
        </x:is>
      </x:c>
      <x:c r="B338" s="31" t="inlineStr">
        <x:is>
          <x:t xml:space="preserve">ИЗД-024</x:t>
        </x:is>
      </x:c>
      <x:c r="C338" s="31" t="inlineStr">
        <x:is>
          <x:t xml:space="preserve">МАТ-0052</x:t>
        </x:is>
      </x:c>
      <x:c r="D338" s="31" t="inlineStr">
        <x:is>
          <x:t xml:space="preserve">Кран шаровой Ду50 / исп.2</x:t>
        </x:is>
      </x:c>
      <x:c r="E338" s="31" t="inlineStr">
        <x:is>
          <x:t xml:space="preserve">Запорная арматура</x:t>
        </x:is>
      </x:c>
      <x:c r="F338" s="31" t="n">
        <x:v>1.89</x:v>
      </x:c>
      <x:c r="G338" s="31" t="inlineStr">
        <x:is>
          <x:t xml:space="preserve">шт</x:t>
        </x:is>
      </x:c>
      <x:c r="H338" s="31" t="inlineStr">
        <x:is>
          <x:t xml:space="preserve">Опция</x:t>
        </x:is>
      </x:c>
      <x:c r="I338" s="31" t="inlineStr">
        <x:is>
          <x:t xml:space="preserve">ГЗ-ЗАП-7</x:t>
        </x:is>
      </x:c>
      <x:c r="J338" s="31" t="inlineStr">
        <x:is>
          <x:t xml:space="preserve">Нет</x:t>
        </x:is>
      </x:c>
    </x:row>
    <x:row r="339">
      <x:c r="A339" s="31" t="inlineStr">
        <x:is>
          <x:t xml:space="preserve">СОСТ-00338</x:t>
        </x:is>
      </x:c>
      <x:c r="B339" s="31" t="inlineStr">
        <x:is>
          <x:t xml:space="preserve">ИЗД-024</x:t>
        </x:is>
      </x:c>
      <x:c r="C339" s="31" t="inlineStr">
        <x:is>
          <x:t xml:space="preserve">МАТ-0059</x:t>
        </x:is>
      </x:c>
      <x:c r="D339" s="31" t="inlineStr">
        <x:is>
          <x:t xml:space="preserve">Фильтр сетчатый Ду50</x:t>
        </x:is>
      </x:c>
      <x:c r="E339" s="31" t="inlineStr">
        <x:is>
          <x:t xml:space="preserve">Запорная арматура</x:t>
        </x:is>
      </x:c>
      <x:c r="F339" s="31" t="n">
        <x:v>6.1</x:v>
      </x:c>
      <x:c r="G339" s="31" t="inlineStr">
        <x:is>
          <x:t xml:space="preserve">шт</x:t>
        </x:is>
      </x:c>
      <x:c r="H339" s="31" t="inlineStr">
        <x:is>
          <x:t xml:space="preserve">Обязательный</x:t>
        </x:is>
      </x:c>
      <x:c r="I339" s="31" t="inlineStr">
        <x:is>
          <x:t xml:space="preserve">ГЗ-ЗАП-3</x:t>
        </x:is>
      </x:c>
      <x:c r="J339" s="31" t="inlineStr">
        <x:is>
          <x:t xml:space="preserve">Нет</x:t>
        </x:is>
      </x:c>
    </x:row>
    <x:row r="340">
      <x:c r="A340" s="31" t="inlineStr">
        <x:is>
          <x:t xml:space="preserve">СОСТ-00339</x:t>
        </x:is>
      </x:c>
      <x:c r="B340" s="31" t="inlineStr">
        <x:is>
          <x:t xml:space="preserve">ИЗД-024</x:t>
        </x:is>
      </x:c>
      <x:c r="C340" s="31" t="inlineStr">
        <x:is>
          <x:t xml:space="preserve">МАТ-0051</x:t>
        </x:is>
      </x:c>
      <x:c r="D340" s="31" t="inlineStr">
        <x:is>
          <x:t xml:space="preserve">Кран шаровой Ду50</x:t>
        </x:is>
      </x:c>
      <x:c r="E340" s="31" t="inlineStr">
        <x:is>
          <x:t xml:space="preserve">Запорная арматура</x:t>
        </x:is>
      </x:c>
      <x:c r="F340" s="31" t="n">
        <x:v>7.94</x:v>
      </x:c>
      <x:c r="G340" s="31" t="inlineStr">
        <x:is>
          <x:t xml:space="preserve">шт</x:t>
        </x:is>
      </x:c>
      <x:c r="H340" s="31" t="inlineStr">
        <x:is>
          <x:t xml:space="preserve">Обязательный</x:t>
        </x:is>
      </x:c>
      <x:c r="I340" s="31" t="inlineStr">
        <x:is>
          <x:t xml:space="preserve">ГЗ-ЗАП-6</x:t>
        </x:is>
      </x:c>
      <x:c r="J340" s="31" t="inlineStr">
        <x:is>
          <x:t xml:space="preserve">Нет</x:t>
        </x:is>
      </x:c>
    </x:row>
    <x:row r="341">
      <x:c r="A341" s="31" t="inlineStr">
        <x:is>
          <x:t xml:space="preserve">СОСТ-00340</x:t>
        </x:is>
      </x:c>
      <x:c r="B341" s="31" t="inlineStr">
        <x:is>
          <x:t xml:space="preserve">ИЗД-024</x:t>
        </x:is>
      </x:c>
      <x:c r="C341" s="31" t="inlineStr">
        <x:is>
          <x:t xml:space="preserve">МАТ-0067</x:t>
        </x:is>
      </x:c>
      <x:c r="D341" s="31" t="inlineStr">
        <x:is>
          <x:t xml:space="preserve">Кабельный ввод М20</x:t>
        </x:is>
      </x:c>
      <x:c r="E341" s="31" t="inlineStr">
        <x:is>
          <x:t xml:space="preserve">Кабель</x:t>
        </x:is>
      </x:c>
      <x:c r="F341" s="31" t="n">
        <x:v>37.41</x:v>
      </x:c>
      <x:c r="G341" s="31" t="inlineStr">
        <x:is>
          <x:t xml:space="preserve">кг</x:t>
        </x:is>
      </x:c>
      <x:c r="H341" s="31" t="inlineStr">
        <x:is>
          <x:t xml:space="preserve">Опция</x:t>
        </x:is>
      </x:c>
      <x:c r="I341" s="31" t="inlineStr">
        <x:is>
          <x:t xml:space="preserve">ГЗ-КАБ-1</x:t>
        </x:is>
      </x:c>
      <x:c r="J341" s="31" t="inlineStr">
        <x:is>
          <x:t xml:space="preserve">Нет</x:t>
        </x:is>
      </x:c>
    </x:row>
    <x:row r="342">
      <x:c r="A342" s="31" t="inlineStr">
        <x:is>
          <x:t xml:space="preserve">СОСТ-00341</x:t>
        </x:is>
      </x:c>
      <x:c r="B342" s="31" t="inlineStr">
        <x:is>
          <x:t xml:space="preserve">ИЗД-024</x:t>
        </x:is>
      </x:c>
      <x:c r="C342" s="31" t="inlineStr">
        <x:is>
          <x:t xml:space="preserve">МАТ-0067</x:t>
        </x:is>
      </x:c>
      <x:c r="D342" s="31" t="inlineStr">
        <x:is>
          <x:t xml:space="preserve">Кабельный ввод М20</x:t>
        </x:is>
      </x:c>
      <x:c r="E342" s="31" t="inlineStr">
        <x:is>
          <x:t xml:space="preserve">Кабель</x:t>
        </x:is>
      </x:c>
      <x:c r="F342" s="31" t="n">
        <x:v>75.22</x:v>
      </x:c>
      <x:c r="G342" s="31" t="inlineStr">
        <x:is>
          <x:t xml:space="preserve">кг</x:t>
        </x:is>
      </x:c>
      <x:c r="H342" s="31" t="inlineStr">
        <x:is>
          <x:t xml:space="preserve">Обязательный</x:t>
        </x:is>
      </x:c>
      <x:c r="I342" s="31" t="inlineStr">
        <x:is>
          <x:t xml:space="preserve">ГЗ-КАБ-1</x:t>
        </x:is>
      </x:c>
      <x:c r="J342" s="31" t="inlineStr">
        <x:is>
          <x:t xml:space="preserve">Нет</x:t>
        </x:is>
      </x:c>
    </x:row>
    <x:row r="343">
      <x:c r="A343" s="31" t="inlineStr">
        <x:is>
          <x:t xml:space="preserve">СОСТ-00342</x:t>
        </x:is>
      </x:c>
      <x:c r="B343" s="31" t="inlineStr">
        <x:is>
          <x:t xml:space="preserve">ИЗД-024</x:t>
        </x:is>
      </x:c>
      <x:c r="C343" s="31" t="inlineStr">
        <x:is>
          <x:t xml:space="preserve">МАТ-0039</x:t>
        </x:is>
      </x:c>
      <x:c r="D343" s="31" t="inlineStr">
        <x:is>
          <x:t xml:space="preserve">ПЛК 24 дискр. входа / 16 дискр. выхода / исп.2</x:t>
        </x:is>
      </x:c>
      <x:c r="E343" s="31" t="inlineStr">
        <x:is>
          <x:t xml:space="preserve">ПЛК/электрика</x:t>
        </x:is>
      </x:c>
      <x:c r="F343" s="31" t="n">
        <x:v>5.76</x:v>
      </x:c>
      <x:c r="G343" s="31" t="inlineStr">
        <x:is>
          <x:t xml:space="preserve">шт</x:t>
        </x:is>
      </x:c>
      <x:c r="H343" s="31" t="inlineStr">
        <x:is>
          <x:t xml:space="preserve">Обязательный</x:t>
        </x:is>
      </x:c>
      <x:c r="I343" s="31" t="inlineStr">
        <x:is>
          <x:t xml:space="preserve">ГЗ-ПЛК-7</x:t>
        </x:is>
      </x:c>
      <x:c r="J343" s="31" t="inlineStr">
        <x:is>
          <x:t xml:space="preserve">Нет</x:t>
        </x:is>
      </x:c>
    </x:row>
    <x:row r="344">
      <x:c r="A344" s="31" t="inlineStr">
        <x:is>
          <x:t xml:space="preserve">СОСТ-00343</x:t>
        </x:is>
      </x:c>
      <x:c r="B344" s="31" t="inlineStr">
        <x:is>
          <x:t xml:space="preserve">ИЗД-024</x:t>
        </x:is>
      </x:c>
      <x:c r="C344" s="31" t="inlineStr">
        <x:is>
          <x:t xml:space="preserve">МАТ-0050</x:t>
        </x:is>
      </x:c>
      <x:c r="D344" s="31" t="inlineStr">
        <x:is>
          <x:t xml:space="preserve">панель оператора 7"</x:t>
        </x:is>
      </x:c>
      <x:c r="E344" s="31" t="inlineStr">
        <x:is>
          <x:t xml:space="preserve">ПЛК/электрика</x:t>
        </x:is>
      </x:c>
      <x:c r="F344" s="31" t="n">
        <x:v>1.3</x:v>
      </x:c>
      <x:c r="G344" s="31" t="inlineStr">
        <x:is>
          <x:t xml:space="preserve">шт</x:t>
        </x:is>
      </x:c>
      <x:c r="H344" s="31" t="inlineStr">
        <x:is>
          <x:t xml:space="preserve">Обязательный</x:t>
        </x:is>
      </x:c>
      <x:c r="I344" s="31" t="inlineStr">
        <x:is>
          <x:t xml:space="preserve">ГЗ-ПЛК-8</x:t>
        </x:is>
      </x:c>
      <x:c r="J344" s="31" t="inlineStr">
        <x:is>
          <x:t xml:space="preserve">Да</x:t>
        </x:is>
      </x:c>
    </x:row>
    <x:row r="345">
      <x:c r="A345" s="31" t="inlineStr">
        <x:is>
          <x:t xml:space="preserve">СОСТ-00344</x:t>
        </x:is>
      </x:c>
      <x:c r="B345" s="31" t="inlineStr">
        <x:is>
          <x:t xml:space="preserve">ИЗД-024</x:t>
        </x:is>
      </x:c>
      <x:c r="C345" s="31" t="inlineStr">
        <x:is>
          <x:t xml:space="preserve">МАТ-0072</x:t>
        </x:is>
      </x:c>
      <x:c r="D345" s="31" t="inlineStr">
        <x:is>
          <x:t xml:space="preserve">Растворитель</x:t>
        </x:is>
      </x:c>
      <x:c r="E345" s="31" t="inlineStr">
        <x:is>
          <x:t xml:space="preserve">Покраска</x:t>
        </x:is>
      </x:c>
      <x:c r="F345" s="31" t="n">
        <x:v>2.4</x:v>
      </x:c>
      <x:c r="G345" s="31" t="inlineStr">
        <x:is>
          <x:t xml:space="preserve">л</x:t>
        </x:is>
      </x:c>
      <x:c r="H345" s="31" t="inlineStr">
        <x:is>
          <x:t xml:space="preserve">Обязательный</x:t>
        </x:is>
      </x:c>
      <x:c r="I345" s="31" t="inlineStr">
        <x:is>
          <x:t xml:space="preserve">ГЗ-ПОК-2</x:t>
        </x:is>
      </x:c>
      <x:c r="J345" s="31" t="inlineStr">
        <x:is>
          <x:t xml:space="preserve">Нет</x:t>
        </x:is>
      </x:c>
    </x:row>
    <x:row r="346">
      <x:c r="A346" s="31" t="inlineStr">
        <x:is>
          <x:t xml:space="preserve">СОСТ-00345</x:t>
        </x:is>
      </x:c>
      <x:c r="B346" s="31" t="inlineStr">
        <x:is>
          <x:t xml:space="preserve">ИЗД-024</x:t>
        </x:is>
      </x:c>
      <x:c r="C346" s="31" t="inlineStr">
        <x:is>
          <x:t xml:space="preserve">МАТ-0072</x:t>
        </x:is>
      </x:c>
      <x:c r="D346" s="31" t="inlineStr">
        <x:is>
          <x:t xml:space="preserve">Растворитель</x:t>
        </x:is>
      </x:c>
      <x:c r="E346" s="31" t="inlineStr">
        <x:is>
          <x:t xml:space="preserve">Покраска</x:t>
        </x:is>
      </x:c>
      <x:c r="F346" s="31" t="n">
        <x:v>79.23999999999999</x:v>
      </x:c>
      <x:c r="G346" s="31" t="inlineStr">
        <x:is>
          <x:t xml:space="preserve">л</x:t>
        </x:is>
      </x:c>
      <x:c r="H346" s="31" t="inlineStr">
        <x:is>
          <x:t xml:space="preserve">Обязательный</x:t>
        </x:is>
      </x:c>
      <x:c r="I346" s="31" t="inlineStr">
        <x:is>
          <x:t xml:space="preserve">ГЗ-ПОК-2</x:t>
        </x:is>
      </x:c>
      <x:c r="J346" s="31" t="inlineStr">
        <x:is>
          <x:t xml:space="preserve">Нет</x:t>
        </x:is>
      </x:c>
    </x:row>
    <x:row r="347">
      <x:c r="A347" s="31" t="inlineStr">
        <x:is>
          <x:t xml:space="preserve">СОСТ-00346</x:t>
        </x:is>
      </x:c>
      <x:c r="B347" s="31" t="inlineStr">
        <x:is>
          <x:t xml:space="preserve">ИЗД-024</x:t>
        </x:is>
      </x:c>
      <x:c r="C347" s="31" t="inlineStr">
        <x:is>
          <x:t xml:space="preserve">МАТ-0078</x:t>
        </x:is>
      </x:c>
      <x:c r="D347" s="31" t="inlineStr">
        <x:is>
          <x:t xml:space="preserve">Гайка М12</x:t>
        </x:is>
      </x:c>
      <x:c r="E347" s="31" t="inlineStr">
        <x:is>
          <x:t xml:space="preserve">Крепеж</x:t>
        </x:is>
      </x:c>
      <x:c r="F347" s="31" t="n">
        <x:v>2.38</x:v>
      </x:c>
      <x:c r="G347" s="31" t="inlineStr">
        <x:is>
          <x:t xml:space="preserve">шт</x:t>
        </x:is>
      </x:c>
      <x:c r="H347" s="31" t="inlineStr">
        <x:is>
          <x:t xml:space="preserve">Обязательный</x:t>
        </x:is>
      </x:c>
      <x:c r="I347" s="31" t="inlineStr">
        <x:is>
          <x:t xml:space="preserve">ГЗ-КРЕ-9</x:t>
        </x:is>
      </x:c>
      <x:c r="J347" s="31" t="inlineStr">
        <x:is>
          <x:t xml:space="preserve">Да</x:t>
        </x:is>
      </x:c>
    </x:row>
    <x:row r="348">
      <x:c r="A348" s="31" t="inlineStr">
        <x:is>
          <x:t xml:space="preserve">СОСТ-00347</x:t>
        </x:is>
      </x:c>
      <x:c r="B348" s="31" t="inlineStr">
        <x:is>
          <x:t xml:space="preserve">ИЗД-024</x:t>
        </x:is>
      </x:c>
      <x:c r="C348" s="31" t="inlineStr">
        <x:is>
          <x:t xml:space="preserve">МАТ-0084</x:t>
        </x:is>
      </x:c>
      <x:c r="D348" s="31" t="inlineStr">
        <x:is>
          <x:t xml:space="preserve">Поддон 1200×800</x:t>
        </x:is>
      </x:c>
      <x:c r="E348" s="31" t="inlineStr">
        <x:is>
          <x:t xml:space="preserve">Упаковка</x:t>
        </x:is>
      </x:c>
      <x:c r="F348" s="31" t="n">
        <x:v>1.2</x:v>
      </x:c>
      <x:c r="G348" s="31" t="inlineStr">
        <x:is>
          <x:t xml:space="preserve">шт</x:t>
        </x:is>
      </x:c>
      <x:c r="H348" s="31" t="inlineStr">
        <x:is>
          <x:t xml:space="preserve">Обязательный</x:t>
        </x:is>
      </x:c>
      <x:c r="I348" s="31" t="inlineStr">
        <x:is>
          <x:t xml:space="preserve">ГЗ-УПА-3</x:t>
        </x:is>
      </x:c>
      <x:c r="J348" s="31" t="inlineStr">
        <x:is>
          <x:t xml:space="preserve">Да</x:t>
        </x:is>
      </x:c>
    </x:row>
    <x:row r="349">
      <x:c r="A349" s="31" t="inlineStr">
        <x:is>
          <x:t xml:space="preserve">СОСТ-00348</x:t>
        </x:is>
      </x:c>
      <x:c r="B349" s="31" t="inlineStr">
        <x:is>
          <x:t xml:space="preserve">ИЗД-024</x:t>
        </x:is>
      </x:c>
      <x:c r="C349" s="31" t="inlineStr">
        <x:is>
          <x:t xml:space="preserve">МАТ-0089</x:t>
        </x:is>
      </x:c>
      <x:c r="D349" s="31" t="inlineStr">
        <x:is>
          <x:t xml:space="preserve">Маркировочная этикетка</x:t>
        </x:is>
      </x:c>
      <x:c r="E349" s="31" t="inlineStr">
        <x:is>
          <x:t xml:space="preserve">Упаковка</x:t>
        </x:is>
      </x:c>
      <x:c r="F349" s="31" t="n">
        <x:v>7.55</x:v>
      </x:c>
      <x:c r="G349" s="31" t="inlineStr">
        <x:is>
          <x:t xml:space="preserve">шт</x:t>
        </x:is>
      </x:c>
      <x:c r="H349" s="31" t="inlineStr">
        <x:is>
          <x:t xml:space="preserve">Обязательный</x:t>
        </x:is>
      </x:c>
      <x:c r="I349" s="31" t="inlineStr">
        <x:is>
          <x:t xml:space="preserve">ГЗ-УПА-7</x:t>
        </x:is>
      </x:c>
      <x:c r="J349" s="31" t="inlineStr">
        <x:is>
          <x:t xml:space="preserve">Нет</x:t>
        </x:is>
      </x:c>
    </x:row>
    <x:row r="350">
      <x:c r="A350" s="31" t="inlineStr">
        <x:is>
          <x:t xml:space="preserve">СОСТ-00349</x:t>
        </x:is>
      </x:c>
      <x:c r="B350" s="31" t="inlineStr">
        <x:is>
          <x:t xml:space="preserve">ИЗД-024</x:t>
        </x:is>
      </x:c>
      <x:c r="C350" s="31" t="inlineStr">
        <x:is>
          <x:t xml:space="preserve">МАТ-0087</x:t>
        </x:is>
      </x:c>
      <x:c r="D350" s="31" t="inlineStr">
        <x:is>
          <x:t xml:space="preserve">Ящик фанерный</x:t>
        </x:is>
      </x:c>
      <x:c r="E350" s="31" t="inlineStr">
        <x:is>
          <x:t xml:space="preserve">Упаковка</x:t>
        </x:is>
      </x:c>
      <x:c r="F350" s="31" t="n">
        <x:v>2.67</x:v>
      </x:c>
      <x:c r="G350" s="31" t="inlineStr">
        <x:is>
          <x:t xml:space="preserve">шт</x:t>
        </x:is>
      </x:c>
      <x:c r="H350" s="31" t="inlineStr">
        <x:is>
          <x:t xml:space="preserve">Обязательный</x:t>
        </x:is>
      </x:c>
      <x:c r="I350" s="31" t="inlineStr">
        <x:is>
          <x:t xml:space="preserve">ГЗ-УПА-6</x:t>
        </x:is>
      </x:c>
      <x:c r="J350" s="31" t="inlineStr">
        <x:is>
          <x:t xml:space="preserve">Да</x:t>
        </x:is>
      </x:c>
    </x:row>
    <x:row r="351">
      <x:c r="A351" s="31" t="inlineStr">
        <x:is>
          <x:t xml:space="preserve">СОСТ-00350</x:t>
        </x:is>
      </x:c>
      <x:c r="B351" s="31" t="inlineStr">
        <x:is>
          <x:t xml:space="preserve">ИЗД-025</x:t>
        </x:is>
      </x:c>
      <x:c r="C351" s="31" t="inlineStr">
        <x:is>
          <x:t xml:space="preserve">МАТ-0009</x:t>
        </x:is>
      </x:c>
      <x:c r="D351" s="31" t="inlineStr">
        <x:is>
          <x:t xml:space="preserve">Фланец Ду50 Ру16</x:t>
        </x:is>
      </x:c>
      <x:c r="E351" s="31" t="inlineStr">
        <x:is>
          <x:t xml:space="preserve">Металл</x:t>
        </x:is>
      </x:c>
      <x:c r="F351" s="31" t="n">
        <x:v>75.59999999999999</x:v>
      </x:c>
      <x:c r="G351" s="31" t="inlineStr">
        <x:is>
          <x:t xml:space="preserve">л</x:t>
        </x:is>
      </x:c>
      <x:c r="H351" s="31" t="inlineStr">
        <x:is>
          <x:t xml:space="preserve">Обязательный</x:t>
        </x:is>
      </x:c>
      <x:c r="I351" s="31" t="inlineStr">
        <x:is>
          <x:t xml:space="preserve">ГЗ-МЕТ-7</x:t>
        </x:is>
      </x:c>
      <x:c r="J351" s="31" t="inlineStr">
        <x:is>
          <x:t xml:space="preserve">Нет</x:t>
        </x:is>
      </x:c>
    </x:row>
    <x:row r="352">
      <x:c r="A352" s="31" t="inlineStr">
        <x:is>
          <x:t xml:space="preserve">СОСТ-00351</x:t>
        </x:is>
      </x:c>
      <x:c r="B352" s="31" t="inlineStr">
        <x:is>
          <x:t xml:space="preserve">ИЗД-025</x:t>
        </x:is>
      </x:c>
      <x:c r="C352" s="31" t="inlineStr">
        <x:is>
          <x:t xml:space="preserve">МАТ-0013</x:t>
        </x:is>
      </x:c>
      <x:c r="D352" s="31" t="inlineStr">
        <x:is>
          <x:t xml:space="preserve">Уголок 50×5</x:t>
        </x:is>
      </x:c>
      <x:c r="E352" s="31" t="inlineStr">
        <x:is>
          <x:t xml:space="preserve">Металл</x:t>
        </x:is>
      </x:c>
      <x:c r="F352" s="31" t="n">
        <x:v>36.82</x:v>
      </x:c>
      <x:c r="G352" s="31" t="inlineStr">
        <x:is>
          <x:t xml:space="preserve">кг</x:t>
        </x:is>
      </x:c>
      <x:c r="H352" s="31" t="inlineStr">
        <x:is>
          <x:t xml:space="preserve">Обязательный</x:t>
        </x:is>
      </x:c>
      <x:c r="I352" s="31" t="inlineStr">
        <x:is>
          <x:t xml:space="preserve">ГЗ-МЕТ-7</x:t>
        </x:is>
      </x:c>
      <x:c r="J352" s="31" t="inlineStr">
        <x:is>
          <x:t xml:space="preserve">Нет</x:t>
        </x:is>
      </x:c>
    </x:row>
    <x:row r="353">
      <x:c r="A353" s="31" t="inlineStr">
        <x:is>
          <x:t xml:space="preserve">СОСТ-00352</x:t>
        </x:is>
      </x:c>
      <x:c r="B353" s="31" t="inlineStr">
        <x:is>
          <x:t xml:space="preserve">ИЗД-025</x:t>
        </x:is>
      </x:c>
      <x:c r="C353" s="31" t="inlineStr">
        <x:is>
          <x:t xml:space="preserve">МАТ-0021</x:t>
        </x:is>
      </x:c>
      <x:c r="D353" s="31" t="inlineStr">
        <x:is>
          <x:t xml:space="preserve">Торцевое уплотнение</x:t>
        </x:is>
      </x:c>
      <x:c r="E353" s="31" t="inlineStr">
        <x:is>
          <x:t xml:space="preserve">Насосы</x:t>
        </x:is>
      </x:c>
      <x:c r="F353" s="31" t="n">
        <x:v>3.19</x:v>
      </x:c>
      <x:c r="G353" s="31" t="inlineStr">
        <x:is>
          <x:t xml:space="preserve">шт</x:t>
        </x:is>
      </x:c>
      <x:c r="H353" s="31" t="inlineStr">
        <x:is>
          <x:t xml:space="preserve">Обязательный</x:t>
        </x:is>
      </x:c>
      <x:c r="I353" s="31" t="inlineStr">
        <x:is>
          <x:t xml:space="preserve">ГЗ-НАС-1</x:t>
        </x:is>
      </x:c>
      <x:c r="J353" s="31" t="inlineStr">
        <x:is>
          <x:t xml:space="preserve">Да</x:t>
        </x:is>
      </x:c>
    </x:row>
    <x:row r="354">
      <x:c r="A354" s="31" t="inlineStr">
        <x:is>
          <x:t xml:space="preserve">СОСТ-00353</x:t>
        </x:is>
      </x:c>
      <x:c r="B354" s="31" t="inlineStr">
        <x:is>
          <x:t xml:space="preserve">ИЗД-025</x:t>
        </x:is>
      </x:c>
      <x:c r="C354" s="31" t="inlineStr">
        <x:is>
          <x:t xml:space="preserve">МАТ-0025</x:t>
        </x:is>
      </x:c>
      <x:c r="D354" s="31" t="inlineStr">
        <x:is>
          <x:t xml:space="preserve">Двигатель 7.5 кВт</x:t>
        </x:is>
      </x:c>
      <x:c r="E354" s="31" t="inlineStr">
        <x:is>
          <x:t xml:space="preserve">Электродвигатели</x:t>
        </x:is>
      </x:c>
      <x:c r="F354" s="31" t="n">
        <x:v>7.43</x:v>
      </x:c>
      <x:c r="G354" s="31" t="inlineStr">
        <x:is>
          <x:t xml:space="preserve">шт</x:t>
        </x:is>
      </x:c>
      <x:c r="H354" s="31" t="inlineStr">
        <x:is>
          <x:t xml:space="preserve">Обязательный</x:t>
        </x:is>
      </x:c>
      <x:c r="I354" s="31" t="inlineStr">
        <x:is>
          <x:t xml:space="preserve">ГЗ-ЭЛЕ-6</x:t>
        </x:is>
      </x:c>
      <x:c r="J354" s="31" t="inlineStr">
        <x:is>
          <x:t xml:space="preserve">Нет</x:t>
        </x:is>
      </x:c>
    </x:row>
    <x:row r="355">
      <x:c r="A355" s="31" t="inlineStr">
        <x:is>
          <x:t xml:space="preserve">СОСТ-00354</x:t>
        </x:is>
      </x:c>
      <x:c r="B355" s="31" t="inlineStr">
        <x:is>
          <x:t xml:space="preserve">ИЗД-025</x:t>
        </x:is>
      </x:c>
      <x:c r="C355" s="31" t="inlineStr">
        <x:is>
          <x:t xml:space="preserve">МАТ-0034</x:t>
        </x:is>
      </x:c>
      <x:c r="D355" s="31" t="inlineStr">
        <x:is>
          <x:t xml:space="preserve">Манометр виброустойчивый</x:t>
        </x:is>
      </x:c>
      <x:c r="E355" s="31" t="inlineStr">
        <x:is>
          <x:t xml:space="preserve">КИПиА</x:t>
        </x:is>
      </x:c>
      <x:c r="F355" s="31" t="n">
        <x:v>1.46</x:v>
      </x:c>
      <x:c r="G355" s="31" t="inlineStr">
        <x:is>
          <x:t xml:space="preserve">шт</x:t>
        </x:is>
      </x:c>
      <x:c r="H355" s="31" t="inlineStr">
        <x:is>
          <x:t xml:space="preserve">Обязательный</x:t>
        </x:is>
      </x:c>
      <x:c r="I355" s="31" t="inlineStr">
        <x:is>
          <x:t xml:space="preserve">ГЗ-КИП-3</x:t>
        </x:is>
      </x:c>
      <x:c r="J355" s="31" t="inlineStr">
        <x:is>
          <x:t xml:space="preserve">Нет</x:t>
        </x:is>
      </x:c>
    </x:row>
    <x:row r="356">
      <x:c r="A356" s="31" t="inlineStr">
        <x:is>
          <x:t xml:space="preserve">СОСТ-00355</x:t>
        </x:is>
      </x:c>
      <x:c r="B356" s="31" t="inlineStr">
        <x:is>
          <x:t xml:space="preserve">ИЗД-025</x:t>
        </x:is>
      </x:c>
      <x:c r="C356" s="31" t="inlineStr">
        <x:is>
          <x:t xml:space="preserve">МАТ-0033</x:t>
        </x:is>
      </x:c>
      <x:c r="D356" s="31" t="inlineStr">
        <x:is>
          <x:t xml:space="preserve">Расходомер электромагнитный Ду50</x:t>
        </x:is>
      </x:c>
      <x:c r="E356" s="31" t="inlineStr">
        <x:is>
          <x:t xml:space="preserve">КИПиА</x:t>
        </x:is>
      </x:c>
      <x:c r="F356" s="31" t="n">
        <x:v>6.95</x:v>
      </x:c>
      <x:c r="G356" s="31" t="inlineStr">
        <x:is>
          <x:t xml:space="preserve">шт</x:t>
        </x:is>
      </x:c>
      <x:c r="H356" s="31" t="inlineStr">
        <x:is>
          <x:t xml:space="preserve">Обязательный</x:t>
        </x:is>
      </x:c>
      <x:c r="I356" s="31" t="inlineStr">
        <x:is>
          <x:t xml:space="preserve">ГЗ-КИП-6</x:t>
        </x:is>
      </x:c>
      <x:c r="J356" s="31" t="inlineStr">
        <x:is>
          <x:t xml:space="preserve">Нет</x:t>
        </x:is>
      </x:c>
    </x:row>
    <x:row r="357">
      <x:c r="A357" s="31" t="inlineStr">
        <x:is>
          <x:t xml:space="preserve">СОСТ-00356</x:t>
        </x:is>
      </x:c>
      <x:c r="B357" s="31" t="inlineStr">
        <x:is>
          <x:t xml:space="preserve">ИЗД-025</x:t>
        </x:is>
      </x:c>
      <x:c r="C357" s="31" t="inlineStr">
        <x:is>
          <x:t xml:space="preserve">МАТ-0034</x:t>
        </x:is>
      </x:c>
      <x:c r="D357" s="31" t="inlineStr">
        <x:is>
          <x:t xml:space="preserve">Манометр виброустойчивый</x:t>
        </x:is>
      </x:c>
      <x:c r="E357" s="31" t="inlineStr">
        <x:is>
          <x:t xml:space="preserve">КИПиА</x:t>
        </x:is>
      </x:c>
      <x:c r="F357" s="31" t="n">
        <x:v>2.63</x:v>
      </x:c>
      <x:c r="G357" s="31" t="inlineStr">
        <x:is>
          <x:t xml:space="preserve">шт</x:t>
        </x:is>
      </x:c>
      <x:c r="H357" s="31" t="inlineStr">
        <x:is>
          <x:t xml:space="preserve">Обязательный</x:t>
        </x:is>
      </x:c>
      <x:c r="I357" s="31" t="inlineStr">
        <x:is>
          <x:t xml:space="preserve">ГЗ-КИП-3</x:t>
        </x:is>
      </x:c>
      <x:c r="J357" s="31" t="inlineStr">
        <x:is>
          <x:t xml:space="preserve">Нет</x:t>
        </x:is>
      </x:c>
    </x:row>
    <x:row r="358">
      <x:c r="A358" s="31" t="inlineStr">
        <x:is>
          <x:t xml:space="preserve">СОСТ-00357</x:t>
        </x:is>
      </x:c>
      <x:c r="B358" s="31" t="inlineStr">
        <x:is>
          <x:t xml:space="preserve">ИЗД-025</x:t>
        </x:is>
      </x:c>
      <x:c r="C358" s="31" t="inlineStr">
        <x:is>
          <x:t xml:space="preserve">МАТ-0058</x:t>
        </x:is>
      </x:c>
      <x:c r="D358" s="31" t="inlineStr">
        <x:is>
          <x:t xml:space="preserve">Задвижка Ду100 / исп.3</x:t>
        </x:is>
      </x:c>
      <x:c r="E358" s="31" t="inlineStr">
        <x:is>
          <x:t xml:space="preserve">Запорная арматура</x:t>
        </x:is>
      </x:c>
      <x:c r="F358" s="31" t="n">
        <x:v>3.69</x:v>
      </x:c>
      <x:c r="G358" s="31" t="inlineStr">
        <x:is>
          <x:t xml:space="preserve">шт</x:t>
        </x:is>
      </x:c>
      <x:c r="H358" s="31" t="inlineStr">
        <x:is>
          <x:t xml:space="preserve">Обязательный</x:t>
        </x:is>
      </x:c>
      <x:c r="I358" s="31" t="inlineStr">
        <x:is>
          <x:t xml:space="preserve">ГЗ-ЗАП-2</x:t>
        </x:is>
      </x:c>
      <x:c r="J358" s="31" t="inlineStr">
        <x:is>
          <x:t xml:space="preserve">Нет</x:t>
        </x:is>
      </x:c>
    </x:row>
    <x:row r="359">
      <x:c r="A359" s="31" t="inlineStr">
        <x:is>
          <x:t xml:space="preserve">СОСТ-00358</x:t>
        </x:is>
      </x:c>
      <x:c r="B359" s="31" t="inlineStr">
        <x:is>
          <x:t xml:space="preserve">ИЗД-025</x:t>
        </x:is>
      </x:c>
      <x:c r="C359" s="31" t="inlineStr">
        <x:is>
          <x:t xml:space="preserve">МАТ-0062</x:t>
        </x:is>
      </x:c>
      <x:c r="D359" s="31" t="inlineStr">
        <x:is>
          <x:t xml:space="preserve">Кабель КВВГ 4×1.5</x:t>
        </x:is>
      </x:c>
      <x:c r="E359" s="31" t="inlineStr">
        <x:is>
          <x:t xml:space="preserve">Кабель</x:t>
        </x:is>
      </x:c>
      <x:c r="F359" s="31" t="n">
        <x:v>75.13</x:v>
      </x:c>
      <x:c r="G359" s="31" t="inlineStr">
        <x:is>
          <x:t xml:space="preserve">м</x:t>
        </x:is>
      </x:c>
      <x:c r="H359" s="31" t="inlineStr">
        <x:is>
          <x:t xml:space="preserve">Обязательный</x:t>
        </x:is>
      </x:c>
      <x:c r="I359" s="31" t="inlineStr">
        <x:is>
          <x:t xml:space="preserve">ГЗ-КАБ-9</x:t>
        </x:is>
      </x:c>
      <x:c r="J359" s="31" t="inlineStr">
        <x:is>
          <x:t xml:space="preserve">Нет</x:t>
        </x:is>
      </x:c>
    </x:row>
    <x:row r="360">
      <x:c r="A360" s="31" t="inlineStr">
        <x:is>
          <x:t xml:space="preserve">СОСТ-00359</x:t>
        </x:is>
      </x:c>
      <x:c r="B360" s="31" t="inlineStr">
        <x:is>
          <x:t xml:space="preserve">ИЗД-025</x:t>
        </x:is>
      </x:c>
      <x:c r="C360" s="31" t="inlineStr">
        <x:is>
          <x:t xml:space="preserve">МАТ-0064</x:t>
        </x:is>
      </x:c>
      <x:c r="D360" s="31" t="inlineStr">
        <x:is>
          <x:t xml:space="preserve">Кабель ВВГнг 3×2.5 / исп.2</x:t>
        </x:is>
      </x:c>
      <x:c r="E360" s="31" t="inlineStr">
        <x:is>
          <x:t xml:space="preserve">Кабель</x:t>
        </x:is>
      </x:c>
      <x:c r="F360" s="31" t="n">
        <x:v>5.11</x:v>
      </x:c>
      <x:c r="G360" s="31" t="inlineStr">
        <x:is>
          <x:t xml:space="preserve">шт</x:t>
        </x:is>
      </x:c>
      <x:c r="H360" s="31" t="inlineStr">
        <x:is>
          <x:t xml:space="preserve">Обязательный</x:t>
        </x:is>
      </x:c>
      <x:c r="I360" s="31" t="inlineStr">
        <x:is>
          <x:t xml:space="preserve">ГЗ-КАБ-7</x:t>
        </x:is>
      </x:c>
      <x:c r="J360" s="31" t="inlineStr">
        <x:is>
          <x:t xml:space="preserve">Да</x:t>
        </x:is>
      </x:c>
    </x:row>
    <x:row r="361">
      <x:c r="A361" s="31" t="inlineStr">
        <x:is>
          <x:t xml:space="preserve">СОСТ-00360</x:t>
        </x:is>
      </x:c>
      <x:c r="B361" s="31" t="inlineStr">
        <x:is>
          <x:t xml:space="preserve">ИЗД-025</x:t>
        </x:is>
      </x:c>
      <x:c r="C361" s="31" t="inlineStr">
        <x:is>
          <x:t xml:space="preserve">МАТ-0067</x:t>
        </x:is>
      </x:c>
      <x:c r="D361" s="31" t="inlineStr">
        <x:is>
          <x:t xml:space="preserve">Кабельный ввод М20</x:t>
        </x:is>
      </x:c>
      <x:c r="E361" s="31" t="inlineStr">
        <x:is>
          <x:t xml:space="preserve">Кабель</x:t>
        </x:is>
      </x:c>
      <x:c r="F361" s="31" t="n">
        <x:v>63.57</x:v>
      </x:c>
      <x:c r="G361" s="31" t="inlineStr">
        <x:is>
          <x:t xml:space="preserve">кг</x:t>
        </x:is>
      </x:c>
      <x:c r="H361" s="31" t="inlineStr">
        <x:is>
          <x:t xml:space="preserve">Обязательный</x:t>
        </x:is>
      </x:c>
      <x:c r="I361" s="31" t="inlineStr">
        <x:is>
          <x:t xml:space="preserve">ГЗ-КАБ-1</x:t>
        </x:is>
      </x:c>
      <x:c r="J361" s="31" t="inlineStr">
        <x:is>
          <x:t xml:space="preserve">Нет</x:t>
        </x:is>
      </x:c>
    </x:row>
    <x:row r="362">
      <x:c r="A362" s="31" t="inlineStr">
        <x:is>
          <x:t xml:space="preserve">СОСТ-00361</x:t>
        </x:is>
      </x:c>
      <x:c r="B362" s="31" t="inlineStr">
        <x:is>
          <x:t xml:space="preserve">ИЗД-025</x:t>
        </x:is>
      </x:c>
      <x:c r="C362" s="31" t="inlineStr">
        <x:is>
          <x:t xml:space="preserve">МАТ-0046</x:t>
        </x:is>
      </x:c>
      <x:c r="D362" s="31" t="inlineStr">
        <x:is>
          <x:t xml:space="preserve">Контактор 25А</x:t>
        </x:is>
      </x:c>
      <x:c r="E362" s="31" t="inlineStr">
        <x:is>
          <x:t xml:space="preserve">ПЛК/электрика</x:t>
        </x:is>
      </x:c>
      <x:c r="F362" s="31" t="n">
        <x:v>2.79</x:v>
      </x:c>
      <x:c r="G362" s="31" t="inlineStr">
        <x:is>
          <x:t xml:space="preserve">шт</x:t>
        </x:is>
      </x:c>
      <x:c r="H362" s="31" t="inlineStr">
        <x:is>
          <x:t xml:space="preserve">Обязательный</x:t>
        </x:is>
      </x:c>
      <x:c r="I362" s="31" t="inlineStr">
        <x:is>
          <x:t xml:space="preserve">ГЗ-ПЛК-3</x:t>
        </x:is>
      </x:c>
      <x:c r="J362" s="31" t="inlineStr">
        <x:is>
          <x:t xml:space="preserve">Нет</x:t>
        </x:is>
      </x:c>
    </x:row>
    <x:row r="363">
      <x:c r="A363" s="31" t="inlineStr">
        <x:is>
          <x:t xml:space="preserve">СОСТ-00362</x:t>
        </x:is>
      </x:c>
      <x:c r="B363" s="31" t="inlineStr">
        <x:is>
          <x:t xml:space="preserve">ИЗД-025</x:t>
        </x:is>
      </x:c>
      <x:c r="C363" s="31" t="inlineStr">
        <x:is>
          <x:t xml:space="preserve">МАТ-0045</x:t>
        </x:is>
      </x:c>
      <x:c r="D363" s="31" t="inlineStr">
        <x:is>
          <x:t xml:space="preserve">Автоматический выключатель 16А</x:t>
        </x:is>
      </x:c>
      <x:c r="E363" s="31" t="inlineStr">
        <x:is>
          <x:t xml:space="preserve">ПЛК/электрика</x:t>
        </x:is>
      </x:c>
      <x:c r="F363" s="31" t="n">
        <x:v>2.3</x:v>
      </x:c>
      <x:c r="G363" s="31" t="inlineStr">
        <x:is>
          <x:t xml:space="preserve">шт</x:t>
        </x:is>
      </x:c>
      <x:c r="H363" s="31" t="inlineStr">
        <x:is>
          <x:t xml:space="preserve">Обязательный</x:t>
        </x:is>
      </x:c>
      <x:c r="I363" s="31" t="inlineStr">
        <x:is>
          <x:t xml:space="preserve">ГЗ-ПЛК-2</x:t>
        </x:is>
      </x:c>
      <x:c r="J363" s="31" t="inlineStr">
        <x:is>
          <x:t xml:space="preserve">Да</x:t>
        </x:is>
      </x:c>
    </x:row>
    <x:row r="364">
      <x:c r="A364" s="31" t="inlineStr">
        <x:is>
          <x:t xml:space="preserve">СОСТ-00363</x:t>
        </x:is>
      </x:c>
      <x:c r="B364" s="31" t="inlineStr">
        <x:is>
          <x:t xml:space="preserve">ИЗД-025</x:t>
        </x:is>
      </x:c>
      <x:c r="C364" s="31" t="inlineStr">
        <x:is>
          <x:t xml:space="preserve">МАТ-0040</x:t>
        </x:is>
      </x:c>
      <x:c r="D364" s="31" t="inlineStr">
        <x:is>
          <x:t xml:space="preserve">модуль аналогового входа 4 канала</x:t>
        </x:is>
      </x:c>
      <x:c r="E364" s="31" t="inlineStr">
        <x:is>
          <x:t xml:space="preserve">ПЛК/электрика</x:t>
        </x:is>
      </x:c>
      <x:c r="F364" s="31" t="n">
        <x:v>3.18</x:v>
      </x:c>
      <x:c r="G364" s="31" t="inlineStr">
        <x:is>
          <x:t xml:space="preserve">шт</x:t>
        </x:is>
      </x:c>
      <x:c r="H364" s="31" t="inlineStr">
        <x:is>
          <x:t xml:space="preserve">Обязательный</x:t>
        </x:is>
      </x:c>
      <x:c r="I364" s="31" t="inlineStr">
        <x:is>
          <x:t xml:space="preserve">ГЗ-ПЛК-4</x:t>
        </x:is>
      </x:c>
      <x:c r="J364" s="31" t="inlineStr">
        <x:is>
          <x:t xml:space="preserve">Нет</x:t>
        </x:is>
      </x:c>
    </x:row>
    <x:row r="365">
      <x:c r="A365" s="31" t="inlineStr">
        <x:is>
          <x:t xml:space="preserve">СОСТ-00364</x:t>
        </x:is>
      </x:c>
      <x:c r="B365" s="31" t="inlineStr">
        <x:is>
          <x:t xml:space="preserve">ИЗД-025</x:t>
        </x:is>
      </x:c>
      <x:c r="C365" s="31" t="inlineStr">
        <x:is>
          <x:t xml:space="preserve">МАТ-0070</x:t>
        </x:is>
      </x:c>
      <x:c r="D365" s="31" t="inlineStr">
        <x:is>
          <x:t xml:space="preserve">Эмаль полиуретановая / исп.2</x:t>
        </x:is>
      </x:c>
      <x:c r="E365" s="31" t="inlineStr">
        <x:is>
          <x:t xml:space="preserve">Покраска</x:t>
        </x:is>
      </x:c>
      <x:c r="F365" s="31" t="n">
        <x:v>44.21</x:v>
      </x:c>
      <x:c r="G365" s="31" t="inlineStr">
        <x:is>
          <x:t xml:space="preserve">кг</x:t>
        </x:is>
      </x:c>
      <x:c r="H365" s="31" t="inlineStr">
        <x:is>
          <x:t xml:space="preserve">Обязательный</x:t>
        </x:is>
      </x:c>
      <x:c r="I365" s="31" t="inlineStr">
        <x:is>
          <x:t xml:space="preserve">ГЗ-ПОК-3</x:t>
        </x:is>
      </x:c>
      <x:c r="J365" s="31" t="inlineStr">
        <x:is>
          <x:t xml:space="preserve">Нет</x:t>
        </x:is>
      </x:c>
    </x:row>
    <x:row r="366">
      <x:c r="A366" s="31" t="inlineStr">
        <x:is>
          <x:t xml:space="preserve">СОСТ-00365</x:t>
        </x:is>
      </x:c>
      <x:c r="B366" s="31" t="inlineStr">
        <x:is>
          <x:t xml:space="preserve">ИЗД-025</x:t>
        </x:is>
      </x:c>
      <x:c r="C366" s="31" t="inlineStr">
        <x:is>
          <x:t xml:space="preserve">МАТ-0072</x:t>
        </x:is>
      </x:c>
      <x:c r="D366" s="31" t="inlineStr">
        <x:is>
          <x:t xml:space="preserve">Растворитель</x:t>
        </x:is>
      </x:c>
      <x:c r="E366" s="31" t="inlineStr">
        <x:is>
          <x:t xml:space="preserve">Покраска</x:t>
        </x:is>
      </x:c>
      <x:c r="F366" s="31" t="n">
        <x:v>30.77</x:v>
      </x:c>
      <x:c r="G366" s="31" t="inlineStr">
        <x:is>
          <x:t xml:space="preserve">л</x:t>
        </x:is>
      </x:c>
      <x:c r="H366" s="31" t="inlineStr">
        <x:is>
          <x:t xml:space="preserve">Обязательный</x:t>
        </x:is>
      </x:c>
      <x:c r="I366" s="31" t="inlineStr">
        <x:is>
          <x:t xml:space="preserve">ГЗ-ПОК-2</x:t>
        </x:is>
      </x:c>
      <x:c r="J366" s="31" t="inlineStr">
        <x:is>
          <x:t xml:space="preserve">Нет</x:t>
        </x:is>
      </x:c>
    </x:row>
    <x:row r="367">
      <x:c r="A367" s="31" t="inlineStr">
        <x:is>
          <x:t xml:space="preserve">СОСТ-00366</x:t>
        </x:is>
      </x:c>
      <x:c r="B367" s="31" t="inlineStr">
        <x:is>
          <x:t xml:space="preserve">ИЗД-025</x:t>
        </x:is>
      </x:c>
      <x:c r="C367" s="31" t="inlineStr">
        <x:is>
          <x:t xml:space="preserve">МАТ-0077</x:t>
        </x:is>
      </x:c>
      <x:c r="D367" s="31" t="inlineStr">
        <x:is>
          <x:t xml:space="preserve">Болт М16</x:t>
        </x:is>
      </x:c>
      <x:c r="E367" s="31" t="inlineStr">
        <x:is>
          <x:t xml:space="preserve">Крепеж</x:t>
        </x:is>
      </x:c>
      <x:c r="F367" s="31" t="n">
        <x:v>1.4</x:v>
      </x:c>
      <x:c r="G367" s="31" t="inlineStr">
        <x:is>
          <x:t xml:space="preserve">шт</x:t>
        </x:is>
      </x:c>
      <x:c r="H367" s="31" t="inlineStr">
        <x:is>
          <x:t xml:space="preserve">Обязательный</x:t>
        </x:is>
      </x:c>
      <x:c r="I367" s="31" t="inlineStr">
        <x:is>
          <x:t xml:space="preserve">ГЗ-КРЕ-1</x:t>
        </x:is>
      </x:c>
      <x:c r="J367" s="31" t="inlineStr">
        <x:is>
          <x:t xml:space="preserve">Нет</x:t>
        </x:is>
      </x:c>
    </x:row>
    <x:row r="368">
      <x:c r="A368" s="31" t="inlineStr">
        <x:is>
          <x:t xml:space="preserve">СОСТ-00367</x:t>
        </x:is>
      </x:c>
      <x:c r="B368" s="31" t="inlineStr">
        <x:is>
          <x:t xml:space="preserve">ИЗД-025</x:t>
        </x:is>
      </x:c>
      <x:c r="C368" s="31" t="inlineStr">
        <x:is>
          <x:t xml:space="preserve">МАТ-0075</x:t>
        </x:is>
      </x:c>
      <x:c r="D368" s="31" t="inlineStr">
        <x:is>
          <x:t xml:space="preserve">Болт М12</x:t>
        </x:is>
      </x:c>
      <x:c r="E368" s="31" t="inlineStr">
        <x:is>
          <x:t xml:space="preserve">Крепеж</x:t>
        </x:is>
      </x:c>
      <x:c r="F368" s="31" t="n">
        <x:v>3.95</x:v>
      </x:c>
      <x:c r="G368" s="31" t="inlineStr">
        <x:is>
          <x:t xml:space="preserve">шт</x:t>
        </x:is>
      </x:c>
      <x:c r="H368" s="31" t="inlineStr">
        <x:is>
          <x:t xml:space="preserve">Обязательный</x:t>
        </x:is>
      </x:c>
      <x:c r="I368" s="31" t="inlineStr">
        <x:is>
          <x:t xml:space="preserve">ГЗ-КРЕ-6</x:t>
        </x:is>
      </x:c>
      <x:c r="J368" s="31" t="inlineStr">
        <x:is>
          <x:t xml:space="preserve">Нет</x:t>
        </x:is>
      </x:c>
    </x:row>
    <x:row r="369">
      <x:c r="A369" s="31" t="inlineStr">
        <x:is>
          <x:t xml:space="preserve">СОСТ-00368</x:t>
        </x:is>
      </x:c>
      <x:c r="B369" s="31" t="inlineStr">
        <x:is>
          <x:t xml:space="preserve">ИЗД-025</x:t>
        </x:is>
      </x:c>
      <x:c r="C369" s="31" t="inlineStr">
        <x:is>
          <x:t xml:space="preserve">МАТ-0078</x:t>
        </x:is>
      </x:c>
      <x:c r="D369" s="31" t="inlineStr">
        <x:is>
          <x:t xml:space="preserve">Гайка М12</x:t>
        </x:is>
      </x:c>
      <x:c r="E369" s="31" t="inlineStr">
        <x:is>
          <x:t xml:space="preserve">Крепеж</x:t>
        </x:is>
      </x:c>
      <x:c r="F369" s="31" t="n">
        <x:v>6.5</x:v>
      </x:c>
      <x:c r="G369" s="31" t="inlineStr">
        <x:is>
          <x:t xml:space="preserve">шт</x:t>
        </x:is>
      </x:c>
      <x:c r="H369" s="31" t="inlineStr">
        <x:is>
          <x:t xml:space="preserve">Обязательный</x:t>
        </x:is>
      </x:c>
      <x:c r="I369" s="31" t="inlineStr">
        <x:is>
          <x:t xml:space="preserve">ГЗ-КРЕ-9</x:t>
        </x:is>
      </x:c>
      <x:c r="J369" s="31" t="inlineStr">
        <x:is>
          <x:t xml:space="preserve">Нет</x:t>
        </x:is>
      </x:c>
    </x:row>
    <x:row r="370">
      <x:c r="A370" s="31" t="inlineStr">
        <x:is>
          <x:t xml:space="preserve">СОСТ-00369</x:t>
        </x:is>
      </x:c>
      <x:c r="B370" s="31" t="inlineStr">
        <x:is>
          <x:t xml:space="preserve">ИЗД-025</x:t>
        </x:is>
      </x:c>
      <x:c r="C370" s="31" t="inlineStr">
        <x:is>
          <x:t xml:space="preserve">МАТ-0089</x:t>
        </x:is>
      </x:c>
      <x:c r="D370" s="31" t="inlineStr">
        <x:is>
          <x:t xml:space="preserve">Маркировочная этикетка</x:t>
        </x:is>
      </x:c>
      <x:c r="E370" s="31" t="inlineStr">
        <x:is>
          <x:t xml:space="preserve">Упаковка</x:t>
        </x:is>
      </x:c>
      <x:c r="F370" s="31" t="n">
        <x:v>7.87</x:v>
      </x:c>
      <x:c r="G370" s="31" t="inlineStr">
        <x:is>
          <x:t xml:space="preserve">шт</x:t>
        </x:is>
      </x:c>
      <x:c r="H370" s="31" t="inlineStr">
        <x:is>
          <x:t xml:space="preserve">Обязательный</x:t>
        </x:is>
      </x:c>
      <x:c r="I370" s="31" t="inlineStr">
        <x:is>
          <x:t xml:space="preserve">ГЗ-УПА-7</x:t>
        </x:is>
      </x:c>
      <x:c r="J370" s="31" t="inlineStr">
        <x:is>
          <x:t xml:space="preserve">Нет</x:t>
        </x:is>
      </x:c>
    </x:row>
    <x:row r="371">
      <x:c r="A371" s="31" t="inlineStr">
        <x:is>
          <x:t xml:space="preserve">СОСТ-00370</x:t>
        </x:is>
      </x:c>
      <x:c r="B371" s="31" t="inlineStr">
        <x:is>
          <x:t xml:space="preserve">ИЗД-025</x:t>
        </x:is>
      </x:c>
      <x:c r="C371" s="31" t="inlineStr">
        <x:is>
          <x:t xml:space="preserve">МАТ-0088</x:t>
        </x:is>
      </x:c>
      <x:c r="D371" s="31" t="inlineStr">
        <x:is>
          <x:t xml:space="preserve">Ящик фанерный / исп.2</x:t>
        </x:is>
      </x:c>
      <x:c r="E371" s="31" t="inlineStr">
        <x:is>
          <x:t xml:space="preserve">Упаковка</x:t>
        </x:is>
      </x:c>
      <x:c r="F371" s="31" t="n">
        <x:v>4.96</x:v>
      </x:c>
      <x:c r="G371" s="31" t="inlineStr">
        <x:is>
          <x:t xml:space="preserve">шт</x:t>
        </x:is>
      </x:c>
      <x:c r="H371" s="31" t="inlineStr">
        <x:is>
          <x:t xml:space="preserve">Обязательный</x:t>
        </x:is>
      </x:c>
      <x:c r="I371" s="31" t="inlineStr">
        <x:is>
          <x:t xml:space="preserve">ГЗ-УПА-4</x:t>
        </x:is>
      </x:c>
      <x:c r="J371" s="31" t="inlineStr">
        <x:is>
          <x:t xml:space="preserve">Нет</x:t>
        </x:is>
      </x:c>
    </x:row>
    <x:row r="372">
      <x:c r="A372" s="31" t="inlineStr">
        <x:is>
          <x:t xml:space="preserve">СОСТ-00371</x:t>
        </x:is>
      </x:c>
      <x:c r="B372" s="31" t="inlineStr">
        <x:is>
          <x:t xml:space="preserve">ИЗД-025</x:t>
        </x:is>
      </x:c>
      <x:c r="C372" s="31" t="inlineStr">
        <x:is>
          <x:t xml:space="preserve">МАТ-0086</x:t>
        </x:is>
      </x:c>
      <x:c r="D372" s="31" t="inlineStr">
        <x:is>
          <x:t xml:space="preserve">Пленка стрейч / исп.2</x:t>
        </x:is>
      </x:c>
      <x:c r="E372" s="31" t="inlineStr">
        <x:is>
          <x:t xml:space="preserve">Упаковка</x:t>
        </x:is>
      </x:c>
      <x:c r="F372" s="31" t="n">
        <x:v>2.14</x:v>
      </x:c>
      <x:c r="G372" s="31" t="inlineStr">
        <x:is>
          <x:t xml:space="preserve">шт</x:t>
        </x:is>
      </x:c>
      <x:c r="H372" s="31" t="inlineStr">
        <x:is>
          <x:t xml:space="preserve">Обязательный</x:t>
        </x:is>
      </x:c>
      <x:c r="I372" s="31" t="inlineStr">
        <x:is>
          <x:t xml:space="preserve">ГЗ-УПА-4</x:t>
        </x:is>
      </x:c>
      <x:c r="J372" s="31" t="inlineStr">
        <x:is>
          <x:t xml:space="preserve">Нет</x:t>
        </x:is>
      </x:c>
    </x:row>
    <x:row r="373">
      <x:c r="A373" s="31" t="inlineStr">
        <x:is>
          <x:t xml:space="preserve">СОСТ-00372</x:t>
        </x:is>
      </x:c>
      <x:c r="B373" s="31" t="inlineStr">
        <x:is>
          <x:t xml:space="preserve">ИЗД-026</x:t>
        </x:is>
      </x:c>
      <x:c r="C373" s="31" t="inlineStr">
        <x:is>
          <x:t xml:space="preserve">МАТ-0045</x:t>
        </x:is>
      </x:c>
      <x:c r="D373" s="31" t="inlineStr">
        <x:is>
          <x:t xml:space="preserve">Автоматический выключатель 16А</x:t>
        </x:is>
      </x:c>
      <x:c r="E373" s="31" t="inlineStr">
        <x:is>
          <x:t xml:space="preserve">ПЛК/электрика</x:t>
        </x:is>
      </x:c>
      <x:c r="F373" s="31" t="n">
        <x:v>2.54</x:v>
      </x:c>
      <x:c r="G373" s="31" t="inlineStr">
        <x:is>
          <x:t xml:space="preserve">шт</x:t>
        </x:is>
      </x:c>
      <x:c r="H373" s="31" t="inlineStr">
        <x:is>
          <x:t xml:space="preserve">Обязательный</x:t>
        </x:is>
      </x:c>
      <x:c r="I373" s="31" t="inlineStr">
        <x:is>
          <x:t xml:space="preserve">ГЗ-ПЛК-2</x:t>
        </x:is>
      </x:c>
      <x:c r="J373" s="31" t="inlineStr">
        <x:is>
          <x:t xml:space="preserve">Нет</x:t>
        </x:is>
      </x:c>
    </x:row>
    <x:row r="374">
      <x:c r="A374" s="31" t="inlineStr">
        <x:is>
          <x:t xml:space="preserve">СОСТ-00373</x:t>
        </x:is>
      </x:c>
      <x:c r="B374" s="31" t="inlineStr">
        <x:is>
          <x:t xml:space="preserve">ИЗД-026</x:t>
        </x:is>
      </x:c>
      <x:c r="C374" s="31" t="inlineStr">
        <x:is>
          <x:t xml:space="preserve">МАТ-0065</x:t>
        </x:is>
      </x:c>
      <x:c r="D374" s="31" t="inlineStr">
        <x:is>
          <x:t xml:space="preserve">Гофра металлическая</x:t>
        </x:is>
      </x:c>
      <x:c r="E374" s="31" t="inlineStr">
        <x:is>
          <x:t xml:space="preserve">Кабель</x:t>
        </x:is>
      </x:c>
      <x:c r="F374" s="31" t="n">
        <x:v>5.37</x:v>
      </x:c>
      <x:c r="G374" s="31" t="inlineStr">
        <x:is>
          <x:t xml:space="preserve">шт</x:t>
        </x:is>
      </x:c>
      <x:c r="H374" s="31" t="inlineStr">
        <x:is>
          <x:t xml:space="preserve">Обязательный</x:t>
        </x:is>
      </x:c>
      <x:c r="I374" s="31" t="inlineStr">
        <x:is>
          <x:t xml:space="preserve">ГЗ-КАБ-2</x:t>
        </x:is>
      </x:c>
      <x:c r="J374" s="31" t="inlineStr">
        <x:is>
          <x:t xml:space="preserve">Нет</x:t>
        </x:is>
      </x:c>
    </x:row>
    <x:row r="375">
      <x:c r="A375" s="31" t="inlineStr">
        <x:is>
          <x:t xml:space="preserve">СОСТ-00374</x:t>
        </x:is>
      </x:c>
      <x:c r="B375" s="31" t="inlineStr">
        <x:is>
          <x:t xml:space="preserve">ИЗД-026</x:t>
        </x:is>
      </x:c>
      <x:c r="C375" s="31" t="inlineStr">
        <x:is>
          <x:t xml:space="preserve">МАТ-0037</x:t>
        </x:is>
      </x:c>
      <x:c r="D375" s="31" t="inlineStr">
        <x:is>
          <x:t xml:space="preserve">Клапан электромагнитный 24В / исп.3</x:t>
        </x:is>
      </x:c>
      <x:c r="E375" s="31" t="inlineStr">
        <x:is>
          <x:t xml:space="preserve">КИПиА</x:t>
        </x:is>
      </x:c>
      <x:c r="F375" s="31" t="n">
        <x:v>6.18</x:v>
      </x:c>
      <x:c r="G375" s="31" t="inlineStr">
        <x:is>
          <x:t xml:space="preserve">шт</x:t>
        </x:is>
      </x:c>
      <x:c r="H375" s="31" t="inlineStr">
        <x:is>
          <x:t xml:space="preserve">Обязательный</x:t>
        </x:is>
      </x:c>
      <x:c r="I375" s="31" t="inlineStr">
        <x:is>
          <x:t xml:space="preserve">ГЗ-КИП-3</x:t>
        </x:is>
      </x:c>
      <x:c r="J375" s="31" t="inlineStr">
        <x:is>
          <x:t xml:space="preserve">Нет</x:t>
        </x:is>
      </x:c>
    </x:row>
    <x:row r="376">
      <x:c r="A376" s="31" t="inlineStr">
        <x:is>
          <x:t xml:space="preserve">СОСТ-00375</x:t>
        </x:is>
      </x:c>
      <x:c r="B376" s="31" t="inlineStr">
        <x:is>
          <x:t xml:space="preserve">ИЗД-026</x:t>
        </x:is>
      </x:c>
      <x:c r="C376" s="31" t="inlineStr">
        <x:is>
          <x:t xml:space="preserve">МАТ-0031</x:t>
        </x:is>
      </x:c>
      <x:c r="D376" s="31" t="inlineStr">
        <x:is>
          <x:t xml:space="preserve">Датчик давления 0-16 бар</x:t>
        </x:is>
      </x:c>
      <x:c r="E376" s="31" t="inlineStr">
        <x:is>
          <x:t xml:space="preserve">КИПиА</x:t>
        </x:is>
      </x:c>
      <x:c r="F376" s="31" t="n">
        <x:v>3.54</x:v>
      </x:c>
      <x:c r="G376" s="31" t="inlineStr">
        <x:is>
          <x:t xml:space="preserve">шт</x:t>
        </x:is>
      </x:c>
      <x:c r="H376" s="31" t="inlineStr">
        <x:is>
          <x:t xml:space="preserve">Обязательный</x:t>
        </x:is>
      </x:c>
      <x:c r="I376" s="31" t="inlineStr">
        <x:is>
          <x:t xml:space="preserve">ГЗ-КИП-7</x:t>
        </x:is>
      </x:c>
      <x:c r="J376" s="31" t="inlineStr">
        <x:is>
          <x:t xml:space="preserve">Да</x:t>
        </x:is>
      </x:c>
    </x:row>
    <x:row r="377">
      <x:c r="A377" s="31" t="inlineStr">
        <x:is>
          <x:t xml:space="preserve">СОСТ-00376</x:t>
        </x:is>
      </x:c>
      <x:c r="B377" s="31" t="inlineStr">
        <x:is>
          <x:t xml:space="preserve">ИЗД-026</x:t>
        </x:is>
      </x:c>
      <x:c r="C377" s="31" t="inlineStr">
        <x:is>
          <x:t xml:space="preserve">МАТ-0077</x:t>
        </x:is>
      </x:c>
      <x:c r="D377" s="31" t="inlineStr">
        <x:is>
          <x:t xml:space="preserve">Болт М16</x:t>
        </x:is>
      </x:c>
      <x:c r="E377" s="31" t="inlineStr">
        <x:is>
          <x:t xml:space="preserve">Крепеж</x:t>
        </x:is>
      </x:c>
      <x:c r="F377" s="31" t="n">
        <x:v>3.03</x:v>
      </x:c>
      <x:c r="G377" s="31" t="inlineStr">
        <x:is>
          <x:t xml:space="preserve">шт</x:t>
        </x:is>
      </x:c>
      <x:c r="H377" s="31" t="inlineStr">
        <x:is>
          <x:t xml:space="preserve">Обязательный</x:t>
        </x:is>
      </x:c>
      <x:c r="I377" s="31" t="inlineStr">
        <x:is>
          <x:t xml:space="preserve">ГЗ-КРЕ-1</x:t>
        </x:is>
      </x:c>
      <x:c r="J377" s="31" t="inlineStr">
        <x:is>
          <x:t xml:space="preserve">Нет</x:t>
        </x:is>
      </x:c>
    </x:row>
    <x:row r="378">
      <x:c r="A378" s="31" t="inlineStr">
        <x:is>
          <x:t xml:space="preserve">СОСТ-00377</x:t>
        </x:is>
      </x:c>
      <x:c r="B378" s="31" t="inlineStr">
        <x:is>
          <x:t xml:space="preserve">ИЗД-026</x:t>
        </x:is>
      </x:c>
      <x:c r="C378" s="31" t="inlineStr">
        <x:is>
          <x:t xml:space="preserve">МАТ-0084</x:t>
        </x:is>
      </x:c>
      <x:c r="D378" s="31" t="inlineStr">
        <x:is>
          <x:t xml:space="preserve">Поддон 1200×800</x:t>
        </x:is>
      </x:c>
      <x:c r="E378" s="31" t="inlineStr">
        <x:is>
          <x:t xml:space="preserve">Упаковка</x:t>
        </x:is>
      </x:c>
      <x:c r="F378" s="31" t="n">
        <x:v>7.83</x:v>
      </x:c>
      <x:c r="G378" s="31" t="inlineStr">
        <x:is>
          <x:t xml:space="preserve">шт</x:t>
        </x:is>
      </x:c>
      <x:c r="H378" s="31" t="inlineStr">
        <x:is>
          <x:t xml:space="preserve">Обязательный</x:t>
        </x:is>
      </x:c>
      <x:c r="I378" s="31" t="inlineStr">
        <x:is>
          <x:t xml:space="preserve">ГЗ-УПА-3</x:t>
        </x:is>
      </x:c>
      <x:c r="J378" s="31" t="inlineStr">
        <x:is>
          <x:t xml:space="preserve">Нет</x:t>
        </x:is>
      </x:c>
    </x:row>
    <x:row r="379">
      <x:c r="A379" s="31" t="inlineStr">
        <x:is>
          <x:t xml:space="preserve">СОСТ-00378</x:t>
        </x:is>
      </x:c>
      <x:c r="B379" s="31" t="inlineStr">
        <x:is>
          <x:t xml:space="preserve">ИЗД-026</x:t>
        </x:is>
      </x:c>
      <x:c r="C379" s="31" t="inlineStr">
        <x:is>
          <x:t xml:space="preserve">МАТ-0085</x:t>
        </x:is>
      </x:c>
      <x:c r="D379" s="31" t="inlineStr">
        <x:is>
          <x:t xml:space="preserve">Пленка стрейч</x:t>
        </x:is>
      </x:c>
      <x:c r="E379" s="31" t="inlineStr">
        <x:is>
          <x:t xml:space="preserve">Упаковка</x:t>
        </x:is>
      </x:c>
      <x:c r="F379" s="31" t="n">
        <x:v>7.2</x:v>
      </x:c>
      <x:c r="G379" s="31" t="inlineStr">
        <x:is>
          <x:t xml:space="preserve">шт</x:t>
        </x:is>
      </x:c>
      <x:c r="H379" s="31" t="inlineStr">
        <x:is>
          <x:t xml:space="preserve">Обязательный</x:t>
        </x:is>
      </x:c>
      <x:c r="I379" s="31" t="inlineStr">
        <x:is>
          <x:t xml:space="preserve">ГЗ-УПА-5</x:t>
        </x:is>
      </x:c>
      <x:c r="J379" s="31" t="inlineStr">
        <x:is>
          <x:t xml:space="preserve">Нет</x:t>
        </x:is>
      </x:c>
    </x:row>
    <x:row r="380">
      <x:c r="A380" s="31" t="inlineStr">
        <x:is>
          <x:t xml:space="preserve">СОСТ-00379</x:t>
        </x:is>
      </x:c>
      <x:c r="B380" s="31" t="inlineStr">
        <x:is>
          <x:t xml:space="preserve">ИЗД-027</x:t>
        </x:is>
      </x:c>
      <x:c r="C380" s="31" t="inlineStr">
        <x:is>
          <x:t xml:space="preserve">МАТ-0004</x:t>
        </x:is>
      </x:c>
      <x:c r="D380" s="31" t="inlineStr">
        <x:is>
          <x:t xml:space="preserve">Лист стальной 09Г2С 12 мм / исп.3</x:t>
        </x:is>
      </x:c>
      <x:c r="E380" s="31" t="inlineStr">
        <x:is>
          <x:t xml:space="preserve">Металл</x:t>
        </x:is>
      </x:c>
      <x:c r="F380" s="31" t="n">
        <x:v>3.68</x:v>
      </x:c>
      <x:c r="G380" s="31" t="inlineStr">
        <x:is>
          <x:t xml:space="preserve">л</x:t>
        </x:is>
      </x:c>
      <x:c r="H380" s="31" t="inlineStr">
        <x:is>
          <x:t xml:space="preserve">Обязательный</x:t>
        </x:is>
      </x:c>
      <x:c r="I380" s="31" t="inlineStr">
        <x:is>
          <x:t xml:space="preserve">ГЗ-МЕТ-3</x:t>
        </x:is>
      </x:c>
      <x:c r="J380" s="31" t="inlineStr">
        <x:is>
          <x:t xml:space="preserve">Нет</x:t>
        </x:is>
      </x:c>
    </x:row>
    <x:row r="381">
      <x:c r="A381" s="31" t="inlineStr">
        <x:is>
          <x:t xml:space="preserve">СОСТ-00380</x:t>
        </x:is>
      </x:c>
      <x:c r="B381" s="31" t="inlineStr">
        <x:is>
          <x:t xml:space="preserve">ИЗД-027</x:t>
        </x:is>
      </x:c>
      <x:c r="C381" s="31" t="inlineStr">
        <x:is>
          <x:t xml:space="preserve">МАТ-0001</x:t>
        </x:is>
      </x:c>
      <x:c r="D381" s="31" t="inlineStr">
        <x:is>
          <x:t xml:space="preserve">Лист стальной 09Г2С 8 мм</x:t>
        </x:is>
      </x:c>
      <x:c r="E381" s="31" t="inlineStr">
        <x:is>
          <x:t xml:space="preserve">Металл</x:t>
        </x:is>
      </x:c>
      <x:c r="F381" s="31" t="n">
        <x:v>12.7</x:v>
      </x:c>
      <x:c r="G381" s="31" t="inlineStr">
        <x:is>
          <x:t xml:space="preserve">м</x:t>
        </x:is>
      </x:c>
      <x:c r="H381" s="31" t="inlineStr">
        <x:is>
          <x:t xml:space="preserve">Обязательный</x:t>
        </x:is>
      </x:c>
      <x:c r="I381" s="31" t="inlineStr">
        <x:is>
          <x:t xml:space="preserve">ГЗ-МЕТ-9</x:t>
        </x:is>
      </x:c>
      <x:c r="J381" s="31" t="inlineStr">
        <x:is>
          <x:t xml:space="preserve">Нет</x:t>
        </x:is>
      </x:c>
    </x:row>
    <x:row r="382">
      <x:c r="A382" s="31" t="inlineStr">
        <x:is>
          <x:t xml:space="preserve">СОСТ-00381</x:t>
        </x:is>
      </x:c>
      <x:c r="B382" s="31" t="inlineStr">
        <x:is>
          <x:t xml:space="preserve">ИЗД-027</x:t>
        </x:is>
      </x:c>
      <x:c r="C382" s="31" t="inlineStr">
        <x:is>
          <x:t xml:space="preserve">МАТ-0006</x:t>
        </x:is>
      </x:c>
      <x:c r="D382" s="31" t="inlineStr">
        <x:is>
          <x:t xml:space="preserve">Труба нержавеющая 38×3</x:t>
        </x:is>
      </x:c>
      <x:c r="E382" s="31" t="inlineStr">
        <x:is>
          <x:t xml:space="preserve">Металл</x:t>
        </x:is>
      </x:c>
      <x:c r="F382" s="31" t="n">
        <x:v>7.55</x:v>
      </x:c>
      <x:c r="G382" s="31" t="inlineStr">
        <x:is>
          <x:t xml:space="preserve">шт</x:t>
        </x:is>
      </x:c>
      <x:c r="H382" s="31" t="inlineStr">
        <x:is>
          <x:t xml:space="preserve">Обязательный</x:t>
        </x:is>
      </x:c>
      <x:c r="I382" s="31" t="inlineStr">
        <x:is>
          <x:t xml:space="preserve">ГЗ-МЕТ-8</x:t>
        </x:is>
      </x:c>
      <x:c r="J382" s="31" t="inlineStr">
        <x:is>
          <x:t xml:space="preserve">Нет</x:t>
        </x:is>
      </x:c>
    </x:row>
    <x:row r="383">
      <x:c r="A383" s="31" t="inlineStr">
        <x:is>
          <x:t xml:space="preserve">СОСТ-00382</x:t>
        </x:is>
      </x:c>
      <x:c r="B383" s="31" t="inlineStr">
        <x:is>
          <x:t xml:space="preserve">ИЗД-027</x:t>
        </x:is>
      </x:c>
      <x:c r="C383" s="31" t="inlineStr">
        <x:is>
          <x:t xml:space="preserve">МАТ-0017</x:t>
        </x:is>
      </x:c>
      <x:c r="D383" s="31" t="inlineStr">
        <x:is>
          <x:t xml:space="preserve">Насос шестеренный 7.5 кВт</x:t>
        </x:is>
      </x:c>
      <x:c r="E383" s="31" t="inlineStr">
        <x:is>
          <x:t xml:space="preserve">Насосы</x:t>
        </x:is>
      </x:c>
      <x:c r="F383" s="31" t="n">
        <x:v>7.59</x:v>
      </x:c>
      <x:c r="G383" s="31" t="inlineStr">
        <x:is>
          <x:t xml:space="preserve">шт</x:t>
        </x:is>
      </x:c>
      <x:c r="H383" s="31" t="inlineStr">
        <x:is>
          <x:t xml:space="preserve">Замена</x:t>
        </x:is>
      </x:c>
      <x:c r="I383" s="31" t="inlineStr">
        <x:is>
          <x:t xml:space="preserve">ГЗ-НАС-8</x:t>
        </x:is>
      </x:c>
      <x:c r="J383" s="31" t="inlineStr">
        <x:is>
          <x:t xml:space="preserve">Нет</x:t>
        </x:is>
      </x:c>
    </x:row>
    <x:row r="384">
      <x:c r="A384" s="31" t="inlineStr">
        <x:is>
          <x:t xml:space="preserve">СОСТ-00383</x:t>
        </x:is>
      </x:c>
      <x:c r="B384" s="31" t="inlineStr">
        <x:is>
          <x:t xml:space="preserve">ИЗД-027</x:t>
        </x:is>
      </x:c>
      <x:c r="C384" s="31" t="inlineStr">
        <x:is>
          <x:t xml:space="preserve">МАТ-0021</x:t>
        </x:is>
      </x:c>
      <x:c r="D384" s="31" t="inlineStr">
        <x:is>
          <x:t xml:space="preserve">Торцевое уплотнение</x:t>
        </x:is>
      </x:c>
      <x:c r="E384" s="31" t="inlineStr">
        <x:is>
          <x:t xml:space="preserve">Насосы</x:t>
        </x:is>
      </x:c>
      <x:c r="F384" s="31" t="n">
        <x:v>7.15</x:v>
      </x:c>
      <x:c r="G384" s="31" t="inlineStr">
        <x:is>
          <x:t xml:space="preserve">шт</x:t>
        </x:is>
      </x:c>
      <x:c r="H384" s="31" t="inlineStr">
        <x:is>
          <x:t xml:space="preserve">Обязательный</x:t>
        </x:is>
      </x:c>
      <x:c r="I384" s="31" t="inlineStr">
        <x:is>
          <x:t xml:space="preserve">ГЗ-НАС-1</x:t>
        </x:is>
      </x:c>
      <x:c r="J384" s="31" t="inlineStr">
        <x:is>
          <x:t xml:space="preserve">Нет</x:t>
        </x:is>
      </x:c>
    </x:row>
    <x:row r="385">
      <x:c r="A385" s="31" t="inlineStr">
        <x:is>
          <x:t xml:space="preserve">СОСТ-00384</x:t>
        </x:is>
      </x:c>
      <x:c r="B385" s="31" t="inlineStr">
        <x:is>
          <x:t xml:space="preserve">ИЗД-027</x:t>
        </x:is>
      </x:c>
      <x:c r="C385" s="31" t="inlineStr">
        <x:is>
          <x:t xml:space="preserve">МАТ-0026</x:t>
        </x:is>
      </x:c>
      <x:c r="D385" s="31" t="inlineStr">
        <x:is>
          <x:t xml:space="preserve">Двигатель 15 кВт</x:t>
        </x:is>
      </x:c>
      <x:c r="E385" s="31" t="inlineStr">
        <x:is>
          <x:t xml:space="preserve">Электродвигатели</x:t>
        </x:is>
      </x:c>
      <x:c r="F385" s="31" t="n">
        <x:v>2.34</x:v>
      </x:c>
      <x:c r="G385" s="31" t="inlineStr">
        <x:is>
          <x:t xml:space="preserve">шт</x:t>
        </x:is>
      </x:c>
      <x:c r="H385" s="31" t="inlineStr">
        <x:is>
          <x:t xml:space="preserve">Обязательный</x:t>
        </x:is>
      </x:c>
      <x:c r="I385" s="31" t="inlineStr">
        <x:is>
          <x:t xml:space="preserve">ГЗ-ЭЛЕ-1</x:t>
        </x:is>
      </x:c>
      <x:c r="J385" s="31" t="inlineStr">
        <x:is>
          <x:t xml:space="preserve">Нет</x:t>
        </x:is>
      </x:c>
    </x:row>
    <x:row r="386">
      <x:c r="A386" s="31" t="inlineStr">
        <x:is>
          <x:t xml:space="preserve">СОСТ-00385</x:t>
        </x:is>
      </x:c>
      <x:c r="B386" s="31" t="inlineStr">
        <x:is>
          <x:t xml:space="preserve">ИЗД-027</x:t>
        </x:is>
      </x:c>
      <x:c r="C386" s="31" t="inlineStr">
        <x:is>
          <x:t xml:space="preserve">МАТ-0034</x:t>
        </x:is>
      </x:c>
      <x:c r="D386" s="31" t="inlineStr">
        <x:is>
          <x:t xml:space="preserve">Манометр виброустойчивый</x:t>
        </x:is>
      </x:c>
      <x:c r="E386" s="31" t="inlineStr">
        <x:is>
          <x:t xml:space="preserve">КИПиА</x:t>
        </x:is>
      </x:c>
      <x:c r="F386" s="31" t="n">
        <x:v>7.84</x:v>
      </x:c>
      <x:c r="G386" s="31" t="inlineStr">
        <x:is>
          <x:t xml:space="preserve">шт</x:t>
        </x:is>
      </x:c>
      <x:c r="H386" s="31" t="inlineStr">
        <x:is>
          <x:t xml:space="preserve">Обязательный</x:t>
        </x:is>
      </x:c>
      <x:c r="I386" s="31" t="inlineStr">
        <x:is>
          <x:t xml:space="preserve">ГЗ-КИП-3</x:t>
        </x:is>
      </x:c>
      <x:c r="J386" s="31" t="inlineStr">
        <x:is>
          <x:t xml:space="preserve">Да</x:t>
        </x:is>
      </x:c>
    </x:row>
    <x:row r="387">
      <x:c r="A387" s="31" t="inlineStr">
        <x:is>
          <x:t xml:space="preserve">СОСТ-00386</x:t>
        </x:is>
      </x:c>
      <x:c r="B387" s="31" t="inlineStr">
        <x:is>
          <x:t xml:space="preserve">ИЗД-027</x:t>
        </x:is>
      </x:c>
      <x:c r="C387" s="31" t="inlineStr">
        <x:is>
          <x:t xml:space="preserve">МАТ-0035</x:t>
        </x:is>
      </x:c>
      <x:c r="D387" s="31" t="inlineStr">
        <x:is>
          <x:t xml:space="preserve">Клапан электромагнитный 24В</x:t>
        </x:is>
      </x:c>
      <x:c r="E387" s="31" t="inlineStr">
        <x:is>
          <x:t xml:space="preserve">КИПиА</x:t>
        </x:is>
      </x:c>
      <x:c r="F387" s="31" t="n">
        <x:v>5.11</x:v>
      </x:c>
      <x:c r="G387" s="31" t="inlineStr">
        <x:is>
          <x:t xml:space="preserve">шт</x:t>
        </x:is>
      </x:c>
      <x:c r="H387" s="31" t="inlineStr">
        <x:is>
          <x:t xml:space="preserve">Обязательный</x:t>
        </x:is>
      </x:c>
      <x:c r="I387" s="31" t="inlineStr">
        <x:is>
          <x:t xml:space="preserve">ГЗ-КИП-7</x:t>
        </x:is>
      </x:c>
      <x:c r="J387" s="31" t="inlineStr">
        <x:is>
          <x:t xml:space="preserve">Нет</x:t>
        </x:is>
      </x:c>
    </x:row>
    <x:row r="388">
      <x:c r="A388" s="31" t="inlineStr">
        <x:is>
          <x:t xml:space="preserve">СОСТ-00387</x:t>
        </x:is>
      </x:c>
      <x:c r="B388" s="31" t="inlineStr">
        <x:is>
          <x:t xml:space="preserve">ИЗД-027</x:t>
        </x:is>
      </x:c>
      <x:c r="C388" s="31" t="inlineStr">
        <x:is>
          <x:t xml:space="preserve">МАТ-0032</x:t>
        </x:is>
      </x:c>
      <x:c r="D388" s="31" t="inlineStr">
        <x:is>
          <x:t xml:space="preserve">Датчик температуры Пт100</x:t>
        </x:is>
      </x:c>
      <x:c r="E388" s="31" t="inlineStr">
        <x:is>
          <x:t xml:space="preserve">КИПиА</x:t>
        </x:is>
      </x:c>
      <x:c r="F388" s="31" t="n">
        <x:v>3.29</x:v>
      </x:c>
      <x:c r="G388" s="31" t="inlineStr">
        <x:is>
          <x:t xml:space="preserve">шт</x:t>
        </x:is>
      </x:c>
      <x:c r="H388" s="31" t="inlineStr">
        <x:is>
          <x:t xml:space="preserve">Обязательный</x:t>
        </x:is>
      </x:c>
      <x:c r="I388" s="31" t="inlineStr">
        <x:is>
          <x:t xml:space="preserve">ГЗ-КИП-8</x:t>
        </x:is>
      </x:c>
      <x:c r="J388" s="31" t="inlineStr">
        <x:is>
          <x:t xml:space="preserve">Нет</x:t>
        </x:is>
      </x:c>
    </x:row>
    <x:row r="389">
      <x:c r="A389" s="31" t="inlineStr">
        <x:is>
          <x:t xml:space="preserve">СОСТ-00388</x:t>
        </x:is>
      </x:c>
      <x:c r="B389" s="31" t="inlineStr">
        <x:is>
          <x:t xml:space="preserve">ИЗД-027</x:t>
        </x:is>
      </x:c>
      <x:c r="C389" s="31" t="inlineStr">
        <x:is>
          <x:t xml:space="preserve">МАТ-0059</x:t>
        </x:is>
      </x:c>
      <x:c r="D389" s="31" t="inlineStr">
        <x:is>
          <x:t xml:space="preserve">Фильтр сетчатый Ду50</x:t>
        </x:is>
      </x:c>
      <x:c r="E389" s="31" t="inlineStr">
        <x:is>
          <x:t xml:space="preserve">Запорная арматура</x:t>
        </x:is>
      </x:c>
      <x:c r="F389" s="31" t="n">
        <x:v>7.78</x:v>
      </x:c>
      <x:c r="G389" s="31" t="inlineStr">
        <x:is>
          <x:t xml:space="preserve">шт</x:t>
        </x:is>
      </x:c>
      <x:c r="H389" s="31" t="inlineStr">
        <x:is>
          <x:t xml:space="preserve">Опция</x:t>
        </x:is>
      </x:c>
      <x:c r="I389" s="31" t="inlineStr">
        <x:is>
          <x:t xml:space="preserve">ГЗ-ЗАП-3</x:t>
        </x:is>
      </x:c>
      <x:c r="J389" s="31" t="inlineStr">
        <x:is>
          <x:t xml:space="preserve">Нет</x:t>
        </x:is>
      </x:c>
    </x:row>
    <x:row r="390">
      <x:c r="A390" s="31" t="inlineStr">
        <x:is>
          <x:t xml:space="preserve">СОСТ-00389</x:t>
        </x:is>
      </x:c>
      <x:c r="B390" s="31" t="inlineStr">
        <x:is>
          <x:t xml:space="preserve">ИЗД-027</x:t>
        </x:is>
      </x:c>
      <x:c r="C390" s="31" t="inlineStr">
        <x:is>
          <x:t xml:space="preserve">МАТ-0065</x:t>
        </x:is>
      </x:c>
      <x:c r="D390" s="31" t="inlineStr">
        <x:is>
          <x:t xml:space="preserve">Гофра металлическая</x:t>
        </x:is>
      </x:c>
      <x:c r="E390" s="31" t="inlineStr">
        <x:is>
          <x:t xml:space="preserve">Кабель</x:t>
        </x:is>
      </x:c>
      <x:c r="F390" s="31" t="n">
        <x:v>6.54</x:v>
      </x:c>
      <x:c r="G390" s="31" t="inlineStr">
        <x:is>
          <x:t xml:space="preserve">шт</x:t>
        </x:is>
      </x:c>
      <x:c r="H390" s="31" t="inlineStr">
        <x:is>
          <x:t xml:space="preserve">Обязательный</x:t>
        </x:is>
      </x:c>
      <x:c r="I390" s="31" t="inlineStr">
        <x:is>
          <x:t xml:space="preserve">ГЗ-КАБ-2</x:t>
        </x:is>
      </x:c>
      <x:c r="J390" s="31" t="inlineStr">
        <x:is>
          <x:t xml:space="preserve">Нет</x:t>
        </x:is>
      </x:c>
    </x:row>
    <x:row r="391">
      <x:c r="A391" s="31" t="inlineStr">
        <x:is>
          <x:t xml:space="preserve">СОСТ-00390</x:t>
        </x:is>
      </x:c>
      <x:c r="B391" s="31" t="inlineStr">
        <x:is>
          <x:t xml:space="preserve">ИЗД-027</x:t>
        </x:is>
      </x:c>
      <x:c r="C391" s="31" t="inlineStr">
        <x:is>
          <x:t xml:space="preserve">МАТ-0050</x:t>
        </x:is>
      </x:c>
      <x:c r="D391" s="31" t="inlineStr">
        <x:is>
          <x:t xml:space="preserve">панель оператора 7"</x:t>
        </x:is>
      </x:c>
      <x:c r="E391" s="31" t="inlineStr">
        <x:is>
          <x:t xml:space="preserve">ПЛК/электрика</x:t>
        </x:is>
      </x:c>
      <x:c r="F391" s="31" t="n">
        <x:v>7.18</x:v>
      </x:c>
      <x:c r="G391" s="31" t="inlineStr">
        <x:is>
          <x:t xml:space="preserve">шт</x:t>
        </x:is>
      </x:c>
      <x:c r="H391" s="31" t="inlineStr">
        <x:is>
          <x:t xml:space="preserve">Обязательный</x:t>
        </x:is>
      </x:c>
      <x:c r="I391" s="31" t="inlineStr">
        <x:is>
          <x:t xml:space="preserve">ГЗ-ПЛК-8</x:t>
        </x:is>
      </x:c>
      <x:c r="J391" s="31" t="inlineStr">
        <x:is>
          <x:t xml:space="preserve">Нет</x:t>
        </x:is>
      </x:c>
    </x:row>
    <x:row r="392">
      <x:c r="A392" s="31" t="inlineStr">
        <x:is>
          <x:t xml:space="preserve">СОСТ-00391</x:t>
        </x:is>
      </x:c>
      <x:c r="B392" s="31" t="inlineStr">
        <x:is>
          <x:t xml:space="preserve">ИЗД-027</x:t>
        </x:is>
      </x:c>
      <x:c r="C392" s="31" t="inlineStr">
        <x:is>
          <x:t xml:space="preserve">МАТ-0046</x:t>
        </x:is>
      </x:c>
      <x:c r="D392" s="31" t="inlineStr">
        <x:is>
          <x:t xml:space="preserve">Контактор 25А</x:t>
        </x:is>
      </x:c>
      <x:c r="E392" s="31" t="inlineStr">
        <x:is>
          <x:t xml:space="preserve">ПЛК/электрика</x:t>
        </x:is>
      </x:c>
      <x:c r="F392" s="31" t="n">
        <x:v>4.25</x:v>
      </x:c>
      <x:c r="G392" s="31" t="inlineStr">
        <x:is>
          <x:t xml:space="preserve">шт</x:t>
        </x:is>
      </x:c>
      <x:c r="H392" s="31" t="inlineStr">
        <x:is>
          <x:t xml:space="preserve">Обязательный</x:t>
        </x:is>
      </x:c>
      <x:c r="I392" s="31" t="inlineStr">
        <x:is>
          <x:t xml:space="preserve">ГЗ-ПЛК-3</x:t>
        </x:is>
      </x:c>
      <x:c r="J392" s="31" t="inlineStr">
        <x:is>
          <x:t xml:space="preserve">Нет</x:t>
        </x:is>
      </x:c>
    </x:row>
    <x:row r="393">
      <x:c r="A393" s="31" t="inlineStr">
        <x:is>
          <x:t xml:space="preserve">СОСТ-00392</x:t>
        </x:is>
      </x:c>
      <x:c r="B393" s="31" t="inlineStr">
        <x:is>
          <x:t xml:space="preserve">ИЗД-027</x:t>
        </x:is>
      </x:c>
      <x:c r="C393" s="31" t="inlineStr">
        <x:is>
          <x:t xml:space="preserve">МАТ-0071</x:t>
        </x:is>
      </x:c>
      <x:c r="D393" s="31" t="inlineStr">
        <x:is>
          <x:t xml:space="preserve">Эмаль полиуретановая / исп.3</x:t>
        </x:is>
      </x:c>
      <x:c r="E393" s="31" t="inlineStr">
        <x:is>
          <x:t xml:space="preserve">Покраска</x:t>
        </x:is>
      </x:c>
      <x:c r="F393" s="31" t="n">
        <x:v>40.59</x:v>
      </x:c>
      <x:c r="G393" s="31" t="inlineStr">
        <x:is>
          <x:t xml:space="preserve">кг</x:t>
        </x:is>
      </x:c>
      <x:c r="H393" s="31" t="inlineStr">
        <x:is>
          <x:t xml:space="preserve">Обязательный</x:t>
        </x:is>
      </x:c>
      <x:c r="I393" s="31" t="inlineStr">
        <x:is>
          <x:t xml:space="preserve">ГЗ-ПОК-2</x:t>
        </x:is>
      </x:c>
      <x:c r="J393" s="31" t="inlineStr">
        <x:is>
          <x:t xml:space="preserve">Нет</x:t>
        </x:is>
      </x:c>
    </x:row>
    <x:row r="394">
      <x:c r="A394" s="31" t="inlineStr">
        <x:is>
          <x:t xml:space="preserve">СОСТ-00393</x:t>
        </x:is>
      </x:c>
      <x:c r="B394" s="31" t="inlineStr">
        <x:is>
          <x:t xml:space="preserve">ИЗД-027</x:t>
        </x:is>
      </x:c>
      <x:c r="C394" s="31" t="inlineStr">
        <x:is>
          <x:t xml:space="preserve">МАТ-0074</x:t>
        </x:is>
      </x:c>
      <x:c r="D394" s="31" t="inlineStr">
        <x:is>
          <x:t xml:space="preserve">Абразив для пескоструя</x:t>
        </x:is>
      </x:c>
      <x:c r="E394" s="31" t="inlineStr">
        <x:is>
          <x:t xml:space="preserve">Покраска</x:t>
        </x:is>
      </x:c>
      <x:c r="F394" s="31" t="n">
        <x:v>5.09</x:v>
      </x:c>
      <x:c r="G394" s="31" t="inlineStr">
        <x:is>
          <x:t xml:space="preserve">шт</x:t>
        </x:is>
      </x:c>
      <x:c r="H394" s="31" t="inlineStr">
        <x:is>
          <x:t xml:space="preserve">Обязательный</x:t>
        </x:is>
      </x:c>
      <x:c r="I394" s="31" t="inlineStr">
        <x:is>
          <x:t xml:space="preserve">ГЗ-ПОК-9</x:t>
        </x:is>
      </x:c>
      <x:c r="J394" s="31" t="inlineStr">
        <x:is>
          <x:t xml:space="preserve">Нет</x:t>
        </x:is>
      </x:c>
    </x:row>
    <x:row r="395">
      <x:c r="A395" s="31" t="inlineStr">
        <x:is>
          <x:t xml:space="preserve">СОСТ-00394</x:t>
        </x:is>
      </x:c>
      <x:c r="B395" s="31" t="inlineStr">
        <x:is>
          <x:t xml:space="preserve">ИЗД-027</x:t>
        </x:is>
      </x:c>
      <x:c r="C395" s="31" t="inlineStr">
        <x:is>
          <x:t xml:space="preserve">МАТ-0069</x:t>
        </x:is>
      </x:c>
      <x:c r="D395" s="31" t="inlineStr">
        <x:is>
          <x:t xml:space="preserve">Эмаль полиуретановая</x:t>
        </x:is>
      </x:c>
      <x:c r="E395" s="31" t="inlineStr">
        <x:is>
          <x:t xml:space="preserve">Покраска</x:t>
        </x:is>
      </x:c>
      <x:c r="F395" s="31" t="n">
        <x:v>20.28</x:v>
      </x:c>
      <x:c r="G395" s="31" t="inlineStr">
        <x:is>
          <x:t xml:space="preserve">л</x:t>
        </x:is>
      </x:c>
      <x:c r="H395" s="31" t="inlineStr">
        <x:is>
          <x:t xml:space="preserve">Обязательный</x:t>
        </x:is>
      </x:c>
      <x:c r="I395" s="31" t="inlineStr">
        <x:is>
          <x:t xml:space="preserve">ГЗ-ПОК-1</x:t>
        </x:is>
      </x:c>
      <x:c r="J395" s="31" t="inlineStr">
        <x:is>
          <x:t xml:space="preserve">Нет</x:t>
        </x:is>
      </x:c>
    </x:row>
    <x:row r="396">
      <x:c r="A396" s="31" t="inlineStr">
        <x:is>
          <x:t xml:space="preserve">СОСТ-00395</x:t>
        </x:is>
      </x:c>
      <x:c r="B396" s="31" t="inlineStr">
        <x:is>
          <x:t xml:space="preserve">ИЗД-027</x:t>
        </x:is>
      </x:c>
      <x:c r="C396" s="31" t="inlineStr">
        <x:is>
          <x:t xml:space="preserve">МАТ-0077</x:t>
        </x:is>
      </x:c>
      <x:c r="D396" s="31" t="inlineStr">
        <x:is>
          <x:t xml:space="preserve">Болт М16</x:t>
        </x:is>
      </x:c>
      <x:c r="E396" s="31" t="inlineStr">
        <x:is>
          <x:t xml:space="preserve">Крепеж</x:t>
        </x:is>
      </x:c>
      <x:c r="F396" s="31" t="n">
        <x:v>7.55</x:v>
      </x:c>
      <x:c r="G396" s="31" t="inlineStr">
        <x:is>
          <x:t xml:space="preserve">шт</x:t>
        </x:is>
      </x:c>
      <x:c r="H396" s="31" t="inlineStr">
        <x:is>
          <x:t xml:space="preserve">Обязательный</x:t>
        </x:is>
      </x:c>
      <x:c r="I396" s="31" t="inlineStr">
        <x:is>
          <x:t xml:space="preserve">ГЗ-КРЕ-1</x:t>
        </x:is>
      </x:c>
      <x:c r="J396" s="31" t="inlineStr">
        <x:is>
          <x:t xml:space="preserve">Нет</x:t>
        </x:is>
      </x:c>
    </x:row>
    <x:row r="397">
      <x:c r="A397" s="31" t="inlineStr">
        <x:is>
          <x:t xml:space="preserve">СОСТ-00396</x:t>
        </x:is>
      </x:c>
      <x:c r="B397" s="31" t="inlineStr">
        <x:is>
          <x:t xml:space="preserve">ИЗД-027</x:t>
        </x:is>
      </x:c>
      <x:c r="C397" s="31" t="inlineStr">
        <x:is>
          <x:t xml:space="preserve">МАТ-0077</x:t>
        </x:is>
      </x:c>
      <x:c r="D397" s="31" t="inlineStr">
        <x:is>
          <x:t xml:space="preserve">Болт М16</x:t>
        </x:is>
      </x:c>
      <x:c r="E397" s="31" t="inlineStr">
        <x:is>
          <x:t xml:space="preserve">Крепеж</x:t>
        </x:is>
      </x:c>
      <x:c r="F397" s="31" t="n">
        <x:v>6.26</x:v>
      </x:c>
      <x:c r="G397" s="31" t="inlineStr">
        <x:is>
          <x:t xml:space="preserve">шт</x:t>
        </x:is>
      </x:c>
      <x:c r="H397" s="31" t="inlineStr">
        <x:is>
          <x:t xml:space="preserve">Обязательный</x:t>
        </x:is>
      </x:c>
      <x:c r="I397" s="31" t="inlineStr">
        <x:is>
          <x:t xml:space="preserve">ГЗ-КРЕ-1</x:t>
        </x:is>
      </x:c>
      <x:c r="J397" s="31" t="inlineStr">
        <x:is>
          <x:t xml:space="preserve">Нет</x:t>
        </x:is>
      </x:c>
    </x:row>
    <x:row r="398">
      <x:c r="A398" s="31" t="inlineStr">
        <x:is>
          <x:t xml:space="preserve">СОСТ-00397</x:t>
        </x:is>
      </x:c>
      <x:c r="B398" s="31" t="inlineStr">
        <x:is>
          <x:t xml:space="preserve">ИЗД-027</x:t>
        </x:is>
      </x:c>
      <x:c r="C398" s="31" t="inlineStr">
        <x:is>
          <x:t xml:space="preserve">МАТ-0088</x:t>
        </x:is>
      </x:c>
      <x:c r="D398" s="31" t="inlineStr">
        <x:is>
          <x:t xml:space="preserve">Ящик фанерный / исп.2</x:t>
        </x:is>
      </x:c>
      <x:c r="E398" s="31" t="inlineStr">
        <x:is>
          <x:t xml:space="preserve">Упаковка</x:t>
        </x:is>
      </x:c>
      <x:c r="F398" s="31" t="n">
        <x:v>1.29</x:v>
      </x:c>
      <x:c r="G398" s="31" t="inlineStr">
        <x:is>
          <x:t xml:space="preserve">шт</x:t>
        </x:is>
      </x:c>
      <x:c r="H398" s="31" t="inlineStr">
        <x:is>
          <x:t xml:space="preserve">Обязательный</x:t>
        </x:is>
      </x:c>
      <x:c r="I398" s="31" t="inlineStr">
        <x:is>
          <x:t xml:space="preserve">ГЗ-УПА-4</x:t>
        </x:is>
      </x:c>
      <x:c r="J398" s="31" t="inlineStr">
        <x:is>
          <x:t xml:space="preserve">Нет</x:t>
        </x:is>
      </x:c>
    </x:row>
    <x:row r="399">
      <x:c r="A399" s="31" t="inlineStr">
        <x:is>
          <x:t xml:space="preserve">СОСТ-00398</x:t>
        </x:is>
      </x:c>
      <x:c r="B399" s="31" t="inlineStr">
        <x:is>
          <x:t xml:space="preserve">ИЗД-028</x:t>
        </x:is>
      </x:c>
      <x:c r="C399" s="31" t="inlineStr">
        <x:is>
          <x:t xml:space="preserve">МАТ-0008</x:t>
        </x:is>
      </x:c>
      <x:c r="D399" s="31" t="inlineStr">
        <x:is>
          <x:t xml:space="preserve">Швеллер 12П</x:t>
        </x:is>
      </x:c>
      <x:c r="E399" s="31" t="inlineStr">
        <x:is>
          <x:t xml:space="preserve">Металл</x:t>
        </x:is>
      </x:c>
      <x:c r="F399" s="31" t="n">
        <x:v>4.03</x:v>
      </x:c>
      <x:c r="G399" s="31" t="inlineStr">
        <x:is>
          <x:t xml:space="preserve">шт</x:t>
        </x:is>
      </x:c>
      <x:c r="H399" s="31" t="inlineStr">
        <x:is>
          <x:t xml:space="preserve">Обязательный</x:t>
        </x:is>
      </x:c>
      <x:c r="I399" s="31" t="inlineStr">
        <x:is>
          <x:t xml:space="preserve">ГЗ-МЕТ-3</x:t>
        </x:is>
      </x:c>
      <x:c r="J399" s="31" t="inlineStr">
        <x:is>
          <x:t xml:space="preserve">Нет</x:t>
        </x:is>
      </x:c>
    </x:row>
    <x:row r="400">
      <x:c r="A400" s="31" t="inlineStr">
        <x:is>
          <x:t xml:space="preserve">СОСТ-00399</x:t>
        </x:is>
      </x:c>
      <x:c r="B400" s="31" t="inlineStr">
        <x:is>
          <x:t xml:space="preserve">ИЗД-028</x:t>
        </x:is>
      </x:c>
      <x:c r="C400" s="31" t="inlineStr">
        <x:is>
          <x:t xml:space="preserve">МАТ-0005</x:t>
        </x:is>
      </x:c>
      <x:c r="D400" s="31" t="inlineStr">
        <x:is>
          <x:t xml:space="preserve">Труба бесшовная 57×4</x:t>
        </x:is>
      </x:c>
      <x:c r="E400" s="31" t="inlineStr">
        <x:is>
          <x:t xml:space="preserve">Металл</x:t>
        </x:is>
      </x:c>
      <x:c r="F400" s="31" t="n">
        <x:v>16.01</x:v>
      </x:c>
      <x:c r="G400" s="31" t="inlineStr">
        <x:is>
          <x:t xml:space="preserve">м</x:t>
        </x:is>
      </x:c>
      <x:c r="H400" s="31" t="inlineStr">
        <x:is>
          <x:t xml:space="preserve">Обязательный</x:t>
        </x:is>
      </x:c>
      <x:c r="I400" s="31" t="inlineStr">
        <x:is>
          <x:t xml:space="preserve">ГЗ-МЕТ-5</x:t>
        </x:is>
      </x:c>
      <x:c r="J400" s="31" t="inlineStr">
        <x:is>
          <x:t xml:space="preserve">Нет</x:t>
        </x:is>
      </x:c>
    </x:row>
    <x:row r="401">
      <x:c r="A401" s="31" t="inlineStr">
        <x:is>
          <x:t xml:space="preserve">СОСТ-00400</x:t>
        </x:is>
      </x:c>
      <x:c r="B401" s="31" t="inlineStr">
        <x:is>
          <x:t xml:space="preserve">ИЗД-028</x:t>
        </x:is>
      </x:c>
      <x:c r="C401" s="31" t="inlineStr">
        <x:is>
          <x:t xml:space="preserve">МАТ-0016</x:t>
        </x:is>
      </x:c>
      <x:c r="D401" s="31" t="inlineStr">
        <x:is>
          <x:t xml:space="preserve">Насос центробежный 15 кВт / исп.2</x:t>
        </x:is>
      </x:c>
      <x:c r="E401" s="31" t="inlineStr">
        <x:is>
          <x:t xml:space="preserve">Насосы</x:t>
        </x:is>
      </x:c>
      <x:c r="F401" s="31" t="n">
        <x:v>3.06</x:v>
      </x:c>
      <x:c r="G401" s="31" t="inlineStr">
        <x:is>
          <x:t xml:space="preserve">шт</x:t>
        </x:is>
      </x:c>
      <x:c r="H401" s="31" t="inlineStr">
        <x:is>
          <x:t xml:space="preserve">Обязательный</x:t>
        </x:is>
      </x:c>
      <x:c r="I401" s="31" t="inlineStr">
        <x:is>
          <x:t xml:space="preserve">ГЗ-НАС-1</x:t>
        </x:is>
      </x:c>
      <x:c r="J401" s="31" t="inlineStr">
        <x:is>
          <x:t xml:space="preserve">Нет</x:t>
        </x:is>
      </x:c>
    </x:row>
    <x:row r="402">
      <x:c r="A402" s="31" t="inlineStr">
        <x:is>
          <x:t xml:space="preserve">СОСТ-00401</x:t>
        </x:is>
      </x:c>
      <x:c r="B402" s="31" t="inlineStr">
        <x:is>
          <x:t xml:space="preserve">ИЗД-028</x:t>
        </x:is>
      </x:c>
      <x:c r="C402" s="31" t="inlineStr">
        <x:is>
          <x:t xml:space="preserve">МАТ-0016</x:t>
        </x:is>
      </x:c>
      <x:c r="D402" s="31" t="inlineStr">
        <x:is>
          <x:t xml:space="preserve">Насос центробежный 15 кВт / исп.2</x:t>
        </x:is>
      </x:c>
      <x:c r="E402" s="31" t="inlineStr">
        <x:is>
          <x:t xml:space="preserve">Насосы</x:t>
        </x:is>
      </x:c>
      <x:c r="F402" s="31" t="n">
        <x:v>6.5</x:v>
      </x:c>
      <x:c r="G402" s="31" t="inlineStr">
        <x:is>
          <x:t xml:space="preserve">шт</x:t>
        </x:is>
      </x:c>
      <x:c r="H402" s="31" t="inlineStr">
        <x:is>
          <x:t xml:space="preserve">Опция</x:t>
        </x:is>
      </x:c>
      <x:c r="I402" s="31" t="inlineStr">
        <x:is>
          <x:t xml:space="preserve">ГЗ-НАС-1</x:t>
        </x:is>
      </x:c>
      <x:c r="J402" s="31" t="inlineStr">
        <x:is>
          <x:t xml:space="preserve">Нет</x:t>
        </x:is>
      </x:c>
    </x:row>
    <x:row r="403">
      <x:c r="A403" s="31" t="inlineStr">
        <x:is>
          <x:t xml:space="preserve">СОСТ-00402</x:t>
        </x:is>
      </x:c>
      <x:c r="B403" s="31" t="inlineStr">
        <x:is>
          <x:t xml:space="preserve">ИЗД-028</x:t>
        </x:is>
      </x:c>
      <x:c r="C403" s="31" t="inlineStr">
        <x:is>
          <x:t xml:space="preserve">МАТ-0027</x:t>
        </x:is>
      </x:c>
      <x:c r="D403" s="31" t="inlineStr">
        <x:is>
          <x:t xml:space="preserve">Двигатель 22 кВт</x:t>
        </x:is>
      </x:c>
      <x:c r="E403" s="31" t="inlineStr">
        <x:is>
          <x:t xml:space="preserve">Электродвигатели</x:t>
        </x:is>
      </x:c>
      <x:c r="F403" s="31" t="n">
        <x:v>1.27</x:v>
      </x:c>
      <x:c r="G403" s="31" t="inlineStr">
        <x:is>
          <x:t xml:space="preserve">шт</x:t>
        </x:is>
      </x:c>
      <x:c r="H403" s="31" t="inlineStr">
        <x:is>
          <x:t xml:space="preserve">Обязательный</x:t>
        </x:is>
      </x:c>
      <x:c r="I403" s="31" t="inlineStr">
        <x:is>
          <x:t xml:space="preserve">ГЗ-ЭЛЕ-2</x:t>
        </x:is>
      </x:c>
      <x:c r="J403" s="31" t="inlineStr">
        <x:is>
          <x:t xml:space="preserve">Нет</x:t>
        </x:is>
      </x:c>
    </x:row>
    <x:row r="404">
      <x:c r="A404" s="31" t="inlineStr">
        <x:is>
          <x:t xml:space="preserve">СОСТ-00403</x:t>
        </x:is>
      </x:c>
      <x:c r="B404" s="31" t="inlineStr">
        <x:is>
          <x:t xml:space="preserve">ИЗД-028</x:t>
        </x:is>
      </x:c>
      <x:c r="C404" s="31" t="inlineStr">
        <x:is>
          <x:t xml:space="preserve">МАТ-0033</x:t>
        </x:is>
      </x:c>
      <x:c r="D404" s="31" t="inlineStr">
        <x:is>
          <x:t xml:space="preserve">Расходомер электромагнитный Ду50</x:t>
        </x:is>
      </x:c>
      <x:c r="E404" s="31" t="inlineStr">
        <x:is>
          <x:t xml:space="preserve">КИПиА</x:t>
        </x:is>
      </x:c>
      <x:c r="F404" s="31" t="n">
        <x:v>3.12</x:v>
      </x:c>
      <x:c r="G404" s="31" t="inlineStr">
        <x:is>
          <x:t xml:space="preserve">шт</x:t>
        </x:is>
      </x:c>
      <x:c r="H404" s="31" t="inlineStr">
        <x:is>
          <x:t xml:space="preserve">Обязательный</x:t>
        </x:is>
      </x:c>
      <x:c r="I404" s="31" t="inlineStr">
        <x:is>
          <x:t xml:space="preserve">ГЗ-КИП-6</x:t>
        </x:is>
      </x:c>
      <x:c r="J404" s="31" t="inlineStr">
        <x:is>
          <x:t xml:space="preserve">Нет</x:t>
        </x:is>
      </x:c>
    </x:row>
    <x:row r="405">
      <x:c r="A405" s="31" t="inlineStr">
        <x:is>
          <x:t xml:space="preserve">СОСТ-00404</x:t>
        </x:is>
      </x:c>
      <x:c r="B405" s="31" t="inlineStr">
        <x:is>
          <x:t xml:space="preserve">ИЗД-028</x:t>
        </x:is>
      </x:c>
      <x:c r="C405" s="31" t="inlineStr">
        <x:is>
          <x:t xml:space="preserve">МАТ-0033</x:t>
        </x:is>
      </x:c>
      <x:c r="D405" s="31" t="inlineStr">
        <x:is>
          <x:t xml:space="preserve">Расходомер электромагнитный Ду50</x:t>
        </x:is>
      </x:c>
      <x:c r="E405" s="31" t="inlineStr">
        <x:is>
          <x:t xml:space="preserve">КИПиА</x:t>
        </x:is>
      </x:c>
      <x:c r="F405" s="31" t="n">
        <x:v>2.33</x:v>
      </x:c>
      <x:c r="G405" s="31" t="inlineStr">
        <x:is>
          <x:t xml:space="preserve">шт</x:t>
        </x:is>
      </x:c>
      <x:c r="H405" s="31" t="inlineStr">
        <x:is>
          <x:t xml:space="preserve">Обязательный</x:t>
        </x:is>
      </x:c>
      <x:c r="I405" s="31" t="inlineStr">
        <x:is>
          <x:t xml:space="preserve">ГЗ-КИП-6</x:t>
        </x:is>
      </x:c>
      <x:c r="J405" s="31" t="inlineStr">
        <x:is>
          <x:t xml:space="preserve">Нет</x:t>
        </x:is>
      </x:c>
    </x:row>
    <x:row r="406">
      <x:c r="A406" s="31" t="inlineStr">
        <x:is>
          <x:t xml:space="preserve">СОСТ-00405</x:t>
        </x:is>
      </x:c>
      <x:c r="B406" s="31" t="inlineStr">
        <x:is>
          <x:t xml:space="preserve">ИЗД-028</x:t>
        </x:is>
      </x:c>
      <x:c r="C406" s="31" t="inlineStr">
        <x:is>
          <x:t xml:space="preserve">МАТ-0059</x:t>
        </x:is>
      </x:c>
      <x:c r="D406" s="31" t="inlineStr">
        <x:is>
          <x:t xml:space="preserve">Фильтр сетчатый Ду50</x:t>
        </x:is>
      </x:c>
      <x:c r="E406" s="31" t="inlineStr">
        <x:is>
          <x:t xml:space="preserve">Запорная арматура</x:t>
        </x:is>
      </x:c>
      <x:c r="F406" s="31" t="n">
        <x:v>7.39</x:v>
      </x:c>
      <x:c r="G406" s="31" t="inlineStr">
        <x:is>
          <x:t xml:space="preserve">шт</x:t>
        </x:is>
      </x:c>
      <x:c r="H406" s="31" t="inlineStr">
        <x:is>
          <x:t xml:space="preserve">Обязательный</x:t>
        </x:is>
      </x:c>
      <x:c r="I406" s="31" t="inlineStr">
        <x:is>
          <x:t xml:space="preserve">ГЗ-ЗАП-3</x:t>
        </x:is>
      </x:c>
      <x:c r="J406" s="31" t="inlineStr">
        <x:is>
          <x:t xml:space="preserve">Нет</x:t>
        </x:is>
      </x:c>
    </x:row>
    <x:row r="407">
      <x:c r="A407" s="31" t="inlineStr">
        <x:is>
          <x:t xml:space="preserve">СОСТ-00406</x:t>
        </x:is>
      </x:c>
      <x:c r="B407" s="31" t="inlineStr">
        <x:is>
          <x:t xml:space="preserve">ИЗД-028</x:t>
        </x:is>
      </x:c>
      <x:c r="C407" s="31" t="inlineStr">
        <x:is>
          <x:t xml:space="preserve">МАТ-0056</x:t>
        </x:is>
      </x:c>
      <x:c r="D407" s="31" t="inlineStr">
        <x:is>
          <x:t xml:space="preserve">Задвижка Ду100</x:t>
        </x:is>
      </x:c>
      <x:c r="E407" s="31" t="inlineStr">
        <x:is>
          <x:t xml:space="preserve">Запорная арматура</x:t>
        </x:is>
      </x:c>
      <x:c r="F407" s="31" t="n">
        <x:v>6.48</x:v>
      </x:c>
      <x:c r="G407" s="31" t="inlineStr">
        <x:is>
          <x:t xml:space="preserve">шт</x:t>
        </x:is>
      </x:c>
      <x:c r="H407" s="31" t="inlineStr">
        <x:is>
          <x:t xml:space="preserve">Обязательный</x:t>
        </x:is>
      </x:c>
      <x:c r="I407" s="31" t="inlineStr">
        <x:is>
          <x:t xml:space="preserve">ГЗ-ЗАП-4</x:t>
        </x:is>
      </x:c>
      <x:c r="J407" s="31" t="inlineStr">
        <x:is>
          <x:t xml:space="preserve">Нет</x:t>
        </x:is>
      </x:c>
    </x:row>
    <x:row r="408">
      <x:c r="A408" s="31" t="inlineStr">
        <x:is>
          <x:t xml:space="preserve">СОСТ-00407</x:t>
        </x:is>
      </x:c>
      <x:c r="B408" s="31" t="inlineStr">
        <x:is>
          <x:t xml:space="preserve">ИЗД-028</x:t>
        </x:is>
      </x:c>
      <x:c r="C408" s="31" t="inlineStr">
        <x:is>
          <x:t xml:space="preserve">МАТ-0060</x:t>
        </x:is>
      </x:c>
      <x:c r="D408" s="31" t="inlineStr">
        <x:is>
          <x:t xml:space="preserve">Фильтр сетчатый Ду50 / исп.2</x:t>
        </x:is>
      </x:c>
      <x:c r="E408" s="31" t="inlineStr">
        <x:is>
          <x:t xml:space="preserve">Запорная арматура</x:t>
        </x:is>
      </x:c>
      <x:c r="F408" s="31" t="n">
        <x:v>6.3</x:v>
      </x:c>
      <x:c r="G408" s="31" t="inlineStr">
        <x:is>
          <x:t xml:space="preserve">шт</x:t>
        </x:is>
      </x:c>
      <x:c r="H408" s="31" t="inlineStr">
        <x:is>
          <x:t xml:space="preserve">Обязательный</x:t>
        </x:is>
      </x:c>
      <x:c r="I408" s="31" t="inlineStr">
        <x:is>
          <x:t xml:space="preserve">ГЗ-ЗАП-3</x:t>
        </x:is>
      </x:c>
      <x:c r="J408" s="31" t="inlineStr">
        <x:is>
          <x:t xml:space="preserve">Нет</x:t>
        </x:is>
      </x:c>
    </x:row>
    <x:row r="409">
      <x:c r="A409" s="31" t="inlineStr">
        <x:is>
          <x:t xml:space="preserve">СОСТ-00408</x:t>
        </x:is>
      </x:c>
      <x:c r="B409" s="31" t="inlineStr">
        <x:is>
          <x:t xml:space="preserve">ИЗД-028</x:t>
        </x:is>
      </x:c>
      <x:c r="C409" s="31" t="inlineStr">
        <x:is>
          <x:t xml:space="preserve">МАТ-0065</x:t>
        </x:is>
      </x:c>
      <x:c r="D409" s="31" t="inlineStr">
        <x:is>
          <x:t xml:space="preserve">Гофра металлическая</x:t>
        </x:is>
      </x:c>
      <x:c r="E409" s="31" t="inlineStr">
        <x:is>
          <x:t xml:space="preserve">Кабель</x:t>
        </x:is>
      </x:c>
      <x:c r="F409" s="31" t="n">
        <x:v>2.59</x:v>
      </x:c>
      <x:c r="G409" s="31" t="inlineStr">
        <x:is>
          <x:t xml:space="preserve">шт</x:t>
        </x:is>
      </x:c>
      <x:c r="H409" s="31" t="inlineStr">
        <x:is>
          <x:t xml:space="preserve">Обязательный</x:t>
        </x:is>
      </x:c>
      <x:c r="I409" s="31" t="inlineStr">
        <x:is>
          <x:t xml:space="preserve">ГЗ-КАБ-2</x:t>
        </x:is>
      </x:c>
      <x:c r="J409" s="31" t="inlineStr">
        <x:is>
          <x:t xml:space="preserve">Нет</x:t>
        </x:is>
      </x:c>
    </x:row>
    <x:row r="410">
      <x:c r="A410" s="31" t="inlineStr">
        <x:is>
          <x:t xml:space="preserve">СОСТ-00409</x:t>
        </x:is>
      </x:c>
      <x:c r="B410" s="31" t="inlineStr">
        <x:is>
          <x:t xml:space="preserve">ИЗД-028</x:t>
        </x:is>
      </x:c>
      <x:c r="C410" s="31" t="inlineStr">
        <x:is>
          <x:t xml:space="preserve">МАТ-0046</x:t>
        </x:is>
      </x:c>
      <x:c r="D410" s="31" t="inlineStr">
        <x:is>
          <x:t xml:space="preserve">Контактор 25А</x:t>
        </x:is>
      </x:c>
      <x:c r="E410" s="31" t="inlineStr">
        <x:is>
          <x:t xml:space="preserve">ПЛК/электрика</x:t>
        </x:is>
      </x:c>
      <x:c r="F410" s="31" t="n">
        <x:v>5.11</x:v>
      </x:c>
      <x:c r="G410" s="31" t="inlineStr">
        <x:is>
          <x:t xml:space="preserve">шт</x:t>
        </x:is>
      </x:c>
      <x:c r="H410" s="31" t="inlineStr">
        <x:is>
          <x:t xml:space="preserve">Обязательный</x:t>
        </x:is>
      </x:c>
      <x:c r="I410" s="31" t="inlineStr">
        <x:is>
          <x:t xml:space="preserve">ГЗ-ПЛК-3</x:t>
        </x:is>
      </x:c>
      <x:c r="J410" s="31" t="inlineStr">
        <x:is>
          <x:t xml:space="preserve">Нет</x:t>
        </x:is>
      </x:c>
    </x:row>
    <x:row r="411">
      <x:c r="A411" s="31" t="inlineStr">
        <x:is>
          <x:t xml:space="preserve">СОСТ-00410</x:t>
        </x:is>
      </x:c>
      <x:c r="B411" s="31" t="inlineStr">
        <x:is>
          <x:t xml:space="preserve">ИЗД-028</x:t>
        </x:is>
      </x:c>
      <x:c r="C411" s="31" t="inlineStr">
        <x:is>
          <x:t xml:space="preserve">МАТ-0070</x:t>
        </x:is>
      </x:c>
      <x:c r="D411" s="31" t="inlineStr">
        <x:is>
          <x:t xml:space="preserve">Эмаль полиуретановая / исп.2</x:t>
        </x:is>
      </x:c>
      <x:c r="E411" s="31" t="inlineStr">
        <x:is>
          <x:t xml:space="preserve">Покраска</x:t>
        </x:is>
      </x:c>
      <x:c r="F411" s="31" t="n">
        <x:v>26.42</x:v>
      </x:c>
      <x:c r="G411" s="31" t="inlineStr">
        <x:is>
          <x:t xml:space="preserve">кг</x:t>
        </x:is>
      </x:c>
      <x:c r="H411" s="31" t="inlineStr">
        <x:is>
          <x:t xml:space="preserve">Обязательный</x:t>
        </x:is>
      </x:c>
      <x:c r="I411" s="31" t="inlineStr">
        <x:is>
          <x:t xml:space="preserve">ГЗ-ПОК-3</x:t>
        </x:is>
      </x:c>
      <x:c r="J411" s="31" t="inlineStr">
        <x:is>
          <x:t xml:space="preserve">Нет</x:t>
        </x:is>
      </x:c>
    </x:row>
    <x:row r="412">
      <x:c r="A412" s="31" t="inlineStr">
        <x:is>
          <x:t xml:space="preserve">СОСТ-00411</x:t>
        </x:is>
      </x:c>
      <x:c r="B412" s="31" t="inlineStr">
        <x:is>
          <x:t xml:space="preserve">ИЗД-028</x:t>
        </x:is>
      </x:c>
      <x:c r="C412" s="31" t="inlineStr">
        <x:is>
          <x:t xml:space="preserve">МАТ-0073</x:t>
        </x:is>
      </x:c>
      <x:c r="D412" s="31" t="inlineStr">
        <x:is>
          <x:t xml:space="preserve">Растворитель / исп.2</x:t>
        </x:is>
      </x:c>
      <x:c r="E412" s="31" t="inlineStr">
        <x:is>
          <x:t xml:space="preserve">Покраска</x:t>
        </x:is>
      </x:c>
      <x:c r="F412" s="31" t="n">
        <x:v>36.22</x:v>
      </x:c>
      <x:c r="G412" s="31" t="inlineStr">
        <x:is>
          <x:t xml:space="preserve">л</x:t>
        </x:is>
      </x:c>
      <x:c r="H412" s="31" t="inlineStr">
        <x:is>
          <x:t xml:space="preserve">Обязательный</x:t>
        </x:is>
      </x:c>
      <x:c r="I412" s="31" t="inlineStr">
        <x:is>
          <x:t xml:space="preserve">ГЗ-ПОК-8</x:t>
        </x:is>
      </x:c>
      <x:c r="J412" s="31" t="inlineStr">
        <x:is>
          <x:t xml:space="preserve">Да</x:t>
        </x:is>
      </x:c>
    </x:row>
    <x:row r="413">
      <x:c r="A413" s="31" t="inlineStr">
        <x:is>
          <x:t xml:space="preserve">СОСТ-00412</x:t>
        </x:is>
      </x:c>
      <x:c r="B413" s="31" t="inlineStr">
        <x:is>
          <x:t xml:space="preserve">ИЗД-028</x:t>
        </x:is>
      </x:c>
      <x:c r="C413" s="31" t="inlineStr">
        <x:is>
          <x:t xml:space="preserve">МАТ-0077</x:t>
        </x:is>
      </x:c>
      <x:c r="D413" s="31" t="inlineStr">
        <x:is>
          <x:t xml:space="preserve">Болт М16</x:t>
        </x:is>
      </x:c>
      <x:c r="E413" s="31" t="inlineStr">
        <x:is>
          <x:t xml:space="preserve">Крепеж</x:t>
        </x:is>
      </x:c>
      <x:c r="F413" s="31" t="n">
        <x:v>3.14</x:v>
      </x:c>
      <x:c r="G413" s="31" t="inlineStr">
        <x:is>
          <x:t xml:space="preserve">шт</x:t>
        </x:is>
      </x:c>
      <x:c r="H413" s="31" t="inlineStr">
        <x:is>
          <x:t xml:space="preserve">Обязательный</x:t>
        </x:is>
      </x:c>
      <x:c r="I413" s="31" t="inlineStr">
        <x:is>
          <x:t xml:space="preserve">ГЗ-КРЕ-1</x:t>
        </x:is>
      </x:c>
      <x:c r="J413" s="31" t="inlineStr">
        <x:is>
          <x:t xml:space="preserve">Нет</x:t>
        </x:is>
      </x:c>
    </x:row>
    <x:row r="414">
      <x:c r="A414" s="31" t="inlineStr">
        <x:is>
          <x:t xml:space="preserve">СОСТ-00413</x:t>
        </x:is>
      </x:c>
      <x:c r="B414" s="31" t="inlineStr">
        <x:is>
          <x:t xml:space="preserve">ИЗД-028</x:t>
        </x:is>
      </x:c>
      <x:c r="C414" s="31" t="inlineStr">
        <x:is>
          <x:t xml:space="preserve">МАТ-0086</x:t>
        </x:is>
      </x:c>
      <x:c r="D414" s="31" t="inlineStr">
        <x:is>
          <x:t xml:space="preserve">Пленка стрейч / исп.2</x:t>
        </x:is>
      </x:c>
      <x:c r="E414" s="31" t="inlineStr">
        <x:is>
          <x:t xml:space="preserve">Упаковка</x:t>
        </x:is>
      </x:c>
      <x:c r="F414" s="31" t="n">
        <x:v>3.38</x:v>
      </x:c>
      <x:c r="G414" s="31" t="inlineStr">
        <x:is>
          <x:t xml:space="preserve">шт</x:t>
        </x:is>
      </x:c>
      <x:c r="H414" s="31" t="inlineStr">
        <x:is>
          <x:t xml:space="preserve">Обязательный</x:t>
        </x:is>
      </x:c>
      <x:c r="I414" s="31" t="inlineStr">
        <x:is>
          <x:t xml:space="preserve">ГЗ-УПА-4</x:t>
        </x:is>
      </x:c>
      <x:c r="J414" s="31" t="inlineStr">
        <x:is>
          <x:t xml:space="preserve">Нет</x:t>
        </x:is>
      </x:c>
    </x:row>
    <x:row r="415">
      <x:c r="A415" s="31" t="inlineStr">
        <x:is>
          <x:t xml:space="preserve">СОСТ-00414</x:t>
        </x:is>
      </x:c>
      <x:c r="B415" s="31" t="inlineStr">
        <x:is>
          <x:t xml:space="preserve">ИЗД-028</x:t>
        </x:is>
      </x:c>
      <x:c r="C415" s="31" t="inlineStr">
        <x:is>
          <x:t xml:space="preserve">МАТ-0087</x:t>
        </x:is>
      </x:c>
      <x:c r="D415" s="31" t="inlineStr">
        <x:is>
          <x:t xml:space="preserve">Ящик фанерный</x:t>
        </x:is>
      </x:c>
      <x:c r="E415" s="31" t="inlineStr">
        <x:is>
          <x:t xml:space="preserve">Упаковка</x:t>
        </x:is>
      </x:c>
      <x:c r="F415" s="31" t="n">
        <x:v>6.34</x:v>
      </x:c>
      <x:c r="G415" s="31" t="inlineStr">
        <x:is>
          <x:t xml:space="preserve">шт</x:t>
        </x:is>
      </x:c>
      <x:c r="H415" s="31" t="inlineStr">
        <x:is>
          <x:t xml:space="preserve">Обязательный</x:t>
        </x:is>
      </x:c>
      <x:c r="I415" s="31" t="inlineStr">
        <x:is>
          <x:t xml:space="preserve">ГЗ-УПА-6</x:t>
        </x:is>
      </x:c>
      <x:c r="J415" s="31" t="inlineStr">
        <x:is>
          <x:t xml:space="preserve">Нет</x:t>
        </x:is>
      </x:c>
    </x:row>
    <x:row r="416">
      <x:c r="A416" s="31" t="inlineStr">
        <x:is>
          <x:t xml:space="preserve">СОСТ-00415</x:t>
        </x:is>
      </x:c>
      <x:c r="B416" s="31" t="inlineStr">
        <x:is>
          <x:t xml:space="preserve">ИЗД-028</x:t>
        </x:is>
      </x:c>
      <x:c r="C416" s="31" t="inlineStr">
        <x:is>
          <x:t xml:space="preserve">МАТ-0088</x:t>
        </x:is>
      </x:c>
      <x:c r="D416" s="31" t="inlineStr">
        <x:is>
          <x:t xml:space="preserve">Ящик фанерный / исп.2</x:t>
        </x:is>
      </x:c>
      <x:c r="E416" s="31" t="inlineStr">
        <x:is>
          <x:t xml:space="preserve">Упаковка</x:t>
        </x:is>
      </x:c>
      <x:c r="F416" s="31" t="n">
        <x:v>1.16</x:v>
      </x:c>
      <x:c r="G416" s="31" t="inlineStr">
        <x:is>
          <x:t xml:space="preserve">шт</x:t>
        </x:is>
      </x:c>
      <x:c r="H416" s="31" t="inlineStr">
        <x:is>
          <x:t xml:space="preserve">Обязательный</x:t>
        </x:is>
      </x:c>
      <x:c r="I416" s="31" t="inlineStr">
        <x:is>
          <x:t xml:space="preserve">ГЗ-УПА-4</x:t>
        </x:is>
      </x:c>
      <x:c r="J416" s="31" t="inlineStr">
        <x:is>
          <x:t xml:space="preserve">Нет</x:t>
        </x:is>
      </x:c>
    </x:row>
    <x:row r="417">
      <x:c r="A417" s="31" t="inlineStr">
        <x:is>
          <x:t xml:space="preserve">СОСТ-00416</x:t>
        </x:is>
      </x:c>
      <x:c r="B417" s="31" t="inlineStr">
        <x:is>
          <x:t xml:space="preserve">ИЗД-029</x:t>
        </x:is>
      </x:c>
      <x:c r="C417" s="31" t="inlineStr">
        <x:is>
          <x:t xml:space="preserve">МАТ-0006</x:t>
        </x:is>
      </x:c>
      <x:c r="D417" s="31" t="inlineStr">
        <x:is>
          <x:t xml:space="preserve">Труба нержавеющая 38×3</x:t>
        </x:is>
      </x:c>
      <x:c r="E417" s="31" t="inlineStr">
        <x:is>
          <x:t xml:space="preserve">Металл</x:t>
        </x:is>
      </x:c>
      <x:c r="F417" s="31" t="n">
        <x:v>4.98</x:v>
      </x:c>
      <x:c r="G417" s="31" t="inlineStr">
        <x:is>
          <x:t xml:space="preserve">шт</x:t>
        </x:is>
      </x:c>
      <x:c r="H417" s="31" t="inlineStr">
        <x:is>
          <x:t xml:space="preserve">Обязательный</x:t>
        </x:is>
      </x:c>
      <x:c r="I417" s="31" t="inlineStr">
        <x:is>
          <x:t xml:space="preserve">ГЗ-МЕТ-8</x:t>
        </x:is>
      </x:c>
      <x:c r="J417" s="31" t="inlineStr">
        <x:is>
          <x:t xml:space="preserve">Нет</x:t>
        </x:is>
      </x:c>
    </x:row>
    <x:row r="418">
      <x:c r="A418" s="31" t="inlineStr">
        <x:is>
          <x:t xml:space="preserve">СОСТ-00417</x:t>
        </x:is>
      </x:c>
      <x:c r="B418" s="31" t="inlineStr">
        <x:is>
          <x:t xml:space="preserve">ИЗД-029</x:t>
        </x:is>
      </x:c>
      <x:c r="C418" s="31" t="inlineStr">
        <x:is>
          <x:t xml:space="preserve">МАТ-0028</x:t>
        </x:is>
      </x:c>
      <x:c r="D418" s="31" t="inlineStr">
        <x:is>
          <x:t xml:space="preserve">Частотный преобразователь 15 кВт</x:t>
        </x:is>
      </x:c>
      <x:c r="E418" s="31" t="inlineStr">
        <x:is>
          <x:t xml:space="preserve">Электродвигатели</x:t>
        </x:is>
      </x:c>
      <x:c r="F418" s="31" t="n">
        <x:v>7.86</x:v>
      </x:c>
      <x:c r="G418" s="31" t="inlineStr">
        <x:is>
          <x:t xml:space="preserve">шт</x:t>
        </x:is>
      </x:c>
      <x:c r="H418" s="31" t="inlineStr">
        <x:is>
          <x:t xml:space="preserve">Обязательный</x:t>
        </x:is>
      </x:c>
      <x:c r="I418" s="31" t="inlineStr">
        <x:is>
          <x:t xml:space="preserve">ГЗ-ЭЛЕ-3</x:t>
        </x:is>
      </x:c>
      <x:c r="J418" s="31" t="inlineStr">
        <x:is>
          <x:t xml:space="preserve">Нет</x:t>
        </x:is>
      </x:c>
    </x:row>
    <x:row r="419">
      <x:c r="A419" s="31" t="inlineStr">
        <x:is>
          <x:t xml:space="preserve">СОСТ-00418</x:t>
        </x:is>
      </x:c>
      <x:c r="B419" s="31" t="inlineStr">
        <x:is>
          <x:t xml:space="preserve">ИЗД-029</x:t>
        </x:is>
      </x:c>
      <x:c r="C419" s="31" t="inlineStr">
        <x:is>
          <x:t xml:space="preserve">МАТ-0029</x:t>
        </x:is>
      </x:c>
      <x:c r="D419" s="31" t="inlineStr">
        <x:is>
          <x:t xml:space="preserve">Частотный преобразователь 22 кВт</x:t>
        </x:is>
      </x:c>
      <x:c r="E419" s="31" t="inlineStr">
        <x:is>
          <x:t xml:space="preserve">Электродвигатели</x:t>
        </x:is>
      </x:c>
      <x:c r="F419" s="31" t="n">
        <x:v>3.71</x:v>
      </x:c>
      <x:c r="G419" s="31" t="inlineStr">
        <x:is>
          <x:t xml:space="preserve">шт</x:t>
        </x:is>
      </x:c>
      <x:c r="H419" s="31" t="inlineStr">
        <x:is>
          <x:t xml:space="preserve">Обязательный</x:t>
        </x:is>
      </x:c>
      <x:c r="I419" s="31" t="inlineStr">
        <x:is>
          <x:t xml:space="preserve">ГЗ-ЭЛЕ-9</x:t>
        </x:is>
      </x:c>
      <x:c r="J419" s="31" t="inlineStr">
        <x:is>
          <x:t xml:space="preserve">Нет</x:t>
        </x:is>
      </x:c>
    </x:row>
    <x:row r="420">
      <x:c r="A420" s="31" t="inlineStr">
        <x:is>
          <x:t xml:space="preserve">СОСТ-00419</x:t>
        </x:is>
      </x:c>
      <x:c r="B420" s="31" t="inlineStr">
        <x:is>
          <x:t xml:space="preserve">ИЗД-029</x:t>
        </x:is>
      </x:c>
      <x:c r="C420" s="31" t="inlineStr">
        <x:is>
          <x:t xml:space="preserve">МАТ-0028</x:t>
        </x:is>
      </x:c>
      <x:c r="D420" s="31" t="inlineStr">
        <x:is>
          <x:t xml:space="preserve">Частотный преобразователь 15 кВт</x:t>
        </x:is>
      </x:c>
      <x:c r="E420" s="31" t="inlineStr">
        <x:is>
          <x:t xml:space="preserve">Электродвигатели</x:t>
        </x:is>
      </x:c>
      <x:c r="F420" s="31" t="n">
        <x:v>5.47</x:v>
      </x:c>
      <x:c r="G420" s="31" t="inlineStr">
        <x:is>
          <x:t xml:space="preserve">шт</x:t>
        </x:is>
      </x:c>
      <x:c r="H420" s="31" t="inlineStr">
        <x:is>
          <x:t xml:space="preserve">Обязательный</x:t>
        </x:is>
      </x:c>
      <x:c r="I420" s="31" t="inlineStr">
        <x:is>
          <x:t xml:space="preserve">ГЗ-ЭЛЕ-3</x:t>
        </x:is>
      </x:c>
      <x:c r="J420" s="31" t="inlineStr">
        <x:is>
          <x:t xml:space="preserve">Нет</x:t>
        </x:is>
      </x:c>
    </x:row>
    <x:row r="421">
      <x:c r="A421" s="31" t="inlineStr">
        <x:is>
          <x:t xml:space="preserve">СОСТ-00420</x:t>
        </x:is>
      </x:c>
      <x:c r="B421" s="31" t="inlineStr">
        <x:is>
          <x:t xml:space="preserve">ИЗД-029</x:t>
        </x:is>
      </x:c>
      <x:c r="C421" s="31" t="inlineStr">
        <x:is>
          <x:t xml:space="preserve">МАТ-0035</x:t>
        </x:is>
      </x:c>
      <x:c r="D421" s="31" t="inlineStr">
        <x:is>
          <x:t xml:space="preserve">Клапан электромагнитный 24В</x:t>
        </x:is>
      </x:c>
      <x:c r="E421" s="31" t="inlineStr">
        <x:is>
          <x:t xml:space="preserve">КИПиА</x:t>
        </x:is>
      </x:c>
      <x:c r="F421" s="31" t="n">
        <x:v>2.24</x:v>
      </x:c>
      <x:c r="G421" s="31" t="inlineStr">
        <x:is>
          <x:t xml:space="preserve">шт</x:t>
        </x:is>
      </x:c>
      <x:c r="H421" s="31" t="inlineStr">
        <x:is>
          <x:t xml:space="preserve">Обязательный</x:t>
        </x:is>
      </x:c>
      <x:c r="I421" s="31" t="inlineStr">
        <x:is>
          <x:t xml:space="preserve">ГЗ-КИП-7</x:t>
        </x:is>
      </x:c>
      <x:c r="J421" s="31" t="inlineStr">
        <x:is>
          <x:t xml:space="preserve">Нет</x:t>
        </x:is>
      </x:c>
    </x:row>
    <x:row r="422">
      <x:c r="A422" s="31" t="inlineStr">
        <x:is>
          <x:t xml:space="preserve">СОСТ-00421</x:t>
        </x:is>
      </x:c>
      <x:c r="B422" s="31" t="inlineStr">
        <x:is>
          <x:t xml:space="preserve">ИЗД-029</x:t>
        </x:is>
      </x:c>
      <x:c r="C422" s="31" t="inlineStr">
        <x:is>
          <x:t xml:space="preserve">МАТ-0031</x:t>
        </x:is>
      </x:c>
      <x:c r="D422" s="31" t="inlineStr">
        <x:is>
          <x:t xml:space="preserve">Датчик давления 0-16 бар</x:t>
        </x:is>
      </x:c>
      <x:c r="E422" s="31" t="inlineStr">
        <x:is>
          <x:t xml:space="preserve">КИПиА</x:t>
        </x:is>
      </x:c>
      <x:c r="F422" s="31" t="n">
        <x:v>2.31</x:v>
      </x:c>
      <x:c r="G422" s="31" t="inlineStr">
        <x:is>
          <x:t xml:space="preserve">шт</x:t>
        </x:is>
      </x:c>
      <x:c r="H422" s="31" t="inlineStr">
        <x:is>
          <x:t xml:space="preserve">Обязательный</x:t>
        </x:is>
      </x:c>
      <x:c r="I422" s="31" t="inlineStr">
        <x:is>
          <x:t xml:space="preserve">ГЗ-КИП-7</x:t>
        </x:is>
      </x:c>
      <x:c r="J422" s="31" t="inlineStr">
        <x:is>
          <x:t xml:space="preserve">Нет</x:t>
        </x:is>
      </x:c>
    </x:row>
    <x:row r="423">
      <x:c r="A423" s="31" t="inlineStr">
        <x:is>
          <x:t xml:space="preserve">СОСТ-00422</x:t>
        </x:is>
      </x:c>
      <x:c r="B423" s="31" t="inlineStr">
        <x:is>
          <x:t xml:space="preserve">ИЗД-029</x:t>
        </x:is>
      </x:c>
      <x:c r="C423" s="31" t="inlineStr">
        <x:is>
          <x:t xml:space="preserve">МАТ-0033</x:t>
        </x:is>
      </x:c>
      <x:c r="D423" s="31" t="inlineStr">
        <x:is>
          <x:t xml:space="preserve">Расходомер электромагнитный Ду50</x:t>
        </x:is>
      </x:c>
      <x:c r="E423" s="31" t="inlineStr">
        <x:is>
          <x:t xml:space="preserve">КИПиА</x:t>
        </x:is>
      </x:c>
      <x:c r="F423" s="31" t="n">
        <x:v>2.44</x:v>
      </x:c>
      <x:c r="G423" s="31" t="inlineStr">
        <x:is>
          <x:t xml:space="preserve">шт</x:t>
        </x:is>
      </x:c>
      <x:c r="H423" s="31" t="inlineStr">
        <x:is>
          <x:t xml:space="preserve">Обязательный</x:t>
        </x:is>
      </x:c>
      <x:c r="I423" s="31" t="inlineStr">
        <x:is>
          <x:t xml:space="preserve">ГЗ-КИП-6</x:t>
        </x:is>
      </x:c>
      <x:c r="J423" s="31" t="inlineStr">
        <x:is>
          <x:t xml:space="preserve">Нет</x:t>
        </x:is>
      </x:c>
    </x:row>
    <x:row r="424">
      <x:c r="A424" s="31" t="inlineStr">
        <x:is>
          <x:t xml:space="preserve">СОСТ-00423</x:t>
        </x:is>
      </x:c>
      <x:c r="B424" s="31" t="inlineStr">
        <x:is>
          <x:t xml:space="preserve">ИЗД-029</x:t>
        </x:is>
      </x:c>
      <x:c r="C424" s="31" t="inlineStr">
        <x:is>
          <x:t xml:space="preserve">МАТ-0051</x:t>
        </x:is>
      </x:c>
      <x:c r="D424" s="31" t="inlineStr">
        <x:is>
          <x:t xml:space="preserve">Кран шаровой Ду50</x:t>
        </x:is>
      </x:c>
      <x:c r="E424" s="31" t="inlineStr">
        <x:is>
          <x:t xml:space="preserve">Запорная арматура</x:t>
        </x:is>
      </x:c>
      <x:c r="F424" s="31" t="n">
        <x:v>3.58</x:v>
      </x:c>
      <x:c r="G424" s="31" t="inlineStr">
        <x:is>
          <x:t xml:space="preserve">шт</x:t>
        </x:is>
      </x:c>
      <x:c r="H424" s="31" t="inlineStr">
        <x:is>
          <x:t xml:space="preserve">Обязательный</x:t>
        </x:is>
      </x:c>
      <x:c r="I424" s="31" t="inlineStr">
        <x:is>
          <x:t xml:space="preserve">ГЗ-ЗАП-6</x:t>
        </x:is>
      </x:c>
      <x:c r="J424" s="31" t="inlineStr">
        <x:is>
          <x:t xml:space="preserve">Нет</x:t>
        </x:is>
      </x:c>
    </x:row>
    <x:row r="425">
      <x:c r="A425" s="31" t="inlineStr">
        <x:is>
          <x:t xml:space="preserve">СОСТ-00424</x:t>
        </x:is>
      </x:c>
      <x:c r="B425" s="31" t="inlineStr">
        <x:is>
          <x:t xml:space="preserve">ИЗД-029</x:t>
        </x:is>
      </x:c>
      <x:c r="C425" s="31" t="inlineStr">
        <x:is>
          <x:t xml:space="preserve">МАТ-0057</x:t>
        </x:is>
      </x:c>
      <x:c r="D425" s="31" t="inlineStr">
        <x:is>
          <x:t xml:space="preserve">Задвижка Ду100 / исп.2</x:t>
        </x:is>
      </x:c>
      <x:c r="E425" s="31" t="inlineStr">
        <x:is>
          <x:t xml:space="preserve">Запорная арматура</x:t>
        </x:is>
      </x:c>
      <x:c r="F425" s="31" t="n">
        <x:v>3.74</x:v>
      </x:c>
      <x:c r="G425" s="31" t="inlineStr">
        <x:is>
          <x:t xml:space="preserve">шт</x:t>
        </x:is>
      </x:c>
      <x:c r="H425" s="31" t="inlineStr">
        <x:is>
          <x:t xml:space="preserve">Замена</x:t>
        </x:is>
      </x:c>
      <x:c r="I425" s="31" t="inlineStr">
        <x:is>
          <x:t xml:space="preserve">ГЗ-ЗАП-4</x:t>
        </x:is>
      </x:c>
      <x:c r="J425" s="31" t="inlineStr">
        <x:is>
          <x:t xml:space="preserve">Нет</x:t>
        </x:is>
      </x:c>
    </x:row>
    <x:row r="426">
      <x:c r="A426" s="31" t="inlineStr">
        <x:is>
          <x:t xml:space="preserve">СОСТ-00425</x:t>
        </x:is>
      </x:c>
      <x:c r="B426" s="31" t="inlineStr">
        <x:is>
          <x:t xml:space="preserve">ИЗД-029</x:t>
        </x:is>
      </x:c>
      <x:c r="C426" s="31" t="inlineStr">
        <x:is>
          <x:t xml:space="preserve">МАТ-0065</x:t>
        </x:is>
      </x:c>
      <x:c r="D426" s="31" t="inlineStr">
        <x:is>
          <x:t xml:space="preserve">Гофра металлическая</x:t>
        </x:is>
      </x:c>
      <x:c r="E426" s="31" t="inlineStr">
        <x:is>
          <x:t xml:space="preserve">Кабель</x:t>
        </x:is>
      </x:c>
      <x:c r="F426" s="31" t="n">
        <x:v>6.2</x:v>
      </x:c>
      <x:c r="G426" s="31" t="inlineStr">
        <x:is>
          <x:t xml:space="preserve">шт</x:t>
        </x:is>
      </x:c>
      <x:c r="H426" s="31" t="inlineStr">
        <x:is>
          <x:t xml:space="preserve">Обязательный</x:t>
        </x:is>
      </x:c>
      <x:c r="I426" s="31" t="inlineStr">
        <x:is>
          <x:t xml:space="preserve">ГЗ-КАБ-2</x:t>
        </x:is>
      </x:c>
      <x:c r="J426" s="31" t="inlineStr">
        <x:is>
          <x:t xml:space="preserve">Нет</x:t>
        </x:is>
      </x:c>
    </x:row>
    <x:row r="427">
      <x:c r="A427" s="31" t="inlineStr">
        <x:is>
          <x:t xml:space="preserve">СОСТ-00426</x:t>
        </x:is>
      </x:c>
      <x:c r="B427" s="31" t="inlineStr">
        <x:is>
          <x:t xml:space="preserve">ИЗД-029</x:t>
        </x:is>
      </x:c>
      <x:c r="C427" s="31" t="inlineStr">
        <x:is>
          <x:t xml:space="preserve">МАТ-0063</x:t>
        </x:is>
      </x:c>
      <x:c r="D427" s="31" t="inlineStr">
        <x:is>
          <x:t xml:space="preserve">Кабель ВВГнг 3×2.5</x:t>
        </x:is>
      </x:c>
      <x:c r="E427" s="31" t="inlineStr">
        <x:is>
          <x:t xml:space="preserve">Кабель</x:t>
        </x:is>
      </x:c>
      <x:c r="F427" s="31" t="n">
        <x:v>1.91</x:v>
      </x:c>
      <x:c r="G427" s="31" t="inlineStr">
        <x:is>
          <x:t xml:space="preserve">шт</x:t>
        </x:is>
      </x:c>
      <x:c r="H427" s="31" t="inlineStr">
        <x:is>
          <x:t xml:space="preserve">Обязательный</x:t>
        </x:is>
      </x:c>
      <x:c r="I427" s="31" t="inlineStr">
        <x:is>
          <x:t xml:space="preserve">ГЗ-КАБ-2</x:t>
        </x:is>
      </x:c>
      <x:c r="J427" s="31" t="inlineStr">
        <x:is>
          <x:t xml:space="preserve">Нет</x:t>
        </x:is>
      </x:c>
    </x:row>
    <x:row r="428">
      <x:c r="A428" s="31" t="inlineStr">
        <x:is>
          <x:t xml:space="preserve">СОСТ-00427</x:t>
        </x:is>
      </x:c>
      <x:c r="B428" s="31" t="inlineStr">
        <x:is>
          <x:t xml:space="preserve">ИЗД-029</x:t>
        </x:is>
      </x:c>
      <x:c r="C428" s="31" t="inlineStr">
        <x:is>
          <x:t xml:space="preserve">МАТ-0048</x:t>
        </x:is>
      </x:c>
      <x:c r="D428" s="31" t="inlineStr">
        <x:is>
          <x:t xml:space="preserve">Контактор 25А / исп.3</x:t>
        </x:is>
      </x:c>
      <x:c r="E428" s="31" t="inlineStr">
        <x:is>
          <x:t xml:space="preserve">ПЛК/электрика</x:t>
        </x:is>
      </x:c>
      <x:c r="F428" s="31" t="n">
        <x:v>4.32</x:v>
      </x:c>
      <x:c r="G428" s="31" t="inlineStr">
        <x:is>
          <x:t xml:space="preserve">шт</x:t>
        </x:is>
      </x:c>
      <x:c r="H428" s="31" t="inlineStr">
        <x:is>
          <x:t xml:space="preserve">Обязательный</x:t>
        </x:is>
      </x:c>
      <x:c r="I428" s="31" t="inlineStr">
        <x:is>
          <x:t xml:space="preserve">ГЗ-ПЛК-2</x:t>
        </x:is>
      </x:c>
      <x:c r="J428" s="31" t="inlineStr">
        <x:is>
          <x:t xml:space="preserve">Нет</x:t>
        </x:is>
      </x:c>
    </x:row>
    <x:row r="429">
      <x:c r="A429" s="31" t="inlineStr">
        <x:is>
          <x:t xml:space="preserve">СОСТ-00428</x:t>
        </x:is>
      </x:c>
      <x:c r="B429" s="31" t="inlineStr">
        <x:is>
          <x:t xml:space="preserve">ИЗД-029</x:t>
        </x:is>
      </x:c>
      <x:c r="C429" s="31" t="inlineStr">
        <x:is>
          <x:t xml:space="preserve">МАТ-0047</x:t>
        </x:is>
      </x:c>
      <x:c r="D429" s="31" t="inlineStr">
        <x:is>
          <x:t xml:space="preserve">Контактор 25А / исп.2</x:t>
        </x:is>
      </x:c>
      <x:c r="E429" s="31" t="inlineStr">
        <x:is>
          <x:t xml:space="preserve">ПЛК/электрика</x:t>
        </x:is>
      </x:c>
      <x:c r="F429" s="31" t="n">
        <x:v>2.42</x:v>
      </x:c>
      <x:c r="G429" s="31" t="inlineStr">
        <x:is>
          <x:t xml:space="preserve">шт</x:t>
        </x:is>
      </x:c>
      <x:c r="H429" s="31" t="inlineStr">
        <x:is>
          <x:t xml:space="preserve">Обязательный</x:t>
        </x:is>
      </x:c>
      <x:c r="I429" s="31" t="inlineStr">
        <x:is>
          <x:t xml:space="preserve">ГЗ-ПЛК-7</x:t>
        </x:is>
      </x:c>
      <x:c r="J429" s="31" t="inlineStr">
        <x:is>
          <x:t xml:space="preserve">Нет</x:t>
        </x:is>
      </x:c>
    </x:row>
    <x:row r="430">
      <x:c r="A430" s="31" t="inlineStr">
        <x:is>
          <x:t xml:space="preserve">СОСТ-00429</x:t>
        </x:is>
      </x:c>
      <x:c r="B430" s="31" t="inlineStr">
        <x:is>
          <x:t xml:space="preserve">ИЗД-029</x:t>
        </x:is>
      </x:c>
      <x:c r="C430" s="31" t="inlineStr">
        <x:is>
          <x:t xml:space="preserve">МАТ-0041</x:t>
        </x:is>
      </x:c>
      <x:c r="D430" s="31" t="inlineStr">
        <x:is>
          <x:t xml:space="preserve">модуль аналогового входа 4 канала / исп.2</x:t>
        </x:is>
      </x:c>
      <x:c r="E430" s="31" t="inlineStr">
        <x:is>
          <x:t xml:space="preserve">ПЛК/электрика</x:t>
        </x:is>
      </x:c>
      <x:c r="F430" s="31" t="n">
        <x:v>1.05</x:v>
      </x:c>
      <x:c r="G430" s="31" t="inlineStr">
        <x:is>
          <x:t xml:space="preserve">шт</x:t>
        </x:is>
      </x:c>
      <x:c r="H430" s="31" t="inlineStr">
        <x:is>
          <x:t xml:space="preserve">Обязательный</x:t>
        </x:is>
      </x:c>
      <x:c r="I430" s="31" t="inlineStr">
        <x:is>
          <x:t xml:space="preserve">ГЗ-ПЛК-4</x:t>
        </x:is>
      </x:c>
      <x:c r="J430" s="31" t="inlineStr">
        <x:is>
          <x:t xml:space="preserve">Да</x:t>
        </x:is>
      </x:c>
    </x:row>
    <x:row r="431">
      <x:c r="A431" s="31" t="inlineStr">
        <x:is>
          <x:t xml:space="preserve">СОСТ-00430</x:t>
        </x:is>
      </x:c>
      <x:c r="B431" s="31" t="inlineStr">
        <x:is>
          <x:t xml:space="preserve">ИЗД-029</x:t>
        </x:is>
      </x:c>
      <x:c r="C431" s="31" t="inlineStr">
        <x:is>
          <x:t xml:space="preserve">МАТ-0072</x:t>
        </x:is>
      </x:c>
      <x:c r="D431" s="31" t="inlineStr">
        <x:is>
          <x:t xml:space="preserve">Растворитель</x:t>
        </x:is>
      </x:c>
      <x:c r="E431" s="31" t="inlineStr">
        <x:is>
          <x:t xml:space="preserve">Покраска</x:t>
        </x:is>
      </x:c>
      <x:c r="F431" s="31" t="n">
        <x:v>43.02</x:v>
      </x:c>
      <x:c r="G431" s="31" t="inlineStr">
        <x:is>
          <x:t xml:space="preserve">л</x:t>
        </x:is>
      </x:c>
      <x:c r="H431" s="31" t="inlineStr">
        <x:is>
          <x:t xml:space="preserve">Опция</x:t>
        </x:is>
      </x:c>
      <x:c r="I431" s="31" t="inlineStr">
        <x:is>
          <x:t xml:space="preserve">ГЗ-ПОК-2</x:t>
        </x:is>
      </x:c>
      <x:c r="J431" s="31" t="inlineStr">
        <x:is>
          <x:t xml:space="preserve">Нет</x:t>
        </x:is>
      </x:c>
    </x:row>
    <x:row r="432">
      <x:c r="A432" s="31" t="inlineStr">
        <x:is>
          <x:t xml:space="preserve">СОСТ-00431</x:t>
        </x:is>
      </x:c>
      <x:c r="B432" s="31" t="inlineStr">
        <x:is>
          <x:t xml:space="preserve">ИЗД-029</x:t>
        </x:is>
      </x:c>
      <x:c r="C432" s="31" t="inlineStr">
        <x:is>
          <x:t xml:space="preserve">МАТ-0071</x:t>
        </x:is>
      </x:c>
      <x:c r="D432" s="31" t="inlineStr">
        <x:is>
          <x:t xml:space="preserve">Эмаль полиуретановая / исп.3</x:t>
        </x:is>
      </x:c>
      <x:c r="E432" s="31" t="inlineStr">
        <x:is>
          <x:t xml:space="preserve">Покраска</x:t>
        </x:is>
      </x:c>
      <x:c r="F432" s="31" t="n">
        <x:v>5.05</x:v>
      </x:c>
      <x:c r="G432" s="31" t="inlineStr">
        <x:is>
          <x:t xml:space="preserve">кг</x:t>
        </x:is>
      </x:c>
      <x:c r="H432" s="31" t="inlineStr">
        <x:is>
          <x:t xml:space="preserve">Обязательный</x:t>
        </x:is>
      </x:c>
      <x:c r="I432" s="31" t="inlineStr">
        <x:is>
          <x:t xml:space="preserve">ГЗ-ПОК-2</x:t>
        </x:is>
      </x:c>
      <x:c r="J432" s="31" t="inlineStr">
        <x:is>
          <x:t xml:space="preserve">Нет</x:t>
        </x:is>
      </x:c>
    </x:row>
    <x:row r="433">
      <x:c r="A433" s="31" t="inlineStr">
        <x:is>
          <x:t xml:space="preserve">СОСТ-00432</x:t>
        </x:is>
      </x:c>
      <x:c r="B433" s="31" t="inlineStr">
        <x:is>
          <x:t xml:space="preserve">ИЗД-029</x:t>
        </x:is>
      </x:c>
      <x:c r="C433" s="31" t="inlineStr">
        <x:is>
          <x:t xml:space="preserve">МАТ-0080</x:t>
        </x:is>
      </x:c>
      <x:c r="D433" s="31" t="inlineStr">
        <x:is>
          <x:t xml:space="preserve">Гайка М12 / исп.3</x:t>
        </x:is>
      </x:c>
      <x:c r="E433" s="31" t="inlineStr">
        <x:is>
          <x:t xml:space="preserve">Крепеж</x:t>
        </x:is>
      </x:c>
      <x:c r="F433" s="31" t="n">
        <x:v>5.9</x:v>
      </x:c>
      <x:c r="G433" s="31" t="inlineStr">
        <x:is>
          <x:t xml:space="preserve">шт</x:t>
        </x:is>
      </x:c>
      <x:c r="H433" s="31" t="inlineStr">
        <x:is>
          <x:t xml:space="preserve">Обязательный</x:t>
        </x:is>
      </x:c>
      <x:c r="I433" s="31" t="inlineStr">
        <x:is>
          <x:t xml:space="preserve">ГЗ-КРЕ-6</x:t>
        </x:is>
      </x:c>
      <x:c r="J433" s="31" t="inlineStr">
        <x:is>
          <x:t xml:space="preserve">Нет</x:t>
        </x:is>
      </x:c>
    </x:row>
    <x:row r="434">
      <x:c r="A434" s="31" t="inlineStr">
        <x:is>
          <x:t xml:space="preserve">СОСТ-00433</x:t>
        </x:is>
      </x:c>
      <x:c r="B434" s="31" t="inlineStr">
        <x:is>
          <x:t xml:space="preserve">ИЗД-029</x:t>
        </x:is>
      </x:c>
      <x:c r="C434" s="31" t="inlineStr">
        <x:is>
          <x:t xml:space="preserve">МАТ-0077</x:t>
        </x:is>
      </x:c>
      <x:c r="D434" s="31" t="inlineStr">
        <x:is>
          <x:t xml:space="preserve">Болт М16</x:t>
        </x:is>
      </x:c>
      <x:c r="E434" s="31" t="inlineStr">
        <x:is>
          <x:t xml:space="preserve">Крепеж</x:t>
        </x:is>
      </x:c>
      <x:c r="F434" s="31" t="n">
        <x:v>3.91</x:v>
      </x:c>
      <x:c r="G434" s="31" t="inlineStr">
        <x:is>
          <x:t xml:space="preserve">шт</x:t>
        </x:is>
      </x:c>
      <x:c r="H434" s="31" t="inlineStr">
        <x:is>
          <x:t xml:space="preserve">Обязательный</x:t>
        </x:is>
      </x:c>
      <x:c r="I434" s="31" t="inlineStr">
        <x:is>
          <x:t xml:space="preserve">ГЗ-КРЕ-1</x:t>
        </x:is>
      </x:c>
      <x:c r="J434" s="31" t="inlineStr">
        <x:is>
          <x:t xml:space="preserve">Нет</x:t>
        </x:is>
      </x:c>
    </x:row>
    <x:row r="435">
      <x:c r="A435" s="31" t="inlineStr">
        <x:is>
          <x:t xml:space="preserve">СОСТ-00434</x:t>
        </x:is>
      </x:c>
      <x:c r="B435" s="31" t="inlineStr">
        <x:is>
          <x:t xml:space="preserve">ИЗД-029</x:t>
        </x:is>
      </x:c>
      <x:c r="C435" s="31" t="inlineStr">
        <x:is>
          <x:t xml:space="preserve">МАТ-0087</x:t>
        </x:is>
      </x:c>
      <x:c r="D435" s="31" t="inlineStr">
        <x:is>
          <x:t xml:space="preserve">Ящик фанерный</x:t>
        </x:is>
      </x:c>
      <x:c r="E435" s="31" t="inlineStr">
        <x:is>
          <x:t xml:space="preserve">Упаковка</x:t>
        </x:is>
      </x:c>
      <x:c r="F435" s="31" t="n">
        <x:v>3.69</x:v>
      </x:c>
      <x:c r="G435" s="31" t="inlineStr">
        <x:is>
          <x:t xml:space="preserve">шт</x:t>
        </x:is>
      </x:c>
      <x:c r="H435" s="31" t="inlineStr">
        <x:is>
          <x:t xml:space="preserve">Обязательный</x:t>
        </x:is>
      </x:c>
      <x:c r="I435" s="31" t="inlineStr">
        <x:is>
          <x:t xml:space="preserve">ГЗ-УПА-6</x:t>
        </x:is>
      </x:c>
      <x:c r="J435" s="31" t="inlineStr">
        <x:is>
          <x:t xml:space="preserve">Нет</x:t>
        </x:is>
      </x:c>
    </x:row>
    <x:row r="436">
      <x:c r="A436" s="31" t="inlineStr">
        <x:is>
          <x:t xml:space="preserve">СОСТ-00435</x:t>
        </x:is>
      </x:c>
      <x:c r="B436" s="31" t="inlineStr">
        <x:is>
          <x:t xml:space="preserve">ИЗД-029</x:t>
        </x:is>
      </x:c>
      <x:c r="C436" s="31" t="inlineStr">
        <x:is>
          <x:t xml:space="preserve">МАТ-0084</x:t>
        </x:is>
      </x:c>
      <x:c r="D436" s="31" t="inlineStr">
        <x:is>
          <x:t xml:space="preserve">Поддон 1200×800</x:t>
        </x:is>
      </x:c>
      <x:c r="E436" s="31" t="inlineStr">
        <x:is>
          <x:t xml:space="preserve">Упаковка</x:t>
        </x:is>
      </x:c>
      <x:c r="F436" s="31" t="n">
        <x:v>3.75</x:v>
      </x:c>
      <x:c r="G436" s="31" t="inlineStr">
        <x:is>
          <x:t xml:space="preserve">шт</x:t>
        </x:is>
      </x:c>
      <x:c r="H436" s="31" t="inlineStr">
        <x:is>
          <x:t xml:space="preserve">Опция</x:t>
        </x:is>
      </x:c>
      <x:c r="I436" s="31" t="inlineStr">
        <x:is>
          <x:t xml:space="preserve">ГЗ-УПА-3</x:t>
        </x:is>
      </x:c>
      <x:c r="J436" s="31" t="inlineStr">
        <x:is>
          <x:t xml:space="preserve">Нет</x:t>
        </x:is>
      </x:c>
    </x:row>
    <x:row r="437">
      <x:c r="A437" s="31" t="inlineStr">
        <x:is>
          <x:t xml:space="preserve">СОСТ-00436</x:t>
        </x:is>
      </x:c>
      <x:c r="B437" s="31" t="inlineStr">
        <x:is>
          <x:t xml:space="preserve">ИЗД-030</x:t>
        </x:is>
      </x:c>
      <x:c r="C437" s="31" t="inlineStr">
        <x:is>
          <x:t xml:space="preserve">МАТ-0005</x:t>
        </x:is>
      </x:c>
      <x:c r="D437" s="31" t="inlineStr">
        <x:is>
          <x:t xml:space="preserve">Труба бесшовная 57×4</x:t>
        </x:is>
      </x:c>
      <x:c r="E437" s="31" t="inlineStr">
        <x:is>
          <x:t xml:space="preserve">Металл</x:t>
        </x:is>
      </x:c>
      <x:c r="F437" s="31" t="n">
        <x:v>43.94</x:v>
      </x:c>
      <x:c r="G437" s="31" t="inlineStr">
        <x:is>
          <x:t xml:space="preserve">м</x:t>
        </x:is>
      </x:c>
      <x:c r="H437" s="31" t="inlineStr">
        <x:is>
          <x:t xml:space="preserve">Обязательный</x:t>
        </x:is>
      </x:c>
      <x:c r="I437" s="31" t="inlineStr">
        <x:is>
          <x:t xml:space="preserve">ГЗ-МЕТ-5</x:t>
        </x:is>
      </x:c>
      <x:c r="J437" s="31" t="inlineStr">
        <x:is>
          <x:t xml:space="preserve">Да</x:t>
        </x:is>
      </x:c>
    </x:row>
    <x:row r="438">
      <x:c r="A438" s="31" t="inlineStr">
        <x:is>
          <x:t xml:space="preserve">СОСТ-00437</x:t>
        </x:is>
      </x:c>
      <x:c r="B438" s="31" t="inlineStr">
        <x:is>
          <x:t xml:space="preserve">ИЗД-030</x:t>
        </x:is>
      </x:c>
      <x:c r="C438" s="31" t="inlineStr">
        <x:is>
          <x:t xml:space="preserve">МАТ-0018</x:t>
        </x:is>
      </x:c>
      <x:c r="D438" s="31" t="inlineStr">
        <x:is>
          <x:t xml:space="preserve">Насос шестеренный 7.5 кВт / исп.2</x:t>
        </x:is>
      </x:c>
      <x:c r="E438" s="31" t="inlineStr">
        <x:is>
          <x:t xml:space="preserve">Насосы</x:t>
        </x:is>
      </x:c>
      <x:c r="F438" s="31" t="n">
        <x:v>7.36</x:v>
      </x:c>
      <x:c r="G438" s="31" t="inlineStr">
        <x:is>
          <x:t xml:space="preserve">шт</x:t>
        </x:is>
      </x:c>
      <x:c r="H438" s="31" t="inlineStr">
        <x:is>
          <x:t xml:space="preserve">Обязательный</x:t>
        </x:is>
      </x:c>
      <x:c r="I438" s="31" t="inlineStr">
        <x:is>
          <x:t xml:space="preserve">ГЗ-НАС-1</x:t>
        </x:is>
      </x:c>
      <x:c r="J438" s="31" t="inlineStr">
        <x:is>
          <x:t xml:space="preserve">Нет</x:t>
        </x:is>
      </x:c>
    </x:row>
    <x:row r="439">
      <x:c r="A439" s="31" t="inlineStr">
        <x:is>
          <x:t xml:space="preserve">СОСТ-00438</x:t>
        </x:is>
      </x:c>
      <x:c r="B439" s="31" t="inlineStr">
        <x:is>
          <x:t xml:space="preserve">ИЗД-030</x:t>
        </x:is>
      </x:c>
      <x:c r="C439" s="31" t="inlineStr">
        <x:is>
          <x:t xml:space="preserve">МАТ-0016</x:t>
        </x:is>
      </x:c>
      <x:c r="D439" s="31" t="inlineStr">
        <x:is>
          <x:t xml:space="preserve">Насос центробежный 15 кВт / исп.2</x:t>
        </x:is>
      </x:c>
      <x:c r="E439" s="31" t="inlineStr">
        <x:is>
          <x:t xml:space="preserve">Насосы</x:t>
        </x:is>
      </x:c>
      <x:c r="F439" s="31" t="n">
        <x:v>7.97</x:v>
      </x:c>
      <x:c r="G439" s="31" t="inlineStr">
        <x:is>
          <x:t xml:space="preserve">шт</x:t>
        </x:is>
      </x:c>
      <x:c r="H439" s="31" t="inlineStr">
        <x:is>
          <x:t xml:space="preserve">Обязательный</x:t>
        </x:is>
      </x:c>
      <x:c r="I439" s="31" t="inlineStr">
        <x:is>
          <x:t xml:space="preserve">ГЗ-НАС-1</x:t>
        </x:is>
      </x:c>
      <x:c r="J439" s="31" t="inlineStr">
        <x:is>
          <x:t xml:space="preserve">Нет</x:t>
        </x:is>
      </x:c>
    </x:row>
    <x:row r="440">
      <x:c r="A440" s="31" t="inlineStr">
        <x:is>
          <x:t xml:space="preserve">СОСТ-00439</x:t>
        </x:is>
      </x:c>
      <x:c r="B440" s="31" t="inlineStr">
        <x:is>
          <x:t xml:space="preserve">ИЗД-030</x:t>
        </x:is>
      </x:c>
      <x:c r="C440" s="31" t="inlineStr">
        <x:is>
          <x:t xml:space="preserve">МАТ-0020</x:t>
        </x:is>
      </x:c>
      <x:c r="D440" s="31" t="inlineStr">
        <x:is>
          <x:t xml:space="preserve">Насос дозировочный / исп.2</x:t>
        </x:is>
      </x:c>
      <x:c r="E440" s="31" t="inlineStr">
        <x:is>
          <x:t xml:space="preserve">Насосы</x:t>
        </x:is>
      </x:c>
      <x:c r="F440" s="31" t="n">
        <x:v>3.87</x:v>
      </x:c>
      <x:c r="G440" s="31" t="inlineStr">
        <x:is>
          <x:t xml:space="preserve">шт</x:t>
        </x:is>
      </x:c>
      <x:c r="H440" s="31" t="inlineStr">
        <x:is>
          <x:t xml:space="preserve">Обязательный</x:t>
        </x:is>
      </x:c>
      <x:c r="I440" s="31" t="inlineStr">
        <x:is>
          <x:t xml:space="preserve">ГЗ-НАС-1</x:t>
        </x:is>
      </x:c>
      <x:c r="J440" s="31" t="inlineStr">
        <x:is>
          <x:t xml:space="preserve">Нет</x:t>
        </x:is>
      </x:c>
    </x:row>
    <x:row r="441">
      <x:c r="A441" s="31" t="inlineStr">
        <x:is>
          <x:t xml:space="preserve">СОСТ-00440</x:t>
        </x:is>
      </x:c>
      <x:c r="B441" s="31" t="inlineStr">
        <x:is>
          <x:t xml:space="preserve">ИЗД-030</x:t>
        </x:is>
      </x:c>
      <x:c r="C441" s="31" t="inlineStr">
        <x:is>
          <x:t xml:space="preserve">МАТ-0028</x:t>
        </x:is>
      </x:c>
      <x:c r="D441" s="31" t="inlineStr">
        <x:is>
          <x:t xml:space="preserve">Частотный преобразователь 15 кВт</x:t>
        </x:is>
      </x:c>
      <x:c r="E441" s="31" t="inlineStr">
        <x:is>
          <x:t xml:space="preserve">Электродвигатели</x:t>
        </x:is>
      </x:c>
      <x:c r="F441" s="31" t="n">
        <x:v>1.19</x:v>
      </x:c>
      <x:c r="G441" s="31" t="inlineStr">
        <x:is>
          <x:t xml:space="preserve">шт</x:t>
        </x:is>
      </x:c>
      <x:c r="H441" s="31" t="inlineStr">
        <x:is>
          <x:t xml:space="preserve">Обязательный</x:t>
        </x:is>
      </x:c>
      <x:c r="I441" s="31" t="inlineStr">
        <x:is>
          <x:t xml:space="preserve">ГЗ-ЭЛЕ-3</x:t>
        </x:is>
      </x:c>
      <x:c r="J441" s="31" t="inlineStr">
        <x:is>
          <x:t xml:space="preserve">Нет</x:t>
        </x:is>
      </x:c>
    </x:row>
    <x:row r="442">
      <x:c r="A442" s="31" t="inlineStr">
        <x:is>
          <x:t xml:space="preserve">СОСТ-00441</x:t>
        </x:is>
      </x:c>
      <x:c r="B442" s="31" t="inlineStr">
        <x:is>
          <x:t xml:space="preserve">ИЗД-030</x:t>
        </x:is>
      </x:c>
      <x:c r="C442" s="31" t="inlineStr">
        <x:is>
          <x:t xml:space="preserve">МАТ-0034</x:t>
        </x:is>
      </x:c>
      <x:c r="D442" s="31" t="inlineStr">
        <x:is>
          <x:t xml:space="preserve">Манометр виброустойчивый</x:t>
        </x:is>
      </x:c>
      <x:c r="E442" s="31" t="inlineStr">
        <x:is>
          <x:t xml:space="preserve">КИПиА</x:t>
        </x:is>
      </x:c>
      <x:c r="F442" s="31" t="n">
        <x:v>3.41</x:v>
      </x:c>
      <x:c r="G442" s="31" t="inlineStr">
        <x:is>
          <x:t xml:space="preserve">шт</x:t>
        </x:is>
      </x:c>
      <x:c r="H442" s="31" t="inlineStr">
        <x:is>
          <x:t xml:space="preserve">Обязательный</x:t>
        </x:is>
      </x:c>
      <x:c r="I442" s="31" t="inlineStr">
        <x:is>
          <x:t xml:space="preserve">ГЗ-КИП-3</x:t>
        </x:is>
      </x:c>
      <x:c r="J442" s="31" t="inlineStr">
        <x:is>
          <x:t xml:space="preserve">Нет</x:t>
        </x:is>
      </x:c>
    </x:row>
    <x:row r="443">
      <x:c r="A443" s="31" t="inlineStr">
        <x:is>
          <x:t xml:space="preserve">СОСТ-00442</x:t>
        </x:is>
      </x:c>
      <x:c r="B443" s="31" t="inlineStr">
        <x:is>
          <x:t xml:space="preserve">ИЗД-030</x:t>
        </x:is>
      </x:c>
      <x:c r="C443" s="31" t="inlineStr">
        <x:is>
          <x:t xml:space="preserve">МАТ-0031</x:t>
        </x:is>
      </x:c>
      <x:c r="D443" s="31" t="inlineStr">
        <x:is>
          <x:t xml:space="preserve">Датчик давления 0-16 бар</x:t>
        </x:is>
      </x:c>
      <x:c r="E443" s="31" t="inlineStr">
        <x:is>
          <x:t xml:space="preserve">КИПиА</x:t>
        </x:is>
      </x:c>
      <x:c r="F443" s="31" t="n">
        <x:v>1.08</x:v>
      </x:c>
      <x:c r="G443" s="31" t="inlineStr">
        <x:is>
          <x:t xml:space="preserve">шт</x:t>
        </x:is>
      </x:c>
      <x:c r="H443" s="31" t="inlineStr">
        <x:is>
          <x:t xml:space="preserve">Обязательный</x:t>
        </x:is>
      </x:c>
      <x:c r="I443" s="31" t="inlineStr">
        <x:is>
          <x:t xml:space="preserve">ГЗ-КИП-7</x:t>
        </x:is>
      </x:c>
      <x:c r="J443" s="31" t="inlineStr">
        <x:is>
          <x:t xml:space="preserve">Нет</x:t>
        </x:is>
      </x:c>
    </x:row>
    <x:row r="444">
      <x:c r="A444" s="31" t="inlineStr">
        <x:is>
          <x:t xml:space="preserve">СОСТ-00443</x:t>
        </x:is>
      </x:c>
      <x:c r="B444" s="31" t="inlineStr">
        <x:is>
          <x:t xml:space="preserve">ИЗД-030</x:t>
        </x:is>
      </x:c>
      <x:c r="C444" s="31" t="inlineStr">
        <x:is>
          <x:t xml:space="preserve">МАТ-0061</x:t>
        </x:is>
      </x:c>
      <x:c r="D444" s="31" t="inlineStr">
        <x:is>
          <x:t xml:space="preserve">Фильтр сетчатый Ду50 / исп.3</x:t>
        </x:is>
      </x:c>
      <x:c r="E444" s="31" t="inlineStr">
        <x:is>
          <x:t xml:space="preserve">Запорная арматура</x:t>
        </x:is>
      </x:c>
      <x:c r="F444" s="31" t="n">
        <x:v>6.24</x:v>
      </x:c>
      <x:c r="G444" s="31" t="inlineStr">
        <x:is>
          <x:t xml:space="preserve">шт</x:t>
        </x:is>
      </x:c>
      <x:c r="H444" s="31" t="inlineStr">
        <x:is>
          <x:t xml:space="preserve">Обязательный</x:t>
        </x:is>
      </x:c>
      <x:c r="I444" s="31" t="inlineStr">
        <x:is>
          <x:t xml:space="preserve">ГЗ-ЗАП-1</x:t>
        </x:is>
      </x:c>
      <x:c r="J444" s="31" t="inlineStr">
        <x:is>
          <x:t xml:space="preserve">Да</x:t>
        </x:is>
      </x:c>
    </x:row>
    <x:row r="445">
      <x:c r="A445" s="31" t="inlineStr">
        <x:is>
          <x:t xml:space="preserve">СОСТ-00444</x:t>
        </x:is>
      </x:c>
      <x:c r="B445" s="31" t="inlineStr">
        <x:is>
          <x:t xml:space="preserve">ИЗД-030</x:t>
        </x:is>
      </x:c>
      <x:c r="C445" s="31" t="inlineStr">
        <x:is>
          <x:t xml:space="preserve">МАТ-0059</x:t>
        </x:is>
      </x:c>
      <x:c r="D445" s="31" t="inlineStr">
        <x:is>
          <x:t xml:space="preserve">Фильтр сетчатый Ду50</x:t>
        </x:is>
      </x:c>
      <x:c r="E445" s="31" t="inlineStr">
        <x:is>
          <x:t xml:space="preserve">Запорная арматура</x:t>
        </x:is>
      </x:c>
      <x:c r="F445" s="31" t="n">
        <x:v>5.6</x:v>
      </x:c>
      <x:c r="G445" s="31" t="inlineStr">
        <x:is>
          <x:t xml:space="preserve">шт</x:t>
        </x:is>
      </x:c>
      <x:c r="H445" s="31" t="inlineStr">
        <x:is>
          <x:t xml:space="preserve">Обязательный</x:t>
        </x:is>
      </x:c>
      <x:c r="I445" s="31" t="inlineStr">
        <x:is>
          <x:t xml:space="preserve">ГЗ-ЗАП-3</x:t>
        </x:is>
      </x:c>
      <x:c r="J445" s="31" t="inlineStr">
        <x:is>
          <x:t xml:space="preserve">Нет</x:t>
        </x:is>
      </x:c>
    </x:row>
    <x:row r="446">
      <x:c r="A446" s="31" t="inlineStr">
        <x:is>
          <x:t xml:space="preserve">СОСТ-00445</x:t>
        </x:is>
      </x:c>
      <x:c r="B446" s="31" t="inlineStr">
        <x:is>
          <x:t xml:space="preserve">ИЗД-030</x:t>
        </x:is>
      </x:c>
      <x:c r="C446" s="31" t="inlineStr">
        <x:is>
          <x:t xml:space="preserve">МАТ-0064</x:t>
        </x:is>
      </x:c>
      <x:c r="D446" s="31" t="inlineStr">
        <x:is>
          <x:t xml:space="preserve">Кабель ВВГнг 3×2.5 / исп.2</x:t>
        </x:is>
      </x:c>
      <x:c r="E446" s="31" t="inlineStr">
        <x:is>
          <x:t xml:space="preserve">Кабель</x:t>
        </x:is>
      </x:c>
      <x:c r="F446" s="31" t="n">
        <x:v>6.89</x:v>
      </x:c>
      <x:c r="G446" s="31" t="inlineStr">
        <x:is>
          <x:t xml:space="preserve">шт</x:t>
        </x:is>
      </x:c>
      <x:c r="H446" s="31" t="inlineStr">
        <x:is>
          <x:t xml:space="preserve">Обязательный</x:t>
        </x:is>
      </x:c>
      <x:c r="I446" s="31" t="inlineStr">
        <x:is>
          <x:t xml:space="preserve">ГЗ-КАБ-7</x:t>
        </x:is>
      </x:c>
      <x:c r="J446" s="31" t="inlineStr">
        <x:is>
          <x:t xml:space="preserve">Да</x:t>
        </x:is>
      </x:c>
    </x:row>
    <x:row r="447">
      <x:c r="A447" s="31" t="inlineStr">
        <x:is>
          <x:t xml:space="preserve">СОСТ-00446</x:t>
        </x:is>
      </x:c>
      <x:c r="B447" s="31" t="inlineStr">
        <x:is>
          <x:t xml:space="preserve">ИЗД-030</x:t>
        </x:is>
      </x:c>
      <x:c r="C447" s="31" t="inlineStr">
        <x:is>
          <x:t xml:space="preserve">МАТ-0062</x:t>
        </x:is>
      </x:c>
      <x:c r="D447" s="31" t="inlineStr">
        <x:is>
          <x:t xml:space="preserve">Кабель КВВГ 4×1.5</x:t>
        </x:is>
      </x:c>
      <x:c r="E447" s="31" t="inlineStr">
        <x:is>
          <x:t xml:space="preserve">Кабель</x:t>
        </x:is>
      </x:c>
      <x:c r="F447" s="31" t="n">
        <x:v>11.68</x:v>
      </x:c>
      <x:c r="G447" s="31" t="inlineStr">
        <x:is>
          <x:t xml:space="preserve">м</x:t>
        </x:is>
      </x:c>
      <x:c r="H447" s="31" t="inlineStr">
        <x:is>
          <x:t xml:space="preserve">Обязательный</x:t>
        </x:is>
      </x:c>
      <x:c r="I447" s="31" t="inlineStr">
        <x:is>
          <x:t xml:space="preserve">ГЗ-КАБ-9</x:t>
        </x:is>
      </x:c>
      <x:c r="J447" s="31" t="inlineStr">
        <x:is>
          <x:t xml:space="preserve">Нет</x:t>
        </x:is>
      </x:c>
    </x:row>
    <x:row r="448">
      <x:c r="A448" s="31" t="inlineStr">
        <x:is>
          <x:t xml:space="preserve">СОСТ-00447</x:t>
        </x:is>
      </x:c>
      <x:c r="B448" s="31" t="inlineStr">
        <x:is>
          <x:t xml:space="preserve">ИЗД-030</x:t>
        </x:is>
      </x:c>
      <x:c r="C448" s="31" t="inlineStr">
        <x:is>
          <x:t xml:space="preserve">МАТ-0050</x:t>
        </x:is>
      </x:c>
      <x:c r="D448" s="31" t="inlineStr">
        <x:is>
          <x:t xml:space="preserve">панель оператора 7"</x:t>
        </x:is>
      </x:c>
      <x:c r="E448" s="31" t="inlineStr">
        <x:is>
          <x:t xml:space="preserve">ПЛК/электрика</x:t>
        </x:is>
      </x:c>
      <x:c r="F448" s="31" t="n">
        <x:v>1.08</x:v>
      </x:c>
      <x:c r="G448" s="31" t="inlineStr">
        <x:is>
          <x:t xml:space="preserve">шт</x:t>
        </x:is>
      </x:c>
      <x:c r="H448" s="31" t="inlineStr">
        <x:is>
          <x:t xml:space="preserve">Обязательный</x:t>
        </x:is>
      </x:c>
      <x:c r="I448" s="31" t="inlineStr">
        <x:is>
          <x:t xml:space="preserve">ГЗ-ПЛК-8</x:t>
        </x:is>
      </x:c>
      <x:c r="J448" s="31" t="inlineStr">
        <x:is>
          <x:t xml:space="preserve">Нет</x:t>
        </x:is>
      </x:c>
    </x:row>
    <x:row r="449">
      <x:c r="A449" s="31" t="inlineStr">
        <x:is>
          <x:t xml:space="preserve">СОСТ-00448</x:t>
        </x:is>
      </x:c>
      <x:c r="B449" s="31" t="inlineStr">
        <x:is>
          <x:t xml:space="preserve">ИЗД-030</x:t>
        </x:is>
      </x:c>
      <x:c r="C449" s="31" t="inlineStr">
        <x:is>
          <x:t xml:space="preserve">МАТ-0040</x:t>
        </x:is>
      </x:c>
      <x:c r="D449" s="31" t="inlineStr">
        <x:is>
          <x:t xml:space="preserve">модуль аналогового входа 4 канала</x:t>
        </x:is>
      </x:c>
      <x:c r="E449" s="31" t="inlineStr">
        <x:is>
          <x:t xml:space="preserve">ПЛК/электрика</x:t>
        </x:is>
      </x:c>
      <x:c r="F449" s="31" t="n">
        <x:v>2.52</x:v>
      </x:c>
      <x:c r="G449" s="31" t="inlineStr">
        <x:is>
          <x:t xml:space="preserve">шт</x:t>
        </x:is>
      </x:c>
      <x:c r="H449" s="31" t="inlineStr">
        <x:is>
          <x:t xml:space="preserve">Обязательный</x:t>
        </x:is>
      </x:c>
      <x:c r="I449" s="31" t="inlineStr">
        <x:is>
          <x:t xml:space="preserve">ГЗ-ПЛК-4</x:t>
        </x:is>
      </x:c>
      <x:c r="J449" s="31" t="inlineStr">
        <x:is>
          <x:t xml:space="preserve">Нет</x:t>
        </x:is>
      </x:c>
    </x:row>
    <x:row r="450">
      <x:c r="A450" s="31" t="inlineStr">
        <x:is>
          <x:t xml:space="preserve">СОСТ-00449</x:t>
        </x:is>
      </x:c>
      <x:c r="B450" s="31" t="inlineStr">
        <x:is>
          <x:t xml:space="preserve">ИЗД-030</x:t>
        </x:is>
      </x:c>
      <x:c r="C450" s="31" t="inlineStr">
        <x:is>
          <x:t xml:space="preserve">МАТ-0041</x:t>
        </x:is>
      </x:c>
      <x:c r="D450" s="31" t="inlineStr">
        <x:is>
          <x:t xml:space="preserve">модуль аналогового входа 4 канала / исп.2</x:t>
        </x:is>
      </x:c>
      <x:c r="E450" s="31" t="inlineStr">
        <x:is>
          <x:t xml:space="preserve">ПЛК/электрика</x:t>
        </x:is>
      </x:c>
      <x:c r="F450" s="31" t="n">
        <x:v>4.09</x:v>
      </x:c>
      <x:c r="G450" s="31" t="inlineStr">
        <x:is>
          <x:t xml:space="preserve">шт</x:t>
        </x:is>
      </x:c>
      <x:c r="H450" s="31" t="inlineStr">
        <x:is>
          <x:t xml:space="preserve">Обязательный</x:t>
        </x:is>
      </x:c>
      <x:c r="I450" s="31" t="inlineStr">
        <x:is>
          <x:t xml:space="preserve">ГЗ-ПЛК-4</x:t>
        </x:is>
      </x:c>
      <x:c r="J450" s="31" t="inlineStr">
        <x:is>
          <x:t xml:space="preserve">Нет</x:t>
        </x:is>
      </x:c>
    </x:row>
    <x:row r="451">
      <x:c r="A451" s="31" t="inlineStr">
        <x:is>
          <x:t xml:space="preserve">СОСТ-00450</x:t>
        </x:is>
      </x:c>
      <x:c r="B451" s="31" t="inlineStr">
        <x:is>
          <x:t xml:space="preserve">ИЗД-030</x:t>
        </x:is>
      </x:c>
      <x:c r="C451" s="31" t="inlineStr">
        <x:is>
          <x:t xml:space="preserve">МАТ-0073</x:t>
        </x:is>
      </x:c>
      <x:c r="D451" s="31" t="inlineStr">
        <x:is>
          <x:t xml:space="preserve">Растворитель / исп.2</x:t>
        </x:is>
      </x:c>
      <x:c r="E451" s="31" t="inlineStr">
        <x:is>
          <x:t xml:space="preserve">Покраска</x:t>
        </x:is>
      </x:c>
      <x:c r="F451" s="31" t="n">
        <x:v>53.48</x:v>
      </x:c>
      <x:c r="G451" s="31" t="inlineStr">
        <x:is>
          <x:t xml:space="preserve">л</x:t>
        </x:is>
      </x:c>
      <x:c r="H451" s="31" t="inlineStr">
        <x:is>
          <x:t xml:space="preserve">Обязательный</x:t>
        </x:is>
      </x:c>
      <x:c r="I451" s="31" t="inlineStr">
        <x:is>
          <x:t xml:space="preserve">ГЗ-ПОК-8</x:t>
        </x:is>
      </x:c>
      <x:c r="J451" s="31" t="inlineStr">
        <x:is>
          <x:t xml:space="preserve">Нет</x:t>
        </x:is>
      </x:c>
    </x:row>
    <x:row r="452">
      <x:c r="A452" s="31" t="inlineStr">
        <x:is>
          <x:t xml:space="preserve">СОСТ-00451</x:t>
        </x:is>
      </x:c>
      <x:c r="B452" s="31" t="inlineStr">
        <x:is>
          <x:t xml:space="preserve">ИЗД-030</x:t>
        </x:is>
      </x:c>
      <x:c r="C452" s="31" t="inlineStr">
        <x:is>
          <x:t xml:space="preserve">МАТ-0071</x:t>
        </x:is>
      </x:c>
      <x:c r="D452" s="31" t="inlineStr">
        <x:is>
          <x:t xml:space="preserve">Эмаль полиуретановая / исп.3</x:t>
        </x:is>
      </x:c>
      <x:c r="E452" s="31" t="inlineStr">
        <x:is>
          <x:t xml:space="preserve">Покраска</x:t>
        </x:is>
      </x:c>
      <x:c r="F452" s="31" t="n">
        <x:v>2.36</x:v>
      </x:c>
      <x:c r="G452" s="31" t="inlineStr">
        <x:is>
          <x:t xml:space="preserve">кг</x:t>
        </x:is>
      </x:c>
      <x:c r="H452" s="31" t="inlineStr">
        <x:is>
          <x:t xml:space="preserve">Обязательный</x:t>
        </x:is>
      </x:c>
      <x:c r="I452" s="31" t="inlineStr">
        <x:is>
          <x:t xml:space="preserve">ГЗ-ПОК-2</x:t>
        </x:is>
      </x:c>
      <x:c r="J452" s="31" t="inlineStr">
        <x:is>
          <x:t xml:space="preserve">Нет</x:t>
        </x:is>
      </x:c>
    </x:row>
    <x:row r="453">
      <x:c r="A453" s="31" t="inlineStr">
        <x:is>
          <x:t xml:space="preserve">СОСТ-00452</x:t>
        </x:is>
      </x:c>
      <x:c r="B453" s="31" t="inlineStr">
        <x:is>
          <x:t xml:space="preserve">ИЗД-030</x:t>
        </x:is>
      </x:c>
      <x:c r="C453" s="31" t="inlineStr">
        <x:is>
          <x:t xml:space="preserve">МАТ-0069</x:t>
        </x:is>
      </x:c>
      <x:c r="D453" s="31" t="inlineStr">
        <x:is>
          <x:t xml:space="preserve">Эмаль полиуретановая</x:t>
        </x:is>
      </x:c>
      <x:c r="E453" s="31" t="inlineStr">
        <x:is>
          <x:t xml:space="preserve">Покраска</x:t>
        </x:is>
      </x:c>
      <x:c r="F453" s="31" t="n">
        <x:v>20.61</x:v>
      </x:c>
      <x:c r="G453" s="31" t="inlineStr">
        <x:is>
          <x:t xml:space="preserve">л</x:t>
        </x:is>
      </x:c>
      <x:c r="H453" s="31" t="inlineStr">
        <x:is>
          <x:t xml:space="preserve">Обязательный</x:t>
        </x:is>
      </x:c>
      <x:c r="I453" s="31" t="inlineStr">
        <x:is>
          <x:t xml:space="preserve">ГЗ-ПОК-1</x:t>
        </x:is>
      </x:c>
      <x:c r="J453" s="31" t="inlineStr">
        <x:is>
          <x:t xml:space="preserve">Нет</x:t>
        </x:is>
      </x:c>
    </x:row>
    <x:row r="454">
      <x:c r="A454" s="31" t="inlineStr">
        <x:is>
          <x:t xml:space="preserve">СОСТ-00453</x:t>
        </x:is>
      </x:c>
      <x:c r="B454" s="31" t="inlineStr">
        <x:is>
          <x:t xml:space="preserve">ИЗД-030</x:t>
        </x:is>
      </x:c>
      <x:c r="C454" s="31" t="inlineStr">
        <x:is>
          <x:t xml:space="preserve">МАТ-0080</x:t>
        </x:is>
      </x:c>
      <x:c r="D454" s="31" t="inlineStr">
        <x:is>
          <x:t xml:space="preserve">Гайка М12 / исп.3</x:t>
        </x:is>
      </x:c>
      <x:c r="E454" s="31" t="inlineStr">
        <x:is>
          <x:t xml:space="preserve">Крепеж</x:t>
        </x:is>
      </x:c>
      <x:c r="F454" s="31" t="n">
        <x:v>6.74</x:v>
      </x:c>
      <x:c r="G454" s="31" t="inlineStr">
        <x:is>
          <x:t xml:space="preserve">шт</x:t>
        </x:is>
      </x:c>
      <x:c r="H454" s="31" t="inlineStr">
        <x:is>
          <x:t xml:space="preserve">Обязательный</x:t>
        </x:is>
      </x:c>
      <x:c r="I454" s="31" t="inlineStr">
        <x:is>
          <x:t xml:space="preserve">ГЗ-КРЕ-6</x:t>
        </x:is>
      </x:c>
      <x:c r="J454" s="31" t="inlineStr">
        <x:is>
          <x:t xml:space="preserve">Да</x:t>
        </x:is>
      </x:c>
    </x:row>
    <x:row r="455">
      <x:c r="A455" s="31" t="inlineStr">
        <x:is>
          <x:t xml:space="preserve">СОСТ-00454</x:t>
        </x:is>
      </x:c>
      <x:c r="B455" s="31" t="inlineStr">
        <x:is>
          <x:t xml:space="preserve">ИЗД-030</x:t>
        </x:is>
      </x:c>
      <x:c r="C455" s="31" t="inlineStr">
        <x:is>
          <x:t xml:space="preserve">МАТ-0089</x:t>
        </x:is>
      </x:c>
      <x:c r="D455" s="31" t="inlineStr">
        <x:is>
          <x:t xml:space="preserve">Маркировочная этикетка</x:t>
        </x:is>
      </x:c>
      <x:c r="E455" s="31" t="inlineStr">
        <x:is>
          <x:t xml:space="preserve">Упаковка</x:t>
        </x:is>
      </x:c>
      <x:c r="F455" s="31" t="n">
        <x:v>2.18</x:v>
      </x:c>
      <x:c r="G455" s="31" t="inlineStr">
        <x:is>
          <x:t xml:space="preserve">шт</x:t>
        </x:is>
      </x:c>
      <x:c r="H455" s="31" t="inlineStr">
        <x:is>
          <x:t xml:space="preserve">Обязательный</x:t>
        </x:is>
      </x:c>
      <x:c r="I455" s="31" t="inlineStr">
        <x:is>
          <x:t xml:space="preserve">ГЗ-УПА-7</x:t>
        </x:is>
      </x:c>
      <x:c r="J455" s="31" t="inlineStr">
        <x:is>
          <x:t xml:space="preserve">Нет</x:t>
        </x:is>
      </x:c>
    </x:row>
    <x:row r="456">
      <x:c r="A456" s="31" t="inlineStr">
        <x:is>
          <x:t xml:space="preserve">СОСТ-00455</x:t>
        </x:is>
      </x:c>
      <x:c r="B456" s="31" t="inlineStr">
        <x:is>
          <x:t xml:space="preserve">ИЗД-031</x:t>
        </x:is>
      </x:c>
      <x:c r="C456" s="31" t="inlineStr">
        <x:is>
          <x:t xml:space="preserve">МАТ-0014</x:t>
        </x:is>
      </x:c>
      <x:c r="D456" s="31" t="inlineStr">
        <x:is>
          <x:t xml:space="preserve">Уголок 50×5 / исп.2</x:t>
        </x:is>
      </x:c>
      <x:c r="E456" s="31" t="inlineStr">
        <x:is>
          <x:t xml:space="preserve">Металл</x:t>
        </x:is>
      </x:c>
      <x:c r="F456" s="31" t="n">
        <x:v>3.29</x:v>
      </x:c>
      <x:c r="G456" s="31" t="inlineStr">
        <x:is>
          <x:t xml:space="preserve">шт</x:t>
        </x:is>
      </x:c>
      <x:c r="H456" s="31" t="inlineStr">
        <x:is>
          <x:t xml:space="preserve">Обязательный</x:t>
        </x:is>
      </x:c>
      <x:c r="I456" s="31" t="inlineStr">
        <x:is>
          <x:t xml:space="preserve">ГЗ-МЕТ-9</x:t>
        </x:is>
      </x:c>
      <x:c r="J456" s="31" t="inlineStr">
        <x:is>
          <x:t xml:space="preserve">Нет</x:t>
        </x:is>
      </x:c>
    </x:row>
    <x:row r="457">
      <x:c r="A457" s="31" t="inlineStr">
        <x:is>
          <x:t xml:space="preserve">СОСТ-00456</x:t>
        </x:is>
      </x:c>
      <x:c r="B457" s="31" t="inlineStr">
        <x:is>
          <x:t xml:space="preserve">ИЗД-031</x:t>
        </x:is>
      </x:c>
      <x:c r="C457" s="31" t="inlineStr">
        <x:is>
          <x:t xml:space="preserve">МАТ-0023</x:t>
        </x:is>
      </x:c>
      <x:c r="D457" s="31" t="inlineStr">
        <x:is>
          <x:t xml:space="preserve">Рабочее колесо</x:t>
        </x:is>
      </x:c>
      <x:c r="E457" s="31" t="inlineStr">
        <x:is>
          <x:t xml:space="preserve">Насосы</x:t>
        </x:is>
      </x:c>
      <x:c r="F457" s="31" t="n">
        <x:v>3.77</x:v>
      </x:c>
      <x:c r="G457" s="31" t="inlineStr">
        <x:is>
          <x:t xml:space="preserve">шт</x:t>
        </x:is>
      </x:c>
      <x:c r="H457" s="31" t="inlineStr">
        <x:is>
          <x:t xml:space="preserve">Обязательный</x:t>
        </x:is>
      </x:c>
      <x:c r="I457" s="31" t="inlineStr">
        <x:is>
          <x:t xml:space="preserve">ГЗ-НАС-6</x:t>
        </x:is>
      </x:c>
      <x:c r="J457" s="31" t="inlineStr">
        <x:is>
          <x:t xml:space="preserve">Нет</x:t>
        </x:is>
      </x:c>
    </x:row>
    <x:row r="458">
      <x:c r="A458" s="31" t="inlineStr">
        <x:is>
          <x:t xml:space="preserve">СОСТ-00457</x:t>
        </x:is>
      </x:c>
      <x:c r="B458" s="31" t="inlineStr">
        <x:is>
          <x:t xml:space="preserve">ИЗД-031</x:t>
        </x:is>
      </x:c>
      <x:c r="C458" s="31" t="inlineStr">
        <x:is>
          <x:t xml:space="preserve">МАТ-0027</x:t>
        </x:is>
      </x:c>
      <x:c r="D458" s="31" t="inlineStr">
        <x:is>
          <x:t xml:space="preserve">Двигатель 22 кВт</x:t>
        </x:is>
      </x:c>
      <x:c r="E458" s="31" t="inlineStr">
        <x:is>
          <x:t xml:space="preserve">Электродвигатели</x:t>
        </x:is>
      </x:c>
      <x:c r="F458" s="31" t="n">
        <x:v>3.26</x:v>
      </x:c>
      <x:c r="G458" s="31" t="inlineStr">
        <x:is>
          <x:t xml:space="preserve">шт</x:t>
        </x:is>
      </x:c>
      <x:c r="H458" s="31" t="inlineStr">
        <x:is>
          <x:t xml:space="preserve">Обязательный</x:t>
        </x:is>
      </x:c>
      <x:c r="I458" s="31" t="inlineStr">
        <x:is>
          <x:t xml:space="preserve">ГЗ-ЭЛЕ-2</x:t>
        </x:is>
      </x:c>
      <x:c r="J458" s="31" t="inlineStr">
        <x:is>
          <x:t xml:space="preserve">Нет</x:t>
        </x:is>
      </x:c>
    </x:row>
    <x:row r="459">
      <x:c r="A459" s="31" t="inlineStr">
        <x:is>
          <x:t xml:space="preserve">СОСТ-00458</x:t>
        </x:is>
      </x:c>
      <x:c r="B459" s="31" t="inlineStr">
        <x:is>
          <x:t xml:space="preserve">ИЗД-031</x:t>
        </x:is>
      </x:c>
      <x:c r="C459" s="31" t="inlineStr">
        <x:is>
          <x:t xml:space="preserve">МАТ-0034</x:t>
        </x:is>
      </x:c>
      <x:c r="D459" s="31" t="inlineStr">
        <x:is>
          <x:t xml:space="preserve">Манометр виброустойчивый</x:t>
        </x:is>
      </x:c>
      <x:c r="E459" s="31" t="inlineStr">
        <x:is>
          <x:t xml:space="preserve">КИПиА</x:t>
        </x:is>
      </x:c>
      <x:c r="F459" s="31" t="n">
        <x:v>2.49</x:v>
      </x:c>
      <x:c r="G459" s="31" t="inlineStr">
        <x:is>
          <x:t xml:space="preserve">шт</x:t>
        </x:is>
      </x:c>
      <x:c r="H459" s="31" t="inlineStr">
        <x:is>
          <x:t xml:space="preserve">Обязательный</x:t>
        </x:is>
      </x:c>
      <x:c r="I459" s="31" t="inlineStr">
        <x:is>
          <x:t xml:space="preserve">ГЗ-КИП-3</x:t>
        </x:is>
      </x:c>
      <x:c r="J459" s="31" t="inlineStr">
        <x:is>
          <x:t xml:space="preserve">Нет</x:t>
        </x:is>
      </x:c>
    </x:row>
    <x:row r="460">
      <x:c r="A460" s="31" t="inlineStr">
        <x:is>
          <x:t xml:space="preserve">СОСТ-00459</x:t>
        </x:is>
      </x:c>
      <x:c r="B460" s="31" t="inlineStr">
        <x:is>
          <x:t xml:space="preserve">ИЗД-031</x:t>
        </x:is>
      </x:c>
      <x:c r="C460" s="31" t="inlineStr">
        <x:is>
          <x:t xml:space="preserve">МАТ-0061</x:t>
        </x:is>
      </x:c>
      <x:c r="D460" s="31" t="inlineStr">
        <x:is>
          <x:t xml:space="preserve">Фильтр сетчатый Ду50 / исп.3</x:t>
        </x:is>
      </x:c>
      <x:c r="E460" s="31" t="inlineStr">
        <x:is>
          <x:t xml:space="preserve">Запорная арматура</x:t>
        </x:is>
      </x:c>
      <x:c r="F460" s="31" t="n">
        <x:v>5.37</x:v>
      </x:c>
      <x:c r="G460" s="31" t="inlineStr">
        <x:is>
          <x:t xml:space="preserve">шт</x:t>
        </x:is>
      </x:c>
      <x:c r="H460" s="31" t="inlineStr">
        <x:is>
          <x:t xml:space="preserve">Обязательный</x:t>
        </x:is>
      </x:c>
      <x:c r="I460" s="31" t="inlineStr">
        <x:is>
          <x:t xml:space="preserve">ГЗ-ЗАП-1</x:t>
        </x:is>
      </x:c>
      <x:c r="J460" s="31" t="inlineStr">
        <x:is>
          <x:t xml:space="preserve">Нет</x:t>
        </x:is>
      </x:c>
    </x:row>
    <x:row r="461">
      <x:c r="A461" s="31" t="inlineStr">
        <x:is>
          <x:t xml:space="preserve">СОСТ-00460</x:t>
        </x:is>
      </x:c>
      <x:c r="B461" s="31" t="inlineStr">
        <x:is>
          <x:t xml:space="preserve">ИЗД-031</x:t>
        </x:is>
      </x:c>
      <x:c r="C461" s="31" t="inlineStr">
        <x:is>
          <x:t xml:space="preserve">МАТ-0057</x:t>
        </x:is>
      </x:c>
      <x:c r="D461" s="31" t="inlineStr">
        <x:is>
          <x:t xml:space="preserve">Задвижка Ду100 / исп.2</x:t>
        </x:is>
      </x:c>
      <x:c r="E461" s="31" t="inlineStr">
        <x:is>
          <x:t xml:space="preserve">Запорная арматура</x:t>
        </x:is>
      </x:c>
      <x:c r="F461" s="31" t="n">
        <x:v>3.11</x:v>
      </x:c>
      <x:c r="G461" s="31" t="inlineStr">
        <x:is>
          <x:t xml:space="preserve">шт</x:t>
        </x:is>
      </x:c>
      <x:c r="H461" s="31" t="inlineStr">
        <x:is>
          <x:t xml:space="preserve">Обязательный</x:t>
        </x:is>
      </x:c>
      <x:c r="I461" s="31" t="inlineStr">
        <x:is>
          <x:t xml:space="preserve">ГЗ-ЗАП-4</x:t>
        </x:is>
      </x:c>
      <x:c r="J461" s="31" t="inlineStr">
        <x:is>
          <x:t xml:space="preserve">Нет</x:t>
        </x:is>
      </x:c>
    </x:row>
    <x:row r="462">
      <x:c r="A462" s="31" t="inlineStr">
        <x:is>
          <x:t xml:space="preserve">СОСТ-00461</x:t>
        </x:is>
      </x:c>
      <x:c r="B462" s="31" t="inlineStr">
        <x:is>
          <x:t xml:space="preserve">ИЗД-031</x:t>
        </x:is>
      </x:c>
      <x:c r="C462" s="31" t="inlineStr">
        <x:is>
          <x:t xml:space="preserve">МАТ-0067</x:t>
        </x:is>
      </x:c>
      <x:c r="D462" s="31" t="inlineStr">
        <x:is>
          <x:t xml:space="preserve">Кабельный ввод М20</x:t>
        </x:is>
      </x:c>
      <x:c r="E462" s="31" t="inlineStr">
        <x:is>
          <x:t xml:space="preserve">Кабель</x:t>
        </x:is>
      </x:c>
      <x:c r="F462" s="31" t="n">
        <x:v>79.26000000000001</x:v>
      </x:c>
      <x:c r="G462" s="31" t="inlineStr">
        <x:is>
          <x:t xml:space="preserve">кг</x:t>
        </x:is>
      </x:c>
      <x:c r="H462" s="31" t="inlineStr">
        <x:is>
          <x:t xml:space="preserve">Обязательный</x:t>
        </x:is>
      </x:c>
      <x:c r="I462" s="31" t="inlineStr">
        <x:is>
          <x:t xml:space="preserve">ГЗ-КАБ-1</x:t>
        </x:is>
      </x:c>
      <x:c r="J462" s="31" t="inlineStr">
        <x:is>
          <x:t xml:space="preserve">Нет</x:t>
        </x:is>
      </x:c>
    </x:row>
    <x:row r="463">
      <x:c r="A463" s="31" t="inlineStr">
        <x:is>
          <x:t xml:space="preserve">СОСТ-00462</x:t>
        </x:is>
      </x:c>
      <x:c r="B463" s="31" t="inlineStr">
        <x:is>
          <x:t xml:space="preserve">ИЗД-031</x:t>
        </x:is>
      </x:c>
      <x:c r="C463" s="31" t="inlineStr">
        <x:is>
          <x:t xml:space="preserve">МАТ-0047</x:t>
        </x:is>
      </x:c>
      <x:c r="D463" s="31" t="inlineStr">
        <x:is>
          <x:t xml:space="preserve">Контактор 25А / исп.2</x:t>
        </x:is>
      </x:c>
      <x:c r="E463" s="31" t="inlineStr">
        <x:is>
          <x:t xml:space="preserve">ПЛК/электрика</x:t>
        </x:is>
      </x:c>
      <x:c r="F463" s="31" t="n">
        <x:v>3.27</x:v>
      </x:c>
      <x:c r="G463" s="31" t="inlineStr">
        <x:is>
          <x:t xml:space="preserve">шт</x:t>
        </x:is>
      </x:c>
      <x:c r="H463" s="31" t="inlineStr">
        <x:is>
          <x:t xml:space="preserve">Обязательный</x:t>
        </x:is>
      </x:c>
      <x:c r="I463" s="31" t="inlineStr">
        <x:is>
          <x:t xml:space="preserve">ГЗ-ПЛК-7</x:t>
        </x:is>
      </x:c>
      <x:c r="J463" s="31" t="inlineStr">
        <x:is>
          <x:t xml:space="preserve">Нет</x:t>
        </x:is>
      </x:c>
    </x:row>
    <x:row r="464">
      <x:c r="A464" s="31" t="inlineStr">
        <x:is>
          <x:t xml:space="preserve">СОСТ-00463</x:t>
        </x:is>
      </x:c>
      <x:c r="B464" s="31" t="inlineStr">
        <x:is>
          <x:t xml:space="preserve">ИЗД-031</x:t>
        </x:is>
      </x:c>
      <x:c r="C464" s="31" t="inlineStr">
        <x:is>
          <x:t xml:space="preserve">МАТ-0069</x:t>
        </x:is>
      </x:c>
      <x:c r="D464" s="31" t="inlineStr">
        <x:is>
          <x:t xml:space="preserve">Эмаль полиуретановая</x:t>
        </x:is>
      </x:c>
      <x:c r="E464" s="31" t="inlineStr">
        <x:is>
          <x:t xml:space="preserve">Покраска</x:t>
        </x:is>
      </x:c>
      <x:c r="F464" s="31" t="n">
        <x:v>51.56</x:v>
      </x:c>
      <x:c r="G464" s="31" t="inlineStr">
        <x:is>
          <x:t xml:space="preserve">л</x:t>
        </x:is>
      </x:c>
      <x:c r="H464" s="31" t="inlineStr">
        <x:is>
          <x:t xml:space="preserve">Опция</x:t>
        </x:is>
      </x:c>
      <x:c r="I464" s="31" t="inlineStr">
        <x:is>
          <x:t xml:space="preserve">ГЗ-ПОК-1</x:t>
        </x:is>
      </x:c>
      <x:c r="J464" s="31" t="inlineStr">
        <x:is>
          <x:t xml:space="preserve">Нет</x:t>
        </x:is>
      </x:c>
    </x:row>
    <x:row r="465">
      <x:c r="A465" s="31" t="inlineStr">
        <x:is>
          <x:t xml:space="preserve">СОСТ-00464</x:t>
        </x:is>
      </x:c>
      <x:c r="B465" s="31" t="inlineStr">
        <x:is>
          <x:t xml:space="preserve">ИЗД-031</x:t>
        </x:is>
      </x:c>
      <x:c r="C465" s="31" t="inlineStr">
        <x:is>
          <x:t xml:space="preserve">МАТ-0074</x:t>
        </x:is>
      </x:c>
      <x:c r="D465" s="31" t="inlineStr">
        <x:is>
          <x:t xml:space="preserve">Абразив для пескоструя</x:t>
        </x:is>
      </x:c>
      <x:c r="E465" s="31" t="inlineStr">
        <x:is>
          <x:t xml:space="preserve">Покраска</x:t>
        </x:is>
      </x:c>
      <x:c r="F465" s="31" t="n">
        <x:v>5.66</x:v>
      </x:c>
      <x:c r="G465" s="31" t="inlineStr">
        <x:is>
          <x:t xml:space="preserve">шт</x:t>
        </x:is>
      </x:c>
      <x:c r="H465" s="31" t="inlineStr">
        <x:is>
          <x:t xml:space="preserve">Обязательный</x:t>
        </x:is>
      </x:c>
      <x:c r="I465" s="31" t="inlineStr">
        <x:is>
          <x:t xml:space="preserve">ГЗ-ПОК-9</x:t>
        </x:is>
      </x:c>
      <x:c r="J465" s="31" t="inlineStr">
        <x:is>
          <x:t xml:space="preserve">Да</x:t>
        </x:is>
      </x:c>
    </x:row>
    <x:row r="466">
      <x:c r="A466" s="31" t="inlineStr">
        <x:is>
          <x:t xml:space="preserve">СОСТ-00465</x:t>
        </x:is>
      </x:c>
      <x:c r="B466" s="31" t="inlineStr">
        <x:is>
          <x:t xml:space="preserve">ИЗД-031</x:t>
        </x:is>
      </x:c>
      <x:c r="C466" s="31" t="inlineStr">
        <x:is>
          <x:t xml:space="preserve">МАТ-0072</x:t>
        </x:is>
      </x:c>
      <x:c r="D466" s="31" t="inlineStr">
        <x:is>
          <x:t xml:space="preserve">Растворитель</x:t>
        </x:is>
      </x:c>
      <x:c r="E466" s="31" t="inlineStr">
        <x:is>
          <x:t xml:space="preserve">Покраска</x:t>
        </x:is>
      </x:c>
      <x:c r="F466" s="31" t="n">
        <x:v>41.86</x:v>
      </x:c>
      <x:c r="G466" s="31" t="inlineStr">
        <x:is>
          <x:t xml:space="preserve">л</x:t>
        </x:is>
      </x:c>
      <x:c r="H466" s="31" t="inlineStr">
        <x:is>
          <x:t xml:space="preserve">Обязательный</x:t>
        </x:is>
      </x:c>
      <x:c r="I466" s="31" t="inlineStr">
        <x:is>
          <x:t xml:space="preserve">ГЗ-ПОК-2</x:t>
        </x:is>
      </x:c>
      <x:c r="J466" s="31" t="inlineStr">
        <x:is>
          <x:t xml:space="preserve">Нет</x:t>
        </x:is>
      </x:c>
    </x:row>
    <x:row r="467">
      <x:c r="A467" s="31" t="inlineStr">
        <x:is>
          <x:t xml:space="preserve">СОСТ-00466</x:t>
        </x:is>
      </x:c>
      <x:c r="B467" s="31" t="inlineStr">
        <x:is>
          <x:t xml:space="preserve">ИЗД-031</x:t>
        </x:is>
      </x:c>
      <x:c r="C467" s="31" t="inlineStr">
        <x:is>
          <x:t xml:space="preserve">МАТ-0075</x:t>
        </x:is>
      </x:c>
      <x:c r="D467" s="31" t="inlineStr">
        <x:is>
          <x:t xml:space="preserve">Болт М12</x:t>
        </x:is>
      </x:c>
      <x:c r="E467" s="31" t="inlineStr">
        <x:is>
          <x:t xml:space="preserve">Крепеж</x:t>
        </x:is>
      </x:c>
      <x:c r="F467" s="31" t="n">
        <x:v>2.63</x:v>
      </x:c>
      <x:c r="G467" s="31" t="inlineStr">
        <x:is>
          <x:t xml:space="preserve">шт</x:t>
        </x:is>
      </x:c>
      <x:c r="H467" s="31" t="inlineStr">
        <x:is>
          <x:t xml:space="preserve">Обязательный</x:t>
        </x:is>
      </x:c>
      <x:c r="I467" s="31" t="inlineStr">
        <x:is>
          <x:t xml:space="preserve">ГЗ-КРЕ-6</x:t>
        </x:is>
      </x:c>
      <x:c r="J467" s="31" t="inlineStr">
        <x:is>
          <x:t xml:space="preserve">Нет</x:t>
        </x:is>
      </x:c>
    </x:row>
    <x:row r="468">
      <x:c r="A468" s="31" t="inlineStr">
        <x:is>
          <x:t xml:space="preserve">СОСТ-00467</x:t>
        </x:is>
      </x:c>
      <x:c r="B468" s="31" t="inlineStr">
        <x:is>
          <x:t xml:space="preserve">ИЗД-031</x:t>
        </x:is>
      </x:c>
      <x:c r="C468" s="31" t="inlineStr">
        <x:is>
          <x:t xml:space="preserve">МАТ-0079</x:t>
        </x:is>
      </x:c>
      <x:c r="D468" s="31" t="inlineStr">
        <x:is>
          <x:t xml:space="preserve">Гайка М12 / исп.2</x:t>
        </x:is>
      </x:c>
      <x:c r="E468" s="31" t="inlineStr">
        <x:is>
          <x:t xml:space="preserve">Крепеж</x:t>
        </x:is>
      </x:c>
      <x:c r="F468" s="31" t="n">
        <x:v>2.65</x:v>
      </x:c>
      <x:c r="G468" s="31" t="inlineStr">
        <x:is>
          <x:t xml:space="preserve">шт</x:t>
        </x:is>
      </x:c>
      <x:c r="H468" s="31" t="inlineStr">
        <x:is>
          <x:t xml:space="preserve">Обязательный</x:t>
        </x:is>
      </x:c>
      <x:c r="I468" s="31" t="inlineStr">
        <x:is>
          <x:t xml:space="preserve">ГЗ-КРЕ-9</x:t>
        </x:is>
      </x:c>
      <x:c r="J468" s="31" t="inlineStr">
        <x:is>
          <x:t xml:space="preserve">Нет</x:t>
        </x:is>
      </x:c>
    </x:row>
    <x:row r="469">
      <x:c r="A469" s="31" t="inlineStr">
        <x:is>
          <x:t xml:space="preserve">СОСТ-00468</x:t>
        </x:is>
      </x:c>
      <x:c r="B469" s="31" t="inlineStr">
        <x:is>
          <x:t xml:space="preserve">ИЗД-031</x:t>
        </x:is>
      </x:c>
      <x:c r="C469" s="31" t="inlineStr">
        <x:is>
          <x:t xml:space="preserve">МАТ-0076</x:t>
        </x:is>
      </x:c>
      <x:c r="D469" s="31" t="inlineStr">
        <x:is>
          <x:t xml:space="preserve">Болт М12 / исп.2</x:t>
        </x:is>
      </x:c>
      <x:c r="E469" s="31" t="inlineStr">
        <x:is>
          <x:t xml:space="preserve">Крепеж</x:t>
        </x:is>
      </x:c>
      <x:c r="F469" s="31" t="n">
        <x:v>1.42</x:v>
      </x:c>
      <x:c r="G469" s="31" t="inlineStr">
        <x:is>
          <x:t xml:space="preserve">шт</x:t>
        </x:is>
      </x:c>
      <x:c r="H469" s="31" t="inlineStr">
        <x:is>
          <x:t xml:space="preserve">Обязательный</x:t>
        </x:is>
      </x:c>
      <x:c r="I469" s="31" t="inlineStr">
        <x:is>
          <x:t xml:space="preserve">ГЗ-КРЕ-7</x:t>
        </x:is>
      </x:c>
      <x:c r="J469" s="31" t="inlineStr">
        <x:is>
          <x:t xml:space="preserve">Нет</x:t>
        </x:is>
      </x:c>
    </x:row>
    <x:row r="470">
      <x:c r="A470" s="31" t="inlineStr">
        <x:is>
          <x:t xml:space="preserve">СОСТ-00469</x:t>
        </x:is>
      </x:c>
      <x:c r="B470" s="31" t="inlineStr">
        <x:is>
          <x:t xml:space="preserve">ИЗД-031</x:t>
        </x:is>
      </x:c>
      <x:c r="C470" s="31" t="inlineStr">
        <x:is>
          <x:t xml:space="preserve">МАТ-0087</x:t>
        </x:is>
      </x:c>
      <x:c r="D470" s="31" t="inlineStr">
        <x:is>
          <x:t xml:space="preserve">Ящик фанерный</x:t>
        </x:is>
      </x:c>
      <x:c r="E470" s="31" t="inlineStr">
        <x:is>
          <x:t xml:space="preserve">Упаковка</x:t>
        </x:is>
      </x:c>
      <x:c r="F470" s="31" t="n">
        <x:v>2.43</x:v>
      </x:c>
      <x:c r="G470" s="31" t="inlineStr">
        <x:is>
          <x:t xml:space="preserve">шт</x:t>
        </x:is>
      </x:c>
      <x:c r="H470" s="31" t="inlineStr">
        <x:is>
          <x:t xml:space="preserve">Обязательный</x:t>
        </x:is>
      </x:c>
      <x:c r="I470" s="31" t="inlineStr">
        <x:is>
          <x:t xml:space="preserve">ГЗ-УПА-6</x:t>
        </x:is>
      </x:c>
      <x:c r="J470" s="31" t="inlineStr">
        <x:is>
          <x:t xml:space="preserve">Нет</x:t>
        </x:is>
      </x:c>
    </x:row>
    <x:row r="471">
      <x:c r="A471" s="31" t="inlineStr">
        <x:is>
          <x:t xml:space="preserve">СОСТ-00470</x:t>
        </x:is>
      </x:c>
      <x:c r="B471" s="31" t="inlineStr">
        <x:is>
          <x:t xml:space="preserve">ИЗД-032</x:t>
        </x:is>
      </x:c>
      <x:c r="C471" s="31" t="inlineStr">
        <x:is>
          <x:t xml:space="preserve">МАТ-0022</x:t>
        </x:is>
      </x:c>
      <x:c r="D471" s="31" t="inlineStr">
        <x:is>
          <x:t xml:space="preserve">Торцевое уплотнение / исп.2</x:t>
        </x:is>
      </x:c>
      <x:c r="E471" s="31" t="inlineStr">
        <x:is>
          <x:t xml:space="preserve">Насосы</x:t>
        </x:is>
      </x:c>
      <x:c r="F471" s="31" t="n">
        <x:v>6.17</x:v>
      </x:c>
      <x:c r="G471" s="31" t="inlineStr">
        <x:is>
          <x:t xml:space="preserve">шт</x:t>
        </x:is>
      </x:c>
      <x:c r="H471" s="31" t="inlineStr">
        <x:is>
          <x:t xml:space="preserve">Обязательный</x:t>
        </x:is>
      </x:c>
      <x:c r="I471" s="31" t="inlineStr">
        <x:is>
          <x:t xml:space="preserve">ГЗ-НАС-9</x:t>
        </x:is>
      </x:c>
      <x:c r="J471" s="31" t="inlineStr">
        <x:is>
          <x:t xml:space="preserve">Нет</x:t>
        </x:is>
      </x:c>
    </x:row>
    <x:row r="472">
      <x:c r="A472" s="31" t="inlineStr">
        <x:is>
          <x:t xml:space="preserve">СОСТ-00471</x:t>
        </x:is>
      </x:c>
      <x:c r="B472" s="31" t="inlineStr">
        <x:is>
          <x:t xml:space="preserve">ИЗД-032</x:t>
        </x:is>
      </x:c>
      <x:c r="C472" s="31" t="inlineStr">
        <x:is>
          <x:t xml:space="preserve">МАТ-0015</x:t>
        </x:is>
      </x:c>
      <x:c r="D472" s="31" t="inlineStr">
        <x:is>
          <x:t xml:space="preserve">Насос центробежный 15 кВт</x:t>
        </x:is>
      </x:c>
      <x:c r="E472" s="31" t="inlineStr">
        <x:is>
          <x:t xml:space="preserve">Насосы</x:t>
        </x:is>
      </x:c>
      <x:c r="F472" s="31" t="n">
        <x:v>4.65</x:v>
      </x:c>
      <x:c r="G472" s="31" t="inlineStr">
        <x:is>
          <x:t xml:space="preserve">шт</x:t>
        </x:is>
      </x:c>
      <x:c r="H472" s="31" t="inlineStr">
        <x:is>
          <x:t xml:space="preserve">Замена</x:t>
        </x:is>
      </x:c>
      <x:c r="I472" s="31" t="inlineStr">
        <x:is>
          <x:t xml:space="preserve">ГЗ-НАС-2</x:t>
        </x:is>
      </x:c>
      <x:c r="J472" s="31" t="inlineStr">
        <x:is>
          <x:t xml:space="preserve">Нет</x:t>
        </x:is>
      </x:c>
    </x:row>
    <x:row r="473">
      <x:c r="A473" s="31" t="inlineStr">
        <x:is>
          <x:t xml:space="preserve">СОСТ-00472</x:t>
        </x:is>
      </x:c>
      <x:c r="B473" s="31" t="inlineStr">
        <x:is>
          <x:t xml:space="preserve">ИЗД-032</x:t>
        </x:is>
      </x:c>
      <x:c r="C473" s="31" t="inlineStr">
        <x:is>
          <x:t xml:space="preserve">МАТ-0019</x:t>
        </x:is>
      </x:c>
      <x:c r="D473" s="31" t="inlineStr">
        <x:is>
          <x:t xml:space="preserve">Насос дозировочный</x:t>
        </x:is>
      </x:c>
      <x:c r="E473" s="31" t="inlineStr">
        <x:is>
          <x:t xml:space="preserve">Насосы</x:t>
        </x:is>
      </x:c>
      <x:c r="F473" s="31" t="n">
        <x:v>6.25</x:v>
      </x:c>
      <x:c r="G473" s="31" t="inlineStr">
        <x:is>
          <x:t xml:space="preserve">шт</x:t>
        </x:is>
      </x:c>
      <x:c r="H473" s="31" t="inlineStr">
        <x:is>
          <x:t xml:space="preserve">Обязательный</x:t>
        </x:is>
      </x:c>
      <x:c r="I473" s="31" t="inlineStr">
        <x:is>
          <x:t xml:space="preserve">ГЗ-НАС-2</x:t>
        </x:is>
      </x:c>
      <x:c r="J473" s="31" t="inlineStr">
        <x:is>
          <x:t xml:space="preserve">Нет</x:t>
        </x:is>
      </x:c>
    </x:row>
    <x:row r="474">
      <x:c r="A474" s="31" t="inlineStr">
        <x:is>
          <x:t xml:space="preserve">СОСТ-00473</x:t>
        </x:is>
      </x:c>
      <x:c r="B474" s="31" t="inlineStr">
        <x:is>
          <x:t xml:space="preserve">ИЗД-032</x:t>
        </x:is>
      </x:c>
      <x:c r="C474" s="31" t="inlineStr">
        <x:is>
          <x:t xml:space="preserve">МАТ-0032</x:t>
        </x:is>
      </x:c>
      <x:c r="D474" s="31" t="inlineStr">
        <x:is>
          <x:t xml:space="preserve">Датчик температуры Пт100</x:t>
        </x:is>
      </x:c>
      <x:c r="E474" s="31" t="inlineStr">
        <x:is>
          <x:t xml:space="preserve">КИПиА</x:t>
        </x:is>
      </x:c>
      <x:c r="F474" s="31" t="n">
        <x:v>2.44</x:v>
      </x:c>
      <x:c r="G474" s="31" t="inlineStr">
        <x:is>
          <x:t xml:space="preserve">шт</x:t>
        </x:is>
      </x:c>
      <x:c r="H474" s="31" t="inlineStr">
        <x:is>
          <x:t xml:space="preserve">Обязательный</x:t>
        </x:is>
      </x:c>
      <x:c r="I474" s="31" t="inlineStr">
        <x:is>
          <x:t xml:space="preserve">ГЗ-КИП-8</x:t>
        </x:is>
      </x:c>
      <x:c r="J474" s="31" t="inlineStr">
        <x:is>
          <x:t xml:space="preserve">Нет</x:t>
        </x:is>
      </x:c>
    </x:row>
    <x:row r="475">
      <x:c r="A475" s="31" t="inlineStr">
        <x:is>
          <x:t xml:space="preserve">СОСТ-00474</x:t>
        </x:is>
      </x:c>
      <x:c r="B475" s="31" t="inlineStr">
        <x:is>
          <x:t xml:space="preserve">ИЗД-032</x:t>
        </x:is>
      </x:c>
      <x:c r="C475" s="31" t="inlineStr">
        <x:is>
          <x:t xml:space="preserve">МАТ-0032</x:t>
        </x:is>
      </x:c>
      <x:c r="D475" s="31" t="inlineStr">
        <x:is>
          <x:t xml:space="preserve">Датчик температуры Пт100</x:t>
        </x:is>
      </x:c>
      <x:c r="E475" s="31" t="inlineStr">
        <x:is>
          <x:t xml:space="preserve">КИПиА</x:t>
        </x:is>
      </x:c>
      <x:c r="F475" s="31" t="n">
        <x:v>6.61</x:v>
      </x:c>
      <x:c r="G475" s="31" t="inlineStr">
        <x:is>
          <x:t xml:space="preserve">шт</x:t>
        </x:is>
      </x:c>
      <x:c r="H475" s="31" t="inlineStr">
        <x:is>
          <x:t xml:space="preserve">Обязательный</x:t>
        </x:is>
      </x:c>
      <x:c r="I475" s="31" t="inlineStr">
        <x:is>
          <x:t xml:space="preserve">ГЗ-КИП-8</x:t>
        </x:is>
      </x:c>
      <x:c r="J475" s="31" t="inlineStr">
        <x:is>
          <x:t xml:space="preserve">Нет</x:t>
        </x:is>
      </x:c>
    </x:row>
    <x:row r="476">
      <x:c r="A476" s="31" t="inlineStr">
        <x:is>
          <x:t xml:space="preserve">СОСТ-00475</x:t>
        </x:is>
      </x:c>
      <x:c r="B476" s="31" t="inlineStr">
        <x:is>
          <x:t xml:space="preserve">ИЗД-032</x:t>
        </x:is>
      </x:c>
      <x:c r="C476" s="31" t="inlineStr">
        <x:is>
          <x:t xml:space="preserve">МАТ-0059</x:t>
        </x:is>
      </x:c>
      <x:c r="D476" s="31" t="inlineStr">
        <x:is>
          <x:t xml:space="preserve">Фильтр сетчатый Ду50</x:t>
        </x:is>
      </x:c>
      <x:c r="E476" s="31" t="inlineStr">
        <x:is>
          <x:t xml:space="preserve">Запорная арматура</x:t>
        </x:is>
      </x:c>
      <x:c r="F476" s="31" t="n">
        <x:v>3.25</x:v>
      </x:c>
      <x:c r="G476" s="31" t="inlineStr">
        <x:is>
          <x:t xml:space="preserve">шт</x:t>
        </x:is>
      </x:c>
      <x:c r="H476" s="31" t="inlineStr">
        <x:is>
          <x:t xml:space="preserve">Обязательный</x:t>
        </x:is>
      </x:c>
      <x:c r="I476" s="31" t="inlineStr">
        <x:is>
          <x:t xml:space="preserve">ГЗ-ЗАП-3</x:t>
        </x:is>
      </x:c>
      <x:c r="J476" s="31" t="inlineStr">
        <x:is>
          <x:t xml:space="preserve">Да</x:t>
        </x:is>
      </x:c>
    </x:row>
    <x:row r="477">
      <x:c r="A477" s="31" t="inlineStr">
        <x:is>
          <x:t xml:space="preserve">СОСТ-00476</x:t>
        </x:is>
      </x:c>
      <x:c r="B477" s="31" t="inlineStr">
        <x:is>
          <x:t xml:space="preserve">ИЗД-032</x:t>
        </x:is>
      </x:c>
      <x:c r="C477" s="31" t="inlineStr">
        <x:is>
          <x:t xml:space="preserve">МАТ-0058</x:t>
        </x:is>
      </x:c>
      <x:c r="D477" s="31" t="inlineStr">
        <x:is>
          <x:t xml:space="preserve">Задвижка Ду100 / исп.3</x:t>
        </x:is>
      </x:c>
      <x:c r="E477" s="31" t="inlineStr">
        <x:is>
          <x:t xml:space="preserve">Запорная арматура</x:t>
        </x:is>
      </x:c>
      <x:c r="F477" s="31" t="n">
        <x:v>1.49</x:v>
      </x:c>
      <x:c r="G477" s="31" t="inlineStr">
        <x:is>
          <x:t xml:space="preserve">шт</x:t>
        </x:is>
      </x:c>
      <x:c r="H477" s="31" t="inlineStr">
        <x:is>
          <x:t xml:space="preserve">Обязательный</x:t>
        </x:is>
      </x:c>
      <x:c r="I477" s="31" t="inlineStr">
        <x:is>
          <x:t xml:space="preserve">ГЗ-ЗАП-2</x:t>
        </x:is>
      </x:c>
      <x:c r="J477" s="31" t="inlineStr">
        <x:is>
          <x:t xml:space="preserve">Нет</x:t>
        </x:is>
      </x:c>
    </x:row>
    <x:row r="478">
      <x:c r="A478" s="31" t="inlineStr">
        <x:is>
          <x:t xml:space="preserve">СОСТ-00477</x:t>
        </x:is>
      </x:c>
      <x:c r="B478" s="31" t="inlineStr">
        <x:is>
          <x:t xml:space="preserve">ИЗД-032</x:t>
        </x:is>
      </x:c>
      <x:c r="C478" s="31" t="inlineStr">
        <x:is>
          <x:t xml:space="preserve">МАТ-0078</x:t>
        </x:is>
      </x:c>
      <x:c r="D478" s="31" t="inlineStr">
        <x:is>
          <x:t xml:space="preserve">Гайка М12</x:t>
        </x:is>
      </x:c>
      <x:c r="E478" s="31" t="inlineStr">
        <x:is>
          <x:t xml:space="preserve">Крепеж</x:t>
        </x:is>
      </x:c>
      <x:c r="F478" s="31" t="n">
        <x:v>1.88</x:v>
      </x:c>
      <x:c r="G478" s="31" t="inlineStr">
        <x:is>
          <x:t xml:space="preserve">шт</x:t>
        </x:is>
      </x:c>
      <x:c r="H478" s="31" t="inlineStr">
        <x:is>
          <x:t xml:space="preserve">Обязательный</x:t>
        </x:is>
      </x:c>
      <x:c r="I478" s="31" t="inlineStr">
        <x:is>
          <x:t xml:space="preserve">ГЗ-КРЕ-9</x:t>
        </x:is>
      </x:c>
      <x:c r="J478" s="31" t="inlineStr">
        <x:is>
          <x:t xml:space="preserve">Нет</x:t>
        </x:is>
      </x:c>
    </x:row>
    <x:row r="479">
      <x:c r="A479" s="31" t="inlineStr">
        <x:is>
          <x:t xml:space="preserve">СОСТ-00478</x:t>
        </x:is>
      </x:c>
      <x:c r="B479" s="31" t="inlineStr">
        <x:is>
          <x:t xml:space="preserve">ИЗД-032</x:t>
        </x:is>
      </x:c>
      <x:c r="C479" s="31" t="inlineStr">
        <x:is>
          <x:t xml:space="preserve">МАТ-0085</x:t>
        </x:is>
      </x:c>
      <x:c r="D479" s="31" t="inlineStr">
        <x:is>
          <x:t xml:space="preserve">Пленка стрейч</x:t>
        </x:is>
      </x:c>
      <x:c r="E479" s="31" t="inlineStr">
        <x:is>
          <x:t xml:space="preserve">Упаковка</x:t>
        </x:is>
      </x:c>
      <x:c r="F479" s="31" t="n">
        <x:v>4.55</x:v>
      </x:c>
      <x:c r="G479" s="31" t="inlineStr">
        <x:is>
          <x:t xml:space="preserve">шт</x:t>
        </x:is>
      </x:c>
      <x:c r="H479" s="31" t="inlineStr">
        <x:is>
          <x:t xml:space="preserve">Обязательный</x:t>
        </x:is>
      </x:c>
      <x:c r="I479" s="31" t="inlineStr">
        <x:is>
          <x:t xml:space="preserve">ГЗ-УПА-5</x:t>
        </x:is>
      </x:c>
      <x:c r="J479" s="31" t="inlineStr">
        <x:is>
          <x:t xml:space="preserve">Нет</x:t>
        </x:is>
      </x:c>
    </x:row>
    <x:row r="480">
      <x:c r="A480" s="31" t="inlineStr">
        <x:is>
          <x:t xml:space="preserve">СОСТ-00479</x:t>
        </x:is>
      </x:c>
      <x:c r="B480" s="31" t="inlineStr">
        <x:is>
          <x:t xml:space="preserve">ИЗД-033</x:t>
        </x:is>
      </x:c>
      <x:c r="C480" s="31" t="inlineStr">
        <x:is>
          <x:t xml:space="preserve">МАТ-0012</x:t>
        </x:is>
      </x:c>
      <x:c r="D480" s="31" t="inlineStr">
        <x:is>
          <x:t xml:space="preserve">Фланец Ду80 Ру16</x:t>
        </x:is>
      </x:c>
      <x:c r="E480" s="31" t="inlineStr">
        <x:is>
          <x:t xml:space="preserve">Металл</x:t>
        </x:is>
      </x:c>
      <x:c r="F480" s="31" t="n">
        <x:v>35.07</x:v>
      </x:c>
      <x:c r="G480" s="31" t="inlineStr">
        <x:is>
          <x:t xml:space="preserve">л</x:t>
        </x:is>
      </x:c>
      <x:c r="H480" s="31" t="inlineStr">
        <x:is>
          <x:t xml:space="preserve">Обязательный</x:t>
        </x:is>
      </x:c>
      <x:c r="I480" s="31" t="inlineStr">
        <x:is>
          <x:t xml:space="preserve">ГЗ-МЕТ-9</x:t>
        </x:is>
      </x:c>
      <x:c r="J480" s="31" t="inlineStr">
        <x:is>
          <x:t xml:space="preserve">Нет</x:t>
        </x:is>
      </x:c>
    </x:row>
    <x:row r="481">
      <x:c r="A481" s="31" t="inlineStr">
        <x:is>
          <x:t xml:space="preserve">СОСТ-00480</x:t>
        </x:is>
      </x:c>
      <x:c r="B481" s="31" t="inlineStr">
        <x:is>
          <x:t xml:space="preserve">ИЗД-033</x:t>
        </x:is>
      </x:c>
      <x:c r="C481" s="31" t="inlineStr">
        <x:is>
          <x:t xml:space="preserve">МАТ-0022</x:t>
        </x:is>
      </x:c>
      <x:c r="D481" s="31" t="inlineStr">
        <x:is>
          <x:t xml:space="preserve">Торцевое уплотнение / исп.2</x:t>
        </x:is>
      </x:c>
      <x:c r="E481" s="31" t="inlineStr">
        <x:is>
          <x:t xml:space="preserve">Насосы</x:t>
        </x:is>
      </x:c>
      <x:c r="F481" s="31" t="n">
        <x:v>7.77</x:v>
      </x:c>
      <x:c r="G481" s="31" t="inlineStr">
        <x:is>
          <x:t xml:space="preserve">шт</x:t>
        </x:is>
      </x:c>
      <x:c r="H481" s="31" t="inlineStr">
        <x:is>
          <x:t xml:space="preserve">Обязательный</x:t>
        </x:is>
      </x:c>
      <x:c r="I481" s="31" t="inlineStr">
        <x:is>
          <x:t xml:space="preserve">ГЗ-НАС-9</x:t>
        </x:is>
      </x:c>
      <x:c r="J481" s="31" t="inlineStr">
        <x:is>
          <x:t xml:space="preserve">Нет</x:t>
        </x:is>
      </x:c>
    </x:row>
    <x:row r="482">
      <x:c r="A482" s="31" t="inlineStr">
        <x:is>
          <x:t xml:space="preserve">СОСТ-00481</x:t>
        </x:is>
      </x:c>
      <x:c r="B482" s="31" t="inlineStr">
        <x:is>
          <x:t xml:space="preserve">ИЗД-033</x:t>
        </x:is>
      </x:c>
      <x:c r="C482" s="31" t="inlineStr">
        <x:is>
          <x:t xml:space="preserve">МАТ-0022</x:t>
        </x:is>
      </x:c>
      <x:c r="D482" s="31" t="inlineStr">
        <x:is>
          <x:t xml:space="preserve">Торцевое уплотнение / исп.2</x:t>
        </x:is>
      </x:c>
      <x:c r="E482" s="31" t="inlineStr">
        <x:is>
          <x:t xml:space="preserve">Насосы</x:t>
        </x:is>
      </x:c>
      <x:c r="F482" s="31" t="n">
        <x:v>1.56</x:v>
      </x:c>
      <x:c r="G482" s="31" t="inlineStr">
        <x:is>
          <x:t xml:space="preserve">шт</x:t>
        </x:is>
      </x:c>
      <x:c r="H482" s="31" t="inlineStr">
        <x:is>
          <x:t xml:space="preserve">Замена</x:t>
        </x:is>
      </x:c>
      <x:c r="I482" s="31" t="inlineStr">
        <x:is>
          <x:t xml:space="preserve">ГЗ-НАС-9</x:t>
        </x:is>
      </x:c>
      <x:c r="J482" s="31" t="inlineStr">
        <x:is>
          <x:t xml:space="preserve">Нет</x:t>
        </x:is>
      </x:c>
    </x:row>
    <x:row r="483">
      <x:c r="A483" s="31" t="inlineStr">
        <x:is>
          <x:t xml:space="preserve">СОСТ-00482</x:t>
        </x:is>
      </x:c>
      <x:c r="B483" s="31" t="inlineStr">
        <x:is>
          <x:t xml:space="preserve">ИЗД-033</x:t>
        </x:is>
      </x:c>
      <x:c r="C483" s="31" t="inlineStr">
        <x:is>
          <x:t xml:space="preserve">МАТ-0017</x:t>
        </x:is>
      </x:c>
      <x:c r="D483" s="31" t="inlineStr">
        <x:is>
          <x:t xml:space="preserve">Насос шестеренный 7.5 кВт</x:t>
        </x:is>
      </x:c>
      <x:c r="E483" s="31" t="inlineStr">
        <x:is>
          <x:t xml:space="preserve">Насосы</x:t>
        </x:is>
      </x:c>
      <x:c r="F483" s="31" t="n">
        <x:v>4.29</x:v>
      </x:c>
      <x:c r="G483" s="31" t="inlineStr">
        <x:is>
          <x:t xml:space="preserve">шт</x:t>
        </x:is>
      </x:c>
      <x:c r="H483" s="31" t="inlineStr">
        <x:is>
          <x:t xml:space="preserve">Обязательный</x:t>
        </x:is>
      </x:c>
      <x:c r="I483" s="31" t="inlineStr">
        <x:is>
          <x:t xml:space="preserve">ГЗ-НАС-8</x:t>
        </x:is>
      </x:c>
      <x:c r="J483" s="31" t="inlineStr">
        <x:is>
          <x:t xml:space="preserve">Нет</x:t>
        </x:is>
      </x:c>
    </x:row>
    <x:row r="484">
      <x:c r="A484" s="31" t="inlineStr">
        <x:is>
          <x:t xml:space="preserve">СОСТ-00483</x:t>
        </x:is>
      </x:c>
      <x:c r="B484" s="31" t="inlineStr">
        <x:is>
          <x:t xml:space="preserve">ИЗД-033</x:t>
        </x:is>
      </x:c>
      <x:c r="C484" s="31" t="inlineStr">
        <x:is>
          <x:t xml:space="preserve">МАТ-0026</x:t>
        </x:is>
      </x:c>
      <x:c r="D484" s="31" t="inlineStr">
        <x:is>
          <x:t xml:space="preserve">Двигатель 15 кВт</x:t>
        </x:is>
      </x:c>
      <x:c r="E484" s="31" t="inlineStr">
        <x:is>
          <x:t xml:space="preserve">Электродвигатели</x:t>
        </x:is>
      </x:c>
      <x:c r="F484" s="31" t="n">
        <x:v>6.74</x:v>
      </x:c>
      <x:c r="G484" s="31" t="inlineStr">
        <x:is>
          <x:t xml:space="preserve">шт</x:t>
        </x:is>
      </x:c>
      <x:c r="H484" s="31" t="inlineStr">
        <x:is>
          <x:t xml:space="preserve">Обязательный</x:t>
        </x:is>
      </x:c>
      <x:c r="I484" s="31" t="inlineStr">
        <x:is>
          <x:t xml:space="preserve">ГЗ-ЭЛЕ-1</x:t>
        </x:is>
      </x:c>
      <x:c r="J484" s="31" t="inlineStr">
        <x:is>
          <x:t xml:space="preserve">Да</x:t>
        </x:is>
      </x:c>
    </x:row>
    <x:row r="485">
      <x:c r="A485" s="31" t="inlineStr">
        <x:is>
          <x:t xml:space="preserve">СОСТ-00484</x:t>
        </x:is>
      </x:c>
      <x:c r="B485" s="31" t="inlineStr">
        <x:is>
          <x:t xml:space="preserve">ИЗД-033</x:t>
        </x:is>
      </x:c>
      <x:c r="C485" s="31" t="inlineStr">
        <x:is>
          <x:t xml:space="preserve">МАТ-0028</x:t>
        </x:is>
      </x:c>
      <x:c r="D485" s="31" t="inlineStr">
        <x:is>
          <x:t xml:space="preserve">Частотный преобразователь 15 кВт</x:t>
        </x:is>
      </x:c>
      <x:c r="E485" s="31" t="inlineStr">
        <x:is>
          <x:t xml:space="preserve">Электродвигатели</x:t>
        </x:is>
      </x:c>
      <x:c r="F485" s="31" t="n">
        <x:v>3.99</x:v>
      </x:c>
      <x:c r="G485" s="31" t="inlineStr">
        <x:is>
          <x:t xml:space="preserve">шт</x:t>
        </x:is>
      </x:c>
      <x:c r="H485" s="31" t="inlineStr">
        <x:is>
          <x:t xml:space="preserve">Обязательный</x:t>
        </x:is>
      </x:c>
      <x:c r="I485" s="31" t="inlineStr">
        <x:is>
          <x:t xml:space="preserve">ГЗ-ЭЛЕ-3</x:t>
        </x:is>
      </x:c>
      <x:c r="J485" s="31" t="inlineStr">
        <x:is>
          <x:t xml:space="preserve">Нет</x:t>
        </x:is>
      </x:c>
    </x:row>
    <x:row r="486">
      <x:c r="A486" s="31" t="inlineStr">
        <x:is>
          <x:t xml:space="preserve">СОСТ-00485</x:t>
        </x:is>
      </x:c>
      <x:c r="B486" s="31" t="inlineStr">
        <x:is>
          <x:t xml:space="preserve">ИЗД-033</x:t>
        </x:is>
      </x:c>
      <x:c r="C486" s="31" t="inlineStr">
        <x:is>
          <x:t xml:space="preserve">МАТ-0035</x:t>
        </x:is>
      </x:c>
      <x:c r="D486" s="31" t="inlineStr">
        <x:is>
          <x:t xml:space="preserve">Клапан электромагнитный 24В</x:t>
        </x:is>
      </x:c>
      <x:c r="E486" s="31" t="inlineStr">
        <x:is>
          <x:t xml:space="preserve">КИПиА</x:t>
        </x:is>
      </x:c>
      <x:c r="F486" s="31" t="n">
        <x:v>4.76</x:v>
      </x:c>
      <x:c r="G486" s="31" t="inlineStr">
        <x:is>
          <x:t xml:space="preserve">шт</x:t>
        </x:is>
      </x:c>
      <x:c r="H486" s="31" t="inlineStr">
        <x:is>
          <x:t xml:space="preserve">Обязательный</x:t>
        </x:is>
      </x:c>
      <x:c r="I486" s="31" t="inlineStr">
        <x:is>
          <x:t xml:space="preserve">ГЗ-КИП-7</x:t>
        </x:is>
      </x:c>
      <x:c r="J486" s="31" t="inlineStr">
        <x:is>
          <x:t xml:space="preserve">Нет</x:t>
        </x:is>
      </x:c>
    </x:row>
    <x:row r="487">
      <x:c r="A487" s="31" t="inlineStr">
        <x:is>
          <x:t xml:space="preserve">СОСТ-00486</x:t>
        </x:is>
      </x:c>
      <x:c r="B487" s="31" t="inlineStr">
        <x:is>
          <x:t xml:space="preserve">ИЗД-033</x:t>
        </x:is>
      </x:c>
      <x:c r="C487" s="31" t="inlineStr">
        <x:is>
          <x:t xml:space="preserve">МАТ-0034</x:t>
        </x:is>
      </x:c>
      <x:c r="D487" s="31" t="inlineStr">
        <x:is>
          <x:t xml:space="preserve">Манометр виброустойчивый</x:t>
        </x:is>
      </x:c>
      <x:c r="E487" s="31" t="inlineStr">
        <x:is>
          <x:t xml:space="preserve">КИПиА</x:t>
        </x:is>
      </x:c>
      <x:c r="F487" s="31" t="n">
        <x:v>4.25</x:v>
      </x:c>
      <x:c r="G487" s="31" t="inlineStr">
        <x:is>
          <x:t xml:space="preserve">шт</x:t>
        </x:is>
      </x:c>
      <x:c r="H487" s="31" t="inlineStr">
        <x:is>
          <x:t xml:space="preserve">Обязательный</x:t>
        </x:is>
      </x:c>
      <x:c r="I487" s="31" t="inlineStr">
        <x:is>
          <x:t xml:space="preserve">ГЗ-КИП-3</x:t>
        </x:is>
      </x:c>
      <x:c r="J487" s="31" t="inlineStr">
        <x:is>
          <x:t xml:space="preserve">Нет</x:t>
        </x:is>
      </x:c>
    </x:row>
    <x:row r="488">
      <x:c r="A488" s="31" t="inlineStr">
        <x:is>
          <x:t xml:space="preserve">СОСТ-00487</x:t>
        </x:is>
      </x:c>
      <x:c r="B488" s="31" t="inlineStr">
        <x:is>
          <x:t xml:space="preserve">ИЗД-033</x:t>
        </x:is>
      </x:c>
      <x:c r="C488" s="31" t="inlineStr">
        <x:is>
          <x:t xml:space="preserve">МАТ-0058</x:t>
        </x:is>
      </x:c>
      <x:c r="D488" s="31" t="inlineStr">
        <x:is>
          <x:t xml:space="preserve">Задвижка Ду100 / исп.3</x:t>
        </x:is>
      </x:c>
      <x:c r="E488" s="31" t="inlineStr">
        <x:is>
          <x:t xml:space="preserve">Запорная арматура</x:t>
        </x:is>
      </x:c>
      <x:c r="F488" s="31" t="n">
        <x:v>1.5</x:v>
      </x:c>
      <x:c r="G488" s="31" t="inlineStr">
        <x:is>
          <x:t xml:space="preserve">шт</x:t>
        </x:is>
      </x:c>
      <x:c r="H488" s="31" t="inlineStr">
        <x:is>
          <x:t xml:space="preserve">Обязательный</x:t>
        </x:is>
      </x:c>
      <x:c r="I488" s="31" t="inlineStr">
        <x:is>
          <x:t xml:space="preserve">ГЗ-ЗАП-2</x:t>
        </x:is>
      </x:c>
      <x:c r="J488" s="31" t="inlineStr">
        <x:is>
          <x:t xml:space="preserve">Нет</x:t>
        </x:is>
      </x:c>
    </x:row>
    <x:row r="489">
      <x:c r="A489" s="31" t="inlineStr">
        <x:is>
          <x:t xml:space="preserve">СОСТ-00488</x:t>
        </x:is>
      </x:c>
      <x:c r="B489" s="31" t="inlineStr">
        <x:is>
          <x:t xml:space="preserve">ИЗД-033</x:t>
        </x:is>
      </x:c>
      <x:c r="C489" s="31" t="inlineStr">
        <x:is>
          <x:t xml:space="preserve">МАТ-0053</x:t>
        </x:is>
      </x:c>
      <x:c r="D489" s="31" t="inlineStr">
        <x:is>
          <x:t xml:space="preserve">Кран шаровой Ду50 / исп.3</x:t>
        </x:is>
      </x:c>
      <x:c r="E489" s="31" t="inlineStr">
        <x:is>
          <x:t xml:space="preserve">Запорная арматура</x:t>
        </x:is>
      </x:c>
      <x:c r="F489" s="31" t="n">
        <x:v>7.41</x:v>
      </x:c>
      <x:c r="G489" s="31" t="inlineStr">
        <x:is>
          <x:t xml:space="preserve">шт</x:t>
        </x:is>
      </x:c>
      <x:c r="H489" s="31" t="inlineStr">
        <x:is>
          <x:t xml:space="preserve">Обязательный</x:t>
        </x:is>
      </x:c>
      <x:c r="I489" s="31" t="inlineStr">
        <x:is>
          <x:t xml:space="preserve">ГЗ-ЗАП-6</x:t>
        </x:is>
      </x:c>
      <x:c r="J489" s="31" t="inlineStr">
        <x:is>
          <x:t xml:space="preserve">Нет</x:t>
        </x:is>
      </x:c>
    </x:row>
    <x:row r="490">
      <x:c r="A490" s="31" t="inlineStr">
        <x:is>
          <x:t xml:space="preserve">СОСТ-00489</x:t>
        </x:is>
      </x:c>
      <x:c r="B490" s="31" t="inlineStr">
        <x:is>
          <x:t xml:space="preserve">ИЗД-033</x:t>
        </x:is>
      </x:c>
      <x:c r="C490" s="31" t="inlineStr">
        <x:is>
          <x:t xml:space="preserve">МАТ-0056</x:t>
        </x:is>
      </x:c>
      <x:c r="D490" s="31" t="inlineStr">
        <x:is>
          <x:t xml:space="preserve">Задвижка Ду100</x:t>
        </x:is>
      </x:c>
      <x:c r="E490" s="31" t="inlineStr">
        <x:is>
          <x:t xml:space="preserve">Запорная арматура</x:t>
        </x:is>
      </x:c>
      <x:c r="F490" s="31" t="n">
        <x:v>4.44</x:v>
      </x:c>
      <x:c r="G490" s="31" t="inlineStr">
        <x:is>
          <x:t xml:space="preserve">шт</x:t>
        </x:is>
      </x:c>
      <x:c r="H490" s="31" t="inlineStr">
        <x:is>
          <x:t xml:space="preserve">Опция</x:t>
        </x:is>
      </x:c>
      <x:c r="I490" s="31" t="inlineStr">
        <x:is>
          <x:t xml:space="preserve">ГЗ-ЗАП-4</x:t>
        </x:is>
      </x:c>
      <x:c r="J490" s="31" t="inlineStr">
        <x:is>
          <x:t xml:space="preserve">Нет</x:t>
        </x:is>
      </x:c>
    </x:row>
    <x:row r="491">
      <x:c r="A491" s="31" t="inlineStr">
        <x:is>
          <x:t xml:space="preserve">СОСТ-00490</x:t>
        </x:is>
      </x:c>
      <x:c r="B491" s="31" t="inlineStr">
        <x:is>
          <x:t xml:space="preserve">ИЗД-033</x:t>
        </x:is>
      </x:c>
      <x:c r="C491" s="31" t="inlineStr">
        <x:is>
          <x:t xml:space="preserve">МАТ-0064</x:t>
        </x:is>
      </x:c>
      <x:c r="D491" s="31" t="inlineStr">
        <x:is>
          <x:t xml:space="preserve">Кабель ВВГнг 3×2.5 / исп.2</x:t>
        </x:is>
      </x:c>
      <x:c r="E491" s="31" t="inlineStr">
        <x:is>
          <x:t xml:space="preserve">Кабель</x:t>
        </x:is>
      </x:c>
      <x:c r="F491" s="31" t="n">
        <x:v>3.69</x:v>
      </x:c>
      <x:c r="G491" s="31" t="inlineStr">
        <x:is>
          <x:t xml:space="preserve">шт</x:t>
        </x:is>
      </x:c>
      <x:c r="H491" s="31" t="inlineStr">
        <x:is>
          <x:t xml:space="preserve">Обязательный</x:t>
        </x:is>
      </x:c>
      <x:c r="I491" s="31" t="inlineStr">
        <x:is>
          <x:t xml:space="preserve">ГЗ-КАБ-7</x:t>
        </x:is>
      </x:c>
      <x:c r="J491" s="31" t="inlineStr">
        <x:is>
          <x:t xml:space="preserve">Нет</x:t>
        </x:is>
      </x:c>
    </x:row>
    <x:row r="492">
      <x:c r="A492" s="31" t="inlineStr">
        <x:is>
          <x:t xml:space="preserve">СОСТ-00491</x:t>
        </x:is>
      </x:c>
      <x:c r="B492" s="31" t="inlineStr">
        <x:is>
          <x:t xml:space="preserve">ИЗД-033</x:t>
        </x:is>
      </x:c>
      <x:c r="C492" s="31" t="inlineStr">
        <x:is>
          <x:t xml:space="preserve">МАТ-0062</x:t>
        </x:is>
      </x:c>
      <x:c r="D492" s="31" t="inlineStr">
        <x:is>
          <x:t xml:space="preserve">Кабель КВВГ 4×1.5</x:t>
        </x:is>
      </x:c>
      <x:c r="E492" s="31" t="inlineStr">
        <x:is>
          <x:t xml:space="preserve">Кабель</x:t>
        </x:is>
      </x:c>
      <x:c r="F492" s="31" t="n">
        <x:v>5.03</x:v>
      </x:c>
      <x:c r="G492" s="31" t="inlineStr">
        <x:is>
          <x:t xml:space="preserve">м</x:t>
        </x:is>
      </x:c>
      <x:c r="H492" s="31" t="inlineStr">
        <x:is>
          <x:t xml:space="preserve">Опция</x:t>
        </x:is>
      </x:c>
      <x:c r="I492" s="31" t="inlineStr">
        <x:is>
          <x:t xml:space="preserve">ГЗ-КАБ-9</x:t>
        </x:is>
      </x:c>
      <x:c r="J492" s="31" t="inlineStr">
        <x:is>
          <x:t xml:space="preserve">Нет</x:t>
        </x:is>
      </x:c>
    </x:row>
    <x:row r="493">
      <x:c r="A493" s="31" t="inlineStr">
        <x:is>
          <x:t xml:space="preserve">СОСТ-00492</x:t>
        </x:is>
      </x:c>
      <x:c r="B493" s="31" t="inlineStr">
        <x:is>
          <x:t xml:space="preserve">ИЗД-033</x:t>
        </x:is>
      </x:c>
      <x:c r="C493" s="31" t="inlineStr">
        <x:is>
          <x:t xml:space="preserve">МАТ-0066</x:t>
        </x:is>
      </x:c>
      <x:c r="D493" s="31" t="inlineStr">
        <x:is>
          <x:t xml:space="preserve">Гофра металлическая / исп.2</x:t>
        </x:is>
      </x:c>
      <x:c r="E493" s="31" t="inlineStr">
        <x:is>
          <x:t xml:space="preserve">Кабель</x:t>
        </x:is>
      </x:c>
      <x:c r="F493" s="31" t="n">
        <x:v>61.51</x:v>
      </x:c>
      <x:c r="G493" s="31" t="inlineStr">
        <x:is>
          <x:t xml:space="preserve">кг</x:t>
        </x:is>
      </x:c>
      <x:c r="H493" s="31" t="inlineStr">
        <x:is>
          <x:t xml:space="preserve">Опция</x:t>
        </x:is>
      </x:c>
      <x:c r="I493" s="31" t="inlineStr">
        <x:is>
          <x:t xml:space="preserve">ГЗ-КАБ-8</x:t>
        </x:is>
      </x:c>
      <x:c r="J493" s="31" t="inlineStr">
        <x:is>
          <x:t xml:space="preserve">Нет</x:t>
        </x:is>
      </x:c>
    </x:row>
    <x:row r="494">
      <x:c r="A494" s="31" t="inlineStr">
        <x:is>
          <x:t xml:space="preserve">СОСТ-00493</x:t>
        </x:is>
      </x:c>
      <x:c r="B494" s="31" t="inlineStr">
        <x:is>
          <x:t xml:space="preserve">ИЗД-033</x:t>
        </x:is>
      </x:c>
      <x:c r="C494" s="31" t="inlineStr">
        <x:is>
          <x:t xml:space="preserve">МАТ-0043</x:t>
        </x:is>
      </x:c>
      <x:c r="D494" s="31" t="inlineStr">
        <x:is>
          <x:t xml:space="preserve">Блок питания 24В</x:t>
        </x:is>
      </x:c>
      <x:c r="E494" s="31" t="inlineStr">
        <x:is>
          <x:t xml:space="preserve">ПЛК/электрика</x:t>
        </x:is>
      </x:c>
      <x:c r="F494" s="31" t="n">
        <x:v>4.57</x:v>
      </x:c>
      <x:c r="G494" s="31" t="inlineStr">
        <x:is>
          <x:t xml:space="preserve">шт</x:t>
        </x:is>
      </x:c>
      <x:c r="H494" s="31" t="inlineStr">
        <x:is>
          <x:t xml:space="preserve">Обязательный</x:t>
        </x:is>
      </x:c>
      <x:c r="I494" s="31" t="inlineStr">
        <x:is>
          <x:t xml:space="preserve">ГЗ-ПЛК-7</x:t>
        </x:is>
      </x:c>
      <x:c r="J494" s="31" t="inlineStr">
        <x:is>
          <x:t xml:space="preserve">Нет</x:t>
        </x:is>
      </x:c>
    </x:row>
    <x:row r="495">
      <x:c r="A495" s="31" t="inlineStr">
        <x:is>
          <x:t xml:space="preserve">СОСТ-00494</x:t>
        </x:is>
      </x:c>
      <x:c r="B495" s="31" t="inlineStr">
        <x:is>
          <x:t xml:space="preserve">ИЗД-033</x:t>
        </x:is>
      </x:c>
      <x:c r="C495" s="31" t="inlineStr">
        <x:is>
          <x:t xml:space="preserve">МАТ-0049</x:t>
        </x:is>
      </x:c>
      <x:c r="D495" s="31" t="inlineStr">
        <x:is>
          <x:t xml:space="preserve">Рейковая клемма</x:t>
        </x:is>
      </x:c>
      <x:c r="E495" s="31" t="inlineStr">
        <x:is>
          <x:t xml:space="preserve">ПЛК/электрика</x:t>
        </x:is>
      </x:c>
      <x:c r="F495" s="31" t="n">
        <x:v>1.4</x:v>
      </x:c>
      <x:c r="G495" s="31" t="inlineStr">
        <x:is>
          <x:t xml:space="preserve">шт</x:t>
        </x:is>
      </x:c>
      <x:c r="H495" s="31" t="inlineStr">
        <x:is>
          <x:t xml:space="preserve">Обязательный</x:t>
        </x:is>
      </x:c>
      <x:c r="I495" s="31" t="inlineStr">
        <x:is>
          <x:t xml:space="preserve">ГЗ-ПЛК-1</x:t>
        </x:is>
      </x:c>
      <x:c r="J495" s="31" t="inlineStr">
        <x:is>
          <x:t xml:space="preserve">Нет</x:t>
        </x:is>
      </x:c>
    </x:row>
    <x:row r="496">
      <x:c r="A496" s="31" t="inlineStr">
        <x:is>
          <x:t xml:space="preserve">СОСТ-00495</x:t>
        </x:is>
      </x:c>
      <x:c r="B496" s="31" t="inlineStr">
        <x:is>
          <x:t xml:space="preserve">ИЗД-033</x:t>
        </x:is>
      </x:c>
      <x:c r="C496" s="31" t="inlineStr">
        <x:is>
          <x:t xml:space="preserve">МАТ-0041</x:t>
        </x:is>
      </x:c>
      <x:c r="D496" s="31" t="inlineStr">
        <x:is>
          <x:t xml:space="preserve">модуль аналогового входа 4 канала / исп.2</x:t>
        </x:is>
      </x:c>
      <x:c r="E496" s="31" t="inlineStr">
        <x:is>
          <x:t xml:space="preserve">ПЛК/электрика</x:t>
        </x:is>
      </x:c>
      <x:c r="F496" s="31" t="n">
        <x:v>2.7</x:v>
      </x:c>
      <x:c r="G496" s="31" t="inlineStr">
        <x:is>
          <x:t xml:space="preserve">шт</x:t>
        </x:is>
      </x:c>
      <x:c r="H496" s="31" t="inlineStr">
        <x:is>
          <x:t xml:space="preserve">Обязательный</x:t>
        </x:is>
      </x:c>
      <x:c r="I496" s="31" t="inlineStr">
        <x:is>
          <x:t xml:space="preserve">ГЗ-ПЛК-4</x:t>
        </x:is>
      </x:c>
      <x:c r="J496" s="31" t="inlineStr">
        <x:is>
          <x:t xml:space="preserve">Нет</x:t>
        </x:is>
      </x:c>
    </x:row>
    <x:row r="497">
      <x:c r="A497" s="31" t="inlineStr">
        <x:is>
          <x:t xml:space="preserve">СОСТ-00496</x:t>
        </x:is>
      </x:c>
      <x:c r="B497" s="31" t="inlineStr">
        <x:is>
          <x:t xml:space="preserve">ИЗД-033</x:t>
        </x:is>
      </x:c>
      <x:c r="C497" s="31" t="inlineStr">
        <x:is>
          <x:t xml:space="preserve">МАТ-0073</x:t>
        </x:is>
      </x:c>
      <x:c r="D497" s="31" t="inlineStr">
        <x:is>
          <x:t xml:space="preserve">Растворитель / исп.2</x:t>
        </x:is>
      </x:c>
      <x:c r="E497" s="31" t="inlineStr">
        <x:is>
          <x:t xml:space="preserve">Покраска</x:t>
        </x:is>
      </x:c>
      <x:c r="F497" s="31" t="n">
        <x:v>56.4</x:v>
      </x:c>
      <x:c r="G497" s="31" t="inlineStr">
        <x:is>
          <x:t xml:space="preserve">л</x:t>
        </x:is>
      </x:c>
      <x:c r="H497" s="31" t="inlineStr">
        <x:is>
          <x:t xml:space="preserve">Обязательный</x:t>
        </x:is>
      </x:c>
      <x:c r="I497" s="31" t="inlineStr">
        <x:is>
          <x:t xml:space="preserve">ГЗ-ПОК-8</x:t>
        </x:is>
      </x:c>
      <x:c r="J497" s="31" t="inlineStr">
        <x:is>
          <x:t xml:space="preserve">Нет</x:t>
        </x:is>
      </x:c>
    </x:row>
    <x:row r="498">
      <x:c r="A498" s="31" t="inlineStr">
        <x:is>
          <x:t xml:space="preserve">СОСТ-00497</x:t>
        </x:is>
      </x:c>
      <x:c r="B498" s="31" t="inlineStr">
        <x:is>
          <x:t xml:space="preserve">ИЗД-033</x:t>
        </x:is>
      </x:c>
      <x:c r="C498" s="31" t="inlineStr">
        <x:is>
          <x:t xml:space="preserve">МАТ-0071</x:t>
        </x:is>
      </x:c>
      <x:c r="D498" s="31" t="inlineStr">
        <x:is>
          <x:t xml:space="preserve">Эмаль полиуретановая / исп.3</x:t>
        </x:is>
      </x:c>
      <x:c r="E498" s="31" t="inlineStr">
        <x:is>
          <x:t xml:space="preserve">Покраска</x:t>
        </x:is>
      </x:c>
      <x:c r="F498" s="31" t="n">
        <x:v>13.49</x:v>
      </x:c>
      <x:c r="G498" s="31" t="inlineStr">
        <x:is>
          <x:t xml:space="preserve">кг</x:t>
        </x:is>
      </x:c>
      <x:c r="H498" s="31" t="inlineStr">
        <x:is>
          <x:t xml:space="preserve">Обязательный</x:t>
        </x:is>
      </x:c>
      <x:c r="I498" s="31" t="inlineStr">
        <x:is>
          <x:t xml:space="preserve">ГЗ-ПОК-2</x:t>
        </x:is>
      </x:c>
      <x:c r="J498" s="31" t="inlineStr">
        <x:is>
          <x:t xml:space="preserve">Нет</x:t>
        </x:is>
      </x:c>
    </x:row>
    <x:row r="499">
      <x:c r="A499" s="31" t="inlineStr">
        <x:is>
          <x:t xml:space="preserve">СОСТ-00498</x:t>
        </x:is>
      </x:c>
      <x:c r="B499" s="31" t="inlineStr">
        <x:is>
          <x:t xml:space="preserve">ИЗД-033</x:t>
        </x:is>
      </x:c>
      <x:c r="C499" s="31" t="inlineStr">
        <x:is>
          <x:t xml:space="preserve">МАТ-0073</x:t>
        </x:is>
      </x:c>
      <x:c r="D499" s="31" t="inlineStr">
        <x:is>
          <x:t xml:space="preserve">Растворитель / исп.2</x:t>
        </x:is>
      </x:c>
      <x:c r="E499" s="31" t="inlineStr">
        <x:is>
          <x:t xml:space="preserve">Покраска</x:t>
        </x:is>
      </x:c>
      <x:c r="F499" s="31" t="n">
        <x:v>2.96</x:v>
      </x:c>
      <x:c r="G499" s="31" t="inlineStr">
        <x:is>
          <x:t xml:space="preserve">л</x:t>
        </x:is>
      </x:c>
      <x:c r="H499" s="31" t="inlineStr">
        <x:is>
          <x:t xml:space="preserve">Обязательный</x:t>
        </x:is>
      </x:c>
      <x:c r="I499" s="31" t="inlineStr">
        <x:is>
          <x:t xml:space="preserve">ГЗ-ПОК-8</x:t>
        </x:is>
      </x:c>
      <x:c r="J499" s="31" t="inlineStr">
        <x:is>
          <x:t xml:space="preserve">Нет</x:t>
        </x:is>
      </x:c>
    </x:row>
    <x:row r="500">
      <x:c r="A500" s="31" t="inlineStr">
        <x:is>
          <x:t xml:space="preserve">СОСТ-00499</x:t>
        </x:is>
      </x:c>
      <x:c r="B500" s="31" t="inlineStr">
        <x:is>
          <x:t xml:space="preserve">ИЗД-033</x:t>
        </x:is>
      </x:c>
      <x:c r="C500" s="31" t="inlineStr">
        <x:is>
          <x:t xml:space="preserve">МАТ-0081</x:t>
        </x:is>
      </x:c>
      <x:c r="D500" s="31" t="inlineStr">
        <x:is>
          <x:t xml:space="preserve">Шайба 12</x:t>
        </x:is>
      </x:c>
      <x:c r="E500" s="31" t="inlineStr">
        <x:is>
          <x:t xml:space="preserve">Крепеж</x:t>
        </x:is>
      </x:c>
      <x:c r="F500" s="31" t="n">
        <x:v>5.94</x:v>
      </x:c>
      <x:c r="G500" s="31" t="inlineStr">
        <x:is>
          <x:t xml:space="preserve">шт</x:t>
        </x:is>
      </x:c>
      <x:c r="H500" s="31" t="inlineStr">
        <x:is>
          <x:t xml:space="preserve">Замена</x:t>
        </x:is>
      </x:c>
      <x:c r="I500" s="31" t="inlineStr">
        <x:is>
          <x:t xml:space="preserve">ГЗ-КРЕ-1</x:t>
        </x:is>
      </x:c>
      <x:c r="J500" s="31" t="inlineStr">
        <x:is>
          <x:t xml:space="preserve">Нет</x:t>
        </x:is>
      </x:c>
    </x:row>
    <x:row r="501">
      <x:c r="A501" s="31" t="inlineStr">
        <x:is>
          <x:t xml:space="preserve">СОСТ-00500</x:t>
        </x:is>
      </x:c>
      <x:c r="B501" s="31" t="inlineStr">
        <x:is>
          <x:t xml:space="preserve">ИЗД-033</x:t>
        </x:is>
      </x:c>
      <x:c r="C501" s="31" t="inlineStr">
        <x:is>
          <x:t xml:space="preserve">МАТ-0078</x:t>
        </x:is>
      </x:c>
      <x:c r="D501" s="31" t="inlineStr">
        <x:is>
          <x:t xml:space="preserve">Гайка М12</x:t>
        </x:is>
      </x:c>
      <x:c r="E501" s="31" t="inlineStr">
        <x:is>
          <x:t xml:space="preserve">Крепеж</x:t>
        </x:is>
      </x:c>
      <x:c r="F501" s="31" t="n">
        <x:v>7.13</x:v>
      </x:c>
      <x:c r="G501" s="31" t="inlineStr">
        <x:is>
          <x:t xml:space="preserve">шт</x:t>
        </x:is>
      </x:c>
      <x:c r="H501" s="31" t="inlineStr">
        <x:is>
          <x:t xml:space="preserve">Обязательный</x:t>
        </x:is>
      </x:c>
      <x:c r="I501" s="31" t="inlineStr">
        <x:is>
          <x:t xml:space="preserve">ГЗ-КРЕ-9</x:t>
        </x:is>
      </x:c>
      <x:c r="J501" s="31" t="inlineStr">
        <x:is>
          <x:t xml:space="preserve">Нет</x:t>
        </x:is>
      </x:c>
    </x:row>
    <x:row r="502">
      <x:c r="A502" s="31" t="inlineStr">
        <x:is>
          <x:t xml:space="preserve">СОСТ-00501</x:t>
        </x:is>
      </x:c>
      <x:c r="B502" s="31" t="inlineStr">
        <x:is>
          <x:t xml:space="preserve">ИЗД-033</x:t>
        </x:is>
      </x:c>
      <x:c r="C502" s="31" t="inlineStr">
        <x:is>
          <x:t xml:space="preserve">МАТ-0086</x:t>
        </x:is>
      </x:c>
      <x:c r="D502" s="31" t="inlineStr">
        <x:is>
          <x:t xml:space="preserve">Пленка стрейч / исп.2</x:t>
        </x:is>
      </x:c>
      <x:c r="E502" s="31" t="inlineStr">
        <x:is>
          <x:t xml:space="preserve">Упаковка</x:t>
        </x:is>
      </x:c>
      <x:c r="F502" s="31" t="n">
        <x:v>4.5</x:v>
      </x:c>
      <x:c r="G502" s="31" t="inlineStr">
        <x:is>
          <x:t xml:space="preserve">шт</x:t>
        </x:is>
      </x:c>
      <x:c r="H502" s="31" t="inlineStr">
        <x:is>
          <x:t xml:space="preserve">Обязательный</x:t>
        </x:is>
      </x:c>
      <x:c r="I502" s="31" t="inlineStr">
        <x:is>
          <x:t xml:space="preserve">ГЗ-УПА-4</x:t>
        </x:is>
      </x:c>
      <x:c r="J502" s="31" t="inlineStr">
        <x:is>
          <x:t xml:space="preserve">Нет</x:t>
        </x:is>
      </x:c>
    </x:row>
    <x:row r="503">
      <x:c r="A503" s="31" t="inlineStr">
        <x:is>
          <x:t xml:space="preserve">СОСТ-00502</x:t>
        </x:is>
      </x:c>
      <x:c r="B503" s="31" t="inlineStr">
        <x:is>
          <x:t xml:space="preserve">ИЗД-033</x:t>
        </x:is>
      </x:c>
      <x:c r="C503" s="31" t="inlineStr">
        <x:is>
          <x:t xml:space="preserve">МАТ-0088</x:t>
        </x:is>
      </x:c>
      <x:c r="D503" s="31" t="inlineStr">
        <x:is>
          <x:t xml:space="preserve">Ящик фанерный / исп.2</x:t>
        </x:is>
      </x:c>
      <x:c r="E503" s="31" t="inlineStr">
        <x:is>
          <x:t xml:space="preserve">Упаковка</x:t>
        </x:is>
      </x:c>
      <x:c r="F503" s="31" t="n">
        <x:v>3.16</x:v>
      </x:c>
      <x:c r="G503" s="31" t="inlineStr">
        <x:is>
          <x:t xml:space="preserve">шт</x:t>
        </x:is>
      </x:c>
      <x:c r="H503" s="31" t="inlineStr">
        <x:is>
          <x:t xml:space="preserve">Обязательный</x:t>
        </x:is>
      </x:c>
      <x:c r="I503" s="31" t="inlineStr">
        <x:is>
          <x:t xml:space="preserve">ГЗ-УПА-4</x:t>
        </x:is>
      </x:c>
      <x:c r="J503" s="31" t="inlineStr">
        <x:is>
          <x:t xml:space="preserve">Нет</x:t>
        </x:is>
      </x:c>
    </x:row>
    <x:row r="504">
      <x:c r="A504" s="31" t="inlineStr">
        <x:is>
          <x:t xml:space="preserve">СОСТ-00503</x:t>
        </x:is>
      </x:c>
      <x:c r="B504" s="31" t="inlineStr">
        <x:is>
          <x:t xml:space="preserve">ИЗД-033</x:t>
        </x:is>
      </x:c>
      <x:c r="C504" s="31" t="inlineStr">
        <x:is>
          <x:t xml:space="preserve">МАТ-0089</x:t>
        </x:is>
      </x:c>
      <x:c r="D504" s="31" t="inlineStr">
        <x:is>
          <x:t xml:space="preserve">Маркировочная этикетка</x:t>
        </x:is>
      </x:c>
      <x:c r="E504" s="31" t="inlineStr">
        <x:is>
          <x:t xml:space="preserve">Упаковка</x:t>
        </x:is>
      </x:c>
      <x:c r="F504" s="31" t="n">
        <x:v>7.09</x:v>
      </x:c>
      <x:c r="G504" s="31" t="inlineStr">
        <x:is>
          <x:t xml:space="preserve">шт</x:t>
        </x:is>
      </x:c>
      <x:c r="H504" s="31" t="inlineStr">
        <x:is>
          <x:t xml:space="preserve">Обязательный</x:t>
        </x:is>
      </x:c>
      <x:c r="I504" s="31" t="inlineStr">
        <x:is>
          <x:t xml:space="preserve">ГЗ-УПА-7</x:t>
        </x:is>
      </x:c>
      <x:c r="J504" s="31" t="inlineStr">
        <x:is>
          <x:t xml:space="preserve">Нет</x:t>
        </x:is>
      </x:c>
    </x:row>
    <x:row r="505">
      <x:c r="A505" s="31" t="inlineStr">
        <x:is>
          <x:t xml:space="preserve">СОСТ-00504</x:t>
        </x:is>
      </x:c>
      <x:c r="B505" s="31" t="inlineStr">
        <x:is>
          <x:t xml:space="preserve">ИЗД-034</x:t>
        </x:is>
      </x:c>
      <x:c r="C505" s="31" t="inlineStr">
        <x:is>
          <x:t xml:space="preserve">МАТ-0014</x:t>
        </x:is>
      </x:c>
      <x:c r="D505" s="31" t="inlineStr">
        <x:is>
          <x:t xml:space="preserve">Уголок 50×5 / исп.2</x:t>
        </x:is>
      </x:c>
      <x:c r="E505" s="31" t="inlineStr">
        <x:is>
          <x:t xml:space="preserve">Металл</x:t>
        </x:is>
      </x:c>
      <x:c r="F505" s="31" t="n">
        <x:v>2</x:v>
      </x:c>
      <x:c r="G505" s="31" t="inlineStr">
        <x:is>
          <x:t xml:space="preserve">шт</x:t>
        </x:is>
      </x:c>
      <x:c r="H505" s="31" t="inlineStr">
        <x:is>
          <x:t xml:space="preserve">Обязательный</x:t>
        </x:is>
      </x:c>
      <x:c r="I505" s="31" t="inlineStr">
        <x:is>
          <x:t xml:space="preserve">ГЗ-МЕТ-9</x:t>
        </x:is>
      </x:c>
      <x:c r="J505" s="31" t="inlineStr">
        <x:is>
          <x:t xml:space="preserve">Нет</x:t>
        </x:is>
      </x:c>
    </x:row>
    <x:row r="506">
      <x:c r="A506" s="31" t="inlineStr">
        <x:is>
          <x:t xml:space="preserve">СОСТ-00505</x:t>
        </x:is>
      </x:c>
      <x:c r="B506" s="31" t="inlineStr">
        <x:is>
          <x:t xml:space="preserve">ИЗД-034</x:t>
        </x:is>
      </x:c>
      <x:c r="C506" s="31" t="inlineStr">
        <x:is>
          <x:t xml:space="preserve">МАТ-0007</x:t>
        </x:is>
      </x:c>
      <x:c r="D506" s="31" t="inlineStr">
        <x:is>
          <x:t xml:space="preserve">Труба нержавеющая 38×3 / исп.2</x:t>
        </x:is>
      </x:c>
      <x:c r="E506" s="31" t="inlineStr">
        <x:is>
          <x:t xml:space="preserve">Металл</x:t>
        </x:is>
      </x:c>
      <x:c r="F506" s="31" t="n">
        <x:v>2.5</x:v>
      </x:c>
      <x:c r="G506" s="31" t="inlineStr">
        <x:is>
          <x:t xml:space="preserve">л</x:t>
        </x:is>
      </x:c>
      <x:c r="H506" s="31" t="inlineStr">
        <x:is>
          <x:t xml:space="preserve">Обязательный</x:t>
        </x:is>
      </x:c>
      <x:c r="I506" s="31" t="inlineStr">
        <x:is>
          <x:t xml:space="preserve">ГЗ-МЕТ-3</x:t>
        </x:is>
      </x:c>
      <x:c r="J506" s="31" t="inlineStr">
        <x:is>
          <x:t xml:space="preserve">Нет</x:t>
        </x:is>
      </x:c>
    </x:row>
    <x:row r="507">
      <x:c r="A507" s="31" t="inlineStr">
        <x:is>
          <x:t xml:space="preserve">СОСТ-00506</x:t>
        </x:is>
      </x:c>
      <x:c r="B507" s="31" t="inlineStr">
        <x:is>
          <x:t xml:space="preserve">ИЗД-034</x:t>
        </x:is>
      </x:c>
      <x:c r="C507" s="31" t="inlineStr">
        <x:is>
          <x:t xml:space="preserve">МАТ-0025</x:t>
        </x:is>
      </x:c>
      <x:c r="D507" s="31" t="inlineStr">
        <x:is>
          <x:t xml:space="preserve">Двигатель 7.5 кВт</x:t>
        </x:is>
      </x:c>
      <x:c r="E507" s="31" t="inlineStr">
        <x:is>
          <x:t xml:space="preserve">Электродвигатели</x:t>
        </x:is>
      </x:c>
      <x:c r="F507" s="31" t="n">
        <x:v>6.42</x:v>
      </x:c>
      <x:c r="G507" s="31" t="inlineStr">
        <x:is>
          <x:t xml:space="preserve">шт</x:t>
        </x:is>
      </x:c>
      <x:c r="H507" s="31" t="inlineStr">
        <x:is>
          <x:t xml:space="preserve">Обязательный</x:t>
        </x:is>
      </x:c>
      <x:c r="I507" s="31" t="inlineStr">
        <x:is>
          <x:t xml:space="preserve">ГЗ-ЭЛЕ-6</x:t>
        </x:is>
      </x:c>
      <x:c r="J507" s="31" t="inlineStr">
        <x:is>
          <x:t xml:space="preserve">Нет</x:t>
        </x:is>
      </x:c>
    </x:row>
    <x:row r="508">
      <x:c r="A508" s="31" t="inlineStr">
        <x:is>
          <x:t xml:space="preserve">СОСТ-00507</x:t>
        </x:is>
      </x:c>
      <x:c r="B508" s="31" t="inlineStr">
        <x:is>
          <x:t xml:space="preserve">ИЗД-034</x:t>
        </x:is>
      </x:c>
      <x:c r="C508" s="31" t="inlineStr">
        <x:is>
          <x:t xml:space="preserve">МАТ-0036</x:t>
        </x:is>
      </x:c>
      <x:c r="D508" s="31" t="inlineStr">
        <x:is>
          <x:t xml:space="preserve">Клапан электромагнитный 24В / исп.2</x:t>
        </x:is>
      </x:c>
      <x:c r="E508" s="31" t="inlineStr">
        <x:is>
          <x:t xml:space="preserve">КИПиА</x:t>
        </x:is>
      </x:c>
      <x:c r="F508" s="31" t="n">
        <x:v>4.02</x:v>
      </x:c>
      <x:c r="G508" s="31" t="inlineStr">
        <x:is>
          <x:t xml:space="preserve">шт</x:t>
        </x:is>
      </x:c>
      <x:c r="H508" s="31" t="inlineStr">
        <x:is>
          <x:t xml:space="preserve">Обязательный</x:t>
        </x:is>
      </x:c>
      <x:c r="I508" s="31" t="inlineStr">
        <x:is>
          <x:t xml:space="preserve">ГЗ-КИП-6</x:t>
        </x:is>
      </x:c>
      <x:c r="J508" s="31" t="inlineStr">
        <x:is>
          <x:t xml:space="preserve">Нет</x:t>
        </x:is>
      </x:c>
    </x:row>
    <x:row r="509">
      <x:c r="A509" s="31" t="inlineStr">
        <x:is>
          <x:t xml:space="preserve">СОСТ-00508</x:t>
        </x:is>
      </x:c>
      <x:c r="B509" s="31" t="inlineStr">
        <x:is>
          <x:t xml:space="preserve">ИЗД-034</x:t>
        </x:is>
      </x:c>
      <x:c r="C509" s="31" t="inlineStr">
        <x:is>
          <x:t xml:space="preserve">МАТ-0032</x:t>
        </x:is>
      </x:c>
      <x:c r="D509" s="31" t="inlineStr">
        <x:is>
          <x:t xml:space="preserve">Датчик температуры Пт100</x:t>
        </x:is>
      </x:c>
      <x:c r="E509" s="31" t="inlineStr">
        <x:is>
          <x:t xml:space="preserve">КИПиА</x:t>
        </x:is>
      </x:c>
      <x:c r="F509" s="31" t="n">
        <x:v>2.39</x:v>
      </x:c>
      <x:c r="G509" s="31" t="inlineStr">
        <x:is>
          <x:t xml:space="preserve">шт</x:t>
        </x:is>
      </x:c>
      <x:c r="H509" s="31" t="inlineStr">
        <x:is>
          <x:t xml:space="preserve">Обязательный</x:t>
        </x:is>
      </x:c>
      <x:c r="I509" s="31" t="inlineStr">
        <x:is>
          <x:t xml:space="preserve">ГЗ-КИП-8</x:t>
        </x:is>
      </x:c>
      <x:c r="J509" s="31" t="inlineStr">
        <x:is>
          <x:t xml:space="preserve">Нет</x:t>
        </x:is>
      </x:c>
    </x:row>
    <x:row r="510">
      <x:c r="A510" s="31" t="inlineStr">
        <x:is>
          <x:t xml:space="preserve">СОСТ-00509</x:t>
        </x:is>
      </x:c>
      <x:c r="B510" s="31" t="inlineStr">
        <x:is>
          <x:t xml:space="preserve">ИЗД-034</x:t>
        </x:is>
      </x:c>
      <x:c r="C510" s="31" t="inlineStr">
        <x:is>
          <x:t xml:space="preserve">МАТ-0060</x:t>
        </x:is>
      </x:c>
      <x:c r="D510" s="31" t="inlineStr">
        <x:is>
          <x:t xml:space="preserve">Фильтр сетчатый Ду50 / исп.2</x:t>
        </x:is>
      </x:c>
      <x:c r="E510" s="31" t="inlineStr">
        <x:is>
          <x:t xml:space="preserve">Запорная арматура</x:t>
        </x:is>
      </x:c>
      <x:c r="F510" s="31" t="n">
        <x:v>6.7</x:v>
      </x:c>
      <x:c r="G510" s="31" t="inlineStr">
        <x:is>
          <x:t xml:space="preserve">шт</x:t>
        </x:is>
      </x:c>
      <x:c r="H510" s="31" t="inlineStr">
        <x:is>
          <x:t xml:space="preserve">Обязательный</x:t>
        </x:is>
      </x:c>
      <x:c r="I510" s="31" t="inlineStr">
        <x:is>
          <x:t xml:space="preserve">ГЗ-ЗАП-3</x:t>
        </x:is>
      </x:c>
      <x:c r="J510" s="31" t="inlineStr">
        <x:is>
          <x:t xml:space="preserve">Да</x:t>
        </x:is>
      </x:c>
    </x:row>
    <x:row r="511">
      <x:c r="A511" s="31" t="inlineStr">
        <x:is>
          <x:t xml:space="preserve">СОСТ-00510</x:t>
        </x:is>
      </x:c>
      <x:c r="B511" s="31" t="inlineStr">
        <x:is>
          <x:t xml:space="preserve">ИЗД-034</x:t>
        </x:is>
      </x:c>
      <x:c r="C511" s="31" t="inlineStr">
        <x:is>
          <x:t xml:space="preserve">МАТ-0053</x:t>
        </x:is>
      </x:c>
      <x:c r="D511" s="31" t="inlineStr">
        <x:is>
          <x:t xml:space="preserve">Кран шаровой Ду50 / исп.3</x:t>
        </x:is>
      </x:c>
      <x:c r="E511" s="31" t="inlineStr">
        <x:is>
          <x:t xml:space="preserve">Запорная арматура</x:t>
        </x:is>
      </x:c>
      <x:c r="F511" s="31" t="n">
        <x:v>6.66</x:v>
      </x:c>
      <x:c r="G511" s="31" t="inlineStr">
        <x:is>
          <x:t xml:space="preserve">шт</x:t>
        </x:is>
      </x:c>
      <x:c r="H511" s="31" t="inlineStr">
        <x:is>
          <x:t xml:space="preserve">Обязательный</x:t>
        </x:is>
      </x:c>
      <x:c r="I511" s="31" t="inlineStr">
        <x:is>
          <x:t xml:space="preserve">ГЗ-ЗАП-6</x:t>
        </x:is>
      </x:c>
      <x:c r="J511" s="31" t="inlineStr">
        <x:is>
          <x:t xml:space="preserve">Нет</x:t>
        </x:is>
      </x:c>
    </x:row>
    <x:row r="512">
      <x:c r="A512" s="31" t="inlineStr">
        <x:is>
          <x:t xml:space="preserve">СОСТ-00511</x:t>
        </x:is>
      </x:c>
      <x:c r="B512" s="31" t="inlineStr">
        <x:is>
          <x:t xml:space="preserve">ИЗД-034</x:t>
        </x:is>
      </x:c>
      <x:c r="C512" s="31" t="inlineStr">
        <x:is>
          <x:t xml:space="preserve">МАТ-0065</x:t>
        </x:is>
      </x:c>
      <x:c r="D512" s="31" t="inlineStr">
        <x:is>
          <x:t xml:space="preserve">Гофра металлическая</x:t>
        </x:is>
      </x:c>
      <x:c r="E512" s="31" t="inlineStr">
        <x:is>
          <x:t xml:space="preserve">Кабель</x:t>
        </x:is>
      </x:c>
      <x:c r="F512" s="31" t="n">
        <x:v>5.39</x:v>
      </x:c>
      <x:c r="G512" s="31" t="inlineStr">
        <x:is>
          <x:t xml:space="preserve">шт</x:t>
        </x:is>
      </x:c>
      <x:c r="H512" s="31" t="inlineStr">
        <x:is>
          <x:t xml:space="preserve">Обязательный</x:t>
        </x:is>
      </x:c>
      <x:c r="I512" s="31" t="inlineStr">
        <x:is>
          <x:t xml:space="preserve">ГЗ-КАБ-2</x:t>
        </x:is>
      </x:c>
      <x:c r="J512" s="31" t="inlineStr">
        <x:is>
          <x:t xml:space="preserve">Нет</x:t>
        </x:is>
      </x:c>
    </x:row>
    <x:row r="513">
      <x:c r="A513" s="31" t="inlineStr">
        <x:is>
          <x:t xml:space="preserve">СОСТ-00512</x:t>
        </x:is>
      </x:c>
      <x:c r="B513" s="31" t="inlineStr">
        <x:is>
          <x:t xml:space="preserve">ИЗД-034</x:t>
        </x:is>
      </x:c>
      <x:c r="C513" s="31" t="inlineStr">
        <x:is>
          <x:t xml:space="preserve">МАТ-0063</x:t>
        </x:is>
      </x:c>
      <x:c r="D513" s="31" t="inlineStr">
        <x:is>
          <x:t xml:space="preserve">Кабель ВВГнг 3×2.5</x:t>
        </x:is>
      </x:c>
      <x:c r="E513" s="31" t="inlineStr">
        <x:is>
          <x:t xml:space="preserve">Кабель</x:t>
        </x:is>
      </x:c>
      <x:c r="F513" s="31" t="n">
        <x:v>1.56</x:v>
      </x:c>
      <x:c r="G513" s="31" t="inlineStr">
        <x:is>
          <x:t xml:space="preserve">шт</x:t>
        </x:is>
      </x:c>
      <x:c r="H513" s="31" t="inlineStr">
        <x:is>
          <x:t xml:space="preserve">Обязательный</x:t>
        </x:is>
      </x:c>
      <x:c r="I513" s="31" t="inlineStr">
        <x:is>
          <x:t xml:space="preserve">ГЗ-КАБ-2</x:t>
        </x:is>
      </x:c>
      <x:c r="J513" s="31" t="inlineStr">
        <x:is>
          <x:t xml:space="preserve">Нет</x:t>
        </x:is>
      </x:c>
    </x:row>
    <x:row r="514">
      <x:c r="A514" s="31" t="inlineStr">
        <x:is>
          <x:t xml:space="preserve">СОСТ-00513</x:t>
        </x:is>
      </x:c>
      <x:c r="B514" s="31" t="inlineStr">
        <x:is>
          <x:t xml:space="preserve">ИЗД-034</x:t>
        </x:is>
      </x:c>
      <x:c r="C514" s="31" t="inlineStr">
        <x:is>
          <x:t xml:space="preserve">МАТ-0043</x:t>
        </x:is>
      </x:c>
      <x:c r="D514" s="31" t="inlineStr">
        <x:is>
          <x:t xml:space="preserve">Блок питания 24В</x:t>
        </x:is>
      </x:c>
      <x:c r="E514" s="31" t="inlineStr">
        <x:is>
          <x:t xml:space="preserve">ПЛК/электрика</x:t>
        </x:is>
      </x:c>
      <x:c r="F514" s="31" t="n">
        <x:v>1.21</x:v>
      </x:c>
      <x:c r="G514" s="31" t="inlineStr">
        <x:is>
          <x:t xml:space="preserve">шт</x:t>
        </x:is>
      </x:c>
      <x:c r="H514" s="31" t="inlineStr">
        <x:is>
          <x:t xml:space="preserve">Обязательный</x:t>
        </x:is>
      </x:c>
      <x:c r="I514" s="31" t="inlineStr">
        <x:is>
          <x:t xml:space="preserve">ГЗ-ПЛК-7</x:t>
        </x:is>
      </x:c>
      <x:c r="J514" s="31" t="inlineStr">
        <x:is>
          <x:t xml:space="preserve">Нет</x:t>
        </x:is>
      </x:c>
    </x:row>
    <x:row r="515">
      <x:c r="A515" s="31" t="inlineStr">
        <x:is>
          <x:t xml:space="preserve">СОСТ-00514</x:t>
        </x:is>
      </x:c>
      <x:c r="B515" s="31" t="inlineStr">
        <x:is>
          <x:t xml:space="preserve">ИЗД-034</x:t>
        </x:is>
      </x:c>
      <x:c r="C515" s="31" t="inlineStr">
        <x:is>
          <x:t xml:space="preserve">МАТ-0068</x:t>
        </x:is>
      </x:c>
      <x:c r="D515" s="31" t="inlineStr">
        <x:is>
          <x:t xml:space="preserve">Грунт эпоксидный</x:t>
        </x:is>
      </x:c>
      <x:c r="E515" s="31" t="inlineStr">
        <x:is>
          <x:t xml:space="preserve">Покраска</x:t>
        </x:is>
      </x:c>
      <x:c r="F515" s="31" t="n">
        <x:v>60.64</x:v>
      </x:c>
      <x:c r="G515" s="31" t="inlineStr">
        <x:is>
          <x:t xml:space="preserve">л</x:t>
        </x:is>
      </x:c>
      <x:c r="H515" s="31" t="inlineStr">
        <x:is>
          <x:t xml:space="preserve">Обязательный</x:t>
        </x:is>
      </x:c>
      <x:c r="I515" s="31" t="inlineStr">
        <x:is>
          <x:t xml:space="preserve">ГЗ-ПОК-6</x:t>
        </x:is>
      </x:c>
      <x:c r="J515" s="31" t="inlineStr">
        <x:is>
          <x:t xml:space="preserve">Нет</x:t>
        </x:is>
      </x:c>
    </x:row>
    <x:row r="516">
      <x:c r="A516" s="31" t="inlineStr">
        <x:is>
          <x:t xml:space="preserve">СОСТ-00515</x:t>
        </x:is>
      </x:c>
      <x:c r="B516" s="31" t="inlineStr">
        <x:is>
          <x:t xml:space="preserve">ИЗД-034</x:t>
        </x:is>
      </x:c>
      <x:c r="C516" s="31" t="inlineStr">
        <x:is>
          <x:t xml:space="preserve">МАТ-0076</x:t>
        </x:is>
      </x:c>
      <x:c r="D516" s="31" t="inlineStr">
        <x:is>
          <x:t xml:space="preserve">Болт М12 / исп.2</x:t>
        </x:is>
      </x:c>
      <x:c r="E516" s="31" t="inlineStr">
        <x:is>
          <x:t xml:space="preserve">Крепеж</x:t>
        </x:is>
      </x:c>
      <x:c r="F516" s="31" t="n">
        <x:v>2.48</x:v>
      </x:c>
      <x:c r="G516" s="31" t="inlineStr">
        <x:is>
          <x:t xml:space="preserve">шт</x:t>
        </x:is>
      </x:c>
      <x:c r="H516" s="31" t="inlineStr">
        <x:is>
          <x:t xml:space="preserve">Обязательный</x:t>
        </x:is>
      </x:c>
      <x:c r="I516" s="31" t="inlineStr">
        <x:is>
          <x:t xml:space="preserve">ГЗ-КРЕ-7</x:t>
        </x:is>
      </x:c>
      <x:c r="J516" s="31" t="inlineStr">
        <x:is>
          <x:t xml:space="preserve">Нет</x:t>
        </x:is>
      </x:c>
    </x:row>
    <x:row r="517">
      <x:c r="A517" s="31" t="inlineStr">
        <x:is>
          <x:t xml:space="preserve">СОСТ-00516</x:t>
        </x:is>
      </x:c>
      <x:c r="B517" s="31" t="inlineStr">
        <x:is>
          <x:t xml:space="preserve">ИЗД-034</x:t>
        </x:is>
      </x:c>
      <x:c r="C517" s="31" t="inlineStr">
        <x:is>
          <x:t xml:space="preserve">МАТ-0086</x:t>
        </x:is>
      </x:c>
      <x:c r="D517" s="31" t="inlineStr">
        <x:is>
          <x:t xml:space="preserve">Пленка стрейч / исп.2</x:t>
        </x:is>
      </x:c>
      <x:c r="E517" s="31" t="inlineStr">
        <x:is>
          <x:t xml:space="preserve">Упаковка</x:t>
        </x:is>
      </x:c>
      <x:c r="F517" s="31" t="n">
        <x:v>7.52</x:v>
      </x:c>
      <x:c r="G517" s="31" t="inlineStr">
        <x:is>
          <x:t xml:space="preserve">шт</x:t>
        </x:is>
      </x:c>
      <x:c r="H517" s="31" t="inlineStr">
        <x:is>
          <x:t xml:space="preserve">Обязательный</x:t>
        </x:is>
      </x:c>
      <x:c r="I517" s="31" t="inlineStr">
        <x:is>
          <x:t xml:space="preserve">ГЗ-УПА-4</x:t>
        </x:is>
      </x:c>
      <x:c r="J517" s="31" t="inlineStr">
        <x:is>
          <x:t xml:space="preserve">Нет</x:t>
        </x:is>
      </x:c>
    </x:row>
    <x:row r="518">
      <x:c r="A518" s="31" t="inlineStr">
        <x:is>
          <x:t xml:space="preserve">СОСТ-00517</x:t>
        </x:is>
      </x:c>
      <x:c r="B518" s="31" t="inlineStr">
        <x:is>
          <x:t xml:space="preserve">ИЗД-034</x:t>
        </x:is>
      </x:c>
      <x:c r="C518" s="31" t="inlineStr">
        <x:is>
          <x:t xml:space="preserve">МАТ-0087</x:t>
        </x:is>
      </x:c>
      <x:c r="D518" s="31" t="inlineStr">
        <x:is>
          <x:t xml:space="preserve">Ящик фанерный</x:t>
        </x:is>
      </x:c>
      <x:c r="E518" s="31" t="inlineStr">
        <x:is>
          <x:t xml:space="preserve">Упаковка</x:t>
        </x:is>
      </x:c>
      <x:c r="F518" s="31" t="n">
        <x:v>3.36</x:v>
      </x:c>
      <x:c r="G518" s="31" t="inlineStr">
        <x:is>
          <x:t xml:space="preserve">шт</x:t>
        </x:is>
      </x:c>
      <x:c r="H518" s="31" t="inlineStr">
        <x:is>
          <x:t xml:space="preserve">Обязательный</x:t>
        </x:is>
      </x:c>
      <x:c r="I518" s="31" t="inlineStr">
        <x:is>
          <x:t xml:space="preserve">ГЗ-УПА-6</x:t>
        </x:is>
      </x:c>
      <x:c r="J518" s="31" t="inlineStr">
        <x:is>
          <x:t xml:space="preserve">Нет</x:t>
        </x:is>
      </x:c>
    </x:row>
    <x:row r="519">
      <x:c r="A519" s="31" t="inlineStr">
        <x:is>
          <x:t xml:space="preserve">СОСТ-00518</x:t>
        </x:is>
      </x:c>
      <x:c r="B519" s="31" t="inlineStr">
        <x:is>
          <x:t xml:space="preserve">ИЗД-034</x:t>
        </x:is>
      </x:c>
      <x:c r="C519" s="31" t="inlineStr">
        <x:is>
          <x:t xml:space="preserve">МАТ-0086</x:t>
        </x:is>
      </x:c>
      <x:c r="D519" s="31" t="inlineStr">
        <x:is>
          <x:t xml:space="preserve">Пленка стрейч / исп.2</x:t>
        </x:is>
      </x:c>
      <x:c r="E519" s="31" t="inlineStr">
        <x:is>
          <x:t xml:space="preserve">Упаковка</x:t>
        </x:is>
      </x:c>
      <x:c r="F519" s="31" t="n">
        <x:v>6.72</x:v>
      </x:c>
      <x:c r="G519" s="31" t="inlineStr">
        <x:is>
          <x:t xml:space="preserve">шт</x:t>
        </x:is>
      </x:c>
      <x:c r="H519" s="31" t="inlineStr">
        <x:is>
          <x:t xml:space="preserve">Опция</x:t>
        </x:is>
      </x:c>
      <x:c r="I519" s="31" t="inlineStr">
        <x:is>
          <x:t xml:space="preserve">ГЗ-УПА-4</x:t>
        </x:is>
      </x:c>
      <x:c r="J519" s="31" t="inlineStr">
        <x:is>
          <x:t xml:space="preserve">Нет</x:t>
        </x:is>
      </x:c>
    </x:row>
    <x:row r="520">
      <x:c r="A520" s="31" t="inlineStr">
        <x:is>
          <x:t xml:space="preserve">СОСТ-00519</x:t>
        </x:is>
      </x:c>
      <x:c r="B520" s="31" t="inlineStr">
        <x:is>
          <x:t xml:space="preserve">ИЗД-035</x:t>
        </x:is>
      </x:c>
      <x:c r="C520" s="31" t="inlineStr">
        <x:is>
          <x:t xml:space="preserve">МАТ-0010</x:t>
        </x:is>
      </x:c>
      <x:c r="D520" s="31" t="inlineStr">
        <x:is>
          <x:t xml:space="preserve">Фланец Ду50 Ру16 / исп.2</x:t>
        </x:is>
      </x:c>
      <x:c r="E520" s="31" t="inlineStr">
        <x:is>
          <x:t xml:space="preserve">Металл</x:t>
        </x:is>
      </x:c>
      <x:c r="F520" s="31" t="n">
        <x:v>1.4</x:v>
      </x:c>
      <x:c r="G520" s="31" t="inlineStr">
        <x:is>
          <x:t xml:space="preserve">шт</x:t>
        </x:is>
      </x:c>
      <x:c r="H520" s="31" t="inlineStr">
        <x:is>
          <x:t xml:space="preserve">Обязательный</x:t>
        </x:is>
      </x:c>
      <x:c r="I520" s="31" t="inlineStr">
        <x:is>
          <x:t xml:space="preserve">ГЗ-МЕТ-1</x:t>
        </x:is>
      </x:c>
      <x:c r="J520" s="31" t="inlineStr">
        <x:is>
          <x:t xml:space="preserve">Нет</x:t>
        </x:is>
      </x:c>
    </x:row>
    <x:row r="521">
      <x:c r="A521" s="31" t="inlineStr">
        <x:is>
          <x:t xml:space="preserve">СОСТ-00520</x:t>
        </x:is>
      </x:c>
      <x:c r="B521" s="31" t="inlineStr">
        <x:is>
          <x:t xml:space="preserve">ИЗД-035</x:t>
        </x:is>
      </x:c>
      <x:c r="C521" s="31" t="inlineStr">
        <x:is>
          <x:t xml:space="preserve">МАТ-0002</x:t>
        </x:is>
      </x:c>
      <x:c r="D521" s="31" t="inlineStr">
        <x:is>
          <x:t xml:space="preserve">Лист стальной 09Г2С 12 мм</x:t>
        </x:is>
      </x:c>
      <x:c r="E521" s="31" t="inlineStr">
        <x:is>
          <x:t xml:space="preserve">Металл</x:t>
        </x:is>
      </x:c>
      <x:c r="F521" s="31" t="n">
        <x:v>69.90000000000001</x:v>
      </x:c>
      <x:c r="G521" s="31" t="inlineStr">
        <x:is>
          <x:t xml:space="preserve">кг</x:t>
        </x:is>
      </x:c>
      <x:c r="H521" s="31" t="inlineStr">
        <x:is>
          <x:t xml:space="preserve">Обязательный</x:t>
        </x:is>
      </x:c>
      <x:c r="I521" s="31" t="inlineStr">
        <x:is>
          <x:t xml:space="preserve">ГЗ-МЕТ-2</x:t>
        </x:is>
      </x:c>
      <x:c r="J521" s="31" t="inlineStr">
        <x:is>
          <x:t xml:space="preserve">Нет</x:t>
        </x:is>
      </x:c>
    </x:row>
    <x:row r="522">
      <x:c r="A522" s="31" t="inlineStr">
        <x:is>
          <x:t xml:space="preserve">СОСТ-00521</x:t>
        </x:is>
      </x:c>
      <x:c r="B522" s="31" t="inlineStr">
        <x:is>
          <x:t xml:space="preserve">ИЗД-035</x:t>
        </x:is>
      </x:c>
      <x:c r="C522" s="31" t="inlineStr">
        <x:is>
          <x:t xml:space="preserve">МАТ-0025</x:t>
        </x:is>
      </x:c>
      <x:c r="D522" s="31" t="inlineStr">
        <x:is>
          <x:t xml:space="preserve">Двигатель 7.5 кВт</x:t>
        </x:is>
      </x:c>
      <x:c r="E522" s="31" t="inlineStr">
        <x:is>
          <x:t xml:space="preserve">Электродвигатели</x:t>
        </x:is>
      </x:c>
      <x:c r="F522" s="31" t="n">
        <x:v>5.21</x:v>
      </x:c>
      <x:c r="G522" s="31" t="inlineStr">
        <x:is>
          <x:t xml:space="preserve">шт</x:t>
        </x:is>
      </x:c>
      <x:c r="H522" s="31" t="inlineStr">
        <x:is>
          <x:t xml:space="preserve">Обязательный</x:t>
        </x:is>
      </x:c>
      <x:c r="I522" s="31" t="inlineStr">
        <x:is>
          <x:t xml:space="preserve">ГЗ-ЭЛЕ-6</x:t>
        </x:is>
      </x:c>
      <x:c r="J522" s="31" t="inlineStr">
        <x:is>
          <x:t xml:space="preserve">Нет</x:t>
        </x:is>
      </x:c>
    </x:row>
    <x:row r="523">
      <x:c r="A523" s="31" t="inlineStr">
        <x:is>
          <x:t xml:space="preserve">СОСТ-00522</x:t>
        </x:is>
      </x:c>
      <x:c r="B523" s="31" t="inlineStr">
        <x:is>
          <x:t xml:space="preserve">ИЗД-035</x:t>
        </x:is>
      </x:c>
      <x:c r="C523" s="31" t="inlineStr">
        <x:is>
          <x:t xml:space="preserve">МАТ-0037</x:t>
        </x:is>
      </x:c>
      <x:c r="D523" s="31" t="inlineStr">
        <x:is>
          <x:t xml:space="preserve">Клапан электромагнитный 24В / исп.3</x:t>
        </x:is>
      </x:c>
      <x:c r="E523" s="31" t="inlineStr">
        <x:is>
          <x:t xml:space="preserve">КИПиА</x:t>
        </x:is>
      </x:c>
      <x:c r="F523" s="31" t="n">
        <x:v>6.71</x:v>
      </x:c>
      <x:c r="G523" s="31" t="inlineStr">
        <x:is>
          <x:t xml:space="preserve">шт</x:t>
        </x:is>
      </x:c>
      <x:c r="H523" s="31" t="inlineStr">
        <x:is>
          <x:t xml:space="preserve">Обязательный</x:t>
        </x:is>
      </x:c>
      <x:c r="I523" s="31" t="inlineStr">
        <x:is>
          <x:t xml:space="preserve">ГЗ-КИП-3</x:t>
        </x:is>
      </x:c>
      <x:c r="J523" s="31" t="inlineStr">
        <x:is>
          <x:t xml:space="preserve">Нет</x:t>
        </x:is>
      </x:c>
    </x:row>
    <x:row r="524">
      <x:c r="A524" s="31" t="inlineStr">
        <x:is>
          <x:t xml:space="preserve">СОСТ-00523</x:t>
        </x:is>
      </x:c>
      <x:c r="B524" s="31" t="inlineStr">
        <x:is>
          <x:t xml:space="preserve">ИЗД-035</x:t>
        </x:is>
      </x:c>
      <x:c r="C524" s="31" t="inlineStr">
        <x:is>
          <x:t xml:space="preserve">МАТ-0036</x:t>
        </x:is>
      </x:c>
      <x:c r="D524" s="31" t="inlineStr">
        <x:is>
          <x:t xml:space="preserve">Клапан электромагнитный 24В / исп.2</x:t>
        </x:is>
      </x:c>
      <x:c r="E524" s="31" t="inlineStr">
        <x:is>
          <x:t xml:space="preserve">КИПиА</x:t>
        </x:is>
      </x:c>
      <x:c r="F524" s="31" t="n">
        <x:v>7.09</x:v>
      </x:c>
      <x:c r="G524" s="31" t="inlineStr">
        <x:is>
          <x:t xml:space="preserve">шт</x:t>
        </x:is>
      </x:c>
      <x:c r="H524" s="31" t="inlineStr">
        <x:is>
          <x:t xml:space="preserve">Обязательный</x:t>
        </x:is>
      </x:c>
      <x:c r="I524" s="31" t="inlineStr">
        <x:is>
          <x:t xml:space="preserve">ГЗ-КИП-6</x:t>
        </x:is>
      </x:c>
      <x:c r="J524" s="31" t="inlineStr">
        <x:is>
          <x:t xml:space="preserve">Нет</x:t>
        </x:is>
      </x:c>
    </x:row>
    <x:row r="525">
      <x:c r="A525" s="31" t="inlineStr">
        <x:is>
          <x:t xml:space="preserve">СОСТ-00524</x:t>
        </x:is>
      </x:c>
      <x:c r="B525" s="31" t="inlineStr">
        <x:is>
          <x:t xml:space="preserve">ИЗД-035</x:t>
        </x:is>
      </x:c>
      <x:c r="C525" s="31" t="inlineStr">
        <x:is>
          <x:t xml:space="preserve">МАТ-0031</x:t>
        </x:is>
      </x:c>
      <x:c r="D525" s="31" t="inlineStr">
        <x:is>
          <x:t xml:space="preserve">Датчик давления 0-16 бар</x:t>
        </x:is>
      </x:c>
      <x:c r="E525" s="31" t="inlineStr">
        <x:is>
          <x:t xml:space="preserve">КИПиА</x:t>
        </x:is>
      </x:c>
      <x:c r="F525" s="31" t="n">
        <x:v>7.9</x:v>
      </x:c>
      <x:c r="G525" s="31" t="inlineStr">
        <x:is>
          <x:t xml:space="preserve">шт</x:t>
        </x:is>
      </x:c>
      <x:c r="H525" s="31" t="inlineStr">
        <x:is>
          <x:t xml:space="preserve">Опция</x:t>
        </x:is>
      </x:c>
      <x:c r="I525" s="31" t="inlineStr">
        <x:is>
          <x:t xml:space="preserve">ГЗ-КИП-7</x:t>
        </x:is>
      </x:c>
      <x:c r="J525" s="31" t="inlineStr">
        <x:is>
          <x:t xml:space="preserve">Нет</x:t>
        </x:is>
      </x:c>
    </x:row>
    <x:row r="526">
      <x:c r="A526" s="31" t="inlineStr">
        <x:is>
          <x:t xml:space="preserve">СОСТ-00525</x:t>
        </x:is>
      </x:c>
      <x:c r="B526" s="31" t="inlineStr">
        <x:is>
          <x:t xml:space="preserve">ИЗД-035</x:t>
        </x:is>
      </x:c>
      <x:c r="C526" s="31" t="inlineStr">
        <x:is>
          <x:t xml:space="preserve">МАТ-0061</x:t>
        </x:is>
      </x:c>
      <x:c r="D526" s="31" t="inlineStr">
        <x:is>
          <x:t xml:space="preserve">Фильтр сетчатый Ду50 / исп.3</x:t>
        </x:is>
      </x:c>
      <x:c r="E526" s="31" t="inlineStr">
        <x:is>
          <x:t xml:space="preserve">Запорная арматура</x:t>
        </x:is>
      </x:c>
      <x:c r="F526" s="31" t="n">
        <x:v>3.52</x:v>
      </x:c>
      <x:c r="G526" s="31" t="inlineStr">
        <x:is>
          <x:t xml:space="preserve">шт</x:t>
        </x:is>
      </x:c>
      <x:c r="H526" s="31" t="inlineStr">
        <x:is>
          <x:t xml:space="preserve">Обязательный</x:t>
        </x:is>
      </x:c>
      <x:c r="I526" s="31" t="inlineStr">
        <x:is>
          <x:t xml:space="preserve">ГЗ-ЗАП-1</x:t>
        </x:is>
      </x:c>
      <x:c r="J526" s="31" t="inlineStr">
        <x:is>
          <x:t xml:space="preserve">Нет</x:t>
        </x:is>
      </x:c>
    </x:row>
    <x:row r="527">
      <x:c r="A527" s="31" t="inlineStr">
        <x:is>
          <x:t xml:space="preserve">СОСТ-00526</x:t>
        </x:is>
      </x:c>
      <x:c r="B527" s="31" t="inlineStr">
        <x:is>
          <x:t xml:space="preserve">ИЗД-035</x:t>
        </x:is>
      </x:c>
      <x:c r="C527" s="31" t="inlineStr">
        <x:is>
          <x:t xml:space="preserve">МАТ-0067</x:t>
        </x:is>
      </x:c>
      <x:c r="D527" s="31" t="inlineStr">
        <x:is>
          <x:t xml:space="preserve">Кабельный ввод М20</x:t>
        </x:is>
      </x:c>
      <x:c r="E527" s="31" t="inlineStr">
        <x:is>
          <x:t xml:space="preserve">Кабель</x:t>
        </x:is>
      </x:c>
      <x:c r="F527" s="31" t="n">
        <x:v>49.33</x:v>
      </x:c>
      <x:c r="G527" s="31" t="inlineStr">
        <x:is>
          <x:t xml:space="preserve">кг</x:t>
        </x:is>
      </x:c>
      <x:c r="H527" s="31" t="inlineStr">
        <x:is>
          <x:t xml:space="preserve">Обязательный</x:t>
        </x:is>
      </x:c>
      <x:c r="I527" s="31" t="inlineStr">
        <x:is>
          <x:t xml:space="preserve">ГЗ-КАБ-1</x:t>
        </x:is>
      </x:c>
      <x:c r="J527" s="31" t="inlineStr">
        <x:is>
          <x:t xml:space="preserve">Нет</x:t>
        </x:is>
      </x:c>
    </x:row>
    <x:row r="528">
      <x:c r="A528" s="31" t="inlineStr">
        <x:is>
          <x:t xml:space="preserve">СОСТ-00527</x:t>
        </x:is>
      </x:c>
      <x:c r="B528" s="31" t="inlineStr">
        <x:is>
          <x:t xml:space="preserve">ИЗД-035</x:t>
        </x:is>
      </x:c>
      <x:c r="C528" s="31" t="inlineStr">
        <x:is>
          <x:t xml:space="preserve">МАТ-0062</x:t>
        </x:is>
      </x:c>
      <x:c r="D528" s="31" t="inlineStr">
        <x:is>
          <x:t xml:space="preserve">Кабель КВВГ 4×1.5</x:t>
        </x:is>
      </x:c>
      <x:c r="E528" s="31" t="inlineStr">
        <x:is>
          <x:t xml:space="preserve">Кабель</x:t>
        </x:is>
      </x:c>
      <x:c r="F528" s="31" t="n">
        <x:v>75.25</x:v>
      </x:c>
      <x:c r="G528" s="31" t="inlineStr">
        <x:is>
          <x:t xml:space="preserve">м</x:t>
        </x:is>
      </x:c>
      <x:c r="H528" s="31" t="inlineStr">
        <x:is>
          <x:t xml:space="preserve">Опция</x:t>
        </x:is>
      </x:c>
      <x:c r="I528" s="31" t="inlineStr">
        <x:is>
          <x:t xml:space="preserve">ГЗ-КАБ-9</x:t>
        </x:is>
      </x:c>
      <x:c r="J528" s="31" t="inlineStr">
        <x:is>
          <x:t xml:space="preserve">Нет</x:t>
        </x:is>
      </x:c>
    </x:row>
    <x:row r="529">
      <x:c r="A529" s="31" t="inlineStr">
        <x:is>
          <x:t xml:space="preserve">СОСТ-00528</x:t>
        </x:is>
      </x:c>
      <x:c r="B529" s="31" t="inlineStr">
        <x:is>
          <x:t xml:space="preserve">ИЗД-035</x:t>
        </x:is>
      </x:c>
      <x:c r="C529" s="31" t="inlineStr">
        <x:is>
          <x:t xml:space="preserve">МАТ-0049</x:t>
        </x:is>
      </x:c>
      <x:c r="D529" s="31" t="inlineStr">
        <x:is>
          <x:t xml:space="preserve">Рейковая клемма</x:t>
        </x:is>
      </x:c>
      <x:c r="E529" s="31" t="inlineStr">
        <x:is>
          <x:t xml:space="preserve">ПЛК/электрика</x:t>
        </x:is>
      </x:c>
      <x:c r="F529" s="31" t="n">
        <x:v>7.34</x:v>
      </x:c>
      <x:c r="G529" s="31" t="inlineStr">
        <x:is>
          <x:t xml:space="preserve">шт</x:t>
        </x:is>
      </x:c>
      <x:c r="H529" s="31" t="inlineStr">
        <x:is>
          <x:t xml:space="preserve">Обязательный</x:t>
        </x:is>
      </x:c>
      <x:c r="I529" s="31" t="inlineStr">
        <x:is>
          <x:t xml:space="preserve">ГЗ-ПЛК-1</x:t>
        </x:is>
      </x:c>
      <x:c r="J529" s="31" t="inlineStr">
        <x:is>
          <x:t xml:space="preserve">Нет</x:t>
        </x:is>
      </x:c>
    </x:row>
    <x:row r="530">
      <x:c r="A530" s="31" t="inlineStr">
        <x:is>
          <x:t xml:space="preserve">СОСТ-00529</x:t>
        </x:is>
      </x:c>
      <x:c r="B530" s="31" t="inlineStr">
        <x:is>
          <x:t xml:space="preserve">ИЗД-035</x:t>
        </x:is>
      </x:c>
      <x:c r="C530" s="31" t="inlineStr">
        <x:is>
          <x:t xml:space="preserve">МАТ-0041</x:t>
        </x:is>
      </x:c>
      <x:c r="D530" s="31" t="inlineStr">
        <x:is>
          <x:t xml:space="preserve">модуль аналогового входа 4 канала / исп.2</x:t>
        </x:is>
      </x:c>
      <x:c r="E530" s="31" t="inlineStr">
        <x:is>
          <x:t xml:space="preserve">ПЛК/электрика</x:t>
        </x:is>
      </x:c>
      <x:c r="F530" s="31" t="n">
        <x:v>5.98</x:v>
      </x:c>
      <x:c r="G530" s="31" t="inlineStr">
        <x:is>
          <x:t xml:space="preserve">шт</x:t>
        </x:is>
      </x:c>
      <x:c r="H530" s="31" t="inlineStr">
        <x:is>
          <x:t xml:space="preserve">Обязательный</x:t>
        </x:is>
      </x:c>
      <x:c r="I530" s="31" t="inlineStr">
        <x:is>
          <x:t xml:space="preserve">ГЗ-ПЛК-4</x:t>
        </x:is>
      </x:c>
      <x:c r="J530" s="31" t="inlineStr">
        <x:is>
          <x:t xml:space="preserve">Нет</x:t>
        </x:is>
      </x:c>
    </x:row>
    <x:row r="531">
      <x:c r="A531" s="31" t="inlineStr">
        <x:is>
          <x:t xml:space="preserve">СОСТ-00530</x:t>
        </x:is>
      </x:c>
      <x:c r="B531" s="31" t="inlineStr">
        <x:is>
          <x:t xml:space="preserve">ИЗД-035</x:t>
        </x:is>
      </x:c>
      <x:c r="C531" s="31" t="inlineStr">
        <x:is>
          <x:t xml:space="preserve">МАТ-0050</x:t>
        </x:is>
      </x:c>
      <x:c r="D531" s="31" t="inlineStr">
        <x:is>
          <x:t xml:space="preserve">панель оператора 7"</x:t>
        </x:is>
      </x:c>
      <x:c r="E531" s="31" t="inlineStr">
        <x:is>
          <x:t xml:space="preserve">ПЛК/электрика</x:t>
        </x:is>
      </x:c>
      <x:c r="F531" s="31" t="n">
        <x:v>7</x:v>
      </x:c>
      <x:c r="G531" s="31" t="inlineStr">
        <x:is>
          <x:t xml:space="preserve">шт</x:t>
        </x:is>
      </x:c>
      <x:c r="H531" s="31" t="inlineStr">
        <x:is>
          <x:t xml:space="preserve">Обязательный</x:t>
        </x:is>
      </x:c>
      <x:c r="I531" s="31" t="inlineStr">
        <x:is>
          <x:t xml:space="preserve">ГЗ-ПЛК-8</x:t>
        </x:is>
      </x:c>
      <x:c r="J531" s="31" t="inlineStr">
        <x:is>
          <x:t xml:space="preserve">Нет</x:t>
        </x:is>
      </x:c>
    </x:row>
    <x:row r="532">
      <x:c r="A532" s="31" t="inlineStr">
        <x:is>
          <x:t xml:space="preserve">СОСТ-00531</x:t>
        </x:is>
      </x:c>
      <x:c r="B532" s="31" t="inlineStr">
        <x:is>
          <x:t xml:space="preserve">ИЗД-035</x:t>
        </x:is>
      </x:c>
      <x:c r="C532" s="31" t="inlineStr">
        <x:is>
          <x:t xml:space="preserve">МАТ-0070</x:t>
        </x:is>
      </x:c>
      <x:c r="D532" s="31" t="inlineStr">
        <x:is>
          <x:t xml:space="preserve">Эмаль полиуретановая / исп.2</x:t>
        </x:is>
      </x:c>
      <x:c r="E532" s="31" t="inlineStr">
        <x:is>
          <x:t xml:space="preserve">Покраска</x:t>
        </x:is>
      </x:c>
      <x:c r="F532" s="31" t="n">
        <x:v>79.70999999999999</x:v>
      </x:c>
      <x:c r="G532" s="31" t="inlineStr">
        <x:is>
          <x:t xml:space="preserve">кг</x:t>
        </x:is>
      </x:c>
      <x:c r="H532" s="31" t="inlineStr">
        <x:is>
          <x:t xml:space="preserve">Замена</x:t>
        </x:is>
      </x:c>
      <x:c r="I532" s="31" t="inlineStr">
        <x:is>
          <x:t xml:space="preserve">ГЗ-ПОК-3</x:t>
        </x:is>
      </x:c>
      <x:c r="J532" s="31" t="inlineStr">
        <x:is>
          <x:t xml:space="preserve">Нет</x:t>
        </x:is>
      </x:c>
    </x:row>
    <x:row r="533">
      <x:c r="A533" s="31" t="inlineStr">
        <x:is>
          <x:t xml:space="preserve">СОСТ-00532</x:t>
        </x:is>
      </x:c>
      <x:c r="B533" s="31" t="inlineStr">
        <x:is>
          <x:t xml:space="preserve">ИЗД-035</x:t>
        </x:is>
      </x:c>
      <x:c r="C533" s="31" t="inlineStr">
        <x:is>
          <x:t xml:space="preserve">МАТ-0076</x:t>
        </x:is>
      </x:c>
      <x:c r="D533" s="31" t="inlineStr">
        <x:is>
          <x:t xml:space="preserve">Болт М12 / исп.2</x:t>
        </x:is>
      </x:c>
      <x:c r="E533" s="31" t="inlineStr">
        <x:is>
          <x:t xml:space="preserve">Крепеж</x:t>
        </x:is>
      </x:c>
      <x:c r="F533" s="31" t="n">
        <x:v>4.38</x:v>
      </x:c>
      <x:c r="G533" s="31" t="inlineStr">
        <x:is>
          <x:t xml:space="preserve">шт</x:t>
        </x:is>
      </x:c>
      <x:c r="H533" s="31" t="inlineStr">
        <x:is>
          <x:t xml:space="preserve">Обязательный</x:t>
        </x:is>
      </x:c>
      <x:c r="I533" s="31" t="inlineStr">
        <x:is>
          <x:t xml:space="preserve">ГЗ-КРЕ-7</x:t>
        </x:is>
      </x:c>
      <x:c r="J533" s="31" t="inlineStr">
        <x:is>
          <x:t xml:space="preserve">Нет</x:t>
        </x:is>
      </x:c>
    </x:row>
    <x:row r="534">
      <x:c r="A534" s="31" t="inlineStr">
        <x:is>
          <x:t xml:space="preserve">СОСТ-00533</x:t>
        </x:is>
      </x:c>
      <x:c r="B534" s="31" t="inlineStr">
        <x:is>
          <x:t xml:space="preserve">ИЗД-035</x:t>
        </x:is>
      </x:c>
      <x:c r="C534" s="31" t="inlineStr">
        <x:is>
          <x:t xml:space="preserve">МАТ-0077</x:t>
        </x:is>
      </x:c>
      <x:c r="D534" s="31" t="inlineStr">
        <x:is>
          <x:t xml:space="preserve">Болт М16</x:t>
        </x:is>
      </x:c>
      <x:c r="E534" s="31" t="inlineStr">
        <x:is>
          <x:t xml:space="preserve">Крепеж</x:t>
        </x:is>
      </x:c>
      <x:c r="F534" s="31" t="n">
        <x:v>6.27</x:v>
      </x:c>
      <x:c r="G534" s="31" t="inlineStr">
        <x:is>
          <x:t xml:space="preserve">шт</x:t>
        </x:is>
      </x:c>
      <x:c r="H534" s="31" t="inlineStr">
        <x:is>
          <x:t xml:space="preserve">Обязательный</x:t>
        </x:is>
      </x:c>
      <x:c r="I534" s="31" t="inlineStr">
        <x:is>
          <x:t xml:space="preserve">ГЗ-КРЕ-1</x:t>
        </x:is>
      </x:c>
      <x:c r="J534" s="31" t="inlineStr">
        <x:is>
          <x:t xml:space="preserve">Нет</x:t>
        </x:is>
      </x:c>
    </x:row>
    <x:row r="535">
      <x:c r="A535" s="31" t="inlineStr">
        <x:is>
          <x:t xml:space="preserve">СОСТ-00534</x:t>
        </x:is>
      </x:c>
      <x:c r="B535" s="31" t="inlineStr">
        <x:is>
          <x:t xml:space="preserve">ИЗД-035</x:t>
        </x:is>
      </x:c>
      <x:c r="C535" s="31" t="inlineStr">
        <x:is>
          <x:t xml:space="preserve">МАТ-0089</x:t>
        </x:is>
      </x:c>
      <x:c r="D535" s="31" t="inlineStr">
        <x:is>
          <x:t xml:space="preserve">Маркировочная этикетка</x:t>
        </x:is>
      </x:c>
      <x:c r="E535" s="31" t="inlineStr">
        <x:is>
          <x:t xml:space="preserve">Упаковка</x:t>
        </x:is>
      </x:c>
      <x:c r="F535" s="31" t="n">
        <x:v>1.2</x:v>
      </x:c>
      <x:c r="G535" s="31" t="inlineStr">
        <x:is>
          <x:t xml:space="preserve">шт</x:t>
        </x:is>
      </x:c>
      <x:c r="H535" s="31" t="inlineStr">
        <x:is>
          <x:t xml:space="preserve">Опция</x:t>
        </x:is>
      </x:c>
      <x:c r="I535" s="31" t="inlineStr">
        <x:is>
          <x:t xml:space="preserve">ГЗ-УПА-7</x:t>
        </x:is>
      </x:c>
      <x:c r="J535" s="31" t="inlineStr">
        <x:is>
          <x:t xml:space="preserve">Нет</x:t>
        </x:is>
      </x:c>
    </x:row>
    <x:row r="536">
      <x:c r="A536" s="31" t="inlineStr">
        <x:is>
          <x:t xml:space="preserve">СОСТ-00535</x:t>
        </x:is>
      </x:c>
      <x:c r="B536" s="31" t="inlineStr">
        <x:is>
          <x:t xml:space="preserve">ИЗД-035</x:t>
        </x:is>
      </x:c>
      <x:c r="C536" s="31" t="inlineStr">
        <x:is>
          <x:t xml:space="preserve">МАТ-0087</x:t>
        </x:is>
      </x:c>
      <x:c r="D536" s="31" t="inlineStr">
        <x:is>
          <x:t xml:space="preserve">Ящик фанерный</x:t>
        </x:is>
      </x:c>
      <x:c r="E536" s="31" t="inlineStr">
        <x:is>
          <x:t xml:space="preserve">Упаковка</x:t>
        </x:is>
      </x:c>
      <x:c r="F536" s="31" t="n">
        <x:v>6.36</x:v>
      </x:c>
      <x:c r="G536" s="31" t="inlineStr">
        <x:is>
          <x:t xml:space="preserve">шт</x:t>
        </x:is>
      </x:c>
      <x:c r="H536" s="31" t="inlineStr">
        <x:is>
          <x:t xml:space="preserve">Обязательный</x:t>
        </x:is>
      </x:c>
      <x:c r="I536" s="31" t="inlineStr">
        <x:is>
          <x:t xml:space="preserve">ГЗ-УПА-6</x:t>
        </x:is>
      </x:c>
      <x:c r="J536" s="31" t="inlineStr">
        <x:is>
          <x:t xml:space="preserve">Нет</x:t>
        </x:is>
      </x:c>
    </x:row>
    <x:row r="537">
      <x:c r="A537" s="31" t="inlineStr">
        <x:is>
          <x:t xml:space="preserve">СОСТ-00536</x:t>
        </x:is>
      </x:c>
      <x:c r="B537" s="31" t="inlineStr">
        <x:is>
          <x:t xml:space="preserve">ИЗД-036</x:t>
        </x:is>
      </x:c>
      <x:c r="C537" s="31" t="inlineStr">
        <x:is>
          <x:t xml:space="preserve">МАТ-0048</x:t>
        </x:is>
      </x:c>
      <x:c r="D537" s="31" t="inlineStr">
        <x:is>
          <x:t xml:space="preserve">Контактор 25А / исп.3</x:t>
        </x:is>
      </x:c>
      <x:c r="E537" s="31" t="inlineStr">
        <x:is>
          <x:t xml:space="preserve">ПЛК/электрика</x:t>
        </x:is>
      </x:c>
      <x:c r="F537" s="31" t="n">
        <x:v>1.86</x:v>
      </x:c>
      <x:c r="G537" s="31" t="inlineStr">
        <x:is>
          <x:t xml:space="preserve">шт</x:t>
        </x:is>
      </x:c>
      <x:c r="H537" s="31" t="inlineStr">
        <x:is>
          <x:t xml:space="preserve">Обязательный</x:t>
        </x:is>
      </x:c>
      <x:c r="I537" s="31" t="inlineStr">
        <x:is>
          <x:t xml:space="preserve">ГЗ-ПЛК-2</x:t>
        </x:is>
      </x:c>
      <x:c r="J537" s="31" t="inlineStr">
        <x:is>
          <x:t xml:space="preserve">Нет</x:t>
        </x:is>
      </x:c>
    </x:row>
    <x:row r="538">
      <x:c r="A538" s="31" t="inlineStr">
        <x:is>
          <x:t xml:space="preserve">СОСТ-00537</x:t>
        </x:is>
      </x:c>
      <x:c r="B538" s="31" t="inlineStr">
        <x:is>
          <x:t xml:space="preserve">ИЗД-036</x:t>
        </x:is>
      </x:c>
      <x:c r="C538" s="31" t="inlineStr">
        <x:is>
          <x:t xml:space="preserve">МАТ-0049</x:t>
        </x:is>
      </x:c>
      <x:c r="D538" s="31" t="inlineStr">
        <x:is>
          <x:t xml:space="preserve">Рейковая клемма</x:t>
        </x:is>
      </x:c>
      <x:c r="E538" s="31" t="inlineStr">
        <x:is>
          <x:t xml:space="preserve">ПЛК/электрика</x:t>
        </x:is>
      </x:c>
      <x:c r="F538" s="31" t="n">
        <x:v>4.44</x:v>
      </x:c>
      <x:c r="G538" s="31" t="inlineStr">
        <x:is>
          <x:t xml:space="preserve">шт</x:t>
        </x:is>
      </x:c>
      <x:c r="H538" s="31" t="inlineStr">
        <x:is>
          <x:t xml:space="preserve">Обязательный</x:t>
        </x:is>
      </x:c>
      <x:c r="I538" s="31" t="inlineStr">
        <x:is>
          <x:t xml:space="preserve">ГЗ-ПЛК-1</x:t>
        </x:is>
      </x:c>
      <x:c r="J538" s="31" t="inlineStr">
        <x:is>
          <x:t xml:space="preserve">Нет</x:t>
        </x:is>
      </x:c>
    </x:row>
    <x:row r="539">
      <x:c r="A539" s="31" t="inlineStr">
        <x:is>
          <x:t xml:space="preserve">СОСТ-00538</x:t>
        </x:is>
      </x:c>
      <x:c r="B539" s="31" t="inlineStr">
        <x:is>
          <x:t xml:space="preserve">ИЗД-036</x:t>
        </x:is>
      </x:c>
      <x:c r="C539" s="31" t="inlineStr">
        <x:is>
          <x:t xml:space="preserve">МАТ-0066</x:t>
        </x:is>
      </x:c>
      <x:c r="D539" s="31" t="inlineStr">
        <x:is>
          <x:t xml:space="preserve">Гофра металлическая / исп.2</x:t>
        </x:is>
      </x:c>
      <x:c r="E539" s="31" t="inlineStr">
        <x:is>
          <x:t xml:space="preserve">Кабель</x:t>
        </x:is>
      </x:c>
      <x:c r="F539" s="31" t="n">
        <x:v>48.85</x:v>
      </x:c>
      <x:c r="G539" s="31" t="inlineStr">
        <x:is>
          <x:t xml:space="preserve">кг</x:t>
        </x:is>
      </x:c>
      <x:c r="H539" s="31" t="inlineStr">
        <x:is>
          <x:t xml:space="preserve">Обязательный</x:t>
        </x:is>
      </x:c>
      <x:c r="I539" s="31" t="inlineStr">
        <x:is>
          <x:t xml:space="preserve">ГЗ-КАБ-8</x:t>
        </x:is>
      </x:c>
      <x:c r="J539" s="31" t="inlineStr">
        <x:is>
          <x:t xml:space="preserve">Нет</x:t>
        </x:is>
      </x:c>
    </x:row>
    <x:row r="540">
      <x:c r="A540" s="31" t="inlineStr">
        <x:is>
          <x:t xml:space="preserve">СОСТ-00539</x:t>
        </x:is>
      </x:c>
      <x:c r="B540" s="31" t="inlineStr">
        <x:is>
          <x:t xml:space="preserve">ИЗД-036</x:t>
        </x:is>
      </x:c>
      <x:c r="C540" s="31" t="inlineStr">
        <x:is>
          <x:t xml:space="preserve">МАТ-0036</x:t>
        </x:is>
      </x:c>
      <x:c r="D540" s="31" t="inlineStr">
        <x:is>
          <x:t xml:space="preserve">Клапан электромагнитный 24В / исп.2</x:t>
        </x:is>
      </x:c>
      <x:c r="E540" s="31" t="inlineStr">
        <x:is>
          <x:t xml:space="preserve">КИПиА</x:t>
        </x:is>
      </x:c>
      <x:c r="F540" s="31" t="n">
        <x:v>6.15</x:v>
      </x:c>
      <x:c r="G540" s="31" t="inlineStr">
        <x:is>
          <x:t xml:space="preserve">шт</x:t>
        </x:is>
      </x:c>
      <x:c r="H540" s="31" t="inlineStr">
        <x:is>
          <x:t xml:space="preserve">Обязательный</x:t>
        </x:is>
      </x:c>
      <x:c r="I540" s="31" t="inlineStr">
        <x:is>
          <x:t xml:space="preserve">ГЗ-КИП-6</x:t>
        </x:is>
      </x:c>
      <x:c r="J540" s="31" t="inlineStr">
        <x:is>
          <x:t xml:space="preserve">Нет</x:t>
        </x:is>
      </x:c>
    </x:row>
    <x:row r="541">
      <x:c r="A541" s="31" t="inlineStr">
        <x:is>
          <x:t xml:space="preserve">СОСТ-00540</x:t>
        </x:is>
      </x:c>
      <x:c r="B541" s="31" t="inlineStr">
        <x:is>
          <x:t xml:space="preserve">ИЗД-036</x:t>
        </x:is>
      </x:c>
      <x:c r="C541" s="31" t="inlineStr">
        <x:is>
          <x:t xml:space="preserve">МАТ-0035</x:t>
        </x:is>
      </x:c>
      <x:c r="D541" s="31" t="inlineStr">
        <x:is>
          <x:t xml:space="preserve">Клапан электромагнитный 24В</x:t>
        </x:is>
      </x:c>
      <x:c r="E541" s="31" t="inlineStr">
        <x:is>
          <x:t xml:space="preserve">КИПиА</x:t>
        </x:is>
      </x:c>
      <x:c r="F541" s="31" t="n">
        <x:v>7.76</x:v>
      </x:c>
      <x:c r="G541" s="31" t="inlineStr">
        <x:is>
          <x:t xml:space="preserve">шт</x:t>
        </x:is>
      </x:c>
      <x:c r="H541" s="31" t="inlineStr">
        <x:is>
          <x:t xml:space="preserve">Обязательный</x:t>
        </x:is>
      </x:c>
      <x:c r="I541" s="31" t="inlineStr">
        <x:is>
          <x:t xml:space="preserve">ГЗ-КИП-7</x:t>
        </x:is>
      </x:c>
      <x:c r="J541" s="31" t="inlineStr">
        <x:is>
          <x:t xml:space="preserve">Нет</x:t>
        </x:is>
      </x:c>
    </x:row>
    <x:row r="542">
      <x:c r="A542" s="31" t="inlineStr">
        <x:is>
          <x:t xml:space="preserve">СОСТ-00541</x:t>
        </x:is>
      </x:c>
      <x:c r="B542" s="31" t="inlineStr">
        <x:is>
          <x:t xml:space="preserve">ИЗД-036</x:t>
        </x:is>
      </x:c>
      <x:c r="C542" s="31" t="inlineStr">
        <x:is>
          <x:t xml:space="preserve">МАТ-0033</x:t>
        </x:is>
      </x:c>
      <x:c r="D542" s="31" t="inlineStr">
        <x:is>
          <x:t xml:space="preserve">Расходомер электромагнитный Ду50</x:t>
        </x:is>
      </x:c>
      <x:c r="E542" s="31" t="inlineStr">
        <x:is>
          <x:t xml:space="preserve">КИПиА</x:t>
        </x:is>
      </x:c>
      <x:c r="F542" s="31" t="n">
        <x:v>1.81</x:v>
      </x:c>
      <x:c r="G542" s="31" t="inlineStr">
        <x:is>
          <x:t xml:space="preserve">шт</x:t>
        </x:is>
      </x:c>
      <x:c r="H542" s="31" t="inlineStr">
        <x:is>
          <x:t xml:space="preserve">Обязательный</x:t>
        </x:is>
      </x:c>
      <x:c r="I542" s="31" t="inlineStr">
        <x:is>
          <x:t xml:space="preserve">ГЗ-КИП-6</x:t>
        </x:is>
      </x:c>
      <x:c r="J542" s="31" t="inlineStr">
        <x:is>
          <x:t xml:space="preserve">Нет</x:t>
        </x:is>
      </x:c>
    </x:row>
    <x:row r="543">
      <x:c r="A543" s="31" t="inlineStr">
        <x:is>
          <x:t xml:space="preserve">СОСТ-00542</x:t>
        </x:is>
      </x:c>
      <x:c r="B543" s="31" t="inlineStr">
        <x:is>
          <x:t xml:space="preserve">ИЗД-036</x:t>
        </x:is>
      </x:c>
      <x:c r="C543" s="31" t="inlineStr">
        <x:is>
          <x:t xml:space="preserve">МАТ-0078</x:t>
        </x:is>
      </x:c>
      <x:c r="D543" s="31" t="inlineStr">
        <x:is>
          <x:t xml:space="preserve">Гайка М12</x:t>
        </x:is>
      </x:c>
      <x:c r="E543" s="31" t="inlineStr">
        <x:is>
          <x:t xml:space="preserve">Крепеж</x:t>
        </x:is>
      </x:c>
      <x:c r="F543" s="31" t="n">
        <x:v>6.21</x:v>
      </x:c>
      <x:c r="G543" s="31" t="inlineStr">
        <x:is>
          <x:t xml:space="preserve">шт</x:t>
        </x:is>
      </x:c>
      <x:c r="H543" s="31" t="inlineStr">
        <x:is>
          <x:t xml:space="preserve">Обязательный</x:t>
        </x:is>
      </x:c>
      <x:c r="I543" s="31" t="inlineStr">
        <x:is>
          <x:t xml:space="preserve">ГЗ-КРЕ-9</x:t>
        </x:is>
      </x:c>
      <x:c r="J543" s="31" t="inlineStr">
        <x:is>
          <x:t xml:space="preserve">Нет</x:t>
        </x:is>
      </x:c>
    </x:row>
    <x:row r="544">
      <x:c r="A544" s="31" t="inlineStr">
        <x:is>
          <x:t xml:space="preserve">СОСТ-00543</x:t>
        </x:is>
      </x:c>
      <x:c r="B544" s="31" t="inlineStr">
        <x:is>
          <x:t xml:space="preserve">ИЗД-036</x:t>
        </x:is>
      </x:c>
      <x:c r="C544" s="31" t="inlineStr">
        <x:is>
          <x:t xml:space="preserve">МАТ-0080</x:t>
        </x:is>
      </x:c>
      <x:c r="D544" s="31" t="inlineStr">
        <x:is>
          <x:t xml:space="preserve">Гайка М12 / исп.3</x:t>
        </x:is>
      </x:c>
      <x:c r="E544" s="31" t="inlineStr">
        <x:is>
          <x:t xml:space="preserve">Крепеж</x:t>
        </x:is>
      </x:c>
      <x:c r="F544" s="31" t="n">
        <x:v>7.68</x:v>
      </x:c>
      <x:c r="G544" s="31" t="inlineStr">
        <x:is>
          <x:t xml:space="preserve">шт</x:t>
        </x:is>
      </x:c>
      <x:c r="H544" s="31" t="inlineStr">
        <x:is>
          <x:t xml:space="preserve">Обязательный</x:t>
        </x:is>
      </x:c>
      <x:c r="I544" s="31" t="inlineStr">
        <x:is>
          <x:t xml:space="preserve">ГЗ-КРЕ-6</x:t>
        </x:is>
      </x:c>
      <x:c r="J544" s="31" t="inlineStr">
        <x:is>
          <x:t xml:space="preserve">Да</x:t>
        </x:is>
      </x:c>
    </x:row>
    <x:row r="545">
      <x:c r="A545" s="31" t="inlineStr">
        <x:is>
          <x:t xml:space="preserve">СОСТ-00544</x:t>
        </x:is>
      </x:c>
      <x:c r="B545" s="31" t="inlineStr">
        <x:is>
          <x:t xml:space="preserve">ИЗД-036</x:t>
        </x:is>
      </x:c>
      <x:c r="C545" s="31" t="inlineStr">
        <x:is>
          <x:t xml:space="preserve">МАТ-0075</x:t>
        </x:is>
      </x:c>
      <x:c r="D545" s="31" t="inlineStr">
        <x:is>
          <x:t xml:space="preserve">Болт М12</x:t>
        </x:is>
      </x:c>
      <x:c r="E545" s="31" t="inlineStr">
        <x:is>
          <x:t xml:space="preserve">Крепеж</x:t>
        </x:is>
      </x:c>
      <x:c r="F545" s="31" t="n">
        <x:v>5.13</x:v>
      </x:c>
      <x:c r="G545" s="31" t="inlineStr">
        <x:is>
          <x:t xml:space="preserve">шт</x:t>
        </x:is>
      </x:c>
      <x:c r="H545" s="31" t="inlineStr">
        <x:is>
          <x:t xml:space="preserve">Обязательный</x:t>
        </x:is>
      </x:c>
      <x:c r="I545" s="31" t="inlineStr">
        <x:is>
          <x:t xml:space="preserve">ГЗ-КРЕ-6</x:t>
        </x:is>
      </x:c>
      <x:c r="J545" s="31" t="inlineStr">
        <x:is>
          <x:t xml:space="preserve">Нет</x:t>
        </x:is>
      </x:c>
    </x:row>
    <x:row r="546">
      <x:c r="A546" s="31" t="inlineStr">
        <x:is>
          <x:t xml:space="preserve">СОСТ-00545</x:t>
        </x:is>
      </x:c>
      <x:c r="B546" s="31" t="inlineStr">
        <x:is>
          <x:t xml:space="preserve">ИЗД-036</x:t>
        </x:is>
      </x:c>
      <x:c r="C546" s="31" t="inlineStr">
        <x:is>
          <x:t xml:space="preserve">МАТ-0086</x:t>
        </x:is>
      </x:c>
      <x:c r="D546" s="31" t="inlineStr">
        <x:is>
          <x:t xml:space="preserve">Пленка стрейч / исп.2</x:t>
        </x:is>
      </x:c>
      <x:c r="E546" s="31" t="inlineStr">
        <x:is>
          <x:t xml:space="preserve">Упаковка</x:t>
        </x:is>
      </x:c>
      <x:c r="F546" s="31" t="n">
        <x:v>6.4</x:v>
      </x:c>
      <x:c r="G546" s="31" t="inlineStr">
        <x:is>
          <x:t xml:space="preserve">шт</x:t>
        </x:is>
      </x:c>
      <x:c r="H546" s="31" t="inlineStr">
        <x:is>
          <x:t xml:space="preserve">Обязательный</x:t>
        </x:is>
      </x:c>
      <x:c r="I546" s="31" t="inlineStr">
        <x:is>
          <x:t xml:space="preserve">ГЗ-УПА-4</x:t>
        </x:is>
      </x:c>
      <x:c r="J546" s="31" t="inlineStr">
        <x:is>
          <x:t xml:space="preserve">Нет</x:t>
        </x:is>
      </x:c>
    </x:row>
    <x:row r="547">
      <x:c r="A547" s="31" t="inlineStr">
        <x:is>
          <x:t xml:space="preserve">СОСТ-00546</x:t>
        </x:is>
      </x:c>
      <x:c r="B547" s="31" t="inlineStr">
        <x:is>
          <x:t xml:space="preserve">ИЗД-036</x:t>
        </x:is>
      </x:c>
      <x:c r="C547" s="31" t="inlineStr">
        <x:is>
          <x:t xml:space="preserve">МАТ-0085</x:t>
        </x:is>
      </x:c>
      <x:c r="D547" s="31" t="inlineStr">
        <x:is>
          <x:t xml:space="preserve">Пленка стрейч</x:t>
        </x:is>
      </x:c>
      <x:c r="E547" s="31" t="inlineStr">
        <x:is>
          <x:t xml:space="preserve">Упаковка</x:t>
        </x:is>
      </x:c>
      <x:c r="F547" s="31" t="n">
        <x:v>4.64</x:v>
      </x:c>
      <x:c r="G547" s="31" t="inlineStr">
        <x:is>
          <x:t xml:space="preserve">шт</x:t>
        </x:is>
      </x:c>
      <x:c r="H547" s="31" t="inlineStr">
        <x:is>
          <x:t xml:space="preserve">Обязательный</x:t>
        </x:is>
      </x:c>
      <x:c r="I547" s="31" t="inlineStr">
        <x:is>
          <x:t xml:space="preserve">ГЗ-УПА-5</x:t>
        </x:is>
      </x:c>
      <x:c r="J547" s="31" t="inlineStr">
        <x:is>
          <x:t xml:space="preserve">Нет</x:t>
        </x:is>
      </x:c>
    </x:row>
    <x:row r="548">
      <x:c r="A548" s="31" t="inlineStr">
        <x:is>
          <x:t xml:space="preserve">СОСТ-00547</x:t>
        </x:is>
      </x:c>
      <x:c r="B548" s="31" t="inlineStr">
        <x:is>
          <x:t xml:space="preserve">ИЗД-037</x:t>
        </x:is>
      </x:c>
      <x:c r="C548" s="31" t="inlineStr">
        <x:is>
          <x:t xml:space="preserve">МАТ-0001</x:t>
        </x:is>
      </x:c>
      <x:c r="D548" s="31" t="inlineStr">
        <x:is>
          <x:t xml:space="preserve">Лист стальной 09Г2С 8 мм</x:t>
        </x:is>
      </x:c>
      <x:c r="E548" s="31" t="inlineStr">
        <x:is>
          <x:t xml:space="preserve">Металл</x:t>
        </x:is>
      </x:c>
      <x:c r="F548" s="31" t="n">
        <x:v>37.93</x:v>
      </x:c>
      <x:c r="G548" s="31" t="inlineStr">
        <x:is>
          <x:t xml:space="preserve">м</x:t>
        </x:is>
      </x:c>
      <x:c r="H548" s="31" t="inlineStr">
        <x:is>
          <x:t xml:space="preserve">Обязательный</x:t>
        </x:is>
      </x:c>
      <x:c r="I548" s="31" t="inlineStr">
        <x:is>
          <x:t xml:space="preserve">ГЗ-МЕТ-9</x:t>
        </x:is>
      </x:c>
      <x:c r="J548" s="31" t="inlineStr">
        <x:is>
          <x:t xml:space="preserve">Нет</x:t>
        </x:is>
      </x:c>
    </x:row>
    <x:row r="549">
      <x:c r="A549" s="31" t="inlineStr">
        <x:is>
          <x:t xml:space="preserve">СОСТ-00548</x:t>
        </x:is>
      </x:c>
      <x:c r="B549" s="31" t="inlineStr">
        <x:is>
          <x:t xml:space="preserve">ИЗД-037</x:t>
        </x:is>
      </x:c>
      <x:c r="C549" s="31" t="inlineStr">
        <x:is>
          <x:t xml:space="preserve">МАТ-0014</x:t>
        </x:is>
      </x:c>
      <x:c r="D549" s="31" t="inlineStr">
        <x:is>
          <x:t xml:space="preserve">Уголок 50×5 / исп.2</x:t>
        </x:is>
      </x:c>
      <x:c r="E549" s="31" t="inlineStr">
        <x:is>
          <x:t xml:space="preserve">Металл</x:t>
        </x:is>
      </x:c>
      <x:c r="F549" s="31" t="n">
        <x:v>2.53</x:v>
      </x:c>
      <x:c r="G549" s="31" t="inlineStr">
        <x:is>
          <x:t xml:space="preserve">шт</x:t>
        </x:is>
      </x:c>
      <x:c r="H549" s="31" t="inlineStr">
        <x:is>
          <x:t xml:space="preserve">Обязательный</x:t>
        </x:is>
      </x:c>
      <x:c r="I549" s="31" t="inlineStr">
        <x:is>
          <x:t xml:space="preserve">ГЗ-МЕТ-9</x:t>
        </x:is>
      </x:c>
      <x:c r="J549" s="31" t="inlineStr">
        <x:is>
          <x:t xml:space="preserve">Нет</x:t>
        </x:is>
      </x:c>
    </x:row>
    <x:row r="550">
      <x:c r="A550" s="31" t="inlineStr">
        <x:is>
          <x:t xml:space="preserve">СОСТ-00549</x:t>
        </x:is>
      </x:c>
      <x:c r="B550" s="31" t="inlineStr">
        <x:is>
          <x:t xml:space="preserve">ИЗД-037</x:t>
        </x:is>
      </x:c>
      <x:c r="C550" s="31" t="inlineStr">
        <x:is>
          <x:t xml:space="preserve">МАТ-0053</x:t>
        </x:is>
      </x:c>
      <x:c r="D550" s="31" t="inlineStr">
        <x:is>
          <x:t xml:space="preserve">Кран шаровой Ду50 / исп.3</x:t>
        </x:is>
      </x:c>
      <x:c r="E550" s="31" t="inlineStr">
        <x:is>
          <x:t xml:space="preserve">Запорная арматура</x:t>
        </x:is>
      </x:c>
      <x:c r="F550" s="31" t="n">
        <x:v>6.23</x:v>
      </x:c>
      <x:c r="G550" s="31" t="inlineStr">
        <x:is>
          <x:t xml:space="preserve">шт</x:t>
        </x:is>
      </x:c>
      <x:c r="H550" s="31" t="inlineStr">
        <x:is>
          <x:t xml:space="preserve">Обязательный</x:t>
        </x:is>
      </x:c>
      <x:c r="I550" s="31" t="inlineStr">
        <x:is>
          <x:t xml:space="preserve">ГЗ-ЗАП-6</x:t>
        </x:is>
      </x:c>
      <x:c r="J550" s="31" t="inlineStr">
        <x:is>
          <x:t xml:space="preserve">Нет</x:t>
        </x:is>
      </x:c>
    </x:row>
    <x:row r="551">
      <x:c r="A551" s="31" t="inlineStr">
        <x:is>
          <x:t xml:space="preserve">СОСТ-00550</x:t>
        </x:is>
      </x:c>
      <x:c r="B551" s="31" t="inlineStr">
        <x:is>
          <x:t xml:space="preserve">ИЗД-037</x:t>
        </x:is>
      </x:c>
      <x:c r="C551" s="31" t="inlineStr">
        <x:is>
          <x:t xml:space="preserve">МАТ-0051</x:t>
        </x:is>
      </x:c>
      <x:c r="D551" s="31" t="inlineStr">
        <x:is>
          <x:t xml:space="preserve">Кран шаровой Ду50</x:t>
        </x:is>
      </x:c>
      <x:c r="E551" s="31" t="inlineStr">
        <x:is>
          <x:t xml:space="preserve">Запорная арматура</x:t>
        </x:is>
      </x:c>
      <x:c r="F551" s="31" t="n">
        <x:v>5.19</x:v>
      </x:c>
      <x:c r="G551" s="31" t="inlineStr">
        <x:is>
          <x:t xml:space="preserve">шт</x:t>
        </x:is>
      </x:c>
      <x:c r="H551" s="31" t="inlineStr">
        <x:is>
          <x:t xml:space="preserve">Обязательный</x:t>
        </x:is>
      </x:c>
      <x:c r="I551" s="31" t="inlineStr">
        <x:is>
          <x:t xml:space="preserve">ГЗ-ЗАП-6</x:t>
        </x:is>
      </x:c>
      <x:c r="J551" s="31" t="inlineStr">
        <x:is>
          <x:t xml:space="preserve">Нет</x:t>
        </x:is>
      </x:c>
    </x:row>
    <x:row r="552">
      <x:c r="A552" s="31" t="inlineStr">
        <x:is>
          <x:t xml:space="preserve">СОСТ-00551</x:t>
        </x:is>
      </x:c>
      <x:c r="B552" s="31" t="inlineStr">
        <x:is>
          <x:t xml:space="preserve">ИЗД-037</x:t>
        </x:is>
      </x:c>
      <x:c r="C552" s="31" t="inlineStr">
        <x:is>
          <x:t xml:space="preserve">МАТ-0033</x:t>
        </x:is>
      </x:c>
      <x:c r="D552" s="31" t="inlineStr">
        <x:is>
          <x:t xml:space="preserve">Расходомер электромагнитный Ду50</x:t>
        </x:is>
      </x:c>
      <x:c r="E552" s="31" t="inlineStr">
        <x:is>
          <x:t xml:space="preserve">КИПиА</x:t>
        </x:is>
      </x:c>
      <x:c r="F552" s="31" t="n">
        <x:v>7.98</x:v>
      </x:c>
      <x:c r="G552" s="31" t="inlineStr">
        <x:is>
          <x:t xml:space="preserve">шт</x:t>
        </x:is>
      </x:c>
      <x:c r="H552" s="31" t="inlineStr">
        <x:is>
          <x:t xml:space="preserve">Обязательный</x:t>
        </x:is>
      </x:c>
      <x:c r="I552" s="31" t="inlineStr">
        <x:is>
          <x:t xml:space="preserve">ГЗ-КИП-6</x:t>
        </x:is>
      </x:c>
      <x:c r="J552" s="31" t="inlineStr">
        <x:is>
          <x:t xml:space="preserve">Нет</x:t>
        </x:is>
      </x:c>
    </x:row>
    <x:row r="553">
      <x:c r="A553" s="31" t="inlineStr">
        <x:is>
          <x:t xml:space="preserve">СОСТ-00552</x:t>
        </x:is>
      </x:c>
      <x:c r="B553" s="31" t="inlineStr">
        <x:is>
          <x:t xml:space="preserve">ИЗД-037</x:t>
        </x:is>
      </x:c>
      <x:c r="C553" s="31" t="inlineStr">
        <x:is>
          <x:t xml:space="preserve">МАТ-0071</x:t>
        </x:is>
      </x:c>
      <x:c r="D553" s="31" t="inlineStr">
        <x:is>
          <x:t xml:space="preserve">Эмаль полиуретановая / исп.3</x:t>
        </x:is>
      </x:c>
      <x:c r="E553" s="31" t="inlineStr">
        <x:is>
          <x:t xml:space="preserve">Покраска</x:t>
        </x:is>
      </x:c>
      <x:c r="F553" s="31" t="n">
        <x:v>77.39</x:v>
      </x:c>
      <x:c r="G553" s="31" t="inlineStr">
        <x:is>
          <x:t xml:space="preserve">кг</x:t>
        </x:is>
      </x:c>
      <x:c r="H553" s="31" t="inlineStr">
        <x:is>
          <x:t xml:space="preserve">Обязательный</x:t>
        </x:is>
      </x:c>
      <x:c r="I553" s="31" t="inlineStr">
        <x:is>
          <x:t xml:space="preserve">ГЗ-ПОК-2</x:t>
        </x:is>
      </x:c>
      <x:c r="J553" s="31" t="inlineStr">
        <x:is>
          <x:t xml:space="preserve">Нет</x:t>
        </x:is>
      </x:c>
    </x:row>
    <x:row r="554">
      <x:c r="A554" s="31" t="inlineStr">
        <x:is>
          <x:t xml:space="preserve">СОСТ-00553</x:t>
        </x:is>
      </x:c>
      <x:c r="B554" s="31" t="inlineStr">
        <x:is>
          <x:t xml:space="preserve">ИЗД-037</x:t>
        </x:is>
      </x:c>
      <x:c r="C554" s="31" t="inlineStr">
        <x:is>
          <x:t xml:space="preserve">МАТ-0078</x:t>
        </x:is>
      </x:c>
      <x:c r="D554" s="31" t="inlineStr">
        <x:is>
          <x:t xml:space="preserve">Гайка М12</x:t>
        </x:is>
      </x:c>
      <x:c r="E554" s="31" t="inlineStr">
        <x:is>
          <x:t xml:space="preserve">Крепеж</x:t>
        </x:is>
      </x:c>
      <x:c r="F554" s="31" t="n">
        <x:v>6.94</x:v>
      </x:c>
      <x:c r="G554" s="31" t="inlineStr">
        <x:is>
          <x:t xml:space="preserve">шт</x:t>
        </x:is>
      </x:c>
      <x:c r="H554" s="31" t="inlineStr">
        <x:is>
          <x:t xml:space="preserve">Опция</x:t>
        </x:is>
      </x:c>
      <x:c r="I554" s="31" t="inlineStr">
        <x:is>
          <x:t xml:space="preserve">ГЗ-КРЕ-9</x:t>
        </x:is>
      </x:c>
      <x:c r="J554" s="31" t="inlineStr">
        <x:is>
          <x:t xml:space="preserve">Нет</x:t>
        </x:is>
      </x:c>
    </x:row>
    <x:row r="555">
      <x:c r="A555" s="31" t="inlineStr">
        <x:is>
          <x:t xml:space="preserve">СОСТ-00554</x:t>
        </x:is>
      </x:c>
      <x:c r="B555" s="31" t="inlineStr">
        <x:is>
          <x:t xml:space="preserve">ИЗД-037</x:t>
        </x:is>
      </x:c>
      <x:c r="C555" s="31" t="inlineStr">
        <x:is>
          <x:t xml:space="preserve">МАТ-0084</x:t>
        </x:is>
      </x:c>
      <x:c r="D555" s="31" t="inlineStr">
        <x:is>
          <x:t xml:space="preserve">Поддон 1200×800</x:t>
        </x:is>
      </x:c>
      <x:c r="E555" s="31" t="inlineStr">
        <x:is>
          <x:t xml:space="preserve">Упаковка</x:t>
        </x:is>
      </x:c>
      <x:c r="F555" s="31" t="n">
        <x:v>7.46</x:v>
      </x:c>
      <x:c r="G555" s="31" t="inlineStr">
        <x:is>
          <x:t xml:space="preserve">шт</x:t>
        </x:is>
      </x:c>
      <x:c r="H555" s="31" t="inlineStr">
        <x:is>
          <x:t xml:space="preserve">Обязательный</x:t>
        </x:is>
      </x:c>
      <x:c r="I555" s="31" t="inlineStr">
        <x:is>
          <x:t xml:space="preserve">ГЗ-УПА-3</x:t>
        </x:is>
      </x:c>
      <x:c r="J555" s="31" t="inlineStr">
        <x:is>
          <x:t xml:space="preserve">Нет</x:t>
        </x:is>
      </x:c>
    </x:row>
    <x:row r="556">
      <x:c r="A556" s="31" t="inlineStr">
        <x:is>
          <x:t xml:space="preserve">СОСТ-00555</x:t>
        </x:is>
      </x:c>
      <x:c r="B556" s="31" t="inlineStr">
        <x:is>
          <x:t xml:space="preserve">ИЗД-037</x:t>
        </x:is>
      </x:c>
      <x:c r="C556" s="31" t="inlineStr">
        <x:is>
          <x:t xml:space="preserve">МАТ-0089</x:t>
        </x:is>
      </x:c>
      <x:c r="D556" s="31" t="inlineStr">
        <x:is>
          <x:t xml:space="preserve">Маркировочная этикетка</x:t>
        </x:is>
      </x:c>
      <x:c r="E556" s="31" t="inlineStr">
        <x:is>
          <x:t xml:space="preserve">Упаковка</x:t>
        </x:is>
      </x:c>
      <x:c r="F556" s="31" t="n">
        <x:v>3.74</x:v>
      </x:c>
      <x:c r="G556" s="31" t="inlineStr">
        <x:is>
          <x:t xml:space="preserve">шт</x:t>
        </x:is>
      </x:c>
      <x:c r="H556" s="31" t="inlineStr">
        <x:is>
          <x:t xml:space="preserve">Замена</x:t>
        </x:is>
      </x:c>
      <x:c r="I556" s="31" t="inlineStr">
        <x:is>
          <x:t xml:space="preserve">ГЗ-УПА-7</x:t>
        </x:is>
      </x:c>
      <x:c r="J556" s="31" t="inlineStr">
        <x:is>
          <x:t xml:space="preserve">Нет</x:t>
        </x:is>
      </x:c>
    </x:row>
    <x:row r="557">
      <x:c r="A557" s="31" t="inlineStr">
        <x:is>
          <x:t xml:space="preserve">СОСТ-00556</x:t>
        </x:is>
      </x:c>
      <x:c r="B557" s="31" t="inlineStr">
        <x:is>
          <x:t xml:space="preserve">ИЗД-037</x:t>
        </x:is>
      </x:c>
      <x:c r="C557" s="31" t="inlineStr">
        <x:is>
          <x:t xml:space="preserve">МАТ-0085</x:t>
        </x:is>
      </x:c>
      <x:c r="D557" s="31" t="inlineStr">
        <x:is>
          <x:t xml:space="preserve">Пленка стрейч</x:t>
        </x:is>
      </x:c>
      <x:c r="E557" s="31" t="inlineStr">
        <x:is>
          <x:t xml:space="preserve">Упаковка</x:t>
        </x:is>
      </x:c>
      <x:c r="F557" s="31" t="n">
        <x:v>7.94</x:v>
      </x:c>
      <x:c r="G557" s="31" t="inlineStr">
        <x:is>
          <x:t xml:space="preserve">шт</x:t>
        </x:is>
      </x:c>
      <x:c r="H557" s="31" t="inlineStr">
        <x:is>
          <x:t xml:space="preserve">Обязательный</x:t>
        </x:is>
      </x:c>
      <x:c r="I557" s="31" t="inlineStr">
        <x:is>
          <x:t xml:space="preserve">ГЗ-УПА-5</x:t>
        </x:is>
      </x:c>
      <x:c r="J557" s="31" t="inlineStr">
        <x:is>
          <x:t xml:space="preserve">Нет</x:t>
        </x:is>
      </x:c>
    </x:row>
    <x:row r="558">
      <x:c r="A558" s="31" t="inlineStr">
        <x:is>
          <x:t xml:space="preserve">СОСТ-00557</x:t>
        </x:is>
      </x:c>
      <x:c r="B558" s="31" t="inlineStr">
        <x:is>
          <x:t xml:space="preserve">ИЗД-038</x:t>
        </x:is>
      </x:c>
      <x:c r="C558" s="31" t="inlineStr">
        <x:is>
          <x:t xml:space="preserve">МАТ-0008</x:t>
        </x:is>
      </x:c>
      <x:c r="D558" s="31" t="inlineStr">
        <x:is>
          <x:t xml:space="preserve">Швеллер 12П</x:t>
        </x:is>
      </x:c>
      <x:c r="E558" s="31" t="inlineStr">
        <x:is>
          <x:t xml:space="preserve">Металл</x:t>
        </x:is>
      </x:c>
      <x:c r="F558" s="31" t="n">
        <x:v>7.93</x:v>
      </x:c>
      <x:c r="G558" s="31" t="inlineStr">
        <x:is>
          <x:t xml:space="preserve">шт</x:t>
        </x:is>
      </x:c>
      <x:c r="H558" s="31" t="inlineStr">
        <x:is>
          <x:t xml:space="preserve">Обязательный</x:t>
        </x:is>
      </x:c>
      <x:c r="I558" s="31" t="inlineStr">
        <x:is>
          <x:t xml:space="preserve">ГЗ-МЕТ-3</x:t>
        </x:is>
      </x:c>
      <x:c r="J558" s="31" t="inlineStr">
        <x:is>
          <x:t xml:space="preserve">Нет</x:t>
        </x:is>
      </x:c>
    </x:row>
    <x:row r="559">
      <x:c r="A559" s="31" t="inlineStr">
        <x:is>
          <x:t xml:space="preserve">СОСТ-00558</x:t>
        </x:is>
      </x:c>
      <x:c r="B559" s="31" t="inlineStr">
        <x:is>
          <x:t xml:space="preserve">ИЗД-038</x:t>
        </x:is>
      </x:c>
      <x:c r="C559" s="31" t="inlineStr">
        <x:is>
          <x:t xml:space="preserve">МАТ-0009</x:t>
        </x:is>
      </x:c>
      <x:c r="D559" s="31" t="inlineStr">
        <x:is>
          <x:t xml:space="preserve">Фланец Ду50 Ру16</x:t>
        </x:is>
      </x:c>
      <x:c r="E559" s="31" t="inlineStr">
        <x:is>
          <x:t xml:space="preserve">Металл</x:t>
        </x:is>
      </x:c>
      <x:c r="F559" s="31" t="n">
        <x:v>24.02</x:v>
      </x:c>
      <x:c r="G559" s="31" t="inlineStr">
        <x:is>
          <x:t xml:space="preserve">л</x:t>
        </x:is>
      </x:c>
      <x:c r="H559" s="31" t="inlineStr">
        <x:is>
          <x:t xml:space="preserve">Опция</x:t>
        </x:is>
      </x:c>
      <x:c r="I559" s="31" t="inlineStr">
        <x:is>
          <x:t xml:space="preserve">ГЗ-МЕТ-7</x:t>
        </x:is>
      </x:c>
      <x:c r="J559" s="31" t="inlineStr">
        <x:is>
          <x:t xml:space="preserve">Нет</x:t>
        </x:is>
      </x:c>
    </x:row>
    <x:row r="560">
      <x:c r="A560" s="31" t="inlineStr">
        <x:is>
          <x:t xml:space="preserve">СОСТ-00559</x:t>
        </x:is>
      </x:c>
      <x:c r="B560" s="31" t="inlineStr">
        <x:is>
          <x:t xml:space="preserve">ИЗД-038</x:t>
        </x:is>
      </x:c>
      <x:c r="C560" s="31" t="inlineStr">
        <x:is>
          <x:t xml:space="preserve">МАТ-0009</x:t>
        </x:is>
      </x:c>
      <x:c r="D560" s="31" t="inlineStr">
        <x:is>
          <x:t xml:space="preserve">Фланец Ду50 Ру16</x:t>
        </x:is>
      </x:c>
      <x:c r="E560" s="31" t="inlineStr">
        <x:is>
          <x:t xml:space="preserve">Металл</x:t>
        </x:is>
      </x:c>
      <x:c r="F560" s="31" t="n">
        <x:v>12.21</x:v>
      </x:c>
      <x:c r="G560" s="31" t="inlineStr">
        <x:is>
          <x:t xml:space="preserve">л</x:t>
        </x:is>
      </x:c>
      <x:c r="H560" s="31" t="inlineStr">
        <x:is>
          <x:t xml:space="preserve">Обязательный</x:t>
        </x:is>
      </x:c>
      <x:c r="I560" s="31" t="inlineStr">
        <x:is>
          <x:t xml:space="preserve">ГЗ-МЕТ-7</x:t>
        </x:is>
      </x:c>
      <x:c r="J560" s="31" t="inlineStr">
        <x:is>
          <x:t xml:space="preserve">Нет</x:t>
        </x:is>
      </x:c>
    </x:row>
    <x:row r="561">
      <x:c r="A561" s="31" t="inlineStr">
        <x:is>
          <x:t xml:space="preserve">СОСТ-00560</x:t>
        </x:is>
      </x:c>
      <x:c r="B561" s="31" t="inlineStr">
        <x:is>
          <x:t xml:space="preserve">ИЗД-038</x:t>
        </x:is>
      </x:c>
      <x:c r="C561" s="31" t="inlineStr">
        <x:is>
          <x:t xml:space="preserve">МАТ-0055</x:t>
        </x:is>
      </x:c>
      <x:c r="D561" s="31" t="inlineStr">
        <x:is>
          <x:t xml:space="preserve">Клапан обратный Ду50</x:t>
        </x:is>
      </x:c>
      <x:c r="E561" s="31" t="inlineStr">
        <x:is>
          <x:t xml:space="preserve">Запорная арматура</x:t>
        </x:is>
      </x:c>
      <x:c r="F561" s="31" t="n">
        <x:v>4.2</x:v>
      </x:c>
      <x:c r="G561" s="31" t="inlineStr">
        <x:is>
          <x:t xml:space="preserve">шт</x:t>
        </x:is>
      </x:c>
      <x:c r="H561" s="31" t="inlineStr">
        <x:is>
          <x:t xml:space="preserve">Обязательный</x:t>
        </x:is>
      </x:c>
      <x:c r="I561" s="31" t="inlineStr">
        <x:is>
          <x:t xml:space="preserve">ГЗ-ЗАП-7</x:t>
        </x:is>
      </x:c>
      <x:c r="J561" s="31" t="inlineStr">
        <x:is>
          <x:t xml:space="preserve">Нет</x:t>
        </x:is>
      </x:c>
    </x:row>
    <x:row r="562">
      <x:c r="A562" s="31" t="inlineStr">
        <x:is>
          <x:t xml:space="preserve">СОСТ-00561</x:t>
        </x:is>
      </x:c>
      <x:c r="B562" s="31" t="inlineStr">
        <x:is>
          <x:t xml:space="preserve">ИЗД-038</x:t>
        </x:is>
      </x:c>
      <x:c r="C562" s="31" t="inlineStr">
        <x:is>
          <x:t xml:space="preserve">МАТ-0034</x:t>
        </x:is>
      </x:c>
      <x:c r="D562" s="31" t="inlineStr">
        <x:is>
          <x:t xml:space="preserve">Манометр виброустойчивый</x:t>
        </x:is>
      </x:c>
      <x:c r="E562" s="31" t="inlineStr">
        <x:is>
          <x:t xml:space="preserve">КИПиА</x:t>
        </x:is>
      </x:c>
      <x:c r="F562" s="31" t="n">
        <x:v>3.04</x:v>
      </x:c>
      <x:c r="G562" s="31" t="inlineStr">
        <x:is>
          <x:t xml:space="preserve">шт</x:t>
        </x:is>
      </x:c>
      <x:c r="H562" s="31" t="inlineStr">
        <x:is>
          <x:t xml:space="preserve">Обязательный</x:t>
        </x:is>
      </x:c>
      <x:c r="I562" s="31" t="inlineStr">
        <x:is>
          <x:t xml:space="preserve">ГЗ-КИП-3</x:t>
        </x:is>
      </x:c>
      <x:c r="J562" s="31" t="inlineStr">
        <x:is>
          <x:t xml:space="preserve">Нет</x:t>
        </x:is>
      </x:c>
    </x:row>
    <x:row r="563">
      <x:c r="A563" s="31" t="inlineStr">
        <x:is>
          <x:t xml:space="preserve">СОСТ-00562</x:t>
        </x:is>
      </x:c>
      <x:c r="B563" s="31" t="inlineStr">
        <x:is>
          <x:t xml:space="preserve">ИЗД-038</x:t>
        </x:is>
      </x:c>
      <x:c r="C563" s="31" t="inlineStr">
        <x:is>
          <x:t xml:space="preserve">МАТ-0036</x:t>
        </x:is>
      </x:c>
      <x:c r="D563" s="31" t="inlineStr">
        <x:is>
          <x:t xml:space="preserve">Клапан электромагнитный 24В / исп.2</x:t>
        </x:is>
      </x:c>
      <x:c r="E563" s="31" t="inlineStr">
        <x:is>
          <x:t xml:space="preserve">КИПиА</x:t>
        </x:is>
      </x:c>
      <x:c r="F563" s="31" t="n">
        <x:v>2.37</x:v>
      </x:c>
      <x:c r="G563" s="31" t="inlineStr">
        <x:is>
          <x:t xml:space="preserve">шт</x:t>
        </x:is>
      </x:c>
      <x:c r="H563" s="31" t="inlineStr">
        <x:is>
          <x:t xml:space="preserve">Обязательный</x:t>
        </x:is>
      </x:c>
      <x:c r="I563" s="31" t="inlineStr">
        <x:is>
          <x:t xml:space="preserve">ГЗ-КИП-6</x:t>
        </x:is>
      </x:c>
      <x:c r="J563" s="31" t="inlineStr">
        <x:is>
          <x:t xml:space="preserve">Нет</x:t>
        </x:is>
      </x:c>
    </x:row>
    <x:row r="564">
      <x:c r="A564" s="31" t="inlineStr">
        <x:is>
          <x:t xml:space="preserve">СОСТ-00563</x:t>
        </x:is>
      </x:c>
      <x:c r="B564" s="31" t="inlineStr">
        <x:is>
          <x:t xml:space="preserve">ИЗД-038</x:t>
        </x:is>
      </x:c>
      <x:c r="C564" s="31" t="inlineStr">
        <x:is>
          <x:t xml:space="preserve">МАТ-0037</x:t>
        </x:is>
      </x:c>
      <x:c r="D564" s="31" t="inlineStr">
        <x:is>
          <x:t xml:space="preserve">Клапан электромагнитный 24В / исп.3</x:t>
        </x:is>
      </x:c>
      <x:c r="E564" s="31" t="inlineStr">
        <x:is>
          <x:t xml:space="preserve">КИПиА</x:t>
        </x:is>
      </x:c>
      <x:c r="F564" s="31" t="n">
        <x:v>5.03</x:v>
      </x:c>
      <x:c r="G564" s="31" t="inlineStr">
        <x:is>
          <x:t xml:space="preserve">шт</x:t>
        </x:is>
      </x:c>
      <x:c r="H564" s="31" t="inlineStr">
        <x:is>
          <x:t xml:space="preserve">Обязательный</x:t>
        </x:is>
      </x:c>
      <x:c r="I564" s="31" t="inlineStr">
        <x:is>
          <x:t xml:space="preserve">ГЗ-КИП-3</x:t>
        </x:is>
      </x:c>
      <x:c r="J564" s="31" t="inlineStr">
        <x:is>
          <x:t xml:space="preserve">Нет</x:t>
        </x:is>
      </x:c>
    </x:row>
    <x:row r="565">
      <x:c r="A565" s="31" t="inlineStr">
        <x:is>
          <x:t xml:space="preserve">СОСТ-00564</x:t>
        </x:is>
      </x:c>
      <x:c r="B565" s="31" t="inlineStr">
        <x:is>
          <x:t xml:space="preserve">ИЗД-038</x:t>
        </x:is>
      </x:c>
      <x:c r="C565" s="31" t="inlineStr">
        <x:is>
          <x:t xml:space="preserve">МАТ-0071</x:t>
        </x:is>
      </x:c>
      <x:c r="D565" s="31" t="inlineStr">
        <x:is>
          <x:t xml:space="preserve">Эмаль полиуретановая / исп.3</x:t>
        </x:is>
      </x:c>
      <x:c r="E565" s="31" t="inlineStr">
        <x:is>
          <x:t xml:space="preserve">Покраска</x:t>
        </x:is>
      </x:c>
      <x:c r="F565" s="31" t="n">
        <x:v>35.31</x:v>
      </x:c>
      <x:c r="G565" s="31" t="inlineStr">
        <x:is>
          <x:t xml:space="preserve">кг</x:t>
        </x:is>
      </x:c>
      <x:c r="H565" s="31" t="inlineStr">
        <x:is>
          <x:t xml:space="preserve">Обязательный</x:t>
        </x:is>
      </x:c>
      <x:c r="I565" s="31" t="inlineStr">
        <x:is>
          <x:t xml:space="preserve">ГЗ-ПОК-2</x:t>
        </x:is>
      </x:c>
      <x:c r="J565" s="31" t="inlineStr">
        <x:is>
          <x:t xml:space="preserve">Нет</x:t>
        </x:is>
      </x:c>
    </x:row>
    <x:row r="566">
      <x:c r="A566" s="31" t="inlineStr">
        <x:is>
          <x:t xml:space="preserve">СОСТ-00565</x:t>
        </x:is>
      </x:c>
      <x:c r="B566" s="31" t="inlineStr">
        <x:is>
          <x:t xml:space="preserve">ИЗД-038</x:t>
        </x:is>
      </x:c>
      <x:c r="C566" s="31" t="inlineStr">
        <x:is>
          <x:t xml:space="preserve">МАТ-0080</x:t>
        </x:is>
      </x:c>
      <x:c r="D566" s="31" t="inlineStr">
        <x:is>
          <x:t xml:space="preserve">Гайка М12 / исп.3</x:t>
        </x:is>
      </x:c>
      <x:c r="E566" s="31" t="inlineStr">
        <x:is>
          <x:t xml:space="preserve">Крепеж</x:t>
        </x:is>
      </x:c>
      <x:c r="F566" s="31" t="n">
        <x:v>7.82</x:v>
      </x:c>
      <x:c r="G566" s="31" t="inlineStr">
        <x:is>
          <x:t xml:space="preserve">шт</x:t>
        </x:is>
      </x:c>
      <x:c r="H566" s="31" t="inlineStr">
        <x:is>
          <x:t xml:space="preserve">Обязательный</x:t>
        </x:is>
      </x:c>
      <x:c r="I566" s="31" t="inlineStr">
        <x:is>
          <x:t xml:space="preserve">ГЗ-КРЕ-6</x:t>
        </x:is>
      </x:c>
      <x:c r="J566" s="31" t="inlineStr">
        <x:is>
          <x:t xml:space="preserve">Да</x:t>
        </x:is>
      </x:c>
    </x:row>
    <x:row r="567">
      <x:c r="A567" s="31" t="inlineStr">
        <x:is>
          <x:t xml:space="preserve">СОСТ-00566</x:t>
        </x:is>
      </x:c>
      <x:c r="B567" s="31" t="inlineStr">
        <x:is>
          <x:t xml:space="preserve">ИЗД-038</x:t>
        </x:is>
      </x:c>
      <x:c r="C567" s="31" t="inlineStr">
        <x:is>
          <x:t xml:space="preserve">МАТ-0089</x:t>
        </x:is>
      </x:c>
      <x:c r="D567" s="31" t="inlineStr">
        <x:is>
          <x:t xml:space="preserve">Маркировочная этикетка</x:t>
        </x:is>
      </x:c>
      <x:c r="E567" s="31" t="inlineStr">
        <x:is>
          <x:t xml:space="preserve">Упаковка</x:t>
        </x:is>
      </x:c>
      <x:c r="F567" s="31" t="n">
        <x:v>3.37</x:v>
      </x:c>
      <x:c r="G567" s="31" t="inlineStr">
        <x:is>
          <x:t xml:space="preserve">шт</x:t>
        </x:is>
      </x:c>
      <x:c r="H567" s="31" t="inlineStr">
        <x:is>
          <x:t xml:space="preserve">Обязательный</x:t>
        </x:is>
      </x:c>
      <x:c r="I567" s="31" t="inlineStr">
        <x:is>
          <x:t xml:space="preserve">ГЗ-УПА-7</x:t>
        </x:is>
      </x:c>
      <x:c r="J567" s="31" t="inlineStr">
        <x:is>
          <x:t xml:space="preserve">Нет</x:t>
        </x:is>
      </x:c>
    </x:row>
    <x:row r="568">
      <x:c r="A568" s="31" t="inlineStr">
        <x:is>
          <x:t xml:space="preserve">СОСТ-00567</x:t>
        </x:is>
      </x:c>
      <x:c r="B568" s="31" t="inlineStr">
        <x:is>
          <x:t xml:space="preserve">ИЗД-038</x:t>
        </x:is>
      </x:c>
      <x:c r="C568" s="31" t="inlineStr">
        <x:is>
          <x:t xml:space="preserve">МАТ-0089</x:t>
        </x:is>
      </x:c>
      <x:c r="D568" s="31" t="inlineStr">
        <x:is>
          <x:t xml:space="preserve">Маркировочная этикетка</x:t>
        </x:is>
      </x:c>
      <x:c r="E568" s="31" t="inlineStr">
        <x:is>
          <x:t xml:space="preserve">Упаковка</x:t>
        </x:is>
      </x:c>
      <x:c r="F568" s="31" t="n">
        <x:v>3.83</x:v>
      </x:c>
      <x:c r="G568" s="31" t="inlineStr">
        <x:is>
          <x:t xml:space="preserve">шт</x:t>
        </x:is>
      </x:c>
      <x:c r="H568" s="31" t="inlineStr">
        <x:is>
          <x:t xml:space="preserve">Обязательный</x:t>
        </x:is>
      </x:c>
      <x:c r="I568" s="31" t="inlineStr">
        <x:is>
          <x:t xml:space="preserve">ГЗ-УПА-7</x:t>
        </x:is>
      </x:c>
      <x:c r="J568" s="31" t="inlineStr">
        <x:is>
          <x:t xml:space="preserve">Нет</x:t>
        </x:is>
      </x:c>
    </x:row>
    <x:row r="569">
      <x:c r="A569" s="31" t="inlineStr">
        <x:is>
          <x:t xml:space="preserve">СОСТ-00568</x:t>
        </x:is>
      </x:c>
      <x:c r="B569" s="31" t="inlineStr">
        <x:is>
          <x:t xml:space="preserve">ИЗД-038</x:t>
        </x:is>
      </x:c>
      <x:c r="C569" s="31" t="inlineStr">
        <x:is>
          <x:t xml:space="preserve">МАТ-0087</x:t>
        </x:is>
      </x:c>
      <x:c r="D569" s="31" t="inlineStr">
        <x:is>
          <x:t xml:space="preserve">Ящик фанерный</x:t>
        </x:is>
      </x:c>
      <x:c r="E569" s="31" t="inlineStr">
        <x:is>
          <x:t xml:space="preserve">Упаковка</x:t>
        </x:is>
      </x:c>
      <x:c r="F569" s="31" t="n">
        <x:v>3.12</x:v>
      </x:c>
      <x:c r="G569" s="31" t="inlineStr">
        <x:is>
          <x:t xml:space="preserve">шт</x:t>
        </x:is>
      </x:c>
      <x:c r="H569" s="31" t="inlineStr">
        <x:is>
          <x:t xml:space="preserve">Обязательный</x:t>
        </x:is>
      </x:c>
      <x:c r="I569" s="31" t="inlineStr">
        <x:is>
          <x:t xml:space="preserve">ГЗ-УПА-6</x:t>
        </x:is>
      </x:c>
      <x:c r="J569" s="31" t="inlineStr">
        <x:is>
          <x:t xml:space="preserve">Нет</x:t>
        </x:is>
      </x:c>
    </x:row>
    <x:row r="570">
      <x:c r="A570" s="31" t="inlineStr">
        <x:is>
          <x:t xml:space="preserve">СОСТ-00569</x:t>
        </x:is>
      </x:c>
      <x:c r="B570" s="31" t="inlineStr">
        <x:is>
          <x:t xml:space="preserve">ИЗД-039</x:t>
        </x:is>
      </x:c>
      <x:c r="C570" s="31" t="inlineStr">
        <x:is>
          <x:t xml:space="preserve">МАТ-0007</x:t>
        </x:is>
      </x:c>
      <x:c r="D570" s="31" t="inlineStr">
        <x:is>
          <x:t xml:space="preserve">Труба нержавеющая 38×3 / исп.2</x:t>
        </x:is>
      </x:c>
      <x:c r="E570" s="31" t="inlineStr">
        <x:is>
          <x:t xml:space="preserve">Металл</x:t>
        </x:is>
      </x:c>
      <x:c r="F570" s="31" t="n">
        <x:v>79.31</x:v>
      </x:c>
      <x:c r="G570" s="31" t="inlineStr">
        <x:is>
          <x:t xml:space="preserve">л</x:t>
        </x:is>
      </x:c>
      <x:c r="H570" s="31" t="inlineStr">
        <x:is>
          <x:t xml:space="preserve">Обязательный</x:t>
        </x:is>
      </x:c>
      <x:c r="I570" s="31" t="inlineStr">
        <x:is>
          <x:t xml:space="preserve">ГЗ-МЕТ-3</x:t>
        </x:is>
      </x:c>
      <x:c r="J570" s="31" t="inlineStr">
        <x:is>
          <x:t xml:space="preserve">Нет</x:t>
        </x:is>
      </x:c>
    </x:row>
    <x:row r="571">
      <x:c r="A571" s="31" t="inlineStr">
        <x:is>
          <x:t xml:space="preserve">СОСТ-00570</x:t>
        </x:is>
      </x:c>
      <x:c r="B571" s="31" t="inlineStr">
        <x:is>
          <x:t xml:space="preserve">ИЗД-039</x:t>
        </x:is>
      </x:c>
      <x:c r="C571" s="31" t="inlineStr">
        <x:is>
          <x:t xml:space="preserve">МАТ-0008</x:t>
        </x:is>
      </x:c>
      <x:c r="D571" s="31" t="inlineStr">
        <x:is>
          <x:t xml:space="preserve">Швеллер 12П</x:t>
        </x:is>
      </x:c>
      <x:c r="E571" s="31" t="inlineStr">
        <x:is>
          <x:t xml:space="preserve">Металл</x:t>
        </x:is>
      </x:c>
      <x:c r="F571" s="31" t="n">
        <x:v>7.05</x:v>
      </x:c>
      <x:c r="G571" s="31" t="inlineStr">
        <x:is>
          <x:t xml:space="preserve">шт</x:t>
        </x:is>
      </x:c>
      <x:c r="H571" s="31" t="inlineStr">
        <x:is>
          <x:t xml:space="preserve">Обязательный</x:t>
        </x:is>
      </x:c>
      <x:c r="I571" s="31" t="inlineStr">
        <x:is>
          <x:t xml:space="preserve">ГЗ-МЕТ-3</x:t>
        </x:is>
      </x:c>
      <x:c r="J571" s="31" t="inlineStr">
        <x:is>
          <x:t xml:space="preserve">Нет</x:t>
        </x:is>
      </x:c>
    </x:row>
    <x:row r="572">
      <x:c r="A572" s="31" t="inlineStr">
        <x:is>
          <x:t xml:space="preserve">СОСТ-00571</x:t>
        </x:is>
      </x:c>
      <x:c r="B572" s="31" t="inlineStr">
        <x:is>
          <x:t xml:space="preserve">ИЗД-039</x:t>
        </x:is>
      </x:c>
      <x:c r="C572" s="31" t="inlineStr">
        <x:is>
          <x:t xml:space="preserve">МАТ-0011</x:t>
        </x:is>
      </x:c>
      <x:c r="D572" s="31" t="inlineStr">
        <x:is>
          <x:t xml:space="preserve">Фланец Ду50 Ру16 / исп.3</x:t>
        </x:is>
      </x:c>
      <x:c r="E572" s="31" t="inlineStr">
        <x:is>
          <x:t xml:space="preserve">Металл</x:t>
        </x:is>
      </x:c>
      <x:c r="F572" s="31" t="n">
        <x:v>4.12</x:v>
      </x:c>
      <x:c r="G572" s="31" t="inlineStr">
        <x:is>
          <x:t xml:space="preserve">шт</x:t>
        </x:is>
      </x:c>
      <x:c r="H572" s="31" t="inlineStr">
        <x:is>
          <x:t xml:space="preserve">Обязательный</x:t>
        </x:is>
      </x:c>
      <x:c r="I572" s="31" t="inlineStr">
        <x:is>
          <x:t xml:space="preserve">ГЗ-МЕТ-6</x:t>
        </x:is>
      </x:c>
      <x:c r="J572" s="31" t="inlineStr">
        <x:is>
          <x:t xml:space="preserve">Нет</x:t>
        </x:is>
      </x:c>
    </x:row>
    <x:row r="573">
      <x:c r="A573" s="31" t="inlineStr">
        <x:is>
          <x:t xml:space="preserve">СОСТ-00572</x:t>
        </x:is>
      </x:c>
      <x:c r="B573" s="31" t="inlineStr">
        <x:is>
          <x:t xml:space="preserve">ИЗД-039</x:t>
        </x:is>
      </x:c>
      <x:c r="C573" s="31" t="inlineStr">
        <x:is>
          <x:t xml:space="preserve">МАТ-0071</x:t>
        </x:is>
      </x:c>
      <x:c r="D573" s="31" t="inlineStr">
        <x:is>
          <x:t xml:space="preserve">Эмаль полиуретановая / исп.3</x:t>
        </x:is>
      </x:c>
      <x:c r="E573" s="31" t="inlineStr">
        <x:is>
          <x:t xml:space="preserve">Покраска</x:t>
        </x:is>
      </x:c>
      <x:c r="F573" s="31" t="n">
        <x:v>72.86</x:v>
      </x:c>
      <x:c r="G573" s="31" t="inlineStr">
        <x:is>
          <x:t xml:space="preserve">кг</x:t>
        </x:is>
      </x:c>
      <x:c r="H573" s="31" t="inlineStr">
        <x:is>
          <x:t xml:space="preserve">Обязательный</x:t>
        </x:is>
      </x:c>
      <x:c r="I573" s="31" t="inlineStr">
        <x:is>
          <x:t xml:space="preserve">ГЗ-ПОК-2</x:t>
        </x:is>
      </x:c>
      <x:c r="J573" s="31" t="inlineStr">
        <x:is>
          <x:t xml:space="preserve">Нет</x:t>
        </x:is>
      </x:c>
    </x:row>
    <x:row r="574">
      <x:c r="A574" s="31" t="inlineStr">
        <x:is>
          <x:t xml:space="preserve">СОСТ-00573</x:t>
        </x:is>
      </x:c>
      <x:c r="B574" s="31" t="inlineStr">
        <x:is>
          <x:t xml:space="preserve">ИЗД-039</x:t>
        </x:is>
      </x:c>
      <x:c r="C574" s="31" t="inlineStr">
        <x:is>
          <x:t xml:space="preserve">МАТ-0082</x:t>
        </x:is>
      </x:c>
      <x:c r="D574" s="31" t="inlineStr">
        <x:is>
          <x:t xml:space="preserve">Шайба 12 / исп.2</x:t>
        </x:is>
      </x:c>
      <x:c r="E574" s="31" t="inlineStr">
        <x:is>
          <x:t xml:space="preserve">Крепеж</x:t>
        </x:is>
      </x:c>
      <x:c r="F574" s="31" t="n">
        <x:v>2.92</x:v>
      </x:c>
      <x:c r="G574" s="31" t="inlineStr">
        <x:is>
          <x:t xml:space="preserve">шт</x:t>
        </x:is>
      </x:c>
      <x:c r="H574" s="31" t="inlineStr">
        <x:is>
          <x:t xml:space="preserve">Обязательный</x:t>
        </x:is>
      </x:c>
      <x:c r="I574" s="31" t="inlineStr">
        <x:is>
          <x:t xml:space="preserve">ГЗ-КРЕ-1</x:t>
        </x:is>
      </x:c>
      <x:c r="J574" s="31" t="inlineStr">
        <x:is>
          <x:t xml:space="preserve">Нет</x:t>
        </x:is>
      </x:c>
    </x:row>
    <x:row r="575">
      <x:c r="A575" s="31" t="inlineStr">
        <x:is>
          <x:t xml:space="preserve">СОСТ-00574</x:t>
        </x:is>
      </x:c>
      <x:c r="B575" s="31" t="inlineStr">
        <x:is>
          <x:t xml:space="preserve">ИЗД-039</x:t>
        </x:is>
      </x:c>
      <x:c r="C575" s="31" t="inlineStr">
        <x:is>
          <x:t xml:space="preserve">МАТ-0077</x:t>
        </x:is>
      </x:c>
      <x:c r="D575" s="31" t="inlineStr">
        <x:is>
          <x:t xml:space="preserve">Болт М16</x:t>
        </x:is>
      </x:c>
      <x:c r="E575" s="31" t="inlineStr">
        <x:is>
          <x:t xml:space="preserve">Крепеж</x:t>
        </x:is>
      </x:c>
      <x:c r="F575" s="31" t="n">
        <x:v>3.69</x:v>
      </x:c>
      <x:c r="G575" s="31" t="inlineStr">
        <x:is>
          <x:t xml:space="preserve">шт</x:t>
        </x:is>
      </x:c>
      <x:c r="H575" s="31" t="inlineStr">
        <x:is>
          <x:t xml:space="preserve">Замена</x:t>
        </x:is>
      </x:c>
      <x:c r="I575" s="31" t="inlineStr">
        <x:is>
          <x:t xml:space="preserve">ГЗ-КРЕ-1</x:t>
        </x:is>
      </x:c>
      <x:c r="J575" s="31" t="inlineStr">
        <x:is>
          <x:t xml:space="preserve">Нет</x:t>
        </x:is>
      </x:c>
    </x:row>
    <x:row r="576">
      <x:c r="A576" s="31" t="inlineStr">
        <x:is>
          <x:t xml:space="preserve">СОСТ-00575</x:t>
        </x:is>
      </x:c>
      <x:c r="B576" s="31" t="inlineStr">
        <x:is>
          <x:t xml:space="preserve">ИЗД-039</x:t>
        </x:is>
      </x:c>
      <x:c r="C576" s="31" t="inlineStr">
        <x:is>
          <x:t xml:space="preserve">МАТ-0079</x:t>
        </x:is>
      </x:c>
      <x:c r="D576" s="31" t="inlineStr">
        <x:is>
          <x:t xml:space="preserve">Гайка М12 / исп.2</x:t>
        </x:is>
      </x:c>
      <x:c r="E576" s="31" t="inlineStr">
        <x:is>
          <x:t xml:space="preserve">Крепеж</x:t>
        </x:is>
      </x:c>
      <x:c r="F576" s="31" t="n">
        <x:v>5</x:v>
      </x:c>
      <x:c r="G576" s="31" t="inlineStr">
        <x:is>
          <x:t xml:space="preserve">шт</x:t>
        </x:is>
      </x:c>
      <x:c r="H576" s="31" t="inlineStr">
        <x:is>
          <x:t xml:space="preserve">Обязательный</x:t>
        </x:is>
      </x:c>
      <x:c r="I576" s="31" t="inlineStr">
        <x:is>
          <x:t xml:space="preserve">ГЗ-КРЕ-9</x:t>
        </x:is>
      </x:c>
      <x:c r="J576" s="31" t="inlineStr">
        <x:is>
          <x:t xml:space="preserve">Да</x:t>
        </x:is>
      </x:c>
    </x:row>
    <x:row r="577">
      <x:c r="A577" s="31" t="inlineStr">
        <x:is>
          <x:t xml:space="preserve">СОСТ-00576</x:t>
        </x:is>
      </x:c>
      <x:c r="B577" s="31" t="inlineStr">
        <x:is>
          <x:t xml:space="preserve">ИЗД-039</x:t>
        </x:is>
      </x:c>
      <x:c r="C577" s="31" t="inlineStr">
        <x:is>
          <x:t xml:space="preserve">МАТ-0085</x:t>
        </x:is>
      </x:c>
      <x:c r="D577" s="31" t="inlineStr">
        <x:is>
          <x:t xml:space="preserve">Пленка стрейч</x:t>
        </x:is>
      </x:c>
      <x:c r="E577" s="31" t="inlineStr">
        <x:is>
          <x:t xml:space="preserve">Упаковка</x:t>
        </x:is>
      </x:c>
      <x:c r="F577" s="31" t="n">
        <x:v>3.84</x:v>
      </x:c>
      <x:c r="G577" s="31" t="inlineStr">
        <x:is>
          <x:t xml:space="preserve">шт</x:t>
        </x:is>
      </x:c>
      <x:c r="H577" s="31" t="inlineStr">
        <x:is>
          <x:t xml:space="preserve">Обязательный</x:t>
        </x:is>
      </x:c>
      <x:c r="I577" s="31" t="inlineStr">
        <x:is>
          <x:t xml:space="preserve">ГЗ-УПА-5</x:t>
        </x:is>
      </x:c>
      <x:c r="J577" s="31" t="inlineStr">
        <x:is>
          <x:t xml:space="preserve">Нет</x:t>
        </x:is>
      </x:c>
    </x:row>
    <x:row r="578">
      <x:c r="A578" s="31" t="inlineStr">
        <x:is>
          <x:t xml:space="preserve">СОСТ-00577</x:t>
        </x:is>
      </x:c>
      <x:c r="B578" s="31" t="inlineStr">
        <x:is>
          <x:t xml:space="preserve">ИЗД-039</x:t>
        </x:is>
      </x:c>
      <x:c r="C578" s="31" t="inlineStr">
        <x:is>
          <x:t xml:space="preserve">МАТ-0088</x:t>
        </x:is>
      </x:c>
      <x:c r="D578" s="31" t="inlineStr">
        <x:is>
          <x:t xml:space="preserve">Ящик фанерный / исп.2</x:t>
        </x:is>
      </x:c>
      <x:c r="E578" s="31" t="inlineStr">
        <x:is>
          <x:t xml:space="preserve">Упаковка</x:t>
        </x:is>
      </x:c>
      <x:c r="F578" s="31" t="n">
        <x:v>6.48</x:v>
      </x:c>
      <x:c r="G578" s="31" t="inlineStr">
        <x:is>
          <x:t xml:space="preserve">шт</x:t>
        </x:is>
      </x:c>
      <x:c r="H578" s="31" t="inlineStr">
        <x:is>
          <x:t xml:space="preserve">Обязательный</x:t>
        </x:is>
      </x:c>
      <x:c r="I578" s="31" t="inlineStr">
        <x:is>
          <x:t xml:space="preserve">ГЗ-УПА-4</x:t>
        </x:is>
      </x:c>
      <x:c r="J578" s="31" t="inlineStr">
        <x:is>
          <x:t xml:space="preserve">Да</x:t>
        </x:is>
      </x:c>
    </x:row>
    <x:row r="579">
      <x:c r="A579" s="31" t="inlineStr">
        <x:is>
          <x:t xml:space="preserve">СОСТ-00578</x:t>
        </x:is>
      </x:c>
      <x:c r="B579" s="31" t="inlineStr">
        <x:is>
          <x:t xml:space="preserve">ИЗД-039</x:t>
        </x:is>
      </x:c>
      <x:c r="C579" s="31" t="inlineStr">
        <x:is>
          <x:t xml:space="preserve">МАТ-0088</x:t>
        </x:is>
      </x:c>
      <x:c r="D579" s="31" t="inlineStr">
        <x:is>
          <x:t xml:space="preserve">Ящик фанерный / исп.2</x:t>
        </x:is>
      </x:c>
      <x:c r="E579" s="31" t="inlineStr">
        <x:is>
          <x:t xml:space="preserve">Упаковка</x:t>
        </x:is>
      </x:c>
      <x:c r="F579" s="31" t="n">
        <x:v>4.77</x:v>
      </x:c>
      <x:c r="G579" s="31" t="inlineStr">
        <x:is>
          <x:t xml:space="preserve">шт</x:t>
        </x:is>
      </x:c>
      <x:c r="H579" s="31" t="inlineStr">
        <x:is>
          <x:t xml:space="preserve">Обязательный</x:t>
        </x:is>
      </x:c>
      <x:c r="I579" s="31" t="inlineStr">
        <x:is>
          <x:t xml:space="preserve">ГЗ-УПА-4</x:t>
        </x:is>
      </x:c>
      <x:c r="J579" s="31" t="inlineStr">
        <x:is>
          <x:t xml:space="preserve">Нет</x:t>
        </x:is>
      </x:c>
    </x:row>
    <x:row r="580">
      <x:c r="A580" s="31" t="inlineStr">
        <x:is>
          <x:t xml:space="preserve">СОСТ-00579</x:t>
        </x:is>
      </x:c>
      <x:c r="B580" s="31" t="inlineStr">
        <x:is>
          <x:t xml:space="preserve">ИЗД-040</x:t>
        </x:is>
      </x:c>
      <x:c r="C580" s="31" t="inlineStr">
        <x:is>
          <x:t xml:space="preserve">МАТ-0011</x:t>
        </x:is>
      </x:c>
      <x:c r="D580" s="31" t="inlineStr">
        <x:is>
          <x:t xml:space="preserve">Фланец Ду50 Ру16 / исп.3</x:t>
        </x:is>
      </x:c>
      <x:c r="E580" s="31" t="inlineStr">
        <x:is>
          <x:t xml:space="preserve">Металл</x:t>
        </x:is>
      </x:c>
      <x:c r="F580" s="31" t="n">
        <x:v>7.28</x:v>
      </x:c>
      <x:c r="G580" s="31" t="inlineStr">
        <x:is>
          <x:t xml:space="preserve">шт</x:t>
        </x:is>
      </x:c>
      <x:c r="H580" s="31" t="inlineStr">
        <x:is>
          <x:t xml:space="preserve">Обязательный</x:t>
        </x:is>
      </x:c>
      <x:c r="I580" s="31" t="inlineStr">
        <x:is>
          <x:t xml:space="preserve">ГЗ-МЕТ-6</x:t>
        </x:is>
      </x:c>
      <x:c r="J580" s="31" t="inlineStr">
        <x:is>
          <x:t xml:space="preserve">Нет</x:t>
        </x:is>
      </x:c>
    </x:row>
    <x:row r="581">
      <x:c r="A581" s="31" t="inlineStr">
        <x:is>
          <x:t xml:space="preserve">СОСТ-00580</x:t>
        </x:is>
      </x:c>
      <x:c r="B581" s="31" t="inlineStr">
        <x:is>
          <x:t xml:space="preserve">ИЗД-040</x:t>
        </x:is>
      </x:c>
      <x:c r="C581" s="31" t="inlineStr">
        <x:is>
          <x:t xml:space="preserve">МАТ-0015</x:t>
        </x:is>
      </x:c>
      <x:c r="D581" s="31" t="inlineStr">
        <x:is>
          <x:t xml:space="preserve">Насос центробежный 15 кВт</x:t>
        </x:is>
      </x:c>
      <x:c r="E581" s="31" t="inlineStr">
        <x:is>
          <x:t xml:space="preserve">Насосы</x:t>
        </x:is>
      </x:c>
      <x:c r="F581" s="31" t="n">
        <x:v>4.88</x:v>
      </x:c>
      <x:c r="G581" s="31" t="inlineStr">
        <x:is>
          <x:t xml:space="preserve">шт</x:t>
        </x:is>
      </x:c>
      <x:c r="H581" s="31" t="inlineStr">
        <x:is>
          <x:t xml:space="preserve">Обязательный</x:t>
        </x:is>
      </x:c>
      <x:c r="I581" s="31" t="inlineStr">
        <x:is>
          <x:t xml:space="preserve">ГЗ-НАС-2</x:t>
        </x:is>
      </x:c>
      <x:c r="J581" s="31" t="inlineStr">
        <x:is>
          <x:t xml:space="preserve">Нет</x:t>
        </x:is>
      </x:c>
    </x:row>
    <x:row r="582">
      <x:c r="A582" s="31" t="inlineStr">
        <x:is>
          <x:t xml:space="preserve">СОСТ-00581</x:t>
        </x:is>
      </x:c>
      <x:c r="B582" s="31" t="inlineStr">
        <x:is>
          <x:t xml:space="preserve">ИЗД-040</x:t>
        </x:is>
      </x:c>
      <x:c r="C582" s="31" t="inlineStr">
        <x:is>
          <x:t xml:space="preserve">МАТ-0029</x:t>
        </x:is>
      </x:c>
      <x:c r="D582" s="31" t="inlineStr">
        <x:is>
          <x:t xml:space="preserve">Частотный преобразователь 22 кВт</x:t>
        </x:is>
      </x:c>
      <x:c r="E582" s="31" t="inlineStr">
        <x:is>
          <x:t xml:space="preserve">Электродвигатели</x:t>
        </x:is>
      </x:c>
      <x:c r="F582" s="31" t="n">
        <x:v>2.44</x:v>
      </x:c>
      <x:c r="G582" s="31" t="inlineStr">
        <x:is>
          <x:t xml:space="preserve">шт</x:t>
        </x:is>
      </x:c>
      <x:c r="H582" s="31" t="inlineStr">
        <x:is>
          <x:t xml:space="preserve">Обязательный</x:t>
        </x:is>
      </x:c>
      <x:c r="I582" s="31" t="inlineStr">
        <x:is>
          <x:t xml:space="preserve">ГЗ-ЭЛЕ-9</x:t>
        </x:is>
      </x:c>
      <x:c r="J582" s="31" t="inlineStr">
        <x:is>
          <x:t xml:space="preserve">Нет</x:t>
        </x:is>
      </x:c>
    </x:row>
    <x:row r="583">
      <x:c r="A583" s="31" t="inlineStr">
        <x:is>
          <x:t xml:space="preserve">СОСТ-00582</x:t>
        </x:is>
      </x:c>
      <x:c r="B583" s="31" t="inlineStr">
        <x:is>
          <x:t xml:space="preserve">ИЗД-040</x:t>
        </x:is>
      </x:c>
      <x:c r="C583" s="31" t="inlineStr">
        <x:is>
          <x:t xml:space="preserve">МАТ-0031</x:t>
        </x:is>
      </x:c>
      <x:c r="D583" s="31" t="inlineStr">
        <x:is>
          <x:t xml:space="preserve">Датчик давления 0-16 бар</x:t>
        </x:is>
      </x:c>
      <x:c r="E583" s="31" t="inlineStr">
        <x:is>
          <x:t xml:space="preserve">КИПиА</x:t>
        </x:is>
      </x:c>
      <x:c r="F583" s="31" t="n">
        <x:v>7.86</x:v>
      </x:c>
      <x:c r="G583" s="31" t="inlineStr">
        <x:is>
          <x:t xml:space="preserve">шт</x:t>
        </x:is>
      </x:c>
      <x:c r="H583" s="31" t="inlineStr">
        <x:is>
          <x:t xml:space="preserve">Обязательный</x:t>
        </x:is>
      </x:c>
      <x:c r="I583" s="31" t="inlineStr">
        <x:is>
          <x:t xml:space="preserve">ГЗ-КИП-7</x:t>
        </x:is>
      </x:c>
      <x:c r="J583" s="31" t="inlineStr">
        <x:is>
          <x:t xml:space="preserve">Нет</x:t>
        </x:is>
      </x:c>
    </x:row>
    <x:row r="584">
      <x:c r="A584" s="31" t="inlineStr">
        <x:is>
          <x:t xml:space="preserve">СОСТ-00583</x:t>
        </x:is>
      </x:c>
      <x:c r="B584" s="31" t="inlineStr">
        <x:is>
          <x:t xml:space="preserve">ИЗД-040</x:t>
        </x:is>
      </x:c>
      <x:c r="C584" s="31" t="inlineStr">
        <x:is>
          <x:t xml:space="preserve">МАТ-0053</x:t>
        </x:is>
      </x:c>
      <x:c r="D584" s="31" t="inlineStr">
        <x:is>
          <x:t xml:space="preserve">Кран шаровой Ду50 / исп.3</x:t>
        </x:is>
      </x:c>
      <x:c r="E584" s="31" t="inlineStr">
        <x:is>
          <x:t xml:space="preserve">Запорная арматура</x:t>
        </x:is>
      </x:c>
      <x:c r="F584" s="31" t="n">
        <x:v>3.96</x:v>
      </x:c>
      <x:c r="G584" s="31" t="inlineStr">
        <x:is>
          <x:t xml:space="preserve">шт</x:t>
        </x:is>
      </x:c>
      <x:c r="H584" s="31" t="inlineStr">
        <x:is>
          <x:t xml:space="preserve">Опция</x:t>
        </x:is>
      </x:c>
      <x:c r="I584" s="31" t="inlineStr">
        <x:is>
          <x:t xml:space="preserve">ГЗ-ЗАП-6</x:t>
        </x:is>
      </x:c>
      <x:c r="J584" s="31" t="inlineStr">
        <x:is>
          <x:t xml:space="preserve">Да</x:t>
        </x:is>
      </x:c>
    </x:row>
    <x:row r="585">
      <x:c r="A585" s="31" t="inlineStr">
        <x:is>
          <x:t xml:space="preserve">СОСТ-00584</x:t>
        </x:is>
      </x:c>
      <x:c r="B585" s="31" t="inlineStr">
        <x:is>
          <x:t xml:space="preserve">ИЗД-040</x:t>
        </x:is>
      </x:c>
      <x:c r="C585" s="31" t="inlineStr">
        <x:is>
          <x:t xml:space="preserve">МАТ-0055</x:t>
        </x:is>
      </x:c>
      <x:c r="D585" s="31" t="inlineStr">
        <x:is>
          <x:t xml:space="preserve">Клапан обратный Ду50</x:t>
        </x:is>
      </x:c>
      <x:c r="E585" s="31" t="inlineStr">
        <x:is>
          <x:t xml:space="preserve">Запорная арматура</x:t>
        </x:is>
      </x:c>
      <x:c r="F585" s="31" t="n">
        <x:v>1.32</x:v>
      </x:c>
      <x:c r="G585" s="31" t="inlineStr">
        <x:is>
          <x:t xml:space="preserve">шт</x:t>
        </x:is>
      </x:c>
      <x:c r="H585" s="31" t="inlineStr">
        <x:is>
          <x:t xml:space="preserve">Опция</x:t>
        </x:is>
      </x:c>
      <x:c r="I585" s="31" t="inlineStr">
        <x:is>
          <x:t xml:space="preserve">ГЗ-ЗАП-7</x:t>
        </x:is>
      </x:c>
      <x:c r="J585" s="31" t="inlineStr">
        <x:is>
          <x:t xml:space="preserve">Нет</x:t>
        </x:is>
      </x:c>
    </x:row>
    <x:row r="586">
      <x:c r="A586" s="31" t="inlineStr">
        <x:is>
          <x:t xml:space="preserve">СОСТ-00585</x:t>
        </x:is>
      </x:c>
      <x:c r="B586" s="31" t="inlineStr">
        <x:is>
          <x:t xml:space="preserve">ИЗД-040</x:t>
        </x:is>
      </x:c>
      <x:c r="C586" s="31" t="inlineStr">
        <x:is>
          <x:t xml:space="preserve">МАТ-0055</x:t>
        </x:is>
      </x:c>
      <x:c r="D586" s="31" t="inlineStr">
        <x:is>
          <x:t xml:space="preserve">Клапан обратный Ду50</x:t>
        </x:is>
      </x:c>
      <x:c r="E586" s="31" t="inlineStr">
        <x:is>
          <x:t xml:space="preserve">Запорная арматура</x:t>
        </x:is>
      </x:c>
      <x:c r="F586" s="31" t="n">
        <x:v>5.61</x:v>
      </x:c>
      <x:c r="G586" s="31" t="inlineStr">
        <x:is>
          <x:t xml:space="preserve">шт</x:t>
        </x:is>
      </x:c>
      <x:c r="H586" s="31" t="inlineStr">
        <x:is>
          <x:t xml:space="preserve">Обязательный</x:t>
        </x:is>
      </x:c>
      <x:c r="I586" s="31" t="inlineStr">
        <x:is>
          <x:t xml:space="preserve">ГЗ-ЗАП-7</x:t>
        </x:is>
      </x:c>
      <x:c r="J586" s="31" t="inlineStr">
        <x:is>
          <x:t xml:space="preserve">Нет</x:t>
        </x:is>
      </x:c>
    </x:row>
    <x:row r="587">
      <x:c r="A587" s="31" t="inlineStr">
        <x:is>
          <x:t xml:space="preserve">СОСТ-00586</x:t>
        </x:is>
      </x:c>
      <x:c r="B587" s="31" t="inlineStr">
        <x:is>
          <x:t xml:space="preserve">ИЗД-040</x:t>
        </x:is>
      </x:c>
      <x:c r="C587" s="31" t="inlineStr">
        <x:is>
          <x:t xml:space="preserve">МАТ-0064</x:t>
        </x:is>
      </x:c>
      <x:c r="D587" s="31" t="inlineStr">
        <x:is>
          <x:t xml:space="preserve">Кабель ВВГнг 3×2.5 / исп.2</x:t>
        </x:is>
      </x:c>
      <x:c r="E587" s="31" t="inlineStr">
        <x:is>
          <x:t xml:space="preserve">Кабель</x:t>
        </x:is>
      </x:c>
      <x:c r="F587" s="31" t="n">
        <x:v>4.66</x:v>
      </x:c>
      <x:c r="G587" s="31" t="inlineStr">
        <x:is>
          <x:t xml:space="preserve">шт</x:t>
        </x:is>
      </x:c>
      <x:c r="H587" s="31" t="inlineStr">
        <x:is>
          <x:t xml:space="preserve">Замена</x:t>
        </x:is>
      </x:c>
      <x:c r="I587" s="31" t="inlineStr">
        <x:is>
          <x:t xml:space="preserve">ГЗ-КАБ-7</x:t>
        </x:is>
      </x:c>
      <x:c r="J587" s="31" t="inlineStr">
        <x:is>
          <x:t xml:space="preserve">Нет</x:t>
        </x:is>
      </x:c>
    </x:row>
    <x:row r="588">
      <x:c r="A588" s="31" t="inlineStr">
        <x:is>
          <x:t xml:space="preserve">СОСТ-00587</x:t>
        </x:is>
      </x:c>
      <x:c r="B588" s="31" t="inlineStr">
        <x:is>
          <x:t xml:space="preserve">ИЗД-040</x:t>
        </x:is>
      </x:c>
      <x:c r="C588" s="31" t="inlineStr">
        <x:is>
          <x:t xml:space="preserve">МАТ-0066</x:t>
        </x:is>
      </x:c>
      <x:c r="D588" s="31" t="inlineStr">
        <x:is>
          <x:t xml:space="preserve">Гофра металлическая / исп.2</x:t>
        </x:is>
      </x:c>
      <x:c r="E588" s="31" t="inlineStr">
        <x:is>
          <x:t xml:space="preserve">Кабель</x:t>
        </x:is>
      </x:c>
      <x:c r="F588" s="31" t="n">
        <x:v>55.66</x:v>
      </x:c>
      <x:c r="G588" s="31" t="inlineStr">
        <x:is>
          <x:t xml:space="preserve">кг</x:t>
        </x:is>
      </x:c>
      <x:c r="H588" s="31" t="inlineStr">
        <x:is>
          <x:t xml:space="preserve">Обязательный</x:t>
        </x:is>
      </x:c>
      <x:c r="I588" s="31" t="inlineStr">
        <x:is>
          <x:t xml:space="preserve">ГЗ-КАБ-8</x:t>
        </x:is>
      </x:c>
      <x:c r="J588" s="31" t="inlineStr">
        <x:is>
          <x:t xml:space="preserve">Да</x:t>
        </x:is>
      </x:c>
    </x:row>
    <x:row r="589">
      <x:c r="A589" s="31" t="inlineStr">
        <x:is>
          <x:t xml:space="preserve">СОСТ-00588</x:t>
        </x:is>
      </x:c>
      <x:c r="B589" s="31" t="inlineStr">
        <x:is>
          <x:t xml:space="preserve">ИЗД-040</x:t>
        </x:is>
      </x:c>
      <x:c r="C589" s="31" t="inlineStr">
        <x:is>
          <x:t xml:space="preserve">МАТ-0062</x:t>
        </x:is>
      </x:c>
      <x:c r="D589" s="31" t="inlineStr">
        <x:is>
          <x:t xml:space="preserve">Кабель КВВГ 4×1.5</x:t>
        </x:is>
      </x:c>
      <x:c r="E589" s="31" t="inlineStr">
        <x:is>
          <x:t xml:space="preserve">Кабель</x:t>
        </x:is>
      </x:c>
      <x:c r="F589" s="31" t="n">
        <x:v>25.38</x:v>
      </x:c>
      <x:c r="G589" s="31" t="inlineStr">
        <x:is>
          <x:t xml:space="preserve">м</x:t>
        </x:is>
      </x:c>
      <x:c r="H589" s="31" t="inlineStr">
        <x:is>
          <x:t xml:space="preserve">Обязательный</x:t>
        </x:is>
      </x:c>
      <x:c r="I589" s="31" t="inlineStr">
        <x:is>
          <x:t xml:space="preserve">ГЗ-КАБ-9</x:t>
        </x:is>
      </x:c>
      <x:c r="J589" s="31" t="inlineStr">
        <x:is>
          <x:t xml:space="preserve">Нет</x:t>
        </x:is>
      </x:c>
    </x:row>
    <x:row r="590">
      <x:c r="A590" s="31" t="inlineStr">
        <x:is>
          <x:t xml:space="preserve">СОСТ-00589</x:t>
        </x:is>
      </x:c>
      <x:c r="B590" s="31" t="inlineStr">
        <x:is>
          <x:t xml:space="preserve">ИЗД-040</x:t>
        </x:is>
      </x:c>
      <x:c r="C590" s="31" t="inlineStr">
        <x:is>
          <x:t xml:space="preserve">МАТ-0046</x:t>
        </x:is>
      </x:c>
      <x:c r="D590" s="31" t="inlineStr">
        <x:is>
          <x:t xml:space="preserve">Контактор 25А</x:t>
        </x:is>
      </x:c>
      <x:c r="E590" s="31" t="inlineStr">
        <x:is>
          <x:t xml:space="preserve">ПЛК/электрика</x:t>
        </x:is>
      </x:c>
      <x:c r="F590" s="31" t="n">
        <x:v>2.51</x:v>
      </x:c>
      <x:c r="G590" s="31" t="inlineStr">
        <x:is>
          <x:t xml:space="preserve">шт</x:t>
        </x:is>
      </x:c>
      <x:c r="H590" s="31" t="inlineStr">
        <x:is>
          <x:t xml:space="preserve">Обязательный</x:t>
        </x:is>
      </x:c>
      <x:c r="I590" s="31" t="inlineStr">
        <x:is>
          <x:t xml:space="preserve">ГЗ-ПЛК-3</x:t>
        </x:is>
      </x:c>
      <x:c r="J590" s="31" t="inlineStr">
        <x:is>
          <x:t xml:space="preserve">Нет</x:t>
        </x:is>
      </x:c>
    </x:row>
    <x:row r="591">
      <x:c r="A591" s="31" t="inlineStr">
        <x:is>
          <x:t xml:space="preserve">СОСТ-00590</x:t>
        </x:is>
      </x:c>
      <x:c r="B591" s="31" t="inlineStr">
        <x:is>
          <x:t xml:space="preserve">ИЗД-040</x:t>
        </x:is>
      </x:c>
      <x:c r="C591" s="31" t="inlineStr">
        <x:is>
          <x:t xml:space="preserve">МАТ-0047</x:t>
        </x:is>
      </x:c>
      <x:c r="D591" s="31" t="inlineStr">
        <x:is>
          <x:t xml:space="preserve">Контактор 25А / исп.2</x:t>
        </x:is>
      </x:c>
      <x:c r="E591" s="31" t="inlineStr">
        <x:is>
          <x:t xml:space="preserve">ПЛК/электрика</x:t>
        </x:is>
      </x:c>
      <x:c r="F591" s="31" t="n">
        <x:v>3.95</x:v>
      </x:c>
      <x:c r="G591" s="31" t="inlineStr">
        <x:is>
          <x:t xml:space="preserve">шт</x:t>
        </x:is>
      </x:c>
      <x:c r="H591" s="31" t="inlineStr">
        <x:is>
          <x:t xml:space="preserve">Обязательный</x:t>
        </x:is>
      </x:c>
      <x:c r="I591" s="31" t="inlineStr">
        <x:is>
          <x:t xml:space="preserve">ГЗ-ПЛК-7</x:t>
        </x:is>
      </x:c>
      <x:c r="J591" s="31" t="inlineStr">
        <x:is>
          <x:t xml:space="preserve">Нет</x:t>
        </x:is>
      </x:c>
    </x:row>
    <x:row r="592">
      <x:c r="A592" s="31" t="inlineStr">
        <x:is>
          <x:t xml:space="preserve">СОСТ-00591</x:t>
        </x:is>
      </x:c>
      <x:c r="B592" s="31" t="inlineStr">
        <x:is>
          <x:t xml:space="preserve">ИЗД-040</x:t>
        </x:is>
      </x:c>
      <x:c r="C592" s="31" t="inlineStr">
        <x:is>
          <x:t xml:space="preserve">МАТ-0048</x:t>
        </x:is>
      </x:c>
      <x:c r="D592" s="31" t="inlineStr">
        <x:is>
          <x:t xml:space="preserve">Контактор 25А / исп.3</x:t>
        </x:is>
      </x:c>
      <x:c r="E592" s="31" t="inlineStr">
        <x:is>
          <x:t xml:space="preserve">ПЛК/электрика</x:t>
        </x:is>
      </x:c>
      <x:c r="F592" s="31" t="n">
        <x:v>7.33</x:v>
      </x:c>
      <x:c r="G592" s="31" t="inlineStr">
        <x:is>
          <x:t xml:space="preserve">шт</x:t>
        </x:is>
      </x:c>
      <x:c r="H592" s="31" t="inlineStr">
        <x:is>
          <x:t xml:space="preserve">Обязательный</x:t>
        </x:is>
      </x:c>
      <x:c r="I592" s="31" t="inlineStr">
        <x:is>
          <x:t xml:space="preserve">ГЗ-ПЛК-2</x:t>
        </x:is>
      </x:c>
      <x:c r="J592" s="31" t="inlineStr">
        <x:is>
          <x:t xml:space="preserve">Нет</x:t>
        </x:is>
      </x:c>
    </x:row>
    <x:row r="593">
      <x:c r="A593" s="31" t="inlineStr">
        <x:is>
          <x:t xml:space="preserve">СОСТ-00592</x:t>
        </x:is>
      </x:c>
      <x:c r="B593" s="31" t="inlineStr">
        <x:is>
          <x:t xml:space="preserve">ИЗД-040</x:t>
        </x:is>
      </x:c>
      <x:c r="C593" s="31" t="inlineStr">
        <x:is>
          <x:t xml:space="preserve">МАТ-0073</x:t>
        </x:is>
      </x:c>
      <x:c r="D593" s="31" t="inlineStr">
        <x:is>
          <x:t xml:space="preserve">Растворитель / исп.2</x:t>
        </x:is>
      </x:c>
      <x:c r="E593" s="31" t="inlineStr">
        <x:is>
          <x:t xml:space="preserve">Покраска</x:t>
        </x:is>
      </x:c>
      <x:c r="F593" s="31" t="n">
        <x:v>56.17</x:v>
      </x:c>
      <x:c r="G593" s="31" t="inlineStr">
        <x:is>
          <x:t xml:space="preserve">л</x:t>
        </x:is>
      </x:c>
      <x:c r="H593" s="31" t="inlineStr">
        <x:is>
          <x:t xml:space="preserve">Обязательный</x:t>
        </x:is>
      </x:c>
      <x:c r="I593" s="31" t="inlineStr">
        <x:is>
          <x:t xml:space="preserve">ГЗ-ПОК-8</x:t>
        </x:is>
      </x:c>
      <x:c r="J593" s="31" t="inlineStr">
        <x:is>
          <x:t xml:space="preserve">Да</x:t>
        </x:is>
      </x:c>
    </x:row>
    <x:row r="594">
      <x:c r="A594" s="31" t="inlineStr">
        <x:is>
          <x:t xml:space="preserve">СОСТ-00593</x:t>
        </x:is>
      </x:c>
      <x:c r="B594" s="31" t="inlineStr">
        <x:is>
          <x:t xml:space="preserve">ИЗД-040</x:t>
        </x:is>
      </x:c>
      <x:c r="C594" s="31" t="inlineStr">
        <x:is>
          <x:t xml:space="preserve">МАТ-0073</x:t>
        </x:is>
      </x:c>
      <x:c r="D594" s="31" t="inlineStr">
        <x:is>
          <x:t xml:space="preserve">Растворитель / исп.2</x:t>
        </x:is>
      </x:c>
      <x:c r="E594" s="31" t="inlineStr">
        <x:is>
          <x:t xml:space="preserve">Покраска</x:t>
        </x:is>
      </x:c>
      <x:c r="F594" s="31" t="n">
        <x:v>51.38</x:v>
      </x:c>
      <x:c r="G594" s="31" t="inlineStr">
        <x:is>
          <x:t xml:space="preserve">л</x:t>
        </x:is>
      </x:c>
      <x:c r="H594" s="31" t="inlineStr">
        <x:is>
          <x:t xml:space="preserve">Обязательный</x:t>
        </x:is>
      </x:c>
      <x:c r="I594" s="31" t="inlineStr">
        <x:is>
          <x:t xml:space="preserve">ГЗ-ПОК-8</x:t>
        </x:is>
      </x:c>
      <x:c r="J594" s="31" t="inlineStr">
        <x:is>
          <x:t xml:space="preserve">Нет</x:t>
        </x:is>
      </x:c>
    </x:row>
    <x:row r="595">
      <x:c r="A595" s="31" t="inlineStr">
        <x:is>
          <x:t xml:space="preserve">СОСТ-00594</x:t>
        </x:is>
      </x:c>
      <x:c r="B595" s="31" t="inlineStr">
        <x:is>
          <x:t xml:space="preserve">ИЗД-040</x:t>
        </x:is>
      </x:c>
      <x:c r="C595" s="31" t="inlineStr">
        <x:is>
          <x:t xml:space="preserve">МАТ-0083</x:t>
        </x:is>
      </x:c>
      <x:c r="D595" s="31" t="inlineStr">
        <x:is>
          <x:t xml:space="preserve">Анкер М16</x:t>
        </x:is>
      </x:c>
      <x:c r="E595" s="31" t="inlineStr">
        <x:is>
          <x:t xml:space="preserve">Крепеж</x:t>
        </x:is>
      </x:c>
      <x:c r="F595" s="31" t="n">
        <x:v>5.23</x:v>
      </x:c>
      <x:c r="G595" s="31" t="inlineStr">
        <x:is>
          <x:t xml:space="preserve">шт</x:t>
        </x:is>
      </x:c>
      <x:c r="H595" s="31" t="inlineStr">
        <x:is>
          <x:t xml:space="preserve">Обязательный</x:t>
        </x:is>
      </x:c>
      <x:c r="I595" s="31" t="inlineStr">
        <x:is>
          <x:t xml:space="preserve">ГЗ-КРЕ-5</x:t>
        </x:is>
      </x:c>
      <x:c r="J595" s="31" t="inlineStr">
        <x:is>
          <x:t xml:space="preserve">Нет</x:t>
        </x:is>
      </x:c>
    </x:row>
    <x:row r="596">
      <x:c r="A596" s="31" t="inlineStr">
        <x:is>
          <x:t xml:space="preserve">СОСТ-00595</x:t>
        </x:is>
      </x:c>
      <x:c r="B596" s="31" t="inlineStr">
        <x:is>
          <x:t xml:space="preserve">ИЗД-040</x:t>
        </x:is>
      </x:c>
      <x:c r="C596" s="31" t="inlineStr">
        <x:is>
          <x:t xml:space="preserve">МАТ-0081</x:t>
        </x:is>
      </x:c>
      <x:c r="D596" s="31" t="inlineStr">
        <x:is>
          <x:t xml:space="preserve">Шайба 12</x:t>
        </x:is>
      </x:c>
      <x:c r="E596" s="31" t="inlineStr">
        <x:is>
          <x:t xml:space="preserve">Крепеж</x:t>
        </x:is>
      </x:c>
      <x:c r="F596" s="31" t="n">
        <x:v>3.65</x:v>
      </x:c>
      <x:c r="G596" s="31" t="inlineStr">
        <x:is>
          <x:t xml:space="preserve">шт</x:t>
        </x:is>
      </x:c>
      <x:c r="H596" s="31" t="inlineStr">
        <x:is>
          <x:t xml:space="preserve">Опция</x:t>
        </x:is>
      </x:c>
      <x:c r="I596" s="31" t="inlineStr">
        <x:is>
          <x:t xml:space="preserve">ГЗ-КРЕ-1</x:t>
        </x:is>
      </x:c>
      <x:c r="J596" s="31" t="inlineStr">
        <x:is>
          <x:t xml:space="preserve">Нет</x:t>
        </x:is>
      </x:c>
    </x:row>
    <x:row r="597">
      <x:c r="A597" s="31" t="inlineStr">
        <x:is>
          <x:t xml:space="preserve">СОСТ-00596</x:t>
        </x:is>
      </x:c>
      <x:c r="B597" s="31" t="inlineStr">
        <x:is>
          <x:t xml:space="preserve">ИЗД-040</x:t>
        </x:is>
      </x:c>
      <x:c r="C597" s="31" t="inlineStr">
        <x:is>
          <x:t xml:space="preserve">МАТ-0079</x:t>
        </x:is>
      </x:c>
      <x:c r="D597" s="31" t="inlineStr">
        <x:is>
          <x:t xml:space="preserve">Гайка М12 / исп.2</x:t>
        </x:is>
      </x:c>
      <x:c r="E597" s="31" t="inlineStr">
        <x:is>
          <x:t xml:space="preserve">Крепеж</x:t>
        </x:is>
      </x:c>
      <x:c r="F597" s="31" t="n">
        <x:v>1.87</x:v>
      </x:c>
      <x:c r="G597" s="31" t="inlineStr">
        <x:is>
          <x:t xml:space="preserve">шт</x:t>
        </x:is>
      </x:c>
      <x:c r="H597" s="31" t="inlineStr">
        <x:is>
          <x:t xml:space="preserve">Обязательный</x:t>
        </x:is>
      </x:c>
      <x:c r="I597" s="31" t="inlineStr">
        <x:is>
          <x:t xml:space="preserve">ГЗ-КРЕ-9</x:t>
        </x:is>
      </x:c>
      <x:c r="J597" s="31" t="inlineStr">
        <x:is>
          <x:t xml:space="preserve">Нет</x:t>
        </x:is>
      </x:c>
    </x:row>
    <x:row r="598">
      <x:c r="A598" s="31" t="inlineStr">
        <x:is>
          <x:t xml:space="preserve">СОСТ-00597</x:t>
        </x:is>
      </x:c>
      <x:c r="B598" s="31" t="inlineStr">
        <x:is>
          <x:t xml:space="preserve">ИЗД-040</x:t>
        </x:is>
      </x:c>
      <x:c r="C598" s="31" t="inlineStr">
        <x:is>
          <x:t xml:space="preserve">МАТ-0086</x:t>
        </x:is>
      </x:c>
      <x:c r="D598" s="31" t="inlineStr">
        <x:is>
          <x:t xml:space="preserve">Пленка стрейч / исп.2</x:t>
        </x:is>
      </x:c>
      <x:c r="E598" s="31" t="inlineStr">
        <x:is>
          <x:t xml:space="preserve">Упаковка</x:t>
        </x:is>
      </x:c>
      <x:c r="F598" s="31" t="n">
        <x:v>5.48</x:v>
      </x:c>
      <x:c r="G598" s="31" t="inlineStr">
        <x:is>
          <x:t xml:space="preserve">шт</x:t>
        </x:is>
      </x:c>
      <x:c r="H598" s="31" t="inlineStr">
        <x:is>
          <x:t xml:space="preserve">Обязательный</x:t>
        </x:is>
      </x:c>
      <x:c r="I598" s="31" t="inlineStr">
        <x:is>
          <x:t xml:space="preserve">ГЗ-УПА-4</x:t>
        </x:is>
      </x:c>
      <x:c r="J598" s="31" t="inlineStr">
        <x:is>
          <x:t xml:space="preserve">Нет</x:t>
        </x:is>
      </x:c>
    </x:row>
    <x:row r="599">
      <x:c r="A599" s="31" t="inlineStr">
        <x:is>
          <x:t xml:space="preserve">СОСТ-00598</x:t>
        </x:is>
      </x:c>
      <x:c r="B599" s="31" t="inlineStr">
        <x:is>
          <x:t xml:space="preserve">ИЗД-041</x:t>
        </x:is>
      </x:c>
      <x:c r="C599" s="31" t="inlineStr">
        <x:is>
          <x:t xml:space="preserve">МАТ-0003</x:t>
        </x:is>
      </x:c>
      <x:c r="D599" s="31" t="inlineStr">
        <x:is>
          <x:t xml:space="preserve">Лист стальной 09Г2С 12 мм / исп.2</x:t>
        </x:is>
      </x:c>
      <x:c r="E599" s="31" t="inlineStr">
        <x:is>
          <x:t xml:space="preserve">Металл</x:t>
        </x:is>
      </x:c>
      <x:c r="F599" s="31" t="n">
        <x:v>19.61</x:v>
      </x:c>
      <x:c r="G599" s="31" t="inlineStr">
        <x:is>
          <x:t xml:space="preserve">м</x:t>
        </x:is>
      </x:c>
      <x:c r="H599" s="31" t="inlineStr">
        <x:is>
          <x:t xml:space="preserve">Обязательный</x:t>
        </x:is>
      </x:c>
      <x:c r="I599" s="31" t="inlineStr">
        <x:is>
          <x:t xml:space="preserve">ГЗ-МЕТ-9</x:t>
        </x:is>
      </x:c>
      <x:c r="J599" s="31" t="inlineStr">
        <x:is>
          <x:t xml:space="preserve">Нет</x:t>
        </x:is>
      </x:c>
    </x:row>
    <x:row r="600">
      <x:c r="A600" s="31" t="inlineStr">
        <x:is>
          <x:t xml:space="preserve">СОСТ-00599</x:t>
        </x:is>
      </x:c>
      <x:c r="B600" s="31" t="inlineStr">
        <x:is>
          <x:t xml:space="preserve">ИЗД-041</x:t>
        </x:is>
      </x:c>
      <x:c r="C600" s="31" t="inlineStr">
        <x:is>
          <x:t xml:space="preserve">МАТ-0004</x:t>
        </x:is>
      </x:c>
      <x:c r="D600" s="31" t="inlineStr">
        <x:is>
          <x:t xml:space="preserve">Лист стальной 09Г2С 12 мм / исп.3</x:t>
        </x:is>
      </x:c>
      <x:c r="E600" s="31" t="inlineStr">
        <x:is>
          <x:t xml:space="preserve">Металл</x:t>
        </x:is>
      </x:c>
      <x:c r="F600" s="31" t="n">
        <x:v>10.19</x:v>
      </x:c>
      <x:c r="G600" s="31" t="inlineStr">
        <x:is>
          <x:t xml:space="preserve">л</x:t>
        </x:is>
      </x:c>
      <x:c r="H600" s="31" t="inlineStr">
        <x:is>
          <x:t xml:space="preserve">Опция</x:t>
        </x:is>
      </x:c>
      <x:c r="I600" s="31" t="inlineStr">
        <x:is>
          <x:t xml:space="preserve">ГЗ-МЕТ-3</x:t>
        </x:is>
      </x:c>
      <x:c r="J600" s="31" t="inlineStr">
        <x:is>
          <x:t xml:space="preserve">Нет</x:t>
        </x:is>
      </x:c>
    </x:row>
    <x:row r="601">
      <x:c r="A601" s="31" t="inlineStr">
        <x:is>
          <x:t xml:space="preserve">СОСТ-00600</x:t>
        </x:is>
      </x:c>
      <x:c r="B601" s="31" t="inlineStr">
        <x:is>
          <x:t xml:space="preserve">ИЗД-041</x:t>
        </x:is>
      </x:c>
      <x:c r="C601" s="31" t="inlineStr">
        <x:is>
          <x:t xml:space="preserve">МАТ-0070</x:t>
        </x:is>
      </x:c>
      <x:c r="D601" s="31" t="inlineStr">
        <x:is>
          <x:t xml:space="preserve">Эмаль полиуретановая / исп.2</x:t>
        </x:is>
      </x:c>
      <x:c r="E601" s="31" t="inlineStr">
        <x:is>
          <x:t xml:space="preserve">Покраска</x:t>
        </x:is>
      </x:c>
      <x:c r="F601" s="31" t="n">
        <x:v>64.93000000000001</x:v>
      </x:c>
      <x:c r="G601" s="31" t="inlineStr">
        <x:is>
          <x:t xml:space="preserve">кг</x:t>
        </x:is>
      </x:c>
      <x:c r="H601" s="31" t="inlineStr">
        <x:is>
          <x:t xml:space="preserve">Обязательный</x:t>
        </x:is>
      </x:c>
      <x:c r="I601" s="31" t="inlineStr">
        <x:is>
          <x:t xml:space="preserve">ГЗ-ПОК-3</x:t>
        </x:is>
      </x:c>
      <x:c r="J601" s="31" t="inlineStr">
        <x:is>
          <x:t xml:space="preserve">Нет</x:t>
        </x:is>
      </x:c>
    </x:row>
    <x:row r="602">
      <x:c r="A602" s="31" t="inlineStr">
        <x:is>
          <x:t xml:space="preserve">СОСТ-00601</x:t>
        </x:is>
      </x:c>
      <x:c r="B602" s="31" t="inlineStr">
        <x:is>
          <x:t xml:space="preserve">ИЗД-041</x:t>
        </x:is>
      </x:c>
      <x:c r="C602" s="31" t="inlineStr">
        <x:is>
          <x:t xml:space="preserve">МАТ-0072</x:t>
        </x:is>
      </x:c>
      <x:c r="D602" s="31" t="inlineStr">
        <x:is>
          <x:t xml:space="preserve">Растворитель</x:t>
        </x:is>
      </x:c>
      <x:c r="E602" s="31" t="inlineStr">
        <x:is>
          <x:t xml:space="preserve">Покраска</x:t>
        </x:is>
      </x:c>
      <x:c r="F602" s="31" t="n">
        <x:v>45.02</x:v>
      </x:c>
      <x:c r="G602" s="31" t="inlineStr">
        <x:is>
          <x:t xml:space="preserve">л</x:t>
        </x:is>
      </x:c>
      <x:c r="H602" s="31" t="inlineStr">
        <x:is>
          <x:t xml:space="preserve">Обязательный</x:t>
        </x:is>
      </x:c>
      <x:c r="I602" s="31" t="inlineStr">
        <x:is>
          <x:t xml:space="preserve">ГЗ-ПОК-2</x:t>
        </x:is>
      </x:c>
      <x:c r="J602" s="31" t="inlineStr">
        <x:is>
          <x:t xml:space="preserve">Нет</x:t>
        </x:is>
      </x:c>
    </x:row>
    <x:row r="603">
      <x:c r="A603" s="31" t="inlineStr">
        <x:is>
          <x:t xml:space="preserve">СОСТ-00602</x:t>
        </x:is>
      </x:c>
      <x:c r="B603" s="31" t="inlineStr">
        <x:is>
          <x:t xml:space="preserve">ИЗД-041</x:t>
        </x:is>
      </x:c>
      <x:c r="C603" s="31" t="inlineStr">
        <x:is>
          <x:t xml:space="preserve">МАТ-0069</x:t>
        </x:is>
      </x:c>
      <x:c r="D603" s="31" t="inlineStr">
        <x:is>
          <x:t xml:space="preserve">Эмаль полиуретановая</x:t>
        </x:is>
      </x:c>
      <x:c r="E603" s="31" t="inlineStr">
        <x:is>
          <x:t xml:space="preserve">Покраска</x:t>
        </x:is>
      </x:c>
      <x:c r="F603" s="31" t="n">
        <x:v>60.65</x:v>
      </x:c>
      <x:c r="G603" s="31" t="inlineStr">
        <x:is>
          <x:t xml:space="preserve">л</x:t>
        </x:is>
      </x:c>
      <x:c r="H603" s="31" t="inlineStr">
        <x:is>
          <x:t xml:space="preserve">Обязательный</x:t>
        </x:is>
      </x:c>
      <x:c r="I603" s="31" t="inlineStr">
        <x:is>
          <x:t xml:space="preserve">ГЗ-ПОК-1</x:t>
        </x:is>
      </x:c>
      <x:c r="J603" s="31" t="inlineStr">
        <x:is>
          <x:t xml:space="preserve">Нет</x:t>
        </x:is>
      </x:c>
    </x:row>
    <x:row r="604">
      <x:c r="A604" s="31" t="inlineStr">
        <x:is>
          <x:t xml:space="preserve">СОСТ-00603</x:t>
        </x:is>
      </x:c>
      <x:c r="B604" s="31" t="inlineStr">
        <x:is>
          <x:t xml:space="preserve">ИЗД-041</x:t>
        </x:is>
      </x:c>
      <x:c r="C604" s="31" t="inlineStr">
        <x:is>
          <x:t xml:space="preserve">МАТ-0083</x:t>
        </x:is>
      </x:c>
      <x:c r="D604" s="31" t="inlineStr">
        <x:is>
          <x:t xml:space="preserve">Анкер М16</x:t>
        </x:is>
      </x:c>
      <x:c r="E604" s="31" t="inlineStr">
        <x:is>
          <x:t xml:space="preserve">Крепеж</x:t>
        </x:is>
      </x:c>
      <x:c r="F604" s="31" t="n">
        <x:v>4.86</x:v>
      </x:c>
      <x:c r="G604" s="31" t="inlineStr">
        <x:is>
          <x:t xml:space="preserve">шт</x:t>
        </x:is>
      </x:c>
      <x:c r="H604" s="31" t="inlineStr">
        <x:is>
          <x:t xml:space="preserve">Опция</x:t>
        </x:is>
      </x:c>
      <x:c r="I604" s="31" t="inlineStr">
        <x:is>
          <x:t xml:space="preserve">ГЗ-КРЕ-5</x:t>
        </x:is>
      </x:c>
      <x:c r="J604" s="31" t="inlineStr">
        <x:is>
          <x:t xml:space="preserve">Нет</x:t>
        </x:is>
      </x:c>
    </x:row>
    <x:row r="605">
      <x:c r="A605" s="31" t="inlineStr">
        <x:is>
          <x:t xml:space="preserve">СОСТ-00604</x:t>
        </x:is>
      </x:c>
      <x:c r="B605" s="31" t="inlineStr">
        <x:is>
          <x:t xml:space="preserve">ИЗД-041</x:t>
        </x:is>
      </x:c>
      <x:c r="C605" s="31" t="inlineStr">
        <x:is>
          <x:t xml:space="preserve">МАТ-0077</x:t>
        </x:is>
      </x:c>
      <x:c r="D605" s="31" t="inlineStr">
        <x:is>
          <x:t xml:space="preserve">Болт М16</x:t>
        </x:is>
      </x:c>
      <x:c r="E605" s="31" t="inlineStr">
        <x:is>
          <x:t xml:space="preserve">Крепеж</x:t>
        </x:is>
      </x:c>
      <x:c r="F605" s="31" t="n">
        <x:v>2.81</x:v>
      </x:c>
      <x:c r="G605" s="31" t="inlineStr">
        <x:is>
          <x:t xml:space="preserve">шт</x:t>
        </x:is>
      </x:c>
      <x:c r="H605" s="31" t="inlineStr">
        <x:is>
          <x:t xml:space="preserve">Обязательный</x:t>
        </x:is>
      </x:c>
      <x:c r="I605" s="31" t="inlineStr">
        <x:is>
          <x:t xml:space="preserve">ГЗ-КРЕ-1</x:t>
        </x:is>
      </x:c>
      <x:c r="J605" s="31" t="inlineStr">
        <x:is>
          <x:t xml:space="preserve">Нет</x:t>
        </x:is>
      </x:c>
    </x:row>
    <x:row r="606">
      <x:c r="A606" s="31" t="inlineStr">
        <x:is>
          <x:t xml:space="preserve">СОСТ-00605</x:t>
        </x:is>
      </x:c>
      <x:c r="B606" s="31" t="inlineStr">
        <x:is>
          <x:t xml:space="preserve">ИЗД-041</x:t>
        </x:is>
      </x:c>
      <x:c r="C606" s="31" t="inlineStr">
        <x:is>
          <x:t xml:space="preserve">МАТ-0077</x:t>
        </x:is>
      </x:c>
      <x:c r="D606" s="31" t="inlineStr">
        <x:is>
          <x:t xml:space="preserve">Болт М16</x:t>
        </x:is>
      </x:c>
      <x:c r="E606" s="31" t="inlineStr">
        <x:is>
          <x:t xml:space="preserve">Крепеж</x:t>
        </x:is>
      </x:c>
      <x:c r="F606" s="31" t="n">
        <x:v>2</x:v>
      </x:c>
      <x:c r="G606" s="31" t="inlineStr">
        <x:is>
          <x:t xml:space="preserve">шт</x:t>
        </x:is>
      </x:c>
      <x:c r="H606" s="31" t="inlineStr">
        <x:is>
          <x:t xml:space="preserve">Обязательный</x:t>
        </x:is>
      </x:c>
      <x:c r="I606" s="31" t="inlineStr">
        <x:is>
          <x:t xml:space="preserve">ГЗ-КРЕ-1</x:t>
        </x:is>
      </x:c>
      <x:c r="J606" s="31" t="inlineStr">
        <x:is>
          <x:t xml:space="preserve">Нет</x:t>
        </x:is>
      </x:c>
    </x:row>
    <x:row r="607">
      <x:c r="A607" s="31" t="inlineStr">
        <x:is>
          <x:t xml:space="preserve">СОСТ-00606</x:t>
        </x:is>
      </x:c>
      <x:c r="B607" s="31" t="inlineStr">
        <x:is>
          <x:t xml:space="preserve">ИЗД-041</x:t>
        </x:is>
      </x:c>
      <x:c r="C607" s="31" t="inlineStr">
        <x:is>
          <x:t xml:space="preserve">МАТ-0089</x:t>
        </x:is>
      </x:c>
      <x:c r="D607" s="31" t="inlineStr">
        <x:is>
          <x:t xml:space="preserve">Маркировочная этикетка</x:t>
        </x:is>
      </x:c>
      <x:c r="E607" s="31" t="inlineStr">
        <x:is>
          <x:t xml:space="preserve">Упаковка</x:t>
        </x:is>
      </x:c>
      <x:c r="F607" s="31" t="n">
        <x:v>7.82</x:v>
      </x:c>
      <x:c r="G607" s="31" t="inlineStr">
        <x:is>
          <x:t xml:space="preserve">шт</x:t>
        </x:is>
      </x:c>
      <x:c r="H607" s="31" t="inlineStr">
        <x:is>
          <x:t xml:space="preserve">Обязательный</x:t>
        </x:is>
      </x:c>
      <x:c r="I607" s="31" t="inlineStr">
        <x:is>
          <x:t xml:space="preserve">ГЗ-УПА-7</x:t>
        </x:is>
      </x:c>
      <x:c r="J607" s="31" t="inlineStr">
        <x:is>
          <x:t xml:space="preserve">Нет</x:t>
        </x:is>
      </x:c>
    </x:row>
    <x:row r="608">
      <x:c r="A608" s="31" t="inlineStr">
        <x:is>
          <x:t xml:space="preserve">СОСТ-00607</x:t>
        </x:is>
      </x:c>
      <x:c r="B608" s="31" t="inlineStr">
        <x:is>
          <x:t xml:space="preserve">ИЗД-041</x:t>
        </x:is>
      </x:c>
      <x:c r="C608" s="31" t="inlineStr">
        <x:is>
          <x:t xml:space="preserve">МАТ-0088</x:t>
        </x:is>
      </x:c>
      <x:c r="D608" s="31" t="inlineStr">
        <x:is>
          <x:t xml:space="preserve">Ящик фанерный / исп.2</x:t>
        </x:is>
      </x:c>
      <x:c r="E608" s="31" t="inlineStr">
        <x:is>
          <x:t xml:space="preserve">Упаковка</x:t>
        </x:is>
      </x:c>
      <x:c r="F608" s="31" t="n">
        <x:v>3.93</x:v>
      </x:c>
      <x:c r="G608" s="31" t="inlineStr">
        <x:is>
          <x:t xml:space="preserve">шт</x:t>
        </x:is>
      </x:c>
      <x:c r="H608" s="31" t="inlineStr">
        <x:is>
          <x:t xml:space="preserve">Обязательный</x:t>
        </x:is>
      </x:c>
      <x:c r="I608" s="31" t="inlineStr">
        <x:is>
          <x:t xml:space="preserve">ГЗ-УПА-4</x:t>
        </x:is>
      </x:c>
      <x:c r="J608" s="31" t="inlineStr">
        <x:is>
          <x:t xml:space="preserve">Нет</x:t>
        </x:is>
      </x:c>
    </x:row>
    <x:row r="609">
      <x:c r="A609" s="31" t="inlineStr">
        <x:is>
          <x:t xml:space="preserve">СОСТ-00608</x:t>
        </x:is>
      </x:c>
      <x:c r="B609" s="31" t="inlineStr">
        <x:is>
          <x:t xml:space="preserve">ИЗД-041</x:t>
        </x:is>
      </x:c>
      <x:c r="C609" s="31" t="inlineStr">
        <x:is>
          <x:t xml:space="preserve">МАТ-0086</x:t>
        </x:is>
      </x:c>
      <x:c r="D609" s="31" t="inlineStr">
        <x:is>
          <x:t xml:space="preserve">Пленка стрейч / исп.2</x:t>
        </x:is>
      </x:c>
      <x:c r="E609" s="31" t="inlineStr">
        <x:is>
          <x:t xml:space="preserve">Упаковка</x:t>
        </x:is>
      </x:c>
      <x:c r="F609" s="31" t="n">
        <x:v>6.59</x:v>
      </x:c>
      <x:c r="G609" s="31" t="inlineStr">
        <x:is>
          <x:t xml:space="preserve">шт</x:t>
        </x:is>
      </x:c>
      <x:c r="H609" s="31" t="inlineStr">
        <x:is>
          <x:t xml:space="preserve">Обязательный</x:t>
        </x:is>
      </x:c>
      <x:c r="I609" s="31" t="inlineStr">
        <x:is>
          <x:t xml:space="preserve">ГЗ-УПА-4</x:t>
        </x:is>
      </x:c>
      <x:c r="J609" s="31" t="inlineStr">
        <x:is>
          <x:t xml:space="preserve">Нет</x:t>
        </x:is>
      </x:c>
    </x:row>
    <x:row r="610">
      <x:c r="A610" s="31" t="inlineStr">
        <x:is>
          <x:t xml:space="preserve">СОСТ-00609</x:t>
        </x:is>
      </x:c>
      <x:c r="B610" s="31" t="inlineStr">
        <x:is>
          <x:t xml:space="preserve">ИЗД-042</x:t>
        </x:is>
      </x:c>
      <x:c r="C610" s="31" t="inlineStr">
        <x:is>
          <x:t xml:space="preserve">МАТ-0046</x:t>
        </x:is>
      </x:c>
      <x:c r="D610" s="31" t="inlineStr">
        <x:is>
          <x:t xml:space="preserve">Контактор 25А</x:t>
        </x:is>
      </x:c>
      <x:c r="E610" s="31" t="inlineStr">
        <x:is>
          <x:t xml:space="preserve">ПЛК/электрика</x:t>
        </x:is>
      </x:c>
      <x:c r="F610" s="31" t="n">
        <x:v>7.59</x:v>
      </x:c>
      <x:c r="G610" s="31" t="inlineStr">
        <x:is>
          <x:t xml:space="preserve">шт</x:t>
        </x:is>
      </x:c>
      <x:c r="H610" s="31" t="inlineStr">
        <x:is>
          <x:t xml:space="preserve">Опция</x:t>
        </x:is>
      </x:c>
      <x:c r="I610" s="31" t="inlineStr">
        <x:is>
          <x:t xml:space="preserve">ГЗ-ПЛК-3</x:t>
        </x:is>
      </x:c>
      <x:c r="J610" s="31" t="inlineStr">
        <x:is>
          <x:t xml:space="preserve">Нет</x:t>
        </x:is>
      </x:c>
    </x:row>
    <x:row r="611">
      <x:c r="A611" s="31" t="inlineStr">
        <x:is>
          <x:t xml:space="preserve">СОСТ-00610</x:t>
        </x:is>
      </x:c>
      <x:c r="B611" s="31" t="inlineStr">
        <x:is>
          <x:t xml:space="preserve">ИЗД-042</x:t>
        </x:is>
      </x:c>
      <x:c r="C611" s="31" t="inlineStr">
        <x:is>
          <x:t xml:space="preserve">МАТ-0042</x:t>
        </x:is>
      </x:c>
      <x:c r="D611" s="31" t="inlineStr">
        <x:is>
          <x:t xml:space="preserve">модуль аналогового входа 4 канала / исп.3</x:t>
        </x:is>
      </x:c>
      <x:c r="E611" s="31" t="inlineStr">
        <x:is>
          <x:t xml:space="preserve">ПЛК/электрика</x:t>
        </x:is>
      </x:c>
      <x:c r="F611" s="31" t="n">
        <x:v>5.45</x:v>
      </x:c>
      <x:c r="G611" s="31" t="inlineStr">
        <x:is>
          <x:t xml:space="preserve">шт</x:t>
        </x:is>
      </x:c>
      <x:c r="H611" s="31" t="inlineStr">
        <x:is>
          <x:t xml:space="preserve">Обязательный</x:t>
        </x:is>
      </x:c>
      <x:c r="I611" s="31" t="inlineStr">
        <x:is>
          <x:t xml:space="preserve">ГЗ-ПЛК-7</x:t>
        </x:is>
      </x:c>
      <x:c r="J611" s="31" t="inlineStr">
        <x:is>
          <x:t xml:space="preserve">Нет</x:t>
        </x:is>
      </x:c>
    </x:row>
    <x:row r="612">
      <x:c r="A612" s="31" t="inlineStr">
        <x:is>
          <x:t xml:space="preserve">СОСТ-00611</x:t>
        </x:is>
      </x:c>
      <x:c r="B612" s="31" t="inlineStr">
        <x:is>
          <x:t xml:space="preserve">ИЗД-042</x:t>
        </x:is>
      </x:c>
      <x:c r="C612" s="31" t="inlineStr">
        <x:is>
          <x:t xml:space="preserve">МАТ-0062</x:t>
        </x:is>
      </x:c>
      <x:c r="D612" s="31" t="inlineStr">
        <x:is>
          <x:t xml:space="preserve">Кабель КВВГ 4×1.5</x:t>
        </x:is>
      </x:c>
      <x:c r="E612" s="31" t="inlineStr">
        <x:is>
          <x:t xml:space="preserve">Кабель</x:t>
        </x:is>
      </x:c>
      <x:c r="F612" s="31" t="n">
        <x:v>7.98</x:v>
      </x:c>
      <x:c r="G612" s="31" t="inlineStr">
        <x:is>
          <x:t xml:space="preserve">м</x:t>
        </x:is>
      </x:c>
      <x:c r="H612" s="31" t="inlineStr">
        <x:is>
          <x:t xml:space="preserve">Обязательный</x:t>
        </x:is>
      </x:c>
      <x:c r="I612" s="31" t="inlineStr">
        <x:is>
          <x:t xml:space="preserve">ГЗ-КАБ-9</x:t>
        </x:is>
      </x:c>
      <x:c r="J612" s="31" t="inlineStr">
        <x:is>
          <x:t xml:space="preserve">Нет</x:t>
        </x:is>
      </x:c>
    </x:row>
    <x:row r="613">
      <x:c r="A613" s="31" t="inlineStr">
        <x:is>
          <x:t xml:space="preserve">СОСТ-00612</x:t>
        </x:is>
      </x:c>
      <x:c r="B613" s="31" t="inlineStr">
        <x:is>
          <x:t xml:space="preserve">ИЗД-042</x:t>
        </x:is>
      </x:c>
      <x:c r="C613" s="31" t="inlineStr">
        <x:is>
          <x:t xml:space="preserve">МАТ-0066</x:t>
        </x:is>
      </x:c>
      <x:c r="D613" s="31" t="inlineStr">
        <x:is>
          <x:t xml:space="preserve">Гофра металлическая / исп.2</x:t>
        </x:is>
      </x:c>
      <x:c r="E613" s="31" t="inlineStr">
        <x:is>
          <x:t xml:space="preserve">Кабель</x:t>
        </x:is>
      </x:c>
      <x:c r="F613" s="31" t="n">
        <x:v>59.99</x:v>
      </x:c>
      <x:c r="G613" s="31" t="inlineStr">
        <x:is>
          <x:t xml:space="preserve">кг</x:t>
        </x:is>
      </x:c>
      <x:c r="H613" s="31" t="inlineStr">
        <x:is>
          <x:t xml:space="preserve">Обязательный</x:t>
        </x:is>
      </x:c>
      <x:c r="I613" s="31" t="inlineStr">
        <x:is>
          <x:t xml:space="preserve">ГЗ-КАБ-8</x:t>
        </x:is>
      </x:c>
      <x:c r="J613" s="31" t="inlineStr">
        <x:is>
          <x:t xml:space="preserve">Нет</x:t>
        </x:is>
      </x:c>
    </x:row>
    <x:row r="614">
      <x:c r="A614" s="31" t="inlineStr">
        <x:is>
          <x:t xml:space="preserve">СОСТ-00613</x:t>
        </x:is>
      </x:c>
      <x:c r="B614" s="31" t="inlineStr">
        <x:is>
          <x:t xml:space="preserve">ИЗД-042</x:t>
        </x:is>
      </x:c>
      <x:c r="C614" s="31" t="inlineStr">
        <x:is>
          <x:t xml:space="preserve">МАТ-0034</x:t>
        </x:is>
      </x:c>
      <x:c r="D614" s="31" t="inlineStr">
        <x:is>
          <x:t xml:space="preserve">Манометр виброустойчивый</x:t>
        </x:is>
      </x:c>
      <x:c r="E614" s="31" t="inlineStr">
        <x:is>
          <x:t xml:space="preserve">КИПиА</x:t>
        </x:is>
      </x:c>
      <x:c r="F614" s="31" t="n">
        <x:v>5.74</x:v>
      </x:c>
      <x:c r="G614" s="31" t="inlineStr">
        <x:is>
          <x:t xml:space="preserve">шт</x:t>
        </x:is>
      </x:c>
      <x:c r="H614" s="31" t="inlineStr">
        <x:is>
          <x:t xml:space="preserve">Опция</x:t>
        </x:is>
      </x:c>
      <x:c r="I614" s="31" t="inlineStr">
        <x:is>
          <x:t xml:space="preserve">ГЗ-КИП-3</x:t>
        </x:is>
      </x:c>
      <x:c r="J614" s="31" t="inlineStr">
        <x:is>
          <x:t xml:space="preserve">Нет</x:t>
        </x:is>
      </x:c>
    </x:row>
    <x:row r="615">
      <x:c r="A615" s="31" t="inlineStr">
        <x:is>
          <x:t xml:space="preserve">СОСТ-00614</x:t>
        </x:is>
      </x:c>
      <x:c r="B615" s="31" t="inlineStr">
        <x:is>
          <x:t xml:space="preserve">ИЗД-042</x:t>
        </x:is>
      </x:c>
      <x:c r="C615" s="31" t="inlineStr">
        <x:is>
          <x:t xml:space="preserve">МАТ-0083</x:t>
        </x:is>
      </x:c>
      <x:c r="D615" s="31" t="inlineStr">
        <x:is>
          <x:t xml:space="preserve">Анкер М16</x:t>
        </x:is>
      </x:c>
      <x:c r="E615" s="31" t="inlineStr">
        <x:is>
          <x:t xml:space="preserve">Крепеж</x:t>
        </x:is>
      </x:c>
      <x:c r="F615" s="31" t="n">
        <x:v>5.8</x:v>
      </x:c>
      <x:c r="G615" s="31" t="inlineStr">
        <x:is>
          <x:t xml:space="preserve">шт</x:t>
        </x:is>
      </x:c>
      <x:c r="H615" s="31" t="inlineStr">
        <x:is>
          <x:t xml:space="preserve">Обязательный</x:t>
        </x:is>
      </x:c>
      <x:c r="I615" s="31" t="inlineStr">
        <x:is>
          <x:t xml:space="preserve">ГЗ-КРЕ-5</x:t>
        </x:is>
      </x:c>
      <x:c r="J615" s="31" t="inlineStr">
        <x:is>
          <x:t xml:space="preserve">Нет</x:t>
        </x:is>
      </x:c>
    </x:row>
    <x:row r="616">
      <x:c r="A616" s="31" t="inlineStr">
        <x:is>
          <x:t xml:space="preserve">СОСТ-00615</x:t>
        </x:is>
      </x:c>
      <x:c r="B616" s="31" t="inlineStr">
        <x:is>
          <x:t xml:space="preserve">ИЗД-042</x:t>
        </x:is>
      </x:c>
      <x:c r="C616" s="31" t="inlineStr">
        <x:is>
          <x:t xml:space="preserve">МАТ-0076</x:t>
        </x:is>
      </x:c>
      <x:c r="D616" s="31" t="inlineStr">
        <x:is>
          <x:t xml:space="preserve">Болт М12 / исп.2</x:t>
        </x:is>
      </x:c>
      <x:c r="E616" s="31" t="inlineStr">
        <x:is>
          <x:t xml:space="preserve">Крепеж</x:t>
        </x:is>
      </x:c>
      <x:c r="F616" s="31" t="n">
        <x:v>3.84</x:v>
      </x:c>
      <x:c r="G616" s="31" t="inlineStr">
        <x:is>
          <x:t xml:space="preserve">шт</x:t>
        </x:is>
      </x:c>
      <x:c r="H616" s="31" t="inlineStr">
        <x:is>
          <x:t xml:space="preserve">Обязательный</x:t>
        </x:is>
      </x:c>
      <x:c r="I616" s="31" t="inlineStr">
        <x:is>
          <x:t xml:space="preserve">ГЗ-КРЕ-7</x:t>
        </x:is>
      </x:c>
      <x:c r="J616" s="31" t="inlineStr">
        <x:is>
          <x:t xml:space="preserve">Нет</x:t>
        </x:is>
      </x:c>
    </x:row>
    <x:row r="617">
      <x:c r="A617" s="31" t="inlineStr">
        <x:is>
          <x:t xml:space="preserve">СОСТ-00616</x:t>
        </x:is>
      </x:c>
      <x:c r="B617" s="31" t="inlineStr">
        <x:is>
          <x:t xml:space="preserve">ИЗД-042</x:t>
        </x:is>
      </x:c>
      <x:c r="C617" s="31" t="inlineStr">
        <x:is>
          <x:t xml:space="preserve">МАТ-0084</x:t>
        </x:is>
      </x:c>
      <x:c r="D617" s="31" t="inlineStr">
        <x:is>
          <x:t xml:space="preserve">Поддон 1200×800</x:t>
        </x:is>
      </x:c>
      <x:c r="E617" s="31" t="inlineStr">
        <x:is>
          <x:t xml:space="preserve">Упаковка</x:t>
        </x:is>
      </x:c>
      <x:c r="F617" s="31" t="n">
        <x:v>6</x:v>
      </x:c>
      <x:c r="G617" s="31" t="inlineStr">
        <x:is>
          <x:t xml:space="preserve">шт</x:t>
        </x:is>
      </x:c>
      <x:c r="H617" s="31" t="inlineStr">
        <x:is>
          <x:t xml:space="preserve">Обязательный</x:t>
        </x:is>
      </x:c>
      <x:c r="I617" s="31" t="inlineStr">
        <x:is>
          <x:t xml:space="preserve">ГЗ-УПА-3</x:t>
        </x:is>
      </x:c>
      <x:c r="J617" s="31" t="inlineStr">
        <x:is>
          <x:t xml:space="preserve">Нет</x:t>
        </x:is>
      </x:c>
    </x:row>
    <x:row r="618">
      <x:c r="A618" s="31" t="inlineStr">
        <x:is>
          <x:t xml:space="preserve">СОСТ-00617</x:t>
        </x:is>
      </x:c>
      <x:c r="B618" s="31" t="inlineStr">
        <x:is>
          <x:t xml:space="preserve">ИЗД-042</x:t>
        </x:is>
      </x:c>
      <x:c r="C618" s="31" t="inlineStr">
        <x:is>
          <x:t xml:space="preserve">МАТ-0085</x:t>
        </x:is>
      </x:c>
      <x:c r="D618" s="31" t="inlineStr">
        <x:is>
          <x:t xml:space="preserve">Пленка стрейч</x:t>
        </x:is>
      </x:c>
      <x:c r="E618" s="31" t="inlineStr">
        <x:is>
          <x:t xml:space="preserve">Упаковка</x:t>
        </x:is>
      </x:c>
      <x:c r="F618" s="31" t="n">
        <x:v>7.96</x:v>
      </x:c>
      <x:c r="G618" s="31" t="inlineStr">
        <x:is>
          <x:t xml:space="preserve">шт</x:t>
        </x:is>
      </x:c>
      <x:c r="H618" s="31" t="inlineStr">
        <x:is>
          <x:t xml:space="preserve">Обязательный</x:t>
        </x:is>
      </x:c>
      <x:c r="I618" s="31" t="inlineStr">
        <x:is>
          <x:t xml:space="preserve">ГЗ-УПА-5</x:t>
        </x:is>
      </x:c>
      <x:c r="J618" s="31" t="inlineStr">
        <x:is>
          <x:t xml:space="preserve">Нет</x:t>
        </x:is>
      </x:c>
    </x:row>
    <x:row r="619">
      <x:c r="A619" s="31" t="inlineStr">
        <x:is>
          <x:t xml:space="preserve">СОСТ-00618</x:t>
        </x:is>
      </x:c>
      <x:c r="B619" s="31" t="inlineStr">
        <x:is>
          <x:t xml:space="preserve">ИЗД-042</x:t>
        </x:is>
      </x:c>
      <x:c r="C619" s="31" t="inlineStr">
        <x:is>
          <x:t xml:space="preserve">МАТ-0088</x:t>
        </x:is>
      </x:c>
      <x:c r="D619" s="31" t="inlineStr">
        <x:is>
          <x:t xml:space="preserve">Ящик фанерный / исп.2</x:t>
        </x:is>
      </x:c>
      <x:c r="E619" s="31" t="inlineStr">
        <x:is>
          <x:t xml:space="preserve">Упаковка</x:t>
        </x:is>
      </x:c>
      <x:c r="F619" s="31" t="n">
        <x:v>5.79</x:v>
      </x:c>
      <x:c r="G619" s="31" t="inlineStr">
        <x:is>
          <x:t xml:space="preserve">шт</x:t>
        </x:is>
      </x:c>
      <x:c r="H619" s="31" t="inlineStr">
        <x:is>
          <x:t xml:space="preserve">Обязательный</x:t>
        </x:is>
      </x:c>
      <x:c r="I619" s="31" t="inlineStr">
        <x:is>
          <x:t xml:space="preserve">ГЗ-УПА-4</x:t>
        </x:is>
      </x:c>
      <x:c r="J619" s="31" t="inlineStr">
        <x:is>
          <x:t xml:space="preserve">Нет</x:t>
        </x:is>
      </x:c>
    </x:row>
    <x:row r="620">
      <x:c r="A620" s="31" t="inlineStr">
        <x:is>
          <x:t xml:space="preserve">СОСТ-00619</x:t>
        </x:is>
      </x:c>
      <x:c r="B620" s="31" t="inlineStr">
        <x:is>
          <x:t xml:space="preserve">ИЗД-043</x:t>
        </x:is>
      </x:c>
      <x:c r="C620" s="31" t="inlineStr">
        <x:is>
          <x:t xml:space="preserve">МАТ-0011</x:t>
        </x:is>
      </x:c>
      <x:c r="D620" s="31" t="inlineStr">
        <x:is>
          <x:t xml:space="preserve">Фланец Ду50 Ру16 / исп.3</x:t>
        </x:is>
      </x:c>
      <x:c r="E620" s="31" t="inlineStr">
        <x:is>
          <x:t xml:space="preserve">Металл</x:t>
        </x:is>
      </x:c>
      <x:c r="F620" s="31" t="n">
        <x:v>7.51</x:v>
      </x:c>
      <x:c r="G620" s="31" t="inlineStr">
        <x:is>
          <x:t xml:space="preserve">шт</x:t>
        </x:is>
      </x:c>
      <x:c r="H620" s="31" t="inlineStr">
        <x:is>
          <x:t xml:space="preserve">Обязательный</x:t>
        </x:is>
      </x:c>
      <x:c r="I620" s="31" t="inlineStr">
        <x:is>
          <x:t xml:space="preserve">ГЗ-МЕТ-6</x:t>
        </x:is>
      </x:c>
      <x:c r="J620" s="31" t="inlineStr">
        <x:is>
          <x:t xml:space="preserve">Нет</x:t>
        </x:is>
      </x:c>
    </x:row>
    <x:row r="621">
      <x:c r="A621" s="31" t="inlineStr">
        <x:is>
          <x:t xml:space="preserve">СОСТ-00620</x:t>
        </x:is>
      </x:c>
      <x:c r="B621" s="31" t="inlineStr">
        <x:is>
          <x:t xml:space="preserve">ИЗД-043</x:t>
        </x:is>
      </x:c>
      <x:c r="C621" s="31" t="inlineStr">
        <x:is>
          <x:t xml:space="preserve">МАТ-0016</x:t>
        </x:is>
      </x:c>
      <x:c r="D621" s="31" t="inlineStr">
        <x:is>
          <x:t xml:space="preserve">Насос центробежный 15 кВт / исп.2</x:t>
        </x:is>
      </x:c>
      <x:c r="E621" s="31" t="inlineStr">
        <x:is>
          <x:t xml:space="preserve">Насосы</x:t>
        </x:is>
      </x:c>
      <x:c r="F621" s="31" t="n">
        <x:v>3.57</x:v>
      </x:c>
      <x:c r="G621" s="31" t="inlineStr">
        <x:is>
          <x:t xml:space="preserve">шт</x:t>
        </x:is>
      </x:c>
      <x:c r="H621" s="31" t="inlineStr">
        <x:is>
          <x:t xml:space="preserve">Обязательный</x:t>
        </x:is>
      </x:c>
      <x:c r="I621" s="31" t="inlineStr">
        <x:is>
          <x:t xml:space="preserve">ГЗ-НАС-1</x:t>
        </x:is>
      </x:c>
      <x:c r="J621" s="31" t="inlineStr">
        <x:is>
          <x:t xml:space="preserve">Нет</x:t>
        </x:is>
      </x:c>
    </x:row>
    <x:row r="622">
      <x:c r="A622" s="31" t="inlineStr">
        <x:is>
          <x:t xml:space="preserve">СОСТ-00621</x:t>
        </x:is>
      </x:c>
      <x:c r="B622" s="31" t="inlineStr">
        <x:is>
          <x:t xml:space="preserve">ИЗД-043</x:t>
        </x:is>
      </x:c>
      <x:c r="C622" s="31" t="inlineStr">
        <x:is>
          <x:t xml:space="preserve">МАТ-0028</x:t>
        </x:is>
      </x:c>
      <x:c r="D622" s="31" t="inlineStr">
        <x:is>
          <x:t xml:space="preserve">Частотный преобразователь 15 кВт</x:t>
        </x:is>
      </x:c>
      <x:c r="E622" s="31" t="inlineStr">
        <x:is>
          <x:t xml:space="preserve">Электродвигатели</x:t>
        </x:is>
      </x:c>
      <x:c r="F622" s="31" t="n">
        <x:v>4.47</x:v>
      </x:c>
      <x:c r="G622" s="31" t="inlineStr">
        <x:is>
          <x:t xml:space="preserve">шт</x:t>
        </x:is>
      </x:c>
      <x:c r="H622" s="31" t="inlineStr">
        <x:is>
          <x:t xml:space="preserve">Обязательный</x:t>
        </x:is>
      </x:c>
      <x:c r="I622" s="31" t="inlineStr">
        <x:is>
          <x:t xml:space="preserve">ГЗ-ЭЛЕ-3</x:t>
        </x:is>
      </x:c>
      <x:c r="J622" s="31" t="inlineStr">
        <x:is>
          <x:t xml:space="preserve">Нет</x:t>
        </x:is>
      </x:c>
    </x:row>
    <x:row r="623">
      <x:c r="A623" s="31" t="inlineStr">
        <x:is>
          <x:t xml:space="preserve">СОСТ-00622</x:t>
        </x:is>
      </x:c>
      <x:c r="B623" s="31" t="inlineStr">
        <x:is>
          <x:t xml:space="preserve">ИЗД-043</x:t>
        </x:is>
      </x:c>
      <x:c r="C623" s="31" t="inlineStr">
        <x:is>
          <x:t xml:space="preserve">МАТ-0036</x:t>
        </x:is>
      </x:c>
      <x:c r="D623" s="31" t="inlineStr">
        <x:is>
          <x:t xml:space="preserve">Клапан электромагнитный 24В / исп.2</x:t>
        </x:is>
      </x:c>
      <x:c r="E623" s="31" t="inlineStr">
        <x:is>
          <x:t xml:space="preserve">КИПиА</x:t>
        </x:is>
      </x:c>
      <x:c r="F623" s="31" t="n">
        <x:v>2.75</x:v>
      </x:c>
      <x:c r="G623" s="31" t="inlineStr">
        <x:is>
          <x:t xml:space="preserve">шт</x:t>
        </x:is>
      </x:c>
      <x:c r="H623" s="31" t="inlineStr">
        <x:is>
          <x:t xml:space="preserve">Обязательный</x:t>
        </x:is>
      </x:c>
      <x:c r="I623" s="31" t="inlineStr">
        <x:is>
          <x:t xml:space="preserve">ГЗ-КИП-6</x:t>
        </x:is>
      </x:c>
      <x:c r="J623" s="31" t="inlineStr">
        <x:is>
          <x:t xml:space="preserve">Нет</x:t>
        </x:is>
      </x:c>
    </x:row>
    <x:row r="624">
      <x:c r="A624" s="31" t="inlineStr">
        <x:is>
          <x:t xml:space="preserve">СОСТ-00623</x:t>
        </x:is>
      </x:c>
      <x:c r="B624" s="31" t="inlineStr">
        <x:is>
          <x:t xml:space="preserve">ИЗД-043</x:t>
        </x:is>
      </x:c>
      <x:c r="C624" s="31" t="inlineStr">
        <x:is>
          <x:t xml:space="preserve">МАТ-0031</x:t>
        </x:is>
      </x:c>
      <x:c r="D624" s="31" t="inlineStr">
        <x:is>
          <x:t xml:space="preserve">Датчик давления 0-16 бар</x:t>
        </x:is>
      </x:c>
      <x:c r="E624" s="31" t="inlineStr">
        <x:is>
          <x:t xml:space="preserve">КИПиА</x:t>
        </x:is>
      </x:c>
      <x:c r="F624" s="31" t="n">
        <x:v>3.03</x:v>
      </x:c>
      <x:c r="G624" s="31" t="inlineStr">
        <x:is>
          <x:t xml:space="preserve">шт</x:t>
        </x:is>
      </x:c>
      <x:c r="H624" s="31" t="inlineStr">
        <x:is>
          <x:t xml:space="preserve">Обязательный</x:t>
        </x:is>
      </x:c>
      <x:c r="I624" s="31" t="inlineStr">
        <x:is>
          <x:t xml:space="preserve">ГЗ-КИП-7</x:t>
        </x:is>
      </x:c>
      <x:c r="J624" s="31" t="inlineStr">
        <x:is>
          <x:t xml:space="preserve">Нет</x:t>
        </x:is>
      </x:c>
    </x:row>
    <x:row r="625">
      <x:c r="A625" s="31" t="inlineStr">
        <x:is>
          <x:t xml:space="preserve">СОСТ-00624</x:t>
        </x:is>
      </x:c>
      <x:c r="B625" s="31" t="inlineStr">
        <x:is>
          <x:t xml:space="preserve">ИЗД-043</x:t>
        </x:is>
      </x:c>
      <x:c r="C625" s="31" t="inlineStr">
        <x:is>
          <x:t xml:space="preserve">МАТ-0061</x:t>
        </x:is>
      </x:c>
      <x:c r="D625" s="31" t="inlineStr">
        <x:is>
          <x:t xml:space="preserve">Фильтр сетчатый Ду50 / исп.3</x:t>
        </x:is>
      </x:c>
      <x:c r="E625" s="31" t="inlineStr">
        <x:is>
          <x:t xml:space="preserve">Запорная арматура</x:t>
        </x:is>
      </x:c>
      <x:c r="F625" s="31" t="n">
        <x:v>4.98</x:v>
      </x:c>
      <x:c r="G625" s="31" t="inlineStr">
        <x:is>
          <x:t xml:space="preserve">шт</x:t>
        </x:is>
      </x:c>
      <x:c r="H625" s="31" t="inlineStr">
        <x:is>
          <x:t xml:space="preserve">Обязательный</x:t>
        </x:is>
      </x:c>
      <x:c r="I625" s="31" t="inlineStr">
        <x:is>
          <x:t xml:space="preserve">ГЗ-ЗАП-1</x:t>
        </x:is>
      </x:c>
      <x:c r="J625" s="31" t="inlineStr">
        <x:is>
          <x:t xml:space="preserve">Нет</x:t>
        </x:is>
      </x:c>
    </x:row>
    <x:row r="626">
      <x:c r="A626" s="31" t="inlineStr">
        <x:is>
          <x:t xml:space="preserve">СОСТ-00625</x:t>
        </x:is>
      </x:c>
      <x:c r="B626" s="31" t="inlineStr">
        <x:is>
          <x:t xml:space="preserve">ИЗД-043</x:t>
        </x:is>
      </x:c>
      <x:c r="C626" s="31" t="inlineStr">
        <x:is>
          <x:t xml:space="preserve">МАТ-0066</x:t>
        </x:is>
      </x:c>
      <x:c r="D626" s="31" t="inlineStr">
        <x:is>
          <x:t xml:space="preserve">Гофра металлическая / исп.2</x:t>
        </x:is>
      </x:c>
      <x:c r="E626" s="31" t="inlineStr">
        <x:is>
          <x:t xml:space="preserve">Кабель</x:t>
        </x:is>
      </x:c>
      <x:c r="F626" s="31" t="n">
        <x:v>4.76</x:v>
      </x:c>
      <x:c r="G626" s="31" t="inlineStr">
        <x:is>
          <x:t xml:space="preserve">кг</x:t>
        </x:is>
      </x:c>
      <x:c r="H626" s="31" t="inlineStr">
        <x:is>
          <x:t xml:space="preserve">Обязательный</x:t>
        </x:is>
      </x:c>
      <x:c r="I626" s="31" t="inlineStr">
        <x:is>
          <x:t xml:space="preserve">ГЗ-КАБ-8</x:t>
        </x:is>
      </x:c>
      <x:c r="J626" s="31" t="inlineStr">
        <x:is>
          <x:t xml:space="preserve">Нет</x:t>
        </x:is>
      </x:c>
    </x:row>
    <x:row r="627">
      <x:c r="A627" s="31" t="inlineStr">
        <x:is>
          <x:t xml:space="preserve">СОСТ-00626</x:t>
        </x:is>
      </x:c>
      <x:c r="B627" s="31" t="inlineStr">
        <x:is>
          <x:t xml:space="preserve">ИЗД-043</x:t>
        </x:is>
      </x:c>
      <x:c r="C627" s="31" t="inlineStr">
        <x:is>
          <x:t xml:space="preserve">МАТ-0065</x:t>
        </x:is>
      </x:c>
      <x:c r="D627" s="31" t="inlineStr">
        <x:is>
          <x:t xml:space="preserve">Гофра металлическая</x:t>
        </x:is>
      </x:c>
      <x:c r="E627" s="31" t="inlineStr">
        <x:is>
          <x:t xml:space="preserve">Кабель</x:t>
        </x:is>
      </x:c>
      <x:c r="F627" s="31" t="n">
        <x:v>1.4</x:v>
      </x:c>
      <x:c r="G627" s="31" t="inlineStr">
        <x:is>
          <x:t xml:space="preserve">шт</x:t>
        </x:is>
      </x:c>
      <x:c r="H627" s="31" t="inlineStr">
        <x:is>
          <x:t xml:space="preserve">Обязательный</x:t>
        </x:is>
      </x:c>
      <x:c r="I627" s="31" t="inlineStr">
        <x:is>
          <x:t xml:space="preserve">ГЗ-КАБ-2</x:t>
        </x:is>
      </x:c>
      <x:c r="J627" s="31" t="inlineStr">
        <x:is>
          <x:t xml:space="preserve">Нет</x:t>
        </x:is>
      </x:c>
    </x:row>
    <x:row r="628">
      <x:c r="A628" s="31" t="inlineStr">
        <x:is>
          <x:t xml:space="preserve">СОСТ-00627</x:t>
        </x:is>
      </x:c>
      <x:c r="B628" s="31" t="inlineStr">
        <x:is>
          <x:t xml:space="preserve">ИЗД-043</x:t>
        </x:is>
      </x:c>
      <x:c r="C628" s="31" t="inlineStr">
        <x:is>
          <x:t xml:space="preserve">МАТ-0064</x:t>
        </x:is>
      </x:c>
      <x:c r="D628" s="31" t="inlineStr">
        <x:is>
          <x:t xml:space="preserve">Кабель ВВГнг 3×2.5 / исп.2</x:t>
        </x:is>
      </x:c>
      <x:c r="E628" s="31" t="inlineStr">
        <x:is>
          <x:t xml:space="preserve">Кабель</x:t>
        </x:is>
      </x:c>
      <x:c r="F628" s="31" t="n">
        <x:v>3.48</x:v>
      </x:c>
      <x:c r="G628" s="31" t="inlineStr">
        <x:is>
          <x:t xml:space="preserve">шт</x:t>
        </x:is>
      </x:c>
      <x:c r="H628" s="31" t="inlineStr">
        <x:is>
          <x:t xml:space="preserve">Обязательный</x:t>
        </x:is>
      </x:c>
      <x:c r="I628" s="31" t="inlineStr">
        <x:is>
          <x:t xml:space="preserve">ГЗ-КАБ-7</x:t>
        </x:is>
      </x:c>
      <x:c r="J628" s="31" t="inlineStr">
        <x:is>
          <x:t xml:space="preserve">Нет</x:t>
        </x:is>
      </x:c>
    </x:row>
    <x:row r="629">
      <x:c r="A629" s="31" t="inlineStr">
        <x:is>
          <x:t xml:space="preserve">СОСТ-00628</x:t>
        </x:is>
      </x:c>
      <x:c r="B629" s="31" t="inlineStr">
        <x:is>
          <x:t xml:space="preserve">ИЗД-043</x:t>
        </x:is>
      </x:c>
      <x:c r="C629" s="31" t="inlineStr">
        <x:is>
          <x:t xml:space="preserve">МАТ-0044</x:t>
        </x:is>
      </x:c>
      <x:c r="D629" s="31" t="inlineStr">
        <x:is>
          <x:t xml:space="preserve">Блок питания 24В / исп.2</x:t>
        </x:is>
      </x:c>
      <x:c r="E629" s="31" t="inlineStr">
        <x:is>
          <x:t xml:space="preserve">ПЛК/электрика</x:t>
        </x:is>
      </x:c>
      <x:c r="F629" s="31" t="n">
        <x:v>3.48</x:v>
      </x:c>
      <x:c r="G629" s="31" t="inlineStr">
        <x:is>
          <x:t xml:space="preserve">шт</x:t>
        </x:is>
      </x:c>
      <x:c r="H629" s="31" t="inlineStr">
        <x:is>
          <x:t xml:space="preserve">Обязательный</x:t>
        </x:is>
      </x:c>
      <x:c r="I629" s="31" t="inlineStr">
        <x:is>
          <x:t xml:space="preserve">ГЗ-ПЛК-1</x:t>
        </x:is>
      </x:c>
      <x:c r="J629" s="31" t="inlineStr">
        <x:is>
          <x:t xml:space="preserve">Нет</x:t>
        </x:is>
      </x:c>
    </x:row>
    <x:row r="630">
      <x:c r="A630" s="31" t="inlineStr">
        <x:is>
          <x:t xml:space="preserve">СОСТ-00629</x:t>
        </x:is>
      </x:c>
      <x:c r="B630" s="31" t="inlineStr">
        <x:is>
          <x:t xml:space="preserve">ИЗД-043</x:t>
        </x:is>
      </x:c>
      <x:c r="C630" s="31" t="inlineStr">
        <x:is>
          <x:t xml:space="preserve">МАТ-0072</x:t>
        </x:is>
      </x:c>
      <x:c r="D630" s="31" t="inlineStr">
        <x:is>
          <x:t xml:space="preserve">Растворитель</x:t>
        </x:is>
      </x:c>
      <x:c r="E630" s="31" t="inlineStr">
        <x:is>
          <x:t xml:space="preserve">Покраска</x:t>
        </x:is>
      </x:c>
      <x:c r="F630" s="31" t="n">
        <x:v>13.99</x:v>
      </x:c>
      <x:c r="G630" s="31" t="inlineStr">
        <x:is>
          <x:t xml:space="preserve">л</x:t>
        </x:is>
      </x:c>
      <x:c r="H630" s="31" t="inlineStr">
        <x:is>
          <x:t xml:space="preserve">Обязательный</x:t>
        </x:is>
      </x:c>
      <x:c r="I630" s="31" t="inlineStr">
        <x:is>
          <x:t xml:space="preserve">ГЗ-ПОК-2</x:t>
        </x:is>
      </x:c>
      <x:c r="J630" s="31" t="inlineStr">
        <x:is>
          <x:t xml:space="preserve">Нет</x:t>
        </x:is>
      </x:c>
    </x:row>
    <x:row r="631">
      <x:c r="A631" s="31" t="inlineStr">
        <x:is>
          <x:t xml:space="preserve">СОСТ-00630</x:t>
        </x:is>
      </x:c>
      <x:c r="B631" s="31" t="inlineStr">
        <x:is>
          <x:t xml:space="preserve">ИЗД-043</x:t>
        </x:is>
      </x:c>
      <x:c r="C631" s="31" t="inlineStr">
        <x:is>
          <x:t xml:space="preserve">МАТ-0079</x:t>
        </x:is>
      </x:c>
      <x:c r="D631" s="31" t="inlineStr">
        <x:is>
          <x:t xml:space="preserve">Гайка М12 / исп.2</x:t>
        </x:is>
      </x:c>
      <x:c r="E631" s="31" t="inlineStr">
        <x:is>
          <x:t xml:space="preserve">Крепеж</x:t>
        </x:is>
      </x:c>
      <x:c r="F631" s="31" t="n">
        <x:v>2.58</x:v>
      </x:c>
      <x:c r="G631" s="31" t="inlineStr">
        <x:is>
          <x:t xml:space="preserve">шт</x:t>
        </x:is>
      </x:c>
      <x:c r="H631" s="31" t="inlineStr">
        <x:is>
          <x:t xml:space="preserve">Обязательный</x:t>
        </x:is>
      </x:c>
      <x:c r="I631" s="31" t="inlineStr">
        <x:is>
          <x:t xml:space="preserve">ГЗ-КРЕ-9</x:t>
        </x:is>
      </x:c>
      <x:c r="J631" s="31" t="inlineStr">
        <x:is>
          <x:t xml:space="preserve">Нет</x:t>
        </x:is>
      </x:c>
    </x:row>
    <x:row r="632">
      <x:c r="A632" s="31" t="inlineStr">
        <x:is>
          <x:t xml:space="preserve">СОСТ-00631</x:t>
        </x:is>
      </x:c>
      <x:c r="B632" s="31" t="inlineStr">
        <x:is>
          <x:t xml:space="preserve">ИЗД-043</x:t>
        </x:is>
      </x:c>
      <x:c r="C632" s="31" t="inlineStr">
        <x:is>
          <x:t xml:space="preserve">МАТ-0085</x:t>
        </x:is>
      </x:c>
      <x:c r="D632" s="31" t="inlineStr">
        <x:is>
          <x:t xml:space="preserve">Пленка стрейч</x:t>
        </x:is>
      </x:c>
      <x:c r="E632" s="31" t="inlineStr">
        <x:is>
          <x:t xml:space="preserve">Упаковка</x:t>
        </x:is>
      </x:c>
      <x:c r="F632" s="31" t="n">
        <x:v>4.75</x:v>
      </x:c>
      <x:c r="G632" s="31" t="inlineStr">
        <x:is>
          <x:t xml:space="preserve">шт</x:t>
        </x:is>
      </x:c>
      <x:c r="H632" s="31" t="inlineStr">
        <x:is>
          <x:t xml:space="preserve">Обязательный</x:t>
        </x:is>
      </x:c>
      <x:c r="I632" s="31" t="inlineStr">
        <x:is>
          <x:t xml:space="preserve">ГЗ-УПА-5</x:t>
        </x:is>
      </x:c>
      <x:c r="J632" s="31" t="inlineStr">
        <x:is>
          <x:t xml:space="preserve">Нет</x:t>
        </x:is>
      </x:c>
    </x:row>
    <x:row r="633">
      <x:c r="A633" s="31" t="inlineStr">
        <x:is>
          <x:t xml:space="preserve">СОСТ-00632</x:t>
        </x:is>
      </x:c>
      <x:c r="B633" s="31" t="inlineStr">
        <x:is>
          <x:t xml:space="preserve">ИЗД-043</x:t>
        </x:is>
      </x:c>
      <x:c r="C633" s="31" t="inlineStr">
        <x:is>
          <x:t xml:space="preserve">МАТ-0089</x:t>
        </x:is>
      </x:c>
      <x:c r="D633" s="31" t="inlineStr">
        <x:is>
          <x:t xml:space="preserve">Маркировочная этикетка</x:t>
        </x:is>
      </x:c>
      <x:c r="E633" s="31" t="inlineStr">
        <x:is>
          <x:t xml:space="preserve">Упаковка</x:t>
        </x:is>
      </x:c>
      <x:c r="F633" s="31" t="n">
        <x:v>6.88</x:v>
      </x:c>
      <x:c r="G633" s="31" t="inlineStr">
        <x:is>
          <x:t xml:space="preserve">шт</x:t>
        </x:is>
      </x:c>
      <x:c r="H633" s="31" t="inlineStr">
        <x:is>
          <x:t xml:space="preserve">Обязательный</x:t>
        </x:is>
      </x:c>
      <x:c r="I633" s="31" t="inlineStr">
        <x:is>
          <x:t xml:space="preserve">ГЗ-УПА-7</x:t>
        </x:is>
      </x:c>
      <x:c r="J633" s="31" t="inlineStr">
        <x:is>
          <x:t xml:space="preserve">Нет</x:t>
        </x:is>
      </x:c>
    </x:row>
    <x:row r="634">
      <x:c r="A634" s="31" t="inlineStr">
        <x:is>
          <x:t xml:space="preserve">СОСТ-00633</x:t>
        </x:is>
      </x:c>
      <x:c r="B634" s="31" t="inlineStr">
        <x:is>
          <x:t xml:space="preserve">ИЗД-044</x:t>
        </x:is>
      </x:c>
      <x:c r="C634" s="31" t="inlineStr">
        <x:is>
          <x:t xml:space="preserve">МАТ-0001</x:t>
        </x:is>
      </x:c>
      <x:c r="D634" s="31" t="inlineStr">
        <x:is>
          <x:t xml:space="preserve">Лист стальной 09Г2С 8 мм</x:t>
        </x:is>
      </x:c>
      <x:c r="E634" s="31" t="inlineStr">
        <x:is>
          <x:t xml:space="preserve">Металл</x:t>
        </x:is>
      </x:c>
      <x:c r="F634" s="31" t="n">
        <x:v>69.90000000000001</x:v>
      </x:c>
      <x:c r="G634" s="31" t="inlineStr">
        <x:is>
          <x:t xml:space="preserve">м</x:t>
        </x:is>
      </x:c>
      <x:c r="H634" s="31" t="inlineStr">
        <x:is>
          <x:t xml:space="preserve">Обязательный</x:t>
        </x:is>
      </x:c>
      <x:c r="I634" s="31" t="inlineStr">
        <x:is>
          <x:t xml:space="preserve">ГЗ-МЕТ-9</x:t>
        </x:is>
      </x:c>
      <x:c r="J634" s="31" t="inlineStr">
        <x:is>
          <x:t xml:space="preserve">Нет</x:t>
        </x:is>
      </x:c>
    </x:row>
    <x:row r="635">
      <x:c r="A635" s="31" t="inlineStr">
        <x:is>
          <x:t xml:space="preserve">СОСТ-00634</x:t>
        </x:is>
      </x:c>
      <x:c r="B635" s="31" t="inlineStr">
        <x:is>
          <x:t xml:space="preserve">ИЗД-044</x:t>
        </x:is>
      </x:c>
      <x:c r="C635" s="31" t="inlineStr">
        <x:is>
          <x:t xml:space="preserve">МАТ-0001</x:t>
        </x:is>
      </x:c>
      <x:c r="D635" s="31" t="inlineStr">
        <x:is>
          <x:t xml:space="preserve">Лист стальной 09Г2С 8 мм</x:t>
        </x:is>
      </x:c>
      <x:c r="E635" s="31" t="inlineStr">
        <x:is>
          <x:t xml:space="preserve">Металл</x:t>
        </x:is>
      </x:c>
      <x:c r="F635" s="31" t="n">
        <x:v>34.84</x:v>
      </x:c>
      <x:c r="G635" s="31" t="inlineStr">
        <x:is>
          <x:t xml:space="preserve">м</x:t>
        </x:is>
      </x:c>
      <x:c r="H635" s="31" t="inlineStr">
        <x:is>
          <x:t xml:space="preserve">Обязательный</x:t>
        </x:is>
      </x:c>
      <x:c r="I635" s="31" t="inlineStr">
        <x:is>
          <x:t xml:space="preserve">ГЗ-МЕТ-9</x:t>
        </x:is>
      </x:c>
      <x:c r="J635" s="31" t="inlineStr">
        <x:is>
          <x:t xml:space="preserve">Да</x:t>
        </x:is>
      </x:c>
    </x:row>
    <x:row r="636">
      <x:c r="A636" s="31" t="inlineStr">
        <x:is>
          <x:t xml:space="preserve">СОСТ-00635</x:t>
        </x:is>
      </x:c>
      <x:c r="B636" s="31" t="inlineStr">
        <x:is>
          <x:t xml:space="preserve">ИЗД-044</x:t>
        </x:is>
      </x:c>
      <x:c r="C636" s="31" t="inlineStr">
        <x:is>
          <x:t xml:space="preserve">МАТ-0018</x:t>
        </x:is>
      </x:c>
      <x:c r="D636" s="31" t="inlineStr">
        <x:is>
          <x:t xml:space="preserve">Насос шестеренный 7.5 кВт / исп.2</x:t>
        </x:is>
      </x:c>
      <x:c r="E636" s="31" t="inlineStr">
        <x:is>
          <x:t xml:space="preserve">Насосы</x:t>
        </x:is>
      </x:c>
      <x:c r="F636" s="31" t="n">
        <x:v>7.64</x:v>
      </x:c>
      <x:c r="G636" s="31" t="inlineStr">
        <x:is>
          <x:t xml:space="preserve">шт</x:t>
        </x:is>
      </x:c>
      <x:c r="H636" s="31" t="inlineStr">
        <x:is>
          <x:t xml:space="preserve">Опция</x:t>
        </x:is>
      </x:c>
      <x:c r="I636" s="31" t="inlineStr">
        <x:is>
          <x:t xml:space="preserve">ГЗ-НАС-1</x:t>
        </x:is>
      </x:c>
      <x:c r="J636" s="31" t="inlineStr">
        <x:is>
          <x:t xml:space="preserve">Нет</x:t>
        </x:is>
      </x:c>
    </x:row>
    <x:row r="637">
      <x:c r="A637" s="31" t="inlineStr">
        <x:is>
          <x:t xml:space="preserve">СОСТ-00636</x:t>
        </x:is>
      </x:c>
      <x:c r="B637" s="31" t="inlineStr">
        <x:is>
          <x:t xml:space="preserve">ИЗД-044</x:t>
        </x:is>
      </x:c>
      <x:c r="C637" s="31" t="inlineStr">
        <x:is>
          <x:t xml:space="preserve">МАТ-0016</x:t>
        </x:is>
      </x:c>
      <x:c r="D637" s="31" t="inlineStr">
        <x:is>
          <x:t xml:space="preserve">Насос центробежный 15 кВт / исп.2</x:t>
        </x:is>
      </x:c>
      <x:c r="E637" s="31" t="inlineStr">
        <x:is>
          <x:t xml:space="preserve">Насосы</x:t>
        </x:is>
      </x:c>
      <x:c r="F637" s="31" t="n">
        <x:v>3.95</x:v>
      </x:c>
      <x:c r="G637" s="31" t="inlineStr">
        <x:is>
          <x:t xml:space="preserve">шт</x:t>
        </x:is>
      </x:c>
      <x:c r="H637" s="31" t="inlineStr">
        <x:is>
          <x:t xml:space="preserve">Обязательный</x:t>
        </x:is>
      </x:c>
      <x:c r="I637" s="31" t="inlineStr">
        <x:is>
          <x:t xml:space="preserve">ГЗ-НАС-1</x:t>
        </x:is>
      </x:c>
      <x:c r="J637" s="31" t="inlineStr">
        <x:is>
          <x:t xml:space="preserve">Нет</x:t>
        </x:is>
      </x:c>
    </x:row>
    <x:row r="638">
      <x:c r="A638" s="31" t="inlineStr">
        <x:is>
          <x:t xml:space="preserve">СОСТ-00637</x:t>
        </x:is>
      </x:c>
      <x:c r="B638" s="31" t="inlineStr">
        <x:is>
          <x:t xml:space="preserve">ИЗД-044</x:t>
        </x:is>
      </x:c>
      <x:c r="C638" s="31" t="inlineStr">
        <x:is>
          <x:t xml:space="preserve">МАТ-0017</x:t>
        </x:is>
      </x:c>
      <x:c r="D638" s="31" t="inlineStr">
        <x:is>
          <x:t xml:space="preserve">Насос шестеренный 7.5 кВт</x:t>
        </x:is>
      </x:c>
      <x:c r="E638" s="31" t="inlineStr">
        <x:is>
          <x:t xml:space="preserve">Насосы</x:t>
        </x:is>
      </x:c>
      <x:c r="F638" s="31" t="n">
        <x:v>3.27</x:v>
      </x:c>
      <x:c r="G638" s="31" t="inlineStr">
        <x:is>
          <x:t xml:space="preserve">шт</x:t>
        </x:is>
      </x:c>
      <x:c r="H638" s="31" t="inlineStr">
        <x:is>
          <x:t xml:space="preserve">Обязательный</x:t>
        </x:is>
      </x:c>
      <x:c r="I638" s="31" t="inlineStr">
        <x:is>
          <x:t xml:space="preserve">ГЗ-НАС-8</x:t>
        </x:is>
      </x:c>
      <x:c r="J638" s="31" t="inlineStr">
        <x:is>
          <x:t xml:space="preserve">Нет</x:t>
        </x:is>
      </x:c>
    </x:row>
    <x:row r="639">
      <x:c r="A639" s="31" t="inlineStr">
        <x:is>
          <x:t xml:space="preserve">СОСТ-00638</x:t>
        </x:is>
      </x:c>
      <x:c r="B639" s="31" t="inlineStr">
        <x:is>
          <x:t xml:space="preserve">ИЗД-044</x:t>
        </x:is>
      </x:c>
      <x:c r="C639" s="31" t="inlineStr">
        <x:is>
          <x:t xml:space="preserve">МАТ-0030</x:t>
        </x:is>
      </x:c>
      <x:c r="D639" s="31" t="inlineStr">
        <x:is>
          <x:t xml:space="preserve">Частотный преобразователь 22 кВт / исп.2</x:t>
        </x:is>
      </x:c>
      <x:c r="E639" s="31" t="inlineStr">
        <x:is>
          <x:t xml:space="preserve">Электродвигатели</x:t>
        </x:is>
      </x:c>
      <x:c r="F639" s="31" t="n">
        <x:v>7.46</x:v>
      </x:c>
      <x:c r="G639" s="31" t="inlineStr">
        <x:is>
          <x:t xml:space="preserve">шт</x:t>
        </x:is>
      </x:c>
      <x:c r="H639" s="31" t="inlineStr">
        <x:is>
          <x:t xml:space="preserve">Обязательный</x:t>
        </x:is>
      </x:c>
      <x:c r="I639" s="31" t="inlineStr">
        <x:is>
          <x:t xml:space="preserve">ГЗ-ЭЛЕ-1</x:t>
        </x:is>
      </x:c>
      <x:c r="J639" s="31" t="inlineStr">
        <x:is>
          <x:t xml:space="preserve">Нет</x:t>
        </x:is>
      </x:c>
    </x:row>
    <x:row r="640">
      <x:c r="A640" s="31" t="inlineStr">
        <x:is>
          <x:t xml:space="preserve">СОСТ-00639</x:t>
        </x:is>
      </x:c>
      <x:c r="B640" s="31" t="inlineStr">
        <x:is>
          <x:t xml:space="preserve">ИЗД-044</x:t>
        </x:is>
      </x:c>
      <x:c r="C640" s="31" t="inlineStr">
        <x:is>
          <x:t xml:space="preserve">МАТ-0025</x:t>
        </x:is>
      </x:c>
      <x:c r="D640" s="31" t="inlineStr">
        <x:is>
          <x:t xml:space="preserve">Двигатель 7.5 кВт</x:t>
        </x:is>
      </x:c>
      <x:c r="E640" s="31" t="inlineStr">
        <x:is>
          <x:t xml:space="preserve">Электродвигатели</x:t>
        </x:is>
      </x:c>
      <x:c r="F640" s="31" t="n">
        <x:v>7.7</x:v>
      </x:c>
      <x:c r="G640" s="31" t="inlineStr">
        <x:is>
          <x:t xml:space="preserve">шт</x:t>
        </x:is>
      </x:c>
      <x:c r="H640" s="31" t="inlineStr">
        <x:is>
          <x:t xml:space="preserve">Обязательный</x:t>
        </x:is>
      </x:c>
      <x:c r="I640" s="31" t="inlineStr">
        <x:is>
          <x:t xml:space="preserve">ГЗ-ЭЛЕ-6</x:t>
        </x:is>
      </x:c>
      <x:c r="J640" s="31" t="inlineStr">
        <x:is>
          <x:t xml:space="preserve">Нет</x:t>
        </x:is>
      </x:c>
    </x:row>
    <x:row r="641">
      <x:c r="A641" s="31" t="inlineStr">
        <x:is>
          <x:t xml:space="preserve">СОСТ-00640</x:t>
        </x:is>
      </x:c>
      <x:c r="B641" s="31" t="inlineStr">
        <x:is>
          <x:t xml:space="preserve">ИЗД-044</x:t>
        </x:is>
      </x:c>
      <x:c r="C641" s="31" t="inlineStr">
        <x:is>
          <x:t xml:space="preserve">МАТ-0027</x:t>
        </x:is>
      </x:c>
      <x:c r="D641" s="31" t="inlineStr">
        <x:is>
          <x:t xml:space="preserve">Двигатель 22 кВт</x:t>
        </x:is>
      </x:c>
      <x:c r="E641" s="31" t="inlineStr">
        <x:is>
          <x:t xml:space="preserve">Электродвигатели</x:t>
        </x:is>
      </x:c>
      <x:c r="F641" s="31" t="n">
        <x:v>4.5</x:v>
      </x:c>
      <x:c r="G641" s="31" t="inlineStr">
        <x:is>
          <x:t xml:space="preserve">шт</x:t>
        </x:is>
      </x:c>
      <x:c r="H641" s="31" t="inlineStr">
        <x:is>
          <x:t xml:space="preserve">Обязательный</x:t>
        </x:is>
      </x:c>
      <x:c r="I641" s="31" t="inlineStr">
        <x:is>
          <x:t xml:space="preserve">ГЗ-ЭЛЕ-2</x:t>
        </x:is>
      </x:c>
      <x:c r="J641" s="31" t="inlineStr">
        <x:is>
          <x:t xml:space="preserve">Нет</x:t>
        </x:is>
      </x:c>
    </x:row>
    <x:row r="642">
      <x:c r="A642" s="31" t="inlineStr">
        <x:is>
          <x:t xml:space="preserve">СОСТ-00641</x:t>
        </x:is>
      </x:c>
      <x:c r="B642" s="31" t="inlineStr">
        <x:is>
          <x:t xml:space="preserve">ИЗД-044</x:t>
        </x:is>
      </x:c>
      <x:c r="C642" s="31" t="inlineStr">
        <x:is>
          <x:t xml:space="preserve">МАТ-0037</x:t>
        </x:is>
      </x:c>
      <x:c r="D642" s="31" t="inlineStr">
        <x:is>
          <x:t xml:space="preserve">Клапан электромагнитный 24В / исп.3</x:t>
        </x:is>
      </x:c>
      <x:c r="E642" s="31" t="inlineStr">
        <x:is>
          <x:t xml:space="preserve">КИПиА</x:t>
        </x:is>
      </x:c>
      <x:c r="F642" s="31" t="n">
        <x:v>3.39</x:v>
      </x:c>
      <x:c r="G642" s="31" t="inlineStr">
        <x:is>
          <x:t xml:space="preserve">шт</x:t>
        </x:is>
      </x:c>
      <x:c r="H642" s="31" t="inlineStr">
        <x:is>
          <x:t xml:space="preserve">Замена</x:t>
        </x:is>
      </x:c>
      <x:c r="I642" s="31" t="inlineStr">
        <x:is>
          <x:t xml:space="preserve">ГЗ-КИП-3</x:t>
        </x:is>
      </x:c>
      <x:c r="J642" s="31" t="inlineStr">
        <x:is>
          <x:t xml:space="preserve">Нет</x:t>
        </x:is>
      </x:c>
    </x:row>
    <x:row r="643">
      <x:c r="A643" s="31" t="inlineStr">
        <x:is>
          <x:t xml:space="preserve">СОСТ-00642</x:t>
        </x:is>
      </x:c>
      <x:c r="B643" s="31" t="inlineStr">
        <x:is>
          <x:t xml:space="preserve">ИЗД-044</x:t>
        </x:is>
      </x:c>
      <x:c r="C643" s="31" t="inlineStr">
        <x:is>
          <x:t xml:space="preserve">МАТ-0034</x:t>
        </x:is>
      </x:c>
      <x:c r="D643" s="31" t="inlineStr">
        <x:is>
          <x:t xml:space="preserve">Манометр виброустойчивый</x:t>
        </x:is>
      </x:c>
      <x:c r="E643" s="31" t="inlineStr">
        <x:is>
          <x:t xml:space="preserve">КИПиА</x:t>
        </x:is>
      </x:c>
      <x:c r="F643" s="31" t="n">
        <x:v>4.36</x:v>
      </x:c>
      <x:c r="G643" s="31" t="inlineStr">
        <x:is>
          <x:t xml:space="preserve">шт</x:t>
        </x:is>
      </x:c>
      <x:c r="H643" s="31" t="inlineStr">
        <x:is>
          <x:t xml:space="preserve">Обязательный</x:t>
        </x:is>
      </x:c>
      <x:c r="I643" s="31" t="inlineStr">
        <x:is>
          <x:t xml:space="preserve">ГЗ-КИП-3</x:t>
        </x:is>
      </x:c>
      <x:c r="J643" s="31" t="inlineStr">
        <x:is>
          <x:t xml:space="preserve">Нет</x:t>
        </x:is>
      </x:c>
    </x:row>
    <x:row r="644">
      <x:c r="A644" s="31" t="inlineStr">
        <x:is>
          <x:t xml:space="preserve">СОСТ-00643</x:t>
        </x:is>
      </x:c>
      <x:c r="B644" s="31" t="inlineStr">
        <x:is>
          <x:t xml:space="preserve">ИЗД-044</x:t>
        </x:is>
      </x:c>
      <x:c r="C644" s="31" t="inlineStr">
        <x:is>
          <x:t xml:space="preserve">МАТ-0034</x:t>
        </x:is>
      </x:c>
      <x:c r="D644" s="31" t="inlineStr">
        <x:is>
          <x:t xml:space="preserve">Манометр виброустойчивый</x:t>
        </x:is>
      </x:c>
      <x:c r="E644" s="31" t="inlineStr">
        <x:is>
          <x:t xml:space="preserve">КИПиА</x:t>
        </x:is>
      </x:c>
      <x:c r="F644" s="31" t="n">
        <x:v>2.73</x:v>
      </x:c>
      <x:c r="G644" s="31" t="inlineStr">
        <x:is>
          <x:t xml:space="preserve">шт</x:t>
        </x:is>
      </x:c>
      <x:c r="H644" s="31" t="inlineStr">
        <x:is>
          <x:t xml:space="preserve">Обязательный</x:t>
        </x:is>
      </x:c>
      <x:c r="I644" s="31" t="inlineStr">
        <x:is>
          <x:t xml:space="preserve">ГЗ-КИП-3</x:t>
        </x:is>
      </x:c>
      <x:c r="J644" s="31" t="inlineStr">
        <x:is>
          <x:t xml:space="preserve">Нет</x:t>
        </x:is>
      </x:c>
    </x:row>
    <x:row r="645">
      <x:c r="A645" s="31" t="inlineStr">
        <x:is>
          <x:t xml:space="preserve">СОСТ-00644</x:t>
        </x:is>
      </x:c>
      <x:c r="B645" s="31" t="inlineStr">
        <x:is>
          <x:t xml:space="preserve">ИЗД-044</x:t>
        </x:is>
      </x:c>
      <x:c r="C645" s="31" t="inlineStr">
        <x:is>
          <x:t xml:space="preserve">МАТ-0055</x:t>
        </x:is>
      </x:c>
      <x:c r="D645" s="31" t="inlineStr">
        <x:is>
          <x:t xml:space="preserve">Клапан обратный Ду50</x:t>
        </x:is>
      </x:c>
      <x:c r="E645" s="31" t="inlineStr">
        <x:is>
          <x:t xml:space="preserve">Запорная арматура</x:t>
        </x:is>
      </x:c>
      <x:c r="F645" s="31" t="n">
        <x:v>6.37</x:v>
      </x:c>
      <x:c r="G645" s="31" t="inlineStr">
        <x:is>
          <x:t xml:space="preserve">шт</x:t>
        </x:is>
      </x:c>
      <x:c r="H645" s="31" t="inlineStr">
        <x:is>
          <x:t xml:space="preserve">Обязательный</x:t>
        </x:is>
      </x:c>
      <x:c r="I645" s="31" t="inlineStr">
        <x:is>
          <x:t xml:space="preserve">ГЗ-ЗАП-7</x:t>
        </x:is>
      </x:c>
      <x:c r="J645" s="31" t="inlineStr">
        <x:is>
          <x:t xml:space="preserve">Нет</x:t>
        </x:is>
      </x:c>
    </x:row>
    <x:row r="646">
      <x:c r="A646" s="31" t="inlineStr">
        <x:is>
          <x:t xml:space="preserve">СОСТ-00645</x:t>
        </x:is>
      </x:c>
      <x:c r="B646" s="31" t="inlineStr">
        <x:is>
          <x:t xml:space="preserve">ИЗД-044</x:t>
        </x:is>
      </x:c>
      <x:c r="C646" s="31" t="inlineStr">
        <x:is>
          <x:t xml:space="preserve">МАТ-0067</x:t>
        </x:is>
      </x:c>
      <x:c r="D646" s="31" t="inlineStr">
        <x:is>
          <x:t xml:space="preserve">Кабельный ввод М20</x:t>
        </x:is>
      </x:c>
      <x:c r="E646" s="31" t="inlineStr">
        <x:is>
          <x:t xml:space="preserve">Кабель</x:t>
        </x:is>
      </x:c>
      <x:c r="F646" s="31" t="n">
        <x:v>17.48</x:v>
      </x:c>
      <x:c r="G646" s="31" t="inlineStr">
        <x:is>
          <x:t xml:space="preserve">кг</x:t>
        </x:is>
      </x:c>
      <x:c r="H646" s="31" t="inlineStr">
        <x:is>
          <x:t xml:space="preserve">Обязательный</x:t>
        </x:is>
      </x:c>
      <x:c r="I646" s="31" t="inlineStr">
        <x:is>
          <x:t xml:space="preserve">ГЗ-КАБ-1</x:t>
        </x:is>
      </x:c>
      <x:c r="J646" s="31" t="inlineStr">
        <x:is>
          <x:t xml:space="preserve">Нет</x:t>
        </x:is>
      </x:c>
    </x:row>
    <x:row r="647">
      <x:c r="A647" s="31" t="inlineStr">
        <x:is>
          <x:t xml:space="preserve">СОСТ-00646</x:t>
        </x:is>
      </x:c>
      <x:c r="B647" s="31" t="inlineStr">
        <x:is>
          <x:t xml:space="preserve">ИЗД-044</x:t>
        </x:is>
      </x:c>
      <x:c r="C647" s="31" t="inlineStr">
        <x:is>
          <x:t xml:space="preserve">МАТ-0049</x:t>
        </x:is>
      </x:c>
      <x:c r="D647" s="31" t="inlineStr">
        <x:is>
          <x:t xml:space="preserve">Рейковая клемма</x:t>
        </x:is>
      </x:c>
      <x:c r="E647" s="31" t="inlineStr">
        <x:is>
          <x:t xml:space="preserve">ПЛК/электрика</x:t>
        </x:is>
      </x:c>
      <x:c r="F647" s="31" t="n">
        <x:v>4.52</x:v>
      </x:c>
      <x:c r="G647" s="31" t="inlineStr">
        <x:is>
          <x:t xml:space="preserve">шт</x:t>
        </x:is>
      </x:c>
      <x:c r="H647" s="31" t="inlineStr">
        <x:is>
          <x:t xml:space="preserve">Обязательный</x:t>
        </x:is>
      </x:c>
      <x:c r="I647" s="31" t="inlineStr">
        <x:is>
          <x:t xml:space="preserve">ГЗ-ПЛК-1</x:t>
        </x:is>
      </x:c>
      <x:c r="J647" s="31" t="inlineStr">
        <x:is>
          <x:t xml:space="preserve">Нет</x:t>
        </x:is>
      </x:c>
    </x:row>
    <x:row r="648">
      <x:c r="A648" s="31" t="inlineStr">
        <x:is>
          <x:t xml:space="preserve">СОСТ-00647</x:t>
        </x:is>
      </x:c>
      <x:c r="B648" s="31" t="inlineStr">
        <x:is>
          <x:t xml:space="preserve">ИЗД-044</x:t>
        </x:is>
      </x:c>
      <x:c r="C648" s="31" t="inlineStr">
        <x:is>
          <x:t xml:space="preserve">МАТ-0047</x:t>
        </x:is>
      </x:c>
      <x:c r="D648" s="31" t="inlineStr">
        <x:is>
          <x:t xml:space="preserve">Контактор 25А / исп.2</x:t>
        </x:is>
      </x:c>
      <x:c r="E648" s="31" t="inlineStr">
        <x:is>
          <x:t xml:space="preserve">ПЛК/электрика</x:t>
        </x:is>
      </x:c>
      <x:c r="F648" s="31" t="n">
        <x:v>5.4</x:v>
      </x:c>
      <x:c r="G648" s="31" t="inlineStr">
        <x:is>
          <x:t xml:space="preserve">шт</x:t>
        </x:is>
      </x:c>
      <x:c r="H648" s="31" t="inlineStr">
        <x:is>
          <x:t xml:space="preserve">Обязательный</x:t>
        </x:is>
      </x:c>
      <x:c r="I648" s="31" t="inlineStr">
        <x:is>
          <x:t xml:space="preserve">ГЗ-ПЛК-7</x:t>
        </x:is>
      </x:c>
      <x:c r="J648" s="31" t="inlineStr">
        <x:is>
          <x:t xml:space="preserve">Нет</x:t>
        </x:is>
      </x:c>
    </x:row>
    <x:row r="649">
      <x:c r="A649" s="31" t="inlineStr">
        <x:is>
          <x:t xml:space="preserve">СОСТ-00648</x:t>
        </x:is>
      </x:c>
      <x:c r="B649" s="31" t="inlineStr">
        <x:is>
          <x:t xml:space="preserve">ИЗД-044</x:t>
        </x:is>
      </x:c>
      <x:c r="C649" s="31" t="inlineStr">
        <x:is>
          <x:t xml:space="preserve">МАТ-0044</x:t>
        </x:is>
      </x:c>
      <x:c r="D649" s="31" t="inlineStr">
        <x:is>
          <x:t xml:space="preserve">Блок питания 24В / исп.2</x:t>
        </x:is>
      </x:c>
      <x:c r="E649" s="31" t="inlineStr">
        <x:is>
          <x:t xml:space="preserve">ПЛК/электрика</x:t>
        </x:is>
      </x:c>
      <x:c r="F649" s="31" t="n">
        <x:v>1.27</x:v>
      </x:c>
      <x:c r="G649" s="31" t="inlineStr">
        <x:is>
          <x:t xml:space="preserve">шт</x:t>
        </x:is>
      </x:c>
      <x:c r="H649" s="31" t="inlineStr">
        <x:is>
          <x:t xml:space="preserve">Замена</x:t>
        </x:is>
      </x:c>
      <x:c r="I649" s="31" t="inlineStr">
        <x:is>
          <x:t xml:space="preserve">ГЗ-ПЛК-1</x:t>
        </x:is>
      </x:c>
      <x:c r="J649" s="31" t="inlineStr">
        <x:is>
          <x:t xml:space="preserve">Нет</x:t>
        </x:is>
      </x:c>
    </x:row>
    <x:row r="650">
      <x:c r="A650" s="31" t="inlineStr">
        <x:is>
          <x:t xml:space="preserve">СОСТ-00649</x:t>
        </x:is>
      </x:c>
      <x:c r="B650" s="31" t="inlineStr">
        <x:is>
          <x:t xml:space="preserve">ИЗД-044</x:t>
        </x:is>
      </x:c>
      <x:c r="C650" s="31" t="inlineStr">
        <x:is>
          <x:t xml:space="preserve">МАТ-0068</x:t>
        </x:is>
      </x:c>
      <x:c r="D650" s="31" t="inlineStr">
        <x:is>
          <x:t xml:space="preserve">Грунт эпоксидный</x:t>
        </x:is>
      </x:c>
      <x:c r="E650" s="31" t="inlineStr">
        <x:is>
          <x:t xml:space="preserve">Покраска</x:t>
        </x:is>
      </x:c>
      <x:c r="F650" s="31" t="n">
        <x:v>9.09</x:v>
      </x:c>
      <x:c r="G650" s="31" t="inlineStr">
        <x:is>
          <x:t xml:space="preserve">л</x:t>
        </x:is>
      </x:c>
      <x:c r="H650" s="31" t="inlineStr">
        <x:is>
          <x:t xml:space="preserve">Обязательный</x:t>
        </x:is>
      </x:c>
      <x:c r="I650" s="31" t="inlineStr">
        <x:is>
          <x:t xml:space="preserve">ГЗ-ПОК-6</x:t>
        </x:is>
      </x:c>
      <x:c r="J650" s="31" t="inlineStr">
        <x:is>
          <x:t xml:space="preserve">Нет</x:t>
        </x:is>
      </x:c>
    </x:row>
    <x:row r="651">
      <x:c r="A651" s="31" t="inlineStr">
        <x:is>
          <x:t xml:space="preserve">СОСТ-00650</x:t>
        </x:is>
      </x:c>
      <x:c r="B651" s="31" t="inlineStr">
        <x:is>
          <x:t xml:space="preserve">ИЗД-044</x:t>
        </x:is>
      </x:c>
      <x:c r="C651" s="31" t="inlineStr">
        <x:is>
          <x:t xml:space="preserve">МАТ-0070</x:t>
        </x:is>
      </x:c>
      <x:c r="D651" s="31" t="inlineStr">
        <x:is>
          <x:t xml:space="preserve">Эмаль полиуретановая / исп.2</x:t>
        </x:is>
      </x:c>
      <x:c r="E651" s="31" t="inlineStr">
        <x:is>
          <x:t xml:space="preserve">Покраска</x:t>
        </x:is>
      </x:c>
      <x:c r="F651" s="31" t="n">
        <x:v>78.45</x:v>
      </x:c>
      <x:c r="G651" s="31" t="inlineStr">
        <x:is>
          <x:t xml:space="preserve">кг</x:t>
        </x:is>
      </x:c>
      <x:c r="H651" s="31" t="inlineStr">
        <x:is>
          <x:t xml:space="preserve">Обязательный</x:t>
        </x:is>
      </x:c>
      <x:c r="I651" s="31" t="inlineStr">
        <x:is>
          <x:t xml:space="preserve">ГЗ-ПОК-3</x:t>
        </x:is>
      </x:c>
      <x:c r="J651" s="31" t="inlineStr">
        <x:is>
          <x:t xml:space="preserve">Нет</x:t>
        </x:is>
      </x:c>
    </x:row>
    <x:row r="652">
      <x:c r="A652" s="31" t="inlineStr">
        <x:is>
          <x:t xml:space="preserve">СОСТ-00651</x:t>
        </x:is>
      </x:c>
      <x:c r="B652" s="31" t="inlineStr">
        <x:is>
          <x:t xml:space="preserve">ИЗД-044</x:t>
        </x:is>
      </x:c>
      <x:c r="C652" s="31" t="inlineStr">
        <x:is>
          <x:t xml:space="preserve">МАТ-0083</x:t>
        </x:is>
      </x:c>
      <x:c r="D652" s="31" t="inlineStr">
        <x:is>
          <x:t xml:space="preserve">Анкер М16</x:t>
        </x:is>
      </x:c>
      <x:c r="E652" s="31" t="inlineStr">
        <x:is>
          <x:t xml:space="preserve">Крепеж</x:t>
        </x:is>
      </x:c>
      <x:c r="F652" s="31" t="n">
        <x:v>3.99</x:v>
      </x:c>
      <x:c r="G652" s="31" t="inlineStr">
        <x:is>
          <x:t xml:space="preserve">шт</x:t>
        </x:is>
      </x:c>
      <x:c r="H652" s="31" t="inlineStr">
        <x:is>
          <x:t xml:space="preserve">Обязательный</x:t>
        </x:is>
      </x:c>
      <x:c r="I652" s="31" t="inlineStr">
        <x:is>
          <x:t xml:space="preserve">ГЗ-КРЕ-5</x:t>
        </x:is>
      </x:c>
      <x:c r="J652" s="31" t="inlineStr">
        <x:is>
          <x:t xml:space="preserve">Нет</x:t>
        </x:is>
      </x:c>
    </x:row>
    <x:row r="653">
      <x:c r="A653" s="31" t="inlineStr">
        <x:is>
          <x:t xml:space="preserve">СОСТ-00652</x:t>
        </x:is>
      </x:c>
      <x:c r="B653" s="31" t="inlineStr">
        <x:is>
          <x:t xml:space="preserve">ИЗД-044</x:t>
        </x:is>
      </x:c>
      <x:c r="C653" s="31" t="inlineStr">
        <x:is>
          <x:t xml:space="preserve">МАТ-0086</x:t>
        </x:is>
      </x:c>
      <x:c r="D653" s="31" t="inlineStr">
        <x:is>
          <x:t xml:space="preserve">Пленка стрейч / исп.2</x:t>
        </x:is>
      </x:c>
      <x:c r="E653" s="31" t="inlineStr">
        <x:is>
          <x:t xml:space="preserve">Упаковка</x:t>
        </x:is>
      </x:c>
      <x:c r="F653" s="31" t="n">
        <x:v>7.6</x:v>
      </x:c>
      <x:c r="G653" s="31" t="inlineStr">
        <x:is>
          <x:t xml:space="preserve">шт</x:t>
        </x:is>
      </x:c>
      <x:c r="H653" s="31" t="inlineStr">
        <x:is>
          <x:t xml:space="preserve">Обязательный</x:t>
        </x:is>
      </x:c>
      <x:c r="I653" s="31" t="inlineStr">
        <x:is>
          <x:t xml:space="preserve">ГЗ-УПА-4</x:t>
        </x:is>
      </x:c>
      <x:c r="J653" s="31" t="inlineStr">
        <x:is>
          <x:t xml:space="preserve">Нет</x:t>
        </x:is>
      </x:c>
    </x:row>
    <x:row r="654">
      <x:c r="A654" s="31" t="inlineStr">
        <x:is>
          <x:t xml:space="preserve">СОСТ-00653</x:t>
        </x:is>
      </x:c>
      <x:c r="B654" s="31" t="inlineStr">
        <x:is>
          <x:t xml:space="preserve">ИЗД-044</x:t>
        </x:is>
      </x:c>
      <x:c r="C654" s="31" t="inlineStr">
        <x:is>
          <x:t xml:space="preserve">МАТ-0084</x:t>
        </x:is>
      </x:c>
      <x:c r="D654" s="31" t="inlineStr">
        <x:is>
          <x:t xml:space="preserve">Поддон 1200×800</x:t>
        </x:is>
      </x:c>
      <x:c r="E654" s="31" t="inlineStr">
        <x:is>
          <x:t xml:space="preserve">Упаковка</x:t>
        </x:is>
      </x:c>
      <x:c r="F654" s="31" t="n">
        <x:v>2.27</x:v>
      </x:c>
      <x:c r="G654" s="31" t="inlineStr">
        <x:is>
          <x:t xml:space="preserve">шт</x:t>
        </x:is>
      </x:c>
      <x:c r="H654" s="31" t="inlineStr">
        <x:is>
          <x:t xml:space="preserve">Обязательный</x:t>
        </x:is>
      </x:c>
      <x:c r="I654" s="31" t="inlineStr">
        <x:is>
          <x:t xml:space="preserve">ГЗ-УПА-3</x:t>
        </x:is>
      </x:c>
      <x:c r="J654" s="31" t="inlineStr">
        <x:is>
          <x:t xml:space="preserve">Нет</x:t>
        </x:is>
      </x:c>
    </x:row>
    <x:row r="655">
      <x:c r="A655" s="31" t="inlineStr">
        <x:is>
          <x:t xml:space="preserve">СОСТ-00654</x:t>
        </x:is>
      </x:c>
      <x:c r="B655" s="31" t="inlineStr">
        <x:is>
          <x:t xml:space="preserve">ИЗД-045</x:t>
        </x:is>
      </x:c>
      <x:c r="C655" s="31" t="inlineStr">
        <x:is>
          <x:t xml:space="preserve">МАТ-0041</x:t>
        </x:is>
      </x:c>
      <x:c r="D655" s="31" t="inlineStr">
        <x:is>
          <x:t xml:space="preserve">модуль аналогового входа 4 канала / исп.2</x:t>
        </x:is>
      </x:c>
      <x:c r="E655" s="31" t="inlineStr">
        <x:is>
          <x:t xml:space="preserve">ПЛК/электрика</x:t>
        </x:is>
      </x:c>
      <x:c r="F655" s="31" t="n">
        <x:v>3</x:v>
      </x:c>
      <x:c r="G655" s="31" t="inlineStr">
        <x:is>
          <x:t xml:space="preserve">шт</x:t>
        </x:is>
      </x:c>
      <x:c r="H655" s="31" t="inlineStr">
        <x:is>
          <x:t xml:space="preserve">Обязательный</x:t>
        </x:is>
      </x:c>
      <x:c r="I655" s="31" t="inlineStr">
        <x:is>
          <x:t xml:space="preserve">ГЗ-ПЛК-4</x:t>
        </x:is>
      </x:c>
      <x:c r="J655" s="31" t="inlineStr">
        <x:is>
          <x:t xml:space="preserve">Нет</x:t>
        </x:is>
      </x:c>
    </x:row>
    <x:row r="656">
      <x:c r="A656" s="31" t="inlineStr">
        <x:is>
          <x:t xml:space="preserve">СОСТ-00655</x:t>
        </x:is>
      </x:c>
      <x:c r="B656" s="31" t="inlineStr">
        <x:is>
          <x:t xml:space="preserve">ИЗД-045</x:t>
        </x:is>
      </x:c>
      <x:c r="C656" s="31" t="inlineStr">
        <x:is>
          <x:t xml:space="preserve">МАТ-0044</x:t>
        </x:is>
      </x:c>
      <x:c r="D656" s="31" t="inlineStr">
        <x:is>
          <x:t xml:space="preserve">Блок питания 24В / исп.2</x:t>
        </x:is>
      </x:c>
      <x:c r="E656" s="31" t="inlineStr">
        <x:is>
          <x:t xml:space="preserve">ПЛК/электрика</x:t>
        </x:is>
      </x:c>
      <x:c r="F656" s="31" t="n">
        <x:v>2.29</x:v>
      </x:c>
      <x:c r="G656" s="31" t="inlineStr">
        <x:is>
          <x:t xml:space="preserve">шт</x:t>
        </x:is>
      </x:c>
      <x:c r="H656" s="31" t="inlineStr">
        <x:is>
          <x:t xml:space="preserve">Опция</x:t>
        </x:is>
      </x:c>
      <x:c r="I656" s="31" t="inlineStr">
        <x:is>
          <x:t xml:space="preserve">ГЗ-ПЛК-1</x:t>
        </x:is>
      </x:c>
      <x:c r="J656" s="31" t="inlineStr">
        <x:is>
          <x:t xml:space="preserve">Нет</x:t>
        </x:is>
      </x:c>
    </x:row>
    <x:row r="657">
      <x:c r="A657" s="31" t="inlineStr">
        <x:is>
          <x:t xml:space="preserve">СОСТ-00656</x:t>
        </x:is>
      </x:c>
      <x:c r="B657" s="31" t="inlineStr">
        <x:is>
          <x:t xml:space="preserve">ИЗД-045</x:t>
        </x:is>
      </x:c>
      <x:c r="C657" s="31" t="inlineStr">
        <x:is>
          <x:t xml:space="preserve">МАТ-0062</x:t>
        </x:is>
      </x:c>
      <x:c r="D657" s="31" t="inlineStr">
        <x:is>
          <x:t xml:space="preserve">Кабель КВВГ 4×1.5</x:t>
        </x:is>
      </x:c>
      <x:c r="E657" s="31" t="inlineStr">
        <x:is>
          <x:t xml:space="preserve">Кабель</x:t>
        </x:is>
      </x:c>
      <x:c r="F657" s="31" t="n">
        <x:v>3.07</x:v>
      </x:c>
      <x:c r="G657" s="31" t="inlineStr">
        <x:is>
          <x:t xml:space="preserve">м</x:t>
        </x:is>
      </x:c>
      <x:c r="H657" s="31" t="inlineStr">
        <x:is>
          <x:t xml:space="preserve">Обязательный</x:t>
        </x:is>
      </x:c>
      <x:c r="I657" s="31" t="inlineStr">
        <x:is>
          <x:t xml:space="preserve">ГЗ-КАБ-9</x:t>
        </x:is>
      </x:c>
      <x:c r="J657" s="31" t="inlineStr">
        <x:is>
          <x:t xml:space="preserve">Нет</x:t>
        </x:is>
      </x:c>
    </x:row>
    <x:row r="658">
      <x:c r="A658" s="31" t="inlineStr">
        <x:is>
          <x:t xml:space="preserve">СОСТ-00657</x:t>
        </x:is>
      </x:c>
      <x:c r="B658" s="31" t="inlineStr">
        <x:is>
          <x:t xml:space="preserve">ИЗД-045</x:t>
        </x:is>
      </x:c>
      <x:c r="C658" s="31" t="inlineStr">
        <x:is>
          <x:t xml:space="preserve">МАТ-0064</x:t>
        </x:is>
      </x:c>
      <x:c r="D658" s="31" t="inlineStr">
        <x:is>
          <x:t xml:space="preserve">Кабель ВВГнг 3×2.5 / исп.2</x:t>
        </x:is>
      </x:c>
      <x:c r="E658" s="31" t="inlineStr">
        <x:is>
          <x:t xml:space="preserve">Кабель</x:t>
        </x:is>
      </x:c>
      <x:c r="F658" s="31" t="n">
        <x:v>3.52</x:v>
      </x:c>
      <x:c r="G658" s="31" t="inlineStr">
        <x:is>
          <x:t xml:space="preserve">шт</x:t>
        </x:is>
      </x:c>
      <x:c r="H658" s="31" t="inlineStr">
        <x:is>
          <x:t xml:space="preserve">Обязательный</x:t>
        </x:is>
      </x:c>
      <x:c r="I658" s="31" t="inlineStr">
        <x:is>
          <x:t xml:space="preserve">ГЗ-КАБ-7</x:t>
        </x:is>
      </x:c>
      <x:c r="J658" s="31" t="inlineStr">
        <x:is>
          <x:t xml:space="preserve">Нет</x:t>
        </x:is>
      </x:c>
    </x:row>
    <x:row r="659">
      <x:c r="A659" s="31" t="inlineStr">
        <x:is>
          <x:t xml:space="preserve">СОСТ-00658</x:t>
        </x:is>
      </x:c>
      <x:c r="B659" s="31" t="inlineStr">
        <x:is>
          <x:t xml:space="preserve">ИЗД-045</x:t>
        </x:is>
      </x:c>
      <x:c r="C659" s="31" t="inlineStr">
        <x:is>
          <x:t xml:space="preserve">МАТ-0035</x:t>
        </x:is>
      </x:c>
      <x:c r="D659" s="31" t="inlineStr">
        <x:is>
          <x:t xml:space="preserve">Клапан электромагнитный 24В</x:t>
        </x:is>
      </x:c>
      <x:c r="E659" s="31" t="inlineStr">
        <x:is>
          <x:t xml:space="preserve">КИПиА</x:t>
        </x:is>
      </x:c>
      <x:c r="F659" s="31" t="n">
        <x:v>5.23</x:v>
      </x:c>
      <x:c r="G659" s="31" t="inlineStr">
        <x:is>
          <x:t xml:space="preserve">шт</x:t>
        </x:is>
      </x:c>
      <x:c r="H659" s="31" t="inlineStr">
        <x:is>
          <x:t xml:space="preserve">Обязательный</x:t>
        </x:is>
      </x:c>
      <x:c r="I659" s="31" t="inlineStr">
        <x:is>
          <x:t xml:space="preserve">ГЗ-КИП-7</x:t>
        </x:is>
      </x:c>
      <x:c r="J659" s="31" t="inlineStr">
        <x:is>
          <x:t xml:space="preserve">Нет</x:t>
        </x:is>
      </x:c>
    </x:row>
    <x:row r="660">
      <x:c r="A660" s="31" t="inlineStr">
        <x:is>
          <x:t xml:space="preserve">СОСТ-00659</x:t>
        </x:is>
      </x:c>
      <x:c r="B660" s="31" t="inlineStr">
        <x:is>
          <x:t xml:space="preserve">ИЗД-045</x:t>
        </x:is>
      </x:c>
      <x:c r="C660" s="31" t="inlineStr">
        <x:is>
          <x:t xml:space="preserve">МАТ-0035</x:t>
        </x:is>
      </x:c>
      <x:c r="D660" s="31" t="inlineStr">
        <x:is>
          <x:t xml:space="preserve">Клапан электромагнитный 24В</x:t>
        </x:is>
      </x:c>
      <x:c r="E660" s="31" t="inlineStr">
        <x:is>
          <x:t xml:space="preserve">КИПиА</x:t>
        </x:is>
      </x:c>
      <x:c r="F660" s="31" t="n">
        <x:v>3.69</x:v>
      </x:c>
      <x:c r="G660" s="31" t="inlineStr">
        <x:is>
          <x:t xml:space="preserve">шт</x:t>
        </x:is>
      </x:c>
      <x:c r="H660" s="31" t="inlineStr">
        <x:is>
          <x:t xml:space="preserve">Опция</x:t>
        </x:is>
      </x:c>
      <x:c r="I660" s="31" t="inlineStr">
        <x:is>
          <x:t xml:space="preserve">ГЗ-КИП-7</x:t>
        </x:is>
      </x:c>
      <x:c r="J660" s="31" t="inlineStr">
        <x:is>
          <x:t xml:space="preserve">Нет</x:t>
        </x:is>
      </x:c>
    </x:row>
    <x:row r="661">
      <x:c r="A661" s="31" t="inlineStr">
        <x:is>
          <x:t xml:space="preserve">СОСТ-00660</x:t>
        </x:is>
      </x:c>
      <x:c r="B661" s="31" t="inlineStr">
        <x:is>
          <x:t xml:space="preserve">ИЗД-045</x:t>
        </x:is>
      </x:c>
      <x:c r="C661" s="31" t="inlineStr">
        <x:is>
          <x:t xml:space="preserve">МАТ-0036</x:t>
        </x:is>
      </x:c>
      <x:c r="D661" s="31" t="inlineStr">
        <x:is>
          <x:t xml:space="preserve">Клапан электромагнитный 24В / исп.2</x:t>
        </x:is>
      </x:c>
      <x:c r="E661" s="31" t="inlineStr">
        <x:is>
          <x:t xml:space="preserve">КИПиА</x:t>
        </x:is>
      </x:c>
      <x:c r="F661" s="31" t="n">
        <x:v>5.21</x:v>
      </x:c>
      <x:c r="G661" s="31" t="inlineStr">
        <x:is>
          <x:t xml:space="preserve">шт</x:t>
        </x:is>
      </x:c>
      <x:c r="H661" s="31" t="inlineStr">
        <x:is>
          <x:t xml:space="preserve">Обязательный</x:t>
        </x:is>
      </x:c>
      <x:c r="I661" s="31" t="inlineStr">
        <x:is>
          <x:t xml:space="preserve">ГЗ-КИП-6</x:t>
        </x:is>
      </x:c>
      <x:c r="J661" s="31" t="inlineStr">
        <x:is>
          <x:t xml:space="preserve">Нет</x:t>
        </x:is>
      </x:c>
    </x:row>
    <x:row r="662">
      <x:c r="A662" s="31" t="inlineStr">
        <x:is>
          <x:t xml:space="preserve">СОСТ-00661</x:t>
        </x:is>
      </x:c>
      <x:c r="B662" s="31" t="inlineStr">
        <x:is>
          <x:t xml:space="preserve">ИЗД-045</x:t>
        </x:is>
      </x:c>
      <x:c r="C662" s="31" t="inlineStr">
        <x:is>
          <x:t xml:space="preserve">МАТ-0078</x:t>
        </x:is>
      </x:c>
      <x:c r="D662" s="31" t="inlineStr">
        <x:is>
          <x:t xml:space="preserve">Гайка М12</x:t>
        </x:is>
      </x:c>
      <x:c r="E662" s="31" t="inlineStr">
        <x:is>
          <x:t xml:space="preserve">Крепеж</x:t>
        </x:is>
      </x:c>
      <x:c r="F662" s="31" t="n">
        <x:v>2.35</x:v>
      </x:c>
      <x:c r="G662" s="31" t="inlineStr">
        <x:is>
          <x:t xml:space="preserve">шт</x:t>
        </x:is>
      </x:c>
      <x:c r="H662" s="31" t="inlineStr">
        <x:is>
          <x:t xml:space="preserve">Обязательный</x:t>
        </x:is>
      </x:c>
      <x:c r="I662" s="31" t="inlineStr">
        <x:is>
          <x:t xml:space="preserve">ГЗ-КРЕ-9</x:t>
        </x:is>
      </x:c>
      <x:c r="J662" s="31" t="inlineStr">
        <x:is>
          <x:t xml:space="preserve">Нет</x:t>
        </x:is>
      </x:c>
    </x:row>
    <x:row r="663">
      <x:c r="A663" s="31" t="inlineStr">
        <x:is>
          <x:t xml:space="preserve">СОСТ-00662</x:t>
        </x:is>
      </x:c>
      <x:c r="B663" s="31" t="inlineStr">
        <x:is>
          <x:t xml:space="preserve">ИЗД-045</x:t>
        </x:is>
      </x:c>
      <x:c r="C663" s="31" t="inlineStr">
        <x:is>
          <x:t xml:space="preserve">МАТ-0083</x:t>
        </x:is>
      </x:c>
      <x:c r="D663" s="31" t="inlineStr">
        <x:is>
          <x:t xml:space="preserve">Анкер М16</x:t>
        </x:is>
      </x:c>
      <x:c r="E663" s="31" t="inlineStr">
        <x:is>
          <x:t xml:space="preserve">Крепеж</x:t>
        </x:is>
      </x:c>
      <x:c r="F663" s="31" t="n">
        <x:v>5.33</x:v>
      </x:c>
      <x:c r="G663" s="31" t="inlineStr">
        <x:is>
          <x:t xml:space="preserve">шт</x:t>
        </x:is>
      </x:c>
      <x:c r="H663" s="31" t="inlineStr">
        <x:is>
          <x:t xml:space="preserve">Обязательный</x:t>
        </x:is>
      </x:c>
      <x:c r="I663" s="31" t="inlineStr">
        <x:is>
          <x:t xml:space="preserve">ГЗ-КРЕ-5</x:t>
        </x:is>
      </x:c>
      <x:c r="J663" s="31" t="inlineStr">
        <x:is>
          <x:t xml:space="preserve">Нет</x:t>
        </x:is>
      </x:c>
    </x:row>
    <x:row r="664">
      <x:c r="A664" s="31" t="inlineStr">
        <x:is>
          <x:t xml:space="preserve">СОСТ-00663</x:t>
        </x:is>
      </x:c>
      <x:c r="B664" s="31" t="inlineStr">
        <x:is>
          <x:t xml:space="preserve">ИЗД-045</x:t>
        </x:is>
      </x:c>
      <x:c r="C664" s="31" t="inlineStr">
        <x:is>
          <x:t xml:space="preserve">МАТ-0078</x:t>
        </x:is>
      </x:c>
      <x:c r="D664" s="31" t="inlineStr">
        <x:is>
          <x:t xml:space="preserve">Гайка М12</x:t>
        </x:is>
      </x:c>
      <x:c r="E664" s="31" t="inlineStr">
        <x:is>
          <x:t xml:space="preserve">Крепеж</x:t>
        </x:is>
      </x:c>
      <x:c r="F664" s="31" t="n">
        <x:v>4.73</x:v>
      </x:c>
      <x:c r="G664" s="31" t="inlineStr">
        <x:is>
          <x:t xml:space="preserve">шт</x:t>
        </x:is>
      </x:c>
      <x:c r="H664" s="31" t="inlineStr">
        <x:is>
          <x:t xml:space="preserve">Обязательный</x:t>
        </x:is>
      </x:c>
      <x:c r="I664" s="31" t="inlineStr">
        <x:is>
          <x:t xml:space="preserve">ГЗ-КРЕ-9</x:t>
        </x:is>
      </x:c>
      <x:c r="J664" s="31" t="inlineStr">
        <x:is>
          <x:t xml:space="preserve">Нет</x:t>
        </x:is>
      </x:c>
    </x:row>
    <x:row r="665">
      <x:c r="A665" s="31" t="inlineStr">
        <x:is>
          <x:t xml:space="preserve">СОСТ-00664</x:t>
        </x:is>
      </x:c>
      <x:c r="B665" s="31" t="inlineStr">
        <x:is>
          <x:t xml:space="preserve">ИЗД-045</x:t>
        </x:is>
      </x:c>
      <x:c r="C665" s="31" t="inlineStr">
        <x:is>
          <x:t xml:space="preserve">МАТ-0088</x:t>
        </x:is>
      </x:c>
      <x:c r="D665" s="31" t="inlineStr">
        <x:is>
          <x:t xml:space="preserve">Ящик фанерный / исп.2</x:t>
        </x:is>
      </x:c>
      <x:c r="E665" s="31" t="inlineStr">
        <x:is>
          <x:t xml:space="preserve">Упаковка</x:t>
        </x:is>
      </x:c>
      <x:c r="F665" s="31" t="n">
        <x:v>5.98</x:v>
      </x:c>
      <x:c r="G665" s="31" t="inlineStr">
        <x:is>
          <x:t xml:space="preserve">шт</x:t>
        </x:is>
      </x:c>
      <x:c r="H665" s="31" t="inlineStr">
        <x:is>
          <x:t xml:space="preserve">Опция</x:t>
        </x:is>
      </x:c>
      <x:c r="I665" s="31" t="inlineStr">
        <x:is>
          <x:t xml:space="preserve">ГЗ-УПА-4</x:t>
        </x:is>
      </x:c>
      <x:c r="J665" s="31" t="inlineStr">
        <x:is>
          <x:t xml:space="preserve">Нет</x:t>
        </x:is>
      </x:c>
    </x:row>
    <x:row r="666">
      <x:c r="A666" s="31" t="inlineStr">
        <x:is>
          <x:t xml:space="preserve">СОСТ-00665</x:t>
        </x:is>
      </x:c>
      <x:c r="B666" s="31" t="inlineStr">
        <x:is>
          <x:t xml:space="preserve">ИЗД-045</x:t>
        </x:is>
      </x:c>
      <x:c r="C666" s="31" t="inlineStr">
        <x:is>
          <x:t xml:space="preserve">МАТ-0088</x:t>
        </x:is>
      </x:c>
      <x:c r="D666" s="31" t="inlineStr">
        <x:is>
          <x:t xml:space="preserve">Ящик фанерный / исп.2</x:t>
        </x:is>
      </x:c>
      <x:c r="E666" s="31" t="inlineStr">
        <x:is>
          <x:t xml:space="preserve">Упаковка</x:t>
        </x:is>
      </x:c>
      <x:c r="F666" s="31" t="n">
        <x:v>7.83</x:v>
      </x:c>
      <x:c r="G666" s="31" t="inlineStr">
        <x:is>
          <x:t xml:space="preserve">шт</x:t>
        </x:is>
      </x:c>
      <x:c r="H666" s="31" t="inlineStr">
        <x:is>
          <x:t xml:space="preserve">Опция</x:t>
        </x:is>
      </x:c>
      <x:c r="I666" s="31" t="inlineStr">
        <x:is>
          <x:t xml:space="preserve">ГЗ-УПА-4</x:t>
        </x:is>
      </x:c>
      <x:c r="J666" s="31" t="inlineStr">
        <x:is>
          <x:t xml:space="preserve">Нет</x:t>
        </x:is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cols>
    <x:col min="1" max="1" width="15" customWidth="1"/>
    <x:col min="2" max="2" width="38" customWidth="1"/>
    <x:col min="3" max="3" width="19" customWidth="1"/>
    <x:col min="4" max="4" width="10" customWidth="1"/>
    <x:col min="5" max="5" width="22" customWidth="1"/>
    <x:col min="6" max="6" width="21" customWidth="1"/>
    <x:col min="7" max="7" width="10" customWidth="1"/>
    <x:col min="8" max="8" width="17" customWidth="1"/>
    <x:col min="9" max="9" width="10" customWidth="1"/>
    <x:col min="10" max="10" width="19" customWidth="1"/>
    <x:col min="11" max="11" width="21" customWidth="1"/>
    <x:col min="12" max="12" width="13" customWidth="1"/>
    <x:col min="13" max="13" width="15" customWidth="1"/>
    <x:col min="14" max="14" width="15" customWidth="1"/>
    <x:col min="15" max="15" width="28" customWidth="1"/>
  </x:cols>
  <x:sheetData>
    <x:row r="1" ht="18" customHeight="1">
      <x:c r="A1" s="30" t="inlineStr">
        <x:is>
          <x:t xml:space="preserve">Код материала</x:t>
        </x:is>
      </x:c>
      <x:c r="B1" s="30" t="inlineStr">
        <x:is>
          <x:t xml:space="preserve">Материал</x:t>
        </x:is>
      </x:c>
      <x:c r="C1" s="30" t="inlineStr">
        <x:is>
          <x:t xml:space="preserve">Категория</x:t>
        </x:is>
      </x:c>
      <x:c r="D1" s="30" t="inlineStr">
        <x:is>
          <x:t xml:space="preserve">Ед. изм.</x:t>
        </x:is>
      </x:c>
      <x:c r="E1" s="30" t="inlineStr">
        <x:is>
          <x:t xml:space="preserve">Последняя цена, руб.</x:t>
        </x:is>
      </x:c>
      <x:c r="F1" s="30" t="inlineStr">
        <x:is>
          <x:t xml:space="preserve">Минимальный остаток</x:t>
        </x:is>
      </x:c>
      <x:c r="G1" s="30" t="inlineStr">
        <x:is>
          <x:t xml:space="preserve">Доступно</x:t>
        </x:is>
      </x:c>
      <x:c r="H1" s="30" t="inlineStr">
        <x:is>
          <x:t xml:space="preserve">Зарезервировано</x:t>
        </x:is>
      </x:c>
      <x:c r="I1" s="30" t="inlineStr">
        <x:is>
          <x:t xml:space="preserve">Заказано</x:t>
        </x:is>
      </x:c>
      <x:c r="J1" s="30" t="inlineStr">
        <x:is>
          <x:t xml:space="preserve">Свободный остаток</x:t>
        </x:is>
      </x:c>
      <x:c r="K1" s="30" t="inlineStr">
        <x:is>
          <x:t xml:space="preserve">Срок поставки, дней</x:t>
        </x:is>
      </x:c>
      <x:c r="L1" s="30" t="inlineStr">
        <x:is>
          <x:t xml:space="preserve">Критичность</x:t>
        </x:is>
      </x:c>
      <x:c r="M1" s="30" t="inlineStr">
        <x:is>
          <x:t xml:space="preserve">Группа замены</x:t>
        </x:is>
      </x:c>
      <x:c r="N1" s="30" t="inlineStr">
        <x:is>
          <x:t xml:space="preserve">Статус склада</x:t>
        </x:is>
      </x:c>
      <x:c r="O1" s="30" t="inlineStr">
        <x:is>
          <x:t xml:space="preserve">Предпочтительный поставщик</x:t>
        </x:is>
      </x:c>
    </x:row>
    <x:row r="2" ht="18" customHeight="1">
      <x:c r="A2" s="31" t="inlineStr">
        <x:is>
          <x:t xml:space="preserve">МАТ-0001</x:t>
        </x:is>
      </x:c>
      <x:c r="B2" s="31" t="inlineStr">
        <x:is>
          <x:t xml:space="preserve">Лист стальной 09Г2С 8 мм</x:t>
        </x:is>
      </x:c>
      <x:c r="C2" s="31" t="inlineStr">
        <x:is>
          <x:t xml:space="preserve">Металл</x:t>
        </x:is>
      </x:c>
      <x:c r="D2" s="31" t="inlineStr">
        <x:is>
          <x:t xml:space="preserve">м</x:t>
        </x:is>
      </x:c>
      <x:c r="E2" s="31" t="n">
        <x:v>154</x:v>
      </x:c>
      <x:c r="F2" s="31" t="n">
        <x:v>103</x:v>
      </x:c>
      <x:c r="G2" s="31" t="n">
        <x:v>142</x:v>
      </x:c>
      <x:c r="H2" s="31" t="n">
        <x:v>14</x:v>
      </x:c>
      <x:c r="I2" s="31" t="n">
        <x:v>146</x:v>
      </x:c>
      <x:c r="J2" s="31" t="n">
        <x:v>128</x:v>
      </x:c>
      <x:c r="K2" s="31" t="n">
        <x:v>10</x:v>
      </x:c>
      <x:c r="L2" s="31" t="inlineStr">
        <x:is>
          <x:t xml:space="preserve">Б</x:t>
        </x:is>
      </x:c>
      <x:c r="M2" s="31" t="inlineStr">
        <x:is>
          <x:t xml:space="preserve">ГЗ-МЕТ-9</x:t>
        </x:is>
      </x:c>
      <x:c r="N2" s="31" t="inlineStr">
        <x:is>
          <x:t xml:space="preserve">Норма</x:t>
        </x:is>
      </x:c>
      <x:c r="O2" s="31" t="inlineStr">
        <x:is>
          <x:t xml:space="preserve">ПОСТ-018</x:t>
        </x:is>
      </x:c>
    </x:row>
    <x:row r="3" ht="18" customHeight="1">
      <x:c r="A3" s="31" t="inlineStr">
        <x:is>
          <x:t xml:space="preserve">МАТ-0002</x:t>
        </x:is>
      </x:c>
      <x:c r="B3" s="31" t="inlineStr">
        <x:is>
          <x:t xml:space="preserve">Лист стальной 09Г2С 12 мм</x:t>
        </x:is>
      </x:c>
      <x:c r="C3" s="31" t="inlineStr">
        <x:is>
          <x:t xml:space="preserve">Металл</x:t>
        </x:is>
      </x:c>
      <x:c r="D3" s="31" t="inlineStr">
        <x:is>
          <x:t xml:space="preserve">кг</x:t>
        </x:is>
      </x:c>
      <x:c r="E3" s="31" t="n">
        <x:v>192</x:v>
      </x:c>
      <x:c r="F3" s="31" t="n">
        <x:v>9</x:v>
      </x:c>
      <x:c r="G3" s="31" t="n">
        <x:v>3</x:v>
      </x:c>
      <x:c r="H3" s="31" t="n">
        <x:v>1</x:v>
      </x:c>
      <x:c r="I3" s="31" t="n">
        <x:v>8</x:v>
      </x:c>
      <x:c r="J3" s="31" t="n">
        <x:v>2</x:v>
      </x:c>
      <x:c r="K3" s="31" t="n">
        <x:v>25</x:v>
      </x:c>
      <x:c r="L3" s="31" t="inlineStr">
        <x:is>
          <x:t xml:space="preserve">В</x:t>
        </x:is>
      </x:c>
      <x:c r="M3" s="31" t="inlineStr">
        <x:is>
          <x:t xml:space="preserve">ГЗ-МЕТ-2</x:t>
        </x:is>
      </x:c>
      <x:c r="N3" s="31" t="inlineStr">
        <x:is>
          <x:t xml:space="preserve">Дефицит</x:t>
        </x:is>
      </x:c>
      <x:c r="O3" s="31" t="inlineStr">
        <x:is>
          <x:t xml:space="preserve">ПОСТ-018</x:t>
        </x:is>
      </x:c>
    </x:row>
    <x:row r="4" ht="18" customHeight="1">
      <x:c r="A4" s="31" t="inlineStr">
        <x:is>
          <x:t xml:space="preserve">МАТ-0003</x:t>
        </x:is>
      </x:c>
      <x:c r="B4" s="31" t="inlineStr">
        <x:is>
          <x:t xml:space="preserve">Лист стальной 09Г2С 12 мм / исп.2</x:t>
        </x:is>
      </x:c>
      <x:c r="C4" s="31" t="inlineStr">
        <x:is>
          <x:t xml:space="preserve">Металл</x:t>
        </x:is>
      </x:c>
      <x:c r="D4" s="31" t="inlineStr">
        <x:is>
          <x:t xml:space="preserve">м</x:t>
        </x:is>
      </x:c>
      <x:c r="E4" s="31" t="n">
        <x:v>133</x:v>
      </x:c>
      <x:c r="F4" s="31" t="n">
        <x:v>105</x:v>
      </x:c>
      <x:c r="G4" s="31" t="n">
        <x:v>149</x:v>
      </x:c>
      <x:c r="H4" s="31" t="n">
        <x:v>7</x:v>
      </x:c>
      <x:c r="I4" s="31" t="n">
        <x:v>145</x:v>
      </x:c>
      <x:c r="J4" s="31" t="n">
        <x:v>142</x:v>
      </x:c>
      <x:c r="K4" s="31" t="n">
        <x:v>25</x:v>
      </x:c>
      <x:c r="L4" s="31" t="inlineStr">
        <x:is>
          <x:t xml:space="preserve">Б</x:t>
        </x:is>
      </x:c>
      <x:c r="M4" s="31" t="inlineStr">
        <x:is>
          <x:t xml:space="preserve">ГЗ-МЕТ-9</x:t>
        </x:is>
      </x:c>
      <x:c r="N4" s="31" t="inlineStr">
        <x:is>
          <x:t xml:space="preserve">Норма</x:t>
        </x:is>
      </x:c>
      <x:c r="O4" s="31" t="inlineStr">
        <x:is>
          <x:t xml:space="preserve">ПОСТ-018</x:t>
        </x:is>
      </x:c>
    </x:row>
    <x:row r="5" ht="18" customHeight="1">
      <x:c r="A5" s="31" t="inlineStr">
        <x:is>
          <x:t xml:space="preserve">МАТ-0004</x:t>
        </x:is>
      </x:c>
      <x:c r="B5" s="31" t="inlineStr">
        <x:is>
          <x:t xml:space="preserve">Лист стальной 09Г2С 12 мм / исп.3</x:t>
        </x:is>
      </x:c>
      <x:c r="C5" s="31" t="inlineStr">
        <x:is>
          <x:t xml:space="preserve">Металл</x:t>
        </x:is>
      </x:c>
      <x:c r="D5" s="31" t="inlineStr">
        <x:is>
          <x:t xml:space="preserve">л</x:t>
        </x:is>
      </x:c>
      <x:c r="E5" s="31" t="n">
        <x:v>154</x:v>
      </x:c>
      <x:c r="F5" s="31" t="n">
        <x:v>101</x:v>
      </x:c>
      <x:c r="G5" s="31" t="n">
        <x:v>177</x:v>
      </x:c>
      <x:c r="H5" s="31" t="n">
        <x:v>100</x:v>
      </x:c>
      <x:c r="I5" s="31" t="n">
        <x:v>105</x:v>
      </x:c>
      <x:c r="J5" s="31" t="n">
        <x:v>77</x:v>
      </x:c>
      <x:c r="K5" s="31" t="n">
        <x:v>6</x:v>
      </x:c>
      <x:c r="L5" s="31" t="inlineStr">
        <x:is>
          <x:t xml:space="preserve">В</x:t>
        </x:is>
      </x:c>
      <x:c r="M5" s="31" t="inlineStr">
        <x:is>
          <x:t xml:space="preserve">ГЗ-МЕТ-3</x:t>
        </x:is>
      </x:c>
      <x:c r="N5" s="31" t="inlineStr">
        <x:is>
          <x:t xml:space="preserve">Ниже минимума</x:t>
        </x:is>
      </x:c>
      <x:c r="O5" s="31" t="inlineStr">
        <x:is>
          <x:t xml:space="preserve">ПОСТ-018</x:t>
        </x:is>
      </x:c>
    </x:row>
    <x:row r="6" ht="18" customHeight="1">
      <x:c r="A6" s="31" t="inlineStr">
        <x:is>
          <x:t xml:space="preserve">МАТ-0005</x:t>
        </x:is>
      </x:c>
      <x:c r="B6" s="31" t="inlineStr">
        <x:is>
          <x:t xml:space="preserve">Труба бесшовная 57×4</x:t>
        </x:is>
      </x:c>
      <x:c r="C6" s="31" t="inlineStr">
        <x:is>
          <x:t xml:space="preserve">Металл</x:t>
        </x:is>
      </x:c>
      <x:c r="D6" s="31" t="inlineStr">
        <x:is>
          <x:t xml:space="preserve">м</x:t>
        </x:is>
      </x:c>
      <x:c r="E6" s="31" t="n">
        <x:v>162</x:v>
      </x:c>
      <x:c r="F6" s="31" t="n">
        <x:v>39</x:v>
      </x:c>
      <x:c r="G6" s="31" t="n">
        <x:v>32</x:v>
      </x:c>
      <x:c r="H6" s="31" t="n">
        <x:v>2</x:v>
      </x:c>
      <x:c r="I6" s="31" t="n">
        <x:v>11</x:v>
      </x:c>
      <x:c r="J6" s="31" t="n">
        <x:v>30</x:v>
      </x:c>
      <x:c r="K6" s="31" t="n">
        <x:v>28</x:v>
      </x:c>
      <x:c r="L6" s="31" t="inlineStr">
        <x:is>
          <x:t xml:space="preserve">Б</x:t>
        </x:is>
      </x:c>
      <x:c r="M6" s="31" t="inlineStr">
        <x:is>
          <x:t xml:space="preserve">ГЗ-МЕТ-5</x:t>
        </x:is>
      </x:c>
      <x:c r="N6" s="31" t="inlineStr">
        <x:is>
          <x:t xml:space="preserve">Ниже минимума</x:t>
        </x:is>
      </x:c>
      <x:c r="O6" s="31" t="inlineStr">
        <x:is>
          <x:t xml:space="preserve">ПОСТ-018</x:t>
        </x:is>
      </x:c>
    </x:row>
    <x:row r="7" ht="18" customHeight="1">
      <x:c r="A7" s="31" t="inlineStr">
        <x:is>
          <x:t xml:space="preserve">МАТ-0006</x:t>
        </x:is>
      </x:c>
      <x:c r="B7" s="31" t="inlineStr">
        <x:is>
          <x:t xml:space="preserve">Труба нержавеющая 38×3</x:t>
        </x:is>
      </x:c>
      <x:c r="C7" s="31" t="inlineStr">
        <x:is>
          <x:t xml:space="preserve">Металл</x:t>
        </x:is>
      </x:c>
      <x:c r="D7" s="31" t="inlineStr">
        <x:is>
          <x:t xml:space="preserve">шт</x:t>
        </x:is>
      </x:c>
      <x:c r="E7" s="31" t="n">
        <x:v>163</x:v>
      </x:c>
      <x:c r="F7" s="31" t="n">
        <x:v>13</x:v>
      </x:c>
      <x:c r="G7" s="31" t="n">
        <x:v>10</x:v>
      </x:c>
      <x:c r="H7" s="31" t="n">
        <x:v>6</x:v>
      </x:c>
      <x:c r="I7" s="31" t="n">
        <x:v>6</x:v>
      </x:c>
      <x:c r="J7" s="31" t="n">
        <x:v>4</x:v>
      </x:c>
      <x:c r="K7" s="31" t="n">
        <x:v>30</x:v>
      </x:c>
      <x:c r="L7" s="31" t="inlineStr">
        <x:is>
          <x:t xml:space="preserve">В</x:t>
        </x:is>
      </x:c>
      <x:c r="M7" s="31" t="inlineStr">
        <x:is>
          <x:t xml:space="preserve">ГЗ-МЕТ-8</x:t>
        </x:is>
      </x:c>
      <x:c r="N7" s="31" t="inlineStr">
        <x:is>
          <x:t xml:space="preserve">Дефицит</x:t>
        </x:is>
      </x:c>
      <x:c r="O7" s="31" t="inlineStr">
        <x:is>
          <x:t xml:space="preserve">ПОСТ-018</x:t>
        </x:is>
      </x:c>
    </x:row>
    <x:row r="8" ht="18" customHeight="1">
      <x:c r="A8" s="31" t="inlineStr">
        <x:is>
          <x:t xml:space="preserve">МАТ-0007</x:t>
        </x:is>
      </x:c>
      <x:c r="B8" s="31" t="inlineStr">
        <x:is>
          <x:t xml:space="preserve">Труба нержавеющая 38×3 / исп.2</x:t>
        </x:is>
      </x:c>
      <x:c r="C8" s="31" t="inlineStr">
        <x:is>
          <x:t xml:space="preserve">Металл</x:t>
        </x:is>
      </x:c>
      <x:c r="D8" s="31" t="inlineStr">
        <x:is>
          <x:t xml:space="preserve">л</x:t>
        </x:is>
      </x:c>
      <x:c r="E8" s="31" t="n">
        <x:v>166</x:v>
      </x:c>
      <x:c r="F8" s="31" t="n">
        <x:v>11</x:v>
      </x:c>
      <x:c r="G8" s="31" t="n">
        <x:v>24</x:v>
      </x:c>
      <x:c r="H8" s="31" t="n">
        <x:v>14</x:v>
      </x:c>
      <x:c r="I8" s="31" t="n">
        <x:v>0</x:v>
      </x:c>
      <x:c r="J8" s="31" t="n">
        <x:v>10</x:v>
      </x:c>
      <x:c r="K8" s="31" t="n">
        <x:v>10</x:v>
      </x:c>
      <x:c r="L8" s="31" t="inlineStr">
        <x:is>
          <x:t xml:space="preserve">В</x:t>
        </x:is>
      </x:c>
      <x:c r="M8" s="31" t="inlineStr">
        <x:is>
          <x:t xml:space="preserve">ГЗ-МЕТ-3</x:t>
        </x:is>
      </x:c>
      <x:c r="N8" s="31" t="inlineStr">
        <x:is>
          <x:t xml:space="preserve">Ниже минимума</x:t>
        </x:is>
      </x:c>
      <x:c r="O8" s="31" t="inlineStr">
        <x:is>
          <x:t xml:space="preserve">ПОСТ-018</x:t>
        </x:is>
      </x:c>
    </x:row>
    <x:row r="9" ht="18" customHeight="1">
      <x:c r="A9" s="31" t="inlineStr">
        <x:is>
          <x:t xml:space="preserve">МАТ-0008</x:t>
        </x:is>
      </x:c>
      <x:c r="B9" s="31" t="inlineStr">
        <x:is>
          <x:t xml:space="preserve">Швеллер 12П</x:t>
        </x:is>
      </x:c>
      <x:c r="C9" s="31" t="inlineStr">
        <x:is>
          <x:t xml:space="preserve">Металл</x:t>
        </x:is>
      </x:c>
      <x:c r="D9" s="31" t="inlineStr">
        <x:is>
          <x:t xml:space="preserve">шт</x:t>
        </x:is>
      </x:c>
      <x:c r="E9" s="31" t="n">
        <x:v>131</x:v>
      </x:c>
      <x:c r="F9" s="31" t="n">
        <x:v>37</x:v>
      </x:c>
      <x:c r="G9" s="31" t="n">
        <x:v>58</x:v>
      </x:c>
      <x:c r="H9" s="31" t="n">
        <x:v>5</x:v>
      </x:c>
      <x:c r="I9" s="31" t="n">
        <x:v>47</x:v>
      </x:c>
      <x:c r="J9" s="31" t="n">
        <x:v>53</x:v>
      </x:c>
      <x:c r="K9" s="31" t="n">
        <x:v>45</x:v>
      </x:c>
      <x:c r="L9" s="31" t="inlineStr">
        <x:is>
          <x:t xml:space="preserve">В</x:t>
        </x:is>
      </x:c>
      <x:c r="M9" s="31" t="inlineStr">
        <x:is>
          <x:t xml:space="preserve">ГЗ-МЕТ-3</x:t>
        </x:is>
      </x:c>
      <x:c r="N9" s="31" t="inlineStr">
        <x:is>
          <x:t xml:space="preserve">Норма</x:t>
        </x:is>
      </x:c>
      <x:c r="O9" s="31" t="inlineStr">
        <x:is>
          <x:t xml:space="preserve">ПОСТ-018</x:t>
        </x:is>
      </x:c>
    </x:row>
    <x:row r="10" ht="18" customHeight="1">
      <x:c r="A10" s="31" t="inlineStr">
        <x:is>
          <x:t xml:space="preserve">МАТ-0009</x:t>
        </x:is>
      </x:c>
      <x:c r="B10" s="31" t="inlineStr">
        <x:is>
          <x:t xml:space="preserve">Фланец Ду50 Ру16</x:t>
        </x:is>
      </x:c>
      <x:c r="C10" s="31" t="inlineStr">
        <x:is>
          <x:t xml:space="preserve">Металл</x:t>
        </x:is>
      </x:c>
      <x:c r="D10" s="31" t="inlineStr">
        <x:is>
          <x:t xml:space="preserve">л</x:t>
        </x:is>
      </x:c>
      <x:c r="E10" s="31" t="n">
        <x:v>139</x:v>
      </x:c>
      <x:c r="F10" s="31" t="n">
        <x:v>80</x:v>
      </x:c>
      <x:c r="G10" s="31" t="n">
        <x:v>116</x:v>
      </x:c>
      <x:c r="H10" s="31" t="n">
        <x:v>1</x:v>
      </x:c>
      <x:c r="I10" s="31" t="n">
        <x:v>2</x:v>
      </x:c>
      <x:c r="J10" s="31" t="n">
        <x:v>115</x:v>
      </x:c>
      <x:c r="K10" s="31" t="n">
        <x:v>24</x:v>
      </x:c>
      <x:c r="L10" s="31" t="inlineStr">
        <x:is>
          <x:t xml:space="preserve">В</x:t>
        </x:is>
      </x:c>
      <x:c r="M10" s="31" t="inlineStr">
        <x:is>
          <x:t xml:space="preserve">ГЗ-МЕТ-7</x:t>
        </x:is>
      </x:c>
      <x:c r="N10" s="31" t="inlineStr">
        <x:is>
          <x:t xml:space="preserve">Норма</x:t>
        </x:is>
      </x:c>
      <x:c r="O10" s="31" t="inlineStr">
        <x:is>
          <x:t xml:space="preserve">ПОСТ-018</x:t>
        </x:is>
      </x:c>
    </x:row>
    <x:row r="11" ht="18" customHeight="1">
      <x:c r="A11" s="31" t="inlineStr">
        <x:is>
          <x:t xml:space="preserve">МАТ-0010</x:t>
        </x:is>
      </x:c>
      <x:c r="B11" s="31" t="inlineStr">
        <x:is>
          <x:t xml:space="preserve">Фланец Ду50 Ру16 / исп.2</x:t>
        </x:is>
      </x:c>
      <x:c r="C11" s="31" t="inlineStr">
        <x:is>
          <x:t xml:space="preserve">Металл</x:t>
        </x:is>
      </x:c>
      <x:c r="D11" s="31" t="inlineStr">
        <x:is>
          <x:t xml:space="preserve">шт</x:t>
        </x:is>
      </x:c>
      <x:c r="E11" s="31" t="n">
        <x:v>98</x:v>
      </x:c>
      <x:c r="F11" s="31" t="n">
        <x:v>53</x:v>
      </x:c>
      <x:c r="G11" s="31" t="n">
        <x:v>124</x:v>
      </x:c>
      <x:c r="H11" s="31" t="n">
        <x:v>17</x:v>
      </x:c>
      <x:c r="I11" s="31" t="n">
        <x:v>82</x:v>
      </x:c>
      <x:c r="J11" s="31" t="n">
        <x:v>107</x:v>
      </x:c>
      <x:c r="K11" s="31" t="n">
        <x:v>12</x:v>
      </x:c>
      <x:c r="L11" s="31" t="inlineStr">
        <x:is>
          <x:t xml:space="preserve">А</x:t>
        </x:is>
      </x:c>
      <x:c r="M11" s="31" t="inlineStr">
        <x:is>
          <x:t xml:space="preserve">ГЗ-МЕТ-1</x:t>
        </x:is>
      </x:c>
      <x:c r="N11" s="31" t="inlineStr">
        <x:is>
          <x:t xml:space="preserve">Норма</x:t>
        </x:is>
      </x:c>
      <x:c r="O11" s="31" t="inlineStr">
        <x:is>
          <x:t xml:space="preserve">ПОСТ-018</x:t>
        </x:is>
      </x:c>
    </x:row>
    <x:row r="12" ht="18" customHeight="1">
      <x:c r="A12" s="31" t="inlineStr">
        <x:is>
          <x:t xml:space="preserve">МАТ-0011</x:t>
        </x:is>
      </x:c>
      <x:c r="B12" s="31" t="inlineStr">
        <x:is>
          <x:t xml:space="preserve">Фланец Ду50 Ру16 / исп.3</x:t>
        </x:is>
      </x:c>
      <x:c r="C12" s="31" t="inlineStr">
        <x:is>
          <x:t xml:space="preserve">Металл</x:t>
        </x:is>
      </x:c>
      <x:c r="D12" s="31" t="inlineStr">
        <x:is>
          <x:t xml:space="preserve">шт</x:t>
        </x:is>
      </x:c>
      <x:c r="E12" s="31" t="n">
        <x:v>169</x:v>
      </x:c>
      <x:c r="F12" s="31" t="n">
        <x:v>32</x:v>
      </x:c>
      <x:c r="G12" s="31" t="n">
        <x:v>50</x:v>
      </x:c>
      <x:c r="H12" s="31" t="n">
        <x:v>7</x:v>
      </x:c>
      <x:c r="I12" s="31" t="n">
        <x:v>49</x:v>
      </x:c>
      <x:c r="J12" s="31" t="n">
        <x:v>43</x:v>
      </x:c>
      <x:c r="K12" s="31" t="n">
        <x:v>25</x:v>
      </x:c>
      <x:c r="L12" s="31" t="inlineStr">
        <x:is>
          <x:t xml:space="preserve">В</x:t>
        </x:is>
      </x:c>
      <x:c r="M12" s="31" t="inlineStr">
        <x:is>
          <x:t xml:space="preserve">ГЗ-МЕТ-6</x:t>
        </x:is>
      </x:c>
      <x:c r="N12" s="31" t="inlineStr">
        <x:is>
          <x:t xml:space="preserve">Норма</x:t>
        </x:is>
      </x:c>
      <x:c r="O12" s="31" t="inlineStr">
        <x:is>
          <x:t xml:space="preserve">ПОСТ-018</x:t>
        </x:is>
      </x:c>
    </x:row>
    <x:row r="13" ht="18" customHeight="1">
      <x:c r="A13" s="31" t="inlineStr">
        <x:is>
          <x:t xml:space="preserve">МАТ-0012</x:t>
        </x:is>
      </x:c>
      <x:c r="B13" s="31" t="inlineStr">
        <x:is>
          <x:t xml:space="preserve">Фланец Ду80 Ру16</x:t>
        </x:is>
      </x:c>
      <x:c r="C13" s="31" t="inlineStr">
        <x:is>
          <x:t xml:space="preserve">Металл</x:t>
        </x:is>
      </x:c>
      <x:c r="D13" s="31" t="inlineStr">
        <x:is>
          <x:t xml:space="preserve">л</x:t>
        </x:is>
      </x:c>
      <x:c r="E13" s="31" t="n">
        <x:v>101</x:v>
      </x:c>
      <x:c r="F13" s="31" t="n">
        <x:v>113</x:v>
      </x:c>
      <x:c r="G13" s="31" t="n">
        <x:v>165</x:v>
      </x:c>
      <x:c r="H13" s="31" t="n">
        <x:v>84</x:v>
      </x:c>
      <x:c r="I13" s="31" t="n">
        <x:v>224</x:v>
      </x:c>
      <x:c r="J13" s="31" t="n">
        <x:v>81</x:v>
      </x:c>
      <x:c r="K13" s="31" t="n">
        <x:v>22</x:v>
      </x:c>
      <x:c r="L13" s="31" t="inlineStr">
        <x:is>
          <x:t xml:space="preserve">А</x:t>
        </x:is>
      </x:c>
      <x:c r="M13" s="31" t="inlineStr">
        <x:is>
          <x:t xml:space="preserve">ГЗ-МЕТ-9</x:t>
        </x:is>
      </x:c>
      <x:c r="N13" s="31" t="inlineStr">
        <x:is>
          <x:t xml:space="preserve">Ниже минимума</x:t>
        </x:is>
      </x:c>
      <x:c r="O13" s="31" t="inlineStr">
        <x:is>
          <x:t xml:space="preserve">ПОСТ-018</x:t>
        </x:is>
      </x:c>
    </x:row>
    <x:row r="14" ht="18" customHeight="1">
      <x:c r="A14" s="31" t="inlineStr">
        <x:is>
          <x:t xml:space="preserve">МАТ-0013</x:t>
        </x:is>
      </x:c>
      <x:c r="B14" s="31" t="inlineStr">
        <x:is>
          <x:t xml:space="preserve">Уголок 50×5</x:t>
        </x:is>
      </x:c>
      <x:c r="C14" s="31" t="inlineStr">
        <x:is>
          <x:t xml:space="preserve">Металл</x:t>
        </x:is>
      </x:c>
      <x:c r="D14" s="31" t="inlineStr">
        <x:is>
          <x:t xml:space="preserve">кг</x:t>
        </x:is>
      </x:c>
      <x:c r="E14" s="31" t="n">
        <x:v>141</x:v>
      </x:c>
      <x:c r="F14" s="31" t="n">
        <x:v>118</x:v>
      </x:c>
      <x:c r="G14" s="31" t="n">
        <x:v>394</x:v>
      </x:c>
      <x:c r="H14" s="31" t="n">
        <x:v>162</x:v>
      </x:c>
      <x:c r="I14" s="31" t="n">
        <x:v>33</x:v>
      </x:c>
      <x:c r="J14" s="31" t="n">
        <x:v>232</x:v>
      </x:c>
      <x:c r="K14" s="31" t="n">
        <x:v>27</x:v>
      </x:c>
      <x:c r="L14" s="31" t="inlineStr">
        <x:is>
          <x:t xml:space="preserve">В</x:t>
        </x:is>
      </x:c>
      <x:c r="M14" s="31" t="inlineStr">
        <x:is>
          <x:t xml:space="preserve">ГЗ-МЕТ-7</x:t>
        </x:is>
      </x:c>
      <x:c r="N14" s="31" t="inlineStr">
        <x:is>
          <x:t xml:space="preserve">Норма</x:t>
        </x:is>
      </x:c>
      <x:c r="O14" s="31" t="inlineStr">
        <x:is>
          <x:t xml:space="preserve">ПОСТ-018</x:t>
        </x:is>
      </x:c>
    </x:row>
    <x:row r="15" ht="18" customHeight="1">
      <x:c r="A15" s="31" t="inlineStr">
        <x:is>
          <x:t xml:space="preserve">МАТ-0014</x:t>
        </x:is>
      </x:c>
      <x:c r="B15" s="31" t="inlineStr">
        <x:is>
          <x:t xml:space="preserve">Уголок 50×5 / исп.2</x:t>
        </x:is>
      </x:c>
      <x:c r="C15" s="31" t="inlineStr">
        <x:is>
          <x:t xml:space="preserve">Металл</x:t>
        </x:is>
      </x:c>
      <x:c r="D15" s="31" t="inlineStr">
        <x:is>
          <x:t xml:space="preserve">шт</x:t>
        </x:is>
      </x:c>
      <x:c r="E15" s="31" t="n">
        <x:v>98</x:v>
      </x:c>
      <x:c r="F15" s="31" t="n">
        <x:v>106</x:v>
      </x:c>
      <x:c r="G15" s="31" t="n">
        <x:v>107</x:v>
      </x:c>
      <x:c r="H15" s="31" t="n">
        <x:v>50</x:v>
      </x:c>
      <x:c r="I15" s="31" t="n">
        <x:v>129</x:v>
      </x:c>
      <x:c r="J15" s="31" t="n">
        <x:v>57</x:v>
      </x:c>
      <x:c r="K15" s="31" t="n">
        <x:v>21</x:v>
      </x:c>
      <x:c r="L15" s="31" t="inlineStr">
        <x:is>
          <x:t xml:space="preserve">Б</x:t>
        </x:is>
      </x:c>
      <x:c r="M15" s="31" t="inlineStr">
        <x:is>
          <x:t xml:space="preserve">ГЗ-МЕТ-9</x:t>
        </x:is>
      </x:c>
      <x:c r="N15" s="31" t="inlineStr">
        <x:is>
          <x:t xml:space="preserve">Ниже минимума</x:t>
        </x:is>
      </x:c>
      <x:c r="O15" s="31" t="inlineStr">
        <x:is>
          <x:t xml:space="preserve">ПОСТ-018</x:t>
        </x:is>
      </x:c>
    </x:row>
    <x:row r="16" ht="18" customHeight="1">
      <x:c r="A16" s="31" t="inlineStr">
        <x:is>
          <x:t xml:space="preserve">МАТ-0015</x:t>
        </x:is>
      </x:c>
      <x:c r="B16" s="31" t="inlineStr">
        <x:is>
          <x:t xml:space="preserve">Насос центробежный 15 кВт</x:t>
        </x:is>
      </x:c>
      <x:c r="C16" s="31" t="inlineStr">
        <x:is>
          <x:t xml:space="preserve">Насосы</x:t>
        </x:is>
      </x:c>
      <x:c r="D16" s="31" t="inlineStr">
        <x:is>
          <x:t xml:space="preserve">шт</x:t>
        </x:is>
      </x:c>
      <x:c r="E16" s="31" t="n">
        <x:v>22803</x:v>
      </x:c>
      <x:c r="F16" s="31" t="n">
        <x:v>15</x:v>
      </x:c>
      <x:c r="G16" s="31" t="n">
        <x:v>12</x:v>
      </x:c>
      <x:c r="H16" s="31" t="n">
        <x:v>2</x:v>
      </x:c>
      <x:c r="I16" s="31" t="n">
        <x:v>17</x:v>
      </x:c>
      <x:c r="J16" s="31" t="n">
        <x:v>10</x:v>
      </x:c>
      <x:c r="K16" s="31" t="n">
        <x:v>23</x:v>
      </x:c>
      <x:c r="L16" s="31" t="inlineStr">
        <x:is>
          <x:t xml:space="preserve">Б</x:t>
        </x:is>
      </x:c>
      <x:c r="M16" s="31" t="inlineStr">
        <x:is>
          <x:t xml:space="preserve">ГЗ-НАС-2</x:t>
        </x:is>
      </x:c>
      <x:c r="N16" s="31" t="inlineStr">
        <x:is>
          <x:t xml:space="preserve">Ниже минимума</x:t>
        </x:is>
      </x:c>
      <x:c r="O16" s="31" t="inlineStr">
        <x:is>
          <x:t xml:space="preserve">ПОСТ-027</x:t>
        </x:is>
      </x:c>
    </x:row>
    <x:row r="17" ht="18" customHeight="1">
      <x:c r="A17" s="31" t="inlineStr">
        <x:is>
          <x:t xml:space="preserve">МАТ-0016</x:t>
        </x:is>
      </x:c>
      <x:c r="B17" s="31" t="inlineStr">
        <x:is>
          <x:t xml:space="preserve">Насос центробежный 15 кВт / исп.2</x:t>
        </x:is>
      </x:c>
      <x:c r="C17" s="31" t="inlineStr">
        <x:is>
          <x:t xml:space="preserve">Насосы</x:t>
        </x:is>
      </x:c>
      <x:c r="D17" s="31" t="inlineStr">
        <x:is>
          <x:t xml:space="preserve">шт</x:t>
        </x:is>
      </x:c>
      <x:c r="E17" s="31" t="n">
        <x:v>19589</x:v>
      </x:c>
      <x:c r="F17" s="31" t="n">
        <x:v>44</x:v>
      </x:c>
      <x:c r="G17" s="31" t="n">
        <x:v>55</x:v>
      </x:c>
      <x:c r="H17" s="31" t="n">
        <x:v>11</x:v>
      </x:c>
      <x:c r="I17" s="31" t="n">
        <x:v>15</x:v>
      </x:c>
      <x:c r="J17" s="31" t="n">
        <x:v>44</x:v>
      </x:c>
      <x:c r="K17" s="31" t="n">
        <x:v>3</x:v>
      </x:c>
      <x:c r="L17" s="31" t="inlineStr">
        <x:is>
          <x:t xml:space="preserve">Б</x:t>
        </x:is>
      </x:c>
      <x:c r="M17" s="31" t="inlineStr">
        <x:is>
          <x:t xml:space="preserve">ГЗ-НАС-1</x:t>
        </x:is>
      </x:c>
      <x:c r="N17" s="31" t="inlineStr">
        <x:is>
          <x:t xml:space="preserve">Норма</x:t>
        </x:is>
      </x:c>
      <x:c r="O17" s="31" t="inlineStr">
        <x:is>
          <x:t xml:space="preserve">ПОСТ-027</x:t>
        </x:is>
      </x:c>
    </x:row>
    <x:row r="18" ht="18" customHeight="1">
      <x:c r="A18" s="31" t="inlineStr">
        <x:is>
          <x:t xml:space="preserve">МАТ-0017</x:t>
        </x:is>
      </x:c>
      <x:c r="B18" s="31" t="inlineStr">
        <x:is>
          <x:t xml:space="preserve">Насос шестеренный 7.5 кВт</x:t>
        </x:is>
      </x:c>
      <x:c r="C18" s="31" t="inlineStr">
        <x:is>
          <x:t xml:space="preserve">Насосы</x:t>
        </x:is>
      </x:c>
      <x:c r="D18" s="31" t="inlineStr">
        <x:is>
          <x:t xml:space="preserve">шт</x:t>
        </x:is>
      </x:c>
      <x:c r="E18" s="31" t="n">
        <x:v>33884</x:v>
      </x:c>
      <x:c r="F18" s="31" t="n">
        <x:v>59</x:v>
      </x:c>
      <x:c r="G18" s="31" t="n">
        <x:v>74</x:v>
      </x:c>
      <x:c r="H18" s="31" t="n">
        <x:v>45</x:v>
      </x:c>
      <x:c r="I18" s="31" t="n">
        <x:v>73</x:v>
      </x:c>
      <x:c r="J18" s="31" t="n">
        <x:v>29</x:v>
      </x:c>
      <x:c r="K18" s="31" t="n">
        <x:v>43</x:v>
      </x:c>
      <x:c r="L18" s="31" t="inlineStr">
        <x:is>
          <x:t xml:space="preserve">А</x:t>
        </x:is>
      </x:c>
      <x:c r="M18" s="31" t="inlineStr">
        <x:is>
          <x:t xml:space="preserve">ГЗ-НАС-8</x:t>
        </x:is>
      </x:c>
      <x:c r="N18" s="31" t="inlineStr">
        <x:is>
          <x:t xml:space="preserve">Ниже минимума</x:t>
        </x:is>
      </x:c>
      <x:c r="O18" s="31" t="inlineStr">
        <x:is>
          <x:t xml:space="preserve">ПОСТ-020</x:t>
        </x:is>
      </x:c>
    </x:row>
    <x:row r="19" ht="18" customHeight="1">
      <x:c r="A19" s="31" t="inlineStr">
        <x:is>
          <x:t xml:space="preserve">МАТ-0018</x:t>
        </x:is>
      </x:c>
      <x:c r="B19" s="31" t="inlineStr">
        <x:is>
          <x:t xml:space="preserve">Насос шестеренный 7.5 кВт / исп.2</x:t>
        </x:is>
      </x:c>
      <x:c r="C19" s="31" t="inlineStr">
        <x:is>
          <x:t xml:space="preserve">Насосы</x:t>
        </x:is>
      </x:c>
      <x:c r="D19" s="31" t="inlineStr">
        <x:is>
          <x:t xml:space="preserve">шт</x:t>
        </x:is>
      </x:c>
      <x:c r="E19" s="31" t="n">
        <x:v>77484</x:v>
      </x:c>
      <x:c r="F19" s="31" t="n">
        <x:v>78</x:v>
      </x:c>
      <x:c r="G19" s="31" t="n">
        <x:v>121</x:v>
      </x:c>
      <x:c r="H19" s="31" t="n">
        <x:v>14</x:v>
      </x:c>
      <x:c r="I19" s="31" t="n">
        <x:v>58</x:v>
      </x:c>
      <x:c r="J19" s="31" t="n">
        <x:v>107</x:v>
      </x:c>
      <x:c r="K19" s="31" t="n">
        <x:v>35</x:v>
      </x:c>
      <x:c r="L19" s="31" t="inlineStr">
        <x:is>
          <x:t xml:space="preserve">А</x:t>
        </x:is>
      </x:c>
      <x:c r="M19" s="31" t="inlineStr">
        <x:is>
          <x:t xml:space="preserve">ГЗ-НАС-1</x:t>
        </x:is>
      </x:c>
      <x:c r="N19" s="31" t="inlineStr">
        <x:is>
          <x:t xml:space="preserve">Норма</x:t>
        </x:is>
      </x:c>
      <x:c r="O19" s="31" t="inlineStr">
        <x:is>
          <x:t xml:space="preserve">ПОСТ-001</x:t>
        </x:is>
      </x:c>
    </x:row>
    <x:row r="20" ht="18" customHeight="1">
      <x:c r="A20" s="31" t="inlineStr">
        <x:is>
          <x:t xml:space="preserve">МАТ-0019</x:t>
        </x:is>
      </x:c>
      <x:c r="B20" s="31" t="inlineStr">
        <x:is>
          <x:t xml:space="preserve">Насос дозировочный</x:t>
        </x:is>
      </x:c>
      <x:c r="C20" s="31" t="inlineStr">
        <x:is>
          <x:t xml:space="preserve">Насосы</x:t>
        </x:is>
      </x:c>
      <x:c r="D20" s="31" t="inlineStr">
        <x:is>
          <x:t xml:space="preserve">шт</x:t>
        </x:is>
      </x:c>
      <x:c r="E20" s="31" t="n">
        <x:v>62197</x:v>
      </x:c>
      <x:c r="F20" s="31" t="n">
        <x:v>33</x:v>
      </x:c>
      <x:c r="G20" s="31" t="n">
        <x:v>32</x:v>
      </x:c>
      <x:c r="H20" s="31" t="n">
        <x:v>10</x:v>
      </x:c>
      <x:c r="I20" s="31" t="n">
        <x:v>34</x:v>
      </x:c>
      <x:c r="J20" s="31" t="n">
        <x:v>22</x:v>
      </x:c>
      <x:c r="K20" s="31" t="n">
        <x:v>7</x:v>
      </x:c>
      <x:c r="L20" s="31" t="inlineStr">
        <x:is>
          <x:t xml:space="preserve">Б</x:t>
        </x:is>
      </x:c>
      <x:c r="M20" s="31" t="inlineStr">
        <x:is>
          <x:t xml:space="preserve">ГЗ-НАС-2</x:t>
        </x:is>
      </x:c>
      <x:c r="N20" s="31" t="inlineStr">
        <x:is>
          <x:t xml:space="preserve">Ниже минимума</x:t>
        </x:is>
      </x:c>
      <x:c r="O20" s="31" t="inlineStr">
        <x:is>
          <x:t xml:space="preserve">ПОСТ-001</x:t>
        </x:is>
      </x:c>
    </x:row>
    <x:row r="21" ht="18" customHeight="1">
      <x:c r="A21" s="31" t="inlineStr">
        <x:is>
          <x:t xml:space="preserve">МАТ-0020</x:t>
        </x:is>
      </x:c>
      <x:c r="B21" s="31" t="inlineStr">
        <x:is>
          <x:t xml:space="preserve">Насос дозировочный / исп.2</x:t>
        </x:is>
      </x:c>
      <x:c r="C21" s="31" t="inlineStr">
        <x:is>
          <x:t xml:space="preserve">Насосы</x:t>
        </x:is>
      </x:c>
      <x:c r="D21" s="31" t="inlineStr">
        <x:is>
          <x:t xml:space="preserve">шт</x:t>
        </x:is>
      </x:c>
      <x:c r="E21" s="31" t="n">
        <x:v>41253</x:v>
      </x:c>
      <x:c r="F21" s="31" t="n">
        <x:v>113</x:v>
      </x:c>
      <x:c r="G21" s="31" t="n">
        <x:v>220</x:v>
      </x:c>
      <x:c r="H21" s="31" t="n">
        <x:v>79</x:v>
      </x:c>
      <x:c r="I21" s="31" t="n">
        <x:v>83</x:v>
      </x:c>
      <x:c r="J21" s="31" t="n">
        <x:v>141</x:v>
      </x:c>
      <x:c r="K21" s="31" t="n">
        <x:v>8</x:v>
      </x:c>
      <x:c r="L21" s="31" t="inlineStr">
        <x:is>
          <x:t xml:space="preserve">Б</x:t>
        </x:is>
      </x:c>
      <x:c r="M21" s="31" t="inlineStr">
        <x:is>
          <x:t xml:space="preserve">ГЗ-НАС-1</x:t>
        </x:is>
      </x:c>
      <x:c r="N21" s="31" t="inlineStr">
        <x:is>
          <x:t xml:space="preserve">Норма</x:t>
        </x:is>
      </x:c>
      <x:c r="O21" s="31" t="inlineStr">
        <x:is>
          <x:t xml:space="preserve">ПОСТ-012</x:t>
        </x:is>
      </x:c>
    </x:row>
    <x:row r="22" ht="18" customHeight="1">
      <x:c r="A22" s="31" t="inlineStr">
        <x:is>
          <x:t xml:space="preserve">МАТ-0021</x:t>
        </x:is>
      </x:c>
      <x:c r="B22" s="31" t="inlineStr">
        <x:is>
          <x:t xml:space="preserve">Торцевое уплотнение</x:t>
        </x:is>
      </x:c>
      <x:c r="C22" s="31" t="inlineStr">
        <x:is>
          <x:t xml:space="preserve">Насосы</x:t>
        </x:is>
      </x:c>
      <x:c r="D22" s="31" t="inlineStr">
        <x:is>
          <x:t xml:space="preserve">шт</x:t>
        </x:is>
      </x:c>
      <x:c r="E22" s="31" t="n">
        <x:v>93620</x:v>
      </x:c>
      <x:c r="F22" s="31" t="n">
        <x:v>106</x:v>
      </x:c>
      <x:c r="G22" s="31" t="n">
        <x:v>138</x:v>
      </x:c>
      <x:c r="H22" s="31" t="n">
        <x:v>52</x:v>
      </x:c>
      <x:c r="I22" s="31" t="n">
        <x:v>6</x:v>
      </x:c>
      <x:c r="J22" s="31" t="n">
        <x:v>86</x:v>
      </x:c>
      <x:c r="K22" s="31" t="n">
        <x:v>17</x:v>
      </x:c>
      <x:c r="L22" s="31" t="inlineStr">
        <x:is>
          <x:t xml:space="preserve">Б</x:t>
        </x:is>
      </x:c>
      <x:c r="M22" s="31" t="inlineStr">
        <x:is>
          <x:t xml:space="preserve">ГЗ-НАС-1</x:t>
        </x:is>
      </x:c>
      <x:c r="N22" s="31" t="inlineStr">
        <x:is>
          <x:t xml:space="preserve">Ниже минимума</x:t>
        </x:is>
      </x:c>
      <x:c r="O22" s="31" t="inlineStr">
        <x:is>
          <x:t xml:space="preserve">ПОСТ-001</x:t>
        </x:is>
      </x:c>
    </x:row>
    <x:row r="23" ht="18" customHeight="1">
      <x:c r="A23" s="31" t="inlineStr">
        <x:is>
          <x:t xml:space="preserve">МАТ-0022</x:t>
        </x:is>
      </x:c>
      <x:c r="B23" s="31" t="inlineStr">
        <x:is>
          <x:t xml:space="preserve">Торцевое уплотнение / исп.2</x:t>
        </x:is>
      </x:c>
      <x:c r="C23" s="31" t="inlineStr">
        <x:is>
          <x:t xml:space="preserve">Насосы</x:t>
        </x:is>
      </x:c>
      <x:c r="D23" s="31" t="inlineStr">
        <x:is>
          <x:t xml:space="preserve">шт</x:t>
        </x:is>
      </x:c>
      <x:c r="E23" s="31" t="n">
        <x:v>52306</x:v>
      </x:c>
      <x:c r="F23" s="31" t="n">
        <x:v>96</x:v>
      </x:c>
      <x:c r="G23" s="31" t="n">
        <x:v>132</x:v>
      </x:c>
      <x:c r="H23" s="31" t="n">
        <x:v>35</x:v>
      </x:c>
      <x:c r="I23" s="31" t="n">
        <x:v>23</x:v>
      </x:c>
      <x:c r="J23" s="31" t="n">
        <x:v>97</x:v>
      </x:c>
      <x:c r="K23" s="31" t="n">
        <x:v>5</x:v>
      </x:c>
      <x:c r="L23" s="31" t="inlineStr">
        <x:is>
          <x:t xml:space="preserve">В</x:t>
        </x:is>
      </x:c>
      <x:c r="M23" s="31" t="inlineStr">
        <x:is>
          <x:t xml:space="preserve">ГЗ-НАС-9</x:t>
        </x:is>
      </x:c>
      <x:c r="N23" s="31" t="inlineStr">
        <x:is>
          <x:t xml:space="preserve">Норма</x:t>
        </x:is>
      </x:c>
      <x:c r="O23" s="31" t="inlineStr">
        <x:is>
          <x:t xml:space="preserve">ПОСТ-020</x:t>
        </x:is>
      </x:c>
    </x:row>
    <x:row r="24" ht="18" customHeight="1">
      <x:c r="A24" s="31" t="inlineStr">
        <x:is>
          <x:t xml:space="preserve">МАТ-0023</x:t>
        </x:is>
      </x:c>
      <x:c r="B24" s="31" t="inlineStr">
        <x:is>
          <x:t xml:space="preserve">Рабочее колесо</x:t>
        </x:is>
      </x:c>
      <x:c r="C24" s="31" t="inlineStr">
        <x:is>
          <x:t xml:space="preserve">Насосы</x:t>
        </x:is>
      </x:c>
      <x:c r="D24" s="31" t="inlineStr">
        <x:is>
          <x:t xml:space="preserve">шт</x:t>
        </x:is>
      </x:c>
      <x:c r="E24" s="31" t="n">
        <x:v>88122</x:v>
      </x:c>
      <x:c r="F24" s="31" t="n">
        <x:v>77</x:v>
      </x:c>
      <x:c r="G24" s="31" t="n">
        <x:v>173</x:v>
      </x:c>
      <x:c r="H24" s="31" t="n">
        <x:v>16</x:v>
      </x:c>
      <x:c r="I24" s="31" t="n">
        <x:v>60</x:v>
      </x:c>
      <x:c r="J24" s="31" t="n">
        <x:v>157</x:v>
      </x:c>
      <x:c r="K24" s="31" t="n">
        <x:v>21</x:v>
      </x:c>
      <x:c r="L24" s="31" t="inlineStr">
        <x:is>
          <x:t xml:space="preserve">Б</x:t>
        </x:is>
      </x:c>
      <x:c r="M24" s="31" t="inlineStr">
        <x:is>
          <x:t xml:space="preserve">ГЗ-НАС-6</x:t>
        </x:is>
      </x:c>
      <x:c r="N24" s="31" t="inlineStr">
        <x:is>
          <x:t xml:space="preserve">Норма</x:t>
        </x:is>
      </x:c>
      <x:c r="O24" s="31" t="inlineStr">
        <x:is>
          <x:t xml:space="preserve">ПОСТ-027</x:t>
        </x:is>
      </x:c>
    </x:row>
    <x:row r="25" ht="18" customHeight="1">
      <x:c r="A25" s="31" t="inlineStr">
        <x:is>
          <x:t xml:space="preserve">МАТ-0024</x:t>
        </x:is>
      </x:c>
      <x:c r="B25" s="31" t="inlineStr">
        <x:is>
          <x:t xml:space="preserve">Рабочее колесо / исп.2</x:t>
        </x:is>
      </x:c>
      <x:c r="C25" s="31" t="inlineStr">
        <x:is>
          <x:t xml:space="preserve">Насосы</x:t>
        </x:is>
      </x:c>
      <x:c r="D25" s="31" t="inlineStr">
        <x:is>
          <x:t xml:space="preserve">шт</x:t>
        </x:is>
      </x:c>
      <x:c r="E25" s="31" t="n">
        <x:v>53688</x:v>
      </x:c>
      <x:c r="F25" s="31" t="n">
        <x:v>24</x:v>
      </x:c>
      <x:c r="G25" s="31" t="n">
        <x:v>40</x:v>
      </x:c>
      <x:c r="H25" s="31" t="n">
        <x:v>3</x:v>
      </x:c>
      <x:c r="I25" s="31" t="n">
        <x:v>10</x:v>
      </x:c>
      <x:c r="J25" s="31" t="n">
        <x:v>37</x:v>
      </x:c>
      <x:c r="K25" s="31" t="n">
        <x:v>31</x:v>
      </x:c>
      <x:c r="L25" s="31" t="inlineStr">
        <x:is>
          <x:t xml:space="preserve">Б</x:t>
        </x:is>
      </x:c>
      <x:c r="M25" s="31" t="inlineStr">
        <x:is>
          <x:t xml:space="preserve">ГЗ-НАС-7</x:t>
        </x:is>
      </x:c>
      <x:c r="N25" s="31" t="inlineStr">
        <x:is>
          <x:t xml:space="preserve">Норма</x:t>
        </x:is>
      </x:c>
      <x:c r="O25" s="31" t="inlineStr">
        <x:is>
          <x:t xml:space="preserve">ПОСТ-020</x:t>
        </x:is>
      </x:c>
    </x:row>
    <x:row r="26" ht="18" customHeight="1">
      <x:c r="A26" s="31" t="inlineStr">
        <x:is>
          <x:t xml:space="preserve">МАТ-0025</x:t>
        </x:is>
      </x:c>
      <x:c r="B26" s="31" t="inlineStr">
        <x:is>
          <x:t xml:space="preserve">Двигатель 7.5 кВт</x:t>
        </x:is>
      </x:c>
      <x:c r="C26" s="31" t="inlineStr">
        <x:is>
          <x:t xml:space="preserve">Электродвигатели</x:t>
        </x:is>
      </x:c>
      <x:c r="D26" s="31" t="inlineStr">
        <x:is>
          <x:t xml:space="preserve">шт</x:t>
        </x:is>
      </x:c>
      <x:c r="E26" s="31" t="n">
        <x:v>70731</x:v>
      </x:c>
      <x:c r="F26" s="31" t="n">
        <x:v>95</x:v>
      </x:c>
      <x:c r="G26" s="31" t="n">
        <x:v>117</x:v>
      </x:c>
      <x:c r="H26" s="31" t="n">
        <x:v>41</x:v>
      </x:c>
      <x:c r="I26" s="31" t="n">
        <x:v>37</x:v>
      </x:c>
      <x:c r="J26" s="31" t="n">
        <x:v>76</x:v>
      </x:c>
      <x:c r="K26" s="31" t="n">
        <x:v>8</x:v>
      </x:c>
      <x:c r="L26" s="31" t="inlineStr">
        <x:is>
          <x:t xml:space="preserve">Б</x:t>
        </x:is>
      </x:c>
      <x:c r="M26" s="31" t="inlineStr">
        <x:is>
          <x:t xml:space="preserve">ГЗ-ЭЛЕ-6</x:t>
        </x:is>
      </x:c>
      <x:c r="N26" s="31" t="inlineStr">
        <x:is>
          <x:t xml:space="preserve">Ниже минимума</x:t>
        </x:is>
      </x:c>
      <x:c r="O26" s="31" t="inlineStr">
        <x:is>
          <x:t xml:space="preserve">ПОСТ-028</x:t>
        </x:is>
      </x:c>
    </x:row>
    <x:row r="27" ht="18" customHeight="1">
      <x:c r="A27" s="31" t="inlineStr">
        <x:is>
          <x:t xml:space="preserve">МАТ-0026</x:t>
        </x:is>
      </x:c>
      <x:c r="B27" s="31" t="inlineStr">
        <x:is>
          <x:t xml:space="preserve">Двигатель 15 кВт</x:t>
        </x:is>
      </x:c>
      <x:c r="C27" s="31" t="inlineStr">
        <x:is>
          <x:t xml:space="preserve">Электродвигатели</x:t>
        </x:is>
      </x:c>
      <x:c r="D27" s="31" t="inlineStr">
        <x:is>
          <x:t xml:space="preserve">шт</x:t>
        </x:is>
      </x:c>
      <x:c r="E27" s="31" t="n">
        <x:v>117490</x:v>
      </x:c>
      <x:c r="F27" s="31" t="n">
        <x:v>17</x:v>
      </x:c>
      <x:c r="G27" s="31" t="n">
        <x:v>18</x:v>
      </x:c>
      <x:c r="H27" s="31" t="n">
        <x:v>7</x:v>
      </x:c>
      <x:c r="I27" s="31" t="n">
        <x:v>6</x:v>
      </x:c>
      <x:c r="J27" s="31" t="n">
        <x:v>11</x:v>
      </x:c>
      <x:c r="K27" s="31" t="n">
        <x:v>11</x:v>
      </x:c>
      <x:c r="L27" s="31" t="inlineStr">
        <x:is>
          <x:t xml:space="preserve">А</x:t>
        </x:is>
      </x:c>
      <x:c r="M27" s="31" t="inlineStr">
        <x:is>
          <x:t xml:space="preserve">ГЗ-ЭЛЕ-1</x:t>
        </x:is>
      </x:c>
      <x:c r="N27" s="31" t="inlineStr">
        <x:is>
          <x:t xml:space="preserve">Ниже минимума</x:t>
        </x:is>
      </x:c>
      <x:c r="O27" s="31" t="inlineStr">
        <x:is>
          <x:t xml:space="preserve">ПОСТ-011</x:t>
        </x:is>
      </x:c>
    </x:row>
    <x:row r="28" ht="18" customHeight="1">
      <x:c r="A28" s="31" t="inlineStr">
        <x:is>
          <x:t xml:space="preserve">МАТ-0027</x:t>
        </x:is>
      </x:c>
      <x:c r="B28" s="31" t="inlineStr">
        <x:is>
          <x:t xml:space="preserve">Двигатель 22 кВт</x:t>
        </x:is>
      </x:c>
      <x:c r="C28" s="31" t="inlineStr">
        <x:is>
          <x:t xml:space="preserve">Электродвигатели</x:t>
        </x:is>
      </x:c>
      <x:c r="D28" s="31" t="inlineStr">
        <x:is>
          <x:t xml:space="preserve">шт</x:t>
        </x:is>
      </x:c>
      <x:c r="E28" s="31" t="n">
        <x:v>58790</x:v>
      </x:c>
      <x:c r="F28" s="31" t="n">
        <x:v>109</x:v>
      </x:c>
      <x:c r="G28" s="31" t="n">
        <x:v>374</x:v>
      </x:c>
      <x:c r="H28" s="31" t="n">
        <x:v>101</x:v>
      </x:c>
      <x:c r="I28" s="31" t="n">
        <x:v>165</x:v>
      </x:c>
      <x:c r="J28" s="31" t="n">
        <x:v>273</x:v>
      </x:c>
      <x:c r="K28" s="31" t="n">
        <x:v>31</x:v>
      </x:c>
      <x:c r="L28" s="31" t="inlineStr">
        <x:is>
          <x:t xml:space="preserve">В</x:t>
        </x:is>
      </x:c>
      <x:c r="M28" s="31" t="inlineStr">
        <x:is>
          <x:t xml:space="preserve">ГЗ-ЭЛЕ-2</x:t>
        </x:is>
      </x:c>
      <x:c r="N28" s="31" t="inlineStr">
        <x:is>
          <x:t xml:space="preserve">Норма</x:t>
        </x:is>
      </x:c>
      <x:c r="O28" s="31" t="inlineStr">
        <x:is>
          <x:t xml:space="preserve">ПОСТ-022</x:t>
        </x:is>
      </x:c>
    </x:row>
    <x:row r="29" ht="18" customHeight="1">
      <x:c r="A29" s="31" t="inlineStr">
        <x:is>
          <x:t xml:space="preserve">МАТ-0028</x:t>
        </x:is>
      </x:c>
      <x:c r="B29" s="31" t="inlineStr">
        <x:is>
          <x:t xml:space="preserve">Частотный преобразователь 15 кВт</x:t>
        </x:is>
      </x:c>
      <x:c r="C29" s="31" t="inlineStr">
        <x:is>
          <x:t xml:space="preserve">Электродвигатели</x:t>
        </x:is>
      </x:c>
      <x:c r="D29" s="31" t="inlineStr">
        <x:is>
          <x:t xml:space="preserve">шт</x:t>
        </x:is>
      </x:c>
      <x:c r="E29" s="31" t="n">
        <x:v>16637</x:v>
      </x:c>
      <x:c r="F29" s="31" t="n">
        <x:v>8</x:v>
      </x:c>
      <x:c r="G29" s="31" t="n">
        <x:v>19</x:v>
      </x:c>
      <x:c r="H29" s="31" t="n">
        <x:v>6</x:v>
      </x:c>
      <x:c r="I29" s="31" t="n">
        <x:v>13</x:v>
      </x:c>
      <x:c r="J29" s="31" t="n">
        <x:v>13</x:v>
      </x:c>
      <x:c r="K29" s="31" t="n">
        <x:v>14</x:v>
      </x:c>
      <x:c r="L29" s="31" t="inlineStr">
        <x:is>
          <x:t xml:space="preserve">Б</x:t>
        </x:is>
      </x:c>
      <x:c r="M29" s="31" t="inlineStr">
        <x:is>
          <x:t xml:space="preserve">ГЗ-ЭЛЕ-3</x:t>
        </x:is>
      </x:c>
      <x:c r="N29" s="31" t="inlineStr">
        <x:is>
          <x:t xml:space="preserve">Норма</x:t>
        </x:is>
      </x:c>
      <x:c r="O29" s="31" t="inlineStr">
        <x:is>
          <x:t xml:space="preserve">ПОСТ-022</x:t>
        </x:is>
      </x:c>
    </x:row>
    <x:row r="30" ht="18" customHeight="1">
      <x:c r="A30" s="31" t="inlineStr">
        <x:is>
          <x:t xml:space="preserve">МАТ-0029</x:t>
        </x:is>
      </x:c>
      <x:c r="B30" s="31" t="inlineStr">
        <x:is>
          <x:t xml:space="preserve">Частотный преобразователь 22 кВт</x:t>
        </x:is>
      </x:c>
      <x:c r="C30" s="31" t="inlineStr">
        <x:is>
          <x:t xml:space="preserve">Электродвигатели</x:t>
        </x:is>
      </x:c>
      <x:c r="D30" s="31" t="inlineStr">
        <x:is>
          <x:t xml:space="preserve">шт</x:t>
        </x:is>
      </x:c>
      <x:c r="E30" s="31" t="n">
        <x:v>90492</x:v>
      </x:c>
      <x:c r="F30" s="31" t="n">
        <x:v>117</x:v>
      </x:c>
      <x:c r="G30" s="31" t="n">
        <x:v>124</x:v>
      </x:c>
      <x:c r="H30" s="31" t="n">
        <x:v>35</x:v>
      </x:c>
      <x:c r="I30" s="31" t="n">
        <x:v>98</x:v>
      </x:c>
      <x:c r="J30" s="31" t="n">
        <x:v>89</x:v>
      </x:c>
      <x:c r="K30" s="31" t="n">
        <x:v>11</x:v>
      </x:c>
      <x:c r="L30" s="31" t="inlineStr">
        <x:is>
          <x:t xml:space="preserve">Б</x:t>
        </x:is>
      </x:c>
      <x:c r="M30" s="31" t="inlineStr">
        <x:is>
          <x:t xml:space="preserve">ГЗ-ЭЛЕ-9</x:t>
        </x:is>
      </x:c>
      <x:c r="N30" s="31" t="inlineStr">
        <x:is>
          <x:t xml:space="preserve">Ниже минимума</x:t>
        </x:is>
      </x:c>
      <x:c r="O30" s="31" t="inlineStr">
        <x:is>
          <x:t xml:space="preserve">ПОСТ-028</x:t>
        </x:is>
      </x:c>
    </x:row>
    <x:row r="31" ht="18" customHeight="1">
      <x:c r="A31" s="31" t="inlineStr">
        <x:is>
          <x:t xml:space="preserve">МАТ-0030</x:t>
        </x:is>
      </x:c>
      <x:c r="B31" s="31" t="inlineStr">
        <x:is>
          <x:t xml:space="preserve">Частотный преобразователь 22 кВт / исп.2</x:t>
        </x:is>
      </x:c>
      <x:c r="C31" s="31" t="inlineStr">
        <x:is>
          <x:t xml:space="preserve">Электродвигатели</x:t>
        </x:is>
      </x:c>
      <x:c r="D31" s="31" t="inlineStr">
        <x:is>
          <x:t xml:space="preserve">шт</x:t>
        </x:is>
      </x:c>
      <x:c r="E31" s="31" t="n">
        <x:v>112487</x:v>
      </x:c>
      <x:c r="F31" s="31" t="n">
        <x:v>77</x:v>
      </x:c>
      <x:c r="G31" s="31" t="n">
        <x:v>94</x:v>
      </x:c>
      <x:c r="H31" s="31" t="n">
        <x:v>64</x:v>
      </x:c>
      <x:c r="I31" s="31" t="n">
        <x:v>82</x:v>
      </x:c>
      <x:c r="J31" s="31" t="n">
        <x:v>30</x:v>
      </x:c>
      <x:c r="K31" s="31" t="n">
        <x:v>27</x:v>
      </x:c>
      <x:c r="L31" s="31" t="inlineStr">
        <x:is>
          <x:t xml:space="preserve">Б</x:t>
        </x:is>
      </x:c>
      <x:c r="M31" s="31" t="inlineStr">
        <x:is>
          <x:t xml:space="preserve">ГЗ-ЭЛЕ-1</x:t>
        </x:is>
      </x:c>
      <x:c r="N31" s="31" t="inlineStr">
        <x:is>
          <x:t xml:space="preserve">Дефицит</x:t>
        </x:is>
      </x:c>
      <x:c r="O31" s="31" t="inlineStr">
        <x:is>
          <x:t xml:space="preserve">ПОСТ-028</x:t>
        </x:is>
      </x:c>
    </x:row>
    <x:row r="32" ht="18" customHeight="1">
      <x:c r="A32" s="31" t="inlineStr">
        <x:is>
          <x:t xml:space="preserve">МАТ-0031</x:t>
        </x:is>
      </x:c>
      <x:c r="B32" s="31" t="inlineStr">
        <x:is>
          <x:t xml:space="preserve">Датчик давления 0-16 бар</x:t>
        </x:is>
      </x:c>
      <x:c r="C32" s="31" t="inlineStr">
        <x:is>
          <x:t xml:space="preserve">КИПиА</x:t>
        </x:is>
      </x:c>
      <x:c r="D32" s="31" t="inlineStr">
        <x:is>
          <x:t xml:space="preserve">шт</x:t>
        </x:is>
      </x:c>
      <x:c r="E32" s="31" t="n">
        <x:v>56495</x:v>
      </x:c>
      <x:c r="F32" s="31" t="n">
        <x:v>17</x:v>
      </x:c>
      <x:c r="G32" s="31" t="n">
        <x:v>22</x:v>
      </x:c>
      <x:c r="H32" s="31" t="n">
        <x:v>1</x:v>
      </x:c>
      <x:c r="I32" s="31" t="n">
        <x:v>14</x:v>
      </x:c>
      <x:c r="J32" s="31" t="n">
        <x:v>21</x:v>
      </x:c>
      <x:c r="K32" s="31" t="n">
        <x:v>39</x:v>
      </x:c>
      <x:c r="L32" s="31" t="inlineStr">
        <x:is>
          <x:t xml:space="preserve">В</x:t>
        </x:is>
      </x:c>
      <x:c r="M32" s="31" t="inlineStr">
        <x:is>
          <x:t xml:space="preserve">ГЗ-КИП-7</x:t>
        </x:is>
      </x:c>
      <x:c r="N32" s="31" t="inlineStr">
        <x:is>
          <x:t xml:space="preserve">Норма</x:t>
        </x:is>
      </x:c>
      <x:c r="O32" s="31" t="inlineStr">
        <x:is>
          <x:t xml:space="preserve">ПОСТ-009</x:t>
        </x:is>
      </x:c>
    </x:row>
    <x:row r="33" ht="18" customHeight="1">
      <x:c r="A33" s="31" t="inlineStr">
        <x:is>
          <x:t xml:space="preserve">МАТ-0032</x:t>
        </x:is>
      </x:c>
      <x:c r="B33" s="31" t="inlineStr">
        <x:is>
          <x:t xml:space="preserve">Датчик температуры Пт100</x:t>
        </x:is>
      </x:c>
      <x:c r="C33" s="31" t="inlineStr">
        <x:is>
          <x:t xml:space="preserve">КИПиА</x:t>
        </x:is>
      </x:c>
      <x:c r="D33" s="31" t="inlineStr">
        <x:is>
          <x:t xml:space="preserve">шт</x:t>
        </x:is>
      </x:c>
      <x:c r="E33" s="31" t="n">
        <x:v>56335</x:v>
      </x:c>
      <x:c r="F33" s="31" t="n">
        <x:v>77</x:v>
      </x:c>
      <x:c r="G33" s="31" t="n">
        <x:v>140</x:v>
      </x:c>
      <x:c r="H33" s="31" t="n">
        <x:v>72</x:v>
      </x:c>
      <x:c r="I33" s="31" t="n">
        <x:v>36</x:v>
      </x:c>
      <x:c r="J33" s="31" t="n">
        <x:v>68</x:v>
      </x:c>
      <x:c r="K33" s="31" t="n">
        <x:v>39</x:v>
      </x:c>
      <x:c r="L33" s="31" t="inlineStr">
        <x:is>
          <x:t xml:space="preserve">В</x:t>
        </x:is>
      </x:c>
      <x:c r="M33" s="31" t="inlineStr">
        <x:is>
          <x:t xml:space="preserve">ГЗ-КИП-8</x:t>
        </x:is>
      </x:c>
      <x:c r="N33" s="31" t="inlineStr">
        <x:is>
          <x:t xml:space="preserve">Ниже минимума</x:t>
        </x:is>
      </x:c>
      <x:c r="O33" s="31" t="inlineStr">
        <x:is>
          <x:t xml:space="preserve">ПОСТ-017</x:t>
        </x:is>
      </x:c>
    </x:row>
    <x:row r="34" ht="18" customHeight="1">
      <x:c r="A34" s="31" t="inlineStr">
        <x:is>
          <x:t xml:space="preserve">МАТ-0033</x:t>
        </x:is>
      </x:c>
      <x:c r="B34" s="31" t="inlineStr">
        <x:is>
          <x:t xml:space="preserve">Расходомер электромагнитный Ду50</x:t>
        </x:is>
      </x:c>
      <x:c r="C34" s="31" t="inlineStr">
        <x:is>
          <x:t xml:space="preserve">КИПиА</x:t>
        </x:is>
      </x:c>
      <x:c r="D34" s="31" t="inlineStr">
        <x:is>
          <x:t xml:space="preserve">шт</x:t>
        </x:is>
      </x:c>
      <x:c r="E34" s="31" t="n">
        <x:v>7181</x:v>
      </x:c>
      <x:c r="F34" s="31" t="n">
        <x:v>5</x:v>
      </x:c>
      <x:c r="G34" s="31" t="n">
        <x:v>4</x:v>
      </x:c>
      <x:c r="H34" s="31" t="n">
        <x:v>0</x:v>
      </x:c>
      <x:c r="I34" s="31" t="n">
        <x:v>5</x:v>
      </x:c>
      <x:c r="J34" s="31" t="n">
        <x:v>4</x:v>
      </x:c>
      <x:c r="K34" s="31" t="n">
        <x:v>14</x:v>
      </x:c>
      <x:c r="L34" s="31" t="inlineStr">
        <x:is>
          <x:t xml:space="preserve">В</x:t>
        </x:is>
      </x:c>
      <x:c r="M34" s="31" t="inlineStr">
        <x:is>
          <x:t xml:space="preserve">ГЗ-КИП-6</x:t>
        </x:is>
      </x:c>
      <x:c r="N34" s="31" t="inlineStr">
        <x:is>
          <x:t xml:space="preserve">Ниже минимума</x:t>
        </x:is>
      </x:c>
      <x:c r="O34" s="31" t="inlineStr">
        <x:is>
          <x:t xml:space="preserve">ПОСТ-009</x:t>
        </x:is>
      </x:c>
    </x:row>
    <x:row r="35" ht="18" customHeight="1">
      <x:c r="A35" s="31" t="inlineStr">
        <x:is>
          <x:t xml:space="preserve">МАТ-0034</x:t>
        </x:is>
      </x:c>
      <x:c r="B35" s="31" t="inlineStr">
        <x:is>
          <x:t xml:space="preserve">Манометр виброустойчивый</x:t>
        </x:is>
      </x:c>
      <x:c r="C35" s="31" t="inlineStr">
        <x:is>
          <x:t xml:space="preserve">КИПиА</x:t>
        </x:is>
      </x:c>
      <x:c r="D35" s="31" t="inlineStr">
        <x:is>
          <x:t xml:space="preserve">шт</x:t>
        </x:is>
      </x:c>
      <x:c r="E35" s="31" t="n">
        <x:v>37991</x:v>
      </x:c>
      <x:c r="F35" s="31" t="n">
        <x:v>80</x:v>
      </x:c>
      <x:c r="G35" s="31" t="n">
        <x:v>171</x:v>
      </x:c>
      <x:c r="H35" s="31" t="n">
        <x:v>12</x:v>
      </x:c>
      <x:c r="I35" s="31" t="n">
        <x:v>86</x:v>
      </x:c>
      <x:c r="J35" s="31" t="n">
        <x:v>159</x:v>
      </x:c>
      <x:c r="K35" s="31" t="n">
        <x:v>22</x:v>
      </x:c>
      <x:c r="L35" s="31" t="inlineStr">
        <x:is>
          <x:t xml:space="preserve">Б</x:t>
        </x:is>
      </x:c>
      <x:c r="M35" s="31" t="inlineStr">
        <x:is>
          <x:t xml:space="preserve">ГЗ-КИП-3</x:t>
        </x:is>
      </x:c>
      <x:c r="N35" s="31" t="inlineStr">
        <x:is>
          <x:t xml:space="preserve">Норма</x:t>
        </x:is>
      </x:c>
      <x:c r="O35" s="31" t="inlineStr">
        <x:is>
          <x:t xml:space="preserve">ПОСТ-017</x:t>
        </x:is>
      </x:c>
    </x:row>
    <x:row r="36" ht="18" customHeight="1">
      <x:c r="A36" s="31" t="inlineStr">
        <x:is>
          <x:t xml:space="preserve">МАТ-0035</x:t>
        </x:is>
      </x:c>
      <x:c r="B36" s="31" t="inlineStr">
        <x:is>
          <x:t xml:space="preserve">Клапан электромагнитный 24В</x:t>
        </x:is>
      </x:c>
      <x:c r="C36" s="31" t="inlineStr">
        <x:is>
          <x:t xml:space="preserve">КИПиА</x:t>
        </x:is>
      </x:c>
      <x:c r="D36" s="31" t="inlineStr">
        <x:is>
          <x:t xml:space="preserve">шт</x:t>
        </x:is>
      </x:c>
      <x:c r="E36" s="31" t="n">
        <x:v>49845</x:v>
      </x:c>
      <x:c r="F36" s="31" t="n">
        <x:v>80</x:v>
      </x:c>
      <x:c r="G36" s="31" t="n">
        <x:v>125</x:v>
      </x:c>
      <x:c r="H36" s="31" t="n">
        <x:v>37</x:v>
      </x:c>
      <x:c r="I36" s="31" t="n">
        <x:v>32</x:v>
      </x:c>
      <x:c r="J36" s="31" t="n">
        <x:v>88</x:v>
      </x:c>
      <x:c r="K36" s="31" t="n">
        <x:v>14</x:v>
      </x:c>
      <x:c r="L36" s="31" t="inlineStr">
        <x:is>
          <x:t xml:space="preserve">Б</x:t>
        </x:is>
      </x:c>
      <x:c r="M36" s="31" t="inlineStr">
        <x:is>
          <x:t xml:space="preserve">ГЗ-КИП-7</x:t>
        </x:is>
      </x:c>
      <x:c r="N36" s="31" t="inlineStr">
        <x:is>
          <x:t xml:space="preserve">Норма</x:t>
        </x:is>
      </x:c>
      <x:c r="O36" s="31" t="inlineStr">
        <x:is>
          <x:t xml:space="preserve">ПОСТ-019</x:t>
        </x:is>
      </x:c>
    </x:row>
    <x:row r="37" ht="18" customHeight="1">
      <x:c r="A37" s="31" t="inlineStr">
        <x:is>
          <x:t xml:space="preserve">МАТ-0036</x:t>
        </x:is>
      </x:c>
      <x:c r="B37" s="31" t="inlineStr">
        <x:is>
          <x:t xml:space="preserve">Клапан электромагнитный 24В / исп.2</x:t>
        </x:is>
      </x:c>
      <x:c r="C37" s="31" t="inlineStr">
        <x:is>
          <x:t xml:space="preserve">КИПиА</x:t>
        </x:is>
      </x:c>
      <x:c r="D37" s="31" t="inlineStr">
        <x:is>
          <x:t xml:space="preserve">шт</x:t>
        </x:is>
      </x:c>
      <x:c r="E37" s="31" t="n">
        <x:v>24354</x:v>
      </x:c>
      <x:c r="F37" s="31" t="n">
        <x:v>68</x:v>
      </x:c>
      <x:c r="G37" s="31" t="n">
        <x:v>45</x:v>
      </x:c>
      <x:c r="H37" s="31" t="n">
        <x:v>9</x:v>
      </x:c>
      <x:c r="I37" s="31" t="n">
        <x:v>84</x:v>
      </x:c>
      <x:c r="J37" s="31" t="n">
        <x:v>36</x:v>
      </x:c>
      <x:c r="K37" s="31" t="n">
        <x:v>7</x:v>
      </x:c>
      <x:c r="L37" s="31" t="inlineStr">
        <x:is>
          <x:t xml:space="preserve">А</x:t>
        </x:is>
      </x:c>
      <x:c r="M37" s="31" t="inlineStr">
        <x:is>
          <x:t xml:space="preserve">ГЗ-КИП-6</x:t>
        </x:is>
      </x:c>
      <x:c r="N37" s="31" t="inlineStr">
        <x:is>
          <x:t xml:space="preserve">Ниже минимума</x:t>
        </x:is>
      </x:c>
      <x:c r="O37" s="31" t="inlineStr">
        <x:is>
          <x:t xml:space="preserve">ПОСТ-019</x:t>
        </x:is>
      </x:c>
    </x:row>
    <x:row r="38" ht="18" customHeight="1">
      <x:c r="A38" s="31" t="inlineStr">
        <x:is>
          <x:t xml:space="preserve">МАТ-0037</x:t>
        </x:is>
      </x:c>
      <x:c r="B38" s="31" t="inlineStr">
        <x:is>
          <x:t xml:space="preserve">Клапан электромагнитный 24В / исп.3</x:t>
        </x:is>
      </x:c>
      <x:c r="C38" s="31" t="inlineStr">
        <x:is>
          <x:t xml:space="preserve">КИПиА</x:t>
        </x:is>
      </x:c>
      <x:c r="D38" s="31" t="inlineStr">
        <x:is>
          <x:t xml:space="preserve">шт</x:t>
        </x:is>
      </x:c>
      <x:c r="E38" s="31" t="n">
        <x:v>4246</x:v>
      </x:c>
      <x:c r="F38" s="31" t="n">
        <x:v>37</x:v>
      </x:c>
      <x:c r="G38" s="31" t="n">
        <x:v>57</x:v>
      </x:c>
      <x:c r="H38" s="31" t="n">
        <x:v>3</x:v>
      </x:c>
      <x:c r="I38" s="31" t="n">
        <x:v>49</x:v>
      </x:c>
      <x:c r="J38" s="31" t="n">
        <x:v>54</x:v>
      </x:c>
      <x:c r="K38" s="31" t="n">
        <x:v>31</x:v>
      </x:c>
      <x:c r="L38" s="31" t="inlineStr">
        <x:is>
          <x:t xml:space="preserve">Б</x:t>
        </x:is>
      </x:c>
      <x:c r="M38" s="31" t="inlineStr">
        <x:is>
          <x:t xml:space="preserve">ГЗ-КИП-3</x:t>
        </x:is>
      </x:c>
      <x:c r="N38" s="31" t="inlineStr">
        <x:is>
          <x:t xml:space="preserve">Норма</x:t>
        </x:is>
      </x:c>
      <x:c r="O38" s="31" t="inlineStr">
        <x:is>
          <x:t xml:space="preserve">ПОСТ-017</x:t>
        </x:is>
      </x:c>
    </x:row>
    <x:row r="39" ht="18" customHeight="1">
      <x:c r="A39" s="31" t="inlineStr">
        <x:is>
          <x:t xml:space="preserve">МАТ-0038</x:t>
        </x:is>
      </x:c>
      <x:c r="B39" s="31" t="inlineStr">
        <x:is>
          <x:t xml:space="preserve">ПЛК 24 дискр. входа / 16 дискр. выхода</x:t>
        </x:is>
      </x:c>
      <x:c r="C39" s="31" t="inlineStr">
        <x:is>
          <x:t xml:space="preserve">ПЛК/электрика</x:t>
        </x:is>
      </x:c>
      <x:c r="D39" s="31" t="inlineStr">
        <x:is>
          <x:t xml:space="preserve">шт</x:t>
        </x:is>
      </x:c>
      <x:c r="E39" s="31" t="n">
        <x:v>26988</x:v>
      </x:c>
      <x:c r="F39" s="31" t="n">
        <x:v>92</x:v>
      </x:c>
      <x:c r="G39" s="31" t="n">
        <x:v>19</x:v>
      </x:c>
      <x:c r="H39" s="31" t="n">
        <x:v>3</x:v>
      </x:c>
      <x:c r="I39" s="31" t="n">
        <x:v>41</x:v>
      </x:c>
      <x:c r="J39" s="31" t="n">
        <x:v>16</x:v>
      </x:c>
      <x:c r="K39" s="31" t="n">
        <x:v>31</x:v>
      </x:c>
      <x:c r="L39" s="31" t="inlineStr">
        <x:is>
          <x:t xml:space="preserve">А</x:t>
        </x:is>
      </x:c>
      <x:c r="M39" s="31" t="inlineStr">
        <x:is>
          <x:t xml:space="preserve">ГЗ-ПЛК-1</x:t>
        </x:is>
      </x:c>
      <x:c r="N39" s="31" t="inlineStr">
        <x:is>
          <x:t xml:space="preserve">Дефицит</x:t>
        </x:is>
      </x:c>
      <x:c r="O39" s="31" t="inlineStr">
        <x:is>
          <x:t xml:space="preserve">ПОСТ-002</x:t>
        </x:is>
      </x:c>
    </x:row>
    <x:row r="40" ht="18" customHeight="1">
      <x:c r="A40" s="31" t="inlineStr">
        <x:is>
          <x:t xml:space="preserve">МАТ-0039</x:t>
        </x:is>
      </x:c>
      <x:c r="B40" s="31" t="inlineStr">
        <x:is>
          <x:t xml:space="preserve">ПЛК 24 дискр. входа / 16 дискр. выхода / исп.2</x:t>
        </x:is>
      </x:c>
      <x:c r="C40" s="31" t="inlineStr">
        <x:is>
          <x:t xml:space="preserve">ПЛК/электрика</x:t>
        </x:is>
      </x:c>
      <x:c r="D40" s="31" t="inlineStr">
        <x:is>
          <x:t xml:space="preserve">шт</x:t>
        </x:is>
      </x:c>
      <x:c r="E40" s="31" t="n">
        <x:v>90002</x:v>
      </x:c>
      <x:c r="F40" s="31" t="n">
        <x:v>119</x:v>
      </x:c>
      <x:c r="G40" s="31" t="n">
        <x:v>229</x:v>
      </x:c>
      <x:c r="H40" s="31" t="n">
        <x:v>157</x:v>
      </x:c>
      <x:c r="I40" s="31" t="n">
        <x:v>228</x:v>
      </x:c>
      <x:c r="J40" s="31" t="n">
        <x:v>72</x:v>
      </x:c>
      <x:c r="K40" s="31" t="n">
        <x:v>33</x:v>
      </x:c>
      <x:c r="L40" s="31" t="inlineStr">
        <x:is>
          <x:t xml:space="preserve">Б</x:t>
        </x:is>
      </x:c>
      <x:c r="M40" s="31" t="inlineStr">
        <x:is>
          <x:t xml:space="preserve">ГЗ-ПЛК-7</x:t>
        </x:is>
      </x:c>
      <x:c r="N40" s="31" t="inlineStr">
        <x:is>
          <x:t xml:space="preserve">Ниже минимума</x:t>
        </x:is>
      </x:c>
      <x:c r="O40" s="31" t="inlineStr">
        <x:is>
          <x:t xml:space="preserve">ПОСТ-002</x:t>
        </x:is>
      </x:c>
    </x:row>
    <x:row r="41" ht="18" customHeight="1">
      <x:c r="A41" s="31" t="inlineStr">
        <x:is>
          <x:t xml:space="preserve">МАТ-0040</x:t>
        </x:is>
      </x:c>
      <x:c r="B41" s="31" t="inlineStr">
        <x:is>
          <x:t xml:space="preserve">модуль аналогового входа 4 канала</x:t>
        </x:is>
      </x:c>
      <x:c r="C41" s="31" t="inlineStr">
        <x:is>
          <x:t xml:space="preserve">ПЛК/электрика</x:t>
        </x:is>
      </x:c>
      <x:c r="D41" s="31" t="inlineStr">
        <x:is>
          <x:t xml:space="preserve">шт</x:t>
        </x:is>
      </x:c>
      <x:c r="E41" s="31" t="n">
        <x:v>87194</x:v>
      </x:c>
      <x:c r="F41" s="31" t="n">
        <x:v>98</x:v>
      </x:c>
      <x:c r="G41" s="31" t="n">
        <x:v>118</x:v>
      </x:c>
      <x:c r="H41" s="31" t="n">
        <x:v>69</x:v>
      </x:c>
      <x:c r="I41" s="31" t="n">
        <x:v>67</x:v>
      </x:c>
      <x:c r="J41" s="31" t="n">
        <x:v>49</x:v>
      </x:c>
      <x:c r="K41" s="31" t="n">
        <x:v>45</x:v>
      </x:c>
      <x:c r="L41" s="31" t="inlineStr">
        <x:is>
          <x:t xml:space="preserve">Б</x:t>
        </x:is>
      </x:c>
      <x:c r="M41" s="31" t="inlineStr">
        <x:is>
          <x:t xml:space="preserve">ГЗ-ПЛК-4</x:t>
        </x:is>
      </x:c>
      <x:c r="N41" s="31" t="inlineStr">
        <x:is>
          <x:t xml:space="preserve">Ниже минимума</x:t>
        </x:is>
      </x:c>
      <x:c r="O41" s="31" t="inlineStr">
        <x:is>
          <x:t xml:space="preserve">ПОСТ-002</x:t>
        </x:is>
      </x:c>
    </x:row>
    <x:row r="42" ht="18" customHeight="1">
      <x:c r="A42" s="31" t="inlineStr">
        <x:is>
          <x:t xml:space="preserve">МАТ-0041</x:t>
        </x:is>
      </x:c>
      <x:c r="B42" s="31" t="inlineStr">
        <x:is>
          <x:t xml:space="preserve">модуль аналогового входа 4 канала / исп.2</x:t>
        </x:is>
      </x:c>
      <x:c r="C42" s="31" t="inlineStr">
        <x:is>
          <x:t xml:space="preserve">ПЛК/электрика</x:t>
        </x:is>
      </x:c>
      <x:c r="D42" s="31" t="inlineStr">
        <x:is>
          <x:t xml:space="preserve">шт</x:t>
        </x:is>
      </x:c>
      <x:c r="E42" s="31" t="n">
        <x:v>129099</x:v>
      </x:c>
      <x:c r="F42" s="31" t="n">
        <x:v>16</x:v>
      </x:c>
      <x:c r="G42" s="31" t="n">
        <x:v>16</x:v>
      </x:c>
      <x:c r="H42" s="31" t="n">
        <x:v>9</x:v>
      </x:c>
      <x:c r="I42" s="31" t="n">
        <x:v>30</x:v>
      </x:c>
      <x:c r="J42" s="31" t="n">
        <x:v>7</x:v>
      </x:c>
      <x:c r="K42" s="31" t="n">
        <x:v>15</x:v>
      </x:c>
      <x:c r="L42" s="31" t="inlineStr">
        <x:is>
          <x:t xml:space="preserve">А</x:t>
        </x:is>
      </x:c>
      <x:c r="M42" s="31" t="inlineStr">
        <x:is>
          <x:t xml:space="preserve">ГЗ-ПЛК-4</x:t>
        </x:is>
      </x:c>
      <x:c r="N42" s="31" t="inlineStr">
        <x:is>
          <x:t xml:space="preserve">Ниже минимума</x:t>
        </x:is>
      </x:c>
      <x:c r="O42" s="31" t="inlineStr">
        <x:is>
          <x:t xml:space="preserve">ПОСТ-002</x:t>
        </x:is>
      </x:c>
    </x:row>
    <x:row r="43" ht="18" customHeight="1">
      <x:c r="A43" s="31" t="inlineStr">
        <x:is>
          <x:t xml:space="preserve">МАТ-0042</x:t>
        </x:is>
      </x:c>
      <x:c r="B43" s="31" t="inlineStr">
        <x:is>
          <x:t xml:space="preserve">модуль аналогового входа 4 канала / исп.3</x:t>
        </x:is>
      </x:c>
      <x:c r="C43" s="31" t="inlineStr">
        <x:is>
          <x:t xml:space="preserve">ПЛК/электрика</x:t>
        </x:is>
      </x:c>
      <x:c r="D43" s="31" t="inlineStr">
        <x:is>
          <x:t xml:space="preserve">шт</x:t>
        </x:is>
      </x:c>
      <x:c r="E43" s="31" t="n">
        <x:v>81232</x:v>
      </x:c>
      <x:c r="F43" s="31" t="n">
        <x:v>16</x:v>
      </x:c>
      <x:c r="G43" s="31" t="n">
        <x:v>36</x:v>
      </x:c>
      <x:c r="H43" s="31" t="n">
        <x:v>20</x:v>
      </x:c>
      <x:c r="I43" s="31" t="n">
        <x:v>24</x:v>
      </x:c>
      <x:c r="J43" s="31" t="n">
        <x:v>16</x:v>
      </x:c>
      <x:c r="K43" s="31" t="n">
        <x:v>14</x:v>
      </x:c>
      <x:c r="L43" s="31" t="inlineStr">
        <x:is>
          <x:t xml:space="preserve">Б</x:t>
        </x:is>
      </x:c>
      <x:c r="M43" s="31" t="inlineStr">
        <x:is>
          <x:t xml:space="preserve">ГЗ-ПЛК-7</x:t>
        </x:is>
      </x:c>
      <x:c r="N43" s="31" t="inlineStr">
        <x:is>
          <x:t xml:space="preserve">Норма</x:t>
        </x:is>
      </x:c>
      <x:c r="O43" s="31" t="inlineStr">
        <x:is>
          <x:t xml:space="preserve">ПОСТ-002</x:t>
        </x:is>
      </x:c>
    </x:row>
    <x:row r="44" ht="18" customHeight="1">
      <x:c r="A44" s="31" t="inlineStr">
        <x:is>
          <x:t xml:space="preserve">МАТ-0043</x:t>
        </x:is>
      </x:c>
      <x:c r="B44" s="31" t="inlineStr">
        <x:is>
          <x:t xml:space="preserve">Блок питания 24В</x:t>
        </x:is>
      </x:c>
      <x:c r="C44" s="31" t="inlineStr">
        <x:is>
          <x:t xml:space="preserve">ПЛК/электрика</x:t>
        </x:is>
      </x:c>
      <x:c r="D44" s="31" t="inlineStr">
        <x:is>
          <x:t xml:space="preserve">шт</x:t>
        </x:is>
      </x:c>
      <x:c r="E44" s="31" t="n">
        <x:v>69448</x:v>
      </x:c>
      <x:c r="F44" s="31" t="n">
        <x:v>24</x:v>
      </x:c>
      <x:c r="G44" s="31" t="n">
        <x:v>31</x:v>
      </x:c>
      <x:c r="H44" s="31" t="n">
        <x:v>2</x:v>
      </x:c>
      <x:c r="I44" s="31" t="n">
        <x:v>42</x:v>
      </x:c>
      <x:c r="J44" s="31" t="n">
        <x:v>29</x:v>
      </x:c>
      <x:c r="K44" s="31" t="n">
        <x:v>25</x:v>
      </x:c>
      <x:c r="L44" s="31" t="inlineStr">
        <x:is>
          <x:t xml:space="preserve">В</x:t>
        </x:is>
      </x:c>
      <x:c r="M44" s="31" t="inlineStr">
        <x:is>
          <x:t xml:space="preserve">ГЗ-ПЛК-7</x:t>
        </x:is>
      </x:c>
      <x:c r="N44" s="31" t="inlineStr">
        <x:is>
          <x:t xml:space="preserve">Норма</x:t>
        </x:is>
      </x:c>
      <x:c r="O44" s="31" t="inlineStr">
        <x:is>
          <x:t xml:space="preserve">ПОСТ-002</x:t>
        </x:is>
      </x:c>
    </x:row>
    <x:row r="45" ht="18" customHeight="1">
      <x:c r="A45" s="31" t="inlineStr">
        <x:is>
          <x:t xml:space="preserve">МАТ-0044</x:t>
        </x:is>
      </x:c>
      <x:c r="B45" s="31" t="inlineStr">
        <x:is>
          <x:t xml:space="preserve">Блок питания 24В / исп.2</x:t>
        </x:is>
      </x:c>
      <x:c r="C45" s="31" t="inlineStr">
        <x:is>
          <x:t xml:space="preserve">ПЛК/электрика</x:t>
        </x:is>
      </x:c>
      <x:c r="D45" s="31" t="inlineStr">
        <x:is>
          <x:t xml:space="preserve">шт</x:t>
        </x:is>
      </x:c>
      <x:c r="E45" s="31" t="n">
        <x:v>110141</x:v>
      </x:c>
      <x:c r="F45" s="31" t="n">
        <x:v>35</x:v>
      </x:c>
      <x:c r="G45" s="31" t="n">
        <x:v>9</x:v>
      </x:c>
      <x:c r="H45" s="31" t="n">
        <x:v>3</x:v>
      </x:c>
      <x:c r="I45" s="31" t="n">
        <x:v>38</x:v>
      </x:c>
      <x:c r="J45" s="31" t="n">
        <x:v>6</x:v>
      </x:c>
      <x:c r="K45" s="31" t="n">
        <x:v>8</x:v>
      </x:c>
      <x:c r="L45" s="31" t="inlineStr">
        <x:is>
          <x:t xml:space="preserve">Б</x:t>
        </x:is>
      </x:c>
      <x:c r="M45" s="31" t="inlineStr">
        <x:is>
          <x:t xml:space="preserve">ГЗ-ПЛК-1</x:t>
        </x:is>
      </x:c>
      <x:c r="N45" s="31" t="inlineStr">
        <x:is>
          <x:t xml:space="preserve">Дефицит</x:t>
        </x:is>
      </x:c>
      <x:c r="O45" s="31" t="inlineStr">
        <x:is>
          <x:t xml:space="preserve">ПОСТ-002</x:t>
        </x:is>
      </x:c>
    </x:row>
    <x:row r="46" ht="18" customHeight="1">
      <x:c r="A46" s="31" t="inlineStr">
        <x:is>
          <x:t xml:space="preserve">МАТ-0045</x:t>
        </x:is>
      </x:c>
      <x:c r="B46" s="31" t="inlineStr">
        <x:is>
          <x:t xml:space="preserve">Автоматический выключатель 16А</x:t>
        </x:is>
      </x:c>
      <x:c r="C46" s="31" t="inlineStr">
        <x:is>
          <x:t xml:space="preserve">ПЛК/электрика</x:t>
        </x:is>
      </x:c>
      <x:c r="D46" s="31" t="inlineStr">
        <x:is>
          <x:t xml:space="preserve">шт</x:t>
        </x:is>
      </x:c>
      <x:c r="E46" s="31" t="n">
        <x:v>55945</x:v>
      </x:c>
      <x:c r="F46" s="31" t="n">
        <x:v>92</x:v>
      </x:c>
      <x:c r="G46" s="31" t="n">
        <x:v>0</x:v>
      </x:c>
      <x:c r="H46" s="31" t="n">
        <x:v>0</x:v>
      </x:c>
      <x:c r="I46" s="31" t="n">
        <x:v>152</x:v>
      </x:c>
      <x:c r="J46" s="31" t="n">
        <x:v>0</x:v>
      </x:c>
      <x:c r="K46" s="31" t="n">
        <x:v>19</x:v>
      </x:c>
      <x:c r="L46" s="31" t="inlineStr">
        <x:is>
          <x:t xml:space="preserve">Б</x:t>
        </x:is>
      </x:c>
      <x:c r="M46" s="31" t="inlineStr">
        <x:is>
          <x:t xml:space="preserve">ГЗ-ПЛК-2</x:t>
        </x:is>
      </x:c>
      <x:c r="N46" s="31" t="inlineStr">
        <x:is>
          <x:t xml:space="preserve">Дефицит</x:t>
        </x:is>
      </x:c>
      <x:c r="O46" s="31" t="inlineStr">
        <x:is>
          <x:t xml:space="preserve">ПОСТ-002</x:t>
        </x:is>
      </x:c>
    </x:row>
    <x:row r="47" ht="18" customHeight="1">
      <x:c r="A47" s="31" t="inlineStr">
        <x:is>
          <x:t xml:space="preserve">МАТ-0046</x:t>
        </x:is>
      </x:c>
      <x:c r="B47" s="31" t="inlineStr">
        <x:is>
          <x:t xml:space="preserve">Контактор 25А</x:t>
        </x:is>
      </x:c>
      <x:c r="C47" s="31" t="inlineStr">
        <x:is>
          <x:t xml:space="preserve">ПЛК/электрика</x:t>
        </x:is>
      </x:c>
      <x:c r="D47" s="31" t="inlineStr">
        <x:is>
          <x:t xml:space="preserve">шт</x:t>
        </x:is>
      </x:c>
      <x:c r="E47" s="31" t="n">
        <x:v>72804</x:v>
      </x:c>
      <x:c r="F47" s="31" t="n">
        <x:v>71</x:v>
      </x:c>
      <x:c r="G47" s="31" t="n">
        <x:v>159</x:v>
      </x:c>
      <x:c r="H47" s="31" t="n">
        <x:v>100</x:v>
      </x:c>
      <x:c r="I47" s="31" t="n">
        <x:v>107</x:v>
      </x:c>
      <x:c r="J47" s="31" t="n">
        <x:v>59</x:v>
      </x:c>
      <x:c r="K47" s="31" t="n">
        <x:v>10</x:v>
      </x:c>
      <x:c r="L47" s="31" t="inlineStr">
        <x:is>
          <x:t xml:space="preserve">Б</x:t>
        </x:is>
      </x:c>
      <x:c r="M47" s="31" t="inlineStr">
        <x:is>
          <x:t xml:space="preserve">ГЗ-ПЛК-3</x:t>
        </x:is>
      </x:c>
      <x:c r="N47" s="31" t="inlineStr">
        <x:is>
          <x:t xml:space="preserve">Ниже минимума</x:t>
        </x:is>
      </x:c>
      <x:c r="O47" s="31" t="inlineStr">
        <x:is>
          <x:t xml:space="preserve">ПОСТ-002</x:t>
        </x:is>
      </x:c>
    </x:row>
    <x:row r="48" ht="18" customHeight="1">
      <x:c r="A48" s="31" t="inlineStr">
        <x:is>
          <x:t xml:space="preserve">МАТ-0047</x:t>
        </x:is>
      </x:c>
      <x:c r="B48" s="31" t="inlineStr">
        <x:is>
          <x:t xml:space="preserve">Контактор 25А / исп.2</x:t>
        </x:is>
      </x:c>
      <x:c r="C48" s="31" t="inlineStr">
        <x:is>
          <x:t xml:space="preserve">ПЛК/электрика</x:t>
        </x:is>
      </x:c>
      <x:c r="D48" s="31" t="inlineStr">
        <x:is>
          <x:t xml:space="preserve">шт</x:t>
        </x:is>
      </x:c>
      <x:c r="E48" s="31" t="n">
        <x:v>75397</x:v>
      </x:c>
      <x:c r="F48" s="31" t="n">
        <x:v>88</x:v>
      </x:c>
      <x:c r="G48" s="31" t="n">
        <x:v>30</x:v>
      </x:c>
      <x:c r="H48" s="31" t="n">
        <x:v>1</x:v>
      </x:c>
      <x:c r="I48" s="31" t="n">
        <x:v>44</x:v>
      </x:c>
      <x:c r="J48" s="31" t="n">
        <x:v>29</x:v>
      </x:c>
      <x:c r="K48" s="31" t="n">
        <x:v>20</x:v>
      </x:c>
      <x:c r="L48" s="31" t="inlineStr">
        <x:is>
          <x:t xml:space="preserve">Б</x:t>
        </x:is>
      </x:c>
      <x:c r="M48" s="31" t="inlineStr">
        <x:is>
          <x:t xml:space="preserve">ГЗ-ПЛК-7</x:t>
        </x:is>
      </x:c>
      <x:c r="N48" s="31" t="inlineStr">
        <x:is>
          <x:t xml:space="preserve">Дефицит</x:t>
        </x:is>
      </x:c>
      <x:c r="O48" s="31" t="inlineStr">
        <x:is>
          <x:t xml:space="preserve">ПОСТ-002</x:t>
        </x:is>
      </x:c>
    </x:row>
    <x:row r="49" ht="18" customHeight="1">
      <x:c r="A49" s="31" t="inlineStr">
        <x:is>
          <x:t xml:space="preserve">МАТ-0048</x:t>
        </x:is>
      </x:c>
      <x:c r="B49" s="31" t="inlineStr">
        <x:is>
          <x:t xml:space="preserve">Контактор 25А / исп.3</x:t>
        </x:is>
      </x:c>
      <x:c r="C49" s="31" t="inlineStr">
        <x:is>
          <x:t xml:space="preserve">ПЛК/электрика</x:t>
        </x:is>
      </x:c>
      <x:c r="D49" s="31" t="inlineStr">
        <x:is>
          <x:t xml:space="preserve">шт</x:t>
        </x:is>
      </x:c>
      <x:c r="E49" s="31" t="n">
        <x:v>124975</x:v>
      </x:c>
      <x:c r="F49" s="31" t="n">
        <x:v>106</x:v>
      </x:c>
      <x:c r="G49" s="31" t="n">
        <x:v>146</x:v>
      </x:c>
      <x:c r="H49" s="31" t="n">
        <x:v>38</x:v>
      </x:c>
      <x:c r="I49" s="31" t="n">
        <x:v>79</x:v>
      </x:c>
      <x:c r="J49" s="31" t="n">
        <x:v>108</x:v>
      </x:c>
      <x:c r="K49" s="31" t="n">
        <x:v>20</x:v>
      </x:c>
      <x:c r="L49" s="31" t="inlineStr">
        <x:is>
          <x:t xml:space="preserve">В</x:t>
        </x:is>
      </x:c>
      <x:c r="M49" s="31" t="inlineStr">
        <x:is>
          <x:t xml:space="preserve">ГЗ-ПЛК-2</x:t>
        </x:is>
      </x:c>
      <x:c r="N49" s="31" t="inlineStr">
        <x:is>
          <x:t xml:space="preserve">Норма</x:t>
        </x:is>
      </x:c>
      <x:c r="O49" s="31" t="inlineStr">
        <x:is>
          <x:t xml:space="preserve">ПОСТ-002</x:t>
        </x:is>
      </x:c>
    </x:row>
    <x:row r="50" ht="18" customHeight="1">
      <x:c r="A50" s="31" t="inlineStr">
        <x:is>
          <x:t xml:space="preserve">МАТ-0049</x:t>
        </x:is>
      </x:c>
      <x:c r="B50" s="31" t="inlineStr">
        <x:is>
          <x:t xml:space="preserve">Рейковая клемма</x:t>
        </x:is>
      </x:c>
      <x:c r="C50" s="31" t="inlineStr">
        <x:is>
          <x:t xml:space="preserve">ПЛК/электрика</x:t>
        </x:is>
      </x:c>
      <x:c r="D50" s="31" t="inlineStr">
        <x:is>
          <x:t xml:space="preserve">шт</x:t>
        </x:is>
      </x:c>
      <x:c r="E50" s="31" t="n">
        <x:v>84513</x:v>
      </x:c>
      <x:c r="F50" s="31" t="n">
        <x:v>16</x:v>
      </x:c>
      <x:c r="G50" s="31" t="n">
        <x:v>23</x:v>
      </x:c>
      <x:c r="H50" s="31" t="n">
        <x:v>13</x:v>
      </x:c>
      <x:c r="I50" s="31" t="n">
        <x:v>31</x:v>
      </x:c>
      <x:c r="J50" s="31" t="n">
        <x:v>10</x:v>
      </x:c>
      <x:c r="K50" s="31" t="n">
        <x:v>36</x:v>
      </x:c>
      <x:c r="L50" s="31" t="inlineStr">
        <x:is>
          <x:t xml:space="preserve">В</x:t>
        </x:is>
      </x:c>
      <x:c r="M50" s="31" t="inlineStr">
        <x:is>
          <x:t xml:space="preserve">ГЗ-ПЛК-1</x:t>
        </x:is>
      </x:c>
      <x:c r="N50" s="31" t="inlineStr">
        <x:is>
          <x:t xml:space="preserve">Ниже минимума</x:t>
        </x:is>
      </x:c>
      <x:c r="O50" s="31" t="inlineStr">
        <x:is>
          <x:t xml:space="preserve">ПОСТ-002</x:t>
        </x:is>
      </x:c>
    </x:row>
    <x:row r="51" ht="18" customHeight="1">
      <x:c r="A51" s="31" t="inlineStr">
        <x:is>
          <x:t xml:space="preserve">МАТ-0050</x:t>
        </x:is>
      </x:c>
      <x:c r="B51" s="31" t="inlineStr">
        <x:is>
          <x:t xml:space="preserve">панель оператора 7"</x:t>
        </x:is>
      </x:c>
      <x:c r="C51" s="31" t="inlineStr">
        <x:is>
          <x:t xml:space="preserve">ПЛК/электрика</x:t>
        </x:is>
      </x:c>
      <x:c r="D51" s="31" t="inlineStr">
        <x:is>
          <x:t xml:space="preserve">шт</x:t>
        </x:is>
      </x:c>
      <x:c r="E51" s="31" t="n">
        <x:v>137838</x:v>
      </x:c>
      <x:c r="F51" s="31" t="n">
        <x:v>111</x:v>
      </x:c>
      <x:c r="G51" s="31" t="n">
        <x:v>193</x:v>
      </x:c>
      <x:c r="H51" s="31" t="n">
        <x:v>51</x:v>
      </x:c>
      <x:c r="I51" s="31" t="n">
        <x:v>214</x:v>
      </x:c>
      <x:c r="J51" s="31" t="n">
        <x:v>142</x:v>
      </x:c>
      <x:c r="K51" s="31" t="n">
        <x:v>6</x:v>
      </x:c>
      <x:c r="L51" s="31" t="inlineStr">
        <x:is>
          <x:t xml:space="preserve">А</x:t>
        </x:is>
      </x:c>
      <x:c r="M51" s="31" t="inlineStr">
        <x:is>
          <x:t xml:space="preserve">ГЗ-ПЛК-8</x:t>
        </x:is>
      </x:c>
      <x:c r="N51" s="31" t="inlineStr">
        <x:is>
          <x:t xml:space="preserve">Норма</x:t>
        </x:is>
      </x:c>
      <x:c r="O51" s="31" t="inlineStr">
        <x:is>
          <x:t xml:space="preserve">ПОСТ-002</x:t>
        </x:is>
      </x:c>
    </x:row>
    <x:row r="52" ht="18" customHeight="1">
      <x:c r="A52" s="31" t="inlineStr">
        <x:is>
          <x:t xml:space="preserve">МАТ-0051</x:t>
        </x:is>
      </x:c>
      <x:c r="B52" s="31" t="inlineStr">
        <x:is>
          <x:t xml:space="preserve">Кран шаровой Ду50</x:t>
        </x:is>
      </x:c>
      <x:c r="C52" s="31" t="inlineStr">
        <x:is>
          <x:t xml:space="preserve">Запорная арматура</x:t>
        </x:is>
      </x:c>
      <x:c r="D52" s="31" t="inlineStr">
        <x:is>
          <x:t xml:space="preserve">шт</x:t>
        </x:is>
      </x:c>
      <x:c r="E52" s="31" t="n">
        <x:v>34303</x:v>
      </x:c>
      <x:c r="F52" s="31" t="n">
        <x:v>8</x:v>
      </x:c>
      <x:c r="G52" s="31" t="n">
        <x:v>10</x:v>
      </x:c>
      <x:c r="H52" s="31" t="n">
        <x:v>7</x:v>
      </x:c>
      <x:c r="I52" s="31" t="n">
        <x:v>5</x:v>
      </x:c>
      <x:c r="J52" s="31" t="n">
        <x:v>3</x:v>
      </x:c>
      <x:c r="K52" s="31" t="n">
        <x:v>33</x:v>
      </x:c>
      <x:c r="L52" s="31" t="inlineStr">
        <x:is>
          <x:t xml:space="preserve">Б</x:t>
        </x:is>
      </x:c>
      <x:c r="M52" s="31" t="inlineStr">
        <x:is>
          <x:t xml:space="preserve">ГЗ-ЗАП-6</x:t>
        </x:is>
      </x:c>
      <x:c r="N52" s="31" t="inlineStr">
        <x:is>
          <x:t xml:space="preserve">Дефицит</x:t>
        </x:is>
      </x:c>
      <x:c r="O52" s="31" t="inlineStr">
        <x:is>
          <x:t xml:space="preserve">ПОСТ-010</x:t>
        </x:is>
      </x:c>
    </x:row>
    <x:row r="53" ht="18" customHeight="1">
      <x:c r="A53" s="31" t="inlineStr">
        <x:is>
          <x:t xml:space="preserve">МАТ-0052</x:t>
        </x:is>
      </x:c>
      <x:c r="B53" s="31" t="inlineStr">
        <x:is>
          <x:t xml:space="preserve">Кран шаровой Ду50 / исп.2</x:t>
        </x:is>
      </x:c>
      <x:c r="C53" s="31" t="inlineStr">
        <x:is>
          <x:t xml:space="preserve">Запорная арматура</x:t>
        </x:is>
      </x:c>
      <x:c r="D53" s="31" t="inlineStr">
        <x:is>
          <x:t xml:space="preserve">шт</x:t>
        </x:is>
      </x:c>
      <x:c r="E53" s="31" t="n">
        <x:v>4453</x:v>
      </x:c>
      <x:c r="F53" s="31" t="n">
        <x:v>33</x:v>
      </x:c>
      <x:c r="G53" s="31" t="n">
        <x:v>69</x:v>
      </x:c>
      <x:c r="H53" s="31" t="n">
        <x:v>41</x:v>
      </x:c>
      <x:c r="I53" s="31" t="n">
        <x:v>28</x:v>
      </x:c>
      <x:c r="J53" s="31" t="n">
        <x:v>28</x:v>
      </x:c>
      <x:c r="K53" s="31" t="n">
        <x:v>16</x:v>
      </x:c>
      <x:c r="L53" s="31" t="inlineStr">
        <x:is>
          <x:t xml:space="preserve">Б</x:t>
        </x:is>
      </x:c>
      <x:c r="M53" s="31" t="inlineStr">
        <x:is>
          <x:t xml:space="preserve">ГЗ-ЗАП-7</x:t>
        </x:is>
      </x:c>
      <x:c r="N53" s="31" t="inlineStr">
        <x:is>
          <x:t xml:space="preserve">Ниже минимума</x:t>
        </x:is>
      </x:c>
      <x:c r="O53" s="31" t="inlineStr">
        <x:is>
          <x:t xml:space="preserve">ПОСТ-010</x:t>
        </x:is>
      </x:c>
    </x:row>
    <x:row r="54" ht="18" customHeight="1">
      <x:c r="A54" s="31" t="inlineStr">
        <x:is>
          <x:t xml:space="preserve">МАТ-0053</x:t>
        </x:is>
      </x:c>
      <x:c r="B54" s="31" t="inlineStr">
        <x:is>
          <x:t xml:space="preserve">Кран шаровой Ду50 / исп.3</x:t>
        </x:is>
      </x:c>
      <x:c r="C54" s="31" t="inlineStr">
        <x:is>
          <x:t xml:space="preserve">Запорная арматура</x:t>
        </x:is>
      </x:c>
      <x:c r="D54" s="31" t="inlineStr">
        <x:is>
          <x:t xml:space="preserve">шт</x:t>
        </x:is>
      </x:c>
      <x:c r="E54" s="31" t="n">
        <x:v>12550</x:v>
      </x:c>
      <x:c r="F54" s="31" t="n">
        <x:v>82</x:v>
      </x:c>
      <x:c r="G54" s="31" t="n">
        <x:v>123</x:v>
      </x:c>
      <x:c r="H54" s="31" t="n">
        <x:v>82</x:v>
      </x:c>
      <x:c r="I54" s="31" t="n">
        <x:v>70</x:v>
      </x:c>
      <x:c r="J54" s="31" t="n">
        <x:v>41</x:v>
      </x:c>
      <x:c r="K54" s="31" t="n">
        <x:v>30</x:v>
      </x:c>
      <x:c r="L54" s="31" t="inlineStr">
        <x:is>
          <x:t xml:space="preserve">В</x:t>
        </x:is>
      </x:c>
      <x:c r="M54" s="31" t="inlineStr">
        <x:is>
          <x:t xml:space="preserve">ГЗ-ЗАП-6</x:t>
        </x:is>
      </x:c>
      <x:c r="N54" s="31" t="inlineStr">
        <x:is>
          <x:t xml:space="preserve">Ниже минимума</x:t>
        </x:is>
      </x:c>
      <x:c r="O54" s="31" t="inlineStr">
        <x:is>
          <x:t xml:space="preserve">ПОСТ-015</x:t>
        </x:is>
      </x:c>
    </x:row>
    <x:row r="55" ht="18" customHeight="1">
      <x:c r="A55" s="31" t="inlineStr">
        <x:is>
          <x:t xml:space="preserve">МАТ-0054</x:t>
        </x:is>
      </x:c>
      <x:c r="B55" s="31" t="inlineStr">
        <x:is>
          <x:t xml:space="preserve">Кран шаровой Ду80</x:t>
        </x:is>
      </x:c>
      <x:c r="C55" s="31" t="inlineStr">
        <x:is>
          <x:t xml:space="preserve">Запорная арматура</x:t>
        </x:is>
      </x:c>
      <x:c r="D55" s="31" t="inlineStr">
        <x:is>
          <x:t xml:space="preserve">шт</x:t>
        </x:is>
      </x:c>
      <x:c r="E55" s="31" t="n">
        <x:v>27227</x:v>
      </x:c>
      <x:c r="F55" s="31" t="n">
        <x:v>89</x:v>
      </x:c>
      <x:c r="G55" s="31" t="n">
        <x:v>65</x:v>
      </x:c>
      <x:c r="H55" s="31" t="n">
        <x:v>23</x:v>
      </x:c>
      <x:c r="I55" s="31" t="n">
        <x:v>143</x:v>
      </x:c>
      <x:c r="J55" s="31" t="n">
        <x:v>42</x:v>
      </x:c>
      <x:c r="K55" s="31" t="n">
        <x:v>44</x:v>
      </x:c>
      <x:c r="L55" s="31" t="inlineStr">
        <x:is>
          <x:t xml:space="preserve">Б</x:t>
        </x:is>
      </x:c>
      <x:c r="M55" s="31" t="inlineStr">
        <x:is>
          <x:t xml:space="preserve">ГЗ-ЗАП-5</x:t>
        </x:is>
      </x:c>
      <x:c r="N55" s="31" t="inlineStr">
        <x:is>
          <x:t xml:space="preserve">Ниже минимума</x:t>
        </x:is>
      </x:c>
      <x:c r="O55" s="31" t="inlineStr">
        <x:is>
          <x:t xml:space="preserve">ПОСТ-025</x:t>
        </x:is>
      </x:c>
    </x:row>
    <x:row r="56" ht="18" customHeight="1">
      <x:c r="A56" s="31" t="inlineStr">
        <x:is>
          <x:t xml:space="preserve">МАТ-0055</x:t>
        </x:is>
      </x:c>
      <x:c r="B56" s="31" t="inlineStr">
        <x:is>
          <x:t xml:space="preserve">Клапан обратный Ду50</x:t>
        </x:is>
      </x:c>
      <x:c r="C56" s="31" t="inlineStr">
        <x:is>
          <x:t xml:space="preserve">Запорная арматура</x:t>
        </x:is>
      </x:c>
      <x:c r="D56" s="31" t="inlineStr">
        <x:is>
          <x:t xml:space="preserve">шт</x:t>
        </x:is>
      </x:c>
      <x:c r="E56" s="31" t="n">
        <x:v>22508</x:v>
      </x:c>
      <x:c r="F56" s="31" t="n">
        <x:v>119</x:v>
      </x:c>
      <x:c r="G56" s="31" t="n">
        <x:v>123</x:v>
      </x:c>
      <x:c r="H56" s="31" t="n">
        <x:v>66</x:v>
      </x:c>
      <x:c r="I56" s="31" t="n">
        <x:v>195</x:v>
      </x:c>
      <x:c r="J56" s="31" t="n">
        <x:v>57</x:v>
      </x:c>
      <x:c r="K56" s="31" t="n">
        <x:v>18</x:v>
      </x:c>
      <x:c r="L56" s="31" t="inlineStr">
        <x:is>
          <x:t xml:space="preserve">В</x:t>
        </x:is>
      </x:c>
      <x:c r="M56" s="31" t="inlineStr">
        <x:is>
          <x:t xml:space="preserve">ГЗ-ЗАП-7</x:t>
        </x:is>
      </x:c>
      <x:c r="N56" s="31" t="inlineStr">
        <x:is>
          <x:t xml:space="preserve">Ниже минимума</x:t>
        </x:is>
      </x:c>
      <x:c r="O56" s="31" t="inlineStr">
        <x:is>
          <x:t xml:space="preserve">ПОСТ-015</x:t>
        </x:is>
      </x:c>
    </x:row>
    <x:row r="57" ht="18" customHeight="1">
      <x:c r="A57" s="31" t="inlineStr">
        <x:is>
          <x:t xml:space="preserve">МАТ-0056</x:t>
        </x:is>
      </x:c>
      <x:c r="B57" s="31" t="inlineStr">
        <x:is>
          <x:t xml:space="preserve">Задвижка Ду100</x:t>
        </x:is>
      </x:c>
      <x:c r="C57" s="31" t="inlineStr">
        <x:is>
          <x:t xml:space="preserve">Запорная арматура</x:t>
        </x:is>
      </x:c>
      <x:c r="D57" s="31" t="inlineStr">
        <x:is>
          <x:t xml:space="preserve">шт</x:t>
        </x:is>
      </x:c>
      <x:c r="E57" s="31" t="n">
        <x:v>18201</x:v>
      </x:c>
      <x:c r="F57" s="31" t="n">
        <x:v>9</x:v>
      </x:c>
      <x:c r="G57" s="31" t="n">
        <x:v>8</x:v>
      </x:c>
      <x:c r="H57" s="31" t="n">
        <x:v>4</x:v>
      </x:c>
      <x:c r="I57" s="31" t="n">
        <x:v>18</x:v>
      </x:c>
      <x:c r="J57" s="31" t="n">
        <x:v>4</x:v>
      </x:c>
      <x:c r="K57" s="31" t="n">
        <x:v>15</x:v>
      </x:c>
      <x:c r="L57" s="31" t="inlineStr">
        <x:is>
          <x:t xml:space="preserve">Б</x:t>
        </x:is>
      </x:c>
      <x:c r="M57" s="31" t="inlineStr">
        <x:is>
          <x:t xml:space="preserve">ГЗ-ЗАП-4</x:t>
        </x:is>
      </x:c>
      <x:c r="N57" s="31" t="inlineStr">
        <x:is>
          <x:t xml:space="preserve">Ниже минимума</x:t>
        </x:is>
      </x:c>
      <x:c r="O57" s="31" t="inlineStr">
        <x:is>
          <x:t xml:space="preserve">ПОСТ-025</x:t>
        </x:is>
      </x:c>
    </x:row>
    <x:row r="58" ht="18" customHeight="1">
      <x:c r="A58" s="31" t="inlineStr">
        <x:is>
          <x:t xml:space="preserve">МАТ-0057</x:t>
        </x:is>
      </x:c>
      <x:c r="B58" s="31" t="inlineStr">
        <x:is>
          <x:t xml:space="preserve">Задвижка Ду100 / исп.2</x:t>
        </x:is>
      </x:c>
      <x:c r="C58" s="31" t="inlineStr">
        <x:is>
          <x:t xml:space="preserve">Запорная арматура</x:t>
        </x:is>
      </x:c>
      <x:c r="D58" s="31" t="inlineStr">
        <x:is>
          <x:t xml:space="preserve">шт</x:t>
        </x:is>
      </x:c>
      <x:c r="E58" s="31" t="n">
        <x:v>44297</x:v>
      </x:c>
      <x:c r="F58" s="31" t="n">
        <x:v>65</x:v>
      </x:c>
      <x:c r="G58" s="31" t="n">
        <x:v>108</x:v>
      </x:c>
      <x:c r="H58" s="31" t="n">
        <x:v>71</x:v>
      </x:c>
      <x:c r="I58" s="31" t="n">
        <x:v>46</x:v>
      </x:c>
      <x:c r="J58" s="31" t="n">
        <x:v>37</x:v>
      </x:c>
      <x:c r="K58" s="31" t="n">
        <x:v>24</x:v>
      </x:c>
      <x:c r="L58" s="31" t="inlineStr">
        <x:is>
          <x:t xml:space="preserve">Б</x:t>
        </x:is>
      </x:c>
      <x:c r="M58" s="31" t="inlineStr">
        <x:is>
          <x:t xml:space="preserve">ГЗ-ЗАП-4</x:t>
        </x:is>
      </x:c>
      <x:c r="N58" s="31" t="inlineStr">
        <x:is>
          <x:t xml:space="preserve">Ниже минимума</x:t>
        </x:is>
      </x:c>
      <x:c r="O58" s="31" t="inlineStr">
        <x:is>
          <x:t xml:space="preserve">ПОСТ-010</x:t>
        </x:is>
      </x:c>
    </x:row>
    <x:row r="59" ht="18" customHeight="1">
      <x:c r="A59" s="31" t="inlineStr">
        <x:is>
          <x:t xml:space="preserve">МАТ-0058</x:t>
        </x:is>
      </x:c>
      <x:c r="B59" s="31" t="inlineStr">
        <x:is>
          <x:t xml:space="preserve">Задвижка Ду100 / исп.3</x:t>
        </x:is>
      </x:c>
      <x:c r="C59" s="31" t="inlineStr">
        <x:is>
          <x:t xml:space="preserve">Запорная арматура</x:t>
        </x:is>
      </x:c>
      <x:c r="D59" s="31" t="inlineStr">
        <x:is>
          <x:t xml:space="preserve">шт</x:t>
        </x:is>
      </x:c>
      <x:c r="E59" s="31" t="n">
        <x:v>25558</x:v>
      </x:c>
      <x:c r="F59" s="31" t="n">
        <x:v>113</x:v>
      </x:c>
      <x:c r="G59" s="31" t="n">
        <x:v>190</x:v>
      </x:c>
      <x:c r="H59" s="31" t="n">
        <x:v>30</x:v>
      </x:c>
      <x:c r="I59" s="31" t="n">
        <x:v>120</x:v>
      </x:c>
      <x:c r="J59" s="31" t="n">
        <x:v>160</x:v>
      </x:c>
      <x:c r="K59" s="31" t="n">
        <x:v>6</x:v>
      </x:c>
      <x:c r="L59" s="31" t="inlineStr">
        <x:is>
          <x:t xml:space="preserve">В</x:t>
        </x:is>
      </x:c>
      <x:c r="M59" s="31" t="inlineStr">
        <x:is>
          <x:t xml:space="preserve">ГЗ-ЗАП-2</x:t>
        </x:is>
      </x:c>
      <x:c r="N59" s="31" t="inlineStr">
        <x:is>
          <x:t xml:space="preserve">Норма</x:t>
        </x:is>
      </x:c>
      <x:c r="O59" s="31" t="inlineStr">
        <x:is>
          <x:t xml:space="preserve">ПОСТ-010</x:t>
        </x:is>
      </x:c>
    </x:row>
    <x:row r="60" ht="18" customHeight="1">
      <x:c r="A60" s="31" t="inlineStr">
        <x:is>
          <x:t xml:space="preserve">МАТ-0059</x:t>
        </x:is>
      </x:c>
      <x:c r="B60" s="31" t="inlineStr">
        <x:is>
          <x:t xml:space="preserve">Фильтр сетчатый Ду50</x:t>
        </x:is>
      </x:c>
      <x:c r="C60" s="31" t="inlineStr">
        <x:is>
          <x:t xml:space="preserve">Запорная арматура</x:t>
        </x:is>
      </x:c>
      <x:c r="D60" s="31" t="inlineStr">
        <x:is>
          <x:t xml:space="preserve">шт</x:t>
        </x:is>
      </x:c>
      <x:c r="E60" s="31" t="n">
        <x:v>4743</x:v>
      </x:c>
      <x:c r="F60" s="31" t="n">
        <x:v>57</x:v>
      </x:c>
      <x:c r="G60" s="31" t="n">
        <x:v>158</x:v>
      </x:c>
      <x:c r="H60" s="31" t="n">
        <x:v>58</x:v>
      </x:c>
      <x:c r="I60" s="31" t="n">
        <x:v>18</x:v>
      </x:c>
      <x:c r="J60" s="31" t="n">
        <x:v>100</x:v>
      </x:c>
      <x:c r="K60" s="31" t="n">
        <x:v>23</x:v>
      </x:c>
      <x:c r="L60" s="31" t="inlineStr">
        <x:is>
          <x:t xml:space="preserve">В</x:t>
        </x:is>
      </x:c>
      <x:c r="M60" s="31" t="inlineStr">
        <x:is>
          <x:t xml:space="preserve">ГЗ-ЗАП-3</x:t>
        </x:is>
      </x:c>
      <x:c r="N60" s="31" t="inlineStr">
        <x:is>
          <x:t xml:space="preserve">Норма</x:t>
        </x:is>
      </x:c>
      <x:c r="O60" s="31" t="inlineStr">
        <x:is>
          <x:t xml:space="preserve">ПОСТ-010</x:t>
        </x:is>
      </x:c>
    </x:row>
    <x:row r="61" ht="18" customHeight="1">
      <x:c r="A61" s="31" t="inlineStr">
        <x:is>
          <x:t xml:space="preserve">МАТ-0060</x:t>
        </x:is>
      </x:c>
      <x:c r="B61" s="31" t="inlineStr">
        <x:is>
          <x:t xml:space="preserve">Фильтр сетчатый Ду50 / исп.2</x:t>
        </x:is>
      </x:c>
      <x:c r="C61" s="31" t="inlineStr">
        <x:is>
          <x:t xml:space="preserve">Запорная арматура</x:t>
        </x:is>
      </x:c>
      <x:c r="D61" s="31" t="inlineStr">
        <x:is>
          <x:t xml:space="preserve">шт</x:t>
        </x:is>
      </x:c>
      <x:c r="E61" s="31" t="n">
        <x:v>42782</x:v>
      </x:c>
      <x:c r="F61" s="31" t="n">
        <x:v>31</x:v>
      </x:c>
      <x:c r="G61" s="31" t="n">
        <x:v>36</x:v>
      </x:c>
      <x:c r="H61" s="31" t="n">
        <x:v>24</x:v>
      </x:c>
      <x:c r="I61" s="31" t="n">
        <x:v>49</x:v>
      </x:c>
      <x:c r="J61" s="31" t="n">
        <x:v>12</x:v>
      </x:c>
      <x:c r="K61" s="31" t="n">
        <x:v>13</x:v>
      </x:c>
      <x:c r="L61" s="31" t="inlineStr">
        <x:is>
          <x:t xml:space="preserve">Б</x:t>
        </x:is>
      </x:c>
      <x:c r="M61" s="31" t="inlineStr">
        <x:is>
          <x:t xml:space="preserve">ГЗ-ЗАП-3</x:t>
        </x:is>
      </x:c>
      <x:c r="N61" s="31" t="inlineStr">
        <x:is>
          <x:t xml:space="preserve">Дефицит</x:t>
        </x:is>
      </x:c>
      <x:c r="O61" s="31" t="inlineStr">
        <x:is>
          <x:t xml:space="preserve">ПОСТ-010</x:t>
        </x:is>
      </x:c>
    </x:row>
    <x:row r="62" ht="18" customHeight="1">
      <x:c r="A62" s="31" t="inlineStr">
        <x:is>
          <x:t xml:space="preserve">МАТ-0061</x:t>
        </x:is>
      </x:c>
      <x:c r="B62" s="31" t="inlineStr">
        <x:is>
          <x:t xml:space="preserve">Фильтр сетчатый Ду50 / исп.3</x:t>
        </x:is>
      </x:c>
      <x:c r="C62" s="31" t="inlineStr">
        <x:is>
          <x:t xml:space="preserve">Запорная арматура</x:t>
        </x:is>
      </x:c>
      <x:c r="D62" s="31" t="inlineStr">
        <x:is>
          <x:t xml:space="preserve">шт</x:t>
        </x:is>
      </x:c>
      <x:c r="E62" s="31" t="n">
        <x:v>27636</x:v>
      </x:c>
      <x:c r="F62" s="31" t="n">
        <x:v>9</x:v>
      </x:c>
      <x:c r="G62" s="31" t="n">
        <x:v>1</x:v>
      </x:c>
      <x:c r="H62" s="31" t="n">
        <x:v>0</x:v>
      </x:c>
      <x:c r="I62" s="31" t="n">
        <x:v>10</x:v>
      </x:c>
      <x:c r="J62" s="31" t="n">
        <x:v>1</x:v>
      </x:c>
      <x:c r="K62" s="31" t="n">
        <x:v>36</x:v>
      </x:c>
      <x:c r="L62" s="31" t="inlineStr">
        <x:is>
          <x:t xml:space="preserve">А</x:t>
        </x:is>
      </x:c>
      <x:c r="M62" s="31" t="inlineStr">
        <x:is>
          <x:t xml:space="preserve">ГЗ-ЗАП-1</x:t>
        </x:is>
      </x:c>
      <x:c r="N62" s="31" t="inlineStr">
        <x:is>
          <x:t xml:space="preserve">Дефицит</x:t>
        </x:is>
      </x:c>
      <x:c r="O62" s="31" t="inlineStr">
        <x:is>
          <x:t xml:space="preserve">ПОСТ-025</x:t>
        </x:is>
      </x:c>
    </x:row>
    <x:row r="63" ht="18" customHeight="1">
      <x:c r="A63" s="31" t="inlineStr">
        <x:is>
          <x:t xml:space="preserve">МАТ-0062</x:t>
        </x:is>
      </x:c>
      <x:c r="B63" s="31" t="inlineStr">
        <x:is>
          <x:t xml:space="preserve">Кабель КВВГ 4×1.5</x:t>
        </x:is>
      </x:c>
      <x:c r="C63" s="31" t="inlineStr">
        <x:is>
          <x:t xml:space="preserve">Кабель</x:t>
        </x:is>
      </x:c>
      <x:c r="D63" s="31" t="inlineStr">
        <x:is>
          <x:t xml:space="preserve">м</x:t>
        </x:is>
      </x:c>
      <x:c r="E63" s="31" t="n">
        <x:v>346</x:v>
      </x:c>
      <x:c r="F63" s="31" t="n">
        <x:v>110</x:v>
      </x:c>
      <x:c r="G63" s="31" t="n">
        <x:v>116</x:v>
      </x:c>
      <x:c r="H63" s="31" t="n">
        <x:v>5</x:v>
      </x:c>
      <x:c r="I63" s="31" t="n">
        <x:v>76</x:v>
      </x:c>
      <x:c r="J63" s="31" t="n">
        <x:v>111</x:v>
      </x:c>
      <x:c r="K63" s="31" t="n">
        <x:v>21</x:v>
      </x:c>
      <x:c r="L63" s="31" t="inlineStr">
        <x:is>
          <x:t xml:space="preserve">Б</x:t>
        </x:is>
      </x:c>
      <x:c r="M63" s="31" t="inlineStr">
        <x:is>
          <x:t xml:space="preserve">ГЗ-КАБ-9</x:t>
        </x:is>
      </x:c>
      <x:c r="N63" s="31" t="inlineStr">
        <x:is>
          <x:t xml:space="preserve">Норма</x:t>
        </x:is>
      </x:c>
      <x:c r="O63" s="31" t="inlineStr">
        <x:is>
          <x:t xml:space="preserve">ПОСТ-023</x:t>
        </x:is>
      </x:c>
    </x:row>
    <x:row r="64" ht="18" customHeight="1">
      <x:c r="A64" s="31" t="inlineStr">
        <x:is>
          <x:t xml:space="preserve">МАТ-0063</x:t>
        </x:is>
      </x:c>
      <x:c r="B64" s="31" t="inlineStr">
        <x:is>
          <x:t xml:space="preserve">Кабель ВВГнг 3×2.5</x:t>
        </x:is>
      </x:c>
      <x:c r="C64" s="31" t="inlineStr">
        <x:is>
          <x:t xml:space="preserve">Кабель</x:t>
        </x:is>
      </x:c>
      <x:c r="D64" s="31" t="inlineStr">
        <x:is>
          <x:t xml:space="preserve">шт</x:t>
        </x:is>
      </x:c>
      <x:c r="E64" s="31" t="n">
        <x:v>129</x:v>
      </x:c>
      <x:c r="F64" s="31" t="n">
        <x:v>33</x:v>
      </x:c>
      <x:c r="G64" s="31" t="n">
        <x:v>41</x:v>
      </x:c>
      <x:c r="H64" s="31" t="n">
        <x:v>23</x:v>
      </x:c>
      <x:c r="I64" s="31" t="n">
        <x:v>2</x:v>
      </x:c>
      <x:c r="J64" s="31" t="n">
        <x:v>18</x:v>
      </x:c>
      <x:c r="K64" s="31" t="n">
        <x:v>40</x:v>
      </x:c>
      <x:c r="L64" s="31" t="inlineStr">
        <x:is>
          <x:t xml:space="preserve">Б</x:t>
        </x:is>
      </x:c>
      <x:c r="M64" s="31" t="inlineStr">
        <x:is>
          <x:t xml:space="preserve">ГЗ-КАБ-2</x:t>
        </x:is>
      </x:c>
      <x:c r="N64" s="31" t="inlineStr">
        <x:is>
          <x:t xml:space="preserve">Ниже минимума</x:t>
        </x:is>
      </x:c>
      <x:c r="O64" s="31" t="inlineStr">
        <x:is>
          <x:t xml:space="preserve">ПОСТ-004</x:t>
        </x:is>
      </x:c>
    </x:row>
    <x:row r="65" ht="18" customHeight="1">
      <x:c r="A65" s="31" t="inlineStr">
        <x:is>
          <x:t xml:space="preserve">МАТ-0064</x:t>
        </x:is>
      </x:c>
      <x:c r="B65" s="31" t="inlineStr">
        <x:is>
          <x:t xml:space="preserve">Кабель ВВГнг 3×2.5 / исп.2</x:t>
        </x:is>
      </x:c>
      <x:c r="C65" s="31" t="inlineStr">
        <x:is>
          <x:t xml:space="preserve">Кабель</x:t>
        </x:is>
      </x:c>
      <x:c r="D65" s="31" t="inlineStr">
        <x:is>
          <x:t xml:space="preserve">шт</x:t>
        </x:is>
      </x:c>
      <x:c r="E65" s="31" t="n">
        <x:v>383</x:v>
      </x:c>
      <x:c r="F65" s="31" t="n">
        <x:v>7</x:v>
      </x:c>
      <x:c r="G65" s="31" t="n">
        <x:v>6</x:v>
      </x:c>
      <x:c r="H65" s="31" t="n">
        <x:v>0</x:v>
      </x:c>
      <x:c r="I65" s="31" t="n">
        <x:v>11</x:v>
      </x:c>
      <x:c r="J65" s="31" t="n">
        <x:v>6</x:v>
      </x:c>
      <x:c r="K65" s="31" t="n">
        <x:v>10</x:v>
      </x:c>
      <x:c r="L65" s="31" t="inlineStr">
        <x:is>
          <x:t xml:space="preserve">Б</x:t>
        </x:is>
      </x:c>
      <x:c r="M65" s="31" t="inlineStr">
        <x:is>
          <x:t xml:space="preserve">ГЗ-КАБ-7</x:t>
        </x:is>
      </x:c>
      <x:c r="N65" s="31" t="inlineStr">
        <x:is>
          <x:t xml:space="preserve">Ниже минимума</x:t>
        </x:is>
      </x:c>
      <x:c r="O65" s="31" t="inlineStr">
        <x:is>
          <x:t xml:space="preserve">ПОСТ-023</x:t>
        </x:is>
      </x:c>
    </x:row>
    <x:row r="66" ht="18" customHeight="1">
      <x:c r="A66" s="31" t="inlineStr">
        <x:is>
          <x:t xml:space="preserve">МАТ-0065</x:t>
        </x:is>
      </x:c>
      <x:c r="B66" s="31" t="inlineStr">
        <x:is>
          <x:t xml:space="preserve">Гофра металлическая</x:t>
        </x:is>
      </x:c>
      <x:c r="C66" s="31" t="inlineStr">
        <x:is>
          <x:t xml:space="preserve">Кабель</x:t>
        </x:is>
      </x:c>
      <x:c r="D66" s="31" t="inlineStr">
        <x:is>
          <x:t xml:space="preserve">шт</x:t>
        </x:is>
      </x:c>
      <x:c r="E66" s="31" t="n">
        <x:v>199</x:v>
      </x:c>
      <x:c r="F66" s="31" t="n">
        <x:v>89</x:v>
      </x:c>
      <x:c r="G66" s="31" t="n">
        <x:v>29</x:v>
      </x:c>
      <x:c r="H66" s="31" t="n">
        <x:v>4</x:v>
      </x:c>
      <x:c r="I66" s="31" t="n">
        <x:v>107</x:v>
      </x:c>
      <x:c r="J66" s="31" t="n">
        <x:v>25</x:v>
      </x:c>
      <x:c r="K66" s="31" t="n">
        <x:v>9</x:v>
      </x:c>
      <x:c r="L66" s="31" t="inlineStr">
        <x:is>
          <x:t xml:space="preserve">Б</x:t>
        </x:is>
      </x:c>
      <x:c r="M66" s="31" t="inlineStr">
        <x:is>
          <x:t xml:space="preserve">ГЗ-КАБ-2</x:t>
        </x:is>
      </x:c>
      <x:c r="N66" s="31" t="inlineStr">
        <x:is>
          <x:t xml:space="preserve">Дефицит</x:t>
        </x:is>
      </x:c>
      <x:c r="O66" s="31" t="inlineStr">
        <x:is>
          <x:t xml:space="preserve">ПОСТ-004</x:t>
        </x:is>
      </x:c>
    </x:row>
    <x:row r="67" ht="18" customHeight="1">
      <x:c r="A67" s="31" t="inlineStr">
        <x:is>
          <x:t xml:space="preserve">МАТ-0066</x:t>
        </x:is>
      </x:c>
      <x:c r="B67" s="31" t="inlineStr">
        <x:is>
          <x:t xml:space="preserve">Гофра металлическая / исп.2</x:t>
        </x:is>
      </x:c>
      <x:c r="C67" s="31" t="inlineStr">
        <x:is>
          <x:t xml:space="preserve">Кабель</x:t>
        </x:is>
      </x:c>
      <x:c r="D67" s="31" t="inlineStr">
        <x:is>
          <x:t xml:space="preserve">кг</x:t>
        </x:is>
      </x:c>
      <x:c r="E67" s="31" t="n">
        <x:v>148</x:v>
      </x:c>
      <x:c r="F67" s="31" t="n">
        <x:v>25</x:v>
      </x:c>
      <x:c r="G67" s="31" t="n">
        <x:v>29</x:v>
      </x:c>
      <x:c r="H67" s="31" t="n">
        <x:v>1</x:v>
      </x:c>
      <x:c r="I67" s="31" t="n">
        <x:v>35</x:v>
      </x:c>
      <x:c r="J67" s="31" t="n">
        <x:v>28</x:v>
      </x:c>
      <x:c r="K67" s="31" t="n">
        <x:v>34</x:v>
      </x:c>
      <x:c r="L67" s="31" t="inlineStr">
        <x:is>
          <x:t xml:space="preserve">В</x:t>
        </x:is>
      </x:c>
      <x:c r="M67" s="31" t="inlineStr">
        <x:is>
          <x:t xml:space="preserve">ГЗ-КАБ-8</x:t>
        </x:is>
      </x:c>
      <x:c r="N67" s="31" t="inlineStr">
        <x:is>
          <x:t xml:space="preserve">Норма</x:t>
        </x:is>
      </x:c>
      <x:c r="O67" s="31" t="inlineStr">
        <x:is>
          <x:t xml:space="preserve">ПОСТ-013</x:t>
        </x:is>
      </x:c>
    </x:row>
    <x:row r="68" ht="18" customHeight="1">
      <x:c r="A68" s="31" t="inlineStr">
        <x:is>
          <x:t xml:space="preserve">МАТ-0067</x:t>
        </x:is>
      </x:c>
      <x:c r="B68" s="31" t="inlineStr">
        <x:is>
          <x:t xml:space="preserve">Кабельный ввод М20</x:t>
        </x:is>
      </x:c>
      <x:c r="C68" s="31" t="inlineStr">
        <x:is>
          <x:t xml:space="preserve">Кабель</x:t>
        </x:is>
      </x:c>
      <x:c r="D68" s="31" t="inlineStr">
        <x:is>
          <x:t xml:space="preserve">кг</x:t>
        </x:is>
      </x:c>
      <x:c r="E68" s="31" t="n">
        <x:v>121</x:v>
      </x:c>
      <x:c r="F68" s="31" t="n">
        <x:v>97</x:v>
      </x:c>
      <x:c r="G68" s="31" t="n">
        <x:v>101</x:v>
      </x:c>
      <x:c r="H68" s="31" t="n">
        <x:v>29</x:v>
      </x:c>
      <x:c r="I68" s="31" t="n">
        <x:v>116</x:v>
      </x:c>
      <x:c r="J68" s="31" t="n">
        <x:v>72</x:v>
      </x:c>
      <x:c r="K68" s="31" t="n">
        <x:v>21</x:v>
      </x:c>
      <x:c r="L68" s="31" t="inlineStr">
        <x:is>
          <x:t xml:space="preserve">Б</x:t>
        </x:is>
      </x:c>
      <x:c r="M68" s="31" t="inlineStr">
        <x:is>
          <x:t xml:space="preserve">ГЗ-КАБ-1</x:t>
        </x:is>
      </x:c>
      <x:c r="N68" s="31" t="inlineStr">
        <x:is>
          <x:t xml:space="preserve">Ниже минимума</x:t>
        </x:is>
      </x:c>
      <x:c r="O68" s="31" t="inlineStr">
        <x:is>
          <x:t xml:space="preserve">ПОСТ-013</x:t>
        </x:is>
      </x:c>
    </x:row>
    <x:row r="69" ht="18" customHeight="1">
      <x:c r="A69" s="31" t="inlineStr">
        <x:is>
          <x:t xml:space="preserve">МАТ-0068</x:t>
        </x:is>
      </x:c>
      <x:c r="B69" s="31" t="inlineStr">
        <x:is>
          <x:t xml:space="preserve">Грунт эпоксидный</x:t>
        </x:is>
      </x:c>
      <x:c r="C69" s="31" t="inlineStr">
        <x:is>
          <x:t xml:space="preserve">Покраска</x:t>
        </x:is>
      </x:c>
      <x:c r="D69" s="31" t="inlineStr">
        <x:is>
          <x:t xml:space="preserve">л</x:t>
        </x:is>
      </x:c>
      <x:c r="E69" s="31" t="n">
        <x:v>896</x:v>
      </x:c>
      <x:c r="F69" s="31" t="n">
        <x:v>114</x:v>
      </x:c>
      <x:c r="G69" s="31" t="n">
        <x:v>0</x:v>
      </x:c>
      <x:c r="H69" s="31" t="n">
        <x:v>0</x:v>
      </x:c>
      <x:c r="I69" s="31" t="n">
        <x:v>169</x:v>
      </x:c>
      <x:c r="J69" s="31" t="n">
        <x:v>0</x:v>
      </x:c>
      <x:c r="K69" s="31" t="n">
        <x:v>44</x:v>
      </x:c>
      <x:c r="L69" s="31" t="inlineStr">
        <x:is>
          <x:t xml:space="preserve">А</x:t>
        </x:is>
      </x:c>
      <x:c r="M69" s="31" t="inlineStr">
        <x:is>
          <x:t xml:space="preserve">ГЗ-ПОК-6</x:t>
        </x:is>
      </x:c>
      <x:c r="N69" s="31" t="inlineStr">
        <x:is>
          <x:t xml:space="preserve">Дефицит</x:t>
        </x:is>
      </x:c>
      <x:c r="O69" s="31" t="inlineStr">
        <x:is>
          <x:t xml:space="preserve">ПОСТ-029</x:t>
        </x:is>
      </x:c>
    </x:row>
    <x:row r="70" ht="18" customHeight="1">
      <x:c r="A70" s="31" t="inlineStr">
        <x:is>
          <x:t xml:space="preserve">МАТ-0069</x:t>
        </x:is>
      </x:c>
      <x:c r="B70" s="31" t="inlineStr">
        <x:is>
          <x:t xml:space="preserve">Эмаль полиуретановая</x:t>
        </x:is>
      </x:c>
      <x:c r="C70" s="31" t="inlineStr">
        <x:is>
          <x:t xml:space="preserve">Покраска</x:t>
        </x:is>
      </x:c>
      <x:c r="D70" s="31" t="inlineStr">
        <x:is>
          <x:t xml:space="preserve">л</x:t>
        </x:is>
      </x:c>
      <x:c r="E70" s="31" t="n">
        <x:v>529</x:v>
      </x:c>
      <x:c r="F70" s="31" t="n">
        <x:v>111</x:v>
      </x:c>
      <x:c r="G70" s="31" t="n">
        <x:v>30</x:v>
      </x:c>
      <x:c r="H70" s="31" t="n">
        <x:v>13</x:v>
      </x:c>
      <x:c r="I70" s="31" t="n">
        <x:v>166</x:v>
      </x:c>
      <x:c r="J70" s="31" t="n">
        <x:v>17</x:v>
      </x:c>
      <x:c r="K70" s="31" t="n">
        <x:v>13</x:v>
      </x:c>
      <x:c r="L70" s="31" t="inlineStr">
        <x:is>
          <x:t xml:space="preserve">А</x:t>
        </x:is>
      </x:c>
      <x:c r="M70" s="31" t="inlineStr">
        <x:is>
          <x:t xml:space="preserve">ГЗ-ПОК-1</x:t>
        </x:is>
      </x:c>
      <x:c r="N70" s="31" t="inlineStr">
        <x:is>
          <x:t xml:space="preserve">Дефицит</x:t>
        </x:is>
      </x:c>
      <x:c r="O70" s="31" t="inlineStr">
        <x:is>
          <x:t xml:space="preserve">ПОСТ-007</x:t>
        </x:is>
      </x:c>
    </x:row>
    <x:row r="71" ht="18" customHeight="1">
      <x:c r="A71" s="31" t="inlineStr">
        <x:is>
          <x:t xml:space="preserve">МАТ-0070</x:t>
        </x:is>
      </x:c>
      <x:c r="B71" s="31" t="inlineStr">
        <x:is>
          <x:t xml:space="preserve">Эмаль полиуретановая / исп.2</x:t>
        </x:is>
      </x:c>
      <x:c r="C71" s="31" t="inlineStr">
        <x:is>
          <x:t xml:space="preserve">Покраска</x:t>
        </x:is>
      </x:c>
      <x:c r="D71" s="31" t="inlineStr">
        <x:is>
          <x:t xml:space="preserve">кг</x:t>
        </x:is>
      </x:c>
      <x:c r="E71" s="31" t="n">
        <x:v>305</x:v>
      </x:c>
      <x:c r="F71" s="31" t="n">
        <x:v>104</x:v>
      </x:c>
      <x:c r="G71" s="31" t="n">
        <x:v>228</x:v>
      </x:c>
      <x:c r="H71" s="31" t="n">
        <x:v>91</x:v>
      </x:c>
      <x:c r="I71" s="31" t="n">
        <x:v>156</x:v>
      </x:c>
      <x:c r="J71" s="31" t="n">
        <x:v>137</x:v>
      </x:c>
      <x:c r="K71" s="31" t="n">
        <x:v>4</x:v>
      </x:c>
      <x:c r="L71" s="31" t="inlineStr">
        <x:is>
          <x:t xml:space="preserve">В</x:t>
        </x:is>
      </x:c>
      <x:c r="M71" s="31" t="inlineStr">
        <x:is>
          <x:t xml:space="preserve">ГЗ-ПОК-3</x:t>
        </x:is>
      </x:c>
      <x:c r="N71" s="31" t="inlineStr">
        <x:is>
          <x:t xml:space="preserve">Норма</x:t>
        </x:is>
      </x:c>
      <x:c r="O71" s="31" t="inlineStr">
        <x:is>
          <x:t xml:space="preserve">ПОСТ-029</x:t>
        </x:is>
      </x:c>
    </x:row>
    <x:row r="72" ht="18" customHeight="1">
      <x:c r="A72" s="31" t="inlineStr">
        <x:is>
          <x:t xml:space="preserve">МАТ-0071</x:t>
        </x:is>
      </x:c>
      <x:c r="B72" s="31" t="inlineStr">
        <x:is>
          <x:t xml:space="preserve">Эмаль полиуретановая / исп.3</x:t>
        </x:is>
      </x:c>
      <x:c r="C72" s="31" t="inlineStr">
        <x:is>
          <x:t xml:space="preserve">Покраска</x:t>
        </x:is>
      </x:c>
      <x:c r="D72" s="31" t="inlineStr">
        <x:is>
          <x:t xml:space="preserve">кг</x:t>
        </x:is>
      </x:c>
      <x:c r="E72" s="31" t="n">
        <x:v>132</x:v>
      </x:c>
      <x:c r="F72" s="31" t="n">
        <x:v>103</x:v>
      </x:c>
      <x:c r="G72" s="31" t="n">
        <x:v>129</x:v>
      </x:c>
      <x:c r="H72" s="31" t="n">
        <x:v>28</x:v>
      </x:c>
      <x:c r="I72" s="31" t="n">
        <x:v>171</x:v>
      </x:c>
      <x:c r="J72" s="31" t="n">
        <x:v>101</x:v>
      </x:c>
      <x:c r="K72" s="31" t="n">
        <x:v>24</x:v>
      </x:c>
      <x:c r="L72" s="31" t="inlineStr">
        <x:is>
          <x:t xml:space="preserve">Б</x:t>
        </x:is>
      </x:c>
      <x:c r="M72" s="31" t="inlineStr">
        <x:is>
          <x:t xml:space="preserve">ГЗ-ПОК-2</x:t>
        </x:is>
      </x:c>
      <x:c r="N72" s="31" t="inlineStr">
        <x:is>
          <x:t xml:space="preserve">Ниже минимума</x:t>
        </x:is>
      </x:c>
      <x:c r="O72" s="31" t="inlineStr">
        <x:is>
          <x:t xml:space="preserve">ПОСТ-007</x:t>
        </x:is>
      </x:c>
    </x:row>
    <x:row r="73" ht="18" customHeight="1">
      <x:c r="A73" s="31" t="inlineStr">
        <x:is>
          <x:t xml:space="preserve">МАТ-0072</x:t>
        </x:is>
      </x:c>
      <x:c r="B73" s="31" t="inlineStr">
        <x:is>
          <x:t xml:space="preserve">Растворитель</x:t>
        </x:is>
      </x:c>
      <x:c r="C73" s="31" t="inlineStr">
        <x:is>
          <x:t xml:space="preserve">Покраска</x:t>
        </x:is>
      </x:c>
      <x:c r="D73" s="31" t="inlineStr">
        <x:is>
          <x:t xml:space="preserve">л</x:t>
        </x:is>
      </x:c>
      <x:c r="E73" s="31" t="n">
        <x:v>131</x:v>
      </x:c>
      <x:c r="F73" s="31" t="n">
        <x:v>25</x:v>
      </x:c>
      <x:c r="G73" s="31" t="n">
        <x:v>4</x:v>
      </x:c>
      <x:c r="H73" s="31" t="n">
        <x:v>2</x:v>
      </x:c>
      <x:c r="I73" s="31" t="n">
        <x:v>30</x:v>
      </x:c>
      <x:c r="J73" s="31" t="n">
        <x:v>2</x:v>
      </x:c>
      <x:c r="K73" s="31" t="n">
        <x:v>34</x:v>
      </x:c>
      <x:c r="L73" s="31" t="inlineStr">
        <x:is>
          <x:t xml:space="preserve">В</x:t>
        </x:is>
      </x:c>
      <x:c r="M73" s="31" t="inlineStr">
        <x:is>
          <x:t xml:space="preserve">ГЗ-ПОК-2</x:t>
        </x:is>
      </x:c>
      <x:c r="N73" s="31" t="inlineStr">
        <x:is>
          <x:t xml:space="preserve">Дефицит</x:t>
        </x:is>
      </x:c>
      <x:c r="O73" s="31" t="inlineStr">
        <x:is>
          <x:t xml:space="preserve">ПОСТ-029</x:t>
        </x:is>
      </x:c>
    </x:row>
    <x:row r="74" ht="18" customHeight="1">
      <x:c r="A74" s="31" t="inlineStr">
        <x:is>
          <x:t xml:space="preserve">МАТ-0073</x:t>
        </x:is>
      </x:c>
      <x:c r="B74" s="31" t="inlineStr">
        <x:is>
          <x:t xml:space="preserve">Растворитель / исп.2</x:t>
        </x:is>
      </x:c>
      <x:c r="C74" s="31" t="inlineStr">
        <x:is>
          <x:t xml:space="preserve">Покраска</x:t>
        </x:is>
      </x:c>
      <x:c r="D74" s="31" t="inlineStr">
        <x:is>
          <x:t xml:space="preserve">л</x:t>
        </x:is>
      </x:c>
      <x:c r="E74" s="31" t="n">
        <x:v>778</x:v>
      </x:c>
      <x:c r="F74" s="31" t="n">
        <x:v>109</x:v>
      </x:c>
      <x:c r="G74" s="31" t="n">
        <x:v>149</x:v>
      </x:c>
      <x:c r="H74" s="31" t="n">
        <x:v>102</x:v>
      </x:c>
      <x:c r="I74" s="31" t="n">
        <x:v>146</x:v>
      </x:c>
      <x:c r="J74" s="31" t="n">
        <x:v>47</x:v>
      </x:c>
      <x:c r="K74" s="31" t="n">
        <x:v>31</x:v>
      </x:c>
      <x:c r="L74" s="31" t="inlineStr">
        <x:is>
          <x:t xml:space="preserve">А</x:t>
        </x:is>
      </x:c>
      <x:c r="M74" s="31" t="inlineStr">
        <x:is>
          <x:t xml:space="preserve">ГЗ-ПОК-8</x:t>
        </x:is>
      </x:c>
      <x:c r="N74" s="31" t="inlineStr">
        <x:is>
          <x:t xml:space="preserve">Ниже минимума</x:t>
        </x:is>
      </x:c>
      <x:c r="O74" s="31" t="inlineStr">
        <x:is>
          <x:t xml:space="preserve">ПОСТ-029</x:t>
        </x:is>
      </x:c>
    </x:row>
    <x:row r="75" ht="18" customHeight="1">
      <x:c r="A75" s="31" t="inlineStr">
        <x:is>
          <x:t xml:space="preserve">МАТ-0074</x:t>
        </x:is>
      </x:c>
      <x:c r="B75" s="31" t="inlineStr">
        <x:is>
          <x:t xml:space="preserve">Абразив для пескоструя</x:t>
        </x:is>
      </x:c>
      <x:c r="C75" s="31" t="inlineStr">
        <x:is>
          <x:t xml:space="preserve">Покраска</x:t>
        </x:is>
      </x:c>
      <x:c r="D75" s="31" t="inlineStr">
        <x:is>
          <x:t xml:space="preserve">шт</x:t>
        </x:is>
      </x:c>
      <x:c r="E75" s="31" t="n">
        <x:v>120</x:v>
      </x:c>
      <x:c r="F75" s="31" t="n">
        <x:v>82</x:v>
      </x:c>
      <x:c r="G75" s="31" t="n">
        <x:v>169</x:v>
      </x:c>
      <x:c r="H75" s="31" t="n">
        <x:v>79</x:v>
      </x:c>
      <x:c r="I75" s="31" t="n">
        <x:v>163</x:v>
      </x:c>
      <x:c r="J75" s="31" t="n">
        <x:v>90</x:v>
      </x:c>
      <x:c r="K75" s="31" t="n">
        <x:v>22</x:v>
      </x:c>
      <x:c r="L75" s="31" t="inlineStr">
        <x:is>
          <x:t xml:space="preserve">В</x:t>
        </x:is>
      </x:c>
      <x:c r="M75" s="31" t="inlineStr">
        <x:is>
          <x:t xml:space="preserve">ГЗ-ПОК-9</x:t>
        </x:is>
      </x:c>
      <x:c r="N75" s="31" t="inlineStr">
        <x:is>
          <x:t xml:space="preserve">Норма</x:t>
        </x:is>
      </x:c>
      <x:c r="O75" s="31" t="inlineStr">
        <x:is>
          <x:t xml:space="preserve">ПОСТ-029</x:t>
        </x:is>
      </x:c>
    </x:row>
    <x:row r="76" ht="18" customHeight="1">
      <x:c r="A76" s="31" t="inlineStr">
        <x:is>
          <x:t xml:space="preserve">МАТ-0075</x:t>
        </x:is>
      </x:c>
      <x:c r="B76" s="31" t="inlineStr">
        <x:is>
          <x:t xml:space="preserve">Болт М12</x:t>
        </x:is>
      </x:c>
      <x:c r="C76" s="31" t="inlineStr">
        <x:is>
          <x:t xml:space="preserve">Крепеж</x:t>
        </x:is>
      </x:c>
      <x:c r="D76" s="31" t="inlineStr">
        <x:is>
          <x:t xml:space="preserve">шт</x:t>
        </x:is>
      </x:c>
      <x:c r="E76" s="31" t="n">
        <x:v>156</x:v>
      </x:c>
      <x:c r="F76" s="31" t="n">
        <x:v>96</x:v>
      </x:c>
      <x:c r="G76" s="31" t="n">
        <x:v>66</x:v>
      </x:c>
      <x:c r="H76" s="31" t="n">
        <x:v>7</x:v>
      </x:c>
      <x:c r="I76" s="31" t="n">
        <x:v>24</x:v>
      </x:c>
      <x:c r="J76" s="31" t="n">
        <x:v>59</x:v>
      </x:c>
      <x:c r="K76" s="31" t="n">
        <x:v>45</x:v>
      </x:c>
      <x:c r="L76" s="31" t="inlineStr">
        <x:is>
          <x:t xml:space="preserve">А</x:t>
        </x:is>
      </x:c>
      <x:c r="M76" s="31" t="inlineStr">
        <x:is>
          <x:t xml:space="preserve">ГЗ-КРЕ-6</x:t>
        </x:is>
      </x:c>
      <x:c r="N76" s="31" t="inlineStr">
        <x:is>
          <x:t xml:space="preserve">Ниже минимума</x:t>
        </x:is>
      </x:c>
      <x:c r="O76" s="31" t="inlineStr">
        <x:is>
          <x:t xml:space="preserve">ПОСТ-024</x:t>
        </x:is>
      </x:c>
    </x:row>
    <x:row r="77" ht="18" customHeight="1">
      <x:c r="A77" s="31" t="inlineStr">
        <x:is>
          <x:t xml:space="preserve">МАТ-0076</x:t>
        </x:is>
      </x:c>
      <x:c r="B77" s="31" t="inlineStr">
        <x:is>
          <x:t xml:space="preserve">Болт М12 / исп.2</x:t>
        </x:is>
      </x:c>
      <x:c r="C77" s="31" t="inlineStr">
        <x:is>
          <x:t xml:space="preserve">Крепеж</x:t>
        </x:is>
      </x:c>
      <x:c r="D77" s="31" t="inlineStr">
        <x:is>
          <x:t xml:space="preserve">шт</x:t>
        </x:is>
      </x:c>
      <x:c r="E77" s="31" t="n">
        <x:v>107</x:v>
      </x:c>
      <x:c r="F77" s="31" t="n">
        <x:v>37</x:v>
      </x:c>
      <x:c r="G77" s="31" t="n">
        <x:v>13</x:v>
      </x:c>
      <x:c r="H77" s="31" t="n">
        <x:v>9</x:v>
      </x:c>
      <x:c r="I77" s="31" t="n">
        <x:v>25</x:v>
      </x:c>
      <x:c r="J77" s="31" t="n">
        <x:v>4</x:v>
      </x:c>
      <x:c r="K77" s="31" t="n">
        <x:v>15</x:v>
      </x:c>
      <x:c r="L77" s="31" t="inlineStr">
        <x:is>
          <x:t xml:space="preserve">А</x:t>
        </x:is>
      </x:c>
      <x:c r="M77" s="31" t="inlineStr">
        <x:is>
          <x:t xml:space="preserve">ГЗ-КРЕ-7</x:t>
        </x:is>
      </x:c>
      <x:c r="N77" s="31" t="inlineStr">
        <x:is>
          <x:t xml:space="preserve">Дефицит</x:t>
        </x:is>
      </x:c>
      <x:c r="O77" s="31" t="inlineStr">
        <x:is>
          <x:t xml:space="preserve">ПОСТ-030</x:t>
        </x:is>
      </x:c>
    </x:row>
    <x:row r="78" ht="18" customHeight="1">
      <x:c r="A78" s="31" t="inlineStr">
        <x:is>
          <x:t xml:space="preserve">МАТ-0077</x:t>
        </x:is>
      </x:c>
      <x:c r="B78" s="31" t="inlineStr">
        <x:is>
          <x:t xml:space="preserve">Болт М16</x:t>
        </x:is>
      </x:c>
      <x:c r="C78" s="31" t="inlineStr">
        <x:is>
          <x:t xml:space="preserve">Крепеж</x:t>
        </x:is>
      </x:c>
      <x:c r="D78" s="31" t="inlineStr">
        <x:is>
          <x:t xml:space="preserve">шт</x:t>
        </x:is>
      </x:c>
      <x:c r="E78" s="31" t="n">
        <x:v>153</x:v>
      </x:c>
      <x:c r="F78" s="31" t="n">
        <x:v>103</x:v>
      </x:c>
      <x:c r="G78" s="31" t="n">
        <x:v>195</x:v>
      </x:c>
      <x:c r="H78" s="31" t="n">
        <x:v>129</x:v>
      </x:c>
      <x:c r="I78" s="31" t="n">
        <x:v>34</x:v>
      </x:c>
      <x:c r="J78" s="31" t="n">
        <x:v>66</x:v>
      </x:c>
      <x:c r="K78" s="31" t="n">
        <x:v>34</x:v>
      </x:c>
      <x:c r="L78" s="31" t="inlineStr">
        <x:is>
          <x:t xml:space="preserve">А</x:t>
        </x:is>
      </x:c>
      <x:c r="M78" s="31" t="inlineStr">
        <x:is>
          <x:t xml:space="preserve">ГЗ-КРЕ-1</x:t>
        </x:is>
      </x:c>
      <x:c r="N78" s="31" t="inlineStr">
        <x:is>
          <x:t xml:space="preserve">Ниже минимума</x:t>
        </x:is>
      </x:c>
      <x:c r="O78" s="31" t="inlineStr">
        <x:is>
          <x:t xml:space="preserve">ПОСТ-030</x:t>
        </x:is>
      </x:c>
    </x:row>
    <x:row r="79" ht="18" customHeight="1">
      <x:c r="A79" s="31" t="inlineStr">
        <x:is>
          <x:t xml:space="preserve">МАТ-0078</x:t>
        </x:is>
      </x:c>
      <x:c r="B79" s="31" t="inlineStr">
        <x:is>
          <x:t xml:space="preserve">Гайка М12</x:t>
        </x:is>
      </x:c>
      <x:c r="C79" s="31" t="inlineStr">
        <x:is>
          <x:t xml:space="preserve">Крепеж</x:t>
        </x:is>
      </x:c>
      <x:c r="D79" s="31" t="inlineStr">
        <x:is>
          <x:t xml:space="preserve">шт</x:t>
        </x:is>
      </x:c>
      <x:c r="E79" s="31" t="n">
        <x:v>35</x:v>
      </x:c>
      <x:c r="F79" s="31" t="n">
        <x:v>54</x:v>
      </x:c>
      <x:c r="G79" s="31" t="n">
        <x:v>43</x:v>
      </x:c>
      <x:c r="H79" s="31" t="n">
        <x:v>21</x:v>
      </x:c>
      <x:c r="I79" s="31" t="n">
        <x:v>76</x:v>
      </x:c>
      <x:c r="J79" s="31" t="n">
        <x:v>22</x:v>
      </x:c>
      <x:c r="K79" s="31" t="n">
        <x:v>41</x:v>
      </x:c>
      <x:c r="L79" s="31" t="inlineStr">
        <x:is>
          <x:t xml:space="preserve">В</x:t>
        </x:is>
      </x:c>
      <x:c r="M79" s="31" t="inlineStr">
        <x:is>
          <x:t xml:space="preserve">ГЗ-КРЕ-9</x:t>
        </x:is>
      </x:c>
      <x:c r="N79" s="31" t="inlineStr">
        <x:is>
          <x:t xml:space="preserve">Ниже минимума</x:t>
        </x:is>
      </x:c>
      <x:c r="O79" s="31" t="inlineStr">
        <x:is>
          <x:t xml:space="preserve">ПОСТ-030</x:t>
        </x:is>
      </x:c>
    </x:row>
    <x:row r="80" ht="18" customHeight="1">
      <x:c r="A80" s="31" t="inlineStr">
        <x:is>
          <x:t xml:space="preserve">МАТ-0079</x:t>
        </x:is>
      </x:c>
      <x:c r="B80" s="31" t="inlineStr">
        <x:is>
          <x:t xml:space="preserve">Гайка М12 / исп.2</x:t>
        </x:is>
      </x:c>
      <x:c r="C80" s="31" t="inlineStr">
        <x:is>
          <x:t xml:space="preserve">Крепеж</x:t>
        </x:is>
      </x:c>
      <x:c r="D80" s="31" t="inlineStr">
        <x:is>
          <x:t xml:space="preserve">шт</x:t>
        </x:is>
      </x:c>
      <x:c r="E80" s="31" t="n">
        <x:v>78</x:v>
      </x:c>
      <x:c r="F80" s="31" t="n">
        <x:v>108</x:v>
      </x:c>
      <x:c r="G80" s="31" t="n">
        <x:v>192</x:v>
      </x:c>
      <x:c r="H80" s="31" t="n">
        <x:v>131</x:v>
      </x:c>
      <x:c r="I80" s="31" t="n">
        <x:v>76</x:v>
      </x:c>
      <x:c r="J80" s="31" t="n">
        <x:v>61</x:v>
      </x:c>
      <x:c r="K80" s="31" t="n">
        <x:v>38</x:v>
      </x:c>
      <x:c r="L80" s="31" t="inlineStr">
        <x:is>
          <x:t xml:space="preserve">В</x:t>
        </x:is>
      </x:c>
      <x:c r="M80" s="31" t="inlineStr">
        <x:is>
          <x:t xml:space="preserve">ГЗ-КРЕ-9</x:t>
        </x:is>
      </x:c>
      <x:c r="N80" s="31" t="inlineStr">
        <x:is>
          <x:t xml:space="preserve">Ниже минимума</x:t>
        </x:is>
      </x:c>
      <x:c r="O80" s="31" t="inlineStr">
        <x:is>
          <x:t xml:space="preserve">ПОСТ-021</x:t>
        </x:is>
      </x:c>
    </x:row>
    <x:row r="81" ht="18" customHeight="1">
      <x:c r="A81" s="31" t="inlineStr">
        <x:is>
          <x:t xml:space="preserve">МАТ-0080</x:t>
        </x:is>
      </x:c>
      <x:c r="B81" s="31" t="inlineStr">
        <x:is>
          <x:t xml:space="preserve">Гайка М12 / исп.3</x:t>
        </x:is>
      </x:c>
      <x:c r="C81" s="31" t="inlineStr">
        <x:is>
          <x:t xml:space="preserve">Крепеж</x:t>
        </x:is>
      </x:c>
      <x:c r="D81" s="31" t="inlineStr">
        <x:is>
          <x:t xml:space="preserve">шт</x:t>
        </x:is>
      </x:c>
      <x:c r="E81" s="31" t="n">
        <x:v>36</x:v>
      </x:c>
      <x:c r="F81" s="31" t="n">
        <x:v>88</x:v>
      </x:c>
      <x:c r="G81" s="31" t="n">
        <x:v>161</x:v>
      </x:c>
      <x:c r="H81" s="31" t="n">
        <x:v>22</x:v>
      </x:c>
      <x:c r="I81" s="31" t="n">
        <x:v>128</x:v>
      </x:c>
      <x:c r="J81" s="31" t="n">
        <x:v>139</x:v>
      </x:c>
      <x:c r="K81" s="31" t="n">
        <x:v>37</x:v>
      </x:c>
      <x:c r="L81" s="31" t="inlineStr">
        <x:is>
          <x:t xml:space="preserve">Б</x:t>
        </x:is>
      </x:c>
      <x:c r="M81" s="31" t="inlineStr">
        <x:is>
          <x:t xml:space="preserve">ГЗ-КРЕ-6</x:t>
        </x:is>
      </x:c>
      <x:c r="N81" s="31" t="inlineStr">
        <x:is>
          <x:t xml:space="preserve">Норма</x:t>
        </x:is>
      </x:c>
      <x:c r="O81" s="31" t="inlineStr">
        <x:is>
          <x:t xml:space="preserve">ПОСТ-003</x:t>
        </x:is>
      </x:c>
    </x:row>
    <x:row r="82" ht="18" customHeight="1">
      <x:c r="A82" s="31" t="inlineStr">
        <x:is>
          <x:t xml:space="preserve">МАТ-0081</x:t>
        </x:is>
      </x:c>
      <x:c r="B82" s="31" t="inlineStr">
        <x:is>
          <x:t xml:space="preserve">Шайба 12</x:t>
        </x:is>
      </x:c>
      <x:c r="C82" s="31" t="inlineStr">
        <x:is>
          <x:t xml:space="preserve">Крепеж</x:t>
        </x:is>
      </x:c>
      <x:c r="D82" s="31" t="inlineStr">
        <x:is>
          <x:t xml:space="preserve">шт</x:t>
        </x:is>
      </x:c>
      <x:c r="E82" s="31" t="n">
        <x:v>139</x:v>
      </x:c>
      <x:c r="F82" s="31" t="n">
        <x:v>117</x:v>
      </x:c>
      <x:c r="G82" s="31" t="n">
        <x:v>237</x:v>
      </x:c>
      <x:c r="H82" s="31" t="n">
        <x:v>133</x:v>
      </x:c>
      <x:c r="I82" s="31" t="n">
        <x:v>27</x:v>
      </x:c>
      <x:c r="J82" s="31" t="n">
        <x:v>104</x:v>
      </x:c>
      <x:c r="K82" s="31" t="n">
        <x:v>4</x:v>
      </x:c>
      <x:c r="L82" s="31" t="inlineStr">
        <x:is>
          <x:t xml:space="preserve">Б</x:t>
        </x:is>
      </x:c>
      <x:c r="M82" s="31" t="inlineStr">
        <x:is>
          <x:t xml:space="preserve">ГЗ-КРЕ-1</x:t>
        </x:is>
      </x:c>
      <x:c r="N82" s="31" t="inlineStr">
        <x:is>
          <x:t xml:space="preserve">Ниже минимума</x:t>
        </x:is>
      </x:c>
      <x:c r="O82" s="31" t="inlineStr">
        <x:is>
          <x:t xml:space="preserve">ПОСТ-003</x:t>
        </x:is>
      </x:c>
    </x:row>
    <x:row r="83" ht="18" customHeight="1">
      <x:c r="A83" s="31" t="inlineStr">
        <x:is>
          <x:t xml:space="preserve">МАТ-0082</x:t>
        </x:is>
      </x:c>
      <x:c r="B83" s="31" t="inlineStr">
        <x:is>
          <x:t xml:space="preserve">Шайба 12 / исп.2</x:t>
        </x:is>
      </x:c>
      <x:c r="C83" s="31" t="inlineStr">
        <x:is>
          <x:t xml:space="preserve">Крепеж</x:t>
        </x:is>
      </x:c>
      <x:c r="D83" s="31" t="inlineStr">
        <x:is>
          <x:t xml:space="preserve">шт</x:t>
        </x:is>
      </x:c>
      <x:c r="E83" s="31" t="n">
        <x:v>40</x:v>
      </x:c>
      <x:c r="F83" s="31" t="n">
        <x:v>12</x:v>
      </x:c>
      <x:c r="G83" s="31" t="n">
        <x:v>3</x:v>
      </x:c>
      <x:c r="H83" s="31" t="n">
        <x:v>2</x:v>
      </x:c>
      <x:c r="I83" s="31" t="n">
        <x:v>9</x:v>
      </x:c>
      <x:c r="J83" s="31" t="n">
        <x:v>1</x:v>
      </x:c>
      <x:c r="K83" s="31" t="n">
        <x:v>16</x:v>
      </x:c>
      <x:c r="L83" s="31" t="inlineStr">
        <x:is>
          <x:t xml:space="preserve">Б</x:t>
        </x:is>
      </x:c>
      <x:c r="M83" s="31" t="inlineStr">
        <x:is>
          <x:t xml:space="preserve">ГЗ-КРЕ-1</x:t>
        </x:is>
      </x:c>
      <x:c r="N83" s="31" t="inlineStr">
        <x:is>
          <x:t xml:space="preserve">Дефицит</x:t>
        </x:is>
      </x:c>
      <x:c r="O83" s="31" t="inlineStr">
        <x:is>
          <x:t xml:space="preserve">ПОСТ-030</x:t>
        </x:is>
      </x:c>
    </x:row>
    <x:row r="84" ht="18" customHeight="1">
      <x:c r="A84" s="31" t="inlineStr">
        <x:is>
          <x:t xml:space="preserve">МАТ-0083</x:t>
        </x:is>
      </x:c>
      <x:c r="B84" s="31" t="inlineStr">
        <x:is>
          <x:t xml:space="preserve">Анкер М16</x:t>
        </x:is>
      </x:c>
      <x:c r="C84" s="31" t="inlineStr">
        <x:is>
          <x:t xml:space="preserve">Крепеж</x:t>
        </x:is>
      </x:c>
      <x:c r="D84" s="31" t="inlineStr">
        <x:is>
          <x:t xml:space="preserve">шт</x:t>
        </x:is>
      </x:c>
      <x:c r="E84" s="31" t="n">
        <x:v>173</x:v>
      </x:c>
      <x:c r="F84" s="31" t="n">
        <x:v>53</x:v>
      </x:c>
      <x:c r="G84" s="31" t="n">
        <x:v>0</x:v>
      </x:c>
      <x:c r="H84" s="31" t="n">
        <x:v>0</x:v>
      </x:c>
      <x:c r="I84" s="31" t="n">
        <x:v>70</x:v>
      </x:c>
      <x:c r="J84" s="31" t="n">
        <x:v>0</x:v>
      </x:c>
      <x:c r="K84" s="31" t="n">
        <x:v>6</x:v>
      </x:c>
      <x:c r="L84" s="31" t="inlineStr">
        <x:is>
          <x:t xml:space="preserve">А</x:t>
        </x:is>
      </x:c>
      <x:c r="M84" s="31" t="inlineStr">
        <x:is>
          <x:t xml:space="preserve">ГЗ-КРЕ-5</x:t>
        </x:is>
      </x:c>
      <x:c r="N84" s="31" t="inlineStr">
        <x:is>
          <x:t xml:space="preserve">Дефицит</x:t>
        </x:is>
      </x:c>
      <x:c r="O84" s="31" t="inlineStr">
        <x:is>
          <x:t xml:space="preserve">ПОСТ-030</x:t>
        </x:is>
      </x:c>
    </x:row>
    <x:row r="85" ht="18" customHeight="1">
      <x:c r="A85" s="31" t="inlineStr">
        <x:is>
          <x:t xml:space="preserve">МАТ-0084</x:t>
        </x:is>
      </x:c>
      <x:c r="B85" s="31" t="inlineStr">
        <x:is>
          <x:t xml:space="preserve">Поддон 1200×800</x:t>
        </x:is>
      </x:c>
      <x:c r="C85" s="31" t="inlineStr">
        <x:is>
          <x:t xml:space="preserve">Упаковка</x:t>
        </x:is>
      </x:c>
      <x:c r="D85" s="31" t="inlineStr">
        <x:is>
          <x:t xml:space="preserve">шт</x:t>
        </x:is>
      </x:c>
      <x:c r="E85" s="31" t="n">
        <x:v>2459</x:v>
      </x:c>
      <x:c r="F85" s="31" t="n">
        <x:v>62</x:v>
      </x:c>
      <x:c r="G85" s="31" t="n">
        <x:v>151</x:v>
      </x:c>
      <x:c r="H85" s="31" t="n">
        <x:v>22</x:v>
      </x:c>
      <x:c r="I85" s="31" t="n">
        <x:v>87</x:v>
      </x:c>
      <x:c r="J85" s="31" t="n">
        <x:v>129</x:v>
      </x:c>
      <x:c r="K85" s="31" t="n">
        <x:v>7</x:v>
      </x:c>
      <x:c r="L85" s="31" t="inlineStr">
        <x:is>
          <x:t xml:space="preserve">А</x:t>
        </x:is>
      </x:c>
      <x:c r="M85" s="31" t="inlineStr">
        <x:is>
          <x:t xml:space="preserve">ГЗ-УПА-3</x:t>
        </x:is>
      </x:c>
      <x:c r="N85" s="31" t="inlineStr">
        <x:is>
          <x:t xml:space="preserve">Норма</x:t>
        </x:is>
      </x:c>
      <x:c r="O85" s="31" t="inlineStr">
        <x:is>
          <x:t xml:space="preserve">ПОСТ-024</x:t>
        </x:is>
      </x:c>
    </x:row>
    <x:row r="86" ht="18" customHeight="1">
      <x:c r="A86" s="31" t="inlineStr">
        <x:is>
          <x:t xml:space="preserve">МАТ-0085</x:t>
        </x:is>
      </x:c>
      <x:c r="B86" s="31" t="inlineStr">
        <x:is>
          <x:t xml:space="preserve">Пленка стрейч</x:t>
        </x:is>
      </x:c>
      <x:c r="C86" s="31" t="inlineStr">
        <x:is>
          <x:t xml:space="preserve">Упаковка</x:t>
        </x:is>
      </x:c>
      <x:c r="D86" s="31" t="inlineStr">
        <x:is>
          <x:t xml:space="preserve">шт</x:t>
        </x:is>
      </x:c>
      <x:c r="E86" s="31" t="n">
        <x:v>96</x:v>
      </x:c>
      <x:c r="F86" s="31" t="n">
        <x:v>47</x:v>
      </x:c>
      <x:c r="G86" s="31" t="n">
        <x:v>0</x:v>
      </x:c>
      <x:c r="H86" s="31" t="n">
        <x:v>0</x:v>
      </x:c>
      <x:c r="I86" s="31" t="n">
        <x:v>19</x:v>
      </x:c>
      <x:c r="J86" s="31" t="n">
        <x:v>0</x:v>
      </x:c>
      <x:c r="K86" s="31" t="n">
        <x:v>23</x:v>
      </x:c>
      <x:c r="L86" s="31" t="inlineStr">
        <x:is>
          <x:t xml:space="preserve">Б</x:t>
        </x:is>
      </x:c>
      <x:c r="M86" s="31" t="inlineStr">
        <x:is>
          <x:t xml:space="preserve">ГЗ-УПА-5</x:t>
        </x:is>
      </x:c>
      <x:c r="N86" s="31" t="inlineStr">
        <x:is>
          <x:t xml:space="preserve">Дефицит</x:t>
        </x:is>
      </x:c>
      <x:c r="O86" s="31" t="inlineStr">
        <x:is>
          <x:t xml:space="preserve">ПОСТ-016</x:t>
        </x:is>
      </x:c>
    </x:row>
    <x:row r="87" ht="18" customHeight="1">
      <x:c r="A87" s="31" t="inlineStr">
        <x:is>
          <x:t xml:space="preserve">МАТ-0086</x:t>
        </x:is>
      </x:c>
      <x:c r="B87" s="31" t="inlineStr">
        <x:is>
          <x:t xml:space="preserve">Пленка стрейч / исп.2</x:t>
        </x:is>
      </x:c>
      <x:c r="C87" s="31" t="inlineStr">
        <x:is>
          <x:t xml:space="preserve">Упаковка</x:t>
        </x:is>
      </x:c>
      <x:c r="D87" s="31" t="inlineStr">
        <x:is>
          <x:t xml:space="preserve">шт</x:t>
        </x:is>
      </x:c>
      <x:c r="E87" s="31" t="n">
        <x:v>3457</x:v>
      </x:c>
      <x:c r="F87" s="31" t="n">
        <x:v>74</x:v>
      </x:c>
      <x:c r="G87" s="31" t="n">
        <x:v>121</x:v>
      </x:c>
      <x:c r="H87" s="31" t="n">
        <x:v>68</x:v>
      </x:c>
      <x:c r="I87" s="31" t="n">
        <x:v>103</x:v>
      </x:c>
      <x:c r="J87" s="31" t="n">
        <x:v>53</x:v>
      </x:c>
      <x:c r="K87" s="31" t="n">
        <x:v>8</x:v>
      </x:c>
      <x:c r="L87" s="31" t="inlineStr">
        <x:is>
          <x:t xml:space="preserve">Б</x:t>
        </x:is>
      </x:c>
      <x:c r="M87" s="31" t="inlineStr">
        <x:is>
          <x:t xml:space="preserve">ГЗ-УПА-4</x:t>
        </x:is>
      </x:c>
      <x:c r="N87" s="31" t="inlineStr">
        <x:is>
          <x:t xml:space="preserve">Ниже минимума</x:t>
        </x:is>
      </x:c>
      <x:c r="O87" s="31" t="inlineStr">
        <x:is>
          <x:t xml:space="preserve">ПОСТ-022</x:t>
        </x:is>
      </x:c>
    </x:row>
    <x:row r="88" ht="18" customHeight="1">
      <x:c r="A88" s="31" t="inlineStr">
        <x:is>
          <x:t xml:space="preserve">МАТ-0087</x:t>
        </x:is>
      </x:c>
      <x:c r="B88" s="31" t="inlineStr">
        <x:is>
          <x:t xml:space="preserve">Ящик фанерный</x:t>
        </x:is>
      </x:c>
      <x:c r="C88" s="31" t="inlineStr">
        <x:is>
          <x:t xml:space="preserve">Упаковка</x:t>
        </x:is>
      </x:c>
      <x:c r="D88" s="31" t="inlineStr">
        <x:is>
          <x:t xml:space="preserve">шт</x:t>
        </x:is>
      </x:c>
      <x:c r="E88" s="31" t="n">
        <x:v>122</x:v>
      </x:c>
      <x:c r="F88" s="31" t="n">
        <x:v>19</x:v>
      </x:c>
      <x:c r="G88" s="31" t="n">
        <x:v>17</x:v>
      </x:c>
      <x:c r="H88" s="31" t="n">
        <x:v>10</x:v>
      </x:c>
      <x:c r="I88" s="31" t="n">
        <x:v>15</x:v>
      </x:c>
      <x:c r="J88" s="31" t="n">
        <x:v>7</x:v>
      </x:c>
      <x:c r="K88" s="31" t="n">
        <x:v>5</x:v>
      </x:c>
      <x:c r="L88" s="31" t="inlineStr">
        <x:is>
          <x:t xml:space="preserve">Б</x:t>
        </x:is>
      </x:c>
      <x:c r="M88" s="31" t="inlineStr">
        <x:is>
          <x:t xml:space="preserve">ГЗ-УПА-6</x:t>
        </x:is>
      </x:c>
      <x:c r="N88" s="31" t="inlineStr">
        <x:is>
          <x:t xml:space="preserve">Дефицит</x:t>
        </x:is>
      </x:c>
      <x:c r="O88" s="31" t="inlineStr">
        <x:is>
          <x:t xml:space="preserve">ПОСТ-013</x:t>
        </x:is>
      </x:c>
    </x:row>
    <x:row r="89" ht="18" customHeight="1">
      <x:c r="A89" s="31" t="inlineStr">
        <x:is>
          <x:t xml:space="preserve">МАТ-0088</x:t>
        </x:is>
      </x:c>
      <x:c r="B89" s="31" t="inlineStr">
        <x:is>
          <x:t xml:space="preserve">Ящик фанерный / исп.2</x:t>
        </x:is>
      </x:c>
      <x:c r="C89" s="31" t="inlineStr">
        <x:is>
          <x:t xml:space="preserve">Упаковка</x:t>
        </x:is>
      </x:c>
      <x:c r="D89" s="31" t="inlineStr">
        <x:is>
          <x:t xml:space="preserve">шт</x:t>
        </x:is>
      </x:c>
      <x:c r="E89" s="31" t="n">
        <x:v>6626</x:v>
      </x:c>
      <x:c r="F89" s="31" t="n">
        <x:v>70</x:v>
      </x:c>
      <x:c r="G89" s="31" t="n">
        <x:v>44</x:v>
      </x:c>
      <x:c r="H89" s="31" t="n">
        <x:v>14</x:v>
      </x:c>
      <x:c r="I89" s="31" t="n">
        <x:v>124</x:v>
      </x:c>
      <x:c r="J89" s="31" t="n">
        <x:v>30</x:v>
      </x:c>
      <x:c r="K89" s="31" t="n">
        <x:v>5</x:v>
      </x:c>
      <x:c r="L89" s="31" t="inlineStr">
        <x:is>
          <x:t xml:space="preserve">Б</x:t>
        </x:is>
      </x:c>
      <x:c r="M89" s="31" t="inlineStr">
        <x:is>
          <x:t xml:space="preserve">ГЗ-УПА-4</x:t>
        </x:is>
      </x:c>
      <x:c r="N89" s="31" t="inlineStr">
        <x:is>
          <x:t xml:space="preserve">Ниже минимума</x:t>
        </x:is>
      </x:c>
      <x:c r="O89" s="31" t="inlineStr">
        <x:is>
          <x:t xml:space="preserve">ПОСТ-011</x:t>
        </x:is>
      </x:c>
    </x:row>
    <x:row r="90" ht="18" customHeight="1">
      <x:c r="A90" s="31" t="inlineStr">
        <x:is>
          <x:t xml:space="preserve">МАТ-0089</x:t>
        </x:is>
      </x:c>
      <x:c r="B90" s="31" t="inlineStr">
        <x:is>
          <x:t xml:space="preserve">Маркировочная этикетка</x:t>
        </x:is>
      </x:c>
      <x:c r="C90" s="31" t="inlineStr">
        <x:is>
          <x:t xml:space="preserve">Упаковка</x:t>
        </x:is>
      </x:c>
      <x:c r="D90" s="31" t="inlineStr">
        <x:is>
          <x:t xml:space="preserve">шт</x:t>
        </x:is>
      </x:c>
      <x:c r="E90" s="31" t="n">
        <x:v>6387</x:v>
      </x:c>
      <x:c r="F90" s="31" t="n">
        <x:v>32</x:v>
      </x:c>
      <x:c r="G90" s="31" t="n">
        <x:v>57</x:v>
      </x:c>
      <x:c r="H90" s="31" t="n">
        <x:v>6</x:v>
      </x:c>
      <x:c r="I90" s="31" t="n">
        <x:v>26</x:v>
      </x:c>
      <x:c r="J90" s="31" t="n">
        <x:v>51</x:v>
      </x:c>
      <x:c r="K90" s="31" t="n">
        <x:v>37</x:v>
      </x:c>
      <x:c r="L90" s="31" t="inlineStr">
        <x:is>
          <x:t xml:space="preserve">В</x:t>
        </x:is>
      </x:c>
      <x:c r="M90" s="31" t="inlineStr">
        <x:is>
          <x:t xml:space="preserve">ГЗ-УПА-7</x:t>
        </x:is>
      </x:c>
      <x:c r="N90" s="31" t="inlineStr">
        <x:is>
          <x:t xml:space="preserve">Норма</x:t>
        </x:is>
      </x:c>
      <x:c r="O90" s="31" t="inlineStr">
        <x:is>
          <x:t xml:space="preserve">ПОСТ-021</x:t>
        </x:is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27" customWidth="1"/>
    <x:col min="3" max="3" width="19" customWidth="1"/>
    <x:col min="4" max="4" width="20" customWidth="1"/>
    <x:col min="5" max="5" width="10" customWidth="1"/>
    <x:col min="6" max="6" width="29" customWidth="1"/>
    <x:col min="7" max="7" width="23" customWidth="1"/>
    <x:col min="8" max="8" width="14" customWidth="1"/>
    <x:col min="9" max="9" width="18" customWidth="1"/>
    <x:col min="10" max="10" width="23" customWidth="1"/>
  </x:cols>
  <x:sheetData>
    <x:row r="1" ht="18" customHeight="1">
      <x:c r="A1" s="30" t="inlineStr">
        <x:is>
          <x:t xml:space="preserve">Код поставщика</x:t>
        </x:is>
      </x:c>
      <x:c r="B1" s="30" t="inlineStr">
        <x:is>
          <x:t xml:space="preserve">Поставщик</x:t>
        </x:is>
      </x:c>
      <x:c r="C1" s="30" t="inlineStr">
        <x:is>
          <x:t xml:space="preserve">Категория</x:t>
        </x:is>
      </x:c>
      <x:c r="D1" s="30" t="inlineStr">
        <x:is>
          <x:t xml:space="preserve">Регион</x:t>
        </x:is>
      </x:c>
      <x:c r="E1" s="30" t="inlineStr">
        <x:is>
          <x:t xml:space="preserve">Рейтинг</x:t>
        </x:is>
      </x:c>
      <x:c r="F1" s="30" t="inlineStr">
        <x:is>
          <x:t xml:space="preserve">Средний срок поставки, дней</x:t>
        </x:is>
      </x:c>
      <x:c r="G1" s="30" t="inlineStr">
        <x:is>
          <x:t xml:space="preserve">Кредитный лимит, руб.</x:t>
        </x:is>
      </x:c>
      <x:c r="H1" s="30" t="inlineStr">
        <x:is>
          <x:t xml:space="preserve">Есть договор</x:t>
        </x:is>
      </x:c>
      <x:c r="I1" s="30" t="inlineStr">
        <x:is>
          <x:t xml:space="preserve">Условия оплаты</x:t>
        </x:is>
      </x:c>
      <x:c r="J1" s="30" t="inlineStr">
        <x:is>
          <x:t xml:space="preserve">Эл. почта</x:t>
        </x:is>
      </x:c>
    </x:row>
    <x:row r="2" ht="18" customHeight="1">
      <x:c r="A2" s="31" t="inlineStr">
        <x:is>
          <x:t xml:space="preserve">ПОСТ-001</x:t>
        </x:is>
      </x:c>
      <x:c r="B2" s="31" t="inlineStr">
        <x:is>
          <x:t xml:space="preserve">ХимСервис Поставка</x:t>
        </x:is>
      </x:c>
      <x:c r="C2" s="31" t="inlineStr">
        <x:is>
          <x:t xml:space="preserve">Насосы</x:t>
        </x:is>
      </x:c>
      <x:c r="D2" s="31" t="inlineStr">
        <x:is>
          <x:t xml:space="preserve">Казахстан</x:t>
        </x:is>
      </x:c>
      <x:c r="E2" s="31" t="inlineStr">
        <x:is>
          <x:t xml:space="preserve">Б</x:t>
        </x:is>
      </x:c>
      <x:c r="F2" s="31" t="n">
        <x:v>17</x:v>
      </x:c>
      <x:c r="G2" s="31" t="n">
        <x:v>2000000</x:v>
      </x:c>
      <x:c r="H2" s="31" t="inlineStr">
        <x:is>
          <x:t xml:space="preserve">Да</x:t>
        </x:is>
      </x:c>
      <x:c r="I2" s="31" t="inlineStr">
        <x:is>
          <x:t xml:space="preserve">Отсрочка 14 дней</x:t>
        </x:is>
      </x:c>
      <x:c r="J2" s="31" t="inlineStr">
        <x:is>
          <x:t xml:space="preserve">sales1@supplier.test</x:t>
        </x:is>
      </x:c>
    </x:row>
    <x:row r="3" ht="18" customHeight="1">
      <x:c r="A3" s="31" t="inlineStr">
        <x:is>
          <x:t xml:space="preserve">ПОСТ-002</x:t>
        </x:is>
      </x:c>
      <x:c r="B3" s="31" t="inlineStr">
        <x:is>
          <x:t xml:space="preserve">ТехноЭнерго Поставка</x:t>
        </x:is>
      </x:c>
      <x:c r="C3" s="31" t="inlineStr">
        <x:is>
          <x:t xml:space="preserve">ПЛК/электрика</x:t>
        </x:is>
      </x:c>
      <x:c r="D3" s="31" t="inlineStr">
        <x:is>
          <x:t xml:space="preserve">Москва</x:t>
        </x:is>
      </x:c>
      <x:c r="E3" s="31" t="inlineStr">
        <x:is>
          <x:t xml:space="preserve">Б</x:t>
        </x:is>
      </x:c>
      <x:c r="F3" s="31" t="n">
        <x:v>7</x:v>
      </x:c>
      <x:c r="G3" s="31" t="n">
        <x:v>1000000</x:v>
      </x:c>
      <x:c r="H3" s="31" t="inlineStr">
        <x:is>
          <x:t xml:space="preserve">Да</x:t>
        </x:is>
      </x:c>
      <x:c r="I3" s="31" t="inlineStr">
        <x:is>
          <x:t xml:space="preserve">Предоплата</x:t>
        </x:is>
      </x:c>
      <x:c r="J3" s="31" t="inlineStr">
        <x:is>
          <x:t xml:space="preserve">sales2@supplier.test</x:t>
        </x:is>
      </x:c>
    </x:row>
    <x:row r="4" ht="18" customHeight="1">
      <x:c r="A4" s="31" t="inlineStr">
        <x:is>
          <x:t xml:space="preserve">ПОСТ-003</x:t>
        </x:is>
      </x:c>
      <x:c r="B4" s="31" t="inlineStr">
        <x:is>
          <x:t xml:space="preserve">НордЭнерго Поставка</x:t>
        </x:is>
      </x:c>
      <x:c r="C4" s="31" t="inlineStr">
        <x:is>
          <x:t xml:space="preserve">Крепеж</x:t>
        </x:is>
      </x:c>
      <x:c r="D4" s="31" t="inlineStr">
        <x:is>
          <x:t xml:space="preserve">Пермский край</x:t>
        </x:is>
      </x:c>
      <x:c r="E4" s="31" t="inlineStr">
        <x:is>
          <x:t xml:space="preserve">Б</x:t>
        </x:is>
      </x:c>
      <x:c r="F4" s="31" t="n">
        <x:v>22</x:v>
      </x:c>
      <x:c r="G4" s="31" t="n">
        <x:v>500000</x:v>
      </x:c>
      <x:c r="H4" s="31" t="inlineStr">
        <x:is>
          <x:t xml:space="preserve">Да</x:t>
        </x:is>
      </x:c>
      <x:c r="I4" s="31" t="inlineStr">
        <x:is>
          <x:t xml:space="preserve">Отсрочка 30 дней</x:t>
        </x:is>
      </x:c>
      <x:c r="J4" s="31" t="inlineStr">
        <x:is>
          <x:t xml:space="preserve">sales3@supplier.test</x:t>
        </x:is>
      </x:c>
    </x:row>
    <x:row r="5" ht="18" customHeight="1">
      <x:c r="A5" s="31" t="inlineStr">
        <x:is>
          <x:t xml:space="preserve">ПОСТ-004</x:t>
        </x:is>
      </x:c>
      <x:c r="B5" s="31" t="inlineStr">
        <x:is>
          <x:t xml:space="preserve">АгроАвтоматика Поставка</x:t>
        </x:is>
      </x:c>
      <x:c r="C5" s="31" t="inlineStr">
        <x:is>
          <x:t xml:space="preserve">Кабель</x:t>
        </x:is>
      </x:c>
      <x:c r="D5" s="31" t="inlineStr">
        <x:is>
          <x:t xml:space="preserve">Беларусь</x:t>
        </x:is>
      </x:c>
      <x:c r="E5" s="31" t="inlineStr">
        <x:is>
          <x:t xml:space="preserve">А</x:t>
        </x:is>
      </x:c>
      <x:c r="F5" s="31" t="n">
        <x:v>7</x:v>
      </x:c>
      <x:c r="G5" s="31" t="n">
        <x:v>10000000</x:v>
      </x:c>
      <x:c r="H5" s="31" t="inlineStr">
        <x:is>
          <x:t xml:space="preserve">Нет</x:t>
        </x:is>
      </x:c>
      <x:c r="I5" s="31" t="inlineStr">
        <x:is>
          <x:t xml:space="preserve">По спецификации</x:t>
        </x:is>
      </x:c>
      <x:c r="J5" s="31" t="inlineStr">
        <x:is>
          <x:t xml:space="preserve">sales4@supplier.test</x:t>
        </x:is>
      </x:c>
    </x:row>
    <x:row r="6" ht="18" customHeight="1">
      <x:c r="A6" s="31" t="inlineStr">
        <x:is>
          <x:t xml:space="preserve">ПОСТ-005</x:t>
        </x:is>
      </x:c>
      <x:c r="B6" s="31" t="inlineStr">
        <x:is>
          <x:t xml:space="preserve">ХимСервис Поставка</x:t>
        </x:is>
      </x:c>
      <x:c r="C6" s="31" t="inlineStr">
        <x:is>
          <x:t xml:space="preserve">Логистика</x:t>
        </x:is>
      </x:c>
      <x:c r="D6" s="31" t="inlineStr">
        <x:is>
          <x:t xml:space="preserve">Москва</x:t>
        </x:is>
      </x:c>
      <x:c r="E6" s="31" t="inlineStr">
        <x:is>
          <x:t xml:space="preserve">Б</x:t>
        </x:is>
      </x:c>
      <x:c r="F6" s="31" t="n">
        <x:v>13</x:v>
      </x:c>
      <x:c r="G6" s="31" t="n">
        <x:v>2000000</x:v>
      </x:c>
      <x:c r="H6" s="31" t="inlineStr">
        <x:is>
          <x:t xml:space="preserve">Да</x:t>
        </x:is>
      </x:c>
      <x:c r="I6" s="31" t="inlineStr">
        <x:is>
          <x:t xml:space="preserve">Отсрочка 14 дней</x:t>
        </x:is>
      </x:c>
      <x:c r="J6" s="31" t="inlineStr">
        <x:is>
          <x:t xml:space="preserve">sales5@supplier.test</x:t>
        </x:is>
      </x:c>
    </x:row>
    <x:row r="7" ht="18" customHeight="1">
      <x:c r="A7" s="31" t="inlineStr">
        <x:is>
          <x:t xml:space="preserve">ПОСТ-006</x:t>
        </x:is>
      </x:c>
      <x:c r="B7" s="31" t="inlineStr">
        <x:is>
          <x:t xml:space="preserve">АгроКомплект Поставка</x:t>
        </x:is>
      </x:c>
      <x:c r="C7" s="31" t="inlineStr">
        <x:is>
          <x:t xml:space="preserve">Электродвигатели</x:t>
        </x:is>
      </x:c>
      <x:c r="D7" s="31" t="inlineStr">
        <x:is>
          <x:t xml:space="preserve">ХМАО</x:t>
        </x:is>
      </x:c>
      <x:c r="E7" s="31" t="inlineStr">
        <x:is>
          <x:t xml:space="preserve">Б</x:t>
        </x:is>
      </x:c>
      <x:c r="F7" s="31" t="n">
        <x:v>30</x:v>
      </x:c>
      <x:c r="G7" s="31" t="n">
        <x:v>500000</x:v>
      </x:c>
      <x:c r="H7" s="31" t="inlineStr">
        <x:is>
          <x:t xml:space="preserve">Да</x:t>
        </x:is>
      </x:c>
      <x:c r="I7" s="31" t="inlineStr">
        <x:is>
          <x:t xml:space="preserve">По спецификации</x:t>
        </x:is>
      </x:c>
      <x:c r="J7" s="31" t="inlineStr">
        <x:is>
          <x:t xml:space="preserve">sales6@supplier.test</x:t>
        </x:is>
      </x:c>
    </x:row>
    <x:row r="8" ht="18" customHeight="1">
      <x:c r="A8" s="31" t="inlineStr">
        <x:is>
          <x:t xml:space="preserve">ПОСТ-007</x:t>
        </x:is>
      </x:c>
      <x:c r="B8" s="31" t="inlineStr">
        <x:is>
          <x:t xml:space="preserve">КамаЛогистика Поставка</x:t>
        </x:is>
      </x:c>
      <x:c r="C8" s="31" t="inlineStr">
        <x:is>
          <x:t xml:space="preserve">Покраска</x:t>
        </x:is>
      </x:c>
      <x:c r="D8" s="31" t="inlineStr">
        <x:is>
          <x:t xml:space="preserve">Ленинградская обл.</x:t>
        </x:is>
      </x:c>
      <x:c r="E8" s="31" t="inlineStr">
        <x:is>
          <x:t xml:space="preserve">Б</x:t>
        </x:is>
      </x:c>
      <x:c r="F8" s="31" t="n">
        <x:v>9</x:v>
      </x:c>
      <x:c r="G8" s="31" t="n">
        <x:v>2000000</x:v>
      </x:c>
      <x:c r="H8" s="31" t="inlineStr">
        <x:is>
          <x:t xml:space="preserve">Да</x:t>
        </x:is>
      </x:c>
      <x:c r="I8" s="31" t="inlineStr">
        <x:is>
          <x:t xml:space="preserve">Предоплата</x:t>
        </x:is>
      </x:c>
      <x:c r="J8" s="31" t="inlineStr">
        <x:is>
          <x:t xml:space="preserve">sales7@supplier.test</x:t>
        </x:is>
      </x:c>
    </x:row>
    <x:row r="9" ht="18" customHeight="1">
      <x:c r="A9" s="31" t="inlineStr">
        <x:is>
          <x:t xml:space="preserve">ПОСТ-008</x:t>
        </x:is>
      </x:c>
      <x:c r="B9" s="31" t="inlineStr">
        <x:is>
          <x:t xml:space="preserve">МеталлЛогистика Поставка</x:t>
        </x:is>
      </x:c>
      <x:c r="C9" s="31" t="inlineStr">
        <x:is>
          <x:t xml:space="preserve">Логистика</x:t>
        </x:is>
      </x:c>
      <x:c r="D9" s="31" t="inlineStr">
        <x:is>
          <x:t xml:space="preserve">Пермский край</x:t>
        </x:is>
      </x:c>
      <x:c r="E9" s="31" t="inlineStr">
        <x:is>
          <x:t xml:space="preserve">Б</x:t>
        </x:is>
      </x:c>
      <x:c r="F9" s="31" t="n">
        <x:v>18</x:v>
      </x:c>
      <x:c r="G9" s="31" t="n">
        <x:v>10000000</x:v>
      </x:c>
      <x:c r="H9" s="31" t="inlineStr">
        <x:is>
          <x:t xml:space="preserve">Да</x:t>
        </x:is>
      </x:c>
      <x:c r="I9" s="31" t="inlineStr">
        <x:is>
          <x:t xml:space="preserve">Предоплата</x:t>
        </x:is>
      </x:c>
      <x:c r="J9" s="31" t="inlineStr">
        <x:is>
          <x:t xml:space="preserve">sales8@supplier.test</x:t>
        </x:is>
      </x:c>
    </x:row>
    <x:row r="10" ht="18" customHeight="1">
      <x:c r="A10" s="31" t="inlineStr">
        <x:is>
          <x:t xml:space="preserve">ПОСТ-009</x:t>
        </x:is>
      </x:c>
      <x:c r="B10" s="31" t="inlineStr">
        <x:is>
          <x:t xml:space="preserve">СибирьАвтоматика Поставка</x:t>
        </x:is>
      </x:c>
      <x:c r="C10" s="31" t="inlineStr">
        <x:is>
          <x:t xml:space="preserve">КИПиА</x:t>
        </x:is>
      </x:c>
      <x:c r="D10" s="31" t="inlineStr">
        <x:is>
          <x:t xml:space="preserve">Пермский край</x:t>
        </x:is>
      </x:c>
      <x:c r="E10" s="31" t="inlineStr">
        <x:is>
          <x:t xml:space="preserve">Б</x:t>
        </x:is>
      </x:c>
      <x:c r="F10" s="31" t="n">
        <x:v>14</x:v>
      </x:c>
      <x:c r="G10" s="31" t="n">
        <x:v>5000000</x:v>
      </x:c>
      <x:c r="H10" s="31" t="inlineStr">
        <x:is>
          <x:t xml:space="preserve">Нет</x:t>
        </x:is>
      </x:c>
      <x:c r="I10" s="31" t="inlineStr">
        <x:is>
          <x:t xml:space="preserve">Отсрочка 30 дней</x:t>
        </x:is>
      </x:c>
      <x:c r="J10" s="31" t="inlineStr">
        <x:is>
          <x:t xml:space="preserve">sales9@supplier.test</x:t>
        </x:is>
      </x:c>
    </x:row>
    <x:row r="11" ht="18" customHeight="1">
      <x:c r="A11" s="31" t="inlineStr">
        <x:is>
          <x:t xml:space="preserve">ПОСТ-010</x:t>
        </x:is>
      </x:c>
      <x:c r="B11" s="31" t="inlineStr">
        <x:is>
          <x:t xml:space="preserve">ХимПроект Поставка</x:t>
        </x:is>
      </x:c>
      <x:c r="C11" s="31" t="inlineStr">
        <x:is>
          <x:t xml:space="preserve">Запорная арматура</x:t>
        </x:is>
      </x:c>
      <x:c r="D11" s="31" t="inlineStr">
        <x:is>
          <x:t xml:space="preserve">Ленинградская обл.</x:t>
        </x:is>
      </x:c>
      <x:c r="E11" s="31" t="inlineStr">
        <x:is>
          <x:t xml:space="preserve">Б</x:t>
        </x:is>
      </x:c>
      <x:c r="F11" s="31" t="n">
        <x:v>34</x:v>
      </x:c>
      <x:c r="G11" s="31" t="n">
        <x:v>10000000</x:v>
      </x:c>
      <x:c r="H11" s="31" t="inlineStr">
        <x:is>
          <x:t xml:space="preserve">Да</x:t>
        </x:is>
      </x:c>
      <x:c r="I11" s="31" t="inlineStr">
        <x:is>
          <x:t xml:space="preserve">По спецификации</x:t>
        </x:is>
      </x:c>
      <x:c r="J11" s="31" t="inlineStr">
        <x:is>
          <x:t xml:space="preserve">sales10@supplier.test</x:t>
        </x:is>
      </x:c>
    </x:row>
    <x:row r="12" ht="18" customHeight="1">
      <x:c r="A12" s="31" t="inlineStr">
        <x:is>
          <x:t xml:space="preserve">ПОСТ-011</x:t>
        </x:is>
      </x:c>
      <x:c r="B12" s="31" t="inlineStr">
        <x:is>
          <x:t xml:space="preserve">НефтеМаш Поставка</x:t>
        </x:is>
      </x:c>
      <x:c r="C12" s="31" t="inlineStr">
        <x:is>
          <x:t xml:space="preserve">Электродвигатели</x:t>
        </x:is>
      </x:c>
      <x:c r="D12" s="31" t="inlineStr">
        <x:is>
          <x:t xml:space="preserve">Казахстан</x:t>
        </x:is>
      </x:c>
      <x:c r="E12" s="31" t="inlineStr">
        <x:is>
          <x:t xml:space="preserve">Б</x:t>
        </x:is>
      </x:c>
      <x:c r="F12" s="31" t="n">
        <x:v>19</x:v>
      </x:c>
      <x:c r="G12" s="31" t="n">
        <x:v>1000000</x:v>
      </x:c>
      <x:c r="H12" s="31" t="inlineStr">
        <x:is>
          <x:t xml:space="preserve">Да</x:t>
        </x:is>
      </x:c>
      <x:c r="I12" s="31" t="inlineStr">
        <x:is>
          <x:t xml:space="preserve">Отсрочка 14 дней</x:t>
        </x:is>
      </x:c>
      <x:c r="J12" s="31" t="inlineStr">
        <x:is>
          <x:t xml:space="preserve">sales11@supplier.test</x:t>
        </x:is>
      </x:c>
    </x:row>
    <x:row r="13" ht="18" customHeight="1">
      <x:c r="A13" s="31" t="inlineStr">
        <x:is>
          <x:t xml:space="preserve">ПОСТ-012</x:t>
        </x:is>
      </x:c>
      <x:c r="B13" s="31" t="inlineStr">
        <x:is>
          <x:t xml:space="preserve">АгроЛогистика Поставка</x:t>
        </x:is>
      </x:c>
      <x:c r="C13" s="31" t="inlineStr">
        <x:is>
          <x:t xml:space="preserve">Насосы</x:t>
        </x:is>
      </x:c>
      <x:c r="D13" s="31" t="inlineStr">
        <x:is>
          <x:t xml:space="preserve">Москва</x:t>
        </x:is>
      </x:c>
      <x:c r="E13" s="31" t="inlineStr">
        <x:is>
          <x:t xml:space="preserve">В</x:t>
        </x:is>
      </x:c>
      <x:c r="F13" s="31" t="n">
        <x:v>25</x:v>
      </x:c>
      <x:c r="G13" s="31" t="n">
        <x:v>2000000</x:v>
      </x:c>
      <x:c r="H13" s="31" t="inlineStr">
        <x:is>
          <x:t xml:space="preserve">Да</x:t>
        </x:is>
      </x:c>
      <x:c r="I13" s="31" t="inlineStr">
        <x:is>
          <x:t xml:space="preserve">Отсрочка 30 дней</x:t>
        </x:is>
      </x:c>
      <x:c r="J13" s="31" t="inlineStr">
        <x:is>
          <x:t xml:space="preserve">sales12@supplier.test</x:t>
        </x:is>
      </x:c>
    </x:row>
    <x:row r="14" ht="18" customHeight="1">
      <x:c r="A14" s="31" t="inlineStr">
        <x:is>
          <x:t xml:space="preserve">ПОСТ-013</x:t>
        </x:is>
      </x:c>
      <x:c r="B14" s="31" t="inlineStr">
        <x:is>
          <x:t xml:space="preserve">ПромЛогистика Поставка</x:t>
        </x:is>
      </x:c>
      <x:c r="C14" s="31" t="inlineStr">
        <x:is>
          <x:t xml:space="preserve">Кабель</x:t>
        </x:is>
      </x:c>
      <x:c r="D14" s="31" t="inlineStr">
        <x:is>
          <x:t xml:space="preserve">Новосибирская обл.</x:t>
        </x:is>
      </x:c>
      <x:c r="E14" s="31" t="inlineStr">
        <x:is>
          <x:t xml:space="preserve">Б</x:t>
        </x:is>
      </x:c>
      <x:c r="F14" s="31" t="n">
        <x:v>20</x:v>
      </x:c>
      <x:c r="G14" s="31" t="n">
        <x:v>10000000</x:v>
      </x:c>
      <x:c r="H14" s="31" t="inlineStr">
        <x:is>
          <x:t xml:space="preserve">Да</x:t>
        </x:is>
      </x:c>
      <x:c r="I14" s="31" t="inlineStr">
        <x:is>
          <x:t xml:space="preserve">Предоплата</x:t>
        </x:is>
      </x:c>
      <x:c r="J14" s="31" t="inlineStr">
        <x:is>
          <x:t xml:space="preserve">sales13@supplier.test</x:t>
        </x:is>
      </x:c>
    </x:row>
    <x:row r="15" ht="18" customHeight="1">
      <x:c r="A15" s="31" t="inlineStr">
        <x:is>
          <x:t xml:space="preserve">ПОСТ-014</x:t>
        </x:is>
      </x:c>
      <x:c r="B15" s="31" t="inlineStr">
        <x:is>
          <x:t xml:space="preserve">ГазРесурс Поставка</x:t>
        </x:is>
      </x:c>
      <x:c r="C15" s="31" t="inlineStr">
        <x:is>
          <x:t xml:space="preserve">Кабель</x:t>
        </x:is>
      </x:c>
      <x:c r="D15" s="31" t="inlineStr">
        <x:is>
          <x:t xml:space="preserve">Новосибирская обл.</x:t>
        </x:is>
      </x:c>
      <x:c r="E15" s="31" t="inlineStr">
        <x:is>
          <x:t xml:space="preserve">Б</x:t>
        </x:is>
      </x:c>
      <x:c r="F15" s="31" t="n">
        <x:v>25</x:v>
      </x:c>
      <x:c r="G15" s="31" t="n">
        <x:v>500000</x:v>
      </x:c>
      <x:c r="H15" s="31" t="inlineStr">
        <x:is>
          <x:t xml:space="preserve">Да</x:t>
        </x:is>
      </x:c>
      <x:c r="I15" s="31" t="inlineStr">
        <x:is>
          <x:t xml:space="preserve">Отсрочка 14 дней</x:t>
        </x:is>
      </x:c>
      <x:c r="J15" s="31" t="inlineStr">
        <x:is>
          <x:t xml:space="preserve">sales14@supplier.test</x:t>
        </x:is>
      </x:c>
    </x:row>
    <x:row r="16" ht="18" customHeight="1">
      <x:c r="A16" s="31" t="inlineStr">
        <x:is>
          <x:t xml:space="preserve">ПОСТ-015</x:t>
        </x:is>
      </x:c>
      <x:c r="B16" s="31" t="inlineStr">
        <x:is>
          <x:t xml:space="preserve">ГорМаш Поставка</x:t>
        </x:is>
      </x:c>
      <x:c r="C16" s="31" t="inlineStr">
        <x:is>
          <x:t xml:space="preserve">Запорная арматура</x:t>
        </x:is>
      </x:c>
      <x:c r="D16" s="31" t="inlineStr">
        <x:is>
          <x:t xml:space="preserve">Новосибирская обл.</x:t>
        </x:is>
      </x:c>
      <x:c r="E16" s="31" t="inlineStr">
        <x:is>
          <x:t xml:space="preserve">А</x:t>
        </x:is>
      </x:c>
      <x:c r="F16" s="31" t="n">
        <x:v>25</x:v>
      </x:c>
      <x:c r="G16" s="31" t="n">
        <x:v>5000000</x:v>
      </x:c>
      <x:c r="H16" s="31" t="inlineStr">
        <x:is>
          <x:t xml:space="preserve">Нет</x:t>
        </x:is>
      </x:c>
      <x:c r="I16" s="31" t="inlineStr">
        <x:is>
          <x:t xml:space="preserve">Предоплата</x:t>
        </x:is>
      </x:c>
      <x:c r="J16" s="31" t="inlineStr">
        <x:is>
          <x:t xml:space="preserve">sales15@supplier.test</x:t>
        </x:is>
      </x:c>
    </x:row>
    <x:row r="17" ht="18" customHeight="1">
      <x:c r="A17" s="31" t="inlineStr">
        <x:is>
          <x:t xml:space="preserve">ПОСТ-016</x:t>
        </x:is>
      </x:c>
      <x:c r="B17" s="31" t="inlineStr">
        <x:is>
          <x:t xml:space="preserve">УралКомплект Поставка</x:t>
        </x:is>
      </x:c>
      <x:c r="C17" s="31" t="inlineStr">
        <x:is>
          <x:t xml:space="preserve">Кабель</x:t>
        </x:is>
      </x:c>
      <x:c r="D17" s="31" t="inlineStr">
        <x:is>
          <x:t xml:space="preserve">Татарстан</x:t>
        </x:is>
      </x:c>
      <x:c r="E17" s="31" t="inlineStr">
        <x:is>
          <x:t xml:space="preserve">А</x:t>
        </x:is>
      </x:c>
      <x:c r="F17" s="31" t="n">
        <x:v>21</x:v>
      </x:c>
      <x:c r="G17" s="31" t="n">
        <x:v>10000000</x:v>
      </x:c>
      <x:c r="H17" s="31" t="inlineStr">
        <x:is>
          <x:t xml:space="preserve">Да</x:t>
        </x:is>
      </x:c>
      <x:c r="I17" s="31" t="inlineStr">
        <x:is>
          <x:t xml:space="preserve">Отсрочка 30 дней</x:t>
        </x:is>
      </x:c>
      <x:c r="J17" s="31" t="inlineStr">
        <x:is>
          <x:t xml:space="preserve">sales16@supplier.test</x:t>
        </x:is>
      </x:c>
    </x:row>
    <x:row r="18" ht="18" customHeight="1">
      <x:c r="A18" s="31" t="inlineStr">
        <x:is>
          <x:t xml:space="preserve">ПОСТ-017</x:t>
        </x:is>
      </x:c>
      <x:c r="B18" s="31" t="inlineStr">
        <x:is>
          <x:t xml:space="preserve">ХимЛогистика Поставка</x:t>
        </x:is>
      </x:c>
      <x:c r="C18" s="31" t="inlineStr">
        <x:is>
          <x:t xml:space="preserve">КИПиА</x:t>
        </x:is>
      </x:c>
      <x:c r="D18" s="31" t="inlineStr">
        <x:is>
          <x:t xml:space="preserve">Беларусь</x:t>
        </x:is>
      </x:c>
      <x:c r="E18" s="31" t="inlineStr">
        <x:is>
          <x:t xml:space="preserve">Б</x:t>
        </x:is>
      </x:c>
      <x:c r="F18" s="31" t="n">
        <x:v>26</x:v>
      </x:c>
      <x:c r="G18" s="31" t="n">
        <x:v>10000000</x:v>
      </x:c>
      <x:c r="H18" s="31" t="inlineStr">
        <x:is>
          <x:t xml:space="preserve">Да</x:t>
        </x:is>
      </x:c>
      <x:c r="I18" s="31" t="inlineStr">
        <x:is>
          <x:t xml:space="preserve">Отсрочка 14 дней</x:t>
        </x:is>
      </x:c>
      <x:c r="J18" s="31" t="inlineStr">
        <x:is>
          <x:t xml:space="preserve">sales17@supplier.test</x:t>
        </x:is>
      </x:c>
    </x:row>
    <x:row r="19" ht="18" customHeight="1">
      <x:c r="A19" s="31" t="inlineStr">
        <x:is>
          <x:t xml:space="preserve">ПОСТ-018</x:t>
        </x:is>
      </x:c>
      <x:c r="B19" s="31" t="inlineStr">
        <x:is>
          <x:t xml:space="preserve">ЭнергоАвтоматика Поставка</x:t>
        </x:is>
      </x:c>
      <x:c r="C19" s="31" t="inlineStr">
        <x:is>
          <x:t xml:space="preserve">Металл</x:t>
        </x:is>
      </x:c>
      <x:c r="D19" s="31" t="inlineStr">
        <x:is>
          <x:t xml:space="preserve">Ленинградская обл.</x:t>
        </x:is>
      </x:c>
      <x:c r="E19" s="31" t="inlineStr">
        <x:is>
          <x:t xml:space="preserve">Б</x:t>
        </x:is>
      </x:c>
      <x:c r="F19" s="31" t="n">
        <x:v>8</x:v>
      </x:c>
      <x:c r="G19" s="31" t="n">
        <x:v>1000000</x:v>
      </x:c>
      <x:c r="H19" s="31" t="inlineStr">
        <x:is>
          <x:t xml:space="preserve">Да</x:t>
        </x:is>
      </x:c>
      <x:c r="I19" s="31" t="inlineStr">
        <x:is>
          <x:t xml:space="preserve">Предоплата</x:t>
        </x:is>
      </x:c>
      <x:c r="J19" s="31" t="inlineStr">
        <x:is>
          <x:t xml:space="preserve">sales18@supplier.test</x:t>
        </x:is>
      </x:c>
    </x:row>
    <x:row r="20" ht="18" customHeight="1">
      <x:c r="A20" s="31" t="inlineStr">
        <x:is>
          <x:t xml:space="preserve">ПОСТ-019</x:t>
        </x:is>
      </x:c>
      <x:c r="B20" s="31" t="inlineStr">
        <x:is>
          <x:t xml:space="preserve">ГазЛогистика Поставка</x:t>
        </x:is>
      </x:c>
      <x:c r="C20" s="31" t="inlineStr">
        <x:is>
          <x:t xml:space="preserve">КИПиА</x:t>
        </x:is>
      </x:c>
      <x:c r="D20" s="31" t="inlineStr">
        <x:is>
          <x:t xml:space="preserve">Ленинградская обл.</x:t>
        </x:is>
      </x:c>
      <x:c r="E20" s="31" t="inlineStr">
        <x:is>
          <x:t xml:space="preserve">Б</x:t>
        </x:is>
      </x:c>
      <x:c r="F20" s="31" t="n">
        <x:v>19</x:v>
      </x:c>
      <x:c r="G20" s="31" t="n">
        <x:v>5000000</x:v>
      </x:c>
      <x:c r="H20" s="31" t="inlineStr">
        <x:is>
          <x:t xml:space="preserve">Да</x:t>
        </x:is>
      </x:c>
      <x:c r="I20" s="31" t="inlineStr">
        <x:is>
          <x:t xml:space="preserve">Предоплата</x:t>
        </x:is>
      </x:c>
      <x:c r="J20" s="31" t="inlineStr">
        <x:is>
          <x:t xml:space="preserve">sales19@supplier.test</x:t>
        </x:is>
      </x:c>
    </x:row>
    <x:row r="21" ht="18" customHeight="1">
      <x:c r="A21" s="31" t="inlineStr">
        <x:is>
          <x:t xml:space="preserve">ПОСТ-020</x:t>
        </x:is>
      </x:c>
      <x:c r="B21" s="31" t="inlineStr">
        <x:is>
          <x:t xml:space="preserve">МеталлЭнерго Поставка</x:t>
        </x:is>
      </x:c>
      <x:c r="C21" s="31" t="inlineStr">
        <x:is>
          <x:t xml:space="preserve">Насосы</x:t>
        </x:is>
      </x:c>
      <x:c r="D21" s="31" t="inlineStr">
        <x:is>
          <x:t xml:space="preserve">Свердловская обл.</x:t>
        </x:is>
      </x:c>
      <x:c r="E21" s="31" t="inlineStr">
        <x:is>
          <x:t xml:space="preserve">А</x:t>
        </x:is>
      </x:c>
      <x:c r="F21" s="31" t="n">
        <x:v>30</x:v>
      </x:c>
      <x:c r="G21" s="31" t="n">
        <x:v>1000000</x:v>
      </x:c>
      <x:c r="H21" s="31" t="inlineStr">
        <x:is>
          <x:t xml:space="preserve">Нет</x:t>
        </x:is>
      </x:c>
      <x:c r="I21" s="31" t="inlineStr">
        <x:is>
          <x:t xml:space="preserve">Отсрочка 30 дней</x:t>
        </x:is>
      </x:c>
      <x:c r="J21" s="31" t="inlineStr">
        <x:is>
          <x:t xml:space="preserve">sales20@supplier.test</x:t>
        </x:is>
      </x:c>
    </x:row>
    <x:row r="22" ht="18" customHeight="1">
      <x:c r="A22" s="31" t="inlineStr">
        <x:is>
          <x:t xml:space="preserve">ПОСТ-021</x:t>
        </x:is>
      </x:c>
      <x:c r="B22" s="31" t="inlineStr">
        <x:is>
          <x:t xml:space="preserve">СибирьПроект Поставка</x:t>
        </x:is>
      </x:c>
      <x:c r="C22" s="31" t="inlineStr">
        <x:is>
          <x:t xml:space="preserve">Крепеж</x:t>
        </x:is>
      </x:c>
      <x:c r="D22" s="31" t="inlineStr">
        <x:is>
          <x:t xml:space="preserve">Краснодарский край</x:t>
        </x:is>
      </x:c>
      <x:c r="E22" s="31" t="inlineStr">
        <x:is>
          <x:t xml:space="preserve">А</x:t>
        </x:is>
      </x:c>
      <x:c r="F22" s="31" t="n">
        <x:v>18</x:v>
      </x:c>
      <x:c r="G22" s="31" t="n">
        <x:v>5000000</x:v>
      </x:c>
      <x:c r="H22" s="31" t="inlineStr">
        <x:is>
          <x:t xml:space="preserve">Да</x:t>
        </x:is>
      </x:c>
      <x:c r="I22" s="31" t="inlineStr">
        <x:is>
          <x:t xml:space="preserve">Предоплата</x:t>
        </x:is>
      </x:c>
      <x:c r="J22" s="31" t="inlineStr">
        <x:is>
          <x:t xml:space="preserve">sales21@supplier.test</x:t>
        </x:is>
      </x:c>
    </x:row>
    <x:row r="23" ht="18" customHeight="1">
      <x:c r="A23" s="31" t="inlineStr">
        <x:is>
          <x:t xml:space="preserve">ПОСТ-022</x:t>
        </x:is>
      </x:c>
      <x:c r="B23" s="31" t="inlineStr">
        <x:is>
          <x:t xml:space="preserve">АгроАвтоматика Поставка</x:t>
        </x:is>
      </x:c>
      <x:c r="C23" s="31" t="inlineStr">
        <x:is>
          <x:t xml:space="preserve">Электродвигатели</x:t>
        </x:is>
      </x:c>
      <x:c r="D23" s="31" t="inlineStr">
        <x:is>
          <x:t xml:space="preserve">Санкт-Петербург</x:t>
        </x:is>
      </x:c>
      <x:c r="E23" s="31" t="inlineStr">
        <x:is>
          <x:t xml:space="preserve">А</x:t>
        </x:is>
      </x:c>
      <x:c r="F23" s="31" t="n">
        <x:v>28</x:v>
      </x:c>
      <x:c r="G23" s="31" t="n">
        <x:v>10000000</x:v>
      </x:c>
      <x:c r="H23" s="31" t="inlineStr">
        <x:is>
          <x:t xml:space="preserve">Нет</x:t>
        </x:is>
      </x:c>
      <x:c r="I23" s="31" t="inlineStr">
        <x:is>
          <x:t xml:space="preserve">Предоплата</x:t>
        </x:is>
      </x:c>
      <x:c r="J23" s="31" t="inlineStr">
        <x:is>
          <x:t xml:space="preserve">sales22@supplier.test</x:t>
        </x:is>
      </x:c>
    </x:row>
    <x:row r="24" ht="18" customHeight="1">
      <x:c r="A24" s="31" t="inlineStr">
        <x:is>
          <x:t xml:space="preserve">ПОСТ-023</x:t>
        </x:is>
      </x:c>
      <x:c r="B24" s="31" t="inlineStr">
        <x:is>
          <x:t xml:space="preserve">КамаИнжиниринг Поставка</x:t>
        </x:is>
      </x:c>
      <x:c r="C24" s="31" t="inlineStr">
        <x:is>
          <x:t xml:space="preserve">Кабель</x:t>
        </x:is>
      </x:c>
      <x:c r="D24" s="31" t="inlineStr">
        <x:is>
          <x:t xml:space="preserve">Башкортостан</x:t>
        </x:is>
      </x:c>
      <x:c r="E24" s="31" t="inlineStr">
        <x:is>
          <x:t xml:space="preserve">Б</x:t>
        </x:is>
      </x:c>
      <x:c r="F24" s="31" t="n">
        <x:v>29</x:v>
      </x:c>
      <x:c r="G24" s="31" t="n">
        <x:v>500000</x:v>
      </x:c>
      <x:c r="H24" s="31" t="inlineStr">
        <x:is>
          <x:t xml:space="preserve">Да</x:t>
        </x:is>
      </x:c>
      <x:c r="I24" s="31" t="inlineStr">
        <x:is>
          <x:t xml:space="preserve">Отсрочка 30 дней</x:t>
        </x:is>
      </x:c>
      <x:c r="J24" s="31" t="inlineStr">
        <x:is>
          <x:t xml:space="preserve">sales23@supplier.test</x:t>
        </x:is>
      </x:c>
    </x:row>
    <x:row r="25" ht="18" customHeight="1">
      <x:c r="A25" s="31" t="inlineStr">
        <x:is>
          <x:t xml:space="preserve">ПОСТ-024</x:t>
        </x:is>
      </x:c>
      <x:c r="B25" s="31" t="inlineStr">
        <x:is>
          <x:t xml:space="preserve">МеталлИнжиниринг Поставка</x:t>
        </x:is>
      </x:c>
      <x:c r="C25" s="31" t="inlineStr">
        <x:is>
          <x:t xml:space="preserve">Крепеж</x:t>
        </x:is>
      </x:c>
      <x:c r="D25" s="31" t="inlineStr">
        <x:is>
          <x:t xml:space="preserve">ХМАО</x:t>
        </x:is>
      </x:c>
      <x:c r="E25" s="31" t="inlineStr">
        <x:is>
          <x:t xml:space="preserve">А</x:t>
        </x:is>
      </x:c>
      <x:c r="F25" s="31" t="n">
        <x:v>8</x:v>
      </x:c>
      <x:c r="G25" s="31" t="n">
        <x:v>2000000</x:v>
      </x:c>
      <x:c r="H25" s="31" t="inlineStr">
        <x:is>
          <x:t xml:space="preserve">Да</x:t>
        </x:is>
      </x:c>
      <x:c r="I25" s="31" t="inlineStr">
        <x:is>
          <x:t xml:space="preserve">Предоплата</x:t>
        </x:is>
      </x:c>
      <x:c r="J25" s="31" t="inlineStr">
        <x:is>
          <x:t xml:space="preserve">sales24@supplier.test</x:t>
        </x:is>
      </x:c>
    </x:row>
    <x:row r="26" ht="18" customHeight="1">
      <x:c r="A26" s="31" t="inlineStr">
        <x:is>
          <x:t xml:space="preserve">ПОСТ-025</x:t>
        </x:is>
      </x:c>
      <x:c r="B26" s="31" t="inlineStr">
        <x:is>
          <x:t xml:space="preserve">ГорАвтоматика Поставка</x:t>
        </x:is>
      </x:c>
      <x:c r="C26" s="31" t="inlineStr">
        <x:is>
          <x:t xml:space="preserve">Запорная арматура</x:t>
        </x:is>
      </x:c>
      <x:c r="D26" s="31" t="inlineStr">
        <x:is>
          <x:t xml:space="preserve">Новосибирская обл.</x:t>
        </x:is>
      </x:c>
      <x:c r="E26" s="31" t="inlineStr">
        <x:is>
          <x:t xml:space="preserve">Б</x:t>
        </x:is>
      </x:c>
      <x:c r="F26" s="31" t="n">
        <x:v>8</x:v>
      </x:c>
      <x:c r="G26" s="31" t="n">
        <x:v>2000000</x:v>
      </x:c>
      <x:c r="H26" s="31" t="inlineStr">
        <x:is>
          <x:t xml:space="preserve">Да</x:t>
        </x:is>
      </x:c>
      <x:c r="I26" s="31" t="inlineStr">
        <x:is>
          <x:t xml:space="preserve">Предоплата</x:t>
        </x:is>
      </x:c>
      <x:c r="J26" s="31" t="inlineStr">
        <x:is>
          <x:t xml:space="preserve">sales25@supplier.test</x:t>
        </x:is>
      </x:c>
    </x:row>
    <x:row r="27" ht="18" customHeight="1">
      <x:c r="A27" s="31" t="inlineStr">
        <x:is>
          <x:t xml:space="preserve">ПОСТ-026</x:t>
        </x:is>
      </x:c>
      <x:c r="B27" s="31" t="inlineStr">
        <x:is>
          <x:t xml:space="preserve">ЭнергоТехнологии Поставка</x:t>
        </x:is>
      </x:c>
      <x:c r="C27" s="31" t="inlineStr">
        <x:is>
          <x:t xml:space="preserve">Электродвигатели</x:t>
        </x:is>
      </x:c>
      <x:c r="D27" s="31" t="inlineStr">
        <x:is>
          <x:t xml:space="preserve">Новосибирская обл.</x:t>
        </x:is>
      </x:c>
      <x:c r="E27" s="31" t="inlineStr">
        <x:is>
          <x:t xml:space="preserve">В</x:t>
        </x:is>
      </x:c>
      <x:c r="F27" s="31" t="n">
        <x:v>7</x:v>
      </x:c>
      <x:c r="G27" s="31" t="n">
        <x:v>1000000</x:v>
      </x:c>
      <x:c r="H27" s="31" t="inlineStr">
        <x:is>
          <x:t xml:space="preserve">Да</x:t>
        </x:is>
      </x:c>
      <x:c r="I27" s="31" t="inlineStr">
        <x:is>
          <x:t xml:space="preserve">Отсрочка 14 дней</x:t>
        </x:is>
      </x:c>
      <x:c r="J27" s="31" t="inlineStr">
        <x:is>
          <x:t xml:space="preserve">sales26@supplier.test</x:t>
        </x:is>
      </x:c>
    </x:row>
    <x:row r="28" ht="18" customHeight="1">
      <x:c r="A28" s="31" t="inlineStr">
        <x:is>
          <x:t xml:space="preserve">ПОСТ-027</x:t>
        </x:is>
      </x:c>
      <x:c r="B28" s="31" t="inlineStr">
        <x:is>
          <x:t xml:space="preserve">БалтикРесурс Поставка</x:t>
        </x:is>
      </x:c>
      <x:c r="C28" s="31" t="inlineStr">
        <x:is>
          <x:t xml:space="preserve">Насосы</x:t>
        </x:is>
      </x:c>
      <x:c r="D28" s="31" t="inlineStr">
        <x:is>
          <x:t xml:space="preserve">ЯНАО</x:t>
        </x:is>
      </x:c>
      <x:c r="E28" s="31" t="inlineStr">
        <x:is>
          <x:t xml:space="preserve">А</x:t>
        </x:is>
      </x:c>
      <x:c r="F28" s="31" t="n">
        <x:v>18</x:v>
      </x:c>
      <x:c r="G28" s="31" t="n">
        <x:v>10000000</x:v>
      </x:c>
      <x:c r="H28" s="31" t="inlineStr">
        <x:is>
          <x:t xml:space="preserve">Да</x:t>
        </x:is>
      </x:c>
      <x:c r="I28" s="31" t="inlineStr">
        <x:is>
          <x:t xml:space="preserve">Предоплата</x:t>
        </x:is>
      </x:c>
      <x:c r="J28" s="31" t="inlineStr">
        <x:is>
          <x:t xml:space="preserve">sales27@supplier.test</x:t>
        </x:is>
      </x:c>
    </x:row>
    <x:row r="29" ht="18" customHeight="1">
      <x:c r="A29" s="31" t="inlineStr">
        <x:is>
          <x:t xml:space="preserve">ПОСТ-028</x:t>
        </x:is>
      </x:c>
      <x:c r="B29" s="31" t="inlineStr">
        <x:is>
          <x:t xml:space="preserve">НефтеСервис Поставка</x:t>
        </x:is>
      </x:c>
      <x:c r="C29" s="31" t="inlineStr">
        <x:is>
          <x:t xml:space="preserve">Электродвигатели</x:t>
        </x:is>
      </x:c>
      <x:c r="D29" s="31" t="inlineStr">
        <x:is>
          <x:t xml:space="preserve">Краснодарский край</x:t>
        </x:is>
      </x:c>
      <x:c r="E29" s="31" t="inlineStr">
        <x:is>
          <x:t xml:space="preserve">Б</x:t>
        </x:is>
      </x:c>
      <x:c r="F29" s="31" t="n">
        <x:v>10</x:v>
      </x:c>
      <x:c r="G29" s="31" t="n">
        <x:v>5000000</x:v>
      </x:c>
      <x:c r="H29" s="31" t="inlineStr">
        <x:is>
          <x:t xml:space="preserve">Да</x:t>
        </x:is>
      </x:c>
      <x:c r="I29" s="31" t="inlineStr">
        <x:is>
          <x:t xml:space="preserve">Отсрочка 14 дней</x:t>
        </x:is>
      </x:c>
      <x:c r="J29" s="31" t="inlineStr">
        <x:is>
          <x:t xml:space="preserve">sales28@supplier.test</x:t>
        </x:is>
      </x:c>
    </x:row>
    <x:row r="30" ht="18" customHeight="1">
      <x:c r="A30" s="31" t="inlineStr">
        <x:is>
          <x:t xml:space="preserve">ПОСТ-029</x:t>
        </x:is>
      </x:c>
      <x:c r="B30" s="31" t="inlineStr">
        <x:is>
          <x:t xml:space="preserve">ГазМаш Поставка</x:t>
        </x:is>
      </x:c>
      <x:c r="C30" s="31" t="inlineStr">
        <x:is>
          <x:t xml:space="preserve">Покраска</x:t>
        </x:is>
      </x:c>
      <x:c r="D30" s="31" t="inlineStr">
        <x:is>
          <x:t xml:space="preserve">ХМАО</x:t>
        </x:is>
      </x:c>
      <x:c r="E30" s="31" t="inlineStr">
        <x:is>
          <x:t xml:space="preserve">Б</x:t>
        </x:is>
      </x:c>
      <x:c r="F30" s="31" t="n">
        <x:v>9</x:v>
      </x:c>
      <x:c r="G30" s="31" t="n">
        <x:v>1000000</x:v>
      </x:c>
      <x:c r="H30" s="31" t="inlineStr">
        <x:is>
          <x:t xml:space="preserve">Нет</x:t>
        </x:is>
      </x:c>
      <x:c r="I30" s="31" t="inlineStr">
        <x:is>
          <x:t xml:space="preserve">По спецификации</x:t>
        </x:is>
      </x:c>
      <x:c r="J30" s="31" t="inlineStr">
        <x:is>
          <x:t xml:space="preserve">sales29@supplier.test</x:t>
        </x:is>
      </x:c>
    </x:row>
    <x:row r="31" ht="18" customHeight="1">
      <x:c r="A31" s="31" t="inlineStr">
        <x:is>
          <x:t xml:space="preserve">ПОСТ-030</x:t>
        </x:is>
      </x:c>
      <x:c r="B31" s="31" t="inlineStr">
        <x:is>
          <x:t xml:space="preserve">АгроЛогистика Поставка</x:t>
        </x:is>
      </x:c>
      <x:c r="C31" s="31" t="inlineStr">
        <x:is>
          <x:t xml:space="preserve">Крепеж</x:t>
        </x:is>
      </x:c>
      <x:c r="D31" s="31" t="inlineStr">
        <x:is>
          <x:t xml:space="preserve">ЯНАО</x:t>
        </x:is>
      </x:c>
      <x:c r="E31" s="31" t="inlineStr">
        <x:is>
          <x:t xml:space="preserve">Б</x:t>
        </x:is>
      </x:c>
      <x:c r="F31" s="31" t="n">
        <x:v>27</x:v>
      </x:c>
      <x:c r="G31" s="31" t="n">
        <x:v>5000000</x:v>
      </x:c>
      <x:c r="H31" s="31" t="inlineStr">
        <x:is>
          <x:t xml:space="preserve">Да</x:t>
        </x:is>
      </x:c>
      <x:c r="I31" s="31" t="inlineStr">
        <x:is>
          <x:t xml:space="preserve">Отсрочка 14 дней</x:t>
        </x:is>
      </x:c>
      <x:c r="J31" s="31" t="inlineStr">
        <x:is>
          <x:t xml:space="preserve">sales30@supplier.test</x:t>
        </x:is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cols>
    <x:col min="1" max="1" width="21" customWidth="1"/>
    <x:col min="2" max="2" width="13" customWidth="1"/>
    <x:col min="3" max="3" width="12" customWidth="1"/>
    <x:col min="4" max="4" width="15" customWidth="1"/>
    <x:col min="5" max="5" width="38" customWidth="1"/>
    <x:col min="6" max="6" width="12" customWidth="1"/>
    <x:col min="7" max="7" width="10" customWidth="1"/>
    <x:col min="8" max="8" width="16" customWidth="1"/>
    <x:col min="9" max="9" width="13" customWidth="1"/>
    <x:col min="10" max="10" width="14" customWidth="1"/>
    <x:col min="11" max="11" width="21" customWidth="1"/>
    <x:col min="12" max="12" width="28" customWidth="1"/>
    <x:col min="13" max="13" width="11" customWidth="1"/>
    <x:col min="14" max="14" width="10" customWidth="1"/>
    <x:col min="15" max="15" width="38" customWidth="1"/>
  </x:cols>
  <x:sheetData>
    <x:row r="1" ht="18" customHeight="1">
      <x:c r="A1" s="30" t="inlineStr">
        <x:is>
          <x:t xml:space="preserve">Код заявки закупки</x:t>
        </x:is>
      </x:c>
      <x:c r="B1" s="30" t="inlineStr">
        <x:is>
          <x:t xml:space="preserve">Дата заявки</x:t>
        </x:is>
      </x:c>
      <x:c r="C1" s="30" t="inlineStr">
        <x:is>
          <x:t xml:space="preserve">Код заказа</x:t>
        </x:is>
      </x:c>
      <x:c r="D1" s="30" t="inlineStr">
        <x:is>
          <x:t xml:space="preserve">Код материала</x:t>
        </x:is>
      </x:c>
      <x:c r="E1" s="30" t="inlineStr">
        <x:is>
          <x:t xml:space="preserve">Материал</x:t>
        </x:is>
      </x:c>
      <x:c r="F1" s="30" t="inlineStr">
        <x:is>
          <x:t xml:space="preserve">Количество</x:t>
        </x:is>
      </x:c>
      <x:c r="G1" s="30" t="inlineStr">
        <x:is>
          <x:t xml:space="preserve">Ед. изм.</x:t>
        </x:is>
      </x:c>
      <x:c r="H1" s="30" t="inlineStr">
        <x:is>
          <x:t xml:space="preserve">Код поставщика</x:t>
        </x:is>
      </x:c>
      <x:c r="I1" s="30" t="inlineStr">
        <x:is>
          <x:t xml:space="preserve">Сумма, руб.</x:t>
        </x:is>
      </x:c>
      <x:c r="J1" s="30" t="inlineStr">
        <x:is>
          <x:t xml:space="preserve">Нужно к дате</x:t>
        </x:is>
      </x:c>
      <x:c r="K1" s="30" t="inlineStr">
        <x:is>
          <x:t xml:space="preserve">Статус</x:t>
        </x:is>
      </x:c>
      <x:c r="L1" s="30" t="inlineStr">
        <x:is>
          <x:t xml:space="preserve">Номер заказа поставщику</x:t>
        </x:is>
      </x:c>
      <x:c r="M1" s="30" t="inlineStr">
        <x:is>
          <x:t xml:space="preserve">Срочность</x:t>
        </x:is>
      </x:c>
      <x:c r="N1" s="30" t="inlineStr">
        <x:is>
          <x:t xml:space="preserve">Закупщик</x:t>
        </x:is>
      </x:c>
      <x:c r="O1" s="30" t="inlineStr">
        <x:is>
          <x:t xml:space="preserve">Причина</x:t>
        </x:is>
      </x:c>
    </x:row>
    <x:row r="2" ht="18" customHeight="1">
      <x:c r="A2" s="31" t="inlineStr">
        <x:is>
          <x:t xml:space="preserve">ЗЗ-00001</x:t>
        </x:is>
      </x:c>
      <x:c r="B2" s="31" t="n">
        <x:v>46147</x:v>
      </x:c>
      <x:c r="C2" s="31" t="inlineStr">
        <x:is>
          <x:t xml:space="preserve">ЗК-1117</x:t>
        </x:is>
      </x:c>
      <x:c r="D2" s="31" t="inlineStr">
        <x:is>
          <x:t xml:space="preserve">МАТ-0002</x:t>
        </x:is>
      </x:c>
      <x:c r="E2" s="31" t="inlineStr">
        <x:is>
          <x:t xml:space="preserve">Лист стальной 09Г2С 12 мм</x:t>
        </x:is>
      </x:c>
      <x:c r="F2" s="31" t="n">
        <x:v>20</x:v>
      </x:c>
      <x:c r="G2" s="31" t="inlineStr">
        <x:is>
          <x:t xml:space="preserve">кг</x:t>
        </x:is>
      </x:c>
      <x:c r="H2" s="31" t="inlineStr">
        <x:is>
          <x:t xml:space="preserve">ПОСТ-018</x:t>
        </x:is>
      </x:c>
      <x:c r="I2" s="31" t="n">
        <x:v>3899</x:v>
      </x:c>
      <x:c r="J2" s="31" t="n">
        <x:v>46210</x:v>
      </x:c>
      <x:c r="K2" s="31" t="inlineStr">
        <x:is>
          <x:t xml:space="preserve">Отменено</x:t>
        </x:is>
      </x:c>
      <x:c r="L2" s="31" t="n"/>
      <x:c r="M2" s="31" t="inlineStr">
        <x:is>
          <x:t xml:space="preserve">Срочная</x:t>
        </x:is>
      </x:c>
      <x:c r="N2" s="31" t="inlineStr">
        <x:is>
          <x:t xml:space="preserve">СОТР-022</x:t>
        </x:is>
      </x:c>
      <x:c r="O2" s="31" t="inlineStr">
        <x:is>
          <x:t xml:space="preserve">Потребность сформирована по минимальному остатку и составу изделия</x:t>
        </x:is>
      </x:c>
    </x:row>
    <x:row r="3" ht="18" customHeight="1">
      <x:c r="A3" s="31" t="inlineStr">
        <x:is>
          <x:t xml:space="preserve">ЗЗ-00002</x:t>
        </x:is>
      </x:c>
      <x:c r="B3" s="31" t="n">
        <x:v>46148</x:v>
      </x:c>
      <x:c r="C3" s="31" t="n"/>
      <x:c r="D3" s="31" t="inlineStr">
        <x:is>
          <x:t xml:space="preserve">МАТ-0004</x:t>
        </x:is>
      </x:c>
      <x:c r="E3" s="31" t="inlineStr">
        <x:is>
          <x:t xml:space="preserve">Лист стальной 09Г2С 12 мм / исп.3</x:t>
        </x:is>
      </x:c>
      <x:c r="F3" s="31" t="n">
        <x:v>214</x:v>
      </x:c>
      <x:c r="G3" s="31" t="inlineStr">
        <x:is>
          <x:t xml:space="preserve">л</x:t>
        </x:is>
      </x:c>
      <x:c r="H3" s="31" t="inlineStr">
        <x:is>
          <x:t xml:space="preserve">ПОСТ-018</x:t>
        </x:is>
      </x:c>
      <x:c r="I3" s="31" t="n">
        <x:v>35883</x:v>
      </x:c>
      <x:c r="J3" s="31" t="n">
        <x:v>46205</x:v>
      </x:c>
      <x:c r="K3" s="31" t="inlineStr">
        <x:is>
          <x:t xml:space="preserve">Заказано</x:t>
        </x:is>
      </x:c>
      <x:c r="L3" s="31" t="inlineStr">
        <x:is>
          <x:t xml:space="preserve">ЗП-2026-0002</x:t>
        </x:is>
      </x:c>
      <x:c r="M3" s="31" t="inlineStr">
        <x:is>
          <x:t xml:space="preserve">Обычная</x:t>
        </x:is>
      </x:c>
      <x:c r="N3" s="31" t="inlineStr">
        <x:is>
          <x:t xml:space="preserve">СОТР-026</x:t>
        </x:is>
      </x:c>
      <x:c r="O3" s="31" t="inlineStr">
        <x:is>
          <x:t xml:space="preserve">Потребность сформирована по минимальному остатку и составу изделия</x:t>
        </x:is>
      </x:c>
    </x:row>
    <x:row r="4" ht="18" customHeight="1">
      <x:c r="A4" s="31" t="inlineStr">
        <x:is>
          <x:t xml:space="preserve">ЗЗ-00003</x:t>
        </x:is>
      </x:c>
      <x:c r="B4" s="31" t="n">
        <x:v>46169</x:v>
      </x:c>
      <x:c r="C4" s="31" t="n"/>
      <x:c r="D4" s="31" t="inlineStr">
        <x:is>
          <x:t xml:space="preserve">МАТ-0005</x:t>
        </x:is>
      </x:c>
      <x:c r="E4" s="31" t="inlineStr">
        <x:is>
          <x:t xml:space="preserve">Труба бесшовная 57×4</x:t>
        </x:is>
      </x:c>
      <x:c r="F4" s="31" t="n">
        <x:v>75</x:v>
      </x:c>
      <x:c r="G4" s="31" t="inlineStr">
        <x:is>
          <x:t xml:space="preserve">м</x:t>
        </x:is>
      </x:c>
      <x:c r="H4" s="31" t="inlineStr">
        <x:is>
          <x:t xml:space="preserve">ПОСТ-018</x:t>
        </x:is>
      </x:c>
      <x:c r="I4" s="31" t="n">
        <x:v>13246</x:v>
      </x:c>
      <x:c r="J4" s="31" t="n">
        <x:v>46208</x:v>
      </x:c>
      <x:c r="K4" s="31" t="inlineStr">
        <x:is>
          <x:t xml:space="preserve">На согласовании</x:t>
        </x:is>
      </x:c>
      <x:c r="L4" s="31" t="n"/>
      <x:c r="M4" s="31" t="inlineStr">
        <x:is>
          <x:t xml:space="preserve">Обычная</x:t>
        </x:is>
      </x:c>
      <x:c r="N4" s="31" t="inlineStr">
        <x:is>
          <x:t xml:space="preserve">СОТР-026</x:t>
        </x:is>
      </x:c>
      <x:c r="O4" s="31" t="inlineStr">
        <x:is>
          <x:t xml:space="preserve">Потребность сформирована по минимальному остатку и составу изделия</x:t>
        </x:is>
      </x:c>
    </x:row>
    <x:row r="5" ht="18" customHeight="1">
      <x:c r="A5" s="31" t="inlineStr">
        <x:is>
          <x:t xml:space="preserve">ЗЗ-00004</x:t>
        </x:is>
      </x:c>
      <x:c r="B5" s="31" t="n">
        <x:v>46166</x:v>
      </x:c>
      <x:c r="C5" s="31" t="inlineStr">
        <x:is>
          <x:t xml:space="preserve">ЗК-1074</x:t>
        </x:is>
      </x:c>
      <x:c r="D5" s="31" t="inlineStr">
        <x:is>
          <x:t xml:space="preserve">МАТ-0006</x:t>
        </x:is>
      </x:c>
      <x:c r="E5" s="31" t="inlineStr">
        <x:is>
          <x:t xml:space="preserve">Труба нержавеющая 38×3</x:t>
        </x:is>
      </x:c>
      <x:c r="F5" s="31" t="n">
        <x:v>24</x:v>
      </x:c>
      <x:c r="G5" s="31" t="inlineStr">
        <x:is>
          <x:t xml:space="preserve">шт</x:t>
        </x:is>
      </x:c>
      <x:c r="H5" s="31" t="inlineStr">
        <x:is>
          <x:t xml:space="preserve">ПОСТ-018</x:t>
        </x:is>
      </x:c>
      <x:c r="I5" s="31" t="n">
        <x:v>4301</x:v>
      </x:c>
      <x:c r="J5" s="31" t="n">
        <x:v>46197</x:v>
      </x:c>
      <x:c r="K5" s="31" t="inlineStr">
        <x:is>
          <x:t xml:space="preserve">Отменено</x:t>
        </x:is>
      </x:c>
      <x:c r="L5" s="31" t="n"/>
      <x:c r="M5" s="31" t="inlineStr">
        <x:is>
          <x:t xml:space="preserve">Срочная</x:t>
        </x:is>
      </x:c>
      <x:c r="N5" s="31" t="inlineStr">
        <x:is>
          <x:t xml:space="preserve">СОТР-028</x:t>
        </x:is>
      </x:c>
      <x:c r="O5" s="31" t="inlineStr">
        <x:is>
          <x:t xml:space="preserve">Потребность сформирована по минимальному остатку и составу изделия</x:t>
        </x:is>
      </x:c>
    </x:row>
    <x:row r="6" ht="18" customHeight="1">
      <x:c r="A6" s="31" t="inlineStr">
        <x:is>
          <x:t xml:space="preserve">ЗЗ-00005</x:t>
        </x:is>
      </x:c>
      <x:c r="B6" s="31" t="n">
        <x:v>46169</x:v>
      </x:c>
      <x:c r="C6" s="31" t="inlineStr">
        <x:is>
          <x:t xml:space="preserve">ЗК-1072</x:t>
        </x:is>
      </x:c>
      <x:c r="D6" s="31" t="inlineStr">
        <x:is>
          <x:t xml:space="preserve">МАТ-0007</x:t>
        </x:is>
      </x:c>
      <x:c r="E6" s="31" t="inlineStr">
        <x:is>
          <x:t xml:space="preserve">Труба нержавеющая 38×3 / исп.2</x:t>
        </x:is>
      </x:c>
      <x:c r="F6" s="31" t="n">
        <x:v>17</x:v>
      </x:c>
      <x:c r="G6" s="31" t="inlineStr">
        <x:is>
          <x:t xml:space="preserve">л</x:t>
        </x:is>
      </x:c>
      <x:c r="H6" s="31" t="inlineStr">
        <x:is>
          <x:t xml:space="preserve">ПОСТ-018</x:t>
        </x:is>
      </x:c>
      <x:c r="I6" s="31" t="n">
        <x:v>3059</x:v>
      </x:c>
      <x:c r="J6" s="31" t="n">
        <x:v>46219</x:v>
      </x:c>
      <x:c r="K6" s="31" t="inlineStr">
        <x:is>
          <x:t xml:space="preserve">Поставлено</x:t>
        </x:is>
      </x:c>
      <x:c r="L6" s="31" t="inlineStr">
        <x:is>
          <x:t xml:space="preserve">ЗП-2026-0005</x:t>
        </x:is>
      </x:c>
      <x:c r="M6" s="31" t="inlineStr">
        <x:is>
          <x:t xml:space="preserve">Обычная</x:t>
        </x:is>
      </x:c>
      <x:c r="N6" s="31" t="inlineStr">
        <x:is>
          <x:t xml:space="preserve">СОТР-029</x:t>
        </x:is>
      </x:c>
      <x:c r="O6" s="31" t="inlineStr">
        <x:is>
          <x:t xml:space="preserve">Потребность сформирована по минимальному остатку и составу изделия</x:t>
        </x:is>
      </x:c>
    </x:row>
    <x:row r="7" ht="18" customHeight="1">
      <x:c r="A7" s="31" t="inlineStr">
        <x:is>
          <x:t xml:space="preserve">ЗЗ-00006</x:t>
        </x:is>
      </x:c>
      <x:c r="B7" s="31" t="n">
        <x:v>46146</x:v>
      </x:c>
      <x:c r="C7" s="31" t="inlineStr">
        <x:is>
          <x:t xml:space="preserve">ЗК-1011</x:t>
        </x:is>
      </x:c>
      <x:c r="D7" s="31" t="inlineStr">
        <x:is>
          <x:t xml:space="preserve">МАТ-0012</x:t>
        </x:is>
      </x:c>
      <x:c r="E7" s="31" t="inlineStr">
        <x:is>
          <x:t xml:space="preserve">Фланец Ду80 Ру16</x:t>
        </x:is>
      </x:c>
      <x:c r="F7" s="31" t="n">
        <x:v>240</x:v>
      </x:c>
      <x:c r="G7" s="31" t="inlineStr">
        <x:is>
          <x:t xml:space="preserve">л</x:t>
        </x:is>
      </x:c>
      <x:c r="H7" s="31" t="inlineStr">
        <x:is>
          <x:t xml:space="preserve">ПОСТ-018</x:t>
        </x:is>
      </x:c>
      <x:c r="I7" s="31" t="n">
        <x:v>23618</x:v>
      </x:c>
      <x:c r="J7" s="31" t="n">
        <x:v>46202</x:v>
      </x:c>
      <x:c r="K7" s="31" t="inlineStr">
        <x:is>
          <x:t xml:space="preserve">Заказано</x:t>
        </x:is>
      </x:c>
      <x:c r="L7" s="31" t="inlineStr">
        <x:is>
          <x:t xml:space="preserve">ЗП-2026-0006</x:t>
        </x:is>
      </x:c>
      <x:c r="M7" s="31" t="inlineStr">
        <x:is>
          <x:t xml:space="preserve">Обычная</x:t>
        </x:is>
      </x:c>
      <x:c r="N7" s="31" t="inlineStr">
        <x:is>
          <x:t xml:space="preserve">СОТР-027</x:t>
        </x:is>
      </x:c>
      <x:c r="O7" s="31" t="inlineStr">
        <x:is>
          <x:t xml:space="preserve">Потребность сформирована по минимальному остатку и составу изделия</x:t>
        </x:is>
      </x:c>
    </x:row>
    <x:row r="8" ht="18" customHeight="1">
      <x:c r="A8" s="31" t="inlineStr">
        <x:is>
          <x:t xml:space="preserve">ЗЗ-00007</x:t>
        </x:is>
      </x:c>
      <x:c r="B8" s="31" t="n">
        <x:v>46177</x:v>
      </x:c>
      <x:c r="C8" s="31" t="n"/>
      <x:c r="D8" s="31" t="inlineStr">
        <x:is>
          <x:t xml:space="preserve">МАТ-0014</x:t>
        </x:is>
      </x:c>
      <x:c r="E8" s="31" t="inlineStr">
        <x:is>
          <x:t xml:space="preserve">Уголок 50×5 / исп.2</x:t>
        </x:is>
      </x:c>
      <x:c r="F8" s="31" t="n">
        <x:v>250</x:v>
      </x:c>
      <x:c r="G8" s="31" t="inlineStr">
        <x:is>
          <x:t xml:space="preserve">шт</x:t>
        </x:is>
      </x:c>
      <x:c r="H8" s="31" t="inlineStr">
        <x:is>
          <x:t xml:space="preserve">ПОСТ-018</x:t>
        </x:is>
      </x:c>
      <x:c r="I8" s="31" t="n">
        <x:v>23514</x:v>
      </x:c>
      <x:c r="J8" s="31" t="n">
        <x:v>46220</x:v>
      </x:c>
      <x:c r="K8" s="31" t="inlineStr">
        <x:is>
          <x:t xml:space="preserve">Частично поставлено</x:t>
        </x:is>
      </x:c>
      <x:c r="L8" s="31" t="inlineStr">
        <x:is>
          <x:t xml:space="preserve">ЗП-2026-0007</x:t>
        </x:is>
      </x:c>
      <x:c r="M8" s="31" t="inlineStr">
        <x:is>
          <x:t xml:space="preserve">Срочная</x:t>
        </x:is>
      </x:c>
      <x:c r="N8" s="31" t="inlineStr">
        <x:is>
          <x:t xml:space="preserve">СОТР-022</x:t>
        </x:is>
      </x:c>
      <x:c r="O8" s="31" t="inlineStr">
        <x:is>
          <x:t xml:space="preserve">Потребность сформирована по минимальному остатку и составу изделия</x:t>
        </x:is>
      </x:c>
    </x:row>
    <x:row r="9" ht="18" customHeight="1">
      <x:c r="A9" s="31" t="inlineStr">
        <x:is>
          <x:t xml:space="preserve">ЗЗ-00008</x:t>
        </x:is>
      </x:c>
      <x:c r="B9" s="31" t="n">
        <x:v>46159</x:v>
      </x:c>
      <x:c r="C9" s="31" t="inlineStr">
        <x:is>
          <x:t xml:space="preserve">ЗК-1051</x:t>
        </x:is>
      </x:c>
      <x:c r="D9" s="31" t="inlineStr">
        <x:is>
          <x:t xml:space="preserve">МАТ-0015</x:t>
        </x:is>
      </x:c>
      <x:c r="E9" s="31" t="inlineStr">
        <x:is>
          <x:t xml:space="preserve">Насос центробежный 15 кВт</x:t>
        </x:is>
      </x:c>
      <x:c r="F9" s="31" t="n">
        <x:v>23</x:v>
      </x:c>
      <x:c r="G9" s="31" t="inlineStr">
        <x:is>
          <x:t xml:space="preserve">шт</x:t>
        </x:is>
      </x:c>
      <x:c r="H9" s="31" t="inlineStr">
        <x:is>
          <x:t xml:space="preserve">ПОСТ-027</x:t>
        </x:is>
      </x:c>
      <x:c r="I9" s="31" t="n">
        <x:v>524822</x:v>
      </x:c>
      <x:c r="J9" s="31" t="n">
        <x:v>46194</x:v>
      </x:c>
      <x:c r="K9" s="31" t="inlineStr">
        <x:is>
          <x:t xml:space="preserve">Заказано</x:t>
        </x:is>
      </x:c>
      <x:c r="L9" s="31" t="inlineStr">
        <x:is>
          <x:t xml:space="preserve">ЗП-2026-0008</x:t>
        </x:is>
      </x:c>
      <x:c r="M9" s="31" t="inlineStr">
        <x:is>
          <x:t xml:space="preserve">Срочная</x:t>
        </x:is>
      </x:c>
      <x:c r="N9" s="31" t="inlineStr">
        <x:is>
          <x:t xml:space="preserve">СОТР-023</x:t>
        </x:is>
      </x:c>
      <x:c r="O9" s="31" t="inlineStr">
        <x:is>
          <x:t xml:space="preserve">Потребность сформирована по минимальному остатку и составу изделия</x:t>
        </x:is>
      </x:c>
    </x:row>
    <x:row r="10" ht="18" customHeight="1">
      <x:c r="A10" s="31" t="inlineStr">
        <x:is>
          <x:t xml:space="preserve">ЗЗ-00009</x:t>
        </x:is>
      </x:c>
      <x:c r="B10" s="31" t="n">
        <x:v>46180</x:v>
      </x:c>
      <x:c r="C10" s="31" t="n"/>
      <x:c r="D10" s="31" t="inlineStr">
        <x:is>
          <x:t xml:space="preserve">МАТ-0017</x:t>
        </x:is>
      </x:c>
      <x:c r="E10" s="31" t="inlineStr">
        <x:is>
          <x:t xml:space="preserve">Насос шестеренный 7.5 кВт</x:t>
        </x:is>
      </x:c>
      <x:c r="F10" s="31" t="n">
        <x:v>136</x:v>
      </x:c>
      <x:c r="G10" s="31" t="inlineStr">
        <x:is>
          <x:t xml:space="preserve">шт</x:t>
        </x:is>
      </x:c>
      <x:c r="H10" s="31" t="inlineStr">
        <x:is>
          <x:t xml:space="preserve">ПОСТ-020</x:t>
        </x:is>
      </x:c>
      <x:c r="I10" s="31" t="n">
        <x:v>4652041</x:v>
      </x:c>
      <x:c r="J10" s="31" t="n">
        <x:v>46212</x:v>
      </x:c>
      <x:c r="K10" s="31" t="inlineStr">
        <x:is>
          <x:t xml:space="preserve">Поставлено</x:t>
        </x:is>
      </x:c>
      <x:c r="L10" s="31" t="inlineStr">
        <x:is>
          <x:t xml:space="preserve">ЗП-2026-0009</x:t>
        </x:is>
      </x:c>
      <x:c r="M10" s="31" t="inlineStr">
        <x:is>
          <x:t xml:space="preserve">Обычная</x:t>
        </x:is>
      </x:c>
      <x:c r="N10" s="31" t="inlineStr">
        <x:is>
          <x:t xml:space="preserve">СОТР-023</x:t>
        </x:is>
      </x:c>
      <x:c r="O10" s="31" t="inlineStr">
        <x:is>
          <x:t xml:space="preserve">Потребность сформирована по минимальному остатку и составу изделия</x:t>
        </x:is>
      </x:c>
    </x:row>
    <x:row r="11" ht="18" customHeight="1">
      <x:c r="A11" s="31" t="inlineStr">
        <x:is>
          <x:t xml:space="preserve">ЗЗ-00010</x:t>
        </x:is>
      </x:c>
      <x:c r="B11" s="31" t="n">
        <x:v>46154</x:v>
      </x:c>
      <x:c r="C11" s="31" t="n"/>
      <x:c r="D11" s="31" t="inlineStr">
        <x:is>
          <x:t xml:space="preserve">МАТ-0019</x:t>
        </x:is>
      </x:c>
      <x:c r="E11" s="31" t="inlineStr">
        <x:is>
          <x:t xml:space="preserve">Насос дозировочный</x:t>
        </x:is>
      </x:c>
      <x:c r="F11" s="31" t="n">
        <x:v>69</x:v>
      </x:c>
      <x:c r="G11" s="31" t="inlineStr">
        <x:is>
          <x:t xml:space="preserve">шт</x:t>
        </x:is>
      </x:c>
      <x:c r="H11" s="31" t="inlineStr">
        <x:is>
          <x:t xml:space="preserve">ПОСТ-001</x:t>
        </x:is>
      </x:c>
      <x:c r="I11" s="31" t="n">
        <x:v>4142901</x:v>
      </x:c>
      <x:c r="J11" s="31" t="n">
        <x:v>46220</x:v>
      </x:c>
      <x:c r="K11" s="31" t="inlineStr">
        <x:is>
          <x:t xml:space="preserve">Заказано</x:t>
        </x:is>
      </x:c>
      <x:c r="L11" s="31" t="inlineStr">
        <x:is>
          <x:t xml:space="preserve">ЗП-2026-0010</x:t>
        </x:is>
      </x:c>
      <x:c r="M11" s="31" t="inlineStr">
        <x:is>
          <x:t xml:space="preserve">Обычная</x:t>
        </x:is>
      </x:c>
      <x:c r="N11" s="31" t="inlineStr">
        <x:is>
          <x:t xml:space="preserve">СОТР-018</x:t>
        </x:is>
      </x:c>
      <x:c r="O11" s="31" t="inlineStr">
        <x:is>
          <x:t xml:space="preserve">Потребность сформирована по минимальному остатку и составу изделия</x:t>
        </x:is>
      </x:c>
    </x:row>
    <x:row r="12" ht="18" customHeight="1">
      <x:c r="A12" s="31" t="inlineStr">
        <x:is>
          <x:t xml:space="preserve">ЗЗ-00011</x:t>
        </x:is>
      </x:c>
      <x:c r="B12" s="31" t="n">
        <x:v>46153</x:v>
      </x:c>
      <x:c r="C12" s="31" t="inlineStr">
        <x:is>
          <x:t xml:space="preserve">ЗК-1082</x:t>
        </x:is>
      </x:c>
      <x:c r="D12" s="31" t="inlineStr">
        <x:is>
          <x:t xml:space="preserve">МАТ-0021</x:t>
        </x:is>
      </x:c>
      <x:c r="E12" s="31" t="inlineStr">
        <x:is>
          <x:t xml:space="preserve">Торцевое уплотнение</x:t>
        </x:is>
      </x:c>
      <x:c r="F12" s="31" t="n">
        <x:v>192</x:v>
      </x:c>
      <x:c r="G12" s="31" t="inlineStr">
        <x:is>
          <x:t xml:space="preserve">шт</x:t>
        </x:is>
      </x:c>
      <x:c r="H12" s="31" t="inlineStr">
        <x:is>
          <x:t xml:space="preserve">ПОСТ-001</x:t>
        </x:is>
      </x:c>
      <x:c r="I12" s="31" t="n">
        <x:v>19345846</x:v>
      </x:c>
      <x:c r="J12" s="31" t="n">
        <x:v>46192</x:v>
      </x:c>
      <x:c r="K12" s="31" t="inlineStr">
        <x:is>
          <x:t xml:space="preserve">Заказано</x:t>
        </x:is>
      </x:c>
      <x:c r="L12" s="31" t="inlineStr">
        <x:is>
          <x:t xml:space="preserve">ЗП-2026-0011</x:t>
        </x:is>
      </x:c>
      <x:c r="M12" s="31" t="inlineStr">
        <x:is>
          <x:t xml:space="preserve">Обычная</x:t>
        </x:is>
      </x:c>
      <x:c r="N12" s="31" t="inlineStr">
        <x:is>
          <x:t xml:space="preserve">СОТР-027</x:t>
        </x:is>
      </x:c>
      <x:c r="O12" s="31" t="inlineStr">
        <x:is>
          <x:t xml:space="preserve">Потребность сформирована по минимальному остатку и составу изделия</x:t>
        </x:is>
      </x:c>
    </x:row>
    <x:row r="13" ht="18" customHeight="1">
      <x:c r="A13" s="31" t="inlineStr">
        <x:is>
          <x:t xml:space="preserve">ЗЗ-00012</x:t>
        </x:is>
      </x:c>
      <x:c r="B13" s="31" t="n">
        <x:v>46159</x:v>
      </x:c>
      <x:c r="C13" s="31" t="inlineStr">
        <x:is>
          <x:t xml:space="preserve">ЗК-1086</x:t>
        </x:is>
      </x:c>
      <x:c r="D13" s="31" t="inlineStr">
        <x:is>
          <x:t xml:space="preserve">МАТ-0025</x:t>
        </x:is>
      </x:c>
      <x:c r="E13" s="31" t="inlineStr">
        <x:is>
          <x:t xml:space="preserve">Двигатель 7.5 кВт</x:t>
        </x:is>
      </x:c>
      <x:c r="F13" s="31" t="n">
        <x:v>200</x:v>
      </x:c>
      <x:c r="G13" s="31" t="inlineStr">
        <x:is>
          <x:t xml:space="preserve">шт</x:t>
        </x:is>
      </x:c>
      <x:c r="H13" s="31" t="inlineStr">
        <x:is>
          <x:t xml:space="preserve">ПОСТ-028</x:t>
        </x:is>
      </x:c>
      <x:c r="I13" s="31" t="n">
        <x:v>14435902</x:v>
      </x:c>
      <x:c r="J13" s="31" t="n">
        <x:v>46193</x:v>
      </x:c>
      <x:c r="K13" s="31" t="inlineStr">
        <x:is>
          <x:t xml:space="preserve">Поставлено</x:t>
        </x:is>
      </x:c>
      <x:c r="L13" s="31" t="inlineStr">
        <x:is>
          <x:t xml:space="preserve">ЗП-2026-0012</x:t>
        </x:is>
      </x:c>
      <x:c r="M13" s="31" t="inlineStr">
        <x:is>
          <x:t xml:space="preserve">Критичная</x:t>
        </x:is>
      </x:c>
      <x:c r="N13" s="31" t="inlineStr">
        <x:is>
          <x:t xml:space="preserve">СОТР-026</x:t>
        </x:is>
      </x:c>
      <x:c r="O13" s="31" t="inlineStr">
        <x:is>
          <x:t xml:space="preserve">Потребность сформирована по минимальному остатку и составу изделия</x:t>
        </x:is>
      </x:c>
    </x:row>
    <x:row r="14" ht="18" customHeight="1">
      <x:c r="A14" s="31" t="inlineStr">
        <x:is>
          <x:t xml:space="preserve">ЗЗ-00013</x:t>
        </x:is>
      </x:c>
      <x:c r="B14" s="31" t="n">
        <x:v>46164</x:v>
      </x:c>
      <x:c r="C14" s="31" t="inlineStr">
        <x:is>
          <x:t xml:space="preserve">ЗК-1084</x:t>
        </x:is>
      </x:c>
      <x:c r="D14" s="31" t="inlineStr">
        <x:is>
          <x:t xml:space="preserve">МАТ-0026</x:t>
        </x:is>
      </x:c>
      <x:c r="E14" s="31" t="inlineStr">
        <x:is>
          <x:t xml:space="preserve">Двигатель 15 кВт</x:t>
        </x:is>
      </x:c>
      <x:c r="F14" s="31" t="n">
        <x:v>23</x:v>
      </x:c>
      <x:c r="G14" s="31" t="inlineStr">
        <x:is>
          <x:t xml:space="preserve">шт</x:t>
        </x:is>
      </x:c>
      <x:c r="H14" s="31" t="inlineStr">
        <x:is>
          <x:t xml:space="preserve">ПОСТ-011</x:t>
        </x:is>
      </x:c>
      <x:c r="I14" s="31" t="n">
        <x:v>2886706</x:v>
      </x:c>
      <x:c r="J14" s="31" t="n">
        <x:v>46211</x:v>
      </x:c>
      <x:c r="K14" s="31" t="inlineStr">
        <x:is>
          <x:t xml:space="preserve">Заказано</x:t>
        </x:is>
      </x:c>
      <x:c r="L14" s="31" t="inlineStr">
        <x:is>
          <x:t xml:space="preserve">ЗП-2026-0013</x:t>
        </x:is>
      </x:c>
      <x:c r="M14" s="31" t="inlineStr">
        <x:is>
          <x:t xml:space="preserve">Обычная</x:t>
        </x:is>
      </x:c>
      <x:c r="N14" s="31" t="inlineStr">
        <x:is>
          <x:t xml:space="preserve">СОТР-022</x:t>
        </x:is>
      </x:c>
      <x:c r="O14" s="31" t="inlineStr">
        <x:is>
          <x:t xml:space="preserve">Потребность сформирована по минимальному остатку и составу изделия</x:t>
        </x:is>
      </x:c>
    </x:row>
    <x:row r="15" ht="18" customHeight="1">
      <x:c r="A15" s="31" t="inlineStr">
        <x:is>
          <x:t xml:space="preserve">ЗЗ-00014</x:t>
        </x:is>
      </x:c>
      <x:c r="B15" s="31" t="n">
        <x:v>46159</x:v>
      </x:c>
      <x:c r="C15" s="31" t="inlineStr">
        <x:is>
          <x:t xml:space="preserve">ЗК-1117</x:t>
        </x:is>
      </x:c>
      <x:c r="D15" s="31" t="inlineStr">
        <x:is>
          <x:t xml:space="preserve">МАТ-0029</x:t>
        </x:is>
      </x:c>
      <x:c r="E15" s="31" t="inlineStr">
        <x:is>
          <x:t xml:space="preserve">Частотный преобразователь 22 кВт</x:t>
        </x:is>
      </x:c>
      <x:c r="F15" s="31" t="n">
        <x:v>187</x:v>
      </x:c>
      <x:c r="G15" s="31" t="inlineStr">
        <x:is>
          <x:t xml:space="preserve">шт</x:t>
        </x:is>
      </x:c>
      <x:c r="H15" s="31" t="inlineStr">
        <x:is>
          <x:t xml:space="preserve">ПОСТ-028</x:t>
        </x:is>
      </x:c>
      <x:c r="I15" s="31" t="n">
        <x:v>16826155</x:v>
      </x:c>
      <x:c r="J15" s="31" t="n">
        <x:v>46200</x:v>
      </x:c>
      <x:c r="K15" s="31" t="inlineStr">
        <x:is>
          <x:t xml:space="preserve">На согласовании</x:t>
        </x:is>
      </x:c>
      <x:c r="L15" s="31" t="n"/>
      <x:c r="M15" s="31" t="inlineStr">
        <x:is>
          <x:t xml:space="preserve">Обычная</x:t>
        </x:is>
      </x:c>
      <x:c r="N15" s="31" t="inlineStr">
        <x:is>
          <x:t xml:space="preserve">СОТР-022</x:t>
        </x:is>
      </x:c>
      <x:c r="O15" s="31" t="inlineStr">
        <x:is>
          <x:t xml:space="preserve">Потребность сформирована по минимальному остатку и составу изделия</x:t>
        </x:is>
      </x:c>
    </x:row>
    <x:row r="16" ht="18" customHeight="1">
      <x:c r="A16" s="31" t="inlineStr">
        <x:is>
          <x:t xml:space="preserve">ЗЗ-00015</x:t>
        </x:is>
      </x:c>
      <x:c r="B16" s="31" t="n">
        <x:v>46147</x:v>
      </x:c>
      <x:c r="C16" s="31" t="inlineStr">
        <x:is>
          <x:t xml:space="preserve">ЗК-1074</x:t>
        </x:is>
      </x:c>
      <x:c r="D16" s="31" t="inlineStr">
        <x:is>
          <x:t xml:space="preserve">МАТ-0030</x:t>
        </x:is>
      </x:c>
      <x:c r="E16" s="31" t="inlineStr">
        <x:is>
          <x:t xml:space="preserve">Частотный преобразователь 22 кВт / исп.2</x:t>
        </x:is>
      </x:c>
      <x:c r="F16" s="31" t="n">
        <x:v>174</x:v>
      </x:c>
      <x:c r="G16" s="31" t="inlineStr">
        <x:is>
          <x:t xml:space="preserve">шт</x:t>
        </x:is>
      </x:c>
      <x:c r="H16" s="31" t="inlineStr">
        <x:is>
          <x:t xml:space="preserve">ПОСТ-028</x:t>
        </x:is>
      </x:c>
      <x:c r="I16" s="31" t="n">
        <x:v>19022197</x:v>
      </x:c>
      <x:c r="J16" s="31" t="n">
        <x:v>46213</x:v>
      </x:c>
      <x:c r="K16" s="31" t="inlineStr">
        <x:is>
          <x:t xml:space="preserve">Черновик</x:t>
        </x:is>
      </x:c>
      <x:c r="L16" s="31" t="n"/>
      <x:c r="M16" s="31" t="inlineStr">
        <x:is>
          <x:t xml:space="preserve">Критичная</x:t>
        </x:is>
      </x:c>
      <x:c r="N16" s="31" t="inlineStr">
        <x:is>
          <x:t xml:space="preserve">СОТР-028</x:t>
        </x:is>
      </x:c>
      <x:c r="O16" s="31" t="inlineStr">
        <x:is>
          <x:t xml:space="preserve">Потребность сформирована по минимальному остатку и составу изделия</x:t>
        </x:is>
      </x:c>
    </x:row>
    <x:row r="17" ht="18" customHeight="1">
      <x:c r="A17" s="31" t="inlineStr">
        <x:is>
          <x:t xml:space="preserve">ЗЗ-00016</x:t>
        </x:is>
      </x:c>
      <x:c r="B17" s="31" t="n">
        <x:v>46166</x:v>
      </x:c>
      <x:c r="C17" s="31" t="n"/>
      <x:c r="D17" s="31" t="inlineStr">
        <x:is>
          <x:t xml:space="preserve">МАТ-0032</x:t>
        </x:is>
      </x:c>
      <x:c r="E17" s="31" t="inlineStr">
        <x:is>
          <x:t xml:space="preserve">Датчик температуры Пт100</x:t>
        </x:is>
      </x:c>
      <x:c r="F17" s="31" t="n">
        <x:v>143</x:v>
      </x:c>
      <x:c r="G17" s="31" t="inlineStr">
        <x:is>
          <x:t xml:space="preserve">шт</x:t>
        </x:is>
      </x:c>
      <x:c r="H17" s="31" t="inlineStr">
        <x:is>
          <x:t xml:space="preserve">ПОСТ-017</x:t>
        </x:is>
      </x:c>
      <x:c r="I17" s="31" t="n">
        <x:v>8411056</x:v>
      </x:c>
      <x:c r="J17" s="31" t="n">
        <x:v>46212</x:v>
      </x:c>
      <x:c r="K17" s="31" t="inlineStr">
        <x:is>
          <x:t xml:space="preserve">Заказано</x:t>
        </x:is>
      </x:c>
      <x:c r="L17" s="31" t="inlineStr">
        <x:is>
          <x:t xml:space="preserve">ЗП-2026-0016</x:t>
        </x:is>
      </x:c>
      <x:c r="M17" s="31" t="inlineStr">
        <x:is>
          <x:t xml:space="preserve">Обычная</x:t>
        </x:is>
      </x:c>
      <x:c r="N17" s="31" t="inlineStr">
        <x:is>
          <x:t xml:space="preserve">СОТР-028</x:t>
        </x:is>
      </x:c>
      <x:c r="O17" s="31" t="inlineStr">
        <x:is>
          <x:t xml:space="preserve">Потребность сформирована по минимальному остатку и составу изделия</x:t>
        </x:is>
      </x:c>
    </x:row>
    <x:row r="18" ht="18" customHeight="1">
      <x:c r="A18" s="31" t="inlineStr">
        <x:is>
          <x:t xml:space="preserve">ЗЗ-00017</x:t>
        </x:is>
      </x:c>
      <x:c r="B18" s="31" t="n">
        <x:v>46149</x:v>
      </x:c>
      <x:c r="C18" s="31" t="n"/>
      <x:c r="D18" s="31" t="inlineStr">
        <x:is>
          <x:t xml:space="preserve">МАТ-0033</x:t>
        </x:is>
      </x:c>
      <x:c r="E18" s="31" t="inlineStr">
        <x:is>
          <x:t xml:space="preserve">Расходомер электромагнитный Ду50</x:t>
        </x:is>
      </x:c>
      <x:c r="F18" s="31" t="n">
        <x:v>6</x:v>
      </x:c>
      <x:c r="G18" s="31" t="inlineStr">
        <x:is>
          <x:t xml:space="preserve">шт</x:t>
        </x:is>
      </x:c>
      <x:c r="H18" s="31" t="inlineStr">
        <x:is>
          <x:t xml:space="preserve">ПОСТ-009</x:t>
        </x:is>
      </x:c>
      <x:c r="I18" s="31" t="n">
        <x:v>41360</x:v>
      </x:c>
      <x:c r="J18" s="31" t="n">
        <x:v>46215</x:v>
      </x:c>
      <x:c r="K18" s="31" t="inlineStr">
        <x:is>
          <x:t xml:space="preserve">Поставлено</x:t>
        </x:is>
      </x:c>
      <x:c r="L18" s="31" t="inlineStr">
        <x:is>
          <x:t xml:space="preserve">ЗП-2026-0017</x:t>
        </x:is>
      </x:c>
      <x:c r="M18" s="31" t="inlineStr">
        <x:is>
          <x:t xml:space="preserve">Обычная</x:t>
        </x:is>
      </x:c>
      <x:c r="N18" s="31" t="inlineStr">
        <x:is>
          <x:t xml:space="preserve">СОТР-018</x:t>
        </x:is>
      </x:c>
      <x:c r="O18" s="31" t="inlineStr">
        <x:is>
          <x:t xml:space="preserve">Потребность сформирована по минимальному остатку и составу изделия</x:t>
        </x:is>
      </x:c>
    </x:row>
    <x:row r="19" ht="18" customHeight="1">
      <x:c r="A19" s="31" t="inlineStr">
        <x:is>
          <x:t xml:space="preserve">ЗЗ-00018</x:t>
        </x:is>
      </x:c>
      <x:c r="B19" s="31" t="n">
        <x:v>46169</x:v>
      </x:c>
      <x:c r="C19" s="31" t="n"/>
      <x:c r="D19" s="31" t="inlineStr">
        <x:is>
          <x:t xml:space="preserve">МАТ-0036</x:t>
        </x:is>
      </x:c>
      <x:c r="E19" s="31" t="inlineStr">
        <x:is>
          <x:t xml:space="preserve">Клапан электромагнитный 24В / исп.2</x:t>
        </x:is>
      </x:c>
      <x:c r="F19" s="31" t="n">
        <x:v>154</x:v>
      </x:c>
      <x:c r="G19" s="31" t="inlineStr">
        <x:is>
          <x:t xml:space="preserve">шт</x:t>
        </x:is>
      </x:c>
      <x:c r="H19" s="31" t="inlineStr">
        <x:is>
          <x:t xml:space="preserve">ПОСТ-019</x:t>
        </x:is>
      </x:c>
      <x:c r="I19" s="31" t="n">
        <x:v>4163146</x:v>
      </x:c>
      <x:c r="J19" s="31" t="n">
        <x:v>46196</x:v>
      </x:c>
      <x:c r="K19" s="31" t="inlineStr">
        <x:is>
          <x:t xml:space="preserve">Заказано</x:t>
        </x:is>
      </x:c>
      <x:c r="L19" s="31" t="inlineStr">
        <x:is>
          <x:t xml:space="preserve">ЗП-2026-0018</x:t>
        </x:is>
      </x:c>
      <x:c r="M19" s="31" t="inlineStr">
        <x:is>
          <x:t xml:space="preserve">Обычная</x:t>
        </x:is>
      </x:c>
      <x:c r="N19" s="31" t="inlineStr">
        <x:is>
          <x:t xml:space="preserve">СОТР-026</x:t>
        </x:is>
      </x:c>
      <x:c r="O19" s="31" t="inlineStr">
        <x:is>
          <x:t xml:space="preserve">Потребность сформирована по минимальному остатку и составу изделия</x:t>
        </x:is>
      </x:c>
    </x:row>
    <x:row r="20" ht="18" customHeight="1">
      <x:c r="A20" s="31" t="inlineStr">
        <x:is>
          <x:t xml:space="preserve">ЗЗ-00019</x:t>
        </x:is>
      </x:c>
      <x:c r="B20" s="31" t="n">
        <x:v>46154</x:v>
      </x:c>
      <x:c r="C20" s="31" t="inlineStr">
        <x:is>
          <x:t xml:space="preserve">ЗК-1004</x:t>
        </x:is>
      </x:c>
      <x:c r="D20" s="31" t="inlineStr">
        <x:is>
          <x:t xml:space="preserve">МАТ-0038</x:t>
        </x:is>
      </x:c>
      <x:c r="E20" s="31" t="inlineStr">
        <x:is>
          <x:t xml:space="preserve">ПЛК 24 дискр. входа / 16 дискр. выхода</x:t>
        </x:is>
      </x:c>
      <x:c r="F20" s="31" t="n">
        <x:v>182</x:v>
      </x:c>
      <x:c r="G20" s="31" t="inlineStr">
        <x:is>
          <x:t xml:space="preserve">шт</x:t>
        </x:is>
      </x:c>
      <x:c r="H20" s="31" t="inlineStr">
        <x:is>
          <x:t xml:space="preserve">ПОСТ-002</x:t>
        </x:is>
      </x:c>
      <x:c r="I20" s="31" t="n">
        <x:v>4756339</x:v>
      </x:c>
      <x:c r="J20" s="31" t="n">
        <x:v>46212</x:v>
      </x:c>
      <x:c r="K20" s="31" t="inlineStr">
        <x:is>
          <x:t xml:space="preserve">Заказано</x:t>
        </x:is>
      </x:c>
      <x:c r="L20" s="31" t="inlineStr">
        <x:is>
          <x:t xml:space="preserve">ЗП-2026-0019</x:t>
        </x:is>
      </x:c>
      <x:c r="M20" s="31" t="inlineStr">
        <x:is>
          <x:t xml:space="preserve">Обычная</x:t>
        </x:is>
      </x:c>
      <x:c r="N20" s="31" t="inlineStr">
        <x:is>
          <x:t xml:space="preserve">СОТР-028</x:t>
        </x:is>
      </x:c>
      <x:c r="O20" s="31" t="inlineStr">
        <x:is>
          <x:t xml:space="preserve">Потребность сформирована по минимальному остатку и составу изделия</x:t>
        </x:is>
      </x:c>
    </x:row>
    <x:row r="21" ht="18" customHeight="1">
      <x:c r="A21" s="31" t="inlineStr">
        <x:is>
          <x:t xml:space="preserve">ЗЗ-00020</x:t>
        </x:is>
      </x:c>
      <x:c r="B21" s="31" t="n">
        <x:v>46152</x:v>
      </x:c>
      <x:c r="C21" s="31" t="inlineStr">
        <x:is>
          <x:t xml:space="preserve">ЗК-1130</x:t>
        </x:is>
      </x:c>
      <x:c r="D21" s="31" t="inlineStr">
        <x:is>
          <x:t xml:space="preserve">МАТ-0039</x:t>
        </x:is>
      </x:c>
      <x:c r="E21" s="31" t="inlineStr">
        <x:is>
          <x:t xml:space="preserve">ПЛК 24 дискр. входа / 16 дискр. выхода / исп.2</x:t>
        </x:is>
      </x:c>
      <x:c r="F21" s="31" t="n">
        <x:v>168</x:v>
      </x:c>
      <x:c r="G21" s="31" t="inlineStr">
        <x:is>
          <x:t xml:space="preserve">шт</x:t>
        </x:is>
      </x:c>
      <x:c r="H21" s="31" t="inlineStr">
        <x:is>
          <x:t xml:space="preserve">ПОСТ-002</x:t>
        </x:is>
      </x:c>
      <x:c r="I21" s="31" t="n">
        <x:v>14945814</x:v>
      </x:c>
      <x:c r="J21" s="31" t="n">
        <x:v>46211</x:v>
      </x:c>
      <x:c r="K21" s="31" t="inlineStr">
        <x:is>
          <x:t xml:space="preserve">Частично поставлено</x:t>
        </x:is>
      </x:c>
      <x:c r="L21" s="31" t="inlineStr">
        <x:is>
          <x:t xml:space="preserve">ЗП-2026-0020</x:t>
        </x:is>
      </x:c>
      <x:c r="M21" s="31" t="inlineStr">
        <x:is>
          <x:t xml:space="preserve">Обычная</x:t>
        </x:is>
      </x:c>
      <x:c r="N21" s="31" t="inlineStr">
        <x:is>
          <x:t xml:space="preserve">СОТР-028</x:t>
        </x:is>
      </x:c>
      <x:c r="O21" s="31" t="inlineStr">
        <x:is>
          <x:t xml:space="preserve">Потребность сформирована по минимальному остатку и составу изделия</x:t>
        </x:is>
      </x:c>
    </x:row>
    <x:row r="22" ht="18" customHeight="1">
      <x:c r="A22" s="31" t="inlineStr">
        <x:is>
          <x:t xml:space="preserve">ЗЗ-00021</x:t>
        </x:is>
      </x:c>
      <x:c r="B22" s="31" t="n">
        <x:v>46144</x:v>
      </x:c>
      <x:c r="C22" s="31" t="inlineStr">
        <x:is>
          <x:t xml:space="preserve">ЗК-1097</x:t>
        </x:is>
      </x:c>
      <x:c r="D22" s="31" t="inlineStr">
        <x:is>
          <x:t xml:space="preserve">МАТ-0040</x:t>
        </x:is>
      </x:c>
      <x:c r="E22" s="31" t="inlineStr">
        <x:is>
          <x:t xml:space="preserve">модуль аналогового входа 4 канала</x:t>
        </x:is>
      </x:c>
      <x:c r="F22" s="31" t="n">
        <x:v>173</x:v>
      </x:c>
      <x:c r="G22" s="31" t="inlineStr">
        <x:is>
          <x:t xml:space="preserve">шт</x:t>
        </x:is>
      </x:c>
      <x:c r="H22" s="31" t="inlineStr">
        <x:is>
          <x:t xml:space="preserve">ПОСТ-002</x:t>
        </x:is>
      </x:c>
      <x:c r="I22" s="31" t="n">
        <x:v>15288676</x:v>
      </x:c>
      <x:c r="J22" s="31" t="n">
        <x:v>46210</x:v>
      </x:c>
      <x:c r="K22" s="31" t="inlineStr">
        <x:is>
          <x:t xml:space="preserve">Заказано</x:t>
        </x:is>
      </x:c>
      <x:c r="L22" s="31" t="inlineStr">
        <x:is>
          <x:t xml:space="preserve">ЗП-2026-0021</x:t>
        </x:is>
      </x:c>
      <x:c r="M22" s="31" t="inlineStr">
        <x:is>
          <x:t xml:space="preserve">Обычная</x:t>
        </x:is>
      </x:c>
      <x:c r="N22" s="31" t="inlineStr">
        <x:is>
          <x:t xml:space="preserve">СОТР-026</x:t>
        </x:is>
      </x:c>
      <x:c r="O22" s="31" t="inlineStr">
        <x:is>
          <x:t xml:space="preserve">Потребность сформирована по минимальному остатку и составу изделия</x:t>
        </x:is>
      </x:c>
    </x:row>
    <x:row r="23" ht="18" customHeight="1">
      <x:c r="A23" s="31" t="inlineStr">
        <x:is>
          <x:t xml:space="preserve">ЗЗ-00022</x:t>
        </x:is>
      </x:c>
      <x:c r="B23" s="31" t="n">
        <x:v>46166</x:v>
      </x:c>
      <x:c r="C23" s="31" t="inlineStr">
        <x:is>
          <x:t xml:space="preserve">ЗК-1122</x:t>
        </x:is>
      </x:c>
      <x:c r="D23" s="31" t="inlineStr">
        <x:is>
          <x:t xml:space="preserve">МАТ-0041</x:t>
        </x:is>
      </x:c>
      <x:c r="E23" s="31" t="inlineStr">
        <x:is>
          <x:t xml:space="preserve">модуль аналогового входа 4 канала / исп.2</x:t>
        </x:is>
      </x:c>
      <x:c r="F23" s="31" t="n">
        <x:v>41</x:v>
      </x:c>
      <x:c r="G23" s="31" t="inlineStr">
        <x:is>
          <x:t xml:space="preserve">шт</x:t>
        </x:is>
      </x:c>
      <x:c r="H23" s="31" t="inlineStr">
        <x:is>
          <x:t xml:space="preserve">ПОСТ-002</x:t>
        </x:is>
      </x:c>
      <x:c r="I23" s="31" t="n">
        <x:v>5296524</x:v>
      </x:c>
      <x:c r="J23" s="31" t="n">
        <x:v>46192</x:v>
      </x:c>
      <x:c r="K23" s="31" t="inlineStr">
        <x:is>
          <x:t xml:space="preserve">Черновик</x:t>
        </x:is>
      </x:c>
      <x:c r="L23" s="31" t="n"/>
      <x:c r="M23" s="31" t="inlineStr">
        <x:is>
          <x:t xml:space="preserve">Обычная</x:t>
        </x:is>
      </x:c>
      <x:c r="N23" s="31" t="inlineStr">
        <x:is>
          <x:t xml:space="preserve">СОТР-018</x:t>
        </x:is>
      </x:c>
      <x:c r="O23" s="31" t="inlineStr">
        <x:is>
          <x:t xml:space="preserve">Потребность сформирована по минимальному остатку и составу изделия</x:t>
        </x:is>
      </x:c>
    </x:row>
    <x:row r="24" ht="18" customHeight="1">
      <x:c r="A24" s="31" t="inlineStr">
        <x:is>
          <x:t xml:space="preserve">ЗЗ-00023</x:t>
        </x:is>
      </x:c>
      <x:c r="B24" s="31" t="n">
        <x:v>46172</x:v>
      </x:c>
      <x:c r="C24" s="31" t="inlineStr">
        <x:is>
          <x:t xml:space="preserve">ЗК-1037</x:t>
        </x:is>
      </x:c>
      <x:c r="D24" s="31" t="inlineStr">
        <x:is>
          <x:t xml:space="preserve">МАТ-0044</x:t>
        </x:is>
      </x:c>
      <x:c r="E24" s="31" t="inlineStr">
        <x:is>
          <x:t xml:space="preserve">Блок питания 24В / исп.2</x:t>
        </x:is>
      </x:c>
      <x:c r="F24" s="31" t="n">
        <x:v>94</x:v>
      </x:c>
      <x:c r="G24" s="31" t="inlineStr">
        <x:is>
          <x:t xml:space="preserve">шт</x:t>
        </x:is>
      </x:c>
      <x:c r="H24" s="31" t="inlineStr">
        <x:is>
          <x:t xml:space="preserve">ПОСТ-002</x:t>
        </x:is>
      </x:c>
      <x:c r="I24" s="31" t="n">
        <x:v>10059929</x:v>
      </x:c>
      <x:c r="J24" s="31" t="n">
        <x:v>46189</x:v>
      </x:c>
      <x:c r="K24" s="31" t="inlineStr">
        <x:is>
          <x:t xml:space="preserve">Заказано</x:t>
        </x:is>
      </x:c>
      <x:c r="L24" s="31" t="inlineStr">
        <x:is>
          <x:t xml:space="preserve">ЗП-2026-0023</x:t>
        </x:is>
      </x:c>
      <x:c r="M24" s="31" t="inlineStr">
        <x:is>
          <x:t xml:space="preserve">Срочная</x:t>
        </x:is>
      </x:c>
      <x:c r="N24" s="31" t="inlineStr">
        <x:is>
          <x:t xml:space="preserve">СОТР-023</x:t>
        </x:is>
      </x:c>
      <x:c r="O24" s="31" t="inlineStr">
        <x:is>
          <x:t xml:space="preserve">Потребность сформирована по минимальному остатку и составу изделия</x:t>
        </x:is>
      </x:c>
    </x:row>
    <x:row r="25" ht="18" customHeight="1">
      <x:c r="A25" s="31" t="inlineStr">
        <x:is>
          <x:t xml:space="preserve">ЗЗ-00024</x:t>
        </x:is>
      </x:c>
      <x:c r="B25" s="31" t="n">
        <x:v>46141</x:v>
      </x:c>
      <x:c r="C25" s="31" t="n"/>
      <x:c r="D25" s="31" t="inlineStr">
        <x:is>
          <x:t xml:space="preserve">МАТ-0045</x:t>
        </x:is>
      </x:c>
      <x:c r="E25" s="31" t="inlineStr">
        <x:is>
          <x:t xml:space="preserve">Автоматический выключатель 16А</x:t>
        </x:is>
      </x:c>
      <x:c r="F25" s="31" t="n">
        <x:v>222</x:v>
      </x:c>
      <x:c r="G25" s="31" t="inlineStr">
        <x:is>
          <x:t xml:space="preserve">шт</x:t>
        </x:is>
      </x:c>
      <x:c r="H25" s="31" t="inlineStr">
        <x:is>
          <x:t xml:space="preserve">ПОСТ-002</x:t>
        </x:is>
      </x:c>
      <x:c r="I25" s="31" t="n">
        <x:v>13474808</x:v>
      </x:c>
      <x:c r="J25" s="31" t="n">
        <x:v>46212</x:v>
      </x:c>
      <x:c r="K25" s="31" t="inlineStr">
        <x:is>
          <x:t xml:space="preserve">Заказано</x:t>
        </x:is>
      </x:c>
      <x:c r="L25" s="31" t="inlineStr">
        <x:is>
          <x:t xml:space="preserve">ЗП-2026-0024</x:t>
        </x:is>
      </x:c>
      <x:c r="M25" s="31" t="inlineStr">
        <x:is>
          <x:t xml:space="preserve">Обычная</x:t>
        </x:is>
      </x:c>
      <x:c r="N25" s="31" t="inlineStr">
        <x:is>
          <x:t xml:space="preserve">СОТР-025</x:t>
        </x:is>
      </x:c>
      <x:c r="O25" s="31" t="inlineStr">
        <x:is>
          <x:t xml:space="preserve">Потребность сформирована по минимальному остатку и составу изделия</x:t>
        </x:is>
      </x:c>
    </x:row>
    <x:row r="26" ht="18" customHeight="1">
      <x:c r="A26" s="31" t="inlineStr">
        <x:is>
          <x:t xml:space="preserve">ЗЗ-00025</x:t>
        </x:is>
      </x:c>
      <x:c r="B26" s="31" t="n">
        <x:v>46180</x:v>
      </x:c>
      <x:c r="C26" s="31" t="n"/>
      <x:c r="D26" s="31" t="inlineStr">
        <x:is>
          <x:t xml:space="preserve">МАТ-0046</x:t>
        </x:is>
      </x:c>
      <x:c r="E26" s="31" t="inlineStr">
        <x:is>
          <x:t xml:space="preserve">Контактор 25А</x:t>
        </x:is>
      </x:c>
      <x:c r="F26" s="31" t="n">
        <x:v>135</x:v>
      </x:c>
      <x:c r="G26" s="31" t="inlineStr">
        <x:is>
          <x:t xml:space="preserve">шт</x:t>
        </x:is>
      </x:c>
      <x:c r="H26" s="31" t="inlineStr">
        <x:is>
          <x:t xml:space="preserve">ПОСТ-002</x:t>
        </x:is>
      </x:c>
      <x:c r="I26" s="31" t="n">
        <x:v>10490839</x:v>
      </x:c>
      <x:c r="J26" s="31" t="n">
        <x:v>46195</x:v>
      </x:c>
      <x:c r="K26" s="31" t="inlineStr">
        <x:is>
          <x:t xml:space="preserve">Заказано</x:t>
        </x:is>
      </x:c>
      <x:c r="L26" s="31" t="inlineStr">
        <x:is>
          <x:t xml:space="preserve">ЗП-2026-0025</x:t>
        </x:is>
      </x:c>
      <x:c r="M26" s="31" t="inlineStr">
        <x:is>
          <x:t xml:space="preserve">Обычная</x:t>
        </x:is>
      </x:c>
      <x:c r="N26" s="31" t="inlineStr">
        <x:is>
          <x:t xml:space="preserve">СОТР-025</x:t>
        </x:is>
      </x:c>
      <x:c r="O26" s="31" t="inlineStr">
        <x:is>
          <x:t xml:space="preserve">Потребность сформирована по минимальному остатку и составу изделия</x:t>
        </x:is>
      </x:c>
    </x:row>
    <x:row r="27" ht="18" customHeight="1">
      <x:c r="A27" s="31" t="inlineStr">
        <x:is>
          <x:t xml:space="preserve">ЗЗ-00026</x:t>
        </x:is>
      </x:c>
      <x:c r="B27" s="31" t="n">
        <x:v>46185</x:v>
      </x:c>
      <x:c r="C27" s="31" t="n"/>
      <x:c r="D27" s="31" t="inlineStr">
        <x:is>
          <x:t xml:space="preserve">МАТ-0047</x:t>
        </x:is>
      </x:c>
      <x:c r="E27" s="31" t="inlineStr">
        <x:is>
          <x:t xml:space="preserve">Контактор 25А / исп.2</x:t>
        </x:is>
      </x:c>
      <x:c r="F27" s="31" t="n">
        <x:v>216</x:v>
      </x:c>
      <x:c r="G27" s="31" t="inlineStr">
        <x:is>
          <x:t xml:space="preserve">шт</x:t>
        </x:is>
      </x:c>
      <x:c r="H27" s="31" t="inlineStr">
        <x:is>
          <x:t xml:space="preserve">ПОСТ-002</x:t>
        </x:is>
      </x:c>
      <x:c r="I27" s="31" t="n">
        <x:v>17333607</x:v>
      </x:c>
      <x:c r="J27" s="31" t="n">
        <x:v>46215</x:v>
      </x:c>
      <x:c r="K27" s="31" t="inlineStr">
        <x:is>
          <x:t xml:space="preserve">Поставлено</x:t>
        </x:is>
      </x:c>
      <x:c r="L27" s="31" t="inlineStr">
        <x:is>
          <x:t xml:space="preserve">ЗП-2026-0026</x:t>
        </x:is>
      </x:c>
      <x:c r="M27" s="31" t="inlineStr">
        <x:is>
          <x:t xml:space="preserve">Срочная</x:t>
        </x:is>
      </x:c>
      <x:c r="N27" s="31" t="inlineStr">
        <x:is>
          <x:t xml:space="preserve">СОТР-027</x:t>
        </x:is>
      </x:c>
      <x:c r="O27" s="31" t="inlineStr">
        <x:is>
          <x:t xml:space="preserve">Потребность сформирована по минимальному остатку и составу изделия</x:t>
        </x:is>
      </x:c>
    </x:row>
    <x:row r="28" ht="18" customHeight="1">
      <x:c r="A28" s="31" t="inlineStr">
        <x:is>
          <x:t xml:space="preserve">ЗЗ-00027</x:t>
        </x:is>
      </x:c>
      <x:c r="B28" s="31" t="n">
        <x:v>46140</x:v>
      </x:c>
      <x:c r="C28" s="31" t="n"/>
      <x:c r="D28" s="31" t="inlineStr">
        <x:is>
          <x:t xml:space="preserve">МАТ-0049</x:t>
        </x:is>
      </x:c>
      <x:c r="E28" s="31" t="inlineStr">
        <x:is>
          <x:t xml:space="preserve">Рейковая клемма</x:t>
        </x:is>
      </x:c>
      <x:c r="F28" s="31" t="n">
        <x:v>24</x:v>
      </x:c>
      <x:c r="G28" s="31" t="inlineStr">
        <x:is>
          <x:t xml:space="preserve">шт</x:t>
        </x:is>
      </x:c>
      <x:c r="H28" s="31" t="inlineStr">
        <x:is>
          <x:t xml:space="preserve">ПОСТ-002</x:t>
        </x:is>
      </x:c>
      <x:c r="I28" s="31" t="n">
        <x:v>2247613</x:v>
      </x:c>
      <x:c r="J28" s="31" t="n">
        <x:v>46194</x:v>
      </x:c>
      <x:c r="K28" s="31" t="inlineStr">
        <x:is>
          <x:t xml:space="preserve">На согласовании</x:t>
        </x:is>
      </x:c>
      <x:c r="L28" s="31" t="n"/>
      <x:c r="M28" s="31" t="inlineStr">
        <x:is>
          <x:t xml:space="preserve">Обычная</x:t>
        </x:is>
      </x:c>
      <x:c r="N28" s="31" t="inlineStr">
        <x:is>
          <x:t xml:space="preserve">СОТР-022</x:t>
        </x:is>
      </x:c>
      <x:c r="O28" s="31" t="inlineStr">
        <x:is>
          <x:t xml:space="preserve">Потребность сформирована по минимальному остатку и составу изделия</x:t>
        </x:is>
      </x:c>
    </x:row>
    <x:row r="29" ht="18" customHeight="1">
      <x:c r="A29" s="31" t="inlineStr">
        <x:is>
          <x:t xml:space="preserve">ЗЗ-00028</x:t>
        </x:is>
      </x:c>
      <x:c r="B29" s="31" t="n">
        <x:v>46172</x:v>
      </x:c>
      <x:c r="C29" s="31" t="inlineStr">
        <x:is>
          <x:t xml:space="preserve">ЗК-1122</x:t>
        </x:is>
      </x:c>
      <x:c r="D29" s="31" t="inlineStr">
        <x:is>
          <x:t xml:space="preserve">МАТ-0051</x:t>
        </x:is>
      </x:c>
      <x:c r="E29" s="31" t="inlineStr">
        <x:is>
          <x:t xml:space="preserve">Кран шаровой Ду50</x:t>
        </x:is>
      </x:c>
      <x:c r="F29" s="31" t="n">
        <x:v>13</x:v>
      </x:c>
      <x:c r="G29" s="31" t="inlineStr">
        <x:is>
          <x:t xml:space="preserve">шт</x:t>
        </x:is>
      </x:c>
      <x:c r="H29" s="31" t="inlineStr">
        <x:is>
          <x:t xml:space="preserve">ПОСТ-010</x:t>
        </x:is>
      </x:c>
      <x:c r="I29" s="31" t="n">
        <x:v>453454</x:v>
      </x:c>
      <x:c r="J29" s="31" t="n">
        <x:v>46213</x:v>
      </x:c>
      <x:c r="K29" s="31" t="inlineStr">
        <x:is>
          <x:t xml:space="preserve">Заказано</x:t>
        </x:is>
      </x:c>
      <x:c r="L29" s="31" t="inlineStr">
        <x:is>
          <x:t xml:space="preserve">ЗП-2026-0028</x:t>
        </x:is>
      </x:c>
      <x:c r="M29" s="31" t="inlineStr">
        <x:is>
          <x:t xml:space="preserve">Обычная</x:t>
        </x:is>
      </x:c>
      <x:c r="N29" s="31" t="inlineStr">
        <x:is>
          <x:t xml:space="preserve">СОТР-026</x:t>
        </x:is>
      </x:c>
      <x:c r="O29" s="31" t="inlineStr">
        <x:is>
          <x:t xml:space="preserve">Потребность сформирована по минимальному остатку и составу изделия</x:t>
        </x:is>
      </x:c>
    </x:row>
    <x:row r="30" ht="18" customHeight="1">
      <x:c r="A30" s="31" t="inlineStr">
        <x:is>
          <x:t xml:space="preserve">ЗЗ-00029</x:t>
        </x:is>
      </x:c>
      <x:c r="B30" s="31" t="n">
        <x:v>46144</x:v>
      </x:c>
      <x:c r="C30" s="31" t="inlineStr">
        <x:is>
          <x:t xml:space="preserve">ЗК-1101</x:t>
        </x:is>
      </x:c>
      <x:c r="D30" s="31" t="inlineStr">
        <x:is>
          <x:t xml:space="preserve">МАТ-0052</x:t>
        </x:is>
      </x:c>
      <x:c r="E30" s="31" t="inlineStr">
        <x:is>
          <x:t xml:space="preserve">Кран шаровой Ду50 / исп.2</x:t>
        </x:is>
      </x:c>
      <x:c r="F30" s="31" t="n">
        <x:v>42</x:v>
      </x:c>
      <x:c r="G30" s="31" t="inlineStr">
        <x:is>
          <x:t xml:space="preserve">шт</x:t>
        </x:is>
      </x:c>
      <x:c r="H30" s="31" t="inlineStr">
        <x:is>
          <x:t xml:space="preserve">ПОСТ-010</x:t>
        </x:is>
      </x:c>
      <x:c r="I30" s="31" t="n">
        <x:v>207932</x:v>
      </x:c>
      <x:c r="J30" s="31" t="n">
        <x:v>46203</x:v>
      </x:c>
      <x:c r="K30" s="31" t="inlineStr">
        <x:is>
          <x:t xml:space="preserve">На согласовании</x:t>
        </x:is>
      </x:c>
      <x:c r="L30" s="31" t="n"/>
      <x:c r="M30" s="31" t="inlineStr">
        <x:is>
          <x:t xml:space="preserve">Обычная</x:t>
        </x:is>
      </x:c>
      <x:c r="N30" s="31" t="inlineStr">
        <x:is>
          <x:t xml:space="preserve">СОТР-026</x:t>
        </x:is>
      </x:c>
      <x:c r="O30" s="31" t="inlineStr">
        <x:is>
          <x:t xml:space="preserve">Потребность сформирована по минимальному остатку и составу изделия</x:t>
        </x:is>
      </x:c>
    </x:row>
    <x:row r="31" ht="18" customHeight="1">
      <x:c r="A31" s="31" t="inlineStr">
        <x:is>
          <x:t xml:space="preserve">ЗЗ-00030</x:t>
        </x:is>
      </x:c>
      <x:c r="B31" s="31" t="n">
        <x:v>46142</x:v>
      </x:c>
      <x:c r="C31" s="31" t="inlineStr">
        <x:is>
          <x:t xml:space="preserve">ЗК-1043</x:t>
        </x:is>
      </x:c>
      <x:c r="D31" s="31" t="inlineStr">
        <x:is>
          <x:t xml:space="preserve">МАТ-0053</x:t>
        </x:is>
      </x:c>
      <x:c r="E31" s="31" t="inlineStr">
        <x:is>
          <x:t xml:space="preserve">Кран шаровой Ду50 / исп.3</x:t>
        </x:is>
      </x:c>
      <x:c r="F31" s="31" t="n">
        <x:v>148</x:v>
      </x:c>
      <x:c r="G31" s="31" t="inlineStr">
        <x:is>
          <x:t xml:space="preserve">шт</x:t>
        </x:is>
      </x:c>
      <x:c r="H31" s="31" t="inlineStr">
        <x:is>
          <x:t xml:space="preserve">ПОСТ-015</x:t>
        </x:is>
      </x:c>
      <x:c r="I31" s="31" t="n">
        <x:v>1990968</x:v>
      </x:c>
      <x:c r="J31" s="31" t="n">
        <x:v>46219</x:v>
      </x:c>
      <x:c r="K31" s="31" t="inlineStr">
        <x:is>
          <x:t xml:space="preserve">Заказано</x:t>
        </x:is>
      </x:c>
      <x:c r="L31" s="31" t="inlineStr">
        <x:is>
          <x:t xml:space="preserve">ЗП-2026-0030</x:t>
        </x:is>
      </x:c>
      <x:c r="M31" s="31" t="inlineStr">
        <x:is>
          <x:t xml:space="preserve">Обычная</x:t>
        </x:is>
      </x:c>
      <x:c r="N31" s="31" t="inlineStr">
        <x:is>
          <x:t xml:space="preserve">СОТР-026</x:t>
        </x:is>
      </x:c>
      <x:c r="O31" s="31" t="inlineStr">
        <x:is>
          <x:t xml:space="preserve">Потребность сформирована по минимальному остатку и составу изделия</x:t>
        </x:is>
      </x:c>
    </x:row>
    <x:row r="32" ht="18" customHeight="1">
      <x:c r="A32" s="31" t="inlineStr">
        <x:is>
          <x:t xml:space="preserve">ЗЗ-00031</x:t>
        </x:is>
      </x:c>
      <x:c r="B32" s="31" t="n">
        <x:v>46171</x:v>
      </x:c>
      <x:c r="C32" s="31" t="n"/>
      <x:c r="D32" s="31" t="inlineStr">
        <x:is>
          <x:t xml:space="preserve">МАТ-0054</x:t>
        </x:is>
      </x:c>
      <x:c r="E32" s="31" t="inlineStr">
        <x:is>
          <x:t xml:space="preserve">Кран шаровой Ду80</x:t>
        </x:is>
      </x:c>
      <x:c r="F32" s="31" t="n">
        <x:v>139</x:v>
      </x:c>
      <x:c r="G32" s="31" t="inlineStr">
        <x:is>
          <x:t xml:space="preserve">шт</x:t>
        </x:is>
      </x:c>
      <x:c r="H32" s="31" t="inlineStr">
        <x:is>
          <x:t xml:space="preserve">ПОСТ-025</x:t>
        </x:is>
      </x:c>
      <x:c r="I32" s="31" t="n">
        <x:v>3817313</x:v>
      </x:c>
      <x:c r="J32" s="31" t="n">
        <x:v>46219</x:v>
      </x:c>
      <x:c r="K32" s="31" t="inlineStr">
        <x:is>
          <x:t xml:space="preserve">Заказано</x:t>
        </x:is>
      </x:c>
      <x:c r="L32" s="31" t="inlineStr">
        <x:is>
          <x:t xml:space="preserve">ЗП-2026-0031</x:t>
        </x:is>
      </x:c>
      <x:c r="M32" s="31" t="inlineStr">
        <x:is>
          <x:t xml:space="preserve">Срочная</x:t>
        </x:is>
      </x:c>
      <x:c r="N32" s="31" t="inlineStr">
        <x:is>
          <x:t xml:space="preserve">СОТР-022</x:t>
        </x:is>
      </x:c>
      <x:c r="O32" s="31" t="inlineStr">
        <x:is>
          <x:t xml:space="preserve">Потребность сформирована по минимальному остатку и составу изделия</x:t>
        </x:is>
      </x:c>
    </x:row>
    <x:row r="33" ht="18" customHeight="1">
      <x:c r="A33" s="31" t="inlineStr">
        <x:is>
          <x:t xml:space="preserve">ЗЗ-00032</x:t>
        </x:is>
      </x:c>
      <x:c r="B33" s="31" t="n">
        <x:v>46169</x:v>
      </x:c>
      <x:c r="C33" s="31" t="inlineStr">
        <x:is>
          <x:t xml:space="preserve">ЗК-1035</x:t>
        </x:is>
      </x:c>
      <x:c r="D33" s="31" t="inlineStr">
        <x:is>
          <x:t xml:space="preserve">МАТ-0055</x:t>
        </x:is>
      </x:c>
      <x:c r="E33" s="31" t="inlineStr">
        <x:is>
          <x:t xml:space="preserve">Клапан обратный Ду50</x:t>
        </x:is>
      </x:c>
      <x:c r="F33" s="31" t="n">
        <x:v>271</x:v>
      </x:c>
      <x:c r="G33" s="31" t="inlineStr">
        <x:is>
          <x:t xml:space="preserve">шт</x:t>
        </x:is>
      </x:c>
      <x:c r="H33" s="31" t="inlineStr">
        <x:is>
          <x:t xml:space="preserve">ПОСТ-015</x:t>
        </x:is>
      </x:c>
      <x:c r="I33" s="31" t="n">
        <x:v>6509423</x:v>
      </x:c>
      <x:c r="J33" s="31" t="n">
        <x:v>46209</x:v>
      </x:c>
      <x:c r="K33" s="31" t="inlineStr">
        <x:is>
          <x:t xml:space="preserve">На согласовании</x:t>
        </x:is>
      </x:c>
      <x:c r="L33" s="31" t="n"/>
      <x:c r="M33" s="31" t="inlineStr">
        <x:is>
          <x:t xml:space="preserve">Критичная</x:t>
        </x:is>
      </x:c>
      <x:c r="N33" s="31" t="inlineStr">
        <x:is>
          <x:t xml:space="preserve">СОТР-027</x:t>
        </x:is>
      </x:c>
      <x:c r="O33" s="31" t="inlineStr">
        <x:is>
          <x:t xml:space="preserve">Потребность сформирована по минимальному остатку и составу изделия</x:t>
        </x:is>
      </x:c>
    </x:row>
    <x:row r="34" ht="18" customHeight="1">
      <x:c r="A34" s="31" t="inlineStr">
        <x:is>
          <x:t xml:space="preserve">ЗЗ-00033</x:t>
        </x:is>
      </x:c>
      <x:c r="B34" s="31" t="n">
        <x:v>46145</x:v>
      </x:c>
      <x:c r="C34" s="31" t="inlineStr">
        <x:is>
          <x:t xml:space="preserve">ЗК-1019</x:t>
        </x:is>
      </x:c>
      <x:c r="D34" s="31" t="inlineStr">
        <x:is>
          <x:t xml:space="preserve">МАТ-0056</x:t>
        </x:is>
      </x:c>
      <x:c r="E34" s="31" t="inlineStr">
        <x:is>
          <x:t xml:space="preserve">Задвижка Ду100</x:t>
        </x:is>
      </x:c>
      <x:c r="F34" s="31" t="n">
        <x:v>23</x:v>
      </x:c>
      <x:c r="G34" s="31" t="inlineStr">
        <x:is>
          <x:t xml:space="preserve">шт</x:t>
        </x:is>
      </x:c>
      <x:c r="H34" s="31" t="inlineStr">
        <x:is>
          <x:t xml:space="preserve">ПОСТ-025</x:t>
        </x:is>
      </x:c>
      <x:c r="I34" s="31" t="n">
        <x:v>455069</x:v>
      </x:c>
      <x:c r="J34" s="31" t="n">
        <x:v>46209</x:v>
      </x:c>
      <x:c r="K34" s="31" t="inlineStr">
        <x:is>
          <x:t xml:space="preserve">Черновик</x:t>
        </x:is>
      </x:c>
      <x:c r="L34" s="31" t="n"/>
      <x:c r="M34" s="31" t="inlineStr">
        <x:is>
          <x:t xml:space="preserve">Срочная</x:t>
        </x:is>
      </x:c>
      <x:c r="N34" s="31" t="inlineStr">
        <x:is>
          <x:t xml:space="preserve">СОТР-025</x:t>
        </x:is>
      </x:c>
      <x:c r="O34" s="31" t="inlineStr">
        <x:is>
          <x:t xml:space="preserve">Потребность сформирована по минимальному остатку и составу изделия</x:t>
        </x:is>
      </x:c>
    </x:row>
    <x:row r="35" ht="18" customHeight="1">
      <x:c r="A35" s="31" t="inlineStr">
        <x:is>
          <x:t xml:space="preserve">ЗЗ-00034</x:t>
        </x:is>
      </x:c>
      <x:c r="B35" s="31" t="n">
        <x:v>46156</x:v>
      </x:c>
      <x:c r="C35" s="31" t="inlineStr">
        <x:is>
          <x:t xml:space="preserve">ЗК-1083</x:t>
        </x:is>
      </x:c>
      <x:c r="D35" s="31" t="inlineStr">
        <x:is>
          <x:t xml:space="preserve">МАТ-0057</x:t>
        </x:is>
      </x:c>
      <x:c r="E35" s="31" t="inlineStr">
        <x:is>
          <x:t xml:space="preserve">Задвижка Ду100 / исп.2</x:t>
        </x:is>
      </x:c>
      <x:c r="F35" s="31" t="n">
        <x:v>157</x:v>
      </x:c>
      <x:c r="G35" s="31" t="inlineStr">
        <x:is>
          <x:t xml:space="preserve">шт</x:t>
        </x:is>
      </x:c>
      <x:c r="H35" s="31" t="inlineStr">
        <x:is>
          <x:t xml:space="preserve">ПОСТ-010</x:t>
        </x:is>
      </x:c>
      <x:c r="I35" s="31" t="n">
        <x:v>6686180</x:v>
      </x:c>
      <x:c r="J35" s="31" t="n">
        <x:v>46191</x:v>
      </x:c>
      <x:c r="K35" s="31" t="inlineStr">
        <x:is>
          <x:t xml:space="preserve">Заказано</x:t>
        </x:is>
      </x:c>
      <x:c r="L35" s="31" t="inlineStr">
        <x:is>
          <x:t xml:space="preserve">ЗП-2026-0034</x:t>
        </x:is>
      </x:c>
      <x:c r="M35" s="31" t="inlineStr">
        <x:is>
          <x:t xml:space="preserve">Срочная</x:t>
        </x:is>
      </x:c>
      <x:c r="N35" s="31" t="inlineStr">
        <x:is>
          <x:t xml:space="preserve">СОТР-028</x:t>
        </x:is>
      </x:c>
      <x:c r="O35" s="31" t="inlineStr">
        <x:is>
          <x:t xml:space="preserve">Потребность сформирована по минимальному остатку и составу изделия</x:t>
        </x:is>
      </x:c>
    </x:row>
    <x:row r="36" ht="18" customHeight="1">
      <x:c r="A36" s="31" t="inlineStr">
        <x:is>
          <x:t xml:space="preserve">ЗЗ-00035</x:t>
        </x:is>
      </x:c>
      <x:c r="B36" s="31" t="n">
        <x:v>46151</x:v>
      </x:c>
      <x:c r="C36" s="31" t="inlineStr">
        <x:is>
          <x:t xml:space="preserve">ЗК-1056</x:t>
        </x:is>
      </x:c>
      <x:c r="D36" s="31" t="inlineStr">
        <x:is>
          <x:t xml:space="preserve">МАТ-0060</x:t>
        </x:is>
      </x:c>
      <x:c r="E36" s="31" t="inlineStr">
        <x:is>
          <x:t xml:space="preserve">Фильтр сетчатый Ду50 / исп.2</x:t>
        </x:is>
      </x:c>
      <x:c r="F36" s="31" t="n">
        <x:v>68</x:v>
      </x:c>
      <x:c r="G36" s="31" t="inlineStr">
        <x:is>
          <x:t xml:space="preserve">шт</x:t>
        </x:is>
      </x:c>
      <x:c r="H36" s="31" t="inlineStr">
        <x:is>
          <x:t xml:space="preserve">ПОСТ-010</x:t>
        </x:is>
      </x:c>
      <x:c r="I36" s="31" t="n">
        <x:v>2842834</x:v>
      </x:c>
      <x:c r="J36" s="31" t="n">
        <x:v>46192</x:v>
      </x:c>
      <x:c r="K36" s="31" t="inlineStr">
        <x:is>
          <x:t xml:space="preserve">Заказано</x:t>
        </x:is>
      </x:c>
      <x:c r="L36" s="31" t="inlineStr">
        <x:is>
          <x:t xml:space="preserve">ЗП-2026-0035</x:t>
        </x:is>
      </x:c>
      <x:c r="M36" s="31" t="inlineStr">
        <x:is>
          <x:t xml:space="preserve">Срочная</x:t>
        </x:is>
      </x:c>
      <x:c r="N36" s="31" t="inlineStr">
        <x:is>
          <x:t xml:space="preserve">СОТР-025</x:t>
        </x:is>
      </x:c>
      <x:c r="O36" s="31" t="inlineStr">
        <x:is>
          <x:t xml:space="preserve">Потребность сформирована по минимальному остатку и составу изделия</x:t>
        </x:is>
      </x:c>
    </x:row>
    <x:row r="37" ht="18" customHeight="1">
      <x:c r="A37" s="31" t="inlineStr">
        <x:is>
          <x:t xml:space="preserve">ЗЗ-00036</x:t>
        </x:is>
      </x:c>
      <x:c r="B37" s="31" t="n">
        <x:v>46140</x:v>
      </x:c>
      <x:c r="C37" s="31" t="inlineStr">
        <x:is>
          <x:t xml:space="preserve">ЗК-1038</x:t>
        </x:is>
      </x:c>
      <x:c r="D37" s="31" t="inlineStr">
        <x:is>
          <x:t xml:space="preserve">МАТ-0061</x:t>
        </x:is>
      </x:c>
      <x:c r="E37" s="31" t="inlineStr">
        <x:is>
          <x:t xml:space="preserve">Фильтр сетчатый Ду50 / исп.3</x:t>
        </x:is>
      </x:c>
      <x:c r="F37" s="31" t="n">
        <x:v>17</x:v>
      </x:c>
      <x:c r="G37" s="31" t="inlineStr">
        <x:is>
          <x:t xml:space="preserve">шт</x:t>
        </x:is>
      </x:c>
      <x:c r="H37" s="31" t="inlineStr">
        <x:is>
          <x:t xml:space="preserve">ПОСТ-025</x:t>
        </x:is>
      </x:c>
      <x:c r="I37" s="31" t="n">
        <x:v>468408</x:v>
      </x:c>
      <x:c r="J37" s="31" t="n">
        <x:v>46192</x:v>
      </x:c>
      <x:c r="K37" s="31" t="inlineStr">
        <x:is>
          <x:t xml:space="preserve">Заказано</x:t>
        </x:is>
      </x:c>
      <x:c r="L37" s="31" t="inlineStr">
        <x:is>
          <x:t xml:space="preserve">ЗП-2026-0036</x:t>
        </x:is>
      </x:c>
      <x:c r="M37" s="31" t="inlineStr">
        <x:is>
          <x:t xml:space="preserve">Обычная</x:t>
        </x:is>
      </x:c>
      <x:c r="N37" s="31" t="inlineStr">
        <x:is>
          <x:t xml:space="preserve">СОТР-029</x:t>
        </x:is>
      </x:c>
      <x:c r="O37" s="31" t="inlineStr">
        <x:is>
          <x:t xml:space="preserve">Потребность сформирована по минимальному остатку и составу изделия</x:t>
        </x:is>
      </x:c>
    </x:row>
    <x:row r="38" ht="18" customHeight="1">
      <x:c r="A38" s="31" t="inlineStr">
        <x:is>
          <x:t xml:space="preserve">ЗЗ-00037</x:t>
        </x:is>
      </x:c>
      <x:c r="B38" s="31" t="n">
        <x:v>46170</x:v>
      </x:c>
      <x:c r="C38" s="31" t="inlineStr">
        <x:is>
          <x:t xml:space="preserve">ЗК-1114</x:t>
        </x:is>
      </x:c>
      <x:c r="D38" s="31" t="inlineStr">
        <x:is>
          <x:t xml:space="preserve">МАТ-0063</x:t>
        </x:is>
      </x:c>
      <x:c r="E38" s="31" t="inlineStr">
        <x:is>
          <x:t xml:space="preserve">Кабель ВВГнг 3×2.5</x:t>
        </x:is>
      </x:c>
      <x:c r="F38" s="31" t="n">
        <x:v>53</x:v>
      </x:c>
      <x:c r="G38" s="31" t="inlineStr">
        <x:is>
          <x:t xml:space="preserve">шт</x:t>
        </x:is>
      </x:c>
      <x:c r="H38" s="31" t="inlineStr">
        <x:is>
          <x:t xml:space="preserve">ПОСТ-004</x:t>
        </x:is>
      </x:c>
      <x:c r="I38" s="31" t="n">
        <x:v>6970</x:v>
      </x:c>
      <x:c r="J38" s="31" t="n">
        <x:v>46213</x:v>
      </x:c>
      <x:c r="K38" s="31" t="inlineStr">
        <x:is>
          <x:t xml:space="preserve">Частично поставлено</x:t>
        </x:is>
      </x:c>
      <x:c r="L38" s="31" t="inlineStr">
        <x:is>
          <x:t xml:space="preserve">ЗП-2026-0037</x:t>
        </x:is>
      </x:c>
      <x:c r="M38" s="31" t="inlineStr">
        <x:is>
          <x:t xml:space="preserve">Обычная</x:t>
        </x:is>
      </x:c>
      <x:c r="N38" s="31" t="inlineStr">
        <x:is>
          <x:t xml:space="preserve">СОТР-028</x:t>
        </x:is>
      </x:c>
      <x:c r="O38" s="31" t="inlineStr">
        <x:is>
          <x:t xml:space="preserve">Потребность сформирована по минимальному остатку и составу изделия</x:t>
        </x:is>
      </x:c>
    </x:row>
    <x:row r="39" ht="18" customHeight="1">
      <x:c r="A39" s="31" t="inlineStr">
        <x:is>
          <x:t xml:space="preserve">ЗЗ-00038</x:t>
        </x:is>
      </x:c>
      <x:c r="B39" s="31" t="n">
        <x:v>46143</x:v>
      </x:c>
      <x:c r="C39" s="31" t="inlineStr">
        <x:is>
          <x:t xml:space="preserve">ЗК-1113</x:t>
        </x:is>
      </x:c>
      <x:c r="D39" s="31" t="inlineStr">
        <x:is>
          <x:t xml:space="preserve">МАТ-0064</x:t>
        </x:is>
      </x:c>
      <x:c r="E39" s="31" t="inlineStr">
        <x:is>
          <x:t xml:space="preserve">Кабель ВВГнг 3×2.5 / исп.2</x:t>
        </x:is>
      </x:c>
      <x:c r="F39" s="31" t="n">
        <x:v>13</x:v>
      </x:c>
      <x:c r="G39" s="31" t="inlineStr">
        <x:is>
          <x:t xml:space="preserve">шт</x:t>
        </x:is>
      </x:c>
      <x:c r="H39" s="31" t="inlineStr">
        <x:is>
          <x:t xml:space="preserve">ПОСТ-023</x:t>
        </x:is>
      </x:c>
      <x:c r="I39" s="31" t="n">
        <x:v>5207</x:v>
      </x:c>
      <x:c r="J39" s="31" t="n">
        <x:v>46205</x:v>
      </x:c>
      <x:c r="K39" s="31" t="inlineStr">
        <x:is>
          <x:t xml:space="preserve">Частично поставлено</x:t>
        </x:is>
      </x:c>
      <x:c r="L39" s="31" t="inlineStr">
        <x:is>
          <x:t xml:space="preserve">ЗП-2026-0038</x:t>
        </x:is>
      </x:c>
      <x:c r="M39" s="31" t="inlineStr">
        <x:is>
          <x:t xml:space="preserve">Срочная</x:t>
        </x:is>
      </x:c>
      <x:c r="N39" s="31" t="inlineStr">
        <x:is>
          <x:t xml:space="preserve">СОТР-023</x:t>
        </x:is>
      </x:c>
      <x:c r="O39" s="31" t="inlineStr">
        <x:is>
          <x:t xml:space="preserve">Потребность сформирована по минимальному остатку и составу изделия</x:t>
        </x:is>
      </x:c>
    </x:row>
    <x:row r="40" ht="18" customHeight="1">
      <x:c r="A40" s="31" t="inlineStr">
        <x:is>
          <x:t xml:space="preserve">ЗЗ-00039</x:t>
        </x:is>
      </x:c>
      <x:c r="B40" s="31" t="n">
        <x:v>46156</x:v>
      </x:c>
      <x:c r="C40" s="31" t="n"/>
      <x:c r="D40" s="31" t="inlineStr">
        <x:is>
          <x:t xml:space="preserve">МАТ-0065</x:t>
        </x:is>
      </x:c>
      <x:c r="E40" s="31" t="inlineStr">
        <x:is>
          <x:t xml:space="preserve">Гофра металлическая</x:t>
        </x:is>
      </x:c>
      <x:c r="F40" s="31" t="n">
        <x:v>193</x:v>
      </x:c>
      <x:c r="G40" s="31" t="inlineStr">
        <x:is>
          <x:t xml:space="preserve">шт</x:t>
        </x:is>
      </x:c>
      <x:c r="H40" s="31" t="inlineStr">
        <x:is>
          <x:t xml:space="preserve">ПОСТ-004</x:t>
        </x:is>
      </x:c>
      <x:c r="I40" s="31" t="n">
        <x:v>42929</x:v>
      </x:c>
      <x:c r="J40" s="31" t="n">
        <x:v>46218</x:v>
      </x:c>
      <x:c r="K40" s="31" t="inlineStr">
        <x:is>
          <x:t xml:space="preserve">Поставлено</x:t>
        </x:is>
      </x:c>
      <x:c r="L40" s="31" t="inlineStr">
        <x:is>
          <x:t xml:space="preserve">ЗП-2026-0039</x:t>
        </x:is>
      </x:c>
      <x:c r="M40" s="31" t="inlineStr">
        <x:is>
          <x:t xml:space="preserve">Срочная</x:t>
        </x:is>
      </x:c>
      <x:c r="N40" s="31" t="inlineStr">
        <x:is>
          <x:t xml:space="preserve">СОТР-022</x:t>
        </x:is>
      </x:c>
      <x:c r="O40" s="31" t="inlineStr">
        <x:is>
          <x:t xml:space="preserve">Потребность сформирована по минимальному остатку и составу изделия</x:t>
        </x:is>
      </x:c>
    </x:row>
    <x:row r="41" ht="18" customHeight="1">
      <x:c r="A41" s="31" t="inlineStr">
        <x:is>
          <x:t xml:space="preserve">ЗЗ-00040</x:t>
        </x:is>
      </x:c>
      <x:c r="B41" s="31" t="n">
        <x:v>46183</x:v>
      </x:c>
      <x:c r="C41" s="31" t="inlineStr">
        <x:is>
          <x:t xml:space="preserve">ЗК-1068</x:t>
        </x:is>
      </x:c>
      <x:c r="D41" s="31" t="inlineStr">
        <x:is>
          <x:t xml:space="preserve">МАТ-0067</x:t>
        </x:is>
      </x:c>
      <x:c r="E41" s="31" t="inlineStr">
        <x:is>
          <x:t xml:space="preserve">Кабельный ввод М20</x:t>
        </x:is>
      </x:c>
      <x:c r="F41" s="31" t="n">
        <x:v>124</x:v>
      </x:c>
      <x:c r="G41" s="31" t="inlineStr">
        <x:is>
          <x:t xml:space="preserve">кг</x:t>
        </x:is>
      </x:c>
      <x:c r="H41" s="31" t="inlineStr">
        <x:is>
          <x:t xml:space="preserve">ПОСТ-013</x:t>
        </x:is>
      </x:c>
      <x:c r="I41" s="31" t="n">
        <x:v>15770</x:v>
      </x:c>
      <x:c r="J41" s="31" t="n">
        <x:v>46193</x:v>
      </x:c>
      <x:c r="K41" s="31" t="inlineStr">
        <x:is>
          <x:t xml:space="preserve">Частично поставлено</x:t>
        </x:is>
      </x:c>
      <x:c r="L41" s="31" t="inlineStr">
        <x:is>
          <x:t xml:space="preserve">ЗП-2026-0040</x:t>
        </x:is>
      </x:c>
      <x:c r="M41" s="31" t="inlineStr">
        <x:is>
          <x:t xml:space="preserve">Срочная</x:t>
        </x:is>
      </x:c>
      <x:c r="N41" s="31" t="inlineStr">
        <x:is>
          <x:t xml:space="preserve">СОТР-029</x:t>
        </x:is>
      </x:c>
      <x:c r="O41" s="31" t="inlineStr">
        <x:is>
          <x:t xml:space="preserve">Потребность сформирована по минимальному остатку и составу изделия</x:t>
        </x:is>
      </x:c>
    </x:row>
    <x:row r="42" ht="18" customHeight="1">
      <x:c r="A42" s="31" t="inlineStr">
        <x:is>
          <x:t xml:space="preserve">ЗЗ-00041</x:t>
        </x:is>
      </x:c>
      <x:c r="B42" s="31" t="n">
        <x:v>46162</x:v>
      </x:c>
      <x:c r="C42" s="31" t="n"/>
      <x:c r="D42" s="31" t="inlineStr">
        <x:is>
          <x:t xml:space="preserve">МАТ-0068</x:t>
        </x:is>
      </x:c>
      <x:c r="E42" s="31" t="inlineStr">
        <x:is>
          <x:t xml:space="preserve">Грунт эпоксидный</x:t>
        </x:is>
      </x:c>
      <x:c r="F42" s="31" t="n">
        <x:v>328</x:v>
      </x:c>
      <x:c r="G42" s="31" t="inlineStr">
        <x:is>
          <x:t xml:space="preserve">л</x:t>
        </x:is>
      </x:c>
      <x:c r="H42" s="31" t="inlineStr">
        <x:is>
          <x:t xml:space="preserve">ПОСТ-029</x:t>
        </x:is>
      </x:c>
      <x:c r="I42" s="31" t="n">
        <x:v>279956</x:v>
      </x:c>
      <x:c r="J42" s="31" t="n">
        <x:v>46200</x:v>
      </x:c>
      <x:c r="K42" s="31" t="inlineStr">
        <x:is>
          <x:t xml:space="preserve">Заказано</x:t>
        </x:is>
      </x:c>
      <x:c r="L42" s="31" t="inlineStr">
        <x:is>
          <x:t xml:space="preserve">ЗП-2026-0041</x:t>
        </x:is>
      </x:c>
      <x:c r="M42" s="31" t="inlineStr">
        <x:is>
          <x:t xml:space="preserve">Обычная</x:t>
        </x:is>
      </x:c>
      <x:c r="N42" s="31" t="inlineStr">
        <x:is>
          <x:t xml:space="preserve">СОТР-026</x:t>
        </x:is>
      </x:c>
      <x:c r="O42" s="31" t="inlineStr">
        <x:is>
          <x:t xml:space="preserve">Потребность сформирована по минимальному остатку и составу изделия</x:t>
        </x:is>
      </x:c>
    </x:row>
    <x:row r="43" ht="18" customHeight="1">
      <x:c r="A43" s="31" t="inlineStr">
        <x:is>
          <x:t xml:space="preserve">ЗЗ-00042</x:t>
        </x:is>
      </x:c>
      <x:c r="B43" s="31" t="n">
        <x:v>46184</x:v>
      </x:c>
      <x:c r="C43" s="31" t="inlineStr">
        <x:is>
          <x:t xml:space="preserve">ЗК-1126</x:t>
        </x:is>
      </x:c>
      <x:c r="D43" s="31" t="inlineStr">
        <x:is>
          <x:t xml:space="preserve">МАТ-0069</x:t>
        </x:is>
      </x:c>
      <x:c r="E43" s="31" t="inlineStr">
        <x:is>
          <x:t xml:space="preserve">Эмаль полиуретановая</x:t>
        </x:is>
      </x:c>
      <x:c r="F43" s="31" t="n">
        <x:v>263</x:v>
      </x:c>
      <x:c r="G43" s="31" t="inlineStr">
        <x:is>
          <x:t xml:space="preserve">л</x:t>
        </x:is>
      </x:c>
      <x:c r="H43" s="31" t="inlineStr">
        <x:is>
          <x:t xml:space="preserve">ПОСТ-007</x:t>
        </x:is>
      </x:c>
      <x:c r="I43" s="31" t="n">
        <x:v>145461</x:v>
      </x:c>
      <x:c r="J43" s="31" t="n">
        <x:v>46214</x:v>
      </x:c>
      <x:c r="K43" s="31" t="inlineStr">
        <x:is>
          <x:t xml:space="preserve">Заказано</x:t>
        </x:is>
      </x:c>
      <x:c r="L43" s="31" t="inlineStr">
        <x:is>
          <x:t xml:space="preserve">ЗП-2026-0042</x:t>
        </x:is>
      </x:c>
      <x:c r="M43" s="31" t="inlineStr">
        <x:is>
          <x:t xml:space="preserve">Обычная</x:t>
        </x:is>
      </x:c>
      <x:c r="N43" s="31" t="inlineStr">
        <x:is>
          <x:t xml:space="preserve">СОТР-025</x:t>
        </x:is>
      </x:c>
      <x:c r="O43" s="31" t="inlineStr">
        <x:is>
          <x:t xml:space="preserve">Потребность сформирована по минимальному остатку и составу изделия</x:t>
        </x:is>
      </x:c>
    </x:row>
    <x:row r="44" ht="18" customHeight="1">
      <x:c r="A44" s="31" t="inlineStr">
        <x:is>
          <x:t xml:space="preserve">ЗЗ-00043</x:t>
        </x:is>
      </x:c>
      <x:c r="B44" s="31" t="n">
        <x:v>46151</x:v>
      </x:c>
      <x:c r="C44" s="31" t="inlineStr">
        <x:is>
          <x:t xml:space="preserve">ЗК-1104</x:t>
        </x:is>
      </x:c>
      <x:c r="D44" s="31" t="inlineStr">
        <x:is>
          <x:t xml:space="preserve">МАТ-0071</x:t>
        </x:is>
      </x:c>
      <x:c r="E44" s="31" t="inlineStr">
        <x:is>
          <x:t xml:space="preserve">Эмаль полиуретановая / исп.3</x:t>
        </x:is>
      </x:c>
      <x:c r="F44" s="31" t="n">
        <x:v>168</x:v>
      </x:c>
      <x:c r="G44" s="31" t="inlineStr">
        <x:is>
          <x:t xml:space="preserve">кг</x:t>
        </x:is>
      </x:c>
      <x:c r="H44" s="31" t="inlineStr">
        <x:is>
          <x:t xml:space="preserve">ПОСТ-007</x:t>
        </x:is>
      </x:c>
      <x:c r="I44" s="31" t="n">
        <x:v>22720</x:v>
      </x:c>
      <x:c r="J44" s="31" t="n">
        <x:v>46190</x:v>
      </x:c>
      <x:c r="K44" s="31" t="inlineStr">
        <x:is>
          <x:t xml:space="preserve">Отменено</x:t>
        </x:is>
      </x:c>
      <x:c r="L44" s="31" t="n"/>
      <x:c r="M44" s="31" t="inlineStr">
        <x:is>
          <x:t xml:space="preserve">Обычная</x:t>
        </x:is>
      </x:c>
      <x:c r="N44" s="31" t="inlineStr">
        <x:is>
          <x:t xml:space="preserve">СОТР-023</x:t>
        </x:is>
      </x:c>
      <x:c r="O44" s="31" t="inlineStr">
        <x:is>
          <x:t xml:space="preserve">Потребность сформирована по минимальному остатку и составу изделия</x:t>
        </x:is>
      </x:c>
    </x:row>
    <x:row r="45" ht="18" customHeight="1">
      <x:c r="A45" s="31" t="inlineStr">
        <x:is>
          <x:t xml:space="preserve">ЗЗ-00044</x:t>
        </x:is>
      </x:c>
      <x:c r="B45" s="31" t="n">
        <x:v>46140</x:v>
      </x:c>
      <x:c r="C45" s="31" t="inlineStr">
        <x:is>
          <x:t xml:space="preserve">ЗК-1047</x:t>
        </x:is>
      </x:c>
      <x:c r="D45" s="31" t="inlineStr">
        <x:is>
          <x:t xml:space="preserve">МАТ-0072</x:t>
        </x:is>
      </x:c>
      <x:c r="E45" s="31" t="inlineStr">
        <x:is>
          <x:t xml:space="preserve">Растворитель</x:t>
        </x:is>
      </x:c>
      <x:c r="F45" s="31" t="n">
        <x:v>68</x:v>
      </x:c>
      <x:c r="G45" s="31" t="inlineStr">
        <x:is>
          <x:t xml:space="preserve">л</x:t>
        </x:is>
      </x:c>
      <x:c r="H45" s="31" t="inlineStr">
        <x:is>
          <x:t xml:space="preserve">ПОСТ-029</x:t>
        </x:is>
      </x:c>
      <x:c r="I45" s="31" t="n">
        <x:v>9294</x:v>
      </x:c>
      <x:c r="J45" s="31" t="n">
        <x:v>46201</x:v>
      </x:c>
      <x:c r="K45" s="31" t="inlineStr">
        <x:is>
          <x:t xml:space="preserve">Заказано</x:t>
        </x:is>
      </x:c>
      <x:c r="L45" s="31" t="inlineStr">
        <x:is>
          <x:t xml:space="preserve">ЗП-2026-0044</x:t>
        </x:is>
      </x:c>
      <x:c r="M45" s="31" t="inlineStr">
        <x:is>
          <x:t xml:space="preserve">Критичная</x:t>
        </x:is>
      </x:c>
      <x:c r="N45" s="31" t="inlineStr">
        <x:is>
          <x:t xml:space="preserve">СОТР-023</x:t>
        </x:is>
      </x:c>
      <x:c r="O45" s="31" t="inlineStr">
        <x:is>
          <x:t xml:space="preserve">Потребность сформирована по минимальному остатку и составу изделия</x:t>
        </x:is>
      </x:c>
    </x:row>
    <x:row r="46" ht="18" customHeight="1">
      <x:c r="A46" s="31" t="inlineStr">
        <x:is>
          <x:t xml:space="preserve">ЗЗ-00045</x:t>
        </x:is>
      </x:c>
      <x:c r="B46" s="31" t="n">
        <x:v>46158</x:v>
      </x:c>
      <x:c r="C46" s="31" t="inlineStr">
        <x:is>
          <x:t xml:space="preserve">ЗК-1114</x:t>
        </x:is>
      </x:c>
      <x:c r="D46" s="31" t="inlineStr">
        <x:is>
          <x:t xml:space="preserve">МАТ-0073</x:t>
        </x:is>
      </x:c>
      <x:c r="E46" s="31" t="inlineStr">
        <x:is>
          <x:t xml:space="preserve">Растворитель / исп.2</x:t>
        </x:is>
      </x:c>
      <x:c r="F46" s="31" t="n">
        <x:v>250</x:v>
      </x:c>
      <x:c r="G46" s="31" t="inlineStr">
        <x:is>
          <x:t xml:space="preserve">л</x:t>
        </x:is>
      </x:c>
      <x:c r="H46" s="31" t="inlineStr">
        <x:is>
          <x:t xml:space="preserve">ПОСТ-029</x:t>
        </x:is>
      </x:c>
      <x:c r="I46" s="31" t="n">
        <x:v>198947</x:v>
      </x:c>
      <x:c r="J46" s="31" t="n">
        <x:v>46213</x:v>
      </x:c>
      <x:c r="K46" s="31" t="inlineStr">
        <x:is>
          <x:t xml:space="preserve">Поставлено</x:t>
        </x:is>
      </x:c>
      <x:c r="L46" s="31" t="inlineStr">
        <x:is>
          <x:t xml:space="preserve">ЗП-2026-0045</x:t>
        </x:is>
      </x:c>
      <x:c r="M46" s="31" t="inlineStr">
        <x:is>
          <x:t xml:space="preserve">Обычная</x:t>
        </x:is>
      </x:c>
      <x:c r="N46" s="31" t="inlineStr">
        <x:is>
          <x:t xml:space="preserve">СОТР-023</x:t>
        </x:is>
      </x:c>
      <x:c r="O46" s="31" t="inlineStr">
        <x:is>
          <x:t xml:space="preserve">Потребность сформирована по минимальному остатку и составу изделия</x:t>
        </x:is>
      </x:c>
    </x:row>
    <x:row r="47" ht="18" customHeight="1">
      <x:c r="A47" s="31" t="inlineStr">
        <x:is>
          <x:t xml:space="preserve">ЗЗ-00046</x:t>
        </x:is>
      </x:c>
      <x:c r="B47" s="31" t="n">
        <x:v>46171</x:v>
      </x:c>
      <x:c r="C47" s="31" t="inlineStr">
        <x:is>
          <x:t xml:space="preserve">ЗК-1052</x:t>
        </x:is>
      </x:c>
      <x:c r="D47" s="31" t="inlineStr">
        <x:is>
          <x:t xml:space="preserve">МАТ-0075</x:t>
        </x:is>
      </x:c>
      <x:c r="E47" s="31" t="inlineStr">
        <x:is>
          <x:t xml:space="preserve">Болт М12</x:t>
        </x:is>
      </x:c>
      <x:c r="F47" s="31" t="n">
        <x:v>197</x:v>
      </x:c>
      <x:c r="G47" s="31" t="inlineStr">
        <x:is>
          <x:t xml:space="preserve">шт</x:t>
        </x:is>
      </x:c>
      <x:c r="H47" s="31" t="inlineStr">
        <x:is>
          <x:t xml:space="preserve">ПОСТ-024</x:t>
        </x:is>
      </x:c>
      <x:c r="I47" s="31" t="n">
        <x:v>31719</x:v>
      </x:c>
      <x:c r="J47" s="31" t="n">
        <x:v>46212</x:v>
      </x:c>
      <x:c r="K47" s="31" t="inlineStr">
        <x:is>
          <x:t xml:space="preserve">Заказано</x:t>
        </x:is>
      </x:c>
      <x:c r="L47" s="31" t="inlineStr">
        <x:is>
          <x:t xml:space="preserve">ЗП-2026-0046</x:t>
        </x:is>
      </x:c>
      <x:c r="M47" s="31" t="inlineStr">
        <x:is>
          <x:t xml:space="preserve">Обычная</x:t>
        </x:is>
      </x:c>
      <x:c r="N47" s="31" t="inlineStr">
        <x:is>
          <x:t xml:space="preserve">СОТР-022</x:t>
        </x:is>
      </x:c>
      <x:c r="O47" s="31" t="inlineStr">
        <x:is>
          <x:t xml:space="preserve">Потребность сформирована по минимальному остатку и составу изделия</x:t>
        </x:is>
      </x:c>
    </x:row>
    <x:row r="48" ht="18" customHeight="1">
      <x:c r="A48" s="31" t="inlineStr">
        <x:is>
          <x:t xml:space="preserve">ЗЗ-00047</x:t>
        </x:is>
      </x:c>
      <x:c r="B48" s="31" t="n">
        <x:v>46160</x:v>
      </x:c>
      <x:c r="C48" s="31" t="inlineStr">
        <x:is>
          <x:t xml:space="preserve">ЗК-1002</x:t>
        </x:is>
      </x:c>
      <x:c r="D48" s="31" t="inlineStr">
        <x:is>
          <x:t xml:space="preserve">МАТ-0076</x:t>
        </x:is>
      </x:c>
      <x:c r="E48" s="31" t="inlineStr">
        <x:is>
          <x:t xml:space="preserve">Болт М12 / исп.2</x:t>
        </x:is>
      </x:c>
      <x:c r="F48" s="31" t="n">
        <x:v>92</x:v>
      </x:c>
      <x:c r="G48" s="31" t="inlineStr">
        <x:is>
          <x:t xml:space="preserve">шт</x:t>
        </x:is>
      </x:c>
      <x:c r="H48" s="31" t="inlineStr">
        <x:is>
          <x:t xml:space="preserve">ПОСТ-030</x:t>
        </x:is>
      </x:c>
      <x:c r="I48" s="31" t="n">
        <x:v>9832</x:v>
      </x:c>
      <x:c r="J48" s="31" t="n">
        <x:v>46208</x:v>
      </x:c>
      <x:c r="K48" s="31" t="inlineStr">
        <x:is>
          <x:t xml:space="preserve">Заказано</x:t>
        </x:is>
      </x:c>
      <x:c r="L48" s="31" t="inlineStr">
        <x:is>
          <x:t xml:space="preserve">ЗП-2026-0047</x:t>
        </x:is>
      </x:c>
      <x:c r="M48" s="31" t="inlineStr">
        <x:is>
          <x:t xml:space="preserve">Срочная</x:t>
        </x:is>
      </x:c>
      <x:c r="N48" s="31" t="inlineStr">
        <x:is>
          <x:t xml:space="preserve">СОТР-025</x:t>
        </x:is>
      </x:c>
      <x:c r="O48" s="31" t="inlineStr">
        <x:is>
          <x:t xml:space="preserve">Потребность сформирована по минимальному остатку и составу изделия</x:t>
        </x:is>
      </x:c>
    </x:row>
    <x:row r="49" ht="18" customHeight="1">
      <x:c r="A49" s="31" t="inlineStr">
        <x:is>
          <x:t xml:space="preserve">ЗЗ-00048</x:t>
        </x:is>
      </x:c>
      <x:c r="B49" s="31" t="n">
        <x:v>46183</x:v>
      </x:c>
      <x:c r="C49" s="31" t="inlineStr">
        <x:is>
          <x:t xml:space="preserve">ЗК-1099</x:t>
        </x:is>
      </x:c>
      <x:c r="D49" s="31" t="inlineStr">
        <x:is>
          <x:t xml:space="preserve">МАТ-0077</x:t>
        </x:is>
      </x:c>
      <x:c r="E49" s="31" t="inlineStr">
        <x:is>
          <x:t xml:space="preserve">Болт М16</x:t>
        </x:is>
      </x:c>
      <x:c r="F49" s="31" t="n">
        <x:v>201</x:v>
      </x:c>
      <x:c r="G49" s="31" t="inlineStr">
        <x:is>
          <x:t xml:space="preserve">шт</x:t>
        </x:is>
      </x:c>
      <x:c r="H49" s="31" t="inlineStr">
        <x:is>
          <x:t xml:space="preserve">ПОСТ-030</x:t>
        </x:is>
      </x:c>
      <x:c r="I49" s="31" t="n">
        <x:v>33496</x:v>
      </x:c>
      <x:c r="J49" s="31" t="n">
        <x:v>46208</x:v>
      </x:c>
      <x:c r="K49" s="31" t="inlineStr">
        <x:is>
          <x:t xml:space="preserve">Заказано</x:t>
        </x:is>
      </x:c>
      <x:c r="L49" s="31" t="inlineStr">
        <x:is>
          <x:t xml:space="preserve">ЗП-2026-0048</x:t>
        </x:is>
      </x:c>
      <x:c r="M49" s="31" t="inlineStr">
        <x:is>
          <x:t xml:space="preserve">Обычная</x:t>
        </x:is>
      </x:c>
      <x:c r="N49" s="31" t="inlineStr">
        <x:is>
          <x:t xml:space="preserve">СОТР-025</x:t>
        </x:is>
      </x:c>
      <x:c r="O49" s="31" t="inlineStr">
        <x:is>
          <x:t xml:space="preserve">Потребность сформирована по минимальному остатку и составу изделия</x:t>
        </x:is>
      </x:c>
    </x:row>
    <x:row r="50" ht="18" customHeight="1">
      <x:c r="A50" s="31" t="inlineStr">
        <x:is>
          <x:t xml:space="preserve">ЗЗ-00049</x:t>
        </x:is>
      </x:c>
      <x:c r="B50" s="31" t="n">
        <x:v>46147</x:v>
      </x:c>
      <x:c r="C50" s="31" t="inlineStr">
        <x:is>
          <x:t xml:space="preserve">ЗК-1052</x:t>
        </x:is>
      </x:c>
      <x:c r="D50" s="31" t="inlineStr">
        <x:is>
          <x:t xml:space="preserve">МАТ-0078</x:t>
        </x:is>
      </x:c>
      <x:c r="E50" s="31" t="inlineStr">
        <x:is>
          <x:t xml:space="preserve">Гайка М12</x:t>
        </x:is>
      </x:c>
      <x:c r="F50" s="31" t="n">
        <x:v>132</x:v>
      </x:c>
      <x:c r="G50" s="31" t="inlineStr">
        <x:is>
          <x:t xml:space="preserve">шт</x:t>
        </x:is>
      </x:c>
      <x:c r="H50" s="31" t="inlineStr">
        <x:is>
          <x:t xml:space="preserve">ПОСТ-030</x:t>
        </x:is>
      </x:c>
      <x:c r="I50" s="31" t="n">
        <x:v>4972</x:v>
      </x:c>
      <x:c r="J50" s="31" t="n">
        <x:v>46188</x:v>
      </x:c>
      <x:c r="K50" s="31" t="inlineStr">
        <x:is>
          <x:t xml:space="preserve">Заказано</x:t>
        </x:is>
      </x:c>
      <x:c r="L50" s="31" t="inlineStr">
        <x:is>
          <x:t xml:space="preserve">ЗП-2026-0049</x:t>
        </x:is>
      </x:c>
      <x:c r="M50" s="31" t="inlineStr">
        <x:is>
          <x:t xml:space="preserve">Обычная</x:t>
        </x:is>
      </x:c>
      <x:c r="N50" s="31" t="inlineStr">
        <x:is>
          <x:t xml:space="preserve">СОТР-028</x:t>
        </x:is>
      </x:c>
      <x:c r="O50" s="31" t="inlineStr">
        <x:is>
          <x:t xml:space="preserve">Потребность сформирована по минимальному остатку и составу изделия</x:t>
        </x:is>
      </x:c>
    </x:row>
    <x:row r="51" ht="18" customHeight="1">
      <x:c r="A51" s="31" t="inlineStr">
        <x:is>
          <x:t xml:space="preserve">ЗЗ-00050</x:t>
        </x:is>
      </x:c>
      <x:c r="B51" s="31" t="n">
        <x:v>46151</x:v>
      </x:c>
      <x:c r="C51" s="31" t="n"/>
      <x:c r="D51" s="31" t="inlineStr">
        <x:is>
          <x:t xml:space="preserve">МАТ-0079</x:t>
        </x:is>
      </x:c>
      <x:c r="E51" s="31" t="inlineStr">
        <x:is>
          <x:t xml:space="preserve">Гайка М12 / исп.2</x:t>
        </x:is>
      </x:c>
      <x:c r="F51" s="31" t="n">
        <x:v>238</x:v>
      </x:c>
      <x:c r="G51" s="31" t="inlineStr">
        <x:is>
          <x:t xml:space="preserve">шт</x:t>
        </x:is>
      </x:c>
      <x:c r="H51" s="31" t="inlineStr">
        <x:is>
          <x:t xml:space="preserve">ПОСТ-021</x:t>
        </x:is>
      </x:c>
      <x:c r="I51" s="31" t="n">
        <x:v>18397</x:v>
      </x:c>
      <x:c r="J51" s="31" t="n">
        <x:v>46219</x:v>
      </x:c>
      <x:c r="K51" s="31" t="inlineStr">
        <x:is>
          <x:t xml:space="preserve">Частично поставлено</x:t>
        </x:is>
      </x:c>
      <x:c r="L51" s="31" t="inlineStr">
        <x:is>
          <x:t xml:space="preserve">ЗП-2026-0050</x:t>
        </x:is>
      </x:c>
      <x:c r="M51" s="31" t="inlineStr">
        <x:is>
          <x:t xml:space="preserve">Обычная</x:t>
        </x:is>
      </x:c>
      <x:c r="N51" s="31" t="inlineStr">
        <x:is>
          <x:t xml:space="preserve">СОТР-027</x:t>
        </x:is>
      </x:c>
      <x:c r="O51" s="31" t="inlineStr">
        <x:is>
          <x:t xml:space="preserve">Потребность сформирована по минимальному остатку и составу изделия</x:t>
        </x:is>
      </x:c>
    </x:row>
    <x:row r="52" ht="18" customHeight="1">
      <x:c r="A52" s="31" t="inlineStr">
        <x:is>
          <x:t xml:space="preserve">ЗЗ-00051</x:t>
        </x:is>
      </x:c>
      <x:c r="B52" s="31" t="n">
        <x:v>46174</x:v>
      </x:c>
      <x:c r="C52" s="31" t="n"/>
      <x:c r="D52" s="31" t="inlineStr">
        <x:is>
          <x:t xml:space="preserve">МАТ-0081</x:t>
        </x:is>
      </x:c>
      <x:c r="E52" s="31" t="inlineStr">
        <x:is>
          <x:t xml:space="preserve">Шайба 12</x:t>
        </x:is>
      </x:c>
      <x:c r="F52" s="31" t="n">
        <x:v>232</x:v>
      </x:c>
      <x:c r="G52" s="31" t="inlineStr">
        <x:is>
          <x:t xml:space="preserve">шт</x:t>
        </x:is>
      </x:c>
      <x:c r="H52" s="31" t="inlineStr">
        <x:is>
          <x:t xml:space="preserve">ПОСТ-003</x:t>
        </x:is>
      </x:c>
      <x:c r="I52" s="31" t="n">
        <x:v>32936</x:v>
      </x:c>
      <x:c r="J52" s="31" t="n">
        <x:v>46215</x:v>
      </x:c>
      <x:c r="K52" s="31" t="inlineStr">
        <x:is>
          <x:t xml:space="preserve">Поставлено</x:t>
        </x:is>
      </x:c>
      <x:c r="L52" s="31" t="inlineStr">
        <x:is>
          <x:t xml:space="preserve">ЗП-2026-0051</x:t>
        </x:is>
      </x:c>
      <x:c r="M52" s="31" t="inlineStr">
        <x:is>
          <x:t xml:space="preserve">Обычная</x:t>
        </x:is>
      </x:c>
      <x:c r="N52" s="31" t="inlineStr">
        <x:is>
          <x:t xml:space="preserve">СОТР-029</x:t>
        </x:is>
      </x:c>
      <x:c r="O52" s="31" t="inlineStr">
        <x:is>
          <x:t xml:space="preserve">Потребность сформирована по минимальному остатку и составу изделия</x:t>
        </x:is>
      </x:c>
    </x:row>
    <x:row r="53" ht="18" customHeight="1">
      <x:c r="A53" s="31" t="inlineStr">
        <x:is>
          <x:t xml:space="preserve">ЗЗ-00052</x:t>
        </x:is>
      </x:c>
      <x:c r="B53" s="31" t="n">
        <x:v>46180</x:v>
      </x:c>
      <x:c r="C53" s="31" t="inlineStr">
        <x:is>
          <x:t xml:space="preserve">ЗК-1063</x:t>
        </x:is>
      </x:c>
      <x:c r="D53" s="31" t="inlineStr">
        <x:is>
          <x:t xml:space="preserve">МАТ-0082</x:t>
        </x:is>
      </x:c>
      <x:c r="E53" s="31" t="inlineStr">
        <x:is>
          <x:t xml:space="preserve">Шайба 12 / исп.2</x:t>
        </x:is>
      </x:c>
      <x:c r="F53" s="31" t="n">
        <x:v>23</x:v>
      </x:c>
      <x:c r="G53" s="31" t="inlineStr">
        <x:is>
          <x:t xml:space="preserve">шт</x:t>
        </x:is>
      </x:c>
      <x:c r="H53" s="31" t="inlineStr">
        <x:is>
          <x:t xml:space="preserve">ПОСТ-030</x:t>
        </x:is>
      </x:c>
      <x:c r="I53" s="31" t="n">
        <x:v>1004</x:v>
      </x:c>
      <x:c r="J53" s="31" t="n">
        <x:v>46206</x:v>
      </x:c>
      <x:c r="K53" s="31" t="inlineStr">
        <x:is>
          <x:t xml:space="preserve">Заказано</x:t>
        </x:is>
      </x:c>
      <x:c r="L53" s="31" t="inlineStr">
        <x:is>
          <x:t xml:space="preserve">ЗП-2026-0052</x:t>
        </x:is>
      </x:c>
      <x:c r="M53" s="31" t="inlineStr">
        <x:is>
          <x:t xml:space="preserve">Обычная</x:t>
        </x:is>
      </x:c>
      <x:c r="N53" s="31" t="inlineStr">
        <x:is>
          <x:t xml:space="preserve">СОТР-029</x:t>
        </x:is>
      </x:c>
      <x:c r="O53" s="31" t="inlineStr">
        <x:is>
          <x:t xml:space="preserve">Потребность сформирована по минимальному остатку и составу изделия</x:t>
        </x:is>
      </x:c>
    </x:row>
    <x:row r="54" ht="18" customHeight="1">
      <x:c r="A54" s="31" t="inlineStr">
        <x:is>
          <x:t xml:space="preserve">ЗЗ-00053</x:t>
        </x:is>
      </x:c>
      <x:c r="B54" s="31" t="n">
        <x:v>46183</x:v>
      </x:c>
      <x:c r="C54" s="31" t="n"/>
      <x:c r="D54" s="31" t="inlineStr">
        <x:is>
          <x:t xml:space="preserve">МАТ-0083</x:t>
        </x:is>
      </x:c>
      <x:c r="E54" s="31" t="inlineStr">
        <x:is>
          <x:t xml:space="preserve">Анкер М16</x:t>
        </x:is>
      </x:c>
      <x:c r="F54" s="31" t="n">
        <x:v>106</x:v>
      </x:c>
      <x:c r="G54" s="31" t="inlineStr">
        <x:is>
          <x:t xml:space="preserve">шт</x:t>
        </x:is>
      </x:c>
      <x:c r="H54" s="31" t="inlineStr">
        <x:is>
          <x:t xml:space="preserve">ПОСТ-030</x:t>
        </x:is>
      </x:c>
      <x:c r="I54" s="31" t="n">
        <x:v>19229</x:v>
      </x:c>
      <x:c r="J54" s="31" t="n">
        <x:v>46189</x:v>
      </x:c>
      <x:c r="K54" s="31" t="inlineStr">
        <x:is>
          <x:t xml:space="preserve">Черновик</x:t>
        </x:is>
      </x:c>
      <x:c r="L54" s="31" t="n"/>
      <x:c r="M54" s="31" t="inlineStr">
        <x:is>
          <x:t xml:space="preserve">Обычная</x:t>
        </x:is>
      </x:c>
      <x:c r="N54" s="31" t="inlineStr">
        <x:is>
          <x:t xml:space="preserve">СОТР-018</x:t>
        </x:is>
      </x:c>
      <x:c r="O54" s="31" t="inlineStr">
        <x:is>
          <x:t xml:space="preserve">Потребность сформирована по минимальному остатку и составу изделия</x:t>
        </x:is>
      </x:c>
    </x:row>
    <x:row r="55" ht="18" customHeight="1">
      <x:c r="A55" s="31" t="inlineStr">
        <x:is>
          <x:t xml:space="preserve">ЗЗ-00054</x:t>
        </x:is>
      </x:c>
      <x:c r="B55" s="31" t="n">
        <x:v>46165</x:v>
      </x:c>
      <x:c r="C55" s="31" t="inlineStr">
        <x:is>
          <x:t xml:space="preserve">ЗК-1103</x:t>
        </x:is>
      </x:c>
      <x:c r="D55" s="31" t="inlineStr">
        <x:is>
          <x:t xml:space="preserve">МАТ-0085</x:t>
        </x:is>
      </x:c>
      <x:c r="E55" s="31" t="inlineStr">
        <x:is>
          <x:t xml:space="preserve">Пленка стрейч</x:t>
        </x:is>
      </x:c>
      <x:c r="F55" s="31" t="n">
        <x:v>126</x:v>
      </x:c>
      <x:c r="G55" s="31" t="inlineStr">
        <x:is>
          <x:t xml:space="preserve">шт</x:t>
        </x:is>
      </x:c>
      <x:c r="H55" s="31" t="inlineStr">
        <x:is>
          <x:t xml:space="preserve">ПОСТ-016</x:t>
        </x:is>
      </x:c>
      <x:c r="I55" s="31" t="n">
        <x:v>13378</x:v>
      </x:c>
      <x:c r="J55" s="31" t="n">
        <x:v>46204</x:v>
      </x:c>
      <x:c r="K55" s="31" t="inlineStr">
        <x:is>
          <x:t xml:space="preserve">Заказано</x:t>
        </x:is>
      </x:c>
      <x:c r="L55" s="31" t="inlineStr">
        <x:is>
          <x:t xml:space="preserve">ЗП-2026-0054</x:t>
        </x:is>
      </x:c>
      <x:c r="M55" s="31" t="inlineStr">
        <x:is>
          <x:t xml:space="preserve">Срочная</x:t>
        </x:is>
      </x:c>
      <x:c r="N55" s="31" t="inlineStr">
        <x:is>
          <x:t xml:space="preserve">СОТР-026</x:t>
        </x:is>
      </x:c>
      <x:c r="O55" s="31" t="inlineStr">
        <x:is>
          <x:t xml:space="preserve">Потребность сформирована по минимальному остатку и составу изделия</x:t>
        </x:is>
      </x:c>
    </x:row>
    <x:row r="56" ht="18" customHeight="1">
      <x:c r="A56" s="31" t="inlineStr">
        <x:is>
          <x:t xml:space="preserve">ЗЗ-00055</x:t>
        </x:is>
      </x:c>
      <x:c r="B56" s="31" t="n">
        <x:v>46170</x:v>
      </x:c>
      <x:c r="C56" s="31" t="n"/>
      <x:c r="D56" s="31" t="inlineStr">
        <x:is>
          <x:t xml:space="preserve">МАТ-0086</x:t>
        </x:is>
      </x:c>
      <x:c r="E56" s="31" t="inlineStr">
        <x:is>
          <x:t xml:space="preserve">Пленка стрейч / исп.2</x:t>
        </x:is>
      </x:c>
      <x:c r="F56" s="31" t="n">
        <x:v>131</x:v>
      </x:c>
      <x:c r="G56" s="31" t="inlineStr">
        <x:is>
          <x:t xml:space="preserve">шт</x:t>
        </x:is>
      </x:c>
      <x:c r="H56" s="31" t="inlineStr">
        <x:is>
          <x:t xml:space="preserve">ПОСТ-022</x:t>
        </x:is>
      </x:c>
      <x:c r="I56" s="31" t="n">
        <x:v>448083</x:v>
      </x:c>
      <x:c r="J56" s="31" t="n">
        <x:v>46213</x:v>
      </x:c>
      <x:c r="K56" s="31" t="inlineStr">
        <x:is>
          <x:t xml:space="preserve">Частично поставлено</x:t>
        </x:is>
      </x:c>
      <x:c r="L56" s="31" t="inlineStr">
        <x:is>
          <x:t xml:space="preserve">ЗП-2026-0055</x:t>
        </x:is>
      </x:c>
      <x:c r="M56" s="31" t="inlineStr">
        <x:is>
          <x:t xml:space="preserve">Обычная</x:t>
        </x:is>
      </x:c>
      <x:c r="N56" s="31" t="inlineStr">
        <x:is>
          <x:t xml:space="preserve">СОТР-018</x:t>
        </x:is>
      </x:c>
      <x:c r="O56" s="31" t="inlineStr">
        <x:is>
          <x:t xml:space="preserve">Потребность сформирована по минимальному остатку и составу изделия</x:t>
        </x:is>
      </x:c>
    </x:row>
    <x:row r="57" ht="18" customHeight="1">
      <x:c r="A57" s="31" t="inlineStr">
        <x:is>
          <x:t xml:space="preserve">ЗЗ-00056</x:t>
        </x:is>
      </x:c>
      <x:c r="B57" s="31" t="n">
        <x:v>46179</x:v>
      </x:c>
      <x:c r="C57" s="31" t="inlineStr">
        <x:is>
          <x:t xml:space="preserve">ЗК-1047</x:t>
        </x:is>
      </x:c>
      <x:c r="D57" s="31" t="inlineStr">
        <x:is>
          <x:t xml:space="preserve">МАТ-0087</x:t>
        </x:is>
      </x:c>
      <x:c r="E57" s="31" t="inlineStr">
        <x:is>
          <x:t xml:space="preserve">Ящик фанерный</x:t>
        </x:is>
      </x:c>
      <x:c r="F57" s="31" t="n">
        <x:v>35</x:v>
      </x:c>
      <x:c r="G57" s="31" t="inlineStr">
        <x:is>
          <x:t xml:space="preserve">шт</x:t>
        </x:is>
      </x:c>
      <x:c r="H57" s="31" t="inlineStr">
        <x:is>
          <x:t xml:space="preserve">ПОСТ-013</x:t>
        </x:is>
      </x:c>
      <x:c r="I57" s="31" t="n">
        <x:v>4311</x:v>
      </x:c>
      <x:c r="J57" s="31" t="n">
        <x:v>46200</x:v>
      </x:c>
      <x:c r="K57" s="31" t="inlineStr">
        <x:is>
          <x:t xml:space="preserve">Отменено</x:t>
        </x:is>
      </x:c>
      <x:c r="L57" s="31" t="n"/>
      <x:c r="M57" s="31" t="inlineStr">
        <x:is>
          <x:t xml:space="preserve">Обычная</x:t>
        </x:is>
      </x:c>
      <x:c r="N57" s="31" t="inlineStr">
        <x:is>
          <x:t xml:space="preserve">СОТР-026</x:t>
        </x:is>
      </x:c>
      <x:c r="O57" s="31" t="inlineStr">
        <x:is>
          <x:t xml:space="preserve">Потребность сформирована по минимальному остатку и составу изделия</x:t>
        </x:is>
      </x:c>
    </x:row>
    <x:row r="58" ht="18" customHeight="1">
      <x:c r="A58" s="31" t="inlineStr">
        <x:is>
          <x:t xml:space="preserve">ЗЗ-00057</x:t>
        </x:is>
      </x:c>
      <x:c r="B58" s="31" t="n">
        <x:v>46145</x:v>
      </x:c>
      <x:c r="C58" s="31" t="inlineStr">
        <x:is>
          <x:t xml:space="preserve">ЗК-1040</x:t>
        </x:is>
      </x:c>
      <x:c r="D58" s="31" t="inlineStr">
        <x:is>
          <x:t xml:space="preserve">МАТ-0088</x:t>
        </x:is>
      </x:c>
      <x:c r="E58" s="31" t="inlineStr">
        <x:is>
          <x:t xml:space="preserve">Ящик фанерный / исп.2</x:t>
        </x:is>
      </x:c>
      <x:c r="F58" s="31" t="n">
        <x:v>155</x:v>
      </x:c>
      <x:c r="G58" s="31" t="inlineStr">
        <x:is>
          <x:t xml:space="preserve">шт</x:t>
        </x:is>
      </x:c>
      <x:c r="H58" s="31" t="inlineStr">
        <x:is>
          <x:t xml:space="preserve">ПОСТ-011</x:t>
        </x:is>
      </x:c>
      <x:c r="I58" s="31" t="n">
        <x:v>1144420</x:v>
      </x:c>
      <x:c r="J58" s="31" t="n">
        <x:v>46192</x:v>
      </x:c>
      <x:c r="K58" s="31" t="inlineStr">
        <x:is>
          <x:t xml:space="preserve">На согласовании</x:t>
        </x:is>
      </x:c>
      <x:c r="L58" s="31" t="n"/>
      <x:c r="M58" s="31" t="inlineStr">
        <x:is>
          <x:t xml:space="preserve">Обычная</x:t>
        </x:is>
      </x:c>
      <x:c r="N58" s="31" t="inlineStr">
        <x:is>
          <x:t xml:space="preserve">СОТР-018</x:t>
        </x:is>
      </x:c>
      <x:c r="O58" s="31" t="inlineStr">
        <x:is>
          <x:t xml:space="preserve">Потребность сформирована по минимальному остатку и составу изделия</x:t>
        </x:is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28" customWidth="1"/>
    <x:col min="3" max="3" width="21" customWidth="1"/>
    <x:col min="4" max="4" width="15" customWidth="1"/>
    <x:col min="5" max="5" width="16" customWidth="1"/>
    <x:col min="6" max="6" width="15" customWidth="1"/>
    <x:col min="7" max="7" width="12" customWidth="1"/>
    <x:col min="8" max="8" width="10" customWidth="1"/>
    <x:col min="9" max="9" width="13" customWidth="1"/>
    <x:col min="10" max="10" width="21" customWidth="1"/>
    <x:col min="11" max="11" width="17" customWidth="1"/>
  </x:cols>
  <x:sheetData>
    <x:row r="1" ht="18" customHeight="1">
      <x:c r="A1" s="30" t="inlineStr">
        <x:is>
          <x:t xml:space="preserve">Код поставки</x:t>
        </x:is>
      </x:c>
      <x:c r="B1" s="30" t="inlineStr">
        <x:is>
          <x:t xml:space="preserve">Номер заказа поставщику</x:t>
        </x:is>
      </x:c>
      <x:c r="C1" s="30" t="inlineStr">
        <x:is>
          <x:t xml:space="preserve">Код заявки закупки</x:t>
        </x:is>
      </x:c>
      <x:c r="D1" s="30" t="inlineStr">
        <x:is>
          <x:t xml:space="preserve">Код материала</x:t>
        </x:is>
      </x:c>
      <x:c r="E1" s="30" t="inlineStr">
        <x:is>
          <x:t xml:space="preserve">Код поставщика</x:t>
        </x:is>
      </x:c>
      <x:c r="F1" s="30" t="inlineStr">
        <x:is>
          <x:t xml:space="preserve">Дата поставки</x:t>
        </x:is>
      </x:c>
      <x:c r="G1" s="30" t="inlineStr">
        <x:is>
          <x:t xml:space="preserve">Количество</x:t>
        </x:is>
      </x:c>
      <x:c r="H1" s="30" t="inlineStr">
        <x:is>
          <x:t xml:space="preserve">Ед. изм.</x:t>
        </x:is>
      </x:c>
      <x:c r="I1" s="30" t="inlineStr">
        <x:is>
          <x:t xml:space="preserve">Сумма, руб.</x:t>
        </x:is>
      </x:c>
      <x:c r="J1" s="30" t="inlineStr">
        <x:is>
          <x:t xml:space="preserve">Статус приемки</x:t>
        </x:is>
      </x:c>
      <x:c r="K1" s="30" t="inlineStr">
        <x:is>
          <x:t xml:space="preserve">Номер документа</x:t>
        </x:is>
      </x:c>
    </x:row>
    <x:row r="2" ht="18" customHeight="1">
      <x:c r="A2" s="31" t="inlineStr">
        <x:is>
          <x:t xml:space="preserve">ПОСТАВ-00005-1</x:t>
        </x:is>
      </x:c>
      <x:c r="B2" s="31" t="inlineStr">
        <x:is>
          <x:t xml:space="preserve">ЗП-2026-0005</x:t>
        </x:is>
      </x:c>
      <x:c r="C2" s="31" t="inlineStr">
        <x:is>
          <x:t xml:space="preserve">ЗЗ-00005</x:t>
        </x:is>
      </x:c>
      <x:c r="D2" s="31" t="inlineStr">
        <x:is>
          <x:t xml:space="preserve">МАТ-0007</x:t>
        </x:is>
      </x:c>
      <x:c r="E2" s="31" t="inlineStr">
        <x:is>
          <x:t xml:space="preserve">ПОСТ-018</x:t>
        </x:is>
      </x:c>
      <x:c r="F2" s="31" t="n">
        <x:v>46193</x:v>
      </x:c>
      <x:c r="G2" s="31" t="n">
        <x:v>17</x:v>
      </x:c>
      <x:c r="H2" s="31" t="inlineStr">
        <x:is>
          <x:t xml:space="preserve">л</x:t>
        </x:is>
      </x:c>
      <x:c r="I2" s="31" t="n">
        <x:v>2822</x:v>
      </x:c>
      <x:c r="J2" s="31" t="inlineStr">
        <x:is>
          <x:t xml:space="preserve">Принято</x:t>
        </x:is>
      </x:c>
      <x:c r="K2" s="31" t="inlineStr">
        <x:is>
          <x:t xml:space="preserve">УПД-15905</x:t>
        </x:is>
      </x:c>
    </x:row>
    <x:row r="3" ht="18" customHeight="1">
      <x:c r="A3" s="31" t="inlineStr">
        <x:is>
          <x:t xml:space="preserve">ПОСТАВ-00005-2</x:t>
        </x:is>
      </x:c>
      <x:c r="B3" s="31" t="inlineStr">
        <x:is>
          <x:t xml:space="preserve">ЗП-2026-0005</x:t>
        </x:is>
      </x:c>
      <x:c r="C3" s="31" t="inlineStr">
        <x:is>
          <x:t xml:space="preserve">ЗЗ-00005</x:t>
        </x:is>
      </x:c>
      <x:c r="D3" s="31" t="inlineStr">
        <x:is>
          <x:t xml:space="preserve">МАТ-0007</x:t>
        </x:is>
      </x:c>
      <x:c r="E3" s="31" t="inlineStr">
        <x:is>
          <x:t xml:space="preserve">ПОСТ-018</x:t>
        </x:is>
      </x:c>
      <x:c r="F3" s="31" t="n">
        <x:v>46202</x:v>
      </x:c>
      <x:c r="G3" s="31" t="n">
        <x:v>4</x:v>
      </x:c>
      <x:c r="H3" s="31" t="inlineStr">
        <x:is>
          <x:t xml:space="preserve">л</x:t>
        </x:is>
      </x:c>
      <x:c r="I3" s="31" t="n">
        <x:v>664</x:v>
      </x:c>
      <x:c r="J3" s="31" t="inlineStr">
        <x:is>
          <x:t xml:space="preserve">Принято</x:t>
        </x:is>
      </x:c>
      <x:c r="K3" s="31" t="inlineStr">
        <x:is>
          <x:t xml:space="preserve">УПД-59250</x:t>
        </x:is>
      </x:c>
    </x:row>
    <x:row r="4" ht="18" customHeight="1">
      <x:c r="A4" s="31" t="inlineStr">
        <x:is>
          <x:t xml:space="preserve">ПОСТАВ-00007-1</x:t>
        </x:is>
      </x:c>
      <x:c r="B4" s="31" t="inlineStr">
        <x:is>
          <x:t xml:space="preserve">ЗП-2026-0007</x:t>
        </x:is>
      </x:c>
      <x:c r="C4" s="31" t="inlineStr">
        <x:is>
          <x:t xml:space="preserve">ЗЗ-00007</x:t>
        </x:is>
      </x:c>
      <x:c r="D4" s="31" t="inlineStr">
        <x:is>
          <x:t xml:space="preserve">МАТ-0014</x:t>
        </x:is>
      </x:c>
      <x:c r="E4" s="31" t="inlineStr">
        <x:is>
          <x:t xml:space="preserve">ПОСТ-018</x:t>
        </x:is>
      </x:c>
      <x:c r="F4" s="31" t="n">
        <x:v>46210</x:v>
      </x:c>
      <x:c r="G4" s="31" t="n">
        <x:v>124</x:v>
      </x:c>
      <x:c r="H4" s="31" t="inlineStr">
        <x:is>
          <x:t xml:space="preserve">шт</x:t>
        </x:is>
      </x:c>
      <x:c r="I4" s="31" t="n">
        <x:v>12152</x:v>
      </x:c>
      <x:c r="J4" s="31" t="inlineStr">
        <x:is>
          <x:t xml:space="preserve">Принято</x:t>
        </x:is>
      </x:c>
      <x:c r="K4" s="31" t="inlineStr">
        <x:is>
          <x:t xml:space="preserve">УПД-93262</x:t>
        </x:is>
      </x:c>
    </x:row>
    <x:row r="5" ht="18" customHeight="1">
      <x:c r="A5" s="31" t="inlineStr">
        <x:is>
          <x:t xml:space="preserve">ПОСТАВ-00007-2</x:t>
        </x:is>
      </x:c>
      <x:c r="B5" s="31" t="inlineStr">
        <x:is>
          <x:t xml:space="preserve">ЗП-2026-0007</x:t>
        </x:is>
      </x:c>
      <x:c r="C5" s="31" t="inlineStr">
        <x:is>
          <x:t xml:space="preserve">ЗЗ-00007</x:t>
        </x:is>
      </x:c>
      <x:c r="D5" s="31" t="inlineStr">
        <x:is>
          <x:t xml:space="preserve">МАТ-0014</x:t>
        </x:is>
      </x:c>
      <x:c r="E5" s="31" t="inlineStr">
        <x:is>
          <x:t xml:space="preserve">ПОСТ-018</x:t>
        </x:is>
      </x:c>
      <x:c r="F5" s="31" t="n">
        <x:v>46189</x:v>
      </x:c>
      <x:c r="G5" s="31" t="n">
        <x:v>127</x:v>
      </x:c>
      <x:c r="H5" s="31" t="inlineStr">
        <x:is>
          <x:t xml:space="preserve">шт</x:t>
        </x:is>
      </x:c>
      <x:c r="I5" s="31" t="n">
        <x:v>12446</x:v>
      </x:c>
      <x:c r="J5" s="31" t="inlineStr">
        <x:is>
          <x:t xml:space="preserve">Принято</x:t>
        </x:is>
      </x:c>
      <x:c r="K5" s="31" t="inlineStr">
        <x:is>
          <x:t xml:space="preserve">УПД-65490</x:t>
        </x:is>
      </x:c>
    </x:row>
    <x:row r="6" ht="18" customHeight="1">
      <x:c r="A6" s="31" t="inlineStr">
        <x:is>
          <x:t xml:space="preserve">ПОСТАВ-00009-1</x:t>
        </x:is>
      </x:c>
      <x:c r="B6" s="31" t="inlineStr">
        <x:is>
          <x:t xml:space="preserve">ЗП-2026-0009</x:t>
        </x:is>
      </x:c>
      <x:c r="C6" s="31" t="inlineStr">
        <x:is>
          <x:t xml:space="preserve">ЗЗ-00009</x:t>
        </x:is>
      </x:c>
      <x:c r="D6" s="31" t="inlineStr">
        <x:is>
          <x:t xml:space="preserve">МАТ-0017</x:t>
        </x:is>
      </x:c>
      <x:c r="E6" s="31" t="inlineStr">
        <x:is>
          <x:t xml:space="preserve">ПОСТ-020</x:t>
        </x:is>
      </x:c>
      <x:c r="F6" s="31" t="n">
        <x:v>46196</x:v>
      </x:c>
      <x:c r="G6" s="31" t="n">
        <x:v>136</x:v>
      </x:c>
      <x:c r="H6" s="31" t="inlineStr">
        <x:is>
          <x:t xml:space="preserve">шт</x:t>
        </x:is>
      </x:c>
      <x:c r="I6" s="31" t="n">
        <x:v>4608224</x:v>
      </x:c>
      <x:c r="J6" s="31" t="inlineStr">
        <x:is>
          <x:t xml:space="preserve">Принято</x:t>
        </x:is>
      </x:c>
      <x:c r="K6" s="31" t="inlineStr">
        <x:is>
          <x:t xml:space="preserve">УПД-33485</x:t>
        </x:is>
      </x:c>
    </x:row>
    <x:row r="7" ht="18" customHeight="1">
      <x:c r="A7" s="31" t="inlineStr">
        <x:is>
          <x:t xml:space="preserve">ПОСТАВ-00009-2</x:t>
        </x:is>
      </x:c>
      <x:c r="B7" s="31" t="inlineStr">
        <x:is>
          <x:t xml:space="preserve">ЗП-2026-0009</x:t>
        </x:is>
      </x:c>
      <x:c r="C7" s="31" t="inlineStr">
        <x:is>
          <x:t xml:space="preserve">ЗЗ-00009</x:t>
        </x:is>
      </x:c>
      <x:c r="D7" s="31" t="inlineStr">
        <x:is>
          <x:t xml:space="preserve">МАТ-0017</x:t>
        </x:is>
      </x:c>
      <x:c r="E7" s="31" t="inlineStr">
        <x:is>
          <x:t xml:space="preserve">ПОСТ-020</x:t>
        </x:is>
      </x:c>
      <x:c r="F7" s="31" t="n">
        <x:v>46207</x:v>
      </x:c>
      <x:c r="G7" s="31" t="n">
        <x:v>129</x:v>
      </x:c>
      <x:c r="H7" s="31" t="inlineStr">
        <x:is>
          <x:t xml:space="preserve">шт</x:t>
        </x:is>
      </x:c>
      <x:c r="I7" s="31" t="n">
        <x:v>4371036</x:v>
      </x:c>
      <x:c r="J7" s="31" t="inlineStr">
        <x:is>
          <x:t xml:space="preserve">Отклонено</x:t>
        </x:is>
      </x:c>
      <x:c r="K7" s="31" t="inlineStr">
        <x:is>
          <x:t xml:space="preserve">УПД-36374</x:t>
        </x:is>
      </x:c>
    </x:row>
    <x:row r="8" ht="18" customHeight="1">
      <x:c r="A8" s="31" t="inlineStr">
        <x:is>
          <x:t xml:space="preserve">ПОСТАВ-00012-1</x:t>
        </x:is>
      </x:c>
      <x:c r="B8" s="31" t="inlineStr">
        <x:is>
          <x:t xml:space="preserve">ЗП-2026-0012</x:t>
        </x:is>
      </x:c>
      <x:c r="C8" s="31" t="inlineStr">
        <x:is>
          <x:t xml:space="preserve">ЗЗ-00012</x:t>
        </x:is>
      </x:c>
      <x:c r="D8" s="31" t="inlineStr">
        <x:is>
          <x:t xml:space="preserve">МАТ-0025</x:t>
        </x:is>
      </x:c>
      <x:c r="E8" s="31" t="inlineStr">
        <x:is>
          <x:t xml:space="preserve">ПОСТ-028</x:t>
        </x:is>
      </x:c>
      <x:c r="F8" s="31" t="n">
        <x:v>46182</x:v>
      </x:c>
      <x:c r="G8" s="31" t="n">
        <x:v>200</x:v>
      </x:c>
      <x:c r="H8" s="31" t="inlineStr">
        <x:is>
          <x:t xml:space="preserve">шт</x:t>
        </x:is>
      </x:c>
      <x:c r="I8" s="31" t="n">
        <x:v>14146200</x:v>
      </x:c>
      <x:c r="J8" s="31" t="inlineStr">
        <x:is>
          <x:t xml:space="preserve">Принято</x:t>
        </x:is>
      </x:c>
      <x:c r="K8" s="31" t="inlineStr">
        <x:is>
          <x:t xml:space="preserve">УПД-41324</x:t>
        </x:is>
      </x:c>
    </x:row>
    <x:row r="9" ht="18" customHeight="1">
      <x:c r="A9" s="31" t="inlineStr">
        <x:is>
          <x:t xml:space="preserve">ПОСТАВ-00017-1</x:t>
        </x:is>
      </x:c>
      <x:c r="B9" s="31" t="inlineStr">
        <x:is>
          <x:t xml:space="preserve">ЗП-2026-0017</x:t>
        </x:is>
      </x:c>
      <x:c r="C9" s="31" t="inlineStr">
        <x:is>
          <x:t xml:space="preserve">ЗЗ-00017</x:t>
        </x:is>
      </x:c>
      <x:c r="D9" s="31" t="inlineStr">
        <x:is>
          <x:t xml:space="preserve">МАТ-0033</x:t>
        </x:is>
      </x:c>
      <x:c r="E9" s="31" t="inlineStr">
        <x:is>
          <x:t xml:space="preserve">ПОСТ-009</x:t>
        </x:is>
      </x:c>
      <x:c r="F9" s="31" t="n">
        <x:v>46176</x:v>
      </x:c>
      <x:c r="G9" s="31" t="n">
        <x:v>6</x:v>
      </x:c>
      <x:c r="H9" s="31" t="inlineStr">
        <x:is>
          <x:t xml:space="preserve">шт</x:t>
        </x:is>
      </x:c>
      <x:c r="I9" s="31" t="n">
        <x:v>43086</x:v>
      </x:c>
      <x:c r="J9" s="31" t="inlineStr">
        <x:is>
          <x:t xml:space="preserve">Принято</x:t>
        </x:is>
      </x:c>
      <x:c r="K9" s="31" t="inlineStr">
        <x:is>
          <x:t xml:space="preserve">УПД-84803</x:t>
        </x:is>
      </x:c>
    </x:row>
    <x:row r="10" ht="18" customHeight="1">
      <x:c r="A10" s="31" t="inlineStr">
        <x:is>
          <x:t xml:space="preserve">ПОСТАВ-00017-2</x:t>
        </x:is>
      </x:c>
      <x:c r="B10" s="31" t="inlineStr">
        <x:is>
          <x:t xml:space="preserve">ЗП-2026-0017</x:t>
        </x:is>
      </x:c>
      <x:c r="C10" s="31" t="inlineStr">
        <x:is>
          <x:t xml:space="preserve">ЗЗ-00017</x:t>
        </x:is>
      </x:c>
      <x:c r="D10" s="31" t="inlineStr">
        <x:is>
          <x:t xml:space="preserve">МАТ-0033</x:t>
        </x:is>
      </x:c>
      <x:c r="E10" s="31" t="inlineStr">
        <x:is>
          <x:t xml:space="preserve">ПОСТ-009</x:t>
        </x:is>
      </x:c>
      <x:c r="F10" s="31" t="n">
        <x:v>46159</x:v>
      </x:c>
      <x:c r="G10" s="31" t="n">
        <x:v>2</x:v>
      </x:c>
      <x:c r="H10" s="31" t="inlineStr">
        <x:is>
          <x:t xml:space="preserve">шт</x:t>
        </x:is>
      </x:c>
      <x:c r="I10" s="31" t="n">
        <x:v>14362</x:v>
      </x:c>
      <x:c r="J10" s="31" t="inlineStr">
        <x:is>
          <x:t xml:space="preserve">Принято</x:t>
        </x:is>
      </x:c>
      <x:c r="K10" s="31" t="inlineStr">
        <x:is>
          <x:t xml:space="preserve">УПД-83845</x:t>
        </x:is>
      </x:c>
    </x:row>
    <x:row r="11" ht="18" customHeight="1">
      <x:c r="A11" s="31" t="inlineStr">
        <x:is>
          <x:t xml:space="preserve">ПОСТАВ-00020-1</x:t>
        </x:is>
      </x:c>
      <x:c r="B11" s="31" t="inlineStr">
        <x:is>
          <x:t xml:space="preserve">ЗП-2026-0020</x:t>
        </x:is>
      </x:c>
      <x:c r="C11" s="31" t="inlineStr">
        <x:is>
          <x:t xml:space="preserve">ЗЗ-00020</x:t>
        </x:is>
      </x:c>
      <x:c r="D11" s="31" t="inlineStr">
        <x:is>
          <x:t xml:space="preserve">МАТ-0039</x:t>
        </x:is>
      </x:c>
      <x:c r="E11" s="31" t="inlineStr">
        <x:is>
          <x:t xml:space="preserve">ПОСТ-002</x:t>
        </x:is>
      </x:c>
      <x:c r="F11" s="31" t="n">
        <x:v>46163</x:v>
      </x:c>
      <x:c r="G11" s="31" t="n">
        <x:v>45</x:v>
      </x:c>
      <x:c r="H11" s="31" t="inlineStr">
        <x:is>
          <x:t xml:space="preserve">шт</x:t>
        </x:is>
      </x:c>
      <x:c r="I11" s="31" t="n">
        <x:v>4050090</x:v>
      </x:c>
      <x:c r="J11" s="31" t="inlineStr">
        <x:is>
          <x:t xml:space="preserve">Принято</x:t>
        </x:is>
      </x:c>
      <x:c r="K11" s="31" t="inlineStr">
        <x:is>
          <x:t xml:space="preserve">УПД-34715</x:t>
        </x:is>
      </x:c>
    </x:row>
    <x:row r="12" ht="18" customHeight="1">
      <x:c r="A12" s="31" t="inlineStr">
        <x:is>
          <x:t xml:space="preserve">ПОСТАВ-00026-1</x:t>
        </x:is>
      </x:c>
      <x:c r="B12" s="31" t="inlineStr">
        <x:is>
          <x:t xml:space="preserve">ЗП-2026-0026</x:t>
        </x:is>
      </x:c>
      <x:c r="C12" s="31" t="inlineStr">
        <x:is>
          <x:t xml:space="preserve">ЗЗ-00026</x:t>
        </x:is>
      </x:c>
      <x:c r="D12" s="31" t="inlineStr">
        <x:is>
          <x:t xml:space="preserve">МАТ-0047</x:t>
        </x:is>
      </x:c>
      <x:c r="E12" s="31" t="inlineStr">
        <x:is>
          <x:t xml:space="preserve">ПОСТ-002</x:t>
        </x:is>
      </x:c>
      <x:c r="F12" s="31" t="n">
        <x:v>46220</x:v>
      </x:c>
      <x:c r="G12" s="31" t="n">
        <x:v>216</x:v>
      </x:c>
      <x:c r="H12" s="31" t="inlineStr">
        <x:is>
          <x:t xml:space="preserve">шт</x:t>
        </x:is>
      </x:c>
      <x:c r="I12" s="31" t="n">
        <x:v>16285752</x:v>
      </x:c>
      <x:c r="J12" s="31" t="inlineStr">
        <x:is>
          <x:t xml:space="preserve">Принято</x:t>
        </x:is>
      </x:c>
      <x:c r="K12" s="31" t="inlineStr">
        <x:is>
          <x:t xml:space="preserve">УПД-18795</x:t>
        </x:is>
      </x:c>
    </x:row>
    <x:row r="13" ht="18" customHeight="1">
      <x:c r="A13" s="31" t="inlineStr">
        <x:is>
          <x:t xml:space="preserve">ПОСТАВ-00026-2</x:t>
        </x:is>
      </x:c>
      <x:c r="B13" s="31" t="inlineStr">
        <x:is>
          <x:t xml:space="preserve">ЗП-2026-0026</x:t>
        </x:is>
      </x:c>
      <x:c r="C13" s="31" t="inlineStr">
        <x:is>
          <x:t xml:space="preserve">ЗЗ-00026</x:t>
        </x:is>
      </x:c>
      <x:c r="D13" s="31" t="inlineStr">
        <x:is>
          <x:t xml:space="preserve">МАТ-0047</x:t>
        </x:is>
      </x:c>
      <x:c r="E13" s="31" t="inlineStr">
        <x:is>
          <x:t xml:space="preserve">ПОСТ-002</x:t>
        </x:is>
      </x:c>
      <x:c r="F13" s="31" t="n">
        <x:v>46200</x:v>
      </x:c>
      <x:c r="G13" s="31" t="n">
        <x:v>144</x:v>
      </x:c>
      <x:c r="H13" s="31" t="inlineStr">
        <x:is>
          <x:t xml:space="preserve">шт</x:t>
        </x:is>
      </x:c>
      <x:c r="I13" s="31" t="n">
        <x:v>10857168</x:v>
      </x:c>
      <x:c r="J13" s="31" t="inlineStr">
        <x:is>
          <x:t xml:space="preserve">Принято</x:t>
        </x:is>
      </x:c>
      <x:c r="K13" s="31" t="inlineStr">
        <x:is>
          <x:t xml:space="preserve">УПД-95123</x:t>
        </x:is>
      </x:c>
    </x:row>
    <x:row r="14" ht="18" customHeight="1">
      <x:c r="A14" s="31" t="inlineStr">
        <x:is>
          <x:t xml:space="preserve">ПОСТАВ-00037-1</x:t>
        </x:is>
      </x:c>
      <x:c r="B14" s="31" t="inlineStr">
        <x:is>
          <x:t xml:space="preserve">ЗП-2026-0037</x:t>
        </x:is>
      </x:c>
      <x:c r="C14" s="31" t="inlineStr">
        <x:is>
          <x:t xml:space="preserve">ЗЗ-00037</x:t>
        </x:is>
      </x:c>
      <x:c r="D14" s="31" t="inlineStr">
        <x:is>
          <x:t xml:space="preserve">МАТ-0063</x:t>
        </x:is>
      </x:c>
      <x:c r="E14" s="31" t="inlineStr">
        <x:is>
          <x:t xml:space="preserve">ПОСТ-004</x:t>
        </x:is>
      </x:c>
      <x:c r="F14" s="31" t="n">
        <x:v>46191</x:v>
      </x:c>
      <x:c r="G14" s="31" t="n">
        <x:v>9</x:v>
      </x:c>
      <x:c r="H14" s="31" t="inlineStr">
        <x:is>
          <x:t xml:space="preserve">шт</x:t>
        </x:is>
      </x:c>
      <x:c r="I14" s="31" t="n">
        <x:v>1161</x:v>
      </x:c>
      <x:c r="J14" s="31" t="inlineStr">
        <x:is>
          <x:t xml:space="preserve">Отклонено</x:t>
        </x:is>
      </x:c>
      <x:c r="K14" s="31" t="inlineStr">
        <x:is>
          <x:t xml:space="preserve">УПД-31826</x:t>
        </x:is>
      </x:c>
    </x:row>
    <x:row r="15" ht="18" customHeight="1">
      <x:c r="A15" s="31" t="inlineStr">
        <x:is>
          <x:t xml:space="preserve">ПОСТАВ-00037-2</x:t>
        </x:is>
      </x:c>
      <x:c r="B15" s="31" t="inlineStr">
        <x:is>
          <x:t xml:space="preserve">ЗП-2026-0037</x:t>
        </x:is>
      </x:c>
      <x:c r="C15" s="31" t="inlineStr">
        <x:is>
          <x:t xml:space="preserve">ЗЗ-00037</x:t>
        </x:is>
      </x:c>
      <x:c r="D15" s="31" t="inlineStr">
        <x:is>
          <x:t xml:space="preserve">МАТ-0063</x:t>
        </x:is>
      </x:c>
      <x:c r="E15" s="31" t="inlineStr">
        <x:is>
          <x:t xml:space="preserve">ПОСТ-004</x:t>
        </x:is>
      </x:c>
      <x:c r="F15" s="31" t="n">
        <x:v>46197</x:v>
      </x:c>
      <x:c r="G15" s="31" t="n">
        <x:v>9</x:v>
      </x:c>
      <x:c r="H15" s="31" t="inlineStr">
        <x:is>
          <x:t xml:space="preserve">шт</x:t>
        </x:is>
      </x:c>
      <x:c r="I15" s="31" t="n">
        <x:v>1161</x:v>
      </x:c>
      <x:c r="J15" s="31" t="inlineStr">
        <x:is>
          <x:t xml:space="preserve">Частично принято</x:t>
        </x:is>
      </x:c>
      <x:c r="K15" s="31" t="inlineStr">
        <x:is>
          <x:t xml:space="preserve">УПД-60689</x:t>
        </x:is>
      </x:c>
    </x:row>
    <x:row r="16" ht="18" customHeight="1">
      <x:c r="A16" s="31" t="inlineStr">
        <x:is>
          <x:t xml:space="preserve">ПОСТАВ-00038-1</x:t>
        </x:is>
      </x:c>
      <x:c r="B16" s="31" t="inlineStr">
        <x:is>
          <x:t xml:space="preserve">ЗП-2026-0038</x:t>
        </x:is>
      </x:c>
      <x:c r="C16" s="31" t="inlineStr">
        <x:is>
          <x:t xml:space="preserve">ЗЗ-00038</x:t>
        </x:is>
      </x:c>
      <x:c r="D16" s="31" t="inlineStr">
        <x:is>
          <x:t xml:space="preserve">МАТ-0064</x:t>
        </x:is>
      </x:c>
      <x:c r="E16" s="31" t="inlineStr">
        <x:is>
          <x:t xml:space="preserve">ПОСТ-023</x:t>
        </x:is>
      </x:c>
      <x:c r="F16" s="31" t="n">
        <x:v>46175</x:v>
      </x:c>
      <x:c r="G16" s="31" t="n">
        <x:v>9</x:v>
      </x:c>
      <x:c r="H16" s="31" t="inlineStr">
        <x:is>
          <x:t xml:space="preserve">шт</x:t>
        </x:is>
      </x:c>
      <x:c r="I16" s="31" t="n">
        <x:v>3447</x:v>
      </x:c>
      <x:c r="J16" s="31" t="inlineStr">
        <x:is>
          <x:t xml:space="preserve">Принято</x:t>
        </x:is>
      </x:c>
      <x:c r="K16" s="31" t="inlineStr">
        <x:is>
          <x:t xml:space="preserve">УПД-48863</x:t>
        </x:is>
      </x:c>
    </x:row>
    <x:row r="17" ht="18" customHeight="1">
      <x:c r="A17" s="31" t="inlineStr">
        <x:is>
          <x:t xml:space="preserve">ПОСТАВ-00038-2</x:t>
        </x:is>
      </x:c>
      <x:c r="B17" s="31" t="inlineStr">
        <x:is>
          <x:t xml:space="preserve">ЗП-2026-0038</x:t>
        </x:is>
      </x:c>
      <x:c r="C17" s="31" t="inlineStr">
        <x:is>
          <x:t xml:space="preserve">ЗЗ-00038</x:t>
        </x:is>
      </x:c>
      <x:c r="D17" s="31" t="inlineStr">
        <x:is>
          <x:t xml:space="preserve">МАТ-0064</x:t>
        </x:is>
      </x:c>
      <x:c r="E17" s="31" t="inlineStr">
        <x:is>
          <x:t xml:space="preserve">ПОСТ-023</x:t>
        </x:is>
      </x:c>
      <x:c r="F17" s="31" t="n">
        <x:v>46169</x:v>
      </x:c>
      <x:c r="G17" s="31" t="n">
        <x:v>4</x:v>
      </x:c>
      <x:c r="H17" s="31" t="inlineStr">
        <x:is>
          <x:t xml:space="preserve">шт</x:t>
        </x:is>
      </x:c>
      <x:c r="I17" s="31" t="n">
        <x:v>1532</x:v>
      </x:c>
      <x:c r="J17" s="31" t="inlineStr">
        <x:is>
          <x:t xml:space="preserve">На входном контроле</x:t>
        </x:is>
      </x:c>
      <x:c r="K17" s="31" t="inlineStr">
        <x:is>
          <x:t xml:space="preserve">УПД-43557</x:t>
        </x:is>
      </x:c>
    </x:row>
    <x:row r="18" ht="18" customHeight="1">
      <x:c r="A18" s="31" t="inlineStr">
        <x:is>
          <x:t xml:space="preserve">ПОСТАВ-00039-1</x:t>
        </x:is>
      </x:c>
      <x:c r="B18" s="31" t="inlineStr">
        <x:is>
          <x:t xml:space="preserve">ЗП-2026-0039</x:t>
        </x:is>
      </x:c>
      <x:c r="C18" s="31" t="inlineStr">
        <x:is>
          <x:t xml:space="preserve">ЗЗ-00039</x:t>
        </x:is>
      </x:c>
      <x:c r="D18" s="31" t="inlineStr">
        <x:is>
          <x:t xml:space="preserve">МАТ-0065</x:t>
        </x:is>
      </x:c>
      <x:c r="E18" s="31" t="inlineStr">
        <x:is>
          <x:t xml:space="preserve">ПОСТ-004</x:t>
        </x:is>
      </x:c>
      <x:c r="F18" s="31" t="n">
        <x:v>46190</x:v>
      </x:c>
      <x:c r="G18" s="31" t="n">
        <x:v>193</x:v>
      </x:c>
      <x:c r="H18" s="31" t="inlineStr">
        <x:is>
          <x:t xml:space="preserve">шт</x:t>
        </x:is>
      </x:c>
      <x:c r="I18" s="31" t="n">
        <x:v>38407</x:v>
      </x:c>
      <x:c r="J18" s="31" t="inlineStr">
        <x:is>
          <x:t xml:space="preserve">Принято</x:t>
        </x:is>
      </x:c>
      <x:c r="K18" s="31" t="inlineStr">
        <x:is>
          <x:t xml:space="preserve">УПД-67269</x:t>
        </x:is>
      </x:c>
    </x:row>
    <x:row r="19" ht="18" customHeight="1">
      <x:c r="A19" s="31" t="inlineStr">
        <x:is>
          <x:t xml:space="preserve">ПОСТАВ-00040-1</x:t>
        </x:is>
      </x:c>
      <x:c r="B19" s="31" t="inlineStr">
        <x:is>
          <x:t xml:space="preserve">ЗП-2026-0040</x:t>
        </x:is>
      </x:c>
      <x:c r="C19" s="31" t="inlineStr">
        <x:is>
          <x:t xml:space="preserve">ЗЗ-00040</x:t>
        </x:is>
      </x:c>
      <x:c r="D19" s="31" t="inlineStr">
        <x:is>
          <x:t xml:space="preserve">МАТ-0067</x:t>
        </x:is>
      </x:c>
      <x:c r="E19" s="31" t="inlineStr">
        <x:is>
          <x:t xml:space="preserve">ПОСТ-013</x:t>
        </x:is>
      </x:c>
      <x:c r="F19" s="31" t="n">
        <x:v>46218</x:v>
      </x:c>
      <x:c r="G19" s="31" t="n">
        <x:v>19</x:v>
      </x:c>
      <x:c r="H19" s="31" t="inlineStr">
        <x:is>
          <x:t xml:space="preserve">кг</x:t>
        </x:is>
      </x:c>
      <x:c r="I19" s="31" t="n">
        <x:v>2299</x:v>
      </x:c>
      <x:c r="J19" s="31" t="inlineStr">
        <x:is>
          <x:t xml:space="preserve">Принято</x:t>
        </x:is>
      </x:c>
      <x:c r="K19" s="31" t="inlineStr">
        <x:is>
          <x:t xml:space="preserve">УПД-95350</x:t>
        </x:is>
      </x:c>
    </x:row>
    <x:row r="20" ht="18" customHeight="1">
      <x:c r="A20" s="31" t="inlineStr">
        <x:is>
          <x:t xml:space="preserve">ПОСТАВ-00045-1</x:t>
        </x:is>
      </x:c>
      <x:c r="B20" s="31" t="inlineStr">
        <x:is>
          <x:t xml:space="preserve">ЗП-2026-0045</x:t>
        </x:is>
      </x:c>
      <x:c r="C20" s="31" t="inlineStr">
        <x:is>
          <x:t xml:space="preserve">ЗЗ-00045</x:t>
        </x:is>
      </x:c>
      <x:c r="D20" s="31" t="inlineStr">
        <x:is>
          <x:t xml:space="preserve">МАТ-0073</x:t>
        </x:is>
      </x:c>
      <x:c r="E20" s="31" t="inlineStr">
        <x:is>
          <x:t xml:space="preserve">ПОСТ-029</x:t>
        </x:is>
      </x:c>
      <x:c r="F20" s="31" t="n">
        <x:v>46169</x:v>
      </x:c>
      <x:c r="G20" s="31" t="n">
        <x:v>250</x:v>
      </x:c>
      <x:c r="H20" s="31" t="inlineStr">
        <x:is>
          <x:t xml:space="preserve">л</x:t>
        </x:is>
      </x:c>
      <x:c r="I20" s="31" t="n">
        <x:v>194500</x:v>
      </x:c>
      <x:c r="J20" s="31" t="inlineStr">
        <x:is>
          <x:t xml:space="preserve">Принято</x:t>
        </x:is>
      </x:c>
      <x:c r="K20" s="31" t="inlineStr">
        <x:is>
          <x:t xml:space="preserve">УПД-39300</x:t>
        </x:is>
      </x:c>
    </x:row>
    <x:row r="21" ht="18" customHeight="1">
      <x:c r="A21" s="31" t="inlineStr">
        <x:is>
          <x:t xml:space="preserve">ПОСТАВ-00050-1</x:t>
        </x:is>
      </x:c>
      <x:c r="B21" s="31" t="inlineStr">
        <x:is>
          <x:t xml:space="preserve">ЗП-2026-0050</x:t>
        </x:is>
      </x:c>
      <x:c r="C21" s="31" t="inlineStr">
        <x:is>
          <x:t xml:space="preserve">ЗЗ-00050</x:t>
        </x:is>
      </x:c>
      <x:c r="D21" s="31" t="inlineStr">
        <x:is>
          <x:t xml:space="preserve">МАТ-0079</x:t>
        </x:is>
      </x:c>
      <x:c r="E21" s="31" t="inlineStr">
        <x:is>
          <x:t xml:space="preserve">ПОСТ-021</x:t>
        </x:is>
      </x:c>
      <x:c r="F21" s="31" t="n">
        <x:v>46159</x:v>
      </x:c>
      <x:c r="G21" s="31" t="n">
        <x:v>137</x:v>
      </x:c>
      <x:c r="H21" s="31" t="inlineStr">
        <x:is>
          <x:t xml:space="preserve">шт</x:t>
        </x:is>
      </x:c>
      <x:c r="I21" s="31" t="n">
        <x:v>10686</x:v>
      </x:c>
      <x:c r="J21" s="31" t="inlineStr">
        <x:is>
          <x:t xml:space="preserve">Принято</x:t>
        </x:is>
      </x:c>
      <x:c r="K21" s="31" t="inlineStr">
        <x:is>
          <x:t xml:space="preserve">УПД-31080</x:t>
        </x:is>
      </x:c>
    </x:row>
    <x:row r="22" ht="18" customHeight="1">
      <x:c r="A22" s="31" t="inlineStr">
        <x:is>
          <x:t xml:space="preserve">ПОСТАВ-00050-2</x:t>
        </x:is>
      </x:c>
      <x:c r="B22" s="31" t="inlineStr">
        <x:is>
          <x:t xml:space="preserve">ЗП-2026-0050</x:t>
        </x:is>
      </x:c>
      <x:c r="C22" s="31" t="inlineStr">
        <x:is>
          <x:t xml:space="preserve">ЗЗ-00050</x:t>
        </x:is>
      </x:c>
      <x:c r="D22" s="31" t="inlineStr">
        <x:is>
          <x:t xml:space="preserve">МАТ-0079</x:t>
        </x:is>
      </x:c>
      <x:c r="E22" s="31" t="inlineStr">
        <x:is>
          <x:t xml:space="preserve">ПОСТ-021</x:t>
        </x:is>
      </x:c>
      <x:c r="F22" s="31" t="n">
        <x:v>46162</x:v>
      </x:c>
      <x:c r="G22" s="31" t="n">
        <x:v>85</x:v>
      </x:c>
      <x:c r="H22" s="31" t="inlineStr">
        <x:is>
          <x:t xml:space="preserve">шт</x:t>
        </x:is>
      </x:c>
      <x:c r="I22" s="31" t="n">
        <x:v>6630</x:v>
      </x:c>
      <x:c r="J22" s="31" t="inlineStr">
        <x:is>
          <x:t xml:space="preserve">Частично принято</x:t>
        </x:is>
      </x:c>
      <x:c r="K22" s="31" t="inlineStr">
        <x:is>
          <x:t xml:space="preserve">УПД-27904</x:t>
        </x:is>
      </x:c>
    </x:row>
    <x:row r="23" ht="18" customHeight="1">
      <x:c r="A23" s="31" t="inlineStr">
        <x:is>
          <x:t xml:space="preserve">ПОСТАВ-00051-1</x:t>
        </x:is>
      </x:c>
      <x:c r="B23" s="31" t="inlineStr">
        <x:is>
          <x:t xml:space="preserve">ЗП-2026-0051</x:t>
        </x:is>
      </x:c>
      <x:c r="C23" s="31" t="inlineStr">
        <x:is>
          <x:t xml:space="preserve">ЗЗ-00051</x:t>
        </x:is>
      </x:c>
      <x:c r="D23" s="31" t="inlineStr">
        <x:is>
          <x:t xml:space="preserve">МАТ-0081</x:t>
        </x:is>
      </x:c>
      <x:c r="E23" s="31" t="inlineStr">
        <x:is>
          <x:t xml:space="preserve">ПОСТ-003</x:t>
        </x:is>
      </x:c>
      <x:c r="F23" s="31" t="n">
        <x:v>46200</x:v>
      </x:c>
      <x:c r="G23" s="31" t="n">
        <x:v>232</x:v>
      </x:c>
      <x:c r="H23" s="31" t="inlineStr">
        <x:is>
          <x:t xml:space="preserve">шт</x:t>
        </x:is>
      </x:c>
      <x:c r="I23" s="31" t="n">
        <x:v>32248</x:v>
      </x:c>
      <x:c r="J23" s="31" t="inlineStr">
        <x:is>
          <x:t xml:space="preserve">Принято</x:t>
        </x:is>
      </x:c>
      <x:c r="K23" s="31" t="inlineStr">
        <x:is>
          <x:t xml:space="preserve">УПД-52962</x:t>
        </x:is>
      </x:c>
    </x:row>
    <x:row r="24" ht="18" customHeight="1">
      <x:c r="A24" s="31" t="inlineStr">
        <x:is>
          <x:t xml:space="preserve">ПОСТАВ-00055-1</x:t>
        </x:is>
      </x:c>
      <x:c r="B24" s="31" t="inlineStr">
        <x:is>
          <x:t xml:space="preserve">ЗП-2026-0055</x:t>
        </x:is>
      </x:c>
      <x:c r="C24" s="31" t="inlineStr">
        <x:is>
          <x:t xml:space="preserve">ЗЗ-00055</x:t>
        </x:is>
      </x:c>
      <x:c r="D24" s="31" t="inlineStr">
        <x:is>
          <x:t xml:space="preserve">МАТ-0086</x:t>
        </x:is>
      </x:c>
      <x:c r="E24" s="31" t="inlineStr">
        <x:is>
          <x:t xml:space="preserve">ПОСТ-022</x:t>
        </x:is>
      </x:c>
      <x:c r="F24" s="31" t="n">
        <x:v>46181</x:v>
      </x:c>
      <x:c r="G24" s="31" t="n">
        <x:v>27</x:v>
      </x:c>
      <x:c r="H24" s="31" t="inlineStr">
        <x:is>
          <x:t xml:space="preserve">шт</x:t>
        </x:is>
      </x:c>
      <x:c r="I24" s="31" t="n">
        <x:v>93339</x:v>
      </x:c>
      <x:c r="J24" s="31" t="inlineStr">
        <x:is>
          <x:t xml:space="preserve">Принято</x:t>
        </x:is>
      </x:c>
      <x:c r="K24" s="31" t="inlineStr">
        <x:is>
          <x:t xml:space="preserve">УПД-79616</x:t>
        </x:is>
      </x:c>
    </x:row>
    <x:row r="25" ht="18" customHeight="1">
      <x:c r="A25" s="31" t="inlineStr">
        <x:is>
          <x:t xml:space="preserve">ПОСТАВ-00055-2</x:t>
        </x:is>
      </x:c>
      <x:c r="B25" s="31" t="inlineStr">
        <x:is>
          <x:t xml:space="preserve">ЗП-2026-0055</x:t>
        </x:is>
      </x:c>
      <x:c r="C25" s="31" t="inlineStr">
        <x:is>
          <x:t xml:space="preserve">ЗЗ-00055</x:t>
        </x:is>
      </x:c>
      <x:c r="D25" s="31" t="inlineStr">
        <x:is>
          <x:t xml:space="preserve">МАТ-0086</x:t>
        </x:is>
      </x:c>
      <x:c r="E25" s="31" t="inlineStr">
        <x:is>
          <x:t xml:space="preserve">ПОСТ-022</x:t>
        </x:is>
      </x:c>
      <x:c r="F25" s="31" t="n">
        <x:v>46205</x:v>
      </x:c>
      <x:c r="G25" s="31" t="n">
        <x:v>82</x:v>
      </x:c>
      <x:c r="H25" s="31" t="inlineStr">
        <x:is>
          <x:t xml:space="preserve">шт</x:t>
        </x:is>
      </x:c>
      <x:c r="I25" s="31" t="n">
        <x:v>283474</x:v>
      </x:c>
      <x:c r="J25" s="31" t="inlineStr">
        <x:is>
          <x:t xml:space="preserve">Принято</x:t>
        </x:is>
      </x:c>
      <x:c r="K25" s="31" t="inlineStr">
        <x:is>
          <x:t xml:space="preserve">УПД-75249</x:t>
        </x:is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5" customWidth="1"/>
    <x:col min="3" max="3" width="23" customWidth="1"/>
    <x:col min="4" max="4" width="15" customWidth="1"/>
    <x:col min="5" max="5" width="38" customWidth="1"/>
    <x:col min="6" max="6" width="22" customWidth="1"/>
    <x:col min="7" max="7" width="10" customWidth="1"/>
    <x:col min="8" max="8" width="12" customWidth="1"/>
    <x:col min="9" max="9" width="31" customWidth="1"/>
    <x:col min="10" max="10" width="16" customWidth="1"/>
    <x:col min="11" max="11" width="17" customWidth="1"/>
    <x:col min="12" max="12" width="17" customWidth="1"/>
    <x:col min="13" max="13" width="18" customWidth="1"/>
  </x:cols>
  <x:sheetData>
    <x:row r="1" ht="18" customHeight="1">
      <x:c r="A1" s="30" t="inlineStr">
        <x:is>
          <x:t xml:space="preserve">Код движения</x:t>
        </x:is>
      </x:c>
      <x:c r="B1" s="30" t="inlineStr">
        <x:is>
          <x:t xml:space="preserve">Дата движения</x:t>
        </x:is>
      </x:c>
      <x:c r="C1" s="30" t="inlineStr">
        <x:is>
          <x:t xml:space="preserve">Тип движения</x:t>
        </x:is>
      </x:c>
      <x:c r="D1" s="30" t="inlineStr">
        <x:is>
          <x:t xml:space="preserve">Код материала</x:t>
        </x:is>
      </x:c>
      <x:c r="E1" s="30" t="inlineStr">
        <x:is>
          <x:t xml:space="preserve">Материал</x:t>
        </x:is>
      </x:c>
      <x:c r="F1" s="30" t="inlineStr">
        <x:is>
          <x:t xml:space="preserve">Количество со знаком</x:t>
        </x:is>
      </x:c>
      <x:c r="G1" s="30" t="inlineStr">
        <x:is>
          <x:t xml:space="preserve">Ед. изм.</x:t>
        </x:is>
      </x:c>
      <x:c r="H1" s="30" t="inlineStr">
        <x:is>
          <x:t xml:space="preserve">Код заказа</x:t>
        </x:is>
      </x:c>
      <x:c r="I1" s="30" t="inlineStr">
        <x:is>
          <x:t xml:space="preserve">Код производственного задания</x:t>
        </x:is>
      </x:c>
      <x:c r="J1" s="30" t="inlineStr">
        <x:is>
          <x:t xml:space="preserve">Склад</x:t>
        </x:is>
      </x:c>
      <x:c r="K1" s="30" t="inlineStr">
        <x:is>
          <x:t xml:space="preserve">Табельный номер</x:t>
        </x:is>
      </x:c>
      <x:c r="L1" s="30" t="inlineStr">
        <x:is>
          <x:t xml:space="preserve">Номер документа</x:t>
        </x:is>
      </x:c>
      <x:c r="M1" s="30" t="inlineStr">
        <x:is>
          <x:t xml:space="preserve">Статус</x:t>
        </x:is>
      </x:c>
    </x:row>
    <x:row r="2" ht="18" customHeight="1">
      <x:c r="A2" s="31" t="inlineStr">
        <x:is>
          <x:t xml:space="preserve">СКЛ-000001</x:t>
        </x:is>
      </x:c>
      <x:c r="B2" s="31" t="n">
        <x:v>46178</x:v>
      </x:c>
      <x:c r="C2" s="31" t="inlineStr">
        <x:is>
          <x:t xml:space="preserve">Выдача в производство</x:t>
        </x:is>
      </x:c>
      <x:c r="D2" s="31" t="inlineStr">
        <x:is>
          <x:t xml:space="preserve">МАТ-0026</x:t>
        </x:is>
      </x:c>
      <x:c r="E2" s="31" t="inlineStr">
        <x:is>
          <x:t xml:space="preserve">Двигатель 15 кВт</x:t>
        </x:is>
      </x:c>
      <x:c r="F2" s="31" t="n">
        <x:v>-1</x:v>
      </x:c>
      <x:c r="G2" s="31" t="inlineStr">
        <x:is>
          <x:t xml:space="preserve">шт</x:t>
        </x:is>
      </x:c>
      <x:c r="H2" s="31" t="inlineStr">
        <x:is>
          <x:t xml:space="preserve">ЗК-1121</x:t>
        </x:is>
      </x:c>
      <x:c r="I2" s="31" t="inlineStr">
        <x:is>
          <x:t xml:space="preserve">ПЗ-00154</x:t>
        </x:is>
      </x:c>
      <x:c r="J2" s="31" t="inlineStr">
        <x:is>
          <x:t xml:space="preserve">Основной склад</x:t>
        </x:is>
      </x:c>
      <x:c r="K2" s="31" t="inlineStr">
        <x:is>
          <x:t xml:space="preserve">СОТР-036</x:t>
        </x:is>
      </x:c>
      <x:c r="L2" s="31" t="inlineStr">
        <x:is>
          <x:t xml:space="preserve">ДОК-2033</x:t>
        </x:is>
      </x:c>
      <x:c r="M2" s="31" t="inlineStr">
        <x:is>
          <x:t xml:space="preserve">Проведен</x:t>
        </x:is>
      </x:c>
    </x:row>
    <x:row r="3" ht="18" customHeight="1">
      <x:c r="A3" s="31" t="inlineStr">
        <x:is>
          <x:t xml:space="preserve">СКЛ-000002</x:t>
        </x:is>
      </x:c>
      <x:c r="B3" s="31" t="n">
        <x:v>46066</x:v>
      </x:c>
      <x:c r="C3" s="31" t="inlineStr">
        <x:is>
          <x:t xml:space="preserve">Выдача в производство</x:t>
        </x:is>
      </x:c>
      <x:c r="D3" s="31" t="inlineStr">
        <x:is>
          <x:t xml:space="preserve">МАТ-0041</x:t>
        </x:is>
      </x:c>
      <x:c r="E3" s="31" t="inlineStr">
        <x:is>
          <x:t xml:space="preserve">модуль аналогового входа 4 канала / исп.2</x:t>
        </x:is>
      </x:c>
      <x:c r="F3" s="31" t="n">
        <x:v>-8</x:v>
      </x:c>
      <x:c r="G3" s="31" t="inlineStr">
        <x:is>
          <x:t xml:space="preserve">шт</x:t>
        </x:is>
      </x:c>
      <x:c r="H3" s="31" t="inlineStr">
        <x:is>
          <x:t xml:space="preserve">ЗК-1124</x:t>
        </x:is>
      </x:c>
      <x:c r="I3" s="31" t="inlineStr">
        <x:is>
          <x:t xml:space="preserve">ПЗ-00019</x:t>
        </x:is>
      </x:c>
      <x:c r="J3" s="31" t="inlineStr">
        <x:is>
          <x:t xml:space="preserve">Основной склад</x:t>
        </x:is>
      </x:c>
      <x:c r="K3" s="31" t="inlineStr">
        <x:is>
          <x:t xml:space="preserve">СОТР-039</x:t>
        </x:is>
      </x:c>
      <x:c r="L3" s="31" t="inlineStr">
        <x:is>
          <x:t xml:space="preserve">ДОК-7860</x:t>
        </x:is>
      </x:c>
      <x:c r="M3" s="31" t="inlineStr">
        <x:is>
          <x:t xml:space="preserve">Требует проверки</x:t>
        </x:is>
      </x:c>
    </x:row>
    <x:row r="4" ht="18" customHeight="1">
      <x:c r="A4" s="31" t="inlineStr">
        <x:is>
          <x:t xml:space="preserve">СКЛ-000003</x:t>
        </x:is>
      </x:c>
      <x:c r="B4" s="31" t="n">
        <x:v>46192</x:v>
      </x:c>
      <x:c r="C4" s="31" t="inlineStr">
        <x:is>
          <x:t xml:space="preserve">Возврат</x:t>
        </x:is>
      </x:c>
      <x:c r="D4" s="31" t="inlineStr">
        <x:is>
          <x:t xml:space="preserve">МАТ-0050</x:t>
        </x:is>
      </x:c>
      <x:c r="E4" s="31" t="inlineStr">
        <x:is>
          <x:t xml:space="preserve">панель оператора 7"</x:t>
        </x:is>
      </x:c>
      <x:c r="F4" s="31" t="n">
        <x:v>2</x:v>
      </x:c>
      <x:c r="G4" s="31" t="inlineStr">
        <x:is>
          <x:t xml:space="preserve">шт</x:t>
        </x:is>
      </x:c>
      <x:c r="H4" s="31" t="n"/>
      <x:c r="I4" s="31" t="n"/>
      <x:c r="J4" s="31" t="inlineStr">
        <x:is>
          <x:t xml:space="preserve">Основной склад</x:t>
        </x:is>
      </x:c>
      <x:c r="K4" s="31" t="inlineStr">
        <x:is>
          <x:t xml:space="preserve">СОТР-034</x:t>
        </x:is>
      </x:c>
      <x:c r="L4" s="31" t="inlineStr">
        <x:is>
          <x:t xml:space="preserve">ДОК-9578</x:t>
        </x:is>
      </x:c>
      <x:c r="M4" s="31" t="inlineStr">
        <x:is>
          <x:t xml:space="preserve">Проведен</x:t>
        </x:is>
      </x:c>
    </x:row>
    <x:row r="5" ht="18" customHeight="1">
      <x:c r="A5" s="31" t="inlineStr">
        <x:is>
          <x:t xml:space="preserve">СКЛ-000004</x:t>
        </x:is>
      </x:c>
      <x:c r="B5" s="31" t="n">
        <x:v>46082</x:v>
      </x:c>
      <x:c r="C5" s="31" t="inlineStr">
        <x:is>
          <x:t xml:space="preserve">Списание</x:t>
        </x:is>
      </x:c>
      <x:c r="D5" s="31" t="inlineStr">
        <x:is>
          <x:t xml:space="preserve">МАТ-0041</x:t>
        </x:is>
      </x:c>
      <x:c r="E5" s="31" t="inlineStr">
        <x:is>
          <x:t xml:space="preserve">модуль аналогового входа 4 канала / исп.2</x:t>
        </x:is>
      </x:c>
      <x:c r="F5" s="31" t="n">
        <x:v>-3</x:v>
      </x:c>
      <x:c r="G5" s="31" t="inlineStr">
        <x:is>
          <x:t xml:space="preserve">шт</x:t>
        </x:is>
      </x:c>
      <x:c r="H5" s="31" t="n"/>
      <x:c r="I5" s="31" t="n"/>
      <x:c r="J5" s="31" t="inlineStr">
        <x:is>
          <x:t xml:space="preserve">Цеховой склад</x:t>
        </x:is>
      </x:c>
      <x:c r="K5" s="31" t="inlineStr">
        <x:is>
          <x:t xml:space="preserve">СОТР-036</x:t>
        </x:is>
      </x:c>
      <x:c r="L5" s="31" t="inlineStr">
        <x:is>
          <x:t xml:space="preserve">ДОК-1273</x:t>
        </x:is>
      </x:c>
      <x:c r="M5" s="31" t="inlineStr">
        <x:is>
          <x:t xml:space="preserve">Проведен</x:t>
        </x:is>
      </x:c>
    </x:row>
    <x:row r="6" ht="18" customHeight="1">
      <x:c r="A6" s="31" t="inlineStr">
        <x:is>
          <x:t xml:space="preserve">СКЛ-000005</x:t>
        </x:is>
      </x:c>
      <x:c r="B6" s="31" t="n">
        <x:v>46104</x:v>
      </x:c>
      <x:c r="C6" s="31" t="inlineStr">
        <x:is>
          <x:t xml:space="preserve">Выдача в производство</x:t>
        </x:is>
      </x:c>
      <x:c r="D6" s="31" t="inlineStr">
        <x:is>
          <x:t xml:space="preserve">МАТ-0073</x:t>
        </x:is>
      </x:c>
      <x:c r="E6" s="31" t="inlineStr">
        <x:is>
          <x:t xml:space="preserve">Растворитель / исп.2</x:t>
        </x:is>
      </x:c>
      <x:c r="F6" s="31" t="n">
        <x:v>-43.17</x:v>
      </x:c>
      <x:c r="G6" s="31" t="inlineStr">
        <x:is>
          <x:t xml:space="preserve">л</x:t>
        </x:is>
      </x:c>
      <x:c r="H6" s="31" t="inlineStr">
        <x:is>
          <x:t xml:space="preserve">ЗК-1097</x:t>
        </x:is>
      </x:c>
      <x:c r="I6" s="31" t="inlineStr">
        <x:is>
          <x:t xml:space="preserve">ПЗ-00112</x:t>
        </x:is>
      </x:c>
      <x:c r="J6" s="31" t="inlineStr">
        <x:is>
          <x:t xml:space="preserve">Основной склад</x:t>
        </x:is>
      </x:c>
      <x:c r="K6" s="31" t="inlineStr">
        <x:is>
          <x:t xml:space="preserve">СОТР-035</x:t>
        </x:is>
      </x:c>
      <x:c r="L6" s="31" t="inlineStr">
        <x:is>
          <x:t xml:space="preserve">ДОК-1349</x:t>
        </x:is>
      </x:c>
      <x:c r="M6" s="31" t="inlineStr">
        <x:is>
          <x:t xml:space="preserve">Проведен</x:t>
        </x:is>
      </x:c>
    </x:row>
    <x:row r="7" ht="18" customHeight="1">
      <x:c r="A7" s="31" t="inlineStr">
        <x:is>
          <x:t xml:space="preserve">СКЛ-000006</x:t>
        </x:is>
      </x:c>
      <x:c r="B7" s="31" t="n">
        <x:v>46176</x:v>
      </x:c>
      <x:c r="C7" s="31" t="inlineStr">
        <x:is>
          <x:t xml:space="preserve">Приход</x:t>
        </x:is>
      </x:c>
      <x:c r="D7" s="31" t="inlineStr">
        <x:is>
          <x:t xml:space="preserve">МАТ-0066</x:t>
        </x:is>
      </x:c>
      <x:c r="E7" s="31" t="inlineStr">
        <x:is>
          <x:t xml:space="preserve">Гофра металлическая / исп.2</x:t>
        </x:is>
      </x:c>
      <x:c r="F7" s="31" t="n">
        <x:v>19.87</x:v>
      </x:c>
      <x:c r="G7" s="31" t="inlineStr">
        <x:is>
          <x:t xml:space="preserve">кг</x:t>
        </x:is>
      </x:c>
      <x:c r="H7" s="31" t="n"/>
      <x:c r="I7" s="31" t="n"/>
      <x:c r="J7" s="31" t="inlineStr">
        <x:is>
          <x:t xml:space="preserve">Основной склад</x:t>
        </x:is>
      </x:c>
      <x:c r="K7" s="31" t="inlineStr">
        <x:is>
          <x:t xml:space="preserve">СОТР-039</x:t>
        </x:is>
      </x:c>
      <x:c r="L7" s="31" t="inlineStr">
        <x:is>
          <x:t xml:space="preserve">ДОК-1139</x:t>
        </x:is>
      </x:c>
      <x:c r="M7" s="31" t="inlineStr">
        <x:is>
          <x:t xml:space="preserve">Проведен</x:t>
        </x:is>
      </x:c>
    </x:row>
    <x:row r="8" ht="18" customHeight="1">
      <x:c r="A8" s="31" t="inlineStr">
        <x:is>
          <x:t xml:space="preserve">СКЛ-000007</x:t>
        </x:is>
      </x:c>
      <x:c r="B8" s="31" t="n">
        <x:v>46032</x:v>
      </x:c>
      <x:c r="C8" s="31" t="inlineStr">
        <x:is>
          <x:t xml:space="preserve">Приход</x:t>
        </x:is>
      </x:c>
      <x:c r="D8" s="31" t="inlineStr">
        <x:is>
          <x:t xml:space="preserve">МАТ-0049</x:t>
        </x:is>
      </x:c>
      <x:c r="E8" s="31" t="inlineStr">
        <x:is>
          <x:t xml:space="preserve">Рейковая клемма</x:t>
        </x:is>
      </x:c>
      <x:c r="F8" s="31" t="n">
        <x:v>6</x:v>
      </x:c>
      <x:c r="G8" s="31" t="inlineStr">
        <x:is>
          <x:t xml:space="preserve">шт</x:t>
        </x:is>
      </x:c>
      <x:c r="H8" s="31" t="n"/>
      <x:c r="I8" s="31" t="n"/>
      <x:c r="J8" s="31" t="inlineStr">
        <x:is>
          <x:t xml:space="preserve">Основной склад</x:t>
        </x:is>
      </x:c>
      <x:c r="K8" s="31" t="inlineStr">
        <x:is>
          <x:t xml:space="preserve">СОТР-037</x:t>
        </x:is>
      </x:c>
      <x:c r="L8" s="31" t="inlineStr">
        <x:is>
          <x:t xml:space="preserve">ДОК-6061</x:t>
        </x:is>
      </x:c>
      <x:c r="M8" s="31" t="inlineStr">
        <x:is>
          <x:t xml:space="preserve">Проведен</x:t>
        </x:is>
      </x:c>
    </x:row>
    <x:row r="9" ht="18" customHeight="1">
      <x:c r="A9" s="31" t="inlineStr">
        <x:is>
          <x:t xml:space="preserve">СКЛ-000008</x:t>
        </x:is>
      </x:c>
      <x:c r="B9" s="31" t="n">
        <x:v>46057</x:v>
      </x:c>
      <x:c r="C9" s="31" t="inlineStr">
        <x:is>
          <x:t xml:space="preserve">Резерв</x:t>
        </x:is>
      </x:c>
      <x:c r="D9" s="31" t="inlineStr">
        <x:is>
          <x:t xml:space="preserve">МАТ-0071</x:t>
        </x:is>
      </x:c>
      <x:c r="E9" s="31" t="inlineStr">
        <x:is>
          <x:t xml:space="preserve">Эмаль полиуретановая / исп.3</x:t>
        </x:is>
      </x:c>
      <x:c r="F9" s="31" t="n">
        <x:v>-18.64</x:v>
      </x:c>
      <x:c r="G9" s="31" t="inlineStr">
        <x:is>
          <x:t xml:space="preserve">кг</x:t>
        </x:is>
      </x:c>
      <x:c r="H9" s="31" t="inlineStr">
        <x:is>
          <x:t xml:space="preserve">ЗК-1047</x:t>
        </x:is>
      </x:c>
      <x:c r="I9" s="31" t="n"/>
      <x:c r="J9" s="31" t="inlineStr">
        <x:is>
          <x:t xml:space="preserve">Основной склад</x:t>
        </x:is>
      </x:c>
      <x:c r="K9" s="31" t="inlineStr">
        <x:is>
          <x:t xml:space="preserve">СОТР-039</x:t>
        </x:is>
      </x:c>
      <x:c r="L9" s="31" t="inlineStr">
        <x:is>
          <x:t xml:space="preserve">ДОК-9345</x:t>
        </x:is>
      </x:c>
      <x:c r="M9" s="31" t="inlineStr">
        <x:is>
          <x:t xml:space="preserve">Проведен</x:t>
        </x:is>
      </x:c>
    </x:row>
    <x:row r="10" ht="18" customHeight="1">
      <x:c r="A10" s="31" t="inlineStr">
        <x:is>
          <x:t xml:space="preserve">СКЛ-000009</x:t>
        </x:is>
      </x:c>
      <x:c r="B10" s="31" t="n">
        <x:v>46146</x:v>
      </x:c>
      <x:c r="C10" s="31" t="inlineStr">
        <x:is>
          <x:t xml:space="preserve">Резерв</x:t>
        </x:is>
      </x:c>
      <x:c r="D10" s="31" t="inlineStr">
        <x:is>
          <x:t xml:space="preserve">МАТ-0044</x:t>
        </x:is>
      </x:c>
      <x:c r="E10" s="31" t="inlineStr">
        <x:is>
          <x:t xml:space="preserve">Блок питания 24В / исп.2</x:t>
        </x:is>
      </x:c>
      <x:c r="F10" s="31" t="n">
        <x:v>-13</x:v>
      </x:c>
      <x:c r="G10" s="31" t="inlineStr">
        <x:is>
          <x:t xml:space="preserve">шт</x:t>
        </x:is>
      </x:c>
      <x:c r="H10" s="31" t="inlineStr">
        <x:is>
          <x:t xml:space="preserve">ЗК-1093</x:t>
        </x:is>
      </x:c>
      <x:c r="I10" s="31" t="n"/>
      <x:c r="J10" s="31" t="inlineStr">
        <x:is>
          <x:t xml:space="preserve">Основной склад</x:t>
        </x:is>
      </x:c>
      <x:c r="K10" s="31" t="inlineStr">
        <x:is>
          <x:t xml:space="preserve">СОТР-034</x:t>
        </x:is>
      </x:c>
      <x:c r="L10" s="31" t="inlineStr">
        <x:is>
          <x:t xml:space="preserve">ДОК-3208</x:t>
        </x:is>
      </x:c>
      <x:c r="M10" s="31" t="inlineStr">
        <x:is>
          <x:t xml:space="preserve">Проведен</x:t>
        </x:is>
      </x:c>
    </x:row>
    <x:row r="11" ht="18" customHeight="1">
      <x:c r="A11" s="31" t="inlineStr">
        <x:is>
          <x:t xml:space="preserve">СКЛ-000010</x:t>
        </x:is>
      </x:c>
      <x:c r="B11" s="31" t="n">
        <x:v>46166</x:v>
      </x:c>
      <x:c r="C11" s="31" t="inlineStr">
        <x:is>
          <x:t xml:space="preserve">Приход</x:t>
        </x:is>
      </x:c>
      <x:c r="D11" s="31" t="inlineStr">
        <x:is>
          <x:t xml:space="preserve">МАТ-0030</x:t>
        </x:is>
      </x:c>
      <x:c r="E11" s="31" t="inlineStr">
        <x:is>
          <x:t xml:space="preserve">Частотный преобразователь 22 кВт / исп.2</x:t>
        </x:is>
      </x:c>
      <x:c r="F11" s="31" t="n">
        <x:v>5</x:v>
      </x:c>
      <x:c r="G11" s="31" t="inlineStr">
        <x:is>
          <x:t xml:space="preserve">шт</x:t>
        </x:is>
      </x:c>
      <x:c r="H11" s="31" t="n"/>
      <x:c r="I11" s="31" t="n"/>
      <x:c r="J11" s="31" t="inlineStr">
        <x:is>
          <x:t xml:space="preserve">Брак/карантин</x:t>
        </x:is>
      </x:c>
      <x:c r="K11" s="31" t="inlineStr">
        <x:is>
          <x:t xml:space="preserve">СОТР-039</x:t>
        </x:is>
      </x:c>
      <x:c r="L11" s="31" t="inlineStr">
        <x:is>
          <x:t xml:space="preserve">ДОК-6236</x:t>
        </x:is>
      </x:c>
      <x:c r="M11" s="31" t="inlineStr">
        <x:is>
          <x:t xml:space="preserve">Проведен</x:t>
        </x:is>
      </x:c>
    </x:row>
    <x:row r="12" ht="18" customHeight="1">
      <x:c r="A12" s="31" t="inlineStr">
        <x:is>
          <x:t xml:space="preserve">СКЛ-000011</x:t>
        </x:is>
      </x:c>
      <x:c r="B12" s="31" t="n">
        <x:v>46190</x:v>
      </x:c>
      <x:c r="C12" s="31" t="inlineStr">
        <x:is>
          <x:t xml:space="preserve">Приход</x:t>
        </x:is>
      </x:c>
      <x:c r="D12" s="31" t="inlineStr">
        <x:is>
          <x:t xml:space="preserve">МАТ-0035</x:t>
        </x:is>
      </x:c>
      <x:c r="E12" s="31" t="inlineStr">
        <x:is>
          <x:t xml:space="preserve">Клапан электромагнитный 24В</x:t>
        </x:is>
      </x:c>
      <x:c r="F12" s="31" t="n">
        <x:v>17</x:v>
      </x:c>
      <x:c r="G12" s="31" t="inlineStr">
        <x:is>
          <x:t xml:space="preserve">шт</x:t>
        </x:is>
      </x:c>
      <x:c r="H12" s="31" t="n"/>
      <x:c r="I12" s="31" t="n"/>
      <x:c r="J12" s="31" t="inlineStr">
        <x:is>
          <x:t xml:space="preserve">Цеховой склад</x:t>
        </x:is>
      </x:c>
      <x:c r="K12" s="31" t="inlineStr">
        <x:is>
          <x:t xml:space="preserve">СОТР-034</x:t>
        </x:is>
      </x:c>
      <x:c r="L12" s="31" t="inlineStr">
        <x:is>
          <x:t xml:space="preserve">ДОК-4903</x:t>
        </x:is>
      </x:c>
      <x:c r="M12" s="31" t="inlineStr">
        <x:is>
          <x:t xml:space="preserve">Проведен</x:t>
        </x:is>
      </x:c>
    </x:row>
    <x:row r="13" ht="18" customHeight="1">
      <x:c r="A13" s="31" t="inlineStr">
        <x:is>
          <x:t xml:space="preserve">СКЛ-000012</x:t>
        </x:is>
      </x:c>
      <x:c r="B13" s="31" t="n">
        <x:v>46143</x:v>
      </x:c>
      <x:c r="C13" s="31" t="inlineStr">
        <x:is>
          <x:t xml:space="preserve">Приход</x:t>
        </x:is>
      </x:c>
      <x:c r="D13" s="31" t="inlineStr">
        <x:is>
          <x:t xml:space="preserve">МАТ-0002</x:t>
        </x:is>
      </x:c>
      <x:c r="E13" s="31" t="inlineStr">
        <x:is>
          <x:t xml:space="preserve">Лист стальной 09Г2С 12 мм</x:t>
        </x:is>
      </x:c>
      <x:c r="F13" s="31" t="n">
        <x:v>2.02</x:v>
      </x:c>
      <x:c r="G13" s="31" t="inlineStr">
        <x:is>
          <x:t xml:space="preserve">кг</x:t>
        </x:is>
      </x:c>
      <x:c r="H13" s="31" t="n"/>
      <x:c r="I13" s="31" t="n"/>
      <x:c r="J13" s="31" t="inlineStr">
        <x:is>
          <x:t xml:space="preserve">Основной склад</x:t>
        </x:is>
      </x:c>
      <x:c r="K13" s="31" t="inlineStr">
        <x:is>
          <x:t xml:space="preserve">СОТР-039</x:t>
        </x:is>
      </x:c>
      <x:c r="L13" s="31" t="inlineStr">
        <x:is>
          <x:t xml:space="preserve">ДОК-2814</x:t>
        </x:is>
      </x:c>
      <x:c r="M13" s="31" t="inlineStr">
        <x:is>
          <x:t xml:space="preserve">Проведен</x:t>
        </x:is>
      </x:c>
    </x:row>
    <x:row r="14" ht="18" customHeight="1">
      <x:c r="A14" s="31" t="inlineStr">
        <x:is>
          <x:t xml:space="preserve">СКЛ-000013</x:t>
        </x:is>
      </x:c>
      <x:c r="B14" s="31" t="n">
        <x:v>46151</x:v>
      </x:c>
      <x:c r="C14" s="31" t="inlineStr">
        <x:is>
          <x:t xml:space="preserve">Приход</x:t>
        </x:is>
      </x:c>
      <x:c r="D14" s="31" t="inlineStr">
        <x:is>
          <x:t xml:space="preserve">МАТ-0083</x:t>
        </x:is>
      </x:c>
      <x:c r="E14" s="31" t="inlineStr">
        <x:is>
          <x:t xml:space="preserve">Анкер М16</x:t>
        </x:is>
      </x:c>
      <x:c r="F14" s="31" t="n">
        <x:v>20</x:v>
      </x:c>
      <x:c r="G14" s="31" t="inlineStr">
        <x:is>
          <x:t xml:space="preserve">шт</x:t>
        </x:is>
      </x:c>
      <x:c r="H14" s="31" t="n"/>
      <x:c r="I14" s="31" t="n"/>
      <x:c r="J14" s="31" t="inlineStr">
        <x:is>
          <x:t xml:space="preserve">Основной склад</x:t>
        </x:is>
      </x:c>
      <x:c r="K14" s="31" t="inlineStr">
        <x:is>
          <x:t xml:space="preserve">СОТР-034</x:t>
        </x:is>
      </x:c>
      <x:c r="L14" s="31" t="inlineStr">
        <x:is>
          <x:t xml:space="preserve">ДОК-7193</x:t>
        </x:is>
      </x:c>
      <x:c r="M14" s="31" t="inlineStr">
        <x:is>
          <x:t xml:space="preserve">Проведен</x:t>
        </x:is>
      </x:c>
    </x:row>
    <x:row r="15" ht="18" customHeight="1">
      <x:c r="A15" s="31" t="inlineStr">
        <x:is>
          <x:t xml:space="preserve">СКЛ-000014</x:t>
        </x:is>
      </x:c>
      <x:c r="B15" s="31" t="n">
        <x:v>46103</x:v>
      </x:c>
      <x:c r="C15" s="31" t="inlineStr">
        <x:is>
          <x:t xml:space="preserve">Приход</x:t>
        </x:is>
      </x:c>
      <x:c r="D15" s="31" t="inlineStr">
        <x:is>
          <x:t xml:space="preserve">МАТ-0060</x:t>
        </x:is>
      </x:c>
      <x:c r="E15" s="31" t="inlineStr">
        <x:is>
          <x:t xml:space="preserve">Фильтр сетчатый Ду50 / исп.2</x:t>
        </x:is>
      </x:c>
      <x:c r="F15" s="31" t="n">
        <x:v>13</x:v>
      </x:c>
      <x:c r="G15" s="31" t="inlineStr">
        <x:is>
          <x:t xml:space="preserve">шт</x:t>
        </x:is>
      </x:c>
      <x:c r="H15" s="31" t="n"/>
      <x:c r="I15" s="31" t="n"/>
      <x:c r="J15" s="31" t="inlineStr">
        <x:is>
          <x:t xml:space="preserve">Основной склад</x:t>
        </x:is>
      </x:c>
      <x:c r="K15" s="31" t="inlineStr">
        <x:is>
          <x:t xml:space="preserve">СОТР-038</x:t>
        </x:is>
      </x:c>
      <x:c r="L15" s="31" t="inlineStr">
        <x:is>
          <x:t xml:space="preserve">ДОК-8809</x:t>
        </x:is>
      </x:c>
      <x:c r="M15" s="31" t="inlineStr">
        <x:is>
          <x:t xml:space="preserve">Черновик</x:t>
        </x:is>
      </x:c>
    </x:row>
    <x:row r="16" ht="18" customHeight="1">
      <x:c r="A16" s="31" t="inlineStr">
        <x:is>
          <x:t xml:space="preserve">СКЛ-000015</x:t>
        </x:is>
      </x:c>
      <x:c r="B16" s="31" t="n">
        <x:v>46111</x:v>
      </x:c>
      <x:c r="C16" s="31" t="inlineStr">
        <x:is>
          <x:t xml:space="preserve">Приход</x:t>
        </x:is>
      </x:c>
      <x:c r="D16" s="31" t="inlineStr">
        <x:is>
          <x:t xml:space="preserve">МАТ-0047</x:t>
        </x:is>
      </x:c>
      <x:c r="E16" s="31" t="inlineStr">
        <x:is>
          <x:t xml:space="preserve">Контактор 25А / исп.2</x:t>
        </x:is>
      </x:c>
      <x:c r="F16" s="31" t="n">
        <x:v>10</x:v>
      </x:c>
      <x:c r="G16" s="31" t="inlineStr">
        <x:is>
          <x:t xml:space="preserve">шт</x:t>
        </x:is>
      </x:c>
      <x:c r="H16" s="31" t="n"/>
      <x:c r="I16" s="31" t="n"/>
      <x:c r="J16" s="31" t="inlineStr">
        <x:is>
          <x:t xml:space="preserve">Основной склад</x:t>
        </x:is>
      </x:c>
      <x:c r="K16" s="31" t="inlineStr">
        <x:is>
          <x:t xml:space="preserve">СОТР-037</x:t>
        </x:is>
      </x:c>
      <x:c r="L16" s="31" t="inlineStr">
        <x:is>
          <x:t xml:space="preserve">ДОК-3911</x:t>
        </x:is>
      </x:c>
      <x:c r="M16" s="31" t="inlineStr">
        <x:is>
          <x:t xml:space="preserve">Проведен</x:t>
        </x:is>
      </x:c>
    </x:row>
    <x:row r="17" ht="18" customHeight="1">
      <x:c r="A17" s="31" t="inlineStr">
        <x:is>
          <x:t xml:space="preserve">СКЛ-000016</x:t>
        </x:is>
      </x:c>
      <x:c r="B17" s="31" t="n">
        <x:v>46163</x:v>
      </x:c>
      <x:c r="C17" s="31" t="inlineStr">
        <x:is>
          <x:t xml:space="preserve">Корректировка</x:t>
        </x:is>
      </x:c>
      <x:c r="D17" s="31" t="inlineStr">
        <x:is>
          <x:t xml:space="preserve">МАТ-0039</x:t>
        </x:is>
      </x:c>
      <x:c r="E17" s="31" t="inlineStr">
        <x:is>
          <x:t xml:space="preserve">ПЛК 24 дискр. входа / 16 дискр. выхода / исп.2</x:t>
        </x:is>
      </x:c>
      <x:c r="F17" s="31" t="n">
        <x:v>10</x:v>
      </x:c>
      <x:c r="G17" s="31" t="inlineStr">
        <x:is>
          <x:t xml:space="preserve">шт</x:t>
        </x:is>
      </x:c>
      <x:c r="H17" s="31" t="n"/>
      <x:c r="I17" s="31" t="n"/>
      <x:c r="J17" s="31" t="inlineStr">
        <x:is>
          <x:t xml:space="preserve">Основной склад</x:t>
        </x:is>
      </x:c>
      <x:c r="K17" s="31" t="inlineStr">
        <x:is>
          <x:t xml:space="preserve">СОТР-037</x:t>
        </x:is>
      </x:c>
      <x:c r="L17" s="31" t="inlineStr">
        <x:is>
          <x:t xml:space="preserve">ДОК-3285</x:t>
        </x:is>
      </x:c>
      <x:c r="M17" s="31" t="inlineStr">
        <x:is>
          <x:t xml:space="preserve">Проведен</x:t>
        </x:is>
      </x:c>
    </x:row>
    <x:row r="18" ht="18" customHeight="1">
      <x:c r="A18" s="31" t="inlineStr">
        <x:is>
          <x:t xml:space="preserve">СКЛ-000017</x:t>
        </x:is>
      </x:c>
      <x:c r="B18" s="31" t="n">
        <x:v>46177</x:v>
      </x:c>
      <x:c r="C18" s="31" t="inlineStr">
        <x:is>
          <x:t xml:space="preserve">Возврат</x:t>
        </x:is>
      </x:c>
      <x:c r="D18" s="31" t="inlineStr">
        <x:is>
          <x:t xml:space="preserve">МАТ-0084</x:t>
        </x:is>
      </x:c>
      <x:c r="E18" s="31" t="inlineStr">
        <x:is>
          <x:t xml:space="preserve">Поддон 1200×800</x:t>
        </x:is>
      </x:c>
      <x:c r="F18" s="31" t="n">
        <x:v>20</x:v>
      </x:c>
      <x:c r="G18" s="31" t="inlineStr">
        <x:is>
          <x:t xml:space="preserve">шт</x:t>
        </x:is>
      </x:c>
      <x:c r="H18" s="31" t="n"/>
      <x:c r="I18" s="31" t="n"/>
      <x:c r="J18" s="31" t="inlineStr">
        <x:is>
          <x:t xml:space="preserve">Брак/карантин</x:t>
        </x:is>
      </x:c>
      <x:c r="K18" s="31" t="inlineStr">
        <x:is>
          <x:t xml:space="preserve">СОТР-033</x:t>
        </x:is>
      </x:c>
      <x:c r="L18" s="31" t="inlineStr">
        <x:is>
          <x:t xml:space="preserve">ДОК-9529</x:t>
        </x:is>
      </x:c>
      <x:c r="M18" s="31" t="inlineStr">
        <x:is>
          <x:t xml:space="preserve">Проведен</x:t>
        </x:is>
      </x:c>
    </x:row>
    <x:row r="19" ht="18" customHeight="1">
      <x:c r="A19" s="31" t="inlineStr">
        <x:is>
          <x:t xml:space="preserve">СКЛ-000018</x:t>
        </x:is>
      </x:c>
      <x:c r="B19" s="31" t="n">
        <x:v>46141</x:v>
      </x:c>
      <x:c r="C19" s="31" t="inlineStr">
        <x:is>
          <x:t xml:space="preserve">Выдача в производство</x:t>
        </x:is>
      </x:c>
      <x:c r="D19" s="31" t="inlineStr">
        <x:is>
          <x:t xml:space="preserve">МАТ-0014</x:t>
        </x:is>
      </x:c>
      <x:c r="E19" s="31" t="inlineStr">
        <x:is>
          <x:t xml:space="preserve">Уголок 50×5 / исп.2</x:t>
        </x:is>
      </x:c>
      <x:c r="F19" s="31" t="n">
        <x:v>-11</x:v>
      </x:c>
      <x:c r="G19" s="31" t="inlineStr">
        <x:is>
          <x:t xml:space="preserve">шт</x:t>
        </x:is>
      </x:c>
      <x:c r="H19" s="31" t="inlineStr">
        <x:is>
          <x:t xml:space="preserve">ЗК-1020</x:t>
        </x:is>
      </x:c>
      <x:c r="I19" s="31" t="inlineStr">
        <x:is>
          <x:t xml:space="preserve">ПЗ-00058</x:t>
        </x:is>
      </x:c>
      <x:c r="J19" s="31" t="inlineStr">
        <x:is>
          <x:t xml:space="preserve">Основной склад</x:t>
        </x:is>
      </x:c>
      <x:c r="K19" s="31" t="inlineStr">
        <x:is>
          <x:t xml:space="preserve">СОТР-035</x:t>
        </x:is>
      </x:c>
      <x:c r="L19" s="31" t="inlineStr">
        <x:is>
          <x:t xml:space="preserve">ДОК-4804</x:t>
        </x:is>
      </x:c>
      <x:c r="M19" s="31" t="inlineStr">
        <x:is>
          <x:t xml:space="preserve">Проведен</x:t>
        </x:is>
      </x:c>
    </x:row>
    <x:row r="20" ht="18" customHeight="1">
      <x:c r="A20" s="31" t="inlineStr">
        <x:is>
          <x:t xml:space="preserve">СКЛ-000019</x:t>
        </x:is>
      </x:c>
      <x:c r="B20" s="31" t="n">
        <x:v>46140</x:v>
      </x:c>
      <x:c r="C20" s="31" t="inlineStr">
        <x:is>
          <x:t xml:space="preserve">Приход</x:t>
        </x:is>
      </x:c>
      <x:c r="D20" s="31" t="inlineStr">
        <x:is>
          <x:t xml:space="preserve">МАТ-0045</x:t>
        </x:is>
      </x:c>
      <x:c r="E20" s="31" t="inlineStr">
        <x:is>
          <x:t xml:space="preserve">Автоматический выключатель 16А</x:t>
        </x:is>
      </x:c>
      <x:c r="F20" s="31" t="n">
        <x:v>15</x:v>
      </x:c>
      <x:c r="G20" s="31" t="inlineStr">
        <x:is>
          <x:t xml:space="preserve">шт</x:t>
        </x:is>
      </x:c>
      <x:c r="H20" s="31" t="n"/>
      <x:c r="I20" s="31" t="n"/>
      <x:c r="J20" s="31" t="inlineStr">
        <x:is>
          <x:t xml:space="preserve">Основной склад</x:t>
        </x:is>
      </x:c>
      <x:c r="K20" s="31" t="inlineStr">
        <x:is>
          <x:t xml:space="preserve">СОТР-038</x:t>
        </x:is>
      </x:c>
      <x:c r="L20" s="31" t="inlineStr">
        <x:is>
          <x:t xml:space="preserve">ДОК-9100</x:t>
        </x:is>
      </x:c>
      <x:c r="M20" s="31" t="inlineStr">
        <x:is>
          <x:t xml:space="preserve">Требует проверки</x:t>
        </x:is>
      </x:c>
    </x:row>
    <x:row r="21" ht="18" customHeight="1">
      <x:c r="A21" s="31" t="inlineStr">
        <x:is>
          <x:t xml:space="preserve">СКЛ-000020</x:t>
        </x:is>
      </x:c>
      <x:c r="B21" s="31" t="n">
        <x:v>46033</x:v>
      </x:c>
      <x:c r="C21" s="31" t="inlineStr">
        <x:is>
          <x:t xml:space="preserve">Резерв</x:t>
        </x:is>
      </x:c>
      <x:c r="D21" s="31" t="inlineStr">
        <x:is>
          <x:t xml:space="preserve">МАТ-0084</x:t>
        </x:is>
      </x:c>
      <x:c r="E21" s="31" t="inlineStr">
        <x:is>
          <x:t xml:space="preserve">Поддон 1200×800</x:t>
        </x:is>
      </x:c>
      <x:c r="F21" s="31" t="n">
        <x:v>-18</x:v>
      </x:c>
      <x:c r="G21" s="31" t="inlineStr">
        <x:is>
          <x:t xml:space="preserve">шт</x:t>
        </x:is>
      </x:c>
      <x:c r="H21" s="31" t="inlineStr">
        <x:is>
          <x:t xml:space="preserve">ЗК-1084</x:t>
        </x:is>
      </x:c>
      <x:c r="I21" s="31" t="n"/>
      <x:c r="J21" s="31" t="inlineStr">
        <x:is>
          <x:t xml:space="preserve">Брак/карантин</x:t>
        </x:is>
      </x:c>
      <x:c r="K21" s="31" t="inlineStr">
        <x:is>
          <x:t xml:space="preserve">СОТР-035</x:t>
        </x:is>
      </x:c>
      <x:c r="L21" s="31" t="inlineStr">
        <x:is>
          <x:t xml:space="preserve">ДОК-9257</x:t>
        </x:is>
      </x:c>
      <x:c r="M21" s="31" t="inlineStr">
        <x:is>
          <x:t xml:space="preserve">Проведен</x:t>
        </x:is>
      </x:c>
    </x:row>
    <x:row r="22" ht="18" customHeight="1">
      <x:c r="A22" s="31" t="inlineStr">
        <x:is>
          <x:t xml:space="preserve">СКЛ-000021</x:t>
        </x:is>
      </x:c>
      <x:c r="B22" s="31" t="n">
        <x:v>46142</x:v>
      </x:c>
      <x:c r="C22" s="31" t="inlineStr">
        <x:is>
          <x:t xml:space="preserve">Возврат</x:t>
        </x:is>
      </x:c>
      <x:c r="D22" s="31" t="inlineStr">
        <x:is>
          <x:t xml:space="preserve">МАТ-0009</x:t>
        </x:is>
      </x:c>
      <x:c r="E22" s="31" t="inlineStr">
        <x:is>
          <x:t xml:space="preserve">Фланец Ду50 Ру16</x:t>
        </x:is>
      </x:c>
      <x:c r="F22" s="31" t="n">
        <x:v>18.64</x:v>
      </x:c>
      <x:c r="G22" s="31" t="inlineStr">
        <x:is>
          <x:t xml:space="preserve">л</x:t>
        </x:is>
      </x:c>
      <x:c r="H22" s="31" t="n"/>
      <x:c r="I22" s="31" t="n"/>
      <x:c r="J22" s="31" t="inlineStr">
        <x:is>
          <x:t xml:space="preserve">Основной склад</x:t>
        </x:is>
      </x:c>
      <x:c r="K22" s="31" t="inlineStr">
        <x:is>
          <x:t xml:space="preserve">СОТР-024</x:t>
        </x:is>
      </x:c>
      <x:c r="L22" s="31" t="inlineStr">
        <x:is>
          <x:t xml:space="preserve">ДОК-3907</x:t>
        </x:is>
      </x:c>
      <x:c r="M22" s="31" t="inlineStr">
        <x:is>
          <x:t xml:space="preserve">Проведен</x:t>
        </x:is>
      </x:c>
    </x:row>
    <x:row r="23" ht="18" customHeight="1">
      <x:c r="A23" s="31" t="inlineStr">
        <x:is>
          <x:t xml:space="preserve">СКЛ-000022</x:t>
        </x:is>
      </x:c>
      <x:c r="B23" s="31" t="n">
        <x:v>46191</x:v>
      </x:c>
      <x:c r="C23" s="31" t="inlineStr">
        <x:is>
          <x:t xml:space="preserve">Выдача в производство</x:t>
        </x:is>
      </x:c>
      <x:c r="D23" s="31" t="inlineStr">
        <x:is>
          <x:t xml:space="preserve">МАТ-0041</x:t>
        </x:is>
      </x:c>
      <x:c r="E23" s="31" t="inlineStr">
        <x:is>
          <x:t xml:space="preserve">модуль аналогового входа 4 канала / исп.2</x:t>
        </x:is>
      </x:c>
      <x:c r="F23" s="31" t="n">
        <x:v>-8</x:v>
      </x:c>
      <x:c r="G23" s="31" t="inlineStr">
        <x:is>
          <x:t xml:space="preserve">шт</x:t>
        </x:is>
      </x:c>
      <x:c r="H23" s="31" t="inlineStr">
        <x:is>
          <x:t xml:space="preserve">ЗК-1089</x:t>
        </x:is>
      </x:c>
      <x:c r="I23" s="31" t="inlineStr">
        <x:is>
          <x:t xml:space="preserve">ПЗ-00027</x:t>
        </x:is>
      </x:c>
      <x:c r="J23" s="31" t="inlineStr">
        <x:is>
          <x:t xml:space="preserve">Основной склад</x:t>
        </x:is>
      </x:c>
      <x:c r="K23" s="31" t="inlineStr">
        <x:is>
          <x:t xml:space="preserve">СОТР-037</x:t>
        </x:is>
      </x:c>
      <x:c r="L23" s="31" t="inlineStr">
        <x:is>
          <x:t xml:space="preserve">ДОК-7173</x:t>
        </x:is>
      </x:c>
      <x:c r="M23" s="31" t="inlineStr">
        <x:is>
          <x:t xml:space="preserve">Проведен</x:t>
        </x:is>
      </x:c>
    </x:row>
    <x:row r="24" ht="18" customHeight="1">
      <x:c r="A24" s="31" t="inlineStr">
        <x:is>
          <x:t xml:space="preserve">СКЛ-000023</x:t>
        </x:is>
      </x:c>
      <x:c r="B24" s="31" t="n">
        <x:v>46178</x:v>
      </x:c>
      <x:c r="C24" s="31" t="inlineStr">
        <x:is>
          <x:t xml:space="preserve">Возврат</x:t>
        </x:is>
      </x:c>
      <x:c r="D24" s="31" t="inlineStr">
        <x:is>
          <x:t xml:space="preserve">МАТ-0031</x:t>
        </x:is>
      </x:c>
      <x:c r="E24" s="31" t="inlineStr">
        <x:is>
          <x:t xml:space="preserve">Датчик давления 0-16 бар</x:t>
        </x:is>
      </x:c>
      <x:c r="F24" s="31" t="n">
        <x:v>18</x:v>
      </x:c>
      <x:c r="G24" s="31" t="inlineStr">
        <x:is>
          <x:t xml:space="preserve">шт</x:t>
        </x:is>
      </x:c>
      <x:c r="H24" s="31" t="n"/>
      <x:c r="I24" s="31" t="n"/>
      <x:c r="J24" s="31" t="inlineStr">
        <x:is>
          <x:t xml:space="preserve">Основной склад</x:t>
        </x:is>
      </x:c>
      <x:c r="K24" s="31" t="inlineStr">
        <x:is>
          <x:t xml:space="preserve">СОТР-036</x:t>
        </x:is>
      </x:c>
      <x:c r="L24" s="31" t="inlineStr">
        <x:is>
          <x:t xml:space="preserve">ДОК-6891</x:t>
        </x:is>
      </x:c>
      <x:c r="M24" s="31" t="inlineStr">
        <x:is>
          <x:t xml:space="preserve">Проведен</x:t>
        </x:is>
      </x:c>
    </x:row>
    <x:row r="25" ht="18" customHeight="1">
      <x:c r="A25" s="31" t="inlineStr">
        <x:is>
          <x:t xml:space="preserve">СКЛ-000024</x:t>
        </x:is>
      </x:c>
      <x:c r="B25" s="31" t="n">
        <x:v>46112</x:v>
      </x:c>
      <x:c r="C25" s="31" t="inlineStr">
        <x:is>
          <x:t xml:space="preserve">Резерв</x:t>
        </x:is>
      </x:c>
      <x:c r="D25" s="31" t="inlineStr">
        <x:is>
          <x:t xml:space="preserve">МАТ-0042</x:t>
        </x:is>
      </x:c>
      <x:c r="E25" s="31" t="inlineStr">
        <x:is>
          <x:t xml:space="preserve">модуль аналогового входа 4 канала / исп.3</x:t>
        </x:is>
      </x:c>
      <x:c r="F25" s="31" t="n">
        <x:v>-3</x:v>
      </x:c>
      <x:c r="G25" s="31" t="inlineStr">
        <x:is>
          <x:t xml:space="preserve">шт</x:t>
        </x:is>
      </x:c>
      <x:c r="H25" s="31" t="inlineStr">
        <x:is>
          <x:t xml:space="preserve">ЗК-1068</x:t>
        </x:is>
      </x:c>
      <x:c r="I25" s="31" t="n"/>
      <x:c r="J25" s="31" t="inlineStr">
        <x:is>
          <x:t xml:space="preserve">Цеховой склад</x:t>
        </x:is>
      </x:c>
      <x:c r="K25" s="31" t="inlineStr">
        <x:is>
          <x:t xml:space="preserve">СОТР-037</x:t>
        </x:is>
      </x:c>
      <x:c r="L25" s="31" t="inlineStr">
        <x:is>
          <x:t xml:space="preserve">ДОК-8708</x:t>
        </x:is>
      </x:c>
      <x:c r="M25" s="31" t="inlineStr">
        <x:is>
          <x:t xml:space="preserve">Проведен</x:t>
        </x:is>
      </x:c>
    </x:row>
    <x:row r="26" ht="18" customHeight="1">
      <x:c r="A26" s="31" t="inlineStr">
        <x:is>
          <x:t xml:space="preserve">СКЛ-000025</x:t>
        </x:is>
      </x:c>
      <x:c r="B26" s="31" t="n">
        <x:v>46168</x:v>
      </x:c>
      <x:c r="C26" s="31" t="inlineStr">
        <x:is>
          <x:t xml:space="preserve">Приход</x:t>
        </x:is>
      </x:c>
      <x:c r="D26" s="31" t="inlineStr">
        <x:is>
          <x:t xml:space="preserve">МАТ-0082</x:t>
        </x:is>
      </x:c>
      <x:c r="E26" s="31" t="inlineStr">
        <x:is>
          <x:t xml:space="preserve">Шайба 12 / исп.2</x:t>
        </x:is>
      </x:c>
      <x:c r="F26" s="31" t="n">
        <x:v>7</x:v>
      </x:c>
      <x:c r="G26" s="31" t="inlineStr">
        <x:is>
          <x:t xml:space="preserve">шт</x:t>
        </x:is>
      </x:c>
      <x:c r="H26" s="31" t="n"/>
      <x:c r="I26" s="31" t="n"/>
      <x:c r="J26" s="31" t="inlineStr">
        <x:is>
          <x:t xml:space="preserve">Основной склад</x:t>
        </x:is>
      </x:c>
      <x:c r="K26" s="31" t="inlineStr">
        <x:is>
          <x:t xml:space="preserve">СОТР-035</x:t>
        </x:is>
      </x:c>
      <x:c r="L26" s="31" t="inlineStr">
        <x:is>
          <x:t xml:space="preserve">ДОК-3722</x:t>
        </x:is>
      </x:c>
      <x:c r="M26" s="31" t="inlineStr">
        <x:is>
          <x:t xml:space="preserve">Требует проверки</x:t>
        </x:is>
      </x:c>
    </x:row>
    <x:row r="27" ht="18" customHeight="1">
      <x:c r="A27" s="31" t="inlineStr">
        <x:is>
          <x:t xml:space="preserve">СКЛ-000026</x:t>
        </x:is>
      </x:c>
      <x:c r="B27" s="31" t="n">
        <x:v>46127</x:v>
      </x:c>
      <x:c r="C27" s="31" t="inlineStr">
        <x:is>
          <x:t xml:space="preserve">Выдача в производство</x:t>
        </x:is>
      </x:c>
      <x:c r="D27" s="31" t="inlineStr">
        <x:is>
          <x:t xml:space="preserve">МАТ-0087</x:t>
        </x:is>
      </x:c>
      <x:c r="E27" s="31" t="inlineStr">
        <x:is>
          <x:t xml:space="preserve">Ящик фанерный</x:t>
        </x:is>
      </x:c>
      <x:c r="F27" s="31" t="n">
        <x:v>-3</x:v>
      </x:c>
      <x:c r="G27" s="31" t="inlineStr">
        <x:is>
          <x:t xml:space="preserve">шт</x:t>
        </x:is>
      </x:c>
      <x:c r="H27" s="31" t="inlineStr">
        <x:is>
          <x:t xml:space="preserve">ЗК-1033</x:t>
        </x:is>
      </x:c>
      <x:c r="I27" s="31" t="inlineStr">
        <x:is>
          <x:t xml:space="preserve">ПЗ-00238</x:t>
        </x:is>
      </x:c>
      <x:c r="J27" s="31" t="inlineStr">
        <x:is>
          <x:t xml:space="preserve">Основной склад</x:t>
        </x:is>
      </x:c>
      <x:c r="K27" s="31" t="inlineStr">
        <x:is>
          <x:t xml:space="preserve">СОТР-038</x:t>
        </x:is>
      </x:c>
      <x:c r="L27" s="31" t="inlineStr">
        <x:is>
          <x:t xml:space="preserve">ДОК-3632</x:t>
        </x:is>
      </x:c>
      <x:c r="M27" s="31" t="inlineStr">
        <x:is>
          <x:t xml:space="preserve">Проведен</x:t>
        </x:is>
      </x:c>
    </x:row>
    <x:row r="28" ht="18" customHeight="1">
      <x:c r="A28" s="31" t="inlineStr">
        <x:is>
          <x:t xml:space="preserve">СКЛ-000027</x:t>
        </x:is>
      </x:c>
      <x:c r="B28" s="31" t="n">
        <x:v>46149</x:v>
      </x:c>
      <x:c r="C28" s="31" t="inlineStr">
        <x:is>
          <x:t xml:space="preserve">Выдача в производство</x:t>
        </x:is>
      </x:c>
      <x:c r="D28" s="31" t="inlineStr">
        <x:is>
          <x:t xml:space="preserve">МАТ-0089</x:t>
        </x:is>
      </x:c>
      <x:c r="E28" s="31" t="inlineStr">
        <x:is>
          <x:t xml:space="preserve">Маркировочная этикетка</x:t>
        </x:is>
      </x:c>
      <x:c r="F28" s="31" t="n">
        <x:v>-19</x:v>
      </x:c>
      <x:c r="G28" s="31" t="inlineStr">
        <x:is>
          <x:t xml:space="preserve">шт</x:t>
        </x:is>
      </x:c>
      <x:c r="H28" s="31" t="inlineStr">
        <x:is>
          <x:t xml:space="preserve">ЗК-1125</x:t>
        </x:is>
      </x:c>
      <x:c r="I28" s="31" t="inlineStr">
        <x:is>
          <x:t xml:space="preserve">ПЗ-00194</x:t>
        </x:is>
      </x:c>
      <x:c r="J28" s="31" t="inlineStr">
        <x:is>
          <x:t xml:space="preserve">Брак/карантин</x:t>
        </x:is>
      </x:c>
      <x:c r="K28" s="31" t="inlineStr">
        <x:is>
          <x:t xml:space="preserve">СОТР-036</x:t>
        </x:is>
      </x:c>
      <x:c r="L28" s="31" t="inlineStr">
        <x:is>
          <x:t xml:space="preserve">ДОК-8887</x:t>
        </x:is>
      </x:c>
      <x:c r="M28" s="31" t="inlineStr">
        <x:is>
          <x:t xml:space="preserve">Проведен</x:t>
        </x:is>
      </x:c>
    </x:row>
    <x:row r="29" ht="18" customHeight="1">
      <x:c r="A29" s="31" t="inlineStr">
        <x:is>
          <x:t xml:space="preserve">СКЛ-000028</x:t>
        </x:is>
      </x:c>
      <x:c r="B29" s="31" t="n">
        <x:v>46192</x:v>
      </x:c>
      <x:c r="C29" s="31" t="inlineStr">
        <x:is>
          <x:t xml:space="preserve">Корректировка</x:t>
        </x:is>
      </x:c>
      <x:c r="D29" s="31" t="inlineStr">
        <x:is>
          <x:t xml:space="preserve">МАТ-0024</x:t>
        </x:is>
      </x:c>
      <x:c r="E29" s="31" t="inlineStr">
        <x:is>
          <x:t xml:space="preserve">Рабочее колесо / исп.2</x:t>
        </x:is>
      </x:c>
      <x:c r="F29" s="31" t="n">
        <x:v>7</x:v>
      </x:c>
      <x:c r="G29" s="31" t="inlineStr">
        <x:is>
          <x:t xml:space="preserve">шт</x:t>
        </x:is>
      </x:c>
      <x:c r="H29" s="31" t="n"/>
      <x:c r="I29" s="31" t="n"/>
      <x:c r="J29" s="31" t="inlineStr">
        <x:is>
          <x:t xml:space="preserve">Основной склад</x:t>
        </x:is>
      </x:c>
      <x:c r="K29" s="31" t="inlineStr">
        <x:is>
          <x:t xml:space="preserve">СОТР-035</x:t>
        </x:is>
      </x:c>
      <x:c r="L29" s="31" t="inlineStr">
        <x:is>
          <x:t xml:space="preserve">ДОК-6644</x:t>
        </x:is>
      </x:c>
      <x:c r="M29" s="31" t="inlineStr">
        <x:is>
          <x:t xml:space="preserve">Проведен</x:t>
        </x:is>
      </x:c>
    </x:row>
    <x:row r="30" ht="18" customHeight="1">
      <x:c r="A30" s="31" t="inlineStr">
        <x:is>
          <x:t xml:space="preserve">СКЛ-000029</x:t>
        </x:is>
      </x:c>
      <x:c r="B30" s="31" t="n">
        <x:v>46136</x:v>
      </x:c>
      <x:c r="C30" s="31" t="inlineStr">
        <x:is>
          <x:t xml:space="preserve">Резерв</x:t>
        </x:is>
      </x:c>
      <x:c r="D30" s="31" t="inlineStr">
        <x:is>
          <x:t xml:space="preserve">МАТ-0036</x:t>
        </x:is>
      </x:c>
      <x:c r="E30" s="31" t="inlineStr">
        <x:is>
          <x:t xml:space="preserve">Клапан электромагнитный 24В / исп.2</x:t>
        </x:is>
      </x:c>
      <x:c r="F30" s="31" t="n">
        <x:v>-6</x:v>
      </x:c>
      <x:c r="G30" s="31" t="inlineStr">
        <x:is>
          <x:t xml:space="preserve">шт</x:t>
        </x:is>
      </x:c>
      <x:c r="H30" s="31" t="inlineStr">
        <x:is>
          <x:t xml:space="preserve">ЗК-1092</x:t>
        </x:is>
      </x:c>
      <x:c r="I30" s="31" t="n"/>
      <x:c r="J30" s="31" t="inlineStr">
        <x:is>
          <x:t xml:space="preserve">Основной склад</x:t>
        </x:is>
      </x:c>
      <x:c r="K30" s="31" t="inlineStr">
        <x:is>
          <x:t xml:space="preserve">СОТР-035</x:t>
        </x:is>
      </x:c>
      <x:c r="L30" s="31" t="inlineStr">
        <x:is>
          <x:t xml:space="preserve">ДОК-3012</x:t>
        </x:is>
      </x:c>
      <x:c r="M30" s="31" t="inlineStr">
        <x:is>
          <x:t xml:space="preserve">Проведен</x:t>
        </x:is>
      </x:c>
    </x:row>
    <x:row r="31" ht="18" customHeight="1">
      <x:c r="A31" s="31" t="inlineStr">
        <x:is>
          <x:t xml:space="preserve">СКЛ-000030</x:t>
        </x:is>
      </x:c>
      <x:c r="B31" s="31" t="n">
        <x:v>46102</x:v>
      </x:c>
      <x:c r="C31" s="31" t="inlineStr">
        <x:is>
          <x:t xml:space="preserve">Приход</x:t>
        </x:is>
      </x:c>
      <x:c r="D31" s="31" t="inlineStr">
        <x:is>
          <x:t xml:space="preserve">МАТ-0020</x:t>
        </x:is>
      </x:c>
      <x:c r="E31" s="31" t="inlineStr">
        <x:is>
          <x:t xml:space="preserve">Насос дозировочный / исп.2</x:t>
        </x:is>
      </x:c>
      <x:c r="F31" s="31" t="n">
        <x:v>19</x:v>
      </x:c>
      <x:c r="G31" s="31" t="inlineStr">
        <x:is>
          <x:t xml:space="preserve">шт</x:t>
        </x:is>
      </x:c>
      <x:c r="H31" s="31" t="n"/>
      <x:c r="I31" s="31" t="n"/>
      <x:c r="J31" s="31" t="inlineStr">
        <x:is>
          <x:t xml:space="preserve">Основной склад</x:t>
        </x:is>
      </x:c>
      <x:c r="K31" s="31" t="inlineStr">
        <x:is>
          <x:t xml:space="preserve">СОТР-034</x:t>
        </x:is>
      </x:c>
      <x:c r="L31" s="31" t="inlineStr">
        <x:is>
          <x:t xml:space="preserve">ДОК-4652</x:t>
        </x:is>
      </x:c>
      <x:c r="M31" s="31" t="inlineStr">
        <x:is>
          <x:t xml:space="preserve">Проведен</x:t>
        </x:is>
      </x:c>
    </x:row>
    <x:row r="32" ht="18" customHeight="1">
      <x:c r="A32" s="31" t="inlineStr">
        <x:is>
          <x:t xml:space="preserve">СКЛ-000031</x:t>
        </x:is>
      </x:c>
      <x:c r="B32" s="31" t="n">
        <x:v>46131</x:v>
      </x:c>
      <x:c r="C32" s="31" t="inlineStr">
        <x:is>
          <x:t xml:space="preserve">Возврат</x:t>
        </x:is>
      </x:c>
      <x:c r="D32" s="31" t="inlineStr">
        <x:is>
          <x:t xml:space="preserve">МАТ-0001</x:t>
        </x:is>
      </x:c>
      <x:c r="E32" s="31" t="inlineStr">
        <x:is>
          <x:t xml:space="preserve">Лист стальной 09Г2С 8 мм</x:t>
        </x:is>
      </x:c>
      <x:c r="F32" s="31" t="n">
        <x:v>61.38</x:v>
      </x:c>
      <x:c r="G32" s="31" t="inlineStr">
        <x:is>
          <x:t xml:space="preserve">м</x:t>
        </x:is>
      </x:c>
      <x:c r="H32" s="31" t="n"/>
      <x:c r="I32" s="31" t="n"/>
      <x:c r="J32" s="31" t="inlineStr">
        <x:is>
          <x:t xml:space="preserve">Основной склад</x:t>
        </x:is>
      </x:c>
      <x:c r="K32" s="31" t="inlineStr">
        <x:is>
          <x:t xml:space="preserve">СОТР-035</x:t>
        </x:is>
      </x:c>
      <x:c r="L32" s="31" t="inlineStr">
        <x:is>
          <x:t xml:space="preserve">ДОК-5107</x:t>
        </x:is>
      </x:c>
      <x:c r="M32" s="31" t="inlineStr">
        <x:is>
          <x:t xml:space="preserve">Проведен</x:t>
        </x:is>
      </x:c>
    </x:row>
    <x:row r="33" ht="18" customHeight="1">
      <x:c r="A33" s="31" t="inlineStr">
        <x:is>
          <x:t xml:space="preserve">СКЛ-000032</x:t>
        </x:is>
      </x:c>
      <x:c r="B33" s="31" t="n">
        <x:v>46118</x:v>
      </x:c>
      <x:c r="C33" s="31" t="inlineStr">
        <x:is>
          <x:t xml:space="preserve">Списание</x:t>
        </x:is>
      </x:c>
      <x:c r="D33" s="31" t="inlineStr">
        <x:is>
          <x:t xml:space="preserve">МАТ-0013</x:t>
        </x:is>
      </x:c>
      <x:c r="E33" s="31" t="inlineStr">
        <x:is>
          <x:t xml:space="preserve">Уголок 50×5</x:t>
        </x:is>
      </x:c>
      <x:c r="F33" s="31" t="n">
        <x:v>-29.48</x:v>
      </x:c>
      <x:c r="G33" s="31" t="inlineStr">
        <x:is>
          <x:t xml:space="preserve">кг</x:t>
        </x:is>
      </x:c>
      <x:c r="H33" s="31" t="n"/>
      <x:c r="I33" s="31" t="n"/>
      <x:c r="J33" s="31" t="inlineStr">
        <x:is>
          <x:t xml:space="preserve">Основной склад</x:t>
        </x:is>
      </x:c>
      <x:c r="K33" s="31" t="inlineStr">
        <x:is>
          <x:t xml:space="preserve">СОТР-033</x:t>
        </x:is>
      </x:c>
      <x:c r="L33" s="31" t="inlineStr">
        <x:is>
          <x:t xml:space="preserve">ДОК-9833</x:t>
        </x:is>
      </x:c>
      <x:c r="M33" s="31" t="inlineStr">
        <x:is>
          <x:t xml:space="preserve">Проведен</x:t>
        </x:is>
      </x:c>
    </x:row>
    <x:row r="34" ht="18" customHeight="1">
      <x:c r="A34" s="31" t="inlineStr">
        <x:is>
          <x:t xml:space="preserve">СКЛ-000033</x:t>
        </x:is>
      </x:c>
      <x:c r="B34" s="31" t="n">
        <x:v>46097</x:v>
      </x:c>
      <x:c r="C34" s="31" t="inlineStr">
        <x:is>
          <x:t xml:space="preserve">Выдача в производство</x:t>
        </x:is>
      </x:c>
      <x:c r="D34" s="31" t="inlineStr">
        <x:is>
          <x:t xml:space="preserve">МАТ-0041</x:t>
        </x:is>
      </x:c>
      <x:c r="E34" s="31" t="inlineStr">
        <x:is>
          <x:t xml:space="preserve">модуль аналогового входа 4 канала / исп.2</x:t>
        </x:is>
      </x:c>
      <x:c r="F34" s="31" t="n">
        <x:v>-3</x:v>
      </x:c>
      <x:c r="G34" s="31" t="inlineStr">
        <x:is>
          <x:t xml:space="preserve">шт</x:t>
        </x:is>
      </x:c>
      <x:c r="H34" s="31" t="inlineStr">
        <x:is>
          <x:t xml:space="preserve">ЗК-1104</x:t>
        </x:is>
      </x:c>
      <x:c r="I34" s="31" t="inlineStr">
        <x:is>
          <x:t xml:space="preserve">ПЗ-00123</x:t>
        </x:is>
      </x:c>
      <x:c r="J34" s="31" t="inlineStr">
        <x:is>
          <x:t xml:space="preserve">Цеховой склад</x:t>
        </x:is>
      </x:c>
      <x:c r="K34" s="31" t="inlineStr">
        <x:is>
          <x:t xml:space="preserve">СОТР-024</x:t>
        </x:is>
      </x:c>
      <x:c r="L34" s="31" t="inlineStr">
        <x:is>
          <x:t xml:space="preserve">ДОК-4805</x:t>
        </x:is>
      </x:c>
      <x:c r="M34" s="31" t="inlineStr">
        <x:is>
          <x:t xml:space="preserve">Проведен</x:t>
        </x:is>
      </x:c>
    </x:row>
    <x:row r="35" ht="18" customHeight="1">
      <x:c r="A35" s="31" t="inlineStr">
        <x:is>
          <x:t xml:space="preserve">СКЛ-000034</x:t>
        </x:is>
      </x:c>
      <x:c r="B35" s="31" t="n">
        <x:v>46160</x:v>
      </x:c>
      <x:c r="C35" s="31" t="inlineStr">
        <x:is>
          <x:t xml:space="preserve">Приход</x:t>
        </x:is>
      </x:c>
      <x:c r="D35" s="31" t="inlineStr">
        <x:is>
          <x:t xml:space="preserve">МАТ-0029</x:t>
        </x:is>
      </x:c>
      <x:c r="E35" s="31" t="inlineStr">
        <x:is>
          <x:t xml:space="preserve">Частотный преобразователь 22 кВт</x:t>
        </x:is>
      </x:c>
      <x:c r="F35" s="31" t="n">
        <x:v>6</x:v>
      </x:c>
      <x:c r="G35" s="31" t="inlineStr">
        <x:is>
          <x:t xml:space="preserve">шт</x:t>
        </x:is>
      </x:c>
      <x:c r="H35" s="31" t="n"/>
      <x:c r="I35" s="31" t="n"/>
      <x:c r="J35" s="31" t="inlineStr">
        <x:is>
          <x:t xml:space="preserve">Основной склад</x:t>
        </x:is>
      </x:c>
      <x:c r="K35" s="31" t="inlineStr">
        <x:is>
          <x:t xml:space="preserve">СОТР-039</x:t>
        </x:is>
      </x:c>
      <x:c r="L35" s="31" t="inlineStr">
        <x:is>
          <x:t xml:space="preserve">ДОК-4125</x:t>
        </x:is>
      </x:c>
      <x:c r="M35" s="31" t="inlineStr">
        <x:is>
          <x:t xml:space="preserve">Проведен</x:t>
        </x:is>
      </x:c>
    </x:row>
    <x:row r="36" ht="18" customHeight="1">
      <x:c r="A36" s="31" t="inlineStr">
        <x:is>
          <x:t xml:space="preserve">СКЛ-000035</x:t>
        </x:is>
      </x:c>
      <x:c r="B36" s="31" t="n">
        <x:v>46109</x:v>
      </x:c>
      <x:c r="C36" s="31" t="inlineStr">
        <x:is>
          <x:t xml:space="preserve">Возврат</x:t>
        </x:is>
      </x:c>
      <x:c r="D36" s="31" t="inlineStr">
        <x:is>
          <x:t xml:space="preserve">МАТ-0039</x:t>
        </x:is>
      </x:c>
      <x:c r="E36" s="31" t="inlineStr">
        <x:is>
          <x:t xml:space="preserve">ПЛК 24 дискр. входа / 16 дискр. выхода / исп.2</x:t>
        </x:is>
      </x:c>
      <x:c r="F36" s="31" t="n">
        <x:v>1</x:v>
      </x:c>
      <x:c r="G36" s="31" t="inlineStr">
        <x:is>
          <x:t xml:space="preserve">шт</x:t>
        </x:is>
      </x:c>
      <x:c r="H36" s="31" t="n"/>
      <x:c r="I36" s="31" t="n"/>
      <x:c r="J36" s="31" t="inlineStr">
        <x:is>
          <x:t xml:space="preserve">Брак/карантин</x:t>
        </x:is>
      </x:c>
      <x:c r="K36" s="31" t="inlineStr">
        <x:is>
          <x:t xml:space="preserve">СОТР-038</x:t>
        </x:is>
      </x:c>
      <x:c r="L36" s="31" t="inlineStr">
        <x:is>
          <x:t xml:space="preserve">ДОК-6902</x:t>
        </x:is>
      </x:c>
      <x:c r="M36" s="31" t="inlineStr">
        <x:is>
          <x:t xml:space="preserve">Проведен</x:t>
        </x:is>
      </x:c>
    </x:row>
    <x:row r="37" ht="18" customHeight="1">
      <x:c r="A37" s="31" t="inlineStr">
        <x:is>
          <x:t xml:space="preserve">СКЛ-000036</x:t>
        </x:is>
      </x:c>
      <x:c r="B37" s="31" t="n">
        <x:v>46180</x:v>
      </x:c>
      <x:c r="C37" s="31" t="inlineStr">
        <x:is>
          <x:t xml:space="preserve">Возврат</x:t>
        </x:is>
      </x:c>
      <x:c r="D37" s="31" t="inlineStr">
        <x:is>
          <x:t xml:space="preserve">МАТ-0055</x:t>
        </x:is>
      </x:c>
      <x:c r="E37" s="31" t="inlineStr">
        <x:is>
          <x:t xml:space="preserve">Клапан обратный Ду50</x:t>
        </x:is>
      </x:c>
      <x:c r="F37" s="31" t="n">
        <x:v>17</x:v>
      </x:c>
      <x:c r="G37" s="31" t="inlineStr">
        <x:is>
          <x:t xml:space="preserve">шт</x:t>
        </x:is>
      </x:c>
      <x:c r="H37" s="31" t="n"/>
      <x:c r="I37" s="31" t="n"/>
      <x:c r="J37" s="31" t="inlineStr">
        <x:is>
          <x:t xml:space="preserve">Цеховой склад</x:t>
        </x:is>
      </x:c>
      <x:c r="K37" s="31" t="inlineStr">
        <x:is>
          <x:t xml:space="preserve">СОТР-034</x:t>
        </x:is>
      </x:c>
      <x:c r="L37" s="31" t="inlineStr">
        <x:is>
          <x:t xml:space="preserve">ДОК-2513</x:t>
        </x:is>
      </x:c>
      <x:c r="M37" s="31" t="inlineStr">
        <x:is>
          <x:t xml:space="preserve">Проведен</x:t>
        </x:is>
      </x:c>
    </x:row>
    <x:row r="38" ht="18" customHeight="1">
      <x:c r="A38" s="31" t="inlineStr">
        <x:is>
          <x:t xml:space="preserve">СКЛ-000037</x:t>
        </x:is>
      </x:c>
      <x:c r="B38" s="31" t="n">
        <x:v>46075</x:v>
      </x:c>
      <x:c r="C38" s="31" t="inlineStr">
        <x:is>
          <x:t xml:space="preserve">Приход</x:t>
        </x:is>
      </x:c>
      <x:c r="D38" s="31" t="inlineStr">
        <x:is>
          <x:t xml:space="preserve">МАТ-0047</x:t>
        </x:is>
      </x:c>
      <x:c r="E38" s="31" t="inlineStr">
        <x:is>
          <x:t xml:space="preserve">Контактор 25А / исп.2</x:t>
        </x:is>
      </x:c>
      <x:c r="F38" s="31" t="n">
        <x:v>14</x:v>
      </x:c>
      <x:c r="G38" s="31" t="inlineStr">
        <x:is>
          <x:t xml:space="preserve">шт</x:t>
        </x:is>
      </x:c>
      <x:c r="H38" s="31" t="n"/>
      <x:c r="I38" s="31" t="n"/>
      <x:c r="J38" s="31" t="inlineStr">
        <x:is>
          <x:t xml:space="preserve">Цеховой склад</x:t>
        </x:is>
      </x:c>
      <x:c r="K38" s="31" t="inlineStr">
        <x:is>
          <x:t xml:space="preserve">СОТР-038</x:t>
        </x:is>
      </x:c>
      <x:c r="L38" s="31" t="inlineStr">
        <x:is>
          <x:t xml:space="preserve">ДОК-9785</x:t>
        </x:is>
      </x:c>
      <x:c r="M38" s="31" t="inlineStr">
        <x:is>
          <x:t xml:space="preserve">Проведен</x:t>
        </x:is>
      </x:c>
    </x:row>
    <x:row r="39" ht="18" customHeight="1">
      <x:c r="A39" s="31" t="inlineStr">
        <x:is>
          <x:t xml:space="preserve">СКЛ-000038</x:t>
        </x:is>
      </x:c>
      <x:c r="B39" s="31" t="n">
        <x:v>46107</x:v>
      </x:c>
      <x:c r="C39" s="31" t="inlineStr">
        <x:is>
          <x:t xml:space="preserve">Корректировка</x:t>
        </x:is>
      </x:c>
      <x:c r="D39" s="31" t="inlineStr">
        <x:is>
          <x:t xml:space="preserve">МАТ-0038</x:t>
        </x:is>
      </x:c>
      <x:c r="E39" s="31" t="inlineStr">
        <x:is>
          <x:t xml:space="preserve">ПЛК 24 дискр. входа / 16 дискр. выхода</x:t>
        </x:is>
      </x:c>
      <x:c r="F39" s="31" t="n">
        <x:v>7</x:v>
      </x:c>
      <x:c r="G39" s="31" t="inlineStr">
        <x:is>
          <x:t xml:space="preserve">шт</x:t>
        </x:is>
      </x:c>
      <x:c r="H39" s="31" t="n"/>
      <x:c r="I39" s="31" t="n"/>
      <x:c r="J39" s="31" t="inlineStr">
        <x:is>
          <x:t xml:space="preserve">Основной склад</x:t>
        </x:is>
      </x:c>
      <x:c r="K39" s="31" t="inlineStr">
        <x:is>
          <x:t xml:space="preserve">СОТР-024</x:t>
        </x:is>
      </x:c>
      <x:c r="L39" s="31" t="inlineStr">
        <x:is>
          <x:t xml:space="preserve">ДОК-9582</x:t>
        </x:is>
      </x:c>
      <x:c r="M39" s="31" t="inlineStr">
        <x:is>
          <x:t xml:space="preserve">Проведен</x:t>
        </x:is>
      </x:c>
    </x:row>
    <x:row r="40" ht="18" customHeight="1">
      <x:c r="A40" s="31" t="inlineStr">
        <x:is>
          <x:t xml:space="preserve">СКЛ-000039</x:t>
        </x:is>
      </x:c>
      <x:c r="B40" s="31" t="n">
        <x:v>46074</x:v>
      </x:c>
      <x:c r="C40" s="31" t="inlineStr">
        <x:is>
          <x:t xml:space="preserve">Приход</x:t>
        </x:is>
      </x:c>
      <x:c r="D40" s="31" t="inlineStr">
        <x:is>
          <x:t xml:space="preserve">МАТ-0069</x:t>
        </x:is>
      </x:c>
      <x:c r="E40" s="31" t="inlineStr">
        <x:is>
          <x:t xml:space="preserve">Эмаль полиуретановая</x:t>
        </x:is>
      </x:c>
      <x:c r="F40" s="31" t="n">
        <x:v>2.6</x:v>
      </x:c>
      <x:c r="G40" s="31" t="inlineStr">
        <x:is>
          <x:t xml:space="preserve">л</x:t>
        </x:is>
      </x:c>
      <x:c r="H40" s="31" t="n"/>
      <x:c r="I40" s="31" t="n"/>
      <x:c r="J40" s="31" t="inlineStr">
        <x:is>
          <x:t xml:space="preserve">Цеховой склад</x:t>
        </x:is>
      </x:c>
      <x:c r="K40" s="31" t="inlineStr">
        <x:is>
          <x:t xml:space="preserve">СОТР-039</x:t>
        </x:is>
      </x:c>
      <x:c r="L40" s="31" t="inlineStr">
        <x:is>
          <x:t xml:space="preserve">ДОК-3901</x:t>
        </x:is>
      </x:c>
      <x:c r="M40" s="31" t="inlineStr">
        <x:is>
          <x:t xml:space="preserve">Проведен</x:t>
        </x:is>
      </x:c>
    </x:row>
    <x:row r="41" ht="18" customHeight="1">
      <x:c r="A41" s="31" t="inlineStr">
        <x:is>
          <x:t xml:space="preserve">СКЛ-000040</x:t>
        </x:is>
      </x:c>
      <x:c r="B41" s="31" t="n">
        <x:v>46131</x:v>
      </x:c>
      <x:c r="C41" s="31" t="inlineStr">
        <x:is>
          <x:t xml:space="preserve">Выдача в производство</x:t>
        </x:is>
      </x:c>
      <x:c r="D41" s="31" t="inlineStr">
        <x:is>
          <x:t xml:space="preserve">МАТ-0084</x:t>
        </x:is>
      </x:c>
      <x:c r="E41" s="31" t="inlineStr">
        <x:is>
          <x:t xml:space="preserve">Поддон 1200×800</x:t>
        </x:is>
      </x:c>
      <x:c r="F41" s="31" t="n">
        <x:v>-7</x:v>
      </x:c>
      <x:c r="G41" s="31" t="inlineStr">
        <x:is>
          <x:t xml:space="preserve">шт</x:t>
        </x:is>
      </x:c>
      <x:c r="H41" s="31" t="inlineStr">
        <x:is>
          <x:t xml:space="preserve">ЗК-1082</x:t>
        </x:is>
      </x:c>
      <x:c r="I41" s="31" t="inlineStr">
        <x:is>
          <x:t xml:space="preserve">ПЗ-00240</x:t>
        </x:is>
      </x:c>
      <x:c r="J41" s="31" t="inlineStr">
        <x:is>
          <x:t xml:space="preserve">Основной склад</x:t>
        </x:is>
      </x:c>
      <x:c r="K41" s="31" t="inlineStr">
        <x:is>
          <x:t xml:space="preserve">СОТР-038</x:t>
        </x:is>
      </x:c>
      <x:c r="L41" s="31" t="inlineStr">
        <x:is>
          <x:t xml:space="preserve">ДОК-4315</x:t>
        </x:is>
      </x:c>
      <x:c r="M41" s="31" t="inlineStr">
        <x:is>
          <x:t xml:space="preserve">Проведен</x:t>
        </x:is>
      </x:c>
    </x:row>
    <x:row r="42" ht="18" customHeight="1">
      <x:c r="A42" s="31" t="inlineStr">
        <x:is>
          <x:t xml:space="preserve">СКЛ-000041</x:t>
        </x:is>
      </x:c>
      <x:c r="B42" s="31" t="n">
        <x:v>46071</x:v>
      </x:c>
      <x:c r="C42" s="31" t="inlineStr">
        <x:is>
          <x:t xml:space="preserve">Резерв</x:t>
        </x:is>
      </x:c>
      <x:c r="D42" s="31" t="inlineStr">
        <x:is>
          <x:t xml:space="preserve">МАТ-0071</x:t>
        </x:is>
      </x:c>
      <x:c r="E42" s="31" t="inlineStr">
        <x:is>
          <x:t xml:space="preserve">Эмаль полиуретановая / исп.3</x:t>
        </x:is>
      </x:c>
      <x:c r="F42" s="31" t="n">
        <x:v>-9.15</x:v>
      </x:c>
      <x:c r="G42" s="31" t="inlineStr">
        <x:is>
          <x:t xml:space="preserve">кг</x:t>
        </x:is>
      </x:c>
      <x:c r="H42" s="31" t="inlineStr">
        <x:is>
          <x:t xml:space="preserve">ЗК-1011</x:t>
        </x:is>
      </x:c>
      <x:c r="I42" s="31" t="n"/>
      <x:c r="J42" s="31" t="inlineStr">
        <x:is>
          <x:t xml:space="preserve">Цеховой склад</x:t>
        </x:is>
      </x:c>
      <x:c r="K42" s="31" t="inlineStr">
        <x:is>
          <x:t xml:space="preserve">СОТР-034</x:t>
        </x:is>
      </x:c>
      <x:c r="L42" s="31" t="inlineStr">
        <x:is>
          <x:t xml:space="preserve">ДОК-9423</x:t>
        </x:is>
      </x:c>
      <x:c r="M42" s="31" t="inlineStr">
        <x:is>
          <x:t xml:space="preserve">Проведен</x:t>
        </x:is>
      </x:c>
    </x:row>
    <x:row r="43" ht="18" customHeight="1">
      <x:c r="A43" s="31" t="inlineStr">
        <x:is>
          <x:t xml:space="preserve">СКЛ-000042</x:t>
        </x:is>
      </x:c>
      <x:c r="B43" s="31" t="n">
        <x:v>46110</x:v>
      </x:c>
      <x:c r="C43" s="31" t="inlineStr">
        <x:is>
          <x:t xml:space="preserve">Списание</x:t>
        </x:is>
      </x:c>
      <x:c r="D43" s="31" t="inlineStr">
        <x:is>
          <x:t xml:space="preserve">МАТ-0031</x:t>
        </x:is>
      </x:c>
      <x:c r="E43" s="31" t="inlineStr">
        <x:is>
          <x:t xml:space="preserve">Датчик давления 0-16 бар</x:t>
        </x:is>
      </x:c>
      <x:c r="F43" s="31" t="n">
        <x:v>-13</x:v>
      </x:c>
      <x:c r="G43" s="31" t="inlineStr">
        <x:is>
          <x:t xml:space="preserve">шт</x:t>
        </x:is>
      </x:c>
      <x:c r="H43" s="31" t="n"/>
      <x:c r="I43" s="31" t="n"/>
      <x:c r="J43" s="31" t="inlineStr">
        <x:is>
          <x:t xml:space="preserve">Основной склад</x:t>
        </x:is>
      </x:c>
      <x:c r="K43" s="31" t="inlineStr">
        <x:is>
          <x:t xml:space="preserve">СОТР-036</x:t>
        </x:is>
      </x:c>
      <x:c r="L43" s="31" t="inlineStr">
        <x:is>
          <x:t xml:space="preserve">ДОК-9185</x:t>
        </x:is>
      </x:c>
      <x:c r="M43" s="31" t="inlineStr">
        <x:is>
          <x:t xml:space="preserve">Проведен</x:t>
        </x:is>
      </x:c>
    </x:row>
    <x:row r="44" ht="18" customHeight="1">
      <x:c r="A44" s="31" t="inlineStr">
        <x:is>
          <x:t xml:space="preserve">СКЛ-000043</x:t>
        </x:is>
      </x:c>
      <x:c r="B44" s="31" t="n">
        <x:v>46197</x:v>
      </x:c>
      <x:c r="C44" s="31" t="inlineStr">
        <x:is>
          <x:t xml:space="preserve">Выдача в производство</x:t>
        </x:is>
      </x:c>
      <x:c r="D44" s="31" t="inlineStr">
        <x:is>
          <x:t xml:space="preserve">МАТ-0011</x:t>
        </x:is>
      </x:c>
      <x:c r="E44" s="31" t="inlineStr">
        <x:is>
          <x:t xml:space="preserve">Фланец Ду50 Ру16 / исп.3</x:t>
        </x:is>
      </x:c>
      <x:c r="F44" s="31" t="n">
        <x:v>-9</x:v>
      </x:c>
      <x:c r="G44" s="31" t="inlineStr">
        <x:is>
          <x:t xml:space="preserve">шт</x:t>
        </x:is>
      </x:c>
      <x:c r="H44" s="31" t="inlineStr">
        <x:is>
          <x:t xml:space="preserve">ЗК-1090</x:t>
        </x:is>
      </x:c>
      <x:c r="I44" s="31" t="inlineStr">
        <x:is>
          <x:t xml:space="preserve">ПЗ-00123</x:t>
        </x:is>
      </x:c>
      <x:c r="J44" s="31" t="inlineStr">
        <x:is>
          <x:t xml:space="preserve">Цеховой склад</x:t>
        </x:is>
      </x:c>
      <x:c r="K44" s="31" t="inlineStr">
        <x:is>
          <x:t xml:space="preserve">СОТР-024</x:t>
        </x:is>
      </x:c>
      <x:c r="L44" s="31" t="inlineStr">
        <x:is>
          <x:t xml:space="preserve">ДОК-4747</x:t>
        </x:is>
      </x:c>
      <x:c r="M44" s="31" t="inlineStr">
        <x:is>
          <x:t xml:space="preserve">Черновик</x:t>
        </x:is>
      </x:c>
    </x:row>
    <x:row r="45" ht="18" customHeight="1">
      <x:c r="A45" s="31" t="inlineStr">
        <x:is>
          <x:t xml:space="preserve">СКЛ-000044</x:t>
        </x:is>
      </x:c>
      <x:c r="B45" s="31" t="n">
        <x:v>46091</x:v>
      </x:c>
      <x:c r="C45" s="31" t="inlineStr">
        <x:is>
          <x:t xml:space="preserve">Выдача в производство</x:t>
        </x:is>
      </x:c>
      <x:c r="D45" s="31" t="inlineStr">
        <x:is>
          <x:t xml:space="preserve">МАТ-0008</x:t>
        </x:is>
      </x:c>
      <x:c r="E45" s="31" t="inlineStr">
        <x:is>
          <x:t xml:space="preserve">Швеллер 12П</x:t>
        </x:is>
      </x:c>
      <x:c r="F45" s="31" t="n">
        <x:v>-14</x:v>
      </x:c>
      <x:c r="G45" s="31" t="inlineStr">
        <x:is>
          <x:t xml:space="preserve">шт</x:t>
        </x:is>
      </x:c>
      <x:c r="H45" s="31" t="inlineStr">
        <x:is>
          <x:t xml:space="preserve">ЗК-1019</x:t>
        </x:is>
      </x:c>
      <x:c r="I45" s="31" t="inlineStr">
        <x:is>
          <x:t xml:space="preserve">ПЗ-00199</x:t>
        </x:is>
      </x:c>
      <x:c r="J45" s="31" t="inlineStr">
        <x:is>
          <x:t xml:space="preserve">Цеховой склад</x:t>
        </x:is>
      </x:c>
      <x:c r="K45" s="31" t="inlineStr">
        <x:is>
          <x:t xml:space="preserve">СОТР-038</x:t>
        </x:is>
      </x:c>
      <x:c r="L45" s="31" t="inlineStr">
        <x:is>
          <x:t xml:space="preserve">ДОК-3931</x:t>
        </x:is>
      </x:c>
      <x:c r="M45" s="31" t="inlineStr">
        <x:is>
          <x:t xml:space="preserve">Требует проверки</x:t>
        </x:is>
      </x:c>
    </x:row>
    <x:row r="46" ht="18" customHeight="1">
      <x:c r="A46" s="31" t="inlineStr">
        <x:is>
          <x:t xml:space="preserve">СКЛ-000045</x:t>
        </x:is>
      </x:c>
      <x:c r="B46" s="31" t="n">
        <x:v>46049</x:v>
      </x:c>
      <x:c r="C46" s="31" t="inlineStr">
        <x:is>
          <x:t xml:space="preserve">Выдача в производство</x:t>
        </x:is>
      </x:c>
      <x:c r="D46" s="31" t="inlineStr">
        <x:is>
          <x:t xml:space="preserve">МАТ-0019</x:t>
        </x:is>
      </x:c>
      <x:c r="E46" s="31" t="inlineStr">
        <x:is>
          <x:t xml:space="preserve">Насос дозировочный</x:t>
        </x:is>
      </x:c>
      <x:c r="F46" s="31" t="n">
        <x:v>-10</x:v>
      </x:c>
      <x:c r="G46" s="31" t="inlineStr">
        <x:is>
          <x:t xml:space="preserve">шт</x:t>
        </x:is>
      </x:c>
      <x:c r="H46" s="31" t="inlineStr">
        <x:is>
          <x:t xml:space="preserve">ЗК-1072</x:t>
        </x:is>
      </x:c>
      <x:c r="I46" s="31" t="inlineStr">
        <x:is>
          <x:t xml:space="preserve">ПЗ-00163</x:t>
        </x:is>
      </x:c>
      <x:c r="J46" s="31" t="inlineStr">
        <x:is>
          <x:t xml:space="preserve">Основной склад</x:t>
        </x:is>
      </x:c>
      <x:c r="K46" s="31" t="inlineStr">
        <x:is>
          <x:t xml:space="preserve">СОТР-024</x:t>
        </x:is>
      </x:c>
      <x:c r="L46" s="31" t="inlineStr">
        <x:is>
          <x:t xml:space="preserve">ДОК-9739</x:t>
        </x:is>
      </x:c>
      <x:c r="M46" s="31" t="inlineStr">
        <x:is>
          <x:t xml:space="preserve">Проведен</x:t>
        </x:is>
      </x:c>
    </x:row>
    <x:row r="47" ht="18" customHeight="1">
      <x:c r="A47" s="31" t="inlineStr">
        <x:is>
          <x:t xml:space="preserve">СКЛ-000046</x:t>
        </x:is>
      </x:c>
      <x:c r="B47" s="31" t="n">
        <x:v>46178</x:v>
      </x:c>
      <x:c r="C47" s="31" t="inlineStr">
        <x:is>
          <x:t xml:space="preserve">Выдача в производство</x:t>
        </x:is>
      </x:c>
      <x:c r="D47" s="31" t="inlineStr">
        <x:is>
          <x:t xml:space="preserve">МАТ-0059</x:t>
        </x:is>
      </x:c>
      <x:c r="E47" s="31" t="inlineStr">
        <x:is>
          <x:t xml:space="preserve">Фильтр сетчатый Ду50</x:t>
        </x:is>
      </x:c>
      <x:c r="F47" s="31" t="n">
        <x:v>-6</x:v>
      </x:c>
      <x:c r="G47" s="31" t="inlineStr">
        <x:is>
          <x:t xml:space="preserve">шт</x:t>
        </x:is>
      </x:c>
      <x:c r="H47" s="31" t="inlineStr">
        <x:is>
          <x:t xml:space="preserve">ЗК-1076</x:t>
        </x:is>
      </x:c>
      <x:c r="I47" s="31" t="inlineStr">
        <x:is>
          <x:t xml:space="preserve">ПЗ-00078</x:t>
        </x:is>
      </x:c>
      <x:c r="J47" s="31" t="inlineStr">
        <x:is>
          <x:t xml:space="preserve">Основной склад</x:t>
        </x:is>
      </x:c>
      <x:c r="K47" s="31" t="inlineStr">
        <x:is>
          <x:t xml:space="preserve">СОТР-033</x:t>
        </x:is>
      </x:c>
      <x:c r="L47" s="31" t="inlineStr">
        <x:is>
          <x:t xml:space="preserve">ДОК-1030</x:t>
        </x:is>
      </x:c>
      <x:c r="M47" s="31" t="inlineStr">
        <x:is>
          <x:t xml:space="preserve">Проведен</x:t>
        </x:is>
      </x:c>
    </x:row>
    <x:row r="48" ht="18" customHeight="1">
      <x:c r="A48" s="31" t="inlineStr">
        <x:is>
          <x:t xml:space="preserve">СКЛ-000047</x:t>
        </x:is>
      </x:c>
      <x:c r="B48" s="31" t="n">
        <x:v>46137</x:v>
      </x:c>
      <x:c r="C48" s="31" t="inlineStr">
        <x:is>
          <x:t xml:space="preserve">Резерв</x:t>
        </x:is>
      </x:c>
      <x:c r="D48" s="31" t="inlineStr">
        <x:is>
          <x:t xml:space="preserve">МАТ-0068</x:t>
        </x:is>
      </x:c>
      <x:c r="E48" s="31" t="inlineStr">
        <x:is>
          <x:t xml:space="preserve">Грунт эпоксидный</x:t>
        </x:is>
      </x:c>
      <x:c r="F48" s="31" t="n">
        <x:v>-31.23</x:v>
      </x:c>
      <x:c r="G48" s="31" t="inlineStr">
        <x:is>
          <x:t xml:space="preserve">л</x:t>
        </x:is>
      </x:c>
      <x:c r="H48" s="31" t="inlineStr">
        <x:is>
          <x:t xml:space="preserve">ЗК-1010</x:t>
        </x:is>
      </x:c>
      <x:c r="I48" s="31" t="n"/>
      <x:c r="J48" s="31" t="inlineStr">
        <x:is>
          <x:t xml:space="preserve">Цеховой склад</x:t>
        </x:is>
      </x:c>
      <x:c r="K48" s="31" t="inlineStr">
        <x:is>
          <x:t xml:space="preserve">СОТР-024</x:t>
        </x:is>
      </x:c>
      <x:c r="L48" s="31" t="inlineStr">
        <x:is>
          <x:t xml:space="preserve">ДОК-3992</x:t>
        </x:is>
      </x:c>
      <x:c r="M48" s="31" t="inlineStr">
        <x:is>
          <x:t xml:space="preserve">Проведен</x:t>
        </x:is>
      </x:c>
    </x:row>
    <x:row r="49" ht="18" customHeight="1">
      <x:c r="A49" s="31" t="inlineStr">
        <x:is>
          <x:t xml:space="preserve">СКЛ-000048</x:t>
        </x:is>
      </x:c>
      <x:c r="B49" s="31" t="n">
        <x:v>46057</x:v>
      </x:c>
      <x:c r="C49" s="31" t="inlineStr">
        <x:is>
          <x:t xml:space="preserve">Резерв</x:t>
        </x:is>
      </x:c>
      <x:c r="D49" s="31" t="inlineStr">
        <x:is>
          <x:t xml:space="preserve">МАТ-0001</x:t>
        </x:is>
      </x:c>
      <x:c r="E49" s="31" t="inlineStr">
        <x:is>
          <x:t xml:space="preserve">Лист стальной 09Г2С 8 мм</x:t>
        </x:is>
      </x:c>
      <x:c r="F49" s="31" t="n">
        <x:v>-2.39</x:v>
      </x:c>
      <x:c r="G49" s="31" t="inlineStr">
        <x:is>
          <x:t xml:space="preserve">м</x:t>
        </x:is>
      </x:c>
      <x:c r="H49" s="31" t="inlineStr">
        <x:is>
          <x:t xml:space="preserve">ЗК-1117</x:t>
        </x:is>
      </x:c>
      <x:c r="I49" s="31" t="n"/>
      <x:c r="J49" s="31" t="inlineStr">
        <x:is>
          <x:t xml:space="preserve">Основной склад</x:t>
        </x:is>
      </x:c>
      <x:c r="K49" s="31" t="inlineStr">
        <x:is>
          <x:t xml:space="preserve">СОТР-037</x:t>
        </x:is>
      </x:c>
      <x:c r="L49" s="31" t="inlineStr">
        <x:is>
          <x:t xml:space="preserve">ДОК-4264</x:t>
        </x:is>
      </x:c>
      <x:c r="M49" s="31" t="inlineStr">
        <x:is>
          <x:t xml:space="preserve">Проведен</x:t>
        </x:is>
      </x:c>
    </x:row>
    <x:row r="50" ht="18" customHeight="1">
      <x:c r="A50" s="31" t="inlineStr">
        <x:is>
          <x:t xml:space="preserve">СКЛ-000049</x:t>
        </x:is>
      </x:c>
      <x:c r="B50" s="31" t="n">
        <x:v>46102</x:v>
      </x:c>
      <x:c r="C50" s="31" t="inlineStr">
        <x:is>
          <x:t xml:space="preserve">Выдача в производство</x:t>
        </x:is>
      </x:c>
      <x:c r="D50" s="31" t="inlineStr">
        <x:is>
          <x:t xml:space="preserve">МАТ-0082</x:t>
        </x:is>
      </x:c>
      <x:c r="E50" s="31" t="inlineStr">
        <x:is>
          <x:t xml:space="preserve">Шайба 12 / исп.2</x:t>
        </x:is>
      </x:c>
      <x:c r="F50" s="31" t="n">
        <x:v>-10</x:v>
      </x:c>
      <x:c r="G50" s="31" t="inlineStr">
        <x:is>
          <x:t xml:space="preserve">шт</x:t>
        </x:is>
      </x:c>
      <x:c r="H50" s="31" t="inlineStr">
        <x:is>
          <x:t xml:space="preserve">ЗК-1076</x:t>
        </x:is>
      </x:c>
      <x:c r="I50" s="31" t="inlineStr">
        <x:is>
          <x:t xml:space="preserve">ПЗ-00069</x:t>
        </x:is>
      </x:c>
      <x:c r="J50" s="31" t="inlineStr">
        <x:is>
          <x:t xml:space="preserve">Основной склад</x:t>
        </x:is>
      </x:c>
      <x:c r="K50" s="31" t="inlineStr">
        <x:is>
          <x:t xml:space="preserve">СОТР-024</x:t>
        </x:is>
      </x:c>
      <x:c r="L50" s="31" t="inlineStr">
        <x:is>
          <x:t xml:space="preserve">ДОК-7822</x:t>
        </x:is>
      </x:c>
      <x:c r="M50" s="31" t="inlineStr">
        <x:is>
          <x:t xml:space="preserve">Проведен</x:t>
        </x:is>
      </x:c>
    </x:row>
    <x:row r="51" ht="18" customHeight="1">
      <x:c r="A51" s="31" t="inlineStr">
        <x:is>
          <x:t xml:space="preserve">СКЛ-000050</x:t>
        </x:is>
      </x:c>
      <x:c r="B51" s="31" t="n">
        <x:v>46087</x:v>
      </x:c>
      <x:c r="C51" s="31" t="inlineStr">
        <x:is>
          <x:t xml:space="preserve">Выдача в производство</x:t>
        </x:is>
      </x:c>
      <x:c r="D51" s="31" t="inlineStr">
        <x:is>
          <x:t xml:space="preserve">МАТ-0063</x:t>
        </x:is>
      </x:c>
      <x:c r="E51" s="31" t="inlineStr">
        <x:is>
          <x:t xml:space="preserve">Кабель ВВГнг 3×2.5</x:t>
        </x:is>
      </x:c>
      <x:c r="F51" s="31" t="n">
        <x:v>-16</x:v>
      </x:c>
      <x:c r="G51" s="31" t="inlineStr">
        <x:is>
          <x:t xml:space="preserve">шт</x:t>
        </x:is>
      </x:c>
      <x:c r="H51" s="31" t="inlineStr">
        <x:is>
          <x:t xml:space="preserve">ЗК-1056</x:t>
        </x:is>
      </x:c>
      <x:c r="I51" s="31" t="inlineStr">
        <x:is>
          <x:t xml:space="preserve">ПЗ-00164</x:t>
        </x:is>
      </x:c>
      <x:c r="J51" s="31" t="inlineStr">
        <x:is>
          <x:t xml:space="preserve">Цеховой склад</x:t>
        </x:is>
      </x:c>
      <x:c r="K51" s="31" t="inlineStr">
        <x:is>
          <x:t xml:space="preserve">СОТР-034</x:t>
        </x:is>
      </x:c>
      <x:c r="L51" s="31" t="inlineStr">
        <x:is>
          <x:t xml:space="preserve">ДОК-2247</x:t>
        </x:is>
      </x:c>
      <x:c r="M51" s="31" t="inlineStr">
        <x:is>
          <x:t xml:space="preserve">Проведен</x:t>
        </x:is>
      </x:c>
    </x:row>
    <x:row r="52" ht="18" customHeight="1">
      <x:c r="A52" s="31" t="inlineStr">
        <x:is>
          <x:t xml:space="preserve">СКЛ-000051</x:t>
        </x:is>
      </x:c>
      <x:c r="B52" s="31" t="n">
        <x:v>46070</x:v>
      </x:c>
      <x:c r="C52" s="31" t="inlineStr">
        <x:is>
          <x:t xml:space="preserve">Возврат</x:t>
        </x:is>
      </x:c>
      <x:c r="D52" s="31" t="inlineStr">
        <x:is>
          <x:t xml:space="preserve">МАТ-0008</x:t>
        </x:is>
      </x:c>
      <x:c r="E52" s="31" t="inlineStr">
        <x:is>
          <x:t xml:space="preserve">Швеллер 12П</x:t>
        </x:is>
      </x:c>
      <x:c r="F52" s="31" t="n">
        <x:v>9</x:v>
      </x:c>
      <x:c r="G52" s="31" t="inlineStr">
        <x:is>
          <x:t xml:space="preserve">шт</x:t>
        </x:is>
      </x:c>
      <x:c r="H52" s="31" t="n"/>
      <x:c r="I52" s="31" t="n"/>
      <x:c r="J52" s="31" t="inlineStr">
        <x:is>
          <x:t xml:space="preserve">Цеховой склад</x:t>
        </x:is>
      </x:c>
      <x:c r="K52" s="31" t="inlineStr">
        <x:is>
          <x:t xml:space="preserve">СОТР-035</x:t>
        </x:is>
      </x:c>
      <x:c r="L52" s="31" t="inlineStr">
        <x:is>
          <x:t xml:space="preserve">ДОК-6677</x:t>
        </x:is>
      </x:c>
      <x:c r="M52" s="31" t="inlineStr">
        <x:is>
          <x:t xml:space="preserve">Проведен</x:t>
        </x:is>
      </x:c>
    </x:row>
    <x:row r="53" ht="18" customHeight="1">
      <x:c r="A53" s="31" t="inlineStr">
        <x:is>
          <x:t xml:space="preserve">СКЛ-000052</x:t>
        </x:is>
      </x:c>
      <x:c r="B53" s="31" t="n">
        <x:v>46148</x:v>
      </x:c>
      <x:c r="C53" s="31" t="inlineStr">
        <x:is>
          <x:t xml:space="preserve">Возврат</x:t>
        </x:is>
      </x:c>
      <x:c r="D53" s="31" t="inlineStr">
        <x:is>
          <x:t xml:space="preserve">МАТ-0033</x:t>
        </x:is>
      </x:c>
      <x:c r="E53" s="31" t="inlineStr">
        <x:is>
          <x:t xml:space="preserve">Расходомер электромагнитный Ду50</x:t>
        </x:is>
      </x:c>
      <x:c r="F53" s="31" t="n">
        <x:v>1</x:v>
      </x:c>
      <x:c r="G53" s="31" t="inlineStr">
        <x:is>
          <x:t xml:space="preserve">шт</x:t>
        </x:is>
      </x:c>
      <x:c r="H53" s="31" t="n"/>
      <x:c r="I53" s="31" t="n"/>
      <x:c r="J53" s="31" t="inlineStr">
        <x:is>
          <x:t xml:space="preserve">Основной склад</x:t>
        </x:is>
      </x:c>
      <x:c r="K53" s="31" t="inlineStr">
        <x:is>
          <x:t xml:space="preserve">СОТР-033</x:t>
        </x:is>
      </x:c>
      <x:c r="L53" s="31" t="inlineStr">
        <x:is>
          <x:t xml:space="preserve">ДОК-1250</x:t>
        </x:is>
      </x:c>
      <x:c r="M53" s="31" t="inlineStr">
        <x:is>
          <x:t xml:space="preserve">Проведен</x:t>
        </x:is>
      </x:c>
    </x:row>
    <x:row r="54" ht="18" customHeight="1">
      <x:c r="A54" s="31" t="inlineStr">
        <x:is>
          <x:t xml:space="preserve">СКЛ-000053</x:t>
        </x:is>
      </x:c>
      <x:c r="B54" s="31" t="n">
        <x:v>46093</x:v>
      </x:c>
      <x:c r="C54" s="31" t="inlineStr">
        <x:is>
          <x:t xml:space="preserve">Выдача в производство</x:t>
        </x:is>
      </x:c>
      <x:c r="D54" s="31" t="inlineStr">
        <x:is>
          <x:t xml:space="preserve">МАТ-0022</x:t>
        </x:is>
      </x:c>
      <x:c r="E54" s="31" t="inlineStr">
        <x:is>
          <x:t xml:space="preserve">Торцевое уплотнение / исп.2</x:t>
        </x:is>
      </x:c>
      <x:c r="F54" s="31" t="n">
        <x:v>-6</x:v>
      </x:c>
      <x:c r="G54" s="31" t="inlineStr">
        <x:is>
          <x:t xml:space="preserve">шт</x:t>
        </x:is>
      </x:c>
      <x:c r="H54" s="31" t="inlineStr">
        <x:is>
          <x:t xml:space="preserve">ЗК-1074</x:t>
        </x:is>
      </x:c>
      <x:c r="I54" s="31" t="inlineStr">
        <x:is>
          <x:t xml:space="preserve">ПЗ-00013</x:t>
        </x:is>
      </x:c>
      <x:c r="J54" s="31" t="inlineStr">
        <x:is>
          <x:t xml:space="preserve">Основной склад</x:t>
        </x:is>
      </x:c>
      <x:c r="K54" s="31" t="inlineStr">
        <x:is>
          <x:t xml:space="preserve">СОТР-024</x:t>
        </x:is>
      </x:c>
      <x:c r="L54" s="31" t="inlineStr">
        <x:is>
          <x:t xml:space="preserve">ДОК-6669</x:t>
        </x:is>
      </x:c>
      <x:c r="M54" s="31" t="inlineStr">
        <x:is>
          <x:t xml:space="preserve">Проведен</x:t>
        </x:is>
      </x:c>
    </x:row>
    <x:row r="55" ht="18" customHeight="1">
      <x:c r="A55" s="31" t="inlineStr">
        <x:is>
          <x:t xml:space="preserve">СКЛ-000054</x:t>
        </x:is>
      </x:c>
      <x:c r="B55" s="31" t="n">
        <x:v>46055</x:v>
      </x:c>
      <x:c r="C55" s="31" t="inlineStr">
        <x:is>
          <x:t xml:space="preserve">Возврат</x:t>
        </x:is>
      </x:c>
      <x:c r="D55" s="31" t="inlineStr">
        <x:is>
          <x:t xml:space="preserve">МАТ-0004</x:t>
        </x:is>
      </x:c>
      <x:c r="E55" s="31" t="inlineStr">
        <x:is>
          <x:t xml:space="preserve">Лист стальной 09Г2С 12 мм / исп.3</x:t>
        </x:is>
      </x:c>
      <x:c r="F55" s="31" t="n">
        <x:v>35.26</x:v>
      </x:c>
      <x:c r="G55" s="31" t="inlineStr">
        <x:is>
          <x:t xml:space="preserve">л</x:t>
        </x:is>
      </x:c>
      <x:c r="H55" s="31" t="n"/>
      <x:c r="I55" s="31" t="n"/>
      <x:c r="J55" s="31" t="inlineStr">
        <x:is>
          <x:t xml:space="preserve">Основной склад</x:t>
        </x:is>
      </x:c>
      <x:c r="K55" s="31" t="inlineStr">
        <x:is>
          <x:t xml:space="preserve">СОТР-037</x:t>
        </x:is>
      </x:c>
      <x:c r="L55" s="31" t="inlineStr">
        <x:is>
          <x:t xml:space="preserve">ДОК-4833</x:t>
        </x:is>
      </x:c>
      <x:c r="M55" s="31" t="inlineStr">
        <x:is>
          <x:t xml:space="preserve">Черновик</x:t>
        </x:is>
      </x:c>
    </x:row>
    <x:row r="56" ht="18" customHeight="1">
      <x:c r="A56" s="31" t="inlineStr">
        <x:is>
          <x:t xml:space="preserve">СКЛ-000055</x:t>
        </x:is>
      </x:c>
      <x:c r="B56" s="31" t="n">
        <x:v>46158</x:v>
      </x:c>
      <x:c r="C56" s="31" t="inlineStr">
        <x:is>
          <x:t xml:space="preserve">Приход</x:t>
        </x:is>
      </x:c>
      <x:c r="D56" s="31" t="inlineStr">
        <x:is>
          <x:t xml:space="preserve">МАТ-0085</x:t>
        </x:is>
      </x:c>
      <x:c r="E56" s="31" t="inlineStr">
        <x:is>
          <x:t xml:space="preserve">Пленка стрейч</x:t>
        </x:is>
      </x:c>
      <x:c r="F56" s="31" t="n">
        <x:v>4</x:v>
      </x:c>
      <x:c r="G56" s="31" t="inlineStr">
        <x:is>
          <x:t xml:space="preserve">шт</x:t>
        </x:is>
      </x:c>
      <x:c r="H56" s="31" t="n"/>
      <x:c r="I56" s="31" t="n"/>
      <x:c r="J56" s="31" t="inlineStr">
        <x:is>
          <x:t xml:space="preserve">Цеховой склад</x:t>
        </x:is>
      </x:c>
      <x:c r="K56" s="31" t="inlineStr">
        <x:is>
          <x:t xml:space="preserve">СОТР-036</x:t>
        </x:is>
      </x:c>
      <x:c r="L56" s="31" t="inlineStr">
        <x:is>
          <x:t xml:space="preserve">ДОК-8456</x:t>
        </x:is>
      </x:c>
      <x:c r="M56" s="31" t="inlineStr">
        <x:is>
          <x:t xml:space="preserve">Проведен</x:t>
        </x:is>
      </x:c>
    </x:row>
    <x:row r="57" ht="18" customHeight="1">
      <x:c r="A57" s="31" t="inlineStr">
        <x:is>
          <x:t xml:space="preserve">СКЛ-000056</x:t>
        </x:is>
      </x:c>
      <x:c r="B57" s="31" t="n">
        <x:v>46175</x:v>
      </x:c>
      <x:c r="C57" s="31" t="inlineStr">
        <x:is>
          <x:t xml:space="preserve">Резерв</x:t>
        </x:is>
      </x:c>
      <x:c r="D57" s="31" t="inlineStr">
        <x:is>
          <x:t xml:space="preserve">МАТ-0041</x:t>
        </x:is>
      </x:c>
      <x:c r="E57" s="31" t="inlineStr">
        <x:is>
          <x:t xml:space="preserve">модуль аналогового входа 4 канала / исп.2</x:t>
        </x:is>
      </x:c>
      <x:c r="F57" s="31" t="n">
        <x:v>-6</x:v>
      </x:c>
      <x:c r="G57" s="31" t="inlineStr">
        <x:is>
          <x:t xml:space="preserve">шт</x:t>
        </x:is>
      </x:c>
      <x:c r="H57" s="31" t="inlineStr">
        <x:is>
          <x:t xml:space="preserve">ЗК-1014</x:t>
        </x:is>
      </x:c>
      <x:c r="I57" s="31" t="n"/>
      <x:c r="J57" s="31" t="inlineStr">
        <x:is>
          <x:t xml:space="preserve">Брак/карантин</x:t>
        </x:is>
      </x:c>
      <x:c r="K57" s="31" t="inlineStr">
        <x:is>
          <x:t xml:space="preserve">СОТР-034</x:t>
        </x:is>
      </x:c>
      <x:c r="L57" s="31" t="inlineStr">
        <x:is>
          <x:t xml:space="preserve">ДОК-5795</x:t>
        </x:is>
      </x:c>
      <x:c r="M57" s="31" t="inlineStr">
        <x:is>
          <x:t xml:space="preserve">Проведен</x:t>
        </x:is>
      </x:c>
    </x:row>
    <x:row r="58" ht="18" customHeight="1">
      <x:c r="A58" s="31" t="inlineStr">
        <x:is>
          <x:t xml:space="preserve">СКЛ-000057</x:t>
        </x:is>
      </x:c>
      <x:c r="B58" s="31" t="n">
        <x:v>46077</x:v>
      </x:c>
      <x:c r="C58" s="31" t="inlineStr">
        <x:is>
          <x:t xml:space="preserve">Приход</x:t>
        </x:is>
      </x:c>
      <x:c r="D58" s="31" t="inlineStr">
        <x:is>
          <x:t xml:space="preserve">МАТ-0075</x:t>
        </x:is>
      </x:c>
      <x:c r="E58" s="31" t="inlineStr">
        <x:is>
          <x:t xml:space="preserve">Болт М12</x:t>
        </x:is>
      </x:c>
      <x:c r="F58" s="31" t="n">
        <x:v>1</x:v>
      </x:c>
      <x:c r="G58" s="31" t="inlineStr">
        <x:is>
          <x:t xml:space="preserve">шт</x:t>
        </x:is>
      </x:c>
      <x:c r="H58" s="31" t="n"/>
      <x:c r="I58" s="31" t="n"/>
      <x:c r="J58" s="31" t="inlineStr">
        <x:is>
          <x:t xml:space="preserve">Основной склад</x:t>
        </x:is>
      </x:c>
      <x:c r="K58" s="31" t="inlineStr">
        <x:is>
          <x:t xml:space="preserve">СОТР-033</x:t>
        </x:is>
      </x:c>
      <x:c r="L58" s="31" t="inlineStr">
        <x:is>
          <x:t xml:space="preserve">ДОК-6841</x:t>
        </x:is>
      </x:c>
      <x:c r="M58" s="31" t="inlineStr">
        <x:is>
          <x:t xml:space="preserve">Проведен</x:t>
        </x:is>
      </x:c>
    </x:row>
    <x:row r="59" ht="18" customHeight="1">
      <x:c r="A59" s="31" t="inlineStr">
        <x:is>
          <x:t xml:space="preserve">СКЛ-000058</x:t>
        </x:is>
      </x:c>
      <x:c r="B59" s="31" t="n">
        <x:v>46121</x:v>
      </x:c>
      <x:c r="C59" s="31" t="inlineStr">
        <x:is>
          <x:t xml:space="preserve">Приход</x:t>
        </x:is>
      </x:c>
      <x:c r="D59" s="31" t="inlineStr">
        <x:is>
          <x:t xml:space="preserve">МАТ-0024</x:t>
        </x:is>
      </x:c>
      <x:c r="E59" s="31" t="inlineStr">
        <x:is>
          <x:t xml:space="preserve">Рабочее колесо / исп.2</x:t>
        </x:is>
      </x:c>
      <x:c r="F59" s="31" t="n">
        <x:v>19</x:v>
      </x:c>
      <x:c r="G59" s="31" t="inlineStr">
        <x:is>
          <x:t xml:space="preserve">шт</x:t>
        </x:is>
      </x:c>
      <x:c r="H59" s="31" t="n"/>
      <x:c r="I59" s="31" t="n"/>
      <x:c r="J59" s="31" t="inlineStr">
        <x:is>
          <x:t xml:space="preserve">Основной склад</x:t>
        </x:is>
      </x:c>
      <x:c r="K59" s="31" t="inlineStr">
        <x:is>
          <x:t xml:space="preserve">СОТР-039</x:t>
        </x:is>
      </x:c>
      <x:c r="L59" s="31" t="inlineStr">
        <x:is>
          <x:t xml:space="preserve">ДОК-7430</x:t>
        </x:is>
      </x:c>
      <x:c r="M59" s="31" t="inlineStr">
        <x:is>
          <x:t xml:space="preserve">Проведен</x:t>
        </x:is>
      </x:c>
    </x:row>
    <x:row r="60" ht="18" customHeight="1">
      <x:c r="A60" s="31" t="inlineStr">
        <x:is>
          <x:t xml:space="preserve">СКЛ-000059</x:t>
        </x:is>
      </x:c>
      <x:c r="B60" s="31" t="n">
        <x:v>46137</x:v>
      </x:c>
      <x:c r="C60" s="31" t="inlineStr">
        <x:is>
          <x:t xml:space="preserve">Корректировка</x:t>
        </x:is>
      </x:c>
      <x:c r="D60" s="31" t="inlineStr">
        <x:is>
          <x:t xml:space="preserve">МАТ-0016</x:t>
        </x:is>
      </x:c>
      <x:c r="E60" s="31" t="inlineStr">
        <x:is>
          <x:t xml:space="preserve">Насос центробежный 15 кВт / исп.2</x:t>
        </x:is>
      </x:c>
      <x:c r="F60" s="31" t="n">
        <x:v>6</x:v>
      </x:c>
      <x:c r="G60" s="31" t="inlineStr">
        <x:is>
          <x:t xml:space="preserve">шт</x:t>
        </x:is>
      </x:c>
      <x:c r="H60" s="31" t="n"/>
      <x:c r="I60" s="31" t="n"/>
      <x:c r="J60" s="31" t="inlineStr">
        <x:is>
          <x:t xml:space="preserve">Основной склад</x:t>
        </x:is>
      </x:c>
      <x:c r="K60" s="31" t="inlineStr">
        <x:is>
          <x:t xml:space="preserve">СОТР-034</x:t>
        </x:is>
      </x:c>
      <x:c r="L60" s="31" t="inlineStr">
        <x:is>
          <x:t xml:space="preserve">ДОК-6474</x:t>
        </x:is>
      </x:c>
      <x:c r="M60" s="31" t="inlineStr">
        <x:is>
          <x:t xml:space="preserve">Требует проверки</x:t>
        </x:is>
      </x:c>
    </x:row>
    <x:row r="61" ht="18" customHeight="1">
      <x:c r="A61" s="31" t="inlineStr">
        <x:is>
          <x:t xml:space="preserve">СКЛ-000060</x:t>
        </x:is>
      </x:c>
      <x:c r="B61" s="31" t="n">
        <x:v>46102</x:v>
      </x:c>
      <x:c r="C61" s="31" t="inlineStr">
        <x:is>
          <x:t xml:space="preserve">Выдача в производство</x:t>
        </x:is>
      </x:c>
      <x:c r="D61" s="31" t="inlineStr">
        <x:is>
          <x:t xml:space="preserve">МАТ-0042</x:t>
        </x:is>
      </x:c>
      <x:c r="E61" s="31" t="inlineStr">
        <x:is>
          <x:t xml:space="preserve">модуль аналогового входа 4 канала / исп.3</x:t>
        </x:is>
      </x:c>
      <x:c r="F61" s="31" t="n">
        <x:v>-5</x:v>
      </x:c>
      <x:c r="G61" s="31" t="inlineStr">
        <x:is>
          <x:t xml:space="preserve">шт</x:t>
        </x:is>
      </x:c>
      <x:c r="H61" s="31" t="inlineStr">
        <x:is>
          <x:t xml:space="preserve">ЗК-1098</x:t>
        </x:is>
      </x:c>
      <x:c r="I61" s="31" t="inlineStr">
        <x:is>
          <x:t xml:space="preserve">ПЗ-00117</x:t>
        </x:is>
      </x:c>
      <x:c r="J61" s="31" t="inlineStr">
        <x:is>
          <x:t xml:space="preserve">Цеховой склад</x:t>
        </x:is>
      </x:c>
      <x:c r="K61" s="31" t="inlineStr">
        <x:is>
          <x:t xml:space="preserve">СОТР-033</x:t>
        </x:is>
      </x:c>
      <x:c r="L61" s="31" t="inlineStr">
        <x:is>
          <x:t xml:space="preserve">ДОК-4795</x:t>
        </x:is>
      </x:c>
      <x:c r="M61" s="31" t="inlineStr">
        <x:is>
          <x:t xml:space="preserve">Черновик</x:t>
        </x:is>
      </x:c>
    </x:row>
    <x:row r="62" ht="18" customHeight="1">
      <x:c r="A62" s="31" t="inlineStr">
        <x:is>
          <x:t xml:space="preserve">СКЛ-000061</x:t>
        </x:is>
      </x:c>
      <x:c r="B62" s="31" t="n">
        <x:v>46074</x:v>
      </x:c>
      <x:c r="C62" s="31" t="inlineStr">
        <x:is>
          <x:t xml:space="preserve">Приход</x:t>
        </x:is>
      </x:c>
      <x:c r="D62" s="31" t="inlineStr">
        <x:is>
          <x:t xml:space="preserve">МАТ-0038</x:t>
        </x:is>
      </x:c>
      <x:c r="E62" s="31" t="inlineStr">
        <x:is>
          <x:t xml:space="preserve">ПЛК 24 дискр. входа / 16 дискр. выхода</x:t>
        </x:is>
      </x:c>
      <x:c r="F62" s="31" t="n">
        <x:v>8</x:v>
      </x:c>
      <x:c r="G62" s="31" t="inlineStr">
        <x:is>
          <x:t xml:space="preserve">шт</x:t>
        </x:is>
      </x:c>
      <x:c r="H62" s="31" t="n"/>
      <x:c r="I62" s="31" t="n"/>
      <x:c r="J62" s="31" t="inlineStr">
        <x:is>
          <x:t xml:space="preserve">Основной склад</x:t>
        </x:is>
      </x:c>
      <x:c r="K62" s="31" t="inlineStr">
        <x:is>
          <x:t xml:space="preserve">СОТР-034</x:t>
        </x:is>
      </x:c>
      <x:c r="L62" s="31" t="inlineStr">
        <x:is>
          <x:t xml:space="preserve">ДОК-8968</x:t>
        </x:is>
      </x:c>
      <x:c r="M62" s="31" t="inlineStr">
        <x:is>
          <x:t xml:space="preserve">Проведен</x:t>
        </x:is>
      </x:c>
    </x:row>
    <x:row r="63" ht="18" customHeight="1">
      <x:c r="A63" s="31" t="inlineStr">
        <x:is>
          <x:t xml:space="preserve">СКЛ-000062</x:t>
        </x:is>
      </x:c>
      <x:c r="B63" s="31" t="n">
        <x:v>46174</x:v>
      </x:c>
      <x:c r="C63" s="31" t="inlineStr">
        <x:is>
          <x:t xml:space="preserve">Возврат</x:t>
        </x:is>
      </x:c>
      <x:c r="D63" s="31" t="inlineStr">
        <x:is>
          <x:t xml:space="preserve">МАТ-0051</x:t>
        </x:is>
      </x:c>
      <x:c r="E63" s="31" t="inlineStr">
        <x:is>
          <x:t xml:space="preserve">Кран шаровой Ду50</x:t>
        </x:is>
      </x:c>
      <x:c r="F63" s="31" t="n">
        <x:v>8</x:v>
      </x:c>
      <x:c r="G63" s="31" t="inlineStr">
        <x:is>
          <x:t xml:space="preserve">шт</x:t>
        </x:is>
      </x:c>
      <x:c r="H63" s="31" t="n"/>
      <x:c r="I63" s="31" t="n"/>
      <x:c r="J63" s="31" t="inlineStr">
        <x:is>
          <x:t xml:space="preserve">Основной склад</x:t>
        </x:is>
      </x:c>
      <x:c r="K63" s="31" t="inlineStr">
        <x:is>
          <x:t xml:space="preserve">СОТР-036</x:t>
        </x:is>
      </x:c>
      <x:c r="L63" s="31" t="inlineStr">
        <x:is>
          <x:t xml:space="preserve">ДОК-5844</x:t>
        </x:is>
      </x:c>
      <x:c r="M63" s="31" t="inlineStr">
        <x:is>
          <x:t xml:space="preserve">Проведен</x:t>
        </x:is>
      </x:c>
    </x:row>
    <x:row r="64" ht="18" customHeight="1">
      <x:c r="A64" s="31" t="inlineStr">
        <x:is>
          <x:t xml:space="preserve">СКЛ-000063</x:t>
        </x:is>
      </x:c>
      <x:c r="B64" s="31" t="n">
        <x:v>46195</x:v>
      </x:c>
      <x:c r="C64" s="31" t="inlineStr">
        <x:is>
          <x:t xml:space="preserve">Возврат</x:t>
        </x:is>
      </x:c>
      <x:c r="D64" s="31" t="inlineStr">
        <x:is>
          <x:t xml:space="preserve">МАТ-0087</x:t>
        </x:is>
      </x:c>
      <x:c r="E64" s="31" t="inlineStr">
        <x:is>
          <x:t xml:space="preserve">Ящик фанерный</x:t>
        </x:is>
      </x:c>
      <x:c r="F64" s="31" t="n">
        <x:v>16</x:v>
      </x:c>
      <x:c r="G64" s="31" t="inlineStr">
        <x:is>
          <x:t xml:space="preserve">шт</x:t>
        </x:is>
      </x:c>
      <x:c r="H64" s="31" t="n"/>
      <x:c r="I64" s="31" t="n"/>
      <x:c r="J64" s="31" t="inlineStr">
        <x:is>
          <x:t xml:space="preserve">Основной склад</x:t>
        </x:is>
      </x:c>
      <x:c r="K64" s="31" t="inlineStr">
        <x:is>
          <x:t xml:space="preserve">СОТР-036</x:t>
        </x:is>
      </x:c>
      <x:c r="L64" s="31" t="inlineStr">
        <x:is>
          <x:t xml:space="preserve">ДОК-4448</x:t>
        </x:is>
      </x:c>
      <x:c r="M64" s="31" t="inlineStr">
        <x:is>
          <x:t xml:space="preserve">Проведен</x:t>
        </x:is>
      </x:c>
    </x:row>
    <x:row r="65" ht="18" customHeight="1">
      <x:c r="A65" s="31" t="inlineStr">
        <x:is>
          <x:t xml:space="preserve">СКЛ-000064</x:t>
        </x:is>
      </x:c>
      <x:c r="B65" s="31" t="n">
        <x:v>46165</x:v>
      </x:c>
      <x:c r="C65" s="31" t="inlineStr">
        <x:is>
          <x:t xml:space="preserve">Резерв</x:t>
        </x:is>
      </x:c>
      <x:c r="D65" s="31" t="inlineStr">
        <x:is>
          <x:t xml:space="preserve">МАТ-0076</x:t>
        </x:is>
      </x:c>
      <x:c r="E65" s="31" t="inlineStr">
        <x:is>
          <x:t xml:space="preserve">Болт М12 / исп.2</x:t>
        </x:is>
      </x:c>
      <x:c r="F65" s="31" t="n">
        <x:v>-12</x:v>
      </x:c>
      <x:c r="G65" s="31" t="inlineStr">
        <x:is>
          <x:t xml:space="preserve">шт</x:t>
        </x:is>
      </x:c>
      <x:c r="H65" s="31" t="inlineStr">
        <x:is>
          <x:t xml:space="preserve">ЗК-1111</x:t>
        </x:is>
      </x:c>
      <x:c r="I65" s="31" t="n"/>
      <x:c r="J65" s="31" t="inlineStr">
        <x:is>
          <x:t xml:space="preserve">Основной склад</x:t>
        </x:is>
      </x:c>
      <x:c r="K65" s="31" t="inlineStr">
        <x:is>
          <x:t xml:space="preserve">СОТР-035</x:t>
        </x:is>
      </x:c>
      <x:c r="L65" s="31" t="inlineStr">
        <x:is>
          <x:t xml:space="preserve">ДОК-1430</x:t>
        </x:is>
      </x:c>
      <x:c r="M65" s="31" t="inlineStr">
        <x:is>
          <x:t xml:space="preserve">Проведен</x:t>
        </x:is>
      </x:c>
    </x:row>
    <x:row r="66" ht="18" customHeight="1">
      <x:c r="A66" s="31" t="inlineStr">
        <x:is>
          <x:t xml:space="preserve">СКЛ-000065</x:t>
        </x:is>
      </x:c>
      <x:c r="B66" s="31" t="n">
        <x:v>46173</x:v>
      </x:c>
      <x:c r="C66" s="31" t="inlineStr">
        <x:is>
          <x:t xml:space="preserve">Резерв</x:t>
        </x:is>
      </x:c>
      <x:c r="D66" s="31" t="inlineStr">
        <x:is>
          <x:t xml:space="preserve">МАТ-0082</x:t>
        </x:is>
      </x:c>
      <x:c r="E66" s="31" t="inlineStr">
        <x:is>
          <x:t xml:space="preserve">Шайба 12 / исп.2</x:t>
        </x:is>
      </x:c>
      <x:c r="F66" s="31" t="n">
        <x:v>-10</x:v>
      </x:c>
      <x:c r="G66" s="31" t="inlineStr">
        <x:is>
          <x:t xml:space="preserve">шт</x:t>
        </x:is>
      </x:c>
      <x:c r="H66" s="31" t="inlineStr">
        <x:is>
          <x:t xml:space="preserve">ЗК-1019</x:t>
        </x:is>
      </x:c>
      <x:c r="I66" s="31" t="n"/>
      <x:c r="J66" s="31" t="inlineStr">
        <x:is>
          <x:t xml:space="preserve">Основной склад</x:t>
        </x:is>
      </x:c>
      <x:c r="K66" s="31" t="inlineStr">
        <x:is>
          <x:t xml:space="preserve">СОТР-035</x:t>
        </x:is>
      </x:c>
      <x:c r="L66" s="31" t="inlineStr">
        <x:is>
          <x:t xml:space="preserve">ДОК-3097</x:t>
        </x:is>
      </x:c>
      <x:c r="M66" s="31" t="inlineStr">
        <x:is>
          <x:t xml:space="preserve">Проведен</x:t>
        </x:is>
      </x:c>
    </x:row>
    <x:row r="67" ht="18" customHeight="1">
      <x:c r="A67" s="31" t="inlineStr">
        <x:is>
          <x:t xml:space="preserve">СКЛ-000066</x:t>
        </x:is>
      </x:c>
      <x:c r="B67" s="31" t="n">
        <x:v>46100</x:v>
      </x:c>
      <x:c r="C67" s="31" t="inlineStr">
        <x:is>
          <x:t xml:space="preserve">Выдача в производство</x:t>
        </x:is>
      </x:c>
      <x:c r="D67" s="31" t="inlineStr">
        <x:is>
          <x:t xml:space="preserve">МАТ-0006</x:t>
        </x:is>
      </x:c>
      <x:c r="E67" s="31" t="inlineStr">
        <x:is>
          <x:t xml:space="preserve">Труба нержавеющая 38×3</x:t>
        </x:is>
      </x:c>
      <x:c r="F67" s="31" t="n">
        <x:v>-2</x:v>
      </x:c>
      <x:c r="G67" s="31" t="inlineStr">
        <x:is>
          <x:t xml:space="preserve">шт</x:t>
        </x:is>
      </x:c>
      <x:c r="H67" s="31" t="inlineStr">
        <x:is>
          <x:t xml:space="preserve">ЗК-1007</x:t>
        </x:is>
      </x:c>
      <x:c r="I67" s="31" t="inlineStr">
        <x:is>
          <x:t xml:space="preserve">ПЗ-00171</x:t>
        </x:is>
      </x:c>
      <x:c r="J67" s="31" t="inlineStr">
        <x:is>
          <x:t xml:space="preserve">Брак/карантин</x:t>
        </x:is>
      </x:c>
      <x:c r="K67" s="31" t="inlineStr">
        <x:is>
          <x:t xml:space="preserve">СОТР-039</x:t>
        </x:is>
      </x:c>
      <x:c r="L67" s="31" t="inlineStr">
        <x:is>
          <x:t xml:space="preserve">ДОК-2733</x:t>
        </x:is>
      </x:c>
      <x:c r="M67" s="31" t="inlineStr">
        <x:is>
          <x:t xml:space="preserve">Проведен</x:t>
        </x:is>
      </x:c>
    </x:row>
    <x:row r="68" ht="18" customHeight="1">
      <x:c r="A68" s="31" t="inlineStr">
        <x:is>
          <x:t xml:space="preserve">СКЛ-000067</x:t>
        </x:is>
      </x:c>
      <x:c r="B68" s="31" t="n">
        <x:v>46063</x:v>
      </x:c>
      <x:c r="C68" s="31" t="inlineStr">
        <x:is>
          <x:t xml:space="preserve">Возврат</x:t>
        </x:is>
      </x:c>
      <x:c r="D68" s="31" t="inlineStr">
        <x:is>
          <x:t xml:space="preserve">МАТ-0004</x:t>
        </x:is>
      </x:c>
      <x:c r="E68" s="31" t="inlineStr">
        <x:is>
          <x:t xml:space="preserve">Лист стальной 09Г2С 12 мм / исп.3</x:t>
        </x:is>
      </x:c>
      <x:c r="F68" s="31" t="n">
        <x:v>10.32</x:v>
      </x:c>
      <x:c r="G68" s="31" t="inlineStr">
        <x:is>
          <x:t xml:space="preserve">л</x:t>
        </x:is>
      </x:c>
      <x:c r="H68" s="31" t="n"/>
      <x:c r="I68" s="31" t="n"/>
      <x:c r="J68" s="31" t="inlineStr">
        <x:is>
          <x:t xml:space="preserve">Брак/карантин</x:t>
        </x:is>
      </x:c>
      <x:c r="K68" s="31" t="inlineStr">
        <x:is>
          <x:t xml:space="preserve">СОТР-039</x:t>
        </x:is>
      </x:c>
      <x:c r="L68" s="31" t="inlineStr">
        <x:is>
          <x:t xml:space="preserve">ДОК-8999</x:t>
        </x:is>
      </x:c>
      <x:c r="M68" s="31" t="inlineStr">
        <x:is>
          <x:t xml:space="preserve">Проведен</x:t>
        </x:is>
      </x:c>
    </x:row>
    <x:row r="69" ht="18" customHeight="1">
      <x:c r="A69" s="31" t="inlineStr">
        <x:is>
          <x:t xml:space="preserve">СКЛ-000068</x:t>
        </x:is>
      </x:c>
      <x:c r="B69" s="31" t="n">
        <x:v>46096</x:v>
      </x:c>
      <x:c r="C69" s="31" t="inlineStr">
        <x:is>
          <x:t xml:space="preserve">Выдача в производство</x:t>
        </x:is>
      </x:c>
      <x:c r="D69" s="31" t="inlineStr">
        <x:is>
          <x:t xml:space="preserve">МАТ-0008</x:t>
        </x:is>
      </x:c>
      <x:c r="E69" s="31" t="inlineStr">
        <x:is>
          <x:t xml:space="preserve">Швеллер 12П</x:t>
        </x:is>
      </x:c>
      <x:c r="F69" s="31" t="n">
        <x:v>-10</x:v>
      </x:c>
      <x:c r="G69" s="31" t="inlineStr">
        <x:is>
          <x:t xml:space="preserve">шт</x:t>
        </x:is>
      </x:c>
      <x:c r="H69" s="31" t="inlineStr">
        <x:is>
          <x:t xml:space="preserve">ЗК-1098</x:t>
        </x:is>
      </x:c>
      <x:c r="I69" s="31" t="inlineStr">
        <x:is>
          <x:t xml:space="preserve">ПЗ-00130</x:t>
        </x:is>
      </x:c>
      <x:c r="J69" s="31" t="inlineStr">
        <x:is>
          <x:t xml:space="preserve">Основной склад</x:t>
        </x:is>
      </x:c>
      <x:c r="K69" s="31" t="inlineStr">
        <x:is>
          <x:t xml:space="preserve">СОТР-035</x:t>
        </x:is>
      </x:c>
      <x:c r="L69" s="31" t="inlineStr">
        <x:is>
          <x:t xml:space="preserve">ДОК-2756</x:t>
        </x:is>
      </x:c>
      <x:c r="M69" s="31" t="inlineStr">
        <x:is>
          <x:t xml:space="preserve">Проведен</x:t>
        </x:is>
      </x:c>
    </x:row>
    <x:row r="70" ht="18" customHeight="1">
      <x:c r="A70" s="31" t="inlineStr">
        <x:is>
          <x:t xml:space="preserve">СКЛ-000069</x:t>
        </x:is>
      </x:c>
      <x:c r="B70" s="31" t="n">
        <x:v>46033</x:v>
      </x:c>
      <x:c r="C70" s="31" t="inlineStr">
        <x:is>
          <x:t xml:space="preserve">Приход</x:t>
        </x:is>
      </x:c>
      <x:c r="D70" s="31" t="inlineStr">
        <x:is>
          <x:t xml:space="preserve">МАТ-0061</x:t>
        </x:is>
      </x:c>
      <x:c r="E70" s="31" t="inlineStr">
        <x:is>
          <x:t xml:space="preserve">Фильтр сетчатый Ду50 / исп.3</x:t>
        </x:is>
      </x:c>
      <x:c r="F70" s="31" t="n">
        <x:v>9</x:v>
      </x:c>
      <x:c r="G70" s="31" t="inlineStr">
        <x:is>
          <x:t xml:space="preserve">шт</x:t>
        </x:is>
      </x:c>
      <x:c r="H70" s="31" t="n"/>
      <x:c r="I70" s="31" t="n"/>
      <x:c r="J70" s="31" t="inlineStr">
        <x:is>
          <x:t xml:space="preserve">Основной склад</x:t>
        </x:is>
      </x:c>
      <x:c r="K70" s="31" t="inlineStr">
        <x:is>
          <x:t xml:space="preserve">СОТР-036</x:t>
        </x:is>
      </x:c>
      <x:c r="L70" s="31" t="inlineStr">
        <x:is>
          <x:t xml:space="preserve">ДОК-6841</x:t>
        </x:is>
      </x:c>
      <x:c r="M70" s="31" t="inlineStr">
        <x:is>
          <x:t xml:space="preserve">Проведен</x:t>
        </x:is>
      </x:c>
    </x:row>
    <x:row r="71" ht="18" customHeight="1">
      <x:c r="A71" s="31" t="inlineStr">
        <x:is>
          <x:t xml:space="preserve">СКЛ-000070</x:t>
        </x:is>
      </x:c>
      <x:c r="B71" s="31" t="n">
        <x:v>46166</x:v>
      </x:c>
      <x:c r="C71" s="31" t="inlineStr">
        <x:is>
          <x:t xml:space="preserve">Списание</x:t>
        </x:is>
      </x:c>
      <x:c r="D71" s="31" t="inlineStr">
        <x:is>
          <x:t xml:space="preserve">МАТ-0087</x:t>
        </x:is>
      </x:c>
      <x:c r="E71" s="31" t="inlineStr">
        <x:is>
          <x:t xml:space="preserve">Ящик фанерный</x:t>
        </x:is>
      </x:c>
      <x:c r="F71" s="31" t="n">
        <x:v>-9</x:v>
      </x:c>
      <x:c r="G71" s="31" t="inlineStr">
        <x:is>
          <x:t xml:space="preserve">шт</x:t>
        </x:is>
      </x:c>
      <x:c r="H71" s="31" t="n"/>
      <x:c r="I71" s="31" t="n"/>
      <x:c r="J71" s="31" t="inlineStr">
        <x:is>
          <x:t xml:space="preserve">Основной склад</x:t>
        </x:is>
      </x:c>
      <x:c r="K71" s="31" t="inlineStr">
        <x:is>
          <x:t xml:space="preserve">СОТР-039</x:t>
        </x:is>
      </x:c>
      <x:c r="L71" s="31" t="inlineStr">
        <x:is>
          <x:t xml:space="preserve">ДОК-4409</x:t>
        </x:is>
      </x:c>
      <x:c r="M71" s="31" t="inlineStr">
        <x:is>
          <x:t xml:space="preserve">Проведен</x:t>
        </x:is>
      </x:c>
    </x:row>
    <x:row r="72" ht="18" customHeight="1">
      <x:c r="A72" s="31" t="inlineStr">
        <x:is>
          <x:t xml:space="preserve">СКЛ-000071</x:t>
        </x:is>
      </x:c>
      <x:c r="B72" s="31" t="n">
        <x:v>46144</x:v>
      </x:c>
      <x:c r="C72" s="31" t="inlineStr">
        <x:is>
          <x:t xml:space="preserve">Выдача в производство</x:t>
        </x:is>
      </x:c>
      <x:c r="D72" s="31" t="inlineStr">
        <x:is>
          <x:t xml:space="preserve">МАТ-0036</x:t>
        </x:is>
      </x:c>
      <x:c r="E72" s="31" t="inlineStr">
        <x:is>
          <x:t xml:space="preserve">Клапан электромагнитный 24В / исп.2</x:t>
        </x:is>
      </x:c>
      <x:c r="F72" s="31" t="n">
        <x:v>-1</x:v>
      </x:c>
      <x:c r="G72" s="31" t="inlineStr">
        <x:is>
          <x:t xml:space="preserve">шт</x:t>
        </x:is>
      </x:c>
      <x:c r="H72" s="31" t="inlineStr">
        <x:is>
          <x:t xml:space="preserve">ЗК-1083</x:t>
        </x:is>
      </x:c>
      <x:c r="I72" s="31" t="inlineStr">
        <x:is>
          <x:t xml:space="preserve">ПЗ-00194</x:t>
        </x:is>
      </x:c>
      <x:c r="J72" s="31" t="inlineStr">
        <x:is>
          <x:t xml:space="preserve">Основной склад</x:t>
        </x:is>
      </x:c>
      <x:c r="K72" s="31" t="inlineStr">
        <x:is>
          <x:t xml:space="preserve">СОТР-038</x:t>
        </x:is>
      </x:c>
      <x:c r="L72" s="31" t="inlineStr">
        <x:is>
          <x:t xml:space="preserve">ДОК-7200</x:t>
        </x:is>
      </x:c>
      <x:c r="M72" s="31" t="inlineStr">
        <x:is>
          <x:t xml:space="preserve">Проведен</x:t>
        </x:is>
      </x:c>
    </x:row>
    <x:row r="73" ht="18" customHeight="1">
      <x:c r="A73" s="31" t="inlineStr">
        <x:is>
          <x:t xml:space="preserve">СКЛ-000072</x:t>
        </x:is>
      </x:c>
      <x:c r="B73" s="31" t="n">
        <x:v>46098</x:v>
      </x:c>
      <x:c r="C73" s="31" t="inlineStr">
        <x:is>
          <x:t xml:space="preserve">Возврат</x:t>
        </x:is>
      </x:c>
      <x:c r="D73" s="31" t="inlineStr">
        <x:is>
          <x:t xml:space="preserve">МАТ-0038</x:t>
        </x:is>
      </x:c>
      <x:c r="E73" s="31" t="inlineStr">
        <x:is>
          <x:t xml:space="preserve">ПЛК 24 дискр. входа / 16 дискр. выхода</x:t>
        </x:is>
      </x:c>
      <x:c r="F73" s="31" t="n">
        <x:v>16</x:v>
      </x:c>
      <x:c r="G73" s="31" t="inlineStr">
        <x:is>
          <x:t xml:space="preserve">шт</x:t>
        </x:is>
      </x:c>
      <x:c r="H73" s="31" t="n"/>
      <x:c r="I73" s="31" t="n"/>
      <x:c r="J73" s="31" t="inlineStr">
        <x:is>
          <x:t xml:space="preserve">Основной склад</x:t>
        </x:is>
      </x:c>
      <x:c r="K73" s="31" t="inlineStr">
        <x:is>
          <x:t xml:space="preserve">СОТР-024</x:t>
        </x:is>
      </x:c>
      <x:c r="L73" s="31" t="inlineStr">
        <x:is>
          <x:t xml:space="preserve">ДОК-2730</x:t>
        </x:is>
      </x:c>
      <x:c r="M73" s="31" t="inlineStr">
        <x:is>
          <x:t xml:space="preserve">Проведен</x:t>
        </x:is>
      </x:c>
    </x:row>
    <x:row r="74" ht="18" customHeight="1">
      <x:c r="A74" s="31" t="inlineStr">
        <x:is>
          <x:t xml:space="preserve">СКЛ-000073</x:t>
        </x:is>
      </x:c>
      <x:c r="B74" s="31" t="n">
        <x:v>46159</x:v>
      </x:c>
      <x:c r="C74" s="31" t="inlineStr">
        <x:is>
          <x:t xml:space="preserve">Резерв</x:t>
        </x:is>
      </x:c>
      <x:c r="D74" s="31" t="inlineStr">
        <x:is>
          <x:t xml:space="preserve">МАТ-0025</x:t>
        </x:is>
      </x:c>
      <x:c r="E74" s="31" t="inlineStr">
        <x:is>
          <x:t xml:space="preserve">Двигатель 7.5 кВт</x:t>
        </x:is>
      </x:c>
      <x:c r="F74" s="31" t="n">
        <x:v>-7</x:v>
      </x:c>
      <x:c r="G74" s="31" t="inlineStr">
        <x:is>
          <x:t xml:space="preserve">шт</x:t>
        </x:is>
      </x:c>
      <x:c r="H74" s="31" t="inlineStr">
        <x:is>
          <x:t xml:space="preserve">ЗК-1121</x:t>
        </x:is>
      </x:c>
      <x:c r="I74" s="31" t="n"/>
      <x:c r="J74" s="31" t="inlineStr">
        <x:is>
          <x:t xml:space="preserve">Основной склад</x:t>
        </x:is>
      </x:c>
      <x:c r="K74" s="31" t="inlineStr">
        <x:is>
          <x:t xml:space="preserve">СОТР-037</x:t>
        </x:is>
      </x:c>
      <x:c r="L74" s="31" t="inlineStr">
        <x:is>
          <x:t xml:space="preserve">ДОК-3175</x:t>
        </x:is>
      </x:c>
      <x:c r="M74" s="31" t="inlineStr">
        <x:is>
          <x:t xml:space="preserve">Проведен</x:t>
        </x:is>
      </x:c>
    </x:row>
    <x:row r="75" ht="18" customHeight="1">
      <x:c r="A75" s="31" t="inlineStr">
        <x:is>
          <x:t xml:space="preserve">СКЛ-000074</x:t>
        </x:is>
      </x:c>
      <x:c r="B75" s="31" t="n">
        <x:v>46032</x:v>
      </x:c>
      <x:c r="C75" s="31" t="inlineStr">
        <x:is>
          <x:t xml:space="preserve">Списание</x:t>
        </x:is>
      </x:c>
      <x:c r="D75" s="31" t="inlineStr">
        <x:is>
          <x:t xml:space="preserve">МАТ-0087</x:t>
        </x:is>
      </x:c>
      <x:c r="E75" s="31" t="inlineStr">
        <x:is>
          <x:t xml:space="preserve">Ящик фанерный</x:t>
        </x:is>
      </x:c>
      <x:c r="F75" s="31" t="n">
        <x:v>-10</x:v>
      </x:c>
      <x:c r="G75" s="31" t="inlineStr">
        <x:is>
          <x:t xml:space="preserve">шт</x:t>
        </x:is>
      </x:c>
      <x:c r="H75" s="31" t="n"/>
      <x:c r="I75" s="31" t="n"/>
      <x:c r="J75" s="31" t="inlineStr">
        <x:is>
          <x:t xml:space="preserve">Основной склад</x:t>
        </x:is>
      </x:c>
      <x:c r="K75" s="31" t="inlineStr">
        <x:is>
          <x:t xml:space="preserve">СОТР-035</x:t>
        </x:is>
      </x:c>
      <x:c r="L75" s="31" t="inlineStr">
        <x:is>
          <x:t xml:space="preserve">ДОК-6980</x:t>
        </x:is>
      </x:c>
      <x:c r="M75" s="31" t="inlineStr">
        <x:is>
          <x:t xml:space="preserve">Проведен</x:t>
        </x:is>
      </x:c>
    </x:row>
    <x:row r="76" ht="18" customHeight="1">
      <x:c r="A76" s="31" t="inlineStr">
        <x:is>
          <x:t xml:space="preserve">СКЛ-000075</x:t>
        </x:is>
      </x:c>
      <x:c r="B76" s="31" t="n">
        <x:v>46115</x:v>
      </x:c>
      <x:c r="C76" s="31" t="inlineStr">
        <x:is>
          <x:t xml:space="preserve">Приход</x:t>
        </x:is>
      </x:c>
      <x:c r="D76" s="31" t="inlineStr">
        <x:is>
          <x:t xml:space="preserve">МАТ-0003</x:t>
        </x:is>
      </x:c>
      <x:c r="E76" s="31" t="inlineStr">
        <x:is>
          <x:t xml:space="preserve">Лист стальной 09Г2С 12 мм / исп.2</x:t>
        </x:is>
      </x:c>
      <x:c r="F76" s="31" t="n">
        <x:v>49.01</x:v>
      </x:c>
      <x:c r="G76" s="31" t="inlineStr">
        <x:is>
          <x:t xml:space="preserve">м</x:t>
        </x:is>
      </x:c>
      <x:c r="H76" s="31" t="n"/>
      <x:c r="I76" s="31" t="n"/>
      <x:c r="J76" s="31" t="inlineStr">
        <x:is>
          <x:t xml:space="preserve">Основной склад</x:t>
        </x:is>
      </x:c>
      <x:c r="K76" s="31" t="inlineStr">
        <x:is>
          <x:t xml:space="preserve">СОТР-039</x:t>
        </x:is>
      </x:c>
      <x:c r="L76" s="31" t="inlineStr">
        <x:is>
          <x:t xml:space="preserve">ДОК-7118</x:t>
        </x:is>
      </x:c>
      <x:c r="M76" s="31" t="inlineStr">
        <x:is>
          <x:t xml:space="preserve">Проведен</x:t>
        </x:is>
      </x:c>
    </x:row>
    <x:row r="77" ht="18" customHeight="1">
      <x:c r="A77" s="31" t="inlineStr">
        <x:is>
          <x:t xml:space="preserve">СКЛ-000076</x:t>
        </x:is>
      </x:c>
      <x:c r="B77" s="31" t="n">
        <x:v>46044</x:v>
      </x:c>
      <x:c r="C77" s="31" t="inlineStr">
        <x:is>
          <x:t xml:space="preserve">Резерв</x:t>
        </x:is>
      </x:c>
      <x:c r="D77" s="31" t="inlineStr">
        <x:is>
          <x:t xml:space="preserve">МАТ-0056</x:t>
        </x:is>
      </x:c>
      <x:c r="E77" s="31" t="inlineStr">
        <x:is>
          <x:t xml:space="preserve">Задвижка Ду100</x:t>
        </x:is>
      </x:c>
      <x:c r="F77" s="31" t="n">
        <x:v>-18</x:v>
      </x:c>
      <x:c r="G77" s="31" t="inlineStr">
        <x:is>
          <x:t xml:space="preserve">шт</x:t>
        </x:is>
      </x:c>
      <x:c r="H77" s="31" t="inlineStr">
        <x:is>
          <x:t xml:space="preserve">ЗК-1057</x:t>
        </x:is>
      </x:c>
      <x:c r="I77" s="31" t="n"/>
      <x:c r="J77" s="31" t="inlineStr">
        <x:is>
          <x:t xml:space="preserve">Основной склад</x:t>
        </x:is>
      </x:c>
      <x:c r="K77" s="31" t="inlineStr">
        <x:is>
          <x:t xml:space="preserve">СОТР-033</x:t>
        </x:is>
      </x:c>
      <x:c r="L77" s="31" t="inlineStr">
        <x:is>
          <x:t xml:space="preserve">ДОК-8001</x:t>
        </x:is>
      </x:c>
      <x:c r="M77" s="31" t="inlineStr">
        <x:is>
          <x:t xml:space="preserve">Проведен</x:t>
        </x:is>
      </x:c>
    </x:row>
    <x:row r="78" ht="18" customHeight="1">
      <x:c r="A78" s="31" t="inlineStr">
        <x:is>
          <x:t xml:space="preserve">СКЛ-000077</x:t>
        </x:is>
      </x:c>
      <x:c r="B78" s="31" t="n">
        <x:v>46097</x:v>
      </x:c>
      <x:c r="C78" s="31" t="inlineStr">
        <x:is>
          <x:t xml:space="preserve">Выдача в производство</x:t>
        </x:is>
      </x:c>
      <x:c r="D78" s="31" t="inlineStr">
        <x:is>
          <x:t xml:space="preserve">МАТ-0061</x:t>
        </x:is>
      </x:c>
      <x:c r="E78" s="31" t="inlineStr">
        <x:is>
          <x:t xml:space="preserve">Фильтр сетчатый Ду50 / исп.3</x:t>
        </x:is>
      </x:c>
      <x:c r="F78" s="31" t="n">
        <x:v>-5</x:v>
      </x:c>
      <x:c r="G78" s="31" t="inlineStr">
        <x:is>
          <x:t xml:space="preserve">шт</x:t>
        </x:is>
      </x:c>
      <x:c r="H78" s="31" t="inlineStr">
        <x:is>
          <x:t xml:space="preserve">ЗК-1094</x:t>
        </x:is>
      </x:c>
      <x:c r="I78" s="31" t="inlineStr">
        <x:is>
          <x:t xml:space="preserve">ПЗ-00162</x:t>
        </x:is>
      </x:c>
      <x:c r="J78" s="31" t="inlineStr">
        <x:is>
          <x:t xml:space="preserve">Цеховой склад</x:t>
        </x:is>
      </x:c>
      <x:c r="K78" s="31" t="inlineStr">
        <x:is>
          <x:t xml:space="preserve">СОТР-033</x:t>
        </x:is>
      </x:c>
      <x:c r="L78" s="31" t="inlineStr">
        <x:is>
          <x:t xml:space="preserve">ДОК-5071</x:t>
        </x:is>
      </x:c>
      <x:c r="M78" s="31" t="inlineStr">
        <x:is>
          <x:t xml:space="preserve">Проведен</x:t>
        </x:is>
      </x:c>
    </x:row>
    <x:row r="79" ht="18" customHeight="1">
      <x:c r="A79" s="31" t="inlineStr">
        <x:is>
          <x:t xml:space="preserve">СКЛ-000078</x:t>
        </x:is>
      </x:c>
      <x:c r="B79" s="31" t="n">
        <x:v>46187</x:v>
      </x:c>
      <x:c r="C79" s="31" t="inlineStr">
        <x:is>
          <x:t xml:space="preserve">Резерв</x:t>
        </x:is>
      </x:c>
      <x:c r="D79" s="31" t="inlineStr">
        <x:is>
          <x:t xml:space="preserve">МАТ-0063</x:t>
        </x:is>
      </x:c>
      <x:c r="E79" s="31" t="inlineStr">
        <x:is>
          <x:t xml:space="preserve">Кабель ВВГнг 3×2.5</x:t>
        </x:is>
      </x:c>
      <x:c r="F79" s="31" t="n">
        <x:v>-6</x:v>
      </x:c>
      <x:c r="G79" s="31" t="inlineStr">
        <x:is>
          <x:t xml:space="preserve">шт</x:t>
        </x:is>
      </x:c>
      <x:c r="H79" s="31" t="inlineStr">
        <x:is>
          <x:t xml:space="preserve">ЗК-1054</x:t>
        </x:is>
      </x:c>
      <x:c r="I79" s="31" t="n"/>
      <x:c r="J79" s="31" t="inlineStr">
        <x:is>
          <x:t xml:space="preserve">Цеховой склад</x:t>
        </x:is>
      </x:c>
      <x:c r="K79" s="31" t="inlineStr">
        <x:is>
          <x:t xml:space="preserve">СОТР-035</x:t>
        </x:is>
      </x:c>
      <x:c r="L79" s="31" t="inlineStr">
        <x:is>
          <x:t xml:space="preserve">ДОК-4607</x:t>
        </x:is>
      </x:c>
      <x:c r="M79" s="31" t="inlineStr">
        <x:is>
          <x:t xml:space="preserve">Проведен</x:t>
        </x:is>
      </x:c>
    </x:row>
    <x:row r="80" ht="18" customHeight="1">
      <x:c r="A80" s="31" t="inlineStr">
        <x:is>
          <x:t xml:space="preserve">СКЛ-000079</x:t>
        </x:is>
      </x:c>
      <x:c r="B80" s="31" t="n">
        <x:v>46124</x:v>
      </x:c>
      <x:c r="C80" s="31" t="inlineStr">
        <x:is>
          <x:t xml:space="preserve">Выдача в производство</x:t>
        </x:is>
      </x:c>
      <x:c r="D80" s="31" t="inlineStr">
        <x:is>
          <x:t xml:space="preserve">МАТ-0080</x:t>
        </x:is>
      </x:c>
      <x:c r="E80" s="31" t="inlineStr">
        <x:is>
          <x:t xml:space="preserve">Гайка М12 / исп.3</x:t>
        </x:is>
      </x:c>
      <x:c r="F80" s="31" t="n">
        <x:v>-20</x:v>
      </x:c>
      <x:c r="G80" s="31" t="inlineStr">
        <x:is>
          <x:t xml:space="preserve">шт</x:t>
        </x:is>
      </x:c>
      <x:c r="H80" s="31" t="inlineStr">
        <x:is>
          <x:t xml:space="preserve">ЗК-1071</x:t>
        </x:is>
      </x:c>
      <x:c r="I80" s="31" t="inlineStr">
        <x:is>
          <x:t xml:space="preserve">ПЗ-00124</x:t>
        </x:is>
      </x:c>
      <x:c r="J80" s="31" t="inlineStr">
        <x:is>
          <x:t xml:space="preserve">Основной склад</x:t>
        </x:is>
      </x:c>
      <x:c r="K80" s="31" t="inlineStr">
        <x:is>
          <x:t xml:space="preserve">СОТР-038</x:t>
        </x:is>
      </x:c>
      <x:c r="L80" s="31" t="inlineStr">
        <x:is>
          <x:t xml:space="preserve">ДОК-1684</x:t>
        </x:is>
      </x:c>
      <x:c r="M80" s="31" t="inlineStr">
        <x:is>
          <x:t xml:space="preserve">Проведен</x:t>
        </x:is>
      </x:c>
    </x:row>
    <x:row r="81" ht="18" customHeight="1">
      <x:c r="A81" s="31" t="inlineStr">
        <x:is>
          <x:t xml:space="preserve">СКЛ-000080</x:t>
        </x:is>
      </x:c>
      <x:c r="B81" s="31" t="n">
        <x:v>46184</x:v>
      </x:c>
      <x:c r="C81" s="31" t="inlineStr">
        <x:is>
          <x:t xml:space="preserve">Корректировка</x:t>
        </x:is>
      </x:c>
      <x:c r="D81" s="31" t="inlineStr">
        <x:is>
          <x:t xml:space="preserve">МАТ-0069</x:t>
        </x:is>
      </x:c>
      <x:c r="E81" s="31" t="inlineStr">
        <x:is>
          <x:t xml:space="preserve">Эмаль полиуретановая</x:t>
        </x:is>
      </x:c>
      <x:c r="F81" s="31" t="n">
        <x:v>15.87</x:v>
      </x:c>
      <x:c r="G81" s="31" t="inlineStr">
        <x:is>
          <x:t xml:space="preserve">л</x:t>
        </x:is>
      </x:c>
      <x:c r="H81" s="31" t="n"/>
      <x:c r="I81" s="31" t="n"/>
      <x:c r="J81" s="31" t="inlineStr">
        <x:is>
          <x:t xml:space="preserve">Цеховой склад</x:t>
        </x:is>
      </x:c>
      <x:c r="K81" s="31" t="inlineStr">
        <x:is>
          <x:t xml:space="preserve">СОТР-039</x:t>
        </x:is>
      </x:c>
      <x:c r="L81" s="31" t="inlineStr">
        <x:is>
          <x:t xml:space="preserve">ДОК-4878</x:t>
        </x:is>
      </x:c>
      <x:c r="M81" s="31" t="inlineStr">
        <x:is>
          <x:t xml:space="preserve">Проведен</x:t>
        </x:is>
      </x:c>
    </x:row>
    <x:row r="82" ht="18" customHeight="1">
      <x:c r="A82" s="31" t="inlineStr">
        <x:is>
          <x:t xml:space="preserve">СКЛ-000081</x:t>
        </x:is>
      </x:c>
      <x:c r="B82" s="31" t="n">
        <x:v>46185</x:v>
      </x:c>
      <x:c r="C82" s="31" t="inlineStr">
        <x:is>
          <x:t xml:space="preserve">Приход</x:t>
        </x:is>
      </x:c>
      <x:c r="D82" s="31" t="inlineStr">
        <x:is>
          <x:t xml:space="preserve">МАТ-0004</x:t>
        </x:is>
      </x:c>
      <x:c r="E82" s="31" t="inlineStr">
        <x:is>
          <x:t xml:space="preserve">Лист стальной 09Г2С 12 мм / исп.3</x:t>
        </x:is>
      </x:c>
      <x:c r="F82" s="31" t="n">
        <x:v>21.06</x:v>
      </x:c>
      <x:c r="G82" s="31" t="inlineStr">
        <x:is>
          <x:t xml:space="preserve">л</x:t>
        </x:is>
      </x:c>
      <x:c r="H82" s="31" t="n"/>
      <x:c r="I82" s="31" t="n"/>
      <x:c r="J82" s="31" t="inlineStr">
        <x:is>
          <x:t xml:space="preserve">Основной склад</x:t>
        </x:is>
      </x:c>
      <x:c r="K82" s="31" t="inlineStr">
        <x:is>
          <x:t xml:space="preserve">СОТР-036</x:t>
        </x:is>
      </x:c>
      <x:c r="L82" s="31" t="inlineStr">
        <x:is>
          <x:t xml:space="preserve">ДОК-8459</x:t>
        </x:is>
      </x:c>
      <x:c r="M82" s="31" t="inlineStr">
        <x:is>
          <x:t xml:space="preserve">Требует проверки</x:t>
        </x:is>
      </x:c>
    </x:row>
    <x:row r="83" ht="18" customHeight="1">
      <x:c r="A83" s="31" t="inlineStr">
        <x:is>
          <x:t xml:space="preserve">СКЛ-000082</x:t>
        </x:is>
      </x:c>
      <x:c r="B83" s="31" t="n">
        <x:v>46040</x:v>
      </x:c>
      <x:c r="C83" s="31" t="inlineStr">
        <x:is>
          <x:t xml:space="preserve">Выдача в производство</x:t>
        </x:is>
      </x:c>
      <x:c r="D83" s="31" t="inlineStr">
        <x:is>
          <x:t xml:space="preserve">МАТ-0035</x:t>
        </x:is>
      </x:c>
      <x:c r="E83" s="31" t="inlineStr">
        <x:is>
          <x:t xml:space="preserve">Клапан электромагнитный 24В</x:t>
        </x:is>
      </x:c>
      <x:c r="F83" s="31" t="n">
        <x:v>-15</x:v>
      </x:c>
      <x:c r="G83" s="31" t="inlineStr">
        <x:is>
          <x:t xml:space="preserve">шт</x:t>
        </x:is>
      </x:c>
      <x:c r="H83" s="31" t="inlineStr">
        <x:is>
          <x:t xml:space="preserve">ЗК-1044</x:t>
        </x:is>
      </x:c>
      <x:c r="I83" s="31" t="inlineStr">
        <x:is>
          <x:t xml:space="preserve">ПЗ-00231</x:t>
        </x:is>
      </x:c>
      <x:c r="J83" s="31" t="inlineStr">
        <x:is>
          <x:t xml:space="preserve">Основной склад</x:t>
        </x:is>
      </x:c>
      <x:c r="K83" s="31" t="inlineStr">
        <x:is>
          <x:t xml:space="preserve">СОТР-024</x:t>
        </x:is>
      </x:c>
      <x:c r="L83" s="31" t="inlineStr">
        <x:is>
          <x:t xml:space="preserve">ДОК-7832</x:t>
        </x:is>
      </x:c>
      <x:c r="M83" s="31" t="inlineStr">
        <x:is>
          <x:t xml:space="preserve">Проведен</x:t>
        </x:is>
      </x:c>
    </x:row>
    <x:row r="84" ht="18" customHeight="1">
      <x:c r="A84" s="31" t="inlineStr">
        <x:is>
          <x:t xml:space="preserve">СКЛ-000083</x:t>
        </x:is>
      </x:c>
      <x:c r="B84" s="31" t="n">
        <x:v>46117</x:v>
      </x:c>
      <x:c r="C84" s="31" t="inlineStr">
        <x:is>
          <x:t xml:space="preserve">Выдача в производство</x:t>
        </x:is>
      </x:c>
      <x:c r="D84" s="31" t="inlineStr">
        <x:is>
          <x:t xml:space="preserve">МАТ-0009</x:t>
        </x:is>
      </x:c>
      <x:c r="E84" s="31" t="inlineStr">
        <x:is>
          <x:t xml:space="preserve">Фланец Ду50 Ру16</x:t>
        </x:is>
      </x:c>
      <x:c r="F84" s="31" t="n">
        <x:v>-78.16</x:v>
      </x:c>
      <x:c r="G84" s="31" t="inlineStr">
        <x:is>
          <x:t xml:space="preserve">л</x:t>
        </x:is>
      </x:c>
      <x:c r="H84" s="31" t="inlineStr">
        <x:is>
          <x:t xml:space="preserve">ЗК-1072</x:t>
        </x:is>
      </x:c>
      <x:c r="I84" s="31" t="inlineStr">
        <x:is>
          <x:t xml:space="preserve">ПЗ-00200</x:t>
        </x:is>
      </x:c>
      <x:c r="J84" s="31" t="inlineStr">
        <x:is>
          <x:t xml:space="preserve">Основной склад</x:t>
        </x:is>
      </x:c>
      <x:c r="K84" s="31" t="inlineStr">
        <x:is>
          <x:t xml:space="preserve">СОТР-039</x:t>
        </x:is>
      </x:c>
      <x:c r="L84" s="31" t="inlineStr">
        <x:is>
          <x:t xml:space="preserve">ДОК-4817</x:t>
        </x:is>
      </x:c>
      <x:c r="M84" s="31" t="inlineStr">
        <x:is>
          <x:t xml:space="preserve">Проведен</x:t>
        </x:is>
      </x:c>
    </x:row>
    <x:row r="85" ht="18" customHeight="1">
      <x:c r="A85" s="31" t="inlineStr">
        <x:is>
          <x:t xml:space="preserve">СКЛ-000084</x:t>
        </x:is>
      </x:c>
      <x:c r="B85" s="31" t="n">
        <x:v>46095</x:v>
      </x:c>
      <x:c r="C85" s="31" t="inlineStr">
        <x:is>
          <x:t xml:space="preserve">Выдача в производство</x:t>
        </x:is>
      </x:c>
      <x:c r="D85" s="31" t="inlineStr">
        <x:is>
          <x:t xml:space="preserve">МАТ-0013</x:t>
        </x:is>
      </x:c>
      <x:c r="E85" s="31" t="inlineStr">
        <x:is>
          <x:t xml:space="preserve">Уголок 50×5</x:t>
        </x:is>
      </x:c>
      <x:c r="F85" s="31" t="n">
        <x:v>-62.09</x:v>
      </x:c>
      <x:c r="G85" s="31" t="inlineStr">
        <x:is>
          <x:t xml:space="preserve">кг</x:t>
        </x:is>
      </x:c>
      <x:c r="H85" s="31" t="inlineStr">
        <x:is>
          <x:t xml:space="preserve">ЗК-1010</x:t>
        </x:is>
      </x:c>
      <x:c r="I85" s="31" t="inlineStr">
        <x:is>
          <x:t xml:space="preserve">ПЗ-00103</x:t>
        </x:is>
      </x:c>
      <x:c r="J85" s="31" t="inlineStr">
        <x:is>
          <x:t xml:space="preserve">Основной склад</x:t>
        </x:is>
      </x:c>
      <x:c r="K85" s="31" t="inlineStr">
        <x:is>
          <x:t xml:space="preserve">СОТР-039</x:t>
        </x:is>
      </x:c>
      <x:c r="L85" s="31" t="inlineStr">
        <x:is>
          <x:t xml:space="preserve">ДОК-4368</x:t>
        </x:is>
      </x:c>
      <x:c r="M85" s="31" t="inlineStr">
        <x:is>
          <x:t xml:space="preserve">Черновик</x:t>
        </x:is>
      </x:c>
    </x:row>
    <x:row r="86" ht="18" customHeight="1">
      <x:c r="A86" s="31" t="inlineStr">
        <x:is>
          <x:t xml:space="preserve">СКЛ-000085</x:t>
        </x:is>
      </x:c>
      <x:c r="B86" s="31" t="n">
        <x:v>46163</x:v>
      </x:c>
      <x:c r="C86" s="31" t="inlineStr">
        <x:is>
          <x:t xml:space="preserve">Выдача в производство</x:t>
        </x:is>
      </x:c>
      <x:c r="D86" s="31" t="inlineStr">
        <x:is>
          <x:t xml:space="preserve">МАТ-0052</x:t>
        </x:is>
      </x:c>
      <x:c r="E86" s="31" t="inlineStr">
        <x:is>
          <x:t xml:space="preserve">Кран шаровой Ду50 / исп.2</x:t>
        </x:is>
      </x:c>
      <x:c r="F86" s="31" t="n">
        <x:v>-2</x:v>
      </x:c>
      <x:c r="G86" s="31" t="inlineStr">
        <x:is>
          <x:t xml:space="preserve">шт</x:t>
        </x:is>
      </x:c>
      <x:c r="H86" s="31" t="inlineStr">
        <x:is>
          <x:t xml:space="preserve">ЗК-1116</x:t>
        </x:is>
      </x:c>
      <x:c r="I86" s="31" t="inlineStr">
        <x:is>
          <x:t xml:space="preserve">ПЗ-00050</x:t>
        </x:is>
      </x:c>
      <x:c r="J86" s="31" t="inlineStr">
        <x:is>
          <x:t xml:space="preserve">Цеховой склад</x:t>
        </x:is>
      </x:c>
      <x:c r="K86" s="31" t="inlineStr">
        <x:is>
          <x:t xml:space="preserve">СОТР-024</x:t>
        </x:is>
      </x:c>
      <x:c r="L86" s="31" t="inlineStr">
        <x:is>
          <x:t xml:space="preserve">ДОК-5806</x:t>
        </x:is>
      </x:c>
      <x:c r="M86" s="31" t="inlineStr">
        <x:is>
          <x:t xml:space="preserve">Проведен</x:t>
        </x:is>
      </x:c>
    </x:row>
    <x:row r="87" ht="18" customHeight="1">
      <x:c r="A87" s="31" t="inlineStr">
        <x:is>
          <x:t xml:space="preserve">СКЛ-000086</x:t>
        </x:is>
      </x:c>
      <x:c r="B87" s="31" t="n">
        <x:v>46190</x:v>
      </x:c>
      <x:c r="C87" s="31" t="inlineStr">
        <x:is>
          <x:t xml:space="preserve">Резерв</x:t>
        </x:is>
      </x:c>
      <x:c r="D87" s="31" t="inlineStr">
        <x:is>
          <x:t xml:space="preserve">МАТ-0087</x:t>
        </x:is>
      </x:c>
      <x:c r="E87" s="31" t="inlineStr">
        <x:is>
          <x:t xml:space="preserve">Ящик фанерный</x:t>
        </x:is>
      </x:c>
      <x:c r="F87" s="31" t="n">
        <x:v>-14</x:v>
      </x:c>
      <x:c r="G87" s="31" t="inlineStr">
        <x:is>
          <x:t xml:space="preserve">шт</x:t>
        </x:is>
      </x:c>
      <x:c r="H87" s="31" t="inlineStr">
        <x:is>
          <x:t xml:space="preserve">ЗК-1064</x:t>
        </x:is>
      </x:c>
      <x:c r="I87" s="31" t="n"/>
      <x:c r="J87" s="31" t="inlineStr">
        <x:is>
          <x:t xml:space="preserve">Основной склад</x:t>
        </x:is>
      </x:c>
      <x:c r="K87" s="31" t="inlineStr">
        <x:is>
          <x:t xml:space="preserve">СОТР-035</x:t>
        </x:is>
      </x:c>
      <x:c r="L87" s="31" t="inlineStr">
        <x:is>
          <x:t xml:space="preserve">ДОК-1519</x:t>
        </x:is>
      </x:c>
      <x:c r="M87" s="31" t="inlineStr">
        <x:is>
          <x:t xml:space="preserve">Проведен</x:t>
        </x:is>
      </x:c>
    </x:row>
    <x:row r="88" ht="18" customHeight="1">
      <x:c r="A88" s="31" t="inlineStr">
        <x:is>
          <x:t xml:space="preserve">СКЛ-000087</x:t>
        </x:is>
      </x:c>
      <x:c r="B88" s="31" t="n">
        <x:v>46200</x:v>
      </x:c>
      <x:c r="C88" s="31" t="inlineStr">
        <x:is>
          <x:t xml:space="preserve">Возврат</x:t>
        </x:is>
      </x:c>
      <x:c r="D88" s="31" t="inlineStr">
        <x:is>
          <x:t xml:space="preserve">МАТ-0021</x:t>
        </x:is>
      </x:c>
      <x:c r="E88" s="31" t="inlineStr">
        <x:is>
          <x:t xml:space="preserve">Торцевое уплотнение</x:t>
        </x:is>
      </x:c>
      <x:c r="F88" s="31" t="n">
        <x:v>17</x:v>
      </x:c>
      <x:c r="G88" s="31" t="inlineStr">
        <x:is>
          <x:t xml:space="preserve">шт</x:t>
        </x:is>
      </x:c>
      <x:c r="H88" s="31" t="n"/>
      <x:c r="I88" s="31" t="n"/>
      <x:c r="J88" s="31" t="inlineStr">
        <x:is>
          <x:t xml:space="preserve">Цеховой склад</x:t>
        </x:is>
      </x:c>
      <x:c r="K88" s="31" t="inlineStr">
        <x:is>
          <x:t xml:space="preserve">СОТР-039</x:t>
        </x:is>
      </x:c>
      <x:c r="L88" s="31" t="inlineStr">
        <x:is>
          <x:t xml:space="preserve">ДОК-8437</x:t>
        </x:is>
      </x:c>
      <x:c r="M88" s="31" t="inlineStr">
        <x:is>
          <x:t xml:space="preserve">Проведен</x:t>
        </x:is>
      </x:c>
    </x:row>
    <x:row r="89" ht="18" customHeight="1">
      <x:c r="A89" s="31" t="inlineStr">
        <x:is>
          <x:t xml:space="preserve">СКЛ-000088</x:t>
        </x:is>
      </x:c>
      <x:c r="B89" s="31" t="n">
        <x:v>46112</x:v>
      </x:c>
      <x:c r="C89" s="31" t="inlineStr">
        <x:is>
          <x:t xml:space="preserve">Выдача в производство</x:t>
        </x:is>
      </x:c>
      <x:c r="D89" s="31" t="inlineStr">
        <x:is>
          <x:t xml:space="preserve">МАТ-0087</x:t>
        </x:is>
      </x:c>
      <x:c r="E89" s="31" t="inlineStr">
        <x:is>
          <x:t xml:space="preserve">Ящик фанерный</x:t>
        </x:is>
      </x:c>
      <x:c r="F89" s="31" t="n">
        <x:v>-13</x:v>
      </x:c>
      <x:c r="G89" s="31" t="inlineStr">
        <x:is>
          <x:t xml:space="preserve">шт</x:t>
        </x:is>
      </x:c>
      <x:c r="H89" s="31" t="inlineStr">
        <x:is>
          <x:t xml:space="preserve">ЗК-1114</x:t>
        </x:is>
      </x:c>
      <x:c r="I89" s="31" t="inlineStr">
        <x:is>
          <x:t xml:space="preserve">ПЗ-00052</x:t>
        </x:is>
      </x:c>
      <x:c r="J89" s="31" t="inlineStr">
        <x:is>
          <x:t xml:space="preserve">Основной склад</x:t>
        </x:is>
      </x:c>
      <x:c r="K89" s="31" t="inlineStr">
        <x:is>
          <x:t xml:space="preserve">СОТР-034</x:t>
        </x:is>
      </x:c>
      <x:c r="L89" s="31" t="inlineStr">
        <x:is>
          <x:t xml:space="preserve">ДОК-4794</x:t>
        </x:is>
      </x:c>
      <x:c r="M89" s="31" t="inlineStr">
        <x:is>
          <x:t xml:space="preserve">Проведен</x:t>
        </x:is>
      </x:c>
    </x:row>
    <x:row r="90" ht="18" customHeight="1">
      <x:c r="A90" s="31" t="inlineStr">
        <x:is>
          <x:t xml:space="preserve">СКЛ-000089</x:t>
        </x:is>
      </x:c>
      <x:c r="B90" s="31" t="n">
        <x:v>46168</x:v>
      </x:c>
      <x:c r="C90" s="31" t="inlineStr">
        <x:is>
          <x:t xml:space="preserve">Выдача в производство</x:t>
        </x:is>
      </x:c>
      <x:c r="D90" s="31" t="inlineStr">
        <x:is>
          <x:t xml:space="preserve">МАТ-0040</x:t>
        </x:is>
      </x:c>
      <x:c r="E90" s="31" t="inlineStr">
        <x:is>
          <x:t xml:space="preserve">модуль аналогового входа 4 канала</x:t>
        </x:is>
      </x:c>
      <x:c r="F90" s="31" t="n">
        <x:v>-9</x:v>
      </x:c>
      <x:c r="G90" s="31" t="inlineStr">
        <x:is>
          <x:t xml:space="preserve">шт</x:t>
        </x:is>
      </x:c>
      <x:c r="H90" s="31" t="inlineStr">
        <x:is>
          <x:t xml:space="preserve">ЗК-1023</x:t>
        </x:is>
      </x:c>
      <x:c r="I90" s="31" t="inlineStr">
        <x:is>
          <x:t xml:space="preserve">ПЗ-00017</x:t>
        </x:is>
      </x:c>
      <x:c r="J90" s="31" t="inlineStr">
        <x:is>
          <x:t xml:space="preserve">Цеховой склад</x:t>
        </x:is>
      </x:c>
      <x:c r="K90" s="31" t="inlineStr">
        <x:is>
          <x:t xml:space="preserve">СОТР-039</x:t>
        </x:is>
      </x:c>
      <x:c r="L90" s="31" t="inlineStr">
        <x:is>
          <x:t xml:space="preserve">ДОК-7874</x:t>
        </x:is>
      </x:c>
      <x:c r="M90" s="31" t="inlineStr">
        <x:is>
          <x:t xml:space="preserve">Проведен</x:t>
        </x:is>
      </x:c>
    </x:row>
    <x:row r="91" ht="18" customHeight="1">
      <x:c r="A91" s="31" t="inlineStr">
        <x:is>
          <x:t xml:space="preserve">СКЛ-000090</x:t>
        </x:is>
      </x:c>
      <x:c r="B91" s="31" t="n">
        <x:v>46114</x:v>
      </x:c>
      <x:c r="C91" s="31" t="inlineStr">
        <x:is>
          <x:t xml:space="preserve">Списание</x:t>
        </x:is>
      </x:c>
      <x:c r="D91" s="31" t="inlineStr">
        <x:is>
          <x:t xml:space="preserve">МАТ-0015</x:t>
        </x:is>
      </x:c>
      <x:c r="E91" s="31" t="inlineStr">
        <x:is>
          <x:t xml:space="preserve">Насос центробежный 15 кВт</x:t>
        </x:is>
      </x:c>
      <x:c r="F91" s="31" t="n">
        <x:v>-13</x:v>
      </x:c>
      <x:c r="G91" s="31" t="inlineStr">
        <x:is>
          <x:t xml:space="preserve">шт</x:t>
        </x:is>
      </x:c>
      <x:c r="H91" s="31" t="n"/>
      <x:c r="I91" s="31" t="n"/>
      <x:c r="J91" s="31" t="inlineStr">
        <x:is>
          <x:t xml:space="preserve">Цеховой склад</x:t>
        </x:is>
      </x:c>
      <x:c r="K91" s="31" t="inlineStr">
        <x:is>
          <x:t xml:space="preserve">СОТР-034</x:t>
        </x:is>
      </x:c>
      <x:c r="L91" s="31" t="inlineStr">
        <x:is>
          <x:t xml:space="preserve">ДОК-9998</x:t>
        </x:is>
      </x:c>
      <x:c r="M91" s="31" t="inlineStr">
        <x:is>
          <x:t xml:space="preserve">Проведен</x:t>
        </x:is>
      </x:c>
    </x:row>
    <x:row r="92" ht="18" customHeight="1">
      <x:c r="A92" s="31" t="inlineStr">
        <x:is>
          <x:t xml:space="preserve">СКЛ-000091</x:t>
        </x:is>
      </x:c>
      <x:c r="B92" s="31" t="n">
        <x:v>46181</x:v>
      </x:c>
      <x:c r="C92" s="31" t="inlineStr">
        <x:is>
          <x:t xml:space="preserve">Корректировка</x:t>
        </x:is>
      </x:c>
      <x:c r="D92" s="31" t="inlineStr">
        <x:is>
          <x:t xml:space="preserve">МАТ-0071</x:t>
        </x:is>
      </x:c>
      <x:c r="E92" s="31" t="inlineStr">
        <x:is>
          <x:t xml:space="preserve">Эмаль полиуретановая / исп.3</x:t>
        </x:is>
      </x:c>
      <x:c r="F92" s="31" t="n">
        <x:v>67.44</x:v>
      </x:c>
      <x:c r="G92" s="31" t="inlineStr">
        <x:is>
          <x:t xml:space="preserve">кг</x:t>
        </x:is>
      </x:c>
      <x:c r="H92" s="31" t="n"/>
      <x:c r="I92" s="31" t="n"/>
      <x:c r="J92" s="31" t="inlineStr">
        <x:is>
          <x:t xml:space="preserve">Цеховой склад</x:t>
        </x:is>
      </x:c>
      <x:c r="K92" s="31" t="inlineStr">
        <x:is>
          <x:t xml:space="preserve">СОТР-034</x:t>
        </x:is>
      </x:c>
      <x:c r="L92" s="31" t="inlineStr">
        <x:is>
          <x:t xml:space="preserve">ДОК-9037</x:t>
        </x:is>
      </x:c>
      <x:c r="M92" s="31" t="inlineStr">
        <x:is>
          <x:t xml:space="preserve">Проведен</x:t>
        </x:is>
      </x:c>
    </x:row>
    <x:row r="93" ht="18" customHeight="1">
      <x:c r="A93" s="31" t="inlineStr">
        <x:is>
          <x:t xml:space="preserve">СКЛ-000092</x:t>
        </x:is>
      </x:c>
      <x:c r="B93" s="31" t="n">
        <x:v>46197</x:v>
      </x:c>
      <x:c r="C93" s="31" t="inlineStr">
        <x:is>
          <x:t xml:space="preserve">Выдача в производство</x:t>
        </x:is>
      </x:c>
      <x:c r="D93" s="31" t="inlineStr">
        <x:is>
          <x:t xml:space="preserve">МАТ-0080</x:t>
        </x:is>
      </x:c>
      <x:c r="E93" s="31" t="inlineStr">
        <x:is>
          <x:t xml:space="preserve">Гайка М12 / исп.3</x:t>
        </x:is>
      </x:c>
      <x:c r="F93" s="31" t="n">
        <x:v>-12</x:v>
      </x:c>
      <x:c r="G93" s="31" t="inlineStr">
        <x:is>
          <x:t xml:space="preserve">шт</x:t>
        </x:is>
      </x:c>
      <x:c r="H93" s="31" t="inlineStr">
        <x:is>
          <x:t xml:space="preserve">ЗК-1105</x:t>
        </x:is>
      </x:c>
      <x:c r="I93" s="31" t="inlineStr">
        <x:is>
          <x:t xml:space="preserve">ПЗ-00261</x:t>
        </x:is>
      </x:c>
      <x:c r="J93" s="31" t="inlineStr">
        <x:is>
          <x:t xml:space="preserve">Основной склад</x:t>
        </x:is>
      </x:c>
      <x:c r="K93" s="31" t="inlineStr">
        <x:is>
          <x:t xml:space="preserve">СОТР-033</x:t>
        </x:is>
      </x:c>
      <x:c r="L93" s="31" t="inlineStr">
        <x:is>
          <x:t xml:space="preserve">ДОК-7624</x:t>
        </x:is>
      </x:c>
      <x:c r="M93" s="31" t="inlineStr">
        <x:is>
          <x:t xml:space="preserve">Проведен</x:t>
        </x:is>
      </x:c>
    </x:row>
    <x:row r="94" ht="18" customHeight="1">
      <x:c r="A94" s="31" t="inlineStr">
        <x:is>
          <x:t xml:space="preserve">СКЛ-000093</x:t>
        </x:is>
      </x:c>
      <x:c r="B94" s="31" t="n">
        <x:v>46174</x:v>
      </x:c>
      <x:c r="C94" s="31" t="inlineStr">
        <x:is>
          <x:t xml:space="preserve">Резерв</x:t>
        </x:is>
      </x:c>
      <x:c r="D94" s="31" t="inlineStr">
        <x:is>
          <x:t xml:space="preserve">МАТ-0068</x:t>
        </x:is>
      </x:c>
      <x:c r="E94" s="31" t="inlineStr">
        <x:is>
          <x:t xml:space="preserve">Грунт эпоксидный</x:t>
        </x:is>
      </x:c>
      <x:c r="F94" s="31" t="n">
        <x:v>-54.51</x:v>
      </x:c>
      <x:c r="G94" s="31" t="inlineStr">
        <x:is>
          <x:t xml:space="preserve">л</x:t>
        </x:is>
      </x:c>
      <x:c r="H94" s="31" t="inlineStr">
        <x:is>
          <x:t xml:space="preserve">ЗК-1069</x:t>
        </x:is>
      </x:c>
      <x:c r="I94" s="31" t="n"/>
      <x:c r="J94" s="31" t="inlineStr">
        <x:is>
          <x:t xml:space="preserve">Цеховой склад</x:t>
        </x:is>
      </x:c>
      <x:c r="K94" s="31" t="inlineStr">
        <x:is>
          <x:t xml:space="preserve">СОТР-037</x:t>
        </x:is>
      </x:c>
      <x:c r="L94" s="31" t="inlineStr">
        <x:is>
          <x:t xml:space="preserve">ДОК-4167</x:t>
        </x:is>
      </x:c>
      <x:c r="M94" s="31" t="inlineStr">
        <x:is>
          <x:t xml:space="preserve">Проведен</x:t>
        </x:is>
      </x:c>
    </x:row>
    <x:row r="95" ht="18" customHeight="1">
      <x:c r="A95" s="31" t="inlineStr">
        <x:is>
          <x:t xml:space="preserve">СКЛ-000094</x:t>
        </x:is>
      </x:c>
      <x:c r="B95" s="31" t="n">
        <x:v>46085</x:v>
      </x:c>
      <x:c r="C95" s="31" t="inlineStr">
        <x:is>
          <x:t xml:space="preserve">Приход</x:t>
        </x:is>
      </x:c>
      <x:c r="D95" s="31" t="inlineStr">
        <x:is>
          <x:t xml:space="preserve">МАТ-0030</x:t>
        </x:is>
      </x:c>
      <x:c r="E95" s="31" t="inlineStr">
        <x:is>
          <x:t xml:space="preserve">Частотный преобразователь 22 кВт / исп.2</x:t>
        </x:is>
      </x:c>
      <x:c r="F95" s="31" t="n">
        <x:v>9</x:v>
      </x:c>
      <x:c r="G95" s="31" t="inlineStr">
        <x:is>
          <x:t xml:space="preserve">шт</x:t>
        </x:is>
      </x:c>
      <x:c r="H95" s="31" t="n"/>
      <x:c r="I95" s="31" t="n"/>
      <x:c r="J95" s="31" t="inlineStr">
        <x:is>
          <x:t xml:space="preserve">Основной склад</x:t>
        </x:is>
      </x:c>
      <x:c r="K95" s="31" t="inlineStr">
        <x:is>
          <x:t xml:space="preserve">СОТР-038</x:t>
        </x:is>
      </x:c>
      <x:c r="L95" s="31" t="inlineStr">
        <x:is>
          <x:t xml:space="preserve">ДОК-4329</x:t>
        </x:is>
      </x:c>
      <x:c r="M95" s="31" t="inlineStr">
        <x:is>
          <x:t xml:space="preserve">Проведен</x:t>
        </x:is>
      </x:c>
    </x:row>
    <x:row r="96" ht="18" customHeight="1">
      <x:c r="A96" s="31" t="inlineStr">
        <x:is>
          <x:t xml:space="preserve">СКЛ-000095</x:t>
        </x:is>
      </x:c>
      <x:c r="B96" s="31" t="n">
        <x:v>46036</x:v>
      </x:c>
      <x:c r="C96" s="31" t="inlineStr">
        <x:is>
          <x:t xml:space="preserve">Резерв</x:t>
        </x:is>
      </x:c>
      <x:c r="D96" s="31" t="inlineStr">
        <x:is>
          <x:t xml:space="preserve">МАТ-0042</x:t>
        </x:is>
      </x:c>
      <x:c r="E96" s="31" t="inlineStr">
        <x:is>
          <x:t xml:space="preserve">модуль аналогового входа 4 канала / исп.3</x:t>
        </x:is>
      </x:c>
      <x:c r="F96" s="31" t="n">
        <x:v>-16</x:v>
      </x:c>
      <x:c r="G96" s="31" t="inlineStr">
        <x:is>
          <x:t xml:space="preserve">шт</x:t>
        </x:is>
      </x:c>
      <x:c r="H96" s="31" t="inlineStr">
        <x:is>
          <x:t xml:space="preserve">ЗК-1083</x:t>
        </x:is>
      </x:c>
      <x:c r="I96" s="31" t="n"/>
      <x:c r="J96" s="31" t="inlineStr">
        <x:is>
          <x:t xml:space="preserve">Основной склад</x:t>
        </x:is>
      </x:c>
      <x:c r="K96" s="31" t="inlineStr">
        <x:is>
          <x:t xml:space="preserve">СОТР-033</x:t>
        </x:is>
      </x:c>
      <x:c r="L96" s="31" t="inlineStr">
        <x:is>
          <x:t xml:space="preserve">ДОК-8130</x:t>
        </x:is>
      </x:c>
      <x:c r="M96" s="31" t="inlineStr">
        <x:is>
          <x:t xml:space="preserve">Проведен</x:t>
        </x:is>
      </x:c>
    </x:row>
    <x:row r="97" ht="18" customHeight="1">
      <x:c r="A97" s="31" t="inlineStr">
        <x:is>
          <x:t xml:space="preserve">СКЛ-000096</x:t>
        </x:is>
      </x:c>
      <x:c r="B97" s="31" t="n">
        <x:v>46109</x:v>
      </x:c>
      <x:c r="C97" s="31" t="inlineStr">
        <x:is>
          <x:t xml:space="preserve">Резерв</x:t>
        </x:is>
      </x:c>
      <x:c r="D97" s="31" t="inlineStr">
        <x:is>
          <x:t xml:space="preserve">МАТ-0033</x:t>
        </x:is>
      </x:c>
      <x:c r="E97" s="31" t="inlineStr">
        <x:is>
          <x:t xml:space="preserve">Расходомер электромагнитный Ду50</x:t>
        </x:is>
      </x:c>
      <x:c r="F97" s="31" t="n">
        <x:v>-9</x:v>
      </x:c>
      <x:c r="G97" s="31" t="inlineStr">
        <x:is>
          <x:t xml:space="preserve">шт</x:t>
        </x:is>
      </x:c>
      <x:c r="H97" s="31" t="inlineStr">
        <x:is>
          <x:t xml:space="preserve">ЗК-1019</x:t>
        </x:is>
      </x:c>
      <x:c r="I97" s="31" t="n"/>
      <x:c r="J97" s="31" t="inlineStr">
        <x:is>
          <x:t xml:space="preserve">Основной склад</x:t>
        </x:is>
      </x:c>
      <x:c r="K97" s="31" t="inlineStr">
        <x:is>
          <x:t xml:space="preserve">СОТР-024</x:t>
        </x:is>
      </x:c>
      <x:c r="L97" s="31" t="inlineStr">
        <x:is>
          <x:t xml:space="preserve">ДОК-5452</x:t>
        </x:is>
      </x:c>
      <x:c r="M97" s="31" t="inlineStr">
        <x:is>
          <x:t xml:space="preserve">Проведен</x:t>
        </x:is>
      </x:c>
    </x:row>
    <x:row r="98" ht="18" customHeight="1">
      <x:c r="A98" s="31" t="inlineStr">
        <x:is>
          <x:t xml:space="preserve">СКЛ-000097</x:t>
        </x:is>
      </x:c>
      <x:c r="B98" s="31" t="n">
        <x:v>46092</x:v>
      </x:c>
      <x:c r="C98" s="31" t="inlineStr">
        <x:is>
          <x:t xml:space="preserve">Резерв</x:t>
        </x:is>
      </x:c>
      <x:c r="D98" s="31" t="inlineStr">
        <x:is>
          <x:t xml:space="preserve">МАТ-0057</x:t>
        </x:is>
      </x:c>
      <x:c r="E98" s="31" t="inlineStr">
        <x:is>
          <x:t xml:space="preserve">Задвижка Ду100 / исп.2</x:t>
        </x:is>
      </x:c>
      <x:c r="F98" s="31" t="n">
        <x:v>-5</x:v>
      </x:c>
      <x:c r="G98" s="31" t="inlineStr">
        <x:is>
          <x:t xml:space="preserve">шт</x:t>
        </x:is>
      </x:c>
      <x:c r="H98" s="31" t="inlineStr">
        <x:is>
          <x:t xml:space="preserve">ЗК-1011</x:t>
        </x:is>
      </x:c>
      <x:c r="I98" s="31" t="n"/>
      <x:c r="J98" s="31" t="inlineStr">
        <x:is>
          <x:t xml:space="preserve">Цеховой склад</x:t>
        </x:is>
      </x:c>
      <x:c r="K98" s="31" t="inlineStr">
        <x:is>
          <x:t xml:space="preserve">СОТР-033</x:t>
        </x:is>
      </x:c>
      <x:c r="L98" s="31" t="inlineStr">
        <x:is>
          <x:t xml:space="preserve">ДОК-1834</x:t>
        </x:is>
      </x:c>
      <x:c r="M98" s="31" t="inlineStr">
        <x:is>
          <x:t xml:space="preserve">Проведен</x:t>
        </x:is>
      </x:c>
    </x:row>
    <x:row r="99" ht="18" customHeight="1">
      <x:c r="A99" s="31" t="inlineStr">
        <x:is>
          <x:t xml:space="preserve">СКЛ-000098</x:t>
        </x:is>
      </x:c>
      <x:c r="B99" s="31" t="n">
        <x:v>46144</x:v>
      </x:c>
      <x:c r="C99" s="31" t="inlineStr">
        <x:is>
          <x:t xml:space="preserve">Корректировка</x:t>
        </x:is>
      </x:c>
      <x:c r="D99" s="31" t="inlineStr">
        <x:is>
          <x:t xml:space="preserve">МАТ-0040</x:t>
        </x:is>
      </x:c>
      <x:c r="E99" s="31" t="inlineStr">
        <x:is>
          <x:t xml:space="preserve">модуль аналогового входа 4 канала</x:t>
        </x:is>
      </x:c>
      <x:c r="F99" s="31" t="n">
        <x:v>2</x:v>
      </x:c>
      <x:c r="G99" s="31" t="inlineStr">
        <x:is>
          <x:t xml:space="preserve">шт</x:t>
        </x:is>
      </x:c>
      <x:c r="H99" s="31" t="n"/>
      <x:c r="I99" s="31" t="n"/>
      <x:c r="J99" s="31" t="inlineStr">
        <x:is>
          <x:t xml:space="preserve">Цеховой склад</x:t>
        </x:is>
      </x:c>
      <x:c r="K99" s="31" t="inlineStr">
        <x:is>
          <x:t xml:space="preserve">СОТР-039</x:t>
        </x:is>
      </x:c>
      <x:c r="L99" s="31" t="inlineStr">
        <x:is>
          <x:t xml:space="preserve">ДОК-3603</x:t>
        </x:is>
      </x:c>
      <x:c r="M99" s="31" t="inlineStr">
        <x:is>
          <x:t xml:space="preserve">Проведен</x:t>
        </x:is>
      </x:c>
    </x:row>
    <x:row r="100" ht="18" customHeight="1">
      <x:c r="A100" s="31" t="inlineStr">
        <x:is>
          <x:t xml:space="preserve">СКЛ-000099</x:t>
        </x:is>
      </x:c>
      <x:c r="B100" s="31" t="n">
        <x:v>46115</x:v>
      </x:c>
      <x:c r="C100" s="31" t="inlineStr">
        <x:is>
          <x:t xml:space="preserve">Выдача в производство</x:t>
        </x:is>
      </x:c>
      <x:c r="D100" s="31" t="inlineStr">
        <x:is>
          <x:t xml:space="preserve">МАТ-0068</x:t>
        </x:is>
      </x:c>
      <x:c r="E100" s="31" t="inlineStr">
        <x:is>
          <x:t xml:space="preserve">Грунт эпоксидный</x:t>
        </x:is>
      </x:c>
      <x:c r="F100" s="31" t="n">
        <x:v>-53.28</x:v>
      </x:c>
      <x:c r="G100" s="31" t="inlineStr">
        <x:is>
          <x:t xml:space="preserve">л</x:t>
        </x:is>
      </x:c>
      <x:c r="H100" s="31" t="inlineStr">
        <x:is>
          <x:t xml:space="preserve">ЗК-1040</x:t>
        </x:is>
      </x:c>
      <x:c r="I100" s="31" t="inlineStr">
        <x:is>
          <x:t xml:space="preserve">ПЗ-00258</x:t>
        </x:is>
      </x:c>
      <x:c r="J100" s="31" t="inlineStr">
        <x:is>
          <x:t xml:space="preserve">Цеховой склад</x:t>
        </x:is>
      </x:c>
      <x:c r="K100" s="31" t="inlineStr">
        <x:is>
          <x:t xml:space="preserve">СОТР-036</x:t>
        </x:is>
      </x:c>
      <x:c r="L100" s="31" t="inlineStr">
        <x:is>
          <x:t xml:space="preserve">ДОК-3520</x:t>
        </x:is>
      </x:c>
      <x:c r="M100" s="31" t="inlineStr">
        <x:is>
          <x:t xml:space="preserve">Проведен</x:t>
        </x:is>
      </x:c>
    </x:row>
    <x:row r="101" ht="18" customHeight="1">
      <x:c r="A101" s="31" t="inlineStr">
        <x:is>
          <x:t xml:space="preserve">СКЛ-000100</x:t>
        </x:is>
      </x:c>
      <x:c r="B101" s="31" t="n">
        <x:v>46184</x:v>
      </x:c>
      <x:c r="C101" s="31" t="inlineStr">
        <x:is>
          <x:t xml:space="preserve">Выдача в производство</x:t>
        </x:is>
      </x:c>
      <x:c r="D101" s="31" t="inlineStr">
        <x:is>
          <x:t xml:space="preserve">МАТ-0027</x:t>
        </x:is>
      </x:c>
      <x:c r="E101" s="31" t="inlineStr">
        <x:is>
          <x:t xml:space="preserve">Двигатель 22 кВт</x:t>
        </x:is>
      </x:c>
      <x:c r="F101" s="31" t="n">
        <x:v>-19</x:v>
      </x:c>
      <x:c r="G101" s="31" t="inlineStr">
        <x:is>
          <x:t xml:space="preserve">шт</x:t>
        </x:is>
      </x:c>
      <x:c r="H101" s="31" t="inlineStr">
        <x:is>
          <x:t xml:space="preserve">ЗК-1053</x:t>
        </x:is>
      </x:c>
      <x:c r="I101" s="31" t="inlineStr">
        <x:is>
          <x:t xml:space="preserve">ПЗ-00249</x:t>
        </x:is>
      </x:c>
      <x:c r="J101" s="31" t="inlineStr">
        <x:is>
          <x:t xml:space="preserve">Основной склад</x:t>
        </x:is>
      </x:c>
      <x:c r="K101" s="31" t="inlineStr">
        <x:is>
          <x:t xml:space="preserve">СОТР-037</x:t>
        </x:is>
      </x:c>
      <x:c r="L101" s="31" t="inlineStr">
        <x:is>
          <x:t xml:space="preserve">ДОК-2882</x:t>
        </x:is>
      </x:c>
      <x:c r="M101" s="31" t="inlineStr">
        <x:is>
          <x:t xml:space="preserve">Проведен</x:t>
        </x:is>
      </x:c>
    </x:row>
    <x:row r="102" ht="18" customHeight="1">
      <x:c r="A102" s="31" t="inlineStr">
        <x:is>
          <x:t xml:space="preserve">СКЛ-000101</x:t>
        </x:is>
      </x:c>
      <x:c r="B102" s="31" t="n">
        <x:v>46080</x:v>
      </x:c>
      <x:c r="C102" s="31" t="inlineStr">
        <x:is>
          <x:t xml:space="preserve">Списание</x:t>
        </x:is>
      </x:c>
      <x:c r="D102" s="31" t="inlineStr">
        <x:is>
          <x:t xml:space="preserve">МАТ-0083</x:t>
        </x:is>
      </x:c>
      <x:c r="E102" s="31" t="inlineStr">
        <x:is>
          <x:t xml:space="preserve">Анкер М16</x:t>
        </x:is>
      </x:c>
      <x:c r="F102" s="31" t="n">
        <x:v>-16</x:v>
      </x:c>
      <x:c r="G102" s="31" t="inlineStr">
        <x:is>
          <x:t xml:space="preserve">шт</x:t>
        </x:is>
      </x:c>
      <x:c r="H102" s="31" t="n"/>
      <x:c r="I102" s="31" t="n"/>
      <x:c r="J102" s="31" t="inlineStr">
        <x:is>
          <x:t xml:space="preserve">Цеховой склад</x:t>
        </x:is>
      </x:c>
      <x:c r="K102" s="31" t="inlineStr">
        <x:is>
          <x:t xml:space="preserve">СОТР-038</x:t>
        </x:is>
      </x:c>
      <x:c r="L102" s="31" t="inlineStr">
        <x:is>
          <x:t xml:space="preserve">ДОК-6270</x:t>
        </x:is>
      </x:c>
      <x:c r="M102" s="31" t="inlineStr">
        <x:is>
          <x:t xml:space="preserve">Требует проверки</x:t>
        </x:is>
      </x:c>
    </x:row>
    <x:row r="103" ht="18" customHeight="1">
      <x:c r="A103" s="31" t="inlineStr">
        <x:is>
          <x:t xml:space="preserve">СКЛ-000102</x:t>
        </x:is>
      </x:c>
      <x:c r="B103" s="31" t="n">
        <x:v>46174</x:v>
      </x:c>
      <x:c r="C103" s="31" t="inlineStr">
        <x:is>
          <x:t xml:space="preserve">Выдача в производство</x:t>
        </x:is>
      </x:c>
      <x:c r="D103" s="31" t="inlineStr">
        <x:is>
          <x:t xml:space="preserve">МАТ-0058</x:t>
        </x:is>
      </x:c>
      <x:c r="E103" s="31" t="inlineStr">
        <x:is>
          <x:t xml:space="preserve">Задвижка Ду100 / исп.3</x:t>
        </x:is>
      </x:c>
      <x:c r="F103" s="31" t="n">
        <x:v>-15</x:v>
      </x:c>
      <x:c r="G103" s="31" t="inlineStr">
        <x:is>
          <x:t xml:space="preserve">шт</x:t>
        </x:is>
      </x:c>
      <x:c r="H103" s="31" t="inlineStr">
        <x:is>
          <x:t xml:space="preserve">ЗК-1072</x:t>
        </x:is>
      </x:c>
      <x:c r="I103" s="31" t="inlineStr">
        <x:is>
          <x:t xml:space="preserve">ПЗ-00261</x:t>
        </x:is>
      </x:c>
      <x:c r="J103" s="31" t="inlineStr">
        <x:is>
          <x:t xml:space="preserve">Цеховой склад</x:t>
        </x:is>
      </x:c>
      <x:c r="K103" s="31" t="inlineStr">
        <x:is>
          <x:t xml:space="preserve">СОТР-035</x:t>
        </x:is>
      </x:c>
      <x:c r="L103" s="31" t="inlineStr">
        <x:is>
          <x:t xml:space="preserve">ДОК-8935</x:t>
        </x:is>
      </x:c>
      <x:c r="M103" s="31" t="inlineStr">
        <x:is>
          <x:t xml:space="preserve">Черновик</x:t>
        </x:is>
      </x:c>
    </x:row>
    <x:row r="104" ht="18" customHeight="1">
      <x:c r="A104" s="31" t="inlineStr">
        <x:is>
          <x:t xml:space="preserve">СКЛ-000103</x:t>
        </x:is>
      </x:c>
      <x:c r="B104" s="31" t="n">
        <x:v>46079</x:v>
      </x:c>
      <x:c r="C104" s="31" t="inlineStr">
        <x:is>
          <x:t xml:space="preserve">Возврат</x:t>
        </x:is>
      </x:c>
      <x:c r="D104" s="31" t="inlineStr">
        <x:is>
          <x:t xml:space="preserve">МАТ-0008</x:t>
        </x:is>
      </x:c>
      <x:c r="E104" s="31" t="inlineStr">
        <x:is>
          <x:t xml:space="preserve">Швеллер 12П</x:t>
        </x:is>
      </x:c>
      <x:c r="F104" s="31" t="n">
        <x:v>11</x:v>
      </x:c>
      <x:c r="G104" s="31" t="inlineStr">
        <x:is>
          <x:t xml:space="preserve">шт</x:t>
        </x:is>
      </x:c>
      <x:c r="H104" s="31" t="n"/>
      <x:c r="I104" s="31" t="n"/>
      <x:c r="J104" s="31" t="inlineStr">
        <x:is>
          <x:t xml:space="preserve">Брак/карантин</x:t>
        </x:is>
      </x:c>
      <x:c r="K104" s="31" t="inlineStr">
        <x:is>
          <x:t xml:space="preserve">СОТР-034</x:t>
        </x:is>
      </x:c>
      <x:c r="L104" s="31" t="inlineStr">
        <x:is>
          <x:t xml:space="preserve">ДОК-6809</x:t>
        </x:is>
      </x:c>
      <x:c r="M104" s="31" t="inlineStr">
        <x:is>
          <x:t xml:space="preserve">Проведен</x:t>
        </x:is>
      </x:c>
    </x:row>
    <x:row r="105" ht="18" customHeight="1">
      <x:c r="A105" s="31" t="inlineStr">
        <x:is>
          <x:t xml:space="preserve">СКЛ-000104</x:t>
        </x:is>
      </x:c>
      <x:c r="B105" s="31" t="n">
        <x:v>46157</x:v>
      </x:c>
      <x:c r="C105" s="31" t="inlineStr">
        <x:is>
          <x:t xml:space="preserve">Приход</x:t>
        </x:is>
      </x:c>
      <x:c r="D105" s="31" t="inlineStr">
        <x:is>
          <x:t xml:space="preserve">МАТ-0076</x:t>
        </x:is>
      </x:c>
      <x:c r="E105" s="31" t="inlineStr">
        <x:is>
          <x:t xml:space="preserve">Болт М12 / исп.2</x:t>
        </x:is>
      </x:c>
      <x:c r="F105" s="31" t="n">
        <x:v>14</x:v>
      </x:c>
      <x:c r="G105" s="31" t="inlineStr">
        <x:is>
          <x:t xml:space="preserve">шт</x:t>
        </x:is>
      </x:c>
      <x:c r="H105" s="31" t="n"/>
      <x:c r="I105" s="31" t="n"/>
      <x:c r="J105" s="31" t="inlineStr">
        <x:is>
          <x:t xml:space="preserve">Основной склад</x:t>
        </x:is>
      </x:c>
      <x:c r="K105" s="31" t="inlineStr">
        <x:is>
          <x:t xml:space="preserve">СОТР-037</x:t>
        </x:is>
      </x:c>
      <x:c r="L105" s="31" t="inlineStr">
        <x:is>
          <x:t xml:space="preserve">ДОК-4195</x:t>
        </x:is>
      </x:c>
      <x:c r="M105" s="31" t="inlineStr">
        <x:is>
          <x:t xml:space="preserve">Проведен</x:t>
        </x:is>
      </x:c>
    </x:row>
    <x:row r="106" ht="18" customHeight="1">
      <x:c r="A106" s="31" t="inlineStr">
        <x:is>
          <x:t xml:space="preserve">СКЛ-000105</x:t>
        </x:is>
      </x:c>
      <x:c r="B106" s="31" t="n">
        <x:v>46088</x:v>
      </x:c>
      <x:c r="C106" s="31" t="inlineStr">
        <x:is>
          <x:t xml:space="preserve">Выдача в производство</x:t>
        </x:is>
      </x:c>
      <x:c r="D106" s="31" t="inlineStr">
        <x:is>
          <x:t xml:space="preserve">МАТ-0001</x:t>
        </x:is>
      </x:c>
      <x:c r="E106" s="31" t="inlineStr">
        <x:is>
          <x:t xml:space="preserve">Лист стальной 09Г2С 8 мм</x:t>
        </x:is>
      </x:c>
      <x:c r="F106" s="31" t="n">
        <x:v>-23.87</x:v>
      </x:c>
      <x:c r="G106" s="31" t="inlineStr">
        <x:is>
          <x:t xml:space="preserve">м</x:t>
        </x:is>
      </x:c>
      <x:c r="H106" s="31" t="inlineStr">
        <x:is>
          <x:t xml:space="preserve">ЗК-1020</x:t>
        </x:is>
      </x:c>
      <x:c r="I106" s="31" t="inlineStr">
        <x:is>
          <x:t xml:space="preserve">ПЗ-00244</x:t>
        </x:is>
      </x:c>
      <x:c r="J106" s="31" t="inlineStr">
        <x:is>
          <x:t xml:space="preserve">Цеховой склад</x:t>
        </x:is>
      </x:c>
      <x:c r="K106" s="31" t="inlineStr">
        <x:is>
          <x:t xml:space="preserve">СОТР-036</x:t>
        </x:is>
      </x:c>
      <x:c r="L106" s="31" t="inlineStr">
        <x:is>
          <x:t xml:space="preserve">ДОК-2003</x:t>
        </x:is>
      </x:c>
      <x:c r="M106" s="31" t="inlineStr">
        <x:is>
          <x:t xml:space="preserve">Требует проверки</x:t>
        </x:is>
      </x:c>
    </x:row>
    <x:row r="107" ht="18" customHeight="1">
      <x:c r="A107" s="31" t="inlineStr">
        <x:is>
          <x:t xml:space="preserve">СКЛ-000106</x:t>
        </x:is>
      </x:c>
      <x:c r="B107" s="31" t="n">
        <x:v>46106</x:v>
      </x:c>
      <x:c r="C107" s="31" t="inlineStr">
        <x:is>
          <x:t xml:space="preserve">Резерв</x:t>
        </x:is>
      </x:c>
      <x:c r="D107" s="31" t="inlineStr">
        <x:is>
          <x:t xml:space="preserve">МАТ-0021</x:t>
        </x:is>
      </x:c>
      <x:c r="E107" s="31" t="inlineStr">
        <x:is>
          <x:t xml:space="preserve">Торцевое уплотнение</x:t>
        </x:is>
      </x:c>
      <x:c r="F107" s="31" t="n">
        <x:v>-2</x:v>
      </x:c>
      <x:c r="G107" s="31" t="inlineStr">
        <x:is>
          <x:t xml:space="preserve">шт</x:t>
        </x:is>
      </x:c>
      <x:c r="H107" s="31" t="inlineStr">
        <x:is>
          <x:t xml:space="preserve">ЗК-1013</x:t>
        </x:is>
      </x:c>
      <x:c r="I107" s="31" t="n"/>
      <x:c r="J107" s="31" t="inlineStr">
        <x:is>
          <x:t xml:space="preserve">Основной склад</x:t>
        </x:is>
      </x:c>
      <x:c r="K107" s="31" t="inlineStr">
        <x:is>
          <x:t xml:space="preserve">СОТР-033</x:t>
        </x:is>
      </x:c>
      <x:c r="L107" s="31" t="inlineStr">
        <x:is>
          <x:t xml:space="preserve">ДОК-7701</x:t>
        </x:is>
      </x:c>
      <x:c r="M107" s="31" t="inlineStr">
        <x:is>
          <x:t xml:space="preserve">Проведен</x:t>
        </x:is>
      </x:c>
    </x:row>
    <x:row r="108" ht="18" customHeight="1">
      <x:c r="A108" s="31" t="inlineStr">
        <x:is>
          <x:t xml:space="preserve">СКЛ-000107</x:t>
        </x:is>
      </x:c>
      <x:c r="B108" s="31" t="n">
        <x:v>46031</x:v>
      </x:c>
      <x:c r="C108" s="31" t="inlineStr">
        <x:is>
          <x:t xml:space="preserve">Резерв</x:t>
        </x:is>
      </x:c>
      <x:c r="D108" s="31" t="inlineStr">
        <x:is>
          <x:t xml:space="preserve">МАТ-0064</x:t>
        </x:is>
      </x:c>
      <x:c r="E108" s="31" t="inlineStr">
        <x:is>
          <x:t xml:space="preserve">Кабель ВВГнг 3×2.5 / исп.2</x:t>
        </x:is>
      </x:c>
      <x:c r="F108" s="31" t="n">
        <x:v>-16</x:v>
      </x:c>
      <x:c r="G108" s="31" t="inlineStr">
        <x:is>
          <x:t xml:space="preserve">шт</x:t>
        </x:is>
      </x:c>
      <x:c r="H108" s="31" t="inlineStr">
        <x:is>
          <x:t xml:space="preserve">ЗК-1033</x:t>
        </x:is>
      </x:c>
      <x:c r="I108" s="31" t="n"/>
      <x:c r="J108" s="31" t="inlineStr">
        <x:is>
          <x:t xml:space="preserve">Основной склад</x:t>
        </x:is>
      </x:c>
      <x:c r="K108" s="31" t="inlineStr">
        <x:is>
          <x:t xml:space="preserve">СОТР-034</x:t>
        </x:is>
      </x:c>
      <x:c r="L108" s="31" t="inlineStr">
        <x:is>
          <x:t xml:space="preserve">ДОК-8338</x:t>
        </x:is>
      </x:c>
      <x:c r="M108" s="31" t="inlineStr">
        <x:is>
          <x:t xml:space="preserve">Проведен</x:t>
        </x:is>
      </x:c>
    </x:row>
    <x:row r="109" ht="18" customHeight="1">
      <x:c r="A109" s="31" t="inlineStr">
        <x:is>
          <x:t xml:space="preserve">СКЛ-000108</x:t>
        </x:is>
      </x:c>
      <x:c r="B109" s="31" t="n">
        <x:v>46085</x:v>
      </x:c>
      <x:c r="C109" s="31" t="inlineStr">
        <x:is>
          <x:t xml:space="preserve">Резерв</x:t>
        </x:is>
      </x:c>
      <x:c r="D109" s="31" t="inlineStr">
        <x:is>
          <x:t xml:space="preserve">МАТ-0089</x:t>
        </x:is>
      </x:c>
      <x:c r="E109" s="31" t="inlineStr">
        <x:is>
          <x:t xml:space="preserve">Маркировочная этикетка</x:t>
        </x:is>
      </x:c>
      <x:c r="F109" s="31" t="n">
        <x:v>-14</x:v>
      </x:c>
      <x:c r="G109" s="31" t="inlineStr">
        <x:is>
          <x:t xml:space="preserve">шт</x:t>
        </x:is>
      </x:c>
      <x:c r="H109" s="31" t="inlineStr">
        <x:is>
          <x:t xml:space="preserve">ЗК-1092</x:t>
        </x:is>
      </x:c>
      <x:c r="I109" s="31" t="n"/>
      <x:c r="J109" s="31" t="inlineStr">
        <x:is>
          <x:t xml:space="preserve">Цеховой склад</x:t>
        </x:is>
      </x:c>
      <x:c r="K109" s="31" t="inlineStr">
        <x:is>
          <x:t xml:space="preserve">СОТР-037</x:t>
        </x:is>
      </x:c>
      <x:c r="L109" s="31" t="inlineStr">
        <x:is>
          <x:t xml:space="preserve">ДОК-1151</x:t>
        </x:is>
      </x:c>
      <x:c r="M109" s="31" t="inlineStr">
        <x:is>
          <x:t xml:space="preserve">Проведен</x:t>
        </x:is>
      </x:c>
    </x:row>
    <x:row r="110" ht="18" customHeight="1">
      <x:c r="A110" s="31" t="inlineStr">
        <x:is>
          <x:t xml:space="preserve">СКЛ-000109</x:t>
        </x:is>
      </x:c>
      <x:c r="B110" s="31" t="n">
        <x:v>46071</x:v>
      </x:c>
      <x:c r="C110" s="31" t="inlineStr">
        <x:is>
          <x:t xml:space="preserve">Приход</x:t>
        </x:is>
      </x:c>
      <x:c r="D110" s="31" t="inlineStr">
        <x:is>
          <x:t xml:space="preserve">МАТ-0038</x:t>
        </x:is>
      </x:c>
      <x:c r="E110" s="31" t="inlineStr">
        <x:is>
          <x:t xml:space="preserve">ПЛК 24 дискр. входа / 16 дискр. выхода</x:t>
        </x:is>
      </x:c>
      <x:c r="F110" s="31" t="n">
        <x:v>15</x:v>
      </x:c>
      <x:c r="G110" s="31" t="inlineStr">
        <x:is>
          <x:t xml:space="preserve">шт</x:t>
        </x:is>
      </x:c>
      <x:c r="H110" s="31" t="n"/>
      <x:c r="I110" s="31" t="n"/>
      <x:c r="J110" s="31" t="inlineStr">
        <x:is>
          <x:t xml:space="preserve">Основной склад</x:t>
        </x:is>
      </x:c>
      <x:c r="K110" s="31" t="inlineStr">
        <x:is>
          <x:t xml:space="preserve">СОТР-024</x:t>
        </x:is>
      </x:c>
      <x:c r="L110" s="31" t="inlineStr">
        <x:is>
          <x:t xml:space="preserve">ДОК-5818</x:t>
        </x:is>
      </x:c>
      <x:c r="M110" s="31" t="inlineStr">
        <x:is>
          <x:t xml:space="preserve">Проведен</x:t>
        </x:is>
      </x:c>
    </x:row>
    <x:row r="111" ht="18" customHeight="1">
      <x:c r="A111" s="31" t="inlineStr">
        <x:is>
          <x:t xml:space="preserve">СКЛ-000110</x:t>
        </x:is>
      </x:c>
      <x:c r="B111" s="31" t="n">
        <x:v>46065</x:v>
      </x:c>
      <x:c r="C111" s="31" t="inlineStr">
        <x:is>
          <x:t xml:space="preserve">Выдача в производство</x:t>
        </x:is>
      </x:c>
      <x:c r="D111" s="31" t="inlineStr">
        <x:is>
          <x:t xml:space="preserve">МАТ-0071</x:t>
        </x:is>
      </x:c>
      <x:c r="E111" s="31" t="inlineStr">
        <x:is>
          <x:t xml:space="preserve">Эмаль полиуретановая / исп.3</x:t>
        </x:is>
      </x:c>
      <x:c r="F111" s="31" t="n">
        <x:v>-37.49</x:v>
      </x:c>
      <x:c r="G111" s="31" t="inlineStr">
        <x:is>
          <x:t xml:space="preserve">кг</x:t>
        </x:is>
      </x:c>
      <x:c r="H111" s="31" t="inlineStr">
        <x:is>
          <x:t xml:space="preserve">ЗК-1099</x:t>
        </x:is>
      </x:c>
      <x:c r="I111" s="31" t="inlineStr">
        <x:is>
          <x:t xml:space="preserve">ПЗ-00209</x:t>
        </x:is>
      </x:c>
      <x:c r="J111" s="31" t="inlineStr">
        <x:is>
          <x:t xml:space="preserve">Брак/карантин</x:t>
        </x:is>
      </x:c>
      <x:c r="K111" s="31" t="inlineStr">
        <x:is>
          <x:t xml:space="preserve">СОТР-034</x:t>
        </x:is>
      </x:c>
      <x:c r="L111" s="31" t="inlineStr">
        <x:is>
          <x:t xml:space="preserve">ДОК-8182</x:t>
        </x:is>
      </x:c>
      <x:c r="M111" s="31" t="inlineStr">
        <x:is>
          <x:t xml:space="preserve">Проведен</x:t>
        </x:is>
      </x:c>
    </x:row>
    <x:row r="112" ht="18" customHeight="1">
      <x:c r="A112" s="31" t="inlineStr">
        <x:is>
          <x:t xml:space="preserve">СКЛ-000111</x:t>
        </x:is>
      </x:c>
      <x:c r="B112" s="31" t="n">
        <x:v>46194</x:v>
      </x:c>
      <x:c r="C112" s="31" t="inlineStr">
        <x:is>
          <x:t xml:space="preserve">Резерв</x:t>
        </x:is>
      </x:c>
      <x:c r="D112" s="31" t="inlineStr">
        <x:is>
          <x:t xml:space="preserve">МАТ-0045</x:t>
        </x:is>
      </x:c>
      <x:c r="E112" s="31" t="inlineStr">
        <x:is>
          <x:t xml:space="preserve">Автоматический выключатель 16А</x:t>
        </x:is>
      </x:c>
      <x:c r="F112" s="31" t="n">
        <x:v>-13</x:v>
      </x:c>
      <x:c r="G112" s="31" t="inlineStr">
        <x:is>
          <x:t xml:space="preserve">шт</x:t>
        </x:is>
      </x:c>
      <x:c r="H112" s="31" t="inlineStr">
        <x:is>
          <x:t xml:space="preserve">ЗК-1015</x:t>
        </x:is>
      </x:c>
      <x:c r="I112" s="31" t="n"/>
      <x:c r="J112" s="31" t="inlineStr">
        <x:is>
          <x:t xml:space="preserve">Брак/карантин</x:t>
        </x:is>
      </x:c>
      <x:c r="K112" s="31" t="inlineStr">
        <x:is>
          <x:t xml:space="preserve">СОТР-035</x:t>
        </x:is>
      </x:c>
      <x:c r="L112" s="31" t="inlineStr">
        <x:is>
          <x:t xml:space="preserve">ДОК-2093</x:t>
        </x:is>
      </x:c>
      <x:c r="M112" s="31" t="inlineStr">
        <x:is>
          <x:t xml:space="preserve">Проведен</x:t>
        </x:is>
      </x:c>
    </x:row>
    <x:row r="113" ht="18" customHeight="1">
      <x:c r="A113" s="31" t="inlineStr">
        <x:is>
          <x:t xml:space="preserve">СКЛ-000112</x:t>
        </x:is>
      </x:c>
      <x:c r="B113" s="31" t="n">
        <x:v>46154</x:v>
      </x:c>
      <x:c r="C113" s="31" t="inlineStr">
        <x:is>
          <x:t xml:space="preserve">Корректировка</x:t>
        </x:is>
      </x:c>
      <x:c r="D113" s="31" t="inlineStr">
        <x:is>
          <x:t xml:space="preserve">МАТ-0040</x:t>
        </x:is>
      </x:c>
      <x:c r="E113" s="31" t="inlineStr">
        <x:is>
          <x:t xml:space="preserve">модуль аналогового входа 4 канала</x:t>
        </x:is>
      </x:c>
      <x:c r="F113" s="31" t="n">
        <x:v>9</x:v>
      </x:c>
      <x:c r="G113" s="31" t="inlineStr">
        <x:is>
          <x:t xml:space="preserve">шт</x:t>
        </x:is>
      </x:c>
      <x:c r="H113" s="31" t="n"/>
      <x:c r="I113" s="31" t="n"/>
      <x:c r="J113" s="31" t="inlineStr">
        <x:is>
          <x:t xml:space="preserve">Основной склад</x:t>
        </x:is>
      </x:c>
      <x:c r="K113" s="31" t="inlineStr">
        <x:is>
          <x:t xml:space="preserve">СОТР-038</x:t>
        </x:is>
      </x:c>
      <x:c r="L113" s="31" t="inlineStr">
        <x:is>
          <x:t xml:space="preserve">ДОК-1887</x:t>
        </x:is>
      </x:c>
      <x:c r="M113" s="31" t="inlineStr">
        <x:is>
          <x:t xml:space="preserve">Проведен</x:t>
        </x:is>
      </x:c>
    </x:row>
    <x:row r="114" ht="18" customHeight="1">
      <x:c r="A114" s="31" t="inlineStr">
        <x:is>
          <x:t xml:space="preserve">СКЛ-000113</x:t>
        </x:is>
      </x:c>
      <x:c r="B114" s="31" t="n">
        <x:v>46071</x:v>
      </x:c>
      <x:c r="C114" s="31" t="inlineStr">
        <x:is>
          <x:t xml:space="preserve">Возврат</x:t>
        </x:is>
      </x:c>
      <x:c r="D114" s="31" t="inlineStr">
        <x:is>
          <x:t xml:space="preserve">МАТ-0050</x:t>
        </x:is>
      </x:c>
      <x:c r="E114" s="31" t="inlineStr">
        <x:is>
          <x:t xml:space="preserve">панель оператора 7"</x:t>
        </x:is>
      </x:c>
      <x:c r="F114" s="31" t="n">
        <x:v>17</x:v>
      </x:c>
      <x:c r="G114" s="31" t="inlineStr">
        <x:is>
          <x:t xml:space="preserve">шт</x:t>
        </x:is>
      </x:c>
      <x:c r="H114" s="31" t="n"/>
      <x:c r="I114" s="31" t="n"/>
      <x:c r="J114" s="31" t="inlineStr">
        <x:is>
          <x:t xml:space="preserve">Брак/карантин</x:t>
        </x:is>
      </x:c>
      <x:c r="K114" s="31" t="inlineStr">
        <x:is>
          <x:t xml:space="preserve">СОТР-024</x:t>
        </x:is>
      </x:c>
      <x:c r="L114" s="31" t="inlineStr">
        <x:is>
          <x:t xml:space="preserve">ДОК-4345</x:t>
        </x:is>
      </x:c>
      <x:c r="M114" s="31" t="inlineStr">
        <x:is>
          <x:t xml:space="preserve">Проведен</x:t>
        </x:is>
      </x:c>
    </x:row>
    <x:row r="115" ht="18" customHeight="1">
      <x:c r="A115" s="31" t="inlineStr">
        <x:is>
          <x:t xml:space="preserve">СКЛ-000114</x:t>
        </x:is>
      </x:c>
      <x:c r="B115" s="31" t="n">
        <x:v>46120</x:v>
      </x:c>
      <x:c r="C115" s="31" t="inlineStr">
        <x:is>
          <x:t xml:space="preserve">Резерв</x:t>
        </x:is>
      </x:c>
      <x:c r="D115" s="31" t="inlineStr">
        <x:is>
          <x:t xml:space="preserve">МАТ-0003</x:t>
        </x:is>
      </x:c>
      <x:c r="E115" s="31" t="inlineStr">
        <x:is>
          <x:t xml:space="preserve">Лист стальной 09Г2С 12 мм / исп.2</x:t>
        </x:is>
      </x:c>
      <x:c r="F115" s="31" t="n">
        <x:v>-26.3</x:v>
      </x:c>
      <x:c r="G115" s="31" t="inlineStr">
        <x:is>
          <x:t xml:space="preserve">м</x:t>
        </x:is>
      </x:c>
      <x:c r="H115" s="31" t="inlineStr">
        <x:is>
          <x:t xml:space="preserve">ЗК-1020</x:t>
        </x:is>
      </x:c>
      <x:c r="I115" s="31" t="n"/>
      <x:c r="J115" s="31" t="inlineStr">
        <x:is>
          <x:t xml:space="preserve">Основной склад</x:t>
        </x:is>
      </x:c>
      <x:c r="K115" s="31" t="inlineStr">
        <x:is>
          <x:t xml:space="preserve">СОТР-034</x:t>
        </x:is>
      </x:c>
      <x:c r="L115" s="31" t="inlineStr">
        <x:is>
          <x:t xml:space="preserve">ДОК-7436</x:t>
        </x:is>
      </x:c>
      <x:c r="M115" s="31" t="inlineStr">
        <x:is>
          <x:t xml:space="preserve">Черновик</x:t>
        </x:is>
      </x:c>
    </x:row>
    <x:row r="116" ht="18" customHeight="1">
      <x:c r="A116" s="31" t="inlineStr">
        <x:is>
          <x:t xml:space="preserve">СКЛ-000115</x:t>
        </x:is>
      </x:c>
      <x:c r="B116" s="31" t="n">
        <x:v>46088</x:v>
      </x:c>
      <x:c r="C116" s="31" t="inlineStr">
        <x:is>
          <x:t xml:space="preserve">Резерв</x:t>
        </x:is>
      </x:c>
      <x:c r="D116" s="31" t="inlineStr">
        <x:is>
          <x:t xml:space="preserve">МАТ-0031</x:t>
        </x:is>
      </x:c>
      <x:c r="E116" s="31" t="inlineStr">
        <x:is>
          <x:t xml:space="preserve">Датчик давления 0-16 бар</x:t>
        </x:is>
      </x:c>
      <x:c r="F116" s="31" t="n">
        <x:v>-16</x:v>
      </x:c>
      <x:c r="G116" s="31" t="inlineStr">
        <x:is>
          <x:t xml:space="preserve">шт</x:t>
        </x:is>
      </x:c>
      <x:c r="H116" s="31" t="inlineStr">
        <x:is>
          <x:t xml:space="preserve">ЗК-1124</x:t>
        </x:is>
      </x:c>
      <x:c r="I116" s="31" t="n"/>
      <x:c r="J116" s="31" t="inlineStr">
        <x:is>
          <x:t xml:space="preserve">Основной склад</x:t>
        </x:is>
      </x:c>
      <x:c r="K116" s="31" t="inlineStr">
        <x:is>
          <x:t xml:space="preserve">СОТР-034</x:t>
        </x:is>
      </x:c>
      <x:c r="L116" s="31" t="inlineStr">
        <x:is>
          <x:t xml:space="preserve">ДОК-3535</x:t>
        </x:is>
      </x:c>
      <x:c r="M116" s="31" t="inlineStr">
        <x:is>
          <x:t xml:space="preserve">Проведен</x:t>
        </x:is>
      </x:c>
    </x:row>
    <x:row r="117" ht="18" customHeight="1">
      <x:c r="A117" s="31" t="inlineStr">
        <x:is>
          <x:t xml:space="preserve">СКЛ-000116</x:t>
        </x:is>
      </x:c>
      <x:c r="B117" s="31" t="n">
        <x:v>46129</x:v>
      </x:c>
      <x:c r="C117" s="31" t="inlineStr">
        <x:is>
          <x:t xml:space="preserve">Приход</x:t>
        </x:is>
      </x:c>
      <x:c r="D117" s="31" t="inlineStr">
        <x:is>
          <x:t xml:space="preserve">МАТ-0087</x:t>
        </x:is>
      </x:c>
      <x:c r="E117" s="31" t="inlineStr">
        <x:is>
          <x:t xml:space="preserve">Ящик фанерный</x:t>
        </x:is>
      </x:c>
      <x:c r="F117" s="31" t="n">
        <x:v>14</x:v>
      </x:c>
      <x:c r="G117" s="31" t="inlineStr">
        <x:is>
          <x:t xml:space="preserve">шт</x:t>
        </x:is>
      </x:c>
      <x:c r="H117" s="31" t="n"/>
      <x:c r="I117" s="31" t="n"/>
      <x:c r="J117" s="31" t="inlineStr">
        <x:is>
          <x:t xml:space="preserve">Основной склад</x:t>
        </x:is>
      </x:c>
      <x:c r="K117" s="31" t="inlineStr">
        <x:is>
          <x:t xml:space="preserve">СОТР-038</x:t>
        </x:is>
      </x:c>
      <x:c r="L117" s="31" t="inlineStr">
        <x:is>
          <x:t xml:space="preserve">ДОК-6291</x:t>
        </x:is>
      </x:c>
      <x:c r="M117" s="31" t="inlineStr">
        <x:is>
          <x:t xml:space="preserve">Проведен</x:t>
        </x:is>
      </x:c>
    </x:row>
    <x:row r="118" ht="18" customHeight="1">
      <x:c r="A118" s="31" t="inlineStr">
        <x:is>
          <x:t xml:space="preserve">СКЛ-000117</x:t>
        </x:is>
      </x:c>
      <x:c r="B118" s="31" t="n">
        <x:v>46071</x:v>
      </x:c>
      <x:c r="C118" s="31" t="inlineStr">
        <x:is>
          <x:t xml:space="preserve">Резерв</x:t>
        </x:is>
      </x:c>
      <x:c r="D118" s="31" t="inlineStr">
        <x:is>
          <x:t xml:space="preserve">МАТ-0001</x:t>
        </x:is>
      </x:c>
      <x:c r="E118" s="31" t="inlineStr">
        <x:is>
          <x:t xml:space="preserve">Лист стальной 09Г2С 8 мм</x:t>
        </x:is>
      </x:c>
      <x:c r="F118" s="31" t="n">
        <x:v>-15.12</x:v>
      </x:c>
      <x:c r="G118" s="31" t="inlineStr">
        <x:is>
          <x:t xml:space="preserve">м</x:t>
        </x:is>
      </x:c>
      <x:c r="H118" s="31" t="inlineStr">
        <x:is>
          <x:t xml:space="preserve">ЗК-1126</x:t>
        </x:is>
      </x:c>
      <x:c r="I118" s="31" t="n"/>
      <x:c r="J118" s="31" t="inlineStr">
        <x:is>
          <x:t xml:space="preserve">Основной склад</x:t>
        </x:is>
      </x:c>
      <x:c r="K118" s="31" t="inlineStr">
        <x:is>
          <x:t xml:space="preserve">СОТР-033</x:t>
        </x:is>
      </x:c>
      <x:c r="L118" s="31" t="inlineStr">
        <x:is>
          <x:t xml:space="preserve">ДОК-7748</x:t>
        </x:is>
      </x:c>
      <x:c r="M118" s="31" t="inlineStr">
        <x:is>
          <x:t xml:space="preserve">Требует проверки</x:t>
        </x:is>
      </x:c>
    </x:row>
    <x:row r="119" ht="18" customHeight="1">
      <x:c r="A119" s="31" t="inlineStr">
        <x:is>
          <x:t xml:space="preserve">СКЛ-000118</x:t>
        </x:is>
      </x:c>
      <x:c r="B119" s="31" t="n">
        <x:v>46073</x:v>
      </x:c>
      <x:c r="C119" s="31" t="inlineStr">
        <x:is>
          <x:t xml:space="preserve">Приход</x:t>
        </x:is>
      </x:c>
      <x:c r="D119" s="31" t="inlineStr">
        <x:is>
          <x:t xml:space="preserve">МАТ-0036</x:t>
        </x:is>
      </x:c>
      <x:c r="E119" s="31" t="inlineStr">
        <x:is>
          <x:t xml:space="preserve">Клапан электромагнитный 24В / исп.2</x:t>
        </x:is>
      </x:c>
      <x:c r="F119" s="31" t="n">
        <x:v>8</x:v>
      </x:c>
      <x:c r="G119" s="31" t="inlineStr">
        <x:is>
          <x:t xml:space="preserve">шт</x:t>
        </x:is>
      </x:c>
      <x:c r="H119" s="31" t="n"/>
      <x:c r="I119" s="31" t="n"/>
      <x:c r="J119" s="31" t="inlineStr">
        <x:is>
          <x:t xml:space="preserve">Брак/карантин</x:t>
        </x:is>
      </x:c>
      <x:c r="K119" s="31" t="inlineStr">
        <x:is>
          <x:t xml:space="preserve">СОТР-038</x:t>
        </x:is>
      </x:c>
      <x:c r="L119" s="31" t="inlineStr">
        <x:is>
          <x:t xml:space="preserve">ДОК-2200</x:t>
        </x:is>
      </x:c>
      <x:c r="M119" s="31" t="inlineStr">
        <x:is>
          <x:t xml:space="preserve">Проведен</x:t>
        </x:is>
      </x:c>
    </x:row>
    <x:row r="120" ht="18" customHeight="1">
      <x:c r="A120" s="31" t="inlineStr">
        <x:is>
          <x:t xml:space="preserve">СКЛ-000119</x:t>
        </x:is>
      </x:c>
      <x:c r="B120" s="31" t="n">
        <x:v>46048</x:v>
      </x:c>
      <x:c r="C120" s="31" t="inlineStr">
        <x:is>
          <x:t xml:space="preserve">Приход</x:t>
        </x:is>
      </x:c>
      <x:c r="D120" s="31" t="inlineStr">
        <x:is>
          <x:t xml:space="preserve">МАТ-0086</x:t>
        </x:is>
      </x:c>
      <x:c r="E120" s="31" t="inlineStr">
        <x:is>
          <x:t xml:space="preserve">Пленка стрейч / исп.2</x:t>
        </x:is>
      </x:c>
      <x:c r="F120" s="31" t="n">
        <x:v>18</x:v>
      </x:c>
      <x:c r="G120" s="31" t="inlineStr">
        <x:is>
          <x:t xml:space="preserve">шт</x:t>
        </x:is>
      </x:c>
      <x:c r="H120" s="31" t="n"/>
      <x:c r="I120" s="31" t="n"/>
      <x:c r="J120" s="31" t="inlineStr">
        <x:is>
          <x:t xml:space="preserve">Основной склад</x:t>
        </x:is>
      </x:c>
      <x:c r="K120" s="31" t="inlineStr">
        <x:is>
          <x:t xml:space="preserve">СОТР-024</x:t>
        </x:is>
      </x:c>
      <x:c r="L120" s="31" t="inlineStr">
        <x:is>
          <x:t xml:space="preserve">ДОК-6454</x:t>
        </x:is>
      </x:c>
      <x:c r="M120" s="31" t="inlineStr">
        <x:is>
          <x:t xml:space="preserve">Проведен</x:t>
        </x:is>
      </x:c>
    </x:row>
    <x:row r="121" ht="18" customHeight="1">
      <x:c r="A121" s="31" t="inlineStr">
        <x:is>
          <x:t xml:space="preserve">СКЛ-000120</x:t>
        </x:is>
      </x:c>
      <x:c r="B121" s="31" t="n">
        <x:v>46144</x:v>
      </x:c>
      <x:c r="C121" s="31" t="inlineStr">
        <x:is>
          <x:t xml:space="preserve">Приход</x:t>
        </x:is>
      </x:c>
      <x:c r="D121" s="31" t="inlineStr">
        <x:is>
          <x:t xml:space="preserve">МАТ-0024</x:t>
        </x:is>
      </x:c>
      <x:c r="E121" s="31" t="inlineStr">
        <x:is>
          <x:t xml:space="preserve">Рабочее колесо / исп.2</x:t>
        </x:is>
      </x:c>
      <x:c r="F121" s="31" t="n">
        <x:v>13</x:v>
      </x:c>
      <x:c r="G121" s="31" t="inlineStr">
        <x:is>
          <x:t xml:space="preserve">шт</x:t>
        </x:is>
      </x:c>
      <x:c r="H121" s="31" t="n"/>
      <x:c r="I121" s="31" t="n"/>
      <x:c r="J121" s="31" t="inlineStr">
        <x:is>
          <x:t xml:space="preserve">Цеховой склад</x:t>
        </x:is>
      </x:c>
      <x:c r="K121" s="31" t="inlineStr">
        <x:is>
          <x:t xml:space="preserve">СОТР-038</x:t>
        </x:is>
      </x:c>
      <x:c r="L121" s="31" t="inlineStr">
        <x:is>
          <x:t xml:space="preserve">ДОК-5859</x:t>
        </x:is>
      </x:c>
      <x:c r="M121" s="31" t="inlineStr">
        <x:is>
          <x:t xml:space="preserve">Проведен</x:t>
        </x:is>
      </x:c>
    </x:row>
    <x:row r="122" ht="18" customHeight="1">
      <x:c r="A122" s="31" t="inlineStr">
        <x:is>
          <x:t xml:space="preserve">СКЛ-000121</x:t>
        </x:is>
      </x:c>
      <x:c r="B122" s="31" t="n">
        <x:v>46111</x:v>
      </x:c>
      <x:c r="C122" s="31" t="inlineStr">
        <x:is>
          <x:t xml:space="preserve">Приход</x:t>
        </x:is>
      </x:c>
      <x:c r="D122" s="31" t="inlineStr">
        <x:is>
          <x:t xml:space="preserve">МАТ-0048</x:t>
        </x:is>
      </x:c>
      <x:c r="E122" s="31" t="inlineStr">
        <x:is>
          <x:t xml:space="preserve">Контактор 25А / исп.3</x:t>
        </x:is>
      </x:c>
      <x:c r="F122" s="31" t="n">
        <x:v>4</x:v>
      </x:c>
      <x:c r="G122" s="31" t="inlineStr">
        <x:is>
          <x:t xml:space="preserve">шт</x:t>
        </x:is>
      </x:c>
      <x:c r="H122" s="31" t="n"/>
      <x:c r="I122" s="31" t="n"/>
      <x:c r="J122" s="31" t="inlineStr">
        <x:is>
          <x:t xml:space="preserve">Основной склад</x:t>
        </x:is>
      </x:c>
      <x:c r="K122" s="31" t="inlineStr">
        <x:is>
          <x:t xml:space="preserve">СОТР-039</x:t>
        </x:is>
      </x:c>
      <x:c r="L122" s="31" t="inlineStr">
        <x:is>
          <x:t xml:space="preserve">ДОК-1182</x:t>
        </x:is>
      </x:c>
      <x:c r="M122" s="31" t="inlineStr">
        <x:is>
          <x:t xml:space="preserve">Требует проверки</x:t>
        </x:is>
      </x:c>
    </x:row>
    <x:row r="123" ht="18" customHeight="1">
      <x:c r="A123" s="31" t="inlineStr">
        <x:is>
          <x:t xml:space="preserve">СКЛ-000122</x:t>
        </x:is>
      </x:c>
      <x:c r="B123" s="31" t="n">
        <x:v>46071</x:v>
      </x:c>
      <x:c r="C123" s="31" t="inlineStr">
        <x:is>
          <x:t xml:space="preserve">Выдача в производство</x:t>
        </x:is>
      </x:c>
      <x:c r="D123" s="31" t="inlineStr">
        <x:is>
          <x:t xml:space="preserve">МАТ-0045</x:t>
        </x:is>
      </x:c>
      <x:c r="E123" s="31" t="inlineStr">
        <x:is>
          <x:t xml:space="preserve">Автоматический выключатель 16А</x:t>
        </x:is>
      </x:c>
      <x:c r="F123" s="31" t="n">
        <x:v>-12</x:v>
      </x:c>
      <x:c r="G123" s="31" t="inlineStr">
        <x:is>
          <x:t xml:space="preserve">шт</x:t>
        </x:is>
      </x:c>
      <x:c r="H123" s="31" t="inlineStr">
        <x:is>
          <x:t xml:space="preserve">ЗК-1100</x:t>
        </x:is>
      </x:c>
      <x:c r="I123" s="31" t="inlineStr">
        <x:is>
          <x:t xml:space="preserve">ПЗ-00005</x:t>
        </x:is>
      </x:c>
      <x:c r="J123" s="31" t="inlineStr">
        <x:is>
          <x:t xml:space="preserve">Основной склад</x:t>
        </x:is>
      </x:c>
      <x:c r="K123" s="31" t="inlineStr">
        <x:is>
          <x:t xml:space="preserve">СОТР-037</x:t>
        </x:is>
      </x:c>
      <x:c r="L123" s="31" t="inlineStr">
        <x:is>
          <x:t xml:space="preserve">ДОК-1591</x:t>
        </x:is>
      </x:c>
      <x:c r="M123" s="31" t="inlineStr">
        <x:is>
          <x:t xml:space="preserve">Проведен</x:t>
        </x:is>
      </x:c>
    </x:row>
    <x:row r="124" ht="18" customHeight="1">
      <x:c r="A124" s="31" t="inlineStr">
        <x:is>
          <x:t xml:space="preserve">СКЛ-000123</x:t>
        </x:is>
      </x:c>
      <x:c r="B124" s="31" t="n">
        <x:v>46063</x:v>
      </x:c>
      <x:c r="C124" s="31" t="inlineStr">
        <x:is>
          <x:t xml:space="preserve">Резерв</x:t>
        </x:is>
      </x:c>
      <x:c r="D124" s="31" t="inlineStr">
        <x:is>
          <x:t xml:space="preserve">МАТ-0069</x:t>
        </x:is>
      </x:c>
      <x:c r="E124" s="31" t="inlineStr">
        <x:is>
          <x:t xml:space="preserve">Эмаль полиуретановая</x:t>
        </x:is>
      </x:c>
      <x:c r="F124" s="31" t="n">
        <x:v>-23.85</x:v>
      </x:c>
      <x:c r="G124" s="31" t="inlineStr">
        <x:is>
          <x:t xml:space="preserve">л</x:t>
        </x:is>
      </x:c>
      <x:c r="H124" s="31" t="inlineStr">
        <x:is>
          <x:t xml:space="preserve">ЗК-1054</x:t>
        </x:is>
      </x:c>
      <x:c r="I124" s="31" t="n"/>
      <x:c r="J124" s="31" t="inlineStr">
        <x:is>
          <x:t xml:space="preserve">Цеховой склад</x:t>
        </x:is>
      </x:c>
      <x:c r="K124" s="31" t="inlineStr">
        <x:is>
          <x:t xml:space="preserve">СОТР-037</x:t>
        </x:is>
      </x:c>
      <x:c r="L124" s="31" t="inlineStr">
        <x:is>
          <x:t xml:space="preserve">ДОК-9948</x:t>
        </x:is>
      </x:c>
      <x:c r="M124" s="31" t="inlineStr">
        <x:is>
          <x:t xml:space="preserve">Проведен</x:t>
        </x:is>
      </x:c>
    </x:row>
    <x:row r="125" ht="18" customHeight="1">
      <x:c r="A125" s="31" t="inlineStr">
        <x:is>
          <x:t xml:space="preserve">СКЛ-000124</x:t>
        </x:is>
      </x:c>
      <x:c r="B125" s="31" t="n">
        <x:v>46174</x:v>
      </x:c>
      <x:c r="C125" s="31" t="inlineStr">
        <x:is>
          <x:t xml:space="preserve">Приход</x:t>
        </x:is>
      </x:c>
      <x:c r="D125" s="31" t="inlineStr">
        <x:is>
          <x:t xml:space="preserve">МАТ-0084</x:t>
        </x:is>
      </x:c>
      <x:c r="E125" s="31" t="inlineStr">
        <x:is>
          <x:t xml:space="preserve">Поддон 1200×800</x:t>
        </x:is>
      </x:c>
      <x:c r="F125" s="31" t="n">
        <x:v>11</x:v>
      </x:c>
      <x:c r="G125" s="31" t="inlineStr">
        <x:is>
          <x:t xml:space="preserve">шт</x:t>
        </x:is>
      </x:c>
      <x:c r="H125" s="31" t="n"/>
      <x:c r="I125" s="31" t="n"/>
      <x:c r="J125" s="31" t="inlineStr">
        <x:is>
          <x:t xml:space="preserve">Основной склад</x:t>
        </x:is>
      </x:c>
      <x:c r="K125" s="31" t="inlineStr">
        <x:is>
          <x:t xml:space="preserve">СОТР-034</x:t>
        </x:is>
      </x:c>
      <x:c r="L125" s="31" t="inlineStr">
        <x:is>
          <x:t xml:space="preserve">ДОК-7539</x:t>
        </x:is>
      </x:c>
      <x:c r="M125" s="31" t="inlineStr">
        <x:is>
          <x:t xml:space="preserve">Проведен</x:t>
        </x:is>
      </x:c>
    </x:row>
    <x:row r="126" ht="18" customHeight="1">
      <x:c r="A126" s="31" t="inlineStr">
        <x:is>
          <x:t xml:space="preserve">СКЛ-000125</x:t>
        </x:is>
      </x:c>
      <x:c r="B126" s="31" t="n">
        <x:v>46196</x:v>
      </x:c>
      <x:c r="C126" s="31" t="inlineStr">
        <x:is>
          <x:t xml:space="preserve">Приход</x:t>
        </x:is>
      </x:c>
      <x:c r="D126" s="31" t="inlineStr">
        <x:is>
          <x:t xml:space="preserve">МАТ-0056</x:t>
        </x:is>
      </x:c>
      <x:c r="E126" s="31" t="inlineStr">
        <x:is>
          <x:t xml:space="preserve">Задвижка Ду100</x:t>
        </x:is>
      </x:c>
      <x:c r="F126" s="31" t="n">
        <x:v>13</x:v>
      </x:c>
      <x:c r="G126" s="31" t="inlineStr">
        <x:is>
          <x:t xml:space="preserve">шт</x:t>
        </x:is>
      </x:c>
      <x:c r="H126" s="31" t="n"/>
      <x:c r="I126" s="31" t="n"/>
      <x:c r="J126" s="31" t="inlineStr">
        <x:is>
          <x:t xml:space="preserve">Основной склад</x:t>
        </x:is>
      </x:c>
      <x:c r="K126" s="31" t="inlineStr">
        <x:is>
          <x:t xml:space="preserve">СОТР-037</x:t>
        </x:is>
      </x:c>
      <x:c r="L126" s="31" t="inlineStr">
        <x:is>
          <x:t xml:space="preserve">ДОК-2030</x:t>
        </x:is>
      </x:c>
      <x:c r="M126" s="31" t="inlineStr">
        <x:is>
          <x:t xml:space="preserve">Проведен</x:t>
        </x:is>
      </x:c>
    </x:row>
    <x:row r="127" ht="18" customHeight="1">
      <x:c r="A127" s="31" t="inlineStr">
        <x:is>
          <x:t xml:space="preserve">СКЛ-000126</x:t>
        </x:is>
      </x:c>
      <x:c r="B127" s="31" t="n">
        <x:v>46145</x:v>
      </x:c>
      <x:c r="C127" s="31" t="inlineStr">
        <x:is>
          <x:t xml:space="preserve">Возврат</x:t>
        </x:is>
      </x:c>
      <x:c r="D127" s="31" t="inlineStr">
        <x:is>
          <x:t xml:space="preserve">МАТ-0062</x:t>
        </x:is>
      </x:c>
      <x:c r="E127" s="31" t="inlineStr">
        <x:is>
          <x:t xml:space="preserve">Кабель КВВГ 4×1.5</x:t>
        </x:is>
      </x:c>
      <x:c r="F127" s="31" t="n">
        <x:v>76.17</x:v>
      </x:c>
      <x:c r="G127" s="31" t="inlineStr">
        <x:is>
          <x:t xml:space="preserve">м</x:t>
        </x:is>
      </x:c>
      <x:c r="H127" s="31" t="n"/>
      <x:c r="I127" s="31" t="n"/>
      <x:c r="J127" s="31" t="inlineStr">
        <x:is>
          <x:t xml:space="preserve">Основной склад</x:t>
        </x:is>
      </x:c>
      <x:c r="K127" s="31" t="inlineStr">
        <x:is>
          <x:t xml:space="preserve">СОТР-037</x:t>
        </x:is>
      </x:c>
      <x:c r="L127" s="31" t="inlineStr">
        <x:is>
          <x:t xml:space="preserve">ДОК-2237</x:t>
        </x:is>
      </x:c>
      <x:c r="M127" s="31" t="inlineStr">
        <x:is>
          <x:t xml:space="preserve">Проведен</x:t>
        </x:is>
      </x:c>
    </x:row>
    <x:row r="128" ht="18" customHeight="1">
      <x:c r="A128" s="31" t="inlineStr">
        <x:is>
          <x:t xml:space="preserve">СКЛ-000127</x:t>
        </x:is>
      </x:c>
      <x:c r="B128" s="31" t="n">
        <x:v>46181</x:v>
      </x:c>
      <x:c r="C128" s="31" t="inlineStr">
        <x:is>
          <x:t xml:space="preserve">Резерв</x:t>
        </x:is>
      </x:c>
      <x:c r="D128" s="31" t="inlineStr">
        <x:is>
          <x:t xml:space="preserve">МАТ-0026</x:t>
        </x:is>
      </x:c>
      <x:c r="E128" s="31" t="inlineStr">
        <x:is>
          <x:t xml:space="preserve">Двигатель 15 кВт</x:t>
        </x:is>
      </x:c>
      <x:c r="F128" s="31" t="n">
        <x:v>-9</x:v>
      </x:c>
      <x:c r="G128" s="31" t="inlineStr">
        <x:is>
          <x:t xml:space="preserve">шт</x:t>
        </x:is>
      </x:c>
      <x:c r="H128" s="31" t="inlineStr">
        <x:is>
          <x:t xml:space="preserve">ЗК-1103</x:t>
        </x:is>
      </x:c>
      <x:c r="I128" s="31" t="n"/>
      <x:c r="J128" s="31" t="inlineStr">
        <x:is>
          <x:t xml:space="preserve">Основной склад</x:t>
        </x:is>
      </x:c>
      <x:c r="K128" s="31" t="inlineStr">
        <x:is>
          <x:t xml:space="preserve">СОТР-033</x:t>
        </x:is>
      </x:c>
      <x:c r="L128" s="31" t="inlineStr">
        <x:is>
          <x:t xml:space="preserve">ДОК-3828</x:t>
        </x:is>
      </x:c>
      <x:c r="M128" s="31" t="inlineStr">
        <x:is>
          <x:t xml:space="preserve">Проведен</x:t>
        </x:is>
      </x:c>
    </x:row>
    <x:row r="129" ht="18" customHeight="1">
      <x:c r="A129" s="31" t="inlineStr">
        <x:is>
          <x:t xml:space="preserve">СКЛ-000128</x:t>
        </x:is>
      </x:c>
      <x:c r="B129" s="31" t="n">
        <x:v>46166</x:v>
      </x:c>
      <x:c r="C129" s="31" t="inlineStr">
        <x:is>
          <x:t xml:space="preserve">Резерв</x:t>
        </x:is>
      </x:c>
      <x:c r="D129" s="31" t="inlineStr">
        <x:is>
          <x:t xml:space="preserve">МАТ-0026</x:t>
        </x:is>
      </x:c>
      <x:c r="E129" s="31" t="inlineStr">
        <x:is>
          <x:t xml:space="preserve">Двигатель 15 кВт</x:t>
        </x:is>
      </x:c>
      <x:c r="F129" s="31" t="n">
        <x:v>-11</x:v>
      </x:c>
      <x:c r="G129" s="31" t="inlineStr">
        <x:is>
          <x:t xml:space="preserve">шт</x:t>
        </x:is>
      </x:c>
      <x:c r="H129" s="31" t="inlineStr">
        <x:is>
          <x:t xml:space="preserve">ЗК-1052</x:t>
        </x:is>
      </x:c>
      <x:c r="I129" s="31" t="n"/>
      <x:c r="J129" s="31" t="inlineStr">
        <x:is>
          <x:t xml:space="preserve">Основной склад</x:t>
        </x:is>
      </x:c>
      <x:c r="K129" s="31" t="inlineStr">
        <x:is>
          <x:t xml:space="preserve">СОТР-033</x:t>
        </x:is>
      </x:c>
      <x:c r="L129" s="31" t="inlineStr">
        <x:is>
          <x:t xml:space="preserve">ДОК-9069</x:t>
        </x:is>
      </x:c>
      <x:c r="M129" s="31" t="inlineStr">
        <x:is>
          <x:t xml:space="preserve">Проведен</x:t>
        </x:is>
      </x:c>
    </x:row>
    <x:row r="130" ht="18" customHeight="1">
      <x:c r="A130" s="31" t="inlineStr">
        <x:is>
          <x:t xml:space="preserve">СКЛ-000129</x:t>
        </x:is>
      </x:c>
      <x:c r="B130" s="31" t="n">
        <x:v>46137</x:v>
      </x:c>
      <x:c r="C130" s="31" t="inlineStr">
        <x:is>
          <x:t xml:space="preserve">Приход</x:t>
        </x:is>
      </x:c>
      <x:c r="D130" s="31" t="inlineStr">
        <x:is>
          <x:t xml:space="preserve">МАТ-0021</x:t>
        </x:is>
      </x:c>
      <x:c r="E130" s="31" t="inlineStr">
        <x:is>
          <x:t xml:space="preserve">Торцевое уплотнение</x:t>
        </x:is>
      </x:c>
      <x:c r="F130" s="31" t="n">
        <x:v>9</x:v>
      </x:c>
      <x:c r="G130" s="31" t="inlineStr">
        <x:is>
          <x:t xml:space="preserve">шт</x:t>
        </x:is>
      </x:c>
      <x:c r="H130" s="31" t="n"/>
      <x:c r="I130" s="31" t="n"/>
      <x:c r="J130" s="31" t="inlineStr">
        <x:is>
          <x:t xml:space="preserve">Цеховой склад</x:t>
        </x:is>
      </x:c>
      <x:c r="K130" s="31" t="inlineStr">
        <x:is>
          <x:t xml:space="preserve">СОТР-038</x:t>
        </x:is>
      </x:c>
      <x:c r="L130" s="31" t="inlineStr">
        <x:is>
          <x:t xml:space="preserve">ДОК-5542</x:t>
        </x:is>
      </x:c>
      <x:c r="M130" s="31" t="inlineStr">
        <x:is>
          <x:t xml:space="preserve">Проведен</x:t>
        </x:is>
      </x:c>
    </x:row>
    <x:row r="131" ht="18" customHeight="1">
      <x:c r="A131" s="31" t="inlineStr">
        <x:is>
          <x:t xml:space="preserve">СКЛ-000130</x:t>
        </x:is>
      </x:c>
      <x:c r="B131" s="31" t="n">
        <x:v>46094</x:v>
      </x:c>
      <x:c r="C131" s="31" t="inlineStr">
        <x:is>
          <x:t xml:space="preserve">Резерв</x:t>
        </x:is>
      </x:c>
      <x:c r="D131" s="31" t="inlineStr">
        <x:is>
          <x:t xml:space="preserve">МАТ-0010</x:t>
        </x:is>
      </x:c>
      <x:c r="E131" s="31" t="inlineStr">
        <x:is>
          <x:t xml:space="preserve">Фланец Ду50 Ру16 / исп.2</x:t>
        </x:is>
      </x:c>
      <x:c r="F131" s="31" t="n">
        <x:v>-11</x:v>
      </x:c>
      <x:c r="G131" s="31" t="inlineStr">
        <x:is>
          <x:t xml:space="preserve">шт</x:t>
        </x:is>
      </x:c>
      <x:c r="H131" s="31" t="inlineStr">
        <x:is>
          <x:t xml:space="preserve">ЗК-1090</x:t>
        </x:is>
      </x:c>
      <x:c r="I131" s="31" t="n"/>
      <x:c r="J131" s="31" t="inlineStr">
        <x:is>
          <x:t xml:space="preserve">Основной склад</x:t>
        </x:is>
      </x:c>
      <x:c r="K131" s="31" t="inlineStr">
        <x:is>
          <x:t xml:space="preserve">СОТР-034</x:t>
        </x:is>
      </x:c>
      <x:c r="L131" s="31" t="inlineStr">
        <x:is>
          <x:t xml:space="preserve">ДОК-3089</x:t>
        </x:is>
      </x:c>
      <x:c r="M131" s="31" t="inlineStr">
        <x:is>
          <x:t xml:space="preserve">Проведен</x:t>
        </x:is>
      </x:c>
    </x:row>
    <x:row r="132" ht="18" customHeight="1">
      <x:c r="A132" s="31" t="inlineStr">
        <x:is>
          <x:t xml:space="preserve">СКЛ-000131</x:t>
        </x:is>
      </x:c>
      <x:c r="B132" s="31" t="n">
        <x:v>46041</x:v>
      </x:c>
      <x:c r="C132" s="31" t="inlineStr">
        <x:is>
          <x:t xml:space="preserve">Списание</x:t>
        </x:is>
      </x:c>
      <x:c r="D132" s="31" t="inlineStr">
        <x:is>
          <x:t xml:space="preserve">МАТ-0034</x:t>
        </x:is>
      </x:c>
      <x:c r="E132" s="31" t="inlineStr">
        <x:is>
          <x:t xml:space="preserve">Манометр виброустойчивый</x:t>
        </x:is>
      </x:c>
      <x:c r="F132" s="31" t="n">
        <x:v>-15</x:v>
      </x:c>
      <x:c r="G132" s="31" t="inlineStr">
        <x:is>
          <x:t xml:space="preserve">шт</x:t>
        </x:is>
      </x:c>
      <x:c r="H132" s="31" t="n"/>
      <x:c r="I132" s="31" t="n"/>
      <x:c r="J132" s="31" t="inlineStr">
        <x:is>
          <x:t xml:space="preserve">Цеховой склад</x:t>
        </x:is>
      </x:c>
      <x:c r="K132" s="31" t="inlineStr">
        <x:is>
          <x:t xml:space="preserve">СОТР-033</x:t>
        </x:is>
      </x:c>
      <x:c r="L132" s="31" t="inlineStr">
        <x:is>
          <x:t xml:space="preserve">ДОК-1039</x:t>
        </x:is>
      </x:c>
      <x:c r="M132" s="31" t="inlineStr">
        <x:is>
          <x:t xml:space="preserve">Проведен</x:t>
        </x:is>
      </x:c>
    </x:row>
    <x:row r="133" ht="18" customHeight="1">
      <x:c r="A133" s="31" t="inlineStr">
        <x:is>
          <x:t xml:space="preserve">СКЛ-000132</x:t>
        </x:is>
      </x:c>
      <x:c r="B133" s="31" t="n">
        <x:v>46173</x:v>
      </x:c>
      <x:c r="C133" s="31" t="inlineStr">
        <x:is>
          <x:t xml:space="preserve">Выдача в производство</x:t>
        </x:is>
      </x:c>
      <x:c r="D133" s="31" t="inlineStr">
        <x:is>
          <x:t xml:space="preserve">МАТ-0068</x:t>
        </x:is>
      </x:c>
      <x:c r="E133" s="31" t="inlineStr">
        <x:is>
          <x:t xml:space="preserve">Грунт эпоксидный</x:t>
        </x:is>
      </x:c>
      <x:c r="F133" s="31" t="n">
        <x:v>-6.71</x:v>
      </x:c>
      <x:c r="G133" s="31" t="inlineStr">
        <x:is>
          <x:t xml:space="preserve">л</x:t>
        </x:is>
      </x:c>
      <x:c r="H133" s="31" t="inlineStr">
        <x:is>
          <x:t xml:space="preserve">ЗК-1038</x:t>
        </x:is>
      </x:c>
      <x:c r="I133" s="31" t="inlineStr">
        <x:is>
          <x:t xml:space="preserve">ПЗ-00227</x:t>
        </x:is>
      </x:c>
      <x:c r="J133" s="31" t="inlineStr">
        <x:is>
          <x:t xml:space="preserve">Основной склад</x:t>
        </x:is>
      </x:c>
      <x:c r="K133" s="31" t="inlineStr">
        <x:is>
          <x:t xml:space="preserve">СОТР-024</x:t>
        </x:is>
      </x:c>
      <x:c r="L133" s="31" t="inlineStr">
        <x:is>
          <x:t xml:space="preserve">ДОК-5113</x:t>
        </x:is>
      </x:c>
      <x:c r="M133" s="31" t="inlineStr">
        <x:is>
          <x:t xml:space="preserve">Проведен</x:t>
        </x:is>
      </x:c>
    </x:row>
    <x:row r="134" ht="18" customHeight="1">
      <x:c r="A134" s="31" t="inlineStr">
        <x:is>
          <x:t xml:space="preserve">СКЛ-000133</x:t>
        </x:is>
      </x:c>
      <x:c r="B134" s="31" t="n">
        <x:v>46133</x:v>
      </x:c>
      <x:c r="C134" s="31" t="inlineStr">
        <x:is>
          <x:t xml:space="preserve">Выдача в производство</x:t>
        </x:is>
      </x:c>
      <x:c r="D134" s="31" t="inlineStr">
        <x:is>
          <x:t xml:space="preserve">МАТ-0039</x:t>
        </x:is>
      </x:c>
      <x:c r="E134" s="31" t="inlineStr">
        <x:is>
          <x:t xml:space="preserve">ПЛК 24 дискр. входа / 16 дискр. выхода / исп.2</x:t>
        </x:is>
      </x:c>
      <x:c r="F134" s="31" t="n">
        <x:v>-5</x:v>
      </x:c>
      <x:c r="G134" s="31" t="inlineStr">
        <x:is>
          <x:t xml:space="preserve">шт</x:t>
        </x:is>
      </x:c>
      <x:c r="H134" s="31" t="inlineStr">
        <x:is>
          <x:t xml:space="preserve">ЗК-1128</x:t>
        </x:is>
      </x:c>
      <x:c r="I134" s="31" t="inlineStr">
        <x:is>
          <x:t xml:space="preserve">ПЗ-00062</x:t>
        </x:is>
      </x:c>
      <x:c r="J134" s="31" t="inlineStr">
        <x:is>
          <x:t xml:space="preserve">Основной склад</x:t>
        </x:is>
      </x:c>
      <x:c r="K134" s="31" t="inlineStr">
        <x:is>
          <x:t xml:space="preserve">СОТР-039</x:t>
        </x:is>
      </x:c>
      <x:c r="L134" s="31" t="inlineStr">
        <x:is>
          <x:t xml:space="preserve">ДОК-5091</x:t>
        </x:is>
      </x:c>
      <x:c r="M134" s="31" t="inlineStr">
        <x:is>
          <x:t xml:space="preserve">Проведен</x:t>
        </x:is>
      </x:c>
    </x:row>
    <x:row r="135" ht="18" customHeight="1">
      <x:c r="A135" s="31" t="inlineStr">
        <x:is>
          <x:t xml:space="preserve">СКЛ-000134</x:t>
        </x:is>
      </x:c>
      <x:c r="B135" s="31" t="n">
        <x:v>46182</x:v>
      </x:c>
      <x:c r="C135" s="31" t="inlineStr">
        <x:is>
          <x:t xml:space="preserve">Выдача в производство</x:t>
        </x:is>
      </x:c>
      <x:c r="D135" s="31" t="inlineStr">
        <x:is>
          <x:t xml:space="preserve">МАТ-0002</x:t>
        </x:is>
      </x:c>
      <x:c r="E135" s="31" t="inlineStr">
        <x:is>
          <x:t xml:space="preserve">Лист стальной 09Г2С 12 мм</x:t>
        </x:is>
      </x:c>
      <x:c r="F135" s="31" t="n">
        <x:v>-41.68</x:v>
      </x:c>
      <x:c r="G135" s="31" t="inlineStr">
        <x:is>
          <x:t xml:space="preserve">кг</x:t>
        </x:is>
      </x:c>
      <x:c r="H135" s="31" t="inlineStr">
        <x:is>
          <x:t xml:space="preserve">ЗК-1007</x:t>
        </x:is>
      </x:c>
      <x:c r="I135" s="31" t="inlineStr">
        <x:is>
          <x:t xml:space="preserve">ПЗ-00166</x:t>
        </x:is>
      </x:c>
      <x:c r="J135" s="31" t="inlineStr">
        <x:is>
          <x:t xml:space="preserve">Основной склад</x:t>
        </x:is>
      </x:c>
      <x:c r="K135" s="31" t="inlineStr">
        <x:is>
          <x:t xml:space="preserve">СОТР-024</x:t>
        </x:is>
      </x:c>
      <x:c r="L135" s="31" t="inlineStr">
        <x:is>
          <x:t xml:space="preserve">ДОК-6401</x:t>
        </x:is>
      </x:c>
      <x:c r="M135" s="31" t="inlineStr">
        <x:is>
          <x:t xml:space="preserve">Проведен</x:t>
        </x:is>
      </x:c>
    </x:row>
    <x:row r="136" ht="18" customHeight="1">
      <x:c r="A136" s="31" t="inlineStr">
        <x:is>
          <x:t xml:space="preserve">СКЛ-000135</x:t>
        </x:is>
      </x:c>
      <x:c r="B136" s="31" t="n">
        <x:v>46035</x:v>
      </x:c>
      <x:c r="C136" s="31" t="inlineStr">
        <x:is>
          <x:t xml:space="preserve">Приход</x:t>
        </x:is>
      </x:c>
      <x:c r="D136" s="31" t="inlineStr">
        <x:is>
          <x:t xml:space="preserve">МАТ-0066</x:t>
        </x:is>
      </x:c>
      <x:c r="E136" s="31" t="inlineStr">
        <x:is>
          <x:t xml:space="preserve">Гофра металлическая / исп.2</x:t>
        </x:is>
      </x:c>
      <x:c r="F136" s="31" t="n">
        <x:v>10.54</x:v>
      </x:c>
      <x:c r="G136" s="31" t="inlineStr">
        <x:is>
          <x:t xml:space="preserve">кг</x:t>
        </x:is>
      </x:c>
      <x:c r="H136" s="31" t="n"/>
      <x:c r="I136" s="31" t="n"/>
      <x:c r="J136" s="31" t="inlineStr">
        <x:is>
          <x:t xml:space="preserve">Основной склад</x:t>
        </x:is>
      </x:c>
      <x:c r="K136" s="31" t="inlineStr">
        <x:is>
          <x:t xml:space="preserve">СОТР-036</x:t>
        </x:is>
      </x:c>
      <x:c r="L136" s="31" t="inlineStr">
        <x:is>
          <x:t xml:space="preserve">ДОК-1412</x:t>
        </x:is>
      </x:c>
      <x:c r="M136" s="31" t="inlineStr">
        <x:is>
          <x:t xml:space="preserve">Проведен</x:t>
        </x:is>
      </x:c>
    </x:row>
    <x:row r="137" ht="18" customHeight="1">
      <x:c r="A137" s="31" t="inlineStr">
        <x:is>
          <x:t xml:space="preserve">СКЛ-000136</x:t>
        </x:is>
      </x:c>
      <x:c r="B137" s="31" t="n">
        <x:v>46087</x:v>
      </x:c>
      <x:c r="C137" s="31" t="inlineStr">
        <x:is>
          <x:t xml:space="preserve">Выдача в производство</x:t>
        </x:is>
      </x:c>
      <x:c r="D137" s="31" t="inlineStr">
        <x:is>
          <x:t xml:space="preserve">МАТ-0005</x:t>
        </x:is>
      </x:c>
      <x:c r="E137" s="31" t="inlineStr">
        <x:is>
          <x:t xml:space="preserve">Труба бесшовная 57×4</x:t>
        </x:is>
      </x:c>
      <x:c r="F137" s="31" t="n">
        <x:v>-27.79</x:v>
      </x:c>
      <x:c r="G137" s="31" t="inlineStr">
        <x:is>
          <x:t xml:space="preserve">м</x:t>
        </x:is>
      </x:c>
      <x:c r="H137" s="31" t="inlineStr">
        <x:is>
          <x:t xml:space="preserve">ЗК-1022</x:t>
        </x:is>
      </x:c>
      <x:c r="I137" s="31" t="inlineStr">
        <x:is>
          <x:t xml:space="preserve">ПЗ-00025</x:t>
        </x:is>
      </x:c>
      <x:c r="J137" s="31" t="inlineStr">
        <x:is>
          <x:t xml:space="preserve">Основной склад</x:t>
        </x:is>
      </x:c>
      <x:c r="K137" s="31" t="inlineStr">
        <x:is>
          <x:t xml:space="preserve">СОТР-038</x:t>
        </x:is>
      </x:c>
      <x:c r="L137" s="31" t="inlineStr">
        <x:is>
          <x:t xml:space="preserve">ДОК-1623</x:t>
        </x:is>
      </x:c>
      <x:c r="M137" s="31" t="inlineStr">
        <x:is>
          <x:t xml:space="preserve">Проведен</x:t>
        </x:is>
      </x:c>
    </x:row>
    <x:row r="138" ht="18" customHeight="1">
      <x:c r="A138" s="31" t="inlineStr">
        <x:is>
          <x:t xml:space="preserve">СКЛ-000137</x:t>
        </x:is>
      </x:c>
      <x:c r="B138" s="31" t="n">
        <x:v>46137</x:v>
      </x:c>
      <x:c r="C138" s="31" t="inlineStr">
        <x:is>
          <x:t xml:space="preserve">Выдача в производство</x:t>
        </x:is>
      </x:c>
      <x:c r="D138" s="31" t="inlineStr">
        <x:is>
          <x:t xml:space="preserve">МАТ-0014</x:t>
        </x:is>
      </x:c>
      <x:c r="E138" s="31" t="inlineStr">
        <x:is>
          <x:t xml:space="preserve">Уголок 50×5 / исп.2</x:t>
        </x:is>
      </x:c>
      <x:c r="F138" s="31" t="n">
        <x:v>-14</x:v>
      </x:c>
      <x:c r="G138" s="31" t="inlineStr">
        <x:is>
          <x:t xml:space="preserve">шт</x:t>
        </x:is>
      </x:c>
      <x:c r="H138" s="31" t="inlineStr">
        <x:is>
          <x:t xml:space="preserve">ЗК-1014</x:t>
        </x:is>
      </x:c>
      <x:c r="I138" s="31" t="inlineStr">
        <x:is>
          <x:t xml:space="preserve">ПЗ-00050</x:t>
        </x:is>
      </x:c>
      <x:c r="J138" s="31" t="inlineStr">
        <x:is>
          <x:t xml:space="preserve">Основной склад</x:t>
        </x:is>
      </x:c>
      <x:c r="K138" s="31" t="inlineStr">
        <x:is>
          <x:t xml:space="preserve">СОТР-038</x:t>
        </x:is>
      </x:c>
      <x:c r="L138" s="31" t="inlineStr">
        <x:is>
          <x:t xml:space="preserve">ДОК-1361</x:t>
        </x:is>
      </x:c>
      <x:c r="M138" s="31" t="inlineStr">
        <x:is>
          <x:t xml:space="preserve">Черновик</x:t>
        </x:is>
      </x:c>
    </x:row>
    <x:row r="139" ht="18" customHeight="1">
      <x:c r="A139" s="31" t="inlineStr">
        <x:is>
          <x:t xml:space="preserve">СКЛ-000138</x:t>
        </x:is>
      </x:c>
      <x:c r="B139" s="31" t="n">
        <x:v>46141</x:v>
      </x:c>
      <x:c r="C139" s="31" t="inlineStr">
        <x:is>
          <x:t xml:space="preserve">Приход</x:t>
        </x:is>
      </x:c>
      <x:c r="D139" s="31" t="inlineStr">
        <x:is>
          <x:t xml:space="preserve">МАТ-0082</x:t>
        </x:is>
      </x:c>
      <x:c r="E139" s="31" t="inlineStr">
        <x:is>
          <x:t xml:space="preserve">Шайба 12 / исп.2</x:t>
        </x:is>
      </x:c>
      <x:c r="F139" s="31" t="n">
        <x:v>10</x:v>
      </x:c>
      <x:c r="G139" s="31" t="inlineStr">
        <x:is>
          <x:t xml:space="preserve">шт</x:t>
        </x:is>
      </x:c>
      <x:c r="H139" s="31" t="n"/>
      <x:c r="I139" s="31" t="n"/>
      <x:c r="J139" s="31" t="inlineStr">
        <x:is>
          <x:t xml:space="preserve">Брак/карантин</x:t>
        </x:is>
      </x:c>
      <x:c r="K139" s="31" t="inlineStr">
        <x:is>
          <x:t xml:space="preserve">СОТР-038</x:t>
        </x:is>
      </x:c>
      <x:c r="L139" s="31" t="inlineStr">
        <x:is>
          <x:t xml:space="preserve">ДОК-5231</x:t>
        </x:is>
      </x:c>
      <x:c r="M139" s="31" t="inlineStr">
        <x:is>
          <x:t xml:space="preserve">Проведен</x:t>
        </x:is>
      </x:c>
    </x:row>
    <x:row r="140" ht="18" customHeight="1">
      <x:c r="A140" s="31" t="inlineStr">
        <x:is>
          <x:t xml:space="preserve">СКЛ-000139</x:t>
        </x:is>
      </x:c>
      <x:c r="B140" s="31" t="n">
        <x:v>46175</x:v>
      </x:c>
      <x:c r="C140" s="31" t="inlineStr">
        <x:is>
          <x:t xml:space="preserve">Приход</x:t>
        </x:is>
      </x:c>
      <x:c r="D140" s="31" t="inlineStr">
        <x:is>
          <x:t xml:space="preserve">МАТ-0015</x:t>
        </x:is>
      </x:c>
      <x:c r="E140" s="31" t="inlineStr">
        <x:is>
          <x:t xml:space="preserve">Насос центробежный 15 кВт</x:t>
        </x:is>
      </x:c>
      <x:c r="F140" s="31" t="n">
        <x:v>12</x:v>
      </x:c>
      <x:c r="G140" s="31" t="inlineStr">
        <x:is>
          <x:t xml:space="preserve">шт</x:t>
        </x:is>
      </x:c>
      <x:c r="H140" s="31" t="n"/>
      <x:c r="I140" s="31" t="n"/>
      <x:c r="J140" s="31" t="inlineStr">
        <x:is>
          <x:t xml:space="preserve">Основной склад</x:t>
        </x:is>
      </x:c>
      <x:c r="K140" s="31" t="inlineStr">
        <x:is>
          <x:t xml:space="preserve">СОТР-035</x:t>
        </x:is>
      </x:c>
      <x:c r="L140" s="31" t="inlineStr">
        <x:is>
          <x:t xml:space="preserve">ДОК-7496</x:t>
        </x:is>
      </x:c>
      <x:c r="M140" s="31" t="inlineStr">
        <x:is>
          <x:t xml:space="preserve">Проведен</x:t>
        </x:is>
      </x:c>
    </x:row>
    <x:row r="141" ht="18" customHeight="1">
      <x:c r="A141" s="31" t="inlineStr">
        <x:is>
          <x:t xml:space="preserve">СКЛ-000140</x:t>
        </x:is>
      </x:c>
      <x:c r="B141" s="31" t="n">
        <x:v>46174</x:v>
      </x:c>
      <x:c r="C141" s="31" t="inlineStr">
        <x:is>
          <x:t xml:space="preserve">Резерв</x:t>
        </x:is>
      </x:c>
      <x:c r="D141" s="31" t="inlineStr">
        <x:is>
          <x:t xml:space="preserve">МАТ-0007</x:t>
        </x:is>
      </x:c>
      <x:c r="E141" s="31" t="inlineStr">
        <x:is>
          <x:t xml:space="preserve">Труба нержавеющая 38×3 / исп.2</x:t>
        </x:is>
      </x:c>
      <x:c r="F141" s="31" t="n">
        <x:v>-50.13</x:v>
      </x:c>
      <x:c r="G141" s="31" t="inlineStr">
        <x:is>
          <x:t xml:space="preserve">л</x:t>
        </x:is>
      </x:c>
      <x:c r="H141" s="31" t="inlineStr">
        <x:is>
          <x:t xml:space="preserve">ЗК-1054</x:t>
        </x:is>
      </x:c>
      <x:c r="I141" s="31" t="n"/>
      <x:c r="J141" s="31" t="inlineStr">
        <x:is>
          <x:t xml:space="preserve">Цеховой склад</x:t>
        </x:is>
      </x:c>
      <x:c r="K141" s="31" t="inlineStr">
        <x:is>
          <x:t xml:space="preserve">СОТР-036</x:t>
        </x:is>
      </x:c>
      <x:c r="L141" s="31" t="inlineStr">
        <x:is>
          <x:t xml:space="preserve">ДОК-6259</x:t>
        </x:is>
      </x:c>
      <x:c r="M141" s="31" t="inlineStr">
        <x:is>
          <x:t xml:space="preserve">Проведен</x:t>
        </x:is>
      </x:c>
    </x:row>
    <x:row r="142" ht="18" customHeight="1">
      <x:c r="A142" s="31" t="inlineStr">
        <x:is>
          <x:t xml:space="preserve">СКЛ-000141</x:t>
        </x:is>
      </x:c>
      <x:c r="B142" s="31" t="n">
        <x:v>46031</x:v>
      </x:c>
      <x:c r="C142" s="31" t="inlineStr">
        <x:is>
          <x:t xml:space="preserve">Резерв</x:t>
        </x:is>
      </x:c>
      <x:c r="D142" s="31" t="inlineStr">
        <x:is>
          <x:t xml:space="preserve">МАТ-0023</x:t>
        </x:is>
      </x:c>
      <x:c r="E142" s="31" t="inlineStr">
        <x:is>
          <x:t xml:space="preserve">Рабочее колесо</x:t>
        </x:is>
      </x:c>
      <x:c r="F142" s="31" t="n">
        <x:v>-5</x:v>
      </x:c>
      <x:c r="G142" s="31" t="inlineStr">
        <x:is>
          <x:t xml:space="preserve">шт</x:t>
        </x:is>
      </x:c>
      <x:c r="H142" s="31" t="inlineStr">
        <x:is>
          <x:t xml:space="preserve">ЗК-1116</x:t>
        </x:is>
      </x:c>
      <x:c r="I142" s="31" t="n"/>
      <x:c r="J142" s="31" t="inlineStr">
        <x:is>
          <x:t xml:space="preserve">Основной склад</x:t>
        </x:is>
      </x:c>
      <x:c r="K142" s="31" t="inlineStr">
        <x:is>
          <x:t xml:space="preserve">СОТР-033</x:t>
        </x:is>
      </x:c>
      <x:c r="L142" s="31" t="inlineStr">
        <x:is>
          <x:t xml:space="preserve">ДОК-5255</x:t>
        </x:is>
      </x:c>
      <x:c r="M142" s="31" t="inlineStr">
        <x:is>
          <x:t xml:space="preserve">Проведен</x:t>
        </x:is>
      </x:c>
    </x:row>
    <x:row r="143" ht="18" customHeight="1">
      <x:c r="A143" s="31" t="inlineStr">
        <x:is>
          <x:t xml:space="preserve">СКЛ-000142</x:t>
        </x:is>
      </x:c>
      <x:c r="B143" s="31" t="n">
        <x:v>46061</x:v>
      </x:c>
      <x:c r="C143" s="31" t="inlineStr">
        <x:is>
          <x:t xml:space="preserve">Резерв</x:t>
        </x:is>
      </x:c>
      <x:c r="D143" s="31" t="inlineStr">
        <x:is>
          <x:t xml:space="preserve">МАТ-0048</x:t>
        </x:is>
      </x:c>
      <x:c r="E143" s="31" t="inlineStr">
        <x:is>
          <x:t xml:space="preserve">Контактор 25А / исп.3</x:t>
        </x:is>
      </x:c>
      <x:c r="F143" s="31" t="n">
        <x:v>-16</x:v>
      </x:c>
      <x:c r="G143" s="31" t="inlineStr">
        <x:is>
          <x:t xml:space="preserve">шт</x:t>
        </x:is>
      </x:c>
      <x:c r="H143" s="31" t="inlineStr">
        <x:is>
          <x:t xml:space="preserve">ЗК-1071</x:t>
        </x:is>
      </x:c>
      <x:c r="I143" s="31" t="n"/>
      <x:c r="J143" s="31" t="inlineStr">
        <x:is>
          <x:t xml:space="preserve">Цеховой склад</x:t>
        </x:is>
      </x:c>
      <x:c r="K143" s="31" t="inlineStr">
        <x:is>
          <x:t xml:space="preserve">СОТР-038</x:t>
        </x:is>
      </x:c>
      <x:c r="L143" s="31" t="inlineStr">
        <x:is>
          <x:t xml:space="preserve">ДОК-6806</x:t>
        </x:is>
      </x:c>
      <x:c r="M143" s="31" t="inlineStr">
        <x:is>
          <x:t xml:space="preserve">Проведен</x:t>
        </x:is>
      </x:c>
    </x:row>
    <x:row r="144" ht="18" customHeight="1">
      <x:c r="A144" s="31" t="inlineStr">
        <x:is>
          <x:t xml:space="preserve">СКЛ-000143</x:t>
        </x:is>
      </x:c>
      <x:c r="B144" s="31" t="n">
        <x:v>46178</x:v>
      </x:c>
      <x:c r="C144" s="31" t="inlineStr">
        <x:is>
          <x:t xml:space="preserve">Выдача в производство</x:t>
        </x:is>
      </x:c>
      <x:c r="D144" s="31" t="inlineStr">
        <x:is>
          <x:t xml:space="preserve">МАТ-0066</x:t>
        </x:is>
      </x:c>
      <x:c r="E144" s="31" t="inlineStr">
        <x:is>
          <x:t xml:space="preserve">Гофра металлическая / исп.2</x:t>
        </x:is>
      </x:c>
      <x:c r="F144" s="31" t="n">
        <x:v>-23.55</x:v>
      </x:c>
      <x:c r="G144" s="31" t="inlineStr">
        <x:is>
          <x:t xml:space="preserve">кг</x:t>
        </x:is>
      </x:c>
      <x:c r="H144" s="31" t="inlineStr">
        <x:is>
          <x:t xml:space="preserve">ЗК-1046</x:t>
        </x:is>
      </x:c>
      <x:c r="I144" s="31" t="inlineStr">
        <x:is>
          <x:t xml:space="preserve">ПЗ-00012</x:t>
        </x:is>
      </x:c>
      <x:c r="J144" s="31" t="inlineStr">
        <x:is>
          <x:t xml:space="preserve">Основной склад</x:t>
        </x:is>
      </x:c>
      <x:c r="K144" s="31" t="inlineStr">
        <x:is>
          <x:t xml:space="preserve">СОТР-024</x:t>
        </x:is>
      </x:c>
      <x:c r="L144" s="31" t="inlineStr">
        <x:is>
          <x:t xml:space="preserve">ДОК-5967</x:t>
        </x:is>
      </x:c>
      <x:c r="M144" s="31" t="inlineStr">
        <x:is>
          <x:t xml:space="preserve">Проведен</x:t>
        </x:is>
      </x:c>
    </x:row>
    <x:row r="145" ht="18" customHeight="1">
      <x:c r="A145" s="31" t="inlineStr">
        <x:is>
          <x:t xml:space="preserve">СКЛ-000144</x:t>
        </x:is>
      </x:c>
      <x:c r="B145" s="31" t="n">
        <x:v>46132</x:v>
      </x:c>
      <x:c r="C145" s="31" t="inlineStr">
        <x:is>
          <x:t xml:space="preserve">Выдача в производство</x:t>
        </x:is>
      </x:c>
      <x:c r="D145" s="31" t="inlineStr">
        <x:is>
          <x:t xml:space="preserve">МАТ-0065</x:t>
        </x:is>
      </x:c>
      <x:c r="E145" s="31" t="inlineStr">
        <x:is>
          <x:t xml:space="preserve">Гофра металлическая</x:t>
        </x:is>
      </x:c>
      <x:c r="F145" s="31" t="n">
        <x:v>-4</x:v>
      </x:c>
      <x:c r="G145" s="31" t="inlineStr">
        <x:is>
          <x:t xml:space="preserve">шт</x:t>
        </x:is>
      </x:c>
      <x:c r="H145" s="31" t="inlineStr">
        <x:is>
          <x:t xml:space="preserve">ЗК-1082</x:t>
        </x:is>
      </x:c>
      <x:c r="I145" s="31" t="inlineStr">
        <x:is>
          <x:t xml:space="preserve">ПЗ-00149</x:t>
        </x:is>
      </x:c>
      <x:c r="J145" s="31" t="inlineStr">
        <x:is>
          <x:t xml:space="preserve">Основной склад</x:t>
        </x:is>
      </x:c>
      <x:c r="K145" s="31" t="inlineStr">
        <x:is>
          <x:t xml:space="preserve">СОТР-024</x:t>
        </x:is>
      </x:c>
      <x:c r="L145" s="31" t="inlineStr">
        <x:is>
          <x:t xml:space="preserve">ДОК-9656</x:t>
        </x:is>
      </x:c>
      <x:c r="M145" s="31" t="inlineStr">
        <x:is>
          <x:t xml:space="preserve">Проведен</x:t>
        </x:is>
      </x:c>
    </x:row>
    <x:row r="146" ht="18" customHeight="1">
      <x:c r="A146" s="31" t="inlineStr">
        <x:is>
          <x:t xml:space="preserve">СКЛ-000145</x:t>
        </x:is>
      </x:c>
      <x:c r="B146" s="31" t="n">
        <x:v>46064</x:v>
      </x:c>
      <x:c r="C146" s="31" t="inlineStr">
        <x:is>
          <x:t xml:space="preserve">Возврат</x:t>
        </x:is>
      </x:c>
      <x:c r="D146" s="31" t="inlineStr">
        <x:is>
          <x:t xml:space="preserve">МАТ-0073</x:t>
        </x:is>
      </x:c>
      <x:c r="E146" s="31" t="inlineStr">
        <x:is>
          <x:t xml:space="preserve">Растворитель / исп.2</x:t>
        </x:is>
      </x:c>
      <x:c r="F146" s="31" t="n">
        <x:v>16.01</x:v>
      </x:c>
      <x:c r="G146" s="31" t="inlineStr">
        <x:is>
          <x:t xml:space="preserve">л</x:t>
        </x:is>
      </x:c>
      <x:c r="H146" s="31" t="n"/>
      <x:c r="I146" s="31" t="n"/>
      <x:c r="J146" s="31" t="inlineStr">
        <x:is>
          <x:t xml:space="preserve">Цеховой склад</x:t>
        </x:is>
      </x:c>
      <x:c r="K146" s="31" t="inlineStr">
        <x:is>
          <x:t xml:space="preserve">СОТР-035</x:t>
        </x:is>
      </x:c>
      <x:c r="L146" s="31" t="inlineStr">
        <x:is>
          <x:t xml:space="preserve">ДОК-1376</x:t>
        </x:is>
      </x:c>
      <x:c r="M146" s="31" t="inlineStr">
        <x:is>
          <x:t xml:space="preserve">Проведен</x:t>
        </x:is>
      </x:c>
    </x:row>
    <x:row r="147" ht="18" customHeight="1">
      <x:c r="A147" s="31" t="inlineStr">
        <x:is>
          <x:t xml:space="preserve">СКЛ-000146</x:t>
        </x:is>
      </x:c>
      <x:c r="B147" s="31" t="n">
        <x:v>46156</x:v>
      </x:c>
      <x:c r="C147" s="31" t="inlineStr">
        <x:is>
          <x:t xml:space="preserve">Корректировка</x:t>
        </x:is>
      </x:c>
      <x:c r="D147" s="31" t="inlineStr">
        <x:is>
          <x:t xml:space="preserve">МАТ-0019</x:t>
        </x:is>
      </x:c>
      <x:c r="E147" s="31" t="inlineStr">
        <x:is>
          <x:t xml:space="preserve">Насос дозировочный</x:t>
        </x:is>
      </x:c>
      <x:c r="F147" s="31" t="n">
        <x:v>18</x:v>
      </x:c>
      <x:c r="G147" s="31" t="inlineStr">
        <x:is>
          <x:t xml:space="preserve">шт</x:t>
        </x:is>
      </x:c>
      <x:c r="H147" s="31" t="n"/>
      <x:c r="I147" s="31" t="n"/>
      <x:c r="J147" s="31" t="inlineStr">
        <x:is>
          <x:t xml:space="preserve">Основной склад</x:t>
        </x:is>
      </x:c>
      <x:c r="K147" s="31" t="inlineStr">
        <x:is>
          <x:t xml:space="preserve">СОТР-033</x:t>
        </x:is>
      </x:c>
      <x:c r="L147" s="31" t="inlineStr">
        <x:is>
          <x:t xml:space="preserve">ДОК-4053</x:t>
        </x:is>
      </x:c>
      <x:c r="M147" s="31" t="inlineStr">
        <x:is>
          <x:t xml:space="preserve">Проведен</x:t>
        </x:is>
      </x:c>
    </x:row>
    <x:row r="148" ht="18" customHeight="1">
      <x:c r="A148" s="31" t="inlineStr">
        <x:is>
          <x:t xml:space="preserve">СКЛ-000147</x:t>
        </x:is>
      </x:c>
      <x:c r="B148" s="31" t="n">
        <x:v>46156</x:v>
      </x:c>
      <x:c r="C148" s="31" t="inlineStr">
        <x:is>
          <x:t xml:space="preserve">Выдача в производство</x:t>
        </x:is>
      </x:c>
      <x:c r="D148" s="31" t="inlineStr">
        <x:is>
          <x:t xml:space="preserve">МАТ-0028</x:t>
        </x:is>
      </x:c>
      <x:c r="E148" s="31" t="inlineStr">
        <x:is>
          <x:t xml:space="preserve">Частотный преобразователь 15 кВт</x:t>
        </x:is>
      </x:c>
      <x:c r="F148" s="31" t="n">
        <x:v>-12</x:v>
      </x:c>
      <x:c r="G148" s="31" t="inlineStr">
        <x:is>
          <x:t xml:space="preserve">шт</x:t>
        </x:is>
      </x:c>
      <x:c r="H148" s="31" t="inlineStr">
        <x:is>
          <x:t xml:space="preserve">ЗК-1113</x:t>
        </x:is>
      </x:c>
      <x:c r="I148" s="31" t="inlineStr">
        <x:is>
          <x:t xml:space="preserve">ПЗ-00187</x:t>
        </x:is>
      </x:c>
      <x:c r="J148" s="31" t="inlineStr">
        <x:is>
          <x:t xml:space="preserve">Основной склад</x:t>
        </x:is>
      </x:c>
      <x:c r="K148" s="31" t="inlineStr">
        <x:is>
          <x:t xml:space="preserve">СОТР-038</x:t>
        </x:is>
      </x:c>
      <x:c r="L148" s="31" t="inlineStr">
        <x:is>
          <x:t xml:space="preserve">ДОК-2942</x:t>
        </x:is>
      </x:c>
      <x:c r="M148" s="31" t="inlineStr">
        <x:is>
          <x:t xml:space="preserve">Проведен</x:t>
        </x:is>
      </x:c>
    </x:row>
    <x:row r="149" ht="18" customHeight="1">
      <x:c r="A149" s="31" t="inlineStr">
        <x:is>
          <x:t xml:space="preserve">СКЛ-000148</x:t>
        </x:is>
      </x:c>
      <x:c r="B149" s="31" t="n">
        <x:v>46110</x:v>
      </x:c>
      <x:c r="C149" s="31" t="inlineStr">
        <x:is>
          <x:t xml:space="preserve">Выдача в производство</x:t>
        </x:is>
      </x:c>
      <x:c r="D149" s="31" t="inlineStr">
        <x:is>
          <x:t xml:space="preserve">МАТ-0002</x:t>
        </x:is>
      </x:c>
      <x:c r="E149" s="31" t="inlineStr">
        <x:is>
          <x:t xml:space="preserve">Лист стальной 09Г2С 12 мм</x:t>
        </x:is>
      </x:c>
      <x:c r="F149" s="31" t="n">
        <x:v>-46.55</x:v>
      </x:c>
      <x:c r="G149" s="31" t="inlineStr">
        <x:is>
          <x:t xml:space="preserve">кг</x:t>
        </x:is>
      </x:c>
      <x:c r="H149" s="31" t="inlineStr">
        <x:is>
          <x:t xml:space="preserve">ЗК-1101</x:t>
        </x:is>
      </x:c>
      <x:c r="I149" s="31" t="inlineStr">
        <x:is>
          <x:t xml:space="preserve">ПЗ-00103</x:t>
        </x:is>
      </x:c>
      <x:c r="J149" s="31" t="inlineStr">
        <x:is>
          <x:t xml:space="preserve">Цеховой склад</x:t>
        </x:is>
      </x:c>
      <x:c r="K149" s="31" t="inlineStr">
        <x:is>
          <x:t xml:space="preserve">СОТР-024</x:t>
        </x:is>
      </x:c>
      <x:c r="L149" s="31" t="inlineStr">
        <x:is>
          <x:t xml:space="preserve">ДОК-9488</x:t>
        </x:is>
      </x:c>
      <x:c r="M149" s="31" t="inlineStr">
        <x:is>
          <x:t xml:space="preserve">Проведен</x:t>
        </x:is>
      </x:c>
    </x:row>
    <x:row r="150" ht="18" customHeight="1">
      <x:c r="A150" s="31" t="inlineStr">
        <x:is>
          <x:t xml:space="preserve">СКЛ-000149</x:t>
        </x:is>
      </x:c>
      <x:c r="B150" s="31" t="n">
        <x:v>46162</x:v>
      </x:c>
      <x:c r="C150" s="31" t="inlineStr">
        <x:is>
          <x:t xml:space="preserve">Выдача в производство</x:t>
        </x:is>
      </x:c>
      <x:c r="D150" s="31" t="inlineStr">
        <x:is>
          <x:t xml:space="preserve">МАТ-0035</x:t>
        </x:is>
      </x:c>
      <x:c r="E150" s="31" t="inlineStr">
        <x:is>
          <x:t xml:space="preserve">Клапан электромагнитный 24В</x:t>
        </x:is>
      </x:c>
      <x:c r="F150" s="31" t="n">
        <x:v>-16</x:v>
      </x:c>
      <x:c r="G150" s="31" t="inlineStr">
        <x:is>
          <x:t xml:space="preserve">шт</x:t>
        </x:is>
      </x:c>
      <x:c r="H150" s="31" t="inlineStr">
        <x:is>
          <x:t xml:space="preserve">ЗК-1055</x:t>
        </x:is>
      </x:c>
      <x:c r="I150" s="31" t="inlineStr">
        <x:is>
          <x:t xml:space="preserve">ПЗ-00073</x:t>
        </x:is>
      </x:c>
      <x:c r="J150" s="31" t="inlineStr">
        <x:is>
          <x:t xml:space="preserve">Основной склад</x:t>
        </x:is>
      </x:c>
      <x:c r="K150" s="31" t="inlineStr">
        <x:is>
          <x:t xml:space="preserve">СОТР-033</x:t>
        </x:is>
      </x:c>
      <x:c r="L150" s="31" t="inlineStr">
        <x:is>
          <x:t xml:space="preserve">ДОК-3817</x:t>
        </x:is>
      </x:c>
      <x:c r="M150" s="31" t="inlineStr">
        <x:is>
          <x:t xml:space="preserve">Проведен</x:t>
        </x:is>
      </x:c>
    </x:row>
    <x:row r="151" ht="18" customHeight="1">
      <x:c r="A151" s="31" t="inlineStr">
        <x:is>
          <x:t xml:space="preserve">СКЛ-000150</x:t>
        </x:is>
      </x:c>
      <x:c r="B151" s="31" t="n">
        <x:v>46081</x:v>
      </x:c>
      <x:c r="C151" s="31" t="inlineStr">
        <x:is>
          <x:t xml:space="preserve">Резерв</x:t>
        </x:is>
      </x:c>
      <x:c r="D151" s="31" t="inlineStr">
        <x:is>
          <x:t xml:space="preserve">МАТ-0079</x:t>
        </x:is>
      </x:c>
      <x:c r="E151" s="31" t="inlineStr">
        <x:is>
          <x:t xml:space="preserve">Гайка М12 / исп.2</x:t>
        </x:is>
      </x:c>
      <x:c r="F151" s="31" t="n">
        <x:v>-20</x:v>
      </x:c>
      <x:c r="G151" s="31" t="inlineStr">
        <x:is>
          <x:t xml:space="preserve">шт</x:t>
        </x:is>
      </x:c>
      <x:c r="H151" s="31" t="inlineStr">
        <x:is>
          <x:t xml:space="preserve">ЗК-1076</x:t>
        </x:is>
      </x:c>
      <x:c r="I151" s="31" t="n"/>
      <x:c r="J151" s="31" t="inlineStr">
        <x:is>
          <x:t xml:space="preserve">Основной склад</x:t>
        </x:is>
      </x:c>
      <x:c r="K151" s="31" t="inlineStr">
        <x:is>
          <x:t xml:space="preserve">СОТР-038</x:t>
        </x:is>
      </x:c>
      <x:c r="L151" s="31" t="inlineStr">
        <x:is>
          <x:t xml:space="preserve">ДОК-3327</x:t>
        </x:is>
      </x:c>
      <x:c r="M151" s="31" t="inlineStr">
        <x:is>
          <x:t xml:space="preserve">Требует проверки</x:t>
        </x:is>
      </x:c>
    </x:row>
    <x:row r="152" ht="18" customHeight="1">
      <x:c r="A152" s="31" t="inlineStr">
        <x:is>
          <x:t xml:space="preserve">СКЛ-000151</x:t>
        </x:is>
      </x:c>
      <x:c r="B152" s="31" t="n">
        <x:v>46168</x:v>
      </x:c>
      <x:c r="C152" s="31" t="inlineStr">
        <x:is>
          <x:t xml:space="preserve">Выдача в производство</x:t>
        </x:is>
      </x:c>
      <x:c r="D152" s="31" t="inlineStr">
        <x:is>
          <x:t xml:space="preserve">МАТ-0056</x:t>
        </x:is>
      </x:c>
      <x:c r="E152" s="31" t="inlineStr">
        <x:is>
          <x:t xml:space="preserve">Задвижка Ду100</x:t>
        </x:is>
      </x:c>
      <x:c r="F152" s="31" t="n">
        <x:v>-14</x:v>
      </x:c>
      <x:c r="G152" s="31" t="inlineStr">
        <x:is>
          <x:t xml:space="preserve">шт</x:t>
        </x:is>
      </x:c>
      <x:c r="H152" s="31" t="inlineStr">
        <x:is>
          <x:t xml:space="preserve">ЗК-1030</x:t>
        </x:is>
      </x:c>
      <x:c r="I152" s="31" t="inlineStr">
        <x:is>
          <x:t xml:space="preserve">ПЗ-00123</x:t>
        </x:is>
      </x:c>
      <x:c r="J152" s="31" t="inlineStr">
        <x:is>
          <x:t xml:space="preserve">Основной склад</x:t>
        </x:is>
      </x:c>
      <x:c r="K152" s="31" t="inlineStr">
        <x:is>
          <x:t xml:space="preserve">СОТР-034</x:t>
        </x:is>
      </x:c>
      <x:c r="L152" s="31" t="inlineStr">
        <x:is>
          <x:t xml:space="preserve">ДОК-8700</x:t>
        </x:is>
      </x:c>
      <x:c r="M152" s="31" t="inlineStr">
        <x:is>
          <x:t xml:space="preserve">Проведен</x:t>
        </x:is>
      </x:c>
    </x:row>
    <x:row r="153" ht="18" customHeight="1">
      <x:c r="A153" s="31" t="inlineStr">
        <x:is>
          <x:t xml:space="preserve">СКЛ-000152</x:t>
        </x:is>
      </x:c>
      <x:c r="B153" s="31" t="n">
        <x:v>46187</x:v>
      </x:c>
      <x:c r="C153" s="31" t="inlineStr">
        <x:is>
          <x:t xml:space="preserve">Приход</x:t>
        </x:is>
      </x:c>
      <x:c r="D153" s="31" t="inlineStr">
        <x:is>
          <x:t xml:space="preserve">МАТ-0033</x:t>
        </x:is>
      </x:c>
      <x:c r="E153" s="31" t="inlineStr">
        <x:is>
          <x:t xml:space="preserve">Расходомер электромагнитный Ду50</x:t>
        </x:is>
      </x:c>
      <x:c r="F153" s="31" t="n">
        <x:v>7</x:v>
      </x:c>
      <x:c r="G153" s="31" t="inlineStr">
        <x:is>
          <x:t xml:space="preserve">шт</x:t>
        </x:is>
      </x:c>
      <x:c r="H153" s="31" t="n"/>
      <x:c r="I153" s="31" t="n"/>
      <x:c r="J153" s="31" t="inlineStr">
        <x:is>
          <x:t xml:space="preserve">Цеховой склад</x:t>
        </x:is>
      </x:c>
      <x:c r="K153" s="31" t="inlineStr">
        <x:is>
          <x:t xml:space="preserve">СОТР-037</x:t>
        </x:is>
      </x:c>
      <x:c r="L153" s="31" t="inlineStr">
        <x:is>
          <x:t xml:space="preserve">ДОК-6557</x:t>
        </x:is>
      </x:c>
      <x:c r="M153" s="31" t="inlineStr">
        <x:is>
          <x:t xml:space="preserve">Проведен</x:t>
        </x:is>
      </x:c>
    </x:row>
    <x:row r="154" ht="18" customHeight="1">
      <x:c r="A154" s="31" t="inlineStr">
        <x:is>
          <x:t xml:space="preserve">СКЛ-000153</x:t>
        </x:is>
      </x:c>
      <x:c r="B154" s="31" t="n">
        <x:v>46072</x:v>
      </x:c>
      <x:c r="C154" s="31" t="inlineStr">
        <x:is>
          <x:t xml:space="preserve">Возврат</x:t>
        </x:is>
      </x:c>
      <x:c r="D154" s="31" t="inlineStr">
        <x:is>
          <x:t xml:space="preserve">МАТ-0061</x:t>
        </x:is>
      </x:c>
      <x:c r="E154" s="31" t="inlineStr">
        <x:is>
          <x:t xml:space="preserve">Фильтр сетчатый Ду50 / исп.3</x:t>
        </x:is>
      </x:c>
      <x:c r="F154" s="31" t="n">
        <x:v>2</x:v>
      </x:c>
      <x:c r="G154" s="31" t="inlineStr">
        <x:is>
          <x:t xml:space="preserve">шт</x:t>
        </x:is>
      </x:c>
      <x:c r="H154" s="31" t="n"/>
      <x:c r="I154" s="31" t="n"/>
      <x:c r="J154" s="31" t="inlineStr">
        <x:is>
          <x:t xml:space="preserve">Брак/карантин</x:t>
        </x:is>
      </x:c>
      <x:c r="K154" s="31" t="inlineStr">
        <x:is>
          <x:t xml:space="preserve">СОТР-034</x:t>
        </x:is>
      </x:c>
      <x:c r="L154" s="31" t="inlineStr">
        <x:is>
          <x:t xml:space="preserve">ДОК-9420</x:t>
        </x:is>
      </x:c>
      <x:c r="M154" s="31" t="inlineStr">
        <x:is>
          <x:t xml:space="preserve">Проведен</x:t>
        </x:is>
      </x:c>
    </x:row>
    <x:row r="155" ht="18" customHeight="1">
      <x:c r="A155" s="31" t="inlineStr">
        <x:is>
          <x:t xml:space="preserve">СКЛ-000154</x:t>
        </x:is>
      </x:c>
      <x:c r="B155" s="31" t="n">
        <x:v>46064</x:v>
      </x:c>
      <x:c r="C155" s="31" t="inlineStr">
        <x:is>
          <x:t xml:space="preserve">Резерв</x:t>
        </x:is>
      </x:c>
      <x:c r="D155" s="31" t="inlineStr">
        <x:is>
          <x:t xml:space="preserve">МАТ-0059</x:t>
        </x:is>
      </x:c>
      <x:c r="E155" s="31" t="inlineStr">
        <x:is>
          <x:t xml:space="preserve">Фильтр сетчатый Ду50</x:t>
        </x:is>
      </x:c>
      <x:c r="F155" s="31" t="n">
        <x:v>-14</x:v>
      </x:c>
      <x:c r="G155" s="31" t="inlineStr">
        <x:is>
          <x:t xml:space="preserve">шт</x:t>
        </x:is>
      </x:c>
      <x:c r="H155" s="31" t="inlineStr">
        <x:is>
          <x:t xml:space="preserve">ЗК-1009</x:t>
        </x:is>
      </x:c>
      <x:c r="I155" s="31" t="n"/>
      <x:c r="J155" s="31" t="inlineStr">
        <x:is>
          <x:t xml:space="preserve">Основной склад</x:t>
        </x:is>
      </x:c>
      <x:c r="K155" s="31" t="inlineStr">
        <x:is>
          <x:t xml:space="preserve">СОТР-037</x:t>
        </x:is>
      </x:c>
      <x:c r="L155" s="31" t="inlineStr">
        <x:is>
          <x:t xml:space="preserve">ДОК-1290</x:t>
        </x:is>
      </x:c>
      <x:c r="M155" s="31" t="inlineStr">
        <x:is>
          <x:t xml:space="preserve">Проведен</x:t>
        </x:is>
      </x:c>
    </x:row>
    <x:row r="156" ht="18" customHeight="1">
      <x:c r="A156" s="31" t="inlineStr">
        <x:is>
          <x:t xml:space="preserve">СКЛ-000155</x:t>
        </x:is>
      </x:c>
      <x:c r="B156" s="31" t="n">
        <x:v>46147</x:v>
      </x:c>
      <x:c r="C156" s="31" t="inlineStr">
        <x:is>
          <x:t xml:space="preserve">Выдача в производство</x:t>
        </x:is>
      </x:c>
      <x:c r="D156" s="31" t="inlineStr">
        <x:is>
          <x:t xml:space="preserve">МАТ-0050</x:t>
        </x:is>
      </x:c>
      <x:c r="E156" s="31" t="inlineStr">
        <x:is>
          <x:t xml:space="preserve">панель оператора 7"</x:t>
        </x:is>
      </x:c>
      <x:c r="F156" s="31" t="n">
        <x:v>-9</x:v>
      </x:c>
      <x:c r="G156" s="31" t="inlineStr">
        <x:is>
          <x:t xml:space="preserve">шт</x:t>
        </x:is>
      </x:c>
      <x:c r="H156" s="31" t="inlineStr">
        <x:is>
          <x:t xml:space="preserve">ЗК-1114</x:t>
        </x:is>
      </x:c>
      <x:c r="I156" s="31" t="inlineStr">
        <x:is>
          <x:t xml:space="preserve">ПЗ-00147</x:t>
        </x:is>
      </x:c>
      <x:c r="J156" s="31" t="inlineStr">
        <x:is>
          <x:t xml:space="preserve">Основной склад</x:t>
        </x:is>
      </x:c>
      <x:c r="K156" s="31" t="inlineStr">
        <x:is>
          <x:t xml:space="preserve">СОТР-037</x:t>
        </x:is>
      </x:c>
      <x:c r="L156" s="31" t="inlineStr">
        <x:is>
          <x:t xml:space="preserve">ДОК-4498</x:t>
        </x:is>
      </x:c>
      <x:c r="M156" s="31" t="inlineStr">
        <x:is>
          <x:t xml:space="preserve">Проведен</x:t>
        </x:is>
      </x:c>
    </x:row>
    <x:row r="157" ht="18" customHeight="1">
      <x:c r="A157" s="31" t="inlineStr">
        <x:is>
          <x:t xml:space="preserve">СКЛ-000156</x:t>
        </x:is>
      </x:c>
      <x:c r="B157" s="31" t="n">
        <x:v>46049</x:v>
      </x:c>
      <x:c r="C157" s="31" t="inlineStr">
        <x:is>
          <x:t xml:space="preserve">Резерв</x:t>
        </x:is>
      </x:c>
      <x:c r="D157" s="31" t="inlineStr">
        <x:is>
          <x:t xml:space="preserve">МАТ-0083</x:t>
        </x:is>
      </x:c>
      <x:c r="E157" s="31" t="inlineStr">
        <x:is>
          <x:t xml:space="preserve">Анкер М16</x:t>
        </x:is>
      </x:c>
      <x:c r="F157" s="31" t="n">
        <x:v>-20</x:v>
      </x:c>
      <x:c r="G157" s="31" t="inlineStr">
        <x:is>
          <x:t xml:space="preserve">шт</x:t>
        </x:is>
      </x:c>
      <x:c r="H157" s="31" t="inlineStr">
        <x:is>
          <x:t xml:space="preserve">ЗК-1051</x:t>
        </x:is>
      </x:c>
      <x:c r="I157" s="31" t="n"/>
      <x:c r="J157" s="31" t="inlineStr">
        <x:is>
          <x:t xml:space="preserve">Основной склад</x:t>
        </x:is>
      </x:c>
      <x:c r="K157" s="31" t="inlineStr">
        <x:is>
          <x:t xml:space="preserve">СОТР-035</x:t>
        </x:is>
      </x:c>
      <x:c r="L157" s="31" t="inlineStr">
        <x:is>
          <x:t xml:space="preserve">ДОК-4051</x:t>
        </x:is>
      </x:c>
      <x:c r="M157" s="31" t="inlineStr">
        <x:is>
          <x:t xml:space="preserve">Черновик</x:t>
        </x:is>
      </x:c>
    </x:row>
    <x:row r="158" ht="18" customHeight="1">
      <x:c r="A158" s="31" t="inlineStr">
        <x:is>
          <x:t xml:space="preserve">СКЛ-000157</x:t>
        </x:is>
      </x:c>
      <x:c r="B158" s="31" t="n">
        <x:v>46200</x:v>
      </x:c>
      <x:c r="C158" s="31" t="inlineStr">
        <x:is>
          <x:t xml:space="preserve">Возврат</x:t>
        </x:is>
      </x:c>
      <x:c r="D158" s="31" t="inlineStr">
        <x:is>
          <x:t xml:space="preserve">МАТ-0016</x:t>
        </x:is>
      </x:c>
      <x:c r="E158" s="31" t="inlineStr">
        <x:is>
          <x:t xml:space="preserve">Насос центробежный 15 кВт / исп.2</x:t>
        </x:is>
      </x:c>
      <x:c r="F158" s="31" t="n">
        <x:v>14</x:v>
      </x:c>
      <x:c r="G158" s="31" t="inlineStr">
        <x:is>
          <x:t xml:space="preserve">шт</x:t>
        </x:is>
      </x:c>
      <x:c r="H158" s="31" t="n"/>
      <x:c r="I158" s="31" t="n"/>
      <x:c r="J158" s="31" t="inlineStr">
        <x:is>
          <x:t xml:space="preserve">Цеховой склад</x:t>
        </x:is>
      </x:c>
      <x:c r="K158" s="31" t="inlineStr">
        <x:is>
          <x:t xml:space="preserve">СОТР-039</x:t>
        </x:is>
      </x:c>
      <x:c r="L158" s="31" t="inlineStr">
        <x:is>
          <x:t xml:space="preserve">ДОК-1818</x:t>
        </x:is>
      </x:c>
      <x:c r="M158" s="31" t="inlineStr">
        <x:is>
          <x:t xml:space="preserve">Черновик</x:t>
        </x:is>
      </x:c>
    </x:row>
    <x:row r="159" ht="18" customHeight="1">
      <x:c r="A159" s="31" t="inlineStr">
        <x:is>
          <x:t xml:space="preserve">СКЛ-000158</x:t>
        </x:is>
      </x:c>
      <x:c r="B159" s="31" t="n">
        <x:v>46196</x:v>
      </x:c>
      <x:c r="C159" s="31" t="inlineStr">
        <x:is>
          <x:t xml:space="preserve">Выдача в производство</x:t>
        </x:is>
      </x:c>
      <x:c r="D159" s="31" t="inlineStr">
        <x:is>
          <x:t xml:space="preserve">МАТ-0055</x:t>
        </x:is>
      </x:c>
      <x:c r="E159" s="31" t="inlineStr">
        <x:is>
          <x:t xml:space="preserve">Клапан обратный Ду50</x:t>
        </x:is>
      </x:c>
      <x:c r="F159" s="31" t="n">
        <x:v>-16</x:v>
      </x:c>
      <x:c r="G159" s="31" t="inlineStr">
        <x:is>
          <x:t xml:space="preserve">шт</x:t>
        </x:is>
      </x:c>
      <x:c r="H159" s="31" t="inlineStr">
        <x:is>
          <x:t xml:space="preserve">ЗК-1052</x:t>
        </x:is>
      </x:c>
      <x:c r="I159" s="31" t="inlineStr">
        <x:is>
          <x:t xml:space="preserve">ПЗ-00241</x:t>
        </x:is>
      </x:c>
      <x:c r="J159" s="31" t="inlineStr">
        <x:is>
          <x:t xml:space="preserve">Основной склад</x:t>
        </x:is>
      </x:c>
      <x:c r="K159" s="31" t="inlineStr">
        <x:is>
          <x:t xml:space="preserve">СОТР-024</x:t>
        </x:is>
      </x:c>
      <x:c r="L159" s="31" t="inlineStr">
        <x:is>
          <x:t xml:space="preserve">ДОК-2598</x:t>
        </x:is>
      </x:c>
      <x:c r="M159" s="31" t="inlineStr">
        <x:is>
          <x:t xml:space="preserve">Проведен</x:t>
        </x:is>
      </x:c>
    </x:row>
    <x:row r="160" ht="18" customHeight="1">
      <x:c r="A160" s="31" t="inlineStr">
        <x:is>
          <x:t xml:space="preserve">СКЛ-000159</x:t>
        </x:is>
      </x:c>
      <x:c r="B160" s="31" t="n">
        <x:v>46161</x:v>
      </x:c>
      <x:c r="C160" s="31" t="inlineStr">
        <x:is>
          <x:t xml:space="preserve">Резерв</x:t>
        </x:is>
      </x:c>
      <x:c r="D160" s="31" t="inlineStr">
        <x:is>
          <x:t xml:space="preserve">МАТ-0008</x:t>
        </x:is>
      </x:c>
      <x:c r="E160" s="31" t="inlineStr">
        <x:is>
          <x:t xml:space="preserve">Швеллер 12П</x:t>
        </x:is>
      </x:c>
      <x:c r="F160" s="31" t="n">
        <x:v>-8</x:v>
      </x:c>
      <x:c r="G160" s="31" t="inlineStr">
        <x:is>
          <x:t xml:space="preserve">шт</x:t>
        </x:is>
      </x:c>
      <x:c r="H160" s="31" t="inlineStr">
        <x:is>
          <x:t xml:space="preserve">ЗК-1109</x:t>
        </x:is>
      </x:c>
      <x:c r="I160" s="31" t="n"/>
      <x:c r="J160" s="31" t="inlineStr">
        <x:is>
          <x:t xml:space="preserve">Основной склад</x:t>
        </x:is>
      </x:c>
      <x:c r="K160" s="31" t="inlineStr">
        <x:is>
          <x:t xml:space="preserve">СОТР-039</x:t>
        </x:is>
      </x:c>
      <x:c r="L160" s="31" t="inlineStr">
        <x:is>
          <x:t xml:space="preserve">ДОК-3841</x:t>
        </x:is>
      </x:c>
      <x:c r="M160" s="31" t="inlineStr">
        <x:is>
          <x:t xml:space="preserve">Проведен</x:t>
        </x:is>
      </x:c>
    </x:row>
    <x:row r="161" ht="18" customHeight="1">
      <x:c r="A161" s="31" t="inlineStr">
        <x:is>
          <x:t xml:space="preserve">СКЛ-000160</x:t>
        </x:is>
      </x:c>
      <x:c r="B161" s="31" t="n">
        <x:v>46189</x:v>
      </x:c>
      <x:c r="C161" s="31" t="inlineStr">
        <x:is>
          <x:t xml:space="preserve">Выдача в производство</x:t>
        </x:is>
      </x:c>
      <x:c r="D161" s="31" t="inlineStr">
        <x:is>
          <x:t xml:space="preserve">МАТ-0011</x:t>
        </x:is>
      </x:c>
      <x:c r="E161" s="31" t="inlineStr">
        <x:is>
          <x:t xml:space="preserve">Фланец Ду50 Ру16 / исп.3</x:t>
        </x:is>
      </x:c>
      <x:c r="F161" s="31" t="n">
        <x:v>-16</x:v>
      </x:c>
      <x:c r="G161" s="31" t="inlineStr">
        <x:is>
          <x:t xml:space="preserve">шт</x:t>
        </x:is>
      </x:c>
      <x:c r="H161" s="31" t="inlineStr">
        <x:is>
          <x:t xml:space="preserve">ЗК-1093</x:t>
        </x:is>
      </x:c>
      <x:c r="I161" s="31" t="inlineStr">
        <x:is>
          <x:t xml:space="preserve">ПЗ-00241</x:t>
        </x:is>
      </x:c>
      <x:c r="J161" s="31" t="inlineStr">
        <x:is>
          <x:t xml:space="preserve">Цеховой склад</x:t>
        </x:is>
      </x:c>
      <x:c r="K161" s="31" t="inlineStr">
        <x:is>
          <x:t xml:space="preserve">СОТР-035</x:t>
        </x:is>
      </x:c>
      <x:c r="L161" s="31" t="inlineStr">
        <x:is>
          <x:t xml:space="preserve">ДОК-4086</x:t>
        </x:is>
      </x:c>
      <x:c r="M161" s="31" t="inlineStr">
        <x:is>
          <x:t xml:space="preserve">Проведен</x:t>
        </x:is>
      </x:c>
    </x:row>
    <x:row r="162" ht="18" customHeight="1">
      <x:c r="A162" s="31" t="inlineStr">
        <x:is>
          <x:t xml:space="preserve">СКЛ-000161</x:t>
        </x:is>
      </x:c>
      <x:c r="B162" s="31" t="n">
        <x:v>46085</x:v>
      </x:c>
      <x:c r="C162" s="31" t="inlineStr">
        <x:is>
          <x:t xml:space="preserve">Приход</x:t>
        </x:is>
      </x:c>
      <x:c r="D162" s="31" t="inlineStr">
        <x:is>
          <x:t xml:space="preserve">МАТ-0037</x:t>
        </x:is>
      </x:c>
      <x:c r="E162" s="31" t="inlineStr">
        <x:is>
          <x:t xml:space="preserve">Клапан электромагнитный 24В / исп.3</x:t>
        </x:is>
      </x:c>
      <x:c r="F162" s="31" t="n">
        <x:v>11</x:v>
      </x:c>
      <x:c r="G162" s="31" t="inlineStr">
        <x:is>
          <x:t xml:space="preserve">шт</x:t>
        </x:is>
      </x:c>
      <x:c r="H162" s="31" t="n"/>
      <x:c r="I162" s="31" t="n"/>
      <x:c r="J162" s="31" t="inlineStr">
        <x:is>
          <x:t xml:space="preserve">Основной склад</x:t>
        </x:is>
      </x:c>
      <x:c r="K162" s="31" t="inlineStr">
        <x:is>
          <x:t xml:space="preserve">СОТР-034</x:t>
        </x:is>
      </x:c>
      <x:c r="L162" s="31" t="inlineStr">
        <x:is>
          <x:t xml:space="preserve">ДОК-3194</x:t>
        </x:is>
      </x:c>
      <x:c r="M162" s="31" t="inlineStr">
        <x:is>
          <x:t xml:space="preserve">Проведен</x:t>
        </x:is>
      </x:c>
    </x:row>
    <x:row r="163" ht="18" customHeight="1">
      <x:c r="A163" s="31" t="inlineStr">
        <x:is>
          <x:t xml:space="preserve">СКЛ-000162</x:t>
        </x:is>
      </x:c>
      <x:c r="B163" s="31" t="n">
        <x:v>46153</x:v>
      </x:c>
      <x:c r="C163" s="31" t="inlineStr">
        <x:is>
          <x:t xml:space="preserve">Списание</x:t>
        </x:is>
      </x:c>
      <x:c r="D163" s="31" t="inlineStr">
        <x:is>
          <x:t xml:space="preserve">МАТ-0047</x:t>
        </x:is>
      </x:c>
      <x:c r="E163" s="31" t="inlineStr">
        <x:is>
          <x:t xml:space="preserve">Контактор 25А / исп.2</x:t>
        </x:is>
      </x:c>
      <x:c r="F163" s="31" t="n">
        <x:v>-16</x:v>
      </x:c>
      <x:c r="G163" s="31" t="inlineStr">
        <x:is>
          <x:t xml:space="preserve">шт</x:t>
        </x:is>
      </x:c>
      <x:c r="H163" s="31" t="n"/>
      <x:c r="I163" s="31" t="n"/>
      <x:c r="J163" s="31" t="inlineStr">
        <x:is>
          <x:t xml:space="preserve">Основной склад</x:t>
        </x:is>
      </x:c>
      <x:c r="K163" s="31" t="inlineStr">
        <x:is>
          <x:t xml:space="preserve">СОТР-034</x:t>
        </x:is>
      </x:c>
      <x:c r="L163" s="31" t="inlineStr">
        <x:is>
          <x:t xml:space="preserve">ДОК-8470</x:t>
        </x:is>
      </x:c>
      <x:c r="M163" s="31" t="inlineStr">
        <x:is>
          <x:t xml:space="preserve">Проведен</x:t>
        </x:is>
      </x:c>
    </x:row>
    <x:row r="164" ht="18" customHeight="1">
      <x:c r="A164" s="31" t="inlineStr">
        <x:is>
          <x:t xml:space="preserve">СКЛ-000163</x:t>
        </x:is>
      </x:c>
      <x:c r="B164" s="31" t="n">
        <x:v>46073</x:v>
      </x:c>
      <x:c r="C164" s="31" t="inlineStr">
        <x:is>
          <x:t xml:space="preserve">Резерв</x:t>
        </x:is>
      </x:c>
      <x:c r="D164" s="31" t="inlineStr">
        <x:is>
          <x:t xml:space="preserve">МАТ-0047</x:t>
        </x:is>
      </x:c>
      <x:c r="E164" s="31" t="inlineStr">
        <x:is>
          <x:t xml:space="preserve">Контактор 25А / исп.2</x:t>
        </x:is>
      </x:c>
      <x:c r="F164" s="31" t="n">
        <x:v>-2</x:v>
      </x:c>
      <x:c r="G164" s="31" t="inlineStr">
        <x:is>
          <x:t xml:space="preserve">шт</x:t>
        </x:is>
      </x:c>
      <x:c r="H164" s="31" t="inlineStr">
        <x:is>
          <x:t xml:space="preserve">ЗК-1068</x:t>
        </x:is>
      </x:c>
      <x:c r="I164" s="31" t="n"/>
      <x:c r="J164" s="31" t="inlineStr">
        <x:is>
          <x:t xml:space="preserve">Брак/карантин</x:t>
        </x:is>
      </x:c>
      <x:c r="K164" s="31" t="inlineStr">
        <x:is>
          <x:t xml:space="preserve">СОТР-037</x:t>
        </x:is>
      </x:c>
      <x:c r="L164" s="31" t="inlineStr">
        <x:is>
          <x:t xml:space="preserve">ДОК-4058</x:t>
        </x:is>
      </x:c>
      <x:c r="M164" s="31" t="inlineStr">
        <x:is>
          <x:t xml:space="preserve">Проведен</x:t>
        </x:is>
      </x:c>
    </x:row>
    <x:row r="165" ht="18" customHeight="1">
      <x:c r="A165" s="31" t="inlineStr">
        <x:is>
          <x:t xml:space="preserve">СКЛ-000164</x:t>
        </x:is>
      </x:c>
      <x:c r="B165" s="31" t="n">
        <x:v>46127</x:v>
      </x:c>
      <x:c r="C165" s="31" t="inlineStr">
        <x:is>
          <x:t xml:space="preserve">Выдача в производство</x:t>
        </x:is>
      </x:c>
      <x:c r="D165" s="31" t="inlineStr">
        <x:is>
          <x:t xml:space="preserve">МАТ-0037</x:t>
        </x:is>
      </x:c>
      <x:c r="E165" s="31" t="inlineStr">
        <x:is>
          <x:t xml:space="preserve">Клапан электромагнитный 24В / исп.3</x:t>
        </x:is>
      </x:c>
      <x:c r="F165" s="31" t="n">
        <x:v>-8</x:v>
      </x:c>
      <x:c r="G165" s="31" t="inlineStr">
        <x:is>
          <x:t xml:space="preserve">шт</x:t>
        </x:is>
      </x:c>
      <x:c r="H165" s="31" t="inlineStr">
        <x:is>
          <x:t xml:space="preserve">ЗК-1090</x:t>
        </x:is>
      </x:c>
      <x:c r="I165" s="31" t="inlineStr">
        <x:is>
          <x:t xml:space="preserve">ПЗ-00018</x:t>
        </x:is>
      </x:c>
      <x:c r="J165" s="31" t="inlineStr">
        <x:is>
          <x:t xml:space="preserve">Основной склад</x:t>
        </x:is>
      </x:c>
      <x:c r="K165" s="31" t="inlineStr">
        <x:is>
          <x:t xml:space="preserve">СОТР-035</x:t>
        </x:is>
      </x:c>
      <x:c r="L165" s="31" t="inlineStr">
        <x:is>
          <x:t xml:space="preserve">ДОК-7491</x:t>
        </x:is>
      </x:c>
      <x:c r="M165" s="31" t="inlineStr">
        <x:is>
          <x:t xml:space="preserve">Проведен</x:t>
        </x:is>
      </x:c>
    </x:row>
    <x:row r="166" ht="18" customHeight="1">
      <x:c r="A166" s="31" t="inlineStr">
        <x:is>
          <x:t xml:space="preserve">СКЛ-000165</x:t>
        </x:is>
      </x:c>
      <x:c r="B166" s="31" t="n">
        <x:v>46076</x:v>
      </x:c>
      <x:c r="C166" s="31" t="inlineStr">
        <x:is>
          <x:t xml:space="preserve">Резерв</x:t>
        </x:is>
      </x:c>
      <x:c r="D166" s="31" t="inlineStr">
        <x:is>
          <x:t xml:space="preserve">МАТ-0069</x:t>
        </x:is>
      </x:c>
      <x:c r="E166" s="31" t="inlineStr">
        <x:is>
          <x:t xml:space="preserve">Эмаль полиуретановая</x:t>
        </x:is>
      </x:c>
      <x:c r="F166" s="31" t="n">
        <x:v>-69.98</x:v>
      </x:c>
      <x:c r="G166" s="31" t="inlineStr">
        <x:is>
          <x:t xml:space="preserve">л</x:t>
        </x:is>
      </x:c>
      <x:c r="H166" s="31" t="inlineStr">
        <x:is>
          <x:t xml:space="preserve">ЗК-1101</x:t>
        </x:is>
      </x:c>
      <x:c r="I166" s="31" t="n"/>
      <x:c r="J166" s="31" t="inlineStr">
        <x:is>
          <x:t xml:space="preserve">Цеховой склад</x:t>
        </x:is>
      </x:c>
      <x:c r="K166" s="31" t="inlineStr">
        <x:is>
          <x:t xml:space="preserve">СОТР-024</x:t>
        </x:is>
      </x:c>
      <x:c r="L166" s="31" t="inlineStr">
        <x:is>
          <x:t xml:space="preserve">ДОК-5675</x:t>
        </x:is>
      </x:c>
      <x:c r="M166" s="31" t="inlineStr">
        <x:is>
          <x:t xml:space="preserve">Проведен</x:t>
        </x:is>
      </x:c>
    </x:row>
    <x:row r="167" ht="18" customHeight="1">
      <x:c r="A167" s="31" t="inlineStr">
        <x:is>
          <x:t xml:space="preserve">СКЛ-000166</x:t>
        </x:is>
      </x:c>
      <x:c r="B167" s="31" t="n">
        <x:v>46200</x:v>
      </x:c>
      <x:c r="C167" s="31" t="inlineStr">
        <x:is>
          <x:t xml:space="preserve">Выдача в производство</x:t>
        </x:is>
      </x:c>
      <x:c r="D167" s="31" t="inlineStr">
        <x:is>
          <x:t xml:space="preserve">МАТ-0089</x:t>
        </x:is>
      </x:c>
      <x:c r="E167" s="31" t="inlineStr">
        <x:is>
          <x:t xml:space="preserve">Маркировочная этикетка</x:t>
        </x:is>
      </x:c>
      <x:c r="F167" s="31" t="n">
        <x:v>-12</x:v>
      </x:c>
      <x:c r="G167" s="31" t="inlineStr">
        <x:is>
          <x:t xml:space="preserve">шт</x:t>
        </x:is>
      </x:c>
      <x:c r="H167" s="31" t="inlineStr">
        <x:is>
          <x:t xml:space="preserve">ЗК-1117</x:t>
        </x:is>
      </x:c>
      <x:c r="I167" s="31" t="inlineStr">
        <x:is>
          <x:t xml:space="preserve">ПЗ-00127</x:t>
        </x:is>
      </x:c>
      <x:c r="J167" s="31" t="inlineStr">
        <x:is>
          <x:t xml:space="preserve">Основной склад</x:t>
        </x:is>
      </x:c>
      <x:c r="K167" s="31" t="inlineStr">
        <x:is>
          <x:t xml:space="preserve">СОТР-036</x:t>
        </x:is>
      </x:c>
      <x:c r="L167" s="31" t="inlineStr">
        <x:is>
          <x:t xml:space="preserve">ДОК-8324</x:t>
        </x:is>
      </x:c>
      <x:c r="M167" s="31" t="inlineStr">
        <x:is>
          <x:t xml:space="preserve">Проведен</x:t>
        </x:is>
      </x:c>
    </x:row>
    <x:row r="168" ht="18" customHeight="1">
      <x:c r="A168" s="31" t="inlineStr">
        <x:is>
          <x:t xml:space="preserve">СКЛ-000167</x:t>
        </x:is>
      </x:c>
      <x:c r="B168" s="31" t="n">
        <x:v>46093</x:v>
      </x:c>
      <x:c r="C168" s="31" t="inlineStr">
        <x:is>
          <x:t xml:space="preserve">Списание</x:t>
        </x:is>
      </x:c>
      <x:c r="D168" s="31" t="inlineStr">
        <x:is>
          <x:t xml:space="preserve">МАТ-0008</x:t>
        </x:is>
      </x:c>
      <x:c r="E168" s="31" t="inlineStr">
        <x:is>
          <x:t xml:space="preserve">Швеллер 12П</x:t>
        </x:is>
      </x:c>
      <x:c r="F168" s="31" t="n">
        <x:v>-19</x:v>
      </x:c>
      <x:c r="G168" s="31" t="inlineStr">
        <x:is>
          <x:t xml:space="preserve">шт</x:t>
        </x:is>
      </x:c>
      <x:c r="H168" s="31" t="n"/>
      <x:c r="I168" s="31" t="n"/>
      <x:c r="J168" s="31" t="inlineStr">
        <x:is>
          <x:t xml:space="preserve">Основной склад</x:t>
        </x:is>
      </x:c>
      <x:c r="K168" s="31" t="inlineStr">
        <x:is>
          <x:t xml:space="preserve">СОТР-034</x:t>
        </x:is>
      </x:c>
      <x:c r="L168" s="31" t="inlineStr">
        <x:is>
          <x:t xml:space="preserve">ДОК-9621</x:t>
        </x:is>
      </x:c>
      <x:c r="M168" s="31" t="inlineStr">
        <x:is>
          <x:t xml:space="preserve">Проведен</x:t>
        </x:is>
      </x:c>
    </x:row>
    <x:row r="169" ht="18" customHeight="1">
      <x:c r="A169" s="31" t="inlineStr">
        <x:is>
          <x:t xml:space="preserve">СКЛ-000168</x:t>
        </x:is>
      </x:c>
      <x:c r="B169" s="31" t="n">
        <x:v>46110</x:v>
      </x:c>
      <x:c r="C169" s="31" t="inlineStr">
        <x:is>
          <x:t xml:space="preserve">Выдача в производство</x:t>
        </x:is>
      </x:c>
      <x:c r="D169" s="31" t="inlineStr">
        <x:is>
          <x:t xml:space="preserve">МАТ-0017</x:t>
        </x:is>
      </x:c>
      <x:c r="E169" s="31" t="inlineStr">
        <x:is>
          <x:t xml:space="preserve">Насос шестеренный 7.5 кВт</x:t>
        </x:is>
      </x:c>
      <x:c r="F169" s="31" t="n">
        <x:v>-11</x:v>
      </x:c>
      <x:c r="G169" s="31" t="inlineStr">
        <x:is>
          <x:t xml:space="preserve">шт</x:t>
        </x:is>
      </x:c>
      <x:c r="H169" s="31" t="inlineStr">
        <x:is>
          <x:t xml:space="preserve">ЗК-1012</x:t>
        </x:is>
      </x:c>
      <x:c r="I169" s="31" t="inlineStr">
        <x:is>
          <x:t xml:space="preserve">ПЗ-00077</x:t>
        </x:is>
      </x:c>
      <x:c r="J169" s="31" t="inlineStr">
        <x:is>
          <x:t xml:space="preserve">Основной склад</x:t>
        </x:is>
      </x:c>
      <x:c r="K169" s="31" t="inlineStr">
        <x:is>
          <x:t xml:space="preserve">СОТР-038</x:t>
        </x:is>
      </x:c>
      <x:c r="L169" s="31" t="inlineStr">
        <x:is>
          <x:t xml:space="preserve">ДОК-8769</x:t>
        </x:is>
      </x:c>
      <x:c r="M169" s="31" t="inlineStr">
        <x:is>
          <x:t xml:space="preserve">Проведен</x:t>
        </x:is>
      </x:c>
    </x:row>
    <x:row r="170" ht="18" customHeight="1">
      <x:c r="A170" s="31" t="inlineStr">
        <x:is>
          <x:t xml:space="preserve">СКЛ-000169</x:t>
        </x:is>
      </x:c>
      <x:c r="B170" s="31" t="n">
        <x:v>46165</x:v>
      </x:c>
      <x:c r="C170" s="31" t="inlineStr">
        <x:is>
          <x:t xml:space="preserve">Резерв</x:t>
        </x:is>
      </x:c>
      <x:c r="D170" s="31" t="inlineStr">
        <x:is>
          <x:t xml:space="preserve">МАТ-0038</x:t>
        </x:is>
      </x:c>
      <x:c r="E170" s="31" t="inlineStr">
        <x:is>
          <x:t xml:space="preserve">ПЛК 24 дискр. входа / 16 дискр. выхода</x:t>
        </x:is>
      </x:c>
      <x:c r="F170" s="31" t="n">
        <x:v>-15</x:v>
      </x:c>
      <x:c r="G170" s="31" t="inlineStr">
        <x:is>
          <x:t xml:space="preserve">шт</x:t>
        </x:is>
      </x:c>
      <x:c r="H170" s="31" t="inlineStr">
        <x:is>
          <x:t xml:space="preserve">ЗК-1092</x:t>
        </x:is>
      </x:c>
      <x:c r="I170" s="31" t="n"/>
      <x:c r="J170" s="31" t="inlineStr">
        <x:is>
          <x:t xml:space="preserve">Основной склад</x:t>
        </x:is>
      </x:c>
      <x:c r="K170" s="31" t="inlineStr">
        <x:is>
          <x:t xml:space="preserve">СОТР-033</x:t>
        </x:is>
      </x:c>
      <x:c r="L170" s="31" t="inlineStr">
        <x:is>
          <x:t xml:space="preserve">ДОК-9516</x:t>
        </x:is>
      </x:c>
      <x:c r="M170" s="31" t="inlineStr">
        <x:is>
          <x:t xml:space="preserve">Требует проверки</x:t>
        </x:is>
      </x:c>
    </x:row>
    <x:row r="171" ht="18" customHeight="1">
      <x:c r="A171" s="31" t="inlineStr">
        <x:is>
          <x:t xml:space="preserve">СКЛ-000170</x:t>
        </x:is>
      </x:c>
      <x:c r="B171" s="31" t="n">
        <x:v>46051</x:v>
      </x:c>
      <x:c r="C171" s="31" t="inlineStr">
        <x:is>
          <x:t xml:space="preserve">Выдача в производство</x:t>
        </x:is>
      </x:c>
      <x:c r="D171" s="31" t="inlineStr">
        <x:is>
          <x:t xml:space="preserve">МАТ-0073</x:t>
        </x:is>
      </x:c>
      <x:c r="E171" s="31" t="inlineStr">
        <x:is>
          <x:t xml:space="preserve">Растворитель / исп.2</x:t>
        </x:is>
      </x:c>
      <x:c r="F171" s="31" t="n">
        <x:v>-57.69</x:v>
      </x:c>
      <x:c r="G171" s="31" t="inlineStr">
        <x:is>
          <x:t xml:space="preserve">л</x:t>
        </x:is>
      </x:c>
      <x:c r="H171" s="31" t="inlineStr">
        <x:is>
          <x:t xml:space="preserve">ЗК-1090</x:t>
        </x:is>
      </x:c>
      <x:c r="I171" s="31" t="inlineStr">
        <x:is>
          <x:t xml:space="preserve">ПЗ-00111</x:t>
        </x:is>
      </x:c>
      <x:c r="J171" s="31" t="inlineStr">
        <x:is>
          <x:t xml:space="preserve">Цеховой склад</x:t>
        </x:is>
      </x:c>
      <x:c r="K171" s="31" t="inlineStr">
        <x:is>
          <x:t xml:space="preserve">СОТР-037</x:t>
        </x:is>
      </x:c>
      <x:c r="L171" s="31" t="inlineStr">
        <x:is>
          <x:t xml:space="preserve">ДОК-5760</x:t>
        </x:is>
      </x:c>
      <x:c r="M171" s="31" t="inlineStr">
        <x:is>
          <x:t xml:space="preserve">Проведен</x:t>
        </x:is>
      </x:c>
    </x:row>
    <x:row r="172" ht="18" customHeight="1">
      <x:c r="A172" s="31" t="inlineStr">
        <x:is>
          <x:t xml:space="preserve">СКЛ-000171</x:t>
        </x:is>
      </x:c>
      <x:c r="B172" s="31" t="n">
        <x:v>46065</x:v>
      </x:c>
      <x:c r="C172" s="31" t="inlineStr">
        <x:is>
          <x:t xml:space="preserve">Корректировка</x:t>
        </x:is>
      </x:c>
      <x:c r="D172" s="31" t="inlineStr">
        <x:is>
          <x:t xml:space="preserve">МАТ-0042</x:t>
        </x:is>
      </x:c>
      <x:c r="E172" s="31" t="inlineStr">
        <x:is>
          <x:t xml:space="preserve">модуль аналогового входа 4 канала / исп.3</x:t>
        </x:is>
      </x:c>
      <x:c r="F172" s="31" t="n">
        <x:v>19</x:v>
      </x:c>
      <x:c r="G172" s="31" t="inlineStr">
        <x:is>
          <x:t xml:space="preserve">шт</x:t>
        </x:is>
      </x:c>
      <x:c r="H172" s="31" t="n"/>
      <x:c r="I172" s="31" t="n"/>
      <x:c r="J172" s="31" t="inlineStr">
        <x:is>
          <x:t xml:space="preserve">Цеховой склад</x:t>
        </x:is>
      </x:c>
      <x:c r="K172" s="31" t="inlineStr">
        <x:is>
          <x:t xml:space="preserve">СОТР-033</x:t>
        </x:is>
      </x:c>
      <x:c r="L172" s="31" t="inlineStr">
        <x:is>
          <x:t xml:space="preserve">ДОК-2880</x:t>
        </x:is>
      </x:c>
      <x:c r="M172" s="31" t="inlineStr">
        <x:is>
          <x:t xml:space="preserve">Проведен</x:t>
        </x:is>
      </x:c>
    </x:row>
    <x:row r="173" ht="18" customHeight="1">
      <x:c r="A173" s="31" t="inlineStr">
        <x:is>
          <x:t xml:space="preserve">СКЛ-000172</x:t>
        </x:is>
      </x:c>
      <x:c r="B173" s="31" t="n">
        <x:v>46192</x:v>
      </x:c>
      <x:c r="C173" s="31" t="inlineStr">
        <x:is>
          <x:t xml:space="preserve">Выдача в производство</x:t>
        </x:is>
      </x:c>
      <x:c r="D173" s="31" t="inlineStr">
        <x:is>
          <x:t xml:space="preserve">МАТ-0043</x:t>
        </x:is>
      </x:c>
      <x:c r="E173" s="31" t="inlineStr">
        <x:is>
          <x:t xml:space="preserve">Блок питания 24В</x:t>
        </x:is>
      </x:c>
      <x:c r="F173" s="31" t="n">
        <x:v>-11</x:v>
      </x:c>
      <x:c r="G173" s="31" t="inlineStr">
        <x:is>
          <x:t xml:space="preserve">шт</x:t>
        </x:is>
      </x:c>
      <x:c r="H173" s="31" t="inlineStr">
        <x:is>
          <x:t xml:space="preserve">ЗК-1040</x:t>
        </x:is>
      </x:c>
      <x:c r="I173" s="31" t="inlineStr">
        <x:is>
          <x:t xml:space="preserve">ПЗ-00118</x:t>
        </x:is>
      </x:c>
      <x:c r="J173" s="31" t="inlineStr">
        <x:is>
          <x:t xml:space="preserve">Основной склад</x:t>
        </x:is>
      </x:c>
      <x:c r="K173" s="31" t="inlineStr">
        <x:is>
          <x:t xml:space="preserve">СОТР-036</x:t>
        </x:is>
      </x:c>
      <x:c r="L173" s="31" t="inlineStr">
        <x:is>
          <x:t xml:space="preserve">ДОК-8546</x:t>
        </x:is>
      </x:c>
      <x:c r="M173" s="31" t="inlineStr">
        <x:is>
          <x:t xml:space="preserve">Проведен</x:t>
        </x:is>
      </x:c>
    </x:row>
    <x:row r="174" ht="18" customHeight="1">
      <x:c r="A174" s="31" t="inlineStr">
        <x:is>
          <x:t xml:space="preserve">СКЛ-000173</x:t>
        </x:is>
      </x:c>
      <x:c r="B174" s="31" t="n">
        <x:v>46160</x:v>
      </x:c>
      <x:c r="C174" s="31" t="inlineStr">
        <x:is>
          <x:t xml:space="preserve">Выдача в производство</x:t>
        </x:is>
      </x:c>
      <x:c r="D174" s="31" t="inlineStr">
        <x:is>
          <x:t xml:space="preserve">МАТ-0063</x:t>
        </x:is>
      </x:c>
      <x:c r="E174" s="31" t="inlineStr">
        <x:is>
          <x:t xml:space="preserve">Кабель ВВГнг 3×2.5</x:t>
        </x:is>
      </x:c>
      <x:c r="F174" s="31" t="n">
        <x:v>-7</x:v>
      </x:c>
      <x:c r="G174" s="31" t="inlineStr">
        <x:is>
          <x:t xml:space="preserve">шт</x:t>
        </x:is>
      </x:c>
      <x:c r="H174" s="31" t="inlineStr">
        <x:is>
          <x:t xml:space="preserve">ЗК-1030</x:t>
        </x:is>
      </x:c>
      <x:c r="I174" s="31" t="inlineStr">
        <x:is>
          <x:t xml:space="preserve">ПЗ-00206</x:t>
        </x:is>
      </x:c>
      <x:c r="J174" s="31" t="inlineStr">
        <x:is>
          <x:t xml:space="preserve">Брак/карантин</x:t>
        </x:is>
      </x:c>
      <x:c r="K174" s="31" t="inlineStr">
        <x:is>
          <x:t xml:space="preserve">СОТР-038</x:t>
        </x:is>
      </x:c>
      <x:c r="L174" s="31" t="inlineStr">
        <x:is>
          <x:t xml:space="preserve">ДОК-6784</x:t>
        </x:is>
      </x:c>
      <x:c r="M174" s="31" t="inlineStr">
        <x:is>
          <x:t xml:space="preserve">Проведен</x:t>
        </x:is>
      </x:c>
    </x:row>
    <x:row r="175" ht="18" customHeight="1">
      <x:c r="A175" s="31" t="inlineStr">
        <x:is>
          <x:t xml:space="preserve">СКЛ-000174</x:t>
        </x:is>
      </x:c>
      <x:c r="B175" s="31" t="n">
        <x:v>46149</x:v>
      </x:c>
      <x:c r="C175" s="31" t="inlineStr">
        <x:is>
          <x:t xml:space="preserve">Списание</x:t>
        </x:is>
      </x:c>
      <x:c r="D175" s="31" t="inlineStr">
        <x:is>
          <x:t xml:space="preserve">МАТ-0073</x:t>
        </x:is>
      </x:c>
      <x:c r="E175" s="31" t="inlineStr">
        <x:is>
          <x:t xml:space="preserve">Растворитель / исп.2</x:t>
        </x:is>
      </x:c>
      <x:c r="F175" s="31" t="n">
        <x:v>-70.34999999999999</x:v>
      </x:c>
      <x:c r="G175" s="31" t="inlineStr">
        <x:is>
          <x:t xml:space="preserve">л</x:t>
        </x:is>
      </x:c>
      <x:c r="H175" s="31" t="n"/>
      <x:c r="I175" s="31" t="n"/>
      <x:c r="J175" s="31" t="inlineStr">
        <x:is>
          <x:t xml:space="preserve">Основной склад</x:t>
        </x:is>
      </x:c>
      <x:c r="K175" s="31" t="inlineStr">
        <x:is>
          <x:t xml:space="preserve">СОТР-039</x:t>
        </x:is>
      </x:c>
      <x:c r="L175" s="31" t="inlineStr">
        <x:is>
          <x:t xml:space="preserve">ДОК-3518</x:t>
        </x:is>
      </x:c>
      <x:c r="M175" s="31" t="inlineStr">
        <x:is>
          <x:t xml:space="preserve">Проведен</x:t>
        </x:is>
      </x:c>
    </x:row>
    <x:row r="176" ht="18" customHeight="1">
      <x:c r="A176" s="31" t="inlineStr">
        <x:is>
          <x:t xml:space="preserve">СКЛ-000175</x:t>
        </x:is>
      </x:c>
      <x:c r="B176" s="31" t="n">
        <x:v>46196</x:v>
      </x:c>
      <x:c r="C176" s="31" t="inlineStr">
        <x:is>
          <x:t xml:space="preserve">Приход</x:t>
        </x:is>
      </x:c>
      <x:c r="D176" s="31" t="inlineStr">
        <x:is>
          <x:t xml:space="preserve">МАТ-0018</x:t>
        </x:is>
      </x:c>
      <x:c r="E176" s="31" t="inlineStr">
        <x:is>
          <x:t xml:space="preserve">Насос шестеренный 7.5 кВт / исп.2</x:t>
        </x:is>
      </x:c>
      <x:c r="F176" s="31" t="n">
        <x:v>18</x:v>
      </x:c>
      <x:c r="G176" s="31" t="inlineStr">
        <x:is>
          <x:t xml:space="preserve">шт</x:t>
        </x:is>
      </x:c>
      <x:c r="H176" s="31" t="n"/>
      <x:c r="I176" s="31" t="n"/>
      <x:c r="J176" s="31" t="inlineStr">
        <x:is>
          <x:t xml:space="preserve">Основной склад</x:t>
        </x:is>
      </x:c>
      <x:c r="K176" s="31" t="inlineStr">
        <x:is>
          <x:t xml:space="preserve">СОТР-024</x:t>
        </x:is>
      </x:c>
      <x:c r="L176" s="31" t="inlineStr">
        <x:is>
          <x:t xml:space="preserve">ДОК-2596</x:t>
        </x:is>
      </x:c>
      <x:c r="M176" s="31" t="inlineStr">
        <x:is>
          <x:t xml:space="preserve">Проведен</x:t>
        </x:is>
      </x:c>
    </x:row>
    <x:row r="177" ht="18" customHeight="1">
      <x:c r="A177" s="31" t="inlineStr">
        <x:is>
          <x:t xml:space="preserve">СКЛ-000176</x:t>
        </x:is>
      </x:c>
      <x:c r="B177" s="31" t="n">
        <x:v>46045</x:v>
      </x:c>
      <x:c r="C177" s="31" t="inlineStr">
        <x:is>
          <x:t xml:space="preserve">Выдача в производство</x:t>
        </x:is>
      </x:c>
      <x:c r="D177" s="31" t="inlineStr">
        <x:is>
          <x:t xml:space="preserve">МАТ-0023</x:t>
        </x:is>
      </x:c>
      <x:c r="E177" s="31" t="inlineStr">
        <x:is>
          <x:t xml:space="preserve">Рабочее колесо</x:t>
        </x:is>
      </x:c>
      <x:c r="F177" s="31" t="n">
        <x:v>-20</x:v>
      </x:c>
      <x:c r="G177" s="31" t="inlineStr">
        <x:is>
          <x:t xml:space="preserve">шт</x:t>
        </x:is>
      </x:c>
      <x:c r="H177" s="31" t="inlineStr">
        <x:is>
          <x:t xml:space="preserve">ЗК-1084</x:t>
        </x:is>
      </x:c>
      <x:c r="I177" s="31" t="inlineStr">
        <x:is>
          <x:t xml:space="preserve">ПЗ-00214</x:t>
        </x:is>
      </x:c>
      <x:c r="J177" s="31" t="inlineStr">
        <x:is>
          <x:t xml:space="preserve">Основной склад</x:t>
        </x:is>
      </x:c>
      <x:c r="K177" s="31" t="inlineStr">
        <x:is>
          <x:t xml:space="preserve">СОТР-037</x:t>
        </x:is>
      </x:c>
      <x:c r="L177" s="31" t="inlineStr">
        <x:is>
          <x:t xml:space="preserve">ДОК-2405</x:t>
        </x:is>
      </x:c>
      <x:c r="M177" s="31" t="inlineStr">
        <x:is>
          <x:t xml:space="preserve">Проведен</x:t>
        </x:is>
      </x:c>
    </x:row>
    <x:row r="178" ht="18" customHeight="1">
      <x:c r="A178" s="31" t="inlineStr">
        <x:is>
          <x:t xml:space="preserve">СКЛ-000177</x:t>
        </x:is>
      </x:c>
      <x:c r="B178" s="31" t="n">
        <x:v>46041</x:v>
      </x:c>
      <x:c r="C178" s="31" t="inlineStr">
        <x:is>
          <x:t xml:space="preserve">Выдача в производство</x:t>
        </x:is>
      </x:c>
      <x:c r="D178" s="31" t="inlineStr">
        <x:is>
          <x:t xml:space="preserve">МАТ-0042</x:t>
        </x:is>
      </x:c>
      <x:c r="E178" s="31" t="inlineStr">
        <x:is>
          <x:t xml:space="preserve">модуль аналогового входа 4 канала / исп.3</x:t>
        </x:is>
      </x:c>
      <x:c r="F178" s="31" t="n">
        <x:v>-19</x:v>
      </x:c>
      <x:c r="G178" s="31" t="inlineStr">
        <x:is>
          <x:t xml:space="preserve">шт</x:t>
        </x:is>
      </x:c>
      <x:c r="H178" s="31" t="inlineStr">
        <x:is>
          <x:t xml:space="preserve">ЗК-1020</x:t>
        </x:is>
      </x:c>
      <x:c r="I178" s="31" t="inlineStr">
        <x:is>
          <x:t xml:space="preserve">ПЗ-00130</x:t>
        </x:is>
      </x:c>
      <x:c r="J178" s="31" t="inlineStr">
        <x:is>
          <x:t xml:space="preserve">Основной склад</x:t>
        </x:is>
      </x:c>
      <x:c r="K178" s="31" t="inlineStr">
        <x:is>
          <x:t xml:space="preserve">СОТР-038</x:t>
        </x:is>
      </x:c>
      <x:c r="L178" s="31" t="inlineStr">
        <x:is>
          <x:t xml:space="preserve">ДОК-8295</x:t>
        </x:is>
      </x:c>
      <x:c r="M178" s="31" t="inlineStr">
        <x:is>
          <x:t xml:space="preserve">Проведен</x:t>
        </x:is>
      </x:c>
    </x:row>
    <x:row r="179" ht="18" customHeight="1">
      <x:c r="A179" s="31" t="inlineStr">
        <x:is>
          <x:t xml:space="preserve">СКЛ-000178</x:t>
        </x:is>
      </x:c>
      <x:c r="B179" s="31" t="n">
        <x:v>46200</x:v>
      </x:c>
      <x:c r="C179" s="31" t="inlineStr">
        <x:is>
          <x:t xml:space="preserve">Корректировка</x:t>
        </x:is>
      </x:c>
      <x:c r="D179" s="31" t="inlineStr">
        <x:is>
          <x:t xml:space="preserve">МАТ-0086</x:t>
        </x:is>
      </x:c>
      <x:c r="E179" s="31" t="inlineStr">
        <x:is>
          <x:t xml:space="preserve">Пленка стрейч / исп.2</x:t>
        </x:is>
      </x:c>
      <x:c r="F179" s="31" t="n">
        <x:v>1</x:v>
      </x:c>
      <x:c r="G179" s="31" t="inlineStr">
        <x:is>
          <x:t xml:space="preserve">шт</x:t>
        </x:is>
      </x:c>
      <x:c r="H179" s="31" t="n"/>
      <x:c r="I179" s="31" t="n"/>
      <x:c r="J179" s="31" t="inlineStr">
        <x:is>
          <x:t xml:space="preserve">Основной склад</x:t>
        </x:is>
      </x:c>
      <x:c r="K179" s="31" t="inlineStr">
        <x:is>
          <x:t xml:space="preserve">СОТР-024</x:t>
        </x:is>
      </x:c>
      <x:c r="L179" s="31" t="inlineStr">
        <x:is>
          <x:t xml:space="preserve">ДОК-5344</x:t>
        </x:is>
      </x:c>
      <x:c r="M179" s="31" t="inlineStr">
        <x:is>
          <x:t xml:space="preserve">Проведен</x:t>
        </x:is>
      </x:c>
    </x:row>
    <x:row r="180" ht="18" customHeight="1">
      <x:c r="A180" s="31" t="inlineStr">
        <x:is>
          <x:t xml:space="preserve">СКЛ-000179</x:t>
        </x:is>
      </x:c>
      <x:c r="B180" s="31" t="n">
        <x:v>46071</x:v>
      </x:c>
      <x:c r="C180" s="31" t="inlineStr">
        <x:is>
          <x:t xml:space="preserve">Выдача в производство</x:t>
        </x:is>
      </x:c>
      <x:c r="D180" s="31" t="inlineStr">
        <x:is>
          <x:t xml:space="preserve">МАТ-0046</x:t>
        </x:is>
      </x:c>
      <x:c r="E180" s="31" t="inlineStr">
        <x:is>
          <x:t xml:space="preserve">Контактор 25А</x:t>
        </x:is>
      </x:c>
      <x:c r="F180" s="31" t="n">
        <x:v>-9</x:v>
      </x:c>
      <x:c r="G180" s="31" t="inlineStr">
        <x:is>
          <x:t xml:space="preserve">шт</x:t>
        </x:is>
      </x:c>
      <x:c r="H180" s="31" t="inlineStr">
        <x:is>
          <x:t xml:space="preserve">ЗК-1098</x:t>
        </x:is>
      </x:c>
      <x:c r="I180" s="31" t="inlineStr">
        <x:is>
          <x:t xml:space="preserve">ПЗ-00094</x:t>
        </x:is>
      </x:c>
      <x:c r="J180" s="31" t="inlineStr">
        <x:is>
          <x:t xml:space="preserve">Основной склад</x:t>
        </x:is>
      </x:c>
      <x:c r="K180" s="31" t="inlineStr">
        <x:is>
          <x:t xml:space="preserve">СОТР-039</x:t>
        </x:is>
      </x:c>
      <x:c r="L180" s="31" t="inlineStr">
        <x:is>
          <x:t xml:space="preserve">ДОК-5800</x:t>
        </x:is>
      </x:c>
      <x:c r="M180" s="31" t="inlineStr">
        <x:is>
          <x:t xml:space="preserve">Проведен</x:t>
        </x:is>
      </x:c>
    </x:row>
    <x:row r="181" ht="18" customHeight="1">
      <x:c r="A181" s="31" t="inlineStr">
        <x:is>
          <x:t xml:space="preserve">СКЛ-000180</x:t>
        </x:is>
      </x:c>
      <x:c r="B181" s="31" t="n">
        <x:v>46199</x:v>
      </x:c>
      <x:c r="C181" s="31" t="inlineStr">
        <x:is>
          <x:t xml:space="preserve">Выдача в производство</x:t>
        </x:is>
      </x:c>
      <x:c r="D181" s="31" t="inlineStr">
        <x:is>
          <x:t xml:space="preserve">МАТ-0089</x:t>
        </x:is>
      </x:c>
      <x:c r="E181" s="31" t="inlineStr">
        <x:is>
          <x:t xml:space="preserve">Маркировочная этикетка</x:t>
        </x:is>
      </x:c>
      <x:c r="F181" s="31" t="n">
        <x:v>-12</x:v>
      </x:c>
      <x:c r="G181" s="31" t="inlineStr">
        <x:is>
          <x:t xml:space="preserve">шт</x:t>
        </x:is>
      </x:c>
      <x:c r="H181" s="31" t="inlineStr">
        <x:is>
          <x:t xml:space="preserve">ЗК-1082</x:t>
        </x:is>
      </x:c>
      <x:c r="I181" s="31" t="inlineStr">
        <x:is>
          <x:t xml:space="preserve">ПЗ-00217</x:t>
        </x:is>
      </x:c>
      <x:c r="J181" s="31" t="inlineStr">
        <x:is>
          <x:t xml:space="preserve">Основной склад</x:t>
        </x:is>
      </x:c>
      <x:c r="K181" s="31" t="inlineStr">
        <x:is>
          <x:t xml:space="preserve">СОТР-036</x:t>
        </x:is>
      </x:c>
      <x:c r="L181" s="31" t="inlineStr">
        <x:is>
          <x:t xml:space="preserve">ДОК-9458</x:t>
        </x:is>
      </x:c>
      <x:c r="M181" s="31" t="inlineStr">
        <x:is>
          <x:t xml:space="preserve">Проведен</x:t>
        </x:is>
      </x:c>
    </x:row>
    <x:row r="182" ht="18" customHeight="1">
      <x:c r="A182" s="31" t="inlineStr">
        <x:is>
          <x:t xml:space="preserve">СКЛ-000181</x:t>
        </x:is>
      </x:c>
      <x:c r="B182" s="31" t="n">
        <x:v>46060</x:v>
      </x:c>
      <x:c r="C182" s="31" t="inlineStr">
        <x:is>
          <x:t xml:space="preserve">Списание</x:t>
        </x:is>
      </x:c>
      <x:c r="D182" s="31" t="inlineStr">
        <x:is>
          <x:t xml:space="preserve">МАТ-0006</x:t>
        </x:is>
      </x:c>
      <x:c r="E182" s="31" t="inlineStr">
        <x:is>
          <x:t xml:space="preserve">Труба нержавеющая 38×3</x:t>
        </x:is>
      </x:c>
      <x:c r="F182" s="31" t="n">
        <x:v>-12</x:v>
      </x:c>
      <x:c r="G182" s="31" t="inlineStr">
        <x:is>
          <x:t xml:space="preserve">шт</x:t>
        </x:is>
      </x:c>
      <x:c r="H182" s="31" t="n"/>
      <x:c r="I182" s="31" t="n"/>
      <x:c r="J182" s="31" t="inlineStr">
        <x:is>
          <x:t xml:space="preserve">Основной склад</x:t>
        </x:is>
      </x:c>
      <x:c r="K182" s="31" t="inlineStr">
        <x:is>
          <x:t xml:space="preserve">СОТР-039</x:t>
        </x:is>
      </x:c>
      <x:c r="L182" s="31" t="inlineStr">
        <x:is>
          <x:t xml:space="preserve">ДОК-3544</x:t>
        </x:is>
      </x:c>
      <x:c r="M182" s="31" t="inlineStr">
        <x:is>
          <x:t xml:space="preserve">Проведен</x:t>
        </x:is>
      </x:c>
    </x:row>
    <x:row r="183" ht="18" customHeight="1">
      <x:c r="A183" s="31" t="inlineStr">
        <x:is>
          <x:t xml:space="preserve">СКЛ-000182</x:t>
        </x:is>
      </x:c>
      <x:c r="B183" s="31" t="n">
        <x:v>46096</x:v>
      </x:c>
      <x:c r="C183" s="31" t="inlineStr">
        <x:is>
          <x:t xml:space="preserve">Приход</x:t>
        </x:is>
      </x:c>
      <x:c r="D183" s="31" t="inlineStr">
        <x:is>
          <x:t xml:space="preserve">МАТ-0009</x:t>
        </x:is>
      </x:c>
      <x:c r="E183" s="31" t="inlineStr">
        <x:is>
          <x:t xml:space="preserve">Фланец Ду50 Ру16</x:t>
        </x:is>
      </x:c>
      <x:c r="F183" s="31" t="n">
        <x:v>18.15</x:v>
      </x:c>
      <x:c r="G183" s="31" t="inlineStr">
        <x:is>
          <x:t xml:space="preserve">л</x:t>
        </x:is>
      </x:c>
      <x:c r="H183" s="31" t="n"/>
      <x:c r="I183" s="31" t="n"/>
      <x:c r="J183" s="31" t="inlineStr">
        <x:is>
          <x:t xml:space="preserve">Основной склад</x:t>
        </x:is>
      </x:c>
      <x:c r="K183" s="31" t="inlineStr">
        <x:is>
          <x:t xml:space="preserve">СОТР-035</x:t>
        </x:is>
      </x:c>
      <x:c r="L183" s="31" t="inlineStr">
        <x:is>
          <x:t xml:space="preserve">ДОК-6366</x:t>
        </x:is>
      </x:c>
      <x:c r="M183" s="31" t="inlineStr">
        <x:is>
          <x:t xml:space="preserve">Проведен</x:t>
        </x:is>
      </x:c>
    </x:row>
    <x:row r="184" ht="18" customHeight="1">
      <x:c r="A184" s="31" t="inlineStr">
        <x:is>
          <x:t xml:space="preserve">СКЛ-000183</x:t>
        </x:is>
      </x:c>
      <x:c r="B184" s="31" t="n">
        <x:v>46158</x:v>
      </x:c>
      <x:c r="C184" s="31" t="inlineStr">
        <x:is>
          <x:t xml:space="preserve">Резерв</x:t>
        </x:is>
      </x:c>
      <x:c r="D184" s="31" t="inlineStr">
        <x:is>
          <x:t xml:space="preserve">МАТ-0056</x:t>
        </x:is>
      </x:c>
      <x:c r="E184" s="31" t="inlineStr">
        <x:is>
          <x:t xml:space="preserve">Задвижка Ду100</x:t>
        </x:is>
      </x:c>
      <x:c r="F184" s="31" t="n">
        <x:v>-16</x:v>
      </x:c>
      <x:c r="G184" s="31" t="inlineStr">
        <x:is>
          <x:t xml:space="preserve">шт</x:t>
        </x:is>
      </x:c>
      <x:c r="H184" s="31" t="inlineStr">
        <x:is>
          <x:t xml:space="preserve">ЗК-1093</x:t>
        </x:is>
      </x:c>
      <x:c r="I184" s="31" t="n"/>
      <x:c r="J184" s="31" t="inlineStr">
        <x:is>
          <x:t xml:space="preserve">Основной склад</x:t>
        </x:is>
      </x:c>
      <x:c r="K184" s="31" t="inlineStr">
        <x:is>
          <x:t xml:space="preserve">СОТР-036</x:t>
        </x:is>
      </x:c>
      <x:c r="L184" s="31" t="inlineStr">
        <x:is>
          <x:t xml:space="preserve">ДОК-3131</x:t>
        </x:is>
      </x:c>
      <x:c r="M184" s="31" t="inlineStr">
        <x:is>
          <x:t xml:space="preserve">Проведен</x:t>
        </x:is>
      </x:c>
    </x:row>
    <x:row r="185" ht="18" customHeight="1">
      <x:c r="A185" s="31" t="inlineStr">
        <x:is>
          <x:t xml:space="preserve">СКЛ-000184</x:t>
        </x:is>
      </x:c>
      <x:c r="B185" s="31" t="n">
        <x:v>46083</x:v>
      </x:c>
      <x:c r="C185" s="31" t="inlineStr">
        <x:is>
          <x:t xml:space="preserve">Выдача в производство</x:t>
        </x:is>
      </x:c>
      <x:c r="D185" s="31" t="inlineStr">
        <x:is>
          <x:t xml:space="preserve">МАТ-0043</x:t>
        </x:is>
      </x:c>
      <x:c r="E185" s="31" t="inlineStr">
        <x:is>
          <x:t xml:space="preserve">Блок питания 24В</x:t>
        </x:is>
      </x:c>
      <x:c r="F185" s="31" t="n">
        <x:v>-2</x:v>
      </x:c>
      <x:c r="G185" s="31" t="inlineStr">
        <x:is>
          <x:t xml:space="preserve">шт</x:t>
        </x:is>
      </x:c>
      <x:c r="H185" s="31" t="inlineStr">
        <x:is>
          <x:t xml:space="preserve">ЗК-1098</x:t>
        </x:is>
      </x:c>
      <x:c r="I185" s="31" t="inlineStr">
        <x:is>
          <x:t xml:space="preserve">ПЗ-00166</x:t>
        </x:is>
      </x:c>
      <x:c r="J185" s="31" t="inlineStr">
        <x:is>
          <x:t xml:space="preserve">Основной склад</x:t>
        </x:is>
      </x:c>
      <x:c r="K185" s="31" t="inlineStr">
        <x:is>
          <x:t xml:space="preserve">СОТР-024</x:t>
        </x:is>
      </x:c>
      <x:c r="L185" s="31" t="inlineStr">
        <x:is>
          <x:t xml:space="preserve">ДОК-5907</x:t>
        </x:is>
      </x:c>
      <x:c r="M185" s="31" t="inlineStr">
        <x:is>
          <x:t xml:space="preserve">Проведен</x:t>
        </x:is>
      </x:c>
    </x:row>
    <x:row r="186" ht="18" customHeight="1">
      <x:c r="A186" s="31" t="inlineStr">
        <x:is>
          <x:t xml:space="preserve">СКЛ-000185</x:t>
        </x:is>
      </x:c>
      <x:c r="B186" s="31" t="n">
        <x:v>46031</x:v>
      </x:c>
      <x:c r="C186" s="31" t="inlineStr">
        <x:is>
          <x:t xml:space="preserve">Резерв</x:t>
        </x:is>
      </x:c>
      <x:c r="D186" s="31" t="inlineStr">
        <x:is>
          <x:t xml:space="preserve">МАТ-0076</x:t>
        </x:is>
      </x:c>
      <x:c r="E186" s="31" t="inlineStr">
        <x:is>
          <x:t xml:space="preserve">Болт М12 / исп.2</x:t>
        </x:is>
      </x:c>
      <x:c r="F186" s="31" t="n">
        <x:v>-9</x:v>
      </x:c>
      <x:c r="G186" s="31" t="inlineStr">
        <x:is>
          <x:t xml:space="preserve">шт</x:t>
        </x:is>
      </x:c>
      <x:c r="H186" s="31" t="inlineStr">
        <x:is>
          <x:t xml:space="preserve">ЗК-1018</x:t>
        </x:is>
      </x:c>
      <x:c r="I186" s="31" t="n"/>
      <x:c r="J186" s="31" t="inlineStr">
        <x:is>
          <x:t xml:space="preserve">Основной склад</x:t>
        </x:is>
      </x:c>
      <x:c r="K186" s="31" t="inlineStr">
        <x:is>
          <x:t xml:space="preserve">СОТР-039</x:t>
        </x:is>
      </x:c>
      <x:c r="L186" s="31" t="inlineStr">
        <x:is>
          <x:t xml:space="preserve">ДОК-2229</x:t>
        </x:is>
      </x:c>
      <x:c r="M186" s="31" t="inlineStr">
        <x:is>
          <x:t xml:space="preserve">Проведен</x:t>
        </x:is>
      </x:c>
    </x:row>
    <x:row r="187" ht="18" customHeight="1">
      <x:c r="A187" s="31" t="inlineStr">
        <x:is>
          <x:t xml:space="preserve">СКЛ-000186</x:t>
        </x:is>
      </x:c>
      <x:c r="B187" s="31" t="n">
        <x:v>46052</x:v>
      </x:c>
      <x:c r="C187" s="31" t="inlineStr">
        <x:is>
          <x:t xml:space="preserve">Выдача в производство</x:t>
        </x:is>
      </x:c>
      <x:c r="D187" s="31" t="inlineStr">
        <x:is>
          <x:t xml:space="preserve">МАТ-0088</x:t>
        </x:is>
      </x:c>
      <x:c r="E187" s="31" t="inlineStr">
        <x:is>
          <x:t xml:space="preserve">Ящик фанерный / исп.2</x:t>
        </x:is>
      </x:c>
      <x:c r="F187" s="31" t="n">
        <x:v>-14</x:v>
      </x:c>
      <x:c r="G187" s="31" t="inlineStr">
        <x:is>
          <x:t xml:space="preserve">шт</x:t>
        </x:is>
      </x:c>
      <x:c r="H187" s="31" t="inlineStr">
        <x:is>
          <x:t xml:space="preserve">ЗК-1102</x:t>
        </x:is>
      </x:c>
      <x:c r="I187" s="31" t="inlineStr">
        <x:is>
          <x:t xml:space="preserve">ПЗ-00016</x:t>
        </x:is>
      </x:c>
      <x:c r="J187" s="31" t="inlineStr">
        <x:is>
          <x:t xml:space="preserve">Брак/карантин</x:t>
        </x:is>
      </x:c>
      <x:c r="K187" s="31" t="inlineStr">
        <x:is>
          <x:t xml:space="preserve">СОТР-024</x:t>
        </x:is>
      </x:c>
      <x:c r="L187" s="31" t="inlineStr">
        <x:is>
          <x:t xml:space="preserve">ДОК-8886</x:t>
        </x:is>
      </x:c>
      <x:c r="M187" s="31" t="inlineStr">
        <x:is>
          <x:t xml:space="preserve">Проведен</x:t>
        </x:is>
      </x:c>
    </x:row>
    <x:row r="188" ht="18" customHeight="1">
      <x:c r="A188" s="31" t="inlineStr">
        <x:is>
          <x:t xml:space="preserve">СКЛ-000187</x:t>
        </x:is>
      </x:c>
      <x:c r="B188" s="31" t="n">
        <x:v>46158</x:v>
      </x:c>
      <x:c r="C188" s="31" t="inlineStr">
        <x:is>
          <x:t xml:space="preserve">Резерв</x:t>
        </x:is>
      </x:c>
      <x:c r="D188" s="31" t="inlineStr">
        <x:is>
          <x:t xml:space="preserve">МАТ-0051</x:t>
        </x:is>
      </x:c>
      <x:c r="E188" s="31" t="inlineStr">
        <x:is>
          <x:t xml:space="preserve">Кран шаровой Ду50</x:t>
        </x:is>
      </x:c>
      <x:c r="F188" s="31" t="n">
        <x:v>-20</x:v>
      </x:c>
      <x:c r="G188" s="31" t="inlineStr">
        <x:is>
          <x:t xml:space="preserve">шт</x:t>
        </x:is>
      </x:c>
      <x:c r="H188" s="31" t="inlineStr">
        <x:is>
          <x:t xml:space="preserve">ЗК-1084</x:t>
        </x:is>
      </x:c>
      <x:c r="I188" s="31" t="n"/>
      <x:c r="J188" s="31" t="inlineStr">
        <x:is>
          <x:t xml:space="preserve">Цеховой склад</x:t>
        </x:is>
      </x:c>
      <x:c r="K188" s="31" t="inlineStr">
        <x:is>
          <x:t xml:space="preserve">СОТР-036</x:t>
        </x:is>
      </x:c>
      <x:c r="L188" s="31" t="inlineStr">
        <x:is>
          <x:t xml:space="preserve">ДОК-8775</x:t>
        </x:is>
      </x:c>
      <x:c r="M188" s="31" t="inlineStr">
        <x:is>
          <x:t xml:space="preserve">Проведен</x:t>
        </x:is>
      </x:c>
    </x:row>
    <x:row r="189" ht="18" customHeight="1">
      <x:c r="A189" s="31" t="inlineStr">
        <x:is>
          <x:t xml:space="preserve">СКЛ-000188</x:t>
        </x:is>
      </x:c>
      <x:c r="B189" s="31" t="n">
        <x:v>46089</x:v>
      </x:c>
      <x:c r="C189" s="31" t="inlineStr">
        <x:is>
          <x:t xml:space="preserve">Резерв</x:t>
        </x:is>
      </x:c>
      <x:c r="D189" s="31" t="inlineStr">
        <x:is>
          <x:t xml:space="preserve">МАТ-0012</x:t>
        </x:is>
      </x:c>
      <x:c r="E189" s="31" t="inlineStr">
        <x:is>
          <x:t xml:space="preserve">Фланец Ду80 Ру16</x:t>
        </x:is>
      </x:c>
      <x:c r="F189" s="31" t="n">
        <x:v>-23.9</x:v>
      </x:c>
      <x:c r="G189" s="31" t="inlineStr">
        <x:is>
          <x:t xml:space="preserve">л</x:t>
        </x:is>
      </x:c>
      <x:c r="H189" s="31" t="inlineStr">
        <x:is>
          <x:t xml:space="preserve">ЗК-1038</x:t>
        </x:is>
      </x:c>
      <x:c r="I189" s="31" t="n"/>
      <x:c r="J189" s="31" t="inlineStr">
        <x:is>
          <x:t xml:space="preserve">Основной склад</x:t>
        </x:is>
      </x:c>
      <x:c r="K189" s="31" t="inlineStr">
        <x:is>
          <x:t xml:space="preserve">СОТР-038</x:t>
        </x:is>
      </x:c>
      <x:c r="L189" s="31" t="inlineStr">
        <x:is>
          <x:t xml:space="preserve">ДОК-9199</x:t>
        </x:is>
      </x:c>
      <x:c r="M189" s="31" t="inlineStr">
        <x:is>
          <x:t xml:space="preserve">Проведен</x:t>
        </x:is>
      </x:c>
    </x:row>
    <x:row r="190" ht="18" customHeight="1">
      <x:c r="A190" s="31" t="inlineStr">
        <x:is>
          <x:t xml:space="preserve">СКЛ-000189</x:t>
        </x:is>
      </x:c>
      <x:c r="B190" s="31" t="n">
        <x:v>46120</x:v>
      </x:c>
      <x:c r="C190" s="31" t="inlineStr">
        <x:is>
          <x:t xml:space="preserve">Выдача в производство</x:t>
        </x:is>
      </x:c>
      <x:c r="D190" s="31" t="inlineStr">
        <x:is>
          <x:t xml:space="preserve">МАТ-0032</x:t>
        </x:is>
      </x:c>
      <x:c r="E190" s="31" t="inlineStr">
        <x:is>
          <x:t xml:space="preserve">Датчик температуры Пт100</x:t>
        </x:is>
      </x:c>
      <x:c r="F190" s="31" t="n">
        <x:v>-5</x:v>
      </x:c>
      <x:c r="G190" s="31" t="inlineStr">
        <x:is>
          <x:t xml:space="preserve">шт</x:t>
        </x:is>
      </x:c>
      <x:c r="H190" s="31" t="inlineStr">
        <x:is>
          <x:t xml:space="preserve">ЗК-1012</x:t>
        </x:is>
      </x:c>
      <x:c r="I190" s="31" t="inlineStr">
        <x:is>
          <x:t xml:space="preserve">ПЗ-00112</x:t>
        </x:is>
      </x:c>
      <x:c r="J190" s="31" t="inlineStr">
        <x:is>
          <x:t xml:space="preserve">Цеховой склад</x:t>
        </x:is>
      </x:c>
      <x:c r="K190" s="31" t="inlineStr">
        <x:is>
          <x:t xml:space="preserve">СОТР-038</x:t>
        </x:is>
      </x:c>
      <x:c r="L190" s="31" t="inlineStr">
        <x:is>
          <x:t xml:space="preserve">ДОК-7090</x:t>
        </x:is>
      </x:c>
      <x:c r="M190" s="31" t="inlineStr">
        <x:is>
          <x:t xml:space="preserve">Проведен</x:t>
        </x:is>
      </x:c>
    </x:row>
    <x:row r="191" ht="18" customHeight="1">
      <x:c r="A191" s="31" t="inlineStr">
        <x:is>
          <x:t xml:space="preserve">СКЛ-000190</x:t>
        </x:is>
      </x:c>
      <x:c r="B191" s="31" t="n">
        <x:v>46156</x:v>
      </x:c>
      <x:c r="C191" s="31" t="inlineStr">
        <x:is>
          <x:t xml:space="preserve">Резерв</x:t>
        </x:is>
      </x:c>
      <x:c r="D191" s="31" t="inlineStr">
        <x:is>
          <x:t xml:space="preserve">МАТ-0047</x:t>
        </x:is>
      </x:c>
      <x:c r="E191" s="31" t="inlineStr">
        <x:is>
          <x:t xml:space="preserve">Контактор 25А / исп.2</x:t>
        </x:is>
      </x:c>
      <x:c r="F191" s="31" t="n">
        <x:v>-13</x:v>
      </x:c>
      <x:c r="G191" s="31" t="inlineStr">
        <x:is>
          <x:t xml:space="preserve">шт</x:t>
        </x:is>
      </x:c>
      <x:c r="H191" s="31" t="inlineStr">
        <x:is>
          <x:t xml:space="preserve">ЗК-1093</x:t>
        </x:is>
      </x:c>
      <x:c r="I191" s="31" t="n"/>
      <x:c r="J191" s="31" t="inlineStr">
        <x:is>
          <x:t xml:space="preserve">Основной склад</x:t>
        </x:is>
      </x:c>
      <x:c r="K191" s="31" t="inlineStr">
        <x:is>
          <x:t xml:space="preserve">СОТР-024</x:t>
        </x:is>
      </x:c>
      <x:c r="L191" s="31" t="inlineStr">
        <x:is>
          <x:t xml:space="preserve">ДОК-8775</x:t>
        </x:is>
      </x:c>
      <x:c r="M191" s="31" t="inlineStr">
        <x:is>
          <x:t xml:space="preserve">Требует проверки</x:t>
        </x:is>
      </x:c>
    </x:row>
    <x:row r="192" ht="18" customHeight="1">
      <x:c r="A192" s="31" t="inlineStr">
        <x:is>
          <x:t xml:space="preserve">СКЛ-000191</x:t>
        </x:is>
      </x:c>
      <x:c r="B192" s="31" t="n">
        <x:v>46088</x:v>
      </x:c>
      <x:c r="C192" s="31" t="inlineStr">
        <x:is>
          <x:t xml:space="preserve">Выдача в производство</x:t>
        </x:is>
      </x:c>
      <x:c r="D192" s="31" t="inlineStr">
        <x:is>
          <x:t xml:space="preserve">МАТ-0012</x:t>
        </x:is>
      </x:c>
      <x:c r="E192" s="31" t="inlineStr">
        <x:is>
          <x:t xml:space="preserve">Фланец Ду80 Ру16</x:t>
        </x:is>
      </x:c>
      <x:c r="F192" s="31" t="n">
        <x:v>-42.28</x:v>
      </x:c>
      <x:c r="G192" s="31" t="inlineStr">
        <x:is>
          <x:t xml:space="preserve">л</x:t>
        </x:is>
      </x:c>
      <x:c r="H192" s="31" t="inlineStr">
        <x:is>
          <x:t xml:space="preserve">ЗК-1100</x:t>
        </x:is>
      </x:c>
      <x:c r="I192" s="31" t="inlineStr">
        <x:is>
          <x:t xml:space="preserve">ПЗ-00091</x:t>
        </x:is>
      </x:c>
      <x:c r="J192" s="31" t="inlineStr">
        <x:is>
          <x:t xml:space="preserve">Основной склад</x:t>
        </x:is>
      </x:c>
      <x:c r="K192" s="31" t="inlineStr">
        <x:is>
          <x:t xml:space="preserve">СОТР-036</x:t>
        </x:is>
      </x:c>
      <x:c r="L192" s="31" t="inlineStr">
        <x:is>
          <x:t xml:space="preserve">ДОК-8557</x:t>
        </x:is>
      </x:c>
      <x:c r="M192" s="31" t="inlineStr">
        <x:is>
          <x:t xml:space="preserve">Проведен</x:t>
        </x:is>
      </x:c>
    </x:row>
    <x:row r="193" ht="18" customHeight="1">
      <x:c r="A193" s="31" t="inlineStr">
        <x:is>
          <x:t xml:space="preserve">СКЛ-000192</x:t>
        </x:is>
      </x:c>
      <x:c r="B193" s="31" t="n">
        <x:v>46049</x:v>
      </x:c>
      <x:c r="C193" s="31" t="inlineStr">
        <x:is>
          <x:t xml:space="preserve">Списание</x:t>
        </x:is>
      </x:c>
      <x:c r="D193" s="31" t="inlineStr">
        <x:is>
          <x:t xml:space="preserve">МАТ-0035</x:t>
        </x:is>
      </x:c>
      <x:c r="E193" s="31" t="inlineStr">
        <x:is>
          <x:t xml:space="preserve">Клапан электромагнитный 24В</x:t>
        </x:is>
      </x:c>
      <x:c r="F193" s="31" t="n">
        <x:v>-14</x:v>
      </x:c>
      <x:c r="G193" s="31" t="inlineStr">
        <x:is>
          <x:t xml:space="preserve">шт</x:t>
        </x:is>
      </x:c>
      <x:c r="H193" s="31" t="n"/>
      <x:c r="I193" s="31" t="n"/>
      <x:c r="J193" s="31" t="inlineStr">
        <x:is>
          <x:t xml:space="preserve">Основной склад</x:t>
        </x:is>
      </x:c>
      <x:c r="K193" s="31" t="inlineStr">
        <x:is>
          <x:t xml:space="preserve">СОТР-038</x:t>
        </x:is>
      </x:c>
      <x:c r="L193" s="31" t="inlineStr">
        <x:is>
          <x:t xml:space="preserve">ДОК-2444</x:t>
        </x:is>
      </x:c>
      <x:c r="M193" s="31" t="inlineStr">
        <x:is>
          <x:t xml:space="preserve">Проведен</x:t>
        </x:is>
      </x:c>
    </x:row>
    <x:row r="194" ht="18" customHeight="1">
      <x:c r="A194" s="31" t="inlineStr">
        <x:is>
          <x:t xml:space="preserve">СКЛ-000193</x:t>
        </x:is>
      </x:c>
      <x:c r="B194" s="31" t="n">
        <x:v>46058</x:v>
      </x:c>
      <x:c r="C194" s="31" t="inlineStr">
        <x:is>
          <x:t xml:space="preserve">Выдача в производство</x:t>
        </x:is>
      </x:c>
      <x:c r="D194" s="31" t="inlineStr">
        <x:is>
          <x:t xml:space="preserve">МАТ-0082</x:t>
        </x:is>
      </x:c>
      <x:c r="E194" s="31" t="inlineStr">
        <x:is>
          <x:t xml:space="preserve">Шайба 12 / исп.2</x:t>
        </x:is>
      </x:c>
      <x:c r="F194" s="31" t="n">
        <x:v>-8</x:v>
      </x:c>
      <x:c r="G194" s="31" t="inlineStr">
        <x:is>
          <x:t xml:space="preserve">шт</x:t>
        </x:is>
      </x:c>
      <x:c r="H194" s="31" t="inlineStr">
        <x:is>
          <x:t xml:space="preserve">ЗК-1045</x:t>
        </x:is>
      </x:c>
      <x:c r="I194" s="31" t="inlineStr">
        <x:is>
          <x:t xml:space="preserve">ПЗ-00208</x:t>
        </x:is>
      </x:c>
      <x:c r="J194" s="31" t="inlineStr">
        <x:is>
          <x:t xml:space="preserve">Цеховой склад</x:t>
        </x:is>
      </x:c>
      <x:c r="K194" s="31" t="inlineStr">
        <x:is>
          <x:t xml:space="preserve">СОТР-038</x:t>
        </x:is>
      </x:c>
      <x:c r="L194" s="31" t="inlineStr">
        <x:is>
          <x:t xml:space="preserve">ДОК-3884</x:t>
        </x:is>
      </x:c>
      <x:c r="M194" s="31" t="inlineStr">
        <x:is>
          <x:t xml:space="preserve">Проведен</x:t>
        </x:is>
      </x:c>
    </x:row>
    <x:row r="195" ht="18" customHeight="1">
      <x:c r="A195" s="31" t="inlineStr">
        <x:is>
          <x:t xml:space="preserve">СКЛ-000194</x:t>
        </x:is>
      </x:c>
      <x:c r="B195" s="31" t="n">
        <x:v>46088</x:v>
      </x:c>
      <x:c r="C195" s="31" t="inlineStr">
        <x:is>
          <x:t xml:space="preserve">Резерв</x:t>
        </x:is>
      </x:c>
      <x:c r="D195" s="31" t="inlineStr">
        <x:is>
          <x:t xml:space="preserve">МАТ-0057</x:t>
        </x:is>
      </x:c>
      <x:c r="E195" s="31" t="inlineStr">
        <x:is>
          <x:t xml:space="preserve">Задвижка Ду100 / исп.2</x:t>
        </x:is>
      </x:c>
      <x:c r="F195" s="31" t="n">
        <x:v>-9</x:v>
      </x:c>
      <x:c r="G195" s="31" t="inlineStr">
        <x:is>
          <x:t xml:space="preserve">шт</x:t>
        </x:is>
      </x:c>
      <x:c r="H195" s="31" t="inlineStr">
        <x:is>
          <x:t xml:space="preserve">ЗК-1062</x:t>
        </x:is>
      </x:c>
      <x:c r="I195" s="31" t="n"/>
      <x:c r="J195" s="31" t="inlineStr">
        <x:is>
          <x:t xml:space="preserve">Основной склад</x:t>
        </x:is>
      </x:c>
      <x:c r="K195" s="31" t="inlineStr">
        <x:is>
          <x:t xml:space="preserve">СОТР-024</x:t>
        </x:is>
      </x:c>
      <x:c r="L195" s="31" t="inlineStr">
        <x:is>
          <x:t xml:space="preserve">ДОК-6216</x:t>
        </x:is>
      </x:c>
      <x:c r="M195" s="31" t="inlineStr">
        <x:is>
          <x:t xml:space="preserve">Проведен</x:t>
        </x:is>
      </x:c>
    </x:row>
    <x:row r="196" ht="18" customHeight="1">
      <x:c r="A196" s="31" t="inlineStr">
        <x:is>
          <x:t xml:space="preserve">СКЛ-000195</x:t>
        </x:is>
      </x:c>
      <x:c r="B196" s="31" t="n">
        <x:v>46133</x:v>
      </x:c>
      <x:c r="C196" s="31" t="inlineStr">
        <x:is>
          <x:t xml:space="preserve">Возврат</x:t>
        </x:is>
      </x:c>
      <x:c r="D196" s="31" t="inlineStr">
        <x:is>
          <x:t xml:space="preserve">МАТ-0078</x:t>
        </x:is>
      </x:c>
      <x:c r="E196" s="31" t="inlineStr">
        <x:is>
          <x:t xml:space="preserve">Гайка М12</x:t>
        </x:is>
      </x:c>
      <x:c r="F196" s="31" t="n">
        <x:v>13</x:v>
      </x:c>
      <x:c r="G196" s="31" t="inlineStr">
        <x:is>
          <x:t xml:space="preserve">шт</x:t>
        </x:is>
      </x:c>
      <x:c r="H196" s="31" t="n"/>
      <x:c r="I196" s="31" t="n"/>
      <x:c r="J196" s="31" t="inlineStr">
        <x:is>
          <x:t xml:space="preserve">Основной склад</x:t>
        </x:is>
      </x:c>
      <x:c r="K196" s="31" t="inlineStr">
        <x:is>
          <x:t xml:space="preserve">СОТР-024</x:t>
        </x:is>
      </x:c>
      <x:c r="L196" s="31" t="inlineStr">
        <x:is>
          <x:t xml:space="preserve">ДОК-2010</x:t>
        </x:is>
      </x:c>
      <x:c r="M196" s="31" t="inlineStr">
        <x:is>
          <x:t xml:space="preserve">Проведен</x:t>
        </x:is>
      </x:c>
    </x:row>
    <x:row r="197" ht="18" customHeight="1">
      <x:c r="A197" s="31" t="inlineStr">
        <x:is>
          <x:t xml:space="preserve">СКЛ-000196</x:t>
        </x:is>
      </x:c>
      <x:c r="B197" s="31" t="n">
        <x:v>46122</x:v>
      </x:c>
      <x:c r="C197" s="31" t="inlineStr">
        <x:is>
          <x:t xml:space="preserve">Резерв</x:t>
        </x:is>
      </x:c>
      <x:c r="D197" s="31" t="inlineStr">
        <x:is>
          <x:t xml:space="preserve">МАТ-0026</x:t>
        </x:is>
      </x:c>
      <x:c r="E197" s="31" t="inlineStr">
        <x:is>
          <x:t xml:space="preserve">Двигатель 15 кВт</x:t>
        </x:is>
      </x:c>
      <x:c r="F197" s="31" t="n">
        <x:v>-2</x:v>
      </x:c>
      <x:c r="G197" s="31" t="inlineStr">
        <x:is>
          <x:t xml:space="preserve">шт</x:t>
        </x:is>
      </x:c>
      <x:c r="H197" s="31" t="inlineStr">
        <x:is>
          <x:t xml:space="preserve">ЗК-1023</x:t>
        </x:is>
      </x:c>
      <x:c r="I197" s="31" t="n"/>
      <x:c r="J197" s="31" t="inlineStr">
        <x:is>
          <x:t xml:space="preserve">Основной склад</x:t>
        </x:is>
      </x:c>
      <x:c r="K197" s="31" t="inlineStr">
        <x:is>
          <x:t xml:space="preserve">СОТР-038</x:t>
        </x:is>
      </x:c>
      <x:c r="L197" s="31" t="inlineStr">
        <x:is>
          <x:t xml:space="preserve">ДОК-5243</x:t>
        </x:is>
      </x:c>
      <x:c r="M197" s="31" t="inlineStr">
        <x:is>
          <x:t xml:space="preserve">Проведен</x:t>
        </x:is>
      </x:c>
    </x:row>
    <x:row r="198" ht="18" customHeight="1">
      <x:c r="A198" s="31" t="inlineStr">
        <x:is>
          <x:t xml:space="preserve">СКЛ-000197</x:t>
        </x:is>
      </x:c>
      <x:c r="B198" s="31" t="n">
        <x:v>46107</x:v>
      </x:c>
      <x:c r="C198" s="31" t="inlineStr">
        <x:is>
          <x:t xml:space="preserve">Резерв</x:t>
        </x:is>
      </x:c>
      <x:c r="D198" s="31" t="inlineStr">
        <x:is>
          <x:t xml:space="preserve">МАТ-0066</x:t>
        </x:is>
      </x:c>
      <x:c r="E198" s="31" t="inlineStr">
        <x:is>
          <x:t xml:space="preserve">Гофра металлическая / исп.2</x:t>
        </x:is>
      </x:c>
      <x:c r="F198" s="31" t="n">
        <x:v>-5.38</x:v>
      </x:c>
      <x:c r="G198" s="31" t="inlineStr">
        <x:is>
          <x:t xml:space="preserve">кг</x:t>
        </x:is>
      </x:c>
      <x:c r="H198" s="31" t="inlineStr">
        <x:is>
          <x:t xml:space="preserve">ЗК-1128</x:t>
        </x:is>
      </x:c>
      <x:c r="I198" s="31" t="n"/>
      <x:c r="J198" s="31" t="inlineStr">
        <x:is>
          <x:t xml:space="preserve">Цеховой склад</x:t>
        </x:is>
      </x:c>
      <x:c r="K198" s="31" t="inlineStr">
        <x:is>
          <x:t xml:space="preserve">СОТР-033</x:t>
        </x:is>
      </x:c>
      <x:c r="L198" s="31" t="inlineStr">
        <x:is>
          <x:t xml:space="preserve">ДОК-2481</x:t>
        </x:is>
      </x:c>
      <x:c r="M198" s="31" t="inlineStr">
        <x:is>
          <x:t xml:space="preserve">Проведен</x:t>
        </x:is>
      </x:c>
    </x:row>
    <x:row r="199" ht="18" customHeight="1">
      <x:c r="A199" s="31" t="inlineStr">
        <x:is>
          <x:t xml:space="preserve">СКЛ-000198</x:t>
        </x:is>
      </x:c>
      <x:c r="B199" s="31" t="n">
        <x:v>46192</x:v>
      </x:c>
      <x:c r="C199" s="31" t="inlineStr">
        <x:is>
          <x:t xml:space="preserve">Резерв</x:t>
        </x:is>
      </x:c>
      <x:c r="D199" s="31" t="inlineStr">
        <x:is>
          <x:t xml:space="preserve">МАТ-0084</x:t>
        </x:is>
      </x:c>
      <x:c r="E199" s="31" t="inlineStr">
        <x:is>
          <x:t xml:space="preserve">Поддон 1200×800</x:t>
        </x:is>
      </x:c>
      <x:c r="F199" s="31" t="n">
        <x:v>-16</x:v>
      </x:c>
      <x:c r="G199" s="31" t="inlineStr">
        <x:is>
          <x:t xml:space="preserve">шт</x:t>
        </x:is>
      </x:c>
      <x:c r="H199" s="31" t="inlineStr">
        <x:is>
          <x:t xml:space="preserve">ЗК-1044</x:t>
        </x:is>
      </x:c>
      <x:c r="I199" s="31" t="n"/>
      <x:c r="J199" s="31" t="inlineStr">
        <x:is>
          <x:t xml:space="preserve">Брак/карантин</x:t>
        </x:is>
      </x:c>
      <x:c r="K199" s="31" t="inlineStr">
        <x:is>
          <x:t xml:space="preserve">СОТР-035</x:t>
        </x:is>
      </x:c>
      <x:c r="L199" s="31" t="inlineStr">
        <x:is>
          <x:t xml:space="preserve">ДОК-7809</x:t>
        </x:is>
      </x:c>
      <x:c r="M199" s="31" t="inlineStr">
        <x:is>
          <x:t xml:space="preserve">Проведен</x:t>
        </x:is>
      </x:c>
    </x:row>
    <x:row r="200" ht="18" customHeight="1">
      <x:c r="A200" s="31" t="inlineStr">
        <x:is>
          <x:t xml:space="preserve">СКЛ-000199</x:t>
        </x:is>
      </x:c>
      <x:c r="B200" s="31" t="n">
        <x:v>46183</x:v>
      </x:c>
      <x:c r="C200" s="31" t="inlineStr">
        <x:is>
          <x:t xml:space="preserve">Резерв</x:t>
        </x:is>
      </x:c>
      <x:c r="D200" s="31" t="inlineStr">
        <x:is>
          <x:t xml:space="preserve">МАТ-0021</x:t>
        </x:is>
      </x:c>
      <x:c r="E200" s="31" t="inlineStr">
        <x:is>
          <x:t xml:space="preserve">Торцевое уплотнение</x:t>
        </x:is>
      </x:c>
      <x:c r="F200" s="31" t="n">
        <x:v>-6</x:v>
      </x:c>
      <x:c r="G200" s="31" t="inlineStr">
        <x:is>
          <x:t xml:space="preserve">шт</x:t>
        </x:is>
      </x:c>
      <x:c r="H200" s="31" t="inlineStr">
        <x:is>
          <x:t xml:space="preserve">ЗК-1125</x:t>
        </x:is>
      </x:c>
      <x:c r="I200" s="31" t="n"/>
      <x:c r="J200" s="31" t="inlineStr">
        <x:is>
          <x:t xml:space="preserve">Основной склад</x:t>
        </x:is>
      </x:c>
      <x:c r="K200" s="31" t="inlineStr">
        <x:is>
          <x:t xml:space="preserve">СОТР-038</x:t>
        </x:is>
      </x:c>
      <x:c r="L200" s="31" t="inlineStr">
        <x:is>
          <x:t xml:space="preserve">ДОК-8219</x:t>
        </x:is>
      </x:c>
      <x:c r="M200" s="31" t="inlineStr">
        <x:is>
          <x:t xml:space="preserve">Проведен</x:t>
        </x:is>
      </x:c>
    </x:row>
    <x:row r="201" ht="18" customHeight="1">
      <x:c r="A201" s="31" t="inlineStr">
        <x:is>
          <x:t xml:space="preserve">СКЛ-000200</x:t>
        </x:is>
      </x:c>
      <x:c r="B201" s="31" t="n">
        <x:v>46182</x:v>
      </x:c>
      <x:c r="C201" s="31" t="inlineStr">
        <x:is>
          <x:t xml:space="preserve">Резерв</x:t>
        </x:is>
      </x:c>
      <x:c r="D201" s="31" t="inlineStr">
        <x:is>
          <x:t xml:space="preserve">МАТ-0008</x:t>
        </x:is>
      </x:c>
      <x:c r="E201" s="31" t="inlineStr">
        <x:is>
          <x:t xml:space="preserve">Швеллер 12П</x:t>
        </x:is>
      </x:c>
      <x:c r="F201" s="31" t="n">
        <x:v>-17</x:v>
      </x:c>
      <x:c r="G201" s="31" t="inlineStr">
        <x:is>
          <x:t xml:space="preserve">шт</x:t>
        </x:is>
      </x:c>
      <x:c r="H201" s="31" t="inlineStr">
        <x:is>
          <x:t xml:space="preserve">ЗК-1062</x:t>
        </x:is>
      </x:c>
      <x:c r="I201" s="31" t="n"/>
      <x:c r="J201" s="31" t="inlineStr">
        <x:is>
          <x:t xml:space="preserve">Основной склад</x:t>
        </x:is>
      </x:c>
      <x:c r="K201" s="31" t="inlineStr">
        <x:is>
          <x:t xml:space="preserve">СОТР-024</x:t>
        </x:is>
      </x:c>
      <x:c r="L201" s="31" t="inlineStr">
        <x:is>
          <x:t xml:space="preserve">ДОК-8769</x:t>
        </x:is>
      </x:c>
      <x:c r="M201" s="31" t="inlineStr">
        <x:is>
          <x:t xml:space="preserve">Проведен</x:t>
        </x:is>
      </x:c>
    </x:row>
    <x:row r="202" ht="18" customHeight="1">
      <x:c r="A202" s="31" t="inlineStr">
        <x:is>
          <x:t xml:space="preserve">СКЛ-000201</x:t>
        </x:is>
      </x:c>
      <x:c r="B202" s="31" t="n">
        <x:v>46184</x:v>
      </x:c>
      <x:c r="C202" s="31" t="inlineStr">
        <x:is>
          <x:t xml:space="preserve">Выдача в производство</x:t>
        </x:is>
      </x:c>
      <x:c r="D202" s="31" t="inlineStr">
        <x:is>
          <x:t xml:space="preserve">МАТ-0024</x:t>
        </x:is>
      </x:c>
      <x:c r="E202" s="31" t="inlineStr">
        <x:is>
          <x:t xml:space="preserve">Рабочее колесо / исп.2</x:t>
        </x:is>
      </x:c>
      <x:c r="F202" s="31" t="n">
        <x:v>-20</x:v>
      </x:c>
      <x:c r="G202" s="31" t="inlineStr">
        <x:is>
          <x:t xml:space="preserve">шт</x:t>
        </x:is>
      </x:c>
      <x:c r="H202" s="31" t="inlineStr">
        <x:is>
          <x:t xml:space="preserve">ЗК-1122</x:t>
        </x:is>
      </x:c>
      <x:c r="I202" s="31" t="inlineStr">
        <x:is>
          <x:t xml:space="preserve">ПЗ-00197</x:t>
        </x:is>
      </x:c>
      <x:c r="J202" s="31" t="inlineStr">
        <x:is>
          <x:t xml:space="preserve">Брак/карантин</x:t>
        </x:is>
      </x:c>
      <x:c r="K202" s="31" t="inlineStr">
        <x:is>
          <x:t xml:space="preserve">СОТР-037</x:t>
        </x:is>
      </x:c>
      <x:c r="L202" s="31" t="inlineStr">
        <x:is>
          <x:t xml:space="preserve">ДОК-5791</x:t>
        </x:is>
      </x:c>
      <x:c r="M202" s="31" t="inlineStr">
        <x:is>
          <x:t xml:space="preserve">Проведен</x:t>
        </x:is>
      </x:c>
    </x:row>
    <x:row r="203" ht="18" customHeight="1">
      <x:c r="A203" s="31" t="inlineStr">
        <x:is>
          <x:t xml:space="preserve">СКЛ-000202</x:t>
        </x:is>
      </x:c>
      <x:c r="B203" s="31" t="n">
        <x:v>46033</x:v>
      </x:c>
      <x:c r="C203" s="31" t="inlineStr">
        <x:is>
          <x:t xml:space="preserve">Корректировка</x:t>
        </x:is>
      </x:c>
      <x:c r="D203" s="31" t="inlineStr">
        <x:is>
          <x:t xml:space="preserve">МАТ-0024</x:t>
        </x:is>
      </x:c>
      <x:c r="E203" s="31" t="inlineStr">
        <x:is>
          <x:t xml:space="preserve">Рабочее колесо / исп.2</x:t>
        </x:is>
      </x:c>
      <x:c r="F203" s="31" t="n">
        <x:v>16</x:v>
      </x:c>
      <x:c r="G203" s="31" t="inlineStr">
        <x:is>
          <x:t xml:space="preserve">шт</x:t>
        </x:is>
      </x:c>
      <x:c r="H203" s="31" t="n"/>
      <x:c r="I203" s="31" t="n"/>
      <x:c r="J203" s="31" t="inlineStr">
        <x:is>
          <x:t xml:space="preserve">Основной склад</x:t>
        </x:is>
      </x:c>
      <x:c r="K203" s="31" t="inlineStr">
        <x:is>
          <x:t xml:space="preserve">СОТР-034</x:t>
        </x:is>
      </x:c>
      <x:c r="L203" s="31" t="inlineStr">
        <x:is>
          <x:t xml:space="preserve">ДОК-5051</x:t>
        </x:is>
      </x:c>
      <x:c r="M203" s="31" t="inlineStr">
        <x:is>
          <x:t xml:space="preserve">Проведен</x:t>
        </x:is>
      </x:c>
    </x:row>
    <x:row r="204" ht="18" customHeight="1">
      <x:c r="A204" s="31" t="inlineStr">
        <x:is>
          <x:t xml:space="preserve">СКЛ-000203</x:t>
        </x:is>
      </x:c>
      <x:c r="B204" s="31" t="n">
        <x:v>46131</x:v>
      </x:c>
      <x:c r="C204" s="31" t="inlineStr">
        <x:is>
          <x:t xml:space="preserve">Приход</x:t>
        </x:is>
      </x:c>
      <x:c r="D204" s="31" t="inlineStr">
        <x:is>
          <x:t xml:space="preserve">МАТ-0014</x:t>
        </x:is>
      </x:c>
      <x:c r="E204" s="31" t="inlineStr">
        <x:is>
          <x:t xml:space="preserve">Уголок 50×5 / исп.2</x:t>
        </x:is>
      </x:c>
      <x:c r="F204" s="31" t="n">
        <x:v>5</x:v>
      </x:c>
      <x:c r="G204" s="31" t="inlineStr">
        <x:is>
          <x:t xml:space="preserve">шт</x:t>
        </x:is>
      </x:c>
      <x:c r="H204" s="31" t="n"/>
      <x:c r="I204" s="31" t="n"/>
      <x:c r="J204" s="31" t="inlineStr">
        <x:is>
          <x:t xml:space="preserve">Основной склад</x:t>
        </x:is>
      </x:c>
      <x:c r="K204" s="31" t="inlineStr">
        <x:is>
          <x:t xml:space="preserve">СОТР-035</x:t>
        </x:is>
      </x:c>
      <x:c r="L204" s="31" t="inlineStr">
        <x:is>
          <x:t xml:space="preserve">ДОК-8716</x:t>
        </x:is>
      </x:c>
      <x:c r="M204" s="31" t="inlineStr">
        <x:is>
          <x:t xml:space="preserve">Проведен</x:t>
        </x:is>
      </x:c>
    </x:row>
    <x:row r="205" ht="18" customHeight="1">
      <x:c r="A205" s="31" t="inlineStr">
        <x:is>
          <x:t xml:space="preserve">СКЛ-000204</x:t>
        </x:is>
      </x:c>
      <x:c r="B205" s="31" t="n">
        <x:v>46094</x:v>
      </x:c>
      <x:c r="C205" s="31" t="inlineStr">
        <x:is>
          <x:t xml:space="preserve">Приход</x:t>
        </x:is>
      </x:c>
      <x:c r="D205" s="31" t="inlineStr">
        <x:is>
          <x:t xml:space="preserve">МАТ-0054</x:t>
        </x:is>
      </x:c>
      <x:c r="E205" s="31" t="inlineStr">
        <x:is>
          <x:t xml:space="preserve">Кран шаровой Ду80</x:t>
        </x:is>
      </x:c>
      <x:c r="F205" s="31" t="n">
        <x:v>3</x:v>
      </x:c>
      <x:c r="G205" s="31" t="inlineStr">
        <x:is>
          <x:t xml:space="preserve">шт</x:t>
        </x:is>
      </x:c>
      <x:c r="H205" s="31" t="n"/>
      <x:c r="I205" s="31" t="n"/>
      <x:c r="J205" s="31" t="inlineStr">
        <x:is>
          <x:t xml:space="preserve">Основной склад</x:t>
        </x:is>
      </x:c>
      <x:c r="K205" s="31" t="inlineStr">
        <x:is>
          <x:t xml:space="preserve">СОТР-036</x:t>
        </x:is>
      </x:c>
      <x:c r="L205" s="31" t="inlineStr">
        <x:is>
          <x:t xml:space="preserve">ДОК-2240</x:t>
        </x:is>
      </x:c>
      <x:c r="M205" s="31" t="inlineStr">
        <x:is>
          <x:t xml:space="preserve">Проведен</x:t>
        </x:is>
      </x:c>
    </x:row>
    <x:row r="206" ht="18" customHeight="1">
      <x:c r="A206" s="31" t="inlineStr">
        <x:is>
          <x:t xml:space="preserve">СКЛ-000205</x:t>
        </x:is>
      </x:c>
      <x:c r="B206" s="31" t="n">
        <x:v>46186</x:v>
      </x:c>
      <x:c r="C206" s="31" t="inlineStr">
        <x:is>
          <x:t xml:space="preserve">Приход</x:t>
        </x:is>
      </x:c>
      <x:c r="D206" s="31" t="inlineStr">
        <x:is>
          <x:t xml:space="preserve">МАТ-0062</x:t>
        </x:is>
      </x:c>
      <x:c r="E206" s="31" t="inlineStr">
        <x:is>
          <x:t xml:space="preserve">Кабель КВВГ 4×1.5</x:t>
        </x:is>
      </x:c>
      <x:c r="F206" s="31" t="n">
        <x:v>11.7</x:v>
      </x:c>
      <x:c r="G206" s="31" t="inlineStr">
        <x:is>
          <x:t xml:space="preserve">м</x:t>
        </x:is>
      </x:c>
      <x:c r="H206" s="31" t="n"/>
      <x:c r="I206" s="31" t="n"/>
      <x:c r="J206" s="31" t="inlineStr">
        <x:is>
          <x:t xml:space="preserve">Брак/карантин</x:t>
        </x:is>
      </x:c>
      <x:c r="K206" s="31" t="inlineStr">
        <x:is>
          <x:t xml:space="preserve">СОТР-036</x:t>
        </x:is>
      </x:c>
      <x:c r="L206" s="31" t="inlineStr">
        <x:is>
          <x:t xml:space="preserve">ДОК-3830</x:t>
        </x:is>
      </x:c>
      <x:c r="M206" s="31" t="inlineStr">
        <x:is>
          <x:t xml:space="preserve">Проведен</x:t>
        </x:is>
      </x:c>
    </x:row>
    <x:row r="207" ht="18" customHeight="1">
      <x:c r="A207" s="31" t="inlineStr">
        <x:is>
          <x:t xml:space="preserve">СКЛ-000206</x:t>
        </x:is>
      </x:c>
      <x:c r="B207" s="31" t="n">
        <x:v>46136</x:v>
      </x:c>
      <x:c r="C207" s="31" t="inlineStr">
        <x:is>
          <x:t xml:space="preserve">Резерв</x:t>
        </x:is>
      </x:c>
      <x:c r="D207" s="31" t="inlineStr">
        <x:is>
          <x:t xml:space="preserve">МАТ-0083</x:t>
        </x:is>
      </x:c>
      <x:c r="E207" s="31" t="inlineStr">
        <x:is>
          <x:t xml:space="preserve">Анкер М16</x:t>
        </x:is>
      </x:c>
      <x:c r="F207" s="31" t="n">
        <x:v>-12</x:v>
      </x:c>
      <x:c r="G207" s="31" t="inlineStr">
        <x:is>
          <x:t xml:space="preserve">шт</x:t>
        </x:is>
      </x:c>
      <x:c r="H207" s="31" t="inlineStr">
        <x:is>
          <x:t xml:space="preserve">ЗК-1117</x:t>
        </x:is>
      </x:c>
      <x:c r="I207" s="31" t="n"/>
      <x:c r="J207" s="31" t="inlineStr">
        <x:is>
          <x:t xml:space="preserve">Цеховой склад</x:t>
        </x:is>
      </x:c>
      <x:c r="K207" s="31" t="inlineStr">
        <x:is>
          <x:t xml:space="preserve">СОТР-039</x:t>
        </x:is>
      </x:c>
      <x:c r="L207" s="31" t="inlineStr">
        <x:is>
          <x:t xml:space="preserve">ДОК-8139</x:t>
        </x:is>
      </x:c>
      <x:c r="M207" s="31" t="inlineStr">
        <x:is>
          <x:t xml:space="preserve">Проведен</x:t>
        </x:is>
      </x:c>
    </x:row>
    <x:row r="208" ht="18" customHeight="1">
      <x:c r="A208" s="31" t="inlineStr">
        <x:is>
          <x:t xml:space="preserve">СКЛ-000207</x:t>
        </x:is>
      </x:c>
      <x:c r="B208" s="31" t="n">
        <x:v>46070</x:v>
      </x:c>
      <x:c r="C208" s="31" t="inlineStr">
        <x:is>
          <x:t xml:space="preserve">Резерв</x:t>
        </x:is>
      </x:c>
      <x:c r="D208" s="31" t="inlineStr">
        <x:is>
          <x:t xml:space="preserve">МАТ-0047</x:t>
        </x:is>
      </x:c>
      <x:c r="E208" s="31" t="inlineStr">
        <x:is>
          <x:t xml:space="preserve">Контактор 25А / исп.2</x:t>
        </x:is>
      </x:c>
      <x:c r="F208" s="31" t="n">
        <x:v>-6</x:v>
      </x:c>
      <x:c r="G208" s="31" t="inlineStr">
        <x:is>
          <x:t xml:space="preserve">шт</x:t>
        </x:is>
      </x:c>
      <x:c r="H208" s="31" t="inlineStr">
        <x:is>
          <x:t xml:space="preserve">ЗК-1121</x:t>
        </x:is>
      </x:c>
      <x:c r="I208" s="31" t="n"/>
      <x:c r="J208" s="31" t="inlineStr">
        <x:is>
          <x:t xml:space="preserve">Основной склад</x:t>
        </x:is>
      </x:c>
      <x:c r="K208" s="31" t="inlineStr">
        <x:is>
          <x:t xml:space="preserve">СОТР-037</x:t>
        </x:is>
      </x:c>
      <x:c r="L208" s="31" t="inlineStr">
        <x:is>
          <x:t xml:space="preserve">ДОК-6923</x:t>
        </x:is>
      </x:c>
      <x:c r="M208" s="31" t="inlineStr">
        <x:is>
          <x:t xml:space="preserve">Черновик</x:t>
        </x:is>
      </x:c>
    </x:row>
    <x:row r="209" ht="18" customHeight="1">
      <x:c r="A209" s="31" t="inlineStr">
        <x:is>
          <x:t xml:space="preserve">СКЛ-000208</x:t>
        </x:is>
      </x:c>
      <x:c r="B209" s="31" t="n">
        <x:v>46142</x:v>
      </x:c>
      <x:c r="C209" s="31" t="inlineStr">
        <x:is>
          <x:t xml:space="preserve">Выдача в производство</x:t>
        </x:is>
      </x:c>
      <x:c r="D209" s="31" t="inlineStr">
        <x:is>
          <x:t xml:space="preserve">МАТ-0089</x:t>
        </x:is>
      </x:c>
      <x:c r="E209" s="31" t="inlineStr">
        <x:is>
          <x:t xml:space="preserve">Маркировочная этикетка</x:t>
        </x:is>
      </x:c>
      <x:c r="F209" s="31" t="n">
        <x:v>-1</x:v>
      </x:c>
      <x:c r="G209" s="31" t="inlineStr">
        <x:is>
          <x:t xml:space="preserve">шт</x:t>
        </x:is>
      </x:c>
      <x:c r="H209" s="31" t="inlineStr">
        <x:is>
          <x:t xml:space="preserve">ЗК-1111</x:t>
        </x:is>
      </x:c>
      <x:c r="I209" s="31" t="inlineStr">
        <x:is>
          <x:t xml:space="preserve">ПЗ-00252</x:t>
        </x:is>
      </x:c>
      <x:c r="J209" s="31" t="inlineStr">
        <x:is>
          <x:t xml:space="preserve">Основной склад</x:t>
        </x:is>
      </x:c>
      <x:c r="K209" s="31" t="inlineStr">
        <x:is>
          <x:t xml:space="preserve">СОТР-034</x:t>
        </x:is>
      </x:c>
      <x:c r="L209" s="31" t="inlineStr">
        <x:is>
          <x:t xml:space="preserve">ДОК-3422</x:t>
        </x:is>
      </x:c>
      <x:c r="M209" s="31" t="inlineStr">
        <x:is>
          <x:t xml:space="preserve">Проведен</x:t>
        </x:is>
      </x:c>
    </x:row>
    <x:row r="210" ht="18" customHeight="1">
      <x:c r="A210" s="31" t="inlineStr">
        <x:is>
          <x:t xml:space="preserve">СКЛ-000209</x:t>
        </x:is>
      </x:c>
      <x:c r="B210" s="31" t="n">
        <x:v>46067</x:v>
      </x:c>
      <x:c r="C210" s="31" t="inlineStr">
        <x:is>
          <x:t xml:space="preserve">Выдача в производство</x:t>
        </x:is>
      </x:c>
      <x:c r="D210" s="31" t="inlineStr">
        <x:is>
          <x:t xml:space="preserve">МАТ-0023</x:t>
        </x:is>
      </x:c>
      <x:c r="E210" s="31" t="inlineStr">
        <x:is>
          <x:t xml:space="preserve">Рабочее колесо</x:t>
        </x:is>
      </x:c>
      <x:c r="F210" s="31" t="n">
        <x:v>-12</x:v>
      </x:c>
      <x:c r="G210" s="31" t="inlineStr">
        <x:is>
          <x:t xml:space="preserve">шт</x:t>
        </x:is>
      </x:c>
      <x:c r="H210" s="31" t="inlineStr">
        <x:is>
          <x:t xml:space="preserve">ЗК-1047</x:t>
        </x:is>
      </x:c>
      <x:c r="I210" s="31" t="inlineStr">
        <x:is>
          <x:t xml:space="preserve">ПЗ-00121</x:t>
        </x:is>
      </x:c>
      <x:c r="J210" s="31" t="inlineStr">
        <x:is>
          <x:t xml:space="preserve">Основной склад</x:t>
        </x:is>
      </x:c>
      <x:c r="K210" s="31" t="inlineStr">
        <x:is>
          <x:t xml:space="preserve">СОТР-039</x:t>
        </x:is>
      </x:c>
      <x:c r="L210" s="31" t="inlineStr">
        <x:is>
          <x:t xml:space="preserve">ДОК-9636</x:t>
        </x:is>
      </x:c>
      <x:c r="M210" s="31" t="inlineStr">
        <x:is>
          <x:t xml:space="preserve">Проведен</x:t>
        </x:is>
      </x:c>
    </x:row>
    <x:row r="211" ht="18" customHeight="1">
      <x:c r="A211" s="31" t="inlineStr">
        <x:is>
          <x:t xml:space="preserve">СКЛ-000210</x:t>
        </x:is>
      </x:c>
      <x:c r="B211" s="31" t="n">
        <x:v>46184</x:v>
      </x:c>
      <x:c r="C211" s="31" t="inlineStr">
        <x:is>
          <x:t xml:space="preserve">Резерв</x:t>
        </x:is>
      </x:c>
      <x:c r="D211" s="31" t="inlineStr">
        <x:is>
          <x:t xml:space="preserve">МАТ-0014</x:t>
        </x:is>
      </x:c>
      <x:c r="E211" s="31" t="inlineStr">
        <x:is>
          <x:t xml:space="preserve">Уголок 50×5 / исп.2</x:t>
        </x:is>
      </x:c>
      <x:c r="F211" s="31" t="n">
        <x:v>-12</x:v>
      </x:c>
      <x:c r="G211" s="31" t="inlineStr">
        <x:is>
          <x:t xml:space="preserve">шт</x:t>
        </x:is>
      </x:c>
      <x:c r="H211" s="31" t="inlineStr">
        <x:is>
          <x:t xml:space="preserve">ЗК-1043</x:t>
        </x:is>
      </x:c>
      <x:c r="I211" s="31" t="n"/>
      <x:c r="J211" s="31" t="inlineStr">
        <x:is>
          <x:t xml:space="preserve">Основной склад</x:t>
        </x:is>
      </x:c>
      <x:c r="K211" s="31" t="inlineStr">
        <x:is>
          <x:t xml:space="preserve">СОТР-036</x:t>
        </x:is>
      </x:c>
      <x:c r="L211" s="31" t="inlineStr">
        <x:is>
          <x:t xml:space="preserve">ДОК-8936</x:t>
        </x:is>
      </x:c>
      <x:c r="M211" s="31" t="inlineStr">
        <x:is>
          <x:t xml:space="preserve">Черновик</x:t>
        </x:is>
      </x:c>
    </x:row>
    <x:row r="212" ht="18" customHeight="1">
      <x:c r="A212" s="31" t="inlineStr">
        <x:is>
          <x:t xml:space="preserve">СКЛ-000211</x:t>
        </x:is>
      </x:c>
      <x:c r="B212" s="31" t="n">
        <x:v>46136</x:v>
      </x:c>
      <x:c r="C212" s="31" t="inlineStr">
        <x:is>
          <x:t xml:space="preserve">Выдача в производство</x:t>
        </x:is>
      </x:c>
      <x:c r="D212" s="31" t="inlineStr">
        <x:is>
          <x:t xml:space="preserve">МАТ-0053</x:t>
        </x:is>
      </x:c>
      <x:c r="E212" s="31" t="inlineStr">
        <x:is>
          <x:t xml:space="preserve">Кран шаровой Ду50 / исп.3</x:t>
        </x:is>
      </x:c>
      <x:c r="F212" s="31" t="n">
        <x:v>-9</x:v>
      </x:c>
      <x:c r="G212" s="31" t="inlineStr">
        <x:is>
          <x:t xml:space="preserve">шт</x:t>
        </x:is>
      </x:c>
      <x:c r="H212" s="31" t="inlineStr">
        <x:is>
          <x:t xml:space="preserve">ЗК-1063</x:t>
        </x:is>
      </x:c>
      <x:c r="I212" s="31" t="inlineStr">
        <x:is>
          <x:t xml:space="preserve">ПЗ-00256</x:t>
        </x:is>
      </x:c>
      <x:c r="J212" s="31" t="inlineStr">
        <x:is>
          <x:t xml:space="preserve">Основной склад</x:t>
        </x:is>
      </x:c>
      <x:c r="K212" s="31" t="inlineStr">
        <x:is>
          <x:t xml:space="preserve">СОТР-037</x:t>
        </x:is>
      </x:c>
      <x:c r="L212" s="31" t="inlineStr">
        <x:is>
          <x:t xml:space="preserve">ДОК-6258</x:t>
        </x:is>
      </x:c>
      <x:c r="M212" s="31" t="inlineStr">
        <x:is>
          <x:t xml:space="preserve">Проведен</x:t>
        </x:is>
      </x:c>
    </x:row>
    <x:row r="213" ht="18" customHeight="1">
      <x:c r="A213" s="31" t="inlineStr">
        <x:is>
          <x:t xml:space="preserve">СКЛ-000212</x:t>
        </x:is>
      </x:c>
      <x:c r="B213" s="31" t="n">
        <x:v>46093</x:v>
      </x:c>
      <x:c r="C213" s="31" t="inlineStr">
        <x:is>
          <x:t xml:space="preserve">Приход</x:t>
        </x:is>
      </x:c>
      <x:c r="D213" s="31" t="inlineStr">
        <x:is>
          <x:t xml:space="preserve">МАТ-0088</x:t>
        </x:is>
      </x:c>
      <x:c r="E213" s="31" t="inlineStr">
        <x:is>
          <x:t xml:space="preserve">Ящик фанерный / исп.2</x:t>
        </x:is>
      </x:c>
      <x:c r="F213" s="31" t="n">
        <x:v>17</x:v>
      </x:c>
      <x:c r="G213" s="31" t="inlineStr">
        <x:is>
          <x:t xml:space="preserve">шт</x:t>
        </x:is>
      </x:c>
      <x:c r="H213" s="31" t="n"/>
      <x:c r="I213" s="31" t="n"/>
      <x:c r="J213" s="31" t="inlineStr">
        <x:is>
          <x:t xml:space="preserve">Основной склад</x:t>
        </x:is>
      </x:c>
      <x:c r="K213" s="31" t="inlineStr">
        <x:is>
          <x:t xml:space="preserve">СОТР-024</x:t>
        </x:is>
      </x:c>
      <x:c r="L213" s="31" t="inlineStr">
        <x:is>
          <x:t xml:space="preserve">ДОК-3013</x:t>
        </x:is>
      </x:c>
      <x:c r="M213" s="31" t="inlineStr">
        <x:is>
          <x:t xml:space="preserve">Требует проверки</x:t>
        </x:is>
      </x:c>
    </x:row>
    <x:row r="214" ht="18" customHeight="1">
      <x:c r="A214" s="31" t="inlineStr">
        <x:is>
          <x:t xml:space="preserve">СКЛ-000213</x:t>
        </x:is>
      </x:c>
      <x:c r="B214" s="31" t="n">
        <x:v>46153</x:v>
      </x:c>
      <x:c r="C214" s="31" t="inlineStr">
        <x:is>
          <x:t xml:space="preserve">Выдача в производство</x:t>
        </x:is>
      </x:c>
      <x:c r="D214" s="31" t="inlineStr">
        <x:is>
          <x:t xml:space="preserve">МАТ-0046</x:t>
        </x:is>
      </x:c>
      <x:c r="E214" s="31" t="inlineStr">
        <x:is>
          <x:t xml:space="preserve">Контактор 25А</x:t>
        </x:is>
      </x:c>
      <x:c r="F214" s="31" t="n">
        <x:v>-18</x:v>
      </x:c>
      <x:c r="G214" s="31" t="inlineStr">
        <x:is>
          <x:t xml:space="preserve">шт</x:t>
        </x:is>
      </x:c>
      <x:c r="H214" s="31" t="inlineStr">
        <x:is>
          <x:t xml:space="preserve">ЗК-1012</x:t>
        </x:is>
      </x:c>
      <x:c r="I214" s="31" t="inlineStr">
        <x:is>
          <x:t xml:space="preserve">ПЗ-00026</x:t>
        </x:is>
      </x:c>
      <x:c r="J214" s="31" t="inlineStr">
        <x:is>
          <x:t xml:space="preserve">Основной склад</x:t>
        </x:is>
      </x:c>
      <x:c r="K214" s="31" t="inlineStr">
        <x:is>
          <x:t xml:space="preserve">СОТР-036</x:t>
        </x:is>
      </x:c>
      <x:c r="L214" s="31" t="inlineStr">
        <x:is>
          <x:t xml:space="preserve">ДОК-6744</x:t>
        </x:is>
      </x:c>
      <x:c r="M214" s="31" t="inlineStr">
        <x:is>
          <x:t xml:space="preserve">Проведен</x:t>
        </x:is>
      </x:c>
    </x:row>
    <x:row r="215" ht="18" customHeight="1">
      <x:c r="A215" s="31" t="inlineStr">
        <x:is>
          <x:t xml:space="preserve">СКЛ-000214</x:t>
        </x:is>
      </x:c>
      <x:c r="B215" s="31" t="n">
        <x:v>46112</x:v>
      </x:c>
      <x:c r="C215" s="31" t="inlineStr">
        <x:is>
          <x:t xml:space="preserve">Резерв</x:t>
        </x:is>
      </x:c>
      <x:c r="D215" s="31" t="inlineStr">
        <x:is>
          <x:t xml:space="preserve">МАТ-0087</x:t>
        </x:is>
      </x:c>
      <x:c r="E215" s="31" t="inlineStr">
        <x:is>
          <x:t xml:space="preserve">Ящик фанерный</x:t>
        </x:is>
      </x:c>
      <x:c r="F215" s="31" t="n">
        <x:v>-1</x:v>
      </x:c>
      <x:c r="G215" s="31" t="inlineStr">
        <x:is>
          <x:t xml:space="preserve">шт</x:t>
        </x:is>
      </x:c>
      <x:c r="H215" s="31" t="inlineStr">
        <x:is>
          <x:t xml:space="preserve">ЗК-1022</x:t>
        </x:is>
      </x:c>
      <x:c r="I215" s="31" t="n"/>
      <x:c r="J215" s="31" t="inlineStr">
        <x:is>
          <x:t xml:space="preserve">Основной склад</x:t>
        </x:is>
      </x:c>
      <x:c r="K215" s="31" t="inlineStr">
        <x:is>
          <x:t xml:space="preserve">СОТР-033</x:t>
        </x:is>
      </x:c>
      <x:c r="L215" s="31" t="inlineStr">
        <x:is>
          <x:t xml:space="preserve">ДОК-1024</x:t>
        </x:is>
      </x:c>
      <x:c r="M215" s="31" t="inlineStr">
        <x:is>
          <x:t xml:space="preserve">Проведен</x:t>
        </x:is>
      </x:c>
    </x:row>
    <x:row r="216" ht="18" customHeight="1">
      <x:c r="A216" s="31" t="inlineStr">
        <x:is>
          <x:t xml:space="preserve">СКЛ-000215</x:t>
        </x:is>
      </x:c>
      <x:c r="B216" s="31" t="n">
        <x:v>46156</x:v>
      </x:c>
      <x:c r="C216" s="31" t="inlineStr">
        <x:is>
          <x:t xml:space="preserve">Выдача в производство</x:t>
        </x:is>
      </x:c>
      <x:c r="D216" s="31" t="inlineStr">
        <x:is>
          <x:t xml:space="preserve">МАТ-0083</x:t>
        </x:is>
      </x:c>
      <x:c r="E216" s="31" t="inlineStr">
        <x:is>
          <x:t xml:space="preserve">Анкер М16</x:t>
        </x:is>
      </x:c>
      <x:c r="F216" s="31" t="n">
        <x:v>-20</x:v>
      </x:c>
      <x:c r="G216" s="31" t="inlineStr">
        <x:is>
          <x:t xml:space="preserve">шт</x:t>
        </x:is>
      </x:c>
      <x:c r="H216" s="31" t="inlineStr">
        <x:is>
          <x:t xml:space="preserve">ЗК-1086</x:t>
        </x:is>
      </x:c>
      <x:c r="I216" s="31" t="inlineStr">
        <x:is>
          <x:t xml:space="preserve">ПЗ-00250</x:t>
        </x:is>
      </x:c>
      <x:c r="J216" s="31" t="inlineStr">
        <x:is>
          <x:t xml:space="preserve">Цеховой склад</x:t>
        </x:is>
      </x:c>
      <x:c r="K216" s="31" t="inlineStr">
        <x:is>
          <x:t xml:space="preserve">СОТР-036</x:t>
        </x:is>
      </x:c>
      <x:c r="L216" s="31" t="inlineStr">
        <x:is>
          <x:t xml:space="preserve">ДОК-5155</x:t>
        </x:is>
      </x:c>
      <x:c r="M216" s="31" t="inlineStr">
        <x:is>
          <x:t xml:space="preserve">Проведен</x:t>
        </x:is>
      </x:c>
    </x:row>
    <x:row r="217" ht="18" customHeight="1">
      <x:c r="A217" s="31" t="inlineStr">
        <x:is>
          <x:t xml:space="preserve">СКЛ-000216</x:t>
        </x:is>
      </x:c>
      <x:c r="B217" s="31" t="n">
        <x:v>46080</x:v>
      </x:c>
      <x:c r="C217" s="31" t="inlineStr">
        <x:is>
          <x:t xml:space="preserve">Выдача в производство</x:t>
        </x:is>
      </x:c>
      <x:c r="D217" s="31" t="inlineStr">
        <x:is>
          <x:t xml:space="preserve">МАТ-0011</x:t>
        </x:is>
      </x:c>
      <x:c r="E217" s="31" t="inlineStr">
        <x:is>
          <x:t xml:space="preserve">Фланец Ду50 Ру16 / исп.3</x:t>
        </x:is>
      </x:c>
      <x:c r="F217" s="31" t="n">
        <x:v>-13</x:v>
      </x:c>
      <x:c r="G217" s="31" t="inlineStr">
        <x:is>
          <x:t xml:space="preserve">шт</x:t>
        </x:is>
      </x:c>
      <x:c r="H217" s="31" t="inlineStr">
        <x:is>
          <x:t xml:space="preserve">ЗК-1093</x:t>
        </x:is>
      </x:c>
      <x:c r="I217" s="31" t="inlineStr">
        <x:is>
          <x:t xml:space="preserve">ПЗ-00219</x:t>
        </x:is>
      </x:c>
      <x:c r="J217" s="31" t="inlineStr">
        <x:is>
          <x:t xml:space="preserve">Цеховой склад</x:t>
        </x:is>
      </x:c>
      <x:c r="K217" s="31" t="inlineStr">
        <x:is>
          <x:t xml:space="preserve">СОТР-036</x:t>
        </x:is>
      </x:c>
      <x:c r="L217" s="31" t="inlineStr">
        <x:is>
          <x:t xml:space="preserve">ДОК-7367</x:t>
        </x:is>
      </x:c>
      <x:c r="M217" s="31" t="inlineStr">
        <x:is>
          <x:t xml:space="preserve">Проведен</x:t>
        </x:is>
      </x:c>
    </x:row>
    <x:row r="218" ht="18" customHeight="1">
      <x:c r="A218" s="31" t="inlineStr">
        <x:is>
          <x:t xml:space="preserve">СКЛ-000217</x:t>
        </x:is>
      </x:c>
      <x:c r="B218" s="31" t="n">
        <x:v>46107</x:v>
      </x:c>
      <x:c r="C218" s="31" t="inlineStr">
        <x:is>
          <x:t xml:space="preserve">Списание</x:t>
        </x:is>
      </x:c>
      <x:c r="D218" s="31" t="inlineStr">
        <x:is>
          <x:t xml:space="preserve">МАТ-0032</x:t>
        </x:is>
      </x:c>
      <x:c r="E218" s="31" t="inlineStr">
        <x:is>
          <x:t xml:space="preserve">Датчик температуры Пт100</x:t>
        </x:is>
      </x:c>
      <x:c r="F218" s="31" t="n">
        <x:v>-8</x:v>
      </x:c>
      <x:c r="G218" s="31" t="inlineStr">
        <x:is>
          <x:t xml:space="preserve">шт</x:t>
        </x:is>
      </x:c>
      <x:c r="H218" s="31" t="n"/>
      <x:c r="I218" s="31" t="n"/>
      <x:c r="J218" s="31" t="inlineStr">
        <x:is>
          <x:t xml:space="preserve">Цеховой склад</x:t>
        </x:is>
      </x:c>
      <x:c r="K218" s="31" t="inlineStr">
        <x:is>
          <x:t xml:space="preserve">СОТР-039</x:t>
        </x:is>
      </x:c>
      <x:c r="L218" s="31" t="inlineStr">
        <x:is>
          <x:t xml:space="preserve">ДОК-5530</x:t>
        </x:is>
      </x:c>
      <x:c r="M218" s="31" t="inlineStr">
        <x:is>
          <x:t xml:space="preserve">Проведен</x:t>
        </x:is>
      </x:c>
    </x:row>
    <x:row r="219" ht="18" customHeight="1">
      <x:c r="A219" s="31" t="inlineStr">
        <x:is>
          <x:t xml:space="preserve">СКЛ-000218</x:t>
        </x:is>
      </x:c>
      <x:c r="B219" s="31" t="n">
        <x:v>46153</x:v>
      </x:c>
      <x:c r="C219" s="31" t="inlineStr">
        <x:is>
          <x:t xml:space="preserve">Корректировка</x:t>
        </x:is>
      </x:c>
      <x:c r="D219" s="31" t="inlineStr">
        <x:is>
          <x:t xml:space="preserve">МАТ-0053</x:t>
        </x:is>
      </x:c>
      <x:c r="E219" s="31" t="inlineStr">
        <x:is>
          <x:t xml:space="preserve">Кран шаровой Ду50 / исп.3</x:t>
        </x:is>
      </x:c>
      <x:c r="F219" s="31" t="n">
        <x:v>7</x:v>
      </x:c>
      <x:c r="G219" s="31" t="inlineStr">
        <x:is>
          <x:t xml:space="preserve">шт</x:t>
        </x:is>
      </x:c>
      <x:c r="H219" s="31" t="n"/>
      <x:c r="I219" s="31" t="n"/>
      <x:c r="J219" s="31" t="inlineStr">
        <x:is>
          <x:t xml:space="preserve">Основной склад</x:t>
        </x:is>
      </x:c>
      <x:c r="K219" s="31" t="inlineStr">
        <x:is>
          <x:t xml:space="preserve">СОТР-034</x:t>
        </x:is>
      </x:c>
      <x:c r="L219" s="31" t="inlineStr">
        <x:is>
          <x:t xml:space="preserve">ДОК-3559</x:t>
        </x:is>
      </x:c>
      <x:c r="M219" s="31" t="inlineStr">
        <x:is>
          <x:t xml:space="preserve">Проведен</x:t>
        </x:is>
      </x:c>
    </x:row>
    <x:row r="220" ht="18" customHeight="1">
      <x:c r="A220" s="31" t="inlineStr">
        <x:is>
          <x:t xml:space="preserve">СКЛ-000219</x:t>
        </x:is>
      </x:c>
      <x:c r="B220" s="31" t="n">
        <x:v>46060</x:v>
      </x:c>
      <x:c r="C220" s="31" t="inlineStr">
        <x:is>
          <x:t xml:space="preserve">Резерв</x:t>
        </x:is>
      </x:c>
      <x:c r="D220" s="31" t="inlineStr">
        <x:is>
          <x:t xml:space="preserve">МАТ-0089</x:t>
        </x:is>
      </x:c>
      <x:c r="E220" s="31" t="inlineStr">
        <x:is>
          <x:t xml:space="preserve">Маркировочная этикетка</x:t>
        </x:is>
      </x:c>
      <x:c r="F220" s="31" t="n">
        <x:v>-17</x:v>
      </x:c>
      <x:c r="G220" s="31" t="inlineStr">
        <x:is>
          <x:t xml:space="preserve">шт</x:t>
        </x:is>
      </x:c>
      <x:c r="H220" s="31" t="inlineStr">
        <x:is>
          <x:t xml:space="preserve">ЗК-1038</x:t>
        </x:is>
      </x:c>
      <x:c r="I220" s="31" t="n"/>
      <x:c r="J220" s="31" t="inlineStr">
        <x:is>
          <x:t xml:space="preserve">Основной склад</x:t>
        </x:is>
      </x:c>
      <x:c r="K220" s="31" t="inlineStr">
        <x:is>
          <x:t xml:space="preserve">СОТР-033</x:t>
        </x:is>
      </x:c>
      <x:c r="L220" s="31" t="inlineStr">
        <x:is>
          <x:t xml:space="preserve">ДОК-6651</x:t>
        </x:is>
      </x:c>
      <x:c r="M220" s="31" t="inlineStr">
        <x:is>
          <x:t xml:space="preserve">Проведен</x:t>
        </x:is>
      </x:c>
    </x:row>
    <x:row r="221" ht="18" customHeight="1">
      <x:c r="A221" s="31" t="inlineStr">
        <x:is>
          <x:t xml:space="preserve">СКЛ-000220</x:t>
        </x:is>
      </x:c>
      <x:c r="B221" s="31" t="n">
        <x:v>46194</x:v>
      </x:c>
      <x:c r="C221" s="31" t="inlineStr">
        <x:is>
          <x:t xml:space="preserve">Резерв</x:t>
        </x:is>
      </x:c>
      <x:c r="D221" s="31" t="inlineStr">
        <x:is>
          <x:t xml:space="preserve">МАТ-0028</x:t>
        </x:is>
      </x:c>
      <x:c r="E221" s="31" t="inlineStr">
        <x:is>
          <x:t xml:space="preserve">Частотный преобразователь 15 кВт</x:t>
        </x:is>
      </x:c>
      <x:c r="F221" s="31" t="n">
        <x:v>-18</x:v>
      </x:c>
      <x:c r="G221" s="31" t="inlineStr">
        <x:is>
          <x:t xml:space="preserve">шт</x:t>
        </x:is>
      </x:c>
      <x:c r="H221" s="31" t="inlineStr">
        <x:is>
          <x:t xml:space="preserve">ЗК-1045</x:t>
        </x:is>
      </x:c>
      <x:c r="I221" s="31" t="n"/>
      <x:c r="J221" s="31" t="inlineStr">
        <x:is>
          <x:t xml:space="preserve">Основной склад</x:t>
        </x:is>
      </x:c>
      <x:c r="K221" s="31" t="inlineStr">
        <x:is>
          <x:t xml:space="preserve">СОТР-036</x:t>
        </x:is>
      </x:c>
      <x:c r="L221" s="31" t="inlineStr">
        <x:is>
          <x:t xml:space="preserve">ДОК-6131</x:t>
        </x:is>
      </x:c>
      <x:c r="M221" s="31" t="inlineStr">
        <x:is>
          <x:t xml:space="preserve">Проведен</x:t>
        </x:is>
      </x:c>
    </x:row>
    <x:row r="222" ht="18" customHeight="1">
      <x:c r="A222" s="31" t="inlineStr">
        <x:is>
          <x:t xml:space="preserve">СКЛ-000221</x:t>
        </x:is>
      </x:c>
      <x:c r="B222" s="31" t="n">
        <x:v>46033</x:v>
      </x:c>
      <x:c r="C222" s="31" t="inlineStr">
        <x:is>
          <x:t xml:space="preserve">Приход</x:t>
        </x:is>
      </x:c>
      <x:c r="D222" s="31" t="inlineStr">
        <x:is>
          <x:t xml:space="preserve">МАТ-0022</x:t>
        </x:is>
      </x:c>
      <x:c r="E222" s="31" t="inlineStr">
        <x:is>
          <x:t xml:space="preserve">Торцевое уплотнение / исп.2</x:t>
        </x:is>
      </x:c>
      <x:c r="F222" s="31" t="n">
        <x:v>10</x:v>
      </x:c>
      <x:c r="G222" s="31" t="inlineStr">
        <x:is>
          <x:t xml:space="preserve">шт</x:t>
        </x:is>
      </x:c>
      <x:c r="H222" s="31" t="n"/>
      <x:c r="I222" s="31" t="n"/>
      <x:c r="J222" s="31" t="inlineStr">
        <x:is>
          <x:t xml:space="preserve">Основной склад</x:t>
        </x:is>
      </x:c>
      <x:c r="K222" s="31" t="inlineStr">
        <x:is>
          <x:t xml:space="preserve">СОТР-024</x:t>
        </x:is>
      </x:c>
      <x:c r="L222" s="31" t="inlineStr">
        <x:is>
          <x:t xml:space="preserve">ДОК-5136</x:t>
        </x:is>
      </x:c>
      <x:c r="M222" s="31" t="inlineStr">
        <x:is>
          <x:t xml:space="preserve">Проведен</x:t>
        </x:is>
      </x:c>
    </x:row>
    <x:row r="223" ht="18" customHeight="1">
      <x:c r="A223" s="31" t="inlineStr">
        <x:is>
          <x:t xml:space="preserve">СКЛ-000222</x:t>
        </x:is>
      </x:c>
      <x:c r="B223" s="31" t="n">
        <x:v>46195</x:v>
      </x:c>
      <x:c r="C223" s="31" t="inlineStr">
        <x:is>
          <x:t xml:space="preserve">Приход</x:t>
        </x:is>
      </x:c>
      <x:c r="D223" s="31" t="inlineStr">
        <x:is>
          <x:t xml:space="preserve">МАТ-0054</x:t>
        </x:is>
      </x:c>
      <x:c r="E223" s="31" t="inlineStr">
        <x:is>
          <x:t xml:space="preserve">Кран шаровой Ду80</x:t>
        </x:is>
      </x:c>
      <x:c r="F223" s="31" t="n">
        <x:v>16</x:v>
      </x:c>
      <x:c r="G223" s="31" t="inlineStr">
        <x:is>
          <x:t xml:space="preserve">шт</x:t>
        </x:is>
      </x:c>
      <x:c r="H223" s="31" t="n"/>
      <x:c r="I223" s="31" t="n"/>
      <x:c r="J223" s="31" t="inlineStr">
        <x:is>
          <x:t xml:space="preserve">Основной склад</x:t>
        </x:is>
      </x:c>
      <x:c r="K223" s="31" t="inlineStr">
        <x:is>
          <x:t xml:space="preserve">СОТР-034</x:t>
        </x:is>
      </x:c>
      <x:c r="L223" s="31" t="inlineStr">
        <x:is>
          <x:t xml:space="preserve">ДОК-2245</x:t>
        </x:is>
      </x:c>
      <x:c r="M223" s="31" t="inlineStr">
        <x:is>
          <x:t xml:space="preserve">Проведен</x:t>
        </x:is>
      </x:c>
    </x:row>
    <x:row r="224" ht="18" customHeight="1">
      <x:c r="A224" s="31" t="inlineStr">
        <x:is>
          <x:t xml:space="preserve">СКЛ-000223</x:t>
        </x:is>
      </x:c>
      <x:c r="B224" s="31" t="n">
        <x:v>46127</x:v>
      </x:c>
      <x:c r="C224" s="31" t="inlineStr">
        <x:is>
          <x:t xml:space="preserve">Резерв</x:t>
        </x:is>
      </x:c>
      <x:c r="D224" s="31" t="inlineStr">
        <x:is>
          <x:t xml:space="preserve">МАТ-0076</x:t>
        </x:is>
      </x:c>
      <x:c r="E224" s="31" t="inlineStr">
        <x:is>
          <x:t xml:space="preserve">Болт М12 / исп.2</x:t>
        </x:is>
      </x:c>
      <x:c r="F224" s="31" t="n">
        <x:v>-14</x:v>
      </x:c>
      <x:c r="G224" s="31" t="inlineStr">
        <x:is>
          <x:t xml:space="preserve">шт</x:t>
        </x:is>
      </x:c>
      <x:c r="H224" s="31" t="inlineStr">
        <x:is>
          <x:t xml:space="preserve">ЗК-1050</x:t>
        </x:is>
      </x:c>
      <x:c r="I224" s="31" t="n"/>
      <x:c r="J224" s="31" t="inlineStr">
        <x:is>
          <x:t xml:space="preserve">Основной склад</x:t>
        </x:is>
      </x:c>
      <x:c r="K224" s="31" t="inlineStr">
        <x:is>
          <x:t xml:space="preserve">СОТР-037</x:t>
        </x:is>
      </x:c>
      <x:c r="L224" s="31" t="inlineStr">
        <x:is>
          <x:t xml:space="preserve">ДОК-2881</x:t>
        </x:is>
      </x:c>
      <x:c r="M224" s="31" t="inlineStr">
        <x:is>
          <x:t xml:space="preserve">Проведен</x:t>
        </x:is>
      </x:c>
    </x:row>
    <x:row r="225" ht="18" customHeight="1">
      <x:c r="A225" s="31" t="inlineStr">
        <x:is>
          <x:t xml:space="preserve">СКЛ-000224</x:t>
        </x:is>
      </x:c>
      <x:c r="B225" s="31" t="n">
        <x:v>46090</x:v>
      </x:c>
      <x:c r="C225" s="31" t="inlineStr">
        <x:is>
          <x:t xml:space="preserve">Резерв</x:t>
        </x:is>
      </x:c>
      <x:c r="D225" s="31" t="inlineStr">
        <x:is>
          <x:t xml:space="preserve">МАТ-0012</x:t>
        </x:is>
      </x:c>
      <x:c r="E225" s="31" t="inlineStr">
        <x:is>
          <x:t xml:space="preserve">Фланец Ду80 Ру16</x:t>
        </x:is>
      </x:c>
      <x:c r="F225" s="31" t="n">
        <x:v>-39.29</x:v>
      </x:c>
      <x:c r="G225" s="31" t="inlineStr">
        <x:is>
          <x:t xml:space="preserve">л</x:t>
        </x:is>
      </x:c>
      <x:c r="H225" s="31" t="inlineStr">
        <x:is>
          <x:t xml:space="preserve">ЗК-1062</x:t>
        </x:is>
      </x:c>
      <x:c r="I225" s="31" t="n"/>
      <x:c r="J225" s="31" t="inlineStr">
        <x:is>
          <x:t xml:space="preserve">Основной склад</x:t>
        </x:is>
      </x:c>
      <x:c r="K225" s="31" t="inlineStr">
        <x:is>
          <x:t xml:space="preserve">СОТР-037</x:t>
        </x:is>
      </x:c>
      <x:c r="L225" s="31" t="inlineStr">
        <x:is>
          <x:t xml:space="preserve">ДОК-4358</x:t>
        </x:is>
      </x:c>
      <x:c r="M225" s="31" t="inlineStr">
        <x:is>
          <x:t xml:space="preserve">Проведен</x:t>
        </x:is>
      </x:c>
    </x:row>
    <x:row r="226" ht="18" customHeight="1">
      <x:c r="A226" s="31" t="inlineStr">
        <x:is>
          <x:t xml:space="preserve">СКЛ-000225</x:t>
        </x:is>
      </x:c>
      <x:c r="B226" s="31" t="n">
        <x:v>46160</x:v>
      </x:c>
      <x:c r="C226" s="31" t="inlineStr">
        <x:is>
          <x:t xml:space="preserve">Выдача в производство</x:t>
        </x:is>
      </x:c>
      <x:c r="D226" s="31" t="inlineStr">
        <x:is>
          <x:t xml:space="preserve">МАТ-0083</x:t>
        </x:is>
      </x:c>
      <x:c r="E226" s="31" t="inlineStr">
        <x:is>
          <x:t xml:space="preserve">Анкер М16</x:t>
        </x:is>
      </x:c>
      <x:c r="F226" s="31" t="n">
        <x:v>-10</x:v>
      </x:c>
      <x:c r="G226" s="31" t="inlineStr">
        <x:is>
          <x:t xml:space="preserve">шт</x:t>
        </x:is>
      </x:c>
      <x:c r="H226" s="31" t="inlineStr">
        <x:is>
          <x:t xml:space="preserve">ЗК-1069</x:t>
        </x:is>
      </x:c>
      <x:c r="I226" s="31" t="inlineStr">
        <x:is>
          <x:t xml:space="preserve">ПЗ-00231</x:t>
        </x:is>
      </x:c>
      <x:c r="J226" s="31" t="inlineStr">
        <x:is>
          <x:t xml:space="preserve">Цеховой склад</x:t>
        </x:is>
      </x:c>
      <x:c r="K226" s="31" t="inlineStr">
        <x:is>
          <x:t xml:space="preserve">СОТР-037</x:t>
        </x:is>
      </x:c>
      <x:c r="L226" s="31" t="inlineStr">
        <x:is>
          <x:t xml:space="preserve">ДОК-6934</x:t>
        </x:is>
      </x:c>
      <x:c r="M226" s="31" t="inlineStr">
        <x:is>
          <x:t xml:space="preserve">Проведен</x:t>
        </x:is>
      </x:c>
    </x:row>
    <x:row r="227" ht="18" customHeight="1">
      <x:c r="A227" s="31" t="inlineStr">
        <x:is>
          <x:t xml:space="preserve">СКЛ-000226</x:t>
        </x:is>
      </x:c>
      <x:c r="B227" s="31" t="n">
        <x:v>46168</x:v>
      </x:c>
      <x:c r="C227" s="31" t="inlineStr">
        <x:is>
          <x:t xml:space="preserve">Приход</x:t>
        </x:is>
      </x:c>
      <x:c r="D227" s="31" t="inlineStr">
        <x:is>
          <x:t xml:space="preserve">МАТ-0032</x:t>
        </x:is>
      </x:c>
      <x:c r="E227" s="31" t="inlineStr">
        <x:is>
          <x:t xml:space="preserve">Датчик температуры Пт100</x:t>
        </x:is>
      </x:c>
      <x:c r="F227" s="31" t="n">
        <x:v>20</x:v>
      </x:c>
      <x:c r="G227" s="31" t="inlineStr">
        <x:is>
          <x:t xml:space="preserve">шт</x:t>
        </x:is>
      </x:c>
      <x:c r="H227" s="31" t="n"/>
      <x:c r="I227" s="31" t="n"/>
      <x:c r="J227" s="31" t="inlineStr">
        <x:is>
          <x:t xml:space="preserve">Основной склад</x:t>
        </x:is>
      </x:c>
      <x:c r="K227" s="31" t="inlineStr">
        <x:is>
          <x:t xml:space="preserve">СОТР-036</x:t>
        </x:is>
      </x:c>
      <x:c r="L227" s="31" t="inlineStr">
        <x:is>
          <x:t xml:space="preserve">ДОК-5324</x:t>
        </x:is>
      </x:c>
      <x:c r="M227" s="31" t="inlineStr">
        <x:is>
          <x:t xml:space="preserve">Требует проверки</x:t>
        </x:is>
      </x:c>
    </x:row>
    <x:row r="228" ht="18" customHeight="1">
      <x:c r="A228" s="31" t="inlineStr">
        <x:is>
          <x:t xml:space="preserve">СКЛ-000227</x:t>
        </x:is>
      </x:c>
      <x:c r="B228" s="31" t="n">
        <x:v>46142</x:v>
      </x:c>
      <x:c r="C228" s="31" t="inlineStr">
        <x:is>
          <x:t xml:space="preserve">Списание</x:t>
        </x:is>
      </x:c>
      <x:c r="D228" s="31" t="inlineStr">
        <x:is>
          <x:t xml:space="preserve">МАТ-0077</x:t>
        </x:is>
      </x:c>
      <x:c r="E228" s="31" t="inlineStr">
        <x:is>
          <x:t xml:space="preserve">Болт М16</x:t>
        </x:is>
      </x:c>
      <x:c r="F228" s="31" t="n">
        <x:v>-3</x:v>
      </x:c>
      <x:c r="G228" s="31" t="inlineStr">
        <x:is>
          <x:t xml:space="preserve">шт</x:t>
        </x:is>
      </x:c>
      <x:c r="H228" s="31" t="n"/>
      <x:c r="I228" s="31" t="n"/>
      <x:c r="J228" s="31" t="inlineStr">
        <x:is>
          <x:t xml:space="preserve">Основной склад</x:t>
        </x:is>
      </x:c>
      <x:c r="K228" s="31" t="inlineStr">
        <x:is>
          <x:t xml:space="preserve">СОТР-037</x:t>
        </x:is>
      </x:c>
      <x:c r="L228" s="31" t="inlineStr">
        <x:is>
          <x:t xml:space="preserve">ДОК-3966</x:t>
        </x:is>
      </x:c>
      <x:c r="M228" s="31" t="inlineStr">
        <x:is>
          <x:t xml:space="preserve">Проведен</x:t>
        </x:is>
      </x:c>
    </x:row>
    <x:row r="229" ht="18" customHeight="1">
      <x:c r="A229" s="31" t="inlineStr">
        <x:is>
          <x:t xml:space="preserve">СКЛ-000228</x:t>
        </x:is>
      </x:c>
      <x:c r="B229" s="31" t="n">
        <x:v>46091</x:v>
      </x:c>
      <x:c r="C229" s="31" t="inlineStr">
        <x:is>
          <x:t xml:space="preserve">Резерв</x:t>
        </x:is>
      </x:c>
      <x:c r="D229" s="31" t="inlineStr">
        <x:is>
          <x:t xml:space="preserve">МАТ-0033</x:t>
        </x:is>
      </x:c>
      <x:c r="E229" s="31" t="inlineStr">
        <x:is>
          <x:t xml:space="preserve">Расходомер электромагнитный Ду50</x:t>
        </x:is>
      </x:c>
      <x:c r="F229" s="31" t="n">
        <x:v>-9</x:v>
      </x:c>
      <x:c r="G229" s="31" t="inlineStr">
        <x:is>
          <x:t xml:space="preserve">шт</x:t>
        </x:is>
      </x:c>
      <x:c r="H229" s="31" t="inlineStr">
        <x:is>
          <x:t xml:space="preserve">ЗК-1098</x:t>
        </x:is>
      </x:c>
      <x:c r="I229" s="31" t="n"/>
      <x:c r="J229" s="31" t="inlineStr">
        <x:is>
          <x:t xml:space="preserve">Основной склад</x:t>
        </x:is>
      </x:c>
      <x:c r="K229" s="31" t="inlineStr">
        <x:is>
          <x:t xml:space="preserve">СОТР-034</x:t>
        </x:is>
      </x:c>
      <x:c r="L229" s="31" t="inlineStr">
        <x:is>
          <x:t xml:space="preserve">ДОК-2300</x:t>
        </x:is>
      </x:c>
      <x:c r="M229" s="31" t="inlineStr">
        <x:is>
          <x:t xml:space="preserve">Проведен</x:t>
        </x:is>
      </x:c>
    </x:row>
    <x:row r="230" ht="18" customHeight="1">
      <x:c r="A230" s="31" t="inlineStr">
        <x:is>
          <x:t xml:space="preserve">СКЛ-000229</x:t>
        </x:is>
      </x:c>
      <x:c r="B230" s="31" t="n">
        <x:v>46125</x:v>
      </x:c>
      <x:c r="C230" s="31" t="inlineStr">
        <x:is>
          <x:t xml:space="preserve">Резерв</x:t>
        </x:is>
      </x:c>
      <x:c r="D230" s="31" t="inlineStr">
        <x:is>
          <x:t xml:space="preserve">МАТ-0065</x:t>
        </x:is>
      </x:c>
      <x:c r="E230" s="31" t="inlineStr">
        <x:is>
          <x:t xml:space="preserve">Гофра металлическая</x:t>
        </x:is>
      </x:c>
      <x:c r="F230" s="31" t="n">
        <x:v>-15</x:v>
      </x:c>
      <x:c r="G230" s="31" t="inlineStr">
        <x:is>
          <x:t xml:space="preserve">шт</x:t>
        </x:is>
      </x:c>
      <x:c r="H230" s="31" t="inlineStr">
        <x:is>
          <x:t xml:space="preserve">ЗК-1094</x:t>
        </x:is>
      </x:c>
      <x:c r="I230" s="31" t="n"/>
      <x:c r="J230" s="31" t="inlineStr">
        <x:is>
          <x:t xml:space="preserve">Основной склад</x:t>
        </x:is>
      </x:c>
      <x:c r="K230" s="31" t="inlineStr">
        <x:is>
          <x:t xml:space="preserve">СОТР-033</x:t>
        </x:is>
      </x:c>
      <x:c r="L230" s="31" t="inlineStr">
        <x:is>
          <x:t xml:space="preserve">ДОК-2333</x:t>
        </x:is>
      </x:c>
      <x:c r="M230" s="31" t="inlineStr">
        <x:is>
          <x:t xml:space="preserve">Черновик</x:t>
        </x:is>
      </x:c>
    </x:row>
    <x:row r="231" ht="18" customHeight="1">
      <x:c r="A231" s="31" t="inlineStr">
        <x:is>
          <x:t xml:space="preserve">СКЛ-000230</x:t>
        </x:is>
      </x:c>
      <x:c r="B231" s="31" t="n">
        <x:v>46126</x:v>
      </x:c>
      <x:c r="C231" s="31" t="inlineStr">
        <x:is>
          <x:t xml:space="preserve">Возврат</x:t>
        </x:is>
      </x:c>
      <x:c r="D231" s="31" t="inlineStr">
        <x:is>
          <x:t xml:space="preserve">МАТ-0073</x:t>
        </x:is>
      </x:c>
      <x:c r="E231" s="31" t="inlineStr">
        <x:is>
          <x:t xml:space="preserve">Растворитель / исп.2</x:t>
        </x:is>
      </x:c>
      <x:c r="F231" s="31" t="n">
        <x:v>38.06</x:v>
      </x:c>
      <x:c r="G231" s="31" t="inlineStr">
        <x:is>
          <x:t xml:space="preserve">л</x:t>
        </x:is>
      </x:c>
      <x:c r="H231" s="31" t="n"/>
      <x:c r="I231" s="31" t="n"/>
      <x:c r="J231" s="31" t="inlineStr">
        <x:is>
          <x:t xml:space="preserve">Основной склад</x:t>
        </x:is>
      </x:c>
      <x:c r="K231" s="31" t="inlineStr">
        <x:is>
          <x:t xml:space="preserve">СОТР-035</x:t>
        </x:is>
      </x:c>
      <x:c r="L231" s="31" t="inlineStr">
        <x:is>
          <x:t xml:space="preserve">ДОК-3078</x:t>
        </x:is>
      </x:c>
      <x:c r="M231" s="31" t="inlineStr">
        <x:is>
          <x:t xml:space="preserve">Проведен</x:t>
        </x:is>
      </x:c>
    </x:row>
    <x:row r="232" ht="18" customHeight="1">
      <x:c r="A232" s="31" t="inlineStr">
        <x:is>
          <x:t xml:space="preserve">СКЛ-000231</x:t>
        </x:is>
      </x:c>
      <x:c r="B232" s="31" t="n">
        <x:v>46046</x:v>
      </x:c>
      <x:c r="C232" s="31" t="inlineStr">
        <x:is>
          <x:t xml:space="preserve">Приход</x:t>
        </x:is>
      </x:c>
      <x:c r="D232" s="31" t="inlineStr">
        <x:is>
          <x:t xml:space="preserve">МАТ-0077</x:t>
        </x:is>
      </x:c>
      <x:c r="E232" s="31" t="inlineStr">
        <x:is>
          <x:t xml:space="preserve">Болт М16</x:t>
        </x:is>
      </x:c>
      <x:c r="F232" s="31" t="n">
        <x:v>1</x:v>
      </x:c>
      <x:c r="G232" s="31" t="inlineStr">
        <x:is>
          <x:t xml:space="preserve">шт</x:t>
        </x:is>
      </x:c>
      <x:c r="H232" s="31" t="n"/>
      <x:c r="I232" s="31" t="n"/>
      <x:c r="J232" s="31" t="inlineStr">
        <x:is>
          <x:t xml:space="preserve">Основной склад</x:t>
        </x:is>
      </x:c>
      <x:c r="K232" s="31" t="inlineStr">
        <x:is>
          <x:t xml:space="preserve">СОТР-024</x:t>
        </x:is>
      </x:c>
      <x:c r="L232" s="31" t="inlineStr">
        <x:is>
          <x:t xml:space="preserve">ДОК-6237</x:t>
        </x:is>
      </x:c>
      <x:c r="M232" s="31" t="inlineStr">
        <x:is>
          <x:t xml:space="preserve">Проведен</x:t>
        </x:is>
      </x:c>
    </x:row>
    <x:row r="233" ht="18" customHeight="1">
      <x:c r="A233" s="31" t="inlineStr">
        <x:is>
          <x:t xml:space="preserve">СКЛ-000232</x:t>
        </x:is>
      </x:c>
      <x:c r="B233" s="31" t="n">
        <x:v>46171</x:v>
      </x:c>
      <x:c r="C233" s="31" t="inlineStr">
        <x:is>
          <x:t xml:space="preserve">Резерв</x:t>
        </x:is>
      </x:c>
      <x:c r="D233" s="31" t="inlineStr">
        <x:is>
          <x:t xml:space="preserve">МАТ-0015</x:t>
        </x:is>
      </x:c>
      <x:c r="E233" s="31" t="inlineStr">
        <x:is>
          <x:t xml:space="preserve">Насос центробежный 15 кВт</x:t>
        </x:is>
      </x:c>
      <x:c r="F233" s="31" t="n">
        <x:v>-11</x:v>
      </x:c>
      <x:c r="G233" s="31" t="inlineStr">
        <x:is>
          <x:t xml:space="preserve">шт</x:t>
        </x:is>
      </x:c>
      <x:c r="H233" s="31" t="inlineStr">
        <x:is>
          <x:t xml:space="preserve">ЗК-1076</x:t>
        </x:is>
      </x:c>
      <x:c r="I233" s="31" t="n"/>
      <x:c r="J233" s="31" t="inlineStr">
        <x:is>
          <x:t xml:space="preserve">Основной склад</x:t>
        </x:is>
      </x:c>
      <x:c r="K233" s="31" t="inlineStr">
        <x:is>
          <x:t xml:space="preserve">СОТР-024</x:t>
        </x:is>
      </x:c>
      <x:c r="L233" s="31" t="inlineStr">
        <x:is>
          <x:t xml:space="preserve">ДОК-6284</x:t>
        </x:is>
      </x:c>
      <x:c r="M233" s="31" t="inlineStr">
        <x:is>
          <x:t xml:space="preserve">Проведен</x:t>
        </x:is>
      </x:c>
    </x:row>
    <x:row r="234" ht="18" customHeight="1">
      <x:c r="A234" s="31" t="inlineStr">
        <x:is>
          <x:t xml:space="preserve">СКЛ-000233</x:t>
        </x:is>
      </x:c>
      <x:c r="B234" s="31" t="n">
        <x:v>46105</x:v>
      </x:c>
      <x:c r="C234" s="31" t="inlineStr">
        <x:is>
          <x:t xml:space="preserve">Выдача в производство</x:t>
        </x:is>
      </x:c>
      <x:c r="D234" s="31" t="inlineStr">
        <x:is>
          <x:t xml:space="preserve">МАТ-0009</x:t>
        </x:is>
      </x:c>
      <x:c r="E234" s="31" t="inlineStr">
        <x:is>
          <x:t xml:space="preserve">Фланец Ду50 Ру16</x:t>
        </x:is>
      </x:c>
      <x:c r="F234" s="31" t="n">
        <x:v>-74.12</x:v>
      </x:c>
      <x:c r="G234" s="31" t="inlineStr">
        <x:is>
          <x:t xml:space="preserve">л</x:t>
        </x:is>
      </x:c>
      <x:c r="H234" s="31" t="inlineStr">
        <x:is>
          <x:t xml:space="preserve">ЗК-1055</x:t>
        </x:is>
      </x:c>
      <x:c r="I234" s="31" t="inlineStr">
        <x:is>
          <x:t xml:space="preserve">ПЗ-00156</x:t>
        </x:is>
      </x:c>
      <x:c r="J234" s="31" t="inlineStr">
        <x:is>
          <x:t xml:space="preserve">Основной склад</x:t>
        </x:is>
      </x:c>
      <x:c r="K234" s="31" t="inlineStr">
        <x:is>
          <x:t xml:space="preserve">СОТР-039</x:t>
        </x:is>
      </x:c>
      <x:c r="L234" s="31" t="inlineStr">
        <x:is>
          <x:t xml:space="preserve">ДОК-2689</x:t>
        </x:is>
      </x:c>
      <x:c r="M234" s="31" t="inlineStr">
        <x:is>
          <x:t xml:space="preserve">Требует проверки</x:t>
        </x:is>
      </x:c>
    </x:row>
    <x:row r="235" ht="18" customHeight="1">
      <x:c r="A235" s="31" t="inlineStr">
        <x:is>
          <x:t xml:space="preserve">СКЛ-000234</x:t>
        </x:is>
      </x:c>
      <x:c r="B235" s="31" t="n">
        <x:v>46117</x:v>
      </x:c>
      <x:c r="C235" s="31" t="inlineStr">
        <x:is>
          <x:t xml:space="preserve">Выдача в производство</x:t>
        </x:is>
      </x:c>
      <x:c r="D235" s="31" t="inlineStr">
        <x:is>
          <x:t xml:space="preserve">МАТ-0025</x:t>
        </x:is>
      </x:c>
      <x:c r="E235" s="31" t="inlineStr">
        <x:is>
          <x:t xml:space="preserve">Двигатель 7.5 кВт</x:t>
        </x:is>
      </x:c>
      <x:c r="F235" s="31" t="n">
        <x:v>-14</x:v>
      </x:c>
      <x:c r="G235" s="31" t="inlineStr">
        <x:is>
          <x:t xml:space="preserve">шт</x:t>
        </x:is>
      </x:c>
      <x:c r="H235" s="31" t="inlineStr">
        <x:is>
          <x:t xml:space="preserve">ЗК-1051</x:t>
        </x:is>
      </x:c>
      <x:c r="I235" s="31" t="inlineStr">
        <x:is>
          <x:t xml:space="preserve">ПЗ-00029</x:t>
        </x:is>
      </x:c>
      <x:c r="J235" s="31" t="inlineStr">
        <x:is>
          <x:t xml:space="preserve">Основной склад</x:t>
        </x:is>
      </x:c>
      <x:c r="K235" s="31" t="inlineStr">
        <x:is>
          <x:t xml:space="preserve">СОТР-037</x:t>
        </x:is>
      </x:c>
      <x:c r="L235" s="31" t="inlineStr">
        <x:is>
          <x:t xml:space="preserve">ДОК-4190</x:t>
        </x:is>
      </x:c>
      <x:c r="M235" s="31" t="inlineStr">
        <x:is>
          <x:t xml:space="preserve">Проведен</x:t>
        </x:is>
      </x:c>
    </x:row>
    <x:row r="236" ht="18" customHeight="1">
      <x:c r="A236" s="31" t="inlineStr">
        <x:is>
          <x:t xml:space="preserve">СКЛ-000235</x:t>
        </x:is>
      </x:c>
      <x:c r="B236" s="31" t="n">
        <x:v>46169</x:v>
      </x:c>
      <x:c r="C236" s="31" t="inlineStr">
        <x:is>
          <x:t xml:space="preserve">Выдача в производство</x:t>
        </x:is>
      </x:c>
      <x:c r="D236" s="31" t="inlineStr">
        <x:is>
          <x:t xml:space="preserve">МАТ-0048</x:t>
        </x:is>
      </x:c>
      <x:c r="E236" s="31" t="inlineStr">
        <x:is>
          <x:t xml:space="preserve">Контактор 25А / исп.3</x:t>
        </x:is>
      </x:c>
      <x:c r="F236" s="31" t="n">
        <x:v>-19</x:v>
      </x:c>
      <x:c r="G236" s="31" t="inlineStr">
        <x:is>
          <x:t xml:space="preserve">шт</x:t>
        </x:is>
      </x:c>
      <x:c r="H236" s="31" t="inlineStr">
        <x:is>
          <x:t xml:space="preserve">ЗК-1097</x:t>
        </x:is>
      </x:c>
      <x:c r="I236" s="31" t="inlineStr">
        <x:is>
          <x:t xml:space="preserve">ПЗ-00161</x:t>
        </x:is>
      </x:c>
      <x:c r="J236" s="31" t="inlineStr">
        <x:is>
          <x:t xml:space="preserve">Основной склад</x:t>
        </x:is>
      </x:c>
      <x:c r="K236" s="31" t="inlineStr">
        <x:is>
          <x:t xml:space="preserve">СОТР-038</x:t>
        </x:is>
      </x:c>
      <x:c r="L236" s="31" t="inlineStr">
        <x:is>
          <x:t xml:space="preserve">ДОК-3562</x:t>
        </x:is>
      </x:c>
      <x:c r="M236" s="31" t="inlineStr">
        <x:is>
          <x:t xml:space="preserve">Проведен</x:t>
        </x:is>
      </x:c>
    </x:row>
    <x:row r="237" ht="18" customHeight="1">
      <x:c r="A237" s="31" t="inlineStr">
        <x:is>
          <x:t xml:space="preserve">СКЛ-000236</x:t>
        </x:is>
      </x:c>
      <x:c r="B237" s="31" t="n">
        <x:v>46156</x:v>
      </x:c>
      <x:c r="C237" s="31" t="inlineStr">
        <x:is>
          <x:t xml:space="preserve">Выдача в производство</x:t>
        </x:is>
      </x:c>
      <x:c r="D237" s="31" t="inlineStr">
        <x:is>
          <x:t xml:space="preserve">МАТ-0016</x:t>
        </x:is>
      </x:c>
      <x:c r="E237" s="31" t="inlineStr">
        <x:is>
          <x:t xml:space="preserve">Насос центробежный 15 кВт / исп.2</x:t>
        </x:is>
      </x:c>
      <x:c r="F237" s="31" t="n">
        <x:v>-18</x:v>
      </x:c>
      <x:c r="G237" s="31" t="inlineStr">
        <x:is>
          <x:t xml:space="preserve">шт</x:t>
        </x:is>
      </x:c>
      <x:c r="H237" s="31" t="inlineStr">
        <x:is>
          <x:t xml:space="preserve">ЗК-1002</x:t>
        </x:is>
      </x:c>
      <x:c r="I237" s="31" t="inlineStr">
        <x:is>
          <x:t xml:space="preserve">ПЗ-00251</x:t>
        </x:is>
      </x:c>
      <x:c r="J237" s="31" t="inlineStr">
        <x:is>
          <x:t xml:space="preserve">Цеховой склад</x:t>
        </x:is>
      </x:c>
      <x:c r="K237" s="31" t="inlineStr">
        <x:is>
          <x:t xml:space="preserve">СОТР-037</x:t>
        </x:is>
      </x:c>
      <x:c r="L237" s="31" t="inlineStr">
        <x:is>
          <x:t xml:space="preserve">ДОК-8711</x:t>
        </x:is>
      </x:c>
      <x:c r="M237" s="31" t="inlineStr">
        <x:is>
          <x:t xml:space="preserve">Проведен</x:t>
        </x:is>
      </x:c>
    </x:row>
    <x:row r="238" ht="18" customHeight="1">
      <x:c r="A238" s="31" t="inlineStr">
        <x:is>
          <x:t xml:space="preserve">СКЛ-000237</x:t>
        </x:is>
      </x:c>
      <x:c r="B238" s="31" t="n">
        <x:v>46152</x:v>
      </x:c>
      <x:c r="C238" s="31" t="inlineStr">
        <x:is>
          <x:t xml:space="preserve">Приход</x:t>
        </x:is>
      </x:c>
      <x:c r="D238" s="31" t="inlineStr">
        <x:is>
          <x:t xml:space="preserve">МАТ-0071</x:t>
        </x:is>
      </x:c>
      <x:c r="E238" s="31" t="inlineStr">
        <x:is>
          <x:t xml:space="preserve">Эмаль полиуретановая / исп.3</x:t>
        </x:is>
      </x:c>
      <x:c r="F238" s="31" t="n">
        <x:v>56.42</x:v>
      </x:c>
      <x:c r="G238" s="31" t="inlineStr">
        <x:is>
          <x:t xml:space="preserve">кг</x:t>
        </x:is>
      </x:c>
      <x:c r="H238" s="31" t="n"/>
      <x:c r="I238" s="31" t="n"/>
      <x:c r="J238" s="31" t="inlineStr">
        <x:is>
          <x:t xml:space="preserve">Брак/карантин</x:t>
        </x:is>
      </x:c>
      <x:c r="K238" s="31" t="inlineStr">
        <x:is>
          <x:t xml:space="preserve">СОТР-039</x:t>
        </x:is>
      </x:c>
      <x:c r="L238" s="31" t="inlineStr">
        <x:is>
          <x:t xml:space="preserve">ДОК-7961</x:t>
        </x:is>
      </x:c>
      <x:c r="M238" s="31" t="inlineStr">
        <x:is>
          <x:t xml:space="preserve">Проведен</x:t>
        </x:is>
      </x:c>
    </x:row>
    <x:row r="239" ht="18" customHeight="1">
      <x:c r="A239" s="31" t="inlineStr">
        <x:is>
          <x:t xml:space="preserve">СКЛ-000238</x:t>
        </x:is>
      </x:c>
      <x:c r="B239" s="31" t="n">
        <x:v>46087</x:v>
      </x:c>
      <x:c r="C239" s="31" t="inlineStr">
        <x:is>
          <x:t xml:space="preserve">Списание</x:t>
        </x:is>
      </x:c>
      <x:c r="D239" s="31" t="inlineStr">
        <x:is>
          <x:t xml:space="preserve">МАТ-0076</x:t>
        </x:is>
      </x:c>
      <x:c r="E239" s="31" t="inlineStr">
        <x:is>
          <x:t xml:space="preserve">Болт М12 / исп.2</x:t>
        </x:is>
      </x:c>
      <x:c r="F239" s="31" t="n">
        <x:v>-15</x:v>
      </x:c>
      <x:c r="G239" s="31" t="inlineStr">
        <x:is>
          <x:t xml:space="preserve">шт</x:t>
        </x:is>
      </x:c>
      <x:c r="H239" s="31" t="n"/>
      <x:c r="I239" s="31" t="n"/>
      <x:c r="J239" s="31" t="inlineStr">
        <x:is>
          <x:t xml:space="preserve">Основной склад</x:t>
        </x:is>
      </x:c>
      <x:c r="K239" s="31" t="inlineStr">
        <x:is>
          <x:t xml:space="preserve">СОТР-035</x:t>
        </x:is>
      </x:c>
      <x:c r="L239" s="31" t="inlineStr">
        <x:is>
          <x:t xml:space="preserve">ДОК-8165</x:t>
        </x:is>
      </x:c>
      <x:c r="M239" s="31" t="inlineStr">
        <x:is>
          <x:t xml:space="preserve">Проведен</x:t>
        </x:is>
      </x:c>
    </x:row>
    <x:row r="240" ht="18" customHeight="1">
      <x:c r="A240" s="31" t="inlineStr">
        <x:is>
          <x:t xml:space="preserve">СКЛ-000239</x:t>
        </x:is>
      </x:c>
      <x:c r="B240" s="31" t="n">
        <x:v>46199</x:v>
      </x:c>
      <x:c r="C240" s="31" t="inlineStr">
        <x:is>
          <x:t xml:space="preserve">Приход</x:t>
        </x:is>
      </x:c>
      <x:c r="D240" s="31" t="inlineStr">
        <x:is>
          <x:t xml:space="preserve">МАТ-0053</x:t>
        </x:is>
      </x:c>
      <x:c r="E240" s="31" t="inlineStr">
        <x:is>
          <x:t xml:space="preserve">Кран шаровой Ду50 / исп.3</x:t>
        </x:is>
      </x:c>
      <x:c r="F240" s="31" t="n">
        <x:v>16</x:v>
      </x:c>
      <x:c r="G240" s="31" t="inlineStr">
        <x:is>
          <x:t xml:space="preserve">шт</x:t>
        </x:is>
      </x:c>
      <x:c r="H240" s="31" t="n"/>
      <x:c r="I240" s="31" t="n"/>
      <x:c r="J240" s="31" t="inlineStr">
        <x:is>
          <x:t xml:space="preserve">Основной склад</x:t>
        </x:is>
      </x:c>
      <x:c r="K240" s="31" t="inlineStr">
        <x:is>
          <x:t xml:space="preserve">СОТР-039</x:t>
        </x:is>
      </x:c>
      <x:c r="L240" s="31" t="inlineStr">
        <x:is>
          <x:t xml:space="preserve">ДОК-9245</x:t>
        </x:is>
      </x:c>
      <x:c r="M240" s="31" t="inlineStr">
        <x:is>
          <x:t xml:space="preserve">Проведен</x:t>
        </x:is>
      </x:c>
    </x:row>
    <x:row r="241" ht="18" customHeight="1">
      <x:c r="A241" s="31" t="inlineStr">
        <x:is>
          <x:t xml:space="preserve">СКЛ-000240</x:t>
        </x:is>
      </x:c>
      <x:c r="B241" s="31" t="n">
        <x:v>46195</x:v>
      </x:c>
      <x:c r="C241" s="31" t="inlineStr">
        <x:is>
          <x:t xml:space="preserve">Корректировка</x:t>
        </x:is>
      </x:c>
      <x:c r="D241" s="31" t="inlineStr">
        <x:is>
          <x:t xml:space="preserve">МАТ-0043</x:t>
        </x:is>
      </x:c>
      <x:c r="E241" s="31" t="inlineStr">
        <x:is>
          <x:t xml:space="preserve">Блок питания 24В</x:t>
        </x:is>
      </x:c>
      <x:c r="F241" s="31" t="n">
        <x:v>2</x:v>
      </x:c>
      <x:c r="G241" s="31" t="inlineStr">
        <x:is>
          <x:t xml:space="preserve">шт</x:t>
        </x:is>
      </x:c>
      <x:c r="H241" s="31" t="n"/>
      <x:c r="I241" s="31" t="n"/>
      <x:c r="J241" s="31" t="inlineStr">
        <x:is>
          <x:t xml:space="preserve">Основной склад</x:t>
        </x:is>
      </x:c>
      <x:c r="K241" s="31" t="inlineStr">
        <x:is>
          <x:t xml:space="preserve">СОТР-037</x:t>
        </x:is>
      </x:c>
      <x:c r="L241" s="31" t="inlineStr">
        <x:is>
          <x:t xml:space="preserve">ДОК-1759</x:t>
        </x:is>
      </x:c>
      <x:c r="M241" s="31" t="inlineStr">
        <x:is>
          <x:t xml:space="preserve">Проведен</x:t>
        </x:is>
      </x:c>
    </x:row>
    <x:row r="242" ht="18" customHeight="1">
      <x:c r="A242" s="31" t="inlineStr">
        <x:is>
          <x:t xml:space="preserve">СКЛ-000241</x:t>
        </x:is>
      </x:c>
      <x:c r="B242" s="31" t="n">
        <x:v>46035</x:v>
      </x:c>
      <x:c r="C242" s="31" t="inlineStr">
        <x:is>
          <x:t xml:space="preserve">Выдача в производство</x:t>
        </x:is>
      </x:c>
      <x:c r="D242" s="31" t="inlineStr">
        <x:is>
          <x:t xml:space="preserve">МАТ-0018</x:t>
        </x:is>
      </x:c>
      <x:c r="E242" s="31" t="inlineStr">
        <x:is>
          <x:t xml:space="preserve">Насос шестеренный 7.5 кВт / исп.2</x:t>
        </x:is>
      </x:c>
      <x:c r="F242" s="31" t="n">
        <x:v>-3</x:v>
      </x:c>
      <x:c r="G242" s="31" t="inlineStr">
        <x:is>
          <x:t xml:space="preserve">шт</x:t>
        </x:is>
      </x:c>
      <x:c r="H242" s="31" t="inlineStr">
        <x:is>
          <x:t xml:space="preserve">ЗК-1037</x:t>
        </x:is>
      </x:c>
      <x:c r="I242" s="31" t="inlineStr">
        <x:is>
          <x:t xml:space="preserve">ПЗ-00014</x:t>
        </x:is>
      </x:c>
      <x:c r="J242" s="31" t="inlineStr">
        <x:is>
          <x:t xml:space="preserve">Брак/карантин</x:t>
        </x:is>
      </x:c>
      <x:c r="K242" s="31" t="inlineStr">
        <x:is>
          <x:t xml:space="preserve">СОТР-035</x:t>
        </x:is>
      </x:c>
      <x:c r="L242" s="31" t="inlineStr">
        <x:is>
          <x:t xml:space="preserve">ДОК-3981</x:t>
        </x:is>
      </x:c>
      <x:c r="M242" s="31" t="inlineStr">
        <x:is>
          <x:t xml:space="preserve">Проведен</x:t>
        </x:is>
      </x:c>
    </x:row>
    <x:row r="243" ht="18" customHeight="1">
      <x:c r="A243" s="31" t="inlineStr">
        <x:is>
          <x:t xml:space="preserve">СКЛ-000242</x:t>
        </x:is>
      </x:c>
      <x:c r="B243" s="31" t="n">
        <x:v>46163</x:v>
      </x:c>
      <x:c r="C243" s="31" t="inlineStr">
        <x:is>
          <x:t xml:space="preserve">Резерв</x:t>
        </x:is>
      </x:c>
      <x:c r="D243" s="31" t="inlineStr">
        <x:is>
          <x:t xml:space="preserve">МАТ-0019</x:t>
        </x:is>
      </x:c>
      <x:c r="E243" s="31" t="inlineStr">
        <x:is>
          <x:t xml:space="preserve">Насос дозировочный</x:t>
        </x:is>
      </x:c>
      <x:c r="F243" s="31" t="n">
        <x:v>-15</x:v>
      </x:c>
      <x:c r="G243" s="31" t="inlineStr">
        <x:is>
          <x:t xml:space="preserve">шт</x:t>
        </x:is>
      </x:c>
      <x:c r="H243" s="31" t="inlineStr">
        <x:is>
          <x:t xml:space="preserve">ЗК-1033</x:t>
        </x:is>
      </x:c>
      <x:c r="I243" s="31" t="n"/>
      <x:c r="J243" s="31" t="inlineStr">
        <x:is>
          <x:t xml:space="preserve">Основной склад</x:t>
        </x:is>
      </x:c>
      <x:c r="K243" s="31" t="inlineStr">
        <x:is>
          <x:t xml:space="preserve">СОТР-036</x:t>
        </x:is>
      </x:c>
      <x:c r="L243" s="31" t="inlineStr">
        <x:is>
          <x:t xml:space="preserve">ДОК-7321</x:t>
        </x:is>
      </x:c>
      <x:c r="M243" s="31" t="inlineStr">
        <x:is>
          <x:t xml:space="preserve">Проведен</x:t>
        </x:is>
      </x:c>
    </x:row>
    <x:row r="244" ht="18" customHeight="1">
      <x:c r="A244" s="31" t="inlineStr">
        <x:is>
          <x:t xml:space="preserve">СКЛ-000243</x:t>
        </x:is>
      </x:c>
      <x:c r="B244" s="31" t="n">
        <x:v>46158</x:v>
      </x:c>
      <x:c r="C244" s="31" t="inlineStr">
        <x:is>
          <x:t xml:space="preserve">Выдача в производство</x:t>
        </x:is>
      </x:c>
      <x:c r="D244" s="31" t="inlineStr">
        <x:is>
          <x:t xml:space="preserve">МАТ-0043</x:t>
        </x:is>
      </x:c>
      <x:c r="E244" s="31" t="inlineStr">
        <x:is>
          <x:t xml:space="preserve">Блок питания 24В</x:t>
        </x:is>
      </x:c>
      <x:c r="F244" s="31" t="n">
        <x:v>-14</x:v>
      </x:c>
      <x:c r="G244" s="31" t="inlineStr">
        <x:is>
          <x:t xml:space="preserve">шт</x:t>
        </x:is>
      </x:c>
      <x:c r="H244" s="31" t="inlineStr">
        <x:is>
          <x:t xml:space="preserve">ЗК-1017</x:t>
        </x:is>
      </x:c>
      <x:c r="I244" s="31" t="inlineStr">
        <x:is>
          <x:t xml:space="preserve">ПЗ-00180</x:t>
        </x:is>
      </x:c>
      <x:c r="J244" s="31" t="inlineStr">
        <x:is>
          <x:t xml:space="preserve">Основной склад</x:t>
        </x:is>
      </x:c>
      <x:c r="K244" s="31" t="inlineStr">
        <x:is>
          <x:t xml:space="preserve">СОТР-039</x:t>
        </x:is>
      </x:c>
      <x:c r="L244" s="31" t="inlineStr">
        <x:is>
          <x:t xml:space="preserve">ДОК-8242</x:t>
        </x:is>
      </x:c>
      <x:c r="M244" s="31" t="inlineStr">
        <x:is>
          <x:t xml:space="preserve">Проведен</x:t>
        </x:is>
      </x:c>
    </x:row>
    <x:row r="245" ht="18" customHeight="1">
      <x:c r="A245" s="31" t="inlineStr">
        <x:is>
          <x:t xml:space="preserve">СКЛ-000244</x:t>
        </x:is>
      </x:c>
      <x:c r="B245" s="31" t="n">
        <x:v>46194</x:v>
      </x:c>
      <x:c r="C245" s="31" t="inlineStr">
        <x:is>
          <x:t xml:space="preserve">Выдача в производство</x:t>
        </x:is>
      </x:c>
      <x:c r="D245" s="31" t="inlineStr">
        <x:is>
          <x:t xml:space="preserve">МАТ-0075</x:t>
        </x:is>
      </x:c>
      <x:c r="E245" s="31" t="inlineStr">
        <x:is>
          <x:t xml:space="preserve">Болт М12</x:t>
        </x:is>
      </x:c>
      <x:c r="F245" s="31" t="n">
        <x:v>-9</x:v>
      </x:c>
      <x:c r="G245" s="31" t="inlineStr">
        <x:is>
          <x:t xml:space="preserve">шт</x:t>
        </x:is>
      </x:c>
      <x:c r="H245" s="31" t="inlineStr">
        <x:is>
          <x:t xml:space="preserve">ЗК-1092</x:t>
        </x:is>
      </x:c>
      <x:c r="I245" s="31" t="inlineStr">
        <x:is>
          <x:t xml:space="preserve">ПЗ-00085</x:t>
        </x:is>
      </x:c>
      <x:c r="J245" s="31" t="inlineStr">
        <x:is>
          <x:t xml:space="preserve">Основной склад</x:t>
        </x:is>
      </x:c>
      <x:c r="K245" s="31" t="inlineStr">
        <x:is>
          <x:t xml:space="preserve">СОТР-033</x:t>
        </x:is>
      </x:c>
      <x:c r="L245" s="31" t="inlineStr">
        <x:is>
          <x:t xml:space="preserve">ДОК-8542</x:t>
        </x:is>
      </x:c>
      <x:c r="M245" s="31" t="inlineStr">
        <x:is>
          <x:t xml:space="preserve">Проведен</x:t>
        </x:is>
      </x:c>
    </x:row>
    <x:row r="246" ht="18" customHeight="1">
      <x:c r="A246" s="31" t="inlineStr">
        <x:is>
          <x:t xml:space="preserve">СКЛ-000245</x:t>
        </x:is>
      </x:c>
      <x:c r="B246" s="31" t="n">
        <x:v>46115</x:v>
      </x:c>
      <x:c r="C246" s="31" t="inlineStr">
        <x:is>
          <x:t xml:space="preserve">Выдача в производство</x:t>
        </x:is>
      </x:c>
      <x:c r="D246" s="31" t="inlineStr">
        <x:is>
          <x:t xml:space="preserve">МАТ-0065</x:t>
        </x:is>
      </x:c>
      <x:c r="E246" s="31" t="inlineStr">
        <x:is>
          <x:t xml:space="preserve">Гофра металлическая</x:t>
        </x:is>
      </x:c>
      <x:c r="F246" s="31" t="n">
        <x:v>-16</x:v>
      </x:c>
      <x:c r="G246" s="31" t="inlineStr">
        <x:is>
          <x:t xml:space="preserve">шт</x:t>
        </x:is>
      </x:c>
      <x:c r="H246" s="31" t="inlineStr">
        <x:is>
          <x:t xml:space="preserve">ЗК-1062</x:t>
        </x:is>
      </x:c>
      <x:c r="I246" s="31" t="inlineStr">
        <x:is>
          <x:t xml:space="preserve">ПЗ-00004</x:t>
        </x:is>
      </x:c>
      <x:c r="J246" s="31" t="inlineStr">
        <x:is>
          <x:t xml:space="preserve">Цеховой склад</x:t>
        </x:is>
      </x:c>
      <x:c r="K246" s="31" t="inlineStr">
        <x:is>
          <x:t xml:space="preserve">СОТР-035</x:t>
        </x:is>
      </x:c>
      <x:c r="L246" s="31" t="inlineStr">
        <x:is>
          <x:t xml:space="preserve">ДОК-1036</x:t>
        </x:is>
      </x:c>
      <x:c r="M246" s="31" t="inlineStr">
        <x:is>
          <x:t xml:space="preserve">Проведен</x:t>
        </x:is>
      </x:c>
    </x:row>
    <x:row r="247" ht="18" customHeight="1">
      <x:c r="A247" s="31" t="inlineStr">
        <x:is>
          <x:t xml:space="preserve">СКЛ-000246</x:t>
        </x:is>
      </x:c>
      <x:c r="B247" s="31" t="n">
        <x:v>46067</x:v>
      </x:c>
      <x:c r="C247" s="31" t="inlineStr">
        <x:is>
          <x:t xml:space="preserve">Резерв</x:t>
        </x:is>
      </x:c>
      <x:c r="D247" s="31" t="inlineStr">
        <x:is>
          <x:t xml:space="preserve">МАТ-0051</x:t>
        </x:is>
      </x:c>
      <x:c r="E247" s="31" t="inlineStr">
        <x:is>
          <x:t xml:space="preserve">Кран шаровой Ду50</x:t>
        </x:is>
      </x:c>
      <x:c r="F247" s="31" t="n">
        <x:v>-16</x:v>
      </x:c>
      <x:c r="G247" s="31" t="inlineStr">
        <x:is>
          <x:t xml:space="preserve">шт</x:t>
        </x:is>
      </x:c>
      <x:c r="H247" s="31" t="inlineStr">
        <x:is>
          <x:t xml:space="preserve">ЗК-1125</x:t>
        </x:is>
      </x:c>
      <x:c r="I247" s="31" t="n"/>
      <x:c r="J247" s="31" t="inlineStr">
        <x:is>
          <x:t xml:space="preserve">Основной склад</x:t>
        </x:is>
      </x:c>
      <x:c r="K247" s="31" t="inlineStr">
        <x:is>
          <x:t xml:space="preserve">СОТР-035</x:t>
        </x:is>
      </x:c>
      <x:c r="L247" s="31" t="inlineStr">
        <x:is>
          <x:t xml:space="preserve">ДОК-7077</x:t>
        </x:is>
      </x:c>
      <x:c r="M247" s="31" t="inlineStr">
        <x:is>
          <x:t xml:space="preserve">Проведен</x:t>
        </x:is>
      </x:c>
    </x:row>
    <x:row r="248" ht="18" customHeight="1">
      <x:c r="A248" s="31" t="inlineStr">
        <x:is>
          <x:t xml:space="preserve">СКЛ-000247</x:t>
        </x:is>
      </x:c>
      <x:c r="B248" s="31" t="n">
        <x:v>46079</x:v>
      </x:c>
      <x:c r="C248" s="31" t="inlineStr">
        <x:is>
          <x:t xml:space="preserve">Выдача в производство</x:t>
        </x:is>
      </x:c>
      <x:c r="D248" s="31" t="inlineStr">
        <x:is>
          <x:t xml:space="preserve">МАТ-0059</x:t>
        </x:is>
      </x:c>
      <x:c r="E248" s="31" t="inlineStr">
        <x:is>
          <x:t xml:space="preserve">Фильтр сетчатый Ду50</x:t>
        </x:is>
      </x:c>
      <x:c r="F248" s="31" t="n">
        <x:v>-3</x:v>
      </x:c>
      <x:c r="G248" s="31" t="inlineStr">
        <x:is>
          <x:t xml:space="preserve">шт</x:t>
        </x:is>
      </x:c>
      <x:c r="H248" s="31" t="inlineStr">
        <x:is>
          <x:t xml:space="preserve">ЗК-1009</x:t>
        </x:is>
      </x:c>
      <x:c r="I248" s="31" t="inlineStr">
        <x:is>
          <x:t xml:space="preserve">ПЗ-00179</x:t>
        </x:is>
      </x:c>
      <x:c r="J248" s="31" t="inlineStr">
        <x:is>
          <x:t xml:space="preserve">Цеховой склад</x:t>
        </x:is>
      </x:c>
      <x:c r="K248" s="31" t="inlineStr">
        <x:is>
          <x:t xml:space="preserve">СОТР-038</x:t>
        </x:is>
      </x:c>
      <x:c r="L248" s="31" t="inlineStr">
        <x:is>
          <x:t xml:space="preserve">ДОК-7806</x:t>
        </x:is>
      </x:c>
      <x:c r="M248" s="31" t="inlineStr">
        <x:is>
          <x:t xml:space="preserve">Проведен</x:t>
        </x:is>
      </x:c>
    </x:row>
    <x:row r="249" ht="18" customHeight="1">
      <x:c r="A249" s="31" t="inlineStr">
        <x:is>
          <x:t xml:space="preserve">СКЛ-000248</x:t>
        </x:is>
      </x:c>
      <x:c r="B249" s="31" t="n">
        <x:v>46171</x:v>
      </x:c>
      <x:c r="C249" s="31" t="inlineStr">
        <x:is>
          <x:t xml:space="preserve">Выдача в производство</x:t>
        </x:is>
      </x:c>
      <x:c r="D249" s="31" t="inlineStr">
        <x:is>
          <x:t xml:space="preserve">МАТ-0009</x:t>
        </x:is>
      </x:c>
      <x:c r="E249" s="31" t="inlineStr">
        <x:is>
          <x:t xml:space="preserve">Фланец Ду50 Ру16</x:t>
        </x:is>
      </x:c>
      <x:c r="F249" s="31" t="n">
        <x:v>-26.09</x:v>
      </x:c>
      <x:c r="G249" s="31" t="inlineStr">
        <x:is>
          <x:t xml:space="preserve">л</x:t>
        </x:is>
      </x:c>
      <x:c r="H249" s="31" t="inlineStr">
        <x:is>
          <x:t xml:space="preserve">ЗК-1105</x:t>
        </x:is>
      </x:c>
      <x:c r="I249" s="31" t="inlineStr">
        <x:is>
          <x:t xml:space="preserve">ПЗ-00055</x:t>
        </x:is>
      </x:c>
      <x:c r="J249" s="31" t="inlineStr">
        <x:is>
          <x:t xml:space="preserve">Основной склад</x:t>
        </x:is>
      </x:c>
      <x:c r="K249" s="31" t="inlineStr">
        <x:is>
          <x:t xml:space="preserve">СОТР-039</x:t>
        </x:is>
      </x:c>
      <x:c r="L249" s="31" t="inlineStr">
        <x:is>
          <x:t xml:space="preserve">ДОК-1460</x:t>
        </x:is>
      </x:c>
      <x:c r="M249" s="31" t="inlineStr">
        <x:is>
          <x:t xml:space="preserve">Проведен</x:t>
        </x:is>
      </x:c>
    </x:row>
    <x:row r="250" ht="18" customHeight="1">
      <x:c r="A250" s="31" t="inlineStr">
        <x:is>
          <x:t xml:space="preserve">СКЛ-000249</x:t>
        </x:is>
      </x:c>
      <x:c r="B250" s="31" t="n">
        <x:v>46088</x:v>
      </x:c>
      <x:c r="C250" s="31" t="inlineStr">
        <x:is>
          <x:t xml:space="preserve">Резерв</x:t>
        </x:is>
      </x:c>
      <x:c r="D250" s="31" t="inlineStr">
        <x:is>
          <x:t xml:space="preserve">МАТ-0024</x:t>
        </x:is>
      </x:c>
      <x:c r="E250" s="31" t="inlineStr">
        <x:is>
          <x:t xml:space="preserve">Рабочее колесо / исп.2</x:t>
        </x:is>
      </x:c>
      <x:c r="F250" s="31" t="n">
        <x:v>-11</x:v>
      </x:c>
      <x:c r="G250" s="31" t="inlineStr">
        <x:is>
          <x:t xml:space="preserve">шт</x:t>
        </x:is>
      </x:c>
      <x:c r="H250" s="31" t="inlineStr">
        <x:is>
          <x:t xml:space="preserve">ЗК-1103</x:t>
        </x:is>
      </x:c>
      <x:c r="I250" s="31" t="n"/>
      <x:c r="J250" s="31" t="inlineStr">
        <x:is>
          <x:t xml:space="preserve">Основной склад</x:t>
        </x:is>
      </x:c>
      <x:c r="K250" s="31" t="inlineStr">
        <x:is>
          <x:t xml:space="preserve">СОТР-034</x:t>
        </x:is>
      </x:c>
      <x:c r="L250" s="31" t="inlineStr">
        <x:is>
          <x:t xml:space="preserve">ДОК-2829</x:t>
        </x:is>
      </x:c>
      <x:c r="M250" s="31" t="inlineStr">
        <x:is>
          <x:t xml:space="preserve">Проведен</x:t>
        </x:is>
      </x:c>
    </x:row>
    <x:row r="251" ht="18" customHeight="1">
      <x:c r="A251" s="31" t="inlineStr">
        <x:is>
          <x:t xml:space="preserve">СКЛ-000250</x:t>
        </x:is>
      </x:c>
      <x:c r="B251" s="31" t="n">
        <x:v>46088</x:v>
      </x:c>
      <x:c r="C251" s="31" t="inlineStr">
        <x:is>
          <x:t xml:space="preserve">Приход</x:t>
        </x:is>
      </x:c>
      <x:c r="D251" s="31" t="inlineStr">
        <x:is>
          <x:t xml:space="preserve">МАТ-0074</x:t>
        </x:is>
      </x:c>
      <x:c r="E251" s="31" t="inlineStr">
        <x:is>
          <x:t xml:space="preserve">Абразив для пескоструя</x:t>
        </x:is>
      </x:c>
      <x:c r="F251" s="31" t="n">
        <x:v>3</x:v>
      </x:c>
      <x:c r="G251" s="31" t="inlineStr">
        <x:is>
          <x:t xml:space="preserve">шт</x:t>
        </x:is>
      </x:c>
      <x:c r="H251" s="31" t="n"/>
      <x:c r="I251" s="31" t="n"/>
      <x:c r="J251" s="31" t="inlineStr">
        <x:is>
          <x:t xml:space="preserve">Основной склад</x:t>
        </x:is>
      </x:c>
      <x:c r="K251" s="31" t="inlineStr">
        <x:is>
          <x:t xml:space="preserve">СОТР-039</x:t>
        </x:is>
      </x:c>
      <x:c r="L251" s="31" t="inlineStr">
        <x:is>
          <x:t xml:space="preserve">ДОК-4954</x:t>
        </x:is>
      </x:c>
      <x:c r="M251" s="31" t="inlineStr">
        <x:is>
          <x:t xml:space="preserve">Проведен</x:t>
        </x:is>
      </x:c>
    </x:row>
    <x:row r="252" ht="18" customHeight="1">
      <x:c r="A252" s="31" t="inlineStr">
        <x:is>
          <x:t xml:space="preserve">СКЛ-000251</x:t>
        </x:is>
      </x:c>
      <x:c r="B252" s="31" t="n">
        <x:v>46126</x:v>
      </x:c>
      <x:c r="C252" s="31" t="inlineStr">
        <x:is>
          <x:t xml:space="preserve">Выдача в производство</x:t>
        </x:is>
      </x:c>
      <x:c r="D252" s="31" t="inlineStr">
        <x:is>
          <x:t xml:space="preserve">МАТ-0055</x:t>
        </x:is>
      </x:c>
      <x:c r="E252" s="31" t="inlineStr">
        <x:is>
          <x:t xml:space="preserve">Клапан обратный Ду50</x:t>
        </x:is>
      </x:c>
      <x:c r="F252" s="31" t="n">
        <x:v>-17</x:v>
      </x:c>
      <x:c r="G252" s="31" t="inlineStr">
        <x:is>
          <x:t xml:space="preserve">шт</x:t>
        </x:is>
      </x:c>
      <x:c r="H252" s="31" t="inlineStr">
        <x:is>
          <x:t xml:space="preserve">ЗК-1113</x:t>
        </x:is>
      </x:c>
      <x:c r="I252" s="31" t="inlineStr">
        <x:is>
          <x:t xml:space="preserve">ПЗ-00019</x:t>
        </x:is>
      </x:c>
      <x:c r="J252" s="31" t="inlineStr">
        <x:is>
          <x:t xml:space="preserve">Основной склад</x:t>
        </x:is>
      </x:c>
      <x:c r="K252" s="31" t="inlineStr">
        <x:is>
          <x:t xml:space="preserve">СОТР-024</x:t>
        </x:is>
      </x:c>
      <x:c r="L252" s="31" t="inlineStr">
        <x:is>
          <x:t xml:space="preserve">ДОК-7684</x:t>
        </x:is>
      </x:c>
      <x:c r="M252" s="31" t="inlineStr">
        <x:is>
          <x:t xml:space="preserve">Проведен</x:t>
        </x:is>
      </x:c>
    </x:row>
    <x:row r="253" ht="18" customHeight="1">
      <x:c r="A253" s="31" t="inlineStr">
        <x:is>
          <x:t xml:space="preserve">СКЛ-000252</x:t>
        </x:is>
      </x:c>
      <x:c r="B253" s="31" t="n">
        <x:v>46139</x:v>
      </x:c>
      <x:c r="C253" s="31" t="inlineStr">
        <x:is>
          <x:t xml:space="preserve">Списание</x:t>
        </x:is>
      </x:c>
      <x:c r="D253" s="31" t="inlineStr">
        <x:is>
          <x:t xml:space="preserve">МАТ-0088</x:t>
        </x:is>
      </x:c>
      <x:c r="E253" s="31" t="inlineStr">
        <x:is>
          <x:t xml:space="preserve">Ящик фанерный / исп.2</x:t>
        </x:is>
      </x:c>
      <x:c r="F253" s="31" t="n">
        <x:v>-7</x:v>
      </x:c>
      <x:c r="G253" s="31" t="inlineStr">
        <x:is>
          <x:t xml:space="preserve">шт</x:t>
        </x:is>
      </x:c>
      <x:c r="H253" s="31" t="n"/>
      <x:c r="I253" s="31" t="n"/>
      <x:c r="J253" s="31" t="inlineStr">
        <x:is>
          <x:t xml:space="preserve">Цеховой склад</x:t>
        </x:is>
      </x:c>
      <x:c r="K253" s="31" t="inlineStr">
        <x:is>
          <x:t xml:space="preserve">СОТР-033</x:t>
        </x:is>
      </x:c>
      <x:c r="L253" s="31" t="inlineStr">
        <x:is>
          <x:t xml:space="preserve">ДОК-7936</x:t>
        </x:is>
      </x:c>
      <x:c r="M253" s="31" t="inlineStr">
        <x:is>
          <x:t xml:space="preserve">Проведен</x:t>
        </x:is>
      </x:c>
    </x:row>
    <x:row r="254" ht="18" customHeight="1">
      <x:c r="A254" s="31" t="inlineStr">
        <x:is>
          <x:t xml:space="preserve">СКЛ-000253</x:t>
        </x:is>
      </x:c>
      <x:c r="B254" s="31" t="n">
        <x:v>46042</x:v>
      </x:c>
      <x:c r="C254" s="31" t="inlineStr">
        <x:is>
          <x:t xml:space="preserve">Выдача в производство</x:t>
        </x:is>
      </x:c>
      <x:c r="D254" s="31" t="inlineStr">
        <x:is>
          <x:t xml:space="preserve">МАТ-0026</x:t>
        </x:is>
      </x:c>
      <x:c r="E254" s="31" t="inlineStr">
        <x:is>
          <x:t xml:space="preserve">Двигатель 15 кВт</x:t>
        </x:is>
      </x:c>
      <x:c r="F254" s="31" t="n">
        <x:v>-14</x:v>
      </x:c>
      <x:c r="G254" s="31" t="inlineStr">
        <x:is>
          <x:t xml:space="preserve">шт</x:t>
        </x:is>
      </x:c>
      <x:c r="H254" s="31" t="inlineStr">
        <x:is>
          <x:t xml:space="preserve">ЗК-1089</x:t>
        </x:is>
      </x:c>
      <x:c r="I254" s="31" t="inlineStr">
        <x:is>
          <x:t xml:space="preserve">ПЗ-00173</x:t>
        </x:is>
      </x:c>
      <x:c r="J254" s="31" t="inlineStr">
        <x:is>
          <x:t xml:space="preserve">Брак/карантин</x:t>
        </x:is>
      </x:c>
      <x:c r="K254" s="31" t="inlineStr">
        <x:is>
          <x:t xml:space="preserve">СОТР-039</x:t>
        </x:is>
      </x:c>
      <x:c r="L254" s="31" t="inlineStr">
        <x:is>
          <x:t xml:space="preserve">ДОК-8876</x:t>
        </x:is>
      </x:c>
      <x:c r="M254" s="31" t="inlineStr">
        <x:is>
          <x:t xml:space="preserve">Проведен</x:t>
        </x:is>
      </x:c>
    </x:row>
    <x:row r="255" ht="18" customHeight="1">
      <x:c r="A255" s="31" t="inlineStr">
        <x:is>
          <x:t xml:space="preserve">СКЛ-000254</x:t>
        </x:is>
      </x:c>
      <x:c r="B255" s="31" t="n">
        <x:v>46105</x:v>
      </x:c>
      <x:c r="C255" s="31" t="inlineStr">
        <x:is>
          <x:t xml:space="preserve">Выдача в производство</x:t>
        </x:is>
      </x:c>
      <x:c r="D255" s="31" t="inlineStr">
        <x:is>
          <x:t xml:space="preserve">МАТ-0045</x:t>
        </x:is>
      </x:c>
      <x:c r="E255" s="31" t="inlineStr">
        <x:is>
          <x:t xml:space="preserve">Автоматический выключатель 16А</x:t>
        </x:is>
      </x:c>
      <x:c r="F255" s="31" t="n">
        <x:v>-11</x:v>
      </x:c>
      <x:c r="G255" s="31" t="inlineStr">
        <x:is>
          <x:t xml:space="preserve">шт</x:t>
        </x:is>
      </x:c>
      <x:c r="H255" s="31" t="inlineStr">
        <x:is>
          <x:t xml:space="preserve">ЗК-1093</x:t>
        </x:is>
      </x:c>
      <x:c r="I255" s="31" t="inlineStr">
        <x:is>
          <x:t xml:space="preserve">ПЗ-00125</x:t>
        </x:is>
      </x:c>
      <x:c r="J255" s="31" t="inlineStr">
        <x:is>
          <x:t xml:space="preserve">Основной склад</x:t>
        </x:is>
      </x:c>
      <x:c r="K255" s="31" t="inlineStr">
        <x:is>
          <x:t xml:space="preserve">СОТР-024</x:t>
        </x:is>
      </x:c>
      <x:c r="L255" s="31" t="inlineStr">
        <x:is>
          <x:t xml:space="preserve">ДОК-6217</x:t>
        </x:is>
      </x:c>
      <x:c r="M255" s="31" t="inlineStr">
        <x:is>
          <x:t xml:space="preserve">Черновик</x:t>
        </x:is>
      </x:c>
    </x:row>
    <x:row r="256" ht="18" customHeight="1">
      <x:c r="A256" s="31" t="inlineStr">
        <x:is>
          <x:t xml:space="preserve">СКЛ-000255</x:t>
        </x:is>
      </x:c>
      <x:c r="B256" s="31" t="n">
        <x:v>46121</x:v>
      </x:c>
      <x:c r="C256" s="31" t="inlineStr">
        <x:is>
          <x:t xml:space="preserve">Выдача в производство</x:t>
        </x:is>
      </x:c>
      <x:c r="D256" s="31" t="inlineStr">
        <x:is>
          <x:t xml:space="preserve">МАТ-0082</x:t>
        </x:is>
      </x:c>
      <x:c r="E256" s="31" t="inlineStr">
        <x:is>
          <x:t xml:space="preserve">Шайба 12 / исп.2</x:t>
        </x:is>
      </x:c>
      <x:c r="F256" s="31" t="n">
        <x:v>-5</x:v>
      </x:c>
      <x:c r="G256" s="31" t="inlineStr">
        <x:is>
          <x:t xml:space="preserve">шт</x:t>
        </x:is>
      </x:c>
      <x:c r="H256" s="31" t="inlineStr">
        <x:is>
          <x:t xml:space="preserve">ЗК-1092</x:t>
        </x:is>
      </x:c>
      <x:c r="I256" s="31" t="inlineStr">
        <x:is>
          <x:t xml:space="preserve">ПЗ-00247</x:t>
        </x:is>
      </x:c>
      <x:c r="J256" s="31" t="inlineStr">
        <x:is>
          <x:t xml:space="preserve">Брак/карантин</x:t>
        </x:is>
      </x:c>
      <x:c r="K256" s="31" t="inlineStr">
        <x:is>
          <x:t xml:space="preserve">СОТР-036</x:t>
        </x:is>
      </x:c>
      <x:c r="L256" s="31" t="inlineStr">
        <x:is>
          <x:t xml:space="preserve">ДОК-1640</x:t>
        </x:is>
      </x:c>
      <x:c r="M256" s="31" t="inlineStr">
        <x:is>
          <x:t xml:space="preserve">Проведен</x:t>
        </x:is>
      </x:c>
    </x:row>
    <x:row r="257" ht="18" customHeight="1">
      <x:c r="A257" s="31" t="inlineStr">
        <x:is>
          <x:t xml:space="preserve">СКЛ-000256</x:t>
        </x:is>
      </x:c>
      <x:c r="B257" s="31" t="n">
        <x:v>46197</x:v>
      </x:c>
      <x:c r="C257" s="31" t="inlineStr">
        <x:is>
          <x:t xml:space="preserve">Возврат</x:t>
        </x:is>
      </x:c>
      <x:c r="D257" s="31" t="inlineStr">
        <x:is>
          <x:t xml:space="preserve">МАТ-0089</x:t>
        </x:is>
      </x:c>
      <x:c r="E257" s="31" t="inlineStr">
        <x:is>
          <x:t xml:space="preserve">Маркировочная этикетка</x:t>
        </x:is>
      </x:c>
      <x:c r="F257" s="31" t="n">
        <x:v>18</x:v>
      </x:c>
      <x:c r="G257" s="31" t="inlineStr">
        <x:is>
          <x:t xml:space="preserve">шт</x:t>
        </x:is>
      </x:c>
      <x:c r="H257" s="31" t="n"/>
      <x:c r="I257" s="31" t="n"/>
      <x:c r="J257" s="31" t="inlineStr">
        <x:is>
          <x:t xml:space="preserve">Основной склад</x:t>
        </x:is>
      </x:c>
      <x:c r="K257" s="31" t="inlineStr">
        <x:is>
          <x:t xml:space="preserve">СОТР-033</x:t>
        </x:is>
      </x:c>
      <x:c r="L257" s="31" t="inlineStr">
        <x:is>
          <x:t xml:space="preserve">ДОК-1422</x:t>
        </x:is>
      </x:c>
      <x:c r="M257" s="31" t="inlineStr">
        <x:is>
          <x:t xml:space="preserve">Проведен</x:t>
        </x:is>
      </x:c>
    </x:row>
    <x:row r="258" ht="18" customHeight="1">
      <x:c r="A258" s="31" t="inlineStr">
        <x:is>
          <x:t xml:space="preserve">СКЛ-000257</x:t>
        </x:is>
      </x:c>
      <x:c r="B258" s="31" t="n">
        <x:v>46145</x:v>
      </x:c>
      <x:c r="C258" s="31" t="inlineStr">
        <x:is>
          <x:t xml:space="preserve">Возврат</x:t>
        </x:is>
      </x:c>
      <x:c r="D258" s="31" t="inlineStr">
        <x:is>
          <x:t xml:space="preserve">МАТ-0041</x:t>
        </x:is>
      </x:c>
      <x:c r="E258" s="31" t="inlineStr">
        <x:is>
          <x:t xml:space="preserve">модуль аналогового входа 4 канала / исп.2</x:t>
        </x:is>
      </x:c>
      <x:c r="F258" s="31" t="n">
        <x:v>17</x:v>
      </x:c>
      <x:c r="G258" s="31" t="inlineStr">
        <x:is>
          <x:t xml:space="preserve">шт</x:t>
        </x:is>
      </x:c>
      <x:c r="H258" s="31" t="n"/>
      <x:c r="I258" s="31" t="n"/>
      <x:c r="J258" s="31" t="inlineStr">
        <x:is>
          <x:t xml:space="preserve">Основной склад</x:t>
        </x:is>
      </x:c>
      <x:c r="K258" s="31" t="inlineStr">
        <x:is>
          <x:t xml:space="preserve">СОТР-037</x:t>
        </x:is>
      </x:c>
      <x:c r="L258" s="31" t="inlineStr">
        <x:is>
          <x:t xml:space="preserve">ДОК-8936</x:t>
        </x:is>
      </x:c>
      <x:c r="M258" s="31" t="inlineStr">
        <x:is>
          <x:t xml:space="preserve">Проведен</x:t>
        </x:is>
      </x:c>
    </x:row>
    <x:row r="259" ht="18" customHeight="1">
      <x:c r="A259" s="31" t="inlineStr">
        <x:is>
          <x:t xml:space="preserve">СКЛ-000258</x:t>
        </x:is>
      </x:c>
      <x:c r="B259" s="31" t="n">
        <x:v>46165</x:v>
      </x:c>
      <x:c r="C259" s="31" t="inlineStr">
        <x:is>
          <x:t xml:space="preserve">Выдача в производство</x:t>
        </x:is>
      </x:c>
      <x:c r="D259" s="31" t="inlineStr">
        <x:is>
          <x:t xml:space="preserve">МАТ-0047</x:t>
        </x:is>
      </x:c>
      <x:c r="E259" s="31" t="inlineStr">
        <x:is>
          <x:t xml:space="preserve">Контактор 25А / исп.2</x:t>
        </x:is>
      </x:c>
      <x:c r="F259" s="31" t="n">
        <x:v>-2</x:v>
      </x:c>
      <x:c r="G259" s="31" t="inlineStr">
        <x:is>
          <x:t xml:space="preserve">шт</x:t>
        </x:is>
      </x:c>
      <x:c r="H259" s="31" t="inlineStr">
        <x:is>
          <x:t xml:space="preserve">ЗК-1125</x:t>
        </x:is>
      </x:c>
      <x:c r="I259" s="31" t="inlineStr">
        <x:is>
          <x:t xml:space="preserve">ПЗ-00077</x:t>
        </x:is>
      </x:c>
      <x:c r="J259" s="31" t="inlineStr">
        <x:is>
          <x:t xml:space="preserve">Основной склад</x:t>
        </x:is>
      </x:c>
      <x:c r="K259" s="31" t="inlineStr">
        <x:is>
          <x:t xml:space="preserve">СОТР-036</x:t>
        </x:is>
      </x:c>
      <x:c r="L259" s="31" t="inlineStr">
        <x:is>
          <x:t xml:space="preserve">ДОК-2870</x:t>
        </x:is>
      </x:c>
      <x:c r="M259" s="31" t="inlineStr">
        <x:is>
          <x:t xml:space="preserve">Проведен</x:t>
        </x:is>
      </x:c>
    </x:row>
    <x:row r="260" ht="18" customHeight="1">
      <x:c r="A260" s="31" t="inlineStr">
        <x:is>
          <x:t xml:space="preserve">СКЛ-000259</x:t>
        </x:is>
      </x:c>
      <x:c r="B260" s="31" t="n">
        <x:v>46150</x:v>
      </x:c>
      <x:c r="C260" s="31" t="inlineStr">
        <x:is>
          <x:t xml:space="preserve">Приход</x:t>
        </x:is>
      </x:c>
      <x:c r="D260" s="31" t="inlineStr">
        <x:is>
          <x:t xml:space="preserve">МАТ-0037</x:t>
        </x:is>
      </x:c>
      <x:c r="E260" s="31" t="inlineStr">
        <x:is>
          <x:t xml:space="preserve">Клапан электромагнитный 24В / исп.3</x:t>
        </x:is>
      </x:c>
      <x:c r="F260" s="31" t="n">
        <x:v>2</x:v>
      </x:c>
      <x:c r="G260" s="31" t="inlineStr">
        <x:is>
          <x:t xml:space="preserve">шт</x:t>
        </x:is>
      </x:c>
      <x:c r="H260" s="31" t="n"/>
      <x:c r="I260" s="31" t="n"/>
      <x:c r="J260" s="31" t="inlineStr">
        <x:is>
          <x:t xml:space="preserve">Цеховой склад</x:t>
        </x:is>
      </x:c>
      <x:c r="K260" s="31" t="inlineStr">
        <x:is>
          <x:t xml:space="preserve">СОТР-036</x:t>
        </x:is>
      </x:c>
      <x:c r="L260" s="31" t="inlineStr">
        <x:is>
          <x:t xml:space="preserve">ДОК-5009</x:t>
        </x:is>
      </x:c>
      <x:c r="M260" s="31" t="inlineStr">
        <x:is>
          <x:t xml:space="preserve">Проведен</x:t>
        </x:is>
      </x:c>
    </x:row>
    <x:row r="261" ht="18" customHeight="1">
      <x:c r="A261" s="31" t="inlineStr">
        <x:is>
          <x:t xml:space="preserve">СКЛ-000260</x:t>
        </x:is>
      </x:c>
      <x:c r="B261" s="31" t="n">
        <x:v>46140</x:v>
      </x:c>
      <x:c r="C261" s="31" t="inlineStr">
        <x:is>
          <x:t xml:space="preserve">Приход</x:t>
        </x:is>
      </x:c>
      <x:c r="D261" s="31" t="inlineStr">
        <x:is>
          <x:t xml:space="preserve">МАТ-0049</x:t>
        </x:is>
      </x:c>
      <x:c r="E261" s="31" t="inlineStr">
        <x:is>
          <x:t xml:space="preserve">Рейковая клемма</x:t>
        </x:is>
      </x:c>
      <x:c r="F261" s="31" t="n">
        <x:v>4</x:v>
      </x:c>
      <x:c r="G261" s="31" t="inlineStr">
        <x:is>
          <x:t xml:space="preserve">шт</x:t>
        </x:is>
      </x:c>
      <x:c r="H261" s="31" t="n"/>
      <x:c r="I261" s="31" t="n"/>
      <x:c r="J261" s="31" t="inlineStr">
        <x:is>
          <x:t xml:space="preserve">Цеховой склад</x:t>
        </x:is>
      </x:c>
      <x:c r="K261" s="31" t="inlineStr">
        <x:is>
          <x:t xml:space="preserve">СОТР-033</x:t>
        </x:is>
      </x:c>
      <x:c r="L261" s="31" t="inlineStr">
        <x:is>
          <x:t xml:space="preserve">ДОК-2408</x:t>
        </x:is>
      </x:c>
      <x:c r="M261" s="31" t="inlineStr">
        <x:is>
          <x:t xml:space="preserve">Проведен</x:t>
        </x:is>
      </x:c>
    </x:row>
    <x:row r="262" ht="18" customHeight="1">
      <x:c r="A262" s="31" t="inlineStr">
        <x:is>
          <x:t xml:space="preserve">СКЛ-000261</x:t>
        </x:is>
      </x:c>
      <x:c r="B262" s="31" t="n">
        <x:v>46196</x:v>
      </x:c>
      <x:c r="C262" s="31" t="inlineStr">
        <x:is>
          <x:t xml:space="preserve">Выдача в производство</x:t>
        </x:is>
      </x:c>
      <x:c r="D262" s="31" t="inlineStr">
        <x:is>
          <x:t xml:space="preserve">МАТ-0047</x:t>
        </x:is>
      </x:c>
      <x:c r="E262" s="31" t="inlineStr">
        <x:is>
          <x:t xml:space="preserve">Контактор 25А / исп.2</x:t>
        </x:is>
      </x:c>
      <x:c r="F262" s="31" t="n">
        <x:v>-8</x:v>
      </x:c>
      <x:c r="G262" s="31" t="inlineStr">
        <x:is>
          <x:t xml:space="preserve">шт</x:t>
        </x:is>
      </x:c>
      <x:c r="H262" s="31" t="inlineStr">
        <x:is>
          <x:t xml:space="preserve">ЗК-1090</x:t>
        </x:is>
      </x:c>
      <x:c r="I262" s="31" t="inlineStr">
        <x:is>
          <x:t xml:space="preserve">ПЗ-00046</x:t>
        </x:is>
      </x:c>
      <x:c r="J262" s="31" t="inlineStr">
        <x:is>
          <x:t xml:space="preserve">Основной склад</x:t>
        </x:is>
      </x:c>
      <x:c r="K262" s="31" t="inlineStr">
        <x:is>
          <x:t xml:space="preserve">СОТР-036</x:t>
        </x:is>
      </x:c>
      <x:c r="L262" s="31" t="inlineStr">
        <x:is>
          <x:t xml:space="preserve">ДОК-8216</x:t>
        </x:is>
      </x:c>
      <x:c r="M262" s="31" t="inlineStr">
        <x:is>
          <x:t xml:space="preserve">Проведен</x:t>
        </x:is>
      </x:c>
    </x:row>
    <x:row r="263" ht="18" customHeight="1">
      <x:c r="A263" s="31" t="inlineStr">
        <x:is>
          <x:t xml:space="preserve">СКЛ-000262</x:t>
        </x:is>
      </x:c>
      <x:c r="B263" s="31" t="n">
        <x:v>46110</x:v>
      </x:c>
      <x:c r="C263" s="31" t="inlineStr">
        <x:is>
          <x:t xml:space="preserve">Приход</x:t>
        </x:is>
      </x:c>
      <x:c r="D263" s="31" t="inlineStr">
        <x:is>
          <x:t xml:space="preserve">МАТ-0046</x:t>
        </x:is>
      </x:c>
      <x:c r="E263" s="31" t="inlineStr">
        <x:is>
          <x:t xml:space="preserve">Контактор 25А</x:t>
        </x:is>
      </x:c>
      <x:c r="F263" s="31" t="n">
        <x:v>2</x:v>
      </x:c>
      <x:c r="G263" s="31" t="inlineStr">
        <x:is>
          <x:t xml:space="preserve">шт</x:t>
        </x:is>
      </x:c>
      <x:c r="H263" s="31" t="n"/>
      <x:c r="I263" s="31" t="n"/>
      <x:c r="J263" s="31" t="inlineStr">
        <x:is>
          <x:t xml:space="preserve">Основной склад</x:t>
        </x:is>
      </x:c>
      <x:c r="K263" s="31" t="inlineStr">
        <x:is>
          <x:t xml:space="preserve">СОТР-036</x:t>
        </x:is>
      </x:c>
      <x:c r="L263" s="31" t="inlineStr">
        <x:is>
          <x:t xml:space="preserve">ДОК-1555</x:t>
        </x:is>
      </x:c>
      <x:c r="M263" s="31" t="inlineStr">
        <x:is>
          <x:t xml:space="preserve">Черновик</x:t>
        </x:is>
      </x:c>
    </x:row>
    <x:row r="264" ht="18" customHeight="1">
      <x:c r="A264" s="31" t="inlineStr">
        <x:is>
          <x:t xml:space="preserve">СКЛ-000263</x:t>
        </x:is>
      </x:c>
      <x:c r="B264" s="31" t="n">
        <x:v>46177</x:v>
      </x:c>
      <x:c r="C264" s="31" t="inlineStr">
        <x:is>
          <x:t xml:space="preserve">Выдача в производство</x:t>
        </x:is>
      </x:c>
      <x:c r="D264" s="31" t="inlineStr">
        <x:is>
          <x:t xml:space="preserve">МАТ-0071</x:t>
        </x:is>
      </x:c>
      <x:c r="E264" s="31" t="inlineStr">
        <x:is>
          <x:t xml:space="preserve">Эмаль полиуретановая / исп.3</x:t>
        </x:is>
      </x:c>
      <x:c r="F264" s="31" t="n">
        <x:v>-2.83</x:v>
      </x:c>
      <x:c r="G264" s="31" t="inlineStr">
        <x:is>
          <x:t xml:space="preserve">кг</x:t>
        </x:is>
      </x:c>
      <x:c r="H264" s="31" t="inlineStr">
        <x:is>
          <x:t xml:space="preserve">ЗК-1029</x:t>
        </x:is>
      </x:c>
      <x:c r="I264" s="31" t="inlineStr">
        <x:is>
          <x:t xml:space="preserve">ПЗ-00245</x:t>
        </x:is>
      </x:c>
      <x:c r="J264" s="31" t="inlineStr">
        <x:is>
          <x:t xml:space="preserve">Основной склад</x:t>
        </x:is>
      </x:c>
      <x:c r="K264" s="31" t="inlineStr">
        <x:is>
          <x:t xml:space="preserve">СОТР-024</x:t>
        </x:is>
      </x:c>
      <x:c r="L264" s="31" t="inlineStr">
        <x:is>
          <x:t xml:space="preserve">ДОК-7298</x:t>
        </x:is>
      </x:c>
      <x:c r="M264" s="31" t="inlineStr">
        <x:is>
          <x:t xml:space="preserve">Проведен</x:t>
        </x:is>
      </x:c>
    </x:row>
    <x:row r="265" ht="18" customHeight="1">
      <x:c r="A265" s="31" t="inlineStr">
        <x:is>
          <x:t xml:space="preserve">СКЛ-000264</x:t>
        </x:is>
      </x:c>
      <x:c r="B265" s="31" t="n">
        <x:v>46197</x:v>
      </x:c>
      <x:c r="C265" s="31" t="inlineStr">
        <x:is>
          <x:t xml:space="preserve">Выдача в производство</x:t>
        </x:is>
      </x:c>
      <x:c r="D265" s="31" t="inlineStr">
        <x:is>
          <x:t xml:space="preserve">МАТ-0040</x:t>
        </x:is>
      </x:c>
      <x:c r="E265" s="31" t="inlineStr">
        <x:is>
          <x:t xml:space="preserve">модуль аналогового входа 4 канала</x:t>
        </x:is>
      </x:c>
      <x:c r="F265" s="31" t="n">
        <x:v>-12</x:v>
      </x:c>
      <x:c r="G265" s="31" t="inlineStr">
        <x:is>
          <x:t xml:space="preserve">шт</x:t>
        </x:is>
      </x:c>
      <x:c r="H265" s="31" t="inlineStr">
        <x:is>
          <x:t xml:space="preserve">ЗК-1067</x:t>
        </x:is>
      </x:c>
      <x:c r="I265" s="31" t="inlineStr">
        <x:is>
          <x:t xml:space="preserve">ПЗ-00224</x:t>
        </x:is>
      </x:c>
      <x:c r="J265" s="31" t="inlineStr">
        <x:is>
          <x:t xml:space="preserve">Цеховой склад</x:t>
        </x:is>
      </x:c>
      <x:c r="K265" s="31" t="inlineStr">
        <x:is>
          <x:t xml:space="preserve">СОТР-024</x:t>
        </x:is>
      </x:c>
      <x:c r="L265" s="31" t="inlineStr">
        <x:is>
          <x:t xml:space="preserve">ДОК-4690</x:t>
        </x:is>
      </x:c>
      <x:c r="M265" s="31" t="inlineStr">
        <x:is>
          <x:t xml:space="preserve">Проведен</x:t>
        </x:is>
      </x:c>
    </x:row>
    <x:row r="266" ht="18" customHeight="1">
      <x:c r="A266" s="31" t="inlineStr">
        <x:is>
          <x:t xml:space="preserve">СКЛ-000265</x:t>
        </x:is>
      </x:c>
      <x:c r="B266" s="31" t="n">
        <x:v>46134</x:v>
      </x:c>
      <x:c r="C266" s="31" t="inlineStr">
        <x:is>
          <x:t xml:space="preserve">Приход</x:t>
        </x:is>
      </x:c>
      <x:c r="D266" s="31" t="inlineStr">
        <x:is>
          <x:t xml:space="preserve">МАТ-0051</x:t>
        </x:is>
      </x:c>
      <x:c r="E266" s="31" t="inlineStr">
        <x:is>
          <x:t xml:space="preserve">Кран шаровой Ду50</x:t>
        </x:is>
      </x:c>
      <x:c r="F266" s="31" t="n">
        <x:v>7</x:v>
      </x:c>
      <x:c r="G266" s="31" t="inlineStr">
        <x:is>
          <x:t xml:space="preserve">шт</x:t>
        </x:is>
      </x:c>
      <x:c r="H266" s="31" t="n"/>
      <x:c r="I266" s="31" t="n"/>
      <x:c r="J266" s="31" t="inlineStr">
        <x:is>
          <x:t xml:space="preserve">Основной склад</x:t>
        </x:is>
      </x:c>
      <x:c r="K266" s="31" t="inlineStr">
        <x:is>
          <x:t xml:space="preserve">СОТР-034</x:t>
        </x:is>
      </x:c>
      <x:c r="L266" s="31" t="inlineStr">
        <x:is>
          <x:t xml:space="preserve">ДОК-3699</x:t>
        </x:is>
      </x:c>
      <x:c r="M266" s="31" t="inlineStr">
        <x:is>
          <x:t xml:space="preserve">Проведен</x:t>
        </x:is>
      </x:c>
    </x:row>
    <x:row r="267" ht="18" customHeight="1">
      <x:c r="A267" s="31" t="inlineStr">
        <x:is>
          <x:t xml:space="preserve">СКЛ-000266</x:t>
        </x:is>
      </x:c>
      <x:c r="B267" s="31" t="n">
        <x:v>46165</x:v>
      </x:c>
      <x:c r="C267" s="31" t="inlineStr">
        <x:is>
          <x:t xml:space="preserve">Выдача в производство</x:t>
        </x:is>
      </x:c>
      <x:c r="D267" s="31" t="inlineStr">
        <x:is>
          <x:t xml:space="preserve">МАТ-0042</x:t>
        </x:is>
      </x:c>
      <x:c r="E267" s="31" t="inlineStr">
        <x:is>
          <x:t xml:space="preserve">модуль аналогового входа 4 канала / исп.3</x:t>
        </x:is>
      </x:c>
      <x:c r="F267" s="31" t="n">
        <x:v>-2</x:v>
      </x:c>
      <x:c r="G267" s="31" t="inlineStr">
        <x:is>
          <x:t xml:space="preserve">шт</x:t>
        </x:is>
      </x:c>
      <x:c r="H267" s="31" t="inlineStr">
        <x:is>
          <x:t xml:space="preserve">ЗК-1019</x:t>
        </x:is>
      </x:c>
      <x:c r="I267" s="31" t="inlineStr">
        <x:is>
          <x:t xml:space="preserve">ПЗ-00249</x:t>
        </x:is>
      </x:c>
      <x:c r="J267" s="31" t="inlineStr">
        <x:is>
          <x:t xml:space="preserve">Цеховой склад</x:t>
        </x:is>
      </x:c>
      <x:c r="K267" s="31" t="inlineStr">
        <x:is>
          <x:t xml:space="preserve">СОТР-035</x:t>
        </x:is>
      </x:c>
      <x:c r="L267" s="31" t="inlineStr">
        <x:is>
          <x:t xml:space="preserve">ДОК-6725</x:t>
        </x:is>
      </x:c>
      <x:c r="M267" s="31" t="inlineStr">
        <x:is>
          <x:t xml:space="preserve">Проведен</x:t>
        </x:is>
      </x:c>
    </x:row>
    <x:row r="268" ht="18" customHeight="1">
      <x:c r="A268" s="31" t="inlineStr">
        <x:is>
          <x:t xml:space="preserve">СКЛ-000267</x:t>
        </x:is>
      </x:c>
      <x:c r="B268" s="31" t="n">
        <x:v>46097</x:v>
      </x:c>
      <x:c r="C268" s="31" t="inlineStr">
        <x:is>
          <x:t xml:space="preserve">Возврат</x:t>
        </x:is>
      </x:c>
      <x:c r="D268" s="31" t="inlineStr">
        <x:is>
          <x:t xml:space="preserve">МАТ-0038</x:t>
        </x:is>
      </x:c>
      <x:c r="E268" s="31" t="inlineStr">
        <x:is>
          <x:t xml:space="preserve">ПЛК 24 дискр. входа / 16 дискр. выхода</x:t>
        </x:is>
      </x:c>
      <x:c r="F268" s="31" t="n">
        <x:v>6</x:v>
      </x:c>
      <x:c r="G268" s="31" t="inlineStr">
        <x:is>
          <x:t xml:space="preserve">шт</x:t>
        </x:is>
      </x:c>
      <x:c r="H268" s="31" t="n"/>
      <x:c r="I268" s="31" t="n"/>
      <x:c r="J268" s="31" t="inlineStr">
        <x:is>
          <x:t xml:space="preserve">Основной склад</x:t>
        </x:is>
      </x:c>
      <x:c r="K268" s="31" t="inlineStr">
        <x:is>
          <x:t xml:space="preserve">СОТР-038</x:t>
        </x:is>
      </x:c>
      <x:c r="L268" s="31" t="inlineStr">
        <x:is>
          <x:t xml:space="preserve">ДОК-7576</x:t>
        </x:is>
      </x:c>
      <x:c r="M268" s="31" t="inlineStr">
        <x:is>
          <x:t xml:space="preserve">Проведен</x:t>
        </x:is>
      </x:c>
    </x:row>
    <x:row r="269" ht="18" customHeight="1">
      <x:c r="A269" s="31" t="inlineStr">
        <x:is>
          <x:t xml:space="preserve">СКЛ-000268</x:t>
        </x:is>
      </x:c>
      <x:c r="B269" s="31" t="n">
        <x:v>46122</x:v>
      </x:c>
      <x:c r="C269" s="31" t="inlineStr">
        <x:is>
          <x:t xml:space="preserve">Выдача в производство</x:t>
        </x:is>
      </x:c>
      <x:c r="D269" s="31" t="inlineStr">
        <x:is>
          <x:t xml:space="preserve">МАТ-0086</x:t>
        </x:is>
      </x:c>
      <x:c r="E269" s="31" t="inlineStr">
        <x:is>
          <x:t xml:space="preserve">Пленка стрейч / исп.2</x:t>
        </x:is>
      </x:c>
      <x:c r="F269" s="31" t="n">
        <x:v>-9</x:v>
      </x:c>
      <x:c r="G269" s="31" t="inlineStr">
        <x:is>
          <x:t xml:space="preserve">шт</x:t>
        </x:is>
      </x:c>
      <x:c r="H269" s="31" t="inlineStr">
        <x:is>
          <x:t xml:space="preserve">ЗК-1011</x:t>
        </x:is>
      </x:c>
      <x:c r="I269" s="31" t="inlineStr">
        <x:is>
          <x:t xml:space="preserve">ПЗ-00018</x:t>
        </x:is>
      </x:c>
      <x:c r="J269" s="31" t="inlineStr">
        <x:is>
          <x:t xml:space="preserve">Основной склад</x:t>
        </x:is>
      </x:c>
      <x:c r="K269" s="31" t="inlineStr">
        <x:is>
          <x:t xml:space="preserve">СОТР-024</x:t>
        </x:is>
      </x:c>
      <x:c r="L269" s="31" t="inlineStr">
        <x:is>
          <x:t xml:space="preserve">ДОК-5476</x:t>
        </x:is>
      </x:c>
      <x:c r="M269" s="31" t="inlineStr">
        <x:is>
          <x:t xml:space="preserve">Проведен</x:t>
        </x:is>
      </x:c>
    </x:row>
    <x:row r="270" ht="18" customHeight="1">
      <x:c r="A270" s="31" t="inlineStr">
        <x:is>
          <x:t xml:space="preserve">СКЛ-000269</x:t>
        </x:is>
      </x:c>
      <x:c r="B270" s="31" t="n">
        <x:v>46137</x:v>
      </x:c>
      <x:c r="C270" s="31" t="inlineStr">
        <x:is>
          <x:t xml:space="preserve">Возврат</x:t>
        </x:is>
      </x:c>
      <x:c r="D270" s="31" t="inlineStr">
        <x:is>
          <x:t xml:space="preserve">МАТ-0071</x:t>
        </x:is>
      </x:c>
      <x:c r="E270" s="31" t="inlineStr">
        <x:is>
          <x:t xml:space="preserve">Эмаль полиуретановая / исп.3</x:t>
        </x:is>
      </x:c>
      <x:c r="F270" s="31" t="n">
        <x:v>43.95</x:v>
      </x:c>
      <x:c r="G270" s="31" t="inlineStr">
        <x:is>
          <x:t xml:space="preserve">кг</x:t>
        </x:is>
      </x:c>
      <x:c r="H270" s="31" t="n"/>
      <x:c r="I270" s="31" t="n"/>
      <x:c r="J270" s="31" t="inlineStr">
        <x:is>
          <x:t xml:space="preserve">Основной склад</x:t>
        </x:is>
      </x:c>
      <x:c r="K270" s="31" t="inlineStr">
        <x:is>
          <x:t xml:space="preserve">СОТР-034</x:t>
        </x:is>
      </x:c>
      <x:c r="L270" s="31" t="inlineStr">
        <x:is>
          <x:t xml:space="preserve">ДОК-6180</x:t>
        </x:is>
      </x:c>
      <x:c r="M270" s="31" t="inlineStr">
        <x:is>
          <x:t xml:space="preserve">Проведен</x:t>
        </x:is>
      </x:c>
    </x:row>
    <x:row r="271" ht="18" customHeight="1">
      <x:c r="A271" s="31" t="inlineStr">
        <x:is>
          <x:t xml:space="preserve">СКЛ-000270</x:t>
        </x:is>
      </x:c>
      <x:c r="B271" s="31" t="n">
        <x:v>46044</x:v>
      </x:c>
      <x:c r="C271" s="31" t="inlineStr">
        <x:is>
          <x:t xml:space="preserve">Выдача в производство</x:t>
        </x:is>
      </x:c>
      <x:c r="D271" s="31" t="inlineStr">
        <x:is>
          <x:t xml:space="preserve">МАТ-0002</x:t>
        </x:is>
      </x:c>
      <x:c r="E271" s="31" t="inlineStr">
        <x:is>
          <x:t xml:space="preserve">Лист стальной 09Г2С 12 мм</x:t>
        </x:is>
      </x:c>
      <x:c r="F271" s="31" t="n">
        <x:v>-59.36</x:v>
      </x:c>
      <x:c r="G271" s="31" t="inlineStr">
        <x:is>
          <x:t xml:space="preserve">кг</x:t>
        </x:is>
      </x:c>
      <x:c r="H271" s="31" t="inlineStr">
        <x:is>
          <x:t xml:space="preserve">ЗК-1076</x:t>
        </x:is>
      </x:c>
      <x:c r="I271" s="31" t="inlineStr">
        <x:is>
          <x:t xml:space="preserve">ПЗ-00057</x:t>
        </x:is>
      </x:c>
      <x:c r="J271" s="31" t="inlineStr">
        <x:is>
          <x:t xml:space="preserve">Основной склад</x:t>
        </x:is>
      </x:c>
      <x:c r="K271" s="31" t="inlineStr">
        <x:is>
          <x:t xml:space="preserve">СОТР-039</x:t>
        </x:is>
      </x:c>
      <x:c r="L271" s="31" t="inlineStr">
        <x:is>
          <x:t xml:space="preserve">ДОК-4453</x:t>
        </x:is>
      </x:c>
      <x:c r="M271" s="31" t="inlineStr">
        <x:is>
          <x:t xml:space="preserve">Проведен</x:t>
        </x:is>
      </x:c>
    </x:row>
    <x:row r="272" ht="18" customHeight="1">
      <x:c r="A272" s="31" t="inlineStr">
        <x:is>
          <x:t xml:space="preserve">СКЛ-000271</x:t>
        </x:is>
      </x:c>
      <x:c r="B272" s="31" t="n">
        <x:v>46060</x:v>
      </x:c>
      <x:c r="C272" s="31" t="inlineStr">
        <x:is>
          <x:t xml:space="preserve">Корректировка</x:t>
        </x:is>
      </x:c>
      <x:c r="D272" s="31" t="inlineStr">
        <x:is>
          <x:t xml:space="preserve">МАТ-0002</x:t>
        </x:is>
      </x:c>
      <x:c r="E272" s="31" t="inlineStr">
        <x:is>
          <x:t xml:space="preserve">Лист стальной 09Г2С 12 мм</x:t>
        </x:is>
      </x:c>
      <x:c r="F272" s="31" t="n">
        <x:v>40.59</x:v>
      </x:c>
      <x:c r="G272" s="31" t="inlineStr">
        <x:is>
          <x:t xml:space="preserve">кг</x:t>
        </x:is>
      </x:c>
      <x:c r="H272" s="31" t="n"/>
      <x:c r="I272" s="31" t="n"/>
      <x:c r="J272" s="31" t="inlineStr">
        <x:is>
          <x:t xml:space="preserve">Цеховой склад</x:t>
        </x:is>
      </x:c>
      <x:c r="K272" s="31" t="inlineStr">
        <x:is>
          <x:t xml:space="preserve">СОТР-038</x:t>
        </x:is>
      </x:c>
      <x:c r="L272" s="31" t="inlineStr">
        <x:is>
          <x:t xml:space="preserve">ДОК-9737</x:t>
        </x:is>
      </x:c>
      <x:c r="M272" s="31" t="inlineStr">
        <x:is>
          <x:t xml:space="preserve">Черновик</x:t>
        </x:is>
      </x:c>
    </x:row>
    <x:row r="273" ht="18" customHeight="1">
      <x:c r="A273" s="31" t="inlineStr">
        <x:is>
          <x:t xml:space="preserve">СКЛ-000272</x:t>
        </x:is>
      </x:c>
      <x:c r="B273" s="31" t="n">
        <x:v>46089</x:v>
      </x:c>
      <x:c r="C273" s="31" t="inlineStr">
        <x:is>
          <x:t xml:space="preserve">Приход</x:t>
        </x:is>
      </x:c>
      <x:c r="D273" s="31" t="inlineStr">
        <x:is>
          <x:t xml:space="preserve">МАТ-0014</x:t>
        </x:is>
      </x:c>
      <x:c r="E273" s="31" t="inlineStr">
        <x:is>
          <x:t xml:space="preserve">Уголок 50×5 / исп.2</x:t>
        </x:is>
      </x:c>
      <x:c r="F273" s="31" t="n">
        <x:v>1</x:v>
      </x:c>
      <x:c r="G273" s="31" t="inlineStr">
        <x:is>
          <x:t xml:space="preserve">шт</x:t>
        </x:is>
      </x:c>
      <x:c r="H273" s="31" t="n"/>
      <x:c r="I273" s="31" t="n"/>
      <x:c r="J273" s="31" t="inlineStr">
        <x:is>
          <x:t xml:space="preserve">Цеховой склад</x:t>
        </x:is>
      </x:c>
      <x:c r="K273" s="31" t="inlineStr">
        <x:is>
          <x:t xml:space="preserve">СОТР-036</x:t>
        </x:is>
      </x:c>
      <x:c r="L273" s="31" t="inlineStr">
        <x:is>
          <x:t xml:space="preserve">ДОК-7221</x:t>
        </x:is>
      </x:c>
      <x:c r="M273" s="31" t="inlineStr">
        <x:is>
          <x:t xml:space="preserve">Проведен</x:t>
        </x:is>
      </x:c>
    </x:row>
    <x:row r="274" ht="18" customHeight="1">
      <x:c r="A274" s="31" t="inlineStr">
        <x:is>
          <x:t xml:space="preserve">СКЛ-000273</x:t>
        </x:is>
      </x:c>
      <x:c r="B274" s="31" t="n">
        <x:v>46124</x:v>
      </x:c>
      <x:c r="C274" s="31" t="inlineStr">
        <x:is>
          <x:t xml:space="preserve">Приход</x:t>
        </x:is>
      </x:c>
      <x:c r="D274" s="31" t="inlineStr">
        <x:is>
          <x:t xml:space="preserve">МАТ-0087</x:t>
        </x:is>
      </x:c>
      <x:c r="E274" s="31" t="inlineStr">
        <x:is>
          <x:t xml:space="preserve">Ящик фанерный</x:t>
        </x:is>
      </x:c>
      <x:c r="F274" s="31" t="n">
        <x:v>4</x:v>
      </x:c>
      <x:c r="G274" s="31" t="inlineStr">
        <x:is>
          <x:t xml:space="preserve">шт</x:t>
        </x:is>
      </x:c>
      <x:c r="H274" s="31" t="n"/>
      <x:c r="I274" s="31" t="n"/>
      <x:c r="J274" s="31" t="inlineStr">
        <x:is>
          <x:t xml:space="preserve">Основной склад</x:t>
        </x:is>
      </x:c>
      <x:c r="K274" s="31" t="inlineStr">
        <x:is>
          <x:t xml:space="preserve">СОТР-038</x:t>
        </x:is>
      </x:c>
      <x:c r="L274" s="31" t="inlineStr">
        <x:is>
          <x:t xml:space="preserve">ДОК-5135</x:t>
        </x:is>
      </x:c>
      <x:c r="M274" s="31" t="inlineStr">
        <x:is>
          <x:t xml:space="preserve">Проведен</x:t>
        </x:is>
      </x:c>
    </x:row>
    <x:row r="275" ht="18" customHeight="1">
      <x:c r="A275" s="31" t="inlineStr">
        <x:is>
          <x:t xml:space="preserve">СКЛ-000274</x:t>
        </x:is>
      </x:c>
      <x:c r="B275" s="31" t="n">
        <x:v>46143</x:v>
      </x:c>
      <x:c r="C275" s="31" t="inlineStr">
        <x:is>
          <x:t xml:space="preserve">Резерв</x:t>
        </x:is>
      </x:c>
      <x:c r="D275" s="31" t="inlineStr">
        <x:is>
          <x:t xml:space="preserve">МАТ-0053</x:t>
        </x:is>
      </x:c>
      <x:c r="E275" s="31" t="inlineStr">
        <x:is>
          <x:t xml:space="preserve">Кран шаровой Ду50 / исп.3</x:t>
        </x:is>
      </x:c>
      <x:c r="F275" s="31" t="n">
        <x:v>-12</x:v>
      </x:c>
      <x:c r="G275" s="31" t="inlineStr">
        <x:is>
          <x:t xml:space="preserve">шт</x:t>
        </x:is>
      </x:c>
      <x:c r="H275" s="31" t="inlineStr">
        <x:is>
          <x:t xml:space="preserve">ЗК-1035</x:t>
        </x:is>
      </x:c>
      <x:c r="I275" s="31" t="n"/>
      <x:c r="J275" s="31" t="inlineStr">
        <x:is>
          <x:t xml:space="preserve">Основной склад</x:t>
        </x:is>
      </x:c>
      <x:c r="K275" s="31" t="inlineStr">
        <x:is>
          <x:t xml:space="preserve">СОТР-034</x:t>
        </x:is>
      </x:c>
      <x:c r="L275" s="31" t="inlineStr">
        <x:is>
          <x:t xml:space="preserve">ДОК-6720</x:t>
        </x:is>
      </x:c>
      <x:c r="M275" s="31" t="inlineStr">
        <x:is>
          <x:t xml:space="preserve">Проведен</x:t>
        </x:is>
      </x:c>
    </x:row>
    <x:row r="276" ht="18" customHeight="1">
      <x:c r="A276" s="31" t="inlineStr">
        <x:is>
          <x:t xml:space="preserve">СКЛ-000275</x:t>
        </x:is>
      </x:c>
      <x:c r="B276" s="31" t="n">
        <x:v>46182</x:v>
      </x:c>
      <x:c r="C276" s="31" t="inlineStr">
        <x:is>
          <x:t xml:space="preserve">Приход</x:t>
        </x:is>
      </x:c>
      <x:c r="D276" s="31" t="inlineStr">
        <x:is>
          <x:t xml:space="preserve">МАТ-0014</x:t>
        </x:is>
      </x:c>
      <x:c r="E276" s="31" t="inlineStr">
        <x:is>
          <x:t xml:space="preserve">Уголок 50×5 / исп.2</x:t>
        </x:is>
      </x:c>
      <x:c r="F276" s="31" t="n">
        <x:v>13</x:v>
      </x:c>
      <x:c r="G276" s="31" t="inlineStr">
        <x:is>
          <x:t xml:space="preserve">шт</x:t>
        </x:is>
      </x:c>
      <x:c r="H276" s="31" t="n"/>
      <x:c r="I276" s="31" t="n"/>
      <x:c r="J276" s="31" t="inlineStr">
        <x:is>
          <x:t xml:space="preserve">Основной склад</x:t>
        </x:is>
      </x:c>
      <x:c r="K276" s="31" t="inlineStr">
        <x:is>
          <x:t xml:space="preserve">СОТР-038</x:t>
        </x:is>
      </x:c>
      <x:c r="L276" s="31" t="inlineStr">
        <x:is>
          <x:t xml:space="preserve">ДОК-3821</x:t>
        </x:is>
      </x:c>
      <x:c r="M276" s="31" t="inlineStr">
        <x:is>
          <x:t xml:space="preserve">Проведен</x:t>
        </x:is>
      </x:c>
    </x:row>
    <x:row r="277" ht="18" customHeight="1">
      <x:c r="A277" s="31" t="inlineStr">
        <x:is>
          <x:t xml:space="preserve">СКЛ-000276</x:t>
        </x:is>
      </x:c>
      <x:c r="B277" s="31" t="n">
        <x:v>46194</x:v>
      </x:c>
      <x:c r="C277" s="31" t="inlineStr">
        <x:is>
          <x:t xml:space="preserve">Выдача в производство</x:t>
        </x:is>
      </x:c>
      <x:c r="D277" s="31" t="inlineStr">
        <x:is>
          <x:t xml:space="preserve">МАТ-0021</x:t>
        </x:is>
      </x:c>
      <x:c r="E277" s="31" t="inlineStr">
        <x:is>
          <x:t xml:space="preserve">Торцевое уплотнение</x:t>
        </x:is>
      </x:c>
      <x:c r="F277" s="31" t="n">
        <x:v>-16</x:v>
      </x:c>
      <x:c r="G277" s="31" t="inlineStr">
        <x:is>
          <x:t xml:space="preserve">шт</x:t>
        </x:is>
      </x:c>
      <x:c r="H277" s="31" t="inlineStr">
        <x:is>
          <x:t xml:space="preserve">ЗК-1116</x:t>
        </x:is>
      </x:c>
      <x:c r="I277" s="31" t="inlineStr">
        <x:is>
          <x:t xml:space="preserve">ПЗ-00182</x:t>
        </x:is>
      </x:c>
      <x:c r="J277" s="31" t="inlineStr">
        <x:is>
          <x:t xml:space="preserve">Основной склад</x:t>
        </x:is>
      </x:c>
      <x:c r="K277" s="31" t="inlineStr">
        <x:is>
          <x:t xml:space="preserve">СОТР-036</x:t>
        </x:is>
      </x:c>
      <x:c r="L277" s="31" t="inlineStr">
        <x:is>
          <x:t xml:space="preserve">ДОК-9000</x:t>
        </x:is>
      </x:c>
      <x:c r="M277" s="31" t="inlineStr">
        <x:is>
          <x:t xml:space="preserve">Проведен</x:t>
        </x:is>
      </x:c>
    </x:row>
    <x:row r="278" ht="18" customHeight="1">
      <x:c r="A278" s="31" t="inlineStr">
        <x:is>
          <x:t xml:space="preserve">СКЛ-000277</x:t>
        </x:is>
      </x:c>
      <x:c r="B278" s="31" t="n">
        <x:v>46146</x:v>
      </x:c>
      <x:c r="C278" s="31" t="inlineStr">
        <x:is>
          <x:t xml:space="preserve">Выдача в производство</x:t>
        </x:is>
      </x:c>
      <x:c r="D278" s="31" t="inlineStr">
        <x:is>
          <x:t xml:space="preserve">МАТ-0005</x:t>
        </x:is>
      </x:c>
      <x:c r="E278" s="31" t="inlineStr">
        <x:is>
          <x:t xml:space="preserve">Труба бесшовная 57×4</x:t>
        </x:is>
      </x:c>
      <x:c r="F278" s="31" t="n">
        <x:v>-49.73</x:v>
      </x:c>
      <x:c r="G278" s="31" t="inlineStr">
        <x:is>
          <x:t xml:space="preserve">м</x:t>
        </x:is>
      </x:c>
      <x:c r="H278" s="31" t="inlineStr">
        <x:is>
          <x:t xml:space="preserve">ЗК-1125</x:t>
        </x:is>
      </x:c>
      <x:c r="I278" s="31" t="inlineStr">
        <x:is>
          <x:t xml:space="preserve">ПЗ-00259</x:t>
        </x:is>
      </x:c>
      <x:c r="J278" s="31" t="inlineStr">
        <x:is>
          <x:t xml:space="preserve">Основной склад</x:t>
        </x:is>
      </x:c>
      <x:c r="K278" s="31" t="inlineStr">
        <x:is>
          <x:t xml:space="preserve">СОТР-035</x:t>
        </x:is>
      </x:c>
      <x:c r="L278" s="31" t="inlineStr">
        <x:is>
          <x:t xml:space="preserve">ДОК-4612</x:t>
        </x:is>
      </x:c>
      <x:c r="M278" s="31" t="inlineStr">
        <x:is>
          <x:t xml:space="preserve">Проведен</x:t>
        </x:is>
      </x:c>
    </x:row>
    <x:row r="279" ht="18" customHeight="1">
      <x:c r="A279" s="31" t="inlineStr">
        <x:is>
          <x:t xml:space="preserve">СКЛ-000278</x:t>
        </x:is>
      </x:c>
      <x:c r="B279" s="31" t="n">
        <x:v>46102</x:v>
      </x:c>
      <x:c r="C279" s="31" t="inlineStr">
        <x:is>
          <x:t xml:space="preserve">Выдача в производство</x:t>
        </x:is>
      </x:c>
      <x:c r="D279" s="31" t="inlineStr">
        <x:is>
          <x:t xml:space="preserve">МАТ-0044</x:t>
        </x:is>
      </x:c>
      <x:c r="E279" s="31" t="inlineStr">
        <x:is>
          <x:t xml:space="preserve">Блок питания 24В / исп.2</x:t>
        </x:is>
      </x:c>
      <x:c r="F279" s="31" t="n">
        <x:v>-2</x:v>
      </x:c>
      <x:c r="G279" s="31" t="inlineStr">
        <x:is>
          <x:t xml:space="preserve">шт</x:t>
        </x:is>
      </x:c>
      <x:c r="H279" s="31" t="inlineStr">
        <x:is>
          <x:t xml:space="preserve">ЗК-1019</x:t>
        </x:is>
      </x:c>
      <x:c r="I279" s="31" t="inlineStr">
        <x:is>
          <x:t xml:space="preserve">ПЗ-00218</x:t>
        </x:is>
      </x:c>
      <x:c r="J279" s="31" t="inlineStr">
        <x:is>
          <x:t xml:space="preserve">Основной склад</x:t>
        </x:is>
      </x:c>
      <x:c r="K279" s="31" t="inlineStr">
        <x:is>
          <x:t xml:space="preserve">СОТР-033</x:t>
        </x:is>
      </x:c>
      <x:c r="L279" s="31" t="inlineStr">
        <x:is>
          <x:t xml:space="preserve">ДОК-5342</x:t>
        </x:is>
      </x:c>
      <x:c r="M279" s="31" t="inlineStr">
        <x:is>
          <x:t xml:space="preserve">Проведен</x:t>
        </x:is>
      </x:c>
    </x:row>
    <x:row r="280" ht="18" customHeight="1">
      <x:c r="A280" s="31" t="inlineStr">
        <x:is>
          <x:t xml:space="preserve">СКЛ-000279</x:t>
        </x:is>
      </x:c>
      <x:c r="B280" s="31" t="n">
        <x:v>46040</x:v>
      </x:c>
      <x:c r="C280" s="31" t="inlineStr">
        <x:is>
          <x:t xml:space="preserve">Резерв</x:t>
        </x:is>
      </x:c>
      <x:c r="D280" s="31" t="inlineStr">
        <x:is>
          <x:t xml:space="preserve">МАТ-0033</x:t>
        </x:is>
      </x:c>
      <x:c r="E280" s="31" t="inlineStr">
        <x:is>
          <x:t xml:space="preserve">Расходомер электромагнитный Ду50</x:t>
        </x:is>
      </x:c>
      <x:c r="F280" s="31" t="n">
        <x:v>-11</x:v>
      </x:c>
      <x:c r="G280" s="31" t="inlineStr">
        <x:is>
          <x:t xml:space="preserve">шт</x:t>
        </x:is>
      </x:c>
      <x:c r="H280" s="31" t="inlineStr">
        <x:is>
          <x:t xml:space="preserve">ЗК-1086</x:t>
        </x:is>
      </x:c>
      <x:c r="I280" s="31" t="n"/>
      <x:c r="J280" s="31" t="inlineStr">
        <x:is>
          <x:t xml:space="preserve">Цеховой склад</x:t>
        </x:is>
      </x:c>
      <x:c r="K280" s="31" t="inlineStr">
        <x:is>
          <x:t xml:space="preserve">СОТР-036</x:t>
        </x:is>
      </x:c>
      <x:c r="L280" s="31" t="inlineStr">
        <x:is>
          <x:t xml:space="preserve">ДОК-2716</x:t>
        </x:is>
      </x:c>
      <x:c r="M280" s="31" t="inlineStr">
        <x:is>
          <x:t xml:space="preserve">Проведен</x:t>
        </x:is>
      </x:c>
    </x:row>
    <x:row r="281" ht="18" customHeight="1">
      <x:c r="A281" s="31" t="inlineStr">
        <x:is>
          <x:t xml:space="preserve">СКЛ-000280</x:t>
        </x:is>
      </x:c>
      <x:c r="B281" s="31" t="n">
        <x:v>46193</x:v>
      </x:c>
      <x:c r="C281" s="31" t="inlineStr">
        <x:is>
          <x:t xml:space="preserve">Резерв</x:t>
        </x:is>
      </x:c>
      <x:c r="D281" s="31" t="inlineStr">
        <x:is>
          <x:t xml:space="preserve">МАТ-0056</x:t>
        </x:is>
      </x:c>
      <x:c r="E281" s="31" t="inlineStr">
        <x:is>
          <x:t xml:space="preserve">Задвижка Ду100</x:t>
        </x:is>
      </x:c>
      <x:c r="F281" s="31" t="n">
        <x:v>-17</x:v>
      </x:c>
      <x:c r="G281" s="31" t="inlineStr">
        <x:is>
          <x:t xml:space="preserve">шт</x:t>
        </x:is>
      </x:c>
      <x:c r="H281" s="31" t="inlineStr">
        <x:is>
          <x:t xml:space="preserve">ЗК-1069</x:t>
        </x:is>
      </x:c>
      <x:c r="I281" s="31" t="n"/>
      <x:c r="J281" s="31" t="inlineStr">
        <x:is>
          <x:t xml:space="preserve">Основной склад</x:t>
        </x:is>
      </x:c>
      <x:c r="K281" s="31" t="inlineStr">
        <x:is>
          <x:t xml:space="preserve">СОТР-038</x:t>
        </x:is>
      </x:c>
      <x:c r="L281" s="31" t="inlineStr">
        <x:is>
          <x:t xml:space="preserve">ДОК-5682</x:t>
        </x:is>
      </x:c>
      <x:c r="M281" s="31" t="inlineStr">
        <x:is>
          <x:t xml:space="preserve">Проведен</x:t>
        </x:is>
      </x:c>
    </x:row>
    <x:row r="282" ht="18" customHeight="1">
      <x:c r="A282" s="31" t="inlineStr">
        <x:is>
          <x:t xml:space="preserve">СКЛ-000281</x:t>
        </x:is>
      </x:c>
      <x:c r="B282" s="31" t="n">
        <x:v>46087</x:v>
      </x:c>
      <x:c r="C282" s="31" t="inlineStr">
        <x:is>
          <x:t xml:space="preserve">Резерв</x:t>
        </x:is>
      </x:c>
      <x:c r="D282" s="31" t="inlineStr">
        <x:is>
          <x:t xml:space="preserve">МАТ-0048</x:t>
        </x:is>
      </x:c>
      <x:c r="E282" s="31" t="inlineStr">
        <x:is>
          <x:t xml:space="preserve">Контактор 25А / исп.3</x:t>
        </x:is>
      </x:c>
      <x:c r="F282" s="31" t="n">
        <x:v>-4</x:v>
      </x:c>
      <x:c r="G282" s="31" t="inlineStr">
        <x:is>
          <x:t xml:space="preserve">шт</x:t>
        </x:is>
      </x:c>
      <x:c r="H282" s="31" t="inlineStr">
        <x:is>
          <x:t xml:space="preserve">ЗК-1114</x:t>
        </x:is>
      </x:c>
      <x:c r="I282" s="31" t="n"/>
      <x:c r="J282" s="31" t="inlineStr">
        <x:is>
          <x:t xml:space="preserve">Брак/карантин</x:t>
        </x:is>
      </x:c>
      <x:c r="K282" s="31" t="inlineStr">
        <x:is>
          <x:t xml:space="preserve">СОТР-039</x:t>
        </x:is>
      </x:c>
      <x:c r="L282" s="31" t="inlineStr">
        <x:is>
          <x:t xml:space="preserve">ДОК-1729</x:t>
        </x:is>
      </x:c>
      <x:c r="M282" s="31" t="inlineStr">
        <x:is>
          <x:t xml:space="preserve">Проведен</x:t>
        </x:is>
      </x:c>
    </x:row>
    <x:row r="283" ht="18" customHeight="1">
      <x:c r="A283" s="31" t="inlineStr">
        <x:is>
          <x:t xml:space="preserve">СКЛ-000282</x:t>
        </x:is>
      </x:c>
      <x:c r="B283" s="31" t="n">
        <x:v>46036</x:v>
      </x:c>
      <x:c r="C283" s="31" t="inlineStr">
        <x:is>
          <x:t xml:space="preserve">Резерв</x:t>
        </x:is>
      </x:c>
      <x:c r="D283" s="31" t="inlineStr">
        <x:is>
          <x:t xml:space="preserve">МАТ-0065</x:t>
        </x:is>
      </x:c>
      <x:c r="E283" s="31" t="inlineStr">
        <x:is>
          <x:t xml:space="preserve">Гофра металлическая</x:t>
        </x:is>
      </x:c>
      <x:c r="F283" s="31" t="n">
        <x:v>-5</x:v>
      </x:c>
      <x:c r="G283" s="31" t="inlineStr">
        <x:is>
          <x:t xml:space="preserve">шт</x:t>
        </x:is>
      </x:c>
      <x:c r="H283" s="31" t="inlineStr">
        <x:is>
          <x:t xml:space="preserve">ЗК-1089</x:t>
        </x:is>
      </x:c>
      <x:c r="I283" s="31" t="n"/>
      <x:c r="J283" s="31" t="inlineStr">
        <x:is>
          <x:t xml:space="preserve">Основной склад</x:t>
        </x:is>
      </x:c>
      <x:c r="K283" s="31" t="inlineStr">
        <x:is>
          <x:t xml:space="preserve">СОТР-035</x:t>
        </x:is>
      </x:c>
      <x:c r="L283" s="31" t="inlineStr">
        <x:is>
          <x:t xml:space="preserve">ДОК-8278</x:t>
        </x:is>
      </x:c>
      <x:c r="M283" s="31" t="inlineStr">
        <x:is>
          <x:t xml:space="preserve">Проведен</x:t>
        </x:is>
      </x:c>
    </x:row>
    <x:row r="284" ht="18" customHeight="1">
      <x:c r="A284" s="31" t="inlineStr">
        <x:is>
          <x:t xml:space="preserve">СКЛ-000283</x:t>
        </x:is>
      </x:c>
      <x:c r="B284" s="31" t="n">
        <x:v>46110</x:v>
      </x:c>
      <x:c r="C284" s="31" t="inlineStr">
        <x:is>
          <x:t xml:space="preserve">Списание</x:t>
        </x:is>
      </x:c>
      <x:c r="D284" s="31" t="inlineStr">
        <x:is>
          <x:t xml:space="preserve">МАТ-0051</x:t>
        </x:is>
      </x:c>
      <x:c r="E284" s="31" t="inlineStr">
        <x:is>
          <x:t xml:space="preserve">Кран шаровой Ду50</x:t>
        </x:is>
      </x:c>
      <x:c r="F284" s="31" t="n">
        <x:v>-6</x:v>
      </x:c>
      <x:c r="G284" s="31" t="inlineStr">
        <x:is>
          <x:t xml:space="preserve">шт</x:t>
        </x:is>
      </x:c>
      <x:c r="H284" s="31" t="n"/>
      <x:c r="I284" s="31" t="n"/>
      <x:c r="J284" s="31" t="inlineStr">
        <x:is>
          <x:t xml:space="preserve">Цеховой склад</x:t>
        </x:is>
      </x:c>
      <x:c r="K284" s="31" t="inlineStr">
        <x:is>
          <x:t xml:space="preserve">СОТР-039</x:t>
        </x:is>
      </x:c>
      <x:c r="L284" s="31" t="inlineStr">
        <x:is>
          <x:t xml:space="preserve">ДОК-7830</x:t>
        </x:is>
      </x:c>
      <x:c r="M284" s="31" t="inlineStr">
        <x:is>
          <x:t xml:space="preserve">Проведен</x:t>
        </x:is>
      </x:c>
    </x:row>
    <x:row r="285" ht="18" customHeight="1">
      <x:c r="A285" s="31" t="inlineStr">
        <x:is>
          <x:t xml:space="preserve">СКЛ-000284</x:t>
        </x:is>
      </x:c>
      <x:c r="B285" s="31" t="n">
        <x:v>46142</x:v>
      </x:c>
      <x:c r="C285" s="31" t="inlineStr">
        <x:is>
          <x:t xml:space="preserve">Резерв</x:t>
        </x:is>
      </x:c>
      <x:c r="D285" s="31" t="inlineStr">
        <x:is>
          <x:t xml:space="preserve">МАТ-0063</x:t>
        </x:is>
      </x:c>
      <x:c r="E285" s="31" t="inlineStr">
        <x:is>
          <x:t xml:space="preserve">Кабель ВВГнг 3×2.5</x:t>
        </x:is>
      </x:c>
      <x:c r="F285" s="31" t="n">
        <x:v>-10</x:v>
      </x:c>
      <x:c r="G285" s="31" t="inlineStr">
        <x:is>
          <x:t xml:space="preserve">шт</x:t>
        </x:is>
      </x:c>
      <x:c r="H285" s="31" t="inlineStr">
        <x:is>
          <x:t xml:space="preserve">ЗК-1023</x:t>
        </x:is>
      </x:c>
      <x:c r="I285" s="31" t="n"/>
      <x:c r="J285" s="31" t="inlineStr">
        <x:is>
          <x:t xml:space="preserve">Основной склад</x:t>
        </x:is>
      </x:c>
      <x:c r="K285" s="31" t="inlineStr">
        <x:is>
          <x:t xml:space="preserve">СОТР-036</x:t>
        </x:is>
      </x:c>
      <x:c r="L285" s="31" t="inlineStr">
        <x:is>
          <x:t xml:space="preserve">ДОК-1055</x:t>
        </x:is>
      </x:c>
      <x:c r="M285" s="31" t="inlineStr">
        <x:is>
          <x:t xml:space="preserve">Проведен</x:t>
        </x:is>
      </x:c>
    </x:row>
    <x:row r="286" ht="18" customHeight="1">
      <x:c r="A286" s="31" t="inlineStr">
        <x:is>
          <x:t xml:space="preserve">СКЛ-000285</x:t>
        </x:is>
      </x:c>
      <x:c r="B286" s="31" t="n">
        <x:v>46103</x:v>
      </x:c>
      <x:c r="C286" s="31" t="inlineStr">
        <x:is>
          <x:t xml:space="preserve">Выдача в производство</x:t>
        </x:is>
      </x:c>
      <x:c r="D286" s="31" t="inlineStr">
        <x:is>
          <x:t xml:space="preserve">МАТ-0056</x:t>
        </x:is>
      </x:c>
      <x:c r="E286" s="31" t="inlineStr">
        <x:is>
          <x:t xml:space="preserve">Задвижка Ду100</x:t>
        </x:is>
      </x:c>
      <x:c r="F286" s="31" t="n">
        <x:v>-7</x:v>
      </x:c>
      <x:c r="G286" s="31" t="inlineStr">
        <x:is>
          <x:t xml:space="preserve">шт</x:t>
        </x:is>
      </x:c>
      <x:c r="H286" s="31" t="inlineStr">
        <x:is>
          <x:t xml:space="preserve">ЗК-1043</x:t>
        </x:is>
      </x:c>
      <x:c r="I286" s="31" t="inlineStr">
        <x:is>
          <x:t xml:space="preserve">ПЗ-00181</x:t>
        </x:is>
      </x:c>
      <x:c r="J286" s="31" t="inlineStr">
        <x:is>
          <x:t xml:space="preserve">Основной склад</x:t>
        </x:is>
      </x:c>
      <x:c r="K286" s="31" t="inlineStr">
        <x:is>
          <x:t xml:space="preserve">СОТР-037</x:t>
        </x:is>
      </x:c>
      <x:c r="L286" s="31" t="inlineStr">
        <x:is>
          <x:t xml:space="preserve">ДОК-6594</x:t>
        </x:is>
      </x:c>
      <x:c r="M286" s="31" t="inlineStr">
        <x:is>
          <x:t xml:space="preserve">Проведен</x:t>
        </x:is>
      </x:c>
    </x:row>
    <x:row r="287" ht="18" customHeight="1">
      <x:c r="A287" s="31" t="inlineStr">
        <x:is>
          <x:t xml:space="preserve">СКЛ-000286</x:t>
        </x:is>
      </x:c>
      <x:c r="B287" s="31" t="n">
        <x:v>46141</x:v>
      </x:c>
      <x:c r="C287" s="31" t="inlineStr">
        <x:is>
          <x:t xml:space="preserve">Приход</x:t>
        </x:is>
      </x:c>
      <x:c r="D287" s="31" t="inlineStr">
        <x:is>
          <x:t xml:space="preserve">МАТ-0072</x:t>
        </x:is>
      </x:c>
      <x:c r="E287" s="31" t="inlineStr">
        <x:is>
          <x:t xml:space="preserve">Растворитель</x:t>
        </x:is>
      </x:c>
      <x:c r="F287" s="31" t="n">
        <x:v>65.56</x:v>
      </x:c>
      <x:c r="G287" s="31" t="inlineStr">
        <x:is>
          <x:t xml:space="preserve">л</x:t>
        </x:is>
      </x:c>
      <x:c r="H287" s="31" t="n"/>
      <x:c r="I287" s="31" t="n"/>
      <x:c r="J287" s="31" t="inlineStr">
        <x:is>
          <x:t xml:space="preserve">Цеховой склад</x:t>
        </x:is>
      </x:c>
      <x:c r="K287" s="31" t="inlineStr">
        <x:is>
          <x:t xml:space="preserve">СОТР-033</x:t>
        </x:is>
      </x:c>
      <x:c r="L287" s="31" t="inlineStr">
        <x:is>
          <x:t xml:space="preserve">ДОК-4404</x:t>
        </x:is>
      </x:c>
      <x:c r="M287" s="31" t="inlineStr">
        <x:is>
          <x:t xml:space="preserve">Проведен</x:t>
        </x:is>
      </x:c>
    </x:row>
    <x:row r="288" ht="18" customHeight="1">
      <x:c r="A288" s="31" t="inlineStr">
        <x:is>
          <x:t xml:space="preserve">СКЛ-000287</x:t>
        </x:is>
      </x:c>
      <x:c r="B288" s="31" t="n">
        <x:v>46119</x:v>
      </x:c>
      <x:c r="C288" s="31" t="inlineStr">
        <x:is>
          <x:t xml:space="preserve">Возврат</x:t>
        </x:is>
      </x:c>
      <x:c r="D288" s="31" t="inlineStr">
        <x:is>
          <x:t xml:space="preserve">МАТ-0016</x:t>
        </x:is>
      </x:c>
      <x:c r="E288" s="31" t="inlineStr">
        <x:is>
          <x:t xml:space="preserve">Насос центробежный 15 кВт / исп.2</x:t>
        </x:is>
      </x:c>
      <x:c r="F288" s="31" t="n">
        <x:v>12</x:v>
      </x:c>
      <x:c r="G288" s="31" t="inlineStr">
        <x:is>
          <x:t xml:space="preserve">шт</x:t>
        </x:is>
      </x:c>
      <x:c r="H288" s="31" t="n"/>
      <x:c r="I288" s="31" t="n"/>
      <x:c r="J288" s="31" t="inlineStr">
        <x:is>
          <x:t xml:space="preserve">Основной склад</x:t>
        </x:is>
      </x:c>
      <x:c r="K288" s="31" t="inlineStr">
        <x:is>
          <x:t xml:space="preserve">СОТР-024</x:t>
        </x:is>
      </x:c>
      <x:c r="L288" s="31" t="inlineStr">
        <x:is>
          <x:t xml:space="preserve">ДОК-6760</x:t>
        </x:is>
      </x:c>
      <x:c r="M288" s="31" t="inlineStr">
        <x:is>
          <x:t xml:space="preserve">Проведен</x:t>
        </x:is>
      </x:c>
    </x:row>
    <x:row r="289" ht="18" customHeight="1">
      <x:c r="A289" s="31" t="inlineStr">
        <x:is>
          <x:t xml:space="preserve">СКЛ-000288</x:t>
        </x:is>
      </x:c>
      <x:c r="B289" s="31" t="n">
        <x:v>46067</x:v>
      </x:c>
      <x:c r="C289" s="31" t="inlineStr">
        <x:is>
          <x:t xml:space="preserve">Возврат</x:t>
        </x:is>
      </x:c>
      <x:c r="D289" s="31" t="inlineStr">
        <x:is>
          <x:t xml:space="preserve">МАТ-0017</x:t>
        </x:is>
      </x:c>
      <x:c r="E289" s="31" t="inlineStr">
        <x:is>
          <x:t xml:space="preserve">Насос шестеренный 7.5 кВт</x:t>
        </x:is>
      </x:c>
      <x:c r="F289" s="31" t="n">
        <x:v>12</x:v>
      </x:c>
      <x:c r="G289" s="31" t="inlineStr">
        <x:is>
          <x:t xml:space="preserve">шт</x:t>
        </x:is>
      </x:c>
      <x:c r="H289" s="31" t="n"/>
      <x:c r="I289" s="31" t="n"/>
      <x:c r="J289" s="31" t="inlineStr">
        <x:is>
          <x:t xml:space="preserve">Цеховой склад</x:t>
        </x:is>
      </x:c>
      <x:c r="K289" s="31" t="inlineStr">
        <x:is>
          <x:t xml:space="preserve">СОТР-037</x:t>
        </x:is>
      </x:c>
      <x:c r="L289" s="31" t="inlineStr">
        <x:is>
          <x:t xml:space="preserve">ДОК-1108</x:t>
        </x:is>
      </x:c>
      <x:c r="M289" s="31" t="inlineStr">
        <x:is>
          <x:t xml:space="preserve">Проведен</x:t>
        </x:is>
      </x:c>
    </x:row>
    <x:row r="290" ht="18" customHeight="1">
      <x:c r="A290" s="31" t="inlineStr">
        <x:is>
          <x:t xml:space="preserve">СКЛ-000289</x:t>
        </x:is>
      </x:c>
      <x:c r="B290" s="31" t="n">
        <x:v>46196</x:v>
      </x:c>
      <x:c r="C290" s="31" t="inlineStr">
        <x:is>
          <x:t xml:space="preserve">Выдача в производство</x:t>
        </x:is>
      </x:c>
      <x:c r="D290" s="31" t="inlineStr">
        <x:is>
          <x:t xml:space="preserve">МАТ-0070</x:t>
        </x:is>
      </x:c>
      <x:c r="E290" s="31" t="inlineStr">
        <x:is>
          <x:t xml:space="preserve">Эмаль полиуретановая / исп.2</x:t>
        </x:is>
      </x:c>
      <x:c r="F290" s="31" t="n">
        <x:v>-72.47</x:v>
      </x:c>
      <x:c r="G290" s="31" t="inlineStr">
        <x:is>
          <x:t xml:space="preserve">кг</x:t>
        </x:is>
      </x:c>
      <x:c r="H290" s="31" t="inlineStr">
        <x:is>
          <x:t xml:space="preserve">ЗК-1013</x:t>
        </x:is>
      </x:c>
      <x:c r="I290" s="31" t="inlineStr">
        <x:is>
          <x:t xml:space="preserve">ПЗ-00262</x:t>
        </x:is>
      </x:c>
      <x:c r="J290" s="31" t="inlineStr">
        <x:is>
          <x:t xml:space="preserve">Цеховой склад</x:t>
        </x:is>
      </x:c>
      <x:c r="K290" s="31" t="inlineStr">
        <x:is>
          <x:t xml:space="preserve">СОТР-034</x:t>
        </x:is>
      </x:c>
      <x:c r="L290" s="31" t="inlineStr">
        <x:is>
          <x:t xml:space="preserve">ДОК-1216</x:t>
        </x:is>
      </x:c>
      <x:c r="M290" s="31" t="inlineStr">
        <x:is>
          <x:t xml:space="preserve">Проведен</x:t>
        </x:is>
      </x:c>
    </x:row>
    <x:row r="291" ht="18" customHeight="1">
      <x:c r="A291" s="31" t="inlineStr">
        <x:is>
          <x:t xml:space="preserve">СКЛ-000290</x:t>
        </x:is>
      </x:c>
      <x:c r="B291" s="31" t="n">
        <x:v>46079</x:v>
      </x:c>
      <x:c r="C291" s="31" t="inlineStr">
        <x:is>
          <x:t xml:space="preserve">Приход</x:t>
        </x:is>
      </x:c>
      <x:c r="D291" s="31" t="inlineStr">
        <x:is>
          <x:t xml:space="preserve">МАТ-0061</x:t>
        </x:is>
      </x:c>
      <x:c r="E291" s="31" t="inlineStr">
        <x:is>
          <x:t xml:space="preserve">Фильтр сетчатый Ду50 / исп.3</x:t>
        </x:is>
      </x:c>
      <x:c r="F291" s="31" t="n">
        <x:v>13</x:v>
      </x:c>
      <x:c r="G291" s="31" t="inlineStr">
        <x:is>
          <x:t xml:space="preserve">шт</x:t>
        </x:is>
      </x:c>
      <x:c r="H291" s="31" t="n"/>
      <x:c r="I291" s="31" t="n"/>
      <x:c r="J291" s="31" t="inlineStr">
        <x:is>
          <x:t xml:space="preserve">Основной склад</x:t>
        </x:is>
      </x:c>
      <x:c r="K291" s="31" t="inlineStr">
        <x:is>
          <x:t xml:space="preserve">СОТР-024</x:t>
        </x:is>
      </x:c>
      <x:c r="L291" s="31" t="inlineStr">
        <x:is>
          <x:t xml:space="preserve">ДОК-4020</x:t>
        </x:is>
      </x:c>
      <x:c r="M291" s="31" t="inlineStr">
        <x:is>
          <x:t xml:space="preserve">Проведен</x:t>
        </x:is>
      </x:c>
    </x:row>
    <x:row r="292" ht="18" customHeight="1">
      <x:c r="A292" s="31" t="inlineStr">
        <x:is>
          <x:t xml:space="preserve">СКЛ-000291</x:t>
        </x:is>
      </x:c>
      <x:c r="B292" s="31" t="n">
        <x:v>46069</x:v>
      </x:c>
      <x:c r="C292" s="31" t="inlineStr">
        <x:is>
          <x:t xml:space="preserve">Резерв</x:t>
        </x:is>
      </x:c>
      <x:c r="D292" s="31" t="inlineStr">
        <x:is>
          <x:t xml:space="preserve">МАТ-0028</x:t>
        </x:is>
      </x:c>
      <x:c r="E292" s="31" t="inlineStr">
        <x:is>
          <x:t xml:space="preserve">Частотный преобразователь 15 кВт</x:t>
        </x:is>
      </x:c>
      <x:c r="F292" s="31" t="n">
        <x:v>-8</x:v>
      </x:c>
      <x:c r="G292" s="31" t="inlineStr">
        <x:is>
          <x:t xml:space="preserve">шт</x:t>
        </x:is>
      </x:c>
      <x:c r="H292" s="31" t="inlineStr">
        <x:is>
          <x:t xml:space="preserve">ЗК-1020</x:t>
        </x:is>
      </x:c>
      <x:c r="I292" s="31" t="n"/>
      <x:c r="J292" s="31" t="inlineStr">
        <x:is>
          <x:t xml:space="preserve">Основной склад</x:t>
        </x:is>
      </x:c>
      <x:c r="K292" s="31" t="inlineStr">
        <x:is>
          <x:t xml:space="preserve">СОТР-034</x:t>
        </x:is>
      </x:c>
      <x:c r="L292" s="31" t="inlineStr">
        <x:is>
          <x:t xml:space="preserve">ДОК-8394</x:t>
        </x:is>
      </x:c>
      <x:c r="M292" s="31" t="inlineStr">
        <x:is>
          <x:t xml:space="preserve">Проведен</x:t>
        </x:is>
      </x:c>
    </x:row>
    <x:row r="293" ht="18" customHeight="1">
      <x:c r="A293" s="31" t="inlineStr">
        <x:is>
          <x:t xml:space="preserve">СКЛ-000292</x:t>
        </x:is>
      </x:c>
      <x:c r="B293" s="31" t="n">
        <x:v>46145</x:v>
      </x:c>
      <x:c r="C293" s="31" t="inlineStr">
        <x:is>
          <x:t xml:space="preserve">Возврат</x:t>
        </x:is>
      </x:c>
      <x:c r="D293" s="31" t="inlineStr">
        <x:is>
          <x:t xml:space="preserve">МАТ-0020</x:t>
        </x:is>
      </x:c>
      <x:c r="E293" s="31" t="inlineStr">
        <x:is>
          <x:t xml:space="preserve">Насос дозировочный / исп.2</x:t>
        </x:is>
      </x:c>
      <x:c r="F293" s="31" t="n">
        <x:v>5</x:v>
      </x:c>
      <x:c r="G293" s="31" t="inlineStr">
        <x:is>
          <x:t xml:space="preserve">шт</x:t>
        </x:is>
      </x:c>
      <x:c r="H293" s="31" t="n"/>
      <x:c r="I293" s="31" t="n"/>
      <x:c r="J293" s="31" t="inlineStr">
        <x:is>
          <x:t xml:space="preserve">Основной склад</x:t>
        </x:is>
      </x:c>
      <x:c r="K293" s="31" t="inlineStr">
        <x:is>
          <x:t xml:space="preserve">СОТР-038</x:t>
        </x:is>
      </x:c>
      <x:c r="L293" s="31" t="inlineStr">
        <x:is>
          <x:t xml:space="preserve">ДОК-8192</x:t>
        </x:is>
      </x:c>
      <x:c r="M293" s="31" t="inlineStr">
        <x:is>
          <x:t xml:space="preserve">Проведен</x:t>
        </x:is>
      </x:c>
    </x:row>
    <x:row r="294" ht="18" customHeight="1">
      <x:c r="A294" s="31" t="inlineStr">
        <x:is>
          <x:t xml:space="preserve">СКЛ-000293</x:t>
        </x:is>
      </x:c>
      <x:c r="B294" s="31" t="n">
        <x:v>46062</x:v>
      </x:c>
      <x:c r="C294" s="31" t="inlineStr">
        <x:is>
          <x:t xml:space="preserve">Резерв</x:t>
        </x:is>
      </x:c>
      <x:c r="D294" s="31" t="inlineStr">
        <x:is>
          <x:t xml:space="preserve">МАТ-0079</x:t>
        </x:is>
      </x:c>
      <x:c r="E294" s="31" t="inlineStr">
        <x:is>
          <x:t xml:space="preserve">Гайка М12 / исп.2</x:t>
        </x:is>
      </x:c>
      <x:c r="F294" s="31" t="n">
        <x:v>-17</x:v>
      </x:c>
      <x:c r="G294" s="31" t="inlineStr">
        <x:is>
          <x:t xml:space="preserve">шт</x:t>
        </x:is>
      </x:c>
      <x:c r="H294" s="31" t="inlineStr">
        <x:is>
          <x:t xml:space="preserve">ЗК-1101</x:t>
        </x:is>
      </x:c>
      <x:c r="I294" s="31" t="n"/>
      <x:c r="J294" s="31" t="inlineStr">
        <x:is>
          <x:t xml:space="preserve">Основной склад</x:t>
        </x:is>
      </x:c>
      <x:c r="K294" s="31" t="inlineStr">
        <x:is>
          <x:t xml:space="preserve">СОТР-036</x:t>
        </x:is>
      </x:c>
      <x:c r="L294" s="31" t="inlineStr">
        <x:is>
          <x:t xml:space="preserve">ДОК-7304</x:t>
        </x:is>
      </x:c>
      <x:c r="M294" s="31" t="inlineStr">
        <x:is>
          <x:t xml:space="preserve">Проведен</x:t>
        </x:is>
      </x:c>
    </x:row>
    <x:row r="295" ht="18" customHeight="1">
      <x:c r="A295" s="31" t="inlineStr">
        <x:is>
          <x:t xml:space="preserve">СКЛ-000294</x:t>
        </x:is>
      </x:c>
      <x:c r="B295" s="31" t="n">
        <x:v>46069</x:v>
      </x:c>
      <x:c r="C295" s="31" t="inlineStr">
        <x:is>
          <x:t xml:space="preserve">Выдача в производство</x:t>
        </x:is>
      </x:c>
      <x:c r="D295" s="31" t="inlineStr">
        <x:is>
          <x:t xml:space="preserve">МАТ-0058</x:t>
        </x:is>
      </x:c>
      <x:c r="E295" s="31" t="inlineStr">
        <x:is>
          <x:t xml:space="preserve">Задвижка Ду100 / исп.3</x:t>
        </x:is>
      </x:c>
      <x:c r="F295" s="31" t="n">
        <x:v>-19</x:v>
      </x:c>
      <x:c r="G295" s="31" t="inlineStr">
        <x:is>
          <x:t xml:space="preserve">шт</x:t>
        </x:is>
      </x:c>
      <x:c r="H295" s="31" t="inlineStr">
        <x:is>
          <x:t xml:space="preserve">ЗК-1094</x:t>
        </x:is>
      </x:c>
      <x:c r="I295" s="31" t="inlineStr">
        <x:is>
          <x:t xml:space="preserve">ПЗ-00151</x:t>
        </x:is>
      </x:c>
      <x:c r="J295" s="31" t="inlineStr">
        <x:is>
          <x:t xml:space="preserve">Брак/карантин</x:t>
        </x:is>
      </x:c>
      <x:c r="K295" s="31" t="inlineStr">
        <x:is>
          <x:t xml:space="preserve">СОТР-036</x:t>
        </x:is>
      </x:c>
      <x:c r="L295" s="31" t="inlineStr">
        <x:is>
          <x:t xml:space="preserve">ДОК-5398</x:t>
        </x:is>
      </x:c>
      <x:c r="M295" s="31" t="inlineStr">
        <x:is>
          <x:t xml:space="preserve">Проведен</x:t>
        </x:is>
      </x:c>
    </x:row>
    <x:row r="296" ht="18" customHeight="1">
      <x:c r="A296" s="31" t="inlineStr">
        <x:is>
          <x:t xml:space="preserve">СКЛ-000295</x:t>
        </x:is>
      </x:c>
      <x:c r="B296" s="31" t="n">
        <x:v>46119</x:v>
      </x:c>
      <x:c r="C296" s="31" t="inlineStr">
        <x:is>
          <x:t xml:space="preserve">Выдача в производство</x:t>
        </x:is>
      </x:c>
      <x:c r="D296" s="31" t="inlineStr">
        <x:is>
          <x:t xml:space="preserve">МАТ-0025</x:t>
        </x:is>
      </x:c>
      <x:c r="E296" s="31" t="inlineStr">
        <x:is>
          <x:t xml:space="preserve">Двигатель 7.5 кВт</x:t>
        </x:is>
      </x:c>
      <x:c r="F296" s="31" t="n">
        <x:v>-16</x:v>
      </x:c>
      <x:c r="G296" s="31" t="inlineStr">
        <x:is>
          <x:t xml:space="preserve">шт</x:t>
        </x:is>
      </x:c>
      <x:c r="H296" s="31" t="inlineStr">
        <x:is>
          <x:t xml:space="preserve">ЗК-1044</x:t>
        </x:is>
      </x:c>
      <x:c r="I296" s="31" t="inlineStr">
        <x:is>
          <x:t xml:space="preserve">ПЗ-00214</x:t>
        </x:is>
      </x:c>
      <x:c r="J296" s="31" t="inlineStr">
        <x:is>
          <x:t xml:space="preserve">Основной склад</x:t>
        </x:is>
      </x:c>
      <x:c r="K296" s="31" t="inlineStr">
        <x:is>
          <x:t xml:space="preserve">СОТР-039</x:t>
        </x:is>
      </x:c>
      <x:c r="L296" s="31" t="inlineStr">
        <x:is>
          <x:t xml:space="preserve">ДОК-3572</x:t>
        </x:is>
      </x:c>
      <x:c r="M296" s="31" t="inlineStr">
        <x:is>
          <x:t xml:space="preserve">Требует проверки</x:t>
        </x:is>
      </x:c>
    </x:row>
    <x:row r="297" ht="18" customHeight="1">
      <x:c r="A297" s="31" t="inlineStr">
        <x:is>
          <x:t xml:space="preserve">СКЛ-000296</x:t>
        </x:is>
      </x:c>
      <x:c r="B297" s="31" t="n">
        <x:v>46032</x:v>
      </x:c>
      <x:c r="C297" s="31" t="inlineStr">
        <x:is>
          <x:t xml:space="preserve">Резерв</x:t>
        </x:is>
      </x:c>
      <x:c r="D297" s="31" t="inlineStr">
        <x:is>
          <x:t xml:space="preserve">МАТ-0052</x:t>
        </x:is>
      </x:c>
      <x:c r="E297" s="31" t="inlineStr">
        <x:is>
          <x:t xml:space="preserve">Кран шаровой Ду50 / исп.2</x:t>
        </x:is>
      </x:c>
      <x:c r="F297" s="31" t="n">
        <x:v>-20</x:v>
      </x:c>
      <x:c r="G297" s="31" t="inlineStr">
        <x:is>
          <x:t xml:space="preserve">шт</x:t>
        </x:is>
      </x:c>
      <x:c r="H297" s="31" t="inlineStr">
        <x:is>
          <x:t xml:space="preserve">ЗК-1053</x:t>
        </x:is>
      </x:c>
      <x:c r="I297" s="31" t="n"/>
      <x:c r="J297" s="31" t="inlineStr">
        <x:is>
          <x:t xml:space="preserve">Брак/карантин</x:t>
        </x:is>
      </x:c>
      <x:c r="K297" s="31" t="inlineStr">
        <x:is>
          <x:t xml:space="preserve">СОТР-037</x:t>
        </x:is>
      </x:c>
      <x:c r="L297" s="31" t="inlineStr">
        <x:is>
          <x:t xml:space="preserve">ДОК-4766</x:t>
        </x:is>
      </x:c>
      <x:c r="M297" s="31" t="inlineStr">
        <x:is>
          <x:t xml:space="preserve">Проведен</x:t>
        </x:is>
      </x:c>
    </x:row>
    <x:row r="298" ht="18" customHeight="1">
      <x:c r="A298" s="31" t="inlineStr">
        <x:is>
          <x:t xml:space="preserve">СКЛ-000297</x:t>
        </x:is>
      </x:c>
      <x:c r="B298" s="31" t="n">
        <x:v>46084</x:v>
      </x:c>
      <x:c r="C298" s="31" t="inlineStr">
        <x:is>
          <x:t xml:space="preserve">Списание</x:t>
        </x:is>
      </x:c>
      <x:c r="D298" s="31" t="inlineStr">
        <x:is>
          <x:t xml:space="preserve">МАТ-0055</x:t>
        </x:is>
      </x:c>
      <x:c r="E298" s="31" t="inlineStr">
        <x:is>
          <x:t xml:space="preserve">Клапан обратный Ду50</x:t>
        </x:is>
      </x:c>
      <x:c r="F298" s="31" t="n">
        <x:v>-17</x:v>
      </x:c>
      <x:c r="G298" s="31" t="inlineStr">
        <x:is>
          <x:t xml:space="preserve">шт</x:t>
        </x:is>
      </x:c>
      <x:c r="H298" s="31" t="n"/>
      <x:c r="I298" s="31" t="n"/>
      <x:c r="J298" s="31" t="inlineStr">
        <x:is>
          <x:t xml:space="preserve">Цеховой склад</x:t>
        </x:is>
      </x:c>
      <x:c r="K298" s="31" t="inlineStr">
        <x:is>
          <x:t xml:space="preserve">СОТР-024</x:t>
        </x:is>
      </x:c>
      <x:c r="L298" s="31" t="inlineStr">
        <x:is>
          <x:t xml:space="preserve">ДОК-4135</x:t>
        </x:is>
      </x:c>
      <x:c r="M298" s="31" t="inlineStr">
        <x:is>
          <x:t xml:space="preserve">Проведен</x:t>
        </x:is>
      </x:c>
    </x:row>
    <x:row r="299" ht="18" customHeight="1">
      <x:c r="A299" s="31" t="inlineStr">
        <x:is>
          <x:t xml:space="preserve">СКЛ-000298</x:t>
        </x:is>
      </x:c>
      <x:c r="B299" s="31" t="n">
        <x:v>46058</x:v>
      </x:c>
      <x:c r="C299" s="31" t="inlineStr">
        <x:is>
          <x:t xml:space="preserve">Списание</x:t>
        </x:is>
      </x:c>
      <x:c r="D299" s="31" t="inlineStr">
        <x:is>
          <x:t xml:space="preserve">МАТ-0016</x:t>
        </x:is>
      </x:c>
      <x:c r="E299" s="31" t="inlineStr">
        <x:is>
          <x:t xml:space="preserve">Насос центробежный 15 кВт / исп.2</x:t>
        </x:is>
      </x:c>
      <x:c r="F299" s="31" t="n">
        <x:v>-7</x:v>
      </x:c>
      <x:c r="G299" s="31" t="inlineStr">
        <x:is>
          <x:t xml:space="preserve">шт</x:t>
        </x:is>
      </x:c>
      <x:c r="H299" s="31" t="n"/>
      <x:c r="I299" s="31" t="n"/>
      <x:c r="J299" s="31" t="inlineStr">
        <x:is>
          <x:t xml:space="preserve">Основной склад</x:t>
        </x:is>
      </x:c>
      <x:c r="K299" s="31" t="inlineStr">
        <x:is>
          <x:t xml:space="preserve">СОТР-024</x:t>
        </x:is>
      </x:c>
      <x:c r="L299" s="31" t="inlineStr">
        <x:is>
          <x:t xml:space="preserve">ДОК-6595</x:t>
        </x:is>
      </x:c>
      <x:c r="M299" s="31" t="inlineStr">
        <x:is>
          <x:t xml:space="preserve">Проведен</x:t>
        </x:is>
      </x:c>
    </x:row>
    <x:row r="300" ht="18" customHeight="1">
      <x:c r="A300" s="31" t="inlineStr">
        <x:is>
          <x:t xml:space="preserve">СКЛ-000299</x:t>
        </x:is>
      </x:c>
      <x:c r="B300" s="31" t="n">
        <x:v>46167</x:v>
      </x:c>
      <x:c r="C300" s="31" t="inlineStr">
        <x:is>
          <x:t xml:space="preserve">Списание</x:t>
        </x:is>
      </x:c>
      <x:c r="D300" s="31" t="inlineStr">
        <x:is>
          <x:t xml:space="preserve">МАТ-0006</x:t>
        </x:is>
      </x:c>
      <x:c r="E300" s="31" t="inlineStr">
        <x:is>
          <x:t xml:space="preserve">Труба нержавеющая 38×3</x:t>
        </x:is>
      </x:c>
      <x:c r="F300" s="31" t="n">
        <x:v>-18</x:v>
      </x:c>
      <x:c r="G300" s="31" t="inlineStr">
        <x:is>
          <x:t xml:space="preserve">шт</x:t>
        </x:is>
      </x:c>
      <x:c r="H300" s="31" t="n"/>
      <x:c r="I300" s="31" t="n"/>
      <x:c r="J300" s="31" t="inlineStr">
        <x:is>
          <x:t xml:space="preserve">Основной склад</x:t>
        </x:is>
      </x:c>
      <x:c r="K300" s="31" t="inlineStr">
        <x:is>
          <x:t xml:space="preserve">СОТР-035</x:t>
        </x:is>
      </x:c>
      <x:c r="L300" s="31" t="inlineStr">
        <x:is>
          <x:t xml:space="preserve">ДОК-2668</x:t>
        </x:is>
      </x:c>
      <x:c r="M300" s="31" t="inlineStr">
        <x:is>
          <x:t xml:space="preserve">Проведен</x:t>
        </x:is>
      </x:c>
    </x:row>
    <x:row r="301">
      <x:c r="A301" s="31" t="inlineStr">
        <x:is>
          <x:t xml:space="preserve">СКЛ-000300</x:t>
        </x:is>
      </x:c>
      <x:c r="B301" s="31" t="n">
        <x:v>46162</x:v>
      </x:c>
      <x:c r="C301" s="31" t="inlineStr">
        <x:is>
          <x:t xml:space="preserve">Списание</x:t>
        </x:is>
      </x:c>
      <x:c r="D301" s="31" t="inlineStr">
        <x:is>
          <x:t xml:space="preserve">МАТ-0086</x:t>
        </x:is>
      </x:c>
      <x:c r="E301" s="31" t="inlineStr">
        <x:is>
          <x:t xml:space="preserve">Пленка стрейч / исп.2</x:t>
        </x:is>
      </x:c>
      <x:c r="F301" s="31" t="n">
        <x:v>-4</x:v>
      </x:c>
      <x:c r="G301" s="31" t="inlineStr">
        <x:is>
          <x:t xml:space="preserve">шт</x:t>
        </x:is>
      </x:c>
      <x:c r="H301" s="31" t="n"/>
      <x:c r="I301" s="31" t="n"/>
      <x:c r="J301" s="31" t="inlineStr">
        <x:is>
          <x:t xml:space="preserve">Основной склад</x:t>
        </x:is>
      </x:c>
      <x:c r="K301" s="31" t="inlineStr">
        <x:is>
          <x:t xml:space="preserve">СОТР-038</x:t>
        </x:is>
      </x:c>
      <x:c r="L301" s="31" t="inlineStr">
        <x:is>
          <x:t xml:space="preserve">ДОК-7599</x:t>
        </x:is>
      </x:c>
      <x:c r="M301" s="31" t="inlineStr">
        <x:is>
          <x:t xml:space="preserve">Проведен</x:t>
        </x:is>
      </x:c>
    </x:row>
    <x:row r="302">
      <x:c r="A302" s="31" t="inlineStr">
        <x:is>
          <x:t xml:space="preserve">СКЛ-000301</x:t>
        </x:is>
      </x:c>
      <x:c r="B302" s="31" t="n">
        <x:v>46168</x:v>
      </x:c>
      <x:c r="C302" s="31" t="inlineStr">
        <x:is>
          <x:t xml:space="preserve">Приход</x:t>
        </x:is>
      </x:c>
      <x:c r="D302" s="31" t="inlineStr">
        <x:is>
          <x:t xml:space="preserve">МАТ-0002</x:t>
        </x:is>
      </x:c>
      <x:c r="E302" s="31" t="inlineStr">
        <x:is>
          <x:t xml:space="preserve">Лист стальной 09Г2С 12 мм</x:t>
        </x:is>
      </x:c>
      <x:c r="F302" s="31" t="n">
        <x:v>34.45</x:v>
      </x:c>
      <x:c r="G302" s="31" t="inlineStr">
        <x:is>
          <x:t xml:space="preserve">кг</x:t>
        </x:is>
      </x:c>
      <x:c r="H302" s="31" t="n"/>
      <x:c r="I302" s="31" t="n"/>
      <x:c r="J302" s="31" t="inlineStr">
        <x:is>
          <x:t xml:space="preserve">Основной склад</x:t>
        </x:is>
      </x:c>
      <x:c r="K302" s="31" t="inlineStr">
        <x:is>
          <x:t xml:space="preserve">СОТР-033</x:t>
        </x:is>
      </x:c>
      <x:c r="L302" s="31" t="inlineStr">
        <x:is>
          <x:t xml:space="preserve">ДОК-4638</x:t>
        </x:is>
      </x:c>
      <x:c r="M302" s="31" t="inlineStr">
        <x:is>
          <x:t xml:space="preserve">Проведен</x:t>
        </x:is>
      </x:c>
    </x:row>
    <x:row r="303">
      <x:c r="A303" s="31" t="inlineStr">
        <x:is>
          <x:t xml:space="preserve">СКЛ-000302</x:t>
        </x:is>
      </x:c>
      <x:c r="B303" s="31" t="n">
        <x:v>46049</x:v>
      </x:c>
      <x:c r="C303" s="31" t="inlineStr">
        <x:is>
          <x:t xml:space="preserve">Выдача в производство</x:t>
        </x:is>
      </x:c>
      <x:c r="D303" s="31" t="inlineStr">
        <x:is>
          <x:t xml:space="preserve">МАТ-0089</x:t>
        </x:is>
      </x:c>
      <x:c r="E303" s="31" t="inlineStr">
        <x:is>
          <x:t xml:space="preserve">Маркировочная этикетка</x:t>
        </x:is>
      </x:c>
      <x:c r="F303" s="31" t="n">
        <x:v>-7</x:v>
      </x:c>
      <x:c r="G303" s="31" t="inlineStr">
        <x:is>
          <x:t xml:space="preserve">шт</x:t>
        </x:is>
      </x:c>
      <x:c r="H303" s="31" t="inlineStr">
        <x:is>
          <x:t xml:space="preserve">ЗК-1123</x:t>
        </x:is>
      </x:c>
      <x:c r="I303" s="31" t="inlineStr">
        <x:is>
          <x:t xml:space="preserve">ПЗ-00188</x:t>
        </x:is>
      </x:c>
      <x:c r="J303" s="31" t="inlineStr">
        <x:is>
          <x:t xml:space="preserve">Основной склад</x:t>
        </x:is>
      </x:c>
      <x:c r="K303" s="31" t="inlineStr">
        <x:is>
          <x:t xml:space="preserve">СОТР-036</x:t>
        </x:is>
      </x:c>
      <x:c r="L303" s="31" t="inlineStr">
        <x:is>
          <x:t xml:space="preserve">ДОК-4948</x:t>
        </x:is>
      </x:c>
      <x:c r="M303" s="31" t="inlineStr">
        <x:is>
          <x:t xml:space="preserve">Проведен</x:t>
        </x:is>
      </x:c>
    </x:row>
    <x:row r="304">
      <x:c r="A304" s="31" t="inlineStr">
        <x:is>
          <x:t xml:space="preserve">СКЛ-000303</x:t>
        </x:is>
      </x:c>
      <x:c r="B304" s="31" t="n">
        <x:v>46093</x:v>
      </x:c>
      <x:c r="C304" s="31" t="inlineStr">
        <x:is>
          <x:t xml:space="preserve">Списание</x:t>
        </x:is>
      </x:c>
      <x:c r="D304" s="31" t="inlineStr">
        <x:is>
          <x:t xml:space="preserve">МАТ-0070</x:t>
        </x:is>
      </x:c>
      <x:c r="E304" s="31" t="inlineStr">
        <x:is>
          <x:t xml:space="preserve">Эмаль полиуретановая / исп.2</x:t>
        </x:is>
      </x:c>
      <x:c r="F304" s="31" t="n">
        <x:v>-29.4</x:v>
      </x:c>
      <x:c r="G304" s="31" t="inlineStr">
        <x:is>
          <x:t xml:space="preserve">кг</x:t>
        </x:is>
      </x:c>
      <x:c r="H304" s="31" t="n"/>
      <x:c r="I304" s="31" t="n"/>
      <x:c r="J304" s="31" t="inlineStr">
        <x:is>
          <x:t xml:space="preserve">Основной склад</x:t>
        </x:is>
      </x:c>
      <x:c r="K304" s="31" t="inlineStr">
        <x:is>
          <x:t xml:space="preserve">СОТР-033</x:t>
        </x:is>
      </x:c>
      <x:c r="L304" s="31" t="inlineStr">
        <x:is>
          <x:t xml:space="preserve">ДОК-6202</x:t>
        </x:is>
      </x:c>
      <x:c r="M304" s="31" t="inlineStr">
        <x:is>
          <x:t xml:space="preserve">Проведен</x:t>
        </x:is>
      </x:c>
    </x:row>
    <x:row r="305">
      <x:c r="A305" s="31" t="inlineStr">
        <x:is>
          <x:t xml:space="preserve">СКЛ-000304</x:t>
        </x:is>
      </x:c>
      <x:c r="B305" s="31" t="n">
        <x:v>46140</x:v>
      </x:c>
      <x:c r="C305" s="31" t="inlineStr">
        <x:is>
          <x:t xml:space="preserve">Приход</x:t>
        </x:is>
      </x:c>
      <x:c r="D305" s="31" t="inlineStr">
        <x:is>
          <x:t xml:space="preserve">МАТ-0011</x:t>
        </x:is>
      </x:c>
      <x:c r="E305" s="31" t="inlineStr">
        <x:is>
          <x:t xml:space="preserve">Фланец Ду50 Ру16 / исп.3</x:t>
        </x:is>
      </x:c>
      <x:c r="F305" s="31" t="n">
        <x:v>13</x:v>
      </x:c>
      <x:c r="G305" s="31" t="inlineStr">
        <x:is>
          <x:t xml:space="preserve">шт</x:t>
        </x:is>
      </x:c>
      <x:c r="H305" s="31" t="n"/>
      <x:c r="I305" s="31" t="n"/>
      <x:c r="J305" s="31" t="inlineStr">
        <x:is>
          <x:t xml:space="preserve">Основной склад</x:t>
        </x:is>
      </x:c>
      <x:c r="K305" s="31" t="inlineStr">
        <x:is>
          <x:t xml:space="preserve">СОТР-038</x:t>
        </x:is>
      </x:c>
      <x:c r="L305" s="31" t="inlineStr">
        <x:is>
          <x:t xml:space="preserve">ДОК-4004</x:t>
        </x:is>
      </x:c>
      <x:c r="M305" s="31" t="inlineStr">
        <x:is>
          <x:t xml:space="preserve">Проведен</x:t>
        </x:is>
      </x:c>
    </x:row>
    <x:row r="306">
      <x:c r="A306" s="31" t="inlineStr">
        <x:is>
          <x:t xml:space="preserve">СКЛ-000305</x:t>
        </x:is>
      </x:c>
      <x:c r="B306" s="31" t="n">
        <x:v>46040</x:v>
      </x:c>
      <x:c r="C306" s="31" t="inlineStr">
        <x:is>
          <x:t xml:space="preserve">Резерв</x:t>
        </x:is>
      </x:c>
      <x:c r="D306" s="31" t="inlineStr">
        <x:is>
          <x:t xml:space="preserve">МАТ-0049</x:t>
        </x:is>
      </x:c>
      <x:c r="E306" s="31" t="inlineStr">
        <x:is>
          <x:t xml:space="preserve">Рейковая клемма</x:t>
        </x:is>
      </x:c>
      <x:c r="F306" s="31" t="n">
        <x:v>-13</x:v>
      </x:c>
      <x:c r="G306" s="31" t="inlineStr">
        <x:is>
          <x:t xml:space="preserve">шт</x:t>
        </x:is>
      </x:c>
      <x:c r="H306" s="31" t="inlineStr">
        <x:is>
          <x:t xml:space="preserve">ЗК-1057</x:t>
        </x:is>
      </x:c>
      <x:c r="I306" s="31" t="n"/>
      <x:c r="J306" s="31" t="inlineStr">
        <x:is>
          <x:t xml:space="preserve">Брак/карантин</x:t>
        </x:is>
      </x:c>
      <x:c r="K306" s="31" t="inlineStr">
        <x:is>
          <x:t xml:space="preserve">СОТР-038</x:t>
        </x:is>
      </x:c>
      <x:c r="L306" s="31" t="inlineStr">
        <x:is>
          <x:t xml:space="preserve">ДОК-3860</x:t>
        </x:is>
      </x:c>
      <x:c r="M306" s="31" t="inlineStr">
        <x:is>
          <x:t xml:space="preserve">Проведен</x:t>
        </x:is>
      </x:c>
    </x:row>
    <x:row r="307">
      <x:c r="A307" s="31" t="inlineStr">
        <x:is>
          <x:t xml:space="preserve">СКЛ-000306</x:t>
        </x:is>
      </x:c>
      <x:c r="B307" s="31" t="n">
        <x:v>46172</x:v>
      </x:c>
      <x:c r="C307" s="31" t="inlineStr">
        <x:is>
          <x:t xml:space="preserve">Возврат</x:t>
        </x:is>
      </x:c>
      <x:c r="D307" s="31" t="inlineStr">
        <x:is>
          <x:t xml:space="preserve">МАТ-0040</x:t>
        </x:is>
      </x:c>
      <x:c r="E307" s="31" t="inlineStr">
        <x:is>
          <x:t xml:space="preserve">модуль аналогового входа 4 канала</x:t>
        </x:is>
      </x:c>
      <x:c r="F307" s="31" t="n">
        <x:v>16</x:v>
      </x:c>
      <x:c r="G307" s="31" t="inlineStr">
        <x:is>
          <x:t xml:space="preserve">шт</x:t>
        </x:is>
      </x:c>
      <x:c r="H307" s="31" t="n"/>
      <x:c r="I307" s="31" t="n"/>
      <x:c r="J307" s="31" t="inlineStr">
        <x:is>
          <x:t xml:space="preserve">Основной склад</x:t>
        </x:is>
      </x:c>
      <x:c r="K307" s="31" t="inlineStr">
        <x:is>
          <x:t xml:space="preserve">СОТР-034</x:t>
        </x:is>
      </x:c>
      <x:c r="L307" s="31" t="inlineStr">
        <x:is>
          <x:t xml:space="preserve">ДОК-3369</x:t>
        </x:is>
      </x:c>
      <x:c r="M307" s="31" t="inlineStr">
        <x:is>
          <x:t xml:space="preserve">Черновик</x:t>
        </x:is>
      </x:c>
    </x:row>
    <x:row r="308">
      <x:c r="A308" s="31" t="inlineStr">
        <x:is>
          <x:t xml:space="preserve">СКЛ-000307</x:t>
        </x:is>
      </x:c>
      <x:c r="B308" s="31" t="n">
        <x:v>46068</x:v>
      </x:c>
      <x:c r="C308" s="31" t="inlineStr">
        <x:is>
          <x:t xml:space="preserve">Приход</x:t>
        </x:is>
      </x:c>
      <x:c r="D308" s="31" t="inlineStr">
        <x:is>
          <x:t xml:space="preserve">МАТ-0044</x:t>
        </x:is>
      </x:c>
      <x:c r="E308" s="31" t="inlineStr">
        <x:is>
          <x:t xml:space="preserve">Блок питания 24В / исп.2</x:t>
        </x:is>
      </x:c>
      <x:c r="F308" s="31" t="n">
        <x:v>18</x:v>
      </x:c>
      <x:c r="G308" s="31" t="inlineStr">
        <x:is>
          <x:t xml:space="preserve">шт</x:t>
        </x:is>
      </x:c>
      <x:c r="H308" s="31" t="n"/>
      <x:c r="I308" s="31" t="n"/>
      <x:c r="J308" s="31" t="inlineStr">
        <x:is>
          <x:t xml:space="preserve">Цеховой склад</x:t>
        </x:is>
      </x:c>
      <x:c r="K308" s="31" t="inlineStr">
        <x:is>
          <x:t xml:space="preserve">СОТР-038</x:t>
        </x:is>
      </x:c>
      <x:c r="L308" s="31" t="inlineStr">
        <x:is>
          <x:t xml:space="preserve">ДОК-2626</x:t>
        </x:is>
      </x:c>
      <x:c r="M308" s="31" t="inlineStr">
        <x:is>
          <x:t xml:space="preserve">Черновик</x:t>
        </x:is>
      </x:c>
    </x:row>
    <x:row r="309">
      <x:c r="A309" s="31" t="inlineStr">
        <x:is>
          <x:t xml:space="preserve">СКЛ-000308</x:t>
        </x:is>
      </x:c>
      <x:c r="B309" s="31" t="n">
        <x:v>46047</x:v>
      </x:c>
      <x:c r="C309" s="31" t="inlineStr">
        <x:is>
          <x:t xml:space="preserve">Резерв</x:t>
        </x:is>
      </x:c>
      <x:c r="D309" s="31" t="inlineStr">
        <x:is>
          <x:t xml:space="preserve">МАТ-0032</x:t>
        </x:is>
      </x:c>
      <x:c r="E309" s="31" t="inlineStr">
        <x:is>
          <x:t xml:space="preserve">Датчик температуры Пт100</x:t>
        </x:is>
      </x:c>
      <x:c r="F309" s="31" t="n">
        <x:v>-5</x:v>
      </x:c>
      <x:c r="G309" s="31" t="inlineStr">
        <x:is>
          <x:t xml:space="preserve">шт</x:t>
        </x:is>
      </x:c>
      <x:c r="H309" s="31" t="inlineStr">
        <x:is>
          <x:t xml:space="preserve">ЗК-1086</x:t>
        </x:is>
      </x:c>
      <x:c r="I309" s="31" t="n"/>
      <x:c r="J309" s="31" t="inlineStr">
        <x:is>
          <x:t xml:space="preserve">Основной склад</x:t>
        </x:is>
      </x:c>
      <x:c r="K309" s="31" t="inlineStr">
        <x:is>
          <x:t xml:space="preserve">СОТР-036</x:t>
        </x:is>
      </x:c>
      <x:c r="L309" s="31" t="inlineStr">
        <x:is>
          <x:t xml:space="preserve">ДОК-1543</x:t>
        </x:is>
      </x:c>
      <x:c r="M309" s="31" t="inlineStr">
        <x:is>
          <x:t xml:space="preserve">Проведен</x:t>
        </x:is>
      </x:c>
    </x:row>
    <x:row r="310">
      <x:c r="A310" s="31" t="inlineStr">
        <x:is>
          <x:t xml:space="preserve">СКЛ-000309</x:t>
        </x:is>
      </x:c>
      <x:c r="B310" s="31" t="n">
        <x:v>46158</x:v>
      </x:c>
      <x:c r="C310" s="31" t="inlineStr">
        <x:is>
          <x:t xml:space="preserve">Возврат</x:t>
        </x:is>
      </x:c>
      <x:c r="D310" s="31" t="inlineStr">
        <x:is>
          <x:t xml:space="preserve">МАТ-0062</x:t>
        </x:is>
      </x:c>
      <x:c r="E310" s="31" t="inlineStr">
        <x:is>
          <x:t xml:space="preserve">Кабель КВВГ 4×1.5</x:t>
        </x:is>
      </x:c>
      <x:c r="F310" s="31" t="n">
        <x:v>71.31</x:v>
      </x:c>
      <x:c r="G310" s="31" t="inlineStr">
        <x:is>
          <x:t xml:space="preserve">м</x:t>
        </x:is>
      </x:c>
      <x:c r="H310" s="31" t="n"/>
      <x:c r="I310" s="31" t="n"/>
      <x:c r="J310" s="31" t="inlineStr">
        <x:is>
          <x:t xml:space="preserve">Брак/карантин</x:t>
        </x:is>
      </x:c>
      <x:c r="K310" s="31" t="inlineStr">
        <x:is>
          <x:t xml:space="preserve">СОТР-024</x:t>
        </x:is>
      </x:c>
      <x:c r="L310" s="31" t="inlineStr">
        <x:is>
          <x:t xml:space="preserve">ДОК-7466</x:t>
        </x:is>
      </x:c>
      <x:c r="M310" s="31" t="inlineStr">
        <x:is>
          <x:t xml:space="preserve">Проведен</x:t>
        </x:is>
      </x:c>
    </x:row>
    <x:row r="311">
      <x:c r="A311" s="31" t="inlineStr">
        <x:is>
          <x:t xml:space="preserve">СКЛ-000310</x:t>
        </x:is>
      </x:c>
      <x:c r="B311" s="31" t="n">
        <x:v>46040</x:v>
      </x:c>
      <x:c r="C311" s="31" t="inlineStr">
        <x:is>
          <x:t xml:space="preserve">Списание</x:t>
        </x:is>
      </x:c>
      <x:c r="D311" s="31" t="inlineStr">
        <x:is>
          <x:t xml:space="preserve">МАТ-0079</x:t>
        </x:is>
      </x:c>
      <x:c r="E311" s="31" t="inlineStr">
        <x:is>
          <x:t xml:space="preserve">Гайка М12 / исп.2</x:t>
        </x:is>
      </x:c>
      <x:c r="F311" s="31" t="n">
        <x:v>-3</x:v>
      </x:c>
      <x:c r="G311" s="31" t="inlineStr">
        <x:is>
          <x:t xml:space="preserve">шт</x:t>
        </x:is>
      </x:c>
      <x:c r="H311" s="31" t="n"/>
      <x:c r="I311" s="31" t="n"/>
      <x:c r="J311" s="31" t="inlineStr">
        <x:is>
          <x:t xml:space="preserve">Основной склад</x:t>
        </x:is>
      </x:c>
      <x:c r="K311" s="31" t="inlineStr">
        <x:is>
          <x:t xml:space="preserve">СОТР-039</x:t>
        </x:is>
      </x:c>
      <x:c r="L311" s="31" t="inlineStr">
        <x:is>
          <x:t xml:space="preserve">ДОК-6796</x:t>
        </x:is>
      </x:c>
      <x:c r="M311" s="31" t="inlineStr">
        <x:is>
          <x:t xml:space="preserve">Проведен</x:t>
        </x:is>
      </x:c>
    </x:row>
    <x:row r="312">
      <x:c r="A312" s="31" t="inlineStr">
        <x:is>
          <x:t xml:space="preserve">СКЛ-000311</x:t>
        </x:is>
      </x:c>
      <x:c r="B312" s="31" t="n">
        <x:v>46167</x:v>
      </x:c>
      <x:c r="C312" s="31" t="inlineStr">
        <x:is>
          <x:t xml:space="preserve">Выдача в производство</x:t>
        </x:is>
      </x:c>
      <x:c r="D312" s="31" t="inlineStr">
        <x:is>
          <x:t xml:space="preserve">МАТ-0055</x:t>
        </x:is>
      </x:c>
      <x:c r="E312" s="31" t="inlineStr">
        <x:is>
          <x:t xml:space="preserve">Клапан обратный Ду50</x:t>
        </x:is>
      </x:c>
      <x:c r="F312" s="31" t="n">
        <x:v>-2</x:v>
      </x:c>
      <x:c r="G312" s="31" t="inlineStr">
        <x:is>
          <x:t xml:space="preserve">шт</x:t>
        </x:is>
      </x:c>
      <x:c r="H312" s="31" t="inlineStr">
        <x:is>
          <x:t xml:space="preserve">ЗК-1086</x:t>
        </x:is>
      </x:c>
      <x:c r="I312" s="31" t="inlineStr">
        <x:is>
          <x:t xml:space="preserve">ПЗ-00192</x:t>
        </x:is>
      </x:c>
      <x:c r="J312" s="31" t="inlineStr">
        <x:is>
          <x:t xml:space="preserve">Основной склад</x:t>
        </x:is>
      </x:c>
      <x:c r="K312" s="31" t="inlineStr">
        <x:is>
          <x:t xml:space="preserve">СОТР-033</x:t>
        </x:is>
      </x:c>
      <x:c r="L312" s="31" t="inlineStr">
        <x:is>
          <x:t xml:space="preserve">ДОК-7411</x:t>
        </x:is>
      </x:c>
      <x:c r="M312" s="31" t="inlineStr">
        <x:is>
          <x:t xml:space="preserve">Проведен</x:t>
        </x:is>
      </x:c>
    </x:row>
    <x:row r="313">
      <x:c r="A313" s="31" t="inlineStr">
        <x:is>
          <x:t xml:space="preserve">СКЛ-000312</x:t>
        </x:is>
      </x:c>
      <x:c r="B313" s="31" t="n">
        <x:v>46105</x:v>
      </x:c>
      <x:c r="C313" s="31" t="inlineStr">
        <x:is>
          <x:t xml:space="preserve">Списание</x:t>
        </x:is>
      </x:c>
      <x:c r="D313" s="31" t="inlineStr">
        <x:is>
          <x:t xml:space="preserve">МАТ-0087</x:t>
        </x:is>
      </x:c>
      <x:c r="E313" s="31" t="inlineStr">
        <x:is>
          <x:t xml:space="preserve">Ящик фанерный</x:t>
        </x:is>
      </x:c>
      <x:c r="F313" s="31" t="n">
        <x:v>-4</x:v>
      </x:c>
      <x:c r="G313" s="31" t="inlineStr">
        <x:is>
          <x:t xml:space="preserve">шт</x:t>
        </x:is>
      </x:c>
      <x:c r="H313" s="31" t="n"/>
      <x:c r="I313" s="31" t="n"/>
      <x:c r="J313" s="31" t="inlineStr">
        <x:is>
          <x:t xml:space="preserve">Основной склад</x:t>
        </x:is>
      </x:c>
      <x:c r="K313" s="31" t="inlineStr">
        <x:is>
          <x:t xml:space="preserve">СОТР-035</x:t>
        </x:is>
      </x:c>
      <x:c r="L313" s="31" t="inlineStr">
        <x:is>
          <x:t xml:space="preserve">ДОК-8717</x:t>
        </x:is>
      </x:c>
      <x:c r="M313" s="31" t="inlineStr">
        <x:is>
          <x:t xml:space="preserve">Требует проверки</x:t>
        </x:is>
      </x:c>
    </x:row>
    <x:row r="314">
      <x:c r="A314" s="31" t="inlineStr">
        <x:is>
          <x:t xml:space="preserve">СКЛ-000313</x:t>
        </x:is>
      </x:c>
      <x:c r="B314" s="31" t="n">
        <x:v>46081</x:v>
      </x:c>
      <x:c r="C314" s="31" t="inlineStr">
        <x:is>
          <x:t xml:space="preserve">Выдача в производство</x:t>
        </x:is>
      </x:c>
      <x:c r="D314" s="31" t="inlineStr">
        <x:is>
          <x:t xml:space="preserve">МАТ-0007</x:t>
        </x:is>
      </x:c>
      <x:c r="E314" s="31" t="inlineStr">
        <x:is>
          <x:t xml:space="preserve">Труба нержавеющая 38×3 / исп.2</x:t>
        </x:is>
      </x:c>
      <x:c r="F314" s="31" t="n">
        <x:v>-73.95999999999999</x:v>
      </x:c>
      <x:c r="G314" s="31" t="inlineStr">
        <x:is>
          <x:t xml:space="preserve">л</x:t>
        </x:is>
      </x:c>
      <x:c r="H314" s="31" t="inlineStr">
        <x:is>
          <x:t xml:space="preserve">ЗК-1094</x:t>
        </x:is>
      </x:c>
      <x:c r="I314" s="31" t="inlineStr">
        <x:is>
          <x:t xml:space="preserve">ПЗ-00043</x:t>
        </x:is>
      </x:c>
      <x:c r="J314" s="31" t="inlineStr">
        <x:is>
          <x:t xml:space="preserve">Основной склад</x:t>
        </x:is>
      </x:c>
      <x:c r="K314" s="31" t="inlineStr">
        <x:is>
          <x:t xml:space="preserve">СОТР-035</x:t>
        </x:is>
      </x:c>
      <x:c r="L314" s="31" t="inlineStr">
        <x:is>
          <x:t xml:space="preserve">ДОК-1164</x:t>
        </x:is>
      </x:c>
      <x:c r="M314" s="31" t="inlineStr">
        <x:is>
          <x:t xml:space="preserve">Проведен</x:t>
        </x:is>
      </x:c>
    </x:row>
    <x:row r="315">
      <x:c r="A315" s="31" t="inlineStr">
        <x:is>
          <x:t xml:space="preserve">СКЛ-000314</x:t>
        </x:is>
      </x:c>
      <x:c r="B315" s="31" t="n">
        <x:v>46118</x:v>
      </x:c>
      <x:c r="C315" s="31" t="inlineStr">
        <x:is>
          <x:t xml:space="preserve">Приход</x:t>
        </x:is>
      </x:c>
      <x:c r="D315" s="31" t="inlineStr">
        <x:is>
          <x:t xml:space="preserve">МАТ-0020</x:t>
        </x:is>
      </x:c>
      <x:c r="E315" s="31" t="inlineStr">
        <x:is>
          <x:t xml:space="preserve">Насос дозировочный / исп.2</x:t>
        </x:is>
      </x:c>
      <x:c r="F315" s="31" t="n">
        <x:v>2</x:v>
      </x:c>
      <x:c r="G315" s="31" t="inlineStr">
        <x:is>
          <x:t xml:space="preserve">шт</x:t>
        </x:is>
      </x:c>
      <x:c r="H315" s="31" t="n"/>
      <x:c r="I315" s="31" t="n"/>
      <x:c r="J315" s="31" t="inlineStr">
        <x:is>
          <x:t xml:space="preserve">Цеховой склад</x:t>
        </x:is>
      </x:c>
      <x:c r="K315" s="31" t="inlineStr">
        <x:is>
          <x:t xml:space="preserve">СОТР-038</x:t>
        </x:is>
      </x:c>
      <x:c r="L315" s="31" t="inlineStr">
        <x:is>
          <x:t xml:space="preserve">ДОК-3901</x:t>
        </x:is>
      </x:c>
      <x:c r="M315" s="31" t="inlineStr">
        <x:is>
          <x:t xml:space="preserve">Проведен</x:t>
        </x:is>
      </x:c>
    </x:row>
    <x:row r="316">
      <x:c r="A316" s="31" t="inlineStr">
        <x:is>
          <x:t xml:space="preserve">СКЛ-000315</x:t>
        </x:is>
      </x:c>
      <x:c r="B316" s="31" t="n">
        <x:v>46197</x:v>
      </x:c>
      <x:c r="C316" s="31" t="inlineStr">
        <x:is>
          <x:t xml:space="preserve">Резерв</x:t>
        </x:is>
      </x:c>
      <x:c r="D316" s="31" t="inlineStr">
        <x:is>
          <x:t xml:space="preserve">МАТ-0006</x:t>
        </x:is>
      </x:c>
      <x:c r="E316" s="31" t="inlineStr">
        <x:is>
          <x:t xml:space="preserve">Труба нержавеющая 38×3</x:t>
        </x:is>
      </x:c>
      <x:c r="F316" s="31" t="n">
        <x:v>-6</x:v>
      </x:c>
      <x:c r="G316" s="31" t="inlineStr">
        <x:is>
          <x:t xml:space="preserve">шт</x:t>
        </x:is>
      </x:c>
      <x:c r="H316" s="31" t="inlineStr">
        <x:is>
          <x:t xml:space="preserve">ЗК-1125</x:t>
        </x:is>
      </x:c>
      <x:c r="I316" s="31" t="n"/>
      <x:c r="J316" s="31" t="inlineStr">
        <x:is>
          <x:t xml:space="preserve">Брак/карантин</x:t>
        </x:is>
      </x:c>
      <x:c r="K316" s="31" t="inlineStr">
        <x:is>
          <x:t xml:space="preserve">СОТР-039</x:t>
        </x:is>
      </x:c>
      <x:c r="L316" s="31" t="inlineStr">
        <x:is>
          <x:t xml:space="preserve">ДОК-5676</x:t>
        </x:is>
      </x:c>
      <x:c r="M316" s="31" t="inlineStr">
        <x:is>
          <x:t xml:space="preserve">Проведен</x:t>
        </x:is>
      </x:c>
    </x:row>
    <x:row r="317">
      <x:c r="A317" s="31" t="inlineStr">
        <x:is>
          <x:t xml:space="preserve">СКЛ-000316</x:t>
        </x:is>
      </x:c>
      <x:c r="B317" s="31" t="n">
        <x:v>46190</x:v>
      </x:c>
      <x:c r="C317" s="31" t="inlineStr">
        <x:is>
          <x:t xml:space="preserve">Списание</x:t>
        </x:is>
      </x:c>
      <x:c r="D317" s="31" t="inlineStr">
        <x:is>
          <x:t xml:space="preserve">МАТ-0042</x:t>
        </x:is>
      </x:c>
      <x:c r="E317" s="31" t="inlineStr">
        <x:is>
          <x:t xml:space="preserve">модуль аналогового входа 4 канала / исп.3</x:t>
        </x:is>
      </x:c>
      <x:c r="F317" s="31" t="n">
        <x:v>-15</x:v>
      </x:c>
      <x:c r="G317" s="31" t="inlineStr">
        <x:is>
          <x:t xml:space="preserve">шт</x:t>
        </x:is>
      </x:c>
      <x:c r="H317" s="31" t="n"/>
      <x:c r="I317" s="31" t="n"/>
      <x:c r="J317" s="31" t="inlineStr">
        <x:is>
          <x:t xml:space="preserve">Основной склад</x:t>
        </x:is>
      </x:c>
      <x:c r="K317" s="31" t="inlineStr">
        <x:is>
          <x:t xml:space="preserve">СОТР-034</x:t>
        </x:is>
      </x:c>
      <x:c r="L317" s="31" t="inlineStr">
        <x:is>
          <x:t xml:space="preserve">ДОК-2034</x:t>
        </x:is>
      </x:c>
      <x:c r="M317" s="31" t="inlineStr">
        <x:is>
          <x:t xml:space="preserve">Проведен</x:t>
        </x:is>
      </x:c>
    </x:row>
    <x:row r="318">
      <x:c r="A318" s="31" t="inlineStr">
        <x:is>
          <x:t xml:space="preserve">СКЛ-000317</x:t>
        </x:is>
      </x:c>
      <x:c r="B318" s="31" t="n">
        <x:v>46115</x:v>
      </x:c>
      <x:c r="C318" s="31" t="inlineStr">
        <x:is>
          <x:t xml:space="preserve">Приход</x:t>
        </x:is>
      </x:c>
      <x:c r="D318" s="31" t="inlineStr">
        <x:is>
          <x:t xml:space="preserve">МАТ-0060</x:t>
        </x:is>
      </x:c>
      <x:c r="E318" s="31" t="inlineStr">
        <x:is>
          <x:t xml:space="preserve">Фильтр сетчатый Ду50 / исп.2</x:t>
        </x:is>
      </x:c>
      <x:c r="F318" s="31" t="n">
        <x:v>4</x:v>
      </x:c>
      <x:c r="G318" s="31" t="inlineStr">
        <x:is>
          <x:t xml:space="preserve">шт</x:t>
        </x:is>
      </x:c>
      <x:c r="H318" s="31" t="n"/>
      <x:c r="I318" s="31" t="n"/>
      <x:c r="J318" s="31" t="inlineStr">
        <x:is>
          <x:t xml:space="preserve">Брак/карантин</x:t>
        </x:is>
      </x:c>
      <x:c r="K318" s="31" t="inlineStr">
        <x:is>
          <x:t xml:space="preserve">СОТР-034</x:t>
        </x:is>
      </x:c>
      <x:c r="L318" s="31" t="inlineStr">
        <x:is>
          <x:t xml:space="preserve">ДОК-4394</x:t>
        </x:is>
      </x:c>
      <x:c r="M318" s="31" t="inlineStr">
        <x:is>
          <x:t xml:space="preserve">Проведен</x:t>
        </x:is>
      </x:c>
    </x:row>
    <x:row r="319">
      <x:c r="A319" s="31" t="inlineStr">
        <x:is>
          <x:t xml:space="preserve">СКЛ-000318</x:t>
        </x:is>
      </x:c>
      <x:c r="B319" s="31" t="n">
        <x:v>46096</x:v>
      </x:c>
      <x:c r="C319" s="31" t="inlineStr">
        <x:is>
          <x:t xml:space="preserve">Резерв</x:t>
        </x:is>
      </x:c>
      <x:c r="D319" s="31" t="inlineStr">
        <x:is>
          <x:t xml:space="preserve">МАТ-0074</x:t>
        </x:is>
      </x:c>
      <x:c r="E319" s="31" t="inlineStr">
        <x:is>
          <x:t xml:space="preserve">Абразив для пескоструя</x:t>
        </x:is>
      </x:c>
      <x:c r="F319" s="31" t="n">
        <x:v>-11</x:v>
      </x:c>
      <x:c r="G319" s="31" t="inlineStr">
        <x:is>
          <x:t xml:space="preserve">шт</x:t>
        </x:is>
      </x:c>
      <x:c r="H319" s="31" t="inlineStr">
        <x:is>
          <x:t xml:space="preserve">ЗК-1040</x:t>
        </x:is>
      </x:c>
      <x:c r="I319" s="31" t="n"/>
      <x:c r="J319" s="31" t="inlineStr">
        <x:is>
          <x:t xml:space="preserve">Основной склад</x:t>
        </x:is>
      </x:c>
      <x:c r="K319" s="31" t="inlineStr">
        <x:is>
          <x:t xml:space="preserve">СОТР-036</x:t>
        </x:is>
      </x:c>
      <x:c r="L319" s="31" t="inlineStr">
        <x:is>
          <x:t xml:space="preserve">ДОК-5076</x:t>
        </x:is>
      </x:c>
      <x:c r="M319" s="31" t="inlineStr">
        <x:is>
          <x:t xml:space="preserve">Проведен</x:t>
        </x:is>
      </x:c>
    </x:row>
    <x:row r="320">
      <x:c r="A320" s="31" t="inlineStr">
        <x:is>
          <x:t xml:space="preserve">СКЛ-000319</x:t>
        </x:is>
      </x:c>
      <x:c r="B320" s="31" t="n">
        <x:v>46091</x:v>
      </x:c>
      <x:c r="C320" s="31" t="inlineStr">
        <x:is>
          <x:t xml:space="preserve">Резерв</x:t>
        </x:is>
      </x:c>
      <x:c r="D320" s="31" t="inlineStr">
        <x:is>
          <x:t xml:space="preserve">МАТ-0038</x:t>
        </x:is>
      </x:c>
      <x:c r="E320" s="31" t="inlineStr">
        <x:is>
          <x:t xml:space="preserve">ПЛК 24 дискр. входа / 16 дискр. выхода</x:t>
        </x:is>
      </x:c>
      <x:c r="F320" s="31" t="n">
        <x:v>-10</x:v>
      </x:c>
      <x:c r="G320" s="31" t="inlineStr">
        <x:is>
          <x:t xml:space="preserve">шт</x:t>
        </x:is>
      </x:c>
      <x:c r="H320" s="31" t="inlineStr">
        <x:is>
          <x:t xml:space="preserve">ЗК-1074</x:t>
        </x:is>
      </x:c>
      <x:c r="I320" s="31" t="n"/>
      <x:c r="J320" s="31" t="inlineStr">
        <x:is>
          <x:t xml:space="preserve">Основной склад</x:t>
        </x:is>
      </x:c>
      <x:c r="K320" s="31" t="inlineStr">
        <x:is>
          <x:t xml:space="preserve">СОТР-038</x:t>
        </x:is>
      </x:c>
      <x:c r="L320" s="31" t="inlineStr">
        <x:is>
          <x:t xml:space="preserve">ДОК-6100</x:t>
        </x:is>
      </x:c>
      <x:c r="M320" s="31" t="inlineStr">
        <x:is>
          <x:t xml:space="preserve">Проведен</x:t>
        </x:is>
      </x:c>
    </x:row>
    <x:row r="321">
      <x:c r="A321" s="31" t="inlineStr">
        <x:is>
          <x:t xml:space="preserve">СКЛ-000320</x:t>
        </x:is>
      </x:c>
      <x:c r="B321" s="31" t="n">
        <x:v>46152</x:v>
      </x:c>
      <x:c r="C321" s="31" t="inlineStr">
        <x:is>
          <x:t xml:space="preserve">Резерв</x:t>
        </x:is>
      </x:c>
      <x:c r="D321" s="31" t="inlineStr">
        <x:is>
          <x:t xml:space="preserve">МАТ-0035</x:t>
        </x:is>
      </x:c>
      <x:c r="E321" s="31" t="inlineStr">
        <x:is>
          <x:t xml:space="preserve">Клапан электромагнитный 24В</x:t>
        </x:is>
      </x:c>
      <x:c r="F321" s="31" t="n">
        <x:v>-2</x:v>
      </x:c>
      <x:c r="G321" s="31" t="inlineStr">
        <x:is>
          <x:t xml:space="preserve">шт</x:t>
        </x:is>
      </x:c>
      <x:c r="H321" s="31" t="inlineStr">
        <x:is>
          <x:t xml:space="preserve">ЗК-1012</x:t>
        </x:is>
      </x:c>
      <x:c r="I321" s="31" t="n"/>
      <x:c r="J321" s="31" t="inlineStr">
        <x:is>
          <x:t xml:space="preserve">Цеховой склад</x:t>
        </x:is>
      </x:c>
      <x:c r="K321" s="31" t="inlineStr">
        <x:is>
          <x:t xml:space="preserve">СОТР-034</x:t>
        </x:is>
      </x:c>
      <x:c r="L321" s="31" t="inlineStr">
        <x:is>
          <x:t xml:space="preserve">ДОК-5417</x:t>
        </x:is>
      </x:c>
      <x:c r="M321" s="31" t="inlineStr">
        <x:is>
          <x:t xml:space="preserve">Проведен</x:t>
        </x:is>
      </x:c>
    </x:row>
    <x:row r="322">
      <x:c r="A322" s="31" t="inlineStr">
        <x:is>
          <x:t xml:space="preserve">СКЛ-000321</x:t>
        </x:is>
      </x:c>
      <x:c r="B322" s="31" t="n">
        <x:v>46092</x:v>
      </x:c>
      <x:c r="C322" s="31" t="inlineStr">
        <x:is>
          <x:t xml:space="preserve">Резерв</x:t>
        </x:is>
      </x:c>
      <x:c r="D322" s="31" t="inlineStr">
        <x:is>
          <x:t xml:space="preserve">МАТ-0028</x:t>
        </x:is>
      </x:c>
      <x:c r="E322" s="31" t="inlineStr">
        <x:is>
          <x:t xml:space="preserve">Частотный преобразователь 15 кВт</x:t>
        </x:is>
      </x:c>
      <x:c r="F322" s="31" t="n">
        <x:v>-17</x:v>
      </x:c>
      <x:c r="G322" s="31" t="inlineStr">
        <x:is>
          <x:t xml:space="preserve">шт</x:t>
        </x:is>
      </x:c>
      <x:c r="H322" s="31" t="inlineStr">
        <x:is>
          <x:t xml:space="preserve">ЗК-1121</x:t>
        </x:is>
      </x:c>
      <x:c r="I322" s="31" t="n"/>
      <x:c r="J322" s="31" t="inlineStr">
        <x:is>
          <x:t xml:space="preserve">Основной склад</x:t>
        </x:is>
      </x:c>
      <x:c r="K322" s="31" t="inlineStr">
        <x:is>
          <x:t xml:space="preserve">СОТР-037</x:t>
        </x:is>
      </x:c>
      <x:c r="L322" s="31" t="inlineStr">
        <x:is>
          <x:t xml:space="preserve">ДОК-6889</x:t>
        </x:is>
      </x:c>
      <x:c r="M322" s="31" t="inlineStr">
        <x:is>
          <x:t xml:space="preserve">Требует проверки</x:t>
        </x:is>
      </x:c>
    </x:row>
    <x:row r="323">
      <x:c r="A323" s="31" t="inlineStr">
        <x:is>
          <x:t xml:space="preserve">СКЛ-000322</x:t>
        </x:is>
      </x:c>
      <x:c r="B323" s="31" t="n">
        <x:v>46117</x:v>
      </x:c>
      <x:c r="C323" s="31" t="inlineStr">
        <x:is>
          <x:t xml:space="preserve">Резерв</x:t>
        </x:is>
      </x:c>
      <x:c r="D323" s="31" t="inlineStr">
        <x:is>
          <x:t xml:space="preserve">МАТ-0084</x:t>
        </x:is>
      </x:c>
      <x:c r="E323" s="31" t="inlineStr">
        <x:is>
          <x:t xml:space="preserve">Поддон 1200×800</x:t>
        </x:is>
      </x:c>
      <x:c r="F323" s="31" t="n">
        <x:v>-9</x:v>
      </x:c>
      <x:c r="G323" s="31" t="inlineStr">
        <x:is>
          <x:t xml:space="preserve">шт</x:t>
        </x:is>
      </x:c>
      <x:c r="H323" s="31" t="inlineStr">
        <x:is>
          <x:t xml:space="preserve">ЗК-1007</x:t>
        </x:is>
      </x:c>
      <x:c r="I323" s="31" t="n"/>
      <x:c r="J323" s="31" t="inlineStr">
        <x:is>
          <x:t xml:space="preserve">Основной склад</x:t>
        </x:is>
      </x:c>
      <x:c r="K323" s="31" t="inlineStr">
        <x:is>
          <x:t xml:space="preserve">СОТР-039</x:t>
        </x:is>
      </x:c>
      <x:c r="L323" s="31" t="inlineStr">
        <x:is>
          <x:t xml:space="preserve">ДОК-6912</x:t>
        </x:is>
      </x:c>
      <x:c r="M323" s="31" t="inlineStr">
        <x:is>
          <x:t xml:space="preserve">Проведен</x:t>
        </x:is>
      </x:c>
    </x:row>
    <x:row r="324">
      <x:c r="A324" s="31" t="inlineStr">
        <x:is>
          <x:t xml:space="preserve">СКЛ-000323</x:t>
        </x:is>
      </x:c>
      <x:c r="B324" s="31" t="n">
        <x:v>46060</x:v>
      </x:c>
      <x:c r="C324" s="31" t="inlineStr">
        <x:is>
          <x:t xml:space="preserve">Выдача в производство</x:t>
        </x:is>
      </x:c>
      <x:c r="D324" s="31" t="inlineStr">
        <x:is>
          <x:t xml:space="preserve">МАТ-0064</x:t>
        </x:is>
      </x:c>
      <x:c r="E324" s="31" t="inlineStr">
        <x:is>
          <x:t xml:space="preserve">Кабель ВВГнг 3×2.5 / исп.2</x:t>
        </x:is>
      </x:c>
      <x:c r="F324" s="31" t="n">
        <x:v>-7</x:v>
      </x:c>
      <x:c r="G324" s="31" t="inlineStr">
        <x:is>
          <x:t xml:space="preserve">шт</x:t>
        </x:is>
      </x:c>
      <x:c r="H324" s="31" t="inlineStr">
        <x:is>
          <x:t xml:space="preserve">ЗК-1010</x:t>
        </x:is>
      </x:c>
      <x:c r="I324" s="31" t="inlineStr">
        <x:is>
          <x:t xml:space="preserve">ПЗ-00028</x:t>
        </x:is>
      </x:c>
      <x:c r="J324" s="31" t="inlineStr">
        <x:is>
          <x:t xml:space="preserve">Основной склад</x:t>
        </x:is>
      </x:c>
      <x:c r="K324" s="31" t="inlineStr">
        <x:is>
          <x:t xml:space="preserve">СОТР-034</x:t>
        </x:is>
      </x:c>
      <x:c r="L324" s="31" t="inlineStr">
        <x:is>
          <x:t xml:space="preserve">ДОК-2556</x:t>
        </x:is>
      </x:c>
      <x:c r="M324" s="31" t="inlineStr">
        <x:is>
          <x:t xml:space="preserve">Проведен</x:t>
        </x:is>
      </x:c>
    </x:row>
    <x:row r="325">
      <x:c r="A325" s="31" t="inlineStr">
        <x:is>
          <x:t xml:space="preserve">СКЛ-000324</x:t>
        </x:is>
      </x:c>
      <x:c r="B325" s="31" t="n">
        <x:v>46103</x:v>
      </x:c>
      <x:c r="C325" s="31" t="inlineStr">
        <x:is>
          <x:t xml:space="preserve">Выдача в производство</x:t>
        </x:is>
      </x:c>
      <x:c r="D325" s="31" t="inlineStr">
        <x:is>
          <x:t xml:space="preserve">МАТ-0010</x:t>
        </x:is>
      </x:c>
      <x:c r="E325" s="31" t="inlineStr">
        <x:is>
          <x:t xml:space="preserve">Фланец Ду50 Ру16 / исп.2</x:t>
        </x:is>
      </x:c>
      <x:c r="F325" s="31" t="n">
        <x:v>-1</x:v>
      </x:c>
      <x:c r="G325" s="31" t="inlineStr">
        <x:is>
          <x:t xml:space="preserve">шт</x:t>
        </x:is>
      </x:c>
      <x:c r="H325" s="31" t="inlineStr">
        <x:is>
          <x:t xml:space="preserve">ЗК-1072</x:t>
        </x:is>
      </x:c>
      <x:c r="I325" s="31" t="inlineStr">
        <x:is>
          <x:t xml:space="preserve">ПЗ-00257</x:t>
        </x:is>
      </x:c>
      <x:c r="J325" s="31" t="inlineStr">
        <x:is>
          <x:t xml:space="preserve">Основной склад</x:t>
        </x:is>
      </x:c>
      <x:c r="K325" s="31" t="inlineStr">
        <x:is>
          <x:t xml:space="preserve">СОТР-035</x:t>
        </x:is>
      </x:c>
      <x:c r="L325" s="31" t="inlineStr">
        <x:is>
          <x:t xml:space="preserve">ДОК-2802</x:t>
        </x:is>
      </x:c>
      <x:c r="M325" s="31" t="inlineStr">
        <x:is>
          <x:t xml:space="preserve">Проведен</x:t>
        </x:is>
      </x:c>
    </x:row>
    <x:row r="326">
      <x:c r="A326" s="31" t="inlineStr">
        <x:is>
          <x:t xml:space="preserve">СКЛ-000325</x:t>
        </x:is>
      </x:c>
      <x:c r="B326" s="31" t="n">
        <x:v>46035</x:v>
      </x:c>
      <x:c r="C326" s="31" t="inlineStr">
        <x:is>
          <x:t xml:space="preserve">Выдача в производство</x:t>
        </x:is>
      </x:c>
      <x:c r="D326" s="31" t="inlineStr">
        <x:is>
          <x:t xml:space="preserve">МАТ-0048</x:t>
        </x:is>
      </x:c>
      <x:c r="E326" s="31" t="inlineStr">
        <x:is>
          <x:t xml:space="preserve">Контактор 25А / исп.3</x:t>
        </x:is>
      </x:c>
      <x:c r="F326" s="31" t="n">
        <x:v>-9</x:v>
      </x:c>
      <x:c r="G326" s="31" t="inlineStr">
        <x:is>
          <x:t xml:space="preserve">шт</x:t>
        </x:is>
      </x:c>
      <x:c r="H326" s="31" t="inlineStr">
        <x:is>
          <x:t xml:space="preserve">ЗК-1116</x:t>
        </x:is>
      </x:c>
      <x:c r="I326" s="31" t="inlineStr">
        <x:is>
          <x:t xml:space="preserve">ПЗ-00216</x:t>
        </x:is>
      </x:c>
      <x:c r="J326" s="31" t="inlineStr">
        <x:is>
          <x:t xml:space="preserve">Основной склад</x:t>
        </x:is>
      </x:c>
      <x:c r="K326" s="31" t="inlineStr">
        <x:is>
          <x:t xml:space="preserve">СОТР-033</x:t>
        </x:is>
      </x:c>
      <x:c r="L326" s="31" t="inlineStr">
        <x:is>
          <x:t xml:space="preserve">ДОК-6118</x:t>
        </x:is>
      </x:c>
      <x:c r="M326" s="31" t="inlineStr">
        <x:is>
          <x:t xml:space="preserve">Проведен</x:t>
        </x:is>
      </x:c>
    </x:row>
    <x:row r="327">
      <x:c r="A327" s="31" t="inlineStr">
        <x:is>
          <x:t xml:space="preserve">СКЛ-000326</x:t>
        </x:is>
      </x:c>
      <x:c r="B327" s="31" t="n">
        <x:v>46084</x:v>
      </x:c>
      <x:c r="C327" s="31" t="inlineStr">
        <x:is>
          <x:t xml:space="preserve">Списание</x:t>
        </x:is>
      </x:c>
      <x:c r="D327" s="31" t="inlineStr">
        <x:is>
          <x:t xml:space="preserve">МАТ-0012</x:t>
        </x:is>
      </x:c>
      <x:c r="E327" s="31" t="inlineStr">
        <x:is>
          <x:t xml:space="preserve">Фланец Ду80 Ру16</x:t>
        </x:is>
      </x:c>
      <x:c r="F327" s="31" t="n">
        <x:v>-54.5</x:v>
      </x:c>
      <x:c r="G327" s="31" t="inlineStr">
        <x:is>
          <x:t xml:space="preserve">л</x:t>
        </x:is>
      </x:c>
      <x:c r="H327" s="31" t="n"/>
      <x:c r="I327" s="31" t="n"/>
      <x:c r="J327" s="31" t="inlineStr">
        <x:is>
          <x:t xml:space="preserve">Основной склад</x:t>
        </x:is>
      </x:c>
      <x:c r="K327" s="31" t="inlineStr">
        <x:is>
          <x:t xml:space="preserve">СОТР-024</x:t>
        </x:is>
      </x:c>
      <x:c r="L327" s="31" t="inlineStr">
        <x:is>
          <x:t xml:space="preserve">ДОК-8123</x:t>
        </x:is>
      </x:c>
      <x:c r="M327" s="31" t="inlineStr">
        <x:is>
          <x:t xml:space="preserve">Проведен</x:t>
        </x:is>
      </x:c>
    </x:row>
    <x:row r="328">
      <x:c r="A328" s="31" t="inlineStr">
        <x:is>
          <x:t xml:space="preserve">СКЛ-000327</x:t>
        </x:is>
      </x:c>
      <x:c r="B328" s="31" t="n">
        <x:v>46044</x:v>
      </x:c>
      <x:c r="C328" s="31" t="inlineStr">
        <x:is>
          <x:t xml:space="preserve">Возврат</x:t>
        </x:is>
      </x:c>
      <x:c r="D328" s="31" t="inlineStr">
        <x:is>
          <x:t xml:space="preserve">МАТ-0023</x:t>
        </x:is>
      </x:c>
      <x:c r="E328" s="31" t="inlineStr">
        <x:is>
          <x:t xml:space="preserve">Рабочее колесо</x:t>
        </x:is>
      </x:c>
      <x:c r="F328" s="31" t="n">
        <x:v>13</x:v>
      </x:c>
      <x:c r="G328" s="31" t="inlineStr">
        <x:is>
          <x:t xml:space="preserve">шт</x:t>
        </x:is>
      </x:c>
      <x:c r="H328" s="31" t="n"/>
      <x:c r="I328" s="31" t="n"/>
      <x:c r="J328" s="31" t="inlineStr">
        <x:is>
          <x:t xml:space="preserve">Основной склад</x:t>
        </x:is>
      </x:c>
      <x:c r="K328" s="31" t="inlineStr">
        <x:is>
          <x:t xml:space="preserve">СОТР-035</x:t>
        </x:is>
      </x:c>
      <x:c r="L328" s="31" t="inlineStr">
        <x:is>
          <x:t xml:space="preserve">ДОК-2265</x:t>
        </x:is>
      </x:c>
      <x:c r="M328" s="31" t="inlineStr">
        <x:is>
          <x:t xml:space="preserve">Требует проверки</x:t>
        </x:is>
      </x:c>
    </x:row>
    <x:row r="329">
      <x:c r="A329" s="31" t="inlineStr">
        <x:is>
          <x:t xml:space="preserve">СКЛ-000328</x:t>
        </x:is>
      </x:c>
      <x:c r="B329" s="31" t="n">
        <x:v>46133</x:v>
      </x:c>
      <x:c r="C329" s="31" t="inlineStr">
        <x:is>
          <x:t xml:space="preserve">Приход</x:t>
        </x:is>
      </x:c>
      <x:c r="D329" s="31" t="inlineStr">
        <x:is>
          <x:t xml:space="preserve">МАТ-0036</x:t>
        </x:is>
      </x:c>
      <x:c r="E329" s="31" t="inlineStr">
        <x:is>
          <x:t xml:space="preserve">Клапан электромагнитный 24В / исп.2</x:t>
        </x:is>
      </x:c>
      <x:c r="F329" s="31" t="n">
        <x:v>13</x:v>
      </x:c>
      <x:c r="G329" s="31" t="inlineStr">
        <x:is>
          <x:t xml:space="preserve">шт</x:t>
        </x:is>
      </x:c>
      <x:c r="H329" s="31" t="n"/>
      <x:c r="I329" s="31" t="n"/>
      <x:c r="J329" s="31" t="inlineStr">
        <x:is>
          <x:t xml:space="preserve">Цеховой склад</x:t>
        </x:is>
      </x:c>
      <x:c r="K329" s="31" t="inlineStr">
        <x:is>
          <x:t xml:space="preserve">СОТР-035</x:t>
        </x:is>
      </x:c>
      <x:c r="L329" s="31" t="inlineStr">
        <x:is>
          <x:t xml:space="preserve">ДОК-4786</x:t>
        </x:is>
      </x:c>
      <x:c r="M329" s="31" t="inlineStr">
        <x:is>
          <x:t xml:space="preserve">Проведен</x:t>
        </x:is>
      </x:c>
    </x:row>
    <x:row r="330">
      <x:c r="A330" s="31" t="inlineStr">
        <x:is>
          <x:t xml:space="preserve">СКЛ-000329</x:t>
        </x:is>
      </x:c>
      <x:c r="B330" s="31" t="n">
        <x:v>46079</x:v>
      </x:c>
      <x:c r="C330" s="31" t="inlineStr">
        <x:is>
          <x:t xml:space="preserve">Резерв</x:t>
        </x:is>
      </x:c>
      <x:c r="D330" s="31" t="inlineStr">
        <x:is>
          <x:t xml:space="preserve">МАТ-0013</x:t>
        </x:is>
      </x:c>
      <x:c r="E330" s="31" t="inlineStr">
        <x:is>
          <x:t xml:space="preserve">Уголок 50×5</x:t>
        </x:is>
      </x:c>
      <x:c r="F330" s="31" t="n">
        <x:v>-76.31999999999999</x:v>
      </x:c>
      <x:c r="G330" s="31" t="inlineStr">
        <x:is>
          <x:t xml:space="preserve">кг</x:t>
        </x:is>
      </x:c>
      <x:c r="H330" s="31" t="inlineStr">
        <x:is>
          <x:t xml:space="preserve">ЗК-1109</x:t>
        </x:is>
      </x:c>
      <x:c r="I330" s="31" t="n"/>
      <x:c r="J330" s="31" t="inlineStr">
        <x:is>
          <x:t xml:space="preserve">Основной склад</x:t>
        </x:is>
      </x:c>
      <x:c r="K330" s="31" t="inlineStr">
        <x:is>
          <x:t xml:space="preserve">СОТР-033</x:t>
        </x:is>
      </x:c>
      <x:c r="L330" s="31" t="inlineStr">
        <x:is>
          <x:t xml:space="preserve">ДОК-8788</x:t>
        </x:is>
      </x:c>
      <x:c r="M330" s="31" t="inlineStr">
        <x:is>
          <x:t xml:space="preserve">Проведен</x:t>
        </x:is>
      </x:c>
    </x:row>
    <x:row r="331">
      <x:c r="A331" s="31" t="inlineStr">
        <x:is>
          <x:t xml:space="preserve">СКЛ-000330</x:t>
        </x:is>
      </x:c>
      <x:c r="B331" s="31" t="n">
        <x:v>46106</x:v>
      </x:c>
      <x:c r="C331" s="31" t="inlineStr">
        <x:is>
          <x:t xml:space="preserve">Приход</x:t>
        </x:is>
      </x:c>
      <x:c r="D331" s="31" t="inlineStr">
        <x:is>
          <x:t xml:space="preserve">МАТ-0058</x:t>
        </x:is>
      </x:c>
      <x:c r="E331" s="31" t="inlineStr">
        <x:is>
          <x:t xml:space="preserve">Задвижка Ду100 / исп.3</x:t>
        </x:is>
      </x:c>
      <x:c r="F331" s="31" t="n">
        <x:v>19</x:v>
      </x:c>
      <x:c r="G331" s="31" t="inlineStr">
        <x:is>
          <x:t xml:space="preserve">шт</x:t>
        </x:is>
      </x:c>
      <x:c r="H331" s="31" t="n"/>
      <x:c r="I331" s="31" t="n"/>
      <x:c r="J331" s="31" t="inlineStr">
        <x:is>
          <x:t xml:space="preserve">Основной склад</x:t>
        </x:is>
      </x:c>
      <x:c r="K331" s="31" t="inlineStr">
        <x:is>
          <x:t xml:space="preserve">СОТР-036</x:t>
        </x:is>
      </x:c>
      <x:c r="L331" s="31" t="inlineStr">
        <x:is>
          <x:t xml:space="preserve">ДОК-1756</x:t>
        </x:is>
      </x:c>
      <x:c r="M331" s="31" t="inlineStr">
        <x:is>
          <x:t xml:space="preserve">Проведен</x:t>
        </x:is>
      </x:c>
    </x:row>
    <x:row r="332">
      <x:c r="A332" s="31" t="inlineStr">
        <x:is>
          <x:t xml:space="preserve">СКЛ-000331</x:t>
        </x:is>
      </x:c>
      <x:c r="B332" s="31" t="n">
        <x:v>46172</x:v>
      </x:c>
      <x:c r="C332" s="31" t="inlineStr">
        <x:is>
          <x:t xml:space="preserve">Выдача в производство</x:t>
        </x:is>
      </x:c>
      <x:c r="D332" s="31" t="inlineStr">
        <x:is>
          <x:t xml:space="preserve">МАТ-0015</x:t>
        </x:is>
      </x:c>
      <x:c r="E332" s="31" t="inlineStr">
        <x:is>
          <x:t xml:space="preserve">Насос центробежный 15 кВт</x:t>
        </x:is>
      </x:c>
      <x:c r="F332" s="31" t="n">
        <x:v>-1</x:v>
      </x:c>
      <x:c r="G332" s="31" t="inlineStr">
        <x:is>
          <x:t xml:space="preserve">шт</x:t>
        </x:is>
      </x:c>
      <x:c r="H332" s="31" t="inlineStr">
        <x:is>
          <x:t xml:space="preserve">ЗК-1126</x:t>
        </x:is>
      </x:c>
      <x:c r="I332" s="31" t="inlineStr">
        <x:is>
          <x:t xml:space="preserve">ПЗ-00186</x:t>
        </x:is>
      </x:c>
      <x:c r="J332" s="31" t="inlineStr">
        <x:is>
          <x:t xml:space="preserve">Основной склад</x:t>
        </x:is>
      </x:c>
      <x:c r="K332" s="31" t="inlineStr">
        <x:is>
          <x:t xml:space="preserve">СОТР-024</x:t>
        </x:is>
      </x:c>
      <x:c r="L332" s="31" t="inlineStr">
        <x:is>
          <x:t xml:space="preserve">ДОК-1093</x:t>
        </x:is>
      </x:c>
      <x:c r="M332" s="31" t="inlineStr">
        <x:is>
          <x:t xml:space="preserve">Проведен</x:t>
        </x:is>
      </x:c>
    </x:row>
    <x:row r="333">
      <x:c r="A333" s="31" t="inlineStr">
        <x:is>
          <x:t xml:space="preserve">СКЛ-000332</x:t>
        </x:is>
      </x:c>
      <x:c r="B333" s="31" t="n">
        <x:v>46194</x:v>
      </x:c>
      <x:c r="C333" s="31" t="inlineStr">
        <x:is>
          <x:t xml:space="preserve">Резерв</x:t>
        </x:is>
      </x:c>
      <x:c r="D333" s="31" t="inlineStr">
        <x:is>
          <x:t xml:space="preserve">МАТ-0043</x:t>
        </x:is>
      </x:c>
      <x:c r="E333" s="31" t="inlineStr">
        <x:is>
          <x:t xml:space="preserve">Блок питания 24В</x:t>
        </x:is>
      </x:c>
      <x:c r="F333" s="31" t="n">
        <x:v>-8</x:v>
      </x:c>
      <x:c r="G333" s="31" t="inlineStr">
        <x:is>
          <x:t xml:space="preserve">шт</x:t>
        </x:is>
      </x:c>
      <x:c r="H333" s="31" t="inlineStr">
        <x:is>
          <x:t xml:space="preserve">ЗК-1092</x:t>
        </x:is>
      </x:c>
      <x:c r="I333" s="31" t="n"/>
      <x:c r="J333" s="31" t="inlineStr">
        <x:is>
          <x:t xml:space="preserve">Основной склад</x:t>
        </x:is>
      </x:c>
      <x:c r="K333" s="31" t="inlineStr">
        <x:is>
          <x:t xml:space="preserve">СОТР-038</x:t>
        </x:is>
      </x:c>
      <x:c r="L333" s="31" t="inlineStr">
        <x:is>
          <x:t xml:space="preserve">ДОК-4700</x:t>
        </x:is>
      </x:c>
      <x:c r="M333" s="31" t="inlineStr">
        <x:is>
          <x:t xml:space="preserve">Проведен</x:t>
        </x:is>
      </x:c>
    </x:row>
    <x:row r="334">
      <x:c r="A334" s="31" t="inlineStr">
        <x:is>
          <x:t xml:space="preserve">СКЛ-000333</x:t>
        </x:is>
      </x:c>
      <x:c r="B334" s="31" t="n">
        <x:v>46092</x:v>
      </x:c>
      <x:c r="C334" s="31" t="inlineStr">
        <x:is>
          <x:t xml:space="preserve">Приход</x:t>
        </x:is>
      </x:c>
      <x:c r="D334" s="31" t="inlineStr">
        <x:is>
          <x:t xml:space="preserve">МАТ-0048</x:t>
        </x:is>
      </x:c>
      <x:c r="E334" s="31" t="inlineStr">
        <x:is>
          <x:t xml:space="preserve">Контактор 25А / исп.3</x:t>
        </x:is>
      </x:c>
      <x:c r="F334" s="31" t="n">
        <x:v>14</x:v>
      </x:c>
      <x:c r="G334" s="31" t="inlineStr">
        <x:is>
          <x:t xml:space="preserve">шт</x:t>
        </x:is>
      </x:c>
      <x:c r="H334" s="31" t="n"/>
      <x:c r="I334" s="31" t="n"/>
      <x:c r="J334" s="31" t="inlineStr">
        <x:is>
          <x:t xml:space="preserve">Основной склад</x:t>
        </x:is>
      </x:c>
      <x:c r="K334" s="31" t="inlineStr">
        <x:is>
          <x:t xml:space="preserve">СОТР-036</x:t>
        </x:is>
      </x:c>
      <x:c r="L334" s="31" t="inlineStr">
        <x:is>
          <x:t xml:space="preserve">ДОК-2792</x:t>
        </x:is>
      </x:c>
      <x:c r="M334" s="31" t="inlineStr">
        <x:is>
          <x:t xml:space="preserve">Проведен</x:t>
        </x:is>
      </x:c>
    </x:row>
    <x:row r="335">
      <x:c r="A335" s="31" t="inlineStr">
        <x:is>
          <x:t xml:space="preserve">СКЛ-000334</x:t>
        </x:is>
      </x:c>
      <x:c r="B335" s="31" t="n">
        <x:v>46165</x:v>
      </x:c>
      <x:c r="C335" s="31" t="inlineStr">
        <x:is>
          <x:t xml:space="preserve">Приход</x:t>
        </x:is>
      </x:c>
      <x:c r="D335" s="31" t="inlineStr">
        <x:is>
          <x:t xml:space="preserve">МАТ-0004</x:t>
        </x:is>
      </x:c>
      <x:c r="E335" s="31" t="inlineStr">
        <x:is>
          <x:t xml:space="preserve">Лист стальной 09Г2С 12 мм / исп.3</x:t>
        </x:is>
      </x:c>
      <x:c r="F335" s="31" t="n">
        <x:v>15.67</x:v>
      </x:c>
      <x:c r="G335" s="31" t="inlineStr">
        <x:is>
          <x:t xml:space="preserve">л</x:t>
        </x:is>
      </x:c>
      <x:c r="H335" s="31" t="n"/>
      <x:c r="I335" s="31" t="n"/>
      <x:c r="J335" s="31" t="inlineStr">
        <x:is>
          <x:t xml:space="preserve">Цеховой склад</x:t>
        </x:is>
      </x:c>
      <x:c r="K335" s="31" t="inlineStr">
        <x:is>
          <x:t xml:space="preserve">СОТР-038</x:t>
        </x:is>
      </x:c>
      <x:c r="L335" s="31" t="inlineStr">
        <x:is>
          <x:t xml:space="preserve">ДОК-8846</x:t>
        </x:is>
      </x:c>
      <x:c r="M335" s="31" t="inlineStr">
        <x:is>
          <x:t xml:space="preserve">Требует проверки</x:t>
        </x:is>
      </x:c>
    </x:row>
    <x:row r="336">
      <x:c r="A336" s="31" t="inlineStr">
        <x:is>
          <x:t xml:space="preserve">СКЛ-000335</x:t>
        </x:is>
      </x:c>
      <x:c r="B336" s="31" t="n">
        <x:v>46036</x:v>
      </x:c>
      <x:c r="C336" s="31" t="inlineStr">
        <x:is>
          <x:t xml:space="preserve">Резерв</x:t>
        </x:is>
      </x:c>
      <x:c r="D336" s="31" t="inlineStr">
        <x:is>
          <x:t xml:space="preserve">МАТ-0007</x:t>
        </x:is>
      </x:c>
      <x:c r="E336" s="31" t="inlineStr">
        <x:is>
          <x:t xml:space="preserve">Труба нержавеющая 38×3 / исп.2</x:t>
        </x:is>
      </x:c>
      <x:c r="F336" s="31" t="n">
        <x:v>-59.66</x:v>
      </x:c>
      <x:c r="G336" s="31" t="inlineStr">
        <x:is>
          <x:t xml:space="preserve">л</x:t>
        </x:is>
      </x:c>
      <x:c r="H336" s="31" t="inlineStr">
        <x:is>
          <x:t xml:space="preserve">ЗК-1066</x:t>
        </x:is>
      </x:c>
      <x:c r="I336" s="31" t="n"/>
      <x:c r="J336" s="31" t="inlineStr">
        <x:is>
          <x:t xml:space="preserve">Основной склад</x:t>
        </x:is>
      </x:c>
      <x:c r="K336" s="31" t="inlineStr">
        <x:is>
          <x:t xml:space="preserve">СОТР-034</x:t>
        </x:is>
      </x:c>
      <x:c r="L336" s="31" t="inlineStr">
        <x:is>
          <x:t xml:space="preserve">ДОК-4166</x:t>
        </x:is>
      </x:c>
      <x:c r="M336" s="31" t="inlineStr">
        <x:is>
          <x:t xml:space="preserve">Проведен</x:t>
        </x:is>
      </x:c>
    </x:row>
    <x:row r="337">
      <x:c r="A337" s="31" t="inlineStr">
        <x:is>
          <x:t xml:space="preserve">СКЛ-000336</x:t>
        </x:is>
      </x:c>
      <x:c r="B337" s="31" t="n">
        <x:v>46201</x:v>
      </x:c>
      <x:c r="C337" s="31" t="inlineStr">
        <x:is>
          <x:t xml:space="preserve">Резерв</x:t>
        </x:is>
      </x:c>
      <x:c r="D337" s="31" t="inlineStr">
        <x:is>
          <x:t xml:space="preserve">МАТ-0058</x:t>
        </x:is>
      </x:c>
      <x:c r="E337" s="31" t="inlineStr">
        <x:is>
          <x:t xml:space="preserve">Задвижка Ду100 / исп.3</x:t>
        </x:is>
      </x:c>
      <x:c r="F337" s="31" t="n">
        <x:v>-3</x:v>
      </x:c>
      <x:c r="G337" s="31" t="inlineStr">
        <x:is>
          <x:t xml:space="preserve">шт</x:t>
        </x:is>
      </x:c>
      <x:c r="H337" s="31" t="inlineStr">
        <x:is>
          <x:t xml:space="preserve">ЗК-1056</x:t>
        </x:is>
      </x:c>
      <x:c r="I337" s="31" t="n"/>
      <x:c r="J337" s="31" t="inlineStr">
        <x:is>
          <x:t xml:space="preserve">Основной склад</x:t>
        </x:is>
      </x:c>
      <x:c r="K337" s="31" t="inlineStr">
        <x:is>
          <x:t xml:space="preserve">СОТР-024</x:t>
        </x:is>
      </x:c>
      <x:c r="L337" s="31" t="inlineStr">
        <x:is>
          <x:t xml:space="preserve">ДОК-7016</x:t>
        </x:is>
      </x:c>
      <x:c r="M337" s="31" t="inlineStr">
        <x:is>
          <x:t xml:space="preserve">Проведен</x:t>
        </x:is>
      </x:c>
    </x:row>
    <x:row r="338">
      <x:c r="A338" s="31" t="inlineStr">
        <x:is>
          <x:t xml:space="preserve">СКЛ-000337</x:t>
        </x:is>
      </x:c>
      <x:c r="B338" s="31" t="n">
        <x:v>46157</x:v>
      </x:c>
      <x:c r="C338" s="31" t="inlineStr">
        <x:is>
          <x:t xml:space="preserve">Резерв</x:t>
        </x:is>
      </x:c>
      <x:c r="D338" s="31" t="inlineStr">
        <x:is>
          <x:t xml:space="preserve">МАТ-0064</x:t>
        </x:is>
      </x:c>
      <x:c r="E338" s="31" t="inlineStr">
        <x:is>
          <x:t xml:space="preserve">Кабель ВВГнг 3×2.5 / исп.2</x:t>
        </x:is>
      </x:c>
      <x:c r="F338" s="31" t="n">
        <x:v>-5</x:v>
      </x:c>
      <x:c r="G338" s="31" t="inlineStr">
        <x:is>
          <x:t xml:space="preserve">шт</x:t>
        </x:is>
      </x:c>
      <x:c r="H338" s="31" t="inlineStr">
        <x:is>
          <x:t xml:space="preserve">ЗК-1035</x:t>
        </x:is>
      </x:c>
      <x:c r="I338" s="31" t="n"/>
      <x:c r="J338" s="31" t="inlineStr">
        <x:is>
          <x:t xml:space="preserve">Цеховой склад</x:t>
        </x:is>
      </x:c>
      <x:c r="K338" s="31" t="inlineStr">
        <x:is>
          <x:t xml:space="preserve">СОТР-039</x:t>
        </x:is>
      </x:c>
      <x:c r="L338" s="31" t="inlineStr">
        <x:is>
          <x:t xml:space="preserve">ДОК-6699</x:t>
        </x:is>
      </x:c>
      <x:c r="M338" s="31" t="inlineStr">
        <x:is>
          <x:t xml:space="preserve">Проведен</x:t>
        </x:is>
      </x:c>
    </x:row>
    <x:row r="339">
      <x:c r="A339" s="31" t="inlineStr">
        <x:is>
          <x:t xml:space="preserve">СКЛ-000338</x:t>
        </x:is>
      </x:c>
      <x:c r="B339" s="31" t="n">
        <x:v>46190</x:v>
      </x:c>
      <x:c r="C339" s="31" t="inlineStr">
        <x:is>
          <x:t xml:space="preserve">Резерв</x:t>
        </x:is>
      </x:c>
      <x:c r="D339" s="31" t="inlineStr">
        <x:is>
          <x:t xml:space="preserve">МАТ-0016</x:t>
        </x:is>
      </x:c>
      <x:c r="E339" s="31" t="inlineStr">
        <x:is>
          <x:t xml:space="preserve">Насос центробежный 15 кВт / исп.2</x:t>
        </x:is>
      </x:c>
      <x:c r="F339" s="31" t="n">
        <x:v>-17</x:v>
      </x:c>
      <x:c r="G339" s="31" t="inlineStr">
        <x:is>
          <x:t xml:space="preserve">шт</x:t>
        </x:is>
      </x:c>
      <x:c r="H339" s="31" t="inlineStr">
        <x:is>
          <x:t xml:space="preserve">ЗК-1095</x:t>
        </x:is>
      </x:c>
      <x:c r="I339" s="31" t="n"/>
      <x:c r="J339" s="31" t="inlineStr">
        <x:is>
          <x:t xml:space="preserve">Цеховой склад</x:t>
        </x:is>
      </x:c>
      <x:c r="K339" s="31" t="inlineStr">
        <x:is>
          <x:t xml:space="preserve">СОТР-033</x:t>
        </x:is>
      </x:c>
      <x:c r="L339" s="31" t="inlineStr">
        <x:is>
          <x:t xml:space="preserve">ДОК-7570</x:t>
        </x:is>
      </x:c>
      <x:c r="M339" s="31" t="inlineStr">
        <x:is>
          <x:t xml:space="preserve">Проведен</x:t>
        </x:is>
      </x:c>
    </x:row>
    <x:row r="340">
      <x:c r="A340" s="31" t="inlineStr">
        <x:is>
          <x:t xml:space="preserve">СКЛ-000339</x:t>
        </x:is>
      </x:c>
      <x:c r="B340" s="31" t="n">
        <x:v>46058</x:v>
      </x:c>
      <x:c r="C340" s="31" t="inlineStr">
        <x:is>
          <x:t xml:space="preserve">Возврат</x:t>
        </x:is>
      </x:c>
      <x:c r="D340" s="31" t="inlineStr">
        <x:is>
          <x:t xml:space="preserve">МАТ-0071</x:t>
        </x:is>
      </x:c>
      <x:c r="E340" s="31" t="inlineStr">
        <x:is>
          <x:t xml:space="preserve">Эмаль полиуретановая / исп.3</x:t>
        </x:is>
      </x:c>
      <x:c r="F340" s="31" t="n">
        <x:v>8.789999999999999</x:v>
      </x:c>
      <x:c r="G340" s="31" t="inlineStr">
        <x:is>
          <x:t xml:space="preserve">кг</x:t>
        </x:is>
      </x:c>
      <x:c r="H340" s="31" t="n"/>
      <x:c r="I340" s="31" t="n"/>
      <x:c r="J340" s="31" t="inlineStr">
        <x:is>
          <x:t xml:space="preserve">Основной склад</x:t>
        </x:is>
      </x:c>
      <x:c r="K340" s="31" t="inlineStr">
        <x:is>
          <x:t xml:space="preserve">СОТР-033</x:t>
        </x:is>
      </x:c>
      <x:c r="L340" s="31" t="inlineStr">
        <x:is>
          <x:t xml:space="preserve">ДОК-2533</x:t>
        </x:is>
      </x:c>
      <x:c r="M340" s="31" t="inlineStr">
        <x:is>
          <x:t xml:space="preserve">Проведен</x:t>
        </x:is>
      </x:c>
    </x:row>
    <x:row r="341">
      <x:c r="A341" s="31" t="inlineStr">
        <x:is>
          <x:t xml:space="preserve">СКЛ-000340</x:t>
        </x:is>
      </x:c>
      <x:c r="B341" s="31" t="n">
        <x:v>46159</x:v>
      </x:c>
      <x:c r="C341" s="31" t="inlineStr">
        <x:is>
          <x:t xml:space="preserve">Выдача в производство</x:t>
        </x:is>
      </x:c>
      <x:c r="D341" s="31" t="inlineStr">
        <x:is>
          <x:t xml:space="preserve">МАТ-0021</x:t>
        </x:is>
      </x:c>
      <x:c r="E341" s="31" t="inlineStr">
        <x:is>
          <x:t xml:space="preserve">Торцевое уплотнение</x:t>
        </x:is>
      </x:c>
      <x:c r="F341" s="31" t="n">
        <x:v>-10</x:v>
      </x:c>
      <x:c r="G341" s="31" t="inlineStr">
        <x:is>
          <x:t xml:space="preserve">шт</x:t>
        </x:is>
      </x:c>
      <x:c r="H341" s="31" t="inlineStr">
        <x:is>
          <x:t xml:space="preserve">ЗК-1022</x:t>
        </x:is>
      </x:c>
      <x:c r="I341" s="31" t="inlineStr">
        <x:is>
          <x:t xml:space="preserve">ПЗ-00081</x:t>
        </x:is>
      </x:c>
      <x:c r="J341" s="31" t="inlineStr">
        <x:is>
          <x:t xml:space="preserve">Основной склад</x:t>
        </x:is>
      </x:c>
      <x:c r="K341" s="31" t="inlineStr">
        <x:is>
          <x:t xml:space="preserve">СОТР-037</x:t>
        </x:is>
      </x:c>
      <x:c r="L341" s="31" t="inlineStr">
        <x:is>
          <x:t xml:space="preserve">ДОК-6002</x:t>
        </x:is>
      </x:c>
      <x:c r="M341" s="31" t="inlineStr">
        <x:is>
          <x:t xml:space="preserve">Требует проверки</x:t>
        </x:is>
      </x:c>
    </x:row>
    <x:row r="342">
      <x:c r="A342" s="31" t="inlineStr">
        <x:is>
          <x:t xml:space="preserve">СКЛ-000341</x:t>
        </x:is>
      </x:c>
      <x:c r="B342" s="31" t="n">
        <x:v>46144</x:v>
      </x:c>
      <x:c r="C342" s="31" t="inlineStr">
        <x:is>
          <x:t xml:space="preserve">Приход</x:t>
        </x:is>
      </x:c>
      <x:c r="D342" s="31" t="inlineStr">
        <x:is>
          <x:t xml:space="preserve">МАТ-0057</x:t>
        </x:is>
      </x:c>
      <x:c r="E342" s="31" t="inlineStr">
        <x:is>
          <x:t xml:space="preserve">Задвижка Ду100 / исп.2</x:t>
        </x:is>
      </x:c>
      <x:c r="F342" s="31" t="n">
        <x:v>7</x:v>
      </x:c>
      <x:c r="G342" s="31" t="inlineStr">
        <x:is>
          <x:t xml:space="preserve">шт</x:t>
        </x:is>
      </x:c>
      <x:c r="H342" s="31" t="n"/>
      <x:c r="I342" s="31" t="n"/>
      <x:c r="J342" s="31" t="inlineStr">
        <x:is>
          <x:t xml:space="preserve">Основной склад</x:t>
        </x:is>
      </x:c>
      <x:c r="K342" s="31" t="inlineStr">
        <x:is>
          <x:t xml:space="preserve">СОТР-039</x:t>
        </x:is>
      </x:c>
      <x:c r="L342" s="31" t="inlineStr">
        <x:is>
          <x:t xml:space="preserve">ДОК-5320</x:t>
        </x:is>
      </x:c>
      <x:c r="M342" s="31" t="inlineStr">
        <x:is>
          <x:t xml:space="preserve">Проведен</x:t>
        </x:is>
      </x:c>
    </x:row>
    <x:row r="343">
      <x:c r="A343" s="31" t="inlineStr">
        <x:is>
          <x:t xml:space="preserve">СКЛ-000342</x:t>
        </x:is>
      </x:c>
      <x:c r="B343" s="31" t="n">
        <x:v>46112</x:v>
      </x:c>
      <x:c r="C343" s="31" t="inlineStr">
        <x:is>
          <x:t xml:space="preserve">Выдача в производство</x:t>
        </x:is>
      </x:c>
      <x:c r="D343" s="31" t="inlineStr">
        <x:is>
          <x:t xml:space="preserve">МАТ-0001</x:t>
        </x:is>
      </x:c>
      <x:c r="E343" s="31" t="inlineStr">
        <x:is>
          <x:t xml:space="preserve">Лист стальной 09Г2С 8 мм</x:t>
        </x:is>
      </x:c>
      <x:c r="F343" s="31" t="n">
        <x:v>-25.51</x:v>
      </x:c>
      <x:c r="G343" s="31" t="inlineStr">
        <x:is>
          <x:t xml:space="preserve">м</x:t>
        </x:is>
      </x:c>
      <x:c r="H343" s="31" t="inlineStr">
        <x:is>
          <x:t xml:space="preserve">ЗК-1083</x:t>
        </x:is>
      </x:c>
      <x:c r="I343" s="31" t="inlineStr">
        <x:is>
          <x:t xml:space="preserve">ПЗ-00165</x:t>
        </x:is>
      </x:c>
      <x:c r="J343" s="31" t="inlineStr">
        <x:is>
          <x:t xml:space="preserve">Основной склад</x:t>
        </x:is>
      </x:c>
      <x:c r="K343" s="31" t="inlineStr">
        <x:is>
          <x:t xml:space="preserve">СОТР-037</x:t>
        </x:is>
      </x:c>
      <x:c r="L343" s="31" t="inlineStr">
        <x:is>
          <x:t xml:space="preserve">ДОК-8792</x:t>
        </x:is>
      </x:c>
      <x:c r="M343" s="31" t="inlineStr">
        <x:is>
          <x:t xml:space="preserve">Проведен</x:t>
        </x:is>
      </x:c>
    </x:row>
    <x:row r="344">
      <x:c r="A344" s="31" t="inlineStr">
        <x:is>
          <x:t xml:space="preserve">СКЛ-000343</x:t>
        </x:is>
      </x:c>
      <x:c r="B344" s="31" t="n">
        <x:v>46062</x:v>
      </x:c>
      <x:c r="C344" s="31" t="inlineStr">
        <x:is>
          <x:t xml:space="preserve">Приход</x:t>
        </x:is>
      </x:c>
      <x:c r="D344" s="31" t="inlineStr">
        <x:is>
          <x:t xml:space="preserve">МАТ-0001</x:t>
        </x:is>
      </x:c>
      <x:c r="E344" s="31" t="inlineStr">
        <x:is>
          <x:t xml:space="preserve">Лист стальной 09Г2С 8 мм</x:t>
        </x:is>
      </x:c>
      <x:c r="F344" s="31" t="n">
        <x:v>1.59</x:v>
      </x:c>
      <x:c r="G344" s="31" t="inlineStr">
        <x:is>
          <x:t xml:space="preserve">м</x:t>
        </x:is>
      </x:c>
      <x:c r="H344" s="31" t="n"/>
      <x:c r="I344" s="31" t="n"/>
      <x:c r="J344" s="31" t="inlineStr">
        <x:is>
          <x:t xml:space="preserve">Основной склад</x:t>
        </x:is>
      </x:c>
      <x:c r="K344" s="31" t="inlineStr">
        <x:is>
          <x:t xml:space="preserve">СОТР-033</x:t>
        </x:is>
      </x:c>
      <x:c r="L344" s="31" t="inlineStr">
        <x:is>
          <x:t xml:space="preserve">ДОК-9076</x:t>
        </x:is>
      </x:c>
      <x:c r="M344" s="31" t="inlineStr">
        <x:is>
          <x:t xml:space="preserve">Проведен</x:t>
        </x:is>
      </x:c>
    </x:row>
    <x:row r="345">
      <x:c r="A345" s="31" t="inlineStr">
        <x:is>
          <x:t xml:space="preserve">СКЛ-000344</x:t>
        </x:is>
      </x:c>
      <x:c r="B345" s="31" t="n">
        <x:v>46197</x:v>
      </x:c>
      <x:c r="C345" s="31" t="inlineStr">
        <x:is>
          <x:t xml:space="preserve">Резерв</x:t>
        </x:is>
      </x:c>
      <x:c r="D345" s="31" t="inlineStr">
        <x:is>
          <x:t xml:space="preserve">МАТ-0012</x:t>
        </x:is>
      </x:c>
      <x:c r="E345" s="31" t="inlineStr">
        <x:is>
          <x:t xml:space="preserve">Фланец Ду80 Ру16</x:t>
        </x:is>
      </x:c>
      <x:c r="F345" s="31" t="n">
        <x:v>-9.24</x:v>
      </x:c>
      <x:c r="G345" s="31" t="inlineStr">
        <x:is>
          <x:t xml:space="preserve">л</x:t>
        </x:is>
      </x:c>
      <x:c r="H345" s="31" t="inlineStr">
        <x:is>
          <x:t xml:space="preserve">ЗК-1078</x:t>
        </x:is>
      </x:c>
      <x:c r="I345" s="31" t="n"/>
      <x:c r="J345" s="31" t="inlineStr">
        <x:is>
          <x:t xml:space="preserve">Цеховой склад</x:t>
        </x:is>
      </x:c>
      <x:c r="K345" s="31" t="inlineStr">
        <x:is>
          <x:t xml:space="preserve">СОТР-033</x:t>
        </x:is>
      </x:c>
      <x:c r="L345" s="31" t="inlineStr">
        <x:is>
          <x:t xml:space="preserve">ДОК-2696</x:t>
        </x:is>
      </x:c>
      <x:c r="M345" s="31" t="inlineStr">
        <x:is>
          <x:t xml:space="preserve">Проведен</x:t>
        </x:is>
      </x:c>
    </x:row>
    <x:row r="346">
      <x:c r="A346" s="31" t="inlineStr">
        <x:is>
          <x:t xml:space="preserve">СКЛ-000345</x:t>
        </x:is>
      </x:c>
      <x:c r="B346" s="31" t="n">
        <x:v>46054</x:v>
      </x:c>
      <x:c r="C346" s="31" t="inlineStr">
        <x:is>
          <x:t xml:space="preserve">Приход</x:t>
        </x:is>
      </x:c>
      <x:c r="D346" s="31" t="inlineStr">
        <x:is>
          <x:t xml:space="preserve">МАТ-0058</x:t>
        </x:is>
      </x:c>
      <x:c r="E346" s="31" t="inlineStr">
        <x:is>
          <x:t xml:space="preserve">Задвижка Ду100 / исп.3</x:t>
        </x:is>
      </x:c>
      <x:c r="F346" s="31" t="n">
        <x:v>8</x:v>
      </x:c>
      <x:c r="G346" s="31" t="inlineStr">
        <x:is>
          <x:t xml:space="preserve">шт</x:t>
        </x:is>
      </x:c>
      <x:c r="H346" s="31" t="n"/>
      <x:c r="I346" s="31" t="n"/>
      <x:c r="J346" s="31" t="inlineStr">
        <x:is>
          <x:t xml:space="preserve">Основной склад</x:t>
        </x:is>
      </x:c>
      <x:c r="K346" s="31" t="inlineStr">
        <x:is>
          <x:t xml:space="preserve">СОТР-033</x:t>
        </x:is>
      </x:c>
      <x:c r="L346" s="31" t="inlineStr">
        <x:is>
          <x:t xml:space="preserve">ДОК-8455</x:t>
        </x:is>
      </x:c>
      <x:c r="M346" s="31" t="inlineStr">
        <x:is>
          <x:t xml:space="preserve">Проведен</x:t>
        </x:is>
      </x:c>
    </x:row>
    <x:row r="347">
      <x:c r="A347" s="31" t="inlineStr">
        <x:is>
          <x:t xml:space="preserve">СКЛ-000346</x:t>
        </x:is>
      </x:c>
      <x:c r="B347" s="31" t="n">
        <x:v>46181</x:v>
      </x:c>
      <x:c r="C347" s="31" t="inlineStr">
        <x:is>
          <x:t xml:space="preserve">Корректировка</x:t>
        </x:is>
      </x:c>
      <x:c r="D347" s="31" t="inlineStr">
        <x:is>
          <x:t xml:space="preserve">МАТ-0032</x:t>
        </x:is>
      </x:c>
      <x:c r="E347" s="31" t="inlineStr">
        <x:is>
          <x:t xml:space="preserve">Датчик температуры Пт100</x:t>
        </x:is>
      </x:c>
      <x:c r="F347" s="31" t="n">
        <x:v>16</x:v>
      </x:c>
      <x:c r="G347" s="31" t="inlineStr">
        <x:is>
          <x:t xml:space="preserve">шт</x:t>
        </x:is>
      </x:c>
      <x:c r="H347" s="31" t="n"/>
      <x:c r="I347" s="31" t="n"/>
      <x:c r="J347" s="31" t="inlineStr">
        <x:is>
          <x:t xml:space="preserve">Основной склад</x:t>
        </x:is>
      </x:c>
      <x:c r="K347" s="31" t="inlineStr">
        <x:is>
          <x:t xml:space="preserve">СОТР-038</x:t>
        </x:is>
      </x:c>
      <x:c r="L347" s="31" t="inlineStr">
        <x:is>
          <x:t xml:space="preserve">ДОК-5252</x:t>
        </x:is>
      </x:c>
      <x:c r="M347" s="31" t="inlineStr">
        <x:is>
          <x:t xml:space="preserve">Проведен</x:t>
        </x:is>
      </x:c>
    </x:row>
    <x:row r="348">
      <x:c r="A348" s="31" t="inlineStr">
        <x:is>
          <x:t xml:space="preserve">СКЛ-000347</x:t>
        </x:is>
      </x:c>
      <x:c r="B348" s="31" t="n">
        <x:v>46064</x:v>
      </x:c>
      <x:c r="C348" s="31" t="inlineStr">
        <x:is>
          <x:t xml:space="preserve">Выдача в производство</x:t>
        </x:is>
      </x:c>
      <x:c r="D348" s="31" t="inlineStr">
        <x:is>
          <x:t xml:space="preserve">МАТ-0009</x:t>
        </x:is>
      </x:c>
      <x:c r="E348" s="31" t="inlineStr">
        <x:is>
          <x:t xml:space="preserve">Фланец Ду50 Ру16</x:t>
        </x:is>
      </x:c>
      <x:c r="F348" s="31" t="n">
        <x:v>-23.97</x:v>
      </x:c>
      <x:c r="G348" s="31" t="inlineStr">
        <x:is>
          <x:t xml:space="preserve">л</x:t>
        </x:is>
      </x:c>
      <x:c r="H348" s="31" t="inlineStr">
        <x:is>
          <x:t xml:space="preserve">ЗК-1130</x:t>
        </x:is>
      </x:c>
      <x:c r="I348" s="31" t="inlineStr">
        <x:is>
          <x:t xml:space="preserve">ПЗ-00163</x:t>
        </x:is>
      </x:c>
      <x:c r="J348" s="31" t="inlineStr">
        <x:is>
          <x:t xml:space="preserve">Цеховой склад</x:t>
        </x:is>
      </x:c>
      <x:c r="K348" s="31" t="inlineStr">
        <x:is>
          <x:t xml:space="preserve">СОТР-024</x:t>
        </x:is>
      </x:c>
      <x:c r="L348" s="31" t="inlineStr">
        <x:is>
          <x:t xml:space="preserve">ДОК-8171</x:t>
        </x:is>
      </x:c>
      <x:c r="M348" s="31" t="inlineStr">
        <x:is>
          <x:t xml:space="preserve">Проведен</x:t>
        </x:is>
      </x:c>
    </x:row>
    <x:row r="349">
      <x:c r="A349" s="31" t="inlineStr">
        <x:is>
          <x:t xml:space="preserve">СКЛ-000348</x:t>
        </x:is>
      </x:c>
      <x:c r="B349" s="31" t="n">
        <x:v>46062</x:v>
      </x:c>
      <x:c r="C349" s="31" t="inlineStr">
        <x:is>
          <x:t xml:space="preserve">Возврат</x:t>
        </x:is>
      </x:c>
      <x:c r="D349" s="31" t="inlineStr">
        <x:is>
          <x:t xml:space="preserve">МАТ-0020</x:t>
        </x:is>
      </x:c>
      <x:c r="E349" s="31" t="inlineStr">
        <x:is>
          <x:t xml:space="preserve">Насос дозировочный / исп.2</x:t>
        </x:is>
      </x:c>
      <x:c r="F349" s="31" t="n">
        <x:v>3</x:v>
      </x:c>
      <x:c r="G349" s="31" t="inlineStr">
        <x:is>
          <x:t xml:space="preserve">шт</x:t>
        </x:is>
      </x:c>
      <x:c r="H349" s="31" t="n"/>
      <x:c r="I349" s="31" t="n"/>
      <x:c r="J349" s="31" t="inlineStr">
        <x:is>
          <x:t xml:space="preserve">Основной склад</x:t>
        </x:is>
      </x:c>
      <x:c r="K349" s="31" t="inlineStr">
        <x:is>
          <x:t xml:space="preserve">СОТР-036</x:t>
        </x:is>
      </x:c>
      <x:c r="L349" s="31" t="inlineStr">
        <x:is>
          <x:t xml:space="preserve">ДОК-4371</x:t>
        </x:is>
      </x:c>
      <x:c r="M349" s="31" t="inlineStr">
        <x:is>
          <x:t xml:space="preserve">Проведен</x:t>
        </x:is>
      </x:c>
    </x:row>
    <x:row r="350">
      <x:c r="A350" s="31" t="inlineStr">
        <x:is>
          <x:t xml:space="preserve">СКЛ-000349</x:t>
        </x:is>
      </x:c>
      <x:c r="B350" s="31" t="n">
        <x:v>46062</x:v>
      </x:c>
      <x:c r="C350" s="31" t="inlineStr">
        <x:is>
          <x:t xml:space="preserve">Приход</x:t>
        </x:is>
      </x:c>
      <x:c r="D350" s="31" t="inlineStr">
        <x:is>
          <x:t xml:space="preserve">МАТ-0089</x:t>
        </x:is>
      </x:c>
      <x:c r="E350" s="31" t="inlineStr">
        <x:is>
          <x:t xml:space="preserve">Маркировочная этикетка</x:t>
        </x:is>
      </x:c>
      <x:c r="F350" s="31" t="n">
        <x:v>3</x:v>
      </x:c>
      <x:c r="G350" s="31" t="inlineStr">
        <x:is>
          <x:t xml:space="preserve">шт</x:t>
        </x:is>
      </x:c>
      <x:c r="H350" s="31" t="n"/>
      <x:c r="I350" s="31" t="n"/>
      <x:c r="J350" s="31" t="inlineStr">
        <x:is>
          <x:t xml:space="preserve">Основной склад</x:t>
        </x:is>
      </x:c>
      <x:c r="K350" s="31" t="inlineStr">
        <x:is>
          <x:t xml:space="preserve">СОТР-039</x:t>
        </x:is>
      </x:c>
      <x:c r="L350" s="31" t="inlineStr">
        <x:is>
          <x:t xml:space="preserve">ДОК-6195</x:t>
        </x:is>
      </x:c>
      <x:c r="M350" s="31" t="inlineStr">
        <x:is>
          <x:t xml:space="preserve">Проведен</x:t>
        </x:is>
      </x:c>
    </x:row>
    <x:row r="351">
      <x:c r="A351" s="31" t="inlineStr">
        <x:is>
          <x:t xml:space="preserve">СКЛ-000350</x:t>
        </x:is>
      </x:c>
      <x:c r="B351" s="31" t="n">
        <x:v>46101</x:v>
      </x:c>
      <x:c r="C351" s="31" t="inlineStr">
        <x:is>
          <x:t xml:space="preserve">Резерв</x:t>
        </x:is>
      </x:c>
      <x:c r="D351" s="31" t="inlineStr">
        <x:is>
          <x:t xml:space="preserve">МАТ-0085</x:t>
        </x:is>
      </x:c>
      <x:c r="E351" s="31" t="inlineStr">
        <x:is>
          <x:t xml:space="preserve">Пленка стрейч</x:t>
        </x:is>
      </x:c>
      <x:c r="F351" s="31" t="n">
        <x:v>-5</x:v>
      </x:c>
      <x:c r="G351" s="31" t="inlineStr">
        <x:is>
          <x:t xml:space="preserve">шт</x:t>
        </x:is>
      </x:c>
      <x:c r="H351" s="31" t="inlineStr">
        <x:is>
          <x:t xml:space="preserve">ЗК-1090</x:t>
        </x:is>
      </x:c>
      <x:c r="I351" s="31" t="n"/>
      <x:c r="J351" s="31" t="inlineStr">
        <x:is>
          <x:t xml:space="preserve">Брак/карантин</x:t>
        </x:is>
      </x:c>
      <x:c r="K351" s="31" t="inlineStr">
        <x:is>
          <x:t xml:space="preserve">СОТР-034</x:t>
        </x:is>
      </x:c>
      <x:c r="L351" s="31" t="inlineStr">
        <x:is>
          <x:t xml:space="preserve">ДОК-3079</x:t>
        </x:is>
      </x:c>
      <x:c r="M351" s="31" t="inlineStr">
        <x:is>
          <x:t xml:space="preserve">Проведен</x:t>
        </x:is>
      </x:c>
    </x:row>
    <x:row r="352">
      <x:c r="A352" s="31" t="inlineStr">
        <x:is>
          <x:t xml:space="preserve">СКЛ-000351</x:t>
        </x:is>
      </x:c>
      <x:c r="B352" s="31" t="n">
        <x:v>46051</x:v>
      </x:c>
      <x:c r="C352" s="31" t="inlineStr">
        <x:is>
          <x:t xml:space="preserve">Выдача в производство</x:t>
        </x:is>
      </x:c>
      <x:c r="D352" s="31" t="inlineStr">
        <x:is>
          <x:t xml:space="preserve">МАТ-0008</x:t>
        </x:is>
      </x:c>
      <x:c r="E352" s="31" t="inlineStr">
        <x:is>
          <x:t xml:space="preserve">Швеллер 12П</x:t>
        </x:is>
      </x:c>
      <x:c r="F352" s="31" t="n">
        <x:v>-3</x:v>
      </x:c>
      <x:c r="G352" s="31" t="inlineStr">
        <x:is>
          <x:t xml:space="preserve">шт</x:t>
        </x:is>
      </x:c>
      <x:c r="H352" s="31" t="inlineStr">
        <x:is>
          <x:t xml:space="preserve">ЗК-1057</x:t>
        </x:is>
      </x:c>
      <x:c r="I352" s="31" t="inlineStr">
        <x:is>
          <x:t xml:space="preserve">ПЗ-00065</x:t>
        </x:is>
      </x:c>
      <x:c r="J352" s="31" t="inlineStr">
        <x:is>
          <x:t xml:space="preserve">Основной склад</x:t>
        </x:is>
      </x:c>
      <x:c r="K352" s="31" t="inlineStr">
        <x:is>
          <x:t xml:space="preserve">СОТР-036</x:t>
        </x:is>
      </x:c>
      <x:c r="L352" s="31" t="inlineStr">
        <x:is>
          <x:t xml:space="preserve">ДОК-7559</x:t>
        </x:is>
      </x:c>
      <x:c r="M352" s="31" t="inlineStr">
        <x:is>
          <x:t xml:space="preserve">Проведен</x:t>
        </x:is>
      </x:c>
    </x:row>
    <x:row r="353">
      <x:c r="A353" s="31" t="inlineStr">
        <x:is>
          <x:t xml:space="preserve">СКЛ-000352</x:t>
        </x:is>
      </x:c>
      <x:c r="B353" s="31" t="n">
        <x:v>46120</x:v>
      </x:c>
      <x:c r="C353" s="31" t="inlineStr">
        <x:is>
          <x:t xml:space="preserve">Возврат</x:t>
        </x:is>
      </x:c>
      <x:c r="D353" s="31" t="inlineStr">
        <x:is>
          <x:t xml:space="preserve">МАТ-0067</x:t>
        </x:is>
      </x:c>
      <x:c r="E353" s="31" t="inlineStr">
        <x:is>
          <x:t xml:space="preserve">Кабельный ввод М20</x:t>
        </x:is>
      </x:c>
      <x:c r="F353" s="31" t="n">
        <x:v>75.37</x:v>
      </x:c>
      <x:c r="G353" s="31" t="inlineStr">
        <x:is>
          <x:t xml:space="preserve">кг</x:t>
        </x:is>
      </x:c>
      <x:c r="H353" s="31" t="n"/>
      <x:c r="I353" s="31" t="n"/>
      <x:c r="J353" s="31" t="inlineStr">
        <x:is>
          <x:t xml:space="preserve">Основной склад</x:t>
        </x:is>
      </x:c>
      <x:c r="K353" s="31" t="inlineStr">
        <x:is>
          <x:t xml:space="preserve">СОТР-037</x:t>
        </x:is>
      </x:c>
      <x:c r="L353" s="31" t="inlineStr">
        <x:is>
          <x:t xml:space="preserve">ДОК-3438</x:t>
        </x:is>
      </x:c>
      <x:c r="M353" s="31" t="inlineStr">
        <x:is>
          <x:t xml:space="preserve">Проведен</x:t>
        </x:is>
      </x:c>
    </x:row>
    <x:row r="354">
      <x:c r="A354" s="31" t="inlineStr">
        <x:is>
          <x:t xml:space="preserve">СКЛ-000353</x:t>
        </x:is>
      </x:c>
      <x:c r="B354" s="31" t="n">
        <x:v>46047</x:v>
      </x:c>
      <x:c r="C354" s="31" t="inlineStr">
        <x:is>
          <x:t xml:space="preserve">Резерв</x:t>
        </x:is>
      </x:c>
      <x:c r="D354" s="31" t="inlineStr">
        <x:is>
          <x:t xml:space="preserve">МАТ-0089</x:t>
        </x:is>
      </x:c>
      <x:c r="E354" s="31" t="inlineStr">
        <x:is>
          <x:t xml:space="preserve">Маркировочная этикетка</x:t>
        </x:is>
      </x:c>
      <x:c r="F354" s="31" t="n">
        <x:v>-5</x:v>
      </x:c>
      <x:c r="G354" s="31" t="inlineStr">
        <x:is>
          <x:t xml:space="preserve">шт</x:t>
        </x:is>
      </x:c>
      <x:c r="H354" s="31" t="inlineStr">
        <x:is>
          <x:t xml:space="preserve">ЗК-1064</x:t>
        </x:is>
      </x:c>
      <x:c r="I354" s="31" t="n"/>
      <x:c r="J354" s="31" t="inlineStr">
        <x:is>
          <x:t xml:space="preserve">Цеховой склад</x:t>
        </x:is>
      </x:c>
      <x:c r="K354" s="31" t="inlineStr">
        <x:is>
          <x:t xml:space="preserve">СОТР-039</x:t>
        </x:is>
      </x:c>
      <x:c r="L354" s="31" t="inlineStr">
        <x:is>
          <x:t xml:space="preserve">ДОК-5696</x:t>
        </x:is>
      </x:c>
      <x:c r="M354" s="31" t="inlineStr">
        <x:is>
          <x:t xml:space="preserve">Проведен</x:t>
        </x:is>
      </x:c>
    </x:row>
    <x:row r="355">
      <x:c r="A355" s="31" t="inlineStr">
        <x:is>
          <x:t xml:space="preserve">СКЛ-000354</x:t>
        </x:is>
      </x:c>
      <x:c r="B355" s="31" t="n">
        <x:v>46056</x:v>
      </x:c>
      <x:c r="C355" s="31" t="inlineStr">
        <x:is>
          <x:t xml:space="preserve">Приход</x:t>
        </x:is>
      </x:c>
      <x:c r="D355" s="31" t="inlineStr">
        <x:is>
          <x:t xml:space="preserve">МАТ-0042</x:t>
        </x:is>
      </x:c>
      <x:c r="E355" s="31" t="inlineStr">
        <x:is>
          <x:t xml:space="preserve">модуль аналогового входа 4 канала / исп.3</x:t>
        </x:is>
      </x:c>
      <x:c r="F355" s="31" t="n">
        <x:v>8</x:v>
      </x:c>
      <x:c r="G355" s="31" t="inlineStr">
        <x:is>
          <x:t xml:space="preserve">шт</x:t>
        </x:is>
      </x:c>
      <x:c r="H355" s="31" t="n"/>
      <x:c r="I355" s="31" t="n"/>
      <x:c r="J355" s="31" t="inlineStr">
        <x:is>
          <x:t xml:space="preserve">Брак/карантин</x:t>
        </x:is>
      </x:c>
      <x:c r="K355" s="31" t="inlineStr">
        <x:is>
          <x:t xml:space="preserve">СОТР-036</x:t>
        </x:is>
      </x:c>
      <x:c r="L355" s="31" t="inlineStr">
        <x:is>
          <x:t xml:space="preserve">ДОК-6152</x:t>
        </x:is>
      </x:c>
      <x:c r="M355" s="31" t="inlineStr">
        <x:is>
          <x:t xml:space="preserve">Проведен</x:t>
        </x:is>
      </x:c>
    </x:row>
    <x:row r="356">
      <x:c r="A356" s="31" t="inlineStr">
        <x:is>
          <x:t xml:space="preserve">СКЛ-000355</x:t>
        </x:is>
      </x:c>
      <x:c r="B356" s="31" t="n">
        <x:v>46085</x:v>
      </x:c>
      <x:c r="C356" s="31" t="inlineStr">
        <x:is>
          <x:t xml:space="preserve">Выдача в производство</x:t>
        </x:is>
      </x:c>
      <x:c r="D356" s="31" t="inlineStr">
        <x:is>
          <x:t xml:space="preserve">МАТ-0005</x:t>
        </x:is>
      </x:c>
      <x:c r="E356" s="31" t="inlineStr">
        <x:is>
          <x:t xml:space="preserve">Труба бесшовная 57×4</x:t>
        </x:is>
      </x:c>
      <x:c r="F356" s="31" t="n">
        <x:v>-9.17</x:v>
      </x:c>
      <x:c r="G356" s="31" t="inlineStr">
        <x:is>
          <x:t xml:space="preserve">м</x:t>
        </x:is>
      </x:c>
      <x:c r="H356" s="31" t="inlineStr">
        <x:is>
          <x:t xml:space="preserve">ЗК-1128</x:t>
        </x:is>
      </x:c>
      <x:c r="I356" s="31" t="inlineStr">
        <x:is>
          <x:t xml:space="preserve">ПЗ-00148</x:t>
        </x:is>
      </x:c>
      <x:c r="J356" s="31" t="inlineStr">
        <x:is>
          <x:t xml:space="preserve">Основной склад</x:t>
        </x:is>
      </x:c>
      <x:c r="K356" s="31" t="inlineStr">
        <x:is>
          <x:t xml:space="preserve">СОТР-033</x:t>
        </x:is>
      </x:c>
      <x:c r="L356" s="31" t="inlineStr">
        <x:is>
          <x:t xml:space="preserve">ДОК-4666</x:t>
        </x:is>
      </x:c>
      <x:c r="M356" s="31" t="inlineStr">
        <x:is>
          <x:t xml:space="preserve">Проведен</x:t>
        </x:is>
      </x:c>
    </x:row>
    <x:row r="357">
      <x:c r="A357" s="31" t="inlineStr">
        <x:is>
          <x:t xml:space="preserve">СКЛ-000356</x:t>
        </x:is>
      </x:c>
      <x:c r="B357" s="31" t="n">
        <x:v>46158</x:v>
      </x:c>
      <x:c r="C357" s="31" t="inlineStr">
        <x:is>
          <x:t xml:space="preserve">Выдача в производство</x:t>
        </x:is>
      </x:c>
      <x:c r="D357" s="31" t="inlineStr">
        <x:is>
          <x:t xml:space="preserve">МАТ-0038</x:t>
        </x:is>
      </x:c>
      <x:c r="E357" s="31" t="inlineStr">
        <x:is>
          <x:t xml:space="preserve">ПЛК 24 дискр. входа / 16 дискр. выхода</x:t>
        </x:is>
      </x:c>
      <x:c r="F357" s="31" t="n">
        <x:v>-1</x:v>
      </x:c>
      <x:c r="G357" s="31" t="inlineStr">
        <x:is>
          <x:t xml:space="preserve">шт</x:t>
        </x:is>
      </x:c>
      <x:c r="H357" s="31" t="inlineStr">
        <x:is>
          <x:t xml:space="preserve">ЗК-1050</x:t>
        </x:is>
      </x:c>
      <x:c r="I357" s="31" t="inlineStr">
        <x:is>
          <x:t xml:space="preserve">ПЗ-00054</x:t>
        </x:is>
      </x:c>
      <x:c r="J357" s="31" t="inlineStr">
        <x:is>
          <x:t xml:space="preserve">Основной склад</x:t>
        </x:is>
      </x:c>
      <x:c r="K357" s="31" t="inlineStr">
        <x:is>
          <x:t xml:space="preserve">СОТР-024</x:t>
        </x:is>
      </x:c>
      <x:c r="L357" s="31" t="inlineStr">
        <x:is>
          <x:t xml:space="preserve">ДОК-8922</x:t>
        </x:is>
      </x:c>
      <x:c r="M357" s="31" t="inlineStr">
        <x:is>
          <x:t xml:space="preserve">Проведен</x:t>
        </x:is>
      </x:c>
    </x:row>
    <x:row r="358">
      <x:c r="A358" s="31" t="inlineStr">
        <x:is>
          <x:t xml:space="preserve">СКЛ-000357</x:t>
        </x:is>
      </x:c>
      <x:c r="B358" s="31" t="n">
        <x:v>46146</x:v>
      </x:c>
      <x:c r="C358" s="31" t="inlineStr">
        <x:is>
          <x:t xml:space="preserve">Возврат</x:t>
        </x:is>
      </x:c>
      <x:c r="D358" s="31" t="inlineStr">
        <x:is>
          <x:t xml:space="preserve">МАТ-0074</x:t>
        </x:is>
      </x:c>
      <x:c r="E358" s="31" t="inlineStr">
        <x:is>
          <x:t xml:space="preserve">Абразив для пескоструя</x:t>
        </x:is>
      </x:c>
      <x:c r="F358" s="31" t="n">
        <x:v>11</x:v>
      </x:c>
      <x:c r="G358" s="31" t="inlineStr">
        <x:is>
          <x:t xml:space="preserve">шт</x:t>
        </x:is>
      </x:c>
      <x:c r="H358" s="31" t="n"/>
      <x:c r="I358" s="31" t="n"/>
      <x:c r="J358" s="31" t="inlineStr">
        <x:is>
          <x:t xml:space="preserve">Цеховой склад</x:t>
        </x:is>
      </x:c>
      <x:c r="K358" s="31" t="inlineStr">
        <x:is>
          <x:t xml:space="preserve">СОТР-024</x:t>
        </x:is>
      </x:c>
      <x:c r="L358" s="31" t="inlineStr">
        <x:is>
          <x:t xml:space="preserve">ДОК-2826</x:t>
        </x:is>
      </x:c>
      <x:c r="M358" s="31" t="inlineStr">
        <x:is>
          <x:t xml:space="preserve">Проведен</x:t>
        </x:is>
      </x:c>
    </x:row>
    <x:row r="359">
      <x:c r="A359" s="31" t="inlineStr">
        <x:is>
          <x:t xml:space="preserve">СКЛ-000358</x:t>
        </x:is>
      </x:c>
      <x:c r="B359" s="31" t="n">
        <x:v>46058</x:v>
      </x:c>
      <x:c r="C359" s="31" t="inlineStr">
        <x:is>
          <x:t xml:space="preserve">Приход</x:t>
        </x:is>
      </x:c>
      <x:c r="D359" s="31" t="inlineStr">
        <x:is>
          <x:t xml:space="preserve">МАТ-0068</x:t>
        </x:is>
      </x:c>
      <x:c r="E359" s="31" t="inlineStr">
        <x:is>
          <x:t xml:space="preserve">Грунт эпоксидный</x:t>
        </x:is>
      </x:c>
      <x:c r="F359" s="31" t="n">
        <x:v>2.08</x:v>
      </x:c>
      <x:c r="G359" s="31" t="inlineStr">
        <x:is>
          <x:t xml:space="preserve">л</x:t>
        </x:is>
      </x:c>
      <x:c r="H359" s="31" t="n"/>
      <x:c r="I359" s="31" t="n"/>
      <x:c r="J359" s="31" t="inlineStr">
        <x:is>
          <x:t xml:space="preserve">Основной склад</x:t>
        </x:is>
      </x:c>
      <x:c r="K359" s="31" t="inlineStr">
        <x:is>
          <x:t xml:space="preserve">СОТР-037</x:t>
        </x:is>
      </x:c>
      <x:c r="L359" s="31" t="inlineStr">
        <x:is>
          <x:t xml:space="preserve">ДОК-5559</x:t>
        </x:is>
      </x:c>
      <x:c r="M359" s="31" t="inlineStr">
        <x:is>
          <x:t xml:space="preserve">Проведен</x:t>
        </x:is>
      </x:c>
    </x:row>
    <x:row r="360">
      <x:c r="A360" s="31" t="inlineStr">
        <x:is>
          <x:t xml:space="preserve">СКЛ-000359</x:t>
        </x:is>
      </x:c>
      <x:c r="B360" s="31" t="n">
        <x:v>46091</x:v>
      </x:c>
      <x:c r="C360" s="31" t="inlineStr">
        <x:is>
          <x:t xml:space="preserve">Резерв</x:t>
        </x:is>
      </x:c>
      <x:c r="D360" s="31" t="inlineStr">
        <x:is>
          <x:t xml:space="preserve">МАТ-0063</x:t>
        </x:is>
      </x:c>
      <x:c r="E360" s="31" t="inlineStr">
        <x:is>
          <x:t xml:space="preserve">Кабель ВВГнг 3×2.5</x:t>
        </x:is>
      </x:c>
      <x:c r="F360" s="31" t="n">
        <x:v>-8</x:v>
      </x:c>
      <x:c r="G360" s="31" t="inlineStr">
        <x:is>
          <x:t xml:space="preserve">шт</x:t>
        </x:is>
      </x:c>
      <x:c r="H360" s="31" t="inlineStr">
        <x:is>
          <x:t xml:space="preserve">ЗК-1100</x:t>
        </x:is>
      </x:c>
      <x:c r="I360" s="31" t="n"/>
      <x:c r="J360" s="31" t="inlineStr">
        <x:is>
          <x:t xml:space="preserve">Основной склад</x:t>
        </x:is>
      </x:c>
      <x:c r="K360" s="31" t="inlineStr">
        <x:is>
          <x:t xml:space="preserve">СОТР-035</x:t>
        </x:is>
      </x:c>
      <x:c r="L360" s="31" t="inlineStr">
        <x:is>
          <x:t xml:space="preserve">ДОК-7080</x:t>
        </x:is>
      </x:c>
      <x:c r="M360" s="31" t="inlineStr">
        <x:is>
          <x:t xml:space="preserve">Требует проверки</x:t>
        </x:is>
      </x:c>
    </x:row>
    <x:row r="361">
      <x:c r="A361" s="31" t="inlineStr">
        <x:is>
          <x:t xml:space="preserve">СКЛ-000360</x:t>
        </x:is>
      </x:c>
      <x:c r="B361" s="31" t="n">
        <x:v>46094</x:v>
      </x:c>
      <x:c r="C361" s="31" t="inlineStr">
        <x:is>
          <x:t xml:space="preserve">Возврат</x:t>
        </x:is>
      </x:c>
      <x:c r="D361" s="31" t="inlineStr">
        <x:is>
          <x:t xml:space="preserve">МАТ-0084</x:t>
        </x:is>
      </x:c>
      <x:c r="E361" s="31" t="inlineStr">
        <x:is>
          <x:t xml:space="preserve">Поддон 1200×800</x:t>
        </x:is>
      </x:c>
      <x:c r="F361" s="31" t="n">
        <x:v>16</x:v>
      </x:c>
      <x:c r="G361" s="31" t="inlineStr">
        <x:is>
          <x:t xml:space="preserve">шт</x:t>
        </x:is>
      </x:c>
      <x:c r="H361" s="31" t="n"/>
      <x:c r="I361" s="31" t="n"/>
      <x:c r="J361" s="31" t="inlineStr">
        <x:is>
          <x:t xml:space="preserve">Основной склад</x:t>
        </x:is>
      </x:c>
      <x:c r="K361" s="31" t="inlineStr">
        <x:is>
          <x:t xml:space="preserve">СОТР-039</x:t>
        </x:is>
      </x:c>
      <x:c r="L361" s="31" t="inlineStr">
        <x:is>
          <x:t xml:space="preserve">ДОК-1564</x:t>
        </x:is>
      </x:c>
      <x:c r="M361" s="31" t="inlineStr">
        <x:is>
          <x:t xml:space="preserve">Проведен</x:t>
        </x:is>
      </x:c>
    </x:row>
    <x:row r="362">
      <x:c r="A362" s="31" t="inlineStr">
        <x:is>
          <x:t xml:space="preserve">СКЛ-000361</x:t>
        </x:is>
      </x:c>
      <x:c r="B362" s="31" t="n">
        <x:v>46092</x:v>
      </x:c>
      <x:c r="C362" s="31" t="inlineStr">
        <x:is>
          <x:t xml:space="preserve">Выдача в производство</x:t>
        </x:is>
      </x:c>
      <x:c r="D362" s="31" t="inlineStr">
        <x:is>
          <x:t xml:space="preserve">МАТ-0055</x:t>
        </x:is>
      </x:c>
      <x:c r="E362" s="31" t="inlineStr">
        <x:is>
          <x:t xml:space="preserve">Клапан обратный Ду50</x:t>
        </x:is>
      </x:c>
      <x:c r="F362" s="31" t="n">
        <x:v>-12</x:v>
      </x:c>
      <x:c r="G362" s="31" t="inlineStr">
        <x:is>
          <x:t xml:space="preserve">шт</x:t>
        </x:is>
      </x:c>
      <x:c r="H362" s="31" t="inlineStr">
        <x:is>
          <x:t xml:space="preserve">ЗК-1072</x:t>
        </x:is>
      </x:c>
      <x:c r="I362" s="31" t="inlineStr">
        <x:is>
          <x:t xml:space="preserve">ПЗ-00080</x:t>
        </x:is>
      </x:c>
      <x:c r="J362" s="31" t="inlineStr">
        <x:is>
          <x:t xml:space="preserve">Основной склад</x:t>
        </x:is>
      </x:c>
      <x:c r="K362" s="31" t="inlineStr">
        <x:is>
          <x:t xml:space="preserve">СОТР-039</x:t>
        </x:is>
      </x:c>
      <x:c r="L362" s="31" t="inlineStr">
        <x:is>
          <x:t xml:space="preserve">ДОК-6239</x:t>
        </x:is>
      </x:c>
      <x:c r="M362" s="31" t="inlineStr">
        <x:is>
          <x:t xml:space="preserve">Проведен</x:t>
        </x:is>
      </x:c>
    </x:row>
    <x:row r="363">
      <x:c r="A363" s="31" t="inlineStr">
        <x:is>
          <x:t xml:space="preserve">СКЛ-000362</x:t>
        </x:is>
      </x:c>
      <x:c r="B363" s="31" t="n">
        <x:v>46060</x:v>
      </x:c>
      <x:c r="C363" s="31" t="inlineStr">
        <x:is>
          <x:t xml:space="preserve">Выдача в производство</x:t>
        </x:is>
      </x:c>
      <x:c r="D363" s="31" t="inlineStr">
        <x:is>
          <x:t xml:space="preserve">МАТ-0001</x:t>
        </x:is>
      </x:c>
      <x:c r="E363" s="31" t="inlineStr">
        <x:is>
          <x:t xml:space="preserve">Лист стальной 09Г2С 8 мм</x:t>
        </x:is>
      </x:c>
      <x:c r="F363" s="31" t="n">
        <x:v>-2.46</x:v>
      </x:c>
      <x:c r="G363" s="31" t="inlineStr">
        <x:is>
          <x:t xml:space="preserve">м</x:t>
        </x:is>
      </x:c>
      <x:c r="H363" s="31" t="inlineStr">
        <x:is>
          <x:t xml:space="preserve">ЗК-1046</x:t>
        </x:is>
      </x:c>
      <x:c r="I363" s="31" t="inlineStr">
        <x:is>
          <x:t xml:space="preserve">ПЗ-00243</x:t>
        </x:is>
      </x:c>
      <x:c r="J363" s="31" t="inlineStr">
        <x:is>
          <x:t xml:space="preserve">Основной склад</x:t>
        </x:is>
      </x:c>
      <x:c r="K363" s="31" t="inlineStr">
        <x:is>
          <x:t xml:space="preserve">СОТР-038</x:t>
        </x:is>
      </x:c>
      <x:c r="L363" s="31" t="inlineStr">
        <x:is>
          <x:t xml:space="preserve">ДОК-8334</x:t>
        </x:is>
      </x:c>
      <x:c r="M363" s="31" t="inlineStr">
        <x:is>
          <x:t xml:space="preserve">Проведен</x:t>
        </x:is>
      </x:c>
    </x:row>
    <x:row r="364">
      <x:c r="A364" s="31" t="inlineStr">
        <x:is>
          <x:t xml:space="preserve">СКЛ-000363</x:t>
        </x:is>
      </x:c>
      <x:c r="B364" s="31" t="n">
        <x:v>46114</x:v>
      </x:c>
      <x:c r="C364" s="31" t="inlineStr">
        <x:is>
          <x:t xml:space="preserve">Выдача в производство</x:t>
        </x:is>
      </x:c>
      <x:c r="D364" s="31" t="inlineStr">
        <x:is>
          <x:t xml:space="preserve">МАТ-0003</x:t>
        </x:is>
      </x:c>
      <x:c r="E364" s="31" t="inlineStr">
        <x:is>
          <x:t xml:space="preserve">Лист стальной 09Г2С 12 мм / исп.2</x:t>
        </x:is>
      </x:c>
      <x:c r="F364" s="31" t="n">
        <x:v>-45.61</x:v>
      </x:c>
      <x:c r="G364" s="31" t="inlineStr">
        <x:is>
          <x:t xml:space="preserve">м</x:t>
        </x:is>
      </x:c>
      <x:c r="H364" s="31" t="inlineStr">
        <x:is>
          <x:t xml:space="preserve">ЗК-1071</x:t>
        </x:is>
      </x:c>
      <x:c r="I364" s="31" t="inlineStr">
        <x:is>
          <x:t xml:space="preserve">ПЗ-00087</x:t>
        </x:is>
      </x:c>
      <x:c r="J364" s="31" t="inlineStr">
        <x:is>
          <x:t xml:space="preserve">Цеховой склад</x:t>
        </x:is>
      </x:c>
      <x:c r="K364" s="31" t="inlineStr">
        <x:is>
          <x:t xml:space="preserve">СОТР-037</x:t>
        </x:is>
      </x:c>
      <x:c r="L364" s="31" t="inlineStr">
        <x:is>
          <x:t xml:space="preserve">ДОК-1532</x:t>
        </x:is>
      </x:c>
      <x:c r="M364" s="31" t="inlineStr">
        <x:is>
          <x:t xml:space="preserve">Проведен</x:t>
        </x:is>
      </x:c>
    </x:row>
    <x:row r="365">
      <x:c r="A365" s="31" t="inlineStr">
        <x:is>
          <x:t xml:space="preserve">СКЛ-000364</x:t>
        </x:is>
      </x:c>
      <x:c r="B365" s="31" t="n">
        <x:v>46048</x:v>
      </x:c>
      <x:c r="C365" s="31" t="inlineStr">
        <x:is>
          <x:t xml:space="preserve">Списание</x:t>
        </x:is>
      </x:c>
      <x:c r="D365" s="31" t="inlineStr">
        <x:is>
          <x:t xml:space="preserve">МАТ-0062</x:t>
        </x:is>
      </x:c>
      <x:c r="E365" s="31" t="inlineStr">
        <x:is>
          <x:t xml:space="preserve">Кабель КВВГ 4×1.5</x:t>
        </x:is>
      </x:c>
      <x:c r="F365" s="31" t="n">
        <x:v>-13.1</x:v>
      </x:c>
      <x:c r="G365" s="31" t="inlineStr">
        <x:is>
          <x:t xml:space="preserve">м</x:t>
        </x:is>
      </x:c>
      <x:c r="H365" s="31" t="n"/>
      <x:c r="I365" s="31" t="n"/>
      <x:c r="J365" s="31" t="inlineStr">
        <x:is>
          <x:t xml:space="preserve">Основной склад</x:t>
        </x:is>
      </x:c>
      <x:c r="K365" s="31" t="inlineStr">
        <x:is>
          <x:t xml:space="preserve">СОТР-039</x:t>
        </x:is>
      </x:c>
      <x:c r="L365" s="31" t="inlineStr">
        <x:is>
          <x:t xml:space="preserve">ДОК-3511</x:t>
        </x:is>
      </x:c>
      <x:c r="M365" s="31" t="inlineStr">
        <x:is>
          <x:t xml:space="preserve">Проведен</x:t>
        </x:is>
      </x:c>
    </x:row>
    <x:row r="366">
      <x:c r="A366" s="31" t="inlineStr">
        <x:is>
          <x:t xml:space="preserve">СКЛ-000365</x:t>
        </x:is>
      </x:c>
      <x:c r="B366" s="31" t="n">
        <x:v>46186</x:v>
      </x:c>
      <x:c r="C366" s="31" t="inlineStr">
        <x:is>
          <x:t xml:space="preserve">Приход</x:t>
        </x:is>
      </x:c>
      <x:c r="D366" s="31" t="inlineStr">
        <x:is>
          <x:t xml:space="preserve">МАТ-0065</x:t>
        </x:is>
      </x:c>
      <x:c r="E366" s="31" t="inlineStr">
        <x:is>
          <x:t xml:space="preserve">Гофра металлическая</x:t>
        </x:is>
      </x:c>
      <x:c r="F366" s="31" t="n">
        <x:v>7</x:v>
      </x:c>
      <x:c r="G366" s="31" t="inlineStr">
        <x:is>
          <x:t xml:space="preserve">шт</x:t>
        </x:is>
      </x:c>
      <x:c r="H366" s="31" t="n"/>
      <x:c r="I366" s="31" t="n"/>
      <x:c r="J366" s="31" t="inlineStr">
        <x:is>
          <x:t xml:space="preserve">Основной склад</x:t>
        </x:is>
      </x:c>
      <x:c r="K366" s="31" t="inlineStr">
        <x:is>
          <x:t xml:space="preserve">СОТР-034</x:t>
        </x:is>
      </x:c>
      <x:c r="L366" s="31" t="inlineStr">
        <x:is>
          <x:t xml:space="preserve">ДОК-5718</x:t>
        </x:is>
      </x:c>
      <x:c r="M366" s="31" t="inlineStr">
        <x:is>
          <x:t xml:space="preserve">Проведен</x:t>
        </x:is>
      </x:c>
    </x:row>
    <x:row r="367">
      <x:c r="A367" s="31" t="inlineStr">
        <x:is>
          <x:t xml:space="preserve">СКЛ-000366</x:t>
        </x:is>
      </x:c>
      <x:c r="B367" s="31" t="n">
        <x:v>46119</x:v>
      </x:c>
      <x:c r="C367" s="31" t="inlineStr">
        <x:is>
          <x:t xml:space="preserve">Приход</x:t>
        </x:is>
      </x:c>
      <x:c r="D367" s="31" t="inlineStr">
        <x:is>
          <x:t xml:space="preserve">МАТ-0082</x:t>
        </x:is>
      </x:c>
      <x:c r="E367" s="31" t="inlineStr">
        <x:is>
          <x:t xml:space="preserve">Шайба 12 / исп.2</x:t>
        </x:is>
      </x:c>
      <x:c r="F367" s="31" t="n">
        <x:v>20</x:v>
      </x:c>
      <x:c r="G367" s="31" t="inlineStr">
        <x:is>
          <x:t xml:space="preserve">шт</x:t>
        </x:is>
      </x:c>
      <x:c r="H367" s="31" t="n"/>
      <x:c r="I367" s="31" t="n"/>
      <x:c r="J367" s="31" t="inlineStr">
        <x:is>
          <x:t xml:space="preserve">Цеховой склад</x:t>
        </x:is>
      </x:c>
      <x:c r="K367" s="31" t="inlineStr">
        <x:is>
          <x:t xml:space="preserve">СОТР-024</x:t>
        </x:is>
      </x:c>
      <x:c r="L367" s="31" t="inlineStr">
        <x:is>
          <x:t xml:space="preserve">ДОК-7246</x:t>
        </x:is>
      </x:c>
      <x:c r="M367" s="31" t="inlineStr">
        <x:is>
          <x:t xml:space="preserve">Проведен</x:t>
        </x:is>
      </x:c>
    </x:row>
    <x:row r="368">
      <x:c r="A368" s="31" t="inlineStr">
        <x:is>
          <x:t xml:space="preserve">СКЛ-000367</x:t>
        </x:is>
      </x:c>
      <x:c r="B368" s="31" t="n">
        <x:v>46167</x:v>
      </x:c>
      <x:c r="C368" s="31" t="inlineStr">
        <x:is>
          <x:t xml:space="preserve">Выдача в производство</x:t>
        </x:is>
      </x:c>
      <x:c r="D368" s="31" t="inlineStr">
        <x:is>
          <x:t xml:space="preserve">МАТ-0063</x:t>
        </x:is>
      </x:c>
      <x:c r="E368" s="31" t="inlineStr">
        <x:is>
          <x:t xml:space="preserve">Кабель ВВГнг 3×2.5</x:t>
        </x:is>
      </x:c>
      <x:c r="F368" s="31" t="n">
        <x:v>-17</x:v>
      </x:c>
      <x:c r="G368" s="31" t="inlineStr">
        <x:is>
          <x:t xml:space="preserve">шт</x:t>
        </x:is>
      </x:c>
      <x:c r="H368" s="31" t="inlineStr">
        <x:is>
          <x:t xml:space="preserve">ЗК-1123</x:t>
        </x:is>
      </x:c>
      <x:c r="I368" s="31" t="inlineStr">
        <x:is>
          <x:t xml:space="preserve">ПЗ-00014</x:t>
        </x:is>
      </x:c>
      <x:c r="J368" s="31" t="inlineStr">
        <x:is>
          <x:t xml:space="preserve">Брак/карантин</x:t>
        </x:is>
      </x:c>
      <x:c r="K368" s="31" t="inlineStr">
        <x:is>
          <x:t xml:space="preserve">СОТР-024</x:t>
        </x:is>
      </x:c>
      <x:c r="L368" s="31" t="inlineStr">
        <x:is>
          <x:t xml:space="preserve">ДОК-7451</x:t>
        </x:is>
      </x:c>
      <x:c r="M368" s="31" t="inlineStr">
        <x:is>
          <x:t xml:space="preserve">Проведен</x:t>
        </x:is>
      </x:c>
    </x:row>
    <x:row r="369">
      <x:c r="A369" s="31" t="inlineStr">
        <x:is>
          <x:t xml:space="preserve">СКЛ-000368</x:t>
        </x:is>
      </x:c>
      <x:c r="B369" s="31" t="n">
        <x:v>46069</x:v>
      </x:c>
      <x:c r="C369" s="31" t="inlineStr">
        <x:is>
          <x:t xml:space="preserve">Приход</x:t>
        </x:is>
      </x:c>
      <x:c r="D369" s="31" t="inlineStr">
        <x:is>
          <x:t xml:space="preserve">МАТ-0026</x:t>
        </x:is>
      </x:c>
      <x:c r="E369" s="31" t="inlineStr">
        <x:is>
          <x:t xml:space="preserve">Двигатель 15 кВт</x:t>
        </x:is>
      </x:c>
      <x:c r="F369" s="31" t="n">
        <x:v>4</x:v>
      </x:c>
      <x:c r="G369" s="31" t="inlineStr">
        <x:is>
          <x:t xml:space="preserve">шт</x:t>
        </x:is>
      </x:c>
      <x:c r="H369" s="31" t="n"/>
      <x:c r="I369" s="31" t="n"/>
      <x:c r="J369" s="31" t="inlineStr">
        <x:is>
          <x:t xml:space="preserve">Брак/карантин</x:t>
        </x:is>
      </x:c>
      <x:c r="K369" s="31" t="inlineStr">
        <x:is>
          <x:t xml:space="preserve">СОТР-033</x:t>
        </x:is>
      </x:c>
      <x:c r="L369" s="31" t="inlineStr">
        <x:is>
          <x:t xml:space="preserve">ДОК-8542</x:t>
        </x:is>
      </x:c>
      <x:c r="M369" s="31" t="inlineStr">
        <x:is>
          <x:t xml:space="preserve">Черновик</x:t>
        </x:is>
      </x:c>
    </x:row>
    <x:row r="370">
      <x:c r="A370" s="31" t="inlineStr">
        <x:is>
          <x:t xml:space="preserve">СКЛ-000369</x:t>
        </x:is>
      </x:c>
      <x:c r="B370" s="31" t="n">
        <x:v>46084</x:v>
      </x:c>
      <x:c r="C370" s="31" t="inlineStr">
        <x:is>
          <x:t xml:space="preserve">Выдача в производство</x:t>
        </x:is>
      </x:c>
      <x:c r="D370" s="31" t="inlineStr">
        <x:is>
          <x:t xml:space="preserve">МАТ-0043</x:t>
        </x:is>
      </x:c>
      <x:c r="E370" s="31" t="inlineStr">
        <x:is>
          <x:t xml:space="preserve">Блок питания 24В</x:t>
        </x:is>
      </x:c>
      <x:c r="F370" s="31" t="n">
        <x:v>-6</x:v>
      </x:c>
      <x:c r="G370" s="31" t="inlineStr">
        <x:is>
          <x:t xml:space="preserve">шт</x:t>
        </x:is>
      </x:c>
      <x:c r="H370" s="31" t="inlineStr">
        <x:is>
          <x:t xml:space="preserve">ЗК-1109</x:t>
        </x:is>
      </x:c>
      <x:c r="I370" s="31" t="inlineStr">
        <x:is>
          <x:t xml:space="preserve">ПЗ-00077</x:t>
        </x:is>
      </x:c>
      <x:c r="J370" s="31" t="inlineStr">
        <x:is>
          <x:t xml:space="preserve">Основной склад</x:t>
        </x:is>
      </x:c>
      <x:c r="K370" s="31" t="inlineStr">
        <x:is>
          <x:t xml:space="preserve">СОТР-033</x:t>
        </x:is>
      </x:c>
      <x:c r="L370" s="31" t="inlineStr">
        <x:is>
          <x:t xml:space="preserve">ДОК-4037</x:t>
        </x:is>
      </x:c>
      <x:c r="M370" s="31" t="inlineStr">
        <x:is>
          <x:t xml:space="preserve">Проведен</x:t>
        </x:is>
      </x:c>
    </x:row>
    <x:row r="371">
      <x:c r="A371" s="31" t="inlineStr">
        <x:is>
          <x:t xml:space="preserve">СКЛ-000370</x:t>
        </x:is>
      </x:c>
      <x:c r="B371" s="31" t="n">
        <x:v>46085</x:v>
      </x:c>
      <x:c r="C371" s="31" t="inlineStr">
        <x:is>
          <x:t xml:space="preserve">Резерв</x:t>
        </x:is>
      </x:c>
      <x:c r="D371" s="31" t="inlineStr">
        <x:is>
          <x:t xml:space="preserve">МАТ-0063</x:t>
        </x:is>
      </x:c>
      <x:c r="E371" s="31" t="inlineStr">
        <x:is>
          <x:t xml:space="preserve">Кабель ВВГнг 3×2.5</x:t>
        </x:is>
      </x:c>
      <x:c r="F371" s="31" t="n">
        <x:v>-1</x:v>
      </x:c>
      <x:c r="G371" s="31" t="inlineStr">
        <x:is>
          <x:t xml:space="preserve">шт</x:t>
        </x:is>
      </x:c>
      <x:c r="H371" s="31" t="inlineStr">
        <x:is>
          <x:t xml:space="preserve">ЗК-1069</x:t>
        </x:is>
      </x:c>
      <x:c r="I371" s="31" t="n"/>
      <x:c r="J371" s="31" t="inlineStr">
        <x:is>
          <x:t xml:space="preserve">Основной склад</x:t>
        </x:is>
      </x:c>
      <x:c r="K371" s="31" t="inlineStr">
        <x:is>
          <x:t xml:space="preserve">СОТР-037</x:t>
        </x:is>
      </x:c>
      <x:c r="L371" s="31" t="inlineStr">
        <x:is>
          <x:t xml:space="preserve">ДОК-8027</x:t>
        </x:is>
      </x:c>
      <x:c r="M371" s="31" t="inlineStr">
        <x:is>
          <x:t xml:space="preserve">Проведен</x:t>
        </x:is>
      </x:c>
    </x:row>
    <x:row r="372">
      <x:c r="A372" s="31" t="inlineStr">
        <x:is>
          <x:t xml:space="preserve">СКЛ-000371</x:t>
        </x:is>
      </x:c>
      <x:c r="B372" s="31" t="n">
        <x:v>46079</x:v>
      </x:c>
      <x:c r="C372" s="31" t="inlineStr">
        <x:is>
          <x:t xml:space="preserve">Выдача в производство</x:t>
        </x:is>
      </x:c>
      <x:c r="D372" s="31" t="inlineStr">
        <x:is>
          <x:t xml:space="preserve">МАТ-0023</x:t>
        </x:is>
      </x:c>
      <x:c r="E372" s="31" t="inlineStr">
        <x:is>
          <x:t xml:space="preserve">Рабочее колесо</x:t>
        </x:is>
      </x:c>
      <x:c r="F372" s="31" t="n">
        <x:v>-3</x:v>
      </x:c>
      <x:c r="G372" s="31" t="inlineStr">
        <x:is>
          <x:t xml:space="preserve">шт</x:t>
        </x:is>
      </x:c>
      <x:c r="H372" s="31" t="inlineStr">
        <x:is>
          <x:t xml:space="preserve">ЗК-1022</x:t>
        </x:is>
      </x:c>
      <x:c r="I372" s="31" t="inlineStr">
        <x:is>
          <x:t xml:space="preserve">ПЗ-00134</x:t>
        </x:is>
      </x:c>
      <x:c r="J372" s="31" t="inlineStr">
        <x:is>
          <x:t xml:space="preserve">Основной склад</x:t>
        </x:is>
      </x:c>
      <x:c r="K372" s="31" t="inlineStr">
        <x:is>
          <x:t xml:space="preserve">СОТР-034</x:t>
        </x:is>
      </x:c>
      <x:c r="L372" s="31" t="inlineStr">
        <x:is>
          <x:t xml:space="preserve">ДОК-9139</x:t>
        </x:is>
      </x:c>
      <x:c r="M372" s="31" t="inlineStr">
        <x:is>
          <x:t xml:space="preserve">Проведен</x:t>
        </x:is>
      </x:c>
    </x:row>
    <x:row r="373">
      <x:c r="A373" s="31" t="inlineStr">
        <x:is>
          <x:t xml:space="preserve">СКЛ-000372</x:t>
        </x:is>
      </x:c>
      <x:c r="B373" s="31" t="n">
        <x:v>46111</x:v>
      </x:c>
      <x:c r="C373" s="31" t="inlineStr">
        <x:is>
          <x:t xml:space="preserve">Приход</x:t>
        </x:is>
      </x:c>
      <x:c r="D373" s="31" t="inlineStr">
        <x:is>
          <x:t xml:space="preserve">МАТ-0064</x:t>
        </x:is>
      </x:c>
      <x:c r="E373" s="31" t="inlineStr">
        <x:is>
          <x:t xml:space="preserve">Кабель ВВГнг 3×2.5 / исп.2</x:t>
        </x:is>
      </x:c>
      <x:c r="F373" s="31" t="n">
        <x:v>7</x:v>
      </x:c>
      <x:c r="G373" s="31" t="inlineStr">
        <x:is>
          <x:t xml:space="preserve">шт</x:t>
        </x:is>
      </x:c>
      <x:c r="H373" s="31" t="n"/>
      <x:c r="I373" s="31" t="n"/>
      <x:c r="J373" s="31" t="inlineStr">
        <x:is>
          <x:t xml:space="preserve">Основной склад</x:t>
        </x:is>
      </x:c>
      <x:c r="K373" s="31" t="inlineStr">
        <x:is>
          <x:t xml:space="preserve">СОТР-035</x:t>
        </x:is>
      </x:c>
      <x:c r="L373" s="31" t="inlineStr">
        <x:is>
          <x:t xml:space="preserve">ДОК-9029</x:t>
        </x:is>
      </x:c>
      <x:c r="M373" s="31" t="inlineStr">
        <x:is>
          <x:t xml:space="preserve">Проведен</x:t>
        </x:is>
      </x:c>
    </x:row>
    <x:row r="374">
      <x:c r="A374" s="31" t="inlineStr">
        <x:is>
          <x:t xml:space="preserve">СКЛ-000373</x:t>
        </x:is>
      </x:c>
      <x:c r="B374" s="31" t="n">
        <x:v>46110</x:v>
      </x:c>
      <x:c r="C374" s="31" t="inlineStr">
        <x:is>
          <x:t xml:space="preserve">Списание</x:t>
        </x:is>
      </x:c>
      <x:c r="D374" s="31" t="inlineStr">
        <x:is>
          <x:t xml:space="preserve">МАТ-0024</x:t>
        </x:is>
      </x:c>
      <x:c r="E374" s="31" t="inlineStr">
        <x:is>
          <x:t xml:space="preserve">Рабочее колесо / исп.2</x:t>
        </x:is>
      </x:c>
      <x:c r="F374" s="31" t="n">
        <x:v>-4</x:v>
      </x:c>
      <x:c r="G374" s="31" t="inlineStr">
        <x:is>
          <x:t xml:space="preserve">шт</x:t>
        </x:is>
      </x:c>
      <x:c r="H374" s="31" t="n"/>
      <x:c r="I374" s="31" t="n"/>
      <x:c r="J374" s="31" t="inlineStr">
        <x:is>
          <x:t xml:space="preserve">Цеховой склад</x:t>
        </x:is>
      </x:c>
      <x:c r="K374" s="31" t="inlineStr">
        <x:is>
          <x:t xml:space="preserve">СОТР-024</x:t>
        </x:is>
      </x:c>
      <x:c r="L374" s="31" t="inlineStr">
        <x:is>
          <x:t xml:space="preserve">ДОК-5139</x:t>
        </x:is>
      </x:c>
      <x:c r="M374" s="31" t="inlineStr">
        <x:is>
          <x:t xml:space="preserve">Проведен</x:t>
        </x:is>
      </x:c>
    </x:row>
    <x:row r="375">
      <x:c r="A375" s="31" t="inlineStr">
        <x:is>
          <x:t xml:space="preserve">СКЛ-000374</x:t>
        </x:is>
      </x:c>
      <x:c r="B375" s="31" t="n">
        <x:v>46125</x:v>
      </x:c>
      <x:c r="C375" s="31" t="inlineStr">
        <x:is>
          <x:t xml:space="preserve">Выдача в производство</x:t>
        </x:is>
      </x:c>
      <x:c r="D375" s="31" t="inlineStr">
        <x:is>
          <x:t xml:space="preserve">МАТ-0057</x:t>
        </x:is>
      </x:c>
      <x:c r="E375" s="31" t="inlineStr">
        <x:is>
          <x:t xml:space="preserve">Задвижка Ду100 / исп.2</x:t>
        </x:is>
      </x:c>
      <x:c r="F375" s="31" t="n">
        <x:v>-4</x:v>
      </x:c>
      <x:c r="G375" s="31" t="inlineStr">
        <x:is>
          <x:t xml:space="preserve">шт</x:t>
        </x:is>
      </x:c>
      <x:c r="H375" s="31" t="inlineStr">
        <x:is>
          <x:t xml:space="preserve">ЗК-1098</x:t>
        </x:is>
      </x:c>
      <x:c r="I375" s="31" t="inlineStr">
        <x:is>
          <x:t xml:space="preserve">ПЗ-00134</x:t>
        </x:is>
      </x:c>
      <x:c r="J375" s="31" t="inlineStr">
        <x:is>
          <x:t xml:space="preserve">Основной склад</x:t>
        </x:is>
      </x:c>
      <x:c r="K375" s="31" t="inlineStr">
        <x:is>
          <x:t xml:space="preserve">СОТР-039</x:t>
        </x:is>
      </x:c>
      <x:c r="L375" s="31" t="inlineStr">
        <x:is>
          <x:t xml:space="preserve">ДОК-2073</x:t>
        </x:is>
      </x:c>
      <x:c r="M375" s="31" t="inlineStr">
        <x:is>
          <x:t xml:space="preserve">Проведен</x:t>
        </x:is>
      </x:c>
    </x:row>
    <x:row r="376">
      <x:c r="A376" s="31" t="inlineStr">
        <x:is>
          <x:t xml:space="preserve">СКЛ-000375</x:t>
        </x:is>
      </x:c>
      <x:c r="B376" s="31" t="n">
        <x:v>46200</x:v>
      </x:c>
      <x:c r="C376" s="31" t="inlineStr">
        <x:is>
          <x:t xml:space="preserve">Резерв</x:t>
        </x:is>
      </x:c>
      <x:c r="D376" s="31" t="inlineStr">
        <x:is>
          <x:t xml:space="preserve">МАТ-0079</x:t>
        </x:is>
      </x:c>
      <x:c r="E376" s="31" t="inlineStr">
        <x:is>
          <x:t xml:space="preserve">Гайка М12 / исп.2</x:t>
        </x:is>
      </x:c>
      <x:c r="F376" s="31" t="n">
        <x:v>-2</x:v>
      </x:c>
      <x:c r="G376" s="31" t="inlineStr">
        <x:is>
          <x:t xml:space="preserve">шт</x:t>
        </x:is>
      </x:c>
      <x:c r="H376" s="31" t="inlineStr">
        <x:is>
          <x:t xml:space="preserve">ЗК-1068</x:t>
        </x:is>
      </x:c>
      <x:c r="I376" s="31" t="n"/>
      <x:c r="J376" s="31" t="inlineStr">
        <x:is>
          <x:t xml:space="preserve">Основной склад</x:t>
        </x:is>
      </x:c>
      <x:c r="K376" s="31" t="inlineStr">
        <x:is>
          <x:t xml:space="preserve">СОТР-034</x:t>
        </x:is>
      </x:c>
      <x:c r="L376" s="31" t="inlineStr">
        <x:is>
          <x:t xml:space="preserve">ДОК-6406</x:t>
        </x:is>
      </x:c>
      <x:c r="M376" s="31" t="inlineStr">
        <x:is>
          <x:t xml:space="preserve">Проведен</x:t>
        </x:is>
      </x:c>
    </x:row>
    <x:row r="377">
      <x:c r="A377" s="31" t="inlineStr">
        <x:is>
          <x:t xml:space="preserve">СКЛ-000376</x:t>
        </x:is>
      </x:c>
      <x:c r="B377" s="31" t="n">
        <x:v>46178</x:v>
      </x:c>
      <x:c r="C377" s="31" t="inlineStr">
        <x:is>
          <x:t xml:space="preserve">Возврат</x:t>
        </x:is>
      </x:c>
      <x:c r="D377" s="31" t="inlineStr">
        <x:is>
          <x:t xml:space="preserve">МАТ-0083</x:t>
        </x:is>
      </x:c>
      <x:c r="E377" s="31" t="inlineStr">
        <x:is>
          <x:t xml:space="preserve">Анкер М16</x:t>
        </x:is>
      </x:c>
      <x:c r="F377" s="31" t="n">
        <x:v>1</x:v>
      </x:c>
      <x:c r="G377" s="31" t="inlineStr">
        <x:is>
          <x:t xml:space="preserve">шт</x:t>
        </x:is>
      </x:c>
      <x:c r="H377" s="31" t="n"/>
      <x:c r="I377" s="31" t="n"/>
      <x:c r="J377" s="31" t="inlineStr">
        <x:is>
          <x:t xml:space="preserve">Основной склад</x:t>
        </x:is>
      </x:c>
      <x:c r="K377" s="31" t="inlineStr">
        <x:is>
          <x:t xml:space="preserve">СОТР-039</x:t>
        </x:is>
      </x:c>
      <x:c r="L377" s="31" t="inlineStr">
        <x:is>
          <x:t xml:space="preserve">ДОК-9099</x:t>
        </x:is>
      </x:c>
      <x:c r="M377" s="31" t="inlineStr">
        <x:is>
          <x:t xml:space="preserve">Проведен</x:t>
        </x:is>
      </x:c>
    </x:row>
    <x:row r="378">
      <x:c r="A378" s="31" t="inlineStr">
        <x:is>
          <x:t xml:space="preserve">СКЛ-000377</x:t>
        </x:is>
      </x:c>
      <x:c r="B378" s="31" t="n">
        <x:v>46077</x:v>
      </x:c>
      <x:c r="C378" s="31" t="inlineStr">
        <x:is>
          <x:t xml:space="preserve">Приход</x:t>
        </x:is>
      </x:c>
      <x:c r="D378" s="31" t="inlineStr">
        <x:is>
          <x:t xml:space="preserve">МАТ-0078</x:t>
        </x:is>
      </x:c>
      <x:c r="E378" s="31" t="inlineStr">
        <x:is>
          <x:t xml:space="preserve">Гайка М12</x:t>
        </x:is>
      </x:c>
      <x:c r="F378" s="31" t="n">
        <x:v>10</x:v>
      </x:c>
      <x:c r="G378" s="31" t="inlineStr">
        <x:is>
          <x:t xml:space="preserve">шт</x:t>
        </x:is>
      </x:c>
      <x:c r="H378" s="31" t="n"/>
      <x:c r="I378" s="31" t="n"/>
      <x:c r="J378" s="31" t="inlineStr">
        <x:is>
          <x:t xml:space="preserve">Основной склад</x:t>
        </x:is>
      </x:c>
      <x:c r="K378" s="31" t="inlineStr">
        <x:is>
          <x:t xml:space="preserve">СОТР-039</x:t>
        </x:is>
      </x:c>
      <x:c r="L378" s="31" t="inlineStr">
        <x:is>
          <x:t xml:space="preserve">ДОК-6705</x:t>
        </x:is>
      </x:c>
      <x:c r="M378" s="31" t="inlineStr">
        <x:is>
          <x:t xml:space="preserve">Проведен</x:t>
        </x:is>
      </x:c>
    </x:row>
    <x:row r="379">
      <x:c r="A379" s="31" t="inlineStr">
        <x:is>
          <x:t xml:space="preserve">СКЛ-000378</x:t>
        </x:is>
      </x:c>
      <x:c r="B379" s="31" t="n">
        <x:v>46049</x:v>
      </x:c>
      <x:c r="C379" s="31" t="inlineStr">
        <x:is>
          <x:t xml:space="preserve">Выдача в производство</x:t>
        </x:is>
      </x:c>
      <x:c r="D379" s="31" t="inlineStr">
        <x:is>
          <x:t xml:space="preserve">МАТ-0029</x:t>
        </x:is>
      </x:c>
      <x:c r="E379" s="31" t="inlineStr">
        <x:is>
          <x:t xml:space="preserve">Частотный преобразователь 22 кВт</x:t>
        </x:is>
      </x:c>
      <x:c r="F379" s="31" t="n">
        <x:v>-14</x:v>
      </x:c>
      <x:c r="G379" s="31" t="inlineStr">
        <x:is>
          <x:t xml:space="preserve">шт</x:t>
        </x:is>
      </x:c>
      <x:c r="H379" s="31" t="inlineStr">
        <x:is>
          <x:t xml:space="preserve">ЗК-1125</x:t>
        </x:is>
      </x:c>
      <x:c r="I379" s="31" t="inlineStr">
        <x:is>
          <x:t xml:space="preserve">ПЗ-00051</x:t>
        </x:is>
      </x:c>
      <x:c r="J379" s="31" t="inlineStr">
        <x:is>
          <x:t xml:space="preserve">Основной склад</x:t>
        </x:is>
      </x:c>
      <x:c r="K379" s="31" t="inlineStr">
        <x:is>
          <x:t xml:space="preserve">СОТР-034</x:t>
        </x:is>
      </x:c>
      <x:c r="L379" s="31" t="inlineStr">
        <x:is>
          <x:t xml:space="preserve">ДОК-2393</x:t>
        </x:is>
      </x:c>
      <x:c r="M379" s="31" t="inlineStr">
        <x:is>
          <x:t xml:space="preserve">Проведен</x:t>
        </x:is>
      </x:c>
    </x:row>
    <x:row r="380">
      <x:c r="A380" s="31" t="inlineStr">
        <x:is>
          <x:t xml:space="preserve">СКЛ-000379</x:t>
        </x:is>
      </x:c>
      <x:c r="B380" s="31" t="n">
        <x:v>46092</x:v>
      </x:c>
      <x:c r="C380" s="31" t="inlineStr">
        <x:is>
          <x:t xml:space="preserve">Приход</x:t>
        </x:is>
      </x:c>
      <x:c r="D380" s="31" t="inlineStr">
        <x:is>
          <x:t xml:space="preserve">МАТ-0014</x:t>
        </x:is>
      </x:c>
      <x:c r="E380" s="31" t="inlineStr">
        <x:is>
          <x:t xml:space="preserve">Уголок 50×5 / исп.2</x:t>
        </x:is>
      </x:c>
      <x:c r="F380" s="31" t="n">
        <x:v>3</x:v>
      </x:c>
      <x:c r="G380" s="31" t="inlineStr">
        <x:is>
          <x:t xml:space="preserve">шт</x:t>
        </x:is>
      </x:c>
      <x:c r="H380" s="31" t="n"/>
      <x:c r="I380" s="31" t="n"/>
      <x:c r="J380" s="31" t="inlineStr">
        <x:is>
          <x:t xml:space="preserve">Основной склад</x:t>
        </x:is>
      </x:c>
      <x:c r="K380" s="31" t="inlineStr">
        <x:is>
          <x:t xml:space="preserve">СОТР-024</x:t>
        </x:is>
      </x:c>
      <x:c r="L380" s="31" t="inlineStr">
        <x:is>
          <x:t xml:space="preserve">ДОК-2751</x:t>
        </x:is>
      </x:c>
      <x:c r="M380" s="31" t="inlineStr">
        <x:is>
          <x:t xml:space="preserve">Проведен</x:t>
        </x:is>
      </x:c>
    </x:row>
    <x:row r="381">
      <x:c r="A381" s="31" t="inlineStr">
        <x:is>
          <x:t xml:space="preserve">СКЛ-000380</x:t>
        </x:is>
      </x:c>
      <x:c r="B381" s="31" t="n">
        <x:v>46076</x:v>
      </x:c>
      <x:c r="C381" s="31" t="inlineStr">
        <x:is>
          <x:t xml:space="preserve">Приход</x:t>
        </x:is>
      </x:c>
      <x:c r="D381" s="31" t="inlineStr">
        <x:is>
          <x:t xml:space="preserve">МАТ-0043</x:t>
        </x:is>
      </x:c>
      <x:c r="E381" s="31" t="inlineStr">
        <x:is>
          <x:t xml:space="preserve">Блок питания 24В</x:t>
        </x:is>
      </x:c>
      <x:c r="F381" s="31" t="n">
        <x:v>2</x:v>
      </x:c>
      <x:c r="G381" s="31" t="inlineStr">
        <x:is>
          <x:t xml:space="preserve">шт</x:t>
        </x:is>
      </x:c>
      <x:c r="H381" s="31" t="n"/>
      <x:c r="I381" s="31" t="n"/>
      <x:c r="J381" s="31" t="inlineStr">
        <x:is>
          <x:t xml:space="preserve">Цеховой склад</x:t>
        </x:is>
      </x:c>
      <x:c r="K381" s="31" t="inlineStr">
        <x:is>
          <x:t xml:space="preserve">СОТР-038</x:t>
        </x:is>
      </x:c>
      <x:c r="L381" s="31" t="inlineStr">
        <x:is>
          <x:t xml:space="preserve">ДОК-5569</x:t>
        </x:is>
      </x:c>
      <x:c r="M381" s="31" t="inlineStr">
        <x:is>
          <x:t xml:space="preserve">Требует проверки</x:t>
        </x:is>
      </x:c>
    </x:row>
    <x:row r="382">
      <x:c r="A382" s="31" t="inlineStr">
        <x:is>
          <x:t xml:space="preserve">СКЛ-000381</x:t>
        </x:is>
      </x:c>
      <x:c r="B382" s="31" t="n">
        <x:v>46066</x:v>
      </x:c>
      <x:c r="C382" s="31" t="inlineStr">
        <x:is>
          <x:t xml:space="preserve">Выдача в производство</x:t>
        </x:is>
      </x:c>
      <x:c r="D382" s="31" t="inlineStr">
        <x:is>
          <x:t xml:space="preserve">МАТ-0037</x:t>
        </x:is>
      </x:c>
      <x:c r="E382" s="31" t="inlineStr">
        <x:is>
          <x:t xml:space="preserve">Клапан электромагнитный 24В / исп.3</x:t>
        </x:is>
      </x:c>
      <x:c r="F382" s="31" t="n">
        <x:v>-7</x:v>
      </x:c>
      <x:c r="G382" s="31" t="inlineStr">
        <x:is>
          <x:t xml:space="preserve">шт</x:t>
        </x:is>
      </x:c>
      <x:c r="H382" s="31" t="inlineStr">
        <x:is>
          <x:t xml:space="preserve">ЗК-1020</x:t>
        </x:is>
      </x:c>
      <x:c r="I382" s="31" t="inlineStr">
        <x:is>
          <x:t xml:space="preserve">ПЗ-00088</x:t>
        </x:is>
      </x:c>
      <x:c r="J382" s="31" t="inlineStr">
        <x:is>
          <x:t xml:space="preserve">Цеховой склад</x:t>
        </x:is>
      </x:c>
      <x:c r="K382" s="31" t="inlineStr">
        <x:is>
          <x:t xml:space="preserve">СОТР-034</x:t>
        </x:is>
      </x:c>
      <x:c r="L382" s="31" t="inlineStr">
        <x:is>
          <x:t xml:space="preserve">ДОК-3971</x:t>
        </x:is>
      </x:c>
      <x:c r="M382" s="31" t="inlineStr">
        <x:is>
          <x:t xml:space="preserve">Проведен</x:t>
        </x:is>
      </x:c>
    </x:row>
    <x:row r="383">
      <x:c r="A383" s="31" t="inlineStr">
        <x:is>
          <x:t xml:space="preserve">СКЛ-000382</x:t>
        </x:is>
      </x:c>
      <x:c r="B383" s="31" t="n">
        <x:v>46154</x:v>
      </x:c>
      <x:c r="C383" s="31" t="inlineStr">
        <x:is>
          <x:t xml:space="preserve">Списание</x:t>
        </x:is>
      </x:c>
      <x:c r="D383" s="31" t="inlineStr">
        <x:is>
          <x:t xml:space="preserve">МАТ-0022</x:t>
        </x:is>
      </x:c>
      <x:c r="E383" s="31" t="inlineStr">
        <x:is>
          <x:t xml:space="preserve">Торцевое уплотнение / исп.2</x:t>
        </x:is>
      </x:c>
      <x:c r="F383" s="31" t="n">
        <x:v>-18</x:v>
      </x:c>
      <x:c r="G383" s="31" t="inlineStr">
        <x:is>
          <x:t xml:space="preserve">шт</x:t>
        </x:is>
      </x:c>
      <x:c r="H383" s="31" t="n"/>
      <x:c r="I383" s="31" t="n"/>
      <x:c r="J383" s="31" t="inlineStr">
        <x:is>
          <x:t xml:space="preserve">Цеховой склад</x:t>
        </x:is>
      </x:c>
      <x:c r="K383" s="31" t="inlineStr">
        <x:is>
          <x:t xml:space="preserve">СОТР-037</x:t>
        </x:is>
      </x:c>
      <x:c r="L383" s="31" t="inlineStr">
        <x:is>
          <x:t xml:space="preserve">ДОК-8774</x:t>
        </x:is>
      </x:c>
      <x:c r="M383" s="31" t="inlineStr">
        <x:is>
          <x:t xml:space="preserve">Проведен</x:t>
        </x:is>
      </x:c>
    </x:row>
    <x:row r="384">
      <x:c r="A384" s="31" t="inlineStr">
        <x:is>
          <x:t xml:space="preserve">СКЛ-000383</x:t>
        </x:is>
      </x:c>
      <x:c r="B384" s="31" t="n">
        <x:v>46094</x:v>
      </x:c>
      <x:c r="C384" s="31" t="inlineStr">
        <x:is>
          <x:t xml:space="preserve">Резерв</x:t>
        </x:is>
      </x:c>
      <x:c r="D384" s="31" t="inlineStr">
        <x:is>
          <x:t xml:space="preserve">МАТ-0074</x:t>
        </x:is>
      </x:c>
      <x:c r="E384" s="31" t="inlineStr">
        <x:is>
          <x:t xml:space="preserve">Абразив для пескоструя</x:t>
        </x:is>
      </x:c>
      <x:c r="F384" s="31" t="n">
        <x:v>-4</x:v>
      </x:c>
      <x:c r="G384" s="31" t="inlineStr">
        <x:is>
          <x:t xml:space="preserve">шт</x:t>
        </x:is>
      </x:c>
      <x:c r="H384" s="31" t="inlineStr">
        <x:is>
          <x:t xml:space="preserve">ЗК-1116</x:t>
        </x:is>
      </x:c>
      <x:c r="I384" s="31" t="n"/>
      <x:c r="J384" s="31" t="inlineStr">
        <x:is>
          <x:t xml:space="preserve">Основной склад</x:t>
        </x:is>
      </x:c>
      <x:c r="K384" s="31" t="inlineStr">
        <x:is>
          <x:t xml:space="preserve">СОТР-037</x:t>
        </x:is>
      </x:c>
      <x:c r="L384" s="31" t="inlineStr">
        <x:is>
          <x:t xml:space="preserve">ДОК-8202</x:t>
        </x:is>
      </x:c>
      <x:c r="M384" s="31" t="inlineStr">
        <x:is>
          <x:t xml:space="preserve">Требует проверки</x:t>
        </x:is>
      </x:c>
    </x:row>
    <x:row r="385">
      <x:c r="A385" s="31" t="inlineStr">
        <x:is>
          <x:t xml:space="preserve">СКЛ-000384</x:t>
        </x:is>
      </x:c>
      <x:c r="B385" s="31" t="n">
        <x:v>46088</x:v>
      </x:c>
      <x:c r="C385" s="31" t="inlineStr">
        <x:is>
          <x:t xml:space="preserve">Резерв</x:t>
        </x:is>
      </x:c>
      <x:c r="D385" s="31" t="inlineStr">
        <x:is>
          <x:t xml:space="preserve">МАТ-0027</x:t>
        </x:is>
      </x:c>
      <x:c r="E385" s="31" t="inlineStr">
        <x:is>
          <x:t xml:space="preserve">Двигатель 22 кВт</x:t>
        </x:is>
      </x:c>
      <x:c r="F385" s="31" t="n">
        <x:v>-4</x:v>
      </x:c>
      <x:c r="G385" s="31" t="inlineStr">
        <x:is>
          <x:t xml:space="preserve">шт</x:t>
        </x:is>
      </x:c>
      <x:c r="H385" s="31" t="inlineStr">
        <x:is>
          <x:t xml:space="preserve">ЗК-1038</x:t>
        </x:is>
      </x:c>
      <x:c r="I385" s="31" t="n"/>
      <x:c r="J385" s="31" t="inlineStr">
        <x:is>
          <x:t xml:space="preserve">Брак/карантин</x:t>
        </x:is>
      </x:c>
      <x:c r="K385" s="31" t="inlineStr">
        <x:is>
          <x:t xml:space="preserve">СОТР-033</x:t>
        </x:is>
      </x:c>
      <x:c r="L385" s="31" t="inlineStr">
        <x:is>
          <x:t xml:space="preserve">ДОК-7950</x:t>
        </x:is>
      </x:c>
      <x:c r="M385" s="31" t="inlineStr">
        <x:is>
          <x:t xml:space="preserve">Проведен</x:t>
        </x:is>
      </x:c>
    </x:row>
    <x:row r="386">
      <x:c r="A386" s="31" t="inlineStr">
        <x:is>
          <x:t xml:space="preserve">СКЛ-000385</x:t>
        </x:is>
      </x:c>
      <x:c r="B386" s="31" t="n">
        <x:v>46044</x:v>
      </x:c>
      <x:c r="C386" s="31" t="inlineStr">
        <x:is>
          <x:t xml:space="preserve">Приход</x:t>
        </x:is>
      </x:c>
      <x:c r="D386" s="31" t="inlineStr">
        <x:is>
          <x:t xml:space="preserve">МАТ-0071</x:t>
        </x:is>
      </x:c>
      <x:c r="E386" s="31" t="inlineStr">
        <x:is>
          <x:t xml:space="preserve">Эмаль полиуретановая / исп.3</x:t>
        </x:is>
      </x:c>
      <x:c r="F386" s="31" t="n">
        <x:v>30.69</x:v>
      </x:c>
      <x:c r="G386" s="31" t="inlineStr">
        <x:is>
          <x:t xml:space="preserve">кг</x:t>
        </x:is>
      </x:c>
      <x:c r="H386" s="31" t="n"/>
      <x:c r="I386" s="31" t="n"/>
      <x:c r="J386" s="31" t="inlineStr">
        <x:is>
          <x:t xml:space="preserve">Основной склад</x:t>
        </x:is>
      </x:c>
      <x:c r="K386" s="31" t="inlineStr">
        <x:is>
          <x:t xml:space="preserve">СОТР-035</x:t>
        </x:is>
      </x:c>
      <x:c r="L386" s="31" t="inlineStr">
        <x:is>
          <x:t xml:space="preserve">ДОК-8313</x:t>
        </x:is>
      </x:c>
      <x:c r="M386" s="31" t="inlineStr">
        <x:is>
          <x:t xml:space="preserve">Проведен</x:t>
        </x:is>
      </x:c>
    </x:row>
    <x:row r="387">
      <x:c r="A387" s="31" t="inlineStr">
        <x:is>
          <x:t xml:space="preserve">СКЛ-000386</x:t>
        </x:is>
      </x:c>
      <x:c r="B387" s="31" t="n">
        <x:v>46108</x:v>
      </x:c>
      <x:c r="C387" s="31" t="inlineStr">
        <x:is>
          <x:t xml:space="preserve">Выдача в производство</x:t>
        </x:is>
      </x:c>
      <x:c r="D387" s="31" t="inlineStr">
        <x:is>
          <x:t xml:space="preserve">МАТ-0014</x:t>
        </x:is>
      </x:c>
      <x:c r="E387" s="31" t="inlineStr">
        <x:is>
          <x:t xml:space="preserve">Уголок 50×5 / исп.2</x:t>
        </x:is>
      </x:c>
      <x:c r="F387" s="31" t="n">
        <x:v>-18</x:v>
      </x:c>
      <x:c r="G387" s="31" t="inlineStr">
        <x:is>
          <x:t xml:space="preserve">шт</x:t>
        </x:is>
      </x:c>
      <x:c r="H387" s="31" t="inlineStr">
        <x:is>
          <x:t xml:space="preserve">ЗК-1015</x:t>
        </x:is>
      </x:c>
      <x:c r="I387" s="31" t="inlineStr">
        <x:is>
          <x:t xml:space="preserve">ПЗ-00230</x:t>
        </x:is>
      </x:c>
      <x:c r="J387" s="31" t="inlineStr">
        <x:is>
          <x:t xml:space="preserve">Основной склад</x:t>
        </x:is>
      </x:c>
      <x:c r="K387" s="31" t="inlineStr">
        <x:is>
          <x:t xml:space="preserve">СОТР-035</x:t>
        </x:is>
      </x:c>
      <x:c r="L387" s="31" t="inlineStr">
        <x:is>
          <x:t xml:space="preserve">ДОК-9852</x:t>
        </x:is>
      </x:c>
      <x:c r="M387" s="31" t="inlineStr">
        <x:is>
          <x:t xml:space="preserve">Проведен</x:t>
        </x:is>
      </x:c>
    </x:row>
    <x:row r="388">
      <x:c r="A388" s="31" t="inlineStr">
        <x:is>
          <x:t xml:space="preserve">СКЛ-000387</x:t>
        </x:is>
      </x:c>
      <x:c r="B388" s="31" t="n">
        <x:v>46170</x:v>
      </x:c>
      <x:c r="C388" s="31" t="inlineStr">
        <x:is>
          <x:t xml:space="preserve">Выдача в производство</x:t>
        </x:is>
      </x:c>
      <x:c r="D388" s="31" t="inlineStr">
        <x:is>
          <x:t xml:space="preserve">МАТ-0057</x:t>
        </x:is>
      </x:c>
      <x:c r="E388" s="31" t="inlineStr">
        <x:is>
          <x:t xml:space="preserve">Задвижка Ду100 / исп.2</x:t>
        </x:is>
      </x:c>
      <x:c r="F388" s="31" t="n">
        <x:v>-8</x:v>
      </x:c>
      <x:c r="G388" s="31" t="inlineStr">
        <x:is>
          <x:t xml:space="preserve">шт</x:t>
        </x:is>
      </x:c>
      <x:c r="H388" s="31" t="inlineStr">
        <x:is>
          <x:t xml:space="preserve">ЗК-1130</x:t>
        </x:is>
      </x:c>
      <x:c r="I388" s="31" t="inlineStr">
        <x:is>
          <x:t xml:space="preserve">ПЗ-00225</x:t>
        </x:is>
      </x:c>
      <x:c r="J388" s="31" t="inlineStr">
        <x:is>
          <x:t xml:space="preserve">Основной склад</x:t>
        </x:is>
      </x:c>
      <x:c r="K388" s="31" t="inlineStr">
        <x:is>
          <x:t xml:space="preserve">СОТР-035</x:t>
        </x:is>
      </x:c>
      <x:c r="L388" s="31" t="inlineStr">
        <x:is>
          <x:t xml:space="preserve">ДОК-4422</x:t>
        </x:is>
      </x:c>
      <x:c r="M388" s="31" t="inlineStr">
        <x:is>
          <x:t xml:space="preserve">Проведен</x:t>
        </x:is>
      </x:c>
    </x:row>
    <x:row r="389">
      <x:c r="A389" s="31" t="inlineStr">
        <x:is>
          <x:t xml:space="preserve">СКЛ-000388</x:t>
        </x:is>
      </x:c>
      <x:c r="B389" s="31" t="n">
        <x:v>46074</x:v>
      </x:c>
      <x:c r="C389" s="31" t="inlineStr">
        <x:is>
          <x:t xml:space="preserve">Резерв</x:t>
        </x:is>
      </x:c>
      <x:c r="D389" s="31" t="inlineStr">
        <x:is>
          <x:t xml:space="preserve">МАТ-0086</x:t>
        </x:is>
      </x:c>
      <x:c r="E389" s="31" t="inlineStr">
        <x:is>
          <x:t xml:space="preserve">Пленка стрейч / исп.2</x:t>
        </x:is>
      </x:c>
      <x:c r="F389" s="31" t="n">
        <x:v>-13</x:v>
      </x:c>
      <x:c r="G389" s="31" t="inlineStr">
        <x:is>
          <x:t xml:space="preserve">шт</x:t>
        </x:is>
      </x:c>
      <x:c r="H389" s="31" t="inlineStr">
        <x:is>
          <x:t xml:space="preserve">ЗК-1054</x:t>
        </x:is>
      </x:c>
      <x:c r="I389" s="31" t="n"/>
      <x:c r="J389" s="31" t="inlineStr">
        <x:is>
          <x:t xml:space="preserve">Основной склад</x:t>
        </x:is>
      </x:c>
      <x:c r="K389" s="31" t="inlineStr">
        <x:is>
          <x:t xml:space="preserve">СОТР-037</x:t>
        </x:is>
      </x:c>
      <x:c r="L389" s="31" t="inlineStr">
        <x:is>
          <x:t xml:space="preserve">ДОК-6130</x:t>
        </x:is>
      </x:c>
      <x:c r="M389" s="31" t="inlineStr">
        <x:is>
          <x:t xml:space="preserve">Проведен</x:t>
        </x:is>
      </x:c>
    </x:row>
    <x:row r="390">
      <x:c r="A390" s="31" t="inlineStr">
        <x:is>
          <x:t xml:space="preserve">СКЛ-000389</x:t>
        </x:is>
      </x:c>
      <x:c r="B390" s="31" t="n">
        <x:v>46034</x:v>
      </x:c>
      <x:c r="C390" s="31" t="inlineStr">
        <x:is>
          <x:t xml:space="preserve">Возврат</x:t>
        </x:is>
      </x:c>
      <x:c r="D390" s="31" t="inlineStr">
        <x:is>
          <x:t xml:space="preserve">МАТ-0057</x:t>
        </x:is>
      </x:c>
      <x:c r="E390" s="31" t="inlineStr">
        <x:is>
          <x:t xml:space="preserve">Задвижка Ду100 / исп.2</x:t>
        </x:is>
      </x:c>
      <x:c r="F390" s="31" t="n">
        <x:v>1</x:v>
      </x:c>
      <x:c r="G390" s="31" t="inlineStr">
        <x:is>
          <x:t xml:space="preserve">шт</x:t>
        </x:is>
      </x:c>
      <x:c r="H390" s="31" t="n"/>
      <x:c r="I390" s="31" t="n"/>
      <x:c r="J390" s="31" t="inlineStr">
        <x:is>
          <x:t xml:space="preserve">Основной склад</x:t>
        </x:is>
      </x:c>
      <x:c r="K390" s="31" t="inlineStr">
        <x:is>
          <x:t xml:space="preserve">СОТР-035</x:t>
        </x:is>
      </x:c>
      <x:c r="L390" s="31" t="inlineStr">
        <x:is>
          <x:t xml:space="preserve">ДОК-6833</x:t>
        </x:is>
      </x:c>
      <x:c r="M390" s="31" t="inlineStr">
        <x:is>
          <x:t xml:space="preserve">Проведен</x:t>
        </x:is>
      </x:c>
    </x:row>
    <x:row r="391">
      <x:c r="A391" s="31" t="inlineStr">
        <x:is>
          <x:t xml:space="preserve">СКЛ-000390</x:t>
        </x:is>
      </x:c>
      <x:c r="B391" s="31" t="n">
        <x:v>46056</x:v>
      </x:c>
      <x:c r="C391" s="31" t="inlineStr">
        <x:is>
          <x:t xml:space="preserve">Выдача в производство</x:t>
        </x:is>
      </x:c>
      <x:c r="D391" s="31" t="inlineStr">
        <x:is>
          <x:t xml:space="preserve">МАТ-0065</x:t>
        </x:is>
      </x:c>
      <x:c r="E391" s="31" t="inlineStr">
        <x:is>
          <x:t xml:space="preserve">Гофра металлическая</x:t>
        </x:is>
      </x:c>
      <x:c r="F391" s="31" t="n">
        <x:v>-18</x:v>
      </x:c>
      <x:c r="G391" s="31" t="inlineStr">
        <x:is>
          <x:t xml:space="preserve">шт</x:t>
        </x:is>
      </x:c>
      <x:c r="H391" s="31" t="inlineStr">
        <x:is>
          <x:t xml:space="preserve">ЗК-1045</x:t>
        </x:is>
      </x:c>
      <x:c r="I391" s="31" t="inlineStr">
        <x:is>
          <x:t xml:space="preserve">ПЗ-00136</x:t>
        </x:is>
      </x:c>
      <x:c r="J391" s="31" t="inlineStr">
        <x:is>
          <x:t xml:space="preserve">Основной склад</x:t>
        </x:is>
      </x:c>
      <x:c r="K391" s="31" t="inlineStr">
        <x:is>
          <x:t xml:space="preserve">СОТР-024</x:t>
        </x:is>
      </x:c>
      <x:c r="L391" s="31" t="inlineStr">
        <x:is>
          <x:t xml:space="preserve">ДОК-3935</x:t>
        </x:is>
      </x:c>
      <x:c r="M391" s="31" t="inlineStr">
        <x:is>
          <x:t xml:space="preserve">Проведен</x:t>
        </x:is>
      </x:c>
    </x:row>
    <x:row r="392">
      <x:c r="A392" s="31" t="inlineStr">
        <x:is>
          <x:t xml:space="preserve">СКЛ-000391</x:t>
        </x:is>
      </x:c>
      <x:c r="B392" s="31" t="n">
        <x:v>46167</x:v>
      </x:c>
      <x:c r="C392" s="31" t="inlineStr">
        <x:is>
          <x:t xml:space="preserve">Выдача в производство</x:t>
        </x:is>
      </x:c>
      <x:c r="D392" s="31" t="inlineStr">
        <x:is>
          <x:t xml:space="preserve">МАТ-0030</x:t>
        </x:is>
      </x:c>
      <x:c r="E392" s="31" t="inlineStr">
        <x:is>
          <x:t xml:space="preserve">Частотный преобразователь 22 кВт / исп.2</x:t>
        </x:is>
      </x:c>
      <x:c r="F392" s="31" t="n">
        <x:v>-5</x:v>
      </x:c>
      <x:c r="G392" s="31" t="inlineStr">
        <x:is>
          <x:t xml:space="preserve">шт</x:t>
        </x:is>
      </x:c>
      <x:c r="H392" s="31" t="inlineStr">
        <x:is>
          <x:t xml:space="preserve">ЗК-1066</x:t>
        </x:is>
      </x:c>
      <x:c r="I392" s="31" t="inlineStr">
        <x:is>
          <x:t xml:space="preserve">ПЗ-00030</x:t>
        </x:is>
      </x:c>
      <x:c r="J392" s="31" t="inlineStr">
        <x:is>
          <x:t xml:space="preserve">Основной склад</x:t>
        </x:is>
      </x:c>
      <x:c r="K392" s="31" t="inlineStr">
        <x:is>
          <x:t xml:space="preserve">СОТР-039</x:t>
        </x:is>
      </x:c>
      <x:c r="L392" s="31" t="inlineStr">
        <x:is>
          <x:t xml:space="preserve">ДОК-3719</x:t>
        </x:is>
      </x:c>
      <x:c r="M392" s="31" t="inlineStr">
        <x:is>
          <x:t xml:space="preserve">Требует проверки</x:t>
        </x:is>
      </x:c>
    </x:row>
    <x:row r="393">
      <x:c r="A393" s="31" t="inlineStr">
        <x:is>
          <x:t xml:space="preserve">СКЛ-000392</x:t>
        </x:is>
      </x:c>
      <x:c r="B393" s="31" t="n">
        <x:v>46048</x:v>
      </x:c>
      <x:c r="C393" s="31" t="inlineStr">
        <x:is>
          <x:t xml:space="preserve">Резерв</x:t>
        </x:is>
      </x:c>
      <x:c r="D393" s="31" t="inlineStr">
        <x:is>
          <x:t xml:space="preserve">МАТ-0066</x:t>
        </x:is>
      </x:c>
      <x:c r="E393" s="31" t="inlineStr">
        <x:is>
          <x:t xml:space="preserve">Гофра металлическая / исп.2</x:t>
        </x:is>
      </x:c>
      <x:c r="F393" s="31" t="n">
        <x:v>-18.32</x:v>
      </x:c>
      <x:c r="G393" s="31" t="inlineStr">
        <x:is>
          <x:t xml:space="preserve">кг</x:t>
        </x:is>
      </x:c>
      <x:c r="H393" s="31" t="inlineStr">
        <x:is>
          <x:t xml:space="preserve">ЗК-1071</x:t>
        </x:is>
      </x:c>
      <x:c r="I393" s="31" t="n"/>
      <x:c r="J393" s="31" t="inlineStr">
        <x:is>
          <x:t xml:space="preserve">Брак/карантин</x:t>
        </x:is>
      </x:c>
      <x:c r="K393" s="31" t="inlineStr">
        <x:is>
          <x:t xml:space="preserve">СОТР-038</x:t>
        </x:is>
      </x:c>
      <x:c r="L393" s="31" t="inlineStr">
        <x:is>
          <x:t xml:space="preserve">ДОК-5829</x:t>
        </x:is>
      </x:c>
      <x:c r="M393" s="31" t="inlineStr">
        <x:is>
          <x:t xml:space="preserve">Проведен</x:t>
        </x:is>
      </x:c>
    </x:row>
    <x:row r="394">
      <x:c r="A394" s="31" t="inlineStr">
        <x:is>
          <x:t xml:space="preserve">СКЛ-000393</x:t>
        </x:is>
      </x:c>
      <x:c r="B394" s="31" t="n">
        <x:v>46145</x:v>
      </x:c>
      <x:c r="C394" s="31" t="inlineStr">
        <x:is>
          <x:t xml:space="preserve">Приход</x:t>
        </x:is>
      </x:c>
      <x:c r="D394" s="31" t="inlineStr">
        <x:is>
          <x:t xml:space="preserve">МАТ-0031</x:t>
        </x:is>
      </x:c>
      <x:c r="E394" s="31" t="inlineStr">
        <x:is>
          <x:t xml:space="preserve">Датчик давления 0-16 бар</x:t>
        </x:is>
      </x:c>
      <x:c r="F394" s="31" t="n">
        <x:v>2</x:v>
      </x:c>
      <x:c r="G394" s="31" t="inlineStr">
        <x:is>
          <x:t xml:space="preserve">шт</x:t>
        </x:is>
      </x:c>
      <x:c r="H394" s="31" t="n"/>
      <x:c r="I394" s="31" t="n"/>
      <x:c r="J394" s="31" t="inlineStr">
        <x:is>
          <x:t xml:space="preserve">Цеховой склад</x:t>
        </x:is>
      </x:c>
      <x:c r="K394" s="31" t="inlineStr">
        <x:is>
          <x:t xml:space="preserve">СОТР-038</x:t>
        </x:is>
      </x:c>
      <x:c r="L394" s="31" t="inlineStr">
        <x:is>
          <x:t xml:space="preserve">ДОК-7733</x:t>
        </x:is>
      </x:c>
      <x:c r="M394" s="31" t="inlineStr">
        <x:is>
          <x:t xml:space="preserve">Проведен</x:t>
        </x:is>
      </x:c>
    </x:row>
    <x:row r="395">
      <x:c r="A395" s="31" t="inlineStr">
        <x:is>
          <x:t xml:space="preserve">СКЛ-000394</x:t>
        </x:is>
      </x:c>
      <x:c r="B395" s="31" t="n">
        <x:v>46085</x:v>
      </x:c>
      <x:c r="C395" s="31" t="inlineStr">
        <x:is>
          <x:t xml:space="preserve">Приход</x:t>
        </x:is>
      </x:c>
      <x:c r="D395" s="31" t="inlineStr">
        <x:is>
          <x:t xml:space="preserve">МАТ-0064</x:t>
        </x:is>
      </x:c>
      <x:c r="E395" s="31" t="inlineStr">
        <x:is>
          <x:t xml:space="preserve">Кабель ВВГнг 3×2.5 / исп.2</x:t>
        </x:is>
      </x:c>
      <x:c r="F395" s="31" t="n">
        <x:v>13</x:v>
      </x:c>
      <x:c r="G395" s="31" t="inlineStr">
        <x:is>
          <x:t xml:space="preserve">шт</x:t>
        </x:is>
      </x:c>
      <x:c r="H395" s="31" t="n"/>
      <x:c r="I395" s="31" t="n"/>
      <x:c r="J395" s="31" t="inlineStr">
        <x:is>
          <x:t xml:space="preserve">Цеховой склад</x:t>
        </x:is>
      </x:c>
      <x:c r="K395" s="31" t="inlineStr">
        <x:is>
          <x:t xml:space="preserve">СОТР-035</x:t>
        </x:is>
      </x:c>
      <x:c r="L395" s="31" t="inlineStr">
        <x:is>
          <x:t xml:space="preserve">ДОК-2484</x:t>
        </x:is>
      </x:c>
      <x:c r="M395" s="31" t="inlineStr">
        <x:is>
          <x:t xml:space="preserve">Проведен</x:t>
        </x:is>
      </x:c>
    </x:row>
    <x:row r="396">
      <x:c r="A396" s="31" t="inlineStr">
        <x:is>
          <x:t xml:space="preserve">СКЛ-000395</x:t>
        </x:is>
      </x:c>
      <x:c r="B396" s="31" t="n">
        <x:v>46182</x:v>
      </x:c>
      <x:c r="C396" s="31" t="inlineStr">
        <x:is>
          <x:t xml:space="preserve">Выдача в производство</x:t>
        </x:is>
      </x:c>
      <x:c r="D396" s="31" t="inlineStr">
        <x:is>
          <x:t xml:space="preserve">МАТ-0009</x:t>
        </x:is>
      </x:c>
      <x:c r="E396" s="31" t="inlineStr">
        <x:is>
          <x:t xml:space="preserve">Фланец Ду50 Ру16</x:t>
        </x:is>
      </x:c>
      <x:c r="F396" s="31" t="n">
        <x:v>-79.15000000000001</x:v>
      </x:c>
      <x:c r="G396" s="31" t="inlineStr">
        <x:is>
          <x:t xml:space="preserve">л</x:t>
        </x:is>
      </x:c>
      <x:c r="H396" s="31" t="inlineStr">
        <x:is>
          <x:t xml:space="preserve">ЗК-1018</x:t>
        </x:is>
      </x:c>
      <x:c r="I396" s="31" t="inlineStr">
        <x:is>
          <x:t xml:space="preserve">ПЗ-00054</x:t>
        </x:is>
      </x:c>
      <x:c r="J396" s="31" t="inlineStr">
        <x:is>
          <x:t xml:space="preserve">Основной склад</x:t>
        </x:is>
      </x:c>
      <x:c r="K396" s="31" t="inlineStr">
        <x:is>
          <x:t xml:space="preserve">СОТР-035</x:t>
        </x:is>
      </x:c>
      <x:c r="L396" s="31" t="inlineStr">
        <x:is>
          <x:t xml:space="preserve">ДОК-1418</x:t>
        </x:is>
      </x:c>
      <x:c r="M396" s="31" t="inlineStr">
        <x:is>
          <x:t xml:space="preserve">Проведен</x:t>
        </x:is>
      </x:c>
    </x:row>
    <x:row r="397">
      <x:c r="A397" s="31" t="inlineStr">
        <x:is>
          <x:t xml:space="preserve">СКЛ-000396</x:t>
        </x:is>
      </x:c>
      <x:c r="B397" s="31" t="n">
        <x:v>46079</x:v>
      </x:c>
      <x:c r="C397" s="31" t="inlineStr">
        <x:is>
          <x:t xml:space="preserve">Приход</x:t>
        </x:is>
      </x:c>
      <x:c r="D397" s="31" t="inlineStr">
        <x:is>
          <x:t xml:space="preserve">МАТ-0063</x:t>
        </x:is>
      </x:c>
      <x:c r="E397" s="31" t="inlineStr">
        <x:is>
          <x:t xml:space="preserve">Кабель ВВГнг 3×2.5</x:t>
        </x:is>
      </x:c>
      <x:c r="F397" s="31" t="n">
        <x:v>4</x:v>
      </x:c>
      <x:c r="G397" s="31" t="inlineStr">
        <x:is>
          <x:t xml:space="preserve">шт</x:t>
        </x:is>
      </x:c>
      <x:c r="H397" s="31" t="n"/>
      <x:c r="I397" s="31" t="n"/>
      <x:c r="J397" s="31" t="inlineStr">
        <x:is>
          <x:t xml:space="preserve">Основной склад</x:t>
        </x:is>
      </x:c>
      <x:c r="K397" s="31" t="inlineStr">
        <x:is>
          <x:t xml:space="preserve">СОТР-024</x:t>
        </x:is>
      </x:c>
      <x:c r="L397" s="31" t="inlineStr">
        <x:is>
          <x:t xml:space="preserve">ДОК-4774</x:t>
        </x:is>
      </x:c>
      <x:c r="M397" s="31" t="inlineStr">
        <x:is>
          <x:t xml:space="preserve">Проведен</x:t>
        </x:is>
      </x:c>
    </x:row>
    <x:row r="398">
      <x:c r="A398" s="31" t="inlineStr">
        <x:is>
          <x:t xml:space="preserve">СКЛ-000397</x:t>
        </x:is>
      </x:c>
      <x:c r="B398" s="31" t="n">
        <x:v>46033</x:v>
      </x:c>
      <x:c r="C398" s="31" t="inlineStr">
        <x:is>
          <x:t xml:space="preserve">Приход</x:t>
        </x:is>
      </x:c>
      <x:c r="D398" s="31" t="inlineStr">
        <x:is>
          <x:t xml:space="preserve">МАТ-0080</x:t>
        </x:is>
      </x:c>
      <x:c r="E398" s="31" t="inlineStr">
        <x:is>
          <x:t xml:space="preserve">Гайка М12 / исп.3</x:t>
        </x:is>
      </x:c>
      <x:c r="F398" s="31" t="n">
        <x:v>15</x:v>
      </x:c>
      <x:c r="G398" s="31" t="inlineStr">
        <x:is>
          <x:t xml:space="preserve">шт</x:t>
        </x:is>
      </x:c>
      <x:c r="H398" s="31" t="n"/>
      <x:c r="I398" s="31" t="n"/>
      <x:c r="J398" s="31" t="inlineStr">
        <x:is>
          <x:t xml:space="preserve">Цеховой склад</x:t>
        </x:is>
      </x:c>
      <x:c r="K398" s="31" t="inlineStr">
        <x:is>
          <x:t xml:space="preserve">СОТР-035</x:t>
        </x:is>
      </x:c>
      <x:c r="L398" s="31" t="inlineStr">
        <x:is>
          <x:t xml:space="preserve">ДОК-8956</x:t>
        </x:is>
      </x:c>
      <x:c r="M398" s="31" t="inlineStr">
        <x:is>
          <x:t xml:space="preserve">Проведен</x:t>
        </x:is>
      </x:c>
    </x:row>
    <x:row r="399">
      <x:c r="A399" s="31" t="inlineStr">
        <x:is>
          <x:t xml:space="preserve">СКЛ-000398</x:t>
        </x:is>
      </x:c>
      <x:c r="B399" s="31" t="n">
        <x:v>46055</x:v>
      </x:c>
      <x:c r="C399" s="31" t="inlineStr">
        <x:is>
          <x:t xml:space="preserve">Приход</x:t>
        </x:is>
      </x:c>
      <x:c r="D399" s="31" t="inlineStr">
        <x:is>
          <x:t xml:space="preserve">МАТ-0084</x:t>
        </x:is>
      </x:c>
      <x:c r="E399" s="31" t="inlineStr">
        <x:is>
          <x:t xml:space="preserve">Поддон 1200×800</x:t>
        </x:is>
      </x:c>
      <x:c r="F399" s="31" t="n">
        <x:v>14</x:v>
      </x:c>
      <x:c r="G399" s="31" t="inlineStr">
        <x:is>
          <x:t xml:space="preserve">шт</x:t>
        </x:is>
      </x:c>
      <x:c r="H399" s="31" t="n"/>
      <x:c r="I399" s="31" t="n"/>
      <x:c r="J399" s="31" t="inlineStr">
        <x:is>
          <x:t xml:space="preserve">Цеховой склад</x:t>
        </x:is>
      </x:c>
      <x:c r="K399" s="31" t="inlineStr">
        <x:is>
          <x:t xml:space="preserve">СОТР-034</x:t>
        </x:is>
      </x:c>
      <x:c r="L399" s="31" t="inlineStr">
        <x:is>
          <x:t xml:space="preserve">ДОК-1833</x:t>
        </x:is>
      </x:c>
      <x:c r="M399" s="31" t="inlineStr">
        <x:is>
          <x:t xml:space="preserve">Черновик</x:t>
        </x:is>
      </x:c>
    </x:row>
    <x:row r="400">
      <x:c r="A400" s="31" t="inlineStr">
        <x:is>
          <x:t xml:space="preserve">СКЛ-000399</x:t>
        </x:is>
      </x:c>
      <x:c r="B400" s="31" t="n">
        <x:v>46163</x:v>
      </x:c>
      <x:c r="C400" s="31" t="inlineStr">
        <x:is>
          <x:t xml:space="preserve">Корректировка</x:t>
        </x:is>
      </x:c>
      <x:c r="D400" s="31" t="inlineStr">
        <x:is>
          <x:t xml:space="preserve">МАТ-0037</x:t>
        </x:is>
      </x:c>
      <x:c r="E400" s="31" t="inlineStr">
        <x:is>
          <x:t xml:space="preserve">Клапан электромагнитный 24В / исп.3</x:t>
        </x:is>
      </x:c>
      <x:c r="F400" s="31" t="n">
        <x:v>12</x:v>
      </x:c>
      <x:c r="G400" s="31" t="inlineStr">
        <x:is>
          <x:t xml:space="preserve">шт</x:t>
        </x:is>
      </x:c>
      <x:c r="H400" s="31" t="n"/>
      <x:c r="I400" s="31" t="n"/>
      <x:c r="J400" s="31" t="inlineStr">
        <x:is>
          <x:t xml:space="preserve">Основной склад</x:t>
        </x:is>
      </x:c>
      <x:c r="K400" s="31" t="inlineStr">
        <x:is>
          <x:t xml:space="preserve">СОТР-039</x:t>
        </x:is>
      </x:c>
      <x:c r="L400" s="31" t="inlineStr">
        <x:is>
          <x:t xml:space="preserve">ДОК-3357</x:t>
        </x:is>
      </x:c>
      <x:c r="M400" s="31" t="inlineStr">
        <x:is>
          <x:t xml:space="preserve">Проведен</x:t>
        </x:is>
      </x:c>
    </x:row>
    <x:row r="401">
      <x:c r="A401" s="31" t="inlineStr">
        <x:is>
          <x:t xml:space="preserve">СКЛ-000400</x:t>
        </x:is>
      </x:c>
      <x:c r="B401" s="31" t="n">
        <x:v>46145</x:v>
      </x:c>
      <x:c r="C401" s="31" t="inlineStr">
        <x:is>
          <x:t xml:space="preserve">Приход</x:t>
        </x:is>
      </x:c>
      <x:c r="D401" s="31" t="inlineStr">
        <x:is>
          <x:t xml:space="preserve">МАТ-0051</x:t>
        </x:is>
      </x:c>
      <x:c r="E401" s="31" t="inlineStr">
        <x:is>
          <x:t xml:space="preserve">Кран шаровой Ду50</x:t>
        </x:is>
      </x:c>
      <x:c r="F401" s="31" t="n">
        <x:v>9</x:v>
      </x:c>
      <x:c r="G401" s="31" t="inlineStr">
        <x:is>
          <x:t xml:space="preserve">шт</x:t>
        </x:is>
      </x:c>
      <x:c r="H401" s="31" t="n"/>
      <x:c r="I401" s="31" t="n"/>
      <x:c r="J401" s="31" t="inlineStr">
        <x:is>
          <x:t xml:space="preserve">Брак/карантин</x:t>
        </x:is>
      </x:c>
      <x:c r="K401" s="31" t="inlineStr">
        <x:is>
          <x:t xml:space="preserve">СОТР-036</x:t>
        </x:is>
      </x:c>
      <x:c r="L401" s="31" t="inlineStr">
        <x:is>
          <x:t xml:space="preserve">ДОК-3080</x:t>
        </x:is>
      </x:c>
      <x:c r="M401" s="31" t="inlineStr">
        <x:is>
          <x:t xml:space="preserve">Проведен</x:t>
        </x:is>
      </x:c>
    </x:row>
    <x:row r="402">
      <x:c r="A402" s="31" t="inlineStr">
        <x:is>
          <x:t xml:space="preserve">СКЛ-000401</x:t>
        </x:is>
      </x:c>
      <x:c r="B402" s="31" t="n">
        <x:v>46123</x:v>
      </x:c>
      <x:c r="C402" s="31" t="inlineStr">
        <x:is>
          <x:t xml:space="preserve">Резерв</x:t>
        </x:is>
      </x:c>
      <x:c r="D402" s="31" t="inlineStr">
        <x:is>
          <x:t xml:space="preserve">МАТ-0072</x:t>
        </x:is>
      </x:c>
      <x:c r="E402" s="31" t="inlineStr">
        <x:is>
          <x:t xml:space="preserve">Растворитель</x:t>
        </x:is>
      </x:c>
      <x:c r="F402" s="31" t="n">
        <x:v>-20.26</x:v>
      </x:c>
      <x:c r="G402" s="31" t="inlineStr">
        <x:is>
          <x:t xml:space="preserve">л</x:t>
        </x:is>
      </x:c>
      <x:c r="H402" s="31" t="inlineStr">
        <x:is>
          <x:t xml:space="preserve">ЗК-1098</x:t>
        </x:is>
      </x:c>
      <x:c r="I402" s="31" t="n"/>
      <x:c r="J402" s="31" t="inlineStr">
        <x:is>
          <x:t xml:space="preserve">Цеховой склад</x:t>
        </x:is>
      </x:c>
      <x:c r="K402" s="31" t="inlineStr">
        <x:is>
          <x:t xml:space="preserve">СОТР-037</x:t>
        </x:is>
      </x:c>
      <x:c r="L402" s="31" t="inlineStr">
        <x:is>
          <x:t xml:space="preserve">ДОК-1993</x:t>
        </x:is>
      </x:c>
      <x:c r="M402" s="31" t="inlineStr">
        <x:is>
          <x:t xml:space="preserve">Проведен</x:t>
        </x:is>
      </x:c>
    </x:row>
    <x:row r="403">
      <x:c r="A403" s="31" t="inlineStr">
        <x:is>
          <x:t xml:space="preserve">СКЛ-000402</x:t>
        </x:is>
      </x:c>
      <x:c r="B403" s="31" t="n">
        <x:v>46200</x:v>
      </x:c>
      <x:c r="C403" s="31" t="inlineStr">
        <x:is>
          <x:t xml:space="preserve">Возврат</x:t>
        </x:is>
      </x:c>
      <x:c r="D403" s="31" t="inlineStr">
        <x:is>
          <x:t xml:space="preserve">МАТ-0043</x:t>
        </x:is>
      </x:c>
      <x:c r="E403" s="31" t="inlineStr">
        <x:is>
          <x:t xml:space="preserve">Блок питания 24В</x:t>
        </x:is>
      </x:c>
      <x:c r="F403" s="31" t="n">
        <x:v>19</x:v>
      </x:c>
      <x:c r="G403" s="31" t="inlineStr">
        <x:is>
          <x:t xml:space="preserve">шт</x:t>
        </x:is>
      </x:c>
      <x:c r="H403" s="31" t="n"/>
      <x:c r="I403" s="31" t="n"/>
      <x:c r="J403" s="31" t="inlineStr">
        <x:is>
          <x:t xml:space="preserve">Основной склад</x:t>
        </x:is>
      </x:c>
      <x:c r="K403" s="31" t="inlineStr">
        <x:is>
          <x:t xml:space="preserve">СОТР-037</x:t>
        </x:is>
      </x:c>
      <x:c r="L403" s="31" t="inlineStr">
        <x:is>
          <x:t xml:space="preserve">ДОК-4585</x:t>
        </x:is>
      </x:c>
      <x:c r="M403" s="31" t="inlineStr">
        <x:is>
          <x:t xml:space="preserve">Проведен</x:t>
        </x:is>
      </x:c>
    </x:row>
    <x:row r="404">
      <x:c r="A404" s="31" t="inlineStr">
        <x:is>
          <x:t xml:space="preserve">СКЛ-000403</x:t>
        </x:is>
      </x:c>
      <x:c r="B404" s="31" t="n">
        <x:v>46146</x:v>
      </x:c>
      <x:c r="C404" s="31" t="inlineStr">
        <x:is>
          <x:t xml:space="preserve">Выдача в производство</x:t>
        </x:is>
      </x:c>
      <x:c r="D404" s="31" t="inlineStr">
        <x:is>
          <x:t xml:space="preserve">МАТ-0057</x:t>
        </x:is>
      </x:c>
      <x:c r="E404" s="31" t="inlineStr">
        <x:is>
          <x:t xml:space="preserve">Задвижка Ду100 / исп.2</x:t>
        </x:is>
      </x:c>
      <x:c r="F404" s="31" t="n">
        <x:v>-1</x:v>
      </x:c>
      <x:c r="G404" s="31" t="inlineStr">
        <x:is>
          <x:t xml:space="preserve">шт</x:t>
        </x:is>
      </x:c>
      <x:c r="H404" s="31" t="inlineStr">
        <x:is>
          <x:t xml:space="preserve">ЗК-1023</x:t>
        </x:is>
      </x:c>
      <x:c r="I404" s="31" t="inlineStr">
        <x:is>
          <x:t xml:space="preserve">ПЗ-00067</x:t>
        </x:is>
      </x:c>
      <x:c r="J404" s="31" t="inlineStr">
        <x:is>
          <x:t xml:space="preserve">Брак/карантин</x:t>
        </x:is>
      </x:c>
      <x:c r="K404" s="31" t="inlineStr">
        <x:is>
          <x:t xml:space="preserve">СОТР-024</x:t>
        </x:is>
      </x:c>
      <x:c r="L404" s="31" t="inlineStr">
        <x:is>
          <x:t xml:space="preserve">ДОК-6662</x:t>
        </x:is>
      </x:c>
      <x:c r="M404" s="31" t="inlineStr">
        <x:is>
          <x:t xml:space="preserve">Проведен</x:t>
        </x:is>
      </x:c>
    </x:row>
    <x:row r="405">
      <x:c r="A405" s="31" t="inlineStr">
        <x:is>
          <x:t xml:space="preserve">СКЛ-000404</x:t>
        </x:is>
      </x:c>
      <x:c r="B405" s="31" t="n">
        <x:v>46090</x:v>
      </x:c>
      <x:c r="C405" s="31" t="inlineStr">
        <x:is>
          <x:t xml:space="preserve">Корректировка</x:t>
        </x:is>
      </x:c>
      <x:c r="D405" s="31" t="inlineStr">
        <x:is>
          <x:t xml:space="preserve">МАТ-0085</x:t>
        </x:is>
      </x:c>
      <x:c r="E405" s="31" t="inlineStr">
        <x:is>
          <x:t xml:space="preserve">Пленка стрейч</x:t>
        </x:is>
      </x:c>
      <x:c r="F405" s="31" t="n">
        <x:v>1</x:v>
      </x:c>
      <x:c r="G405" s="31" t="inlineStr">
        <x:is>
          <x:t xml:space="preserve">шт</x:t>
        </x:is>
      </x:c>
      <x:c r="H405" s="31" t="n"/>
      <x:c r="I405" s="31" t="n"/>
      <x:c r="J405" s="31" t="inlineStr">
        <x:is>
          <x:t xml:space="preserve">Основной склад</x:t>
        </x:is>
      </x:c>
      <x:c r="K405" s="31" t="inlineStr">
        <x:is>
          <x:t xml:space="preserve">СОТР-037</x:t>
        </x:is>
      </x:c>
      <x:c r="L405" s="31" t="inlineStr">
        <x:is>
          <x:t xml:space="preserve">ДОК-1183</x:t>
        </x:is>
      </x:c>
      <x:c r="M405" s="31" t="inlineStr">
        <x:is>
          <x:t xml:space="preserve">Черновик</x:t>
        </x:is>
      </x:c>
    </x:row>
    <x:row r="406">
      <x:c r="A406" s="31" t="inlineStr">
        <x:is>
          <x:t xml:space="preserve">СКЛ-000405</x:t>
        </x:is>
      </x:c>
      <x:c r="B406" s="31" t="n">
        <x:v>46137</x:v>
      </x:c>
      <x:c r="C406" s="31" t="inlineStr">
        <x:is>
          <x:t xml:space="preserve">Приход</x:t>
        </x:is>
      </x:c>
      <x:c r="D406" s="31" t="inlineStr">
        <x:is>
          <x:t xml:space="preserve">МАТ-0069</x:t>
        </x:is>
      </x:c>
      <x:c r="E406" s="31" t="inlineStr">
        <x:is>
          <x:t xml:space="preserve">Эмаль полиуретановая</x:t>
        </x:is>
      </x:c>
      <x:c r="F406" s="31" t="n">
        <x:v>48.75</x:v>
      </x:c>
      <x:c r="G406" s="31" t="inlineStr">
        <x:is>
          <x:t xml:space="preserve">л</x:t>
        </x:is>
      </x:c>
      <x:c r="H406" s="31" t="n"/>
      <x:c r="I406" s="31" t="n"/>
      <x:c r="J406" s="31" t="inlineStr">
        <x:is>
          <x:t xml:space="preserve">Основной склад</x:t>
        </x:is>
      </x:c>
      <x:c r="K406" s="31" t="inlineStr">
        <x:is>
          <x:t xml:space="preserve">СОТР-036</x:t>
        </x:is>
      </x:c>
      <x:c r="L406" s="31" t="inlineStr">
        <x:is>
          <x:t xml:space="preserve">ДОК-5549</x:t>
        </x:is>
      </x:c>
      <x:c r="M406" s="31" t="inlineStr">
        <x:is>
          <x:t xml:space="preserve">Проведен</x:t>
        </x:is>
      </x:c>
    </x:row>
    <x:row r="407">
      <x:c r="A407" s="31" t="inlineStr">
        <x:is>
          <x:t xml:space="preserve">СКЛ-000406</x:t>
        </x:is>
      </x:c>
      <x:c r="B407" s="31" t="n">
        <x:v>46168</x:v>
      </x:c>
      <x:c r="C407" s="31" t="inlineStr">
        <x:is>
          <x:t xml:space="preserve">Корректировка</x:t>
        </x:is>
      </x:c>
      <x:c r="D407" s="31" t="inlineStr">
        <x:is>
          <x:t xml:space="preserve">МАТ-0042</x:t>
        </x:is>
      </x:c>
      <x:c r="E407" s="31" t="inlineStr">
        <x:is>
          <x:t xml:space="preserve">модуль аналогового входа 4 канала / исп.3</x:t>
        </x:is>
      </x:c>
      <x:c r="F407" s="31" t="n">
        <x:v>15</x:v>
      </x:c>
      <x:c r="G407" s="31" t="inlineStr">
        <x:is>
          <x:t xml:space="preserve">шт</x:t>
        </x:is>
      </x:c>
      <x:c r="H407" s="31" t="n"/>
      <x:c r="I407" s="31" t="n"/>
      <x:c r="J407" s="31" t="inlineStr">
        <x:is>
          <x:t xml:space="preserve">Цеховой склад</x:t>
        </x:is>
      </x:c>
      <x:c r="K407" s="31" t="inlineStr">
        <x:is>
          <x:t xml:space="preserve">СОТР-039</x:t>
        </x:is>
      </x:c>
      <x:c r="L407" s="31" t="inlineStr">
        <x:is>
          <x:t xml:space="preserve">ДОК-5317</x:t>
        </x:is>
      </x:c>
      <x:c r="M407" s="31" t="inlineStr">
        <x:is>
          <x:t xml:space="preserve">Проведен</x:t>
        </x:is>
      </x:c>
    </x:row>
    <x:row r="408">
      <x:c r="A408" s="31" t="inlineStr">
        <x:is>
          <x:t xml:space="preserve">СКЛ-000407</x:t>
        </x:is>
      </x:c>
      <x:c r="B408" s="31" t="n">
        <x:v>46097</x:v>
      </x:c>
      <x:c r="C408" s="31" t="inlineStr">
        <x:is>
          <x:t xml:space="preserve">Приход</x:t>
        </x:is>
      </x:c>
      <x:c r="D408" s="31" t="inlineStr">
        <x:is>
          <x:t xml:space="preserve">МАТ-0024</x:t>
        </x:is>
      </x:c>
      <x:c r="E408" s="31" t="inlineStr">
        <x:is>
          <x:t xml:space="preserve">Рабочее колесо / исп.2</x:t>
        </x:is>
      </x:c>
      <x:c r="F408" s="31" t="n">
        <x:v>11</x:v>
      </x:c>
      <x:c r="G408" s="31" t="inlineStr">
        <x:is>
          <x:t xml:space="preserve">шт</x:t>
        </x:is>
      </x:c>
      <x:c r="H408" s="31" t="n"/>
      <x:c r="I408" s="31" t="n"/>
      <x:c r="J408" s="31" t="inlineStr">
        <x:is>
          <x:t xml:space="preserve">Основной склад</x:t>
        </x:is>
      </x:c>
      <x:c r="K408" s="31" t="inlineStr">
        <x:is>
          <x:t xml:space="preserve">СОТР-037</x:t>
        </x:is>
      </x:c>
      <x:c r="L408" s="31" t="inlineStr">
        <x:is>
          <x:t xml:space="preserve">ДОК-2391</x:t>
        </x:is>
      </x:c>
      <x:c r="M408" s="31" t="inlineStr">
        <x:is>
          <x:t xml:space="preserve">Требует проверки</x:t>
        </x:is>
      </x:c>
    </x:row>
    <x:row r="409">
      <x:c r="A409" s="31" t="inlineStr">
        <x:is>
          <x:t xml:space="preserve">СКЛ-000408</x:t>
        </x:is>
      </x:c>
      <x:c r="B409" s="31" t="n">
        <x:v>46138</x:v>
      </x:c>
      <x:c r="C409" s="31" t="inlineStr">
        <x:is>
          <x:t xml:space="preserve">Списание</x:t>
        </x:is>
      </x:c>
      <x:c r="D409" s="31" t="inlineStr">
        <x:is>
          <x:t xml:space="preserve">МАТ-0048</x:t>
        </x:is>
      </x:c>
      <x:c r="E409" s="31" t="inlineStr">
        <x:is>
          <x:t xml:space="preserve">Контактор 25А / исп.3</x:t>
        </x:is>
      </x:c>
      <x:c r="F409" s="31" t="n">
        <x:v>-11</x:v>
      </x:c>
      <x:c r="G409" s="31" t="inlineStr">
        <x:is>
          <x:t xml:space="preserve">шт</x:t>
        </x:is>
      </x:c>
      <x:c r="H409" s="31" t="n"/>
      <x:c r="I409" s="31" t="n"/>
      <x:c r="J409" s="31" t="inlineStr">
        <x:is>
          <x:t xml:space="preserve">Основной склад</x:t>
        </x:is>
      </x:c>
      <x:c r="K409" s="31" t="inlineStr">
        <x:is>
          <x:t xml:space="preserve">СОТР-036</x:t>
        </x:is>
      </x:c>
      <x:c r="L409" s="31" t="inlineStr">
        <x:is>
          <x:t xml:space="preserve">ДОК-1157</x:t>
        </x:is>
      </x:c>
      <x:c r="M409" s="31" t="inlineStr">
        <x:is>
          <x:t xml:space="preserve">Проведен</x:t>
        </x:is>
      </x:c>
    </x:row>
    <x:row r="410">
      <x:c r="A410" s="31" t="inlineStr">
        <x:is>
          <x:t xml:space="preserve">СКЛ-000409</x:t>
        </x:is>
      </x:c>
      <x:c r="B410" s="31" t="n">
        <x:v>46196</x:v>
      </x:c>
      <x:c r="C410" s="31" t="inlineStr">
        <x:is>
          <x:t xml:space="preserve">Приход</x:t>
        </x:is>
      </x:c>
      <x:c r="D410" s="31" t="inlineStr">
        <x:is>
          <x:t xml:space="preserve">МАТ-0023</x:t>
        </x:is>
      </x:c>
      <x:c r="E410" s="31" t="inlineStr">
        <x:is>
          <x:t xml:space="preserve">Рабочее колесо</x:t>
        </x:is>
      </x:c>
      <x:c r="F410" s="31" t="n">
        <x:v>13</x:v>
      </x:c>
      <x:c r="G410" s="31" t="inlineStr">
        <x:is>
          <x:t xml:space="preserve">шт</x:t>
        </x:is>
      </x:c>
      <x:c r="H410" s="31" t="n"/>
      <x:c r="I410" s="31" t="n"/>
      <x:c r="J410" s="31" t="inlineStr">
        <x:is>
          <x:t xml:space="preserve">Основной склад</x:t>
        </x:is>
      </x:c>
      <x:c r="K410" s="31" t="inlineStr">
        <x:is>
          <x:t xml:space="preserve">СОТР-037</x:t>
        </x:is>
      </x:c>
      <x:c r="L410" s="31" t="inlineStr">
        <x:is>
          <x:t xml:space="preserve">ДОК-4976</x:t>
        </x:is>
      </x:c>
      <x:c r="M410" s="31" t="inlineStr">
        <x:is>
          <x:t xml:space="preserve">Проведен</x:t>
        </x:is>
      </x:c>
    </x:row>
    <x:row r="411">
      <x:c r="A411" s="31" t="inlineStr">
        <x:is>
          <x:t xml:space="preserve">СКЛ-000410</x:t>
        </x:is>
      </x:c>
      <x:c r="B411" s="31" t="n">
        <x:v>46191</x:v>
      </x:c>
      <x:c r="C411" s="31" t="inlineStr">
        <x:is>
          <x:t xml:space="preserve">Приход</x:t>
        </x:is>
      </x:c>
      <x:c r="D411" s="31" t="inlineStr">
        <x:is>
          <x:t xml:space="preserve">МАТ-0004</x:t>
        </x:is>
      </x:c>
      <x:c r="E411" s="31" t="inlineStr">
        <x:is>
          <x:t xml:space="preserve">Лист стальной 09Г2С 12 мм / исп.3</x:t>
        </x:is>
      </x:c>
      <x:c r="F411" s="31" t="n">
        <x:v>70.86</x:v>
      </x:c>
      <x:c r="G411" s="31" t="inlineStr">
        <x:is>
          <x:t xml:space="preserve">л</x:t>
        </x:is>
      </x:c>
      <x:c r="H411" s="31" t="n"/>
      <x:c r="I411" s="31" t="n"/>
      <x:c r="J411" s="31" t="inlineStr">
        <x:is>
          <x:t xml:space="preserve">Основной склад</x:t>
        </x:is>
      </x:c>
      <x:c r="K411" s="31" t="inlineStr">
        <x:is>
          <x:t xml:space="preserve">СОТР-024</x:t>
        </x:is>
      </x:c>
      <x:c r="L411" s="31" t="inlineStr">
        <x:is>
          <x:t xml:space="preserve">ДОК-6719</x:t>
        </x:is>
      </x:c>
      <x:c r="M411" s="31" t="inlineStr">
        <x:is>
          <x:t xml:space="preserve">Проведен</x:t>
        </x:is>
      </x:c>
    </x:row>
    <x:row r="412">
      <x:c r="A412" s="31" t="inlineStr">
        <x:is>
          <x:t xml:space="preserve">СКЛ-000411</x:t>
        </x:is>
      </x:c>
      <x:c r="B412" s="31" t="n">
        <x:v>46035</x:v>
      </x:c>
      <x:c r="C412" s="31" t="inlineStr">
        <x:is>
          <x:t xml:space="preserve">Приход</x:t>
        </x:is>
      </x:c>
      <x:c r="D412" s="31" t="inlineStr">
        <x:is>
          <x:t xml:space="preserve">МАТ-0069</x:t>
        </x:is>
      </x:c>
      <x:c r="E412" s="31" t="inlineStr">
        <x:is>
          <x:t xml:space="preserve">Эмаль полиуретановая</x:t>
        </x:is>
      </x:c>
      <x:c r="F412" s="31" t="n">
        <x:v>50.78</x:v>
      </x:c>
      <x:c r="G412" s="31" t="inlineStr">
        <x:is>
          <x:t xml:space="preserve">л</x:t>
        </x:is>
      </x:c>
      <x:c r="H412" s="31" t="n"/>
      <x:c r="I412" s="31" t="n"/>
      <x:c r="J412" s="31" t="inlineStr">
        <x:is>
          <x:t xml:space="preserve">Основной склад</x:t>
        </x:is>
      </x:c>
      <x:c r="K412" s="31" t="inlineStr">
        <x:is>
          <x:t xml:space="preserve">СОТР-036</x:t>
        </x:is>
      </x:c>
      <x:c r="L412" s="31" t="inlineStr">
        <x:is>
          <x:t xml:space="preserve">ДОК-5452</x:t>
        </x:is>
      </x:c>
      <x:c r="M412" s="31" t="inlineStr">
        <x:is>
          <x:t xml:space="preserve">Требует проверки</x:t>
        </x:is>
      </x:c>
    </x:row>
    <x:row r="413">
      <x:c r="A413" s="31" t="inlineStr">
        <x:is>
          <x:t xml:space="preserve">СКЛ-000412</x:t>
        </x:is>
      </x:c>
      <x:c r="B413" s="31" t="n">
        <x:v>46043</x:v>
      </x:c>
      <x:c r="C413" s="31" t="inlineStr">
        <x:is>
          <x:t xml:space="preserve">Резерв</x:t>
        </x:is>
      </x:c>
      <x:c r="D413" s="31" t="inlineStr">
        <x:is>
          <x:t xml:space="preserve">МАТ-0046</x:t>
        </x:is>
      </x:c>
      <x:c r="E413" s="31" t="inlineStr">
        <x:is>
          <x:t xml:space="preserve">Контактор 25А</x:t>
        </x:is>
      </x:c>
      <x:c r="F413" s="31" t="n">
        <x:v>-1</x:v>
      </x:c>
      <x:c r="G413" s="31" t="inlineStr">
        <x:is>
          <x:t xml:space="preserve">шт</x:t>
        </x:is>
      </x:c>
      <x:c r="H413" s="31" t="inlineStr">
        <x:is>
          <x:t xml:space="preserve">ЗК-1052</x:t>
        </x:is>
      </x:c>
      <x:c r="I413" s="31" t="n"/>
      <x:c r="J413" s="31" t="inlineStr">
        <x:is>
          <x:t xml:space="preserve">Основной склад</x:t>
        </x:is>
      </x:c>
      <x:c r="K413" s="31" t="inlineStr">
        <x:is>
          <x:t xml:space="preserve">СОТР-036</x:t>
        </x:is>
      </x:c>
      <x:c r="L413" s="31" t="inlineStr">
        <x:is>
          <x:t xml:space="preserve">ДОК-1612</x:t>
        </x:is>
      </x:c>
      <x:c r="M413" s="31" t="inlineStr">
        <x:is>
          <x:t xml:space="preserve">Проведен</x:t>
        </x:is>
      </x:c>
    </x:row>
    <x:row r="414">
      <x:c r="A414" s="31" t="inlineStr">
        <x:is>
          <x:t xml:space="preserve">СКЛ-000413</x:t>
        </x:is>
      </x:c>
      <x:c r="B414" s="31" t="n">
        <x:v>46190</x:v>
      </x:c>
      <x:c r="C414" s="31" t="inlineStr">
        <x:is>
          <x:t xml:space="preserve">Резерв</x:t>
        </x:is>
      </x:c>
      <x:c r="D414" s="31" t="inlineStr">
        <x:is>
          <x:t xml:space="preserve">МАТ-0053</x:t>
        </x:is>
      </x:c>
      <x:c r="E414" s="31" t="inlineStr">
        <x:is>
          <x:t xml:space="preserve">Кран шаровой Ду50 / исп.3</x:t>
        </x:is>
      </x:c>
      <x:c r="F414" s="31" t="n">
        <x:v>-9</x:v>
      </x:c>
      <x:c r="G414" s="31" t="inlineStr">
        <x:is>
          <x:t xml:space="preserve">шт</x:t>
        </x:is>
      </x:c>
      <x:c r="H414" s="31" t="inlineStr">
        <x:is>
          <x:t xml:space="preserve">ЗК-1071</x:t>
        </x:is>
      </x:c>
      <x:c r="I414" s="31" t="n"/>
      <x:c r="J414" s="31" t="inlineStr">
        <x:is>
          <x:t xml:space="preserve">Основной склад</x:t>
        </x:is>
      </x:c>
      <x:c r="K414" s="31" t="inlineStr">
        <x:is>
          <x:t xml:space="preserve">СОТР-035</x:t>
        </x:is>
      </x:c>
      <x:c r="L414" s="31" t="inlineStr">
        <x:is>
          <x:t xml:space="preserve">ДОК-5844</x:t>
        </x:is>
      </x:c>
      <x:c r="M414" s="31" t="inlineStr">
        <x:is>
          <x:t xml:space="preserve">Проведен</x:t>
        </x:is>
      </x:c>
    </x:row>
    <x:row r="415">
      <x:c r="A415" s="31" t="inlineStr">
        <x:is>
          <x:t xml:space="preserve">СКЛ-000414</x:t>
        </x:is>
      </x:c>
      <x:c r="B415" s="31" t="n">
        <x:v>46123</x:v>
      </x:c>
      <x:c r="C415" s="31" t="inlineStr">
        <x:is>
          <x:t xml:space="preserve">Возврат</x:t>
        </x:is>
      </x:c>
      <x:c r="D415" s="31" t="inlineStr">
        <x:is>
          <x:t xml:space="preserve">МАТ-0069</x:t>
        </x:is>
      </x:c>
      <x:c r="E415" s="31" t="inlineStr">
        <x:is>
          <x:t xml:space="preserve">Эмаль полиуретановая</x:t>
        </x:is>
      </x:c>
      <x:c r="F415" s="31" t="n">
        <x:v>28.73</x:v>
      </x:c>
      <x:c r="G415" s="31" t="inlineStr">
        <x:is>
          <x:t xml:space="preserve">л</x:t>
        </x:is>
      </x:c>
      <x:c r="H415" s="31" t="n"/>
      <x:c r="I415" s="31" t="n"/>
      <x:c r="J415" s="31" t="inlineStr">
        <x:is>
          <x:t xml:space="preserve">Основной склад</x:t>
        </x:is>
      </x:c>
      <x:c r="K415" s="31" t="inlineStr">
        <x:is>
          <x:t xml:space="preserve">СОТР-036</x:t>
        </x:is>
      </x:c>
      <x:c r="L415" s="31" t="inlineStr">
        <x:is>
          <x:t xml:space="preserve">ДОК-3326</x:t>
        </x:is>
      </x:c>
      <x:c r="M415" s="31" t="inlineStr">
        <x:is>
          <x:t xml:space="preserve">Проведен</x:t>
        </x:is>
      </x:c>
    </x:row>
    <x:row r="416">
      <x:c r="A416" s="31" t="inlineStr">
        <x:is>
          <x:t xml:space="preserve">СКЛ-000415</x:t>
        </x:is>
      </x:c>
      <x:c r="B416" s="31" t="n">
        <x:v>46139</x:v>
      </x:c>
      <x:c r="C416" s="31" t="inlineStr">
        <x:is>
          <x:t xml:space="preserve">Резерв</x:t>
        </x:is>
      </x:c>
      <x:c r="D416" s="31" t="inlineStr">
        <x:is>
          <x:t xml:space="preserve">МАТ-0051</x:t>
        </x:is>
      </x:c>
      <x:c r="E416" s="31" t="inlineStr">
        <x:is>
          <x:t xml:space="preserve">Кран шаровой Ду50</x:t>
        </x:is>
      </x:c>
      <x:c r="F416" s="31" t="n">
        <x:v>-15</x:v>
      </x:c>
      <x:c r="G416" s="31" t="inlineStr">
        <x:is>
          <x:t xml:space="preserve">шт</x:t>
        </x:is>
      </x:c>
      <x:c r="H416" s="31" t="inlineStr">
        <x:is>
          <x:t xml:space="preserve">ЗК-1064</x:t>
        </x:is>
      </x:c>
      <x:c r="I416" s="31" t="n"/>
      <x:c r="J416" s="31" t="inlineStr">
        <x:is>
          <x:t xml:space="preserve">Основной склад</x:t>
        </x:is>
      </x:c>
      <x:c r="K416" s="31" t="inlineStr">
        <x:is>
          <x:t xml:space="preserve">СОТР-035</x:t>
        </x:is>
      </x:c>
      <x:c r="L416" s="31" t="inlineStr">
        <x:is>
          <x:t xml:space="preserve">ДОК-9689</x:t>
        </x:is>
      </x:c>
      <x:c r="M416" s="31" t="inlineStr">
        <x:is>
          <x:t xml:space="preserve">Проведен</x:t>
        </x:is>
      </x:c>
    </x:row>
    <x:row r="417">
      <x:c r="A417" s="31" t="inlineStr">
        <x:is>
          <x:t xml:space="preserve">СКЛ-000416</x:t>
        </x:is>
      </x:c>
      <x:c r="B417" s="31" t="n">
        <x:v>46059</x:v>
      </x:c>
      <x:c r="C417" s="31" t="inlineStr">
        <x:is>
          <x:t xml:space="preserve">Выдача в производство</x:t>
        </x:is>
      </x:c>
      <x:c r="D417" s="31" t="inlineStr">
        <x:is>
          <x:t xml:space="preserve">МАТ-0061</x:t>
        </x:is>
      </x:c>
      <x:c r="E417" s="31" t="inlineStr">
        <x:is>
          <x:t xml:space="preserve">Фильтр сетчатый Ду50 / исп.3</x:t>
        </x:is>
      </x:c>
      <x:c r="F417" s="31" t="n">
        <x:v>-17</x:v>
      </x:c>
      <x:c r="G417" s="31" t="inlineStr">
        <x:is>
          <x:t xml:space="preserve">шт</x:t>
        </x:is>
      </x:c>
      <x:c r="H417" s="31" t="inlineStr">
        <x:is>
          <x:t xml:space="preserve">ЗК-1017</x:t>
        </x:is>
      </x:c>
      <x:c r="I417" s="31" t="inlineStr">
        <x:is>
          <x:t xml:space="preserve">ПЗ-00046</x:t>
        </x:is>
      </x:c>
      <x:c r="J417" s="31" t="inlineStr">
        <x:is>
          <x:t xml:space="preserve">Основной склад</x:t>
        </x:is>
      </x:c>
      <x:c r="K417" s="31" t="inlineStr">
        <x:is>
          <x:t xml:space="preserve">СОТР-033</x:t>
        </x:is>
      </x:c>
      <x:c r="L417" s="31" t="inlineStr">
        <x:is>
          <x:t xml:space="preserve">ДОК-7292</x:t>
        </x:is>
      </x:c>
      <x:c r="M417" s="31" t="inlineStr">
        <x:is>
          <x:t xml:space="preserve">Проведен</x:t>
        </x:is>
      </x:c>
    </x:row>
    <x:row r="418">
      <x:c r="A418" s="31" t="inlineStr">
        <x:is>
          <x:t xml:space="preserve">СКЛ-000417</x:t>
        </x:is>
      </x:c>
      <x:c r="B418" s="31" t="n">
        <x:v>46175</x:v>
      </x:c>
      <x:c r="C418" s="31" t="inlineStr">
        <x:is>
          <x:t xml:space="preserve">Выдача в производство</x:t>
        </x:is>
      </x:c>
      <x:c r="D418" s="31" t="inlineStr">
        <x:is>
          <x:t xml:space="preserve">МАТ-0088</x:t>
        </x:is>
      </x:c>
      <x:c r="E418" s="31" t="inlineStr">
        <x:is>
          <x:t xml:space="preserve">Ящик фанерный / исп.2</x:t>
        </x:is>
      </x:c>
      <x:c r="F418" s="31" t="n">
        <x:v>-12</x:v>
      </x:c>
      <x:c r="G418" s="31" t="inlineStr">
        <x:is>
          <x:t xml:space="preserve">шт</x:t>
        </x:is>
      </x:c>
      <x:c r="H418" s="31" t="inlineStr">
        <x:is>
          <x:t xml:space="preserve">ЗК-1013</x:t>
        </x:is>
      </x:c>
      <x:c r="I418" s="31" t="inlineStr">
        <x:is>
          <x:t xml:space="preserve">ПЗ-00061</x:t>
        </x:is>
      </x:c>
      <x:c r="J418" s="31" t="inlineStr">
        <x:is>
          <x:t xml:space="preserve">Основной склад</x:t>
        </x:is>
      </x:c>
      <x:c r="K418" s="31" t="inlineStr">
        <x:is>
          <x:t xml:space="preserve">СОТР-024</x:t>
        </x:is>
      </x:c>
      <x:c r="L418" s="31" t="inlineStr">
        <x:is>
          <x:t xml:space="preserve">ДОК-6050</x:t>
        </x:is>
      </x:c>
      <x:c r="M418" s="31" t="inlineStr">
        <x:is>
          <x:t xml:space="preserve">Проведен</x:t>
        </x:is>
      </x:c>
    </x:row>
    <x:row r="419">
      <x:c r="A419" s="31" t="inlineStr">
        <x:is>
          <x:t xml:space="preserve">СКЛ-000418</x:t>
        </x:is>
      </x:c>
      <x:c r="B419" s="31" t="n">
        <x:v>46049</x:v>
      </x:c>
      <x:c r="C419" s="31" t="inlineStr">
        <x:is>
          <x:t xml:space="preserve">Списание</x:t>
        </x:is>
      </x:c>
      <x:c r="D419" s="31" t="inlineStr">
        <x:is>
          <x:t xml:space="preserve">МАТ-0044</x:t>
        </x:is>
      </x:c>
      <x:c r="E419" s="31" t="inlineStr">
        <x:is>
          <x:t xml:space="preserve">Блок питания 24В / исп.2</x:t>
        </x:is>
      </x:c>
      <x:c r="F419" s="31" t="n">
        <x:v>-15</x:v>
      </x:c>
      <x:c r="G419" s="31" t="inlineStr">
        <x:is>
          <x:t xml:space="preserve">шт</x:t>
        </x:is>
      </x:c>
      <x:c r="H419" s="31" t="n"/>
      <x:c r="I419" s="31" t="n"/>
      <x:c r="J419" s="31" t="inlineStr">
        <x:is>
          <x:t xml:space="preserve">Цеховой склад</x:t>
        </x:is>
      </x:c>
      <x:c r="K419" s="31" t="inlineStr">
        <x:is>
          <x:t xml:space="preserve">СОТР-036</x:t>
        </x:is>
      </x:c>
      <x:c r="L419" s="31" t="inlineStr">
        <x:is>
          <x:t xml:space="preserve">ДОК-2165</x:t>
        </x:is>
      </x:c>
      <x:c r="M419" s="31" t="inlineStr">
        <x:is>
          <x:t xml:space="preserve">Проведен</x:t>
        </x:is>
      </x:c>
    </x:row>
    <x:row r="420">
      <x:c r="A420" s="31" t="inlineStr">
        <x:is>
          <x:t xml:space="preserve">СКЛ-000419</x:t>
        </x:is>
      </x:c>
      <x:c r="B420" s="31" t="n">
        <x:v>46079</x:v>
      </x:c>
      <x:c r="C420" s="31" t="inlineStr">
        <x:is>
          <x:t xml:space="preserve">Резерв</x:t>
        </x:is>
      </x:c>
      <x:c r="D420" s="31" t="inlineStr">
        <x:is>
          <x:t xml:space="preserve">МАТ-0088</x:t>
        </x:is>
      </x:c>
      <x:c r="E420" s="31" t="inlineStr">
        <x:is>
          <x:t xml:space="preserve">Ящик фанерный / исп.2</x:t>
        </x:is>
      </x:c>
      <x:c r="F420" s="31" t="n">
        <x:v>-13</x:v>
      </x:c>
      <x:c r="G420" s="31" t="inlineStr">
        <x:is>
          <x:t xml:space="preserve">шт</x:t>
        </x:is>
      </x:c>
      <x:c r="H420" s="31" t="inlineStr">
        <x:is>
          <x:t xml:space="preserve">ЗК-1098</x:t>
        </x:is>
      </x:c>
      <x:c r="I420" s="31" t="n"/>
      <x:c r="J420" s="31" t="inlineStr">
        <x:is>
          <x:t xml:space="preserve">Цеховой склад</x:t>
        </x:is>
      </x:c>
      <x:c r="K420" s="31" t="inlineStr">
        <x:is>
          <x:t xml:space="preserve">СОТР-033</x:t>
        </x:is>
      </x:c>
      <x:c r="L420" s="31" t="inlineStr">
        <x:is>
          <x:t xml:space="preserve">ДОК-1653</x:t>
        </x:is>
      </x:c>
      <x:c r="M420" s="31" t="inlineStr">
        <x:is>
          <x:t xml:space="preserve">Проведен</x:t>
        </x:is>
      </x:c>
    </x:row>
    <x:row r="421">
      <x:c r="A421" s="31" t="inlineStr">
        <x:is>
          <x:t xml:space="preserve">СКЛ-000420</x:t>
        </x:is>
      </x:c>
      <x:c r="B421" s="31" t="n">
        <x:v>46180</x:v>
      </x:c>
      <x:c r="C421" s="31" t="inlineStr">
        <x:is>
          <x:t xml:space="preserve">Выдача в производство</x:t>
        </x:is>
      </x:c>
      <x:c r="D421" s="31" t="inlineStr">
        <x:is>
          <x:t xml:space="preserve">МАТ-0030</x:t>
        </x:is>
      </x:c>
      <x:c r="E421" s="31" t="inlineStr">
        <x:is>
          <x:t xml:space="preserve">Частотный преобразователь 22 кВт / исп.2</x:t>
        </x:is>
      </x:c>
      <x:c r="F421" s="31" t="n">
        <x:v>-4</x:v>
      </x:c>
      <x:c r="G421" s="31" t="inlineStr">
        <x:is>
          <x:t xml:space="preserve">шт</x:t>
        </x:is>
      </x:c>
      <x:c r="H421" s="31" t="inlineStr">
        <x:is>
          <x:t xml:space="preserve">ЗК-1037</x:t>
        </x:is>
      </x:c>
      <x:c r="I421" s="31" t="inlineStr">
        <x:is>
          <x:t xml:space="preserve">ПЗ-00127</x:t>
        </x:is>
      </x:c>
      <x:c r="J421" s="31" t="inlineStr">
        <x:is>
          <x:t xml:space="preserve">Основной склад</x:t>
        </x:is>
      </x:c>
      <x:c r="K421" s="31" t="inlineStr">
        <x:is>
          <x:t xml:space="preserve">СОТР-039</x:t>
        </x:is>
      </x:c>
      <x:c r="L421" s="31" t="inlineStr">
        <x:is>
          <x:t xml:space="preserve">ДОК-1948</x:t>
        </x:is>
      </x:c>
      <x:c r="M421" s="31" t="inlineStr">
        <x:is>
          <x:t xml:space="preserve">Проведен</x:t>
        </x:is>
      </x:c>
    </x:row>
    <x:row r="422">
      <x:c r="A422" s="31" t="inlineStr">
        <x:is>
          <x:t xml:space="preserve">СКЛ-000421</x:t>
        </x:is>
      </x:c>
      <x:c r="B422" s="31" t="n">
        <x:v>46136</x:v>
      </x:c>
      <x:c r="C422" s="31" t="inlineStr">
        <x:is>
          <x:t xml:space="preserve">Корректировка</x:t>
        </x:is>
      </x:c>
      <x:c r="D422" s="31" t="inlineStr">
        <x:is>
          <x:t xml:space="preserve">МАТ-0040</x:t>
        </x:is>
      </x:c>
      <x:c r="E422" s="31" t="inlineStr">
        <x:is>
          <x:t xml:space="preserve">модуль аналогового входа 4 канала</x:t>
        </x:is>
      </x:c>
      <x:c r="F422" s="31" t="n">
        <x:v>4</x:v>
      </x:c>
      <x:c r="G422" s="31" t="inlineStr">
        <x:is>
          <x:t xml:space="preserve">шт</x:t>
        </x:is>
      </x:c>
      <x:c r="H422" s="31" t="n"/>
      <x:c r="I422" s="31" t="n"/>
      <x:c r="J422" s="31" t="inlineStr">
        <x:is>
          <x:t xml:space="preserve">Основной склад</x:t>
        </x:is>
      </x:c>
      <x:c r="K422" s="31" t="inlineStr">
        <x:is>
          <x:t xml:space="preserve">СОТР-036</x:t>
        </x:is>
      </x:c>
      <x:c r="L422" s="31" t="inlineStr">
        <x:is>
          <x:t xml:space="preserve">ДОК-5555</x:t>
        </x:is>
      </x:c>
      <x:c r="M422" s="31" t="inlineStr">
        <x:is>
          <x:t xml:space="preserve">Проведен</x:t>
        </x:is>
      </x:c>
    </x:row>
    <x:row r="423">
      <x:c r="A423" s="31" t="inlineStr">
        <x:is>
          <x:t xml:space="preserve">СКЛ-000422</x:t>
        </x:is>
      </x:c>
      <x:c r="B423" s="31" t="n">
        <x:v>46186</x:v>
      </x:c>
      <x:c r="C423" s="31" t="inlineStr">
        <x:is>
          <x:t xml:space="preserve">Резерв</x:t>
        </x:is>
      </x:c>
      <x:c r="D423" s="31" t="inlineStr">
        <x:is>
          <x:t xml:space="preserve">МАТ-0054</x:t>
        </x:is>
      </x:c>
      <x:c r="E423" s="31" t="inlineStr">
        <x:is>
          <x:t xml:space="preserve">Кран шаровой Ду80</x:t>
        </x:is>
      </x:c>
      <x:c r="F423" s="31" t="n">
        <x:v>-17</x:v>
      </x:c>
      <x:c r="G423" s="31" t="inlineStr">
        <x:is>
          <x:t xml:space="preserve">шт</x:t>
        </x:is>
      </x:c>
      <x:c r="H423" s="31" t="inlineStr">
        <x:is>
          <x:t xml:space="preserve">ЗК-1128</x:t>
        </x:is>
      </x:c>
      <x:c r="I423" s="31" t="n"/>
      <x:c r="J423" s="31" t="inlineStr">
        <x:is>
          <x:t xml:space="preserve">Брак/карантин</x:t>
        </x:is>
      </x:c>
      <x:c r="K423" s="31" t="inlineStr">
        <x:is>
          <x:t xml:space="preserve">СОТР-034</x:t>
        </x:is>
      </x:c>
      <x:c r="L423" s="31" t="inlineStr">
        <x:is>
          <x:t xml:space="preserve">ДОК-5117</x:t>
        </x:is>
      </x:c>
      <x:c r="M423" s="31" t="inlineStr">
        <x:is>
          <x:t xml:space="preserve">Проведен</x:t>
        </x:is>
      </x:c>
    </x:row>
    <x:row r="424">
      <x:c r="A424" s="31" t="inlineStr">
        <x:is>
          <x:t xml:space="preserve">СКЛ-000423</x:t>
        </x:is>
      </x:c>
      <x:c r="B424" s="31" t="n">
        <x:v>46089</x:v>
      </x:c>
      <x:c r="C424" s="31" t="inlineStr">
        <x:is>
          <x:t xml:space="preserve">Списание</x:t>
        </x:is>
      </x:c>
      <x:c r="D424" s="31" t="inlineStr">
        <x:is>
          <x:t xml:space="preserve">МАТ-0011</x:t>
        </x:is>
      </x:c>
      <x:c r="E424" s="31" t="inlineStr">
        <x:is>
          <x:t xml:space="preserve">Фланец Ду50 Ру16 / исп.3</x:t>
        </x:is>
      </x:c>
      <x:c r="F424" s="31" t="n">
        <x:v>-18</x:v>
      </x:c>
      <x:c r="G424" s="31" t="inlineStr">
        <x:is>
          <x:t xml:space="preserve">шт</x:t>
        </x:is>
      </x:c>
      <x:c r="H424" s="31" t="n"/>
      <x:c r="I424" s="31" t="n"/>
      <x:c r="J424" s="31" t="inlineStr">
        <x:is>
          <x:t xml:space="preserve">Основной склад</x:t>
        </x:is>
      </x:c>
      <x:c r="K424" s="31" t="inlineStr">
        <x:is>
          <x:t xml:space="preserve">СОТР-033</x:t>
        </x:is>
      </x:c>
      <x:c r="L424" s="31" t="inlineStr">
        <x:is>
          <x:t xml:space="preserve">ДОК-2442</x:t>
        </x:is>
      </x:c>
      <x:c r="M424" s="31" t="inlineStr">
        <x:is>
          <x:t xml:space="preserve">Проведен</x:t>
        </x:is>
      </x:c>
    </x:row>
    <x:row r="425">
      <x:c r="A425" s="31" t="inlineStr">
        <x:is>
          <x:t xml:space="preserve">СКЛ-000424</x:t>
        </x:is>
      </x:c>
      <x:c r="B425" s="31" t="n">
        <x:v>46100</x:v>
      </x:c>
      <x:c r="C425" s="31" t="inlineStr">
        <x:is>
          <x:t xml:space="preserve">Возврат</x:t>
        </x:is>
      </x:c>
      <x:c r="D425" s="31" t="inlineStr">
        <x:is>
          <x:t xml:space="preserve">МАТ-0031</x:t>
        </x:is>
      </x:c>
      <x:c r="E425" s="31" t="inlineStr">
        <x:is>
          <x:t xml:space="preserve">Датчик давления 0-16 бар</x:t>
        </x:is>
      </x:c>
      <x:c r="F425" s="31" t="n">
        <x:v>5</x:v>
      </x:c>
      <x:c r="G425" s="31" t="inlineStr">
        <x:is>
          <x:t xml:space="preserve">шт</x:t>
        </x:is>
      </x:c>
      <x:c r="H425" s="31" t="n"/>
      <x:c r="I425" s="31" t="n"/>
      <x:c r="J425" s="31" t="inlineStr">
        <x:is>
          <x:t xml:space="preserve">Брак/карантин</x:t>
        </x:is>
      </x:c>
      <x:c r="K425" s="31" t="inlineStr">
        <x:is>
          <x:t xml:space="preserve">СОТР-036</x:t>
        </x:is>
      </x:c>
      <x:c r="L425" s="31" t="inlineStr">
        <x:is>
          <x:t xml:space="preserve">ДОК-9079</x:t>
        </x:is>
      </x:c>
      <x:c r="M425" s="31" t="inlineStr">
        <x:is>
          <x:t xml:space="preserve">Черновик</x:t>
        </x:is>
      </x:c>
    </x:row>
    <x:row r="426">
      <x:c r="A426" s="31" t="inlineStr">
        <x:is>
          <x:t xml:space="preserve">СКЛ-000425</x:t>
        </x:is>
      </x:c>
      <x:c r="B426" s="31" t="n">
        <x:v>46179</x:v>
      </x:c>
      <x:c r="C426" s="31" t="inlineStr">
        <x:is>
          <x:t xml:space="preserve">Возврат</x:t>
        </x:is>
      </x:c>
      <x:c r="D426" s="31" t="inlineStr">
        <x:is>
          <x:t xml:space="preserve">МАТ-0077</x:t>
        </x:is>
      </x:c>
      <x:c r="E426" s="31" t="inlineStr">
        <x:is>
          <x:t xml:space="preserve">Болт М16</x:t>
        </x:is>
      </x:c>
      <x:c r="F426" s="31" t="n">
        <x:v>6</x:v>
      </x:c>
      <x:c r="G426" s="31" t="inlineStr">
        <x:is>
          <x:t xml:space="preserve">шт</x:t>
        </x:is>
      </x:c>
      <x:c r="H426" s="31" t="n"/>
      <x:c r="I426" s="31" t="n"/>
      <x:c r="J426" s="31" t="inlineStr">
        <x:is>
          <x:t xml:space="preserve">Основной склад</x:t>
        </x:is>
      </x:c>
      <x:c r="K426" s="31" t="inlineStr">
        <x:is>
          <x:t xml:space="preserve">СОТР-037</x:t>
        </x:is>
      </x:c>
      <x:c r="L426" s="31" t="inlineStr">
        <x:is>
          <x:t xml:space="preserve">ДОК-2512</x:t>
        </x:is>
      </x:c>
      <x:c r="M426" s="31" t="inlineStr">
        <x:is>
          <x:t xml:space="preserve">Проведен</x:t>
        </x:is>
      </x:c>
    </x:row>
    <x:row r="427">
      <x:c r="A427" s="31" t="inlineStr">
        <x:is>
          <x:t xml:space="preserve">СКЛ-000426</x:t>
        </x:is>
      </x:c>
      <x:c r="B427" s="31" t="n">
        <x:v>46166</x:v>
      </x:c>
      <x:c r="C427" s="31" t="inlineStr">
        <x:is>
          <x:t xml:space="preserve">Списание</x:t>
        </x:is>
      </x:c>
      <x:c r="D427" s="31" t="inlineStr">
        <x:is>
          <x:t xml:space="preserve">МАТ-0035</x:t>
        </x:is>
      </x:c>
      <x:c r="E427" s="31" t="inlineStr">
        <x:is>
          <x:t xml:space="preserve">Клапан электромагнитный 24В</x:t>
        </x:is>
      </x:c>
      <x:c r="F427" s="31" t="n">
        <x:v>-10</x:v>
      </x:c>
      <x:c r="G427" s="31" t="inlineStr">
        <x:is>
          <x:t xml:space="preserve">шт</x:t>
        </x:is>
      </x:c>
      <x:c r="H427" s="31" t="n"/>
      <x:c r="I427" s="31" t="n"/>
      <x:c r="J427" s="31" t="inlineStr">
        <x:is>
          <x:t xml:space="preserve">Брак/карантин</x:t>
        </x:is>
      </x:c>
      <x:c r="K427" s="31" t="inlineStr">
        <x:is>
          <x:t xml:space="preserve">СОТР-036</x:t>
        </x:is>
      </x:c>
      <x:c r="L427" s="31" t="inlineStr">
        <x:is>
          <x:t xml:space="preserve">ДОК-1327</x:t>
        </x:is>
      </x:c>
      <x:c r="M427" s="31" t="inlineStr">
        <x:is>
          <x:t xml:space="preserve">Черновик</x:t>
        </x:is>
      </x:c>
    </x:row>
    <x:row r="428">
      <x:c r="A428" s="31" t="inlineStr">
        <x:is>
          <x:t xml:space="preserve">СКЛ-000427</x:t>
        </x:is>
      </x:c>
      <x:c r="B428" s="31" t="n">
        <x:v>46096</x:v>
      </x:c>
      <x:c r="C428" s="31" t="inlineStr">
        <x:is>
          <x:t xml:space="preserve">Выдача в производство</x:t>
        </x:is>
      </x:c>
      <x:c r="D428" s="31" t="inlineStr">
        <x:is>
          <x:t xml:space="preserve">МАТ-0074</x:t>
        </x:is>
      </x:c>
      <x:c r="E428" s="31" t="inlineStr">
        <x:is>
          <x:t xml:space="preserve">Абразив для пескоструя</x:t>
        </x:is>
      </x:c>
      <x:c r="F428" s="31" t="n">
        <x:v>-18</x:v>
      </x:c>
      <x:c r="G428" s="31" t="inlineStr">
        <x:is>
          <x:t xml:space="preserve">шт</x:t>
        </x:is>
      </x:c>
      <x:c r="H428" s="31" t="inlineStr">
        <x:is>
          <x:t xml:space="preserve">ЗК-1078</x:t>
        </x:is>
      </x:c>
      <x:c r="I428" s="31" t="inlineStr">
        <x:is>
          <x:t xml:space="preserve">ПЗ-00174</x:t>
        </x:is>
      </x:c>
      <x:c r="J428" s="31" t="inlineStr">
        <x:is>
          <x:t xml:space="preserve">Цеховой склад</x:t>
        </x:is>
      </x:c>
      <x:c r="K428" s="31" t="inlineStr">
        <x:is>
          <x:t xml:space="preserve">СОТР-035</x:t>
        </x:is>
      </x:c>
      <x:c r="L428" s="31" t="inlineStr">
        <x:is>
          <x:t xml:space="preserve">ДОК-3534</x:t>
        </x:is>
      </x:c>
      <x:c r="M428" s="31" t="inlineStr">
        <x:is>
          <x:t xml:space="preserve">Проведен</x:t>
        </x:is>
      </x:c>
    </x:row>
    <x:row r="429">
      <x:c r="A429" s="31" t="inlineStr">
        <x:is>
          <x:t xml:space="preserve">СКЛ-000428</x:t>
        </x:is>
      </x:c>
      <x:c r="B429" s="31" t="n">
        <x:v>46035</x:v>
      </x:c>
      <x:c r="C429" s="31" t="inlineStr">
        <x:is>
          <x:t xml:space="preserve">Выдача в производство</x:t>
        </x:is>
      </x:c>
      <x:c r="D429" s="31" t="inlineStr">
        <x:is>
          <x:t xml:space="preserve">МАТ-0038</x:t>
        </x:is>
      </x:c>
      <x:c r="E429" s="31" t="inlineStr">
        <x:is>
          <x:t xml:space="preserve">ПЛК 24 дискр. входа / 16 дискр. выхода</x:t>
        </x:is>
      </x:c>
      <x:c r="F429" s="31" t="n">
        <x:v>-18</x:v>
      </x:c>
      <x:c r="G429" s="31" t="inlineStr">
        <x:is>
          <x:t xml:space="preserve">шт</x:t>
        </x:is>
      </x:c>
      <x:c r="H429" s="31" t="inlineStr">
        <x:is>
          <x:t xml:space="preserve">ЗК-1101</x:t>
        </x:is>
      </x:c>
      <x:c r="I429" s="31" t="inlineStr">
        <x:is>
          <x:t xml:space="preserve">ПЗ-00254</x:t>
        </x:is>
      </x:c>
      <x:c r="J429" s="31" t="inlineStr">
        <x:is>
          <x:t xml:space="preserve">Основной склад</x:t>
        </x:is>
      </x:c>
      <x:c r="K429" s="31" t="inlineStr">
        <x:is>
          <x:t xml:space="preserve">СОТР-039</x:t>
        </x:is>
      </x:c>
      <x:c r="L429" s="31" t="inlineStr">
        <x:is>
          <x:t xml:space="preserve">ДОК-4996</x:t>
        </x:is>
      </x:c>
      <x:c r="M429" s="31" t="inlineStr">
        <x:is>
          <x:t xml:space="preserve">Проведен</x:t>
        </x:is>
      </x:c>
    </x:row>
    <x:row r="430">
      <x:c r="A430" s="31" t="inlineStr">
        <x:is>
          <x:t xml:space="preserve">СКЛ-000429</x:t>
        </x:is>
      </x:c>
      <x:c r="B430" s="31" t="n">
        <x:v>46177</x:v>
      </x:c>
      <x:c r="C430" s="31" t="inlineStr">
        <x:is>
          <x:t xml:space="preserve">Выдача в производство</x:t>
        </x:is>
      </x:c>
      <x:c r="D430" s="31" t="inlineStr">
        <x:is>
          <x:t xml:space="preserve">МАТ-0086</x:t>
        </x:is>
      </x:c>
      <x:c r="E430" s="31" t="inlineStr">
        <x:is>
          <x:t xml:space="preserve">Пленка стрейч / исп.2</x:t>
        </x:is>
      </x:c>
      <x:c r="F430" s="31" t="n">
        <x:v>-9</x:v>
      </x:c>
      <x:c r="G430" s="31" t="inlineStr">
        <x:is>
          <x:t xml:space="preserve">шт</x:t>
        </x:is>
      </x:c>
      <x:c r="H430" s="31" t="inlineStr">
        <x:is>
          <x:t xml:space="preserve">ЗК-1098</x:t>
        </x:is>
      </x:c>
      <x:c r="I430" s="31" t="inlineStr">
        <x:is>
          <x:t xml:space="preserve">ПЗ-00215</x:t>
        </x:is>
      </x:c>
      <x:c r="J430" s="31" t="inlineStr">
        <x:is>
          <x:t xml:space="preserve">Основной склад</x:t>
        </x:is>
      </x:c>
      <x:c r="K430" s="31" t="inlineStr">
        <x:is>
          <x:t xml:space="preserve">СОТР-035</x:t>
        </x:is>
      </x:c>
      <x:c r="L430" s="31" t="inlineStr">
        <x:is>
          <x:t xml:space="preserve">ДОК-8418</x:t>
        </x:is>
      </x:c>
      <x:c r="M430" s="31" t="inlineStr">
        <x:is>
          <x:t xml:space="preserve">Проведен</x:t>
        </x:is>
      </x:c>
    </x:row>
    <x:row r="431">
      <x:c r="A431" s="31" t="inlineStr">
        <x:is>
          <x:t xml:space="preserve">СКЛ-000430</x:t>
        </x:is>
      </x:c>
      <x:c r="B431" s="31" t="n">
        <x:v>46120</x:v>
      </x:c>
      <x:c r="C431" s="31" t="inlineStr">
        <x:is>
          <x:t xml:space="preserve">Приход</x:t>
        </x:is>
      </x:c>
      <x:c r="D431" s="31" t="inlineStr">
        <x:is>
          <x:t xml:space="preserve">МАТ-0042</x:t>
        </x:is>
      </x:c>
      <x:c r="E431" s="31" t="inlineStr">
        <x:is>
          <x:t xml:space="preserve">модуль аналогового входа 4 канала / исп.3</x:t>
        </x:is>
      </x:c>
      <x:c r="F431" s="31" t="n">
        <x:v>5</x:v>
      </x:c>
      <x:c r="G431" s="31" t="inlineStr">
        <x:is>
          <x:t xml:space="preserve">шт</x:t>
        </x:is>
      </x:c>
      <x:c r="H431" s="31" t="n"/>
      <x:c r="I431" s="31" t="n"/>
      <x:c r="J431" s="31" t="inlineStr">
        <x:is>
          <x:t xml:space="preserve">Основной склад</x:t>
        </x:is>
      </x:c>
      <x:c r="K431" s="31" t="inlineStr">
        <x:is>
          <x:t xml:space="preserve">СОТР-033</x:t>
        </x:is>
      </x:c>
      <x:c r="L431" s="31" t="inlineStr">
        <x:is>
          <x:t xml:space="preserve">ДОК-9814</x:t>
        </x:is>
      </x:c>
      <x:c r="M431" s="31" t="inlineStr">
        <x:is>
          <x:t xml:space="preserve">Проведен</x:t>
        </x:is>
      </x:c>
    </x:row>
    <x:row r="432">
      <x:c r="A432" s="31" t="inlineStr">
        <x:is>
          <x:t xml:space="preserve">СКЛ-000431</x:t>
        </x:is>
      </x:c>
      <x:c r="B432" s="31" t="n">
        <x:v>46177</x:v>
      </x:c>
      <x:c r="C432" s="31" t="inlineStr">
        <x:is>
          <x:t xml:space="preserve">Приход</x:t>
        </x:is>
      </x:c>
      <x:c r="D432" s="31" t="inlineStr">
        <x:is>
          <x:t xml:space="preserve">МАТ-0055</x:t>
        </x:is>
      </x:c>
      <x:c r="E432" s="31" t="inlineStr">
        <x:is>
          <x:t xml:space="preserve">Клапан обратный Ду50</x:t>
        </x:is>
      </x:c>
      <x:c r="F432" s="31" t="n">
        <x:v>18</x:v>
      </x:c>
      <x:c r="G432" s="31" t="inlineStr">
        <x:is>
          <x:t xml:space="preserve">шт</x:t>
        </x:is>
      </x:c>
      <x:c r="H432" s="31" t="n"/>
      <x:c r="I432" s="31" t="n"/>
      <x:c r="J432" s="31" t="inlineStr">
        <x:is>
          <x:t xml:space="preserve">Основной склад</x:t>
        </x:is>
      </x:c>
      <x:c r="K432" s="31" t="inlineStr">
        <x:is>
          <x:t xml:space="preserve">СОТР-039</x:t>
        </x:is>
      </x:c>
      <x:c r="L432" s="31" t="inlineStr">
        <x:is>
          <x:t xml:space="preserve">ДОК-8130</x:t>
        </x:is>
      </x:c>
      <x:c r="M432" s="31" t="inlineStr">
        <x:is>
          <x:t xml:space="preserve">Проведен</x:t>
        </x:is>
      </x:c>
    </x:row>
    <x:row r="433">
      <x:c r="A433" s="31" t="inlineStr">
        <x:is>
          <x:t xml:space="preserve">СКЛ-000432</x:t>
        </x:is>
      </x:c>
      <x:c r="B433" s="31" t="n">
        <x:v>46187</x:v>
      </x:c>
      <x:c r="C433" s="31" t="inlineStr">
        <x:is>
          <x:t xml:space="preserve">Резерв</x:t>
        </x:is>
      </x:c>
      <x:c r="D433" s="31" t="inlineStr">
        <x:is>
          <x:t xml:space="preserve">МАТ-0056</x:t>
        </x:is>
      </x:c>
      <x:c r="E433" s="31" t="inlineStr">
        <x:is>
          <x:t xml:space="preserve">Задвижка Ду100</x:t>
        </x:is>
      </x:c>
      <x:c r="F433" s="31" t="n">
        <x:v>-2</x:v>
      </x:c>
      <x:c r="G433" s="31" t="inlineStr">
        <x:is>
          <x:t xml:space="preserve">шт</x:t>
        </x:is>
      </x:c>
      <x:c r="H433" s="31" t="inlineStr">
        <x:is>
          <x:t xml:space="preserve">ЗК-1083</x:t>
        </x:is>
      </x:c>
      <x:c r="I433" s="31" t="n"/>
      <x:c r="J433" s="31" t="inlineStr">
        <x:is>
          <x:t xml:space="preserve">Основной склад</x:t>
        </x:is>
      </x:c>
      <x:c r="K433" s="31" t="inlineStr">
        <x:is>
          <x:t xml:space="preserve">СОТР-033</x:t>
        </x:is>
      </x:c>
      <x:c r="L433" s="31" t="inlineStr">
        <x:is>
          <x:t xml:space="preserve">ДОК-4108</x:t>
        </x:is>
      </x:c>
      <x:c r="M433" s="31" t="inlineStr">
        <x:is>
          <x:t xml:space="preserve">Черновик</x:t>
        </x:is>
      </x:c>
    </x:row>
    <x:row r="434">
      <x:c r="A434" s="31" t="inlineStr">
        <x:is>
          <x:t xml:space="preserve">СКЛ-000433</x:t>
        </x:is>
      </x:c>
      <x:c r="B434" s="31" t="n">
        <x:v>46118</x:v>
      </x:c>
      <x:c r="C434" s="31" t="inlineStr">
        <x:is>
          <x:t xml:space="preserve">Резерв</x:t>
        </x:is>
      </x:c>
      <x:c r="D434" s="31" t="inlineStr">
        <x:is>
          <x:t xml:space="preserve">МАТ-0021</x:t>
        </x:is>
      </x:c>
      <x:c r="E434" s="31" t="inlineStr">
        <x:is>
          <x:t xml:space="preserve">Торцевое уплотнение</x:t>
        </x:is>
      </x:c>
      <x:c r="F434" s="31" t="n">
        <x:v>-5</x:v>
      </x:c>
      <x:c r="G434" s="31" t="inlineStr">
        <x:is>
          <x:t xml:space="preserve">шт</x:t>
        </x:is>
      </x:c>
      <x:c r="H434" s="31" t="inlineStr">
        <x:is>
          <x:t xml:space="preserve">ЗК-1052</x:t>
        </x:is>
      </x:c>
      <x:c r="I434" s="31" t="n"/>
      <x:c r="J434" s="31" t="inlineStr">
        <x:is>
          <x:t xml:space="preserve">Основной склад</x:t>
        </x:is>
      </x:c>
      <x:c r="K434" s="31" t="inlineStr">
        <x:is>
          <x:t xml:space="preserve">СОТР-035</x:t>
        </x:is>
      </x:c>
      <x:c r="L434" s="31" t="inlineStr">
        <x:is>
          <x:t xml:space="preserve">ДОК-2855</x:t>
        </x:is>
      </x:c>
      <x:c r="M434" s="31" t="inlineStr">
        <x:is>
          <x:t xml:space="preserve">Проведен</x:t>
        </x:is>
      </x:c>
    </x:row>
    <x:row r="435">
      <x:c r="A435" s="31" t="inlineStr">
        <x:is>
          <x:t xml:space="preserve">СКЛ-000434</x:t>
        </x:is>
      </x:c>
      <x:c r="B435" s="31" t="n">
        <x:v>46121</x:v>
      </x:c>
      <x:c r="C435" s="31" t="inlineStr">
        <x:is>
          <x:t xml:space="preserve">Резерв</x:t>
        </x:is>
      </x:c>
      <x:c r="D435" s="31" t="inlineStr">
        <x:is>
          <x:t xml:space="preserve">МАТ-0075</x:t>
        </x:is>
      </x:c>
      <x:c r="E435" s="31" t="inlineStr">
        <x:is>
          <x:t xml:space="preserve">Болт М12</x:t>
        </x:is>
      </x:c>
      <x:c r="F435" s="31" t="n">
        <x:v>-17</x:v>
      </x:c>
      <x:c r="G435" s="31" t="inlineStr">
        <x:is>
          <x:t xml:space="preserve">шт</x:t>
        </x:is>
      </x:c>
      <x:c r="H435" s="31" t="inlineStr">
        <x:is>
          <x:t xml:space="preserve">ЗК-1004</x:t>
        </x:is>
      </x:c>
      <x:c r="I435" s="31" t="n"/>
      <x:c r="J435" s="31" t="inlineStr">
        <x:is>
          <x:t xml:space="preserve">Основной склад</x:t>
        </x:is>
      </x:c>
      <x:c r="K435" s="31" t="inlineStr">
        <x:is>
          <x:t xml:space="preserve">СОТР-039</x:t>
        </x:is>
      </x:c>
      <x:c r="L435" s="31" t="inlineStr">
        <x:is>
          <x:t xml:space="preserve">ДОК-6219</x:t>
        </x:is>
      </x:c>
      <x:c r="M435" s="31" t="inlineStr">
        <x:is>
          <x:t xml:space="preserve">Проведен</x:t>
        </x:is>
      </x:c>
    </x:row>
    <x:row r="436">
      <x:c r="A436" s="31" t="inlineStr">
        <x:is>
          <x:t xml:space="preserve">СКЛ-000435</x:t>
        </x:is>
      </x:c>
      <x:c r="B436" s="31" t="n">
        <x:v>46085</x:v>
      </x:c>
      <x:c r="C436" s="31" t="inlineStr">
        <x:is>
          <x:t xml:space="preserve">Выдача в производство</x:t>
        </x:is>
      </x:c>
      <x:c r="D436" s="31" t="inlineStr">
        <x:is>
          <x:t xml:space="preserve">МАТ-0004</x:t>
        </x:is>
      </x:c>
      <x:c r="E436" s="31" t="inlineStr">
        <x:is>
          <x:t xml:space="preserve">Лист стальной 09Г2С 12 мм / исп.3</x:t>
        </x:is>
      </x:c>
      <x:c r="F436" s="31" t="n">
        <x:v>-58.96</x:v>
      </x:c>
      <x:c r="G436" s="31" t="inlineStr">
        <x:is>
          <x:t xml:space="preserve">л</x:t>
        </x:is>
      </x:c>
      <x:c r="H436" s="31" t="inlineStr">
        <x:is>
          <x:t xml:space="preserve">ЗК-1130</x:t>
        </x:is>
      </x:c>
      <x:c r="I436" s="31" t="inlineStr">
        <x:is>
          <x:t xml:space="preserve">ПЗ-00224</x:t>
        </x:is>
      </x:c>
      <x:c r="J436" s="31" t="inlineStr">
        <x:is>
          <x:t xml:space="preserve">Цеховой склад</x:t>
        </x:is>
      </x:c>
      <x:c r="K436" s="31" t="inlineStr">
        <x:is>
          <x:t xml:space="preserve">СОТР-038</x:t>
        </x:is>
      </x:c>
      <x:c r="L436" s="31" t="inlineStr">
        <x:is>
          <x:t xml:space="preserve">ДОК-8945</x:t>
        </x:is>
      </x:c>
      <x:c r="M436" s="31" t="inlineStr">
        <x:is>
          <x:t xml:space="preserve">Проведен</x:t>
        </x:is>
      </x:c>
    </x:row>
    <x:row r="437">
      <x:c r="A437" s="31" t="inlineStr">
        <x:is>
          <x:t xml:space="preserve">СКЛ-000436</x:t>
        </x:is>
      </x:c>
      <x:c r="B437" s="31" t="n">
        <x:v>46153</x:v>
      </x:c>
      <x:c r="C437" s="31" t="inlineStr">
        <x:is>
          <x:t xml:space="preserve">Возврат</x:t>
        </x:is>
      </x:c>
      <x:c r="D437" s="31" t="inlineStr">
        <x:is>
          <x:t xml:space="preserve">МАТ-0039</x:t>
        </x:is>
      </x:c>
      <x:c r="E437" s="31" t="inlineStr">
        <x:is>
          <x:t xml:space="preserve">ПЛК 24 дискр. входа / 16 дискр. выхода / исп.2</x:t>
        </x:is>
      </x:c>
      <x:c r="F437" s="31" t="n">
        <x:v>15</x:v>
      </x:c>
      <x:c r="G437" s="31" t="inlineStr">
        <x:is>
          <x:t xml:space="preserve">шт</x:t>
        </x:is>
      </x:c>
      <x:c r="H437" s="31" t="n"/>
      <x:c r="I437" s="31" t="n"/>
      <x:c r="J437" s="31" t="inlineStr">
        <x:is>
          <x:t xml:space="preserve">Брак/карантин</x:t>
        </x:is>
      </x:c>
      <x:c r="K437" s="31" t="inlineStr">
        <x:is>
          <x:t xml:space="preserve">СОТР-033</x:t>
        </x:is>
      </x:c>
      <x:c r="L437" s="31" t="inlineStr">
        <x:is>
          <x:t xml:space="preserve">ДОК-5451</x:t>
        </x:is>
      </x:c>
      <x:c r="M437" s="31" t="inlineStr">
        <x:is>
          <x:t xml:space="preserve">Проведен</x:t>
        </x:is>
      </x:c>
    </x:row>
    <x:row r="438">
      <x:c r="A438" s="31" t="inlineStr">
        <x:is>
          <x:t xml:space="preserve">СКЛ-000437</x:t>
        </x:is>
      </x:c>
      <x:c r="B438" s="31" t="n">
        <x:v>46045</x:v>
      </x:c>
      <x:c r="C438" s="31" t="inlineStr">
        <x:is>
          <x:t xml:space="preserve">Возврат</x:t>
        </x:is>
      </x:c>
      <x:c r="D438" s="31" t="inlineStr">
        <x:is>
          <x:t xml:space="preserve">МАТ-0058</x:t>
        </x:is>
      </x:c>
      <x:c r="E438" s="31" t="inlineStr">
        <x:is>
          <x:t xml:space="preserve">Задвижка Ду100 / исп.3</x:t>
        </x:is>
      </x:c>
      <x:c r="F438" s="31" t="n">
        <x:v>15</x:v>
      </x:c>
      <x:c r="G438" s="31" t="inlineStr">
        <x:is>
          <x:t xml:space="preserve">шт</x:t>
        </x:is>
      </x:c>
      <x:c r="H438" s="31" t="n"/>
      <x:c r="I438" s="31" t="n"/>
      <x:c r="J438" s="31" t="inlineStr">
        <x:is>
          <x:t xml:space="preserve">Основной склад</x:t>
        </x:is>
      </x:c>
      <x:c r="K438" s="31" t="inlineStr">
        <x:is>
          <x:t xml:space="preserve">СОТР-037</x:t>
        </x:is>
      </x:c>
      <x:c r="L438" s="31" t="inlineStr">
        <x:is>
          <x:t xml:space="preserve">ДОК-1299</x:t>
        </x:is>
      </x:c>
      <x:c r="M438" s="31" t="inlineStr">
        <x:is>
          <x:t xml:space="preserve">Проведен</x:t>
        </x:is>
      </x:c>
    </x:row>
    <x:row r="439">
      <x:c r="A439" s="31" t="inlineStr">
        <x:is>
          <x:t xml:space="preserve">СКЛ-000438</x:t>
        </x:is>
      </x:c>
      <x:c r="B439" s="31" t="n">
        <x:v>46189</x:v>
      </x:c>
      <x:c r="C439" s="31" t="inlineStr">
        <x:is>
          <x:t xml:space="preserve">Резерв</x:t>
        </x:is>
      </x:c>
      <x:c r="D439" s="31" t="inlineStr">
        <x:is>
          <x:t xml:space="preserve">МАТ-0047</x:t>
        </x:is>
      </x:c>
      <x:c r="E439" s="31" t="inlineStr">
        <x:is>
          <x:t xml:space="preserve">Контактор 25А / исп.2</x:t>
        </x:is>
      </x:c>
      <x:c r="F439" s="31" t="n">
        <x:v>-9</x:v>
      </x:c>
      <x:c r="G439" s="31" t="inlineStr">
        <x:is>
          <x:t xml:space="preserve">шт</x:t>
        </x:is>
      </x:c>
      <x:c r="H439" s="31" t="inlineStr">
        <x:is>
          <x:t xml:space="preserve">ЗК-1056</x:t>
        </x:is>
      </x:c>
      <x:c r="I439" s="31" t="n"/>
      <x:c r="J439" s="31" t="inlineStr">
        <x:is>
          <x:t xml:space="preserve">Основной склад</x:t>
        </x:is>
      </x:c>
      <x:c r="K439" s="31" t="inlineStr">
        <x:is>
          <x:t xml:space="preserve">СОТР-037</x:t>
        </x:is>
      </x:c>
      <x:c r="L439" s="31" t="inlineStr">
        <x:is>
          <x:t xml:space="preserve">ДОК-8508</x:t>
        </x:is>
      </x:c>
      <x:c r="M439" s="31" t="inlineStr">
        <x:is>
          <x:t xml:space="preserve">Проведен</x:t>
        </x:is>
      </x:c>
    </x:row>
    <x:row r="440">
      <x:c r="A440" s="31" t="inlineStr">
        <x:is>
          <x:t xml:space="preserve">СКЛ-000439</x:t>
        </x:is>
      </x:c>
      <x:c r="B440" s="31" t="n">
        <x:v>46156</x:v>
      </x:c>
      <x:c r="C440" s="31" t="inlineStr">
        <x:is>
          <x:t xml:space="preserve">Резерв</x:t>
        </x:is>
      </x:c>
      <x:c r="D440" s="31" t="inlineStr">
        <x:is>
          <x:t xml:space="preserve">МАТ-0017</x:t>
        </x:is>
      </x:c>
      <x:c r="E440" s="31" t="inlineStr">
        <x:is>
          <x:t xml:space="preserve">Насос шестеренный 7.5 кВт</x:t>
        </x:is>
      </x:c>
      <x:c r="F440" s="31" t="n">
        <x:v>-7</x:v>
      </x:c>
      <x:c r="G440" s="31" t="inlineStr">
        <x:is>
          <x:t xml:space="preserve">шт</x:t>
        </x:is>
      </x:c>
      <x:c r="H440" s="31" t="inlineStr">
        <x:is>
          <x:t xml:space="preserve">ЗК-1125</x:t>
        </x:is>
      </x:c>
      <x:c r="I440" s="31" t="n"/>
      <x:c r="J440" s="31" t="inlineStr">
        <x:is>
          <x:t xml:space="preserve">Основной склад</x:t>
        </x:is>
      </x:c>
      <x:c r="K440" s="31" t="inlineStr">
        <x:is>
          <x:t xml:space="preserve">СОТР-036</x:t>
        </x:is>
      </x:c>
      <x:c r="L440" s="31" t="inlineStr">
        <x:is>
          <x:t xml:space="preserve">ДОК-5408</x:t>
        </x:is>
      </x:c>
      <x:c r="M440" s="31" t="inlineStr">
        <x:is>
          <x:t xml:space="preserve">Проведен</x:t>
        </x:is>
      </x:c>
    </x:row>
    <x:row r="441">
      <x:c r="A441" s="31" t="inlineStr">
        <x:is>
          <x:t xml:space="preserve">СКЛ-000440</x:t>
        </x:is>
      </x:c>
      <x:c r="B441" s="31" t="n">
        <x:v>46135</x:v>
      </x:c>
      <x:c r="C441" s="31" t="inlineStr">
        <x:is>
          <x:t xml:space="preserve">Выдача в производство</x:t>
        </x:is>
      </x:c>
      <x:c r="D441" s="31" t="inlineStr">
        <x:is>
          <x:t xml:space="preserve">МАТ-0044</x:t>
        </x:is>
      </x:c>
      <x:c r="E441" s="31" t="inlineStr">
        <x:is>
          <x:t xml:space="preserve">Блок питания 24В / исп.2</x:t>
        </x:is>
      </x:c>
      <x:c r="F441" s="31" t="n">
        <x:v>-13</x:v>
      </x:c>
      <x:c r="G441" s="31" t="inlineStr">
        <x:is>
          <x:t xml:space="preserve">шт</x:t>
        </x:is>
      </x:c>
      <x:c r="H441" s="31" t="inlineStr">
        <x:is>
          <x:t xml:space="preserve">ЗК-1130</x:t>
        </x:is>
      </x:c>
      <x:c r="I441" s="31" t="inlineStr">
        <x:is>
          <x:t xml:space="preserve">ПЗ-00243</x:t>
        </x:is>
      </x:c>
      <x:c r="J441" s="31" t="inlineStr">
        <x:is>
          <x:t xml:space="preserve">Основной склад</x:t>
        </x:is>
      </x:c>
      <x:c r="K441" s="31" t="inlineStr">
        <x:is>
          <x:t xml:space="preserve">СОТР-037</x:t>
        </x:is>
      </x:c>
      <x:c r="L441" s="31" t="inlineStr">
        <x:is>
          <x:t xml:space="preserve">ДОК-5448</x:t>
        </x:is>
      </x:c>
      <x:c r="M441" s="31" t="inlineStr">
        <x:is>
          <x:t xml:space="preserve">Требует проверки</x:t>
        </x:is>
      </x:c>
    </x:row>
    <x:row r="442">
      <x:c r="A442" s="31" t="inlineStr">
        <x:is>
          <x:t xml:space="preserve">СКЛ-000441</x:t>
        </x:is>
      </x:c>
      <x:c r="B442" s="31" t="n">
        <x:v>46118</x:v>
      </x:c>
      <x:c r="C442" s="31" t="inlineStr">
        <x:is>
          <x:t xml:space="preserve">Выдача в производство</x:t>
        </x:is>
      </x:c>
      <x:c r="D442" s="31" t="inlineStr">
        <x:is>
          <x:t xml:space="preserve">МАТ-0001</x:t>
        </x:is>
      </x:c>
      <x:c r="E442" s="31" t="inlineStr">
        <x:is>
          <x:t xml:space="preserve">Лист стальной 09Г2С 8 мм</x:t>
        </x:is>
      </x:c>
      <x:c r="F442" s="31" t="n">
        <x:v>-79.98</x:v>
      </x:c>
      <x:c r="G442" s="31" t="inlineStr">
        <x:is>
          <x:t xml:space="preserve">м</x:t>
        </x:is>
      </x:c>
      <x:c r="H442" s="31" t="inlineStr">
        <x:is>
          <x:t xml:space="preserve">ЗК-1067</x:t>
        </x:is>
      </x:c>
      <x:c r="I442" s="31" t="inlineStr">
        <x:is>
          <x:t xml:space="preserve">ПЗ-00014</x:t>
        </x:is>
      </x:c>
      <x:c r="J442" s="31" t="inlineStr">
        <x:is>
          <x:t xml:space="preserve">Брак/карантин</x:t>
        </x:is>
      </x:c>
      <x:c r="K442" s="31" t="inlineStr">
        <x:is>
          <x:t xml:space="preserve">СОТР-024</x:t>
        </x:is>
      </x:c>
      <x:c r="L442" s="31" t="inlineStr">
        <x:is>
          <x:t xml:space="preserve">ДОК-8361</x:t>
        </x:is>
      </x:c>
      <x:c r="M442" s="31" t="inlineStr">
        <x:is>
          <x:t xml:space="preserve">Проведен</x:t>
        </x:is>
      </x:c>
    </x:row>
    <x:row r="443">
      <x:c r="A443" s="31" t="inlineStr">
        <x:is>
          <x:t xml:space="preserve">СКЛ-000442</x:t>
        </x:is>
      </x:c>
      <x:c r="B443" s="31" t="n">
        <x:v>46152</x:v>
      </x:c>
      <x:c r="C443" s="31" t="inlineStr">
        <x:is>
          <x:t xml:space="preserve">Приход</x:t>
        </x:is>
      </x:c>
      <x:c r="D443" s="31" t="inlineStr">
        <x:is>
          <x:t xml:space="preserve">МАТ-0061</x:t>
        </x:is>
      </x:c>
      <x:c r="E443" s="31" t="inlineStr">
        <x:is>
          <x:t xml:space="preserve">Фильтр сетчатый Ду50 / исп.3</x:t>
        </x:is>
      </x:c>
      <x:c r="F443" s="31" t="n">
        <x:v>5</x:v>
      </x:c>
      <x:c r="G443" s="31" t="inlineStr">
        <x:is>
          <x:t xml:space="preserve">шт</x:t>
        </x:is>
      </x:c>
      <x:c r="H443" s="31" t="n"/>
      <x:c r="I443" s="31" t="n"/>
      <x:c r="J443" s="31" t="inlineStr">
        <x:is>
          <x:t xml:space="preserve">Основной склад</x:t>
        </x:is>
      </x:c>
      <x:c r="K443" s="31" t="inlineStr">
        <x:is>
          <x:t xml:space="preserve">СОТР-037</x:t>
        </x:is>
      </x:c>
      <x:c r="L443" s="31" t="inlineStr">
        <x:is>
          <x:t xml:space="preserve">ДОК-9315</x:t>
        </x:is>
      </x:c>
      <x:c r="M443" s="31" t="inlineStr">
        <x:is>
          <x:t xml:space="preserve">Черновик</x:t>
        </x:is>
      </x:c>
    </x:row>
    <x:row r="444">
      <x:c r="A444" s="31" t="inlineStr">
        <x:is>
          <x:t xml:space="preserve">СКЛ-000443</x:t>
        </x:is>
      </x:c>
      <x:c r="B444" s="31" t="n">
        <x:v>46179</x:v>
      </x:c>
      <x:c r="C444" s="31" t="inlineStr">
        <x:is>
          <x:t xml:space="preserve">Приход</x:t>
        </x:is>
      </x:c>
      <x:c r="D444" s="31" t="inlineStr">
        <x:is>
          <x:t xml:space="preserve">МАТ-0064</x:t>
        </x:is>
      </x:c>
      <x:c r="E444" s="31" t="inlineStr">
        <x:is>
          <x:t xml:space="preserve">Кабель ВВГнг 3×2.5 / исп.2</x:t>
        </x:is>
      </x:c>
      <x:c r="F444" s="31" t="n">
        <x:v>18</x:v>
      </x:c>
      <x:c r="G444" s="31" t="inlineStr">
        <x:is>
          <x:t xml:space="preserve">шт</x:t>
        </x:is>
      </x:c>
      <x:c r="H444" s="31" t="n"/>
      <x:c r="I444" s="31" t="n"/>
      <x:c r="J444" s="31" t="inlineStr">
        <x:is>
          <x:t xml:space="preserve">Брак/карантин</x:t>
        </x:is>
      </x:c>
      <x:c r="K444" s="31" t="inlineStr">
        <x:is>
          <x:t xml:space="preserve">СОТР-034</x:t>
        </x:is>
      </x:c>
      <x:c r="L444" s="31" t="inlineStr">
        <x:is>
          <x:t xml:space="preserve">ДОК-7985</x:t>
        </x:is>
      </x:c>
      <x:c r="M444" s="31" t="inlineStr">
        <x:is>
          <x:t xml:space="preserve">Проведен</x:t>
        </x:is>
      </x:c>
    </x:row>
    <x:row r="445">
      <x:c r="A445" s="31" t="inlineStr">
        <x:is>
          <x:t xml:space="preserve">СКЛ-000444</x:t>
        </x:is>
      </x:c>
      <x:c r="B445" s="31" t="n">
        <x:v>46187</x:v>
      </x:c>
      <x:c r="C445" s="31" t="inlineStr">
        <x:is>
          <x:t xml:space="preserve">Приход</x:t>
        </x:is>
      </x:c>
      <x:c r="D445" s="31" t="inlineStr">
        <x:is>
          <x:t xml:space="preserve">МАТ-0003</x:t>
        </x:is>
      </x:c>
      <x:c r="E445" s="31" t="inlineStr">
        <x:is>
          <x:t xml:space="preserve">Лист стальной 09Г2С 12 мм / исп.2</x:t>
        </x:is>
      </x:c>
      <x:c r="F445" s="31" t="n">
        <x:v>74.08</x:v>
      </x:c>
      <x:c r="G445" s="31" t="inlineStr">
        <x:is>
          <x:t xml:space="preserve">м</x:t>
        </x:is>
      </x:c>
      <x:c r="H445" s="31" t="n"/>
      <x:c r="I445" s="31" t="n"/>
      <x:c r="J445" s="31" t="inlineStr">
        <x:is>
          <x:t xml:space="preserve">Основной склад</x:t>
        </x:is>
      </x:c>
      <x:c r="K445" s="31" t="inlineStr">
        <x:is>
          <x:t xml:space="preserve">СОТР-034</x:t>
        </x:is>
      </x:c>
      <x:c r="L445" s="31" t="inlineStr">
        <x:is>
          <x:t xml:space="preserve">ДОК-8613</x:t>
        </x:is>
      </x:c>
      <x:c r="M445" s="31" t="inlineStr">
        <x:is>
          <x:t xml:space="preserve">Проведен</x:t>
        </x:is>
      </x:c>
    </x:row>
    <x:row r="446">
      <x:c r="A446" s="31" t="inlineStr">
        <x:is>
          <x:t xml:space="preserve">СКЛ-000445</x:t>
        </x:is>
      </x:c>
      <x:c r="B446" s="31" t="n">
        <x:v>46104</x:v>
      </x:c>
      <x:c r="C446" s="31" t="inlineStr">
        <x:is>
          <x:t xml:space="preserve">Резерв</x:t>
        </x:is>
      </x:c>
      <x:c r="D446" s="31" t="inlineStr">
        <x:is>
          <x:t xml:space="preserve">МАТ-0040</x:t>
        </x:is>
      </x:c>
      <x:c r="E446" s="31" t="inlineStr">
        <x:is>
          <x:t xml:space="preserve">модуль аналогового входа 4 канала</x:t>
        </x:is>
      </x:c>
      <x:c r="F446" s="31" t="n">
        <x:v>-20</x:v>
      </x:c>
      <x:c r="G446" s="31" t="inlineStr">
        <x:is>
          <x:t xml:space="preserve">шт</x:t>
        </x:is>
      </x:c>
      <x:c r="H446" s="31" t="inlineStr">
        <x:is>
          <x:t xml:space="preserve">ЗК-1040</x:t>
        </x:is>
      </x:c>
      <x:c r="I446" s="31" t="n"/>
      <x:c r="J446" s="31" t="inlineStr">
        <x:is>
          <x:t xml:space="preserve">Основной склад</x:t>
        </x:is>
      </x:c>
      <x:c r="K446" s="31" t="inlineStr">
        <x:is>
          <x:t xml:space="preserve">СОТР-037</x:t>
        </x:is>
      </x:c>
      <x:c r="L446" s="31" t="inlineStr">
        <x:is>
          <x:t xml:space="preserve">ДОК-1756</x:t>
        </x:is>
      </x:c>
      <x:c r="M446" s="31" t="inlineStr">
        <x:is>
          <x:t xml:space="preserve">Проведен</x:t>
        </x:is>
      </x:c>
    </x:row>
    <x:row r="447">
      <x:c r="A447" s="31" t="inlineStr">
        <x:is>
          <x:t xml:space="preserve">СКЛ-000446</x:t>
        </x:is>
      </x:c>
      <x:c r="B447" s="31" t="n">
        <x:v>46088</x:v>
      </x:c>
      <x:c r="C447" s="31" t="inlineStr">
        <x:is>
          <x:t xml:space="preserve">Выдача в производство</x:t>
        </x:is>
      </x:c>
      <x:c r="D447" s="31" t="inlineStr">
        <x:is>
          <x:t xml:space="preserve">МАТ-0062</x:t>
        </x:is>
      </x:c>
      <x:c r="E447" s="31" t="inlineStr">
        <x:is>
          <x:t xml:space="preserve">Кабель КВВГ 4×1.5</x:t>
        </x:is>
      </x:c>
      <x:c r="F447" s="31" t="n">
        <x:v>-35.16</x:v>
      </x:c>
      <x:c r="G447" s="31" t="inlineStr">
        <x:is>
          <x:t xml:space="preserve">м</x:t>
        </x:is>
      </x:c>
      <x:c r="H447" s="31" t="inlineStr">
        <x:is>
          <x:t xml:space="preserve">ЗК-1082</x:t>
        </x:is>
      </x:c>
      <x:c r="I447" s="31" t="inlineStr">
        <x:is>
          <x:t xml:space="preserve">ПЗ-00053</x:t>
        </x:is>
      </x:c>
      <x:c r="J447" s="31" t="inlineStr">
        <x:is>
          <x:t xml:space="preserve">Основной склад</x:t>
        </x:is>
      </x:c>
      <x:c r="K447" s="31" t="inlineStr">
        <x:is>
          <x:t xml:space="preserve">СОТР-039</x:t>
        </x:is>
      </x:c>
      <x:c r="L447" s="31" t="inlineStr">
        <x:is>
          <x:t xml:space="preserve">ДОК-9609</x:t>
        </x:is>
      </x:c>
      <x:c r="M447" s="31" t="inlineStr">
        <x:is>
          <x:t xml:space="preserve">Проведен</x:t>
        </x:is>
      </x:c>
    </x:row>
    <x:row r="448">
      <x:c r="A448" s="31" t="inlineStr">
        <x:is>
          <x:t xml:space="preserve">СКЛ-000447</x:t>
        </x:is>
      </x:c>
      <x:c r="B448" s="31" t="n">
        <x:v>46175</x:v>
      </x:c>
      <x:c r="C448" s="31" t="inlineStr">
        <x:is>
          <x:t xml:space="preserve">Резерв</x:t>
        </x:is>
      </x:c>
      <x:c r="D448" s="31" t="inlineStr">
        <x:is>
          <x:t xml:space="preserve">МАТ-0036</x:t>
        </x:is>
      </x:c>
      <x:c r="E448" s="31" t="inlineStr">
        <x:is>
          <x:t xml:space="preserve">Клапан электромагнитный 24В / исп.2</x:t>
        </x:is>
      </x:c>
      <x:c r="F448" s="31" t="n">
        <x:v>-10</x:v>
      </x:c>
      <x:c r="G448" s="31" t="inlineStr">
        <x:is>
          <x:t xml:space="preserve">шт</x:t>
        </x:is>
      </x:c>
      <x:c r="H448" s="31" t="inlineStr">
        <x:is>
          <x:t xml:space="preserve">ЗК-1086</x:t>
        </x:is>
      </x:c>
      <x:c r="I448" s="31" t="n"/>
      <x:c r="J448" s="31" t="inlineStr">
        <x:is>
          <x:t xml:space="preserve">Брак/карантин</x:t>
        </x:is>
      </x:c>
      <x:c r="K448" s="31" t="inlineStr">
        <x:is>
          <x:t xml:space="preserve">СОТР-033</x:t>
        </x:is>
      </x:c>
      <x:c r="L448" s="31" t="inlineStr">
        <x:is>
          <x:t xml:space="preserve">ДОК-7383</x:t>
        </x:is>
      </x:c>
      <x:c r="M448" s="31" t="inlineStr">
        <x:is>
          <x:t xml:space="preserve">Проведен</x:t>
        </x:is>
      </x:c>
    </x:row>
    <x:row r="449">
      <x:c r="A449" s="31" t="inlineStr">
        <x:is>
          <x:t xml:space="preserve">СКЛ-000448</x:t>
        </x:is>
      </x:c>
      <x:c r="B449" s="31" t="n">
        <x:v>46151</x:v>
      </x:c>
      <x:c r="C449" s="31" t="inlineStr">
        <x:is>
          <x:t xml:space="preserve">Резерв</x:t>
        </x:is>
      </x:c>
      <x:c r="D449" s="31" t="inlineStr">
        <x:is>
          <x:t xml:space="preserve">МАТ-0088</x:t>
        </x:is>
      </x:c>
      <x:c r="E449" s="31" t="inlineStr">
        <x:is>
          <x:t xml:space="preserve">Ящик фанерный / исп.2</x:t>
        </x:is>
      </x:c>
      <x:c r="F449" s="31" t="n">
        <x:v>-1</x:v>
      </x:c>
      <x:c r="G449" s="31" t="inlineStr">
        <x:is>
          <x:t xml:space="preserve">шт</x:t>
        </x:is>
      </x:c>
      <x:c r="H449" s="31" t="inlineStr">
        <x:is>
          <x:t xml:space="preserve">ЗК-1067</x:t>
        </x:is>
      </x:c>
      <x:c r="I449" s="31" t="n"/>
      <x:c r="J449" s="31" t="inlineStr">
        <x:is>
          <x:t xml:space="preserve">Цеховой склад</x:t>
        </x:is>
      </x:c>
      <x:c r="K449" s="31" t="inlineStr">
        <x:is>
          <x:t xml:space="preserve">СОТР-037</x:t>
        </x:is>
      </x:c>
      <x:c r="L449" s="31" t="inlineStr">
        <x:is>
          <x:t xml:space="preserve">ДОК-3882</x:t>
        </x:is>
      </x:c>
      <x:c r="M449" s="31" t="inlineStr">
        <x:is>
          <x:t xml:space="preserve">Проведен</x:t>
        </x:is>
      </x:c>
    </x:row>
    <x:row r="450">
      <x:c r="A450" s="31" t="inlineStr">
        <x:is>
          <x:t xml:space="preserve">СКЛ-000449</x:t>
        </x:is>
      </x:c>
      <x:c r="B450" s="31" t="n">
        <x:v>46187</x:v>
      </x:c>
      <x:c r="C450" s="31" t="inlineStr">
        <x:is>
          <x:t xml:space="preserve">Резерв</x:t>
        </x:is>
      </x:c>
      <x:c r="D450" s="31" t="inlineStr">
        <x:is>
          <x:t xml:space="preserve">МАТ-0013</x:t>
        </x:is>
      </x:c>
      <x:c r="E450" s="31" t="inlineStr">
        <x:is>
          <x:t xml:space="preserve">Уголок 50×5</x:t>
        </x:is>
      </x:c>
      <x:c r="F450" s="31" t="n">
        <x:v>-28.55</x:v>
      </x:c>
      <x:c r="G450" s="31" t="inlineStr">
        <x:is>
          <x:t xml:space="preserve">кг</x:t>
        </x:is>
      </x:c>
      <x:c r="H450" s="31" t="inlineStr">
        <x:is>
          <x:t xml:space="preserve">ЗК-1015</x:t>
        </x:is>
      </x:c>
      <x:c r="I450" s="31" t="n"/>
      <x:c r="J450" s="31" t="inlineStr">
        <x:is>
          <x:t xml:space="preserve">Основной склад</x:t>
        </x:is>
      </x:c>
      <x:c r="K450" s="31" t="inlineStr">
        <x:is>
          <x:t xml:space="preserve">СОТР-024</x:t>
        </x:is>
      </x:c>
      <x:c r="L450" s="31" t="inlineStr">
        <x:is>
          <x:t xml:space="preserve">ДОК-8870</x:t>
        </x:is>
      </x:c>
      <x:c r="M450" s="31" t="inlineStr">
        <x:is>
          <x:t xml:space="preserve">Проведен</x:t>
        </x:is>
      </x:c>
    </x:row>
    <x:row r="451">
      <x:c r="A451" s="31" t="inlineStr">
        <x:is>
          <x:t xml:space="preserve">СКЛ-000450</x:t>
        </x:is>
      </x:c>
      <x:c r="B451" s="31" t="n">
        <x:v>46042</x:v>
      </x:c>
      <x:c r="C451" s="31" t="inlineStr">
        <x:is>
          <x:t xml:space="preserve">Приход</x:t>
        </x:is>
      </x:c>
      <x:c r="D451" s="31" t="inlineStr">
        <x:is>
          <x:t xml:space="preserve">МАТ-0019</x:t>
        </x:is>
      </x:c>
      <x:c r="E451" s="31" t="inlineStr">
        <x:is>
          <x:t xml:space="preserve">Насос дозировочный</x:t>
        </x:is>
      </x:c>
      <x:c r="F451" s="31" t="n">
        <x:v>16</x:v>
      </x:c>
      <x:c r="G451" s="31" t="inlineStr">
        <x:is>
          <x:t xml:space="preserve">шт</x:t>
        </x:is>
      </x:c>
      <x:c r="H451" s="31" t="n"/>
      <x:c r="I451" s="31" t="n"/>
      <x:c r="J451" s="31" t="inlineStr">
        <x:is>
          <x:t xml:space="preserve">Основной склад</x:t>
        </x:is>
      </x:c>
      <x:c r="K451" s="31" t="inlineStr">
        <x:is>
          <x:t xml:space="preserve">СОТР-033</x:t>
        </x:is>
      </x:c>
      <x:c r="L451" s="31" t="inlineStr">
        <x:is>
          <x:t xml:space="preserve">ДОК-4222</x:t>
        </x:is>
      </x:c>
      <x:c r="M451" s="31" t="inlineStr">
        <x:is>
          <x:t xml:space="preserve">Проведен</x:t>
        </x:is>
      </x:c>
    </x:row>
    <x:row r="452">
      <x:c r="A452" s="31" t="inlineStr">
        <x:is>
          <x:t xml:space="preserve">СКЛ-000451</x:t>
        </x:is>
      </x:c>
      <x:c r="B452" s="31" t="n">
        <x:v>46035</x:v>
      </x:c>
      <x:c r="C452" s="31" t="inlineStr">
        <x:is>
          <x:t xml:space="preserve">Возврат</x:t>
        </x:is>
      </x:c>
      <x:c r="D452" s="31" t="inlineStr">
        <x:is>
          <x:t xml:space="preserve">МАТ-0040</x:t>
        </x:is>
      </x:c>
      <x:c r="E452" s="31" t="inlineStr">
        <x:is>
          <x:t xml:space="preserve">модуль аналогового входа 4 канала</x:t>
        </x:is>
      </x:c>
      <x:c r="F452" s="31" t="n">
        <x:v>19</x:v>
      </x:c>
      <x:c r="G452" s="31" t="inlineStr">
        <x:is>
          <x:t xml:space="preserve">шт</x:t>
        </x:is>
      </x:c>
      <x:c r="H452" s="31" t="n"/>
      <x:c r="I452" s="31" t="n"/>
      <x:c r="J452" s="31" t="inlineStr">
        <x:is>
          <x:t xml:space="preserve">Основной склад</x:t>
        </x:is>
      </x:c>
      <x:c r="K452" s="31" t="inlineStr">
        <x:is>
          <x:t xml:space="preserve">СОТР-039</x:t>
        </x:is>
      </x:c>
      <x:c r="L452" s="31" t="inlineStr">
        <x:is>
          <x:t xml:space="preserve">ДОК-5909</x:t>
        </x:is>
      </x:c>
      <x:c r="M452" s="31" t="inlineStr">
        <x:is>
          <x:t xml:space="preserve">Проведен</x:t>
        </x:is>
      </x:c>
    </x:row>
    <x:row r="453">
      <x:c r="A453" s="31" t="inlineStr">
        <x:is>
          <x:t xml:space="preserve">СКЛ-000452</x:t>
        </x:is>
      </x:c>
      <x:c r="B453" s="31" t="n">
        <x:v>46103</x:v>
      </x:c>
      <x:c r="C453" s="31" t="inlineStr">
        <x:is>
          <x:t xml:space="preserve">Выдача в производство</x:t>
        </x:is>
      </x:c>
      <x:c r="D453" s="31" t="inlineStr">
        <x:is>
          <x:t xml:space="preserve">МАТ-0056</x:t>
        </x:is>
      </x:c>
      <x:c r="E453" s="31" t="inlineStr">
        <x:is>
          <x:t xml:space="preserve">Задвижка Ду100</x:t>
        </x:is>
      </x:c>
      <x:c r="F453" s="31" t="n">
        <x:v>-20</x:v>
      </x:c>
      <x:c r="G453" s="31" t="inlineStr">
        <x:is>
          <x:t xml:space="preserve">шт</x:t>
        </x:is>
      </x:c>
      <x:c r="H453" s="31" t="inlineStr">
        <x:is>
          <x:t xml:space="preserve">ЗК-1040</x:t>
        </x:is>
      </x:c>
      <x:c r="I453" s="31" t="inlineStr">
        <x:is>
          <x:t xml:space="preserve">ПЗ-00143</x:t>
        </x:is>
      </x:c>
      <x:c r="J453" s="31" t="inlineStr">
        <x:is>
          <x:t xml:space="preserve">Основной склад</x:t>
        </x:is>
      </x:c>
      <x:c r="K453" s="31" t="inlineStr">
        <x:is>
          <x:t xml:space="preserve">СОТР-024</x:t>
        </x:is>
      </x:c>
      <x:c r="L453" s="31" t="inlineStr">
        <x:is>
          <x:t xml:space="preserve">ДОК-2479</x:t>
        </x:is>
      </x:c>
      <x:c r="M453" s="31" t="inlineStr">
        <x:is>
          <x:t xml:space="preserve">Проведен</x:t>
        </x:is>
      </x:c>
    </x:row>
    <x:row r="454">
      <x:c r="A454" s="31" t="inlineStr">
        <x:is>
          <x:t xml:space="preserve">СКЛ-000453</x:t>
        </x:is>
      </x:c>
      <x:c r="B454" s="31" t="n">
        <x:v>46196</x:v>
      </x:c>
      <x:c r="C454" s="31" t="inlineStr">
        <x:is>
          <x:t xml:space="preserve">Выдача в производство</x:t>
        </x:is>
      </x:c>
      <x:c r="D454" s="31" t="inlineStr">
        <x:is>
          <x:t xml:space="preserve">МАТ-0087</x:t>
        </x:is>
      </x:c>
      <x:c r="E454" s="31" t="inlineStr">
        <x:is>
          <x:t xml:space="preserve">Ящик фанерный</x:t>
        </x:is>
      </x:c>
      <x:c r="F454" s="31" t="n">
        <x:v>-4</x:v>
      </x:c>
      <x:c r="G454" s="31" t="inlineStr">
        <x:is>
          <x:t xml:space="preserve">шт</x:t>
        </x:is>
      </x:c>
      <x:c r="H454" s="31" t="inlineStr">
        <x:is>
          <x:t xml:space="preserve">ЗК-1071</x:t>
        </x:is>
      </x:c>
      <x:c r="I454" s="31" t="inlineStr">
        <x:is>
          <x:t xml:space="preserve">ПЗ-00061</x:t>
        </x:is>
      </x:c>
      <x:c r="J454" s="31" t="inlineStr">
        <x:is>
          <x:t xml:space="preserve">Основной склад</x:t>
        </x:is>
      </x:c>
      <x:c r="K454" s="31" t="inlineStr">
        <x:is>
          <x:t xml:space="preserve">СОТР-036</x:t>
        </x:is>
      </x:c>
      <x:c r="L454" s="31" t="inlineStr">
        <x:is>
          <x:t xml:space="preserve">ДОК-7889</x:t>
        </x:is>
      </x:c>
      <x:c r="M454" s="31" t="inlineStr">
        <x:is>
          <x:t xml:space="preserve">Черновик</x:t>
        </x:is>
      </x:c>
    </x:row>
    <x:row r="455">
      <x:c r="A455" s="31" t="inlineStr">
        <x:is>
          <x:t xml:space="preserve">СКЛ-000454</x:t>
        </x:is>
      </x:c>
      <x:c r="B455" s="31" t="n">
        <x:v>46169</x:v>
      </x:c>
      <x:c r="C455" s="31" t="inlineStr">
        <x:is>
          <x:t xml:space="preserve">Приход</x:t>
        </x:is>
      </x:c>
      <x:c r="D455" s="31" t="inlineStr">
        <x:is>
          <x:t xml:space="preserve">МАТ-0006</x:t>
        </x:is>
      </x:c>
      <x:c r="E455" s="31" t="inlineStr">
        <x:is>
          <x:t xml:space="preserve">Труба нержавеющая 38×3</x:t>
        </x:is>
      </x:c>
      <x:c r="F455" s="31" t="n">
        <x:v>4</x:v>
      </x:c>
      <x:c r="G455" s="31" t="inlineStr">
        <x:is>
          <x:t xml:space="preserve">шт</x:t>
        </x:is>
      </x:c>
      <x:c r="H455" s="31" t="n"/>
      <x:c r="I455" s="31" t="n"/>
      <x:c r="J455" s="31" t="inlineStr">
        <x:is>
          <x:t xml:space="preserve">Основной склад</x:t>
        </x:is>
      </x:c>
      <x:c r="K455" s="31" t="inlineStr">
        <x:is>
          <x:t xml:space="preserve">СОТР-039</x:t>
        </x:is>
      </x:c>
      <x:c r="L455" s="31" t="inlineStr">
        <x:is>
          <x:t xml:space="preserve">ДОК-2547</x:t>
        </x:is>
      </x:c>
      <x:c r="M455" s="31" t="inlineStr">
        <x:is>
          <x:t xml:space="preserve">Проведен</x:t>
        </x:is>
      </x:c>
    </x:row>
    <x:row r="456">
      <x:c r="A456" s="31" t="inlineStr">
        <x:is>
          <x:t xml:space="preserve">СКЛ-000455</x:t>
        </x:is>
      </x:c>
      <x:c r="B456" s="31" t="n">
        <x:v>46038</x:v>
      </x:c>
      <x:c r="C456" s="31" t="inlineStr">
        <x:is>
          <x:t xml:space="preserve">Выдача в производство</x:t>
        </x:is>
      </x:c>
      <x:c r="D456" s="31" t="inlineStr">
        <x:is>
          <x:t xml:space="preserve">МАТ-0046</x:t>
        </x:is>
      </x:c>
      <x:c r="E456" s="31" t="inlineStr">
        <x:is>
          <x:t xml:space="preserve">Контактор 25А</x:t>
        </x:is>
      </x:c>
      <x:c r="F456" s="31" t="n">
        <x:v>-5</x:v>
      </x:c>
      <x:c r="G456" s="31" t="inlineStr">
        <x:is>
          <x:t xml:space="preserve">шт</x:t>
        </x:is>
      </x:c>
      <x:c r="H456" s="31" t="inlineStr">
        <x:is>
          <x:t xml:space="preserve">ЗК-1019</x:t>
        </x:is>
      </x:c>
      <x:c r="I456" s="31" t="inlineStr">
        <x:is>
          <x:t xml:space="preserve">ПЗ-00043</x:t>
        </x:is>
      </x:c>
      <x:c r="J456" s="31" t="inlineStr">
        <x:is>
          <x:t xml:space="preserve">Цеховой склад</x:t>
        </x:is>
      </x:c>
      <x:c r="K456" s="31" t="inlineStr">
        <x:is>
          <x:t xml:space="preserve">СОТР-035</x:t>
        </x:is>
      </x:c>
      <x:c r="L456" s="31" t="inlineStr">
        <x:is>
          <x:t xml:space="preserve">ДОК-1975</x:t>
        </x:is>
      </x:c>
      <x:c r="M456" s="31" t="inlineStr">
        <x:is>
          <x:t xml:space="preserve">Требует проверки</x:t>
        </x:is>
      </x:c>
    </x:row>
    <x:row r="457">
      <x:c r="A457" s="31" t="inlineStr">
        <x:is>
          <x:t xml:space="preserve">СКЛ-000456</x:t>
        </x:is>
      </x:c>
      <x:c r="B457" s="31" t="n">
        <x:v>46141</x:v>
      </x:c>
      <x:c r="C457" s="31" t="inlineStr">
        <x:is>
          <x:t xml:space="preserve">Корректировка</x:t>
        </x:is>
      </x:c>
      <x:c r="D457" s="31" t="inlineStr">
        <x:is>
          <x:t xml:space="preserve">МАТ-0078</x:t>
        </x:is>
      </x:c>
      <x:c r="E457" s="31" t="inlineStr">
        <x:is>
          <x:t xml:space="preserve">Гайка М12</x:t>
        </x:is>
      </x:c>
      <x:c r="F457" s="31" t="n">
        <x:v>14</x:v>
      </x:c>
      <x:c r="G457" s="31" t="inlineStr">
        <x:is>
          <x:t xml:space="preserve">шт</x:t>
        </x:is>
      </x:c>
      <x:c r="H457" s="31" t="n"/>
      <x:c r="I457" s="31" t="n"/>
      <x:c r="J457" s="31" t="inlineStr">
        <x:is>
          <x:t xml:space="preserve">Основной склад</x:t>
        </x:is>
      </x:c>
      <x:c r="K457" s="31" t="inlineStr">
        <x:is>
          <x:t xml:space="preserve">СОТР-036</x:t>
        </x:is>
      </x:c>
      <x:c r="L457" s="31" t="inlineStr">
        <x:is>
          <x:t xml:space="preserve">ДОК-3526</x:t>
        </x:is>
      </x:c>
      <x:c r="M457" s="31" t="inlineStr">
        <x:is>
          <x:t xml:space="preserve">Проведен</x:t>
        </x:is>
      </x:c>
    </x:row>
    <x:row r="458">
      <x:c r="A458" s="31" t="inlineStr">
        <x:is>
          <x:t xml:space="preserve">СКЛ-000457</x:t>
        </x:is>
      </x:c>
      <x:c r="B458" s="31" t="n">
        <x:v>46084</x:v>
      </x:c>
      <x:c r="C458" s="31" t="inlineStr">
        <x:is>
          <x:t xml:space="preserve">Возврат</x:t>
        </x:is>
      </x:c>
      <x:c r="D458" s="31" t="inlineStr">
        <x:is>
          <x:t xml:space="preserve">МАТ-0038</x:t>
        </x:is>
      </x:c>
      <x:c r="E458" s="31" t="inlineStr">
        <x:is>
          <x:t xml:space="preserve">ПЛК 24 дискр. входа / 16 дискр. выхода</x:t>
        </x:is>
      </x:c>
      <x:c r="F458" s="31" t="n">
        <x:v>18</x:v>
      </x:c>
      <x:c r="G458" s="31" t="inlineStr">
        <x:is>
          <x:t xml:space="preserve">шт</x:t>
        </x:is>
      </x:c>
      <x:c r="H458" s="31" t="n"/>
      <x:c r="I458" s="31" t="n"/>
      <x:c r="J458" s="31" t="inlineStr">
        <x:is>
          <x:t xml:space="preserve">Цеховой склад</x:t>
        </x:is>
      </x:c>
      <x:c r="K458" s="31" t="inlineStr">
        <x:is>
          <x:t xml:space="preserve">СОТР-037</x:t>
        </x:is>
      </x:c>
      <x:c r="L458" s="31" t="inlineStr">
        <x:is>
          <x:t xml:space="preserve">ДОК-5702</x:t>
        </x:is>
      </x:c>
      <x:c r="M458" s="31" t="inlineStr">
        <x:is>
          <x:t xml:space="preserve">Черновик</x:t>
        </x:is>
      </x:c>
    </x:row>
    <x:row r="459">
      <x:c r="A459" s="31" t="inlineStr">
        <x:is>
          <x:t xml:space="preserve">СКЛ-000458</x:t>
        </x:is>
      </x:c>
      <x:c r="B459" s="31" t="n">
        <x:v>46153</x:v>
      </x:c>
      <x:c r="C459" s="31" t="inlineStr">
        <x:is>
          <x:t xml:space="preserve">Выдача в производство</x:t>
        </x:is>
      </x:c>
      <x:c r="D459" s="31" t="inlineStr">
        <x:is>
          <x:t xml:space="preserve">МАТ-0068</x:t>
        </x:is>
      </x:c>
      <x:c r="E459" s="31" t="inlineStr">
        <x:is>
          <x:t xml:space="preserve">Грунт эпоксидный</x:t>
        </x:is>
      </x:c>
      <x:c r="F459" s="31" t="n">
        <x:v>-38.45</x:v>
      </x:c>
      <x:c r="G459" s="31" t="inlineStr">
        <x:is>
          <x:t xml:space="preserve">л</x:t>
        </x:is>
      </x:c>
      <x:c r="H459" s="31" t="inlineStr">
        <x:is>
          <x:t xml:space="preserve">ЗК-1078</x:t>
        </x:is>
      </x:c>
      <x:c r="I459" s="31" t="inlineStr">
        <x:is>
          <x:t xml:space="preserve">ПЗ-00125</x:t>
        </x:is>
      </x:c>
      <x:c r="J459" s="31" t="inlineStr">
        <x:is>
          <x:t xml:space="preserve">Основной склад</x:t>
        </x:is>
      </x:c>
      <x:c r="K459" s="31" t="inlineStr">
        <x:is>
          <x:t xml:space="preserve">СОТР-037</x:t>
        </x:is>
      </x:c>
      <x:c r="L459" s="31" t="inlineStr">
        <x:is>
          <x:t xml:space="preserve">ДОК-1879</x:t>
        </x:is>
      </x:c>
      <x:c r="M459" s="31" t="inlineStr">
        <x:is>
          <x:t xml:space="preserve">Проведен</x:t>
        </x:is>
      </x:c>
    </x:row>
    <x:row r="460">
      <x:c r="A460" s="31" t="inlineStr">
        <x:is>
          <x:t xml:space="preserve">СКЛ-000459</x:t>
        </x:is>
      </x:c>
      <x:c r="B460" s="31" t="n">
        <x:v>46145</x:v>
      </x:c>
      <x:c r="C460" s="31" t="inlineStr">
        <x:is>
          <x:t xml:space="preserve">Возврат</x:t>
        </x:is>
      </x:c>
      <x:c r="D460" s="31" t="inlineStr">
        <x:is>
          <x:t xml:space="preserve">МАТ-0002</x:t>
        </x:is>
      </x:c>
      <x:c r="E460" s="31" t="inlineStr">
        <x:is>
          <x:t xml:space="preserve">Лист стальной 09Г2С 12 мм</x:t>
        </x:is>
      </x:c>
      <x:c r="F460" s="31" t="n">
        <x:v>58.75</x:v>
      </x:c>
      <x:c r="G460" s="31" t="inlineStr">
        <x:is>
          <x:t xml:space="preserve">кг</x:t>
        </x:is>
      </x:c>
      <x:c r="H460" s="31" t="n"/>
      <x:c r="I460" s="31" t="n"/>
      <x:c r="J460" s="31" t="inlineStr">
        <x:is>
          <x:t xml:space="preserve">Основной склад</x:t>
        </x:is>
      </x:c>
      <x:c r="K460" s="31" t="inlineStr">
        <x:is>
          <x:t xml:space="preserve">СОТР-034</x:t>
        </x:is>
      </x:c>
      <x:c r="L460" s="31" t="inlineStr">
        <x:is>
          <x:t xml:space="preserve">ДОК-2299</x:t>
        </x:is>
      </x:c>
      <x:c r="M460" s="31" t="inlineStr">
        <x:is>
          <x:t xml:space="preserve">Требует проверки</x:t>
        </x:is>
      </x:c>
    </x:row>
    <x:row r="461">
      <x:c r="A461" s="31" t="inlineStr">
        <x:is>
          <x:t xml:space="preserve">СКЛ-000460</x:t>
        </x:is>
      </x:c>
      <x:c r="B461" s="31" t="n">
        <x:v>46133</x:v>
      </x:c>
      <x:c r="C461" s="31" t="inlineStr">
        <x:is>
          <x:t xml:space="preserve">Приход</x:t>
        </x:is>
      </x:c>
      <x:c r="D461" s="31" t="inlineStr">
        <x:is>
          <x:t xml:space="preserve">МАТ-0074</x:t>
        </x:is>
      </x:c>
      <x:c r="E461" s="31" t="inlineStr">
        <x:is>
          <x:t xml:space="preserve">Абразив для пескоструя</x:t>
        </x:is>
      </x:c>
      <x:c r="F461" s="31" t="n">
        <x:v>3</x:v>
      </x:c>
      <x:c r="G461" s="31" t="inlineStr">
        <x:is>
          <x:t xml:space="preserve">шт</x:t>
        </x:is>
      </x:c>
      <x:c r="H461" s="31" t="n"/>
      <x:c r="I461" s="31" t="n"/>
      <x:c r="J461" s="31" t="inlineStr">
        <x:is>
          <x:t xml:space="preserve">Основной склад</x:t>
        </x:is>
      </x:c>
      <x:c r="K461" s="31" t="inlineStr">
        <x:is>
          <x:t xml:space="preserve">СОТР-024</x:t>
        </x:is>
      </x:c>
      <x:c r="L461" s="31" t="inlineStr">
        <x:is>
          <x:t xml:space="preserve">ДОК-6406</x:t>
        </x:is>
      </x:c>
      <x:c r="M461" s="31" t="inlineStr">
        <x:is>
          <x:t xml:space="preserve">Проведен</x:t>
        </x:is>
      </x:c>
    </x:row>
    <x:row r="462">
      <x:c r="A462" s="31" t="inlineStr">
        <x:is>
          <x:t xml:space="preserve">СКЛ-000461</x:t>
        </x:is>
      </x:c>
      <x:c r="B462" s="31" t="n">
        <x:v>46068</x:v>
      </x:c>
      <x:c r="C462" s="31" t="inlineStr">
        <x:is>
          <x:t xml:space="preserve">Резерв</x:t>
        </x:is>
      </x:c>
      <x:c r="D462" s="31" t="inlineStr">
        <x:is>
          <x:t xml:space="preserve">МАТ-0021</x:t>
        </x:is>
      </x:c>
      <x:c r="E462" s="31" t="inlineStr">
        <x:is>
          <x:t xml:space="preserve">Торцевое уплотнение</x:t>
        </x:is>
      </x:c>
      <x:c r="F462" s="31" t="n">
        <x:v>-20</x:v>
      </x:c>
      <x:c r="G462" s="31" t="inlineStr">
        <x:is>
          <x:t xml:space="preserve">шт</x:t>
        </x:is>
      </x:c>
      <x:c r="H462" s="31" t="inlineStr">
        <x:is>
          <x:t xml:space="preserve">ЗК-1124</x:t>
        </x:is>
      </x:c>
      <x:c r="I462" s="31" t="n"/>
      <x:c r="J462" s="31" t="inlineStr">
        <x:is>
          <x:t xml:space="preserve">Основной склад</x:t>
        </x:is>
      </x:c>
      <x:c r="K462" s="31" t="inlineStr">
        <x:is>
          <x:t xml:space="preserve">СОТР-036</x:t>
        </x:is>
      </x:c>
      <x:c r="L462" s="31" t="inlineStr">
        <x:is>
          <x:t xml:space="preserve">ДОК-9372</x:t>
        </x:is>
      </x:c>
      <x:c r="M462" s="31" t="inlineStr">
        <x:is>
          <x:t xml:space="preserve">Проведен</x:t>
        </x:is>
      </x:c>
    </x:row>
    <x:row r="463">
      <x:c r="A463" s="31" t="inlineStr">
        <x:is>
          <x:t xml:space="preserve">СКЛ-000462</x:t>
        </x:is>
      </x:c>
      <x:c r="B463" s="31" t="n">
        <x:v>46149</x:v>
      </x:c>
      <x:c r="C463" s="31" t="inlineStr">
        <x:is>
          <x:t xml:space="preserve">Приход</x:t>
        </x:is>
      </x:c>
      <x:c r="D463" s="31" t="inlineStr">
        <x:is>
          <x:t xml:space="preserve">МАТ-0060</x:t>
        </x:is>
      </x:c>
      <x:c r="E463" s="31" t="inlineStr">
        <x:is>
          <x:t xml:space="preserve">Фильтр сетчатый Ду50 / исп.2</x:t>
        </x:is>
      </x:c>
      <x:c r="F463" s="31" t="n">
        <x:v>18</x:v>
      </x:c>
      <x:c r="G463" s="31" t="inlineStr">
        <x:is>
          <x:t xml:space="preserve">шт</x:t>
        </x:is>
      </x:c>
      <x:c r="H463" s="31" t="n"/>
      <x:c r="I463" s="31" t="n"/>
      <x:c r="J463" s="31" t="inlineStr">
        <x:is>
          <x:t xml:space="preserve">Цеховой склад</x:t>
        </x:is>
      </x:c>
      <x:c r="K463" s="31" t="inlineStr">
        <x:is>
          <x:t xml:space="preserve">СОТР-039</x:t>
        </x:is>
      </x:c>
      <x:c r="L463" s="31" t="inlineStr">
        <x:is>
          <x:t xml:space="preserve">ДОК-4941</x:t>
        </x:is>
      </x:c>
      <x:c r="M463" s="31" t="inlineStr">
        <x:is>
          <x:t xml:space="preserve">Проведен</x:t>
        </x:is>
      </x:c>
    </x:row>
    <x:row r="464">
      <x:c r="A464" s="31" t="inlineStr">
        <x:is>
          <x:t xml:space="preserve">СКЛ-000463</x:t>
        </x:is>
      </x:c>
      <x:c r="B464" s="31" t="n">
        <x:v>46165</x:v>
      </x:c>
      <x:c r="C464" s="31" t="inlineStr">
        <x:is>
          <x:t xml:space="preserve">Выдача в производство</x:t>
        </x:is>
      </x:c>
      <x:c r="D464" s="31" t="inlineStr">
        <x:is>
          <x:t xml:space="preserve">МАТ-0086</x:t>
        </x:is>
      </x:c>
      <x:c r="E464" s="31" t="inlineStr">
        <x:is>
          <x:t xml:space="preserve">Пленка стрейч / исп.2</x:t>
        </x:is>
      </x:c>
      <x:c r="F464" s="31" t="n">
        <x:v>-6</x:v>
      </x:c>
      <x:c r="G464" s="31" t="inlineStr">
        <x:is>
          <x:t xml:space="preserve">шт</x:t>
        </x:is>
      </x:c>
      <x:c r="H464" s="31" t="inlineStr">
        <x:is>
          <x:t xml:space="preserve">ЗК-1054</x:t>
        </x:is>
      </x:c>
      <x:c r="I464" s="31" t="inlineStr">
        <x:is>
          <x:t xml:space="preserve">ПЗ-00041</x:t>
        </x:is>
      </x:c>
      <x:c r="J464" s="31" t="inlineStr">
        <x:is>
          <x:t xml:space="preserve">Брак/карантин</x:t>
        </x:is>
      </x:c>
      <x:c r="K464" s="31" t="inlineStr">
        <x:is>
          <x:t xml:space="preserve">СОТР-039</x:t>
        </x:is>
      </x:c>
      <x:c r="L464" s="31" t="inlineStr">
        <x:is>
          <x:t xml:space="preserve">ДОК-3715</x:t>
        </x:is>
      </x:c>
      <x:c r="M464" s="31" t="inlineStr">
        <x:is>
          <x:t xml:space="preserve">Проведен</x:t>
        </x:is>
      </x:c>
    </x:row>
    <x:row r="465">
      <x:c r="A465" s="31" t="inlineStr">
        <x:is>
          <x:t xml:space="preserve">СКЛ-000464</x:t>
        </x:is>
      </x:c>
      <x:c r="B465" s="31" t="n">
        <x:v>46188</x:v>
      </x:c>
      <x:c r="C465" s="31" t="inlineStr">
        <x:is>
          <x:t xml:space="preserve">Резерв</x:t>
        </x:is>
      </x:c>
      <x:c r="D465" s="31" t="inlineStr">
        <x:is>
          <x:t xml:space="preserve">МАТ-0062</x:t>
        </x:is>
      </x:c>
      <x:c r="E465" s="31" t="inlineStr">
        <x:is>
          <x:t xml:space="preserve">Кабель КВВГ 4×1.5</x:t>
        </x:is>
      </x:c>
      <x:c r="F465" s="31" t="n">
        <x:v>-31.3</x:v>
      </x:c>
      <x:c r="G465" s="31" t="inlineStr">
        <x:is>
          <x:t xml:space="preserve">м</x:t>
        </x:is>
      </x:c>
      <x:c r="H465" s="31" t="inlineStr">
        <x:is>
          <x:t xml:space="preserve">ЗК-1105</x:t>
        </x:is>
      </x:c>
      <x:c r="I465" s="31" t="n"/>
      <x:c r="J465" s="31" t="inlineStr">
        <x:is>
          <x:t xml:space="preserve">Основной склад</x:t>
        </x:is>
      </x:c>
      <x:c r="K465" s="31" t="inlineStr">
        <x:is>
          <x:t xml:space="preserve">СОТР-036</x:t>
        </x:is>
      </x:c>
      <x:c r="L465" s="31" t="inlineStr">
        <x:is>
          <x:t xml:space="preserve">ДОК-1295</x:t>
        </x:is>
      </x:c>
      <x:c r="M465" s="31" t="inlineStr">
        <x:is>
          <x:t xml:space="preserve">Проведен</x:t>
        </x:is>
      </x:c>
    </x:row>
    <x:row r="466">
      <x:c r="A466" s="31" t="inlineStr">
        <x:is>
          <x:t xml:space="preserve">СКЛ-000465</x:t>
        </x:is>
      </x:c>
      <x:c r="B466" s="31" t="n">
        <x:v>46077</x:v>
      </x:c>
      <x:c r="C466" s="31" t="inlineStr">
        <x:is>
          <x:t xml:space="preserve">Выдача в производство</x:t>
        </x:is>
      </x:c>
      <x:c r="D466" s="31" t="inlineStr">
        <x:is>
          <x:t xml:space="preserve">МАТ-0022</x:t>
        </x:is>
      </x:c>
      <x:c r="E466" s="31" t="inlineStr">
        <x:is>
          <x:t xml:space="preserve">Торцевое уплотнение / исп.2</x:t>
        </x:is>
      </x:c>
      <x:c r="F466" s="31" t="n">
        <x:v>-11</x:v>
      </x:c>
      <x:c r="G466" s="31" t="inlineStr">
        <x:is>
          <x:t xml:space="preserve">шт</x:t>
        </x:is>
      </x:c>
      <x:c r="H466" s="31" t="inlineStr">
        <x:is>
          <x:t xml:space="preserve">ЗК-1124</x:t>
        </x:is>
      </x:c>
      <x:c r="I466" s="31" t="inlineStr">
        <x:is>
          <x:t xml:space="preserve">ПЗ-00196</x:t>
        </x:is>
      </x:c>
      <x:c r="J466" s="31" t="inlineStr">
        <x:is>
          <x:t xml:space="preserve">Цеховой склад</x:t>
        </x:is>
      </x:c>
      <x:c r="K466" s="31" t="inlineStr">
        <x:is>
          <x:t xml:space="preserve">СОТР-036</x:t>
        </x:is>
      </x:c>
      <x:c r="L466" s="31" t="inlineStr">
        <x:is>
          <x:t xml:space="preserve">ДОК-2643</x:t>
        </x:is>
      </x:c>
      <x:c r="M466" s="31" t="inlineStr">
        <x:is>
          <x:t xml:space="preserve">Проведен</x:t>
        </x:is>
      </x:c>
    </x:row>
    <x:row r="467">
      <x:c r="A467" s="31" t="inlineStr">
        <x:is>
          <x:t xml:space="preserve">СКЛ-000466</x:t>
        </x:is>
      </x:c>
      <x:c r="B467" s="31" t="n">
        <x:v>46043</x:v>
      </x:c>
      <x:c r="C467" s="31" t="inlineStr">
        <x:is>
          <x:t xml:space="preserve">Приход</x:t>
        </x:is>
      </x:c>
      <x:c r="D467" s="31" t="inlineStr">
        <x:is>
          <x:t xml:space="preserve">МАТ-0063</x:t>
        </x:is>
      </x:c>
      <x:c r="E467" s="31" t="inlineStr">
        <x:is>
          <x:t xml:space="preserve">Кабель ВВГнг 3×2.5</x:t>
        </x:is>
      </x:c>
      <x:c r="F467" s="31" t="n">
        <x:v>17</x:v>
      </x:c>
      <x:c r="G467" s="31" t="inlineStr">
        <x:is>
          <x:t xml:space="preserve">шт</x:t>
        </x:is>
      </x:c>
      <x:c r="H467" s="31" t="n"/>
      <x:c r="I467" s="31" t="n"/>
      <x:c r="J467" s="31" t="inlineStr">
        <x:is>
          <x:t xml:space="preserve">Основной склад</x:t>
        </x:is>
      </x:c>
      <x:c r="K467" s="31" t="inlineStr">
        <x:is>
          <x:t xml:space="preserve">СОТР-036</x:t>
        </x:is>
      </x:c>
      <x:c r="L467" s="31" t="inlineStr">
        <x:is>
          <x:t xml:space="preserve">ДОК-1330</x:t>
        </x:is>
      </x:c>
      <x:c r="M467" s="31" t="inlineStr">
        <x:is>
          <x:t xml:space="preserve">Проведен</x:t>
        </x:is>
      </x:c>
    </x:row>
    <x:row r="468">
      <x:c r="A468" s="31" t="inlineStr">
        <x:is>
          <x:t xml:space="preserve">СКЛ-000467</x:t>
        </x:is>
      </x:c>
      <x:c r="B468" s="31" t="n">
        <x:v>46065</x:v>
      </x:c>
      <x:c r="C468" s="31" t="inlineStr">
        <x:is>
          <x:t xml:space="preserve">Резерв</x:t>
        </x:is>
      </x:c>
      <x:c r="D468" s="31" t="inlineStr">
        <x:is>
          <x:t xml:space="preserve">МАТ-0002</x:t>
        </x:is>
      </x:c>
      <x:c r="E468" s="31" t="inlineStr">
        <x:is>
          <x:t xml:space="preserve">Лист стальной 09Г2С 12 мм</x:t>
        </x:is>
      </x:c>
      <x:c r="F468" s="31" t="n">
        <x:v>-45.78</x:v>
      </x:c>
      <x:c r="G468" s="31" t="inlineStr">
        <x:is>
          <x:t xml:space="preserve">кг</x:t>
        </x:is>
      </x:c>
      <x:c r="H468" s="31" t="inlineStr">
        <x:is>
          <x:t xml:space="preserve">ЗК-1020</x:t>
        </x:is>
      </x:c>
      <x:c r="I468" s="31" t="n"/>
      <x:c r="J468" s="31" t="inlineStr">
        <x:is>
          <x:t xml:space="preserve">Основной склад</x:t>
        </x:is>
      </x:c>
      <x:c r="K468" s="31" t="inlineStr">
        <x:is>
          <x:t xml:space="preserve">СОТР-036</x:t>
        </x:is>
      </x:c>
      <x:c r="L468" s="31" t="inlineStr">
        <x:is>
          <x:t xml:space="preserve">ДОК-5085</x:t>
        </x:is>
      </x:c>
      <x:c r="M468" s="31" t="inlineStr">
        <x:is>
          <x:t xml:space="preserve">Проведен</x:t>
        </x:is>
      </x:c>
    </x:row>
    <x:row r="469">
      <x:c r="A469" s="31" t="inlineStr">
        <x:is>
          <x:t xml:space="preserve">СКЛ-000468</x:t>
        </x:is>
      </x:c>
      <x:c r="B469" s="31" t="n">
        <x:v>46124</x:v>
      </x:c>
      <x:c r="C469" s="31" t="inlineStr">
        <x:is>
          <x:t xml:space="preserve">Резерв</x:t>
        </x:is>
      </x:c>
      <x:c r="D469" s="31" t="inlineStr">
        <x:is>
          <x:t xml:space="preserve">МАТ-0032</x:t>
        </x:is>
      </x:c>
      <x:c r="E469" s="31" t="inlineStr">
        <x:is>
          <x:t xml:space="preserve">Датчик температуры Пт100</x:t>
        </x:is>
      </x:c>
      <x:c r="F469" s="31" t="n">
        <x:v>-14</x:v>
      </x:c>
      <x:c r="G469" s="31" t="inlineStr">
        <x:is>
          <x:t xml:space="preserve">шт</x:t>
        </x:is>
      </x:c>
      <x:c r="H469" s="31" t="inlineStr">
        <x:is>
          <x:t xml:space="preserve">ЗК-1042</x:t>
        </x:is>
      </x:c>
      <x:c r="I469" s="31" t="n"/>
      <x:c r="J469" s="31" t="inlineStr">
        <x:is>
          <x:t xml:space="preserve">Основной склад</x:t>
        </x:is>
      </x:c>
      <x:c r="K469" s="31" t="inlineStr">
        <x:is>
          <x:t xml:space="preserve">СОТР-033</x:t>
        </x:is>
      </x:c>
      <x:c r="L469" s="31" t="inlineStr">
        <x:is>
          <x:t xml:space="preserve">ДОК-5769</x:t>
        </x:is>
      </x:c>
      <x:c r="M469" s="31" t="inlineStr">
        <x:is>
          <x:t xml:space="preserve">Проведен</x:t>
        </x:is>
      </x:c>
    </x:row>
    <x:row r="470">
      <x:c r="A470" s="31" t="inlineStr">
        <x:is>
          <x:t xml:space="preserve">СКЛ-000469</x:t>
        </x:is>
      </x:c>
      <x:c r="B470" s="31" t="n">
        <x:v>46038</x:v>
      </x:c>
      <x:c r="C470" s="31" t="inlineStr">
        <x:is>
          <x:t xml:space="preserve">Возврат</x:t>
        </x:is>
      </x:c>
      <x:c r="D470" s="31" t="inlineStr">
        <x:is>
          <x:t xml:space="preserve">МАТ-0029</x:t>
        </x:is>
      </x:c>
      <x:c r="E470" s="31" t="inlineStr">
        <x:is>
          <x:t xml:space="preserve">Частотный преобразователь 22 кВт</x:t>
        </x:is>
      </x:c>
      <x:c r="F470" s="31" t="n">
        <x:v>11</x:v>
      </x:c>
      <x:c r="G470" s="31" t="inlineStr">
        <x:is>
          <x:t xml:space="preserve">шт</x:t>
        </x:is>
      </x:c>
      <x:c r="H470" s="31" t="n"/>
      <x:c r="I470" s="31" t="n"/>
      <x:c r="J470" s="31" t="inlineStr">
        <x:is>
          <x:t xml:space="preserve">Основной склад</x:t>
        </x:is>
      </x:c>
      <x:c r="K470" s="31" t="inlineStr">
        <x:is>
          <x:t xml:space="preserve">СОТР-035</x:t>
        </x:is>
      </x:c>
      <x:c r="L470" s="31" t="inlineStr">
        <x:is>
          <x:t xml:space="preserve">ДОК-7062</x:t>
        </x:is>
      </x:c>
      <x:c r="M470" s="31" t="inlineStr">
        <x:is>
          <x:t xml:space="preserve">Проведен</x:t>
        </x:is>
      </x:c>
    </x:row>
    <x:row r="471">
      <x:c r="A471" s="31" t="inlineStr">
        <x:is>
          <x:t xml:space="preserve">СКЛ-000470</x:t>
        </x:is>
      </x:c>
      <x:c r="B471" s="31" t="n">
        <x:v>46161</x:v>
      </x:c>
      <x:c r="C471" s="31" t="inlineStr">
        <x:is>
          <x:t xml:space="preserve">Выдача в производство</x:t>
        </x:is>
      </x:c>
      <x:c r="D471" s="31" t="inlineStr">
        <x:is>
          <x:t xml:space="preserve">МАТ-0009</x:t>
        </x:is>
      </x:c>
      <x:c r="E471" s="31" t="inlineStr">
        <x:is>
          <x:t xml:space="preserve">Фланец Ду50 Ру16</x:t>
        </x:is>
      </x:c>
      <x:c r="F471" s="31" t="n">
        <x:v>-57.82</x:v>
      </x:c>
      <x:c r="G471" s="31" t="inlineStr">
        <x:is>
          <x:t xml:space="preserve">л</x:t>
        </x:is>
      </x:c>
      <x:c r="H471" s="31" t="inlineStr">
        <x:is>
          <x:t xml:space="preserve">ЗК-1009</x:t>
        </x:is>
      </x:c>
      <x:c r="I471" s="31" t="inlineStr">
        <x:is>
          <x:t xml:space="preserve">ПЗ-00059</x:t>
        </x:is>
      </x:c>
      <x:c r="J471" s="31" t="inlineStr">
        <x:is>
          <x:t xml:space="preserve">Основной склад</x:t>
        </x:is>
      </x:c>
      <x:c r="K471" s="31" t="inlineStr">
        <x:is>
          <x:t xml:space="preserve">СОТР-038</x:t>
        </x:is>
      </x:c>
      <x:c r="L471" s="31" t="inlineStr">
        <x:is>
          <x:t xml:space="preserve">ДОК-8256</x:t>
        </x:is>
      </x:c>
      <x:c r="M471" s="31" t="inlineStr">
        <x:is>
          <x:t xml:space="preserve">Проведен</x:t>
        </x:is>
      </x:c>
    </x:row>
    <x:row r="472">
      <x:c r="A472" s="31" t="inlineStr">
        <x:is>
          <x:t xml:space="preserve">СКЛ-000471</x:t>
        </x:is>
      </x:c>
      <x:c r="B472" s="31" t="n">
        <x:v>46042</x:v>
      </x:c>
      <x:c r="C472" s="31" t="inlineStr">
        <x:is>
          <x:t xml:space="preserve">Возврат</x:t>
        </x:is>
      </x:c>
      <x:c r="D472" s="31" t="inlineStr">
        <x:is>
          <x:t xml:space="preserve">МАТ-0012</x:t>
        </x:is>
      </x:c>
      <x:c r="E472" s="31" t="inlineStr">
        <x:is>
          <x:t xml:space="preserve">Фланец Ду80 Ру16</x:t>
        </x:is>
      </x:c>
      <x:c r="F472" s="31" t="n">
        <x:v>38.69</x:v>
      </x:c>
      <x:c r="G472" s="31" t="inlineStr">
        <x:is>
          <x:t xml:space="preserve">л</x:t>
        </x:is>
      </x:c>
      <x:c r="H472" s="31" t="n"/>
      <x:c r="I472" s="31" t="n"/>
      <x:c r="J472" s="31" t="inlineStr">
        <x:is>
          <x:t xml:space="preserve">Цеховой склад</x:t>
        </x:is>
      </x:c>
      <x:c r="K472" s="31" t="inlineStr">
        <x:is>
          <x:t xml:space="preserve">СОТР-033</x:t>
        </x:is>
      </x:c>
      <x:c r="L472" s="31" t="inlineStr">
        <x:is>
          <x:t xml:space="preserve">ДОК-8555</x:t>
        </x:is>
      </x:c>
      <x:c r="M472" s="31" t="inlineStr">
        <x:is>
          <x:t xml:space="preserve">Проведен</x:t>
        </x:is>
      </x:c>
    </x:row>
    <x:row r="473">
      <x:c r="A473" s="31" t="inlineStr">
        <x:is>
          <x:t xml:space="preserve">СКЛ-000472</x:t>
        </x:is>
      </x:c>
      <x:c r="B473" s="31" t="n">
        <x:v>46123</x:v>
      </x:c>
      <x:c r="C473" s="31" t="inlineStr">
        <x:is>
          <x:t xml:space="preserve">Приход</x:t>
        </x:is>
      </x:c>
      <x:c r="D473" s="31" t="inlineStr">
        <x:is>
          <x:t xml:space="preserve">МАТ-0025</x:t>
        </x:is>
      </x:c>
      <x:c r="E473" s="31" t="inlineStr">
        <x:is>
          <x:t xml:space="preserve">Двигатель 7.5 кВт</x:t>
        </x:is>
      </x:c>
      <x:c r="F473" s="31" t="n">
        <x:v>15</x:v>
      </x:c>
      <x:c r="G473" s="31" t="inlineStr">
        <x:is>
          <x:t xml:space="preserve">шт</x:t>
        </x:is>
      </x:c>
      <x:c r="H473" s="31" t="n"/>
      <x:c r="I473" s="31" t="n"/>
      <x:c r="J473" s="31" t="inlineStr">
        <x:is>
          <x:t xml:space="preserve">Основной склад</x:t>
        </x:is>
      </x:c>
      <x:c r="K473" s="31" t="inlineStr">
        <x:is>
          <x:t xml:space="preserve">СОТР-024</x:t>
        </x:is>
      </x:c>
      <x:c r="L473" s="31" t="inlineStr">
        <x:is>
          <x:t xml:space="preserve">ДОК-9186</x:t>
        </x:is>
      </x:c>
      <x:c r="M473" s="31" t="inlineStr">
        <x:is>
          <x:t xml:space="preserve">Требует проверки</x:t>
        </x:is>
      </x:c>
    </x:row>
    <x:row r="474">
      <x:c r="A474" s="31" t="inlineStr">
        <x:is>
          <x:t xml:space="preserve">СКЛ-000473</x:t>
        </x:is>
      </x:c>
      <x:c r="B474" s="31" t="n">
        <x:v>46144</x:v>
      </x:c>
      <x:c r="C474" s="31" t="inlineStr">
        <x:is>
          <x:t xml:space="preserve">Приход</x:t>
        </x:is>
      </x:c>
      <x:c r="D474" s="31" t="inlineStr">
        <x:is>
          <x:t xml:space="preserve">МАТ-0001</x:t>
        </x:is>
      </x:c>
      <x:c r="E474" s="31" t="inlineStr">
        <x:is>
          <x:t xml:space="preserve">Лист стальной 09Г2С 8 мм</x:t>
        </x:is>
      </x:c>
      <x:c r="F474" s="31" t="n">
        <x:v>9.19</x:v>
      </x:c>
      <x:c r="G474" s="31" t="inlineStr">
        <x:is>
          <x:t xml:space="preserve">м</x:t>
        </x:is>
      </x:c>
      <x:c r="H474" s="31" t="n"/>
      <x:c r="I474" s="31" t="n"/>
      <x:c r="J474" s="31" t="inlineStr">
        <x:is>
          <x:t xml:space="preserve">Основной склад</x:t>
        </x:is>
      </x:c>
      <x:c r="K474" s="31" t="inlineStr">
        <x:is>
          <x:t xml:space="preserve">СОТР-035</x:t>
        </x:is>
      </x:c>
      <x:c r="L474" s="31" t="inlineStr">
        <x:is>
          <x:t xml:space="preserve">ДОК-4867</x:t>
        </x:is>
      </x:c>
      <x:c r="M474" s="31" t="inlineStr">
        <x:is>
          <x:t xml:space="preserve">Проведен</x:t>
        </x:is>
      </x:c>
    </x:row>
    <x:row r="475">
      <x:c r="A475" s="31" t="inlineStr">
        <x:is>
          <x:t xml:space="preserve">СКЛ-000474</x:t>
        </x:is>
      </x:c>
      <x:c r="B475" s="31" t="n">
        <x:v>46052</x:v>
      </x:c>
      <x:c r="C475" s="31" t="inlineStr">
        <x:is>
          <x:t xml:space="preserve">Возврат</x:t>
        </x:is>
      </x:c>
      <x:c r="D475" s="31" t="inlineStr">
        <x:is>
          <x:t xml:space="preserve">МАТ-0062</x:t>
        </x:is>
      </x:c>
      <x:c r="E475" s="31" t="inlineStr">
        <x:is>
          <x:t xml:space="preserve">Кабель КВВГ 4×1.5</x:t>
        </x:is>
      </x:c>
      <x:c r="F475" s="31" t="n">
        <x:v>53.06</x:v>
      </x:c>
      <x:c r="G475" s="31" t="inlineStr">
        <x:is>
          <x:t xml:space="preserve">м</x:t>
        </x:is>
      </x:c>
      <x:c r="H475" s="31" t="n"/>
      <x:c r="I475" s="31" t="n"/>
      <x:c r="J475" s="31" t="inlineStr">
        <x:is>
          <x:t xml:space="preserve">Цеховой склад</x:t>
        </x:is>
      </x:c>
      <x:c r="K475" s="31" t="inlineStr">
        <x:is>
          <x:t xml:space="preserve">СОТР-024</x:t>
        </x:is>
      </x:c>
      <x:c r="L475" s="31" t="inlineStr">
        <x:is>
          <x:t xml:space="preserve">ДОК-2600</x:t>
        </x:is>
      </x:c>
      <x:c r="M475" s="31" t="inlineStr">
        <x:is>
          <x:t xml:space="preserve">Проведен</x:t>
        </x:is>
      </x:c>
    </x:row>
    <x:row r="476">
      <x:c r="A476" s="31" t="inlineStr">
        <x:is>
          <x:t xml:space="preserve">СКЛ-000475</x:t>
        </x:is>
      </x:c>
      <x:c r="B476" s="31" t="n">
        <x:v>46172</x:v>
      </x:c>
      <x:c r="C476" s="31" t="inlineStr">
        <x:is>
          <x:t xml:space="preserve">Выдача в производство</x:t>
        </x:is>
      </x:c>
      <x:c r="D476" s="31" t="inlineStr">
        <x:is>
          <x:t xml:space="preserve">МАТ-0038</x:t>
        </x:is>
      </x:c>
      <x:c r="E476" s="31" t="inlineStr">
        <x:is>
          <x:t xml:space="preserve">ПЛК 24 дискр. входа / 16 дискр. выхода</x:t>
        </x:is>
      </x:c>
      <x:c r="F476" s="31" t="n">
        <x:v>-3</x:v>
      </x:c>
      <x:c r="G476" s="31" t="inlineStr">
        <x:is>
          <x:t xml:space="preserve">шт</x:t>
        </x:is>
      </x:c>
      <x:c r="H476" s="31" t="inlineStr">
        <x:is>
          <x:t xml:space="preserve">ЗК-1084</x:t>
        </x:is>
      </x:c>
      <x:c r="I476" s="31" t="inlineStr">
        <x:is>
          <x:t xml:space="preserve">ПЗ-00081</x:t>
        </x:is>
      </x:c>
      <x:c r="J476" s="31" t="inlineStr">
        <x:is>
          <x:t xml:space="preserve">Основной склад</x:t>
        </x:is>
      </x:c>
      <x:c r="K476" s="31" t="inlineStr">
        <x:is>
          <x:t xml:space="preserve">СОТР-034</x:t>
        </x:is>
      </x:c>
      <x:c r="L476" s="31" t="inlineStr">
        <x:is>
          <x:t xml:space="preserve">ДОК-3609</x:t>
        </x:is>
      </x:c>
      <x:c r="M476" s="31" t="inlineStr">
        <x:is>
          <x:t xml:space="preserve">Черновик</x:t>
        </x:is>
      </x:c>
    </x:row>
    <x:row r="477">
      <x:c r="A477" s="31" t="inlineStr">
        <x:is>
          <x:t xml:space="preserve">СКЛ-000476</x:t>
        </x:is>
      </x:c>
      <x:c r="B477" s="31" t="n">
        <x:v>46031</x:v>
      </x:c>
      <x:c r="C477" s="31" t="inlineStr">
        <x:is>
          <x:t xml:space="preserve">Списание</x:t>
        </x:is>
      </x:c>
      <x:c r="D477" s="31" t="inlineStr">
        <x:is>
          <x:t xml:space="preserve">МАТ-0087</x:t>
        </x:is>
      </x:c>
      <x:c r="E477" s="31" t="inlineStr">
        <x:is>
          <x:t xml:space="preserve">Ящик фанерный</x:t>
        </x:is>
      </x:c>
      <x:c r="F477" s="31" t="n">
        <x:v>-1</x:v>
      </x:c>
      <x:c r="G477" s="31" t="inlineStr">
        <x:is>
          <x:t xml:space="preserve">шт</x:t>
        </x:is>
      </x:c>
      <x:c r="H477" s="31" t="n"/>
      <x:c r="I477" s="31" t="n"/>
      <x:c r="J477" s="31" t="inlineStr">
        <x:is>
          <x:t xml:space="preserve">Основной склад</x:t>
        </x:is>
      </x:c>
      <x:c r="K477" s="31" t="inlineStr">
        <x:is>
          <x:t xml:space="preserve">СОТР-035</x:t>
        </x:is>
      </x:c>
      <x:c r="L477" s="31" t="inlineStr">
        <x:is>
          <x:t xml:space="preserve">ДОК-9588</x:t>
        </x:is>
      </x:c>
      <x:c r="M477" s="31" t="inlineStr">
        <x:is>
          <x:t xml:space="preserve">Проведен</x:t>
        </x:is>
      </x:c>
    </x:row>
    <x:row r="478">
      <x:c r="A478" s="31" t="inlineStr">
        <x:is>
          <x:t xml:space="preserve">СКЛ-000477</x:t>
        </x:is>
      </x:c>
      <x:c r="B478" s="31" t="n">
        <x:v>46140</x:v>
      </x:c>
      <x:c r="C478" s="31" t="inlineStr">
        <x:is>
          <x:t xml:space="preserve">Возврат</x:t>
        </x:is>
      </x:c>
      <x:c r="D478" s="31" t="inlineStr">
        <x:is>
          <x:t xml:space="preserve">МАТ-0035</x:t>
        </x:is>
      </x:c>
      <x:c r="E478" s="31" t="inlineStr">
        <x:is>
          <x:t xml:space="preserve">Клапан электромагнитный 24В</x:t>
        </x:is>
      </x:c>
      <x:c r="F478" s="31" t="n">
        <x:v>19</x:v>
      </x:c>
      <x:c r="G478" s="31" t="inlineStr">
        <x:is>
          <x:t xml:space="preserve">шт</x:t>
        </x:is>
      </x:c>
      <x:c r="H478" s="31" t="n"/>
      <x:c r="I478" s="31" t="n"/>
      <x:c r="J478" s="31" t="inlineStr">
        <x:is>
          <x:t xml:space="preserve">Брак/карантин</x:t>
        </x:is>
      </x:c>
      <x:c r="K478" s="31" t="inlineStr">
        <x:is>
          <x:t xml:space="preserve">СОТР-024</x:t>
        </x:is>
      </x:c>
      <x:c r="L478" s="31" t="inlineStr">
        <x:is>
          <x:t xml:space="preserve">ДОК-3802</x:t>
        </x:is>
      </x:c>
      <x:c r="M478" s="31" t="inlineStr">
        <x:is>
          <x:t xml:space="preserve">Черновик</x:t>
        </x:is>
      </x:c>
    </x:row>
    <x:row r="479">
      <x:c r="A479" s="31" t="inlineStr">
        <x:is>
          <x:t xml:space="preserve">СКЛ-000478</x:t>
        </x:is>
      </x:c>
      <x:c r="B479" s="31" t="n">
        <x:v>46094</x:v>
      </x:c>
      <x:c r="C479" s="31" t="inlineStr">
        <x:is>
          <x:t xml:space="preserve">Возврат</x:t>
        </x:is>
      </x:c>
      <x:c r="D479" s="31" t="inlineStr">
        <x:is>
          <x:t xml:space="preserve">МАТ-0041</x:t>
        </x:is>
      </x:c>
      <x:c r="E479" s="31" t="inlineStr">
        <x:is>
          <x:t xml:space="preserve">модуль аналогового входа 4 канала / исп.2</x:t>
        </x:is>
      </x:c>
      <x:c r="F479" s="31" t="n">
        <x:v>9</x:v>
      </x:c>
      <x:c r="G479" s="31" t="inlineStr">
        <x:is>
          <x:t xml:space="preserve">шт</x:t>
        </x:is>
      </x:c>
      <x:c r="H479" s="31" t="n"/>
      <x:c r="I479" s="31" t="n"/>
      <x:c r="J479" s="31" t="inlineStr">
        <x:is>
          <x:t xml:space="preserve">Основной склад</x:t>
        </x:is>
      </x:c>
      <x:c r="K479" s="31" t="inlineStr">
        <x:is>
          <x:t xml:space="preserve">СОТР-024</x:t>
        </x:is>
      </x:c>
      <x:c r="L479" s="31" t="inlineStr">
        <x:is>
          <x:t xml:space="preserve">ДОК-5534</x:t>
        </x:is>
      </x:c>
      <x:c r="M479" s="31" t="inlineStr">
        <x:is>
          <x:t xml:space="preserve">Проведен</x:t>
        </x:is>
      </x:c>
    </x:row>
    <x:row r="480">
      <x:c r="A480" s="31" t="inlineStr">
        <x:is>
          <x:t xml:space="preserve">СКЛ-000479</x:t>
        </x:is>
      </x:c>
      <x:c r="B480" s="31" t="n">
        <x:v>46038</x:v>
      </x:c>
      <x:c r="C480" s="31" t="inlineStr">
        <x:is>
          <x:t xml:space="preserve">Приход</x:t>
        </x:is>
      </x:c>
      <x:c r="D480" s="31" t="inlineStr">
        <x:is>
          <x:t xml:space="preserve">МАТ-0011</x:t>
        </x:is>
      </x:c>
      <x:c r="E480" s="31" t="inlineStr">
        <x:is>
          <x:t xml:space="preserve">Фланец Ду50 Ру16 / исп.3</x:t>
        </x:is>
      </x:c>
      <x:c r="F480" s="31" t="n">
        <x:v>18</x:v>
      </x:c>
      <x:c r="G480" s="31" t="inlineStr">
        <x:is>
          <x:t xml:space="preserve">шт</x:t>
        </x:is>
      </x:c>
      <x:c r="H480" s="31" t="n"/>
      <x:c r="I480" s="31" t="n"/>
      <x:c r="J480" s="31" t="inlineStr">
        <x:is>
          <x:t xml:space="preserve">Брак/карантин</x:t>
        </x:is>
      </x:c>
      <x:c r="K480" s="31" t="inlineStr">
        <x:is>
          <x:t xml:space="preserve">СОТР-024</x:t>
        </x:is>
      </x:c>
      <x:c r="L480" s="31" t="inlineStr">
        <x:is>
          <x:t xml:space="preserve">ДОК-5961</x:t>
        </x:is>
      </x:c>
      <x:c r="M480" s="31" t="inlineStr">
        <x:is>
          <x:t xml:space="preserve">Проведен</x:t>
        </x:is>
      </x:c>
    </x:row>
    <x:row r="481">
      <x:c r="A481" s="31" t="inlineStr">
        <x:is>
          <x:t xml:space="preserve">СКЛ-000480</x:t>
        </x:is>
      </x:c>
      <x:c r="B481" s="31" t="n">
        <x:v>46048</x:v>
      </x:c>
      <x:c r="C481" s="31" t="inlineStr">
        <x:is>
          <x:t xml:space="preserve">Списание</x:t>
        </x:is>
      </x:c>
      <x:c r="D481" s="31" t="inlineStr">
        <x:is>
          <x:t xml:space="preserve">МАТ-0011</x:t>
        </x:is>
      </x:c>
      <x:c r="E481" s="31" t="inlineStr">
        <x:is>
          <x:t xml:space="preserve">Фланец Ду50 Ру16 / исп.3</x:t>
        </x:is>
      </x:c>
      <x:c r="F481" s="31" t="n">
        <x:v>-8</x:v>
      </x:c>
      <x:c r="G481" s="31" t="inlineStr">
        <x:is>
          <x:t xml:space="preserve">шт</x:t>
        </x:is>
      </x:c>
      <x:c r="H481" s="31" t="n"/>
      <x:c r="I481" s="31" t="n"/>
      <x:c r="J481" s="31" t="inlineStr">
        <x:is>
          <x:t xml:space="preserve">Цеховой склад</x:t>
        </x:is>
      </x:c>
      <x:c r="K481" s="31" t="inlineStr">
        <x:is>
          <x:t xml:space="preserve">СОТР-037</x:t>
        </x:is>
      </x:c>
      <x:c r="L481" s="31" t="inlineStr">
        <x:is>
          <x:t xml:space="preserve">ДОК-7659</x:t>
        </x:is>
      </x:c>
      <x:c r="M481" s="31" t="inlineStr">
        <x:is>
          <x:t xml:space="preserve">Проведен</x:t>
        </x:is>
      </x:c>
    </x:row>
    <x:row r="482">
      <x:c r="A482" s="31" t="inlineStr">
        <x:is>
          <x:t xml:space="preserve">СКЛ-000481</x:t>
        </x:is>
      </x:c>
      <x:c r="B482" s="31" t="n">
        <x:v>46101</x:v>
      </x:c>
      <x:c r="C482" s="31" t="inlineStr">
        <x:is>
          <x:t xml:space="preserve">Резерв</x:t>
        </x:is>
      </x:c>
      <x:c r="D482" s="31" t="inlineStr">
        <x:is>
          <x:t xml:space="preserve">МАТ-0020</x:t>
        </x:is>
      </x:c>
      <x:c r="E482" s="31" t="inlineStr">
        <x:is>
          <x:t xml:space="preserve">Насос дозировочный / исп.2</x:t>
        </x:is>
      </x:c>
      <x:c r="F482" s="31" t="n">
        <x:v>-7</x:v>
      </x:c>
      <x:c r="G482" s="31" t="inlineStr">
        <x:is>
          <x:t xml:space="preserve">шт</x:t>
        </x:is>
      </x:c>
      <x:c r="H482" s="31" t="inlineStr">
        <x:is>
          <x:t xml:space="preserve">ЗК-1121</x:t>
        </x:is>
      </x:c>
      <x:c r="I482" s="31" t="n"/>
      <x:c r="J482" s="31" t="inlineStr">
        <x:is>
          <x:t xml:space="preserve">Цеховой склад</x:t>
        </x:is>
      </x:c>
      <x:c r="K482" s="31" t="inlineStr">
        <x:is>
          <x:t xml:space="preserve">СОТР-039</x:t>
        </x:is>
      </x:c>
      <x:c r="L482" s="31" t="inlineStr">
        <x:is>
          <x:t xml:space="preserve">ДОК-8941</x:t>
        </x:is>
      </x:c>
      <x:c r="M482" s="31" t="inlineStr">
        <x:is>
          <x:t xml:space="preserve">Проведен</x:t>
        </x:is>
      </x:c>
    </x:row>
    <x:row r="483">
      <x:c r="A483" s="31" t="inlineStr">
        <x:is>
          <x:t xml:space="preserve">СКЛ-000482</x:t>
        </x:is>
      </x:c>
      <x:c r="B483" s="31" t="n">
        <x:v>46096</x:v>
      </x:c>
      <x:c r="C483" s="31" t="inlineStr">
        <x:is>
          <x:t xml:space="preserve">Приход</x:t>
        </x:is>
      </x:c>
      <x:c r="D483" s="31" t="inlineStr">
        <x:is>
          <x:t xml:space="preserve">МАТ-0054</x:t>
        </x:is>
      </x:c>
      <x:c r="E483" s="31" t="inlineStr">
        <x:is>
          <x:t xml:space="preserve">Кран шаровой Ду80</x:t>
        </x:is>
      </x:c>
      <x:c r="F483" s="31" t="n">
        <x:v>11</x:v>
      </x:c>
      <x:c r="G483" s="31" t="inlineStr">
        <x:is>
          <x:t xml:space="preserve">шт</x:t>
        </x:is>
      </x:c>
      <x:c r="H483" s="31" t="n"/>
      <x:c r="I483" s="31" t="n"/>
      <x:c r="J483" s="31" t="inlineStr">
        <x:is>
          <x:t xml:space="preserve">Брак/карантин</x:t>
        </x:is>
      </x:c>
      <x:c r="K483" s="31" t="inlineStr">
        <x:is>
          <x:t xml:space="preserve">СОТР-037</x:t>
        </x:is>
      </x:c>
      <x:c r="L483" s="31" t="inlineStr">
        <x:is>
          <x:t xml:space="preserve">ДОК-7160</x:t>
        </x:is>
      </x:c>
      <x:c r="M483" s="31" t="inlineStr">
        <x:is>
          <x:t xml:space="preserve">Проведен</x:t>
        </x:is>
      </x:c>
    </x:row>
    <x:row r="484">
      <x:c r="A484" s="31" t="inlineStr">
        <x:is>
          <x:t xml:space="preserve">СКЛ-000483</x:t>
        </x:is>
      </x:c>
      <x:c r="B484" s="31" t="n">
        <x:v>46076</x:v>
      </x:c>
      <x:c r="C484" s="31" t="inlineStr">
        <x:is>
          <x:t xml:space="preserve">Резерв</x:t>
        </x:is>
      </x:c>
      <x:c r="D484" s="31" t="inlineStr">
        <x:is>
          <x:t xml:space="preserve">МАТ-0061</x:t>
        </x:is>
      </x:c>
      <x:c r="E484" s="31" t="inlineStr">
        <x:is>
          <x:t xml:space="preserve">Фильтр сетчатый Ду50 / исп.3</x:t>
        </x:is>
      </x:c>
      <x:c r="F484" s="31" t="n">
        <x:v>-6</x:v>
      </x:c>
      <x:c r="G484" s="31" t="inlineStr">
        <x:is>
          <x:t xml:space="preserve">шт</x:t>
        </x:is>
      </x:c>
      <x:c r="H484" s="31" t="inlineStr">
        <x:is>
          <x:t xml:space="preserve">ЗК-1054</x:t>
        </x:is>
      </x:c>
      <x:c r="I484" s="31" t="n"/>
      <x:c r="J484" s="31" t="inlineStr">
        <x:is>
          <x:t xml:space="preserve">Основной склад</x:t>
        </x:is>
      </x:c>
      <x:c r="K484" s="31" t="inlineStr">
        <x:is>
          <x:t xml:space="preserve">СОТР-036</x:t>
        </x:is>
      </x:c>
      <x:c r="L484" s="31" t="inlineStr">
        <x:is>
          <x:t xml:space="preserve">ДОК-1932</x:t>
        </x:is>
      </x:c>
      <x:c r="M484" s="31" t="inlineStr">
        <x:is>
          <x:t xml:space="preserve">Проведен</x:t>
        </x:is>
      </x:c>
    </x:row>
    <x:row r="485">
      <x:c r="A485" s="31" t="inlineStr">
        <x:is>
          <x:t xml:space="preserve">СКЛ-000484</x:t>
        </x:is>
      </x:c>
      <x:c r="B485" s="31" t="n">
        <x:v>46156</x:v>
      </x:c>
      <x:c r="C485" s="31" t="inlineStr">
        <x:is>
          <x:t xml:space="preserve">Выдача в производство</x:t>
        </x:is>
      </x:c>
      <x:c r="D485" s="31" t="inlineStr">
        <x:is>
          <x:t xml:space="preserve">МАТ-0034</x:t>
        </x:is>
      </x:c>
      <x:c r="E485" s="31" t="inlineStr">
        <x:is>
          <x:t xml:space="preserve">Манометр виброустойчивый</x:t>
        </x:is>
      </x:c>
      <x:c r="F485" s="31" t="n">
        <x:v>-4</x:v>
      </x:c>
      <x:c r="G485" s="31" t="inlineStr">
        <x:is>
          <x:t xml:space="preserve">шт</x:t>
        </x:is>
      </x:c>
      <x:c r="H485" s="31" t="inlineStr">
        <x:is>
          <x:t xml:space="preserve">ЗК-1101</x:t>
        </x:is>
      </x:c>
      <x:c r="I485" s="31" t="inlineStr">
        <x:is>
          <x:t xml:space="preserve">ПЗ-00213</x:t>
        </x:is>
      </x:c>
      <x:c r="J485" s="31" t="inlineStr">
        <x:is>
          <x:t xml:space="preserve">Основной склад</x:t>
        </x:is>
      </x:c>
      <x:c r="K485" s="31" t="inlineStr">
        <x:is>
          <x:t xml:space="preserve">СОТР-036</x:t>
        </x:is>
      </x:c>
      <x:c r="L485" s="31" t="inlineStr">
        <x:is>
          <x:t xml:space="preserve">ДОК-2734</x:t>
        </x:is>
      </x:c>
      <x:c r="M485" s="31" t="inlineStr">
        <x:is>
          <x:t xml:space="preserve">Проведен</x:t>
        </x:is>
      </x:c>
    </x:row>
    <x:row r="486">
      <x:c r="A486" s="31" t="inlineStr">
        <x:is>
          <x:t xml:space="preserve">СКЛ-000485</x:t>
        </x:is>
      </x:c>
      <x:c r="B486" s="31" t="n">
        <x:v>46060</x:v>
      </x:c>
      <x:c r="C486" s="31" t="inlineStr">
        <x:is>
          <x:t xml:space="preserve">Резерв</x:t>
        </x:is>
      </x:c>
      <x:c r="D486" s="31" t="inlineStr">
        <x:is>
          <x:t xml:space="preserve">МАТ-0021</x:t>
        </x:is>
      </x:c>
      <x:c r="E486" s="31" t="inlineStr">
        <x:is>
          <x:t xml:space="preserve">Торцевое уплотнение</x:t>
        </x:is>
      </x:c>
      <x:c r="F486" s="31" t="n">
        <x:v>-4</x:v>
      </x:c>
      <x:c r="G486" s="31" t="inlineStr">
        <x:is>
          <x:t xml:space="preserve">шт</x:t>
        </x:is>
      </x:c>
      <x:c r="H486" s="31" t="inlineStr">
        <x:is>
          <x:t xml:space="preserve">ЗК-1100</x:t>
        </x:is>
      </x:c>
      <x:c r="I486" s="31" t="n"/>
      <x:c r="J486" s="31" t="inlineStr">
        <x:is>
          <x:t xml:space="preserve">Основной склад</x:t>
        </x:is>
      </x:c>
      <x:c r="K486" s="31" t="inlineStr">
        <x:is>
          <x:t xml:space="preserve">СОТР-033</x:t>
        </x:is>
      </x:c>
      <x:c r="L486" s="31" t="inlineStr">
        <x:is>
          <x:t xml:space="preserve">ДОК-7269</x:t>
        </x:is>
      </x:c>
      <x:c r="M486" s="31" t="inlineStr">
        <x:is>
          <x:t xml:space="preserve">Проведен</x:t>
        </x:is>
      </x:c>
    </x:row>
    <x:row r="487">
      <x:c r="A487" s="31" t="inlineStr">
        <x:is>
          <x:t xml:space="preserve">СКЛ-000486</x:t>
        </x:is>
      </x:c>
      <x:c r="B487" s="31" t="n">
        <x:v>46158</x:v>
      </x:c>
      <x:c r="C487" s="31" t="inlineStr">
        <x:is>
          <x:t xml:space="preserve">Приход</x:t>
        </x:is>
      </x:c>
      <x:c r="D487" s="31" t="inlineStr">
        <x:is>
          <x:t xml:space="preserve">МАТ-0072</x:t>
        </x:is>
      </x:c>
      <x:c r="E487" s="31" t="inlineStr">
        <x:is>
          <x:t xml:space="preserve">Растворитель</x:t>
        </x:is>
      </x:c>
      <x:c r="F487" s="31" t="n">
        <x:v>6.98</x:v>
      </x:c>
      <x:c r="G487" s="31" t="inlineStr">
        <x:is>
          <x:t xml:space="preserve">л</x:t>
        </x:is>
      </x:c>
      <x:c r="H487" s="31" t="n"/>
      <x:c r="I487" s="31" t="n"/>
      <x:c r="J487" s="31" t="inlineStr">
        <x:is>
          <x:t xml:space="preserve">Основной склад</x:t>
        </x:is>
      </x:c>
      <x:c r="K487" s="31" t="inlineStr">
        <x:is>
          <x:t xml:space="preserve">СОТР-037</x:t>
        </x:is>
      </x:c>
      <x:c r="L487" s="31" t="inlineStr">
        <x:is>
          <x:t xml:space="preserve">ДОК-6801</x:t>
        </x:is>
      </x:c>
      <x:c r="M487" s="31" t="inlineStr">
        <x:is>
          <x:t xml:space="preserve">Черновик</x:t>
        </x:is>
      </x:c>
    </x:row>
    <x:row r="488">
      <x:c r="A488" s="31" t="inlineStr">
        <x:is>
          <x:t xml:space="preserve">СКЛ-000487</x:t>
        </x:is>
      </x:c>
      <x:c r="B488" s="31" t="n">
        <x:v>46128</x:v>
      </x:c>
      <x:c r="C488" s="31" t="inlineStr">
        <x:is>
          <x:t xml:space="preserve">Выдача в производство</x:t>
        </x:is>
      </x:c>
      <x:c r="D488" s="31" t="inlineStr">
        <x:is>
          <x:t xml:space="preserve">МАТ-0006</x:t>
        </x:is>
      </x:c>
      <x:c r="E488" s="31" t="inlineStr">
        <x:is>
          <x:t xml:space="preserve">Труба нержавеющая 38×3</x:t>
        </x:is>
      </x:c>
      <x:c r="F488" s="31" t="n">
        <x:v>-18</x:v>
      </x:c>
      <x:c r="G488" s="31" t="inlineStr">
        <x:is>
          <x:t xml:space="preserve">шт</x:t>
        </x:is>
      </x:c>
      <x:c r="H488" s="31" t="inlineStr">
        <x:is>
          <x:t xml:space="preserve">ЗК-1083</x:t>
        </x:is>
      </x:c>
      <x:c r="I488" s="31" t="inlineStr">
        <x:is>
          <x:t xml:space="preserve">ПЗ-00252</x:t>
        </x:is>
      </x:c>
      <x:c r="J488" s="31" t="inlineStr">
        <x:is>
          <x:t xml:space="preserve">Цеховой склад</x:t>
        </x:is>
      </x:c>
      <x:c r="K488" s="31" t="inlineStr">
        <x:is>
          <x:t xml:space="preserve">СОТР-037</x:t>
        </x:is>
      </x:c>
      <x:c r="L488" s="31" t="inlineStr">
        <x:is>
          <x:t xml:space="preserve">ДОК-1764</x:t>
        </x:is>
      </x:c>
      <x:c r="M488" s="31" t="inlineStr">
        <x:is>
          <x:t xml:space="preserve">Проведен</x:t>
        </x:is>
      </x:c>
    </x:row>
    <x:row r="489">
      <x:c r="A489" s="31" t="inlineStr">
        <x:is>
          <x:t xml:space="preserve">СКЛ-000488</x:t>
        </x:is>
      </x:c>
      <x:c r="B489" s="31" t="n">
        <x:v>46102</x:v>
      </x:c>
      <x:c r="C489" s="31" t="inlineStr">
        <x:is>
          <x:t xml:space="preserve">Приход</x:t>
        </x:is>
      </x:c>
      <x:c r="D489" s="31" t="inlineStr">
        <x:is>
          <x:t xml:space="preserve">МАТ-0038</x:t>
        </x:is>
      </x:c>
      <x:c r="E489" s="31" t="inlineStr">
        <x:is>
          <x:t xml:space="preserve">ПЛК 24 дискр. входа / 16 дискр. выхода</x:t>
        </x:is>
      </x:c>
      <x:c r="F489" s="31" t="n">
        <x:v>10</x:v>
      </x:c>
      <x:c r="G489" s="31" t="inlineStr">
        <x:is>
          <x:t xml:space="preserve">шт</x:t>
        </x:is>
      </x:c>
      <x:c r="H489" s="31" t="n"/>
      <x:c r="I489" s="31" t="n"/>
      <x:c r="J489" s="31" t="inlineStr">
        <x:is>
          <x:t xml:space="preserve">Цеховой склад</x:t>
        </x:is>
      </x:c>
      <x:c r="K489" s="31" t="inlineStr">
        <x:is>
          <x:t xml:space="preserve">СОТР-036</x:t>
        </x:is>
      </x:c>
      <x:c r="L489" s="31" t="inlineStr">
        <x:is>
          <x:t xml:space="preserve">ДОК-3374</x:t>
        </x:is>
      </x:c>
      <x:c r="M489" s="31" t="inlineStr">
        <x:is>
          <x:t xml:space="preserve">Проведен</x:t>
        </x:is>
      </x:c>
    </x:row>
    <x:row r="490">
      <x:c r="A490" s="31" t="inlineStr">
        <x:is>
          <x:t xml:space="preserve">СКЛ-000489</x:t>
        </x:is>
      </x:c>
      <x:c r="B490" s="31" t="n">
        <x:v>46042</x:v>
      </x:c>
      <x:c r="C490" s="31" t="inlineStr">
        <x:is>
          <x:t xml:space="preserve">Выдача в производство</x:t>
        </x:is>
      </x:c>
      <x:c r="D490" s="31" t="inlineStr">
        <x:is>
          <x:t xml:space="preserve">МАТ-0064</x:t>
        </x:is>
      </x:c>
      <x:c r="E490" s="31" t="inlineStr">
        <x:is>
          <x:t xml:space="preserve">Кабель ВВГнг 3×2.5 / исп.2</x:t>
        </x:is>
      </x:c>
      <x:c r="F490" s="31" t="n">
        <x:v>-12</x:v>
      </x:c>
      <x:c r="G490" s="31" t="inlineStr">
        <x:is>
          <x:t xml:space="preserve">шт</x:t>
        </x:is>
      </x:c>
      <x:c r="H490" s="31" t="inlineStr">
        <x:is>
          <x:t xml:space="preserve">ЗК-1007</x:t>
        </x:is>
      </x:c>
      <x:c r="I490" s="31" t="inlineStr">
        <x:is>
          <x:t xml:space="preserve">ПЗ-00032</x:t>
        </x:is>
      </x:c>
      <x:c r="J490" s="31" t="inlineStr">
        <x:is>
          <x:t xml:space="preserve">Основной склад</x:t>
        </x:is>
      </x:c>
      <x:c r="K490" s="31" t="inlineStr">
        <x:is>
          <x:t xml:space="preserve">СОТР-033</x:t>
        </x:is>
      </x:c>
      <x:c r="L490" s="31" t="inlineStr">
        <x:is>
          <x:t xml:space="preserve">ДОК-4724</x:t>
        </x:is>
      </x:c>
      <x:c r="M490" s="31" t="inlineStr">
        <x:is>
          <x:t xml:space="preserve">Проведен</x:t>
        </x:is>
      </x:c>
    </x:row>
    <x:row r="491">
      <x:c r="A491" s="31" t="inlineStr">
        <x:is>
          <x:t xml:space="preserve">СКЛ-000490</x:t>
        </x:is>
      </x:c>
      <x:c r="B491" s="31" t="n">
        <x:v>46189</x:v>
      </x:c>
      <x:c r="C491" s="31" t="inlineStr">
        <x:is>
          <x:t xml:space="preserve">Выдача в производство</x:t>
        </x:is>
      </x:c>
      <x:c r="D491" s="31" t="inlineStr">
        <x:is>
          <x:t xml:space="preserve">МАТ-0066</x:t>
        </x:is>
      </x:c>
      <x:c r="E491" s="31" t="inlineStr">
        <x:is>
          <x:t xml:space="preserve">Гофра металлическая / исп.2</x:t>
        </x:is>
      </x:c>
      <x:c r="F491" s="31" t="n">
        <x:v>-41.28</x:v>
      </x:c>
      <x:c r="G491" s="31" t="inlineStr">
        <x:is>
          <x:t xml:space="preserve">кг</x:t>
        </x:is>
      </x:c>
      <x:c r="H491" s="31" t="inlineStr">
        <x:is>
          <x:t xml:space="preserve">ЗК-1040</x:t>
        </x:is>
      </x:c>
      <x:c r="I491" s="31" t="inlineStr">
        <x:is>
          <x:t xml:space="preserve">ПЗ-00211</x:t>
        </x:is>
      </x:c>
      <x:c r="J491" s="31" t="inlineStr">
        <x:is>
          <x:t xml:space="preserve">Брак/карантин</x:t>
        </x:is>
      </x:c>
      <x:c r="K491" s="31" t="inlineStr">
        <x:is>
          <x:t xml:space="preserve">СОТР-039</x:t>
        </x:is>
      </x:c>
      <x:c r="L491" s="31" t="inlineStr">
        <x:is>
          <x:t xml:space="preserve">ДОК-1704</x:t>
        </x:is>
      </x:c>
      <x:c r="M491" s="31" t="inlineStr">
        <x:is>
          <x:t xml:space="preserve">Проведен</x:t>
        </x:is>
      </x:c>
    </x:row>
    <x:row r="492">
      <x:c r="A492" s="31" t="inlineStr">
        <x:is>
          <x:t xml:space="preserve">СКЛ-000491</x:t>
        </x:is>
      </x:c>
      <x:c r="B492" s="31" t="n">
        <x:v>46201</x:v>
      </x:c>
      <x:c r="C492" s="31" t="inlineStr">
        <x:is>
          <x:t xml:space="preserve">Приход</x:t>
        </x:is>
      </x:c>
      <x:c r="D492" s="31" t="inlineStr">
        <x:is>
          <x:t xml:space="preserve">МАТ-0033</x:t>
        </x:is>
      </x:c>
      <x:c r="E492" s="31" t="inlineStr">
        <x:is>
          <x:t xml:space="preserve">Расходомер электромагнитный Ду50</x:t>
        </x:is>
      </x:c>
      <x:c r="F492" s="31" t="n">
        <x:v>19</x:v>
      </x:c>
      <x:c r="G492" s="31" t="inlineStr">
        <x:is>
          <x:t xml:space="preserve">шт</x:t>
        </x:is>
      </x:c>
      <x:c r="H492" s="31" t="n"/>
      <x:c r="I492" s="31" t="n"/>
      <x:c r="J492" s="31" t="inlineStr">
        <x:is>
          <x:t xml:space="preserve">Основной склад</x:t>
        </x:is>
      </x:c>
      <x:c r="K492" s="31" t="inlineStr">
        <x:is>
          <x:t xml:space="preserve">СОТР-036</x:t>
        </x:is>
      </x:c>
      <x:c r="L492" s="31" t="inlineStr">
        <x:is>
          <x:t xml:space="preserve">ДОК-3455</x:t>
        </x:is>
      </x:c>
      <x:c r="M492" s="31" t="inlineStr">
        <x:is>
          <x:t xml:space="preserve">Проведен</x:t>
        </x:is>
      </x:c>
    </x:row>
    <x:row r="493">
      <x:c r="A493" s="31" t="inlineStr">
        <x:is>
          <x:t xml:space="preserve">СКЛ-000492</x:t>
        </x:is>
      </x:c>
      <x:c r="B493" s="31" t="n">
        <x:v>46051</x:v>
      </x:c>
      <x:c r="C493" s="31" t="inlineStr">
        <x:is>
          <x:t xml:space="preserve">Резерв</x:t>
        </x:is>
      </x:c>
      <x:c r="D493" s="31" t="inlineStr">
        <x:is>
          <x:t xml:space="preserve">МАТ-0001</x:t>
        </x:is>
      </x:c>
      <x:c r="E493" s="31" t="inlineStr">
        <x:is>
          <x:t xml:space="preserve">Лист стальной 09Г2С 8 мм</x:t>
        </x:is>
      </x:c>
      <x:c r="F493" s="31" t="n">
        <x:v>-53.1</x:v>
      </x:c>
      <x:c r="G493" s="31" t="inlineStr">
        <x:is>
          <x:t xml:space="preserve">м</x:t>
        </x:is>
      </x:c>
      <x:c r="H493" s="31" t="inlineStr">
        <x:is>
          <x:t xml:space="preserve">ЗК-1076</x:t>
        </x:is>
      </x:c>
      <x:c r="I493" s="31" t="n"/>
      <x:c r="J493" s="31" t="inlineStr">
        <x:is>
          <x:t xml:space="preserve">Основной склад</x:t>
        </x:is>
      </x:c>
      <x:c r="K493" s="31" t="inlineStr">
        <x:is>
          <x:t xml:space="preserve">СОТР-024</x:t>
        </x:is>
      </x:c>
      <x:c r="L493" s="31" t="inlineStr">
        <x:is>
          <x:t xml:space="preserve">ДОК-1722</x:t>
        </x:is>
      </x:c>
      <x:c r="M493" s="31" t="inlineStr">
        <x:is>
          <x:t xml:space="preserve">Проведен</x:t>
        </x:is>
      </x:c>
    </x:row>
    <x:row r="494">
      <x:c r="A494" s="31" t="inlineStr">
        <x:is>
          <x:t xml:space="preserve">СКЛ-000493</x:t>
        </x:is>
      </x:c>
      <x:c r="B494" s="31" t="n">
        <x:v>46140</x:v>
      </x:c>
      <x:c r="C494" s="31" t="inlineStr">
        <x:is>
          <x:t xml:space="preserve">Списание</x:t>
        </x:is>
      </x:c>
      <x:c r="D494" s="31" t="inlineStr">
        <x:is>
          <x:t xml:space="preserve">МАТ-0010</x:t>
        </x:is>
      </x:c>
      <x:c r="E494" s="31" t="inlineStr">
        <x:is>
          <x:t xml:space="preserve">Фланец Ду50 Ру16 / исп.2</x:t>
        </x:is>
      </x:c>
      <x:c r="F494" s="31" t="n">
        <x:v>-8</x:v>
      </x:c>
      <x:c r="G494" s="31" t="inlineStr">
        <x:is>
          <x:t xml:space="preserve">шт</x:t>
        </x:is>
      </x:c>
      <x:c r="H494" s="31" t="n"/>
      <x:c r="I494" s="31" t="n"/>
      <x:c r="J494" s="31" t="inlineStr">
        <x:is>
          <x:t xml:space="preserve">Основной склад</x:t>
        </x:is>
      </x:c>
      <x:c r="K494" s="31" t="inlineStr">
        <x:is>
          <x:t xml:space="preserve">СОТР-039</x:t>
        </x:is>
      </x:c>
      <x:c r="L494" s="31" t="inlineStr">
        <x:is>
          <x:t xml:space="preserve">ДОК-3525</x:t>
        </x:is>
      </x:c>
      <x:c r="M494" s="31" t="inlineStr">
        <x:is>
          <x:t xml:space="preserve">Проведен</x:t>
        </x:is>
      </x:c>
    </x:row>
    <x:row r="495">
      <x:c r="A495" s="31" t="inlineStr">
        <x:is>
          <x:t xml:space="preserve">СКЛ-000494</x:t>
        </x:is>
      </x:c>
      <x:c r="B495" s="31" t="n">
        <x:v>46136</x:v>
      </x:c>
      <x:c r="C495" s="31" t="inlineStr">
        <x:is>
          <x:t xml:space="preserve">Выдача в производство</x:t>
        </x:is>
      </x:c>
      <x:c r="D495" s="31" t="inlineStr">
        <x:is>
          <x:t xml:space="preserve">МАТ-0029</x:t>
        </x:is>
      </x:c>
      <x:c r="E495" s="31" t="inlineStr">
        <x:is>
          <x:t xml:space="preserve">Частотный преобразователь 22 кВт</x:t>
        </x:is>
      </x:c>
      <x:c r="F495" s="31" t="n">
        <x:v>-13</x:v>
      </x:c>
      <x:c r="G495" s="31" t="inlineStr">
        <x:is>
          <x:t xml:space="preserve">шт</x:t>
        </x:is>
      </x:c>
      <x:c r="H495" s="31" t="inlineStr">
        <x:is>
          <x:t xml:space="preserve">ЗК-1130</x:t>
        </x:is>
      </x:c>
      <x:c r="I495" s="31" t="inlineStr">
        <x:is>
          <x:t xml:space="preserve">ПЗ-00240</x:t>
        </x:is>
      </x:c>
      <x:c r="J495" s="31" t="inlineStr">
        <x:is>
          <x:t xml:space="preserve">Цеховой склад</x:t>
        </x:is>
      </x:c>
      <x:c r="K495" s="31" t="inlineStr">
        <x:is>
          <x:t xml:space="preserve">СОТР-024</x:t>
        </x:is>
      </x:c>
      <x:c r="L495" s="31" t="inlineStr">
        <x:is>
          <x:t xml:space="preserve">ДОК-6126</x:t>
        </x:is>
      </x:c>
      <x:c r="M495" s="31" t="inlineStr">
        <x:is>
          <x:t xml:space="preserve">Проведен</x:t>
        </x:is>
      </x:c>
    </x:row>
    <x:row r="496">
      <x:c r="A496" s="31" t="inlineStr">
        <x:is>
          <x:t xml:space="preserve">СКЛ-000495</x:t>
        </x:is>
      </x:c>
      <x:c r="B496" s="31" t="n">
        <x:v>46157</x:v>
      </x:c>
      <x:c r="C496" s="31" t="inlineStr">
        <x:is>
          <x:t xml:space="preserve">Выдача в производство</x:t>
        </x:is>
      </x:c>
      <x:c r="D496" s="31" t="inlineStr">
        <x:is>
          <x:t xml:space="preserve">МАТ-0059</x:t>
        </x:is>
      </x:c>
      <x:c r="E496" s="31" t="inlineStr">
        <x:is>
          <x:t xml:space="preserve">Фильтр сетчатый Ду50</x:t>
        </x:is>
      </x:c>
      <x:c r="F496" s="31" t="n">
        <x:v>-1</x:v>
      </x:c>
      <x:c r="G496" s="31" t="inlineStr">
        <x:is>
          <x:t xml:space="preserve">шт</x:t>
        </x:is>
      </x:c>
      <x:c r="H496" s="31" t="inlineStr">
        <x:is>
          <x:t xml:space="preserve">ЗК-1066</x:t>
        </x:is>
      </x:c>
      <x:c r="I496" s="31" t="inlineStr">
        <x:is>
          <x:t xml:space="preserve">ПЗ-00020</x:t>
        </x:is>
      </x:c>
      <x:c r="J496" s="31" t="inlineStr">
        <x:is>
          <x:t xml:space="preserve">Основной склад</x:t>
        </x:is>
      </x:c>
      <x:c r="K496" s="31" t="inlineStr">
        <x:is>
          <x:t xml:space="preserve">СОТР-033</x:t>
        </x:is>
      </x:c>
      <x:c r="L496" s="31" t="inlineStr">
        <x:is>
          <x:t xml:space="preserve">ДОК-8490</x:t>
        </x:is>
      </x:c>
      <x:c r="M496" s="31" t="inlineStr">
        <x:is>
          <x:t xml:space="preserve">Проведен</x:t>
        </x:is>
      </x:c>
    </x:row>
    <x:row r="497">
      <x:c r="A497" s="31" t="inlineStr">
        <x:is>
          <x:t xml:space="preserve">СКЛ-000496</x:t>
        </x:is>
      </x:c>
      <x:c r="B497" s="31" t="n">
        <x:v>46145</x:v>
      </x:c>
      <x:c r="C497" s="31" t="inlineStr">
        <x:is>
          <x:t xml:space="preserve">Выдача в производство</x:t>
        </x:is>
      </x:c>
      <x:c r="D497" s="31" t="inlineStr">
        <x:is>
          <x:t xml:space="preserve">МАТ-0015</x:t>
        </x:is>
      </x:c>
      <x:c r="E497" s="31" t="inlineStr">
        <x:is>
          <x:t xml:space="preserve">Насос центробежный 15 кВт</x:t>
        </x:is>
      </x:c>
      <x:c r="F497" s="31" t="n">
        <x:v>-1</x:v>
      </x:c>
      <x:c r="G497" s="31" t="inlineStr">
        <x:is>
          <x:t xml:space="preserve">шт</x:t>
        </x:is>
      </x:c>
      <x:c r="H497" s="31" t="inlineStr">
        <x:is>
          <x:t xml:space="preserve">ЗК-1105</x:t>
        </x:is>
      </x:c>
      <x:c r="I497" s="31" t="inlineStr">
        <x:is>
          <x:t xml:space="preserve">ПЗ-00004</x:t>
        </x:is>
      </x:c>
      <x:c r="J497" s="31" t="inlineStr">
        <x:is>
          <x:t xml:space="preserve">Брак/карантин</x:t>
        </x:is>
      </x:c>
      <x:c r="K497" s="31" t="inlineStr">
        <x:is>
          <x:t xml:space="preserve">СОТР-036</x:t>
        </x:is>
      </x:c>
      <x:c r="L497" s="31" t="inlineStr">
        <x:is>
          <x:t xml:space="preserve">ДОК-3933</x:t>
        </x:is>
      </x:c>
      <x:c r="M497" s="31" t="inlineStr">
        <x:is>
          <x:t xml:space="preserve">Проведен</x:t>
        </x:is>
      </x:c>
    </x:row>
    <x:row r="498">
      <x:c r="A498" s="31" t="inlineStr">
        <x:is>
          <x:t xml:space="preserve">СКЛ-000497</x:t>
        </x:is>
      </x:c>
      <x:c r="B498" s="31" t="n">
        <x:v>46166</x:v>
      </x:c>
      <x:c r="C498" s="31" t="inlineStr">
        <x:is>
          <x:t xml:space="preserve">Резерв</x:t>
        </x:is>
      </x:c>
      <x:c r="D498" s="31" t="inlineStr">
        <x:is>
          <x:t xml:space="preserve">МАТ-0048</x:t>
        </x:is>
      </x:c>
      <x:c r="E498" s="31" t="inlineStr">
        <x:is>
          <x:t xml:space="preserve">Контактор 25А / исп.3</x:t>
        </x:is>
      </x:c>
      <x:c r="F498" s="31" t="n">
        <x:v>-4</x:v>
      </x:c>
      <x:c r="G498" s="31" t="inlineStr">
        <x:is>
          <x:t xml:space="preserve">шт</x:t>
        </x:is>
      </x:c>
      <x:c r="H498" s="31" t="inlineStr">
        <x:is>
          <x:t xml:space="preserve">ЗК-1090</x:t>
        </x:is>
      </x:c>
      <x:c r="I498" s="31" t="n"/>
      <x:c r="J498" s="31" t="inlineStr">
        <x:is>
          <x:t xml:space="preserve">Основной склад</x:t>
        </x:is>
      </x:c>
      <x:c r="K498" s="31" t="inlineStr">
        <x:is>
          <x:t xml:space="preserve">СОТР-039</x:t>
        </x:is>
      </x:c>
      <x:c r="L498" s="31" t="inlineStr">
        <x:is>
          <x:t xml:space="preserve">ДОК-8900</x:t>
        </x:is>
      </x:c>
      <x:c r="M498" s="31" t="inlineStr">
        <x:is>
          <x:t xml:space="preserve">Проведен</x:t>
        </x:is>
      </x:c>
    </x:row>
    <x:row r="499">
      <x:c r="A499" s="31" t="inlineStr">
        <x:is>
          <x:t xml:space="preserve">СКЛ-000498</x:t>
        </x:is>
      </x:c>
      <x:c r="B499" s="31" t="n">
        <x:v>46185</x:v>
      </x:c>
      <x:c r="C499" s="31" t="inlineStr">
        <x:is>
          <x:t xml:space="preserve">Резерв</x:t>
        </x:is>
      </x:c>
      <x:c r="D499" s="31" t="inlineStr">
        <x:is>
          <x:t xml:space="preserve">МАТ-0056</x:t>
        </x:is>
      </x:c>
      <x:c r="E499" s="31" t="inlineStr">
        <x:is>
          <x:t xml:space="preserve">Задвижка Ду100</x:t>
        </x:is>
      </x:c>
      <x:c r="F499" s="31" t="n">
        <x:v>-3</x:v>
      </x:c>
      <x:c r="G499" s="31" t="inlineStr">
        <x:is>
          <x:t xml:space="preserve">шт</x:t>
        </x:is>
      </x:c>
      <x:c r="H499" s="31" t="inlineStr">
        <x:is>
          <x:t xml:space="preserve">ЗК-1029</x:t>
        </x:is>
      </x:c>
      <x:c r="I499" s="31" t="n"/>
      <x:c r="J499" s="31" t="inlineStr">
        <x:is>
          <x:t xml:space="preserve">Цеховой склад</x:t>
        </x:is>
      </x:c>
      <x:c r="K499" s="31" t="inlineStr">
        <x:is>
          <x:t xml:space="preserve">СОТР-034</x:t>
        </x:is>
      </x:c>
      <x:c r="L499" s="31" t="inlineStr">
        <x:is>
          <x:t xml:space="preserve">ДОК-4810</x:t>
        </x:is>
      </x:c>
      <x:c r="M499" s="31" t="inlineStr">
        <x:is>
          <x:t xml:space="preserve">Проведен</x:t>
        </x:is>
      </x:c>
    </x:row>
    <x:row r="500">
      <x:c r="A500" s="31" t="inlineStr">
        <x:is>
          <x:t xml:space="preserve">СКЛ-000499</x:t>
        </x:is>
      </x:c>
      <x:c r="B500" s="31" t="n">
        <x:v>46069</x:v>
      </x:c>
      <x:c r="C500" s="31" t="inlineStr">
        <x:is>
          <x:t xml:space="preserve">Резерв</x:t>
        </x:is>
      </x:c>
      <x:c r="D500" s="31" t="inlineStr">
        <x:is>
          <x:t xml:space="preserve">МАТ-0016</x:t>
        </x:is>
      </x:c>
      <x:c r="E500" s="31" t="inlineStr">
        <x:is>
          <x:t xml:space="preserve">Насос центробежный 15 кВт / исп.2</x:t>
        </x:is>
      </x:c>
      <x:c r="F500" s="31" t="n">
        <x:v>-19</x:v>
      </x:c>
      <x:c r="G500" s="31" t="inlineStr">
        <x:is>
          <x:t xml:space="preserve">шт</x:t>
        </x:is>
      </x:c>
      <x:c r="H500" s="31" t="inlineStr">
        <x:is>
          <x:t xml:space="preserve">ЗК-1004</x:t>
        </x:is>
      </x:c>
      <x:c r="I500" s="31" t="n"/>
      <x:c r="J500" s="31" t="inlineStr">
        <x:is>
          <x:t xml:space="preserve">Основной склад</x:t>
        </x:is>
      </x:c>
      <x:c r="K500" s="31" t="inlineStr">
        <x:is>
          <x:t xml:space="preserve">СОТР-034</x:t>
        </x:is>
      </x:c>
      <x:c r="L500" s="31" t="inlineStr">
        <x:is>
          <x:t xml:space="preserve">ДОК-8413</x:t>
        </x:is>
      </x:c>
      <x:c r="M500" s="31" t="inlineStr">
        <x:is>
          <x:t xml:space="preserve">Требует проверки</x:t>
        </x:is>
      </x:c>
    </x:row>
    <x:row r="501">
      <x:c r="A501" s="31" t="inlineStr">
        <x:is>
          <x:t xml:space="preserve">СКЛ-000500</x:t>
        </x:is>
      </x:c>
      <x:c r="B501" s="31" t="n">
        <x:v>46139</x:v>
      </x:c>
      <x:c r="C501" s="31" t="inlineStr">
        <x:is>
          <x:t xml:space="preserve">Выдача в производство</x:t>
        </x:is>
      </x:c>
      <x:c r="D501" s="31" t="inlineStr">
        <x:is>
          <x:t xml:space="preserve">МАТ-0047</x:t>
        </x:is>
      </x:c>
      <x:c r="E501" s="31" t="inlineStr">
        <x:is>
          <x:t xml:space="preserve">Контактор 25А / исп.2</x:t>
        </x:is>
      </x:c>
      <x:c r="F501" s="31" t="n">
        <x:v>-7</x:v>
      </x:c>
      <x:c r="G501" s="31" t="inlineStr">
        <x:is>
          <x:t xml:space="preserve">шт</x:t>
        </x:is>
      </x:c>
      <x:c r="H501" s="31" t="inlineStr">
        <x:is>
          <x:t xml:space="preserve">ЗК-1105</x:t>
        </x:is>
      </x:c>
      <x:c r="I501" s="31" t="inlineStr">
        <x:is>
          <x:t xml:space="preserve">ПЗ-00114</x:t>
        </x:is>
      </x:c>
      <x:c r="J501" s="31" t="inlineStr">
        <x:is>
          <x:t xml:space="preserve">Брак/карантин</x:t>
        </x:is>
      </x:c>
      <x:c r="K501" s="31" t="inlineStr">
        <x:is>
          <x:t xml:space="preserve">СОТР-039</x:t>
        </x:is>
      </x:c>
      <x:c r="L501" s="31" t="inlineStr">
        <x:is>
          <x:t xml:space="preserve">ДОК-5593</x:t>
        </x:is>
      </x:c>
      <x:c r="M501" s="31" t="inlineStr">
        <x:is>
          <x:t xml:space="preserve">Проведен</x:t>
        </x:is>
      </x:c>
    </x:row>
    <x:row r="502">
      <x:c r="A502" s="31" t="inlineStr">
        <x:is>
          <x:t xml:space="preserve">СКЛ-000501</x:t>
        </x:is>
      </x:c>
      <x:c r="B502" s="31" t="n">
        <x:v>46057</x:v>
      </x:c>
      <x:c r="C502" s="31" t="inlineStr">
        <x:is>
          <x:t xml:space="preserve">Списание</x:t>
        </x:is>
      </x:c>
      <x:c r="D502" s="31" t="inlineStr">
        <x:is>
          <x:t xml:space="preserve">МАТ-0007</x:t>
        </x:is>
      </x:c>
      <x:c r="E502" s="31" t="inlineStr">
        <x:is>
          <x:t xml:space="preserve">Труба нержавеющая 38×3 / исп.2</x:t>
        </x:is>
      </x:c>
      <x:c r="F502" s="31" t="n">
        <x:v>-54.55</x:v>
      </x:c>
      <x:c r="G502" s="31" t="inlineStr">
        <x:is>
          <x:t xml:space="preserve">л</x:t>
        </x:is>
      </x:c>
      <x:c r="H502" s="31" t="n"/>
      <x:c r="I502" s="31" t="n"/>
      <x:c r="J502" s="31" t="inlineStr">
        <x:is>
          <x:t xml:space="preserve">Основной склад</x:t>
        </x:is>
      </x:c>
      <x:c r="K502" s="31" t="inlineStr">
        <x:is>
          <x:t xml:space="preserve">СОТР-024</x:t>
        </x:is>
      </x:c>
      <x:c r="L502" s="31" t="inlineStr">
        <x:is>
          <x:t xml:space="preserve">ДОК-6657</x:t>
        </x:is>
      </x:c>
      <x:c r="M502" s="31" t="inlineStr">
        <x:is>
          <x:t xml:space="preserve">Проведен</x:t>
        </x:is>
      </x:c>
    </x:row>
    <x:row r="503">
      <x:c r="A503" s="31" t="inlineStr">
        <x:is>
          <x:t xml:space="preserve">СКЛ-000502</x:t>
        </x:is>
      </x:c>
      <x:c r="B503" s="31" t="n">
        <x:v>46191</x:v>
      </x:c>
      <x:c r="C503" s="31" t="inlineStr">
        <x:is>
          <x:t xml:space="preserve">Возврат</x:t>
        </x:is>
      </x:c>
      <x:c r="D503" s="31" t="inlineStr">
        <x:is>
          <x:t xml:space="preserve">МАТ-0035</x:t>
        </x:is>
      </x:c>
      <x:c r="E503" s="31" t="inlineStr">
        <x:is>
          <x:t xml:space="preserve">Клапан электромагнитный 24В</x:t>
        </x:is>
      </x:c>
      <x:c r="F503" s="31" t="n">
        <x:v>15</x:v>
      </x:c>
      <x:c r="G503" s="31" t="inlineStr">
        <x:is>
          <x:t xml:space="preserve">шт</x:t>
        </x:is>
      </x:c>
      <x:c r="H503" s="31" t="n"/>
      <x:c r="I503" s="31" t="n"/>
      <x:c r="J503" s="31" t="inlineStr">
        <x:is>
          <x:t xml:space="preserve">Цеховой склад</x:t>
        </x:is>
      </x:c>
      <x:c r="K503" s="31" t="inlineStr">
        <x:is>
          <x:t xml:space="preserve">СОТР-038</x:t>
        </x:is>
      </x:c>
      <x:c r="L503" s="31" t="inlineStr">
        <x:is>
          <x:t xml:space="preserve">ДОК-9739</x:t>
        </x:is>
      </x:c>
      <x:c r="M503" s="31" t="inlineStr">
        <x:is>
          <x:t xml:space="preserve">Требует проверки</x:t>
        </x:is>
      </x:c>
    </x:row>
    <x:row r="504">
      <x:c r="A504" s="31" t="inlineStr">
        <x:is>
          <x:t xml:space="preserve">СКЛ-000503</x:t>
        </x:is>
      </x:c>
      <x:c r="B504" s="31" t="n">
        <x:v>46073</x:v>
      </x:c>
      <x:c r="C504" s="31" t="inlineStr">
        <x:is>
          <x:t xml:space="preserve">Приход</x:t>
        </x:is>
      </x:c>
      <x:c r="D504" s="31" t="inlineStr">
        <x:is>
          <x:t xml:space="preserve">МАТ-0070</x:t>
        </x:is>
      </x:c>
      <x:c r="E504" s="31" t="inlineStr">
        <x:is>
          <x:t xml:space="preserve">Эмаль полиуретановая / исп.2</x:t>
        </x:is>
      </x:c>
      <x:c r="F504" s="31" t="n">
        <x:v>14.93</x:v>
      </x:c>
      <x:c r="G504" s="31" t="inlineStr">
        <x:is>
          <x:t xml:space="preserve">кг</x:t>
        </x:is>
      </x:c>
      <x:c r="H504" s="31" t="n"/>
      <x:c r="I504" s="31" t="n"/>
      <x:c r="J504" s="31" t="inlineStr">
        <x:is>
          <x:t xml:space="preserve">Основной склад</x:t>
        </x:is>
      </x:c>
      <x:c r="K504" s="31" t="inlineStr">
        <x:is>
          <x:t xml:space="preserve">СОТР-038</x:t>
        </x:is>
      </x:c>
      <x:c r="L504" s="31" t="inlineStr">
        <x:is>
          <x:t xml:space="preserve">ДОК-3114</x:t>
        </x:is>
      </x:c>
      <x:c r="M504" s="31" t="inlineStr">
        <x:is>
          <x:t xml:space="preserve">Проведен</x:t>
        </x:is>
      </x:c>
    </x:row>
    <x:row r="505">
      <x:c r="A505" s="31" t="inlineStr">
        <x:is>
          <x:t xml:space="preserve">СКЛ-000504</x:t>
        </x:is>
      </x:c>
      <x:c r="B505" s="31" t="n">
        <x:v>46169</x:v>
      </x:c>
      <x:c r="C505" s="31" t="inlineStr">
        <x:is>
          <x:t xml:space="preserve">Резерв</x:t>
        </x:is>
      </x:c>
      <x:c r="D505" s="31" t="inlineStr">
        <x:is>
          <x:t xml:space="preserve">МАТ-0028</x:t>
        </x:is>
      </x:c>
      <x:c r="E505" s="31" t="inlineStr">
        <x:is>
          <x:t xml:space="preserve">Частотный преобразователь 15 кВт</x:t>
        </x:is>
      </x:c>
      <x:c r="F505" s="31" t="n">
        <x:v>-18</x:v>
      </x:c>
      <x:c r="G505" s="31" t="inlineStr">
        <x:is>
          <x:t xml:space="preserve">шт</x:t>
        </x:is>
      </x:c>
      <x:c r="H505" s="31" t="inlineStr">
        <x:is>
          <x:t xml:space="preserve">ЗК-1004</x:t>
        </x:is>
      </x:c>
      <x:c r="I505" s="31" t="n"/>
      <x:c r="J505" s="31" t="inlineStr">
        <x:is>
          <x:t xml:space="preserve">Основной склад</x:t>
        </x:is>
      </x:c>
      <x:c r="K505" s="31" t="inlineStr">
        <x:is>
          <x:t xml:space="preserve">СОТР-037</x:t>
        </x:is>
      </x:c>
      <x:c r="L505" s="31" t="inlineStr">
        <x:is>
          <x:t xml:space="preserve">ДОК-9042</x:t>
        </x:is>
      </x:c>
      <x:c r="M505" s="31" t="inlineStr">
        <x:is>
          <x:t xml:space="preserve">Проведен</x:t>
        </x:is>
      </x:c>
    </x:row>
    <x:row r="506">
      <x:c r="A506" s="31" t="inlineStr">
        <x:is>
          <x:t xml:space="preserve">СКЛ-000505</x:t>
        </x:is>
      </x:c>
      <x:c r="B506" s="31" t="n">
        <x:v>46198</x:v>
      </x:c>
      <x:c r="C506" s="31" t="inlineStr">
        <x:is>
          <x:t xml:space="preserve">Выдача в производство</x:t>
        </x:is>
      </x:c>
      <x:c r="D506" s="31" t="inlineStr">
        <x:is>
          <x:t xml:space="preserve">МАТ-0005</x:t>
        </x:is>
      </x:c>
      <x:c r="E506" s="31" t="inlineStr">
        <x:is>
          <x:t xml:space="preserve">Труба бесшовная 57×4</x:t>
        </x:is>
      </x:c>
      <x:c r="F506" s="31" t="n">
        <x:v>-57.7</x:v>
      </x:c>
      <x:c r="G506" s="31" t="inlineStr">
        <x:is>
          <x:t xml:space="preserve">м</x:t>
        </x:is>
      </x:c>
      <x:c r="H506" s="31" t="inlineStr">
        <x:is>
          <x:t xml:space="preserve">ЗК-1083</x:t>
        </x:is>
      </x:c>
      <x:c r="I506" s="31" t="inlineStr">
        <x:is>
          <x:t xml:space="preserve">ПЗ-00087</x:t>
        </x:is>
      </x:c>
      <x:c r="J506" s="31" t="inlineStr">
        <x:is>
          <x:t xml:space="preserve">Основной склад</x:t>
        </x:is>
      </x:c>
      <x:c r="K506" s="31" t="inlineStr">
        <x:is>
          <x:t xml:space="preserve">СОТР-035</x:t>
        </x:is>
      </x:c>
      <x:c r="L506" s="31" t="inlineStr">
        <x:is>
          <x:t xml:space="preserve">ДОК-8498</x:t>
        </x:is>
      </x:c>
      <x:c r="M506" s="31" t="inlineStr">
        <x:is>
          <x:t xml:space="preserve">Проведен</x:t>
        </x:is>
      </x:c>
    </x:row>
    <x:row r="507">
      <x:c r="A507" s="31" t="inlineStr">
        <x:is>
          <x:t xml:space="preserve">СКЛ-000506</x:t>
        </x:is>
      </x:c>
      <x:c r="B507" s="31" t="n">
        <x:v>46121</x:v>
      </x:c>
      <x:c r="C507" s="31" t="inlineStr">
        <x:is>
          <x:t xml:space="preserve">Списание</x:t>
        </x:is>
      </x:c>
      <x:c r="D507" s="31" t="inlineStr">
        <x:is>
          <x:t xml:space="preserve">МАТ-0048</x:t>
        </x:is>
      </x:c>
      <x:c r="E507" s="31" t="inlineStr">
        <x:is>
          <x:t xml:space="preserve">Контактор 25А / исп.3</x:t>
        </x:is>
      </x:c>
      <x:c r="F507" s="31" t="n">
        <x:v>-20</x:v>
      </x:c>
      <x:c r="G507" s="31" t="inlineStr">
        <x:is>
          <x:t xml:space="preserve">шт</x:t>
        </x:is>
      </x:c>
      <x:c r="H507" s="31" t="n"/>
      <x:c r="I507" s="31" t="n"/>
      <x:c r="J507" s="31" t="inlineStr">
        <x:is>
          <x:t xml:space="preserve">Цеховой склад</x:t>
        </x:is>
      </x:c>
      <x:c r="K507" s="31" t="inlineStr">
        <x:is>
          <x:t xml:space="preserve">СОТР-033</x:t>
        </x:is>
      </x:c>
      <x:c r="L507" s="31" t="inlineStr">
        <x:is>
          <x:t xml:space="preserve">ДОК-6210</x:t>
        </x:is>
      </x:c>
      <x:c r="M507" s="31" t="inlineStr">
        <x:is>
          <x:t xml:space="preserve">Проведен</x:t>
        </x:is>
      </x:c>
    </x:row>
    <x:row r="508">
      <x:c r="A508" s="31" t="inlineStr">
        <x:is>
          <x:t xml:space="preserve">СКЛ-000507</x:t>
        </x:is>
      </x:c>
      <x:c r="B508" s="31" t="n">
        <x:v>46142</x:v>
      </x:c>
      <x:c r="C508" s="31" t="inlineStr">
        <x:is>
          <x:t xml:space="preserve">Списание</x:t>
        </x:is>
      </x:c>
      <x:c r="D508" s="31" t="inlineStr">
        <x:is>
          <x:t xml:space="preserve">МАТ-0057</x:t>
        </x:is>
      </x:c>
      <x:c r="E508" s="31" t="inlineStr">
        <x:is>
          <x:t xml:space="preserve">Задвижка Ду100 / исп.2</x:t>
        </x:is>
      </x:c>
      <x:c r="F508" s="31" t="n">
        <x:v>-3</x:v>
      </x:c>
      <x:c r="G508" s="31" t="inlineStr">
        <x:is>
          <x:t xml:space="preserve">шт</x:t>
        </x:is>
      </x:c>
      <x:c r="H508" s="31" t="n"/>
      <x:c r="I508" s="31" t="n"/>
      <x:c r="J508" s="31" t="inlineStr">
        <x:is>
          <x:t xml:space="preserve">Цеховой склад</x:t>
        </x:is>
      </x:c>
      <x:c r="K508" s="31" t="inlineStr">
        <x:is>
          <x:t xml:space="preserve">СОТР-034</x:t>
        </x:is>
      </x:c>
      <x:c r="L508" s="31" t="inlineStr">
        <x:is>
          <x:t xml:space="preserve">ДОК-7649</x:t>
        </x:is>
      </x:c>
      <x:c r="M508" s="31" t="inlineStr">
        <x:is>
          <x:t xml:space="preserve">Проведен</x:t>
        </x:is>
      </x:c>
    </x:row>
    <x:row r="509">
      <x:c r="A509" s="31" t="inlineStr">
        <x:is>
          <x:t xml:space="preserve">СКЛ-000508</x:t>
        </x:is>
      </x:c>
      <x:c r="B509" s="31" t="n">
        <x:v>46044</x:v>
      </x:c>
      <x:c r="C509" s="31" t="inlineStr">
        <x:is>
          <x:t xml:space="preserve">Выдача в производство</x:t>
        </x:is>
      </x:c>
      <x:c r="D509" s="31" t="inlineStr">
        <x:is>
          <x:t xml:space="preserve">МАТ-0045</x:t>
        </x:is>
      </x:c>
      <x:c r="E509" s="31" t="inlineStr">
        <x:is>
          <x:t xml:space="preserve">Автоматический выключатель 16А</x:t>
        </x:is>
      </x:c>
      <x:c r="F509" s="31" t="n">
        <x:v>-13</x:v>
      </x:c>
      <x:c r="G509" s="31" t="inlineStr">
        <x:is>
          <x:t xml:space="preserve">шт</x:t>
        </x:is>
      </x:c>
      <x:c r="H509" s="31" t="inlineStr">
        <x:is>
          <x:t xml:space="preserve">ЗК-1082</x:t>
        </x:is>
      </x:c>
      <x:c r="I509" s="31" t="inlineStr">
        <x:is>
          <x:t xml:space="preserve">ПЗ-00099</x:t>
        </x:is>
      </x:c>
      <x:c r="J509" s="31" t="inlineStr">
        <x:is>
          <x:t xml:space="preserve">Основной склад</x:t>
        </x:is>
      </x:c>
      <x:c r="K509" s="31" t="inlineStr">
        <x:is>
          <x:t xml:space="preserve">СОТР-037</x:t>
        </x:is>
      </x:c>
      <x:c r="L509" s="31" t="inlineStr">
        <x:is>
          <x:t xml:space="preserve">ДОК-4989</x:t>
        </x:is>
      </x:c>
      <x:c r="M509" s="31" t="inlineStr">
        <x:is>
          <x:t xml:space="preserve">Требует проверки</x:t>
        </x:is>
      </x:c>
    </x:row>
    <x:row r="510">
      <x:c r="A510" s="31" t="inlineStr">
        <x:is>
          <x:t xml:space="preserve">СКЛ-000509</x:t>
        </x:is>
      </x:c>
      <x:c r="B510" s="31" t="n">
        <x:v>46189</x:v>
      </x:c>
      <x:c r="C510" s="31" t="inlineStr">
        <x:is>
          <x:t xml:space="preserve">Выдача в производство</x:t>
        </x:is>
      </x:c>
      <x:c r="D510" s="31" t="inlineStr">
        <x:is>
          <x:t xml:space="preserve">МАТ-0049</x:t>
        </x:is>
      </x:c>
      <x:c r="E510" s="31" t="inlineStr">
        <x:is>
          <x:t xml:space="preserve">Рейковая клемма</x:t>
        </x:is>
      </x:c>
      <x:c r="F510" s="31" t="n">
        <x:v>-2</x:v>
      </x:c>
      <x:c r="G510" s="31" t="inlineStr">
        <x:is>
          <x:t xml:space="preserve">шт</x:t>
        </x:is>
      </x:c>
      <x:c r="H510" s="31" t="inlineStr">
        <x:is>
          <x:t xml:space="preserve">ЗК-1043</x:t>
        </x:is>
      </x:c>
      <x:c r="I510" s="31" t="inlineStr">
        <x:is>
          <x:t xml:space="preserve">ПЗ-00074</x:t>
        </x:is>
      </x:c>
      <x:c r="J510" s="31" t="inlineStr">
        <x:is>
          <x:t xml:space="preserve">Основной склад</x:t>
        </x:is>
      </x:c>
      <x:c r="K510" s="31" t="inlineStr">
        <x:is>
          <x:t xml:space="preserve">СОТР-037</x:t>
        </x:is>
      </x:c>
      <x:c r="L510" s="31" t="inlineStr">
        <x:is>
          <x:t xml:space="preserve">ДОК-5520</x:t>
        </x:is>
      </x:c>
      <x:c r="M510" s="31" t="inlineStr">
        <x:is>
          <x:t xml:space="preserve">Проведен</x:t>
        </x:is>
      </x:c>
    </x:row>
    <x:row r="511">
      <x:c r="A511" s="31" t="inlineStr">
        <x:is>
          <x:t xml:space="preserve">СКЛ-000510</x:t>
        </x:is>
      </x:c>
      <x:c r="B511" s="31" t="n">
        <x:v>46130</x:v>
      </x:c>
      <x:c r="C511" s="31" t="inlineStr">
        <x:is>
          <x:t xml:space="preserve">Корректировка</x:t>
        </x:is>
      </x:c>
      <x:c r="D511" s="31" t="inlineStr">
        <x:is>
          <x:t xml:space="preserve">МАТ-0071</x:t>
        </x:is>
      </x:c>
      <x:c r="E511" s="31" t="inlineStr">
        <x:is>
          <x:t xml:space="preserve">Эмаль полиуретановая / исп.3</x:t>
        </x:is>
      </x:c>
      <x:c r="F511" s="31" t="n">
        <x:v>73.18000000000001</x:v>
      </x:c>
      <x:c r="G511" s="31" t="inlineStr">
        <x:is>
          <x:t xml:space="preserve">кг</x:t>
        </x:is>
      </x:c>
      <x:c r="H511" s="31" t="n"/>
      <x:c r="I511" s="31" t="n"/>
      <x:c r="J511" s="31" t="inlineStr">
        <x:is>
          <x:t xml:space="preserve">Основной склад</x:t>
        </x:is>
      </x:c>
      <x:c r="K511" s="31" t="inlineStr">
        <x:is>
          <x:t xml:space="preserve">СОТР-024</x:t>
        </x:is>
      </x:c>
      <x:c r="L511" s="31" t="inlineStr">
        <x:is>
          <x:t xml:space="preserve">ДОК-8195</x:t>
        </x:is>
      </x:c>
      <x:c r="M511" s="31" t="inlineStr">
        <x:is>
          <x:t xml:space="preserve">Проведен</x:t>
        </x:is>
      </x:c>
    </x:row>
    <x:row r="512">
      <x:c r="A512" s="31" t="inlineStr">
        <x:is>
          <x:t xml:space="preserve">СКЛ-000511</x:t>
        </x:is>
      </x:c>
      <x:c r="B512" s="31" t="n">
        <x:v>46158</x:v>
      </x:c>
      <x:c r="C512" s="31" t="inlineStr">
        <x:is>
          <x:t xml:space="preserve">Возврат</x:t>
        </x:is>
      </x:c>
      <x:c r="D512" s="31" t="inlineStr">
        <x:is>
          <x:t xml:space="preserve">МАТ-0060</x:t>
        </x:is>
      </x:c>
      <x:c r="E512" s="31" t="inlineStr">
        <x:is>
          <x:t xml:space="preserve">Фильтр сетчатый Ду50 / исп.2</x:t>
        </x:is>
      </x:c>
      <x:c r="F512" s="31" t="n">
        <x:v>18</x:v>
      </x:c>
      <x:c r="G512" s="31" t="inlineStr">
        <x:is>
          <x:t xml:space="preserve">шт</x:t>
        </x:is>
      </x:c>
      <x:c r="H512" s="31" t="n"/>
      <x:c r="I512" s="31" t="n"/>
      <x:c r="J512" s="31" t="inlineStr">
        <x:is>
          <x:t xml:space="preserve">Брак/карантин</x:t>
        </x:is>
      </x:c>
      <x:c r="K512" s="31" t="inlineStr">
        <x:is>
          <x:t xml:space="preserve">СОТР-035</x:t>
        </x:is>
      </x:c>
      <x:c r="L512" s="31" t="inlineStr">
        <x:is>
          <x:t xml:space="preserve">ДОК-5710</x:t>
        </x:is>
      </x:c>
      <x:c r="M512" s="31" t="inlineStr">
        <x:is>
          <x:t xml:space="preserve">Черновик</x:t>
        </x:is>
      </x:c>
    </x:row>
    <x:row r="513">
      <x:c r="A513" s="31" t="inlineStr">
        <x:is>
          <x:t xml:space="preserve">СКЛ-000512</x:t>
        </x:is>
      </x:c>
      <x:c r="B513" s="31" t="n">
        <x:v>46142</x:v>
      </x:c>
      <x:c r="C513" s="31" t="inlineStr">
        <x:is>
          <x:t xml:space="preserve">Корректировка</x:t>
        </x:is>
      </x:c>
      <x:c r="D513" s="31" t="inlineStr">
        <x:is>
          <x:t xml:space="preserve">МАТ-0008</x:t>
        </x:is>
      </x:c>
      <x:c r="E513" s="31" t="inlineStr">
        <x:is>
          <x:t xml:space="preserve">Швеллер 12П</x:t>
        </x:is>
      </x:c>
      <x:c r="F513" s="31" t="n">
        <x:v>1</x:v>
      </x:c>
      <x:c r="G513" s="31" t="inlineStr">
        <x:is>
          <x:t xml:space="preserve">шт</x:t>
        </x:is>
      </x:c>
      <x:c r="H513" s="31" t="n"/>
      <x:c r="I513" s="31" t="n"/>
      <x:c r="J513" s="31" t="inlineStr">
        <x:is>
          <x:t xml:space="preserve">Основной склад</x:t>
        </x:is>
      </x:c>
      <x:c r="K513" s="31" t="inlineStr">
        <x:is>
          <x:t xml:space="preserve">СОТР-036</x:t>
        </x:is>
      </x:c>
      <x:c r="L513" s="31" t="inlineStr">
        <x:is>
          <x:t xml:space="preserve">ДОК-9442</x:t>
        </x:is>
      </x:c>
      <x:c r="M513" s="31" t="inlineStr">
        <x:is>
          <x:t xml:space="preserve">Проведен</x:t>
        </x:is>
      </x:c>
    </x:row>
    <x:row r="514">
      <x:c r="A514" s="31" t="inlineStr">
        <x:is>
          <x:t xml:space="preserve">СКЛ-000513</x:t>
        </x:is>
      </x:c>
      <x:c r="B514" s="31" t="n">
        <x:v>46090</x:v>
      </x:c>
      <x:c r="C514" s="31" t="inlineStr">
        <x:is>
          <x:t xml:space="preserve">Возврат</x:t>
        </x:is>
      </x:c>
      <x:c r="D514" s="31" t="inlineStr">
        <x:is>
          <x:t xml:space="preserve">МАТ-0031</x:t>
        </x:is>
      </x:c>
      <x:c r="E514" s="31" t="inlineStr">
        <x:is>
          <x:t xml:space="preserve">Датчик давления 0-16 бар</x:t>
        </x:is>
      </x:c>
      <x:c r="F514" s="31" t="n">
        <x:v>19</x:v>
      </x:c>
      <x:c r="G514" s="31" t="inlineStr">
        <x:is>
          <x:t xml:space="preserve">шт</x:t>
        </x:is>
      </x:c>
      <x:c r="H514" s="31" t="n"/>
      <x:c r="I514" s="31" t="n"/>
      <x:c r="J514" s="31" t="inlineStr">
        <x:is>
          <x:t xml:space="preserve">Брак/карантин</x:t>
        </x:is>
      </x:c>
      <x:c r="K514" s="31" t="inlineStr">
        <x:is>
          <x:t xml:space="preserve">СОТР-024</x:t>
        </x:is>
      </x:c>
      <x:c r="L514" s="31" t="inlineStr">
        <x:is>
          <x:t xml:space="preserve">ДОК-5532</x:t>
        </x:is>
      </x:c>
      <x:c r="M514" s="31" t="inlineStr">
        <x:is>
          <x:t xml:space="preserve">Проведен</x:t>
        </x:is>
      </x:c>
    </x:row>
    <x:row r="515">
      <x:c r="A515" s="31" t="inlineStr">
        <x:is>
          <x:t xml:space="preserve">СКЛ-000514</x:t>
        </x:is>
      </x:c>
      <x:c r="B515" s="31" t="n">
        <x:v>46167</x:v>
      </x:c>
      <x:c r="C515" s="31" t="inlineStr">
        <x:is>
          <x:t xml:space="preserve">Выдача в производство</x:t>
        </x:is>
      </x:c>
      <x:c r="D515" s="31" t="inlineStr">
        <x:is>
          <x:t xml:space="preserve">МАТ-0029</x:t>
        </x:is>
      </x:c>
      <x:c r="E515" s="31" t="inlineStr">
        <x:is>
          <x:t xml:space="preserve">Частотный преобразователь 22 кВт</x:t>
        </x:is>
      </x:c>
      <x:c r="F515" s="31" t="n">
        <x:v>-1</x:v>
      </x:c>
      <x:c r="G515" s="31" t="inlineStr">
        <x:is>
          <x:t xml:space="preserve">шт</x:t>
        </x:is>
      </x:c>
      <x:c r="H515" s="31" t="inlineStr">
        <x:is>
          <x:t xml:space="preserve">ЗК-1064</x:t>
        </x:is>
      </x:c>
      <x:c r="I515" s="31" t="inlineStr">
        <x:is>
          <x:t xml:space="preserve">ПЗ-00213</x:t>
        </x:is>
      </x:c>
      <x:c r="J515" s="31" t="inlineStr">
        <x:is>
          <x:t xml:space="preserve">Основной склад</x:t>
        </x:is>
      </x:c>
      <x:c r="K515" s="31" t="inlineStr">
        <x:is>
          <x:t xml:space="preserve">СОТР-039</x:t>
        </x:is>
      </x:c>
      <x:c r="L515" s="31" t="inlineStr">
        <x:is>
          <x:t xml:space="preserve">ДОК-1625</x:t>
        </x:is>
      </x:c>
      <x:c r="M515" s="31" t="inlineStr">
        <x:is>
          <x:t xml:space="preserve">Проведен</x:t>
        </x:is>
      </x:c>
    </x:row>
    <x:row r="516">
      <x:c r="A516" s="31" t="inlineStr">
        <x:is>
          <x:t xml:space="preserve">СКЛ-000515</x:t>
        </x:is>
      </x:c>
      <x:c r="B516" s="31" t="n">
        <x:v>46151</x:v>
      </x:c>
      <x:c r="C516" s="31" t="inlineStr">
        <x:is>
          <x:t xml:space="preserve">Возврат</x:t>
        </x:is>
      </x:c>
      <x:c r="D516" s="31" t="inlineStr">
        <x:is>
          <x:t xml:space="preserve">МАТ-0073</x:t>
        </x:is>
      </x:c>
      <x:c r="E516" s="31" t="inlineStr">
        <x:is>
          <x:t xml:space="preserve">Растворитель / исп.2</x:t>
        </x:is>
      </x:c>
      <x:c r="F516" s="31" t="n">
        <x:v>54.98</x:v>
      </x:c>
      <x:c r="G516" s="31" t="inlineStr">
        <x:is>
          <x:t xml:space="preserve">л</x:t>
        </x:is>
      </x:c>
      <x:c r="H516" s="31" t="n"/>
      <x:c r="I516" s="31" t="n"/>
      <x:c r="J516" s="31" t="inlineStr">
        <x:is>
          <x:t xml:space="preserve">Основной склад</x:t>
        </x:is>
      </x:c>
      <x:c r="K516" s="31" t="inlineStr">
        <x:is>
          <x:t xml:space="preserve">СОТР-024</x:t>
        </x:is>
      </x:c>
      <x:c r="L516" s="31" t="inlineStr">
        <x:is>
          <x:t xml:space="preserve">ДОК-5663</x:t>
        </x:is>
      </x:c>
      <x:c r="M516" s="31" t="inlineStr">
        <x:is>
          <x:t xml:space="preserve">Проведен</x:t>
        </x:is>
      </x:c>
    </x:row>
    <x:row r="517">
      <x:c r="A517" s="31" t="inlineStr">
        <x:is>
          <x:t xml:space="preserve">СКЛ-000516</x:t>
        </x:is>
      </x:c>
      <x:c r="B517" s="31" t="n">
        <x:v>46172</x:v>
      </x:c>
      <x:c r="C517" s="31" t="inlineStr">
        <x:is>
          <x:t xml:space="preserve">Корректировка</x:t>
        </x:is>
      </x:c>
      <x:c r="D517" s="31" t="inlineStr">
        <x:is>
          <x:t xml:space="preserve">МАТ-0079</x:t>
        </x:is>
      </x:c>
      <x:c r="E517" s="31" t="inlineStr">
        <x:is>
          <x:t xml:space="preserve">Гайка М12 / исп.2</x:t>
        </x:is>
      </x:c>
      <x:c r="F517" s="31" t="n">
        <x:v>11</x:v>
      </x:c>
      <x:c r="G517" s="31" t="inlineStr">
        <x:is>
          <x:t xml:space="preserve">шт</x:t>
        </x:is>
      </x:c>
      <x:c r="H517" s="31" t="n"/>
      <x:c r="I517" s="31" t="n"/>
      <x:c r="J517" s="31" t="inlineStr">
        <x:is>
          <x:t xml:space="preserve">Цеховой склад</x:t>
        </x:is>
      </x:c>
      <x:c r="K517" s="31" t="inlineStr">
        <x:is>
          <x:t xml:space="preserve">СОТР-024</x:t>
        </x:is>
      </x:c>
      <x:c r="L517" s="31" t="inlineStr">
        <x:is>
          <x:t xml:space="preserve">ДОК-5305</x:t>
        </x:is>
      </x:c>
      <x:c r="M517" s="31" t="inlineStr">
        <x:is>
          <x:t xml:space="preserve">Проведен</x:t>
        </x:is>
      </x:c>
    </x:row>
    <x:row r="518">
      <x:c r="A518" s="31" t="inlineStr">
        <x:is>
          <x:t xml:space="preserve">СКЛ-000517</x:t>
        </x:is>
      </x:c>
      <x:c r="B518" s="31" t="n">
        <x:v>46037</x:v>
      </x:c>
      <x:c r="C518" s="31" t="inlineStr">
        <x:is>
          <x:t xml:space="preserve">Резерв</x:t>
        </x:is>
      </x:c>
      <x:c r="D518" s="31" t="inlineStr">
        <x:is>
          <x:t xml:space="preserve">МАТ-0017</x:t>
        </x:is>
      </x:c>
      <x:c r="E518" s="31" t="inlineStr">
        <x:is>
          <x:t xml:space="preserve">Насос шестеренный 7.5 кВт</x:t>
        </x:is>
      </x:c>
      <x:c r="F518" s="31" t="n">
        <x:v>-19</x:v>
      </x:c>
      <x:c r="G518" s="31" t="inlineStr">
        <x:is>
          <x:t xml:space="preserve">шт</x:t>
        </x:is>
      </x:c>
      <x:c r="H518" s="31" t="inlineStr">
        <x:is>
          <x:t xml:space="preserve">ЗК-1104</x:t>
        </x:is>
      </x:c>
      <x:c r="I518" s="31" t="n"/>
      <x:c r="J518" s="31" t="inlineStr">
        <x:is>
          <x:t xml:space="preserve">Основной склад</x:t>
        </x:is>
      </x:c>
      <x:c r="K518" s="31" t="inlineStr">
        <x:is>
          <x:t xml:space="preserve">СОТР-039</x:t>
        </x:is>
      </x:c>
      <x:c r="L518" s="31" t="inlineStr">
        <x:is>
          <x:t xml:space="preserve">ДОК-7970</x:t>
        </x:is>
      </x:c>
      <x:c r="M518" s="31" t="inlineStr">
        <x:is>
          <x:t xml:space="preserve">Проведен</x:t>
        </x:is>
      </x:c>
    </x:row>
    <x:row r="519">
      <x:c r="A519" s="31" t="inlineStr">
        <x:is>
          <x:t xml:space="preserve">СКЛ-000518</x:t>
        </x:is>
      </x:c>
      <x:c r="B519" s="31" t="n">
        <x:v>46043</x:v>
      </x:c>
      <x:c r="C519" s="31" t="inlineStr">
        <x:is>
          <x:t xml:space="preserve">Корректировка</x:t>
        </x:is>
      </x:c>
      <x:c r="D519" s="31" t="inlineStr">
        <x:is>
          <x:t xml:space="preserve">МАТ-0015</x:t>
        </x:is>
      </x:c>
      <x:c r="E519" s="31" t="inlineStr">
        <x:is>
          <x:t xml:space="preserve">Насос центробежный 15 кВт</x:t>
        </x:is>
      </x:c>
      <x:c r="F519" s="31" t="n">
        <x:v>1</x:v>
      </x:c>
      <x:c r="G519" s="31" t="inlineStr">
        <x:is>
          <x:t xml:space="preserve">шт</x:t>
        </x:is>
      </x:c>
      <x:c r="H519" s="31" t="n"/>
      <x:c r="I519" s="31" t="n"/>
      <x:c r="J519" s="31" t="inlineStr">
        <x:is>
          <x:t xml:space="preserve">Основной склад</x:t>
        </x:is>
      </x:c>
      <x:c r="K519" s="31" t="inlineStr">
        <x:is>
          <x:t xml:space="preserve">СОТР-024</x:t>
        </x:is>
      </x:c>
      <x:c r="L519" s="31" t="inlineStr">
        <x:is>
          <x:t xml:space="preserve">ДОК-2937</x:t>
        </x:is>
      </x:c>
      <x:c r="M519" s="31" t="inlineStr">
        <x:is>
          <x:t xml:space="preserve">Черновик</x:t>
        </x:is>
      </x:c>
    </x:row>
    <x:row r="520">
      <x:c r="A520" s="31" t="inlineStr">
        <x:is>
          <x:t xml:space="preserve">СКЛ-000519</x:t>
        </x:is>
      </x:c>
      <x:c r="B520" s="31" t="n">
        <x:v>46156</x:v>
      </x:c>
      <x:c r="C520" s="31" t="inlineStr">
        <x:is>
          <x:t xml:space="preserve">Списание</x:t>
        </x:is>
      </x:c>
      <x:c r="D520" s="31" t="inlineStr">
        <x:is>
          <x:t xml:space="preserve">МАТ-0070</x:t>
        </x:is>
      </x:c>
      <x:c r="E520" s="31" t="inlineStr">
        <x:is>
          <x:t xml:space="preserve">Эмаль полиуретановая / исп.2</x:t>
        </x:is>
      </x:c>
      <x:c r="F520" s="31" t="n">
        <x:v>-26.89</x:v>
      </x:c>
      <x:c r="G520" s="31" t="inlineStr">
        <x:is>
          <x:t xml:space="preserve">кг</x:t>
        </x:is>
      </x:c>
      <x:c r="H520" s="31" t="n"/>
      <x:c r="I520" s="31" t="n"/>
      <x:c r="J520" s="31" t="inlineStr">
        <x:is>
          <x:t xml:space="preserve">Основной склад</x:t>
        </x:is>
      </x:c>
      <x:c r="K520" s="31" t="inlineStr">
        <x:is>
          <x:t xml:space="preserve">СОТР-039</x:t>
        </x:is>
      </x:c>
      <x:c r="L520" s="31" t="inlineStr">
        <x:is>
          <x:t xml:space="preserve">ДОК-4436</x:t>
        </x:is>
      </x:c>
      <x:c r="M520" s="31" t="inlineStr">
        <x:is>
          <x:t xml:space="preserve">Черновик</x:t>
        </x:is>
      </x:c>
    </x:row>
    <x:row r="521">
      <x:c r="A521" s="31" t="inlineStr">
        <x:is>
          <x:t xml:space="preserve">СКЛ-000520</x:t>
        </x:is>
      </x:c>
      <x:c r="B521" s="31" t="n">
        <x:v>46109</x:v>
      </x:c>
      <x:c r="C521" s="31" t="inlineStr">
        <x:is>
          <x:t xml:space="preserve">Выдача в производство</x:t>
        </x:is>
      </x:c>
      <x:c r="D521" s="31" t="inlineStr">
        <x:is>
          <x:t xml:space="preserve">МАТ-0066</x:t>
        </x:is>
      </x:c>
      <x:c r="E521" s="31" t="inlineStr">
        <x:is>
          <x:t xml:space="preserve">Гофра металлическая / исп.2</x:t>
        </x:is>
      </x:c>
      <x:c r="F521" s="31" t="n">
        <x:v>-15.22</x:v>
      </x:c>
      <x:c r="G521" s="31" t="inlineStr">
        <x:is>
          <x:t xml:space="preserve">кг</x:t>
        </x:is>
      </x:c>
      <x:c r="H521" s="31" t="inlineStr">
        <x:is>
          <x:t xml:space="preserve">ЗК-1106</x:t>
        </x:is>
      </x:c>
      <x:c r="I521" s="31" t="inlineStr">
        <x:is>
          <x:t xml:space="preserve">ПЗ-00145</x:t>
        </x:is>
      </x:c>
      <x:c r="J521" s="31" t="inlineStr">
        <x:is>
          <x:t xml:space="preserve">Основной склад</x:t>
        </x:is>
      </x:c>
      <x:c r="K521" s="31" t="inlineStr">
        <x:is>
          <x:t xml:space="preserve">СОТР-034</x:t>
        </x:is>
      </x:c>
      <x:c r="L521" s="31" t="inlineStr">
        <x:is>
          <x:t xml:space="preserve">ДОК-9364</x:t>
        </x:is>
      </x:c>
      <x:c r="M521" s="31" t="inlineStr">
        <x:is>
          <x:t xml:space="preserve">Проведен</x:t>
        </x:is>
      </x:c>
    </x:row>
    <x:row r="522">
      <x:c r="A522" s="31" t="inlineStr">
        <x:is>
          <x:t xml:space="preserve">СКЛ-000521</x:t>
        </x:is>
      </x:c>
      <x:c r="B522" s="31" t="n">
        <x:v>46111</x:v>
      </x:c>
      <x:c r="C522" s="31" t="inlineStr">
        <x:is>
          <x:t xml:space="preserve">Выдача в производство</x:t>
        </x:is>
      </x:c>
      <x:c r="D522" s="31" t="inlineStr">
        <x:is>
          <x:t xml:space="preserve">МАТ-0042</x:t>
        </x:is>
      </x:c>
      <x:c r="E522" s="31" t="inlineStr">
        <x:is>
          <x:t xml:space="preserve">модуль аналогового входа 4 канала / исп.3</x:t>
        </x:is>
      </x:c>
      <x:c r="F522" s="31" t="n">
        <x:v>-12</x:v>
      </x:c>
      <x:c r="G522" s="31" t="inlineStr">
        <x:is>
          <x:t xml:space="preserve">шт</x:t>
        </x:is>
      </x:c>
      <x:c r="H522" s="31" t="inlineStr">
        <x:is>
          <x:t xml:space="preserve">ЗК-1092</x:t>
        </x:is>
      </x:c>
      <x:c r="I522" s="31" t="inlineStr">
        <x:is>
          <x:t xml:space="preserve">ПЗ-00084</x:t>
        </x:is>
      </x:c>
      <x:c r="J522" s="31" t="inlineStr">
        <x:is>
          <x:t xml:space="preserve">Основной склад</x:t>
        </x:is>
      </x:c>
      <x:c r="K522" s="31" t="inlineStr">
        <x:is>
          <x:t xml:space="preserve">СОТР-024</x:t>
        </x:is>
      </x:c>
      <x:c r="L522" s="31" t="inlineStr">
        <x:is>
          <x:t xml:space="preserve">ДОК-7069</x:t>
        </x:is>
      </x:c>
      <x:c r="M522" s="31" t="inlineStr">
        <x:is>
          <x:t xml:space="preserve">Проведен</x:t>
        </x:is>
      </x:c>
    </x:row>
    <x:row r="523">
      <x:c r="A523" s="31" t="inlineStr">
        <x:is>
          <x:t xml:space="preserve">СКЛ-000522</x:t>
        </x:is>
      </x:c>
      <x:c r="B523" s="31" t="n">
        <x:v>46045</x:v>
      </x:c>
      <x:c r="C523" s="31" t="inlineStr">
        <x:is>
          <x:t xml:space="preserve">Резерв</x:t>
        </x:is>
      </x:c>
      <x:c r="D523" s="31" t="inlineStr">
        <x:is>
          <x:t xml:space="preserve">МАТ-0069</x:t>
        </x:is>
      </x:c>
      <x:c r="E523" s="31" t="inlineStr">
        <x:is>
          <x:t xml:space="preserve">Эмаль полиуретановая</x:t>
        </x:is>
      </x:c>
      <x:c r="F523" s="31" t="n">
        <x:v>-67.53</x:v>
      </x:c>
      <x:c r="G523" s="31" t="inlineStr">
        <x:is>
          <x:t xml:space="preserve">л</x:t>
        </x:is>
      </x:c>
      <x:c r="H523" s="31" t="inlineStr">
        <x:is>
          <x:t xml:space="preserve">ЗК-1064</x:t>
        </x:is>
      </x:c>
      <x:c r="I523" s="31" t="n"/>
      <x:c r="J523" s="31" t="inlineStr">
        <x:is>
          <x:t xml:space="preserve">Основной склад</x:t>
        </x:is>
      </x:c>
      <x:c r="K523" s="31" t="inlineStr">
        <x:is>
          <x:t xml:space="preserve">СОТР-037</x:t>
        </x:is>
      </x:c>
      <x:c r="L523" s="31" t="inlineStr">
        <x:is>
          <x:t xml:space="preserve">ДОК-3572</x:t>
        </x:is>
      </x:c>
      <x:c r="M523" s="31" t="inlineStr">
        <x:is>
          <x:t xml:space="preserve">Проведен</x:t>
        </x:is>
      </x:c>
    </x:row>
    <x:row r="524">
      <x:c r="A524" s="31" t="inlineStr">
        <x:is>
          <x:t xml:space="preserve">СКЛ-000523</x:t>
        </x:is>
      </x:c>
      <x:c r="B524" s="31" t="n">
        <x:v>46172</x:v>
      </x:c>
      <x:c r="C524" s="31" t="inlineStr">
        <x:is>
          <x:t xml:space="preserve">Приход</x:t>
        </x:is>
      </x:c>
      <x:c r="D524" s="31" t="inlineStr">
        <x:is>
          <x:t xml:space="preserve">МАТ-0011</x:t>
        </x:is>
      </x:c>
      <x:c r="E524" s="31" t="inlineStr">
        <x:is>
          <x:t xml:space="preserve">Фланец Ду50 Ру16 / исп.3</x:t>
        </x:is>
      </x:c>
      <x:c r="F524" s="31" t="n">
        <x:v>15</x:v>
      </x:c>
      <x:c r="G524" s="31" t="inlineStr">
        <x:is>
          <x:t xml:space="preserve">шт</x:t>
        </x:is>
      </x:c>
      <x:c r="H524" s="31" t="n"/>
      <x:c r="I524" s="31" t="n"/>
      <x:c r="J524" s="31" t="inlineStr">
        <x:is>
          <x:t xml:space="preserve">Основной склад</x:t>
        </x:is>
      </x:c>
      <x:c r="K524" s="31" t="inlineStr">
        <x:is>
          <x:t xml:space="preserve">СОТР-037</x:t>
        </x:is>
      </x:c>
      <x:c r="L524" s="31" t="inlineStr">
        <x:is>
          <x:t xml:space="preserve">ДОК-1220</x:t>
        </x:is>
      </x:c>
      <x:c r="M524" s="31" t="inlineStr">
        <x:is>
          <x:t xml:space="preserve">Проведен</x:t>
        </x:is>
      </x:c>
    </x:row>
    <x:row r="525">
      <x:c r="A525" s="31" t="inlineStr">
        <x:is>
          <x:t xml:space="preserve">СКЛ-000524</x:t>
        </x:is>
      </x:c>
      <x:c r="B525" s="31" t="n">
        <x:v>46061</x:v>
      </x:c>
      <x:c r="C525" s="31" t="inlineStr">
        <x:is>
          <x:t xml:space="preserve">Приход</x:t>
        </x:is>
      </x:c>
      <x:c r="D525" s="31" t="inlineStr">
        <x:is>
          <x:t xml:space="preserve">МАТ-0016</x:t>
        </x:is>
      </x:c>
      <x:c r="E525" s="31" t="inlineStr">
        <x:is>
          <x:t xml:space="preserve">Насос центробежный 15 кВт / исп.2</x:t>
        </x:is>
      </x:c>
      <x:c r="F525" s="31" t="n">
        <x:v>20</x:v>
      </x:c>
      <x:c r="G525" s="31" t="inlineStr">
        <x:is>
          <x:t xml:space="preserve">шт</x:t>
        </x:is>
      </x:c>
      <x:c r="H525" s="31" t="n"/>
      <x:c r="I525" s="31" t="n"/>
      <x:c r="J525" s="31" t="inlineStr">
        <x:is>
          <x:t xml:space="preserve">Цеховой склад</x:t>
        </x:is>
      </x:c>
      <x:c r="K525" s="31" t="inlineStr">
        <x:is>
          <x:t xml:space="preserve">СОТР-036</x:t>
        </x:is>
      </x:c>
      <x:c r="L525" s="31" t="inlineStr">
        <x:is>
          <x:t xml:space="preserve">ДОК-2438</x:t>
        </x:is>
      </x:c>
      <x:c r="M525" s="31" t="inlineStr">
        <x:is>
          <x:t xml:space="preserve">Проведен</x:t>
        </x:is>
      </x:c>
    </x:row>
    <x:row r="526">
      <x:c r="A526" s="31" t="inlineStr">
        <x:is>
          <x:t xml:space="preserve">СКЛ-000525</x:t>
        </x:is>
      </x:c>
      <x:c r="B526" s="31" t="n">
        <x:v>46036</x:v>
      </x:c>
      <x:c r="C526" s="31" t="inlineStr">
        <x:is>
          <x:t xml:space="preserve">Выдача в производство</x:t>
        </x:is>
      </x:c>
      <x:c r="D526" s="31" t="inlineStr">
        <x:is>
          <x:t xml:space="preserve">МАТ-0046</x:t>
        </x:is>
      </x:c>
      <x:c r="E526" s="31" t="inlineStr">
        <x:is>
          <x:t xml:space="preserve">Контактор 25А</x:t>
        </x:is>
      </x:c>
      <x:c r="F526" s="31" t="n">
        <x:v>-5</x:v>
      </x:c>
      <x:c r="G526" s="31" t="inlineStr">
        <x:is>
          <x:t xml:space="preserve">шт</x:t>
        </x:is>
      </x:c>
      <x:c r="H526" s="31" t="inlineStr">
        <x:is>
          <x:t xml:space="preserve">ЗК-1057</x:t>
        </x:is>
      </x:c>
      <x:c r="I526" s="31" t="inlineStr">
        <x:is>
          <x:t xml:space="preserve">ПЗ-00053</x:t>
        </x:is>
      </x:c>
      <x:c r="J526" s="31" t="inlineStr">
        <x:is>
          <x:t xml:space="preserve">Брак/карантин</x:t>
        </x:is>
      </x:c>
      <x:c r="K526" s="31" t="inlineStr">
        <x:is>
          <x:t xml:space="preserve">СОТР-024</x:t>
        </x:is>
      </x:c>
      <x:c r="L526" s="31" t="inlineStr">
        <x:is>
          <x:t xml:space="preserve">ДОК-9070</x:t>
        </x:is>
      </x:c>
      <x:c r="M526" s="31" t="inlineStr">
        <x:is>
          <x:t xml:space="preserve">Проведен</x:t>
        </x:is>
      </x:c>
    </x:row>
    <x:row r="527">
      <x:c r="A527" s="31" t="inlineStr">
        <x:is>
          <x:t xml:space="preserve">СКЛ-000526</x:t>
        </x:is>
      </x:c>
      <x:c r="B527" s="31" t="n">
        <x:v>46048</x:v>
      </x:c>
      <x:c r="C527" s="31" t="inlineStr">
        <x:is>
          <x:t xml:space="preserve">Корректировка</x:t>
        </x:is>
      </x:c>
      <x:c r="D527" s="31" t="inlineStr">
        <x:is>
          <x:t xml:space="preserve">МАТ-0006</x:t>
        </x:is>
      </x:c>
      <x:c r="E527" s="31" t="inlineStr">
        <x:is>
          <x:t xml:space="preserve">Труба нержавеющая 38×3</x:t>
        </x:is>
      </x:c>
      <x:c r="F527" s="31" t="n">
        <x:v>12</x:v>
      </x:c>
      <x:c r="G527" s="31" t="inlineStr">
        <x:is>
          <x:t xml:space="preserve">шт</x:t>
        </x:is>
      </x:c>
      <x:c r="H527" s="31" t="n"/>
      <x:c r="I527" s="31" t="n"/>
      <x:c r="J527" s="31" t="inlineStr">
        <x:is>
          <x:t xml:space="preserve">Основной склад</x:t>
        </x:is>
      </x:c>
      <x:c r="K527" s="31" t="inlineStr">
        <x:is>
          <x:t xml:space="preserve">СОТР-035</x:t>
        </x:is>
      </x:c>
      <x:c r="L527" s="31" t="inlineStr">
        <x:is>
          <x:t xml:space="preserve">ДОК-4543</x:t>
        </x:is>
      </x:c>
      <x:c r="M527" s="31" t="inlineStr">
        <x:is>
          <x:t xml:space="preserve">Проведен</x:t>
        </x:is>
      </x:c>
    </x:row>
    <x:row r="528">
      <x:c r="A528" s="31" t="inlineStr">
        <x:is>
          <x:t xml:space="preserve">СКЛ-000527</x:t>
        </x:is>
      </x:c>
      <x:c r="B528" s="31" t="n">
        <x:v>46128</x:v>
      </x:c>
      <x:c r="C528" s="31" t="inlineStr">
        <x:is>
          <x:t xml:space="preserve">Резерв</x:t>
        </x:is>
      </x:c>
      <x:c r="D528" s="31" t="inlineStr">
        <x:is>
          <x:t xml:space="preserve">МАТ-0020</x:t>
        </x:is>
      </x:c>
      <x:c r="E528" s="31" t="inlineStr">
        <x:is>
          <x:t xml:space="preserve">Насос дозировочный / исп.2</x:t>
        </x:is>
      </x:c>
      <x:c r="F528" s="31" t="n">
        <x:v>-5</x:v>
      </x:c>
      <x:c r="G528" s="31" t="inlineStr">
        <x:is>
          <x:t xml:space="preserve">шт</x:t>
        </x:is>
      </x:c>
      <x:c r="H528" s="31" t="inlineStr">
        <x:is>
          <x:t xml:space="preserve">ЗК-1124</x:t>
        </x:is>
      </x:c>
      <x:c r="I528" s="31" t="n"/>
      <x:c r="J528" s="31" t="inlineStr">
        <x:is>
          <x:t xml:space="preserve">Основной склад</x:t>
        </x:is>
      </x:c>
      <x:c r="K528" s="31" t="inlineStr">
        <x:is>
          <x:t xml:space="preserve">СОТР-036</x:t>
        </x:is>
      </x:c>
      <x:c r="L528" s="31" t="inlineStr">
        <x:is>
          <x:t xml:space="preserve">ДОК-8341</x:t>
        </x:is>
      </x:c>
      <x:c r="M528" s="31" t="inlineStr">
        <x:is>
          <x:t xml:space="preserve">Проведен</x:t>
        </x:is>
      </x:c>
    </x:row>
    <x:row r="529">
      <x:c r="A529" s="31" t="inlineStr">
        <x:is>
          <x:t xml:space="preserve">СКЛ-000528</x:t>
        </x:is>
      </x:c>
      <x:c r="B529" s="31" t="n">
        <x:v>46041</x:v>
      </x:c>
      <x:c r="C529" s="31" t="inlineStr">
        <x:is>
          <x:t xml:space="preserve">Возврат</x:t>
        </x:is>
      </x:c>
      <x:c r="D529" s="31" t="inlineStr">
        <x:is>
          <x:t xml:space="preserve">МАТ-0060</x:t>
        </x:is>
      </x:c>
      <x:c r="E529" s="31" t="inlineStr">
        <x:is>
          <x:t xml:space="preserve">Фильтр сетчатый Ду50 / исп.2</x:t>
        </x:is>
      </x:c>
      <x:c r="F529" s="31" t="n">
        <x:v>7</x:v>
      </x:c>
      <x:c r="G529" s="31" t="inlineStr">
        <x:is>
          <x:t xml:space="preserve">шт</x:t>
        </x:is>
      </x:c>
      <x:c r="H529" s="31" t="n"/>
      <x:c r="I529" s="31" t="n"/>
      <x:c r="J529" s="31" t="inlineStr">
        <x:is>
          <x:t xml:space="preserve">Основной склад</x:t>
        </x:is>
      </x:c>
      <x:c r="K529" s="31" t="inlineStr">
        <x:is>
          <x:t xml:space="preserve">СОТР-034</x:t>
        </x:is>
      </x:c>
      <x:c r="L529" s="31" t="inlineStr">
        <x:is>
          <x:t xml:space="preserve">ДОК-7056</x:t>
        </x:is>
      </x:c>
      <x:c r="M529" s="31" t="inlineStr">
        <x:is>
          <x:t xml:space="preserve">Проведен</x:t>
        </x:is>
      </x:c>
    </x:row>
    <x:row r="530">
      <x:c r="A530" s="31" t="inlineStr">
        <x:is>
          <x:t xml:space="preserve">СКЛ-000529</x:t>
        </x:is>
      </x:c>
      <x:c r="B530" s="31" t="n">
        <x:v>46136</x:v>
      </x:c>
      <x:c r="C530" s="31" t="inlineStr">
        <x:is>
          <x:t xml:space="preserve">Выдача в производство</x:t>
        </x:is>
      </x:c>
      <x:c r="D530" s="31" t="inlineStr">
        <x:is>
          <x:t xml:space="preserve">МАТ-0027</x:t>
        </x:is>
      </x:c>
      <x:c r="E530" s="31" t="inlineStr">
        <x:is>
          <x:t xml:space="preserve">Двигатель 22 кВт</x:t>
        </x:is>
      </x:c>
      <x:c r="F530" s="31" t="n">
        <x:v>-12</x:v>
      </x:c>
      <x:c r="G530" s="31" t="inlineStr">
        <x:is>
          <x:t xml:space="preserve">шт</x:t>
        </x:is>
      </x:c>
      <x:c r="H530" s="31" t="inlineStr">
        <x:is>
          <x:t xml:space="preserve">ЗК-1076</x:t>
        </x:is>
      </x:c>
      <x:c r="I530" s="31" t="inlineStr">
        <x:is>
          <x:t xml:space="preserve">ПЗ-00027</x:t>
        </x:is>
      </x:c>
      <x:c r="J530" s="31" t="inlineStr">
        <x:is>
          <x:t xml:space="preserve">Основной склад</x:t>
        </x:is>
      </x:c>
      <x:c r="K530" s="31" t="inlineStr">
        <x:is>
          <x:t xml:space="preserve">СОТР-024</x:t>
        </x:is>
      </x:c>
      <x:c r="L530" s="31" t="inlineStr">
        <x:is>
          <x:t xml:space="preserve">ДОК-8191</x:t>
        </x:is>
      </x:c>
      <x:c r="M530" s="31" t="inlineStr">
        <x:is>
          <x:t xml:space="preserve">Проведен</x:t>
        </x:is>
      </x:c>
    </x:row>
    <x:row r="531">
      <x:c r="A531" s="31" t="inlineStr">
        <x:is>
          <x:t xml:space="preserve">СКЛ-000530</x:t>
        </x:is>
      </x:c>
      <x:c r="B531" s="31" t="n">
        <x:v>46083</x:v>
      </x:c>
      <x:c r="C531" s="31" t="inlineStr">
        <x:is>
          <x:t xml:space="preserve">Возврат</x:t>
        </x:is>
      </x:c>
      <x:c r="D531" s="31" t="inlineStr">
        <x:is>
          <x:t xml:space="preserve">МАТ-0039</x:t>
        </x:is>
      </x:c>
      <x:c r="E531" s="31" t="inlineStr">
        <x:is>
          <x:t xml:space="preserve">ПЛК 24 дискр. входа / 16 дискр. выхода / исп.2</x:t>
        </x:is>
      </x:c>
      <x:c r="F531" s="31" t="n">
        <x:v>4</x:v>
      </x:c>
      <x:c r="G531" s="31" t="inlineStr">
        <x:is>
          <x:t xml:space="preserve">шт</x:t>
        </x:is>
      </x:c>
      <x:c r="H531" s="31" t="n"/>
      <x:c r="I531" s="31" t="n"/>
      <x:c r="J531" s="31" t="inlineStr">
        <x:is>
          <x:t xml:space="preserve">Основной склад</x:t>
        </x:is>
      </x:c>
      <x:c r="K531" s="31" t="inlineStr">
        <x:is>
          <x:t xml:space="preserve">СОТР-036</x:t>
        </x:is>
      </x:c>
      <x:c r="L531" s="31" t="inlineStr">
        <x:is>
          <x:t xml:space="preserve">ДОК-2418</x:t>
        </x:is>
      </x:c>
      <x:c r="M531" s="31" t="inlineStr">
        <x:is>
          <x:t xml:space="preserve">Проведен</x:t>
        </x:is>
      </x:c>
    </x:row>
    <x:row r="532">
      <x:c r="A532" s="31" t="inlineStr">
        <x:is>
          <x:t xml:space="preserve">СКЛ-000531</x:t>
        </x:is>
      </x:c>
      <x:c r="B532" s="31" t="n">
        <x:v>46130</x:v>
      </x:c>
      <x:c r="C532" s="31" t="inlineStr">
        <x:is>
          <x:t xml:space="preserve">Выдача в производство</x:t>
        </x:is>
      </x:c>
      <x:c r="D532" s="31" t="inlineStr">
        <x:is>
          <x:t xml:space="preserve">МАТ-0041</x:t>
        </x:is>
      </x:c>
      <x:c r="E532" s="31" t="inlineStr">
        <x:is>
          <x:t xml:space="preserve">модуль аналогового входа 4 канала / исп.2</x:t>
        </x:is>
      </x:c>
      <x:c r="F532" s="31" t="n">
        <x:v>-14</x:v>
      </x:c>
      <x:c r="G532" s="31" t="inlineStr">
        <x:is>
          <x:t xml:space="preserve">шт</x:t>
        </x:is>
      </x:c>
      <x:c r="H532" s="31" t="inlineStr">
        <x:is>
          <x:t xml:space="preserve">ЗК-1014</x:t>
        </x:is>
      </x:c>
      <x:c r="I532" s="31" t="inlineStr">
        <x:is>
          <x:t xml:space="preserve">ПЗ-00114</x:t>
        </x:is>
      </x:c>
      <x:c r="J532" s="31" t="inlineStr">
        <x:is>
          <x:t xml:space="preserve">Основной склад</x:t>
        </x:is>
      </x:c>
      <x:c r="K532" s="31" t="inlineStr">
        <x:is>
          <x:t xml:space="preserve">СОТР-035</x:t>
        </x:is>
      </x:c>
      <x:c r="L532" s="31" t="inlineStr">
        <x:is>
          <x:t xml:space="preserve">ДОК-8056</x:t>
        </x:is>
      </x:c>
      <x:c r="M532" s="31" t="inlineStr">
        <x:is>
          <x:t xml:space="preserve">Проведен</x:t>
        </x:is>
      </x:c>
    </x:row>
    <x:row r="533">
      <x:c r="A533" s="31" t="inlineStr">
        <x:is>
          <x:t xml:space="preserve">СКЛ-000532</x:t>
        </x:is>
      </x:c>
      <x:c r="B533" s="31" t="n">
        <x:v>46199</x:v>
      </x:c>
      <x:c r="C533" s="31" t="inlineStr">
        <x:is>
          <x:t xml:space="preserve">Резерв</x:t>
        </x:is>
      </x:c>
      <x:c r="D533" s="31" t="inlineStr">
        <x:is>
          <x:t xml:space="preserve">МАТ-0055</x:t>
        </x:is>
      </x:c>
      <x:c r="E533" s="31" t="inlineStr">
        <x:is>
          <x:t xml:space="preserve">Клапан обратный Ду50</x:t>
        </x:is>
      </x:c>
      <x:c r="F533" s="31" t="n">
        <x:v>-3</x:v>
      </x:c>
      <x:c r="G533" s="31" t="inlineStr">
        <x:is>
          <x:t xml:space="preserve">шт</x:t>
        </x:is>
      </x:c>
      <x:c r="H533" s="31" t="inlineStr">
        <x:is>
          <x:t xml:space="preserve">ЗК-1043</x:t>
        </x:is>
      </x:c>
      <x:c r="I533" s="31" t="n"/>
      <x:c r="J533" s="31" t="inlineStr">
        <x:is>
          <x:t xml:space="preserve">Основной склад</x:t>
        </x:is>
      </x:c>
      <x:c r="K533" s="31" t="inlineStr">
        <x:is>
          <x:t xml:space="preserve">СОТР-037</x:t>
        </x:is>
      </x:c>
      <x:c r="L533" s="31" t="inlineStr">
        <x:is>
          <x:t xml:space="preserve">ДОК-5586</x:t>
        </x:is>
      </x:c>
      <x:c r="M533" s="31" t="inlineStr">
        <x:is>
          <x:t xml:space="preserve">Проведен</x:t>
        </x:is>
      </x:c>
    </x:row>
    <x:row r="534">
      <x:c r="A534" s="31" t="inlineStr">
        <x:is>
          <x:t xml:space="preserve">СКЛ-000533</x:t>
        </x:is>
      </x:c>
      <x:c r="B534" s="31" t="n">
        <x:v>46170</x:v>
      </x:c>
      <x:c r="C534" s="31" t="inlineStr">
        <x:is>
          <x:t xml:space="preserve">Выдача в производство</x:t>
        </x:is>
      </x:c>
      <x:c r="D534" s="31" t="inlineStr">
        <x:is>
          <x:t xml:space="preserve">МАТ-0054</x:t>
        </x:is>
      </x:c>
      <x:c r="E534" s="31" t="inlineStr">
        <x:is>
          <x:t xml:space="preserve">Кран шаровой Ду80</x:t>
        </x:is>
      </x:c>
      <x:c r="F534" s="31" t="n">
        <x:v>-2</x:v>
      </x:c>
      <x:c r="G534" s="31" t="inlineStr">
        <x:is>
          <x:t xml:space="preserve">шт</x:t>
        </x:is>
      </x:c>
      <x:c r="H534" s="31" t="inlineStr">
        <x:is>
          <x:t xml:space="preserve">ЗК-1023</x:t>
        </x:is>
      </x:c>
      <x:c r="I534" s="31" t="inlineStr">
        <x:is>
          <x:t xml:space="preserve">ПЗ-00189</x:t>
        </x:is>
      </x:c>
      <x:c r="J534" s="31" t="inlineStr">
        <x:is>
          <x:t xml:space="preserve">Основной склад</x:t>
        </x:is>
      </x:c>
      <x:c r="K534" s="31" t="inlineStr">
        <x:is>
          <x:t xml:space="preserve">СОТР-033</x:t>
        </x:is>
      </x:c>
      <x:c r="L534" s="31" t="inlineStr">
        <x:is>
          <x:t xml:space="preserve">ДОК-5809</x:t>
        </x:is>
      </x:c>
      <x:c r="M534" s="31" t="inlineStr">
        <x:is>
          <x:t xml:space="preserve">Проведен</x:t>
        </x:is>
      </x:c>
    </x:row>
    <x:row r="535">
      <x:c r="A535" s="31" t="inlineStr">
        <x:is>
          <x:t xml:space="preserve">СКЛ-000534</x:t>
        </x:is>
      </x:c>
      <x:c r="B535" s="31" t="n">
        <x:v>46171</x:v>
      </x:c>
      <x:c r="C535" s="31" t="inlineStr">
        <x:is>
          <x:t xml:space="preserve">Выдача в производство</x:t>
        </x:is>
      </x:c>
      <x:c r="D535" s="31" t="inlineStr">
        <x:is>
          <x:t xml:space="preserve">МАТ-0030</x:t>
        </x:is>
      </x:c>
      <x:c r="E535" s="31" t="inlineStr">
        <x:is>
          <x:t xml:space="preserve">Частотный преобразователь 22 кВт / исп.2</x:t>
        </x:is>
      </x:c>
      <x:c r="F535" s="31" t="n">
        <x:v>-20</x:v>
      </x:c>
      <x:c r="G535" s="31" t="inlineStr">
        <x:is>
          <x:t xml:space="preserve">шт</x:t>
        </x:is>
      </x:c>
      <x:c r="H535" s="31" t="inlineStr">
        <x:is>
          <x:t xml:space="preserve">ЗК-1020</x:t>
        </x:is>
      </x:c>
      <x:c r="I535" s="31" t="inlineStr">
        <x:is>
          <x:t xml:space="preserve">ПЗ-00230</x:t>
        </x:is>
      </x:c>
      <x:c r="J535" s="31" t="inlineStr">
        <x:is>
          <x:t xml:space="preserve">Основной склад</x:t>
        </x:is>
      </x:c>
      <x:c r="K535" s="31" t="inlineStr">
        <x:is>
          <x:t xml:space="preserve">СОТР-038</x:t>
        </x:is>
      </x:c>
      <x:c r="L535" s="31" t="inlineStr">
        <x:is>
          <x:t xml:space="preserve">ДОК-4739</x:t>
        </x:is>
      </x:c>
      <x:c r="M535" s="31" t="inlineStr">
        <x:is>
          <x:t xml:space="preserve">Проведен</x:t>
        </x:is>
      </x:c>
    </x:row>
    <x:row r="536">
      <x:c r="A536" s="31" t="inlineStr">
        <x:is>
          <x:t xml:space="preserve">СКЛ-000535</x:t>
        </x:is>
      </x:c>
      <x:c r="B536" s="31" t="n">
        <x:v>46102</x:v>
      </x:c>
      <x:c r="C536" s="31" t="inlineStr">
        <x:is>
          <x:t xml:space="preserve">Выдача в производство</x:t>
        </x:is>
      </x:c>
      <x:c r="D536" s="31" t="inlineStr">
        <x:is>
          <x:t xml:space="preserve">МАТ-0087</x:t>
        </x:is>
      </x:c>
      <x:c r="E536" s="31" t="inlineStr">
        <x:is>
          <x:t xml:space="preserve">Ящик фанерный</x:t>
        </x:is>
      </x:c>
      <x:c r="F536" s="31" t="n">
        <x:v>-1</x:v>
      </x:c>
      <x:c r="G536" s="31" t="inlineStr">
        <x:is>
          <x:t xml:space="preserve">шт</x:t>
        </x:is>
      </x:c>
      <x:c r="H536" s="31" t="inlineStr">
        <x:is>
          <x:t xml:space="preserve">ЗК-1029</x:t>
        </x:is>
      </x:c>
      <x:c r="I536" s="31" t="inlineStr">
        <x:is>
          <x:t xml:space="preserve">ПЗ-00102</x:t>
        </x:is>
      </x:c>
      <x:c r="J536" s="31" t="inlineStr">
        <x:is>
          <x:t xml:space="preserve">Основной склад</x:t>
        </x:is>
      </x:c>
      <x:c r="K536" s="31" t="inlineStr">
        <x:is>
          <x:t xml:space="preserve">СОТР-035</x:t>
        </x:is>
      </x:c>
      <x:c r="L536" s="31" t="inlineStr">
        <x:is>
          <x:t xml:space="preserve">ДОК-4943</x:t>
        </x:is>
      </x:c>
      <x:c r="M536" s="31" t="inlineStr">
        <x:is>
          <x:t xml:space="preserve">Проведен</x:t>
        </x:is>
      </x:c>
    </x:row>
    <x:row r="537">
      <x:c r="A537" s="31" t="inlineStr">
        <x:is>
          <x:t xml:space="preserve">СКЛ-000536</x:t>
        </x:is>
      </x:c>
      <x:c r="B537" s="31" t="n">
        <x:v>46200</x:v>
      </x:c>
      <x:c r="C537" s="31" t="inlineStr">
        <x:is>
          <x:t xml:space="preserve">Выдача в производство</x:t>
        </x:is>
      </x:c>
      <x:c r="D537" s="31" t="inlineStr">
        <x:is>
          <x:t xml:space="preserve">МАТ-0089</x:t>
        </x:is>
      </x:c>
      <x:c r="E537" s="31" t="inlineStr">
        <x:is>
          <x:t xml:space="preserve">Маркировочная этикетка</x:t>
        </x:is>
      </x:c>
      <x:c r="F537" s="31" t="n">
        <x:v>-4</x:v>
      </x:c>
      <x:c r="G537" s="31" t="inlineStr">
        <x:is>
          <x:t xml:space="preserve">шт</x:t>
        </x:is>
      </x:c>
      <x:c r="H537" s="31" t="inlineStr">
        <x:is>
          <x:t xml:space="preserve">ЗК-1125</x:t>
        </x:is>
      </x:c>
      <x:c r="I537" s="31" t="inlineStr">
        <x:is>
          <x:t xml:space="preserve">ПЗ-00123</x:t>
        </x:is>
      </x:c>
      <x:c r="J537" s="31" t="inlineStr">
        <x:is>
          <x:t xml:space="preserve">Основной склад</x:t>
        </x:is>
      </x:c>
      <x:c r="K537" s="31" t="inlineStr">
        <x:is>
          <x:t xml:space="preserve">СОТР-024</x:t>
        </x:is>
      </x:c>
      <x:c r="L537" s="31" t="inlineStr">
        <x:is>
          <x:t xml:space="preserve">ДОК-3378</x:t>
        </x:is>
      </x:c>
      <x:c r="M537" s="31" t="inlineStr">
        <x:is>
          <x:t xml:space="preserve">Проведен</x:t>
        </x:is>
      </x:c>
    </x:row>
    <x:row r="538">
      <x:c r="A538" s="31" t="inlineStr">
        <x:is>
          <x:t xml:space="preserve">СКЛ-000537</x:t>
        </x:is>
      </x:c>
      <x:c r="B538" s="31" t="n">
        <x:v>46097</x:v>
      </x:c>
      <x:c r="C538" s="31" t="inlineStr">
        <x:is>
          <x:t xml:space="preserve">Выдача в производство</x:t>
        </x:is>
      </x:c>
      <x:c r="D538" s="31" t="inlineStr">
        <x:is>
          <x:t xml:space="preserve">МАТ-0079</x:t>
        </x:is>
      </x:c>
      <x:c r="E538" s="31" t="inlineStr">
        <x:is>
          <x:t xml:space="preserve">Гайка М12 / исп.2</x:t>
        </x:is>
      </x:c>
      <x:c r="F538" s="31" t="n">
        <x:v>-1</x:v>
      </x:c>
      <x:c r="G538" s="31" t="inlineStr">
        <x:is>
          <x:t xml:space="preserve">шт</x:t>
        </x:is>
      </x:c>
      <x:c r="H538" s="31" t="inlineStr">
        <x:is>
          <x:t xml:space="preserve">ЗК-1035</x:t>
        </x:is>
      </x:c>
      <x:c r="I538" s="31" t="inlineStr">
        <x:is>
          <x:t xml:space="preserve">ПЗ-00254</x:t>
        </x:is>
      </x:c>
      <x:c r="J538" s="31" t="inlineStr">
        <x:is>
          <x:t xml:space="preserve">Основной склад</x:t>
        </x:is>
      </x:c>
      <x:c r="K538" s="31" t="inlineStr">
        <x:is>
          <x:t xml:space="preserve">СОТР-036</x:t>
        </x:is>
      </x:c>
      <x:c r="L538" s="31" t="inlineStr">
        <x:is>
          <x:t xml:space="preserve">ДОК-5016</x:t>
        </x:is>
      </x:c>
      <x:c r="M538" s="31" t="inlineStr">
        <x:is>
          <x:t xml:space="preserve">Проведен</x:t>
        </x:is>
      </x:c>
    </x:row>
    <x:row r="539">
      <x:c r="A539" s="31" t="inlineStr">
        <x:is>
          <x:t xml:space="preserve">СКЛ-000538</x:t>
        </x:is>
      </x:c>
      <x:c r="B539" s="31" t="n">
        <x:v>46140</x:v>
      </x:c>
      <x:c r="C539" s="31" t="inlineStr">
        <x:is>
          <x:t xml:space="preserve">Списание</x:t>
        </x:is>
      </x:c>
      <x:c r="D539" s="31" t="inlineStr">
        <x:is>
          <x:t xml:space="preserve">МАТ-0070</x:t>
        </x:is>
      </x:c>
      <x:c r="E539" s="31" t="inlineStr">
        <x:is>
          <x:t xml:space="preserve">Эмаль полиуретановая / исп.2</x:t>
        </x:is>
      </x:c>
      <x:c r="F539" s="31" t="n">
        <x:v>-74.38</x:v>
      </x:c>
      <x:c r="G539" s="31" t="inlineStr">
        <x:is>
          <x:t xml:space="preserve">кг</x:t>
        </x:is>
      </x:c>
      <x:c r="H539" s="31" t="n"/>
      <x:c r="I539" s="31" t="n"/>
      <x:c r="J539" s="31" t="inlineStr">
        <x:is>
          <x:t xml:space="preserve">Основной склад</x:t>
        </x:is>
      </x:c>
      <x:c r="K539" s="31" t="inlineStr">
        <x:is>
          <x:t xml:space="preserve">СОТР-039</x:t>
        </x:is>
      </x:c>
      <x:c r="L539" s="31" t="inlineStr">
        <x:is>
          <x:t xml:space="preserve">ДОК-1657</x:t>
        </x:is>
      </x:c>
      <x:c r="M539" s="31" t="inlineStr">
        <x:is>
          <x:t xml:space="preserve">Проведен</x:t>
        </x:is>
      </x:c>
    </x:row>
    <x:row r="540">
      <x:c r="A540" s="31" t="inlineStr">
        <x:is>
          <x:t xml:space="preserve">СКЛ-000539</x:t>
        </x:is>
      </x:c>
      <x:c r="B540" s="31" t="n">
        <x:v>46072</x:v>
      </x:c>
      <x:c r="C540" s="31" t="inlineStr">
        <x:is>
          <x:t xml:space="preserve">Приход</x:t>
        </x:is>
      </x:c>
      <x:c r="D540" s="31" t="inlineStr">
        <x:is>
          <x:t xml:space="preserve">МАТ-0084</x:t>
        </x:is>
      </x:c>
      <x:c r="E540" s="31" t="inlineStr">
        <x:is>
          <x:t xml:space="preserve">Поддон 1200×800</x:t>
        </x:is>
      </x:c>
      <x:c r="F540" s="31" t="n">
        <x:v>2</x:v>
      </x:c>
      <x:c r="G540" s="31" t="inlineStr">
        <x:is>
          <x:t xml:space="preserve">шт</x:t>
        </x:is>
      </x:c>
      <x:c r="H540" s="31" t="n"/>
      <x:c r="I540" s="31" t="n"/>
      <x:c r="J540" s="31" t="inlineStr">
        <x:is>
          <x:t xml:space="preserve">Основной склад</x:t>
        </x:is>
      </x:c>
      <x:c r="K540" s="31" t="inlineStr">
        <x:is>
          <x:t xml:space="preserve">СОТР-039</x:t>
        </x:is>
      </x:c>
      <x:c r="L540" s="31" t="inlineStr">
        <x:is>
          <x:t xml:space="preserve">ДОК-9294</x:t>
        </x:is>
      </x:c>
      <x:c r="M540" s="31" t="inlineStr">
        <x:is>
          <x:t xml:space="preserve">Проведен</x:t>
        </x:is>
      </x:c>
    </x:row>
    <x:row r="541">
      <x:c r="A541" s="31" t="inlineStr">
        <x:is>
          <x:t xml:space="preserve">СКЛ-000540</x:t>
        </x:is>
      </x:c>
      <x:c r="B541" s="31" t="n">
        <x:v>46038</x:v>
      </x:c>
      <x:c r="C541" s="31" t="inlineStr">
        <x:is>
          <x:t xml:space="preserve">Приход</x:t>
        </x:is>
      </x:c>
      <x:c r="D541" s="31" t="inlineStr">
        <x:is>
          <x:t xml:space="preserve">МАТ-0055</x:t>
        </x:is>
      </x:c>
      <x:c r="E541" s="31" t="inlineStr">
        <x:is>
          <x:t xml:space="preserve">Клапан обратный Ду50</x:t>
        </x:is>
      </x:c>
      <x:c r="F541" s="31" t="n">
        <x:v>17</x:v>
      </x:c>
      <x:c r="G541" s="31" t="inlineStr">
        <x:is>
          <x:t xml:space="preserve">шт</x:t>
        </x:is>
      </x:c>
      <x:c r="H541" s="31" t="n"/>
      <x:c r="I541" s="31" t="n"/>
      <x:c r="J541" s="31" t="inlineStr">
        <x:is>
          <x:t xml:space="preserve">Основной склад</x:t>
        </x:is>
      </x:c>
      <x:c r="K541" s="31" t="inlineStr">
        <x:is>
          <x:t xml:space="preserve">СОТР-039</x:t>
        </x:is>
      </x:c>
      <x:c r="L541" s="31" t="inlineStr">
        <x:is>
          <x:t xml:space="preserve">ДОК-4170</x:t>
        </x:is>
      </x:c>
      <x:c r="M541" s="31" t="inlineStr">
        <x:is>
          <x:t xml:space="preserve">Проведен</x:t>
        </x:is>
      </x:c>
    </x:row>
    <x:row r="542">
      <x:c r="A542" s="31" t="inlineStr">
        <x:is>
          <x:t xml:space="preserve">СКЛ-000541</x:t>
        </x:is>
      </x:c>
      <x:c r="B542" s="31" t="n">
        <x:v>46042</x:v>
      </x:c>
      <x:c r="C542" s="31" t="inlineStr">
        <x:is>
          <x:t xml:space="preserve">Выдача в производство</x:t>
        </x:is>
      </x:c>
      <x:c r="D542" s="31" t="inlineStr">
        <x:is>
          <x:t xml:space="preserve">МАТ-0072</x:t>
        </x:is>
      </x:c>
      <x:c r="E542" s="31" t="inlineStr">
        <x:is>
          <x:t xml:space="preserve">Растворитель</x:t>
        </x:is>
      </x:c>
      <x:c r="F542" s="31" t="n">
        <x:v>-16</x:v>
      </x:c>
      <x:c r="G542" s="31" t="inlineStr">
        <x:is>
          <x:t xml:space="preserve">л</x:t>
        </x:is>
      </x:c>
      <x:c r="H542" s="31" t="inlineStr">
        <x:is>
          <x:t xml:space="preserve">ЗК-1033</x:t>
        </x:is>
      </x:c>
      <x:c r="I542" s="31" t="inlineStr">
        <x:is>
          <x:t xml:space="preserve">ПЗ-00104</x:t>
        </x:is>
      </x:c>
      <x:c r="J542" s="31" t="inlineStr">
        <x:is>
          <x:t xml:space="preserve">Основной склад</x:t>
        </x:is>
      </x:c>
      <x:c r="K542" s="31" t="inlineStr">
        <x:is>
          <x:t xml:space="preserve">СОТР-024</x:t>
        </x:is>
      </x:c>
      <x:c r="L542" s="31" t="inlineStr">
        <x:is>
          <x:t xml:space="preserve">ДОК-2529</x:t>
        </x:is>
      </x:c>
      <x:c r="M542" s="31" t="inlineStr">
        <x:is>
          <x:t xml:space="preserve">Проведен</x:t>
        </x:is>
      </x:c>
    </x:row>
    <x:row r="543">
      <x:c r="A543" s="31" t="inlineStr">
        <x:is>
          <x:t xml:space="preserve">СКЛ-000542</x:t>
        </x:is>
      </x:c>
      <x:c r="B543" s="31" t="n">
        <x:v>46043</x:v>
      </x:c>
      <x:c r="C543" s="31" t="inlineStr">
        <x:is>
          <x:t xml:space="preserve">Выдача в производство</x:t>
        </x:is>
      </x:c>
      <x:c r="D543" s="31" t="inlineStr">
        <x:is>
          <x:t xml:space="preserve">МАТ-0075</x:t>
        </x:is>
      </x:c>
      <x:c r="E543" s="31" t="inlineStr">
        <x:is>
          <x:t xml:space="preserve">Болт М12</x:t>
        </x:is>
      </x:c>
      <x:c r="F543" s="31" t="n">
        <x:v>-16</x:v>
      </x:c>
      <x:c r="G543" s="31" t="inlineStr">
        <x:is>
          <x:t xml:space="preserve">шт</x:t>
        </x:is>
      </x:c>
      <x:c r="H543" s="31" t="inlineStr">
        <x:is>
          <x:t xml:space="preserve">ЗК-1057</x:t>
        </x:is>
      </x:c>
      <x:c r="I543" s="31" t="inlineStr">
        <x:is>
          <x:t xml:space="preserve">ПЗ-00238</x:t>
        </x:is>
      </x:c>
      <x:c r="J543" s="31" t="inlineStr">
        <x:is>
          <x:t xml:space="preserve">Основной склад</x:t>
        </x:is>
      </x:c>
      <x:c r="K543" s="31" t="inlineStr">
        <x:is>
          <x:t xml:space="preserve">СОТР-039</x:t>
        </x:is>
      </x:c>
      <x:c r="L543" s="31" t="inlineStr">
        <x:is>
          <x:t xml:space="preserve">ДОК-6929</x:t>
        </x:is>
      </x:c>
      <x:c r="M543" s="31" t="inlineStr">
        <x:is>
          <x:t xml:space="preserve">Проведен</x:t>
        </x:is>
      </x:c>
    </x:row>
    <x:row r="544">
      <x:c r="A544" s="31" t="inlineStr">
        <x:is>
          <x:t xml:space="preserve">СКЛ-000543</x:t>
        </x:is>
      </x:c>
      <x:c r="B544" s="31" t="n">
        <x:v>46057</x:v>
      </x:c>
      <x:c r="C544" s="31" t="inlineStr">
        <x:is>
          <x:t xml:space="preserve">Списание</x:t>
        </x:is>
      </x:c>
      <x:c r="D544" s="31" t="inlineStr">
        <x:is>
          <x:t xml:space="preserve">МАТ-0089</x:t>
        </x:is>
      </x:c>
      <x:c r="E544" s="31" t="inlineStr">
        <x:is>
          <x:t xml:space="preserve">Маркировочная этикетка</x:t>
        </x:is>
      </x:c>
      <x:c r="F544" s="31" t="n">
        <x:v>-5</x:v>
      </x:c>
      <x:c r="G544" s="31" t="inlineStr">
        <x:is>
          <x:t xml:space="preserve">шт</x:t>
        </x:is>
      </x:c>
      <x:c r="H544" s="31" t="n"/>
      <x:c r="I544" s="31" t="n"/>
      <x:c r="J544" s="31" t="inlineStr">
        <x:is>
          <x:t xml:space="preserve">Основной склад</x:t>
        </x:is>
      </x:c>
      <x:c r="K544" s="31" t="inlineStr">
        <x:is>
          <x:t xml:space="preserve">СОТР-038</x:t>
        </x:is>
      </x:c>
      <x:c r="L544" s="31" t="inlineStr">
        <x:is>
          <x:t xml:space="preserve">ДОК-4082</x:t>
        </x:is>
      </x:c>
      <x:c r="M544" s="31" t="inlineStr">
        <x:is>
          <x:t xml:space="preserve">Проведен</x:t>
        </x:is>
      </x:c>
    </x:row>
    <x:row r="545">
      <x:c r="A545" s="31" t="inlineStr">
        <x:is>
          <x:t xml:space="preserve">СКЛ-000544</x:t>
        </x:is>
      </x:c>
      <x:c r="B545" s="31" t="n">
        <x:v>46160</x:v>
      </x:c>
      <x:c r="C545" s="31" t="inlineStr">
        <x:is>
          <x:t xml:space="preserve">Списание</x:t>
        </x:is>
      </x:c>
      <x:c r="D545" s="31" t="inlineStr">
        <x:is>
          <x:t xml:space="preserve">МАТ-0068</x:t>
        </x:is>
      </x:c>
      <x:c r="E545" s="31" t="inlineStr">
        <x:is>
          <x:t xml:space="preserve">Грунт эпоксидный</x:t>
        </x:is>
      </x:c>
      <x:c r="F545" s="31" t="n">
        <x:v>-55.16</x:v>
      </x:c>
      <x:c r="G545" s="31" t="inlineStr">
        <x:is>
          <x:t xml:space="preserve">л</x:t>
        </x:is>
      </x:c>
      <x:c r="H545" s="31" t="n"/>
      <x:c r="I545" s="31" t="n"/>
      <x:c r="J545" s="31" t="inlineStr">
        <x:is>
          <x:t xml:space="preserve">Основной склад</x:t>
        </x:is>
      </x:c>
      <x:c r="K545" s="31" t="inlineStr">
        <x:is>
          <x:t xml:space="preserve">СОТР-033</x:t>
        </x:is>
      </x:c>
      <x:c r="L545" s="31" t="inlineStr">
        <x:is>
          <x:t xml:space="preserve">ДОК-7940</x:t>
        </x:is>
      </x:c>
      <x:c r="M545" s="31" t="inlineStr">
        <x:is>
          <x:t xml:space="preserve">Проведен</x:t>
        </x:is>
      </x:c>
    </x:row>
    <x:row r="546">
      <x:c r="A546" s="31" t="inlineStr">
        <x:is>
          <x:t xml:space="preserve">СКЛ-000545</x:t>
        </x:is>
      </x:c>
      <x:c r="B546" s="31" t="n">
        <x:v>46133</x:v>
      </x:c>
      <x:c r="C546" s="31" t="inlineStr">
        <x:is>
          <x:t xml:space="preserve">Резерв</x:t>
        </x:is>
      </x:c>
      <x:c r="D546" s="31" t="inlineStr">
        <x:is>
          <x:t xml:space="preserve">МАТ-0074</x:t>
        </x:is>
      </x:c>
      <x:c r="E546" s="31" t="inlineStr">
        <x:is>
          <x:t xml:space="preserve">Абразив для пескоструя</x:t>
        </x:is>
      </x:c>
      <x:c r="F546" s="31" t="n">
        <x:v>-13</x:v>
      </x:c>
      <x:c r="G546" s="31" t="inlineStr">
        <x:is>
          <x:t xml:space="preserve">шт</x:t>
        </x:is>
      </x:c>
      <x:c r="H546" s="31" t="inlineStr">
        <x:is>
          <x:t xml:space="preserve">ЗК-1004</x:t>
        </x:is>
      </x:c>
      <x:c r="I546" s="31" t="n"/>
      <x:c r="J546" s="31" t="inlineStr">
        <x:is>
          <x:t xml:space="preserve">Цеховой склад</x:t>
        </x:is>
      </x:c>
      <x:c r="K546" s="31" t="inlineStr">
        <x:is>
          <x:t xml:space="preserve">СОТР-033</x:t>
        </x:is>
      </x:c>
      <x:c r="L546" s="31" t="inlineStr">
        <x:is>
          <x:t xml:space="preserve">ДОК-3615</x:t>
        </x:is>
      </x:c>
      <x:c r="M546" s="31" t="inlineStr">
        <x:is>
          <x:t xml:space="preserve">Проведен</x:t>
        </x:is>
      </x:c>
    </x:row>
    <x:row r="547">
      <x:c r="A547" s="31" t="inlineStr">
        <x:is>
          <x:t xml:space="preserve">СКЛ-000546</x:t>
        </x:is>
      </x:c>
      <x:c r="B547" s="31" t="n">
        <x:v>46170</x:v>
      </x:c>
      <x:c r="C547" s="31" t="inlineStr">
        <x:is>
          <x:t xml:space="preserve">Резерв</x:t>
        </x:is>
      </x:c>
      <x:c r="D547" s="31" t="inlineStr">
        <x:is>
          <x:t xml:space="preserve">МАТ-0007</x:t>
        </x:is>
      </x:c>
      <x:c r="E547" s="31" t="inlineStr">
        <x:is>
          <x:t xml:space="preserve">Труба нержавеющая 38×3 / исп.2</x:t>
        </x:is>
      </x:c>
      <x:c r="F547" s="31" t="n">
        <x:v>-30.19</x:v>
      </x:c>
      <x:c r="G547" s="31" t="inlineStr">
        <x:is>
          <x:t xml:space="preserve">л</x:t>
        </x:is>
      </x:c>
      <x:c r="H547" s="31" t="inlineStr">
        <x:is>
          <x:t xml:space="preserve">ЗК-1037</x:t>
        </x:is>
      </x:c>
      <x:c r="I547" s="31" t="n"/>
      <x:c r="J547" s="31" t="inlineStr">
        <x:is>
          <x:t xml:space="preserve">Основной склад</x:t>
        </x:is>
      </x:c>
      <x:c r="K547" s="31" t="inlineStr">
        <x:is>
          <x:t xml:space="preserve">СОТР-038</x:t>
        </x:is>
      </x:c>
      <x:c r="L547" s="31" t="inlineStr">
        <x:is>
          <x:t xml:space="preserve">ДОК-6284</x:t>
        </x:is>
      </x:c>
      <x:c r="M547" s="31" t="inlineStr">
        <x:is>
          <x:t xml:space="preserve">Проведен</x:t>
        </x:is>
      </x:c>
    </x:row>
    <x:row r="548">
      <x:c r="A548" s="31" t="inlineStr">
        <x:is>
          <x:t xml:space="preserve">СКЛ-000547</x:t>
        </x:is>
      </x:c>
      <x:c r="B548" s="31" t="n">
        <x:v>46183</x:v>
      </x:c>
      <x:c r="C548" s="31" t="inlineStr">
        <x:is>
          <x:t xml:space="preserve">Резерв</x:t>
        </x:is>
      </x:c>
      <x:c r="D548" s="31" t="inlineStr">
        <x:is>
          <x:t xml:space="preserve">МАТ-0003</x:t>
        </x:is>
      </x:c>
      <x:c r="E548" s="31" t="inlineStr">
        <x:is>
          <x:t xml:space="preserve">Лист стальной 09Г2С 12 мм / исп.2</x:t>
        </x:is>
      </x:c>
      <x:c r="F548" s="31" t="n">
        <x:v>-54.53</x:v>
      </x:c>
      <x:c r="G548" s="31" t="inlineStr">
        <x:is>
          <x:t xml:space="preserve">м</x:t>
        </x:is>
      </x:c>
      <x:c r="H548" s="31" t="inlineStr">
        <x:is>
          <x:t xml:space="preserve">ЗК-1015</x:t>
        </x:is>
      </x:c>
      <x:c r="I548" s="31" t="n"/>
      <x:c r="J548" s="31" t="inlineStr">
        <x:is>
          <x:t xml:space="preserve">Основной склад</x:t>
        </x:is>
      </x:c>
      <x:c r="K548" s="31" t="inlineStr">
        <x:is>
          <x:t xml:space="preserve">СОТР-036</x:t>
        </x:is>
      </x:c>
      <x:c r="L548" s="31" t="inlineStr">
        <x:is>
          <x:t xml:space="preserve">ДОК-2652</x:t>
        </x:is>
      </x:c>
      <x:c r="M548" s="31" t="inlineStr">
        <x:is>
          <x:t xml:space="preserve">Проведен</x:t>
        </x:is>
      </x:c>
    </x:row>
    <x:row r="549">
      <x:c r="A549" s="31" t="inlineStr">
        <x:is>
          <x:t xml:space="preserve">СКЛ-000548</x:t>
        </x:is>
      </x:c>
      <x:c r="B549" s="31" t="n">
        <x:v>46086</x:v>
      </x:c>
      <x:c r="C549" s="31" t="inlineStr">
        <x:is>
          <x:t xml:space="preserve">Выдача в производство</x:t>
        </x:is>
      </x:c>
      <x:c r="D549" s="31" t="inlineStr">
        <x:is>
          <x:t xml:space="preserve">МАТ-0079</x:t>
        </x:is>
      </x:c>
      <x:c r="E549" s="31" t="inlineStr">
        <x:is>
          <x:t xml:space="preserve">Гайка М12 / исп.2</x:t>
        </x:is>
      </x:c>
      <x:c r="F549" s="31" t="n">
        <x:v>-1</x:v>
      </x:c>
      <x:c r="G549" s="31" t="inlineStr">
        <x:is>
          <x:t xml:space="preserve">шт</x:t>
        </x:is>
      </x:c>
      <x:c r="H549" s="31" t="inlineStr">
        <x:is>
          <x:t xml:space="preserve">ЗК-1122</x:t>
        </x:is>
      </x:c>
      <x:c r="I549" s="31" t="inlineStr">
        <x:is>
          <x:t xml:space="preserve">ПЗ-00227</x:t>
        </x:is>
      </x:c>
      <x:c r="J549" s="31" t="inlineStr">
        <x:is>
          <x:t xml:space="preserve">Основной склад</x:t>
        </x:is>
      </x:c>
      <x:c r="K549" s="31" t="inlineStr">
        <x:is>
          <x:t xml:space="preserve">СОТР-024</x:t>
        </x:is>
      </x:c>
      <x:c r="L549" s="31" t="inlineStr">
        <x:is>
          <x:t xml:space="preserve">ДОК-9702</x:t>
        </x:is>
      </x:c>
      <x:c r="M549" s="31" t="inlineStr">
        <x:is>
          <x:t xml:space="preserve">Проведен</x:t>
        </x:is>
      </x:c>
    </x:row>
    <x:row r="550">
      <x:c r="A550" s="31" t="inlineStr">
        <x:is>
          <x:t xml:space="preserve">СКЛ-000549</x:t>
        </x:is>
      </x:c>
      <x:c r="B550" s="31" t="n">
        <x:v>46097</x:v>
      </x:c>
      <x:c r="C550" s="31" t="inlineStr">
        <x:is>
          <x:t xml:space="preserve">Выдача в производство</x:t>
        </x:is>
      </x:c>
      <x:c r="D550" s="31" t="inlineStr">
        <x:is>
          <x:t xml:space="preserve">МАТ-0072</x:t>
        </x:is>
      </x:c>
      <x:c r="E550" s="31" t="inlineStr">
        <x:is>
          <x:t xml:space="preserve">Растворитель</x:t>
        </x:is>
      </x:c>
      <x:c r="F550" s="31" t="n">
        <x:v>-70.92</x:v>
      </x:c>
      <x:c r="G550" s="31" t="inlineStr">
        <x:is>
          <x:t xml:space="preserve">л</x:t>
        </x:is>
      </x:c>
      <x:c r="H550" s="31" t="inlineStr">
        <x:is>
          <x:t xml:space="preserve">ЗК-1124</x:t>
        </x:is>
      </x:c>
      <x:c r="I550" s="31" t="inlineStr">
        <x:is>
          <x:t xml:space="preserve">ПЗ-00178</x:t>
        </x:is>
      </x:c>
      <x:c r="J550" s="31" t="inlineStr">
        <x:is>
          <x:t xml:space="preserve">Основной склад</x:t>
        </x:is>
      </x:c>
      <x:c r="K550" s="31" t="inlineStr">
        <x:is>
          <x:t xml:space="preserve">СОТР-039</x:t>
        </x:is>
      </x:c>
      <x:c r="L550" s="31" t="inlineStr">
        <x:is>
          <x:t xml:space="preserve">ДОК-1729</x:t>
        </x:is>
      </x:c>
      <x:c r="M550" s="31" t="inlineStr">
        <x:is>
          <x:t xml:space="preserve">Черновик</x:t>
        </x:is>
      </x:c>
    </x:row>
    <x:row r="551">
      <x:c r="A551" s="31" t="inlineStr">
        <x:is>
          <x:t xml:space="preserve">СКЛ-000550</x:t>
        </x:is>
      </x:c>
      <x:c r="B551" s="31" t="n">
        <x:v>46094</x:v>
      </x:c>
      <x:c r="C551" s="31" t="inlineStr">
        <x:is>
          <x:t xml:space="preserve">Списание</x:t>
        </x:is>
      </x:c>
      <x:c r="D551" s="31" t="inlineStr">
        <x:is>
          <x:t xml:space="preserve">МАТ-0035</x:t>
        </x:is>
      </x:c>
      <x:c r="E551" s="31" t="inlineStr">
        <x:is>
          <x:t xml:space="preserve">Клапан электромагнитный 24В</x:t>
        </x:is>
      </x:c>
      <x:c r="F551" s="31" t="n">
        <x:v>-18</x:v>
      </x:c>
      <x:c r="G551" s="31" t="inlineStr">
        <x:is>
          <x:t xml:space="preserve">шт</x:t>
        </x:is>
      </x:c>
      <x:c r="H551" s="31" t="n"/>
      <x:c r="I551" s="31" t="n"/>
      <x:c r="J551" s="31" t="inlineStr">
        <x:is>
          <x:t xml:space="preserve">Основной склад</x:t>
        </x:is>
      </x:c>
      <x:c r="K551" s="31" t="inlineStr">
        <x:is>
          <x:t xml:space="preserve">СОТР-038</x:t>
        </x:is>
      </x:c>
      <x:c r="L551" s="31" t="inlineStr">
        <x:is>
          <x:t xml:space="preserve">ДОК-6215</x:t>
        </x:is>
      </x:c>
      <x:c r="M551" s="31" t="inlineStr">
        <x:is>
          <x:t xml:space="preserve">Проведен</x:t>
        </x:is>
      </x:c>
    </x:row>
    <x:row r="552">
      <x:c r="A552" s="31" t="inlineStr">
        <x:is>
          <x:t xml:space="preserve">СКЛ-000551</x:t>
        </x:is>
      </x:c>
      <x:c r="B552" s="31" t="n">
        <x:v>46130</x:v>
      </x:c>
      <x:c r="C552" s="31" t="inlineStr">
        <x:is>
          <x:t xml:space="preserve">Резерв</x:t>
        </x:is>
      </x:c>
      <x:c r="D552" s="31" t="inlineStr">
        <x:is>
          <x:t xml:space="preserve">МАТ-0089</x:t>
        </x:is>
      </x:c>
      <x:c r="E552" s="31" t="inlineStr">
        <x:is>
          <x:t xml:space="preserve">Маркировочная этикетка</x:t>
        </x:is>
      </x:c>
      <x:c r="F552" s="31" t="n">
        <x:v>-5</x:v>
      </x:c>
      <x:c r="G552" s="31" t="inlineStr">
        <x:is>
          <x:t xml:space="preserve">шт</x:t>
        </x:is>
      </x:c>
      <x:c r="H552" s="31" t="inlineStr">
        <x:is>
          <x:t xml:space="preserve">ЗК-1126</x:t>
        </x:is>
      </x:c>
      <x:c r="I552" s="31" t="n"/>
      <x:c r="J552" s="31" t="inlineStr">
        <x:is>
          <x:t xml:space="preserve">Основной склад</x:t>
        </x:is>
      </x:c>
      <x:c r="K552" s="31" t="inlineStr">
        <x:is>
          <x:t xml:space="preserve">СОТР-033</x:t>
        </x:is>
      </x:c>
      <x:c r="L552" s="31" t="inlineStr">
        <x:is>
          <x:t xml:space="preserve">ДОК-4547</x:t>
        </x:is>
      </x:c>
      <x:c r="M552" s="31" t="inlineStr">
        <x:is>
          <x:t xml:space="preserve">Проведен</x:t>
        </x:is>
      </x:c>
    </x:row>
    <x:row r="553">
      <x:c r="A553" s="31" t="inlineStr">
        <x:is>
          <x:t xml:space="preserve">СКЛ-000552</x:t>
        </x:is>
      </x:c>
      <x:c r="B553" s="31" t="n">
        <x:v>46107</x:v>
      </x:c>
      <x:c r="C553" s="31" t="inlineStr">
        <x:is>
          <x:t xml:space="preserve">Выдача в производство</x:t>
        </x:is>
      </x:c>
      <x:c r="D553" s="31" t="inlineStr">
        <x:is>
          <x:t xml:space="preserve">МАТ-0065</x:t>
        </x:is>
      </x:c>
      <x:c r="E553" s="31" t="inlineStr">
        <x:is>
          <x:t xml:space="preserve">Гофра металлическая</x:t>
        </x:is>
      </x:c>
      <x:c r="F553" s="31" t="n">
        <x:v>-14</x:v>
      </x:c>
      <x:c r="G553" s="31" t="inlineStr">
        <x:is>
          <x:t xml:space="preserve">шт</x:t>
        </x:is>
      </x:c>
      <x:c r="H553" s="31" t="inlineStr">
        <x:is>
          <x:t xml:space="preserve">ЗК-1089</x:t>
        </x:is>
      </x:c>
      <x:c r="I553" s="31" t="inlineStr">
        <x:is>
          <x:t xml:space="preserve">ПЗ-00217</x:t>
        </x:is>
      </x:c>
      <x:c r="J553" s="31" t="inlineStr">
        <x:is>
          <x:t xml:space="preserve">Основной склад</x:t>
        </x:is>
      </x:c>
      <x:c r="K553" s="31" t="inlineStr">
        <x:is>
          <x:t xml:space="preserve">СОТР-039</x:t>
        </x:is>
      </x:c>
      <x:c r="L553" s="31" t="inlineStr">
        <x:is>
          <x:t xml:space="preserve">ДОК-5975</x:t>
        </x:is>
      </x:c>
      <x:c r="M553" s="31" t="inlineStr">
        <x:is>
          <x:t xml:space="preserve">Проведен</x:t>
        </x:is>
      </x:c>
    </x:row>
    <x:row r="554">
      <x:c r="A554" s="31" t="inlineStr">
        <x:is>
          <x:t xml:space="preserve">СКЛ-000553</x:t>
        </x:is>
      </x:c>
      <x:c r="B554" s="31" t="n">
        <x:v>46085</x:v>
      </x:c>
      <x:c r="C554" s="31" t="inlineStr">
        <x:is>
          <x:t xml:space="preserve">Выдача в производство</x:t>
        </x:is>
      </x:c>
      <x:c r="D554" s="31" t="inlineStr">
        <x:is>
          <x:t xml:space="preserve">МАТ-0004</x:t>
        </x:is>
      </x:c>
      <x:c r="E554" s="31" t="inlineStr">
        <x:is>
          <x:t xml:space="preserve">Лист стальной 09Г2С 12 мм / исп.3</x:t>
        </x:is>
      </x:c>
      <x:c r="F554" s="31" t="n">
        <x:v>-67.51000000000001</x:v>
      </x:c>
      <x:c r="G554" s="31" t="inlineStr">
        <x:is>
          <x:t xml:space="preserve">л</x:t>
        </x:is>
      </x:c>
      <x:c r="H554" s="31" t="inlineStr">
        <x:is>
          <x:t xml:space="preserve">ЗК-1111</x:t>
        </x:is>
      </x:c>
      <x:c r="I554" s="31" t="inlineStr">
        <x:is>
          <x:t xml:space="preserve">ПЗ-00005</x:t>
        </x:is>
      </x:c>
      <x:c r="J554" s="31" t="inlineStr">
        <x:is>
          <x:t xml:space="preserve">Основной склад</x:t>
        </x:is>
      </x:c>
      <x:c r="K554" s="31" t="inlineStr">
        <x:is>
          <x:t xml:space="preserve">СОТР-034</x:t>
        </x:is>
      </x:c>
      <x:c r="L554" s="31" t="inlineStr">
        <x:is>
          <x:t xml:space="preserve">ДОК-6479</x:t>
        </x:is>
      </x:c>
      <x:c r="M554" s="31" t="inlineStr">
        <x:is>
          <x:t xml:space="preserve">Проведен</x:t>
        </x:is>
      </x:c>
    </x:row>
    <x:row r="555">
      <x:c r="A555" s="31" t="inlineStr">
        <x:is>
          <x:t xml:space="preserve">СКЛ-000554</x:t>
        </x:is>
      </x:c>
      <x:c r="B555" s="31" t="n">
        <x:v>46165</x:v>
      </x:c>
      <x:c r="C555" s="31" t="inlineStr">
        <x:is>
          <x:t xml:space="preserve">Резерв</x:t>
        </x:is>
      </x:c>
      <x:c r="D555" s="31" t="inlineStr">
        <x:is>
          <x:t xml:space="preserve">МАТ-0031</x:t>
        </x:is>
      </x:c>
      <x:c r="E555" s="31" t="inlineStr">
        <x:is>
          <x:t xml:space="preserve">Датчик давления 0-16 бар</x:t>
        </x:is>
      </x:c>
      <x:c r="F555" s="31" t="n">
        <x:v>-14</x:v>
      </x:c>
      <x:c r="G555" s="31" t="inlineStr">
        <x:is>
          <x:t xml:space="preserve">шт</x:t>
        </x:is>
      </x:c>
      <x:c r="H555" s="31" t="inlineStr">
        <x:is>
          <x:t xml:space="preserve">ЗК-1029</x:t>
        </x:is>
      </x:c>
      <x:c r="I555" s="31" t="n"/>
      <x:c r="J555" s="31" t="inlineStr">
        <x:is>
          <x:t xml:space="preserve">Основной склад</x:t>
        </x:is>
      </x:c>
      <x:c r="K555" s="31" t="inlineStr">
        <x:is>
          <x:t xml:space="preserve">СОТР-024</x:t>
        </x:is>
      </x:c>
      <x:c r="L555" s="31" t="inlineStr">
        <x:is>
          <x:t xml:space="preserve">ДОК-5707</x:t>
        </x:is>
      </x:c>
      <x:c r="M555" s="31" t="inlineStr">
        <x:is>
          <x:t xml:space="preserve">Требует проверки</x:t>
        </x:is>
      </x:c>
    </x:row>
    <x:row r="556">
      <x:c r="A556" s="31" t="inlineStr">
        <x:is>
          <x:t xml:space="preserve">СКЛ-000555</x:t>
        </x:is>
      </x:c>
      <x:c r="B556" s="31" t="n">
        <x:v>46169</x:v>
      </x:c>
      <x:c r="C556" s="31" t="inlineStr">
        <x:is>
          <x:t xml:space="preserve">Резерв</x:t>
        </x:is>
      </x:c>
      <x:c r="D556" s="31" t="inlineStr">
        <x:is>
          <x:t xml:space="preserve">МАТ-0011</x:t>
        </x:is>
      </x:c>
      <x:c r="E556" s="31" t="inlineStr">
        <x:is>
          <x:t xml:space="preserve">Фланец Ду50 Ру16 / исп.3</x:t>
        </x:is>
      </x:c>
      <x:c r="F556" s="31" t="n">
        <x:v>-16</x:v>
      </x:c>
      <x:c r="G556" s="31" t="inlineStr">
        <x:is>
          <x:t xml:space="preserve">шт</x:t>
        </x:is>
      </x:c>
      <x:c r="H556" s="31" t="inlineStr">
        <x:is>
          <x:t xml:space="preserve">ЗК-1064</x:t>
        </x:is>
      </x:c>
      <x:c r="I556" s="31" t="n"/>
      <x:c r="J556" s="31" t="inlineStr">
        <x:is>
          <x:t xml:space="preserve">Брак/карантин</x:t>
        </x:is>
      </x:c>
      <x:c r="K556" s="31" t="inlineStr">
        <x:is>
          <x:t xml:space="preserve">СОТР-033</x:t>
        </x:is>
      </x:c>
      <x:c r="L556" s="31" t="inlineStr">
        <x:is>
          <x:t xml:space="preserve">ДОК-4849</x:t>
        </x:is>
      </x:c>
      <x:c r="M556" s="31" t="inlineStr">
        <x:is>
          <x:t xml:space="preserve">Проведен</x:t>
        </x:is>
      </x:c>
    </x:row>
    <x:row r="557">
      <x:c r="A557" s="31" t="inlineStr">
        <x:is>
          <x:t xml:space="preserve">СКЛ-000556</x:t>
        </x:is>
      </x:c>
      <x:c r="B557" s="31" t="n">
        <x:v>46103</x:v>
      </x:c>
      <x:c r="C557" s="31" t="inlineStr">
        <x:is>
          <x:t xml:space="preserve">Приход</x:t>
        </x:is>
      </x:c>
      <x:c r="D557" s="31" t="inlineStr">
        <x:is>
          <x:t xml:space="preserve">МАТ-0057</x:t>
        </x:is>
      </x:c>
      <x:c r="E557" s="31" t="inlineStr">
        <x:is>
          <x:t xml:space="preserve">Задвижка Ду100 / исп.2</x:t>
        </x:is>
      </x:c>
      <x:c r="F557" s="31" t="n">
        <x:v>3</x:v>
      </x:c>
      <x:c r="G557" s="31" t="inlineStr">
        <x:is>
          <x:t xml:space="preserve">шт</x:t>
        </x:is>
      </x:c>
      <x:c r="H557" s="31" t="n"/>
      <x:c r="I557" s="31" t="n"/>
      <x:c r="J557" s="31" t="inlineStr">
        <x:is>
          <x:t xml:space="preserve">Цеховой склад</x:t>
        </x:is>
      </x:c>
      <x:c r="K557" s="31" t="inlineStr">
        <x:is>
          <x:t xml:space="preserve">СОТР-033</x:t>
        </x:is>
      </x:c>
      <x:c r="L557" s="31" t="inlineStr">
        <x:is>
          <x:t xml:space="preserve">ДОК-8831</x:t>
        </x:is>
      </x:c>
      <x:c r="M557" s="31" t="inlineStr">
        <x:is>
          <x:t xml:space="preserve">Проведен</x:t>
        </x:is>
      </x:c>
    </x:row>
    <x:row r="558">
      <x:c r="A558" s="31" t="inlineStr">
        <x:is>
          <x:t xml:space="preserve">СКЛ-000557</x:t>
        </x:is>
      </x:c>
      <x:c r="B558" s="31" t="n">
        <x:v>46154</x:v>
      </x:c>
      <x:c r="C558" s="31" t="inlineStr">
        <x:is>
          <x:t xml:space="preserve">Корректировка</x:t>
        </x:is>
      </x:c>
      <x:c r="D558" s="31" t="inlineStr">
        <x:is>
          <x:t xml:space="preserve">МАТ-0050</x:t>
        </x:is>
      </x:c>
      <x:c r="E558" s="31" t="inlineStr">
        <x:is>
          <x:t xml:space="preserve">панель оператора 7"</x:t>
        </x:is>
      </x:c>
      <x:c r="F558" s="31" t="n">
        <x:v>9</x:v>
      </x:c>
      <x:c r="G558" s="31" t="inlineStr">
        <x:is>
          <x:t xml:space="preserve">шт</x:t>
        </x:is>
      </x:c>
      <x:c r="H558" s="31" t="n"/>
      <x:c r="I558" s="31" t="n"/>
      <x:c r="J558" s="31" t="inlineStr">
        <x:is>
          <x:t xml:space="preserve">Основной склад</x:t>
        </x:is>
      </x:c>
      <x:c r="K558" s="31" t="inlineStr">
        <x:is>
          <x:t xml:space="preserve">СОТР-036</x:t>
        </x:is>
      </x:c>
      <x:c r="L558" s="31" t="inlineStr">
        <x:is>
          <x:t xml:space="preserve">ДОК-5129</x:t>
        </x:is>
      </x:c>
      <x:c r="M558" s="31" t="inlineStr">
        <x:is>
          <x:t xml:space="preserve">Проведен</x:t>
        </x:is>
      </x:c>
    </x:row>
    <x:row r="559">
      <x:c r="A559" s="31" t="inlineStr">
        <x:is>
          <x:t xml:space="preserve">СКЛ-000558</x:t>
        </x:is>
      </x:c>
      <x:c r="B559" s="31" t="n">
        <x:v>46146</x:v>
      </x:c>
      <x:c r="C559" s="31" t="inlineStr">
        <x:is>
          <x:t xml:space="preserve">Резерв</x:t>
        </x:is>
      </x:c>
      <x:c r="D559" s="31" t="inlineStr">
        <x:is>
          <x:t xml:space="preserve">МАТ-0015</x:t>
        </x:is>
      </x:c>
      <x:c r="E559" s="31" t="inlineStr">
        <x:is>
          <x:t xml:space="preserve">Насос центробежный 15 кВт</x:t>
        </x:is>
      </x:c>
      <x:c r="F559" s="31" t="n">
        <x:v>-6</x:v>
      </x:c>
      <x:c r="G559" s="31" t="inlineStr">
        <x:is>
          <x:t xml:space="preserve">шт</x:t>
        </x:is>
      </x:c>
      <x:c r="H559" s="31" t="inlineStr">
        <x:is>
          <x:t xml:space="preserve">ЗК-1106</x:t>
        </x:is>
      </x:c>
      <x:c r="I559" s="31" t="n"/>
      <x:c r="J559" s="31" t="inlineStr">
        <x:is>
          <x:t xml:space="preserve">Основной склад</x:t>
        </x:is>
      </x:c>
      <x:c r="K559" s="31" t="inlineStr">
        <x:is>
          <x:t xml:space="preserve">СОТР-024</x:t>
        </x:is>
      </x:c>
      <x:c r="L559" s="31" t="inlineStr">
        <x:is>
          <x:t xml:space="preserve">ДОК-6764</x:t>
        </x:is>
      </x:c>
      <x:c r="M559" s="31" t="inlineStr">
        <x:is>
          <x:t xml:space="preserve">Проведен</x:t>
        </x:is>
      </x:c>
    </x:row>
    <x:row r="560">
      <x:c r="A560" s="31" t="inlineStr">
        <x:is>
          <x:t xml:space="preserve">СКЛ-000559</x:t>
        </x:is>
      </x:c>
      <x:c r="B560" s="31" t="n">
        <x:v>46039</x:v>
      </x:c>
      <x:c r="C560" s="31" t="inlineStr">
        <x:is>
          <x:t xml:space="preserve">Резерв</x:t>
        </x:is>
      </x:c>
      <x:c r="D560" s="31" t="inlineStr">
        <x:is>
          <x:t xml:space="preserve">МАТ-0079</x:t>
        </x:is>
      </x:c>
      <x:c r="E560" s="31" t="inlineStr">
        <x:is>
          <x:t xml:space="preserve">Гайка М12 / исп.2</x:t>
        </x:is>
      </x:c>
      <x:c r="F560" s="31" t="n">
        <x:v>-5</x:v>
      </x:c>
      <x:c r="G560" s="31" t="inlineStr">
        <x:is>
          <x:t xml:space="preserve">шт</x:t>
        </x:is>
      </x:c>
      <x:c r="H560" s="31" t="inlineStr">
        <x:is>
          <x:t xml:space="preserve">ЗК-1090</x:t>
        </x:is>
      </x:c>
      <x:c r="I560" s="31" t="n"/>
      <x:c r="J560" s="31" t="inlineStr">
        <x:is>
          <x:t xml:space="preserve">Основной склад</x:t>
        </x:is>
      </x:c>
      <x:c r="K560" s="31" t="inlineStr">
        <x:is>
          <x:t xml:space="preserve">СОТР-024</x:t>
        </x:is>
      </x:c>
      <x:c r="L560" s="31" t="inlineStr">
        <x:is>
          <x:t xml:space="preserve">ДОК-8217</x:t>
        </x:is>
      </x:c>
      <x:c r="M560" s="31" t="inlineStr">
        <x:is>
          <x:t xml:space="preserve">Проведен</x:t>
        </x:is>
      </x:c>
    </x:row>
    <x:row r="561">
      <x:c r="A561" s="31" t="inlineStr">
        <x:is>
          <x:t xml:space="preserve">СКЛ-000560</x:t>
        </x:is>
      </x:c>
      <x:c r="B561" s="31" t="n">
        <x:v>46116</x:v>
      </x:c>
      <x:c r="C561" s="31" t="inlineStr">
        <x:is>
          <x:t xml:space="preserve">Резерв</x:t>
        </x:is>
      </x:c>
      <x:c r="D561" s="31" t="inlineStr">
        <x:is>
          <x:t xml:space="preserve">МАТ-0052</x:t>
        </x:is>
      </x:c>
      <x:c r="E561" s="31" t="inlineStr">
        <x:is>
          <x:t xml:space="preserve">Кран шаровой Ду50 / исп.2</x:t>
        </x:is>
      </x:c>
      <x:c r="F561" s="31" t="n">
        <x:v>-4</x:v>
      </x:c>
      <x:c r="G561" s="31" t="inlineStr">
        <x:is>
          <x:t xml:space="preserve">шт</x:t>
        </x:is>
      </x:c>
      <x:c r="H561" s="31" t="inlineStr">
        <x:is>
          <x:t xml:space="preserve">ЗК-1004</x:t>
        </x:is>
      </x:c>
      <x:c r="I561" s="31" t="n"/>
      <x:c r="J561" s="31" t="inlineStr">
        <x:is>
          <x:t xml:space="preserve">Основной склад</x:t>
        </x:is>
      </x:c>
      <x:c r="K561" s="31" t="inlineStr">
        <x:is>
          <x:t xml:space="preserve">СОТР-036</x:t>
        </x:is>
      </x:c>
      <x:c r="L561" s="31" t="inlineStr">
        <x:is>
          <x:t xml:space="preserve">ДОК-7656</x:t>
        </x:is>
      </x:c>
      <x:c r="M561" s="31" t="inlineStr">
        <x:is>
          <x:t xml:space="preserve">Требует проверки</x:t>
        </x:is>
      </x:c>
    </x:row>
    <x:row r="562">
      <x:c r="A562" s="31" t="inlineStr">
        <x:is>
          <x:t xml:space="preserve">СКЛ-000561</x:t>
        </x:is>
      </x:c>
      <x:c r="B562" s="31" t="n">
        <x:v>46155</x:v>
      </x:c>
      <x:c r="C562" s="31" t="inlineStr">
        <x:is>
          <x:t xml:space="preserve">Приход</x:t>
        </x:is>
      </x:c>
      <x:c r="D562" s="31" t="inlineStr">
        <x:is>
          <x:t xml:space="preserve">МАТ-0018</x:t>
        </x:is>
      </x:c>
      <x:c r="E562" s="31" t="inlineStr">
        <x:is>
          <x:t xml:space="preserve">Насос шестеренный 7.5 кВт / исп.2</x:t>
        </x:is>
      </x:c>
      <x:c r="F562" s="31" t="n">
        <x:v>20</x:v>
      </x:c>
      <x:c r="G562" s="31" t="inlineStr">
        <x:is>
          <x:t xml:space="preserve">шт</x:t>
        </x:is>
      </x:c>
      <x:c r="H562" s="31" t="n"/>
      <x:c r="I562" s="31" t="n"/>
      <x:c r="J562" s="31" t="inlineStr">
        <x:is>
          <x:t xml:space="preserve">Основной склад</x:t>
        </x:is>
      </x:c>
      <x:c r="K562" s="31" t="inlineStr">
        <x:is>
          <x:t xml:space="preserve">СОТР-037</x:t>
        </x:is>
      </x:c>
      <x:c r="L562" s="31" t="inlineStr">
        <x:is>
          <x:t xml:space="preserve">ДОК-8003</x:t>
        </x:is>
      </x:c>
      <x:c r="M562" s="31" t="inlineStr">
        <x:is>
          <x:t xml:space="preserve">Проведен</x:t>
        </x:is>
      </x:c>
    </x:row>
    <x:row r="563">
      <x:c r="A563" s="31" t="inlineStr">
        <x:is>
          <x:t xml:space="preserve">СКЛ-000562</x:t>
        </x:is>
      </x:c>
      <x:c r="B563" s="31" t="n">
        <x:v>46069</x:v>
      </x:c>
      <x:c r="C563" s="31" t="inlineStr">
        <x:is>
          <x:t xml:space="preserve">Резерв</x:t>
        </x:is>
      </x:c>
      <x:c r="D563" s="31" t="inlineStr">
        <x:is>
          <x:t xml:space="preserve">МАТ-0017</x:t>
        </x:is>
      </x:c>
      <x:c r="E563" s="31" t="inlineStr">
        <x:is>
          <x:t xml:space="preserve">Насос шестеренный 7.5 кВт</x:t>
        </x:is>
      </x:c>
      <x:c r="F563" s="31" t="n">
        <x:v>-10</x:v>
      </x:c>
      <x:c r="G563" s="31" t="inlineStr">
        <x:is>
          <x:t xml:space="preserve">шт</x:t>
        </x:is>
      </x:c>
      <x:c r="H563" s="31" t="inlineStr">
        <x:is>
          <x:t xml:space="preserve">ЗК-1068</x:t>
        </x:is>
      </x:c>
      <x:c r="I563" s="31" t="n"/>
      <x:c r="J563" s="31" t="inlineStr">
        <x:is>
          <x:t xml:space="preserve">Основной склад</x:t>
        </x:is>
      </x:c>
      <x:c r="K563" s="31" t="inlineStr">
        <x:is>
          <x:t xml:space="preserve">СОТР-038</x:t>
        </x:is>
      </x:c>
      <x:c r="L563" s="31" t="inlineStr">
        <x:is>
          <x:t xml:space="preserve">ДОК-7584</x:t>
        </x:is>
      </x:c>
      <x:c r="M563" s="31" t="inlineStr">
        <x:is>
          <x:t xml:space="preserve">Проведен</x:t>
        </x:is>
      </x:c>
    </x:row>
    <x:row r="564">
      <x:c r="A564" s="31" t="inlineStr">
        <x:is>
          <x:t xml:space="preserve">СКЛ-000563</x:t>
        </x:is>
      </x:c>
      <x:c r="B564" s="31" t="n">
        <x:v>46045</x:v>
      </x:c>
      <x:c r="C564" s="31" t="inlineStr">
        <x:is>
          <x:t xml:space="preserve">Приход</x:t>
        </x:is>
      </x:c>
      <x:c r="D564" s="31" t="inlineStr">
        <x:is>
          <x:t xml:space="preserve">МАТ-0079</x:t>
        </x:is>
      </x:c>
      <x:c r="E564" s="31" t="inlineStr">
        <x:is>
          <x:t xml:space="preserve">Гайка М12 / исп.2</x:t>
        </x:is>
      </x:c>
      <x:c r="F564" s="31" t="n">
        <x:v>20</x:v>
      </x:c>
      <x:c r="G564" s="31" t="inlineStr">
        <x:is>
          <x:t xml:space="preserve">шт</x:t>
        </x:is>
      </x:c>
      <x:c r="H564" s="31" t="n"/>
      <x:c r="I564" s="31" t="n"/>
      <x:c r="J564" s="31" t="inlineStr">
        <x:is>
          <x:t xml:space="preserve">Брак/карантин</x:t>
        </x:is>
      </x:c>
      <x:c r="K564" s="31" t="inlineStr">
        <x:is>
          <x:t xml:space="preserve">СОТР-034</x:t>
        </x:is>
      </x:c>
      <x:c r="L564" s="31" t="inlineStr">
        <x:is>
          <x:t xml:space="preserve">ДОК-3216</x:t>
        </x:is>
      </x:c>
      <x:c r="M564" s="31" t="inlineStr">
        <x:is>
          <x:t xml:space="preserve">Требует проверки</x:t>
        </x:is>
      </x:c>
    </x:row>
    <x:row r="565">
      <x:c r="A565" s="31" t="inlineStr">
        <x:is>
          <x:t xml:space="preserve">СКЛ-000564</x:t>
        </x:is>
      </x:c>
      <x:c r="B565" s="31" t="n">
        <x:v>46141</x:v>
      </x:c>
      <x:c r="C565" s="31" t="inlineStr">
        <x:is>
          <x:t xml:space="preserve">Резерв</x:t>
        </x:is>
      </x:c>
      <x:c r="D565" s="31" t="inlineStr">
        <x:is>
          <x:t xml:space="preserve">МАТ-0054</x:t>
        </x:is>
      </x:c>
      <x:c r="E565" s="31" t="inlineStr">
        <x:is>
          <x:t xml:space="preserve">Кран шаровой Ду80</x:t>
        </x:is>
      </x:c>
      <x:c r="F565" s="31" t="n">
        <x:v>-2</x:v>
      </x:c>
      <x:c r="G565" s="31" t="inlineStr">
        <x:is>
          <x:t xml:space="preserve">шт</x:t>
        </x:is>
      </x:c>
      <x:c r="H565" s="31" t="inlineStr">
        <x:is>
          <x:t xml:space="preserve">ЗК-1054</x:t>
        </x:is>
      </x:c>
      <x:c r="I565" s="31" t="n"/>
      <x:c r="J565" s="31" t="inlineStr">
        <x:is>
          <x:t xml:space="preserve">Основной склад</x:t>
        </x:is>
      </x:c>
      <x:c r="K565" s="31" t="inlineStr">
        <x:is>
          <x:t xml:space="preserve">СОТР-033</x:t>
        </x:is>
      </x:c>
      <x:c r="L565" s="31" t="inlineStr">
        <x:is>
          <x:t xml:space="preserve">ДОК-6151</x:t>
        </x:is>
      </x:c>
      <x:c r="M565" s="31" t="inlineStr">
        <x:is>
          <x:t xml:space="preserve">Требует проверки</x:t>
        </x:is>
      </x:c>
    </x:row>
    <x:row r="566">
      <x:c r="A566" s="31" t="inlineStr">
        <x:is>
          <x:t xml:space="preserve">СКЛ-000565</x:t>
        </x:is>
      </x:c>
      <x:c r="B566" s="31" t="n">
        <x:v>46072</x:v>
      </x:c>
      <x:c r="C566" s="31" t="inlineStr">
        <x:is>
          <x:t xml:space="preserve">Приход</x:t>
        </x:is>
      </x:c>
      <x:c r="D566" s="31" t="inlineStr">
        <x:is>
          <x:t xml:space="preserve">МАТ-0034</x:t>
        </x:is>
      </x:c>
      <x:c r="E566" s="31" t="inlineStr">
        <x:is>
          <x:t xml:space="preserve">Манометр виброустойчивый</x:t>
        </x:is>
      </x:c>
      <x:c r="F566" s="31" t="n">
        <x:v>17</x:v>
      </x:c>
      <x:c r="G566" s="31" t="inlineStr">
        <x:is>
          <x:t xml:space="preserve">шт</x:t>
        </x:is>
      </x:c>
      <x:c r="H566" s="31" t="n"/>
      <x:c r="I566" s="31" t="n"/>
      <x:c r="J566" s="31" t="inlineStr">
        <x:is>
          <x:t xml:space="preserve">Основной склад</x:t>
        </x:is>
      </x:c>
      <x:c r="K566" s="31" t="inlineStr">
        <x:is>
          <x:t xml:space="preserve">СОТР-035</x:t>
        </x:is>
      </x:c>
      <x:c r="L566" s="31" t="inlineStr">
        <x:is>
          <x:t xml:space="preserve">ДОК-7670</x:t>
        </x:is>
      </x:c>
      <x:c r="M566" s="31" t="inlineStr">
        <x:is>
          <x:t xml:space="preserve">Проведен</x:t>
        </x:is>
      </x:c>
    </x:row>
    <x:row r="567">
      <x:c r="A567" s="31" t="inlineStr">
        <x:is>
          <x:t xml:space="preserve">СКЛ-000566</x:t>
        </x:is>
      </x:c>
      <x:c r="B567" s="31" t="n">
        <x:v>46065</x:v>
      </x:c>
      <x:c r="C567" s="31" t="inlineStr">
        <x:is>
          <x:t xml:space="preserve">Приход</x:t>
        </x:is>
      </x:c>
      <x:c r="D567" s="31" t="inlineStr">
        <x:is>
          <x:t xml:space="preserve">МАТ-0068</x:t>
        </x:is>
      </x:c>
      <x:c r="E567" s="31" t="inlineStr">
        <x:is>
          <x:t xml:space="preserve">Грунт эпоксидный</x:t>
        </x:is>
      </x:c>
      <x:c r="F567" s="31" t="n">
        <x:v>19.69</x:v>
      </x:c>
      <x:c r="G567" s="31" t="inlineStr">
        <x:is>
          <x:t xml:space="preserve">л</x:t>
        </x:is>
      </x:c>
      <x:c r="H567" s="31" t="n"/>
      <x:c r="I567" s="31" t="n"/>
      <x:c r="J567" s="31" t="inlineStr">
        <x:is>
          <x:t xml:space="preserve">Цеховой склад</x:t>
        </x:is>
      </x:c>
      <x:c r="K567" s="31" t="inlineStr">
        <x:is>
          <x:t xml:space="preserve">СОТР-038</x:t>
        </x:is>
      </x:c>
      <x:c r="L567" s="31" t="inlineStr">
        <x:is>
          <x:t xml:space="preserve">ДОК-3258</x:t>
        </x:is>
      </x:c>
      <x:c r="M567" s="31" t="inlineStr">
        <x:is>
          <x:t xml:space="preserve">Проведен</x:t>
        </x:is>
      </x:c>
    </x:row>
    <x:row r="568">
      <x:c r="A568" s="31" t="inlineStr">
        <x:is>
          <x:t xml:space="preserve">СКЛ-000567</x:t>
        </x:is>
      </x:c>
      <x:c r="B568" s="31" t="n">
        <x:v>46197</x:v>
      </x:c>
      <x:c r="C568" s="31" t="inlineStr">
        <x:is>
          <x:t xml:space="preserve">Списание</x:t>
        </x:is>
      </x:c>
      <x:c r="D568" s="31" t="inlineStr">
        <x:is>
          <x:t xml:space="preserve">МАТ-0083</x:t>
        </x:is>
      </x:c>
      <x:c r="E568" s="31" t="inlineStr">
        <x:is>
          <x:t xml:space="preserve">Анкер М16</x:t>
        </x:is>
      </x:c>
      <x:c r="F568" s="31" t="n">
        <x:v>-14</x:v>
      </x:c>
      <x:c r="G568" s="31" t="inlineStr">
        <x:is>
          <x:t xml:space="preserve">шт</x:t>
        </x:is>
      </x:c>
      <x:c r="H568" s="31" t="n"/>
      <x:c r="I568" s="31" t="n"/>
      <x:c r="J568" s="31" t="inlineStr">
        <x:is>
          <x:t xml:space="preserve">Основной склад</x:t>
        </x:is>
      </x:c>
      <x:c r="K568" s="31" t="inlineStr">
        <x:is>
          <x:t xml:space="preserve">СОТР-038</x:t>
        </x:is>
      </x:c>
      <x:c r="L568" s="31" t="inlineStr">
        <x:is>
          <x:t xml:space="preserve">ДОК-4059</x:t>
        </x:is>
      </x:c>
      <x:c r="M568" s="31" t="inlineStr">
        <x:is>
          <x:t xml:space="preserve">Проведен</x:t>
        </x:is>
      </x:c>
    </x:row>
    <x:row r="569">
      <x:c r="A569" s="31" t="inlineStr">
        <x:is>
          <x:t xml:space="preserve">СКЛ-000568</x:t>
        </x:is>
      </x:c>
      <x:c r="B569" s="31" t="n">
        <x:v>46089</x:v>
      </x:c>
      <x:c r="C569" s="31" t="inlineStr">
        <x:is>
          <x:t xml:space="preserve">Корректировка</x:t>
        </x:is>
      </x:c>
      <x:c r="D569" s="31" t="inlineStr">
        <x:is>
          <x:t xml:space="preserve">МАТ-0056</x:t>
        </x:is>
      </x:c>
      <x:c r="E569" s="31" t="inlineStr">
        <x:is>
          <x:t xml:space="preserve">Задвижка Ду100</x:t>
        </x:is>
      </x:c>
      <x:c r="F569" s="31" t="n">
        <x:v>2</x:v>
      </x:c>
      <x:c r="G569" s="31" t="inlineStr">
        <x:is>
          <x:t xml:space="preserve">шт</x:t>
        </x:is>
      </x:c>
      <x:c r="H569" s="31" t="n"/>
      <x:c r="I569" s="31" t="n"/>
      <x:c r="J569" s="31" t="inlineStr">
        <x:is>
          <x:t xml:space="preserve">Основной склад</x:t>
        </x:is>
      </x:c>
      <x:c r="K569" s="31" t="inlineStr">
        <x:is>
          <x:t xml:space="preserve">СОТР-037</x:t>
        </x:is>
      </x:c>
      <x:c r="L569" s="31" t="inlineStr">
        <x:is>
          <x:t xml:space="preserve">ДОК-9146</x:t>
        </x:is>
      </x:c>
      <x:c r="M569" s="31" t="inlineStr">
        <x:is>
          <x:t xml:space="preserve">Проведен</x:t>
        </x:is>
      </x:c>
    </x:row>
    <x:row r="570">
      <x:c r="A570" s="31" t="inlineStr">
        <x:is>
          <x:t xml:space="preserve">СКЛ-000569</x:t>
        </x:is>
      </x:c>
      <x:c r="B570" s="31" t="n">
        <x:v>46082</x:v>
      </x:c>
      <x:c r="C570" s="31" t="inlineStr">
        <x:is>
          <x:t xml:space="preserve">Приход</x:t>
        </x:is>
      </x:c>
      <x:c r="D570" s="31" t="inlineStr">
        <x:is>
          <x:t xml:space="preserve">МАТ-0071</x:t>
        </x:is>
      </x:c>
      <x:c r="E570" s="31" t="inlineStr">
        <x:is>
          <x:t xml:space="preserve">Эмаль полиуретановая / исп.3</x:t>
        </x:is>
      </x:c>
      <x:c r="F570" s="31" t="n">
        <x:v>73.2</x:v>
      </x:c>
      <x:c r="G570" s="31" t="inlineStr">
        <x:is>
          <x:t xml:space="preserve">кг</x:t>
        </x:is>
      </x:c>
      <x:c r="H570" s="31" t="n"/>
      <x:c r="I570" s="31" t="n"/>
      <x:c r="J570" s="31" t="inlineStr">
        <x:is>
          <x:t xml:space="preserve">Основной склад</x:t>
        </x:is>
      </x:c>
      <x:c r="K570" s="31" t="inlineStr">
        <x:is>
          <x:t xml:space="preserve">СОТР-033</x:t>
        </x:is>
      </x:c>
      <x:c r="L570" s="31" t="inlineStr">
        <x:is>
          <x:t xml:space="preserve">ДОК-6003</x:t>
        </x:is>
      </x:c>
      <x:c r="M570" s="31" t="inlineStr">
        <x:is>
          <x:t xml:space="preserve">Проведен</x:t>
        </x:is>
      </x:c>
    </x:row>
    <x:row r="571">
      <x:c r="A571" s="31" t="inlineStr">
        <x:is>
          <x:t xml:space="preserve">СКЛ-000570</x:t>
        </x:is>
      </x:c>
      <x:c r="B571" s="31" t="n">
        <x:v>46154</x:v>
      </x:c>
      <x:c r="C571" s="31" t="inlineStr">
        <x:is>
          <x:t xml:space="preserve">Приход</x:t>
        </x:is>
      </x:c>
      <x:c r="D571" s="31" t="inlineStr">
        <x:is>
          <x:t xml:space="preserve">МАТ-0075</x:t>
        </x:is>
      </x:c>
      <x:c r="E571" s="31" t="inlineStr">
        <x:is>
          <x:t xml:space="preserve">Болт М12</x:t>
        </x:is>
      </x:c>
      <x:c r="F571" s="31" t="n">
        <x:v>5</x:v>
      </x:c>
      <x:c r="G571" s="31" t="inlineStr">
        <x:is>
          <x:t xml:space="preserve">шт</x:t>
        </x:is>
      </x:c>
      <x:c r="H571" s="31" t="n"/>
      <x:c r="I571" s="31" t="n"/>
      <x:c r="J571" s="31" t="inlineStr">
        <x:is>
          <x:t xml:space="preserve">Основной склад</x:t>
        </x:is>
      </x:c>
      <x:c r="K571" s="31" t="inlineStr">
        <x:is>
          <x:t xml:space="preserve">СОТР-037</x:t>
        </x:is>
      </x:c>
      <x:c r="L571" s="31" t="inlineStr">
        <x:is>
          <x:t xml:space="preserve">ДОК-1066</x:t>
        </x:is>
      </x:c>
      <x:c r="M571" s="31" t="inlineStr">
        <x:is>
          <x:t xml:space="preserve">Проведен</x:t>
        </x:is>
      </x:c>
    </x:row>
    <x:row r="572">
      <x:c r="A572" s="31" t="inlineStr">
        <x:is>
          <x:t xml:space="preserve">СКЛ-000571</x:t>
        </x:is>
      </x:c>
      <x:c r="B572" s="31" t="n">
        <x:v>46140</x:v>
      </x:c>
      <x:c r="C572" s="31" t="inlineStr">
        <x:is>
          <x:t xml:space="preserve">Приход</x:t>
        </x:is>
      </x:c>
      <x:c r="D572" s="31" t="inlineStr">
        <x:is>
          <x:t xml:space="preserve">МАТ-0005</x:t>
        </x:is>
      </x:c>
      <x:c r="E572" s="31" t="inlineStr">
        <x:is>
          <x:t xml:space="preserve">Труба бесшовная 57×4</x:t>
        </x:is>
      </x:c>
      <x:c r="F572" s="31" t="n">
        <x:v>7.09</x:v>
      </x:c>
      <x:c r="G572" s="31" t="inlineStr">
        <x:is>
          <x:t xml:space="preserve">м</x:t>
        </x:is>
      </x:c>
      <x:c r="H572" s="31" t="n"/>
      <x:c r="I572" s="31" t="n"/>
      <x:c r="J572" s="31" t="inlineStr">
        <x:is>
          <x:t xml:space="preserve">Основной склад</x:t>
        </x:is>
      </x:c>
      <x:c r="K572" s="31" t="inlineStr">
        <x:is>
          <x:t xml:space="preserve">СОТР-036</x:t>
        </x:is>
      </x:c>
      <x:c r="L572" s="31" t="inlineStr">
        <x:is>
          <x:t xml:space="preserve">ДОК-7395</x:t>
        </x:is>
      </x:c>
      <x:c r="M572" s="31" t="inlineStr">
        <x:is>
          <x:t xml:space="preserve">Проведен</x:t>
        </x:is>
      </x:c>
    </x:row>
    <x:row r="573">
      <x:c r="A573" s="31" t="inlineStr">
        <x:is>
          <x:t xml:space="preserve">СКЛ-000572</x:t>
        </x:is>
      </x:c>
      <x:c r="B573" s="31" t="n">
        <x:v>46040</x:v>
      </x:c>
      <x:c r="C573" s="31" t="inlineStr">
        <x:is>
          <x:t xml:space="preserve">Выдача в производство</x:t>
        </x:is>
      </x:c>
      <x:c r="D573" s="31" t="inlineStr">
        <x:is>
          <x:t xml:space="preserve">МАТ-0005</x:t>
        </x:is>
      </x:c>
      <x:c r="E573" s="31" t="inlineStr">
        <x:is>
          <x:t xml:space="preserve">Труба бесшовная 57×4</x:t>
        </x:is>
      </x:c>
      <x:c r="F573" s="31" t="n">
        <x:v>-23.49</x:v>
      </x:c>
      <x:c r="G573" s="31" t="inlineStr">
        <x:is>
          <x:t xml:space="preserve">м</x:t>
        </x:is>
      </x:c>
      <x:c r="H573" s="31" t="inlineStr">
        <x:is>
          <x:t xml:space="preserve">ЗК-1090</x:t>
        </x:is>
      </x:c>
      <x:c r="I573" s="31" t="inlineStr">
        <x:is>
          <x:t xml:space="preserve">ПЗ-00039</x:t>
        </x:is>
      </x:c>
      <x:c r="J573" s="31" t="inlineStr">
        <x:is>
          <x:t xml:space="preserve">Основной склад</x:t>
        </x:is>
      </x:c>
      <x:c r="K573" s="31" t="inlineStr">
        <x:is>
          <x:t xml:space="preserve">СОТР-033</x:t>
        </x:is>
      </x:c>
      <x:c r="L573" s="31" t="inlineStr">
        <x:is>
          <x:t xml:space="preserve">ДОК-1104</x:t>
        </x:is>
      </x:c>
      <x:c r="M573" s="31" t="inlineStr">
        <x:is>
          <x:t xml:space="preserve">Проведен</x:t>
        </x:is>
      </x:c>
    </x:row>
    <x:row r="574">
      <x:c r="A574" s="31" t="inlineStr">
        <x:is>
          <x:t xml:space="preserve">СКЛ-000573</x:t>
        </x:is>
      </x:c>
      <x:c r="B574" s="31" t="n">
        <x:v>46113</x:v>
      </x:c>
      <x:c r="C574" s="31" t="inlineStr">
        <x:is>
          <x:t xml:space="preserve">Резерв</x:t>
        </x:is>
      </x:c>
      <x:c r="D574" s="31" t="inlineStr">
        <x:is>
          <x:t xml:space="preserve">МАТ-0014</x:t>
        </x:is>
      </x:c>
      <x:c r="E574" s="31" t="inlineStr">
        <x:is>
          <x:t xml:space="preserve">Уголок 50×5 / исп.2</x:t>
        </x:is>
      </x:c>
      <x:c r="F574" s="31" t="n">
        <x:v>-19</x:v>
      </x:c>
      <x:c r="G574" s="31" t="inlineStr">
        <x:is>
          <x:t xml:space="preserve">шт</x:t>
        </x:is>
      </x:c>
      <x:c r="H574" s="31" t="inlineStr">
        <x:is>
          <x:t xml:space="preserve">ЗК-1071</x:t>
        </x:is>
      </x:c>
      <x:c r="I574" s="31" t="n"/>
      <x:c r="J574" s="31" t="inlineStr">
        <x:is>
          <x:t xml:space="preserve">Основной склад</x:t>
        </x:is>
      </x:c>
      <x:c r="K574" s="31" t="inlineStr">
        <x:is>
          <x:t xml:space="preserve">СОТР-036</x:t>
        </x:is>
      </x:c>
      <x:c r="L574" s="31" t="inlineStr">
        <x:is>
          <x:t xml:space="preserve">ДОК-5073</x:t>
        </x:is>
      </x:c>
      <x:c r="M574" s="31" t="inlineStr">
        <x:is>
          <x:t xml:space="preserve">Проведен</x:t>
        </x:is>
      </x:c>
    </x:row>
    <x:row r="575">
      <x:c r="A575" s="31" t="inlineStr">
        <x:is>
          <x:t xml:space="preserve">СКЛ-000574</x:t>
        </x:is>
      </x:c>
      <x:c r="B575" s="31" t="n">
        <x:v>46133</x:v>
      </x:c>
      <x:c r="C575" s="31" t="inlineStr">
        <x:is>
          <x:t xml:space="preserve">Резерв</x:t>
        </x:is>
      </x:c>
      <x:c r="D575" s="31" t="inlineStr">
        <x:is>
          <x:t xml:space="preserve">МАТ-0013</x:t>
        </x:is>
      </x:c>
      <x:c r="E575" s="31" t="inlineStr">
        <x:is>
          <x:t xml:space="preserve">Уголок 50×5</x:t>
        </x:is>
      </x:c>
      <x:c r="F575" s="31" t="n">
        <x:v>-69.67</x:v>
      </x:c>
      <x:c r="G575" s="31" t="inlineStr">
        <x:is>
          <x:t xml:space="preserve">кг</x:t>
        </x:is>
      </x:c>
      <x:c r="H575" s="31" t="inlineStr">
        <x:is>
          <x:t xml:space="preserve">ЗК-1103</x:t>
        </x:is>
      </x:c>
      <x:c r="I575" s="31" t="n"/>
      <x:c r="J575" s="31" t="inlineStr">
        <x:is>
          <x:t xml:space="preserve">Основной склад</x:t>
        </x:is>
      </x:c>
      <x:c r="K575" s="31" t="inlineStr">
        <x:is>
          <x:t xml:space="preserve">СОТР-039</x:t>
        </x:is>
      </x:c>
      <x:c r="L575" s="31" t="inlineStr">
        <x:is>
          <x:t xml:space="preserve">ДОК-5884</x:t>
        </x:is>
      </x:c>
      <x:c r="M575" s="31" t="inlineStr">
        <x:is>
          <x:t xml:space="preserve">Проведен</x:t>
        </x:is>
      </x:c>
    </x:row>
    <x:row r="576">
      <x:c r="A576" s="31" t="inlineStr">
        <x:is>
          <x:t xml:space="preserve">СКЛ-000575</x:t>
        </x:is>
      </x:c>
      <x:c r="B576" s="31" t="n">
        <x:v>46064</x:v>
      </x:c>
      <x:c r="C576" s="31" t="inlineStr">
        <x:is>
          <x:t xml:space="preserve">Выдача в производство</x:t>
        </x:is>
      </x:c>
      <x:c r="D576" s="31" t="inlineStr">
        <x:is>
          <x:t xml:space="preserve">МАТ-0084</x:t>
        </x:is>
      </x:c>
      <x:c r="E576" s="31" t="inlineStr">
        <x:is>
          <x:t xml:space="preserve">Поддон 1200×800</x:t>
        </x:is>
      </x:c>
      <x:c r="F576" s="31" t="n">
        <x:v>-6</x:v>
      </x:c>
      <x:c r="G576" s="31" t="inlineStr">
        <x:is>
          <x:t xml:space="preserve">шт</x:t>
        </x:is>
      </x:c>
      <x:c r="H576" s="31" t="inlineStr">
        <x:is>
          <x:t xml:space="preserve">ЗК-1002</x:t>
        </x:is>
      </x:c>
      <x:c r="I576" s="31" t="inlineStr">
        <x:is>
          <x:t xml:space="preserve">ПЗ-00162</x:t>
        </x:is>
      </x:c>
      <x:c r="J576" s="31" t="inlineStr">
        <x:is>
          <x:t xml:space="preserve">Основной склад</x:t>
        </x:is>
      </x:c>
      <x:c r="K576" s="31" t="inlineStr">
        <x:is>
          <x:t xml:space="preserve">СОТР-039</x:t>
        </x:is>
      </x:c>
      <x:c r="L576" s="31" t="inlineStr">
        <x:is>
          <x:t xml:space="preserve">ДОК-4235</x:t>
        </x:is>
      </x:c>
      <x:c r="M576" s="31" t="inlineStr">
        <x:is>
          <x:t xml:space="preserve">Проведен</x:t>
        </x:is>
      </x:c>
    </x:row>
    <x:row r="577">
      <x:c r="A577" s="31" t="inlineStr">
        <x:is>
          <x:t xml:space="preserve">СКЛ-000576</x:t>
        </x:is>
      </x:c>
      <x:c r="B577" s="31" t="n">
        <x:v>46132</x:v>
      </x:c>
      <x:c r="C577" s="31" t="inlineStr">
        <x:is>
          <x:t xml:space="preserve">Приход</x:t>
        </x:is>
      </x:c>
      <x:c r="D577" s="31" t="inlineStr">
        <x:is>
          <x:t xml:space="preserve">МАТ-0026</x:t>
        </x:is>
      </x:c>
      <x:c r="E577" s="31" t="inlineStr">
        <x:is>
          <x:t xml:space="preserve">Двигатель 15 кВт</x:t>
        </x:is>
      </x:c>
      <x:c r="F577" s="31" t="n">
        <x:v>14</x:v>
      </x:c>
      <x:c r="G577" s="31" t="inlineStr">
        <x:is>
          <x:t xml:space="preserve">шт</x:t>
        </x:is>
      </x:c>
      <x:c r="H577" s="31" t="n"/>
      <x:c r="I577" s="31" t="n"/>
      <x:c r="J577" s="31" t="inlineStr">
        <x:is>
          <x:t xml:space="preserve">Основной склад</x:t>
        </x:is>
      </x:c>
      <x:c r="K577" s="31" t="inlineStr">
        <x:is>
          <x:t xml:space="preserve">СОТР-038</x:t>
        </x:is>
      </x:c>
      <x:c r="L577" s="31" t="inlineStr">
        <x:is>
          <x:t xml:space="preserve">ДОК-2736</x:t>
        </x:is>
      </x:c>
      <x:c r="M577" s="31" t="inlineStr">
        <x:is>
          <x:t xml:space="preserve">Проведен</x:t>
        </x:is>
      </x:c>
    </x:row>
    <x:row r="578">
      <x:c r="A578" s="31" t="inlineStr">
        <x:is>
          <x:t xml:space="preserve">СКЛ-000577</x:t>
        </x:is>
      </x:c>
      <x:c r="B578" s="31" t="n">
        <x:v>46201</x:v>
      </x:c>
      <x:c r="C578" s="31" t="inlineStr">
        <x:is>
          <x:t xml:space="preserve">Приход</x:t>
        </x:is>
      </x:c>
      <x:c r="D578" s="31" t="inlineStr">
        <x:is>
          <x:t xml:space="preserve">МАТ-0058</x:t>
        </x:is>
      </x:c>
      <x:c r="E578" s="31" t="inlineStr">
        <x:is>
          <x:t xml:space="preserve">Задвижка Ду100 / исп.3</x:t>
        </x:is>
      </x:c>
      <x:c r="F578" s="31" t="n">
        <x:v>18</x:v>
      </x:c>
      <x:c r="G578" s="31" t="inlineStr">
        <x:is>
          <x:t xml:space="preserve">шт</x:t>
        </x:is>
      </x:c>
      <x:c r="H578" s="31" t="n"/>
      <x:c r="I578" s="31" t="n"/>
      <x:c r="J578" s="31" t="inlineStr">
        <x:is>
          <x:t xml:space="preserve">Основной склад</x:t>
        </x:is>
      </x:c>
      <x:c r="K578" s="31" t="inlineStr">
        <x:is>
          <x:t xml:space="preserve">СОТР-033</x:t>
        </x:is>
      </x:c>
      <x:c r="L578" s="31" t="inlineStr">
        <x:is>
          <x:t xml:space="preserve">ДОК-2932</x:t>
        </x:is>
      </x:c>
      <x:c r="M578" s="31" t="inlineStr">
        <x:is>
          <x:t xml:space="preserve">Проведен</x:t>
        </x:is>
      </x:c>
    </x:row>
    <x:row r="579">
      <x:c r="A579" s="31" t="inlineStr">
        <x:is>
          <x:t xml:space="preserve">СКЛ-000578</x:t>
        </x:is>
      </x:c>
      <x:c r="B579" s="31" t="n">
        <x:v>46031</x:v>
      </x:c>
      <x:c r="C579" s="31" t="inlineStr">
        <x:is>
          <x:t xml:space="preserve">Приход</x:t>
        </x:is>
      </x:c>
      <x:c r="D579" s="31" t="inlineStr">
        <x:is>
          <x:t xml:space="preserve">МАТ-0012</x:t>
        </x:is>
      </x:c>
      <x:c r="E579" s="31" t="inlineStr">
        <x:is>
          <x:t xml:space="preserve">Фланец Ду80 Ру16</x:t>
        </x:is>
      </x:c>
      <x:c r="F579" s="31" t="n">
        <x:v>73.12</x:v>
      </x:c>
      <x:c r="G579" s="31" t="inlineStr">
        <x:is>
          <x:t xml:space="preserve">л</x:t>
        </x:is>
      </x:c>
      <x:c r="H579" s="31" t="n"/>
      <x:c r="I579" s="31" t="n"/>
      <x:c r="J579" s="31" t="inlineStr">
        <x:is>
          <x:t xml:space="preserve">Основной склад</x:t>
        </x:is>
      </x:c>
      <x:c r="K579" s="31" t="inlineStr">
        <x:is>
          <x:t xml:space="preserve">СОТР-037</x:t>
        </x:is>
      </x:c>
      <x:c r="L579" s="31" t="inlineStr">
        <x:is>
          <x:t xml:space="preserve">ДОК-1549</x:t>
        </x:is>
      </x:c>
      <x:c r="M579" s="31" t="inlineStr">
        <x:is>
          <x:t xml:space="preserve">Требует проверки</x:t>
        </x:is>
      </x:c>
    </x:row>
    <x:row r="580">
      <x:c r="A580" s="31" t="inlineStr">
        <x:is>
          <x:t xml:space="preserve">СКЛ-000579</x:t>
        </x:is>
      </x:c>
      <x:c r="B580" s="31" t="n">
        <x:v>46138</x:v>
      </x:c>
      <x:c r="C580" s="31" t="inlineStr">
        <x:is>
          <x:t xml:space="preserve">Резерв</x:t>
        </x:is>
      </x:c>
      <x:c r="D580" s="31" t="inlineStr">
        <x:is>
          <x:t xml:space="preserve">МАТ-0053</x:t>
        </x:is>
      </x:c>
      <x:c r="E580" s="31" t="inlineStr">
        <x:is>
          <x:t xml:space="preserve">Кран шаровой Ду50 / исп.3</x:t>
        </x:is>
      </x:c>
      <x:c r="F580" s="31" t="n">
        <x:v>-15</x:v>
      </x:c>
      <x:c r="G580" s="31" t="inlineStr">
        <x:is>
          <x:t xml:space="preserve">шт</x:t>
        </x:is>
      </x:c>
      <x:c r="H580" s="31" t="inlineStr">
        <x:is>
          <x:t xml:space="preserve">ЗК-1033</x:t>
        </x:is>
      </x:c>
      <x:c r="I580" s="31" t="n"/>
      <x:c r="J580" s="31" t="inlineStr">
        <x:is>
          <x:t xml:space="preserve">Брак/карантин</x:t>
        </x:is>
      </x:c>
      <x:c r="K580" s="31" t="inlineStr">
        <x:is>
          <x:t xml:space="preserve">СОТР-036</x:t>
        </x:is>
      </x:c>
      <x:c r="L580" s="31" t="inlineStr">
        <x:is>
          <x:t xml:space="preserve">ДОК-5017</x:t>
        </x:is>
      </x:c>
      <x:c r="M580" s="31" t="inlineStr">
        <x:is>
          <x:t xml:space="preserve">Проведен</x:t>
        </x:is>
      </x:c>
    </x:row>
    <x:row r="581">
      <x:c r="A581" s="31" t="inlineStr">
        <x:is>
          <x:t xml:space="preserve">СКЛ-000580</x:t>
        </x:is>
      </x:c>
      <x:c r="B581" s="31" t="n">
        <x:v>46141</x:v>
      </x:c>
      <x:c r="C581" s="31" t="inlineStr">
        <x:is>
          <x:t xml:space="preserve">Выдача в производство</x:t>
        </x:is>
      </x:c>
      <x:c r="D581" s="31" t="inlineStr">
        <x:is>
          <x:t xml:space="preserve">МАТ-0074</x:t>
        </x:is>
      </x:c>
      <x:c r="E581" s="31" t="inlineStr">
        <x:is>
          <x:t xml:space="preserve">Абразив для пескоструя</x:t>
        </x:is>
      </x:c>
      <x:c r="F581" s="31" t="n">
        <x:v>-5</x:v>
      </x:c>
      <x:c r="G581" s="31" t="inlineStr">
        <x:is>
          <x:t xml:space="preserve">шт</x:t>
        </x:is>
      </x:c>
      <x:c r="H581" s="31" t="inlineStr">
        <x:is>
          <x:t xml:space="preserve">ЗК-1084</x:t>
        </x:is>
      </x:c>
      <x:c r="I581" s="31" t="inlineStr">
        <x:is>
          <x:t xml:space="preserve">ПЗ-00174</x:t>
        </x:is>
      </x:c>
      <x:c r="J581" s="31" t="inlineStr">
        <x:is>
          <x:t xml:space="preserve">Основной склад</x:t>
        </x:is>
      </x:c>
      <x:c r="K581" s="31" t="inlineStr">
        <x:is>
          <x:t xml:space="preserve">СОТР-037</x:t>
        </x:is>
      </x:c>
      <x:c r="L581" s="31" t="inlineStr">
        <x:is>
          <x:t xml:space="preserve">ДОК-1997</x:t>
        </x:is>
      </x:c>
      <x:c r="M581" s="31" t="inlineStr">
        <x:is>
          <x:t xml:space="preserve">Проведен</x:t>
        </x:is>
      </x:c>
    </x:row>
    <x:row r="582">
      <x:c r="A582" s="31" t="inlineStr">
        <x:is>
          <x:t xml:space="preserve">СКЛ-000581</x:t>
        </x:is>
      </x:c>
      <x:c r="B582" s="31" t="n">
        <x:v>46051</x:v>
      </x:c>
      <x:c r="C582" s="31" t="inlineStr">
        <x:is>
          <x:t xml:space="preserve">Резерв</x:t>
        </x:is>
      </x:c>
      <x:c r="D582" s="31" t="inlineStr">
        <x:is>
          <x:t xml:space="preserve">МАТ-0025</x:t>
        </x:is>
      </x:c>
      <x:c r="E582" s="31" t="inlineStr">
        <x:is>
          <x:t xml:space="preserve">Двигатель 7.5 кВт</x:t>
        </x:is>
      </x:c>
      <x:c r="F582" s="31" t="n">
        <x:v>-9</x:v>
      </x:c>
      <x:c r="G582" s="31" t="inlineStr">
        <x:is>
          <x:t xml:space="preserve">шт</x:t>
        </x:is>
      </x:c>
      <x:c r="H582" s="31" t="inlineStr">
        <x:is>
          <x:t xml:space="preserve">ЗК-1099</x:t>
        </x:is>
      </x:c>
      <x:c r="I582" s="31" t="n"/>
      <x:c r="J582" s="31" t="inlineStr">
        <x:is>
          <x:t xml:space="preserve">Основной склад</x:t>
        </x:is>
      </x:c>
      <x:c r="K582" s="31" t="inlineStr">
        <x:is>
          <x:t xml:space="preserve">СОТР-038</x:t>
        </x:is>
      </x:c>
      <x:c r="L582" s="31" t="inlineStr">
        <x:is>
          <x:t xml:space="preserve">ДОК-1243</x:t>
        </x:is>
      </x:c>
      <x:c r="M582" s="31" t="inlineStr">
        <x:is>
          <x:t xml:space="preserve">Проведен</x:t>
        </x:is>
      </x:c>
    </x:row>
    <x:row r="583">
      <x:c r="A583" s="31" t="inlineStr">
        <x:is>
          <x:t xml:space="preserve">СКЛ-000582</x:t>
        </x:is>
      </x:c>
      <x:c r="B583" s="31" t="n">
        <x:v>46168</x:v>
      </x:c>
      <x:c r="C583" s="31" t="inlineStr">
        <x:is>
          <x:t xml:space="preserve">Выдача в производство</x:t>
        </x:is>
      </x:c>
      <x:c r="D583" s="31" t="inlineStr">
        <x:is>
          <x:t xml:space="preserve">МАТ-0048</x:t>
        </x:is>
      </x:c>
      <x:c r="E583" s="31" t="inlineStr">
        <x:is>
          <x:t xml:space="preserve">Контактор 25А / исп.3</x:t>
        </x:is>
      </x:c>
      <x:c r="F583" s="31" t="n">
        <x:v>-18</x:v>
      </x:c>
      <x:c r="G583" s="31" t="inlineStr">
        <x:is>
          <x:t xml:space="preserve">шт</x:t>
        </x:is>
      </x:c>
      <x:c r="H583" s="31" t="inlineStr">
        <x:is>
          <x:t xml:space="preserve">ЗК-1071</x:t>
        </x:is>
      </x:c>
      <x:c r="I583" s="31" t="inlineStr">
        <x:is>
          <x:t xml:space="preserve">ПЗ-00099</x:t>
        </x:is>
      </x:c>
      <x:c r="J583" s="31" t="inlineStr">
        <x:is>
          <x:t xml:space="preserve">Цеховой склад</x:t>
        </x:is>
      </x:c>
      <x:c r="K583" s="31" t="inlineStr">
        <x:is>
          <x:t xml:space="preserve">СОТР-037</x:t>
        </x:is>
      </x:c>
      <x:c r="L583" s="31" t="inlineStr">
        <x:is>
          <x:t xml:space="preserve">ДОК-6884</x:t>
        </x:is>
      </x:c>
      <x:c r="M583" s="31" t="inlineStr">
        <x:is>
          <x:t xml:space="preserve">Проведен</x:t>
        </x:is>
      </x:c>
    </x:row>
    <x:row r="584">
      <x:c r="A584" s="31" t="inlineStr">
        <x:is>
          <x:t xml:space="preserve">СКЛ-000583</x:t>
        </x:is>
      </x:c>
      <x:c r="B584" s="31" t="n">
        <x:v>46078</x:v>
      </x:c>
      <x:c r="C584" s="31" t="inlineStr">
        <x:is>
          <x:t xml:space="preserve">Резерв</x:t>
        </x:is>
      </x:c>
      <x:c r="D584" s="31" t="inlineStr">
        <x:is>
          <x:t xml:space="preserve">МАТ-0072</x:t>
        </x:is>
      </x:c>
      <x:c r="E584" s="31" t="inlineStr">
        <x:is>
          <x:t xml:space="preserve">Растворитель</x:t>
        </x:is>
      </x:c>
      <x:c r="F584" s="31" t="n">
        <x:v>-45.54</x:v>
      </x:c>
      <x:c r="G584" s="31" t="inlineStr">
        <x:is>
          <x:t xml:space="preserve">л</x:t>
        </x:is>
      </x:c>
      <x:c r="H584" s="31" t="inlineStr">
        <x:is>
          <x:t xml:space="preserve">ЗК-1064</x:t>
        </x:is>
      </x:c>
      <x:c r="I584" s="31" t="n"/>
      <x:c r="J584" s="31" t="inlineStr">
        <x:is>
          <x:t xml:space="preserve">Основной склад</x:t>
        </x:is>
      </x:c>
      <x:c r="K584" s="31" t="inlineStr">
        <x:is>
          <x:t xml:space="preserve">СОТР-033</x:t>
        </x:is>
      </x:c>
      <x:c r="L584" s="31" t="inlineStr">
        <x:is>
          <x:t xml:space="preserve">ДОК-6640</x:t>
        </x:is>
      </x:c>
      <x:c r="M584" s="31" t="inlineStr">
        <x:is>
          <x:t xml:space="preserve">Черновик</x:t>
        </x:is>
      </x:c>
    </x:row>
    <x:row r="585">
      <x:c r="A585" s="31" t="inlineStr">
        <x:is>
          <x:t xml:space="preserve">СКЛ-000584</x:t>
        </x:is>
      </x:c>
      <x:c r="B585" s="31" t="n">
        <x:v>46073</x:v>
      </x:c>
      <x:c r="C585" s="31" t="inlineStr">
        <x:is>
          <x:t xml:space="preserve">Корректировка</x:t>
        </x:is>
      </x:c>
      <x:c r="D585" s="31" t="inlineStr">
        <x:is>
          <x:t xml:space="preserve">МАТ-0021</x:t>
        </x:is>
      </x:c>
      <x:c r="E585" s="31" t="inlineStr">
        <x:is>
          <x:t xml:space="preserve">Торцевое уплотнение</x:t>
        </x:is>
      </x:c>
      <x:c r="F585" s="31" t="n">
        <x:v>17</x:v>
      </x:c>
      <x:c r="G585" s="31" t="inlineStr">
        <x:is>
          <x:t xml:space="preserve">шт</x:t>
        </x:is>
      </x:c>
      <x:c r="H585" s="31" t="n"/>
      <x:c r="I585" s="31" t="n"/>
      <x:c r="J585" s="31" t="inlineStr">
        <x:is>
          <x:t xml:space="preserve">Цеховой склад</x:t>
        </x:is>
      </x:c>
      <x:c r="K585" s="31" t="inlineStr">
        <x:is>
          <x:t xml:space="preserve">СОТР-024</x:t>
        </x:is>
      </x:c>
      <x:c r="L585" s="31" t="inlineStr">
        <x:is>
          <x:t xml:space="preserve">ДОК-2621</x:t>
        </x:is>
      </x:c>
      <x:c r="M585" s="31" t="inlineStr">
        <x:is>
          <x:t xml:space="preserve">Проведен</x:t>
        </x:is>
      </x:c>
    </x:row>
    <x:row r="586">
      <x:c r="A586" s="31" t="inlineStr">
        <x:is>
          <x:t xml:space="preserve">СКЛ-000585</x:t>
        </x:is>
      </x:c>
      <x:c r="B586" s="31" t="n">
        <x:v>46185</x:v>
      </x:c>
      <x:c r="C586" s="31" t="inlineStr">
        <x:is>
          <x:t xml:space="preserve">Выдача в производство</x:t>
        </x:is>
      </x:c>
      <x:c r="D586" s="31" t="inlineStr">
        <x:is>
          <x:t xml:space="preserve">МАТ-0036</x:t>
        </x:is>
      </x:c>
      <x:c r="E586" s="31" t="inlineStr">
        <x:is>
          <x:t xml:space="preserve">Клапан электромагнитный 24В / исп.2</x:t>
        </x:is>
      </x:c>
      <x:c r="F586" s="31" t="n">
        <x:v>-5</x:v>
      </x:c>
      <x:c r="G586" s="31" t="inlineStr">
        <x:is>
          <x:t xml:space="preserve">шт</x:t>
        </x:is>
      </x:c>
      <x:c r="H586" s="31" t="inlineStr">
        <x:is>
          <x:t xml:space="preserve">ЗК-1007</x:t>
        </x:is>
      </x:c>
      <x:c r="I586" s="31" t="inlineStr">
        <x:is>
          <x:t xml:space="preserve">ПЗ-00127</x:t>
        </x:is>
      </x:c>
      <x:c r="J586" s="31" t="inlineStr">
        <x:is>
          <x:t xml:space="preserve">Брак/карантин</x:t>
        </x:is>
      </x:c>
      <x:c r="K586" s="31" t="inlineStr">
        <x:is>
          <x:t xml:space="preserve">СОТР-039</x:t>
        </x:is>
      </x:c>
      <x:c r="L586" s="31" t="inlineStr">
        <x:is>
          <x:t xml:space="preserve">ДОК-5575</x:t>
        </x:is>
      </x:c>
      <x:c r="M586" s="31" t="inlineStr">
        <x:is>
          <x:t xml:space="preserve">Проведен</x:t>
        </x:is>
      </x:c>
    </x:row>
    <x:row r="587">
      <x:c r="A587" s="31" t="inlineStr">
        <x:is>
          <x:t xml:space="preserve">СКЛ-000586</x:t>
        </x:is>
      </x:c>
      <x:c r="B587" s="31" t="n">
        <x:v>46182</x:v>
      </x:c>
      <x:c r="C587" s="31" t="inlineStr">
        <x:is>
          <x:t xml:space="preserve">Приход</x:t>
        </x:is>
      </x:c>
      <x:c r="D587" s="31" t="inlineStr">
        <x:is>
          <x:t xml:space="preserve">МАТ-0037</x:t>
        </x:is>
      </x:c>
      <x:c r="E587" s="31" t="inlineStr">
        <x:is>
          <x:t xml:space="preserve">Клапан электромагнитный 24В / исп.3</x:t>
        </x:is>
      </x:c>
      <x:c r="F587" s="31" t="n">
        <x:v>5</x:v>
      </x:c>
      <x:c r="G587" s="31" t="inlineStr">
        <x:is>
          <x:t xml:space="preserve">шт</x:t>
        </x:is>
      </x:c>
      <x:c r="H587" s="31" t="n"/>
      <x:c r="I587" s="31" t="n"/>
      <x:c r="J587" s="31" t="inlineStr">
        <x:is>
          <x:t xml:space="preserve">Цеховой склад</x:t>
        </x:is>
      </x:c>
      <x:c r="K587" s="31" t="inlineStr">
        <x:is>
          <x:t xml:space="preserve">СОТР-037</x:t>
        </x:is>
      </x:c>
      <x:c r="L587" s="31" t="inlineStr">
        <x:is>
          <x:t xml:space="preserve">ДОК-8480</x:t>
        </x:is>
      </x:c>
      <x:c r="M587" s="31" t="inlineStr">
        <x:is>
          <x:t xml:space="preserve">Проведен</x:t>
        </x:is>
      </x:c>
    </x:row>
    <x:row r="588">
      <x:c r="A588" s="31" t="inlineStr">
        <x:is>
          <x:t xml:space="preserve">СКЛ-000587</x:t>
        </x:is>
      </x:c>
      <x:c r="B588" s="31" t="n">
        <x:v>46151</x:v>
      </x:c>
      <x:c r="C588" s="31" t="inlineStr">
        <x:is>
          <x:t xml:space="preserve">Выдача в производство</x:t>
        </x:is>
      </x:c>
      <x:c r="D588" s="31" t="inlineStr">
        <x:is>
          <x:t xml:space="preserve">МАТ-0064</x:t>
        </x:is>
      </x:c>
      <x:c r="E588" s="31" t="inlineStr">
        <x:is>
          <x:t xml:space="preserve">Кабель ВВГнг 3×2.5 / исп.2</x:t>
        </x:is>
      </x:c>
      <x:c r="F588" s="31" t="n">
        <x:v>-10</x:v>
      </x:c>
      <x:c r="G588" s="31" t="inlineStr">
        <x:is>
          <x:t xml:space="preserve">шт</x:t>
        </x:is>
      </x:c>
      <x:c r="H588" s="31" t="inlineStr">
        <x:is>
          <x:t xml:space="preserve">ЗК-1056</x:t>
        </x:is>
      </x:c>
      <x:c r="I588" s="31" t="inlineStr">
        <x:is>
          <x:t xml:space="preserve">ПЗ-00028</x:t>
        </x:is>
      </x:c>
      <x:c r="J588" s="31" t="inlineStr">
        <x:is>
          <x:t xml:space="preserve">Брак/карантин</x:t>
        </x:is>
      </x:c>
      <x:c r="K588" s="31" t="inlineStr">
        <x:is>
          <x:t xml:space="preserve">СОТР-034</x:t>
        </x:is>
      </x:c>
      <x:c r="L588" s="31" t="inlineStr">
        <x:is>
          <x:t xml:space="preserve">ДОК-5289</x:t>
        </x:is>
      </x:c>
      <x:c r="M588" s="31" t="inlineStr">
        <x:is>
          <x:t xml:space="preserve">Проведен</x:t>
        </x:is>
      </x:c>
    </x:row>
    <x:row r="589">
      <x:c r="A589" s="31" t="inlineStr">
        <x:is>
          <x:t xml:space="preserve">СКЛ-000588</x:t>
        </x:is>
      </x:c>
      <x:c r="B589" s="31" t="n">
        <x:v>46161</x:v>
      </x:c>
      <x:c r="C589" s="31" t="inlineStr">
        <x:is>
          <x:t xml:space="preserve">Выдача в производство</x:t>
        </x:is>
      </x:c>
      <x:c r="D589" s="31" t="inlineStr">
        <x:is>
          <x:t xml:space="preserve">МАТ-0051</x:t>
        </x:is>
      </x:c>
      <x:c r="E589" s="31" t="inlineStr">
        <x:is>
          <x:t xml:space="preserve">Кран шаровой Ду50</x:t>
        </x:is>
      </x:c>
      <x:c r="F589" s="31" t="n">
        <x:v>-5</x:v>
      </x:c>
      <x:c r="G589" s="31" t="inlineStr">
        <x:is>
          <x:t xml:space="preserve">шт</x:t>
        </x:is>
      </x:c>
      <x:c r="H589" s="31" t="inlineStr">
        <x:is>
          <x:t xml:space="preserve">ЗК-1124</x:t>
        </x:is>
      </x:c>
      <x:c r="I589" s="31" t="inlineStr">
        <x:is>
          <x:t xml:space="preserve">ПЗ-00247</x:t>
        </x:is>
      </x:c>
      <x:c r="J589" s="31" t="inlineStr">
        <x:is>
          <x:t xml:space="preserve">Основной склад</x:t>
        </x:is>
      </x:c>
      <x:c r="K589" s="31" t="inlineStr">
        <x:is>
          <x:t xml:space="preserve">СОТР-036</x:t>
        </x:is>
      </x:c>
      <x:c r="L589" s="31" t="inlineStr">
        <x:is>
          <x:t xml:space="preserve">ДОК-2683</x:t>
        </x:is>
      </x:c>
      <x:c r="M589" s="31" t="inlineStr">
        <x:is>
          <x:t xml:space="preserve">Проведен</x:t>
        </x:is>
      </x:c>
    </x:row>
    <x:row r="590">
      <x:c r="A590" s="31" t="inlineStr">
        <x:is>
          <x:t xml:space="preserve">СКЛ-000589</x:t>
        </x:is>
      </x:c>
      <x:c r="B590" s="31" t="n">
        <x:v>46199</x:v>
      </x:c>
      <x:c r="C590" s="31" t="inlineStr">
        <x:is>
          <x:t xml:space="preserve">Резерв</x:t>
        </x:is>
      </x:c>
      <x:c r="D590" s="31" t="inlineStr">
        <x:is>
          <x:t xml:space="preserve">МАТ-0002</x:t>
        </x:is>
      </x:c>
      <x:c r="E590" s="31" t="inlineStr">
        <x:is>
          <x:t xml:space="preserve">Лист стальной 09Г2С 12 мм</x:t>
        </x:is>
      </x:c>
      <x:c r="F590" s="31" t="n">
        <x:v>-71.93000000000001</x:v>
      </x:c>
      <x:c r="G590" s="31" t="inlineStr">
        <x:is>
          <x:t xml:space="preserve">кг</x:t>
        </x:is>
      </x:c>
      <x:c r="H590" s="31" t="inlineStr">
        <x:is>
          <x:t xml:space="preserve">ЗК-1125</x:t>
        </x:is>
      </x:c>
      <x:c r="I590" s="31" t="n"/>
      <x:c r="J590" s="31" t="inlineStr">
        <x:is>
          <x:t xml:space="preserve">Цеховой склад</x:t>
        </x:is>
      </x:c>
      <x:c r="K590" s="31" t="inlineStr">
        <x:is>
          <x:t xml:space="preserve">СОТР-024</x:t>
        </x:is>
      </x:c>
      <x:c r="L590" s="31" t="inlineStr">
        <x:is>
          <x:t xml:space="preserve">ДОК-1527</x:t>
        </x:is>
      </x:c>
      <x:c r="M590" s="31" t="inlineStr">
        <x:is>
          <x:t xml:space="preserve">Проведен</x:t>
        </x:is>
      </x:c>
    </x:row>
    <x:row r="591">
      <x:c r="A591" s="31" t="inlineStr">
        <x:is>
          <x:t xml:space="preserve">СКЛ-000590</x:t>
        </x:is>
      </x:c>
      <x:c r="B591" s="31" t="n">
        <x:v>46161</x:v>
      </x:c>
      <x:c r="C591" s="31" t="inlineStr">
        <x:is>
          <x:t xml:space="preserve">Выдача в производство</x:t>
        </x:is>
      </x:c>
      <x:c r="D591" s="31" t="inlineStr">
        <x:is>
          <x:t xml:space="preserve">МАТ-0057</x:t>
        </x:is>
      </x:c>
      <x:c r="E591" s="31" t="inlineStr">
        <x:is>
          <x:t xml:space="preserve">Задвижка Ду100 / исп.2</x:t>
        </x:is>
      </x:c>
      <x:c r="F591" s="31" t="n">
        <x:v>-20</x:v>
      </x:c>
      <x:c r="G591" s="31" t="inlineStr">
        <x:is>
          <x:t xml:space="preserve">шт</x:t>
        </x:is>
      </x:c>
      <x:c r="H591" s="31" t="inlineStr">
        <x:is>
          <x:t xml:space="preserve">ЗК-1057</x:t>
        </x:is>
      </x:c>
      <x:c r="I591" s="31" t="inlineStr">
        <x:is>
          <x:t xml:space="preserve">ПЗ-00089</x:t>
        </x:is>
      </x:c>
      <x:c r="J591" s="31" t="inlineStr">
        <x:is>
          <x:t xml:space="preserve">Основной склад</x:t>
        </x:is>
      </x:c>
      <x:c r="K591" s="31" t="inlineStr">
        <x:is>
          <x:t xml:space="preserve">СОТР-035</x:t>
        </x:is>
      </x:c>
      <x:c r="L591" s="31" t="inlineStr">
        <x:is>
          <x:t xml:space="preserve">ДОК-2081</x:t>
        </x:is>
      </x:c>
      <x:c r="M591" s="31" t="inlineStr">
        <x:is>
          <x:t xml:space="preserve">Проведен</x:t>
        </x:is>
      </x:c>
    </x:row>
    <x:row r="592">
      <x:c r="A592" s="31" t="inlineStr">
        <x:is>
          <x:t xml:space="preserve">СКЛ-000591</x:t>
        </x:is>
      </x:c>
      <x:c r="B592" s="31" t="n">
        <x:v>46159</x:v>
      </x:c>
      <x:c r="C592" s="31" t="inlineStr">
        <x:is>
          <x:t xml:space="preserve">Приход</x:t>
        </x:is>
      </x:c>
      <x:c r="D592" s="31" t="inlineStr">
        <x:is>
          <x:t xml:space="preserve">МАТ-0034</x:t>
        </x:is>
      </x:c>
      <x:c r="E592" s="31" t="inlineStr">
        <x:is>
          <x:t xml:space="preserve">Манометр виброустойчивый</x:t>
        </x:is>
      </x:c>
      <x:c r="F592" s="31" t="n">
        <x:v>5</x:v>
      </x:c>
      <x:c r="G592" s="31" t="inlineStr">
        <x:is>
          <x:t xml:space="preserve">шт</x:t>
        </x:is>
      </x:c>
      <x:c r="H592" s="31" t="n"/>
      <x:c r="I592" s="31" t="n"/>
      <x:c r="J592" s="31" t="inlineStr">
        <x:is>
          <x:t xml:space="preserve">Основной склад</x:t>
        </x:is>
      </x:c>
      <x:c r="K592" s="31" t="inlineStr">
        <x:is>
          <x:t xml:space="preserve">СОТР-037</x:t>
        </x:is>
      </x:c>
      <x:c r="L592" s="31" t="inlineStr">
        <x:is>
          <x:t xml:space="preserve">ДОК-9289</x:t>
        </x:is>
      </x:c>
      <x:c r="M592" s="31" t="inlineStr">
        <x:is>
          <x:t xml:space="preserve">Проведен</x:t>
        </x:is>
      </x:c>
    </x:row>
    <x:row r="593">
      <x:c r="A593" s="31" t="inlineStr">
        <x:is>
          <x:t xml:space="preserve">СКЛ-000592</x:t>
        </x:is>
      </x:c>
      <x:c r="B593" s="31" t="n">
        <x:v>46103</x:v>
      </x:c>
      <x:c r="C593" s="31" t="inlineStr">
        <x:is>
          <x:t xml:space="preserve">Резерв</x:t>
        </x:is>
      </x:c>
      <x:c r="D593" s="31" t="inlineStr">
        <x:is>
          <x:t xml:space="preserve">МАТ-0078</x:t>
        </x:is>
      </x:c>
      <x:c r="E593" s="31" t="inlineStr">
        <x:is>
          <x:t xml:space="preserve">Гайка М12</x:t>
        </x:is>
      </x:c>
      <x:c r="F593" s="31" t="n">
        <x:v>-6</x:v>
      </x:c>
      <x:c r="G593" s="31" t="inlineStr">
        <x:is>
          <x:t xml:space="preserve">шт</x:t>
        </x:is>
      </x:c>
      <x:c r="H593" s="31" t="inlineStr">
        <x:is>
          <x:t xml:space="preserve">ЗК-1012</x:t>
        </x:is>
      </x:c>
      <x:c r="I593" s="31" t="n"/>
      <x:c r="J593" s="31" t="inlineStr">
        <x:is>
          <x:t xml:space="preserve">Основной склад</x:t>
        </x:is>
      </x:c>
      <x:c r="K593" s="31" t="inlineStr">
        <x:is>
          <x:t xml:space="preserve">СОТР-033</x:t>
        </x:is>
      </x:c>
      <x:c r="L593" s="31" t="inlineStr">
        <x:is>
          <x:t xml:space="preserve">ДОК-1028</x:t>
        </x:is>
      </x:c>
      <x:c r="M593" s="31" t="inlineStr">
        <x:is>
          <x:t xml:space="preserve">Проведен</x:t>
        </x:is>
      </x:c>
    </x:row>
    <x:row r="594">
      <x:c r="A594" s="31" t="inlineStr">
        <x:is>
          <x:t xml:space="preserve">СКЛ-000593</x:t>
        </x:is>
      </x:c>
      <x:c r="B594" s="31" t="n">
        <x:v>46053</x:v>
      </x:c>
      <x:c r="C594" s="31" t="inlineStr">
        <x:is>
          <x:t xml:space="preserve">Резерв</x:t>
        </x:is>
      </x:c>
      <x:c r="D594" s="31" t="inlineStr">
        <x:is>
          <x:t xml:space="preserve">МАТ-0047</x:t>
        </x:is>
      </x:c>
      <x:c r="E594" s="31" t="inlineStr">
        <x:is>
          <x:t xml:space="preserve">Контактор 25А / исп.2</x:t>
        </x:is>
      </x:c>
      <x:c r="F594" s="31" t="n">
        <x:v>-19</x:v>
      </x:c>
      <x:c r="G594" s="31" t="inlineStr">
        <x:is>
          <x:t xml:space="preserve">шт</x:t>
        </x:is>
      </x:c>
      <x:c r="H594" s="31" t="inlineStr">
        <x:is>
          <x:t xml:space="preserve">ЗК-1114</x:t>
        </x:is>
      </x:c>
      <x:c r="I594" s="31" t="n"/>
      <x:c r="J594" s="31" t="inlineStr">
        <x:is>
          <x:t xml:space="preserve">Основной склад</x:t>
        </x:is>
      </x:c>
      <x:c r="K594" s="31" t="inlineStr">
        <x:is>
          <x:t xml:space="preserve">СОТР-036</x:t>
        </x:is>
      </x:c>
      <x:c r="L594" s="31" t="inlineStr">
        <x:is>
          <x:t xml:space="preserve">ДОК-4745</x:t>
        </x:is>
      </x:c>
      <x:c r="M594" s="31" t="inlineStr">
        <x:is>
          <x:t xml:space="preserve">Проведен</x:t>
        </x:is>
      </x:c>
    </x:row>
    <x:row r="595">
      <x:c r="A595" s="31" t="inlineStr">
        <x:is>
          <x:t xml:space="preserve">СКЛ-000594</x:t>
        </x:is>
      </x:c>
      <x:c r="B595" s="31" t="n">
        <x:v>46060</x:v>
      </x:c>
      <x:c r="C595" s="31" t="inlineStr">
        <x:is>
          <x:t xml:space="preserve">Списание</x:t>
        </x:is>
      </x:c>
      <x:c r="D595" s="31" t="inlineStr">
        <x:is>
          <x:t xml:space="preserve">МАТ-0045</x:t>
        </x:is>
      </x:c>
      <x:c r="E595" s="31" t="inlineStr">
        <x:is>
          <x:t xml:space="preserve">Автоматический выключатель 16А</x:t>
        </x:is>
      </x:c>
      <x:c r="F595" s="31" t="n">
        <x:v>-12</x:v>
      </x:c>
      <x:c r="G595" s="31" t="inlineStr">
        <x:is>
          <x:t xml:space="preserve">шт</x:t>
        </x:is>
      </x:c>
      <x:c r="H595" s="31" t="n"/>
      <x:c r="I595" s="31" t="n"/>
      <x:c r="J595" s="31" t="inlineStr">
        <x:is>
          <x:t xml:space="preserve">Основной склад</x:t>
        </x:is>
      </x:c>
      <x:c r="K595" s="31" t="inlineStr">
        <x:is>
          <x:t xml:space="preserve">СОТР-035</x:t>
        </x:is>
      </x:c>
      <x:c r="L595" s="31" t="inlineStr">
        <x:is>
          <x:t xml:space="preserve">ДОК-5699</x:t>
        </x:is>
      </x:c>
      <x:c r="M595" s="31" t="inlineStr">
        <x:is>
          <x:t xml:space="preserve">Проведен</x:t>
        </x:is>
      </x:c>
    </x:row>
    <x:row r="596">
      <x:c r="A596" s="31" t="inlineStr">
        <x:is>
          <x:t xml:space="preserve">СКЛ-000595</x:t>
        </x:is>
      </x:c>
      <x:c r="B596" s="31" t="n">
        <x:v>46162</x:v>
      </x:c>
      <x:c r="C596" s="31" t="inlineStr">
        <x:is>
          <x:t xml:space="preserve">Резерв</x:t>
        </x:is>
      </x:c>
      <x:c r="D596" s="31" t="inlineStr">
        <x:is>
          <x:t xml:space="preserve">МАТ-0034</x:t>
        </x:is>
      </x:c>
      <x:c r="E596" s="31" t="inlineStr">
        <x:is>
          <x:t xml:space="preserve">Манометр виброустойчивый</x:t>
        </x:is>
      </x:c>
      <x:c r="F596" s="31" t="n">
        <x:v>-1</x:v>
      </x:c>
      <x:c r="G596" s="31" t="inlineStr">
        <x:is>
          <x:t xml:space="preserve">шт</x:t>
        </x:is>
      </x:c>
      <x:c r="H596" s="31" t="inlineStr">
        <x:is>
          <x:t xml:space="preserve">ЗК-1095</x:t>
        </x:is>
      </x:c>
      <x:c r="I596" s="31" t="n"/>
      <x:c r="J596" s="31" t="inlineStr">
        <x:is>
          <x:t xml:space="preserve">Цеховой склад</x:t>
        </x:is>
      </x:c>
      <x:c r="K596" s="31" t="inlineStr">
        <x:is>
          <x:t xml:space="preserve">СОТР-038</x:t>
        </x:is>
      </x:c>
      <x:c r="L596" s="31" t="inlineStr">
        <x:is>
          <x:t xml:space="preserve">ДОК-4546</x:t>
        </x:is>
      </x:c>
      <x:c r="M596" s="31" t="inlineStr">
        <x:is>
          <x:t xml:space="preserve">Проведен</x:t>
        </x:is>
      </x:c>
    </x:row>
    <x:row r="597">
      <x:c r="A597" s="31" t="inlineStr">
        <x:is>
          <x:t xml:space="preserve">СКЛ-000596</x:t>
        </x:is>
      </x:c>
      <x:c r="B597" s="31" t="n">
        <x:v>46113</x:v>
      </x:c>
      <x:c r="C597" s="31" t="inlineStr">
        <x:is>
          <x:t xml:space="preserve">Выдача в производство</x:t>
        </x:is>
      </x:c>
      <x:c r="D597" s="31" t="inlineStr">
        <x:is>
          <x:t xml:space="preserve">МАТ-0031</x:t>
        </x:is>
      </x:c>
      <x:c r="E597" s="31" t="inlineStr">
        <x:is>
          <x:t xml:space="preserve">Датчик давления 0-16 бар</x:t>
        </x:is>
      </x:c>
      <x:c r="F597" s="31" t="n">
        <x:v>-8</x:v>
      </x:c>
      <x:c r="G597" s="31" t="inlineStr">
        <x:is>
          <x:t xml:space="preserve">шт</x:t>
        </x:is>
      </x:c>
      <x:c r="H597" s="31" t="inlineStr">
        <x:is>
          <x:t xml:space="preserve">ЗК-1123</x:t>
        </x:is>
      </x:c>
      <x:c r="I597" s="31" t="inlineStr">
        <x:is>
          <x:t xml:space="preserve">ПЗ-00150</x:t>
        </x:is>
      </x:c>
      <x:c r="J597" s="31" t="inlineStr">
        <x:is>
          <x:t xml:space="preserve">Брак/карантин</x:t>
        </x:is>
      </x:c>
      <x:c r="K597" s="31" t="inlineStr">
        <x:is>
          <x:t xml:space="preserve">СОТР-036</x:t>
        </x:is>
      </x:c>
      <x:c r="L597" s="31" t="inlineStr">
        <x:is>
          <x:t xml:space="preserve">ДОК-6343</x:t>
        </x:is>
      </x:c>
      <x:c r="M597" s="31" t="inlineStr">
        <x:is>
          <x:t xml:space="preserve">Проведен</x:t>
        </x:is>
      </x:c>
    </x:row>
    <x:row r="598">
      <x:c r="A598" s="31" t="inlineStr">
        <x:is>
          <x:t xml:space="preserve">СКЛ-000597</x:t>
        </x:is>
      </x:c>
      <x:c r="B598" s="31" t="n">
        <x:v>46070</x:v>
      </x:c>
      <x:c r="C598" s="31" t="inlineStr">
        <x:is>
          <x:t xml:space="preserve">Приход</x:t>
        </x:is>
      </x:c>
      <x:c r="D598" s="31" t="inlineStr">
        <x:is>
          <x:t xml:space="preserve">МАТ-0061</x:t>
        </x:is>
      </x:c>
      <x:c r="E598" s="31" t="inlineStr">
        <x:is>
          <x:t xml:space="preserve">Фильтр сетчатый Ду50 / исп.3</x:t>
        </x:is>
      </x:c>
      <x:c r="F598" s="31" t="n">
        <x:v>4</x:v>
      </x:c>
      <x:c r="G598" s="31" t="inlineStr">
        <x:is>
          <x:t xml:space="preserve">шт</x:t>
        </x:is>
      </x:c>
      <x:c r="H598" s="31" t="n"/>
      <x:c r="I598" s="31" t="n"/>
      <x:c r="J598" s="31" t="inlineStr">
        <x:is>
          <x:t xml:space="preserve">Основной склад</x:t>
        </x:is>
      </x:c>
      <x:c r="K598" s="31" t="inlineStr">
        <x:is>
          <x:t xml:space="preserve">СОТР-033</x:t>
        </x:is>
      </x:c>
      <x:c r="L598" s="31" t="inlineStr">
        <x:is>
          <x:t xml:space="preserve">ДОК-2650</x:t>
        </x:is>
      </x:c>
      <x:c r="M598" s="31" t="inlineStr">
        <x:is>
          <x:t xml:space="preserve">Проведен</x:t>
        </x:is>
      </x:c>
    </x:row>
    <x:row r="599">
      <x:c r="A599" s="31" t="inlineStr">
        <x:is>
          <x:t xml:space="preserve">СКЛ-000598</x:t>
        </x:is>
      </x:c>
      <x:c r="B599" s="31" t="n">
        <x:v>46055</x:v>
      </x:c>
      <x:c r="C599" s="31" t="inlineStr">
        <x:is>
          <x:t xml:space="preserve">Резерв</x:t>
        </x:is>
      </x:c>
      <x:c r="D599" s="31" t="inlineStr">
        <x:is>
          <x:t xml:space="preserve">МАТ-0024</x:t>
        </x:is>
      </x:c>
      <x:c r="E599" s="31" t="inlineStr">
        <x:is>
          <x:t xml:space="preserve">Рабочее колесо / исп.2</x:t>
        </x:is>
      </x:c>
      <x:c r="F599" s="31" t="n">
        <x:v>-5</x:v>
      </x:c>
      <x:c r="G599" s="31" t="inlineStr">
        <x:is>
          <x:t xml:space="preserve">шт</x:t>
        </x:is>
      </x:c>
      <x:c r="H599" s="31" t="inlineStr">
        <x:is>
          <x:t xml:space="preserve">ЗК-1126</x:t>
        </x:is>
      </x:c>
      <x:c r="I599" s="31" t="n"/>
      <x:c r="J599" s="31" t="inlineStr">
        <x:is>
          <x:t xml:space="preserve">Брак/карантин</x:t>
        </x:is>
      </x:c>
      <x:c r="K599" s="31" t="inlineStr">
        <x:is>
          <x:t xml:space="preserve">СОТР-033</x:t>
        </x:is>
      </x:c>
      <x:c r="L599" s="31" t="inlineStr">
        <x:is>
          <x:t xml:space="preserve">ДОК-6232</x:t>
        </x:is>
      </x:c>
      <x:c r="M599" s="31" t="inlineStr">
        <x:is>
          <x:t xml:space="preserve">Проведен</x:t>
        </x:is>
      </x:c>
    </x:row>
    <x:row r="600">
      <x:c r="A600" s="31" t="inlineStr">
        <x:is>
          <x:t xml:space="preserve">СКЛ-000599</x:t>
        </x:is>
      </x:c>
      <x:c r="B600" s="31" t="n">
        <x:v>46180</x:v>
      </x:c>
      <x:c r="C600" s="31" t="inlineStr">
        <x:is>
          <x:t xml:space="preserve">Корректировка</x:t>
        </x:is>
      </x:c>
      <x:c r="D600" s="31" t="inlineStr">
        <x:is>
          <x:t xml:space="preserve">МАТ-0064</x:t>
        </x:is>
      </x:c>
      <x:c r="E600" s="31" t="inlineStr">
        <x:is>
          <x:t xml:space="preserve">Кабель ВВГнг 3×2.5 / исп.2</x:t>
        </x:is>
      </x:c>
      <x:c r="F600" s="31" t="n">
        <x:v>17</x:v>
      </x:c>
      <x:c r="G600" s="31" t="inlineStr">
        <x:is>
          <x:t xml:space="preserve">шт</x:t>
        </x:is>
      </x:c>
      <x:c r="H600" s="31" t="n"/>
      <x:c r="I600" s="31" t="n"/>
      <x:c r="J600" s="31" t="inlineStr">
        <x:is>
          <x:t xml:space="preserve">Основной склад</x:t>
        </x:is>
      </x:c>
      <x:c r="K600" s="31" t="inlineStr">
        <x:is>
          <x:t xml:space="preserve">СОТР-039</x:t>
        </x:is>
      </x:c>
      <x:c r="L600" s="31" t="inlineStr">
        <x:is>
          <x:t xml:space="preserve">ДОК-8466</x:t>
        </x:is>
      </x:c>
      <x:c r="M600" s="31" t="inlineStr">
        <x:is>
          <x:t xml:space="preserve">Проведен</x:t>
        </x:is>
      </x:c>
    </x:row>
    <x:row r="601">
      <x:c r="A601" s="31" t="inlineStr">
        <x:is>
          <x:t xml:space="preserve">СКЛ-000600</x:t>
        </x:is>
      </x:c>
      <x:c r="B601" s="31" t="n">
        <x:v>46037</x:v>
      </x:c>
      <x:c r="C601" s="31" t="inlineStr">
        <x:is>
          <x:t xml:space="preserve">Резерв</x:t>
        </x:is>
      </x:c>
      <x:c r="D601" s="31" t="inlineStr">
        <x:is>
          <x:t xml:space="preserve">МАТ-0008</x:t>
        </x:is>
      </x:c>
      <x:c r="E601" s="31" t="inlineStr">
        <x:is>
          <x:t xml:space="preserve">Швеллер 12П</x:t>
        </x:is>
      </x:c>
      <x:c r="F601" s="31" t="n">
        <x:v>-15</x:v>
      </x:c>
      <x:c r="G601" s="31" t="inlineStr">
        <x:is>
          <x:t xml:space="preserve">шт</x:t>
        </x:is>
      </x:c>
      <x:c r="H601" s="31" t="inlineStr">
        <x:is>
          <x:t xml:space="preserve">ЗК-1009</x:t>
        </x:is>
      </x:c>
      <x:c r="I601" s="31" t="n"/>
      <x:c r="J601" s="31" t="inlineStr">
        <x:is>
          <x:t xml:space="preserve">Основной склад</x:t>
        </x:is>
      </x:c>
      <x:c r="K601" s="31" t="inlineStr">
        <x:is>
          <x:t xml:space="preserve">СОТР-024</x:t>
        </x:is>
      </x:c>
      <x:c r="L601" s="31" t="inlineStr">
        <x:is>
          <x:t xml:space="preserve">ДОК-7589</x:t>
        </x:is>
      </x:c>
      <x:c r="M601" s="31" t="inlineStr">
        <x:is>
          <x:t xml:space="preserve">Черновик</x:t>
        </x:is>
      </x:c>
    </x:row>
    <x:row r="602">
      <x:c r="A602" s="31" t="inlineStr">
        <x:is>
          <x:t xml:space="preserve">СКЛ-000601</x:t>
        </x:is>
      </x:c>
      <x:c r="B602" s="31" t="n">
        <x:v>46076</x:v>
      </x:c>
      <x:c r="C602" s="31" t="inlineStr">
        <x:is>
          <x:t xml:space="preserve">Выдача в производство</x:t>
        </x:is>
      </x:c>
      <x:c r="D602" s="31" t="inlineStr">
        <x:is>
          <x:t xml:space="preserve">МАТ-0050</x:t>
        </x:is>
      </x:c>
      <x:c r="E602" s="31" t="inlineStr">
        <x:is>
          <x:t xml:space="preserve">панель оператора 7"</x:t>
        </x:is>
      </x:c>
      <x:c r="F602" s="31" t="n">
        <x:v>-13</x:v>
      </x:c>
      <x:c r="G602" s="31" t="inlineStr">
        <x:is>
          <x:t xml:space="preserve">шт</x:t>
        </x:is>
      </x:c>
      <x:c r="H602" s="31" t="inlineStr">
        <x:is>
          <x:t xml:space="preserve">ЗК-1042</x:t>
        </x:is>
      </x:c>
      <x:c r="I602" s="31" t="inlineStr">
        <x:is>
          <x:t xml:space="preserve">ПЗ-00228</x:t>
        </x:is>
      </x:c>
      <x:c r="J602" s="31" t="inlineStr">
        <x:is>
          <x:t xml:space="preserve">Брак/карантин</x:t>
        </x:is>
      </x:c>
      <x:c r="K602" s="31" t="inlineStr">
        <x:is>
          <x:t xml:space="preserve">СОТР-035</x:t>
        </x:is>
      </x:c>
      <x:c r="L602" s="31" t="inlineStr">
        <x:is>
          <x:t xml:space="preserve">ДОК-3129</x:t>
        </x:is>
      </x:c>
      <x:c r="M602" s="31" t="inlineStr">
        <x:is>
          <x:t xml:space="preserve">Проведен</x:t>
        </x:is>
      </x:c>
    </x:row>
    <x:row r="603">
      <x:c r="A603" s="31" t="inlineStr">
        <x:is>
          <x:t xml:space="preserve">СКЛ-000602</x:t>
        </x:is>
      </x:c>
      <x:c r="B603" s="31" t="n">
        <x:v>46186</x:v>
      </x:c>
      <x:c r="C603" s="31" t="inlineStr">
        <x:is>
          <x:t xml:space="preserve">Приход</x:t>
        </x:is>
      </x:c>
      <x:c r="D603" s="31" t="inlineStr">
        <x:is>
          <x:t xml:space="preserve">МАТ-0058</x:t>
        </x:is>
      </x:c>
      <x:c r="E603" s="31" t="inlineStr">
        <x:is>
          <x:t xml:space="preserve">Задвижка Ду100 / исп.3</x:t>
        </x:is>
      </x:c>
      <x:c r="F603" s="31" t="n">
        <x:v>16</x:v>
      </x:c>
      <x:c r="G603" s="31" t="inlineStr">
        <x:is>
          <x:t xml:space="preserve">шт</x:t>
        </x:is>
      </x:c>
      <x:c r="H603" s="31" t="n"/>
      <x:c r="I603" s="31" t="n"/>
      <x:c r="J603" s="31" t="inlineStr">
        <x:is>
          <x:t xml:space="preserve">Основной склад</x:t>
        </x:is>
      </x:c>
      <x:c r="K603" s="31" t="inlineStr">
        <x:is>
          <x:t xml:space="preserve">СОТР-036</x:t>
        </x:is>
      </x:c>
      <x:c r="L603" s="31" t="inlineStr">
        <x:is>
          <x:t xml:space="preserve">ДОК-9045</x:t>
        </x:is>
      </x:c>
      <x:c r="M603" s="31" t="inlineStr">
        <x:is>
          <x:t xml:space="preserve">Проведен</x:t>
        </x:is>
      </x:c>
    </x:row>
    <x:row r="604">
      <x:c r="A604" s="31" t="inlineStr">
        <x:is>
          <x:t xml:space="preserve">СКЛ-000603</x:t>
        </x:is>
      </x:c>
      <x:c r="B604" s="31" t="n">
        <x:v>46163</x:v>
      </x:c>
      <x:c r="C604" s="31" t="inlineStr">
        <x:is>
          <x:t xml:space="preserve">Выдача в производство</x:t>
        </x:is>
      </x:c>
      <x:c r="D604" s="31" t="inlineStr">
        <x:is>
          <x:t xml:space="preserve">МАТ-0066</x:t>
        </x:is>
      </x:c>
      <x:c r="E604" s="31" t="inlineStr">
        <x:is>
          <x:t xml:space="preserve">Гофра металлическая / исп.2</x:t>
        </x:is>
      </x:c>
      <x:c r="F604" s="31" t="n">
        <x:v>-35.83</x:v>
      </x:c>
      <x:c r="G604" s="31" t="inlineStr">
        <x:is>
          <x:t xml:space="preserve">кг</x:t>
        </x:is>
      </x:c>
      <x:c r="H604" s="31" t="inlineStr">
        <x:is>
          <x:t xml:space="preserve">ЗК-1128</x:t>
        </x:is>
      </x:c>
      <x:c r="I604" s="31" t="inlineStr">
        <x:is>
          <x:t xml:space="preserve">ПЗ-00124</x:t>
        </x:is>
      </x:c>
      <x:c r="J604" s="31" t="inlineStr">
        <x:is>
          <x:t xml:space="preserve">Основной склад</x:t>
        </x:is>
      </x:c>
      <x:c r="K604" s="31" t="inlineStr">
        <x:is>
          <x:t xml:space="preserve">СОТР-037</x:t>
        </x:is>
      </x:c>
      <x:c r="L604" s="31" t="inlineStr">
        <x:is>
          <x:t xml:space="preserve">ДОК-3671</x:t>
        </x:is>
      </x:c>
      <x:c r="M604" s="31" t="inlineStr">
        <x:is>
          <x:t xml:space="preserve">Проведен</x:t>
        </x:is>
      </x:c>
    </x:row>
    <x:row r="605">
      <x:c r="A605" s="31" t="inlineStr">
        <x:is>
          <x:t xml:space="preserve">СКЛ-000604</x:t>
        </x:is>
      </x:c>
      <x:c r="B605" s="31" t="n">
        <x:v>46190</x:v>
      </x:c>
      <x:c r="C605" s="31" t="inlineStr">
        <x:is>
          <x:t xml:space="preserve">Приход</x:t>
        </x:is>
      </x:c>
      <x:c r="D605" s="31" t="inlineStr">
        <x:is>
          <x:t xml:space="preserve">МАТ-0084</x:t>
        </x:is>
      </x:c>
      <x:c r="E605" s="31" t="inlineStr">
        <x:is>
          <x:t xml:space="preserve">Поддон 1200×800</x:t>
        </x:is>
      </x:c>
      <x:c r="F605" s="31" t="n">
        <x:v>19</x:v>
      </x:c>
      <x:c r="G605" s="31" t="inlineStr">
        <x:is>
          <x:t xml:space="preserve">шт</x:t>
        </x:is>
      </x:c>
      <x:c r="H605" s="31" t="n"/>
      <x:c r="I605" s="31" t="n"/>
      <x:c r="J605" s="31" t="inlineStr">
        <x:is>
          <x:t xml:space="preserve">Основной склад</x:t>
        </x:is>
      </x:c>
      <x:c r="K605" s="31" t="inlineStr">
        <x:is>
          <x:t xml:space="preserve">СОТР-035</x:t>
        </x:is>
      </x:c>
      <x:c r="L605" s="31" t="inlineStr">
        <x:is>
          <x:t xml:space="preserve">ДОК-7370</x:t>
        </x:is>
      </x:c>
      <x:c r="M605" s="31" t="inlineStr">
        <x:is>
          <x:t xml:space="preserve">Проведен</x:t>
        </x:is>
      </x:c>
    </x:row>
    <x:row r="606">
      <x:c r="A606" s="31" t="inlineStr">
        <x:is>
          <x:t xml:space="preserve">СКЛ-000605</x:t>
        </x:is>
      </x:c>
      <x:c r="B606" s="31" t="n">
        <x:v>46123</x:v>
      </x:c>
      <x:c r="C606" s="31" t="inlineStr">
        <x:is>
          <x:t xml:space="preserve">Возврат</x:t>
        </x:is>
      </x:c>
      <x:c r="D606" s="31" t="inlineStr">
        <x:is>
          <x:t xml:space="preserve">МАТ-0014</x:t>
        </x:is>
      </x:c>
      <x:c r="E606" s="31" t="inlineStr">
        <x:is>
          <x:t xml:space="preserve">Уголок 50×5 / исп.2</x:t>
        </x:is>
      </x:c>
      <x:c r="F606" s="31" t="n">
        <x:v>10</x:v>
      </x:c>
      <x:c r="G606" s="31" t="inlineStr">
        <x:is>
          <x:t xml:space="preserve">шт</x:t>
        </x:is>
      </x:c>
      <x:c r="H606" s="31" t="n"/>
      <x:c r="I606" s="31" t="n"/>
      <x:c r="J606" s="31" t="inlineStr">
        <x:is>
          <x:t xml:space="preserve">Основной склад</x:t>
        </x:is>
      </x:c>
      <x:c r="K606" s="31" t="inlineStr">
        <x:is>
          <x:t xml:space="preserve">СОТР-033</x:t>
        </x:is>
      </x:c>
      <x:c r="L606" s="31" t="inlineStr">
        <x:is>
          <x:t xml:space="preserve">ДОК-9934</x:t>
        </x:is>
      </x:c>
      <x:c r="M606" s="31" t="inlineStr">
        <x:is>
          <x:t xml:space="preserve">Проведен</x:t>
        </x:is>
      </x:c>
    </x:row>
    <x:row r="607">
      <x:c r="A607" s="31" t="inlineStr">
        <x:is>
          <x:t xml:space="preserve">СКЛ-000606</x:t>
        </x:is>
      </x:c>
      <x:c r="B607" s="31" t="n">
        <x:v>46176</x:v>
      </x:c>
      <x:c r="C607" s="31" t="inlineStr">
        <x:is>
          <x:t xml:space="preserve">Списание</x:t>
        </x:is>
      </x:c>
      <x:c r="D607" s="31" t="inlineStr">
        <x:is>
          <x:t xml:space="preserve">МАТ-0065</x:t>
        </x:is>
      </x:c>
      <x:c r="E607" s="31" t="inlineStr">
        <x:is>
          <x:t xml:space="preserve">Гофра металлическая</x:t>
        </x:is>
      </x:c>
      <x:c r="F607" s="31" t="n">
        <x:v>-15</x:v>
      </x:c>
      <x:c r="G607" s="31" t="inlineStr">
        <x:is>
          <x:t xml:space="preserve">шт</x:t>
        </x:is>
      </x:c>
      <x:c r="H607" s="31" t="n"/>
      <x:c r="I607" s="31" t="n"/>
      <x:c r="J607" s="31" t="inlineStr">
        <x:is>
          <x:t xml:space="preserve">Основной склад</x:t>
        </x:is>
      </x:c>
      <x:c r="K607" s="31" t="inlineStr">
        <x:is>
          <x:t xml:space="preserve">СОТР-034</x:t>
        </x:is>
      </x:c>
      <x:c r="L607" s="31" t="inlineStr">
        <x:is>
          <x:t xml:space="preserve">ДОК-7549</x:t>
        </x:is>
      </x:c>
      <x:c r="M607" s="31" t="inlineStr">
        <x:is>
          <x:t xml:space="preserve">Проведен</x:t>
        </x:is>
      </x:c>
    </x:row>
    <x:row r="608">
      <x:c r="A608" s="31" t="inlineStr">
        <x:is>
          <x:t xml:space="preserve">СКЛ-000607</x:t>
        </x:is>
      </x:c>
      <x:c r="B608" s="31" t="n">
        <x:v>46121</x:v>
      </x:c>
      <x:c r="C608" s="31" t="inlineStr">
        <x:is>
          <x:t xml:space="preserve">Приход</x:t>
        </x:is>
      </x:c>
      <x:c r="D608" s="31" t="inlineStr">
        <x:is>
          <x:t xml:space="preserve">МАТ-0078</x:t>
        </x:is>
      </x:c>
      <x:c r="E608" s="31" t="inlineStr">
        <x:is>
          <x:t xml:space="preserve">Гайка М12</x:t>
        </x:is>
      </x:c>
      <x:c r="F608" s="31" t="n">
        <x:v>14</x:v>
      </x:c>
      <x:c r="G608" s="31" t="inlineStr">
        <x:is>
          <x:t xml:space="preserve">шт</x:t>
        </x:is>
      </x:c>
      <x:c r="H608" s="31" t="n"/>
      <x:c r="I608" s="31" t="n"/>
      <x:c r="J608" s="31" t="inlineStr">
        <x:is>
          <x:t xml:space="preserve">Основной склад</x:t>
        </x:is>
      </x:c>
      <x:c r="K608" s="31" t="inlineStr">
        <x:is>
          <x:t xml:space="preserve">СОТР-037</x:t>
        </x:is>
      </x:c>
      <x:c r="L608" s="31" t="inlineStr">
        <x:is>
          <x:t xml:space="preserve">ДОК-3718</x:t>
        </x:is>
      </x:c>
      <x:c r="M608" s="31" t="inlineStr">
        <x:is>
          <x:t xml:space="preserve">Проведен</x:t>
        </x:is>
      </x:c>
    </x:row>
    <x:row r="609">
      <x:c r="A609" s="31" t="inlineStr">
        <x:is>
          <x:t xml:space="preserve">СКЛ-000608</x:t>
        </x:is>
      </x:c>
      <x:c r="B609" s="31" t="n">
        <x:v>46056</x:v>
      </x:c>
      <x:c r="C609" s="31" t="inlineStr">
        <x:is>
          <x:t xml:space="preserve">Резерв</x:t>
        </x:is>
      </x:c>
      <x:c r="D609" s="31" t="inlineStr">
        <x:is>
          <x:t xml:space="preserve">МАТ-0037</x:t>
        </x:is>
      </x:c>
      <x:c r="E609" s="31" t="inlineStr">
        <x:is>
          <x:t xml:space="preserve">Клапан электромагнитный 24В / исп.3</x:t>
        </x:is>
      </x:c>
      <x:c r="F609" s="31" t="n">
        <x:v>-16</x:v>
      </x:c>
      <x:c r="G609" s="31" t="inlineStr">
        <x:is>
          <x:t xml:space="preserve">шт</x:t>
        </x:is>
      </x:c>
      <x:c r="H609" s="31" t="inlineStr">
        <x:is>
          <x:t xml:space="preserve">ЗК-1106</x:t>
        </x:is>
      </x:c>
      <x:c r="I609" s="31" t="n"/>
      <x:c r="J609" s="31" t="inlineStr">
        <x:is>
          <x:t xml:space="preserve">Основной склад</x:t>
        </x:is>
      </x:c>
      <x:c r="K609" s="31" t="inlineStr">
        <x:is>
          <x:t xml:space="preserve">СОТР-037</x:t>
        </x:is>
      </x:c>
      <x:c r="L609" s="31" t="inlineStr">
        <x:is>
          <x:t xml:space="preserve">ДОК-4668</x:t>
        </x:is>
      </x:c>
      <x:c r="M609" s="31" t="inlineStr">
        <x:is>
          <x:t xml:space="preserve">Проведен</x:t>
        </x:is>
      </x:c>
    </x:row>
    <x:row r="610">
      <x:c r="A610" s="31" t="inlineStr">
        <x:is>
          <x:t xml:space="preserve">СКЛ-000609</x:t>
        </x:is>
      </x:c>
      <x:c r="B610" s="31" t="n">
        <x:v>46177</x:v>
      </x:c>
      <x:c r="C610" s="31" t="inlineStr">
        <x:is>
          <x:t xml:space="preserve">Приход</x:t>
        </x:is>
      </x:c>
      <x:c r="D610" s="31" t="inlineStr">
        <x:is>
          <x:t xml:space="preserve">МАТ-0027</x:t>
        </x:is>
      </x:c>
      <x:c r="E610" s="31" t="inlineStr">
        <x:is>
          <x:t xml:space="preserve">Двигатель 22 кВт</x:t>
        </x:is>
      </x:c>
      <x:c r="F610" s="31" t="n">
        <x:v>15</x:v>
      </x:c>
      <x:c r="G610" s="31" t="inlineStr">
        <x:is>
          <x:t xml:space="preserve">шт</x:t>
        </x:is>
      </x:c>
      <x:c r="H610" s="31" t="n"/>
      <x:c r="I610" s="31" t="n"/>
      <x:c r="J610" s="31" t="inlineStr">
        <x:is>
          <x:t xml:space="preserve">Брак/карантин</x:t>
        </x:is>
      </x:c>
      <x:c r="K610" s="31" t="inlineStr">
        <x:is>
          <x:t xml:space="preserve">СОТР-035</x:t>
        </x:is>
      </x:c>
      <x:c r="L610" s="31" t="inlineStr">
        <x:is>
          <x:t xml:space="preserve">ДОК-2167</x:t>
        </x:is>
      </x:c>
      <x:c r="M610" s="31" t="inlineStr">
        <x:is>
          <x:t xml:space="preserve">Проведен</x:t>
        </x:is>
      </x:c>
    </x:row>
    <x:row r="611">
      <x:c r="A611" s="31" t="inlineStr">
        <x:is>
          <x:t xml:space="preserve">СКЛ-000610</x:t>
        </x:is>
      </x:c>
      <x:c r="B611" s="31" t="n">
        <x:v>46047</x:v>
      </x:c>
      <x:c r="C611" s="31" t="inlineStr">
        <x:is>
          <x:t xml:space="preserve">Выдача в производство</x:t>
        </x:is>
      </x:c>
      <x:c r="D611" s="31" t="inlineStr">
        <x:is>
          <x:t xml:space="preserve">МАТ-0028</x:t>
        </x:is>
      </x:c>
      <x:c r="E611" s="31" t="inlineStr">
        <x:is>
          <x:t xml:space="preserve">Частотный преобразователь 15 кВт</x:t>
        </x:is>
      </x:c>
      <x:c r="F611" s="31" t="n">
        <x:v>-13</x:v>
      </x:c>
      <x:c r="G611" s="31" t="inlineStr">
        <x:is>
          <x:t xml:space="preserve">шт</x:t>
        </x:is>
      </x:c>
      <x:c r="H611" s="31" t="inlineStr">
        <x:is>
          <x:t xml:space="preserve">ЗК-1100</x:t>
        </x:is>
      </x:c>
      <x:c r="I611" s="31" t="inlineStr">
        <x:is>
          <x:t xml:space="preserve">ПЗ-00169</x:t>
        </x:is>
      </x:c>
      <x:c r="J611" s="31" t="inlineStr">
        <x:is>
          <x:t xml:space="preserve">Основной склад</x:t>
        </x:is>
      </x:c>
      <x:c r="K611" s="31" t="inlineStr">
        <x:is>
          <x:t xml:space="preserve">СОТР-038</x:t>
        </x:is>
      </x:c>
      <x:c r="L611" s="31" t="inlineStr">
        <x:is>
          <x:t xml:space="preserve">ДОК-2552</x:t>
        </x:is>
      </x:c>
      <x:c r="M611" s="31" t="inlineStr">
        <x:is>
          <x:t xml:space="preserve">Проведен</x:t>
        </x:is>
      </x:c>
    </x:row>
    <x:row r="612">
      <x:c r="A612" s="31" t="inlineStr">
        <x:is>
          <x:t xml:space="preserve">СКЛ-000611</x:t>
        </x:is>
      </x:c>
      <x:c r="B612" s="31" t="n">
        <x:v>46059</x:v>
      </x:c>
      <x:c r="C612" s="31" t="inlineStr">
        <x:is>
          <x:t xml:space="preserve">Резерв</x:t>
        </x:is>
      </x:c>
      <x:c r="D612" s="31" t="inlineStr">
        <x:is>
          <x:t xml:space="preserve">МАТ-0049</x:t>
        </x:is>
      </x:c>
      <x:c r="E612" s="31" t="inlineStr">
        <x:is>
          <x:t xml:space="preserve">Рейковая клемма</x:t>
        </x:is>
      </x:c>
      <x:c r="F612" s="31" t="n">
        <x:v>-5</x:v>
      </x:c>
      <x:c r="G612" s="31" t="inlineStr">
        <x:is>
          <x:t xml:space="preserve">шт</x:t>
        </x:is>
      </x:c>
      <x:c r="H612" s="31" t="inlineStr">
        <x:is>
          <x:t xml:space="preserve">ЗК-1012</x:t>
        </x:is>
      </x:c>
      <x:c r="I612" s="31" t="n"/>
      <x:c r="J612" s="31" t="inlineStr">
        <x:is>
          <x:t xml:space="preserve">Цеховой склад</x:t>
        </x:is>
      </x:c>
      <x:c r="K612" s="31" t="inlineStr">
        <x:is>
          <x:t xml:space="preserve">СОТР-024</x:t>
        </x:is>
      </x:c>
      <x:c r="L612" s="31" t="inlineStr">
        <x:is>
          <x:t xml:space="preserve">ДОК-1710</x:t>
        </x:is>
      </x:c>
      <x:c r="M612" s="31" t="inlineStr">
        <x:is>
          <x:t xml:space="preserve">Проведен</x:t>
        </x:is>
      </x:c>
    </x:row>
    <x:row r="613">
      <x:c r="A613" s="31" t="inlineStr">
        <x:is>
          <x:t xml:space="preserve">СКЛ-000612</x:t>
        </x:is>
      </x:c>
      <x:c r="B613" s="31" t="n">
        <x:v>46122</x:v>
      </x:c>
      <x:c r="C613" s="31" t="inlineStr">
        <x:is>
          <x:t xml:space="preserve">Резерв</x:t>
        </x:is>
      </x:c>
      <x:c r="D613" s="31" t="inlineStr">
        <x:is>
          <x:t xml:space="preserve">МАТ-0068</x:t>
        </x:is>
      </x:c>
      <x:c r="E613" s="31" t="inlineStr">
        <x:is>
          <x:t xml:space="preserve">Грунт эпоксидный</x:t>
        </x:is>
      </x:c>
      <x:c r="F613" s="31" t="n">
        <x:v>-61.92</x:v>
      </x:c>
      <x:c r="G613" s="31" t="inlineStr">
        <x:is>
          <x:t xml:space="preserve">л</x:t>
        </x:is>
      </x:c>
      <x:c r="H613" s="31" t="inlineStr">
        <x:is>
          <x:t xml:space="preserve">ЗК-1123</x:t>
        </x:is>
      </x:c>
      <x:c r="I613" s="31" t="n"/>
      <x:c r="J613" s="31" t="inlineStr">
        <x:is>
          <x:t xml:space="preserve">Цеховой склад</x:t>
        </x:is>
      </x:c>
      <x:c r="K613" s="31" t="inlineStr">
        <x:is>
          <x:t xml:space="preserve">СОТР-039</x:t>
        </x:is>
      </x:c>
      <x:c r="L613" s="31" t="inlineStr">
        <x:is>
          <x:t xml:space="preserve">ДОК-1924</x:t>
        </x:is>
      </x:c>
      <x:c r="M613" s="31" t="inlineStr">
        <x:is>
          <x:t xml:space="preserve">Проведен</x:t>
        </x:is>
      </x:c>
    </x:row>
    <x:row r="614">
      <x:c r="A614" s="31" t="inlineStr">
        <x:is>
          <x:t xml:space="preserve">СКЛ-000613</x:t>
        </x:is>
      </x:c>
      <x:c r="B614" s="31" t="n">
        <x:v>46114</x:v>
      </x:c>
      <x:c r="C614" s="31" t="inlineStr">
        <x:is>
          <x:t xml:space="preserve">Приход</x:t>
        </x:is>
      </x:c>
      <x:c r="D614" s="31" t="inlineStr">
        <x:is>
          <x:t xml:space="preserve">МАТ-0045</x:t>
        </x:is>
      </x:c>
      <x:c r="E614" s="31" t="inlineStr">
        <x:is>
          <x:t xml:space="preserve">Автоматический выключатель 16А</x:t>
        </x:is>
      </x:c>
      <x:c r="F614" s="31" t="n">
        <x:v>5</x:v>
      </x:c>
      <x:c r="G614" s="31" t="inlineStr">
        <x:is>
          <x:t xml:space="preserve">шт</x:t>
        </x:is>
      </x:c>
      <x:c r="H614" s="31" t="n"/>
      <x:c r="I614" s="31" t="n"/>
      <x:c r="J614" s="31" t="inlineStr">
        <x:is>
          <x:t xml:space="preserve">Основной склад</x:t>
        </x:is>
      </x:c>
      <x:c r="K614" s="31" t="inlineStr">
        <x:is>
          <x:t xml:space="preserve">СОТР-024</x:t>
        </x:is>
      </x:c>
      <x:c r="L614" s="31" t="inlineStr">
        <x:is>
          <x:t xml:space="preserve">ДОК-7910</x:t>
        </x:is>
      </x:c>
      <x:c r="M614" s="31" t="inlineStr">
        <x:is>
          <x:t xml:space="preserve">Проведен</x:t>
        </x:is>
      </x:c>
    </x:row>
    <x:row r="615">
      <x:c r="A615" s="31" t="inlineStr">
        <x:is>
          <x:t xml:space="preserve">СКЛ-000614</x:t>
        </x:is>
      </x:c>
      <x:c r="B615" s="31" t="n">
        <x:v>46129</x:v>
      </x:c>
      <x:c r="C615" s="31" t="inlineStr">
        <x:is>
          <x:t xml:space="preserve">Выдача в производство</x:t>
        </x:is>
      </x:c>
      <x:c r="D615" s="31" t="inlineStr">
        <x:is>
          <x:t xml:space="preserve">МАТ-0079</x:t>
        </x:is>
      </x:c>
      <x:c r="E615" s="31" t="inlineStr">
        <x:is>
          <x:t xml:space="preserve">Гайка М12 / исп.2</x:t>
        </x:is>
      </x:c>
      <x:c r="F615" s="31" t="n">
        <x:v>-16</x:v>
      </x:c>
      <x:c r="G615" s="31" t="inlineStr">
        <x:is>
          <x:t xml:space="preserve">шт</x:t>
        </x:is>
      </x:c>
      <x:c r="H615" s="31" t="inlineStr">
        <x:is>
          <x:t xml:space="preserve">ЗК-1067</x:t>
        </x:is>
      </x:c>
      <x:c r="I615" s="31" t="inlineStr">
        <x:is>
          <x:t xml:space="preserve">ПЗ-00111</x:t>
        </x:is>
      </x:c>
      <x:c r="J615" s="31" t="inlineStr">
        <x:is>
          <x:t xml:space="preserve">Брак/карантин</x:t>
        </x:is>
      </x:c>
      <x:c r="K615" s="31" t="inlineStr">
        <x:is>
          <x:t xml:space="preserve">СОТР-035</x:t>
        </x:is>
      </x:c>
      <x:c r="L615" s="31" t="inlineStr">
        <x:is>
          <x:t xml:space="preserve">ДОК-3795</x:t>
        </x:is>
      </x:c>
      <x:c r="M615" s="31" t="inlineStr">
        <x:is>
          <x:t xml:space="preserve">Проведен</x:t>
        </x:is>
      </x:c>
    </x:row>
    <x:row r="616">
      <x:c r="A616" s="31" t="inlineStr">
        <x:is>
          <x:t xml:space="preserve">СКЛ-000615</x:t>
        </x:is>
      </x:c>
      <x:c r="B616" s="31" t="n">
        <x:v>46129</x:v>
      </x:c>
      <x:c r="C616" s="31" t="inlineStr">
        <x:is>
          <x:t xml:space="preserve">Выдача в производство</x:t>
        </x:is>
      </x:c>
      <x:c r="D616" s="31" t="inlineStr">
        <x:is>
          <x:t xml:space="preserve">МАТ-0060</x:t>
        </x:is>
      </x:c>
      <x:c r="E616" s="31" t="inlineStr">
        <x:is>
          <x:t xml:space="preserve">Фильтр сетчатый Ду50 / исп.2</x:t>
        </x:is>
      </x:c>
      <x:c r="F616" s="31" t="n">
        <x:v>-10</x:v>
      </x:c>
      <x:c r="G616" s="31" t="inlineStr">
        <x:is>
          <x:t xml:space="preserve">шт</x:t>
        </x:is>
      </x:c>
      <x:c r="H616" s="31" t="inlineStr">
        <x:is>
          <x:t xml:space="preserve">ЗК-1038</x:t>
        </x:is>
      </x:c>
      <x:c r="I616" s="31" t="inlineStr">
        <x:is>
          <x:t xml:space="preserve">ПЗ-00255</x:t>
        </x:is>
      </x:c>
      <x:c r="J616" s="31" t="inlineStr">
        <x:is>
          <x:t xml:space="preserve">Цеховой склад</x:t>
        </x:is>
      </x:c>
      <x:c r="K616" s="31" t="inlineStr">
        <x:is>
          <x:t xml:space="preserve">СОТР-034</x:t>
        </x:is>
      </x:c>
      <x:c r="L616" s="31" t="inlineStr">
        <x:is>
          <x:t xml:space="preserve">ДОК-7475</x:t>
        </x:is>
      </x:c>
      <x:c r="M616" s="31" t="inlineStr">
        <x:is>
          <x:t xml:space="preserve">Черновик</x:t>
        </x:is>
      </x:c>
    </x:row>
    <x:row r="617">
      <x:c r="A617" s="31" t="inlineStr">
        <x:is>
          <x:t xml:space="preserve">СКЛ-000616</x:t>
        </x:is>
      </x:c>
      <x:c r="B617" s="31" t="n">
        <x:v>46050</x:v>
      </x:c>
      <x:c r="C617" s="31" t="inlineStr">
        <x:is>
          <x:t xml:space="preserve">Выдача в производство</x:t>
        </x:is>
      </x:c>
      <x:c r="D617" s="31" t="inlineStr">
        <x:is>
          <x:t xml:space="preserve">МАТ-0087</x:t>
        </x:is>
      </x:c>
      <x:c r="E617" s="31" t="inlineStr">
        <x:is>
          <x:t xml:space="preserve">Ящик фанерный</x:t>
        </x:is>
      </x:c>
      <x:c r="F617" s="31" t="n">
        <x:v>-3</x:v>
      </x:c>
      <x:c r="G617" s="31" t="inlineStr">
        <x:is>
          <x:t xml:space="preserve">шт</x:t>
        </x:is>
      </x:c>
      <x:c r="H617" s="31" t="inlineStr">
        <x:is>
          <x:t xml:space="preserve">ЗК-1064</x:t>
        </x:is>
      </x:c>
      <x:c r="I617" s="31" t="inlineStr">
        <x:is>
          <x:t xml:space="preserve">ПЗ-00100</x:t>
        </x:is>
      </x:c>
      <x:c r="J617" s="31" t="inlineStr">
        <x:is>
          <x:t xml:space="preserve">Цеховой склад</x:t>
        </x:is>
      </x:c>
      <x:c r="K617" s="31" t="inlineStr">
        <x:is>
          <x:t xml:space="preserve">СОТР-037</x:t>
        </x:is>
      </x:c>
      <x:c r="L617" s="31" t="inlineStr">
        <x:is>
          <x:t xml:space="preserve">ДОК-3679</x:t>
        </x:is>
      </x:c>
      <x:c r="M617" s="31" t="inlineStr">
        <x:is>
          <x:t xml:space="preserve">Проведен</x:t>
        </x:is>
      </x:c>
    </x:row>
    <x:row r="618">
      <x:c r="A618" s="31" t="inlineStr">
        <x:is>
          <x:t xml:space="preserve">СКЛ-000617</x:t>
        </x:is>
      </x:c>
      <x:c r="B618" s="31" t="n">
        <x:v>46114</x:v>
      </x:c>
      <x:c r="C618" s="31" t="inlineStr">
        <x:is>
          <x:t xml:space="preserve">Выдача в производство</x:t>
        </x:is>
      </x:c>
      <x:c r="D618" s="31" t="inlineStr">
        <x:is>
          <x:t xml:space="preserve">МАТ-0027</x:t>
        </x:is>
      </x:c>
      <x:c r="E618" s="31" t="inlineStr">
        <x:is>
          <x:t xml:space="preserve">Двигатель 22 кВт</x:t>
        </x:is>
      </x:c>
      <x:c r="F618" s="31" t="n">
        <x:v>-15</x:v>
      </x:c>
      <x:c r="G618" s="31" t="inlineStr">
        <x:is>
          <x:t xml:space="preserve">шт</x:t>
        </x:is>
      </x:c>
      <x:c r="H618" s="31" t="inlineStr">
        <x:is>
          <x:t xml:space="preserve">ЗК-1030</x:t>
        </x:is>
      </x:c>
      <x:c r="I618" s="31" t="inlineStr">
        <x:is>
          <x:t xml:space="preserve">ПЗ-00014</x:t>
        </x:is>
      </x:c>
      <x:c r="J618" s="31" t="inlineStr">
        <x:is>
          <x:t xml:space="preserve">Основной склад</x:t>
        </x:is>
      </x:c>
      <x:c r="K618" s="31" t="inlineStr">
        <x:is>
          <x:t xml:space="preserve">СОТР-035</x:t>
        </x:is>
      </x:c>
      <x:c r="L618" s="31" t="inlineStr">
        <x:is>
          <x:t xml:space="preserve">ДОК-2589</x:t>
        </x:is>
      </x:c>
      <x:c r="M618" s="31" t="inlineStr">
        <x:is>
          <x:t xml:space="preserve">Проведен</x:t>
        </x:is>
      </x:c>
    </x:row>
    <x:row r="619">
      <x:c r="A619" s="31" t="inlineStr">
        <x:is>
          <x:t xml:space="preserve">СКЛ-000618</x:t>
        </x:is>
      </x:c>
      <x:c r="B619" s="31" t="n">
        <x:v>46099</x:v>
      </x:c>
      <x:c r="C619" s="31" t="inlineStr">
        <x:is>
          <x:t xml:space="preserve">Резерв</x:t>
        </x:is>
      </x:c>
      <x:c r="D619" s="31" t="inlineStr">
        <x:is>
          <x:t xml:space="preserve">МАТ-0084</x:t>
        </x:is>
      </x:c>
      <x:c r="E619" s="31" t="inlineStr">
        <x:is>
          <x:t xml:space="preserve">Поддон 1200×800</x:t>
        </x:is>
      </x:c>
      <x:c r="F619" s="31" t="n">
        <x:v>-20</x:v>
      </x:c>
      <x:c r="G619" s="31" t="inlineStr">
        <x:is>
          <x:t xml:space="preserve">шт</x:t>
        </x:is>
      </x:c>
      <x:c r="H619" s="31" t="inlineStr">
        <x:is>
          <x:t xml:space="preserve">ЗК-1130</x:t>
        </x:is>
      </x:c>
      <x:c r="I619" s="31" t="n"/>
      <x:c r="J619" s="31" t="inlineStr">
        <x:is>
          <x:t xml:space="preserve">Цеховой склад</x:t>
        </x:is>
      </x:c>
      <x:c r="K619" s="31" t="inlineStr">
        <x:is>
          <x:t xml:space="preserve">СОТР-033</x:t>
        </x:is>
      </x:c>
      <x:c r="L619" s="31" t="inlineStr">
        <x:is>
          <x:t xml:space="preserve">ДОК-7153</x:t>
        </x:is>
      </x:c>
      <x:c r="M619" s="31" t="inlineStr">
        <x:is>
          <x:t xml:space="preserve">Проведен</x:t>
        </x:is>
      </x:c>
    </x:row>
    <x:row r="620">
      <x:c r="A620" s="31" t="inlineStr">
        <x:is>
          <x:t xml:space="preserve">СКЛ-000619</x:t>
        </x:is>
      </x:c>
      <x:c r="B620" s="31" t="n">
        <x:v>46197</x:v>
      </x:c>
      <x:c r="C620" s="31" t="inlineStr">
        <x:is>
          <x:t xml:space="preserve">Корректировка</x:t>
        </x:is>
      </x:c>
      <x:c r="D620" s="31" t="inlineStr">
        <x:is>
          <x:t xml:space="preserve">МАТ-0041</x:t>
        </x:is>
      </x:c>
      <x:c r="E620" s="31" t="inlineStr">
        <x:is>
          <x:t xml:space="preserve">модуль аналогового входа 4 канала / исп.2</x:t>
        </x:is>
      </x:c>
      <x:c r="F620" s="31" t="n">
        <x:v>19</x:v>
      </x:c>
      <x:c r="G620" s="31" t="inlineStr">
        <x:is>
          <x:t xml:space="preserve">шт</x:t>
        </x:is>
      </x:c>
      <x:c r="H620" s="31" t="n"/>
      <x:c r="I620" s="31" t="n"/>
      <x:c r="J620" s="31" t="inlineStr">
        <x:is>
          <x:t xml:space="preserve">Основной склад</x:t>
        </x:is>
      </x:c>
      <x:c r="K620" s="31" t="inlineStr">
        <x:is>
          <x:t xml:space="preserve">СОТР-036</x:t>
        </x:is>
      </x:c>
      <x:c r="L620" s="31" t="inlineStr">
        <x:is>
          <x:t xml:space="preserve">ДОК-4317</x:t>
        </x:is>
      </x:c>
      <x:c r="M620" s="31" t="inlineStr">
        <x:is>
          <x:t xml:space="preserve">Проведен</x:t>
        </x:is>
      </x:c>
    </x:row>
    <x:row r="621">
      <x:c r="A621" s="31" t="inlineStr">
        <x:is>
          <x:t xml:space="preserve">СКЛ-000620</x:t>
        </x:is>
      </x:c>
      <x:c r="B621" s="31" t="n">
        <x:v>46067</x:v>
      </x:c>
      <x:c r="C621" s="31" t="inlineStr">
        <x:is>
          <x:t xml:space="preserve">Корректировка</x:t>
        </x:is>
      </x:c>
      <x:c r="D621" s="31" t="inlineStr">
        <x:is>
          <x:t xml:space="preserve">МАТ-0001</x:t>
        </x:is>
      </x:c>
      <x:c r="E621" s="31" t="inlineStr">
        <x:is>
          <x:t xml:space="preserve">Лист стальной 09Г2С 8 мм</x:t>
        </x:is>
      </x:c>
      <x:c r="F621" s="31" t="n">
        <x:v>75.88</x:v>
      </x:c>
      <x:c r="G621" s="31" t="inlineStr">
        <x:is>
          <x:t xml:space="preserve">м</x:t>
        </x:is>
      </x:c>
      <x:c r="H621" s="31" t="n"/>
      <x:c r="I621" s="31" t="n"/>
      <x:c r="J621" s="31" t="inlineStr">
        <x:is>
          <x:t xml:space="preserve">Цеховой склад</x:t>
        </x:is>
      </x:c>
      <x:c r="K621" s="31" t="inlineStr">
        <x:is>
          <x:t xml:space="preserve">СОТР-039</x:t>
        </x:is>
      </x:c>
      <x:c r="L621" s="31" t="inlineStr">
        <x:is>
          <x:t xml:space="preserve">ДОК-2219</x:t>
        </x:is>
      </x:c>
      <x:c r="M621" s="31" t="inlineStr">
        <x:is>
          <x:t xml:space="preserve">Проведен</x:t>
        </x:is>
      </x:c>
    </x:row>
    <x:row r="622">
      <x:c r="A622" s="31" t="inlineStr">
        <x:is>
          <x:t xml:space="preserve">СКЛ-000621</x:t>
        </x:is>
      </x:c>
      <x:c r="B622" s="31" t="n">
        <x:v>46201</x:v>
      </x:c>
      <x:c r="C622" s="31" t="inlineStr">
        <x:is>
          <x:t xml:space="preserve">Возврат</x:t>
        </x:is>
      </x:c>
      <x:c r="D622" s="31" t="inlineStr">
        <x:is>
          <x:t xml:space="preserve">МАТ-0058</x:t>
        </x:is>
      </x:c>
      <x:c r="E622" s="31" t="inlineStr">
        <x:is>
          <x:t xml:space="preserve">Задвижка Ду100 / исп.3</x:t>
        </x:is>
      </x:c>
      <x:c r="F622" s="31" t="n">
        <x:v>8</x:v>
      </x:c>
      <x:c r="G622" s="31" t="inlineStr">
        <x:is>
          <x:t xml:space="preserve">шт</x:t>
        </x:is>
      </x:c>
      <x:c r="H622" s="31" t="n"/>
      <x:c r="I622" s="31" t="n"/>
      <x:c r="J622" s="31" t="inlineStr">
        <x:is>
          <x:t xml:space="preserve">Основной склад</x:t>
        </x:is>
      </x:c>
      <x:c r="K622" s="31" t="inlineStr">
        <x:is>
          <x:t xml:space="preserve">СОТР-037</x:t>
        </x:is>
      </x:c>
      <x:c r="L622" s="31" t="inlineStr">
        <x:is>
          <x:t xml:space="preserve">ДОК-1090</x:t>
        </x:is>
      </x:c>
      <x:c r="M622" s="31" t="inlineStr">
        <x:is>
          <x:t xml:space="preserve">Проведен</x:t>
        </x:is>
      </x:c>
    </x:row>
    <x:row r="623">
      <x:c r="A623" s="31" t="inlineStr">
        <x:is>
          <x:t xml:space="preserve">СКЛ-000622</x:t>
        </x:is>
      </x:c>
      <x:c r="B623" s="31" t="n">
        <x:v>46070</x:v>
      </x:c>
      <x:c r="C623" s="31" t="inlineStr">
        <x:is>
          <x:t xml:space="preserve">Резерв</x:t>
        </x:is>
      </x:c>
      <x:c r="D623" s="31" t="inlineStr">
        <x:is>
          <x:t xml:space="preserve">МАТ-0008</x:t>
        </x:is>
      </x:c>
      <x:c r="E623" s="31" t="inlineStr">
        <x:is>
          <x:t xml:space="preserve">Швеллер 12П</x:t>
        </x:is>
      </x:c>
      <x:c r="F623" s="31" t="n">
        <x:v>-18</x:v>
      </x:c>
      <x:c r="G623" s="31" t="inlineStr">
        <x:is>
          <x:t xml:space="preserve">шт</x:t>
        </x:is>
      </x:c>
      <x:c r="H623" s="31" t="inlineStr">
        <x:is>
          <x:t xml:space="preserve">ЗК-1022</x:t>
        </x:is>
      </x:c>
      <x:c r="I623" s="31" t="n"/>
      <x:c r="J623" s="31" t="inlineStr">
        <x:is>
          <x:t xml:space="preserve">Основной склад</x:t>
        </x:is>
      </x:c>
      <x:c r="K623" s="31" t="inlineStr">
        <x:is>
          <x:t xml:space="preserve">СОТР-033</x:t>
        </x:is>
      </x:c>
      <x:c r="L623" s="31" t="inlineStr">
        <x:is>
          <x:t xml:space="preserve">ДОК-1500</x:t>
        </x:is>
      </x:c>
      <x:c r="M623" s="31" t="inlineStr">
        <x:is>
          <x:t xml:space="preserve">Черновик</x:t>
        </x:is>
      </x:c>
    </x:row>
    <x:row r="624">
      <x:c r="A624" s="31" t="inlineStr">
        <x:is>
          <x:t xml:space="preserve">СКЛ-000623</x:t>
        </x:is>
      </x:c>
      <x:c r="B624" s="31" t="n">
        <x:v>46035</x:v>
      </x:c>
      <x:c r="C624" s="31" t="inlineStr">
        <x:is>
          <x:t xml:space="preserve">Выдача в производство</x:t>
        </x:is>
      </x:c>
      <x:c r="D624" s="31" t="inlineStr">
        <x:is>
          <x:t xml:space="preserve">МАТ-0012</x:t>
        </x:is>
      </x:c>
      <x:c r="E624" s="31" t="inlineStr">
        <x:is>
          <x:t xml:space="preserve">Фланец Ду80 Ру16</x:t>
        </x:is>
      </x:c>
      <x:c r="F624" s="31" t="n">
        <x:v>-11.32</x:v>
      </x:c>
      <x:c r="G624" s="31" t="inlineStr">
        <x:is>
          <x:t xml:space="preserve">л</x:t>
        </x:is>
      </x:c>
      <x:c r="H624" s="31" t="inlineStr">
        <x:is>
          <x:t xml:space="preserve">ЗК-1090</x:t>
        </x:is>
      </x:c>
      <x:c r="I624" s="31" t="inlineStr">
        <x:is>
          <x:t xml:space="preserve">ПЗ-00232</x:t>
        </x:is>
      </x:c>
      <x:c r="J624" s="31" t="inlineStr">
        <x:is>
          <x:t xml:space="preserve">Основной склад</x:t>
        </x:is>
      </x:c>
      <x:c r="K624" s="31" t="inlineStr">
        <x:is>
          <x:t xml:space="preserve">СОТР-033</x:t>
        </x:is>
      </x:c>
      <x:c r="L624" s="31" t="inlineStr">
        <x:is>
          <x:t xml:space="preserve">ДОК-5487</x:t>
        </x:is>
      </x:c>
      <x:c r="M624" s="31" t="inlineStr">
        <x:is>
          <x:t xml:space="preserve">Проведен</x:t>
        </x:is>
      </x:c>
    </x:row>
    <x:row r="625">
      <x:c r="A625" s="31" t="inlineStr">
        <x:is>
          <x:t xml:space="preserve">СКЛ-000624</x:t>
        </x:is>
      </x:c>
      <x:c r="B625" s="31" t="n">
        <x:v>46135</x:v>
      </x:c>
      <x:c r="C625" s="31" t="inlineStr">
        <x:is>
          <x:t xml:space="preserve">Резерв</x:t>
        </x:is>
      </x:c>
      <x:c r="D625" s="31" t="inlineStr">
        <x:is>
          <x:t xml:space="preserve">МАТ-0048</x:t>
        </x:is>
      </x:c>
      <x:c r="E625" s="31" t="inlineStr">
        <x:is>
          <x:t xml:space="preserve">Контактор 25А / исп.3</x:t>
        </x:is>
      </x:c>
      <x:c r="F625" s="31" t="n">
        <x:v>-20</x:v>
      </x:c>
      <x:c r="G625" s="31" t="inlineStr">
        <x:is>
          <x:t xml:space="preserve">шт</x:t>
        </x:is>
      </x:c>
      <x:c r="H625" s="31" t="inlineStr">
        <x:is>
          <x:t xml:space="preserve">ЗК-1015</x:t>
        </x:is>
      </x:c>
      <x:c r="I625" s="31" t="n"/>
      <x:c r="J625" s="31" t="inlineStr">
        <x:is>
          <x:t xml:space="preserve">Цеховой склад</x:t>
        </x:is>
      </x:c>
      <x:c r="K625" s="31" t="inlineStr">
        <x:is>
          <x:t xml:space="preserve">СОТР-039</x:t>
        </x:is>
      </x:c>
      <x:c r="L625" s="31" t="inlineStr">
        <x:is>
          <x:t xml:space="preserve">ДОК-7167</x:t>
        </x:is>
      </x:c>
      <x:c r="M625" s="31" t="inlineStr">
        <x:is>
          <x:t xml:space="preserve">Проведен</x:t>
        </x:is>
      </x:c>
    </x:row>
    <x:row r="626">
      <x:c r="A626" s="31" t="inlineStr">
        <x:is>
          <x:t xml:space="preserve">СКЛ-000625</x:t>
        </x:is>
      </x:c>
      <x:c r="B626" s="31" t="n">
        <x:v>46031</x:v>
      </x:c>
      <x:c r="C626" s="31" t="inlineStr">
        <x:is>
          <x:t xml:space="preserve">Выдача в производство</x:t>
        </x:is>
      </x:c>
      <x:c r="D626" s="31" t="inlineStr">
        <x:is>
          <x:t xml:space="preserve">МАТ-0012</x:t>
        </x:is>
      </x:c>
      <x:c r="E626" s="31" t="inlineStr">
        <x:is>
          <x:t xml:space="preserve">Фланец Ду80 Ру16</x:t>
        </x:is>
      </x:c>
      <x:c r="F626" s="31" t="n">
        <x:v>-19.53</x:v>
      </x:c>
      <x:c r="G626" s="31" t="inlineStr">
        <x:is>
          <x:t xml:space="preserve">л</x:t>
        </x:is>
      </x:c>
      <x:c r="H626" s="31" t="inlineStr">
        <x:is>
          <x:t xml:space="preserve">ЗК-1012</x:t>
        </x:is>
      </x:c>
      <x:c r="I626" s="31" t="inlineStr">
        <x:is>
          <x:t xml:space="preserve">ПЗ-00139</x:t>
        </x:is>
      </x:c>
      <x:c r="J626" s="31" t="inlineStr">
        <x:is>
          <x:t xml:space="preserve">Цеховой склад</x:t>
        </x:is>
      </x:c>
      <x:c r="K626" s="31" t="inlineStr">
        <x:is>
          <x:t xml:space="preserve">СОТР-024</x:t>
        </x:is>
      </x:c>
      <x:c r="L626" s="31" t="inlineStr">
        <x:is>
          <x:t xml:space="preserve">ДОК-4037</x:t>
        </x:is>
      </x:c>
      <x:c r="M626" s="31" t="inlineStr">
        <x:is>
          <x:t xml:space="preserve">Проведен</x:t>
        </x:is>
      </x:c>
    </x:row>
    <x:row r="627">
      <x:c r="A627" s="31" t="inlineStr">
        <x:is>
          <x:t xml:space="preserve">СКЛ-000626</x:t>
        </x:is>
      </x:c>
      <x:c r="B627" s="31" t="n">
        <x:v>46149</x:v>
      </x:c>
      <x:c r="C627" s="31" t="inlineStr">
        <x:is>
          <x:t xml:space="preserve">Резерв</x:t>
        </x:is>
      </x:c>
      <x:c r="D627" s="31" t="inlineStr">
        <x:is>
          <x:t xml:space="preserve">МАТ-0048</x:t>
        </x:is>
      </x:c>
      <x:c r="E627" s="31" t="inlineStr">
        <x:is>
          <x:t xml:space="preserve">Контактор 25А / исп.3</x:t>
        </x:is>
      </x:c>
      <x:c r="F627" s="31" t="n">
        <x:v>-10</x:v>
      </x:c>
      <x:c r="G627" s="31" t="inlineStr">
        <x:is>
          <x:t xml:space="preserve">шт</x:t>
        </x:is>
      </x:c>
      <x:c r="H627" s="31" t="inlineStr">
        <x:is>
          <x:t xml:space="preserve">ЗК-1076</x:t>
        </x:is>
      </x:c>
      <x:c r="I627" s="31" t="n"/>
      <x:c r="J627" s="31" t="inlineStr">
        <x:is>
          <x:t xml:space="preserve">Основной склад</x:t>
        </x:is>
      </x:c>
      <x:c r="K627" s="31" t="inlineStr">
        <x:is>
          <x:t xml:space="preserve">СОТР-038</x:t>
        </x:is>
      </x:c>
      <x:c r="L627" s="31" t="inlineStr">
        <x:is>
          <x:t xml:space="preserve">ДОК-6943</x:t>
        </x:is>
      </x:c>
      <x:c r="M627" s="31" t="inlineStr">
        <x:is>
          <x:t xml:space="preserve">Проведен</x:t>
        </x:is>
      </x:c>
    </x:row>
    <x:row r="628">
      <x:c r="A628" s="31" t="inlineStr">
        <x:is>
          <x:t xml:space="preserve">СКЛ-000627</x:t>
        </x:is>
      </x:c>
      <x:c r="B628" s="31" t="n">
        <x:v>46108</x:v>
      </x:c>
      <x:c r="C628" s="31" t="inlineStr">
        <x:is>
          <x:t xml:space="preserve">Выдача в производство</x:t>
        </x:is>
      </x:c>
      <x:c r="D628" s="31" t="inlineStr">
        <x:is>
          <x:t xml:space="preserve">МАТ-0025</x:t>
        </x:is>
      </x:c>
      <x:c r="E628" s="31" t="inlineStr">
        <x:is>
          <x:t xml:space="preserve">Двигатель 7.5 кВт</x:t>
        </x:is>
      </x:c>
      <x:c r="F628" s="31" t="n">
        <x:v>-16</x:v>
      </x:c>
      <x:c r="G628" s="31" t="inlineStr">
        <x:is>
          <x:t xml:space="preserve">шт</x:t>
        </x:is>
      </x:c>
      <x:c r="H628" s="31" t="inlineStr">
        <x:is>
          <x:t xml:space="preserve">ЗК-1117</x:t>
        </x:is>
      </x:c>
      <x:c r="I628" s="31" t="inlineStr">
        <x:is>
          <x:t xml:space="preserve">ПЗ-00245</x:t>
        </x:is>
      </x:c>
      <x:c r="J628" s="31" t="inlineStr">
        <x:is>
          <x:t xml:space="preserve">Основной склад</x:t>
        </x:is>
      </x:c>
      <x:c r="K628" s="31" t="inlineStr">
        <x:is>
          <x:t xml:space="preserve">СОТР-024</x:t>
        </x:is>
      </x:c>
      <x:c r="L628" s="31" t="inlineStr">
        <x:is>
          <x:t xml:space="preserve">ДОК-6530</x:t>
        </x:is>
      </x:c>
      <x:c r="M628" s="31" t="inlineStr">
        <x:is>
          <x:t xml:space="preserve">Проведен</x:t>
        </x:is>
      </x:c>
    </x:row>
    <x:row r="629">
      <x:c r="A629" s="31" t="inlineStr">
        <x:is>
          <x:t xml:space="preserve">СКЛ-000628</x:t>
        </x:is>
      </x:c>
      <x:c r="B629" s="31" t="n">
        <x:v>46069</x:v>
      </x:c>
      <x:c r="C629" s="31" t="inlineStr">
        <x:is>
          <x:t xml:space="preserve">Резерв</x:t>
        </x:is>
      </x:c>
      <x:c r="D629" s="31" t="inlineStr">
        <x:is>
          <x:t xml:space="preserve">МАТ-0067</x:t>
        </x:is>
      </x:c>
      <x:c r="E629" s="31" t="inlineStr">
        <x:is>
          <x:t xml:space="preserve">Кабельный ввод М20</x:t>
        </x:is>
      </x:c>
      <x:c r="F629" s="31" t="n">
        <x:v>-63.59</x:v>
      </x:c>
      <x:c r="G629" s="31" t="inlineStr">
        <x:is>
          <x:t xml:space="preserve">кг</x:t>
        </x:is>
      </x:c>
      <x:c r="H629" s="31" t="inlineStr">
        <x:is>
          <x:t xml:space="preserve">ЗК-1007</x:t>
        </x:is>
      </x:c>
      <x:c r="I629" s="31" t="n"/>
      <x:c r="J629" s="31" t="inlineStr">
        <x:is>
          <x:t xml:space="preserve">Основной склад</x:t>
        </x:is>
      </x:c>
      <x:c r="K629" s="31" t="inlineStr">
        <x:is>
          <x:t xml:space="preserve">СОТР-024</x:t>
        </x:is>
      </x:c>
      <x:c r="L629" s="31" t="inlineStr">
        <x:is>
          <x:t xml:space="preserve">ДОК-5865</x:t>
        </x:is>
      </x:c>
      <x:c r="M629" s="31" t="inlineStr">
        <x:is>
          <x:t xml:space="preserve">Черновик</x:t>
        </x:is>
      </x:c>
    </x:row>
    <x:row r="630">
      <x:c r="A630" s="31" t="inlineStr">
        <x:is>
          <x:t xml:space="preserve">СКЛ-000629</x:t>
        </x:is>
      </x:c>
      <x:c r="B630" s="31" t="n">
        <x:v>46155</x:v>
      </x:c>
      <x:c r="C630" s="31" t="inlineStr">
        <x:is>
          <x:t xml:space="preserve">Выдача в производство</x:t>
        </x:is>
      </x:c>
      <x:c r="D630" s="31" t="inlineStr">
        <x:is>
          <x:t xml:space="preserve">МАТ-0055</x:t>
        </x:is>
      </x:c>
      <x:c r="E630" s="31" t="inlineStr">
        <x:is>
          <x:t xml:space="preserve">Клапан обратный Ду50</x:t>
        </x:is>
      </x:c>
      <x:c r="F630" s="31" t="n">
        <x:v>-10</x:v>
      </x:c>
      <x:c r="G630" s="31" t="inlineStr">
        <x:is>
          <x:t xml:space="preserve">шт</x:t>
        </x:is>
      </x:c>
      <x:c r="H630" s="31" t="inlineStr">
        <x:is>
          <x:t xml:space="preserve">ЗК-1042</x:t>
        </x:is>
      </x:c>
      <x:c r="I630" s="31" t="inlineStr">
        <x:is>
          <x:t xml:space="preserve">ПЗ-00061</x:t>
        </x:is>
      </x:c>
      <x:c r="J630" s="31" t="inlineStr">
        <x:is>
          <x:t xml:space="preserve">Основной склад</x:t>
        </x:is>
      </x:c>
      <x:c r="K630" s="31" t="inlineStr">
        <x:is>
          <x:t xml:space="preserve">СОТР-038</x:t>
        </x:is>
      </x:c>
      <x:c r="L630" s="31" t="inlineStr">
        <x:is>
          <x:t xml:space="preserve">ДОК-2600</x:t>
        </x:is>
      </x:c>
      <x:c r="M630" s="31" t="inlineStr">
        <x:is>
          <x:t xml:space="preserve">Проведен</x:t>
        </x:is>
      </x:c>
    </x:row>
    <x:row r="631">
      <x:c r="A631" s="31" t="inlineStr">
        <x:is>
          <x:t xml:space="preserve">СКЛ-000630</x:t>
        </x:is>
      </x:c>
      <x:c r="B631" s="31" t="n">
        <x:v>46087</x:v>
      </x:c>
      <x:c r="C631" s="31" t="inlineStr">
        <x:is>
          <x:t xml:space="preserve">Приход</x:t>
        </x:is>
      </x:c>
      <x:c r="D631" s="31" t="inlineStr">
        <x:is>
          <x:t xml:space="preserve">МАТ-0043</x:t>
        </x:is>
      </x:c>
      <x:c r="E631" s="31" t="inlineStr">
        <x:is>
          <x:t xml:space="preserve">Блок питания 24В</x:t>
        </x:is>
      </x:c>
      <x:c r="F631" s="31" t="n">
        <x:v>15</x:v>
      </x:c>
      <x:c r="G631" s="31" t="inlineStr">
        <x:is>
          <x:t xml:space="preserve">шт</x:t>
        </x:is>
      </x:c>
      <x:c r="H631" s="31" t="n"/>
      <x:c r="I631" s="31" t="n"/>
      <x:c r="J631" s="31" t="inlineStr">
        <x:is>
          <x:t xml:space="preserve">Цеховой склад</x:t>
        </x:is>
      </x:c>
      <x:c r="K631" s="31" t="inlineStr">
        <x:is>
          <x:t xml:space="preserve">СОТР-024</x:t>
        </x:is>
      </x:c>
      <x:c r="L631" s="31" t="inlineStr">
        <x:is>
          <x:t xml:space="preserve">ДОК-6275</x:t>
        </x:is>
      </x:c>
      <x:c r="M631" s="31" t="inlineStr">
        <x:is>
          <x:t xml:space="preserve">Проведен</x:t>
        </x:is>
      </x:c>
    </x:row>
    <x:row r="632">
      <x:c r="A632" s="31" t="inlineStr">
        <x:is>
          <x:t xml:space="preserve">СКЛ-000631</x:t>
        </x:is>
      </x:c>
      <x:c r="B632" s="31" t="n">
        <x:v>46031</x:v>
      </x:c>
      <x:c r="C632" s="31" t="inlineStr">
        <x:is>
          <x:t xml:space="preserve">Приход</x:t>
        </x:is>
      </x:c>
      <x:c r="D632" s="31" t="inlineStr">
        <x:is>
          <x:t xml:space="preserve">МАТ-0038</x:t>
        </x:is>
      </x:c>
      <x:c r="E632" s="31" t="inlineStr">
        <x:is>
          <x:t xml:space="preserve">ПЛК 24 дискр. входа / 16 дискр. выхода</x:t>
        </x:is>
      </x:c>
      <x:c r="F632" s="31" t="n">
        <x:v>20</x:v>
      </x:c>
      <x:c r="G632" s="31" t="inlineStr">
        <x:is>
          <x:t xml:space="preserve">шт</x:t>
        </x:is>
      </x:c>
      <x:c r="H632" s="31" t="n"/>
      <x:c r="I632" s="31" t="n"/>
      <x:c r="J632" s="31" t="inlineStr">
        <x:is>
          <x:t xml:space="preserve">Брак/карантин</x:t>
        </x:is>
      </x:c>
      <x:c r="K632" s="31" t="inlineStr">
        <x:is>
          <x:t xml:space="preserve">СОТР-033</x:t>
        </x:is>
      </x:c>
      <x:c r="L632" s="31" t="inlineStr">
        <x:is>
          <x:t xml:space="preserve">ДОК-7846</x:t>
        </x:is>
      </x:c>
      <x:c r="M632" s="31" t="inlineStr">
        <x:is>
          <x:t xml:space="preserve">Проведен</x:t>
        </x:is>
      </x:c>
    </x:row>
    <x:row r="633">
      <x:c r="A633" s="31" t="inlineStr">
        <x:is>
          <x:t xml:space="preserve">СКЛ-000632</x:t>
        </x:is>
      </x:c>
      <x:c r="B633" s="31" t="n">
        <x:v>46197</x:v>
      </x:c>
      <x:c r="C633" s="31" t="inlineStr">
        <x:is>
          <x:t xml:space="preserve">Приход</x:t>
        </x:is>
      </x:c>
      <x:c r="D633" s="31" t="inlineStr">
        <x:is>
          <x:t xml:space="preserve">МАТ-0026</x:t>
        </x:is>
      </x:c>
      <x:c r="E633" s="31" t="inlineStr">
        <x:is>
          <x:t xml:space="preserve">Двигатель 15 кВт</x:t>
        </x:is>
      </x:c>
      <x:c r="F633" s="31" t="n">
        <x:v>19</x:v>
      </x:c>
      <x:c r="G633" s="31" t="inlineStr">
        <x:is>
          <x:t xml:space="preserve">шт</x:t>
        </x:is>
      </x:c>
      <x:c r="H633" s="31" t="n"/>
      <x:c r="I633" s="31" t="n"/>
      <x:c r="J633" s="31" t="inlineStr">
        <x:is>
          <x:t xml:space="preserve">Основной склад</x:t>
        </x:is>
      </x:c>
      <x:c r="K633" s="31" t="inlineStr">
        <x:is>
          <x:t xml:space="preserve">СОТР-037</x:t>
        </x:is>
      </x:c>
      <x:c r="L633" s="31" t="inlineStr">
        <x:is>
          <x:t xml:space="preserve">ДОК-1920</x:t>
        </x:is>
      </x:c>
      <x:c r="M633" s="31" t="inlineStr">
        <x:is>
          <x:t xml:space="preserve">Проведен</x:t>
        </x:is>
      </x:c>
    </x:row>
    <x:row r="634">
      <x:c r="A634" s="31" t="inlineStr">
        <x:is>
          <x:t xml:space="preserve">СКЛ-000633</x:t>
        </x:is>
      </x:c>
      <x:c r="B634" s="31" t="n">
        <x:v>46044</x:v>
      </x:c>
      <x:c r="C634" s="31" t="inlineStr">
        <x:is>
          <x:t xml:space="preserve">Резерв</x:t>
        </x:is>
      </x:c>
      <x:c r="D634" s="31" t="inlineStr">
        <x:is>
          <x:t xml:space="preserve">МАТ-0007</x:t>
        </x:is>
      </x:c>
      <x:c r="E634" s="31" t="inlineStr">
        <x:is>
          <x:t xml:space="preserve">Труба нержавеющая 38×3 / исп.2</x:t>
        </x:is>
      </x:c>
      <x:c r="F634" s="31" t="n">
        <x:v>-32.39</x:v>
      </x:c>
      <x:c r="G634" s="31" t="inlineStr">
        <x:is>
          <x:t xml:space="preserve">л</x:t>
        </x:is>
      </x:c>
      <x:c r="H634" s="31" t="inlineStr">
        <x:is>
          <x:t xml:space="preserve">ЗК-1023</x:t>
        </x:is>
      </x:c>
      <x:c r="I634" s="31" t="n"/>
      <x:c r="J634" s="31" t="inlineStr">
        <x:is>
          <x:t xml:space="preserve">Основной склад</x:t>
        </x:is>
      </x:c>
      <x:c r="K634" s="31" t="inlineStr">
        <x:is>
          <x:t xml:space="preserve">СОТР-039</x:t>
        </x:is>
      </x:c>
      <x:c r="L634" s="31" t="inlineStr">
        <x:is>
          <x:t xml:space="preserve">ДОК-1945</x:t>
        </x:is>
      </x:c>
      <x:c r="M634" s="31" t="inlineStr">
        <x:is>
          <x:t xml:space="preserve">Проведен</x:t>
        </x:is>
      </x:c>
    </x:row>
    <x:row r="635">
      <x:c r="A635" s="31" t="inlineStr">
        <x:is>
          <x:t xml:space="preserve">СКЛ-000634</x:t>
        </x:is>
      </x:c>
      <x:c r="B635" s="31" t="n">
        <x:v>46199</x:v>
      </x:c>
      <x:c r="C635" s="31" t="inlineStr">
        <x:is>
          <x:t xml:space="preserve">Резерв</x:t>
        </x:is>
      </x:c>
      <x:c r="D635" s="31" t="inlineStr">
        <x:is>
          <x:t xml:space="preserve">МАТ-0008</x:t>
        </x:is>
      </x:c>
      <x:c r="E635" s="31" t="inlineStr">
        <x:is>
          <x:t xml:space="preserve">Швеллер 12П</x:t>
        </x:is>
      </x:c>
      <x:c r="F635" s="31" t="n">
        <x:v>-15</x:v>
      </x:c>
      <x:c r="G635" s="31" t="inlineStr">
        <x:is>
          <x:t xml:space="preserve">шт</x:t>
        </x:is>
      </x:c>
      <x:c r="H635" s="31" t="inlineStr">
        <x:is>
          <x:t xml:space="preserve">ЗК-1023</x:t>
        </x:is>
      </x:c>
      <x:c r="I635" s="31" t="n"/>
      <x:c r="J635" s="31" t="inlineStr">
        <x:is>
          <x:t xml:space="preserve">Цеховой склад</x:t>
        </x:is>
      </x:c>
      <x:c r="K635" s="31" t="inlineStr">
        <x:is>
          <x:t xml:space="preserve">СОТР-039</x:t>
        </x:is>
      </x:c>
      <x:c r="L635" s="31" t="inlineStr">
        <x:is>
          <x:t xml:space="preserve">ДОК-8259</x:t>
        </x:is>
      </x:c>
      <x:c r="M635" s="31" t="inlineStr">
        <x:is>
          <x:t xml:space="preserve">Проведен</x:t>
        </x:is>
      </x:c>
    </x:row>
    <x:row r="636">
      <x:c r="A636" s="31" t="inlineStr">
        <x:is>
          <x:t xml:space="preserve">СКЛ-000635</x:t>
        </x:is>
      </x:c>
      <x:c r="B636" s="31" t="n">
        <x:v>46178</x:v>
      </x:c>
      <x:c r="C636" s="31" t="inlineStr">
        <x:is>
          <x:t xml:space="preserve">Приход</x:t>
        </x:is>
      </x:c>
      <x:c r="D636" s="31" t="inlineStr">
        <x:is>
          <x:t xml:space="preserve">МАТ-0087</x:t>
        </x:is>
      </x:c>
      <x:c r="E636" s="31" t="inlineStr">
        <x:is>
          <x:t xml:space="preserve">Ящик фанерный</x:t>
        </x:is>
      </x:c>
      <x:c r="F636" s="31" t="n">
        <x:v>20</x:v>
      </x:c>
      <x:c r="G636" s="31" t="inlineStr">
        <x:is>
          <x:t xml:space="preserve">шт</x:t>
        </x:is>
      </x:c>
      <x:c r="H636" s="31" t="n"/>
      <x:c r="I636" s="31" t="n"/>
      <x:c r="J636" s="31" t="inlineStr">
        <x:is>
          <x:t xml:space="preserve">Брак/карантин</x:t>
        </x:is>
      </x:c>
      <x:c r="K636" s="31" t="inlineStr">
        <x:is>
          <x:t xml:space="preserve">СОТР-038</x:t>
        </x:is>
      </x:c>
      <x:c r="L636" s="31" t="inlineStr">
        <x:is>
          <x:t xml:space="preserve">ДОК-8260</x:t>
        </x:is>
      </x:c>
      <x:c r="M636" s="31" t="inlineStr">
        <x:is>
          <x:t xml:space="preserve">Проведен</x:t>
        </x:is>
      </x:c>
    </x:row>
    <x:row r="637">
      <x:c r="A637" s="31" t="inlineStr">
        <x:is>
          <x:t xml:space="preserve">СКЛ-000636</x:t>
        </x:is>
      </x:c>
      <x:c r="B637" s="31" t="n">
        <x:v>46149</x:v>
      </x:c>
      <x:c r="C637" s="31" t="inlineStr">
        <x:is>
          <x:t xml:space="preserve">Резерв</x:t>
        </x:is>
      </x:c>
      <x:c r="D637" s="31" t="inlineStr">
        <x:is>
          <x:t xml:space="preserve">МАТ-0080</x:t>
        </x:is>
      </x:c>
      <x:c r="E637" s="31" t="inlineStr">
        <x:is>
          <x:t xml:space="preserve">Гайка М12 / исп.3</x:t>
        </x:is>
      </x:c>
      <x:c r="F637" s="31" t="n">
        <x:v>-18</x:v>
      </x:c>
      <x:c r="G637" s="31" t="inlineStr">
        <x:is>
          <x:t xml:space="preserve">шт</x:t>
        </x:is>
      </x:c>
      <x:c r="H637" s="31" t="inlineStr">
        <x:is>
          <x:t xml:space="preserve">ЗК-1012</x:t>
        </x:is>
      </x:c>
      <x:c r="I637" s="31" t="n"/>
      <x:c r="J637" s="31" t="inlineStr">
        <x:is>
          <x:t xml:space="preserve">Основной склад</x:t>
        </x:is>
      </x:c>
      <x:c r="K637" s="31" t="inlineStr">
        <x:is>
          <x:t xml:space="preserve">СОТР-038</x:t>
        </x:is>
      </x:c>
      <x:c r="L637" s="31" t="inlineStr">
        <x:is>
          <x:t xml:space="preserve">ДОК-2134</x:t>
        </x:is>
      </x:c>
      <x:c r="M637" s="31" t="inlineStr">
        <x:is>
          <x:t xml:space="preserve">Проведен</x:t>
        </x:is>
      </x:c>
    </x:row>
    <x:row r="638">
      <x:c r="A638" s="31" t="inlineStr">
        <x:is>
          <x:t xml:space="preserve">СКЛ-000637</x:t>
        </x:is>
      </x:c>
      <x:c r="B638" s="31" t="n">
        <x:v>46162</x:v>
      </x:c>
      <x:c r="C638" s="31" t="inlineStr">
        <x:is>
          <x:t xml:space="preserve">Выдача в производство</x:t>
        </x:is>
      </x:c>
      <x:c r="D638" s="31" t="inlineStr">
        <x:is>
          <x:t xml:space="preserve">МАТ-0020</x:t>
        </x:is>
      </x:c>
      <x:c r="E638" s="31" t="inlineStr">
        <x:is>
          <x:t xml:space="preserve">Насос дозировочный / исп.2</x:t>
        </x:is>
      </x:c>
      <x:c r="F638" s="31" t="n">
        <x:v>-1</x:v>
      </x:c>
      <x:c r="G638" s="31" t="inlineStr">
        <x:is>
          <x:t xml:space="preserve">шт</x:t>
        </x:is>
      </x:c>
      <x:c r="H638" s="31" t="inlineStr">
        <x:is>
          <x:t xml:space="preserve">ЗК-1102</x:t>
        </x:is>
      </x:c>
      <x:c r="I638" s="31" t="inlineStr">
        <x:is>
          <x:t xml:space="preserve">ПЗ-00113</x:t>
        </x:is>
      </x:c>
      <x:c r="J638" s="31" t="inlineStr">
        <x:is>
          <x:t xml:space="preserve">Основной склад</x:t>
        </x:is>
      </x:c>
      <x:c r="K638" s="31" t="inlineStr">
        <x:is>
          <x:t xml:space="preserve">СОТР-039</x:t>
        </x:is>
      </x:c>
      <x:c r="L638" s="31" t="inlineStr">
        <x:is>
          <x:t xml:space="preserve">ДОК-9864</x:t>
        </x:is>
      </x:c>
      <x:c r="M638" s="31" t="inlineStr">
        <x:is>
          <x:t xml:space="preserve">Проведен</x:t>
        </x:is>
      </x:c>
    </x:row>
    <x:row r="639">
      <x:c r="A639" s="31" t="inlineStr">
        <x:is>
          <x:t xml:space="preserve">СКЛ-000638</x:t>
        </x:is>
      </x:c>
      <x:c r="B639" s="31" t="n">
        <x:v>46161</x:v>
      </x:c>
      <x:c r="C639" s="31" t="inlineStr">
        <x:is>
          <x:t xml:space="preserve">Резерв</x:t>
        </x:is>
      </x:c>
      <x:c r="D639" s="31" t="inlineStr">
        <x:is>
          <x:t xml:space="preserve">МАТ-0061</x:t>
        </x:is>
      </x:c>
      <x:c r="E639" s="31" t="inlineStr">
        <x:is>
          <x:t xml:space="preserve">Фильтр сетчатый Ду50 / исп.3</x:t>
        </x:is>
      </x:c>
      <x:c r="F639" s="31" t="n">
        <x:v>-18</x:v>
      </x:c>
      <x:c r="G639" s="31" t="inlineStr">
        <x:is>
          <x:t xml:space="preserve">шт</x:t>
        </x:is>
      </x:c>
      <x:c r="H639" s="31" t="inlineStr">
        <x:is>
          <x:t xml:space="preserve">ЗК-1113</x:t>
        </x:is>
      </x:c>
      <x:c r="I639" s="31" t="n"/>
      <x:c r="J639" s="31" t="inlineStr">
        <x:is>
          <x:t xml:space="preserve">Брак/карантин</x:t>
        </x:is>
      </x:c>
      <x:c r="K639" s="31" t="inlineStr">
        <x:is>
          <x:t xml:space="preserve">СОТР-034</x:t>
        </x:is>
      </x:c>
      <x:c r="L639" s="31" t="inlineStr">
        <x:is>
          <x:t xml:space="preserve">ДОК-5193</x:t>
        </x:is>
      </x:c>
      <x:c r="M639" s="31" t="inlineStr">
        <x:is>
          <x:t xml:space="preserve">Проведен</x:t>
        </x:is>
      </x:c>
    </x:row>
    <x:row r="640">
      <x:c r="A640" s="31" t="inlineStr">
        <x:is>
          <x:t xml:space="preserve">СКЛ-000639</x:t>
        </x:is>
      </x:c>
      <x:c r="B640" s="31" t="n">
        <x:v>46131</x:v>
      </x:c>
      <x:c r="C640" s="31" t="inlineStr">
        <x:is>
          <x:t xml:space="preserve">Резерв</x:t>
        </x:is>
      </x:c>
      <x:c r="D640" s="31" t="inlineStr">
        <x:is>
          <x:t xml:space="preserve">МАТ-0059</x:t>
        </x:is>
      </x:c>
      <x:c r="E640" s="31" t="inlineStr">
        <x:is>
          <x:t xml:space="preserve">Фильтр сетчатый Ду50</x:t>
        </x:is>
      </x:c>
      <x:c r="F640" s="31" t="n">
        <x:v>-17</x:v>
      </x:c>
      <x:c r="G640" s="31" t="inlineStr">
        <x:is>
          <x:t xml:space="preserve">шт</x:t>
        </x:is>
      </x:c>
      <x:c r="H640" s="31" t="inlineStr">
        <x:is>
          <x:t xml:space="preserve">ЗК-1083</x:t>
        </x:is>
      </x:c>
      <x:c r="I640" s="31" t="n"/>
      <x:c r="J640" s="31" t="inlineStr">
        <x:is>
          <x:t xml:space="preserve">Основной склад</x:t>
        </x:is>
      </x:c>
      <x:c r="K640" s="31" t="inlineStr">
        <x:is>
          <x:t xml:space="preserve">СОТР-038</x:t>
        </x:is>
      </x:c>
      <x:c r="L640" s="31" t="inlineStr">
        <x:is>
          <x:t xml:space="preserve">ДОК-3899</x:t>
        </x:is>
      </x:c>
      <x:c r="M640" s="31" t="inlineStr">
        <x:is>
          <x:t xml:space="preserve">Проведен</x:t>
        </x:is>
      </x:c>
    </x:row>
    <x:row r="641">
      <x:c r="A641" s="31" t="inlineStr">
        <x:is>
          <x:t xml:space="preserve">СКЛ-000640</x:t>
        </x:is>
      </x:c>
      <x:c r="B641" s="31" t="n">
        <x:v>46090</x:v>
      </x:c>
      <x:c r="C641" s="31" t="inlineStr">
        <x:is>
          <x:t xml:space="preserve">Списание</x:t>
        </x:is>
      </x:c>
      <x:c r="D641" s="31" t="inlineStr">
        <x:is>
          <x:t xml:space="preserve">МАТ-0033</x:t>
        </x:is>
      </x:c>
      <x:c r="E641" s="31" t="inlineStr">
        <x:is>
          <x:t xml:space="preserve">Расходомер электромагнитный Ду50</x:t>
        </x:is>
      </x:c>
      <x:c r="F641" s="31" t="n">
        <x:v>-6</x:v>
      </x:c>
      <x:c r="G641" s="31" t="inlineStr">
        <x:is>
          <x:t xml:space="preserve">шт</x:t>
        </x:is>
      </x:c>
      <x:c r="H641" s="31" t="n"/>
      <x:c r="I641" s="31" t="n"/>
      <x:c r="J641" s="31" t="inlineStr">
        <x:is>
          <x:t xml:space="preserve">Основной склад</x:t>
        </x:is>
      </x:c>
      <x:c r="K641" s="31" t="inlineStr">
        <x:is>
          <x:t xml:space="preserve">СОТР-024</x:t>
        </x:is>
      </x:c>
      <x:c r="L641" s="31" t="inlineStr">
        <x:is>
          <x:t xml:space="preserve">ДОК-8213</x:t>
        </x:is>
      </x:c>
      <x:c r="M641" s="31" t="inlineStr">
        <x:is>
          <x:t xml:space="preserve">Проведен</x:t>
        </x:is>
      </x:c>
    </x:row>
    <x:row r="642">
      <x:c r="A642" s="31" t="inlineStr">
        <x:is>
          <x:t xml:space="preserve">СКЛ-000641</x:t>
        </x:is>
      </x:c>
      <x:c r="B642" s="31" t="n">
        <x:v>46121</x:v>
      </x:c>
      <x:c r="C642" s="31" t="inlineStr">
        <x:is>
          <x:t xml:space="preserve">Резерв</x:t>
        </x:is>
      </x:c>
      <x:c r="D642" s="31" t="inlineStr">
        <x:is>
          <x:t xml:space="preserve">МАТ-0042</x:t>
        </x:is>
      </x:c>
      <x:c r="E642" s="31" t="inlineStr">
        <x:is>
          <x:t xml:space="preserve">модуль аналогового входа 4 канала / исп.3</x:t>
        </x:is>
      </x:c>
      <x:c r="F642" s="31" t="n">
        <x:v>-19</x:v>
      </x:c>
      <x:c r="G642" s="31" t="inlineStr">
        <x:is>
          <x:t xml:space="preserve">шт</x:t>
        </x:is>
      </x:c>
      <x:c r="H642" s="31" t="inlineStr">
        <x:is>
          <x:t xml:space="preserve">ЗК-1067</x:t>
        </x:is>
      </x:c>
      <x:c r="I642" s="31" t="n"/>
      <x:c r="J642" s="31" t="inlineStr">
        <x:is>
          <x:t xml:space="preserve">Основной склад</x:t>
        </x:is>
      </x:c>
      <x:c r="K642" s="31" t="inlineStr">
        <x:is>
          <x:t xml:space="preserve">СОТР-035</x:t>
        </x:is>
      </x:c>
      <x:c r="L642" s="31" t="inlineStr">
        <x:is>
          <x:t xml:space="preserve">ДОК-4540</x:t>
        </x:is>
      </x:c>
      <x:c r="M642" s="31" t="inlineStr">
        <x:is>
          <x:t xml:space="preserve">Проведен</x:t>
        </x:is>
      </x:c>
    </x:row>
    <x:row r="643">
      <x:c r="A643" s="31" t="inlineStr">
        <x:is>
          <x:t xml:space="preserve">СКЛ-000642</x:t>
        </x:is>
      </x:c>
      <x:c r="B643" s="31" t="n">
        <x:v>46128</x:v>
      </x:c>
      <x:c r="C643" s="31" t="inlineStr">
        <x:is>
          <x:t xml:space="preserve">Выдача в производство</x:t>
        </x:is>
      </x:c>
      <x:c r="D643" s="31" t="inlineStr">
        <x:is>
          <x:t xml:space="preserve">МАТ-0020</x:t>
        </x:is>
      </x:c>
      <x:c r="E643" s="31" t="inlineStr">
        <x:is>
          <x:t xml:space="preserve">Насос дозировочный / исп.2</x:t>
        </x:is>
      </x:c>
      <x:c r="F643" s="31" t="n">
        <x:v>-11</x:v>
      </x:c>
      <x:c r="G643" s="31" t="inlineStr">
        <x:is>
          <x:t xml:space="preserve">шт</x:t>
        </x:is>
      </x:c>
      <x:c r="H643" s="31" t="inlineStr">
        <x:is>
          <x:t xml:space="preserve">ЗК-1018</x:t>
        </x:is>
      </x:c>
      <x:c r="I643" s="31" t="inlineStr">
        <x:is>
          <x:t xml:space="preserve">ПЗ-00034</x:t>
        </x:is>
      </x:c>
      <x:c r="J643" s="31" t="inlineStr">
        <x:is>
          <x:t xml:space="preserve">Основной склад</x:t>
        </x:is>
      </x:c>
      <x:c r="K643" s="31" t="inlineStr">
        <x:is>
          <x:t xml:space="preserve">СОТР-033</x:t>
        </x:is>
      </x:c>
      <x:c r="L643" s="31" t="inlineStr">
        <x:is>
          <x:t xml:space="preserve">ДОК-5538</x:t>
        </x:is>
      </x:c>
      <x:c r="M643" s="31" t="inlineStr">
        <x:is>
          <x:t xml:space="preserve">Проведен</x:t>
        </x:is>
      </x:c>
    </x:row>
    <x:row r="644">
      <x:c r="A644" s="31" t="inlineStr">
        <x:is>
          <x:t xml:space="preserve">СКЛ-000643</x:t>
        </x:is>
      </x:c>
      <x:c r="B644" s="31" t="n">
        <x:v>46106</x:v>
      </x:c>
      <x:c r="C644" s="31" t="inlineStr">
        <x:is>
          <x:t xml:space="preserve">Списание</x:t>
        </x:is>
      </x:c>
      <x:c r="D644" s="31" t="inlineStr">
        <x:is>
          <x:t xml:space="preserve">МАТ-0021</x:t>
        </x:is>
      </x:c>
      <x:c r="E644" s="31" t="inlineStr">
        <x:is>
          <x:t xml:space="preserve">Торцевое уплотнение</x:t>
        </x:is>
      </x:c>
      <x:c r="F644" s="31" t="n">
        <x:v>-6</x:v>
      </x:c>
      <x:c r="G644" s="31" t="inlineStr">
        <x:is>
          <x:t xml:space="preserve">шт</x:t>
        </x:is>
      </x:c>
      <x:c r="H644" s="31" t="n"/>
      <x:c r="I644" s="31" t="n"/>
      <x:c r="J644" s="31" t="inlineStr">
        <x:is>
          <x:t xml:space="preserve">Цеховой склад</x:t>
        </x:is>
      </x:c>
      <x:c r="K644" s="31" t="inlineStr">
        <x:is>
          <x:t xml:space="preserve">СОТР-038</x:t>
        </x:is>
      </x:c>
      <x:c r="L644" s="31" t="inlineStr">
        <x:is>
          <x:t xml:space="preserve">ДОК-6055</x:t>
        </x:is>
      </x:c>
      <x:c r="M644" s="31" t="inlineStr">
        <x:is>
          <x:t xml:space="preserve">Черновик</x:t>
        </x:is>
      </x:c>
    </x:row>
    <x:row r="645">
      <x:c r="A645" s="31" t="inlineStr">
        <x:is>
          <x:t xml:space="preserve">СКЛ-000644</x:t>
        </x:is>
      </x:c>
      <x:c r="B645" s="31" t="n">
        <x:v>46195</x:v>
      </x:c>
      <x:c r="C645" s="31" t="inlineStr">
        <x:is>
          <x:t xml:space="preserve">Возврат</x:t>
        </x:is>
      </x:c>
      <x:c r="D645" s="31" t="inlineStr">
        <x:is>
          <x:t xml:space="preserve">МАТ-0083</x:t>
        </x:is>
      </x:c>
      <x:c r="E645" s="31" t="inlineStr">
        <x:is>
          <x:t xml:space="preserve">Анкер М16</x:t>
        </x:is>
      </x:c>
      <x:c r="F645" s="31" t="n">
        <x:v>4</x:v>
      </x:c>
      <x:c r="G645" s="31" t="inlineStr">
        <x:is>
          <x:t xml:space="preserve">шт</x:t>
        </x:is>
      </x:c>
      <x:c r="H645" s="31" t="n"/>
      <x:c r="I645" s="31" t="n"/>
      <x:c r="J645" s="31" t="inlineStr">
        <x:is>
          <x:t xml:space="preserve">Основной склад</x:t>
        </x:is>
      </x:c>
      <x:c r="K645" s="31" t="inlineStr">
        <x:is>
          <x:t xml:space="preserve">СОТР-033</x:t>
        </x:is>
      </x:c>
      <x:c r="L645" s="31" t="inlineStr">
        <x:is>
          <x:t xml:space="preserve">ДОК-7883</x:t>
        </x:is>
      </x:c>
      <x:c r="M645" s="31" t="inlineStr">
        <x:is>
          <x:t xml:space="preserve">Проведен</x:t>
        </x:is>
      </x:c>
    </x:row>
    <x:row r="646">
      <x:c r="A646" s="31" t="inlineStr">
        <x:is>
          <x:t xml:space="preserve">СКЛ-000645</x:t>
        </x:is>
      </x:c>
      <x:c r="B646" s="31" t="n">
        <x:v>46200</x:v>
      </x:c>
      <x:c r="C646" s="31" t="inlineStr">
        <x:is>
          <x:t xml:space="preserve">Выдача в производство</x:t>
        </x:is>
      </x:c>
      <x:c r="D646" s="31" t="inlineStr">
        <x:is>
          <x:t xml:space="preserve">МАТ-0008</x:t>
        </x:is>
      </x:c>
      <x:c r="E646" s="31" t="inlineStr">
        <x:is>
          <x:t xml:space="preserve">Швеллер 12П</x:t>
        </x:is>
      </x:c>
      <x:c r="F646" s="31" t="n">
        <x:v>-7</x:v>
      </x:c>
      <x:c r="G646" s="31" t="inlineStr">
        <x:is>
          <x:t xml:space="preserve">шт</x:t>
        </x:is>
      </x:c>
      <x:c r="H646" s="31" t="inlineStr">
        <x:is>
          <x:t xml:space="preserve">ЗК-1126</x:t>
        </x:is>
      </x:c>
      <x:c r="I646" s="31" t="inlineStr">
        <x:is>
          <x:t xml:space="preserve">ПЗ-00086</x:t>
        </x:is>
      </x:c>
      <x:c r="J646" s="31" t="inlineStr">
        <x:is>
          <x:t xml:space="preserve">Основной склад</x:t>
        </x:is>
      </x:c>
      <x:c r="K646" s="31" t="inlineStr">
        <x:is>
          <x:t xml:space="preserve">СОТР-038</x:t>
        </x:is>
      </x:c>
      <x:c r="L646" s="31" t="inlineStr">
        <x:is>
          <x:t xml:space="preserve">ДОК-4863</x:t>
        </x:is>
      </x:c>
      <x:c r="M646" s="31" t="inlineStr">
        <x:is>
          <x:t xml:space="preserve">Проведен</x:t>
        </x:is>
      </x:c>
    </x:row>
    <x:row r="647">
      <x:c r="A647" s="31" t="inlineStr">
        <x:is>
          <x:t xml:space="preserve">СКЛ-000646</x:t>
        </x:is>
      </x:c>
      <x:c r="B647" s="31" t="n">
        <x:v>46198</x:v>
      </x:c>
      <x:c r="C647" s="31" t="inlineStr">
        <x:is>
          <x:t xml:space="preserve">Приход</x:t>
        </x:is>
      </x:c>
      <x:c r="D647" s="31" t="inlineStr">
        <x:is>
          <x:t xml:space="preserve">МАТ-0069</x:t>
        </x:is>
      </x:c>
      <x:c r="E647" s="31" t="inlineStr">
        <x:is>
          <x:t xml:space="preserve">Эмаль полиуретановая</x:t>
        </x:is>
      </x:c>
      <x:c r="F647" s="31" t="n">
        <x:v>18.59</x:v>
      </x:c>
      <x:c r="G647" s="31" t="inlineStr">
        <x:is>
          <x:t xml:space="preserve">л</x:t>
        </x:is>
      </x:c>
      <x:c r="H647" s="31" t="n"/>
      <x:c r="I647" s="31" t="n"/>
      <x:c r="J647" s="31" t="inlineStr">
        <x:is>
          <x:t xml:space="preserve">Цеховой склад</x:t>
        </x:is>
      </x:c>
      <x:c r="K647" s="31" t="inlineStr">
        <x:is>
          <x:t xml:space="preserve">СОТР-033</x:t>
        </x:is>
      </x:c>
      <x:c r="L647" s="31" t="inlineStr">
        <x:is>
          <x:t xml:space="preserve">ДОК-6973</x:t>
        </x:is>
      </x:c>
      <x:c r="M647" s="31" t="inlineStr">
        <x:is>
          <x:t xml:space="preserve">Проведен</x:t>
        </x:is>
      </x:c>
    </x:row>
    <x:row r="648">
      <x:c r="A648" s="31" t="inlineStr">
        <x:is>
          <x:t xml:space="preserve">СКЛ-000647</x:t>
        </x:is>
      </x:c>
      <x:c r="B648" s="31" t="n">
        <x:v>46101</x:v>
      </x:c>
      <x:c r="C648" s="31" t="inlineStr">
        <x:is>
          <x:t xml:space="preserve">Выдача в производство</x:t>
        </x:is>
      </x:c>
      <x:c r="D648" s="31" t="inlineStr">
        <x:is>
          <x:t xml:space="preserve">МАТ-0010</x:t>
        </x:is>
      </x:c>
      <x:c r="E648" s="31" t="inlineStr">
        <x:is>
          <x:t xml:space="preserve">Фланец Ду50 Ру16 / исп.2</x:t>
        </x:is>
      </x:c>
      <x:c r="F648" s="31" t="n">
        <x:v>-1</x:v>
      </x:c>
      <x:c r="G648" s="31" t="inlineStr">
        <x:is>
          <x:t xml:space="preserve">шт</x:t>
        </x:is>
      </x:c>
      <x:c r="H648" s="31" t="inlineStr">
        <x:is>
          <x:t xml:space="preserve">ЗК-1076</x:t>
        </x:is>
      </x:c>
      <x:c r="I648" s="31" t="inlineStr">
        <x:is>
          <x:t xml:space="preserve">ПЗ-00012</x:t>
        </x:is>
      </x:c>
      <x:c r="J648" s="31" t="inlineStr">
        <x:is>
          <x:t xml:space="preserve">Брак/карантин</x:t>
        </x:is>
      </x:c>
      <x:c r="K648" s="31" t="inlineStr">
        <x:is>
          <x:t xml:space="preserve">СОТР-024</x:t>
        </x:is>
      </x:c>
      <x:c r="L648" s="31" t="inlineStr">
        <x:is>
          <x:t xml:space="preserve">ДОК-5978</x:t>
        </x:is>
      </x:c>
      <x:c r="M648" s="31" t="inlineStr">
        <x:is>
          <x:t xml:space="preserve">Проведен</x:t>
        </x:is>
      </x:c>
    </x:row>
    <x:row r="649">
      <x:c r="A649" s="31" t="inlineStr">
        <x:is>
          <x:t xml:space="preserve">СКЛ-000648</x:t>
        </x:is>
      </x:c>
      <x:c r="B649" s="31" t="n">
        <x:v>46119</x:v>
      </x:c>
      <x:c r="C649" s="31" t="inlineStr">
        <x:is>
          <x:t xml:space="preserve">Резерв</x:t>
        </x:is>
      </x:c>
      <x:c r="D649" s="31" t="inlineStr">
        <x:is>
          <x:t xml:space="preserve">МАТ-0040</x:t>
        </x:is>
      </x:c>
      <x:c r="E649" s="31" t="inlineStr">
        <x:is>
          <x:t xml:space="preserve">модуль аналогового входа 4 канала</x:t>
        </x:is>
      </x:c>
      <x:c r="F649" s="31" t="n">
        <x:v>-2</x:v>
      </x:c>
      <x:c r="G649" s="31" t="inlineStr">
        <x:is>
          <x:t xml:space="preserve">шт</x:t>
        </x:is>
      </x:c>
      <x:c r="H649" s="31" t="inlineStr">
        <x:is>
          <x:t xml:space="preserve">ЗК-1053</x:t>
        </x:is>
      </x:c>
      <x:c r="I649" s="31" t="n"/>
      <x:c r="J649" s="31" t="inlineStr">
        <x:is>
          <x:t xml:space="preserve">Основной склад</x:t>
        </x:is>
      </x:c>
      <x:c r="K649" s="31" t="inlineStr">
        <x:is>
          <x:t xml:space="preserve">СОТР-033</x:t>
        </x:is>
      </x:c>
      <x:c r="L649" s="31" t="inlineStr">
        <x:is>
          <x:t xml:space="preserve">ДОК-6383</x:t>
        </x:is>
      </x:c>
      <x:c r="M649" s="31" t="inlineStr">
        <x:is>
          <x:t xml:space="preserve">Проведен</x:t>
        </x:is>
      </x:c>
    </x:row>
    <x:row r="650">
      <x:c r="A650" s="31" t="inlineStr">
        <x:is>
          <x:t xml:space="preserve">СКЛ-000649</x:t>
        </x:is>
      </x:c>
      <x:c r="B650" s="31" t="n">
        <x:v>46175</x:v>
      </x:c>
      <x:c r="C650" s="31" t="inlineStr">
        <x:is>
          <x:t xml:space="preserve">Выдача в производство</x:t>
        </x:is>
      </x:c>
      <x:c r="D650" s="31" t="inlineStr">
        <x:is>
          <x:t xml:space="preserve">МАТ-0029</x:t>
        </x:is>
      </x:c>
      <x:c r="E650" s="31" t="inlineStr">
        <x:is>
          <x:t xml:space="preserve">Частотный преобразователь 22 кВт</x:t>
        </x:is>
      </x:c>
      <x:c r="F650" s="31" t="n">
        <x:v>-18</x:v>
      </x:c>
      <x:c r="G650" s="31" t="inlineStr">
        <x:is>
          <x:t xml:space="preserve">шт</x:t>
        </x:is>
      </x:c>
      <x:c r="H650" s="31" t="inlineStr">
        <x:is>
          <x:t xml:space="preserve">ЗК-1035</x:t>
        </x:is>
      </x:c>
      <x:c r="I650" s="31" t="inlineStr">
        <x:is>
          <x:t xml:space="preserve">ПЗ-00254</x:t>
        </x:is>
      </x:c>
      <x:c r="J650" s="31" t="inlineStr">
        <x:is>
          <x:t xml:space="preserve">Цеховой склад</x:t>
        </x:is>
      </x:c>
      <x:c r="K650" s="31" t="inlineStr">
        <x:is>
          <x:t xml:space="preserve">СОТР-033</x:t>
        </x:is>
      </x:c>
      <x:c r="L650" s="31" t="inlineStr">
        <x:is>
          <x:t xml:space="preserve">ДОК-3630</x:t>
        </x:is>
      </x:c>
      <x:c r="M650" s="31" t="inlineStr">
        <x:is>
          <x:t xml:space="preserve">Проведен</x:t>
        </x:is>
      </x:c>
    </x:row>
    <x:row r="651">
      <x:c r="A651" s="31" t="inlineStr">
        <x:is>
          <x:t xml:space="preserve">СКЛ-000650</x:t>
        </x:is>
      </x:c>
      <x:c r="B651" s="31" t="n">
        <x:v>46140</x:v>
      </x:c>
      <x:c r="C651" s="31" t="inlineStr">
        <x:is>
          <x:t xml:space="preserve">Выдача в производство</x:t>
        </x:is>
      </x:c>
      <x:c r="D651" s="31" t="inlineStr">
        <x:is>
          <x:t xml:space="preserve">МАТ-0069</x:t>
        </x:is>
      </x:c>
      <x:c r="E651" s="31" t="inlineStr">
        <x:is>
          <x:t xml:space="preserve">Эмаль полиуретановая</x:t>
        </x:is>
      </x:c>
      <x:c r="F651" s="31" t="n">
        <x:v>-67.67</x:v>
      </x:c>
      <x:c r="G651" s="31" t="inlineStr">
        <x:is>
          <x:t xml:space="preserve">л</x:t>
        </x:is>
      </x:c>
      <x:c r="H651" s="31" t="inlineStr">
        <x:is>
          <x:t xml:space="preserve">ЗК-1007</x:t>
        </x:is>
      </x:c>
      <x:c r="I651" s="31" t="inlineStr">
        <x:is>
          <x:t xml:space="preserve">ПЗ-00257</x:t>
        </x:is>
      </x:c>
      <x:c r="J651" s="31" t="inlineStr">
        <x:is>
          <x:t xml:space="preserve">Брак/карантин</x:t>
        </x:is>
      </x:c>
      <x:c r="K651" s="31" t="inlineStr">
        <x:is>
          <x:t xml:space="preserve">СОТР-024</x:t>
        </x:is>
      </x:c>
      <x:c r="L651" s="31" t="inlineStr">
        <x:is>
          <x:t xml:space="preserve">ДОК-7926</x:t>
        </x:is>
      </x:c>
      <x:c r="M651" s="31" t="inlineStr">
        <x:is>
          <x:t xml:space="preserve">Проведен</x:t>
        </x:is>
      </x:c>
    </x:row>
    <x:row r="652">
      <x:c r="A652" s="31" t="inlineStr">
        <x:is>
          <x:t xml:space="preserve">СКЛ-000651</x:t>
        </x:is>
      </x:c>
      <x:c r="B652" s="31" t="n">
        <x:v>46105</x:v>
      </x:c>
      <x:c r="C652" s="31" t="inlineStr">
        <x:is>
          <x:t xml:space="preserve">Приход</x:t>
        </x:is>
      </x:c>
      <x:c r="D652" s="31" t="inlineStr">
        <x:is>
          <x:t xml:space="preserve">МАТ-0067</x:t>
        </x:is>
      </x:c>
      <x:c r="E652" s="31" t="inlineStr">
        <x:is>
          <x:t xml:space="preserve">Кабельный ввод М20</x:t>
        </x:is>
      </x:c>
      <x:c r="F652" s="31" t="n">
        <x:v>76.95</x:v>
      </x:c>
      <x:c r="G652" s="31" t="inlineStr">
        <x:is>
          <x:t xml:space="preserve">кг</x:t>
        </x:is>
      </x:c>
      <x:c r="H652" s="31" t="n"/>
      <x:c r="I652" s="31" t="n"/>
      <x:c r="J652" s="31" t="inlineStr">
        <x:is>
          <x:t xml:space="preserve">Основной склад</x:t>
        </x:is>
      </x:c>
      <x:c r="K652" s="31" t="inlineStr">
        <x:is>
          <x:t xml:space="preserve">СОТР-033</x:t>
        </x:is>
      </x:c>
      <x:c r="L652" s="31" t="inlineStr">
        <x:is>
          <x:t xml:space="preserve">ДОК-8027</x:t>
        </x:is>
      </x:c>
      <x:c r="M652" s="31" t="inlineStr">
        <x:is>
          <x:t xml:space="preserve">Черновик</x:t>
        </x:is>
      </x:c>
    </x:row>
    <x:row r="653">
      <x:c r="A653" s="31" t="inlineStr">
        <x:is>
          <x:t xml:space="preserve">СКЛ-000652</x:t>
        </x:is>
      </x:c>
      <x:c r="B653" s="31" t="n">
        <x:v>46055</x:v>
      </x:c>
      <x:c r="C653" s="31" t="inlineStr">
        <x:is>
          <x:t xml:space="preserve">Возврат</x:t>
        </x:is>
      </x:c>
      <x:c r="D653" s="31" t="inlineStr">
        <x:is>
          <x:t xml:space="preserve">МАТ-0055</x:t>
        </x:is>
      </x:c>
      <x:c r="E653" s="31" t="inlineStr">
        <x:is>
          <x:t xml:space="preserve">Клапан обратный Ду50</x:t>
        </x:is>
      </x:c>
      <x:c r="F653" s="31" t="n">
        <x:v>13</x:v>
      </x:c>
      <x:c r="G653" s="31" t="inlineStr">
        <x:is>
          <x:t xml:space="preserve">шт</x:t>
        </x:is>
      </x:c>
      <x:c r="H653" s="31" t="n"/>
      <x:c r="I653" s="31" t="n"/>
      <x:c r="J653" s="31" t="inlineStr">
        <x:is>
          <x:t xml:space="preserve">Основной склад</x:t>
        </x:is>
      </x:c>
      <x:c r="K653" s="31" t="inlineStr">
        <x:is>
          <x:t xml:space="preserve">СОТР-039</x:t>
        </x:is>
      </x:c>
      <x:c r="L653" s="31" t="inlineStr">
        <x:is>
          <x:t xml:space="preserve">ДОК-3492</x:t>
        </x:is>
      </x:c>
      <x:c r="M653" s="31" t="inlineStr">
        <x:is>
          <x:t xml:space="preserve">Проведен</x:t>
        </x:is>
      </x:c>
    </x:row>
    <x:row r="654">
      <x:c r="A654" s="31" t="inlineStr">
        <x:is>
          <x:t xml:space="preserve">СКЛ-000653</x:t>
        </x:is>
      </x:c>
      <x:c r="B654" s="31" t="n">
        <x:v>46135</x:v>
      </x:c>
      <x:c r="C654" s="31" t="inlineStr">
        <x:is>
          <x:t xml:space="preserve">Приход</x:t>
        </x:is>
      </x:c>
      <x:c r="D654" s="31" t="inlineStr">
        <x:is>
          <x:t xml:space="preserve">МАТ-0036</x:t>
        </x:is>
      </x:c>
      <x:c r="E654" s="31" t="inlineStr">
        <x:is>
          <x:t xml:space="preserve">Клапан электромагнитный 24В / исп.2</x:t>
        </x:is>
      </x:c>
      <x:c r="F654" s="31" t="n">
        <x:v>1</x:v>
      </x:c>
      <x:c r="G654" s="31" t="inlineStr">
        <x:is>
          <x:t xml:space="preserve">шт</x:t>
        </x:is>
      </x:c>
      <x:c r="H654" s="31" t="n"/>
      <x:c r="I654" s="31" t="n"/>
      <x:c r="J654" s="31" t="inlineStr">
        <x:is>
          <x:t xml:space="preserve">Цеховой склад</x:t>
        </x:is>
      </x:c>
      <x:c r="K654" s="31" t="inlineStr">
        <x:is>
          <x:t xml:space="preserve">СОТР-039</x:t>
        </x:is>
      </x:c>
      <x:c r="L654" s="31" t="inlineStr">
        <x:is>
          <x:t xml:space="preserve">ДОК-1821</x:t>
        </x:is>
      </x:c>
      <x:c r="M654" s="31" t="inlineStr">
        <x:is>
          <x:t xml:space="preserve">Проведен</x:t>
        </x:is>
      </x:c>
    </x:row>
    <x:row r="655">
      <x:c r="A655" s="31" t="inlineStr">
        <x:is>
          <x:t xml:space="preserve">СКЛ-000654</x:t>
        </x:is>
      </x:c>
      <x:c r="B655" s="31" t="n">
        <x:v>46119</x:v>
      </x:c>
      <x:c r="C655" s="31" t="inlineStr">
        <x:is>
          <x:t xml:space="preserve">Резерв</x:t>
        </x:is>
      </x:c>
      <x:c r="D655" s="31" t="inlineStr">
        <x:is>
          <x:t xml:space="preserve">МАТ-0004</x:t>
        </x:is>
      </x:c>
      <x:c r="E655" s="31" t="inlineStr">
        <x:is>
          <x:t xml:space="preserve">Лист стальной 09Г2С 12 мм / исп.3</x:t>
        </x:is>
      </x:c>
      <x:c r="F655" s="31" t="n">
        <x:v>-59.78</x:v>
      </x:c>
      <x:c r="G655" s="31" t="inlineStr">
        <x:is>
          <x:t xml:space="preserve">л</x:t>
        </x:is>
      </x:c>
      <x:c r="H655" s="31" t="inlineStr">
        <x:is>
          <x:t xml:space="preserve">ЗК-1103</x:t>
        </x:is>
      </x:c>
      <x:c r="I655" s="31" t="n"/>
      <x:c r="J655" s="31" t="inlineStr">
        <x:is>
          <x:t xml:space="preserve">Основной склад</x:t>
        </x:is>
      </x:c>
      <x:c r="K655" s="31" t="inlineStr">
        <x:is>
          <x:t xml:space="preserve">СОТР-036</x:t>
        </x:is>
      </x:c>
      <x:c r="L655" s="31" t="inlineStr">
        <x:is>
          <x:t xml:space="preserve">ДОК-1190</x:t>
        </x:is>
      </x:c>
      <x:c r="M655" s="31" t="inlineStr">
        <x:is>
          <x:t xml:space="preserve">Проведен</x:t>
        </x:is>
      </x:c>
    </x:row>
    <x:row r="656">
      <x:c r="A656" s="31" t="inlineStr">
        <x:is>
          <x:t xml:space="preserve">СКЛ-000655</x:t>
        </x:is>
      </x:c>
      <x:c r="B656" s="31" t="n">
        <x:v>46154</x:v>
      </x:c>
      <x:c r="C656" s="31" t="inlineStr">
        <x:is>
          <x:t xml:space="preserve">Резерв</x:t>
        </x:is>
      </x:c>
      <x:c r="D656" s="31" t="inlineStr">
        <x:is>
          <x:t xml:space="preserve">МАТ-0083</x:t>
        </x:is>
      </x:c>
      <x:c r="E656" s="31" t="inlineStr">
        <x:is>
          <x:t xml:space="preserve">Анкер М16</x:t>
        </x:is>
      </x:c>
      <x:c r="F656" s="31" t="n">
        <x:v>-11</x:v>
      </x:c>
      <x:c r="G656" s="31" t="inlineStr">
        <x:is>
          <x:t xml:space="preserve">шт</x:t>
        </x:is>
      </x:c>
      <x:c r="H656" s="31" t="inlineStr">
        <x:is>
          <x:t xml:space="preserve">ЗК-1117</x:t>
        </x:is>
      </x:c>
      <x:c r="I656" s="31" t="n"/>
      <x:c r="J656" s="31" t="inlineStr">
        <x:is>
          <x:t xml:space="preserve">Основной склад</x:t>
        </x:is>
      </x:c>
      <x:c r="K656" s="31" t="inlineStr">
        <x:is>
          <x:t xml:space="preserve">СОТР-024</x:t>
        </x:is>
      </x:c>
      <x:c r="L656" s="31" t="inlineStr">
        <x:is>
          <x:t xml:space="preserve">ДОК-1548</x:t>
        </x:is>
      </x:c>
      <x:c r="M656" s="31" t="inlineStr">
        <x:is>
          <x:t xml:space="preserve">Проведен</x:t>
        </x:is>
      </x:c>
    </x:row>
    <x:row r="657">
      <x:c r="A657" s="31" t="inlineStr">
        <x:is>
          <x:t xml:space="preserve">СКЛ-000656</x:t>
        </x:is>
      </x:c>
      <x:c r="B657" s="31" t="n">
        <x:v>46164</x:v>
      </x:c>
      <x:c r="C657" s="31" t="inlineStr">
        <x:is>
          <x:t xml:space="preserve">Приход</x:t>
        </x:is>
      </x:c>
      <x:c r="D657" s="31" t="inlineStr">
        <x:is>
          <x:t xml:space="preserve">МАТ-0026</x:t>
        </x:is>
      </x:c>
      <x:c r="E657" s="31" t="inlineStr">
        <x:is>
          <x:t xml:space="preserve">Двигатель 15 кВт</x:t>
        </x:is>
      </x:c>
      <x:c r="F657" s="31" t="n">
        <x:v>3</x:v>
      </x:c>
      <x:c r="G657" s="31" t="inlineStr">
        <x:is>
          <x:t xml:space="preserve">шт</x:t>
        </x:is>
      </x:c>
      <x:c r="H657" s="31" t="n"/>
      <x:c r="I657" s="31" t="n"/>
      <x:c r="J657" s="31" t="inlineStr">
        <x:is>
          <x:t xml:space="preserve">Цеховой склад</x:t>
        </x:is>
      </x:c>
      <x:c r="K657" s="31" t="inlineStr">
        <x:is>
          <x:t xml:space="preserve">СОТР-033</x:t>
        </x:is>
      </x:c>
      <x:c r="L657" s="31" t="inlineStr">
        <x:is>
          <x:t xml:space="preserve">ДОК-8328</x:t>
        </x:is>
      </x:c>
      <x:c r="M657" s="31" t="inlineStr">
        <x:is>
          <x:t xml:space="preserve">Проведен</x:t>
        </x:is>
      </x:c>
    </x:row>
    <x:row r="658">
      <x:c r="A658" s="31" t="inlineStr">
        <x:is>
          <x:t xml:space="preserve">СКЛ-000657</x:t>
        </x:is>
      </x:c>
      <x:c r="B658" s="31" t="n">
        <x:v>46187</x:v>
      </x:c>
      <x:c r="C658" s="31" t="inlineStr">
        <x:is>
          <x:t xml:space="preserve">Выдача в производство</x:t>
        </x:is>
      </x:c>
      <x:c r="D658" s="31" t="inlineStr">
        <x:is>
          <x:t xml:space="preserve">МАТ-0072</x:t>
        </x:is>
      </x:c>
      <x:c r="E658" s="31" t="inlineStr">
        <x:is>
          <x:t xml:space="preserve">Растворитель</x:t>
        </x:is>
      </x:c>
      <x:c r="F658" s="31" t="n">
        <x:v>-55.21</x:v>
      </x:c>
      <x:c r="G658" s="31" t="inlineStr">
        <x:is>
          <x:t xml:space="preserve">л</x:t>
        </x:is>
      </x:c>
      <x:c r="H658" s="31" t="inlineStr">
        <x:is>
          <x:t xml:space="preserve">ЗК-1040</x:t>
        </x:is>
      </x:c>
      <x:c r="I658" s="31" t="inlineStr">
        <x:is>
          <x:t xml:space="preserve">ПЗ-00078</x:t>
        </x:is>
      </x:c>
      <x:c r="J658" s="31" t="inlineStr">
        <x:is>
          <x:t xml:space="preserve">Основной склад</x:t>
        </x:is>
      </x:c>
      <x:c r="K658" s="31" t="inlineStr">
        <x:is>
          <x:t xml:space="preserve">СОТР-039</x:t>
        </x:is>
      </x:c>
      <x:c r="L658" s="31" t="inlineStr">
        <x:is>
          <x:t xml:space="preserve">ДОК-7870</x:t>
        </x:is>
      </x:c>
      <x:c r="M658" s="31" t="inlineStr">
        <x:is>
          <x:t xml:space="preserve">Проведен</x:t>
        </x:is>
      </x:c>
    </x:row>
    <x:row r="659">
      <x:c r="A659" s="31" t="inlineStr">
        <x:is>
          <x:t xml:space="preserve">СКЛ-000658</x:t>
        </x:is>
      </x:c>
      <x:c r="B659" s="31" t="n">
        <x:v>46085</x:v>
      </x:c>
      <x:c r="C659" s="31" t="inlineStr">
        <x:is>
          <x:t xml:space="preserve">Выдача в производство</x:t>
        </x:is>
      </x:c>
      <x:c r="D659" s="31" t="inlineStr">
        <x:is>
          <x:t xml:space="preserve">МАТ-0013</x:t>
        </x:is>
      </x:c>
      <x:c r="E659" s="31" t="inlineStr">
        <x:is>
          <x:t xml:space="preserve">Уголок 50×5</x:t>
        </x:is>
      </x:c>
      <x:c r="F659" s="31" t="n">
        <x:v>-69.23999999999999</x:v>
      </x:c>
      <x:c r="G659" s="31" t="inlineStr">
        <x:is>
          <x:t xml:space="preserve">кг</x:t>
        </x:is>
      </x:c>
      <x:c r="H659" s="31" t="inlineStr">
        <x:is>
          <x:t xml:space="preserve">ЗК-1117</x:t>
        </x:is>
      </x:c>
      <x:c r="I659" s="31" t="inlineStr">
        <x:is>
          <x:t xml:space="preserve">ПЗ-00178</x:t>
        </x:is>
      </x:c>
      <x:c r="J659" s="31" t="inlineStr">
        <x:is>
          <x:t xml:space="preserve">Основной склад</x:t>
        </x:is>
      </x:c>
      <x:c r="K659" s="31" t="inlineStr">
        <x:is>
          <x:t xml:space="preserve">СОТР-037</x:t>
        </x:is>
      </x:c>
      <x:c r="L659" s="31" t="inlineStr">
        <x:is>
          <x:t xml:space="preserve">ДОК-2233</x:t>
        </x:is>
      </x:c>
      <x:c r="M659" s="31" t="inlineStr">
        <x:is>
          <x:t xml:space="preserve">Проведен</x:t>
        </x:is>
      </x:c>
    </x:row>
    <x:row r="660">
      <x:c r="A660" s="31" t="inlineStr">
        <x:is>
          <x:t xml:space="preserve">СКЛ-000659</x:t>
        </x:is>
      </x:c>
      <x:c r="B660" s="31" t="n">
        <x:v>46134</x:v>
      </x:c>
      <x:c r="C660" s="31" t="inlineStr">
        <x:is>
          <x:t xml:space="preserve">Приход</x:t>
        </x:is>
      </x:c>
      <x:c r="D660" s="31" t="inlineStr">
        <x:is>
          <x:t xml:space="preserve">МАТ-0005</x:t>
        </x:is>
      </x:c>
      <x:c r="E660" s="31" t="inlineStr">
        <x:is>
          <x:t xml:space="preserve">Труба бесшовная 57×4</x:t>
        </x:is>
      </x:c>
      <x:c r="F660" s="31" t="n">
        <x:v>11.77</x:v>
      </x:c>
      <x:c r="G660" s="31" t="inlineStr">
        <x:is>
          <x:t xml:space="preserve">м</x:t>
        </x:is>
      </x:c>
      <x:c r="H660" s="31" t="n"/>
      <x:c r="I660" s="31" t="n"/>
      <x:c r="J660" s="31" t="inlineStr">
        <x:is>
          <x:t xml:space="preserve">Основной склад</x:t>
        </x:is>
      </x:c>
      <x:c r="K660" s="31" t="inlineStr">
        <x:is>
          <x:t xml:space="preserve">СОТР-036</x:t>
        </x:is>
      </x:c>
      <x:c r="L660" s="31" t="inlineStr">
        <x:is>
          <x:t xml:space="preserve">ДОК-3193</x:t>
        </x:is>
      </x:c>
      <x:c r="M660" s="31" t="inlineStr">
        <x:is>
          <x:t xml:space="preserve">Требует проверки</x:t>
        </x:is>
      </x:c>
    </x:row>
    <x:row r="661">
      <x:c r="A661" s="31" t="inlineStr">
        <x:is>
          <x:t xml:space="preserve">СКЛ-000660</x:t>
        </x:is>
      </x:c>
      <x:c r="B661" s="31" t="n">
        <x:v>46152</x:v>
      </x:c>
      <x:c r="C661" s="31" t="inlineStr">
        <x:is>
          <x:t xml:space="preserve">Списание</x:t>
        </x:is>
      </x:c>
      <x:c r="D661" s="31" t="inlineStr">
        <x:is>
          <x:t xml:space="preserve">МАТ-0057</x:t>
        </x:is>
      </x:c>
      <x:c r="E661" s="31" t="inlineStr">
        <x:is>
          <x:t xml:space="preserve">Задвижка Ду100 / исп.2</x:t>
        </x:is>
      </x:c>
      <x:c r="F661" s="31" t="n">
        <x:v>-16</x:v>
      </x:c>
      <x:c r="G661" s="31" t="inlineStr">
        <x:is>
          <x:t xml:space="preserve">шт</x:t>
        </x:is>
      </x:c>
      <x:c r="H661" s="31" t="n"/>
      <x:c r="I661" s="31" t="n"/>
      <x:c r="J661" s="31" t="inlineStr">
        <x:is>
          <x:t xml:space="preserve">Основной склад</x:t>
        </x:is>
      </x:c>
      <x:c r="K661" s="31" t="inlineStr">
        <x:is>
          <x:t xml:space="preserve">СОТР-037</x:t>
        </x:is>
      </x:c>
      <x:c r="L661" s="31" t="inlineStr">
        <x:is>
          <x:t xml:space="preserve">ДОК-6012</x:t>
        </x:is>
      </x:c>
      <x:c r="M661" s="31" t="inlineStr">
        <x:is>
          <x:t xml:space="preserve">Проведен</x:t>
        </x:is>
      </x:c>
    </x:row>
    <x:row r="662">
      <x:c r="A662" s="31" t="inlineStr">
        <x:is>
          <x:t xml:space="preserve">СКЛ-000661</x:t>
        </x:is>
      </x:c>
      <x:c r="B662" s="31" t="n">
        <x:v>46188</x:v>
      </x:c>
      <x:c r="C662" s="31" t="inlineStr">
        <x:is>
          <x:t xml:space="preserve">Резерв</x:t>
        </x:is>
      </x:c>
      <x:c r="D662" s="31" t="inlineStr">
        <x:is>
          <x:t xml:space="preserve">МАТ-0022</x:t>
        </x:is>
      </x:c>
      <x:c r="E662" s="31" t="inlineStr">
        <x:is>
          <x:t xml:space="preserve">Торцевое уплотнение / исп.2</x:t>
        </x:is>
      </x:c>
      <x:c r="F662" s="31" t="n">
        <x:v>-8</x:v>
      </x:c>
      <x:c r="G662" s="31" t="inlineStr">
        <x:is>
          <x:t xml:space="preserve">шт</x:t>
        </x:is>
      </x:c>
      <x:c r="H662" s="31" t="inlineStr">
        <x:is>
          <x:t xml:space="preserve">ЗК-1040</x:t>
        </x:is>
      </x:c>
      <x:c r="I662" s="31" t="n"/>
      <x:c r="J662" s="31" t="inlineStr">
        <x:is>
          <x:t xml:space="preserve">Основной склад</x:t>
        </x:is>
      </x:c>
      <x:c r="K662" s="31" t="inlineStr">
        <x:is>
          <x:t xml:space="preserve">СОТР-037</x:t>
        </x:is>
      </x:c>
      <x:c r="L662" s="31" t="inlineStr">
        <x:is>
          <x:t xml:space="preserve">ДОК-7074</x:t>
        </x:is>
      </x:c>
      <x:c r="M662" s="31" t="inlineStr">
        <x:is>
          <x:t xml:space="preserve">Проведен</x:t>
        </x:is>
      </x:c>
    </x:row>
    <x:row r="663">
      <x:c r="A663" s="31" t="inlineStr">
        <x:is>
          <x:t xml:space="preserve">СКЛ-000662</x:t>
        </x:is>
      </x:c>
      <x:c r="B663" s="31" t="n">
        <x:v>46054</x:v>
      </x:c>
      <x:c r="C663" s="31" t="inlineStr">
        <x:is>
          <x:t xml:space="preserve">Резерв</x:t>
        </x:is>
      </x:c>
      <x:c r="D663" s="31" t="inlineStr">
        <x:is>
          <x:t xml:space="preserve">МАТ-0089</x:t>
        </x:is>
      </x:c>
      <x:c r="E663" s="31" t="inlineStr">
        <x:is>
          <x:t xml:space="preserve">Маркировочная этикетка</x:t>
        </x:is>
      </x:c>
      <x:c r="F663" s="31" t="n">
        <x:v>-6</x:v>
      </x:c>
      <x:c r="G663" s="31" t="inlineStr">
        <x:is>
          <x:t xml:space="preserve">шт</x:t>
        </x:is>
      </x:c>
      <x:c r="H663" s="31" t="inlineStr">
        <x:is>
          <x:t xml:space="preserve">ЗК-1105</x:t>
        </x:is>
      </x:c>
      <x:c r="I663" s="31" t="n"/>
      <x:c r="J663" s="31" t="inlineStr">
        <x:is>
          <x:t xml:space="preserve">Основной склад</x:t>
        </x:is>
      </x:c>
      <x:c r="K663" s="31" t="inlineStr">
        <x:is>
          <x:t xml:space="preserve">СОТР-024</x:t>
        </x:is>
      </x:c>
      <x:c r="L663" s="31" t="inlineStr">
        <x:is>
          <x:t xml:space="preserve">ДОК-2920</x:t>
        </x:is>
      </x:c>
      <x:c r="M663" s="31" t="inlineStr">
        <x:is>
          <x:t xml:space="preserve">Проведен</x:t>
        </x:is>
      </x:c>
    </x:row>
    <x:row r="664">
      <x:c r="A664" s="31" t="inlineStr">
        <x:is>
          <x:t xml:space="preserve">СКЛ-000663</x:t>
        </x:is>
      </x:c>
      <x:c r="B664" s="31" t="n">
        <x:v>46134</x:v>
      </x:c>
      <x:c r="C664" s="31" t="inlineStr">
        <x:is>
          <x:t xml:space="preserve">Возврат</x:t>
        </x:is>
      </x:c>
      <x:c r="D664" s="31" t="inlineStr">
        <x:is>
          <x:t xml:space="preserve">МАТ-0083</x:t>
        </x:is>
      </x:c>
      <x:c r="E664" s="31" t="inlineStr">
        <x:is>
          <x:t xml:space="preserve">Анкер М16</x:t>
        </x:is>
      </x:c>
      <x:c r="F664" s="31" t="n">
        <x:v>16</x:v>
      </x:c>
      <x:c r="G664" s="31" t="inlineStr">
        <x:is>
          <x:t xml:space="preserve">шт</x:t>
        </x:is>
      </x:c>
      <x:c r="H664" s="31" t="n"/>
      <x:c r="I664" s="31" t="n"/>
      <x:c r="J664" s="31" t="inlineStr">
        <x:is>
          <x:t xml:space="preserve">Основной склад</x:t>
        </x:is>
      </x:c>
      <x:c r="K664" s="31" t="inlineStr">
        <x:is>
          <x:t xml:space="preserve">СОТР-033</x:t>
        </x:is>
      </x:c>
      <x:c r="L664" s="31" t="inlineStr">
        <x:is>
          <x:t xml:space="preserve">ДОК-7072</x:t>
        </x:is>
      </x:c>
      <x:c r="M664" s="31" t="inlineStr">
        <x:is>
          <x:t xml:space="preserve">Проведен</x:t>
        </x:is>
      </x:c>
    </x:row>
    <x:row r="665">
      <x:c r="A665" s="31" t="inlineStr">
        <x:is>
          <x:t xml:space="preserve">СКЛ-000664</x:t>
        </x:is>
      </x:c>
      <x:c r="B665" s="31" t="n">
        <x:v>46123</x:v>
      </x:c>
      <x:c r="C665" s="31" t="inlineStr">
        <x:is>
          <x:t xml:space="preserve">Приход</x:t>
        </x:is>
      </x:c>
      <x:c r="D665" s="31" t="inlineStr">
        <x:is>
          <x:t xml:space="preserve">МАТ-0014</x:t>
        </x:is>
      </x:c>
      <x:c r="E665" s="31" t="inlineStr">
        <x:is>
          <x:t xml:space="preserve">Уголок 50×5 / исп.2</x:t>
        </x:is>
      </x:c>
      <x:c r="F665" s="31" t="n">
        <x:v>18</x:v>
      </x:c>
      <x:c r="G665" s="31" t="inlineStr">
        <x:is>
          <x:t xml:space="preserve">шт</x:t>
        </x:is>
      </x:c>
      <x:c r="H665" s="31" t="n"/>
      <x:c r="I665" s="31" t="n"/>
      <x:c r="J665" s="31" t="inlineStr">
        <x:is>
          <x:t xml:space="preserve">Брак/карантин</x:t>
        </x:is>
      </x:c>
      <x:c r="K665" s="31" t="inlineStr">
        <x:is>
          <x:t xml:space="preserve">СОТР-035</x:t>
        </x:is>
      </x:c>
      <x:c r="L665" s="31" t="inlineStr">
        <x:is>
          <x:t xml:space="preserve">ДОК-3573</x:t>
        </x:is>
      </x:c>
      <x:c r="M665" s="31" t="inlineStr">
        <x:is>
          <x:t xml:space="preserve">Черновик</x:t>
        </x:is>
      </x:c>
    </x:row>
    <x:row r="666">
      <x:c r="A666" s="31" t="inlineStr">
        <x:is>
          <x:t xml:space="preserve">СКЛ-000665</x:t>
        </x:is>
      </x:c>
      <x:c r="B666" s="31" t="n">
        <x:v>46086</x:v>
      </x:c>
      <x:c r="C666" s="31" t="inlineStr">
        <x:is>
          <x:t xml:space="preserve">Резерв</x:t>
        </x:is>
      </x:c>
      <x:c r="D666" s="31" t="inlineStr">
        <x:is>
          <x:t xml:space="preserve">МАТ-0027</x:t>
        </x:is>
      </x:c>
      <x:c r="E666" s="31" t="inlineStr">
        <x:is>
          <x:t xml:space="preserve">Двигатель 22 кВт</x:t>
        </x:is>
      </x:c>
      <x:c r="F666" s="31" t="n">
        <x:v>-17</x:v>
      </x:c>
      <x:c r="G666" s="31" t="inlineStr">
        <x:is>
          <x:t xml:space="preserve">шт</x:t>
        </x:is>
      </x:c>
      <x:c r="H666" s="31" t="inlineStr">
        <x:is>
          <x:t xml:space="preserve">ЗК-1004</x:t>
        </x:is>
      </x:c>
      <x:c r="I666" s="31" t="n"/>
      <x:c r="J666" s="31" t="inlineStr">
        <x:is>
          <x:t xml:space="preserve">Основной склад</x:t>
        </x:is>
      </x:c>
      <x:c r="K666" s="31" t="inlineStr">
        <x:is>
          <x:t xml:space="preserve">СОТР-035</x:t>
        </x:is>
      </x:c>
      <x:c r="L666" s="31" t="inlineStr">
        <x:is>
          <x:t xml:space="preserve">ДОК-2923</x:t>
        </x:is>
      </x:c>
      <x:c r="M666" s="31" t="inlineStr">
        <x:is>
          <x:t xml:space="preserve">Проведен</x:t>
        </x:is>
      </x:c>
    </x:row>
    <x:row r="667">
      <x:c r="A667" s="31" t="inlineStr">
        <x:is>
          <x:t xml:space="preserve">СКЛ-000666</x:t>
        </x:is>
      </x:c>
      <x:c r="B667" s="31" t="n">
        <x:v>46087</x:v>
      </x:c>
      <x:c r="C667" s="31" t="inlineStr">
        <x:is>
          <x:t xml:space="preserve">Возврат</x:t>
        </x:is>
      </x:c>
      <x:c r="D667" s="31" t="inlineStr">
        <x:is>
          <x:t xml:space="preserve">МАТ-0022</x:t>
        </x:is>
      </x:c>
      <x:c r="E667" s="31" t="inlineStr">
        <x:is>
          <x:t xml:space="preserve">Торцевое уплотнение / исп.2</x:t>
        </x:is>
      </x:c>
      <x:c r="F667" s="31" t="n">
        <x:v>5</x:v>
      </x:c>
      <x:c r="G667" s="31" t="inlineStr">
        <x:is>
          <x:t xml:space="preserve">шт</x:t>
        </x:is>
      </x:c>
      <x:c r="H667" s="31" t="n"/>
      <x:c r="I667" s="31" t="n"/>
      <x:c r="J667" s="31" t="inlineStr">
        <x:is>
          <x:t xml:space="preserve">Основной склад</x:t>
        </x:is>
      </x:c>
      <x:c r="K667" s="31" t="inlineStr">
        <x:is>
          <x:t xml:space="preserve">СОТР-035</x:t>
        </x:is>
      </x:c>
      <x:c r="L667" s="31" t="inlineStr">
        <x:is>
          <x:t xml:space="preserve">ДОК-5114</x:t>
        </x:is>
      </x:c>
      <x:c r="M667" s="31" t="inlineStr">
        <x:is>
          <x:t xml:space="preserve">Проведен</x:t>
        </x:is>
      </x:c>
    </x:row>
    <x:row r="668">
      <x:c r="A668" s="31" t="inlineStr">
        <x:is>
          <x:t xml:space="preserve">СКЛ-000667</x:t>
        </x:is>
      </x:c>
      <x:c r="B668" s="31" t="n">
        <x:v>46154</x:v>
      </x:c>
      <x:c r="C668" s="31" t="inlineStr">
        <x:is>
          <x:t xml:space="preserve">Выдача в производство</x:t>
        </x:is>
      </x:c>
      <x:c r="D668" s="31" t="inlineStr">
        <x:is>
          <x:t xml:space="preserve">МАТ-0013</x:t>
        </x:is>
      </x:c>
      <x:c r="E668" s="31" t="inlineStr">
        <x:is>
          <x:t xml:space="preserve">Уголок 50×5</x:t>
        </x:is>
      </x:c>
      <x:c r="F668" s="31" t="n">
        <x:v>-64.02</x:v>
      </x:c>
      <x:c r="G668" s="31" t="inlineStr">
        <x:is>
          <x:t xml:space="preserve">кг</x:t>
        </x:is>
      </x:c>
      <x:c r="H668" s="31" t="inlineStr">
        <x:is>
          <x:t xml:space="preserve">ЗК-1113</x:t>
        </x:is>
      </x:c>
      <x:c r="I668" s="31" t="inlineStr">
        <x:is>
          <x:t xml:space="preserve">ПЗ-00179</x:t>
        </x:is>
      </x:c>
      <x:c r="J668" s="31" t="inlineStr">
        <x:is>
          <x:t xml:space="preserve">Цеховой склад</x:t>
        </x:is>
      </x:c>
      <x:c r="K668" s="31" t="inlineStr">
        <x:is>
          <x:t xml:space="preserve">СОТР-038</x:t>
        </x:is>
      </x:c>
      <x:c r="L668" s="31" t="inlineStr">
        <x:is>
          <x:t xml:space="preserve">ДОК-6339</x:t>
        </x:is>
      </x:c>
      <x:c r="M668" s="31" t="inlineStr">
        <x:is>
          <x:t xml:space="preserve">Черновик</x:t>
        </x:is>
      </x:c>
    </x:row>
    <x:row r="669">
      <x:c r="A669" s="31" t="inlineStr">
        <x:is>
          <x:t xml:space="preserve">СКЛ-000668</x:t>
        </x:is>
      </x:c>
      <x:c r="B669" s="31" t="n">
        <x:v>46126</x:v>
      </x:c>
      <x:c r="C669" s="31" t="inlineStr">
        <x:is>
          <x:t xml:space="preserve">Выдача в производство</x:t>
        </x:is>
      </x:c>
      <x:c r="D669" s="31" t="inlineStr">
        <x:is>
          <x:t xml:space="preserve">МАТ-0022</x:t>
        </x:is>
      </x:c>
      <x:c r="E669" s="31" t="inlineStr">
        <x:is>
          <x:t xml:space="preserve">Торцевое уплотнение / исп.2</x:t>
        </x:is>
      </x:c>
      <x:c r="F669" s="31" t="n">
        <x:v>-8</x:v>
      </x:c>
      <x:c r="G669" s="31" t="inlineStr">
        <x:is>
          <x:t xml:space="preserve">шт</x:t>
        </x:is>
      </x:c>
      <x:c r="H669" s="31" t="inlineStr">
        <x:is>
          <x:t xml:space="preserve">ЗК-1099</x:t>
        </x:is>
      </x:c>
      <x:c r="I669" s="31" t="inlineStr">
        <x:is>
          <x:t xml:space="preserve">ПЗ-00102</x:t>
        </x:is>
      </x:c>
      <x:c r="J669" s="31" t="inlineStr">
        <x:is>
          <x:t xml:space="preserve">Основной склад</x:t>
        </x:is>
      </x:c>
      <x:c r="K669" s="31" t="inlineStr">
        <x:is>
          <x:t xml:space="preserve">СОТР-038</x:t>
        </x:is>
      </x:c>
      <x:c r="L669" s="31" t="inlineStr">
        <x:is>
          <x:t xml:space="preserve">ДОК-5243</x:t>
        </x:is>
      </x:c>
      <x:c r="M669" s="31" t="inlineStr">
        <x:is>
          <x:t xml:space="preserve">Проведен</x:t>
        </x:is>
      </x:c>
    </x:row>
    <x:row r="670">
      <x:c r="A670" s="31" t="inlineStr">
        <x:is>
          <x:t xml:space="preserve">СКЛ-000669</x:t>
        </x:is>
      </x:c>
      <x:c r="B670" s="31" t="n">
        <x:v>46163</x:v>
      </x:c>
      <x:c r="C670" s="31" t="inlineStr">
        <x:is>
          <x:t xml:space="preserve">Выдача в производство</x:t>
        </x:is>
      </x:c>
      <x:c r="D670" s="31" t="inlineStr">
        <x:is>
          <x:t xml:space="preserve">МАТ-0042</x:t>
        </x:is>
      </x:c>
      <x:c r="E670" s="31" t="inlineStr">
        <x:is>
          <x:t xml:space="preserve">модуль аналогового входа 4 канала / исп.3</x:t>
        </x:is>
      </x:c>
      <x:c r="F670" s="31" t="n">
        <x:v>-10</x:v>
      </x:c>
      <x:c r="G670" s="31" t="inlineStr">
        <x:is>
          <x:t xml:space="preserve">шт</x:t>
        </x:is>
      </x:c>
      <x:c r="H670" s="31" t="inlineStr">
        <x:is>
          <x:t xml:space="preserve">ЗК-1103</x:t>
        </x:is>
      </x:c>
      <x:c r="I670" s="31" t="inlineStr">
        <x:is>
          <x:t xml:space="preserve">ПЗ-00023</x:t>
        </x:is>
      </x:c>
      <x:c r="J670" s="31" t="inlineStr">
        <x:is>
          <x:t xml:space="preserve">Основной склад</x:t>
        </x:is>
      </x:c>
      <x:c r="K670" s="31" t="inlineStr">
        <x:is>
          <x:t xml:space="preserve">СОТР-036</x:t>
        </x:is>
      </x:c>
      <x:c r="L670" s="31" t="inlineStr">
        <x:is>
          <x:t xml:space="preserve">ДОК-1682</x:t>
        </x:is>
      </x:c>
      <x:c r="M670" s="31" t="inlineStr">
        <x:is>
          <x:t xml:space="preserve">Проведен</x:t>
        </x:is>
      </x:c>
    </x:row>
    <x:row r="671">
      <x:c r="A671" s="31" t="inlineStr">
        <x:is>
          <x:t xml:space="preserve">СКЛ-000670</x:t>
        </x:is>
      </x:c>
      <x:c r="B671" s="31" t="n">
        <x:v>46124</x:v>
      </x:c>
      <x:c r="C671" s="31" t="inlineStr">
        <x:is>
          <x:t xml:space="preserve">Выдача в производство</x:t>
        </x:is>
      </x:c>
      <x:c r="D671" s="31" t="inlineStr">
        <x:is>
          <x:t xml:space="preserve">МАТ-0087</x:t>
        </x:is>
      </x:c>
      <x:c r="E671" s="31" t="inlineStr">
        <x:is>
          <x:t xml:space="preserve">Ящик фанерный</x:t>
        </x:is>
      </x:c>
      <x:c r="F671" s="31" t="n">
        <x:v>-6</x:v>
      </x:c>
      <x:c r="G671" s="31" t="inlineStr">
        <x:is>
          <x:t xml:space="preserve">шт</x:t>
        </x:is>
      </x:c>
      <x:c r="H671" s="31" t="inlineStr">
        <x:is>
          <x:t xml:space="preserve">ЗК-1103</x:t>
        </x:is>
      </x:c>
      <x:c r="I671" s="31" t="inlineStr">
        <x:is>
          <x:t xml:space="preserve">ПЗ-00195</x:t>
        </x:is>
      </x:c>
      <x:c r="J671" s="31" t="inlineStr">
        <x:is>
          <x:t xml:space="preserve">Цеховой склад</x:t>
        </x:is>
      </x:c>
      <x:c r="K671" s="31" t="inlineStr">
        <x:is>
          <x:t xml:space="preserve">СОТР-039</x:t>
        </x:is>
      </x:c>
      <x:c r="L671" s="31" t="inlineStr">
        <x:is>
          <x:t xml:space="preserve">ДОК-3944</x:t>
        </x:is>
      </x:c>
      <x:c r="M671" s="31" t="inlineStr">
        <x:is>
          <x:t xml:space="preserve">Проведен</x:t>
        </x:is>
      </x:c>
    </x:row>
    <x:row r="672">
      <x:c r="A672" s="31" t="inlineStr">
        <x:is>
          <x:t xml:space="preserve">СКЛ-000671</x:t>
        </x:is>
      </x:c>
      <x:c r="B672" s="31" t="n">
        <x:v>46071</x:v>
      </x:c>
      <x:c r="C672" s="31" t="inlineStr">
        <x:is>
          <x:t xml:space="preserve">Приход</x:t>
        </x:is>
      </x:c>
      <x:c r="D672" s="31" t="inlineStr">
        <x:is>
          <x:t xml:space="preserve">МАТ-0058</x:t>
        </x:is>
      </x:c>
      <x:c r="E672" s="31" t="inlineStr">
        <x:is>
          <x:t xml:space="preserve">Задвижка Ду100 / исп.3</x:t>
        </x:is>
      </x:c>
      <x:c r="F672" s="31" t="n">
        <x:v>14</x:v>
      </x:c>
      <x:c r="G672" s="31" t="inlineStr">
        <x:is>
          <x:t xml:space="preserve">шт</x:t>
        </x:is>
      </x:c>
      <x:c r="H672" s="31" t="n"/>
      <x:c r="I672" s="31" t="n"/>
      <x:c r="J672" s="31" t="inlineStr">
        <x:is>
          <x:t xml:space="preserve">Основной склад</x:t>
        </x:is>
      </x:c>
      <x:c r="K672" s="31" t="inlineStr">
        <x:is>
          <x:t xml:space="preserve">СОТР-037</x:t>
        </x:is>
      </x:c>
      <x:c r="L672" s="31" t="inlineStr">
        <x:is>
          <x:t xml:space="preserve">ДОК-9300</x:t>
        </x:is>
      </x:c>
      <x:c r="M672" s="31" t="inlineStr">
        <x:is>
          <x:t xml:space="preserve">Требует проверки</x:t>
        </x:is>
      </x:c>
    </x:row>
    <x:row r="673">
      <x:c r="A673" s="31" t="inlineStr">
        <x:is>
          <x:t xml:space="preserve">СКЛ-000672</x:t>
        </x:is>
      </x:c>
      <x:c r="B673" s="31" t="n">
        <x:v>46125</x:v>
      </x:c>
      <x:c r="C673" s="31" t="inlineStr">
        <x:is>
          <x:t xml:space="preserve">Резерв</x:t>
        </x:is>
      </x:c>
      <x:c r="D673" s="31" t="inlineStr">
        <x:is>
          <x:t xml:space="preserve">МАТ-0028</x:t>
        </x:is>
      </x:c>
      <x:c r="E673" s="31" t="inlineStr">
        <x:is>
          <x:t xml:space="preserve">Частотный преобразователь 15 кВт</x:t>
        </x:is>
      </x:c>
      <x:c r="F673" s="31" t="n">
        <x:v>-2</x:v>
      </x:c>
      <x:c r="G673" s="31" t="inlineStr">
        <x:is>
          <x:t xml:space="preserve">шт</x:t>
        </x:is>
      </x:c>
      <x:c r="H673" s="31" t="inlineStr">
        <x:is>
          <x:t xml:space="preserve">ЗК-1104</x:t>
        </x:is>
      </x:c>
      <x:c r="I673" s="31" t="n"/>
      <x:c r="J673" s="31" t="inlineStr">
        <x:is>
          <x:t xml:space="preserve">Основной склад</x:t>
        </x:is>
      </x:c>
      <x:c r="K673" s="31" t="inlineStr">
        <x:is>
          <x:t xml:space="preserve">СОТР-034</x:t>
        </x:is>
      </x:c>
      <x:c r="L673" s="31" t="inlineStr">
        <x:is>
          <x:t xml:space="preserve">ДОК-3226</x:t>
        </x:is>
      </x:c>
      <x:c r="M673" s="31" t="inlineStr">
        <x:is>
          <x:t xml:space="preserve">Проведен</x:t>
        </x:is>
      </x:c>
    </x:row>
    <x:row r="674">
      <x:c r="A674" s="31" t="inlineStr">
        <x:is>
          <x:t xml:space="preserve">СКЛ-000673</x:t>
        </x:is>
      </x:c>
      <x:c r="B674" s="31" t="n">
        <x:v>46135</x:v>
      </x:c>
      <x:c r="C674" s="31" t="inlineStr">
        <x:is>
          <x:t xml:space="preserve">Списание</x:t>
        </x:is>
      </x:c>
      <x:c r="D674" s="31" t="inlineStr">
        <x:is>
          <x:t xml:space="preserve">МАТ-0026</x:t>
        </x:is>
      </x:c>
      <x:c r="E674" s="31" t="inlineStr">
        <x:is>
          <x:t xml:space="preserve">Двигатель 15 кВт</x:t>
        </x:is>
      </x:c>
      <x:c r="F674" s="31" t="n">
        <x:v>-3</x:v>
      </x:c>
      <x:c r="G674" s="31" t="inlineStr">
        <x:is>
          <x:t xml:space="preserve">шт</x:t>
        </x:is>
      </x:c>
      <x:c r="H674" s="31" t="n"/>
      <x:c r="I674" s="31" t="n"/>
      <x:c r="J674" s="31" t="inlineStr">
        <x:is>
          <x:t xml:space="preserve">Брак/карантин</x:t>
        </x:is>
      </x:c>
      <x:c r="K674" s="31" t="inlineStr">
        <x:is>
          <x:t xml:space="preserve">СОТР-037</x:t>
        </x:is>
      </x:c>
      <x:c r="L674" s="31" t="inlineStr">
        <x:is>
          <x:t xml:space="preserve">ДОК-1329</x:t>
        </x:is>
      </x:c>
      <x:c r="M674" s="31" t="inlineStr">
        <x:is>
          <x:t xml:space="preserve">Проведен</x:t>
        </x:is>
      </x:c>
    </x:row>
    <x:row r="675">
      <x:c r="A675" s="31" t="inlineStr">
        <x:is>
          <x:t xml:space="preserve">СКЛ-000674</x:t>
        </x:is>
      </x:c>
      <x:c r="B675" s="31" t="n">
        <x:v>46193</x:v>
      </x:c>
      <x:c r="C675" s="31" t="inlineStr">
        <x:is>
          <x:t xml:space="preserve">Приход</x:t>
        </x:is>
      </x:c>
      <x:c r="D675" s="31" t="inlineStr">
        <x:is>
          <x:t xml:space="preserve">МАТ-0048</x:t>
        </x:is>
      </x:c>
      <x:c r="E675" s="31" t="inlineStr">
        <x:is>
          <x:t xml:space="preserve">Контактор 25А / исп.3</x:t>
        </x:is>
      </x:c>
      <x:c r="F675" s="31" t="n">
        <x:v>5</x:v>
      </x:c>
      <x:c r="G675" s="31" t="inlineStr">
        <x:is>
          <x:t xml:space="preserve">шт</x:t>
        </x:is>
      </x:c>
      <x:c r="H675" s="31" t="n"/>
      <x:c r="I675" s="31" t="n"/>
      <x:c r="J675" s="31" t="inlineStr">
        <x:is>
          <x:t xml:space="preserve">Брак/карантин</x:t>
        </x:is>
      </x:c>
      <x:c r="K675" s="31" t="inlineStr">
        <x:is>
          <x:t xml:space="preserve">СОТР-024</x:t>
        </x:is>
      </x:c>
      <x:c r="L675" s="31" t="inlineStr">
        <x:is>
          <x:t xml:space="preserve">ДОК-4523</x:t>
        </x:is>
      </x:c>
      <x:c r="M675" s="31" t="inlineStr">
        <x:is>
          <x:t xml:space="preserve">Проведен</x:t>
        </x:is>
      </x:c>
    </x:row>
    <x:row r="676">
      <x:c r="A676" s="31" t="inlineStr">
        <x:is>
          <x:t xml:space="preserve">СКЛ-000675</x:t>
        </x:is>
      </x:c>
      <x:c r="B676" s="31" t="n">
        <x:v>46144</x:v>
      </x:c>
      <x:c r="C676" s="31" t="inlineStr">
        <x:is>
          <x:t xml:space="preserve">Возврат</x:t>
        </x:is>
      </x:c>
      <x:c r="D676" s="31" t="inlineStr">
        <x:is>
          <x:t xml:space="preserve">МАТ-0013</x:t>
        </x:is>
      </x:c>
      <x:c r="E676" s="31" t="inlineStr">
        <x:is>
          <x:t xml:space="preserve">Уголок 50×5</x:t>
        </x:is>
      </x:c>
      <x:c r="F676" s="31" t="n">
        <x:v>70.08</x:v>
      </x:c>
      <x:c r="G676" s="31" t="inlineStr">
        <x:is>
          <x:t xml:space="preserve">кг</x:t>
        </x:is>
      </x:c>
      <x:c r="H676" s="31" t="n"/>
      <x:c r="I676" s="31" t="n"/>
      <x:c r="J676" s="31" t="inlineStr">
        <x:is>
          <x:t xml:space="preserve">Основной склад</x:t>
        </x:is>
      </x:c>
      <x:c r="K676" s="31" t="inlineStr">
        <x:is>
          <x:t xml:space="preserve">СОТР-037</x:t>
        </x:is>
      </x:c>
      <x:c r="L676" s="31" t="inlineStr">
        <x:is>
          <x:t xml:space="preserve">ДОК-7221</x:t>
        </x:is>
      </x:c>
      <x:c r="M676" s="31" t="inlineStr">
        <x:is>
          <x:t xml:space="preserve">Проведен</x:t>
        </x:is>
      </x:c>
    </x:row>
    <x:row r="677">
      <x:c r="A677" s="31" t="inlineStr">
        <x:is>
          <x:t xml:space="preserve">СКЛ-000676</x:t>
        </x:is>
      </x:c>
      <x:c r="B677" s="31" t="n">
        <x:v>46053</x:v>
      </x:c>
      <x:c r="C677" s="31" t="inlineStr">
        <x:is>
          <x:t xml:space="preserve">Выдача в производство</x:t>
        </x:is>
      </x:c>
      <x:c r="D677" s="31" t="inlineStr">
        <x:is>
          <x:t xml:space="preserve">МАТ-0070</x:t>
        </x:is>
      </x:c>
      <x:c r="E677" s="31" t="inlineStr">
        <x:is>
          <x:t xml:space="preserve">Эмаль полиуретановая / исп.2</x:t>
        </x:is>
      </x:c>
      <x:c r="F677" s="31" t="n">
        <x:v>-59.15</x:v>
      </x:c>
      <x:c r="G677" s="31" t="inlineStr">
        <x:is>
          <x:t xml:space="preserve">кг</x:t>
        </x:is>
      </x:c>
      <x:c r="H677" s="31" t="inlineStr">
        <x:is>
          <x:t xml:space="preserve">ЗК-1086</x:t>
        </x:is>
      </x:c>
      <x:c r="I677" s="31" t="inlineStr">
        <x:is>
          <x:t xml:space="preserve">ПЗ-00109</x:t>
        </x:is>
      </x:c>
      <x:c r="J677" s="31" t="inlineStr">
        <x:is>
          <x:t xml:space="preserve">Основной склад</x:t>
        </x:is>
      </x:c>
      <x:c r="K677" s="31" t="inlineStr">
        <x:is>
          <x:t xml:space="preserve">СОТР-039</x:t>
        </x:is>
      </x:c>
      <x:c r="L677" s="31" t="inlineStr">
        <x:is>
          <x:t xml:space="preserve">ДОК-9800</x:t>
        </x:is>
      </x:c>
      <x:c r="M677" s="31" t="inlineStr">
        <x:is>
          <x:t xml:space="preserve">Проведен</x:t>
        </x:is>
      </x:c>
    </x:row>
    <x:row r="678">
      <x:c r="A678" s="31" t="inlineStr">
        <x:is>
          <x:t xml:space="preserve">СКЛ-000677</x:t>
        </x:is>
      </x:c>
      <x:c r="B678" s="31" t="n">
        <x:v>46116</x:v>
      </x:c>
      <x:c r="C678" s="31" t="inlineStr">
        <x:is>
          <x:t xml:space="preserve">Приход</x:t>
        </x:is>
      </x:c>
      <x:c r="D678" s="31" t="inlineStr">
        <x:is>
          <x:t xml:space="preserve">МАТ-0068</x:t>
        </x:is>
      </x:c>
      <x:c r="E678" s="31" t="inlineStr">
        <x:is>
          <x:t xml:space="preserve">Грунт эпоксидный</x:t>
        </x:is>
      </x:c>
      <x:c r="F678" s="31" t="n">
        <x:v>64.89</x:v>
      </x:c>
      <x:c r="G678" s="31" t="inlineStr">
        <x:is>
          <x:t xml:space="preserve">л</x:t>
        </x:is>
      </x:c>
      <x:c r="H678" s="31" t="n"/>
      <x:c r="I678" s="31" t="n"/>
      <x:c r="J678" s="31" t="inlineStr">
        <x:is>
          <x:t xml:space="preserve">Основной склад</x:t>
        </x:is>
      </x:c>
      <x:c r="K678" s="31" t="inlineStr">
        <x:is>
          <x:t xml:space="preserve">СОТР-034</x:t>
        </x:is>
      </x:c>
      <x:c r="L678" s="31" t="inlineStr">
        <x:is>
          <x:t xml:space="preserve">ДОК-9841</x:t>
        </x:is>
      </x:c>
      <x:c r="M678" s="31" t="inlineStr">
        <x:is>
          <x:t xml:space="preserve">Черновик</x:t>
        </x:is>
      </x:c>
    </x:row>
    <x:row r="679">
      <x:c r="A679" s="31" t="inlineStr">
        <x:is>
          <x:t xml:space="preserve">СКЛ-000678</x:t>
        </x:is>
      </x:c>
      <x:c r="B679" s="31" t="n">
        <x:v>46198</x:v>
      </x:c>
      <x:c r="C679" s="31" t="inlineStr">
        <x:is>
          <x:t xml:space="preserve">Выдача в производство</x:t>
        </x:is>
      </x:c>
      <x:c r="D679" s="31" t="inlineStr">
        <x:is>
          <x:t xml:space="preserve">МАТ-0071</x:t>
        </x:is>
      </x:c>
      <x:c r="E679" s="31" t="inlineStr">
        <x:is>
          <x:t xml:space="preserve">Эмаль полиуретановая / исп.3</x:t>
        </x:is>
      </x:c>
      <x:c r="F679" s="31" t="n">
        <x:v>-56.65</x:v>
      </x:c>
      <x:c r="G679" s="31" t="inlineStr">
        <x:is>
          <x:t xml:space="preserve">кг</x:t>
        </x:is>
      </x:c>
      <x:c r="H679" s="31" t="inlineStr">
        <x:is>
          <x:t xml:space="preserve">ЗК-1015</x:t>
        </x:is>
      </x:c>
      <x:c r="I679" s="31" t="inlineStr">
        <x:is>
          <x:t xml:space="preserve">ПЗ-00091</x:t>
        </x:is>
      </x:c>
      <x:c r="J679" s="31" t="inlineStr">
        <x:is>
          <x:t xml:space="preserve">Цеховой склад</x:t>
        </x:is>
      </x:c>
      <x:c r="K679" s="31" t="inlineStr">
        <x:is>
          <x:t xml:space="preserve">СОТР-035</x:t>
        </x:is>
      </x:c>
      <x:c r="L679" s="31" t="inlineStr">
        <x:is>
          <x:t xml:space="preserve">ДОК-7395</x:t>
        </x:is>
      </x:c>
      <x:c r="M679" s="31" t="inlineStr">
        <x:is>
          <x:t xml:space="preserve">Проведен</x:t>
        </x:is>
      </x:c>
    </x:row>
    <x:row r="680">
      <x:c r="A680" s="31" t="inlineStr">
        <x:is>
          <x:t xml:space="preserve">СКЛ-000679</x:t>
        </x:is>
      </x:c>
      <x:c r="B680" s="31" t="n">
        <x:v>46196</x:v>
      </x:c>
      <x:c r="C680" s="31" t="inlineStr">
        <x:is>
          <x:t xml:space="preserve">Резерв</x:t>
        </x:is>
      </x:c>
      <x:c r="D680" s="31" t="inlineStr">
        <x:is>
          <x:t xml:space="preserve">МАТ-0043</x:t>
        </x:is>
      </x:c>
      <x:c r="E680" s="31" t="inlineStr">
        <x:is>
          <x:t xml:space="preserve">Блок питания 24В</x:t>
        </x:is>
      </x:c>
      <x:c r="F680" s="31" t="n">
        <x:v>-7</x:v>
      </x:c>
      <x:c r="G680" s="31" t="inlineStr">
        <x:is>
          <x:t xml:space="preserve">шт</x:t>
        </x:is>
      </x:c>
      <x:c r="H680" s="31" t="inlineStr">
        <x:is>
          <x:t xml:space="preserve">ЗК-1072</x:t>
        </x:is>
      </x:c>
      <x:c r="I680" s="31" t="n"/>
      <x:c r="J680" s="31" t="inlineStr">
        <x:is>
          <x:t xml:space="preserve">Основной склад</x:t>
        </x:is>
      </x:c>
      <x:c r="K680" s="31" t="inlineStr">
        <x:is>
          <x:t xml:space="preserve">СОТР-038</x:t>
        </x:is>
      </x:c>
      <x:c r="L680" s="31" t="inlineStr">
        <x:is>
          <x:t xml:space="preserve">ДОК-5420</x:t>
        </x:is>
      </x:c>
      <x:c r="M680" s="31" t="inlineStr">
        <x:is>
          <x:t xml:space="preserve">Проведен</x:t>
        </x:is>
      </x:c>
    </x:row>
    <x:row r="681">
      <x:c r="A681" s="31" t="inlineStr">
        <x:is>
          <x:t xml:space="preserve">СКЛ-000680</x:t>
        </x:is>
      </x:c>
      <x:c r="B681" s="31" t="n">
        <x:v>46129</x:v>
      </x:c>
      <x:c r="C681" s="31" t="inlineStr">
        <x:is>
          <x:t xml:space="preserve">Приход</x:t>
        </x:is>
      </x:c>
      <x:c r="D681" s="31" t="inlineStr">
        <x:is>
          <x:t xml:space="preserve">МАТ-0043</x:t>
        </x:is>
      </x:c>
      <x:c r="E681" s="31" t="inlineStr">
        <x:is>
          <x:t xml:space="preserve">Блок питания 24В</x:t>
        </x:is>
      </x:c>
      <x:c r="F681" s="31" t="n">
        <x:v>11</x:v>
      </x:c>
      <x:c r="G681" s="31" t="inlineStr">
        <x:is>
          <x:t xml:space="preserve">шт</x:t>
        </x:is>
      </x:c>
      <x:c r="H681" s="31" t="n"/>
      <x:c r="I681" s="31" t="n"/>
      <x:c r="J681" s="31" t="inlineStr">
        <x:is>
          <x:t xml:space="preserve">Основной склад</x:t>
        </x:is>
      </x:c>
      <x:c r="K681" s="31" t="inlineStr">
        <x:is>
          <x:t xml:space="preserve">СОТР-034</x:t>
        </x:is>
      </x:c>
      <x:c r="L681" s="31" t="inlineStr">
        <x:is>
          <x:t xml:space="preserve">ДОК-3509</x:t>
        </x:is>
      </x:c>
      <x:c r="M681" s="31" t="inlineStr">
        <x:is>
          <x:t xml:space="preserve">Проведен</x:t>
        </x:is>
      </x:c>
    </x:row>
    <x:row r="682">
      <x:c r="A682" s="31" t="inlineStr">
        <x:is>
          <x:t xml:space="preserve">СКЛ-000681</x:t>
        </x:is>
      </x:c>
      <x:c r="B682" s="31" t="n">
        <x:v>46135</x:v>
      </x:c>
      <x:c r="C682" s="31" t="inlineStr">
        <x:is>
          <x:t xml:space="preserve">Приход</x:t>
        </x:is>
      </x:c>
      <x:c r="D682" s="31" t="inlineStr">
        <x:is>
          <x:t xml:space="preserve">МАТ-0085</x:t>
        </x:is>
      </x:c>
      <x:c r="E682" s="31" t="inlineStr">
        <x:is>
          <x:t xml:space="preserve">Пленка стрейч</x:t>
        </x:is>
      </x:c>
      <x:c r="F682" s="31" t="n">
        <x:v>9</x:v>
      </x:c>
      <x:c r="G682" s="31" t="inlineStr">
        <x:is>
          <x:t xml:space="preserve">шт</x:t>
        </x:is>
      </x:c>
      <x:c r="H682" s="31" t="n"/>
      <x:c r="I682" s="31" t="n"/>
      <x:c r="J682" s="31" t="inlineStr">
        <x:is>
          <x:t xml:space="preserve">Цеховой склад</x:t>
        </x:is>
      </x:c>
      <x:c r="K682" s="31" t="inlineStr">
        <x:is>
          <x:t xml:space="preserve">СОТР-036</x:t>
        </x:is>
      </x:c>
      <x:c r="L682" s="31" t="inlineStr">
        <x:is>
          <x:t xml:space="preserve">ДОК-3154</x:t>
        </x:is>
      </x:c>
      <x:c r="M682" s="31" t="inlineStr">
        <x:is>
          <x:t xml:space="preserve">Проведен</x:t>
        </x:is>
      </x:c>
    </x:row>
    <x:row r="683">
      <x:c r="A683" s="31" t="inlineStr">
        <x:is>
          <x:t xml:space="preserve">СКЛ-000682</x:t>
        </x:is>
      </x:c>
      <x:c r="B683" s="31" t="n">
        <x:v>46045</x:v>
      </x:c>
      <x:c r="C683" s="31" t="inlineStr">
        <x:is>
          <x:t xml:space="preserve">Выдача в производство</x:t>
        </x:is>
      </x:c>
      <x:c r="D683" s="31" t="inlineStr">
        <x:is>
          <x:t xml:space="preserve">МАТ-0088</x:t>
        </x:is>
      </x:c>
      <x:c r="E683" s="31" t="inlineStr">
        <x:is>
          <x:t xml:space="preserve">Ящик фанерный / исп.2</x:t>
        </x:is>
      </x:c>
      <x:c r="F683" s="31" t="n">
        <x:v>-17</x:v>
      </x:c>
      <x:c r="G683" s="31" t="inlineStr">
        <x:is>
          <x:t xml:space="preserve">шт</x:t>
        </x:is>
      </x:c>
      <x:c r="H683" s="31" t="inlineStr">
        <x:is>
          <x:t xml:space="preserve">ЗК-1023</x:t>
        </x:is>
      </x:c>
      <x:c r="I683" s="31" t="inlineStr">
        <x:is>
          <x:t xml:space="preserve">ПЗ-00108</x:t>
        </x:is>
      </x:c>
      <x:c r="J683" s="31" t="inlineStr">
        <x:is>
          <x:t xml:space="preserve">Основной склад</x:t>
        </x:is>
      </x:c>
      <x:c r="K683" s="31" t="inlineStr">
        <x:is>
          <x:t xml:space="preserve">СОТР-038</x:t>
        </x:is>
      </x:c>
      <x:c r="L683" s="31" t="inlineStr">
        <x:is>
          <x:t xml:space="preserve">ДОК-1726</x:t>
        </x:is>
      </x:c>
      <x:c r="M683" s="31" t="inlineStr">
        <x:is>
          <x:t xml:space="preserve">Черновик</x:t>
        </x:is>
      </x:c>
    </x:row>
    <x:row r="684">
      <x:c r="A684" s="31" t="inlineStr">
        <x:is>
          <x:t xml:space="preserve">СКЛ-000683</x:t>
        </x:is>
      </x:c>
      <x:c r="B684" s="31" t="n">
        <x:v>46184</x:v>
      </x:c>
      <x:c r="C684" s="31" t="inlineStr">
        <x:is>
          <x:t xml:space="preserve">Выдача в производство</x:t>
        </x:is>
      </x:c>
      <x:c r="D684" s="31" t="inlineStr">
        <x:is>
          <x:t xml:space="preserve">МАТ-0056</x:t>
        </x:is>
      </x:c>
      <x:c r="E684" s="31" t="inlineStr">
        <x:is>
          <x:t xml:space="preserve">Задвижка Ду100</x:t>
        </x:is>
      </x:c>
      <x:c r="F684" s="31" t="n">
        <x:v>-20</x:v>
      </x:c>
      <x:c r="G684" s="31" t="inlineStr">
        <x:is>
          <x:t xml:space="preserve">шт</x:t>
        </x:is>
      </x:c>
      <x:c r="H684" s="31" t="inlineStr">
        <x:is>
          <x:t xml:space="preserve">ЗК-1130</x:t>
        </x:is>
      </x:c>
      <x:c r="I684" s="31" t="inlineStr">
        <x:is>
          <x:t xml:space="preserve">ПЗ-00104</x:t>
        </x:is>
      </x:c>
      <x:c r="J684" s="31" t="inlineStr">
        <x:is>
          <x:t xml:space="preserve">Основной склад</x:t>
        </x:is>
      </x:c>
      <x:c r="K684" s="31" t="inlineStr">
        <x:is>
          <x:t xml:space="preserve">СОТР-033</x:t>
        </x:is>
      </x:c>
      <x:c r="L684" s="31" t="inlineStr">
        <x:is>
          <x:t xml:space="preserve">ДОК-1605</x:t>
        </x:is>
      </x:c>
      <x:c r="M684" s="31" t="inlineStr">
        <x:is>
          <x:t xml:space="preserve">Требует проверки</x:t>
        </x:is>
      </x:c>
    </x:row>
    <x:row r="685">
      <x:c r="A685" s="31" t="inlineStr">
        <x:is>
          <x:t xml:space="preserve">СКЛ-000684</x:t>
        </x:is>
      </x:c>
      <x:c r="B685" s="31" t="n">
        <x:v>46163</x:v>
      </x:c>
      <x:c r="C685" s="31" t="inlineStr">
        <x:is>
          <x:t xml:space="preserve">Возврат</x:t>
        </x:is>
      </x:c>
      <x:c r="D685" s="31" t="inlineStr">
        <x:is>
          <x:t xml:space="preserve">МАТ-0085</x:t>
        </x:is>
      </x:c>
      <x:c r="E685" s="31" t="inlineStr">
        <x:is>
          <x:t xml:space="preserve">Пленка стрейч</x:t>
        </x:is>
      </x:c>
      <x:c r="F685" s="31" t="n">
        <x:v>7</x:v>
      </x:c>
      <x:c r="G685" s="31" t="inlineStr">
        <x:is>
          <x:t xml:space="preserve">шт</x:t>
        </x:is>
      </x:c>
      <x:c r="H685" s="31" t="n"/>
      <x:c r="I685" s="31" t="n"/>
      <x:c r="J685" s="31" t="inlineStr">
        <x:is>
          <x:t xml:space="preserve">Цеховой склад</x:t>
        </x:is>
      </x:c>
      <x:c r="K685" s="31" t="inlineStr">
        <x:is>
          <x:t xml:space="preserve">СОТР-034</x:t>
        </x:is>
      </x:c>
      <x:c r="L685" s="31" t="inlineStr">
        <x:is>
          <x:t xml:space="preserve">ДОК-2156</x:t>
        </x:is>
      </x:c>
      <x:c r="M685" s="31" t="inlineStr">
        <x:is>
          <x:t xml:space="preserve">Проведен</x:t>
        </x:is>
      </x:c>
    </x:row>
    <x:row r="686">
      <x:c r="A686" s="31" t="inlineStr">
        <x:is>
          <x:t xml:space="preserve">СКЛ-000685</x:t>
        </x:is>
      </x:c>
      <x:c r="B686" s="31" t="n">
        <x:v>46078</x:v>
      </x:c>
      <x:c r="C686" s="31" t="inlineStr">
        <x:is>
          <x:t xml:space="preserve">Выдача в производство</x:t>
        </x:is>
      </x:c>
      <x:c r="D686" s="31" t="inlineStr">
        <x:is>
          <x:t xml:space="preserve">МАТ-0075</x:t>
        </x:is>
      </x:c>
      <x:c r="E686" s="31" t="inlineStr">
        <x:is>
          <x:t xml:space="preserve">Болт М12</x:t>
        </x:is>
      </x:c>
      <x:c r="F686" s="31" t="n">
        <x:v>-10</x:v>
      </x:c>
      <x:c r="G686" s="31" t="inlineStr">
        <x:is>
          <x:t xml:space="preserve">шт</x:t>
        </x:is>
      </x:c>
      <x:c r="H686" s="31" t="inlineStr">
        <x:is>
          <x:t xml:space="preserve">ЗК-1076</x:t>
        </x:is>
      </x:c>
      <x:c r="I686" s="31" t="inlineStr">
        <x:is>
          <x:t xml:space="preserve">ПЗ-00008</x:t>
        </x:is>
      </x:c>
      <x:c r="J686" s="31" t="inlineStr">
        <x:is>
          <x:t xml:space="preserve">Основной склад</x:t>
        </x:is>
      </x:c>
      <x:c r="K686" s="31" t="inlineStr">
        <x:is>
          <x:t xml:space="preserve">СОТР-037</x:t>
        </x:is>
      </x:c>
      <x:c r="L686" s="31" t="inlineStr">
        <x:is>
          <x:t xml:space="preserve">ДОК-9116</x:t>
        </x:is>
      </x:c>
      <x:c r="M686" s="31" t="inlineStr">
        <x:is>
          <x:t xml:space="preserve">Проведен</x:t>
        </x:is>
      </x:c>
    </x:row>
    <x:row r="687">
      <x:c r="A687" s="31" t="inlineStr">
        <x:is>
          <x:t xml:space="preserve">СКЛ-000686</x:t>
        </x:is>
      </x:c>
      <x:c r="B687" s="31" t="n">
        <x:v>46193</x:v>
      </x:c>
      <x:c r="C687" s="31" t="inlineStr">
        <x:is>
          <x:t xml:space="preserve">Выдача в производство</x:t>
        </x:is>
      </x:c>
      <x:c r="D687" s="31" t="inlineStr">
        <x:is>
          <x:t xml:space="preserve">МАТ-0014</x:t>
        </x:is>
      </x:c>
      <x:c r="E687" s="31" t="inlineStr">
        <x:is>
          <x:t xml:space="preserve">Уголок 50×5 / исп.2</x:t>
        </x:is>
      </x:c>
      <x:c r="F687" s="31" t="n">
        <x:v>-7</x:v>
      </x:c>
      <x:c r="G687" s="31" t="inlineStr">
        <x:is>
          <x:t xml:space="preserve">шт</x:t>
        </x:is>
      </x:c>
      <x:c r="H687" s="31" t="inlineStr">
        <x:is>
          <x:t xml:space="preserve">ЗК-1051</x:t>
        </x:is>
      </x:c>
      <x:c r="I687" s="31" t="inlineStr">
        <x:is>
          <x:t xml:space="preserve">ПЗ-00216</x:t>
        </x:is>
      </x:c>
      <x:c r="J687" s="31" t="inlineStr">
        <x:is>
          <x:t xml:space="preserve">Основной склад</x:t>
        </x:is>
      </x:c>
      <x:c r="K687" s="31" t="inlineStr">
        <x:is>
          <x:t xml:space="preserve">СОТР-038</x:t>
        </x:is>
      </x:c>
      <x:c r="L687" s="31" t="inlineStr">
        <x:is>
          <x:t xml:space="preserve">ДОК-6456</x:t>
        </x:is>
      </x:c>
      <x:c r="M687" s="31" t="inlineStr">
        <x:is>
          <x:t xml:space="preserve">Проведен</x:t>
        </x:is>
      </x:c>
    </x:row>
    <x:row r="688">
      <x:c r="A688" s="31" t="inlineStr">
        <x:is>
          <x:t xml:space="preserve">СКЛ-000687</x:t>
        </x:is>
      </x:c>
      <x:c r="B688" s="31" t="n">
        <x:v>46179</x:v>
      </x:c>
      <x:c r="C688" s="31" t="inlineStr">
        <x:is>
          <x:t xml:space="preserve">Выдача в производство</x:t>
        </x:is>
      </x:c>
      <x:c r="D688" s="31" t="inlineStr">
        <x:is>
          <x:t xml:space="preserve">МАТ-0084</x:t>
        </x:is>
      </x:c>
      <x:c r="E688" s="31" t="inlineStr">
        <x:is>
          <x:t xml:space="preserve">Поддон 1200×800</x:t>
        </x:is>
      </x:c>
      <x:c r="F688" s="31" t="n">
        <x:v>-2</x:v>
      </x:c>
      <x:c r="G688" s="31" t="inlineStr">
        <x:is>
          <x:t xml:space="preserve">шт</x:t>
        </x:is>
      </x:c>
      <x:c r="H688" s="31" t="inlineStr">
        <x:is>
          <x:t xml:space="preserve">ЗК-1040</x:t>
        </x:is>
      </x:c>
      <x:c r="I688" s="31" t="inlineStr">
        <x:is>
          <x:t xml:space="preserve">ПЗ-00162</x:t>
        </x:is>
      </x:c>
      <x:c r="J688" s="31" t="inlineStr">
        <x:is>
          <x:t xml:space="preserve">Основной склад</x:t>
        </x:is>
      </x:c>
      <x:c r="K688" s="31" t="inlineStr">
        <x:is>
          <x:t xml:space="preserve">СОТР-036</x:t>
        </x:is>
      </x:c>
      <x:c r="L688" s="31" t="inlineStr">
        <x:is>
          <x:t xml:space="preserve">ДОК-2201</x:t>
        </x:is>
      </x:c>
      <x:c r="M688" s="31" t="inlineStr">
        <x:is>
          <x:t xml:space="preserve">Проведен</x:t>
        </x:is>
      </x:c>
    </x:row>
    <x:row r="689">
      <x:c r="A689" s="31" t="inlineStr">
        <x:is>
          <x:t xml:space="preserve">СКЛ-000688</x:t>
        </x:is>
      </x:c>
      <x:c r="B689" s="31" t="n">
        <x:v>46170</x:v>
      </x:c>
      <x:c r="C689" s="31" t="inlineStr">
        <x:is>
          <x:t xml:space="preserve">Приход</x:t>
        </x:is>
      </x:c>
      <x:c r="D689" s="31" t="inlineStr">
        <x:is>
          <x:t xml:space="preserve">МАТ-0041</x:t>
        </x:is>
      </x:c>
      <x:c r="E689" s="31" t="inlineStr">
        <x:is>
          <x:t xml:space="preserve">модуль аналогового входа 4 канала / исп.2</x:t>
        </x:is>
      </x:c>
      <x:c r="F689" s="31" t="n">
        <x:v>17</x:v>
      </x:c>
      <x:c r="G689" s="31" t="inlineStr">
        <x:is>
          <x:t xml:space="preserve">шт</x:t>
        </x:is>
      </x:c>
      <x:c r="H689" s="31" t="n"/>
      <x:c r="I689" s="31" t="n"/>
      <x:c r="J689" s="31" t="inlineStr">
        <x:is>
          <x:t xml:space="preserve">Основной склад</x:t>
        </x:is>
      </x:c>
      <x:c r="K689" s="31" t="inlineStr">
        <x:is>
          <x:t xml:space="preserve">СОТР-024</x:t>
        </x:is>
      </x:c>
      <x:c r="L689" s="31" t="inlineStr">
        <x:is>
          <x:t xml:space="preserve">ДОК-9985</x:t>
        </x:is>
      </x:c>
      <x:c r="M689" s="31" t="inlineStr">
        <x:is>
          <x:t xml:space="preserve">Черновик</x:t>
        </x:is>
      </x:c>
    </x:row>
    <x:row r="690">
      <x:c r="A690" s="31" t="inlineStr">
        <x:is>
          <x:t xml:space="preserve">СКЛ-000689</x:t>
        </x:is>
      </x:c>
      <x:c r="B690" s="31" t="n">
        <x:v>46165</x:v>
      </x:c>
      <x:c r="C690" s="31" t="inlineStr">
        <x:is>
          <x:t xml:space="preserve">Списание</x:t>
        </x:is>
      </x:c>
      <x:c r="D690" s="31" t="inlineStr">
        <x:is>
          <x:t xml:space="preserve">МАТ-0067</x:t>
        </x:is>
      </x:c>
      <x:c r="E690" s="31" t="inlineStr">
        <x:is>
          <x:t xml:space="preserve">Кабельный ввод М20</x:t>
        </x:is>
      </x:c>
      <x:c r="F690" s="31" t="n">
        <x:v>-61.24</x:v>
      </x:c>
      <x:c r="G690" s="31" t="inlineStr">
        <x:is>
          <x:t xml:space="preserve">кг</x:t>
        </x:is>
      </x:c>
      <x:c r="H690" s="31" t="n"/>
      <x:c r="I690" s="31" t="n"/>
      <x:c r="J690" s="31" t="inlineStr">
        <x:is>
          <x:t xml:space="preserve">Основной склад</x:t>
        </x:is>
      </x:c>
      <x:c r="K690" s="31" t="inlineStr">
        <x:is>
          <x:t xml:space="preserve">СОТР-024</x:t>
        </x:is>
      </x:c>
      <x:c r="L690" s="31" t="inlineStr">
        <x:is>
          <x:t xml:space="preserve">ДОК-8543</x:t>
        </x:is>
      </x:c>
      <x:c r="M690" s="31" t="inlineStr">
        <x:is>
          <x:t xml:space="preserve">Проведен</x:t>
        </x:is>
      </x:c>
    </x:row>
    <x:row r="691">
      <x:c r="A691" s="31" t="inlineStr">
        <x:is>
          <x:t xml:space="preserve">СКЛ-000690</x:t>
        </x:is>
      </x:c>
      <x:c r="B691" s="31" t="n">
        <x:v>46093</x:v>
      </x:c>
      <x:c r="C691" s="31" t="inlineStr">
        <x:is>
          <x:t xml:space="preserve">Выдача в производство</x:t>
        </x:is>
      </x:c>
      <x:c r="D691" s="31" t="inlineStr">
        <x:is>
          <x:t xml:space="preserve">МАТ-0077</x:t>
        </x:is>
      </x:c>
      <x:c r="E691" s="31" t="inlineStr">
        <x:is>
          <x:t xml:space="preserve">Болт М16</x:t>
        </x:is>
      </x:c>
      <x:c r="F691" s="31" t="n">
        <x:v>-1</x:v>
      </x:c>
      <x:c r="G691" s="31" t="inlineStr">
        <x:is>
          <x:t xml:space="preserve">шт</x:t>
        </x:is>
      </x:c>
      <x:c r="H691" s="31" t="inlineStr">
        <x:is>
          <x:t xml:space="preserve">ЗК-1045</x:t>
        </x:is>
      </x:c>
      <x:c r="I691" s="31" t="inlineStr">
        <x:is>
          <x:t xml:space="preserve">ПЗ-00205</x:t>
        </x:is>
      </x:c>
      <x:c r="J691" s="31" t="inlineStr">
        <x:is>
          <x:t xml:space="preserve">Цеховой склад</x:t>
        </x:is>
      </x:c>
      <x:c r="K691" s="31" t="inlineStr">
        <x:is>
          <x:t xml:space="preserve">СОТР-038</x:t>
        </x:is>
      </x:c>
      <x:c r="L691" s="31" t="inlineStr">
        <x:is>
          <x:t xml:space="preserve">ДОК-9377</x:t>
        </x:is>
      </x:c>
      <x:c r="M691" s="31" t="inlineStr">
        <x:is>
          <x:t xml:space="preserve">Проведен</x:t>
        </x:is>
      </x:c>
    </x:row>
    <x:row r="692">
      <x:c r="A692" s="31" t="inlineStr">
        <x:is>
          <x:t xml:space="preserve">СКЛ-000691</x:t>
        </x:is>
      </x:c>
      <x:c r="B692" s="31" t="n">
        <x:v>46104</x:v>
      </x:c>
      <x:c r="C692" s="31" t="inlineStr">
        <x:is>
          <x:t xml:space="preserve">Резерв</x:t>
        </x:is>
      </x:c>
      <x:c r="D692" s="31" t="inlineStr">
        <x:is>
          <x:t xml:space="preserve">МАТ-0084</x:t>
        </x:is>
      </x:c>
      <x:c r="E692" s="31" t="inlineStr">
        <x:is>
          <x:t xml:space="preserve">Поддон 1200×800</x:t>
        </x:is>
      </x:c>
      <x:c r="F692" s="31" t="n">
        <x:v>-17</x:v>
      </x:c>
      <x:c r="G692" s="31" t="inlineStr">
        <x:is>
          <x:t xml:space="preserve">шт</x:t>
        </x:is>
      </x:c>
      <x:c r="H692" s="31" t="inlineStr">
        <x:is>
          <x:t xml:space="preserve">ЗК-1111</x:t>
        </x:is>
      </x:c>
      <x:c r="I692" s="31" t="n"/>
      <x:c r="J692" s="31" t="inlineStr">
        <x:is>
          <x:t xml:space="preserve">Основной склад</x:t>
        </x:is>
      </x:c>
      <x:c r="K692" s="31" t="inlineStr">
        <x:is>
          <x:t xml:space="preserve">СОТР-036</x:t>
        </x:is>
      </x:c>
      <x:c r="L692" s="31" t="inlineStr">
        <x:is>
          <x:t xml:space="preserve">ДОК-4431</x:t>
        </x:is>
      </x:c>
      <x:c r="M692" s="31" t="inlineStr">
        <x:is>
          <x:t xml:space="preserve">Проведен</x:t>
        </x:is>
      </x:c>
    </x:row>
    <x:row r="693">
      <x:c r="A693" s="31" t="inlineStr">
        <x:is>
          <x:t xml:space="preserve">СКЛ-000692</x:t>
        </x:is>
      </x:c>
      <x:c r="B693" s="31" t="n">
        <x:v>46081</x:v>
      </x:c>
      <x:c r="C693" s="31" t="inlineStr">
        <x:is>
          <x:t xml:space="preserve">Приход</x:t>
        </x:is>
      </x:c>
      <x:c r="D693" s="31" t="inlineStr">
        <x:is>
          <x:t xml:space="preserve">МАТ-0063</x:t>
        </x:is>
      </x:c>
      <x:c r="E693" s="31" t="inlineStr">
        <x:is>
          <x:t xml:space="preserve">Кабель ВВГнг 3×2.5</x:t>
        </x:is>
      </x:c>
      <x:c r="F693" s="31" t="n">
        <x:v>4</x:v>
      </x:c>
      <x:c r="G693" s="31" t="inlineStr">
        <x:is>
          <x:t xml:space="preserve">шт</x:t>
        </x:is>
      </x:c>
      <x:c r="H693" s="31" t="n"/>
      <x:c r="I693" s="31" t="n"/>
      <x:c r="J693" s="31" t="inlineStr">
        <x:is>
          <x:t xml:space="preserve">Основной склад</x:t>
        </x:is>
      </x:c>
      <x:c r="K693" s="31" t="inlineStr">
        <x:is>
          <x:t xml:space="preserve">СОТР-039</x:t>
        </x:is>
      </x:c>
      <x:c r="L693" s="31" t="inlineStr">
        <x:is>
          <x:t xml:space="preserve">ДОК-9122</x:t>
        </x:is>
      </x:c>
      <x:c r="M693" s="31" t="inlineStr">
        <x:is>
          <x:t xml:space="preserve">Проведен</x:t>
        </x:is>
      </x:c>
    </x:row>
    <x:row r="694">
      <x:c r="A694" s="31" t="inlineStr">
        <x:is>
          <x:t xml:space="preserve">СКЛ-000693</x:t>
        </x:is>
      </x:c>
      <x:c r="B694" s="31" t="n">
        <x:v>46049</x:v>
      </x:c>
      <x:c r="C694" s="31" t="inlineStr">
        <x:is>
          <x:t xml:space="preserve">Возврат</x:t>
        </x:is>
      </x:c>
      <x:c r="D694" s="31" t="inlineStr">
        <x:is>
          <x:t xml:space="preserve">МАТ-0028</x:t>
        </x:is>
      </x:c>
      <x:c r="E694" s="31" t="inlineStr">
        <x:is>
          <x:t xml:space="preserve">Частотный преобразователь 15 кВт</x:t>
        </x:is>
      </x:c>
      <x:c r="F694" s="31" t="n">
        <x:v>8</x:v>
      </x:c>
      <x:c r="G694" s="31" t="inlineStr">
        <x:is>
          <x:t xml:space="preserve">шт</x:t>
        </x:is>
      </x:c>
      <x:c r="H694" s="31" t="n"/>
      <x:c r="I694" s="31" t="n"/>
      <x:c r="J694" s="31" t="inlineStr">
        <x:is>
          <x:t xml:space="preserve">Цеховой склад</x:t>
        </x:is>
      </x:c>
      <x:c r="K694" s="31" t="inlineStr">
        <x:is>
          <x:t xml:space="preserve">СОТР-033</x:t>
        </x:is>
      </x:c>
      <x:c r="L694" s="31" t="inlineStr">
        <x:is>
          <x:t xml:space="preserve">ДОК-9262</x:t>
        </x:is>
      </x:c>
      <x:c r="M694" s="31" t="inlineStr">
        <x:is>
          <x:t xml:space="preserve">Проведен</x:t>
        </x:is>
      </x:c>
    </x:row>
    <x:row r="695">
      <x:c r="A695" s="31" t="inlineStr">
        <x:is>
          <x:t xml:space="preserve">СКЛ-000694</x:t>
        </x:is>
      </x:c>
      <x:c r="B695" s="31" t="n">
        <x:v>46092</x:v>
      </x:c>
      <x:c r="C695" s="31" t="inlineStr">
        <x:is>
          <x:t xml:space="preserve">Приход</x:t>
        </x:is>
      </x:c>
      <x:c r="D695" s="31" t="inlineStr">
        <x:is>
          <x:t xml:space="preserve">МАТ-0039</x:t>
        </x:is>
      </x:c>
      <x:c r="E695" s="31" t="inlineStr">
        <x:is>
          <x:t xml:space="preserve">ПЛК 24 дискр. входа / 16 дискр. выхода / исп.2</x:t>
        </x:is>
      </x:c>
      <x:c r="F695" s="31" t="n">
        <x:v>10</x:v>
      </x:c>
      <x:c r="G695" s="31" t="inlineStr">
        <x:is>
          <x:t xml:space="preserve">шт</x:t>
        </x:is>
      </x:c>
      <x:c r="H695" s="31" t="n"/>
      <x:c r="I695" s="31" t="n"/>
      <x:c r="J695" s="31" t="inlineStr">
        <x:is>
          <x:t xml:space="preserve">Основной склад</x:t>
        </x:is>
      </x:c>
      <x:c r="K695" s="31" t="inlineStr">
        <x:is>
          <x:t xml:space="preserve">СОТР-039</x:t>
        </x:is>
      </x:c>
      <x:c r="L695" s="31" t="inlineStr">
        <x:is>
          <x:t xml:space="preserve">ДОК-8998</x:t>
        </x:is>
      </x:c>
      <x:c r="M695" s="31" t="inlineStr">
        <x:is>
          <x:t xml:space="preserve">Проведен</x:t>
        </x:is>
      </x:c>
    </x:row>
    <x:row r="696">
      <x:c r="A696" s="31" t="inlineStr">
        <x:is>
          <x:t xml:space="preserve">СКЛ-000695</x:t>
        </x:is>
      </x:c>
      <x:c r="B696" s="31" t="n">
        <x:v>46173</x:v>
      </x:c>
      <x:c r="C696" s="31" t="inlineStr">
        <x:is>
          <x:t xml:space="preserve">Выдача в производство</x:t>
        </x:is>
      </x:c>
      <x:c r="D696" s="31" t="inlineStr">
        <x:is>
          <x:t xml:space="preserve">МАТ-0049</x:t>
        </x:is>
      </x:c>
      <x:c r="E696" s="31" t="inlineStr">
        <x:is>
          <x:t xml:space="preserve">Рейковая клемма</x:t>
        </x:is>
      </x:c>
      <x:c r="F696" s="31" t="n">
        <x:v>-4</x:v>
      </x:c>
      <x:c r="G696" s="31" t="inlineStr">
        <x:is>
          <x:t xml:space="preserve">шт</x:t>
        </x:is>
      </x:c>
      <x:c r="H696" s="31" t="inlineStr">
        <x:is>
          <x:t xml:space="preserve">ЗК-1053</x:t>
        </x:is>
      </x:c>
      <x:c r="I696" s="31" t="inlineStr">
        <x:is>
          <x:t xml:space="preserve">ПЗ-00091</x:t>
        </x:is>
      </x:c>
      <x:c r="J696" s="31" t="inlineStr">
        <x:is>
          <x:t xml:space="preserve">Основной склад</x:t>
        </x:is>
      </x:c>
      <x:c r="K696" s="31" t="inlineStr">
        <x:is>
          <x:t xml:space="preserve">СОТР-024</x:t>
        </x:is>
      </x:c>
      <x:c r="L696" s="31" t="inlineStr">
        <x:is>
          <x:t xml:space="preserve">ДОК-2076</x:t>
        </x:is>
      </x:c>
      <x:c r="M696" s="31" t="inlineStr">
        <x:is>
          <x:t xml:space="preserve">Проведен</x:t>
        </x:is>
      </x:c>
    </x:row>
    <x:row r="697">
      <x:c r="A697" s="31" t="inlineStr">
        <x:is>
          <x:t xml:space="preserve">СКЛ-000696</x:t>
        </x:is>
      </x:c>
      <x:c r="B697" s="31" t="n">
        <x:v>46054</x:v>
      </x:c>
      <x:c r="C697" s="31" t="inlineStr">
        <x:is>
          <x:t xml:space="preserve">Резерв</x:t>
        </x:is>
      </x:c>
      <x:c r="D697" s="31" t="inlineStr">
        <x:is>
          <x:t xml:space="preserve">МАТ-0061</x:t>
        </x:is>
      </x:c>
      <x:c r="E697" s="31" t="inlineStr">
        <x:is>
          <x:t xml:space="preserve">Фильтр сетчатый Ду50 / исп.3</x:t>
        </x:is>
      </x:c>
      <x:c r="F697" s="31" t="n">
        <x:v>-20</x:v>
      </x:c>
      <x:c r="G697" s="31" t="inlineStr">
        <x:is>
          <x:t xml:space="preserve">шт</x:t>
        </x:is>
      </x:c>
      <x:c r="H697" s="31" t="inlineStr">
        <x:is>
          <x:t xml:space="preserve">ЗК-1038</x:t>
        </x:is>
      </x:c>
      <x:c r="I697" s="31" t="n"/>
      <x:c r="J697" s="31" t="inlineStr">
        <x:is>
          <x:t xml:space="preserve">Цеховой склад</x:t>
        </x:is>
      </x:c>
      <x:c r="K697" s="31" t="inlineStr">
        <x:is>
          <x:t xml:space="preserve">СОТР-035</x:t>
        </x:is>
      </x:c>
      <x:c r="L697" s="31" t="inlineStr">
        <x:is>
          <x:t xml:space="preserve">ДОК-2716</x:t>
        </x:is>
      </x:c>
      <x:c r="M697" s="31" t="inlineStr">
        <x:is>
          <x:t xml:space="preserve">Проведен</x:t>
        </x:is>
      </x:c>
    </x:row>
    <x:row r="698">
      <x:c r="A698" s="31" t="inlineStr">
        <x:is>
          <x:t xml:space="preserve">СКЛ-000697</x:t>
        </x:is>
      </x:c>
      <x:c r="B698" s="31" t="n">
        <x:v>46130</x:v>
      </x:c>
      <x:c r="C698" s="31" t="inlineStr">
        <x:is>
          <x:t xml:space="preserve">Резерв</x:t>
        </x:is>
      </x:c>
      <x:c r="D698" s="31" t="inlineStr">
        <x:is>
          <x:t xml:space="preserve">МАТ-0050</x:t>
        </x:is>
      </x:c>
      <x:c r="E698" s="31" t="inlineStr">
        <x:is>
          <x:t xml:space="preserve">панель оператора 7"</x:t>
        </x:is>
      </x:c>
      <x:c r="F698" s="31" t="n">
        <x:v>-10</x:v>
      </x:c>
      <x:c r="G698" s="31" t="inlineStr">
        <x:is>
          <x:t xml:space="preserve">шт</x:t>
        </x:is>
      </x:c>
      <x:c r="H698" s="31" t="inlineStr">
        <x:is>
          <x:t xml:space="preserve">ЗК-1092</x:t>
        </x:is>
      </x:c>
      <x:c r="I698" s="31" t="n"/>
      <x:c r="J698" s="31" t="inlineStr">
        <x:is>
          <x:t xml:space="preserve">Основной склад</x:t>
        </x:is>
      </x:c>
      <x:c r="K698" s="31" t="inlineStr">
        <x:is>
          <x:t xml:space="preserve">СОТР-024</x:t>
        </x:is>
      </x:c>
      <x:c r="L698" s="31" t="inlineStr">
        <x:is>
          <x:t xml:space="preserve">ДОК-3148</x:t>
        </x:is>
      </x:c>
      <x:c r="M698" s="31" t="inlineStr">
        <x:is>
          <x:t xml:space="preserve">Проведен</x:t>
        </x:is>
      </x:c>
    </x:row>
    <x:row r="699">
      <x:c r="A699" s="31" t="inlineStr">
        <x:is>
          <x:t xml:space="preserve">СКЛ-000698</x:t>
        </x:is>
      </x:c>
      <x:c r="B699" s="31" t="n">
        <x:v>46166</x:v>
      </x:c>
      <x:c r="C699" s="31" t="inlineStr">
        <x:is>
          <x:t xml:space="preserve">Приход</x:t>
        </x:is>
      </x:c>
      <x:c r="D699" s="31" t="inlineStr">
        <x:is>
          <x:t xml:space="preserve">МАТ-0014</x:t>
        </x:is>
      </x:c>
      <x:c r="E699" s="31" t="inlineStr">
        <x:is>
          <x:t xml:space="preserve">Уголок 50×5 / исп.2</x:t>
        </x:is>
      </x:c>
      <x:c r="F699" s="31" t="n">
        <x:v>16</x:v>
      </x:c>
      <x:c r="G699" s="31" t="inlineStr">
        <x:is>
          <x:t xml:space="preserve">шт</x:t>
        </x:is>
      </x:c>
      <x:c r="H699" s="31" t="n"/>
      <x:c r="I699" s="31" t="n"/>
      <x:c r="J699" s="31" t="inlineStr">
        <x:is>
          <x:t xml:space="preserve">Основной склад</x:t>
        </x:is>
      </x:c>
      <x:c r="K699" s="31" t="inlineStr">
        <x:is>
          <x:t xml:space="preserve">СОТР-024</x:t>
        </x:is>
      </x:c>
      <x:c r="L699" s="31" t="inlineStr">
        <x:is>
          <x:t xml:space="preserve">ДОК-6053</x:t>
        </x:is>
      </x:c>
      <x:c r="M699" s="31" t="inlineStr">
        <x:is>
          <x:t xml:space="preserve">Проведен</x:t>
        </x:is>
      </x:c>
    </x:row>
    <x:row r="700">
      <x:c r="A700" s="31" t="inlineStr">
        <x:is>
          <x:t xml:space="preserve">СКЛ-000699</x:t>
        </x:is>
      </x:c>
      <x:c r="B700" s="31" t="n">
        <x:v>46111</x:v>
      </x:c>
      <x:c r="C700" s="31" t="inlineStr">
        <x:is>
          <x:t xml:space="preserve">Возврат</x:t>
        </x:is>
      </x:c>
      <x:c r="D700" s="31" t="inlineStr">
        <x:is>
          <x:t xml:space="preserve">МАТ-0032</x:t>
        </x:is>
      </x:c>
      <x:c r="E700" s="31" t="inlineStr">
        <x:is>
          <x:t xml:space="preserve">Датчик температуры Пт100</x:t>
        </x:is>
      </x:c>
      <x:c r="F700" s="31" t="n">
        <x:v>16</x:v>
      </x:c>
      <x:c r="G700" s="31" t="inlineStr">
        <x:is>
          <x:t xml:space="preserve">шт</x:t>
        </x:is>
      </x:c>
      <x:c r="H700" s="31" t="n"/>
      <x:c r="I700" s="31" t="n"/>
      <x:c r="J700" s="31" t="inlineStr">
        <x:is>
          <x:t xml:space="preserve">Основной склад</x:t>
        </x:is>
      </x:c>
      <x:c r="K700" s="31" t="inlineStr">
        <x:is>
          <x:t xml:space="preserve">СОТР-033</x:t>
        </x:is>
      </x:c>
      <x:c r="L700" s="31" t="inlineStr">
        <x:is>
          <x:t xml:space="preserve">ДОК-2300</x:t>
        </x:is>
      </x:c>
      <x:c r="M700" s="31" t="inlineStr">
        <x:is>
          <x:t xml:space="preserve">Проведен</x:t>
        </x:is>
      </x:c>
    </x:row>
    <x:row r="701">
      <x:c r="A701" s="31" t="inlineStr">
        <x:is>
          <x:t xml:space="preserve">СКЛ-000700</x:t>
        </x:is>
      </x:c>
      <x:c r="B701" s="31" t="n">
        <x:v>46137</x:v>
      </x:c>
      <x:c r="C701" s="31" t="inlineStr">
        <x:is>
          <x:t xml:space="preserve">Возврат</x:t>
        </x:is>
      </x:c>
      <x:c r="D701" s="31" t="inlineStr">
        <x:is>
          <x:t xml:space="preserve">МАТ-0079</x:t>
        </x:is>
      </x:c>
      <x:c r="E701" s="31" t="inlineStr">
        <x:is>
          <x:t xml:space="preserve">Гайка М12 / исп.2</x:t>
        </x:is>
      </x:c>
      <x:c r="F701" s="31" t="n">
        <x:v>1</x:v>
      </x:c>
      <x:c r="G701" s="31" t="inlineStr">
        <x:is>
          <x:t xml:space="preserve">шт</x:t>
        </x:is>
      </x:c>
      <x:c r="H701" s="31" t="n"/>
      <x:c r="I701" s="31" t="n"/>
      <x:c r="J701" s="31" t="inlineStr">
        <x:is>
          <x:t xml:space="preserve">Основной склад</x:t>
        </x:is>
      </x:c>
      <x:c r="K701" s="31" t="inlineStr">
        <x:is>
          <x:t xml:space="preserve">СОТР-036</x:t>
        </x:is>
      </x:c>
      <x:c r="L701" s="31" t="inlineStr">
        <x:is>
          <x:t xml:space="preserve">ДОК-2906</x:t>
        </x:is>
      </x:c>
      <x:c r="M701" s="31" t="inlineStr">
        <x:is>
          <x:t xml:space="preserve">Проведен</x:t>
        </x:is>
      </x:c>
    </x:row>
    <x:row r="702">
      <x:c r="A702" s="31" t="inlineStr">
        <x:is>
          <x:t xml:space="preserve">СКЛ-000701</x:t>
        </x:is>
      </x:c>
      <x:c r="B702" s="31" t="n">
        <x:v>46132</x:v>
      </x:c>
      <x:c r="C702" s="31" t="inlineStr">
        <x:is>
          <x:t xml:space="preserve">Возврат</x:t>
        </x:is>
      </x:c>
      <x:c r="D702" s="31" t="inlineStr">
        <x:is>
          <x:t xml:space="preserve">МАТ-0017</x:t>
        </x:is>
      </x:c>
      <x:c r="E702" s="31" t="inlineStr">
        <x:is>
          <x:t xml:space="preserve">Насос шестеренный 7.5 кВт</x:t>
        </x:is>
      </x:c>
      <x:c r="F702" s="31" t="n">
        <x:v>6</x:v>
      </x:c>
      <x:c r="G702" s="31" t="inlineStr">
        <x:is>
          <x:t xml:space="preserve">шт</x:t>
        </x:is>
      </x:c>
      <x:c r="H702" s="31" t="n"/>
      <x:c r="I702" s="31" t="n"/>
      <x:c r="J702" s="31" t="inlineStr">
        <x:is>
          <x:t xml:space="preserve">Основной склад</x:t>
        </x:is>
      </x:c>
      <x:c r="K702" s="31" t="inlineStr">
        <x:is>
          <x:t xml:space="preserve">СОТР-033</x:t>
        </x:is>
      </x:c>
      <x:c r="L702" s="31" t="inlineStr">
        <x:is>
          <x:t xml:space="preserve">ДОК-1158</x:t>
        </x:is>
      </x:c>
      <x:c r="M702" s="31" t="inlineStr">
        <x:is>
          <x:t xml:space="preserve">Проведен</x:t>
        </x:is>
      </x:c>
    </x:row>
    <x:row r="703">
      <x:c r="A703" s="31" t="inlineStr">
        <x:is>
          <x:t xml:space="preserve">СКЛ-000702</x:t>
        </x:is>
      </x:c>
      <x:c r="B703" s="31" t="n">
        <x:v>46035</x:v>
      </x:c>
      <x:c r="C703" s="31" t="inlineStr">
        <x:is>
          <x:t xml:space="preserve">Приход</x:t>
        </x:is>
      </x:c>
      <x:c r="D703" s="31" t="inlineStr">
        <x:is>
          <x:t xml:space="preserve">МАТ-0029</x:t>
        </x:is>
      </x:c>
      <x:c r="E703" s="31" t="inlineStr">
        <x:is>
          <x:t xml:space="preserve">Частотный преобразователь 22 кВт</x:t>
        </x:is>
      </x:c>
      <x:c r="F703" s="31" t="n">
        <x:v>2</x:v>
      </x:c>
      <x:c r="G703" s="31" t="inlineStr">
        <x:is>
          <x:t xml:space="preserve">шт</x:t>
        </x:is>
      </x:c>
      <x:c r="H703" s="31" t="n"/>
      <x:c r="I703" s="31" t="n"/>
      <x:c r="J703" s="31" t="inlineStr">
        <x:is>
          <x:t xml:space="preserve">Брак/карантин</x:t>
        </x:is>
      </x:c>
      <x:c r="K703" s="31" t="inlineStr">
        <x:is>
          <x:t xml:space="preserve">СОТР-033</x:t>
        </x:is>
      </x:c>
      <x:c r="L703" s="31" t="inlineStr">
        <x:is>
          <x:t xml:space="preserve">ДОК-8531</x:t>
        </x:is>
      </x:c>
      <x:c r="M703" s="31" t="inlineStr">
        <x:is>
          <x:t xml:space="preserve">Проведен</x:t>
        </x:is>
      </x:c>
    </x:row>
    <x:row r="704">
      <x:c r="A704" s="31" t="inlineStr">
        <x:is>
          <x:t xml:space="preserve">СКЛ-000703</x:t>
        </x:is>
      </x:c>
      <x:c r="B704" s="31" t="n">
        <x:v>46194</x:v>
      </x:c>
      <x:c r="C704" s="31" t="inlineStr">
        <x:is>
          <x:t xml:space="preserve">Выдача в производство</x:t>
        </x:is>
      </x:c>
      <x:c r="D704" s="31" t="inlineStr">
        <x:is>
          <x:t xml:space="preserve">МАТ-0024</x:t>
        </x:is>
      </x:c>
      <x:c r="E704" s="31" t="inlineStr">
        <x:is>
          <x:t xml:space="preserve">Рабочее колесо / исп.2</x:t>
        </x:is>
      </x:c>
      <x:c r="F704" s="31" t="n">
        <x:v>-13</x:v>
      </x:c>
      <x:c r="G704" s="31" t="inlineStr">
        <x:is>
          <x:t xml:space="preserve">шт</x:t>
        </x:is>
      </x:c>
      <x:c r="H704" s="31" t="inlineStr">
        <x:is>
          <x:t xml:space="preserve">ЗК-1014</x:t>
        </x:is>
      </x:c>
      <x:c r="I704" s="31" t="inlineStr">
        <x:is>
          <x:t xml:space="preserve">ПЗ-00116</x:t>
        </x:is>
      </x:c>
      <x:c r="J704" s="31" t="inlineStr">
        <x:is>
          <x:t xml:space="preserve">Основной склад</x:t>
        </x:is>
      </x:c>
      <x:c r="K704" s="31" t="inlineStr">
        <x:is>
          <x:t xml:space="preserve">СОТР-035</x:t>
        </x:is>
      </x:c>
      <x:c r="L704" s="31" t="inlineStr">
        <x:is>
          <x:t xml:space="preserve">ДОК-9900</x:t>
        </x:is>
      </x:c>
      <x:c r="M704" s="31" t="inlineStr">
        <x:is>
          <x:t xml:space="preserve">Проведен</x:t>
        </x:is>
      </x:c>
    </x:row>
    <x:row r="705">
      <x:c r="A705" s="31" t="inlineStr">
        <x:is>
          <x:t xml:space="preserve">СКЛ-000704</x:t>
        </x:is>
      </x:c>
      <x:c r="B705" s="31" t="n">
        <x:v>46039</x:v>
      </x:c>
      <x:c r="C705" s="31" t="inlineStr">
        <x:is>
          <x:t xml:space="preserve">Приход</x:t>
        </x:is>
      </x:c>
      <x:c r="D705" s="31" t="inlineStr">
        <x:is>
          <x:t xml:space="preserve">МАТ-0010</x:t>
        </x:is>
      </x:c>
      <x:c r="E705" s="31" t="inlineStr">
        <x:is>
          <x:t xml:space="preserve">Фланец Ду50 Ру16 / исп.2</x:t>
        </x:is>
      </x:c>
      <x:c r="F705" s="31" t="n">
        <x:v>15</x:v>
      </x:c>
      <x:c r="G705" s="31" t="inlineStr">
        <x:is>
          <x:t xml:space="preserve">шт</x:t>
        </x:is>
      </x:c>
      <x:c r="H705" s="31" t="n"/>
      <x:c r="I705" s="31" t="n"/>
      <x:c r="J705" s="31" t="inlineStr">
        <x:is>
          <x:t xml:space="preserve">Основной склад</x:t>
        </x:is>
      </x:c>
      <x:c r="K705" s="31" t="inlineStr">
        <x:is>
          <x:t xml:space="preserve">СОТР-033</x:t>
        </x:is>
      </x:c>
      <x:c r="L705" s="31" t="inlineStr">
        <x:is>
          <x:t xml:space="preserve">ДОК-6107</x:t>
        </x:is>
      </x:c>
      <x:c r="M705" s="31" t="inlineStr">
        <x:is>
          <x:t xml:space="preserve">Проведен</x:t>
        </x:is>
      </x:c>
    </x:row>
    <x:row r="706">
      <x:c r="A706" s="31" t="inlineStr">
        <x:is>
          <x:t xml:space="preserve">СКЛ-000705</x:t>
        </x:is>
      </x:c>
      <x:c r="B706" s="31" t="n">
        <x:v>46091</x:v>
      </x:c>
      <x:c r="C706" s="31" t="inlineStr">
        <x:is>
          <x:t xml:space="preserve">Резерв</x:t>
        </x:is>
      </x:c>
      <x:c r="D706" s="31" t="inlineStr">
        <x:is>
          <x:t xml:space="preserve">МАТ-0036</x:t>
        </x:is>
      </x:c>
      <x:c r="E706" s="31" t="inlineStr">
        <x:is>
          <x:t xml:space="preserve">Клапан электромагнитный 24В / исп.2</x:t>
        </x:is>
      </x:c>
      <x:c r="F706" s="31" t="n">
        <x:v>-3</x:v>
      </x:c>
      <x:c r="G706" s="31" t="inlineStr">
        <x:is>
          <x:t xml:space="preserve">шт</x:t>
        </x:is>
      </x:c>
      <x:c r="H706" s="31" t="inlineStr">
        <x:is>
          <x:t xml:space="preserve">ЗК-1078</x:t>
        </x:is>
      </x:c>
      <x:c r="I706" s="31" t="n"/>
      <x:c r="J706" s="31" t="inlineStr">
        <x:is>
          <x:t xml:space="preserve">Цеховой склад</x:t>
        </x:is>
      </x:c>
      <x:c r="K706" s="31" t="inlineStr">
        <x:is>
          <x:t xml:space="preserve">СОТР-024</x:t>
        </x:is>
      </x:c>
      <x:c r="L706" s="31" t="inlineStr">
        <x:is>
          <x:t xml:space="preserve">ДОК-8625</x:t>
        </x:is>
      </x:c>
      <x:c r="M706" s="31" t="inlineStr">
        <x:is>
          <x:t xml:space="preserve">Проведен</x:t>
        </x:is>
      </x:c>
    </x:row>
    <x:row r="707">
      <x:c r="A707" s="31" t="inlineStr">
        <x:is>
          <x:t xml:space="preserve">СКЛ-000706</x:t>
        </x:is>
      </x:c>
      <x:c r="B707" s="31" t="n">
        <x:v>46124</x:v>
      </x:c>
      <x:c r="C707" s="31" t="inlineStr">
        <x:is>
          <x:t xml:space="preserve">Приход</x:t>
        </x:is>
      </x:c>
      <x:c r="D707" s="31" t="inlineStr">
        <x:is>
          <x:t xml:space="preserve">МАТ-0063</x:t>
        </x:is>
      </x:c>
      <x:c r="E707" s="31" t="inlineStr">
        <x:is>
          <x:t xml:space="preserve">Кабель ВВГнг 3×2.5</x:t>
        </x:is>
      </x:c>
      <x:c r="F707" s="31" t="n">
        <x:v>10</x:v>
      </x:c>
      <x:c r="G707" s="31" t="inlineStr">
        <x:is>
          <x:t xml:space="preserve">шт</x:t>
        </x:is>
      </x:c>
      <x:c r="H707" s="31" t="n"/>
      <x:c r="I707" s="31" t="n"/>
      <x:c r="J707" s="31" t="inlineStr">
        <x:is>
          <x:t xml:space="preserve">Основной склад</x:t>
        </x:is>
      </x:c>
      <x:c r="K707" s="31" t="inlineStr">
        <x:is>
          <x:t xml:space="preserve">СОТР-024</x:t>
        </x:is>
      </x:c>
      <x:c r="L707" s="31" t="inlineStr">
        <x:is>
          <x:t xml:space="preserve">ДОК-8109</x:t>
        </x:is>
      </x:c>
      <x:c r="M707" s="31" t="inlineStr">
        <x:is>
          <x:t xml:space="preserve">Проведен</x:t>
        </x:is>
      </x:c>
    </x:row>
    <x:row r="708">
      <x:c r="A708" s="31" t="inlineStr">
        <x:is>
          <x:t xml:space="preserve">СКЛ-000707</x:t>
        </x:is>
      </x:c>
      <x:c r="B708" s="31" t="n">
        <x:v>46083</x:v>
      </x:c>
      <x:c r="C708" s="31" t="inlineStr">
        <x:is>
          <x:t xml:space="preserve">Выдача в производство</x:t>
        </x:is>
      </x:c>
      <x:c r="D708" s="31" t="inlineStr">
        <x:is>
          <x:t xml:space="preserve">МАТ-0027</x:t>
        </x:is>
      </x:c>
      <x:c r="E708" s="31" t="inlineStr">
        <x:is>
          <x:t xml:space="preserve">Двигатель 22 кВт</x:t>
        </x:is>
      </x:c>
      <x:c r="F708" s="31" t="n">
        <x:v>-8</x:v>
      </x:c>
      <x:c r="G708" s="31" t="inlineStr">
        <x:is>
          <x:t xml:space="preserve">шт</x:t>
        </x:is>
      </x:c>
      <x:c r="H708" s="31" t="inlineStr">
        <x:is>
          <x:t xml:space="preserve">ЗК-1069</x:t>
        </x:is>
      </x:c>
      <x:c r="I708" s="31" t="inlineStr">
        <x:is>
          <x:t xml:space="preserve">ПЗ-00118</x:t>
        </x:is>
      </x:c>
      <x:c r="J708" s="31" t="inlineStr">
        <x:is>
          <x:t xml:space="preserve">Основной склад</x:t>
        </x:is>
      </x:c>
      <x:c r="K708" s="31" t="inlineStr">
        <x:is>
          <x:t xml:space="preserve">СОТР-033</x:t>
        </x:is>
      </x:c>
      <x:c r="L708" s="31" t="inlineStr">
        <x:is>
          <x:t xml:space="preserve">ДОК-7590</x:t>
        </x:is>
      </x:c>
      <x:c r="M708" s="31" t="inlineStr">
        <x:is>
          <x:t xml:space="preserve">Проведен</x:t>
        </x:is>
      </x:c>
    </x:row>
    <x:row r="709">
      <x:c r="A709" s="31" t="inlineStr">
        <x:is>
          <x:t xml:space="preserve">СКЛ-000708</x:t>
        </x:is>
      </x:c>
      <x:c r="B709" s="31" t="n">
        <x:v>46040</x:v>
      </x:c>
      <x:c r="C709" s="31" t="inlineStr">
        <x:is>
          <x:t xml:space="preserve">Приход</x:t>
        </x:is>
      </x:c>
      <x:c r="D709" s="31" t="inlineStr">
        <x:is>
          <x:t xml:space="preserve">МАТ-0054</x:t>
        </x:is>
      </x:c>
      <x:c r="E709" s="31" t="inlineStr">
        <x:is>
          <x:t xml:space="preserve">Кран шаровой Ду80</x:t>
        </x:is>
      </x:c>
      <x:c r="F709" s="31" t="n">
        <x:v>3</x:v>
      </x:c>
      <x:c r="G709" s="31" t="inlineStr">
        <x:is>
          <x:t xml:space="preserve">шт</x:t>
        </x:is>
      </x:c>
      <x:c r="H709" s="31" t="n"/>
      <x:c r="I709" s="31" t="n"/>
      <x:c r="J709" s="31" t="inlineStr">
        <x:is>
          <x:t xml:space="preserve">Основной склад</x:t>
        </x:is>
      </x:c>
      <x:c r="K709" s="31" t="inlineStr">
        <x:is>
          <x:t xml:space="preserve">СОТР-036</x:t>
        </x:is>
      </x:c>
      <x:c r="L709" s="31" t="inlineStr">
        <x:is>
          <x:t xml:space="preserve">ДОК-7190</x:t>
        </x:is>
      </x:c>
      <x:c r="M709" s="31" t="inlineStr">
        <x:is>
          <x:t xml:space="preserve">Черновик</x:t>
        </x:is>
      </x:c>
    </x:row>
    <x:row r="710">
      <x:c r="A710" s="31" t="inlineStr">
        <x:is>
          <x:t xml:space="preserve">СКЛ-000709</x:t>
        </x:is>
      </x:c>
      <x:c r="B710" s="31" t="n">
        <x:v>46201</x:v>
      </x:c>
      <x:c r="C710" s="31" t="inlineStr">
        <x:is>
          <x:t xml:space="preserve">Приход</x:t>
        </x:is>
      </x:c>
      <x:c r="D710" s="31" t="inlineStr">
        <x:is>
          <x:t xml:space="preserve">МАТ-0063</x:t>
        </x:is>
      </x:c>
      <x:c r="E710" s="31" t="inlineStr">
        <x:is>
          <x:t xml:space="preserve">Кабель ВВГнг 3×2.5</x:t>
        </x:is>
      </x:c>
      <x:c r="F710" s="31" t="n">
        <x:v>12</x:v>
      </x:c>
      <x:c r="G710" s="31" t="inlineStr">
        <x:is>
          <x:t xml:space="preserve">шт</x:t>
        </x:is>
      </x:c>
      <x:c r="H710" s="31" t="n"/>
      <x:c r="I710" s="31" t="n"/>
      <x:c r="J710" s="31" t="inlineStr">
        <x:is>
          <x:t xml:space="preserve">Основной склад</x:t>
        </x:is>
      </x:c>
      <x:c r="K710" s="31" t="inlineStr">
        <x:is>
          <x:t xml:space="preserve">СОТР-037</x:t>
        </x:is>
      </x:c>
      <x:c r="L710" s="31" t="inlineStr">
        <x:is>
          <x:t xml:space="preserve">ДОК-2646</x:t>
        </x:is>
      </x:c>
      <x:c r="M710" s="31" t="inlineStr">
        <x:is>
          <x:t xml:space="preserve">Проведен</x:t>
        </x:is>
      </x:c>
    </x:row>
    <x:row r="711">
      <x:c r="A711" s="31" t="inlineStr">
        <x:is>
          <x:t xml:space="preserve">СКЛ-000710</x:t>
        </x:is>
      </x:c>
      <x:c r="B711" s="31" t="n">
        <x:v>46132</x:v>
      </x:c>
      <x:c r="C711" s="31" t="inlineStr">
        <x:is>
          <x:t xml:space="preserve">Приход</x:t>
        </x:is>
      </x:c>
      <x:c r="D711" s="31" t="inlineStr">
        <x:is>
          <x:t xml:space="preserve">МАТ-0085</x:t>
        </x:is>
      </x:c>
      <x:c r="E711" s="31" t="inlineStr">
        <x:is>
          <x:t xml:space="preserve">Пленка стрейч</x:t>
        </x:is>
      </x:c>
      <x:c r="F711" s="31" t="n">
        <x:v>19</x:v>
      </x:c>
      <x:c r="G711" s="31" t="inlineStr">
        <x:is>
          <x:t xml:space="preserve">шт</x:t>
        </x:is>
      </x:c>
      <x:c r="H711" s="31" t="n"/>
      <x:c r="I711" s="31" t="n"/>
      <x:c r="J711" s="31" t="inlineStr">
        <x:is>
          <x:t xml:space="preserve">Основной склад</x:t>
        </x:is>
      </x:c>
      <x:c r="K711" s="31" t="inlineStr">
        <x:is>
          <x:t xml:space="preserve">СОТР-024</x:t>
        </x:is>
      </x:c>
      <x:c r="L711" s="31" t="inlineStr">
        <x:is>
          <x:t xml:space="preserve">ДОК-3454</x:t>
        </x:is>
      </x:c>
      <x:c r="M711" s="31" t="inlineStr">
        <x:is>
          <x:t xml:space="preserve">Проведен</x:t>
        </x:is>
      </x:c>
    </x:row>
    <x:row r="712">
      <x:c r="A712" s="31" t="inlineStr">
        <x:is>
          <x:t xml:space="preserve">СКЛ-000711</x:t>
        </x:is>
      </x:c>
      <x:c r="B712" s="31" t="n">
        <x:v>46082</x:v>
      </x:c>
      <x:c r="C712" s="31" t="inlineStr">
        <x:is>
          <x:t xml:space="preserve">Резерв</x:t>
        </x:is>
      </x:c>
      <x:c r="D712" s="31" t="inlineStr">
        <x:is>
          <x:t xml:space="preserve">МАТ-0001</x:t>
        </x:is>
      </x:c>
      <x:c r="E712" s="31" t="inlineStr">
        <x:is>
          <x:t xml:space="preserve">Лист стальной 09Г2С 8 мм</x:t>
        </x:is>
      </x:c>
      <x:c r="F712" s="31" t="n">
        <x:v>-51.38</x:v>
      </x:c>
      <x:c r="G712" s="31" t="inlineStr">
        <x:is>
          <x:t xml:space="preserve">м</x:t>
        </x:is>
      </x:c>
      <x:c r="H712" s="31" t="inlineStr">
        <x:is>
          <x:t xml:space="preserve">ЗК-1018</x:t>
        </x:is>
      </x:c>
      <x:c r="I712" s="31" t="n"/>
      <x:c r="J712" s="31" t="inlineStr">
        <x:is>
          <x:t xml:space="preserve">Основной склад</x:t>
        </x:is>
      </x:c>
      <x:c r="K712" s="31" t="inlineStr">
        <x:is>
          <x:t xml:space="preserve">СОТР-038</x:t>
        </x:is>
      </x:c>
      <x:c r="L712" s="31" t="inlineStr">
        <x:is>
          <x:t xml:space="preserve">ДОК-7797</x:t>
        </x:is>
      </x:c>
      <x:c r="M712" s="31" t="inlineStr">
        <x:is>
          <x:t xml:space="preserve">Проведен</x:t>
        </x:is>
      </x:c>
    </x:row>
    <x:row r="713">
      <x:c r="A713" s="31" t="inlineStr">
        <x:is>
          <x:t xml:space="preserve">СКЛ-000712</x:t>
        </x:is>
      </x:c>
      <x:c r="B713" s="31" t="n">
        <x:v>46200</x:v>
      </x:c>
      <x:c r="C713" s="31" t="inlineStr">
        <x:is>
          <x:t xml:space="preserve">Выдача в производство</x:t>
        </x:is>
      </x:c>
      <x:c r="D713" s="31" t="inlineStr">
        <x:is>
          <x:t xml:space="preserve">МАТ-0031</x:t>
        </x:is>
      </x:c>
      <x:c r="E713" s="31" t="inlineStr">
        <x:is>
          <x:t xml:space="preserve">Датчик давления 0-16 бар</x:t>
        </x:is>
      </x:c>
      <x:c r="F713" s="31" t="n">
        <x:v>-8</x:v>
      </x:c>
      <x:c r="G713" s="31" t="inlineStr">
        <x:is>
          <x:t xml:space="preserve">шт</x:t>
        </x:is>
      </x:c>
      <x:c r="H713" s="31" t="inlineStr">
        <x:is>
          <x:t xml:space="preserve">ЗК-1047</x:t>
        </x:is>
      </x:c>
      <x:c r="I713" s="31" t="inlineStr">
        <x:is>
          <x:t xml:space="preserve">ПЗ-00197</x:t>
        </x:is>
      </x:c>
      <x:c r="J713" s="31" t="inlineStr">
        <x:is>
          <x:t xml:space="preserve">Брак/карантин</x:t>
        </x:is>
      </x:c>
      <x:c r="K713" s="31" t="inlineStr">
        <x:is>
          <x:t xml:space="preserve">СОТР-037</x:t>
        </x:is>
      </x:c>
      <x:c r="L713" s="31" t="inlineStr">
        <x:is>
          <x:t xml:space="preserve">ДОК-8872</x:t>
        </x:is>
      </x:c>
      <x:c r="M713" s="31" t="inlineStr">
        <x:is>
          <x:t xml:space="preserve">Проведен</x:t>
        </x:is>
      </x:c>
    </x:row>
    <x:row r="714">
      <x:c r="A714" s="31" t="inlineStr">
        <x:is>
          <x:t xml:space="preserve">СКЛ-000713</x:t>
        </x:is>
      </x:c>
      <x:c r="B714" s="31" t="n">
        <x:v>46035</x:v>
      </x:c>
      <x:c r="C714" s="31" t="inlineStr">
        <x:is>
          <x:t xml:space="preserve">Выдача в производство</x:t>
        </x:is>
      </x:c>
      <x:c r="D714" s="31" t="inlineStr">
        <x:is>
          <x:t xml:space="preserve">МАТ-0029</x:t>
        </x:is>
      </x:c>
      <x:c r="E714" s="31" t="inlineStr">
        <x:is>
          <x:t xml:space="preserve">Частотный преобразователь 22 кВт</x:t>
        </x:is>
      </x:c>
      <x:c r="F714" s="31" t="n">
        <x:v>-17</x:v>
      </x:c>
      <x:c r="G714" s="31" t="inlineStr">
        <x:is>
          <x:t xml:space="preserve">шт</x:t>
        </x:is>
      </x:c>
      <x:c r="H714" s="31" t="inlineStr">
        <x:is>
          <x:t xml:space="preserve">ЗК-1117</x:t>
        </x:is>
      </x:c>
      <x:c r="I714" s="31" t="inlineStr">
        <x:is>
          <x:t xml:space="preserve">ПЗ-00164</x:t>
        </x:is>
      </x:c>
      <x:c r="J714" s="31" t="inlineStr">
        <x:is>
          <x:t xml:space="preserve">Цеховой склад</x:t>
        </x:is>
      </x:c>
      <x:c r="K714" s="31" t="inlineStr">
        <x:is>
          <x:t xml:space="preserve">СОТР-024</x:t>
        </x:is>
      </x:c>
      <x:c r="L714" s="31" t="inlineStr">
        <x:is>
          <x:t xml:space="preserve">ДОК-5889</x:t>
        </x:is>
      </x:c>
      <x:c r="M714" s="31" t="inlineStr">
        <x:is>
          <x:t xml:space="preserve">Проведен</x:t>
        </x:is>
      </x:c>
    </x:row>
    <x:row r="715">
      <x:c r="A715" s="31" t="inlineStr">
        <x:is>
          <x:t xml:space="preserve">СКЛ-000714</x:t>
        </x:is>
      </x:c>
      <x:c r="B715" s="31" t="n">
        <x:v>46054</x:v>
      </x:c>
      <x:c r="C715" s="31" t="inlineStr">
        <x:is>
          <x:t xml:space="preserve">Выдача в производство</x:t>
        </x:is>
      </x:c>
      <x:c r="D715" s="31" t="inlineStr">
        <x:is>
          <x:t xml:space="preserve">МАТ-0019</x:t>
        </x:is>
      </x:c>
      <x:c r="E715" s="31" t="inlineStr">
        <x:is>
          <x:t xml:space="preserve">Насос дозировочный</x:t>
        </x:is>
      </x:c>
      <x:c r="F715" s="31" t="n">
        <x:v>-2</x:v>
      </x:c>
      <x:c r="G715" s="31" t="inlineStr">
        <x:is>
          <x:t xml:space="preserve">шт</x:t>
        </x:is>
      </x:c>
      <x:c r="H715" s="31" t="inlineStr">
        <x:is>
          <x:t xml:space="preserve">ЗК-1099</x:t>
        </x:is>
      </x:c>
      <x:c r="I715" s="31" t="inlineStr">
        <x:is>
          <x:t xml:space="preserve">ПЗ-00185</x:t>
        </x:is>
      </x:c>
      <x:c r="J715" s="31" t="inlineStr">
        <x:is>
          <x:t xml:space="preserve">Цеховой склад</x:t>
        </x:is>
      </x:c>
      <x:c r="K715" s="31" t="inlineStr">
        <x:is>
          <x:t xml:space="preserve">СОТР-038</x:t>
        </x:is>
      </x:c>
      <x:c r="L715" s="31" t="inlineStr">
        <x:is>
          <x:t xml:space="preserve">ДОК-9511</x:t>
        </x:is>
      </x:c>
      <x:c r="M715" s="31" t="inlineStr">
        <x:is>
          <x:t xml:space="preserve">Проведен</x:t>
        </x:is>
      </x:c>
    </x:row>
    <x:row r="716">
      <x:c r="A716" s="31" t="inlineStr">
        <x:is>
          <x:t xml:space="preserve">СКЛ-000715</x:t>
        </x:is>
      </x:c>
      <x:c r="B716" s="31" t="n">
        <x:v>46035</x:v>
      </x:c>
      <x:c r="C716" s="31" t="inlineStr">
        <x:is>
          <x:t xml:space="preserve">Резерв</x:t>
        </x:is>
      </x:c>
      <x:c r="D716" s="31" t="inlineStr">
        <x:is>
          <x:t xml:space="preserve">МАТ-0016</x:t>
        </x:is>
      </x:c>
      <x:c r="E716" s="31" t="inlineStr">
        <x:is>
          <x:t xml:space="preserve">Насос центробежный 15 кВт / исп.2</x:t>
        </x:is>
      </x:c>
      <x:c r="F716" s="31" t="n">
        <x:v>-1</x:v>
      </x:c>
      <x:c r="G716" s="31" t="inlineStr">
        <x:is>
          <x:t xml:space="preserve">шт</x:t>
        </x:is>
      </x:c>
      <x:c r="H716" s="31" t="inlineStr">
        <x:is>
          <x:t xml:space="preserve">ЗК-1072</x:t>
        </x:is>
      </x:c>
      <x:c r="I716" s="31" t="n"/>
      <x:c r="J716" s="31" t="inlineStr">
        <x:is>
          <x:t xml:space="preserve">Основной склад</x:t>
        </x:is>
      </x:c>
      <x:c r="K716" s="31" t="inlineStr">
        <x:is>
          <x:t xml:space="preserve">СОТР-036</x:t>
        </x:is>
      </x:c>
      <x:c r="L716" s="31" t="inlineStr">
        <x:is>
          <x:t xml:space="preserve">ДОК-7064</x:t>
        </x:is>
      </x:c>
      <x:c r="M716" s="31" t="inlineStr">
        <x:is>
          <x:t xml:space="preserve">Проведен</x:t>
        </x:is>
      </x:c>
    </x:row>
    <x:row r="717">
      <x:c r="A717" s="31" t="inlineStr">
        <x:is>
          <x:t xml:space="preserve">СКЛ-000716</x:t>
        </x:is>
      </x:c>
      <x:c r="B717" s="31" t="n">
        <x:v>46195</x:v>
      </x:c>
      <x:c r="C717" s="31" t="inlineStr">
        <x:is>
          <x:t xml:space="preserve">Выдача в производство</x:t>
        </x:is>
      </x:c>
      <x:c r="D717" s="31" t="inlineStr">
        <x:is>
          <x:t xml:space="preserve">МАТ-0047</x:t>
        </x:is>
      </x:c>
      <x:c r="E717" s="31" t="inlineStr">
        <x:is>
          <x:t xml:space="preserve">Контактор 25А / исп.2</x:t>
        </x:is>
      </x:c>
      <x:c r="F717" s="31" t="n">
        <x:v>-10</x:v>
      </x:c>
      <x:c r="G717" s="31" t="inlineStr">
        <x:is>
          <x:t xml:space="preserve">шт</x:t>
        </x:is>
      </x:c>
      <x:c r="H717" s="31" t="inlineStr">
        <x:is>
          <x:t xml:space="preserve">ЗК-1057</x:t>
        </x:is>
      </x:c>
      <x:c r="I717" s="31" t="inlineStr">
        <x:is>
          <x:t xml:space="preserve">ПЗ-00199</x:t>
        </x:is>
      </x:c>
      <x:c r="J717" s="31" t="inlineStr">
        <x:is>
          <x:t xml:space="preserve">Основной склад</x:t>
        </x:is>
      </x:c>
      <x:c r="K717" s="31" t="inlineStr">
        <x:is>
          <x:t xml:space="preserve">СОТР-033</x:t>
        </x:is>
      </x:c>
      <x:c r="L717" s="31" t="inlineStr">
        <x:is>
          <x:t xml:space="preserve">ДОК-9224</x:t>
        </x:is>
      </x:c>
      <x:c r="M717" s="31" t="inlineStr">
        <x:is>
          <x:t xml:space="preserve">Проведен</x:t>
        </x:is>
      </x:c>
    </x:row>
    <x:row r="718">
      <x:c r="A718" s="31" t="inlineStr">
        <x:is>
          <x:t xml:space="preserve">СКЛ-000717</x:t>
        </x:is>
      </x:c>
      <x:c r="B718" s="31" t="n">
        <x:v>46066</x:v>
      </x:c>
      <x:c r="C718" s="31" t="inlineStr">
        <x:is>
          <x:t xml:space="preserve">Списание</x:t>
        </x:is>
      </x:c>
      <x:c r="D718" s="31" t="inlineStr">
        <x:is>
          <x:t xml:space="preserve">МАТ-0083</x:t>
        </x:is>
      </x:c>
      <x:c r="E718" s="31" t="inlineStr">
        <x:is>
          <x:t xml:space="preserve">Анкер М16</x:t>
        </x:is>
      </x:c>
      <x:c r="F718" s="31" t="n">
        <x:v>-1</x:v>
      </x:c>
      <x:c r="G718" s="31" t="inlineStr">
        <x:is>
          <x:t xml:space="preserve">шт</x:t>
        </x:is>
      </x:c>
      <x:c r="H718" s="31" t="n"/>
      <x:c r="I718" s="31" t="n"/>
      <x:c r="J718" s="31" t="inlineStr">
        <x:is>
          <x:t xml:space="preserve">Основной склад</x:t>
        </x:is>
      </x:c>
      <x:c r="K718" s="31" t="inlineStr">
        <x:is>
          <x:t xml:space="preserve">СОТР-024</x:t>
        </x:is>
      </x:c>
      <x:c r="L718" s="31" t="inlineStr">
        <x:is>
          <x:t xml:space="preserve">ДОК-2555</x:t>
        </x:is>
      </x:c>
      <x:c r="M718" s="31" t="inlineStr">
        <x:is>
          <x:t xml:space="preserve">Проведен</x:t>
        </x:is>
      </x:c>
    </x:row>
    <x:row r="719">
      <x:c r="A719" s="31" t="inlineStr">
        <x:is>
          <x:t xml:space="preserve">СКЛ-000718</x:t>
        </x:is>
      </x:c>
      <x:c r="B719" s="31" t="n">
        <x:v>46171</x:v>
      </x:c>
      <x:c r="C719" s="31" t="inlineStr">
        <x:is>
          <x:t xml:space="preserve">Приход</x:t>
        </x:is>
      </x:c>
      <x:c r="D719" s="31" t="inlineStr">
        <x:is>
          <x:t xml:space="preserve">МАТ-0045</x:t>
        </x:is>
      </x:c>
      <x:c r="E719" s="31" t="inlineStr">
        <x:is>
          <x:t xml:space="preserve">Автоматический выключатель 16А</x:t>
        </x:is>
      </x:c>
      <x:c r="F719" s="31" t="n">
        <x:v>17</x:v>
      </x:c>
      <x:c r="G719" s="31" t="inlineStr">
        <x:is>
          <x:t xml:space="preserve">шт</x:t>
        </x:is>
      </x:c>
      <x:c r="H719" s="31" t="n"/>
      <x:c r="I719" s="31" t="n"/>
      <x:c r="J719" s="31" t="inlineStr">
        <x:is>
          <x:t xml:space="preserve">Брак/карантин</x:t>
        </x:is>
      </x:c>
      <x:c r="K719" s="31" t="inlineStr">
        <x:is>
          <x:t xml:space="preserve">СОТР-024</x:t>
        </x:is>
      </x:c>
      <x:c r="L719" s="31" t="inlineStr">
        <x:is>
          <x:t xml:space="preserve">ДОК-7651</x:t>
        </x:is>
      </x:c>
      <x:c r="M719" s="31" t="inlineStr">
        <x:is>
          <x:t xml:space="preserve">Проведен</x:t>
        </x:is>
      </x:c>
    </x:row>
    <x:row r="720">
      <x:c r="A720" s="31" t="inlineStr">
        <x:is>
          <x:t xml:space="preserve">СКЛ-000719</x:t>
        </x:is>
      </x:c>
      <x:c r="B720" s="31" t="n">
        <x:v>46120</x:v>
      </x:c>
      <x:c r="C720" s="31" t="inlineStr">
        <x:is>
          <x:t xml:space="preserve">Приход</x:t>
        </x:is>
      </x:c>
      <x:c r="D720" s="31" t="inlineStr">
        <x:is>
          <x:t xml:space="preserve">МАТ-0077</x:t>
        </x:is>
      </x:c>
      <x:c r="E720" s="31" t="inlineStr">
        <x:is>
          <x:t xml:space="preserve">Болт М16</x:t>
        </x:is>
      </x:c>
      <x:c r="F720" s="31" t="n">
        <x:v>16</x:v>
      </x:c>
      <x:c r="G720" s="31" t="inlineStr">
        <x:is>
          <x:t xml:space="preserve">шт</x:t>
        </x:is>
      </x:c>
      <x:c r="H720" s="31" t="n"/>
      <x:c r="I720" s="31" t="n"/>
      <x:c r="J720" s="31" t="inlineStr">
        <x:is>
          <x:t xml:space="preserve">Основной склад</x:t>
        </x:is>
      </x:c>
      <x:c r="K720" s="31" t="inlineStr">
        <x:is>
          <x:t xml:space="preserve">СОТР-037</x:t>
        </x:is>
      </x:c>
      <x:c r="L720" s="31" t="inlineStr">
        <x:is>
          <x:t xml:space="preserve">ДОК-2965</x:t>
        </x:is>
      </x:c>
      <x:c r="M720" s="31" t="inlineStr">
        <x:is>
          <x:t xml:space="preserve">Черновик</x:t>
        </x:is>
      </x:c>
    </x:row>
    <x:row r="721">
      <x:c r="A721" s="31" t="inlineStr">
        <x:is>
          <x:t xml:space="preserve">СКЛ-000720</x:t>
        </x:is>
      </x:c>
      <x:c r="B721" s="31" t="n">
        <x:v>46149</x:v>
      </x:c>
      <x:c r="C721" s="31" t="inlineStr">
        <x:is>
          <x:t xml:space="preserve">Списание</x:t>
        </x:is>
      </x:c>
      <x:c r="D721" s="31" t="inlineStr">
        <x:is>
          <x:t xml:space="preserve">МАТ-0075</x:t>
        </x:is>
      </x:c>
      <x:c r="E721" s="31" t="inlineStr">
        <x:is>
          <x:t xml:space="preserve">Болт М12</x:t>
        </x:is>
      </x:c>
      <x:c r="F721" s="31" t="n">
        <x:v>-13</x:v>
      </x:c>
      <x:c r="G721" s="31" t="inlineStr">
        <x:is>
          <x:t xml:space="preserve">шт</x:t>
        </x:is>
      </x:c>
      <x:c r="H721" s="31" t="n"/>
      <x:c r="I721" s="31" t="n"/>
      <x:c r="J721" s="31" t="inlineStr">
        <x:is>
          <x:t xml:space="preserve">Основной склад</x:t>
        </x:is>
      </x:c>
      <x:c r="K721" s="31" t="inlineStr">
        <x:is>
          <x:t xml:space="preserve">СОТР-037</x:t>
        </x:is>
      </x:c>
      <x:c r="L721" s="31" t="inlineStr">
        <x:is>
          <x:t xml:space="preserve">ДОК-1342</x:t>
        </x:is>
      </x:c>
      <x:c r="M721" s="31" t="inlineStr">
        <x:is>
          <x:t xml:space="preserve">Проведен</x:t>
        </x:is>
      </x:c>
    </x:row>
    <x:row r="722">
      <x:c r="A722" s="31" t="inlineStr">
        <x:is>
          <x:t xml:space="preserve">СКЛ-000721</x:t>
        </x:is>
      </x:c>
      <x:c r="B722" s="31" t="n">
        <x:v>46200</x:v>
      </x:c>
      <x:c r="C722" s="31" t="inlineStr">
        <x:is>
          <x:t xml:space="preserve">Списание</x:t>
        </x:is>
      </x:c>
      <x:c r="D722" s="31" t="inlineStr">
        <x:is>
          <x:t xml:space="preserve">МАТ-0013</x:t>
        </x:is>
      </x:c>
      <x:c r="E722" s="31" t="inlineStr">
        <x:is>
          <x:t xml:space="preserve">Уголок 50×5</x:t>
        </x:is>
      </x:c>
      <x:c r="F722" s="31" t="n">
        <x:v>-52.15</x:v>
      </x:c>
      <x:c r="G722" s="31" t="inlineStr">
        <x:is>
          <x:t xml:space="preserve">кг</x:t>
        </x:is>
      </x:c>
      <x:c r="H722" s="31" t="n"/>
      <x:c r="I722" s="31" t="n"/>
      <x:c r="J722" s="31" t="inlineStr">
        <x:is>
          <x:t xml:space="preserve">Основной склад</x:t>
        </x:is>
      </x:c>
      <x:c r="K722" s="31" t="inlineStr">
        <x:is>
          <x:t xml:space="preserve">СОТР-036</x:t>
        </x:is>
      </x:c>
      <x:c r="L722" s="31" t="inlineStr">
        <x:is>
          <x:t xml:space="preserve">ДОК-4215</x:t>
        </x:is>
      </x:c>
      <x:c r="M722" s="31" t="inlineStr">
        <x:is>
          <x:t xml:space="preserve">Проведен</x:t>
        </x:is>
      </x:c>
    </x:row>
    <x:row r="723">
      <x:c r="A723" s="31" t="inlineStr">
        <x:is>
          <x:t xml:space="preserve">СКЛ-000722</x:t>
        </x:is>
      </x:c>
      <x:c r="B723" s="31" t="n">
        <x:v>46193</x:v>
      </x:c>
      <x:c r="C723" s="31" t="inlineStr">
        <x:is>
          <x:t xml:space="preserve">Резерв</x:t>
        </x:is>
      </x:c>
      <x:c r="D723" s="31" t="inlineStr">
        <x:is>
          <x:t xml:space="preserve">МАТ-0087</x:t>
        </x:is>
      </x:c>
      <x:c r="E723" s="31" t="inlineStr">
        <x:is>
          <x:t xml:space="preserve">Ящик фанерный</x:t>
        </x:is>
      </x:c>
      <x:c r="F723" s="31" t="n">
        <x:v>-18</x:v>
      </x:c>
      <x:c r="G723" s="31" t="inlineStr">
        <x:is>
          <x:t xml:space="preserve">шт</x:t>
        </x:is>
      </x:c>
      <x:c r="H723" s="31" t="inlineStr">
        <x:is>
          <x:t xml:space="preserve">ЗК-1089</x:t>
        </x:is>
      </x:c>
      <x:c r="I723" s="31" t="n"/>
      <x:c r="J723" s="31" t="inlineStr">
        <x:is>
          <x:t xml:space="preserve">Основной склад</x:t>
        </x:is>
      </x:c>
      <x:c r="K723" s="31" t="inlineStr">
        <x:is>
          <x:t xml:space="preserve">СОТР-039</x:t>
        </x:is>
      </x:c>
      <x:c r="L723" s="31" t="inlineStr">
        <x:is>
          <x:t xml:space="preserve">ДОК-3697</x:t>
        </x:is>
      </x:c>
      <x:c r="M723" s="31" t="inlineStr">
        <x:is>
          <x:t xml:space="preserve">Проведен</x:t>
        </x:is>
      </x:c>
    </x:row>
    <x:row r="724">
      <x:c r="A724" s="31" t="inlineStr">
        <x:is>
          <x:t xml:space="preserve">СКЛ-000723</x:t>
        </x:is>
      </x:c>
      <x:c r="B724" s="31" t="n">
        <x:v>46051</x:v>
      </x:c>
      <x:c r="C724" s="31" t="inlineStr">
        <x:is>
          <x:t xml:space="preserve">Резерв</x:t>
        </x:is>
      </x:c>
      <x:c r="D724" s="31" t="inlineStr">
        <x:is>
          <x:t xml:space="preserve">МАТ-0001</x:t>
        </x:is>
      </x:c>
      <x:c r="E724" s="31" t="inlineStr">
        <x:is>
          <x:t xml:space="preserve">Лист стальной 09Г2С 8 мм</x:t>
        </x:is>
      </x:c>
      <x:c r="F724" s="31" t="n">
        <x:v>-78.34999999999999</x:v>
      </x:c>
      <x:c r="G724" s="31" t="inlineStr">
        <x:is>
          <x:t xml:space="preserve">м</x:t>
        </x:is>
      </x:c>
      <x:c r="H724" s="31" t="inlineStr">
        <x:is>
          <x:t xml:space="preserve">ЗК-1111</x:t>
        </x:is>
      </x:c>
      <x:c r="I724" s="31" t="n"/>
      <x:c r="J724" s="31" t="inlineStr">
        <x:is>
          <x:t xml:space="preserve">Цеховой склад</x:t>
        </x:is>
      </x:c>
      <x:c r="K724" s="31" t="inlineStr">
        <x:is>
          <x:t xml:space="preserve">СОТР-035</x:t>
        </x:is>
      </x:c>
      <x:c r="L724" s="31" t="inlineStr">
        <x:is>
          <x:t xml:space="preserve">ДОК-7282</x:t>
        </x:is>
      </x:c>
      <x:c r="M724" s="31" t="inlineStr">
        <x:is>
          <x:t xml:space="preserve">Проведен</x:t>
        </x:is>
      </x:c>
    </x:row>
    <x:row r="725">
      <x:c r="A725" s="31" t="inlineStr">
        <x:is>
          <x:t xml:space="preserve">СКЛ-000724</x:t>
        </x:is>
      </x:c>
      <x:c r="B725" s="31" t="n">
        <x:v>46127</x:v>
      </x:c>
      <x:c r="C725" s="31" t="inlineStr">
        <x:is>
          <x:t xml:space="preserve">Приход</x:t>
        </x:is>
      </x:c>
      <x:c r="D725" s="31" t="inlineStr">
        <x:is>
          <x:t xml:space="preserve">МАТ-0044</x:t>
        </x:is>
      </x:c>
      <x:c r="E725" s="31" t="inlineStr">
        <x:is>
          <x:t xml:space="preserve">Блок питания 24В / исп.2</x:t>
        </x:is>
      </x:c>
      <x:c r="F725" s="31" t="n">
        <x:v>16</x:v>
      </x:c>
      <x:c r="G725" s="31" t="inlineStr">
        <x:is>
          <x:t xml:space="preserve">шт</x:t>
        </x:is>
      </x:c>
      <x:c r="H725" s="31" t="n"/>
      <x:c r="I725" s="31" t="n"/>
      <x:c r="J725" s="31" t="inlineStr">
        <x:is>
          <x:t xml:space="preserve">Цеховой склад</x:t>
        </x:is>
      </x:c>
      <x:c r="K725" s="31" t="inlineStr">
        <x:is>
          <x:t xml:space="preserve">СОТР-033</x:t>
        </x:is>
      </x:c>
      <x:c r="L725" s="31" t="inlineStr">
        <x:is>
          <x:t xml:space="preserve">ДОК-5137</x:t>
        </x:is>
      </x:c>
      <x:c r="M725" s="31" t="inlineStr">
        <x:is>
          <x:t xml:space="preserve">Проведен</x:t>
        </x:is>
      </x:c>
    </x:row>
    <x:row r="726">
      <x:c r="A726" s="31" t="inlineStr">
        <x:is>
          <x:t xml:space="preserve">СКЛ-000725</x:t>
        </x:is>
      </x:c>
      <x:c r="B726" s="31" t="n">
        <x:v>46143</x:v>
      </x:c>
      <x:c r="C726" s="31" t="inlineStr">
        <x:is>
          <x:t xml:space="preserve">Выдача в производство</x:t>
        </x:is>
      </x:c>
      <x:c r="D726" s="31" t="inlineStr">
        <x:is>
          <x:t xml:space="preserve">МАТ-0019</x:t>
        </x:is>
      </x:c>
      <x:c r="E726" s="31" t="inlineStr">
        <x:is>
          <x:t xml:space="preserve">Насос дозировочный</x:t>
        </x:is>
      </x:c>
      <x:c r="F726" s="31" t="n">
        <x:v>-19</x:v>
      </x:c>
      <x:c r="G726" s="31" t="inlineStr">
        <x:is>
          <x:t xml:space="preserve">шт</x:t>
        </x:is>
      </x:c>
      <x:c r="H726" s="31" t="inlineStr">
        <x:is>
          <x:t xml:space="preserve">ЗК-1097</x:t>
        </x:is>
      </x:c>
      <x:c r="I726" s="31" t="inlineStr">
        <x:is>
          <x:t xml:space="preserve">ПЗ-00059</x:t>
        </x:is>
      </x:c>
      <x:c r="J726" s="31" t="inlineStr">
        <x:is>
          <x:t xml:space="preserve">Брак/карантин</x:t>
        </x:is>
      </x:c>
      <x:c r="K726" s="31" t="inlineStr">
        <x:is>
          <x:t xml:space="preserve">СОТР-037</x:t>
        </x:is>
      </x:c>
      <x:c r="L726" s="31" t="inlineStr">
        <x:is>
          <x:t xml:space="preserve">ДОК-4569</x:t>
        </x:is>
      </x:c>
      <x:c r="M726" s="31" t="inlineStr">
        <x:is>
          <x:t xml:space="preserve">Проведен</x:t>
        </x:is>
      </x:c>
    </x:row>
    <x:row r="727">
      <x:c r="A727" s="31" t="inlineStr">
        <x:is>
          <x:t xml:space="preserve">СКЛ-000726</x:t>
        </x:is>
      </x:c>
      <x:c r="B727" s="31" t="n">
        <x:v>46034</x:v>
      </x:c>
      <x:c r="C727" s="31" t="inlineStr">
        <x:is>
          <x:t xml:space="preserve">Резерв</x:t>
        </x:is>
      </x:c>
      <x:c r="D727" s="31" t="inlineStr">
        <x:is>
          <x:t xml:space="preserve">МАТ-0038</x:t>
        </x:is>
      </x:c>
      <x:c r="E727" s="31" t="inlineStr">
        <x:is>
          <x:t xml:space="preserve">ПЛК 24 дискр. входа / 16 дискр. выхода</x:t>
        </x:is>
      </x:c>
      <x:c r="F727" s="31" t="n">
        <x:v>-12</x:v>
      </x:c>
      <x:c r="G727" s="31" t="inlineStr">
        <x:is>
          <x:t xml:space="preserve">шт</x:t>
        </x:is>
      </x:c>
      <x:c r="H727" s="31" t="inlineStr">
        <x:is>
          <x:t xml:space="preserve">ЗК-1074</x:t>
        </x:is>
      </x:c>
      <x:c r="I727" s="31" t="n"/>
      <x:c r="J727" s="31" t="inlineStr">
        <x:is>
          <x:t xml:space="preserve">Брак/карантин</x:t>
        </x:is>
      </x:c>
      <x:c r="K727" s="31" t="inlineStr">
        <x:is>
          <x:t xml:space="preserve">СОТР-024</x:t>
        </x:is>
      </x:c>
      <x:c r="L727" s="31" t="inlineStr">
        <x:is>
          <x:t xml:space="preserve">ДОК-1814</x:t>
        </x:is>
      </x:c>
      <x:c r="M727" s="31" t="inlineStr">
        <x:is>
          <x:t xml:space="preserve">Проведен</x:t>
        </x:is>
      </x:c>
    </x:row>
    <x:row r="728">
      <x:c r="A728" s="31" t="inlineStr">
        <x:is>
          <x:t xml:space="preserve">СКЛ-000727</x:t>
        </x:is>
      </x:c>
      <x:c r="B728" s="31" t="n">
        <x:v>46180</x:v>
      </x:c>
      <x:c r="C728" s="31" t="inlineStr">
        <x:is>
          <x:t xml:space="preserve">Списание</x:t>
        </x:is>
      </x:c>
      <x:c r="D728" s="31" t="inlineStr">
        <x:is>
          <x:t xml:space="preserve">МАТ-0080</x:t>
        </x:is>
      </x:c>
      <x:c r="E728" s="31" t="inlineStr">
        <x:is>
          <x:t xml:space="preserve">Гайка М12 / исп.3</x:t>
        </x:is>
      </x:c>
      <x:c r="F728" s="31" t="n">
        <x:v>-14</x:v>
      </x:c>
      <x:c r="G728" s="31" t="inlineStr">
        <x:is>
          <x:t xml:space="preserve">шт</x:t>
        </x:is>
      </x:c>
      <x:c r="H728" s="31" t="n"/>
      <x:c r="I728" s="31" t="n"/>
      <x:c r="J728" s="31" t="inlineStr">
        <x:is>
          <x:t xml:space="preserve">Основной склад</x:t>
        </x:is>
      </x:c>
      <x:c r="K728" s="31" t="inlineStr">
        <x:is>
          <x:t xml:space="preserve">СОТР-039</x:t>
        </x:is>
      </x:c>
      <x:c r="L728" s="31" t="inlineStr">
        <x:is>
          <x:t xml:space="preserve">ДОК-4207</x:t>
        </x:is>
      </x:c>
      <x:c r="M728" s="31" t="inlineStr">
        <x:is>
          <x:t xml:space="preserve">Требует проверки</x:t>
        </x:is>
      </x:c>
    </x:row>
    <x:row r="729">
      <x:c r="A729" s="31" t="inlineStr">
        <x:is>
          <x:t xml:space="preserve">СКЛ-000728</x:t>
        </x:is>
      </x:c>
      <x:c r="B729" s="31" t="n">
        <x:v>46065</x:v>
      </x:c>
      <x:c r="C729" s="31" t="inlineStr">
        <x:is>
          <x:t xml:space="preserve">Списание</x:t>
        </x:is>
      </x:c>
      <x:c r="D729" s="31" t="inlineStr">
        <x:is>
          <x:t xml:space="preserve">МАТ-0055</x:t>
        </x:is>
      </x:c>
      <x:c r="E729" s="31" t="inlineStr">
        <x:is>
          <x:t xml:space="preserve">Клапан обратный Ду50</x:t>
        </x:is>
      </x:c>
      <x:c r="F729" s="31" t="n">
        <x:v>-9</x:v>
      </x:c>
      <x:c r="G729" s="31" t="inlineStr">
        <x:is>
          <x:t xml:space="preserve">шт</x:t>
        </x:is>
      </x:c>
      <x:c r="H729" s="31" t="n"/>
      <x:c r="I729" s="31" t="n"/>
      <x:c r="J729" s="31" t="inlineStr">
        <x:is>
          <x:t xml:space="preserve">Цеховой склад</x:t>
        </x:is>
      </x:c>
      <x:c r="K729" s="31" t="inlineStr">
        <x:is>
          <x:t xml:space="preserve">СОТР-034</x:t>
        </x:is>
      </x:c>
      <x:c r="L729" s="31" t="inlineStr">
        <x:is>
          <x:t xml:space="preserve">ДОК-5164</x:t>
        </x:is>
      </x:c>
      <x:c r="M729" s="31" t="inlineStr">
        <x:is>
          <x:t xml:space="preserve">Проведен</x:t>
        </x:is>
      </x:c>
    </x:row>
    <x:row r="730">
      <x:c r="A730" s="31" t="inlineStr">
        <x:is>
          <x:t xml:space="preserve">СКЛ-000729</x:t>
        </x:is>
      </x:c>
      <x:c r="B730" s="31" t="n">
        <x:v>46037</x:v>
      </x:c>
      <x:c r="C730" s="31" t="inlineStr">
        <x:is>
          <x:t xml:space="preserve">Приход</x:t>
        </x:is>
      </x:c>
      <x:c r="D730" s="31" t="inlineStr">
        <x:is>
          <x:t xml:space="preserve">МАТ-0081</x:t>
        </x:is>
      </x:c>
      <x:c r="E730" s="31" t="inlineStr">
        <x:is>
          <x:t xml:space="preserve">Шайба 12</x:t>
        </x:is>
      </x:c>
      <x:c r="F730" s="31" t="n">
        <x:v>20</x:v>
      </x:c>
      <x:c r="G730" s="31" t="inlineStr">
        <x:is>
          <x:t xml:space="preserve">шт</x:t>
        </x:is>
      </x:c>
      <x:c r="H730" s="31" t="n"/>
      <x:c r="I730" s="31" t="n"/>
      <x:c r="J730" s="31" t="inlineStr">
        <x:is>
          <x:t xml:space="preserve">Основной склад</x:t>
        </x:is>
      </x:c>
      <x:c r="K730" s="31" t="inlineStr">
        <x:is>
          <x:t xml:space="preserve">СОТР-034</x:t>
        </x:is>
      </x:c>
      <x:c r="L730" s="31" t="inlineStr">
        <x:is>
          <x:t xml:space="preserve">ДОК-5277</x:t>
        </x:is>
      </x:c>
      <x:c r="M730" s="31" t="inlineStr">
        <x:is>
          <x:t xml:space="preserve">Проведен</x:t>
        </x:is>
      </x:c>
    </x:row>
    <x:row r="731">
      <x:c r="A731" s="31" t="inlineStr">
        <x:is>
          <x:t xml:space="preserve">СКЛ-000730</x:t>
        </x:is>
      </x:c>
      <x:c r="B731" s="31" t="n">
        <x:v>46144</x:v>
      </x:c>
      <x:c r="C731" s="31" t="inlineStr">
        <x:is>
          <x:t xml:space="preserve">Выдача в производство</x:t>
        </x:is>
      </x:c>
      <x:c r="D731" s="31" t="inlineStr">
        <x:is>
          <x:t xml:space="preserve">МАТ-0083</x:t>
        </x:is>
      </x:c>
      <x:c r="E731" s="31" t="inlineStr">
        <x:is>
          <x:t xml:space="preserve">Анкер М16</x:t>
        </x:is>
      </x:c>
      <x:c r="F731" s="31" t="n">
        <x:v>-10</x:v>
      </x:c>
      <x:c r="G731" s="31" t="inlineStr">
        <x:is>
          <x:t xml:space="preserve">шт</x:t>
        </x:is>
      </x:c>
      <x:c r="H731" s="31" t="inlineStr">
        <x:is>
          <x:t xml:space="preserve">ЗК-1053</x:t>
        </x:is>
      </x:c>
      <x:c r="I731" s="31" t="inlineStr">
        <x:is>
          <x:t xml:space="preserve">ПЗ-00221</x:t>
        </x:is>
      </x:c>
      <x:c r="J731" s="31" t="inlineStr">
        <x:is>
          <x:t xml:space="preserve">Основной склад</x:t>
        </x:is>
      </x:c>
      <x:c r="K731" s="31" t="inlineStr">
        <x:is>
          <x:t xml:space="preserve">СОТР-035</x:t>
        </x:is>
      </x:c>
      <x:c r="L731" s="31" t="inlineStr">
        <x:is>
          <x:t xml:space="preserve">ДОК-7854</x:t>
        </x:is>
      </x:c>
      <x:c r="M731" s="31" t="inlineStr">
        <x:is>
          <x:t xml:space="preserve">Проведен</x:t>
        </x:is>
      </x:c>
    </x:row>
    <x:row r="732">
      <x:c r="A732" s="31" t="inlineStr">
        <x:is>
          <x:t xml:space="preserve">СКЛ-000731</x:t>
        </x:is>
      </x:c>
      <x:c r="B732" s="31" t="n">
        <x:v>46140</x:v>
      </x:c>
      <x:c r="C732" s="31" t="inlineStr">
        <x:is>
          <x:t xml:space="preserve">Приход</x:t>
        </x:is>
      </x:c>
      <x:c r="D732" s="31" t="inlineStr">
        <x:is>
          <x:t xml:space="preserve">МАТ-0038</x:t>
        </x:is>
      </x:c>
      <x:c r="E732" s="31" t="inlineStr">
        <x:is>
          <x:t xml:space="preserve">ПЛК 24 дискр. входа / 16 дискр. выхода</x:t>
        </x:is>
      </x:c>
      <x:c r="F732" s="31" t="n">
        <x:v>2</x:v>
      </x:c>
      <x:c r="G732" s="31" t="inlineStr">
        <x:is>
          <x:t xml:space="preserve">шт</x:t>
        </x:is>
      </x:c>
      <x:c r="H732" s="31" t="n"/>
      <x:c r="I732" s="31" t="n"/>
      <x:c r="J732" s="31" t="inlineStr">
        <x:is>
          <x:t xml:space="preserve">Основной склад</x:t>
        </x:is>
      </x:c>
      <x:c r="K732" s="31" t="inlineStr">
        <x:is>
          <x:t xml:space="preserve">СОТР-034</x:t>
        </x:is>
      </x:c>
      <x:c r="L732" s="31" t="inlineStr">
        <x:is>
          <x:t xml:space="preserve">ДОК-6947</x:t>
        </x:is>
      </x:c>
      <x:c r="M732" s="31" t="inlineStr">
        <x:is>
          <x:t xml:space="preserve">Проведен</x:t>
        </x:is>
      </x:c>
    </x:row>
    <x:row r="733">
      <x:c r="A733" s="31" t="inlineStr">
        <x:is>
          <x:t xml:space="preserve">СКЛ-000732</x:t>
        </x:is>
      </x:c>
      <x:c r="B733" s="31" t="n">
        <x:v>46200</x:v>
      </x:c>
      <x:c r="C733" s="31" t="inlineStr">
        <x:is>
          <x:t xml:space="preserve">Списание</x:t>
        </x:is>
      </x:c>
      <x:c r="D733" s="31" t="inlineStr">
        <x:is>
          <x:t xml:space="preserve">МАТ-0042</x:t>
        </x:is>
      </x:c>
      <x:c r="E733" s="31" t="inlineStr">
        <x:is>
          <x:t xml:space="preserve">модуль аналогового входа 4 канала / исп.3</x:t>
        </x:is>
      </x:c>
      <x:c r="F733" s="31" t="n">
        <x:v>-7</x:v>
      </x:c>
      <x:c r="G733" s="31" t="inlineStr">
        <x:is>
          <x:t xml:space="preserve">шт</x:t>
        </x:is>
      </x:c>
      <x:c r="H733" s="31" t="n"/>
      <x:c r="I733" s="31" t="n"/>
      <x:c r="J733" s="31" t="inlineStr">
        <x:is>
          <x:t xml:space="preserve">Основной склад</x:t>
        </x:is>
      </x:c>
      <x:c r="K733" s="31" t="inlineStr">
        <x:is>
          <x:t xml:space="preserve">СОТР-035</x:t>
        </x:is>
      </x:c>
      <x:c r="L733" s="31" t="inlineStr">
        <x:is>
          <x:t xml:space="preserve">ДОК-5171</x:t>
        </x:is>
      </x:c>
      <x:c r="M733" s="31" t="inlineStr">
        <x:is>
          <x:t xml:space="preserve">Проведен</x:t>
        </x:is>
      </x:c>
    </x:row>
    <x:row r="734">
      <x:c r="A734" s="31" t="inlineStr">
        <x:is>
          <x:t xml:space="preserve">СКЛ-000733</x:t>
        </x:is>
      </x:c>
      <x:c r="B734" s="31" t="n">
        <x:v>46038</x:v>
      </x:c>
      <x:c r="C734" s="31" t="inlineStr">
        <x:is>
          <x:t xml:space="preserve">Резерв</x:t>
        </x:is>
      </x:c>
      <x:c r="D734" s="31" t="inlineStr">
        <x:is>
          <x:t xml:space="preserve">МАТ-0058</x:t>
        </x:is>
      </x:c>
      <x:c r="E734" s="31" t="inlineStr">
        <x:is>
          <x:t xml:space="preserve">Задвижка Ду100 / исп.3</x:t>
        </x:is>
      </x:c>
      <x:c r="F734" s="31" t="n">
        <x:v>-18</x:v>
      </x:c>
      <x:c r="G734" s="31" t="inlineStr">
        <x:is>
          <x:t xml:space="preserve">шт</x:t>
        </x:is>
      </x:c>
      <x:c r="H734" s="31" t="inlineStr">
        <x:is>
          <x:t xml:space="preserve">ЗК-1042</x:t>
        </x:is>
      </x:c>
      <x:c r="I734" s="31" t="n"/>
      <x:c r="J734" s="31" t="inlineStr">
        <x:is>
          <x:t xml:space="preserve">Брак/карантин</x:t>
        </x:is>
      </x:c>
      <x:c r="K734" s="31" t="inlineStr">
        <x:is>
          <x:t xml:space="preserve">СОТР-037</x:t>
        </x:is>
      </x:c>
      <x:c r="L734" s="31" t="inlineStr">
        <x:is>
          <x:t xml:space="preserve">ДОК-5901</x:t>
        </x:is>
      </x:c>
      <x:c r="M734" s="31" t="inlineStr">
        <x:is>
          <x:t xml:space="preserve">Черновик</x:t>
        </x:is>
      </x:c>
    </x:row>
    <x:row r="735">
      <x:c r="A735" s="31" t="inlineStr">
        <x:is>
          <x:t xml:space="preserve">СКЛ-000734</x:t>
        </x:is>
      </x:c>
      <x:c r="B735" s="31" t="n">
        <x:v>46130</x:v>
      </x:c>
      <x:c r="C735" s="31" t="inlineStr">
        <x:is>
          <x:t xml:space="preserve">Резерв</x:t>
        </x:is>
      </x:c>
      <x:c r="D735" s="31" t="inlineStr">
        <x:is>
          <x:t xml:space="preserve">МАТ-0063</x:t>
        </x:is>
      </x:c>
      <x:c r="E735" s="31" t="inlineStr">
        <x:is>
          <x:t xml:space="preserve">Кабель ВВГнг 3×2.5</x:t>
        </x:is>
      </x:c>
      <x:c r="F735" s="31" t="n">
        <x:v>-4</x:v>
      </x:c>
      <x:c r="G735" s="31" t="inlineStr">
        <x:is>
          <x:t xml:space="preserve">шт</x:t>
        </x:is>
      </x:c>
      <x:c r="H735" s="31" t="inlineStr">
        <x:is>
          <x:t xml:space="preserve">ЗК-1010</x:t>
        </x:is>
      </x:c>
      <x:c r="I735" s="31" t="n"/>
      <x:c r="J735" s="31" t="inlineStr">
        <x:is>
          <x:t xml:space="preserve">Основной склад</x:t>
        </x:is>
      </x:c>
      <x:c r="K735" s="31" t="inlineStr">
        <x:is>
          <x:t xml:space="preserve">СОТР-039</x:t>
        </x:is>
      </x:c>
      <x:c r="L735" s="31" t="inlineStr">
        <x:is>
          <x:t xml:space="preserve">ДОК-1592</x:t>
        </x:is>
      </x:c>
      <x:c r="M735" s="31" t="inlineStr">
        <x:is>
          <x:t xml:space="preserve">Проведен</x:t>
        </x:is>
      </x:c>
    </x:row>
    <x:row r="736">
      <x:c r="A736" s="31" t="inlineStr">
        <x:is>
          <x:t xml:space="preserve">СКЛ-000735</x:t>
        </x:is>
      </x:c>
      <x:c r="B736" s="31" t="n">
        <x:v>46145</x:v>
      </x:c>
      <x:c r="C736" s="31" t="inlineStr">
        <x:is>
          <x:t xml:space="preserve">Резерв</x:t>
        </x:is>
      </x:c>
      <x:c r="D736" s="31" t="inlineStr">
        <x:is>
          <x:t xml:space="preserve">МАТ-0071</x:t>
        </x:is>
      </x:c>
      <x:c r="E736" s="31" t="inlineStr">
        <x:is>
          <x:t xml:space="preserve">Эмаль полиуретановая / исп.3</x:t>
        </x:is>
      </x:c>
      <x:c r="F736" s="31" t="n">
        <x:v>-44.74</x:v>
      </x:c>
      <x:c r="G736" s="31" t="inlineStr">
        <x:is>
          <x:t xml:space="preserve">кг</x:t>
        </x:is>
      </x:c>
      <x:c r="H736" s="31" t="inlineStr">
        <x:is>
          <x:t xml:space="preserve">ЗК-1038</x:t>
        </x:is>
      </x:c>
      <x:c r="I736" s="31" t="n"/>
      <x:c r="J736" s="31" t="inlineStr">
        <x:is>
          <x:t xml:space="preserve">Основной склад</x:t>
        </x:is>
      </x:c>
      <x:c r="K736" s="31" t="inlineStr">
        <x:is>
          <x:t xml:space="preserve">СОТР-035</x:t>
        </x:is>
      </x:c>
      <x:c r="L736" s="31" t="inlineStr">
        <x:is>
          <x:t xml:space="preserve">ДОК-4461</x:t>
        </x:is>
      </x:c>
      <x:c r="M736" s="31" t="inlineStr">
        <x:is>
          <x:t xml:space="preserve">Проведен</x:t>
        </x:is>
      </x:c>
    </x:row>
    <x:row r="737">
      <x:c r="A737" s="31" t="inlineStr">
        <x:is>
          <x:t xml:space="preserve">СКЛ-000736</x:t>
        </x:is>
      </x:c>
      <x:c r="B737" s="31" t="n">
        <x:v>46170</x:v>
      </x:c>
      <x:c r="C737" s="31" t="inlineStr">
        <x:is>
          <x:t xml:space="preserve">Выдача в производство</x:t>
        </x:is>
      </x:c>
      <x:c r="D737" s="31" t="inlineStr">
        <x:is>
          <x:t xml:space="preserve">МАТ-0079</x:t>
        </x:is>
      </x:c>
      <x:c r="E737" s="31" t="inlineStr">
        <x:is>
          <x:t xml:space="preserve">Гайка М12 / исп.2</x:t>
        </x:is>
      </x:c>
      <x:c r="F737" s="31" t="n">
        <x:v>-1</x:v>
      </x:c>
      <x:c r="G737" s="31" t="inlineStr">
        <x:is>
          <x:t xml:space="preserve">шт</x:t>
        </x:is>
      </x:c>
      <x:c r="H737" s="31" t="inlineStr">
        <x:is>
          <x:t xml:space="preserve">ЗК-1124</x:t>
        </x:is>
      </x:c>
      <x:c r="I737" s="31" t="inlineStr">
        <x:is>
          <x:t xml:space="preserve">ПЗ-00053</x:t>
        </x:is>
      </x:c>
      <x:c r="J737" s="31" t="inlineStr">
        <x:is>
          <x:t xml:space="preserve">Основной склад</x:t>
        </x:is>
      </x:c>
      <x:c r="K737" s="31" t="inlineStr">
        <x:is>
          <x:t xml:space="preserve">СОТР-038</x:t>
        </x:is>
      </x:c>
      <x:c r="L737" s="31" t="inlineStr">
        <x:is>
          <x:t xml:space="preserve">ДОК-6799</x:t>
        </x:is>
      </x:c>
      <x:c r="M737" s="31" t="inlineStr">
        <x:is>
          <x:t xml:space="preserve">Проведен</x:t>
        </x:is>
      </x:c>
    </x:row>
    <x:row r="738">
      <x:c r="A738" s="31" t="inlineStr">
        <x:is>
          <x:t xml:space="preserve">СКЛ-000737</x:t>
        </x:is>
      </x:c>
      <x:c r="B738" s="31" t="n">
        <x:v>46128</x:v>
      </x:c>
      <x:c r="C738" s="31" t="inlineStr">
        <x:is>
          <x:t xml:space="preserve">Приход</x:t>
        </x:is>
      </x:c>
      <x:c r="D738" s="31" t="inlineStr">
        <x:is>
          <x:t xml:space="preserve">МАТ-0014</x:t>
        </x:is>
      </x:c>
      <x:c r="E738" s="31" t="inlineStr">
        <x:is>
          <x:t xml:space="preserve">Уголок 50×5 / исп.2</x:t>
        </x:is>
      </x:c>
      <x:c r="F738" s="31" t="n">
        <x:v>2</x:v>
      </x:c>
      <x:c r="G738" s="31" t="inlineStr">
        <x:is>
          <x:t xml:space="preserve">шт</x:t>
        </x:is>
      </x:c>
      <x:c r="H738" s="31" t="n"/>
      <x:c r="I738" s="31" t="n"/>
      <x:c r="J738" s="31" t="inlineStr">
        <x:is>
          <x:t xml:space="preserve">Основной склад</x:t>
        </x:is>
      </x:c>
      <x:c r="K738" s="31" t="inlineStr">
        <x:is>
          <x:t xml:space="preserve">СОТР-036</x:t>
        </x:is>
      </x:c>
      <x:c r="L738" s="31" t="inlineStr">
        <x:is>
          <x:t xml:space="preserve">ДОК-7697</x:t>
        </x:is>
      </x:c>
      <x:c r="M738" s="31" t="inlineStr">
        <x:is>
          <x:t xml:space="preserve">Проведен</x:t>
        </x:is>
      </x:c>
    </x:row>
    <x:row r="739">
      <x:c r="A739" s="31" t="inlineStr">
        <x:is>
          <x:t xml:space="preserve">СКЛ-000738</x:t>
        </x:is>
      </x:c>
      <x:c r="B739" s="31" t="n">
        <x:v>46122</x:v>
      </x:c>
      <x:c r="C739" s="31" t="inlineStr">
        <x:is>
          <x:t xml:space="preserve">Резерв</x:t>
        </x:is>
      </x:c>
      <x:c r="D739" s="31" t="inlineStr">
        <x:is>
          <x:t xml:space="preserve">МАТ-0062</x:t>
        </x:is>
      </x:c>
      <x:c r="E739" s="31" t="inlineStr">
        <x:is>
          <x:t xml:space="preserve">Кабель КВВГ 4×1.5</x:t>
        </x:is>
      </x:c>
      <x:c r="F739" s="31" t="n">
        <x:v>-44.85</x:v>
      </x:c>
      <x:c r="G739" s="31" t="inlineStr">
        <x:is>
          <x:t xml:space="preserve">м</x:t>
        </x:is>
      </x:c>
      <x:c r="H739" s="31" t="inlineStr">
        <x:is>
          <x:t xml:space="preserve">ЗК-1095</x:t>
        </x:is>
      </x:c>
      <x:c r="I739" s="31" t="n"/>
      <x:c r="J739" s="31" t="inlineStr">
        <x:is>
          <x:t xml:space="preserve">Основной склад</x:t>
        </x:is>
      </x:c>
      <x:c r="K739" s="31" t="inlineStr">
        <x:is>
          <x:t xml:space="preserve">СОТР-037</x:t>
        </x:is>
      </x:c>
      <x:c r="L739" s="31" t="inlineStr">
        <x:is>
          <x:t xml:space="preserve">ДОК-1782</x:t>
        </x:is>
      </x:c>
      <x:c r="M739" s="31" t="inlineStr">
        <x:is>
          <x:t xml:space="preserve">Проведен</x:t>
        </x:is>
      </x:c>
    </x:row>
    <x:row r="740">
      <x:c r="A740" s="31" t="inlineStr">
        <x:is>
          <x:t xml:space="preserve">СКЛ-000739</x:t>
        </x:is>
      </x:c>
      <x:c r="B740" s="31" t="n">
        <x:v>46197</x:v>
      </x:c>
      <x:c r="C740" s="31" t="inlineStr">
        <x:is>
          <x:t xml:space="preserve">Приход</x:t>
        </x:is>
      </x:c>
      <x:c r="D740" s="31" t="inlineStr">
        <x:is>
          <x:t xml:space="preserve">МАТ-0046</x:t>
        </x:is>
      </x:c>
      <x:c r="E740" s="31" t="inlineStr">
        <x:is>
          <x:t xml:space="preserve">Контактор 25А</x:t>
        </x:is>
      </x:c>
      <x:c r="F740" s="31" t="n">
        <x:v>3</x:v>
      </x:c>
      <x:c r="G740" s="31" t="inlineStr">
        <x:is>
          <x:t xml:space="preserve">шт</x:t>
        </x:is>
      </x:c>
      <x:c r="H740" s="31" t="n"/>
      <x:c r="I740" s="31" t="n"/>
      <x:c r="J740" s="31" t="inlineStr">
        <x:is>
          <x:t xml:space="preserve">Цеховой склад</x:t>
        </x:is>
      </x:c>
      <x:c r="K740" s="31" t="inlineStr">
        <x:is>
          <x:t xml:space="preserve">СОТР-036</x:t>
        </x:is>
      </x:c>
      <x:c r="L740" s="31" t="inlineStr">
        <x:is>
          <x:t xml:space="preserve">ДОК-5060</x:t>
        </x:is>
      </x:c>
      <x:c r="M740" s="31" t="inlineStr">
        <x:is>
          <x:t xml:space="preserve">Проведен</x:t>
        </x:is>
      </x:c>
    </x:row>
    <x:row r="741">
      <x:c r="A741" s="31" t="inlineStr">
        <x:is>
          <x:t xml:space="preserve">СКЛ-000740</x:t>
        </x:is>
      </x:c>
      <x:c r="B741" s="31" t="n">
        <x:v>46034</x:v>
      </x:c>
      <x:c r="C741" s="31" t="inlineStr">
        <x:is>
          <x:t xml:space="preserve">Выдача в производство</x:t>
        </x:is>
      </x:c>
      <x:c r="D741" s="31" t="inlineStr">
        <x:is>
          <x:t xml:space="preserve">МАТ-0074</x:t>
        </x:is>
      </x:c>
      <x:c r="E741" s="31" t="inlineStr">
        <x:is>
          <x:t xml:space="preserve">Абразив для пескоструя</x:t>
        </x:is>
      </x:c>
      <x:c r="F741" s="31" t="n">
        <x:v>-15</x:v>
      </x:c>
      <x:c r="G741" s="31" t="inlineStr">
        <x:is>
          <x:t xml:space="preserve">шт</x:t>
        </x:is>
      </x:c>
      <x:c r="H741" s="31" t="inlineStr">
        <x:is>
          <x:t xml:space="preserve">ЗК-1035</x:t>
        </x:is>
      </x:c>
      <x:c r="I741" s="31" t="inlineStr">
        <x:is>
          <x:t xml:space="preserve">ПЗ-00183</x:t>
        </x:is>
      </x:c>
      <x:c r="J741" s="31" t="inlineStr">
        <x:is>
          <x:t xml:space="preserve">Цеховой склад</x:t>
        </x:is>
      </x:c>
      <x:c r="K741" s="31" t="inlineStr">
        <x:is>
          <x:t xml:space="preserve">СОТР-034</x:t>
        </x:is>
      </x:c>
      <x:c r="L741" s="31" t="inlineStr">
        <x:is>
          <x:t xml:space="preserve">ДОК-9431</x:t>
        </x:is>
      </x:c>
      <x:c r="M741" s="31" t="inlineStr">
        <x:is>
          <x:t xml:space="preserve">Проведен</x:t>
        </x:is>
      </x:c>
    </x:row>
    <x:row r="742">
      <x:c r="A742" s="31" t="inlineStr">
        <x:is>
          <x:t xml:space="preserve">СКЛ-000741</x:t>
        </x:is>
      </x:c>
      <x:c r="B742" s="31" t="n">
        <x:v>46116</x:v>
      </x:c>
      <x:c r="C742" s="31" t="inlineStr">
        <x:is>
          <x:t xml:space="preserve">Приход</x:t>
        </x:is>
      </x:c>
      <x:c r="D742" s="31" t="inlineStr">
        <x:is>
          <x:t xml:space="preserve">МАТ-0002</x:t>
        </x:is>
      </x:c>
      <x:c r="E742" s="31" t="inlineStr">
        <x:is>
          <x:t xml:space="preserve">Лист стальной 09Г2С 12 мм</x:t>
        </x:is>
      </x:c>
      <x:c r="F742" s="31" t="n">
        <x:v>28.2</x:v>
      </x:c>
      <x:c r="G742" s="31" t="inlineStr">
        <x:is>
          <x:t xml:space="preserve">кг</x:t>
        </x:is>
      </x:c>
      <x:c r="H742" s="31" t="n"/>
      <x:c r="I742" s="31" t="n"/>
      <x:c r="J742" s="31" t="inlineStr">
        <x:is>
          <x:t xml:space="preserve">Цеховой склад</x:t>
        </x:is>
      </x:c>
      <x:c r="K742" s="31" t="inlineStr">
        <x:is>
          <x:t xml:space="preserve">СОТР-033</x:t>
        </x:is>
      </x:c>
      <x:c r="L742" s="31" t="inlineStr">
        <x:is>
          <x:t xml:space="preserve">ДОК-5110</x:t>
        </x:is>
      </x:c>
      <x:c r="M742" s="31" t="inlineStr">
        <x:is>
          <x:t xml:space="preserve">Проведен</x:t>
        </x:is>
      </x:c>
    </x:row>
    <x:row r="743">
      <x:c r="A743" s="31" t="inlineStr">
        <x:is>
          <x:t xml:space="preserve">СКЛ-000742</x:t>
        </x:is>
      </x:c>
      <x:c r="B743" s="31" t="n">
        <x:v>46116</x:v>
      </x:c>
      <x:c r="C743" s="31" t="inlineStr">
        <x:is>
          <x:t xml:space="preserve">Возврат</x:t>
        </x:is>
      </x:c>
      <x:c r="D743" s="31" t="inlineStr">
        <x:is>
          <x:t xml:space="preserve">МАТ-0087</x:t>
        </x:is>
      </x:c>
      <x:c r="E743" s="31" t="inlineStr">
        <x:is>
          <x:t xml:space="preserve">Ящик фанерный</x:t>
        </x:is>
      </x:c>
      <x:c r="F743" s="31" t="n">
        <x:v>11</x:v>
      </x:c>
      <x:c r="G743" s="31" t="inlineStr">
        <x:is>
          <x:t xml:space="preserve">шт</x:t>
        </x:is>
      </x:c>
      <x:c r="H743" s="31" t="n"/>
      <x:c r="I743" s="31" t="n"/>
      <x:c r="J743" s="31" t="inlineStr">
        <x:is>
          <x:t xml:space="preserve">Основной склад</x:t>
        </x:is>
      </x:c>
      <x:c r="K743" s="31" t="inlineStr">
        <x:is>
          <x:t xml:space="preserve">СОТР-035</x:t>
        </x:is>
      </x:c>
      <x:c r="L743" s="31" t="inlineStr">
        <x:is>
          <x:t xml:space="preserve">ДОК-4041</x:t>
        </x:is>
      </x:c>
      <x:c r="M743" s="31" t="inlineStr">
        <x:is>
          <x:t xml:space="preserve">Черновик</x:t>
        </x:is>
      </x:c>
    </x:row>
    <x:row r="744">
      <x:c r="A744" s="31" t="inlineStr">
        <x:is>
          <x:t xml:space="preserve">СКЛ-000743</x:t>
        </x:is>
      </x:c>
      <x:c r="B744" s="31" t="n">
        <x:v>46135</x:v>
      </x:c>
      <x:c r="C744" s="31" t="inlineStr">
        <x:is>
          <x:t xml:space="preserve">Возврат</x:t>
        </x:is>
      </x:c>
      <x:c r="D744" s="31" t="inlineStr">
        <x:is>
          <x:t xml:space="preserve">МАТ-0087</x:t>
        </x:is>
      </x:c>
      <x:c r="E744" s="31" t="inlineStr">
        <x:is>
          <x:t xml:space="preserve">Ящик фанерный</x:t>
        </x:is>
      </x:c>
      <x:c r="F744" s="31" t="n">
        <x:v>18</x:v>
      </x:c>
      <x:c r="G744" s="31" t="inlineStr">
        <x:is>
          <x:t xml:space="preserve">шт</x:t>
        </x:is>
      </x:c>
      <x:c r="H744" s="31" t="n"/>
      <x:c r="I744" s="31" t="n"/>
      <x:c r="J744" s="31" t="inlineStr">
        <x:is>
          <x:t xml:space="preserve">Основной склад</x:t>
        </x:is>
      </x:c>
      <x:c r="K744" s="31" t="inlineStr">
        <x:is>
          <x:t xml:space="preserve">СОТР-033</x:t>
        </x:is>
      </x:c>
      <x:c r="L744" s="31" t="inlineStr">
        <x:is>
          <x:t xml:space="preserve">ДОК-9793</x:t>
        </x:is>
      </x:c>
      <x:c r="M744" s="31" t="inlineStr">
        <x:is>
          <x:t xml:space="preserve">Проведен</x:t>
        </x:is>
      </x:c>
    </x:row>
    <x:row r="745">
      <x:c r="A745" s="31" t="inlineStr">
        <x:is>
          <x:t xml:space="preserve">СКЛ-000744</x:t>
        </x:is>
      </x:c>
      <x:c r="B745" s="31" t="n">
        <x:v>46166</x:v>
      </x:c>
      <x:c r="C745" s="31" t="inlineStr">
        <x:is>
          <x:t xml:space="preserve">Возврат</x:t>
        </x:is>
      </x:c>
      <x:c r="D745" s="31" t="inlineStr">
        <x:is>
          <x:t xml:space="preserve">МАТ-0016</x:t>
        </x:is>
      </x:c>
      <x:c r="E745" s="31" t="inlineStr">
        <x:is>
          <x:t xml:space="preserve">Насос центробежный 15 кВт / исп.2</x:t>
        </x:is>
      </x:c>
      <x:c r="F745" s="31" t="n">
        <x:v>19</x:v>
      </x:c>
      <x:c r="G745" s="31" t="inlineStr">
        <x:is>
          <x:t xml:space="preserve">шт</x:t>
        </x:is>
      </x:c>
      <x:c r="H745" s="31" t="n"/>
      <x:c r="I745" s="31" t="n"/>
      <x:c r="J745" s="31" t="inlineStr">
        <x:is>
          <x:t xml:space="preserve">Основной склад</x:t>
        </x:is>
      </x:c>
      <x:c r="K745" s="31" t="inlineStr">
        <x:is>
          <x:t xml:space="preserve">СОТР-037</x:t>
        </x:is>
      </x:c>
      <x:c r="L745" s="31" t="inlineStr">
        <x:is>
          <x:t xml:space="preserve">ДОК-4042</x:t>
        </x:is>
      </x:c>
      <x:c r="M745" s="31" t="inlineStr">
        <x:is>
          <x:t xml:space="preserve">Проведен</x:t>
        </x:is>
      </x:c>
    </x:row>
    <x:row r="746">
      <x:c r="A746" s="31" t="inlineStr">
        <x:is>
          <x:t xml:space="preserve">СКЛ-000745</x:t>
        </x:is>
      </x:c>
      <x:c r="B746" s="31" t="n">
        <x:v>46117</x:v>
      </x:c>
      <x:c r="C746" s="31" t="inlineStr">
        <x:is>
          <x:t xml:space="preserve">Возврат</x:t>
        </x:is>
      </x:c>
      <x:c r="D746" s="31" t="inlineStr">
        <x:is>
          <x:t xml:space="preserve">МАТ-0027</x:t>
        </x:is>
      </x:c>
      <x:c r="E746" s="31" t="inlineStr">
        <x:is>
          <x:t xml:space="preserve">Двигатель 22 кВт</x:t>
        </x:is>
      </x:c>
      <x:c r="F746" s="31" t="n">
        <x:v>2</x:v>
      </x:c>
      <x:c r="G746" s="31" t="inlineStr">
        <x:is>
          <x:t xml:space="preserve">шт</x:t>
        </x:is>
      </x:c>
      <x:c r="H746" s="31" t="n"/>
      <x:c r="I746" s="31" t="n"/>
      <x:c r="J746" s="31" t="inlineStr">
        <x:is>
          <x:t xml:space="preserve">Основной склад</x:t>
        </x:is>
      </x:c>
      <x:c r="K746" s="31" t="inlineStr">
        <x:is>
          <x:t xml:space="preserve">СОТР-038</x:t>
        </x:is>
      </x:c>
      <x:c r="L746" s="31" t="inlineStr">
        <x:is>
          <x:t xml:space="preserve">ДОК-9011</x:t>
        </x:is>
      </x:c>
      <x:c r="M746" s="31" t="inlineStr">
        <x:is>
          <x:t xml:space="preserve">Проведен</x:t>
        </x:is>
      </x:c>
    </x:row>
    <x:row r="747">
      <x:c r="A747" s="31" t="inlineStr">
        <x:is>
          <x:t xml:space="preserve">СКЛ-000746</x:t>
        </x:is>
      </x:c>
      <x:c r="B747" s="31" t="n">
        <x:v>46089</x:v>
      </x:c>
      <x:c r="C747" s="31" t="inlineStr">
        <x:is>
          <x:t xml:space="preserve">Выдача в производство</x:t>
        </x:is>
      </x:c>
      <x:c r="D747" s="31" t="inlineStr">
        <x:is>
          <x:t xml:space="preserve">МАТ-0002</x:t>
        </x:is>
      </x:c>
      <x:c r="E747" s="31" t="inlineStr">
        <x:is>
          <x:t xml:space="preserve">Лист стальной 09Г2С 12 мм</x:t>
        </x:is>
      </x:c>
      <x:c r="F747" s="31" t="n">
        <x:v>-65.14</x:v>
      </x:c>
      <x:c r="G747" s="31" t="inlineStr">
        <x:is>
          <x:t xml:space="preserve">кг</x:t>
        </x:is>
      </x:c>
      <x:c r="H747" s="31" t="inlineStr">
        <x:is>
          <x:t xml:space="preserve">ЗК-1106</x:t>
        </x:is>
      </x:c>
      <x:c r="I747" s="31" t="inlineStr">
        <x:is>
          <x:t xml:space="preserve">ПЗ-00116</x:t>
        </x:is>
      </x:c>
      <x:c r="J747" s="31" t="inlineStr">
        <x:is>
          <x:t xml:space="preserve">Основной склад</x:t>
        </x:is>
      </x:c>
      <x:c r="K747" s="31" t="inlineStr">
        <x:is>
          <x:t xml:space="preserve">СОТР-036</x:t>
        </x:is>
      </x:c>
      <x:c r="L747" s="31" t="inlineStr">
        <x:is>
          <x:t xml:space="preserve">ДОК-1304</x:t>
        </x:is>
      </x:c>
      <x:c r="M747" s="31" t="inlineStr">
        <x:is>
          <x:t xml:space="preserve">Проведен</x:t>
        </x:is>
      </x:c>
    </x:row>
    <x:row r="748">
      <x:c r="A748" s="31" t="inlineStr">
        <x:is>
          <x:t xml:space="preserve">СКЛ-000747</x:t>
        </x:is>
      </x:c>
      <x:c r="B748" s="31" t="n">
        <x:v>46067</x:v>
      </x:c>
      <x:c r="C748" s="31" t="inlineStr">
        <x:is>
          <x:t xml:space="preserve">Выдача в производство</x:t>
        </x:is>
      </x:c>
      <x:c r="D748" s="31" t="inlineStr">
        <x:is>
          <x:t xml:space="preserve">МАТ-0056</x:t>
        </x:is>
      </x:c>
      <x:c r="E748" s="31" t="inlineStr">
        <x:is>
          <x:t xml:space="preserve">Задвижка Ду100</x:t>
        </x:is>
      </x:c>
      <x:c r="F748" s="31" t="n">
        <x:v>-19</x:v>
      </x:c>
      <x:c r="G748" s="31" t="inlineStr">
        <x:is>
          <x:t xml:space="preserve">шт</x:t>
        </x:is>
      </x:c>
      <x:c r="H748" s="31" t="inlineStr">
        <x:is>
          <x:t xml:space="preserve">ЗК-1095</x:t>
        </x:is>
      </x:c>
      <x:c r="I748" s="31" t="inlineStr">
        <x:is>
          <x:t xml:space="preserve">ПЗ-00206</x:t>
        </x:is>
      </x:c>
      <x:c r="J748" s="31" t="inlineStr">
        <x:is>
          <x:t xml:space="preserve">Основной склад</x:t>
        </x:is>
      </x:c>
      <x:c r="K748" s="31" t="inlineStr">
        <x:is>
          <x:t xml:space="preserve">СОТР-033</x:t>
        </x:is>
      </x:c>
      <x:c r="L748" s="31" t="inlineStr">
        <x:is>
          <x:t xml:space="preserve">ДОК-3015</x:t>
        </x:is>
      </x:c>
      <x:c r="M748" s="31" t="inlineStr">
        <x:is>
          <x:t xml:space="preserve">Проведен</x:t>
        </x:is>
      </x:c>
    </x:row>
    <x:row r="749">
      <x:c r="A749" s="31" t="inlineStr">
        <x:is>
          <x:t xml:space="preserve">СКЛ-000748</x:t>
        </x:is>
      </x:c>
      <x:c r="B749" s="31" t="n">
        <x:v>46056</x:v>
      </x:c>
      <x:c r="C749" s="31" t="inlineStr">
        <x:is>
          <x:t xml:space="preserve">Приход</x:t>
        </x:is>
      </x:c>
      <x:c r="D749" s="31" t="inlineStr">
        <x:is>
          <x:t xml:space="preserve">МАТ-0043</x:t>
        </x:is>
      </x:c>
      <x:c r="E749" s="31" t="inlineStr">
        <x:is>
          <x:t xml:space="preserve">Блок питания 24В</x:t>
        </x:is>
      </x:c>
      <x:c r="F749" s="31" t="n">
        <x:v>16</x:v>
      </x:c>
      <x:c r="G749" s="31" t="inlineStr">
        <x:is>
          <x:t xml:space="preserve">шт</x:t>
        </x:is>
      </x:c>
      <x:c r="H749" s="31" t="n"/>
      <x:c r="I749" s="31" t="n"/>
      <x:c r="J749" s="31" t="inlineStr">
        <x:is>
          <x:t xml:space="preserve">Основной склад</x:t>
        </x:is>
      </x:c>
      <x:c r="K749" s="31" t="inlineStr">
        <x:is>
          <x:t xml:space="preserve">СОТР-024</x:t>
        </x:is>
      </x:c>
      <x:c r="L749" s="31" t="inlineStr">
        <x:is>
          <x:t xml:space="preserve">ДОК-6799</x:t>
        </x:is>
      </x:c>
      <x:c r="M749" s="31" t="inlineStr">
        <x:is>
          <x:t xml:space="preserve">Требует проверки</x:t>
        </x:is>
      </x:c>
    </x:row>
    <x:row r="750">
      <x:c r="A750" s="31" t="inlineStr">
        <x:is>
          <x:t xml:space="preserve">СКЛ-000749</x:t>
        </x:is>
      </x:c>
      <x:c r="B750" s="31" t="n">
        <x:v>46120</x:v>
      </x:c>
      <x:c r="C750" s="31" t="inlineStr">
        <x:is>
          <x:t xml:space="preserve">Корректировка</x:t>
        </x:is>
      </x:c>
      <x:c r="D750" s="31" t="inlineStr">
        <x:is>
          <x:t xml:space="preserve">МАТ-0038</x:t>
        </x:is>
      </x:c>
      <x:c r="E750" s="31" t="inlineStr">
        <x:is>
          <x:t xml:space="preserve">ПЛК 24 дискр. входа / 16 дискр. выхода</x:t>
        </x:is>
      </x:c>
      <x:c r="F750" s="31" t="n">
        <x:v>10</x:v>
      </x:c>
      <x:c r="G750" s="31" t="inlineStr">
        <x:is>
          <x:t xml:space="preserve">шт</x:t>
        </x:is>
      </x:c>
      <x:c r="H750" s="31" t="n"/>
      <x:c r="I750" s="31" t="n"/>
      <x:c r="J750" s="31" t="inlineStr">
        <x:is>
          <x:t xml:space="preserve">Брак/карантин</x:t>
        </x:is>
      </x:c>
      <x:c r="K750" s="31" t="inlineStr">
        <x:is>
          <x:t xml:space="preserve">СОТР-036</x:t>
        </x:is>
      </x:c>
      <x:c r="L750" s="31" t="inlineStr">
        <x:is>
          <x:t xml:space="preserve">ДОК-1401</x:t>
        </x:is>
      </x:c>
      <x:c r="M750" s="31" t="inlineStr">
        <x:is>
          <x:t xml:space="preserve">Проведен</x:t>
        </x:is>
      </x:c>
    </x:row>
    <x:row r="751">
      <x:c r="A751" s="31" t="inlineStr">
        <x:is>
          <x:t xml:space="preserve">СКЛ-000750</x:t>
        </x:is>
      </x:c>
      <x:c r="B751" s="31" t="n">
        <x:v>46110</x:v>
      </x:c>
      <x:c r="C751" s="31" t="inlineStr">
        <x:is>
          <x:t xml:space="preserve">Списание</x:t>
        </x:is>
      </x:c>
      <x:c r="D751" s="31" t="inlineStr">
        <x:is>
          <x:t xml:space="preserve">МАТ-0076</x:t>
        </x:is>
      </x:c>
      <x:c r="E751" s="31" t="inlineStr">
        <x:is>
          <x:t xml:space="preserve">Болт М12 / исп.2</x:t>
        </x:is>
      </x:c>
      <x:c r="F751" s="31" t="n">
        <x:v>-4</x:v>
      </x:c>
      <x:c r="G751" s="31" t="inlineStr">
        <x:is>
          <x:t xml:space="preserve">шт</x:t>
        </x:is>
      </x:c>
      <x:c r="H751" s="31" t="n"/>
      <x:c r="I751" s="31" t="n"/>
      <x:c r="J751" s="31" t="inlineStr">
        <x:is>
          <x:t xml:space="preserve">Основной склад</x:t>
        </x:is>
      </x:c>
      <x:c r="K751" s="31" t="inlineStr">
        <x:is>
          <x:t xml:space="preserve">СОТР-039</x:t>
        </x:is>
      </x:c>
      <x:c r="L751" s="31" t="inlineStr">
        <x:is>
          <x:t xml:space="preserve">ДОК-8110</x:t>
        </x:is>
      </x:c>
      <x:c r="M751" s="31" t="inlineStr">
        <x:is>
          <x:t xml:space="preserve">Проведен</x:t>
        </x:is>
      </x:c>
    </x:row>
    <x:row r="752">
      <x:c r="A752" s="31" t="inlineStr">
        <x:is>
          <x:t xml:space="preserve">СКЛ-000751</x:t>
        </x:is>
      </x:c>
      <x:c r="B752" s="31" t="n">
        <x:v>46193</x:v>
      </x:c>
      <x:c r="C752" s="31" t="inlineStr">
        <x:is>
          <x:t xml:space="preserve">Выдача в производство</x:t>
        </x:is>
      </x:c>
      <x:c r="D752" s="31" t="inlineStr">
        <x:is>
          <x:t xml:space="preserve">МАТ-0071</x:t>
        </x:is>
      </x:c>
      <x:c r="E752" s="31" t="inlineStr">
        <x:is>
          <x:t xml:space="preserve">Эмаль полиуретановая / исп.3</x:t>
        </x:is>
      </x:c>
      <x:c r="F752" s="31" t="n">
        <x:v>-61.96</x:v>
      </x:c>
      <x:c r="G752" s="31" t="inlineStr">
        <x:is>
          <x:t xml:space="preserve">кг</x:t>
        </x:is>
      </x:c>
      <x:c r="H752" s="31" t="inlineStr">
        <x:is>
          <x:t xml:space="preserve">ЗК-1051</x:t>
        </x:is>
      </x:c>
      <x:c r="I752" s="31" t="inlineStr">
        <x:is>
          <x:t xml:space="preserve">ПЗ-00060</x:t>
        </x:is>
      </x:c>
      <x:c r="J752" s="31" t="inlineStr">
        <x:is>
          <x:t xml:space="preserve">Основной склад</x:t>
        </x:is>
      </x:c>
      <x:c r="K752" s="31" t="inlineStr">
        <x:is>
          <x:t xml:space="preserve">СОТР-037</x:t>
        </x:is>
      </x:c>
      <x:c r="L752" s="31" t="inlineStr">
        <x:is>
          <x:t xml:space="preserve">ДОК-7769</x:t>
        </x:is>
      </x:c>
      <x:c r="M752" s="31" t="inlineStr">
        <x:is>
          <x:t xml:space="preserve">Проведен</x:t>
        </x:is>
      </x:c>
    </x:row>
    <x:row r="753">
      <x:c r="A753" s="31" t="inlineStr">
        <x:is>
          <x:t xml:space="preserve">СКЛ-000752</x:t>
        </x:is>
      </x:c>
      <x:c r="B753" s="31" t="n">
        <x:v>46072</x:v>
      </x:c>
      <x:c r="C753" s="31" t="inlineStr">
        <x:is>
          <x:t xml:space="preserve">Резерв</x:t>
        </x:is>
      </x:c>
      <x:c r="D753" s="31" t="inlineStr">
        <x:is>
          <x:t xml:space="preserve">МАТ-0078</x:t>
        </x:is>
      </x:c>
      <x:c r="E753" s="31" t="inlineStr">
        <x:is>
          <x:t xml:space="preserve">Гайка М12</x:t>
        </x:is>
      </x:c>
      <x:c r="F753" s="31" t="n">
        <x:v>-20</x:v>
      </x:c>
      <x:c r="G753" s="31" t="inlineStr">
        <x:is>
          <x:t xml:space="preserve">шт</x:t>
        </x:is>
      </x:c>
      <x:c r="H753" s="31" t="inlineStr">
        <x:is>
          <x:t xml:space="preserve">ЗК-1095</x:t>
        </x:is>
      </x:c>
      <x:c r="I753" s="31" t="n"/>
      <x:c r="J753" s="31" t="inlineStr">
        <x:is>
          <x:t xml:space="preserve">Основной склад</x:t>
        </x:is>
      </x:c>
      <x:c r="K753" s="31" t="inlineStr">
        <x:is>
          <x:t xml:space="preserve">СОТР-034</x:t>
        </x:is>
      </x:c>
      <x:c r="L753" s="31" t="inlineStr">
        <x:is>
          <x:t xml:space="preserve">ДОК-7700</x:t>
        </x:is>
      </x:c>
      <x:c r="M753" s="31" t="inlineStr">
        <x:is>
          <x:t xml:space="preserve">Проведен</x:t>
        </x:is>
      </x:c>
    </x:row>
    <x:row r="754">
      <x:c r="A754" s="31" t="inlineStr">
        <x:is>
          <x:t xml:space="preserve">СКЛ-000753</x:t>
        </x:is>
      </x:c>
      <x:c r="B754" s="31" t="n">
        <x:v>46089</x:v>
      </x:c>
      <x:c r="C754" s="31" t="inlineStr">
        <x:is>
          <x:t xml:space="preserve">Приход</x:t>
        </x:is>
      </x:c>
      <x:c r="D754" s="31" t="inlineStr">
        <x:is>
          <x:t xml:space="preserve">МАТ-0061</x:t>
        </x:is>
      </x:c>
      <x:c r="E754" s="31" t="inlineStr">
        <x:is>
          <x:t xml:space="preserve">Фильтр сетчатый Ду50 / исп.3</x:t>
        </x:is>
      </x:c>
      <x:c r="F754" s="31" t="n">
        <x:v>9</x:v>
      </x:c>
      <x:c r="G754" s="31" t="inlineStr">
        <x:is>
          <x:t xml:space="preserve">шт</x:t>
        </x:is>
      </x:c>
      <x:c r="H754" s="31" t="n"/>
      <x:c r="I754" s="31" t="n"/>
      <x:c r="J754" s="31" t="inlineStr">
        <x:is>
          <x:t xml:space="preserve">Основной склад</x:t>
        </x:is>
      </x:c>
      <x:c r="K754" s="31" t="inlineStr">
        <x:is>
          <x:t xml:space="preserve">СОТР-024</x:t>
        </x:is>
      </x:c>
      <x:c r="L754" s="31" t="inlineStr">
        <x:is>
          <x:t xml:space="preserve">ДОК-4123</x:t>
        </x:is>
      </x:c>
      <x:c r="M754" s="31" t="inlineStr">
        <x:is>
          <x:t xml:space="preserve">Проведен</x:t>
        </x:is>
      </x:c>
    </x:row>
    <x:row r="755">
      <x:c r="A755" s="31" t="inlineStr">
        <x:is>
          <x:t xml:space="preserve">СКЛ-000754</x:t>
        </x:is>
      </x:c>
      <x:c r="B755" s="31" t="n">
        <x:v>46135</x:v>
      </x:c>
      <x:c r="C755" s="31" t="inlineStr">
        <x:is>
          <x:t xml:space="preserve">Выдача в производство</x:t>
        </x:is>
      </x:c>
      <x:c r="D755" s="31" t="inlineStr">
        <x:is>
          <x:t xml:space="preserve">МАТ-0082</x:t>
        </x:is>
      </x:c>
      <x:c r="E755" s="31" t="inlineStr">
        <x:is>
          <x:t xml:space="preserve">Шайба 12 / исп.2</x:t>
        </x:is>
      </x:c>
      <x:c r="F755" s="31" t="n">
        <x:v>-11</x:v>
      </x:c>
      <x:c r="G755" s="31" t="inlineStr">
        <x:is>
          <x:t xml:space="preserve">шт</x:t>
        </x:is>
      </x:c>
      <x:c r="H755" s="31" t="inlineStr">
        <x:is>
          <x:t xml:space="preserve">ЗК-1114</x:t>
        </x:is>
      </x:c>
      <x:c r="I755" s="31" t="inlineStr">
        <x:is>
          <x:t xml:space="preserve">ПЗ-00021</x:t>
        </x:is>
      </x:c>
      <x:c r="J755" s="31" t="inlineStr">
        <x:is>
          <x:t xml:space="preserve">Основной склад</x:t>
        </x:is>
      </x:c>
      <x:c r="K755" s="31" t="inlineStr">
        <x:is>
          <x:t xml:space="preserve">СОТР-037</x:t>
        </x:is>
      </x:c>
      <x:c r="L755" s="31" t="inlineStr">
        <x:is>
          <x:t xml:space="preserve">ДОК-2789</x:t>
        </x:is>
      </x:c>
      <x:c r="M755" s="31" t="inlineStr">
        <x:is>
          <x:t xml:space="preserve">Черновик</x:t>
        </x:is>
      </x:c>
    </x:row>
    <x:row r="756">
      <x:c r="A756" s="31" t="inlineStr">
        <x:is>
          <x:t xml:space="preserve">СКЛ-000755</x:t>
        </x:is>
      </x:c>
      <x:c r="B756" s="31" t="n">
        <x:v>46109</x:v>
      </x:c>
      <x:c r="C756" s="31" t="inlineStr">
        <x:is>
          <x:t xml:space="preserve">Приход</x:t>
        </x:is>
      </x:c>
      <x:c r="D756" s="31" t="inlineStr">
        <x:is>
          <x:t xml:space="preserve">МАТ-0034</x:t>
        </x:is>
      </x:c>
      <x:c r="E756" s="31" t="inlineStr">
        <x:is>
          <x:t xml:space="preserve">Манометр виброустойчивый</x:t>
        </x:is>
      </x:c>
      <x:c r="F756" s="31" t="n">
        <x:v>8</x:v>
      </x:c>
      <x:c r="G756" s="31" t="inlineStr">
        <x:is>
          <x:t xml:space="preserve">шт</x:t>
        </x:is>
      </x:c>
      <x:c r="H756" s="31" t="n"/>
      <x:c r="I756" s="31" t="n"/>
      <x:c r="J756" s="31" t="inlineStr">
        <x:is>
          <x:t xml:space="preserve">Основной склад</x:t>
        </x:is>
      </x:c>
      <x:c r="K756" s="31" t="inlineStr">
        <x:is>
          <x:t xml:space="preserve">СОТР-039</x:t>
        </x:is>
      </x:c>
      <x:c r="L756" s="31" t="inlineStr">
        <x:is>
          <x:t xml:space="preserve">ДОК-7507</x:t>
        </x:is>
      </x:c>
      <x:c r="M756" s="31" t="inlineStr">
        <x:is>
          <x:t xml:space="preserve">Проведен</x:t>
        </x:is>
      </x:c>
    </x:row>
    <x:row r="757">
      <x:c r="A757" s="31" t="inlineStr">
        <x:is>
          <x:t xml:space="preserve">СКЛ-000756</x:t>
        </x:is>
      </x:c>
      <x:c r="B757" s="31" t="n">
        <x:v>46160</x:v>
      </x:c>
      <x:c r="C757" s="31" t="inlineStr">
        <x:is>
          <x:t xml:space="preserve">Приход</x:t>
        </x:is>
      </x:c>
      <x:c r="D757" s="31" t="inlineStr">
        <x:is>
          <x:t xml:space="preserve">МАТ-0030</x:t>
        </x:is>
      </x:c>
      <x:c r="E757" s="31" t="inlineStr">
        <x:is>
          <x:t xml:space="preserve">Частотный преобразователь 22 кВт / исп.2</x:t>
        </x:is>
      </x:c>
      <x:c r="F757" s="31" t="n">
        <x:v>19</x:v>
      </x:c>
      <x:c r="G757" s="31" t="inlineStr">
        <x:is>
          <x:t xml:space="preserve">шт</x:t>
        </x:is>
      </x:c>
      <x:c r="H757" s="31" t="n"/>
      <x:c r="I757" s="31" t="n"/>
      <x:c r="J757" s="31" t="inlineStr">
        <x:is>
          <x:t xml:space="preserve">Основной склад</x:t>
        </x:is>
      </x:c>
      <x:c r="K757" s="31" t="inlineStr">
        <x:is>
          <x:t xml:space="preserve">СОТР-033</x:t>
        </x:is>
      </x:c>
      <x:c r="L757" s="31" t="inlineStr">
        <x:is>
          <x:t xml:space="preserve">ДОК-8068</x:t>
        </x:is>
      </x:c>
      <x:c r="M757" s="31" t="inlineStr">
        <x:is>
          <x:t xml:space="preserve">Проведен</x:t>
        </x:is>
      </x:c>
    </x:row>
    <x:row r="758">
      <x:c r="A758" s="31" t="inlineStr">
        <x:is>
          <x:t xml:space="preserve">СКЛ-000757</x:t>
        </x:is>
      </x:c>
      <x:c r="B758" s="31" t="n">
        <x:v>46180</x:v>
      </x:c>
      <x:c r="C758" s="31" t="inlineStr">
        <x:is>
          <x:t xml:space="preserve">Возврат</x:t>
        </x:is>
      </x:c>
      <x:c r="D758" s="31" t="inlineStr">
        <x:is>
          <x:t xml:space="preserve">МАТ-0046</x:t>
        </x:is>
      </x:c>
      <x:c r="E758" s="31" t="inlineStr">
        <x:is>
          <x:t xml:space="preserve">Контактор 25А</x:t>
        </x:is>
      </x:c>
      <x:c r="F758" s="31" t="n">
        <x:v>3</x:v>
      </x:c>
      <x:c r="G758" s="31" t="inlineStr">
        <x:is>
          <x:t xml:space="preserve">шт</x:t>
        </x:is>
      </x:c>
      <x:c r="H758" s="31" t="n"/>
      <x:c r="I758" s="31" t="n"/>
      <x:c r="J758" s="31" t="inlineStr">
        <x:is>
          <x:t xml:space="preserve">Основной склад</x:t>
        </x:is>
      </x:c>
      <x:c r="K758" s="31" t="inlineStr">
        <x:is>
          <x:t xml:space="preserve">СОТР-024</x:t>
        </x:is>
      </x:c>
      <x:c r="L758" s="31" t="inlineStr">
        <x:is>
          <x:t xml:space="preserve">ДОК-3623</x:t>
        </x:is>
      </x:c>
      <x:c r="M758" s="31" t="inlineStr">
        <x:is>
          <x:t xml:space="preserve">Проведен</x:t>
        </x:is>
      </x:c>
    </x:row>
    <x:row r="759">
      <x:c r="A759" s="31" t="inlineStr">
        <x:is>
          <x:t xml:space="preserve">СКЛ-000758</x:t>
        </x:is>
      </x:c>
      <x:c r="B759" s="31" t="n">
        <x:v>46092</x:v>
      </x:c>
      <x:c r="C759" s="31" t="inlineStr">
        <x:is>
          <x:t xml:space="preserve">Возврат</x:t>
        </x:is>
      </x:c>
      <x:c r="D759" s="31" t="inlineStr">
        <x:is>
          <x:t xml:space="preserve">МАТ-0024</x:t>
        </x:is>
      </x:c>
      <x:c r="E759" s="31" t="inlineStr">
        <x:is>
          <x:t xml:space="preserve">Рабочее колесо / исп.2</x:t>
        </x:is>
      </x:c>
      <x:c r="F759" s="31" t="n">
        <x:v>14</x:v>
      </x:c>
      <x:c r="G759" s="31" t="inlineStr">
        <x:is>
          <x:t xml:space="preserve">шт</x:t>
        </x:is>
      </x:c>
      <x:c r="H759" s="31" t="n"/>
      <x:c r="I759" s="31" t="n"/>
      <x:c r="J759" s="31" t="inlineStr">
        <x:is>
          <x:t xml:space="preserve">Основной склад</x:t>
        </x:is>
      </x:c>
      <x:c r="K759" s="31" t="inlineStr">
        <x:is>
          <x:t xml:space="preserve">СОТР-035</x:t>
        </x:is>
      </x:c>
      <x:c r="L759" s="31" t="inlineStr">
        <x:is>
          <x:t xml:space="preserve">ДОК-8577</x:t>
        </x:is>
      </x:c>
      <x:c r="M759" s="31" t="inlineStr">
        <x:is>
          <x:t xml:space="preserve">Проведен</x:t>
        </x:is>
      </x:c>
    </x:row>
    <x:row r="760">
      <x:c r="A760" s="31" t="inlineStr">
        <x:is>
          <x:t xml:space="preserve">СКЛ-000759</x:t>
        </x:is>
      </x:c>
      <x:c r="B760" s="31" t="n">
        <x:v>46165</x:v>
      </x:c>
      <x:c r="C760" s="31" t="inlineStr">
        <x:is>
          <x:t xml:space="preserve">Приход</x:t>
        </x:is>
      </x:c>
      <x:c r="D760" s="31" t="inlineStr">
        <x:is>
          <x:t xml:space="preserve">МАТ-0006</x:t>
        </x:is>
      </x:c>
      <x:c r="E760" s="31" t="inlineStr">
        <x:is>
          <x:t xml:space="preserve">Труба нержавеющая 38×3</x:t>
        </x:is>
      </x:c>
      <x:c r="F760" s="31" t="n">
        <x:v>3</x:v>
      </x:c>
      <x:c r="G760" s="31" t="inlineStr">
        <x:is>
          <x:t xml:space="preserve">шт</x:t>
        </x:is>
      </x:c>
      <x:c r="H760" s="31" t="n"/>
      <x:c r="I760" s="31" t="n"/>
      <x:c r="J760" s="31" t="inlineStr">
        <x:is>
          <x:t xml:space="preserve">Брак/карантин</x:t>
        </x:is>
      </x:c>
      <x:c r="K760" s="31" t="inlineStr">
        <x:is>
          <x:t xml:space="preserve">СОТР-035</x:t>
        </x:is>
      </x:c>
      <x:c r="L760" s="31" t="inlineStr">
        <x:is>
          <x:t xml:space="preserve">ДОК-5706</x:t>
        </x:is>
      </x:c>
      <x:c r="M760" s="31" t="inlineStr">
        <x:is>
          <x:t xml:space="preserve">Проведен</x:t>
        </x:is>
      </x:c>
    </x:row>
    <x:row r="761">
      <x:c r="A761" s="31" t="inlineStr">
        <x:is>
          <x:t xml:space="preserve">СКЛ-000760</x:t>
        </x:is>
      </x:c>
      <x:c r="B761" s="31" t="n">
        <x:v>46061</x:v>
      </x:c>
      <x:c r="C761" s="31" t="inlineStr">
        <x:is>
          <x:t xml:space="preserve">Возврат</x:t>
        </x:is>
      </x:c>
      <x:c r="D761" s="31" t="inlineStr">
        <x:is>
          <x:t xml:space="preserve">МАТ-0045</x:t>
        </x:is>
      </x:c>
      <x:c r="E761" s="31" t="inlineStr">
        <x:is>
          <x:t xml:space="preserve">Автоматический выключатель 16А</x:t>
        </x:is>
      </x:c>
      <x:c r="F761" s="31" t="n">
        <x:v>16</x:v>
      </x:c>
      <x:c r="G761" s="31" t="inlineStr">
        <x:is>
          <x:t xml:space="preserve">шт</x:t>
        </x:is>
      </x:c>
      <x:c r="H761" s="31" t="n"/>
      <x:c r="I761" s="31" t="n"/>
      <x:c r="J761" s="31" t="inlineStr">
        <x:is>
          <x:t xml:space="preserve">Цеховой склад</x:t>
        </x:is>
      </x:c>
      <x:c r="K761" s="31" t="inlineStr">
        <x:is>
          <x:t xml:space="preserve">СОТР-034</x:t>
        </x:is>
      </x:c>
      <x:c r="L761" s="31" t="inlineStr">
        <x:is>
          <x:t xml:space="preserve">ДОК-7783</x:t>
        </x:is>
      </x:c>
      <x:c r="M761" s="31" t="inlineStr">
        <x:is>
          <x:t xml:space="preserve">Проведен</x:t>
        </x:is>
      </x:c>
    </x:row>
    <x:row r="762">
      <x:c r="A762" s="31" t="inlineStr">
        <x:is>
          <x:t xml:space="preserve">СКЛ-000761</x:t>
        </x:is>
      </x:c>
      <x:c r="B762" s="31" t="n">
        <x:v>46074</x:v>
      </x:c>
      <x:c r="C762" s="31" t="inlineStr">
        <x:is>
          <x:t xml:space="preserve">Выдача в производство</x:t>
        </x:is>
      </x:c>
      <x:c r="D762" s="31" t="inlineStr">
        <x:is>
          <x:t xml:space="preserve">МАТ-0014</x:t>
        </x:is>
      </x:c>
      <x:c r="E762" s="31" t="inlineStr">
        <x:is>
          <x:t xml:space="preserve">Уголок 50×5 / исп.2</x:t>
        </x:is>
      </x:c>
      <x:c r="F762" s="31" t="n">
        <x:v>-13</x:v>
      </x:c>
      <x:c r="G762" s="31" t="inlineStr">
        <x:is>
          <x:t xml:space="preserve">шт</x:t>
        </x:is>
      </x:c>
      <x:c r="H762" s="31" t="inlineStr">
        <x:is>
          <x:t xml:space="preserve">ЗК-1056</x:t>
        </x:is>
      </x:c>
      <x:c r="I762" s="31" t="inlineStr">
        <x:is>
          <x:t xml:space="preserve">ПЗ-00237</x:t>
        </x:is>
      </x:c>
      <x:c r="J762" s="31" t="inlineStr">
        <x:is>
          <x:t xml:space="preserve">Основной склад</x:t>
        </x:is>
      </x:c>
      <x:c r="K762" s="31" t="inlineStr">
        <x:is>
          <x:t xml:space="preserve">СОТР-035</x:t>
        </x:is>
      </x:c>
      <x:c r="L762" s="31" t="inlineStr">
        <x:is>
          <x:t xml:space="preserve">ДОК-5183</x:t>
        </x:is>
      </x:c>
      <x:c r="M762" s="31" t="inlineStr">
        <x:is>
          <x:t xml:space="preserve">Проведен</x:t>
        </x:is>
      </x:c>
    </x:row>
    <x:row r="763">
      <x:c r="A763" s="31" t="inlineStr">
        <x:is>
          <x:t xml:space="preserve">СКЛ-000762</x:t>
        </x:is>
      </x:c>
      <x:c r="B763" s="31" t="n">
        <x:v>46119</x:v>
      </x:c>
      <x:c r="C763" s="31" t="inlineStr">
        <x:is>
          <x:t xml:space="preserve">Списание</x:t>
        </x:is>
      </x:c>
      <x:c r="D763" s="31" t="inlineStr">
        <x:is>
          <x:t xml:space="preserve">МАТ-0062</x:t>
        </x:is>
      </x:c>
      <x:c r="E763" s="31" t="inlineStr">
        <x:is>
          <x:t xml:space="preserve">Кабель КВВГ 4×1.5</x:t>
        </x:is>
      </x:c>
      <x:c r="F763" s="31" t="n">
        <x:v>-60.26</x:v>
      </x:c>
      <x:c r="G763" s="31" t="inlineStr">
        <x:is>
          <x:t xml:space="preserve">м</x:t>
        </x:is>
      </x:c>
      <x:c r="H763" s="31" t="n"/>
      <x:c r="I763" s="31" t="n"/>
      <x:c r="J763" s="31" t="inlineStr">
        <x:is>
          <x:t xml:space="preserve">Основной склад</x:t>
        </x:is>
      </x:c>
      <x:c r="K763" s="31" t="inlineStr">
        <x:is>
          <x:t xml:space="preserve">СОТР-036</x:t>
        </x:is>
      </x:c>
      <x:c r="L763" s="31" t="inlineStr">
        <x:is>
          <x:t xml:space="preserve">ДОК-6302</x:t>
        </x:is>
      </x:c>
      <x:c r="M763" s="31" t="inlineStr">
        <x:is>
          <x:t xml:space="preserve">Черновик</x:t>
        </x:is>
      </x:c>
    </x:row>
    <x:row r="764">
      <x:c r="A764" s="31" t="inlineStr">
        <x:is>
          <x:t xml:space="preserve">СКЛ-000763</x:t>
        </x:is>
      </x:c>
      <x:c r="B764" s="31" t="n">
        <x:v>46080</x:v>
      </x:c>
      <x:c r="C764" s="31" t="inlineStr">
        <x:is>
          <x:t xml:space="preserve">Возврат</x:t>
        </x:is>
      </x:c>
      <x:c r="D764" s="31" t="inlineStr">
        <x:is>
          <x:t xml:space="preserve">МАТ-0054</x:t>
        </x:is>
      </x:c>
      <x:c r="E764" s="31" t="inlineStr">
        <x:is>
          <x:t xml:space="preserve">Кран шаровой Ду80</x:t>
        </x:is>
      </x:c>
      <x:c r="F764" s="31" t="n">
        <x:v>15</x:v>
      </x:c>
      <x:c r="G764" s="31" t="inlineStr">
        <x:is>
          <x:t xml:space="preserve">шт</x:t>
        </x:is>
      </x:c>
      <x:c r="H764" s="31" t="n"/>
      <x:c r="I764" s="31" t="n"/>
      <x:c r="J764" s="31" t="inlineStr">
        <x:is>
          <x:t xml:space="preserve">Основной склад</x:t>
        </x:is>
      </x:c>
      <x:c r="K764" s="31" t="inlineStr">
        <x:is>
          <x:t xml:space="preserve">СОТР-033</x:t>
        </x:is>
      </x:c>
      <x:c r="L764" s="31" t="inlineStr">
        <x:is>
          <x:t xml:space="preserve">ДОК-7495</x:t>
        </x:is>
      </x:c>
      <x:c r="M764" s="31" t="inlineStr">
        <x:is>
          <x:t xml:space="preserve">Проведен</x:t>
        </x:is>
      </x:c>
    </x:row>
    <x:row r="765">
      <x:c r="A765" s="31" t="inlineStr">
        <x:is>
          <x:t xml:space="preserve">СКЛ-000764</x:t>
        </x:is>
      </x:c>
      <x:c r="B765" s="31" t="n">
        <x:v>46152</x:v>
      </x:c>
      <x:c r="C765" s="31" t="inlineStr">
        <x:is>
          <x:t xml:space="preserve">Выдача в производство</x:t>
        </x:is>
      </x:c>
      <x:c r="D765" s="31" t="inlineStr">
        <x:is>
          <x:t xml:space="preserve">МАТ-0042</x:t>
        </x:is>
      </x:c>
      <x:c r="E765" s="31" t="inlineStr">
        <x:is>
          <x:t xml:space="preserve">модуль аналогового входа 4 канала / исп.3</x:t>
        </x:is>
      </x:c>
      <x:c r="F765" s="31" t="n">
        <x:v>-8</x:v>
      </x:c>
      <x:c r="G765" s="31" t="inlineStr">
        <x:is>
          <x:t xml:space="preserve">шт</x:t>
        </x:is>
      </x:c>
      <x:c r="H765" s="31" t="inlineStr">
        <x:is>
          <x:t xml:space="preserve">ЗК-1083</x:t>
        </x:is>
      </x:c>
      <x:c r="I765" s="31" t="inlineStr">
        <x:is>
          <x:t xml:space="preserve">ПЗ-00207</x:t>
        </x:is>
      </x:c>
      <x:c r="J765" s="31" t="inlineStr">
        <x:is>
          <x:t xml:space="preserve">Основной склад</x:t>
        </x:is>
      </x:c>
      <x:c r="K765" s="31" t="inlineStr">
        <x:is>
          <x:t xml:space="preserve">СОТР-024</x:t>
        </x:is>
      </x:c>
      <x:c r="L765" s="31" t="inlineStr">
        <x:is>
          <x:t xml:space="preserve">ДОК-1226</x:t>
        </x:is>
      </x:c>
      <x:c r="M765" s="31" t="inlineStr">
        <x:is>
          <x:t xml:space="preserve">Проведен</x:t>
        </x:is>
      </x:c>
    </x:row>
    <x:row r="766">
      <x:c r="A766" s="31" t="inlineStr">
        <x:is>
          <x:t xml:space="preserve">СКЛ-000765</x:t>
        </x:is>
      </x:c>
      <x:c r="B766" s="31" t="n">
        <x:v>46171</x:v>
      </x:c>
      <x:c r="C766" s="31" t="inlineStr">
        <x:is>
          <x:t xml:space="preserve">Выдача в производство</x:t>
        </x:is>
      </x:c>
      <x:c r="D766" s="31" t="inlineStr">
        <x:is>
          <x:t xml:space="preserve">МАТ-0083</x:t>
        </x:is>
      </x:c>
      <x:c r="E766" s="31" t="inlineStr">
        <x:is>
          <x:t xml:space="preserve">Анкер М16</x:t>
        </x:is>
      </x:c>
      <x:c r="F766" s="31" t="n">
        <x:v>-8</x:v>
      </x:c>
      <x:c r="G766" s="31" t="inlineStr">
        <x:is>
          <x:t xml:space="preserve">шт</x:t>
        </x:is>
      </x:c>
      <x:c r="H766" s="31" t="inlineStr">
        <x:is>
          <x:t xml:space="preserve">ЗК-1122</x:t>
        </x:is>
      </x:c>
      <x:c r="I766" s="31" t="inlineStr">
        <x:is>
          <x:t xml:space="preserve">ПЗ-00138</x:t>
        </x:is>
      </x:c>
      <x:c r="J766" s="31" t="inlineStr">
        <x:is>
          <x:t xml:space="preserve">Основной склад</x:t>
        </x:is>
      </x:c>
      <x:c r="K766" s="31" t="inlineStr">
        <x:is>
          <x:t xml:space="preserve">СОТР-033</x:t>
        </x:is>
      </x:c>
      <x:c r="L766" s="31" t="inlineStr">
        <x:is>
          <x:t xml:space="preserve">ДОК-5885</x:t>
        </x:is>
      </x:c>
      <x:c r="M766" s="31" t="inlineStr">
        <x:is>
          <x:t xml:space="preserve">Проведен</x:t>
        </x:is>
      </x:c>
    </x:row>
    <x:row r="767">
      <x:c r="A767" s="31" t="inlineStr">
        <x:is>
          <x:t xml:space="preserve">СКЛ-000766</x:t>
        </x:is>
      </x:c>
      <x:c r="B767" s="31" t="n">
        <x:v>46126</x:v>
      </x:c>
      <x:c r="C767" s="31" t="inlineStr">
        <x:is>
          <x:t xml:space="preserve">Резерв</x:t>
        </x:is>
      </x:c>
      <x:c r="D767" s="31" t="inlineStr">
        <x:is>
          <x:t xml:space="preserve">МАТ-0047</x:t>
        </x:is>
      </x:c>
      <x:c r="E767" s="31" t="inlineStr">
        <x:is>
          <x:t xml:space="preserve">Контактор 25А / исп.2</x:t>
        </x:is>
      </x:c>
      <x:c r="F767" s="31" t="n">
        <x:v>-13</x:v>
      </x:c>
      <x:c r="G767" s="31" t="inlineStr">
        <x:is>
          <x:t xml:space="preserve">шт</x:t>
        </x:is>
      </x:c>
      <x:c r="H767" s="31" t="inlineStr">
        <x:is>
          <x:t xml:space="preserve">ЗК-1020</x:t>
        </x:is>
      </x:c>
      <x:c r="I767" s="31" t="n"/>
      <x:c r="J767" s="31" t="inlineStr">
        <x:is>
          <x:t xml:space="preserve">Брак/карантин</x:t>
        </x:is>
      </x:c>
      <x:c r="K767" s="31" t="inlineStr">
        <x:is>
          <x:t xml:space="preserve">СОТР-024</x:t>
        </x:is>
      </x:c>
      <x:c r="L767" s="31" t="inlineStr">
        <x:is>
          <x:t xml:space="preserve">ДОК-9504</x:t>
        </x:is>
      </x:c>
      <x:c r="M767" s="31" t="inlineStr">
        <x:is>
          <x:t xml:space="preserve">Проведен</x:t>
        </x:is>
      </x:c>
    </x:row>
    <x:row r="768">
      <x:c r="A768" s="31" t="inlineStr">
        <x:is>
          <x:t xml:space="preserve">СКЛ-000767</x:t>
        </x:is>
      </x:c>
      <x:c r="B768" s="31" t="n">
        <x:v>46098</x:v>
      </x:c>
      <x:c r="C768" s="31" t="inlineStr">
        <x:is>
          <x:t xml:space="preserve">Списание</x:t>
        </x:is>
      </x:c>
      <x:c r="D768" s="31" t="inlineStr">
        <x:is>
          <x:t xml:space="preserve">МАТ-0007</x:t>
        </x:is>
      </x:c>
      <x:c r="E768" s="31" t="inlineStr">
        <x:is>
          <x:t xml:space="preserve">Труба нержавеющая 38×3 / исп.2</x:t>
        </x:is>
      </x:c>
      <x:c r="F768" s="31" t="n">
        <x:v>-63.58</x:v>
      </x:c>
      <x:c r="G768" s="31" t="inlineStr">
        <x:is>
          <x:t xml:space="preserve">л</x:t>
        </x:is>
      </x:c>
      <x:c r="H768" s="31" t="n"/>
      <x:c r="I768" s="31" t="n"/>
      <x:c r="J768" s="31" t="inlineStr">
        <x:is>
          <x:t xml:space="preserve">Цеховой склад</x:t>
        </x:is>
      </x:c>
      <x:c r="K768" s="31" t="inlineStr">
        <x:is>
          <x:t xml:space="preserve">СОТР-024</x:t>
        </x:is>
      </x:c>
      <x:c r="L768" s="31" t="inlineStr">
        <x:is>
          <x:t xml:space="preserve">ДОК-3127</x:t>
        </x:is>
      </x:c>
      <x:c r="M768" s="31" t="inlineStr">
        <x:is>
          <x:t xml:space="preserve">Проведен</x:t>
        </x:is>
      </x:c>
    </x:row>
    <x:row r="769">
      <x:c r="A769" s="31" t="inlineStr">
        <x:is>
          <x:t xml:space="preserve">СКЛ-000768</x:t>
        </x:is>
      </x:c>
      <x:c r="B769" s="31" t="n">
        <x:v>46173</x:v>
      </x:c>
      <x:c r="C769" s="31" t="inlineStr">
        <x:is>
          <x:t xml:space="preserve">Возврат</x:t>
        </x:is>
      </x:c>
      <x:c r="D769" s="31" t="inlineStr">
        <x:is>
          <x:t xml:space="preserve">МАТ-0052</x:t>
        </x:is>
      </x:c>
      <x:c r="E769" s="31" t="inlineStr">
        <x:is>
          <x:t xml:space="preserve">Кран шаровой Ду50 / исп.2</x:t>
        </x:is>
      </x:c>
      <x:c r="F769" s="31" t="n">
        <x:v>6</x:v>
      </x:c>
      <x:c r="G769" s="31" t="inlineStr">
        <x:is>
          <x:t xml:space="preserve">шт</x:t>
        </x:is>
      </x:c>
      <x:c r="H769" s="31" t="n"/>
      <x:c r="I769" s="31" t="n"/>
      <x:c r="J769" s="31" t="inlineStr">
        <x:is>
          <x:t xml:space="preserve">Основной склад</x:t>
        </x:is>
      </x:c>
      <x:c r="K769" s="31" t="inlineStr">
        <x:is>
          <x:t xml:space="preserve">СОТР-034</x:t>
        </x:is>
      </x:c>
      <x:c r="L769" s="31" t="inlineStr">
        <x:is>
          <x:t xml:space="preserve">ДОК-8081</x:t>
        </x:is>
      </x:c>
      <x:c r="M769" s="31" t="inlineStr">
        <x:is>
          <x:t xml:space="preserve">Проведен</x:t>
        </x:is>
      </x:c>
    </x:row>
    <x:row r="770">
      <x:c r="A770" s="31" t="inlineStr">
        <x:is>
          <x:t xml:space="preserve">СКЛ-000769</x:t>
        </x:is>
      </x:c>
      <x:c r="B770" s="31" t="n">
        <x:v>46170</x:v>
      </x:c>
      <x:c r="C770" s="31" t="inlineStr">
        <x:is>
          <x:t xml:space="preserve">Резерв</x:t>
        </x:is>
      </x:c>
      <x:c r="D770" s="31" t="inlineStr">
        <x:is>
          <x:t xml:space="preserve">МАТ-0027</x:t>
        </x:is>
      </x:c>
      <x:c r="E770" s="31" t="inlineStr">
        <x:is>
          <x:t xml:space="preserve">Двигатель 22 кВт</x:t>
        </x:is>
      </x:c>
      <x:c r="F770" s="31" t="n">
        <x:v>-2</x:v>
      </x:c>
      <x:c r="G770" s="31" t="inlineStr">
        <x:is>
          <x:t xml:space="preserve">шт</x:t>
        </x:is>
      </x:c>
      <x:c r="H770" s="31" t="inlineStr">
        <x:is>
          <x:t xml:space="preserve">ЗК-1076</x:t>
        </x:is>
      </x:c>
      <x:c r="I770" s="31" t="n"/>
      <x:c r="J770" s="31" t="inlineStr">
        <x:is>
          <x:t xml:space="preserve">Основной склад</x:t>
        </x:is>
      </x:c>
      <x:c r="K770" s="31" t="inlineStr">
        <x:is>
          <x:t xml:space="preserve">СОТР-038</x:t>
        </x:is>
      </x:c>
      <x:c r="L770" s="31" t="inlineStr">
        <x:is>
          <x:t xml:space="preserve">ДОК-4303</x:t>
        </x:is>
      </x:c>
      <x:c r="M770" s="31" t="inlineStr">
        <x:is>
          <x:t xml:space="preserve">Проведен</x:t>
        </x:is>
      </x:c>
    </x:row>
    <x:row r="771">
      <x:c r="A771" s="31" t="inlineStr">
        <x:is>
          <x:t xml:space="preserve">СКЛ-000770</x:t>
        </x:is>
      </x:c>
      <x:c r="B771" s="31" t="n">
        <x:v>46052</x:v>
      </x:c>
      <x:c r="C771" s="31" t="inlineStr">
        <x:is>
          <x:t xml:space="preserve">Приход</x:t>
        </x:is>
      </x:c>
      <x:c r="D771" s="31" t="inlineStr">
        <x:is>
          <x:t xml:space="preserve">МАТ-0073</x:t>
        </x:is>
      </x:c>
      <x:c r="E771" s="31" t="inlineStr">
        <x:is>
          <x:t xml:space="preserve">Растворитель / исп.2</x:t>
        </x:is>
      </x:c>
      <x:c r="F771" s="31" t="n">
        <x:v>8.4</x:v>
      </x:c>
      <x:c r="G771" s="31" t="inlineStr">
        <x:is>
          <x:t xml:space="preserve">л</x:t>
        </x:is>
      </x:c>
      <x:c r="H771" s="31" t="n"/>
      <x:c r="I771" s="31" t="n"/>
      <x:c r="J771" s="31" t="inlineStr">
        <x:is>
          <x:t xml:space="preserve">Основной склад</x:t>
        </x:is>
      </x:c>
      <x:c r="K771" s="31" t="inlineStr">
        <x:is>
          <x:t xml:space="preserve">СОТР-034</x:t>
        </x:is>
      </x:c>
      <x:c r="L771" s="31" t="inlineStr">
        <x:is>
          <x:t xml:space="preserve">ДОК-3485</x:t>
        </x:is>
      </x:c>
      <x:c r="M771" s="31" t="inlineStr">
        <x:is>
          <x:t xml:space="preserve">Проведен</x:t>
        </x:is>
      </x:c>
    </x:row>
    <x:row r="772">
      <x:c r="A772" s="31" t="inlineStr">
        <x:is>
          <x:t xml:space="preserve">СКЛ-000771</x:t>
        </x:is>
      </x:c>
      <x:c r="B772" s="31" t="n">
        <x:v>46032</x:v>
      </x:c>
      <x:c r="C772" s="31" t="inlineStr">
        <x:is>
          <x:t xml:space="preserve">Выдача в производство</x:t>
        </x:is>
      </x:c>
      <x:c r="D772" s="31" t="inlineStr">
        <x:is>
          <x:t xml:space="preserve">МАТ-0026</x:t>
        </x:is>
      </x:c>
      <x:c r="E772" s="31" t="inlineStr">
        <x:is>
          <x:t xml:space="preserve">Двигатель 15 кВт</x:t>
        </x:is>
      </x:c>
      <x:c r="F772" s="31" t="n">
        <x:v>-11</x:v>
      </x:c>
      <x:c r="G772" s="31" t="inlineStr">
        <x:is>
          <x:t xml:space="preserve">шт</x:t>
        </x:is>
      </x:c>
      <x:c r="H772" s="31" t="inlineStr">
        <x:is>
          <x:t xml:space="preserve">ЗК-1002</x:t>
        </x:is>
      </x:c>
      <x:c r="I772" s="31" t="inlineStr">
        <x:is>
          <x:t xml:space="preserve">ПЗ-00157</x:t>
        </x:is>
      </x:c>
      <x:c r="J772" s="31" t="inlineStr">
        <x:is>
          <x:t xml:space="preserve">Основной склад</x:t>
        </x:is>
      </x:c>
      <x:c r="K772" s="31" t="inlineStr">
        <x:is>
          <x:t xml:space="preserve">СОТР-024</x:t>
        </x:is>
      </x:c>
      <x:c r="L772" s="31" t="inlineStr">
        <x:is>
          <x:t xml:space="preserve">ДОК-9595</x:t>
        </x:is>
      </x:c>
      <x:c r="M772" s="31" t="inlineStr">
        <x:is>
          <x:t xml:space="preserve">Проведен</x:t>
        </x:is>
      </x:c>
    </x:row>
    <x:row r="773">
      <x:c r="A773" s="31" t="inlineStr">
        <x:is>
          <x:t xml:space="preserve">СКЛ-000772</x:t>
        </x:is>
      </x:c>
      <x:c r="B773" s="31" t="n">
        <x:v>46133</x:v>
      </x:c>
      <x:c r="C773" s="31" t="inlineStr">
        <x:is>
          <x:t xml:space="preserve">Резерв</x:t>
        </x:is>
      </x:c>
      <x:c r="D773" s="31" t="inlineStr">
        <x:is>
          <x:t xml:space="preserve">МАТ-0030</x:t>
        </x:is>
      </x:c>
      <x:c r="E773" s="31" t="inlineStr">
        <x:is>
          <x:t xml:space="preserve">Частотный преобразователь 22 кВт / исп.2</x:t>
        </x:is>
      </x:c>
      <x:c r="F773" s="31" t="n">
        <x:v>-3</x:v>
      </x:c>
      <x:c r="G773" s="31" t="inlineStr">
        <x:is>
          <x:t xml:space="preserve">шт</x:t>
        </x:is>
      </x:c>
      <x:c r="H773" s="31" t="inlineStr">
        <x:is>
          <x:t xml:space="preserve">ЗК-1022</x:t>
        </x:is>
      </x:c>
      <x:c r="I773" s="31" t="n"/>
      <x:c r="J773" s="31" t="inlineStr">
        <x:is>
          <x:t xml:space="preserve">Основной склад</x:t>
        </x:is>
      </x:c>
      <x:c r="K773" s="31" t="inlineStr">
        <x:is>
          <x:t xml:space="preserve">СОТР-038</x:t>
        </x:is>
      </x:c>
      <x:c r="L773" s="31" t="inlineStr">
        <x:is>
          <x:t xml:space="preserve">ДОК-5179</x:t>
        </x:is>
      </x:c>
      <x:c r="M773" s="31" t="inlineStr">
        <x:is>
          <x:t xml:space="preserve">Проведен</x:t>
        </x:is>
      </x:c>
    </x:row>
    <x:row r="774">
      <x:c r="A774" s="31" t="inlineStr">
        <x:is>
          <x:t xml:space="preserve">СКЛ-000773</x:t>
        </x:is>
      </x:c>
      <x:c r="B774" s="31" t="n">
        <x:v>46135</x:v>
      </x:c>
      <x:c r="C774" s="31" t="inlineStr">
        <x:is>
          <x:t xml:space="preserve">Приход</x:t>
        </x:is>
      </x:c>
      <x:c r="D774" s="31" t="inlineStr">
        <x:is>
          <x:t xml:space="preserve">МАТ-0062</x:t>
        </x:is>
      </x:c>
      <x:c r="E774" s="31" t="inlineStr">
        <x:is>
          <x:t xml:space="preserve">Кабель КВВГ 4×1.5</x:t>
        </x:is>
      </x:c>
      <x:c r="F774" s="31" t="n">
        <x:v>55.54</x:v>
      </x:c>
      <x:c r="G774" s="31" t="inlineStr">
        <x:is>
          <x:t xml:space="preserve">м</x:t>
        </x:is>
      </x:c>
      <x:c r="H774" s="31" t="n"/>
      <x:c r="I774" s="31" t="n"/>
      <x:c r="J774" s="31" t="inlineStr">
        <x:is>
          <x:t xml:space="preserve">Основной склад</x:t>
        </x:is>
      </x:c>
      <x:c r="K774" s="31" t="inlineStr">
        <x:is>
          <x:t xml:space="preserve">СОТР-033</x:t>
        </x:is>
      </x:c>
      <x:c r="L774" s="31" t="inlineStr">
        <x:is>
          <x:t xml:space="preserve">ДОК-4333</x:t>
        </x:is>
      </x:c>
      <x:c r="M774" s="31" t="inlineStr">
        <x:is>
          <x:t xml:space="preserve">Проведен</x:t>
        </x:is>
      </x:c>
    </x:row>
    <x:row r="775">
      <x:c r="A775" s="31" t="inlineStr">
        <x:is>
          <x:t xml:space="preserve">СКЛ-000774</x:t>
        </x:is>
      </x:c>
      <x:c r="B775" s="31" t="n">
        <x:v>46057</x:v>
      </x:c>
      <x:c r="C775" s="31" t="inlineStr">
        <x:is>
          <x:t xml:space="preserve">Выдача в производство</x:t>
        </x:is>
      </x:c>
      <x:c r="D775" s="31" t="inlineStr">
        <x:is>
          <x:t xml:space="preserve">МАТ-0061</x:t>
        </x:is>
      </x:c>
      <x:c r="E775" s="31" t="inlineStr">
        <x:is>
          <x:t xml:space="preserve">Фильтр сетчатый Ду50 / исп.3</x:t>
        </x:is>
      </x:c>
      <x:c r="F775" s="31" t="n">
        <x:v>-18</x:v>
      </x:c>
      <x:c r="G775" s="31" t="inlineStr">
        <x:is>
          <x:t xml:space="preserve">шт</x:t>
        </x:is>
      </x:c>
      <x:c r="H775" s="31" t="inlineStr">
        <x:is>
          <x:t xml:space="preserve">ЗК-1037</x:t>
        </x:is>
      </x:c>
      <x:c r="I775" s="31" t="inlineStr">
        <x:is>
          <x:t xml:space="preserve">ПЗ-00250</x:t>
        </x:is>
      </x:c>
      <x:c r="J775" s="31" t="inlineStr">
        <x:is>
          <x:t xml:space="preserve">Основной склад</x:t>
        </x:is>
      </x:c>
      <x:c r="K775" s="31" t="inlineStr">
        <x:is>
          <x:t xml:space="preserve">СОТР-037</x:t>
        </x:is>
      </x:c>
      <x:c r="L775" s="31" t="inlineStr">
        <x:is>
          <x:t xml:space="preserve">ДОК-6658</x:t>
        </x:is>
      </x:c>
      <x:c r="M775" s="31" t="inlineStr">
        <x:is>
          <x:t xml:space="preserve">Черновик</x:t>
        </x:is>
      </x:c>
    </x:row>
    <x:row r="776">
      <x:c r="A776" s="31" t="inlineStr">
        <x:is>
          <x:t xml:space="preserve">СКЛ-000775</x:t>
        </x:is>
      </x:c>
      <x:c r="B776" s="31" t="n">
        <x:v>46094</x:v>
      </x:c>
      <x:c r="C776" s="31" t="inlineStr">
        <x:is>
          <x:t xml:space="preserve">Выдача в производство</x:t>
        </x:is>
      </x:c>
      <x:c r="D776" s="31" t="inlineStr">
        <x:is>
          <x:t xml:space="preserve">МАТ-0085</x:t>
        </x:is>
      </x:c>
      <x:c r="E776" s="31" t="inlineStr">
        <x:is>
          <x:t xml:space="preserve">Пленка стрейч</x:t>
        </x:is>
      </x:c>
      <x:c r="F776" s="31" t="n">
        <x:v>-18</x:v>
      </x:c>
      <x:c r="G776" s="31" t="inlineStr">
        <x:is>
          <x:t xml:space="preserve">шт</x:t>
        </x:is>
      </x:c>
      <x:c r="H776" s="31" t="inlineStr">
        <x:is>
          <x:t xml:space="preserve">ЗК-1072</x:t>
        </x:is>
      </x:c>
      <x:c r="I776" s="31" t="inlineStr">
        <x:is>
          <x:t xml:space="preserve">ПЗ-00258</x:t>
        </x:is>
      </x:c>
      <x:c r="J776" s="31" t="inlineStr">
        <x:is>
          <x:t xml:space="preserve">Основной склад</x:t>
        </x:is>
      </x:c>
      <x:c r="K776" s="31" t="inlineStr">
        <x:is>
          <x:t xml:space="preserve">СОТР-034</x:t>
        </x:is>
      </x:c>
      <x:c r="L776" s="31" t="inlineStr">
        <x:is>
          <x:t xml:space="preserve">ДОК-2447</x:t>
        </x:is>
      </x:c>
      <x:c r="M776" s="31" t="inlineStr">
        <x:is>
          <x:t xml:space="preserve">Проведен</x:t>
        </x:is>
      </x:c>
    </x:row>
    <x:row r="777">
      <x:c r="A777" s="31" t="inlineStr">
        <x:is>
          <x:t xml:space="preserve">СКЛ-000776</x:t>
        </x:is>
      </x:c>
      <x:c r="B777" s="31" t="n">
        <x:v>46197</x:v>
      </x:c>
      <x:c r="C777" s="31" t="inlineStr">
        <x:is>
          <x:t xml:space="preserve">Приход</x:t>
        </x:is>
      </x:c>
      <x:c r="D777" s="31" t="inlineStr">
        <x:is>
          <x:t xml:space="preserve">МАТ-0063</x:t>
        </x:is>
      </x:c>
      <x:c r="E777" s="31" t="inlineStr">
        <x:is>
          <x:t xml:space="preserve">Кабель ВВГнг 3×2.5</x:t>
        </x:is>
      </x:c>
      <x:c r="F777" s="31" t="n">
        <x:v>2</x:v>
      </x:c>
      <x:c r="G777" s="31" t="inlineStr">
        <x:is>
          <x:t xml:space="preserve">шт</x:t>
        </x:is>
      </x:c>
      <x:c r="H777" s="31" t="n"/>
      <x:c r="I777" s="31" t="n"/>
      <x:c r="J777" s="31" t="inlineStr">
        <x:is>
          <x:t xml:space="preserve">Основной склад</x:t>
        </x:is>
      </x:c>
      <x:c r="K777" s="31" t="inlineStr">
        <x:is>
          <x:t xml:space="preserve">СОТР-036</x:t>
        </x:is>
      </x:c>
      <x:c r="L777" s="31" t="inlineStr">
        <x:is>
          <x:t xml:space="preserve">ДОК-2190</x:t>
        </x:is>
      </x:c>
      <x:c r="M777" s="31" t="inlineStr">
        <x:is>
          <x:t xml:space="preserve">Черновик</x:t>
        </x:is>
      </x:c>
    </x:row>
    <x:row r="778">
      <x:c r="A778" s="31" t="inlineStr">
        <x:is>
          <x:t xml:space="preserve">СКЛ-000777</x:t>
        </x:is>
      </x:c>
      <x:c r="B778" s="31" t="n">
        <x:v>46070</x:v>
      </x:c>
      <x:c r="C778" s="31" t="inlineStr">
        <x:is>
          <x:t xml:space="preserve">Выдача в производство</x:t>
        </x:is>
      </x:c>
      <x:c r="D778" s="31" t="inlineStr">
        <x:is>
          <x:t xml:space="preserve">МАТ-0061</x:t>
        </x:is>
      </x:c>
      <x:c r="E778" s="31" t="inlineStr">
        <x:is>
          <x:t xml:space="preserve">Фильтр сетчатый Ду50 / исп.3</x:t>
        </x:is>
      </x:c>
      <x:c r="F778" s="31" t="n">
        <x:v>-1</x:v>
      </x:c>
      <x:c r="G778" s="31" t="inlineStr">
        <x:is>
          <x:t xml:space="preserve">шт</x:t>
        </x:is>
      </x:c>
      <x:c r="H778" s="31" t="inlineStr">
        <x:is>
          <x:t xml:space="preserve">ЗК-1094</x:t>
        </x:is>
      </x:c>
      <x:c r="I778" s="31" t="inlineStr">
        <x:is>
          <x:t xml:space="preserve">ПЗ-00207</x:t>
        </x:is>
      </x:c>
      <x:c r="J778" s="31" t="inlineStr">
        <x:is>
          <x:t xml:space="preserve">Основной склад</x:t>
        </x:is>
      </x:c>
      <x:c r="K778" s="31" t="inlineStr">
        <x:is>
          <x:t xml:space="preserve">СОТР-036</x:t>
        </x:is>
      </x:c>
      <x:c r="L778" s="31" t="inlineStr">
        <x:is>
          <x:t xml:space="preserve">ДОК-1235</x:t>
        </x:is>
      </x:c>
      <x:c r="M778" s="31" t="inlineStr">
        <x:is>
          <x:t xml:space="preserve">Проведен</x:t>
        </x:is>
      </x:c>
    </x:row>
    <x:row r="779">
      <x:c r="A779" s="31" t="inlineStr">
        <x:is>
          <x:t xml:space="preserve">СКЛ-000778</x:t>
        </x:is>
      </x:c>
      <x:c r="B779" s="31" t="n">
        <x:v>46166</x:v>
      </x:c>
      <x:c r="C779" s="31" t="inlineStr">
        <x:is>
          <x:t xml:space="preserve">Списание</x:t>
        </x:is>
      </x:c>
      <x:c r="D779" s="31" t="inlineStr">
        <x:is>
          <x:t xml:space="preserve">МАТ-0053</x:t>
        </x:is>
      </x:c>
      <x:c r="E779" s="31" t="inlineStr">
        <x:is>
          <x:t xml:space="preserve">Кран шаровой Ду50 / исп.3</x:t>
        </x:is>
      </x:c>
      <x:c r="F779" s="31" t="n">
        <x:v>-9</x:v>
      </x:c>
      <x:c r="G779" s="31" t="inlineStr">
        <x:is>
          <x:t xml:space="preserve">шт</x:t>
        </x:is>
      </x:c>
      <x:c r="H779" s="31" t="n"/>
      <x:c r="I779" s="31" t="n"/>
      <x:c r="J779" s="31" t="inlineStr">
        <x:is>
          <x:t xml:space="preserve">Основной склад</x:t>
        </x:is>
      </x:c>
      <x:c r="K779" s="31" t="inlineStr">
        <x:is>
          <x:t xml:space="preserve">СОТР-024</x:t>
        </x:is>
      </x:c>
      <x:c r="L779" s="31" t="inlineStr">
        <x:is>
          <x:t xml:space="preserve">ДОК-6546</x:t>
        </x:is>
      </x:c>
      <x:c r="M779" s="31" t="inlineStr">
        <x:is>
          <x:t xml:space="preserve">Проведен</x:t>
        </x:is>
      </x:c>
    </x:row>
    <x:row r="780">
      <x:c r="A780" s="31" t="inlineStr">
        <x:is>
          <x:t xml:space="preserve">СКЛ-000779</x:t>
        </x:is>
      </x:c>
      <x:c r="B780" s="31" t="n">
        <x:v>46050</x:v>
      </x:c>
      <x:c r="C780" s="31" t="inlineStr">
        <x:is>
          <x:t xml:space="preserve">Выдача в производство</x:t>
        </x:is>
      </x:c>
      <x:c r="D780" s="31" t="inlineStr">
        <x:is>
          <x:t xml:space="preserve">МАТ-0032</x:t>
        </x:is>
      </x:c>
      <x:c r="E780" s="31" t="inlineStr">
        <x:is>
          <x:t xml:space="preserve">Датчик температуры Пт100</x:t>
        </x:is>
      </x:c>
      <x:c r="F780" s="31" t="n">
        <x:v>-18</x:v>
      </x:c>
      <x:c r="G780" s="31" t="inlineStr">
        <x:is>
          <x:t xml:space="preserve">шт</x:t>
        </x:is>
      </x:c>
      <x:c r="H780" s="31" t="inlineStr">
        <x:is>
          <x:t xml:space="preserve">ЗК-1086</x:t>
        </x:is>
      </x:c>
      <x:c r="I780" s="31" t="inlineStr">
        <x:is>
          <x:t xml:space="preserve">ПЗ-00247</x:t>
        </x:is>
      </x:c>
      <x:c r="J780" s="31" t="inlineStr">
        <x:is>
          <x:t xml:space="preserve">Основной склад</x:t>
        </x:is>
      </x:c>
      <x:c r="K780" s="31" t="inlineStr">
        <x:is>
          <x:t xml:space="preserve">СОТР-035</x:t>
        </x:is>
      </x:c>
      <x:c r="L780" s="31" t="inlineStr">
        <x:is>
          <x:t xml:space="preserve">ДОК-8278</x:t>
        </x:is>
      </x:c>
      <x:c r="M780" s="31" t="inlineStr">
        <x:is>
          <x:t xml:space="preserve">Проведен</x:t>
        </x:is>
      </x:c>
    </x:row>
    <x:row r="781">
      <x:c r="A781" s="31" t="inlineStr">
        <x:is>
          <x:t xml:space="preserve">СКЛ-000780</x:t>
        </x:is>
      </x:c>
      <x:c r="B781" s="31" t="n">
        <x:v>46088</x:v>
      </x:c>
      <x:c r="C781" s="31" t="inlineStr">
        <x:is>
          <x:t xml:space="preserve">Выдача в производство</x:t>
        </x:is>
      </x:c>
      <x:c r="D781" s="31" t="inlineStr">
        <x:is>
          <x:t xml:space="preserve">МАТ-0029</x:t>
        </x:is>
      </x:c>
      <x:c r="E781" s="31" t="inlineStr">
        <x:is>
          <x:t xml:space="preserve">Частотный преобразователь 22 кВт</x:t>
        </x:is>
      </x:c>
      <x:c r="F781" s="31" t="n">
        <x:v>-19</x:v>
      </x:c>
      <x:c r="G781" s="31" t="inlineStr">
        <x:is>
          <x:t xml:space="preserve">шт</x:t>
        </x:is>
      </x:c>
      <x:c r="H781" s="31" t="inlineStr">
        <x:is>
          <x:t xml:space="preserve">ЗК-1106</x:t>
        </x:is>
      </x:c>
      <x:c r="I781" s="31" t="inlineStr">
        <x:is>
          <x:t xml:space="preserve">ПЗ-00169</x:t>
        </x:is>
      </x:c>
      <x:c r="J781" s="31" t="inlineStr">
        <x:is>
          <x:t xml:space="preserve">Брак/карантин</x:t>
        </x:is>
      </x:c>
      <x:c r="K781" s="31" t="inlineStr">
        <x:is>
          <x:t xml:space="preserve">СОТР-024</x:t>
        </x:is>
      </x:c>
      <x:c r="L781" s="31" t="inlineStr">
        <x:is>
          <x:t xml:space="preserve">ДОК-3543</x:t>
        </x:is>
      </x:c>
      <x:c r="M781" s="31" t="inlineStr">
        <x:is>
          <x:t xml:space="preserve">Требует проверки</x:t>
        </x:is>
      </x:c>
    </x:row>
    <x:row r="782">
      <x:c r="A782" s="31" t="inlineStr">
        <x:is>
          <x:t xml:space="preserve">СКЛ-000781</x:t>
        </x:is>
      </x:c>
      <x:c r="B782" s="31" t="n">
        <x:v>46101</x:v>
      </x:c>
      <x:c r="C782" s="31" t="inlineStr">
        <x:is>
          <x:t xml:space="preserve">Выдача в производство</x:t>
        </x:is>
      </x:c>
      <x:c r="D782" s="31" t="inlineStr">
        <x:is>
          <x:t xml:space="preserve">МАТ-0024</x:t>
        </x:is>
      </x:c>
      <x:c r="E782" s="31" t="inlineStr">
        <x:is>
          <x:t xml:space="preserve">Рабочее колесо / исп.2</x:t>
        </x:is>
      </x:c>
      <x:c r="F782" s="31" t="n">
        <x:v>-4</x:v>
      </x:c>
      <x:c r="G782" s="31" t="inlineStr">
        <x:is>
          <x:t xml:space="preserve">шт</x:t>
        </x:is>
      </x:c>
      <x:c r="H782" s="31" t="inlineStr">
        <x:is>
          <x:t xml:space="preserve">ЗК-1128</x:t>
        </x:is>
      </x:c>
      <x:c r="I782" s="31" t="inlineStr">
        <x:is>
          <x:t xml:space="preserve">ПЗ-00265</x:t>
        </x:is>
      </x:c>
      <x:c r="J782" s="31" t="inlineStr">
        <x:is>
          <x:t xml:space="preserve">Основной склад</x:t>
        </x:is>
      </x:c>
      <x:c r="K782" s="31" t="inlineStr">
        <x:is>
          <x:t xml:space="preserve">СОТР-037</x:t>
        </x:is>
      </x:c>
      <x:c r="L782" s="31" t="inlineStr">
        <x:is>
          <x:t xml:space="preserve">ДОК-5094</x:t>
        </x:is>
      </x:c>
      <x:c r="M782" s="31" t="inlineStr">
        <x:is>
          <x:t xml:space="preserve">Проведен</x:t>
        </x:is>
      </x:c>
    </x:row>
    <x:row r="783">
      <x:c r="A783" s="31" t="inlineStr">
        <x:is>
          <x:t xml:space="preserve">СКЛ-000782</x:t>
        </x:is>
      </x:c>
      <x:c r="B783" s="31" t="n">
        <x:v>46182</x:v>
      </x:c>
      <x:c r="C783" s="31" t="inlineStr">
        <x:is>
          <x:t xml:space="preserve">Возврат</x:t>
        </x:is>
      </x:c>
      <x:c r="D783" s="31" t="inlineStr">
        <x:is>
          <x:t xml:space="preserve">МАТ-0032</x:t>
        </x:is>
      </x:c>
      <x:c r="E783" s="31" t="inlineStr">
        <x:is>
          <x:t xml:space="preserve">Датчик температуры Пт100</x:t>
        </x:is>
      </x:c>
      <x:c r="F783" s="31" t="n">
        <x:v>14</x:v>
      </x:c>
      <x:c r="G783" s="31" t="inlineStr">
        <x:is>
          <x:t xml:space="preserve">шт</x:t>
        </x:is>
      </x:c>
      <x:c r="H783" s="31" t="n"/>
      <x:c r="I783" s="31" t="n"/>
      <x:c r="J783" s="31" t="inlineStr">
        <x:is>
          <x:t xml:space="preserve">Основной склад</x:t>
        </x:is>
      </x:c>
      <x:c r="K783" s="31" t="inlineStr">
        <x:is>
          <x:t xml:space="preserve">СОТР-034</x:t>
        </x:is>
      </x:c>
      <x:c r="L783" s="31" t="inlineStr">
        <x:is>
          <x:t xml:space="preserve">ДОК-4980</x:t>
        </x:is>
      </x:c>
      <x:c r="M783" s="31" t="inlineStr">
        <x:is>
          <x:t xml:space="preserve">Черновик</x:t>
        </x:is>
      </x:c>
    </x:row>
    <x:row r="784">
      <x:c r="A784" s="31" t="inlineStr">
        <x:is>
          <x:t xml:space="preserve">СКЛ-000783</x:t>
        </x:is>
      </x:c>
      <x:c r="B784" s="31" t="n">
        <x:v>46192</x:v>
      </x:c>
      <x:c r="C784" s="31" t="inlineStr">
        <x:is>
          <x:t xml:space="preserve">Приход</x:t>
        </x:is>
      </x:c>
      <x:c r="D784" s="31" t="inlineStr">
        <x:is>
          <x:t xml:space="preserve">МАТ-0023</x:t>
        </x:is>
      </x:c>
      <x:c r="E784" s="31" t="inlineStr">
        <x:is>
          <x:t xml:space="preserve">Рабочее колесо</x:t>
        </x:is>
      </x:c>
      <x:c r="F784" s="31" t="n">
        <x:v>6</x:v>
      </x:c>
      <x:c r="G784" s="31" t="inlineStr">
        <x:is>
          <x:t xml:space="preserve">шт</x:t>
        </x:is>
      </x:c>
      <x:c r="H784" s="31" t="n"/>
      <x:c r="I784" s="31" t="n"/>
      <x:c r="J784" s="31" t="inlineStr">
        <x:is>
          <x:t xml:space="preserve">Основной склад</x:t>
        </x:is>
      </x:c>
      <x:c r="K784" s="31" t="inlineStr">
        <x:is>
          <x:t xml:space="preserve">СОТР-038</x:t>
        </x:is>
      </x:c>
      <x:c r="L784" s="31" t="inlineStr">
        <x:is>
          <x:t xml:space="preserve">ДОК-2624</x:t>
        </x:is>
      </x:c>
      <x:c r="M784" s="31" t="inlineStr">
        <x:is>
          <x:t xml:space="preserve">Проведен</x:t>
        </x:is>
      </x:c>
    </x:row>
    <x:row r="785">
      <x:c r="A785" s="31" t="inlineStr">
        <x:is>
          <x:t xml:space="preserve">СКЛ-000784</x:t>
        </x:is>
      </x:c>
      <x:c r="B785" s="31" t="n">
        <x:v>46044</x:v>
      </x:c>
      <x:c r="C785" s="31" t="inlineStr">
        <x:is>
          <x:t xml:space="preserve">Резерв</x:t>
        </x:is>
      </x:c>
      <x:c r="D785" s="31" t="inlineStr">
        <x:is>
          <x:t xml:space="preserve">МАТ-0011</x:t>
        </x:is>
      </x:c>
      <x:c r="E785" s="31" t="inlineStr">
        <x:is>
          <x:t xml:space="preserve">Фланец Ду50 Ру16 / исп.3</x:t>
        </x:is>
      </x:c>
      <x:c r="F785" s="31" t="n">
        <x:v>-8</x:v>
      </x:c>
      <x:c r="G785" s="31" t="inlineStr">
        <x:is>
          <x:t xml:space="preserve">шт</x:t>
        </x:is>
      </x:c>
      <x:c r="H785" s="31" t="inlineStr">
        <x:is>
          <x:t xml:space="preserve">ЗК-1037</x:t>
        </x:is>
      </x:c>
      <x:c r="I785" s="31" t="n"/>
      <x:c r="J785" s="31" t="inlineStr">
        <x:is>
          <x:t xml:space="preserve">Цеховой склад</x:t>
        </x:is>
      </x:c>
      <x:c r="K785" s="31" t="inlineStr">
        <x:is>
          <x:t xml:space="preserve">СОТР-038</x:t>
        </x:is>
      </x:c>
      <x:c r="L785" s="31" t="inlineStr">
        <x:is>
          <x:t xml:space="preserve">ДОК-9164</x:t>
        </x:is>
      </x:c>
      <x:c r="M785" s="31" t="inlineStr">
        <x:is>
          <x:t xml:space="preserve">Проведен</x:t>
        </x:is>
      </x:c>
    </x:row>
    <x:row r="786">
      <x:c r="A786" s="31" t="inlineStr">
        <x:is>
          <x:t xml:space="preserve">СКЛ-000785</x:t>
        </x:is>
      </x:c>
      <x:c r="B786" s="31" t="n">
        <x:v>46052</x:v>
      </x:c>
      <x:c r="C786" s="31" t="inlineStr">
        <x:is>
          <x:t xml:space="preserve">Выдача в производство</x:t>
        </x:is>
      </x:c>
      <x:c r="D786" s="31" t="inlineStr">
        <x:is>
          <x:t xml:space="preserve">МАТ-0009</x:t>
        </x:is>
      </x:c>
      <x:c r="E786" s="31" t="inlineStr">
        <x:is>
          <x:t xml:space="preserve">Фланец Ду50 Ру16</x:t>
        </x:is>
      </x:c>
      <x:c r="F786" s="31" t="n">
        <x:v>-39.81</x:v>
      </x:c>
      <x:c r="G786" s="31" t="inlineStr">
        <x:is>
          <x:t xml:space="preserve">л</x:t>
        </x:is>
      </x:c>
      <x:c r="H786" s="31" t="inlineStr">
        <x:is>
          <x:t xml:space="preserve">ЗК-1055</x:t>
        </x:is>
      </x:c>
      <x:c r="I786" s="31" t="inlineStr">
        <x:is>
          <x:t xml:space="preserve">ПЗ-00198</x:t>
        </x:is>
      </x:c>
      <x:c r="J786" s="31" t="inlineStr">
        <x:is>
          <x:t xml:space="preserve">Основной склад</x:t>
        </x:is>
      </x:c>
      <x:c r="K786" s="31" t="inlineStr">
        <x:is>
          <x:t xml:space="preserve">СОТР-033</x:t>
        </x:is>
      </x:c>
      <x:c r="L786" s="31" t="inlineStr">
        <x:is>
          <x:t xml:space="preserve">ДОК-3464</x:t>
        </x:is>
      </x:c>
      <x:c r="M786" s="31" t="inlineStr">
        <x:is>
          <x:t xml:space="preserve">Проведен</x:t>
        </x:is>
      </x:c>
    </x:row>
    <x:row r="787">
      <x:c r="A787" s="31" t="inlineStr">
        <x:is>
          <x:t xml:space="preserve">СКЛ-000786</x:t>
        </x:is>
      </x:c>
      <x:c r="B787" s="31" t="n">
        <x:v>46071</x:v>
      </x:c>
      <x:c r="C787" s="31" t="inlineStr">
        <x:is>
          <x:t xml:space="preserve">Резерв</x:t>
        </x:is>
      </x:c>
      <x:c r="D787" s="31" t="inlineStr">
        <x:is>
          <x:t xml:space="preserve">МАТ-0001</x:t>
        </x:is>
      </x:c>
      <x:c r="E787" s="31" t="inlineStr">
        <x:is>
          <x:t xml:space="preserve">Лист стальной 09Г2С 8 мм</x:t>
        </x:is>
      </x:c>
      <x:c r="F787" s="31" t="n">
        <x:v>-9.31</x:v>
      </x:c>
      <x:c r="G787" s="31" t="inlineStr">
        <x:is>
          <x:t xml:space="preserve">м</x:t>
        </x:is>
      </x:c>
      <x:c r="H787" s="31" t="inlineStr">
        <x:is>
          <x:t xml:space="preserve">ЗК-1092</x:t>
        </x:is>
      </x:c>
      <x:c r="I787" s="31" t="n"/>
      <x:c r="J787" s="31" t="inlineStr">
        <x:is>
          <x:t xml:space="preserve">Основной склад</x:t>
        </x:is>
      </x:c>
      <x:c r="K787" s="31" t="inlineStr">
        <x:is>
          <x:t xml:space="preserve">СОТР-035</x:t>
        </x:is>
      </x:c>
      <x:c r="L787" s="31" t="inlineStr">
        <x:is>
          <x:t xml:space="preserve">ДОК-7878</x:t>
        </x:is>
      </x:c>
      <x:c r="M787" s="31" t="inlineStr">
        <x:is>
          <x:t xml:space="preserve">Проведен</x:t>
        </x:is>
      </x:c>
    </x:row>
    <x:row r="788">
      <x:c r="A788" s="31" t="inlineStr">
        <x:is>
          <x:t xml:space="preserve">СКЛ-000787</x:t>
        </x:is>
      </x:c>
      <x:c r="B788" s="31" t="n">
        <x:v>46078</x:v>
      </x:c>
      <x:c r="C788" s="31" t="inlineStr">
        <x:is>
          <x:t xml:space="preserve">Резерв</x:t>
        </x:is>
      </x:c>
      <x:c r="D788" s="31" t="inlineStr">
        <x:is>
          <x:t xml:space="preserve">МАТ-0071</x:t>
        </x:is>
      </x:c>
      <x:c r="E788" s="31" t="inlineStr">
        <x:is>
          <x:t xml:space="preserve">Эмаль полиуретановая / исп.3</x:t>
        </x:is>
      </x:c>
      <x:c r="F788" s="31" t="n">
        <x:v>-27.05</x:v>
      </x:c>
      <x:c r="G788" s="31" t="inlineStr">
        <x:is>
          <x:t xml:space="preserve">кг</x:t>
        </x:is>
      </x:c>
      <x:c r="H788" s="31" t="inlineStr">
        <x:is>
          <x:t xml:space="preserve">ЗК-1101</x:t>
        </x:is>
      </x:c>
      <x:c r="I788" s="31" t="n"/>
      <x:c r="J788" s="31" t="inlineStr">
        <x:is>
          <x:t xml:space="preserve">Основной склад</x:t>
        </x:is>
      </x:c>
      <x:c r="K788" s="31" t="inlineStr">
        <x:is>
          <x:t xml:space="preserve">СОТР-039</x:t>
        </x:is>
      </x:c>
      <x:c r="L788" s="31" t="inlineStr">
        <x:is>
          <x:t xml:space="preserve">ДОК-9921</x:t>
        </x:is>
      </x:c>
      <x:c r="M788" s="31" t="inlineStr">
        <x:is>
          <x:t xml:space="preserve">Проведен</x:t>
        </x:is>
      </x:c>
    </x:row>
    <x:row r="789">
      <x:c r="A789" s="31" t="inlineStr">
        <x:is>
          <x:t xml:space="preserve">СКЛ-000788</x:t>
        </x:is>
      </x:c>
      <x:c r="B789" s="31" t="n">
        <x:v>46087</x:v>
      </x:c>
      <x:c r="C789" s="31" t="inlineStr">
        <x:is>
          <x:t xml:space="preserve">Резерв</x:t>
        </x:is>
      </x:c>
      <x:c r="D789" s="31" t="inlineStr">
        <x:is>
          <x:t xml:space="preserve">МАТ-0072</x:t>
        </x:is>
      </x:c>
      <x:c r="E789" s="31" t="inlineStr">
        <x:is>
          <x:t xml:space="preserve">Растворитель</x:t>
        </x:is>
      </x:c>
      <x:c r="F789" s="31" t="n">
        <x:v>-38.89</x:v>
      </x:c>
      <x:c r="G789" s="31" t="inlineStr">
        <x:is>
          <x:t xml:space="preserve">л</x:t>
        </x:is>
      </x:c>
      <x:c r="H789" s="31" t="inlineStr">
        <x:is>
          <x:t xml:space="preserve">ЗК-1014</x:t>
        </x:is>
      </x:c>
      <x:c r="I789" s="31" t="n"/>
      <x:c r="J789" s="31" t="inlineStr">
        <x:is>
          <x:t xml:space="preserve">Цеховой склад</x:t>
        </x:is>
      </x:c>
      <x:c r="K789" s="31" t="inlineStr">
        <x:is>
          <x:t xml:space="preserve">СОТР-034</x:t>
        </x:is>
      </x:c>
      <x:c r="L789" s="31" t="inlineStr">
        <x:is>
          <x:t xml:space="preserve">ДОК-8407</x:t>
        </x:is>
      </x:c>
      <x:c r="M789" s="31" t="inlineStr">
        <x:is>
          <x:t xml:space="preserve">Проведен</x:t>
        </x:is>
      </x:c>
    </x:row>
    <x:row r="790">
      <x:c r="A790" s="31" t="inlineStr">
        <x:is>
          <x:t xml:space="preserve">СКЛ-000789</x:t>
        </x:is>
      </x:c>
      <x:c r="B790" s="31" t="n">
        <x:v>46079</x:v>
      </x:c>
      <x:c r="C790" s="31" t="inlineStr">
        <x:is>
          <x:t xml:space="preserve">Приход</x:t>
        </x:is>
      </x:c>
      <x:c r="D790" s="31" t="inlineStr">
        <x:is>
          <x:t xml:space="preserve">МАТ-0053</x:t>
        </x:is>
      </x:c>
      <x:c r="E790" s="31" t="inlineStr">
        <x:is>
          <x:t xml:space="preserve">Кран шаровой Ду50 / исп.3</x:t>
        </x:is>
      </x:c>
      <x:c r="F790" s="31" t="n">
        <x:v>14</x:v>
      </x:c>
      <x:c r="G790" s="31" t="inlineStr">
        <x:is>
          <x:t xml:space="preserve">шт</x:t>
        </x:is>
      </x:c>
      <x:c r="H790" s="31" t="n"/>
      <x:c r="I790" s="31" t="n"/>
      <x:c r="J790" s="31" t="inlineStr">
        <x:is>
          <x:t xml:space="preserve">Основной склад</x:t>
        </x:is>
      </x:c>
      <x:c r="K790" s="31" t="inlineStr">
        <x:is>
          <x:t xml:space="preserve">СОТР-037</x:t>
        </x:is>
      </x:c>
      <x:c r="L790" s="31" t="inlineStr">
        <x:is>
          <x:t xml:space="preserve">ДОК-2085</x:t>
        </x:is>
      </x:c>
      <x:c r="M790" s="31" t="inlineStr">
        <x:is>
          <x:t xml:space="preserve">Проведен</x:t>
        </x:is>
      </x:c>
    </x:row>
    <x:row r="791">
      <x:c r="A791" s="31" t="inlineStr">
        <x:is>
          <x:t xml:space="preserve">СКЛ-000790</x:t>
        </x:is>
      </x:c>
      <x:c r="B791" s="31" t="n">
        <x:v>46123</x:v>
      </x:c>
      <x:c r="C791" s="31" t="inlineStr">
        <x:is>
          <x:t xml:space="preserve">Выдача в производство</x:t>
        </x:is>
      </x:c>
      <x:c r="D791" s="31" t="inlineStr">
        <x:is>
          <x:t xml:space="preserve">МАТ-0053</x:t>
        </x:is>
      </x:c>
      <x:c r="E791" s="31" t="inlineStr">
        <x:is>
          <x:t xml:space="preserve">Кран шаровой Ду50 / исп.3</x:t>
        </x:is>
      </x:c>
      <x:c r="F791" s="31" t="n">
        <x:v>-14</x:v>
      </x:c>
      <x:c r="G791" s="31" t="inlineStr">
        <x:is>
          <x:t xml:space="preserve">шт</x:t>
        </x:is>
      </x:c>
      <x:c r="H791" s="31" t="inlineStr">
        <x:is>
          <x:t xml:space="preserve">ЗК-1116</x:t>
        </x:is>
      </x:c>
      <x:c r="I791" s="31" t="inlineStr">
        <x:is>
          <x:t xml:space="preserve">ПЗ-00026</x:t>
        </x:is>
      </x:c>
      <x:c r="J791" s="31" t="inlineStr">
        <x:is>
          <x:t xml:space="preserve">Цеховой склад</x:t>
        </x:is>
      </x:c>
      <x:c r="K791" s="31" t="inlineStr">
        <x:is>
          <x:t xml:space="preserve">СОТР-036</x:t>
        </x:is>
      </x:c>
      <x:c r="L791" s="31" t="inlineStr">
        <x:is>
          <x:t xml:space="preserve">ДОК-2219</x:t>
        </x:is>
      </x:c>
      <x:c r="M791" s="31" t="inlineStr">
        <x:is>
          <x:t xml:space="preserve">Проведен</x:t>
        </x:is>
      </x:c>
    </x:row>
    <x:row r="792">
      <x:c r="A792" s="31" t="inlineStr">
        <x:is>
          <x:t xml:space="preserve">СКЛ-000791</x:t>
        </x:is>
      </x:c>
      <x:c r="B792" s="31" t="n">
        <x:v>46134</x:v>
      </x:c>
      <x:c r="C792" s="31" t="inlineStr">
        <x:is>
          <x:t xml:space="preserve">Выдача в производство</x:t>
        </x:is>
      </x:c>
      <x:c r="D792" s="31" t="inlineStr">
        <x:is>
          <x:t xml:space="preserve">МАТ-0076</x:t>
        </x:is>
      </x:c>
      <x:c r="E792" s="31" t="inlineStr">
        <x:is>
          <x:t xml:space="preserve">Болт М12 / исп.2</x:t>
        </x:is>
      </x:c>
      <x:c r="F792" s="31" t="n">
        <x:v>-14</x:v>
      </x:c>
      <x:c r="G792" s="31" t="inlineStr">
        <x:is>
          <x:t xml:space="preserve">шт</x:t>
        </x:is>
      </x:c>
      <x:c r="H792" s="31" t="inlineStr">
        <x:is>
          <x:t xml:space="preserve">ЗК-1128</x:t>
        </x:is>
      </x:c>
      <x:c r="I792" s="31" t="inlineStr">
        <x:is>
          <x:t xml:space="preserve">ПЗ-00113</x:t>
        </x:is>
      </x:c>
      <x:c r="J792" s="31" t="inlineStr">
        <x:is>
          <x:t xml:space="preserve">Брак/карантин</x:t>
        </x:is>
      </x:c>
      <x:c r="K792" s="31" t="inlineStr">
        <x:is>
          <x:t xml:space="preserve">СОТР-035</x:t>
        </x:is>
      </x:c>
      <x:c r="L792" s="31" t="inlineStr">
        <x:is>
          <x:t xml:space="preserve">ДОК-5040</x:t>
        </x:is>
      </x:c>
      <x:c r="M792" s="31" t="inlineStr">
        <x:is>
          <x:t xml:space="preserve">Проведен</x:t>
        </x:is>
      </x:c>
    </x:row>
    <x:row r="793">
      <x:c r="A793" s="31" t="inlineStr">
        <x:is>
          <x:t xml:space="preserve">СКЛ-000792</x:t>
        </x:is>
      </x:c>
      <x:c r="B793" s="31" t="n">
        <x:v>46100</x:v>
      </x:c>
      <x:c r="C793" s="31" t="inlineStr">
        <x:is>
          <x:t xml:space="preserve">Резерв</x:t>
        </x:is>
      </x:c>
      <x:c r="D793" s="31" t="inlineStr">
        <x:is>
          <x:t xml:space="preserve">МАТ-0048</x:t>
        </x:is>
      </x:c>
      <x:c r="E793" s="31" t="inlineStr">
        <x:is>
          <x:t xml:space="preserve">Контактор 25А / исп.3</x:t>
        </x:is>
      </x:c>
      <x:c r="F793" s="31" t="n">
        <x:v>-17</x:v>
      </x:c>
      <x:c r="G793" s="31" t="inlineStr">
        <x:is>
          <x:t xml:space="preserve">шт</x:t>
        </x:is>
      </x:c>
      <x:c r="H793" s="31" t="inlineStr">
        <x:is>
          <x:t xml:space="preserve">ЗК-1017</x:t>
        </x:is>
      </x:c>
      <x:c r="I793" s="31" t="n"/>
      <x:c r="J793" s="31" t="inlineStr">
        <x:is>
          <x:t xml:space="preserve">Основной склад</x:t>
        </x:is>
      </x:c>
      <x:c r="K793" s="31" t="inlineStr">
        <x:is>
          <x:t xml:space="preserve">СОТР-037</x:t>
        </x:is>
      </x:c>
      <x:c r="L793" s="31" t="inlineStr">
        <x:is>
          <x:t xml:space="preserve">ДОК-8894</x:t>
        </x:is>
      </x:c>
      <x:c r="M793" s="31" t="inlineStr">
        <x:is>
          <x:t xml:space="preserve">Проведен</x:t>
        </x:is>
      </x:c>
    </x:row>
    <x:row r="794">
      <x:c r="A794" s="31" t="inlineStr">
        <x:is>
          <x:t xml:space="preserve">СКЛ-000793</x:t>
        </x:is>
      </x:c>
      <x:c r="B794" s="31" t="n">
        <x:v>46175</x:v>
      </x:c>
      <x:c r="C794" s="31" t="inlineStr">
        <x:is>
          <x:t xml:space="preserve">Списание</x:t>
        </x:is>
      </x:c>
      <x:c r="D794" s="31" t="inlineStr">
        <x:is>
          <x:t xml:space="preserve">МАТ-0064</x:t>
        </x:is>
      </x:c>
      <x:c r="E794" s="31" t="inlineStr">
        <x:is>
          <x:t xml:space="preserve">Кабель ВВГнг 3×2.5 / исп.2</x:t>
        </x:is>
      </x:c>
      <x:c r="F794" s="31" t="n">
        <x:v>-12</x:v>
      </x:c>
      <x:c r="G794" s="31" t="inlineStr">
        <x:is>
          <x:t xml:space="preserve">шт</x:t>
        </x:is>
      </x:c>
      <x:c r="H794" s="31" t="n"/>
      <x:c r="I794" s="31" t="n"/>
      <x:c r="J794" s="31" t="inlineStr">
        <x:is>
          <x:t xml:space="preserve">Основной склад</x:t>
        </x:is>
      </x:c>
      <x:c r="K794" s="31" t="inlineStr">
        <x:is>
          <x:t xml:space="preserve">СОТР-036</x:t>
        </x:is>
      </x:c>
      <x:c r="L794" s="31" t="inlineStr">
        <x:is>
          <x:t xml:space="preserve">ДОК-6557</x:t>
        </x:is>
      </x:c>
      <x:c r="M794" s="31" t="inlineStr">
        <x:is>
          <x:t xml:space="preserve">Проведен</x:t>
        </x:is>
      </x:c>
    </x:row>
    <x:row r="795">
      <x:c r="A795" s="31" t="inlineStr">
        <x:is>
          <x:t xml:space="preserve">СКЛ-000794</x:t>
        </x:is>
      </x:c>
      <x:c r="B795" s="31" t="n">
        <x:v>46080</x:v>
      </x:c>
      <x:c r="C795" s="31" t="inlineStr">
        <x:is>
          <x:t xml:space="preserve">Приход</x:t>
        </x:is>
      </x:c>
      <x:c r="D795" s="31" t="inlineStr">
        <x:is>
          <x:t xml:space="preserve">МАТ-0053</x:t>
        </x:is>
      </x:c>
      <x:c r="E795" s="31" t="inlineStr">
        <x:is>
          <x:t xml:space="preserve">Кран шаровой Ду50 / исп.3</x:t>
        </x:is>
      </x:c>
      <x:c r="F795" s="31" t="n">
        <x:v>17</x:v>
      </x:c>
      <x:c r="G795" s="31" t="inlineStr">
        <x:is>
          <x:t xml:space="preserve">шт</x:t>
        </x:is>
      </x:c>
      <x:c r="H795" s="31" t="n"/>
      <x:c r="I795" s="31" t="n"/>
      <x:c r="J795" s="31" t="inlineStr">
        <x:is>
          <x:t xml:space="preserve">Основной склад</x:t>
        </x:is>
      </x:c>
      <x:c r="K795" s="31" t="inlineStr">
        <x:is>
          <x:t xml:space="preserve">СОТР-036</x:t>
        </x:is>
      </x:c>
      <x:c r="L795" s="31" t="inlineStr">
        <x:is>
          <x:t xml:space="preserve">ДОК-9869</x:t>
        </x:is>
      </x:c>
      <x:c r="M795" s="31" t="inlineStr">
        <x:is>
          <x:t xml:space="preserve">Проведен</x:t>
        </x:is>
      </x:c>
    </x:row>
    <x:row r="796">
      <x:c r="A796" s="31" t="inlineStr">
        <x:is>
          <x:t xml:space="preserve">СКЛ-000795</x:t>
        </x:is>
      </x:c>
      <x:c r="B796" s="31" t="n">
        <x:v>46127</x:v>
      </x:c>
      <x:c r="C796" s="31" t="inlineStr">
        <x:is>
          <x:t xml:space="preserve">Приход</x:t>
        </x:is>
      </x:c>
      <x:c r="D796" s="31" t="inlineStr">
        <x:is>
          <x:t xml:space="preserve">МАТ-0022</x:t>
        </x:is>
      </x:c>
      <x:c r="E796" s="31" t="inlineStr">
        <x:is>
          <x:t xml:space="preserve">Торцевое уплотнение / исп.2</x:t>
        </x:is>
      </x:c>
      <x:c r="F796" s="31" t="n">
        <x:v>20</x:v>
      </x:c>
      <x:c r="G796" s="31" t="inlineStr">
        <x:is>
          <x:t xml:space="preserve">шт</x:t>
        </x:is>
      </x:c>
      <x:c r="H796" s="31" t="n"/>
      <x:c r="I796" s="31" t="n"/>
      <x:c r="J796" s="31" t="inlineStr">
        <x:is>
          <x:t xml:space="preserve">Основной склад</x:t>
        </x:is>
      </x:c>
      <x:c r="K796" s="31" t="inlineStr">
        <x:is>
          <x:t xml:space="preserve">СОТР-034</x:t>
        </x:is>
      </x:c>
      <x:c r="L796" s="31" t="inlineStr">
        <x:is>
          <x:t xml:space="preserve">ДОК-5401</x:t>
        </x:is>
      </x:c>
      <x:c r="M796" s="31" t="inlineStr">
        <x:is>
          <x:t xml:space="preserve">Проведен</x:t>
        </x:is>
      </x:c>
    </x:row>
    <x:row r="797">
      <x:c r="A797" s="31" t="inlineStr">
        <x:is>
          <x:t xml:space="preserve">СКЛ-000796</x:t>
        </x:is>
      </x:c>
      <x:c r="B797" s="31" t="n">
        <x:v>46130</x:v>
      </x:c>
      <x:c r="C797" s="31" t="inlineStr">
        <x:is>
          <x:t xml:space="preserve">Приход</x:t>
        </x:is>
      </x:c>
      <x:c r="D797" s="31" t="inlineStr">
        <x:is>
          <x:t xml:space="preserve">МАТ-0001</x:t>
        </x:is>
      </x:c>
      <x:c r="E797" s="31" t="inlineStr">
        <x:is>
          <x:t xml:space="preserve">Лист стальной 09Г2С 8 мм</x:t>
        </x:is>
      </x:c>
      <x:c r="F797" s="31" t="n">
        <x:v>66.78</x:v>
      </x:c>
      <x:c r="G797" s="31" t="inlineStr">
        <x:is>
          <x:t xml:space="preserve">м</x:t>
        </x:is>
      </x:c>
      <x:c r="H797" s="31" t="n"/>
      <x:c r="I797" s="31" t="n"/>
      <x:c r="J797" s="31" t="inlineStr">
        <x:is>
          <x:t xml:space="preserve">Основной склад</x:t>
        </x:is>
      </x:c>
      <x:c r="K797" s="31" t="inlineStr">
        <x:is>
          <x:t xml:space="preserve">СОТР-024</x:t>
        </x:is>
      </x:c>
      <x:c r="L797" s="31" t="inlineStr">
        <x:is>
          <x:t xml:space="preserve">ДОК-3546</x:t>
        </x:is>
      </x:c>
      <x:c r="M797" s="31" t="inlineStr">
        <x:is>
          <x:t xml:space="preserve">Проведен</x:t>
        </x:is>
      </x:c>
    </x:row>
    <x:row r="798">
      <x:c r="A798" s="31" t="inlineStr">
        <x:is>
          <x:t xml:space="preserve">СКЛ-000797</x:t>
        </x:is>
      </x:c>
      <x:c r="B798" s="31" t="n">
        <x:v>46116</x:v>
      </x:c>
      <x:c r="C798" s="31" t="inlineStr">
        <x:is>
          <x:t xml:space="preserve">Возврат</x:t>
        </x:is>
      </x:c>
      <x:c r="D798" s="31" t="inlineStr">
        <x:is>
          <x:t xml:space="preserve">МАТ-0062</x:t>
        </x:is>
      </x:c>
      <x:c r="E798" s="31" t="inlineStr">
        <x:is>
          <x:t xml:space="preserve">Кабель КВВГ 4×1.5</x:t>
        </x:is>
      </x:c>
      <x:c r="F798" s="31" t="n">
        <x:v>14.67</x:v>
      </x:c>
      <x:c r="G798" s="31" t="inlineStr">
        <x:is>
          <x:t xml:space="preserve">м</x:t>
        </x:is>
      </x:c>
      <x:c r="H798" s="31" t="n"/>
      <x:c r="I798" s="31" t="n"/>
      <x:c r="J798" s="31" t="inlineStr">
        <x:is>
          <x:t xml:space="preserve">Цеховой склад</x:t>
        </x:is>
      </x:c>
      <x:c r="K798" s="31" t="inlineStr">
        <x:is>
          <x:t xml:space="preserve">СОТР-033</x:t>
        </x:is>
      </x:c>
      <x:c r="L798" s="31" t="inlineStr">
        <x:is>
          <x:t xml:space="preserve">ДОК-7520</x:t>
        </x:is>
      </x:c>
      <x:c r="M798" s="31" t="inlineStr">
        <x:is>
          <x:t xml:space="preserve">Проведен</x:t>
        </x:is>
      </x:c>
    </x:row>
    <x:row r="799">
      <x:c r="A799" s="31" t="inlineStr">
        <x:is>
          <x:t xml:space="preserve">СКЛ-000798</x:t>
        </x:is>
      </x:c>
      <x:c r="B799" s="31" t="n">
        <x:v>46136</x:v>
      </x:c>
      <x:c r="C799" s="31" t="inlineStr">
        <x:is>
          <x:t xml:space="preserve">Корректировка</x:t>
        </x:is>
      </x:c>
      <x:c r="D799" s="31" t="inlineStr">
        <x:is>
          <x:t xml:space="preserve">МАТ-0001</x:t>
        </x:is>
      </x:c>
      <x:c r="E799" s="31" t="inlineStr">
        <x:is>
          <x:t xml:space="preserve">Лист стальной 09Г2С 8 мм</x:t>
        </x:is>
      </x:c>
      <x:c r="F799" s="31" t="n">
        <x:v>35.61</x:v>
      </x:c>
      <x:c r="G799" s="31" t="inlineStr">
        <x:is>
          <x:t xml:space="preserve">м</x:t>
        </x:is>
      </x:c>
      <x:c r="H799" s="31" t="n"/>
      <x:c r="I799" s="31" t="n"/>
      <x:c r="J799" s="31" t="inlineStr">
        <x:is>
          <x:t xml:space="preserve">Основной склад</x:t>
        </x:is>
      </x:c>
      <x:c r="K799" s="31" t="inlineStr">
        <x:is>
          <x:t xml:space="preserve">СОТР-034</x:t>
        </x:is>
      </x:c>
      <x:c r="L799" s="31" t="inlineStr">
        <x:is>
          <x:t xml:space="preserve">ДОК-5780</x:t>
        </x:is>
      </x:c>
      <x:c r="M799" s="31" t="inlineStr">
        <x:is>
          <x:t xml:space="preserve">Проведен</x:t>
        </x:is>
      </x:c>
    </x:row>
    <x:row r="800">
      <x:c r="A800" s="31" t="inlineStr">
        <x:is>
          <x:t xml:space="preserve">СКЛ-000799</x:t>
        </x:is>
      </x:c>
      <x:c r="B800" s="31" t="n">
        <x:v>46038</x:v>
      </x:c>
      <x:c r="C800" s="31" t="inlineStr">
        <x:is>
          <x:t xml:space="preserve">Корректировка</x:t>
        </x:is>
      </x:c>
      <x:c r="D800" s="31" t="inlineStr">
        <x:is>
          <x:t xml:space="preserve">МАТ-0066</x:t>
        </x:is>
      </x:c>
      <x:c r="E800" s="31" t="inlineStr">
        <x:is>
          <x:t xml:space="preserve">Гофра металлическая / исп.2</x:t>
        </x:is>
      </x:c>
      <x:c r="F800" s="31" t="n">
        <x:v>58.37</x:v>
      </x:c>
      <x:c r="G800" s="31" t="inlineStr">
        <x:is>
          <x:t xml:space="preserve">кг</x:t>
        </x:is>
      </x:c>
      <x:c r="H800" s="31" t="n"/>
      <x:c r="I800" s="31" t="n"/>
      <x:c r="J800" s="31" t="inlineStr">
        <x:is>
          <x:t xml:space="preserve">Основной склад</x:t>
        </x:is>
      </x:c>
      <x:c r="K800" s="31" t="inlineStr">
        <x:is>
          <x:t xml:space="preserve">СОТР-039</x:t>
        </x:is>
      </x:c>
      <x:c r="L800" s="31" t="inlineStr">
        <x:is>
          <x:t xml:space="preserve">ДОК-5185</x:t>
        </x:is>
      </x:c>
      <x:c r="M800" s="31" t="inlineStr">
        <x:is>
          <x:t xml:space="preserve">Проведен</x:t>
        </x:is>
      </x:c>
    </x:row>
    <x:row r="801">
      <x:c r="A801" s="31" t="inlineStr">
        <x:is>
          <x:t xml:space="preserve">СКЛ-000800</x:t>
        </x:is>
      </x:c>
      <x:c r="B801" s="31" t="n">
        <x:v>46162</x:v>
      </x:c>
      <x:c r="C801" s="31" t="inlineStr">
        <x:is>
          <x:t xml:space="preserve">Резерв</x:t>
        </x:is>
      </x:c>
      <x:c r="D801" s="31" t="inlineStr">
        <x:is>
          <x:t xml:space="preserve">МАТ-0021</x:t>
        </x:is>
      </x:c>
      <x:c r="E801" s="31" t="inlineStr">
        <x:is>
          <x:t xml:space="preserve">Торцевое уплотнение</x:t>
        </x:is>
      </x:c>
      <x:c r="F801" s="31" t="n">
        <x:v>-1</x:v>
      </x:c>
      <x:c r="G801" s="31" t="inlineStr">
        <x:is>
          <x:t xml:space="preserve">шт</x:t>
        </x:is>
      </x:c>
      <x:c r="H801" s="31" t="inlineStr">
        <x:is>
          <x:t xml:space="preserve">ЗК-1109</x:t>
        </x:is>
      </x:c>
      <x:c r="I801" s="31" t="n"/>
      <x:c r="J801" s="31" t="inlineStr">
        <x:is>
          <x:t xml:space="preserve">Цеховой склад</x:t>
        </x:is>
      </x:c>
      <x:c r="K801" s="31" t="inlineStr">
        <x:is>
          <x:t xml:space="preserve">СОТР-037</x:t>
        </x:is>
      </x:c>
      <x:c r="L801" s="31" t="inlineStr">
        <x:is>
          <x:t xml:space="preserve">ДОК-6226</x:t>
        </x:is>
      </x:c>
      <x:c r="M801" s="31" t="inlineStr">
        <x:is>
          <x:t xml:space="preserve">Проведен</x:t>
        </x:is>
      </x:c>
    </x:row>
    <x:row r="802">
      <x:c r="A802" s="31" t="inlineStr">
        <x:is>
          <x:t xml:space="preserve">СКЛ-000801</x:t>
        </x:is>
      </x:c>
      <x:c r="B802" s="31" t="n">
        <x:v>46031</x:v>
      </x:c>
      <x:c r="C802" s="31" t="inlineStr">
        <x:is>
          <x:t xml:space="preserve">Выдача в производство</x:t>
        </x:is>
      </x:c>
      <x:c r="D802" s="31" t="inlineStr">
        <x:is>
          <x:t xml:space="preserve">МАТ-0002</x:t>
        </x:is>
      </x:c>
      <x:c r="E802" s="31" t="inlineStr">
        <x:is>
          <x:t xml:space="preserve">Лист стальной 09Г2С 12 мм</x:t>
        </x:is>
      </x:c>
      <x:c r="F802" s="31" t="n">
        <x:v>-73.52</x:v>
      </x:c>
      <x:c r="G802" s="31" t="inlineStr">
        <x:is>
          <x:t xml:space="preserve">кг</x:t>
        </x:is>
      </x:c>
      <x:c r="H802" s="31" t="inlineStr">
        <x:is>
          <x:t xml:space="preserve">ЗК-1020</x:t>
        </x:is>
      </x:c>
      <x:c r="I802" s="31" t="inlineStr">
        <x:is>
          <x:t xml:space="preserve">ПЗ-00237</x:t>
        </x:is>
      </x:c>
      <x:c r="J802" s="31" t="inlineStr">
        <x:is>
          <x:t xml:space="preserve">Цеховой склад</x:t>
        </x:is>
      </x:c>
      <x:c r="K802" s="31" t="inlineStr">
        <x:is>
          <x:t xml:space="preserve">СОТР-035</x:t>
        </x:is>
      </x:c>
      <x:c r="L802" s="31" t="inlineStr">
        <x:is>
          <x:t xml:space="preserve">ДОК-4385</x:t>
        </x:is>
      </x:c>
      <x:c r="M802" s="31" t="inlineStr">
        <x:is>
          <x:t xml:space="preserve">Проведен</x:t>
        </x:is>
      </x:c>
    </x:row>
    <x:row r="803">
      <x:c r="A803" s="31" t="inlineStr">
        <x:is>
          <x:t xml:space="preserve">СКЛ-000802</x:t>
        </x:is>
      </x:c>
      <x:c r="B803" s="31" t="n">
        <x:v>46039</x:v>
      </x:c>
      <x:c r="C803" s="31" t="inlineStr">
        <x:is>
          <x:t xml:space="preserve">Приход</x:t>
        </x:is>
      </x:c>
      <x:c r="D803" s="31" t="inlineStr">
        <x:is>
          <x:t xml:space="preserve">МАТ-0031</x:t>
        </x:is>
      </x:c>
      <x:c r="E803" s="31" t="inlineStr">
        <x:is>
          <x:t xml:space="preserve">Датчик давления 0-16 бар</x:t>
        </x:is>
      </x:c>
      <x:c r="F803" s="31" t="n">
        <x:v>10</x:v>
      </x:c>
      <x:c r="G803" s="31" t="inlineStr">
        <x:is>
          <x:t xml:space="preserve">шт</x:t>
        </x:is>
      </x:c>
      <x:c r="H803" s="31" t="n"/>
      <x:c r="I803" s="31" t="n"/>
      <x:c r="J803" s="31" t="inlineStr">
        <x:is>
          <x:t xml:space="preserve">Основной склад</x:t>
        </x:is>
      </x:c>
      <x:c r="K803" s="31" t="inlineStr">
        <x:is>
          <x:t xml:space="preserve">СОТР-039</x:t>
        </x:is>
      </x:c>
      <x:c r="L803" s="31" t="inlineStr">
        <x:is>
          <x:t xml:space="preserve">ДОК-7015</x:t>
        </x:is>
      </x:c>
      <x:c r="M803" s="31" t="inlineStr">
        <x:is>
          <x:t xml:space="preserve">Проведен</x:t>
        </x:is>
      </x:c>
    </x:row>
    <x:row r="804">
      <x:c r="A804" s="31" t="inlineStr">
        <x:is>
          <x:t xml:space="preserve">СКЛ-000803</x:t>
        </x:is>
      </x:c>
      <x:c r="B804" s="31" t="n">
        <x:v>46134</x:v>
      </x:c>
      <x:c r="C804" s="31" t="inlineStr">
        <x:is>
          <x:t xml:space="preserve">Резерв</x:t>
        </x:is>
      </x:c>
      <x:c r="D804" s="31" t="inlineStr">
        <x:is>
          <x:t xml:space="preserve">МАТ-0024</x:t>
        </x:is>
      </x:c>
      <x:c r="E804" s="31" t="inlineStr">
        <x:is>
          <x:t xml:space="preserve">Рабочее колесо / исп.2</x:t>
        </x:is>
      </x:c>
      <x:c r="F804" s="31" t="n">
        <x:v>-3</x:v>
      </x:c>
      <x:c r="G804" s="31" t="inlineStr">
        <x:is>
          <x:t xml:space="preserve">шт</x:t>
        </x:is>
      </x:c>
      <x:c r="H804" s="31" t="inlineStr">
        <x:is>
          <x:t xml:space="preserve">ЗК-1011</x:t>
        </x:is>
      </x:c>
      <x:c r="I804" s="31" t="n"/>
      <x:c r="J804" s="31" t="inlineStr">
        <x:is>
          <x:t xml:space="preserve">Основной склад</x:t>
        </x:is>
      </x:c>
      <x:c r="K804" s="31" t="inlineStr">
        <x:is>
          <x:t xml:space="preserve">СОТР-037</x:t>
        </x:is>
      </x:c>
      <x:c r="L804" s="31" t="inlineStr">
        <x:is>
          <x:t xml:space="preserve">ДОК-6978</x:t>
        </x:is>
      </x:c>
      <x:c r="M804" s="31" t="inlineStr">
        <x:is>
          <x:t xml:space="preserve">Проведен</x:t>
        </x:is>
      </x:c>
    </x:row>
    <x:row r="805">
      <x:c r="A805" s="31" t="inlineStr">
        <x:is>
          <x:t xml:space="preserve">СКЛ-000804</x:t>
        </x:is>
      </x:c>
      <x:c r="B805" s="31" t="n">
        <x:v>46049</x:v>
      </x:c>
      <x:c r="C805" s="31" t="inlineStr">
        <x:is>
          <x:t xml:space="preserve">Выдача в производство</x:t>
        </x:is>
      </x:c>
      <x:c r="D805" s="31" t="inlineStr">
        <x:is>
          <x:t xml:space="preserve">МАТ-0039</x:t>
        </x:is>
      </x:c>
      <x:c r="E805" s="31" t="inlineStr">
        <x:is>
          <x:t xml:space="preserve">ПЛК 24 дискр. входа / 16 дискр. выхода / исп.2</x:t>
        </x:is>
      </x:c>
      <x:c r="F805" s="31" t="n">
        <x:v>-18</x:v>
      </x:c>
      <x:c r="G805" s="31" t="inlineStr">
        <x:is>
          <x:t xml:space="preserve">шт</x:t>
        </x:is>
      </x:c>
      <x:c r="H805" s="31" t="inlineStr">
        <x:is>
          <x:t xml:space="preserve">ЗК-1046</x:t>
        </x:is>
      </x:c>
      <x:c r="I805" s="31" t="inlineStr">
        <x:is>
          <x:t xml:space="preserve">ПЗ-00077</x:t>
        </x:is>
      </x:c>
      <x:c r="J805" s="31" t="inlineStr">
        <x:is>
          <x:t xml:space="preserve">Брак/карантин</x:t>
        </x:is>
      </x:c>
      <x:c r="K805" s="31" t="inlineStr">
        <x:is>
          <x:t xml:space="preserve">СОТР-039</x:t>
        </x:is>
      </x:c>
      <x:c r="L805" s="31" t="inlineStr">
        <x:is>
          <x:t xml:space="preserve">ДОК-1052</x:t>
        </x:is>
      </x:c>
      <x:c r="M805" s="31" t="inlineStr">
        <x:is>
          <x:t xml:space="preserve">Проведен</x:t>
        </x:is>
      </x:c>
    </x:row>
    <x:row r="806">
      <x:c r="A806" s="31" t="inlineStr">
        <x:is>
          <x:t xml:space="preserve">СКЛ-000805</x:t>
        </x:is>
      </x:c>
      <x:c r="B806" s="31" t="n">
        <x:v>46111</x:v>
      </x:c>
      <x:c r="C806" s="31" t="inlineStr">
        <x:is>
          <x:t xml:space="preserve">Приход</x:t>
        </x:is>
      </x:c>
      <x:c r="D806" s="31" t="inlineStr">
        <x:is>
          <x:t xml:space="preserve">МАТ-0051</x:t>
        </x:is>
      </x:c>
      <x:c r="E806" s="31" t="inlineStr">
        <x:is>
          <x:t xml:space="preserve">Кран шаровой Ду50</x:t>
        </x:is>
      </x:c>
      <x:c r="F806" s="31" t="n">
        <x:v>11</x:v>
      </x:c>
      <x:c r="G806" s="31" t="inlineStr">
        <x:is>
          <x:t xml:space="preserve">шт</x:t>
        </x:is>
      </x:c>
      <x:c r="H806" s="31" t="n"/>
      <x:c r="I806" s="31" t="n"/>
      <x:c r="J806" s="31" t="inlineStr">
        <x:is>
          <x:t xml:space="preserve">Основной склад</x:t>
        </x:is>
      </x:c>
      <x:c r="K806" s="31" t="inlineStr">
        <x:is>
          <x:t xml:space="preserve">СОТР-036</x:t>
        </x:is>
      </x:c>
      <x:c r="L806" s="31" t="inlineStr">
        <x:is>
          <x:t xml:space="preserve">ДОК-2897</x:t>
        </x:is>
      </x:c>
      <x:c r="M806" s="31" t="inlineStr">
        <x:is>
          <x:t xml:space="preserve">Проведен</x:t>
        </x:is>
      </x:c>
    </x:row>
    <x:row r="807">
      <x:c r="A807" s="31" t="inlineStr">
        <x:is>
          <x:t xml:space="preserve">СКЛ-000806</x:t>
        </x:is>
      </x:c>
      <x:c r="B807" s="31" t="n">
        <x:v>46141</x:v>
      </x:c>
      <x:c r="C807" s="31" t="inlineStr">
        <x:is>
          <x:t xml:space="preserve">Приход</x:t>
        </x:is>
      </x:c>
      <x:c r="D807" s="31" t="inlineStr">
        <x:is>
          <x:t xml:space="preserve">МАТ-0052</x:t>
        </x:is>
      </x:c>
      <x:c r="E807" s="31" t="inlineStr">
        <x:is>
          <x:t xml:space="preserve">Кран шаровой Ду50 / исп.2</x:t>
        </x:is>
      </x:c>
      <x:c r="F807" s="31" t="n">
        <x:v>1</x:v>
      </x:c>
      <x:c r="G807" s="31" t="inlineStr">
        <x:is>
          <x:t xml:space="preserve">шт</x:t>
        </x:is>
      </x:c>
      <x:c r="H807" s="31" t="n"/>
      <x:c r="I807" s="31" t="n"/>
      <x:c r="J807" s="31" t="inlineStr">
        <x:is>
          <x:t xml:space="preserve">Брак/карантин</x:t>
        </x:is>
      </x:c>
      <x:c r="K807" s="31" t="inlineStr">
        <x:is>
          <x:t xml:space="preserve">СОТР-033</x:t>
        </x:is>
      </x:c>
      <x:c r="L807" s="31" t="inlineStr">
        <x:is>
          <x:t xml:space="preserve">ДОК-7685</x:t>
        </x:is>
      </x:c>
      <x:c r="M807" s="31" t="inlineStr">
        <x:is>
          <x:t xml:space="preserve">Проведен</x:t>
        </x:is>
      </x:c>
    </x:row>
    <x:row r="808">
      <x:c r="A808" s="31" t="inlineStr">
        <x:is>
          <x:t xml:space="preserve">СКЛ-000807</x:t>
        </x:is>
      </x:c>
      <x:c r="B808" s="31" t="n">
        <x:v>46080</x:v>
      </x:c>
      <x:c r="C808" s="31" t="inlineStr">
        <x:is>
          <x:t xml:space="preserve">Возврат</x:t>
        </x:is>
      </x:c>
      <x:c r="D808" s="31" t="inlineStr">
        <x:is>
          <x:t xml:space="preserve">МАТ-0087</x:t>
        </x:is>
      </x:c>
      <x:c r="E808" s="31" t="inlineStr">
        <x:is>
          <x:t xml:space="preserve">Ящик фанерный</x:t>
        </x:is>
      </x:c>
      <x:c r="F808" s="31" t="n">
        <x:v>11</x:v>
      </x:c>
      <x:c r="G808" s="31" t="inlineStr">
        <x:is>
          <x:t xml:space="preserve">шт</x:t>
        </x:is>
      </x:c>
      <x:c r="H808" s="31" t="n"/>
      <x:c r="I808" s="31" t="n"/>
      <x:c r="J808" s="31" t="inlineStr">
        <x:is>
          <x:t xml:space="preserve">Брак/карантин</x:t>
        </x:is>
      </x:c>
      <x:c r="K808" s="31" t="inlineStr">
        <x:is>
          <x:t xml:space="preserve">СОТР-039</x:t>
        </x:is>
      </x:c>
      <x:c r="L808" s="31" t="inlineStr">
        <x:is>
          <x:t xml:space="preserve">ДОК-7200</x:t>
        </x:is>
      </x:c>
      <x:c r="M808" s="31" t="inlineStr">
        <x:is>
          <x:t xml:space="preserve">Проведен</x:t>
        </x:is>
      </x:c>
    </x:row>
    <x:row r="809">
      <x:c r="A809" s="31" t="inlineStr">
        <x:is>
          <x:t xml:space="preserve">СКЛ-000808</x:t>
        </x:is>
      </x:c>
      <x:c r="B809" s="31" t="n">
        <x:v>46126</x:v>
      </x:c>
      <x:c r="C809" s="31" t="inlineStr">
        <x:is>
          <x:t xml:space="preserve">Приход</x:t>
        </x:is>
      </x:c>
      <x:c r="D809" s="31" t="inlineStr">
        <x:is>
          <x:t xml:space="preserve">МАТ-0089</x:t>
        </x:is>
      </x:c>
      <x:c r="E809" s="31" t="inlineStr">
        <x:is>
          <x:t xml:space="preserve">Маркировочная этикетка</x:t>
        </x:is>
      </x:c>
      <x:c r="F809" s="31" t="n">
        <x:v>10</x:v>
      </x:c>
      <x:c r="G809" s="31" t="inlineStr">
        <x:is>
          <x:t xml:space="preserve">шт</x:t>
        </x:is>
      </x:c>
      <x:c r="H809" s="31" t="n"/>
      <x:c r="I809" s="31" t="n"/>
      <x:c r="J809" s="31" t="inlineStr">
        <x:is>
          <x:t xml:space="preserve">Основной склад</x:t>
        </x:is>
      </x:c>
      <x:c r="K809" s="31" t="inlineStr">
        <x:is>
          <x:t xml:space="preserve">СОТР-039</x:t>
        </x:is>
      </x:c>
      <x:c r="L809" s="31" t="inlineStr">
        <x:is>
          <x:t xml:space="preserve">ДОК-2497</x:t>
        </x:is>
      </x:c>
      <x:c r="M809" s="31" t="inlineStr">
        <x:is>
          <x:t xml:space="preserve">Проведен</x:t>
        </x:is>
      </x:c>
    </x:row>
    <x:row r="810">
      <x:c r="A810" s="31" t="inlineStr">
        <x:is>
          <x:t xml:space="preserve">СКЛ-000809</x:t>
        </x:is>
      </x:c>
      <x:c r="B810" s="31" t="n">
        <x:v>46189</x:v>
      </x:c>
      <x:c r="C810" s="31" t="inlineStr">
        <x:is>
          <x:t xml:space="preserve">Приход</x:t>
        </x:is>
      </x:c>
      <x:c r="D810" s="31" t="inlineStr">
        <x:is>
          <x:t xml:space="preserve">МАТ-0038</x:t>
        </x:is>
      </x:c>
      <x:c r="E810" s="31" t="inlineStr">
        <x:is>
          <x:t xml:space="preserve">ПЛК 24 дискр. входа / 16 дискр. выхода</x:t>
        </x:is>
      </x:c>
      <x:c r="F810" s="31" t="n">
        <x:v>13</x:v>
      </x:c>
      <x:c r="G810" s="31" t="inlineStr">
        <x:is>
          <x:t xml:space="preserve">шт</x:t>
        </x:is>
      </x:c>
      <x:c r="H810" s="31" t="n"/>
      <x:c r="I810" s="31" t="n"/>
      <x:c r="J810" s="31" t="inlineStr">
        <x:is>
          <x:t xml:space="preserve">Брак/карантин</x:t>
        </x:is>
      </x:c>
      <x:c r="K810" s="31" t="inlineStr">
        <x:is>
          <x:t xml:space="preserve">СОТР-037</x:t>
        </x:is>
      </x:c>
      <x:c r="L810" s="31" t="inlineStr">
        <x:is>
          <x:t xml:space="preserve">ДОК-8506</x:t>
        </x:is>
      </x:c>
      <x:c r="M810" s="31" t="inlineStr">
        <x:is>
          <x:t xml:space="preserve">Проведен</x:t>
        </x:is>
      </x:c>
    </x:row>
    <x:row r="811">
      <x:c r="A811" s="31" t="inlineStr">
        <x:is>
          <x:t xml:space="preserve">СКЛ-000810</x:t>
        </x:is>
      </x:c>
      <x:c r="B811" s="31" t="n">
        <x:v>46173</x:v>
      </x:c>
      <x:c r="C811" s="31" t="inlineStr">
        <x:is>
          <x:t xml:space="preserve">Резерв</x:t>
        </x:is>
      </x:c>
      <x:c r="D811" s="31" t="inlineStr">
        <x:is>
          <x:t xml:space="preserve">МАТ-0047</x:t>
        </x:is>
      </x:c>
      <x:c r="E811" s="31" t="inlineStr">
        <x:is>
          <x:t xml:space="preserve">Контактор 25А / исп.2</x:t>
        </x:is>
      </x:c>
      <x:c r="F811" s="31" t="n">
        <x:v>-13</x:v>
      </x:c>
      <x:c r="G811" s="31" t="inlineStr">
        <x:is>
          <x:t xml:space="preserve">шт</x:t>
        </x:is>
      </x:c>
      <x:c r="H811" s="31" t="inlineStr">
        <x:is>
          <x:t xml:space="preserve">ЗК-1007</x:t>
        </x:is>
      </x:c>
      <x:c r="I811" s="31" t="n"/>
      <x:c r="J811" s="31" t="inlineStr">
        <x:is>
          <x:t xml:space="preserve">Основной склад</x:t>
        </x:is>
      </x:c>
      <x:c r="K811" s="31" t="inlineStr">
        <x:is>
          <x:t xml:space="preserve">СОТР-034</x:t>
        </x:is>
      </x:c>
      <x:c r="L811" s="31" t="inlineStr">
        <x:is>
          <x:t xml:space="preserve">ДОК-7847</x:t>
        </x:is>
      </x:c>
      <x:c r="M811" s="31" t="inlineStr">
        <x:is>
          <x:t xml:space="preserve">Проведен</x:t>
        </x:is>
      </x:c>
    </x:row>
    <x:row r="812">
      <x:c r="A812" s="31" t="inlineStr">
        <x:is>
          <x:t xml:space="preserve">СКЛ-000811</x:t>
        </x:is>
      </x:c>
      <x:c r="B812" s="31" t="n">
        <x:v>46170</x:v>
      </x:c>
      <x:c r="C812" s="31" t="inlineStr">
        <x:is>
          <x:t xml:space="preserve">Приход</x:t>
        </x:is>
      </x:c>
      <x:c r="D812" s="31" t="inlineStr">
        <x:is>
          <x:t xml:space="preserve">МАТ-0025</x:t>
        </x:is>
      </x:c>
      <x:c r="E812" s="31" t="inlineStr">
        <x:is>
          <x:t xml:space="preserve">Двигатель 7.5 кВт</x:t>
        </x:is>
      </x:c>
      <x:c r="F812" s="31" t="n">
        <x:v>17</x:v>
      </x:c>
      <x:c r="G812" s="31" t="inlineStr">
        <x:is>
          <x:t xml:space="preserve">шт</x:t>
        </x:is>
      </x:c>
      <x:c r="H812" s="31" t="n"/>
      <x:c r="I812" s="31" t="n"/>
      <x:c r="J812" s="31" t="inlineStr">
        <x:is>
          <x:t xml:space="preserve">Основной склад</x:t>
        </x:is>
      </x:c>
      <x:c r="K812" s="31" t="inlineStr">
        <x:is>
          <x:t xml:space="preserve">СОТР-036</x:t>
        </x:is>
      </x:c>
      <x:c r="L812" s="31" t="inlineStr">
        <x:is>
          <x:t xml:space="preserve">ДОК-8130</x:t>
        </x:is>
      </x:c>
      <x:c r="M812" s="31" t="inlineStr">
        <x:is>
          <x:t xml:space="preserve">Проведен</x:t>
        </x:is>
      </x:c>
    </x:row>
    <x:row r="813">
      <x:c r="A813" s="31" t="inlineStr">
        <x:is>
          <x:t xml:space="preserve">СКЛ-000812</x:t>
        </x:is>
      </x:c>
      <x:c r="B813" s="31" t="n">
        <x:v>46150</x:v>
      </x:c>
      <x:c r="C813" s="31" t="inlineStr">
        <x:is>
          <x:t xml:space="preserve">Выдача в производство</x:t>
        </x:is>
      </x:c>
      <x:c r="D813" s="31" t="inlineStr">
        <x:is>
          <x:t xml:space="preserve">МАТ-0049</x:t>
        </x:is>
      </x:c>
      <x:c r="E813" s="31" t="inlineStr">
        <x:is>
          <x:t xml:space="preserve">Рейковая клемма</x:t>
        </x:is>
      </x:c>
      <x:c r="F813" s="31" t="n">
        <x:v>-17</x:v>
      </x:c>
      <x:c r="G813" s="31" t="inlineStr">
        <x:is>
          <x:t xml:space="preserve">шт</x:t>
        </x:is>
      </x:c>
      <x:c r="H813" s="31" t="inlineStr">
        <x:is>
          <x:t xml:space="preserve">ЗК-1106</x:t>
        </x:is>
      </x:c>
      <x:c r="I813" s="31" t="inlineStr">
        <x:is>
          <x:t xml:space="preserve">ПЗ-00060</x:t>
        </x:is>
      </x:c>
      <x:c r="J813" s="31" t="inlineStr">
        <x:is>
          <x:t xml:space="preserve">Цеховой склад</x:t>
        </x:is>
      </x:c>
      <x:c r="K813" s="31" t="inlineStr">
        <x:is>
          <x:t xml:space="preserve">СОТР-024</x:t>
        </x:is>
      </x:c>
      <x:c r="L813" s="31" t="inlineStr">
        <x:is>
          <x:t xml:space="preserve">ДОК-5725</x:t>
        </x:is>
      </x:c>
      <x:c r="M813" s="31" t="inlineStr">
        <x:is>
          <x:t xml:space="preserve">Проведен</x:t>
        </x:is>
      </x:c>
    </x:row>
    <x:row r="814">
      <x:c r="A814" s="31" t="inlineStr">
        <x:is>
          <x:t xml:space="preserve">СКЛ-000813</x:t>
        </x:is>
      </x:c>
      <x:c r="B814" s="31" t="n">
        <x:v>46088</x:v>
      </x:c>
      <x:c r="C814" s="31" t="inlineStr">
        <x:is>
          <x:t xml:space="preserve">Приход</x:t>
        </x:is>
      </x:c>
      <x:c r="D814" s="31" t="inlineStr">
        <x:is>
          <x:t xml:space="preserve">МАТ-0082</x:t>
        </x:is>
      </x:c>
      <x:c r="E814" s="31" t="inlineStr">
        <x:is>
          <x:t xml:space="preserve">Шайба 12 / исп.2</x:t>
        </x:is>
      </x:c>
      <x:c r="F814" s="31" t="n">
        <x:v>14</x:v>
      </x:c>
      <x:c r="G814" s="31" t="inlineStr">
        <x:is>
          <x:t xml:space="preserve">шт</x:t>
        </x:is>
      </x:c>
      <x:c r="H814" s="31" t="n"/>
      <x:c r="I814" s="31" t="n"/>
      <x:c r="J814" s="31" t="inlineStr">
        <x:is>
          <x:t xml:space="preserve">Брак/карантин</x:t>
        </x:is>
      </x:c>
      <x:c r="K814" s="31" t="inlineStr">
        <x:is>
          <x:t xml:space="preserve">СОТР-039</x:t>
        </x:is>
      </x:c>
      <x:c r="L814" s="31" t="inlineStr">
        <x:is>
          <x:t xml:space="preserve">ДОК-5261</x:t>
        </x:is>
      </x:c>
      <x:c r="M814" s="31" t="inlineStr">
        <x:is>
          <x:t xml:space="preserve">Проведен</x:t>
        </x:is>
      </x:c>
    </x:row>
    <x:row r="815">
      <x:c r="A815" s="31" t="inlineStr">
        <x:is>
          <x:t xml:space="preserve">СКЛ-000814</x:t>
        </x:is>
      </x:c>
      <x:c r="B815" s="31" t="n">
        <x:v>46061</x:v>
      </x:c>
      <x:c r="C815" s="31" t="inlineStr">
        <x:is>
          <x:t xml:space="preserve">Возврат</x:t>
        </x:is>
      </x:c>
      <x:c r="D815" s="31" t="inlineStr">
        <x:is>
          <x:t xml:space="preserve">МАТ-0018</x:t>
        </x:is>
      </x:c>
      <x:c r="E815" s="31" t="inlineStr">
        <x:is>
          <x:t xml:space="preserve">Насос шестеренный 7.5 кВт / исп.2</x:t>
        </x:is>
      </x:c>
      <x:c r="F815" s="31" t="n">
        <x:v>13</x:v>
      </x:c>
      <x:c r="G815" s="31" t="inlineStr">
        <x:is>
          <x:t xml:space="preserve">шт</x:t>
        </x:is>
      </x:c>
      <x:c r="H815" s="31" t="n"/>
      <x:c r="I815" s="31" t="n"/>
      <x:c r="J815" s="31" t="inlineStr">
        <x:is>
          <x:t xml:space="preserve">Брак/карантин</x:t>
        </x:is>
      </x:c>
      <x:c r="K815" s="31" t="inlineStr">
        <x:is>
          <x:t xml:space="preserve">СОТР-035</x:t>
        </x:is>
      </x:c>
      <x:c r="L815" s="31" t="inlineStr">
        <x:is>
          <x:t xml:space="preserve">ДОК-8375</x:t>
        </x:is>
      </x:c>
      <x:c r="M815" s="31" t="inlineStr">
        <x:is>
          <x:t xml:space="preserve">Проведен</x:t>
        </x:is>
      </x:c>
    </x:row>
    <x:row r="816">
      <x:c r="A816" s="31" t="inlineStr">
        <x:is>
          <x:t xml:space="preserve">СКЛ-000815</x:t>
        </x:is>
      </x:c>
      <x:c r="B816" s="31" t="n">
        <x:v>46084</x:v>
      </x:c>
      <x:c r="C816" s="31" t="inlineStr">
        <x:is>
          <x:t xml:space="preserve">Приход</x:t>
        </x:is>
      </x:c>
      <x:c r="D816" s="31" t="inlineStr">
        <x:is>
          <x:t xml:space="preserve">МАТ-0022</x:t>
        </x:is>
      </x:c>
      <x:c r="E816" s="31" t="inlineStr">
        <x:is>
          <x:t xml:space="preserve">Торцевое уплотнение / исп.2</x:t>
        </x:is>
      </x:c>
      <x:c r="F816" s="31" t="n">
        <x:v>20</x:v>
      </x:c>
      <x:c r="G816" s="31" t="inlineStr">
        <x:is>
          <x:t xml:space="preserve">шт</x:t>
        </x:is>
      </x:c>
      <x:c r="H816" s="31" t="n"/>
      <x:c r="I816" s="31" t="n"/>
      <x:c r="J816" s="31" t="inlineStr">
        <x:is>
          <x:t xml:space="preserve">Цеховой склад</x:t>
        </x:is>
      </x:c>
      <x:c r="K816" s="31" t="inlineStr">
        <x:is>
          <x:t xml:space="preserve">СОТР-036</x:t>
        </x:is>
      </x:c>
      <x:c r="L816" s="31" t="inlineStr">
        <x:is>
          <x:t xml:space="preserve">ДОК-5821</x:t>
        </x:is>
      </x:c>
      <x:c r="M816" s="31" t="inlineStr">
        <x:is>
          <x:t xml:space="preserve">Проведен</x:t>
        </x:is>
      </x:c>
    </x:row>
    <x:row r="817">
      <x:c r="A817" s="31" t="inlineStr">
        <x:is>
          <x:t xml:space="preserve">СКЛ-000816</x:t>
        </x:is>
      </x:c>
      <x:c r="B817" s="31" t="n">
        <x:v>46113</x:v>
      </x:c>
      <x:c r="C817" s="31" t="inlineStr">
        <x:is>
          <x:t xml:space="preserve">Выдача в производство</x:t>
        </x:is>
      </x:c>
      <x:c r="D817" s="31" t="inlineStr">
        <x:is>
          <x:t xml:space="preserve">МАТ-0009</x:t>
        </x:is>
      </x:c>
      <x:c r="E817" s="31" t="inlineStr">
        <x:is>
          <x:t xml:space="preserve">Фланец Ду50 Ру16</x:t>
        </x:is>
      </x:c>
      <x:c r="F817" s="31" t="n">
        <x:v>-22.7</x:v>
      </x:c>
      <x:c r="G817" s="31" t="inlineStr">
        <x:is>
          <x:t xml:space="preserve">л</x:t>
        </x:is>
      </x:c>
      <x:c r="H817" s="31" t="inlineStr">
        <x:is>
          <x:t xml:space="preserve">ЗК-1017</x:t>
        </x:is>
      </x:c>
      <x:c r="I817" s="31" t="inlineStr">
        <x:is>
          <x:t xml:space="preserve">ПЗ-00102</x:t>
        </x:is>
      </x:c>
      <x:c r="J817" s="31" t="inlineStr">
        <x:is>
          <x:t xml:space="preserve">Основной склад</x:t>
        </x:is>
      </x:c>
      <x:c r="K817" s="31" t="inlineStr">
        <x:is>
          <x:t xml:space="preserve">СОТР-039</x:t>
        </x:is>
      </x:c>
      <x:c r="L817" s="31" t="inlineStr">
        <x:is>
          <x:t xml:space="preserve">ДОК-1500</x:t>
        </x:is>
      </x:c>
      <x:c r="M817" s="31" t="inlineStr">
        <x:is>
          <x:t xml:space="preserve">Черновик</x:t>
        </x:is>
      </x:c>
    </x:row>
    <x:row r="818">
      <x:c r="A818" s="31" t="inlineStr">
        <x:is>
          <x:t xml:space="preserve">СКЛ-000817</x:t>
        </x:is>
      </x:c>
      <x:c r="B818" s="31" t="n">
        <x:v>46130</x:v>
      </x:c>
      <x:c r="C818" s="31" t="inlineStr">
        <x:is>
          <x:t xml:space="preserve">Приход</x:t>
        </x:is>
      </x:c>
      <x:c r="D818" s="31" t="inlineStr">
        <x:is>
          <x:t xml:space="preserve">МАТ-0061</x:t>
        </x:is>
      </x:c>
      <x:c r="E818" s="31" t="inlineStr">
        <x:is>
          <x:t xml:space="preserve">Фильтр сетчатый Ду50 / исп.3</x:t>
        </x:is>
      </x:c>
      <x:c r="F818" s="31" t="n">
        <x:v>13</x:v>
      </x:c>
      <x:c r="G818" s="31" t="inlineStr">
        <x:is>
          <x:t xml:space="preserve">шт</x:t>
        </x:is>
      </x:c>
      <x:c r="H818" s="31" t="n"/>
      <x:c r="I818" s="31" t="n"/>
      <x:c r="J818" s="31" t="inlineStr">
        <x:is>
          <x:t xml:space="preserve">Цеховой склад</x:t>
        </x:is>
      </x:c>
      <x:c r="K818" s="31" t="inlineStr">
        <x:is>
          <x:t xml:space="preserve">СОТР-039</x:t>
        </x:is>
      </x:c>
      <x:c r="L818" s="31" t="inlineStr">
        <x:is>
          <x:t xml:space="preserve">ДОК-3148</x:t>
        </x:is>
      </x:c>
      <x:c r="M818" s="31" t="inlineStr">
        <x:is>
          <x:t xml:space="preserve">Черновик</x:t>
        </x:is>
      </x:c>
    </x:row>
    <x:row r="819">
      <x:c r="A819" s="31" t="inlineStr">
        <x:is>
          <x:t xml:space="preserve">СКЛ-000818</x:t>
        </x:is>
      </x:c>
      <x:c r="B819" s="31" t="n">
        <x:v>46120</x:v>
      </x:c>
      <x:c r="C819" s="31" t="inlineStr">
        <x:is>
          <x:t xml:space="preserve">Резерв</x:t>
        </x:is>
      </x:c>
      <x:c r="D819" s="31" t="inlineStr">
        <x:is>
          <x:t xml:space="preserve">МАТ-0008</x:t>
        </x:is>
      </x:c>
      <x:c r="E819" s="31" t="inlineStr">
        <x:is>
          <x:t xml:space="preserve">Швеллер 12П</x:t>
        </x:is>
      </x:c>
      <x:c r="F819" s="31" t="n">
        <x:v>-14</x:v>
      </x:c>
      <x:c r="G819" s="31" t="inlineStr">
        <x:is>
          <x:t xml:space="preserve">шт</x:t>
        </x:is>
      </x:c>
      <x:c r="H819" s="31" t="inlineStr">
        <x:is>
          <x:t xml:space="preserve">ЗК-1045</x:t>
        </x:is>
      </x:c>
      <x:c r="I819" s="31" t="n"/>
      <x:c r="J819" s="31" t="inlineStr">
        <x:is>
          <x:t xml:space="preserve">Основной склад</x:t>
        </x:is>
      </x:c>
      <x:c r="K819" s="31" t="inlineStr">
        <x:is>
          <x:t xml:space="preserve">СОТР-035</x:t>
        </x:is>
      </x:c>
      <x:c r="L819" s="31" t="inlineStr">
        <x:is>
          <x:t xml:space="preserve">ДОК-8242</x:t>
        </x:is>
      </x:c>
      <x:c r="M819" s="31" t="inlineStr">
        <x:is>
          <x:t xml:space="preserve">Проведен</x:t>
        </x:is>
      </x:c>
    </x:row>
    <x:row r="820">
      <x:c r="A820" s="31" t="inlineStr">
        <x:is>
          <x:t xml:space="preserve">СКЛ-000819</x:t>
        </x:is>
      </x:c>
      <x:c r="B820" s="31" t="n">
        <x:v>46056</x:v>
      </x:c>
      <x:c r="C820" s="31" t="inlineStr">
        <x:is>
          <x:t xml:space="preserve">Выдача в производство</x:t>
        </x:is>
      </x:c>
      <x:c r="D820" s="31" t="inlineStr">
        <x:is>
          <x:t xml:space="preserve">МАТ-0083</x:t>
        </x:is>
      </x:c>
      <x:c r="E820" s="31" t="inlineStr">
        <x:is>
          <x:t xml:space="preserve">Анкер М16</x:t>
        </x:is>
      </x:c>
      <x:c r="F820" s="31" t="n">
        <x:v>-10</x:v>
      </x:c>
      <x:c r="G820" s="31" t="inlineStr">
        <x:is>
          <x:t xml:space="preserve">шт</x:t>
        </x:is>
      </x:c>
      <x:c r="H820" s="31" t="inlineStr">
        <x:is>
          <x:t xml:space="preserve">ЗК-1020</x:t>
        </x:is>
      </x:c>
      <x:c r="I820" s="31" t="inlineStr">
        <x:is>
          <x:t xml:space="preserve">ПЗ-00027</x:t>
        </x:is>
      </x:c>
      <x:c r="J820" s="31" t="inlineStr">
        <x:is>
          <x:t xml:space="preserve">Основной склад</x:t>
        </x:is>
      </x:c>
      <x:c r="K820" s="31" t="inlineStr">
        <x:is>
          <x:t xml:space="preserve">СОТР-039</x:t>
        </x:is>
      </x:c>
      <x:c r="L820" s="31" t="inlineStr">
        <x:is>
          <x:t xml:space="preserve">ДОК-8461</x:t>
        </x:is>
      </x:c>
      <x:c r="M820" s="31" t="inlineStr">
        <x:is>
          <x:t xml:space="preserve">Проведен</x:t>
        </x:is>
      </x:c>
    </x:row>
    <x:row r="821">
      <x:c r="A821" s="31" t="inlineStr">
        <x:is>
          <x:t xml:space="preserve">СКЛ-000820</x:t>
        </x:is>
      </x:c>
      <x:c r="B821" s="31" t="n">
        <x:v>46123</x:v>
      </x:c>
      <x:c r="C821" s="31" t="inlineStr">
        <x:is>
          <x:t xml:space="preserve">Корректировка</x:t>
        </x:is>
      </x:c>
      <x:c r="D821" s="31" t="inlineStr">
        <x:is>
          <x:t xml:space="preserve">МАТ-0049</x:t>
        </x:is>
      </x:c>
      <x:c r="E821" s="31" t="inlineStr">
        <x:is>
          <x:t xml:space="preserve">Рейковая клемма</x:t>
        </x:is>
      </x:c>
      <x:c r="F821" s="31" t="n">
        <x:v>20</x:v>
      </x:c>
      <x:c r="G821" s="31" t="inlineStr">
        <x:is>
          <x:t xml:space="preserve">шт</x:t>
        </x:is>
      </x:c>
      <x:c r="H821" s="31" t="n"/>
      <x:c r="I821" s="31" t="n"/>
      <x:c r="J821" s="31" t="inlineStr">
        <x:is>
          <x:t xml:space="preserve">Цеховой склад</x:t>
        </x:is>
      </x:c>
      <x:c r="K821" s="31" t="inlineStr">
        <x:is>
          <x:t xml:space="preserve">СОТР-035</x:t>
        </x:is>
      </x:c>
      <x:c r="L821" s="31" t="inlineStr">
        <x:is>
          <x:t xml:space="preserve">ДОК-3107</x:t>
        </x:is>
      </x:c>
      <x:c r="M821" s="31" t="inlineStr">
        <x:is>
          <x:t xml:space="preserve">Проведен</x:t>
        </x:is>
      </x:c>
    </x:row>
    <x:row r="822">
      <x:c r="A822" s="31" t="inlineStr">
        <x:is>
          <x:t xml:space="preserve">СКЛ-000821</x:t>
        </x:is>
      </x:c>
      <x:c r="B822" s="31" t="n">
        <x:v>46153</x:v>
      </x:c>
      <x:c r="C822" s="31" t="inlineStr">
        <x:is>
          <x:t xml:space="preserve">Резерв</x:t>
        </x:is>
      </x:c>
      <x:c r="D822" s="31" t="inlineStr">
        <x:is>
          <x:t xml:space="preserve">МАТ-0017</x:t>
        </x:is>
      </x:c>
      <x:c r="E822" s="31" t="inlineStr">
        <x:is>
          <x:t xml:space="preserve">Насос шестеренный 7.5 кВт</x:t>
        </x:is>
      </x:c>
      <x:c r="F822" s="31" t="n">
        <x:v>-13</x:v>
      </x:c>
      <x:c r="G822" s="31" t="inlineStr">
        <x:is>
          <x:t xml:space="preserve">шт</x:t>
        </x:is>
      </x:c>
      <x:c r="H822" s="31" t="inlineStr">
        <x:is>
          <x:t xml:space="preserve">ЗК-1121</x:t>
        </x:is>
      </x:c>
      <x:c r="I822" s="31" t="n"/>
      <x:c r="J822" s="31" t="inlineStr">
        <x:is>
          <x:t xml:space="preserve">Основной склад</x:t>
        </x:is>
      </x:c>
      <x:c r="K822" s="31" t="inlineStr">
        <x:is>
          <x:t xml:space="preserve">СОТР-033</x:t>
        </x:is>
      </x:c>
      <x:c r="L822" s="31" t="inlineStr">
        <x:is>
          <x:t xml:space="preserve">ДОК-7908</x:t>
        </x:is>
      </x:c>
      <x:c r="M822" s="31" t="inlineStr">
        <x:is>
          <x:t xml:space="preserve">Проведен</x:t>
        </x:is>
      </x:c>
    </x:row>
    <x:row r="823">
      <x:c r="A823" s="31" t="inlineStr">
        <x:is>
          <x:t xml:space="preserve">СКЛ-000822</x:t>
        </x:is>
      </x:c>
      <x:c r="B823" s="31" t="n">
        <x:v>46038</x:v>
      </x:c>
      <x:c r="C823" s="31" t="inlineStr">
        <x:is>
          <x:t xml:space="preserve">Выдача в производство</x:t>
        </x:is>
      </x:c>
      <x:c r="D823" s="31" t="inlineStr">
        <x:is>
          <x:t xml:space="preserve">МАТ-0043</x:t>
        </x:is>
      </x:c>
      <x:c r="E823" s="31" t="inlineStr">
        <x:is>
          <x:t xml:space="preserve">Блок питания 24В</x:t>
        </x:is>
      </x:c>
      <x:c r="F823" s="31" t="n">
        <x:v>-5</x:v>
      </x:c>
      <x:c r="G823" s="31" t="inlineStr">
        <x:is>
          <x:t xml:space="preserve">шт</x:t>
        </x:is>
      </x:c>
      <x:c r="H823" s="31" t="inlineStr">
        <x:is>
          <x:t xml:space="preserve">ЗК-1116</x:t>
        </x:is>
      </x:c>
      <x:c r="I823" s="31" t="inlineStr">
        <x:is>
          <x:t xml:space="preserve">ПЗ-00061</x:t>
        </x:is>
      </x:c>
      <x:c r="J823" s="31" t="inlineStr">
        <x:is>
          <x:t xml:space="preserve">Цеховой склад</x:t>
        </x:is>
      </x:c>
      <x:c r="K823" s="31" t="inlineStr">
        <x:is>
          <x:t xml:space="preserve">СОТР-036</x:t>
        </x:is>
      </x:c>
      <x:c r="L823" s="31" t="inlineStr">
        <x:is>
          <x:t xml:space="preserve">ДОК-6480</x:t>
        </x:is>
      </x:c>
      <x:c r="M823" s="31" t="inlineStr">
        <x:is>
          <x:t xml:space="preserve">Проведен</x:t>
        </x:is>
      </x:c>
    </x:row>
    <x:row r="824">
      <x:c r="A824" s="31" t="inlineStr">
        <x:is>
          <x:t xml:space="preserve">СКЛ-000823</x:t>
        </x:is>
      </x:c>
      <x:c r="B824" s="31" t="n">
        <x:v>46190</x:v>
      </x:c>
      <x:c r="C824" s="31" t="inlineStr">
        <x:is>
          <x:t xml:space="preserve">Списание</x:t>
        </x:is>
      </x:c>
      <x:c r="D824" s="31" t="inlineStr">
        <x:is>
          <x:t xml:space="preserve">МАТ-0004</x:t>
        </x:is>
      </x:c>
      <x:c r="E824" s="31" t="inlineStr">
        <x:is>
          <x:t xml:space="preserve">Лист стальной 09Г2С 12 мм / исп.3</x:t>
        </x:is>
      </x:c>
      <x:c r="F824" s="31" t="n">
        <x:v>-43.51</x:v>
      </x:c>
      <x:c r="G824" s="31" t="inlineStr">
        <x:is>
          <x:t xml:space="preserve">л</x:t>
        </x:is>
      </x:c>
      <x:c r="H824" s="31" t="n"/>
      <x:c r="I824" s="31" t="n"/>
      <x:c r="J824" s="31" t="inlineStr">
        <x:is>
          <x:t xml:space="preserve">Цеховой склад</x:t>
        </x:is>
      </x:c>
      <x:c r="K824" s="31" t="inlineStr">
        <x:is>
          <x:t xml:space="preserve">СОТР-036</x:t>
        </x:is>
      </x:c>
      <x:c r="L824" s="31" t="inlineStr">
        <x:is>
          <x:t xml:space="preserve">ДОК-5884</x:t>
        </x:is>
      </x:c>
      <x:c r="M824" s="31" t="inlineStr">
        <x:is>
          <x:t xml:space="preserve">Проведен</x:t>
        </x:is>
      </x:c>
    </x:row>
    <x:row r="825">
      <x:c r="A825" s="31" t="inlineStr">
        <x:is>
          <x:t xml:space="preserve">СКЛ-000824</x:t>
        </x:is>
      </x:c>
      <x:c r="B825" s="31" t="n">
        <x:v>46145</x:v>
      </x:c>
      <x:c r="C825" s="31" t="inlineStr">
        <x:is>
          <x:t xml:space="preserve">Приход</x:t>
        </x:is>
      </x:c>
      <x:c r="D825" s="31" t="inlineStr">
        <x:is>
          <x:t xml:space="preserve">МАТ-0068</x:t>
        </x:is>
      </x:c>
      <x:c r="E825" s="31" t="inlineStr">
        <x:is>
          <x:t xml:space="preserve">Грунт эпоксидный</x:t>
        </x:is>
      </x:c>
      <x:c r="F825" s="31" t="n">
        <x:v>67.40000000000001</x:v>
      </x:c>
      <x:c r="G825" s="31" t="inlineStr">
        <x:is>
          <x:t xml:space="preserve">л</x:t>
        </x:is>
      </x:c>
      <x:c r="H825" s="31" t="n"/>
      <x:c r="I825" s="31" t="n"/>
      <x:c r="J825" s="31" t="inlineStr">
        <x:is>
          <x:t xml:space="preserve">Основной склад</x:t>
        </x:is>
      </x:c>
      <x:c r="K825" s="31" t="inlineStr">
        <x:is>
          <x:t xml:space="preserve">СОТР-036</x:t>
        </x:is>
      </x:c>
      <x:c r="L825" s="31" t="inlineStr">
        <x:is>
          <x:t xml:space="preserve">ДОК-2983</x:t>
        </x:is>
      </x:c>
      <x:c r="M825" s="31" t="inlineStr">
        <x:is>
          <x:t xml:space="preserve">Проведен</x:t>
        </x:is>
      </x:c>
    </x:row>
    <x:row r="826">
      <x:c r="A826" s="31" t="inlineStr">
        <x:is>
          <x:t xml:space="preserve">СКЛ-000825</x:t>
        </x:is>
      </x:c>
      <x:c r="B826" s="31" t="n">
        <x:v>46164</x:v>
      </x:c>
      <x:c r="C826" s="31" t="inlineStr">
        <x:is>
          <x:t xml:space="preserve">Резерв</x:t>
        </x:is>
      </x:c>
      <x:c r="D826" s="31" t="inlineStr">
        <x:is>
          <x:t xml:space="preserve">МАТ-0050</x:t>
        </x:is>
      </x:c>
      <x:c r="E826" s="31" t="inlineStr">
        <x:is>
          <x:t xml:space="preserve">панель оператора 7"</x:t>
        </x:is>
      </x:c>
      <x:c r="F826" s="31" t="n">
        <x:v>-18</x:v>
      </x:c>
      <x:c r="G826" s="31" t="inlineStr">
        <x:is>
          <x:t xml:space="preserve">шт</x:t>
        </x:is>
      </x:c>
      <x:c r="H826" s="31" t="inlineStr">
        <x:is>
          <x:t xml:space="preserve">ЗК-1054</x:t>
        </x:is>
      </x:c>
      <x:c r="I826" s="31" t="n"/>
      <x:c r="J826" s="31" t="inlineStr">
        <x:is>
          <x:t xml:space="preserve">Основной склад</x:t>
        </x:is>
      </x:c>
      <x:c r="K826" s="31" t="inlineStr">
        <x:is>
          <x:t xml:space="preserve">СОТР-038</x:t>
        </x:is>
      </x:c>
      <x:c r="L826" s="31" t="inlineStr">
        <x:is>
          <x:t xml:space="preserve">ДОК-1133</x:t>
        </x:is>
      </x:c>
      <x:c r="M826" s="31" t="inlineStr">
        <x:is>
          <x:t xml:space="preserve">Проведен</x:t>
        </x:is>
      </x:c>
    </x:row>
    <x:row r="827">
      <x:c r="A827" s="31" t="inlineStr">
        <x:is>
          <x:t xml:space="preserve">СКЛ-000826</x:t>
        </x:is>
      </x:c>
      <x:c r="B827" s="31" t="n">
        <x:v>46107</x:v>
      </x:c>
      <x:c r="C827" s="31" t="inlineStr">
        <x:is>
          <x:t xml:space="preserve">Выдача в производство</x:t>
        </x:is>
      </x:c>
      <x:c r="D827" s="31" t="inlineStr">
        <x:is>
          <x:t xml:space="preserve">МАТ-0062</x:t>
        </x:is>
      </x:c>
      <x:c r="E827" s="31" t="inlineStr">
        <x:is>
          <x:t xml:space="preserve">Кабель КВВГ 4×1.5</x:t>
        </x:is>
      </x:c>
      <x:c r="F827" s="31" t="n">
        <x:v>-78.97</x:v>
      </x:c>
      <x:c r="G827" s="31" t="inlineStr">
        <x:is>
          <x:t xml:space="preserve">м</x:t>
        </x:is>
      </x:c>
      <x:c r="H827" s="31" t="inlineStr">
        <x:is>
          <x:t xml:space="preserve">ЗК-1048</x:t>
        </x:is>
      </x:c>
      <x:c r="I827" s="31" t="inlineStr">
        <x:is>
          <x:t xml:space="preserve">ПЗ-00041</x:t>
        </x:is>
      </x:c>
      <x:c r="J827" s="31" t="inlineStr">
        <x:is>
          <x:t xml:space="preserve">Основной склад</x:t>
        </x:is>
      </x:c>
      <x:c r="K827" s="31" t="inlineStr">
        <x:is>
          <x:t xml:space="preserve">СОТР-035</x:t>
        </x:is>
      </x:c>
      <x:c r="L827" s="31" t="inlineStr">
        <x:is>
          <x:t xml:space="preserve">ДОК-6301</x:t>
        </x:is>
      </x:c>
      <x:c r="M827" s="31" t="inlineStr">
        <x:is>
          <x:t xml:space="preserve">Проведен</x:t>
        </x:is>
      </x:c>
    </x:row>
    <x:row r="828">
      <x:c r="A828" s="31" t="inlineStr">
        <x:is>
          <x:t xml:space="preserve">СКЛ-000827</x:t>
        </x:is>
      </x:c>
      <x:c r="B828" s="31" t="n">
        <x:v>46105</x:v>
      </x:c>
      <x:c r="C828" s="31" t="inlineStr">
        <x:is>
          <x:t xml:space="preserve">Резерв</x:t>
        </x:is>
      </x:c>
      <x:c r="D828" s="31" t="inlineStr">
        <x:is>
          <x:t xml:space="preserve">МАТ-0080</x:t>
        </x:is>
      </x:c>
      <x:c r="E828" s="31" t="inlineStr">
        <x:is>
          <x:t xml:space="preserve">Гайка М12 / исп.3</x:t>
        </x:is>
      </x:c>
      <x:c r="F828" s="31" t="n">
        <x:v>-10</x:v>
      </x:c>
      <x:c r="G828" s="31" t="inlineStr">
        <x:is>
          <x:t xml:space="preserve">шт</x:t>
        </x:is>
      </x:c>
      <x:c r="H828" s="31" t="inlineStr">
        <x:is>
          <x:t xml:space="preserve">ЗК-1012</x:t>
        </x:is>
      </x:c>
      <x:c r="I828" s="31" t="n"/>
      <x:c r="J828" s="31" t="inlineStr">
        <x:is>
          <x:t xml:space="preserve">Основной склад</x:t>
        </x:is>
      </x:c>
      <x:c r="K828" s="31" t="inlineStr">
        <x:is>
          <x:t xml:space="preserve">СОТР-036</x:t>
        </x:is>
      </x:c>
      <x:c r="L828" s="31" t="inlineStr">
        <x:is>
          <x:t xml:space="preserve">ДОК-4051</x:t>
        </x:is>
      </x:c>
      <x:c r="M828" s="31" t="inlineStr">
        <x:is>
          <x:t xml:space="preserve">Проведен</x:t>
        </x:is>
      </x:c>
    </x:row>
    <x:row r="829">
      <x:c r="A829" s="31" t="inlineStr">
        <x:is>
          <x:t xml:space="preserve">СКЛ-000828</x:t>
        </x:is>
      </x:c>
      <x:c r="B829" s="31" t="n">
        <x:v>46100</x:v>
      </x:c>
      <x:c r="C829" s="31" t="inlineStr">
        <x:is>
          <x:t xml:space="preserve">Приход</x:t>
        </x:is>
      </x:c>
      <x:c r="D829" s="31" t="inlineStr">
        <x:is>
          <x:t xml:space="preserve">МАТ-0058</x:t>
        </x:is>
      </x:c>
      <x:c r="E829" s="31" t="inlineStr">
        <x:is>
          <x:t xml:space="preserve">Задвижка Ду100 / исп.3</x:t>
        </x:is>
      </x:c>
      <x:c r="F829" s="31" t="n">
        <x:v>10</x:v>
      </x:c>
      <x:c r="G829" s="31" t="inlineStr">
        <x:is>
          <x:t xml:space="preserve">шт</x:t>
        </x:is>
      </x:c>
      <x:c r="H829" s="31" t="n"/>
      <x:c r="I829" s="31" t="n"/>
      <x:c r="J829" s="31" t="inlineStr">
        <x:is>
          <x:t xml:space="preserve">Основной склад</x:t>
        </x:is>
      </x:c>
      <x:c r="K829" s="31" t="inlineStr">
        <x:is>
          <x:t xml:space="preserve">СОТР-034</x:t>
        </x:is>
      </x:c>
      <x:c r="L829" s="31" t="inlineStr">
        <x:is>
          <x:t xml:space="preserve">ДОК-8871</x:t>
        </x:is>
      </x:c>
      <x:c r="M829" s="31" t="inlineStr">
        <x:is>
          <x:t xml:space="preserve">Проведен</x:t>
        </x:is>
      </x:c>
    </x:row>
    <x:row r="830">
      <x:c r="A830" s="31" t="inlineStr">
        <x:is>
          <x:t xml:space="preserve">СКЛ-000829</x:t>
        </x:is>
      </x:c>
      <x:c r="B830" s="31" t="n">
        <x:v>46148</x:v>
      </x:c>
      <x:c r="C830" s="31" t="inlineStr">
        <x:is>
          <x:t xml:space="preserve">Приход</x:t>
        </x:is>
      </x:c>
      <x:c r="D830" s="31" t="inlineStr">
        <x:is>
          <x:t xml:space="preserve">МАТ-0009</x:t>
        </x:is>
      </x:c>
      <x:c r="E830" s="31" t="inlineStr">
        <x:is>
          <x:t xml:space="preserve">Фланец Ду50 Ру16</x:t>
        </x:is>
      </x:c>
      <x:c r="F830" s="31" t="n">
        <x:v>27.39</x:v>
      </x:c>
      <x:c r="G830" s="31" t="inlineStr">
        <x:is>
          <x:t xml:space="preserve">л</x:t>
        </x:is>
      </x:c>
      <x:c r="H830" s="31" t="n"/>
      <x:c r="I830" s="31" t="n"/>
      <x:c r="J830" s="31" t="inlineStr">
        <x:is>
          <x:t xml:space="preserve">Цеховой склад</x:t>
        </x:is>
      </x:c>
      <x:c r="K830" s="31" t="inlineStr">
        <x:is>
          <x:t xml:space="preserve">СОТР-034</x:t>
        </x:is>
      </x:c>
      <x:c r="L830" s="31" t="inlineStr">
        <x:is>
          <x:t xml:space="preserve">ДОК-8786</x:t>
        </x:is>
      </x:c>
      <x:c r="M830" s="31" t="inlineStr">
        <x:is>
          <x:t xml:space="preserve">Проведен</x:t>
        </x:is>
      </x:c>
    </x:row>
    <x:row r="831">
      <x:c r="A831" s="31" t="inlineStr">
        <x:is>
          <x:t xml:space="preserve">СКЛ-000830</x:t>
        </x:is>
      </x:c>
      <x:c r="B831" s="31" t="n">
        <x:v>46093</x:v>
      </x:c>
      <x:c r="C831" s="31" t="inlineStr">
        <x:is>
          <x:t xml:space="preserve">Резерв</x:t>
        </x:is>
      </x:c>
      <x:c r="D831" s="31" t="inlineStr">
        <x:is>
          <x:t xml:space="preserve">МАТ-0008</x:t>
        </x:is>
      </x:c>
      <x:c r="E831" s="31" t="inlineStr">
        <x:is>
          <x:t xml:space="preserve">Швеллер 12П</x:t>
        </x:is>
      </x:c>
      <x:c r="F831" s="31" t="n">
        <x:v>-20</x:v>
      </x:c>
      <x:c r="G831" s="31" t="inlineStr">
        <x:is>
          <x:t xml:space="preserve">шт</x:t>
        </x:is>
      </x:c>
      <x:c r="H831" s="31" t="inlineStr">
        <x:is>
          <x:t xml:space="preserve">ЗК-1018</x:t>
        </x:is>
      </x:c>
      <x:c r="I831" s="31" t="n"/>
      <x:c r="J831" s="31" t="inlineStr">
        <x:is>
          <x:t xml:space="preserve">Основной склад</x:t>
        </x:is>
      </x:c>
      <x:c r="K831" s="31" t="inlineStr">
        <x:is>
          <x:t xml:space="preserve">СОТР-036</x:t>
        </x:is>
      </x:c>
      <x:c r="L831" s="31" t="inlineStr">
        <x:is>
          <x:t xml:space="preserve">ДОК-7255</x:t>
        </x:is>
      </x:c>
      <x:c r="M831" s="31" t="inlineStr">
        <x:is>
          <x:t xml:space="preserve">Проведен</x:t>
        </x:is>
      </x:c>
    </x:row>
    <x:row r="832">
      <x:c r="A832" s="31" t="inlineStr">
        <x:is>
          <x:t xml:space="preserve">СКЛ-000831</x:t>
        </x:is>
      </x:c>
      <x:c r="B832" s="31" t="n">
        <x:v>46038</x:v>
      </x:c>
      <x:c r="C832" s="31" t="inlineStr">
        <x:is>
          <x:t xml:space="preserve">Резерв</x:t>
        </x:is>
      </x:c>
      <x:c r="D832" s="31" t="inlineStr">
        <x:is>
          <x:t xml:space="preserve">МАТ-0031</x:t>
        </x:is>
      </x:c>
      <x:c r="E832" s="31" t="inlineStr">
        <x:is>
          <x:t xml:space="preserve">Датчик давления 0-16 бар</x:t>
        </x:is>
      </x:c>
      <x:c r="F832" s="31" t="n">
        <x:v>-18</x:v>
      </x:c>
      <x:c r="G832" s="31" t="inlineStr">
        <x:is>
          <x:t xml:space="preserve">шт</x:t>
        </x:is>
      </x:c>
      <x:c r="H832" s="31" t="inlineStr">
        <x:is>
          <x:t xml:space="preserve">ЗК-1038</x:t>
        </x:is>
      </x:c>
      <x:c r="I832" s="31" t="n"/>
      <x:c r="J832" s="31" t="inlineStr">
        <x:is>
          <x:t xml:space="preserve">Основной склад</x:t>
        </x:is>
      </x:c>
      <x:c r="K832" s="31" t="inlineStr">
        <x:is>
          <x:t xml:space="preserve">СОТР-038</x:t>
        </x:is>
      </x:c>
      <x:c r="L832" s="31" t="inlineStr">
        <x:is>
          <x:t xml:space="preserve">ДОК-9572</x:t>
        </x:is>
      </x:c>
      <x:c r="M832" s="31" t="inlineStr">
        <x:is>
          <x:t xml:space="preserve">Черновик</x:t>
        </x:is>
      </x:c>
    </x:row>
    <x:row r="833">
      <x:c r="A833" s="31" t="inlineStr">
        <x:is>
          <x:t xml:space="preserve">СКЛ-000832</x:t>
        </x:is>
      </x:c>
      <x:c r="B833" s="31" t="n">
        <x:v>46157</x:v>
      </x:c>
      <x:c r="C833" s="31" t="inlineStr">
        <x:is>
          <x:t xml:space="preserve">Выдача в производство</x:t>
        </x:is>
      </x:c>
      <x:c r="D833" s="31" t="inlineStr">
        <x:is>
          <x:t xml:space="preserve">МАТ-0078</x:t>
        </x:is>
      </x:c>
      <x:c r="E833" s="31" t="inlineStr">
        <x:is>
          <x:t xml:space="preserve">Гайка М12</x:t>
        </x:is>
      </x:c>
      <x:c r="F833" s="31" t="n">
        <x:v>-18</x:v>
      </x:c>
      <x:c r="G833" s="31" t="inlineStr">
        <x:is>
          <x:t xml:space="preserve">шт</x:t>
        </x:is>
      </x:c>
      <x:c r="H833" s="31" t="inlineStr">
        <x:is>
          <x:t xml:space="preserve">ЗК-1007</x:t>
        </x:is>
      </x:c>
      <x:c r="I833" s="31" t="inlineStr">
        <x:is>
          <x:t xml:space="preserve">ПЗ-00191</x:t>
        </x:is>
      </x:c>
      <x:c r="J833" s="31" t="inlineStr">
        <x:is>
          <x:t xml:space="preserve">Основной склад</x:t>
        </x:is>
      </x:c>
      <x:c r="K833" s="31" t="inlineStr">
        <x:is>
          <x:t xml:space="preserve">СОТР-024</x:t>
        </x:is>
      </x:c>
      <x:c r="L833" s="31" t="inlineStr">
        <x:is>
          <x:t xml:space="preserve">ДОК-8695</x:t>
        </x:is>
      </x:c>
      <x:c r="M833" s="31" t="inlineStr">
        <x:is>
          <x:t xml:space="preserve">Проведен</x:t>
        </x:is>
      </x:c>
    </x:row>
    <x:row r="834">
      <x:c r="A834" s="31" t="inlineStr">
        <x:is>
          <x:t xml:space="preserve">СКЛ-000833</x:t>
        </x:is>
      </x:c>
      <x:c r="B834" s="31" t="n">
        <x:v>46086</x:v>
      </x:c>
      <x:c r="C834" s="31" t="inlineStr">
        <x:is>
          <x:t xml:space="preserve">Приход</x:t>
        </x:is>
      </x:c>
      <x:c r="D834" s="31" t="inlineStr">
        <x:is>
          <x:t xml:space="preserve">МАТ-0014</x:t>
        </x:is>
      </x:c>
      <x:c r="E834" s="31" t="inlineStr">
        <x:is>
          <x:t xml:space="preserve">Уголок 50×5 / исп.2</x:t>
        </x:is>
      </x:c>
      <x:c r="F834" s="31" t="n">
        <x:v>20</x:v>
      </x:c>
      <x:c r="G834" s="31" t="inlineStr">
        <x:is>
          <x:t xml:space="preserve">шт</x:t>
        </x:is>
      </x:c>
      <x:c r="H834" s="31" t="n"/>
      <x:c r="I834" s="31" t="n"/>
      <x:c r="J834" s="31" t="inlineStr">
        <x:is>
          <x:t xml:space="preserve">Цеховой склад</x:t>
        </x:is>
      </x:c>
      <x:c r="K834" s="31" t="inlineStr">
        <x:is>
          <x:t xml:space="preserve">СОТР-034</x:t>
        </x:is>
      </x:c>
      <x:c r="L834" s="31" t="inlineStr">
        <x:is>
          <x:t xml:space="preserve">ДОК-6280</x:t>
        </x:is>
      </x:c>
      <x:c r="M834" s="31" t="inlineStr">
        <x:is>
          <x:t xml:space="preserve">Проведен</x:t>
        </x:is>
      </x:c>
    </x:row>
    <x:row r="835">
      <x:c r="A835" s="31" t="inlineStr">
        <x:is>
          <x:t xml:space="preserve">СКЛ-000834</x:t>
        </x:is>
      </x:c>
      <x:c r="B835" s="31" t="n">
        <x:v>46108</x:v>
      </x:c>
      <x:c r="C835" s="31" t="inlineStr">
        <x:is>
          <x:t xml:space="preserve">Возврат</x:t>
        </x:is>
      </x:c>
      <x:c r="D835" s="31" t="inlineStr">
        <x:is>
          <x:t xml:space="preserve">МАТ-0058</x:t>
        </x:is>
      </x:c>
      <x:c r="E835" s="31" t="inlineStr">
        <x:is>
          <x:t xml:space="preserve">Задвижка Ду100 / исп.3</x:t>
        </x:is>
      </x:c>
      <x:c r="F835" s="31" t="n">
        <x:v>16</x:v>
      </x:c>
      <x:c r="G835" s="31" t="inlineStr">
        <x:is>
          <x:t xml:space="preserve">шт</x:t>
        </x:is>
      </x:c>
      <x:c r="H835" s="31" t="n"/>
      <x:c r="I835" s="31" t="n"/>
      <x:c r="J835" s="31" t="inlineStr">
        <x:is>
          <x:t xml:space="preserve">Цеховой склад</x:t>
        </x:is>
      </x:c>
      <x:c r="K835" s="31" t="inlineStr">
        <x:is>
          <x:t xml:space="preserve">СОТР-038</x:t>
        </x:is>
      </x:c>
      <x:c r="L835" s="31" t="inlineStr">
        <x:is>
          <x:t xml:space="preserve">ДОК-5011</x:t>
        </x:is>
      </x:c>
      <x:c r="M835" s="31" t="inlineStr">
        <x:is>
          <x:t xml:space="preserve">Проведен</x:t>
        </x:is>
      </x:c>
    </x:row>
    <x:row r="836">
      <x:c r="A836" s="31" t="inlineStr">
        <x:is>
          <x:t xml:space="preserve">СКЛ-000835</x:t>
        </x:is>
      </x:c>
      <x:c r="B836" s="31" t="n">
        <x:v>46135</x:v>
      </x:c>
      <x:c r="C836" s="31" t="inlineStr">
        <x:is>
          <x:t xml:space="preserve">Выдача в производство</x:t>
        </x:is>
      </x:c>
      <x:c r="D836" s="31" t="inlineStr">
        <x:is>
          <x:t xml:space="preserve">МАТ-0062</x:t>
        </x:is>
      </x:c>
      <x:c r="E836" s="31" t="inlineStr">
        <x:is>
          <x:t xml:space="preserve">Кабель КВВГ 4×1.5</x:t>
        </x:is>
      </x:c>
      <x:c r="F836" s="31" t="n">
        <x:v>-15.32</x:v>
      </x:c>
      <x:c r="G836" s="31" t="inlineStr">
        <x:is>
          <x:t xml:space="preserve">м</x:t>
        </x:is>
      </x:c>
      <x:c r="H836" s="31" t="inlineStr">
        <x:is>
          <x:t xml:space="preserve">ЗК-1014</x:t>
        </x:is>
      </x:c>
      <x:c r="I836" s="31" t="inlineStr">
        <x:is>
          <x:t xml:space="preserve">ПЗ-00207</x:t>
        </x:is>
      </x:c>
      <x:c r="J836" s="31" t="inlineStr">
        <x:is>
          <x:t xml:space="preserve">Цеховой склад</x:t>
        </x:is>
      </x:c>
      <x:c r="K836" s="31" t="inlineStr">
        <x:is>
          <x:t xml:space="preserve">СОТР-038</x:t>
        </x:is>
      </x:c>
      <x:c r="L836" s="31" t="inlineStr">
        <x:is>
          <x:t xml:space="preserve">ДОК-2146</x:t>
        </x:is>
      </x:c>
      <x:c r="M836" s="31" t="inlineStr">
        <x:is>
          <x:t xml:space="preserve">Проведен</x:t>
        </x:is>
      </x:c>
    </x:row>
    <x:row r="837">
      <x:c r="A837" s="31" t="inlineStr">
        <x:is>
          <x:t xml:space="preserve">СКЛ-000836</x:t>
        </x:is>
      </x:c>
      <x:c r="B837" s="31" t="n">
        <x:v>46167</x:v>
      </x:c>
      <x:c r="C837" s="31" t="inlineStr">
        <x:is>
          <x:t xml:space="preserve">Выдача в производство</x:t>
        </x:is>
      </x:c>
      <x:c r="D837" s="31" t="inlineStr">
        <x:is>
          <x:t xml:space="preserve">МАТ-0030</x:t>
        </x:is>
      </x:c>
      <x:c r="E837" s="31" t="inlineStr">
        <x:is>
          <x:t xml:space="preserve">Частотный преобразователь 22 кВт / исп.2</x:t>
        </x:is>
      </x:c>
      <x:c r="F837" s="31" t="n">
        <x:v>-7</x:v>
      </x:c>
      <x:c r="G837" s="31" t="inlineStr">
        <x:is>
          <x:t xml:space="preserve">шт</x:t>
        </x:is>
      </x:c>
      <x:c r="H837" s="31" t="inlineStr">
        <x:is>
          <x:t xml:space="preserve">ЗК-1111</x:t>
        </x:is>
      </x:c>
      <x:c r="I837" s="31" t="inlineStr">
        <x:is>
          <x:t xml:space="preserve">ПЗ-00201</x:t>
        </x:is>
      </x:c>
      <x:c r="J837" s="31" t="inlineStr">
        <x:is>
          <x:t xml:space="preserve">Основной склад</x:t>
        </x:is>
      </x:c>
      <x:c r="K837" s="31" t="inlineStr">
        <x:is>
          <x:t xml:space="preserve">СОТР-024</x:t>
        </x:is>
      </x:c>
      <x:c r="L837" s="31" t="inlineStr">
        <x:is>
          <x:t xml:space="preserve">ДОК-4242</x:t>
        </x:is>
      </x:c>
      <x:c r="M837" s="31" t="inlineStr">
        <x:is>
          <x:t xml:space="preserve">Проведен</x:t>
        </x:is>
      </x:c>
    </x:row>
    <x:row r="838">
      <x:c r="A838" s="31" t="inlineStr">
        <x:is>
          <x:t xml:space="preserve">СКЛ-000837</x:t>
        </x:is>
      </x:c>
      <x:c r="B838" s="31" t="n">
        <x:v>46163</x:v>
      </x:c>
      <x:c r="C838" s="31" t="inlineStr">
        <x:is>
          <x:t xml:space="preserve">Приход</x:t>
        </x:is>
      </x:c>
      <x:c r="D838" s="31" t="inlineStr">
        <x:is>
          <x:t xml:space="preserve">МАТ-0053</x:t>
        </x:is>
      </x:c>
      <x:c r="E838" s="31" t="inlineStr">
        <x:is>
          <x:t xml:space="preserve">Кран шаровой Ду50 / исп.3</x:t>
        </x:is>
      </x:c>
      <x:c r="F838" s="31" t="n">
        <x:v>20</x:v>
      </x:c>
      <x:c r="G838" s="31" t="inlineStr">
        <x:is>
          <x:t xml:space="preserve">шт</x:t>
        </x:is>
      </x:c>
      <x:c r="H838" s="31" t="n"/>
      <x:c r="I838" s="31" t="n"/>
      <x:c r="J838" s="31" t="inlineStr">
        <x:is>
          <x:t xml:space="preserve">Основной склад</x:t>
        </x:is>
      </x:c>
      <x:c r="K838" s="31" t="inlineStr">
        <x:is>
          <x:t xml:space="preserve">СОТР-024</x:t>
        </x:is>
      </x:c>
      <x:c r="L838" s="31" t="inlineStr">
        <x:is>
          <x:t xml:space="preserve">ДОК-5142</x:t>
        </x:is>
      </x:c>
      <x:c r="M838" s="31" t="inlineStr">
        <x:is>
          <x:t xml:space="preserve">Проведен</x:t>
        </x:is>
      </x:c>
    </x:row>
    <x:row r="839">
      <x:c r="A839" s="31" t="inlineStr">
        <x:is>
          <x:t xml:space="preserve">СКЛ-000838</x:t>
        </x:is>
      </x:c>
      <x:c r="B839" s="31" t="n">
        <x:v>46176</x:v>
      </x:c>
      <x:c r="C839" s="31" t="inlineStr">
        <x:is>
          <x:t xml:space="preserve">Возврат</x:t>
        </x:is>
      </x:c>
      <x:c r="D839" s="31" t="inlineStr">
        <x:is>
          <x:t xml:space="preserve">МАТ-0047</x:t>
        </x:is>
      </x:c>
      <x:c r="E839" s="31" t="inlineStr">
        <x:is>
          <x:t xml:space="preserve">Контактор 25А / исп.2</x:t>
        </x:is>
      </x:c>
      <x:c r="F839" s="31" t="n">
        <x:v>9</x:v>
      </x:c>
      <x:c r="G839" s="31" t="inlineStr">
        <x:is>
          <x:t xml:space="preserve">шт</x:t>
        </x:is>
      </x:c>
      <x:c r="H839" s="31" t="n"/>
      <x:c r="I839" s="31" t="n"/>
      <x:c r="J839" s="31" t="inlineStr">
        <x:is>
          <x:t xml:space="preserve">Основной склад</x:t>
        </x:is>
      </x:c>
      <x:c r="K839" s="31" t="inlineStr">
        <x:is>
          <x:t xml:space="preserve">СОТР-024</x:t>
        </x:is>
      </x:c>
      <x:c r="L839" s="31" t="inlineStr">
        <x:is>
          <x:t xml:space="preserve">ДОК-6124</x:t>
        </x:is>
      </x:c>
      <x:c r="M839" s="31" t="inlineStr">
        <x:is>
          <x:t xml:space="preserve">Проведен</x:t>
        </x:is>
      </x:c>
    </x:row>
    <x:row r="840">
      <x:c r="A840" s="31" t="inlineStr">
        <x:is>
          <x:t xml:space="preserve">СКЛ-000839</x:t>
        </x:is>
      </x:c>
      <x:c r="B840" s="31" t="n">
        <x:v>46175</x:v>
      </x:c>
      <x:c r="C840" s="31" t="inlineStr">
        <x:is>
          <x:t xml:space="preserve">Резерв</x:t>
        </x:is>
      </x:c>
      <x:c r="D840" s="31" t="inlineStr">
        <x:is>
          <x:t xml:space="preserve">МАТ-0039</x:t>
        </x:is>
      </x:c>
      <x:c r="E840" s="31" t="inlineStr">
        <x:is>
          <x:t xml:space="preserve">ПЛК 24 дискр. входа / 16 дискр. выхода / исп.2</x:t>
        </x:is>
      </x:c>
      <x:c r="F840" s="31" t="n">
        <x:v>-9</x:v>
      </x:c>
      <x:c r="G840" s="31" t="inlineStr">
        <x:is>
          <x:t xml:space="preserve">шт</x:t>
        </x:is>
      </x:c>
      <x:c r="H840" s="31" t="inlineStr">
        <x:is>
          <x:t xml:space="preserve">ЗК-1051</x:t>
        </x:is>
      </x:c>
      <x:c r="I840" s="31" t="n"/>
      <x:c r="J840" s="31" t="inlineStr">
        <x:is>
          <x:t xml:space="preserve">Основной склад</x:t>
        </x:is>
      </x:c>
      <x:c r="K840" s="31" t="inlineStr">
        <x:is>
          <x:t xml:space="preserve">СОТР-036</x:t>
        </x:is>
      </x:c>
      <x:c r="L840" s="31" t="inlineStr">
        <x:is>
          <x:t xml:space="preserve">ДОК-2690</x:t>
        </x:is>
      </x:c>
      <x:c r="M840" s="31" t="inlineStr">
        <x:is>
          <x:t xml:space="preserve">Проведен</x:t>
        </x:is>
      </x:c>
    </x:row>
    <x:row r="841">
      <x:c r="A841" s="31" t="inlineStr">
        <x:is>
          <x:t xml:space="preserve">СКЛ-000840</x:t>
        </x:is>
      </x:c>
      <x:c r="B841" s="31" t="n">
        <x:v>46169</x:v>
      </x:c>
      <x:c r="C841" s="31" t="inlineStr">
        <x:is>
          <x:t xml:space="preserve">Резерв</x:t>
        </x:is>
      </x:c>
      <x:c r="D841" s="31" t="inlineStr">
        <x:is>
          <x:t xml:space="preserve">МАТ-0084</x:t>
        </x:is>
      </x:c>
      <x:c r="E841" s="31" t="inlineStr">
        <x:is>
          <x:t xml:space="preserve">Поддон 1200×800</x:t>
        </x:is>
      </x:c>
      <x:c r="F841" s="31" t="n">
        <x:v>-2</x:v>
      </x:c>
      <x:c r="G841" s="31" t="inlineStr">
        <x:is>
          <x:t xml:space="preserve">шт</x:t>
        </x:is>
      </x:c>
      <x:c r="H841" s="31" t="inlineStr">
        <x:is>
          <x:t xml:space="preserve">ЗК-1038</x:t>
        </x:is>
      </x:c>
      <x:c r="I841" s="31" t="n"/>
      <x:c r="J841" s="31" t="inlineStr">
        <x:is>
          <x:t xml:space="preserve">Основной склад</x:t>
        </x:is>
      </x:c>
      <x:c r="K841" s="31" t="inlineStr">
        <x:is>
          <x:t xml:space="preserve">СОТР-033</x:t>
        </x:is>
      </x:c>
      <x:c r="L841" s="31" t="inlineStr">
        <x:is>
          <x:t xml:space="preserve">ДОК-3893</x:t>
        </x:is>
      </x:c>
      <x:c r="M841" s="31" t="inlineStr">
        <x:is>
          <x:t xml:space="preserve">Проведен</x:t>
        </x:is>
      </x:c>
    </x:row>
    <x:row r="842">
      <x:c r="A842" s="31" t="inlineStr">
        <x:is>
          <x:t xml:space="preserve">СКЛ-000841</x:t>
        </x:is>
      </x:c>
      <x:c r="B842" s="31" t="n">
        <x:v>46160</x:v>
      </x:c>
      <x:c r="C842" s="31" t="inlineStr">
        <x:is>
          <x:t xml:space="preserve">Приход</x:t>
        </x:is>
      </x:c>
      <x:c r="D842" s="31" t="inlineStr">
        <x:is>
          <x:t xml:space="preserve">МАТ-0079</x:t>
        </x:is>
      </x:c>
      <x:c r="E842" s="31" t="inlineStr">
        <x:is>
          <x:t xml:space="preserve">Гайка М12 / исп.2</x:t>
        </x:is>
      </x:c>
      <x:c r="F842" s="31" t="n">
        <x:v>9</x:v>
      </x:c>
      <x:c r="G842" s="31" t="inlineStr">
        <x:is>
          <x:t xml:space="preserve">шт</x:t>
        </x:is>
      </x:c>
      <x:c r="H842" s="31" t="n"/>
      <x:c r="I842" s="31" t="n"/>
      <x:c r="J842" s="31" t="inlineStr">
        <x:is>
          <x:t xml:space="preserve">Основной склад</x:t>
        </x:is>
      </x:c>
      <x:c r="K842" s="31" t="inlineStr">
        <x:is>
          <x:t xml:space="preserve">СОТР-024</x:t>
        </x:is>
      </x:c>
      <x:c r="L842" s="31" t="inlineStr">
        <x:is>
          <x:t xml:space="preserve">ДОК-1386</x:t>
        </x:is>
      </x:c>
      <x:c r="M842" s="31" t="inlineStr">
        <x:is>
          <x:t xml:space="preserve">Проведен</x:t>
        </x:is>
      </x:c>
    </x:row>
    <x:row r="843">
      <x:c r="A843" s="31" t="inlineStr">
        <x:is>
          <x:t xml:space="preserve">СКЛ-000842</x:t>
        </x:is>
      </x:c>
      <x:c r="B843" s="31" t="n">
        <x:v>46121</x:v>
      </x:c>
      <x:c r="C843" s="31" t="inlineStr">
        <x:is>
          <x:t xml:space="preserve">Приход</x:t>
        </x:is>
      </x:c>
      <x:c r="D843" s="31" t="inlineStr">
        <x:is>
          <x:t xml:space="preserve">МАТ-0076</x:t>
        </x:is>
      </x:c>
      <x:c r="E843" s="31" t="inlineStr">
        <x:is>
          <x:t xml:space="preserve">Болт М12 / исп.2</x:t>
        </x:is>
      </x:c>
      <x:c r="F843" s="31" t="n">
        <x:v>1</x:v>
      </x:c>
      <x:c r="G843" s="31" t="inlineStr">
        <x:is>
          <x:t xml:space="preserve">шт</x:t>
        </x:is>
      </x:c>
      <x:c r="H843" s="31" t="n"/>
      <x:c r="I843" s="31" t="n"/>
      <x:c r="J843" s="31" t="inlineStr">
        <x:is>
          <x:t xml:space="preserve">Основной склад</x:t>
        </x:is>
      </x:c>
      <x:c r="K843" s="31" t="inlineStr">
        <x:is>
          <x:t xml:space="preserve">СОТР-038</x:t>
        </x:is>
      </x:c>
      <x:c r="L843" s="31" t="inlineStr">
        <x:is>
          <x:t xml:space="preserve">ДОК-6264</x:t>
        </x:is>
      </x:c>
      <x:c r="M843" s="31" t="inlineStr">
        <x:is>
          <x:t xml:space="preserve">Проведен</x:t>
        </x:is>
      </x:c>
    </x:row>
    <x:row r="844">
      <x:c r="A844" s="31" t="inlineStr">
        <x:is>
          <x:t xml:space="preserve">СКЛ-000843</x:t>
        </x:is>
      </x:c>
      <x:c r="B844" s="31" t="n">
        <x:v>46189</x:v>
      </x:c>
      <x:c r="C844" s="31" t="inlineStr">
        <x:is>
          <x:t xml:space="preserve">Резерв</x:t>
        </x:is>
      </x:c>
      <x:c r="D844" s="31" t="inlineStr">
        <x:is>
          <x:t xml:space="preserve">МАТ-0082</x:t>
        </x:is>
      </x:c>
      <x:c r="E844" s="31" t="inlineStr">
        <x:is>
          <x:t xml:space="preserve">Шайба 12 / исп.2</x:t>
        </x:is>
      </x:c>
      <x:c r="F844" s="31" t="n">
        <x:v>-14</x:v>
      </x:c>
      <x:c r="G844" s="31" t="inlineStr">
        <x:is>
          <x:t xml:space="preserve">шт</x:t>
        </x:is>
      </x:c>
      <x:c r="H844" s="31" t="inlineStr">
        <x:is>
          <x:t xml:space="preserve">ЗК-1104</x:t>
        </x:is>
      </x:c>
      <x:c r="I844" s="31" t="n"/>
      <x:c r="J844" s="31" t="inlineStr">
        <x:is>
          <x:t xml:space="preserve">Основной склад</x:t>
        </x:is>
      </x:c>
      <x:c r="K844" s="31" t="inlineStr">
        <x:is>
          <x:t xml:space="preserve">СОТР-024</x:t>
        </x:is>
      </x:c>
      <x:c r="L844" s="31" t="inlineStr">
        <x:is>
          <x:t xml:space="preserve">ДОК-1628</x:t>
        </x:is>
      </x:c>
      <x:c r="M844" s="31" t="inlineStr">
        <x:is>
          <x:t xml:space="preserve">Черновик</x:t>
        </x:is>
      </x:c>
    </x:row>
    <x:row r="845">
      <x:c r="A845" s="31" t="inlineStr">
        <x:is>
          <x:t xml:space="preserve">СКЛ-000844</x:t>
        </x:is>
      </x:c>
      <x:c r="B845" s="31" t="n">
        <x:v>46079</x:v>
      </x:c>
      <x:c r="C845" s="31" t="inlineStr">
        <x:is>
          <x:t xml:space="preserve">Приход</x:t>
        </x:is>
      </x:c>
      <x:c r="D845" s="31" t="inlineStr">
        <x:is>
          <x:t xml:space="preserve">МАТ-0077</x:t>
        </x:is>
      </x:c>
      <x:c r="E845" s="31" t="inlineStr">
        <x:is>
          <x:t xml:space="preserve">Болт М16</x:t>
        </x:is>
      </x:c>
      <x:c r="F845" s="31" t="n">
        <x:v>7</x:v>
      </x:c>
      <x:c r="G845" s="31" t="inlineStr">
        <x:is>
          <x:t xml:space="preserve">шт</x:t>
        </x:is>
      </x:c>
      <x:c r="H845" s="31" t="n"/>
      <x:c r="I845" s="31" t="n"/>
      <x:c r="J845" s="31" t="inlineStr">
        <x:is>
          <x:t xml:space="preserve">Основной склад</x:t>
        </x:is>
      </x:c>
      <x:c r="K845" s="31" t="inlineStr">
        <x:is>
          <x:t xml:space="preserve">СОТР-037</x:t>
        </x:is>
      </x:c>
      <x:c r="L845" s="31" t="inlineStr">
        <x:is>
          <x:t xml:space="preserve">ДОК-3179</x:t>
        </x:is>
      </x:c>
      <x:c r="M845" s="31" t="inlineStr">
        <x:is>
          <x:t xml:space="preserve">Проведен</x:t>
        </x:is>
      </x:c>
    </x:row>
    <x:row r="846">
      <x:c r="A846" s="31" t="inlineStr">
        <x:is>
          <x:t xml:space="preserve">СКЛ-000845</x:t>
        </x:is>
      </x:c>
      <x:c r="B846" s="31" t="n">
        <x:v>46062</x:v>
      </x:c>
      <x:c r="C846" s="31" t="inlineStr">
        <x:is>
          <x:t xml:space="preserve">Списание</x:t>
        </x:is>
      </x:c>
      <x:c r="D846" s="31" t="inlineStr">
        <x:is>
          <x:t xml:space="preserve">МАТ-0002</x:t>
        </x:is>
      </x:c>
      <x:c r="E846" s="31" t="inlineStr">
        <x:is>
          <x:t xml:space="preserve">Лист стальной 09Г2С 12 мм</x:t>
        </x:is>
      </x:c>
      <x:c r="F846" s="31" t="n">
        <x:v>-71.5</x:v>
      </x:c>
      <x:c r="G846" s="31" t="inlineStr">
        <x:is>
          <x:t xml:space="preserve">кг</x:t>
        </x:is>
      </x:c>
      <x:c r="H846" s="31" t="n"/>
      <x:c r="I846" s="31" t="n"/>
      <x:c r="J846" s="31" t="inlineStr">
        <x:is>
          <x:t xml:space="preserve">Брак/карантин</x:t>
        </x:is>
      </x:c>
      <x:c r="K846" s="31" t="inlineStr">
        <x:is>
          <x:t xml:space="preserve">СОТР-039</x:t>
        </x:is>
      </x:c>
      <x:c r="L846" s="31" t="inlineStr">
        <x:is>
          <x:t xml:space="preserve">ДОК-6358</x:t>
        </x:is>
      </x:c>
      <x:c r="M846" s="31" t="inlineStr">
        <x:is>
          <x:t xml:space="preserve">Проведен</x:t>
        </x:is>
      </x:c>
    </x:row>
    <x:row r="847">
      <x:c r="A847" s="31" t="inlineStr">
        <x:is>
          <x:t xml:space="preserve">СКЛ-000846</x:t>
        </x:is>
      </x:c>
      <x:c r="B847" s="31" t="n">
        <x:v>46163</x:v>
      </x:c>
      <x:c r="C847" s="31" t="inlineStr">
        <x:is>
          <x:t xml:space="preserve">Выдача в производство</x:t>
        </x:is>
      </x:c>
      <x:c r="D847" s="31" t="inlineStr">
        <x:is>
          <x:t xml:space="preserve">МАТ-0035</x:t>
        </x:is>
      </x:c>
      <x:c r="E847" s="31" t="inlineStr">
        <x:is>
          <x:t xml:space="preserve">Клапан электромагнитный 24В</x:t>
        </x:is>
      </x:c>
      <x:c r="F847" s="31" t="n">
        <x:v>-14</x:v>
      </x:c>
      <x:c r="G847" s="31" t="inlineStr">
        <x:is>
          <x:t xml:space="preserve">шт</x:t>
        </x:is>
      </x:c>
      <x:c r="H847" s="31" t="inlineStr">
        <x:is>
          <x:t xml:space="preserve">ЗК-1033</x:t>
        </x:is>
      </x:c>
      <x:c r="I847" s="31" t="inlineStr">
        <x:is>
          <x:t xml:space="preserve">ПЗ-00237</x:t>
        </x:is>
      </x:c>
      <x:c r="J847" s="31" t="inlineStr">
        <x:is>
          <x:t xml:space="preserve">Основной склад</x:t>
        </x:is>
      </x:c>
      <x:c r="K847" s="31" t="inlineStr">
        <x:is>
          <x:t xml:space="preserve">СОТР-033</x:t>
        </x:is>
      </x:c>
      <x:c r="L847" s="31" t="inlineStr">
        <x:is>
          <x:t xml:space="preserve">ДОК-3859</x:t>
        </x:is>
      </x:c>
      <x:c r="M847" s="31" t="inlineStr">
        <x:is>
          <x:t xml:space="preserve">Проведен</x:t>
        </x:is>
      </x:c>
    </x:row>
    <x:row r="848">
      <x:c r="A848" s="31" t="inlineStr">
        <x:is>
          <x:t xml:space="preserve">СКЛ-000847</x:t>
        </x:is>
      </x:c>
      <x:c r="B848" s="31" t="n">
        <x:v>46092</x:v>
      </x:c>
      <x:c r="C848" s="31" t="inlineStr">
        <x:is>
          <x:t xml:space="preserve">Выдача в производство</x:t>
        </x:is>
      </x:c>
      <x:c r="D848" s="31" t="inlineStr">
        <x:is>
          <x:t xml:space="preserve">МАТ-0074</x:t>
        </x:is>
      </x:c>
      <x:c r="E848" s="31" t="inlineStr">
        <x:is>
          <x:t xml:space="preserve">Абразив для пескоструя</x:t>
        </x:is>
      </x:c>
      <x:c r="F848" s="31" t="n">
        <x:v>-8</x:v>
      </x:c>
      <x:c r="G848" s="31" t="inlineStr">
        <x:is>
          <x:t xml:space="preserve">шт</x:t>
        </x:is>
      </x:c>
      <x:c r="H848" s="31" t="inlineStr">
        <x:is>
          <x:t xml:space="preserve">ЗК-1044</x:t>
        </x:is>
      </x:c>
      <x:c r="I848" s="31" t="inlineStr">
        <x:is>
          <x:t xml:space="preserve">ПЗ-00124</x:t>
        </x:is>
      </x:c>
      <x:c r="J848" s="31" t="inlineStr">
        <x:is>
          <x:t xml:space="preserve">Цеховой склад</x:t>
        </x:is>
      </x:c>
      <x:c r="K848" s="31" t="inlineStr">
        <x:is>
          <x:t xml:space="preserve">СОТР-038</x:t>
        </x:is>
      </x:c>
      <x:c r="L848" s="31" t="inlineStr">
        <x:is>
          <x:t xml:space="preserve">ДОК-6090</x:t>
        </x:is>
      </x:c>
      <x:c r="M848" s="31" t="inlineStr">
        <x:is>
          <x:t xml:space="preserve">Черновик</x:t>
        </x:is>
      </x:c>
    </x:row>
    <x:row r="849">
      <x:c r="A849" s="31" t="inlineStr">
        <x:is>
          <x:t xml:space="preserve">СКЛ-000848</x:t>
        </x:is>
      </x:c>
      <x:c r="B849" s="31" t="n">
        <x:v>46113</x:v>
      </x:c>
      <x:c r="C849" s="31" t="inlineStr">
        <x:is>
          <x:t xml:space="preserve">Приход</x:t>
        </x:is>
      </x:c>
      <x:c r="D849" s="31" t="inlineStr">
        <x:is>
          <x:t xml:space="preserve">МАТ-0003</x:t>
        </x:is>
      </x:c>
      <x:c r="E849" s="31" t="inlineStr">
        <x:is>
          <x:t xml:space="preserve">Лист стальной 09Г2С 12 мм / исп.2</x:t>
        </x:is>
      </x:c>
      <x:c r="F849" s="31" t="n">
        <x:v>22.15</x:v>
      </x:c>
      <x:c r="G849" s="31" t="inlineStr">
        <x:is>
          <x:t xml:space="preserve">м</x:t>
        </x:is>
      </x:c>
      <x:c r="H849" s="31" t="n"/>
      <x:c r="I849" s="31" t="n"/>
      <x:c r="J849" s="31" t="inlineStr">
        <x:is>
          <x:t xml:space="preserve">Основной склад</x:t>
        </x:is>
      </x:c>
      <x:c r="K849" s="31" t="inlineStr">
        <x:is>
          <x:t xml:space="preserve">СОТР-038</x:t>
        </x:is>
      </x:c>
      <x:c r="L849" s="31" t="inlineStr">
        <x:is>
          <x:t xml:space="preserve">ДОК-2375</x:t>
        </x:is>
      </x:c>
      <x:c r="M849" s="31" t="inlineStr">
        <x:is>
          <x:t xml:space="preserve">Проведен</x:t>
        </x:is>
      </x:c>
    </x:row>
    <x:row r="850">
      <x:c r="A850" s="31" t="inlineStr">
        <x:is>
          <x:t xml:space="preserve">СКЛ-000849</x:t>
        </x:is>
      </x:c>
      <x:c r="B850" s="31" t="n">
        <x:v>46124</x:v>
      </x:c>
      <x:c r="C850" s="31" t="inlineStr">
        <x:is>
          <x:t xml:space="preserve">Списание</x:t>
        </x:is>
      </x:c>
      <x:c r="D850" s="31" t="inlineStr">
        <x:is>
          <x:t xml:space="preserve">МАТ-0086</x:t>
        </x:is>
      </x:c>
      <x:c r="E850" s="31" t="inlineStr">
        <x:is>
          <x:t xml:space="preserve">Пленка стрейч / исп.2</x:t>
        </x:is>
      </x:c>
      <x:c r="F850" s="31" t="n">
        <x:v>-19</x:v>
      </x:c>
      <x:c r="G850" s="31" t="inlineStr">
        <x:is>
          <x:t xml:space="preserve">шт</x:t>
        </x:is>
      </x:c>
      <x:c r="H850" s="31" t="n"/>
      <x:c r="I850" s="31" t="n"/>
      <x:c r="J850" s="31" t="inlineStr">
        <x:is>
          <x:t xml:space="preserve">Основной склад</x:t>
        </x:is>
      </x:c>
      <x:c r="K850" s="31" t="inlineStr">
        <x:is>
          <x:t xml:space="preserve">СОТР-038</x:t>
        </x:is>
      </x:c>
      <x:c r="L850" s="31" t="inlineStr">
        <x:is>
          <x:t xml:space="preserve">ДОК-5609</x:t>
        </x:is>
      </x:c>
      <x:c r="M850" s="31" t="inlineStr">
        <x:is>
          <x:t xml:space="preserve">Проведен</x:t>
        </x:is>
      </x:c>
    </x:row>
    <x:row r="851">
      <x:c r="A851" s="31" t="inlineStr">
        <x:is>
          <x:t xml:space="preserve">СКЛ-000850</x:t>
        </x:is>
      </x:c>
      <x:c r="B851" s="31" t="n">
        <x:v>46047</x:v>
      </x:c>
      <x:c r="C851" s="31" t="inlineStr">
        <x:is>
          <x:t xml:space="preserve">Приход</x:t>
        </x:is>
      </x:c>
      <x:c r="D851" s="31" t="inlineStr">
        <x:is>
          <x:t xml:space="preserve">МАТ-0028</x:t>
        </x:is>
      </x:c>
      <x:c r="E851" s="31" t="inlineStr">
        <x:is>
          <x:t xml:space="preserve">Частотный преобразователь 15 кВт</x:t>
        </x:is>
      </x:c>
      <x:c r="F851" s="31" t="n">
        <x:v>10</x:v>
      </x:c>
      <x:c r="G851" s="31" t="inlineStr">
        <x:is>
          <x:t xml:space="preserve">шт</x:t>
        </x:is>
      </x:c>
      <x:c r="H851" s="31" t="n"/>
      <x:c r="I851" s="31" t="n"/>
      <x:c r="J851" s="31" t="inlineStr">
        <x:is>
          <x:t xml:space="preserve">Основной склад</x:t>
        </x:is>
      </x:c>
      <x:c r="K851" s="31" t="inlineStr">
        <x:is>
          <x:t xml:space="preserve">СОТР-039</x:t>
        </x:is>
      </x:c>
      <x:c r="L851" s="31" t="inlineStr">
        <x:is>
          <x:t xml:space="preserve">ДОК-5025</x:t>
        </x:is>
      </x:c>
      <x:c r="M851" s="31" t="inlineStr">
        <x:is>
          <x:t xml:space="preserve">Проведен</x:t>
        </x:is>
      </x:c>
    </x:row>
    <x:row r="852">
      <x:c r="A852" s="31" t="inlineStr">
        <x:is>
          <x:t xml:space="preserve">СКЛ-000851</x:t>
        </x:is>
      </x:c>
      <x:c r="B852" s="31" t="n">
        <x:v>46096</x:v>
      </x:c>
      <x:c r="C852" s="31" t="inlineStr">
        <x:is>
          <x:t xml:space="preserve">Резерв</x:t>
        </x:is>
      </x:c>
      <x:c r="D852" s="31" t="inlineStr">
        <x:is>
          <x:t xml:space="preserve">МАТ-0082</x:t>
        </x:is>
      </x:c>
      <x:c r="E852" s="31" t="inlineStr">
        <x:is>
          <x:t xml:space="preserve">Шайба 12 / исп.2</x:t>
        </x:is>
      </x:c>
      <x:c r="F852" s="31" t="n">
        <x:v>-7</x:v>
      </x:c>
      <x:c r="G852" s="31" t="inlineStr">
        <x:is>
          <x:t xml:space="preserve">шт</x:t>
        </x:is>
      </x:c>
      <x:c r="H852" s="31" t="inlineStr">
        <x:is>
          <x:t xml:space="preserve">ЗК-1030</x:t>
        </x:is>
      </x:c>
      <x:c r="I852" s="31" t="n"/>
      <x:c r="J852" s="31" t="inlineStr">
        <x:is>
          <x:t xml:space="preserve">Основной склад</x:t>
        </x:is>
      </x:c>
      <x:c r="K852" s="31" t="inlineStr">
        <x:is>
          <x:t xml:space="preserve">СОТР-038</x:t>
        </x:is>
      </x:c>
      <x:c r="L852" s="31" t="inlineStr">
        <x:is>
          <x:t xml:space="preserve">ДОК-7053</x:t>
        </x:is>
      </x:c>
      <x:c r="M852" s="31" t="inlineStr">
        <x:is>
          <x:t xml:space="preserve">Проведен</x:t>
        </x:is>
      </x:c>
    </x:row>
    <x:row r="853">
      <x:c r="A853" s="31" t="inlineStr">
        <x:is>
          <x:t xml:space="preserve">СКЛ-000852</x:t>
        </x:is>
      </x:c>
      <x:c r="B853" s="31" t="n">
        <x:v>46199</x:v>
      </x:c>
      <x:c r="C853" s="31" t="inlineStr">
        <x:is>
          <x:t xml:space="preserve">Резерв</x:t>
        </x:is>
      </x:c>
      <x:c r="D853" s="31" t="inlineStr">
        <x:is>
          <x:t xml:space="preserve">МАТ-0047</x:t>
        </x:is>
      </x:c>
      <x:c r="E853" s="31" t="inlineStr">
        <x:is>
          <x:t xml:space="preserve">Контактор 25А / исп.2</x:t>
        </x:is>
      </x:c>
      <x:c r="F853" s="31" t="n">
        <x:v>-5</x:v>
      </x:c>
      <x:c r="G853" s="31" t="inlineStr">
        <x:is>
          <x:t xml:space="preserve">шт</x:t>
        </x:is>
      </x:c>
      <x:c r="H853" s="31" t="inlineStr">
        <x:is>
          <x:t xml:space="preserve">ЗК-1014</x:t>
        </x:is>
      </x:c>
      <x:c r="I853" s="31" t="n"/>
      <x:c r="J853" s="31" t="inlineStr">
        <x:is>
          <x:t xml:space="preserve">Цеховой склад</x:t>
        </x:is>
      </x:c>
      <x:c r="K853" s="31" t="inlineStr">
        <x:is>
          <x:t xml:space="preserve">СОТР-035</x:t>
        </x:is>
      </x:c>
      <x:c r="L853" s="31" t="inlineStr">
        <x:is>
          <x:t xml:space="preserve">ДОК-9874</x:t>
        </x:is>
      </x:c>
      <x:c r="M853" s="31" t="inlineStr">
        <x:is>
          <x:t xml:space="preserve">Проведен</x:t>
        </x:is>
      </x:c>
    </x:row>
    <x:row r="854">
      <x:c r="A854" s="31" t="inlineStr">
        <x:is>
          <x:t xml:space="preserve">СКЛ-000853</x:t>
        </x:is>
      </x:c>
      <x:c r="B854" s="31" t="n">
        <x:v>46097</x:v>
      </x:c>
      <x:c r="C854" s="31" t="inlineStr">
        <x:is>
          <x:t xml:space="preserve">Резерв</x:t>
        </x:is>
      </x:c>
      <x:c r="D854" s="31" t="inlineStr">
        <x:is>
          <x:t xml:space="preserve">МАТ-0053</x:t>
        </x:is>
      </x:c>
      <x:c r="E854" s="31" t="inlineStr">
        <x:is>
          <x:t xml:space="preserve">Кран шаровой Ду50 / исп.3</x:t>
        </x:is>
      </x:c>
      <x:c r="F854" s="31" t="n">
        <x:v>-14</x:v>
      </x:c>
      <x:c r="G854" s="31" t="inlineStr">
        <x:is>
          <x:t xml:space="preserve">шт</x:t>
        </x:is>
      </x:c>
      <x:c r="H854" s="31" t="inlineStr">
        <x:is>
          <x:t xml:space="preserve">ЗК-1040</x:t>
        </x:is>
      </x:c>
      <x:c r="I854" s="31" t="n"/>
      <x:c r="J854" s="31" t="inlineStr">
        <x:is>
          <x:t xml:space="preserve">Основной склад</x:t>
        </x:is>
      </x:c>
      <x:c r="K854" s="31" t="inlineStr">
        <x:is>
          <x:t xml:space="preserve">СОТР-024</x:t>
        </x:is>
      </x:c>
      <x:c r="L854" s="31" t="inlineStr">
        <x:is>
          <x:t xml:space="preserve">ДОК-2247</x:t>
        </x:is>
      </x:c>
      <x:c r="M854" s="31" t="inlineStr">
        <x:is>
          <x:t xml:space="preserve">Проведен</x:t>
        </x:is>
      </x:c>
    </x:row>
    <x:row r="855">
      <x:c r="A855" s="31" t="inlineStr">
        <x:is>
          <x:t xml:space="preserve">СКЛ-000854</x:t>
        </x:is>
      </x:c>
      <x:c r="B855" s="31" t="n">
        <x:v>46084</x:v>
      </x:c>
      <x:c r="C855" s="31" t="inlineStr">
        <x:is>
          <x:t xml:space="preserve">Выдача в производство</x:t>
        </x:is>
      </x:c>
      <x:c r="D855" s="31" t="inlineStr">
        <x:is>
          <x:t xml:space="preserve">МАТ-0066</x:t>
        </x:is>
      </x:c>
      <x:c r="E855" s="31" t="inlineStr">
        <x:is>
          <x:t xml:space="preserve">Гофра металлическая / исп.2</x:t>
        </x:is>
      </x:c>
      <x:c r="F855" s="31" t="n">
        <x:v>-71.52</x:v>
      </x:c>
      <x:c r="G855" s="31" t="inlineStr">
        <x:is>
          <x:t xml:space="preserve">кг</x:t>
        </x:is>
      </x:c>
      <x:c r="H855" s="31" t="inlineStr">
        <x:is>
          <x:t xml:space="preserve">ЗК-1102</x:t>
        </x:is>
      </x:c>
      <x:c r="I855" s="31" t="inlineStr">
        <x:is>
          <x:t xml:space="preserve">ПЗ-00059</x:t>
        </x:is>
      </x:c>
      <x:c r="J855" s="31" t="inlineStr">
        <x:is>
          <x:t xml:space="preserve">Цеховой склад</x:t>
        </x:is>
      </x:c>
      <x:c r="K855" s="31" t="inlineStr">
        <x:is>
          <x:t xml:space="preserve">СОТР-035</x:t>
        </x:is>
      </x:c>
      <x:c r="L855" s="31" t="inlineStr">
        <x:is>
          <x:t xml:space="preserve">ДОК-6564</x:t>
        </x:is>
      </x:c>
      <x:c r="M855" s="31" t="inlineStr">
        <x:is>
          <x:t xml:space="preserve">Проведен</x:t>
        </x:is>
      </x:c>
    </x:row>
    <x:row r="856">
      <x:c r="A856" s="31" t="inlineStr">
        <x:is>
          <x:t xml:space="preserve">СКЛ-000855</x:t>
        </x:is>
      </x:c>
      <x:c r="B856" s="31" t="n">
        <x:v>46192</x:v>
      </x:c>
      <x:c r="C856" s="31" t="inlineStr">
        <x:is>
          <x:t xml:space="preserve">Резерв</x:t>
        </x:is>
      </x:c>
      <x:c r="D856" s="31" t="inlineStr">
        <x:is>
          <x:t xml:space="preserve">МАТ-0082</x:t>
        </x:is>
      </x:c>
      <x:c r="E856" s="31" t="inlineStr">
        <x:is>
          <x:t xml:space="preserve">Шайба 12 / исп.2</x:t>
        </x:is>
      </x:c>
      <x:c r="F856" s="31" t="n">
        <x:v>-11</x:v>
      </x:c>
      <x:c r="G856" s="31" t="inlineStr">
        <x:is>
          <x:t xml:space="preserve">шт</x:t>
        </x:is>
      </x:c>
      <x:c r="H856" s="31" t="inlineStr">
        <x:is>
          <x:t xml:space="preserve">ЗК-1042</x:t>
        </x:is>
      </x:c>
      <x:c r="I856" s="31" t="n"/>
      <x:c r="J856" s="31" t="inlineStr">
        <x:is>
          <x:t xml:space="preserve">Цеховой склад</x:t>
        </x:is>
      </x:c>
      <x:c r="K856" s="31" t="inlineStr">
        <x:is>
          <x:t xml:space="preserve">СОТР-038</x:t>
        </x:is>
      </x:c>
      <x:c r="L856" s="31" t="inlineStr">
        <x:is>
          <x:t xml:space="preserve">ДОК-3054</x:t>
        </x:is>
      </x:c>
      <x:c r="M856" s="31" t="inlineStr">
        <x:is>
          <x:t xml:space="preserve">Проведен</x:t>
        </x:is>
      </x:c>
    </x:row>
    <x:row r="857">
      <x:c r="A857" s="31" t="inlineStr">
        <x:is>
          <x:t xml:space="preserve">СКЛ-000856</x:t>
        </x:is>
      </x:c>
      <x:c r="B857" s="31" t="n">
        <x:v>46161</x:v>
      </x:c>
      <x:c r="C857" s="31" t="inlineStr">
        <x:is>
          <x:t xml:space="preserve">Выдача в производство</x:t>
        </x:is>
      </x:c>
      <x:c r="D857" s="31" t="inlineStr">
        <x:is>
          <x:t xml:space="preserve">МАТ-0069</x:t>
        </x:is>
      </x:c>
      <x:c r="E857" s="31" t="inlineStr">
        <x:is>
          <x:t xml:space="preserve">Эмаль полиуретановая</x:t>
        </x:is>
      </x:c>
      <x:c r="F857" s="31" t="n">
        <x:v>-40.22</x:v>
      </x:c>
      <x:c r="G857" s="31" t="inlineStr">
        <x:is>
          <x:t xml:space="preserve">л</x:t>
        </x:is>
      </x:c>
      <x:c r="H857" s="31" t="inlineStr">
        <x:is>
          <x:t xml:space="preserve">ЗК-1089</x:t>
        </x:is>
      </x:c>
      <x:c r="I857" s="31" t="inlineStr">
        <x:is>
          <x:t xml:space="preserve">ПЗ-00002</x:t>
        </x:is>
      </x:c>
      <x:c r="J857" s="31" t="inlineStr">
        <x:is>
          <x:t xml:space="preserve">Основной склад</x:t>
        </x:is>
      </x:c>
      <x:c r="K857" s="31" t="inlineStr">
        <x:is>
          <x:t xml:space="preserve">СОТР-035</x:t>
        </x:is>
      </x:c>
      <x:c r="L857" s="31" t="inlineStr">
        <x:is>
          <x:t xml:space="preserve">ДОК-9303</x:t>
        </x:is>
      </x:c>
      <x:c r="M857" s="31" t="inlineStr">
        <x:is>
          <x:t xml:space="preserve">Проведен</x:t>
        </x:is>
      </x:c>
    </x:row>
    <x:row r="858">
      <x:c r="A858" s="31" t="inlineStr">
        <x:is>
          <x:t xml:space="preserve">СКЛ-000857</x:t>
        </x:is>
      </x:c>
      <x:c r="B858" s="31" t="n">
        <x:v>46042</x:v>
      </x:c>
      <x:c r="C858" s="31" t="inlineStr">
        <x:is>
          <x:t xml:space="preserve">Выдача в производство</x:t>
        </x:is>
      </x:c>
      <x:c r="D858" s="31" t="inlineStr">
        <x:is>
          <x:t xml:space="preserve">МАТ-0059</x:t>
        </x:is>
      </x:c>
      <x:c r="E858" s="31" t="inlineStr">
        <x:is>
          <x:t xml:space="preserve">Фильтр сетчатый Ду50</x:t>
        </x:is>
      </x:c>
      <x:c r="F858" s="31" t="n">
        <x:v>-9</x:v>
      </x:c>
      <x:c r="G858" s="31" t="inlineStr">
        <x:is>
          <x:t xml:space="preserve">шт</x:t>
        </x:is>
      </x:c>
      <x:c r="H858" s="31" t="inlineStr">
        <x:is>
          <x:t xml:space="preserve">ЗК-1015</x:t>
        </x:is>
      </x:c>
      <x:c r="I858" s="31" t="inlineStr">
        <x:is>
          <x:t xml:space="preserve">ПЗ-00126</x:t>
        </x:is>
      </x:c>
      <x:c r="J858" s="31" t="inlineStr">
        <x:is>
          <x:t xml:space="preserve">Основной склад</x:t>
        </x:is>
      </x:c>
      <x:c r="K858" s="31" t="inlineStr">
        <x:is>
          <x:t xml:space="preserve">СОТР-036</x:t>
        </x:is>
      </x:c>
      <x:c r="L858" s="31" t="inlineStr">
        <x:is>
          <x:t xml:space="preserve">ДОК-2445</x:t>
        </x:is>
      </x:c>
      <x:c r="M858" s="31" t="inlineStr">
        <x:is>
          <x:t xml:space="preserve">Проведен</x:t>
        </x:is>
      </x:c>
    </x:row>
    <x:row r="859">
      <x:c r="A859" s="31" t="inlineStr">
        <x:is>
          <x:t xml:space="preserve">СКЛ-000858</x:t>
        </x:is>
      </x:c>
      <x:c r="B859" s="31" t="n">
        <x:v>46066</x:v>
      </x:c>
      <x:c r="C859" s="31" t="inlineStr">
        <x:is>
          <x:t xml:space="preserve">Приход</x:t>
        </x:is>
      </x:c>
      <x:c r="D859" s="31" t="inlineStr">
        <x:is>
          <x:t xml:space="preserve">МАТ-0041</x:t>
        </x:is>
      </x:c>
      <x:c r="E859" s="31" t="inlineStr">
        <x:is>
          <x:t xml:space="preserve">модуль аналогового входа 4 канала / исп.2</x:t>
        </x:is>
      </x:c>
      <x:c r="F859" s="31" t="n">
        <x:v>18</x:v>
      </x:c>
      <x:c r="G859" s="31" t="inlineStr">
        <x:is>
          <x:t xml:space="preserve">шт</x:t>
        </x:is>
      </x:c>
      <x:c r="H859" s="31" t="n"/>
      <x:c r="I859" s="31" t="n"/>
      <x:c r="J859" s="31" t="inlineStr">
        <x:is>
          <x:t xml:space="preserve">Основной склад</x:t>
        </x:is>
      </x:c>
      <x:c r="K859" s="31" t="inlineStr">
        <x:is>
          <x:t xml:space="preserve">СОТР-024</x:t>
        </x:is>
      </x:c>
      <x:c r="L859" s="31" t="inlineStr">
        <x:is>
          <x:t xml:space="preserve">ДОК-6665</x:t>
        </x:is>
      </x:c>
      <x:c r="M859" s="31" t="inlineStr">
        <x:is>
          <x:t xml:space="preserve">Проведен</x:t>
        </x:is>
      </x:c>
    </x:row>
    <x:row r="860">
      <x:c r="A860" s="31" t="inlineStr">
        <x:is>
          <x:t xml:space="preserve">СКЛ-000859</x:t>
        </x:is>
      </x:c>
      <x:c r="B860" s="31" t="n">
        <x:v>46064</x:v>
      </x:c>
      <x:c r="C860" s="31" t="inlineStr">
        <x:is>
          <x:t xml:space="preserve">Выдача в производство</x:t>
        </x:is>
      </x:c>
      <x:c r="D860" s="31" t="inlineStr">
        <x:is>
          <x:t xml:space="preserve">МАТ-0041</x:t>
        </x:is>
      </x:c>
      <x:c r="E860" s="31" t="inlineStr">
        <x:is>
          <x:t xml:space="preserve">модуль аналогового входа 4 канала / исп.2</x:t>
        </x:is>
      </x:c>
      <x:c r="F860" s="31" t="n">
        <x:v>-3</x:v>
      </x:c>
      <x:c r="G860" s="31" t="inlineStr">
        <x:is>
          <x:t xml:space="preserve">шт</x:t>
        </x:is>
      </x:c>
      <x:c r="H860" s="31" t="inlineStr">
        <x:is>
          <x:t xml:space="preserve">ЗК-1086</x:t>
        </x:is>
      </x:c>
      <x:c r="I860" s="31" t="inlineStr">
        <x:is>
          <x:t xml:space="preserve">ПЗ-00180</x:t>
        </x:is>
      </x:c>
      <x:c r="J860" s="31" t="inlineStr">
        <x:is>
          <x:t xml:space="preserve">Основной склад</x:t>
        </x:is>
      </x:c>
      <x:c r="K860" s="31" t="inlineStr">
        <x:is>
          <x:t xml:space="preserve">СОТР-024</x:t>
        </x:is>
      </x:c>
      <x:c r="L860" s="31" t="inlineStr">
        <x:is>
          <x:t xml:space="preserve">ДОК-8057</x:t>
        </x:is>
      </x:c>
      <x:c r="M860" s="31" t="inlineStr">
        <x:is>
          <x:t xml:space="preserve">Проведен</x:t>
        </x:is>
      </x:c>
    </x:row>
    <x:row r="861">
      <x:c r="A861" s="31" t="inlineStr">
        <x:is>
          <x:t xml:space="preserve">СКЛ-000860</x:t>
        </x:is>
      </x:c>
      <x:c r="B861" s="31" t="n">
        <x:v>46182</x:v>
      </x:c>
      <x:c r="C861" s="31" t="inlineStr">
        <x:is>
          <x:t xml:space="preserve">Списание</x:t>
        </x:is>
      </x:c>
      <x:c r="D861" s="31" t="inlineStr">
        <x:is>
          <x:t xml:space="preserve">МАТ-0080</x:t>
        </x:is>
      </x:c>
      <x:c r="E861" s="31" t="inlineStr">
        <x:is>
          <x:t xml:space="preserve">Гайка М12 / исп.3</x:t>
        </x:is>
      </x:c>
      <x:c r="F861" s="31" t="n">
        <x:v>-12</x:v>
      </x:c>
      <x:c r="G861" s="31" t="inlineStr">
        <x:is>
          <x:t xml:space="preserve">шт</x:t>
        </x:is>
      </x:c>
      <x:c r="H861" s="31" t="n"/>
      <x:c r="I861" s="31" t="n"/>
      <x:c r="J861" s="31" t="inlineStr">
        <x:is>
          <x:t xml:space="preserve">Основной склад</x:t>
        </x:is>
      </x:c>
      <x:c r="K861" s="31" t="inlineStr">
        <x:is>
          <x:t xml:space="preserve">СОТР-039</x:t>
        </x:is>
      </x:c>
      <x:c r="L861" s="31" t="inlineStr">
        <x:is>
          <x:t xml:space="preserve">ДОК-3548</x:t>
        </x:is>
      </x:c>
      <x:c r="M861" s="31" t="inlineStr">
        <x:is>
          <x:t xml:space="preserve">Проведен</x:t>
        </x:is>
      </x:c>
    </x:row>
    <x:row r="862">
      <x:c r="A862" s="31" t="inlineStr">
        <x:is>
          <x:t xml:space="preserve">СКЛ-000861</x:t>
        </x:is>
      </x:c>
      <x:c r="B862" s="31" t="n">
        <x:v>46100</x:v>
      </x:c>
      <x:c r="C862" s="31" t="inlineStr">
        <x:is>
          <x:t xml:space="preserve">Приход</x:t>
        </x:is>
      </x:c>
      <x:c r="D862" s="31" t="inlineStr">
        <x:is>
          <x:t xml:space="preserve">МАТ-0001</x:t>
        </x:is>
      </x:c>
      <x:c r="E862" s="31" t="inlineStr">
        <x:is>
          <x:t xml:space="preserve">Лист стальной 09Г2С 8 мм</x:t>
        </x:is>
      </x:c>
      <x:c r="F862" s="31" t="n">
        <x:v>25.93</x:v>
      </x:c>
      <x:c r="G862" s="31" t="inlineStr">
        <x:is>
          <x:t xml:space="preserve">м</x:t>
        </x:is>
      </x:c>
      <x:c r="H862" s="31" t="n"/>
      <x:c r="I862" s="31" t="n"/>
      <x:c r="J862" s="31" t="inlineStr">
        <x:is>
          <x:t xml:space="preserve">Основной склад</x:t>
        </x:is>
      </x:c>
      <x:c r="K862" s="31" t="inlineStr">
        <x:is>
          <x:t xml:space="preserve">СОТР-035</x:t>
        </x:is>
      </x:c>
      <x:c r="L862" s="31" t="inlineStr">
        <x:is>
          <x:t xml:space="preserve">ДОК-5100</x:t>
        </x:is>
      </x:c>
      <x:c r="M862" s="31" t="inlineStr">
        <x:is>
          <x:t xml:space="preserve">Проведен</x:t>
        </x:is>
      </x:c>
    </x:row>
    <x:row r="863">
      <x:c r="A863" s="31" t="inlineStr">
        <x:is>
          <x:t xml:space="preserve">СКЛ-000862</x:t>
        </x:is>
      </x:c>
      <x:c r="B863" s="31" t="n">
        <x:v>46046</x:v>
      </x:c>
      <x:c r="C863" s="31" t="inlineStr">
        <x:is>
          <x:t xml:space="preserve">Выдача в производство</x:t>
        </x:is>
      </x:c>
      <x:c r="D863" s="31" t="inlineStr">
        <x:is>
          <x:t xml:space="preserve">МАТ-0017</x:t>
        </x:is>
      </x:c>
      <x:c r="E863" s="31" t="inlineStr">
        <x:is>
          <x:t xml:space="preserve">Насос шестеренный 7.5 кВт</x:t>
        </x:is>
      </x:c>
      <x:c r="F863" s="31" t="n">
        <x:v>-1</x:v>
      </x:c>
      <x:c r="G863" s="31" t="inlineStr">
        <x:is>
          <x:t xml:space="preserve">шт</x:t>
        </x:is>
      </x:c>
      <x:c r="H863" s="31" t="inlineStr">
        <x:is>
          <x:t xml:space="preserve">ЗК-1066</x:t>
        </x:is>
      </x:c>
      <x:c r="I863" s="31" t="inlineStr">
        <x:is>
          <x:t xml:space="preserve">ПЗ-00131</x:t>
        </x:is>
      </x:c>
      <x:c r="J863" s="31" t="inlineStr">
        <x:is>
          <x:t xml:space="preserve">Основной склад</x:t>
        </x:is>
      </x:c>
      <x:c r="K863" s="31" t="inlineStr">
        <x:is>
          <x:t xml:space="preserve">СОТР-034</x:t>
        </x:is>
      </x:c>
      <x:c r="L863" s="31" t="inlineStr">
        <x:is>
          <x:t xml:space="preserve">ДОК-4452</x:t>
        </x:is>
      </x:c>
      <x:c r="M863" s="31" t="inlineStr">
        <x:is>
          <x:t xml:space="preserve">Проведен</x:t>
        </x:is>
      </x:c>
    </x:row>
    <x:row r="864">
      <x:c r="A864" s="31" t="inlineStr">
        <x:is>
          <x:t xml:space="preserve">СКЛ-000863</x:t>
        </x:is>
      </x:c>
      <x:c r="B864" s="31" t="n">
        <x:v>46151</x:v>
      </x:c>
      <x:c r="C864" s="31" t="inlineStr">
        <x:is>
          <x:t xml:space="preserve">Списание</x:t>
        </x:is>
      </x:c>
      <x:c r="D864" s="31" t="inlineStr">
        <x:is>
          <x:t xml:space="preserve">МАТ-0046</x:t>
        </x:is>
      </x:c>
      <x:c r="E864" s="31" t="inlineStr">
        <x:is>
          <x:t xml:space="preserve">Контактор 25А</x:t>
        </x:is>
      </x:c>
      <x:c r="F864" s="31" t="n">
        <x:v>-2</x:v>
      </x:c>
      <x:c r="G864" s="31" t="inlineStr">
        <x:is>
          <x:t xml:space="preserve">шт</x:t>
        </x:is>
      </x:c>
      <x:c r="H864" s="31" t="n"/>
      <x:c r="I864" s="31" t="n"/>
      <x:c r="J864" s="31" t="inlineStr">
        <x:is>
          <x:t xml:space="preserve">Основной склад</x:t>
        </x:is>
      </x:c>
      <x:c r="K864" s="31" t="inlineStr">
        <x:is>
          <x:t xml:space="preserve">СОТР-035</x:t>
        </x:is>
      </x:c>
      <x:c r="L864" s="31" t="inlineStr">
        <x:is>
          <x:t xml:space="preserve">ДОК-1247</x:t>
        </x:is>
      </x:c>
      <x:c r="M864" s="31" t="inlineStr">
        <x:is>
          <x:t xml:space="preserve">Черновик</x:t>
        </x:is>
      </x:c>
    </x:row>
    <x:row r="865">
      <x:c r="A865" s="31" t="inlineStr">
        <x:is>
          <x:t xml:space="preserve">СКЛ-000864</x:t>
        </x:is>
      </x:c>
      <x:c r="B865" s="31" t="n">
        <x:v>46092</x:v>
      </x:c>
      <x:c r="C865" s="31" t="inlineStr">
        <x:is>
          <x:t xml:space="preserve">Выдача в производство</x:t>
        </x:is>
      </x:c>
      <x:c r="D865" s="31" t="inlineStr">
        <x:is>
          <x:t xml:space="preserve">МАТ-0044</x:t>
        </x:is>
      </x:c>
      <x:c r="E865" s="31" t="inlineStr">
        <x:is>
          <x:t xml:space="preserve">Блок питания 24В / исп.2</x:t>
        </x:is>
      </x:c>
      <x:c r="F865" s="31" t="n">
        <x:v>-2</x:v>
      </x:c>
      <x:c r="G865" s="31" t="inlineStr">
        <x:is>
          <x:t xml:space="preserve">шт</x:t>
        </x:is>
      </x:c>
      <x:c r="H865" s="31" t="inlineStr">
        <x:is>
          <x:t xml:space="preserve">ЗК-1116</x:t>
        </x:is>
      </x:c>
      <x:c r="I865" s="31" t="inlineStr">
        <x:is>
          <x:t xml:space="preserve">ПЗ-00014</x:t>
        </x:is>
      </x:c>
      <x:c r="J865" s="31" t="inlineStr">
        <x:is>
          <x:t xml:space="preserve">Цеховой склад</x:t>
        </x:is>
      </x:c>
      <x:c r="K865" s="31" t="inlineStr">
        <x:is>
          <x:t xml:space="preserve">СОТР-035</x:t>
        </x:is>
      </x:c>
      <x:c r="L865" s="31" t="inlineStr">
        <x:is>
          <x:t xml:space="preserve">ДОК-4050</x:t>
        </x:is>
      </x:c>
      <x:c r="M865" s="31" t="inlineStr">
        <x:is>
          <x:t xml:space="preserve">Проведен</x:t>
        </x:is>
      </x:c>
    </x:row>
    <x:row r="866">
      <x:c r="A866" s="31" t="inlineStr">
        <x:is>
          <x:t xml:space="preserve">СКЛ-000865</x:t>
        </x:is>
      </x:c>
      <x:c r="B866" s="31" t="n">
        <x:v>46037</x:v>
      </x:c>
      <x:c r="C866" s="31" t="inlineStr">
        <x:is>
          <x:t xml:space="preserve">Возврат</x:t>
        </x:is>
      </x:c>
      <x:c r="D866" s="31" t="inlineStr">
        <x:is>
          <x:t xml:space="preserve">МАТ-0021</x:t>
        </x:is>
      </x:c>
      <x:c r="E866" s="31" t="inlineStr">
        <x:is>
          <x:t xml:space="preserve">Торцевое уплотнение</x:t>
        </x:is>
      </x:c>
      <x:c r="F866" s="31" t="n">
        <x:v>5</x:v>
      </x:c>
      <x:c r="G866" s="31" t="inlineStr">
        <x:is>
          <x:t xml:space="preserve">шт</x:t>
        </x:is>
      </x:c>
      <x:c r="H866" s="31" t="n"/>
      <x:c r="I866" s="31" t="n"/>
      <x:c r="J866" s="31" t="inlineStr">
        <x:is>
          <x:t xml:space="preserve">Цеховой склад</x:t>
        </x:is>
      </x:c>
      <x:c r="K866" s="31" t="inlineStr">
        <x:is>
          <x:t xml:space="preserve">СОТР-037</x:t>
        </x:is>
      </x:c>
      <x:c r="L866" s="31" t="inlineStr">
        <x:is>
          <x:t xml:space="preserve">ДОК-7024</x:t>
        </x:is>
      </x:c>
      <x:c r="M866" s="31" t="inlineStr">
        <x:is>
          <x:t xml:space="preserve">Проведен</x:t>
        </x:is>
      </x:c>
    </x:row>
    <x:row r="867">
      <x:c r="A867" s="31" t="inlineStr">
        <x:is>
          <x:t xml:space="preserve">СКЛ-000866</x:t>
        </x:is>
      </x:c>
      <x:c r="B867" s="31" t="n">
        <x:v>46108</x:v>
      </x:c>
      <x:c r="C867" s="31" t="inlineStr">
        <x:is>
          <x:t xml:space="preserve">Возврат</x:t>
        </x:is>
      </x:c>
      <x:c r="D867" s="31" t="inlineStr">
        <x:is>
          <x:t xml:space="preserve">МАТ-0049</x:t>
        </x:is>
      </x:c>
      <x:c r="E867" s="31" t="inlineStr">
        <x:is>
          <x:t xml:space="preserve">Рейковая клемма</x:t>
        </x:is>
      </x:c>
      <x:c r="F867" s="31" t="n">
        <x:v>17</x:v>
      </x:c>
      <x:c r="G867" s="31" t="inlineStr">
        <x:is>
          <x:t xml:space="preserve">шт</x:t>
        </x:is>
      </x:c>
      <x:c r="H867" s="31" t="n"/>
      <x:c r="I867" s="31" t="n"/>
      <x:c r="J867" s="31" t="inlineStr">
        <x:is>
          <x:t xml:space="preserve">Основной склад</x:t>
        </x:is>
      </x:c>
      <x:c r="K867" s="31" t="inlineStr">
        <x:is>
          <x:t xml:space="preserve">СОТР-037</x:t>
        </x:is>
      </x:c>
      <x:c r="L867" s="31" t="inlineStr">
        <x:is>
          <x:t xml:space="preserve">ДОК-7300</x:t>
        </x:is>
      </x:c>
      <x:c r="M867" s="31" t="inlineStr">
        <x:is>
          <x:t xml:space="preserve">Проведен</x:t>
        </x:is>
      </x:c>
    </x:row>
    <x:row r="868">
      <x:c r="A868" s="31" t="inlineStr">
        <x:is>
          <x:t xml:space="preserve">СКЛ-000867</x:t>
        </x:is>
      </x:c>
      <x:c r="B868" s="31" t="n">
        <x:v>46093</x:v>
      </x:c>
      <x:c r="C868" s="31" t="inlineStr">
        <x:is>
          <x:t xml:space="preserve">Выдача в производство</x:t>
        </x:is>
      </x:c>
      <x:c r="D868" s="31" t="inlineStr">
        <x:is>
          <x:t xml:space="preserve">МАТ-0057</x:t>
        </x:is>
      </x:c>
      <x:c r="E868" s="31" t="inlineStr">
        <x:is>
          <x:t xml:space="preserve">Задвижка Ду100 / исп.2</x:t>
        </x:is>
      </x:c>
      <x:c r="F868" s="31" t="n">
        <x:v>-20</x:v>
      </x:c>
      <x:c r="G868" s="31" t="inlineStr">
        <x:is>
          <x:t xml:space="preserve">шт</x:t>
        </x:is>
      </x:c>
      <x:c r="H868" s="31" t="inlineStr">
        <x:is>
          <x:t xml:space="preserve">ЗК-1047</x:t>
        </x:is>
      </x:c>
      <x:c r="I868" s="31" t="inlineStr">
        <x:is>
          <x:t xml:space="preserve">ПЗ-00118</x:t>
        </x:is>
      </x:c>
      <x:c r="J868" s="31" t="inlineStr">
        <x:is>
          <x:t xml:space="preserve">Основной склад</x:t>
        </x:is>
      </x:c>
      <x:c r="K868" s="31" t="inlineStr">
        <x:is>
          <x:t xml:space="preserve">СОТР-036</x:t>
        </x:is>
      </x:c>
      <x:c r="L868" s="31" t="inlineStr">
        <x:is>
          <x:t xml:space="preserve">ДОК-4400</x:t>
        </x:is>
      </x:c>
      <x:c r="M868" s="31" t="inlineStr">
        <x:is>
          <x:t xml:space="preserve">Проведен</x:t>
        </x:is>
      </x:c>
    </x:row>
    <x:row r="869">
      <x:c r="A869" s="31" t="inlineStr">
        <x:is>
          <x:t xml:space="preserve">СКЛ-000868</x:t>
        </x:is>
      </x:c>
      <x:c r="B869" s="31" t="n">
        <x:v>46121</x:v>
      </x:c>
      <x:c r="C869" s="31" t="inlineStr">
        <x:is>
          <x:t xml:space="preserve">Выдача в производство</x:t>
        </x:is>
      </x:c>
      <x:c r="D869" s="31" t="inlineStr">
        <x:is>
          <x:t xml:space="preserve">МАТ-0075</x:t>
        </x:is>
      </x:c>
      <x:c r="E869" s="31" t="inlineStr">
        <x:is>
          <x:t xml:space="preserve">Болт М12</x:t>
        </x:is>
      </x:c>
      <x:c r="F869" s="31" t="n">
        <x:v>-17</x:v>
      </x:c>
      <x:c r="G869" s="31" t="inlineStr">
        <x:is>
          <x:t xml:space="preserve">шт</x:t>
        </x:is>
      </x:c>
      <x:c r="H869" s="31" t="inlineStr">
        <x:is>
          <x:t xml:space="preserve">ЗК-1017</x:t>
        </x:is>
      </x:c>
      <x:c r="I869" s="31" t="inlineStr">
        <x:is>
          <x:t xml:space="preserve">ПЗ-00259</x:t>
        </x:is>
      </x:c>
      <x:c r="J869" s="31" t="inlineStr">
        <x:is>
          <x:t xml:space="preserve">Цеховой склад</x:t>
        </x:is>
      </x:c>
      <x:c r="K869" s="31" t="inlineStr">
        <x:is>
          <x:t xml:space="preserve">СОТР-039</x:t>
        </x:is>
      </x:c>
      <x:c r="L869" s="31" t="inlineStr">
        <x:is>
          <x:t xml:space="preserve">ДОК-9695</x:t>
        </x:is>
      </x:c>
      <x:c r="M869" s="31" t="inlineStr">
        <x:is>
          <x:t xml:space="preserve">Черновик</x:t>
        </x:is>
      </x:c>
    </x:row>
    <x:row r="870">
      <x:c r="A870" s="31" t="inlineStr">
        <x:is>
          <x:t xml:space="preserve">СКЛ-000869</x:t>
        </x:is>
      </x:c>
      <x:c r="B870" s="31" t="n">
        <x:v>46175</x:v>
      </x:c>
      <x:c r="C870" s="31" t="inlineStr">
        <x:is>
          <x:t xml:space="preserve">Списание</x:t>
        </x:is>
      </x:c>
      <x:c r="D870" s="31" t="inlineStr">
        <x:is>
          <x:t xml:space="preserve">МАТ-0068</x:t>
        </x:is>
      </x:c>
      <x:c r="E870" s="31" t="inlineStr">
        <x:is>
          <x:t xml:space="preserve">Грунт эпоксидный</x:t>
        </x:is>
      </x:c>
      <x:c r="F870" s="31" t="n">
        <x:v>-2.19</x:v>
      </x:c>
      <x:c r="G870" s="31" t="inlineStr">
        <x:is>
          <x:t xml:space="preserve">л</x:t>
        </x:is>
      </x:c>
      <x:c r="H870" s="31" t="n"/>
      <x:c r="I870" s="31" t="n"/>
      <x:c r="J870" s="31" t="inlineStr">
        <x:is>
          <x:t xml:space="preserve">Основной склад</x:t>
        </x:is>
      </x:c>
      <x:c r="K870" s="31" t="inlineStr">
        <x:is>
          <x:t xml:space="preserve">СОТР-034</x:t>
        </x:is>
      </x:c>
      <x:c r="L870" s="31" t="inlineStr">
        <x:is>
          <x:t xml:space="preserve">ДОК-9351</x:t>
        </x:is>
      </x:c>
      <x:c r="M870" s="31" t="inlineStr">
        <x:is>
          <x:t xml:space="preserve">Проведен</x:t>
        </x:is>
      </x:c>
    </x:row>
    <x:row r="871">
      <x:c r="A871" s="31" t="inlineStr">
        <x:is>
          <x:t xml:space="preserve">СКЛ-000870</x:t>
        </x:is>
      </x:c>
      <x:c r="B871" s="31" t="n">
        <x:v>46185</x:v>
      </x:c>
      <x:c r="C871" s="31" t="inlineStr">
        <x:is>
          <x:t xml:space="preserve">Выдача в производство</x:t>
        </x:is>
      </x:c>
      <x:c r="D871" s="31" t="inlineStr">
        <x:is>
          <x:t xml:space="preserve">МАТ-0058</x:t>
        </x:is>
      </x:c>
      <x:c r="E871" s="31" t="inlineStr">
        <x:is>
          <x:t xml:space="preserve">Задвижка Ду100 / исп.3</x:t>
        </x:is>
      </x:c>
      <x:c r="F871" s="31" t="n">
        <x:v>-18</x:v>
      </x:c>
      <x:c r="G871" s="31" t="inlineStr">
        <x:is>
          <x:t xml:space="preserve">шт</x:t>
        </x:is>
      </x:c>
      <x:c r="H871" s="31" t="inlineStr">
        <x:is>
          <x:t xml:space="preserve">ЗК-1004</x:t>
        </x:is>
      </x:c>
      <x:c r="I871" s="31" t="inlineStr">
        <x:is>
          <x:t xml:space="preserve">ПЗ-00037</x:t>
        </x:is>
      </x:c>
      <x:c r="J871" s="31" t="inlineStr">
        <x:is>
          <x:t xml:space="preserve">Основной склад</x:t>
        </x:is>
      </x:c>
      <x:c r="K871" s="31" t="inlineStr">
        <x:is>
          <x:t xml:space="preserve">СОТР-037</x:t>
        </x:is>
      </x:c>
      <x:c r="L871" s="31" t="inlineStr">
        <x:is>
          <x:t xml:space="preserve">ДОК-9562</x:t>
        </x:is>
      </x:c>
      <x:c r="M871" s="31" t="inlineStr">
        <x:is>
          <x:t xml:space="preserve">Проведен</x:t>
        </x:is>
      </x:c>
    </x:row>
    <x:row r="872">
      <x:c r="A872" s="31" t="inlineStr">
        <x:is>
          <x:t xml:space="preserve">СКЛ-000871</x:t>
        </x:is>
      </x:c>
      <x:c r="B872" s="31" t="n">
        <x:v>46118</x:v>
      </x:c>
      <x:c r="C872" s="31" t="inlineStr">
        <x:is>
          <x:t xml:space="preserve">Выдача в производство</x:t>
        </x:is>
      </x:c>
      <x:c r="D872" s="31" t="inlineStr">
        <x:is>
          <x:t xml:space="preserve">МАТ-0082</x:t>
        </x:is>
      </x:c>
      <x:c r="E872" s="31" t="inlineStr">
        <x:is>
          <x:t xml:space="preserve">Шайба 12 / исп.2</x:t>
        </x:is>
      </x:c>
      <x:c r="F872" s="31" t="n">
        <x:v>-10</x:v>
      </x:c>
      <x:c r="G872" s="31" t="inlineStr">
        <x:is>
          <x:t xml:space="preserve">шт</x:t>
        </x:is>
      </x:c>
      <x:c r="H872" s="31" t="inlineStr">
        <x:is>
          <x:t xml:space="preserve">ЗК-1007</x:t>
        </x:is>
      </x:c>
      <x:c r="I872" s="31" t="inlineStr">
        <x:is>
          <x:t xml:space="preserve">ПЗ-00231</x:t>
        </x:is>
      </x:c>
      <x:c r="J872" s="31" t="inlineStr">
        <x:is>
          <x:t xml:space="preserve">Цеховой склад</x:t>
        </x:is>
      </x:c>
      <x:c r="K872" s="31" t="inlineStr">
        <x:is>
          <x:t xml:space="preserve">СОТР-034</x:t>
        </x:is>
      </x:c>
      <x:c r="L872" s="31" t="inlineStr">
        <x:is>
          <x:t xml:space="preserve">ДОК-6232</x:t>
        </x:is>
      </x:c>
      <x:c r="M872" s="31" t="inlineStr">
        <x:is>
          <x:t xml:space="preserve">Проведен</x:t>
        </x:is>
      </x:c>
    </x:row>
    <x:row r="873">
      <x:c r="A873" s="31" t="inlineStr">
        <x:is>
          <x:t xml:space="preserve">СКЛ-000872</x:t>
        </x:is>
      </x:c>
      <x:c r="B873" s="31" t="n">
        <x:v>46145</x:v>
      </x:c>
      <x:c r="C873" s="31" t="inlineStr">
        <x:is>
          <x:t xml:space="preserve">Выдача в производство</x:t>
        </x:is>
      </x:c>
      <x:c r="D873" s="31" t="inlineStr">
        <x:is>
          <x:t xml:space="preserve">МАТ-0049</x:t>
        </x:is>
      </x:c>
      <x:c r="E873" s="31" t="inlineStr">
        <x:is>
          <x:t xml:space="preserve">Рейковая клемма</x:t>
        </x:is>
      </x:c>
      <x:c r="F873" s="31" t="n">
        <x:v>-6</x:v>
      </x:c>
      <x:c r="G873" s="31" t="inlineStr">
        <x:is>
          <x:t xml:space="preserve">шт</x:t>
        </x:is>
      </x:c>
      <x:c r="H873" s="31" t="inlineStr">
        <x:is>
          <x:t xml:space="preserve">ЗК-1002</x:t>
        </x:is>
      </x:c>
      <x:c r="I873" s="31" t="inlineStr">
        <x:is>
          <x:t xml:space="preserve">ПЗ-00108</x:t>
        </x:is>
      </x:c>
      <x:c r="J873" s="31" t="inlineStr">
        <x:is>
          <x:t xml:space="preserve">Основной склад</x:t>
        </x:is>
      </x:c>
      <x:c r="K873" s="31" t="inlineStr">
        <x:is>
          <x:t xml:space="preserve">СОТР-039</x:t>
        </x:is>
      </x:c>
      <x:c r="L873" s="31" t="inlineStr">
        <x:is>
          <x:t xml:space="preserve">ДОК-6843</x:t>
        </x:is>
      </x:c>
      <x:c r="M873" s="31" t="inlineStr">
        <x:is>
          <x:t xml:space="preserve">Проведен</x:t>
        </x:is>
      </x:c>
    </x:row>
    <x:row r="874">
      <x:c r="A874" s="31" t="inlineStr">
        <x:is>
          <x:t xml:space="preserve">СКЛ-000873</x:t>
        </x:is>
      </x:c>
      <x:c r="B874" s="31" t="n">
        <x:v>46172</x:v>
      </x:c>
      <x:c r="C874" s="31" t="inlineStr">
        <x:is>
          <x:t xml:space="preserve">Приход</x:t>
        </x:is>
      </x:c>
      <x:c r="D874" s="31" t="inlineStr">
        <x:is>
          <x:t xml:space="preserve">МАТ-0043</x:t>
        </x:is>
      </x:c>
      <x:c r="E874" s="31" t="inlineStr">
        <x:is>
          <x:t xml:space="preserve">Блок питания 24В</x:t>
        </x:is>
      </x:c>
      <x:c r="F874" s="31" t="n">
        <x:v>19</x:v>
      </x:c>
      <x:c r="G874" s="31" t="inlineStr">
        <x:is>
          <x:t xml:space="preserve">шт</x:t>
        </x:is>
      </x:c>
      <x:c r="H874" s="31" t="n"/>
      <x:c r="I874" s="31" t="n"/>
      <x:c r="J874" s="31" t="inlineStr">
        <x:is>
          <x:t xml:space="preserve">Цеховой склад</x:t>
        </x:is>
      </x:c>
      <x:c r="K874" s="31" t="inlineStr">
        <x:is>
          <x:t xml:space="preserve">СОТР-034</x:t>
        </x:is>
      </x:c>
      <x:c r="L874" s="31" t="inlineStr">
        <x:is>
          <x:t xml:space="preserve">ДОК-1566</x:t>
        </x:is>
      </x:c>
      <x:c r="M874" s="31" t="inlineStr">
        <x:is>
          <x:t xml:space="preserve">Проведен</x:t>
        </x:is>
      </x:c>
    </x:row>
    <x:row r="875">
      <x:c r="A875" s="31" t="inlineStr">
        <x:is>
          <x:t xml:space="preserve">СКЛ-000874</x:t>
        </x:is>
      </x:c>
      <x:c r="B875" s="31" t="n">
        <x:v>46095</x:v>
      </x:c>
      <x:c r="C875" s="31" t="inlineStr">
        <x:is>
          <x:t xml:space="preserve">Списание</x:t>
        </x:is>
      </x:c>
      <x:c r="D875" s="31" t="inlineStr">
        <x:is>
          <x:t xml:space="preserve">МАТ-0085</x:t>
        </x:is>
      </x:c>
      <x:c r="E875" s="31" t="inlineStr">
        <x:is>
          <x:t xml:space="preserve">Пленка стрейч</x:t>
        </x:is>
      </x:c>
      <x:c r="F875" s="31" t="n">
        <x:v>-2</x:v>
      </x:c>
      <x:c r="G875" s="31" t="inlineStr">
        <x:is>
          <x:t xml:space="preserve">шт</x:t>
        </x:is>
      </x:c>
      <x:c r="H875" s="31" t="n"/>
      <x:c r="I875" s="31" t="n"/>
      <x:c r="J875" s="31" t="inlineStr">
        <x:is>
          <x:t xml:space="preserve">Основной склад</x:t>
        </x:is>
      </x:c>
      <x:c r="K875" s="31" t="inlineStr">
        <x:is>
          <x:t xml:space="preserve">СОТР-024</x:t>
        </x:is>
      </x:c>
      <x:c r="L875" s="31" t="inlineStr">
        <x:is>
          <x:t xml:space="preserve">ДОК-8581</x:t>
        </x:is>
      </x:c>
      <x:c r="M875" s="31" t="inlineStr">
        <x:is>
          <x:t xml:space="preserve">Требует проверки</x:t>
        </x:is>
      </x:c>
    </x:row>
    <x:row r="876">
      <x:c r="A876" s="31" t="inlineStr">
        <x:is>
          <x:t xml:space="preserve">СКЛ-000875</x:t>
        </x:is>
      </x:c>
      <x:c r="B876" s="31" t="n">
        <x:v>46167</x:v>
      </x:c>
      <x:c r="C876" s="31" t="inlineStr">
        <x:is>
          <x:t xml:space="preserve">Выдача в производство</x:t>
        </x:is>
      </x:c>
      <x:c r="D876" s="31" t="inlineStr">
        <x:is>
          <x:t xml:space="preserve">МАТ-0027</x:t>
        </x:is>
      </x:c>
      <x:c r="E876" s="31" t="inlineStr">
        <x:is>
          <x:t xml:space="preserve">Двигатель 22 кВт</x:t>
        </x:is>
      </x:c>
      <x:c r="F876" s="31" t="n">
        <x:v>-9</x:v>
      </x:c>
      <x:c r="G876" s="31" t="inlineStr">
        <x:is>
          <x:t xml:space="preserve">шт</x:t>
        </x:is>
      </x:c>
      <x:c r="H876" s="31" t="inlineStr">
        <x:is>
          <x:t xml:space="preserve">ЗК-1125</x:t>
        </x:is>
      </x:c>
      <x:c r="I876" s="31" t="inlineStr">
        <x:is>
          <x:t xml:space="preserve">ПЗ-00205</x:t>
        </x:is>
      </x:c>
      <x:c r="J876" s="31" t="inlineStr">
        <x:is>
          <x:t xml:space="preserve">Основной склад</x:t>
        </x:is>
      </x:c>
      <x:c r="K876" s="31" t="inlineStr">
        <x:is>
          <x:t xml:space="preserve">СОТР-039</x:t>
        </x:is>
      </x:c>
      <x:c r="L876" s="31" t="inlineStr">
        <x:is>
          <x:t xml:space="preserve">ДОК-4115</x:t>
        </x:is>
      </x:c>
      <x:c r="M876" s="31" t="inlineStr">
        <x:is>
          <x:t xml:space="preserve">Проведен</x:t>
        </x:is>
      </x:c>
    </x:row>
    <x:row r="877">
      <x:c r="A877" s="31" t="inlineStr">
        <x:is>
          <x:t xml:space="preserve">СКЛ-000876</x:t>
        </x:is>
      </x:c>
      <x:c r="B877" s="31" t="n">
        <x:v>46099</x:v>
      </x:c>
      <x:c r="C877" s="31" t="inlineStr">
        <x:is>
          <x:t xml:space="preserve">Приход</x:t>
        </x:is>
      </x:c>
      <x:c r="D877" s="31" t="inlineStr">
        <x:is>
          <x:t xml:space="preserve">МАТ-0006</x:t>
        </x:is>
      </x:c>
      <x:c r="E877" s="31" t="inlineStr">
        <x:is>
          <x:t xml:space="preserve">Труба нержавеющая 38×3</x:t>
        </x:is>
      </x:c>
      <x:c r="F877" s="31" t="n">
        <x:v>9</x:v>
      </x:c>
      <x:c r="G877" s="31" t="inlineStr">
        <x:is>
          <x:t xml:space="preserve">шт</x:t>
        </x:is>
      </x:c>
      <x:c r="H877" s="31" t="n"/>
      <x:c r="I877" s="31" t="n"/>
      <x:c r="J877" s="31" t="inlineStr">
        <x:is>
          <x:t xml:space="preserve">Основной склад</x:t>
        </x:is>
      </x:c>
      <x:c r="K877" s="31" t="inlineStr">
        <x:is>
          <x:t xml:space="preserve">СОТР-039</x:t>
        </x:is>
      </x:c>
      <x:c r="L877" s="31" t="inlineStr">
        <x:is>
          <x:t xml:space="preserve">ДОК-4858</x:t>
        </x:is>
      </x:c>
      <x:c r="M877" s="31" t="inlineStr">
        <x:is>
          <x:t xml:space="preserve">Проведен</x:t>
        </x:is>
      </x:c>
    </x:row>
    <x:row r="878">
      <x:c r="A878" s="31" t="inlineStr">
        <x:is>
          <x:t xml:space="preserve">СКЛ-000877</x:t>
        </x:is>
      </x:c>
      <x:c r="B878" s="31" t="n">
        <x:v>46031</x:v>
      </x:c>
      <x:c r="C878" s="31" t="inlineStr">
        <x:is>
          <x:t xml:space="preserve">Резерв</x:t>
        </x:is>
      </x:c>
      <x:c r="D878" s="31" t="inlineStr">
        <x:is>
          <x:t xml:space="preserve">МАТ-0074</x:t>
        </x:is>
      </x:c>
      <x:c r="E878" s="31" t="inlineStr">
        <x:is>
          <x:t xml:space="preserve">Абразив для пескоструя</x:t>
        </x:is>
      </x:c>
      <x:c r="F878" s="31" t="n">
        <x:v>-20</x:v>
      </x:c>
      <x:c r="G878" s="31" t="inlineStr">
        <x:is>
          <x:t xml:space="preserve">шт</x:t>
        </x:is>
      </x:c>
      <x:c r="H878" s="31" t="inlineStr">
        <x:is>
          <x:t xml:space="preserve">ЗК-1106</x:t>
        </x:is>
      </x:c>
      <x:c r="I878" s="31" t="n"/>
      <x:c r="J878" s="31" t="inlineStr">
        <x:is>
          <x:t xml:space="preserve">Основной склад</x:t>
        </x:is>
      </x:c>
      <x:c r="K878" s="31" t="inlineStr">
        <x:is>
          <x:t xml:space="preserve">СОТР-034</x:t>
        </x:is>
      </x:c>
      <x:c r="L878" s="31" t="inlineStr">
        <x:is>
          <x:t xml:space="preserve">ДОК-1949</x:t>
        </x:is>
      </x:c>
      <x:c r="M878" s="31" t="inlineStr">
        <x:is>
          <x:t xml:space="preserve">Проведен</x:t>
        </x:is>
      </x:c>
    </x:row>
    <x:row r="879">
      <x:c r="A879" s="31" t="inlineStr">
        <x:is>
          <x:t xml:space="preserve">СКЛ-000878</x:t>
        </x:is>
      </x:c>
      <x:c r="B879" s="31" t="n">
        <x:v>46197</x:v>
      </x:c>
      <x:c r="C879" s="31" t="inlineStr">
        <x:is>
          <x:t xml:space="preserve">Резерв</x:t>
        </x:is>
      </x:c>
      <x:c r="D879" s="31" t="inlineStr">
        <x:is>
          <x:t xml:space="preserve">МАТ-0051</x:t>
        </x:is>
      </x:c>
      <x:c r="E879" s="31" t="inlineStr">
        <x:is>
          <x:t xml:space="preserve">Кран шаровой Ду50</x:t>
        </x:is>
      </x:c>
      <x:c r="F879" s="31" t="n">
        <x:v>-20</x:v>
      </x:c>
      <x:c r="G879" s="31" t="inlineStr">
        <x:is>
          <x:t xml:space="preserve">шт</x:t>
        </x:is>
      </x:c>
      <x:c r="H879" s="31" t="inlineStr">
        <x:is>
          <x:t xml:space="preserve">ЗК-1042</x:t>
        </x:is>
      </x:c>
      <x:c r="I879" s="31" t="n"/>
      <x:c r="J879" s="31" t="inlineStr">
        <x:is>
          <x:t xml:space="preserve">Основной склад</x:t>
        </x:is>
      </x:c>
      <x:c r="K879" s="31" t="inlineStr">
        <x:is>
          <x:t xml:space="preserve">СОТР-038</x:t>
        </x:is>
      </x:c>
      <x:c r="L879" s="31" t="inlineStr">
        <x:is>
          <x:t xml:space="preserve">ДОК-5139</x:t>
        </x:is>
      </x:c>
      <x:c r="M879" s="31" t="inlineStr">
        <x:is>
          <x:t xml:space="preserve">Черновик</x:t>
        </x:is>
      </x:c>
    </x:row>
    <x:row r="880">
      <x:c r="A880" s="31" t="inlineStr">
        <x:is>
          <x:t xml:space="preserve">СКЛ-000879</x:t>
        </x:is>
      </x:c>
      <x:c r="B880" s="31" t="n">
        <x:v>46137</x:v>
      </x:c>
      <x:c r="C880" s="31" t="inlineStr">
        <x:is>
          <x:t xml:space="preserve">Приход</x:t>
        </x:is>
      </x:c>
      <x:c r="D880" s="31" t="inlineStr">
        <x:is>
          <x:t xml:space="preserve">МАТ-0056</x:t>
        </x:is>
      </x:c>
      <x:c r="E880" s="31" t="inlineStr">
        <x:is>
          <x:t xml:space="preserve">Задвижка Ду100</x:t>
        </x:is>
      </x:c>
      <x:c r="F880" s="31" t="n">
        <x:v>13</x:v>
      </x:c>
      <x:c r="G880" s="31" t="inlineStr">
        <x:is>
          <x:t xml:space="preserve">шт</x:t>
        </x:is>
      </x:c>
      <x:c r="H880" s="31" t="n"/>
      <x:c r="I880" s="31" t="n"/>
      <x:c r="J880" s="31" t="inlineStr">
        <x:is>
          <x:t xml:space="preserve">Основной склад</x:t>
        </x:is>
      </x:c>
      <x:c r="K880" s="31" t="inlineStr">
        <x:is>
          <x:t xml:space="preserve">СОТР-036</x:t>
        </x:is>
      </x:c>
      <x:c r="L880" s="31" t="inlineStr">
        <x:is>
          <x:t xml:space="preserve">ДОК-8920</x:t>
        </x:is>
      </x:c>
      <x:c r="M880" s="31" t="inlineStr">
        <x:is>
          <x:t xml:space="preserve">Проведен</x:t>
        </x:is>
      </x:c>
    </x:row>
    <x:row r="881">
      <x:c r="A881" s="31" t="inlineStr">
        <x:is>
          <x:t xml:space="preserve">СКЛ-000880</x:t>
        </x:is>
      </x:c>
      <x:c r="B881" s="31" t="n">
        <x:v>46077</x:v>
      </x:c>
      <x:c r="C881" s="31" t="inlineStr">
        <x:is>
          <x:t xml:space="preserve">Резерв</x:t>
        </x:is>
      </x:c>
      <x:c r="D881" s="31" t="inlineStr">
        <x:is>
          <x:t xml:space="preserve">МАТ-0004</x:t>
        </x:is>
      </x:c>
      <x:c r="E881" s="31" t="inlineStr">
        <x:is>
          <x:t xml:space="preserve">Лист стальной 09Г2С 12 мм / исп.3</x:t>
        </x:is>
      </x:c>
      <x:c r="F881" s="31" t="n">
        <x:v>-18.37</x:v>
      </x:c>
      <x:c r="G881" s="31" t="inlineStr">
        <x:is>
          <x:t xml:space="preserve">л</x:t>
        </x:is>
      </x:c>
      <x:c r="H881" s="31" t="inlineStr">
        <x:is>
          <x:t xml:space="preserve">ЗК-1114</x:t>
        </x:is>
      </x:c>
      <x:c r="I881" s="31" t="n"/>
      <x:c r="J881" s="31" t="inlineStr">
        <x:is>
          <x:t xml:space="preserve">Основной склад</x:t>
        </x:is>
      </x:c>
      <x:c r="K881" s="31" t="inlineStr">
        <x:is>
          <x:t xml:space="preserve">СОТР-038</x:t>
        </x:is>
      </x:c>
      <x:c r="L881" s="31" t="inlineStr">
        <x:is>
          <x:t xml:space="preserve">ДОК-7007</x:t>
        </x:is>
      </x:c>
      <x:c r="M881" s="31" t="inlineStr">
        <x:is>
          <x:t xml:space="preserve">Проведен</x:t>
        </x:is>
      </x:c>
    </x:row>
    <x:row r="882">
      <x:c r="A882" s="31" t="inlineStr">
        <x:is>
          <x:t xml:space="preserve">СКЛ-000881</x:t>
        </x:is>
      </x:c>
      <x:c r="B882" s="31" t="n">
        <x:v>46032</x:v>
      </x:c>
      <x:c r="C882" s="31" t="inlineStr">
        <x:is>
          <x:t xml:space="preserve">Выдача в производство</x:t>
        </x:is>
      </x:c>
      <x:c r="D882" s="31" t="inlineStr">
        <x:is>
          <x:t xml:space="preserve">МАТ-0004</x:t>
        </x:is>
      </x:c>
      <x:c r="E882" s="31" t="inlineStr">
        <x:is>
          <x:t xml:space="preserve">Лист стальной 09Г2С 12 мм / исп.3</x:t>
        </x:is>
      </x:c>
      <x:c r="F882" s="31" t="n">
        <x:v>-1.9</x:v>
      </x:c>
      <x:c r="G882" s="31" t="inlineStr">
        <x:is>
          <x:t xml:space="preserve">л</x:t>
        </x:is>
      </x:c>
      <x:c r="H882" s="31" t="inlineStr">
        <x:is>
          <x:t xml:space="preserve">ЗК-1020</x:t>
        </x:is>
      </x:c>
      <x:c r="I882" s="31" t="inlineStr">
        <x:is>
          <x:t xml:space="preserve">ПЗ-00099</x:t>
        </x:is>
      </x:c>
      <x:c r="J882" s="31" t="inlineStr">
        <x:is>
          <x:t xml:space="preserve">Основной склад</x:t>
        </x:is>
      </x:c>
      <x:c r="K882" s="31" t="inlineStr">
        <x:is>
          <x:t xml:space="preserve">СОТР-038</x:t>
        </x:is>
      </x:c>
      <x:c r="L882" s="31" t="inlineStr">
        <x:is>
          <x:t xml:space="preserve">ДОК-2311</x:t>
        </x:is>
      </x:c>
      <x:c r="M882" s="31" t="inlineStr">
        <x:is>
          <x:t xml:space="preserve">Проведен</x:t>
        </x:is>
      </x:c>
    </x:row>
    <x:row r="883">
      <x:c r="A883" s="31" t="inlineStr">
        <x:is>
          <x:t xml:space="preserve">СКЛ-000882</x:t>
        </x:is>
      </x:c>
      <x:c r="B883" s="31" t="n">
        <x:v>46071</x:v>
      </x:c>
      <x:c r="C883" s="31" t="inlineStr">
        <x:is>
          <x:t xml:space="preserve">Приход</x:t>
        </x:is>
      </x:c>
      <x:c r="D883" s="31" t="inlineStr">
        <x:is>
          <x:t xml:space="preserve">МАТ-0068</x:t>
        </x:is>
      </x:c>
      <x:c r="E883" s="31" t="inlineStr">
        <x:is>
          <x:t xml:space="preserve">Грунт эпоксидный</x:t>
        </x:is>
      </x:c>
      <x:c r="F883" s="31" t="n">
        <x:v>8.16</x:v>
      </x:c>
      <x:c r="G883" s="31" t="inlineStr">
        <x:is>
          <x:t xml:space="preserve">л</x:t>
        </x:is>
      </x:c>
      <x:c r="H883" s="31" t="n"/>
      <x:c r="I883" s="31" t="n"/>
      <x:c r="J883" s="31" t="inlineStr">
        <x:is>
          <x:t xml:space="preserve">Брак/карантин</x:t>
        </x:is>
      </x:c>
      <x:c r="K883" s="31" t="inlineStr">
        <x:is>
          <x:t xml:space="preserve">СОТР-024</x:t>
        </x:is>
      </x:c>
      <x:c r="L883" s="31" t="inlineStr">
        <x:is>
          <x:t xml:space="preserve">ДОК-1973</x:t>
        </x:is>
      </x:c>
      <x:c r="M883" s="31" t="inlineStr">
        <x:is>
          <x:t xml:space="preserve">Проведен</x:t>
        </x:is>
      </x:c>
    </x:row>
    <x:row r="884">
      <x:c r="A884" s="31" t="inlineStr">
        <x:is>
          <x:t xml:space="preserve">СКЛ-000883</x:t>
        </x:is>
      </x:c>
      <x:c r="B884" s="31" t="n">
        <x:v>46099</x:v>
      </x:c>
      <x:c r="C884" s="31" t="inlineStr">
        <x:is>
          <x:t xml:space="preserve">Резерв</x:t>
        </x:is>
      </x:c>
      <x:c r="D884" s="31" t="inlineStr">
        <x:is>
          <x:t xml:space="preserve">МАТ-0064</x:t>
        </x:is>
      </x:c>
      <x:c r="E884" s="31" t="inlineStr">
        <x:is>
          <x:t xml:space="preserve">Кабель ВВГнг 3×2.5 / исп.2</x:t>
        </x:is>
      </x:c>
      <x:c r="F884" s="31" t="n">
        <x:v>-13</x:v>
      </x:c>
      <x:c r="G884" s="31" t="inlineStr">
        <x:is>
          <x:t xml:space="preserve">шт</x:t>
        </x:is>
      </x:c>
      <x:c r="H884" s="31" t="inlineStr">
        <x:is>
          <x:t xml:space="preserve">ЗК-1078</x:t>
        </x:is>
      </x:c>
      <x:c r="I884" s="31" t="n"/>
      <x:c r="J884" s="31" t="inlineStr">
        <x:is>
          <x:t xml:space="preserve">Основной склад</x:t>
        </x:is>
      </x:c>
      <x:c r="K884" s="31" t="inlineStr">
        <x:is>
          <x:t xml:space="preserve">СОТР-024</x:t>
        </x:is>
      </x:c>
      <x:c r="L884" s="31" t="inlineStr">
        <x:is>
          <x:t xml:space="preserve">ДОК-7189</x:t>
        </x:is>
      </x:c>
      <x:c r="M884" s="31" t="inlineStr">
        <x:is>
          <x:t xml:space="preserve">Проведен</x:t>
        </x:is>
      </x:c>
    </x:row>
    <x:row r="885">
      <x:c r="A885" s="31" t="inlineStr">
        <x:is>
          <x:t xml:space="preserve">СКЛ-000884</x:t>
        </x:is>
      </x:c>
      <x:c r="B885" s="31" t="n">
        <x:v>46055</x:v>
      </x:c>
      <x:c r="C885" s="31" t="inlineStr">
        <x:is>
          <x:t xml:space="preserve">Приход</x:t>
        </x:is>
      </x:c>
      <x:c r="D885" s="31" t="inlineStr">
        <x:is>
          <x:t xml:space="preserve">МАТ-0038</x:t>
        </x:is>
      </x:c>
      <x:c r="E885" s="31" t="inlineStr">
        <x:is>
          <x:t xml:space="preserve">ПЛК 24 дискр. входа / 16 дискр. выхода</x:t>
        </x:is>
      </x:c>
      <x:c r="F885" s="31" t="n">
        <x:v>8</x:v>
      </x:c>
      <x:c r="G885" s="31" t="inlineStr">
        <x:is>
          <x:t xml:space="preserve">шт</x:t>
        </x:is>
      </x:c>
      <x:c r="H885" s="31" t="n"/>
      <x:c r="I885" s="31" t="n"/>
      <x:c r="J885" s="31" t="inlineStr">
        <x:is>
          <x:t xml:space="preserve">Основной склад</x:t>
        </x:is>
      </x:c>
      <x:c r="K885" s="31" t="inlineStr">
        <x:is>
          <x:t xml:space="preserve">СОТР-034</x:t>
        </x:is>
      </x:c>
      <x:c r="L885" s="31" t="inlineStr">
        <x:is>
          <x:t xml:space="preserve">ДОК-4477</x:t>
        </x:is>
      </x:c>
      <x:c r="M885" s="31" t="inlineStr">
        <x:is>
          <x:t xml:space="preserve">Проведен</x:t>
        </x:is>
      </x:c>
    </x:row>
    <x:row r="886">
      <x:c r="A886" s="31" t="inlineStr">
        <x:is>
          <x:t xml:space="preserve">СКЛ-000885</x:t>
        </x:is>
      </x:c>
      <x:c r="B886" s="31" t="n">
        <x:v>46152</x:v>
      </x:c>
      <x:c r="C886" s="31" t="inlineStr">
        <x:is>
          <x:t xml:space="preserve">Резерв</x:t>
        </x:is>
      </x:c>
      <x:c r="D886" s="31" t="inlineStr">
        <x:is>
          <x:t xml:space="preserve">МАТ-0039</x:t>
        </x:is>
      </x:c>
      <x:c r="E886" s="31" t="inlineStr">
        <x:is>
          <x:t xml:space="preserve">ПЛК 24 дискр. входа / 16 дискр. выхода / исп.2</x:t>
        </x:is>
      </x:c>
      <x:c r="F886" s="31" t="n">
        <x:v>-9</x:v>
      </x:c>
      <x:c r="G886" s="31" t="inlineStr">
        <x:is>
          <x:t xml:space="preserve">шт</x:t>
        </x:is>
      </x:c>
      <x:c r="H886" s="31" t="inlineStr">
        <x:is>
          <x:t xml:space="preserve">ЗК-1052</x:t>
        </x:is>
      </x:c>
      <x:c r="I886" s="31" t="n"/>
      <x:c r="J886" s="31" t="inlineStr">
        <x:is>
          <x:t xml:space="preserve">Основной склад</x:t>
        </x:is>
      </x:c>
      <x:c r="K886" s="31" t="inlineStr">
        <x:is>
          <x:t xml:space="preserve">СОТР-038</x:t>
        </x:is>
      </x:c>
      <x:c r="L886" s="31" t="inlineStr">
        <x:is>
          <x:t xml:space="preserve">ДОК-1790</x:t>
        </x:is>
      </x:c>
      <x:c r="M886" s="31" t="inlineStr">
        <x:is>
          <x:t xml:space="preserve">Проведен</x:t>
        </x:is>
      </x:c>
    </x:row>
    <x:row r="887">
      <x:c r="A887" s="31" t="inlineStr">
        <x:is>
          <x:t xml:space="preserve">СКЛ-000886</x:t>
        </x:is>
      </x:c>
      <x:c r="B887" s="31" t="n">
        <x:v>46156</x:v>
      </x:c>
      <x:c r="C887" s="31" t="inlineStr">
        <x:is>
          <x:t xml:space="preserve">Резерв</x:t>
        </x:is>
      </x:c>
      <x:c r="D887" s="31" t="inlineStr">
        <x:is>
          <x:t xml:space="preserve">МАТ-0008</x:t>
        </x:is>
      </x:c>
      <x:c r="E887" s="31" t="inlineStr">
        <x:is>
          <x:t xml:space="preserve">Швеллер 12П</x:t>
        </x:is>
      </x:c>
      <x:c r="F887" s="31" t="n">
        <x:v>-8</x:v>
      </x:c>
      <x:c r="G887" s="31" t="inlineStr">
        <x:is>
          <x:t xml:space="preserve">шт</x:t>
        </x:is>
      </x:c>
      <x:c r="H887" s="31" t="inlineStr">
        <x:is>
          <x:t xml:space="preserve">ЗК-1128</x:t>
        </x:is>
      </x:c>
      <x:c r="I887" s="31" t="n"/>
      <x:c r="J887" s="31" t="inlineStr">
        <x:is>
          <x:t xml:space="preserve">Брак/карантин</x:t>
        </x:is>
      </x:c>
      <x:c r="K887" s="31" t="inlineStr">
        <x:is>
          <x:t xml:space="preserve">СОТР-034</x:t>
        </x:is>
      </x:c>
      <x:c r="L887" s="31" t="inlineStr">
        <x:is>
          <x:t xml:space="preserve">ДОК-2186</x:t>
        </x:is>
      </x:c>
      <x:c r="M887" s="31" t="inlineStr">
        <x:is>
          <x:t xml:space="preserve">Проведен</x:t>
        </x:is>
      </x:c>
    </x:row>
    <x:row r="888">
      <x:c r="A888" s="31" t="inlineStr">
        <x:is>
          <x:t xml:space="preserve">СКЛ-000887</x:t>
        </x:is>
      </x:c>
      <x:c r="B888" s="31" t="n">
        <x:v>46072</x:v>
      </x:c>
      <x:c r="C888" s="31" t="inlineStr">
        <x:is>
          <x:t xml:space="preserve">Приход</x:t>
        </x:is>
      </x:c>
      <x:c r="D888" s="31" t="inlineStr">
        <x:is>
          <x:t xml:space="preserve">МАТ-0070</x:t>
        </x:is>
      </x:c>
      <x:c r="E888" s="31" t="inlineStr">
        <x:is>
          <x:t xml:space="preserve">Эмаль полиуретановая / исп.2</x:t>
        </x:is>
      </x:c>
      <x:c r="F888" s="31" t="n">
        <x:v>5.74</x:v>
      </x:c>
      <x:c r="G888" s="31" t="inlineStr">
        <x:is>
          <x:t xml:space="preserve">кг</x:t>
        </x:is>
      </x:c>
      <x:c r="H888" s="31" t="n"/>
      <x:c r="I888" s="31" t="n"/>
      <x:c r="J888" s="31" t="inlineStr">
        <x:is>
          <x:t xml:space="preserve">Цеховой склад</x:t>
        </x:is>
      </x:c>
      <x:c r="K888" s="31" t="inlineStr">
        <x:is>
          <x:t xml:space="preserve">СОТР-024</x:t>
        </x:is>
      </x:c>
      <x:c r="L888" s="31" t="inlineStr">
        <x:is>
          <x:t xml:space="preserve">ДОК-9253</x:t>
        </x:is>
      </x:c>
      <x:c r="M888" s="31" t="inlineStr">
        <x:is>
          <x:t xml:space="preserve">Проведен</x:t>
        </x:is>
      </x:c>
    </x:row>
    <x:row r="889">
      <x:c r="A889" s="31" t="inlineStr">
        <x:is>
          <x:t xml:space="preserve">СКЛ-000888</x:t>
        </x:is>
      </x:c>
      <x:c r="B889" s="31" t="n">
        <x:v>46198</x:v>
      </x:c>
      <x:c r="C889" s="31" t="inlineStr">
        <x:is>
          <x:t xml:space="preserve">Выдача в производство</x:t>
        </x:is>
      </x:c>
      <x:c r="D889" s="31" t="inlineStr">
        <x:is>
          <x:t xml:space="preserve">МАТ-0061</x:t>
        </x:is>
      </x:c>
      <x:c r="E889" s="31" t="inlineStr">
        <x:is>
          <x:t xml:space="preserve">Фильтр сетчатый Ду50 / исп.3</x:t>
        </x:is>
      </x:c>
      <x:c r="F889" s="31" t="n">
        <x:v>-4</x:v>
      </x:c>
      <x:c r="G889" s="31" t="inlineStr">
        <x:is>
          <x:t xml:space="preserve">шт</x:t>
        </x:is>
      </x:c>
      <x:c r="H889" s="31" t="inlineStr">
        <x:is>
          <x:t xml:space="preserve">ЗК-1105</x:t>
        </x:is>
      </x:c>
      <x:c r="I889" s="31" t="inlineStr">
        <x:is>
          <x:t xml:space="preserve">ПЗ-00024</x:t>
        </x:is>
      </x:c>
      <x:c r="J889" s="31" t="inlineStr">
        <x:is>
          <x:t xml:space="preserve">Основной склад</x:t>
        </x:is>
      </x:c>
      <x:c r="K889" s="31" t="inlineStr">
        <x:is>
          <x:t xml:space="preserve">СОТР-024</x:t>
        </x:is>
      </x:c>
      <x:c r="L889" s="31" t="inlineStr">
        <x:is>
          <x:t xml:space="preserve">ДОК-6649</x:t>
        </x:is>
      </x:c>
      <x:c r="M889" s="31" t="inlineStr">
        <x:is>
          <x:t xml:space="preserve">Проведен</x:t>
        </x:is>
      </x:c>
    </x:row>
    <x:row r="890">
      <x:c r="A890" s="31" t="inlineStr">
        <x:is>
          <x:t xml:space="preserve">СКЛ-000889</x:t>
        </x:is>
      </x:c>
      <x:c r="B890" s="31" t="n">
        <x:v>46169</x:v>
      </x:c>
      <x:c r="C890" s="31" t="inlineStr">
        <x:is>
          <x:t xml:space="preserve">Резерв</x:t>
        </x:is>
      </x:c>
      <x:c r="D890" s="31" t="inlineStr">
        <x:is>
          <x:t xml:space="preserve">МАТ-0035</x:t>
        </x:is>
      </x:c>
      <x:c r="E890" s="31" t="inlineStr">
        <x:is>
          <x:t xml:space="preserve">Клапан электромагнитный 24В</x:t>
        </x:is>
      </x:c>
      <x:c r="F890" s="31" t="n">
        <x:v>-11</x:v>
      </x:c>
      <x:c r="G890" s="31" t="inlineStr">
        <x:is>
          <x:t xml:space="preserve">шт</x:t>
        </x:is>
      </x:c>
      <x:c r="H890" s="31" t="inlineStr">
        <x:is>
          <x:t xml:space="preserve">ЗК-1089</x:t>
        </x:is>
      </x:c>
      <x:c r="I890" s="31" t="n"/>
      <x:c r="J890" s="31" t="inlineStr">
        <x:is>
          <x:t xml:space="preserve">Основной склад</x:t>
        </x:is>
      </x:c>
      <x:c r="K890" s="31" t="inlineStr">
        <x:is>
          <x:t xml:space="preserve">СОТР-039</x:t>
        </x:is>
      </x:c>
      <x:c r="L890" s="31" t="inlineStr">
        <x:is>
          <x:t xml:space="preserve">ДОК-6974</x:t>
        </x:is>
      </x:c>
      <x:c r="M890" s="31" t="inlineStr">
        <x:is>
          <x:t xml:space="preserve">Проведен</x:t>
        </x:is>
      </x:c>
    </x:row>
    <x:row r="891">
      <x:c r="A891" s="31" t="inlineStr">
        <x:is>
          <x:t xml:space="preserve">СКЛ-000890</x:t>
        </x:is>
      </x:c>
      <x:c r="B891" s="31" t="n">
        <x:v>46088</x:v>
      </x:c>
      <x:c r="C891" s="31" t="inlineStr">
        <x:is>
          <x:t xml:space="preserve">Списание</x:t>
        </x:is>
      </x:c>
      <x:c r="D891" s="31" t="inlineStr">
        <x:is>
          <x:t xml:space="preserve">МАТ-0003</x:t>
        </x:is>
      </x:c>
      <x:c r="E891" s="31" t="inlineStr">
        <x:is>
          <x:t xml:space="preserve">Лист стальной 09Г2С 12 мм / исп.2</x:t>
        </x:is>
      </x:c>
      <x:c r="F891" s="31" t="n">
        <x:v>-64.64</x:v>
      </x:c>
      <x:c r="G891" s="31" t="inlineStr">
        <x:is>
          <x:t xml:space="preserve">м</x:t>
        </x:is>
      </x:c>
      <x:c r="H891" s="31" t="n"/>
      <x:c r="I891" s="31" t="n"/>
      <x:c r="J891" s="31" t="inlineStr">
        <x:is>
          <x:t xml:space="preserve">Основной склад</x:t>
        </x:is>
      </x:c>
      <x:c r="K891" s="31" t="inlineStr">
        <x:is>
          <x:t xml:space="preserve">СОТР-039</x:t>
        </x:is>
      </x:c>
      <x:c r="L891" s="31" t="inlineStr">
        <x:is>
          <x:t xml:space="preserve">ДОК-6246</x:t>
        </x:is>
      </x:c>
      <x:c r="M891" s="31" t="inlineStr">
        <x:is>
          <x:t xml:space="preserve">Проведен</x:t>
        </x:is>
      </x:c>
    </x:row>
    <x:row r="892">
      <x:c r="A892" s="31" t="inlineStr">
        <x:is>
          <x:t xml:space="preserve">СКЛ-000891</x:t>
        </x:is>
      </x:c>
      <x:c r="B892" s="31" t="n">
        <x:v>46180</x:v>
      </x:c>
      <x:c r="C892" s="31" t="inlineStr">
        <x:is>
          <x:t xml:space="preserve">Выдача в производство</x:t>
        </x:is>
      </x:c>
      <x:c r="D892" s="31" t="inlineStr">
        <x:is>
          <x:t xml:space="preserve">МАТ-0036</x:t>
        </x:is>
      </x:c>
      <x:c r="E892" s="31" t="inlineStr">
        <x:is>
          <x:t xml:space="preserve">Клапан электромагнитный 24В / исп.2</x:t>
        </x:is>
      </x:c>
      <x:c r="F892" s="31" t="n">
        <x:v>-1</x:v>
      </x:c>
      <x:c r="G892" s="31" t="inlineStr">
        <x:is>
          <x:t xml:space="preserve">шт</x:t>
        </x:is>
      </x:c>
      <x:c r="H892" s="31" t="inlineStr">
        <x:is>
          <x:t xml:space="preserve">ЗК-1122</x:t>
        </x:is>
      </x:c>
      <x:c r="I892" s="31" t="inlineStr">
        <x:is>
          <x:t xml:space="preserve">ПЗ-00043</x:t>
        </x:is>
      </x:c>
      <x:c r="J892" s="31" t="inlineStr">
        <x:is>
          <x:t xml:space="preserve">Цеховой склад</x:t>
        </x:is>
      </x:c>
      <x:c r="K892" s="31" t="inlineStr">
        <x:is>
          <x:t xml:space="preserve">СОТР-035</x:t>
        </x:is>
      </x:c>
      <x:c r="L892" s="31" t="inlineStr">
        <x:is>
          <x:t xml:space="preserve">ДОК-8914</x:t>
        </x:is>
      </x:c>
      <x:c r="M892" s="31" t="inlineStr">
        <x:is>
          <x:t xml:space="preserve">Проведен</x:t>
        </x:is>
      </x:c>
    </x:row>
    <x:row r="893">
      <x:c r="A893" s="31" t="inlineStr">
        <x:is>
          <x:t xml:space="preserve">СКЛ-000892</x:t>
        </x:is>
      </x:c>
      <x:c r="B893" s="31" t="n">
        <x:v>46042</x:v>
      </x:c>
      <x:c r="C893" s="31" t="inlineStr">
        <x:is>
          <x:t xml:space="preserve">Выдача в производство</x:t>
        </x:is>
      </x:c>
      <x:c r="D893" s="31" t="inlineStr">
        <x:is>
          <x:t xml:space="preserve">МАТ-0070</x:t>
        </x:is>
      </x:c>
      <x:c r="E893" s="31" t="inlineStr">
        <x:is>
          <x:t xml:space="preserve">Эмаль полиуретановая / исп.2</x:t>
        </x:is>
      </x:c>
      <x:c r="F893" s="31" t="n">
        <x:v>-13.82</x:v>
      </x:c>
      <x:c r="G893" s="31" t="inlineStr">
        <x:is>
          <x:t xml:space="preserve">кг</x:t>
        </x:is>
      </x:c>
      <x:c r="H893" s="31" t="inlineStr">
        <x:is>
          <x:t xml:space="preserve">ЗК-1083</x:t>
        </x:is>
      </x:c>
      <x:c r="I893" s="31" t="inlineStr">
        <x:is>
          <x:t xml:space="preserve">ПЗ-00162</x:t>
        </x:is>
      </x:c>
      <x:c r="J893" s="31" t="inlineStr">
        <x:is>
          <x:t xml:space="preserve">Основной склад</x:t>
        </x:is>
      </x:c>
      <x:c r="K893" s="31" t="inlineStr">
        <x:is>
          <x:t xml:space="preserve">СОТР-036</x:t>
        </x:is>
      </x:c>
      <x:c r="L893" s="31" t="inlineStr">
        <x:is>
          <x:t xml:space="preserve">ДОК-6174</x:t>
        </x:is>
      </x:c>
      <x:c r="M893" s="31" t="inlineStr">
        <x:is>
          <x:t xml:space="preserve">Проведен</x:t>
        </x:is>
      </x:c>
    </x:row>
    <x:row r="894">
      <x:c r="A894" s="31" t="inlineStr">
        <x:is>
          <x:t xml:space="preserve">СКЛ-000893</x:t>
        </x:is>
      </x:c>
      <x:c r="B894" s="31" t="n">
        <x:v>46098</x:v>
      </x:c>
      <x:c r="C894" s="31" t="inlineStr">
        <x:is>
          <x:t xml:space="preserve">Резерв</x:t>
        </x:is>
      </x:c>
      <x:c r="D894" s="31" t="inlineStr">
        <x:is>
          <x:t xml:space="preserve">МАТ-0025</x:t>
        </x:is>
      </x:c>
      <x:c r="E894" s="31" t="inlineStr">
        <x:is>
          <x:t xml:space="preserve">Двигатель 7.5 кВт</x:t>
        </x:is>
      </x:c>
      <x:c r="F894" s="31" t="n">
        <x:v>-1</x:v>
      </x:c>
      <x:c r="G894" s="31" t="inlineStr">
        <x:is>
          <x:t xml:space="preserve">шт</x:t>
        </x:is>
      </x:c>
      <x:c r="H894" s="31" t="inlineStr">
        <x:is>
          <x:t xml:space="preserve">ЗК-1046</x:t>
        </x:is>
      </x:c>
      <x:c r="I894" s="31" t="n"/>
      <x:c r="J894" s="31" t="inlineStr">
        <x:is>
          <x:t xml:space="preserve">Основной склад</x:t>
        </x:is>
      </x:c>
      <x:c r="K894" s="31" t="inlineStr">
        <x:is>
          <x:t xml:space="preserve">СОТР-034</x:t>
        </x:is>
      </x:c>
      <x:c r="L894" s="31" t="inlineStr">
        <x:is>
          <x:t xml:space="preserve">ДОК-1426</x:t>
        </x:is>
      </x:c>
      <x:c r="M894" s="31" t="inlineStr">
        <x:is>
          <x:t xml:space="preserve">Проведен</x:t>
        </x:is>
      </x:c>
    </x:row>
    <x:row r="895">
      <x:c r="A895" s="31" t="inlineStr">
        <x:is>
          <x:t xml:space="preserve">СКЛ-000894</x:t>
        </x:is>
      </x:c>
      <x:c r="B895" s="31" t="n">
        <x:v>46150</x:v>
      </x:c>
      <x:c r="C895" s="31" t="inlineStr">
        <x:is>
          <x:t xml:space="preserve">Приход</x:t>
        </x:is>
      </x:c>
      <x:c r="D895" s="31" t="inlineStr">
        <x:is>
          <x:t xml:space="preserve">МАТ-0005</x:t>
        </x:is>
      </x:c>
      <x:c r="E895" s="31" t="inlineStr">
        <x:is>
          <x:t xml:space="preserve">Труба бесшовная 57×4</x:t>
        </x:is>
      </x:c>
      <x:c r="F895" s="31" t="n">
        <x:v>13.16</x:v>
      </x:c>
      <x:c r="G895" s="31" t="inlineStr">
        <x:is>
          <x:t xml:space="preserve">м</x:t>
        </x:is>
      </x:c>
      <x:c r="H895" s="31" t="n"/>
      <x:c r="I895" s="31" t="n"/>
      <x:c r="J895" s="31" t="inlineStr">
        <x:is>
          <x:t xml:space="preserve">Основной склад</x:t>
        </x:is>
      </x:c>
      <x:c r="K895" s="31" t="inlineStr">
        <x:is>
          <x:t xml:space="preserve">СОТР-036</x:t>
        </x:is>
      </x:c>
      <x:c r="L895" s="31" t="inlineStr">
        <x:is>
          <x:t xml:space="preserve">ДОК-8318</x:t>
        </x:is>
      </x:c>
      <x:c r="M895" s="31" t="inlineStr">
        <x:is>
          <x:t xml:space="preserve">Проведен</x:t>
        </x:is>
      </x:c>
    </x:row>
    <x:row r="896">
      <x:c r="A896" s="31" t="inlineStr">
        <x:is>
          <x:t xml:space="preserve">СКЛ-000895</x:t>
        </x:is>
      </x:c>
      <x:c r="B896" s="31" t="n">
        <x:v>46139</x:v>
      </x:c>
      <x:c r="C896" s="31" t="inlineStr">
        <x:is>
          <x:t xml:space="preserve">Резерв</x:t>
        </x:is>
      </x:c>
      <x:c r="D896" s="31" t="inlineStr">
        <x:is>
          <x:t xml:space="preserve">МАТ-0079</x:t>
        </x:is>
      </x:c>
      <x:c r="E896" s="31" t="inlineStr">
        <x:is>
          <x:t xml:space="preserve">Гайка М12 / исп.2</x:t>
        </x:is>
      </x:c>
      <x:c r="F896" s="31" t="n">
        <x:v>-3</x:v>
      </x:c>
      <x:c r="G896" s="31" t="inlineStr">
        <x:is>
          <x:t xml:space="preserve">шт</x:t>
        </x:is>
      </x:c>
      <x:c r="H896" s="31" t="inlineStr">
        <x:is>
          <x:t xml:space="preserve">ЗК-1057</x:t>
        </x:is>
      </x:c>
      <x:c r="I896" s="31" t="n"/>
      <x:c r="J896" s="31" t="inlineStr">
        <x:is>
          <x:t xml:space="preserve">Основной склад</x:t>
        </x:is>
      </x:c>
      <x:c r="K896" s="31" t="inlineStr">
        <x:is>
          <x:t xml:space="preserve">СОТР-034</x:t>
        </x:is>
      </x:c>
      <x:c r="L896" s="31" t="inlineStr">
        <x:is>
          <x:t xml:space="preserve">ДОК-6595</x:t>
        </x:is>
      </x:c>
      <x:c r="M896" s="31" t="inlineStr">
        <x:is>
          <x:t xml:space="preserve">Проведен</x:t>
        </x:is>
      </x:c>
    </x:row>
    <x:row r="897">
      <x:c r="A897" s="31" t="inlineStr">
        <x:is>
          <x:t xml:space="preserve">СКЛ-000896</x:t>
        </x:is>
      </x:c>
      <x:c r="B897" s="31" t="n">
        <x:v>46193</x:v>
      </x:c>
      <x:c r="C897" s="31" t="inlineStr">
        <x:is>
          <x:t xml:space="preserve">Возврат</x:t>
        </x:is>
      </x:c>
      <x:c r="D897" s="31" t="inlineStr">
        <x:is>
          <x:t xml:space="preserve">МАТ-0061</x:t>
        </x:is>
      </x:c>
      <x:c r="E897" s="31" t="inlineStr">
        <x:is>
          <x:t xml:space="preserve">Фильтр сетчатый Ду50 / исп.3</x:t>
        </x:is>
      </x:c>
      <x:c r="F897" s="31" t="n">
        <x:v>5</x:v>
      </x:c>
      <x:c r="G897" s="31" t="inlineStr">
        <x:is>
          <x:t xml:space="preserve">шт</x:t>
        </x:is>
      </x:c>
      <x:c r="H897" s="31" t="n"/>
      <x:c r="I897" s="31" t="n"/>
      <x:c r="J897" s="31" t="inlineStr">
        <x:is>
          <x:t xml:space="preserve">Основной склад</x:t>
        </x:is>
      </x:c>
      <x:c r="K897" s="31" t="inlineStr">
        <x:is>
          <x:t xml:space="preserve">СОТР-035</x:t>
        </x:is>
      </x:c>
      <x:c r="L897" s="31" t="inlineStr">
        <x:is>
          <x:t xml:space="preserve">ДОК-6717</x:t>
        </x:is>
      </x:c>
      <x:c r="M897" s="31" t="inlineStr">
        <x:is>
          <x:t xml:space="preserve">Проведен</x:t>
        </x:is>
      </x:c>
    </x:row>
    <x:row r="898">
      <x:c r="A898" s="31" t="inlineStr">
        <x:is>
          <x:t xml:space="preserve">СКЛ-000897</x:t>
        </x:is>
      </x:c>
      <x:c r="B898" s="31" t="n">
        <x:v>46088</x:v>
      </x:c>
      <x:c r="C898" s="31" t="inlineStr">
        <x:is>
          <x:t xml:space="preserve">Резерв</x:t>
        </x:is>
      </x:c>
      <x:c r="D898" s="31" t="inlineStr">
        <x:is>
          <x:t xml:space="preserve">МАТ-0012</x:t>
        </x:is>
      </x:c>
      <x:c r="E898" s="31" t="inlineStr">
        <x:is>
          <x:t xml:space="preserve">Фланец Ду80 Ру16</x:t>
        </x:is>
      </x:c>
      <x:c r="F898" s="31" t="n">
        <x:v>-78.56999999999999</x:v>
      </x:c>
      <x:c r="G898" s="31" t="inlineStr">
        <x:is>
          <x:t xml:space="preserve">л</x:t>
        </x:is>
      </x:c>
      <x:c r="H898" s="31" t="inlineStr">
        <x:is>
          <x:t xml:space="preserve">ЗК-1040</x:t>
        </x:is>
      </x:c>
      <x:c r="I898" s="31" t="n"/>
      <x:c r="J898" s="31" t="inlineStr">
        <x:is>
          <x:t xml:space="preserve">Основной склад</x:t>
        </x:is>
      </x:c>
      <x:c r="K898" s="31" t="inlineStr">
        <x:is>
          <x:t xml:space="preserve">СОТР-024</x:t>
        </x:is>
      </x:c>
      <x:c r="L898" s="31" t="inlineStr">
        <x:is>
          <x:t xml:space="preserve">ДОК-9914</x:t>
        </x:is>
      </x:c>
      <x:c r="M898" s="31" t="inlineStr">
        <x:is>
          <x:t xml:space="preserve">Проведен</x:t>
        </x:is>
      </x:c>
    </x:row>
    <x:row r="899">
      <x:c r="A899" s="31" t="inlineStr">
        <x:is>
          <x:t xml:space="preserve">СКЛ-000898</x:t>
        </x:is>
      </x:c>
      <x:c r="B899" s="31" t="n">
        <x:v>46162</x:v>
      </x:c>
      <x:c r="C899" s="31" t="inlineStr">
        <x:is>
          <x:t xml:space="preserve">Выдача в производство</x:t>
        </x:is>
      </x:c>
      <x:c r="D899" s="31" t="inlineStr">
        <x:is>
          <x:t xml:space="preserve">МАТ-0007</x:t>
        </x:is>
      </x:c>
      <x:c r="E899" s="31" t="inlineStr">
        <x:is>
          <x:t xml:space="preserve">Труба нержавеющая 38×3 / исп.2</x:t>
        </x:is>
      </x:c>
      <x:c r="F899" s="31" t="n">
        <x:v>-43.29</x:v>
      </x:c>
      <x:c r="G899" s="31" t="inlineStr">
        <x:is>
          <x:t xml:space="preserve">л</x:t>
        </x:is>
      </x:c>
      <x:c r="H899" s="31" t="inlineStr">
        <x:is>
          <x:t xml:space="preserve">ЗК-1053</x:t>
        </x:is>
      </x:c>
      <x:c r="I899" s="31" t="inlineStr">
        <x:is>
          <x:t xml:space="preserve">ПЗ-00007</x:t>
        </x:is>
      </x:c>
      <x:c r="J899" s="31" t="inlineStr">
        <x:is>
          <x:t xml:space="preserve">Цеховой склад</x:t>
        </x:is>
      </x:c>
      <x:c r="K899" s="31" t="inlineStr">
        <x:is>
          <x:t xml:space="preserve">СОТР-033</x:t>
        </x:is>
      </x:c>
      <x:c r="L899" s="31" t="inlineStr">
        <x:is>
          <x:t xml:space="preserve">ДОК-2758</x:t>
        </x:is>
      </x:c>
      <x:c r="M899" s="31" t="inlineStr">
        <x:is>
          <x:t xml:space="preserve">Проведен</x:t>
        </x:is>
      </x:c>
    </x:row>
    <x:row r="900">
      <x:c r="A900" s="31" t="inlineStr">
        <x:is>
          <x:t xml:space="preserve">СКЛ-000899</x:t>
        </x:is>
      </x:c>
      <x:c r="B900" s="31" t="n">
        <x:v>46046</x:v>
      </x:c>
      <x:c r="C900" s="31" t="inlineStr">
        <x:is>
          <x:t xml:space="preserve">Выдача в производство</x:t>
        </x:is>
      </x:c>
      <x:c r="D900" s="31" t="inlineStr">
        <x:is>
          <x:t xml:space="preserve">МАТ-0048</x:t>
        </x:is>
      </x:c>
      <x:c r="E900" s="31" t="inlineStr">
        <x:is>
          <x:t xml:space="preserve">Контактор 25А / исп.3</x:t>
        </x:is>
      </x:c>
      <x:c r="F900" s="31" t="n">
        <x:v>-8</x:v>
      </x:c>
      <x:c r="G900" s="31" t="inlineStr">
        <x:is>
          <x:t xml:space="preserve">шт</x:t>
        </x:is>
      </x:c>
      <x:c r="H900" s="31" t="inlineStr">
        <x:is>
          <x:t xml:space="preserve">ЗК-1062</x:t>
        </x:is>
      </x:c>
      <x:c r="I900" s="31" t="inlineStr">
        <x:is>
          <x:t xml:space="preserve">ПЗ-00156</x:t>
        </x:is>
      </x:c>
      <x:c r="J900" s="31" t="inlineStr">
        <x:is>
          <x:t xml:space="preserve">Основной склад</x:t>
        </x:is>
      </x:c>
      <x:c r="K900" s="31" t="inlineStr">
        <x:is>
          <x:t xml:space="preserve">СОТР-037</x:t>
        </x:is>
      </x:c>
      <x:c r="L900" s="31" t="inlineStr">
        <x:is>
          <x:t xml:space="preserve">ДОК-8609</x:t>
        </x:is>
      </x:c>
      <x:c r="M900" s="31" t="inlineStr">
        <x:is>
          <x:t xml:space="preserve">Черновик</x:t>
        </x:is>
      </x:c>
    </x:row>
    <x:row r="901">
      <x:c r="A901" s="31" t="inlineStr">
        <x:is>
          <x:t xml:space="preserve">СКЛ-000900</x:t>
        </x:is>
      </x:c>
      <x:c r="B901" s="31" t="n">
        <x:v>46144</x:v>
      </x:c>
      <x:c r="C901" s="31" t="inlineStr">
        <x:is>
          <x:t xml:space="preserve">Приход</x:t>
        </x:is>
      </x:c>
      <x:c r="D901" s="31" t="inlineStr">
        <x:is>
          <x:t xml:space="preserve">МАТ-0017</x:t>
        </x:is>
      </x:c>
      <x:c r="E901" s="31" t="inlineStr">
        <x:is>
          <x:t xml:space="preserve">Насос шестеренный 7.5 кВт</x:t>
        </x:is>
      </x:c>
      <x:c r="F901" s="31" t="n">
        <x:v>5</x:v>
      </x:c>
      <x:c r="G901" s="31" t="inlineStr">
        <x:is>
          <x:t xml:space="preserve">шт</x:t>
        </x:is>
      </x:c>
      <x:c r="H901" s="31" t="n"/>
      <x:c r="I901" s="31" t="n"/>
      <x:c r="J901" s="31" t="inlineStr">
        <x:is>
          <x:t xml:space="preserve">Основной склад</x:t>
        </x:is>
      </x:c>
      <x:c r="K901" s="31" t="inlineStr">
        <x:is>
          <x:t xml:space="preserve">СОТР-038</x:t>
        </x:is>
      </x:c>
      <x:c r="L901" s="31" t="inlineStr">
        <x:is>
          <x:t xml:space="preserve">ДОК-9462</x:t>
        </x:is>
      </x:c>
      <x:c r="M901" s="31" t="inlineStr">
        <x:is>
          <x:t xml:space="preserve">Проведен</x:t>
        </x:is>
      </x:c>
    </x:row>
    <x:row r="902">
      <x:c r="A902" s="31" t="inlineStr">
        <x:is>
          <x:t xml:space="preserve">СКЛ-000901</x:t>
        </x:is>
      </x:c>
      <x:c r="B902" s="31" t="n">
        <x:v>46140</x:v>
      </x:c>
      <x:c r="C902" s="31" t="inlineStr">
        <x:is>
          <x:t xml:space="preserve">Выдача в производство</x:t>
        </x:is>
      </x:c>
      <x:c r="D902" s="31" t="inlineStr">
        <x:is>
          <x:t xml:space="preserve">МАТ-0073</x:t>
        </x:is>
      </x:c>
      <x:c r="E902" s="31" t="inlineStr">
        <x:is>
          <x:t xml:space="preserve">Растворитель / исп.2</x:t>
        </x:is>
      </x:c>
      <x:c r="F902" s="31" t="n">
        <x:v>-79.94</x:v>
      </x:c>
      <x:c r="G902" s="31" t="inlineStr">
        <x:is>
          <x:t xml:space="preserve">л</x:t>
        </x:is>
      </x:c>
      <x:c r="H902" s="31" t="inlineStr">
        <x:is>
          <x:t xml:space="preserve">ЗК-1019</x:t>
        </x:is>
      </x:c>
      <x:c r="I902" s="31" t="inlineStr">
        <x:is>
          <x:t xml:space="preserve">ПЗ-00233</x:t>
        </x:is>
      </x:c>
      <x:c r="J902" s="31" t="inlineStr">
        <x:is>
          <x:t xml:space="preserve">Брак/карантин</x:t>
        </x:is>
      </x:c>
      <x:c r="K902" s="31" t="inlineStr">
        <x:is>
          <x:t xml:space="preserve">СОТР-037</x:t>
        </x:is>
      </x:c>
      <x:c r="L902" s="31" t="inlineStr">
        <x:is>
          <x:t xml:space="preserve">ДОК-3108</x:t>
        </x:is>
      </x:c>
      <x:c r="M902" s="31" t="inlineStr">
        <x:is>
          <x:t xml:space="preserve">Проведен</x:t>
        </x:is>
      </x:c>
    </x:row>
    <x:row r="903">
      <x:c r="A903" s="31" t="inlineStr">
        <x:is>
          <x:t xml:space="preserve">СКЛ-000902</x:t>
        </x:is>
      </x:c>
      <x:c r="B903" s="31" t="n">
        <x:v>46082</x:v>
      </x:c>
      <x:c r="C903" s="31" t="inlineStr">
        <x:is>
          <x:t xml:space="preserve">Списание</x:t>
        </x:is>
      </x:c>
      <x:c r="D903" s="31" t="inlineStr">
        <x:is>
          <x:t xml:space="preserve">МАТ-0020</x:t>
        </x:is>
      </x:c>
      <x:c r="E903" s="31" t="inlineStr">
        <x:is>
          <x:t xml:space="preserve">Насос дозировочный / исп.2</x:t>
        </x:is>
      </x:c>
      <x:c r="F903" s="31" t="n">
        <x:v>-16</x:v>
      </x:c>
      <x:c r="G903" s="31" t="inlineStr">
        <x:is>
          <x:t xml:space="preserve">шт</x:t>
        </x:is>
      </x:c>
      <x:c r="H903" s="31" t="n"/>
      <x:c r="I903" s="31" t="n"/>
      <x:c r="J903" s="31" t="inlineStr">
        <x:is>
          <x:t xml:space="preserve">Цеховой склад</x:t>
        </x:is>
      </x:c>
      <x:c r="K903" s="31" t="inlineStr">
        <x:is>
          <x:t xml:space="preserve">СОТР-039</x:t>
        </x:is>
      </x:c>
      <x:c r="L903" s="31" t="inlineStr">
        <x:is>
          <x:t xml:space="preserve">ДОК-2876</x:t>
        </x:is>
      </x:c>
      <x:c r="M903" s="31" t="inlineStr">
        <x:is>
          <x:t xml:space="preserve">Проведен</x:t>
        </x:is>
      </x:c>
    </x:row>
    <x:row r="904">
      <x:c r="A904" s="31" t="inlineStr">
        <x:is>
          <x:t xml:space="preserve">СКЛ-000903</x:t>
        </x:is>
      </x:c>
      <x:c r="B904" s="31" t="n">
        <x:v>46196</x:v>
      </x:c>
      <x:c r="C904" s="31" t="inlineStr">
        <x:is>
          <x:t xml:space="preserve">Выдача в производство</x:t>
        </x:is>
      </x:c>
      <x:c r="D904" s="31" t="inlineStr">
        <x:is>
          <x:t xml:space="preserve">МАТ-0058</x:t>
        </x:is>
      </x:c>
      <x:c r="E904" s="31" t="inlineStr">
        <x:is>
          <x:t xml:space="preserve">Задвижка Ду100 / исп.3</x:t>
        </x:is>
      </x:c>
      <x:c r="F904" s="31" t="n">
        <x:v>-17</x:v>
      </x:c>
      <x:c r="G904" s="31" t="inlineStr">
        <x:is>
          <x:t xml:space="preserve">шт</x:t>
        </x:is>
      </x:c>
      <x:c r="H904" s="31" t="inlineStr">
        <x:is>
          <x:t xml:space="preserve">ЗК-1082</x:t>
        </x:is>
      </x:c>
      <x:c r="I904" s="31" t="inlineStr">
        <x:is>
          <x:t xml:space="preserve">ПЗ-00211</x:t>
        </x:is>
      </x:c>
      <x:c r="J904" s="31" t="inlineStr">
        <x:is>
          <x:t xml:space="preserve">Основной склад</x:t>
        </x:is>
      </x:c>
      <x:c r="K904" s="31" t="inlineStr">
        <x:is>
          <x:t xml:space="preserve">СОТР-038</x:t>
        </x:is>
      </x:c>
      <x:c r="L904" s="31" t="inlineStr">
        <x:is>
          <x:t xml:space="preserve">ДОК-6032</x:t>
        </x:is>
      </x:c>
      <x:c r="M904" s="31" t="inlineStr">
        <x:is>
          <x:t xml:space="preserve">Проведен</x:t>
        </x:is>
      </x:c>
    </x:row>
    <x:row r="905">
      <x:c r="A905" s="31" t="inlineStr">
        <x:is>
          <x:t xml:space="preserve">СКЛ-000904</x:t>
        </x:is>
      </x:c>
      <x:c r="B905" s="31" t="n">
        <x:v>46186</x:v>
      </x:c>
      <x:c r="C905" s="31" t="inlineStr">
        <x:is>
          <x:t xml:space="preserve">Списание</x:t>
        </x:is>
      </x:c>
      <x:c r="D905" s="31" t="inlineStr">
        <x:is>
          <x:t xml:space="preserve">МАТ-0061</x:t>
        </x:is>
      </x:c>
      <x:c r="E905" s="31" t="inlineStr">
        <x:is>
          <x:t xml:space="preserve">Фильтр сетчатый Ду50 / исп.3</x:t>
        </x:is>
      </x:c>
      <x:c r="F905" s="31" t="n">
        <x:v>-12</x:v>
      </x:c>
      <x:c r="G905" s="31" t="inlineStr">
        <x:is>
          <x:t xml:space="preserve">шт</x:t>
        </x:is>
      </x:c>
      <x:c r="H905" s="31" t="n"/>
      <x:c r="I905" s="31" t="n"/>
      <x:c r="J905" s="31" t="inlineStr">
        <x:is>
          <x:t xml:space="preserve">Цеховой склад</x:t>
        </x:is>
      </x:c>
      <x:c r="K905" s="31" t="inlineStr">
        <x:is>
          <x:t xml:space="preserve">СОТР-038</x:t>
        </x:is>
      </x:c>
      <x:c r="L905" s="31" t="inlineStr">
        <x:is>
          <x:t xml:space="preserve">ДОК-9999</x:t>
        </x:is>
      </x:c>
      <x:c r="M905" s="31" t="inlineStr">
        <x:is>
          <x:t xml:space="preserve">Проведен</x:t>
        </x:is>
      </x:c>
    </x:row>
    <x:row r="906">
      <x:c r="A906" s="31" t="inlineStr">
        <x:is>
          <x:t xml:space="preserve">СКЛ-000905</x:t>
        </x:is>
      </x:c>
      <x:c r="B906" s="31" t="n">
        <x:v>46075</x:v>
      </x:c>
      <x:c r="C906" s="31" t="inlineStr">
        <x:is>
          <x:t xml:space="preserve">Выдача в производство</x:t>
        </x:is>
      </x:c>
      <x:c r="D906" s="31" t="inlineStr">
        <x:is>
          <x:t xml:space="preserve">МАТ-0025</x:t>
        </x:is>
      </x:c>
      <x:c r="E906" s="31" t="inlineStr">
        <x:is>
          <x:t xml:space="preserve">Двигатель 7.5 кВт</x:t>
        </x:is>
      </x:c>
      <x:c r="F906" s="31" t="n">
        <x:v>-11</x:v>
      </x:c>
      <x:c r="G906" s="31" t="inlineStr">
        <x:is>
          <x:t xml:space="preserve">шт</x:t>
        </x:is>
      </x:c>
      <x:c r="H906" s="31" t="inlineStr">
        <x:is>
          <x:t xml:space="preserve">ЗК-1057</x:t>
        </x:is>
      </x:c>
      <x:c r="I906" s="31" t="inlineStr">
        <x:is>
          <x:t xml:space="preserve">ПЗ-00096</x:t>
        </x:is>
      </x:c>
      <x:c r="J906" s="31" t="inlineStr">
        <x:is>
          <x:t xml:space="preserve">Основной склад</x:t>
        </x:is>
      </x:c>
      <x:c r="K906" s="31" t="inlineStr">
        <x:is>
          <x:t xml:space="preserve">СОТР-039</x:t>
        </x:is>
      </x:c>
      <x:c r="L906" s="31" t="inlineStr">
        <x:is>
          <x:t xml:space="preserve">ДОК-7223</x:t>
        </x:is>
      </x:c>
      <x:c r="M906" s="31" t="inlineStr">
        <x:is>
          <x:t xml:space="preserve">Проведен</x:t>
        </x:is>
      </x:c>
    </x:row>
    <x:row r="907">
      <x:c r="A907" s="31" t="inlineStr">
        <x:is>
          <x:t xml:space="preserve">СКЛ-000906</x:t>
        </x:is>
      </x:c>
      <x:c r="B907" s="31" t="n">
        <x:v>46087</x:v>
      </x:c>
      <x:c r="C907" s="31" t="inlineStr">
        <x:is>
          <x:t xml:space="preserve">Выдача в производство</x:t>
        </x:is>
      </x:c>
      <x:c r="D907" s="31" t="inlineStr">
        <x:is>
          <x:t xml:space="preserve">МАТ-0073</x:t>
        </x:is>
      </x:c>
      <x:c r="E907" s="31" t="inlineStr">
        <x:is>
          <x:t xml:space="preserve">Растворитель / исп.2</x:t>
        </x:is>
      </x:c>
      <x:c r="F907" s="31" t="n">
        <x:v>-65.09</x:v>
      </x:c>
      <x:c r="G907" s="31" t="inlineStr">
        <x:is>
          <x:t xml:space="preserve">л</x:t>
        </x:is>
      </x:c>
      <x:c r="H907" s="31" t="inlineStr">
        <x:is>
          <x:t xml:space="preserve">ЗК-1099</x:t>
        </x:is>
      </x:c>
      <x:c r="I907" s="31" t="inlineStr">
        <x:is>
          <x:t xml:space="preserve">ПЗ-00247</x:t>
        </x:is>
      </x:c>
      <x:c r="J907" s="31" t="inlineStr">
        <x:is>
          <x:t xml:space="preserve">Основной склад</x:t>
        </x:is>
      </x:c>
      <x:c r="K907" s="31" t="inlineStr">
        <x:is>
          <x:t xml:space="preserve">СОТР-037</x:t>
        </x:is>
      </x:c>
      <x:c r="L907" s="31" t="inlineStr">
        <x:is>
          <x:t xml:space="preserve">ДОК-2448</x:t>
        </x:is>
      </x:c>
      <x:c r="M907" s="31" t="inlineStr">
        <x:is>
          <x:t xml:space="preserve">Проведен</x:t>
        </x:is>
      </x:c>
    </x:row>
    <x:row r="908">
      <x:c r="A908" s="31" t="inlineStr">
        <x:is>
          <x:t xml:space="preserve">СКЛ-000907</x:t>
        </x:is>
      </x:c>
      <x:c r="B908" s="31" t="n">
        <x:v>46197</x:v>
      </x:c>
      <x:c r="C908" s="31" t="inlineStr">
        <x:is>
          <x:t xml:space="preserve">Приход</x:t>
        </x:is>
      </x:c>
      <x:c r="D908" s="31" t="inlineStr">
        <x:is>
          <x:t xml:space="preserve">МАТ-0050</x:t>
        </x:is>
      </x:c>
      <x:c r="E908" s="31" t="inlineStr">
        <x:is>
          <x:t xml:space="preserve">панель оператора 7"</x:t>
        </x:is>
      </x:c>
      <x:c r="F908" s="31" t="n">
        <x:v>6</x:v>
      </x:c>
      <x:c r="G908" s="31" t="inlineStr">
        <x:is>
          <x:t xml:space="preserve">шт</x:t>
        </x:is>
      </x:c>
      <x:c r="H908" s="31" t="n"/>
      <x:c r="I908" s="31" t="n"/>
      <x:c r="J908" s="31" t="inlineStr">
        <x:is>
          <x:t xml:space="preserve">Основной склад</x:t>
        </x:is>
      </x:c>
      <x:c r="K908" s="31" t="inlineStr">
        <x:is>
          <x:t xml:space="preserve">СОТР-039</x:t>
        </x:is>
      </x:c>
      <x:c r="L908" s="31" t="inlineStr">
        <x:is>
          <x:t xml:space="preserve">ДОК-1493</x:t>
        </x:is>
      </x:c>
      <x:c r="M908" s="31" t="inlineStr">
        <x:is>
          <x:t xml:space="preserve">Проведен</x:t>
        </x:is>
      </x:c>
    </x:row>
    <x:row r="909">
      <x:c r="A909" s="31" t="inlineStr">
        <x:is>
          <x:t xml:space="preserve">СКЛ-000908</x:t>
        </x:is>
      </x:c>
      <x:c r="B909" s="31" t="n">
        <x:v>46143</x:v>
      </x:c>
      <x:c r="C909" s="31" t="inlineStr">
        <x:is>
          <x:t xml:space="preserve">Выдача в производство</x:t>
        </x:is>
      </x:c>
      <x:c r="D909" s="31" t="inlineStr">
        <x:is>
          <x:t xml:space="preserve">МАТ-0087</x:t>
        </x:is>
      </x:c>
      <x:c r="E909" s="31" t="inlineStr">
        <x:is>
          <x:t xml:space="preserve">Ящик фанерный</x:t>
        </x:is>
      </x:c>
      <x:c r="F909" s="31" t="n">
        <x:v>-2</x:v>
      </x:c>
      <x:c r="G909" s="31" t="inlineStr">
        <x:is>
          <x:t xml:space="preserve">шт</x:t>
        </x:is>
      </x:c>
      <x:c r="H909" s="31" t="inlineStr">
        <x:is>
          <x:t xml:space="preserve">ЗК-1123</x:t>
        </x:is>
      </x:c>
      <x:c r="I909" s="31" t="inlineStr">
        <x:is>
          <x:t xml:space="preserve">ПЗ-00181</x:t>
        </x:is>
      </x:c>
      <x:c r="J909" s="31" t="inlineStr">
        <x:is>
          <x:t xml:space="preserve">Цеховой склад</x:t>
        </x:is>
      </x:c>
      <x:c r="K909" s="31" t="inlineStr">
        <x:is>
          <x:t xml:space="preserve">СОТР-033</x:t>
        </x:is>
      </x:c>
      <x:c r="L909" s="31" t="inlineStr">
        <x:is>
          <x:t xml:space="preserve">ДОК-6753</x:t>
        </x:is>
      </x:c>
      <x:c r="M909" s="31" t="inlineStr">
        <x:is>
          <x:t xml:space="preserve">Проведен</x:t>
        </x:is>
      </x:c>
    </x:row>
    <x:row r="910">
      <x:c r="A910" s="31" t="inlineStr">
        <x:is>
          <x:t xml:space="preserve">СКЛ-000909</x:t>
        </x:is>
      </x:c>
      <x:c r="B910" s="31" t="n">
        <x:v>46045</x:v>
      </x:c>
      <x:c r="C910" s="31" t="inlineStr">
        <x:is>
          <x:t xml:space="preserve">Выдача в производство</x:t>
        </x:is>
      </x:c>
      <x:c r="D910" s="31" t="inlineStr">
        <x:is>
          <x:t xml:space="preserve">МАТ-0013</x:t>
        </x:is>
      </x:c>
      <x:c r="E910" s="31" t="inlineStr">
        <x:is>
          <x:t xml:space="preserve">Уголок 50×5</x:t>
        </x:is>
      </x:c>
      <x:c r="F910" s="31" t="n">
        <x:v>-12.13</x:v>
      </x:c>
      <x:c r="G910" s="31" t="inlineStr">
        <x:is>
          <x:t xml:space="preserve">кг</x:t>
        </x:is>
      </x:c>
      <x:c r="H910" s="31" t="inlineStr">
        <x:is>
          <x:t xml:space="preserve">ЗК-1076</x:t>
        </x:is>
      </x:c>
      <x:c r="I910" s="31" t="inlineStr">
        <x:is>
          <x:t xml:space="preserve">ПЗ-00114</x:t>
        </x:is>
      </x:c>
      <x:c r="J910" s="31" t="inlineStr">
        <x:is>
          <x:t xml:space="preserve">Основной склад</x:t>
        </x:is>
      </x:c>
      <x:c r="K910" s="31" t="inlineStr">
        <x:is>
          <x:t xml:space="preserve">СОТР-039</x:t>
        </x:is>
      </x:c>
      <x:c r="L910" s="31" t="inlineStr">
        <x:is>
          <x:t xml:space="preserve">ДОК-9049</x:t>
        </x:is>
      </x:c>
      <x:c r="M910" s="31" t="inlineStr">
        <x:is>
          <x:t xml:space="preserve">Проведен</x:t>
        </x:is>
      </x:c>
    </x:row>
    <x:row r="911">
      <x:c r="A911" s="31" t="inlineStr">
        <x:is>
          <x:t xml:space="preserve">СКЛ-000910</x:t>
        </x:is>
      </x:c>
      <x:c r="B911" s="31" t="n">
        <x:v>46194</x:v>
      </x:c>
      <x:c r="C911" s="31" t="inlineStr">
        <x:is>
          <x:t xml:space="preserve">Резерв</x:t>
        </x:is>
      </x:c>
      <x:c r="D911" s="31" t="inlineStr">
        <x:is>
          <x:t xml:space="preserve">МАТ-0076</x:t>
        </x:is>
      </x:c>
      <x:c r="E911" s="31" t="inlineStr">
        <x:is>
          <x:t xml:space="preserve">Болт М12 / исп.2</x:t>
        </x:is>
      </x:c>
      <x:c r="F911" s="31" t="n">
        <x:v>-12</x:v>
      </x:c>
      <x:c r="G911" s="31" t="inlineStr">
        <x:is>
          <x:t xml:space="preserve">шт</x:t>
        </x:is>
      </x:c>
      <x:c r="H911" s="31" t="inlineStr">
        <x:is>
          <x:t xml:space="preserve">ЗК-1018</x:t>
        </x:is>
      </x:c>
      <x:c r="I911" s="31" t="n"/>
      <x:c r="J911" s="31" t="inlineStr">
        <x:is>
          <x:t xml:space="preserve">Брак/карантин</x:t>
        </x:is>
      </x:c>
      <x:c r="K911" s="31" t="inlineStr">
        <x:is>
          <x:t xml:space="preserve">СОТР-037</x:t>
        </x:is>
      </x:c>
      <x:c r="L911" s="31" t="inlineStr">
        <x:is>
          <x:t xml:space="preserve">ДОК-4767</x:t>
        </x:is>
      </x:c>
      <x:c r="M911" s="31" t="inlineStr">
        <x:is>
          <x:t xml:space="preserve">Проведен</x:t>
        </x:is>
      </x:c>
    </x:row>
    <x:row r="912">
      <x:c r="A912" s="31" t="inlineStr">
        <x:is>
          <x:t xml:space="preserve">СКЛ-000911</x:t>
        </x:is>
      </x:c>
      <x:c r="B912" s="31" t="n">
        <x:v>46179</x:v>
      </x:c>
      <x:c r="C912" s="31" t="inlineStr">
        <x:is>
          <x:t xml:space="preserve">Выдача в производство</x:t>
        </x:is>
      </x:c>
      <x:c r="D912" s="31" t="inlineStr">
        <x:is>
          <x:t xml:space="preserve">МАТ-0065</x:t>
        </x:is>
      </x:c>
      <x:c r="E912" s="31" t="inlineStr">
        <x:is>
          <x:t xml:space="preserve">Гофра металлическая</x:t>
        </x:is>
      </x:c>
      <x:c r="F912" s="31" t="n">
        <x:v>-5</x:v>
      </x:c>
      <x:c r="G912" s="31" t="inlineStr">
        <x:is>
          <x:t xml:space="preserve">шт</x:t>
        </x:is>
      </x:c>
      <x:c r="H912" s="31" t="inlineStr">
        <x:is>
          <x:t xml:space="preserve">ЗК-1018</x:t>
        </x:is>
      </x:c>
      <x:c r="I912" s="31" t="inlineStr">
        <x:is>
          <x:t xml:space="preserve">ПЗ-00202</x:t>
        </x:is>
      </x:c>
      <x:c r="J912" s="31" t="inlineStr">
        <x:is>
          <x:t xml:space="preserve">Основной склад</x:t>
        </x:is>
      </x:c>
      <x:c r="K912" s="31" t="inlineStr">
        <x:is>
          <x:t xml:space="preserve">СОТР-024</x:t>
        </x:is>
      </x:c>
      <x:c r="L912" s="31" t="inlineStr">
        <x:is>
          <x:t xml:space="preserve">ДОК-8117</x:t>
        </x:is>
      </x:c>
      <x:c r="M912" s="31" t="inlineStr">
        <x:is>
          <x:t xml:space="preserve">Проведен</x:t>
        </x:is>
      </x:c>
    </x:row>
    <x:row r="913">
      <x:c r="A913" s="31" t="inlineStr">
        <x:is>
          <x:t xml:space="preserve">СКЛ-000912</x:t>
        </x:is>
      </x:c>
      <x:c r="B913" s="31" t="n">
        <x:v>46135</x:v>
      </x:c>
      <x:c r="C913" s="31" t="inlineStr">
        <x:is>
          <x:t xml:space="preserve">Приход</x:t>
        </x:is>
      </x:c>
      <x:c r="D913" s="31" t="inlineStr">
        <x:is>
          <x:t xml:space="preserve">МАТ-0066</x:t>
        </x:is>
      </x:c>
      <x:c r="E913" s="31" t="inlineStr">
        <x:is>
          <x:t xml:space="preserve">Гофра металлическая / исп.2</x:t>
        </x:is>
      </x:c>
      <x:c r="F913" s="31" t="n">
        <x:v>57.85</x:v>
      </x:c>
      <x:c r="G913" s="31" t="inlineStr">
        <x:is>
          <x:t xml:space="preserve">кг</x:t>
        </x:is>
      </x:c>
      <x:c r="H913" s="31" t="n"/>
      <x:c r="I913" s="31" t="n"/>
      <x:c r="J913" s="31" t="inlineStr">
        <x:is>
          <x:t xml:space="preserve">Основной склад</x:t>
        </x:is>
      </x:c>
      <x:c r="K913" s="31" t="inlineStr">
        <x:is>
          <x:t xml:space="preserve">СОТР-035</x:t>
        </x:is>
      </x:c>
      <x:c r="L913" s="31" t="inlineStr">
        <x:is>
          <x:t xml:space="preserve">ДОК-1437</x:t>
        </x:is>
      </x:c>
      <x:c r="M913" s="31" t="inlineStr">
        <x:is>
          <x:t xml:space="preserve">Требует проверки</x:t>
        </x:is>
      </x:c>
    </x:row>
    <x:row r="914">
      <x:c r="A914" s="31" t="inlineStr">
        <x:is>
          <x:t xml:space="preserve">СКЛ-000913</x:t>
        </x:is>
      </x:c>
      <x:c r="B914" s="31" t="n">
        <x:v>46086</x:v>
      </x:c>
      <x:c r="C914" s="31" t="inlineStr">
        <x:is>
          <x:t xml:space="preserve">Выдача в производство</x:t>
        </x:is>
      </x:c>
      <x:c r="D914" s="31" t="inlineStr">
        <x:is>
          <x:t xml:space="preserve">МАТ-0074</x:t>
        </x:is>
      </x:c>
      <x:c r="E914" s="31" t="inlineStr">
        <x:is>
          <x:t xml:space="preserve">Абразив для пескоструя</x:t>
        </x:is>
      </x:c>
      <x:c r="F914" s="31" t="n">
        <x:v>-17</x:v>
      </x:c>
      <x:c r="G914" s="31" t="inlineStr">
        <x:is>
          <x:t xml:space="preserve">шт</x:t>
        </x:is>
      </x:c>
      <x:c r="H914" s="31" t="inlineStr">
        <x:is>
          <x:t xml:space="preserve">ЗК-1069</x:t>
        </x:is>
      </x:c>
      <x:c r="I914" s="31" t="inlineStr">
        <x:is>
          <x:t xml:space="preserve">ПЗ-00043</x:t>
        </x:is>
      </x:c>
      <x:c r="J914" s="31" t="inlineStr">
        <x:is>
          <x:t xml:space="preserve">Основной склад</x:t>
        </x:is>
      </x:c>
      <x:c r="K914" s="31" t="inlineStr">
        <x:is>
          <x:t xml:space="preserve">СОТР-035</x:t>
        </x:is>
      </x:c>
      <x:c r="L914" s="31" t="inlineStr">
        <x:is>
          <x:t xml:space="preserve">ДОК-5491</x:t>
        </x:is>
      </x:c>
      <x:c r="M914" s="31" t="inlineStr">
        <x:is>
          <x:t xml:space="preserve">Проведен</x:t>
        </x:is>
      </x:c>
    </x:row>
    <x:row r="915">
      <x:c r="A915" s="31" t="inlineStr">
        <x:is>
          <x:t xml:space="preserve">СКЛ-000914</x:t>
        </x:is>
      </x:c>
      <x:c r="B915" s="31" t="n">
        <x:v>46166</x:v>
      </x:c>
      <x:c r="C915" s="31" t="inlineStr">
        <x:is>
          <x:t xml:space="preserve">Резерв</x:t>
        </x:is>
      </x:c>
      <x:c r="D915" s="31" t="inlineStr">
        <x:is>
          <x:t xml:space="preserve">МАТ-0027</x:t>
        </x:is>
      </x:c>
      <x:c r="E915" s="31" t="inlineStr">
        <x:is>
          <x:t xml:space="preserve">Двигатель 22 кВт</x:t>
        </x:is>
      </x:c>
      <x:c r="F915" s="31" t="n">
        <x:v>-14</x:v>
      </x:c>
      <x:c r="G915" s="31" t="inlineStr">
        <x:is>
          <x:t xml:space="preserve">шт</x:t>
        </x:is>
      </x:c>
      <x:c r="H915" s="31" t="inlineStr">
        <x:is>
          <x:t xml:space="preserve">ЗК-1066</x:t>
        </x:is>
      </x:c>
      <x:c r="I915" s="31" t="n"/>
      <x:c r="J915" s="31" t="inlineStr">
        <x:is>
          <x:t xml:space="preserve">Основной склад</x:t>
        </x:is>
      </x:c>
      <x:c r="K915" s="31" t="inlineStr">
        <x:is>
          <x:t xml:space="preserve">СОТР-039</x:t>
        </x:is>
      </x:c>
      <x:c r="L915" s="31" t="inlineStr">
        <x:is>
          <x:t xml:space="preserve">ДОК-8256</x:t>
        </x:is>
      </x:c>
      <x:c r="M915" s="31" t="inlineStr">
        <x:is>
          <x:t xml:space="preserve">Проведен</x:t>
        </x:is>
      </x:c>
    </x:row>
    <x:row r="916">
      <x:c r="A916" s="31" t="inlineStr">
        <x:is>
          <x:t xml:space="preserve">СКЛ-000915</x:t>
        </x:is>
      </x:c>
      <x:c r="B916" s="31" t="n">
        <x:v>46097</x:v>
      </x:c>
      <x:c r="C916" s="31" t="inlineStr">
        <x:is>
          <x:t xml:space="preserve">Резерв</x:t>
        </x:is>
      </x:c>
      <x:c r="D916" s="31" t="inlineStr">
        <x:is>
          <x:t xml:space="preserve">МАТ-0032</x:t>
        </x:is>
      </x:c>
      <x:c r="E916" s="31" t="inlineStr">
        <x:is>
          <x:t xml:space="preserve">Датчик температуры Пт100</x:t>
        </x:is>
      </x:c>
      <x:c r="F916" s="31" t="n">
        <x:v>-10</x:v>
      </x:c>
      <x:c r="G916" s="31" t="inlineStr">
        <x:is>
          <x:t xml:space="preserve">шт</x:t>
        </x:is>
      </x:c>
      <x:c r="H916" s="31" t="inlineStr">
        <x:is>
          <x:t xml:space="preserve">ЗК-1033</x:t>
        </x:is>
      </x:c>
      <x:c r="I916" s="31" t="n"/>
      <x:c r="J916" s="31" t="inlineStr">
        <x:is>
          <x:t xml:space="preserve">Основной склад</x:t>
        </x:is>
      </x:c>
      <x:c r="K916" s="31" t="inlineStr">
        <x:is>
          <x:t xml:space="preserve">СОТР-038</x:t>
        </x:is>
      </x:c>
      <x:c r="L916" s="31" t="inlineStr">
        <x:is>
          <x:t xml:space="preserve">ДОК-8598</x:t>
        </x:is>
      </x:c>
      <x:c r="M916" s="31" t="inlineStr">
        <x:is>
          <x:t xml:space="preserve">Проведен</x:t>
        </x:is>
      </x:c>
    </x:row>
    <x:row r="917">
      <x:c r="A917" s="31" t="inlineStr">
        <x:is>
          <x:t xml:space="preserve">СКЛ-000916</x:t>
        </x:is>
      </x:c>
      <x:c r="B917" s="31" t="n">
        <x:v>46105</x:v>
      </x:c>
      <x:c r="C917" s="31" t="inlineStr">
        <x:is>
          <x:t xml:space="preserve">Возврат</x:t>
        </x:is>
      </x:c>
      <x:c r="D917" s="31" t="inlineStr">
        <x:is>
          <x:t xml:space="preserve">МАТ-0013</x:t>
        </x:is>
      </x:c>
      <x:c r="E917" s="31" t="inlineStr">
        <x:is>
          <x:t xml:space="preserve">Уголок 50×5</x:t>
        </x:is>
      </x:c>
      <x:c r="F917" s="31" t="n">
        <x:v>39.77</x:v>
      </x:c>
      <x:c r="G917" s="31" t="inlineStr">
        <x:is>
          <x:t xml:space="preserve">кг</x:t>
        </x:is>
      </x:c>
      <x:c r="H917" s="31" t="n"/>
      <x:c r="I917" s="31" t="n"/>
      <x:c r="J917" s="31" t="inlineStr">
        <x:is>
          <x:t xml:space="preserve">Основной склад</x:t>
        </x:is>
      </x:c>
      <x:c r="K917" s="31" t="inlineStr">
        <x:is>
          <x:t xml:space="preserve">СОТР-038</x:t>
        </x:is>
      </x:c>
      <x:c r="L917" s="31" t="inlineStr">
        <x:is>
          <x:t xml:space="preserve">ДОК-5686</x:t>
        </x:is>
      </x:c>
      <x:c r="M917" s="31" t="inlineStr">
        <x:is>
          <x:t xml:space="preserve">Проведен</x:t>
        </x:is>
      </x:c>
    </x:row>
    <x:row r="918">
      <x:c r="A918" s="31" t="inlineStr">
        <x:is>
          <x:t xml:space="preserve">СКЛ-000917</x:t>
        </x:is>
      </x:c>
      <x:c r="B918" s="31" t="n">
        <x:v>46166</x:v>
      </x:c>
      <x:c r="C918" s="31" t="inlineStr">
        <x:is>
          <x:t xml:space="preserve">Выдача в производство</x:t>
        </x:is>
      </x:c>
      <x:c r="D918" s="31" t="inlineStr">
        <x:is>
          <x:t xml:space="preserve">МАТ-0017</x:t>
        </x:is>
      </x:c>
      <x:c r="E918" s="31" t="inlineStr">
        <x:is>
          <x:t xml:space="preserve">Насос шестеренный 7.5 кВт</x:t>
        </x:is>
      </x:c>
      <x:c r="F918" s="31" t="n">
        <x:v>-13</x:v>
      </x:c>
      <x:c r="G918" s="31" t="inlineStr">
        <x:is>
          <x:t xml:space="preserve">шт</x:t>
        </x:is>
      </x:c>
      <x:c r="H918" s="31" t="inlineStr">
        <x:is>
          <x:t xml:space="preserve">ЗК-1044</x:t>
        </x:is>
      </x:c>
      <x:c r="I918" s="31" t="inlineStr">
        <x:is>
          <x:t xml:space="preserve">ПЗ-00072</x:t>
        </x:is>
      </x:c>
      <x:c r="J918" s="31" t="inlineStr">
        <x:is>
          <x:t xml:space="preserve">Основной склад</x:t>
        </x:is>
      </x:c>
      <x:c r="K918" s="31" t="inlineStr">
        <x:is>
          <x:t xml:space="preserve">СОТР-036</x:t>
        </x:is>
      </x:c>
      <x:c r="L918" s="31" t="inlineStr">
        <x:is>
          <x:t xml:space="preserve">ДОК-9560</x:t>
        </x:is>
      </x:c>
      <x:c r="M918" s="31" t="inlineStr">
        <x:is>
          <x:t xml:space="preserve">Проведен</x:t>
        </x:is>
      </x:c>
    </x:row>
    <x:row r="919">
      <x:c r="A919" s="31" t="inlineStr">
        <x:is>
          <x:t xml:space="preserve">СКЛ-000918</x:t>
        </x:is>
      </x:c>
      <x:c r="B919" s="31" t="n">
        <x:v>46116</x:v>
      </x:c>
      <x:c r="C919" s="31" t="inlineStr">
        <x:is>
          <x:t xml:space="preserve">Выдача в производство</x:t>
        </x:is>
      </x:c>
      <x:c r="D919" s="31" t="inlineStr">
        <x:is>
          <x:t xml:space="preserve">МАТ-0078</x:t>
        </x:is>
      </x:c>
      <x:c r="E919" s="31" t="inlineStr">
        <x:is>
          <x:t xml:space="preserve">Гайка М12</x:t>
        </x:is>
      </x:c>
      <x:c r="F919" s="31" t="n">
        <x:v>-19</x:v>
      </x:c>
      <x:c r="G919" s="31" t="inlineStr">
        <x:is>
          <x:t xml:space="preserve">шт</x:t>
        </x:is>
      </x:c>
      <x:c r="H919" s="31" t="inlineStr">
        <x:is>
          <x:t xml:space="preserve">ЗК-1126</x:t>
        </x:is>
      </x:c>
      <x:c r="I919" s="31" t="inlineStr">
        <x:is>
          <x:t xml:space="preserve">ПЗ-00089</x:t>
        </x:is>
      </x:c>
      <x:c r="J919" s="31" t="inlineStr">
        <x:is>
          <x:t xml:space="preserve">Основной склад</x:t>
        </x:is>
      </x:c>
      <x:c r="K919" s="31" t="inlineStr">
        <x:is>
          <x:t xml:space="preserve">СОТР-034</x:t>
        </x:is>
      </x:c>
      <x:c r="L919" s="31" t="inlineStr">
        <x:is>
          <x:t xml:space="preserve">ДОК-1663</x:t>
        </x:is>
      </x:c>
      <x:c r="M919" s="31" t="inlineStr">
        <x:is>
          <x:t xml:space="preserve">Проведен</x:t>
        </x:is>
      </x:c>
    </x:row>
    <x:row r="920">
      <x:c r="A920" s="31" t="inlineStr">
        <x:is>
          <x:t xml:space="preserve">СКЛ-000919</x:t>
        </x:is>
      </x:c>
      <x:c r="B920" s="31" t="n">
        <x:v>46066</x:v>
      </x:c>
      <x:c r="C920" s="31" t="inlineStr">
        <x:is>
          <x:t xml:space="preserve">Резерв</x:t>
        </x:is>
      </x:c>
      <x:c r="D920" s="31" t="inlineStr">
        <x:is>
          <x:t xml:space="preserve">МАТ-0045</x:t>
        </x:is>
      </x:c>
      <x:c r="E920" s="31" t="inlineStr">
        <x:is>
          <x:t xml:space="preserve">Автоматический выключатель 16А</x:t>
        </x:is>
      </x:c>
      <x:c r="F920" s="31" t="n">
        <x:v>-13</x:v>
      </x:c>
      <x:c r="G920" s="31" t="inlineStr">
        <x:is>
          <x:t xml:space="preserve">шт</x:t>
        </x:is>
      </x:c>
      <x:c r="H920" s="31" t="inlineStr">
        <x:is>
          <x:t xml:space="preserve">ЗК-1035</x:t>
        </x:is>
      </x:c>
      <x:c r="I920" s="31" t="n"/>
      <x:c r="J920" s="31" t="inlineStr">
        <x:is>
          <x:t xml:space="preserve">Основной склад</x:t>
        </x:is>
      </x:c>
      <x:c r="K920" s="31" t="inlineStr">
        <x:is>
          <x:t xml:space="preserve">СОТР-035</x:t>
        </x:is>
      </x:c>
      <x:c r="L920" s="31" t="inlineStr">
        <x:is>
          <x:t xml:space="preserve">ДОК-4657</x:t>
        </x:is>
      </x:c>
      <x:c r="M920" s="31" t="inlineStr">
        <x:is>
          <x:t xml:space="preserve">Проведен</x:t>
        </x:is>
      </x:c>
    </x:row>
    <x:row r="921">
      <x:c r="A921" s="31" t="inlineStr">
        <x:is>
          <x:t xml:space="preserve">СКЛ-000920</x:t>
        </x:is>
      </x:c>
      <x:c r="B921" s="31" t="n">
        <x:v>46174</x:v>
      </x:c>
      <x:c r="C921" s="31" t="inlineStr">
        <x:is>
          <x:t xml:space="preserve">Резерв</x:t>
        </x:is>
      </x:c>
      <x:c r="D921" s="31" t="inlineStr">
        <x:is>
          <x:t xml:space="preserve">МАТ-0024</x:t>
        </x:is>
      </x:c>
      <x:c r="E921" s="31" t="inlineStr">
        <x:is>
          <x:t xml:space="preserve">Рабочее колесо / исп.2</x:t>
        </x:is>
      </x:c>
      <x:c r="F921" s="31" t="n">
        <x:v>-5</x:v>
      </x:c>
      <x:c r="G921" s="31" t="inlineStr">
        <x:is>
          <x:t xml:space="preserve">шт</x:t>
        </x:is>
      </x:c>
      <x:c r="H921" s="31" t="inlineStr">
        <x:is>
          <x:t xml:space="preserve">ЗК-1019</x:t>
        </x:is>
      </x:c>
      <x:c r="I921" s="31" t="n"/>
      <x:c r="J921" s="31" t="inlineStr">
        <x:is>
          <x:t xml:space="preserve">Брак/карантин</x:t>
        </x:is>
      </x:c>
      <x:c r="K921" s="31" t="inlineStr">
        <x:is>
          <x:t xml:space="preserve">СОТР-038</x:t>
        </x:is>
      </x:c>
      <x:c r="L921" s="31" t="inlineStr">
        <x:is>
          <x:t xml:space="preserve">ДОК-7593</x:t>
        </x:is>
      </x:c>
      <x:c r="M921" s="31" t="inlineStr">
        <x:is>
          <x:t xml:space="preserve">Проведен</x:t>
        </x:is>
      </x:c>
    </x:row>
    <x:row r="922">
      <x:c r="A922" s="31" t="inlineStr">
        <x:is>
          <x:t xml:space="preserve">СКЛ-000921</x:t>
        </x:is>
      </x:c>
      <x:c r="B922" s="31" t="n">
        <x:v>46095</x:v>
      </x:c>
      <x:c r="C922" s="31" t="inlineStr">
        <x:is>
          <x:t xml:space="preserve">Резерв</x:t>
        </x:is>
      </x:c>
      <x:c r="D922" s="31" t="inlineStr">
        <x:is>
          <x:t xml:space="preserve">МАТ-0001</x:t>
        </x:is>
      </x:c>
      <x:c r="E922" s="31" t="inlineStr">
        <x:is>
          <x:t xml:space="preserve">Лист стальной 09Г2С 8 мм</x:t>
        </x:is>
      </x:c>
      <x:c r="F922" s="31" t="n">
        <x:v>-50.21</x:v>
      </x:c>
      <x:c r="G922" s="31" t="inlineStr">
        <x:is>
          <x:t xml:space="preserve">м</x:t>
        </x:is>
      </x:c>
      <x:c r="H922" s="31" t="inlineStr">
        <x:is>
          <x:t xml:space="preserve">ЗК-1020</x:t>
        </x:is>
      </x:c>
      <x:c r="I922" s="31" t="n"/>
      <x:c r="J922" s="31" t="inlineStr">
        <x:is>
          <x:t xml:space="preserve">Основной склад</x:t>
        </x:is>
      </x:c>
      <x:c r="K922" s="31" t="inlineStr">
        <x:is>
          <x:t xml:space="preserve">СОТР-039</x:t>
        </x:is>
      </x:c>
      <x:c r="L922" s="31" t="inlineStr">
        <x:is>
          <x:t xml:space="preserve">ДОК-7968</x:t>
        </x:is>
      </x:c>
      <x:c r="M922" s="31" t="inlineStr">
        <x:is>
          <x:t xml:space="preserve">Проведен</x:t>
        </x:is>
      </x:c>
    </x:row>
    <x:row r="923">
      <x:c r="A923" s="31" t="inlineStr">
        <x:is>
          <x:t xml:space="preserve">СКЛ-000922</x:t>
        </x:is>
      </x:c>
      <x:c r="B923" s="31" t="n">
        <x:v>46108</x:v>
      </x:c>
      <x:c r="C923" s="31" t="inlineStr">
        <x:is>
          <x:t xml:space="preserve">Возврат</x:t>
        </x:is>
      </x:c>
      <x:c r="D923" s="31" t="inlineStr">
        <x:is>
          <x:t xml:space="preserve">МАТ-0024</x:t>
        </x:is>
      </x:c>
      <x:c r="E923" s="31" t="inlineStr">
        <x:is>
          <x:t xml:space="preserve">Рабочее колесо / исп.2</x:t>
        </x:is>
      </x:c>
      <x:c r="F923" s="31" t="n">
        <x:v>5</x:v>
      </x:c>
      <x:c r="G923" s="31" t="inlineStr">
        <x:is>
          <x:t xml:space="preserve">шт</x:t>
        </x:is>
      </x:c>
      <x:c r="H923" s="31" t="n"/>
      <x:c r="I923" s="31" t="n"/>
      <x:c r="J923" s="31" t="inlineStr">
        <x:is>
          <x:t xml:space="preserve">Основной склад</x:t>
        </x:is>
      </x:c>
      <x:c r="K923" s="31" t="inlineStr">
        <x:is>
          <x:t xml:space="preserve">СОТР-038</x:t>
        </x:is>
      </x:c>
      <x:c r="L923" s="31" t="inlineStr">
        <x:is>
          <x:t xml:space="preserve">ДОК-9454</x:t>
        </x:is>
      </x:c>
      <x:c r="M923" s="31" t="inlineStr">
        <x:is>
          <x:t xml:space="preserve">Проведен</x:t>
        </x:is>
      </x:c>
    </x:row>
    <x:row r="924">
      <x:c r="A924" s="31" t="inlineStr">
        <x:is>
          <x:t xml:space="preserve">СКЛ-000923</x:t>
        </x:is>
      </x:c>
      <x:c r="B924" s="31" t="n">
        <x:v>46153</x:v>
      </x:c>
      <x:c r="C924" s="31" t="inlineStr">
        <x:is>
          <x:t xml:space="preserve">Резерв</x:t>
        </x:is>
      </x:c>
      <x:c r="D924" s="31" t="inlineStr">
        <x:is>
          <x:t xml:space="preserve">МАТ-0015</x:t>
        </x:is>
      </x:c>
      <x:c r="E924" s="31" t="inlineStr">
        <x:is>
          <x:t xml:space="preserve">Насос центробежный 15 кВт</x:t>
        </x:is>
      </x:c>
      <x:c r="F924" s="31" t="n">
        <x:v>-3</x:v>
      </x:c>
      <x:c r="G924" s="31" t="inlineStr">
        <x:is>
          <x:t xml:space="preserve">шт</x:t>
        </x:is>
      </x:c>
      <x:c r="H924" s="31" t="inlineStr">
        <x:is>
          <x:t xml:space="preserve">ЗК-1040</x:t>
        </x:is>
      </x:c>
      <x:c r="I924" s="31" t="n"/>
      <x:c r="J924" s="31" t="inlineStr">
        <x:is>
          <x:t xml:space="preserve">Основной склад</x:t>
        </x:is>
      </x:c>
      <x:c r="K924" s="31" t="inlineStr">
        <x:is>
          <x:t xml:space="preserve">СОТР-039</x:t>
        </x:is>
      </x:c>
      <x:c r="L924" s="31" t="inlineStr">
        <x:is>
          <x:t xml:space="preserve">ДОК-2709</x:t>
        </x:is>
      </x:c>
      <x:c r="M924" s="31" t="inlineStr">
        <x:is>
          <x:t xml:space="preserve">Проведен</x:t>
        </x:is>
      </x:c>
    </x:row>
    <x:row r="925">
      <x:c r="A925" s="31" t="inlineStr">
        <x:is>
          <x:t xml:space="preserve">СКЛ-000924</x:t>
        </x:is>
      </x:c>
      <x:c r="B925" s="31" t="n">
        <x:v>46097</x:v>
      </x:c>
      <x:c r="C925" s="31" t="inlineStr">
        <x:is>
          <x:t xml:space="preserve">Выдача в производство</x:t>
        </x:is>
      </x:c>
      <x:c r="D925" s="31" t="inlineStr">
        <x:is>
          <x:t xml:space="preserve">МАТ-0089</x:t>
        </x:is>
      </x:c>
      <x:c r="E925" s="31" t="inlineStr">
        <x:is>
          <x:t xml:space="preserve">Маркировочная этикетка</x:t>
        </x:is>
      </x:c>
      <x:c r="F925" s="31" t="n">
        <x:v>-11</x:v>
      </x:c>
      <x:c r="G925" s="31" t="inlineStr">
        <x:is>
          <x:t xml:space="preserve">шт</x:t>
        </x:is>
      </x:c>
      <x:c r="H925" s="31" t="inlineStr">
        <x:is>
          <x:t xml:space="preserve">ЗК-1125</x:t>
        </x:is>
      </x:c>
      <x:c r="I925" s="31" t="inlineStr">
        <x:is>
          <x:t xml:space="preserve">ПЗ-00153</x:t>
        </x:is>
      </x:c>
      <x:c r="J925" s="31" t="inlineStr">
        <x:is>
          <x:t xml:space="preserve">Основной склад</x:t>
        </x:is>
      </x:c>
      <x:c r="K925" s="31" t="inlineStr">
        <x:is>
          <x:t xml:space="preserve">СОТР-024</x:t>
        </x:is>
      </x:c>
      <x:c r="L925" s="31" t="inlineStr">
        <x:is>
          <x:t xml:space="preserve">ДОК-6359</x:t>
        </x:is>
      </x:c>
      <x:c r="M925" s="31" t="inlineStr">
        <x:is>
          <x:t xml:space="preserve">Проведен</x:t>
        </x:is>
      </x:c>
    </x:row>
    <x:row r="926">
      <x:c r="A926" s="31" t="inlineStr">
        <x:is>
          <x:t xml:space="preserve">СКЛ-000925</x:t>
        </x:is>
      </x:c>
      <x:c r="B926" s="31" t="n">
        <x:v>46116</x:v>
      </x:c>
      <x:c r="C926" s="31" t="inlineStr">
        <x:is>
          <x:t xml:space="preserve">Резерв</x:t>
        </x:is>
      </x:c>
      <x:c r="D926" s="31" t="inlineStr">
        <x:is>
          <x:t xml:space="preserve">МАТ-0003</x:t>
        </x:is>
      </x:c>
      <x:c r="E926" s="31" t="inlineStr">
        <x:is>
          <x:t xml:space="preserve">Лист стальной 09Г2С 12 мм / исп.2</x:t>
        </x:is>
      </x:c>
      <x:c r="F926" s="31" t="n">
        <x:v>-21.53</x:v>
      </x:c>
      <x:c r="G926" s="31" t="inlineStr">
        <x:is>
          <x:t xml:space="preserve">м</x:t>
        </x:is>
      </x:c>
      <x:c r="H926" s="31" t="inlineStr">
        <x:is>
          <x:t xml:space="preserve">ЗК-1092</x:t>
        </x:is>
      </x:c>
      <x:c r="I926" s="31" t="n"/>
      <x:c r="J926" s="31" t="inlineStr">
        <x:is>
          <x:t xml:space="preserve">Цеховой склад</x:t>
        </x:is>
      </x:c>
      <x:c r="K926" s="31" t="inlineStr">
        <x:is>
          <x:t xml:space="preserve">СОТР-024</x:t>
        </x:is>
      </x:c>
      <x:c r="L926" s="31" t="inlineStr">
        <x:is>
          <x:t xml:space="preserve">ДОК-8941</x:t>
        </x:is>
      </x:c>
      <x:c r="M926" s="31" t="inlineStr">
        <x:is>
          <x:t xml:space="preserve">Проведен</x:t>
        </x:is>
      </x:c>
    </x:row>
    <x:row r="927">
      <x:c r="A927" s="31" t="inlineStr">
        <x:is>
          <x:t xml:space="preserve">СКЛ-000926</x:t>
        </x:is>
      </x:c>
      <x:c r="B927" s="31" t="n">
        <x:v>46088</x:v>
      </x:c>
      <x:c r="C927" s="31" t="inlineStr">
        <x:is>
          <x:t xml:space="preserve">Выдача в производство</x:t>
        </x:is>
      </x:c>
      <x:c r="D927" s="31" t="inlineStr">
        <x:is>
          <x:t xml:space="preserve">МАТ-0040</x:t>
        </x:is>
      </x:c>
      <x:c r="E927" s="31" t="inlineStr">
        <x:is>
          <x:t xml:space="preserve">модуль аналогового входа 4 канала</x:t>
        </x:is>
      </x:c>
      <x:c r="F927" s="31" t="n">
        <x:v>-4</x:v>
      </x:c>
      <x:c r="G927" s="31" t="inlineStr">
        <x:is>
          <x:t xml:space="preserve">шт</x:t>
        </x:is>
      </x:c>
      <x:c r="H927" s="31" t="inlineStr">
        <x:is>
          <x:t xml:space="preserve">ЗК-1103</x:t>
        </x:is>
      </x:c>
      <x:c r="I927" s="31" t="inlineStr">
        <x:is>
          <x:t xml:space="preserve">ПЗ-00153</x:t>
        </x:is>
      </x:c>
      <x:c r="J927" s="31" t="inlineStr">
        <x:is>
          <x:t xml:space="preserve">Основной склад</x:t>
        </x:is>
      </x:c>
      <x:c r="K927" s="31" t="inlineStr">
        <x:is>
          <x:t xml:space="preserve">СОТР-035</x:t>
        </x:is>
      </x:c>
      <x:c r="L927" s="31" t="inlineStr">
        <x:is>
          <x:t xml:space="preserve">ДОК-2948</x:t>
        </x:is>
      </x:c>
      <x:c r="M927" s="31" t="inlineStr">
        <x:is>
          <x:t xml:space="preserve">Проведен</x:t>
        </x:is>
      </x:c>
    </x:row>
    <x:row r="928">
      <x:c r="A928" s="31" t="inlineStr">
        <x:is>
          <x:t xml:space="preserve">СКЛ-000927</x:t>
        </x:is>
      </x:c>
      <x:c r="B928" s="31" t="n">
        <x:v>46091</x:v>
      </x:c>
      <x:c r="C928" s="31" t="inlineStr">
        <x:is>
          <x:t xml:space="preserve">Приход</x:t>
        </x:is>
      </x:c>
      <x:c r="D928" s="31" t="inlineStr">
        <x:is>
          <x:t xml:space="preserve">МАТ-0056</x:t>
        </x:is>
      </x:c>
      <x:c r="E928" s="31" t="inlineStr">
        <x:is>
          <x:t xml:space="preserve">Задвижка Ду100</x:t>
        </x:is>
      </x:c>
      <x:c r="F928" s="31" t="n">
        <x:v>18</x:v>
      </x:c>
      <x:c r="G928" s="31" t="inlineStr">
        <x:is>
          <x:t xml:space="preserve">шт</x:t>
        </x:is>
      </x:c>
      <x:c r="H928" s="31" t="n"/>
      <x:c r="I928" s="31" t="n"/>
      <x:c r="J928" s="31" t="inlineStr">
        <x:is>
          <x:t xml:space="preserve">Основной склад</x:t>
        </x:is>
      </x:c>
      <x:c r="K928" s="31" t="inlineStr">
        <x:is>
          <x:t xml:space="preserve">СОТР-036</x:t>
        </x:is>
      </x:c>
      <x:c r="L928" s="31" t="inlineStr">
        <x:is>
          <x:t xml:space="preserve">ДОК-9858</x:t>
        </x:is>
      </x:c>
      <x:c r="M928" s="31" t="inlineStr">
        <x:is>
          <x:t xml:space="preserve">Проведен</x:t>
        </x:is>
      </x:c>
    </x:row>
    <x:row r="929">
      <x:c r="A929" s="31" t="inlineStr">
        <x:is>
          <x:t xml:space="preserve">СКЛ-000928</x:t>
        </x:is>
      </x:c>
      <x:c r="B929" s="31" t="n">
        <x:v>46063</x:v>
      </x:c>
      <x:c r="C929" s="31" t="inlineStr">
        <x:is>
          <x:t xml:space="preserve">Списание</x:t>
        </x:is>
      </x:c>
      <x:c r="D929" s="31" t="inlineStr">
        <x:is>
          <x:t xml:space="preserve">МАТ-0017</x:t>
        </x:is>
      </x:c>
      <x:c r="E929" s="31" t="inlineStr">
        <x:is>
          <x:t xml:space="preserve">Насос шестеренный 7.5 кВт</x:t>
        </x:is>
      </x:c>
      <x:c r="F929" s="31" t="n">
        <x:v>-12</x:v>
      </x:c>
      <x:c r="G929" s="31" t="inlineStr">
        <x:is>
          <x:t xml:space="preserve">шт</x:t>
        </x:is>
      </x:c>
      <x:c r="H929" s="31" t="n"/>
      <x:c r="I929" s="31" t="n"/>
      <x:c r="J929" s="31" t="inlineStr">
        <x:is>
          <x:t xml:space="preserve">Основной склад</x:t>
        </x:is>
      </x:c>
      <x:c r="K929" s="31" t="inlineStr">
        <x:is>
          <x:t xml:space="preserve">СОТР-033</x:t>
        </x:is>
      </x:c>
      <x:c r="L929" s="31" t="inlineStr">
        <x:is>
          <x:t xml:space="preserve">ДОК-7338</x:t>
        </x:is>
      </x:c>
      <x:c r="M929" s="31" t="inlineStr">
        <x:is>
          <x:t xml:space="preserve">Проведен</x:t>
        </x:is>
      </x:c>
    </x:row>
    <x:row r="930">
      <x:c r="A930" s="31" t="inlineStr">
        <x:is>
          <x:t xml:space="preserve">СКЛ-000929</x:t>
        </x:is>
      </x:c>
      <x:c r="B930" s="31" t="n">
        <x:v>46094</x:v>
      </x:c>
      <x:c r="C930" s="31" t="inlineStr">
        <x:is>
          <x:t xml:space="preserve">Приход</x:t>
        </x:is>
      </x:c>
      <x:c r="D930" s="31" t="inlineStr">
        <x:is>
          <x:t xml:space="preserve">МАТ-0085</x:t>
        </x:is>
      </x:c>
      <x:c r="E930" s="31" t="inlineStr">
        <x:is>
          <x:t xml:space="preserve">Пленка стрейч</x:t>
        </x:is>
      </x:c>
      <x:c r="F930" s="31" t="n">
        <x:v>12</x:v>
      </x:c>
      <x:c r="G930" s="31" t="inlineStr">
        <x:is>
          <x:t xml:space="preserve">шт</x:t>
        </x:is>
      </x:c>
      <x:c r="H930" s="31" t="n"/>
      <x:c r="I930" s="31" t="n"/>
      <x:c r="J930" s="31" t="inlineStr">
        <x:is>
          <x:t xml:space="preserve">Основной склад</x:t>
        </x:is>
      </x:c>
      <x:c r="K930" s="31" t="inlineStr">
        <x:is>
          <x:t xml:space="preserve">СОТР-039</x:t>
        </x:is>
      </x:c>
      <x:c r="L930" s="31" t="inlineStr">
        <x:is>
          <x:t xml:space="preserve">ДОК-7945</x:t>
        </x:is>
      </x:c>
      <x:c r="M930" s="31" t="inlineStr">
        <x:is>
          <x:t xml:space="preserve">Проведен</x:t>
        </x:is>
      </x:c>
    </x:row>
    <x:row r="931">
      <x:c r="A931" s="31" t="inlineStr">
        <x:is>
          <x:t xml:space="preserve">СКЛ-000930</x:t>
        </x:is>
      </x:c>
      <x:c r="B931" s="31" t="n">
        <x:v>46056</x:v>
      </x:c>
      <x:c r="C931" s="31" t="inlineStr">
        <x:is>
          <x:t xml:space="preserve">Резерв</x:t>
        </x:is>
      </x:c>
      <x:c r="D931" s="31" t="inlineStr">
        <x:is>
          <x:t xml:space="preserve">МАТ-0046</x:t>
        </x:is>
      </x:c>
      <x:c r="E931" s="31" t="inlineStr">
        <x:is>
          <x:t xml:space="preserve">Контактор 25А</x:t>
        </x:is>
      </x:c>
      <x:c r="F931" s="31" t="n">
        <x:v>-9</x:v>
      </x:c>
      <x:c r="G931" s="31" t="inlineStr">
        <x:is>
          <x:t xml:space="preserve">шт</x:t>
        </x:is>
      </x:c>
      <x:c r="H931" s="31" t="inlineStr">
        <x:is>
          <x:t xml:space="preserve">ЗК-1020</x:t>
        </x:is>
      </x:c>
      <x:c r="I931" s="31" t="n"/>
      <x:c r="J931" s="31" t="inlineStr">
        <x:is>
          <x:t xml:space="preserve">Основной склад</x:t>
        </x:is>
      </x:c>
      <x:c r="K931" s="31" t="inlineStr">
        <x:is>
          <x:t xml:space="preserve">СОТР-033</x:t>
        </x:is>
      </x:c>
      <x:c r="L931" s="31" t="inlineStr">
        <x:is>
          <x:t xml:space="preserve">ДОК-1534</x:t>
        </x:is>
      </x:c>
      <x:c r="M931" s="31" t="inlineStr">
        <x:is>
          <x:t xml:space="preserve">Проведен</x:t>
        </x:is>
      </x:c>
    </x:row>
    <x:row r="932">
      <x:c r="A932" s="31" t="inlineStr">
        <x:is>
          <x:t xml:space="preserve">СКЛ-000931</x:t>
        </x:is>
      </x:c>
      <x:c r="B932" s="31" t="n">
        <x:v>46195</x:v>
      </x:c>
      <x:c r="C932" s="31" t="inlineStr">
        <x:is>
          <x:t xml:space="preserve">Выдача в производство</x:t>
        </x:is>
      </x:c>
      <x:c r="D932" s="31" t="inlineStr">
        <x:is>
          <x:t xml:space="preserve">МАТ-0038</x:t>
        </x:is>
      </x:c>
      <x:c r="E932" s="31" t="inlineStr">
        <x:is>
          <x:t xml:space="preserve">ПЛК 24 дискр. входа / 16 дискр. выхода</x:t>
        </x:is>
      </x:c>
      <x:c r="F932" s="31" t="n">
        <x:v>-19</x:v>
      </x:c>
      <x:c r="G932" s="31" t="inlineStr">
        <x:is>
          <x:t xml:space="preserve">шт</x:t>
        </x:is>
      </x:c>
      <x:c r="H932" s="31" t="inlineStr">
        <x:is>
          <x:t xml:space="preserve">ЗК-1095</x:t>
        </x:is>
      </x:c>
      <x:c r="I932" s="31" t="inlineStr">
        <x:is>
          <x:t xml:space="preserve">ПЗ-00114</x:t>
        </x:is>
      </x:c>
      <x:c r="J932" s="31" t="inlineStr">
        <x:is>
          <x:t xml:space="preserve">Основной склад</x:t>
        </x:is>
      </x:c>
      <x:c r="K932" s="31" t="inlineStr">
        <x:is>
          <x:t xml:space="preserve">СОТР-033</x:t>
        </x:is>
      </x:c>
      <x:c r="L932" s="31" t="inlineStr">
        <x:is>
          <x:t xml:space="preserve">ДОК-3775</x:t>
        </x:is>
      </x:c>
      <x:c r="M932" s="31" t="inlineStr">
        <x:is>
          <x:t xml:space="preserve">Проведен</x:t>
        </x:is>
      </x:c>
    </x:row>
    <x:row r="933">
      <x:c r="A933" s="31" t="inlineStr">
        <x:is>
          <x:t xml:space="preserve">СКЛ-000932</x:t>
        </x:is>
      </x:c>
      <x:c r="B933" s="31" t="n">
        <x:v>46111</x:v>
      </x:c>
      <x:c r="C933" s="31" t="inlineStr">
        <x:is>
          <x:t xml:space="preserve">Возврат</x:t>
        </x:is>
      </x:c>
      <x:c r="D933" s="31" t="inlineStr">
        <x:is>
          <x:t xml:space="preserve">МАТ-0065</x:t>
        </x:is>
      </x:c>
      <x:c r="E933" s="31" t="inlineStr">
        <x:is>
          <x:t xml:space="preserve">Гофра металлическая</x:t>
        </x:is>
      </x:c>
      <x:c r="F933" s="31" t="n">
        <x:v>8</x:v>
      </x:c>
      <x:c r="G933" s="31" t="inlineStr">
        <x:is>
          <x:t xml:space="preserve">шт</x:t>
        </x:is>
      </x:c>
      <x:c r="H933" s="31" t="n"/>
      <x:c r="I933" s="31" t="n"/>
      <x:c r="J933" s="31" t="inlineStr">
        <x:is>
          <x:t xml:space="preserve">Основной склад</x:t>
        </x:is>
      </x:c>
      <x:c r="K933" s="31" t="inlineStr">
        <x:is>
          <x:t xml:space="preserve">СОТР-036</x:t>
        </x:is>
      </x:c>
      <x:c r="L933" s="31" t="inlineStr">
        <x:is>
          <x:t xml:space="preserve">ДОК-1134</x:t>
        </x:is>
      </x:c>
      <x:c r="M933" s="31" t="inlineStr">
        <x:is>
          <x:t xml:space="preserve">Проведен</x:t>
        </x:is>
      </x:c>
    </x:row>
    <x:row r="934">
      <x:c r="A934" s="31" t="inlineStr">
        <x:is>
          <x:t xml:space="preserve">СКЛ-000933</x:t>
        </x:is>
      </x:c>
      <x:c r="B934" s="31" t="n">
        <x:v>46144</x:v>
      </x:c>
      <x:c r="C934" s="31" t="inlineStr">
        <x:is>
          <x:t xml:space="preserve">Резерв</x:t>
        </x:is>
      </x:c>
      <x:c r="D934" s="31" t="inlineStr">
        <x:is>
          <x:t xml:space="preserve">МАТ-0018</x:t>
        </x:is>
      </x:c>
      <x:c r="E934" s="31" t="inlineStr">
        <x:is>
          <x:t xml:space="preserve">Насос шестеренный 7.5 кВт / исп.2</x:t>
        </x:is>
      </x:c>
      <x:c r="F934" s="31" t="n">
        <x:v>-5</x:v>
      </x:c>
      <x:c r="G934" s="31" t="inlineStr">
        <x:is>
          <x:t xml:space="preserve">шт</x:t>
        </x:is>
      </x:c>
      <x:c r="H934" s="31" t="inlineStr">
        <x:is>
          <x:t xml:space="preserve">ЗК-1015</x:t>
        </x:is>
      </x:c>
      <x:c r="I934" s="31" t="n"/>
      <x:c r="J934" s="31" t="inlineStr">
        <x:is>
          <x:t xml:space="preserve">Брак/карантин</x:t>
        </x:is>
      </x:c>
      <x:c r="K934" s="31" t="inlineStr">
        <x:is>
          <x:t xml:space="preserve">СОТР-033</x:t>
        </x:is>
      </x:c>
      <x:c r="L934" s="31" t="inlineStr">
        <x:is>
          <x:t xml:space="preserve">ДОК-6270</x:t>
        </x:is>
      </x:c>
      <x:c r="M934" s="31" t="inlineStr">
        <x:is>
          <x:t xml:space="preserve">Проведен</x:t>
        </x:is>
      </x:c>
    </x:row>
    <x:row r="935">
      <x:c r="A935" s="31" t="inlineStr">
        <x:is>
          <x:t xml:space="preserve">СКЛ-000934</x:t>
        </x:is>
      </x:c>
      <x:c r="B935" s="31" t="n">
        <x:v>46185</x:v>
      </x:c>
      <x:c r="C935" s="31" t="inlineStr">
        <x:is>
          <x:t xml:space="preserve">Корректировка</x:t>
        </x:is>
      </x:c>
      <x:c r="D935" s="31" t="inlineStr">
        <x:is>
          <x:t xml:space="preserve">МАТ-0065</x:t>
        </x:is>
      </x:c>
      <x:c r="E935" s="31" t="inlineStr">
        <x:is>
          <x:t xml:space="preserve">Гофра металлическая</x:t>
        </x:is>
      </x:c>
      <x:c r="F935" s="31" t="n">
        <x:v>7</x:v>
      </x:c>
      <x:c r="G935" s="31" t="inlineStr">
        <x:is>
          <x:t xml:space="preserve">шт</x:t>
        </x:is>
      </x:c>
      <x:c r="H935" s="31" t="n"/>
      <x:c r="I935" s="31" t="n"/>
      <x:c r="J935" s="31" t="inlineStr">
        <x:is>
          <x:t xml:space="preserve">Основной склад</x:t>
        </x:is>
      </x:c>
      <x:c r="K935" s="31" t="inlineStr">
        <x:is>
          <x:t xml:space="preserve">СОТР-033</x:t>
        </x:is>
      </x:c>
      <x:c r="L935" s="31" t="inlineStr">
        <x:is>
          <x:t xml:space="preserve">ДОК-8387</x:t>
        </x:is>
      </x:c>
      <x:c r="M935" s="31" t="inlineStr">
        <x:is>
          <x:t xml:space="preserve">Проведен</x:t>
        </x:is>
      </x:c>
    </x:row>
    <x:row r="936">
      <x:c r="A936" s="31" t="inlineStr">
        <x:is>
          <x:t xml:space="preserve">СКЛ-000935</x:t>
        </x:is>
      </x:c>
      <x:c r="B936" s="31" t="n">
        <x:v>46031</x:v>
      </x:c>
      <x:c r="C936" s="31" t="inlineStr">
        <x:is>
          <x:t xml:space="preserve">Выдача в производство</x:t>
        </x:is>
      </x:c>
      <x:c r="D936" s="31" t="inlineStr">
        <x:is>
          <x:t xml:space="preserve">МАТ-0063</x:t>
        </x:is>
      </x:c>
      <x:c r="E936" s="31" t="inlineStr">
        <x:is>
          <x:t xml:space="preserve">Кабель ВВГнг 3×2.5</x:t>
        </x:is>
      </x:c>
      <x:c r="F936" s="31" t="n">
        <x:v>-17</x:v>
      </x:c>
      <x:c r="G936" s="31" t="inlineStr">
        <x:is>
          <x:t xml:space="preserve">шт</x:t>
        </x:is>
      </x:c>
      <x:c r="H936" s="31" t="inlineStr">
        <x:is>
          <x:t xml:space="preserve">ЗК-1052</x:t>
        </x:is>
      </x:c>
      <x:c r="I936" s="31" t="inlineStr">
        <x:is>
          <x:t xml:space="preserve">ПЗ-00008</x:t>
        </x:is>
      </x:c>
      <x:c r="J936" s="31" t="inlineStr">
        <x:is>
          <x:t xml:space="preserve">Основной склад</x:t>
        </x:is>
      </x:c>
      <x:c r="K936" s="31" t="inlineStr">
        <x:is>
          <x:t xml:space="preserve">СОТР-024</x:t>
        </x:is>
      </x:c>
      <x:c r="L936" s="31" t="inlineStr">
        <x:is>
          <x:t xml:space="preserve">ДОК-9812</x:t>
        </x:is>
      </x:c>
      <x:c r="M936" s="31" t="inlineStr">
        <x:is>
          <x:t xml:space="preserve">Проведен</x:t>
        </x:is>
      </x:c>
    </x:row>
    <x:row r="937">
      <x:c r="A937" s="31" t="inlineStr">
        <x:is>
          <x:t xml:space="preserve">СКЛ-000936</x:t>
        </x:is>
      </x:c>
      <x:c r="B937" s="31" t="n">
        <x:v>46134</x:v>
      </x:c>
      <x:c r="C937" s="31" t="inlineStr">
        <x:is>
          <x:t xml:space="preserve">Приход</x:t>
        </x:is>
      </x:c>
      <x:c r="D937" s="31" t="inlineStr">
        <x:is>
          <x:t xml:space="preserve">МАТ-0021</x:t>
        </x:is>
      </x:c>
      <x:c r="E937" s="31" t="inlineStr">
        <x:is>
          <x:t xml:space="preserve">Торцевое уплотнение</x:t>
        </x:is>
      </x:c>
      <x:c r="F937" s="31" t="n">
        <x:v>2</x:v>
      </x:c>
      <x:c r="G937" s="31" t="inlineStr">
        <x:is>
          <x:t xml:space="preserve">шт</x:t>
        </x:is>
      </x:c>
      <x:c r="H937" s="31" t="n"/>
      <x:c r="I937" s="31" t="n"/>
      <x:c r="J937" s="31" t="inlineStr">
        <x:is>
          <x:t xml:space="preserve">Основной склад</x:t>
        </x:is>
      </x:c>
      <x:c r="K937" s="31" t="inlineStr">
        <x:is>
          <x:t xml:space="preserve">СОТР-033</x:t>
        </x:is>
      </x:c>
      <x:c r="L937" s="31" t="inlineStr">
        <x:is>
          <x:t xml:space="preserve">ДОК-7374</x:t>
        </x:is>
      </x:c>
      <x:c r="M937" s="31" t="inlineStr">
        <x:is>
          <x:t xml:space="preserve">Проведен</x:t>
        </x:is>
      </x:c>
    </x:row>
    <x:row r="938">
      <x:c r="A938" s="31" t="inlineStr">
        <x:is>
          <x:t xml:space="preserve">СКЛ-000937</x:t>
        </x:is>
      </x:c>
      <x:c r="B938" s="31" t="n">
        <x:v>46093</x:v>
      </x:c>
      <x:c r="C938" s="31" t="inlineStr">
        <x:is>
          <x:t xml:space="preserve">Приход</x:t>
        </x:is>
      </x:c>
      <x:c r="D938" s="31" t="inlineStr">
        <x:is>
          <x:t xml:space="preserve">МАТ-0038</x:t>
        </x:is>
      </x:c>
      <x:c r="E938" s="31" t="inlineStr">
        <x:is>
          <x:t xml:space="preserve">ПЛК 24 дискр. входа / 16 дискр. выхода</x:t>
        </x:is>
      </x:c>
      <x:c r="F938" s="31" t="n">
        <x:v>19</x:v>
      </x:c>
      <x:c r="G938" s="31" t="inlineStr">
        <x:is>
          <x:t xml:space="preserve">шт</x:t>
        </x:is>
      </x:c>
      <x:c r="H938" s="31" t="n"/>
      <x:c r="I938" s="31" t="n"/>
      <x:c r="J938" s="31" t="inlineStr">
        <x:is>
          <x:t xml:space="preserve">Основной склад</x:t>
        </x:is>
      </x:c>
      <x:c r="K938" s="31" t="inlineStr">
        <x:is>
          <x:t xml:space="preserve">СОТР-036</x:t>
        </x:is>
      </x:c>
      <x:c r="L938" s="31" t="inlineStr">
        <x:is>
          <x:t xml:space="preserve">ДОК-6274</x:t>
        </x:is>
      </x:c>
      <x:c r="M938" s="31" t="inlineStr">
        <x:is>
          <x:t xml:space="preserve">Проведен</x:t>
        </x:is>
      </x:c>
    </x:row>
    <x:row r="939">
      <x:c r="A939" s="31" t="inlineStr">
        <x:is>
          <x:t xml:space="preserve">СКЛ-000938</x:t>
        </x:is>
      </x:c>
      <x:c r="B939" s="31" t="n">
        <x:v>46165</x:v>
      </x:c>
      <x:c r="C939" s="31" t="inlineStr">
        <x:is>
          <x:t xml:space="preserve">Выдача в производство</x:t>
        </x:is>
      </x:c>
      <x:c r="D939" s="31" t="inlineStr">
        <x:is>
          <x:t xml:space="preserve">МАТ-0054</x:t>
        </x:is>
      </x:c>
      <x:c r="E939" s="31" t="inlineStr">
        <x:is>
          <x:t xml:space="preserve">Кран шаровой Ду80</x:t>
        </x:is>
      </x:c>
      <x:c r="F939" s="31" t="n">
        <x:v>-5</x:v>
      </x:c>
      <x:c r="G939" s="31" t="inlineStr">
        <x:is>
          <x:t xml:space="preserve">шт</x:t>
        </x:is>
      </x:c>
      <x:c r="H939" s="31" t="inlineStr">
        <x:is>
          <x:t xml:space="preserve">ЗК-1111</x:t>
        </x:is>
      </x:c>
      <x:c r="I939" s="31" t="inlineStr">
        <x:is>
          <x:t xml:space="preserve">ПЗ-00232</x:t>
        </x:is>
      </x:c>
      <x:c r="J939" s="31" t="inlineStr">
        <x:is>
          <x:t xml:space="preserve">Основной склад</x:t>
        </x:is>
      </x:c>
      <x:c r="K939" s="31" t="inlineStr">
        <x:is>
          <x:t xml:space="preserve">СОТР-034</x:t>
        </x:is>
      </x:c>
      <x:c r="L939" s="31" t="inlineStr">
        <x:is>
          <x:t xml:space="preserve">ДОК-4899</x:t>
        </x:is>
      </x:c>
      <x:c r="M939" s="31" t="inlineStr">
        <x:is>
          <x:t xml:space="preserve">Проведен</x:t>
        </x:is>
      </x:c>
    </x:row>
    <x:row r="940">
      <x:c r="A940" s="31" t="inlineStr">
        <x:is>
          <x:t xml:space="preserve">СКЛ-000939</x:t>
        </x:is>
      </x:c>
      <x:c r="B940" s="31" t="n">
        <x:v>46042</x:v>
      </x:c>
      <x:c r="C940" s="31" t="inlineStr">
        <x:is>
          <x:t xml:space="preserve">Резерв</x:t>
        </x:is>
      </x:c>
      <x:c r="D940" s="31" t="inlineStr">
        <x:is>
          <x:t xml:space="preserve">МАТ-0050</x:t>
        </x:is>
      </x:c>
      <x:c r="E940" s="31" t="inlineStr">
        <x:is>
          <x:t xml:space="preserve">панель оператора 7"</x:t>
        </x:is>
      </x:c>
      <x:c r="F940" s="31" t="n">
        <x:v>-14</x:v>
      </x:c>
      <x:c r="G940" s="31" t="inlineStr">
        <x:is>
          <x:t xml:space="preserve">шт</x:t>
        </x:is>
      </x:c>
      <x:c r="H940" s="31" t="inlineStr">
        <x:is>
          <x:t xml:space="preserve">ЗК-1040</x:t>
        </x:is>
      </x:c>
      <x:c r="I940" s="31" t="n"/>
      <x:c r="J940" s="31" t="inlineStr">
        <x:is>
          <x:t xml:space="preserve">Брак/карантин</x:t>
        </x:is>
      </x:c>
      <x:c r="K940" s="31" t="inlineStr">
        <x:is>
          <x:t xml:space="preserve">СОТР-024</x:t>
        </x:is>
      </x:c>
      <x:c r="L940" s="31" t="inlineStr">
        <x:is>
          <x:t xml:space="preserve">ДОК-6981</x:t>
        </x:is>
      </x:c>
      <x:c r="M940" s="31" t="inlineStr">
        <x:is>
          <x:t xml:space="preserve">Проведен</x:t>
        </x:is>
      </x:c>
    </x:row>
    <x:row r="941">
      <x:c r="A941" s="31" t="inlineStr">
        <x:is>
          <x:t xml:space="preserve">СКЛ-000940</x:t>
        </x:is>
      </x:c>
      <x:c r="B941" s="31" t="n">
        <x:v>46094</x:v>
      </x:c>
      <x:c r="C941" s="31" t="inlineStr">
        <x:is>
          <x:t xml:space="preserve">Выдача в производство</x:t>
        </x:is>
      </x:c>
      <x:c r="D941" s="31" t="inlineStr">
        <x:is>
          <x:t xml:space="preserve">МАТ-0004</x:t>
        </x:is>
      </x:c>
      <x:c r="E941" s="31" t="inlineStr">
        <x:is>
          <x:t xml:space="preserve">Лист стальной 09Г2С 12 мм / исп.3</x:t>
        </x:is>
      </x:c>
      <x:c r="F941" s="31" t="n">
        <x:v>-2.07</x:v>
      </x:c>
      <x:c r="G941" s="31" t="inlineStr">
        <x:is>
          <x:t xml:space="preserve">л</x:t>
        </x:is>
      </x:c>
      <x:c r="H941" s="31" t="inlineStr">
        <x:is>
          <x:t xml:space="preserve">ЗК-1023</x:t>
        </x:is>
      </x:c>
      <x:c r="I941" s="31" t="inlineStr">
        <x:is>
          <x:t xml:space="preserve">ПЗ-00262</x:t>
        </x:is>
      </x:c>
      <x:c r="J941" s="31" t="inlineStr">
        <x:is>
          <x:t xml:space="preserve">Основной склад</x:t>
        </x:is>
      </x:c>
      <x:c r="K941" s="31" t="inlineStr">
        <x:is>
          <x:t xml:space="preserve">СОТР-037</x:t>
        </x:is>
      </x:c>
      <x:c r="L941" s="31" t="inlineStr">
        <x:is>
          <x:t xml:space="preserve">ДОК-4196</x:t>
        </x:is>
      </x:c>
      <x:c r="M941" s="31" t="inlineStr">
        <x:is>
          <x:t xml:space="preserve">Проведен</x:t>
        </x:is>
      </x:c>
    </x:row>
    <x:row r="942">
      <x:c r="A942" s="31" t="inlineStr">
        <x:is>
          <x:t xml:space="preserve">СКЛ-000941</x:t>
        </x:is>
      </x:c>
      <x:c r="B942" s="31" t="n">
        <x:v>46198</x:v>
      </x:c>
      <x:c r="C942" s="31" t="inlineStr">
        <x:is>
          <x:t xml:space="preserve">Выдача в производство</x:t>
        </x:is>
      </x:c>
      <x:c r="D942" s="31" t="inlineStr">
        <x:is>
          <x:t xml:space="preserve">МАТ-0020</x:t>
        </x:is>
      </x:c>
      <x:c r="E942" s="31" t="inlineStr">
        <x:is>
          <x:t xml:space="preserve">Насос дозировочный / исп.2</x:t>
        </x:is>
      </x:c>
      <x:c r="F942" s="31" t="n">
        <x:v>-6</x:v>
      </x:c>
      <x:c r="G942" s="31" t="inlineStr">
        <x:is>
          <x:t xml:space="preserve">шт</x:t>
        </x:is>
      </x:c>
      <x:c r="H942" s="31" t="inlineStr">
        <x:is>
          <x:t xml:space="preserve">ЗК-1082</x:t>
        </x:is>
      </x:c>
      <x:c r="I942" s="31" t="inlineStr">
        <x:is>
          <x:t xml:space="preserve">ПЗ-00246</x:t>
        </x:is>
      </x:c>
      <x:c r="J942" s="31" t="inlineStr">
        <x:is>
          <x:t xml:space="preserve">Цеховой склад</x:t>
        </x:is>
      </x:c>
      <x:c r="K942" s="31" t="inlineStr">
        <x:is>
          <x:t xml:space="preserve">СОТР-034</x:t>
        </x:is>
      </x:c>
      <x:c r="L942" s="31" t="inlineStr">
        <x:is>
          <x:t xml:space="preserve">ДОК-1837</x:t>
        </x:is>
      </x:c>
      <x:c r="M942" s="31" t="inlineStr">
        <x:is>
          <x:t xml:space="preserve">Черновик</x:t>
        </x:is>
      </x:c>
    </x:row>
    <x:row r="943">
      <x:c r="A943" s="31" t="inlineStr">
        <x:is>
          <x:t xml:space="preserve">СКЛ-000942</x:t>
        </x:is>
      </x:c>
      <x:c r="B943" s="31" t="n">
        <x:v>46046</x:v>
      </x:c>
      <x:c r="C943" s="31" t="inlineStr">
        <x:is>
          <x:t xml:space="preserve">Приход</x:t>
        </x:is>
      </x:c>
      <x:c r="D943" s="31" t="inlineStr">
        <x:is>
          <x:t xml:space="preserve">МАТ-0025</x:t>
        </x:is>
      </x:c>
      <x:c r="E943" s="31" t="inlineStr">
        <x:is>
          <x:t xml:space="preserve">Двигатель 7.5 кВт</x:t>
        </x:is>
      </x:c>
      <x:c r="F943" s="31" t="n">
        <x:v>3</x:v>
      </x:c>
      <x:c r="G943" s="31" t="inlineStr">
        <x:is>
          <x:t xml:space="preserve">шт</x:t>
        </x:is>
      </x:c>
      <x:c r="H943" s="31" t="n"/>
      <x:c r="I943" s="31" t="n"/>
      <x:c r="J943" s="31" t="inlineStr">
        <x:is>
          <x:t xml:space="preserve">Брак/карантин</x:t>
        </x:is>
      </x:c>
      <x:c r="K943" s="31" t="inlineStr">
        <x:is>
          <x:t xml:space="preserve">СОТР-033</x:t>
        </x:is>
      </x:c>
      <x:c r="L943" s="31" t="inlineStr">
        <x:is>
          <x:t xml:space="preserve">ДОК-7948</x:t>
        </x:is>
      </x:c>
      <x:c r="M943" s="31" t="inlineStr">
        <x:is>
          <x:t xml:space="preserve">Проведен</x:t>
        </x:is>
      </x:c>
    </x:row>
    <x:row r="944">
      <x:c r="A944" s="31" t="inlineStr">
        <x:is>
          <x:t xml:space="preserve">СКЛ-000943</x:t>
        </x:is>
      </x:c>
      <x:c r="B944" s="31" t="n">
        <x:v>46182</x:v>
      </x:c>
      <x:c r="C944" s="31" t="inlineStr">
        <x:is>
          <x:t xml:space="preserve">Списание</x:t>
        </x:is>
      </x:c>
      <x:c r="D944" s="31" t="inlineStr">
        <x:is>
          <x:t xml:space="preserve">МАТ-0022</x:t>
        </x:is>
      </x:c>
      <x:c r="E944" s="31" t="inlineStr">
        <x:is>
          <x:t xml:space="preserve">Торцевое уплотнение / исп.2</x:t>
        </x:is>
      </x:c>
      <x:c r="F944" s="31" t="n">
        <x:v>-7</x:v>
      </x:c>
      <x:c r="G944" s="31" t="inlineStr">
        <x:is>
          <x:t xml:space="preserve">шт</x:t>
        </x:is>
      </x:c>
      <x:c r="H944" s="31" t="n"/>
      <x:c r="I944" s="31" t="n"/>
      <x:c r="J944" s="31" t="inlineStr">
        <x:is>
          <x:t xml:space="preserve">Основной склад</x:t>
        </x:is>
      </x:c>
      <x:c r="K944" s="31" t="inlineStr">
        <x:is>
          <x:t xml:space="preserve">СОТР-038</x:t>
        </x:is>
      </x:c>
      <x:c r="L944" s="31" t="inlineStr">
        <x:is>
          <x:t xml:space="preserve">ДОК-3741</x:t>
        </x:is>
      </x:c>
      <x:c r="M944" s="31" t="inlineStr">
        <x:is>
          <x:t xml:space="preserve">Проведен</x:t>
        </x:is>
      </x:c>
    </x:row>
    <x:row r="945">
      <x:c r="A945" s="31" t="inlineStr">
        <x:is>
          <x:t xml:space="preserve">СКЛ-000944</x:t>
        </x:is>
      </x:c>
      <x:c r="B945" s="31" t="n">
        <x:v>46179</x:v>
      </x:c>
      <x:c r="C945" s="31" t="inlineStr">
        <x:is>
          <x:t xml:space="preserve">Приход</x:t>
        </x:is>
      </x:c>
      <x:c r="D945" s="31" t="inlineStr">
        <x:is>
          <x:t xml:space="preserve">МАТ-0035</x:t>
        </x:is>
      </x:c>
      <x:c r="E945" s="31" t="inlineStr">
        <x:is>
          <x:t xml:space="preserve">Клапан электромагнитный 24В</x:t>
        </x:is>
      </x:c>
      <x:c r="F945" s="31" t="n">
        <x:v>3</x:v>
      </x:c>
      <x:c r="G945" s="31" t="inlineStr">
        <x:is>
          <x:t xml:space="preserve">шт</x:t>
        </x:is>
      </x:c>
      <x:c r="H945" s="31" t="n"/>
      <x:c r="I945" s="31" t="n"/>
      <x:c r="J945" s="31" t="inlineStr">
        <x:is>
          <x:t xml:space="preserve">Брак/карантин</x:t>
        </x:is>
      </x:c>
      <x:c r="K945" s="31" t="inlineStr">
        <x:is>
          <x:t xml:space="preserve">СОТР-024</x:t>
        </x:is>
      </x:c>
      <x:c r="L945" s="31" t="inlineStr">
        <x:is>
          <x:t xml:space="preserve">ДОК-8296</x:t>
        </x:is>
      </x:c>
      <x:c r="M945" s="31" t="inlineStr">
        <x:is>
          <x:t xml:space="preserve">Проведен</x:t>
        </x:is>
      </x:c>
    </x:row>
    <x:row r="946">
      <x:c r="A946" s="31" t="inlineStr">
        <x:is>
          <x:t xml:space="preserve">СКЛ-000945</x:t>
        </x:is>
      </x:c>
      <x:c r="B946" s="31" t="n">
        <x:v>46065</x:v>
      </x:c>
      <x:c r="C946" s="31" t="inlineStr">
        <x:is>
          <x:t xml:space="preserve">Списание</x:t>
        </x:is>
      </x:c>
      <x:c r="D946" s="31" t="inlineStr">
        <x:is>
          <x:t xml:space="preserve">МАТ-0087</x:t>
        </x:is>
      </x:c>
      <x:c r="E946" s="31" t="inlineStr">
        <x:is>
          <x:t xml:space="preserve">Ящик фанерный</x:t>
        </x:is>
      </x:c>
      <x:c r="F946" s="31" t="n">
        <x:v>-15</x:v>
      </x:c>
      <x:c r="G946" s="31" t="inlineStr">
        <x:is>
          <x:t xml:space="preserve">шт</x:t>
        </x:is>
      </x:c>
      <x:c r="H946" s="31" t="n"/>
      <x:c r="I946" s="31" t="n"/>
      <x:c r="J946" s="31" t="inlineStr">
        <x:is>
          <x:t xml:space="preserve">Основной склад</x:t>
        </x:is>
      </x:c>
      <x:c r="K946" s="31" t="inlineStr">
        <x:is>
          <x:t xml:space="preserve">СОТР-034</x:t>
        </x:is>
      </x:c>
      <x:c r="L946" s="31" t="inlineStr">
        <x:is>
          <x:t xml:space="preserve">ДОК-6050</x:t>
        </x:is>
      </x:c>
      <x:c r="M946" s="31" t="inlineStr">
        <x:is>
          <x:t xml:space="preserve">Проведен</x:t>
        </x:is>
      </x:c>
    </x:row>
    <x:row r="947">
      <x:c r="A947" s="31" t="inlineStr">
        <x:is>
          <x:t xml:space="preserve">СКЛ-000946</x:t>
        </x:is>
      </x:c>
      <x:c r="B947" s="31" t="n">
        <x:v>46168</x:v>
      </x:c>
      <x:c r="C947" s="31" t="inlineStr">
        <x:is>
          <x:t xml:space="preserve">Выдача в производство</x:t>
        </x:is>
      </x:c>
      <x:c r="D947" s="31" t="inlineStr">
        <x:is>
          <x:t xml:space="preserve">МАТ-0020</x:t>
        </x:is>
      </x:c>
      <x:c r="E947" s="31" t="inlineStr">
        <x:is>
          <x:t xml:space="preserve">Насос дозировочный / исп.2</x:t>
        </x:is>
      </x:c>
      <x:c r="F947" s="31" t="n">
        <x:v>-11</x:v>
      </x:c>
      <x:c r="G947" s="31" t="inlineStr">
        <x:is>
          <x:t xml:space="preserve">шт</x:t>
        </x:is>
      </x:c>
      <x:c r="H947" s="31" t="inlineStr">
        <x:is>
          <x:t xml:space="preserve">ЗК-1084</x:t>
        </x:is>
      </x:c>
      <x:c r="I947" s="31" t="inlineStr">
        <x:is>
          <x:t xml:space="preserve">ПЗ-00111</x:t>
        </x:is>
      </x:c>
      <x:c r="J947" s="31" t="inlineStr">
        <x:is>
          <x:t xml:space="preserve">Цеховой склад</x:t>
        </x:is>
      </x:c>
      <x:c r="K947" s="31" t="inlineStr">
        <x:is>
          <x:t xml:space="preserve">СОТР-035</x:t>
        </x:is>
      </x:c>
      <x:c r="L947" s="31" t="inlineStr">
        <x:is>
          <x:t xml:space="preserve">ДОК-6019</x:t>
        </x:is>
      </x:c>
      <x:c r="M947" s="31" t="inlineStr">
        <x:is>
          <x:t xml:space="preserve">Проведен</x:t>
        </x:is>
      </x:c>
    </x:row>
    <x:row r="948">
      <x:c r="A948" s="31" t="inlineStr">
        <x:is>
          <x:t xml:space="preserve">СКЛ-000947</x:t>
        </x:is>
      </x:c>
      <x:c r="B948" s="31" t="n">
        <x:v>46194</x:v>
      </x:c>
      <x:c r="C948" s="31" t="inlineStr">
        <x:is>
          <x:t xml:space="preserve">Приход</x:t>
        </x:is>
      </x:c>
      <x:c r="D948" s="31" t="inlineStr">
        <x:is>
          <x:t xml:space="preserve">МАТ-0050</x:t>
        </x:is>
      </x:c>
      <x:c r="E948" s="31" t="inlineStr">
        <x:is>
          <x:t xml:space="preserve">панель оператора 7"</x:t>
        </x:is>
      </x:c>
      <x:c r="F948" s="31" t="n">
        <x:v>19</x:v>
      </x:c>
      <x:c r="G948" s="31" t="inlineStr">
        <x:is>
          <x:t xml:space="preserve">шт</x:t>
        </x:is>
      </x:c>
      <x:c r="H948" s="31" t="n"/>
      <x:c r="I948" s="31" t="n"/>
      <x:c r="J948" s="31" t="inlineStr">
        <x:is>
          <x:t xml:space="preserve">Цеховой склад</x:t>
        </x:is>
      </x:c>
      <x:c r="K948" s="31" t="inlineStr">
        <x:is>
          <x:t xml:space="preserve">СОТР-039</x:t>
        </x:is>
      </x:c>
      <x:c r="L948" s="31" t="inlineStr">
        <x:is>
          <x:t xml:space="preserve">ДОК-5412</x:t>
        </x:is>
      </x:c>
      <x:c r="M948" s="31" t="inlineStr">
        <x:is>
          <x:t xml:space="preserve">Проведен</x:t>
        </x:is>
      </x:c>
    </x:row>
    <x:row r="949">
      <x:c r="A949" s="31" t="inlineStr">
        <x:is>
          <x:t xml:space="preserve">СКЛ-000948</x:t>
        </x:is>
      </x:c>
      <x:c r="B949" s="31" t="n">
        <x:v>46092</x:v>
      </x:c>
      <x:c r="C949" s="31" t="inlineStr">
        <x:is>
          <x:t xml:space="preserve">Выдача в производство</x:t>
        </x:is>
      </x:c>
      <x:c r="D949" s="31" t="inlineStr">
        <x:is>
          <x:t xml:space="preserve">МАТ-0045</x:t>
        </x:is>
      </x:c>
      <x:c r="E949" s="31" t="inlineStr">
        <x:is>
          <x:t xml:space="preserve">Автоматический выключатель 16А</x:t>
        </x:is>
      </x:c>
      <x:c r="F949" s="31" t="n">
        <x:v>-8</x:v>
      </x:c>
      <x:c r="G949" s="31" t="inlineStr">
        <x:is>
          <x:t xml:space="preserve">шт</x:t>
        </x:is>
      </x:c>
      <x:c r="H949" s="31" t="inlineStr">
        <x:is>
          <x:t xml:space="preserve">ЗК-1012</x:t>
        </x:is>
      </x:c>
      <x:c r="I949" s="31" t="inlineStr">
        <x:is>
          <x:t xml:space="preserve">ПЗ-00073</x:t>
        </x:is>
      </x:c>
      <x:c r="J949" s="31" t="inlineStr">
        <x:is>
          <x:t xml:space="preserve">Основной склад</x:t>
        </x:is>
      </x:c>
      <x:c r="K949" s="31" t="inlineStr">
        <x:is>
          <x:t xml:space="preserve">СОТР-037</x:t>
        </x:is>
      </x:c>
      <x:c r="L949" s="31" t="inlineStr">
        <x:is>
          <x:t xml:space="preserve">ДОК-8463</x:t>
        </x:is>
      </x:c>
      <x:c r="M949" s="31" t="inlineStr">
        <x:is>
          <x:t xml:space="preserve">Проведен</x:t>
        </x:is>
      </x:c>
    </x:row>
    <x:row r="950">
      <x:c r="A950" s="31" t="inlineStr">
        <x:is>
          <x:t xml:space="preserve">СКЛ-000949</x:t>
        </x:is>
      </x:c>
      <x:c r="B950" s="31" t="n">
        <x:v>46098</x:v>
      </x:c>
      <x:c r="C950" s="31" t="inlineStr">
        <x:is>
          <x:t xml:space="preserve">Списание</x:t>
        </x:is>
      </x:c>
      <x:c r="D950" s="31" t="inlineStr">
        <x:is>
          <x:t xml:space="preserve">МАТ-0020</x:t>
        </x:is>
      </x:c>
      <x:c r="E950" s="31" t="inlineStr">
        <x:is>
          <x:t xml:space="preserve">Насос дозировочный / исп.2</x:t>
        </x:is>
      </x:c>
      <x:c r="F950" s="31" t="n">
        <x:v>-8</x:v>
      </x:c>
      <x:c r="G950" s="31" t="inlineStr">
        <x:is>
          <x:t xml:space="preserve">шт</x:t>
        </x:is>
      </x:c>
      <x:c r="H950" s="31" t="n"/>
      <x:c r="I950" s="31" t="n"/>
      <x:c r="J950" s="31" t="inlineStr">
        <x:is>
          <x:t xml:space="preserve">Основной склад</x:t>
        </x:is>
      </x:c>
      <x:c r="K950" s="31" t="inlineStr">
        <x:is>
          <x:t xml:space="preserve">СОТР-035</x:t>
        </x:is>
      </x:c>
      <x:c r="L950" s="31" t="inlineStr">
        <x:is>
          <x:t xml:space="preserve">ДОК-9448</x:t>
        </x:is>
      </x:c>
      <x:c r="M950" s="31" t="inlineStr">
        <x:is>
          <x:t xml:space="preserve">Проведен</x:t>
        </x:is>
      </x:c>
    </x:row>
    <x:row r="951">
      <x:c r="A951" s="31" t="inlineStr">
        <x:is>
          <x:t xml:space="preserve">СКЛ-000950</x:t>
        </x:is>
      </x:c>
      <x:c r="B951" s="31" t="n">
        <x:v>46184</x:v>
      </x:c>
      <x:c r="C951" s="31" t="inlineStr">
        <x:is>
          <x:t xml:space="preserve">Списание</x:t>
        </x:is>
      </x:c>
      <x:c r="D951" s="31" t="inlineStr">
        <x:is>
          <x:t xml:space="preserve">МАТ-0013</x:t>
        </x:is>
      </x:c>
      <x:c r="E951" s="31" t="inlineStr">
        <x:is>
          <x:t xml:space="preserve">Уголок 50×5</x:t>
        </x:is>
      </x:c>
      <x:c r="F951" s="31" t="n">
        <x:v>-7.45</x:v>
      </x:c>
      <x:c r="G951" s="31" t="inlineStr">
        <x:is>
          <x:t xml:space="preserve">кг</x:t>
        </x:is>
      </x:c>
      <x:c r="H951" s="31" t="n"/>
      <x:c r="I951" s="31" t="n"/>
      <x:c r="J951" s="31" t="inlineStr">
        <x:is>
          <x:t xml:space="preserve">Основной склад</x:t>
        </x:is>
      </x:c>
      <x:c r="K951" s="31" t="inlineStr">
        <x:is>
          <x:t xml:space="preserve">СОТР-037</x:t>
        </x:is>
      </x:c>
      <x:c r="L951" s="31" t="inlineStr">
        <x:is>
          <x:t xml:space="preserve">ДОК-8999</x:t>
        </x:is>
      </x:c>
      <x:c r="M951" s="31" t="inlineStr">
        <x:is>
          <x:t xml:space="preserve">Проведен</x:t>
        </x:is>
      </x:c>
    </x:row>
    <x:row r="952">
      <x:c r="A952" s="31" t="inlineStr">
        <x:is>
          <x:t xml:space="preserve">СКЛ-000951</x:t>
        </x:is>
      </x:c>
      <x:c r="B952" s="31" t="n">
        <x:v>46180</x:v>
      </x:c>
      <x:c r="C952" s="31" t="inlineStr">
        <x:is>
          <x:t xml:space="preserve">Выдача в производство</x:t>
        </x:is>
      </x:c>
      <x:c r="D952" s="31" t="inlineStr">
        <x:is>
          <x:t xml:space="preserve">МАТ-0003</x:t>
        </x:is>
      </x:c>
      <x:c r="E952" s="31" t="inlineStr">
        <x:is>
          <x:t xml:space="preserve">Лист стальной 09Г2С 12 мм / исп.2</x:t>
        </x:is>
      </x:c>
      <x:c r="F952" s="31" t="n">
        <x:v>-7.82</x:v>
      </x:c>
      <x:c r="G952" s="31" t="inlineStr">
        <x:is>
          <x:t xml:space="preserve">м</x:t>
        </x:is>
      </x:c>
      <x:c r="H952" s="31" t="inlineStr">
        <x:is>
          <x:t xml:space="preserve">ЗК-1035</x:t>
        </x:is>
      </x:c>
      <x:c r="I952" s="31" t="inlineStr">
        <x:is>
          <x:t xml:space="preserve">ПЗ-00210</x:t>
        </x:is>
      </x:c>
      <x:c r="J952" s="31" t="inlineStr">
        <x:is>
          <x:t xml:space="preserve">Основной склад</x:t>
        </x:is>
      </x:c>
      <x:c r="K952" s="31" t="inlineStr">
        <x:is>
          <x:t xml:space="preserve">СОТР-024</x:t>
        </x:is>
      </x:c>
      <x:c r="L952" s="31" t="inlineStr">
        <x:is>
          <x:t xml:space="preserve">ДОК-5876</x:t>
        </x:is>
      </x:c>
      <x:c r="M952" s="31" t="inlineStr">
        <x:is>
          <x:t xml:space="preserve">Проведен</x:t>
        </x:is>
      </x:c>
    </x:row>
    <x:row r="953">
      <x:c r="A953" s="31" t="inlineStr">
        <x:is>
          <x:t xml:space="preserve">СКЛ-000952</x:t>
        </x:is>
      </x:c>
      <x:c r="B953" s="31" t="n">
        <x:v>46078</x:v>
      </x:c>
      <x:c r="C953" s="31" t="inlineStr">
        <x:is>
          <x:t xml:space="preserve">Выдача в производство</x:t>
        </x:is>
      </x:c>
      <x:c r="D953" s="31" t="inlineStr">
        <x:is>
          <x:t xml:space="preserve">МАТ-0060</x:t>
        </x:is>
      </x:c>
      <x:c r="E953" s="31" t="inlineStr">
        <x:is>
          <x:t xml:space="preserve">Фильтр сетчатый Ду50 / исп.2</x:t>
        </x:is>
      </x:c>
      <x:c r="F953" s="31" t="n">
        <x:v>-2</x:v>
      </x:c>
      <x:c r="G953" s="31" t="inlineStr">
        <x:is>
          <x:t xml:space="preserve">шт</x:t>
        </x:is>
      </x:c>
      <x:c r="H953" s="31" t="inlineStr">
        <x:is>
          <x:t xml:space="preserve">ЗК-1125</x:t>
        </x:is>
      </x:c>
      <x:c r="I953" s="31" t="inlineStr">
        <x:is>
          <x:t xml:space="preserve">ПЗ-00081</x:t>
        </x:is>
      </x:c>
      <x:c r="J953" s="31" t="inlineStr">
        <x:is>
          <x:t xml:space="preserve">Основной склад</x:t>
        </x:is>
      </x:c>
      <x:c r="K953" s="31" t="inlineStr">
        <x:is>
          <x:t xml:space="preserve">СОТР-033</x:t>
        </x:is>
      </x:c>
      <x:c r="L953" s="31" t="inlineStr">
        <x:is>
          <x:t xml:space="preserve">ДОК-5502</x:t>
        </x:is>
      </x:c>
      <x:c r="M953" s="31" t="inlineStr">
        <x:is>
          <x:t xml:space="preserve">Проведен</x:t>
        </x:is>
      </x:c>
    </x:row>
    <x:row r="954">
      <x:c r="A954" s="31" t="inlineStr">
        <x:is>
          <x:t xml:space="preserve">СКЛ-000953</x:t>
        </x:is>
      </x:c>
      <x:c r="B954" s="31" t="n">
        <x:v>46049</x:v>
      </x:c>
      <x:c r="C954" s="31" t="inlineStr">
        <x:is>
          <x:t xml:space="preserve">Списание</x:t>
        </x:is>
      </x:c>
      <x:c r="D954" s="31" t="inlineStr">
        <x:is>
          <x:t xml:space="preserve">МАТ-0034</x:t>
        </x:is>
      </x:c>
      <x:c r="E954" s="31" t="inlineStr">
        <x:is>
          <x:t xml:space="preserve">Манометр виброустойчивый</x:t>
        </x:is>
      </x:c>
      <x:c r="F954" s="31" t="n">
        <x:v>-3</x:v>
      </x:c>
      <x:c r="G954" s="31" t="inlineStr">
        <x:is>
          <x:t xml:space="preserve">шт</x:t>
        </x:is>
      </x:c>
      <x:c r="H954" s="31" t="n"/>
      <x:c r="I954" s="31" t="n"/>
      <x:c r="J954" s="31" t="inlineStr">
        <x:is>
          <x:t xml:space="preserve">Основной склад</x:t>
        </x:is>
      </x:c>
      <x:c r="K954" s="31" t="inlineStr">
        <x:is>
          <x:t xml:space="preserve">СОТР-033</x:t>
        </x:is>
      </x:c>
      <x:c r="L954" s="31" t="inlineStr">
        <x:is>
          <x:t xml:space="preserve">ДОК-8753</x:t>
        </x:is>
      </x:c>
      <x:c r="M954" s="31" t="inlineStr">
        <x:is>
          <x:t xml:space="preserve">Проведен</x:t>
        </x:is>
      </x:c>
    </x:row>
    <x:row r="955">
      <x:c r="A955" s="31" t="inlineStr">
        <x:is>
          <x:t xml:space="preserve">СКЛ-000954</x:t>
        </x:is>
      </x:c>
      <x:c r="B955" s="31" t="n">
        <x:v>46154</x:v>
      </x:c>
      <x:c r="C955" s="31" t="inlineStr">
        <x:is>
          <x:t xml:space="preserve">Резерв</x:t>
        </x:is>
      </x:c>
      <x:c r="D955" s="31" t="inlineStr">
        <x:is>
          <x:t xml:space="preserve">МАТ-0066</x:t>
        </x:is>
      </x:c>
      <x:c r="E955" s="31" t="inlineStr">
        <x:is>
          <x:t xml:space="preserve">Гофра металлическая / исп.2</x:t>
        </x:is>
      </x:c>
      <x:c r="F955" s="31" t="n">
        <x:v>-24.77</x:v>
      </x:c>
      <x:c r="G955" s="31" t="inlineStr">
        <x:is>
          <x:t xml:space="preserve">кг</x:t>
        </x:is>
      </x:c>
      <x:c r="H955" s="31" t="inlineStr">
        <x:is>
          <x:t xml:space="preserve">ЗК-1103</x:t>
        </x:is>
      </x:c>
      <x:c r="I955" s="31" t="n"/>
      <x:c r="J955" s="31" t="inlineStr">
        <x:is>
          <x:t xml:space="preserve">Основной склад</x:t>
        </x:is>
      </x:c>
      <x:c r="K955" s="31" t="inlineStr">
        <x:is>
          <x:t xml:space="preserve">СОТР-036</x:t>
        </x:is>
      </x:c>
      <x:c r="L955" s="31" t="inlineStr">
        <x:is>
          <x:t xml:space="preserve">ДОК-1703</x:t>
        </x:is>
      </x:c>
      <x:c r="M955" s="31" t="inlineStr">
        <x:is>
          <x:t xml:space="preserve">Проведен</x:t>
        </x:is>
      </x:c>
    </x:row>
    <x:row r="956">
      <x:c r="A956" s="31" t="inlineStr">
        <x:is>
          <x:t xml:space="preserve">СКЛ-000955</x:t>
        </x:is>
      </x:c>
      <x:c r="B956" s="31" t="n">
        <x:v>46078</x:v>
      </x:c>
      <x:c r="C956" s="31" t="inlineStr">
        <x:is>
          <x:t xml:space="preserve">Возврат</x:t>
        </x:is>
      </x:c>
      <x:c r="D956" s="31" t="inlineStr">
        <x:is>
          <x:t xml:space="preserve">МАТ-0074</x:t>
        </x:is>
      </x:c>
      <x:c r="E956" s="31" t="inlineStr">
        <x:is>
          <x:t xml:space="preserve">Абразив для пескоструя</x:t>
        </x:is>
      </x:c>
      <x:c r="F956" s="31" t="n">
        <x:v>14</x:v>
      </x:c>
      <x:c r="G956" s="31" t="inlineStr">
        <x:is>
          <x:t xml:space="preserve">шт</x:t>
        </x:is>
      </x:c>
      <x:c r="H956" s="31" t="n"/>
      <x:c r="I956" s="31" t="n"/>
      <x:c r="J956" s="31" t="inlineStr">
        <x:is>
          <x:t xml:space="preserve">Основной склад</x:t>
        </x:is>
      </x:c>
      <x:c r="K956" s="31" t="inlineStr">
        <x:is>
          <x:t xml:space="preserve">СОТР-038</x:t>
        </x:is>
      </x:c>
      <x:c r="L956" s="31" t="inlineStr">
        <x:is>
          <x:t xml:space="preserve">ДОК-6678</x:t>
        </x:is>
      </x:c>
      <x:c r="M956" s="31" t="inlineStr">
        <x:is>
          <x:t xml:space="preserve">Проведен</x:t>
        </x:is>
      </x:c>
    </x:row>
    <x:row r="957">
      <x:c r="A957" s="31" t="inlineStr">
        <x:is>
          <x:t xml:space="preserve">СКЛ-000956</x:t>
        </x:is>
      </x:c>
      <x:c r="B957" s="31" t="n">
        <x:v>46078</x:v>
      </x:c>
      <x:c r="C957" s="31" t="inlineStr">
        <x:is>
          <x:t xml:space="preserve">Корректировка</x:t>
        </x:is>
      </x:c>
      <x:c r="D957" s="31" t="inlineStr">
        <x:is>
          <x:t xml:space="preserve">МАТ-0003</x:t>
        </x:is>
      </x:c>
      <x:c r="E957" s="31" t="inlineStr">
        <x:is>
          <x:t xml:space="preserve">Лист стальной 09Г2С 12 мм / исп.2</x:t>
        </x:is>
      </x:c>
      <x:c r="F957" s="31" t="n">
        <x:v>39.97</x:v>
      </x:c>
      <x:c r="G957" s="31" t="inlineStr">
        <x:is>
          <x:t xml:space="preserve">м</x:t>
        </x:is>
      </x:c>
      <x:c r="H957" s="31" t="n"/>
      <x:c r="I957" s="31" t="n"/>
      <x:c r="J957" s="31" t="inlineStr">
        <x:is>
          <x:t xml:space="preserve">Брак/карантин</x:t>
        </x:is>
      </x:c>
      <x:c r="K957" s="31" t="inlineStr">
        <x:is>
          <x:t xml:space="preserve">СОТР-024</x:t>
        </x:is>
      </x:c>
      <x:c r="L957" s="31" t="inlineStr">
        <x:is>
          <x:t xml:space="preserve">ДОК-1368</x:t>
        </x:is>
      </x:c>
      <x:c r="M957" s="31" t="inlineStr">
        <x:is>
          <x:t xml:space="preserve">Проведен</x:t>
        </x:is>
      </x:c>
    </x:row>
    <x:row r="958">
      <x:c r="A958" s="31" t="inlineStr">
        <x:is>
          <x:t xml:space="preserve">СКЛ-000957</x:t>
        </x:is>
      </x:c>
      <x:c r="B958" s="31" t="n">
        <x:v>46104</x:v>
      </x:c>
      <x:c r="C958" s="31" t="inlineStr">
        <x:is>
          <x:t xml:space="preserve">Приход</x:t>
        </x:is>
      </x:c>
      <x:c r="D958" s="31" t="inlineStr">
        <x:is>
          <x:t xml:space="preserve">МАТ-0003</x:t>
        </x:is>
      </x:c>
      <x:c r="E958" s="31" t="inlineStr">
        <x:is>
          <x:t xml:space="preserve">Лист стальной 09Г2С 12 мм / исп.2</x:t>
        </x:is>
      </x:c>
      <x:c r="F958" s="31" t="n">
        <x:v>72.37</x:v>
      </x:c>
      <x:c r="G958" s="31" t="inlineStr">
        <x:is>
          <x:t xml:space="preserve">м</x:t>
        </x:is>
      </x:c>
      <x:c r="H958" s="31" t="n"/>
      <x:c r="I958" s="31" t="n"/>
      <x:c r="J958" s="31" t="inlineStr">
        <x:is>
          <x:t xml:space="preserve">Цеховой склад</x:t>
        </x:is>
      </x:c>
      <x:c r="K958" s="31" t="inlineStr">
        <x:is>
          <x:t xml:space="preserve">СОТР-037</x:t>
        </x:is>
      </x:c>
      <x:c r="L958" s="31" t="inlineStr">
        <x:is>
          <x:t xml:space="preserve">ДОК-8313</x:t>
        </x:is>
      </x:c>
      <x:c r="M958" s="31" t="inlineStr">
        <x:is>
          <x:t xml:space="preserve">Проведен</x:t>
        </x:is>
      </x:c>
    </x:row>
    <x:row r="959">
      <x:c r="A959" s="31" t="inlineStr">
        <x:is>
          <x:t xml:space="preserve">СКЛ-000958</x:t>
        </x:is>
      </x:c>
      <x:c r="B959" s="31" t="n">
        <x:v>46119</x:v>
      </x:c>
      <x:c r="C959" s="31" t="inlineStr">
        <x:is>
          <x:t xml:space="preserve">Выдача в производство</x:t>
        </x:is>
      </x:c>
      <x:c r="D959" s="31" t="inlineStr">
        <x:is>
          <x:t xml:space="preserve">МАТ-0019</x:t>
        </x:is>
      </x:c>
      <x:c r="E959" s="31" t="inlineStr">
        <x:is>
          <x:t xml:space="preserve">Насос дозировочный</x:t>
        </x:is>
      </x:c>
      <x:c r="F959" s="31" t="n">
        <x:v>-11</x:v>
      </x:c>
      <x:c r="G959" s="31" t="inlineStr">
        <x:is>
          <x:t xml:space="preserve">шт</x:t>
        </x:is>
      </x:c>
      <x:c r="H959" s="31" t="inlineStr">
        <x:is>
          <x:t xml:space="preserve">ЗК-1123</x:t>
        </x:is>
      </x:c>
      <x:c r="I959" s="31" t="inlineStr">
        <x:is>
          <x:t xml:space="preserve">ПЗ-00066</x:t>
        </x:is>
      </x:c>
      <x:c r="J959" s="31" t="inlineStr">
        <x:is>
          <x:t xml:space="preserve">Брак/карантин</x:t>
        </x:is>
      </x:c>
      <x:c r="K959" s="31" t="inlineStr">
        <x:is>
          <x:t xml:space="preserve">СОТР-037</x:t>
        </x:is>
      </x:c>
      <x:c r="L959" s="31" t="inlineStr">
        <x:is>
          <x:t xml:space="preserve">ДОК-7908</x:t>
        </x:is>
      </x:c>
      <x:c r="M959" s="31" t="inlineStr">
        <x:is>
          <x:t xml:space="preserve">Проведен</x:t>
        </x:is>
      </x:c>
    </x:row>
    <x:row r="960">
      <x:c r="A960" s="31" t="inlineStr">
        <x:is>
          <x:t xml:space="preserve">СКЛ-000959</x:t>
        </x:is>
      </x:c>
      <x:c r="B960" s="31" t="n">
        <x:v>46057</x:v>
      </x:c>
      <x:c r="C960" s="31" t="inlineStr">
        <x:is>
          <x:t xml:space="preserve">Выдача в производство</x:t>
        </x:is>
      </x:c>
      <x:c r="D960" s="31" t="inlineStr">
        <x:is>
          <x:t xml:space="preserve">МАТ-0089</x:t>
        </x:is>
      </x:c>
      <x:c r="E960" s="31" t="inlineStr">
        <x:is>
          <x:t xml:space="preserve">Маркировочная этикетка</x:t>
        </x:is>
      </x:c>
      <x:c r="F960" s="31" t="n">
        <x:v>-1</x:v>
      </x:c>
      <x:c r="G960" s="31" t="inlineStr">
        <x:is>
          <x:t xml:space="preserve">шт</x:t>
        </x:is>
      </x:c>
      <x:c r="H960" s="31" t="inlineStr">
        <x:is>
          <x:t xml:space="preserve">ЗК-1089</x:t>
        </x:is>
      </x:c>
      <x:c r="I960" s="31" t="inlineStr">
        <x:is>
          <x:t xml:space="preserve">ПЗ-00007</x:t>
        </x:is>
      </x:c>
      <x:c r="J960" s="31" t="inlineStr">
        <x:is>
          <x:t xml:space="preserve">Основной склад</x:t>
        </x:is>
      </x:c>
      <x:c r="K960" s="31" t="inlineStr">
        <x:is>
          <x:t xml:space="preserve">СОТР-033</x:t>
        </x:is>
      </x:c>
      <x:c r="L960" s="31" t="inlineStr">
        <x:is>
          <x:t xml:space="preserve">ДОК-3092</x:t>
        </x:is>
      </x:c>
      <x:c r="M960" s="31" t="inlineStr">
        <x:is>
          <x:t xml:space="preserve">Проведен</x:t>
        </x:is>
      </x:c>
    </x:row>
    <x:row r="961">
      <x:c r="A961" s="31" t="inlineStr">
        <x:is>
          <x:t xml:space="preserve">СКЛ-000960</x:t>
        </x:is>
      </x:c>
      <x:c r="B961" s="31" t="n">
        <x:v>46078</x:v>
      </x:c>
      <x:c r="C961" s="31" t="inlineStr">
        <x:is>
          <x:t xml:space="preserve">Возврат</x:t>
        </x:is>
      </x:c>
      <x:c r="D961" s="31" t="inlineStr">
        <x:is>
          <x:t xml:space="preserve">МАТ-0049</x:t>
        </x:is>
      </x:c>
      <x:c r="E961" s="31" t="inlineStr">
        <x:is>
          <x:t xml:space="preserve">Рейковая клемма</x:t>
        </x:is>
      </x:c>
      <x:c r="F961" s="31" t="n">
        <x:v>9</x:v>
      </x:c>
      <x:c r="G961" s="31" t="inlineStr">
        <x:is>
          <x:t xml:space="preserve">шт</x:t>
        </x:is>
      </x:c>
      <x:c r="H961" s="31" t="n"/>
      <x:c r="I961" s="31" t="n"/>
      <x:c r="J961" s="31" t="inlineStr">
        <x:is>
          <x:t xml:space="preserve">Основной склад</x:t>
        </x:is>
      </x:c>
      <x:c r="K961" s="31" t="inlineStr">
        <x:is>
          <x:t xml:space="preserve">СОТР-036</x:t>
        </x:is>
      </x:c>
      <x:c r="L961" s="31" t="inlineStr">
        <x:is>
          <x:t xml:space="preserve">ДОК-8921</x:t>
        </x:is>
      </x:c>
      <x:c r="M961" s="31" t="inlineStr">
        <x:is>
          <x:t xml:space="preserve">Проведен</x:t>
        </x:is>
      </x:c>
    </x:row>
    <x:row r="962">
      <x:c r="A962" s="31" t="inlineStr">
        <x:is>
          <x:t xml:space="preserve">СКЛ-000961</x:t>
        </x:is>
      </x:c>
      <x:c r="B962" s="31" t="n">
        <x:v>46060</x:v>
      </x:c>
      <x:c r="C962" s="31" t="inlineStr">
        <x:is>
          <x:t xml:space="preserve">Приход</x:t>
        </x:is>
      </x:c>
      <x:c r="D962" s="31" t="inlineStr">
        <x:is>
          <x:t xml:space="preserve">МАТ-0001</x:t>
        </x:is>
      </x:c>
      <x:c r="E962" s="31" t="inlineStr">
        <x:is>
          <x:t xml:space="preserve">Лист стальной 09Г2С 8 мм</x:t>
        </x:is>
      </x:c>
      <x:c r="F962" s="31" t="n">
        <x:v>72.98999999999999</x:v>
      </x:c>
      <x:c r="G962" s="31" t="inlineStr">
        <x:is>
          <x:t xml:space="preserve">м</x:t>
        </x:is>
      </x:c>
      <x:c r="H962" s="31" t="n"/>
      <x:c r="I962" s="31" t="n"/>
      <x:c r="J962" s="31" t="inlineStr">
        <x:is>
          <x:t xml:space="preserve">Основной склад</x:t>
        </x:is>
      </x:c>
      <x:c r="K962" s="31" t="inlineStr">
        <x:is>
          <x:t xml:space="preserve">СОТР-024</x:t>
        </x:is>
      </x:c>
      <x:c r="L962" s="31" t="inlineStr">
        <x:is>
          <x:t xml:space="preserve">ДОК-7441</x:t>
        </x:is>
      </x:c>
      <x:c r="M962" s="31" t="inlineStr">
        <x:is>
          <x:t xml:space="preserve">Черновик</x:t>
        </x:is>
      </x:c>
    </x:row>
    <x:row r="963">
      <x:c r="A963" s="31" t="inlineStr">
        <x:is>
          <x:t xml:space="preserve">СКЛ-000962</x:t>
        </x:is>
      </x:c>
      <x:c r="B963" s="31" t="n">
        <x:v>46099</x:v>
      </x:c>
      <x:c r="C963" s="31" t="inlineStr">
        <x:is>
          <x:t xml:space="preserve">Списание</x:t>
        </x:is>
      </x:c>
      <x:c r="D963" s="31" t="inlineStr">
        <x:is>
          <x:t xml:space="preserve">МАТ-0058</x:t>
        </x:is>
      </x:c>
      <x:c r="E963" s="31" t="inlineStr">
        <x:is>
          <x:t xml:space="preserve">Задвижка Ду100 / исп.3</x:t>
        </x:is>
      </x:c>
      <x:c r="F963" s="31" t="n">
        <x:v>-10</x:v>
      </x:c>
      <x:c r="G963" s="31" t="inlineStr">
        <x:is>
          <x:t xml:space="preserve">шт</x:t>
        </x:is>
      </x:c>
      <x:c r="H963" s="31" t="n"/>
      <x:c r="I963" s="31" t="n"/>
      <x:c r="J963" s="31" t="inlineStr">
        <x:is>
          <x:t xml:space="preserve">Цеховой склад</x:t>
        </x:is>
      </x:c>
      <x:c r="K963" s="31" t="inlineStr">
        <x:is>
          <x:t xml:space="preserve">СОТР-024</x:t>
        </x:is>
      </x:c>
      <x:c r="L963" s="31" t="inlineStr">
        <x:is>
          <x:t xml:space="preserve">ДОК-6890</x:t>
        </x:is>
      </x:c>
      <x:c r="M963" s="31" t="inlineStr">
        <x:is>
          <x:t xml:space="preserve">Проведен</x:t>
        </x:is>
      </x:c>
    </x:row>
    <x:row r="964">
      <x:c r="A964" s="31" t="inlineStr">
        <x:is>
          <x:t xml:space="preserve">СКЛ-000963</x:t>
        </x:is>
      </x:c>
      <x:c r="B964" s="31" t="n">
        <x:v>46153</x:v>
      </x:c>
      <x:c r="C964" s="31" t="inlineStr">
        <x:is>
          <x:t xml:space="preserve">Выдача в производство</x:t>
        </x:is>
      </x:c>
      <x:c r="D964" s="31" t="inlineStr">
        <x:is>
          <x:t xml:space="preserve">МАТ-0061</x:t>
        </x:is>
      </x:c>
      <x:c r="E964" s="31" t="inlineStr">
        <x:is>
          <x:t xml:space="preserve">Фильтр сетчатый Ду50 / исп.3</x:t>
        </x:is>
      </x:c>
      <x:c r="F964" s="31" t="n">
        <x:v>-18</x:v>
      </x:c>
      <x:c r="G964" s="31" t="inlineStr">
        <x:is>
          <x:t xml:space="preserve">шт</x:t>
        </x:is>
      </x:c>
      <x:c r="H964" s="31" t="inlineStr">
        <x:is>
          <x:t xml:space="preserve">ЗК-1037</x:t>
        </x:is>
      </x:c>
      <x:c r="I964" s="31" t="inlineStr">
        <x:is>
          <x:t xml:space="preserve">ПЗ-00148</x:t>
        </x:is>
      </x:c>
      <x:c r="J964" s="31" t="inlineStr">
        <x:is>
          <x:t xml:space="preserve">Основной склад</x:t>
        </x:is>
      </x:c>
      <x:c r="K964" s="31" t="inlineStr">
        <x:is>
          <x:t xml:space="preserve">СОТР-039</x:t>
        </x:is>
      </x:c>
      <x:c r="L964" s="31" t="inlineStr">
        <x:is>
          <x:t xml:space="preserve">ДОК-7329</x:t>
        </x:is>
      </x:c>
      <x:c r="M964" s="31" t="inlineStr">
        <x:is>
          <x:t xml:space="preserve">Проведен</x:t>
        </x:is>
      </x:c>
    </x:row>
    <x:row r="965">
      <x:c r="A965" s="31" t="inlineStr">
        <x:is>
          <x:t xml:space="preserve">СКЛ-000964</x:t>
        </x:is>
      </x:c>
      <x:c r="B965" s="31" t="n">
        <x:v>46116</x:v>
      </x:c>
      <x:c r="C965" s="31" t="inlineStr">
        <x:is>
          <x:t xml:space="preserve">Списание</x:t>
        </x:is>
      </x:c>
      <x:c r="D965" s="31" t="inlineStr">
        <x:is>
          <x:t xml:space="preserve">МАТ-0007</x:t>
        </x:is>
      </x:c>
      <x:c r="E965" s="31" t="inlineStr">
        <x:is>
          <x:t xml:space="preserve">Труба нержавеющая 38×3 / исп.2</x:t>
        </x:is>
      </x:c>
      <x:c r="F965" s="31" t="n">
        <x:v>-42.98</x:v>
      </x:c>
      <x:c r="G965" s="31" t="inlineStr">
        <x:is>
          <x:t xml:space="preserve">л</x:t>
        </x:is>
      </x:c>
      <x:c r="H965" s="31" t="n"/>
      <x:c r="I965" s="31" t="n"/>
      <x:c r="J965" s="31" t="inlineStr">
        <x:is>
          <x:t xml:space="preserve">Основной склад</x:t>
        </x:is>
      </x:c>
      <x:c r="K965" s="31" t="inlineStr">
        <x:is>
          <x:t xml:space="preserve">СОТР-024</x:t>
        </x:is>
      </x:c>
      <x:c r="L965" s="31" t="inlineStr">
        <x:is>
          <x:t xml:space="preserve">ДОК-2548</x:t>
        </x:is>
      </x:c>
      <x:c r="M965" s="31" t="inlineStr">
        <x:is>
          <x:t xml:space="preserve">Проведен</x:t>
        </x:is>
      </x:c>
    </x:row>
    <x:row r="966">
      <x:c r="A966" s="31" t="inlineStr">
        <x:is>
          <x:t xml:space="preserve">СКЛ-000965</x:t>
        </x:is>
      </x:c>
      <x:c r="B966" s="31" t="n">
        <x:v>46094</x:v>
      </x:c>
      <x:c r="C966" s="31" t="inlineStr">
        <x:is>
          <x:t xml:space="preserve">Приход</x:t>
        </x:is>
      </x:c>
      <x:c r="D966" s="31" t="inlineStr">
        <x:is>
          <x:t xml:space="preserve">МАТ-0087</x:t>
        </x:is>
      </x:c>
      <x:c r="E966" s="31" t="inlineStr">
        <x:is>
          <x:t xml:space="preserve">Ящик фанерный</x:t>
        </x:is>
      </x:c>
      <x:c r="F966" s="31" t="n">
        <x:v>14</x:v>
      </x:c>
      <x:c r="G966" s="31" t="inlineStr">
        <x:is>
          <x:t xml:space="preserve">шт</x:t>
        </x:is>
      </x:c>
      <x:c r="H966" s="31" t="n"/>
      <x:c r="I966" s="31" t="n"/>
      <x:c r="J966" s="31" t="inlineStr">
        <x:is>
          <x:t xml:space="preserve">Основной склад</x:t>
        </x:is>
      </x:c>
      <x:c r="K966" s="31" t="inlineStr">
        <x:is>
          <x:t xml:space="preserve">СОТР-039</x:t>
        </x:is>
      </x:c>
      <x:c r="L966" s="31" t="inlineStr">
        <x:is>
          <x:t xml:space="preserve">ДОК-6036</x:t>
        </x:is>
      </x:c>
      <x:c r="M966" s="31" t="inlineStr">
        <x:is>
          <x:t xml:space="preserve">Проведен</x:t>
        </x:is>
      </x:c>
    </x:row>
    <x:row r="967">
      <x:c r="A967" s="31" t="inlineStr">
        <x:is>
          <x:t xml:space="preserve">СКЛ-000966</x:t>
        </x:is>
      </x:c>
      <x:c r="B967" s="31" t="n">
        <x:v>46098</x:v>
      </x:c>
      <x:c r="C967" s="31" t="inlineStr">
        <x:is>
          <x:t xml:space="preserve">Приход</x:t>
        </x:is>
      </x:c>
      <x:c r="D967" s="31" t="inlineStr">
        <x:is>
          <x:t xml:space="preserve">МАТ-0087</x:t>
        </x:is>
      </x:c>
      <x:c r="E967" s="31" t="inlineStr">
        <x:is>
          <x:t xml:space="preserve">Ящик фанерный</x:t>
        </x:is>
      </x:c>
      <x:c r="F967" s="31" t="n">
        <x:v>1</x:v>
      </x:c>
      <x:c r="G967" s="31" t="inlineStr">
        <x:is>
          <x:t xml:space="preserve">шт</x:t>
        </x:is>
      </x:c>
      <x:c r="H967" s="31" t="n"/>
      <x:c r="I967" s="31" t="n"/>
      <x:c r="J967" s="31" t="inlineStr">
        <x:is>
          <x:t xml:space="preserve">Цеховой склад</x:t>
        </x:is>
      </x:c>
      <x:c r="K967" s="31" t="inlineStr">
        <x:is>
          <x:t xml:space="preserve">СОТР-034</x:t>
        </x:is>
      </x:c>
      <x:c r="L967" s="31" t="inlineStr">
        <x:is>
          <x:t xml:space="preserve">ДОК-1746</x:t>
        </x:is>
      </x:c>
      <x:c r="M967" s="31" t="inlineStr">
        <x:is>
          <x:t xml:space="preserve">Проведен</x:t>
        </x:is>
      </x:c>
    </x:row>
    <x:row r="968">
      <x:c r="A968" s="31" t="inlineStr">
        <x:is>
          <x:t xml:space="preserve">СКЛ-000967</x:t>
        </x:is>
      </x:c>
      <x:c r="B968" s="31" t="n">
        <x:v>46175</x:v>
      </x:c>
      <x:c r="C968" s="31" t="inlineStr">
        <x:is>
          <x:t xml:space="preserve">Приход</x:t>
        </x:is>
      </x:c>
      <x:c r="D968" s="31" t="inlineStr">
        <x:is>
          <x:t xml:space="preserve">МАТ-0021</x:t>
        </x:is>
      </x:c>
      <x:c r="E968" s="31" t="inlineStr">
        <x:is>
          <x:t xml:space="preserve">Торцевое уплотнение</x:t>
        </x:is>
      </x:c>
      <x:c r="F968" s="31" t="n">
        <x:v>11</x:v>
      </x:c>
      <x:c r="G968" s="31" t="inlineStr">
        <x:is>
          <x:t xml:space="preserve">шт</x:t>
        </x:is>
      </x:c>
      <x:c r="H968" s="31" t="n"/>
      <x:c r="I968" s="31" t="n"/>
      <x:c r="J968" s="31" t="inlineStr">
        <x:is>
          <x:t xml:space="preserve">Основной склад</x:t>
        </x:is>
      </x:c>
      <x:c r="K968" s="31" t="inlineStr">
        <x:is>
          <x:t xml:space="preserve">СОТР-037</x:t>
        </x:is>
      </x:c>
      <x:c r="L968" s="31" t="inlineStr">
        <x:is>
          <x:t xml:space="preserve">ДОК-8482</x:t>
        </x:is>
      </x:c>
      <x:c r="M968" s="31" t="inlineStr">
        <x:is>
          <x:t xml:space="preserve">Проведен</x:t>
        </x:is>
      </x:c>
    </x:row>
    <x:row r="969">
      <x:c r="A969" s="31" t="inlineStr">
        <x:is>
          <x:t xml:space="preserve">СКЛ-000968</x:t>
        </x:is>
      </x:c>
      <x:c r="B969" s="31" t="n">
        <x:v>46159</x:v>
      </x:c>
      <x:c r="C969" s="31" t="inlineStr">
        <x:is>
          <x:t xml:space="preserve">Корректировка</x:t>
        </x:is>
      </x:c>
      <x:c r="D969" s="31" t="inlineStr">
        <x:is>
          <x:t xml:space="preserve">МАТ-0056</x:t>
        </x:is>
      </x:c>
      <x:c r="E969" s="31" t="inlineStr">
        <x:is>
          <x:t xml:space="preserve">Задвижка Ду100</x:t>
        </x:is>
      </x:c>
      <x:c r="F969" s="31" t="n">
        <x:v>6</x:v>
      </x:c>
      <x:c r="G969" s="31" t="inlineStr">
        <x:is>
          <x:t xml:space="preserve">шт</x:t>
        </x:is>
      </x:c>
      <x:c r="H969" s="31" t="n"/>
      <x:c r="I969" s="31" t="n"/>
      <x:c r="J969" s="31" t="inlineStr">
        <x:is>
          <x:t xml:space="preserve">Цеховой склад</x:t>
        </x:is>
      </x:c>
      <x:c r="K969" s="31" t="inlineStr">
        <x:is>
          <x:t xml:space="preserve">СОТР-038</x:t>
        </x:is>
      </x:c>
      <x:c r="L969" s="31" t="inlineStr">
        <x:is>
          <x:t xml:space="preserve">ДОК-6639</x:t>
        </x:is>
      </x:c>
      <x:c r="M969" s="31" t="inlineStr">
        <x:is>
          <x:t xml:space="preserve">Требует проверки</x:t>
        </x:is>
      </x:c>
    </x:row>
    <x:row r="970">
      <x:c r="A970" s="31" t="inlineStr">
        <x:is>
          <x:t xml:space="preserve">СКЛ-000969</x:t>
        </x:is>
      </x:c>
      <x:c r="B970" s="31" t="n">
        <x:v>46161</x:v>
      </x:c>
      <x:c r="C970" s="31" t="inlineStr">
        <x:is>
          <x:t xml:space="preserve">Выдача в производство</x:t>
        </x:is>
      </x:c>
      <x:c r="D970" s="31" t="inlineStr">
        <x:is>
          <x:t xml:space="preserve">МАТ-0047</x:t>
        </x:is>
      </x:c>
      <x:c r="E970" s="31" t="inlineStr">
        <x:is>
          <x:t xml:space="preserve">Контактор 25А / исп.2</x:t>
        </x:is>
      </x:c>
      <x:c r="F970" s="31" t="n">
        <x:v>-11</x:v>
      </x:c>
      <x:c r="G970" s="31" t="inlineStr">
        <x:is>
          <x:t xml:space="preserve">шт</x:t>
        </x:is>
      </x:c>
      <x:c r="H970" s="31" t="inlineStr">
        <x:is>
          <x:t xml:space="preserve">ЗК-1069</x:t>
        </x:is>
      </x:c>
      <x:c r="I970" s="31" t="inlineStr">
        <x:is>
          <x:t xml:space="preserve">ПЗ-00072</x:t>
        </x:is>
      </x:c>
      <x:c r="J970" s="31" t="inlineStr">
        <x:is>
          <x:t xml:space="preserve">Основной склад</x:t>
        </x:is>
      </x:c>
      <x:c r="K970" s="31" t="inlineStr">
        <x:is>
          <x:t xml:space="preserve">СОТР-037</x:t>
        </x:is>
      </x:c>
      <x:c r="L970" s="31" t="inlineStr">
        <x:is>
          <x:t xml:space="preserve">ДОК-7294</x:t>
        </x:is>
      </x:c>
      <x:c r="M970" s="31" t="inlineStr">
        <x:is>
          <x:t xml:space="preserve">Проведен</x:t>
        </x:is>
      </x:c>
    </x:row>
    <x:row r="971">
      <x:c r="A971" s="31" t="inlineStr">
        <x:is>
          <x:t xml:space="preserve">СКЛ-000970</x:t>
        </x:is>
      </x:c>
      <x:c r="B971" s="31" t="n">
        <x:v>46129</x:v>
      </x:c>
      <x:c r="C971" s="31" t="inlineStr">
        <x:is>
          <x:t xml:space="preserve">Приход</x:t>
        </x:is>
      </x:c>
      <x:c r="D971" s="31" t="inlineStr">
        <x:is>
          <x:t xml:space="preserve">МАТ-0047</x:t>
        </x:is>
      </x:c>
      <x:c r="E971" s="31" t="inlineStr">
        <x:is>
          <x:t xml:space="preserve">Контактор 25А / исп.2</x:t>
        </x:is>
      </x:c>
      <x:c r="F971" s="31" t="n">
        <x:v>14</x:v>
      </x:c>
      <x:c r="G971" s="31" t="inlineStr">
        <x:is>
          <x:t xml:space="preserve">шт</x:t>
        </x:is>
      </x:c>
      <x:c r="H971" s="31" t="n"/>
      <x:c r="I971" s="31" t="n"/>
      <x:c r="J971" s="31" t="inlineStr">
        <x:is>
          <x:t xml:space="preserve">Основной склад</x:t>
        </x:is>
      </x:c>
      <x:c r="K971" s="31" t="inlineStr">
        <x:is>
          <x:t xml:space="preserve">СОТР-039</x:t>
        </x:is>
      </x:c>
      <x:c r="L971" s="31" t="inlineStr">
        <x:is>
          <x:t xml:space="preserve">ДОК-9603</x:t>
        </x:is>
      </x:c>
      <x:c r="M971" s="31" t="inlineStr">
        <x:is>
          <x:t xml:space="preserve">Проведен</x:t>
        </x:is>
      </x:c>
    </x:row>
    <x:row r="972">
      <x:c r="A972" s="31" t="inlineStr">
        <x:is>
          <x:t xml:space="preserve">СКЛ-000971</x:t>
        </x:is>
      </x:c>
      <x:c r="B972" s="31" t="n">
        <x:v>46059</x:v>
      </x:c>
      <x:c r="C972" s="31" t="inlineStr">
        <x:is>
          <x:t xml:space="preserve">Резерв</x:t>
        </x:is>
      </x:c>
      <x:c r="D972" s="31" t="inlineStr">
        <x:is>
          <x:t xml:space="preserve">МАТ-0052</x:t>
        </x:is>
      </x:c>
      <x:c r="E972" s="31" t="inlineStr">
        <x:is>
          <x:t xml:space="preserve">Кран шаровой Ду50 / исп.2</x:t>
        </x:is>
      </x:c>
      <x:c r="F972" s="31" t="n">
        <x:v>-16</x:v>
      </x:c>
      <x:c r="G972" s="31" t="inlineStr">
        <x:is>
          <x:t xml:space="preserve">шт</x:t>
        </x:is>
      </x:c>
      <x:c r="H972" s="31" t="inlineStr">
        <x:is>
          <x:t xml:space="preserve">ЗК-1102</x:t>
        </x:is>
      </x:c>
      <x:c r="I972" s="31" t="n"/>
      <x:c r="J972" s="31" t="inlineStr">
        <x:is>
          <x:t xml:space="preserve">Основной склад</x:t>
        </x:is>
      </x:c>
      <x:c r="K972" s="31" t="inlineStr">
        <x:is>
          <x:t xml:space="preserve">СОТР-024</x:t>
        </x:is>
      </x:c>
      <x:c r="L972" s="31" t="inlineStr">
        <x:is>
          <x:t xml:space="preserve">ДОК-1880</x:t>
        </x:is>
      </x:c>
      <x:c r="M972" s="31" t="inlineStr">
        <x:is>
          <x:t xml:space="preserve">Проведен</x:t>
        </x:is>
      </x:c>
    </x:row>
    <x:row r="973">
      <x:c r="A973" s="31" t="inlineStr">
        <x:is>
          <x:t xml:space="preserve">СКЛ-000972</x:t>
        </x:is>
      </x:c>
      <x:c r="B973" s="31" t="n">
        <x:v>46118</x:v>
      </x:c>
      <x:c r="C973" s="31" t="inlineStr">
        <x:is>
          <x:t xml:space="preserve">Резерв</x:t>
        </x:is>
      </x:c>
      <x:c r="D973" s="31" t="inlineStr">
        <x:is>
          <x:t xml:space="preserve">МАТ-0046</x:t>
        </x:is>
      </x:c>
      <x:c r="E973" s="31" t="inlineStr">
        <x:is>
          <x:t xml:space="preserve">Контактор 25А</x:t>
        </x:is>
      </x:c>
      <x:c r="F973" s="31" t="n">
        <x:v>-9</x:v>
      </x:c>
      <x:c r="G973" s="31" t="inlineStr">
        <x:is>
          <x:t xml:space="preserve">шт</x:t>
        </x:is>
      </x:c>
      <x:c r="H973" s="31" t="inlineStr">
        <x:is>
          <x:t xml:space="preserve">ЗК-1128</x:t>
        </x:is>
      </x:c>
      <x:c r="I973" s="31" t="n"/>
      <x:c r="J973" s="31" t="inlineStr">
        <x:is>
          <x:t xml:space="preserve">Цеховой склад</x:t>
        </x:is>
      </x:c>
      <x:c r="K973" s="31" t="inlineStr">
        <x:is>
          <x:t xml:space="preserve">СОТР-035</x:t>
        </x:is>
      </x:c>
      <x:c r="L973" s="31" t="inlineStr">
        <x:is>
          <x:t xml:space="preserve">ДОК-5681</x:t>
        </x:is>
      </x:c>
      <x:c r="M973" s="31" t="inlineStr">
        <x:is>
          <x:t xml:space="preserve">Проведен</x:t>
        </x:is>
      </x:c>
    </x:row>
    <x:row r="974">
      <x:c r="A974" s="31" t="inlineStr">
        <x:is>
          <x:t xml:space="preserve">СКЛ-000973</x:t>
        </x:is>
      </x:c>
      <x:c r="B974" s="31" t="n">
        <x:v>46191</x:v>
      </x:c>
      <x:c r="C974" s="31" t="inlineStr">
        <x:is>
          <x:t xml:space="preserve">Резерв</x:t>
        </x:is>
      </x:c>
      <x:c r="D974" s="31" t="inlineStr">
        <x:is>
          <x:t xml:space="preserve">МАТ-0066</x:t>
        </x:is>
      </x:c>
      <x:c r="E974" s="31" t="inlineStr">
        <x:is>
          <x:t xml:space="preserve">Гофра металлическая / исп.2</x:t>
        </x:is>
      </x:c>
      <x:c r="F974" s="31" t="n">
        <x:v>-21.97</x:v>
      </x:c>
      <x:c r="G974" s="31" t="inlineStr">
        <x:is>
          <x:t xml:space="preserve">кг</x:t>
        </x:is>
      </x:c>
      <x:c r="H974" s="31" t="inlineStr">
        <x:is>
          <x:t xml:space="preserve">ЗК-1116</x:t>
        </x:is>
      </x:c>
      <x:c r="I974" s="31" t="n"/>
      <x:c r="J974" s="31" t="inlineStr">
        <x:is>
          <x:t xml:space="preserve">Брак/карантин</x:t>
        </x:is>
      </x:c>
      <x:c r="K974" s="31" t="inlineStr">
        <x:is>
          <x:t xml:space="preserve">СОТР-036</x:t>
        </x:is>
      </x:c>
      <x:c r="L974" s="31" t="inlineStr">
        <x:is>
          <x:t xml:space="preserve">ДОК-5715</x:t>
        </x:is>
      </x:c>
      <x:c r="M974" s="31" t="inlineStr">
        <x:is>
          <x:t xml:space="preserve">Проведен</x:t>
        </x:is>
      </x:c>
    </x:row>
    <x:row r="975">
      <x:c r="A975" s="31" t="inlineStr">
        <x:is>
          <x:t xml:space="preserve">СКЛ-000974</x:t>
        </x:is>
      </x:c>
      <x:c r="B975" s="31" t="n">
        <x:v>46126</x:v>
      </x:c>
      <x:c r="C975" s="31" t="inlineStr">
        <x:is>
          <x:t xml:space="preserve">Возврат</x:t>
        </x:is>
      </x:c>
      <x:c r="D975" s="31" t="inlineStr">
        <x:is>
          <x:t xml:space="preserve">МАТ-0037</x:t>
        </x:is>
      </x:c>
      <x:c r="E975" s="31" t="inlineStr">
        <x:is>
          <x:t xml:space="preserve">Клапан электромагнитный 24В / исп.3</x:t>
        </x:is>
      </x:c>
      <x:c r="F975" s="31" t="n">
        <x:v>10</x:v>
      </x:c>
      <x:c r="G975" s="31" t="inlineStr">
        <x:is>
          <x:t xml:space="preserve">шт</x:t>
        </x:is>
      </x:c>
      <x:c r="H975" s="31" t="n"/>
      <x:c r="I975" s="31" t="n"/>
      <x:c r="J975" s="31" t="inlineStr">
        <x:is>
          <x:t xml:space="preserve">Основной склад</x:t>
        </x:is>
      </x:c>
      <x:c r="K975" s="31" t="inlineStr">
        <x:is>
          <x:t xml:space="preserve">СОТР-038</x:t>
        </x:is>
      </x:c>
      <x:c r="L975" s="31" t="inlineStr">
        <x:is>
          <x:t xml:space="preserve">ДОК-4473</x:t>
        </x:is>
      </x:c>
      <x:c r="M975" s="31" t="inlineStr">
        <x:is>
          <x:t xml:space="preserve">Проведен</x:t>
        </x:is>
      </x:c>
    </x:row>
    <x:row r="976">
      <x:c r="A976" s="31" t="inlineStr">
        <x:is>
          <x:t xml:space="preserve">СКЛ-000975</x:t>
        </x:is>
      </x:c>
      <x:c r="B976" s="31" t="n">
        <x:v>46116</x:v>
      </x:c>
      <x:c r="C976" s="31" t="inlineStr">
        <x:is>
          <x:t xml:space="preserve">Приход</x:t>
        </x:is>
      </x:c>
      <x:c r="D976" s="31" t="inlineStr">
        <x:is>
          <x:t xml:space="preserve">МАТ-0062</x:t>
        </x:is>
      </x:c>
      <x:c r="E976" s="31" t="inlineStr">
        <x:is>
          <x:t xml:space="preserve">Кабель КВВГ 4×1.5</x:t>
        </x:is>
      </x:c>
      <x:c r="F976" s="31" t="n">
        <x:v>48.67</x:v>
      </x:c>
      <x:c r="G976" s="31" t="inlineStr">
        <x:is>
          <x:t xml:space="preserve">м</x:t>
        </x:is>
      </x:c>
      <x:c r="H976" s="31" t="n"/>
      <x:c r="I976" s="31" t="n"/>
      <x:c r="J976" s="31" t="inlineStr">
        <x:is>
          <x:t xml:space="preserve">Основной склад</x:t>
        </x:is>
      </x:c>
      <x:c r="K976" s="31" t="inlineStr">
        <x:is>
          <x:t xml:space="preserve">СОТР-033</x:t>
        </x:is>
      </x:c>
      <x:c r="L976" s="31" t="inlineStr">
        <x:is>
          <x:t xml:space="preserve">ДОК-9561</x:t>
        </x:is>
      </x:c>
      <x:c r="M976" s="31" t="inlineStr">
        <x:is>
          <x:t xml:space="preserve">Проведен</x:t>
        </x:is>
      </x:c>
    </x:row>
    <x:row r="977">
      <x:c r="A977" s="31" t="inlineStr">
        <x:is>
          <x:t xml:space="preserve">СКЛ-000976</x:t>
        </x:is>
      </x:c>
      <x:c r="B977" s="31" t="n">
        <x:v>46198</x:v>
      </x:c>
      <x:c r="C977" s="31" t="inlineStr">
        <x:is>
          <x:t xml:space="preserve">Выдача в производство</x:t>
        </x:is>
      </x:c>
      <x:c r="D977" s="31" t="inlineStr">
        <x:is>
          <x:t xml:space="preserve">МАТ-0051</x:t>
        </x:is>
      </x:c>
      <x:c r="E977" s="31" t="inlineStr">
        <x:is>
          <x:t xml:space="preserve">Кран шаровой Ду50</x:t>
        </x:is>
      </x:c>
      <x:c r="F977" s="31" t="n">
        <x:v>-12</x:v>
      </x:c>
      <x:c r="G977" s="31" t="inlineStr">
        <x:is>
          <x:t xml:space="preserve">шт</x:t>
        </x:is>
      </x:c>
      <x:c r="H977" s="31" t="inlineStr">
        <x:is>
          <x:t xml:space="preserve">ЗК-1044</x:t>
        </x:is>
      </x:c>
      <x:c r="I977" s="31" t="inlineStr">
        <x:is>
          <x:t xml:space="preserve">ПЗ-00226</x:t>
        </x:is>
      </x:c>
      <x:c r="J977" s="31" t="inlineStr">
        <x:is>
          <x:t xml:space="preserve">Основной склад</x:t>
        </x:is>
      </x:c>
      <x:c r="K977" s="31" t="inlineStr">
        <x:is>
          <x:t xml:space="preserve">СОТР-037</x:t>
        </x:is>
      </x:c>
      <x:c r="L977" s="31" t="inlineStr">
        <x:is>
          <x:t xml:space="preserve">ДОК-5577</x:t>
        </x:is>
      </x:c>
      <x:c r="M977" s="31" t="inlineStr">
        <x:is>
          <x:t xml:space="preserve">Проведен</x:t>
        </x:is>
      </x:c>
    </x:row>
    <x:row r="978">
      <x:c r="A978" s="31" t="inlineStr">
        <x:is>
          <x:t xml:space="preserve">СКЛ-000977</x:t>
        </x:is>
      </x:c>
      <x:c r="B978" s="31" t="n">
        <x:v>46196</x:v>
      </x:c>
      <x:c r="C978" s="31" t="inlineStr">
        <x:is>
          <x:t xml:space="preserve">Выдача в производство</x:t>
        </x:is>
      </x:c>
      <x:c r="D978" s="31" t="inlineStr">
        <x:is>
          <x:t xml:space="preserve">МАТ-0074</x:t>
        </x:is>
      </x:c>
      <x:c r="E978" s="31" t="inlineStr">
        <x:is>
          <x:t xml:space="preserve">Абразив для пескоструя</x:t>
        </x:is>
      </x:c>
      <x:c r="F978" s="31" t="n">
        <x:v>-8</x:v>
      </x:c>
      <x:c r="G978" s="31" t="inlineStr">
        <x:is>
          <x:t xml:space="preserve">шт</x:t>
        </x:is>
      </x:c>
      <x:c r="H978" s="31" t="inlineStr">
        <x:is>
          <x:t xml:space="preserve">ЗК-1020</x:t>
        </x:is>
      </x:c>
      <x:c r="I978" s="31" t="inlineStr">
        <x:is>
          <x:t xml:space="preserve">ПЗ-00098</x:t>
        </x:is>
      </x:c>
      <x:c r="J978" s="31" t="inlineStr">
        <x:is>
          <x:t xml:space="preserve">Основной склад</x:t>
        </x:is>
      </x:c>
      <x:c r="K978" s="31" t="inlineStr">
        <x:is>
          <x:t xml:space="preserve">СОТР-033</x:t>
        </x:is>
      </x:c>
      <x:c r="L978" s="31" t="inlineStr">
        <x:is>
          <x:t xml:space="preserve">ДОК-8540</x:t>
        </x:is>
      </x:c>
      <x:c r="M978" s="31" t="inlineStr">
        <x:is>
          <x:t xml:space="preserve">Проведен</x:t>
        </x:is>
      </x:c>
    </x:row>
    <x:row r="979">
      <x:c r="A979" s="31" t="inlineStr">
        <x:is>
          <x:t xml:space="preserve">СКЛ-000978</x:t>
        </x:is>
      </x:c>
      <x:c r="B979" s="31" t="n">
        <x:v>46127</x:v>
      </x:c>
      <x:c r="C979" s="31" t="inlineStr">
        <x:is>
          <x:t xml:space="preserve">Выдача в производство</x:t>
        </x:is>
      </x:c>
      <x:c r="D979" s="31" t="inlineStr">
        <x:is>
          <x:t xml:space="preserve">МАТ-0060</x:t>
        </x:is>
      </x:c>
      <x:c r="E979" s="31" t="inlineStr">
        <x:is>
          <x:t xml:space="preserve">Фильтр сетчатый Ду50 / исп.2</x:t>
        </x:is>
      </x:c>
      <x:c r="F979" s="31" t="n">
        <x:v>-4</x:v>
      </x:c>
      <x:c r="G979" s="31" t="inlineStr">
        <x:is>
          <x:t xml:space="preserve">шт</x:t>
        </x:is>
      </x:c>
      <x:c r="H979" s="31" t="inlineStr">
        <x:is>
          <x:t xml:space="preserve">ЗК-1017</x:t>
        </x:is>
      </x:c>
      <x:c r="I979" s="31" t="inlineStr">
        <x:is>
          <x:t xml:space="preserve">ПЗ-00003</x:t>
        </x:is>
      </x:c>
      <x:c r="J979" s="31" t="inlineStr">
        <x:is>
          <x:t xml:space="preserve">Основной склад</x:t>
        </x:is>
      </x:c>
      <x:c r="K979" s="31" t="inlineStr">
        <x:is>
          <x:t xml:space="preserve">СОТР-039</x:t>
        </x:is>
      </x:c>
      <x:c r="L979" s="31" t="inlineStr">
        <x:is>
          <x:t xml:space="preserve">ДОК-5825</x:t>
        </x:is>
      </x:c>
      <x:c r="M979" s="31" t="inlineStr">
        <x:is>
          <x:t xml:space="preserve">Черновик</x:t>
        </x:is>
      </x:c>
    </x:row>
    <x:row r="980">
      <x:c r="A980" s="31" t="inlineStr">
        <x:is>
          <x:t xml:space="preserve">СКЛ-000979</x:t>
        </x:is>
      </x:c>
      <x:c r="B980" s="31" t="n">
        <x:v>46190</x:v>
      </x:c>
      <x:c r="C980" s="31" t="inlineStr">
        <x:is>
          <x:t xml:space="preserve">Резерв</x:t>
        </x:is>
      </x:c>
      <x:c r="D980" s="31" t="inlineStr">
        <x:is>
          <x:t xml:space="preserve">МАТ-0025</x:t>
        </x:is>
      </x:c>
      <x:c r="E980" s="31" t="inlineStr">
        <x:is>
          <x:t xml:space="preserve">Двигатель 7.5 кВт</x:t>
        </x:is>
      </x:c>
      <x:c r="F980" s="31" t="n">
        <x:v>-18</x:v>
      </x:c>
      <x:c r="G980" s="31" t="inlineStr">
        <x:is>
          <x:t xml:space="preserve">шт</x:t>
        </x:is>
      </x:c>
      <x:c r="H980" s="31" t="inlineStr">
        <x:is>
          <x:t xml:space="preserve">ЗК-1053</x:t>
        </x:is>
      </x:c>
      <x:c r="I980" s="31" t="n"/>
      <x:c r="J980" s="31" t="inlineStr">
        <x:is>
          <x:t xml:space="preserve">Брак/карантин</x:t>
        </x:is>
      </x:c>
      <x:c r="K980" s="31" t="inlineStr">
        <x:is>
          <x:t xml:space="preserve">СОТР-037</x:t>
        </x:is>
      </x:c>
      <x:c r="L980" s="31" t="inlineStr">
        <x:is>
          <x:t xml:space="preserve">ДОК-3543</x:t>
        </x:is>
      </x:c>
      <x:c r="M980" s="31" t="inlineStr">
        <x:is>
          <x:t xml:space="preserve">Проведен</x:t>
        </x:is>
      </x:c>
    </x:row>
    <x:row r="981">
      <x:c r="A981" s="31" t="inlineStr">
        <x:is>
          <x:t xml:space="preserve">СКЛ-000980</x:t>
        </x:is>
      </x:c>
      <x:c r="B981" s="31" t="n">
        <x:v>46177</x:v>
      </x:c>
      <x:c r="C981" s="31" t="inlineStr">
        <x:is>
          <x:t xml:space="preserve">Приход</x:t>
        </x:is>
      </x:c>
      <x:c r="D981" s="31" t="inlineStr">
        <x:is>
          <x:t xml:space="preserve">МАТ-0034</x:t>
        </x:is>
      </x:c>
      <x:c r="E981" s="31" t="inlineStr">
        <x:is>
          <x:t xml:space="preserve">Манометр виброустойчивый</x:t>
        </x:is>
      </x:c>
      <x:c r="F981" s="31" t="n">
        <x:v>14</x:v>
      </x:c>
      <x:c r="G981" s="31" t="inlineStr">
        <x:is>
          <x:t xml:space="preserve">шт</x:t>
        </x:is>
      </x:c>
      <x:c r="H981" s="31" t="n"/>
      <x:c r="I981" s="31" t="n"/>
      <x:c r="J981" s="31" t="inlineStr">
        <x:is>
          <x:t xml:space="preserve">Цеховой склад</x:t>
        </x:is>
      </x:c>
      <x:c r="K981" s="31" t="inlineStr">
        <x:is>
          <x:t xml:space="preserve">СОТР-039</x:t>
        </x:is>
      </x:c>
      <x:c r="L981" s="31" t="inlineStr">
        <x:is>
          <x:t xml:space="preserve">ДОК-5143</x:t>
        </x:is>
      </x:c>
      <x:c r="M981" s="31" t="inlineStr">
        <x:is>
          <x:t xml:space="preserve">Требует проверки</x:t>
        </x:is>
      </x:c>
    </x:row>
    <x:row r="982">
      <x:c r="A982" s="31" t="inlineStr">
        <x:is>
          <x:t xml:space="preserve">СКЛ-000981</x:t>
        </x:is>
      </x:c>
      <x:c r="B982" s="31" t="n">
        <x:v>46153</x:v>
      </x:c>
      <x:c r="C982" s="31" t="inlineStr">
        <x:is>
          <x:t xml:space="preserve">Корректировка</x:t>
        </x:is>
      </x:c>
      <x:c r="D982" s="31" t="inlineStr">
        <x:is>
          <x:t xml:space="preserve">МАТ-0027</x:t>
        </x:is>
      </x:c>
      <x:c r="E982" s="31" t="inlineStr">
        <x:is>
          <x:t xml:space="preserve">Двигатель 22 кВт</x:t>
        </x:is>
      </x:c>
      <x:c r="F982" s="31" t="n">
        <x:v>10</x:v>
      </x:c>
      <x:c r="G982" s="31" t="inlineStr">
        <x:is>
          <x:t xml:space="preserve">шт</x:t>
        </x:is>
      </x:c>
      <x:c r="H982" s="31" t="n"/>
      <x:c r="I982" s="31" t="n"/>
      <x:c r="J982" s="31" t="inlineStr">
        <x:is>
          <x:t xml:space="preserve">Основной склад</x:t>
        </x:is>
      </x:c>
      <x:c r="K982" s="31" t="inlineStr">
        <x:is>
          <x:t xml:space="preserve">СОТР-035</x:t>
        </x:is>
      </x:c>
      <x:c r="L982" s="31" t="inlineStr">
        <x:is>
          <x:t xml:space="preserve">ДОК-9284</x:t>
        </x:is>
      </x:c>
      <x:c r="M982" s="31" t="inlineStr">
        <x:is>
          <x:t xml:space="preserve">Проведен</x:t>
        </x:is>
      </x:c>
    </x:row>
    <x:row r="983">
      <x:c r="A983" s="31" t="inlineStr">
        <x:is>
          <x:t xml:space="preserve">СКЛ-000982</x:t>
        </x:is>
      </x:c>
      <x:c r="B983" s="31" t="n">
        <x:v>46129</x:v>
      </x:c>
      <x:c r="C983" s="31" t="inlineStr">
        <x:is>
          <x:t xml:space="preserve">Выдача в производство</x:t>
        </x:is>
      </x:c>
      <x:c r="D983" s="31" t="inlineStr">
        <x:is>
          <x:t xml:space="preserve">МАТ-0051</x:t>
        </x:is>
      </x:c>
      <x:c r="E983" s="31" t="inlineStr">
        <x:is>
          <x:t xml:space="preserve">Кран шаровой Ду50</x:t>
        </x:is>
      </x:c>
      <x:c r="F983" s="31" t="n">
        <x:v>-15</x:v>
      </x:c>
      <x:c r="G983" s="31" t="inlineStr">
        <x:is>
          <x:t xml:space="preserve">шт</x:t>
        </x:is>
      </x:c>
      <x:c r="H983" s="31" t="inlineStr">
        <x:is>
          <x:t xml:space="preserve">ЗК-1018</x:t>
        </x:is>
      </x:c>
      <x:c r="I983" s="31" t="inlineStr">
        <x:is>
          <x:t xml:space="preserve">ПЗ-00247</x:t>
        </x:is>
      </x:c>
      <x:c r="J983" s="31" t="inlineStr">
        <x:is>
          <x:t xml:space="preserve">Основной склад</x:t>
        </x:is>
      </x:c>
      <x:c r="K983" s="31" t="inlineStr">
        <x:is>
          <x:t xml:space="preserve">СОТР-037</x:t>
        </x:is>
      </x:c>
      <x:c r="L983" s="31" t="inlineStr">
        <x:is>
          <x:t xml:space="preserve">ДОК-9577</x:t>
        </x:is>
      </x:c>
      <x:c r="M983" s="31" t="inlineStr">
        <x:is>
          <x:t xml:space="preserve">Проведен</x:t>
        </x:is>
      </x:c>
    </x:row>
    <x:row r="984">
      <x:c r="A984" s="31" t="inlineStr">
        <x:is>
          <x:t xml:space="preserve">СКЛ-000983</x:t>
        </x:is>
      </x:c>
      <x:c r="B984" s="31" t="n">
        <x:v>46137</x:v>
      </x:c>
      <x:c r="C984" s="31" t="inlineStr">
        <x:is>
          <x:t xml:space="preserve">Резерв</x:t>
        </x:is>
      </x:c>
      <x:c r="D984" s="31" t="inlineStr">
        <x:is>
          <x:t xml:space="preserve">МАТ-0070</x:t>
        </x:is>
      </x:c>
      <x:c r="E984" s="31" t="inlineStr">
        <x:is>
          <x:t xml:space="preserve">Эмаль полиуретановая / исп.2</x:t>
        </x:is>
      </x:c>
      <x:c r="F984" s="31" t="n">
        <x:v>-63.36</x:v>
      </x:c>
      <x:c r="G984" s="31" t="inlineStr">
        <x:is>
          <x:t xml:space="preserve">кг</x:t>
        </x:is>
      </x:c>
      <x:c r="H984" s="31" t="inlineStr">
        <x:is>
          <x:t xml:space="preserve">ЗК-1017</x:t>
        </x:is>
      </x:c>
      <x:c r="I984" s="31" t="n"/>
      <x:c r="J984" s="31" t="inlineStr">
        <x:is>
          <x:t xml:space="preserve">Основной склад</x:t>
        </x:is>
      </x:c>
      <x:c r="K984" s="31" t="inlineStr">
        <x:is>
          <x:t xml:space="preserve">СОТР-034</x:t>
        </x:is>
      </x:c>
      <x:c r="L984" s="31" t="inlineStr">
        <x:is>
          <x:t xml:space="preserve">ДОК-2103</x:t>
        </x:is>
      </x:c>
      <x:c r="M984" s="31" t="inlineStr">
        <x:is>
          <x:t xml:space="preserve">Черновик</x:t>
        </x:is>
      </x:c>
    </x:row>
    <x:row r="985">
      <x:c r="A985" s="31" t="inlineStr">
        <x:is>
          <x:t xml:space="preserve">СКЛ-000984</x:t>
        </x:is>
      </x:c>
      <x:c r="B985" s="31" t="n">
        <x:v>46194</x:v>
      </x:c>
      <x:c r="C985" s="31" t="inlineStr">
        <x:is>
          <x:t xml:space="preserve">Возврат</x:t>
        </x:is>
      </x:c>
      <x:c r="D985" s="31" t="inlineStr">
        <x:is>
          <x:t xml:space="preserve">МАТ-0058</x:t>
        </x:is>
      </x:c>
      <x:c r="E985" s="31" t="inlineStr">
        <x:is>
          <x:t xml:space="preserve">Задвижка Ду100 / исп.3</x:t>
        </x:is>
      </x:c>
      <x:c r="F985" s="31" t="n">
        <x:v>2</x:v>
      </x:c>
      <x:c r="G985" s="31" t="inlineStr">
        <x:is>
          <x:t xml:space="preserve">шт</x:t>
        </x:is>
      </x:c>
      <x:c r="H985" s="31" t="n"/>
      <x:c r="I985" s="31" t="n"/>
      <x:c r="J985" s="31" t="inlineStr">
        <x:is>
          <x:t xml:space="preserve">Цеховой склад</x:t>
        </x:is>
      </x:c>
      <x:c r="K985" s="31" t="inlineStr">
        <x:is>
          <x:t xml:space="preserve">СОТР-037</x:t>
        </x:is>
      </x:c>
      <x:c r="L985" s="31" t="inlineStr">
        <x:is>
          <x:t xml:space="preserve">ДОК-4173</x:t>
        </x:is>
      </x:c>
      <x:c r="M985" s="31" t="inlineStr">
        <x:is>
          <x:t xml:space="preserve">Проведен</x:t>
        </x:is>
      </x:c>
    </x:row>
    <x:row r="986">
      <x:c r="A986" s="31" t="inlineStr">
        <x:is>
          <x:t xml:space="preserve">СКЛ-000985</x:t>
        </x:is>
      </x:c>
      <x:c r="B986" s="31" t="n">
        <x:v>46125</x:v>
      </x:c>
      <x:c r="C986" s="31" t="inlineStr">
        <x:is>
          <x:t xml:space="preserve">Корректировка</x:t>
        </x:is>
      </x:c>
      <x:c r="D986" s="31" t="inlineStr">
        <x:is>
          <x:t xml:space="preserve">МАТ-0018</x:t>
        </x:is>
      </x:c>
      <x:c r="E986" s="31" t="inlineStr">
        <x:is>
          <x:t xml:space="preserve">Насос шестеренный 7.5 кВт / исп.2</x:t>
        </x:is>
      </x:c>
      <x:c r="F986" s="31" t="n">
        <x:v>1</x:v>
      </x:c>
      <x:c r="G986" s="31" t="inlineStr">
        <x:is>
          <x:t xml:space="preserve">шт</x:t>
        </x:is>
      </x:c>
      <x:c r="H986" s="31" t="n"/>
      <x:c r="I986" s="31" t="n"/>
      <x:c r="J986" s="31" t="inlineStr">
        <x:is>
          <x:t xml:space="preserve">Основной склад</x:t>
        </x:is>
      </x:c>
      <x:c r="K986" s="31" t="inlineStr">
        <x:is>
          <x:t xml:space="preserve">СОТР-039</x:t>
        </x:is>
      </x:c>
      <x:c r="L986" s="31" t="inlineStr">
        <x:is>
          <x:t xml:space="preserve">ДОК-5901</x:t>
        </x:is>
      </x:c>
      <x:c r="M986" s="31" t="inlineStr">
        <x:is>
          <x:t xml:space="preserve">Проведен</x:t>
        </x:is>
      </x:c>
    </x:row>
    <x:row r="987">
      <x:c r="A987" s="31" t="inlineStr">
        <x:is>
          <x:t xml:space="preserve">СКЛ-000986</x:t>
        </x:is>
      </x:c>
      <x:c r="B987" s="31" t="n">
        <x:v>46108</x:v>
      </x:c>
      <x:c r="C987" s="31" t="inlineStr">
        <x:is>
          <x:t xml:space="preserve">Корректировка</x:t>
        </x:is>
      </x:c>
      <x:c r="D987" s="31" t="inlineStr">
        <x:is>
          <x:t xml:space="preserve">МАТ-0081</x:t>
        </x:is>
      </x:c>
      <x:c r="E987" s="31" t="inlineStr">
        <x:is>
          <x:t xml:space="preserve">Шайба 12</x:t>
        </x:is>
      </x:c>
      <x:c r="F987" s="31" t="n">
        <x:v>18</x:v>
      </x:c>
      <x:c r="G987" s="31" t="inlineStr">
        <x:is>
          <x:t xml:space="preserve">шт</x:t>
        </x:is>
      </x:c>
      <x:c r="H987" s="31" t="n"/>
      <x:c r="I987" s="31" t="n"/>
      <x:c r="J987" s="31" t="inlineStr">
        <x:is>
          <x:t xml:space="preserve">Брак/карантин</x:t>
        </x:is>
      </x:c>
      <x:c r="K987" s="31" t="inlineStr">
        <x:is>
          <x:t xml:space="preserve">СОТР-037</x:t>
        </x:is>
      </x:c>
      <x:c r="L987" s="31" t="inlineStr">
        <x:is>
          <x:t xml:space="preserve">ДОК-9810</x:t>
        </x:is>
      </x:c>
      <x:c r="M987" s="31" t="inlineStr">
        <x:is>
          <x:t xml:space="preserve">Проведен</x:t>
        </x:is>
      </x:c>
    </x:row>
    <x:row r="988">
      <x:c r="A988" s="31" t="inlineStr">
        <x:is>
          <x:t xml:space="preserve">СКЛ-000987</x:t>
        </x:is>
      </x:c>
      <x:c r="B988" s="31" t="n">
        <x:v>46175</x:v>
      </x:c>
      <x:c r="C988" s="31" t="inlineStr">
        <x:is>
          <x:t xml:space="preserve">Резерв</x:t>
        </x:is>
      </x:c>
      <x:c r="D988" s="31" t="inlineStr">
        <x:is>
          <x:t xml:space="preserve">МАТ-0057</x:t>
        </x:is>
      </x:c>
      <x:c r="E988" s="31" t="inlineStr">
        <x:is>
          <x:t xml:space="preserve">Задвижка Ду100 / исп.2</x:t>
        </x:is>
      </x:c>
      <x:c r="F988" s="31" t="n">
        <x:v>-12</x:v>
      </x:c>
      <x:c r="G988" s="31" t="inlineStr">
        <x:is>
          <x:t xml:space="preserve">шт</x:t>
        </x:is>
      </x:c>
      <x:c r="H988" s="31" t="inlineStr">
        <x:is>
          <x:t xml:space="preserve">ЗК-1066</x:t>
        </x:is>
      </x:c>
      <x:c r="I988" s="31" t="n"/>
      <x:c r="J988" s="31" t="inlineStr">
        <x:is>
          <x:t xml:space="preserve">Цеховой склад</x:t>
        </x:is>
      </x:c>
      <x:c r="K988" s="31" t="inlineStr">
        <x:is>
          <x:t xml:space="preserve">СОТР-033</x:t>
        </x:is>
      </x:c>
      <x:c r="L988" s="31" t="inlineStr">
        <x:is>
          <x:t xml:space="preserve">ДОК-3794</x:t>
        </x:is>
      </x:c>
      <x:c r="M988" s="31" t="inlineStr">
        <x:is>
          <x:t xml:space="preserve">Проведен</x:t>
        </x:is>
      </x:c>
    </x:row>
    <x:row r="989">
      <x:c r="A989" s="31" t="inlineStr">
        <x:is>
          <x:t xml:space="preserve">СКЛ-000988</x:t>
        </x:is>
      </x:c>
      <x:c r="B989" s="31" t="n">
        <x:v>46092</x:v>
      </x:c>
      <x:c r="C989" s="31" t="inlineStr">
        <x:is>
          <x:t xml:space="preserve">Приход</x:t>
        </x:is>
      </x:c>
      <x:c r="D989" s="31" t="inlineStr">
        <x:is>
          <x:t xml:space="preserve">МАТ-0012</x:t>
        </x:is>
      </x:c>
      <x:c r="E989" s="31" t="inlineStr">
        <x:is>
          <x:t xml:space="preserve">Фланец Ду80 Ру16</x:t>
        </x:is>
      </x:c>
      <x:c r="F989" s="31" t="n">
        <x:v>40.18</x:v>
      </x:c>
      <x:c r="G989" s="31" t="inlineStr">
        <x:is>
          <x:t xml:space="preserve">л</x:t>
        </x:is>
      </x:c>
      <x:c r="H989" s="31" t="n"/>
      <x:c r="I989" s="31" t="n"/>
      <x:c r="J989" s="31" t="inlineStr">
        <x:is>
          <x:t xml:space="preserve">Основной склад</x:t>
        </x:is>
      </x:c>
      <x:c r="K989" s="31" t="inlineStr">
        <x:is>
          <x:t xml:space="preserve">СОТР-035</x:t>
        </x:is>
      </x:c>
      <x:c r="L989" s="31" t="inlineStr">
        <x:is>
          <x:t xml:space="preserve">ДОК-2789</x:t>
        </x:is>
      </x:c>
      <x:c r="M989" s="31" t="inlineStr">
        <x:is>
          <x:t xml:space="preserve">Проведен</x:t>
        </x:is>
      </x:c>
    </x:row>
    <x:row r="990">
      <x:c r="A990" s="31" t="inlineStr">
        <x:is>
          <x:t xml:space="preserve">СКЛ-000989</x:t>
        </x:is>
      </x:c>
      <x:c r="B990" s="31" t="n">
        <x:v>46074</x:v>
      </x:c>
      <x:c r="C990" s="31" t="inlineStr">
        <x:is>
          <x:t xml:space="preserve">Выдача в производство</x:t>
        </x:is>
      </x:c>
      <x:c r="D990" s="31" t="inlineStr">
        <x:is>
          <x:t xml:space="preserve">МАТ-0089</x:t>
        </x:is>
      </x:c>
      <x:c r="E990" s="31" t="inlineStr">
        <x:is>
          <x:t xml:space="preserve">Маркировочная этикетка</x:t>
        </x:is>
      </x:c>
      <x:c r="F990" s="31" t="n">
        <x:v>-4</x:v>
      </x:c>
      <x:c r="G990" s="31" t="inlineStr">
        <x:is>
          <x:t xml:space="preserve">шт</x:t>
        </x:is>
      </x:c>
      <x:c r="H990" s="31" t="inlineStr">
        <x:is>
          <x:t xml:space="preserve">ЗК-1069</x:t>
        </x:is>
      </x:c>
      <x:c r="I990" s="31" t="inlineStr">
        <x:is>
          <x:t xml:space="preserve">ПЗ-00158</x:t>
        </x:is>
      </x:c>
      <x:c r="J990" s="31" t="inlineStr">
        <x:is>
          <x:t xml:space="preserve">Цеховой склад</x:t>
        </x:is>
      </x:c>
      <x:c r="K990" s="31" t="inlineStr">
        <x:is>
          <x:t xml:space="preserve">СОТР-036</x:t>
        </x:is>
      </x:c>
      <x:c r="L990" s="31" t="inlineStr">
        <x:is>
          <x:t xml:space="preserve">ДОК-6370</x:t>
        </x:is>
      </x:c>
      <x:c r="M990" s="31" t="inlineStr">
        <x:is>
          <x:t xml:space="preserve">Проведен</x:t>
        </x:is>
      </x:c>
    </x:row>
    <x:row r="991">
      <x:c r="A991" s="31" t="inlineStr">
        <x:is>
          <x:t xml:space="preserve">СКЛ-000990</x:t>
        </x:is>
      </x:c>
      <x:c r="B991" s="31" t="n">
        <x:v>46163</x:v>
      </x:c>
      <x:c r="C991" s="31" t="inlineStr">
        <x:is>
          <x:t xml:space="preserve">Приход</x:t>
        </x:is>
      </x:c>
      <x:c r="D991" s="31" t="inlineStr">
        <x:is>
          <x:t xml:space="preserve">МАТ-0023</x:t>
        </x:is>
      </x:c>
      <x:c r="E991" s="31" t="inlineStr">
        <x:is>
          <x:t xml:space="preserve">Рабочее колесо</x:t>
        </x:is>
      </x:c>
      <x:c r="F991" s="31" t="n">
        <x:v>12</x:v>
      </x:c>
      <x:c r="G991" s="31" t="inlineStr">
        <x:is>
          <x:t xml:space="preserve">шт</x:t>
        </x:is>
      </x:c>
      <x:c r="H991" s="31" t="n"/>
      <x:c r="I991" s="31" t="n"/>
      <x:c r="J991" s="31" t="inlineStr">
        <x:is>
          <x:t xml:space="preserve">Основной склад</x:t>
        </x:is>
      </x:c>
      <x:c r="K991" s="31" t="inlineStr">
        <x:is>
          <x:t xml:space="preserve">СОТР-034</x:t>
        </x:is>
      </x:c>
      <x:c r="L991" s="31" t="inlineStr">
        <x:is>
          <x:t xml:space="preserve">ДОК-5734</x:t>
        </x:is>
      </x:c>
      <x:c r="M991" s="31" t="inlineStr">
        <x:is>
          <x:t xml:space="preserve">Проведен</x:t>
        </x:is>
      </x:c>
    </x:row>
    <x:row r="992">
      <x:c r="A992" s="31" t="inlineStr">
        <x:is>
          <x:t xml:space="preserve">СКЛ-000991</x:t>
        </x:is>
      </x:c>
      <x:c r="B992" s="31" t="n">
        <x:v>46129</x:v>
      </x:c>
      <x:c r="C992" s="31" t="inlineStr">
        <x:is>
          <x:t xml:space="preserve">Приход</x:t>
        </x:is>
      </x:c>
      <x:c r="D992" s="31" t="inlineStr">
        <x:is>
          <x:t xml:space="preserve">МАТ-0064</x:t>
        </x:is>
      </x:c>
      <x:c r="E992" s="31" t="inlineStr">
        <x:is>
          <x:t xml:space="preserve">Кабель ВВГнг 3×2.5 / исп.2</x:t>
        </x:is>
      </x:c>
      <x:c r="F992" s="31" t="n">
        <x:v>4</x:v>
      </x:c>
      <x:c r="G992" s="31" t="inlineStr">
        <x:is>
          <x:t xml:space="preserve">шт</x:t>
        </x:is>
      </x:c>
      <x:c r="H992" s="31" t="n"/>
      <x:c r="I992" s="31" t="n"/>
      <x:c r="J992" s="31" t="inlineStr">
        <x:is>
          <x:t xml:space="preserve">Брак/карантин</x:t>
        </x:is>
      </x:c>
      <x:c r="K992" s="31" t="inlineStr">
        <x:is>
          <x:t xml:space="preserve">СОТР-039</x:t>
        </x:is>
      </x:c>
      <x:c r="L992" s="31" t="inlineStr">
        <x:is>
          <x:t xml:space="preserve">ДОК-5423</x:t>
        </x:is>
      </x:c>
      <x:c r="M992" s="31" t="inlineStr">
        <x:is>
          <x:t xml:space="preserve">Проведен</x:t>
        </x:is>
      </x:c>
    </x:row>
    <x:row r="993">
      <x:c r="A993" s="31" t="inlineStr">
        <x:is>
          <x:t xml:space="preserve">СКЛ-000992</x:t>
        </x:is>
      </x:c>
      <x:c r="B993" s="31" t="n">
        <x:v>46183</x:v>
      </x:c>
      <x:c r="C993" s="31" t="inlineStr">
        <x:is>
          <x:t xml:space="preserve">Приход</x:t>
        </x:is>
      </x:c>
      <x:c r="D993" s="31" t="inlineStr">
        <x:is>
          <x:t xml:space="preserve">МАТ-0043</x:t>
        </x:is>
      </x:c>
      <x:c r="E993" s="31" t="inlineStr">
        <x:is>
          <x:t xml:space="preserve">Блок питания 24В</x:t>
        </x:is>
      </x:c>
      <x:c r="F993" s="31" t="n">
        <x:v>10</x:v>
      </x:c>
      <x:c r="G993" s="31" t="inlineStr">
        <x:is>
          <x:t xml:space="preserve">шт</x:t>
        </x:is>
      </x:c>
      <x:c r="H993" s="31" t="n"/>
      <x:c r="I993" s="31" t="n"/>
      <x:c r="J993" s="31" t="inlineStr">
        <x:is>
          <x:t xml:space="preserve">Основной склад</x:t>
        </x:is>
      </x:c>
      <x:c r="K993" s="31" t="inlineStr">
        <x:is>
          <x:t xml:space="preserve">СОТР-038</x:t>
        </x:is>
      </x:c>
      <x:c r="L993" s="31" t="inlineStr">
        <x:is>
          <x:t xml:space="preserve">ДОК-4295</x:t>
        </x:is>
      </x:c>
      <x:c r="M993" s="31" t="inlineStr">
        <x:is>
          <x:t xml:space="preserve">Проведен</x:t>
        </x:is>
      </x:c>
    </x:row>
    <x:row r="994">
      <x:c r="A994" s="31" t="inlineStr">
        <x:is>
          <x:t xml:space="preserve">СКЛ-000993</x:t>
        </x:is>
      </x:c>
      <x:c r="B994" s="31" t="n">
        <x:v>46149</x:v>
      </x:c>
      <x:c r="C994" s="31" t="inlineStr">
        <x:is>
          <x:t xml:space="preserve">Приход</x:t>
        </x:is>
      </x:c>
      <x:c r="D994" s="31" t="inlineStr">
        <x:is>
          <x:t xml:space="preserve">МАТ-0008</x:t>
        </x:is>
      </x:c>
      <x:c r="E994" s="31" t="inlineStr">
        <x:is>
          <x:t xml:space="preserve">Швеллер 12П</x:t>
        </x:is>
      </x:c>
      <x:c r="F994" s="31" t="n">
        <x:v>4</x:v>
      </x:c>
      <x:c r="G994" s="31" t="inlineStr">
        <x:is>
          <x:t xml:space="preserve">шт</x:t>
        </x:is>
      </x:c>
      <x:c r="H994" s="31" t="n"/>
      <x:c r="I994" s="31" t="n"/>
      <x:c r="J994" s="31" t="inlineStr">
        <x:is>
          <x:t xml:space="preserve">Основной склад</x:t>
        </x:is>
      </x:c>
      <x:c r="K994" s="31" t="inlineStr">
        <x:is>
          <x:t xml:space="preserve">СОТР-024</x:t>
        </x:is>
      </x:c>
      <x:c r="L994" s="31" t="inlineStr">
        <x:is>
          <x:t xml:space="preserve">ДОК-3125</x:t>
        </x:is>
      </x:c>
      <x:c r="M994" s="31" t="inlineStr">
        <x:is>
          <x:t xml:space="preserve">Проведен</x:t>
        </x:is>
      </x:c>
    </x:row>
    <x:row r="995">
      <x:c r="A995" s="31" t="inlineStr">
        <x:is>
          <x:t xml:space="preserve">СКЛ-000994</x:t>
        </x:is>
      </x:c>
      <x:c r="B995" s="31" t="n">
        <x:v>46031</x:v>
      </x:c>
      <x:c r="C995" s="31" t="inlineStr">
        <x:is>
          <x:t xml:space="preserve">Приход</x:t>
        </x:is>
      </x:c>
      <x:c r="D995" s="31" t="inlineStr">
        <x:is>
          <x:t xml:space="preserve">МАТ-0010</x:t>
        </x:is>
      </x:c>
      <x:c r="E995" s="31" t="inlineStr">
        <x:is>
          <x:t xml:space="preserve">Фланец Ду50 Ру16 / исп.2</x:t>
        </x:is>
      </x:c>
      <x:c r="F995" s="31" t="n">
        <x:v>13</x:v>
      </x:c>
      <x:c r="G995" s="31" t="inlineStr">
        <x:is>
          <x:t xml:space="preserve">шт</x:t>
        </x:is>
      </x:c>
      <x:c r="H995" s="31" t="n"/>
      <x:c r="I995" s="31" t="n"/>
      <x:c r="J995" s="31" t="inlineStr">
        <x:is>
          <x:t xml:space="preserve">Цеховой склад</x:t>
        </x:is>
      </x:c>
      <x:c r="K995" s="31" t="inlineStr">
        <x:is>
          <x:t xml:space="preserve">СОТР-039</x:t>
        </x:is>
      </x:c>
      <x:c r="L995" s="31" t="inlineStr">
        <x:is>
          <x:t xml:space="preserve">ДОК-7354</x:t>
        </x:is>
      </x:c>
      <x:c r="M995" s="31" t="inlineStr">
        <x:is>
          <x:t xml:space="preserve">Проведен</x:t>
        </x:is>
      </x:c>
    </x:row>
    <x:row r="996">
      <x:c r="A996" s="31" t="inlineStr">
        <x:is>
          <x:t xml:space="preserve">СКЛ-000995</x:t>
        </x:is>
      </x:c>
      <x:c r="B996" s="31" t="n">
        <x:v>46137</x:v>
      </x:c>
      <x:c r="C996" s="31" t="inlineStr">
        <x:is>
          <x:t xml:space="preserve">Резерв</x:t>
        </x:is>
      </x:c>
      <x:c r="D996" s="31" t="inlineStr">
        <x:is>
          <x:t xml:space="preserve">МАТ-0038</x:t>
        </x:is>
      </x:c>
      <x:c r="E996" s="31" t="inlineStr">
        <x:is>
          <x:t xml:space="preserve">ПЛК 24 дискр. входа / 16 дискр. выхода</x:t>
        </x:is>
      </x:c>
      <x:c r="F996" s="31" t="n">
        <x:v>-9</x:v>
      </x:c>
      <x:c r="G996" s="31" t="inlineStr">
        <x:is>
          <x:t xml:space="preserve">шт</x:t>
        </x:is>
      </x:c>
      <x:c r="H996" s="31" t="inlineStr">
        <x:is>
          <x:t xml:space="preserve">ЗК-1045</x:t>
        </x:is>
      </x:c>
      <x:c r="I996" s="31" t="n"/>
      <x:c r="J996" s="31" t="inlineStr">
        <x:is>
          <x:t xml:space="preserve">Основной склад</x:t>
        </x:is>
      </x:c>
      <x:c r="K996" s="31" t="inlineStr">
        <x:is>
          <x:t xml:space="preserve">СОТР-038</x:t>
        </x:is>
      </x:c>
      <x:c r="L996" s="31" t="inlineStr">
        <x:is>
          <x:t xml:space="preserve">ДОК-4408</x:t>
        </x:is>
      </x:c>
      <x:c r="M996" s="31" t="inlineStr">
        <x:is>
          <x:t xml:space="preserve">Проведен</x:t>
        </x:is>
      </x:c>
    </x:row>
    <x:row r="997">
      <x:c r="A997" s="31" t="inlineStr">
        <x:is>
          <x:t xml:space="preserve">СКЛ-000996</x:t>
        </x:is>
      </x:c>
      <x:c r="B997" s="31" t="n">
        <x:v>46194</x:v>
      </x:c>
      <x:c r="C997" s="31" t="inlineStr">
        <x:is>
          <x:t xml:space="preserve">Резерв</x:t>
        </x:is>
      </x:c>
      <x:c r="D997" s="31" t="inlineStr">
        <x:is>
          <x:t xml:space="preserve">МАТ-0047</x:t>
        </x:is>
      </x:c>
      <x:c r="E997" s="31" t="inlineStr">
        <x:is>
          <x:t xml:space="preserve">Контактор 25А / исп.2</x:t>
        </x:is>
      </x:c>
      <x:c r="F997" s="31" t="n">
        <x:v>-13</x:v>
      </x:c>
      <x:c r="G997" s="31" t="inlineStr">
        <x:is>
          <x:t xml:space="preserve">шт</x:t>
        </x:is>
      </x:c>
      <x:c r="H997" s="31" t="inlineStr">
        <x:is>
          <x:t xml:space="preserve">ЗК-1015</x:t>
        </x:is>
      </x:c>
      <x:c r="I997" s="31" t="n"/>
      <x:c r="J997" s="31" t="inlineStr">
        <x:is>
          <x:t xml:space="preserve">Основной склад</x:t>
        </x:is>
      </x:c>
      <x:c r="K997" s="31" t="inlineStr">
        <x:is>
          <x:t xml:space="preserve">СОТР-039</x:t>
        </x:is>
      </x:c>
      <x:c r="L997" s="31" t="inlineStr">
        <x:is>
          <x:t xml:space="preserve">ДОК-1618</x:t>
        </x:is>
      </x:c>
      <x:c r="M997" s="31" t="inlineStr">
        <x:is>
          <x:t xml:space="preserve">Проведен</x:t>
        </x:is>
      </x:c>
    </x:row>
    <x:row r="998">
      <x:c r="A998" s="31" t="inlineStr">
        <x:is>
          <x:t xml:space="preserve">СКЛ-000997</x:t>
        </x:is>
      </x:c>
      <x:c r="B998" s="31" t="n">
        <x:v>46053</x:v>
      </x:c>
      <x:c r="C998" s="31" t="inlineStr">
        <x:is>
          <x:t xml:space="preserve">Приход</x:t>
        </x:is>
      </x:c>
      <x:c r="D998" s="31" t="inlineStr">
        <x:is>
          <x:t xml:space="preserve">МАТ-0043</x:t>
        </x:is>
      </x:c>
      <x:c r="E998" s="31" t="inlineStr">
        <x:is>
          <x:t xml:space="preserve">Блок питания 24В</x:t>
        </x:is>
      </x:c>
      <x:c r="F998" s="31" t="n">
        <x:v>12</x:v>
      </x:c>
      <x:c r="G998" s="31" t="inlineStr">
        <x:is>
          <x:t xml:space="preserve">шт</x:t>
        </x:is>
      </x:c>
      <x:c r="H998" s="31" t="n"/>
      <x:c r="I998" s="31" t="n"/>
      <x:c r="J998" s="31" t="inlineStr">
        <x:is>
          <x:t xml:space="preserve">Основной склад</x:t>
        </x:is>
      </x:c>
      <x:c r="K998" s="31" t="inlineStr">
        <x:is>
          <x:t xml:space="preserve">СОТР-035</x:t>
        </x:is>
      </x:c>
      <x:c r="L998" s="31" t="inlineStr">
        <x:is>
          <x:t xml:space="preserve">ДОК-6750</x:t>
        </x:is>
      </x:c>
      <x:c r="M998" s="31" t="inlineStr">
        <x:is>
          <x:t xml:space="preserve">Проведен</x:t>
        </x:is>
      </x:c>
    </x:row>
    <x:row r="999">
      <x:c r="A999" s="31" t="inlineStr">
        <x:is>
          <x:t xml:space="preserve">СКЛ-000998</x:t>
        </x:is>
      </x:c>
      <x:c r="B999" s="31" t="n">
        <x:v>46128</x:v>
      </x:c>
      <x:c r="C999" s="31" t="inlineStr">
        <x:is>
          <x:t xml:space="preserve">Резерв</x:t>
        </x:is>
      </x:c>
      <x:c r="D999" s="31" t="inlineStr">
        <x:is>
          <x:t xml:space="preserve">МАТ-0013</x:t>
        </x:is>
      </x:c>
      <x:c r="E999" s="31" t="inlineStr">
        <x:is>
          <x:t xml:space="preserve">Уголок 50×5</x:t>
        </x:is>
      </x:c>
      <x:c r="F999" s="31" t="n">
        <x:v>-16.64</x:v>
      </x:c>
      <x:c r="G999" s="31" t="inlineStr">
        <x:is>
          <x:t xml:space="preserve">кг</x:t>
        </x:is>
      </x:c>
      <x:c r="H999" s="31" t="inlineStr">
        <x:is>
          <x:t xml:space="preserve">ЗК-1130</x:t>
        </x:is>
      </x:c>
      <x:c r="I999" s="31" t="n"/>
      <x:c r="J999" s="31" t="inlineStr">
        <x:is>
          <x:t xml:space="preserve">Брак/карантин</x:t>
        </x:is>
      </x:c>
      <x:c r="K999" s="31" t="inlineStr">
        <x:is>
          <x:t xml:space="preserve">СОТР-037</x:t>
        </x:is>
      </x:c>
      <x:c r="L999" s="31" t="inlineStr">
        <x:is>
          <x:t xml:space="preserve">ДОК-1713</x:t>
        </x:is>
      </x:c>
      <x:c r="M999" s="31" t="inlineStr">
        <x:is>
          <x:t xml:space="preserve">Проведен</x:t>
        </x:is>
      </x:c>
    </x:row>
    <x:row r="1000">
      <x:c r="A1000" s="31" t="inlineStr">
        <x:is>
          <x:t xml:space="preserve">СКЛ-000999</x:t>
        </x:is>
      </x:c>
      <x:c r="B1000" s="31" t="n">
        <x:v>46130</x:v>
      </x:c>
      <x:c r="C1000" s="31" t="inlineStr">
        <x:is>
          <x:t xml:space="preserve">Резерв</x:t>
        </x:is>
      </x:c>
      <x:c r="D1000" s="31" t="inlineStr">
        <x:is>
          <x:t xml:space="preserve">МАТ-0085</x:t>
        </x:is>
      </x:c>
      <x:c r="E1000" s="31" t="inlineStr">
        <x:is>
          <x:t xml:space="preserve">Пленка стрейч</x:t>
        </x:is>
      </x:c>
      <x:c r="F1000" s="31" t="n">
        <x:v>-6</x:v>
      </x:c>
      <x:c r="G1000" s="31" t="inlineStr">
        <x:is>
          <x:t xml:space="preserve">шт</x:t>
        </x:is>
      </x:c>
      <x:c r="H1000" s="31" t="inlineStr">
        <x:is>
          <x:t xml:space="preserve">ЗК-1072</x:t>
        </x:is>
      </x:c>
      <x:c r="I1000" s="31" t="n"/>
      <x:c r="J1000" s="31" t="inlineStr">
        <x:is>
          <x:t xml:space="preserve">Основной склад</x:t>
        </x:is>
      </x:c>
      <x:c r="K1000" s="31" t="inlineStr">
        <x:is>
          <x:t xml:space="preserve">СОТР-034</x:t>
        </x:is>
      </x:c>
      <x:c r="L1000" s="31" t="inlineStr">
        <x:is>
          <x:t xml:space="preserve">ДОК-5027</x:t>
        </x:is>
      </x:c>
      <x:c r="M1000" s="31" t="inlineStr">
        <x:is>
          <x:t xml:space="preserve">Проведен</x:t>
        </x:is>
      </x:c>
    </x:row>
    <x:row r="1001">
      <x:c r="A1001" s="31" t="inlineStr">
        <x:is>
          <x:t xml:space="preserve">СКЛ-001000</x:t>
        </x:is>
      </x:c>
      <x:c r="B1001" s="31" t="n">
        <x:v>46040</x:v>
      </x:c>
      <x:c r="C1001" s="31" t="inlineStr">
        <x:is>
          <x:t xml:space="preserve">Резерв</x:t>
        </x:is>
      </x:c>
      <x:c r="D1001" s="31" t="inlineStr">
        <x:is>
          <x:t xml:space="preserve">МАТ-0084</x:t>
        </x:is>
      </x:c>
      <x:c r="E1001" s="31" t="inlineStr">
        <x:is>
          <x:t xml:space="preserve">Поддон 1200×800</x:t>
        </x:is>
      </x:c>
      <x:c r="F1001" s="31" t="n">
        <x:v>-9</x:v>
      </x:c>
      <x:c r="G1001" s="31" t="inlineStr">
        <x:is>
          <x:t xml:space="preserve">шт</x:t>
        </x:is>
      </x:c>
      <x:c r="H1001" s="31" t="inlineStr">
        <x:is>
          <x:t xml:space="preserve">ЗК-1038</x:t>
        </x:is>
      </x:c>
      <x:c r="I1001" s="31" t="n"/>
      <x:c r="J1001" s="31" t="inlineStr">
        <x:is>
          <x:t xml:space="preserve">Цеховой склад</x:t>
        </x:is>
      </x:c>
      <x:c r="K1001" s="31" t="inlineStr">
        <x:is>
          <x:t xml:space="preserve">СОТР-037</x:t>
        </x:is>
      </x:c>
      <x:c r="L1001" s="31" t="inlineStr">
        <x:is>
          <x:t xml:space="preserve">ДОК-4885</x:t>
        </x:is>
      </x:c>
      <x:c r="M1001" s="31" t="inlineStr">
        <x:is>
          <x:t xml:space="preserve">Проведен</x:t>
        </x:is>
      </x:c>
    </x:row>
    <x:row r="1002">
      <x:c r="A1002" s="31" t="inlineStr">
        <x:is>
          <x:t xml:space="preserve">СКЛ-001001</x:t>
        </x:is>
      </x:c>
      <x:c r="B1002" s="31" t="n">
        <x:v>46088</x:v>
      </x:c>
      <x:c r="C1002" s="31" t="inlineStr">
        <x:is>
          <x:t xml:space="preserve">Списание</x:t>
        </x:is>
      </x:c>
      <x:c r="D1002" s="31" t="inlineStr">
        <x:is>
          <x:t xml:space="preserve">МАТ-0052</x:t>
        </x:is>
      </x:c>
      <x:c r="E1002" s="31" t="inlineStr">
        <x:is>
          <x:t xml:space="preserve">Кран шаровой Ду50 / исп.2</x:t>
        </x:is>
      </x:c>
      <x:c r="F1002" s="31" t="n">
        <x:v>-4</x:v>
      </x:c>
      <x:c r="G1002" s="31" t="inlineStr">
        <x:is>
          <x:t xml:space="preserve">шт</x:t>
        </x:is>
      </x:c>
      <x:c r="H1002" s="31" t="n"/>
      <x:c r="I1002" s="31" t="n"/>
      <x:c r="J1002" s="31" t="inlineStr">
        <x:is>
          <x:t xml:space="preserve">Основной склад</x:t>
        </x:is>
      </x:c>
      <x:c r="K1002" s="31" t="inlineStr">
        <x:is>
          <x:t xml:space="preserve">СОТР-024</x:t>
        </x:is>
      </x:c>
      <x:c r="L1002" s="31" t="inlineStr">
        <x:is>
          <x:t xml:space="preserve">ДОК-5363</x:t>
        </x:is>
      </x:c>
      <x:c r="M1002" s="31" t="inlineStr">
        <x:is>
          <x:t xml:space="preserve">Проведен</x:t>
        </x:is>
      </x:c>
    </x:row>
    <x:row r="1003">
      <x:c r="A1003" s="31" t="inlineStr">
        <x:is>
          <x:t xml:space="preserve">СКЛ-001002</x:t>
        </x:is>
      </x:c>
      <x:c r="B1003" s="31" t="n">
        <x:v>46124</x:v>
      </x:c>
      <x:c r="C1003" s="31" t="inlineStr">
        <x:is>
          <x:t xml:space="preserve">Списание</x:t>
        </x:is>
      </x:c>
      <x:c r="D1003" s="31" t="inlineStr">
        <x:is>
          <x:t xml:space="preserve">МАТ-0068</x:t>
        </x:is>
      </x:c>
      <x:c r="E1003" s="31" t="inlineStr">
        <x:is>
          <x:t xml:space="preserve">Грунт эпоксидный</x:t>
        </x:is>
      </x:c>
      <x:c r="F1003" s="31" t="n">
        <x:v>-11.68</x:v>
      </x:c>
      <x:c r="G1003" s="31" t="inlineStr">
        <x:is>
          <x:t xml:space="preserve">л</x:t>
        </x:is>
      </x:c>
      <x:c r="H1003" s="31" t="n"/>
      <x:c r="I1003" s="31" t="n"/>
      <x:c r="J1003" s="31" t="inlineStr">
        <x:is>
          <x:t xml:space="preserve">Цеховой склад</x:t>
        </x:is>
      </x:c>
      <x:c r="K1003" s="31" t="inlineStr">
        <x:is>
          <x:t xml:space="preserve">СОТР-034</x:t>
        </x:is>
      </x:c>
      <x:c r="L1003" s="31" t="inlineStr">
        <x:is>
          <x:t xml:space="preserve">ДОК-4216</x:t>
        </x:is>
      </x:c>
      <x:c r="M1003" s="31" t="inlineStr">
        <x:is>
          <x:t xml:space="preserve">Проведен</x:t>
        </x:is>
      </x:c>
    </x:row>
    <x:row r="1004">
      <x:c r="A1004" s="31" t="inlineStr">
        <x:is>
          <x:t xml:space="preserve">СКЛ-001003</x:t>
        </x:is>
      </x:c>
      <x:c r="B1004" s="31" t="n">
        <x:v>46174</x:v>
      </x:c>
      <x:c r="C1004" s="31" t="inlineStr">
        <x:is>
          <x:t xml:space="preserve">Резерв</x:t>
        </x:is>
      </x:c>
      <x:c r="D1004" s="31" t="inlineStr">
        <x:is>
          <x:t xml:space="preserve">МАТ-0065</x:t>
        </x:is>
      </x:c>
      <x:c r="E1004" s="31" t="inlineStr">
        <x:is>
          <x:t xml:space="preserve">Гофра металлическая</x:t>
        </x:is>
      </x:c>
      <x:c r="F1004" s="31" t="n">
        <x:v>-14</x:v>
      </x:c>
      <x:c r="G1004" s="31" t="inlineStr">
        <x:is>
          <x:t xml:space="preserve">шт</x:t>
        </x:is>
      </x:c>
      <x:c r="H1004" s="31" t="inlineStr">
        <x:is>
          <x:t xml:space="preserve">ЗК-1074</x:t>
        </x:is>
      </x:c>
      <x:c r="I1004" s="31" t="n"/>
      <x:c r="J1004" s="31" t="inlineStr">
        <x:is>
          <x:t xml:space="preserve">Цеховой склад</x:t>
        </x:is>
      </x:c>
      <x:c r="K1004" s="31" t="inlineStr">
        <x:is>
          <x:t xml:space="preserve">СОТР-035</x:t>
        </x:is>
      </x:c>
      <x:c r="L1004" s="31" t="inlineStr">
        <x:is>
          <x:t xml:space="preserve">ДОК-4587</x:t>
        </x:is>
      </x:c>
      <x:c r="M1004" s="31" t="inlineStr">
        <x:is>
          <x:t xml:space="preserve">Проведен</x:t>
        </x:is>
      </x:c>
    </x:row>
    <x:row r="1005">
      <x:c r="A1005" s="31" t="inlineStr">
        <x:is>
          <x:t xml:space="preserve">СКЛ-001004</x:t>
        </x:is>
      </x:c>
      <x:c r="B1005" s="31" t="n">
        <x:v>46182</x:v>
      </x:c>
      <x:c r="C1005" s="31" t="inlineStr">
        <x:is>
          <x:t xml:space="preserve">Резерв</x:t>
        </x:is>
      </x:c>
      <x:c r="D1005" s="31" t="inlineStr">
        <x:is>
          <x:t xml:space="preserve">МАТ-0046</x:t>
        </x:is>
      </x:c>
      <x:c r="E1005" s="31" t="inlineStr">
        <x:is>
          <x:t xml:space="preserve">Контактор 25А</x:t>
        </x:is>
      </x:c>
      <x:c r="F1005" s="31" t="n">
        <x:v>-12</x:v>
      </x:c>
      <x:c r="G1005" s="31" t="inlineStr">
        <x:is>
          <x:t xml:space="preserve">шт</x:t>
        </x:is>
      </x:c>
      <x:c r="H1005" s="31" t="inlineStr">
        <x:is>
          <x:t xml:space="preserve">ЗК-1102</x:t>
        </x:is>
      </x:c>
      <x:c r="I1005" s="31" t="n"/>
      <x:c r="J1005" s="31" t="inlineStr">
        <x:is>
          <x:t xml:space="preserve">Основной склад</x:t>
        </x:is>
      </x:c>
      <x:c r="K1005" s="31" t="inlineStr">
        <x:is>
          <x:t xml:space="preserve">СОТР-034</x:t>
        </x:is>
      </x:c>
      <x:c r="L1005" s="31" t="inlineStr">
        <x:is>
          <x:t xml:space="preserve">ДОК-5270</x:t>
        </x:is>
      </x:c>
      <x:c r="M1005" s="31" t="inlineStr">
        <x:is>
          <x:t xml:space="preserve">Черновик</x:t>
        </x:is>
      </x:c>
    </x:row>
    <x:row r="1006">
      <x:c r="A1006" s="31" t="inlineStr">
        <x:is>
          <x:t xml:space="preserve">СКЛ-001005</x:t>
        </x:is>
      </x:c>
      <x:c r="B1006" s="31" t="n">
        <x:v>46130</x:v>
      </x:c>
      <x:c r="C1006" s="31" t="inlineStr">
        <x:is>
          <x:t xml:space="preserve">Выдача в производство</x:t>
        </x:is>
      </x:c>
      <x:c r="D1006" s="31" t="inlineStr">
        <x:is>
          <x:t xml:space="preserve">МАТ-0079</x:t>
        </x:is>
      </x:c>
      <x:c r="E1006" s="31" t="inlineStr">
        <x:is>
          <x:t xml:space="preserve">Гайка М12 / исп.2</x:t>
        </x:is>
      </x:c>
      <x:c r="F1006" s="31" t="n">
        <x:v>-17</x:v>
      </x:c>
      <x:c r="G1006" s="31" t="inlineStr">
        <x:is>
          <x:t xml:space="preserve">шт</x:t>
        </x:is>
      </x:c>
      <x:c r="H1006" s="31" t="inlineStr">
        <x:is>
          <x:t xml:space="preserve">ЗК-1092</x:t>
        </x:is>
      </x:c>
      <x:c r="I1006" s="31" t="inlineStr">
        <x:is>
          <x:t xml:space="preserve">ПЗ-00153</x:t>
        </x:is>
      </x:c>
      <x:c r="J1006" s="31" t="inlineStr">
        <x:is>
          <x:t xml:space="preserve">Основной склад</x:t>
        </x:is>
      </x:c>
      <x:c r="K1006" s="31" t="inlineStr">
        <x:is>
          <x:t xml:space="preserve">СОТР-024</x:t>
        </x:is>
      </x:c>
      <x:c r="L1006" s="31" t="inlineStr">
        <x:is>
          <x:t xml:space="preserve">ДОК-1717</x:t>
        </x:is>
      </x:c>
      <x:c r="M1006" s="31" t="inlineStr">
        <x:is>
          <x:t xml:space="preserve">Проведен</x:t>
        </x:is>
      </x:c>
    </x:row>
    <x:row r="1007">
      <x:c r="A1007" s="31" t="inlineStr">
        <x:is>
          <x:t xml:space="preserve">СКЛ-001006</x:t>
        </x:is>
      </x:c>
      <x:c r="B1007" s="31" t="n">
        <x:v>46165</x:v>
      </x:c>
      <x:c r="C1007" s="31" t="inlineStr">
        <x:is>
          <x:t xml:space="preserve">Резерв</x:t>
        </x:is>
      </x:c>
      <x:c r="D1007" s="31" t="inlineStr">
        <x:is>
          <x:t xml:space="preserve">МАТ-0047</x:t>
        </x:is>
      </x:c>
      <x:c r="E1007" s="31" t="inlineStr">
        <x:is>
          <x:t xml:space="preserve">Контактор 25А / исп.2</x:t>
        </x:is>
      </x:c>
      <x:c r="F1007" s="31" t="n">
        <x:v>-7</x:v>
      </x:c>
      <x:c r="G1007" s="31" t="inlineStr">
        <x:is>
          <x:t xml:space="preserve">шт</x:t>
        </x:is>
      </x:c>
      <x:c r="H1007" s="31" t="inlineStr">
        <x:is>
          <x:t xml:space="preserve">ЗК-1045</x:t>
        </x:is>
      </x:c>
      <x:c r="I1007" s="31" t="n"/>
      <x:c r="J1007" s="31" t="inlineStr">
        <x:is>
          <x:t xml:space="preserve">Основной склад</x:t>
        </x:is>
      </x:c>
      <x:c r="K1007" s="31" t="inlineStr">
        <x:is>
          <x:t xml:space="preserve">СОТР-034</x:t>
        </x:is>
      </x:c>
      <x:c r="L1007" s="31" t="inlineStr">
        <x:is>
          <x:t xml:space="preserve">ДОК-7652</x:t>
        </x:is>
      </x:c>
      <x:c r="M1007" s="31" t="inlineStr">
        <x:is>
          <x:t xml:space="preserve">Проведен</x:t>
        </x:is>
      </x:c>
    </x:row>
    <x:row r="1008">
      <x:c r="A1008" s="31" t="inlineStr">
        <x:is>
          <x:t xml:space="preserve">СКЛ-001007</x:t>
        </x:is>
      </x:c>
      <x:c r="B1008" s="31" t="n">
        <x:v>46147</x:v>
      </x:c>
      <x:c r="C1008" s="31" t="inlineStr">
        <x:is>
          <x:t xml:space="preserve">Выдача в производство</x:t>
        </x:is>
      </x:c>
      <x:c r="D1008" s="31" t="inlineStr">
        <x:is>
          <x:t xml:space="preserve">МАТ-0001</x:t>
        </x:is>
      </x:c>
      <x:c r="E1008" s="31" t="inlineStr">
        <x:is>
          <x:t xml:space="preserve">Лист стальной 09Г2С 8 мм</x:t>
        </x:is>
      </x:c>
      <x:c r="F1008" s="31" t="n">
        <x:v>-25.01</x:v>
      </x:c>
      <x:c r="G1008" s="31" t="inlineStr">
        <x:is>
          <x:t xml:space="preserve">м</x:t>
        </x:is>
      </x:c>
      <x:c r="H1008" s="31" t="inlineStr">
        <x:is>
          <x:t xml:space="preserve">ЗК-1056</x:t>
        </x:is>
      </x:c>
      <x:c r="I1008" s="31" t="inlineStr">
        <x:is>
          <x:t xml:space="preserve">ПЗ-00006</x:t>
        </x:is>
      </x:c>
      <x:c r="J1008" s="31" t="inlineStr">
        <x:is>
          <x:t xml:space="preserve">Цеховой склад</x:t>
        </x:is>
      </x:c>
      <x:c r="K1008" s="31" t="inlineStr">
        <x:is>
          <x:t xml:space="preserve">СОТР-037</x:t>
        </x:is>
      </x:c>
      <x:c r="L1008" s="31" t="inlineStr">
        <x:is>
          <x:t xml:space="preserve">ДОК-1429</x:t>
        </x:is>
      </x:c>
      <x:c r="M1008" s="31" t="inlineStr">
        <x:is>
          <x:t xml:space="preserve">Проведен</x:t>
        </x:is>
      </x:c>
    </x:row>
    <x:row r="1009">
      <x:c r="A1009" s="31" t="inlineStr">
        <x:is>
          <x:t xml:space="preserve">СКЛ-001008</x:t>
        </x:is>
      </x:c>
      <x:c r="B1009" s="31" t="n">
        <x:v>46131</x:v>
      </x:c>
      <x:c r="C1009" s="31" t="inlineStr">
        <x:is>
          <x:t xml:space="preserve">Приход</x:t>
        </x:is>
      </x:c>
      <x:c r="D1009" s="31" t="inlineStr">
        <x:is>
          <x:t xml:space="preserve">МАТ-0041</x:t>
        </x:is>
      </x:c>
      <x:c r="E1009" s="31" t="inlineStr">
        <x:is>
          <x:t xml:space="preserve">модуль аналогового входа 4 канала / исп.2</x:t>
        </x:is>
      </x:c>
      <x:c r="F1009" s="31" t="n">
        <x:v>14</x:v>
      </x:c>
      <x:c r="G1009" s="31" t="inlineStr">
        <x:is>
          <x:t xml:space="preserve">шт</x:t>
        </x:is>
      </x:c>
      <x:c r="H1009" s="31" t="n"/>
      <x:c r="I1009" s="31" t="n"/>
      <x:c r="J1009" s="31" t="inlineStr">
        <x:is>
          <x:t xml:space="preserve">Основной склад</x:t>
        </x:is>
      </x:c>
      <x:c r="K1009" s="31" t="inlineStr">
        <x:is>
          <x:t xml:space="preserve">СОТР-037</x:t>
        </x:is>
      </x:c>
      <x:c r="L1009" s="31" t="inlineStr">
        <x:is>
          <x:t xml:space="preserve">ДОК-9451</x:t>
        </x:is>
      </x:c>
      <x:c r="M1009" s="31" t="inlineStr">
        <x:is>
          <x:t xml:space="preserve">Проведен</x:t>
        </x:is>
      </x:c>
    </x:row>
    <x:row r="1010">
      <x:c r="A1010" s="31" t="inlineStr">
        <x:is>
          <x:t xml:space="preserve">СКЛ-001009</x:t>
        </x:is>
      </x:c>
      <x:c r="B1010" s="31" t="n">
        <x:v>46167</x:v>
      </x:c>
      <x:c r="C1010" s="31" t="inlineStr">
        <x:is>
          <x:t xml:space="preserve">Выдача в производство</x:t>
        </x:is>
      </x:c>
      <x:c r="D1010" s="31" t="inlineStr">
        <x:is>
          <x:t xml:space="preserve">МАТ-0079</x:t>
        </x:is>
      </x:c>
      <x:c r="E1010" s="31" t="inlineStr">
        <x:is>
          <x:t xml:space="preserve">Гайка М12 / исп.2</x:t>
        </x:is>
      </x:c>
      <x:c r="F1010" s="31" t="n">
        <x:v>-11</x:v>
      </x:c>
      <x:c r="G1010" s="31" t="inlineStr">
        <x:is>
          <x:t xml:space="preserve">шт</x:t>
        </x:is>
      </x:c>
      <x:c r="H1010" s="31" t="inlineStr">
        <x:is>
          <x:t xml:space="preserve">ЗК-1010</x:t>
        </x:is>
      </x:c>
      <x:c r="I1010" s="31" t="inlineStr">
        <x:is>
          <x:t xml:space="preserve">ПЗ-00204</x:t>
        </x:is>
      </x:c>
      <x:c r="J1010" s="31" t="inlineStr">
        <x:is>
          <x:t xml:space="preserve">Брак/карантин</x:t>
        </x:is>
      </x:c>
      <x:c r="K1010" s="31" t="inlineStr">
        <x:is>
          <x:t xml:space="preserve">СОТР-039</x:t>
        </x:is>
      </x:c>
      <x:c r="L1010" s="31" t="inlineStr">
        <x:is>
          <x:t xml:space="preserve">ДОК-3180</x:t>
        </x:is>
      </x:c>
      <x:c r="M1010" s="31" t="inlineStr">
        <x:is>
          <x:t xml:space="preserve">Проведен</x:t>
        </x:is>
      </x:c>
    </x:row>
    <x:row r="1011">
      <x:c r="A1011" s="31" t="inlineStr">
        <x:is>
          <x:t xml:space="preserve">СКЛ-001010</x:t>
        </x:is>
      </x:c>
      <x:c r="B1011" s="31" t="n">
        <x:v>46092</x:v>
      </x:c>
      <x:c r="C1011" s="31" t="inlineStr">
        <x:is>
          <x:t xml:space="preserve">Резерв</x:t>
        </x:is>
      </x:c>
      <x:c r="D1011" s="31" t="inlineStr">
        <x:is>
          <x:t xml:space="preserve">МАТ-0022</x:t>
        </x:is>
      </x:c>
      <x:c r="E1011" s="31" t="inlineStr">
        <x:is>
          <x:t xml:space="preserve">Торцевое уплотнение / исп.2</x:t>
        </x:is>
      </x:c>
      <x:c r="F1011" s="31" t="n">
        <x:v>-9</x:v>
      </x:c>
      <x:c r="G1011" s="31" t="inlineStr">
        <x:is>
          <x:t xml:space="preserve">шт</x:t>
        </x:is>
      </x:c>
      <x:c r="H1011" s="31" t="inlineStr">
        <x:is>
          <x:t xml:space="preserve">ЗК-1011</x:t>
        </x:is>
      </x:c>
      <x:c r="I1011" s="31" t="n"/>
      <x:c r="J1011" s="31" t="inlineStr">
        <x:is>
          <x:t xml:space="preserve">Основной склад</x:t>
        </x:is>
      </x:c>
      <x:c r="K1011" s="31" t="inlineStr">
        <x:is>
          <x:t xml:space="preserve">СОТР-038</x:t>
        </x:is>
      </x:c>
      <x:c r="L1011" s="31" t="inlineStr">
        <x:is>
          <x:t xml:space="preserve">ДОК-4917</x:t>
        </x:is>
      </x:c>
      <x:c r="M1011" s="31" t="inlineStr">
        <x:is>
          <x:t xml:space="preserve">Проведен</x:t>
        </x:is>
      </x:c>
    </x:row>
    <x:row r="1012">
      <x:c r="A1012" s="31" t="inlineStr">
        <x:is>
          <x:t xml:space="preserve">СКЛ-001011</x:t>
        </x:is>
      </x:c>
      <x:c r="B1012" s="31" t="n">
        <x:v>46140</x:v>
      </x:c>
      <x:c r="C1012" s="31" t="inlineStr">
        <x:is>
          <x:t xml:space="preserve">Приход</x:t>
        </x:is>
      </x:c>
      <x:c r="D1012" s="31" t="inlineStr">
        <x:is>
          <x:t xml:space="preserve">МАТ-0074</x:t>
        </x:is>
      </x:c>
      <x:c r="E1012" s="31" t="inlineStr">
        <x:is>
          <x:t xml:space="preserve">Абразив для пескоструя</x:t>
        </x:is>
      </x:c>
      <x:c r="F1012" s="31" t="n">
        <x:v>2</x:v>
      </x:c>
      <x:c r="G1012" s="31" t="inlineStr">
        <x:is>
          <x:t xml:space="preserve">шт</x:t>
        </x:is>
      </x:c>
      <x:c r="H1012" s="31" t="n"/>
      <x:c r="I1012" s="31" t="n"/>
      <x:c r="J1012" s="31" t="inlineStr">
        <x:is>
          <x:t xml:space="preserve">Цеховой склад</x:t>
        </x:is>
      </x:c>
      <x:c r="K1012" s="31" t="inlineStr">
        <x:is>
          <x:t xml:space="preserve">СОТР-039</x:t>
        </x:is>
      </x:c>
      <x:c r="L1012" s="31" t="inlineStr">
        <x:is>
          <x:t xml:space="preserve">ДОК-2650</x:t>
        </x:is>
      </x:c>
      <x:c r="M1012" s="31" t="inlineStr">
        <x:is>
          <x:t xml:space="preserve">Проведен</x:t>
        </x:is>
      </x:c>
    </x:row>
    <x:row r="1013">
      <x:c r="A1013" s="31" t="inlineStr">
        <x:is>
          <x:t xml:space="preserve">СКЛ-001012</x:t>
        </x:is>
      </x:c>
      <x:c r="B1013" s="31" t="n">
        <x:v>46182</x:v>
      </x:c>
      <x:c r="C1013" s="31" t="inlineStr">
        <x:is>
          <x:t xml:space="preserve">Резерв</x:t>
        </x:is>
      </x:c>
      <x:c r="D1013" s="31" t="inlineStr">
        <x:is>
          <x:t xml:space="preserve">МАТ-0032</x:t>
        </x:is>
      </x:c>
      <x:c r="E1013" s="31" t="inlineStr">
        <x:is>
          <x:t xml:space="preserve">Датчик температуры Пт100</x:t>
        </x:is>
      </x:c>
      <x:c r="F1013" s="31" t="n">
        <x:v>-11</x:v>
      </x:c>
      <x:c r="G1013" s="31" t="inlineStr">
        <x:is>
          <x:t xml:space="preserve">шт</x:t>
        </x:is>
      </x:c>
      <x:c r="H1013" s="31" t="inlineStr">
        <x:is>
          <x:t xml:space="preserve">ЗК-1050</x:t>
        </x:is>
      </x:c>
      <x:c r="I1013" s="31" t="n"/>
      <x:c r="J1013" s="31" t="inlineStr">
        <x:is>
          <x:t xml:space="preserve">Основной склад</x:t>
        </x:is>
      </x:c>
      <x:c r="K1013" s="31" t="inlineStr">
        <x:is>
          <x:t xml:space="preserve">СОТР-033</x:t>
        </x:is>
      </x:c>
      <x:c r="L1013" s="31" t="inlineStr">
        <x:is>
          <x:t xml:space="preserve">ДОК-5935</x:t>
        </x:is>
      </x:c>
      <x:c r="M1013" s="31" t="inlineStr">
        <x:is>
          <x:t xml:space="preserve">Требует проверки</x:t>
        </x:is>
      </x:c>
    </x:row>
    <x:row r="1014">
      <x:c r="A1014" s="31" t="inlineStr">
        <x:is>
          <x:t xml:space="preserve">СКЛ-001013</x:t>
        </x:is>
      </x:c>
      <x:c r="B1014" s="31" t="n">
        <x:v>46171</x:v>
      </x:c>
      <x:c r="C1014" s="31" t="inlineStr">
        <x:is>
          <x:t xml:space="preserve">Возврат</x:t>
        </x:is>
      </x:c>
      <x:c r="D1014" s="31" t="inlineStr">
        <x:is>
          <x:t xml:space="preserve">МАТ-0019</x:t>
        </x:is>
      </x:c>
      <x:c r="E1014" s="31" t="inlineStr">
        <x:is>
          <x:t xml:space="preserve">Насос дозировочный</x:t>
        </x:is>
      </x:c>
      <x:c r="F1014" s="31" t="n">
        <x:v>5</x:v>
      </x:c>
      <x:c r="G1014" s="31" t="inlineStr">
        <x:is>
          <x:t xml:space="preserve">шт</x:t>
        </x:is>
      </x:c>
      <x:c r="H1014" s="31" t="n"/>
      <x:c r="I1014" s="31" t="n"/>
      <x:c r="J1014" s="31" t="inlineStr">
        <x:is>
          <x:t xml:space="preserve">Основной склад</x:t>
        </x:is>
      </x:c>
      <x:c r="K1014" s="31" t="inlineStr">
        <x:is>
          <x:t xml:space="preserve">СОТР-034</x:t>
        </x:is>
      </x:c>
      <x:c r="L1014" s="31" t="inlineStr">
        <x:is>
          <x:t xml:space="preserve">ДОК-3366</x:t>
        </x:is>
      </x:c>
      <x:c r="M1014" s="31" t="inlineStr">
        <x:is>
          <x:t xml:space="preserve">Проведен</x:t>
        </x:is>
      </x:c>
    </x:row>
    <x:row r="1015">
      <x:c r="A1015" s="31" t="inlineStr">
        <x:is>
          <x:t xml:space="preserve">СКЛ-001014</x:t>
        </x:is>
      </x:c>
      <x:c r="B1015" s="31" t="n">
        <x:v>46064</x:v>
      </x:c>
      <x:c r="C1015" s="31" t="inlineStr">
        <x:is>
          <x:t xml:space="preserve">Резерв</x:t>
        </x:is>
      </x:c>
      <x:c r="D1015" s="31" t="inlineStr">
        <x:is>
          <x:t xml:space="preserve">МАТ-0071</x:t>
        </x:is>
      </x:c>
      <x:c r="E1015" s="31" t="inlineStr">
        <x:is>
          <x:t xml:space="preserve">Эмаль полиуретановая / исп.3</x:t>
        </x:is>
      </x:c>
      <x:c r="F1015" s="31" t="n">
        <x:v>-22.3</x:v>
      </x:c>
      <x:c r="G1015" s="31" t="inlineStr">
        <x:is>
          <x:t xml:space="preserve">кг</x:t>
        </x:is>
      </x:c>
      <x:c r="H1015" s="31" t="inlineStr">
        <x:is>
          <x:t xml:space="preserve">ЗК-1023</x:t>
        </x:is>
      </x:c>
      <x:c r="I1015" s="31" t="n"/>
      <x:c r="J1015" s="31" t="inlineStr">
        <x:is>
          <x:t xml:space="preserve">Основной склад</x:t>
        </x:is>
      </x:c>
      <x:c r="K1015" s="31" t="inlineStr">
        <x:is>
          <x:t xml:space="preserve">СОТР-037</x:t>
        </x:is>
      </x:c>
      <x:c r="L1015" s="31" t="inlineStr">
        <x:is>
          <x:t xml:space="preserve">ДОК-5881</x:t>
        </x:is>
      </x:c>
      <x:c r="M1015" s="31" t="inlineStr">
        <x:is>
          <x:t xml:space="preserve">Проведен</x:t>
        </x:is>
      </x:c>
    </x:row>
    <x:row r="1016">
      <x:c r="A1016" s="31" t="inlineStr">
        <x:is>
          <x:t xml:space="preserve">СКЛ-001015</x:t>
        </x:is>
      </x:c>
      <x:c r="B1016" s="31" t="n">
        <x:v>46092</x:v>
      </x:c>
      <x:c r="C1016" s="31" t="inlineStr">
        <x:is>
          <x:t xml:space="preserve">Выдача в производство</x:t>
        </x:is>
      </x:c>
      <x:c r="D1016" s="31" t="inlineStr">
        <x:is>
          <x:t xml:space="preserve">МАТ-0034</x:t>
        </x:is>
      </x:c>
      <x:c r="E1016" s="31" t="inlineStr">
        <x:is>
          <x:t xml:space="preserve">Манометр виброустойчивый</x:t>
        </x:is>
      </x:c>
      <x:c r="F1016" s="31" t="n">
        <x:v>-10</x:v>
      </x:c>
      <x:c r="G1016" s="31" t="inlineStr">
        <x:is>
          <x:t xml:space="preserve">шт</x:t>
        </x:is>
      </x:c>
      <x:c r="H1016" s="31" t="inlineStr">
        <x:is>
          <x:t xml:space="preserve">ЗК-1035</x:t>
        </x:is>
      </x:c>
      <x:c r="I1016" s="31" t="inlineStr">
        <x:is>
          <x:t xml:space="preserve">ПЗ-00088</x:t>
        </x:is>
      </x:c>
      <x:c r="J1016" s="31" t="inlineStr">
        <x:is>
          <x:t xml:space="preserve">Основной склад</x:t>
        </x:is>
      </x:c>
      <x:c r="K1016" s="31" t="inlineStr">
        <x:is>
          <x:t xml:space="preserve">СОТР-035</x:t>
        </x:is>
      </x:c>
      <x:c r="L1016" s="31" t="inlineStr">
        <x:is>
          <x:t xml:space="preserve">ДОК-3154</x:t>
        </x:is>
      </x:c>
      <x:c r="M1016" s="31" t="inlineStr">
        <x:is>
          <x:t xml:space="preserve">Проведен</x:t>
        </x:is>
      </x:c>
    </x:row>
    <x:row r="1017">
      <x:c r="A1017" s="31" t="inlineStr">
        <x:is>
          <x:t xml:space="preserve">СКЛ-001016</x:t>
        </x:is>
      </x:c>
      <x:c r="B1017" s="31" t="n">
        <x:v>46079</x:v>
      </x:c>
      <x:c r="C1017" s="31" t="inlineStr">
        <x:is>
          <x:t xml:space="preserve">Приход</x:t>
        </x:is>
      </x:c>
      <x:c r="D1017" s="31" t="inlineStr">
        <x:is>
          <x:t xml:space="preserve">МАТ-0008</x:t>
        </x:is>
      </x:c>
      <x:c r="E1017" s="31" t="inlineStr">
        <x:is>
          <x:t xml:space="preserve">Швеллер 12П</x:t>
        </x:is>
      </x:c>
      <x:c r="F1017" s="31" t="n">
        <x:v>4</x:v>
      </x:c>
      <x:c r="G1017" s="31" t="inlineStr">
        <x:is>
          <x:t xml:space="preserve">шт</x:t>
        </x:is>
      </x:c>
      <x:c r="H1017" s="31" t="n"/>
      <x:c r="I1017" s="31" t="n"/>
      <x:c r="J1017" s="31" t="inlineStr">
        <x:is>
          <x:t xml:space="preserve">Основной склад</x:t>
        </x:is>
      </x:c>
      <x:c r="K1017" s="31" t="inlineStr">
        <x:is>
          <x:t xml:space="preserve">СОТР-034</x:t>
        </x:is>
      </x:c>
      <x:c r="L1017" s="31" t="inlineStr">
        <x:is>
          <x:t xml:space="preserve">ДОК-9922</x:t>
        </x:is>
      </x:c>
      <x:c r="M1017" s="31" t="inlineStr">
        <x:is>
          <x:t xml:space="preserve">Проведен</x:t>
        </x:is>
      </x:c>
    </x:row>
    <x:row r="1018">
      <x:c r="A1018" s="31" t="inlineStr">
        <x:is>
          <x:t xml:space="preserve">СКЛ-001017</x:t>
        </x:is>
      </x:c>
      <x:c r="B1018" s="31" t="n">
        <x:v>46046</x:v>
      </x:c>
      <x:c r="C1018" s="31" t="inlineStr">
        <x:is>
          <x:t xml:space="preserve">Резерв</x:t>
        </x:is>
      </x:c>
      <x:c r="D1018" s="31" t="inlineStr">
        <x:is>
          <x:t xml:space="preserve">МАТ-0021</x:t>
        </x:is>
      </x:c>
      <x:c r="E1018" s="31" t="inlineStr">
        <x:is>
          <x:t xml:space="preserve">Торцевое уплотнение</x:t>
        </x:is>
      </x:c>
      <x:c r="F1018" s="31" t="n">
        <x:v>-11</x:v>
      </x:c>
      <x:c r="G1018" s="31" t="inlineStr">
        <x:is>
          <x:t xml:space="preserve">шт</x:t>
        </x:is>
      </x:c>
      <x:c r="H1018" s="31" t="inlineStr">
        <x:is>
          <x:t xml:space="preserve">ЗК-1050</x:t>
        </x:is>
      </x:c>
      <x:c r="I1018" s="31" t="n"/>
      <x:c r="J1018" s="31" t="inlineStr">
        <x:is>
          <x:t xml:space="preserve">Основной склад</x:t>
        </x:is>
      </x:c>
      <x:c r="K1018" s="31" t="inlineStr">
        <x:is>
          <x:t xml:space="preserve">СОТР-039</x:t>
        </x:is>
      </x:c>
      <x:c r="L1018" s="31" t="inlineStr">
        <x:is>
          <x:t xml:space="preserve">ДОК-2570</x:t>
        </x:is>
      </x:c>
      <x:c r="M1018" s="31" t="inlineStr">
        <x:is>
          <x:t xml:space="preserve">Проведен</x:t>
        </x:is>
      </x:c>
    </x:row>
    <x:row r="1019">
      <x:c r="A1019" s="31" t="inlineStr">
        <x:is>
          <x:t xml:space="preserve">СКЛ-001018</x:t>
        </x:is>
      </x:c>
      <x:c r="B1019" s="31" t="n">
        <x:v>46113</x:v>
      </x:c>
      <x:c r="C1019" s="31" t="inlineStr">
        <x:is>
          <x:t xml:space="preserve">Резерв</x:t>
        </x:is>
      </x:c>
      <x:c r="D1019" s="31" t="inlineStr">
        <x:is>
          <x:t xml:space="preserve">МАТ-0030</x:t>
        </x:is>
      </x:c>
      <x:c r="E1019" s="31" t="inlineStr">
        <x:is>
          <x:t xml:space="preserve">Частотный преобразователь 22 кВт / исп.2</x:t>
        </x:is>
      </x:c>
      <x:c r="F1019" s="31" t="n">
        <x:v>-20</x:v>
      </x:c>
      <x:c r="G1019" s="31" t="inlineStr">
        <x:is>
          <x:t xml:space="preserve">шт</x:t>
        </x:is>
      </x:c>
      <x:c r="H1019" s="31" t="inlineStr">
        <x:is>
          <x:t xml:space="preserve">ЗК-1037</x:t>
        </x:is>
      </x:c>
      <x:c r="I1019" s="31" t="n"/>
      <x:c r="J1019" s="31" t="inlineStr">
        <x:is>
          <x:t xml:space="preserve">Брак/карантин</x:t>
        </x:is>
      </x:c>
      <x:c r="K1019" s="31" t="inlineStr">
        <x:is>
          <x:t xml:space="preserve">СОТР-033</x:t>
        </x:is>
      </x:c>
      <x:c r="L1019" s="31" t="inlineStr">
        <x:is>
          <x:t xml:space="preserve">ДОК-8941</x:t>
        </x:is>
      </x:c>
      <x:c r="M1019" s="31" t="inlineStr">
        <x:is>
          <x:t xml:space="preserve">Требует проверки</x:t>
        </x:is>
      </x:c>
    </x:row>
    <x:row r="1020">
      <x:c r="A1020" s="31" t="inlineStr">
        <x:is>
          <x:t xml:space="preserve">СКЛ-001019</x:t>
        </x:is>
      </x:c>
      <x:c r="B1020" s="31" t="n">
        <x:v>46155</x:v>
      </x:c>
      <x:c r="C1020" s="31" t="inlineStr">
        <x:is>
          <x:t xml:space="preserve">Выдача в производство</x:t>
        </x:is>
      </x:c>
      <x:c r="D1020" s="31" t="inlineStr">
        <x:is>
          <x:t xml:space="preserve">МАТ-0024</x:t>
        </x:is>
      </x:c>
      <x:c r="E1020" s="31" t="inlineStr">
        <x:is>
          <x:t xml:space="preserve">Рабочее колесо / исп.2</x:t>
        </x:is>
      </x:c>
      <x:c r="F1020" s="31" t="n">
        <x:v>-14</x:v>
      </x:c>
      <x:c r="G1020" s="31" t="inlineStr">
        <x:is>
          <x:t xml:space="preserve">шт</x:t>
        </x:is>
      </x:c>
      <x:c r="H1020" s="31" t="inlineStr">
        <x:is>
          <x:t xml:space="preserve">ЗК-1103</x:t>
        </x:is>
      </x:c>
      <x:c r="I1020" s="31" t="inlineStr">
        <x:is>
          <x:t xml:space="preserve">ПЗ-00141</x:t>
        </x:is>
      </x:c>
      <x:c r="J1020" s="31" t="inlineStr">
        <x:is>
          <x:t xml:space="preserve">Цеховой склад</x:t>
        </x:is>
      </x:c>
      <x:c r="K1020" s="31" t="inlineStr">
        <x:is>
          <x:t xml:space="preserve">СОТР-036</x:t>
        </x:is>
      </x:c>
      <x:c r="L1020" s="31" t="inlineStr">
        <x:is>
          <x:t xml:space="preserve">ДОК-1917</x:t>
        </x:is>
      </x:c>
      <x:c r="M1020" s="31" t="inlineStr">
        <x:is>
          <x:t xml:space="preserve">Черновик</x:t>
        </x:is>
      </x:c>
    </x:row>
    <x:row r="1021">
      <x:c r="A1021" s="31" t="inlineStr">
        <x:is>
          <x:t xml:space="preserve">СКЛ-001020</x:t>
        </x:is>
      </x:c>
      <x:c r="B1021" s="31" t="n">
        <x:v>46123</x:v>
      </x:c>
      <x:c r="C1021" s="31" t="inlineStr">
        <x:is>
          <x:t xml:space="preserve">Выдача в производство</x:t>
        </x:is>
      </x:c>
      <x:c r="D1021" s="31" t="inlineStr">
        <x:is>
          <x:t xml:space="preserve">МАТ-0069</x:t>
        </x:is>
      </x:c>
      <x:c r="E1021" s="31" t="inlineStr">
        <x:is>
          <x:t xml:space="preserve">Эмаль полиуретановая</x:t>
        </x:is>
      </x:c>
      <x:c r="F1021" s="31" t="n">
        <x:v>-37.21</x:v>
      </x:c>
      <x:c r="G1021" s="31" t="inlineStr">
        <x:is>
          <x:t xml:space="preserve">л</x:t>
        </x:is>
      </x:c>
      <x:c r="H1021" s="31" t="inlineStr">
        <x:is>
          <x:t xml:space="preserve">ЗК-1121</x:t>
        </x:is>
      </x:c>
      <x:c r="I1021" s="31" t="inlineStr">
        <x:is>
          <x:t xml:space="preserve">ПЗ-00233</x:t>
        </x:is>
      </x:c>
      <x:c r="J1021" s="31" t="inlineStr">
        <x:is>
          <x:t xml:space="preserve">Основной склад</x:t>
        </x:is>
      </x:c>
      <x:c r="K1021" s="31" t="inlineStr">
        <x:is>
          <x:t xml:space="preserve">СОТР-033</x:t>
        </x:is>
      </x:c>
      <x:c r="L1021" s="31" t="inlineStr">
        <x:is>
          <x:t xml:space="preserve">ДОК-5506</x:t>
        </x:is>
      </x:c>
      <x:c r="M1021" s="31" t="inlineStr">
        <x:is>
          <x:t xml:space="preserve">Проведен</x:t>
        </x:is>
      </x:c>
    </x:row>
    <x:row r="1022">
      <x:c r="A1022" s="31" t="inlineStr">
        <x:is>
          <x:t xml:space="preserve">СКЛ-001021</x:t>
        </x:is>
      </x:c>
      <x:c r="B1022" s="31" t="n">
        <x:v>46041</x:v>
      </x:c>
      <x:c r="C1022" s="31" t="inlineStr">
        <x:is>
          <x:t xml:space="preserve">Приход</x:t>
        </x:is>
      </x:c>
      <x:c r="D1022" s="31" t="inlineStr">
        <x:is>
          <x:t xml:space="preserve">МАТ-0025</x:t>
        </x:is>
      </x:c>
      <x:c r="E1022" s="31" t="inlineStr">
        <x:is>
          <x:t xml:space="preserve">Двигатель 7.5 кВт</x:t>
        </x:is>
      </x:c>
      <x:c r="F1022" s="31" t="n">
        <x:v>15</x:v>
      </x:c>
      <x:c r="G1022" s="31" t="inlineStr">
        <x:is>
          <x:t xml:space="preserve">шт</x:t>
        </x:is>
      </x:c>
      <x:c r="H1022" s="31" t="n"/>
      <x:c r="I1022" s="31" t="n"/>
      <x:c r="J1022" s="31" t="inlineStr">
        <x:is>
          <x:t xml:space="preserve">Основной склад</x:t>
        </x:is>
      </x:c>
      <x:c r="K1022" s="31" t="inlineStr">
        <x:is>
          <x:t xml:space="preserve">СОТР-038</x:t>
        </x:is>
      </x:c>
      <x:c r="L1022" s="31" t="inlineStr">
        <x:is>
          <x:t xml:space="preserve">ДОК-5030</x:t>
        </x:is>
      </x:c>
      <x:c r="M1022" s="31" t="inlineStr">
        <x:is>
          <x:t xml:space="preserve">Черновик</x:t>
        </x:is>
      </x:c>
    </x:row>
    <x:row r="1023">
      <x:c r="A1023" s="31" t="inlineStr">
        <x:is>
          <x:t xml:space="preserve">СКЛ-001022</x:t>
        </x:is>
      </x:c>
      <x:c r="B1023" s="31" t="n">
        <x:v>46079</x:v>
      </x:c>
      <x:c r="C1023" s="31" t="inlineStr">
        <x:is>
          <x:t xml:space="preserve">Резерв</x:t>
        </x:is>
      </x:c>
      <x:c r="D1023" s="31" t="inlineStr">
        <x:is>
          <x:t xml:space="preserve">МАТ-0031</x:t>
        </x:is>
      </x:c>
      <x:c r="E1023" s="31" t="inlineStr">
        <x:is>
          <x:t xml:space="preserve">Датчик давления 0-16 бар</x:t>
        </x:is>
      </x:c>
      <x:c r="F1023" s="31" t="n">
        <x:v>-16</x:v>
      </x:c>
      <x:c r="G1023" s="31" t="inlineStr">
        <x:is>
          <x:t xml:space="preserve">шт</x:t>
        </x:is>
      </x:c>
      <x:c r="H1023" s="31" t="inlineStr">
        <x:is>
          <x:t xml:space="preserve">ЗК-1029</x:t>
        </x:is>
      </x:c>
      <x:c r="I1023" s="31" t="n"/>
      <x:c r="J1023" s="31" t="inlineStr">
        <x:is>
          <x:t xml:space="preserve">Брак/карантин</x:t>
        </x:is>
      </x:c>
      <x:c r="K1023" s="31" t="inlineStr">
        <x:is>
          <x:t xml:space="preserve">СОТР-037</x:t>
        </x:is>
      </x:c>
      <x:c r="L1023" s="31" t="inlineStr">
        <x:is>
          <x:t xml:space="preserve">ДОК-7931</x:t>
        </x:is>
      </x:c>
      <x:c r="M1023" s="31" t="inlineStr">
        <x:is>
          <x:t xml:space="preserve">Проведен</x:t>
        </x:is>
      </x:c>
    </x:row>
    <x:row r="1024">
      <x:c r="A1024" s="31" t="inlineStr">
        <x:is>
          <x:t xml:space="preserve">СКЛ-001023</x:t>
        </x:is>
      </x:c>
      <x:c r="B1024" s="31" t="n">
        <x:v>46140</x:v>
      </x:c>
      <x:c r="C1024" s="31" t="inlineStr">
        <x:is>
          <x:t xml:space="preserve">Резерв</x:t>
        </x:is>
      </x:c>
      <x:c r="D1024" s="31" t="inlineStr">
        <x:is>
          <x:t xml:space="preserve">МАТ-0021</x:t>
        </x:is>
      </x:c>
      <x:c r="E1024" s="31" t="inlineStr">
        <x:is>
          <x:t xml:space="preserve">Торцевое уплотнение</x:t>
        </x:is>
      </x:c>
      <x:c r="F1024" s="31" t="n">
        <x:v>-7</x:v>
      </x:c>
      <x:c r="G1024" s="31" t="inlineStr">
        <x:is>
          <x:t xml:space="preserve">шт</x:t>
        </x:is>
      </x:c>
      <x:c r="H1024" s="31" t="inlineStr">
        <x:is>
          <x:t xml:space="preserve">ЗК-1099</x:t>
        </x:is>
      </x:c>
      <x:c r="I1024" s="31" t="n"/>
      <x:c r="J1024" s="31" t="inlineStr">
        <x:is>
          <x:t xml:space="preserve">Основной склад</x:t>
        </x:is>
      </x:c>
      <x:c r="K1024" s="31" t="inlineStr">
        <x:is>
          <x:t xml:space="preserve">СОТР-034</x:t>
        </x:is>
      </x:c>
      <x:c r="L1024" s="31" t="inlineStr">
        <x:is>
          <x:t xml:space="preserve">ДОК-5775</x:t>
        </x:is>
      </x:c>
      <x:c r="M1024" s="31" t="inlineStr">
        <x:is>
          <x:t xml:space="preserve">Проведен</x:t>
        </x:is>
      </x:c>
    </x:row>
    <x:row r="1025">
      <x:c r="A1025" s="31" t="inlineStr">
        <x:is>
          <x:t xml:space="preserve">СКЛ-001024</x:t>
        </x:is>
      </x:c>
      <x:c r="B1025" s="31" t="n">
        <x:v>46147</x:v>
      </x:c>
      <x:c r="C1025" s="31" t="inlineStr">
        <x:is>
          <x:t xml:space="preserve">Выдача в производство</x:t>
        </x:is>
      </x:c>
      <x:c r="D1025" s="31" t="inlineStr">
        <x:is>
          <x:t xml:space="preserve">МАТ-0077</x:t>
        </x:is>
      </x:c>
      <x:c r="E1025" s="31" t="inlineStr">
        <x:is>
          <x:t xml:space="preserve">Болт М16</x:t>
        </x:is>
      </x:c>
      <x:c r="F1025" s="31" t="n">
        <x:v>-15</x:v>
      </x:c>
      <x:c r="G1025" s="31" t="inlineStr">
        <x:is>
          <x:t xml:space="preserve">шт</x:t>
        </x:is>
      </x:c>
      <x:c r="H1025" s="31" t="inlineStr">
        <x:is>
          <x:t xml:space="preserve">ЗК-1114</x:t>
        </x:is>
      </x:c>
      <x:c r="I1025" s="31" t="inlineStr">
        <x:is>
          <x:t xml:space="preserve">ПЗ-00241</x:t>
        </x:is>
      </x:c>
      <x:c r="J1025" s="31" t="inlineStr">
        <x:is>
          <x:t xml:space="preserve">Основной склад</x:t>
        </x:is>
      </x:c>
      <x:c r="K1025" s="31" t="inlineStr">
        <x:is>
          <x:t xml:space="preserve">СОТР-034</x:t>
        </x:is>
      </x:c>
      <x:c r="L1025" s="31" t="inlineStr">
        <x:is>
          <x:t xml:space="preserve">ДОК-5927</x:t>
        </x:is>
      </x:c>
      <x:c r="M1025" s="31" t="inlineStr">
        <x:is>
          <x:t xml:space="preserve">Проведен</x:t>
        </x:is>
      </x:c>
    </x:row>
    <x:row r="1026">
      <x:c r="A1026" s="31" t="inlineStr">
        <x:is>
          <x:t xml:space="preserve">СКЛ-001025</x:t>
        </x:is>
      </x:c>
      <x:c r="B1026" s="31" t="n">
        <x:v>46141</x:v>
      </x:c>
      <x:c r="C1026" s="31" t="inlineStr">
        <x:is>
          <x:t xml:space="preserve">Приход</x:t>
        </x:is>
      </x:c>
      <x:c r="D1026" s="31" t="inlineStr">
        <x:is>
          <x:t xml:space="preserve">МАТ-0065</x:t>
        </x:is>
      </x:c>
      <x:c r="E1026" s="31" t="inlineStr">
        <x:is>
          <x:t xml:space="preserve">Гофра металлическая</x:t>
        </x:is>
      </x:c>
      <x:c r="F1026" s="31" t="n">
        <x:v>9</x:v>
      </x:c>
      <x:c r="G1026" s="31" t="inlineStr">
        <x:is>
          <x:t xml:space="preserve">шт</x:t>
        </x:is>
      </x:c>
      <x:c r="H1026" s="31" t="n"/>
      <x:c r="I1026" s="31" t="n"/>
      <x:c r="J1026" s="31" t="inlineStr">
        <x:is>
          <x:t xml:space="preserve">Основной склад</x:t>
        </x:is>
      </x:c>
      <x:c r="K1026" s="31" t="inlineStr">
        <x:is>
          <x:t xml:space="preserve">СОТР-034</x:t>
        </x:is>
      </x:c>
      <x:c r="L1026" s="31" t="inlineStr">
        <x:is>
          <x:t xml:space="preserve">ДОК-3715</x:t>
        </x:is>
      </x:c>
      <x:c r="M1026" s="31" t="inlineStr">
        <x:is>
          <x:t xml:space="preserve">Проведен</x:t>
        </x:is>
      </x:c>
    </x:row>
    <x:row r="1027">
      <x:c r="A1027" s="31" t="inlineStr">
        <x:is>
          <x:t xml:space="preserve">СКЛ-001026</x:t>
        </x:is>
      </x:c>
      <x:c r="B1027" s="31" t="n">
        <x:v>46081</x:v>
      </x:c>
      <x:c r="C1027" s="31" t="inlineStr">
        <x:is>
          <x:t xml:space="preserve">Списание</x:t>
        </x:is>
      </x:c>
      <x:c r="D1027" s="31" t="inlineStr">
        <x:is>
          <x:t xml:space="preserve">МАТ-0021</x:t>
        </x:is>
      </x:c>
      <x:c r="E1027" s="31" t="inlineStr">
        <x:is>
          <x:t xml:space="preserve">Торцевое уплотнение</x:t>
        </x:is>
      </x:c>
      <x:c r="F1027" s="31" t="n">
        <x:v>-8</x:v>
      </x:c>
      <x:c r="G1027" s="31" t="inlineStr">
        <x:is>
          <x:t xml:space="preserve">шт</x:t>
        </x:is>
      </x:c>
      <x:c r="H1027" s="31" t="n"/>
      <x:c r="I1027" s="31" t="n"/>
      <x:c r="J1027" s="31" t="inlineStr">
        <x:is>
          <x:t xml:space="preserve">Основной склад</x:t>
        </x:is>
      </x:c>
      <x:c r="K1027" s="31" t="inlineStr">
        <x:is>
          <x:t xml:space="preserve">СОТР-033</x:t>
        </x:is>
      </x:c>
      <x:c r="L1027" s="31" t="inlineStr">
        <x:is>
          <x:t xml:space="preserve">ДОК-4225</x:t>
        </x:is>
      </x:c>
      <x:c r="M1027" s="31" t="inlineStr">
        <x:is>
          <x:t xml:space="preserve">Проведен</x:t>
        </x:is>
      </x:c>
    </x:row>
    <x:row r="1028">
      <x:c r="A1028" s="31" t="inlineStr">
        <x:is>
          <x:t xml:space="preserve">СКЛ-001027</x:t>
        </x:is>
      </x:c>
      <x:c r="B1028" s="31" t="n">
        <x:v>46086</x:v>
      </x:c>
      <x:c r="C1028" s="31" t="inlineStr">
        <x:is>
          <x:t xml:space="preserve">Приход</x:t>
        </x:is>
      </x:c>
      <x:c r="D1028" s="31" t="inlineStr">
        <x:is>
          <x:t xml:space="preserve">МАТ-0042</x:t>
        </x:is>
      </x:c>
      <x:c r="E1028" s="31" t="inlineStr">
        <x:is>
          <x:t xml:space="preserve">модуль аналогового входа 4 канала / исп.3</x:t>
        </x:is>
      </x:c>
      <x:c r="F1028" s="31" t="n">
        <x:v>6</x:v>
      </x:c>
      <x:c r="G1028" s="31" t="inlineStr">
        <x:is>
          <x:t xml:space="preserve">шт</x:t>
        </x:is>
      </x:c>
      <x:c r="H1028" s="31" t="n"/>
      <x:c r="I1028" s="31" t="n"/>
      <x:c r="J1028" s="31" t="inlineStr">
        <x:is>
          <x:t xml:space="preserve">Основной склад</x:t>
        </x:is>
      </x:c>
      <x:c r="K1028" s="31" t="inlineStr">
        <x:is>
          <x:t xml:space="preserve">СОТР-024</x:t>
        </x:is>
      </x:c>
      <x:c r="L1028" s="31" t="inlineStr">
        <x:is>
          <x:t xml:space="preserve">ДОК-7304</x:t>
        </x:is>
      </x:c>
      <x:c r="M1028" s="31" t="inlineStr">
        <x:is>
          <x:t xml:space="preserve">Проведен</x:t>
        </x:is>
      </x:c>
    </x:row>
    <x:row r="1029">
      <x:c r="A1029" s="31" t="inlineStr">
        <x:is>
          <x:t xml:space="preserve">СКЛ-001028</x:t>
        </x:is>
      </x:c>
      <x:c r="B1029" s="31" t="n">
        <x:v>46105</x:v>
      </x:c>
      <x:c r="C1029" s="31" t="inlineStr">
        <x:is>
          <x:t xml:space="preserve">Приход</x:t>
        </x:is>
      </x:c>
      <x:c r="D1029" s="31" t="inlineStr">
        <x:is>
          <x:t xml:space="preserve">МАТ-0088</x:t>
        </x:is>
      </x:c>
      <x:c r="E1029" s="31" t="inlineStr">
        <x:is>
          <x:t xml:space="preserve">Ящик фанерный / исп.2</x:t>
        </x:is>
      </x:c>
      <x:c r="F1029" s="31" t="n">
        <x:v>19</x:v>
      </x:c>
      <x:c r="G1029" s="31" t="inlineStr">
        <x:is>
          <x:t xml:space="preserve">шт</x:t>
        </x:is>
      </x:c>
      <x:c r="H1029" s="31" t="n"/>
      <x:c r="I1029" s="31" t="n"/>
      <x:c r="J1029" s="31" t="inlineStr">
        <x:is>
          <x:t xml:space="preserve">Брак/карантин</x:t>
        </x:is>
      </x:c>
      <x:c r="K1029" s="31" t="inlineStr">
        <x:is>
          <x:t xml:space="preserve">СОТР-024</x:t>
        </x:is>
      </x:c>
      <x:c r="L1029" s="31" t="inlineStr">
        <x:is>
          <x:t xml:space="preserve">ДОК-2571</x:t>
        </x:is>
      </x:c>
      <x:c r="M1029" s="31" t="inlineStr">
        <x:is>
          <x:t xml:space="preserve">Требует проверки</x:t>
        </x:is>
      </x:c>
    </x:row>
    <x:row r="1030">
      <x:c r="A1030" s="31" t="inlineStr">
        <x:is>
          <x:t xml:space="preserve">СКЛ-001029</x:t>
        </x:is>
      </x:c>
      <x:c r="B1030" s="31" t="n">
        <x:v>46117</x:v>
      </x:c>
      <x:c r="C1030" s="31" t="inlineStr">
        <x:is>
          <x:t xml:space="preserve">Приход</x:t>
        </x:is>
      </x:c>
      <x:c r="D1030" s="31" t="inlineStr">
        <x:is>
          <x:t xml:space="preserve">МАТ-0039</x:t>
        </x:is>
      </x:c>
      <x:c r="E1030" s="31" t="inlineStr">
        <x:is>
          <x:t xml:space="preserve">ПЛК 24 дискр. входа / 16 дискр. выхода / исп.2</x:t>
        </x:is>
      </x:c>
      <x:c r="F1030" s="31" t="n">
        <x:v>10</x:v>
      </x:c>
      <x:c r="G1030" s="31" t="inlineStr">
        <x:is>
          <x:t xml:space="preserve">шт</x:t>
        </x:is>
      </x:c>
      <x:c r="H1030" s="31" t="n"/>
      <x:c r="I1030" s="31" t="n"/>
      <x:c r="J1030" s="31" t="inlineStr">
        <x:is>
          <x:t xml:space="preserve">Брак/карантин</x:t>
        </x:is>
      </x:c>
      <x:c r="K1030" s="31" t="inlineStr">
        <x:is>
          <x:t xml:space="preserve">СОТР-034</x:t>
        </x:is>
      </x:c>
      <x:c r="L1030" s="31" t="inlineStr">
        <x:is>
          <x:t xml:space="preserve">ДОК-3536</x:t>
        </x:is>
      </x:c>
      <x:c r="M1030" s="31" t="inlineStr">
        <x:is>
          <x:t xml:space="preserve">Проведен</x:t>
        </x:is>
      </x:c>
    </x:row>
    <x:row r="1031">
      <x:c r="A1031" s="31" t="inlineStr">
        <x:is>
          <x:t xml:space="preserve">СКЛ-001030</x:t>
        </x:is>
      </x:c>
      <x:c r="B1031" s="31" t="n">
        <x:v>46201</x:v>
      </x:c>
      <x:c r="C1031" s="31" t="inlineStr">
        <x:is>
          <x:t xml:space="preserve">Резерв</x:t>
        </x:is>
      </x:c>
      <x:c r="D1031" s="31" t="inlineStr">
        <x:is>
          <x:t xml:space="preserve">МАТ-0048</x:t>
        </x:is>
      </x:c>
      <x:c r="E1031" s="31" t="inlineStr">
        <x:is>
          <x:t xml:space="preserve">Контактор 25А / исп.3</x:t>
        </x:is>
      </x:c>
      <x:c r="F1031" s="31" t="n">
        <x:v>-17</x:v>
      </x:c>
      <x:c r="G1031" s="31" t="inlineStr">
        <x:is>
          <x:t xml:space="preserve">шт</x:t>
        </x:is>
      </x:c>
      <x:c r="H1031" s="31" t="inlineStr">
        <x:is>
          <x:t xml:space="preserve">ЗК-1009</x:t>
        </x:is>
      </x:c>
      <x:c r="I1031" s="31" t="n"/>
      <x:c r="J1031" s="31" t="inlineStr">
        <x:is>
          <x:t xml:space="preserve">Цеховой склад</x:t>
        </x:is>
      </x:c>
      <x:c r="K1031" s="31" t="inlineStr">
        <x:is>
          <x:t xml:space="preserve">СОТР-035</x:t>
        </x:is>
      </x:c>
      <x:c r="L1031" s="31" t="inlineStr">
        <x:is>
          <x:t xml:space="preserve">ДОК-4714</x:t>
        </x:is>
      </x:c>
      <x:c r="M1031" s="31" t="inlineStr">
        <x:is>
          <x:t xml:space="preserve">Черновик</x:t>
        </x:is>
      </x:c>
    </x:row>
    <x:row r="1032">
      <x:c r="A1032" s="31" t="inlineStr">
        <x:is>
          <x:t xml:space="preserve">СКЛ-001031</x:t>
        </x:is>
      </x:c>
      <x:c r="B1032" s="31" t="n">
        <x:v>46071</x:v>
      </x:c>
      <x:c r="C1032" s="31" t="inlineStr">
        <x:is>
          <x:t xml:space="preserve">Резерв</x:t>
        </x:is>
      </x:c>
      <x:c r="D1032" s="31" t="inlineStr">
        <x:is>
          <x:t xml:space="preserve">МАТ-0083</x:t>
        </x:is>
      </x:c>
      <x:c r="E1032" s="31" t="inlineStr">
        <x:is>
          <x:t xml:space="preserve">Анкер М16</x:t>
        </x:is>
      </x:c>
      <x:c r="F1032" s="31" t="n">
        <x:v>-14</x:v>
      </x:c>
      <x:c r="G1032" s="31" t="inlineStr">
        <x:is>
          <x:t xml:space="preserve">шт</x:t>
        </x:is>
      </x:c>
      <x:c r="H1032" s="31" t="inlineStr">
        <x:is>
          <x:t xml:space="preserve">ЗК-1055</x:t>
        </x:is>
      </x:c>
      <x:c r="I1032" s="31" t="n"/>
      <x:c r="J1032" s="31" t="inlineStr">
        <x:is>
          <x:t xml:space="preserve">Основной склад</x:t>
        </x:is>
      </x:c>
      <x:c r="K1032" s="31" t="inlineStr">
        <x:is>
          <x:t xml:space="preserve">СОТР-035</x:t>
        </x:is>
      </x:c>
      <x:c r="L1032" s="31" t="inlineStr">
        <x:is>
          <x:t xml:space="preserve">ДОК-4221</x:t>
        </x:is>
      </x:c>
      <x:c r="M1032" s="31" t="inlineStr">
        <x:is>
          <x:t xml:space="preserve">Проведен</x:t>
        </x:is>
      </x:c>
    </x:row>
    <x:row r="1033">
      <x:c r="A1033" s="31" t="inlineStr">
        <x:is>
          <x:t xml:space="preserve">СКЛ-001032</x:t>
        </x:is>
      </x:c>
      <x:c r="B1033" s="31" t="n">
        <x:v>46118</x:v>
      </x:c>
      <x:c r="C1033" s="31" t="inlineStr">
        <x:is>
          <x:t xml:space="preserve">Резерв</x:t>
        </x:is>
      </x:c>
      <x:c r="D1033" s="31" t="inlineStr">
        <x:is>
          <x:t xml:space="preserve">МАТ-0059</x:t>
        </x:is>
      </x:c>
      <x:c r="E1033" s="31" t="inlineStr">
        <x:is>
          <x:t xml:space="preserve">Фильтр сетчатый Ду50</x:t>
        </x:is>
      </x:c>
      <x:c r="F1033" s="31" t="n">
        <x:v>-7</x:v>
      </x:c>
      <x:c r="G1033" s="31" t="inlineStr">
        <x:is>
          <x:t xml:space="preserve">шт</x:t>
        </x:is>
      </x:c>
      <x:c r="H1033" s="31" t="inlineStr">
        <x:is>
          <x:t xml:space="preserve">ЗК-1071</x:t>
        </x:is>
      </x:c>
      <x:c r="I1033" s="31" t="n"/>
      <x:c r="J1033" s="31" t="inlineStr">
        <x:is>
          <x:t xml:space="preserve">Основной склад</x:t>
        </x:is>
      </x:c>
      <x:c r="K1033" s="31" t="inlineStr">
        <x:is>
          <x:t xml:space="preserve">СОТР-035</x:t>
        </x:is>
      </x:c>
      <x:c r="L1033" s="31" t="inlineStr">
        <x:is>
          <x:t xml:space="preserve">ДОК-4395</x:t>
        </x:is>
      </x:c>
      <x:c r="M1033" s="31" t="inlineStr">
        <x:is>
          <x:t xml:space="preserve">Проведен</x:t>
        </x:is>
      </x:c>
    </x:row>
    <x:row r="1034">
      <x:c r="A1034" s="31" t="inlineStr">
        <x:is>
          <x:t xml:space="preserve">СКЛ-001033</x:t>
        </x:is>
      </x:c>
      <x:c r="B1034" s="31" t="n">
        <x:v>46051</x:v>
      </x:c>
      <x:c r="C1034" s="31" t="inlineStr">
        <x:is>
          <x:t xml:space="preserve">Выдача в производство</x:t>
        </x:is>
      </x:c>
      <x:c r="D1034" s="31" t="inlineStr">
        <x:is>
          <x:t xml:space="preserve">МАТ-0058</x:t>
        </x:is>
      </x:c>
      <x:c r="E1034" s="31" t="inlineStr">
        <x:is>
          <x:t xml:space="preserve">Задвижка Ду100 / исп.3</x:t>
        </x:is>
      </x:c>
      <x:c r="F1034" s="31" t="n">
        <x:v>-20</x:v>
      </x:c>
      <x:c r="G1034" s="31" t="inlineStr">
        <x:is>
          <x:t xml:space="preserve">шт</x:t>
        </x:is>
      </x:c>
      <x:c r="H1034" s="31" t="inlineStr">
        <x:is>
          <x:t xml:space="preserve">ЗК-1116</x:t>
        </x:is>
      </x:c>
      <x:c r="I1034" s="31" t="inlineStr">
        <x:is>
          <x:t xml:space="preserve">ПЗ-00187</x:t>
        </x:is>
      </x:c>
      <x:c r="J1034" s="31" t="inlineStr">
        <x:is>
          <x:t xml:space="preserve">Цеховой склад</x:t>
        </x:is>
      </x:c>
      <x:c r="K1034" s="31" t="inlineStr">
        <x:is>
          <x:t xml:space="preserve">СОТР-024</x:t>
        </x:is>
      </x:c>
      <x:c r="L1034" s="31" t="inlineStr">
        <x:is>
          <x:t xml:space="preserve">ДОК-6576</x:t>
        </x:is>
      </x:c>
      <x:c r="M1034" s="31" t="inlineStr">
        <x:is>
          <x:t xml:space="preserve">Проведен</x:t>
        </x:is>
      </x:c>
    </x:row>
    <x:row r="1035">
      <x:c r="A1035" s="31" t="inlineStr">
        <x:is>
          <x:t xml:space="preserve">СКЛ-001034</x:t>
        </x:is>
      </x:c>
      <x:c r="B1035" s="31" t="n">
        <x:v>46123</x:v>
      </x:c>
      <x:c r="C1035" s="31" t="inlineStr">
        <x:is>
          <x:t xml:space="preserve">Выдача в производство</x:t>
        </x:is>
      </x:c>
      <x:c r="D1035" s="31" t="inlineStr">
        <x:is>
          <x:t xml:space="preserve">МАТ-0005</x:t>
        </x:is>
      </x:c>
      <x:c r="E1035" s="31" t="inlineStr">
        <x:is>
          <x:t xml:space="preserve">Труба бесшовная 57×4</x:t>
        </x:is>
      </x:c>
      <x:c r="F1035" s="31" t="n">
        <x:v>-45.35</x:v>
      </x:c>
      <x:c r="G1035" s="31" t="inlineStr">
        <x:is>
          <x:t xml:space="preserve">м</x:t>
        </x:is>
      </x:c>
      <x:c r="H1035" s="31" t="inlineStr">
        <x:is>
          <x:t xml:space="preserve">ЗК-1054</x:t>
        </x:is>
      </x:c>
      <x:c r="I1035" s="31" t="inlineStr">
        <x:is>
          <x:t xml:space="preserve">ПЗ-00175</x:t>
        </x:is>
      </x:c>
      <x:c r="J1035" s="31" t="inlineStr">
        <x:is>
          <x:t xml:space="preserve">Основной склад</x:t>
        </x:is>
      </x:c>
      <x:c r="K1035" s="31" t="inlineStr">
        <x:is>
          <x:t xml:space="preserve">СОТР-024</x:t>
        </x:is>
      </x:c>
      <x:c r="L1035" s="31" t="inlineStr">
        <x:is>
          <x:t xml:space="preserve">ДОК-9335</x:t>
        </x:is>
      </x:c>
      <x:c r="M1035" s="31" t="inlineStr">
        <x:is>
          <x:t xml:space="preserve">Проведен</x:t>
        </x:is>
      </x:c>
    </x:row>
    <x:row r="1036">
      <x:c r="A1036" s="31" t="inlineStr">
        <x:is>
          <x:t xml:space="preserve">СКЛ-001035</x:t>
        </x:is>
      </x:c>
      <x:c r="B1036" s="31" t="n">
        <x:v>46088</x:v>
      </x:c>
      <x:c r="C1036" s="31" t="inlineStr">
        <x:is>
          <x:t xml:space="preserve">Резерв</x:t>
        </x:is>
      </x:c>
      <x:c r="D1036" s="31" t="inlineStr">
        <x:is>
          <x:t xml:space="preserve">МАТ-0024</x:t>
        </x:is>
      </x:c>
      <x:c r="E1036" s="31" t="inlineStr">
        <x:is>
          <x:t xml:space="preserve">Рабочее колесо / исп.2</x:t>
        </x:is>
      </x:c>
      <x:c r="F1036" s="31" t="n">
        <x:v>-5</x:v>
      </x:c>
      <x:c r="G1036" s="31" t="inlineStr">
        <x:is>
          <x:t xml:space="preserve">шт</x:t>
        </x:is>
      </x:c>
      <x:c r="H1036" s="31" t="inlineStr">
        <x:is>
          <x:t xml:space="preserve">ЗК-1098</x:t>
        </x:is>
      </x:c>
      <x:c r="I1036" s="31" t="n"/>
      <x:c r="J1036" s="31" t="inlineStr">
        <x:is>
          <x:t xml:space="preserve">Основной склад</x:t>
        </x:is>
      </x:c>
      <x:c r="K1036" s="31" t="inlineStr">
        <x:is>
          <x:t xml:space="preserve">СОТР-035</x:t>
        </x:is>
      </x:c>
      <x:c r="L1036" s="31" t="inlineStr">
        <x:is>
          <x:t xml:space="preserve">ДОК-1229</x:t>
        </x:is>
      </x:c>
      <x:c r="M1036" s="31" t="inlineStr">
        <x:is>
          <x:t xml:space="preserve">Проведен</x:t>
        </x:is>
      </x:c>
    </x:row>
    <x:row r="1037">
      <x:c r="A1037" s="31" t="inlineStr">
        <x:is>
          <x:t xml:space="preserve">СКЛ-001036</x:t>
        </x:is>
      </x:c>
      <x:c r="B1037" s="31" t="n">
        <x:v>46108</x:v>
      </x:c>
      <x:c r="C1037" s="31" t="inlineStr">
        <x:is>
          <x:t xml:space="preserve">Выдача в производство</x:t>
        </x:is>
      </x:c>
      <x:c r="D1037" s="31" t="inlineStr">
        <x:is>
          <x:t xml:space="preserve">МАТ-0001</x:t>
        </x:is>
      </x:c>
      <x:c r="E1037" s="31" t="inlineStr">
        <x:is>
          <x:t xml:space="preserve">Лист стальной 09Г2С 8 мм</x:t>
        </x:is>
      </x:c>
      <x:c r="F1037" s="31" t="n">
        <x:v>-48.64</x:v>
      </x:c>
      <x:c r="G1037" s="31" t="inlineStr">
        <x:is>
          <x:t xml:space="preserve">м</x:t>
        </x:is>
      </x:c>
      <x:c r="H1037" s="31" t="inlineStr">
        <x:is>
          <x:t xml:space="preserve">ЗК-1014</x:t>
        </x:is>
      </x:c>
      <x:c r="I1037" s="31" t="inlineStr">
        <x:is>
          <x:t xml:space="preserve">ПЗ-00224</x:t>
        </x:is>
      </x:c>
      <x:c r="J1037" s="31" t="inlineStr">
        <x:is>
          <x:t xml:space="preserve">Основной склад</x:t>
        </x:is>
      </x:c>
      <x:c r="K1037" s="31" t="inlineStr">
        <x:is>
          <x:t xml:space="preserve">СОТР-036</x:t>
        </x:is>
      </x:c>
      <x:c r="L1037" s="31" t="inlineStr">
        <x:is>
          <x:t xml:space="preserve">ДОК-7452</x:t>
        </x:is>
      </x:c>
      <x:c r="M1037" s="31" t="inlineStr">
        <x:is>
          <x:t xml:space="preserve">Проведен</x:t>
        </x:is>
      </x:c>
    </x:row>
    <x:row r="1038">
      <x:c r="A1038" s="31" t="inlineStr">
        <x:is>
          <x:t xml:space="preserve">СКЛ-001037</x:t>
        </x:is>
      </x:c>
      <x:c r="B1038" s="31" t="n">
        <x:v>46074</x:v>
      </x:c>
      <x:c r="C1038" s="31" t="inlineStr">
        <x:is>
          <x:t xml:space="preserve">Резерв</x:t>
        </x:is>
      </x:c>
      <x:c r="D1038" s="31" t="inlineStr">
        <x:is>
          <x:t xml:space="preserve">МАТ-0037</x:t>
        </x:is>
      </x:c>
      <x:c r="E1038" s="31" t="inlineStr">
        <x:is>
          <x:t xml:space="preserve">Клапан электромагнитный 24В / исп.3</x:t>
        </x:is>
      </x:c>
      <x:c r="F1038" s="31" t="n">
        <x:v>-12</x:v>
      </x:c>
      <x:c r="G1038" s="31" t="inlineStr">
        <x:is>
          <x:t xml:space="preserve">шт</x:t>
        </x:is>
      </x:c>
      <x:c r="H1038" s="31" t="inlineStr">
        <x:is>
          <x:t xml:space="preserve">ЗК-1125</x:t>
        </x:is>
      </x:c>
      <x:c r="I1038" s="31" t="n"/>
      <x:c r="J1038" s="31" t="inlineStr">
        <x:is>
          <x:t xml:space="preserve">Цеховой склад</x:t>
        </x:is>
      </x:c>
      <x:c r="K1038" s="31" t="inlineStr">
        <x:is>
          <x:t xml:space="preserve">СОТР-033</x:t>
        </x:is>
      </x:c>
      <x:c r="L1038" s="31" t="inlineStr">
        <x:is>
          <x:t xml:space="preserve">ДОК-5405</x:t>
        </x:is>
      </x:c>
      <x:c r="M1038" s="31" t="inlineStr">
        <x:is>
          <x:t xml:space="preserve">Проведен</x:t>
        </x:is>
      </x:c>
    </x:row>
    <x:row r="1039">
      <x:c r="A1039" s="31" t="inlineStr">
        <x:is>
          <x:t xml:space="preserve">СКЛ-001038</x:t>
        </x:is>
      </x:c>
      <x:c r="B1039" s="31" t="n">
        <x:v>46123</x:v>
      </x:c>
      <x:c r="C1039" s="31" t="inlineStr">
        <x:is>
          <x:t xml:space="preserve">Корректировка</x:t>
        </x:is>
      </x:c>
      <x:c r="D1039" s="31" t="inlineStr">
        <x:is>
          <x:t xml:space="preserve">МАТ-0047</x:t>
        </x:is>
      </x:c>
      <x:c r="E1039" s="31" t="inlineStr">
        <x:is>
          <x:t xml:space="preserve">Контактор 25А / исп.2</x:t>
        </x:is>
      </x:c>
      <x:c r="F1039" s="31" t="n">
        <x:v>13</x:v>
      </x:c>
      <x:c r="G1039" s="31" t="inlineStr">
        <x:is>
          <x:t xml:space="preserve">шт</x:t>
        </x:is>
      </x:c>
      <x:c r="H1039" s="31" t="n"/>
      <x:c r="I1039" s="31" t="n"/>
      <x:c r="J1039" s="31" t="inlineStr">
        <x:is>
          <x:t xml:space="preserve">Основной склад</x:t>
        </x:is>
      </x:c>
      <x:c r="K1039" s="31" t="inlineStr">
        <x:is>
          <x:t xml:space="preserve">СОТР-038</x:t>
        </x:is>
      </x:c>
      <x:c r="L1039" s="31" t="inlineStr">
        <x:is>
          <x:t xml:space="preserve">ДОК-3234</x:t>
        </x:is>
      </x:c>
      <x:c r="M1039" s="31" t="inlineStr">
        <x:is>
          <x:t xml:space="preserve">Проведен</x:t>
        </x:is>
      </x:c>
    </x:row>
    <x:row r="1040">
      <x:c r="A1040" s="31" t="inlineStr">
        <x:is>
          <x:t xml:space="preserve">СКЛ-001039</x:t>
        </x:is>
      </x:c>
      <x:c r="B1040" s="31" t="n">
        <x:v>46116</x:v>
      </x:c>
      <x:c r="C1040" s="31" t="inlineStr">
        <x:is>
          <x:t xml:space="preserve">Резерв</x:t>
        </x:is>
      </x:c>
      <x:c r="D1040" s="31" t="inlineStr">
        <x:is>
          <x:t xml:space="preserve">МАТ-0018</x:t>
        </x:is>
      </x:c>
      <x:c r="E1040" s="31" t="inlineStr">
        <x:is>
          <x:t xml:space="preserve">Насос шестеренный 7.5 кВт / исп.2</x:t>
        </x:is>
      </x:c>
      <x:c r="F1040" s="31" t="n">
        <x:v>-6</x:v>
      </x:c>
      <x:c r="G1040" s="31" t="inlineStr">
        <x:is>
          <x:t xml:space="preserve">шт</x:t>
        </x:is>
      </x:c>
      <x:c r="H1040" s="31" t="inlineStr">
        <x:is>
          <x:t xml:space="preserve">ЗК-1002</x:t>
        </x:is>
      </x:c>
      <x:c r="I1040" s="31" t="n"/>
      <x:c r="J1040" s="31" t="inlineStr">
        <x:is>
          <x:t xml:space="preserve">Цеховой склад</x:t>
        </x:is>
      </x:c>
      <x:c r="K1040" s="31" t="inlineStr">
        <x:is>
          <x:t xml:space="preserve">СОТР-037</x:t>
        </x:is>
      </x:c>
      <x:c r="L1040" s="31" t="inlineStr">
        <x:is>
          <x:t xml:space="preserve">ДОК-5328</x:t>
        </x:is>
      </x:c>
      <x:c r="M1040" s="31" t="inlineStr">
        <x:is>
          <x:t xml:space="preserve">Черновик</x:t>
        </x:is>
      </x:c>
    </x:row>
    <x:row r="1041">
      <x:c r="A1041" s="31" t="inlineStr">
        <x:is>
          <x:t xml:space="preserve">СКЛ-001040</x:t>
        </x:is>
      </x:c>
      <x:c r="B1041" s="31" t="n">
        <x:v>46136</x:v>
      </x:c>
      <x:c r="C1041" s="31" t="inlineStr">
        <x:is>
          <x:t xml:space="preserve">Выдача в производство</x:t>
        </x:is>
      </x:c>
      <x:c r="D1041" s="31" t="inlineStr">
        <x:is>
          <x:t xml:space="preserve">МАТ-0014</x:t>
        </x:is>
      </x:c>
      <x:c r="E1041" s="31" t="inlineStr">
        <x:is>
          <x:t xml:space="preserve">Уголок 50×5 / исп.2</x:t>
        </x:is>
      </x:c>
      <x:c r="F1041" s="31" t="n">
        <x:v>-12</x:v>
      </x:c>
      <x:c r="G1041" s="31" t="inlineStr">
        <x:is>
          <x:t xml:space="preserve">шт</x:t>
        </x:is>
      </x:c>
      <x:c r="H1041" s="31" t="inlineStr">
        <x:is>
          <x:t xml:space="preserve">ЗК-1013</x:t>
        </x:is>
      </x:c>
      <x:c r="I1041" s="31" t="inlineStr">
        <x:is>
          <x:t xml:space="preserve">ПЗ-00189</x:t>
        </x:is>
      </x:c>
      <x:c r="J1041" s="31" t="inlineStr">
        <x:is>
          <x:t xml:space="preserve">Основной склад</x:t>
        </x:is>
      </x:c>
      <x:c r="K1041" s="31" t="inlineStr">
        <x:is>
          <x:t xml:space="preserve">СОТР-036</x:t>
        </x:is>
      </x:c>
      <x:c r="L1041" s="31" t="inlineStr">
        <x:is>
          <x:t xml:space="preserve">ДОК-2174</x:t>
        </x:is>
      </x:c>
      <x:c r="M1041" s="31" t="inlineStr">
        <x:is>
          <x:t xml:space="preserve">Проведен</x:t>
        </x:is>
      </x:c>
    </x:row>
    <x:row r="1042">
      <x:c r="A1042" s="31" t="inlineStr">
        <x:is>
          <x:t xml:space="preserve">СКЛ-001041</x:t>
        </x:is>
      </x:c>
      <x:c r="B1042" s="31" t="n">
        <x:v>46037</x:v>
      </x:c>
      <x:c r="C1042" s="31" t="inlineStr">
        <x:is>
          <x:t xml:space="preserve">Резерв</x:t>
        </x:is>
      </x:c>
      <x:c r="D1042" s="31" t="inlineStr">
        <x:is>
          <x:t xml:space="preserve">МАТ-0085</x:t>
        </x:is>
      </x:c>
      <x:c r="E1042" s="31" t="inlineStr">
        <x:is>
          <x:t xml:space="preserve">Пленка стрейч</x:t>
        </x:is>
      </x:c>
      <x:c r="F1042" s="31" t="n">
        <x:v>-17</x:v>
      </x:c>
      <x:c r="G1042" s="31" t="inlineStr">
        <x:is>
          <x:t xml:space="preserve">шт</x:t>
        </x:is>
      </x:c>
      <x:c r="H1042" s="31" t="inlineStr">
        <x:is>
          <x:t xml:space="preserve">ЗК-1086</x:t>
        </x:is>
      </x:c>
      <x:c r="I1042" s="31" t="n"/>
      <x:c r="J1042" s="31" t="inlineStr">
        <x:is>
          <x:t xml:space="preserve">Цеховой склад</x:t>
        </x:is>
      </x:c>
      <x:c r="K1042" s="31" t="inlineStr">
        <x:is>
          <x:t xml:space="preserve">СОТР-036</x:t>
        </x:is>
      </x:c>
      <x:c r="L1042" s="31" t="inlineStr">
        <x:is>
          <x:t xml:space="preserve">ДОК-1808</x:t>
        </x:is>
      </x:c>
      <x:c r="M1042" s="31" t="inlineStr">
        <x:is>
          <x:t xml:space="preserve">Проведен</x:t>
        </x:is>
      </x:c>
    </x:row>
    <x:row r="1043">
      <x:c r="A1043" s="31" t="inlineStr">
        <x:is>
          <x:t xml:space="preserve">СКЛ-001042</x:t>
        </x:is>
      </x:c>
      <x:c r="B1043" s="31" t="n">
        <x:v>46082</x:v>
      </x:c>
      <x:c r="C1043" s="31" t="inlineStr">
        <x:is>
          <x:t xml:space="preserve">Резерв</x:t>
        </x:is>
      </x:c>
      <x:c r="D1043" s="31" t="inlineStr">
        <x:is>
          <x:t xml:space="preserve">МАТ-0073</x:t>
        </x:is>
      </x:c>
      <x:c r="E1043" s="31" t="inlineStr">
        <x:is>
          <x:t xml:space="preserve">Растворитель / исп.2</x:t>
        </x:is>
      </x:c>
      <x:c r="F1043" s="31" t="n">
        <x:v>-3.8</x:v>
      </x:c>
      <x:c r="G1043" s="31" t="inlineStr">
        <x:is>
          <x:t xml:space="preserve">л</x:t>
        </x:is>
      </x:c>
      <x:c r="H1043" s="31" t="inlineStr">
        <x:is>
          <x:t xml:space="preserve">ЗК-1098</x:t>
        </x:is>
      </x:c>
      <x:c r="I1043" s="31" t="n"/>
      <x:c r="J1043" s="31" t="inlineStr">
        <x:is>
          <x:t xml:space="preserve">Основной склад</x:t>
        </x:is>
      </x:c>
      <x:c r="K1043" s="31" t="inlineStr">
        <x:is>
          <x:t xml:space="preserve">СОТР-036</x:t>
        </x:is>
      </x:c>
      <x:c r="L1043" s="31" t="inlineStr">
        <x:is>
          <x:t xml:space="preserve">ДОК-3793</x:t>
        </x:is>
      </x:c>
      <x:c r="M1043" s="31" t="inlineStr">
        <x:is>
          <x:t xml:space="preserve">Проведен</x:t>
        </x:is>
      </x:c>
    </x:row>
    <x:row r="1044">
      <x:c r="A1044" s="31" t="inlineStr">
        <x:is>
          <x:t xml:space="preserve">СКЛ-001043</x:t>
        </x:is>
      </x:c>
      <x:c r="B1044" s="31" t="n">
        <x:v>46112</x:v>
      </x:c>
      <x:c r="C1044" s="31" t="inlineStr">
        <x:is>
          <x:t xml:space="preserve">Выдача в производство</x:t>
        </x:is>
      </x:c>
      <x:c r="D1044" s="31" t="inlineStr">
        <x:is>
          <x:t xml:space="preserve">МАТ-0042</x:t>
        </x:is>
      </x:c>
      <x:c r="E1044" s="31" t="inlineStr">
        <x:is>
          <x:t xml:space="preserve">модуль аналогового входа 4 канала / исп.3</x:t>
        </x:is>
      </x:c>
      <x:c r="F1044" s="31" t="n">
        <x:v>-14</x:v>
      </x:c>
      <x:c r="G1044" s="31" t="inlineStr">
        <x:is>
          <x:t xml:space="preserve">шт</x:t>
        </x:is>
      </x:c>
      <x:c r="H1044" s="31" t="inlineStr">
        <x:is>
          <x:t xml:space="preserve">ЗК-1035</x:t>
        </x:is>
      </x:c>
      <x:c r="I1044" s="31" t="inlineStr">
        <x:is>
          <x:t xml:space="preserve">ПЗ-00013</x:t>
        </x:is>
      </x:c>
      <x:c r="J1044" s="31" t="inlineStr">
        <x:is>
          <x:t xml:space="preserve">Основной склад</x:t>
        </x:is>
      </x:c>
      <x:c r="K1044" s="31" t="inlineStr">
        <x:is>
          <x:t xml:space="preserve">СОТР-035</x:t>
        </x:is>
      </x:c>
      <x:c r="L1044" s="31" t="inlineStr">
        <x:is>
          <x:t xml:space="preserve">ДОК-3297</x:t>
        </x:is>
      </x:c>
      <x:c r="M1044" s="31" t="inlineStr">
        <x:is>
          <x:t xml:space="preserve">Требует проверки</x:t>
        </x:is>
      </x:c>
    </x:row>
    <x:row r="1045">
      <x:c r="A1045" s="31" t="inlineStr">
        <x:is>
          <x:t xml:space="preserve">СКЛ-001044</x:t>
        </x:is>
      </x:c>
      <x:c r="B1045" s="31" t="n">
        <x:v>46107</x:v>
      </x:c>
      <x:c r="C1045" s="31" t="inlineStr">
        <x:is>
          <x:t xml:space="preserve">Приход</x:t>
        </x:is>
      </x:c>
      <x:c r="D1045" s="31" t="inlineStr">
        <x:is>
          <x:t xml:space="preserve">МАТ-0082</x:t>
        </x:is>
      </x:c>
      <x:c r="E1045" s="31" t="inlineStr">
        <x:is>
          <x:t xml:space="preserve">Шайба 12 / исп.2</x:t>
        </x:is>
      </x:c>
      <x:c r="F1045" s="31" t="n">
        <x:v>8</x:v>
      </x:c>
      <x:c r="G1045" s="31" t="inlineStr">
        <x:is>
          <x:t xml:space="preserve">шт</x:t>
        </x:is>
      </x:c>
      <x:c r="H1045" s="31" t="n"/>
      <x:c r="I1045" s="31" t="n"/>
      <x:c r="J1045" s="31" t="inlineStr">
        <x:is>
          <x:t xml:space="preserve">Цеховой склад</x:t>
        </x:is>
      </x:c>
      <x:c r="K1045" s="31" t="inlineStr">
        <x:is>
          <x:t xml:space="preserve">СОТР-035</x:t>
        </x:is>
      </x:c>
      <x:c r="L1045" s="31" t="inlineStr">
        <x:is>
          <x:t xml:space="preserve">ДОК-8839</x:t>
        </x:is>
      </x:c>
      <x:c r="M1045" s="31" t="inlineStr">
        <x:is>
          <x:t xml:space="preserve">Проведен</x:t>
        </x:is>
      </x:c>
    </x:row>
    <x:row r="1046">
      <x:c r="A1046" s="31" t="inlineStr">
        <x:is>
          <x:t xml:space="preserve">СКЛ-001045</x:t>
        </x:is>
      </x:c>
      <x:c r="B1046" s="31" t="n">
        <x:v>46079</x:v>
      </x:c>
      <x:c r="C1046" s="31" t="inlineStr">
        <x:is>
          <x:t xml:space="preserve">Списание</x:t>
        </x:is>
      </x:c>
      <x:c r="D1046" s="31" t="inlineStr">
        <x:is>
          <x:t xml:space="preserve">МАТ-0020</x:t>
        </x:is>
      </x:c>
      <x:c r="E1046" s="31" t="inlineStr">
        <x:is>
          <x:t xml:space="preserve">Насос дозировочный / исп.2</x:t>
        </x:is>
      </x:c>
      <x:c r="F1046" s="31" t="n">
        <x:v>-9</x:v>
      </x:c>
      <x:c r="G1046" s="31" t="inlineStr">
        <x:is>
          <x:t xml:space="preserve">шт</x:t>
        </x:is>
      </x:c>
      <x:c r="H1046" s="31" t="n"/>
      <x:c r="I1046" s="31" t="n"/>
      <x:c r="J1046" s="31" t="inlineStr">
        <x:is>
          <x:t xml:space="preserve">Цеховой склад</x:t>
        </x:is>
      </x:c>
      <x:c r="K1046" s="31" t="inlineStr">
        <x:is>
          <x:t xml:space="preserve">СОТР-024</x:t>
        </x:is>
      </x:c>
      <x:c r="L1046" s="31" t="inlineStr">
        <x:is>
          <x:t xml:space="preserve">ДОК-2064</x:t>
        </x:is>
      </x:c>
      <x:c r="M1046" s="31" t="inlineStr">
        <x:is>
          <x:t xml:space="preserve">Проведен</x:t>
        </x:is>
      </x:c>
    </x:row>
    <x:row r="1047">
      <x:c r="A1047" s="31" t="inlineStr">
        <x:is>
          <x:t xml:space="preserve">СКЛ-001046</x:t>
        </x:is>
      </x:c>
      <x:c r="B1047" s="31" t="n">
        <x:v>46124</x:v>
      </x:c>
      <x:c r="C1047" s="31" t="inlineStr">
        <x:is>
          <x:t xml:space="preserve">Выдача в производство</x:t>
        </x:is>
      </x:c>
      <x:c r="D1047" s="31" t="inlineStr">
        <x:is>
          <x:t xml:space="preserve">МАТ-0053</x:t>
        </x:is>
      </x:c>
      <x:c r="E1047" s="31" t="inlineStr">
        <x:is>
          <x:t xml:space="preserve">Кран шаровой Ду50 / исп.3</x:t>
        </x:is>
      </x:c>
      <x:c r="F1047" s="31" t="n">
        <x:v>-20</x:v>
      </x:c>
      <x:c r="G1047" s="31" t="inlineStr">
        <x:is>
          <x:t xml:space="preserve">шт</x:t>
        </x:is>
      </x:c>
      <x:c r="H1047" s="31" t="inlineStr">
        <x:is>
          <x:t xml:space="preserve">ЗК-1130</x:t>
        </x:is>
      </x:c>
      <x:c r="I1047" s="31" t="inlineStr">
        <x:is>
          <x:t xml:space="preserve">ПЗ-00016</x:t>
        </x:is>
      </x:c>
      <x:c r="J1047" s="31" t="inlineStr">
        <x:is>
          <x:t xml:space="preserve">Основной склад</x:t>
        </x:is>
      </x:c>
      <x:c r="K1047" s="31" t="inlineStr">
        <x:is>
          <x:t xml:space="preserve">СОТР-033</x:t>
        </x:is>
      </x:c>
      <x:c r="L1047" s="31" t="inlineStr">
        <x:is>
          <x:t xml:space="preserve">ДОК-4052</x:t>
        </x:is>
      </x:c>
      <x:c r="M1047" s="31" t="inlineStr">
        <x:is>
          <x:t xml:space="preserve">Проведен</x:t>
        </x:is>
      </x:c>
    </x:row>
    <x:row r="1048">
      <x:c r="A1048" s="31" t="inlineStr">
        <x:is>
          <x:t xml:space="preserve">СКЛ-001047</x:t>
        </x:is>
      </x:c>
      <x:c r="B1048" s="31" t="n">
        <x:v>46101</x:v>
      </x:c>
      <x:c r="C1048" s="31" t="inlineStr">
        <x:is>
          <x:t xml:space="preserve">Приход</x:t>
        </x:is>
      </x:c>
      <x:c r="D1048" s="31" t="inlineStr">
        <x:is>
          <x:t xml:space="preserve">МАТ-0047</x:t>
        </x:is>
      </x:c>
      <x:c r="E1048" s="31" t="inlineStr">
        <x:is>
          <x:t xml:space="preserve">Контактор 25А / исп.2</x:t>
        </x:is>
      </x:c>
      <x:c r="F1048" s="31" t="n">
        <x:v>13</x:v>
      </x:c>
      <x:c r="G1048" s="31" t="inlineStr">
        <x:is>
          <x:t xml:space="preserve">шт</x:t>
        </x:is>
      </x:c>
      <x:c r="H1048" s="31" t="n"/>
      <x:c r="I1048" s="31" t="n"/>
      <x:c r="J1048" s="31" t="inlineStr">
        <x:is>
          <x:t xml:space="preserve">Основной склад</x:t>
        </x:is>
      </x:c>
      <x:c r="K1048" s="31" t="inlineStr">
        <x:is>
          <x:t xml:space="preserve">СОТР-036</x:t>
        </x:is>
      </x:c>
      <x:c r="L1048" s="31" t="inlineStr">
        <x:is>
          <x:t xml:space="preserve">ДОК-8176</x:t>
        </x:is>
      </x:c>
      <x:c r="M1048" s="31" t="inlineStr">
        <x:is>
          <x:t xml:space="preserve">Проведен</x:t>
        </x:is>
      </x:c>
    </x:row>
    <x:row r="1049">
      <x:c r="A1049" s="31" t="inlineStr">
        <x:is>
          <x:t xml:space="preserve">СКЛ-001048</x:t>
        </x:is>
      </x:c>
      <x:c r="B1049" s="31" t="n">
        <x:v>46105</x:v>
      </x:c>
      <x:c r="C1049" s="31" t="inlineStr">
        <x:is>
          <x:t xml:space="preserve">Резерв</x:t>
        </x:is>
      </x:c>
      <x:c r="D1049" s="31" t="inlineStr">
        <x:is>
          <x:t xml:space="preserve">МАТ-0008</x:t>
        </x:is>
      </x:c>
      <x:c r="E1049" s="31" t="inlineStr">
        <x:is>
          <x:t xml:space="preserve">Швеллер 12П</x:t>
        </x:is>
      </x:c>
      <x:c r="F1049" s="31" t="n">
        <x:v>-13</x:v>
      </x:c>
      <x:c r="G1049" s="31" t="inlineStr">
        <x:is>
          <x:t xml:space="preserve">шт</x:t>
        </x:is>
      </x:c>
      <x:c r="H1049" s="31" t="inlineStr">
        <x:is>
          <x:t xml:space="preserve">ЗК-1130</x:t>
        </x:is>
      </x:c>
      <x:c r="I1049" s="31" t="n"/>
      <x:c r="J1049" s="31" t="inlineStr">
        <x:is>
          <x:t xml:space="preserve">Основной склад</x:t>
        </x:is>
      </x:c>
      <x:c r="K1049" s="31" t="inlineStr">
        <x:is>
          <x:t xml:space="preserve">СОТР-038</x:t>
        </x:is>
      </x:c>
      <x:c r="L1049" s="31" t="inlineStr">
        <x:is>
          <x:t xml:space="preserve">ДОК-4813</x:t>
        </x:is>
      </x:c>
      <x:c r="M1049" s="31" t="inlineStr">
        <x:is>
          <x:t xml:space="preserve">Проведен</x:t>
        </x:is>
      </x:c>
    </x:row>
    <x:row r="1050">
      <x:c r="A1050" s="31" t="inlineStr">
        <x:is>
          <x:t xml:space="preserve">СКЛ-001049</x:t>
        </x:is>
      </x:c>
      <x:c r="B1050" s="31" t="n">
        <x:v>46048</x:v>
      </x:c>
      <x:c r="C1050" s="31" t="inlineStr">
        <x:is>
          <x:t xml:space="preserve">Выдача в производство</x:t>
        </x:is>
      </x:c>
      <x:c r="D1050" s="31" t="inlineStr">
        <x:is>
          <x:t xml:space="preserve">МАТ-0085</x:t>
        </x:is>
      </x:c>
      <x:c r="E1050" s="31" t="inlineStr">
        <x:is>
          <x:t xml:space="preserve">Пленка стрейч</x:t>
        </x:is>
      </x:c>
      <x:c r="F1050" s="31" t="n">
        <x:v>-2</x:v>
      </x:c>
      <x:c r="G1050" s="31" t="inlineStr">
        <x:is>
          <x:t xml:space="preserve">шт</x:t>
        </x:is>
      </x:c>
      <x:c r="H1050" s="31" t="inlineStr">
        <x:is>
          <x:t xml:space="preserve">ЗК-1094</x:t>
        </x:is>
      </x:c>
      <x:c r="I1050" s="31" t="inlineStr">
        <x:is>
          <x:t xml:space="preserve">ПЗ-00041</x:t>
        </x:is>
      </x:c>
      <x:c r="J1050" s="31" t="inlineStr">
        <x:is>
          <x:t xml:space="preserve">Цеховой склад</x:t>
        </x:is>
      </x:c>
      <x:c r="K1050" s="31" t="inlineStr">
        <x:is>
          <x:t xml:space="preserve">СОТР-033</x:t>
        </x:is>
      </x:c>
      <x:c r="L1050" s="31" t="inlineStr">
        <x:is>
          <x:t xml:space="preserve">ДОК-3215</x:t>
        </x:is>
      </x:c>
      <x:c r="M1050" s="31" t="inlineStr">
        <x:is>
          <x:t xml:space="preserve">Проведен</x:t>
        </x:is>
      </x:c>
    </x:row>
    <x:row r="1051">
      <x:c r="A1051" s="31" t="inlineStr">
        <x:is>
          <x:t xml:space="preserve">СКЛ-001050</x:t>
        </x:is>
      </x:c>
      <x:c r="B1051" s="31" t="n">
        <x:v>46186</x:v>
      </x:c>
      <x:c r="C1051" s="31" t="inlineStr">
        <x:is>
          <x:t xml:space="preserve">Выдача в производство</x:t>
        </x:is>
      </x:c>
      <x:c r="D1051" s="31" t="inlineStr">
        <x:is>
          <x:t xml:space="preserve">МАТ-0038</x:t>
        </x:is>
      </x:c>
      <x:c r="E1051" s="31" t="inlineStr">
        <x:is>
          <x:t xml:space="preserve">ПЛК 24 дискр. входа / 16 дискр. выхода</x:t>
        </x:is>
      </x:c>
      <x:c r="F1051" s="31" t="n">
        <x:v>-13</x:v>
      </x:c>
      <x:c r="G1051" s="31" t="inlineStr">
        <x:is>
          <x:t xml:space="preserve">шт</x:t>
        </x:is>
      </x:c>
      <x:c r="H1051" s="31" t="inlineStr">
        <x:is>
          <x:t xml:space="preserve">ЗК-1004</x:t>
        </x:is>
      </x:c>
      <x:c r="I1051" s="31" t="inlineStr">
        <x:is>
          <x:t xml:space="preserve">ПЗ-00191</x:t>
        </x:is>
      </x:c>
      <x:c r="J1051" s="31" t="inlineStr">
        <x:is>
          <x:t xml:space="preserve">Основной склад</x:t>
        </x:is>
      </x:c>
      <x:c r="K1051" s="31" t="inlineStr">
        <x:is>
          <x:t xml:space="preserve">СОТР-034</x:t>
        </x:is>
      </x:c>
      <x:c r="L1051" s="31" t="inlineStr">
        <x:is>
          <x:t xml:space="preserve">ДОК-2716</x:t>
        </x:is>
      </x:c>
      <x:c r="M1051" s="31" t="inlineStr">
        <x:is>
          <x:t xml:space="preserve">Проведен</x:t>
        </x:is>
      </x:c>
    </x:row>
    <x:row r="1052">
      <x:c r="A1052" s="31" t="inlineStr">
        <x:is>
          <x:t xml:space="preserve">СКЛ-001051</x:t>
        </x:is>
      </x:c>
      <x:c r="B1052" s="31" t="n">
        <x:v>46037</x:v>
      </x:c>
      <x:c r="C1052" s="31" t="inlineStr">
        <x:is>
          <x:t xml:space="preserve">Резерв</x:t>
        </x:is>
      </x:c>
      <x:c r="D1052" s="31" t="inlineStr">
        <x:is>
          <x:t xml:space="preserve">МАТ-0066</x:t>
        </x:is>
      </x:c>
      <x:c r="E1052" s="31" t="inlineStr">
        <x:is>
          <x:t xml:space="preserve">Гофра металлическая / исп.2</x:t>
        </x:is>
      </x:c>
      <x:c r="F1052" s="31" t="n">
        <x:v>-52.58</x:v>
      </x:c>
      <x:c r="G1052" s="31" t="inlineStr">
        <x:is>
          <x:t xml:space="preserve">кг</x:t>
        </x:is>
      </x:c>
      <x:c r="H1052" s="31" t="inlineStr">
        <x:is>
          <x:t xml:space="preserve">ЗК-1117</x:t>
        </x:is>
      </x:c>
      <x:c r="I1052" s="31" t="n"/>
      <x:c r="J1052" s="31" t="inlineStr">
        <x:is>
          <x:t xml:space="preserve">Основной склад</x:t>
        </x:is>
      </x:c>
      <x:c r="K1052" s="31" t="inlineStr">
        <x:is>
          <x:t xml:space="preserve">СОТР-033</x:t>
        </x:is>
      </x:c>
      <x:c r="L1052" s="31" t="inlineStr">
        <x:is>
          <x:t xml:space="preserve">ДОК-1895</x:t>
        </x:is>
      </x:c>
      <x:c r="M1052" s="31" t="inlineStr">
        <x:is>
          <x:t xml:space="preserve">Проведен</x:t>
        </x:is>
      </x:c>
    </x:row>
    <x:row r="1053">
      <x:c r="A1053" s="31" t="inlineStr">
        <x:is>
          <x:t xml:space="preserve">СКЛ-001052</x:t>
        </x:is>
      </x:c>
      <x:c r="B1053" s="31" t="n">
        <x:v>46106</x:v>
      </x:c>
      <x:c r="C1053" s="31" t="inlineStr">
        <x:is>
          <x:t xml:space="preserve">Резерв</x:t>
        </x:is>
      </x:c>
      <x:c r="D1053" s="31" t="inlineStr">
        <x:is>
          <x:t xml:space="preserve">МАТ-0008</x:t>
        </x:is>
      </x:c>
      <x:c r="E1053" s="31" t="inlineStr">
        <x:is>
          <x:t xml:space="preserve">Швеллер 12П</x:t>
        </x:is>
      </x:c>
      <x:c r="F1053" s="31" t="n">
        <x:v>-3</x:v>
      </x:c>
      <x:c r="G1053" s="31" t="inlineStr">
        <x:is>
          <x:t xml:space="preserve">шт</x:t>
        </x:is>
      </x:c>
      <x:c r="H1053" s="31" t="inlineStr">
        <x:is>
          <x:t xml:space="preserve">ЗК-1043</x:t>
        </x:is>
      </x:c>
      <x:c r="I1053" s="31" t="n"/>
      <x:c r="J1053" s="31" t="inlineStr">
        <x:is>
          <x:t xml:space="preserve">Брак/карантин</x:t>
        </x:is>
      </x:c>
      <x:c r="K1053" s="31" t="inlineStr">
        <x:is>
          <x:t xml:space="preserve">СОТР-034</x:t>
        </x:is>
      </x:c>
      <x:c r="L1053" s="31" t="inlineStr">
        <x:is>
          <x:t xml:space="preserve">ДОК-1504</x:t>
        </x:is>
      </x:c>
      <x:c r="M1053" s="31" t="inlineStr">
        <x:is>
          <x:t xml:space="preserve">Проведен</x:t>
        </x:is>
      </x:c>
    </x:row>
    <x:row r="1054">
      <x:c r="A1054" s="31" t="inlineStr">
        <x:is>
          <x:t xml:space="preserve">СКЛ-001053</x:t>
        </x:is>
      </x:c>
      <x:c r="B1054" s="31" t="n">
        <x:v>46105</x:v>
      </x:c>
      <x:c r="C1054" s="31" t="inlineStr">
        <x:is>
          <x:t xml:space="preserve">Приход</x:t>
        </x:is>
      </x:c>
      <x:c r="D1054" s="31" t="inlineStr">
        <x:is>
          <x:t xml:space="preserve">МАТ-0077</x:t>
        </x:is>
      </x:c>
      <x:c r="E1054" s="31" t="inlineStr">
        <x:is>
          <x:t xml:space="preserve">Болт М16</x:t>
        </x:is>
      </x:c>
      <x:c r="F1054" s="31" t="n">
        <x:v>14</x:v>
      </x:c>
      <x:c r="G1054" s="31" t="inlineStr">
        <x:is>
          <x:t xml:space="preserve">шт</x:t>
        </x:is>
      </x:c>
      <x:c r="H1054" s="31" t="n"/>
      <x:c r="I1054" s="31" t="n"/>
      <x:c r="J1054" s="31" t="inlineStr">
        <x:is>
          <x:t xml:space="preserve">Основной склад</x:t>
        </x:is>
      </x:c>
      <x:c r="K1054" s="31" t="inlineStr">
        <x:is>
          <x:t xml:space="preserve">СОТР-036</x:t>
        </x:is>
      </x:c>
      <x:c r="L1054" s="31" t="inlineStr">
        <x:is>
          <x:t xml:space="preserve">ДОК-2402</x:t>
        </x:is>
      </x:c>
      <x:c r="M1054" s="31" t="inlineStr">
        <x:is>
          <x:t xml:space="preserve">Проведен</x:t>
        </x:is>
      </x:c>
    </x:row>
    <x:row r="1055">
      <x:c r="A1055" s="31" t="inlineStr">
        <x:is>
          <x:t xml:space="preserve">СКЛ-001054</x:t>
        </x:is>
      </x:c>
      <x:c r="B1055" s="31" t="n">
        <x:v>46050</x:v>
      </x:c>
      <x:c r="C1055" s="31" t="inlineStr">
        <x:is>
          <x:t xml:space="preserve">Резерв</x:t>
        </x:is>
      </x:c>
      <x:c r="D1055" s="31" t="inlineStr">
        <x:is>
          <x:t xml:space="preserve">МАТ-0008</x:t>
        </x:is>
      </x:c>
      <x:c r="E1055" s="31" t="inlineStr">
        <x:is>
          <x:t xml:space="preserve">Швеллер 12П</x:t>
        </x:is>
      </x:c>
      <x:c r="F1055" s="31" t="n">
        <x:v>-7</x:v>
      </x:c>
      <x:c r="G1055" s="31" t="inlineStr">
        <x:is>
          <x:t xml:space="preserve">шт</x:t>
        </x:is>
      </x:c>
      <x:c r="H1055" s="31" t="inlineStr">
        <x:is>
          <x:t xml:space="preserve">ЗК-1055</x:t>
        </x:is>
      </x:c>
      <x:c r="I1055" s="31" t="n"/>
      <x:c r="J1055" s="31" t="inlineStr">
        <x:is>
          <x:t xml:space="preserve">Основной склад</x:t>
        </x:is>
      </x:c>
      <x:c r="K1055" s="31" t="inlineStr">
        <x:is>
          <x:t xml:space="preserve">СОТР-037</x:t>
        </x:is>
      </x:c>
      <x:c r="L1055" s="31" t="inlineStr">
        <x:is>
          <x:t xml:space="preserve">ДОК-7069</x:t>
        </x:is>
      </x:c>
      <x:c r="M1055" s="31" t="inlineStr">
        <x:is>
          <x:t xml:space="preserve">Проведен</x:t>
        </x:is>
      </x:c>
    </x:row>
    <x:row r="1056">
      <x:c r="A1056" s="31" t="inlineStr">
        <x:is>
          <x:t xml:space="preserve">СКЛ-001055</x:t>
        </x:is>
      </x:c>
      <x:c r="B1056" s="31" t="n">
        <x:v>46162</x:v>
      </x:c>
      <x:c r="C1056" s="31" t="inlineStr">
        <x:is>
          <x:t xml:space="preserve">Приход</x:t>
        </x:is>
      </x:c>
      <x:c r="D1056" s="31" t="inlineStr">
        <x:is>
          <x:t xml:space="preserve">МАТ-0028</x:t>
        </x:is>
      </x:c>
      <x:c r="E1056" s="31" t="inlineStr">
        <x:is>
          <x:t xml:space="preserve">Частотный преобразователь 15 кВт</x:t>
        </x:is>
      </x:c>
      <x:c r="F1056" s="31" t="n">
        <x:v>17</x:v>
      </x:c>
      <x:c r="G1056" s="31" t="inlineStr">
        <x:is>
          <x:t xml:space="preserve">шт</x:t>
        </x:is>
      </x:c>
      <x:c r="H1056" s="31" t="n"/>
      <x:c r="I1056" s="31" t="n"/>
      <x:c r="J1056" s="31" t="inlineStr">
        <x:is>
          <x:t xml:space="preserve">Основной склад</x:t>
        </x:is>
      </x:c>
      <x:c r="K1056" s="31" t="inlineStr">
        <x:is>
          <x:t xml:space="preserve">СОТР-037</x:t>
        </x:is>
      </x:c>
      <x:c r="L1056" s="31" t="inlineStr">
        <x:is>
          <x:t xml:space="preserve">ДОК-1637</x:t>
        </x:is>
      </x:c>
      <x:c r="M1056" s="31" t="inlineStr">
        <x:is>
          <x:t xml:space="preserve">Проведен</x:t>
        </x:is>
      </x:c>
    </x:row>
    <x:row r="1057">
      <x:c r="A1057" s="31" t="inlineStr">
        <x:is>
          <x:t xml:space="preserve">СКЛ-001056</x:t>
        </x:is>
      </x:c>
      <x:c r="B1057" s="31" t="n">
        <x:v>46099</x:v>
      </x:c>
      <x:c r="C1057" s="31" t="inlineStr">
        <x:is>
          <x:t xml:space="preserve">Выдача в производство</x:t>
        </x:is>
      </x:c>
      <x:c r="D1057" s="31" t="inlineStr">
        <x:is>
          <x:t xml:space="preserve">МАТ-0002</x:t>
        </x:is>
      </x:c>
      <x:c r="E1057" s="31" t="inlineStr">
        <x:is>
          <x:t xml:space="preserve">Лист стальной 09Г2С 12 мм</x:t>
        </x:is>
      </x:c>
      <x:c r="F1057" s="31" t="n">
        <x:v>-52.15</x:v>
      </x:c>
      <x:c r="G1057" s="31" t="inlineStr">
        <x:is>
          <x:t xml:space="preserve">кг</x:t>
        </x:is>
      </x:c>
      <x:c r="H1057" s="31" t="inlineStr">
        <x:is>
          <x:t xml:space="preserve">ЗК-1092</x:t>
        </x:is>
      </x:c>
      <x:c r="I1057" s="31" t="inlineStr">
        <x:is>
          <x:t xml:space="preserve">ПЗ-00184</x:t>
        </x:is>
      </x:c>
      <x:c r="J1057" s="31" t="inlineStr">
        <x:is>
          <x:t xml:space="preserve">Основной склад</x:t>
        </x:is>
      </x:c>
      <x:c r="K1057" s="31" t="inlineStr">
        <x:is>
          <x:t xml:space="preserve">СОТР-035</x:t>
        </x:is>
      </x:c>
      <x:c r="L1057" s="31" t="inlineStr">
        <x:is>
          <x:t xml:space="preserve">ДОК-6661</x:t>
        </x:is>
      </x:c>
      <x:c r="M1057" s="31" t="inlineStr">
        <x:is>
          <x:t xml:space="preserve">Черновик</x:t>
        </x:is>
      </x:c>
    </x:row>
    <x:row r="1058">
      <x:c r="A1058" s="31" t="inlineStr">
        <x:is>
          <x:t xml:space="preserve">СКЛ-001057</x:t>
        </x:is>
      </x:c>
      <x:c r="B1058" s="31" t="n">
        <x:v>46061</x:v>
      </x:c>
      <x:c r="C1058" s="31" t="inlineStr">
        <x:is>
          <x:t xml:space="preserve">Резерв</x:t>
        </x:is>
      </x:c>
      <x:c r="D1058" s="31" t="inlineStr">
        <x:is>
          <x:t xml:space="preserve">МАТ-0043</x:t>
        </x:is>
      </x:c>
      <x:c r="E1058" s="31" t="inlineStr">
        <x:is>
          <x:t xml:space="preserve">Блок питания 24В</x:t>
        </x:is>
      </x:c>
      <x:c r="F1058" s="31" t="n">
        <x:v>-12</x:v>
      </x:c>
      <x:c r="G1058" s="31" t="inlineStr">
        <x:is>
          <x:t xml:space="preserve">шт</x:t>
        </x:is>
      </x:c>
      <x:c r="H1058" s="31" t="inlineStr">
        <x:is>
          <x:t xml:space="preserve">ЗК-1113</x:t>
        </x:is>
      </x:c>
      <x:c r="I1058" s="31" t="n"/>
      <x:c r="J1058" s="31" t="inlineStr">
        <x:is>
          <x:t xml:space="preserve">Основной склад</x:t>
        </x:is>
      </x:c>
      <x:c r="K1058" s="31" t="inlineStr">
        <x:is>
          <x:t xml:space="preserve">СОТР-034</x:t>
        </x:is>
      </x:c>
      <x:c r="L1058" s="31" t="inlineStr">
        <x:is>
          <x:t xml:space="preserve">ДОК-8501</x:t>
        </x:is>
      </x:c>
      <x:c r="M1058" s="31" t="inlineStr">
        <x:is>
          <x:t xml:space="preserve">Проведен</x:t>
        </x:is>
      </x:c>
    </x:row>
    <x:row r="1059">
      <x:c r="A1059" s="31" t="inlineStr">
        <x:is>
          <x:t xml:space="preserve">СКЛ-001058</x:t>
        </x:is>
      </x:c>
      <x:c r="B1059" s="31" t="n">
        <x:v>46089</x:v>
      </x:c>
      <x:c r="C1059" s="31" t="inlineStr">
        <x:is>
          <x:t xml:space="preserve">Приход</x:t>
        </x:is>
      </x:c>
      <x:c r="D1059" s="31" t="inlineStr">
        <x:is>
          <x:t xml:space="preserve">МАТ-0088</x:t>
        </x:is>
      </x:c>
      <x:c r="E1059" s="31" t="inlineStr">
        <x:is>
          <x:t xml:space="preserve">Ящик фанерный / исп.2</x:t>
        </x:is>
      </x:c>
      <x:c r="F1059" s="31" t="n">
        <x:v>11</x:v>
      </x:c>
      <x:c r="G1059" s="31" t="inlineStr">
        <x:is>
          <x:t xml:space="preserve">шт</x:t>
        </x:is>
      </x:c>
      <x:c r="H1059" s="31" t="n"/>
      <x:c r="I1059" s="31" t="n"/>
      <x:c r="J1059" s="31" t="inlineStr">
        <x:is>
          <x:t xml:space="preserve">Основной склад</x:t>
        </x:is>
      </x:c>
      <x:c r="K1059" s="31" t="inlineStr">
        <x:is>
          <x:t xml:space="preserve">СОТР-033</x:t>
        </x:is>
      </x:c>
      <x:c r="L1059" s="31" t="inlineStr">
        <x:is>
          <x:t xml:space="preserve">ДОК-2715</x:t>
        </x:is>
      </x:c>
      <x:c r="M1059" s="31" t="inlineStr">
        <x:is>
          <x:t xml:space="preserve">Требует проверки</x:t>
        </x:is>
      </x:c>
    </x:row>
    <x:row r="1060">
      <x:c r="A1060" s="31" t="inlineStr">
        <x:is>
          <x:t xml:space="preserve">СКЛ-001059</x:t>
        </x:is>
      </x:c>
      <x:c r="B1060" s="31" t="n">
        <x:v>46075</x:v>
      </x:c>
      <x:c r="C1060" s="31" t="inlineStr">
        <x:is>
          <x:t xml:space="preserve">Приход</x:t>
        </x:is>
      </x:c>
      <x:c r="D1060" s="31" t="inlineStr">
        <x:is>
          <x:t xml:space="preserve">МАТ-0016</x:t>
        </x:is>
      </x:c>
      <x:c r="E1060" s="31" t="inlineStr">
        <x:is>
          <x:t xml:space="preserve">Насос центробежный 15 кВт / исп.2</x:t>
        </x:is>
      </x:c>
      <x:c r="F1060" s="31" t="n">
        <x:v>14</x:v>
      </x:c>
      <x:c r="G1060" s="31" t="inlineStr">
        <x:is>
          <x:t xml:space="preserve">шт</x:t>
        </x:is>
      </x:c>
      <x:c r="H1060" s="31" t="n"/>
      <x:c r="I1060" s="31" t="n"/>
      <x:c r="J1060" s="31" t="inlineStr">
        <x:is>
          <x:t xml:space="preserve">Цеховой склад</x:t>
        </x:is>
      </x:c>
      <x:c r="K1060" s="31" t="inlineStr">
        <x:is>
          <x:t xml:space="preserve">СОТР-039</x:t>
        </x:is>
      </x:c>
      <x:c r="L1060" s="31" t="inlineStr">
        <x:is>
          <x:t xml:space="preserve">ДОК-2576</x:t>
        </x:is>
      </x:c>
      <x:c r="M1060" s="31" t="inlineStr">
        <x:is>
          <x:t xml:space="preserve">Проведен</x:t>
        </x:is>
      </x:c>
    </x:row>
    <x:row r="1061">
      <x:c r="A1061" s="31" t="inlineStr">
        <x:is>
          <x:t xml:space="preserve">СКЛ-001060</x:t>
        </x:is>
      </x:c>
      <x:c r="B1061" s="31" t="n">
        <x:v>46131</x:v>
      </x:c>
      <x:c r="C1061" s="31" t="inlineStr">
        <x:is>
          <x:t xml:space="preserve">Выдача в производство</x:t>
        </x:is>
      </x:c>
      <x:c r="D1061" s="31" t="inlineStr">
        <x:is>
          <x:t xml:space="preserve">МАТ-0048</x:t>
        </x:is>
      </x:c>
      <x:c r="E1061" s="31" t="inlineStr">
        <x:is>
          <x:t xml:space="preserve">Контактор 25А / исп.3</x:t>
        </x:is>
      </x:c>
      <x:c r="F1061" s="31" t="n">
        <x:v>-2</x:v>
      </x:c>
      <x:c r="G1061" s="31" t="inlineStr">
        <x:is>
          <x:t xml:space="preserve">шт</x:t>
        </x:is>
      </x:c>
      <x:c r="H1061" s="31" t="inlineStr">
        <x:is>
          <x:t xml:space="preserve">ЗК-1053</x:t>
        </x:is>
      </x:c>
      <x:c r="I1061" s="31" t="inlineStr">
        <x:is>
          <x:t xml:space="preserve">ПЗ-00058</x:t>
        </x:is>
      </x:c>
      <x:c r="J1061" s="31" t="inlineStr">
        <x:is>
          <x:t xml:space="preserve">Основной склад</x:t>
        </x:is>
      </x:c>
      <x:c r="K1061" s="31" t="inlineStr">
        <x:is>
          <x:t xml:space="preserve">СОТР-038</x:t>
        </x:is>
      </x:c>
      <x:c r="L1061" s="31" t="inlineStr">
        <x:is>
          <x:t xml:space="preserve">ДОК-6334</x:t>
        </x:is>
      </x:c>
      <x:c r="M1061" s="31" t="inlineStr">
        <x:is>
          <x:t xml:space="preserve">Проведен</x:t>
        </x:is>
      </x:c>
    </x:row>
    <x:row r="1062">
      <x:c r="A1062" s="31" t="inlineStr">
        <x:is>
          <x:t xml:space="preserve">СКЛ-001061</x:t>
        </x:is>
      </x:c>
      <x:c r="B1062" s="31" t="n">
        <x:v>46078</x:v>
      </x:c>
      <x:c r="C1062" s="31" t="inlineStr">
        <x:is>
          <x:t xml:space="preserve">Корректировка</x:t>
        </x:is>
      </x:c>
      <x:c r="D1062" s="31" t="inlineStr">
        <x:is>
          <x:t xml:space="preserve">МАТ-0033</x:t>
        </x:is>
      </x:c>
      <x:c r="E1062" s="31" t="inlineStr">
        <x:is>
          <x:t xml:space="preserve">Расходомер электромагнитный Ду50</x:t>
        </x:is>
      </x:c>
      <x:c r="F1062" s="31" t="n">
        <x:v>16</x:v>
      </x:c>
      <x:c r="G1062" s="31" t="inlineStr">
        <x:is>
          <x:t xml:space="preserve">шт</x:t>
        </x:is>
      </x:c>
      <x:c r="H1062" s="31" t="n"/>
      <x:c r="I1062" s="31" t="n"/>
      <x:c r="J1062" s="31" t="inlineStr">
        <x:is>
          <x:t xml:space="preserve">Брак/карантин</x:t>
        </x:is>
      </x:c>
      <x:c r="K1062" s="31" t="inlineStr">
        <x:is>
          <x:t xml:space="preserve">СОТР-037</x:t>
        </x:is>
      </x:c>
      <x:c r="L1062" s="31" t="inlineStr">
        <x:is>
          <x:t xml:space="preserve">ДОК-4529</x:t>
        </x:is>
      </x:c>
      <x:c r="M1062" s="31" t="inlineStr">
        <x:is>
          <x:t xml:space="preserve">Проведен</x:t>
        </x:is>
      </x:c>
    </x:row>
    <x:row r="1063">
      <x:c r="A1063" s="31" t="inlineStr">
        <x:is>
          <x:t xml:space="preserve">СКЛ-001062</x:t>
        </x:is>
      </x:c>
      <x:c r="B1063" s="31" t="n">
        <x:v>46078</x:v>
      </x:c>
      <x:c r="C1063" s="31" t="inlineStr">
        <x:is>
          <x:t xml:space="preserve">Резерв</x:t>
        </x:is>
      </x:c>
      <x:c r="D1063" s="31" t="inlineStr">
        <x:is>
          <x:t xml:space="preserve">МАТ-0005</x:t>
        </x:is>
      </x:c>
      <x:c r="E1063" s="31" t="inlineStr">
        <x:is>
          <x:t xml:space="preserve">Труба бесшовная 57×4</x:t>
        </x:is>
      </x:c>
      <x:c r="F1063" s="31" t="n">
        <x:v>-71.84</x:v>
      </x:c>
      <x:c r="G1063" s="31" t="inlineStr">
        <x:is>
          <x:t xml:space="preserve">м</x:t>
        </x:is>
      </x:c>
      <x:c r="H1063" s="31" t="inlineStr">
        <x:is>
          <x:t xml:space="preserve">ЗК-1100</x:t>
        </x:is>
      </x:c>
      <x:c r="I1063" s="31" t="n"/>
      <x:c r="J1063" s="31" t="inlineStr">
        <x:is>
          <x:t xml:space="preserve">Основной склад</x:t>
        </x:is>
      </x:c>
      <x:c r="K1063" s="31" t="inlineStr">
        <x:is>
          <x:t xml:space="preserve">СОТР-039</x:t>
        </x:is>
      </x:c>
      <x:c r="L1063" s="31" t="inlineStr">
        <x:is>
          <x:t xml:space="preserve">ДОК-3376</x:t>
        </x:is>
      </x:c>
      <x:c r="M1063" s="31" t="inlineStr">
        <x:is>
          <x:t xml:space="preserve">Проведен</x:t>
        </x:is>
      </x:c>
    </x:row>
    <x:row r="1064">
      <x:c r="A1064" s="31" t="inlineStr">
        <x:is>
          <x:t xml:space="preserve">СКЛ-001063</x:t>
        </x:is>
      </x:c>
      <x:c r="B1064" s="31" t="n">
        <x:v>46076</x:v>
      </x:c>
      <x:c r="C1064" s="31" t="inlineStr">
        <x:is>
          <x:t xml:space="preserve">Выдача в производство</x:t>
        </x:is>
      </x:c>
      <x:c r="D1064" s="31" t="inlineStr">
        <x:is>
          <x:t xml:space="preserve">МАТ-0005</x:t>
        </x:is>
      </x:c>
      <x:c r="E1064" s="31" t="inlineStr">
        <x:is>
          <x:t xml:space="preserve">Труба бесшовная 57×4</x:t>
        </x:is>
      </x:c>
      <x:c r="F1064" s="31" t="n">
        <x:v>-65.28</x:v>
      </x:c>
      <x:c r="G1064" s="31" t="inlineStr">
        <x:is>
          <x:t xml:space="preserve">м</x:t>
        </x:is>
      </x:c>
      <x:c r="H1064" s="31" t="inlineStr">
        <x:is>
          <x:t xml:space="preserve">ЗК-1063</x:t>
        </x:is>
      </x:c>
      <x:c r="I1064" s="31" t="inlineStr">
        <x:is>
          <x:t xml:space="preserve">ПЗ-00165</x:t>
        </x:is>
      </x:c>
      <x:c r="J1064" s="31" t="inlineStr">
        <x:is>
          <x:t xml:space="preserve">Основной склад</x:t>
        </x:is>
      </x:c>
      <x:c r="K1064" s="31" t="inlineStr">
        <x:is>
          <x:t xml:space="preserve">СОТР-024</x:t>
        </x:is>
      </x:c>
      <x:c r="L1064" s="31" t="inlineStr">
        <x:is>
          <x:t xml:space="preserve">ДОК-9991</x:t>
        </x:is>
      </x:c>
      <x:c r="M1064" s="31" t="inlineStr">
        <x:is>
          <x:t xml:space="preserve">Проведен</x:t>
        </x:is>
      </x:c>
    </x:row>
    <x:row r="1065">
      <x:c r="A1065" s="31" t="inlineStr">
        <x:is>
          <x:t xml:space="preserve">СКЛ-001064</x:t>
        </x:is>
      </x:c>
      <x:c r="B1065" s="31" t="n">
        <x:v>46089</x:v>
      </x:c>
      <x:c r="C1065" s="31" t="inlineStr">
        <x:is>
          <x:t xml:space="preserve">Выдача в производство</x:t>
        </x:is>
      </x:c>
      <x:c r="D1065" s="31" t="inlineStr">
        <x:is>
          <x:t xml:space="preserve">МАТ-0005</x:t>
        </x:is>
      </x:c>
      <x:c r="E1065" s="31" t="inlineStr">
        <x:is>
          <x:t xml:space="preserve">Труба бесшовная 57×4</x:t>
        </x:is>
      </x:c>
      <x:c r="F1065" s="31" t="n">
        <x:v>-26.09</x:v>
      </x:c>
      <x:c r="G1065" s="31" t="inlineStr">
        <x:is>
          <x:t xml:space="preserve">м</x:t>
        </x:is>
      </x:c>
      <x:c r="H1065" s="31" t="inlineStr">
        <x:is>
          <x:t xml:space="preserve">ЗК-1089</x:t>
        </x:is>
      </x:c>
      <x:c r="I1065" s="31" t="inlineStr">
        <x:is>
          <x:t xml:space="preserve">ПЗ-00066</x:t>
        </x:is>
      </x:c>
      <x:c r="J1065" s="31" t="inlineStr">
        <x:is>
          <x:t xml:space="preserve">Цеховой склад</x:t>
        </x:is>
      </x:c>
      <x:c r="K1065" s="31" t="inlineStr">
        <x:is>
          <x:t xml:space="preserve">СОТР-038</x:t>
        </x:is>
      </x:c>
      <x:c r="L1065" s="31" t="inlineStr">
        <x:is>
          <x:t xml:space="preserve">ДОК-1638</x:t>
        </x:is>
      </x:c>
      <x:c r="M1065" s="31" t="inlineStr">
        <x:is>
          <x:t xml:space="preserve">Проведен</x:t>
        </x:is>
      </x:c>
    </x:row>
    <x:row r="1066">
      <x:c r="A1066" s="31" t="inlineStr">
        <x:is>
          <x:t xml:space="preserve">СКЛ-001065</x:t>
        </x:is>
      </x:c>
      <x:c r="B1066" s="31" t="n">
        <x:v>46198</x:v>
      </x:c>
      <x:c r="C1066" s="31" t="inlineStr">
        <x:is>
          <x:t xml:space="preserve">Списание</x:t>
        </x:is>
      </x:c>
      <x:c r="D1066" s="31" t="inlineStr">
        <x:is>
          <x:t xml:space="preserve">МАТ-0002</x:t>
        </x:is>
      </x:c>
      <x:c r="E1066" s="31" t="inlineStr">
        <x:is>
          <x:t xml:space="preserve">Лист стальной 09Г2С 12 мм</x:t>
        </x:is>
      </x:c>
      <x:c r="F1066" s="31" t="n">
        <x:v>-47</x:v>
      </x:c>
      <x:c r="G1066" s="31" t="inlineStr">
        <x:is>
          <x:t xml:space="preserve">кг</x:t>
        </x:is>
      </x:c>
      <x:c r="H1066" s="31" t="n"/>
      <x:c r="I1066" s="31" t="n"/>
      <x:c r="J1066" s="31" t="inlineStr">
        <x:is>
          <x:t xml:space="preserve">Основной склад</x:t>
        </x:is>
      </x:c>
      <x:c r="K1066" s="31" t="inlineStr">
        <x:is>
          <x:t xml:space="preserve">СОТР-035</x:t>
        </x:is>
      </x:c>
      <x:c r="L1066" s="31" t="inlineStr">
        <x:is>
          <x:t xml:space="preserve">ДОК-2218</x:t>
        </x:is>
      </x:c>
      <x:c r="M1066" s="31" t="inlineStr">
        <x:is>
          <x:t xml:space="preserve">Проведен</x:t>
        </x:is>
      </x:c>
    </x:row>
    <x:row r="1067">
      <x:c r="A1067" s="31" t="inlineStr">
        <x:is>
          <x:t xml:space="preserve">СКЛ-001066</x:t>
        </x:is>
      </x:c>
      <x:c r="B1067" s="31" t="n">
        <x:v>46046</x:v>
      </x:c>
      <x:c r="C1067" s="31" t="inlineStr">
        <x:is>
          <x:t xml:space="preserve">Корректировка</x:t>
        </x:is>
      </x:c>
      <x:c r="D1067" s="31" t="inlineStr">
        <x:is>
          <x:t xml:space="preserve">МАТ-0076</x:t>
        </x:is>
      </x:c>
      <x:c r="E1067" s="31" t="inlineStr">
        <x:is>
          <x:t xml:space="preserve">Болт М12 / исп.2</x:t>
        </x:is>
      </x:c>
      <x:c r="F1067" s="31" t="n">
        <x:v>9</x:v>
      </x:c>
      <x:c r="G1067" s="31" t="inlineStr">
        <x:is>
          <x:t xml:space="preserve">шт</x:t>
        </x:is>
      </x:c>
      <x:c r="H1067" s="31" t="n"/>
      <x:c r="I1067" s="31" t="n"/>
      <x:c r="J1067" s="31" t="inlineStr">
        <x:is>
          <x:t xml:space="preserve">Основной склад</x:t>
        </x:is>
      </x:c>
      <x:c r="K1067" s="31" t="inlineStr">
        <x:is>
          <x:t xml:space="preserve">СОТР-033</x:t>
        </x:is>
      </x:c>
      <x:c r="L1067" s="31" t="inlineStr">
        <x:is>
          <x:t xml:space="preserve">ДОК-3699</x:t>
        </x:is>
      </x:c>
      <x:c r="M1067" s="31" t="inlineStr">
        <x:is>
          <x:t xml:space="preserve">Проведен</x:t>
        </x:is>
      </x:c>
    </x:row>
    <x:row r="1068">
      <x:c r="A1068" s="31" t="inlineStr">
        <x:is>
          <x:t xml:space="preserve">СКЛ-001067</x:t>
        </x:is>
      </x:c>
      <x:c r="B1068" s="31" t="n">
        <x:v>46065</x:v>
      </x:c>
      <x:c r="C1068" s="31" t="inlineStr">
        <x:is>
          <x:t xml:space="preserve">Резерв</x:t>
        </x:is>
      </x:c>
      <x:c r="D1068" s="31" t="inlineStr">
        <x:is>
          <x:t xml:space="preserve">МАТ-0080</x:t>
        </x:is>
      </x:c>
      <x:c r="E1068" s="31" t="inlineStr">
        <x:is>
          <x:t xml:space="preserve">Гайка М12 / исп.3</x:t>
        </x:is>
      </x:c>
      <x:c r="F1068" s="31" t="n">
        <x:v>-19</x:v>
      </x:c>
      <x:c r="G1068" s="31" t="inlineStr">
        <x:is>
          <x:t xml:space="preserve">шт</x:t>
        </x:is>
      </x:c>
      <x:c r="H1068" s="31" t="inlineStr">
        <x:is>
          <x:t xml:space="preserve">ЗК-1022</x:t>
        </x:is>
      </x:c>
      <x:c r="I1068" s="31" t="n"/>
      <x:c r="J1068" s="31" t="inlineStr">
        <x:is>
          <x:t xml:space="preserve">Основной склад</x:t>
        </x:is>
      </x:c>
      <x:c r="K1068" s="31" t="inlineStr">
        <x:is>
          <x:t xml:space="preserve">СОТР-034</x:t>
        </x:is>
      </x:c>
      <x:c r="L1068" s="31" t="inlineStr">
        <x:is>
          <x:t xml:space="preserve">ДОК-9459</x:t>
        </x:is>
      </x:c>
      <x:c r="M1068" s="31" t="inlineStr">
        <x:is>
          <x:t xml:space="preserve">Проведен</x:t>
        </x:is>
      </x:c>
    </x:row>
    <x:row r="1069">
      <x:c r="A1069" s="31" t="inlineStr">
        <x:is>
          <x:t xml:space="preserve">СКЛ-001068</x:t>
        </x:is>
      </x:c>
      <x:c r="B1069" s="31" t="n">
        <x:v>46069</x:v>
      </x:c>
      <x:c r="C1069" s="31" t="inlineStr">
        <x:is>
          <x:t xml:space="preserve">Выдача в производство</x:t>
        </x:is>
      </x:c>
      <x:c r="D1069" s="31" t="inlineStr">
        <x:is>
          <x:t xml:space="preserve">МАТ-0040</x:t>
        </x:is>
      </x:c>
      <x:c r="E1069" s="31" t="inlineStr">
        <x:is>
          <x:t xml:space="preserve">модуль аналогового входа 4 канала</x:t>
        </x:is>
      </x:c>
      <x:c r="F1069" s="31" t="n">
        <x:v>-20</x:v>
      </x:c>
      <x:c r="G1069" s="31" t="inlineStr">
        <x:is>
          <x:t xml:space="preserve">шт</x:t>
        </x:is>
      </x:c>
      <x:c r="H1069" s="31" t="inlineStr">
        <x:is>
          <x:t xml:space="preserve">ЗК-1067</x:t>
        </x:is>
      </x:c>
      <x:c r="I1069" s="31" t="inlineStr">
        <x:is>
          <x:t xml:space="preserve">ПЗ-00132</x:t>
        </x:is>
      </x:c>
      <x:c r="J1069" s="31" t="inlineStr">
        <x:is>
          <x:t xml:space="preserve">Цеховой склад</x:t>
        </x:is>
      </x:c>
      <x:c r="K1069" s="31" t="inlineStr">
        <x:is>
          <x:t xml:space="preserve">СОТР-036</x:t>
        </x:is>
      </x:c>
      <x:c r="L1069" s="31" t="inlineStr">
        <x:is>
          <x:t xml:space="preserve">ДОК-4141</x:t>
        </x:is>
      </x:c>
      <x:c r="M1069" s="31" t="inlineStr">
        <x:is>
          <x:t xml:space="preserve">Проведен</x:t>
        </x:is>
      </x:c>
    </x:row>
    <x:row r="1070">
      <x:c r="A1070" s="31" t="inlineStr">
        <x:is>
          <x:t xml:space="preserve">СКЛ-001069</x:t>
        </x:is>
      </x:c>
      <x:c r="B1070" s="31" t="n">
        <x:v>46134</x:v>
      </x:c>
      <x:c r="C1070" s="31" t="inlineStr">
        <x:is>
          <x:t xml:space="preserve">Возврат</x:t>
        </x:is>
      </x:c>
      <x:c r="D1070" s="31" t="inlineStr">
        <x:is>
          <x:t xml:space="preserve">МАТ-0043</x:t>
        </x:is>
      </x:c>
      <x:c r="E1070" s="31" t="inlineStr">
        <x:is>
          <x:t xml:space="preserve">Блок питания 24В</x:t>
        </x:is>
      </x:c>
      <x:c r="F1070" s="31" t="n">
        <x:v>5</x:v>
      </x:c>
      <x:c r="G1070" s="31" t="inlineStr">
        <x:is>
          <x:t xml:space="preserve">шт</x:t>
        </x:is>
      </x:c>
      <x:c r="H1070" s="31" t="n"/>
      <x:c r="I1070" s="31" t="n"/>
      <x:c r="J1070" s="31" t="inlineStr">
        <x:is>
          <x:t xml:space="preserve">Основной склад</x:t>
        </x:is>
      </x:c>
      <x:c r="K1070" s="31" t="inlineStr">
        <x:is>
          <x:t xml:space="preserve">СОТР-034</x:t>
        </x:is>
      </x:c>
      <x:c r="L1070" s="31" t="inlineStr">
        <x:is>
          <x:t xml:space="preserve">ДОК-8851</x:t>
        </x:is>
      </x:c>
      <x:c r="M1070" s="31" t="inlineStr">
        <x:is>
          <x:t xml:space="preserve">Проведен</x:t>
        </x:is>
      </x:c>
    </x:row>
    <x:row r="1071">
      <x:c r="A1071" s="31" t="inlineStr">
        <x:is>
          <x:t xml:space="preserve">СКЛ-001070</x:t>
        </x:is>
      </x:c>
      <x:c r="B1071" s="31" t="n">
        <x:v>46171</x:v>
      </x:c>
      <x:c r="C1071" s="31" t="inlineStr">
        <x:is>
          <x:t xml:space="preserve">Выдача в производство</x:t>
        </x:is>
      </x:c>
      <x:c r="D1071" s="31" t="inlineStr">
        <x:is>
          <x:t xml:space="preserve">МАТ-0056</x:t>
        </x:is>
      </x:c>
      <x:c r="E1071" s="31" t="inlineStr">
        <x:is>
          <x:t xml:space="preserve">Задвижка Ду100</x:t>
        </x:is>
      </x:c>
      <x:c r="F1071" s="31" t="n">
        <x:v>-9</x:v>
      </x:c>
      <x:c r="G1071" s="31" t="inlineStr">
        <x:is>
          <x:t xml:space="preserve">шт</x:t>
        </x:is>
      </x:c>
      <x:c r="H1071" s="31" t="inlineStr">
        <x:is>
          <x:t xml:space="preserve">ЗК-1082</x:t>
        </x:is>
      </x:c>
      <x:c r="I1071" s="31" t="inlineStr">
        <x:is>
          <x:t xml:space="preserve">ПЗ-00224</x:t>
        </x:is>
      </x:c>
      <x:c r="J1071" s="31" t="inlineStr">
        <x:is>
          <x:t xml:space="preserve">Основной склад</x:t>
        </x:is>
      </x:c>
      <x:c r="K1071" s="31" t="inlineStr">
        <x:is>
          <x:t xml:space="preserve">СОТР-033</x:t>
        </x:is>
      </x:c>
      <x:c r="L1071" s="31" t="inlineStr">
        <x:is>
          <x:t xml:space="preserve">ДОК-1614</x:t>
        </x:is>
      </x:c>
      <x:c r="M1071" s="31" t="inlineStr">
        <x:is>
          <x:t xml:space="preserve">Проведен</x:t>
        </x:is>
      </x:c>
    </x:row>
    <x:row r="1072">
      <x:c r="A1072" s="31" t="inlineStr">
        <x:is>
          <x:t xml:space="preserve">СКЛ-001071</x:t>
        </x:is>
      </x:c>
      <x:c r="B1072" s="31" t="n">
        <x:v>46100</x:v>
      </x:c>
      <x:c r="C1072" s="31" t="inlineStr">
        <x:is>
          <x:t xml:space="preserve">Выдача в производство</x:t>
        </x:is>
      </x:c>
      <x:c r="D1072" s="31" t="inlineStr">
        <x:is>
          <x:t xml:space="preserve">МАТ-0022</x:t>
        </x:is>
      </x:c>
      <x:c r="E1072" s="31" t="inlineStr">
        <x:is>
          <x:t xml:space="preserve">Торцевое уплотнение / исп.2</x:t>
        </x:is>
      </x:c>
      <x:c r="F1072" s="31" t="n">
        <x:v>-5</x:v>
      </x:c>
      <x:c r="G1072" s="31" t="inlineStr">
        <x:is>
          <x:t xml:space="preserve">шт</x:t>
        </x:is>
      </x:c>
      <x:c r="H1072" s="31" t="inlineStr">
        <x:is>
          <x:t xml:space="preserve">ЗК-1030</x:t>
        </x:is>
      </x:c>
      <x:c r="I1072" s="31" t="inlineStr">
        <x:is>
          <x:t xml:space="preserve">ПЗ-00240</x:t>
        </x:is>
      </x:c>
      <x:c r="J1072" s="31" t="inlineStr">
        <x:is>
          <x:t xml:space="preserve">Основной склад</x:t>
        </x:is>
      </x:c>
      <x:c r="K1072" s="31" t="inlineStr">
        <x:is>
          <x:t xml:space="preserve">СОТР-038</x:t>
        </x:is>
      </x:c>
      <x:c r="L1072" s="31" t="inlineStr">
        <x:is>
          <x:t xml:space="preserve">ДОК-9072</x:t>
        </x:is>
      </x:c>
      <x:c r="M1072" s="31" t="inlineStr">
        <x:is>
          <x:t xml:space="preserve">Проведен</x:t>
        </x:is>
      </x:c>
    </x:row>
    <x:row r="1073">
      <x:c r="A1073" s="31" t="inlineStr">
        <x:is>
          <x:t xml:space="preserve">СКЛ-001072</x:t>
        </x:is>
      </x:c>
      <x:c r="B1073" s="31" t="n">
        <x:v>46160</x:v>
      </x:c>
      <x:c r="C1073" s="31" t="inlineStr">
        <x:is>
          <x:t xml:space="preserve">Выдача в производство</x:t>
        </x:is>
      </x:c>
      <x:c r="D1073" s="31" t="inlineStr">
        <x:is>
          <x:t xml:space="preserve">МАТ-0080</x:t>
        </x:is>
      </x:c>
      <x:c r="E1073" s="31" t="inlineStr">
        <x:is>
          <x:t xml:space="preserve">Гайка М12 / исп.3</x:t>
        </x:is>
      </x:c>
      <x:c r="F1073" s="31" t="n">
        <x:v>-15</x:v>
      </x:c>
      <x:c r="G1073" s="31" t="inlineStr">
        <x:is>
          <x:t xml:space="preserve">шт</x:t>
        </x:is>
      </x:c>
      <x:c r="H1073" s="31" t="inlineStr">
        <x:is>
          <x:t xml:space="preserve">ЗК-1078</x:t>
        </x:is>
      </x:c>
      <x:c r="I1073" s="31" t="inlineStr">
        <x:is>
          <x:t xml:space="preserve">ПЗ-00234</x:t>
        </x:is>
      </x:c>
      <x:c r="J1073" s="31" t="inlineStr">
        <x:is>
          <x:t xml:space="preserve">Основной склад</x:t>
        </x:is>
      </x:c>
      <x:c r="K1073" s="31" t="inlineStr">
        <x:is>
          <x:t xml:space="preserve">СОТР-039</x:t>
        </x:is>
      </x:c>
      <x:c r="L1073" s="31" t="inlineStr">
        <x:is>
          <x:t xml:space="preserve">ДОК-1049</x:t>
        </x:is>
      </x:c>
      <x:c r="M1073" s="31" t="inlineStr">
        <x:is>
          <x:t xml:space="preserve">Проведен</x:t>
        </x:is>
      </x:c>
    </x:row>
    <x:row r="1074">
      <x:c r="A1074" s="31" t="inlineStr">
        <x:is>
          <x:t xml:space="preserve">СКЛ-001073</x:t>
        </x:is>
      </x:c>
      <x:c r="B1074" s="31" t="n">
        <x:v>46187</x:v>
      </x:c>
      <x:c r="C1074" s="31" t="inlineStr">
        <x:is>
          <x:t xml:space="preserve">Резерв</x:t>
        </x:is>
      </x:c>
      <x:c r="D1074" s="31" t="inlineStr">
        <x:is>
          <x:t xml:space="preserve">МАТ-0018</x:t>
        </x:is>
      </x:c>
      <x:c r="E1074" s="31" t="inlineStr">
        <x:is>
          <x:t xml:space="preserve">Насос шестеренный 7.5 кВт / исп.2</x:t>
        </x:is>
      </x:c>
      <x:c r="F1074" s="31" t="n">
        <x:v>-17</x:v>
      </x:c>
      <x:c r="G1074" s="31" t="inlineStr">
        <x:is>
          <x:t xml:space="preserve">шт</x:t>
        </x:is>
      </x:c>
      <x:c r="H1074" s="31" t="inlineStr">
        <x:is>
          <x:t xml:space="preserve">ЗК-1012</x:t>
        </x:is>
      </x:c>
      <x:c r="I1074" s="31" t="n"/>
      <x:c r="J1074" s="31" t="inlineStr">
        <x:is>
          <x:t xml:space="preserve">Цеховой склад</x:t>
        </x:is>
      </x:c>
      <x:c r="K1074" s="31" t="inlineStr">
        <x:is>
          <x:t xml:space="preserve">СОТР-037</x:t>
        </x:is>
      </x:c>
      <x:c r="L1074" s="31" t="inlineStr">
        <x:is>
          <x:t xml:space="preserve">ДОК-2363</x:t>
        </x:is>
      </x:c>
      <x:c r="M1074" s="31" t="inlineStr">
        <x:is>
          <x:t xml:space="preserve">Проведен</x:t>
        </x:is>
      </x:c>
    </x:row>
    <x:row r="1075">
      <x:c r="A1075" s="31" t="inlineStr">
        <x:is>
          <x:t xml:space="preserve">СКЛ-001074</x:t>
        </x:is>
      </x:c>
      <x:c r="B1075" s="31" t="n">
        <x:v>46121</x:v>
      </x:c>
      <x:c r="C1075" s="31" t="inlineStr">
        <x:is>
          <x:t xml:space="preserve">Приход</x:t>
        </x:is>
      </x:c>
      <x:c r="D1075" s="31" t="inlineStr">
        <x:is>
          <x:t xml:space="preserve">МАТ-0029</x:t>
        </x:is>
      </x:c>
      <x:c r="E1075" s="31" t="inlineStr">
        <x:is>
          <x:t xml:space="preserve">Частотный преобразователь 22 кВт</x:t>
        </x:is>
      </x:c>
      <x:c r="F1075" s="31" t="n">
        <x:v>4</x:v>
      </x:c>
      <x:c r="G1075" s="31" t="inlineStr">
        <x:is>
          <x:t xml:space="preserve">шт</x:t>
        </x:is>
      </x:c>
      <x:c r="H1075" s="31" t="n"/>
      <x:c r="I1075" s="31" t="n"/>
      <x:c r="J1075" s="31" t="inlineStr">
        <x:is>
          <x:t xml:space="preserve">Основной склад</x:t>
        </x:is>
      </x:c>
      <x:c r="K1075" s="31" t="inlineStr">
        <x:is>
          <x:t xml:space="preserve">СОТР-034</x:t>
        </x:is>
      </x:c>
      <x:c r="L1075" s="31" t="inlineStr">
        <x:is>
          <x:t xml:space="preserve">ДОК-1897</x:t>
        </x:is>
      </x:c>
      <x:c r="M1075" s="31" t="inlineStr">
        <x:is>
          <x:t xml:space="preserve">Проведен</x:t>
        </x:is>
      </x:c>
    </x:row>
    <x:row r="1076">
      <x:c r="A1076" s="31" t="inlineStr">
        <x:is>
          <x:t xml:space="preserve">СКЛ-001075</x:t>
        </x:is>
      </x:c>
      <x:c r="B1076" s="31" t="n">
        <x:v>46129</x:v>
      </x:c>
      <x:c r="C1076" s="31" t="inlineStr">
        <x:is>
          <x:t xml:space="preserve">Приход</x:t>
        </x:is>
      </x:c>
      <x:c r="D1076" s="31" t="inlineStr">
        <x:is>
          <x:t xml:space="preserve">МАТ-0086</x:t>
        </x:is>
      </x:c>
      <x:c r="E1076" s="31" t="inlineStr">
        <x:is>
          <x:t xml:space="preserve">Пленка стрейч / исп.2</x:t>
        </x:is>
      </x:c>
      <x:c r="F1076" s="31" t="n">
        <x:v>14</x:v>
      </x:c>
      <x:c r="G1076" s="31" t="inlineStr">
        <x:is>
          <x:t xml:space="preserve">шт</x:t>
        </x:is>
      </x:c>
      <x:c r="H1076" s="31" t="n"/>
      <x:c r="I1076" s="31" t="n"/>
      <x:c r="J1076" s="31" t="inlineStr">
        <x:is>
          <x:t xml:space="preserve">Основной склад</x:t>
        </x:is>
      </x:c>
      <x:c r="K1076" s="31" t="inlineStr">
        <x:is>
          <x:t xml:space="preserve">СОТР-038</x:t>
        </x:is>
      </x:c>
      <x:c r="L1076" s="31" t="inlineStr">
        <x:is>
          <x:t xml:space="preserve">ДОК-3686</x:t>
        </x:is>
      </x:c>
      <x:c r="M1076" s="31" t="inlineStr">
        <x:is>
          <x:t xml:space="preserve">Проведен</x:t>
        </x:is>
      </x:c>
    </x:row>
    <x:row r="1077">
      <x:c r="A1077" s="31" t="inlineStr">
        <x:is>
          <x:t xml:space="preserve">СКЛ-001076</x:t>
        </x:is>
      </x:c>
      <x:c r="B1077" s="31" t="n">
        <x:v>46181</x:v>
      </x:c>
      <x:c r="C1077" s="31" t="inlineStr">
        <x:is>
          <x:t xml:space="preserve">Возврат</x:t>
        </x:is>
      </x:c>
      <x:c r="D1077" s="31" t="inlineStr">
        <x:is>
          <x:t xml:space="preserve">МАТ-0058</x:t>
        </x:is>
      </x:c>
      <x:c r="E1077" s="31" t="inlineStr">
        <x:is>
          <x:t xml:space="preserve">Задвижка Ду100 / исп.3</x:t>
        </x:is>
      </x:c>
      <x:c r="F1077" s="31" t="n">
        <x:v>5</x:v>
      </x:c>
      <x:c r="G1077" s="31" t="inlineStr">
        <x:is>
          <x:t xml:space="preserve">шт</x:t>
        </x:is>
      </x:c>
      <x:c r="H1077" s="31" t="n"/>
      <x:c r="I1077" s="31" t="n"/>
      <x:c r="J1077" s="31" t="inlineStr">
        <x:is>
          <x:t xml:space="preserve">Цеховой склад</x:t>
        </x:is>
      </x:c>
      <x:c r="K1077" s="31" t="inlineStr">
        <x:is>
          <x:t xml:space="preserve">СОТР-037</x:t>
        </x:is>
      </x:c>
      <x:c r="L1077" s="31" t="inlineStr">
        <x:is>
          <x:t xml:space="preserve">ДОК-2919</x:t>
        </x:is>
      </x:c>
      <x:c r="M1077" s="31" t="inlineStr">
        <x:is>
          <x:t xml:space="preserve">Проведен</x:t>
        </x:is>
      </x:c>
    </x:row>
    <x:row r="1078">
      <x:c r="A1078" s="31" t="inlineStr">
        <x:is>
          <x:t xml:space="preserve">СКЛ-001077</x:t>
        </x:is>
      </x:c>
      <x:c r="B1078" s="31" t="n">
        <x:v>46138</x:v>
      </x:c>
      <x:c r="C1078" s="31" t="inlineStr">
        <x:is>
          <x:t xml:space="preserve">Выдача в производство</x:t>
        </x:is>
      </x:c>
      <x:c r="D1078" s="31" t="inlineStr">
        <x:is>
          <x:t xml:space="preserve">МАТ-0049</x:t>
        </x:is>
      </x:c>
      <x:c r="E1078" s="31" t="inlineStr">
        <x:is>
          <x:t xml:space="preserve">Рейковая клемма</x:t>
        </x:is>
      </x:c>
      <x:c r="F1078" s="31" t="n">
        <x:v>-18</x:v>
      </x:c>
      <x:c r="G1078" s="31" t="inlineStr">
        <x:is>
          <x:t xml:space="preserve">шт</x:t>
        </x:is>
      </x:c>
      <x:c r="H1078" s="31" t="inlineStr">
        <x:is>
          <x:t xml:space="preserve">ЗК-1083</x:t>
        </x:is>
      </x:c>
      <x:c r="I1078" s="31" t="inlineStr">
        <x:is>
          <x:t xml:space="preserve">ПЗ-00030</x:t>
        </x:is>
      </x:c>
      <x:c r="J1078" s="31" t="inlineStr">
        <x:is>
          <x:t xml:space="preserve">Брак/карантин</x:t>
        </x:is>
      </x:c>
      <x:c r="K1078" s="31" t="inlineStr">
        <x:is>
          <x:t xml:space="preserve">СОТР-038</x:t>
        </x:is>
      </x:c>
      <x:c r="L1078" s="31" t="inlineStr">
        <x:is>
          <x:t xml:space="preserve">ДОК-2808</x:t>
        </x:is>
      </x:c>
      <x:c r="M1078" s="31" t="inlineStr">
        <x:is>
          <x:t xml:space="preserve">Требует проверки</x:t>
        </x:is>
      </x:c>
    </x:row>
    <x:row r="1079">
      <x:c r="A1079" s="31" t="inlineStr">
        <x:is>
          <x:t xml:space="preserve">СКЛ-001078</x:t>
        </x:is>
      </x:c>
      <x:c r="B1079" s="31" t="n">
        <x:v>46176</x:v>
      </x:c>
      <x:c r="C1079" s="31" t="inlineStr">
        <x:is>
          <x:t xml:space="preserve">Выдача в производство</x:t>
        </x:is>
      </x:c>
      <x:c r="D1079" s="31" t="inlineStr">
        <x:is>
          <x:t xml:space="preserve">МАТ-0003</x:t>
        </x:is>
      </x:c>
      <x:c r="E1079" s="31" t="inlineStr">
        <x:is>
          <x:t xml:space="preserve">Лист стальной 09Г2С 12 мм / исп.2</x:t>
        </x:is>
      </x:c>
      <x:c r="F1079" s="31" t="n">
        <x:v>-50.36</x:v>
      </x:c>
      <x:c r="G1079" s="31" t="inlineStr">
        <x:is>
          <x:t xml:space="preserve">м</x:t>
        </x:is>
      </x:c>
      <x:c r="H1079" s="31" t="inlineStr">
        <x:is>
          <x:t xml:space="preserve">ЗК-1002</x:t>
        </x:is>
      </x:c>
      <x:c r="I1079" s="31" t="inlineStr">
        <x:is>
          <x:t xml:space="preserve">ПЗ-00123</x:t>
        </x:is>
      </x:c>
      <x:c r="J1079" s="31" t="inlineStr">
        <x:is>
          <x:t xml:space="preserve">Основной склад</x:t>
        </x:is>
      </x:c>
      <x:c r="K1079" s="31" t="inlineStr">
        <x:is>
          <x:t xml:space="preserve">СОТР-039</x:t>
        </x:is>
      </x:c>
      <x:c r="L1079" s="31" t="inlineStr">
        <x:is>
          <x:t xml:space="preserve">ДОК-7407</x:t>
        </x:is>
      </x:c>
      <x:c r="M1079" s="31" t="inlineStr">
        <x:is>
          <x:t xml:space="preserve">Черновик</x:t>
        </x:is>
      </x:c>
    </x:row>
    <x:row r="1080">
      <x:c r="A1080" s="31" t="inlineStr">
        <x:is>
          <x:t xml:space="preserve">СКЛ-001079</x:t>
        </x:is>
      </x:c>
      <x:c r="B1080" s="31" t="n">
        <x:v>46083</x:v>
      </x:c>
      <x:c r="C1080" s="31" t="inlineStr">
        <x:is>
          <x:t xml:space="preserve">Выдача в производство</x:t>
        </x:is>
      </x:c>
      <x:c r="D1080" s="31" t="inlineStr">
        <x:is>
          <x:t xml:space="preserve">МАТ-0028</x:t>
        </x:is>
      </x:c>
      <x:c r="E1080" s="31" t="inlineStr">
        <x:is>
          <x:t xml:space="preserve">Частотный преобразователь 15 кВт</x:t>
        </x:is>
      </x:c>
      <x:c r="F1080" s="31" t="n">
        <x:v>-8</x:v>
      </x:c>
      <x:c r="G1080" s="31" t="inlineStr">
        <x:is>
          <x:t xml:space="preserve">шт</x:t>
        </x:is>
      </x:c>
      <x:c r="H1080" s="31" t="inlineStr">
        <x:is>
          <x:t xml:space="preserve">ЗК-1007</x:t>
        </x:is>
      </x:c>
      <x:c r="I1080" s="31" t="inlineStr">
        <x:is>
          <x:t xml:space="preserve">ПЗ-00214</x:t>
        </x:is>
      </x:c>
      <x:c r="J1080" s="31" t="inlineStr">
        <x:is>
          <x:t xml:space="preserve">Основной склад</x:t>
        </x:is>
      </x:c>
      <x:c r="K1080" s="31" t="inlineStr">
        <x:is>
          <x:t xml:space="preserve">СОТР-037</x:t>
        </x:is>
      </x:c>
      <x:c r="L1080" s="31" t="inlineStr">
        <x:is>
          <x:t xml:space="preserve">ДОК-1721</x:t>
        </x:is>
      </x:c>
      <x:c r="M1080" s="31" t="inlineStr">
        <x:is>
          <x:t xml:space="preserve">Проведен</x:t>
        </x:is>
      </x:c>
    </x:row>
    <x:row r="1081">
      <x:c r="A1081" s="31" t="inlineStr">
        <x:is>
          <x:t xml:space="preserve">СКЛ-001080</x:t>
        </x:is>
      </x:c>
      <x:c r="B1081" s="31" t="n">
        <x:v>46118</x:v>
      </x:c>
      <x:c r="C1081" s="31" t="inlineStr">
        <x:is>
          <x:t xml:space="preserve">Выдача в производство</x:t>
        </x:is>
      </x:c>
      <x:c r="D1081" s="31" t="inlineStr">
        <x:is>
          <x:t xml:space="preserve">МАТ-0052</x:t>
        </x:is>
      </x:c>
      <x:c r="E1081" s="31" t="inlineStr">
        <x:is>
          <x:t xml:space="preserve">Кран шаровой Ду50 / исп.2</x:t>
        </x:is>
      </x:c>
      <x:c r="F1081" s="31" t="n">
        <x:v>-1</x:v>
      </x:c>
      <x:c r="G1081" s="31" t="inlineStr">
        <x:is>
          <x:t xml:space="preserve">шт</x:t>
        </x:is>
      </x:c>
      <x:c r="H1081" s="31" t="inlineStr">
        <x:is>
          <x:t xml:space="preserve">ЗК-1100</x:t>
        </x:is>
      </x:c>
      <x:c r="I1081" s="31" t="inlineStr">
        <x:is>
          <x:t xml:space="preserve">ПЗ-00220</x:t>
        </x:is>
      </x:c>
      <x:c r="J1081" s="31" t="inlineStr">
        <x:is>
          <x:t xml:space="preserve">Основной склад</x:t>
        </x:is>
      </x:c>
      <x:c r="K1081" s="31" t="inlineStr">
        <x:is>
          <x:t xml:space="preserve">СОТР-024</x:t>
        </x:is>
      </x:c>
      <x:c r="L1081" s="31" t="inlineStr">
        <x:is>
          <x:t xml:space="preserve">ДОК-1604</x:t>
        </x:is>
      </x:c>
      <x:c r="M1081" s="31" t="inlineStr">
        <x:is>
          <x:t xml:space="preserve">Проведен</x:t>
        </x:is>
      </x:c>
    </x:row>
    <x:row r="1082">
      <x:c r="A1082" s="31" t="inlineStr">
        <x:is>
          <x:t xml:space="preserve">СКЛ-001081</x:t>
        </x:is>
      </x:c>
      <x:c r="B1082" s="31" t="n">
        <x:v>46191</x:v>
      </x:c>
      <x:c r="C1082" s="31" t="inlineStr">
        <x:is>
          <x:t xml:space="preserve">Выдача в производство</x:t>
        </x:is>
      </x:c>
      <x:c r="D1082" s="31" t="inlineStr">
        <x:is>
          <x:t xml:space="preserve">МАТ-0007</x:t>
        </x:is>
      </x:c>
      <x:c r="E1082" s="31" t="inlineStr">
        <x:is>
          <x:t xml:space="preserve">Труба нержавеющая 38×3 / исп.2</x:t>
        </x:is>
      </x:c>
      <x:c r="F1082" s="31" t="n">
        <x:v>-4.4</x:v>
      </x:c>
      <x:c r="G1082" s="31" t="inlineStr">
        <x:is>
          <x:t xml:space="preserve">л</x:t>
        </x:is>
      </x:c>
      <x:c r="H1082" s="31" t="inlineStr">
        <x:is>
          <x:t xml:space="preserve">ЗК-1012</x:t>
        </x:is>
      </x:c>
      <x:c r="I1082" s="31" t="inlineStr">
        <x:is>
          <x:t xml:space="preserve">ПЗ-00112</x:t>
        </x:is>
      </x:c>
      <x:c r="J1082" s="31" t="inlineStr">
        <x:is>
          <x:t xml:space="preserve">Основной склад</x:t>
        </x:is>
      </x:c>
      <x:c r="K1082" s="31" t="inlineStr">
        <x:is>
          <x:t xml:space="preserve">СОТР-037</x:t>
        </x:is>
      </x:c>
      <x:c r="L1082" s="31" t="inlineStr">
        <x:is>
          <x:t xml:space="preserve">ДОК-1785</x:t>
        </x:is>
      </x:c>
      <x:c r="M1082" s="31" t="inlineStr">
        <x:is>
          <x:t xml:space="preserve">Проведен</x:t>
        </x:is>
      </x:c>
    </x:row>
    <x:row r="1083">
      <x:c r="A1083" s="31" t="inlineStr">
        <x:is>
          <x:t xml:space="preserve">СКЛ-001082</x:t>
        </x:is>
      </x:c>
      <x:c r="B1083" s="31" t="n">
        <x:v>46141</x:v>
      </x:c>
      <x:c r="C1083" s="31" t="inlineStr">
        <x:is>
          <x:t xml:space="preserve">Выдача в производство</x:t>
        </x:is>
      </x:c>
      <x:c r="D1083" s="31" t="inlineStr">
        <x:is>
          <x:t xml:space="preserve">МАТ-0076</x:t>
        </x:is>
      </x:c>
      <x:c r="E1083" s="31" t="inlineStr">
        <x:is>
          <x:t xml:space="preserve">Болт М12 / исп.2</x:t>
        </x:is>
      </x:c>
      <x:c r="F1083" s="31" t="n">
        <x:v>-12</x:v>
      </x:c>
      <x:c r="G1083" s="31" t="inlineStr">
        <x:is>
          <x:t xml:space="preserve">шт</x:t>
        </x:is>
      </x:c>
      <x:c r="H1083" s="31" t="inlineStr">
        <x:is>
          <x:t xml:space="preserve">ЗК-1010</x:t>
        </x:is>
      </x:c>
      <x:c r="I1083" s="31" t="inlineStr">
        <x:is>
          <x:t xml:space="preserve">ПЗ-00180</x:t>
        </x:is>
      </x:c>
      <x:c r="J1083" s="31" t="inlineStr">
        <x:is>
          <x:t xml:space="preserve">Брак/карантин</x:t>
        </x:is>
      </x:c>
      <x:c r="K1083" s="31" t="inlineStr">
        <x:is>
          <x:t xml:space="preserve">СОТР-036</x:t>
        </x:is>
      </x:c>
      <x:c r="L1083" s="31" t="inlineStr">
        <x:is>
          <x:t xml:space="preserve">ДОК-2275</x:t>
        </x:is>
      </x:c>
      <x:c r="M1083" s="31" t="inlineStr">
        <x:is>
          <x:t xml:space="preserve">Проведен</x:t>
        </x:is>
      </x:c>
    </x:row>
    <x:row r="1084">
      <x:c r="A1084" s="31" t="inlineStr">
        <x:is>
          <x:t xml:space="preserve">СКЛ-001083</x:t>
        </x:is>
      </x:c>
      <x:c r="B1084" s="31" t="n">
        <x:v>46137</x:v>
      </x:c>
      <x:c r="C1084" s="31" t="inlineStr">
        <x:is>
          <x:t xml:space="preserve">Выдача в производство</x:t>
        </x:is>
      </x:c>
      <x:c r="D1084" s="31" t="inlineStr">
        <x:is>
          <x:t xml:space="preserve">МАТ-0037</x:t>
        </x:is>
      </x:c>
      <x:c r="E1084" s="31" t="inlineStr">
        <x:is>
          <x:t xml:space="preserve">Клапан электромагнитный 24В / исп.3</x:t>
        </x:is>
      </x:c>
      <x:c r="F1084" s="31" t="n">
        <x:v>-7</x:v>
      </x:c>
      <x:c r="G1084" s="31" t="inlineStr">
        <x:is>
          <x:t xml:space="preserve">шт</x:t>
        </x:is>
      </x:c>
      <x:c r="H1084" s="31" t="inlineStr">
        <x:is>
          <x:t xml:space="preserve">ЗК-1029</x:t>
        </x:is>
      </x:c>
      <x:c r="I1084" s="31" t="inlineStr">
        <x:is>
          <x:t xml:space="preserve">ПЗ-00134</x:t>
        </x:is>
      </x:c>
      <x:c r="J1084" s="31" t="inlineStr">
        <x:is>
          <x:t xml:space="preserve">Основной склад</x:t>
        </x:is>
      </x:c>
      <x:c r="K1084" s="31" t="inlineStr">
        <x:is>
          <x:t xml:space="preserve">СОТР-024</x:t>
        </x:is>
      </x:c>
      <x:c r="L1084" s="31" t="inlineStr">
        <x:is>
          <x:t xml:space="preserve">ДОК-7091</x:t>
        </x:is>
      </x:c>
      <x:c r="M1084" s="31" t="inlineStr">
        <x:is>
          <x:t xml:space="preserve">Проведен</x:t>
        </x:is>
      </x:c>
    </x:row>
    <x:row r="1085">
      <x:c r="A1085" s="31" t="inlineStr">
        <x:is>
          <x:t xml:space="preserve">СКЛ-001084</x:t>
        </x:is>
      </x:c>
      <x:c r="B1085" s="31" t="n">
        <x:v>46133</x:v>
      </x:c>
      <x:c r="C1085" s="31" t="inlineStr">
        <x:is>
          <x:t xml:space="preserve">Выдача в производство</x:t>
        </x:is>
      </x:c>
      <x:c r="D1085" s="31" t="inlineStr">
        <x:is>
          <x:t xml:space="preserve">МАТ-0024</x:t>
        </x:is>
      </x:c>
      <x:c r="E1085" s="31" t="inlineStr">
        <x:is>
          <x:t xml:space="preserve">Рабочее колесо / исп.2</x:t>
        </x:is>
      </x:c>
      <x:c r="F1085" s="31" t="n">
        <x:v>-15</x:v>
      </x:c>
      <x:c r="G1085" s="31" t="inlineStr">
        <x:is>
          <x:t xml:space="preserve">шт</x:t>
        </x:is>
      </x:c>
      <x:c r="H1085" s="31" t="inlineStr">
        <x:is>
          <x:t xml:space="preserve">ЗК-1116</x:t>
        </x:is>
      </x:c>
      <x:c r="I1085" s="31" t="inlineStr">
        <x:is>
          <x:t xml:space="preserve">ПЗ-00022</x:t>
        </x:is>
      </x:c>
      <x:c r="J1085" s="31" t="inlineStr">
        <x:is>
          <x:t xml:space="preserve">Основной склад</x:t>
        </x:is>
      </x:c>
      <x:c r="K1085" s="31" t="inlineStr">
        <x:is>
          <x:t xml:space="preserve">СОТР-033</x:t>
        </x:is>
      </x:c>
      <x:c r="L1085" s="31" t="inlineStr">
        <x:is>
          <x:t xml:space="preserve">ДОК-9269</x:t>
        </x:is>
      </x:c>
      <x:c r="M1085" s="31" t="inlineStr">
        <x:is>
          <x:t xml:space="preserve">Проведен</x:t>
        </x:is>
      </x:c>
    </x:row>
    <x:row r="1086">
      <x:c r="A1086" s="31" t="inlineStr">
        <x:is>
          <x:t xml:space="preserve">СКЛ-001085</x:t>
        </x:is>
      </x:c>
      <x:c r="B1086" s="31" t="n">
        <x:v>46157</x:v>
      </x:c>
      <x:c r="C1086" s="31" t="inlineStr">
        <x:is>
          <x:t xml:space="preserve">Выдача в производство</x:t>
        </x:is>
      </x:c>
      <x:c r="D1086" s="31" t="inlineStr">
        <x:is>
          <x:t xml:space="preserve">МАТ-0040</x:t>
        </x:is>
      </x:c>
      <x:c r="E1086" s="31" t="inlineStr">
        <x:is>
          <x:t xml:space="preserve">модуль аналогового входа 4 канала</x:t>
        </x:is>
      </x:c>
      <x:c r="F1086" s="31" t="n">
        <x:v>-14</x:v>
      </x:c>
      <x:c r="G1086" s="31" t="inlineStr">
        <x:is>
          <x:t xml:space="preserve">шт</x:t>
        </x:is>
      </x:c>
      <x:c r="H1086" s="31" t="inlineStr">
        <x:is>
          <x:t xml:space="preserve">ЗК-1105</x:t>
        </x:is>
      </x:c>
      <x:c r="I1086" s="31" t="inlineStr">
        <x:is>
          <x:t xml:space="preserve">ПЗ-00108</x:t>
        </x:is>
      </x:c>
      <x:c r="J1086" s="31" t="inlineStr">
        <x:is>
          <x:t xml:space="preserve">Основной склад</x:t>
        </x:is>
      </x:c>
      <x:c r="K1086" s="31" t="inlineStr">
        <x:is>
          <x:t xml:space="preserve">СОТР-024</x:t>
        </x:is>
      </x:c>
      <x:c r="L1086" s="31" t="inlineStr">
        <x:is>
          <x:t xml:space="preserve">ДОК-4883</x:t>
        </x:is>
      </x:c>
      <x:c r="M1086" s="31" t="inlineStr">
        <x:is>
          <x:t xml:space="preserve">Проведен</x:t>
        </x:is>
      </x:c>
    </x:row>
    <x:row r="1087">
      <x:c r="A1087" s="31" t="inlineStr">
        <x:is>
          <x:t xml:space="preserve">СКЛ-001086</x:t>
        </x:is>
      </x:c>
      <x:c r="B1087" s="31" t="n">
        <x:v>46054</x:v>
      </x:c>
      <x:c r="C1087" s="31" t="inlineStr">
        <x:is>
          <x:t xml:space="preserve">Резерв</x:t>
        </x:is>
      </x:c>
      <x:c r="D1087" s="31" t="inlineStr">
        <x:is>
          <x:t xml:space="preserve">МАТ-0012</x:t>
        </x:is>
      </x:c>
      <x:c r="E1087" s="31" t="inlineStr">
        <x:is>
          <x:t xml:space="preserve">Фланец Ду80 Ру16</x:t>
        </x:is>
      </x:c>
      <x:c r="F1087" s="31" t="n">
        <x:v>-45.52</x:v>
      </x:c>
      <x:c r="G1087" s="31" t="inlineStr">
        <x:is>
          <x:t xml:space="preserve">л</x:t>
        </x:is>
      </x:c>
      <x:c r="H1087" s="31" t="inlineStr">
        <x:is>
          <x:t xml:space="preserve">ЗК-1055</x:t>
        </x:is>
      </x:c>
      <x:c r="I1087" s="31" t="n"/>
      <x:c r="J1087" s="31" t="inlineStr">
        <x:is>
          <x:t xml:space="preserve">Брак/карантин</x:t>
        </x:is>
      </x:c>
      <x:c r="K1087" s="31" t="inlineStr">
        <x:is>
          <x:t xml:space="preserve">СОТР-039</x:t>
        </x:is>
      </x:c>
      <x:c r="L1087" s="31" t="inlineStr">
        <x:is>
          <x:t xml:space="preserve">ДОК-8134</x:t>
        </x:is>
      </x:c>
      <x:c r="M1087" s="31" t="inlineStr">
        <x:is>
          <x:t xml:space="preserve">Проведен</x:t>
        </x:is>
      </x:c>
    </x:row>
    <x:row r="1088">
      <x:c r="A1088" s="31" t="inlineStr">
        <x:is>
          <x:t xml:space="preserve">СКЛ-001087</x:t>
        </x:is>
      </x:c>
      <x:c r="B1088" s="31" t="n">
        <x:v>46102</x:v>
      </x:c>
      <x:c r="C1088" s="31" t="inlineStr">
        <x:is>
          <x:t xml:space="preserve">Приход</x:t>
        </x:is>
      </x:c>
      <x:c r="D1088" s="31" t="inlineStr">
        <x:is>
          <x:t xml:space="preserve">МАТ-0048</x:t>
        </x:is>
      </x:c>
      <x:c r="E1088" s="31" t="inlineStr">
        <x:is>
          <x:t xml:space="preserve">Контактор 25А / исп.3</x:t>
        </x:is>
      </x:c>
      <x:c r="F1088" s="31" t="n">
        <x:v>2</x:v>
      </x:c>
      <x:c r="G1088" s="31" t="inlineStr">
        <x:is>
          <x:t xml:space="preserve">шт</x:t>
        </x:is>
      </x:c>
      <x:c r="H1088" s="31" t="n"/>
      <x:c r="I1088" s="31" t="n"/>
      <x:c r="J1088" s="31" t="inlineStr">
        <x:is>
          <x:t xml:space="preserve">Основной склад</x:t>
        </x:is>
      </x:c>
      <x:c r="K1088" s="31" t="inlineStr">
        <x:is>
          <x:t xml:space="preserve">СОТР-039</x:t>
        </x:is>
      </x:c>
      <x:c r="L1088" s="31" t="inlineStr">
        <x:is>
          <x:t xml:space="preserve">ДОК-6554</x:t>
        </x:is>
      </x:c>
      <x:c r="M1088" s="31" t="inlineStr">
        <x:is>
          <x:t xml:space="preserve">Проведен</x:t>
        </x:is>
      </x:c>
    </x:row>
    <x:row r="1089">
      <x:c r="A1089" s="31" t="inlineStr">
        <x:is>
          <x:t xml:space="preserve">СКЛ-001088</x:t>
        </x:is>
      </x:c>
      <x:c r="B1089" s="31" t="n">
        <x:v>46121</x:v>
      </x:c>
      <x:c r="C1089" s="31" t="inlineStr">
        <x:is>
          <x:t xml:space="preserve">Выдача в производство</x:t>
        </x:is>
      </x:c>
      <x:c r="D1089" s="31" t="inlineStr">
        <x:is>
          <x:t xml:space="preserve">МАТ-0026</x:t>
        </x:is>
      </x:c>
      <x:c r="E1089" s="31" t="inlineStr">
        <x:is>
          <x:t xml:space="preserve">Двигатель 15 кВт</x:t>
        </x:is>
      </x:c>
      <x:c r="F1089" s="31" t="n">
        <x:v>-15</x:v>
      </x:c>
      <x:c r="G1089" s="31" t="inlineStr">
        <x:is>
          <x:t xml:space="preserve">шт</x:t>
        </x:is>
      </x:c>
      <x:c r="H1089" s="31" t="inlineStr">
        <x:is>
          <x:t xml:space="preserve">ЗК-1020</x:t>
        </x:is>
      </x:c>
      <x:c r="I1089" s="31" t="inlineStr">
        <x:is>
          <x:t xml:space="preserve">ПЗ-00171</x:t>
        </x:is>
      </x:c>
      <x:c r="J1089" s="31" t="inlineStr">
        <x:is>
          <x:t xml:space="preserve">Основной склад</x:t>
        </x:is>
      </x:c>
      <x:c r="K1089" s="31" t="inlineStr">
        <x:is>
          <x:t xml:space="preserve">СОТР-034</x:t>
        </x:is>
      </x:c>
      <x:c r="L1089" s="31" t="inlineStr">
        <x:is>
          <x:t xml:space="preserve">ДОК-3905</x:t>
        </x:is>
      </x:c>
      <x:c r="M1089" s="31" t="inlineStr">
        <x:is>
          <x:t xml:space="preserve">Проведен</x:t>
        </x:is>
      </x:c>
    </x:row>
    <x:row r="1090">
      <x:c r="A1090" s="31" t="inlineStr">
        <x:is>
          <x:t xml:space="preserve">СКЛ-001089</x:t>
        </x:is>
      </x:c>
      <x:c r="B1090" s="31" t="n">
        <x:v>46081</x:v>
      </x:c>
      <x:c r="C1090" s="31" t="inlineStr">
        <x:is>
          <x:t xml:space="preserve">Выдача в производство</x:t>
        </x:is>
      </x:c>
      <x:c r="D1090" s="31" t="inlineStr">
        <x:is>
          <x:t xml:space="preserve">МАТ-0007</x:t>
        </x:is>
      </x:c>
      <x:c r="E1090" s="31" t="inlineStr">
        <x:is>
          <x:t xml:space="preserve">Труба нержавеющая 38×3 / исп.2</x:t>
        </x:is>
      </x:c>
      <x:c r="F1090" s="31" t="n">
        <x:v>-3.83</x:v>
      </x:c>
      <x:c r="G1090" s="31" t="inlineStr">
        <x:is>
          <x:t xml:space="preserve">л</x:t>
        </x:is>
      </x:c>
      <x:c r="H1090" s="31" t="inlineStr">
        <x:is>
          <x:t xml:space="preserve">ЗК-1051</x:t>
        </x:is>
      </x:c>
      <x:c r="I1090" s="31" t="inlineStr">
        <x:is>
          <x:t xml:space="preserve">ПЗ-00202</x:t>
        </x:is>
      </x:c>
      <x:c r="J1090" s="31" t="inlineStr">
        <x:is>
          <x:t xml:space="preserve">Брак/карантин</x:t>
        </x:is>
      </x:c>
      <x:c r="K1090" s="31" t="inlineStr">
        <x:is>
          <x:t xml:space="preserve">СОТР-024</x:t>
        </x:is>
      </x:c>
      <x:c r="L1090" s="31" t="inlineStr">
        <x:is>
          <x:t xml:space="preserve">ДОК-4488</x:t>
        </x:is>
      </x:c>
      <x:c r="M1090" s="31" t="inlineStr">
        <x:is>
          <x:t xml:space="preserve">Проведен</x:t>
        </x:is>
      </x:c>
    </x:row>
    <x:row r="1091">
      <x:c r="A1091" s="31" t="inlineStr">
        <x:is>
          <x:t xml:space="preserve">СКЛ-001090</x:t>
        </x:is>
      </x:c>
      <x:c r="B1091" s="31" t="n">
        <x:v>46151</x:v>
      </x:c>
      <x:c r="C1091" s="31" t="inlineStr">
        <x:is>
          <x:t xml:space="preserve">Выдача в производство</x:t>
        </x:is>
      </x:c>
      <x:c r="D1091" s="31" t="inlineStr">
        <x:is>
          <x:t xml:space="preserve">МАТ-0038</x:t>
        </x:is>
      </x:c>
      <x:c r="E1091" s="31" t="inlineStr">
        <x:is>
          <x:t xml:space="preserve">ПЛК 24 дискр. входа / 16 дискр. выхода</x:t>
        </x:is>
      </x:c>
      <x:c r="F1091" s="31" t="n">
        <x:v>-13</x:v>
      </x:c>
      <x:c r="G1091" s="31" t="inlineStr">
        <x:is>
          <x:t xml:space="preserve">шт</x:t>
        </x:is>
      </x:c>
      <x:c r="H1091" s="31" t="inlineStr">
        <x:is>
          <x:t xml:space="preserve">ЗК-1092</x:t>
        </x:is>
      </x:c>
      <x:c r="I1091" s="31" t="inlineStr">
        <x:is>
          <x:t xml:space="preserve">ПЗ-00185</x:t>
        </x:is>
      </x:c>
      <x:c r="J1091" s="31" t="inlineStr">
        <x:is>
          <x:t xml:space="preserve">Брак/карантин</x:t>
        </x:is>
      </x:c>
      <x:c r="K1091" s="31" t="inlineStr">
        <x:is>
          <x:t xml:space="preserve">СОТР-035</x:t>
        </x:is>
      </x:c>
      <x:c r="L1091" s="31" t="inlineStr">
        <x:is>
          <x:t xml:space="preserve">ДОК-6324</x:t>
        </x:is>
      </x:c>
      <x:c r="M1091" s="31" t="inlineStr">
        <x:is>
          <x:t xml:space="preserve">Черновик</x:t>
        </x:is>
      </x:c>
    </x:row>
    <x:row r="1092">
      <x:c r="A1092" s="31" t="inlineStr">
        <x:is>
          <x:t xml:space="preserve">СКЛ-001091</x:t>
        </x:is>
      </x:c>
      <x:c r="B1092" s="31" t="n">
        <x:v>46103</x:v>
      </x:c>
      <x:c r="C1092" s="31" t="inlineStr">
        <x:is>
          <x:t xml:space="preserve">Приход</x:t>
        </x:is>
      </x:c>
      <x:c r="D1092" s="31" t="inlineStr">
        <x:is>
          <x:t xml:space="preserve">МАТ-0041</x:t>
        </x:is>
      </x:c>
      <x:c r="E1092" s="31" t="inlineStr">
        <x:is>
          <x:t xml:space="preserve">модуль аналогового входа 4 канала / исп.2</x:t>
        </x:is>
      </x:c>
      <x:c r="F1092" s="31" t="n">
        <x:v>16</x:v>
      </x:c>
      <x:c r="G1092" s="31" t="inlineStr">
        <x:is>
          <x:t xml:space="preserve">шт</x:t>
        </x:is>
      </x:c>
      <x:c r="H1092" s="31" t="n"/>
      <x:c r="I1092" s="31" t="n"/>
      <x:c r="J1092" s="31" t="inlineStr">
        <x:is>
          <x:t xml:space="preserve">Основной склад</x:t>
        </x:is>
      </x:c>
      <x:c r="K1092" s="31" t="inlineStr">
        <x:is>
          <x:t xml:space="preserve">СОТР-034</x:t>
        </x:is>
      </x:c>
      <x:c r="L1092" s="31" t="inlineStr">
        <x:is>
          <x:t xml:space="preserve">ДОК-9134</x:t>
        </x:is>
      </x:c>
      <x:c r="M1092" s="31" t="inlineStr">
        <x:is>
          <x:t xml:space="preserve">Проведен</x:t>
        </x:is>
      </x:c>
    </x:row>
    <x:row r="1093">
      <x:c r="A1093" s="31" t="inlineStr">
        <x:is>
          <x:t xml:space="preserve">СКЛ-001092</x:t>
        </x:is>
      </x:c>
      <x:c r="B1093" s="31" t="n">
        <x:v>46170</x:v>
      </x:c>
      <x:c r="C1093" s="31" t="inlineStr">
        <x:is>
          <x:t xml:space="preserve">Приход</x:t>
        </x:is>
      </x:c>
      <x:c r="D1093" s="31" t="inlineStr">
        <x:is>
          <x:t xml:space="preserve">МАТ-0014</x:t>
        </x:is>
      </x:c>
      <x:c r="E1093" s="31" t="inlineStr">
        <x:is>
          <x:t xml:space="preserve">Уголок 50×5 / исп.2</x:t>
        </x:is>
      </x:c>
      <x:c r="F1093" s="31" t="n">
        <x:v>15</x:v>
      </x:c>
      <x:c r="G1093" s="31" t="inlineStr">
        <x:is>
          <x:t xml:space="preserve">шт</x:t>
        </x:is>
      </x:c>
      <x:c r="H1093" s="31" t="n"/>
      <x:c r="I1093" s="31" t="n"/>
      <x:c r="J1093" s="31" t="inlineStr">
        <x:is>
          <x:t xml:space="preserve">Основной склад</x:t>
        </x:is>
      </x:c>
      <x:c r="K1093" s="31" t="inlineStr">
        <x:is>
          <x:t xml:space="preserve">СОТР-024</x:t>
        </x:is>
      </x:c>
      <x:c r="L1093" s="31" t="inlineStr">
        <x:is>
          <x:t xml:space="preserve">ДОК-4399</x:t>
        </x:is>
      </x:c>
      <x:c r="M1093" s="31" t="inlineStr">
        <x:is>
          <x:t xml:space="preserve">Проведен</x:t>
        </x:is>
      </x:c>
    </x:row>
    <x:row r="1094">
      <x:c r="A1094" s="31" t="inlineStr">
        <x:is>
          <x:t xml:space="preserve">СКЛ-001093</x:t>
        </x:is>
      </x:c>
      <x:c r="B1094" s="31" t="n">
        <x:v>46094</x:v>
      </x:c>
      <x:c r="C1094" s="31" t="inlineStr">
        <x:is>
          <x:t xml:space="preserve">Возврат</x:t>
        </x:is>
      </x:c>
      <x:c r="D1094" s="31" t="inlineStr">
        <x:is>
          <x:t xml:space="preserve">МАТ-0012</x:t>
        </x:is>
      </x:c>
      <x:c r="E1094" s="31" t="inlineStr">
        <x:is>
          <x:t xml:space="preserve">Фланец Ду80 Ру16</x:t>
        </x:is>
      </x:c>
      <x:c r="F1094" s="31" t="n">
        <x:v>10.14</x:v>
      </x:c>
      <x:c r="G1094" s="31" t="inlineStr">
        <x:is>
          <x:t xml:space="preserve">л</x:t>
        </x:is>
      </x:c>
      <x:c r="H1094" s="31" t="n"/>
      <x:c r="I1094" s="31" t="n"/>
      <x:c r="J1094" s="31" t="inlineStr">
        <x:is>
          <x:t xml:space="preserve">Основной склад</x:t>
        </x:is>
      </x:c>
      <x:c r="K1094" s="31" t="inlineStr">
        <x:is>
          <x:t xml:space="preserve">СОТР-024</x:t>
        </x:is>
      </x:c>
      <x:c r="L1094" s="31" t="inlineStr">
        <x:is>
          <x:t xml:space="preserve">ДОК-9237</x:t>
        </x:is>
      </x:c>
      <x:c r="M1094" s="31" t="inlineStr">
        <x:is>
          <x:t xml:space="preserve">Проведен</x:t>
        </x:is>
      </x:c>
    </x:row>
    <x:row r="1095">
      <x:c r="A1095" s="31" t="inlineStr">
        <x:is>
          <x:t xml:space="preserve">СКЛ-001094</x:t>
        </x:is>
      </x:c>
      <x:c r="B1095" s="31" t="n">
        <x:v>46033</x:v>
      </x:c>
      <x:c r="C1095" s="31" t="inlineStr">
        <x:is>
          <x:t xml:space="preserve">Резерв</x:t>
        </x:is>
      </x:c>
      <x:c r="D1095" s="31" t="inlineStr">
        <x:is>
          <x:t xml:space="preserve">МАТ-0031</x:t>
        </x:is>
      </x:c>
      <x:c r="E1095" s="31" t="inlineStr">
        <x:is>
          <x:t xml:space="preserve">Датчик давления 0-16 бар</x:t>
        </x:is>
      </x:c>
      <x:c r="F1095" s="31" t="n">
        <x:v>-13</x:v>
      </x:c>
      <x:c r="G1095" s="31" t="inlineStr">
        <x:is>
          <x:t xml:space="preserve">шт</x:t>
        </x:is>
      </x:c>
      <x:c r="H1095" s="31" t="inlineStr">
        <x:is>
          <x:t xml:space="preserve">ЗК-1019</x:t>
        </x:is>
      </x:c>
      <x:c r="I1095" s="31" t="n"/>
      <x:c r="J1095" s="31" t="inlineStr">
        <x:is>
          <x:t xml:space="preserve">Основной склад</x:t>
        </x:is>
      </x:c>
      <x:c r="K1095" s="31" t="inlineStr">
        <x:is>
          <x:t xml:space="preserve">СОТР-024</x:t>
        </x:is>
      </x:c>
      <x:c r="L1095" s="31" t="inlineStr">
        <x:is>
          <x:t xml:space="preserve">ДОК-8602</x:t>
        </x:is>
      </x:c>
      <x:c r="M1095" s="31" t="inlineStr">
        <x:is>
          <x:t xml:space="preserve">Проведен</x:t>
        </x:is>
      </x:c>
    </x:row>
    <x:row r="1096">
      <x:c r="A1096" s="31" t="inlineStr">
        <x:is>
          <x:t xml:space="preserve">СКЛ-001095</x:t>
        </x:is>
      </x:c>
      <x:c r="B1096" s="31" t="n">
        <x:v>46133</x:v>
      </x:c>
      <x:c r="C1096" s="31" t="inlineStr">
        <x:is>
          <x:t xml:space="preserve">Выдача в производство</x:t>
        </x:is>
      </x:c>
      <x:c r="D1096" s="31" t="inlineStr">
        <x:is>
          <x:t xml:space="preserve">МАТ-0067</x:t>
        </x:is>
      </x:c>
      <x:c r="E1096" s="31" t="inlineStr">
        <x:is>
          <x:t xml:space="preserve">Кабельный ввод М20</x:t>
        </x:is>
      </x:c>
      <x:c r="F1096" s="31" t="n">
        <x:v>-71.04000000000001</x:v>
      </x:c>
      <x:c r="G1096" s="31" t="inlineStr">
        <x:is>
          <x:t xml:space="preserve">кг</x:t>
        </x:is>
      </x:c>
      <x:c r="H1096" s="31" t="inlineStr">
        <x:is>
          <x:t xml:space="preserve">ЗК-1071</x:t>
        </x:is>
      </x:c>
      <x:c r="I1096" s="31" t="inlineStr">
        <x:is>
          <x:t xml:space="preserve">ПЗ-00059</x:t>
        </x:is>
      </x:c>
      <x:c r="J1096" s="31" t="inlineStr">
        <x:is>
          <x:t xml:space="preserve">Основной склад</x:t>
        </x:is>
      </x:c>
      <x:c r="K1096" s="31" t="inlineStr">
        <x:is>
          <x:t xml:space="preserve">СОТР-024</x:t>
        </x:is>
      </x:c>
      <x:c r="L1096" s="31" t="inlineStr">
        <x:is>
          <x:t xml:space="preserve">ДОК-9170</x:t>
        </x:is>
      </x:c>
      <x:c r="M1096" s="31" t="inlineStr">
        <x:is>
          <x:t xml:space="preserve">Черновик</x:t>
        </x:is>
      </x:c>
    </x:row>
    <x:row r="1097">
      <x:c r="A1097" s="31" t="inlineStr">
        <x:is>
          <x:t xml:space="preserve">СКЛ-001096</x:t>
        </x:is>
      </x:c>
      <x:c r="B1097" s="31" t="n">
        <x:v>46102</x:v>
      </x:c>
      <x:c r="C1097" s="31" t="inlineStr">
        <x:is>
          <x:t xml:space="preserve">Резерв</x:t>
        </x:is>
      </x:c>
      <x:c r="D1097" s="31" t="inlineStr">
        <x:is>
          <x:t xml:space="preserve">МАТ-0034</x:t>
        </x:is>
      </x:c>
      <x:c r="E1097" s="31" t="inlineStr">
        <x:is>
          <x:t xml:space="preserve">Манометр виброустойчивый</x:t>
        </x:is>
      </x:c>
      <x:c r="F1097" s="31" t="n">
        <x:v>-2</x:v>
      </x:c>
      <x:c r="G1097" s="31" t="inlineStr">
        <x:is>
          <x:t xml:space="preserve">шт</x:t>
        </x:is>
      </x:c>
      <x:c r="H1097" s="31" t="inlineStr">
        <x:is>
          <x:t xml:space="preserve">ЗК-1121</x:t>
        </x:is>
      </x:c>
      <x:c r="I1097" s="31" t="n"/>
      <x:c r="J1097" s="31" t="inlineStr">
        <x:is>
          <x:t xml:space="preserve">Основной склад</x:t>
        </x:is>
      </x:c>
      <x:c r="K1097" s="31" t="inlineStr">
        <x:is>
          <x:t xml:space="preserve">СОТР-036</x:t>
        </x:is>
      </x:c>
      <x:c r="L1097" s="31" t="inlineStr">
        <x:is>
          <x:t xml:space="preserve">ДОК-7531</x:t>
        </x:is>
      </x:c>
      <x:c r="M1097" s="31" t="inlineStr">
        <x:is>
          <x:t xml:space="preserve">Проведен</x:t>
        </x:is>
      </x:c>
    </x:row>
    <x:row r="1098">
      <x:c r="A1098" s="31" t="inlineStr">
        <x:is>
          <x:t xml:space="preserve">СКЛ-001097</x:t>
        </x:is>
      </x:c>
      <x:c r="B1098" s="31" t="n">
        <x:v>46063</x:v>
      </x:c>
      <x:c r="C1098" s="31" t="inlineStr">
        <x:is>
          <x:t xml:space="preserve">Корректировка</x:t>
        </x:is>
      </x:c>
      <x:c r="D1098" s="31" t="inlineStr">
        <x:is>
          <x:t xml:space="preserve">МАТ-0056</x:t>
        </x:is>
      </x:c>
      <x:c r="E1098" s="31" t="inlineStr">
        <x:is>
          <x:t xml:space="preserve">Задвижка Ду100</x:t>
        </x:is>
      </x:c>
      <x:c r="F1098" s="31" t="n">
        <x:v>5</x:v>
      </x:c>
      <x:c r="G1098" s="31" t="inlineStr">
        <x:is>
          <x:t xml:space="preserve">шт</x:t>
        </x:is>
      </x:c>
      <x:c r="H1098" s="31" t="n"/>
      <x:c r="I1098" s="31" t="n"/>
      <x:c r="J1098" s="31" t="inlineStr">
        <x:is>
          <x:t xml:space="preserve">Основной склад</x:t>
        </x:is>
      </x:c>
      <x:c r="K1098" s="31" t="inlineStr">
        <x:is>
          <x:t xml:space="preserve">СОТР-039</x:t>
        </x:is>
      </x:c>
      <x:c r="L1098" s="31" t="inlineStr">
        <x:is>
          <x:t xml:space="preserve">ДОК-8273</x:t>
        </x:is>
      </x:c>
      <x:c r="M1098" s="31" t="inlineStr">
        <x:is>
          <x:t xml:space="preserve">Проведен</x:t>
        </x:is>
      </x:c>
    </x:row>
    <x:row r="1099">
      <x:c r="A1099" s="31" t="inlineStr">
        <x:is>
          <x:t xml:space="preserve">СКЛ-001098</x:t>
        </x:is>
      </x:c>
      <x:c r="B1099" s="31" t="n">
        <x:v>46196</x:v>
      </x:c>
      <x:c r="C1099" s="31" t="inlineStr">
        <x:is>
          <x:t xml:space="preserve">Приход</x:t>
        </x:is>
      </x:c>
      <x:c r="D1099" s="31" t="inlineStr">
        <x:is>
          <x:t xml:space="preserve">МАТ-0014</x:t>
        </x:is>
      </x:c>
      <x:c r="E1099" s="31" t="inlineStr">
        <x:is>
          <x:t xml:space="preserve">Уголок 50×5 / исп.2</x:t>
        </x:is>
      </x:c>
      <x:c r="F1099" s="31" t="n">
        <x:v>9</x:v>
      </x:c>
      <x:c r="G1099" s="31" t="inlineStr">
        <x:is>
          <x:t xml:space="preserve">шт</x:t>
        </x:is>
      </x:c>
      <x:c r="H1099" s="31" t="n"/>
      <x:c r="I1099" s="31" t="n"/>
      <x:c r="J1099" s="31" t="inlineStr">
        <x:is>
          <x:t xml:space="preserve">Цеховой склад</x:t>
        </x:is>
      </x:c>
      <x:c r="K1099" s="31" t="inlineStr">
        <x:is>
          <x:t xml:space="preserve">СОТР-024</x:t>
        </x:is>
      </x:c>
      <x:c r="L1099" s="31" t="inlineStr">
        <x:is>
          <x:t xml:space="preserve">ДОК-3775</x:t>
        </x:is>
      </x:c>
      <x:c r="M1099" s="31" t="inlineStr">
        <x:is>
          <x:t xml:space="preserve">Проведен</x:t>
        </x:is>
      </x:c>
    </x:row>
    <x:row r="1100">
      <x:c r="A1100" s="31" t="inlineStr">
        <x:is>
          <x:t xml:space="preserve">СКЛ-001099</x:t>
        </x:is>
      </x:c>
      <x:c r="B1100" s="31" t="n">
        <x:v>46136</x:v>
      </x:c>
      <x:c r="C1100" s="31" t="inlineStr">
        <x:is>
          <x:t xml:space="preserve">Выдача в производство</x:t>
        </x:is>
      </x:c>
      <x:c r="D1100" s="31" t="inlineStr">
        <x:is>
          <x:t xml:space="preserve">МАТ-0003</x:t>
        </x:is>
      </x:c>
      <x:c r="E1100" s="31" t="inlineStr">
        <x:is>
          <x:t xml:space="preserve">Лист стальной 09Г2С 12 мм / исп.2</x:t>
        </x:is>
      </x:c>
      <x:c r="F1100" s="31" t="n">
        <x:v>-68.26000000000001</x:v>
      </x:c>
      <x:c r="G1100" s="31" t="inlineStr">
        <x:is>
          <x:t xml:space="preserve">м</x:t>
        </x:is>
      </x:c>
      <x:c r="H1100" s="31" t="inlineStr">
        <x:is>
          <x:t xml:space="preserve">ЗК-1042</x:t>
        </x:is>
      </x:c>
      <x:c r="I1100" s="31" t="inlineStr">
        <x:is>
          <x:t xml:space="preserve">ПЗ-00155</x:t>
        </x:is>
      </x:c>
      <x:c r="J1100" s="31" t="inlineStr">
        <x:is>
          <x:t xml:space="preserve">Основной склад</x:t>
        </x:is>
      </x:c>
      <x:c r="K1100" s="31" t="inlineStr">
        <x:is>
          <x:t xml:space="preserve">СОТР-037</x:t>
        </x:is>
      </x:c>
      <x:c r="L1100" s="31" t="inlineStr">
        <x:is>
          <x:t xml:space="preserve">ДОК-3328</x:t>
        </x:is>
      </x:c>
      <x:c r="M1100" s="31" t="inlineStr">
        <x:is>
          <x:t xml:space="preserve">Черновик</x:t>
        </x:is>
      </x:c>
    </x:row>
    <x:row r="1101">
      <x:c r="A1101" s="31" t="inlineStr">
        <x:is>
          <x:t xml:space="preserve">СКЛ-001100</x:t>
        </x:is>
      </x:c>
      <x:c r="B1101" s="31" t="n">
        <x:v>46095</x:v>
      </x:c>
      <x:c r="C1101" s="31" t="inlineStr">
        <x:is>
          <x:t xml:space="preserve">Выдача в производство</x:t>
        </x:is>
      </x:c>
      <x:c r="D1101" s="31" t="inlineStr">
        <x:is>
          <x:t xml:space="preserve">МАТ-0068</x:t>
        </x:is>
      </x:c>
      <x:c r="E1101" s="31" t="inlineStr">
        <x:is>
          <x:t xml:space="preserve">Грунт эпоксидный</x:t>
        </x:is>
      </x:c>
      <x:c r="F1101" s="31" t="n">
        <x:v>-64.86</x:v>
      </x:c>
      <x:c r="G1101" s="31" t="inlineStr">
        <x:is>
          <x:t xml:space="preserve">л</x:t>
        </x:is>
      </x:c>
      <x:c r="H1101" s="31" t="inlineStr">
        <x:is>
          <x:t xml:space="preserve">ЗК-1078</x:t>
        </x:is>
      </x:c>
      <x:c r="I1101" s="31" t="inlineStr">
        <x:is>
          <x:t xml:space="preserve">ПЗ-00260</x:t>
        </x:is>
      </x:c>
      <x:c r="J1101" s="31" t="inlineStr">
        <x:is>
          <x:t xml:space="preserve">Цеховой склад</x:t>
        </x:is>
      </x:c>
      <x:c r="K1101" s="31" t="inlineStr">
        <x:is>
          <x:t xml:space="preserve">СОТР-035</x:t>
        </x:is>
      </x:c>
      <x:c r="L1101" s="31" t="inlineStr">
        <x:is>
          <x:t xml:space="preserve">ДОК-4145</x:t>
        </x:is>
      </x:c>
      <x:c r="M1101" s="31" t="inlineStr">
        <x:is>
          <x:t xml:space="preserve">Проведен</x:t>
        </x:is>
      </x:c>
    </x:row>
    <x:row r="1102">
      <x:c r="A1102" s="31" t="inlineStr">
        <x:is>
          <x:t xml:space="preserve">СКЛ-001101</x:t>
        </x:is>
      </x:c>
      <x:c r="B1102" s="31" t="n">
        <x:v>46079</x:v>
      </x:c>
      <x:c r="C1102" s="31" t="inlineStr">
        <x:is>
          <x:t xml:space="preserve">Корректировка</x:t>
        </x:is>
      </x:c>
      <x:c r="D1102" s="31" t="inlineStr">
        <x:is>
          <x:t xml:space="preserve">МАТ-0058</x:t>
        </x:is>
      </x:c>
      <x:c r="E1102" s="31" t="inlineStr">
        <x:is>
          <x:t xml:space="preserve">Задвижка Ду100 / исп.3</x:t>
        </x:is>
      </x:c>
      <x:c r="F1102" s="31" t="n">
        <x:v>12</x:v>
      </x:c>
      <x:c r="G1102" s="31" t="inlineStr">
        <x:is>
          <x:t xml:space="preserve">шт</x:t>
        </x:is>
      </x:c>
      <x:c r="H1102" s="31" t="n"/>
      <x:c r="I1102" s="31" t="n"/>
      <x:c r="J1102" s="31" t="inlineStr">
        <x:is>
          <x:t xml:space="preserve">Цеховой склад</x:t>
        </x:is>
      </x:c>
      <x:c r="K1102" s="31" t="inlineStr">
        <x:is>
          <x:t xml:space="preserve">СОТР-033</x:t>
        </x:is>
      </x:c>
      <x:c r="L1102" s="31" t="inlineStr">
        <x:is>
          <x:t xml:space="preserve">ДОК-9720</x:t>
        </x:is>
      </x:c>
      <x:c r="M1102" s="31" t="inlineStr">
        <x:is>
          <x:t xml:space="preserve">Проведен</x:t>
        </x:is>
      </x:c>
    </x:row>
    <x:row r="1103">
      <x:c r="A1103" s="31" t="inlineStr">
        <x:is>
          <x:t xml:space="preserve">СКЛ-001102</x:t>
        </x:is>
      </x:c>
      <x:c r="B1103" s="31" t="n">
        <x:v>46052</x:v>
      </x:c>
      <x:c r="C1103" s="31" t="inlineStr">
        <x:is>
          <x:t xml:space="preserve">Выдача в производство</x:t>
        </x:is>
      </x:c>
      <x:c r="D1103" s="31" t="inlineStr">
        <x:is>
          <x:t xml:space="preserve">МАТ-0030</x:t>
        </x:is>
      </x:c>
      <x:c r="E1103" s="31" t="inlineStr">
        <x:is>
          <x:t xml:space="preserve">Частотный преобразователь 22 кВт / исп.2</x:t>
        </x:is>
      </x:c>
      <x:c r="F1103" s="31" t="n">
        <x:v>-14</x:v>
      </x:c>
      <x:c r="G1103" s="31" t="inlineStr">
        <x:is>
          <x:t xml:space="preserve">шт</x:t>
        </x:is>
      </x:c>
      <x:c r="H1103" s="31" t="inlineStr">
        <x:is>
          <x:t xml:space="preserve">ЗК-1111</x:t>
        </x:is>
      </x:c>
      <x:c r="I1103" s="31" t="inlineStr">
        <x:is>
          <x:t xml:space="preserve">ПЗ-00226</x:t>
        </x:is>
      </x:c>
      <x:c r="J1103" s="31" t="inlineStr">
        <x:is>
          <x:t xml:space="preserve">Цеховой склад</x:t>
        </x:is>
      </x:c>
      <x:c r="K1103" s="31" t="inlineStr">
        <x:is>
          <x:t xml:space="preserve">СОТР-036</x:t>
        </x:is>
      </x:c>
      <x:c r="L1103" s="31" t="inlineStr">
        <x:is>
          <x:t xml:space="preserve">ДОК-5975</x:t>
        </x:is>
      </x:c>
      <x:c r="M1103" s="31" t="inlineStr">
        <x:is>
          <x:t xml:space="preserve">Проведен</x:t>
        </x:is>
      </x:c>
    </x:row>
    <x:row r="1104">
      <x:c r="A1104" s="31" t="inlineStr">
        <x:is>
          <x:t xml:space="preserve">СКЛ-001103</x:t>
        </x:is>
      </x:c>
      <x:c r="B1104" s="31" t="n">
        <x:v>46195</x:v>
      </x:c>
      <x:c r="C1104" s="31" t="inlineStr">
        <x:is>
          <x:t xml:space="preserve">Выдача в производство</x:t>
        </x:is>
      </x:c>
      <x:c r="D1104" s="31" t="inlineStr">
        <x:is>
          <x:t xml:space="preserve">МАТ-0029</x:t>
        </x:is>
      </x:c>
      <x:c r="E1104" s="31" t="inlineStr">
        <x:is>
          <x:t xml:space="preserve">Частотный преобразователь 22 кВт</x:t>
        </x:is>
      </x:c>
      <x:c r="F1104" s="31" t="n">
        <x:v>-13</x:v>
      </x:c>
      <x:c r="G1104" s="31" t="inlineStr">
        <x:is>
          <x:t xml:space="preserve">шт</x:t>
        </x:is>
      </x:c>
      <x:c r="H1104" s="31" t="inlineStr">
        <x:is>
          <x:t xml:space="preserve">ЗК-1092</x:t>
        </x:is>
      </x:c>
      <x:c r="I1104" s="31" t="inlineStr">
        <x:is>
          <x:t xml:space="preserve">ПЗ-00119</x:t>
        </x:is>
      </x:c>
      <x:c r="J1104" s="31" t="inlineStr">
        <x:is>
          <x:t xml:space="preserve">Основной склад</x:t>
        </x:is>
      </x:c>
      <x:c r="K1104" s="31" t="inlineStr">
        <x:is>
          <x:t xml:space="preserve">СОТР-024</x:t>
        </x:is>
      </x:c>
      <x:c r="L1104" s="31" t="inlineStr">
        <x:is>
          <x:t xml:space="preserve">ДОК-9390</x:t>
        </x:is>
      </x:c>
      <x:c r="M1104" s="31" t="inlineStr">
        <x:is>
          <x:t xml:space="preserve">Проведен</x:t>
        </x:is>
      </x:c>
    </x:row>
    <x:row r="1105">
      <x:c r="A1105" s="31" t="inlineStr">
        <x:is>
          <x:t xml:space="preserve">СКЛ-001104</x:t>
        </x:is>
      </x:c>
      <x:c r="B1105" s="31" t="n">
        <x:v>46185</x:v>
      </x:c>
      <x:c r="C1105" s="31" t="inlineStr">
        <x:is>
          <x:t xml:space="preserve">Приход</x:t>
        </x:is>
      </x:c>
      <x:c r="D1105" s="31" t="inlineStr">
        <x:is>
          <x:t xml:space="preserve">МАТ-0044</x:t>
        </x:is>
      </x:c>
      <x:c r="E1105" s="31" t="inlineStr">
        <x:is>
          <x:t xml:space="preserve">Блок питания 24В / исп.2</x:t>
        </x:is>
      </x:c>
      <x:c r="F1105" s="31" t="n">
        <x:v>15</x:v>
      </x:c>
      <x:c r="G1105" s="31" t="inlineStr">
        <x:is>
          <x:t xml:space="preserve">шт</x:t>
        </x:is>
      </x:c>
      <x:c r="H1105" s="31" t="n"/>
      <x:c r="I1105" s="31" t="n"/>
      <x:c r="J1105" s="31" t="inlineStr">
        <x:is>
          <x:t xml:space="preserve">Основной склад</x:t>
        </x:is>
      </x:c>
      <x:c r="K1105" s="31" t="inlineStr">
        <x:is>
          <x:t xml:space="preserve">СОТР-038</x:t>
        </x:is>
      </x:c>
      <x:c r="L1105" s="31" t="inlineStr">
        <x:is>
          <x:t xml:space="preserve">ДОК-4540</x:t>
        </x:is>
      </x:c>
      <x:c r="M1105" s="31" t="inlineStr">
        <x:is>
          <x:t xml:space="preserve">Проведен</x:t>
        </x:is>
      </x:c>
    </x:row>
    <x:row r="1106">
      <x:c r="A1106" s="31" t="inlineStr">
        <x:is>
          <x:t xml:space="preserve">СКЛ-001105</x:t>
        </x:is>
      </x:c>
      <x:c r="B1106" s="31" t="n">
        <x:v>46071</x:v>
      </x:c>
      <x:c r="C1106" s="31" t="inlineStr">
        <x:is>
          <x:t xml:space="preserve">Выдача в производство</x:t>
        </x:is>
      </x:c>
      <x:c r="D1106" s="31" t="inlineStr">
        <x:is>
          <x:t xml:space="preserve">МАТ-0028</x:t>
        </x:is>
      </x:c>
      <x:c r="E1106" s="31" t="inlineStr">
        <x:is>
          <x:t xml:space="preserve">Частотный преобразователь 15 кВт</x:t>
        </x:is>
      </x:c>
      <x:c r="F1106" s="31" t="n">
        <x:v>-1</x:v>
      </x:c>
      <x:c r="G1106" s="31" t="inlineStr">
        <x:is>
          <x:t xml:space="preserve">шт</x:t>
        </x:is>
      </x:c>
      <x:c r="H1106" s="31" t="inlineStr">
        <x:is>
          <x:t xml:space="preserve">ЗК-1042</x:t>
        </x:is>
      </x:c>
      <x:c r="I1106" s="31" t="inlineStr">
        <x:is>
          <x:t xml:space="preserve">ПЗ-00009</x:t>
        </x:is>
      </x:c>
      <x:c r="J1106" s="31" t="inlineStr">
        <x:is>
          <x:t xml:space="preserve">Основной склад</x:t>
        </x:is>
      </x:c>
      <x:c r="K1106" s="31" t="inlineStr">
        <x:is>
          <x:t xml:space="preserve">СОТР-034</x:t>
        </x:is>
      </x:c>
      <x:c r="L1106" s="31" t="inlineStr">
        <x:is>
          <x:t xml:space="preserve">ДОК-8982</x:t>
        </x:is>
      </x:c>
      <x:c r="M1106" s="31" t="inlineStr">
        <x:is>
          <x:t xml:space="preserve">Проведен</x:t>
        </x:is>
      </x:c>
    </x:row>
    <x:row r="1107">
      <x:c r="A1107" s="31" t="inlineStr">
        <x:is>
          <x:t xml:space="preserve">СКЛ-001106</x:t>
        </x:is>
      </x:c>
      <x:c r="B1107" s="31" t="n">
        <x:v>46106</x:v>
      </x:c>
      <x:c r="C1107" s="31" t="inlineStr">
        <x:is>
          <x:t xml:space="preserve">Приход</x:t>
        </x:is>
      </x:c>
      <x:c r="D1107" s="31" t="inlineStr">
        <x:is>
          <x:t xml:space="preserve">МАТ-0044</x:t>
        </x:is>
      </x:c>
      <x:c r="E1107" s="31" t="inlineStr">
        <x:is>
          <x:t xml:space="preserve">Блок питания 24В / исп.2</x:t>
        </x:is>
      </x:c>
      <x:c r="F1107" s="31" t="n">
        <x:v>7</x:v>
      </x:c>
      <x:c r="G1107" s="31" t="inlineStr">
        <x:is>
          <x:t xml:space="preserve">шт</x:t>
        </x:is>
      </x:c>
      <x:c r="H1107" s="31" t="n"/>
      <x:c r="I1107" s="31" t="n"/>
      <x:c r="J1107" s="31" t="inlineStr">
        <x:is>
          <x:t xml:space="preserve">Основной склад</x:t>
        </x:is>
      </x:c>
      <x:c r="K1107" s="31" t="inlineStr">
        <x:is>
          <x:t xml:space="preserve">СОТР-033</x:t>
        </x:is>
      </x:c>
      <x:c r="L1107" s="31" t="inlineStr">
        <x:is>
          <x:t xml:space="preserve">ДОК-6199</x:t>
        </x:is>
      </x:c>
      <x:c r="M1107" s="31" t="inlineStr">
        <x:is>
          <x:t xml:space="preserve">Проведен</x:t>
        </x:is>
      </x:c>
    </x:row>
    <x:row r="1108">
      <x:c r="A1108" s="31" t="inlineStr">
        <x:is>
          <x:t xml:space="preserve">СКЛ-001107</x:t>
        </x:is>
      </x:c>
      <x:c r="B1108" s="31" t="n">
        <x:v>46156</x:v>
      </x:c>
      <x:c r="C1108" s="31" t="inlineStr">
        <x:is>
          <x:t xml:space="preserve">Приход</x:t>
        </x:is>
      </x:c>
      <x:c r="D1108" s="31" t="inlineStr">
        <x:is>
          <x:t xml:space="preserve">МАТ-0021</x:t>
        </x:is>
      </x:c>
      <x:c r="E1108" s="31" t="inlineStr">
        <x:is>
          <x:t xml:space="preserve">Торцевое уплотнение</x:t>
        </x:is>
      </x:c>
      <x:c r="F1108" s="31" t="n">
        <x:v>14</x:v>
      </x:c>
      <x:c r="G1108" s="31" t="inlineStr">
        <x:is>
          <x:t xml:space="preserve">шт</x:t>
        </x:is>
      </x:c>
      <x:c r="H1108" s="31" t="n"/>
      <x:c r="I1108" s="31" t="n"/>
      <x:c r="J1108" s="31" t="inlineStr">
        <x:is>
          <x:t xml:space="preserve">Основной склад</x:t>
        </x:is>
      </x:c>
      <x:c r="K1108" s="31" t="inlineStr">
        <x:is>
          <x:t xml:space="preserve">СОТР-024</x:t>
        </x:is>
      </x:c>
      <x:c r="L1108" s="31" t="inlineStr">
        <x:is>
          <x:t xml:space="preserve">ДОК-9569</x:t>
        </x:is>
      </x:c>
      <x:c r="M1108" s="31" t="inlineStr">
        <x:is>
          <x:t xml:space="preserve">Черновик</x:t>
        </x:is>
      </x:c>
    </x:row>
    <x:row r="1109">
      <x:c r="A1109" s="31" t="inlineStr">
        <x:is>
          <x:t xml:space="preserve">СКЛ-001108</x:t>
        </x:is>
      </x:c>
      <x:c r="B1109" s="31" t="n">
        <x:v>46127</x:v>
      </x:c>
      <x:c r="C1109" s="31" t="inlineStr">
        <x:is>
          <x:t xml:space="preserve">Приход</x:t>
        </x:is>
      </x:c>
      <x:c r="D1109" s="31" t="inlineStr">
        <x:is>
          <x:t xml:space="preserve">МАТ-0053</x:t>
        </x:is>
      </x:c>
      <x:c r="E1109" s="31" t="inlineStr">
        <x:is>
          <x:t xml:space="preserve">Кран шаровой Ду50 / исп.3</x:t>
        </x:is>
      </x:c>
      <x:c r="F1109" s="31" t="n">
        <x:v>1</x:v>
      </x:c>
      <x:c r="G1109" s="31" t="inlineStr">
        <x:is>
          <x:t xml:space="preserve">шт</x:t>
        </x:is>
      </x:c>
      <x:c r="H1109" s="31" t="n"/>
      <x:c r="I1109" s="31" t="n"/>
      <x:c r="J1109" s="31" t="inlineStr">
        <x:is>
          <x:t xml:space="preserve">Брак/карантин</x:t>
        </x:is>
      </x:c>
      <x:c r="K1109" s="31" t="inlineStr">
        <x:is>
          <x:t xml:space="preserve">СОТР-038</x:t>
        </x:is>
      </x:c>
      <x:c r="L1109" s="31" t="inlineStr">
        <x:is>
          <x:t xml:space="preserve">ДОК-6199</x:t>
        </x:is>
      </x:c>
      <x:c r="M1109" s="31" t="inlineStr">
        <x:is>
          <x:t xml:space="preserve">Проведен</x:t>
        </x:is>
      </x:c>
    </x:row>
    <x:row r="1110">
      <x:c r="A1110" s="31" t="inlineStr">
        <x:is>
          <x:t xml:space="preserve">СКЛ-001109</x:t>
        </x:is>
      </x:c>
      <x:c r="B1110" s="31" t="n">
        <x:v>46064</x:v>
      </x:c>
      <x:c r="C1110" s="31" t="inlineStr">
        <x:is>
          <x:t xml:space="preserve">Резерв</x:t>
        </x:is>
      </x:c>
      <x:c r="D1110" s="31" t="inlineStr">
        <x:is>
          <x:t xml:space="preserve">МАТ-0080</x:t>
        </x:is>
      </x:c>
      <x:c r="E1110" s="31" t="inlineStr">
        <x:is>
          <x:t xml:space="preserve">Гайка М12 / исп.3</x:t>
        </x:is>
      </x:c>
      <x:c r="F1110" s="31" t="n">
        <x:v>-10</x:v>
      </x:c>
      <x:c r="G1110" s="31" t="inlineStr">
        <x:is>
          <x:t xml:space="preserve">шт</x:t>
        </x:is>
      </x:c>
      <x:c r="H1110" s="31" t="inlineStr">
        <x:is>
          <x:t xml:space="preserve">ЗК-1037</x:t>
        </x:is>
      </x:c>
      <x:c r="I1110" s="31" t="n"/>
      <x:c r="J1110" s="31" t="inlineStr">
        <x:is>
          <x:t xml:space="preserve">Цеховой склад</x:t>
        </x:is>
      </x:c>
      <x:c r="K1110" s="31" t="inlineStr">
        <x:is>
          <x:t xml:space="preserve">СОТР-038</x:t>
        </x:is>
      </x:c>
      <x:c r="L1110" s="31" t="inlineStr">
        <x:is>
          <x:t xml:space="preserve">ДОК-6906</x:t>
        </x:is>
      </x:c>
      <x:c r="M1110" s="31" t="inlineStr">
        <x:is>
          <x:t xml:space="preserve">Проведен</x:t>
        </x:is>
      </x:c>
    </x:row>
    <x:row r="1111">
      <x:c r="A1111" s="31" t="inlineStr">
        <x:is>
          <x:t xml:space="preserve">СКЛ-001110</x:t>
        </x:is>
      </x:c>
      <x:c r="B1111" s="31" t="n">
        <x:v>46095</x:v>
      </x:c>
      <x:c r="C1111" s="31" t="inlineStr">
        <x:is>
          <x:t xml:space="preserve">Приход</x:t>
        </x:is>
      </x:c>
      <x:c r="D1111" s="31" t="inlineStr">
        <x:is>
          <x:t xml:space="preserve">МАТ-0074</x:t>
        </x:is>
      </x:c>
      <x:c r="E1111" s="31" t="inlineStr">
        <x:is>
          <x:t xml:space="preserve">Абразив для пескоструя</x:t>
        </x:is>
      </x:c>
      <x:c r="F1111" s="31" t="n">
        <x:v>11</x:v>
      </x:c>
      <x:c r="G1111" s="31" t="inlineStr">
        <x:is>
          <x:t xml:space="preserve">шт</x:t>
        </x:is>
      </x:c>
      <x:c r="H1111" s="31" t="n"/>
      <x:c r="I1111" s="31" t="n"/>
      <x:c r="J1111" s="31" t="inlineStr">
        <x:is>
          <x:t xml:space="preserve">Цеховой склад</x:t>
        </x:is>
      </x:c>
      <x:c r="K1111" s="31" t="inlineStr">
        <x:is>
          <x:t xml:space="preserve">СОТР-024</x:t>
        </x:is>
      </x:c>
      <x:c r="L1111" s="31" t="inlineStr">
        <x:is>
          <x:t xml:space="preserve">ДОК-5924</x:t>
        </x:is>
      </x:c>
      <x:c r="M1111" s="31" t="inlineStr">
        <x:is>
          <x:t xml:space="preserve">Проведен</x:t>
        </x:is>
      </x:c>
    </x:row>
    <x:row r="1112">
      <x:c r="A1112" s="31" t="inlineStr">
        <x:is>
          <x:t xml:space="preserve">СКЛ-001111</x:t>
        </x:is>
      </x:c>
      <x:c r="B1112" s="31" t="n">
        <x:v>46171</x:v>
      </x:c>
      <x:c r="C1112" s="31" t="inlineStr">
        <x:is>
          <x:t xml:space="preserve">Резерв</x:t>
        </x:is>
      </x:c>
      <x:c r="D1112" s="31" t="inlineStr">
        <x:is>
          <x:t xml:space="preserve">МАТ-0081</x:t>
        </x:is>
      </x:c>
      <x:c r="E1112" s="31" t="inlineStr">
        <x:is>
          <x:t xml:space="preserve">Шайба 12</x:t>
        </x:is>
      </x:c>
      <x:c r="F1112" s="31" t="n">
        <x:v>-19</x:v>
      </x:c>
      <x:c r="G1112" s="31" t="inlineStr">
        <x:is>
          <x:t xml:space="preserve">шт</x:t>
        </x:is>
      </x:c>
      <x:c r="H1112" s="31" t="inlineStr">
        <x:is>
          <x:t xml:space="preserve">ЗК-1048</x:t>
        </x:is>
      </x:c>
      <x:c r="I1112" s="31" t="n"/>
      <x:c r="J1112" s="31" t="inlineStr">
        <x:is>
          <x:t xml:space="preserve">Основной склад</x:t>
        </x:is>
      </x:c>
      <x:c r="K1112" s="31" t="inlineStr">
        <x:is>
          <x:t xml:space="preserve">СОТР-035</x:t>
        </x:is>
      </x:c>
      <x:c r="L1112" s="31" t="inlineStr">
        <x:is>
          <x:t xml:space="preserve">ДОК-5157</x:t>
        </x:is>
      </x:c>
      <x:c r="M1112" s="31" t="inlineStr">
        <x:is>
          <x:t xml:space="preserve">Проведен</x:t>
        </x:is>
      </x:c>
    </x:row>
    <x:row r="1113">
      <x:c r="A1113" s="31" t="inlineStr">
        <x:is>
          <x:t xml:space="preserve">СКЛ-001112</x:t>
        </x:is>
      </x:c>
      <x:c r="B1113" s="31" t="n">
        <x:v>46106</x:v>
      </x:c>
      <x:c r="C1113" s="31" t="inlineStr">
        <x:is>
          <x:t xml:space="preserve">Выдача в производство</x:t>
        </x:is>
      </x:c>
      <x:c r="D1113" s="31" t="inlineStr">
        <x:is>
          <x:t xml:space="preserve">МАТ-0050</x:t>
        </x:is>
      </x:c>
      <x:c r="E1113" s="31" t="inlineStr">
        <x:is>
          <x:t xml:space="preserve">панель оператора 7"</x:t>
        </x:is>
      </x:c>
      <x:c r="F1113" s="31" t="n">
        <x:v>-9</x:v>
      </x:c>
      <x:c r="G1113" s="31" t="inlineStr">
        <x:is>
          <x:t xml:space="preserve">шт</x:t>
        </x:is>
      </x:c>
      <x:c r="H1113" s="31" t="inlineStr">
        <x:is>
          <x:t xml:space="preserve">ЗК-1007</x:t>
        </x:is>
      </x:c>
      <x:c r="I1113" s="31" t="inlineStr">
        <x:is>
          <x:t xml:space="preserve">ПЗ-00062</x:t>
        </x:is>
      </x:c>
      <x:c r="J1113" s="31" t="inlineStr">
        <x:is>
          <x:t xml:space="preserve">Основной склад</x:t>
        </x:is>
      </x:c>
      <x:c r="K1113" s="31" t="inlineStr">
        <x:is>
          <x:t xml:space="preserve">СОТР-038</x:t>
        </x:is>
      </x:c>
      <x:c r="L1113" s="31" t="inlineStr">
        <x:is>
          <x:t xml:space="preserve">ДОК-1713</x:t>
        </x:is>
      </x:c>
      <x:c r="M1113" s="31" t="inlineStr">
        <x:is>
          <x:t xml:space="preserve">Проведен</x:t>
        </x:is>
      </x:c>
    </x:row>
    <x:row r="1114">
      <x:c r="A1114" s="31" t="inlineStr">
        <x:is>
          <x:t xml:space="preserve">СКЛ-001113</x:t>
        </x:is>
      </x:c>
      <x:c r="B1114" s="31" t="n">
        <x:v>46088</x:v>
      </x:c>
      <x:c r="C1114" s="31" t="inlineStr">
        <x:is>
          <x:t xml:space="preserve">Выдача в производство</x:t>
        </x:is>
      </x:c>
      <x:c r="D1114" s="31" t="inlineStr">
        <x:is>
          <x:t xml:space="preserve">МАТ-0052</x:t>
        </x:is>
      </x:c>
      <x:c r="E1114" s="31" t="inlineStr">
        <x:is>
          <x:t xml:space="preserve">Кран шаровой Ду50 / исп.2</x:t>
        </x:is>
      </x:c>
      <x:c r="F1114" s="31" t="n">
        <x:v>-18</x:v>
      </x:c>
      <x:c r="G1114" s="31" t="inlineStr">
        <x:is>
          <x:t xml:space="preserve">шт</x:t>
        </x:is>
      </x:c>
      <x:c r="H1114" s="31" t="inlineStr">
        <x:is>
          <x:t xml:space="preserve">ЗК-1047</x:t>
        </x:is>
      </x:c>
      <x:c r="I1114" s="31" t="inlineStr">
        <x:is>
          <x:t xml:space="preserve">ПЗ-00094</x:t>
        </x:is>
      </x:c>
      <x:c r="J1114" s="31" t="inlineStr">
        <x:is>
          <x:t xml:space="preserve">Цеховой склад</x:t>
        </x:is>
      </x:c>
      <x:c r="K1114" s="31" t="inlineStr">
        <x:is>
          <x:t xml:space="preserve">СОТР-037</x:t>
        </x:is>
      </x:c>
      <x:c r="L1114" s="31" t="inlineStr">
        <x:is>
          <x:t xml:space="preserve">ДОК-4299</x:t>
        </x:is>
      </x:c>
      <x:c r="M1114" s="31" t="inlineStr">
        <x:is>
          <x:t xml:space="preserve">Проведен</x:t>
        </x:is>
      </x:c>
    </x:row>
    <x:row r="1115">
      <x:c r="A1115" s="31" t="inlineStr">
        <x:is>
          <x:t xml:space="preserve">СКЛ-001114</x:t>
        </x:is>
      </x:c>
      <x:c r="B1115" s="31" t="n">
        <x:v>46057</x:v>
      </x:c>
      <x:c r="C1115" s="31" t="inlineStr">
        <x:is>
          <x:t xml:space="preserve">Резерв</x:t>
        </x:is>
      </x:c>
      <x:c r="D1115" s="31" t="inlineStr">
        <x:is>
          <x:t xml:space="preserve">МАТ-0003</x:t>
        </x:is>
      </x:c>
      <x:c r="E1115" s="31" t="inlineStr">
        <x:is>
          <x:t xml:space="preserve">Лист стальной 09Г2С 12 мм / исп.2</x:t>
        </x:is>
      </x:c>
      <x:c r="F1115" s="31" t="n">
        <x:v>-64.03</x:v>
      </x:c>
      <x:c r="G1115" s="31" t="inlineStr">
        <x:is>
          <x:t xml:space="preserve">м</x:t>
        </x:is>
      </x:c>
      <x:c r="H1115" s="31" t="inlineStr">
        <x:is>
          <x:t xml:space="preserve">ЗК-1121</x:t>
        </x:is>
      </x:c>
      <x:c r="I1115" s="31" t="n"/>
      <x:c r="J1115" s="31" t="inlineStr">
        <x:is>
          <x:t xml:space="preserve">Основной склад</x:t>
        </x:is>
      </x:c>
      <x:c r="K1115" s="31" t="inlineStr">
        <x:is>
          <x:t xml:space="preserve">СОТР-036</x:t>
        </x:is>
      </x:c>
      <x:c r="L1115" s="31" t="inlineStr">
        <x:is>
          <x:t xml:space="preserve">ДОК-9632</x:t>
        </x:is>
      </x:c>
      <x:c r="M1115" s="31" t="inlineStr">
        <x:is>
          <x:t xml:space="preserve">Проведен</x:t>
        </x:is>
      </x:c>
    </x:row>
    <x:row r="1116">
      <x:c r="A1116" s="31" t="inlineStr">
        <x:is>
          <x:t xml:space="preserve">СКЛ-001115</x:t>
        </x:is>
      </x:c>
      <x:c r="B1116" s="31" t="n">
        <x:v>46046</x:v>
      </x:c>
      <x:c r="C1116" s="31" t="inlineStr">
        <x:is>
          <x:t xml:space="preserve">Резерв</x:t>
        </x:is>
      </x:c>
      <x:c r="D1116" s="31" t="inlineStr">
        <x:is>
          <x:t xml:space="preserve">МАТ-0067</x:t>
        </x:is>
      </x:c>
      <x:c r="E1116" s="31" t="inlineStr">
        <x:is>
          <x:t xml:space="preserve">Кабельный ввод М20</x:t>
        </x:is>
      </x:c>
      <x:c r="F1116" s="31" t="n">
        <x:v>-6.98</x:v>
      </x:c>
      <x:c r="G1116" s="31" t="inlineStr">
        <x:is>
          <x:t xml:space="preserve">кг</x:t>
        </x:is>
      </x:c>
      <x:c r="H1116" s="31" t="inlineStr">
        <x:is>
          <x:t xml:space="preserve">ЗК-1007</x:t>
        </x:is>
      </x:c>
      <x:c r="I1116" s="31" t="n"/>
      <x:c r="J1116" s="31" t="inlineStr">
        <x:is>
          <x:t xml:space="preserve">Основной склад</x:t>
        </x:is>
      </x:c>
      <x:c r="K1116" s="31" t="inlineStr">
        <x:is>
          <x:t xml:space="preserve">СОТР-035</x:t>
        </x:is>
      </x:c>
      <x:c r="L1116" s="31" t="inlineStr">
        <x:is>
          <x:t xml:space="preserve">ДОК-4911</x:t>
        </x:is>
      </x:c>
      <x:c r="M1116" s="31" t="inlineStr">
        <x:is>
          <x:t xml:space="preserve">Черновик</x:t>
        </x:is>
      </x:c>
    </x:row>
    <x:row r="1117">
      <x:c r="A1117" s="31" t="inlineStr">
        <x:is>
          <x:t xml:space="preserve">СКЛ-001116</x:t>
        </x:is>
      </x:c>
      <x:c r="B1117" s="31" t="n">
        <x:v>46076</x:v>
      </x:c>
      <x:c r="C1117" s="31" t="inlineStr">
        <x:is>
          <x:t xml:space="preserve">Возврат</x:t>
        </x:is>
      </x:c>
      <x:c r="D1117" s="31" t="inlineStr">
        <x:is>
          <x:t xml:space="preserve">МАТ-0036</x:t>
        </x:is>
      </x:c>
      <x:c r="E1117" s="31" t="inlineStr">
        <x:is>
          <x:t xml:space="preserve">Клапан электромагнитный 24В / исп.2</x:t>
        </x:is>
      </x:c>
      <x:c r="F1117" s="31" t="n">
        <x:v>3</x:v>
      </x:c>
      <x:c r="G1117" s="31" t="inlineStr">
        <x:is>
          <x:t xml:space="preserve">шт</x:t>
        </x:is>
      </x:c>
      <x:c r="H1117" s="31" t="n"/>
      <x:c r="I1117" s="31" t="n"/>
      <x:c r="J1117" s="31" t="inlineStr">
        <x:is>
          <x:t xml:space="preserve">Основной склад</x:t>
        </x:is>
      </x:c>
      <x:c r="K1117" s="31" t="inlineStr">
        <x:is>
          <x:t xml:space="preserve">СОТР-034</x:t>
        </x:is>
      </x:c>
      <x:c r="L1117" s="31" t="inlineStr">
        <x:is>
          <x:t xml:space="preserve">ДОК-5120</x:t>
        </x:is>
      </x:c>
      <x:c r="M1117" s="31" t="inlineStr">
        <x:is>
          <x:t xml:space="preserve">Проведен</x:t>
        </x:is>
      </x:c>
    </x:row>
    <x:row r="1118">
      <x:c r="A1118" s="31" t="inlineStr">
        <x:is>
          <x:t xml:space="preserve">СКЛ-001117</x:t>
        </x:is>
      </x:c>
      <x:c r="B1118" s="31" t="n">
        <x:v>46058</x:v>
      </x:c>
      <x:c r="C1118" s="31" t="inlineStr">
        <x:is>
          <x:t xml:space="preserve">Выдача в производство</x:t>
        </x:is>
      </x:c>
      <x:c r="D1118" s="31" t="inlineStr">
        <x:is>
          <x:t xml:space="preserve">МАТ-0012</x:t>
        </x:is>
      </x:c>
      <x:c r="E1118" s="31" t="inlineStr">
        <x:is>
          <x:t xml:space="preserve">Фланец Ду80 Ру16</x:t>
        </x:is>
      </x:c>
      <x:c r="F1118" s="31" t="n">
        <x:v>-45.25</x:v>
      </x:c>
      <x:c r="G1118" s="31" t="inlineStr">
        <x:is>
          <x:t xml:space="preserve">л</x:t>
        </x:is>
      </x:c>
      <x:c r="H1118" s="31" t="inlineStr">
        <x:is>
          <x:t xml:space="preserve">ЗК-1044</x:t>
        </x:is>
      </x:c>
      <x:c r="I1118" s="31" t="inlineStr">
        <x:is>
          <x:t xml:space="preserve">ПЗ-00255</x:t>
        </x:is>
      </x:c>
      <x:c r="J1118" s="31" t="inlineStr">
        <x:is>
          <x:t xml:space="preserve">Основной склад</x:t>
        </x:is>
      </x:c>
      <x:c r="K1118" s="31" t="inlineStr">
        <x:is>
          <x:t xml:space="preserve">СОТР-039</x:t>
        </x:is>
      </x:c>
      <x:c r="L1118" s="31" t="inlineStr">
        <x:is>
          <x:t xml:space="preserve">ДОК-6039</x:t>
        </x:is>
      </x:c>
      <x:c r="M1118" s="31" t="inlineStr">
        <x:is>
          <x:t xml:space="preserve">Проведен</x:t>
        </x:is>
      </x:c>
    </x:row>
    <x:row r="1119">
      <x:c r="A1119" s="31" t="inlineStr">
        <x:is>
          <x:t xml:space="preserve">СКЛ-001118</x:t>
        </x:is>
      </x:c>
      <x:c r="B1119" s="31" t="n">
        <x:v>46087</x:v>
      </x:c>
      <x:c r="C1119" s="31" t="inlineStr">
        <x:is>
          <x:t xml:space="preserve">Приход</x:t>
        </x:is>
      </x:c>
      <x:c r="D1119" s="31" t="inlineStr">
        <x:is>
          <x:t xml:space="preserve">МАТ-0045</x:t>
        </x:is>
      </x:c>
      <x:c r="E1119" s="31" t="inlineStr">
        <x:is>
          <x:t xml:space="preserve">Автоматический выключатель 16А</x:t>
        </x:is>
      </x:c>
      <x:c r="F1119" s="31" t="n">
        <x:v>10</x:v>
      </x:c>
      <x:c r="G1119" s="31" t="inlineStr">
        <x:is>
          <x:t xml:space="preserve">шт</x:t>
        </x:is>
      </x:c>
      <x:c r="H1119" s="31" t="n"/>
      <x:c r="I1119" s="31" t="n"/>
      <x:c r="J1119" s="31" t="inlineStr">
        <x:is>
          <x:t xml:space="preserve">Основной склад</x:t>
        </x:is>
      </x:c>
      <x:c r="K1119" s="31" t="inlineStr">
        <x:is>
          <x:t xml:space="preserve">СОТР-034</x:t>
        </x:is>
      </x:c>
      <x:c r="L1119" s="31" t="inlineStr">
        <x:is>
          <x:t xml:space="preserve">ДОК-1750</x:t>
        </x:is>
      </x:c>
      <x:c r="M1119" s="31" t="inlineStr">
        <x:is>
          <x:t xml:space="preserve">Проведен</x:t>
        </x:is>
      </x:c>
    </x:row>
    <x:row r="1120">
      <x:c r="A1120" s="31" t="inlineStr">
        <x:is>
          <x:t xml:space="preserve">СКЛ-001119</x:t>
        </x:is>
      </x:c>
      <x:c r="B1120" s="31" t="n">
        <x:v>46144</x:v>
      </x:c>
      <x:c r="C1120" s="31" t="inlineStr">
        <x:is>
          <x:t xml:space="preserve">Резерв</x:t>
        </x:is>
      </x:c>
      <x:c r="D1120" s="31" t="inlineStr">
        <x:is>
          <x:t xml:space="preserve">МАТ-0077</x:t>
        </x:is>
      </x:c>
      <x:c r="E1120" s="31" t="inlineStr">
        <x:is>
          <x:t xml:space="preserve">Болт М16</x:t>
        </x:is>
      </x:c>
      <x:c r="F1120" s="31" t="n">
        <x:v>-2</x:v>
      </x:c>
      <x:c r="G1120" s="31" t="inlineStr">
        <x:is>
          <x:t xml:space="preserve">шт</x:t>
        </x:is>
      </x:c>
      <x:c r="H1120" s="31" t="inlineStr">
        <x:is>
          <x:t xml:space="preserve">ЗК-1013</x:t>
        </x:is>
      </x:c>
      <x:c r="I1120" s="31" t="n"/>
      <x:c r="J1120" s="31" t="inlineStr">
        <x:is>
          <x:t xml:space="preserve">Основной склад</x:t>
        </x:is>
      </x:c>
      <x:c r="K1120" s="31" t="inlineStr">
        <x:is>
          <x:t xml:space="preserve">СОТР-039</x:t>
        </x:is>
      </x:c>
      <x:c r="L1120" s="31" t="inlineStr">
        <x:is>
          <x:t xml:space="preserve">ДОК-8314</x:t>
        </x:is>
      </x:c>
      <x:c r="M1120" s="31" t="inlineStr">
        <x:is>
          <x:t xml:space="preserve">Проведен</x:t>
        </x:is>
      </x:c>
    </x:row>
    <x:row r="1121">
      <x:c r="A1121" s="31" t="inlineStr">
        <x:is>
          <x:t xml:space="preserve">СКЛ-001120</x:t>
        </x:is>
      </x:c>
      <x:c r="B1121" s="31" t="n">
        <x:v>46079</x:v>
      </x:c>
      <x:c r="C1121" s="31" t="inlineStr">
        <x:is>
          <x:t xml:space="preserve">Приход</x:t>
        </x:is>
      </x:c>
      <x:c r="D1121" s="31" t="inlineStr">
        <x:is>
          <x:t xml:space="preserve">МАТ-0043</x:t>
        </x:is>
      </x:c>
      <x:c r="E1121" s="31" t="inlineStr">
        <x:is>
          <x:t xml:space="preserve">Блок питания 24В</x:t>
        </x:is>
      </x:c>
      <x:c r="F1121" s="31" t="n">
        <x:v>11</x:v>
      </x:c>
      <x:c r="G1121" s="31" t="inlineStr">
        <x:is>
          <x:t xml:space="preserve">шт</x:t>
        </x:is>
      </x:c>
      <x:c r="H1121" s="31" t="n"/>
      <x:c r="I1121" s="31" t="n"/>
      <x:c r="J1121" s="31" t="inlineStr">
        <x:is>
          <x:t xml:space="preserve">Брак/карантин</x:t>
        </x:is>
      </x:c>
      <x:c r="K1121" s="31" t="inlineStr">
        <x:is>
          <x:t xml:space="preserve">СОТР-037</x:t>
        </x:is>
      </x:c>
      <x:c r="L1121" s="31" t="inlineStr">
        <x:is>
          <x:t xml:space="preserve">ДОК-8932</x:t>
        </x:is>
      </x:c>
      <x:c r="M1121" s="31" t="inlineStr">
        <x:is>
          <x:t xml:space="preserve">Проведен</x:t>
        </x:is>
      </x:c>
    </x:row>
    <x:row r="1122">
      <x:c r="A1122" s="31" t="inlineStr">
        <x:is>
          <x:t xml:space="preserve">СКЛ-001121</x:t>
        </x:is>
      </x:c>
      <x:c r="B1122" s="31" t="n">
        <x:v>46131</x:v>
      </x:c>
      <x:c r="C1122" s="31" t="inlineStr">
        <x:is>
          <x:t xml:space="preserve">Выдача в производство</x:t>
        </x:is>
      </x:c>
      <x:c r="D1122" s="31" t="inlineStr">
        <x:is>
          <x:t xml:space="preserve">МАТ-0082</x:t>
        </x:is>
      </x:c>
      <x:c r="E1122" s="31" t="inlineStr">
        <x:is>
          <x:t xml:space="preserve">Шайба 12 / исп.2</x:t>
        </x:is>
      </x:c>
      <x:c r="F1122" s="31" t="n">
        <x:v>-8</x:v>
      </x:c>
      <x:c r="G1122" s="31" t="inlineStr">
        <x:is>
          <x:t xml:space="preserve">шт</x:t>
        </x:is>
      </x:c>
      <x:c r="H1122" s="31" t="inlineStr">
        <x:is>
          <x:t xml:space="preserve">ЗК-1078</x:t>
        </x:is>
      </x:c>
      <x:c r="I1122" s="31" t="inlineStr">
        <x:is>
          <x:t xml:space="preserve">ПЗ-00031</x:t>
        </x:is>
      </x:c>
      <x:c r="J1122" s="31" t="inlineStr">
        <x:is>
          <x:t xml:space="preserve">Цеховой склад</x:t>
        </x:is>
      </x:c>
      <x:c r="K1122" s="31" t="inlineStr">
        <x:is>
          <x:t xml:space="preserve">СОТР-035</x:t>
        </x:is>
      </x:c>
      <x:c r="L1122" s="31" t="inlineStr">
        <x:is>
          <x:t xml:space="preserve">ДОК-4559</x:t>
        </x:is>
      </x:c>
      <x:c r="M1122" s="31" t="inlineStr">
        <x:is>
          <x:t xml:space="preserve">Требует проверки</x:t>
        </x:is>
      </x:c>
    </x:row>
    <x:row r="1123">
      <x:c r="A1123" s="31" t="inlineStr">
        <x:is>
          <x:t xml:space="preserve">СКЛ-001122</x:t>
        </x:is>
      </x:c>
      <x:c r="B1123" s="31" t="n">
        <x:v>46052</x:v>
      </x:c>
      <x:c r="C1123" s="31" t="inlineStr">
        <x:is>
          <x:t xml:space="preserve">Резерв</x:t>
        </x:is>
      </x:c>
      <x:c r="D1123" s="31" t="inlineStr">
        <x:is>
          <x:t xml:space="preserve">МАТ-0009</x:t>
        </x:is>
      </x:c>
      <x:c r="E1123" s="31" t="inlineStr">
        <x:is>
          <x:t xml:space="preserve">Фланец Ду50 Ру16</x:t>
        </x:is>
      </x:c>
      <x:c r="F1123" s="31" t="n">
        <x:v>-38.27</x:v>
      </x:c>
      <x:c r="G1123" s="31" t="inlineStr">
        <x:is>
          <x:t xml:space="preserve">л</x:t>
        </x:is>
      </x:c>
      <x:c r="H1123" s="31" t="inlineStr">
        <x:is>
          <x:t xml:space="preserve">ЗК-1052</x:t>
        </x:is>
      </x:c>
      <x:c r="I1123" s="31" t="n"/>
      <x:c r="J1123" s="31" t="inlineStr">
        <x:is>
          <x:t xml:space="preserve">Брак/карантин</x:t>
        </x:is>
      </x:c>
      <x:c r="K1123" s="31" t="inlineStr">
        <x:is>
          <x:t xml:space="preserve">СОТР-033</x:t>
        </x:is>
      </x:c>
      <x:c r="L1123" s="31" t="inlineStr">
        <x:is>
          <x:t xml:space="preserve">ДОК-8119</x:t>
        </x:is>
      </x:c>
      <x:c r="M1123" s="31" t="inlineStr">
        <x:is>
          <x:t xml:space="preserve">Проведен</x:t>
        </x:is>
      </x:c>
    </x:row>
    <x:row r="1124">
      <x:c r="A1124" s="31" t="inlineStr">
        <x:is>
          <x:t xml:space="preserve">СКЛ-001123</x:t>
        </x:is>
      </x:c>
      <x:c r="B1124" s="31" t="n">
        <x:v>46195</x:v>
      </x:c>
      <x:c r="C1124" s="31" t="inlineStr">
        <x:is>
          <x:t xml:space="preserve">Выдача в производство</x:t>
        </x:is>
      </x:c>
      <x:c r="D1124" s="31" t="inlineStr">
        <x:is>
          <x:t xml:space="preserve">МАТ-0020</x:t>
        </x:is>
      </x:c>
      <x:c r="E1124" s="31" t="inlineStr">
        <x:is>
          <x:t xml:space="preserve">Насос дозировочный / исп.2</x:t>
        </x:is>
      </x:c>
      <x:c r="F1124" s="31" t="n">
        <x:v>-3</x:v>
      </x:c>
      <x:c r="G1124" s="31" t="inlineStr">
        <x:is>
          <x:t xml:space="preserve">шт</x:t>
        </x:is>
      </x:c>
      <x:c r="H1124" s="31" t="inlineStr">
        <x:is>
          <x:t xml:space="preserve">ЗК-1090</x:t>
        </x:is>
      </x:c>
      <x:c r="I1124" s="31" t="inlineStr">
        <x:is>
          <x:t xml:space="preserve">ПЗ-00213</x:t>
        </x:is>
      </x:c>
      <x:c r="J1124" s="31" t="inlineStr">
        <x:is>
          <x:t xml:space="preserve">Основной склад</x:t>
        </x:is>
      </x:c>
      <x:c r="K1124" s="31" t="inlineStr">
        <x:is>
          <x:t xml:space="preserve">СОТР-034</x:t>
        </x:is>
      </x:c>
      <x:c r="L1124" s="31" t="inlineStr">
        <x:is>
          <x:t xml:space="preserve">ДОК-5332</x:t>
        </x:is>
      </x:c>
      <x:c r="M1124" s="31" t="inlineStr">
        <x:is>
          <x:t xml:space="preserve">Проведен</x:t>
        </x:is>
      </x:c>
    </x:row>
    <x:row r="1125">
      <x:c r="A1125" s="31" t="inlineStr">
        <x:is>
          <x:t xml:space="preserve">СКЛ-001124</x:t>
        </x:is>
      </x:c>
      <x:c r="B1125" s="31" t="n">
        <x:v>46144</x:v>
      </x:c>
      <x:c r="C1125" s="31" t="inlineStr">
        <x:is>
          <x:t xml:space="preserve">Резерв</x:t>
        </x:is>
      </x:c>
      <x:c r="D1125" s="31" t="inlineStr">
        <x:is>
          <x:t xml:space="preserve">МАТ-0054</x:t>
        </x:is>
      </x:c>
      <x:c r="E1125" s="31" t="inlineStr">
        <x:is>
          <x:t xml:space="preserve">Кран шаровой Ду80</x:t>
        </x:is>
      </x:c>
      <x:c r="F1125" s="31" t="n">
        <x:v>-3</x:v>
      </x:c>
      <x:c r="G1125" s="31" t="inlineStr">
        <x:is>
          <x:t xml:space="preserve">шт</x:t>
        </x:is>
      </x:c>
      <x:c r="H1125" s="31" t="inlineStr">
        <x:is>
          <x:t xml:space="preserve">ЗК-1068</x:t>
        </x:is>
      </x:c>
      <x:c r="I1125" s="31" t="n"/>
      <x:c r="J1125" s="31" t="inlineStr">
        <x:is>
          <x:t xml:space="preserve">Основной склад</x:t>
        </x:is>
      </x:c>
      <x:c r="K1125" s="31" t="inlineStr">
        <x:is>
          <x:t xml:space="preserve">СОТР-039</x:t>
        </x:is>
      </x:c>
      <x:c r="L1125" s="31" t="inlineStr">
        <x:is>
          <x:t xml:space="preserve">ДОК-6925</x:t>
        </x:is>
      </x:c>
      <x:c r="M1125" s="31" t="inlineStr">
        <x:is>
          <x:t xml:space="preserve">Проведен</x:t>
        </x:is>
      </x:c>
    </x:row>
    <x:row r="1126">
      <x:c r="A1126" s="31" t="inlineStr">
        <x:is>
          <x:t xml:space="preserve">СКЛ-001125</x:t>
        </x:is>
      </x:c>
      <x:c r="B1126" s="31" t="n">
        <x:v>46048</x:v>
      </x:c>
      <x:c r="C1126" s="31" t="inlineStr">
        <x:is>
          <x:t xml:space="preserve">Приход</x:t>
        </x:is>
      </x:c>
      <x:c r="D1126" s="31" t="inlineStr">
        <x:is>
          <x:t xml:space="preserve">МАТ-0061</x:t>
        </x:is>
      </x:c>
      <x:c r="E1126" s="31" t="inlineStr">
        <x:is>
          <x:t xml:space="preserve">Фильтр сетчатый Ду50 / исп.3</x:t>
        </x:is>
      </x:c>
      <x:c r="F1126" s="31" t="n">
        <x:v>13</x:v>
      </x:c>
      <x:c r="G1126" s="31" t="inlineStr">
        <x:is>
          <x:t xml:space="preserve">шт</x:t>
        </x:is>
      </x:c>
      <x:c r="H1126" s="31" t="n"/>
      <x:c r="I1126" s="31" t="n"/>
      <x:c r="J1126" s="31" t="inlineStr">
        <x:is>
          <x:t xml:space="preserve">Основной склад</x:t>
        </x:is>
      </x:c>
      <x:c r="K1126" s="31" t="inlineStr">
        <x:is>
          <x:t xml:space="preserve">СОТР-038</x:t>
        </x:is>
      </x:c>
      <x:c r="L1126" s="31" t="inlineStr">
        <x:is>
          <x:t xml:space="preserve">ДОК-1483</x:t>
        </x:is>
      </x:c>
      <x:c r="M1126" s="31" t="inlineStr">
        <x:is>
          <x:t xml:space="preserve">Проведен</x:t>
        </x:is>
      </x:c>
    </x:row>
    <x:row r="1127">
      <x:c r="A1127" s="31" t="inlineStr">
        <x:is>
          <x:t xml:space="preserve">СКЛ-001126</x:t>
        </x:is>
      </x:c>
      <x:c r="B1127" s="31" t="n">
        <x:v>46127</x:v>
      </x:c>
      <x:c r="C1127" s="31" t="inlineStr">
        <x:is>
          <x:t xml:space="preserve">Резерв</x:t>
        </x:is>
      </x:c>
      <x:c r="D1127" s="31" t="inlineStr">
        <x:is>
          <x:t xml:space="preserve">МАТ-0086</x:t>
        </x:is>
      </x:c>
      <x:c r="E1127" s="31" t="inlineStr">
        <x:is>
          <x:t xml:space="preserve">Пленка стрейч / исп.2</x:t>
        </x:is>
      </x:c>
      <x:c r="F1127" s="31" t="n">
        <x:v>-20</x:v>
      </x:c>
      <x:c r="G1127" s="31" t="inlineStr">
        <x:is>
          <x:t xml:space="preserve">шт</x:t>
        </x:is>
      </x:c>
      <x:c r="H1127" s="31" t="inlineStr">
        <x:is>
          <x:t xml:space="preserve">ЗК-1018</x:t>
        </x:is>
      </x:c>
      <x:c r="I1127" s="31" t="n"/>
      <x:c r="J1127" s="31" t="inlineStr">
        <x:is>
          <x:t xml:space="preserve">Основной склад</x:t>
        </x:is>
      </x:c>
      <x:c r="K1127" s="31" t="inlineStr">
        <x:is>
          <x:t xml:space="preserve">СОТР-024</x:t>
        </x:is>
      </x:c>
      <x:c r="L1127" s="31" t="inlineStr">
        <x:is>
          <x:t xml:space="preserve">ДОК-2006</x:t>
        </x:is>
      </x:c>
      <x:c r="M1127" s="31" t="inlineStr">
        <x:is>
          <x:t xml:space="preserve">Проведен</x:t>
        </x:is>
      </x:c>
    </x:row>
    <x:row r="1128">
      <x:c r="A1128" s="31" t="inlineStr">
        <x:is>
          <x:t xml:space="preserve">СКЛ-001127</x:t>
        </x:is>
      </x:c>
      <x:c r="B1128" s="31" t="n">
        <x:v>46161</x:v>
      </x:c>
      <x:c r="C1128" s="31" t="inlineStr">
        <x:is>
          <x:t xml:space="preserve">Приход</x:t>
        </x:is>
      </x:c>
      <x:c r="D1128" s="31" t="inlineStr">
        <x:is>
          <x:t xml:space="preserve">МАТ-0076</x:t>
        </x:is>
      </x:c>
      <x:c r="E1128" s="31" t="inlineStr">
        <x:is>
          <x:t xml:space="preserve">Болт М12 / исп.2</x:t>
        </x:is>
      </x:c>
      <x:c r="F1128" s="31" t="n">
        <x:v>14</x:v>
      </x:c>
      <x:c r="G1128" s="31" t="inlineStr">
        <x:is>
          <x:t xml:space="preserve">шт</x:t>
        </x:is>
      </x:c>
      <x:c r="H1128" s="31" t="n"/>
      <x:c r="I1128" s="31" t="n"/>
      <x:c r="J1128" s="31" t="inlineStr">
        <x:is>
          <x:t xml:space="preserve">Цеховой склад</x:t>
        </x:is>
      </x:c>
      <x:c r="K1128" s="31" t="inlineStr">
        <x:is>
          <x:t xml:space="preserve">СОТР-037</x:t>
        </x:is>
      </x:c>
      <x:c r="L1128" s="31" t="inlineStr">
        <x:is>
          <x:t xml:space="preserve">ДОК-7989</x:t>
        </x:is>
      </x:c>
      <x:c r="M1128" s="31" t="inlineStr">
        <x:is>
          <x:t xml:space="preserve">Проведен</x:t>
        </x:is>
      </x:c>
    </x:row>
    <x:row r="1129">
      <x:c r="A1129" s="31" t="inlineStr">
        <x:is>
          <x:t xml:space="preserve">СКЛ-001128</x:t>
        </x:is>
      </x:c>
      <x:c r="B1129" s="31" t="n">
        <x:v>46153</x:v>
      </x:c>
      <x:c r="C1129" s="31" t="inlineStr">
        <x:is>
          <x:t xml:space="preserve">Выдача в производство</x:t>
        </x:is>
      </x:c>
      <x:c r="D1129" s="31" t="inlineStr">
        <x:is>
          <x:t xml:space="preserve">МАТ-0058</x:t>
        </x:is>
      </x:c>
      <x:c r="E1129" s="31" t="inlineStr">
        <x:is>
          <x:t xml:space="preserve">Задвижка Ду100 / исп.3</x:t>
        </x:is>
      </x:c>
      <x:c r="F1129" s="31" t="n">
        <x:v>-16</x:v>
      </x:c>
      <x:c r="G1129" s="31" t="inlineStr">
        <x:is>
          <x:t xml:space="preserve">шт</x:t>
        </x:is>
      </x:c>
      <x:c r="H1129" s="31" t="inlineStr">
        <x:is>
          <x:t xml:space="preserve">ЗК-1125</x:t>
        </x:is>
      </x:c>
      <x:c r="I1129" s="31" t="inlineStr">
        <x:is>
          <x:t xml:space="preserve">ПЗ-00243</x:t>
        </x:is>
      </x:c>
      <x:c r="J1129" s="31" t="inlineStr">
        <x:is>
          <x:t xml:space="preserve">Основной склад</x:t>
        </x:is>
      </x:c>
      <x:c r="K1129" s="31" t="inlineStr">
        <x:is>
          <x:t xml:space="preserve">СОТР-036</x:t>
        </x:is>
      </x:c>
      <x:c r="L1129" s="31" t="inlineStr">
        <x:is>
          <x:t xml:space="preserve">ДОК-1002</x:t>
        </x:is>
      </x:c>
      <x:c r="M1129" s="31" t="inlineStr">
        <x:is>
          <x:t xml:space="preserve">Проведен</x:t>
        </x:is>
      </x:c>
    </x:row>
    <x:row r="1130">
      <x:c r="A1130" s="31" t="inlineStr">
        <x:is>
          <x:t xml:space="preserve">СКЛ-001129</x:t>
        </x:is>
      </x:c>
      <x:c r="B1130" s="31" t="n">
        <x:v>46062</x:v>
      </x:c>
      <x:c r="C1130" s="31" t="inlineStr">
        <x:is>
          <x:t xml:space="preserve">Списание</x:t>
        </x:is>
      </x:c>
      <x:c r="D1130" s="31" t="inlineStr">
        <x:is>
          <x:t xml:space="preserve">МАТ-0039</x:t>
        </x:is>
      </x:c>
      <x:c r="E1130" s="31" t="inlineStr">
        <x:is>
          <x:t xml:space="preserve">ПЛК 24 дискр. входа / 16 дискр. выхода / исп.2</x:t>
        </x:is>
      </x:c>
      <x:c r="F1130" s="31" t="n">
        <x:v>-16</x:v>
      </x:c>
      <x:c r="G1130" s="31" t="inlineStr">
        <x:is>
          <x:t xml:space="preserve">шт</x:t>
        </x:is>
      </x:c>
      <x:c r="H1130" s="31" t="n"/>
      <x:c r="I1130" s="31" t="n"/>
      <x:c r="J1130" s="31" t="inlineStr">
        <x:is>
          <x:t xml:space="preserve">Основной склад</x:t>
        </x:is>
      </x:c>
      <x:c r="K1130" s="31" t="inlineStr">
        <x:is>
          <x:t xml:space="preserve">СОТР-033</x:t>
        </x:is>
      </x:c>
      <x:c r="L1130" s="31" t="inlineStr">
        <x:is>
          <x:t xml:space="preserve">ДОК-4166</x:t>
        </x:is>
      </x:c>
      <x:c r="M1130" s="31" t="inlineStr">
        <x:is>
          <x:t xml:space="preserve">Проведен</x:t>
        </x:is>
      </x:c>
    </x:row>
    <x:row r="1131">
      <x:c r="A1131" s="31" t="inlineStr">
        <x:is>
          <x:t xml:space="preserve">СКЛ-001130</x:t>
        </x:is>
      </x:c>
      <x:c r="B1131" s="31" t="n">
        <x:v>46167</x:v>
      </x:c>
      <x:c r="C1131" s="31" t="inlineStr">
        <x:is>
          <x:t xml:space="preserve">Возврат</x:t>
        </x:is>
      </x:c>
      <x:c r="D1131" s="31" t="inlineStr">
        <x:is>
          <x:t xml:space="preserve">МАТ-0085</x:t>
        </x:is>
      </x:c>
      <x:c r="E1131" s="31" t="inlineStr">
        <x:is>
          <x:t xml:space="preserve">Пленка стрейч</x:t>
        </x:is>
      </x:c>
      <x:c r="F1131" s="31" t="n">
        <x:v>5</x:v>
      </x:c>
      <x:c r="G1131" s="31" t="inlineStr">
        <x:is>
          <x:t xml:space="preserve">шт</x:t>
        </x:is>
      </x:c>
      <x:c r="H1131" s="31" t="n"/>
      <x:c r="I1131" s="31" t="n"/>
      <x:c r="J1131" s="31" t="inlineStr">
        <x:is>
          <x:t xml:space="preserve">Основной склад</x:t>
        </x:is>
      </x:c>
      <x:c r="K1131" s="31" t="inlineStr">
        <x:is>
          <x:t xml:space="preserve">СОТР-034</x:t>
        </x:is>
      </x:c>
      <x:c r="L1131" s="31" t="inlineStr">
        <x:is>
          <x:t xml:space="preserve">ДОК-7850</x:t>
        </x:is>
      </x:c>
      <x:c r="M1131" s="31" t="inlineStr">
        <x:is>
          <x:t xml:space="preserve">Проведен</x:t>
        </x:is>
      </x:c>
    </x:row>
    <x:row r="1132">
      <x:c r="A1132" s="31" t="inlineStr">
        <x:is>
          <x:t xml:space="preserve">СКЛ-001131</x:t>
        </x:is>
      </x:c>
      <x:c r="B1132" s="31" t="n">
        <x:v>46088</x:v>
      </x:c>
      <x:c r="C1132" s="31" t="inlineStr">
        <x:is>
          <x:t xml:space="preserve">Выдача в производство</x:t>
        </x:is>
      </x:c>
      <x:c r="D1132" s="31" t="inlineStr">
        <x:is>
          <x:t xml:space="preserve">МАТ-0083</x:t>
        </x:is>
      </x:c>
      <x:c r="E1132" s="31" t="inlineStr">
        <x:is>
          <x:t xml:space="preserve">Анкер М16</x:t>
        </x:is>
      </x:c>
      <x:c r="F1132" s="31" t="n">
        <x:v>-19</x:v>
      </x:c>
      <x:c r="G1132" s="31" t="inlineStr">
        <x:is>
          <x:t xml:space="preserve">шт</x:t>
        </x:is>
      </x:c>
      <x:c r="H1132" s="31" t="inlineStr">
        <x:is>
          <x:t xml:space="preserve">ЗК-1068</x:t>
        </x:is>
      </x:c>
      <x:c r="I1132" s="31" t="inlineStr">
        <x:is>
          <x:t xml:space="preserve">ПЗ-00093</x:t>
        </x:is>
      </x:c>
      <x:c r="J1132" s="31" t="inlineStr">
        <x:is>
          <x:t xml:space="preserve">Брак/карантин</x:t>
        </x:is>
      </x:c>
      <x:c r="K1132" s="31" t="inlineStr">
        <x:is>
          <x:t xml:space="preserve">СОТР-038</x:t>
        </x:is>
      </x:c>
      <x:c r="L1132" s="31" t="inlineStr">
        <x:is>
          <x:t xml:space="preserve">ДОК-8842</x:t>
        </x:is>
      </x:c>
      <x:c r="M1132" s="31" t="inlineStr">
        <x:is>
          <x:t xml:space="preserve">Проведен</x:t>
        </x:is>
      </x:c>
    </x:row>
    <x:row r="1133">
      <x:c r="A1133" s="31" t="inlineStr">
        <x:is>
          <x:t xml:space="preserve">СКЛ-001132</x:t>
        </x:is>
      </x:c>
      <x:c r="B1133" s="31" t="n">
        <x:v>46097</x:v>
      </x:c>
      <x:c r="C1133" s="31" t="inlineStr">
        <x:is>
          <x:t xml:space="preserve">Резерв</x:t>
        </x:is>
      </x:c>
      <x:c r="D1133" s="31" t="inlineStr">
        <x:is>
          <x:t xml:space="preserve">МАТ-0023</x:t>
        </x:is>
      </x:c>
      <x:c r="E1133" s="31" t="inlineStr">
        <x:is>
          <x:t xml:space="preserve">Рабочее колесо</x:t>
        </x:is>
      </x:c>
      <x:c r="F1133" s="31" t="n">
        <x:v>-11</x:v>
      </x:c>
      <x:c r="G1133" s="31" t="inlineStr">
        <x:is>
          <x:t xml:space="preserve">шт</x:t>
        </x:is>
      </x:c>
      <x:c r="H1133" s="31" t="inlineStr">
        <x:is>
          <x:t xml:space="preserve">ЗК-1052</x:t>
        </x:is>
      </x:c>
      <x:c r="I1133" s="31" t="n"/>
      <x:c r="J1133" s="31" t="inlineStr">
        <x:is>
          <x:t xml:space="preserve">Основной склад</x:t>
        </x:is>
      </x:c>
      <x:c r="K1133" s="31" t="inlineStr">
        <x:is>
          <x:t xml:space="preserve">СОТР-036</x:t>
        </x:is>
      </x:c>
      <x:c r="L1133" s="31" t="inlineStr">
        <x:is>
          <x:t xml:space="preserve">ДОК-9358</x:t>
        </x:is>
      </x:c>
      <x:c r="M1133" s="31" t="inlineStr">
        <x:is>
          <x:t xml:space="preserve">Проведен</x:t>
        </x:is>
      </x:c>
    </x:row>
    <x:row r="1134">
      <x:c r="A1134" s="31" t="inlineStr">
        <x:is>
          <x:t xml:space="preserve">СКЛ-001133</x:t>
        </x:is>
      </x:c>
      <x:c r="B1134" s="31" t="n">
        <x:v>46123</x:v>
      </x:c>
      <x:c r="C1134" s="31" t="inlineStr">
        <x:is>
          <x:t xml:space="preserve">Приход</x:t>
        </x:is>
      </x:c>
      <x:c r="D1134" s="31" t="inlineStr">
        <x:is>
          <x:t xml:space="preserve">МАТ-0074</x:t>
        </x:is>
      </x:c>
      <x:c r="E1134" s="31" t="inlineStr">
        <x:is>
          <x:t xml:space="preserve">Абразив для пескоструя</x:t>
        </x:is>
      </x:c>
      <x:c r="F1134" s="31" t="n">
        <x:v>15</x:v>
      </x:c>
      <x:c r="G1134" s="31" t="inlineStr">
        <x:is>
          <x:t xml:space="preserve">шт</x:t>
        </x:is>
      </x:c>
      <x:c r="H1134" s="31" t="n"/>
      <x:c r="I1134" s="31" t="n"/>
      <x:c r="J1134" s="31" t="inlineStr">
        <x:is>
          <x:t xml:space="preserve">Основной склад</x:t>
        </x:is>
      </x:c>
      <x:c r="K1134" s="31" t="inlineStr">
        <x:is>
          <x:t xml:space="preserve">СОТР-037</x:t>
        </x:is>
      </x:c>
      <x:c r="L1134" s="31" t="inlineStr">
        <x:is>
          <x:t xml:space="preserve">ДОК-4880</x:t>
        </x:is>
      </x:c>
      <x:c r="M1134" s="31" t="inlineStr">
        <x:is>
          <x:t xml:space="preserve">Проведен</x:t>
        </x:is>
      </x:c>
    </x:row>
    <x:row r="1135">
      <x:c r="A1135" s="31" t="inlineStr">
        <x:is>
          <x:t xml:space="preserve">СКЛ-001134</x:t>
        </x:is>
      </x:c>
      <x:c r="B1135" s="31" t="n">
        <x:v>46179</x:v>
      </x:c>
      <x:c r="C1135" s="31" t="inlineStr">
        <x:is>
          <x:t xml:space="preserve">Выдача в производство</x:t>
        </x:is>
      </x:c>
      <x:c r="D1135" s="31" t="inlineStr">
        <x:is>
          <x:t xml:space="preserve">МАТ-0039</x:t>
        </x:is>
      </x:c>
      <x:c r="E1135" s="31" t="inlineStr">
        <x:is>
          <x:t xml:space="preserve">ПЛК 24 дискр. входа / 16 дискр. выхода / исп.2</x:t>
        </x:is>
      </x:c>
      <x:c r="F1135" s="31" t="n">
        <x:v>-2</x:v>
      </x:c>
      <x:c r="G1135" s="31" t="inlineStr">
        <x:is>
          <x:t xml:space="preserve">шт</x:t>
        </x:is>
      </x:c>
      <x:c r="H1135" s="31" t="inlineStr">
        <x:is>
          <x:t xml:space="preserve">ЗК-1038</x:t>
        </x:is>
      </x:c>
      <x:c r="I1135" s="31" t="inlineStr">
        <x:is>
          <x:t xml:space="preserve">ПЗ-00093</x:t>
        </x:is>
      </x:c>
      <x:c r="J1135" s="31" t="inlineStr">
        <x:is>
          <x:t xml:space="preserve">Основной склад</x:t>
        </x:is>
      </x:c>
      <x:c r="K1135" s="31" t="inlineStr">
        <x:is>
          <x:t xml:space="preserve">СОТР-024</x:t>
        </x:is>
      </x:c>
      <x:c r="L1135" s="31" t="inlineStr">
        <x:is>
          <x:t xml:space="preserve">ДОК-6434</x:t>
        </x:is>
      </x:c>
      <x:c r="M1135" s="31" t="inlineStr">
        <x:is>
          <x:t xml:space="preserve">Проведен</x:t>
        </x:is>
      </x:c>
    </x:row>
    <x:row r="1136">
      <x:c r="A1136" s="31" t="inlineStr">
        <x:is>
          <x:t xml:space="preserve">СКЛ-001135</x:t>
        </x:is>
      </x:c>
      <x:c r="B1136" s="31" t="n">
        <x:v>46160</x:v>
      </x:c>
      <x:c r="C1136" s="31" t="inlineStr">
        <x:is>
          <x:t xml:space="preserve">Резерв</x:t>
        </x:is>
      </x:c>
      <x:c r="D1136" s="31" t="inlineStr">
        <x:is>
          <x:t xml:space="preserve">МАТ-0034</x:t>
        </x:is>
      </x:c>
      <x:c r="E1136" s="31" t="inlineStr">
        <x:is>
          <x:t xml:space="preserve">Манометр виброустойчивый</x:t>
        </x:is>
      </x:c>
      <x:c r="F1136" s="31" t="n">
        <x:v>-12</x:v>
      </x:c>
      <x:c r="G1136" s="31" t="inlineStr">
        <x:is>
          <x:t xml:space="preserve">шт</x:t>
        </x:is>
      </x:c>
      <x:c r="H1136" s="31" t="inlineStr">
        <x:is>
          <x:t xml:space="preserve">ЗК-1082</x:t>
        </x:is>
      </x:c>
      <x:c r="I1136" s="31" t="n"/>
      <x:c r="J1136" s="31" t="inlineStr">
        <x:is>
          <x:t xml:space="preserve">Цеховой склад</x:t>
        </x:is>
      </x:c>
      <x:c r="K1136" s="31" t="inlineStr">
        <x:is>
          <x:t xml:space="preserve">СОТР-035</x:t>
        </x:is>
      </x:c>
      <x:c r="L1136" s="31" t="inlineStr">
        <x:is>
          <x:t xml:space="preserve">ДОК-1183</x:t>
        </x:is>
      </x:c>
      <x:c r="M1136" s="31" t="inlineStr">
        <x:is>
          <x:t xml:space="preserve">Проведен</x:t>
        </x:is>
      </x:c>
    </x:row>
    <x:row r="1137">
      <x:c r="A1137" s="31" t="inlineStr">
        <x:is>
          <x:t xml:space="preserve">СКЛ-001136</x:t>
        </x:is>
      </x:c>
      <x:c r="B1137" s="31" t="n">
        <x:v>46186</x:v>
      </x:c>
      <x:c r="C1137" s="31" t="inlineStr">
        <x:is>
          <x:t xml:space="preserve">Выдача в производство</x:t>
        </x:is>
      </x:c>
      <x:c r="D1137" s="31" t="inlineStr">
        <x:is>
          <x:t xml:space="preserve">МАТ-0072</x:t>
        </x:is>
      </x:c>
      <x:c r="E1137" s="31" t="inlineStr">
        <x:is>
          <x:t xml:space="preserve">Растворитель</x:t>
        </x:is>
      </x:c>
      <x:c r="F1137" s="31" t="n">
        <x:v>-62.03</x:v>
      </x:c>
      <x:c r="G1137" s="31" t="inlineStr">
        <x:is>
          <x:t xml:space="preserve">л</x:t>
        </x:is>
      </x:c>
      <x:c r="H1137" s="31" t="inlineStr">
        <x:is>
          <x:t xml:space="preserve">ЗК-1095</x:t>
        </x:is>
      </x:c>
      <x:c r="I1137" s="31" t="inlineStr">
        <x:is>
          <x:t xml:space="preserve">ПЗ-00198</x:t>
        </x:is>
      </x:c>
      <x:c r="J1137" s="31" t="inlineStr">
        <x:is>
          <x:t xml:space="preserve">Основной склад</x:t>
        </x:is>
      </x:c>
      <x:c r="K1137" s="31" t="inlineStr">
        <x:is>
          <x:t xml:space="preserve">СОТР-039</x:t>
        </x:is>
      </x:c>
      <x:c r="L1137" s="31" t="inlineStr">
        <x:is>
          <x:t xml:space="preserve">ДОК-2022</x:t>
        </x:is>
      </x:c>
      <x:c r="M1137" s="31" t="inlineStr">
        <x:is>
          <x:t xml:space="preserve">Проведен</x:t>
        </x:is>
      </x:c>
    </x:row>
    <x:row r="1138">
      <x:c r="A1138" s="31" t="inlineStr">
        <x:is>
          <x:t xml:space="preserve">СКЛ-001137</x:t>
        </x:is>
      </x:c>
      <x:c r="B1138" s="31" t="n">
        <x:v>46146</x:v>
      </x:c>
      <x:c r="C1138" s="31" t="inlineStr">
        <x:is>
          <x:t xml:space="preserve">Выдача в производство</x:t>
        </x:is>
      </x:c>
      <x:c r="D1138" s="31" t="inlineStr">
        <x:is>
          <x:t xml:space="preserve">МАТ-0031</x:t>
        </x:is>
      </x:c>
      <x:c r="E1138" s="31" t="inlineStr">
        <x:is>
          <x:t xml:space="preserve">Датчик давления 0-16 бар</x:t>
        </x:is>
      </x:c>
      <x:c r="F1138" s="31" t="n">
        <x:v>-17</x:v>
      </x:c>
      <x:c r="G1138" s="31" t="inlineStr">
        <x:is>
          <x:t xml:space="preserve">шт</x:t>
        </x:is>
      </x:c>
      <x:c r="H1138" s="31" t="inlineStr">
        <x:is>
          <x:t xml:space="preserve">ЗК-1067</x:t>
        </x:is>
      </x:c>
      <x:c r="I1138" s="31" t="inlineStr">
        <x:is>
          <x:t xml:space="preserve">ПЗ-00076</x:t>
        </x:is>
      </x:c>
      <x:c r="J1138" s="31" t="inlineStr">
        <x:is>
          <x:t xml:space="preserve">Основной склад</x:t>
        </x:is>
      </x:c>
      <x:c r="K1138" s="31" t="inlineStr">
        <x:is>
          <x:t xml:space="preserve">СОТР-037</x:t>
        </x:is>
      </x:c>
      <x:c r="L1138" s="31" t="inlineStr">
        <x:is>
          <x:t xml:space="preserve">ДОК-9482</x:t>
        </x:is>
      </x:c>
      <x:c r="M1138" s="31" t="inlineStr">
        <x:is>
          <x:t xml:space="preserve">Проведен</x:t>
        </x:is>
      </x:c>
    </x:row>
    <x:row r="1139">
      <x:c r="A1139" s="31" t="inlineStr">
        <x:is>
          <x:t xml:space="preserve">СКЛ-001138</x:t>
        </x:is>
      </x:c>
      <x:c r="B1139" s="31" t="n">
        <x:v>46088</x:v>
      </x:c>
      <x:c r="C1139" s="31" t="inlineStr">
        <x:is>
          <x:t xml:space="preserve">Корректировка</x:t>
        </x:is>
      </x:c>
      <x:c r="D1139" s="31" t="inlineStr">
        <x:is>
          <x:t xml:space="preserve">МАТ-0084</x:t>
        </x:is>
      </x:c>
      <x:c r="E1139" s="31" t="inlineStr">
        <x:is>
          <x:t xml:space="preserve">Поддон 1200×800</x:t>
        </x:is>
      </x:c>
      <x:c r="F1139" s="31" t="n">
        <x:v>9</x:v>
      </x:c>
      <x:c r="G1139" s="31" t="inlineStr">
        <x:is>
          <x:t xml:space="preserve">шт</x:t>
        </x:is>
      </x:c>
      <x:c r="H1139" s="31" t="n"/>
      <x:c r="I1139" s="31" t="n"/>
      <x:c r="J1139" s="31" t="inlineStr">
        <x:is>
          <x:t xml:space="preserve">Основной склад</x:t>
        </x:is>
      </x:c>
      <x:c r="K1139" s="31" t="inlineStr">
        <x:is>
          <x:t xml:space="preserve">СОТР-039</x:t>
        </x:is>
      </x:c>
      <x:c r="L1139" s="31" t="inlineStr">
        <x:is>
          <x:t xml:space="preserve">ДОК-4933</x:t>
        </x:is>
      </x:c>
      <x:c r="M1139" s="31" t="inlineStr">
        <x:is>
          <x:t xml:space="preserve">Проведен</x:t>
        </x:is>
      </x:c>
    </x:row>
    <x:row r="1140">
      <x:c r="A1140" s="31" t="inlineStr">
        <x:is>
          <x:t xml:space="preserve">СКЛ-001139</x:t>
        </x:is>
      </x:c>
      <x:c r="B1140" s="31" t="n">
        <x:v>46046</x:v>
      </x:c>
      <x:c r="C1140" s="31" t="inlineStr">
        <x:is>
          <x:t xml:space="preserve">Резерв</x:t>
        </x:is>
      </x:c>
      <x:c r="D1140" s="31" t="inlineStr">
        <x:is>
          <x:t xml:space="preserve">МАТ-0040</x:t>
        </x:is>
      </x:c>
      <x:c r="E1140" s="31" t="inlineStr">
        <x:is>
          <x:t xml:space="preserve">модуль аналогового входа 4 канала</x:t>
        </x:is>
      </x:c>
      <x:c r="F1140" s="31" t="n">
        <x:v>-9</x:v>
      </x:c>
      <x:c r="G1140" s="31" t="inlineStr">
        <x:is>
          <x:t xml:space="preserve">шт</x:t>
        </x:is>
      </x:c>
      <x:c r="H1140" s="31" t="inlineStr">
        <x:is>
          <x:t xml:space="preserve">ЗК-1040</x:t>
        </x:is>
      </x:c>
      <x:c r="I1140" s="31" t="n"/>
      <x:c r="J1140" s="31" t="inlineStr">
        <x:is>
          <x:t xml:space="preserve">Основной склад</x:t>
        </x:is>
      </x:c>
      <x:c r="K1140" s="31" t="inlineStr">
        <x:is>
          <x:t xml:space="preserve">СОТР-036</x:t>
        </x:is>
      </x:c>
      <x:c r="L1140" s="31" t="inlineStr">
        <x:is>
          <x:t xml:space="preserve">ДОК-9775</x:t>
        </x:is>
      </x:c>
      <x:c r="M1140" s="31" t="inlineStr">
        <x:is>
          <x:t xml:space="preserve">Проведен</x:t>
        </x:is>
      </x:c>
    </x:row>
    <x:row r="1141">
      <x:c r="A1141" s="31" t="inlineStr">
        <x:is>
          <x:t xml:space="preserve">СКЛ-001140</x:t>
        </x:is>
      </x:c>
      <x:c r="B1141" s="31" t="n">
        <x:v>46173</x:v>
      </x:c>
      <x:c r="C1141" s="31" t="inlineStr">
        <x:is>
          <x:t xml:space="preserve">Выдача в производство</x:t>
        </x:is>
      </x:c>
      <x:c r="D1141" s="31" t="inlineStr">
        <x:is>
          <x:t xml:space="preserve">МАТ-0039</x:t>
        </x:is>
      </x:c>
      <x:c r="E1141" s="31" t="inlineStr">
        <x:is>
          <x:t xml:space="preserve">ПЛК 24 дискр. входа / 16 дискр. выхода / исп.2</x:t>
        </x:is>
      </x:c>
      <x:c r="F1141" s="31" t="n">
        <x:v>-20</x:v>
      </x:c>
      <x:c r="G1141" s="31" t="inlineStr">
        <x:is>
          <x:t xml:space="preserve">шт</x:t>
        </x:is>
      </x:c>
      <x:c r="H1141" s="31" t="inlineStr">
        <x:is>
          <x:t xml:space="preserve">ЗК-1102</x:t>
        </x:is>
      </x:c>
      <x:c r="I1141" s="31" t="inlineStr">
        <x:is>
          <x:t xml:space="preserve">ПЗ-00198</x:t>
        </x:is>
      </x:c>
      <x:c r="J1141" s="31" t="inlineStr">
        <x:is>
          <x:t xml:space="preserve">Основной склад</x:t>
        </x:is>
      </x:c>
      <x:c r="K1141" s="31" t="inlineStr">
        <x:is>
          <x:t xml:space="preserve">СОТР-024</x:t>
        </x:is>
      </x:c>
      <x:c r="L1141" s="31" t="inlineStr">
        <x:is>
          <x:t xml:space="preserve">ДОК-9835</x:t>
        </x:is>
      </x:c>
      <x:c r="M1141" s="31" t="inlineStr">
        <x:is>
          <x:t xml:space="preserve">Проведен</x:t>
        </x:is>
      </x:c>
    </x:row>
    <x:row r="1142">
      <x:c r="A1142" s="31" t="inlineStr">
        <x:is>
          <x:t xml:space="preserve">СКЛ-001141</x:t>
        </x:is>
      </x:c>
      <x:c r="B1142" s="31" t="n">
        <x:v>46199</x:v>
      </x:c>
      <x:c r="C1142" s="31" t="inlineStr">
        <x:is>
          <x:t xml:space="preserve">Приход</x:t>
        </x:is>
      </x:c>
      <x:c r="D1142" s="31" t="inlineStr">
        <x:is>
          <x:t xml:space="preserve">МАТ-0052</x:t>
        </x:is>
      </x:c>
      <x:c r="E1142" s="31" t="inlineStr">
        <x:is>
          <x:t xml:space="preserve">Кран шаровой Ду50 / исп.2</x:t>
        </x:is>
      </x:c>
      <x:c r="F1142" s="31" t="n">
        <x:v>9</x:v>
      </x:c>
      <x:c r="G1142" s="31" t="inlineStr">
        <x:is>
          <x:t xml:space="preserve">шт</x:t>
        </x:is>
      </x:c>
      <x:c r="H1142" s="31" t="n"/>
      <x:c r="I1142" s="31" t="n"/>
      <x:c r="J1142" s="31" t="inlineStr">
        <x:is>
          <x:t xml:space="preserve">Основной склад</x:t>
        </x:is>
      </x:c>
      <x:c r="K1142" s="31" t="inlineStr">
        <x:is>
          <x:t xml:space="preserve">СОТР-034</x:t>
        </x:is>
      </x:c>
      <x:c r="L1142" s="31" t="inlineStr">
        <x:is>
          <x:t xml:space="preserve">ДОК-6035</x:t>
        </x:is>
      </x:c>
      <x:c r="M1142" s="31" t="inlineStr">
        <x:is>
          <x:t xml:space="preserve">Проведен</x:t>
        </x:is>
      </x:c>
    </x:row>
    <x:row r="1143">
      <x:c r="A1143" s="31" t="inlineStr">
        <x:is>
          <x:t xml:space="preserve">СКЛ-001142</x:t>
        </x:is>
      </x:c>
      <x:c r="B1143" s="31" t="n">
        <x:v>46145</x:v>
      </x:c>
      <x:c r="C1143" s="31" t="inlineStr">
        <x:is>
          <x:t xml:space="preserve">Приход</x:t>
        </x:is>
      </x:c>
      <x:c r="D1143" s="31" t="inlineStr">
        <x:is>
          <x:t xml:space="preserve">МАТ-0060</x:t>
        </x:is>
      </x:c>
      <x:c r="E1143" s="31" t="inlineStr">
        <x:is>
          <x:t xml:space="preserve">Фильтр сетчатый Ду50 / исп.2</x:t>
        </x:is>
      </x:c>
      <x:c r="F1143" s="31" t="n">
        <x:v>12</x:v>
      </x:c>
      <x:c r="G1143" s="31" t="inlineStr">
        <x:is>
          <x:t xml:space="preserve">шт</x:t>
        </x:is>
      </x:c>
      <x:c r="H1143" s="31" t="n"/>
      <x:c r="I1143" s="31" t="n"/>
      <x:c r="J1143" s="31" t="inlineStr">
        <x:is>
          <x:t xml:space="preserve">Основной склад</x:t>
        </x:is>
      </x:c>
      <x:c r="K1143" s="31" t="inlineStr">
        <x:is>
          <x:t xml:space="preserve">СОТР-035</x:t>
        </x:is>
      </x:c>
      <x:c r="L1143" s="31" t="inlineStr">
        <x:is>
          <x:t xml:space="preserve">ДОК-8871</x:t>
        </x:is>
      </x:c>
      <x:c r="M1143" s="31" t="inlineStr">
        <x:is>
          <x:t xml:space="preserve">Проведен</x:t>
        </x:is>
      </x:c>
    </x:row>
    <x:row r="1144">
      <x:c r="A1144" s="31" t="inlineStr">
        <x:is>
          <x:t xml:space="preserve">СКЛ-001143</x:t>
        </x:is>
      </x:c>
      <x:c r="B1144" s="31" t="n">
        <x:v>46062</x:v>
      </x:c>
      <x:c r="C1144" s="31" t="inlineStr">
        <x:is>
          <x:t xml:space="preserve">Приход</x:t>
        </x:is>
      </x:c>
      <x:c r="D1144" s="31" t="inlineStr">
        <x:is>
          <x:t xml:space="preserve">МАТ-0069</x:t>
        </x:is>
      </x:c>
      <x:c r="E1144" s="31" t="inlineStr">
        <x:is>
          <x:t xml:space="preserve">Эмаль полиуретановая</x:t>
        </x:is>
      </x:c>
      <x:c r="F1144" s="31" t="n">
        <x:v>71.25</x:v>
      </x:c>
      <x:c r="G1144" s="31" t="inlineStr">
        <x:is>
          <x:t xml:space="preserve">л</x:t>
        </x:is>
      </x:c>
      <x:c r="H1144" s="31" t="n"/>
      <x:c r="I1144" s="31" t="n"/>
      <x:c r="J1144" s="31" t="inlineStr">
        <x:is>
          <x:t xml:space="preserve">Цеховой склад</x:t>
        </x:is>
      </x:c>
      <x:c r="K1144" s="31" t="inlineStr">
        <x:is>
          <x:t xml:space="preserve">СОТР-038</x:t>
        </x:is>
      </x:c>
      <x:c r="L1144" s="31" t="inlineStr">
        <x:is>
          <x:t xml:space="preserve">ДОК-3569</x:t>
        </x:is>
      </x:c>
      <x:c r="M1144" s="31" t="inlineStr">
        <x:is>
          <x:t xml:space="preserve">Проведен</x:t>
        </x:is>
      </x:c>
    </x:row>
    <x:row r="1145">
      <x:c r="A1145" s="31" t="inlineStr">
        <x:is>
          <x:t xml:space="preserve">СКЛ-001144</x:t>
        </x:is>
      </x:c>
      <x:c r="B1145" s="31" t="n">
        <x:v>46052</x:v>
      </x:c>
      <x:c r="C1145" s="31" t="inlineStr">
        <x:is>
          <x:t xml:space="preserve">Приход</x:t>
        </x:is>
      </x:c>
      <x:c r="D1145" s="31" t="inlineStr">
        <x:is>
          <x:t xml:space="preserve">МАТ-0063</x:t>
        </x:is>
      </x:c>
      <x:c r="E1145" s="31" t="inlineStr">
        <x:is>
          <x:t xml:space="preserve">Кабель ВВГнг 3×2.5</x:t>
        </x:is>
      </x:c>
      <x:c r="F1145" s="31" t="n">
        <x:v>16</x:v>
      </x:c>
      <x:c r="G1145" s="31" t="inlineStr">
        <x:is>
          <x:t xml:space="preserve">шт</x:t>
        </x:is>
      </x:c>
      <x:c r="H1145" s="31" t="n"/>
      <x:c r="I1145" s="31" t="n"/>
      <x:c r="J1145" s="31" t="inlineStr">
        <x:is>
          <x:t xml:space="preserve">Основной склад</x:t>
        </x:is>
      </x:c>
      <x:c r="K1145" s="31" t="inlineStr">
        <x:is>
          <x:t xml:space="preserve">СОТР-039</x:t>
        </x:is>
      </x:c>
      <x:c r="L1145" s="31" t="inlineStr">
        <x:is>
          <x:t xml:space="preserve">ДОК-4235</x:t>
        </x:is>
      </x:c>
      <x:c r="M1145" s="31" t="inlineStr">
        <x:is>
          <x:t xml:space="preserve">Проведен</x:t>
        </x:is>
      </x:c>
    </x:row>
    <x:row r="1146">
      <x:c r="A1146" s="31" t="inlineStr">
        <x:is>
          <x:t xml:space="preserve">СКЛ-001145</x:t>
        </x:is>
      </x:c>
      <x:c r="B1146" s="31" t="n">
        <x:v>46061</x:v>
      </x:c>
      <x:c r="C1146" s="31" t="inlineStr">
        <x:is>
          <x:t xml:space="preserve">Выдача в производство</x:t>
        </x:is>
      </x:c>
      <x:c r="D1146" s="31" t="inlineStr">
        <x:is>
          <x:t xml:space="preserve">МАТ-0003</x:t>
        </x:is>
      </x:c>
      <x:c r="E1146" s="31" t="inlineStr">
        <x:is>
          <x:t xml:space="preserve">Лист стальной 09Г2С 12 мм / исп.2</x:t>
        </x:is>
      </x:c>
      <x:c r="F1146" s="31" t="n">
        <x:v>-45.96</x:v>
      </x:c>
      <x:c r="G1146" s="31" t="inlineStr">
        <x:is>
          <x:t xml:space="preserve">м</x:t>
        </x:is>
      </x:c>
      <x:c r="H1146" s="31" t="inlineStr">
        <x:is>
          <x:t xml:space="preserve">ЗК-1046</x:t>
        </x:is>
      </x:c>
      <x:c r="I1146" s="31" t="inlineStr">
        <x:is>
          <x:t xml:space="preserve">ПЗ-00039</x:t>
        </x:is>
      </x:c>
      <x:c r="J1146" s="31" t="inlineStr">
        <x:is>
          <x:t xml:space="preserve">Основной склад</x:t>
        </x:is>
      </x:c>
      <x:c r="K1146" s="31" t="inlineStr">
        <x:is>
          <x:t xml:space="preserve">СОТР-038</x:t>
        </x:is>
      </x:c>
      <x:c r="L1146" s="31" t="inlineStr">
        <x:is>
          <x:t xml:space="preserve">ДОК-2970</x:t>
        </x:is>
      </x:c>
      <x:c r="M1146" s="31" t="inlineStr">
        <x:is>
          <x:t xml:space="preserve">Проведен</x:t>
        </x:is>
      </x:c>
    </x:row>
    <x:row r="1147">
      <x:c r="A1147" s="31" t="inlineStr">
        <x:is>
          <x:t xml:space="preserve">СКЛ-001146</x:t>
        </x:is>
      </x:c>
      <x:c r="B1147" s="31" t="n">
        <x:v>46131</x:v>
      </x:c>
      <x:c r="C1147" s="31" t="inlineStr">
        <x:is>
          <x:t xml:space="preserve">Выдача в производство</x:t>
        </x:is>
      </x:c>
      <x:c r="D1147" s="31" t="inlineStr">
        <x:is>
          <x:t xml:space="preserve">МАТ-0040</x:t>
        </x:is>
      </x:c>
      <x:c r="E1147" s="31" t="inlineStr">
        <x:is>
          <x:t xml:space="preserve">модуль аналогового входа 4 канала</x:t>
        </x:is>
      </x:c>
      <x:c r="F1147" s="31" t="n">
        <x:v>-16</x:v>
      </x:c>
      <x:c r="G1147" s="31" t="inlineStr">
        <x:is>
          <x:t xml:space="preserve">шт</x:t>
        </x:is>
      </x:c>
      <x:c r="H1147" s="31" t="inlineStr">
        <x:is>
          <x:t xml:space="preserve">ЗК-1082</x:t>
        </x:is>
      </x:c>
      <x:c r="I1147" s="31" t="inlineStr">
        <x:is>
          <x:t xml:space="preserve">ПЗ-00221</x:t>
        </x:is>
      </x:c>
      <x:c r="J1147" s="31" t="inlineStr">
        <x:is>
          <x:t xml:space="preserve">Основной склад</x:t>
        </x:is>
      </x:c>
      <x:c r="K1147" s="31" t="inlineStr">
        <x:is>
          <x:t xml:space="preserve">СОТР-033</x:t>
        </x:is>
      </x:c>
      <x:c r="L1147" s="31" t="inlineStr">
        <x:is>
          <x:t xml:space="preserve">ДОК-9228</x:t>
        </x:is>
      </x:c>
      <x:c r="M1147" s="31" t="inlineStr">
        <x:is>
          <x:t xml:space="preserve">Проведен</x:t>
        </x:is>
      </x:c>
    </x:row>
    <x:row r="1148">
      <x:c r="A1148" s="31" t="inlineStr">
        <x:is>
          <x:t xml:space="preserve">СКЛ-001147</x:t>
        </x:is>
      </x:c>
      <x:c r="B1148" s="31" t="n">
        <x:v>46063</x:v>
      </x:c>
      <x:c r="C1148" s="31" t="inlineStr">
        <x:is>
          <x:t xml:space="preserve">Резерв</x:t>
        </x:is>
      </x:c>
      <x:c r="D1148" s="31" t="inlineStr">
        <x:is>
          <x:t xml:space="preserve">МАТ-0040</x:t>
        </x:is>
      </x:c>
      <x:c r="E1148" s="31" t="inlineStr">
        <x:is>
          <x:t xml:space="preserve">модуль аналогового входа 4 канала</x:t>
        </x:is>
      </x:c>
      <x:c r="F1148" s="31" t="n">
        <x:v>-6</x:v>
      </x:c>
      <x:c r="G1148" s="31" t="inlineStr">
        <x:is>
          <x:t xml:space="preserve">шт</x:t>
        </x:is>
      </x:c>
      <x:c r="H1148" s="31" t="inlineStr">
        <x:is>
          <x:t xml:space="preserve">ЗК-1125</x:t>
        </x:is>
      </x:c>
      <x:c r="I1148" s="31" t="n"/>
      <x:c r="J1148" s="31" t="inlineStr">
        <x:is>
          <x:t xml:space="preserve">Основной склад</x:t>
        </x:is>
      </x:c>
      <x:c r="K1148" s="31" t="inlineStr">
        <x:is>
          <x:t xml:space="preserve">СОТР-038</x:t>
        </x:is>
      </x:c>
      <x:c r="L1148" s="31" t="inlineStr">
        <x:is>
          <x:t xml:space="preserve">ДОК-7940</x:t>
        </x:is>
      </x:c>
      <x:c r="M1148" s="31" t="inlineStr">
        <x:is>
          <x:t xml:space="preserve">Проведен</x:t>
        </x:is>
      </x:c>
    </x:row>
    <x:row r="1149">
      <x:c r="A1149" s="31" t="inlineStr">
        <x:is>
          <x:t xml:space="preserve">СКЛ-001148</x:t>
        </x:is>
      </x:c>
      <x:c r="B1149" s="31" t="n">
        <x:v>46054</x:v>
      </x:c>
      <x:c r="C1149" s="31" t="inlineStr">
        <x:is>
          <x:t xml:space="preserve">Резерв</x:t>
        </x:is>
      </x:c>
      <x:c r="D1149" s="31" t="inlineStr">
        <x:is>
          <x:t xml:space="preserve">МАТ-0088</x:t>
        </x:is>
      </x:c>
      <x:c r="E1149" s="31" t="inlineStr">
        <x:is>
          <x:t xml:space="preserve">Ящик фанерный / исп.2</x:t>
        </x:is>
      </x:c>
      <x:c r="F1149" s="31" t="n">
        <x:v>-15</x:v>
      </x:c>
      <x:c r="G1149" s="31" t="inlineStr">
        <x:is>
          <x:t xml:space="preserve">шт</x:t>
        </x:is>
      </x:c>
      <x:c r="H1149" s="31" t="inlineStr">
        <x:is>
          <x:t xml:space="preserve">ЗК-1082</x:t>
        </x:is>
      </x:c>
      <x:c r="I1149" s="31" t="n"/>
      <x:c r="J1149" s="31" t="inlineStr">
        <x:is>
          <x:t xml:space="preserve">Основной склад</x:t>
        </x:is>
      </x:c>
      <x:c r="K1149" s="31" t="inlineStr">
        <x:is>
          <x:t xml:space="preserve">СОТР-037</x:t>
        </x:is>
      </x:c>
      <x:c r="L1149" s="31" t="inlineStr">
        <x:is>
          <x:t xml:space="preserve">ДОК-8540</x:t>
        </x:is>
      </x:c>
      <x:c r="M1149" s="31" t="inlineStr">
        <x:is>
          <x:t xml:space="preserve">Проведен</x:t>
        </x:is>
      </x:c>
    </x:row>
    <x:row r="1150">
      <x:c r="A1150" s="31" t="inlineStr">
        <x:is>
          <x:t xml:space="preserve">СКЛ-001149</x:t>
        </x:is>
      </x:c>
      <x:c r="B1150" s="31" t="n">
        <x:v>46080</x:v>
      </x:c>
      <x:c r="C1150" s="31" t="inlineStr">
        <x:is>
          <x:t xml:space="preserve">Резерв</x:t>
        </x:is>
      </x:c>
      <x:c r="D1150" s="31" t="inlineStr">
        <x:is>
          <x:t xml:space="preserve">МАТ-0043</x:t>
        </x:is>
      </x:c>
      <x:c r="E1150" s="31" t="inlineStr">
        <x:is>
          <x:t xml:space="preserve">Блок питания 24В</x:t>
        </x:is>
      </x:c>
      <x:c r="F1150" s="31" t="n">
        <x:v>-6</x:v>
      </x:c>
      <x:c r="G1150" s="31" t="inlineStr">
        <x:is>
          <x:t xml:space="preserve">шт</x:t>
        </x:is>
      </x:c>
      <x:c r="H1150" s="31" t="inlineStr">
        <x:is>
          <x:t xml:space="preserve">ЗК-1074</x:t>
        </x:is>
      </x:c>
      <x:c r="I1150" s="31" t="n"/>
      <x:c r="J1150" s="31" t="inlineStr">
        <x:is>
          <x:t xml:space="preserve">Брак/карантин</x:t>
        </x:is>
      </x:c>
      <x:c r="K1150" s="31" t="inlineStr">
        <x:is>
          <x:t xml:space="preserve">СОТР-034</x:t>
        </x:is>
      </x:c>
      <x:c r="L1150" s="31" t="inlineStr">
        <x:is>
          <x:t xml:space="preserve">ДОК-9237</x:t>
        </x:is>
      </x:c>
      <x:c r="M1150" s="31" t="inlineStr">
        <x:is>
          <x:t xml:space="preserve">Проведен</x:t>
        </x:is>
      </x:c>
    </x:row>
    <x:row r="1151">
      <x:c r="A1151" s="31" t="inlineStr">
        <x:is>
          <x:t xml:space="preserve">СКЛ-001150</x:t>
        </x:is>
      </x:c>
      <x:c r="B1151" s="31" t="n">
        <x:v>46088</x:v>
      </x:c>
      <x:c r="C1151" s="31" t="inlineStr">
        <x:is>
          <x:t xml:space="preserve">Выдача в производство</x:t>
        </x:is>
      </x:c>
      <x:c r="D1151" s="31" t="inlineStr">
        <x:is>
          <x:t xml:space="preserve">МАТ-0004</x:t>
        </x:is>
      </x:c>
      <x:c r="E1151" s="31" t="inlineStr">
        <x:is>
          <x:t xml:space="preserve">Лист стальной 09Г2С 12 мм / исп.3</x:t>
        </x:is>
      </x:c>
      <x:c r="F1151" s="31" t="n">
        <x:v>-60.92</x:v>
      </x:c>
      <x:c r="G1151" s="31" t="inlineStr">
        <x:is>
          <x:t xml:space="preserve">л</x:t>
        </x:is>
      </x:c>
      <x:c r="H1151" s="31" t="inlineStr">
        <x:is>
          <x:t xml:space="preserve">ЗК-1043</x:t>
        </x:is>
      </x:c>
      <x:c r="I1151" s="31" t="inlineStr">
        <x:is>
          <x:t xml:space="preserve">ПЗ-00150</x:t>
        </x:is>
      </x:c>
      <x:c r="J1151" s="31" t="inlineStr">
        <x:is>
          <x:t xml:space="preserve">Цеховой склад</x:t>
        </x:is>
      </x:c>
      <x:c r="K1151" s="31" t="inlineStr">
        <x:is>
          <x:t xml:space="preserve">СОТР-035</x:t>
        </x:is>
      </x:c>
      <x:c r="L1151" s="31" t="inlineStr">
        <x:is>
          <x:t xml:space="preserve">ДОК-5114</x:t>
        </x:is>
      </x:c>
      <x:c r="M1151" s="31" t="inlineStr">
        <x:is>
          <x:t xml:space="preserve">Проведен</x:t>
        </x:is>
      </x:c>
    </x:row>
    <x:row r="1152">
      <x:c r="A1152" s="31" t="inlineStr">
        <x:is>
          <x:t xml:space="preserve">СКЛ-001151</x:t>
        </x:is>
      </x:c>
      <x:c r="B1152" s="31" t="n">
        <x:v>46055</x:v>
      </x:c>
      <x:c r="C1152" s="31" t="inlineStr">
        <x:is>
          <x:t xml:space="preserve">Корректировка</x:t>
        </x:is>
      </x:c>
      <x:c r="D1152" s="31" t="inlineStr">
        <x:is>
          <x:t xml:space="preserve">МАТ-0017</x:t>
        </x:is>
      </x:c>
      <x:c r="E1152" s="31" t="inlineStr">
        <x:is>
          <x:t xml:space="preserve">Насос шестеренный 7.5 кВт</x:t>
        </x:is>
      </x:c>
      <x:c r="F1152" s="31" t="n">
        <x:v>16</x:v>
      </x:c>
      <x:c r="G1152" s="31" t="inlineStr">
        <x:is>
          <x:t xml:space="preserve">шт</x:t>
        </x:is>
      </x:c>
      <x:c r="H1152" s="31" t="n"/>
      <x:c r="I1152" s="31" t="n"/>
      <x:c r="J1152" s="31" t="inlineStr">
        <x:is>
          <x:t xml:space="preserve">Брак/карантин</x:t>
        </x:is>
      </x:c>
      <x:c r="K1152" s="31" t="inlineStr">
        <x:is>
          <x:t xml:space="preserve">СОТР-037</x:t>
        </x:is>
      </x:c>
      <x:c r="L1152" s="31" t="inlineStr">
        <x:is>
          <x:t xml:space="preserve">ДОК-6155</x:t>
        </x:is>
      </x:c>
      <x:c r="M1152" s="31" t="inlineStr">
        <x:is>
          <x:t xml:space="preserve">Проведен</x:t>
        </x:is>
      </x:c>
    </x:row>
    <x:row r="1153">
      <x:c r="A1153" s="31" t="inlineStr">
        <x:is>
          <x:t xml:space="preserve">СКЛ-001152</x:t>
        </x:is>
      </x:c>
      <x:c r="B1153" s="31" t="n">
        <x:v>46173</x:v>
      </x:c>
      <x:c r="C1153" s="31" t="inlineStr">
        <x:is>
          <x:t xml:space="preserve">Возврат</x:t>
        </x:is>
      </x:c>
      <x:c r="D1153" s="31" t="inlineStr">
        <x:is>
          <x:t xml:space="preserve">МАТ-0024</x:t>
        </x:is>
      </x:c>
      <x:c r="E1153" s="31" t="inlineStr">
        <x:is>
          <x:t xml:space="preserve">Рабочее колесо / исп.2</x:t>
        </x:is>
      </x:c>
      <x:c r="F1153" s="31" t="n">
        <x:v>3</x:v>
      </x:c>
      <x:c r="G1153" s="31" t="inlineStr">
        <x:is>
          <x:t xml:space="preserve">шт</x:t>
        </x:is>
      </x:c>
      <x:c r="H1153" s="31" t="n"/>
      <x:c r="I1153" s="31" t="n"/>
      <x:c r="J1153" s="31" t="inlineStr">
        <x:is>
          <x:t xml:space="preserve">Основной склад</x:t>
        </x:is>
      </x:c>
      <x:c r="K1153" s="31" t="inlineStr">
        <x:is>
          <x:t xml:space="preserve">СОТР-037</x:t>
        </x:is>
      </x:c>
      <x:c r="L1153" s="31" t="inlineStr">
        <x:is>
          <x:t xml:space="preserve">ДОК-2380</x:t>
        </x:is>
      </x:c>
      <x:c r="M1153" s="31" t="inlineStr">
        <x:is>
          <x:t xml:space="preserve">Проведен</x:t>
        </x:is>
      </x:c>
    </x:row>
    <x:row r="1154">
      <x:c r="A1154" s="31" t="inlineStr">
        <x:is>
          <x:t xml:space="preserve">СКЛ-001153</x:t>
        </x:is>
      </x:c>
      <x:c r="B1154" s="31" t="n">
        <x:v>46037</x:v>
      </x:c>
      <x:c r="C1154" s="31" t="inlineStr">
        <x:is>
          <x:t xml:space="preserve">Корректировка</x:t>
        </x:is>
      </x:c>
      <x:c r="D1154" s="31" t="inlineStr">
        <x:is>
          <x:t xml:space="preserve">МАТ-0078</x:t>
        </x:is>
      </x:c>
      <x:c r="E1154" s="31" t="inlineStr">
        <x:is>
          <x:t xml:space="preserve">Гайка М12</x:t>
        </x:is>
      </x:c>
      <x:c r="F1154" s="31" t="n">
        <x:v>15</x:v>
      </x:c>
      <x:c r="G1154" s="31" t="inlineStr">
        <x:is>
          <x:t xml:space="preserve">шт</x:t>
        </x:is>
      </x:c>
      <x:c r="H1154" s="31" t="n"/>
      <x:c r="I1154" s="31" t="n"/>
      <x:c r="J1154" s="31" t="inlineStr">
        <x:is>
          <x:t xml:space="preserve">Основной склад</x:t>
        </x:is>
      </x:c>
      <x:c r="K1154" s="31" t="inlineStr">
        <x:is>
          <x:t xml:space="preserve">СОТР-039</x:t>
        </x:is>
      </x:c>
      <x:c r="L1154" s="31" t="inlineStr">
        <x:is>
          <x:t xml:space="preserve">ДОК-8003</x:t>
        </x:is>
      </x:c>
      <x:c r="M1154" s="31" t="inlineStr">
        <x:is>
          <x:t xml:space="preserve">Требует проверки</x:t>
        </x:is>
      </x:c>
    </x:row>
    <x:row r="1155">
      <x:c r="A1155" s="31" t="inlineStr">
        <x:is>
          <x:t xml:space="preserve">СКЛ-001154</x:t>
        </x:is>
      </x:c>
      <x:c r="B1155" s="31" t="n">
        <x:v>46084</x:v>
      </x:c>
      <x:c r="C1155" s="31" t="inlineStr">
        <x:is>
          <x:t xml:space="preserve">Приход</x:t>
        </x:is>
      </x:c>
      <x:c r="D1155" s="31" t="inlineStr">
        <x:is>
          <x:t xml:space="preserve">МАТ-0078</x:t>
        </x:is>
      </x:c>
      <x:c r="E1155" s="31" t="inlineStr">
        <x:is>
          <x:t xml:space="preserve">Гайка М12</x:t>
        </x:is>
      </x:c>
      <x:c r="F1155" s="31" t="n">
        <x:v>4</x:v>
      </x:c>
      <x:c r="G1155" s="31" t="inlineStr">
        <x:is>
          <x:t xml:space="preserve">шт</x:t>
        </x:is>
      </x:c>
      <x:c r="H1155" s="31" t="n"/>
      <x:c r="I1155" s="31" t="n"/>
      <x:c r="J1155" s="31" t="inlineStr">
        <x:is>
          <x:t xml:space="preserve">Основной склад</x:t>
        </x:is>
      </x:c>
      <x:c r="K1155" s="31" t="inlineStr">
        <x:is>
          <x:t xml:space="preserve">СОТР-038</x:t>
        </x:is>
      </x:c>
      <x:c r="L1155" s="31" t="inlineStr">
        <x:is>
          <x:t xml:space="preserve">ДОК-5878</x:t>
        </x:is>
      </x:c>
      <x:c r="M1155" s="31" t="inlineStr">
        <x:is>
          <x:t xml:space="preserve">Проведен</x:t>
        </x:is>
      </x:c>
    </x:row>
    <x:row r="1156">
      <x:c r="A1156" s="31" t="inlineStr">
        <x:is>
          <x:t xml:space="preserve">СКЛ-001155</x:t>
        </x:is>
      </x:c>
      <x:c r="B1156" s="31" t="n">
        <x:v>46106</x:v>
      </x:c>
      <x:c r="C1156" s="31" t="inlineStr">
        <x:is>
          <x:t xml:space="preserve">Приход</x:t>
        </x:is>
      </x:c>
      <x:c r="D1156" s="31" t="inlineStr">
        <x:is>
          <x:t xml:space="preserve">МАТ-0071</x:t>
        </x:is>
      </x:c>
      <x:c r="E1156" s="31" t="inlineStr">
        <x:is>
          <x:t xml:space="preserve">Эмаль полиуретановая / исп.3</x:t>
        </x:is>
      </x:c>
      <x:c r="F1156" s="31" t="n">
        <x:v>32.62</x:v>
      </x:c>
      <x:c r="G1156" s="31" t="inlineStr">
        <x:is>
          <x:t xml:space="preserve">кг</x:t>
        </x:is>
      </x:c>
      <x:c r="H1156" s="31" t="n"/>
      <x:c r="I1156" s="31" t="n"/>
      <x:c r="J1156" s="31" t="inlineStr">
        <x:is>
          <x:t xml:space="preserve">Основной склад</x:t>
        </x:is>
      </x:c>
      <x:c r="K1156" s="31" t="inlineStr">
        <x:is>
          <x:t xml:space="preserve">СОТР-037</x:t>
        </x:is>
      </x:c>
      <x:c r="L1156" s="31" t="inlineStr">
        <x:is>
          <x:t xml:space="preserve">ДОК-1132</x:t>
        </x:is>
      </x:c>
      <x:c r="M1156" s="31" t="inlineStr">
        <x:is>
          <x:t xml:space="preserve">Проведен</x:t>
        </x:is>
      </x:c>
    </x:row>
    <x:row r="1157">
      <x:c r="A1157" s="31" t="inlineStr">
        <x:is>
          <x:t xml:space="preserve">СКЛ-001156</x:t>
        </x:is>
      </x:c>
      <x:c r="B1157" s="31" t="n">
        <x:v>46053</x:v>
      </x:c>
      <x:c r="C1157" s="31" t="inlineStr">
        <x:is>
          <x:t xml:space="preserve">Приход</x:t>
        </x:is>
      </x:c>
      <x:c r="D1157" s="31" t="inlineStr">
        <x:is>
          <x:t xml:space="preserve">МАТ-0047</x:t>
        </x:is>
      </x:c>
      <x:c r="E1157" s="31" t="inlineStr">
        <x:is>
          <x:t xml:space="preserve">Контактор 25А / исп.2</x:t>
        </x:is>
      </x:c>
      <x:c r="F1157" s="31" t="n">
        <x:v>6</x:v>
      </x:c>
      <x:c r="G1157" s="31" t="inlineStr">
        <x:is>
          <x:t xml:space="preserve">шт</x:t>
        </x:is>
      </x:c>
      <x:c r="H1157" s="31" t="n"/>
      <x:c r="I1157" s="31" t="n"/>
      <x:c r="J1157" s="31" t="inlineStr">
        <x:is>
          <x:t xml:space="preserve">Основной склад</x:t>
        </x:is>
      </x:c>
      <x:c r="K1157" s="31" t="inlineStr">
        <x:is>
          <x:t xml:space="preserve">СОТР-034</x:t>
        </x:is>
      </x:c>
      <x:c r="L1157" s="31" t="inlineStr">
        <x:is>
          <x:t xml:space="preserve">ДОК-6526</x:t>
        </x:is>
      </x:c>
      <x:c r="M1157" s="31" t="inlineStr">
        <x:is>
          <x:t xml:space="preserve">Черновик</x:t>
        </x:is>
      </x:c>
    </x:row>
    <x:row r="1158">
      <x:c r="A1158" s="31" t="inlineStr">
        <x:is>
          <x:t xml:space="preserve">СКЛ-001157</x:t>
        </x:is>
      </x:c>
      <x:c r="B1158" s="31" t="n">
        <x:v>46105</x:v>
      </x:c>
      <x:c r="C1158" s="31" t="inlineStr">
        <x:is>
          <x:t xml:space="preserve">Резерв</x:t>
        </x:is>
      </x:c>
      <x:c r="D1158" s="31" t="inlineStr">
        <x:is>
          <x:t xml:space="preserve">МАТ-0052</x:t>
        </x:is>
      </x:c>
      <x:c r="E1158" s="31" t="inlineStr">
        <x:is>
          <x:t xml:space="preserve">Кран шаровой Ду50 / исп.2</x:t>
        </x:is>
      </x:c>
      <x:c r="F1158" s="31" t="n">
        <x:v>-3</x:v>
      </x:c>
      <x:c r="G1158" s="31" t="inlineStr">
        <x:is>
          <x:t xml:space="preserve">шт</x:t>
        </x:is>
      </x:c>
      <x:c r="H1158" s="31" t="inlineStr">
        <x:is>
          <x:t xml:space="preserve">ЗК-1121</x:t>
        </x:is>
      </x:c>
      <x:c r="I1158" s="31" t="n"/>
      <x:c r="J1158" s="31" t="inlineStr">
        <x:is>
          <x:t xml:space="preserve">Основной склад</x:t>
        </x:is>
      </x:c>
      <x:c r="K1158" s="31" t="inlineStr">
        <x:is>
          <x:t xml:space="preserve">СОТР-037</x:t>
        </x:is>
      </x:c>
      <x:c r="L1158" s="31" t="inlineStr">
        <x:is>
          <x:t xml:space="preserve">ДОК-8356</x:t>
        </x:is>
      </x:c>
      <x:c r="M1158" s="31" t="inlineStr">
        <x:is>
          <x:t xml:space="preserve">Проведен</x:t>
        </x:is>
      </x:c>
    </x:row>
    <x:row r="1159">
      <x:c r="A1159" s="31" t="inlineStr">
        <x:is>
          <x:t xml:space="preserve">СКЛ-001158</x:t>
        </x:is>
      </x:c>
      <x:c r="B1159" s="31" t="n">
        <x:v>46031</x:v>
      </x:c>
      <x:c r="C1159" s="31" t="inlineStr">
        <x:is>
          <x:t xml:space="preserve">Приход</x:t>
        </x:is>
      </x:c>
      <x:c r="D1159" s="31" t="inlineStr">
        <x:is>
          <x:t xml:space="preserve">МАТ-0030</x:t>
        </x:is>
      </x:c>
      <x:c r="E1159" s="31" t="inlineStr">
        <x:is>
          <x:t xml:space="preserve">Частотный преобразователь 22 кВт / исп.2</x:t>
        </x:is>
      </x:c>
      <x:c r="F1159" s="31" t="n">
        <x:v>16</x:v>
      </x:c>
      <x:c r="G1159" s="31" t="inlineStr">
        <x:is>
          <x:t xml:space="preserve">шт</x:t>
        </x:is>
      </x:c>
      <x:c r="H1159" s="31" t="n"/>
      <x:c r="I1159" s="31" t="n"/>
      <x:c r="J1159" s="31" t="inlineStr">
        <x:is>
          <x:t xml:space="preserve">Основной склад</x:t>
        </x:is>
      </x:c>
      <x:c r="K1159" s="31" t="inlineStr">
        <x:is>
          <x:t xml:space="preserve">СОТР-034</x:t>
        </x:is>
      </x:c>
      <x:c r="L1159" s="31" t="inlineStr">
        <x:is>
          <x:t xml:space="preserve">ДОК-7057</x:t>
        </x:is>
      </x:c>
      <x:c r="M1159" s="31" t="inlineStr">
        <x:is>
          <x:t xml:space="preserve">Проведен</x:t>
        </x:is>
      </x:c>
    </x:row>
    <x:row r="1160">
      <x:c r="A1160" s="31" t="inlineStr">
        <x:is>
          <x:t xml:space="preserve">СКЛ-001159</x:t>
        </x:is>
      </x:c>
      <x:c r="B1160" s="31" t="n">
        <x:v>46086</x:v>
      </x:c>
      <x:c r="C1160" s="31" t="inlineStr">
        <x:is>
          <x:t xml:space="preserve">Приход</x:t>
        </x:is>
      </x:c>
      <x:c r="D1160" s="31" t="inlineStr">
        <x:is>
          <x:t xml:space="preserve">МАТ-0024</x:t>
        </x:is>
      </x:c>
      <x:c r="E1160" s="31" t="inlineStr">
        <x:is>
          <x:t xml:space="preserve">Рабочее колесо / исп.2</x:t>
        </x:is>
      </x:c>
      <x:c r="F1160" s="31" t="n">
        <x:v>9</x:v>
      </x:c>
      <x:c r="G1160" s="31" t="inlineStr">
        <x:is>
          <x:t xml:space="preserve">шт</x:t>
        </x:is>
      </x:c>
      <x:c r="H1160" s="31" t="n"/>
      <x:c r="I1160" s="31" t="n"/>
      <x:c r="J1160" s="31" t="inlineStr">
        <x:is>
          <x:t xml:space="preserve">Основной склад</x:t>
        </x:is>
      </x:c>
      <x:c r="K1160" s="31" t="inlineStr">
        <x:is>
          <x:t xml:space="preserve">СОТР-037</x:t>
        </x:is>
      </x:c>
      <x:c r="L1160" s="31" t="inlineStr">
        <x:is>
          <x:t xml:space="preserve">ДОК-7362</x:t>
        </x:is>
      </x:c>
      <x:c r="M1160" s="31" t="inlineStr">
        <x:is>
          <x:t xml:space="preserve">Проведен</x:t>
        </x:is>
      </x:c>
    </x:row>
    <x:row r="1161">
      <x:c r="A1161" s="31" t="inlineStr">
        <x:is>
          <x:t xml:space="preserve">СКЛ-001160</x:t>
        </x:is>
      </x:c>
      <x:c r="B1161" s="31" t="n">
        <x:v>46089</x:v>
      </x:c>
      <x:c r="C1161" s="31" t="inlineStr">
        <x:is>
          <x:t xml:space="preserve">Выдача в производство</x:t>
        </x:is>
      </x:c>
      <x:c r="D1161" s="31" t="inlineStr">
        <x:is>
          <x:t xml:space="preserve">МАТ-0025</x:t>
        </x:is>
      </x:c>
      <x:c r="E1161" s="31" t="inlineStr">
        <x:is>
          <x:t xml:space="preserve">Двигатель 7.5 кВт</x:t>
        </x:is>
      </x:c>
      <x:c r="F1161" s="31" t="n">
        <x:v>-17</x:v>
      </x:c>
      <x:c r="G1161" s="31" t="inlineStr">
        <x:is>
          <x:t xml:space="preserve">шт</x:t>
        </x:is>
      </x:c>
      <x:c r="H1161" s="31" t="inlineStr">
        <x:is>
          <x:t xml:space="preserve">ЗК-1097</x:t>
        </x:is>
      </x:c>
      <x:c r="I1161" s="31" t="inlineStr">
        <x:is>
          <x:t xml:space="preserve">ПЗ-00262</x:t>
        </x:is>
      </x:c>
      <x:c r="J1161" s="31" t="inlineStr">
        <x:is>
          <x:t xml:space="preserve">Основной склад</x:t>
        </x:is>
      </x:c>
      <x:c r="K1161" s="31" t="inlineStr">
        <x:is>
          <x:t xml:space="preserve">СОТР-038</x:t>
        </x:is>
      </x:c>
      <x:c r="L1161" s="31" t="inlineStr">
        <x:is>
          <x:t xml:space="preserve">ДОК-4854</x:t>
        </x:is>
      </x:c>
      <x:c r="M1161" s="31" t="inlineStr">
        <x:is>
          <x:t xml:space="preserve">Проведен</x:t>
        </x:is>
      </x:c>
    </x:row>
    <x:row r="1162">
      <x:c r="A1162" s="31" t="inlineStr">
        <x:is>
          <x:t xml:space="preserve">СКЛ-001161</x:t>
        </x:is>
      </x:c>
      <x:c r="B1162" s="31" t="n">
        <x:v>46110</x:v>
      </x:c>
      <x:c r="C1162" s="31" t="inlineStr">
        <x:is>
          <x:t xml:space="preserve">Корректировка</x:t>
        </x:is>
      </x:c>
      <x:c r="D1162" s="31" t="inlineStr">
        <x:is>
          <x:t xml:space="preserve">МАТ-0039</x:t>
        </x:is>
      </x:c>
      <x:c r="E1162" s="31" t="inlineStr">
        <x:is>
          <x:t xml:space="preserve">ПЛК 24 дискр. входа / 16 дискр. выхода / исп.2</x:t>
        </x:is>
      </x:c>
      <x:c r="F1162" s="31" t="n">
        <x:v>10</x:v>
      </x:c>
      <x:c r="G1162" s="31" t="inlineStr">
        <x:is>
          <x:t xml:space="preserve">шт</x:t>
        </x:is>
      </x:c>
      <x:c r="H1162" s="31" t="n"/>
      <x:c r="I1162" s="31" t="n"/>
      <x:c r="J1162" s="31" t="inlineStr">
        <x:is>
          <x:t xml:space="preserve">Цеховой склад</x:t>
        </x:is>
      </x:c>
      <x:c r="K1162" s="31" t="inlineStr">
        <x:is>
          <x:t xml:space="preserve">СОТР-033</x:t>
        </x:is>
      </x:c>
      <x:c r="L1162" s="31" t="inlineStr">
        <x:is>
          <x:t xml:space="preserve">ДОК-1497</x:t>
        </x:is>
      </x:c>
      <x:c r="M1162" s="31" t="inlineStr">
        <x:is>
          <x:t xml:space="preserve">Проведен</x:t>
        </x:is>
      </x:c>
    </x:row>
    <x:row r="1163">
      <x:c r="A1163" s="31" t="inlineStr">
        <x:is>
          <x:t xml:space="preserve">СКЛ-001162</x:t>
        </x:is>
      </x:c>
      <x:c r="B1163" s="31" t="n">
        <x:v>46175</x:v>
      </x:c>
      <x:c r="C1163" s="31" t="inlineStr">
        <x:is>
          <x:t xml:space="preserve">Выдача в производство</x:t>
        </x:is>
      </x:c>
      <x:c r="D1163" s="31" t="inlineStr">
        <x:is>
          <x:t xml:space="preserve">МАТ-0025</x:t>
        </x:is>
      </x:c>
      <x:c r="E1163" s="31" t="inlineStr">
        <x:is>
          <x:t xml:space="preserve">Двигатель 7.5 кВт</x:t>
        </x:is>
      </x:c>
      <x:c r="F1163" s="31" t="n">
        <x:v>-7</x:v>
      </x:c>
      <x:c r="G1163" s="31" t="inlineStr">
        <x:is>
          <x:t xml:space="preserve">шт</x:t>
        </x:is>
      </x:c>
      <x:c r="H1163" s="31" t="inlineStr">
        <x:is>
          <x:t xml:space="preserve">ЗК-1084</x:t>
        </x:is>
      </x:c>
      <x:c r="I1163" s="31" t="inlineStr">
        <x:is>
          <x:t xml:space="preserve">ПЗ-00230</x:t>
        </x:is>
      </x:c>
      <x:c r="J1163" s="31" t="inlineStr">
        <x:is>
          <x:t xml:space="preserve">Основной склад</x:t>
        </x:is>
      </x:c>
      <x:c r="K1163" s="31" t="inlineStr">
        <x:is>
          <x:t xml:space="preserve">СОТР-024</x:t>
        </x:is>
      </x:c>
      <x:c r="L1163" s="31" t="inlineStr">
        <x:is>
          <x:t xml:space="preserve">ДОК-7176</x:t>
        </x:is>
      </x:c>
      <x:c r="M1163" s="31" t="inlineStr">
        <x:is>
          <x:t xml:space="preserve">Проведен</x:t>
        </x:is>
      </x:c>
    </x:row>
    <x:row r="1164">
      <x:c r="A1164" s="31" t="inlineStr">
        <x:is>
          <x:t xml:space="preserve">СКЛ-001163</x:t>
        </x:is>
      </x:c>
      <x:c r="B1164" s="31" t="n">
        <x:v>46188</x:v>
      </x:c>
      <x:c r="C1164" s="31" t="inlineStr">
        <x:is>
          <x:t xml:space="preserve">Резерв</x:t>
        </x:is>
      </x:c>
      <x:c r="D1164" s="31" t="inlineStr">
        <x:is>
          <x:t xml:space="preserve">МАТ-0003</x:t>
        </x:is>
      </x:c>
      <x:c r="E1164" s="31" t="inlineStr">
        <x:is>
          <x:t xml:space="preserve">Лист стальной 09Г2С 12 мм / исп.2</x:t>
        </x:is>
      </x:c>
      <x:c r="F1164" s="31" t="n">
        <x:v>-24.27</x:v>
      </x:c>
      <x:c r="G1164" s="31" t="inlineStr">
        <x:is>
          <x:t xml:space="preserve">м</x:t>
        </x:is>
      </x:c>
      <x:c r="H1164" s="31" t="inlineStr">
        <x:is>
          <x:t xml:space="preserve">ЗК-1116</x:t>
        </x:is>
      </x:c>
      <x:c r="I1164" s="31" t="n"/>
      <x:c r="J1164" s="31" t="inlineStr">
        <x:is>
          <x:t xml:space="preserve">Основной склад</x:t>
        </x:is>
      </x:c>
      <x:c r="K1164" s="31" t="inlineStr">
        <x:is>
          <x:t xml:space="preserve">СОТР-034</x:t>
        </x:is>
      </x:c>
      <x:c r="L1164" s="31" t="inlineStr">
        <x:is>
          <x:t xml:space="preserve">ДОК-2251</x:t>
        </x:is>
      </x:c>
      <x:c r="M1164" s="31" t="inlineStr">
        <x:is>
          <x:t xml:space="preserve">Проведен</x:t>
        </x:is>
      </x:c>
    </x:row>
    <x:row r="1165">
      <x:c r="A1165" s="31" t="inlineStr">
        <x:is>
          <x:t xml:space="preserve">СКЛ-001164</x:t>
        </x:is>
      </x:c>
      <x:c r="B1165" s="31" t="n">
        <x:v>46195</x:v>
      </x:c>
      <x:c r="C1165" s="31" t="inlineStr">
        <x:is>
          <x:t xml:space="preserve">Резерв</x:t>
        </x:is>
      </x:c>
      <x:c r="D1165" s="31" t="inlineStr">
        <x:is>
          <x:t xml:space="preserve">МАТ-0023</x:t>
        </x:is>
      </x:c>
      <x:c r="E1165" s="31" t="inlineStr">
        <x:is>
          <x:t xml:space="preserve">Рабочее колесо</x:t>
        </x:is>
      </x:c>
      <x:c r="F1165" s="31" t="n">
        <x:v>-7</x:v>
      </x:c>
      <x:c r="G1165" s="31" t="inlineStr">
        <x:is>
          <x:t xml:space="preserve">шт</x:t>
        </x:is>
      </x:c>
      <x:c r="H1165" s="31" t="inlineStr">
        <x:is>
          <x:t xml:space="preserve">ЗК-1053</x:t>
        </x:is>
      </x:c>
      <x:c r="I1165" s="31" t="n"/>
      <x:c r="J1165" s="31" t="inlineStr">
        <x:is>
          <x:t xml:space="preserve">Цеховой склад</x:t>
        </x:is>
      </x:c>
      <x:c r="K1165" s="31" t="inlineStr">
        <x:is>
          <x:t xml:space="preserve">СОТР-037</x:t>
        </x:is>
      </x:c>
      <x:c r="L1165" s="31" t="inlineStr">
        <x:is>
          <x:t xml:space="preserve">ДОК-1821</x:t>
        </x:is>
      </x:c>
      <x:c r="M1165" s="31" t="inlineStr">
        <x:is>
          <x:t xml:space="preserve">Проведен</x:t>
        </x:is>
      </x:c>
    </x:row>
    <x:row r="1166">
      <x:c r="A1166" s="31" t="inlineStr">
        <x:is>
          <x:t xml:space="preserve">СКЛ-001165</x:t>
        </x:is>
      </x:c>
      <x:c r="B1166" s="31" t="n">
        <x:v>46178</x:v>
      </x:c>
      <x:c r="C1166" s="31" t="inlineStr">
        <x:is>
          <x:t xml:space="preserve">Резерв</x:t>
        </x:is>
      </x:c>
      <x:c r="D1166" s="31" t="inlineStr">
        <x:is>
          <x:t xml:space="preserve">МАТ-0085</x:t>
        </x:is>
      </x:c>
      <x:c r="E1166" s="31" t="inlineStr">
        <x:is>
          <x:t xml:space="preserve">Пленка стрейч</x:t>
        </x:is>
      </x:c>
      <x:c r="F1166" s="31" t="n">
        <x:v>-2</x:v>
      </x:c>
      <x:c r="G1166" s="31" t="inlineStr">
        <x:is>
          <x:t xml:space="preserve">шт</x:t>
        </x:is>
      </x:c>
      <x:c r="H1166" s="31" t="inlineStr">
        <x:is>
          <x:t xml:space="preserve">ЗК-1038</x:t>
        </x:is>
      </x:c>
      <x:c r="I1166" s="31" t="n"/>
      <x:c r="J1166" s="31" t="inlineStr">
        <x:is>
          <x:t xml:space="preserve">Основной склад</x:t>
        </x:is>
      </x:c>
      <x:c r="K1166" s="31" t="inlineStr">
        <x:is>
          <x:t xml:space="preserve">СОТР-035</x:t>
        </x:is>
      </x:c>
      <x:c r="L1166" s="31" t="inlineStr">
        <x:is>
          <x:t xml:space="preserve">ДОК-9235</x:t>
        </x:is>
      </x:c>
      <x:c r="M1166" s="31" t="inlineStr">
        <x:is>
          <x:t xml:space="preserve">Проведен</x:t>
        </x:is>
      </x:c>
    </x:row>
    <x:row r="1167">
      <x:c r="A1167" s="31" t="inlineStr">
        <x:is>
          <x:t xml:space="preserve">СКЛ-001166</x:t>
        </x:is>
      </x:c>
      <x:c r="B1167" s="31" t="n">
        <x:v>46086</x:v>
      </x:c>
      <x:c r="C1167" s="31" t="inlineStr">
        <x:is>
          <x:t xml:space="preserve">Приход</x:t>
        </x:is>
      </x:c>
      <x:c r="D1167" s="31" t="inlineStr">
        <x:is>
          <x:t xml:space="preserve">МАТ-0016</x:t>
        </x:is>
      </x:c>
      <x:c r="E1167" s="31" t="inlineStr">
        <x:is>
          <x:t xml:space="preserve">Насос центробежный 15 кВт / исп.2</x:t>
        </x:is>
      </x:c>
      <x:c r="F1167" s="31" t="n">
        <x:v>1</x:v>
      </x:c>
      <x:c r="G1167" s="31" t="inlineStr">
        <x:is>
          <x:t xml:space="preserve">шт</x:t>
        </x:is>
      </x:c>
      <x:c r="H1167" s="31" t="n"/>
      <x:c r="I1167" s="31" t="n"/>
      <x:c r="J1167" s="31" t="inlineStr">
        <x:is>
          <x:t xml:space="preserve">Основной склад</x:t>
        </x:is>
      </x:c>
      <x:c r="K1167" s="31" t="inlineStr">
        <x:is>
          <x:t xml:space="preserve">СОТР-035</x:t>
        </x:is>
      </x:c>
      <x:c r="L1167" s="31" t="inlineStr">
        <x:is>
          <x:t xml:space="preserve">ДОК-1670</x:t>
        </x:is>
      </x:c>
      <x:c r="M1167" s="31" t="inlineStr">
        <x:is>
          <x:t xml:space="preserve">Проведен</x:t>
        </x:is>
      </x:c>
    </x:row>
    <x:row r="1168">
      <x:c r="A1168" s="31" t="inlineStr">
        <x:is>
          <x:t xml:space="preserve">СКЛ-001167</x:t>
        </x:is>
      </x:c>
      <x:c r="B1168" s="31" t="n">
        <x:v>46156</x:v>
      </x:c>
      <x:c r="C1168" s="31" t="inlineStr">
        <x:is>
          <x:t xml:space="preserve">Выдача в производство</x:t>
        </x:is>
      </x:c>
      <x:c r="D1168" s="31" t="inlineStr">
        <x:is>
          <x:t xml:space="preserve">МАТ-0001</x:t>
        </x:is>
      </x:c>
      <x:c r="E1168" s="31" t="inlineStr">
        <x:is>
          <x:t xml:space="preserve">Лист стальной 09Г2С 8 мм</x:t>
        </x:is>
      </x:c>
      <x:c r="F1168" s="31" t="n">
        <x:v>-75.28</x:v>
      </x:c>
      <x:c r="G1168" s="31" t="inlineStr">
        <x:is>
          <x:t xml:space="preserve">м</x:t>
        </x:is>
      </x:c>
      <x:c r="H1168" s="31" t="inlineStr">
        <x:is>
          <x:t xml:space="preserve">ЗК-1074</x:t>
        </x:is>
      </x:c>
      <x:c r="I1168" s="31" t="inlineStr">
        <x:is>
          <x:t xml:space="preserve">ПЗ-00179</x:t>
        </x:is>
      </x:c>
      <x:c r="J1168" s="31" t="inlineStr">
        <x:is>
          <x:t xml:space="preserve">Брак/карантин</x:t>
        </x:is>
      </x:c>
      <x:c r="K1168" s="31" t="inlineStr">
        <x:is>
          <x:t xml:space="preserve">СОТР-033</x:t>
        </x:is>
      </x:c>
      <x:c r="L1168" s="31" t="inlineStr">
        <x:is>
          <x:t xml:space="preserve">ДОК-8120</x:t>
        </x:is>
      </x:c>
      <x:c r="M1168" s="31" t="inlineStr">
        <x:is>
          <x:t xml:space="preserve">Проведен</x:t>
        </x:is>
      </x:c>
    </x:row>
    <x:row r="1169">
      <x:c r="A1169" s="31" t="inlineStr">
        <x:is>
          <x:t xml:space="preserve">СКЛ-001168</x:t>
        </x:is>
      </x:c>
      <x:c r="B1169" s="31" t="n">
        <x:v>46091</x:v>
      </x:c>
      <x:c r="C1169" s="31" t="inlineStr">
        <x:is>
          <x:t xml:space="preserve">Выдача в производство</x:t>
        </x:is>
      </x:c>
      <x:c r="D1169" s="31" t="inlineStr">
        <x:is>
          <x:t xml:space="preserve">МАТ-0008</x:t>
        </x:is>
      </x:c>
      <x:c r="E1169" s="31" t="inlineStr">
        <x:is>
          <x:t xml:space="preserve">Швеллер 12П</x:t>
        </x:is>
      </x:c>
      <x:c r="F1169" s="31" t="n">
        <x:v>-2</x:v>
      </x:c>
      <x:c r="G1169" s="31" t="inlineStr">
        <x:is>
          <x:t xml:space="preserve">шт</x:t>
        </x:is>
      </x:c>
      <x:c r="H1169" s="31" t="inlineStr">
        <x:is>
          <x:t xml:space="preserve">ЗК-1078</x:t>
        </x:is>
      </x:c>
      <x:c r="I1169" s="31" t="inlineStr">
        <x:is>
          <x:t xml:space="preserve">ПЗ-00263</x:t>
        </x:is>
      </x:c>
      <x:c r="J1169" s="31" t="inlineStr">
        <x:is>
          <x:t xml:space="preserve">Основной склад</x:t>
        </x:is>
      </x:c>
      <x:c r="K1169" s="31" t="inlineStr">
        <x:is>
          <x:t xml:space="preserve">СОТР-024</x:t>
        </x:is>
      </x:c>
      <x:c r="L1169" s="31" t="inlineStr">
        <x:is>
          <x:t xml:space="preserve">ДОК-1100</x:t>
        </x:is>
      </x:c>
      <x:c r="M1169" s="31" t="inlineStr">
        <x:is>
          <x:t xml:space="preserve">Проведен</x:t>
        </x:is>
      </x:c>
    </x:row>
    <x:row r="1170">
      <x:c r="A1170" s="31" t="inlineStr">
        <x:is>
          <x:t xml:space="preserve">СКЛ-001169</x:t>
        </x:is>
      </x:c>
      <x:c r="B1170" s="31" t="n">
        <x:v>46035</x:v>
      </x:c>
      <x:c r="C1170" s="31" t="inlineStr">
        <x:is>
          <x:t xml:space="preserve">Выдача в производство</x:t>
        </x:is>
      </x:c>
      <x:c r="D1170" s="31" t="inlineStr">
        <x:is>
          <x:t xml:space="preserve">МАТ-0042</x:t>
        </x:is>
      </x:c>
      <x:c r="E1170" s="31" t="inlineStr">
        <x:is>
          <x:t xml:space="preserve">модуль аналогового входа 4 канала / исп.3</x:t>
        </x:is>
      </x:c>
      <x:c r="F1170" s="31" t="n">
        <x:v>-17</x:v>
      </x:c>
      <x:c r="G1170" s="31" t="inlineStr">
        <x:is>
          <x:t xml:space="preserve">шт</x:t>
        </x:is>
      </x:c>
      <x:c r="H1170" s="31" t="inlineStr">
        <x:is>
          <x:t xml:space="preserve">ЗК-1054</x:t>
        </x:is>
      </x:c>
      <x:c r="I1170" s="31" t="inlineStr">
        <x:is>
          <x:t xml:space="preserve">ПЗ-00216</x:t>
        </x:is>
      </x:c>
      <x:c r="J1170" s="31" t="inlineStr">
        <x:is>
          <x:t xml:space="preserve">Основной склад</x:t>
        </x:is>
      </x:c>
      <x:c r="K1170" s="31" t="inlineStr">
        <x:is>
          <x:t xml:space="preserve">СОТР-035</x:t>
        </x:is>
      </x:c>
      <x:c r="L1170" s="31" t="inlineStr">
        <x:is>
          <x:t xml:space="preserve">ДОК-2941</x:t>
        </x:is>
      </x:c>
      <x:c r="M1170" s="31" t="inlineStr">
        <x:is>
          <x:t xml:space="preserve">Проведен</x:t>
        </x:is>
      </x:c>
    </x:row>
    <x:row r="1171">
      <x:c r="A1171" s="31" t="inlineStr">
        <x:is>
          <x:t xml:space="preserve">СКЛ-001170</x:t>
        </x:is>
      </x:c>
      <x:c r="B1171" s="31" t="n">
        <x:v>46137</x:v>
      </x:c>
      <x:c r="C1171" s="31" t="inlineStr">
        <x:is>
          <x:t xml:space="preserve">Приход</x:t>
        </x:is>
      </x:c>
      <x:c r="D1171" s="31" t="inlineStr">
        <x:is>
          <x:t xml:space="preserve">МАТ-0036</x:t>
        </x:is>
      </x:c>
      <x:c r="E1171" s="31" t="inlineStr">
        <x:is>
          <x:t xml:space="preserve">Клапан электромагнитный 24В / исп.2</x:t>
        </x:is>
      </x:c>
      <x:c r="F1171" s="31" t="n">
        <x:v>8</x:v>
      </x:c>
      <x:c r="G1171" s="31" t="inlineStr">
        <x:is>
          <x:t xml:space="preserve">шт</x:t>
        </x:is>
      </x:c>
      <x:c r="H1171" s="31" t="n"/>
      <x:c r="I1171" s="31" t="n"/>
      <x:c r="J1171" s="31" t="inlineStr">
        <x:is>
          <x:t xml:space="preserve">Основной склад</x:t>
        </x:is>
      </x:c>
      <x:c r="K1171" s="31" t="inlineStr">
        <x:is>
          <x:t xml:space="preserve">СОТР-037</x:t>
        </x:is>
      </x:c>
      <x:c r="L1171" s="31" t="inlineStr">
        <x:is>
          <x:t xml:space="preserve">ДОК-9087</x:t>
        </x:is>
      </x:c>
      <x:c r="M1171" s="31" t="inlineStr">
        <x:is>
          <x:t xml:space="preserve">Проведен</x:t>
        </x:is>
      </x:c>
    </x:row>
    <x:row r="1172">
      <x:c r="A1172" s="31" t="inlineStr">
        <x:is>
          <x:t xml:space="preserve">СКЛ-001171</x:t>
        </x:is>
      </x:c>
      <x:c r="B1172" s="31" t="n">
        <x:v>46061</x:v>
      </x:c>
      <x:c r="C1172" s="31" t="inlineStr">
        <x:is>
          <x:t xml:space="preserve">Приход</x:t>
        </x:is>
      </x:c>
      <x:c r="D1172" s="31" t="inlineStr">
        <x:is>
          <x:t xml:space="preserve">МАТ-0024</x:t>
        </x:is>
      </x:c>
      <x:c r="E1172" s="31" t="inlineStr">
        <x:is>
          <x:t xml:space="preserve">Рабочее колесо / исп.2</x:t>
        </x:is>
      </x:c>
      <x:c r="F1172" s="31" t="n">
        <x:v>4</x:v>
      </x:c>
      <x:c r="G1172" s="31" t="inlineStr">
        <x:is>
          <x:t xml:space="preserve">шт</x:t>
        </x:is>
      </x:c>
      <x:c r="H1172" s="31" t="n"/>
      <x:c r="I1172" s="31" t="n"/>
      <x:c r="J1172" s="31" t="inlineStr">
        <x:is>
          <x:t xml:space="preserve">Брак/карантин</x:t>
        </x:is>
      </x:c>
      <x:c r="K1172" s="31" t="inlineStr">
        <x:is>
          <x:t xml:space="preserve">СОТР-037</x:t>
        </x:is>
      </x:c>
      <x:c r="L1172" s="31" t="inlineStr">
        <x:is>
          <x:t xml:space="preserve">ДОК-5359</x:t>
        </x:is>
      </x:c>
      <x:c r="M1172" s="31" t="inlineStr">
        <x:is>
          <x:t xml:space="preserve">Проведен</x:t>
        </x:is>
      </x:c>
    </x:row>
    <x:row r="1173">
      <x:c r="A1173" s="31" t="inlineStr">
        <x:is>
          <x:t xml:space="preserve">СКЛ-001172</x:t>
        </x:is>
      </x:c>
      <x:c r="B1173" s="31" t="n">
        <x:v>46051</x:v>
      </x:c>
      <x:c r="C1173" s="31" t="inlineStr">
        <x:is>
          <x:t xml:space="preserve">Выдача в производство</x:t>
        </x:is>
      </x:c>
      <x:c r="D1173" s="31" t="inlineStr">
        <x:is>
          <x:t xml:space="preserve">МАТ-0080</x:t>
        </x:is>
      </x:c>
      <x:c r="E1173" s="31" t="inlineStr">
        <x:is>
          <x:t xml:space="preserve">Гайка М12 / исп.3</x:t>
        </x:is>
      </x:c>
      <x:c r="F1173" s="31" t="n">
        <x:v>-19</x:v>
      </x:c>
      <x:c r="G1173" s="31" t="inlineStr">
        <x:is>
          <x:t xml:space="preserve">шт</x:t>
        </x:is>
      </x:c>
      <x:c r="H1173" s="31" t="inlineStr">
        <x:is>
          <x:t xml:space="preserve">ЗК-1130</x:t>
        </x:is>
      </x:c>
      <x:c r="I1173" s="31" t="inlineStr">
        <x:is>
          <x:t xml:space="preserve">ПЗ-00067</x:t>
        </x:is>
      </x:c>
      <x:c r="J1173" s="31" t="inlineStr">
        <x:is>
          <x:t xml:space="preserve">Цеховой склад</x:t>
        </x:is>
      </x:c>
      <x:c r="K1173" s="31" t="inlineStr">
        <x:is>
          <x:t xml:space="preserve">СОТР-039</x:t>
        </x:is>
      </x:c>
      <x:c r="L1173" s="31" t="inlineStr">
        <x:is>
          <x:t xml:space="preserve">ДОК-2765</x:t>
        </x:is>
      </x:c>
      <x:c r="M1173" s="31" t="inlineStr">
        <x:is>
          <x:t xml:space="preserve">Проведен</x:t>
        </x:is>
      </x:c>
    </x:row>
    <x:row r="1174">
      <x:c r="A1174" s="31" t="inlineStr">
        <x:is>
          <x:t xml:space="preserve">СКЛ-001173</x:t>
        </x:is>
      </x:c>
      <x:c r="B1174" s="31" t="n">
        <x:v>46128</x:v>
      </x:c>
      <x:c r="C1174" s="31" t="inlineStr">
        <x:is>
          <x:t xml:space="preserve">Выдача в производство</x:t>
        </x:is>
      </x:c>
      <x:c r="D1174" s="31" t="inlineStr">
        <x:is>
          <x:t xml:space="preserve">МАТ-0080</x:t>
        </x:is>
      </x:c>
      <x:c r="E1174" s="31" t="inlineStr">
        <x:is>
          <x:t xml:space="preserve">Гайка М12 / исп.3</x:t>
        </x:is>
      </x:c>
      <x:c r="F1174" s="31" t="n">
        <x:v>-8</x:v>
      </x:c>
      <x:c r="G1174" s="31" t="inlineStr">
        <x:is>
          <x:t xml:space="preserve">шт</x:t>
        </x:is>
      </x:c>
      <x:c r="H1174" s="31" t="inlineStr">
        <x:is>
          <x:t xml:space="preserve">ЗК-1012</x:t>
        </x:is>
      </x:c>
      <x:c r="I1174" s="31" t="inlineStr">
        <x:is>
          <x:t xml:space="preserve">ПЗ-00035</x:t>
        </x:is>
      </x:c>
      <x:c r="J1174" s="31" t="inlineStr">
        <x:is>
          <x:t xml:space="preserve">Основной склад</x:t>
        </x:is>
      </x:c>
      <x:c r="K1174" s="31" t="inlineStr">
        <x:is>
          <x:t xml:space="preserve">СОТР-039</x:t>
        </x:is>
      </x:c>
      <x:c r="L1174" s="31" t="inlineStr">
        <x:is>
          <x:t xml:space="preserve">ДОК-7820</x:t>
        </x:is>
      </x:c>
      <x:c r="M1174" s="31" t="inlineStr">
        <x:is>
          <x:t xml:space="preserve">Проведен</x:t>
        </x:is>
      </x:c>
    </x:row>
    <x:row r="1175">
      <x:c r="A1175" s="31" t="inlineStr">
        <x:is>
          <x:t xml:space="preserve">СКЛ-001174</x:t>
        </x:is>
      </x:c>
      <x:c r="B1175" s="31" t="n">
        <x:v>46125</x:v>
      </x:c>
      <x:c r="C1175" s="31" t="inlineStr">
        <x:is>
          <x:t xml:space="preserve">Приход</x:t>
        </x:is>
      </x:c>
      <x:c r="D1175" s="31" t="inlineStr">
        <x:is>
          <x:t xml:space="preserve">МАТ-0073</x:t>
        </x:is>
      </x:c>
      <x:c r="E1175" s="31" t="inlineStr">
        <x:is>
          <x:t xml:space="preserve">Растворитель / исп.2</x:t>
        </x:is>
      </x:c>
      <x:c r="F1175" s="31" t="n">
        <x:v>72.79000000000001</x:v>
      </x:c>
      <x:c r="G1175" s="31" t="inlineStr">
        <x:is>
          <x:t xml:space="preserve">л</x:t>
        </x:is>
      </x:c>
      <x:c r="H1175" s="31" t="n"/>
      <x:c r="I1175" s="31" t="n"/>
      <x:c r="J1175" s="31" t="inlineStr">
        <x:is>
          <x:t xml:space="preserve">Брак/карантин</x:t>
        </x:is>
      </x:c>
      <x:c r="K1175" s="31" t="inlineStr">
        <x:is>
          <x:t xml:space="preserve">СОТР-036</x:t>
        </x:is>
      </x:c>
      <x:c r="L1175" s="31" t="inlineStr">
        <x:is>
          <x:t xml:space="preserve">ДОК-9880</x:t>
        </x:is>
      </x:c>
      <x:c r="M1175" s="31" t="inlineStr">
        <x:is>
          <x:t xml:space="preserve">Проведен</x:t>
        </x:is>
      </x:c>
    </x:row>
    <x:row r="1176">
      <x:c r="A1176" s="31" t="inlineStr">
        <x:is>
          <x:t xml:space="preserve">СКЛ-001175</x:t>
        </x:is>
      </x:c>
      <x:c r="B1176" s="31" t="n">
        <x:v>46037</x:v>
      </x:c>
      <x:c r="C1176" s="31" t="inlineStr">
        <x:is>
          <x:t xml:space="preserve">Приход</x:t>
        </x:is>
      </x:c>
      <x:c r="D1176" s="31" t="inlineStr">
        <x:is>
          <x:t xml:space="preserve">МАТ-0051</x:t>
        </x:is>
      </x:c>
      <x:c r="E1176" s="31" t="inlineStr">
        <x:is>
          <x:t xml:space="preserve">Кран шаровой Ду50</x:t>
        </x:is>
      </x:c>
      <x:c r="F1176" s="31" t="n">
        <x:v>19</x:v>
      </x:c>
      <x:c r="G1176" s="31" t="inlineStr">
        <x:is>
          <x:t xml:space="preserve">шт</x:t>
        </x:is>
      </x:c>
      <x:c r="H1176" s="31" t="n"/>
      <x:c r="I1176" s="31" t="n"/>
      <x:c r="J1176" s="31" t="inlineStr">
        <x:is>
          <x:t xml:space="preserve">Цеховой склад</x:t>
        </x:is>
      </x:c>
      <x:c r="K1176" s="31" t="inlineStr">
        <x:is>
          <x:t xml:space="preserve">СОТР-033</x:t>
        </x:is>
      </x:c>
      <x:c r="L1176" s="31" t="inlineStr">
        <x:is>
          <x:t xml:space="preserve">ДОК-7890</x:t>
        </x:is>
      </x:c>
      <x:c r="M1176" s="31" t="inlineStr">
        <x:is>
          <x:t xml:space="preserve">Проведен</x:t>
        </x:is>
      </x:c>
    </x:row>
    <x:row r="1177">
      <x:c r="A1177" s="31" t="inlineStr">
        <x:is>
          <x:t xml:space="preserve">СКЛ-001176</x:t>
        </x:is>
      </x:c>
      <x:c r="B1177" s="31" t="n">
        <x:v>46200</x:v>
      </x:c>
      <x:c r="C1177" s="31" t="inlineStr">
        <x:is>
          <x:t xml:space="preserve">Приход</x:t>
        </x:is>
      </x:c>
      <x:c r="D1177" s="31" t="inlineStr">
        <x:is>
          <x:t xml:space="preserve">МАТ-0002</x:t>
        </x:is>
      </x:c>
      <x:c r="E1177" s="31" t="inlineStr">
        <x:is>
          <x:t xml:space="preserve">Лист стальной 09Г2С 12 мм</x:t>
        </x:is>
      </x:c>
      <x:c r="F1177" s="31" t="n">
        <x:v>7.49</x:v>
      </x:c>
      <x:c r="G1177" s="31" t="inlineStr">
        <x:is>
          <x:t xml:space="preserve">кг</x:t>
        </x:is>
      </x:c>
      <x:c r="H1177" s="31" t="n"/>
      <x:c r="I1177" s="31" t="n"/>
      <x:c r="J1177" s="31" t="inlineStr">
        <x:is>
          <x:t xml:space="preserve">Основной склад</x:t>
        </x:is>
      </x:c>
      <x:c r="K1177" s="31" t="inlineStr">
        <x:is>
          <x:t xml:space="preserve">СОТР-038</x:t>
        </x:is>
      </x:c>
      <x:c r="L1177" s="31" t="inlineStr">
        <x:is>
          <x:t xml:space="preserve">ДОК-1295</x:t>
        </x:is>
      </x:c>
      <x:c r="M1177" s="31" t="inlineStr">
        <x:is>
          <x:t xml:space="preserve">Проведен</x:t>
        </x:is>
      </x:c>
    </x:row>
    <x:row r="1178">
      <x:c r="A1178" s="31" t="inlineStr">
        <x:is>
          <x:t xml:space="preserve">СКЛ-001177</x:t>
        </x:is>
      </x:c>
      <x:c r="B1178" s="31" t="n">
        <x:v>46124</x:v>
      </x:c>
      <x:c r="C1178" s="31" t="inlineStr">
        <x:is>
          <x:t xml:space="preserve">Приход</x:t>
        </x:is>
      </x:c>
      <x:c r="D1178" s="31" t="inlineStr">
        <x:is>
          <x:t xml:space="preserve">МАТ-0038</x:t>
        </x:is>
      </x:c>
      <x:c r="E1178" s="31" t="inlineStr">
        <x:is>
          <x:t xml:space="preserve">ПЛК 24 дискр. входа / 16 дискр. выхода</x:t>
        </x:is>
      </x:c>
      <x:c r="F1178" s="31" t="n">
        <x:v>10</x:v>
      </x:c>
      <x:c r="G1178" s="31" t="inlineStr">
        <x:is>
          <x:t xml:space="preserve">шт</x:t>
        </x:is>
      </x:c>
      <x:c r="H1178" s="31" t="n"/>
      <x:c r="I1178" s="31" t="n"/>
      <x:c r="J1178" s="31" t="inlineStr">
        <x:is>
          <x:t xml:space="preserve">Основной склад</x:t>
        </x:is>
      </x:c>
      <x:c r="K1178" s="31" t="inlineStr">
        <x:is>
          <x:t xml:space="preserve">СОТР-035</x:t>
        </x:is>
      </x:c>
      <x:c r="L1178" s="31" t="inlineStr">
        <x:is>
          <x:t xml:space="preserve">ДОК-5370</x:t>
        </x:is>
      </x:c>
      <x:c r="M1178" s="31" t="inlineStr">
        <x:is>
          <x:t xml:space="preserve">Черновик</x:t>
        </x:is>
      </x:c>
    </x:row>
    <x:row r="1179">
      <x:c r="A1179" s="31" t="inlineStr">
        <x:is>
          <x:t xml:space="preserve">СКЛ-001178</x:t>
        </x:is>
      </x:c>
      <x:c r="B1179" s="31" t="n">
        <x:v>46031</x:v>
      </x:c>
      <x:c r="C1179" s="31" t="inlineStr">
        <x:is>
          <x:t xml:space="preserve">Приход</x:t>
        </x:is>
      </x:c>
      <x:c r="D1179" s="31" t="inlineStr">
        <x:is>
          <x:t xml:space="preserve">МАТ-0064</x:t>
        </x:is>
      </x:c>
      <x:c r="E1179" s="31" t="inlineStr">
        <x:is>
          <x:t xml:space="preserve">Кабель ВВГнг 3×2.5 / исп.2</x:t>
        </x:is>
      </x:c>
      <x:c r="F1179" s="31" t="n">
        <x:v>2</x:v>
      </x:c>
      <x:c r="G1179" s="31" t="inlineStr">
        <x:is>
          <x:t xml:space="preserve">шт</x:t>
        </x:is>
      </x:c>
      <x:c r="H1179" s="31" t="n"/>
      <x:c r="I1179" s="31" t="n"/>
      <x:c r="J1179" s="31" t="inlineStr">
        <x:is>
          <x:t xml:space="preserve">Цеховой склад</x:t>
        </x:is>
      </x:c>
      <x:c r="K1179" s="31" t="inlineStr">
        <x:is>
          <x:t xml:space="preserve">СОТР-038</x:t>
        </x:is>
      </x:c>
      <x:c r="L1179" s="31" t="inlineStr">
        <x:is>
          <x:t xml:space="preserve">ДОК-1546</x:t>
        </x:is>
      </x:c>
      <x:c r="M1179" s="31" t="inlineStr">
        <x:is>
          <x:t xml:space="preserve">Черновик</x:t>
        </x:is>
      </x:c>
    </x:row>
    <x:row r="1180">
      <x:c r="A1180" s="31" t="inlineStr">
        <x:is>
          <x:t xml:space="preserve">СКЛ-001179</x:t>
        </x:is>
      </x:c>
      <x:c r="B1180" s="31" t="n">
        <x:v>46192</x:v>
      </x:c>
      <x:c r="C1180" s="31" t="inlineStr">
        <x:is>
          <x:t xml:space="preserve">Приход</x:t>
        </x:is>
      </x:c>
      <x:c r="D1180" s="31" t="inlineStr">
        <x:is>
          <x:t xml:space="preserve">МАТ-0048</x:t>
        </x:is>
      </x:c>
      <x:c r="E1180" s="31" t="inlineStr">
        <x:is>
          <x:t xml:space="preserve">Контактор 25А / исп.3</x:t>
        </x:is>
      </x:c>
      <x:c r="F1180" s="31" t="n">
        <x:v>7</x:v>
      </x:c>
      <x:c r="G1180" s="31" t="inlineStr">
        <x:is>
          <x:t xml:space="preserve">шт</x:t>
        </x:is>
      </x:c>
      <x:c r="H1180" s="31" t="n"/>
      <x:c r="I1180" s="31" t="n"/>
      <x:c r="J1180" s="31" t="inlineStr">
        <x:is>
          <x:t xml:space="preserve">Брак/карантин</x:t>
        </x:is>
      </x:c>
      <x:c r="K1180" s="31" t="inlineStr">
        <x:is>
          <x:t xml:space="preserve">СОТР-024</x:t>
        </x:is>
      </x:c>
      <x:c r="L1180" s="31" t="inlineStr">
        <x:is>
          <x:t xml:space="preserve">ДОК-6878</x:t>
        </x:is>
      </x:c>
      <x:c r="M1180" s="31" t="inlineStr">
        <x:is>
          <x:t xml:space="preserve">Проведен</x:t>
        </x:is>
      </x:c>
    </x:row>
    <x:row r="1181">
      <x:c r="A1181" s="31" t="inlineStr">
        <x:is>
          <x:t xml:space="preserve">СКЛ-001180</x:t>
        </x:is>
      </x:c>
      <x:c r="B1181" s="31" t="n">
        <x:v>46109</x:v>
      </x:c>
      <x:c r="C1181" s="31" t="inlineStr">
        <x:is>
          <x:t xml:space="preserve">Корректировка</x:t>
        </x:is>
      </x:c>
      <x:c r="D1181" s="31" t="inlineStr">
        <x:is>
          <x:t xml:space="preserve">МАТ-0045</x:t>
        </x:is>
      </x:c>
      <x:c r="E1181" s="31" t="inlineStr">
        <x:is>
          <x:t xml:space="preserve">Автоматический выключатель 16А</x:t>
        </x:is>
      </x:c>
      <x:c r="F1181" s="31" t="n">
        <x:v>6</x:v>
      </x:c>
      <x:c r="G1181" s="31" t="inlineStr">
        <x:is>
          <x:t xml:space="preserve">шт</x:t>
        </x:is>
      </x:c>
      <x:c r="H1181" s="31" t="n"/>
      <x:c r="I1181" s="31" t="n"/>
      <x:c r="J1181" s="31" t="inlineStr">
        <x:is>
          <x:t xml:space="preserve">Основной склад</x:t>
        </x:is>
      </x:c>
      <x:c r="K1181" s="31" t="inlineStr">
        <x:is>
          <x:t xml:space="preserve">СОТР-024</x:t>
        </x:is>
      </x:c>
      <x:c r="L1181" s="31" t="inlineStr">
        <x:is>
          <x:t xml:space="preserve">ДОК-5922</x:t>
        </x:is>
      </x:c>
      <x:c r="M1181" s="31" t="inlineStr">
        <x:is>
          <x:t xml:space="preserve">Требует проверки</x:t>
        </x:is>
      </x:c>
    </x:row>
    <x:row r="1182">
      <x:c r="A1182" s="31" t="inlineStr">
        <x:is>
          <x:t xml:space="preserve">СКЛ-001181</x:t>
        </x:is>
      </x:c>
      <x:c r="B1182" s="31" t="n">
        <x:v>46101</x:v>
      </x:c>
      <x:c r="C1182" s="31" t="inlineStr">
        <x:is>
          <x:t xml:space="preserve">Приход</x:t>
        </x:is>
      </x:c>
      <x:c r="D1182" s="31" t="inlineStr">
        <x:is>
          <x:t xml:space="preserve">МАТ-0064</x:t>
        </x:is>
      </x:c>
      <x:c r="E1182" s="31" t="inlineStr">
        <x:is>
          <x:t xml:space="preserve">Кабель ВВГнг 3×2.5 / исп.2</x:t>
        </x:is>
      </x:c>
      <x:c r="F1182" s="31" t="n">
        <x:v>14</x:v>
      </x:c>
      <x:c r="G1182" s="31" t="inlineStr">
        <x:is>
          <x:t xml:space="preserve">шт</x:t>
        </x:is>
      </x:c>
      <x:c r="H1182" s="31" t="n"/>
      <x:c r="I1182" s="31" t="n"/>
      <x:c r="J1182" s="31" t="inlineStr">
        <x:is>
          <x:t xml:space="preserve">Основной склад</x:t>
        </x:is>
      </x:c>
      <x:c r="K1182" s="31" t="inlineStr">
        <x:is>
          <x:t xml:space="preserve">СОТР-037</x:t>
        </x:is>
      </x:c>
      <x:c r="L1182" s="31" t="inlineStr">
        <x:is>
          <x:t xml:space="preserve">ДОК-6287</x:t>
        </x:is>
      </x:c>
      <x:c r="M1182" s="31" t="inlineStr">
        <x:is>
          <x:t xml:space="preserve">Проведен</x:t>
        </x:is>
      </x:c>
    </x:row>
    <x:row r="1183">
      <x:c r="A1183" s="31" t="inlineStr">
        <x:is>
          <x:t xml:space="preserve">СКЛ-001182</x:t>
        </x:is>
      </x:c>
      <x:c r="B1183" s="31" t="n">
        <x:v>46103</x:v>
      </x:c>
      <x:c r="C1183" s="31" t="inlineStr">
        <x:is>
          <x:t xml:space="preserve">Выдача в производство</x:t>
        </x:is>
      </x:c>
      <x:c r="D1183" s="31" t="inlineStr">
        <x:is>
          <x:t xml:space="preserve">МАТ-0013</x:t>
        </x:is>
      </x:c>
      <x:c r="E1183" s="31" t="inlineStr">
        <x:is>
          <x:t xml:space="preserve">Уголок 50×5</x:t>
        </x:is>
      </x:c>
      <x:c r="F1183" s="31" t="n">
        <x:v>-13.88</x:v>
      </x:c>
      <x:c r="G1183" s="31" t="inlineStr">
        <x:is>
          <x:t xml:space="preserve">кг</x:t>
        </x:is>
      </x:c>
      <x:c r="H1183" s="31" t="inlineStr">
        <x:is>
          <x:t xml:space="preserve">ЗК-1113</x:t>
        </x:is>
      </x:c>
      <x:c r="I1183" s="31" t="inlineStr">
        <x:is>
          <x:t xml:space="preserve">ПЗ-00108</x:t>
        </x:is>
      </x:c>
      <x:c r="J1183" s="31" t="inlineStr">
        <x:is>
          <x:t xml:space="preserve">Основной склад</x:t>
        </x:is>
      </x:c>
      <x:c r="K1183" s="31" t="inlineStr">
        <x:is>
          <x:t xml:space="preserve">СОТР-037</x:t>
        </x:is>
      </x:c>
      <x:c r="L1183" s="31" t="inlineStr">
        <x:is>
          <x:t xml:space="preserve">ДОК-8380</x:t>
        </x:is>
      </x:c>
      <x:c r="M1183" s="31" t="inlineStr">
        <x:is>
          <x:t xml:space="preserve">Проведен</x:t>
        </x:is>
      </x:c>
    </x:row>
    <x:row r="1184">
      <x:c r="A1184" s="31" t="inlineStr">
        <x:is>
          <x:t xml:space="preserve">СКЛ-001183</x:t>
        </x:is>
      </x:c>
      <x:c r="B1184" s="31" t="n">
        <x:v>46056</x:v>
      </x:c>
      <x:c r="C1184" s="31" t="inlineStr">
        <x:is>
          <x:t xml:space="preserve">Корректировка</x:t>
        </x:is>
      </x:c>
      <x:c r="D1184" s="31" t="inlineStr">
        <x:is>
          <x:t xml:space="preserve">МАТ-0087</x:t>
        </x:is>
      </x:c>
      <x:c r="E1184" s="31" t="inlineStr">
        <x:is>
          <x:t xml:space="preserve">Ящик фанерный</x:t>
        </x:is>
      </x:c>
      <x:c r="F1184" s="31" t="n">
        <x:v>10</x:v>
      </x:c>
      <x:c r="G1184" s="31" t="inlineStr">
        <x:is>
          <x:t xml:space="preserve">шт</x:t>
        </x:is>
      </x:c>
      <x:c r="H1184" s="31" t="n"/>
      <x:c r="I1184" s="31" t="n"/>
      <x:c r="J1184" s="31" t="inlineStr">
        <x:is>
          <x:t xml:space="preserve">Основной склад</x:t>
        </x:is>
      </x:c>
      <x:c r="K1184" s="31" t="inlineStr">
        <x:is>
          <x:t xml:space="preserve">СОТР-035</x:t>
        </x:is>
      </x:c>
      <x:c r="L1184" s="31" t="inlineStr">
        <x:is>
          <x:t xml:space="preserve">ДОК-7055</x:t>
        </x:is>
      </x:c>
      <x:c r="M1184" s="31" t="inlineStr">
        <x:is>
          <x:t xml:space="preserve">Проведен</x:t>
        </x:is>
      </x:c>
    </x:row>
    <x:row r="1185">
      <x:c r="A1185" s="31" t="inlineStr">
        <x:is>
          <x:t xml:space="preserve">СКЛ-001184</x:t>
        </x:is>
      </x:c>
      <x:c r="B1185" s="31" t="n">
        <x:v>46179</x:v>
      </x:c>
      <x:c r="C1185" s="31" t="inlineStr">
        <x:is>
          <x:t xml:space="preserve">Выдача в производство</x:t>
        </x:is>
      </x:c>
      <x:c r="D1185" s="31" t="inlineStr">
        <x:is>
          <x:t xml:space="preserve">МАТ-0013</x:t>
        </x:is>
      </x:c>
      <x:c r="E1185" s="31" t="inlineStr">
        <x:is>
          <x:t xml:space="preserve">Уголок 50×5</x:t>
        </x:is>
      </x:c>
      <x:c r="F1185" s="31" t="n">
        <x:v>-51.87</x:v>
      </x:c>
      <x:c r="G1185" s="31" t="inlineStr">
        <x:is>
          <x:t xml:space="preserve">кг</x:t>
        </x:is>
      </x:c>
      <x:c r="H1185" s="31" t="inlineStr">
        <x:is>
          <x:t xml:space="preserve">ЗК-1050</x:t>
        </x:is>
      </x:c>
      <x:c r="I1185" s="31" t="inlineStr">
        <x:is>
          <x:t xml:space="preserve">ПЗ-00263</x:t>
        </x:is>
      </x:c>
      <x:c r="J1185" s="31" t="inlineStr">
        <x:is>
          <x:t xml:space="preserve">Основной склад</x:t>
        </x:is>
      </x:c>
      <x:c r="K1185" s="31" t="inlineStr">
        <x:is>
          <x:t xml:space="preserve">СОТР-038</x:t>
        </x:is>
      </x:c>
      <x:c r="L1185" s="31" t="inlineStr">
        <x:is>
          <x:t xml:space="preserve">ДОК-7559</x:t>
        </x:is>
      </x:c>
      <x:c r="M1185" s="31" t="inlineStr">
        <x:is>
          <x:t xml:space="preserve">Проведен</x:t>
        </x:is>
      </x:c>
    </x:row>
    <x:row r="1186">
      <x:c r="A1186" s="31" t="inlineStr">
        <x:is>
          <x:t xml:space="preserve">СКЛ-001185</x:t>
        </x:is>
      </x:c>
      <x:c r="B1186" s="31" t="n">
        <x:v>46070</x:v>
      </x:c>
      <x:c r="C1186" s="31" t="inlineStr">
        <x:is>
          <x:t xml:space="preserve">Приход</x:t>
        </x:is>
      </x:c>
      <x:c r="D1186" s="31" t="inlineStr">
        <x:is>
          <x:t xml:space="preserve">МАТ-0088</x:t>
        </x:is>
      </x:c>
      <x:c r="E1186" s="31" t="inlineStr">
        <x:is>
          <x:t xml:space="preserve">Ящик фанерный / исп.2</x:t>
        </x:is>
      </x:c>
      <x:c r="F1186" s="31" t="n">
        <x:v>12</x:v>
      </x:c>
      <x:c r="G1186" s="31" t="inlineStr">
        <x:is>
          <x:t xml:space="preserve">шт</x:t>
        </x:is>
      </x:c>
      <x:c r="H1186" s="31" t="n"/>
      <x:c r="I1186" s="31" t="n"/>
      <x:c r="J1186" s="31" t="inlineStr">
        <x:is>
          <x:t xml:space="preserve">Основной склад</x:t>
        </x:is>
      </x:c>
      <x:c r="K1186" s="31" t="inlineStr">
        <x:is>
          <x:t xml:space="preserve">СОТР-037</x:t>
        </x:is>
      </x:c>
      <x:c r="L1186" s="31" t="inlineStr">
        <x:is>
          <x:t xml:space="preserve">ДОК-9262</x:t>
        </x:is>
      </x:c>
      <x:c r="M1186" s="31" t="inlineStr">
        <x:is>
          <x:t xml:space="preserve">Проведен</x:t>
        </x:is>
      </x:c>
    </x:row>
    <x:row r="1187">
      <x:c r="A1187" s="31" t="inlineStr">
        <x:is>
          <x:t xml:space="preserve">СКЛ-001186</x:t>
        </x:is>
      </x:c>
      <x:c r="B1187" s="31" t="n">
        <x:v>46186</x:v>
      </x:c>
      <x:c r="C1187" s="31" t="inlineStr">
        <x:is>
          <x:t xml:space="preserve">Выдача в производство</x:t>
        </x:is>
      </x:c>
      <x:c r="D1187" s="31" t="inlineStr">
        <x:is>
          <x:t xml:space="preserve">МАТ-0049</x:t>
        </x:is>
      </x:c>
      <x:c r="E1187" s="31" t="inlineStr">
        <x:is>
          <x:t xml:space="preserve">Рейковая клемма</x:t>
        </x:is>
      </x:c>
      <x:c r="F1187" s="31" t="n">
        <x:v>-7</x:v>
      </x:c>
      <x:c r="G1187" s="31" t="inlineStr">
        <x:is>
          <x:t xml:space="preserve">шт</x:t>
        </x:is>
      </x:c>
      <x:c r="H1187" s="31" t="inlineStr">
        <x:is>
          <x:t xml:space="preserve">ЗК-1011</x:t>
        </x:is>
      </x:c>
      <x:c r="I1187" s="31" t="inlineStr">
        <x:is>
          <x:t xml:space="preserve">ПЗ-00134</x:t>
        </x:is>
      </x:c>
      <x:c r="J1187" s="31" t="inlineStr">
        <x:is>
          <x:t xml:space="preserve">Основной склад</x:t>
        </x:is>
      </x:c>
      <x:c r="K1187" s="31" t="inlineStr">
        <x:is>
          <x:t xml:space="preserve">СОТР-024</x:t>
        </x:is>
      </x:c>
      <x:c r="L1187" s="31" t="inlineStr">
        <x:is>
          <x:t xml:space="preserve">ДОК-1535</x:t>
        </x:is>
      </x:c>
      <x:c r="M1187" s="31" t="inlineStr">
        <x:is>
          <x:t xml:space="preserve">Требует проверки</x:t>
        </x:is>
      </x:c>
    </x:row>
    <x:row r="1188">
      <x:c r="A1188" s="31" t="inlineStr">
        <x:is>
          <x:t xml:space="preserve">СКЛ-001187</x:t>
        </x:is>
      </x:c>
      <x:c r="B1188" s="31" t="n">
        <x:v>46169</x:v>
      </x:c>
      <x:c r="C1188" s="31" t="inlineStr">
        <x:is>
          <x:t xml:space="preserve">Выдача в производство</x:t>
        </x:is>
      </x:c>
      <x:c r="D1188" s="31" t="inlineStr">
        <x:is>
          <x:t xml:space="preserve">МАТ-0066</x:t>
        </x:is>
      </x:c>
      <x:c r="E1188" s="31" t="inlineStr">
        <x:is>
          <x:t xml:space="preserve">Гофра металлическая / исп.2</x:t>
        </x:is>
      </x:c>
      <x:c r="F1188" s="31" t="n">
        <x:v>-26.8</x:v>
      </x:c>
      <x:c r="G1188" s="31" t="inlineStr">
        <x:is>
          <x:t xml:space="preserve">кг</x:t>
        </x:is>
      </x:c>
      <x:c r="H1188" s="31" t="inlineStr">
        <x:is>
          <x:t xml:space="preserve">ЗК-1104</x:t>
        </x:is>
      </x:c>
      <x:c r="I1188" s="31" t="inlineStr">
        <x:is>
          <x:t xml:space="preserve">ПЗ-00074</x:t>
        </x:is>
      </x:c>
      <x:c r="J1188" s="31" t="inlineStr">
        <x:is>
          <x:t xml:space="preserve">Цеховой склад</x:t>
        </x:is>
      </x:c>
      <x:c r="K1188" s="31" t="inlineStr">
        <x:is>
          <x:t xml:space="preserve">СОТР-037</x:t>
        </x:is>
      </x:c>
      <x:c r="L1188" s="31" t="inlineStr">
        <x:is>
          <x:t xml:space="preserve">ДОК-8930</x:t>
        </x:is>
      </x:c>
      <x:c r="M1188" s="31" t="inlineStr">
        <x:is>
          <x:t xml:space="preserve">Проведен</x:t>
        </x:is>
      </x:c>
    </x:row>
    <x:row r="1189">
      <x:c r="A1189" s="31" t="inlineStr">
        <x:is>
          <x:t xml:space="preserve">СКЛ-001188</x:t>
        </x:is>
      </x:c>
      <x:c r="B1189" s="31" t="n">
        <x:v>46153</x:v>
      </x:c>
      <x:c r="C1189" s="31" t="inlineStr">
        <x:is>
          <x:t xml:space="preserve">Выдача в производство</x:t>
        </x:is>
      </x:c>
      <x:c r="D1189" s="31" t="inlineStr">
        <x:is>
          <x:t xml:space="preserve">МАТ-0026</x:t>
        </x:is>
      </x:c>
      <x:c r="E1189" s="31" t="inlineStr">
        <x:is>
          <x:t xml:space="preserve">Двигатель 15 кВт</x:t>
        </x:is>
      </x:c>
      <x:c r="F1189" s="31" t="n">
        <x:v>-7</x:v>
      </x:c>
      <x:c r="G1189" s="31" t="inlineStr">
        <x:is>
          <x:t xml:space="preserve">шт</x:t>
        </x:is>
      </x:c>
      <x:c r="H1189" s="31" t="inlineStr">
        <x:is>
          <x:t xml:space="preserve">ЗК-1106</x:t>
        </x:is>
      </x:c>
      <x:c r="I1189" s="31" t="inlineStr">
        <x:is>
          <x:t xml:space="preserve">ПЗ-00024</x:t>
        </x:is>
      </x:c>
      <x:c r="J1189" s="31" t="inlineStr">
        <x:is>
          <x:t xml:space="preserve">Основной склад</x:t>
        </x:is>
      </x:c>
      <x:c r="K1189" s="31" t="inlineStr">
        <x:is>
          <x:t xml:space="preserve">СОТР-039</x:t>
        </x:is>
      </x:c>
      <x:c r="L1189" s="31" t="inlineStr">
        <x:is>
          <x:t xml:space="preserve">ДОК-8724</x:t>
        </x:is>
      </x:c>
      <x:c r="M1189" s="31" t="inlineStr">
        <x:is>
          <x:t xml:space="preserve">Проведен</x:t>
        </x:is>
      </x:c>
    </x:row>
    <x:row r="1190">
      <x:c r="A1190" s="31" t="inlineStr">
        <x:is>
          <x:t xml:space="preserve">СКЛ-001189</x:t>
        </x:is>
      </x:c>
      <x:c r="B1190" s="31" t="n">
        <x:v>46172</x:v>
      </x:c>
      <x:c r="C1190" s="31" t="inlineStr">
        <x:is>
          <x:t xml:space="preserve">Приход</x:t>
        </x:is>
      </x:c>
      <x:c r="D1190" s="31" t="inlineStr">
        <x:is>
          <x:t xml:space="preserve">МАТ-0011</x:t>
        </x:is>
      </x:c>
      <x:c r="E1190" s="31" t="inlineStr">
        <x:is>
          <x:t xml:space="preserve">Фланец Ду50 Ру16 / исп.3</x:t>
        </x:is>
      </x:c>
      <x:c r="F1190" s="31" t="n">
        <x:v>12</x:v>
      </x:c>
      <x:c r="G1190" s="31" t="inlineStr">
        <x:is>
          <x:t xml:space="preserve">шт</x:t>
        </x:is>
      </x:c>
      <x:c r="H1190" s="31" t="n"/>
      <x:c r="I1190" s="31" t="n"/>
      <x:c r="J1190" s="31" t="inlineStr">
        <x:is>
          <x:t xml:space="preserve">Цеховой склад</x:t>
        </x:is>
      </x:c>
      <x:c r="K1190" s="31" t="inlineStr">
        <x:is>
          <x:t xml:space="preserve">СОТР-038</x:t>
        </x:is>
      </x:c>
      <x:c r="L1190" s="31" t="inlineStr">
        <x:is>
          <x:t xml:space="preserve">ДОК-6011</x:t>
        </x:is>
      </x:c>
      <x:c r="M1190" s="31" t="inlineStr">
        <x:is>
          <x:t xml:space="preserve">Проведен</x:t>
        </x:is>
      </x:c>
    </x:row>
    <x:row r="1191">
      <x:c r="A1191" s="31" t="inlineStr">
        <x:is>
          <x:t xml:space="preserve">СКЛ-001190</x:t>
        </x:is>
      </x:c>
      <x:c r="B1191" s="31" t="n">
        <x:v>46148</x:v>
      </x:c>
      <x:c r="C1191" s="31" t="inlineStr">
        <x:is>
          <x:t xml:space="preserve">Выдача в производство</x:t>
        </x:is>
      </x:c>
      <x:c r="D1191" s="31" t="inlineStr">
        <x:is>
          <x:t xml:space="preserve">МАТ-0027</x:t>
        </x:is>
      </x:c>
      <x:c r="E1191" s="31" t="inlineStr">
        <x:is>
          <x:t xml:space="preserve">Двигатель 22 кВт</x:t>
        </x:is>
      </x:c>
      <x:c r="F1191" s="31" t="n">
        <x:v>-17</x:v>
      </x:c>
      <x:c r="G1191" s="31" t="inlineStr">
        <x:is>
          <x:t xml:space="preserve">шт</x:t>
        </x:is>
      </x:c>
      <x:c r="H1191" s="31" t="inlineStr">
        <x:is>
          <x:t xml:space="preserve">ЗК-1094</x:t>
        </x:is>
      </x:c>
      <x:c r="I1191" s="31" t="inlineStr">
        <x:is>
          <x:t xml:space="preserve">ПЗ-00130</x:t>
        </x:is>
      </x:c>
      <x:c r="J1191" s="31" t="inlineStr">
        <x:is>
          <x:t xml:space="preserve">Брак/карантин</x:t>
        </x:is>
      </x:c>
      <x:c r="K1191" s="31" t="inlineStr">
        <x:is>
          <x:t xml:space="preserve">СОТР-033</x:t>
        </x:is>
      </x:c>
      <x:c r="L1191" s="31" t="inlineStr">
        <x:is>
          <x:t xml:space="preserve">ДОК-4094</x:t>
        </x:is>
      </x:c>
      <x:c r="M1191" s="31" t="inlineStr">
        <x:is>
          <x:t xml:space="preserve">Проведен</x:t>
        </x:is>
      </x:c>
    </x:row>
    <x:row r="1192">
      <x:c r="A1192" s="31" t="inlineStr">
        <x:is>
          <x:t xml:space="preserve">СКЛ-001191</x:t>
        </x:is>
      </x:c>
      <x:c r="B1192" s="31" t="n">
        <x:v>46034</x:v>
      </x:c>
      <x:c r="C1192" s="31" t="inlineStr">
        <x:is>
          <x:t xml:space="preserve">Выдача в производство</x:t>
        </x:is>
      </x:c>
      <x:c r="D1192" s="31" t="inlineStr">
        <x:is>
          <x:t xml:space="preserve">МАТ-0003</x:t>
        </x:is>
      </x:c>
      <x:c r="E1192" s="31" t="inlineStr">
        <x:is>
          <x:t xml:space="preserve">Лист стальной 09Г2С 12 мм / исп.2</x:t>
        </x:is>
      </x:c>
      <x:c r="F1192" s="31" t="n">
        <x:v>-74.01000000000001</x:v>
      </x:c>
      <x:c r="G1192" s="31" t="inlineStr">
        <x:is>
          <x:t xml:space="preserve">м</x:t>
        </x:is>
      </x:c>
      <x:c r="H1192" s="31" t="inlineStr">
        <x:is>
          <x:t xml:space="preserve">ЗК-1069</x:t>
        </x:is>
      </x:c>
      <x:c r="I1192" s="31" t="inlineStr">
        <x:is>
          <x:t xml:space="preserve">ПЗ-00061</x:t>
        </x:is>
      </x:c>
      <x:c r="J1192" s="31" t="inlineStr">
        <x:is>
          <x:t xml:space="preserve">Основной склад</x:t>
        </x:is>
      </x:c>
      <x:c r="K1192" s="31" t="inlineStr">
        <x:is>
          <x:t xml:space="preserve">СОТР-033</x:t>
        </x:is>
      </x:c>
      <x:c r="L1192" s="31" t="inlineStr">
        <x:is>
          <x:t xml:space="preserve">ДОК-2654</x:t>
        </x:is>
      </x:c>
      <x:c r="M1192" s="31" t="inlineStr">
        <x:is>
          <x:t xml:space="preserve">Проведен</x:t>
        </x:is>
      </x:c>
    </x:row>
    <x:row r="1193">
      <x:c r="A1193" s="31" t="inlineStr">
        <x:is>
          <x:t xml:space="preserve">СКЛ-001192</x:t>
        </x:is>
      </x:c>
      <x:c r="B1193" s="31" t="n">
        <x:v>46031</x:v>
      </x:c>
      <x:c r="C1193" s="31" t="inlineStr">
        <x:is>
          <x:t xml:space="preserve">Приход</x:t>
        </x:is>
      </x:c>
      <x:c r="D1193" s="31" t="inlineStr">
        <x:is>
          <x:t xml:space="preserve">МАТ-0050</x:t>
        </x:is>
      </x:c>
      <x:c r="E1193" s="31" t="inlineStr">
        <x:is>
          <x:t xml:space="preserve">панель оператора 7"</x:t>
        </x:is>
      </x:c>
      <x:c r="F1193" s="31" t="n">
        <x:v>2</x:v>
      </x:c>
      <x:c r="G1193" s="31" t="inlineStr">
        <x:is>
          <x:t xml:space="preserve">шт</x:t>
        </x:is>
      </x:c>
      <x:c r="H1193" s="31" t="n"/>
      <x:c r="I1193" s="31" t="n"/>
      <x:c r="J1193" s="31" t="inlineStr">
        <x:is>
          <x:t xml:space="preserve">Основной склад</x:t>
        </x:is>
      </x:c>
      <x:c r="K1193" s="31" t="inlineStr">
        <x:is>
          <x:t xml:space="preserve">СОТР-036</x:t>
        </x:is>
      </x:c>
      <x:c r="L1193" s="31" t="inlineStr">
        <x:is>
          <x:t xml:space="preserve">ДОК-9432</x:t>
        </x:is>
      </x:c>
      <x:c r="M1193" s="31" t="inlineStr">
        <x:is>
          <x:t xml:space="preserve">Проведен</x:t>
        </x:is>
      </x:c>
    </x:row>
    <x:row r="1194">
      <x:c r="A1194" s="31" t="inlineStr">
        <x:is>
          <x:t xml:space="preserve">СКЛ-001193</x:t>
        </x:is>
      </x:c>
      <x:c r="B1194" s="31" t="n">
        <x:v>46201</x:v>
      </x:c>
      <x:c r="C1194" s="31" t="inlineStr">
        <x:is>
          <x:t xml:space="preserve">Выдача в производство</x:t>
        </x:is>
      </x:c>
      <x:c r="D1194" s="31" t="inlineStr">
        <x:is>
          <x:t xml:space="preserve">МАТ-0039</x:t>
        </x:is>
      </x:c>
      <x:c r="E1194" s="31" t="inlineStr">
        <x:is>
          <x:t xml:space="preserve">ПЛК 24 дискр. входа / 16 дискр. выхода / исп.2</x:t>
        </x:is>
      </x:c>
      <x:c r="F1194" s="31" t="n">
        <x:v>-7</x:v>
      </x:c>
      <x:c r="G1194" s="31" t="inlineStr">
        <x:is>
          <x:t xml:space="preserve">шт</x:t>
        </x:is>
      </x:c>
      <x:c r="H1194" s="31" t="inlineStr">
        <x:is>
          <x:t xml:space="preserve">ЗК-1020</x:t>
        </x:is>
      </x:c>
      <x:c r="I1194" s="31" t="inlineStr">
        <x:is>
          <x:t xml:space="preserve">ПЗ-00070</x:t>
        </x:is>
      </x:c>
      <x:c r="J1194" s="31" t="inlineStr">
        <x:is>
          <x:t xml:space="preserve">Основной склад</x:t>
        </x:is>
      </x:c>
      <x:c r="K1194" s="31" t="inlineStr">
        <x:is>
          <x:t xml:space="preserve">СОТР-033</x:t>
        </x:is>
      </x:c>
      <x:c r="L1194" s="31" t="inlineStr">
        <x:is>
          <x:t xml:space="preserve">ДОК-1137</x:t>
        </x:is>
      </x:c>
      <x:c r="M1194" s="31" t="inlineStr">
        <x:is>
          <x:t xml:space="preserve">Проведен</x:t>
        </x:is>
      </x:c>
    </x:row>
    <x:row r="1195">
      <x:c r="A1195" s="31" t="inlineStr">
        <x:is>
          <x:t xml:space="preserve">СКЛ-001194</x:t>
        </x:is>
      </x:c>
      <x:c r="B1195" s="31" t="n">
        <x:v>46112</x:v>
      </x:c>
      <x:c r="C1195" s="31" t="inlineStr">
        <x:is>
          <x:t xml:space="preserve">Резерв</x:t>
        </x:is>
      </x:c>
      <x:c r="D1195" s="31" t="inlineStr">
        <x:is>
          <x:t xml:space="preserve">МАТ-0075</x:t>
        </x:is>
      </x:c>
      <x:c r="E1195" s="31" t="inlineStr">
        <x:is>
          <x:t xml:space="preserve">Болт М12</x:t>
        </x:is>
      </x:c>
      <x:c r="F1195" s="31" t="n">
        <x:v>-6</x:v>
      </x:c>
      <x:c r="G1195" s="31" t="inlineStr">
        <x:is>
          <x:t xml:space="preserve">шт</x:t>
        </x:is>
      </x:c>
      <x:c r="H1195" s="31" t="inlineStr">
        <x:is>
          <x:t xml:space="preserve">ЗК-1066</x:t>
        </x:is>
      </x:c>
      <x:c r="I1195" s="31" t="n"/>
      <x:c r="J1195" s="31" t="inlineStr">
        <x:is>
          <x:t xml:space="preserve">Основной склад</x:t>
        </x:is>
      </x:c>
      <x:c r="K1195" s="31" t="inlineStr">
        <x:is>
          <x:t xml:space="preserve">СОТР-035</x:t>
        </x:is>
      </x:c>
      <x:c r="L1195" s="31" t="inlineStr">
        <x:is>
          <x:t xml:space="preserve">ДОК-7310</x:t>
        </x:is>
      </x:c>
      <x:c r="M1195" s="31" t="inlineStr">
        <x:is>
          <x:t xml:space="preserve">Проведен</x:t>
        </x:is>
      </x:c>
    </x:row>
    <x:row r="1196">
      <x:c r="A1196" s="31" t="inlineStr">
        <x:is>
          <x:t xml:space="preserve">СКЛ-001195</x:t>
        </x:is>
      </x:c>
      <x:c r="B1196" s="31" t="n">
        <x:v>46056</x:v>
      </x:c>
      <x:c r="C1196" s="31" t="inlineStr">
        <x:is>
          <x:t xml:space="preserve">Резерв</x:t>
        </x:is>
      </x:c>
      <x:c r="D1196" s="31" t="inlineStr">
        <x:is>
          <x:t xml:space="preserve">МАТ-0047</x:t>
        </x:is>
      </x:c>
      <x:c r="E1196" s="31" t="inlineStr">
        <x:is>
          <x:t xml:space="preserve">Контактор 25А / исп.2</x:t>
        </x:is>
      </x:c>
      <x:c r="F1196" s="31" t="n">
        <x:v>-9</x:v>
      </x:c>
      <x:c r="G1196" s="31" t="inlineStr">
        <x:is>
          <x:t xml:space="preserve">шт</x:t>
        </x:is>
      </x:c>
      <x:c r="H1196" s="31" t="inlineStr">
        <x:is>
          <x:t xml:space="preserve">ЗК-1054</x:t>
        </x:is>
      </x:c>
      <x:c r="I1196" s="31" t="n"/>
      <x:c r="J1196" s="31" t="inlineStr">
        <x:is>
          <x:t xml:space="preserve">Брак/карантин</x:t>
        </x:is>
      </x:c>
      <x:c r="K1196" s="31" t="inlineStr">
        <x:is>
          <x:t xml:space="preserve">СОТР-039</x:t>
        </x:is>
      </x:c>
      <x:c r="L1196" s="31" t="inlineStr">
        <x:is>
          <x:t xml:space="preserve">ДОК-2003</x:t>
        </x:is>
      </x:c>
      <x:c r="M1196" s="31" t="inlineStr">
        <x:is>
          <x:t xml:space="preserve">Проведен</x:t>
        </x:is>
      </x:c>
    </x:row>
    <x:row r="1197">
      <x:c r="A1197" s="31" t="inlineStr">
        <x:is>
          <x:t xml:space="preserve">СКЛ-001196</x:t>
        </x:is>
      </x:c>
      <x:c r="B1197" s="31" t="n">
        <x:v>46068</x:v>
      </x:c>
      <x:c r="C1197" s="31" t="inlineStr">
        <x:is>
          <x:t xml:space="preserve">Выдача в производство</x:t>
        </x:is>
      </x:c>
      <x:c r="D1197" s="31" t="inlineStr">
        <x:is>
          <x:t xml:space="preserve">МАТ-0008</x:t>
        </x:is>
      </x:c>
      <x:c r="E1197" s="31" t="inlineStr">
        <x:is>
          <x:t xml:space="preserve">Швеллер 12П</x:t>
        </x:is>
      </x:c>
      <x:c r="F1197" s="31" t="n">
        <x:v>-11</x:v>
      </x:c>
      <x:c r="G1197" s="31" t="inlineStr">
        <x:is>
          <x:t xml:space="preserve">шт</x:t>
        </x:is>
      </x:c>
      <x:c r="H1197" s="31" t="inlineStr">
        <x:is>
          <x:t xml:space="preserve">ЗК-1029</x:t>
        </x:is>
      </x:c>
      <x:c r="I1197" s="31" t="inlineStr">
        <x:is>
          <x:t xml:space="preserve">ПЗ-00063</x:t>
        </x:is>
      </x:c>
      <x:c r="J1197" s="31" t="inlineStr">
        <x:is>
          <x:t xml:space="preserve">Основной склад</x:t>
        </x:is>
      </x:c>
      <x:c r="K1197" s="31" t="inlineStr">
        <x:is>
          <x:t xml:space="preserve">СОТР-033</x:t>
        </x:is>
      </x:c>
      <x:c r="L1197" s="31" t="inlineStr">
        <x:is>
          <x:t xml:space="preserve">ДОК-9130</x:t>
        </x:is>
      </x:c>
      <x:c r="M1197" s="31" t="inlineStr">
        <x:is>
          <x:t xml:space="preserve">Проведен</x:t>
        </x:is>
      </x:c>
    </x:row>
    <x:row r="1198">
      <x:c r="A1198" s="31" t="inlineStr">
        <x:is>
          <x:t xml:space="preserve">СКЛ-001197</x:t>
        </x:is>
      </x:c>
      <x:c r="B1198" s="31" t="n">
        <x:v>46162</x:v>
      </x:c>
      <x:c r="C1198" s="31" t="inlineStr">
        <x:is>
          <x:t xml:space="preserve">Приход</x:t>
        </x:is>
      </x:c>
      <x:c r="D1198" s="31" t="inlineStr">
        <x:is>
          <x:t xml:space="preserve">МАТ-0015</x:t>
        </x:is>
      </x:c>
      <x:c r="E1198" s="31" t="inlineStr">
        <x:is>
          <x:t xml:space="preserve">Насос центробежный 15 кВт</x:t>
        </x:is>
      </x:c>
      <x:c r="F1198" s="31" t="n">
        <x:v>10</x:v>
      </x:c>
      <x:c r="G1198" s="31" t="inlineStr">
        <x:is>
          <x:t xml:space="preserve">шт</x:t>
        </x:is>
      </x:c>
      <x:c r="H1198" s="31" t="n"/>
      <x:c r="I1198" s="31" t="n"/>
      <x:c r="J1198" s="31" t="inlineStr">
        <x:is>
          <x:t xml:space="preserve">Брак/карантин</x:t>
        </x:is>
      </x:c>
      <x:c r="K1198" s="31" t="inlineStr">
        <x:is>
          <x:t xml:space="preserve">СОТР-034</x:t>
        </x:is>
      </x:c>
      <x:c r="L1198" s="31" t="inlineStr">
        <x:is>
          <x:t xml:space="preserve">ДОК-5104</x:t>
        </x:is>
      </x:c>
      <x:c r="M1198" s="31" t="inlineStr">
        <x:is>
          <x:t xml:space="preserve">Проведен</x:t>
        </x:is>
      </x:c>
    </x:row>
    <x:row r="1199">
      <x:c r="A1199" s="31" t="inlineStr">
        <x:is>
          <x:t xml:space="preserve">СКЛ-001198</x:t>
        </x:is>
      </x:c>
      <x:c r="B1199" s="31" t="n">
        <x:v>46136</x:v>
      </x:c>
      <x:c r="C1199" s="31" t="inlineStr">
        <x:is>
          <x:t xml:space="preserve">Выдача в производство</x:t>
        </x:is>
      </x:c>
      <x:c r="D1199" s="31" t="inlineStr">
        <x:is>
          <x:t xml:space="preserve">МАТ-0005</x:t>
        </x:is>
      </x:c>
      <x:c r="E1199" s="31" t="inlineStr">
        <x:is>
          <x:t xml:space="preserve">Труба бесшовная 57×4</x:t>
        </x:is>
      </x:c>
      <x:c r="F1199" s="31" t="n">
        <x:v>-74.58</x:v>
      </x:c>
      <x:c r="G1199" s="31" t="inlineStr">
        <x:is>
          <x:t xml:space="preserve">м</x:t>
        </x:is>
      </x:c>
      <x:c r="H1199" s="31" t="inlineStr">
        <x:is>
          <x:t xml:space="preserve">ЗК-1068</x:t>
        </x:is>
      </x:c>
      <x:c r="I1199" s="31" t="inlineStr">
        <x:is>
          <x:t xml:space="preserve">ПЗ-00070</x:t>
        </x:is>
      </x:c>
      <x:c r="J1199" s="31" t="inlineStr">
        <x:is>
          <x:t xml:space="preserve">Цеховой склад</x:t>
        </x:is>
      </x:c>
      <x:c r="K1199" s="31" t="inlineStr">
        <x:is>
          <x:t xml:space="preserve">СОТР-034</x:t>
        </x:is>
      </x:c>
      <x:c r="L1199" s="31" t="inlineStr">
        <x:is>
          <x:t xml:space="preserve">ДОК-3022</x:t>
        </x:is>
      </x:c>
      <x:c r="M1199" s="31" t="inlineStr">
        <x:is>
          <x:t xml:space="preserve">Проведен</x:t>
        </x:is>
      </x:c>
    </x:row>
    <x:row r="1200">
      <x:c r="A1200" s="31" t="inlineStr">
        <x:is>
          <x:t xml:space="preserve">СКЛ-001199</x:t>
        </x:is>
      </x:c>
      <x:c r="B1200" s="31" t="n">
        <x:v>46107</x:v>
      </x:c>
      <x:c r="C1200" s="31" t="inlineStr">
        <x:is>
          <x:t xml:space="preserve">Корректировка</x:t>
        </x:is>
      </x:c>
      <x:c r="D1200" s="31" t="inlineStr">
        <x:is>
          <x:t xml:space="preserve">МАТ-0053</x:t>
        </x:is>
      </x:c>
      <x:c r="E1200" s="31" t="inlineStr">
        <x:is>
          <x:t xml:space="preserve">Кран шаровой Ду50 / исп.3</x:t>
        </x:is>
      </x:c>
      <x:c r="F1200" s="31" t="n">
        <x:v>19</x:v>
      </x:c>
      <x:c r="G1200" s="31" t="inlineStr">
        <x:is>
          <x:t xml:space="preserve">шт</x:t>
        </x:is>
      </x:c>
      <x:c r="H1200" s="31" t="n"/>
      <x:c r="I1200" s="31" t="n"/>
      <x:c r="J1200" s="31" t="inlineStr">
        <x:is>
          <x:t xml:space="preserve">Основной склад</x:t>
        </x:is>
      </x:c>
      <x:c r="K1200" s="31" t="inlineStr">
        <x:is>
          <x:t xml:space="preserve">СОТР-024</x:t>
        </x:is>
      </x:c>
      <x:c r="L1200" s="31" t="inlineStr">
        <x:is>
          <x:t xml:space="preserve">ДОК-1030</x:t>
        </x:is>
      </x:c>
      <x:c r="M1200" s="31" t="inlineStr">
        <x:is>
          <x:t xml:space="preserve">Проведен</x:t>
        </x:is>
      </x:c>
    </x:row>
    <x:row r="1201">
      <x:c r="A1201" s="31" t="inlineStr">
        <x:is>
          <x:t xml:space="preserve">СКЛ-001200</x:t>
        </x:is>
      </x:c>
      <x:c r="B1201" s="31" t="n">
        <x:v>46138</x:v>
      </x:c>
      <x:c r="C1201" s="31" t="inlineStr">
        <x:is>
          <x:t xml:space="preserve">Выдача в производство</x:t>
        </x:is>
      </x:c>
      <x:c r="D1201" s="31" t="inlineStr">
        <x:is>
          <x:t xml:space="preserve">МАТ-0022</x:t>
        </x:is>
      </x:c>
      <x:c r="E1201" s="31" t="inlineStr">
        <x:is>
          <x:t xml:space="preserve">Торцевое уплотнение / исп.2</x:t>
        </x:is>
      </x:c>
      <x:c r="F1201" s="31" t="n">
        <x:v>-4</x:v>
      </x:c>
      <x:c r="G1201" s="31" t="inlineStr">
        <x:is>
          <x:t xml:space="preserve">шт</x:t>
        </x:is>
      </x:c>
      <x:c r="H1201" s="31" t="inlineStr">
        <x:is>
          <x:t xml:space="preserve">ЗК-1047</x:t>
        </x:is>
      </x:c>
      <x:c r="I1201" s="31" t="inlineStr">
        <x:is>
          <x:t xml:space="preserve">ПЗ-00012</x:t>
        </x:is>
      </x:c>
      <x:c r="J1201" s="31" t="inlineStr">
        <x:is>
          <x:t xml:space="preserve">Основной склад</x:t>
        </x:is>
      </x:c>
      <x:c r="K1201" s="31" t="inlineStr">
        <x:is>
          <x:t xml:space="preserve">СОТР-038</x:t>
        </x:is>
      </x:c>
      <x:c r="L1201" s="31" t="inlineStr">
        <x:is>
          <x:t xml:space="preserve">ДОК-6525</x:t>
        </x:is>
      </x:c>
      <x:c r="M1201" s="31" t="inlineStr">
        <x:is>
          <x:t xml:space="preserve">Требует проверки</x:t>
        </x:is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17" customWidth="1"/>
    <x:col min="4" max="4" width="18" customWidth="1"/>
    <x:col min="5" max="5" width="13" customWidth="1"/>
    <x:col min="6" max="6" width="14" customWidth="1"/>
    <x:col min="7" max="7" width="14" customWidth="1"/>
    <x:col min="8" max="8" width="18" customWidth="1"/>
    <x:col min="9" max="9" width="13" customWidth="1"/>
    <x:col min="10" max="10" width="19" customWidth="1"/>
  </x:cols>
  <x:sheetData>
    <x:row r="1" ht="18" customHeight="1">
      <x:c r="A1" s="30" t="inlineStr">
        <x:is>
          <x:t xml:space="preserve">Код оборудования</x:t>
        </x:is>
      </x:c>
      <x:c r="B1" s="30" t="inlineStr">
        <x:is>
          <x:t xml:space="preserve">Тип оборудования</x:t>
        </x:is>
      </x:c>
      <x:c r="C1" s="30" t="inlineStr">
        <x:is>
          <x:t xml:space="preserve">Цех/участок</x:t>
        </x:is>
      </x:c>
      <x:c r="D1" s="30" t="inlineStr">
        <x:is>
          <x:t xml:space="preserve">Статус</x:t>
        </x:is>
      </x:c>
      <x:c r="E1" s="30" t="inlineStr">
        <x:is>
          <x:t xml:space="preserve">Загрузка, %</x:t>
        </x:is>
      </x:c>
      <x:c r="F1" s="30" t="inlineStr">
        <x:is>
          <x:t xml:space="preserve">Последнее ТО</x:t>
        </x:is>
      </x:c>
      <x:c r="G1" s="30" t="inlineStr">
        <x:is>
          <x:t xml:space="preserve">Следующее ТО</x:t>
        </x:is>
      </x:c>
      <x:c r="H1" s="30" t="inlineStr">
        <x:is>
          <x:t xml:space="preserve">Сменная мощность</x:t>
        </x:is>
      </x:c>
      <x:c r="I1" s="30" t="inlineStr">
        <x:is>
          <x:t xml:space="preserve">Риск отказа</x:t>
        </x:is>
      </x:c>
      <x:c r="J1" s="30" t="inlineStr">
        <x:is>
          <x:t xml:space="preserve">Инвентарный номер</x:t>
        </x:is>
      </x:c>
    </x:row>
    <x:row r="2" ht="18" customHeight="1">
      <x:c r="A2" s="31" t="inlineStr">
        <x:is>
          <x:t xml:space="preserve">ОБ-001</x:t>
        </x:is>
      </x:c>
      <x:c r="B2" s="31" t="inlineStr">
        <x:is>
          <x:t xml:space="preserve">Стенд гидроиспытаний</x:t>
        </x:is>
      </x:c>
      <x:c r="C2" s="31" t="inlineStr">
        <x:is>
          <x:t xml:space="preserve">ОТК</x:t>
        </x:is>
      </x:c>
      <x:c r="D2" s="31" t="inlineStr">
        <x:is>
          <x:t xml:space="preserve">Раподрядчикает</x:t>
        </x:is>
      </x:c>
      <x:c r="E2" s="31" t="n">
        <x:v>74</x:v>
      </x:c>
      <x:c r="F2" s="31" t="n">
        <x:v>46014</x:v>
      </x:c>
      <x:c r="G2" s="31" t="n">
        <x:v>46089</x:v>
      </x:c>
      <x:c r="H2" s="31" t="n">
        <x:v>1</x:v>
      </x:c>
      <x:c r="I2" s="31" t="inlineStr">
        <x:is>
          <x:t xml:space="preserve">Низкий</x:t>
        </x:is>
      </x:c>
      <x:c r="J2" s="31" t="inlineStr">
        <x:is>
          <x:t xml:space="preserve">Инв-55039</x:t>
        </x:is>
      </x:c>
    </x:row>
    <x:row r="3" ht="18" customHeight="1">
      <x:c r="A3" s="31" t="inlineStr">
        <x:is>
          <x:t xml:space="preserve">ОБ-002</x:t>
        </x:is>
      </x:c>
      <x:c r="B3" s="31" t="inlineStr">
        <x:is>
          <x:t xml:space="preserve">Пост сборки</x:t>
        </x:is>
      </x:c>
      <x:c r="C3" s="31" t="inlineStr">
        <x:is>
          <x:t xml:space="preserve">Сборка</x:t>
        </x:is>
      </x:c>
      <x:c r="D3" s="31" t="inlineStr">
        <x:is>
          <x:t xml:space="preserve">Раподрядчикает</x:t>
        </x:is>
      </x:c>
      <x:c r="E3" s="31" t="n">
        <x:v>76</x:v>
      </x:c>
      <x:c r="F3" s="31" t="n">
        <x:v>45978</x:v>
      </x:c>
      <x:c r="G3" s="31" t="n">
        <x:v>46072</x:v>
      </x:c>
      <x:c r="H3" s="31" t="n">
        <x:v>3</x:v>
      </x:c>
      <x:c r="I3" s="31" t="inlineStr">
        <x:is>
          <x:t xml:space="preserve">Средний</x:t>
        </x:is>
      </x:c>
      <x:c r="J3" s="31" t="inlineStr">
        <x:is>
          <x:t xml:space="preserve">Инв-45553</x:t>
        </x:is>
      </x:c>
    </x:row>
    <x:row r="4" ht="18" customHeight="1">
      <x:c r="A4" s="31" t="inlineStr">
        <x:is>
          <x:t xml:space="preserve">ОБ-003</x:t>
        </x:is>
      </x:c>
      <x:c r="B4" s="31" t="inlineStr">
        <x:is>
          <x:t xml:space="preserve">Покрасочная камера</x:t>
        </x:is>
      </x:c>
      <x:c r="C4" s="31" t="inlineStr">
        <x:is>
          <x:t xml:space="preserve">Сварка</x:t>
        </x:is>
      </x:c>
      <x:c r="D4" s="31" t="inlineStr">
        <x:is>
          <x:t xml:space="preserve">Раподрядчикает</x:t>
        </x:is>
      </x:c>
      <x:c r="E4" s="31" t="n">
        <x:v>58</x:v>
      </x:c>
      <x:c r="F4" s="31" t="n">
        <x:v>46036</x:v>
      </x:c>
      <x:c r="G4" s="31" t="n">
        <x:v>46113</x:v>
      </x:c>
      <x:c r="H4" s="31" t="n">
        <x:v>3</x:v>
      </x:c>
      <x:c r="I4" s="31" t="inlineStr">
        <x:is>
          <x:t xml:space="preserve">Высокий</x:t>
        </x:is>
      </x:c>
      <x:c r="J4" s="31" t="inlineStr">
        <x:is>
          <x:t xml:space="preserve">Инв-64262</x:t>
        </x:is>
      </x:c>
    </x:row>
    <x:row r="5" ht="18" customHeight="1">
      <x:c r="A5" s="31" t="inlineStr">
        <x:is>
          <x:t xml:space="preserve">ОБ-004</x:t>
        </x:is>
      </x:c>
      <x:c r="B5" s="31" t="inlineStr">
        <x:is>
          <x:t xml:space="preserve">Сварочный пост</x:t>
        </x:is>
      </x:c>
      <x:c r="C5" s="31" t="inlineStr">
        <x:is>
          <x:t xml:space="preserve">Сварка</x:t>
        </x:is>
      </x:c>
      <x:c r="D5" s="31" t="inlineStr">
        <x:is>
          <x:t xml:space="preserve">Раподрядчикает</x:t>
        </x:is>
      </x:c>
      <x:c r="E5" s="31" t="n">
        <x:v>36</x:v>
      </x:c>
      <x:c r="F5" s="31" t="n">
        <x:v>45957</x:v>
      </x:c>
      <x:c r="G5" s="31" t="n">
        <x:v>46068</x:v>
      </x:c>
      <x:c r="H5" s="31" t="n">
        <x:v>3</x:v>
      </x:c>
      <x:c r="I5" s="31" t="inlineStr">
        <x:is>
          <x:t xml:space="preserve">Низкий</x:t>
        </x:is>
      </x:c>
      <x:c r="J5" s="31" t="inlineStr">
        <x:is>
          <x:t xml:space="preserve">Инв-20494</x:t>
        </x:is>
      </x:c>
    </x:row>
    <x:row r="6" ht="18" customHeight="1">
      <x:c r="A6" s="31" t="inlineStr">
        <x:is>
          <x:t xml:space="preserve">ОБ-005</x:t>
        </x:is>
      </x:c>
      <x:c r="B6" s="31" t="inlineStr">
        <x:is>
          <x:t xml:space="preserve">Пост сборки</x:t>
        </x:is>
      </x:c>
      <x:c r="C6" s="31" t="inlineStr">
        <x:is>
          <x:t xml:space="preserve">Сборка</x:t>
        </x:is>
      </x:c>
      <x:c r="D6" s="31" t="inlineStr">
        <x:is>
          <x:t xml:space="preserve">Раподрядчикает</x:t>
        </x:is>
      </x:c>
      <x:c r="E6" s="31" t="n">
        <x:v>41</x:v>
      </x:c>
      <x:c r="F6" s="31" t="n">
        <x:v>45953</x:v>
      </x:c>
      <x:c r="G6" s="31" t="n">
        <x:v>46046</x:v>
      </x:c>
      <x:c r="H6" s="31" t="n">
        <x:v>2</x:v>
      </x:c>
      <x:c r="I6" s="31" t="inlineStr">
        <x:is>
          <x:t xml:space="preserve">Средний</x:t>
        </x:is>
      </x:c>
      <x:c r="J6" s="31" t="inlineStr">
        <x:is>
          <x:t xml:space="preserve">Инв-13455</x:t>
        </x:is>
      </x:c>
    </x:row>
    <x:row r="7" ht="18" customHeight="1">
      <x:c r="A7" s="31" t="inlineStr">
        <x:is>
          <x:t xml:space="preserve">ОБ-006</x:t>
        </x:is>
      </x:c>
      <x:c r="B7" s="31" t="inlineStr">
        <x:is>
          <x:t xml:space="preserve">Стенд приемочных испытаний</x:t>
        </x:is>
      </x:c>
      <x:c r="C7" s="31" t="inlineStr">
        <x:is>
          <x:t xml:space="preserve">ОТК</x:t>
        </x:is>
      </x:c>
      <x:c r="D7" s="31" t="inlineStr">
        <x:is>
          <x:t xml:space="preserve">Раподрядчикает</x:t>
        </x:is>
      </x:c>
      <x:c r="E7" s="31" t="n">
        <x:v>40</x:v>
      </x:c>
      <x:c r="F7" s="31" t="n">
        <x:v>45954</x:v>
      </x:c>
      <x:c r="G7" s="31" t="n">
        <x:v>46071</x:v>
      </x:c>
      <x:c r="H7" s="31" t="n">
        <x:v>3</x:v>
      </x:c>
      <x:c r="I7" s="31" t="inlineStr">
        <x:is>
          <x:t xml:space="preserve">Низкий</x:t>
        </x:is>
      </x:c>
      <x:c r="J7" s="31" t="inlineStr">
        <x:is>
          <x:t xml:space="preserve">Инв-95830</x:t>
        </x:is>
      </x:c>
    </x:row>
    <x:row r="8" ht="18" customHeight="1">
      <x:c r="A8" s="31" t="inlineStr">
        <x:is>
          <x:t xml:space="preserve">ОБ-007</x:t>
        </x:is>
      </x:c>
      <x:c r="B8" s="31" t="inlineStr">
        <x:is>
          <x:t xml:space="preserve">Стенд приемочных испытаний</x:t>
        </x:is>
      </x:c>
      <x:c r="C8" s="31" t="inlineStr">
        <x:is>
          <x:t xml:space="preserve">ОТК</x:t>
        </x:is>
      </x:c>
      <x:c r="D8" s="31" t="inlineStr">
        <x:is>
          <x:t xml:space="preserve">Раподрядчикает</x:t>
        </x:is>
      </x:c>
      <x:c r="E8" s="31" t="n">
        <x:v>50</x:v>
      </x:c>
      <x:c r="F8" s="31" t="n">
        <x:v>46035</x:v>
      </x:c>
      <x:c r="G8" s="31" t="n">
        <x:v>46074</x:v>
      </x:c>
      <x:c r="H8" s="31" t="n">
        <x:v>2</x:v>
      </x:c>
      <x:c r="I8" s="31" t="inlineStr">
        <x:is>
          <x:t xml:space="preserve">Средний</x:t>
        </x:is>
      </x:c>
      <x:c r="J8" s="31" t="inlineStr">
        <x:is>
          <x:t xml:space="preserve">Инв-27206</x:t>
        </x:is>
      </x:c>
    </x:row>
    <x:row r="9" ht="18" customHeight="1">
      <x:c r="A9" s="31" t="inlineStr">
        <x:is>
          <x:t xml:space="preserve">ОБ-008</x:t>
        </x:is>
      </x:c>
      <x:c r="B9" s="31" t="inlineStr">
        <x:is>
          <x:t xml:space="preserve">Погрузчик</x:t>
        </x:is>
      </x:c>
      <x:c r="C9" s="31" t="inlineStr">
        <x:is>
          <x:t xml:space="preserve">Склад</x:t>
        </x:is>
      </x:c>
      <x:c r="D9" s="31" t="inlineStr">
        <x:is>
          <x:t xml:space="preserve">ППР</x:t>
        </x:is>
      </x:c>
      <x:c r="E9" s="31" t="n">
        <x:v>36</x:v>
      </x:c>
      <x:c r="F9" s="31" t="n">
        <x:v>45945</x:v>
      </x:c>
      <x:c r="G9" s="31" t="n">
        <x:v>46083</x:v>
      </x:c>
      <x:c r="H9" s="31" t="n">
        <x:v>2</x:v>
      </x:c>
      <x:c r="I9" s="31" t="inlineStr">
        <x:is>
          <x:t xml:space="preserve">Высокий</x:t>
        </x:is>
      </x:c>
      <x:c r="J9" s="31" t="inlineStr">
        <x:is>
          <x:t xml:space="preserve">Инв-71235</x:t>
        </x:is>
      </x:c>
    </x:row>
    <x:row r="10" ht="18" customHeight="1">
      <x:c r="A10" s="31" t="inlineStr">
        <x:is>
          <x:t xml:space="preserve">ОБ-009</x:t>
        </x:is>
      </x:c>
      <x:c r="B10" s="31" t="inlineStr">
        <x:is>
          <x:t xml:space="preserve">Погрузчик</x:t>
        </x:is>
      </x:c>
      <x:c r="C10" s="31" t="inlineStr">
        <x:is>
          <x:t xml:space="preserve">Склад</x:t>
        </x:is>
      </x:c>
      <x:c r="D10" s="31" t="inlineStr">
        <x:is>
          <x:t xml:space="preserve">Ремонт</x:t>
        </x:is>
      </x:c>
      <x:c r="E10" s="31" t="n">
        <x:v>70</x:v>
      </x:c>
      <x:c r="F10" s="31" t="n">
        <x:v>45997</x:v>
      </x:c>
      <x:c r="G10" s="31" t="n">
        <x:v>46055</x:v>
      </x:c>
      <x:c r="H10" s="31" t="n">
        <x:v>3</x:v>
      </x:c>
      <x:c r="I10" s="31" t="inlineStr">
        <x:is>
          <x:t xml:space="preserve">Средний</x:t>
        </x:is>
      </x:c>
      <x:c r="J10" s="31" t="inlineStr">
        <x:is>
          <x:t xml:space="preserve">Инв-87441</x:t>
        </x:is>
      </x:c>
    </x:row>
    <x:row r="11" ht="18" customHeight="1">
      <x:c r="A11" s="31" t="inlineStr">
        <x:is>
          <x:t xml:space="preserve">ОБ-010</x:t>
        </x:is>
      </x:c>
      <x:c r="B11" s="31" t="inlineStr">
        <x:is>
          <x:t xml:space="preserve">Пескоструйная камера</x:t>
        </x:is>
      </x:c>
      <x:c r="C11" s="31" t="inlineStr">
        <x:is>
          <x:t xml:space="preserve">Сварка</x:t>
        </x:is>
      </x:c>
      <x:c r="D11" s="31" t="inlineStr">
        <x:is>
          <x:t xml:space="preserve">Раподрядчикает</x:t>
        </x:is>
      </x:c>
      <x:c r="E11" s="31" t="n">
        <x:v>82</x:v>
      </x:c>
      <x:c r="F11" s="31" t="n">
        <x:v>46022</x:v>
      </x:c>
      <x:c r="G11" s="31" t="n">
        <x:v>46110</x:v>
      </x:c>
      <x:c r="H11" s="31" t="n">
        <x:v>2</x:v>
      </x:c>
      <x:c r="I11" s="31" t="inlineStr">
        <x:is>
          <x:t xml:space="preserve">Средний</x:t>
        </x:is>
      </x:c>
      <x:c r="J11" s="31" t="inlineStr">
        <x:is>
          <x:t xml:space="preserve">Инв-93824</x:t>
        </x:is>
      </x:c>
    </x:row>
    <x:row r="12" ht="18" customHeight="1">
      <x:c r="A12" s="31" t="inlineStr">
        <x:is>
          <x:t xml:space="preserve">ОБ-011</x:t>
        </x:is>
      </x:c>
      <x:c r="B12" s="31" t="inlineStr">
        <x:is>
          <x:t xml:space="preserve">Погрузчик</x:t>
        </x:is>
      </x:c>
      <x:c r="C12" s="31" t="inlineStr">
        <x:is>
          <x:t xml:space="preserve">Склад</x:t>
        </x:is>
      </x:c>
      <x:c r="D12" s="31" t="inlineStr">
        <x:is>
          <x:t xml:space="preserve">Раподрядчикает</x:t>
        </x:is>
      </x:c>
      <x:c r="E12" s="31" t="n">
        <x:v>57</x:v>
      </x:c>
      <x:c r="F12" s="31" t="n">
        <x:v>46002</x:v>
      </x:c>
      <x:c r="G12" s="31" t="n">
        <x:v>46107</x:v>
      </x:c>
      <x:c r="H12" s="31" t="n">
        <x:v>1</x:v>
      </x:c>
      <x:c r="I12" s="31" t="inlineStr">
        <x:is>
          <x:t xml:space="preserve">Средний</x:t>
        </x:is>
      </x:c>
      <x:c r="J12" s="31" t="inlineStr">
        <x:is>
          <x:t xml:space="preserve">Инв-67915</x:t>
        </x:is>
      </x:c>
    </x:row>
    <x:row r="13" ht="18" customHeight="1">
      <x:c r="A13" s="31" t="inlineStr">
        <x:is>
          <x:t xml:space="preserve">ОБ-012</x:t>
        </x:is>
      </x:c>
      <x:c r="B13" s="31" t="inlineStr">
        <x:is>
          <x:t xml:space="preserve">Электромонтажный стол</x:t>
        </x:is>
      </x:c>
      <x:c r="C13" s="31" t="inlineStr">
        <x:is>
          <x:t xml:space="preserve">Сборка</x:t>
        </x:is>
      </x:c>
      <x:c r="D13" s="31" t="inlineStr">
        <x:is>
          <x:t xml:space="preserve">Раподрядчикает</x:t>
        </x:is>
      </x:c>
      <x:c r="E13" s="31" t="n">
        <x:v>51</x:v>
      </x:c>
      <x:c r="F13" s="31" t="n">
        <x:v>45960</x:v>
      </x:c>
      <x:c r="G13" s="31" t="n">
        <x:v>46076</x:v>
      </x:c>
      <x:c r="H13" s="31" t="n">
        <x:v>1</x:v>
      </x:c>
      <x:c r="I13" s="31" t="inlineStr">
        <x:is>
          <x:t xml:space="preserve">Низкий</x:t>
        </x:is>
      </x:c>
      <x:c r="J13" s="31" t="inlineStr">
        <x:is>
          <x:t xml:space="preserve">Инв-27865</x:t>
        </x:is>
      </x:c>
    </x:row>
    <x:row r="14" ht="18" customHeight="1">
      <x:c r="A14" s="31" t="inlineStr">
        <x:is>
          <x:t xml:space="preserve">ОБ-013</x:t>
        </x:is>
      </x:c>
      <x:c r="B14" s="31" t="inlineStr">
        <x:is>
          <x:t xml:space="preserve">Стенд гидроиспытаний</x:t>
        </x:is>
      </x:c>
      <x:c r="C14" s="31" t="inlineStr">
        <x:is>
          <x:t xml:space="preserve">ОТК</x:t>
        </x:is>
      </x:c>
      <x:c r="D14" s="31" t="inlineStr">
        <x:is>
          <x:t xml:space="preserve">Раподрядчикает</x:t>
        </x:is>
      </x:c>
      <x:c r="E14" s="31" t="n">
        <x:v>69</x:v>
      </x:c>
      <x:c r="F14" s="31" t="n">
        <x:v>45942</x:v>
      </x:c>
      <x:c r="G14" s="31" t="n">
        <x:v>46100</x:v>
      </x:c>
      <x:c r="H14" s="31" t="n">
        <x:v>2</x:v>
      </x:c>
      <x:c r="I14" s="31" t="inlineStr">
        <x:is>
          <x:t xml:space="preserve">Низкий</x:t>
        </x:is>
      </x:c>
      <x:c r="J14" s="31" t="inlineStr">
        <x:is>
          <x:t xml:space="preserve">Инв-66418</x:t>
        </x:is>
      </x:c>
    </x:row>
    <x:row r="15" ht="18" customHeight="1">
      <x:c r="A15" s="31" t="inlineStr">
        <x:is>
          <x:t xml:space="preserve">ОБ-014</x:t>
        </x:is>
      </x:c>
      <x:c r="B15" s="31" t="inlineStr">
        <x:is>
          <x:t xml:space="preserve">Электромонтажный стол</x:t>
        </x:is>
      </x:c>
      <x:c r="C15" s="31" t="inlineStr">
        <x:is>
          <x:t xml:space="preserve">Сборка</x:t>
        </x:is>
      </x:c>
      <x:c r="D15" s="31" t="inlineStr">
        <x:is>
          <x:t xml:space="preserve">Раподрядчикает</x:t>
        </x:is>
      </x:c>
      <x:c r="E15" s="31" t="n">
        <x:v>85</x:v>
      </x:c>
      <x:c r="F15" s="31" t="n">
        <x:v>45941</x:v>
      </x:c>
      <x:c r="G15" s="31" t="n">
        <x:v>46108</x:v>
      </x:c>
      <x:c r="H15" s="31" t="n">
        <x:v>2</x:v>
      </x:c>
      <x:c r="I15" s="31" t="inlineStr">
        <x:is>
          <x:t xml:space="preserve">Низкий</x:t>
        </x:is>
      </x:c>
      <x:c r="J15" s="31" t="inlineStr">
        <x:is>
          <x:t xml:space="preserve">Инв-83472</x:t>
        </x:is>
      </x:c>
    </x:row>
    <x:row r="16" ht="18" customHeight="1">
      <x:c r="A16" s="31" t="inlineStr">
        <x:is>
          <x:t xml:space="preserve">ОБ-015</x:t>
        </x:is>
      </x:c>
      <x:c r="B16" s="31" t="inlineStr">
        <x:is>
          <x:t xml:space="preserve">Стенд приемочных испытаний</x:t>
        </x:is>
      </x:c>
      <x:c r="C16" s="31" t="inlineStr">
        <x:is>
          <x:t xml:space="preserve">ОТК</x:t>
        </x:is>
      </x:c>
      <x:c r="D16" s="31" t="inlineStr">
        <x:is>
          <x:t xml:space="preserve">Раподрядчикает</x:t>
        </x:is>
      </x:c>
      <x:c r="E16" s="31" t="n">
        <x:v>45</x:v>
      </x:c>
      <x:c r="F16" s="31" t="n">
        <x:v>46032</x:v>
      </x:c>
      <x:c r="G16" s="31" t="n">
        <x:v>46120</x:v>
      </x:c>
      <x:c r="H16" s="31" t="n">
        <x:v>2</x:v>
      </x:c>
      <x:c r="I16" s="31" t="inlineStr">
        <x:is>
          <x:t xml:space="preserve">Средний</x:t>
        </x:is>
      </x:c>
      <x:c r="J16" s="31" t="inlineStr">
        <x:is>
          <x:t xml:space="preserve">Инв-38913</x:t>
        </x:is>
      </x:c>
    </x:row>
    <x:row r="17" ht="18" customHeight="1">
      <x:c r="A17" s="31" t="inlineStr">
        <x:is>
          <x:t xml:space="preserve">ОБ-016</x:t>
        </x:is>
      </x:c>
      <x:c r="B17" s="31" t="inlineStr">
        <x:is>
          <x:t xml:space="preserve">Электромонтажный стол</x:t>
        </x:is>
      </x:c>
      <x:c r="C17" s="31" t="inlineStr">
        <x:is>
          <x:t xml:space="preserve">Сборка</x:t>
        </x:is>
      </x:c>
      <x:c r="D17" s="31" t="inlineStr">
        <x:is>
          <x:t xml:space="preserve">Раподрядчикает</x:t>
        </x:is>
      </x:c>
      <x:c r="E17" s="31" t="n">
        <x:v>75</x:v>
      </x:c>
      <x:c r="F17" s="31" t="n">
        <x:v>45971</x:v>
      </x:c>
      <x:c r="G17" s="31" t="n">
        <x:v>46104</x:v>
      </x:c>
      <x:c r="H17" s="31" t="n">
        <x:v>3</x:v>
      </x:c>
      <x:c r="I17" s="31" t="inlineStr">
        <x:is>
          <x:t xml:space="preserve">Средний</x:t>
        </x:is>
      </x:c>
      <x:c r="J17" s="31" t="inlineStr">
        <x:is>
          <x:t xml:space="preserve">Инв-99737</x:t>
        </x:is>
      </x:c>
    </x:row>
    <x:row r="18" ht="18" customHeight="1">
      <x:c r="A18" s="31" t="inlineStr">
        <x:is>
          <x:t xml:space="preserve">ОБ-017</x:t>
        </x:is>
      </x:c>
      <x:c r="B18" s="31" t="inlineStr">
        <x:is>
          <x:t xml:space="preserve">Электромонтажный стол</x:t>
        </x:is>
      </x:c>
      <x:c r="C18" s="31" t="inlineStr">
        <x:is>
          <x:t xml:space="preserve">Сборка</x:t>
        </x:is>
      </x:c>
      <x:c r="D18" s="31" t="inlineStr">
        <x:is>
          <x:t xml:space="preserve">Раподрядчикает</x:t>
        </x:is>
      </x:c>
      <x:c r="E18" s="31" t="n">
        <x:v>82</x:v>
      </x:c>
      <x:c r="F18" s="31" t="n">
        <x:v>46009</x:v>
      </x:c>
      <x:c r="G18" s="31" t="n">
        <x:v>46072</x:v>
      </x:c>
      <x:c r="H18" s="31" t="n">
        <x:v>2</x:v>
      </x:c>
      <x:c r="I18" s="31" t="inlineStr">
        <x:is>
          <x:t xml:space="preserve">Низкий</x:t>
        </x:is>
      </x:c>
      <x:c r="J18" s="31" t="inlineStr">
        <x:is>
          <x:t xml:space="preserve">Инв-18973</x:t>
        </x:is>
      </x:c>
    </x:row>
    <x:row r="19" ht="18" customHeight="1">
      <x:c r="A19" s="31" t="inlineStr">
        <x:is>
          <x:t xml:space="preserve">ОБ-018</x:t>
        </x:is>
      </x:c>
      <x:c r="B19" s="31" t="inlineStr">
        <x:is>
          <x:t xml:space="preserve">Сварочный пост</x:t>
        </x:is>
      </x:c>
      <x:c r="C19" s="31" t="inlineStr">
        <x:is>
          <x:t xml:space="preserve">Сварка</x:t>
        </x:is>
      </x:c>
      <x:c r="D19" s="31" t="inlineStr">
        <x:is>
          <x:t xml:space="preserve">Раподрядчикает</x:t>
        </x:is>
      </x:c>
      <x:c r="E19" s="31" t="n">
        <x:v>42</x:v>
      </x:c>
      <x:c r="F19" s="31" t="n">
        <x:v>46022</x:v>
      </x:c>
      <x:c r="G19" s="31" t="n">
        <x:v>46096</x:v>
      </x:c>
      <x:c r="H19" s="31" t="n">
        <x:v>3</x:v>
      </x:c>
      <x:c r="I19" s="31" t="inlineStr">
        <x:is>
          <x:t xml:space="preserve">Средний</x:t>
        </x:is>
      </x:c>
      <x:c r="J19" s="31" t="inlineStr">
        <x:is>
          <x:t xml:space="preserve">Инв-91625</x:t>
        </x:is>
      </x:c>
    </x:row>
    <x:row r="20" ht="18" customHeight="1">
      <x:c r="A20" s="31" t="inlineStr">
        <x:is>
          <x:t xml:space="preserve">ОБ-019</x:t>
        </x:is>
      </x:c>
      <x:c r="B20" s="31" t="inlineStr">
        <x:is>
          <x:t xml:space="preserve">Покрасочная камера</x:t>
        </x:is>
      </x:c>
      <x:c r="C20" s="31" t="inlineStr">
        <x:is>
          <x:t xml:space="preserve">Сварка</x:t>
        </x:is>
      </x:c>
      <x:c r="D20" s="31" t="inlineStr">
        <x:is>
          <x:t xml:space="preserve">Раподрядчикает</x:t>
        </x:is>
      </x:c>
      <x:c r="E20" s="31" t="n">
        <x:v>36</x:v>
      </x:c>
      <x:c r="F20" s="31" t="n">
        <x:v>45960</x:v>
      </x:c>
      <x:c r="G20" s="31" t="n">
        <x:v>46044</x:v>
      </x:c>
      <x:c r="H20" s="31" t="n">
        <x:v>3</x:v>
      </x:c>
      <x:c r="I20" s="31" t="inlineStr">
        <x:is>
          <x:t xml:space="preserve">Низкий</x:t>
        </x:is>
      </x:c>
      <x:c r="J20" s="31" t="inlineStr">
        <x:is>
          <x:t xml:space="preserve">Инв-23405</x:t>
        </x:is>
      </x:c>
    </x:row>
    <x:row r="21" ht="18" customHeight="1">
      <x:c r="A21" s="31" t="inlineStr">
        <x:is>
          <x:t xml:space="preserve">ОБ-020</x:t>
        </x:is>
      </x:c>
      <x:c r="B21" s="31" t="inlineStr">
        <x:is>
          <x:t xml:space="preserve">Электромонтажный стол</x:t>
        </x:is>
      </x:c>
      <x:c r="C21" s="31" t="inlineStr">
        <x:is>
          <x:t xml:space="preserve">Сборка</x:t>
        </x:is>
      </x:c>
      <x:c r="D21" s="31" t="inlineStr">
        <x:is>
          <x:t xml:space="preserve">Раподрядчикает</x:t>
        </x:is>
      </x:c>
      <x:c r="E21" s="31" t="n">
        <x:v>80</x:v>
      </x:c>
      <x:c r="F21" s="31" t="n">
        <x:v>45997</x:v>
      </x:c>
      <x:c r="G21" s="31" t="n">
        <x:v>46039</x:v>
      </x:c>
      <x:c r="H21" s="31" t="n">
        <x:v>1</x:v>
      </x:c>
      <x:c r="I21" s="31" t="inlineStr">
        <x:is>
          <x:t xml:space="preserve">Низкий</x:t>
        </x:is>
      </x:c>
      <x:c r="J21" s="31" t="inlineStr">
        <x:is>
          <x:t xml:space="preserve">Инв-11930</x:t>
        </x:is>
      </x:c>
    </x:row>
    <x:row r="22" ht="18" customHeight="1">
      <x:c r="A22" s="31" t="inlineStr">
        <x:is>
          <x:t xml:space="preserve">ОБ-021</x:t>
        </x:is>
      </x:c>
      <x:c r="B22" s="31" t="inlineStr">
        <x:is>
          <x:t xml:space="preserve">Покрасочная камера</x:t>
        </x:is>
      </x:c>
      <x:c r="C22" s="31" t="inlineStr">
        <x:is>
          <x:t xml:space="preserve">Сварка</x:t>
        </x:is>
      </x:c>
      <x:c r="D22" s="31" t="inlineStr">
        <x:is>
          <x:t xml:space="preserve">Раподрядчикает</x:t>
        </x:is>
      </x:c>
      <x:c r="E22" s="31" t="n">
        <x:v>61</x:v>
      </x:c>
      <x:c r="F22" s="31" t="n">
        <x:v>45980</x:v>
      </x:c>
      <x:c r="G22" s="31" t="n">
        <x:v>46101</x:v>
      </x:c>
      <x:c r="H22" s="31" t="n">
        <x:v>2</x:v>
      </x:c>
      <x:c r="I22" s="31" t="inlineStr">
        <x:is>
          <x:t xml:space="preserve">Средний</x:t>
        </x:is>
      </x:c>
      <x:c r="J22" s="31" t="inlineStr">
        <x:is>
          <x:t xml:space="preserve">Инв-14159</x:t>
        </x:is>
      </x:c>
    </x:row>
    <x:row r="23" ht="18" customHeight="1">
      <x:c r="A23" s="31" t="inlineStr">
        <x:is>
          <x:t xml:space="preserve">ОБ-022</x:t>
        </x:is>
      </x:c>
      <x:c r="B23" s="31" t="inlineStr">
        <x:is>
          <x:t xml:space="preserve">Стенд гидроиспытаний</x:t>
        </x:is>
      </x:c>
      <x:c r="C23" s="31" t="inlineStr">
        <x:is>
          <x:t xml:space="preserve">ОТК</x:t>
        </x:is>
      </x:c>
      <x:c r="D23" s="31" t="inlineStr">
        <x:is>
          <x:t xml:space="preserve">Раподрядчикает</x:t>
        </x:is>
      </x:c>
      <x:c r="E23" s="31" t="n">
        <x:v>83</x:v>
      </x:c>
      <x:c r="F23" s="31" t="n">
        <x:v>45959</x:v>
      </x:c>
      <x:c r="G23" s="31" t="n">
        <x:v>46045</x:v>
      </x:c>
      <x:c r="H23" s="31" t="n">
        <x:v>2</x:v>
      </x:c>
      <x:c r="I23" s="31" t="inlineStr">
        <x:is>
          <x:t xml:space="preserve">Средний</x:t>
        </x:is>
      </x:c>
      <x:c r="J23" s="31" t="inlineStr">
        <x:is>
          <x:t xml:space="preserve">Инв-19356</x:t>
        </x:is>
      </x:c>
    </x:row>
    <x:row r="24" ht="18" customHeight="1">
      <x:c r="A24" s="31" t="inlineStr">
        <x:is>
          <x:t xml:space="preserve">ОБ-023</x:t>
        </x:is>
      </x:c>
      <x:c r="B24" s="31" t="inlineStr">
        <x:is>
          <x:t xml:space="preserve">Погрузчик</x:t>
        </x:is>
      </x:c>
      <x:c r="C24" s="31" t="inlineStr">
        <x:is>
          <x:t xml:space="preserve">Склад</x:t>
        </x:is>
      </x:c>
      <x:c r="D24" s="31" t="inlineStr">
        <x:is>
          <x:t xml:space="preserve">Раподрядчикает</x:t>
        </x:is>
      </x:c>
      <x:c r="E24" s="31" t="n">
        <x:v>47</x:v>
      </x:c>
      <x:c r="F24" s="31" t="n">
        <x:v>45973</x:v>
      </x:c>
      <x:c r="G24" s="31" t="n">
        <x:v>46086</x:v>
      </x:c>
      <x:c r="H24" s="31" t="n">
        <x:v>1</x:v>
      </x:c>
      <x:c r="I24" s="31" t="inlineStr">
        <x:is>
          <x:t xml:space="preserve">Низкий</x:t>
        </x:is>
      </x:c>
      <x:c r="J24" s="31" t="inlineStr">
        <x:is>
          <x:t xml:space="preserve">Инв-42631</x:t>
        </x:is>
      </x:c>
    </x:row>
    <x:row r="25" ht="18" customHeight="1">
      <x:c r="A25" s="31" t="inlineStr">
        <x:is>
          <x:t xml:space="preserve">ОБ-024</x:t>
        </x:is>
      </x:c>
      <x:c r="B25" s="31" t="inlineStr">
        <x:is>
          <x:t xml:space="preserve">Стенд приемочных испытаний</x:t>
        </x:is>
      </x:c>
      <x:c r="C25" s="31" t="inlineStr">
        <x:is>
          <x:t xml:space="preserve">ОТК</x:t>
        </x:is>
      </x:c>
      <x:c r="D25" s="31" t="inlineStr">
        <x:is>
          <x:t xml:space="preserve">Раподрядчикает</x:t>
        </x:is>
      </x:c>
      <x:c r="E25" s="31" t="n">
        <x:v>63</x:v>
      </x:c>
      <x:c r="F25" s="31" t="n">
        <x:v>45972</x:v>
      </x:c>
      <x:c r="G25" s="31" t="n">
        <x:v>46042</x:v>
      </x:c>
      <x:c r="H25" s="31" t="n">
        <x:v>1</x:v>
      </x:c>
      <x:c r="I25" s="31" t="inlineStr">
        <x:is>
          <x:t xml:space="preserve">Средний</x:t>
        </x:is>
      </x:c>
      <x:c r="J25" s="31" t="inlineStr">
        <x:is>
          <x:t xml:space="preserve">Инв-22315</x:t>
        </x:is>
      </x:c>
    </x:row>
    <x:row r="26" ht="18" customHeight="1">
      <x:c r="A26" s="31" t="inlineStr">
        <x:is>
          <x:t xml:space="preserve">ОБ-025</x:t>
        </x:is>
      </x:c>
      <x:c r="B26" s="31" t="inlineStr">
        <x:is>
          <x:t xml:space="preserve">Погрузчик</x:t>
        </x:is>
      </x:c>
      <x:c r="C26" s="31" t="inlineStr">
        <x:is>
          <x:t xml:space="preserve">Склад</x:t>
        </x:is>
      </x:c>
      <x:c r="D26" s="31" t="inlineStr">
        <x:is>
          <x:t xml:space="preserve">Раподрядчикает</x:t>
        </x:is>
      </x:c>
      <x:c r="E26" s="31" t="n">
        <x:v>48</x:v>
      </x:c>
      <x:c r="F26" s="31" t="n">
        <x:v>46001</x:v>
      </x:c>
      <x:c r="G26" s="31" t="n">
        <x:v>46087</x:v>
      </x:c>
      <x:c r="H26" s="31" t="n">
        <x:v>3</x:v>
      </x:c>
      <x:c r="I26" s="31" t="inlineStr">
        <x:is>
          <x:t xml:space="preserve">Высокий</x:t>
        </x:is>
      </x:c>
      <x:c r="J26" s="31" t="inlineStr">
        <x:is>
          <x:t xml:space="preserve">Инв-52344</x:t>
        </x:is>
      </x:c>
    </x:row>
    <x:row r="27" ht="18" customHeight="1">
      <x:c r="A27" s="31" t="inlineStr">
        <x:is>
          <x:t xml:space="preserve">ОБ-026</x:t>
        </x:is>
      </x:c>
      <x:c r="B27" s="31" t="inlineStr">
        <x:is>
          <x:t xml:space="preserve">Сварочный пост</x:t>
        </x:is>
      </x:c>
      <x:c r="C27" s="31" t="inlineStr">
        <x:is>
          <x:t xml:space="preserve">Сварка</x:t>
        </x:is>
      </x:c>
      <x:c r="D27" s="31" t="inlineStr">
        <x:is>
          <x:t xml:space="preserve">Раподрядчикает</x:t>
        </x:is>
      </x:c>
      <x:c r="E27" s="31" t="n">
        <x:v>37</x:v>
      </x:c>
      <x:c r="F27" s="31" t="n">
        <x:v>46036</x:v>
      </x:c>
      <x:c r="G27" s="31" t="n">
        <x:v>46108</x:v>
      </x:c>
      <x:c r="H27" s="31" t="n">
        <x:v>3</x:v>
      </x:c>
      <x:c r="I27" s="31" t="inlineStr">
        <x:is>
          <x:t xml:space="preserve">Низкий</x:t>
        </x:is>
      </x:c>
      <x:c r="J27" s="31" t="inlineStr">
        <x:is>
          <x:t xml:space="preserve">Инв-73075</x:t>
        </x:is>
      </x:c>
    </x:row>
    <x:row r="28" ht="18" customHeight="1">
      <x:c r="A28" s="31" t="inlineStr">
        <x:is>
          <x:t xml:space="preserve">ОБ-027</x:t>
        </x:is>
      </x:c>
      <x:c r="B28" s="31" t="inlineStr">
        <x:is>
          <x:t xml:space="preserve">Электромонтажный стол</x:t>
        </x:is>
      </x:c>
      <x:c r="C28" s="31" t="inlineStr">
        <x:is>
          <x:t xml:space="preserve">Сборка</x:t>
        </x:is>
      </x:c>
      <x:c r="D28" s="31" t="inlineStr">
        <x:is>
          <x:t xml:space="preserve">Раподрядчикает</x:t>
        </x:is>
      </x:c>
      <x:c r="E28" s="31" t="n">
        <x:v>91</x:v>
      </x:c>
      <x:c r="F28" s="31" t="n">
        <x:v>45947</x:v>
      </x:c>
      <x:c r="G28" s="31" t="n">
        <x:v>46065</x:v>
      </x:c>
      <x:c r="H28" s="31" t="n">
        <x:v>1</x:v>
      </x:c>
      <x:c r="I28" s="31" t="inlineStr">
        <x:is>
          <x:t xml:space="preserve">Низкий</x:t>
        </x:is>
      </x:c>
      <x:c r="J28" s="31" t="inlineStr">
        <x:is>
          <x:t xml:space="preserve">Инв-66906</x:t>
        </x:is>
      </x:c>
    </x:row>
    <x:row r="29" ht="18" customHeight="1">
      <x:c r="A29" s="31" t="inlineStr">
        <x:is>
          <x:t xml:space="preserve">ОБ-028</x:t>
        </x:is>
      </x:c>
      <x:c r="B29" s="31" t="inlineStr">
        <x:is>
          <x:t xml:space="preserve">Стенд гидроиспытаний</x:t>
        </x:is>
      </x:c>
      <x:c r="C29" s="31" t="inlineStr">
        <x:is>
          <x:t xml:space="preserve">ОТК</x:t>
        </x:is>
      </x:c>
      <x:c r="D29" s="31" t="inlineStr">
        <x:is>
          <x:t xml:space="preserve">Раподрядчикает</x:t>
        </x:is>
      </x:c>
      <x:c r="E29" s="31" t="n">
        <x:v>85</x:v>
      </x:c>
      <x:c r="F29" s="31" t="n">
        <x:v>45976</x:v>
      </x:c>
      <x:c r="G29" s="31" t="n">
        <x:v>46112</x:v>
      </x:c>
      <x:c r="H29" s="31" t="n">
        <x:v>1</x:v>
      </x:c>
      <x:c r="I29" s="31" t="inlineStr">
        <x:is>
          <x:t xml:space="preserve">Низкий</x:t>
        </x:is>
      </x:c>
      <x:c r="J29" s="31" t="inlineStr">
        <x:is>
          <x:t xml:space="preserve">Инв-41862</x:t>
        </x:is>
      </x:c>
    </x:row>
    <x:row r="30" ht="18" customHeight="1">
      <x:c r="A30" s="31" t="inlineStr">
        <x:is>
          <x:t xml:space="preserve">ОБ-029</x:t>
        </x:is>
      </x:c>
      <x:c r="B30" s="31" t="inlineStr">
        <x:is>
          <x:t xml:space="preserve">Токарный ЧПУ</x:t>
        </x:is>
      </x:c>
      <x:c r="C30" s="31" t="inlineStr">
        <x:is>
          <x:t xml:space="preserve">Механообработка</x:t>
        </x:is>
      </x:c>
      <x:c r="D30" s="31" t="inlineStr">
        <x:is>
          <x:t xml:space="preserve">Ожидает запчасть</x:t>
        </x:is>
      </x:c>
      <x:c r="E30" s="31" t="n">
        <x:v>72</x:v>
      </x:c>
      <x:c r="F30" s="31" t="n">
        <x:v>46029</x:v>
      </x:c>
      <x:c r="G30" s="31" t="n">
        <x:v>46098</x:v>
      </x:c>
      <x:c r="H30" s="31" t="n">
        <x:v>3</x:v>
      </x:c>
      <x:c r="I30" s="31" t="inlineStr">
        <x:is>
          <x:t xml:space="preserve">Средний</x:t>
        </x:is>
      </x:c>
      <x:c r="J30" s="31" t="inlineStr">
        <x:is>
          <x:t xml:space="preserve">Инв-58679</x:t>
        </x:is>
      </x:c>
    </x:row>
    <x:row r="31" ht="18" customHeight="1">
      <x:c r="A31" s="31" t="inlineStr">
        <x:is>
          <x:t xml:space="preserve">ОБ-030</x:t>
        </x:is>
      </x:c>
      <x:c r="B31" s="31" t="inlineStr">
        <x:is>
          <x:t xml:space="preserve">Фрезерный центр</x:t>
        </x:is>
      </x:c>
      <x:c r="C31" s="31" t="inlineStr">
        <x:is>
          <x:t xml:space="preserve">Механообработка</x:t>
        </x:is>
      </x:c>
      <x:c r="D31" s="31" t="inlineStr">
        <x:is>
          <x:t xml:space="preserve">Раподрядчикает</x:t>
        </x:is>
      </x:c>
      <x:c r="E31" s="31" t="n">
        <x:v>66</x:v>
      </x:c>
      <x:c r="F31" s="31" t="n">
        <x:v>45952</x:v>
      </x:c>
      <x:c r="G31" s="31" t="n">
        <x:v>46117</x:v>
      </x:c>
      <x:c r="H31" s="31" t="n">
        <x:v>2</x:v>
      </x:c>
      <x:c r="I31" s="31" t="inlineStr">
        <x:is>
          <x:t xml:space="preserve">Высокий</x:t>
        </x:is>
      </x:c>
      <x:c r="J31" s="31" t="inlineStr">
        <x:is>
          <x:t xml:space="preserve">Инв-91937</x:t>
        </x:is>
      </x:c>
    </x:row>
    <x:row r="32" ht="18" customHeight="1">
      <x:c r="A32" s="31" t="inlineStr">
        <x:is>
          <x:t xml:space="preserve">ОБ-031</x:t>
        </x:is>
      </x:c>
      <x:c r="B32" s="31" t="inlineStr">
        <x:is>
          <x:t xml:space="preserve">Токарный ЧПУ</x:t>
        </x:is>
      </x:c>
      <x:c r="C32" s="31" t="inlineStr">
        <x:is>
          <x:t xml:space="preserve">Механообработка</x:t>
        </x:is>
      </x:c>
      <x:c r="D32" s="31" t="inlineStr">
        <x:is>
          <x:t xml:space="preserve">Раподрядчикает</x:t>
        </x:is>
      </x:c>
      <x:c r="E32" s="31" t="n">
        <x:v>76</x:v>
      </x:c>
      <x:c r="F32" s="31" t="n">
        <x:v>45960</x:v>
      </x:c>
      <x:c r="G32" s="31" t="n">
        <x:v>46106</x:v>
      </x:c>
      <x:c r="H32" s="31" t="n">
        <x:v>1</x:v>
      </x:c>
      <x:c r="I32" s="31" t="inlineStr">
        <x:is>
          <x:t xml:space="preserve">Низкий</x:t>
        </x:is>
      </x:c>
      <x:c r="J32" s="31" t="inlineStr">
        <x:is>
          <x:t xml:space="preserve">Инв-40497</x:t>
        </x:is>
      </x:c>
    </x:row>
    <x:row r="33" ht="18" customHeight="1">
      <x:c r="A33" s="31" t="inlineStr">
        <x:is>
          <x:t xml:space="preserve">ОБ-032</x:t>
        </x:is>
      </x:c>
      <x:c r="B33" s="31" t="inlineStr">
        <x:is>
          <x:t xml:space="preserve">Стенд гидроиспытаний</x:t>
        </x:is>
      </x:c>
      <x:c r="C33" s="31" t="inlineStr">
        <x:is>
          <x:t xml:space="preserve">ОТК</x:t>
        </x:is>
      </x:c>
      <x:c r="D33" s="31" t="inlineStr">
        <x:is>
          <x:t xml:space="preserve">Ожидает запчасть</x:t>
        </x:is>
      </x:c>
      <x:c r="E33" s="31" t="n">
        <x:v>85</x:v>
      </x:c>
      <x:c r="F33" s="31" t="n">
        <x:v>46023</x:v>
      </x:c>
      <x:c r="G33" s="31" t="n">
        <x:v>46082</x:v>
      </x:c>
      <x:c r="H33" s="31" t="n">
        <x:v>2</x:v>
      </x:c>
      <x:c r="I33" s="31" t="inlineStr">
        <x:is>
          <x:t xml:space="preserve">Средний</x:t>
        </x:is>
      </x:c>
      <x:c r="J33" s="31" t="inlineStr">
        <x:is>
          <x:t xml:space="preserve">Инв-12798</x:t>
        </x:is>
      </x:c>
    </x:row>
    <x:row r="34" ht="18" customHeight="1">
      <x:c r="A34" s="31" t="inlineStr">
        <x:is>
          <x:t xml:space="preserve">ОБ-033</x:t>
        </x:is>
      </x:c>
      <x:c r="B34" s="31" t="inlineStr">
        <x:is>
          <x:t xml:space="preserve">Стенд приемочных испытаний</x:t>
        </x:is>
      </x:c>
      <x:c r="C34" s="31" t="inlineStr">
        <x:is>
          <x:t xml:space="preserve">ОТК</x:t>
        </x:is>
      </x:c>
      <x:c r="D34" s="31" t="inlineStr">
        <x:is>
          <x:t xml:space="preserve">Раподрядчикает</x:t>
        </x:is>
      </x:c>
      <x:c r="E34" s="31" t="n">
        <x:v>43</x:v>
      </x:c>
      <x:c r="F34" s="31" t="n">
        <x:v>45973</x:v>
      </x:c>
      <x:c r="G34" s="31" t="n">
        <x:v>46043</x:v>
      </x:c>
      <x:c r="H34" s="31" t="n">
        <x:v>2</x:v>
      </x:c>
      <x:c r="I34" s="31" t="inlineStr">
        <x:is>
          <x:t xml:space="preserve">Средний</x:t>
        </x:is>
      </x:c>
      <x:c r="J34" s="31" t="inlineStr">
        <x:is>
          <x:t xml:space="preserve">Инв-83272</x:t>
        </x:is>
      </x:c>
    </x:row>
    <x:row r="35" ht="18" customHeight="1">
      <x:c r="A35" s="31" t="inlineStr">
        <x:is>
          <x:t xml:space="preserve">ОБ-034</x:t>
        </x:is>
      </x:c>
      <x:c r="B35" s="31" t="inlineStr">
        <x:is>
          <x:t xml:space="preserve">Электромонтажный стол</x:t>
        </x:is>
      </x:c>
      <x:c r="C35" s="31" t="inlineStr">
        <x:is>
          <x:t xml:space="preserve">Сборка</x:t>
        </x:is>
      </x:c>
      <x:c r="D35" s="31" t="inlineStr">
        <x:is>
          <x:t xml:space="preserve">Раподрядчикает</x:t>
        </x:is>
      </x:c>
      <x:c r="E35" s="31" t="n">
        <x:v>66</x:v>
      </x:c>
      <x:c r="F35" s="31" t="n">
        <x:v>45965</x:v>
      </x:c>
      <x:c r="G35" s="31" t="n">
        <x:v>46110</x:v>
      </x:c>
      <x:c r="H35" s="31" t="n">
        <x:v>1</x:v>
      </x:c>
      <x:c r="I35" s="31" t="inlineStr">
        <x:is>
          <x:t xml:space="preserve">Средний</x:t>
        </x:is>
      </x:c>
      <x:c r="J35" s="31" t="inlineStr">
        <x:is>
          <x:t xml:space="preserve">Инв-52425</x:t>
        </x:is>
      </x:c>
    </x:row>
    <x:row r="36" ht="18" customHeight="1">
      <x:c r="A36" s="31" t="inlineStr">
        <x:is>
          <x:t xml:space="preserve">ОБ-035</x:t>
        </x:is>
      </x:c>
      <x:c r="B36" s="31" t="inlineStr">
        <x:is>
          <x:t xml:space="preserve">Покрасочная камера</x:t>
        </x:is>
      </x:c>
      <x:c r="C36" s="31" t="inlineStr">
        <x:is>
          <x:t xml:space="preserve">Сварка</x:t>
        </x:is>
      </x:c>
      <x:c r="D36" s="31" t="inlineStr">
        <x:is>
          <x:t xml:space="preserve">Раподрядчикает</x:t>
        </x:is>
      </x:c>
      <x:c r="E36" s="31" t="n">
        <x:v>88</x:v>
      </x:c>
      <x:c r="F36" s="31" t="n">
        <x:v>46017</x:v>
      </x:c>
      <x:c r="G36" s="31" t="n">
        <x:v>46108</x:v>
      </x:c>
      <x:c r="H36" s="31" t="n">
        <x:v>1</x:v>
      </x:c>
      <x:c r="I36" s="31" t="inlineStr">
        <x:is>
          <x:t xml:space="preserve">Низкий</x:t>
        </x:is>
      </x:c>
      <x:c r="J36" s="31" t="inlineStr">
        <x:is>
          <x:t xml:space="preserve">Инв-30319</x:t>
        </x:is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8" customWidth="1"/>
    <x:col min="3" max="3" width="12" customWidth="1"/>
    <x:col min="4" max="4" width="10" customWidth="1"/>
    <x:col min="5" max="5" width="20" customWidth="1"/>
    <x:col min="6" max="6" width="12" customWidth="1"/>
    <x:col min="7" max="7" width="12" customWidth="1"/>
    <x:col min="8" max="8" width="17" customWidth="1"/>
    <x:col min="9" max="9" width="15" customWidth="1"/>
    <x:col min="10" max="10" width="28" customWidth="1"/>
  </x:cols>
  <x:sheetData>
    <x:row r="1" ht="18" customHeight="1">
      <x:c r="A1" s="30" t="inlineStr">
        <x:is>
          <x:t xml:space="preserve">Код ТО</x:t>
        </x:is>
      </x:c>
      <x:c r="B1" s="30" t="inlineStr">
        <x:is>
          <x:t xml:space="preserve">Код оборудования</x:t>
        </x:is>
      </x:c>
      <x:c r="C1" s="30" t="inlineStr">
        <x:is>
          <x:t xml:space="preserve">Вид ТО</x:t>
        </x:is>
      </x:c>
      <x:c r="D1" s="30" t="inlineStr">
        <x:is>
          <x:t xml:space="preserve">Начало</x:t>
        </x:is>
      </x:c>
      <x:c r="E1" s="30" t="inlineStr">
        <x:is>
          <x:t xml:space="preserve">Окончание</x:t>
        </x:is>
      </x:c>
      <x:c r="F1" s="30" t="inlineStr">
        <x:is>
          <x:t xml:space="preserve">Статус</x:t>
        </x:is>
      </x:c>
      <x:c r="G1" s="30" t="inlineStr">
        <x:is>
          <x:t xml:space="preserve">Простой, ч</x:t>
        </x:is>
      </x:c>
      <x:c r="H1" s="30" t="inlineStr">
        <x:is>
          <x:t xml:space="preserve">Стоимость, руб.</x:t>
        </x:is>
      </x:c>
      <x:c r="I1" s="30" t="inlineStr">
        <x:is>
          <x:t xml:space="preserve">Ответственный</x:t>
        </x:is>
      </x:c>
      <x:c r="J1" s="30" t="inlineStr">
        <x:is>
          <x:t xml:space="preserve">Примечание</x:t>
        </x:is>
      </x:c>
    </x:row>
    <x:row r="2" ht="18" customHeight="1">
      <x:c r="A2" s="31" t="inlineStr">
        <x:is>
          <x:t xml:space="preserve">ТО-001-0</x:t>
        </x:is>
      </x:c>
      <x:c r="B2" s="31" t="inlineStr">
        <x:is>
          <x:t xml:space="preserve">ОБ-001</x:t>
        </x:is>
      </x:c>
      <x:c r="C2" s="31" t="inlineStr">
        <x:is>
          <x:t xml:space="preserve">Ремонт</x:t>
        </x:is>
      </x:c>
      <x:c r="D2" s="31" t="n">
        <x:v>46130</x:v>
      </x:c>
      <x:c r="E2" s="31" t="n">
        <x:v>46130.375</x:v>
      </x:c>
      <x:c r="F2" s="31" t="inlineStr">
        <x:is>
          <x:t xml:space="preserve">План</x:t>
        </x:is>
      </x:c>
      <x:c r="G2" s="31" t="n">
        <x:v>9</x:v>
      </x:c>
      <x:c r="H2" s="31" t="n">
        <x:v>55373</x:v>
      </x:c>
      <x:c r="I2" s="31" t="inlineStr">
        <x:is>
          <x:t xml:space="preserve">СОТР-119</x:t>
        </x:is>
      </x:c>
      <x:c r="J2" s="31" t="inlineStr">
        <x:is>
          <x:t xml:space="preserve">Причина/работы: ремонт</x:t>
        </x:is>
      </x:c>
    </x:row>
    <x:row r="3" ht="18" customHeight="1">
      <x:c r="A3" s="31" t="inlineStr">
        <x:is>
          <x:t xml:space="preserve">ТО-001-1</x:t>
        </x:is>
      </x:c>
      <x:c r="B3" s="31" t="inlineStr">
        <x:is>
          <x:t xml:space="preserve">ОБ-001</x:t>
        </x:is>
      </x:c>
      <x:c r="C3" s="31" t="inlineStr">
        <x:is>
          <x:t xml:space="preserve">ППР</x:t>
        </x:is>
      </x:c>
      <x:c r="D3" s="31" t="n">
        <x:v>46160</x:v>
      </x:c>
      <x:c r="E3" s="31" t="n">
        <x:v>46160.45833333334</x:v>
      </x:c>
      <x:c r="F3" s="31" t="inlineStr">
        <x:is>
          <x:t xml:space="preserve">План</x:t>
        </x:is>
      </x:c>
      <x:c r="G3" s="31" t="n">
        <x:v>5</x:v>
      </x:c>
      <x:c r="H3" s="31" t="n">
        <x:v>108043</x:v>
      </x:c>
      <x:c r="I3" s="31" t="inlineStr">
        <x:is>
          <x:t xml:space="preserve">СОТР-117</x:t>
        </x:is>
      </x:c>
      <x:c r="J3" s="31" t="inlineStr">
        <x:is>
          <x:t xml:space="preserve">Причина/работы: ппр</x:t>
        </x:is>
      </x:c>
    </x:row>
    <x:row r="4" ht="18" customHeight="1">
      <x:c r="A4" s="31" t="inlineStr">
        <x:is>
          <x:t xml:space="preserve">ТО-001-2</x:t>
        </x:is>
      </x:c>
      <x:c r="B4" s="31" t="inlineStr">
        <x:is>
          <x:t xml:space="preserve">ОБ-001</x:t>
        </x:is>
      </x:c>
      <x:c r="C4" s="31" t="inlineStr">
        <x:is>
          <x:t xml:space="preserve">Калибровка</x:t>
        </x:is>
      </x:c>
      <x:c r="D4" s="31" t="n">
        <x:v>46075</x:v>
      </x:c>
      <x:c r="E4" s="31" t="n">
        <x:v>46075.08333333334</x:v>
      </x:c>
      <x:c r="F4" s="31" t="inlineStr">
        <x:is>
          <x:t xml:space="preserve">Завершено</x:t>
        </x:is>
      </x:c>
      <x:c r="G4" s="31" t="n">
        <x:v>5</x:v>
      </x:c>
      <x:c r="H4" s="31" t="n">
        <x:v>19623</x:v>
      </x:c>
      <x:c r="I4" s="31" t="inlineStr">
        <x:is>
          <x:t xml:space="preserve">СОТР-118</x:t>
        </x:is>
      </x:c>
      <x:c r="J4" s="31" t="inlineStr">
        <x:is>
          <x:t xml:space="preserve">Причина/работы: калибровка</x:t>
        </x:is>
      </x:c>
    </x:row>
    <x:row r="5" ht="18" customHeight="1">
      <x:c r="A5" s="31" t="inlineStr">
        <x:is>
          <x:t xml:space="preserve">ТО-001-3</x:t>
        </x:is>
      </x:c>
      <x:c r="B5" s="31" t="inlineStr">
        <x:is>
          <x:t xml:space="preserve">ОБ-001</x:t>
        </x:is>
      </x:c>
      <x:c r="C5" s="31" t="inlineStr">
        <x:is>
          <x:t xml:space="preserve">ППР</x:t>
        </x:is>
      </x:c>
      <x:c r="D5" s="31" t="n">
        <x:v>46082</x:v>
      </x:c>
      <x:c r="E5" s="31" t="n">
        <x:v>46082.83333333334</x:v>
      </x:c>
      <x:c r="F5" s="31" t="inlineStr">
        <x:is>
          <x:t xml:space="preserve">Завершено</x:t>
        </x:is>
      </x:c>
      <x:c r="G5" s="31" t="n">
        <x:v>1</x:v>
      </x:c>
      <x:c r="H5" s="31" t="n">
        <x:v>94846</x:v>
      </x:c>
      <x:c r="I5" s="31" t="inlineStr">
        <x:is>
          <x:t xml:space="preserve">СОТР-120</x:t>
        </x:is>
      </x:c>
      <x:c r="J5" s="31" t="inlineStr">
        <x:is>
          <x:t xml:space="preserve">Причина/работы: ппр</x:t>
        </x:is>
      </x:c>
    </x:row>
    <x:row r="6" ht="18" customHeight="1">
      <x:c r="A6" s="31" t="inlineStr">
        <x:is>
          <x:t xml:space="preserve">ТО-002-0</x:t>
        </x:is>
      </x:c>
      <x:c r="B6" s="31" t="inlineStr">
        <x:is>
          <x:t xml:space="preserve">ОБ-002</x:t>
        </x:is>
      </x:c>
      <x:c r="C6" s="31" t="inlineStr">
        <x:is>
          <x:t xml:space="preserve">Ремонт</x:t>
        </x:is>
      </x:c>
      <x:c r="D6" s="31" t="n">
        <x:v>46032</x:v>
      </x:c>
      <x:c r="E6" s="31" t="n">
        <x:v>46032.41666666666</x:v>
      </x:c>
      <x:c r="F6" s="31" t="inlineStr">
        <x:is>
          <x:t xml:space="preserve">План</x:t>
        </x:is>
      </x:c>
      <x:c r="G6" s="31" t="n">
        <x:v>11</x:v>
      </x:c>
      <x:c r="H6" s="31" t="n">
        <x:v>23006</x:v>
      </x:c>
      <x:c r="I6" s="31" t="inlineStr">
        <x:is>
          <x:t xml:space="preserve">СОТР-119</x:t>
        </x:is>
      </x:c>
      <x:c r="J6" s="31" t="inlineStr">
        <x:is>
          <x:t xml:space="preserve">Причина/работы: ремонт</x:t>
        </x:is>
      </x:c>
    </x:row>
    <x:row r="7" ht="18" customHeight="1">
      <x:c r="A7" s="31" t="inlineStr">
        <x:is>
          <x:t xml:space="preserve">ТО-002-1</x:t>
        </x:is>
      </x:c>
      <x:c r="B7" s="31" t="inlineStr">
        <x:is>
          <x:t xml:space="preserve">ОБ-002</x:t>
        </x:is>
      </x:c>
      <x:c r="C7" s="31" t="inlineStr">
        <x:is>
          <x:t xml:space="preserve">ППР</x:t>
        </x:is>
      </x:c>
      <x:c r="D7" s="31" t="n">
        <x:v>46170</x:v>
      </x:c>
      <x:c r="E7" s="31" t="n">
        <x:v>46170.25</x:v>
      </x:c>
      <x:c r="F7" s="31" t="inlineStr">
        <x:is>
          <x:t xml:space="preserve">План</x:t>
        </x:is>
      </x:c>
      <x:c r="G7" s="31" t="n">
        <x:v>8</x:v>
      </x:c>
      <x:c r="H7" s="31" t="n">
        <x:v>133931</x:v>
      </x:c>
      <x:c r="I7" s="31" t="inlineStr">
        <x:is>
          <x:t xml:space="preserve">СОТР-117</x:t>
        </x:is>
      </x:c>
      <x:c r="J7" s="31" t="inlineStr">
        <x:is>
          <x:t xml:space="preserve">Причина/работы: ппр</x:t>
        </x:is>
      </x:c>
    </x:row>
    <x:row r="8" ht="18" customHeight="1">
      <x:c r="A8" s="31" t="inlineStr">
        <x:is>
          <x:t xml:space="preserve">ТО-002-2</x:t>
        </x:is>
      </x:c>
      <x:c r="B8" s="31" t="inlineStr">
        <x:is>
          <x:t xml:space="preserve">ОБ-002</x:t>
        </x:is>
      </x:c>
      <x:c r="C8" s="31" t="inlineStr">
        <x:is>
          <x:t xml:space="preserve">ППР</x:t>
        </x:is>
      </x:c>
      <x:c r="D8" s="31" t="n">
        <x:v>46052</x:v>
      </x:c>
      <x:c r="E8" s="31" t="n">
        <x:v>46052.75</x:v>
      </x:c>
      <x:c r="F8" s="31" t="inlineStr">
        <x:is>
          <x:t xml:space="preserve">Завершено</x:t>
        </x:is>
      </x:c>
      <x:c r="G8" s="31" t="n">
        <x:v>8</x:v>
      </x:c>
      <x:c r="H8" s="31" t="n">
        <x:v>80153</x:v>
      </x:c>
      <x:c r="I8" s="31" t="inlineStr">
        <x:is>
          <x:t xml:space="preserve">СОТР-089</x:t>
        </x:is>
      </x:c>
      <x:c r="J8" s="31" t="inlineStr">
        <x:is>
          <x:t xml:space="preserve">Причина/работы: ппр</x:t>
        </x:is>
      </x:c>
    </x:row>
    <x:row r="9" ht="18" customHeight="1">
      <x:c r="A9" s="31" t="inlineStr">
        <x:is>
          <x:t xml:space="preserve">ТО-003-0</x:t>
        </x:is>
      </x:c>
      <x:c r="B9" s="31" t="inlineStr">
        <x:is>
          <x:t xml:space="preserve">ОБ-003</x:t>
        </x:is>
      </x:c>
      <x:c r="C9" s="31" t="inlineStr">
        <x:is>
          <x:t xml:space="preserve">Ремонт</x:t>
        </x:is>
      </x:c>
      <x:c r="D9" s="31" t="n">
        <x:v>46126</x:v>
      </x:c>
      <x:c r="E9" s="31" t="n">
        <x:v>46126.54166666666</x:v>
      </x:c>
      <x:c r="F9" s="31" t="inlineStr">
        <x:is>
          <x:t xml:space="preserve">Завершено</x:t>
        </x:is>
      </x:c>
      <x:c r="G9" s="31" t="n">
        <x:v>10</x:v>
      </x:c>
      <x:c r="H9" s="31" t="n">
        <x:v>138414</x:v>
      </x:c>
      <x:c r="I9" s="31" t="inlineStr">
        <x:is>
          <x:t xml:space="preserve">СОТР-089</x:t>
        </x:is>
      </x:c>
      <x:c r="J9" s="31" t="inlineStr">
        <x:is>
          <x:t xml:space="preserve">Причина/работы: ремонт</x:t>
        </x:is>
      </x:c>
    </x:row>
    <x:row r="10" ht="18" customHeight="1">
      <x:c r="A10" s="31" t="inlineStr">
        <x:is>
          <x:t xml:space="preserve">ТО-003-1</x:t>
        </x:is>
      </x:c>
      <x:c r="B10" s="31" t="inlineStr">
        <x:is>
          <x:t xml:space="preserve">ОБ-003</x:t>
        </x:is>
      </x:c>
      <x:c r="C10" s="31" t="inlineStr">
        <x:is>
          <x:t xml:space="preserve">ППР</x:t>
        </x:is>
      </x:c>
      <x:c r="D10" s="31" t="n">
        <x:v>46126</x:v>
      </x:c>
      <x:c r="E10" s="31" t="n">
        <x:v>46126.16666666666</x:v>
      </x:c>
      <x:c r="F10" s="31" t="inlineStr">
        <x:is>
          <x:t xml:space="preserve">Завершено</x:t>
        </x:is>
      </x:c>
      <x:c r="G10" s="31" t="n">
        <x:v>10</x:v>
      </x:c>
      <x:c r="H10" s="31" t="n">
        <x:v>98661</x:v>
      </x:c>
      <x:c r="I10" s="31" t="inlineStr">
        <x:is>
          <x:t xml:space="preserve">СОТР-118</x:t>
        </x:is>
      </x:c>
      <x:c r="J10" s="31" t="inlineStr">
        <x:is>
          <x:t xml:space="preserve">Причина/работы: ппр</x:t>
        </x:is>
      </x:c>
    </x:row>
    <x:row r="11" ht="18" customHeight="1">
      <x:c r="A11" s="31" t="inlineStr">
        <x:is>
          <x:t xml:space="preserve">ТО-004-0</x:t>
        </x:is>
      </x:c>
      <x:c r="B11" s="31" t="inlineStr">
        <x:is>
          <x:t xml:space="preserve">ОБ-004</x:t>
        </x:is>
      </x:c>
      <x:c r="C11" s="31" t="inlineStr">
        <x:is>
          <x:t xml:space="preserve">ППР</x:t>
        </x:is>
      </x:c>
      <x:c r="D11" s="31" t="n">
        <x:v>46190</x:v>
      </x:c>
      <x:c r="E11" s="31" t="n">
        <x:v>46190.375</x:v>
      </x:c>
      <x:c r="F11" s="31" t="inlineStr">
        <x:is>
          <x:t xml:space="preserve">Завершено</x:t>
        </x:is>
      </x:c>
      <x:c r="G11" s="31" t="n">
        <x:v>3</x:v>
      </x:c>
      <x:c r="H11" s="31" t="n">
        <x:v>41104</x:v>
      </x:c>
      <x:c r="I11" s="31" t="inlineStr">
        <x:is>
          <x:t xml:space="preserve">СОТР-089</x:t>
        </x:is>
      </x:c>
      <x:c r="J11" s="31" t="inlineStr">
        <x:is>
          <x:t xml:space="preserve">Причина/работы: ппр</x:t>
        </x:is>
      </x:c>
    </x:row>
    <x:row r="12" ht="18" customHeight="1">
      <x:c r="A12" s="31" t="inlineStr">
        <x:is>
          <x:t xml:space="preserve">ТО-004-1</x:t>
        </x:is>
      </x:c>
      <x:c r="B12" s="31" t="inlineStr">
        <x:is>
          <x:t xml:space="preserve">ОБ-004</x:t>
        </x:is>
      </x:c>
      <x:c r="C12" s="31" t="inlineStr">
        <x:is>
          <x:t xml:space="preserve">ППР</x:t>
        </x:is>
      </x:c>
      <x:c r="D12" s="31" t="n">
        <x:v>46154</x:v>
      </x:c>
      <x:c r="E12" s="31" t="n">
        <x:v>46154.79166666666</x:v>
      </x:c>
      <x:c r="F12" s="31" t="inlineStr">
        <x:is>
          <x:t xml:space="preserve">План</x:t>
        </x:is>
      </x:c>
      <x:c r="G12" s="31" t="n">
        <x:v>5</x:v>
      </x:c>
      <x:c r="H12" s="31" t="n">
        <x:v>130709</x:v>
      </x:c>
      <x:c r="I12" s="31" t="inlineStr">
        <x:is>
          <x:t xml:space="preserve">СОТР-117</x:t>
        </x:is>
      </x:c>
      <x:c r="J12" s="31" t="inlineStr">
        <x:is>
          <x:t xml:space="preserve">Причина/работы: ппр</x:t>
        </x:is>
      </x:c>
    </x:row>
    <x:row r="13" ht="18" customHeight="1">
      <x:c r="A13" s="31" t="inlineStr">
        <x:is>
          <x:t xml:space="preserve">ТО-005-0</x:t>
        </x:is>
      </x:c>
      <x:c r="B13" s="31" t="inlineStr">
        <x:is>
          <x:t xml:space="preserve">ОБ-005</x:t>
        </x:is>
      </x:c>
      <x:c r="C13" s="31" t="inlineStr">
        <x:is>
          <x:t xml:space="preserve">ППР</x:t>
        </x:is>
      </x:c>
      <x:c r="D13" s="31" t="n">
        <x:v>46167</x:v>
      </x:c>
      <x:c r="E13" s="31" t="n">
        <x:v>46167.29166666666</x:v>
      </x:c>
      <x:c r="F13" s="31" t="inlineStr">
        <x:is>
          <x:t xml:space="preserve">План</x:t>
        </x:is>
      </x:c>
      <x:c r="G13" s="31" t="n">
        <x:v>3</x:v>
      </x:c>
      <x:c r="H13" s="31" t="n">
        <x:v>24941</x:v>
      </x:c>
      <x:c r="I13" s="31" t="inlineStr">
        <x:is>
          <x:t xml:space="preserve">СОТР-119</x:t>
        </x:is>
      </x:c>
      <x:c r="J13" s="31" t="inlineStr">
        <x:is>
          <x:t xml:space="preserve">Причина/работы: ппр</x:t>
        </x:is>
      </x:c>
    </x:row>
    <x:row r="14" ht="18" customHeight="1">
      <x:c r="A14" s="31" t="inlineStr">
        <x:is>
          <x:t xml:space="preserve">ТО-005-1</x:t>
        </x:is>
      </x:c>
      <x:c r="B14" s="31" t="inlineStr">
        <x:is>
          <x:t xml:space="preserve">ОБ-005</x:t>
        </x:is>
      </x:c>
      <x:c r="C14" s="31" t="inlineStr">
        <x:is>
          <x:t xml:space="preserve">ППР</x:t>
        </x:is>
      </x:c>
      <x:c r="D14" s="31" t="n">
        <x:v>46075</x:v>
      </x:c>
      <x:c r="E14" s="31" t="n">
        <x:v>46075.20833333334</x:v>
      </x:c>
      <x:c r="F14" s="31" t="inlineStr">
        <x:is>
          <x:t xml:space="preserve">Завершено</x:t>
        </x:is>
      </x:c>
      <x:c r="G14" s="31" t="n">
        <x:v>4</x:v>
      </x:c>
      <x:c r="H14" s="31" t="n">
        <x:v>73864</x:v>
      </x:c>
      <x:c r="I14" s="31" t="inlineStr">
        <x:is>
          <x:t xml:space="preserve">СОТР-117</x:t>
        </x:is>
      </x:c>
      <x:c r="J14" s="31" t="inlineStr">
        <x:is>
          <x:t xml:space="preserve">Причина/работы: ппр</x:t>
        </x:is>
      </x:c>
    </x:row>
    <x:row r="15" ht="18" customHeight="1">
      <x:c r="A15" s="31" t="inlineStr">
        <x:is>
          <x:t xml:space="preserve">ТО-005-2</x:t>
        </x:is>
      </x:c>
      <x:c r="B15" s="31" t="inlineStr">
        <x:is>
          <x:t xml:space="preserve">ОБ-005</x:t>
        </x:is>
      </x:c>
      <x:c r="C15" s="31" t="inlineStr">
        <x:is>
          <x:t xml:space="preserve">ППР</x:t>
        </x:is>
      </x:c>
      <x:c r="D15" s="31" t="n">
        <x:v>46039</x:v>
      </x:c>
      <x:c r="E15" s="31" t="n">
        <x:v>46039.5</x:v>
      </x:c>
      <x:c r="F15" s="31" t="inlineStr">
        <x:is>
          <x:t xml:space="preserve">Завершено</x:t>
        </x:is>
      </x:c>
      <x:c r="G15" s="31" t="n">
        <x:v>9</x:v>
      </x:c>
      <x:c r="H15" s="31" t="n">
        <x:v>34154</x:v>
      </x:c>
      <x:c r="I15" s="31" t="inlineStr">
        <x:is>
          <x:t xml:space="preserve">СОТР-117</x:t>
        </x:is>
      </x:c>
      <x:c r="J15" s="31" t="inlineStr">
        <x:is>
          <x:t xml:space="preserve">Причина/работы: ппр</x:t>
        </x:is>
      </x:c>
    </x:row>
    <x:row r="16" ht="18" customHeight="1">
      <x:c r="A16" s="31" t="inlineStr">
        <x:is>
          <x:t xml:space="preserve">ТО-005-3</x:t>
        </x:is>
      </x:c>
      <x:c r="B16" s="31" t="inlineStr">
        <x:is>
          <x:t xml:space="preserve">ОБ-005</x:t>
        </x:is>
      </x:c>
      <x:c r="C16" s="31" t="inlineStr">
        <x:is>
          <x:t xml:space="preserve">ППР</x:t>
        </x:is>
      </x:c>
      <x:c r="D16" s="31" t="n">
        <x:v>46058</x:v>
      </x:c>
      <x:c r="E16" s="31" t="n">
        <x:v>46058.58333333334</x:v>
      </x:c>
      <x:c r="F16" s="31" t="inlineStr">
        <x:is>
          <x:t xml:space="preserve">План</x:t>
        </x:is>
      </x:c>
      <x:c r="G16" s="31" t="n">
        <x:v>6</x:v>
      </x:c>
      <x:c r="H16" s="31" t="n">
        <x:v>64542</x:v>
      </x:c>
      <x:c r="I16" s="31" t="inlineStr">
        <x:is>
          <x:t xml:space="preserve">СОТР-089</x:t>
        </x:is>
      </x:c>
      <x:c r="J16" s="31" t="inlineStr">
        <x:is>
          <x:t xml:space="preserve">Причина/работы: ппр</x:t>
        </x:is>
      </x:c>
    </x:row>
    <x:row r="17" ht="18" customHeight="1">
      <x:c r="A17" s="31" t="inlineStr">
        <x:is>
          <x:t xml:space="preserve">ТО-006-0</x:t>
        </x:is>
      </x:c>
      <x:c r="B17" s="31" t="inlineStr">
        <x:is>
          <x:t xml:space="preserve">ОБ-006</x:t>
        </x:is>
      </x:c>
      <x:c r="C17" s="31" t="inlineStr">
        <x:is>
          <x:t xml:space="preserve">Авария</x:t>
        </x:is>
      </x:c>
      <x:c r="D17" s="31" t="n">
        <x:v>46046</x:v>
      </x:c>
      <x:c r="E17" s="31" t="n">
        <x:v>46046.41666666666</x:v>
      </x:c>
      <x:c r="F17" s="31" t="inlineStr">
        <x:is>
          <x:t xml:space="preserve">Завершено</x:t>
        </x:is>
      </x:c>
      <x:c r="G17" s="31" t="n">
        <x:v>4</x:v>
      </x:c>
      <x:c r="H17" s="31" t="n">
        <x:v>9105</x:v>
      </x:c>
      <x:c r="I17" s="31" t="inlineStr">
        <x:is>
          <x:t xml:space="preserve">СОТР-089</x:t>
        </x:is>
      </x:c>
      <x:c r="J17" s="31" t="inlineStr">
        <x:is>
          <x:t xml:space="preserve">Причина/работы: авария</x:t>
        </x:is>
      </x:c>
    </x:row>
    <x:row r="18" ht="18" customHeight="1">
      <x:c r="A18" s="31" t="inlineStr">
        <x:is>
          <x:t xml:space="preserve">ТО-006-1</x:t>
        </x:is>
      </x:c>
      <x:c r="B18" s="31" t="inlineStr">
        <x:is>
          <x:t xml:space="preserve">ОБ-006</x:t>
        </x:is>
      </x:c>
      <x:c r="C18" s="31" t="inlineStr">
        <x:is>
          <x:t xml:space="preserve">ППР</x:t>
        </x:is>
      </x:c>
      <x:c r="D18" s="31" t="n">
        <x:v>46060</x:v>
      </x:c>
      <x:c r="E18" s="31" t="n">
        <x:v>46060.16666666666</x:v>
      </x:c>
      <x:c r="F18" s="31" t="inlineStr">
        <x:is>
          <x:t xml:space="preserve">План</x:t>
        </x:is>
      </x:c>
      <x:c r="G18" s="31" t="n">
        <x:v>5</x:v>
      </x:c>
      <x:c r="H18" s="31" t="n">
        <x:v>85591</x:v>
      </x:c>
      <x:c r="I18" s="31" t="inlineStr">
        <x:is>
          <x:t xml:space="preserve">СОТР-117</x:t>
        </x:is>
      </x:c>
      <x:c r="J18" s="31" t="inlineStr">
        <x:is>
          <x:t xml:space="preserve">Причина/работы: ппр</x:t>
        </x:is>
      </x:c>
    </x:row>
    <x:row r="19" ht="18" customHeight="1">
      <x:c r="A19" s="31" t="inlineStr">
        <x:is>
          <x:t xml:space="preserve">ТО-007-0</x:t>
        </x:is>
      </x:c>
      <x:c r="B19" s="31" t="inlineStr">
        <x:is>
          <x:t xml:space="preserve">ОБ-007</x:t>
        </x:is>
      </x:c>
      <x:c r="C19" s="31" t="inlineStr">
        <x:is>
          <x:t xml:space="preserve">ППР</x:t>
        </x:is>
      </x:c>
      <x:c r="D19" s="31" t="n">
        <x:v>46103</x:v>
      </x:c>
      <x:c r="E19" s="31" t="n">
        <x:v>46103.91666666666</x:v>
      </x:c>
      <x:c r="F19" s="31" t="inlineStr">
        <x:is>
          <x:t xml:space="preserve">Завершено</x:t>
        </x:is>
      </x:c>
      <x:c r="G19" s="31" t="n">
        <x:v>11</x:v>
      </x:c>
      <x:c r="H19" s="31" t="n">
        <x:v>12284</x:v>
      </x:c>
      <x:c r="I19" s="31" t="inlineStr">
        <x:is>
          <x:t xml:space="preserve">СОТР-118</x:t>
        </x:is>
      </x:c>
      <x:c r="J19" s="31" t="inlineStr">
        <x:is>
          <x:t xml:space="preserve">Причина/работы: ппр</x:t>
        </x:is>
      </x:c>
    </x:row>
    <x:row r="20" ht="18" customHeight="1">
      <x:c r="A20" s="31" t="inlineStr">
        <x:is>
          <x:t xml:space="preserve">ТО-007-1</x:t>
        </x:is>
      </x:c>
      <x:c r="B20" s="31" t="inlineStr">
        <x:is>
          <x:t xml:space="preserve">ОБ-007</x:t>
        </x:is>
      </x:c>
      <x:c r="C20" s="31" t="inlineStr">
        <x:is>
          <x:t xml:space="preserve">Ремонт</x:t>
        </x:is>
      </x:c>
      <x:c r="D20" s="31" t="n">
        <x:v>46116</x:v>
      </x:c>
      <x:c r="E20" s="31" t="n">
        <x:v>46116.875</x:v>
      </x:c>
      <x:c r="F20" s="31" t="inlineStr">
        <x:is>
          <x:t xml:space="preserve">План</x:t>
        </x:is>
      </x:c>
      <x:c r="G20" s="31" t="n">
        <x:v>3</x:v>
      </x:c>
      <x:c r="H20" s="31" t="n">
        <x:v>130415</x:v>
      </x:c>
      <x:c r="I20" s="31" t="inlineStr">
        <x:is>
          <x:t xml:space="preserve">СОТР-119</x:t>
        </x:is>
      </x:c>
      <x:c r="J20" s="31" t="inlineStr">
        <x:is>
          <x:t xml:space="preserve">Причина/работы: ремонт</x:t>
        </x:is>
      </x:c>
    </x:row>
    <x:row r="21" ht="18" customHeight="1">
      <x:c r="A21" s="31" t="inlineStr">
        <x:is>
          <x:t xml:space="preserve">ТО-008-0</x:t>
        </x:is>
      </x:c>
      <x:c r="B21" s="31" t="inlineStr">
        <x:is>
          <x:t xml:space="preserve">ОБ-008</x:t>
        </x:is>
      </x:c>
      <x:c r="C21" s="31" t="inlineStr">
        <x:is>
          <x:t xml:space="preserve">ППР</x:t>
        </x:is>
      </x:c>
      <x:c r="D21" s="31" t="n">
        <x:v>46200</x:v>
      </x:c>
      <x:c r="E21" s="31" t="n">
        <x:v>46200.125</x:v>
      </x:c>
      <x:c r="F21" s="31" t="inlineStr">
        <x:is>
          <x:t xml:space="preserve">Завершено</x:t>
        </x:is>
      </x:c>
      <x:c r="G21" s="31" t="n">
        <x:v>10</x:v>
      </x:c>
      <x:c r="H21" s="31" t="n">
        <x:v>127258</x:v>
      </x:c>
      <x:c r="I21" s="31" t="inlineStr">
        <x:is>
          <x:t xml:space="preserve">СОТР-119</x:t>
        </x:is>
      </x:c>
      <x:c r="J21" s="31" t="inlineStr">
        <x:is>
          <x:t xml:space="preserve">Причина/работы: ппр</x:t>
        </x:is>
      </x:c>
    </x:row>
    <x:row r="22" ht="18" customHeight="1">
      <x:c r="A22" s="31" t="inlineStr">
        <x:is>
          <x:t xml:space="preserve">ТО-008-1</x:t>
        </x:is>
      </x:c>
      <x:c r="B22" s="31" t="inlineStr">
        <x:is>
          <x:t xml:space="preserve">ОБ-008</x:t>
        </x:is>
      </x:c>
      <x:c r="C22" s="31" t="inlineStr">
        <x:is>
          <x:t xml:space="preserve">Авария</x:t>
        </x:is>
      </x:c>
      <x:c r="D22" s="31" t="n">
        <x:v>46190</x:v>
      </x:c>
      <x:c r="E22" s="31" t="n">
        <x:v>46190.70833333334</x:v>
      </x:c>
      <x:c r="F22" s="31" t="inlineStr">
        <x:is>
          <x:t xml:space="preserve">Завершено</x:t>
        </x:is>
      </x:c>
      <x:c r="G22" s="31" t="n">
        <x:v>12</x:v>
      </x:c>
      <x:c r="H22" s="31" t="n">
        <x:v>122933</x:v>
      </x:c>
      <x:c r="I22" s="31" t="inlineStr">
        <x:is>
          <x:t xml:space="preserve">СОТР-117</x:t>
        </x:is>
      </x:c>
      <x:c r="J22" s="31" t="inlineStr">
        <x:is>
          <x:t xml:space="preserve">Причина/работы: авария</x:t>
        </x:is>
      </x:c>
    </x:row>
    <x:row r="23" ht="18" customHeight="1">
      <x:c r="A23" s="31" t="inlineStr">
        <x:is>
          <x:t xml:space="preserve">ТО-009-0</x:t>
        </x:is>
      </x:c>
      <x:c r="B23" s="31" t="inlineStr">
        <x:is>
          <x:t xml:space="preserve">ОБ-009</x:t>
        </x:is>
      </x:c>
      <x:c r="C23" s="31" t="inlineStr">
        <x:is>
          <x:t xml:space="preserve">Ремонт</x:t>
        </x:is>
      </x:c>
      <x:c r="D23" s="31" t="n">
        <x:v>46134</x:v>
      </x:c>
      <x:c r="E23" s="31" t="n">
        <x:v>46134.625</x:v>
      </x:c>
      <x:c r="F23" s="31" t="inlineStr">
        <x:is>
          <x:t xml:space="preserve">Завершено</x:t>
        </x:is>
      </x:c>
      <x:c r="G23" s="31" t="n">
        <x:v>5</x:v>
      </x:c>
      <x:c r="H23" s="31" t="n">
        <x:v>25409</x:v>
      </x:c>
      <x:c r="I23" s="31" t="inlineStr">
        <x:is>
          <x:t xml:space="preserve">СОТР-089</x:t>
        </x:is>
      </x:c>
      <x:c r="J23" s="31" t="inlineStr">
        <x:is>
          <x:t xml:space="preserve">Причина/работы: ремонт</x:t>
        </x:is>
      </x:c>
    </x:row>
    <x:row r="24" ht="18" customHeight="1">
      <x:c r="A24" s="31" t="inlineStr">
        <x:is>
          <x:t xml:space="preserve">ТО-009-1</x:t>
        </x:is>
      </x:c>
      <x:c r="B24" s="31" t="inlineStr">
        <x:is>
          <x:t xml:space="preserve">ОБ-009</x:t>
        </x:is>
      </x:c>
      <x:c r="C24" s="31" t="inlineStr">
        <x:is>
          <x:t xml:space="preserve">ППР</x:t>
        </x:is>
      </x:c>
      <x:c r="D24" s="31" t="n">
        <x:v>46085</x:v>
      </x:c>
      <x:c r="E24" s="31" t="n">
        <x:v>46085.66666666666</x:v>
      </x:c>
      <x:c r="F24" s="31" t="inlineStr">
        <x:is>
          <x:t xml:space="preserve">Завершено</x:t>
        </x:is>
      </x:c>
      <x:c r="G24" s="31" t="n">
        <x:v>5</x:v>
      </x:c>
      <x:c r="H24" s="31" t="n">
        <x:v>104696</x:v>
      </x:c>
      <x:c r="I24" s="31" t="inlineStr">
        <x:is>
          <x:t xml:space="preserve">СОТР-119</x:t>
        </x:is>
      </x:c>
      <x:c r="J24" s="31" t="inlineStr">
        <x:is>
          <x:t xml:space="preserve">Причина/работы: ппр</x:t>
        </x:is>
      </x:c>
    </x:row>
    <x:row r="25" ht="18" customHeight="1">
      <x:c r="A25" s="31" t="inlineStr">
        <x:is>
          <x:t xml:space="preserve">ТО-009-2</x:t>
        </x:is>
      </x:c>
      <x:c r="B25" s="31" t="inlineStr">
        <x:is>
          <x:t xml:space="preserve">ОБ-009</x:t>
        </x:is>
      </x:c>
      <x:c r="C25" s="31" t="inlineStr">
        <x:is>
          <x:t xml:space="preserve">Ремонт</x:t>
        </x:is>
      </x:c>
      <x:c r="D25" s="31" t="n">
        <x:v>46073</x:v>
      </x:c>
      <x:c r="E25" s="31" t="n">
        <x:v>46074</x:v>
      </x:c>
      <x:c r="F25" s="31" t="inlineStr">
        <x:is>
          <x:t xml:space="preserve">В работе</x:t>
        </x:is>
      </x:c>
      <x:c r="G25" s="31" t="n">
        <x:v>4</x:v>
      </x:c>
      <x:c r="H25" s="31" t="n">
        <x:v>112709</x:v>
      </x:c>
      <x:c r="I25" s="31" t="inlineStr">
        <x:is>
          <x:t xml:space="preserve">СОТР-120</x:t>
        </x:is>
      </x:c>
      <x:c r="J25" s="31" t="inlineStr">
        <x:is>
          <x:t xml:space="preserve">Причина/работы: ремонт</x:t>
        </x:is>
      </x:c>
    </x:row>
    <x:row r="26" ht="18" customHeight="1">
      <x:c r="A26" s="31" t="inlineStr">
        <x:is>
          <x:t xml:space="preserve">ТО-010-0</x:t>
        </x:is>
      </x:c>
      <x:c r="B26" s="31" t="inlineStr">
        <x:is>
          <x:t xml:space="preserve">ОБ-010</x:t>
        </x:is>
      </x:c>
      <x:c r="C26" s="31" t="inlineStr">
        <x:is>
          <x:t xml:space="preserve">ППР</x:t>
        </x:is>
      </x:c>
      <x:c r="D26" s="31" t="n">
        <x:v>46041</x:v>
      </x:c>
      <x:c r="E26" s="31" t="n">
        <x:v>46041.20833333334</x:v>
      </x:c>
      <x:c r="F26" s="31" t="inlineStr">
        <x:is>
          <x:t xml:space="preserve">Завершено</x:t>
        </x:is>
      </x:c>
      <x:c r="G26" s="31" t="n">
        <x:v>5</x:v>
      </x:c>
      <x:c r="H26" s="31" t="n">
        <x:v>135836</x:v>
      </x:c>
      <x:c r="I26" s="31" t="inlineStr">
        <x:is>
          <x:t xml:space="preserve">СОТР-118</x:t>
        </x:is>
      </x:c>
      <x:c r="J26" s="31" t="inlineStr">
        <x:is>
          <x:t xml:space="preserve">Причина/работы: ппр</x:t>
        </x:is>
      </x:c>
    </x:row>
    <x:row r="27" ht="18" customHeight="1">
      <x:c r="A27" s="31" t="inlineStr">
        <x:is>
          <x:t xml:space="preserve">ТО-010-1</x:t>
        </x:is>
      </x:c>
      <x:c r="B27" s="31" t="inlineStr">
        <x:is>
          <x:t xml:space="preserve">ОБ-010</x:t>
        </x:is>
      </x:c>
      <x:c r="C27" s="31" t="inlineStr">
        <x:is>
          <x:t xml:space="preserve">Ремонт</x:t>
        </x:is>
      </x:c>
      <x:c r="D27" s="31" t="n">
        <x:v>46043</x:v>
      </x:c>
      <x:c r="E27" s="31" t="n">
        <x:v>46043.54166666666</x:v>
      </x:c>
      <x:c r="F27" s="31" t="inlineStr">
        <x:is>
          <x:t xml:space="preserve">Завершено</x:t>
        </x:is>
      </x:c>
      <x:c r="G27" s="31" t="n">
        <x:v>3</x:v>
      </x:c>
      <x:c r="H27" s="31" t="n">
        <x:v>16922</x:v>
      </x:c>
      <x:c r="I27" s="31" t="inlineStr">
        <x:is>
          <x:t xml:space="preserve">СОТР-089</x:t>
        </x:is>
      </x:c>
      <x:c r="J27" s="31" t="inlineStr">
        <x:is>
          <x:t xml:space="preserve">Причина/работы: ремонт</x:t>
        </x:is>
      </x:c>
    </x:row>
    <x:row r="28" ht="18" customHeight="1">
      <x:c r="A28" s="31" t="inlineStr">
        <x:is>
          <x:t xml:space="preserve">ТО-011-0</x:t>
        </x:is>
      </x:c>
      <x:c r="B28" s="31" t="inlineStr">
        <x:is>
          <x:t xml:space="preserve">ОБ-011</x:t>
        </x:is>
      </x:c>
      <x:c r="C28" s="31" t="inlineStr">
        <x:is>
          <x:t xml:space="preserve">Авария</x:t>
        </x:is>
      </x:c>
      <x:c r="D28" s="31" t="n">
        <x:v>46067</x:v>
      </x:c>
      <x:c r="E28" s="31" t="n">
        <x:v>46067.70833333334</x:v>
      </x:c>
      <x:c r="F28" s="31" t="inlineStr">
        <x:is>
          <x:t xml:space="preserve">Завершено</x:t>
        </x:is>
      </x:c>
      <x:c r="G28" s="31" t="n">
        <x:v>1</x:v>
      </x:c>
      <x:c r="H28" s="31" t="n">
        <x:v>78912</x:v>
      </x:c>
      <x:c r="I28" s="31" t="inlineStr">
        <x:is>
          <x:t xml:space="preserve">СОТР-117</x:t>
        </x:is>
      </x:c>
      <x:c r="J28" s="31" t="inlineStr">
        <x:is>
          <x:t xml:space="preserve">Причина/работы: авария</x:t>
        </x:is>
      </x:c>
    </x:row>
    <x:row r="29" ht="18" customHeight="1">
      <x:c r="A29" s="31" t="inlineStr">
        <x:is>
          <x:t xml:space="preserve">ТО-011-1</x:t>
        </x:is>
      </x:c>
      <x:c r="B29" s="31" t="inlineStr">
        <x:is>
          <x:t xml:space="preserve">ОБ-011</x:t>
        </x:is>
      </x:c>
      <x:c r="C29" s="31" t="inlineStr">
        <x:is>
          <x:t xml:space="preserve">Авария</x:t>
        </x:is>
      </x:c>
      <x:c r="D29" s="31" t="n">
        <x:v>46063</x:v>
      </x:c>
      <x:c r="E29" s="31" t="n">
        <x:v>46063.54166666666</x:v>
      </x:c>
      <x:c r="F29" s="31" t="inlineStr">
        <x:is>
          <x:t xml:space="preserve">Завершено</x:t>
        </x:is>
      </x:c>
      <x:c r="G29" s="31" t="n">
        <x:v>12</x:v>
      </x:c>
      <x:c r="H29" s="31" t="n">
        <x:v>63562</x:v>
      </x:c>
      <x:c r="I29" s="31" t="inlineStr">
        <x:is>
          <x:t xml:space="preserve">СОТР-117</x:t>
        </x:is>
      </x:c>
      <x:c r="J29" s="31" t="inlineStr">
        <x:is>
          <x:t xml:space="preserve">Причина/работы: авария</x:t>
        </x:is>
      </x:c>
    </x:row>
    <x:row r="30" ht="18" customHeight="1">
      <x:c r="A30" s="31" t="inlineStr">
        <x:is>
          <x:t xml:space="preserve">ТО-012-0</x:t>
        </x:is>
      </x:c>
      <x:c r="B30" s="31" t="inlineStr">
        <x:is>
          <x:t xml:space="preserve">ОБ-012</x:t>
        </x:is>
      </x:c>
      <x:c r="C30" s="31" t="inlineStr">
        <x:is>
          <x:t xml:space="preserve">Авария</x:t>
        </x:is>
      </x:c>
      <x:c r="D30" s="31" t="n">
        <x:v>46214</x:v>
      </x:c>
      <x:c r="E30" s="31" t="n">
        <x:v>46214.33333333334</x:v>
      </x:c>
      <x:c r="F30" s="31" t="inlineStr">
        <x:is>
          <x:t xml:space="preserve">Завершено</x:t>
        </x:is>
      </x:c>
      <x:c r="G30" s="31" t="n">
        <x:v>2</x:v>
      </x:c>
      <x:c r="H30" s="31" t="n">
        <x:v>84832</x:v>
      </x:c>
      <x:c r="I30" s="31" t="inlineStr">
        <x:is>
          <x:t xml:space="preserve">СОТР-117</x:t>
        </x:is>
      </x:c>
      <x:c r="J30" s="31" t="inlineStr">
        <x:is>
          <x:t xml:space="preserve">Причина/работы: авария</x:t>
        </x:is>
      </x:c>
    </x:row>
    <x:row r="31" ht="18" customHeight="1">
      <x:c r="A31" s="31" t="inlineStr">
        <x:is>
          <x:t xml:space="preserve">ТО-012-1</x:t>
        </x:is>
      </x:c>
      <x:c r="B31" s="31" t="inlineStr">
        <x:is>
          <x:t xml:space="preserve">ОБ-012</x:t>
        </x:is>
      </x:c>
      <x:c r="C31" s="31" t="inlineStr">
        <x:is>
          <x:t xml:space="preserve">ППР</x:t>
        </x:is>
      </x:c>
      <x:c r="D31" s="31" t="n">
        <x:v>46085</x:v>
      </x:c>
      <x:c r="E31" s="31" t="n">
        <x:v>46085.16666666666</x:v>
      </x:c>
      <x:c r="F31" s="31" t="inlineStr">
        <x:is>
          <x:t xml:space="preserve">В работе</x:t>
        </x:is>
      </x:c>
      <x:c r="G31" s="31" t="n">
        <x:v>7</x:v>
      </x:c>
      <x:c r="H31" s="31" t="n">
        <x:v>128645</x:v>
      </x:c>
      <x:c r="I31" s="31" t="inlineStr">
        <x:is>
          <x:t xml:space="preserve">СОТР-118</x:t>
        </x:is>
      </x:c>
      <x:c r="J31" s="31" t="inlineStr">
        <x:is>
          <x:t xml:space="preserve">Причина/работы: ппр</x:t>
        </x:is>
      </x:c>
    </x:row>
    <x:row r="32" ht="18" customHeight="1">
      <x:c r="A32" s="31" t="inlineStr">
        <x:is>
          <x:t xml:space="preserve">ТО-012-2</x:t>
        </x:is>
      </x:c>
      <x:c r="B32" s="31" t="inlineStr">
        <x:is>
          <x:t xml:space="preserve">ОБ-012</x:t>
        </x:is>
      </x:c>
      <x:c r="C32" s="31" t="inlineStr">
        <x:is>
          <x:t xml:space="preserve">ППР</x:t>
        </x:is>
      </x:c>
      <x:c r="D32" s="31" t="n">
        <x:v>46204</x:v>
      </x:c>
      <x:c r="E32" s="31" t="n">
        <x:v>46204.625</x:v>
      </x:c>
      <x:c r="F32" s="31" t="inlineStr">
        <x:is>
          <x:t xml:space="preserve">Завершено</x:t>
        </x:is>
      </x:c>
      <x:c r="G32" s="31" t="n">
        <x:v>1</x:v>
      </x:c>
      <x:c r="H32" s="31" t="n">
        <x:v>132857</x:v>
      </x:c>
      <x:c r="I32" s="31" t="inlineStr">
        <x:is>
          <x:t xml:space="preserve">СОТР-089</x:t>
        </x:is>
      </x:c>
      <x:c r="J32" s="31" t="inlineStr">
        <x:is>
          <x:t xml:space="preserve">Причина/работы: ппр</x:t>
        </x:is>
      </x:c>
    </x:row>
    <x:row r="33" ht="18" customHeight="1">
      <x:c r="A33" s="31" t="inlineStr">
        <x:is>
          <x:t xml:space="preserve">ТО-012-3</x:t>
        </x:is>
      </x:c>
      <x:c r="B33" s="31" t="inlineStr">
        <x:is>
          <x:t xml:space="preserve">ОБ-012</x:t>
        </x:is>
      </x:c>
      <x:c r="C33" s="31" t="inlineStr">
        <x:is>
          <x:t xml:space="preserve">Ремонт</x:t>
        </x:is>
      </x:c>
      <x:c r="D33" s="31" t="n">
        <x:v>46059</x:v>
      </x:c>
      <x:c r="E33" s="31" t="n">
        <x:v>46059.75</x:v>
      </x:c>
      <x:c r="F33" s="31" t="inlineStr">
        <x:is>
          <x:t xml:space="preserve">Завершено</x:t>
        </x:is>
      </x:c>
      <x:c r="G33" s="31" t="n">
        <x:v>10</x:v>
      </x:c>
      <x:c r="H33" s="31" t="n">
        <x:v>91639</x:v>
      </x:c>
      <x:c r="I33" s="31" t="inlineStr">
        <x:is>
          <x:t xml:space="preserve">СОТР-089</x:t>
        </x:is>
      </x:c>
      <x:c r="J33" s="31" t="inlineStr">
        <x:is>
          <x:t xml:space="preserve">Причина/работы: ремонт</x:t>
        </x:is>
      </x:c>
    </x:row>
    <x:row r="34" ht="18" customHeight="1">
      <x:c r="A34" s="31" t="inlineStr">
        <x:is>
          <x:t xml:space="preserve">ТО-013-0</x:t>
        </x:is>
      </x:c>
      <x:c r="B34" s="31" t="inlineStr">
        <x:is>
          <x:t xml:space="preserve">ОБ-013</x:t>
        </x:is>
      </x:c>
      <x:c r="C34" s="31" t="inlineStr">
        <x:is>
          <x:t xml:space="preserve">ППР</x:t>
        </x:is>
      </x:c>
      <x:c r="D34" s="31" t="n">
        <x:v>46061</x:v>
      </x:c>
      <x:c r="E34" s="31" t="n">
        <x:v>46061.79166666666</x:v>
      </x:c>
      <x:c r="F34" s="31" t="inlineStr">
        <x:is>
          <x:t xml:space="preserve">Завершено</x:t>
        </x:is>
      </x:c>
      <x:c r="G34" s="31" t="n">
        <x:v>3</x:v>
      </x:c>
      <x:c r="H34" s="31" t="n">
        <x:v>67882</x:v>
      </x:c>
      <x:c r="I34" s="31" t="inlineStr">
        <x:is>
          <x:t xml:space="preserve">СОТР-120</x:t>
        </x:is>
      </x:c>
      <x:c r="J34" s="31" t="inlineStr">
        <x:is>
          <x:t xml:space="preserve">Причина/работы: ппр</x:t>
        </x:is>
      </x:c>
    </x:row>
    <x:row r="35" ht="18" customHeight="1">
      <x:c r="A35" s="31" t="inlineStr">
        <x:is>
          <x:t xml:space="preserve">ТО-013-1</x:t>
        </x:is>
      </x:c>
      <x:c r="B35" s="31" t="inlineStr">
        <x:is>
          <x:t xml:space="preserve">ОБ-013</x:t>
        </x:is>
      </x:c>
      <x:c r="C35" s="31" t="inlineStr">
        <x:is>
          <x:t xml:space="preserve">Авария</x:t>
        </x:is>
      </x:c>
      <x:c r="D35" s="31" t="n">
        <x:v>46046</x:v>
      </x:c>
      <x:c r="E35" s="31" t="n">
        <x:v>46046.70833333334</x:v>
      </x:c>
      <x:c r="F35" s="31" t="inlineStr">
        <x:is>
          <x:t xml:space="preserve">План</x:t>
        </x:is>
      </x:c>
      <x:c r="G35" s="31" t="n">
        <x:v>11</x:v>
      </x:c>
      <x:c r="H35" s="31" t="n">
        <x:v>101717</x:v>
      </x:c>
      <x:c r="I35" s="31" t="inlineStr">
        <x:is>
          <x:t xml:space="preserve">СОТР-120</x:t>
        </x:is>
      </x:c>
      <x:c r="J35" s="31" t="inlineStr">
        <x:is>
          <x:t xml:space="preserve">Причина/работы: авария</x:t>
        </x:is>
      </x:c>
    </x:row>
    <x:row r="36" ht="18" customHeight="1">
      <x:c r="A36" s="31" t="inlineStr">
        <x:is>
          <x:t xml:space="preserve">ТО-014-0</x:t>
        </x:is>
      </x:c>
      <x:c r="B36" s="31" t="inlineStr">
        <x:is>
          <x:t xml:space="preserve">ОБ-014</x:t>
        </x:is>
      </x:c>
      <x:c r="C36" s="31" t="inlineStr">
        <x:is>
          <x:t xml:space="preserve">ППР</x:t>
        </x:is>
      </x:c>
      <x:c r="D36" s="31" t="n">
        <x:v>46033</x:v>
      </x:c>
      <x:c r="E36" s="31" t="n">
        <x:v>46033.45833333334</x:v>
      </x:c>
      <x:c r="F36" s="31" t="inlineStr">
        <x:is>
          <x:t xml:space="preserve">План</x:t>
        </x:is>
      </x:c>
      <x:c r="G36" s="31" t="n">
        <x:v>7</x:v>
      </x:c>
      <x:c r="H36" s="31" t="n">
        <x:v>51595</x:v>
      </x:c>
      <x:c r="I36" s="31" t="inlineStr">
        <x:is>
          <x:t xml:space="preserve">СОТР-118</x:t>
        </x:is>
      </x:c>
      <x:c r="J36" s="31" t="inlineStr">
        <x:is>
          <x:t xml:space="preserve">Причина/работы: ппр</x:t>
        </x:is>
      </x:c>
    </x:row>
    <x:row r="37" ht="18" customHeight="1">
      <x:c r="A37" s="31" t="inlineStr">
        <x:is>
          <x:t xml:space="preserve">ТО-014-1</x:t>
        </x:is>
      </x:c>
      <x:c r="B37" s="31" t="inlineStr">
        <x:is>
          <x:t xml:space="preserve">ОБ-014</x:t>
        </x:is>
      </x:c>
      <x:c r="C37" s="31" t="inlineStr">
        <x:is>
          <x:t xml:space="preserve">Калибровка</x:t>
        </x:is>
      </x:c>
      <x:c r="D37" s="31" t="n">
        <x:v>46117</x:v>
      </x:c>
      <x:c r="E37" s="31" t="n">
        <x:v>46117.79166666666</x:v>
      </x:c>
      <x:c r="F37" s="31" t="inlineStr">
        <x:is>
          <x:t xml:space="preserve">Завершено</x:t>
        </x:is>
      </x:c>
      <x:c r="G37" s="31" t="n">
        <x:v>5</x:v>
      </x:c>
      <x:c r="H37" s="31" t="n">
        <x:v>103651</x:v>
      </x:c>
      <x:c r="I37" s="31" t="inlineStr">
        <x:is>
          <x:t xml:space="preserve">СОТР-120</x:t>
        </x:is>
      </x:c>
      <x:c r="J37" s="31" t="inlineStr">
        <x:is>
          <x:t xml:space="preserve">Причина/работы: калибровка</x:t>
        </x:is>
      </x:c>
    </x:row>
    <x:row r="38" ht="18" customHeight="1">
      <x:c r="A38" s="31" t="inlineStr">
        <x:is>
          <x:t xml:space="preserve">ТО-014-2</x:t>
        </x:is>
      </x:c>
      <x:c r="B38" s="31" t="inlineStr">
        <x:is>
          <x:t xml:space="preserve">ОБ-014</x:t>
        </x:is>
      </x:c>
      <x:c r="C38" s="31" t="inlineStr">
        <x:is>
          <x:t xml:space="preserve">ППР</x:t>
        </x:is>
      </x:c>
      <x:c r="D38" s="31" t="n">
        <x:v>46083</x:v>
      </x:c>
      <x:c r="E38" s="31" t="n">
        <x:v>46083.41666666666</x:v>
      </x:c>
      <x:c r="F38" s="31" t="inlineStr">
        <x:is>
          <x:t xml:space="preserve">В работе</x:t>
        </x:is>
      </x:c>
      <x:c r="G38" s="31" t="n">
        <x:v>9</x:v>
      </x:c>
      <x:c r="H38" s="31" t="n">
        <x:v>135250</x:v>
      </x:c>
      <x:c r="I38" s="31" t="inlineStr">
        <x:is>
          <x:t xml:space="preserve">СОТР-118</x:t>
        </x:is>
      </x:c>
      <x:c r="J38" s="31" t="inlineStr">
        <x:is>
          <x:t xml:space="preserve">Причина/работы: ппр</x:t>
        </x:is>
      </x:c>
    </x:row>
    <x:row r="39" ht="18" customHeight="1">
      <x:c r="A39" s="31" t="inlineStr">
        <x:is>
          <x:t xml:space="preserve">ТО-015-0</x:t>
        </x:is>
      </x:c>
      <x:c r="B39" s="31" t="inlineStr">
        <x:is>
          <x:t xml:space="preserve">ОБ-015</x:t>
        </x:is>
      </x:c>
      <x:c r="C39" s="31" t="inlineStr">
        <x:is>
          <x:t xml:space="preserve">Ремонт</x:t>
        </x:is>
      </x:c>
      <x:c r="D39" s="31" t="n">
        <x:v>46163</x:v>
      </x:c>
      <x:c r="E39" s="31" t="n">
        <x:v>46163.54166666666</x:v>
      </x:c>
      <x:c r="F39" s="31" t="inlineStr">
        <x:is>
          <x:t xml:space="preserve">Завершено</x:t>
        </x:is>
      </x:c>
      <x:c r="G39" s="31" t="n">
        <x:v>8</x:v>
      </x:c>
      <x:c r="H39" s="31" t="n">
        <x:v>22164</x:v>
      </x:c>
      <x:c r="I39" s="31" t="inlineStr">
        <x:is>
          <x:t xml:space="preserve">СОТР-089</x:t>
        </x:is>
      </x:c>
      <x:c r="J39" s="31" t="inlineStr">
        <x:is>
          <x:t xml:space="preserve">Причина/работы: ремонт</x:t>
        </x:is>
      </x:c>
    </x:row>
    <x:row r="40" ht="18" customHeight="1">
      <x:c r="A40" s="31" t="inlineStr">
        <x:is>
          <x:t xml:space="preserve">ТО-015-1</x:t>
        </x:is>
      </x:c>
      <x:c r="B40" s="31" t="inlineStr">
        <x:is>
          <x:t xml:space="preserve">ОБ-015</x:t>
        </x:is>
      </x:c>
      <x:c r="C40" s="31" t="inlineStr">
        <x:is>
          <x:t xml:space="preserve">Калибровка</x:t>
        </x:is>
      </x:c>
      <x:c r="D40" s="31" t="n">
        <x:v>46240</x:v>
      </x:c>
      <x:c r="E40" s="31" t="n">
        <x:v>46240.75</x:v>
      </x:c>
      <x:c r="F40" s="31" t="inlineStr">
        <x:is>
          <x:t xml:space="preserve">План</x:t>
        </x:is>
      </x:c>
      <x:c r="G40" s="31" t="n">
        <x:v>5</x:v>
      </x:c>
      <x:c r="H40" s="31" t="n">
        <x:v>78162</x:v>
      </x:c>
      <x:c r="I40" s="31" t="inlineStr">
        <x:is>
          <x:t xml:space="preserve">СОТР-089</x:t>
        </x:is>
      </x:c>
      <x:c r="J40" s="31" t="inlineStr">
        <x:is>
          <x:t xml:space="preserve">Причина/работы: калибровка</x:t>
        </x:is>
      </x:c>
    </x:row>
    <x:row r="41" ht="18" customHeight="1">
      <x:c r="A41" s="31" t="inlineStr">
        <x:is>
          <x:t xml:space="preserve">ТО-016-0</x:t>
        </x:is>
      </x:c>
      <x:c r="B41" s="31" t="inlineStr">
        <x:is>
          <x:t xml:space="preserve">ОБ-016</x:t>
        </x:is>
      </x:c>
      <x:c r="C41" s="31" t="inlineStr">
        <x:is>
          <x:t xml:space="preserve">Калибровка</x:t>
        </x:is>
      </x:c>
      <x:c r="D41" s="31" t="n">
        <x:v>46070</x:v>
      </x:c>
      <x:c r="E41" s="31" t="n">
        <x:v>46070.41666666666</x:v>
      </x:c>
      <x:c r="F41" s="31" t="inlineStr">
        <x:is>
          <x:t xml:space="preserve">Завершено</x:t>
        </x:is>
      </x:c>
      <x:c r="G41" s="31" t="n">
        <x:v>10</x:v>
      </x:c>
      <x:c r="H41" s="31" t="n">
        <x:v>71974</x:v>
      </x:c>
      <x:c r="I41" s="31" t="inlineStr">
        <x:is>
          <x:t xml:space="preserve">СОТР-117</x:t>
        </x:is>
      </x:c>
      <x:c r="J41" s="31" t="inlineStr">
        <x:is>
          <x:t xml:space="preserve">Причина/работы: калибровка</x:t>
        </x:is>
      </x:c>
    </x:row>
    <x:row r="42" ht="18" customHeight="1">
      <x:c r="A42" s="31" t="inlineStr">
        <x:is>
          <x:t xml:space="preserve">ТО-016-1</x:t>
        </x:is>
      </x:c>
      <x:c r="B42" s="31" t="inlineStr">
        <x:is>
          <x:t xml:space="preserve">ОБ-016</x:t>
        </x:is>
      </x:c>
      <x:c r="C42" s="31" t="inlineStr">
        <x:is>
          <x:t xml:space="preserve">ППР</x:t>
        </x:is>
      </x:c>
      <x:c r="D42" s="31" t="n">
        <x:v>46101</x:v>
      </x:c>
      <x:c r="E42" s="31" t="n">
        <x:v>46101.375</x:v>
      </x:c>
      <x:c r="F42" s="31" t="inlineStr">
        <x:is>
          <x:t xml:space="preserve">В работе</x:t>
        </x:is>
      </x:c>
      <x:c r="G42" s="31" t="n">
        <x:v>4</x:v>
      </x:c>
      <x:c r="H42" s="31" t="n">
        <x:v>111434</x:v>
      </x:c>
      <x:c r="I42" s="31" t="inlineStr">
        <x:is>
          <x:t xml:space="preserve">СОТР-119</x:t>
        </x:is>
      </x:c>
      <x:c r="J42" s="31" t="inlineStr">
        <x:is>
          <x:t xml:space="preserve">Причина/работы: ппр</x:t>
        </x:is>
      </x:c>
    </x:row>
    <x:row r="43" ht="18" customHeight="1">
      <x:c r="A43" s="31" t="inlineStr">
        <x:is>
          <x:t xml:space="preserve">ТО-017-0</x:t>
        </x:is>
      </x:c>
      <x:c r="B43" s="31" t="inlineStr">
        <x:is>
          <x:t xml:space="preserve">ОБ-017</x:t>
        </x:is>
      </x:c>
      <x:c r="C43" s="31" t="inlineStr">
        <x:is>
          <x:t xml:space="preserve">ППР</x:t>
        </x:is>
      </x:c>
      <x:c r="D43" s="31" t="n">
        <x:v>46044</x:v>
      </x:c>
      <x:c r="E43" s="31" t="n">
        <x:v>46044.79166666666</x:v>
      </x:c>
      <x:c r="F43" s="31" t="inlineStr">
        <x:is>
          <x:t xml:space="preserve">Завершено</x:t>
        </x:is>
      </x:c>
      <x:c r="G43" s="31" t="n">
        <x:v>12</x:v>
      </x:c>
      <x:c r="H43" s="31" t="n">
        <x:v>125202</x:v>
      </x:c>
      <x:c r="I43" s="31" t="inlineStr">
        <x:is>
          <x:t xml:space="preserve">СОТР-089</x:t>
        </x:is>
      </x:c>
      <x:c r="J43" s="31" t="inlineStr">
        <x:is>
          <x:t xml:space="preserve">Причина/работы: ппр</x:t>
        </x:is>
      </x:c>
    </x:row>
    <x:row r="44" ht="18" customHeight="1">
      <x:c r="A44" s="31" t="inlineStr">
        <x:is>
          <x:t xml:space="preserve">ТО-017-1</x:t>
        </x:is>
      </x:c>
      <x:c r="B44" s="31" t="inlineStr">
        <x:is>
          <x:t xml:space="preserve">ОБ-017</x:t>
        </x:is>
      </x:c>
      <x:c r="C44" s="31" t="inlineStr">
        <x:is>
          <x:t xml:space="preserve">ППР</x:t>
        </x:is>
      </x:c>
      <x:c r="D44" s="31" t="n">
        <x:v>46061</x:v>
      </x:c>
      <x:c r="E44" s="31" t="n">
        <x:v>46061.16666666666</x:v>
      </x:c>
      <x:c r="F44" s="31" t="inlineStr">
        <x:is>
          <x:t xml:space="preserve">В работе</x:t>
        </x:is>
      </x:c>
      <x:c r="G44" s="31" t="n">
        <x:v>9</x:v>
      </x:c>
      <x:c r="H44" s="31" t="n">
        <x:v>49248</x:v>
      </x:c>
      <x:c r="I44" s="31" t="inlineStr">
        <x:is>
          <x:t xml:space="preserve">СОТР-119</x:t>
        </x:is>
      </x:c>
      <x:c r="J44" s="31" t="inlineStr">
        <x:is>
          <x:t xml:space="preserve">Причина/работы: ппр</x:t>
        </x:is>
      </x:c>
    </x:row>
    <x:row r="45" ht="18" customHeight="1">
      <x:c r="A45" s="31" t="inlineStr">
        <x:is>
          <x:t xml:space="preserve">ТО-017-2</x:t>
        </x:is>
      </x:c>
      <x:c r="B45" s="31" t="inlineStr">
        <x:is>
          <x:t xml:space="preserve">ОБ-017</x:t>
        </x:is>
      </x:c>
      <x:c r="C45" s="31" t="inlineStr">
        <x:is>
          <x:t xml:space="preserve">ППР</x:t>
        </x:is>
      </x:c>
      <x:c r="D45" s="31" t="n">
        <x:v>46214</x:v>
      </x:c>
      <x:c r="E45" s="31" t="n">
        <x:v>46214.375</x:v>
      </x:c>
      <x:c r="F45" s="31" t="inlineStr">
        <x:is>
          <x:t xml:space="preserve">План</x:t>
        </x:is>
      </x:c>
      <x:c r="G45" s="31" t="n">
        <x:v>8</x:v>
      </x:c>
      <x:c r="H45" s="31" t="n">
        <x:v>126543</x:v>
      </x:c>
      <x:c r="I45" s="31" t="inlineStr">
        <x:is>
          <x:t xml:space="preserve">СОТР-118</x:t>
        </x:is>
      </x:c>
      <x:c r="J45" s="31" t="inlineStr">
        <x:is>
          <x:t xml:space="preserve">Причина/работы: ппр</x:t>
        </x:is>
      </x:c>
    </x:row>
    <x:row r="46" ht="18" customHeight="1">
      <x:c r="A46" s="31" t="inlineStr">
        <x:is>
          <x:t xml:space="preserve">ТО-018-0</x:t>
        </x:is>
      </x:c>
      <x:c r="B46" s="31" t="inlineStr">
        <x:is>
          <x:t xml:space="preserve">ОБ-018</x:t>
        </x:is>
      </x:c>
      <x:c r="C46" s="31" t="inlineStr">
        <x:is>
          <x:t xml:space="preserve">ППР</x:t>
        </x:is>
      </x:c>
      <x:c r="D46" s="31" t="n">
        <x:v>46137</x:v>
      </x:c>
      <x:c r="E46" s="31" t="n">
        <x:v>46137.75</x:v>
      </x:c>
      <x:c r="F46" s="31" t="inlineStr">
        <x:is>
          <x:t xml:space="preserve">Завершено</x:t>
        </x:is>
      </x:c>
      <x:c r="G46" s="31" t="n">
        <x:v>6</x:v>
      </x:c>
      <x:c r="H46" s="31" t="n">
        <x:v>37879</x:v>
      </x:c>
      <x:c r="I46" s="31" t="inlineStr">
        <x:is>
          <x:t xml:space="preserve">СОТР-119</x:t>
        </x:is>
      </x:c>
      <x:c r="J46" s="31" t="inlineStr">
        <x:is>
          <x:t xml:space="preserve">Причина/работы: ппр</x:t>
        </x:is>
      </x:c>
    </x:row>
    <x:row r="47" ht="18" customHeight="1">
      <x:c r="A47" s="31" t="inlineStr">
        <x:is>
          <x:t xml:space="preserve">ТО-018-1</x:t>
        </x:is>
      </x:c>
      <x:c r="B47" s="31" t="inlineStr">
        <x:is>
          <x:t xml:space="preserve">ОБ-018</x:t>
        </x:is>
      </x:c>
      <x:c r="C47" s="31" t="inlineStr">
        <x:is>
          <x:t xml:space="preserve">Ремонт</x:t>
        </x:is>
      </x:c>
      <x:c r="D47" s="31" t="n">
        <x:v>46091</x:v>
      </x:c>
      <x:c r="E47" s="31" t="n">
        <x:v>46091.375</x:v>
      </x:c>
      <x:c r="F47" s="31" t="inlineStr">
        <x:is>
          <x:t xml:space="preserve">Завершено</x:t>
        </x:is>
      </x:c>
      <x:c r="G47" s="31" t="n">
        <x:v>11</x:v>
      </x:c>
      <x:c r="H47" s="31" t="n">
        <x:v>31829</x:v>
      </x:c>
      <x:c r="I47" s="31" t="inlineStr">
        <x:is>
          <x:t xml:space="preserve">СОТР-120</x:t>
        </x:is>
      </x:c>
      <x:c r="J47" s="31" t="inlineStr">
        <x:is>
          <x:t xml:space="preserve">Причина/работы: ремонт</x:t>
        </x:is>
      </x:c>
    </x:row>
    <x:row r="48" ht="18" customHeight="1">
      <x:c r="A48" s="31" t="inlineStr">
        <x:is>
          <x:t xml:space="preserve">ТО-018-2</x:t>
        </x:is>
      </x:c>
      <x:c r="B48" s="31" t="inlineStr">
        <x:is>
          <x:t xml:space="preserve">ОБ-018</x:t>
        </x:is>
      </x:c>
      <x:c r="C48" s="31" t="inlineStr">
        <x:is>
          <x:t xml:space="preserve">Авария</x:t>
        </x:is>
      </x:c>
      <x:c r="D48" s="31" t="n">
        <x:v>46236</x:v>
      </x:c>
      <x:c r="E48" s="31" t="n">
        <x:v>46236.20833333334</x:v>
      </x:c>
      <x:c r="F48" s="31" t="inlineStr">
        <x:is>
          <x:t xml:space="preserve">План</x:t>
        </x:is>
      </x:c>
      <x:c r="G48" s="31" t="n">
        <x:v>8</x:v>
      </x:c>
      <x:c r="H48" s="31" t="n">
        <x:v>90745</x:v>
      </x:c>
      <x:c r="I48" s="31" t="inlineStr">
        <x:is>
          <x:t xml:space="preserve">СОТР-118</x:t>
        </x:is>
      </x:c>
      <x:c r="J48" s="31" t="inlineStr">
        <x:is>
          <x:t xml:space="preserve">Причина/работы: авария</x:t>
        </x:is>
      </x:c>
    </x:row>
    <x:row r="49" ht="18" customHeight="1">
      <x:c r="A49" s="31" t="inlineStr">
        <x:is>
          <x:t xml:space="preserve">ТО-018-3</x:t>
        </x:is>
      </x:c>
      <x:c r="B49" s="31" t="inlineStr">
        <x:is>
          <x:t xml:space="preserve">ОБ-018</x:t>
        </x:is>
      </x:c>
      <x:c r="C49" s="31" t="inlineStr">
        <x:is>
          <x:t xml:space="preserve">Калибровка</x:t>
        </x:is>
      </x:c>
      <x:c r="D49" s="31" t="n">
        <x:v>46061</x:v>
      </x:c>
      <x:c r="E49" s="31" t="n">
        <x:v>46061.5</x:v>
      </x:c>
      <x:c r="F49" s="31" t="inlineStr">
        <x:is>
          <x:t xml:space="preserve">План</x:t>
        </x:is>
      </x:c>
      <x:c r="G49" s="31" t="n">
        <x:v>11</x:v>
      </x:c>
      <x:c r="H49" s="31" t="n">
        <x:v>97248</x:v>
      </x:c>
      <x:c r="I49" s="31" t="inlineStr">
        <x:is>
          <x:t xml:space="preserve">СОТР-118</x:t>
        </x:is>
      </x:c>
      <x:c r="J49" s="31" t="inlineStr">
        <x:is>
          <x:t xml:space="preserve">Причина/работы: калибровка</x:t>
        </x:is>
      </x:c>
    </x:row>
    <x:row r="50" ht="18" customHeight="1">
      <x:c r="A50" s="31" t="inlineStr">
        <x:is>
          <x:t xml:space="preserve">ТО-019-0</x:t>
        </x:is>
      </x:c>
      <x:c r="B50" s="31" t="inlineStr">
        <x:is>
          <x:t xml:space="preserve">ОБ-019</x:t>
        </x:is>
      </x:c>
      <x:c r="C50" s="31" t="inlineStr">
        <x:is>
          <x:t xml:space="preserve">Ремонт</x:t>
        </x:is>
      </x:c>
      <x:c r="D50" s="31" t="n">
        <x:v>46143</x:v>
      </x:c>
      <x:c r="E50" s="31" t="n">
        <x:v>46143.91666666666</x:v>
      </x:c>
      <x:c r="F50" s="31" t="inlineStr">
        <x:is>
          <x:t xml:space="preserve">Завершено</x:t>
        </x:is>
      </x:c>
      <x:c r="G50" s="31" t="n">
        <x:v>12</x:v>
      </x:c>
      <x:c r="H50" s="31" t="n">
        <x:v>125660</x:v>
      </x:c>
      <x:c r="I50" s="31" t="inlineStr">
        <x:is>
          <x:t xml:space="preserve">СОТР-120</x:t>
        </x:is>
      </x:c>
      <x:c r="J50" s="31" t="inlineStr">
        <x:is>
          <x:t xml:space="preserve">Причина/работы: ремонт</x:t>
        </x:is>
      </x:c>
    </x:row>
    <x:row r="51" ht="18" customHeight="1">
      <x:c r="A51" s="31" t="inlineStr">
        <x:is>
          <x:t xml:space="preserve">ТО-019-1</x:t>
        </x:is>
      </x:c>
      <x:c r="B51" s="31" t="inlineStr">
        <x:is>
          <x:t xml:space="preserve">ОБ-019</x:t>
        </x:is>
      </x:c>
      <x:c r="C51" s="31" t="inlineStr">
        <x:is>
          <x:t xml:space="preserve">Ремонт</x:t>
        </x:is>
      </x:c>
      <x:c r="D51" s="31" t="n">
        <x:v>46231</x:v>
      </x:c>
      <x:c r="E51" s="31" t="n">
        <x:v>46231.70833333334</x:v>
      </x:c>
      <x:c r="F51" s="31" t="inlineStr">
        <x:is>
          <x:t xml:space="preserve">Завершено</x:t>
        </x:is>
      </x:c>
      <x:c r="G51" s="31" t="n">
        <x:v>11</x:v>
      </x:c>
      <x:c r="H51" s="31" t="n">
        <x:v>19488</x:v>
      </x:c>
      <x:c r="I51" s="31" t="inlineStr">
        <x:is>
          <x:t xml:space="preserve">СОТР-118</x:t>
        </x:is>
      </x:c>
      <x:c r="J51" s="31" t="inlineStr">
        <x:is>
          <x:t xml:space="preserve">Причина/работы: ремонт</x:t>
        </x:is>
      </x:c>
    </x:row>
    <x:row r="52" ht="18" customHeight="1">
      <x:c r="A52" s="31" t="inlineStr">
        <x:is>
          <x:t xml:space="preserve">ТО-019-2</x:t>
        </x:is>
      </x:c>
      <x:c r="B52" s="31" t="inlineStr">
        <x:is>
          <x:t xml:space="preserve">ОБ-019</x:t>
        </x:is>
      </x:c>
      <x:c r="C52" s="31" t="inlineStr">
        <x:is>
          <x:t xml:space="preserve">Ремонт</x:t>
        </x:is>
      </x:c>
      <x:c r="D52" s="31" t="n">
        <x:v>46192</x:v>
      </x:c>
      <x:c r="E52" s="31" t="n">
        <x:v>46192.5</x:v>
      </x:c>
      <x:c r="F52" s="31" t="inlineStr">
        <x:is>
          <x:t xml:space="preserve">Перенесено</x:t>
        </x:is>
      </x:c>
      <x:c r="G52" s="31" t="n">
        <x:v>1</x:v>
      </x:c>
      <x:c r="H52" s="31" t="n">
        <x:v>10166</x:v>
      </x:c>
      <x:c r="I52" s="31" t="inlineStr">
        <x:is>
          <x:t xml:space="preserve">СОТР-089</x:t>
        </x:is>
      </x:c>
      <x:c r="J52" s="31" t="inlineStr">
        <x:is>
          <x:t xml:space="preserve">Причина/работы: ремонт</x:t>
        </x:is>
      </x:c>
    </x:row>
    <x:row r="53" ht="18" customHeight="1">
      <x:c r="A53" s="31" t="inlineStr">
        <x:is>
          <x:t xml:space="preserve">ТО-019-3</x:t>
        </x:is>
      </x:c>
      <x:c r="B53" s="31" t="inlineStr">
        <x:is>
          <x:t xml:space="preserve">ОБ-019</x:t>
        </x:is>
      </x:c>
      <x:c r="C53" s="31" t="inlineStr">
        <x:is>
          <x:t xml:space="preserve">ППР</x:t>
        </x:is>
      </x:c>
      <x:c r="D53" s="31" t="n">
        <x:v>46155</x:v>
      </x:c>
      <x:c r="E53" s="31" t="n">
        <x:v>46155.41666666666</x:v>
      </x:c>
      <x:c r="F53" s="31" t="inlineStr">
        <x:is>
          <x:t xml:space="preserve">План</x:t>
        </x:is>
      </x:c>
      <x:c r="G53" s="31" t="n">
        <x:v>8</x:v>
      </x:c>
      <x:c r="H53" s="31" t="n">
        <x:v>50111</x:v>
      </x:c>
      <x:c r="I53" s="31" t="inlineStr">
        <x:is>
          <x:t xml:space="preserve">СОТР-118</x:t>
        </x:is>
      </x:c>
      <x:c r="J53" s="31" t="inlineStr">
        <x:is>
          <x:t xml:space="preserve">Причина/работы: ппр</x:t>
        </x:is>
      </x:c>
    </x:row>
    <x:row r="54" ht="18" customHeight="1">
      <x:c r="A54" s="31" t="inlineStr">
        <x:is>
          <x:t xml:space="preserve">ТО-020-0</x:t>
        </x:is>
      </x:c>
      <x:c r="B54" s="31" t="inlineStr">
        <x:is>
          <x:t xml:space="preserve">ОБ-020</x:t>
        </x:is>
      </x:c>
      <x:c r="C54" s="31" t="inlineStr">
        <x:is>
          <x:t xml:space="preserve">ППР</x:t>
        </x:is>
      </x:c>
      <x:c r="D54" s="31" t="n">
        <x:v>46075</x:v>
      </x:c>
      <x:c r="E54" s="31" t="n">
        <x:v>46075.29166666666</x:v>
      </x:c>
      <x:c r="F54" s="31" t="inlineStr">
        <x:is>
          <x:t xml:space="preserve">Завершено</x:t>
        </x:is>
      </x:c>
      <x:c r="G54" s="31" t="n">
        <x:v>9</x:v>
      </x:c>
      <x:c r="H54" s="31" t="n">
        <x:v>98684</x:v>
      </x:c>
      <x:c r="I54" s="31" t="inlineStr">
        <x:is>
          <x:t xml:space="preserve">СОТР-119</x:t>
        </x:is>
      </x:c>
      <x:c r="J54" s="31" t="inlineStr">
        <x:is>
          <x:t xml:space="preserve">Причина/работы: ппр</x:t>
        </x:is>
      </x:c>
    </x:row>
    <x:row r="55" ht="18" customHeight="1">
      <x:c r="A55" s="31" t="inlineStr">
        <x:is>
          <x:t xml:space="preserve">ТО-020-1</x:t>
        </x:is>
      </x:c>
      <x:c r="B55" s="31" t="inlineStr">
        <x:is>
          <x:t xml:space="preserve">ОБ-020</x:t>
        </x:is>
      </x:c>
      <x:c r="C55" s="31" t="inlineStr">
        <x:is>
          <x:t xml:space="preserve">Ремонт</x:t>
        </x:is>
      </x:c>
      <x:c r="D55" s="31" t="n">
        <x:v>46145</x:v>
      </x:c>
      <x:c r="E55" s="31" t="n">
        <x:v>46145.41666666666</x:v>
      </x:c>
      <x:c r="F55" s="31" t="inlineStr">
        <x:is>
          <x:t xml:space="preserve">План</x:t>
        </x:is>
      </x:c>
      <x:c r="G55" s="31" t="n">
        <x:v>6</x:v>
      </x:c>
      <x:c r="H55" s="31" t="n">
        <x:v>94634</x:v>
      </x:c>
      <x:c r="I55" s="31" t="inlineStr">
        <x:is>
          <x:t xml:space="preserve">СОТР-117</x:t>
        </x:is>
      </x:c>
      <x:c r="J55" s="31" t="inlineStr">
        <x:is>
          <x:t xml:space="preserve">Причина/работы: ремонт</x:t>
        </x:is>
      </x:c>
    </x:row>
    <x:row r="56" ht="18" customHeight="1">
      <x:c r="A56" s="31" t="inlineStr">
        <x:is>
          <x:t xml:space="preserve">ТО-020-2</x:t>
        </x:is>
      </x:c>
      <x:c r="B56" s="31" t="inlineStr">
        <x:is>
          <x:t xml:space="preserve">ОБ-020</x:t>
        </x:is>
      </x:c>
      <x:c r="C56" s="31" t="inlineStr">
        <x:is>
          <x:t xml:space="preserve">Калибровка</x:t>
        </x:is>
      </x:c>
      <x:c r="D56" s="31" t="n">
        <x:v>46114</x:v>
      </x:c>
      <x:c r="E56" s="31" t="n">
        <x:v>46114.20833333334</x:v>
      </x:c>
      <x:c r="F56" s="31" t="inlineStr">
        <x:is>
          <x:t xml:space="preserve">Завершено</x:t>
        </x:is>
      </x:c>
      <x:c r="G56" s="31" t="n">
        <x:v>5</x:v>
      </x:c>
      <x:c r="H56" s="31" t="n">
        <x:v>98118</x:v>
      </x:c>
      <x:c r="I56" s="31" t="inlineStr">
        <x:is>
          <x:t xml:space="preserve">СОТР-119</x:t>
        </x:is>
      </x:c>
      <x:c r="J56" s="31" t="inlineStr">
        <x:is>
          <x:t xml:space="preserve">Причина/работы: калибровка</x:t>
        </x:is>
      </x:c>
    </x:row>
    <x:row r="57" ht="18" customHeight="1">
      <x:c r="A57" s="31" t="inlineStr">
        <x:is>
          <x:t xml:space="preserve">ТО-020-3</x:t>
        </x:is>
      </x:c>
      <x:c r="B57" s="31" t="inlineStr">
        <x:is>
          <x:t xml:space="preserve">ОБ-020</x:t>
        </x:is>
      </x:c>
      <x:c r="C57" s="31" t="inlineStr">
        <x:is>
          <x:t xml:space="preserve">ППР</x:t>
        </x:is>
      </x:c>
      <x:c r="D57" s="31" t="n">
        <x:v>46113</x:v>
      </x:c>
      <x:c r="E57" s="31" t="n">
        <x:v>46113.91666666666</x:v>
      </x:c>
      <x:c r="F57" s="31" t="inlineStr">
        <x:is>
          <x:t xml:space="preserve">В работе</x:t>
        </x:is>
      </x:c>
      <x:c r="G57" s="31" t="n">
        <x:v>3</x:v>
      </x:c>
      <x:c r="H57" s="31" t="n">
        <x:v>75690</x:v>
      </x:c>
      <x:c r="I57" s="31" t="inlineStr">
        <x:is>
          <x:t xml:space="preserve">СОТР-117</x:t>
        </x:is>
      </x:c>
      <x:c r="J57" s="31" t="inlineStr">
        <x:is>
          <x:t xml:space="preserve">Причина/работы: ппр</x:t>
        </x:is>
      </x:c>
    </x:row>
    <x:row r="58" ht="18" customHeight="1">
      <x:c r="A58" s="31" t="inlineStr">
        <x:is>
          <x:t xml:space="preserve">ТО-021-0</x:t>
        </x:is>
      </x:c>
      <x:c r="B58" s="31" t="inlineStr">
        <x:is>
          <x:t xml:space="preserve">ОБ-021</x:t>
        </x:is>
      </x:c>
      <x:c r="C58" s="31" t="inlineStr">
        <x:is>
          <x:t xml:space="preserve">ППР</x:t>
        </x:is>
      </x:c>
      <x:c r="D58" s="31" t="n">
        <x:v>46109</x:v>
      </x:c>
      <x:c r="E58" s="31" t="n">
        <x:v>46109.25</x:v>
      </x:c>
      <x:c r="F58" s="31" t="inlineStr">
        <x:is>
          <x:t xml:space="preserve">Завершено</x:t>
        </x:is>
      </x:c>
      <x:c r="G58" s="31" t="n">
        <x:v>1</x:v>
      </x:c>
      <x:c r="H58" s="31" t="n">
        <x:v>53453</x:v>
      </x:c>
      <x:c r="I58" s="31" t="inlineStr">
        <x:is>
          <x:t xml:space="preserve">СОТР-117</x:t>
        </x:is>
      </x:c>
      <x:c r="J58" s="31" t="inlineStr">
        <x:is>
          <x:t xml:space="preserve">Причина/работы: ппр</x:t>
        </x:is>
      </x:c>
    </x:row>
    <x:row r="59" ht="18" customHeight="1">
      <x:c r="A59" s="31" t="inlineStr">
        <x:is>
          <x:t xml:space="preserve">ТО-021-1</x:t>
        </x:is>
      </x:c>
      <x:c r="B59" s="31" t="inlineStr">
        <x:is>
          <x:t xml:space="preserve">ОБ-021</x:t>
        </x:is>
      </x:c>
      <x:c r="C59" s="31" t="inlineStr">
        <x:is>
          <x:t xml:space="preserve">ППР</x:t>
        </x:is>
      </x:c>
      <x:c r="D59" s="31" t="n">
        <x:v>46044</x:v>
      </x:c>
      <x:c r="E59" s="31" t="n">
        <x:v>46044.08333333334</x:v>
      </x:c>
      <x:c r="F59" s="31" t="inlineStr">
        <x:is>
          <x:t xml:space="preserve">В работе</x:t>
        </x:is>
      </x:c>
      <x:c r="G59" s="31" t="n">
        <x:v>10</x:v>
      </x:c>
      <x:c r="H59" s="31" t="n">
        <x:v>111382</x:v>
      </x:c>
      <x:c r="I59" s="31" t="inlineStr">
        <x:is>
          <x:t xml:space="preserve">СОТР-089</x:t>
        </x:is>
      </x:c>
      <x:c r="J59" s="31" t="inlineStr">
        <x:is>
          <x:t xml:space="preserve">Причина/работы: ппр</x:t>
        </x:is>
      </x:c>
    </x:row>
    <x:row r="60" ht="18" customHeight="1">
      <x:c r="A60" s="31" t="inlineStr">
        <x:is>
          <x:t xml:space="preserve">ТО-021-2</x:t>
        </x:is>
      </x:c>
      <x:c r="B60" s="31" t="inlineStr">
        <x:is>
          <x:t xml:space="preserve">ОБ-021</x:t>
        </x:is>
      </x:c>
      <x:c r="C60" s="31" t="inlineStr">
        <x:is>
          <x:t xml:space="preserve">ППР</x:t>
        </x:is>
      </x:c>
      <x:c r="D60" s="31" t="n">
        <x:v>46148</x:v>
      </x:c>
      <x:c r="E60" s="31" t="n">
        <x:v>46148.5</x:v>
      </x:c>
      <x:c r="F60" s="31" t="inlineStr">
        <x:is>
          <x:t xml:space="preserve">План</x:t>
        </x:is>
      </x:c>
      <x:c r="G60" s="31" t="n">
        <x:v>1</x:v>
      </x:c>
      <x:c r="H60" s="31" t="n">
        <x:v>33011</x:v>
      </x:c>
      <x:c r="I60" s="31" t="inlineStr">
        <x:is>
          <x:t xml:space="preserve">СОТР-118</x:t>
        </x:is>
      </x:c>
      <x:c r="J60" s="31" t="inlineStr">
        <x:is>
          <x:t xml:space="preserve">Причина/работы: ппр</x:t>
        </x:is>
      </x:c>
    </x:row>
    <x:row r="61" ht="18" customHeight="1">
      <x:c r="A61" s="31" t="inlineStr">
        <x:is>
          <x:t xml:space="preserve">ТО-022-0</x:t>
        </x:is>
      </x:c>
      <x:c r="B61" s="31" t="inlineStr">
        <x:is>
          <x:t xml:space="preserve">ОБ-022</x:t>
        </x:is>
      </x:c>
      <x:c r="C61" s="31" t="inlineStr">
        <x:is>
          <x:t xml:space="preserve">ППР</x:t>
        </x:is>
      </x:c>
      <x:c r="D61" s="31" t="n">
        <x:v>46149</x:v>
      </x:c>
      <x:c r="E61" s="31" t="n">
        <x:v>46149.875</x:v>
      </x:c>
      <x:c r="F61" s="31" t="inlineStr">
        <x:is>
          <x:t xml:space="preserve">В работе</x:t>
        </x:is>
      </x:c>
      <x:c r="G61" s="31" t="n">
        <x:v>4</x:v>
      </x:c>
      <x:c r="H61" s="31" t="n">
        <x:v>120112</x:v>
      </x:c>
      <x:c r="I61" s="31" t="inlineStr">
        <x:is>
          <x:t xml:space="preserve">СОТР-117</x:t>
        </x:is>
      </x:c>
      <x:c r="J61" s="31" t="inlineStr">
        <x:is>
          <x:t xml:space="preserve">Причина/работы: ппр</x:t>
        </x:is>
      </x:c>
    </x:row>
    <x:row r="62" ht="18" customHeight="1">
      <x:c r="A62" s="31" t="inlineStr">
        <x:is>
          <x:t xml:space="preserve">ТО-022-1</x:t>
        </x:is>
      </x:c>
      <x:c r="B62" s="31" t="inlineStr">
        <x:is>
          <x:t xml:space="preserve">ОБ-022</x:t>
        </x:is>
      </x:c>
      <x:c r="C62" s="31" t="inlineStr">
        <x:is>
          <x:t xml:space="preserve">ППР</x:t>
        </x:is>
      </x:c>
      <x:c r="D62" s="31" t="n">
        <x:v>46126</x:v>
      </x:c>
      <x:c r="E62" s="31" t="n">
        <x:v>46126.83333333334</x:v>
      </x:c>
      <x:c r="F62" s="31" t="inlineStr">
        <x:is>
          <x:t xml:space="preserve">План</x:t>
        </x:is>
      </x:c>
      <x:c r="G62" s="31" t="n">
        <x:v>3</x:v>
      </x:c>
      <x:c r="H62" s="31" t="n">
        <x:v>35727</x:v>
      </x:c>
      <x:c r="I62" s="31" t="inlineStr">
        <x:is>
          <x:t xml:space="preserve">СОТР-120</x:t>
        </x:is>
      </x:c>
      <x:c r="J62" s="31" t="inlineStr">
        <x:is>
          <x:t xml:space="preserve">Причина/работы: ппр</x:t>
        </x:is>
      </x:c>
    </x:row>
    <x:row r="63" ht="18" customHeight="1">
      <x:c r="A63" s="31" t="inlineStr">
        <x:is>
          <x:t xml:space="preserve">ТО-022-2</x:t>
        </x:is>
      </x:c>
      <x:c r="B63" s="31" t="inlineStr">
        <x:is>
          <x:t xml:space="preserve">ОБ-022</x:t>
        </x:is>
      </x:c>
      <x:c r="C63" s="31" t="inlineStr">
        <x:is>
          <x:t xml:space="preserve">ППР</x:t>
        </x:is>
      </x:c>
      <x:c r="D63" s="31" t="n">
        <x:v>46118</x:v>
      </x:c>
      <x:c r="E63" s="31" t="n">
        <x:v>46118.875</x:v>
      </x:c>
      <x:c r="F63" s="31" t="inlineStr">
        <x:is>
          <x:t xml:space="preserve">План</x:t>
        </x:is>
      </x:c>
      <x:c r="G63" s="31" t="n">
        <x:v>3</x:v>
      </x:c>
      <x:c r="H63" s="31" t="n">
        <x:v>20521</x:v>
      </x:c>
      <x:c r="I63" s="31" t="inlineStr">
        <x:is>
          <x:t xml:space="preserve">СОТР-118</x:t>
        </x:is>
      </x:c>
      <x:c r="J63" s="31" t="inlineStr">
        <x:is>
          <x:t xml:space="preserve">Причина/работы: ппр</x:t>
        </x:is>
      </x:c>
    </x:row>
    <x:row r="64" ht="18" customHeight="1">
      <x:c r="A64" s="31" t="inlineStr">
        <x:is>
          <x:t xml:space="preserve">ТО-022-3</x:t>
        </x:is>
      </x:c>
      <x:c r="B64" s="31" t="inlineStr">
        <x:is>
          <x:t xml:space="preserve">ОБ-022</x:t>
        </x:is>
      </x:c>
      <x:c r="C64" s="31" t="inlineStr">
        <x:is>
          <x:t xml:space="preserve">ППР</x:t>
        </x:is>
      </x:c>
      <x:c r="D64" s="31" t="n">
        <x:v>46218</x:v>
      </x:c>
      <x:c r="E64" s="31" t="n">
        <x:v>46218.54166666666</x:v>
      </x:c>
      <x:c r="F64" s="31" t="inlineStr">
        <x:is>
          <x:t xml:space="preserve">План</x:t>
        </x:is>
      </x:c>
      <x:c r="G64" s="31" t="n">
        <x:v>10</x:v>
      </x:c>
      <x:c r="H64" s="31" t="n">
        <x:v>106782</x:v>
      </x:c>
      <x:c r="I64" s="31" t="inlineStr">
        <x:is>
          <x:t xml:space="preserve">СОТР-089</x:t>
        </x:is>
      </x:c>
      <x:c r="J64" s="31" t="inlineStr">
        <x:is>
          <x:t xml:space="preserve">Причина/работы: ппр</x:t>
        </x:is>
      </x:c>
    </x:row>
    <x:row r="65" ht="18" customHeight="1">
      <x:c r="A65" s="31" t="inlineStr">
        <x:is>
          <x:t xml:space="preserve">ТО-023-0</x:t>
        </x:is>
      </x:c>
      <x:c r="B65" s="31" t="inlineStr">
        <x:is>
          <x:t xml:space="preserve">ОБ-023</x:t>
        </x:is>
      </x:c>
      <x:c r="C65" s="31" t="inlineStr">
        <x:is>
          <x:t xml:space="preserve">Калибровка</x:t>
        </x:is>
      </x:c>
      <x:c r="D65" s="31" t="n">
        <x:v>46215</x:v>
      </x:c>
      <x:c r="E65" s="31" t="n">
        <x:v>46215.5</x:v>
      </x:c>
      <x:c r="F65" s="31" t="inlineStr">
        <x:is>
          <x:t xml:space="preserve">Завершено</x:t>
        </x:is>
      </x:c>
      <x:c r="G65" s="31" t="n">
        <x:v>9</x:v>
      </x:c>
      <x:c r="H65" s="31" t="n">
        <x:v>71432</x:v>
      </x:c>
      <x:c r="I65" s="31" t="inlineStr">
        <x:is>
          <x:t xml:space="preserve">СОТР-118</x:t>
        </x:is>
      </x:c>
      <x:c r="J65" s="31" t="inlineStr">
        <x:is>
          <x:t xml:space="preserve">Причина/работы: калибровка</x:t>
        </x:is>
      </x:c>
    </x:row>
    <x:row r="66" ht="18" customHeight="1">
      <x:c r="A66" s="31" t="inlineStr">
        <x:is>
          <x:t xml:space="preserve">ТО-023-1</x:t>
        </x:is>
      </x:c>
      <x:c r="B66" s="31" t="inlineStr">
        <x:is>
          <x:t xml:space="preserve">ОБ-023</x:t>
        </x:is>
      </x:c>
      <x:c r="C66" s="31" t="inlineStr">
        <x:is>
          <x:t xml:space="preserve">ППР</x:t>
        </x:is>
      </x:c>
      <x:c r="D66" s="31" t="n">
        <x:v>46202</x:v>
      </x:c>
      <x:c r="E66" s="31" t="n">
        <x:v>46202.33333333334</x:v>
      </x:c>
      <x:c r="F66" s="31" t="inlineStr">
        <x:is>
          <x:t xml:space="preserve">В работе</x:t>
        </x:is>
      </x:c>
      <x:c r="G66" s="31" t="n">
        <x:v>10</x:v>
      </x:c>
      <x:c r="H66" s="31" t="n">
        <x:v>74307</x:v>
      </x:c>
      <x:c r="I66" s="31" t="inlineStr">
        <x:is>
          <x:t xml:space="preserve">СОТР-089</x:t>
        </x:is>
      </x:c>
      <x:c r="J66" s="31" t="inlineStr">
        <x:is>
          <x:t xml:space="preserve">Причина/работы: ппр</x:t>
        </x:is>
      </x:c>
    </x:row>
    <x:row r="67" ht="18" customHeight="1">
      <x:c r="A67" s="31" t="inlineStr">
        <x:is>
          <x:t xml:space="preserve">ТО-023-2</x:t>
        </x:is>
      </x:c>
      <x:c r="B67" s="31" t="inlineStr">
        <x:is>
          <x:t xml:space="preserve">ОБ-023</x:t>
        </x:is>
      </x:c>
      <x:c r="C67" s="31" t="inlineStr">
        <x:is>
          <x:t xml:space="preserve">Авария</x:t>
        </x:is>
      </x:c>
      <x:c r="D67" s="31" t="n">
        <x:v>46057</x:v>
      </x:c>
      <x:c r="E67" s="31" t="n">
        <x:v>46057.08333333334</x:v>
      </x:c>
      <x:c r="F67" s="31" t="inlineStr">
        <x:is>
          <x:t xml:space="preserve">Завершено</x:t>
        </x:is>
      </x:c>
      <x:c r="G67" s="31" t="n">
        <x:v>11</x:v>
      </x:c>
      <x:c r="H67" s="31" t="n">
        <x:v>49732</x:v>
      </x:c>
      <x:c r="I67" s="31" t="inlineStr">
        <x:is>
          <x:t xml:space="preserve">СОТР-089</x:t>
        </x:is>
      </x:c>
      <x:c r="J67" s="31" t="inlineStr">
        <x:is>
          <x:t xml:space="preserve">Причина/работы: авария</x:t>
        </x:is>
      </x:c>
    </x:row>
    <x:row r="68" ht="18" customHeight="1">
      <x:c r="A68" s="31" t="inlineStr">
        <x:is>
          <x:t xml:space="preserve">ТО-023-3</x:t>
        </x:is>
      </x:c>
      <x:c r="B68" s="31" t="inlineStr">
        <x:is>
          <x:t xml:space="preserve">ОБ-023</x:t>
        </x:is>
      </x:c>
      <x:c r="C68" s="31" t="inlineStr">
        <x:is>
          <x:t xml:space="preserve">Ремонт</x:t>
        </x:is>
      </x:c>
      <x:c r="D68" s="31" t="n">
        <x:v>46168</x:v>
      </x:c>
      <x:c r="E68" s="31" t="n">
        <x:v>46168.70833333334</x:v>
      </x:c>
      <x:c r="F68" s="31" t="inlineStr">
        <x:is>
          <x:t xml:space="preserve">В работе</x:t>
        </x:is>
      </x:c>
      <x:c r="G68" s="31" t="n">
        <x:v>1</x:v>
      </x:c>
      <x:c r="H68" s="31" t="n">
        <x:v>82981</x:v>
      </x:c>
      <x:c r="I68" s="31" t="inlineStr">
        <x:is>
          <x:t xml:space="preserve">СОТР-089</x:t>
        </x:is>
      </x:c>
      <x:c r="J68" s="31" t="inlineStr">
        <x:is>
          <x:t xml:space="preserve">Причина/работы: ремонт</x:t>
        </x:is>
      </x:c>
    </x:row>
    <x:row r="69" ht="18" customHeight="1">
      <x:c r="A69" s="31" t="inlineStr">
        <x:is>
          <x:t xml:space="preserve">ТО-024-0</x:t>
        </x:is>
      </x:c>
      <x:c r="B69" s="31" t="inlineStr">
        <x:is>
          <x:t xml:space="preserve">ОБ-024</x:t>
        </x:is>
      </x:c>
      <x:c r="C69" s="31" t="inlineStr">
        <x:is>
          <x:t xml:space="preserve">ППР</x:t>
        </x:is>
      </x:c>
      <x:c r="D69" s="31" t="n">
        <x:v>46067</x:v>
      </x:c>
      <x:c r="E69" s="31" t="n">
        <x:v>46067.29166666666</x:v>
      </x:c>
      <x:c r="F69" s="31" t="inlineStr">
        <x:is>
          <x:t xml:space="preserve">План</x:t>
        </x:is>
      </x:c>
      <x:c r="G69" s="31" t="n">
        <x:v>6</x:v>
      </x:c>
      <x:c r="H69" s="31" t="n">
        <x:v>36409</x:v>
      </x:c>
      <x:c r="I69" s="31" t="inlineStr">
        <x:is>
          <x:t xml:space="preserve">СОТР-119</x:t>
        </x:is>
      </x:c>
      <x:c r="J69" s="31" t="inlineStr">
        <x:is>
          <x:t xml:space="preserve">Причина/работы: ппр</x:t>
        </x:is>
      </x:c>
    </x:row>
    <x:row r="70" ht="18" customHeight="1">
      <x:c r="A70" s="31" t="inlineStr">
        <x:is>
          <x:t xml:space="preserve">ТО-024-1</x:t>
        </x:is>
      </x:c>
      <x:c r="B70" s="31" t="inlineStr">
        <x:is>
          <x:t xml:space="preserve">ОБ-024</x:t>
        </x:is>
      </x:c>
      <x:c r="C70" s="31" t="inlineStr">
        <x:is>
          <x:t xml:space="preserve">ППР</x:t>
        </x:is>
      </x:c>
      <x:c r="D70" s="31" t="n">
        <x:v>46111</x:v>
      </x:c>
      <x:c r="E70" s="31" t="n">
        <x:v>46111.58333333334</x:v>
      </x:c>
      <x:c r="F70" s="31" t="inlineStr">
        <x:is>
          <x:t xml:space="preserve">Завершено</x:t>
        </x:is>
      </x:c>
      <x:c r="G70" s="31" t="n">
        <x:v>3</x:v>
      </x:c>
      <x:c r="H70" s="31" t="n">
        <x:v>111887</x:v>
      </x:c>
      <x:c r="I70" s="31" t="inlineStr">
        <x:is>
          <x:t xml:space="preserve">СОТР-089</x:t>
        </x:is>
      </x:c>
      <x:c r="J70" s="31" t="inlineStr">
        <x:is>
          <x:t xml:space="preserve">Причина/работы: ппр</x:t>
        </x:is>
      </x:c>
    </x:row>
    <x:row r="71" ht="18" customHeight="1">
      <x:c r="A71" s="31" t="inlineStr">
        <x:is>
          <x:t xml:space="preserve">ТО-024-2</x:t>
        </x:is>
      </x:c>
      <x:c r="B71" s="31" t="inlineStr">
        <x:is>
          <x:t xml:space="preserve">ОБ-024</x:t>
        </x:is>
      </x:c>
      <x:c r="C71" s="31" t="inlineStr">
        <x:is>
          <x:t xml:space="preserve">ППР</x:t>
        </x:is>
      </x:c>
      <x:c r="D71" s="31" t="n">
        <x:v>46117</x:v>
      </x:c>
      <x:c r="E71" s="31" t="n">
        <x:v>46117.54166666666</x:v>
      </x:c>
      <x:c r="F71" s="31" t="inlineStr">
        <x:is>
          <x:t xml:space="preserve">План</x:t>
        </x:is>
      </x:c>
      <x:c r="G71" s="31" t="n">
        <x:v>5</x:v>
      </x:c>
      <x:c r="H71" s="31" t="n">
        <x:v>60521</x:v>
      </x:c>
      <x:c r="I71" s="31" t="inlineStr">
        <x:is>
          <x:t xml:space="preserve">СОТР-118</x:t>
        </x:is>
      </x:c>
      <x:c r="J71" s="31" t="inlineStr">
        <x:is>
          <x:t xml:space="preserve">Причина/работы: ппр</x:t>
        </x:is>
      </x:c>
    </x:row>
    <x:row r="72" ht="18" customHeight="1">
      <x:c r="A72" s="31" t="inlineStr">
        <x:is>
          <x:t xml:space="preserve">ТО-025-0</x:t>
        </x:is>
      </x:c>
      <x:c r="B72" s="31" t="inlineStr">
        <x:is>
          <x:t xml:space="preserve">ОБ-025</x:t>
        </x:is>
      </x:c>
      <x:c r="C72" s="31" t="inlineStr">
        <x:is>
          <x:t xml:space="preserve">ППР</x:t>
        </x:is>
      </x:c>
      <x:c r="D72" s="31" t="n">
        <x:v>46076</x:v>
      </x:c>
      <x:c r="E72" s="31" t="n">
        <x:v>46076.125</x:v>
      </x:c>
      <x:c r="F72" s="31" t="inlineStr">
        <x:is>
          <x:t xml:space="preserve">Завершено</x:t>
        </x:is>
      </x:c>
      <x:c r="G72" s="31" t="n">
        <x:v>4</x:v>
      </x:c>
      <x:c r="H72" s="31" t="n">
        <x:v>25622</x:v>
      </x:c>
      <x:c r="I72" s="31" t="inlineStr">
        <x:is>
          <x:t xml:space="preserve">СОТР-089</x:t>
        </x:is>
      </x:c>
      <x:c r="J72" s="31" t="inlineStr">
        <x:is>
          <x:t xml:space="preserve">Причина/работы: ппр</x:t>
        </x:is>
      </x:c>
    </x:row>
    <x:row r="73" ht="18" customHeight="1">
      <x:c r="A73" s="31" t="inlineStr">
        <x:is>
          <x:t xml:space="preserve">ТО-025-1</x:t>
        </x:is>
      </x:c>
      <x:c r="B73" s="31" t="inlineStr">
        <x:is>
          <x:t xml:space="preserve">ОБ-025</x:t>
        </x:is>
      </x:c>
      <x:c r="C73" s="31" t="inlineStr">
        <x:is>
          <x:t xml:space="preserve">ППР</x:t>
        </x:is>
      </x:c>
      <x:c r="D73" s="31" t="n">
        <x:v>46147</x:v>
      </x:c>
      <x:c r="E73" s="31" t="n">
        <x:v>46147.29166666666</x:v>
      </x:c>
      <x:c r="F73" s="31" t="inlineStr">
        <x:is>
          <x:t xml:space="preserve">План</x:t>
        </x:is>
      </x:c>
      <x:c r="G73" s="31" t="n">
        <x:v>8</x:v>
      </x:c>
      <x:c r="H73" s="31" t="n">
        <x:v>71531</x:v>
      </x:c>
      <x:c r="I73" s="31" t="inlineStr">
        <x:is>
          <x:t xml:space="preserve">СОТР-120</x:t>
        </x:is>
      </x:c>
      <x:c r="J73" s="31" t="inlineStr">
        <x:is>
          <x:t xml:space="preserve">Причина/работы: ппр</x:t>
        </x:is>
      </x:c>
    </x:row>
    <x:row r="74" ht="18" customHeight="1">
      <x:c r="A74" s="31" t="inlineStr">
        <x:is>
          <x:t xml:space="preserve">ТО-026-0</x:t>
        </x:is>
      </x:c>
      <x:c r="B74" s="31" t="inlineStr">
        <x:is>
          <x:t xml:space="preserve">ОБ-026</x:t>
        </x:is>
      </x:c>
      <x:c r="C74" s="31" t="inlineStr">
        <x:is>
          <x:t xml:space="preserve">Авария</x:t>
        </x:is>
      </x:c>
      <x:c r="D74" s="31" t="n">
        <x:v>46116</x:v>
      </x:c>
      <x:c r="E74" s="31" t="n">
        <x:v>46116.83333333334</x:v>
      </x:c>
      <x:c r="F74" s="31" t="inlineStr">
        <x:is>
          <x:t xml:space="preserve">План</x:t>
        </x:is>
      </x:c>
      <x:c r="G74" s="31" t="n">
        <x:v>7</x:v>
      </x:c>
      <x:c r="H74" s="31" t="n">
        <x:v>132569</x:v>
      </x:c>
      <x:c r="I74" s="31" t="inlineStr">
        <x:is>
          <x:t xml:space="preserve">СОТР-118</x:t>
        </x:is>
      </x:c>
      <x:c r="J74" s="31" t="inlineStr">
        <x:is>
          <x:t xml:space="preserve">Причина/работы: авария</x:t>
        </x:is>
      </x:c>
    </x:row>
    <x:row r="75" ht="18" customHeight="1">
      <x:c r="A75" s="31" t="inlineStr">
        <x:is>
          <x:t xml:space="preserve">ТО-026-1</x:t>
        </x:is>
      </x:c>
      <x:c r="B75" s="31" t="inlineStr">
        <x:is>
          <x:t xml:space="preserve">ОБ-026</x:t>
        </x:is>
      </x:c>
      <x:c r="C75" s="31" t="inlineStr">
        <x:is>
          <x:t xml:space="preserve">ППР</x:t>
        </x:is>
      </x:c>
      <x:c r="D75" s="31" t="n">
        <x:v>46073</x:v>
      </x:c>
      <x:c r="E75" s="31" t="n">
        <x:v>46073.58333333334</x:v>
      </x:c>
      <x:c r="F75" s="31" t="inlineStr">
        <x:is>
          <x:t xml:space="preserve">План</x:t>
        </x:is>
      </x:c>
      <x:c r="G75" s="31" t="n">
        <x:v>8</x:v>
      </x:c>
      <x:c r="H75" s="31" t="n">
        <x:v>107729</x:v>
      </x:c>
      <x:c r="I75" s="31" t="inlineStr">
        <x:is>
          <x:t xml:space="preserve">СОТР-119</x:t>
        </x:is>
      </x:c>
      <x:c r="J75" s="31" t="inlineStr">
        <x:is>
          <x:t xml:space="preserve">Причина/работы: ппр</x:t>
        </x:is>
      </x:c>
    </x:row>
    <x:row r="76" ht="18" customHeight="1">
      <x:c r="A76" s="31" t="inlineStr">
        <x:is>
          <x:t xml:space="preserve">ТО-026-2</x:t>
        </x:is>
      </x:c>
      <x:c r="B76" s="31" t="inlineStr">
        <x:is>
          <x:t xml:space="preserve">ОБ-026</x:t>
        </x:is>
      </x:c>
      <x:c r="C76" s="31" t="inlineStr">
        <x:is>
          <x:t xml:space="preserve">Калибровка</x:t>
        </x:is>
      </x:c>
      <x:c r="D76" s="31" t="n">
        <x:v>46201</x:v>
      </x:c>
      <x:c r="E76" s="31" t="n">
        <x:v>46201.66666666666</x:v>
      </x:c>
      <x:c r="F76" s="31" t="inlineStr">
        <x:is>
          <x:t xml:space="preserve">Перенесено</x:t>
        </x:is>
      </x:c>
      <x:c r="G76" s="31" t="n">
        <x:v>9</x:v>
      </x:c>
      <x:c r="H76" s="31" t="n">
        <x:v>20034</x:v>
      </x:c>
      <x:c r="I76" s="31" t="inlineStr">
        <x:is>
          <x:t xml:space="preserve">СОТР-089</x:t>
        </x:is>
      </x:c>
      <x:c r="J76" s="31" t="inlineStr">
        <x:is>
          <x:t xml:space="preserve">Причина/работы: калибровка</x:t>
        </x:is>
      </x:c>
    </x:row>
    <x:row r="77" ht="18" customHeight="1">
      <x:c r="A77" s="31" t="inlineStr">
        <x:is>
          <x:t xml:space="preserve">ТО-026-3</x:t>
        </x:is>
      </x:c>
      <x:c r="B77" s="31" t="inlineStr">
        <x:is>
          <x:t xml:space="preserve">ОБ-026</x:t>
        </x:is>
      </x:c>
      <x:c r="C77" s="31" t="inlineStr">
        <x:is>
          <x:t xml:space="preserve">ППР</x:t>
        </x:is>
      </x:c>
      <x:c r="D77" s="31" t="n">
        <x:v>46057</x:v>
      </x:c>
      <x:c r="E77" s="31" t="n">
        <x:v>46057.33333333334</x:v>
      </x:c>
      <x:c r="F77" s="31" t="inlineStr">
        <x:is>
          <x:t xml:space="preserve">План</x:t>
        </x:is>
      </x:c>
      <x:c r="G77" s="31" t="n">
        <x:v>6</x:v>
      </x:c>
      <x:c r="H77" s="31" t="n">
        <x:v>50121</x:v>
      </x:c>
      <x:c r="I77" s="31" t="inlineStr">
        <x:is>
          <x:t xml:space="preserve">СОТР-120</x:t>
        </x:is>
      </x:c>
      <x:c r="J77" s="31" t="inlineStr">
        <x:is>
          <x:t xml:space="preserve">Причина/работы: ппр</x:t>
        </x:is>
      </x:c>
    </x:row>
    <x:row r="78" ht="18" customHeight="1">
      <x:c r="A78" s="31" t="inlineStr">
        <x:is>
          <x:t xml:space="preserve">ТО-027-0</x:t>
        </x:is>
      </x:c>
      <x:c r="B78" s="31" t="inlineStr">
        <x:is>
          <x:t xml:space="preserve">ОБ-027</x:t>
        </x:is>
      </x:c>
      <x:c r="C78" s="31" t="inlineStr">
        <x:is>
          <x:t xml:space="preserve">ППР</x:t>
        </x:is>
      </x:c>
      <x:c r="D78" s="31" t="n">
        <x:v>46084</x:v>
      </x:c>
      <x:c r="E78" s="31" t="n">
        <x:v>46084.54166666666</x:v>
      </x:c>
      <x:c r="F78" s="31" t="inlineStr">
        <x:is>
          <x:t xml:space="preserve">Завершено</x:t>
        </x:is>
      </x:c>
      <x:c r="G78" s="31" t="n">
        <x:v>3</x:v>
      </x:c>
      <x:c r="H78" s="31" t="n">
        <x:v>43783</x:v>
      </x:c>
      <x:c r="I78" s="31" t="inlineStr">
        <x:is>
          <x:t xml:space="preserve">СОТР-117</x:t>
        </x:is>
      </x:c>
      <x:c r="J78" s="31" t="inlineStr">
        <x:is>
          <x:t xml:space="preserve">Причина/работы: ппр</x:t>
        </x:is>
      </x:c>
    </x:row>
    <x:row r="79" ht="18" customHeight="1">
      <x:c r="A79" s="31" t="inlineStr">
        <x:is>
          <x:t xml:space="preserve">ТО-027-1</x:t>
        </x:is>
      </x:c>
      <x:c r="B79" s="31" t="inlineStr">
        <x:is>
          <x:t xml:space="preserve">ОБ-027</x:t>
        </x:is>
      </x:c>
      <x:c r="C79" s="31" t="inlineStr">
        <x:is>
          <x:t xml:space="preserve">ППР</x:t>
        </x:is>
      </x:c>
      <x:c r="D79" s="31" t="n">
        <x:v>46150</x:v>
      </x:c>
      <x:c r="E79" s="31" t="n">
        <x:v>46150.125</x:v>
      </x:c>
      <x:c r="F79" s="31" t="inlineStr">
        <x:is>
          <x:t xml:space="preserve">План</x:t>
        </x:is>
      </x:c>
      <x:c r="G79" s="31" t="n">
        <x:v>9</x:v>
      </x:c>
      <x:c r="H79" s="31" t="n">
        <x:v>12857</x:v>
      </x:c>
      <x:c r="I79" s="31" t="inlineStr">
        <x:is>
          <x:t xml:space="preserve">СОТР-119</x:t>
        </x:is>
      </x:c>
      <x:c r="J79" s="31" t="inlineStr">
        <x:is>
          <x:t xml:space="preserve">Причина/работы: ппр</x:t>
        </x:is>
      </x:c>
    </x:row>
    <x:row r="80" ht="18" customHeight="1">
      <x:c r="A80" s="31" t="inlineStr">
        <x:is>
          <x:t xml:space="preserve">ТО-028-0</x:t>
        </x:is>
      </x:c>
      <x:c r="B80" s="31" t="inlineStr">
        <x:is>
          <x:t xml:space="preserve">ОБ-028</x:t>
        </x:is>
      </x:c>
      <x:c r="C80" s="31" t="inlineStr">
        <x:is>
          <x:t xml:space="preserve">Ремонт</x:t>
        </x:is>
      </x:c>
      <x:c r="D80" s="31" t="n">
        <x:v>46092</x:v>
      </x:c>
      <x:c r="E80" s="31" t="n">
        <x:v>46092.41666666666</x:v>
      </x:c>
      <x:c r="F80" s="31" t="inlineStr">
        <x:is>
          <x:t xml:space="preserve">План</x:t>
        </x:is>
      </x:c>
      <x:c r="G80" s="31" t="n">
        <x:v>11</x:v>
      </x:c>
      <x:c r="H80" s="31" t="n">
        <x:v>109627</x:v>
      </x:c>
      <x:c r="I80" s="31" t="inlineStr">
        <x:is>
          <x:t xml:space="preserve">СОТР-120</x:t>
        </x:is>
      </x:c>
      <x:c r="J80" s="31" t="inlineStr">
        <x:is>
          <x:t xml:space="preserve">Причина/работы: ремонт</x:t>
        </x:is>
      </x:c>
    </x:row>
    <x:row r="81" ht="18" customHeight="1">
      <x:c r="A81" s="31" t="inlineStr">
        <x:is>
          <x:t xml:space="preserve">ТО-028-1</x:t>
        </x:is>
      </x:c>
      <x:c r="B81" s="31" t="inlineStr">
        <x:is>
          <x:t xml:space="preserve">ОБ-028</x:t>
        </x:is>
      </x:c>
      <x:c r="C81" s="31" t="inlineStr">
        <x:is>
          <x:t xml:space="preserve">ППР</x:t>
        </x:is>
      </x:c>
      <x:c r="D81" s="31" t="n">
        <x:v>46095</x:v>
      </x:c>
      <x:c r="E81" s="31" t="n">
        <x:v>46095.41666666666</x:v>
      </x:c>
      <x:c r="F81" s="31" t="inlineStr">
        <x:is>
          <x:t xml:space="preserve">Завершено</x:t>
        </x:is>
      </x:c>
      <x:c r="G81" s="31" t="n">
        <x:v>12</x:v>
      </x:c>
      <x:c r="H81" s="31" t="n">
        <x:v>49385</x:v>
      </x:c>
      <x:c r="I81" s="31" t="inlineStr">
        <x:is>
          <x:t xml:space="preserve">СОТР-119</x:t>
        </x:is>
      </x:c>
      <x:c r="J81" s="31" t="inlineStr">
        <x:is>
          <x:t xml:space="preserve">Причина/работы: ппр</x:t>
        </x:is>
      </x:c>
    </x:row>
    <x:row r="82" ht="18" customHeight="1">
      <x:c r="A82" s="31" t="inlineStr">
        <x:is>
          <x:t xml:space="preserve">ТО-028-2</x:t>
        </x:is>
      </x:c>
      <x:c r="B82" s="31" t="inlineStr">
        <x:is>
          <x:t xml:space="preserve">ОБ-028</x:t>
        </x:is>
      </x:c>
      <x:c r="C82" s="31" t="inlineStr">
        <x:is>
          <x:t xml:space="preserve">ППР</x:t>
        </x:is>
      </x:c>
      <x:c r="D82" s="31" t="n">
        <x:v>46057</x:v>
      </x:c>
      <x:c r="E82" s="31" t="n">
        <x:v>46057.54166666666</x:v>
      </x:c>
      <x:c r="F82" s="31" t="inlineStr">
        <x:is>
          <x:t xml:space="preserve">План</x:t>
        </x:is>
      </x:c>
      <x:c r="G82" s="31" t="n">
        <x:v>5</x:v>
      </x:c>
      <x:c r="H82" s="31" t="n">
        <x:v>39025</x:v>
      </x:c>
      <x:c r="I82" s="31" t="inlineStr">
        <x:is>
          <x:t xml:space="preserve">СОТР-119</x:t>
        </x:is>
      </x:c>
      <x:c r="J82" s="31" t="inlineStr">
        <x:is>
          <x:t xml:space="preserve">Причина/работы: ппр</x:t>
        </x:is>
      </x:c>
    </x:row>
    <x:row r="83" ht="18" customHeight="1">
      <x:c r="A83" s="31" t="inlineStr">
        <x:is>
          <x:t xml:space="preserve">ТО-028-3</x:t>
        </x:is>
      </x:c>
      <x:c r="B83" s="31" t="inlineStr">
        <x:is>
          <x:t xml:space="preserve">ОБ-028</x:t>
        </x:is>
      </x:c>
      <x:c r="C83" s="31" t="inlineStr">
        <x:is>
          <x:t xml:space="preserve">ППР</x:t>
        </x:is>
      </x:c>
      <x:c r="D83" s="31" t="n">
        <x:v>46180</x:v>
      </x:c>
      <x:c r="E83" s="31" t="n">
        <x:v>46180.95833333334</x:v>
      </x:c>
      <x:c r="F83" s="31" t="inlineStr">
        <x:is>
          <x:t xml:space="preserve">Завершено</x:t>
        </x:is>
      </x:c>
      <x:c r="G83" s="31" t="n">
        <x:v>8</x:v>
      </x:c>
      <x:c r="H83" s="31" t="n">
        <x:v>19599</x:v>
      </x:c>
      <x:c r="I83" s="31" t="inlineStr">
        <x:is>
          <x:t xml:space="preserve">СОТР-117</x:t>
        </x:is>
      </x:c>
      <x:c r="J83" s="31" t="inlineStr">
        <x:is>
          <x:t xml:space="preserve">Причина/работы: ппр</x:t>
        </x:is>
      </x:c>
    </x:row>
    <x:row r="84" ht="18" customHeight="1">
      <x:c r="A84" s="31" t="inlineStr">
        <x:is>
          <x:t xml:space="preserve">ТО-029-0</x:t>
        </x:is>
      </x:c>
      <x:c r="B84" s="31" t="inlineStr">
        <x:is>
          <x:t xml:space="preserve">ОБ-029</x:t>
        </x:is>
      </x:c>
      <x:c r="C84" s="31" t="inlineStr">
        <x:is>
          <x:t xml:space="preserve">Ремонт</x:t>
        </x:is>
      </x:c>
      <x:c r="D84" s="31" t="n">
        <x:v>46107</x:v>
      </x:c>
      <x:c r="E84" s="31" t="n">
        <x:v>46107.16666666666</x:v>
      </x:c>
      <x:c r="F84" s="31" t="inlineStr">
        <x:is>
          <x:t xml:space="preserve">Завершено</x:t>
        </x:is>
      </x:c>
      <x:c r="G84" s="31" t="n">
        <x:v>10</x:v>
      </x:c>
      <x:c r="H84" s="31" t="n">
        <x:v>14120</x:v>
      </x:c>
      <x:c r="I84" s="31" t="inlineStr">
        <x:is>
          <x:t xml:space="preserve">СОТР-118</x:t>
        </x:is>
      </x:c>
      <x:c r="J84" s="31" t="inlineStr">
        <x:is>
          <x:t xml:space="preserve">Причина/работы: ремонт</x:t>
        </x:is>
      </x:c>
    </x:row>
    <x:row r="85" ht="18" customHeight="1">
      <x:c r="A85" s="31" t="inlineStr">
        <x:is>
          <x:t xml:space="preserve">ТО-029-1</x:t>
        </x:is>
      </x:c>
      <x:c r="B85" s="31" t="inlineStr">
        <x:is>
          <x:t xml:space="preserve">ОБ-029</x:t>
        </x:is>
      </x:c>
      <x:c r="C85" s="31" t="inlineStr">
        <x:is>
          <x:t xml:space="preserve">Ремонт</x:t>
        </x:is>
      </x:c>
      <x:c r="D85" s="31" t="n">
        <x:v>46152</x:v>
      </x:c>
      <x:c r="E85" s="31" t="n">
        <x:v>46152.16666666666</x:v>
      </x:c>
      <x:c r="F85" s="31" t="inlineStr">
        <x:is>
          <x:t xml:space="preserve">План</x:t>
        </x:is>
      </x:c>
      <x:c r="G85" s="31" t="n">
        <x:v>10</x:v>
      </x:c>
      <x:c r="H85" s="31" t="n">
        <x:v>117005</x:v>
      </x:c>
      <x:c r="I85" s="31" t="inlineStr">
        <x:is>
          <x:t xml:space="preserve">СОТР-118</x:t>
        </x:is>
      </x:c>
      <x:c r="J85" s="31" t="inlineStr">
        <x:is>
          <x:t xml:space="preserve">Причина/работы: ремонт</x:t>
        </x:is>
      </x:c>
    </x:row>
    <x:row r="86" ht="18" customHeight="1">
      <x:c r="A86" s="31" t="inlineStr">
        <x:is>
          <x:t xml:space="preserve">ТО-030-0</x:t>
        </x:is>
      </x:c>
      <x:c r="B86" s="31" t="inlineStr">
        <x:is>
          <x:t xml:space="preserve">ОБ-030</x:t>
        </x:is>
      </x:c>
      <x:c r="C86" s="31" t="inlineStr">
        <x:is>
          <x:t xml:space="preserve">ППР</x:t>
        </x:is>
      </x:c>
      <x:c r="D86" s="31" t="n">
        <x:v>46106</x:v>
      </x:c>
      <x:c r="E86" s="31" t="n">
        <x:v>46106.125</x:v>
      </x:c>
      <x:c r="F86" s="31" t="inlineStr">
        <x:is>
          <x:t xml:space="preserve">Завершено</x:t>
        </x:is>
      </x:c>
      <x:c r="G86" s="31" t="n">
        <x:v>5</x:v>
      </x:c>
      <x:c r="H86" s="31" t="n">
        <x:v>57011</x:v>
      </x:c>
      <x:c r="I86" s="31" t="inlineStr">
        <x:is>
          <x:t xml:space="preserve">СОТР-119</x:t>
        </x:is>
      </x:c>
      <x:c r="J86" s="31" t="inlineStr">
        <x:is>
          <x:t xml:space="preserve">Причина/работы: ппр</x:t>
        </x:is>
      </x:c>
    </x:row>
    <x:row r="87" ht="18" customHeight="1">
      <x:c r="A87" s="31" t="inlineStr">
        <x:is>
          <x:t xml:space="preserve">ТО-030-1</x:t>
        </x:is>
      </x:c>
      <x:c r="B87" s="31" t="inlineStr">
        <x:is>
          <x:t xml:space="preserve">ОБ-030</x:t>
        </x:is>
      </x:c>
      <x:c r="C87" s="31" t="inlineStr">
        <x:is>
          <x:t xml:space="preserve">Калибровка</x:t>
        </x:is>
      </x:c>
      <x:c r="D87" s="31" t="n">
        <x:v>46150</x:v>
      </x:c>
      <x:c r="E87" s="31" t="n">
        <x:v>46150.29166666666</x:v>
      </x:c>
      <x:c r="F87" s="31" t="inlineStr">
        <x:is>
          <x:t xml:space="preserve">Завершено</x:t>
        </x:is>
      </x:c>
      <x:c r="G87" s="31" t="n">
        <x:v>7</x:v>
      </x:c>
      <x:c r="H87" s="31" t="n">
        <x:v>125167</x:v>
      </x:c>
      <x:c r="I87" s="31" t="inlineStr">
        <x:is>
          <x:t xml:space="preserve">СОТР-089</x:t>
        </x:is>
      </x:c>
      <x:c r="J87" s="31" t="inlineStr">
        <x:is>
          <x:t xml:space="preserve">Причина/работы: калибровка</x:t>
        </x:is>
      </x:c>
    </x:row>
    <x:row r="88" ht="18" customHeight="1">
      <x:c r="A88" s="31" t="inlineStr">
        <x:is>
          <x:t xml:space="preserve">ТО-030-2</x:t>
        </x:is>
      </x:c>
      <x:c r="B88" s="31" t="inlineStr">
        <x:is>
          <x:t xml:space="preserve">ОБ-030</x:t>
        </x:is>
      </x:c>
      <x:c r="C88" s="31" t="inlineStr">
        <x:is>
          <x:t xml:space="preserve">ППР</x:t>
        </x:is>
      </x:c>
      <x:c r="D88" s="31" t="n">
        <x:v>46115</x:v>
      </x:c>
      <x:c r="E88" s="31" t="n">
        <x:v>46115.5</x:v>
      </x:c>
      <x:c r="F88" s="31" t="inlineStr">
        <x:is>
          <x:t xml:space="preserve">В работе</x:t>
        </x:is>
      </x:c>
      <x:c r="G88" s="31" t="n">
        <x:v>3</x:v>
      </x:c>
      <x:c r="H88" s="31" t="n">
        <x:v>67302</x:v>
      </x:c>
      <x:c r="I88" s="31" t="inlineStr">
        <x:is>
          <x:t xml:space="preserve">СОТР-119</x:t>
        </x:is>
      </x:c>
      <x:c r="J88" s="31" t="inlineStr">
        <x:is>
          <x:t xml:space="preserve">Причина/работы: ппр</x:t>
        </x:is>
      </x:c>
    </x:row>
    <x:row r="89" ht="18" customHeight="1">
      <x:c r="A89" s="31" t="inlineStr">
        <x:is>
          <x:t xml:space="preserve">ТО-031-0</x:t>
        </x:is>
      </x:c>
      <x:c r="B89" s="31" t="inlineStr">
        <x:is>
          <x:t xml:space="preserve">ОБ-031</x:t>
        </x:is>
      </x:c>
      <x:c r="C89" s="31" t="inlineStr">
        <x:is>
          <x:t xml:space="preserve">ППР</x:t>
        </x:is>
      </x:c>
      <x:c r="D89" s="31" t="n">
        <x:v>46223</x:v>
      </x:c>
      <x:c r="E89" s="31" t="n">
        <x:v>46223.95833333334</x:v>
      </x:c>
      <x:c r="F89" s="31" t="inlineStr">
        <x:is>
          <x:t xml:space="preserve">План</x:t>
        </x:is>
      </x:c>
      <x:c r="G89" s="31" t="n">
        <x:v>6</x:v>
      </x:c>
      <x:c r="H89" s="31" t="n">
        <x:v>109129</x:v>
      </x:c>
      <x:c r="I89" s="31" t="inlineStr">
        <x:is>
          <x:t xml:space="preserve">СОТР-089</x:t>
        </x:is>
      </x:c>
      <x:c r="J89" s="31" t="inlineStr">
        <x:is>
          <x:t xml:space="preserve">Причина/работы: ппр</x:t>
        </x:is>
      </x:c>
    </x:row>
    <x:row r="90" ht="18" customHeight="1">
      <x:c r="A90" s="31" t="inlineStr">
        <x:is>
          <x:t xml:space="preserve">ТО-031-1</x:t>
        </x:is>
      </x:c>
      <x:c r="B90" s="31" t="inlineStr">
        <x:is>
          <x:t xml:space="preserve">ОБ-031</x:t>
        </x:is>
      </x:c>
      <x:c r="C90" s="31" t="inlineStr">
        <x:is>
          <x:t xml:space="preserve">ППР</x:t>
        </x:is>
      </x:c>
      <x:c r="D90" s="31" t="n">
        <x:v>46106</x:v>
      </x:c>
      <x:c r="E90" s="31" t="n">
        <x:v>46106.54166666666</x:v>
      </x:c>
      <x:c r="F90" s="31" t="inlineStr">
        <x:is>
          <x:t xml:space="preserve">Завершено</x:t>
        </x:is>
      </x:c>
      <x:c r="G90" s="31" t="n">
        <x:v>2</x:v>
      </x:c>
      <x:c r="H90" s="31" t="n">
        <x:v>13223</x:v>
      </x:c>
      <x:c r="I90" s="31" t="inlineStr">
        <x:is>
          <x:t xml:space="preserve">СОТР-119</x:t>
        </x:is>
      </x:c>
      <x:c r="J90" s="31" t="inlineStr">
        <x:is>
          <x:t xml:space="preserve">Причина/работы: ппр</x:t>
        </x:is>
      </x:c>
    </x:row>
    <x:row r="91" ht="18" customHeight="1">
      <x:c r="A91" s="31" t="inlineStr">
        <x:is>
          <x:t xml:space="preserve">ТО-032-0</x:t>
        </x:is>
      </x:c>
      <x:c r="B91" s="31" t="inlineStr">
        <x:is>
          <x:t xml:space="preserve">ОБ-032</x:t>
        </x:is>
      </x:c>
      <x:c r="C91" s="31" t="inlineStr">
        <x:is>
          <x:t xml:space="preserve">ППР</x:t>
        </x:is>
      </x:c>
      <x:c r="D91" s="31" t="n">
        <x:v>46223</x:v>
      </x:c>
      <x:c r="E91" s="31" t="n">
        <x:v>46223.375</x:v>
      </x:c>
      <x:c r="F91" s="31" t="inlineStr">
        <x:is>
          <x:t xml:space="preserve">План</x:t>
        </x:is>
      </x:c>
      <x:c r="G91" s="31" t="n">
        <x:v>3</x:v>
      </x:c>
      <x:c r="H91" s="31" t="n">
        <x:v>110974</x:v>
      </x:c>
      <x:c r="I91" s="31" t="inlineStr">
        <x:is>
          <x:t xml:space="preserve">СОТР-119</x:t>
        </x:is>
      </x:c>
      <x:c r="J91" s="31" t="inlineStr">
        <x:is>
          <x:t xml:space="preserve">Причина/работы: ппр</x:t>
        </x:is>
      </x:c>
    </x:row>
    <x:row r="92" ht="18" customHeight="1">
      <x:c r="A92" s="31" t="inlineStr">
        <x:is>
          <x:t xml:space="preserve">ТО-032-1</x:t>
        </x:is>
      </x:c>
      <x:c r="B92" s="31" t="inlineStr">
        <x:is>
          <x:t xml:space="preserve">ОБ-032</x:t>
        </x:is>
      </x:c>
      <x:c r="C92" s="31" t="inlineStr">
        <x:is>
          <x:t xml:space="preserve">ППР</x:t>
        </x:is>
      </x:c>
      <x:c r="D92" s="31" t="n">
        <x:v>46185</x:v>
      </x:c>
      <x:c r="E92" s="31" t="n">
        <x:v>46185.20833333334</x:v>
      </x:c>
      <x:c r="F92" s="31" t="inlineStr">
        <x:is>
          <x:t xml:space="preserve">План</x:t>
        </x:is>
      </x:c>
      <x:c r="G92" s="31" t="n">
        <x:v>8</x:v>
      </x:c>
      <x:c r="H92" s="31" t="n">
        <x:v>138347</x:v>
      </x:c>
      <x:c r="I92" s="31" t="inlineStr">
        <x:is>
          <x:t xml:space="preserve">СОТР-118</x:t>
        </x:is>
      </x:c>
      <x:c r="J92" s="31" t="inlineStr">
        <x:is>
          <x:t xml:space="preserve">Причина/работы: ппр</x:t>
        </x:is>
      </x:c>
    </x:row>
    <x:row r="93" ht="18" customHeight="1">
      <x:c r="A93" s="31" t="inlineStr">
        <x:is>
          <x:t xml:space="preserve">ТО-032-2</x:t>
        </x:is>
      </x:c>
      <x:c r="B93" s="31" t="inlineStr">
        <x:is>
          <x:t xml:space="preserve">ОБ-032</x:t>
        </x:is>
      </x:c>
      <x:c r="C93" s="31" t="inlineStr">
        <x:is>
          <x:t xml:space="preserve">ППР</x:t>
        </x:is>
      </x:c>
      <x:c r="D93" s="31" t="n">
        <x:v>46060</x:v>
      </x:c>
      <x:c r="E93" s="31" t="n">
        <x:v>46060.875</x:v>
      </x:c>
      <x:c r="F93" s="31" t="inlineStr">
        <x:is>
          <x:t xml:space="preserve">Завершено</x:t>
        </x:is>
      </x:c>
      <x:c r="G93" s="31" t="n">
        <x:v>11</x:v>
      </x:c>
      <x:c r="H93" s="31" t="n">
        <x:v>124040</x:v>
      </x:c>
      <x:c r="I93" s="31" t="inlineStr">
        <x:is>
          <x:t xml:space="preserve">СОТР-117</x:t>
        </x:is>
      </x:c>
      <x:c r="J93" s="31" t="inlineStr">
        <x:is>
          <x:t xml:space="preserve">Причина/работы: ппр</x:t>
        </x:is>
      </x:c>
    </x:row>
    <x:row r="94" ht="18" customHeight="1">
      <x:c r="A94" s="31" t="inlineStr">
        <x:is>
          <x:t xml:space="preserve">ТО-033-0</x:t>
        </x:is>
      </x:c>
      <x:c r="B94" s="31" t="inlineStr">
        <x:is>
          <x:t xml:space="preserve">ОБ-033</x:t>
        </x:is>
      </x:c>
      <x:c r="C94" s="31" t="inlineStr">
        <x:is>
          <x:t xml:space="preserve">ППР</x:t>
        </x:is>
      </x:c>
      <x:c r="D94" s="31" t="n">
        <x:v>46050</x:v>
      </x:c>
      <x:c r="E94" s="31" t="n">
        <x:v>46050.45833333334</x:v>
      </x:c>
      <x:c r="F94" s="31" t="inlineStr">
        <x:is>
          <x:t xml:space="preserve">Завершено</x:t>
        </x:is>
      </x:c>
      <x:c r="G94" s="31" t="n">
        <x:v>3</x:v>
      </x:c>
      <x:c r="H94" s="31" t="n">
        <x:v>39272</x:v>
      </x:c>
      <x:c r="I94" s="31" t="inlineStr">
        <x:is>
          <x:t xml:space="preserve">СОТР-120</x:t>
        </x:is>
      </x:c>
      <x:c r="J94" s="31" t="inlineStr">
        <x:is>
          <x:t xml:space="preserve">Причина/работы: ппр</x:t>
        </x:is>
      </x:c>
    </x:row>
    <x:row r="95" ht="18" customHeight="1">
      <x:c r="A95" s="31" t="inlineStr">
        <x:is>
          <x:t xml:space="preserve">ТО-033-1</x:t>
        </x:is>
      </x:c>
      <x:c r="B95" s="31" t="inlineStr">
        <x:is>
          <x:t xml:space="preserve">ОБ-033</x:t>
        </x:is>
      </x:c>
      <x:c r="C95" s="31" t="inlineStr">
        <x:is>
          <x:t xml:space="preserve">Авария</x:t>
        </x:is>
      </x:c>
      <x:c r="D95" s="31" t="n">
        <x:v>46067</x:v>
      </x:c>
      <x:c r="E95" s="31" t="n">
        <x:v>46067.375</x:v>
      </x:c>
      <x:c r="F95" s="31" t="inlineStr">
        <x:is>
          <x:t xml:space="preserve">Завершено</x:t>
        </x:is>
      </x:c>
      <x:c r="G95" s="31" t="n">
        <x:v>2</x:v>
      </x:c>
      <x:c r="H95" s="31" t="n">
        <x:v>121150</x:v>
      </x:c>
      <x:c r="I95" s="31" t="inlineStr">
        <x:is>
          <x:t xml:space="preserve">СОТР-118</x:t>
        </x:is>
      </x:c>
      <x:c r="J95" s="31" t="inlineStr">
        <x:is>
          <x:t xml:space="preserve">Причина/работы: авария</x:t>
        </x:is>
      </x:c>
    </x:row>
    <x:row r="96" ht="18" customHeight="1">
      <x:c r="A96" s="31" t="inlineStr">
        <x:is>
          <x:t xml:space="preserve">ТО-033-2</x:t>
        </x:is>
      </x:c>
      <x:c r="B96" s="31" t="inlineStr">
        <x:is>
          <x:t xml:space="preserve">ОБ-033</x:t>
        </x:is>
      </x:c>
      <x:c r="C96" s="31" t="inlineStr">
        <x:is>
          <x:t xml:space="preserve">Калибровка</x:t>
        </x:is>
      </x:c>
      <x:c r="D96" s="31" t="n">
        <x:v>46233</x:v>
      </x:c>
      <x:c r="E96" s="31" t="n">
        <x:v>46233.58333333334</x:v>
      </x:c>
      <x:c r="F96" s="31" t="inlineStr">
        <x:is>
          <x:t xml:space="preserve">План</x:t>
        </x:is>
      </x:c>
      <x:c r="G96" s="31" t="n">
        <x:v>7</x:v>
      </x:c>
      <x:c r="H96" s="31" t="n">
        <x:v>103138</x:v>
      </x:c>
      <x:c r="I96" s="31" t="inlineStr">
        <x:is>
          <x:t xml:space="preserve">СОТР-119</x:t>
        </x:is>
      </x:c>
      <x:c r="J96" s="31" t="inlineStr">
        <x:is>
          <x:t xml:space="preserve">Причина/работы: калибровка</x:t>
        </x:is>
      </x:c>
    </x:row>
    <x:row r="97" ht="18" customHeight="1">
      <x:c r="A97" s="31" t="inlineStr">
        <x:is>
          <x:t xml:space="preserve">ТО-033-3</x:t>
        </x:is>
      </x:c>
      <x:c r="B97" s="31" t="inlineStr">
        <x:is>
          <x:t xml:space="preserve">ОБ-033</x:t>
        </x:is>
      </x:c>
      <x:c r="C97" s="31" t="inlineStr">
        <x:is>
          <x:t xml:space="preserve">ППР</x:t>
        </x:is>
      </x:c>
      <x:c r="D97" s="31" t="n">
        <x:v>46072</x:v>
      </x:c>
      <x:c r="E97" s="31" t="n">
        <x:v>46072.41666666666</x:v>
      </x:c>
      <x:c r="F97" s="31" t="inlineStr">
        <x:is>
          <x:t xml:space="preserve">Завершено</x:t>
        </x:is>
      </x:c>
      <x:c r="G97" s="31" t="n">
        <x:v>6</x:v>
      </x:c>
      <x:c r="H97" s="31" t="n">
        <x:v>66748</x:v>
      </x:c>
      <x:c r="I97" s="31" t="inlineStr">
        <x:is>
          <x:t xml:space="preserve">СОТР-119</x:t>
        </x:is>
      </x:c>
      <x:c r="J97" s="31" t="inlineStr">
        <x:is>
          <x:t xml:space="preserve">Причина/работы: ппр</x:t>
        </x:is>
      </x:c>
    </x:row>
    <x:row r="98" ht="18" customHeight="1">
      <x:c r="A98" s="31" t="inlineStr">
        <x:is>
          <x:t xml:space="preserve">ТО-034-0</x:t>
        </x:is>
      </x:c>
      <x:c r="B98" s="31" t="inlineStr">
        <x:is>
          <x:t xml:space="preserve">ОБ-034</x:t>
        </x:is>
      </x:c>
      <x:c r="C98" s="31" t="inlineStr">
        <x:is>
          <x:t xml:space="preserve">ППР</x:t>
        </x:is>
      </x:c>
      <x:c r="D98" s="31" t="n">
        <x:v>46034</x:v>
      </x:c>
      <x:c r="E98" s="31" t="n">
        <x:v>46034.79166666666</x:v>
      </x:c>
      <x:c r="F98" s="31" t="inlineStr">
        <x:is>
          <x:t xml:space="preserve">План</x:t>
        </x:is>
      </x:c>
      <x:c r="G98" s="31" t="n">
        <x:v>11</x:v>
      </x:c>
      <x:c r="H98" s="31" t="n">
        <x:v>79090</x:v>
      </x:c>
      <x:c r="I98" s="31" t="inlineStr">
        <x:is>
          <x:t xml:space="preserve">СОТР-089</x:t>
        </x:is>
      </x:c>
      <x:c r="J98" s="31" t="inlineStr">
        <x:is>
          <x:t xml:space="preserve">Причина/работы: ппр</x:t>
        </x:is>
      </x:c>
    </x:row>
    <x:row r="99" ht="18" customHeight="1">
      <x:c r="A99" s="31" t="inlineStr">
        <x:is>
          <x:t xml:space="preserve">ТО-034-1</x:t>
        </x:is>
      </x:c>
      <x:c r="B99" s="31" t="inlineStr">
        <x:is>
          <x:t xml:space="preserve">ОБ-034</x:t>
        </x:is>
      </x:c>
      <x:c r="C99" s="31" t="inlineStr">
        <x:is>
          <x:t xml:space="preserve">ППР</x:t>
        </x:is>
      </x:c>
      <x:c r="D99" s="31" t="n">
        <x:v>46162</x:v>
      </x:c>
      <x:c r="E99" s="31" t="n">
        <x:v>46162.33333333334</x:v>
      </x:c>
      <x:c r="F99" s="31" t="inlineStr">
        <x:is>
          <x:t xml:space="preserve">Завершено</x:t>
        </x:is>
      </x:c>
      <x:c r="G99" s="31" t="n">
        <x:v>4</x:v>
      </x:c>
      <x:c r="H99" s="31" t="n">
        <x:v>107856</x:v>
      </x:c>
      <x:c r="I99" s="31" t="inlineStr">
        <x:is>
          <x:t xml:space="preserve">СОТР-089</x:t>
        </x:is>
      </x:c>
      <x:c r="J99" s="31" t="inlineStr">
        <x:is>
          <x:t xml:space="preserve">Причина/работы: ппр</x:t>
        </x:is>
      </x:c>
    </x:row>
    <x:row r="100" ht="18" customHeight="1">
      <x:c r="A100" s="31" t="inlineStr">
        <x:is>
          <x:t xml:space="preserve">ТО-034-2</x:t>
        </x:is>
      </x:c>
      <x:c r="B100" s="31" t="inlineStr">
        <x:is>
          <x:t xml:space="preserve">ОБ-034</x:t>
        </x:is>
      </x:c>
      <x:c r="C100" s="31" t="inlineStr">
        <x:is>
          <x:t xml:space="preserve">Калибровка</x:t>
        </x:is>
      </x:c>
      <x:c r="D100" s="31" t="n">
        <x:v>46121</x:v>
      </x:c>
      <x:c r="E100" s="31" t="n">
        <x:v>46121.83333333334</x:v>
      </x:c>
      <x:c r="F100" s="31" t="inlineStr">
        <x:is>
          <x:t xml:space="preserve">План</x:t>
        </x:is>
      </x:c>
      <x:c r="G100" s="31" t="n">
        <x:v>7</x:v>
      </x:c>
      <x:c r="H100" s="31" t="n">
        <x:v>113697</x:v>
      </x:c>
      <x:c r="I100" s="31" t="inlineStr">
        <x:is>
          <x:t xml:space="preserve">СОТР-120</x:t>
        </x:is>
      </x:c>
      <x:c r="J100" s="31" t="inlineStr">
        <x:is>
          <x:t xml:space="preserve">Причина/работы: калибровка</x:t>
        </x:is>
      </x:c>
    </x:row>
    <x:row r="101" ht="18" customHeight="1">
      <x:c r="A101" s="31" t="inlineStr">
        <x:is>
          <x:t xml:space="preserve">ТО-035-0</x:t>
        </x:is>
      </x:c>
      <x:c r="B101" s="31" t="inlineStr">
        <x:is>
          <x:t xml:space="preserve">ОБ-035</x:t>
        </x:is>
      </x:c>
      <x:c r="C101" s="31" t="inlineStr">
        <x:is>
          <x:t xml:space="preserve">Ремонт</x:t>
        </x:is>
      </x:c>
      <x:c r="D101" s="31" t="n">
        <x:v>46128</x:v>
      </x:c>
      <x:c r="E101" s="31" t="n">
        <x:v>46128.08333333334</x:v>
      </x:c>
      <x:c r="F101" s="31" t="inlineStr">
        <x:is>
          <x:t xml:space="preserve">Завершено</x:t>
        </x:is>
      </x:c>
      <x:c r="G101" s="31" t="n">
        <x:v>1</x:v>
      </x:c>
      <x:c r="H101" s="31" t="n">
        <x:v>131177</x:v>
      </x:c>
      <x:c r="I101" s="31" t="inlineStr">
        <x:is>
          <x:t xml:space="preserve">СОТР-120</x:t>
        </x:is>
      </x:c>
      <x:c r="J101" s="31" t="inlineStr">
        <x:is>
          <x:t xml:space="preserve">Причина/работы: ремонт</x:t>
        </x:is>
      </x:c>
    </x:row>
    <x:row r="102" ht="18" customHeight="1">
      <x:c r="A102" s="31" t="inlineStr">
        <x:is>
          <x:t xml:space="preserve">ТО-035-1</x:t>
        </x:is>
      </x:c>
      <x:c r="B102" s="31" t="inlineStr">
        <x:is>
          <x:t xml:space="preserve">ОБ-035</x:t>
        </x:is>
      </x:c>
      <x:c r="C102" s="31" t="inlineStr">
        <x:is>
          <x:t xml:space="preserve">ППР</x:t>
        </x:is>
      </x:c>
      <x:c r="D102" s="31" t="n">
        <x:v>46125</x:v>
      </x:c>
      <x:c r="E102" s="31" t="n">
        <x:v>46125.375</x:v>
      </x:c>
      <x:c r="F102" s="31" t="inlineStr">
        <x:is>
          <x:t xml:space="preserve">План</x:t>
        </x:is>
      </x:c>
      <x:c r="G102" s="31" t="n">
        <x:v>1</x:v>
      </x:c>
      <x:c r="H102" s="31" t="n">
        <x:v>53867</x:v>
      </x:c>
      <x:c r="I102" s="31" t="inlineStr">
        <x:is>
          <x:t xml:space="preserve">СОТР-117</x:t>
        </x:is>
      </x:c>
      <x:c r="J102" s="31" t="inlineStr">
        <x:is>
          <x:t xml:space="preserve">Причина/работы: ппр</x:t>
        </x:is>
      </x:c>
    </x:row>
    <x:row r="103" ht="18" customHeight="1">
      <x:c r="A103" s="31" t="inlineStr">
        <x:is>
          <x:t xml:space="preserve">ТО-035-2</x:t>
        </x:is>
      </x:c>
      <x:c r="B103" s="31" t="inlineStr">
        <x:is>
          <x:t xml:space="preserve">ОБ-035</x:t>
        </x:is>
      </x:c>
      <x:c r="C103" s="31" t="inlineStr">
        <x:is>
          <x:t xml:space="preserve">Инспекция</x:t>
        </x:is>
      </x:c>
      <x:c r="D103" s="31" t="n">
        <x:v>46155</x:v>
      </x:c>
      <x:c r="E103" s="31" t="n">
        <x:v>46155.08333333334</x:v>
      </x:c>
      <x:c r="F103" s="31" t="inlineStr">
        <x:is>
          <x:t xml:space="preserve">Завершено</x:t>
        </x:is>
      </x:c>
      <x:c r="G103" s="31" t="n">
        <x:v>12</x:v>
      </x:c>
      <x:c r="H103" s="31" t="n">
        <x:v>112260</x:v>
      </x:c>
      <x:c r="I103" s="31" t="inlineStr">
        <x:is>
          <x:t xml:space="preserve">СОТР-089</x:t>
        </x:is>
      </x:c>
      <x:c r="J103" s="31" t="inlineStr">
        <x:is>
          <x:t xml:space="preserve">Причина/работы: инспекция</x:t>
        </x:is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RowHeight="15"/>
  <x:cols>
    <x:col min="1" max="1" width="31" customWidth="1"/>
    <x:col min="2" max="2" width="12" customWidth="1"/>
    <x:col min="3" max="3" width="13" customWidth="1"/>
    <x:col min="4" max="4" width="13" customWidth="1"/>
    <x:col min="5" max="5" width="12" customWidth="1"/>
    <x:col min="6" max="6" width="13" customWidth="1"/>
    <x:col min="7" max="7" width="18" customWidth="1"/>
    <x:col min="8" max="8" width="17" customWidth="1"/>
    <x:col min="9" max="9" width="20" customWidth="1"/>
    <x:col min="10" max="10" width="20" customWidth="1"/>
    <x:col min="11" max="11" width="23" customWidth="1"/>
    <x:col min="12" max="12" width="20" customWidth="1"/>
    <x:col min="13" max="13" width="23" customWidth="1"/>
    <x:col min="14" max="14" width="13" customWidth="1"/>
    <x:col min="15" max="15" width="12" customWidth="1"/>
    <x:col min="16" max="16" width="11" customWidth="1"/>
    <x:col min="17" max="17" width="15" customWidth="1"/>
    <x:col min="18" max="18" width="13" customWidth="1"/>
    <x:col min="19" max="19" width="18" customWidth="1"/>
    <x:col min="20" max="20" width="37" customWidth="1"/>
  </x:cols>
  <x:sheetData>
    <x:row r="1" ht="18" customHeight="1">
      <x:c r="A1" s="30" t="inlineStr">
        <x:is>
          <x:t xml:space="preserve">Код производственного задания</x:t>
        </x:is>
      </x:c>
      <x:c r="B1" s="30" t="inlineStr">
        <x:is>
          <x:t xml:space="preserve">Код заказа</x:t>
        </x:is>
      </x:c>
      <x:c r="C1" s="30" t="inlineStr">
        <x:is>
          <x:t xml:space="preserve">Код позиции</x:t>
        </x:is>
      </x:c>
      <x:c r="D1" s="30" t="inlineStr">
        <x:is>
          <x:t xml:space="preserve">Код изделия</x:t>
        </x:is>
      </x:c>
      <x:c r="E1" s="30" t="inlineStr">
        <x:is>
          <x:t xml:space="preserve">Количество</x:t>
        </x:is>
      </x:c>
      <x:c r="F1" s="30" t="inlineStr">
        <x:is>
          <x:t xml:space="preserve">Цех/участок</x:t>
        </x:is>
      </x:c>
      <x:c r="G1" s="30" t="inlineStr">
        <x:is>
          <x:t xml:space="preserve">Код оборудования</x:t>
        </x:is>
      </x:c>
      <x:c r="H1" s="30" t="inlineStr">
        <x:is>
          <x:t xml:space="preserve">Плановое начало</x:t>
        </x:is>
      </x:c>
      <x:c r="I1" s="30" t="inlineStr">
        <x:is>
          <x:t xml:space="preserve">Плановое окончание</x:t>
        </x:is>
      </x:c>
      <x:c r="J1" s="30" t="inlineStr">
        <x:is>
          <x:t xml:space="preserve">Фактическое начало</x:t>
        </x:is>
      </x:c>
      <x:c r="K1" s="30" t="inlineStr">
        <x:is>
          <x:t xml:space="preserve">Фактическое окончание</x:t>
        </x:is>
      </x:c>
      <x:c r="L1" s="30" t="inlineStr">
        <x:is>
          <x:t xml:space="preserve">Статус</x:t>
        </x:is>
      </x:c>
      <x:c r="M1" s="30" t="inlineStr">
        <x:is>
          <x:t xml:space="preserve">Ответственный рабочий</x:t>
        </x:is>
      </x:c>
      <x:c r="N1" s="30" t="inlineStr">
        <x:is>
          <x:t xml:space="preserve">Норма часов</x:t>
        </x:is>
      </x:c>
      <x:c r="O1" s="30" t="inlineStr">
        <x:is>
          <x:t xml:space="preserve">Факт часов</x:t>
        </x:is>
      </x:c>
      <x:c r="P1" s="30" t="inlineStr">
        <x:is>
          <x:t xml:space="preserve">Брак, шт.</x:t>
        </x:is>
      </x:c>
      <x:c r="Q1" s="30" t="inlineStr">
        <x:is>
          <x:t xml:space="preserve">Готовность, %</x:t>
        </x:is>
      </x:c>
      <x:c r="R1" s="30" t="inlineStr">
        <x:is>
          <x:t xml:space="preserve">Узкое место</x:t>
        </x:is>
      </x:c>
      <x:c r="S1" s="30" t="inlineStr">
        <x:is>
          <x:t xml:space="preserve">Причина задержки</x:t>
        </x:is>
      </x:c>
      <x:c r="T1" s="30" t="inlineStr">
        <x:is>
          <x:t xml:space="preserve">Заметки</x:t>
        </x:is>
      </x:c>
    </x:row>
    <x:row r="2" ht="18" customHeight="1">
      <x:c r="A2" s="31" t="inlineStr">
        <x:is>
          <x:t xml:space="preserve">ПЗ-00001</x:t>
        </x:is>
      </x:c>
      <x:c r="B2" s="31" t="inlineStr">
        <x:is>
          <x:t xml:space="preserve">ЗК-1002</x:t>
        </x:is>
      </x:c>
      <x:c r="C2" s="31" t="inlineStr">
        <x:is>
          <x:t xml:space="preserve">ПОЗ-0002-1</x:t>
        </x:is>
      </x:c>
      <x:c r="D2" s="31" t="inlineStr">
        <x:is>
          <x:t xml:space="preserve">ИЗД-018</x:t>
        </x:is>
      </x:c>
      <x:c r="E2" s="31" t="n">
        <x:v>2</x:v>
      </x:c>
      <x:c r="F2" s="31" t="inlineStr">
        <x:is>
          <x:t xml:space="preserve">ОТК</x:t>
        </x:is>
      </x:c>
      <x:c r="G2" s="31" t="inlineStr">
        <x:is>
          <x:t xml:space="preserve">ОБ-028</x:t>
        </x:is>
      </x:c>
      <x:c r="H2" s="31" t="n">
        <x:v>46167</x:v>
      </x:c>
      <x:c r="I2" s="31" t="n">
        <x:v>46204</x:v>
      </x:c>
      <x:c r="J2" s="31" t="n">
        <x:v>46167</x:v>
      </x:c>
      <x:c r="K2" s="31" t="n"/>
      <x:c r="L2" s="31" t="inlineStr">
        <x:is>
          <x:t xml:space="preserve">ОТК</x:t>
        </x:is>
      </x:c>
      <x:c r="M2" s="31" t="inlineStr">
        <x:is>
          <x:t xml:space="preserve">СОТР-093</x:t>
        </x:is>
      </x:c>
      <x:c r="N2" s="31" t="n">
        <x:v>88.8</x:v>
      </x:c>
      <x:c r="O2" s="31" t="n">
        <x:v>87.40000000000001</x:v>
      </x:c>
      <x:c r="P2" s="31" t="n">
        <x:v>0</x:v>
      </x:c>
      <x:c r="Q2" s="31" t="n">
        <x:v>90</x:v>
      </x:c>
      <x:c r="R2" s="31" t="inlineStr">
        <x:is>
          <x:t xml:space="preserve">Да</x:t>
        </x:is>
      </x:c>
      <x:c r="S2" s="31" t="inlineStr">
        <x:is>
          <x:t xml:space="preserve">Нет</x:t>
        </x:is>
      </x:c>
      <x:c r="T2" s="31" t="inlineStr">
        <x:is>
          <x:t xml:space="preserve">Создано из строки заказа ПОЗ-0002-1</x:t>
        </x:is>
      </x:c>
    </x:row>
    <x:row r="3" ht="18" customHeight="1">
      <x:c r="A3" s="31" t="inlineStr">
        <x:is>
          <x:t xml:space="preserve">ПЗ-00002</x:t>
        </x:is>
      </x:c>
      <x:c r="B3" s="31" t="inlineStr">
        <x:is>
          <x:t xml:space="preserve">ЗК-1002</x:t>
        </x:is>
      </x:c>
      <x:c r="C3" s="31" t="inlineStr">
        <x:is>
          <x:t xml:space="preserve">ПОЗ-0002-2</x:t>
        </x:is>
      </x:c>
      <x:c r="D3" s="31" t="inlineStr">
        <x:is>
          <x:t xml:space="preserve">ИЗД-004</x:t>
        </x:is>
      </x:c>
      <x:c r="E3" s="31" t="n">
        <x:v>1</x:v>
      </x:c>
      <x:c r="F3" s="31" t="inlineStr">
        <x:is>
          <x:t xml:space="preserve">ОТК</x:t>
        </x:is>
      </x:c>
      <x:c r="G3" s="31" t="inlineStr">
        <x:is>
          <x:t xml:space="preserve">ОБ-001</x:t>
        </x:is>
      </x:c>
      <x:c r="H3" s="31" t="n">
        <x:v>46164</x:v>
      </x:c>
      <x:c r="I3" s="31" t="n">
        <x:v>46199</x:v>
      </x:c>
      <x:c r="J3" s="31" t="n">
        <x:v>46164</x:v>
      </x:c>
      <x:c r="K3" s="31" t="n"/>
      <x:c r="L3" s="31" t="inlineStr">
        <x:is>
          <x:t xml:space="preserve">ОТК</x:t>
        </x:is>
      </x:c>
      <x:c r="M3" s="31" t="inlineStr">
        <x:is>
          <x:t xml:space="preserve">СОТР-099</x:t>
        </x:is>
      </x:c>
      <x:c r="N3" s="31" t="n">
        <x:v>103.3</x:v>
      </x:c>
      <x:c r="O3" s="31" t="n">
        <x:v>85.40000000000001</x:v>
      </x:c>
      <x:c r="P3" s="31" t="n">
        <x:v>2</x:v>
      </x:c>
      <x:c r="Q3" s="31" t="n">
        <x:v>90</x:v>
      </x:c>
      <x:c r="R3" s="31" t="inlineStr">
        <x:is>
          <x:t xml:space="preserve">Нет</x:t>
        </x:is>
      </x:c>
      <x:c r="S3" s="31" t="inlineStr">
        <x:is>
          <x:t xml:space="preserve">Нет</x:t>
        </x:is>
      </x:c>
      <x:c r="T3" s="31" t="inlineStr">
        <x:is>
          <x:t xml:space="preserve">Создано из строки заказа ПОЗ-0002-2</x:t>
        </x:is>
      </x:c>
    </x:row>
    <x:row r="4" ht="18" customHeight="1">
      <x:c r="A4" s="31" t="inlineStr">
        <x:is>
          <x:t xml:space="preserve">ПЗ-00003</x:t>
        </x:is>
      </x:c>
      <x:c r="B4" s="31" t="inlineStr">
        <x:is>
          <x:t xml:space="preserve">ЗК-1003</x:t>
        </x:is>
      </x:c>
      <x:c r="C4" s="31" t="inlineStr">
        <x:is>
          <x:t xml:space="preserve">ПОЗ-0003-1</x:t>
        </x:is>
      </x:c>
      <x:c r="D4" s="31" t="inlineStr">
        <x:is>
          <x:t xml:space="preserve">ИЗД-041</x:t>
        </x:is>
      </x:c>
      <x:c r="E4" s="31" t="n">
        <x:v>2</x:v>
      </x:c>
      <x:c r="F4" s="31" t="inlineStr">
        <x:is>
          <x:t xml:space="preserve">Сварка</x:t>
        </x:is>
      </x:c>
      <x:c r="G4" s="31" t="inlineStr">
        <x:is>
          <x:t xml:space="preserve">ОБ-019</x:t>
        </x:is>
      </x:c>
      <x:c r="H4" s="31" t="n">
        <x:v>46210</x:v>
      </x:c>
      <x:c r="I4" s="31" t="n">
        <x:v>46242</x:v>
      </x:c>
      <x:c r="J4" s="31" t="n">
        <x:v>46210</x:v>
      </x:c>
      <x:c r="K4" s="31" t="n">
        <x:v>46242</x:v>
      </x:c>
      <x:c r="L4" s="31" t="inlineStr">
        <x:is>
          <x:t xml:space="preserve">Завершено</x:t>
        </x:is>
      </x:c>
      <x:c r="M4" s="31" t="inlineStr">
        <x:is>
          <x:t xml:space="preserve">СОТР-066</x:t>
        </x:is>
      </x:c>
      <x:c r="N4" s="31" t="n">
        <x:v>77</x:v>
      </x:c>
      <x:c r="O4" s="31" t="n">
        <x:v>60.3</x:v>
      </x:c>
      <x:c r="P4" s="31" t="n">
        <x:v>1</x:v>
      </x:c>
      <x:c r="Q4" s="31" t="n">
        <x:v>100</x:v>
      </x:c>
      <x:c r="R4" s="31" t="inlineStr">
        <x:is>
          <x:t xml:space="preserve">Нет</x:t>
        </x:is>
      </x:c>
      <x:c r="S4" s="31" t="inlineStr">
        <x:is>
          <x:t xml:space="preserve">Нет</x:t>
        </x:is>
      </x:c>
      <x:c r="T4" s="31" t="inlineStr">
        <x:is>
          <x:t xml:space="preserve">Создано из строки заказа ПОЗ-0003-1</x:t>
        </x:is>
      </x:c>
    </x:row>
    <x:row r="5" ht="18" customHeight="1">
      <x:c r="A5" s="31" t="inlineStr">
        <x:is>
          <x:t xml:space="preserve">ПЗ-00004</x:t>
        </x:is>
      </x:c>
      <x:c r="B5" s="31" t="inlineStr">
        <x:is>
          <x:t xml:space="preserve">ЗК-1003</x:t>
        </x:is>
      </x:c>
      <x:c r="C5" s="31" t="inlineStr">
        <x:is>
          <x:t xml:space="preserve">ПОЗ-0003-2</x:t>
        </x:is>
      </x:c>
      <x:c r="D5" s="31" t="inlineStr">
        <x:is>
          <x:t xml:space="preserve">ИЗД-039</x:t>
        </x:is>
      </x:c>
      <x:c r="E5" s="31" t="n">
        <x:v>4</x:v>
      </x:c>
      <x:c r="F5" s="31" t="inlineStr">
        <x:is>
          <x:t xml:space="preserve">Сварка</x:t>
        </x:is>
      </x:c>
      <x:c r="G5" s="31" t="inlineStr">
        <x:is>
          <x:t xml:space="preserve">ОБ-035</x:t>
        </x:is>
      </x:c>
      <x:c r="H5" s="31" t="n">
        <x:v>46196</x:v>
      </x:c>
      <x:c r="I5" s="31" t="n">
        <x:v>46239</x:v>
      </x:c>
      <x:c r="J5" s="31" t="n">
        <x:v>46196</x:v>
      </x:c>
      <x:c r="K5" s="31" t="n">
        <x:v>46239</x:v>
      </x:c>
      <x:c r="L5" s="31" t="inlineStr">
        <x:is>
          <x:t xml:space="preserve">Завершено</x:t>
        </x:is>
      </x:c>
      <x:c r="M5" s="31" t="inlineStr">
        <x:is>
          <x:t xml:space="preserve">СОТР-068</x:t>
        </x:is>
      </x:c>
      <x:c r="N5" s="31" t="n">
        <x:v>308.8</x:v>
      </x:c>
      <x:c r="O5" s="31" t="n">
        <x:v>321</x:v>
      </x:c>
      <x:c r="P5" s="31" t="n">
        <x:v>3</x:v>
      </x:c>
      <x:c r="Q5" s="31" t="n">
        <x:v>100</x:v>
      </x:c>
      <x:c r="R5" s="31" t="inlineStr">
        <x:is>
          <x:t xml:space="preserve">Нет</x:t>
        </x:is>
      </x:c>
      <x:c r="S5" s="31" t="inlineStr">
        <x:is>
          <x:t xml:space="preserve">КД</x:t>
        </x:is>
      </x:c>
      <x:c r="T5" s="31" t="inlineStr">
        <x:is>
          <x:t xml:space="preserve">Создано из строки заказа ПОЗ-0003-2</x:t>
        </x:is>
      </x:c>
    </x:row>
    <x:row r="6" ht="18" customHeight="1">
      <x:c r="A6" s="31" t="inlineStr">
        <x:is>
          <x:t xml:space="preserve">ПЗ-00005</x:t>
        </x:is>
      </x:c>
      <x:c r="B6" s="31" t="inlineStr">
        <x:is>
          <x:t xml:space="preserve">ЗК-1003</x:t>
        </x:is>
      </x:c>
      <x:c r="C6" s="31" t="inlineStr">
        <x:is>
          <x:t xml:space="preserve">ПОЗ-0003-3</x:t>
        </x:is>
      </x:c>
      <x:c r="D6" s="31" t="inlineStr">
        <x:is>
          <x:t xml:space="preserve">ИЗД-036</x:t>
        </x:is>
      </x:c>
      <x:c r="E6" s="31" t="n">
        <x:v>2</x:v>
      </x:c>
      <x:c r="F6" s="31" t="inlineStr">
        <x:is>
          <x:t xml:space="preserve">ОТК</x:t>
        </x:is>
      </x:c>
      <x:c r="G6" s="31" t="inlineStr">
        <x:is>
          <x:t xml:space="preserve">ОБ-013</x:t>
        </x:is>
      </x:c>
      <x:c r="H6" s="31" t="n">
        <x:v>46196</x:v>
      </x:c>
      <x:c r="I6" s="31" t="n">
        <x:v>46236</x:v>
      </x:c>
      <x:c r="J6" s="31" t="n">
        <x:v>46196</x:v>
      </x:c>
      <x:c r="K6" s="31" t="n">
        <x:v>46236</x:v>
      </x:c>
      <x:c r="L6" s="31" t="inlineStr">
        <x:is>
          <x:t xml:space="preserve">Завершено</x:t>
        </x:is>
      </x:c>
      <x:c r="M6" s="31" t="inlineStr">
        <x:is>
          <x:t xml:space="preserve">СОТР-093</x:t>
        </x:is>
      </x:c>
      <x:c r="N6" s="31" t="n">
        <x:v>174</x:v>
      </x:c>
      <x:c r="O6" s="31" t="n">
        <x:v>134.2</x:v>
      </x:c>
      <x:c r="P6" s="31" t="n">
        <x:v>3</x:v>
      </x:c>
      <x:c r="Q6" s="31" t="n">
        <x:v>100</x:v>
      </x:c>
      <x:c r="R6" s="31" t="inlineStr">
        <x:is>
          <x:t xml:space="preserve">Нет</x:t>
        </x:is>
      </x:c>
      <x:c r="S6" s="31" t="inlineStr">
        <x:is>
          <x:t xml:space="preserve">Оборудование</x:t>
        </x:is>
      </x:c>
      <x:c r="T6" s="31" t="inlineStr">
        <x:is>
          <x:t xml:space="preserve">Создано из строки заказа ПОЗ-0003-3</x:t>
        </x:is>
      </x:c>
    </x:row>
    <x:row r="7" ht="18" customHeight="1">
      <x:c r="A7" s="31" t="inlineStr">
        <x:is>
          <x:t xml:space="preserve">ПЗ-00006</x:t>
        </x:is>
      </x:c>
      <x:c r="B7" s="31" t="inlineStr">
        <x:is>
          <x:t xml:space="preserve">ЗК-1004</x:t>
        </x:is>
      </x:c>
      <x:c r="C7" s="31" t="inlineStr">
        <x:is>
          <x:t xml:space="preserve">ПОЗ-0004-1</x:t>
        </x:is>
      </x:c>
      <x:c r="D7" s="31" t="inlineStr">
        <x:is>
          <x:t xml:space="preserve">ИЗД-025</x:t>
        </x:is>
      </x:c>
      <x:c r="E7" s="31" t="n">
        <x:v>4</x:v>
      </x:c>
      <x:c r="F7" s="31" t="inlineStr">
        <x:is>
          <x:t xml:space="preserve">ОТК</x:t>
        </x:is>
      </x:c>
      <x:c r="G7" s="31" t="inlineStr">
        <x:is>
          <x:t xml:space="preserve">ОБ-024</x:t>
        </x:is>
      </x:c>
      <x:c r="H7" s="31" t="n">
        <x:v>46134</x:v>
      </x:c>
      <x:c r="I7" s="31" t="n">
        <x:v>46154</x:v>
      </x:c>
      <x:c r="J7" s="31" t="n"/>
      <x:c r="K7" s="31" t="n"/>
      <x:c r="L7" s="31" t="inlineStr">
        <x:is>
          <x:t xml:space="preserve">Запланировано</x:t>
        </x:is>
      </x:c>
      <x:c r="M7" s="31" t="inlineStr">
        <x:is>
          <x:t xml:space="preserve">СОТР-095</x:t>
        </x:is>
      </x:c>
      <x:c r="N7" s="31" t="n">
        <x:v>237.2</x:v>
      </x:c>
      <x:c r="O7" s="31" t="n"/>
      <x:c r="P7" s="31" t="n">
        <x:v>0</x:v>
      </x:c>
      <x:c r="Q7" s="31" t="n">
        <x:v>10</x:v>
      </x:c>
      <x:c r="R7" s="31" t="inlineStr">
        <x:is>
          <x:t xml:space="preserve">Да</x:t>
        </x:is>
      </x:c>
      <x:c r="S7" s="31" t="inlineStr">
        <x:is>
          <x:t xml:space="preserve">Нет</x:t>
        </x:is>
      </x:c>
      <x:c r="T7" s="31" t="inlineStr">
        <x:is>
          <x:t xml:space="preserve">Создано из строки заказа ПОЗ-0004-1</x:t>
        </x:is>
      </x:c>
    </x:row>
    <x:row r="8" ht="18" customHeight="1">
      <x:c r="A8" s="31" t="inlineStr">
        <x:is>
          <x:t xml:space="preserve">ПЗ-00007</x:t>
        </x:is>
      </x:c>
      <x:c r="B8" s="31" t="inlineStr">
        <x:is>
          <x:t xml:space="preserve">ЗК-1005</x:t>
        </x:is>
      </x:c>
      <x:c r="C8" s="31" t="inlineStr">
        <x:is>
          <x:t xml:space="preserve">ПОЗ-0005-1</x:t>
        </x:is>
      </x:c>
      <x:c r="D8" s="31" t="inlineStr">
        <x:is>
          <x:t xml:space="preserve">ИЗД-016</x:t>
        </x:is>
      </x:c>
      <x:c r="E8" s="31" t="n">
        <x:v>5</x:v>
      </x:c>
      <x:c r="F8" s="31" t="inlineStr">
        <x:is>
          <x:t xml:space="preserve">ОТК</x:t>
        </x:is>
      </x:c>
      <x:c r="G8" s="31" t="inlineStr">
        <x:is>
          <x:t xml:space="preserve">ОБ-015</x:t>
        </x:is>
      </x:c>
      <x:c r="H8" s="31" t="n">
        <x:v>46117</x:v>
      </x:c>
      <x:c r="I8" s="31" t="n">
        <x:v>46117</x:v>
      </x:c>
      <x:c r="J8" s="31" t="n">
        <x:v>46117</x:v>
      </x:c>
      <x:c r="K8" s="31" t="n">
        <x:v>46117</x:v>
      </x:c>
      <x:c r="L8" s="31" t="inlineStr">
        <x:is>
          <x:t xml:space="preserve">Завершено</x:t>
        </x:is>
      </x:c>
      <x:c r="M8" s="31" t="inlineStr">
        <x:is>
          <x:t xml:space="preserve">СОТР-096</x:t>
        </x:is>
      </x:c>
      <x:c r="N8" s="31" t="n">
        <x:v>556</x:v>
      </x:c>
      <x:c r="O8" s="31" t="n">
        <x:v>488.8</x:v>
      </x:c>
      <x:c r="P8" s="31" t="n">
        <x:v>3</x:v>
      </x:c>
      <x:c r="Q8" s="31" t="n">
        <x:v>100</x:v>
      </x:c>
      <x:c r="R8" s="31" t="inlineStr">
        <x:is>
          <x:t xml:space="preserve">Нет</x:t>
        </x:is>
      </x:c>
      <x:c r="S8" s="31" t="inlineStr">
        <x:is>
          <x:t xml:space="preserve">Нет</x:t>
        </x:is>
      </x:c>
      <x:c r="T8" s="31" t="inlineStr">
        <x:is>
          <x:t xml:space="preserve">Создано из строки заказа ПОЗ-0005-1</x:t>
        </x:is>
      </x:c>
    </x:row>
    <x:row r="9" ht="18" customHeight="1">
      <x:c r="A9" s="31" t="inlineStr">
        <x:is>
          <x:t xml:space="preserve">ПЗ-00008</x:t>
        </x:is>
      </x:c>
      <x:c r="B9" s="31" t="inlineStr">
        <x:is>
          <x:t xml:space="preserve">ЗК-1005</x:t>
        </x:is>
      </x:c>
      <x:c r="C9" s="31" t="inlineStr">
        <x:is>
          <x:t xml:space="preserve">ПОЗ-0005-2</x:t>
        </x:is>
      </x:c>
      <x:c r="D9" s="31" t="inlineStr">
        <x:is>
          <x:t xml:space="preserve">ИЗД-004</x:t>
        </x:is>
      </x:c>
      <x:c r="E9" s="31" t="n">
        <x:v>2</x:v>
      </x:c>
      <x:c r="F9" s="31" t="inlineStr">
        <x:is>
          <x:t xml:space="preserve">ОТК</x:t>
        </x:is>
      </x:c>
      <x:c r="G9" s="31" t="inlineStr">
        <x:is>
          <x:t xml:space="preserve">ОБ-013</x:t>
        </x:is>
      </x:c>
      <x:c r="H9" s="31" t="n">
        <x:v>46114</x:v>
      </x:c>
      <x:c r="I9" s="31" t="n">
        <x:v>46114</x:v>
      </x:c>
      <x:c r="J9" s="31" t="n">
        <x:v>46114</x:v>
      </x:c>
      <x:c r="K9" s="31" t="n">
        <x:v>46114</x:v>
      </x:c>
      <x:c r="L9" s="31" t="inlineStr">
        <x:is>
          <x:t xml:space="preserve">Завершено</x:t>
        </x:is>
      </x:c>
      <x:c r="M9" s="31" t="inlineStr">
        <x:is>
          <x:t xml:space="preserve">СОТР-092</x:t>
        </x:is>
      </x:c>
      <x:c r="N9" s="31" t="n">
        <x:v>206.6</x:v>
      </x:c>
      <x:c r="O9" s="31" t="n">
        <x:v>204.9</x:v>
      </x:c>
      <x:c r="P9" s="31" t="n">
        <x:v>3</x:v>
      </x:c>
      <x:c r="Q9" s="31" t="n">
        <x:v>100</x:v>
      </x:c>
      <x:c r="R9" s="31" t="inlineStr">
        <x:is>
          <x:t xml:space="preserve">Нет</x:t>
        </x:is>
      </x:c>
      <x:c r="S9" s="31" t="inlineStr">
        <x:is>
          <x:t xml:space="preserve">Нет</x:t>
        </x:is>
      </x:c>
      <x:c r="T9" s="31" t="inlineStr">
        <x:is>
          <x:t xml:space="preserve">Создано из строки заказа ПОЗ-0005-2</x:t>
        </x:is>
      </x:c>
    </x:row>
    <x:row r="10" ht="18" customHeight="1">
      <x:c r="A10" s="31" t="inlineStr">
        <x:is>
          <x:t xml:space="preserve">ПЗ-00009</x:t>
        </x:is>
      </x:c>
      <x:c r="B10" s="31" t="inlineStr">
        <x:is>
          <x:t xml:space="preserve">ЗК-1007</x:t>
        </x:is>
      </x:c>
      <x:c r="C10" s="31" t="inlineStr">
        <x:is>
          <x:t xml:space="preserve">ПОЗ-0007-1</x:t>
        </x:is>
      </x:c>
      <x:c r="D10" s="31" t="inlineStr">
        <x:is>
          <x:t xml:space="preserve">ИЗД-045</x:t>
        </x:is>
      </x:c>
      <x:c r="E10" s="31" t="n">
        <x:v>2</x:v>
      </x:c>
      <x:c r="F10" s="31" t="inlineStr">
        <x:is>
          <x:t xml:space="preserve">ОТК</x:t>
        </x:is>
      </x:c>
      <x:c r="G10" s="31" t="inlineStr">
        <x:is>
          <x:t xml:space="preserve">ОБ-033</x:t>
        </x:is>
      </x:c>
      <x:c r="H10" s="31" t="n">
        <x:v>46139</x:v>
      </x:c>
      <x:c r="I10" s="31" t="n">
        <x:v>46180</x:v>
      </x:c>
      <x:c r="J10" s="31" t="n">
        <x:v>46139</x:v>
      </x:c>
      <x:c r="K10" s="31" t="n">
        <x:v>46180</x:v>
      </x:c>
      <x:c r="L10" s="31" t="inlineStr">
        <x:is>
          <x:t xml:space="preserve">Завершено</x:t>
        </x:is>
      </x:c>
      <x:c r="M10" s="31" t="inlineStr">
        <x:is>
          <x:t xml:space="preserve">СОТР-100</x:t>
        </x:is>
      </x:c>
      <x:c r="N10" s="31" t="n">
        <x:v>101.6</x:v>
      </x:c>
      <x:c r="O10" s="31" t="n">
        <x:v>120.4</x:v>
      </x:c>
      <x:c r="P10" s="31" t="n">
        <x:v>0</x:v>
      </x:c>
      <x:c r="Q10" s="31" t="n">
        <x:v>100</x:v>
      </x:c>
      <x:c r="R10" s="31" t="inlineStr">
        <x:is>
          <x:t xml:space="preserve">Нет</x:t>
        </x:is>
      </x:c>
      <x:c r="S10" s="31" t="inlineStr">
        <x:is>
          <x:t xml:space="preserve">Нет</x:t>
        </x:is>
      </x:c>
      <x:c r="T10" s="31" t="inlineStr">
        <x:is>
          <x:t xml:space="preserve">Создано из строки заказа ПОЗ-0007-1</x:t>
        </x:is>
      </x:c>
    </x:row>
    <x:row r="11" ht="18" customHeight="1">
      <x:c r="A11" s="31" t="inlineStr">
        <x:is>
          <x:t xml:space="preserve">ПЗ-00010</x:t>
        </x:is>
      </x:c>
      <x:c r="B11" s="31" t="inlineStr">
        <x:is>
          <x:t xml:space="preserve">ЗК-1007</x:t>
        </x:is>
      </x:c>
      <x:c r="C11" s="31" t="inlineStr">
        <x:is>
          <x:t xml:space="preserve">ПОЗ-0007-2</x:t>
        </x:is>
      </x:c>
      <x:c r="D11" s="31" t="inlineStr">
        <x:is>
          <x:t xml:space="preserve">ИЗД-006</x:t>
        </x:is>
      </x:c>
      <x:c r="E11" s="31" t="n">
        <x:v>1</x:v>
      </x:c>
      <x:c r="F11" s="31" t="inlineStr">
        <x:is>
          <x:t xml:space="preserve">ОТК</x:t>
        </x:is>
      </x:c>
      <x:c r="G11" s="31" t="inlineStr">
        <x:is>
          <x:t xml:space="preserve">ОБ-033</x:t>
        </x:is>
      </x:c>
      <x:c r="H11" s="31" t="n">
        <x:v>46155</x:v>
      </x:c>
      <x:c r="I11" s="31" t="n">
        <x:v>46181</x:v>
      </x:c>
      <x:c r="J11" s="31" t="n">
        <x:v>46155</x:v>
      </x:c>
      <x:c r="K11" s="31" t="n">
        <x:v>46181</x:v>
      </x:c>
      <x:c r="L11" s="31" t="inlineStr">
        <x:is>
          <x:t xml:space="preserve">Завершено</x:t>
        </x:is>
      </x:c>
      <x:c r="M11" s="31" t="inlineStr">
        <x:is>
          <x:t xml:space="preserve">СОТР-096</x:t>
        </x:is>
      </x:c>
      <x:c r="N11" s="31" t="n">
        <x:v>91</x:v>
      </x:c>
      <x:c r="O11" s="31" t="n">
        <x:v>92</x:v>
      </x:c>
      <x:c r="P11" s="31" t="n">
        <x:v>1</x:v>
      </x:c>
      <x:c r="Q11" s="31" t="n">
        <x:v>100</x:v>
      </x:c>
      <x:c r="R11" s="31" t="inlineStr">
        <x:is>
          <x:t xml:space="preserve">Нет</x:t>
        </x:is>
      </x:c>
      <x:c r="S11" s="31" t="inlineStr">
        <x:is>
          <x:t xml:space="preserve">Нет</x:t>
        </x:is>
      </x:c>
      <x:c r="T11" s="31" t="inlineStr">
        <x:is>
          <x:t xml:space="preserve">Создано из строки заказа ПОЗ-0007-2</x:t>
        </x:is>
      </x:c>
    </x:row>
    <x:row r="12" ht="18" customHeight="1">
      <x:c r="A12" s="31" t="inlineStr">
        <x:is>
          <x:t xml:space="preserve">ПЗ-00011</x:t>
        </x:is>
      </x:c>
      <x:c r="B12" s="31" t="inlineStr">
        <x:is>
          <x:t xml:space="preserve">ЗК-1008</x:t>
        </x:is>
      </x:c>
      <x:c r="C12" s="31" t="inlineStr">
        <x:is>
          <x:t xml:space="preserve">ПОЗ-0008-1</x:t>
        </x:is>
      </x:c>
      <x:c r="D12" s="31" t="inlineStr">
        <x:is>
          <x:t xml:space="preserve">ИЗД-039</x:t>
        </x:is>
      </x:c>
      <x:c r="E12" s="31" t="n">
        <x:v>3</x:v>
      </x:c>
      <x:c r="F12" s="31" t="inlineStr">
        <x:is>
          <x:t xml:space="preserve">Сварка</x:t>
        </x:is>
      </x:c>
      <x:c r="G12" s="31" t="inlineStr">
        <x:is>
          <x:t xml:space="preserve">ОБ-021</x:t>
        </x:is>
      </x:c>
      <x:c r="H12" s="31" t="n">
        <x:v>46104</x:v>
      </x:c>
      <x:c r="I12" s="31" t="n">
        <x:v>46120</x:v>
      </x:c>
      <x:c r="J12" s="31" t="n">
        <x:v>46104</x:v>
      </x:c>
      <x:c r="K12" s="31" t="n">
        <x:v>46120</x:v>
      </x:c>
      <x:c r="L12" s="31" t="inlineStr">
        <x:is>
          <x:t xml:space="preserve">Завершено</x:t>
        </x:is>
      </x:c>
      <x:c r="M12" s="31" t="inlineStr">
        <x:is>
          <x:t xml:space="preserve">СОТР-062</x:t>
        </x:is>
      </x:c>
      <x:c r="N12" s="31" t="n">
        <x:v>231.6</x:v>
      </x:c>
      <x:c r="O12" s="31" t="n">
        <x:v>190.6</x:v>
      </x:c>
      <x:c r="P12" s="31" t="n">
        <x:v>1</x:v>
      </x:c>
      <x:c r="Q12" s="31" t="n">
        <x:v>100</x:v>
      </x:c>
      <x:c r="R12" s="31" t="inlineStr">
        <x:is>
          <x:t xml:space="preserve">Нет</x:t>
        </x:is>
      </x:c>
      <x:c r="S12" s="31" t="inlineStr">
        <x:is>
          <x:t xml:space="preserve">Оборудование</x:t>
        </x:is>
      </x:c>
      <x:c r="T12" s="31" t="inlineStr">
        <x:is>
          <x:t xml:space="preserve">Создано из строки заказа ПОЗ-0008-1</x:t>
        </x:is>
      </x:c>
    </x:row>
    <x:row r="13" ht="18" customHeight="1">
      <x:c r="A13" s="31" t="inlineStr">
        <x:is>
          <x:t xml:space="preserve">ПЗ-00012</x:t>
        </x:is>
      </x:c>
      <x:c r="B13" s="31" t="inlineStr">
        <x:is>
          <x:t xml:space="preserve">ЗК-1008</x:t>
        </x:is>
      </x:c>
      <x:c r="C13" s="31" t="inlineStr">
        <x:is>
          <x:t xml:space="preserve">ПОЗ-0008-2</x:t>
        </x:is>
      </x:c>
      <x:c r="D13" s="31" t="inlineStr">
        <x:is>
          <x:t xml:space="preserve">ИЗД-011</x:t>
        </x:is>
      </x:c>
      <x:c r="E13" s="31" t="n">
        <x:v>2</x:v>
      </x:c>
      <x:c r="F13" s="31" t="inlineStr">
        <x:is>
          <x:t xml:space="preserve">ОТК</x:t>
        </x:is>
      </x:c>
      <x:c r="G13" s="31" t="inlineStr">
        <x:is>
          <x:t xml:space="preserve">ОБ-013</x:t>
        </x:is>
      </x:c>
      <x:c r="H13" s="31" t="n">
        <x:v>46108</x:v>
      </x:c>
      <x:c r="I13" s="31" t="n">
        <x:v>46123</x:v>
      </x:c>
      <x:c r="J13" s="31" t="n">
        <x:v>46108</x:v>
      </x:c>
      <x:c r="K13" s="31" t="n">
        <x:v>46123</x:v>
      </x:c>
      <x:c r="L13" s="31" t="inlineStr">
        <x:is>
          <x:t xml:space="preserve">Завершено</x:t>
        </x:is>
      </x:c>
      <x:c r="M13" s="31" t="inlineStr">
        <x:is>
          <x:t xml:space="preserve">СОТР-063</x:t>
        </x:is>
      </x:c>
      <x:c r="N13" s="31" t="n">
        <x:v>107</x:v>
      </x:c>
      <x:c r="O13" s="31" t="n">
        <x:v>128.7</x:v>
      </x:c>
      <x:c r="P13" s="31" t="n">
        <x:v>3</x:v>
      </x:c>
      <x:c r="Q13" s="31" t="n">
        <x:v>100</x:v>
      </x:c>
      <x:c r="R13" s="31" t="inlineStr">
        <x:is>
          <x:t xml:space="preserve">Нет</x:t>
        </x:is>
      </x:c>
      <x:c r="S13" s="31" t="inlineStr">
        <x:is>
          <x:t xml:space="preserve">ОТК</x:t>
        </x:is>
      </x:c>
      <x:c r="T13" s="31" t="inlineStr">
        <x:is>
          <x:t xml:space="preserve">Создано из строки заказа ПОЗ-0008-2</x:t>
        </x:is>
      </x:c>
    </x:row>
    <x:row r="14" ht="18" customHeight="1">
      <x:c r="A14" s="31" t="inlineStr">
        <x:is>
          <x:t xml:space="preserve">ПЗ-00013</x:t>
        </x:is>
      </x:c>
      <x:c r="B14" s="31" t="inlineStr">
        <x:is>
          <x:t xml:space="preserve">ЗК-1008</x:t>
        </x:is>
      </x:c>
      <x:c r="C14" s="31" t="inlineStr">
        <x:is>
          <x:t xml:space="preserve">ПОЗ-0008-3</x:t>
        </x:is>
      </x:c>
      <x:c r="D14" s="31" t="inlineStr">
        <x:is>
          <x:t xml:space="preserve">ИЗД-002</x:t>
        </x:is>
      </x:c>
      <x:c r="E14" s="31" t="n">
        <x:v>3</x:v>
      </x:c>
      <x:c r="F14" s="31" t="inlineStr">
        <x:is>
          <x:t xml:space="preserve">ОТК</x:t>
        </x:is>
      </x:c>
      <x:c r="G14" s="31" t="inlineStr">
        <x:is>
          <x:t xml:space="preserve">ОБ-022</x:t>
        </x:is>
      </x:c>
      <x:c r="H14" s="31" t="n">
        <x:v>46106</x:v>
      </x:c>
      <x:c r="I14" s="31" t="n">
        <x:v>46127</x:v>
      </x:c>
      <x:c r="J14" s="31" t="n">
        <x:v>46106</x:v>
      </x:c>
      <x:c r="K14" s="31" t="n">
        <x:v>46127</x:v>
      </x:c>
      <x:c r="L14" s="31" t="inlineStr">
        <x:is>
          <x:t xml:space="preserve">Завершено</x:t>
        </x:is>
      </x:c>
      <x:c r="M14" s="31" t="inlineStr">
        <x:is>
          <x:t xml:space="preserve">СОТР-100</x:t>
        </x:is>
      </x:c>
      <x:c r="N14" s="31" t="n">
        <x:v>132.9</x:v>
      </x:c>
      <x:c r="O14" s="31" t="n">
        <x:v>150.1</x:v>
      </x:c>
      <x:c r="P14" s="31" t="n">
        <x:v>3</x:v>
      </x:c>
      <x:c r="Q14" s="31" t="n">
        <x:v>100</x:v>
      </x:c>
      <x:c r="R14" s="31" t="inlineStr">
        <x:is>
          <x:t xml:space="preserve">Нет</x:t>
        </x:is>
      </x:c>
      <x:c r="S14" s="31" t="inlineStr">
        <x:is>
          <x:t xml:space="preserve">КД</x:t>
        </x:is>
      </x:c>
      <x:c r="T14" s="31" t="inlineStr">
        <x:is>
          <x:t xml:space="preserve">Создано из строки заказа ПОЗ-0008-3</x:t>
        </x:is>
      </x:c>
    </x:row>
    <x:row r="15" ht="18" customHeight="1">
      <x:c r="A15" s="31" t="inlineStr">
        <x:is>
          <x:t xml:space="preserve">ПЗ-00014</x:t>
        </x:is>
      </x:c>
      <x:c r="B15" s="31" t="inlineStr">
        <x:is>
          <x:t xml:space="preserve">ЗК-1008</x:t>
        </x:is>
      </x:c>
      <x:c r="C15" s="31" t="inlineStr">
        <x:is>
          <x:t xml:space="preserve">ПОЗ-0008-4</x:t>
        </x:is>
      </x:c>
      <x:c r="D15" s="31" t="inlineStr">
        <x:is>
          <x:t xml:space="preserve">ИЗД-010</x:t>
        </x:is>
      </x:c>
      <x:c r="E15" s="31" t="n">
        <x:v>4</x:v>
      </x:c>
      <x:c r="F15" s="31" t="inlineStr">
        <x:is>
          <x:t xml:space="preserve">ОТК</x:t>
        </x:is>
      </x:c>
      <x:c r="G15" s="31" t="inlineStr">
        <x:is>
          <x:t xml:space="preserve">ОБ-001</x:t>
        </x:is>
      </x:c>
      <x:c r="H15" s="31" t="n">
        <x:v>46096</x:v>
      </x:c>
      <x:c r="I15" s="31" t="n">
        <x:v>46121</x:v>
      </x:c>
      <x:c r="J15" s="31" t="n">
        <x:v>46096</x:v>
      </x:c>
      <x:c r="K15" s="31" t="n">
        <x:v>46121</x:v>
      </x:c>
      <x:c r="L15" s="31" t="inlineStr">
        <x:is>
          <x:t xml:space="preserve">Завершено</x:t>
        </x:is>
      </x:c>
      <x:c r="M15" s="31" t="inlineStr">
        <x:is>
          <x:t xml:space="preserve">СОТР-093</x:t>
        </x:is>
      </x:c>
      <x:c r="N15" s="31" t="n">
        <x:v>281.6</x:v>
      </x:c>
      <x:c r="O15" s="31" t="n">
        <x:v>274.9</x:v>
      </x:c>
      <x:c r="P15" s="31" t="n">
        <x:v>0</x:v>
      </x:c>
      <x:c r="Q15" s="31" t="n">
        <x:v>100</x:v>
      </x:c>
      <x:c r="R15" s="31" t="inlineStr">
        <x:is>
          <x:t xml:space="preserve">Нет</x:t>
        </x:is>
      </x:c>
      <x:c r="S15" s="31" t="inlineStr">
        <x:is>
          <x:t xml:space="preserve">Нет</x:t>
        </x:is>
      </x:c>
      <x:c r="T15" s="31" t="inlineStr">
        <x:is>
          <x:t xml:space="preserve">Создано из строки заказа ПОЗ-0008-4</x:t>
        </x:is>
      </x:c>
    </x:row>
    <x:row r="16" ht="18" customHeight="1">
      <x:c r="A16" s="31" t="inlineStr">
        <x:is>
          <x:t xml:space="preserve">ПЗ-00015</x:t>
        </x:is>
      </x:c>
      <x:c r="B16" s="31" t="inlineStr">
        <x:is>
          <x:t xml:space="preserve">ЗК-1009</x:t>
        </x:is>
      </x:c>
      <x:c r="C16" s="31" t="inlineStr">
        <x:is>
          <x:t xml:space="preserve">ПОЗ-0009-1</x:t>
        </x:is>
      </x:c>
      <x:c r="D16" s="31" t="inlineStr">
        <x:is>
          <x:t xml:space="preserve">ИЗД-031</x:t>
        </x:is>
      </x:c>
      <x:c r="E16" s="31" t="n">
        <x:v>4</x:v>
      </x:c>
      <x:c r="F16" s="31" t="inlineStr">
        <x:is>
          <x:t xml:space="preserve">ОТК</x:t>
        </x:is>
      </x:c>
      <x:c r="G16" s="31" t="inlineStr">
        <x:is>
          <x:t xml:space="preserve">ОБ-015</x:t>
        </x:is>
      </x:c>
      <x:c r="H16" s="31" t="n">
        <x:v>46148</x:v>
      </x:c>
      <x:c r="I16" s="31" t="n">
        <x:v>46197</x:v>
      </x:c>
      <x:c r="J16" s="31" t="n">
        <x:v>46148</x:v>
      </x:c>
      <x:c r="K16" s="31" t="n"/>
      <x:c r="L16" s="31" t="inlineStr">
        <x:is>
          <x:t xml:space="preserve">В работе</x:t>
        </x:is>
      </x:c>
      <x:c r="M16" s="31" t="inlineStr">
        <x:is>
          <x:t xml:space="preserve">СОТР-097</x:t>
        </x:is>
      </x:c>
      <x:c r="N16" s="31" t="n">
        <x:v>203.6</x:v>
      </x:c>
      <x:c r="O16" s="31" t="n">
        <x:v>198</x:v>
      </x:c>
      <x:c r="P16" s="31" t="n">
        <x:v>1</x:v>
      </x:c>
      <x:c r="Q16" s="31" t="n">
        <x:v>64</x:v>
      </x:c>
      <x:c r="R16" s="31" t="inlineStr">
        <x:is>
          <x:t xml:space="preserve">Нет</x:t>
        </x:is>
      </x:c>
      <x:c r="S16" s="31" t="inlineStr">
        <x:is>
          <x:t xml:space="preserve">Материал</x:t>
        </x:is>
      </x:c>
      <x:c r="T16" s="31" t="inlineStr">
        <x:is>
          <x:t xml:space="preserve">Создано из строки заказа ПОЗ-0009-1</x:t>
        </x:is>
      </x:c>
    </x:row>
    <x:row r="17" ht="18" customHeight="1">
      <x:c r="A17" s="31" t="inlineStr">
        <x:is>
          <x:t xml:space="preserve">ПЗ-00016</x:t>
        </x:is>
      </x:c>
      <x:c r="B17" s="31" t="inlineStr">
        <x:is>
          <x:t xml:space="preserve">ЗК-1009</x:t>
        </x:is>
      </x:c>
      <x:c r="C17" s="31" t="inlineStr">
        <x:is>
          <x:t xml:space="preserve">ПОЗ-0009-2</x:t>
        </x:is>
      </x:c>
      <x:c r="D17" s="31" t="inlineStr">
        <x:is>
          <x:t xml:space="preserve">ИЗД-021</x:t>
        </x:is>
      </x:c>
      <x:c r="E17" s="31" t="n">
        <x:v>1</x:v>
      </x:c>
      <x:c r="F17" s="31" t="inlineStr">
        <x:is>
          <x:t xml:space="preserve">ОТК</x:t>
        </x:is>
      </x:c>
      <x:c r="G17" s="31" t="inlineStr">
        <x:is>
          <x:t xml:space="preserve">ОБ-022</x:t>
        </x:is>
      </x:c>
      <x:c r="H17" s="31" t="n">
        <x:v>46159</x:v>
      </x:c>
      <x:c r="I17" s="31" t="n">
        <x:v>46203</x:v>
      </x:c>
      <x:c r="J17" s="31" t="n">
        <x:v>46159</x:v>
      </x:c>
      <x:c r="K17" s="31" t="n">
        <x:v>46203</x:v>
      </x:c>
      <x:c r="L17" s="31" t="inlineStr">
        <x:is>
          <x:t xml:space="preserve">Завершено</x:t>
        </x:is>
      </x:c>
      <x:c r="M17" s="31" t="inlineStr">
        <x:is>
          <x:t xml:space="preserve">СОТР-096</x:t>
        </x:is>
      </x:c>
      <x:c r="N17" s="31" t="n">
        <x:v>109.9</x:v>
      </x:c>
      <x:c r="O17" s="31" t="n">
        <x:v>91.5</x:v>
      </x:c>
      <x:c r="P17" s="31" t="n">
        <x:v>0</x:v>
      </x:c>
      <x:c r="Q17" s="31" t="n">
        <x:v>100</x:v>
      </x:c>
      <x:c r="R17" s="31" t="inlineStr">
        <x:is>
          <x:t xml:space="preserve">Да</x:t>
        </x:is>
      </x:c>
      <x:c r="S17" s="31" t="inlineStr">
        <x:is>
          <x:t xml:space="preserve">Нет</x:t>
        </x:is>
      </x:c>
      <x:c r="T17" s="31" t="inlineStr">
        <x:is>
          <x:t xml:space="preserve">Создано из строки заказа ПОЗ-0009-2</x:t>
        </x:is>
      </x:c>
    </x:row>
    <x:row r="18" ht="18" customHeight="1">
      <x:c r="A18" s="31" t="inlineStr">
        <x:is>
          <x:t xml:space="preserve">ПЗ-00017</x:t>
        </x:is>
      </x:c>
      <x:c r="B18" s="31" t="inlineStr">
        <x:is>
          <x:t xml:space="preserve">ЗК-1009</x:t>
        </x:is>
      </x:c>
      <x:c r="C18" s="31" t="inlineStr">
        <x:is>
          <x:t xml:space="preserve">ПОЗ-0009-3</x:t>
        </x:is>
      </x:c>
      <x:c r="D18" s="31" t="inlineStr">
        <x:is>
          <x:t xml:space="preserve">ИЗД-042</x:t>
        </x:is>
      </x:c>
      <x:c r="E18" s="31" t="n">
        <x:v>5</x:v>
      </x:c>
      <x:c r="F18" s="31" t="inlineStr">
        <x:is>
          <x:t xml:space="preserve">ОТК</x:t>
        </x:is>
      </x:c>
      <x:c r="G18" s="31" t="inlineStr">
        <x:is>
          <x:t xml:space="preserve">ОБ-032</x:t>
        </x:is>
      </x:c>
      <x:c r="H18" s="31" t="n">
        <x:v>46153</x:v>
      </x:c>
      <x:c r="I18" s="31" t="n">
        <x:v>46199</x:v>
      </x:c>
      <x:c r="J18" s="31" t="n"/>
      <x:c r="K18" s="31" t="n"/>
      <x:c r="L18" s="31" t="inlineStr">
        <x:is>
          <x:t xml:space="preserve">Запланировано</x:t>
        </x:is>
      </x:c>
      <x:c r="M18" s="31" t="inlineStr">
        <x:is>
          <x:t xml:space="preserve">СОТР-096</x:t>
        </x:is>
      </x:c>
      <x:c r="N18" s="31" t="n">
        <x:v>766.5</x:v>
      </x:c>
      <x:c r="O18" s="31" t="n"/>
      <x:c r="P18" s="31" t="n">
        <x:v>0</x:v>
      </x:c>
      <x:c r="Q18" s="31" t="n">
        <x:v>10</x:v>
      </x:c>
      <x:c r="R18" s="31" t="inlineStr">
        <x:is>
          <x:t xml:space="preserve">Да</x:t>
        </x:is>
      </x:c>
      <x:c r="S18" s="31" t="inlineStr">
        <x:is>
          <x:t xml:space="preserve">Нет</x:t>
        </x:is>
      </x:c>
      <x:c r="T18" s="31" t="inlineStr">
        <x:is>
          <x:t xml:space="preserve">Создано из строки заказа ПОЗ-0009-3</x:t>
        </x:is>
      </x:c>
    </x:row>
    <x:row r="19" ht="18" customHeight="1">
      <x:c r="A19" s="31" t="inlineStr">
        <x:is>
          <x:t xml:space="preserve">ПЗ-00018</x:t>
        </x:is>
      </x:c>
      <x:c r="B19" s="31" t="inlineStr">
        <x:is>
          <x:t xml:space="preserve">ЗК-1009</x:t>
        </x:is>
      </x:c>
      <x:c r="C19" s="31" t="inlineStr">
        <x:is>
          <x:t xml:space="preserve">ПОЗ-0009-4</x:t>
        </x:is>
      </x:c>
      <x:c r="D19" s="31" t="inlineStr">
        <x:is>
          <x:t xml:space="preserve">ИЗД-026</x:t>
        </x:is>
      </x:c>
      <x:c r="E19" s="31" t="n">
        <x:v>1</x:v>
      </x:c>
      <x:c r="F19" s="31" t="inlineStr">
        <x:is>
          <x:t xml:space="preserve">ОТК</x:t>
        </x:is>
      </x:c>
      <x:c r="G19" s="31" t="inlineStr">
        <x:is>
          <x:t xml:space="preserve">ОБ-032</x:t>
        </x:is>
      </x:c>
      <x:c r="H19" s="31" t="n">
        <x:v>46143</x:v>
      </x:c>
      <x:c r="I19" s="31" t="n">
        <x:v>46203</x:v>
      </x:c>
      <x:c r="J19" s="31" t="n">
        <x:v>46143</x:v>
      </x:c>
      <x:c r="K19" s="31" t="n">
        <x:v>46203</x:v>
      </x:c>
      <x:c r="L19" s="31" t="inlineStr">
        <x:is>
          <x:t xml:space="preserve">Завершено</x:t>
        </x:is>
      </x:c>
      <x:c r="M19" s="31" t="inlineStr">
        <x:is>
          <x:t xml:space="preserve">СОТР-100</x:t>
        </x:is>
      </x:c>
      <x:c r="N19" s="31" t="n">
        <x:v>101.3</x:v>
      </x:c>
      <x:c r="O19" s="31" t="n">
        <x:v>82.3</x:v>
      </x:c>
      <x:c r="P19" s="31" t="n">
        <x:v>0</x:v>
      </x:c>
      <x:c r="Q19" s="31" t="n">
        <x:v>100</x:v>
      </x:c>
      <x:c r="R19" s="31" t="inlineStr">
        <x:is>
          <x:t xml:space="preserve">Нет</x:t>
        </x:is>
      </x:c>
      <x:c r="S19" s="31" t="inlineStr">
        <x:is>
          <x:t xml:space="preserve">Нет</x:t>
        </x:is>
      </x:c>
      <x:c r="T19" s="31" t="inlineStr">
        <x:is>
          <x:t xml:space="preserve">Создано из строки заказа ПОЗ-0009-4</x:t>
        </x:is>
      </x:c>
    </x:row>
    <x:row r="20" ht="18" customHeight="1">
      <x:c r="A20" s="31" t="inlineStr">
        <x:is>
          <x:t xml:space="preserve">ПЗ-00019</x:t>
        </x:is>
      </x:c>
      <x:c r="B20" s="31" t="inlineStr">
        <x:is>
          <x:t xml:space="preserve">ЗК-1010</x:t>
        </x:is>
      </x:c>
      <x:c r="C20" s="31" t="inlineStr">
        <x:is>
          <x:t xml:space="preserve">ПОЗ-0010-1</x:t>
        </x:is>
      </x:c>
      <x:c r="D20" s="31" t="inlineStr">
        <x:is>
          <x:t xml:space="preserve">ИЗД-019</x:t>
        </x:is>
      </x:c>
      <x:c r="E20" s="31" t="n">
        <x:v>2</x:v>
      </x:c>
      <x:c r="F20" s="31" t="inlineStr">
        <x:is>
          <x:t xml:space="preserve">ОТК</x:t>
        </x:is>
      </x:c>
      <x:c r="G20" s="31" t="inlineStr">
        <x:is>
          <x:t xml:space="preserve">ОБ-032</x:t>
        </x:is>
      </x:c>
      <x:c r="H20" s="31" t="n">
        <x:v>46114</x:v>
      </x:c>
      <x:c r="I20" s="31" t="n">
        <x:v>46143</x:v>
      </x:c>
      <x:c r="J20" s="31" t="n">
        <x:v>46114</x:v>
      </x:c>
      <x:c r="K20" s="31" t="n"/>
      <x:c r="L20" s="31" t="inlineStr">
        <x:is>
          <x:t xml:space="preserve">В работе</x:t>
        </x:is>
      </x:c>
      <x:c r="M20" s="31" t="inlineStr">
        <x:is>
          <x:t xml:space="preserve">СОТР-096</x:t>
        </x:is>
      </x:c>
      <x:c r="N20" s="31" t="n">
        <x:v>84.2</x:v>
      </x:c>
      <x:c r="O20" s="31" t="n">
        <x:v>96.5</x:v>
      </x:c>
      <x:c r="P20" s="31" t="n">
        <x:v>0</x:v>
      </x:c>
      <x:c r="Q20" s="31" t="n">
        <x:v>44</x:v>
      </x:c>
      <x:c r="R20" s="31" t="inlineStr">
        <x:is>
          <x:t xml:space="preserve">Нет</x:t>
        </x:is>
      </x:c>
      <x:c r="S20" s="31" t="inlineStr">
        <x:is>
          <x:t xml:space="preserve">Материал</x:t>
        </x:is>
      </x:c>
      <x:c r="T20" s="31" t="inlineStr">
        <x:is>
          <x:t xml:space="preserve">Создано из строки заказа ПОЗ-0010-1</x:t>
        </x:is>
      </x:c>
    </x:row>
    <x:row r="21" ht="18" customHeight="1">
      <x:c r="A21" s="31" t="inlineStr">
        <x:is>
          <x:t xml:space="preserve">ПЗ-00020</x:t>
        </x:is>
      </x:c>
      <x:c r="B21" s="31" t="inlineStr">
        <x:is>
          <x:t xml:space="preserve">ЗК-1011</x:t>
        </x:is>
      </x:c>
      <x:c r="C21" s="31" t="inlineStr">
        <x:is>
          <x:t xml:space="preserve">ПОЗ-0011-1</x:t>
        </x:is>
      </x:c>
      <x:c r="D21" s="31" t="inlineStr">
        <x:is>
          <x:t xml:space="preserve">ИЗД-014</x:t>
        </x:is>
      </x:c>
      <x:c r="E21" s="31" t="n">
        <x:v>5</x:v>
      </x:c>
      <x:c r="F21" s="31" t="inlineStr">
        <x:is>
          <x:t xml:space="preserve">Сварка</x:t>
        </x:is>
      </x:c>
      <x:c r="G21" s="31" t="inlineStr">
        <x:is>
          <x:t xml:space="preserve">ОБ-018</x:t>
        </x:is>
      </x:c>
      <x:c r="H21" s="31" t="n">
        <x:v>46081</x:v>
      </x:c>
      <x:c r="I21" s="31" t="n">
        <x:v>46148</x:v>
      </x:c>
      <x:c r="J21" s="31" t="n">
        <x:v>46081</x:v>
      </x:c>
      <x:c r="K21" s="31" t="n"/>
      <x:c r="L21" s="31" t="inlineStr">
        <x:is>
          <x:t xml:space="preserve">Ожидает материалов</x:t>
        </x:is>
      </x:c>
      <x:c r="M21" s="31" t="inlineStr">
        <x:is>
          <x:t xml:space="preserve">СОТР-061</x:t>
        </x:is>
      </x:c>
      <x:c r="N21" s="31" t="n">
        <x:v>318.5</x:v>
      </x:c>
      <x:c r="O21" s="31" t="n"/>
      <x:c r="P21" s="31" t="n">
        <x:v>0</x:v>
      </x:c>
      <x:c r="Q21" s="31" t="n">
        <x:v>15</x:v>
      </x:c>
      <x:c r="R21" s="31" t="inlineStr">
        <x:is>
          <x:t xml:space="preserve">Да</x:t>
        </x:is>
      </x:c>
      <x:c r="S21" s="31" t="inlineStr">
        <x:is>
          <x:t xml:space="preserve">Нет</x:t>
        </x:is>
      </x:c>
      <x:c r="T21" s="31" t="inlineStr">
        <x:is>
          <x:t xml:space="preserve">Создано из строки заказа ПОЗ-0011-1</x:t>
        </x:is>
      </x:c>
    </x:row>
    <x:row r="22" ht="18" customHeight="1">
      <x:c r="A22" s="31" t="inlineStr">
        <x:is>
          <x:t xml:space="preserve">ПЗ-00021</x:t>
        </x:is>
      </x:c>
      <x:c r="B22" s="31" t="inlineStr">
        <x:is>
          <x:t xml:space="preserve">ЗК-1011</x:t>
        </x:is>
      </x:c>
      <x:c r="C22" s="31" t="inlineStr">
        <x:is>
          <x:t xml:space="preserve">ПОЗ-0011-2</x:t>
        </x:is>
      </x:c>
      <x:c r="D22" s="31" t="inlineStr">
        <x:is>
          <x:t xml:space="preserve">ИЗД-040</x:t>
        </x:is>
      </x:c>
      <x:c r="E22" s="31" t="n">
        <x:v>5</x:v>
      </x:c>
      <x:c r="F22" s="31" t="inlineStr">
        <x:is>
          <x:t xml:space="preserve">ОТК</x:t>
        </x:is>
      </x:c>
      <x:c r="G22" s="31" t="inlineStr">
        <x:is>
          <x:t xml:space="preserve">ОБ-007</x:t>
        </x:is>
      </x:c>
      <x:c r="H22" s="31" t="n">
        <x:v>46075</x:v>
      </x:c>
      <x:c r="I22" s="31" t="n">
        <x:v>46155</x:v>
      </x:c>
      <x:c r="J22" s="31" t="n">
        <x:v>46075</x:v>
      </x:c>
      <x:c r="K22" s="31" t="n"/>
      <x:c r="L22" s="31" t="inlineStr">
        <x:is>
          <x:t xml:space="preserve">Пауза</x:t>
        </x:is>
      </x:c>
      <x:c r="M22" s="31" t="inlineStr">
        <x:is>
          <x:t xml:space="preserve">СОТР-100</x:t>
        </x:is>
      </x:c>
      <x:c r="N22" s="31" t="n">
        <x:v>222</x:v>
      </x:c>
      <x:c r="O22" s="31" t="n">
        <x:v>212.6</x:v>
      </x:c>
      <x:c r="P22" s="31" t="n">
        <x:v>0</x:v>
      </x:c>
      <x:c r="Q22" s="31" t="n">
        <x:v>69</x:v>
      </x:c>
      <x:c r="R22" s="31" t="inlineStr">
        <x:is>
          <x:t xml:space="preserve">Нет</x:t>
        </x:is>
      </x:c>
      <x:c r="S22" s="31" t="inlineStr">
        <x:is>
          <x:t xml:space="preserve">Нет</x:t>
        </x:is>
      </x:c>
      <x:c r="T22" s="31" t="inlineStr">
        <x:is>
          <x:t xml:space="preserve">Создано из строки заказа ПОЗ-0011-2</x:t>
        </x:is>
      </x:c>
    </x:row>
    <x:row r="23" ht="18" customHeight="1">
      <x:c r="A23" s="31" t="inlineStr">
        <x:is>
          <x:t xml:space="preserve">ПЗ-00022</x:t>
        </x:is>
      </x:c>
      <x:c r="B23" s="31" t="inlineStr">
        <x:is>
          <x:t xml:space="preserve">ЗК-1012</x:t>
        </x:is>
      </x:c>
      <x:c r="C23" s="31" t="inlineStr">
        <x:is>
          <x:t xml:space="preserve">ПОЗ-0012-1</x:t>
        </x:is>
      </x:c>
      <x:c r="D23" s="31" t="inlineStr">
        <x:is>
          <x:t xml:space="preserve">ИЗД-003</x:t>
        </x:is>
      </x:c>
      <x:c r="E23" s="31" t="n">
        <x:v>4</x:v>
      </x:c>
      <x:c r="F23" s="31" t="inlineStr">
        <x:is>
          <x:t xml:space="preserve">ОТК</x:t>
        </x:is>
      </x:c>
      <x:c r="G23" s="31" t="inlineStr">
        <x:is>
          <x:t xml:space="preserve">ОБ-001</x:t>
        </x:is>
      </x:c>
      <x:c r="H23" s="31" t="n">
        <x:v>46084</x:v>
      </x:c>
      <x:c r="I23" s="31" t="n">
        <x:v>46098</x:v>
      </x:c>
      <x:c r="J23" s="31" t="n">
        <x:v>46084</x:v>
      </x:c>
      <x:c r="K23" s="31" t="n"/>
      <x:c r="L23" s="31" t="inlineStr">
        <x:is>
          <x:t xml:space="preserve">В работе</x:t>
        </x:is>
      </x:c>
      <x:c r="M23" s="31" t="inlineStr">
        <x:is>
          <x:t xml:space="preserve">СОТР-097</x:t>
        </x:is>
      </x:c>
      <x:c r="N23" s="31" t="n">
        <x:v>180</x:v>
      </x:c>
      <x:c r="O23" s="31" t="n">
        <x:v>138.9</x:v>
      </x:c>
      <x:c r="P23" s="31" t="n">
        <x:v>2</x:v>
      </x:c>
      <x:c r="Q23" s="31" t="n">
        <x:v>51</x:v>
      </x:c>
      <x:c r="R23" s="31" t="inlineStr">
        <x:is>
          <x:t xml:space="preserve">Нет</x:t>
        </x:is>
      </x:c>
      <x:c r="S23" s="31" t="inlineStr">
        <x:is>
          <x:t xml:space="preserve">КД</x:t>
        </x:is>
      </x:c>
      <x:c r="T23" s="31" t="inlineStr">
        <x:is>
          <x:t xml:space="preserve">Создано из строки заказа ПОЗ-0012-1</x:t>
        </x:is>
      </x:c>
    </x:row>
    <x:row r="24" ht="18" customHeight="1">
      <x:c r="A24" s="31" t="inlineStr">
        <x:is>
          <x:t xml:space="preserve">ПЗ-00023</x:t>
        </x:is>
      </x:c>
      <x:c r="B24" s="31" t="inlineStr">
        <x:is>
          <x:t xml:space="preserve">ЗК-1012</x:t>
        </x:is>
      </x:c>
      <x:c r="C24" s="31" t="inlineStr">
        <x:is>
          <x:t xml:space="preserve">ПОЗ-0012-2</x:t>
        </x:is>
      </x:c>
      <x:c r="D24" s="31" t="inlineStr">
        <x:is>
          <x:t xml:space="preserve">ИЗД-024</x:t>
        </x:is>
      </x:c>
      <x:c r="E24" s="31" t="n">
        <x:v>1</x:v>
      </x:c>
      <x:c r="F24" s="31" t="inlineStr">
        <x:is>
          <x:t xml:space="preserve">ОТК</x:t>
        </x:is>
      </x:c>
      <x:c r="G24" s="31" t="inlineStr">
        <x:is>
          <x:t xml:space="preserve">ОБ-013</x:t>
        </x:is>
      </x:c>
      <x:c r="H24" s="31" t="n">
        <x:v>46092</x:v>
      </x:c>
      <x:c r="I24" s="31" t="n">
        <x:v>46100</x:v>
      </x:c>
      <x:c r="J24" s="31" t="n">
        <x:v>46092</x:v>
      </x:c>
      <x:c r="K24" s="31" t="n">
        <x:v>46100</x:v>
      </x:c>
      <x:c r="L24" s="31" t="inlineStr">
        <x:is>
          <x:t xml:space="preserve">Завершено</x:t>
        </x:is>
      </x:c>
      <x:c r="M24" s="31" t="inlineStr">
        <x:is>
          <x:t xml:space="preserve">СОТР-096</x:t>
        </x:is>
      </x:c>
      <x:c r="N24" s="31" t="n">
        <x:v>50</x:v>
      </x:c>
      <x:c r="O24" s="31" t="n">
        <x:v>42.4</x:v>
      </x:c>
      <x:c r="P24" s="31" t="n">
        <x:v>3</x:v>
      </x:c>
      <x:c r="Q24" s="31" t="n">
        <x:v>100</x:v>
      </x:c>
      <x:c r="R24" s="31" t="inlineStr">
        <x:is>
          <x:t xml:space="preserve">Нет</x:t>
        </x:is>
      </x:c>
      <x:c r="S24" s="31" t="inlineStr">
        <x:is>
          <x:t xml:space="preserve">Оборудование</x:t>
        </x:is>
      </x:c>
      <x:c r="T24" s="31" t="inlineStr">
        <x:is>
          <x:t xml:space="preserve">Создано из строки заказа ПОЗ-0012-2</x:t>
        </x:is>
      </x:c>
    </x:row>
    <x:row r="25" ht="18" customHeight="1">
      <x:c r="A25" s="31" t="inlineStr">
        <x:is>
          <x:t xml:space="preserve">ПЗ-00024</x:t>
        </x:is>
      </x:c>
      <x:c r="B25" s="31" t="inlineStr">
        <x:is>
          <x:t xml:space="preserve">ЗК-1012</x:t>
        </x:is>
      </x:c>
      <x:c r="C25" s="31" t="inlineStr">
        <x:is>
          <x:t xml:space="preserve">ПОЗ-0012-3</x:t>
        </x:is>
      </x:c>
      <x:c r="D25" s="31" t="inlineStr">
        <x:is>
          <x:t xml:space="preserve">ИЗД-019</x:t>
        </x:is>
      </x:c>
      <x:c r="E25" s="31" t="n">
        <x:v>2</x:v>
      </x:c>
      <x:c r="F25" s="31" t="inlineStr">
        <x:is>
          <x:t xml:space="preserve">ОТК</x:t>
        </x:is>
      </x:c>
      <x:c r="G25" s="31" t="inlineStr">
        <x:is>
          <x:t xml:space="preserve">ОБ-015</x:t>
        </x:is>
      </x:c>
      <x:c r="H25" s="31" t="n">
        <x:v>46081</x:v>
      </x:c>
      <x:c r="I25" s="31" t="n">
        <x:v>46098</x:v>
      </x:c>
      <x:c r="J25" s="31" t="n">
        <x:v>46081</x:v>
      </x:c>
      <x:c r="K25" s="31" t="n">
        <x:v>46098</x:v>
      </x:c>
      <x:c r="L25" s="31" t="inlineStr">
        <x:is>
          <x:t xml:space="preserve">Завершено</x:t>
        </x:is>
      </x:c>
      <x:c r="M25" s="31" t="inlineStr">
        <x:is>
          <x:t xml:space="preserve">СОТР-095</x:t>
        </x:is>
      </x:c>
      <x:c r="N25" s="31" t="n">
        <x:v>84.2</x:v>
      </x:c>
      <x:c r="O25" s="31" t="n">
        <x:v>98.5</x:v>
      </x:c>
      <x:c r="P25" s="31" t="n">
        <x:v>1</x:v>
      </x:c>
      <x:c r="Q25" s="31" t="n">
        <x:v>100</x:v>
      </x:c>
      <x:c r="R25" s="31" t="inlineStr">
        <x:is>
          <x:t xml:space="preserve">Нет</x:t>
        </x:is>
      </x:c>
      <x:c r="S25" s="31" t="inlineStr">
        <x:is>
          <x:t xml:space="preserve">Нет</x:t>
        </x:is>
      </x:c>
      <x:c r="T25" s="31" t="inlineStr">
        <x:is>
          <x:t xml:space="preserve">Создано из строки заказа ПОЗ-0012-3</x:t>
        </x:is>
      </x:c>
    </x:row>
    <x:row r="26" ht="18" customHeight="1">
      <x:c r="A26" s="31" t="inlineStr">
        <x:is>
          <x:t xml:space="preserve">ПЗ-00025</x:t>
        </x:is>
      </x:c>
      <x:c r="B26" s="31" t="inlineStr">
        <x:is>
          <x:t xml:space="preserve">ЗК-1012</x:t>
        </x:is>
      </x:c>
      <x:c r="C26" s="31" t="inlineStr">
        <x:is>
          <x:t xml:space="preserve">ПОЗ-0012-4</x:t>
        </x:is>
      </x:c>
      <x:c r="D26" s="31" t="inlineStr">
        <x:is>
          <x:t xml:space="preserve">ИЗД-026</x:t>
        </x:is>
      </x:c>
      <x:c r="E26" s="31" t="n">
        <x:v>2</x:v>
      </x:c>
      <x:c r="F26" s="31" t="inlineStr">
        <x:is>
          <x:t xml:space="preserve">ОТК</x:t>
        </x:is>
      </x:c>
      <x:c r="G26" s="31" t="inlineStr">
        <x:is>
          <x:t xml:space="preserve">ОБ-013</x:t>
        </x:is>
      </x:c>
      <x:c r="H26" s="31" t="n">
        <x:v>46075</x:v>
      </x:c>
      <x:c r="I26" s="31" t="n">
        <x:v>46093</x:v>
      </x:c>
      <x:c r="J26" s="31" t="n">
        <x:v>46075</x:v>
      </x:c>
      <x:c r="K26" s="31" t="n">
        <x:v>46093</x:v>
      </x:c>
      <x:c r="L26" s="31" t="inlineStr">
        <x:is>
          <x:t xml:space="preserve">Завершено</x:t>
        </x:is>
      </x:c>
      <x:c r="M26" s="31" t="inlineStr">
        <x:is>
          <x:t xml:space="preserve">СОТР-093</x:t>
        </x:is>
      </x:c>
      <x:c r="N26" s="31" t="n">
        <x:v>202.6</x:v>
      </x:c>
      <x:c r="O26" s="31" t="n">
        <x:v>236.1</x:v>
      </x:c>
      <x:c r="P26" s="31" t="n">
        <x:v>2</x:v>
      </x:c>
      <x:c r="Q26" s="31" t="n">
        <x:v>100</x:v>
      </x:c>
      <x:c r="R26" s="31" t="inlineStr">
        <x:is>
          <x:t xml:space="preserve">Нет</x:t>
        </x:is>
      </x:c>
      <x:c r="S26" s="31" t="inlineStr">
        <x:is>
          <x:t xml:space="preserve">ОТК</x:t>
        </x:is>
      </x:c>
      <x:c r="T26" s="31" t="inlineStr">
        <x:is>
          <x:t xml:space="preserve">Создано из строки заказа ПОЗ-0012-4</x:t>
        </x:is>
      </x:c>
    </x:row>
    <x:row r="27" ht="18" customHeight="1">
      <x:c r="A27" s="31" t="inlineStr">
        <x:is>
          <x:t xml:space="preserve">ПЗ-00026</x:t>
        </x:is>
      </x:c>
      <x:c r="B27" s="31" t="inlineStr">
        <x:is>
          <x:t xml:space="preserve">ЗК-1013</x:t>
        </x:is>
      </x:c>
      <x:c r="C27" s="31" t="inlineStr">
        <x:is>
          <x:t xml:space="preserve">ПОЗ-0013-1</x:t>
        </x:is>
      </x:c>
      <x:c r="D27" s="31" t="inlineStr">
        <x:is>
          <x:t xml:space="preserve">ИЗД-018</x:t>
        </x:is>
      </x:c>
      <x:c r="E27" s="31" t="n">
        <x:v>4</x:v>
      </x:c>
      <x:c r="F27" s="31" t="inlineStr">
        <x:is>
          <x:t xml:space="preserve">ОТК</x:t>
        </x:is>
      </x:c>
      <x:c r="G27" s="31" t="inlineStr">
        <x:is>
          <x:t xml:space="preserve">ОБ-013</x:t>
        </x:is>
      </x:c>
      <x:c r="H27" s="31" t="n">
        <x:v>46067</x:v>
      </x:c>
      <x:c r="I27" s="31" t="n">
        <x:v>46118</x:v>
      </x:c>
      <x:c r="J27" s="31" t="n">
        <x:v>46067</x:v>
      </x:c>
      <x:c r="K27" s="31" t="n"/>
      <x:c r="L27" s="31" t="inlineStr">
        <x:is>
          <x:t xml:space="preserve">ОТК</x:t>
        </x:is>
      </x:c>
      <x:c r="M27" s="31" t="inlineStr">
        <x:is>
          <x:t xml:space="preserve">СОТР-097</x:t>
        </x:is>
      </x:c>
      <x:c r="N27" s="31" t="n">
        <x:v>177.6</x:v>
      </x:c>
      <x:c r="O27" s="31" t="n">
        <x:v>137.7</x:v>
      </x:c>
      <x:c r="P27" s="31" t="n">
        <x:v>2</x:v>
      </x:c>
      <x:c r="Q27" s="31" t="n">
        <x:v>90</x:v>
      </x:c>
      <x:c r="R27" s="31" t="inlineStr">
        <x:is>
          <x:t xml:space="preserve">Нет</x:t>
        </x:is>
      </x:c>
      <x:c r="S27" s="31" t="inlineStr">
        <x:is>
          <x:t xml:space="preserve">Оборудование</x:t>
        </x:is>
      </x:c>
      <x:c r="T27" s="31" t="inlineStr">
        <x:is>
          <x:t xml:space="preserve">Создано из строки заказа ПОЗ-0013-1</x:t>
        </x:is>
      </x:c>
    </x:row>
    <x:row r="28" ht="18" customHeight="1">
      <x:c r="A28" s="31" t="inlineStr">
        <x:is>
          <x:t xml:space="preserve">ПЗ-00027</x:t>
        </x:is>
      </x:c>
      <x:c r="B28" s="31" t="inlineStr">
        <x:is>
          <x:t xml:space="preserve">ЗК-1014</x:t>
        </x:is>
      </x:c>
      <x:c r="C28" s="31" t="inlineStr">
        <x:is>
          <x:t xml:space="preserve">ПОЗ-0014-1</x:t>
        </x:is>
      </x:c>
      <x:c r="D28" s="31" t="inlineStr">
        <x:is>
          <x:t xml:space="preserve">ИЗД-020</x:t>
        </x:is>
      </x:c>
      <x:c r="E28" s="31" t="n">
        <x:v>4</x:v>
      </x:c>
      <x:c r="F28" s="31" t="inlineStr">
        <x:is>
          <x:t xml:space="preserve">ОТК</x:t>
        </x:is>
      </x:c>
      <x:c r="G28" s="31" t="inlineStr">
        <x:is>
          <x:t xml:space="preserve">ОБ-007</x:t>
        </x:is>
      </x:c>
      <x:c r="H28" s="31" t="n">
        <x:v>46061</x:v>
      </x:c>
      <x:c r="I28" s="31" t="n">
        <x:v>46089</x:v>
      </x:c>
      <x:c r="J28" s="31" t="n">
        <x:v>46061</x:v>
      </x:c>
      <x:c r="K28" s="31" t="n">
        <x:v>46089</x:v>
      </x:c>
      <x:c r="L28" s="31" t="inlineStr">
        <x:is>
          <x:t xml:space="preserve">Завершено</x:t>
        </x:is>
      </x:c>
      <x:c r="M28" s="31" t="inlineStr">
        <x:is>
          <x:t xml:space="preserve">СОТР-097</x:t>
        </x:is>
      </x:c>
      <x:c r="N28" s="31" t="n">
        <x:v>163.6</x:v>
      </x:c>
      <x:c r="O28" s="31" t="n">
        <x:v>190.2</x:v>
      </x:c>
      <x:c r="P28" s="31" t="n">
        <x:v>3</x:v>
      </x:c>
      <x:c r="Q28" s="31" t="n">
        <x:v>100</x:v>
      </x:c>
      <x:c r="R28" s="31" t="inlineStr">
        <x:is>
          <x:t xml:space="preserve">Нет</x:t>
        </x:is>
      </x:c>
      <x:c r="S28" s="31" t="inlineStr">
        <x:is>
          <x:t xml:space="preserve">Нет</x:t>
        </x:is>
      </x:c>
      <x:c r="T28" s="31" t="inlineStr">
        <x:is>
          <x:t xml:space="preserve">Создано из строки заказа ПОЗ-0014-1</x:t>
        </x:is>
      </x:c>
    </x:row>
    <x:row r="29" ht="18" customHeight="1">
      <x:c r="A29" s="31" t="inlineStr">
        <x:is>
          <x:t xml:space="preserve">ПЗ-00028</x:t>
        </x:is>
      </x:c>
      <x:c r="B29" s="31" t="inlineStr">
        <x:is>
          <x:t xml:space="preserve">ЗК-1015</x:t>
        </x:is>
      </x:c>
      <x:c r="C29" s="31" t="inlineStr">
        <x:is>
          <x:t xml:space="preserve">ПОЗ-0015-1</x:t>
        </x:is>
      </x:c>
      <x:c r="D29" s="31" t="inlineStr">
        <x:is>
          <x:t xml:space="preserve">ИЗД-043</x:t>
        </x:is>
      </x:c>
      <x:c r="E29" s="31" t="n">
        <x:v>5</x:v>
      </x:c>
      <x:c r="F29" s="31" t="inlineStr">
        <x:is>
          <x:t xml:space="preserve">ОТК</x:t>
        </x:is>
      </x:c>
      <x:c r="G29" s="31" t="inlineStr">
        <x:is>
          <x:t xml:space="preserve">ОБ-013</x:t>
        </x:is>
      </x:c>
      <x:c r="H29" s="31" t="n">
        <x:v>46123</x:v>
      </x:c>
      <x:c r="I29" s="31" t="n">
        <x:v>46181</x:v>
      </x:c>
      <x:c r="J29" s="31" t="n">
        <x:v>46123</x:v>
      </x:c>
      <x:c r="K29" s="31" t="n">
        <x:v>46181</x:v>
      </x:c>
      <x:c r="L29" s="31" t="inlineStr">
        <x:is>
          <x:t xml:space="preserve">Завершено</x:t>
        </x:is>
      </x:c>
      <x:c r="M29" s="31" t="inlineStr">
        <x:is>
          <x:t xml:space="preserve">СОТР-092</x:t>
        </x:is>
      </x:c>
      <x:c r="N29" s="31" t="n">
        <x:v>464.5</x:v>
      </x:c>
      <x:c r="O29" s="31" t="n">
        <x:v>540.5</x:v>
      </x:c>
      <x:c r="P29" s="31" t="n">
        <x:v>2</x:v>
      </x:c>
      <x:c r="Q29" s="31" t="n">
        <x:v>100</x:v>
      </x:c>
      <x:c r="R29" s="31" t="inlineStr">
        <x:is>
          <x:t xml:space="preserve">Нет</x:t>
        </x:is>
      </x:c>
      <x:c r="S29" s="31" t="inlineStr">
        <x:is>
          <x:t xml:space="preserve">ОТК</x:t>
        </x:is>
      </x:c>
      <x:c r="T29" s="31" t="inlineStr">
        <x:is>
          <x:t xml:space="preserve">Создано из строки заказа ПОЗ-0015-1</x:t>
        </x:is>
      </x:c>
    </x:row>
    <x:row r="30" ht="18" customHeight="1">
      <x:c r="A30" s="31" t="inlineStr">
        <x:is>
          <x:t xml:space="preserve">ПЗ-00029</x:t>
        </x:is>
      </x:c>
      <x:c r="B30" s="31" t="inlineStr">
        <x:is>
          <x:t xml:space="preserve">ЗК-1016</x:t>
        </x:is>
      </x:c>
      <x:c r="C30" s="31" t="inlineStr">
        <x:is>
          <x:t xml:space="preserve">ПОЗ-0016-1</x:t>
        </x:is>
      </x:c>
      <x:c r="D30" s="31" t="inlineStr">
        <x:is>
          <x:t xml:space="preserve">ИЗД-003</x:t>
        </x:is>
      </x:c>
      <x:c r="E30" s="31" t="n">
        <x:v>2</x:v>
      </x:c>
      <x:c r="F30" s="31" t="inlineStr">
        <x:is>
          <x:t xml:space="preserve">ОТК</x:t>
        </x:is>
      </x:c>
      <x:c r="G30" s="31" t="inlineStr">
        <x:is>
          <x:t xml:space="preserve">ОБ-006</x:t>
        </x:is>
      </x:c>
      <x:c r="H30" s="31" t="n">
        <x:v>46040</x:v>
      </x:c>
      <x:c r="I30" s="31" t="n">
        <x:v>46110</x:v>
      </x:c>
      <x:c r="J30" s="31" t="n">
        <x:v>46040</x:v>
      </x:c>
      <x:c r="K30" s="31" t="n">
        <x:v>46110</x:v>
      </x:c>
      <x:c r="L30" s="31" t="inlineStr">
        <x:is>
          <x:t xml:space="preserve">Завершено</x:t>
        </x:is>
      </x:c>
      <x:c r="M30" s="31" t="inlineStr">
        <x:is>
          <x:t xml:space="preserve">СОТР-093</x:t>
        </x:is>
      </x:c>
      <x:c r="N30" s="31" t="n">
        <x:v>90</x:v>
      </x:c>
      <x:c r="O30" s="31" t="n">
        <x:v>70.8</x:v>
      </x:c>
      <x:c r="P30" s="31" t="n">
        <x:v>1</x:v>
      </x:c>
      <x:c r="Q30" s="31" t="n">
        <x:v>100</x:v>
      </x:c>
      <x:c r="R30" s="31" t="inlineStr">
        <x:is>
          <x:t xml:space="preserve">Нет</x:t>
        </x:is>
      </x:c>
      <x:c r="S30" s="31" t="inlineStr">
        <x:is>
          <x:t xml:space="preserve">Нет</x:t>
        </x:is>
      </x:c>
      <x:c r="T30" s="31" t="inlineStr">
        <x:is>
          <x:t xml:space="preserve">Создано из строки заказа ПОЗ-0016-1</x:t>
        </x:is>
      </x:c>
    </x:row>
    <x:row r="31" ht="18" customHeight="1">
      <x:c r="A31" s="31" t="inlineStr">
        <x:is>
          <x:t xml:space="preserve">ПЗ-00030</x:t>
        </x:is>
      </x:c>
      <x:c r="B31" s="31" t="inlineStr">
        <x:is>
          <x:t xml:space="preserve">ЗК-1017</x:t>
        </x:is>
      </x:c>
      <x:c r="C31" s="31" t="inlineStr">
        <x:is>
          <x:t xml:space="preserve">ПОЗ-0017-1</x:t>
        </x:is>
      </x:c>
      <x:c r="D31" s="31" t="inlineStr">
        <x:is>
          <x:t xml:space="preserve">ИЗД-023</x:t>
        </x:is>
      </x:c>
      <x:c r="E31" s="31" t="n">
        <x:v>5</x:v>
      </x:c>
      <x:c r="F31" s="31" t="inlineStr">
        <x:is>
          <x:t xml:space="preserve">ОТК</x:t>
        </x:is>
      </x:c>
      <x:c r="G31" s="31" t="inlineStr">
        <x:is>
          <x:t xml:space="preserve">ОБ-028</x:t>
        </x:is>
      </x:c>
      <x:c r="H31" s="31" t="n">
        <x:v>46084</x:v>
      </x:c>
      <x:c r="I31" s="31" t="n">
        <x:v>46141</x:v>
      </x:c>
      <x:c r="J31" s="31" t="n">
        <x:v>46084</x:v>
      </x:c>
      <x:c r="K31" s="31" t="n">
        <x:v>46141</x:v>
      </x:c>
      <x:c r="L31" s="31" t="inlineStr">
        <x:is>
          <x:t xml:space="preserve">Завершено</x:t>
        </x:is>
      </x:c>
      <x:c r="M31" s="31" t="inlineStr">
        <x:is>
          <x:t xml:space="preserve">СОТР-100</x:t>
        </x:is>
      </x:c>
      <x:c r="N31" s="31" t="n">
        <x:v>444.5</x:v>
      </x:c>
      <x:c r="O31" s="31" t="n">
        <x:v>443.4</x:v>
      </x:c>
      <x:c r="P31" s="31" t="n">
        <x:v>3</x:v>
      </x:c>
      <x:c r="Q31" s="31" t="n">
        <x:v>100</x:v>
      </x:c>
      <x:c r="R31" s="31" t="inlineStr">
        <x:is>
          <x:t xml:space="preserve">Нет</x:t>
        </x:is>
      </x:c>
      <x:c r="S31" s="31" t="inlineStr">
        <x:is>
          <x:t xml:space="preserve">Оборудование</x:t>
        </x:is>
      </x:c>
      <x:c r="T31" s="31" t="inlineStr">
        <x:is>
          <x:t xml:space="preserve">Создано из строки заказа ПОЗ-0017-1</x:t>
        </x:is>
      </x:c>
    </x:row>
    <x:row r="32" ht="18" customHeight="1">
      <x:c r="A32" s="31" t="inlineStr">
        <x:is>
          <x:t xml:space="preserve">ПЗ-00031</x:t>
        </x:is>
      </x:c>
      <x:c r="B32" s="31" t="inlineStr">
        <x:is>
          <x:t xml:space="preserve">ЗК-1017</x:t>
        </x:is>
      </x:c>
      <x:c r="C32" s="31" t="inlineStr">
        <x:is>
          <x:t xml:space="preserve">ПОЗ-0017-2</x:t>
        </x:is>
      </x:c>
      <x:c r="D32" s="31" t="inlineStr">
        <x:is>
          <x:t xml:space="preserve">ИЗД-035</x:t>
        </x:is>
      </x:c>
      <x:c r="E32" s="31" t="n">
        <x:v>5</x:v>
      </x:c>
      <x:c r="F32" s="31" t="inlineStr">
        <x:is>
          <x:t xml:space="preserve">ОТК</x:t>
        </x:is>
      </x:c>
      <x:c r="G32" s="31" t="inlineStr">
        <x:is>
          <x:t xml:space="preserve">ОБ-032</x:t>
        </x:is>
      </x:c>
      <x:c r="H32" s="31" t="n">
        <x:v>46099</x:v>
      </x:c>
      <x:c r="I32" s="31" t="n">
        <x:v>46138</x:v>
      </x:c>
      <x:c r="J32" s="31" t="n">
        <x:v>46099</x:v>
      </x:c>
      <x:c r="K32" s="31" t="n">
        <x:v>46138</x:v>
      </x:c>
      <x:c r="L32" s="31" t="inlineStr">
        <x:is>
          <x:t xml:space="preserve">Завершено</x:t>
        </x:is>
      </x:c>
      <x:c r="M32" s="31" t="inlineStr">
        <x:is>
          <x:t xml:space="preserve">СОТР-095</x:t>
        </x:is>
      </x:c>
      <x:c r="N32" s="31" t="n">
        <x:v>322.5</x:v>
      </x:c>
      <x:c r="O32" s="31" t="n">
        <x:v>381.6</x:v>
      </x:c>
      <x:c r="P32" s="31" t="n">
        <x:v>0</x:v>
      </x:c>
      <x:c r="Q32" s="31" t="n">
        <x:v>100</x:v>
      </x:c>
      <x:c r="R32" s="31" t="inlineStr">
        <x:is>
          <x:t xml:space="preserve">Нет</x:t>
        </x:is>
      </x:c>
      <x:c r="S32" s="31" t="inlineStr">
        <x:is>
          <x:t xml:space="preserve">Нет</x:t>
        </x:is>
      </x:c>
      <x:c r="T32" s="31" t="inlineStr">
        <x:is>
          <x:t xml:space="preserve">Создано из строки заказа ПОЗ-0017-2</x:t>
        </x:is>
      </x:c>
    </x:row>
    <x:row r="33" ht="18" customHeight="1">
      <x:c r="A33" s="31" t="inlineStr">
        <x:is>
          <x:t xml:space="preserve">ПЗ-00032</x:t>
        </x:is>
      </x:c>
      <x:c r="B33" s="31" t="inlineStr">
        <x:is>
          <x:t xml:space="preserve">ЗК-1017</x:t>
        </x:is>
      </x:c>
      <x:c r="C33" s="31" t="inlineStr">
        <x:is>
          <x:t xml:space="preserve">ПОЗ-0017-3</x:t>
        </x:is>
      </x:c>
      <x:c r="D33" s="31" t="inlineStr">
        <x:is>
          <x:t xml:space="preserve">ИЗД-028</x:t>
        </x:is>
      </x:c>
      <x:c r="E33" s="31" t="n">
        <x:v>1</x:v>
      </x:c>
      <x:c r="F33" s="31" t="inlineStr">
        <x:is>
          <x:t xml:space="preserve">ОТК</x:t>
        </x:is>
      </x:c>
      <x:c r="G33" s="31" t="inlineStr">
        <x:is>
          <x:t xml:space="preserve">ОБ-022</x:t>
        </x:is>
      </x:c>
      <x:c r="H33" s="31" t="n">
        <x:v>46094</x:v>
      </x:c>
      <x:c r="I33" s="31" t="n">
        <x:v>46138</x:v>
      </x:c>
      <x:c r="J33" s="31" t="n"/>
      <x:c r="K33" s="31" t="n"/>
      <x:c r="L33" s="31" t="inlineStr">
        <x:is>
          <x:t xml:space="preserve">Запланировано</x:t>
        </x:is>
      </x:c>
      <x:c r="M33" s="31" t="inlineStr">
        <x:is>
          <x:t xml:space="preserve">СОТР-092</x:t>
        </x:is>
      </x:c>
      <x:c r="N33" s="31" t="n">
        <x:v>110</x:v>
      </x:c>
      <x:c r="O33" s="31" t="n"/>
      <x:c r="P33" s="31" t="n">
        <x:v>0</x:v>
      </x:c>
      <x:c r="Q33" s="31" t="n">
        <x:v>10</x:v>
      </x:c>
      <x:c r="R33" s="31" t="inlineStr">
        <x:is>
          <x:t xml:space="preserve">Нет</x:t>
        </x:is>
      </x:c>
      <x:c r="S33" s="31" t="inlineStr">
        <x:is>
          <x:t xml:space="preserve">Нет</x:t>
        </x:is>
      </x:c>
      <x:c r="T33" s="31" t="inlineStr">
        <x:is>
          <x:t xml:space="preserve">Создано из строки заказа ПОЗ-0017-3</x:t>
        </x:is>
      </x:c>
    </x:row>
    <x:row r="34" ht="18" customHeight="1">
      <x:c r="A34" s="31" t="inlineStr">
        <x:is>
          <x:t xml:space="preserve">ПЗ-00033</x:t>
        </x:is>
      </x:c>
      <x:c r="B34" s="31" t="inlineStr">
        <x:is>
          <x:t xml:space="preserve">ЗК-1018</x:t>
        </x:is>
      </x:c>
      <x:c r="C34" s="31" t="inlineStr">
        <x:is>
          <x:t xml:space="preserve">ПОЗ-0018-1</x:t>
        </x:is>
      </x:c>
      <x:c r="D34" s="31" t="inlineStr">
        <x:is>
          <x:t xml:space="preserve">ИЗД-042</x:t>
        </x:is>
      </x:c>
      <x:c r="E34" s="31" t="n">
        <x:v>2</x:v>
      </x:c>
      <x:c r="F34" s="31" t="inlineStr">
        <x:is>
          <x:t xml:space="preserve">ОТК</x:t>
        </x:is>
      </x:c>
      <x:c r="G34" s="31" t="inlineStr">
        <x:is>
          <x:t xml:space="preserve">ОБ-032</x:t>
        </x:is>
      </x:c>
      <x:c r="H34" s="31" t="n">
        <x:v>46151</x:v>
      </x:c>
      <x:c r="I34" s="31" t="n">
        <x:v>46191</x:v>
      </x:c>
      <x:c r="J34" s="31" t="n"/>
      <x:c r="K34" s="31" t="n"/>
      <x:c r="L34" s="31" t="inlineStr">
        <x:is>
          <x:t xml:space="preserve">Запланировано</x:t>
        </x:is>
      </x:c>
      <x:c r="M34" s="31" t="inlineStr">
        <x:is>
          <x:t xml:space="preserve">СОТР-095</x:t>
        </x:is>
      </x:c>
      <x:c r="N34" s="31" t="n">
        <x:v>306.6</x:v>
      </x:c>
      <x:c r="O34" s="31" t="n"/>
      <x:c r="P34" s="31" t="n">
        <x:v>0</x:v>
      </x:c>
      <x:c r="Q34" s="31" t="n">
        <x:v>10</x:v>
      </x:c>
      <x:c r="R34" s="31" t="inlineStr">
        <x:is>
          <x:t xml:space="preserve">Нет</x:t>
        </x:is>
      </x:c>
      <x:c r="S34" s="31" t="inlineStr">
        <x:is>
          <x:t xml:space="preserve">Оборудование</x:t>
        </x:is>
      </x:c>
      <x:c r="T34" s="31" t="inlineStr">
        <x:is>
          <x:t xml:space="preserve">Создано из строки заказа ПОЗ-0018-1</x:t>
        </x:is>
      </x:c>
    </x:row>
    <x:row r="35" ht="18" customHeight="1">
      <x:c r="A35" s="31" t="inlineStr">
        <x:is>
          <x:t xml:space="preserve">ПЗ-00034</x:t>
        </x:is>
      </x:c>
      <x:c r="B35" s="31" t="inlineStr">
        <x:is>
          <x:t xml:space="preserve">ЗК-1018</x:t>
        </x:is>
      </x:c>
      <x:c r="C35" s="31" t="inlineStr">
        <x:is>
          <x:t xml:space="preserve">ПОЗ-0018-2</x:t>
        </x:is>
      </x:c>
      <x:c r="D35" s="31" t="inlineStr">
        <x:is>
          <x:t xml:space="preserve">ИЗД-026</x:t>
        </x:is>
      </x:c>
      <x:c r="E35" s="31" t="n">
        <x:v>1</x:v>
      </x:c>
      <x:c r="F35" s="31" t="inlineStr">
        <x:is>
          <x:t xml:space="preserve">ОТК</x:t>
        </x:is>
      </x:c>
      <x:c r="G35" s="31" t="inlineStr">
        <x:is>
          <x:t xml:space="preserve">ОБ-001</x:t>
        </x:is>
      </x:c>
      <x:c r="H35" s="31" t="n">
        <x:v>46150</x:v>
      </x:c>
      <x:c r="I35" s="31" t="n">
        <x:v>46197</x:v>
      </x:c>
      <x:c r="J35" s="31" t="n">
        <x:v>46150</x:v>
      </x:c>
      <x:c r="K35" s="31" t="n">
        <x:v>46197</x:v>
      </x:c>
      <x:c r="L35" s="31" t="inlineStr">
        <x:is>
          <x:t xml:space="preserve">Завершено</x:t>
        </x:is>
      </x:c>
      <x:c r="M35" s="31" t="inlineStr">
        <x:is>
          <x:t xml:space="preserve">СОТР-063</x:t>
        </x:is>
      </x:c>
      <x:c r="N35" s="31" t="n">
        <x:v>101.3</x:v>
      </x:c>
      <x:c r="O35" s="31" t="n">
        <x:v>77.3</x:v>
      </x:c>
      <x:c r="P35" s="31" t="n">
        <x:v>0</x:v>
      </x:c>
      <x:c r="Q35" s="31" t="n">
        <x:v>100</x:v>
      </x:c>
      <x:c r="R35" s="31" t="inlineStr">
        <x:is>
          <x:t xml:space="preserve">Нет</x:t>
        </x:is>
      </x:c>
      <x:c r="S35" s="31" t="inlineStr">
        <x:is>
          <x:t xml:space="preserve">Нет</x:t>
        </x:is>
      </x:c>
      <x:c r="T35" s="31" t="inlineStr">
        <x:is>
          <x:t xml:space="preserve">Создано из строки заказа ПОЗ-0018-2</x:t>
        </x:is>
      </x:c>
    </x:row>
    <x:row r="36" ht="18" customHeight="1">
      <x:c r="A36" s="31" t="inlineStr">
        <x:is>
          <x:t xml:space="preserve">ПЗ-00035</x:t>
        </x:is>
      </x:c>
      <x:c r="B36" s="31" t="inlineStr">
        <x:is>
          <x:t xml:space="preserve">ЗК-1018</x:t>
        </x:is>
      </x:c>
      <x:c r="C36" s="31" t="inlineStr">
        <x:is>
          <x:t xml:space="preserve">ПОЗ-0018-3</x:t>
        </x:is>
      </x:c>
      <x:c r="D36" s="31" t="inlineStr">
        <x:is>
          <x:t xml:space="preserve">ИЗД-001</x:t>
        </x:is>
      </x:c>
      <x:c r="E36" s="31" t="n">
        <x:v>12</x:v>
      </x:c>
      <x:c r="F36" s="31" t="inlineStr">
        <x:is>
          <x:t xml:space="preserve">ОТК</x:t>
        </x:is>
      </x:c>
      <x:c r="G36" s="31" t="inlineStr">
        <x:is>
          <x:t xml:space="preserve">ОБ-015</x:t>
        </x:is>
      </x:c>
      <x:c r="H36" s="31" t="n">
        <x:v>46151</x:v>
      </x:c>
      <x:c r="I36" s="31" t="n">
        <x:v>46195</x:v>
      </x:c>
      <x:c r="J36" s="31" t="n">
        <x:v>46151</x:v>
      </x:c>
      <x:c r="K36" s="31" t="n">
        <x:v>46195</x:v>
      </x:c>
      <x:c r="L36" s="31" t="inlineStr">
        <x:is>
          <x:t xml:space="preserve">Завершено</x:t>
        </x:is>
      </x:c>
      <x:c r="M36" s="31" t="inlineStr">
        <x:is>
          <x:t xml:space="preserve">СОТР-063</x:t>
        </x:is>
      </x:c>
      <x:c r="N36" s="31" t="n">
        <x:v>170.4</x:v>
      </x:c>
      <x:c r="O36" s="31" t="n">
        <x:v>179.5</x:v>
      </x:c>
      <x:c r="P36" s="31" t="n">
        <x:v>0</x:v>
      </x:c>
      <x:c r="Q36" s="31" t="n">
        <x:v>100</x:v>
      </x:c>
      <x:c r="R36" s="31" t="inlineStr">
        <x:is>
          <x:t xml:space="preserve">Да</x:t>
        </x:is>
      </x:c>
      <x:c r="S36" s="31" t="inlineStr">
        <x:is>
          <x:t xml:space="preserve">Нет</x:t>
        </x:is>
      </x:c>
      <x:c r="T36" s="31" t="inlineStr">
        <x:is>
          <x:t xml:space="preserve">Создано из строки заказа ПОЗ-0018-3</x:t>
        </x:is>
      </x:c>
    </x:row>
    <x:row r="37" ht="18" customHeight="1">
      <x:c r="A37" s="31" t="inlineStr">
        <x:is>
          <x:t xml:space="preserve">ПЗ-00036</x:t>
        </x:is>
      </x:c>
      <x:c r="B37" s="31" t="inlineStr">
        <x:is>
          <x:t xml:space="preserve">ЗК-1018</x:t>
        </x:is>
      </x:c>
      <x:c r="C37" s="31" t="inlineStr">
        <x:is>
          <x:t xml:space="preserve">ПОЗ-0018-4</x:t>
        </x:is>
      </x:c>
      <x:c r="D37" s="31" t="inlineStr">
        <x:is>
          <x:t xml:space="preserve">ИЗД-024</x:t>
        </x:is>
      </x:c>
      <x:c r="E37" s="31" t="n">
        <x:v>1</x:v>
      </x:c>
      <x:c r="F37" s="31" t="inlineStr">
        <x:is>
          <x:t xml:space="preserve">ОТК</x:t>
        </x:is>
      </x:c>
      <x:c r="G37" s="31" t="inlineStr">
        <x:is>
          <x:t xml:space="preserve">ОБ-022</x:t>
        </x:is>
      </x:c>
      <x:c r="H37" s="31" t="n">
        <x:v>46155</x:v>
      </x:c>
      <x:c r="I37" s="31" t="n">
        <x:v>46191</x:v>
      </x:c>
      <x:c r="J37" s="31" t="n">
        <x:v>46155</x:v>
      </x:c>
      <x:c r="K37" s="31" t="n"/>
      <x:c r="L37" s="31" t="inlineStr">
        <x:is>
          <x:t xml:space="preserve">Ожидает материалов</x:t>
        </x:is>
      </x:c>
      <x:c r="M37" s="31" t="inlineStr">
        <x:is>
          <x:t xml:space="preserve">СОТР-063</x:t>
        </x:is>
      </x:c>
      <x:c r="N37" s="31" t="n">
        <x:v>50</x:v>
      </x:c>
      <x:c r="O37" s="31" t="n"/>
      <x:c r="P37" s="31" t="n">
        <x:v>0</x:v>
      </x:c>
      <x:c r="Q37" s="31" t="n">
        <x:v>15</x:v>
      </x:c>
      <x:c r="R37" s="31" t="inlineStr">
        <x:is>
          <x:t xml:space="preserve">Да</x:t>
        </x:is>
      </x:c>
      <x:c r="S37" s="31" t="inlineStr">
        <x:is>
          <x:t xml:space="preserve">Нет</x:t>
        </x:is>
      </x:c>
      <x:c r="T37" s="31" t="inlineStr">
        <x:is>
          <x:t xml:space="preserve">Создано из строки заказа ПОЗ-0018-4</x:t>
        </x:is>
      </x:c>
    </x:row>
    <x:row r="38" ht="18" customHeight="1">
      <x:c r="A38" s="31" t="inlineStr">
        <x:is>
          <x:t xml:space="preserve">ПЗ-00037</x:t>
        </x:is>
      </x:c>
      <x:c r="B38" s="31" t="inlineStr">
        <x:is>
          <x:t xml:space="preserve">ЗК-1019</x:t>
        </x:is>
      </x:c>
      <x:c r="C38" s="31" t="inlineStr">
        <x:is>
          <x:t xml:space="preserve">ПОЗ-0019-1</x:t>
        </x:is>
      </x:c>
      <x:c r="D38" s="31" t="inlineStr">
        <x:is>
          <x:t xml:space="preserve">ИЗД-041</x:t>
        </x:is>
      </x:c>
      <x:c r="E38" s="31" t="n">
        <x:v>5</x:v>
      </x:c>
      <x:c r="F38" s="31" t="inlineStr">
        <x:is>
          <x:t xml:space="preserve">Сварка</x:t>
        </x:is>
      </x:c>
      <x:c r="G38" s="31" t="inlineStr">
        <x:is>
          <x:t xml:space="preserve">ОБ-018</x:t>
        </x:is>
      </x:c>
      <x:c r="H38" s="31" t="n">
        <x:v>46169</x:v>
      </x:c>
      <x:c r="I38" s="31" t="n">
        <x:v>46190</x:v>
      </x:c>
      <x:c r="J38" s="31" t="n">
        <x:v>46169</x:v>
      </x:c>
      <x:c r="K38" s="31" t="n">
        <x:v>46190</x:v>
      </x:c>
      <x:c r="L38" s="31" t="inlineStr">
        <x:is>
          <x:t xml:space="preserve">Завершено</x:t>
        </x:is>
      </x:c>
      <x:c r="M38" s="31" t="inlineStr">
        <x:is>
          <x:t xml:space="preserve">СОТР-060</x:t>
        </x:is>
      </x:c>
      <x:c r="N38" s="31" t="n">
        <x:v>192.5</x:v>
      </x:c>
      <x:c r="O38" s="31" t="n">
        <x:v>151.6</x:v>
      </x:c>
      <x:c r="P38" s="31" t="n">
        <x:v>1</x:v>
      </x:c>
      <x:c r="Q38" s="31" t="n">
        <x:v>100</x:v>
      </x:c>
      <x:c r="R38" s="31" t="inlineStr">
        <x:is>
          <x:t xml:space="preserve">Нет</x:t>
        </x:is>
      </x:c>
      <x:c r="S38" s="31" t="inlineStr">
        <x:is>
          <x:t xml:space="preserve">Нет</x:t>
        </x:is>
      </x:c>
      <x:c r="T38" s="31" t="inlineStr">
        <x:is>
          <x:t xml:space="preserve">Создано из строки заказа ПОЗ-0019-1</x:t>
        </x:is>
      </x:c>
    </x:row>
    <x:row r="39" ht="18" customHeight="1">
      <x:c r="A39" s="31" t="inlineStr">
        <x:is>
          <x:t xml:space="preserve">ПЗ-00038</x:t>
        </x:is>
      </x:c>
      <x:c r="B39" s="31" t="inlineStr">
        <x:is>
          <x:t xml:space="preserve">ЗК-1020</x:t>
        </x:is>
      </x:c>
      <x:c r="C39" s="31" t="inlineStr">
        <x:is>
          <x:t xml:space="preserve">ПОЗ-0020-1</x:t>
        </x:is>
      </x:c>
      <x:c r="D39" s="31" t="inlineStr">
        <x:is>
          <x:t xml:space="preserve">ИЗД-010</x:t>
        </x:is>
      </x:c>
      <x:c r="E39" s="31" t="n">
        <x:v>1</x:v>
      </x:c>
      <x:c r="F39" s="31" t="inlineStr">
        <x:is>
          <x:t xml:space="preserve">ОТК</x:t>
        </x:is>
      </x:c>
      <x:c r="G39" s="31" t="inlineStr">
        <x:is>
          <x:t xml:space="preserve">ОБ-028</x:t>
        </x:is>
      </x:c>
      <x:c r="H39" s="31" t="n">
        <x:v>46155</x:v>
      </x:c>
      <x:c r="I39" s="31" t="n">
        <x:v>46194</x:v>
      </x:c>
      <x:c r="J39" s="31" t="n">
        <x:v>46155</x:v>
      </x:c>
      <x:c r="K39" s="31" t="n"/>
      <x:c r="L39" s="31" t="inlineStr">
        <x:is>
          <x:t xml:space="preserve">В работе</x:t>
        </x:is>
      </x:c>
      <x:c r="M39" s="31" t="inlineStr">
        <x:is>
          <x:t xml:space="preserve">СОТР-100</x:t>
        </x:is>
      </x:c>
      <x:c r="N39" s="31" t="n">
        <x:v>70.40000000000001</x:v>
      </x:c>
      <x:c r="O39" s="31" t="n">
        <x:v>69.3</x:v>
      </x:c>
      <x:c r="P39" s="31" t="n">
        <x:v>0</x:v>
      </x:c>
      <x:c r="Q39" s="31" t="n">
        <x:v>67</x:v>
      </x:c>
      <x:c r="R39" s="31" t="inlineStr">
        <x:is>
          <x:t xml:space="preserve">Нет</x:t>
        </x:is>
      </x:c>
      <x:c r="S39" s="31" t="inlineStr">
        <x:is>
          <x:t xml:space="preserve">Нет</x:t>
        </x:is>
      </x:c>
      <x:c r="T39" s="31" t="inlineStr">
        <x:is>
          <x:t xml:space="preserve">Создано из строки заказа ПОЗ-0020-1</x:t>
        </x:is>
      </x:c>
    </x:row>
    <x:row r="40" ht="18" customHeight="1">
      <x:c r="A40" s="31" t="inlineStr">
        <x:is>
          <x:t xml:space="preserve">ПЗ-00039</x:t>
        </x:is>
      </x:c>
      <x:c r="B40" s="31" t="inlineStr">
        <x:is>
          <x:t xml:space="preserve">ЗК-1022</x:t>
        </x:is>
      </x:c>
      <x:c r="C40" s="31" t="inlineStr">
        <x:is>
          <x:t xml:space="preserve">ПОЗ-0022-1</x:t>
        </x:is>
      </x:c>
      <x:c r="D40" s="31" t="inlineStr">
        <x:is>
          <x:t xml:space="preserve">ИЗД-014</x:t>
        </x:is>
      </x:c>
      <x:c r="E40" s="31" t="n">
        <x:v>4</x:v>
      </x:c>
      <x:c r="F40" s="31" t="inlineStr">
        <x:is>
          <x:t xml:space="preserve">Сварка</x:t>
        </x:is>
      </x:c>
      <x:c r="G40" s="31" t="inlineStr">
        <x:is>
          <x:t xml:space="preserve">ОБ-018</x:t>
        </x:is>
      </x:c>
      <x:c r="H40" s="31" t="n">
        <x:v>46128</x:v>
      </x:c>
      <x:c r="I40" s="31" t="n">
        <x:v>46195</x:v>
      </x:c>
      <x:c r="J40" s="31" t="n">
        <x:v>46128</x:v>
      </x:c>
      <x:c r="K40" s="31" t="n"/>
      <x:c r="L40" s="31" t="inlineStr">
        <x:is>
          <x:t xml:space="preserve">ОТК</x:t>
        </x:is>
      </x:c>
      <x:c r="M40" s="31" t="inlineStr">
        <x:is>
          <x:t xml:space="preserve">СОТР-060</x:t>
        </x:is>
      </x:c>
      <x:c r="N40" s="31" t="n">
        <x:v>254.8</x:v>
      </x:c>
      <x:c r="O40" s="31" t="n">
        <x:v>216.4</x:v>
      </x:c>
      <x:c r="P40" s="31" t="n">
        <x:v>0</x:v>
      </x:c>
      <x:c r="Q40" s="31" t="n">
        <x:v>90</x:v>
      </x:c>
      <x:c r="R40" s="31" t="inlineStr">
        <x:is>
          <x:t xml:space="preserve">Нет</x:t>
        </x:is>
      </x:c>
      <x:c r="S40" s="31" t="inlineStr">
        <x:is>
          <x:t xml:space="preserve">Нет</x:t>
        </x:is>
      </x:c>
      <x:c r="T40" s="31" t="inlineStr">
        <x:is>
          <x:t xml:space="preserve">Создано из строки заказа ПОЗ-0022-1</x:t>
        </x:is>
      </x:c>
    </x:row>
    <x:row r="41" ht="18" customHeight="1">
      <x:c r="A41" s="31" t="inlineStr">
        <x:is>
          <x:t xml:space="preserve">ПЗ-00040</x:t>
        </x:is>
      </x:c>
      <x:c r="B41" s="31" t="inlineStr">
        <x:is>
          <x:t xml:space="preserve">ЗК-1022</x:t>
        </x:is>
      </x:c>
      <x:c r="C41" s="31" t="inlineStr">
        <x:is>
          <x:t xml:space="preserve">ПОЗ-0022-2</x:t>
        </x:is>
      </x:c>
      <x:c r="D41" s="31" t="inlineStr">
        <x:is>
          <x:t xml:space="preserve">ИЗД-032</x:t>
        </x:is>
      </x:c>
      <x:c r="E41" s="31" t="n">
        <x:v>8</x:v>
      </x:c>
      <x:c r="F41" s="31" t="inlineStr">
        <x:is>
          <x:t xml:space="preserve">ОТК</x:t>
        </x:is>
      </x:c>
      <x:c r="G41" s="31" t="inlineStr">
        <x:is>
          <x:t xml:space="preserve">ОБ-032</x:t>
        </x:is>
      </x:c>
      <x:c r="H41" s="31" t="n">
        <x:v>46124</x:v>
      </x:c>
      <x:c r="I41" s="31" t="n">
        <x:v>46199</x:v>
      </x:c>
      <x:c r="J41" s="31" t="n">
        <x:v>46124</x:v>
      </x:c>
      <x:c r="K41" s="31" t="n"/>
      <x:c r="L41" s="31" t="inlineStr">
        <x:is>
          <x:t xml:space="preserve">ОТК</x:t>
        </x:is>
      </x:c>
      <x:c r="M41" s="31" t="inlineStr">
        <x:is>
          <x:t xml:space="preserve">СОТР-097</x:t>
        </x:is>
      </x:c>
      <x:c r="N41" s="31" t="n">
        <x:v>207.2</x:v>
      </x:c>
      <x:c r="O41" s="31" t="n">
        <x:v>169.5</x:v>
      </x:c>
      <x:c r="P41" s="31" t="n">
        <x:v>3</x:v>
      </x:c>
      <x:c r="Q41" s="31" t="n">
        <x:v>90</x:v>
      </x:c>
      <x:c r="R41" s="31" t="inlineStr">
        <x:is>
          <x:t xml:space="preserve">Нет</x:t>
        </x:is>
      </x:c>
      <x:c r="S41" s="31" t="inlineStr">
        <x:is>
          <x:t xml:space="preserve">Нет</x:t>
        </x:is>
      </x:c>
      <x:c r="T41" s="31" t="inlineStr">
        <x:is>
          <x:t xml:space="preserve">Создано из строки заказа ПОЗ-0022-2</x:t>
        </x:is>
      </x:c>
    </x:row>
    <x:row r="42" ht="18" customHeight="1">
      <x:c r="A42" s="31" t="inlineStr">
        <x:is>
          <x:t xml:space="preserve">ПЗ-00041</x:t>
        </x:is>
      </x:c>
      <x:c r="B42" s="31" t="inlineStr">
        <x:is>
          <x:t xml:space="preserve">ЗК-1023</x:t>
        </x:is>
      </x:c>
      <x:c r="C42" s="31" t="inlineStr">
        <x:is>
          <x:t xml:space="preserve">ПОЗ-0023-1</x:t>
        </x:is>
      </x:c>
      <x:c r="D42" s="31" t="inlineStr">
        <x:is>
          <x:t xml:space="preserve">ИЗД-010</x:t>
        </x:is>
      </x:c>
      <x:c r="E42" s="31" t="n">
        <x:v>1</x:v>
      </x:c>
      <x:c r="F42" s="31" t="inlineStr">
        <x:is>
          <x:t xml:space="preserve">ОТК</x:t>
        </x:is>
      </x:c>
      <x:c r="G42" s="31" t="inlineStr">
        <x:is>
          <x:t xml:space="preserve">ОБ-007</x:t>
        </x:is>
      </x:c>
      <x:c r="H42" s="31" t="n">
        <x:v>46188</x:v>
      </x:c>
      <x:c r="I42" s="31" t="n">
        <x:v>46260</x:v>
      </x:c>
      <x:c r="J42" s="31" t="n">
        <x:v>46188</x:v>
      </x:c>
      <x:c r="K42" s="31" t="n">
        <x:v>46260</x:v>
      </x:c>
      <x:c r="L42" s="31" t="inlineStr">
        <x:is>
          <x:t xml:space="preserve">Завершено</x:t>
        </x:is>
      </x:c>
      <x:c r="M42" s="31" t="inlineStr">
        <x:is>
          <x:t xml:space="preserve">СОТР-093</x:t>
        </x:is>
      </x:c>
      <x:c r="N42" s="31" t="n">
        <x:v>70.40000000000001</x:v>
      </x:c>
      <x:c r="O42" s="31" t="n">
        <x:v>64.3</x:v>
      </x:c>
      <x:c r="P42" s="31" t="n">
        <x:v>2</x:v>
      </x:c>
      <x:c r="Q42" s="31" t="n">
        <x:v>100</x:v>
      </x:c>
      <x:c r="R42" s="31" t="inlineStr">
        <x:is>
          <x:t xml:space="preserve">Нет</x:t>
        </x:is>
      </x:c>
      <x:c r="S42" s="31" t="inlineStr">
        <x:is>
          <x:t xml:space="preserve">Нет</x:t>
        </x:is>
      </x:c>
      <x:c r="T42" s="31" t="inlineStr">
        <x:is>
          <x:t xml:space="preserve">Создано из строки заказа ПОЗ-0023-1</x:t>
        </x:is>
      </x:c>
    </x:row>
    <x:row r="43" ht="18" customHeight="1">
      <x:c r="A43" s="31" t="inlineStr">
        <x:is>
          <x:t xml:space="preserve">ПЗ-00042</x:t>
        </x:is>
      </x:c>
      <x:c r="B43" s="31" t="inlineStr">
        <x:is>
          <x:t xml:space="preserve">ЗК-1023</x:t>
        </x:is>
      </x:c>
      <x:c r="C43" s="31" t="inlineStr">
        <x:is>
          <x:t xml:space="preserve">ПОЗ-0023-2</x:t>
        </x:is>
      </x:c>
      <x:c r="D43" s="31" t="inlineStr">
        <x:is>
          <x:t xml:space="preserve">ИЗД-021</x:t>
        </x:is>
      </x:c>
      <x:c r="E43" s="31" t="n">
        <x:v>4</x:v>
      </x:c>
      <x:c r="F43" s="31" t="inlineStr">
        <x:is>
          <x:t xml:space="preserve">ОТК</x:t>
        </x:is>
      </x:c>
      <x:c r="G43" s="31" t="inlineStr">
        <x:is>
          <x:t xml:space="preserve">ОБ-007</x:t>
        </x:is>
      </x:c>
      <x:c r="H43" s="31" t="n">
        <x:v>46186</x:v>
      </x:c>
      <x:c r="I43" s="31" t="n">
        <x:v>46259</x:v>
      </x:c>
      <x:c r="J43" s="31" t="n">
        <x:v>46186</x:v>
      </x:c>
      <x:c r="K43" s="31" t="n"/>
      <x:c r="L43" s="31" t="inlineStr">
        <x:is>
          <x:t xml:space="preserve">В работе</x:t>
        </x:is>
      </x:c>
      <x:c r="M43" s="31" t="inlineStr">
        <x:is>
          <x:t xml:space="preserve">СОТР-093</x:t>
        </x:is>
      </x:c>
      <x:c r="N43" s="31" t="n">
        <x:v>439.6</x:v>
      </x:c>
      <x:c r="O43" s="31" t="n">
        <x:v>420.3</x:v>
      </x:c>
      <x:c r="P43" s="31" t="n">
        <x:v>2</x:v>
      </x:c>
      <x:c r="Q43" s="31" t="n">
        <x:v>62</x:v>
      </x:c>
      <x:c r="R43" s="31" t="inlineStr">
        <x:is>
          <x:t xml:space="preserve">Нет</x:t>
        </x:is>
      </x:c>
      <x:c r="S43" s="31" t="inlineStr">
        <x:is>
          <x:t xml:space="preserve">КД</x:t>
        </x:is>
      </x:c>
      <x:c r="T43" s="31" t="inlineStr">
        <x:is>
          <x:t xml:space="preserve">Создано из строки заказа ПОЗ-0023-2</x:t>
        </x:is>
      </x:c>
    </x:row>
    <x:row r="44" ht="18" customHeight="1">
      <x:c r="A44" s="31" t="inlineStr">
        <x:is>
          <x:t xml:space="preserve">ПЗ-00043</x:t>
        </x:is>
      </x:c>
      <x:c r="B44" s="31" t="inlineStr">
        <x:is>
          <x:t xml:space="preserve">ЗК-1023</x:t>
        </x:is>
      </x:c>
      <x:c r="C44" s="31" t="inlineStr">
        <x:is>
          <x:t xml:space="preserve">ПОЗ-0023-3</x:t>
        </x:is>
      </x:c>
      <x:c r="D44" s="31" t="inlineStr">
        <x:is>
          <x:t xml:space="preserve">ИЗД-008</x:t>
        </x:is>
      </x:c>
      <x:c r="E44" s="31" t="n">
        <x:v>15</x:v>
      </x:c>
      <x:c r="F44" s="31" t="inlineStr">
        <x:is>
          <x:t xml:space="preserve">ОТК</x:t>
        </x:is>
      </x:c>
      <x:c r="G44" s="31" t="inlineStr">
        <x:is>
          <x:t xml:space="preserve">ОБ-032</x:t>
        </x:is>
      </x:c>
      <x:c r="H44" s="31" t="n">
        <x:v>46185</x:v>
      </x:c>
      <x:c r="I44" s="31" t="n">
        <x:v>46262</x:v>
      </x:c>
      <x:c r="J44" s="31" t="n"/>
      <x:c r="K44" s="31" t="n"/>
      <x:c r="L44" s="31" t="inlineStr">
        <x:is>
          <x:t xml:space="preserve">Запланировано</x:t>
        </x:is>
      </x:c>
      <x:c r="M44" s="31" t="inlineStr">
        <x:is>
          <x:t xml:space="preserve">СОТР-098</x:t>
        </x:is>
      </x:c>
      <x:c r="N44" s="31" t="n">
        <x:v>303</x:v>
      </x:c>
      <x:c r="O44" s="31" t="n"/>
      <x:c r="P44" s="31" t="n">
        <x:v>0</x:v>
      </x:c>
      <x:c r="Q44" s="31" t="n">
        <x:v>10</x:v>
      </x:c>
      <x:c r="R44" s="31" t="inlineStr">
        <x:is>
          <x:t xml:space="preserve">Нет</x:t>
        </x:is>
      </x:c>
      <x:c r="S44" s="31" t="inlineStr">
        <x:is>
          <x:t xml:space="preserve">Нет</x:t>
        </x:is>
      </x:c>
      <x:c r="T44" s="31" t="inlineStr">
        <x:is>
          <x:t xml:space="preserve">Создано из строки заказа ПОЗ-0023-3</x:t>
        </x:is>
      </x:c>
    </x:row>
    <x:row r="45" ht="18" customHeight="1">
      <x:c r="A45" s="31" t="inlineStr">
        <x:is>
          <x:t xml:space="preserve">ПЗ-00044</x:t>
        </x:is>
      </x:c>
      <x:c r="B45" s="31" t="inlineStr">
        <x:is>
          <x:t xml:space="preserve">ЗК-1025</x:t>
        </x:is>
      </x:c>
      <x:c r="C45" s="31" t="inlineStr">
        <x:is>
          <x:t xml:space="preserve">ПОЗ-0025-1</x:t>
        </x:is>
      </x:c>
      <x:c r="D45" s="31" t="inlineStr">
        <x:is>
          <x:t xml:space="preserve">ИЗД-011</x:t>
        </x:is>
      </x:c>
      <x:c r="E45" s="31" t="n">
        <x:v>2</x:v>
      </x:c>
      <x:c r="F45" s="31" t="inlineStr">
        <x:is>
          <x:t xml:space="preserve">ОТК</x:t>
        </x:is>
      </x:c>
      <x:c r="G45" s="31" t="inlineStr">
        <x:is>
          <x:t xml:space="preserve">ОБ-024</x:t>
        </x:is>
      </x:c>
      <x:c r="H45" s="31" t="n">
        <x:v>46153</x:v>
      </x:c>
      <x:c r="I45" s="31" t="n">
        <x:v>46174</x:v>
      </x:c>
      <x:c r="J45" s="31" t="n">
        <x:v>46153</x:v>
      </x:c>
      <x:c r="K45" s="31" t="n">
        <x:v>46174</x:v>
      </x:c>
      <x:c r="L45" s="31" t="inlineStr">
        <x:is>
          <x:t xml:space="preserve">Завершено</x:t>
        </x:is>
      </x:c>
      <x:c r="M45" s="31" t="inlineStr">
        <x:is>
          <x:t xml:space="preserve">СОТР-063</x:t>
        </x:is>
      </x:c>
      <x:c r="N45" s="31" t="n">
        <x:v>107</x:v>
      </x:c>
      <x:c r="O45" s="31" t="n">
        <x:v>90.7</x:v>
      </x:c>
      <x:c r="P45" s="31" t="n">
        <x:v>3</x:v>
      </x:c>
      <x:c r="Q45" s="31" t="n">
        <x:v>100</x:v>
      </x:c>
      <x:c r="R45" s="31" t="inlineStr">
        <x:is>
          <x:t xml:space="preserve">Да</x:t>
        </x:is>
      </x:c>
      <x:c r="S45" s="31" t="inlineStr">
        <x:is>
          <x:t xml:space="preserve">Нет</x:t>
        </x:is>
      </x:c>
      <x:c r="T45" s="31" t="inlineStr">
        <x:is>
          <x:t xml:space="preserve">Создано из строки заказа ПОЗ-0025-1</x:t>
        </x:is>
      </x:c>
    </x:row>
    <x:row r="46" ht="18" customHeight="1">
      <x:c r="A46" s="31" t="inlineStr">
        <x:is>
          <x:t xml:space="preserve">ПЗ-00045</x:t>
        </x:is>
      </x:c>
      <x:c r="B46" s="31" t="inlineStr">
        <x:is>
          <x:t xml:space="preserve">ЗК-1025</x:t>
        </x:is>
      </x:c>
      <x:c r="C46" s="31" t="inlineStr">
        <x:is>
          <x:t xml:space="preserve">ПОЗ-0025-2</x:t>
        </x:is>
      </x:c>
      <x:c r="D46" s="31" t="inlineStr">
        <x:is>
          <x:t xml:space="preserve">ИЗД-006</x:t>
        </x:is>
      </x:c>
      <x:c r="E46" s="31" t="n">
        <x:v>3</x:v>
      </x:c>
      <x:c r="F46" s="31" t="inlineStr">
        <x:is>
          <x:t xml:space="preserve">ОТК</x:t>
        </x:is>
      </x:c>
      <x:c r="G46" s="31" t="inlineStr">
        <x:is>
          <x:t xml:space="preserve">ОБ-006</x:t>
        </x:is>
      </x:c>
      <x:c r="H46" s="31" t="n">
        <x:v>46153</x:v>
      </x:c>
      <x:c r="I46" s="31" t="n">
        <x:v>46175</x:v>
      </x:c>
      <x:c r="J46" s="31" t="n">
        <x:v>46153</x:v>
      </x:c>
      <x:c r="K46" s="31" t="n">
        <x:v>46175</x:v>
      </x:c>
      <x:c r="L46" s="31" t="inlineStr">
        <x:is>
          <x:t xml:space="preserve">Завершено</x:t>
        </x:is>
      </x:c>
      <x:c r="M46" s="31" t="inlineStr">
        <x:is>
          <x:t xml:space="preserve">СОТР-092</x:t>
        </x:is>
      </x:c>
      <x:c r="N46" s="31" t="n">
        <x:v>273</x:v>
      </x:c>
      <x:c r="O46" s="31" t="n">
        <x:v>208.2</x:v>
      </x:c>
      <x:c r="P46" s="31" t="n">
        <x:v>0</x:v>
      </x:c>
      <x:c r="Q46" s="31" t="n">
        <x:v>100</x:v>
      </x:c>
      <x:c r="R46" s="31" t="inlineStr">
        <x:is>
          <x:t xml:space="preserve">Нет</x:t>
        </x:is>
      </x:c>
      <x:c r="S46" s="31" t="inlineStr">
        <x:is>
          <x:t xml:space="preserve">Нет</x:t>
        </x:is>
      </x:c>
      <x:c r="T46" s="31" t="inlineStr">
        <x:is>
          <x:t xml:space="preserve">Создано из строки заказа ПОЗ-0025-2</x:t>
        </x:is>
      </x:c>
    </x:row>
    <x:row r="47" ht="18" customHeight="1">
      <x:c r="A47" s="31" t="inlineStr">
        <x:is>
          <x:t xml:space="preserve">ПЗ-00046</x:t>
        </x:is>
      </x:c>
      <x:c r="B47" s="31" t="inlineStr">
        <x:is>
          <x:t xml:space="preserve">ЗК-1029</x:t>
        </x:is>
      </x:c>
      <x:c r="C47" s="31" t="inlineStr">
        <x:is>
          <x:t xml:space="preserve">ПОЗ-0029-1</x:t>
        </x:is>
      </x:c>
      <x:c r="D47" s="31" t="inlineStr">
        <x:is>
          <x:t xml:space="preserve">ИЗД-031</x:t>
        </x:is>
      </x:c>
      <x:c r="E47" s="31" t="n">
        <x:v>4</x:v>
      </x:c>
      <x:c r="F47" s="31" t="inlineStr">
        <x:is>
          <x:t xml:space="preserve">ОТК</x:t>
        </x:is>
      </x:c>
      <x:c r="G47" s="31" t="inlineStr">
        <x:is>
          <x:t xml:space="preserve">ОБ-033</x:t>
        </x:is>
      </x:c>
      <x:c r="H47" s="31" t="n">
        <x:v>46064</x:v>
      </x:c>
      <x:c r="I47" s="31" t="n">
        <x:v>46081</x:v>
      </x:c>
      <x:c r="J47" s="31" t="n">
        <x:v>46064</x:v>
      </x:c>
      <x:c r="K47" s="31" t="n"/>
      <x:c r="L47" s="31" t="inlineStr">
        <x:is>
          <x:t xml:space="preserve">Ожидает материалов</x:t>
        </x:is>
      </x:c>
      <x:c r="M47" s="31" t="inlineStr">
        <x:is>
          <x:t xml:space="preserve">СОТР-096</x:t>
        </x:is>
      </x:c>
      <x:c r="N47" s="31" t="n">
        <x:v>203.6</x:v>
      </x:c>
      <x:c r="O47" s="31" t="n"/>
      <x:c r="P47" s="31" t="n">
        <x:v>0</x:v>
      </x:c>
      <x:c r="Q47" s="31" t="n">
        <x:v>15</x:v>
      </x:c>
      <x:c r="R47" s="31" t="inlineStr">
        <x:is>
          <x:t xml:space="preserve">Нет</x:t>
        </x:is>
      </x:c>
      <x:c r="S47" s="31" t="inlineStr">
        <x:is>
          <x:t xml:space="preserve">Нет</x:t>
        </x:is>
      </x:c>
      <x:c r="T47" s="31" t="inlineStr">
        <x:is>
          <x:t xml:space="preserve">Создано из строки заказа ПОЗ-0029-1</x:t>
        </x:is>
      </x:c>
    </x:row>
    <x:row r="48" ht="18" customHeight="1">
      <x:c r="A48" s="31" t="inlineStr">
        <x:is>
          <x:t xml:space="preserve">ПЗ-00047</x:t>
        </x:is>
      </x:c>
      <x:c r="B48" s="31" t="inlineStr">
        <x:is>
          <x:t xml:space="preserve">ЗК-1029</x:t>
        </x:is>
      </x:c>
      <x:c r="C48" s="31" t="inlineStr">
        <x:is>
          <x:t xml:space="preserve">ПОЗ-0029-2</x:t>
        </x:is>
      </x:c>
      <x:c r="D48" s="31" t="inlineStr">
        <x:is>
          <x:t xml:space="preserve">ИЗД-038</x:t>
        </x:is>
      </x:c>
      <x:c r="E48" s="31" t="n">
        <x:v>5</x:v>
      </x:c>
      <x:c r="F48" s="31" t="inlineStr">
        <x:is>
          <x:t xml:space="preserve">ОТК</x:t>
        </x:is>
      </x:c>
      <x:c r="G48" s="31" t="inlineStr">
        <x:is>
          <x:t xml:space="preserve">ОБ-032</x:t>
        </x:is>
      </x:c>
      <x:c r="H48" s="31" t="n">
        <x:v>46053</x:v>
      </x:c>
      <x:c r="I48" s="31" t="n">
        <x:v>46076</x:v>
      </x:c>
      <x:c r="J48" s="31" t="n">
        <x:v>46053</x:v>
      </x:c>
      <x:c r="K48" s="31" t="n">
        <x:v>46076</x:v>
      </x:c>
      <x:c r="L48" s="31" t="inlineStr">
        <x:is>
          <x:t xml:space="preserve">Завершено</x:t>
        </x:is>
      </x:c>
      <x:c r="M48" s="31" t="inlineStr">
        <x:is>
          <x:t xml:space="preserve">СОТР-096</x:t>
        </x:is>
      </x:c>
      <x:c r="N48" s="31" t="n">
        <x:v>142</x:v>
      </x:c>
      <x:c r="O48" s="31" t="n">
        <x:v>142.3</x:v>
      </x:c>
      <x:c r="P48" s="31" t="n">
        <x:v>0</x:v>
      </x:c>
      <x:c r="Q48" s="31" t="n">
        <x:v>100</x:v>
      </x:c>
      <x:c r="R48" s="31" t="inlineStr">
        <x:is>
          <x:t xml:space="preserve">Нет</x:t>
        </x:is>
      </x:c>
      <x:c r="S48" s="31" t="inlineStr">
        <x:is>
          <x:t xml:space="preserve">Оборудование</x:t>
        </x:is>
      </x:c>
      <x:c r="T48" s="31" t="inlineStr">
        <x:is>
          <x:t xml:space="preserve">Создано из строки заказа ПОЗ-0029-2</x:t>
        </x:is>
      </x:c>
    </x:row>
    <x:row r="49" ht="18" customHeight="1">
      <x:c r="A49" s="31" t="inlineStr">
        <x:is>
          <x:t xml:space="preserve">ПЗ-00048</x:t>
        </x:is>
      </x:c>
      <x:c r="B49" s="31" t="inlineStr">
        <x:is>
          <x:t xml:space="preserve">ЗК-1029</x:t>
        </x:is>
      </x:c>
      <x:c r="C49" s="31" t="inlineStr">
        <x:is>
          <x:t xml:space="preserve">ПОЗ-0029-3</x:t>
        </x:is>
      </x:c>
      <x:c r="D49" s="31" t="inlineStr">
        <x:is>
          <x:t xml:space="preserve">ИЗД-001</x:t>
        </x:is>
      </x:c>
      <x:c r="E49" s="31" t="n">
        <x:v>13</x:v>
      </x:c>
      <x:c r="F49" s="31" t="inlineStr">
        <x:is>
          <x:t xml:space="preserve">ОТК</x:t>
        </x:is>
      </x:c>
      <x:c r="G49" s="31" t="inlineStr">
        <x:is>
          <x:t xml:space="preserve">ОБ-001</x:t>
        </x:is>
      </x:c>
      <x:c r="H49" s="31" t="n">
        <x:v>46064</x:v>
      </x:c>
      <x:c r="I49" s="31" t="n">
        <x:v>46081</x:v>
      </x:c>
      <x:c r="J49" s="31" t="n">
        <x:v>46064</x:v>
      </x:c>
      <x:c r="K49" s="31" t="n"/>
      <x:c r="L49" s="31" t="inlineStr">
        <x:is>
          <x:t xml:space="preserve">В работе</x:t>
        </x:is>
      </x:c>
      <x:c r="M49" s="31" t="inlineStr">
        <x:is>
          <x:t xml:space="preserve">СОТР-099</x:t>
        </x:is>
      </x:c>
      <x:c r="N49" s="31" t="n">
        <x:v>184.6</x:v>
      </x:c>
      <x:c r="O49" s="31" t="n">
        <x:v>191.9</x:v>
      </x:c>
      <x:c r="P49" s="31" t="n">
        <x:v>2</x:v>
      </x:c>
      <x:c r="Q49" s="31" t="n">
        <x:v>73</x:v>
      </x:c>
      <x:c r="R49" s="31" t="inlineStr">
        <x:is>
          <x:t xml:space="preserve">Да</x:t>
        </x:is>
      </x:c>
      <x:c r="S49" s="31" t="inlineStr">
        <x:is>
          <x:t xml:space="preserve">Нет</x:t>
        </x:is>
      </x:c>
      <x:c r="T49" s="31" t="inlineStr">
        <x:is>
          <x:t xml:space="preserve">Создано из строки заказа ПОЗ-0029-3</x:t>
        </x:is>
      </x:c>
    </x:row>
    <x:row r="50" ht="18" customHeight="1">
      <x:c r="A50" s="31" t="inlineStr">
        <x:is>
          <x:t xml:space="preserve">ПЗ-00049</x:t>
        </x:is>
      </x:c>
      <x:c r="B50" s="31" t="inlineStr">
        <x:is>
          <x:t xml:space="preserve">ЗК-1030</x:t>
        </x:is>
      </x:c>
      <x:c r="C50" s="31" t="inlineStr">
        <x:is>
          <x:t xml:space="preserve">ПОЗ-0030-1</x:t>
        </x:is>
      </x:c>
      <x:c r="D50" s="31" t="inlineStr">
        <x:is>
          <x:t xml:space="preserve">ИЗД-032</x:t>
        </x:is>
      </x:c>
      <x:c r="E50" s="31" t="n">
        <x:v>15</x:v>
      </x:c>
      <x:c r="F50" s="31" t="inlineStr">
        <x:is>
          <x:t xml:space="preserve">ОТК</x:t>
        </x:is>
      </x:c>
      <x:c r="G50" s="31" t="inlineStr">
        <x:is>
          <x:t xml:space="preserve">ОБ-033</x:t>
        </x:is>
      </x:c>
      <x:c r="H50" s="31" t="n">
        <x:v>46180</x:v>
      </x:c>
      <x:c r="I50" s="31" t="n">
        <x:v>46235</x:v>
      </x:c>
      <x:c r="J50" s="31" t="n">
        <x:v>46180</x:v>
      </x:c>
      <x:c r="K50" s="31" t="n">
        <x:v>46235</x:v>
      </x:c>
      <x:c r="L50" s="31" t="inlineStr">
        <x:is>
          <x:t xml:space="preserve">Завершено</x:t>
        </x:is>
      </x:c>
      <x:c r="M50" s="31" t="inlineStr">
        <x:is>
          <x:t xml:space="preserve">СОТР-096</x:t>
        </x:is>
      </x:c>
      <x:c r="N50" s="31" t="n">
        <x:v>388.5</x:v>
      </x:c>
      <x:c r="O50" s="31" t="n">
        <x:v>427.7</x:v>
      </x:c>
      <x:c r="P50" s="31" t="n">
        <x:v>3</x:v>
      </x:c>
      <x:c r="Q50" s="31" t="n">
        <x:v>100</x:v>
      </x:c>
      <x:c r="R50" s="31" t="inlineStr">
        <x:is>
          <x:t xml:space="preserve">Нет</x:t>
        </x:is>
      </x:c>
      <x:c r="S50" s="31" t="inlineStr">
        <x:is>
          <x:t xml:space="preserve">Нет</x:t>
        </x:is>
      </x:c>
      <x:c r="T50" s="31" t="inlineStr">
        <x:is>
          <x:t xml:space="preserve">Создано из строки заказа ПОЗ-0030-1</x:t>
        </x:is>
      </x:c>
    </x:row>
    <x:row r="51" ht="18" customHeight="1">
      <x:c r="A51" s="31" t="inlineStr">
        <x:is>
          <x:t xml:space="preserve">ПЗ-00050</x:t>
        </x:is>
      </x:c>
      <x:c r="B51" s="31" t="inlineStr">
        <x:is>
          <x:t xml:space="preserve">ЗК-1030</x:t>
        </x:is>
      </x:c>
      <x:c r="C51" s="31" t="inlineStr">
        <x:is>
          <x:t xml:space="preserve">ПОЗ-0030-2</x:t>
        </x:is>
      </x:c>
      <x:c r="D51" s="31" t="inlineStr">
        <x:is>
          <x:t xml:space="preserve">ИЗД-002</x:t>
        </x:is>
      </x:c>
      <x:c r="E51" s="31" t="n">
        <x:v>5</x:v>
      </x:c>
      <x:c r="F51" s="31" t="inlineStr">
        <x:is>
          <x:t xml:space="preserve">ОТК</x:t>
        </x:is>
      </x:c>
      <x:c r="G51" s="31" t="inlineStr">
        <x:is>
          <x:t xml:space="preserve">ОБ-007</x:t>
        </x:is>
      </x:c>
      <x:c r="H51" s="31" t="n">
        <x:v>46173</x:v>
      </x:c>
      <x:c r="I51" s="31" t="n">
        <x:v>46237</x:v>
      </x:c>
      <x:c r="J51" s="31" t="n">
        <x:v>46173</x:v>
      </x:c>
      <x:c r="K51" s="31" t="n"/>
      <x:c r="L51" s="31" t="inlineStr">
        <x:is>
          <x:t xml:space="preserve">ОТК</x:t>
        </x:is>
      </x:c>
      <x:c r="M51" s="31" t="inlineStr">
        <x:is>
          <x:t xml:space="preserve">СОТР-098</x:t>
        </x:is>
      </x:c>
      <x:c r="N51" s="31" t="n">
        <x:v>221.5</x:v>
      </x:c>
      <x:c r="O51" s="31" t="n">
        <x:v>234.1</x:v>
      </x:c>
      <x:c r="P51" s="31" t="n">
        <x:v>2</x:v>
      </x:c>
      <x:c r="Q51" s="31" t="n">
        <x:v>90</x:v>
      </x:c>
      <x:c r="R51" s="31" t="inlineStr">
        <x:is>
          <x:t xml:space="preserve">Нет</x:t>
        </x:is>
      </x:c>
      <x:c r="S51" s="31" t="inlineStr">
        <x:is>
          <x:t xml:space="preserve">Нет</x:t>
        </x:is>
      </x:c>
      <x:c r="T51" s="31" t="inlineStr">
        <x:is>
          <x:t xml:space="preserve">Создано из строки заказа ПОЗ-0030-2</x:t>
        </x:is>
      </x:c>
    </x:row>
    <x:row r="52" ht="18" customHeight="1">
      <x:c r="A52" s="31" t="inlineStr">
        <x:is>
          <x:t xml:space="preserve">ПЗ-00051</x:t>
        </x:is>
      </x:c>
      <x:c r="B52" s="31" t="inlineStr">
        <x:is>
          <x:t xml:space="preserve">ЗК-1030</x:t>
        </x:is>
      </x:c>
      <x:c r="C52" s="31" t="inlineStr">
        <x:is>
          <x:t xml:space="preserve">ПОЗ-0030-3</x:t>
        </x:is>
      </x:c>
      <x:c r="D52" s="31" t="inlineStr">
        <x:is>
          <x:t xml:space="preserve">ИЗД-016</x:t>
        </x:is>
      </x:c>
      <x:c r="E52" s="31" t="n">
        <x:v>3</x:v>
      </x:c>
      <x:c r="F52" s="31" t="inlineStr">
        <x:is>
          <x:t xml:space="preserve">ОТК</x:t>
        </x:is>
      </x:c>
      <x:c r="G52" s="31" t="inlineStr">
        <x:is>
          <x:t xml:space="preserve">ОБ-032</x:t>
        </x:is>
      </x:c>
      <x:c r="H52" s="31" t="n">
        <x:v>46179</x:v>
      </x:c>
      <x:c r="I52" s="31" t="n">
        <x:v>46235</x:v>
      </x:c>
      <x:c r="J52" s="31" t="n">
        <x:v>46179</x:v>
      </x:c>
      <x:c r="K52" s="31" t="n"/>
      <x:c r="L52" s="31" t="inlineStr">
        <x:is>
          <x:t xml:space="preserve">ОТК</x:t>
        </x:is>
      </x:c>
      <x:c r="M52" s="31" t="inlineStr">
        <x:is>
          <x:t xml:space="preserve">СОТР-092</x:t>
        </x:is>
      </x:c>
      <x:c r="N52" s="31" t="n">
        <x:v>333.6</x:v>
      </x:c>
      <x:c r="O52" s="31" t="n">
        <x:v>399.7</x:v>
      </x:c>
      <x:c r="P52" s="31" t="n">
        <x:v>1</x:v>
      </x:c>
      <x:c r="Q52" s="31" t="n">
        <x:v>90</x:v>
      </x:c>
      <x:c r="R52" s="31" t="inlineStr">
        <x:is>
          <x:t xml:space="preserve">Нет</x:t>
        </x:is>
      </x:c>
      <x:c r="S52" s="31" t="inlineStr">
        <x:is>
          <x:t xml:space="preserve">Нет</x:t>
        </x:is>
      </x:c>
      <x:c r="T52" s="31" t="inlineStr">
        <x:is>
          <x:t xml:space="preserve">Создано из строки заказа ПОЗ-0030-3</x:t>
        </x:is>
      </x:c>
    </x:row>
    <x:row r="53" ht="18" customHeight="1">
      <x:c r="A53" s="31" t="inlineStr">
        <x:is>
          <x:t xml:space="preserve">ПЗ-00052</x:t>
        </x:is>
      </x:c>
      <x:c r="B53" s="31" t="inlineStr">
        <x:is>
          <x:t xml:space="preserve">ЗК-1031</x:t>
        </x:is>
      </x:c>
      <x:c r="C53" s="31" t="inlineStr">
        <x:is>
          <x:t xml:space="preserve">ПОЗ-0031-1</x:t>
        </x:is>
      </x:c>
      <x:c r="D53" s="31" t="inlineStr">
        <x:is>
          <x:t xml:space="preserve">ИЗД-030</x:t>
        </x:is>
      </x:c>
      <x:c r="E53" s="31" t="n">
        <x:v>1</x:v>
      </x:c>
      <x:c r="F53" s="31" t="inlineStr">
        <x:is>
          <x:t xml:space="preserve">ОТК</x:t>
        </x:is>
      </x:c>
      <x:c r="G53" s="31" t="inlineStr">
        <x:is>
          <x:t xml:space="preserve">ОБ-013</x:t>
        </x:is>
      </x:c>
      <x:c r="H53" s="31" t="n">
        <x:v>46108</x:v>
      </x:c>
      <x:c r="I53" s="31" t="n">
        <x:v>46136</x:v>
      </x:c>
      <x:c r="J53" s="31" t="n">
        <x:v>46108</x:v>
      </x:c>
      <x:c r="K53" s="31" t="n">
        <x:v>46136</x:v>
      </x:c>
      <x:c r="L53" s="31" t="inlineStr">
        <x:is>
          <x:t xml:space="preserve">Завершено</x:t>
        </x:is>
      </x:c>
      <x:c r="M53" s="31" t="inlineStr">
        <x:is>
          <x:t xml:space="preserve">СОТР-098</x:t>
        </x:is>
      </x:c>
      <x:c r="N53" s="31" t="n">
        <x:v>62.1</x:v>
      </x:c>
      <x:c r="O53" s="31" t="n">
        <x:v>70.5</x:v>
      </x:c>
      <x:c r="P53" s="31" t="n">
        <x:v>3</x:v>
      </x:c>
      <x:c r="Q53" s="31" t="n">
        <x:v>100</x:v>
      </x:c>
      <x:c r="R53" s="31" t="inlineStr">
        <x:is>
          <x:t xml:space="preserve">Нет</x:t>
        </x:is>
      </x:c>
      <x:c r="S53" s="31" t="inlineStr">
        <x:is>
          <x:t xml:space="preserve">Нет</x:t>
        </x:is>
      </x:c>
      <x:c r="T53" s="31" t="inlineStr">
        <x:is>
          <x:t xml:space="preserve">Создано из строки заказа ПОЗ-0031-1</x:t>
        </x:is>
      </x:c>
    </x:row>
    <x:row r="54" ht="18" customHeight="1">
      <x:c r="A54" s="31" t="inlineStr">
        <x:is>
          <x:t xml:space="preserve">ПЗ-00053</x:t>
        </x:is>
      </x:c>
      <x:c r="B54" s="31" t="inlineStr">
        <x:is>
          <x:t xml:space="preserve">ЗК-1033</x:t>
        </x:is>
      </x:c>
      <x:c r="C54" s="31" t="inlineStr">
        <x:is>
          <x:t xml:space="preserve">ПОЗ-0033-1</x:t>
        </x:is>
      </x:c>
      <x:c r="D54" s="31" t="inlineStr">
        <x:is>
          <x:t xml:space="preserve">ИЗД-026</x:t>
        </x:is>
      </x:c>
      <x:c r="E54" s="31" t="n">
        <x:v>2</x:v>
      </x:c>
      <x:c r="F54" s="31" t="inlineStr">
        <x:is>
          <x:t xml:space="preserve">ОТК</x:t>
        </x:is>
      </x:c>
      <x:c r="G54" s="31" t="inlineStr">
        <x:is>
          <x:t xml:space="preserve">ОБ-001</x:t>
        </x:is>
      </x:c>
      <x:c r="H54" s="31" t="n">
        <x:v>46153</x:v>
      </x:c>
      <x:c r="I54" s="31" t="n">
        <x:v>46156</x:v>
      </x:c>
      <x:c r="J54" s="31" t="n">
        <x:v>46153</x:v>
      </x:c>
      <x:c r="K54" s="31" t="n">
        <x:v>46156</x:v>
      </x:c>
      <x:c r="L54" s="31" t="inlineStr">
        <x:is>
          <x:t xml:space="preserve">Завершено</x:t>
        </x:is>
      </x:c>
      <x:c r="M54" s="31" t="inlineStr">
        <x:is>
          <x:t xml:space="preserve">СОТР-096</x:t>
        </x:is>
      </x:c>
      <x:c r="N54" s="31" t="n">
        <x:v>202.6</x:v>
      </x:c>
      <x:c r="O54" s="31" t="n">
        <x:v>194.4</x:v>
      </x:c>
      <x:c r="P54" s="31" t="n">
        <x:v>0</x:v>
      </x:c>
      <x:c r="Q54" s="31" t="n">
        <x:v>100</x:v>
      </x:c>
      <x:c r="R54" s="31" t="inlineStr">
        <x:is>
          <x:t xml:space="preserve">Нет</x:t>
        </x:is>
      </x:c>
      <x:c r="S54" s="31" t="inlineStr">
        <x:is>
          <x:t xml:space="preserve">Нет</x:t>
        </x:is>
      </x:c>
      <x:c r="T54" s="31" t="inlineStr">
        <x:is>
          <x:t xml:space="preserve">Создано из строки заказа ПОЗ-0033-1</x:t>
        </x:is>
      </x:c>
    </x:row>
    <x:row r="55" ht="18" customHeight="1">
      <x:c r="A55" s="31" t="inlineStr">
        <x:is>
          <x:t xml:space="preserve">ПЗ-00054</x:t>
        </x:is>
      </x:c>
      <x:c r="B55" s="31" t="inlineStr">
        <x:is>
          <x:t xml:space="preserve">ЗК-1035</x:t>
        </x:is>
      </x:c>
      <x:c r="C55" s="31" t="inlineStr">
        <x:is>
          <x:t xml:space="preserve">ПОЗ-0035-1</x:t>
        </x:is>
      </x:c>
      <x:c r="D55" s="31" t="inlineStr">
        <x:is>
          <x:t xml:space="preserve">ИЗД-027</x:t>
        </x:is>
      </x:c>
      <x:c r="E55" s="31" t="n">
        <x:v>3</x:v>
      </x:c>
      <x:c r="F55" s="31" t="inlineStr">
        <x:is>
          <x:t xml:space="preserve">ОТК</x:t>
        </x:is>
      </x:c>
      <x:c r="G55" s="31" t="inlineStr">
        <x:is>
          <x:t xml:space="preserve">ОБ-015</x:t>
        </x:is>
      </x:c>
      <x:c r="H55" s="31" t="n">
        <x:v>46088</x:v>
      </x:c>
      <x:c r="I55" s="31" t="n">
        <x:v>46144</x:v>
      </x:c>
      <x:c r="J55" s="31" t="n">
        <x:v>46088</x:v>
      </x:c>
      <x:c r="K55" s="31" t="n">
        <x:v>46144</x:v>
      </x:c>
      <x:c r="L55" s="31" t="inlineStr">
        <x:is>
          <x:t xml:space="preserve">Завершено</x:t>
        </x:is>
      </x:c>
      <x:c r="M55" s="31" t="inlineStr">
        <x:is>
          <x:t xml:space="preserve">СОТР-098</x:t>
        </x:is>
      </x:c>
      <x:c r="N55" s="31" t="n">
        <x:v>337.8</x:v>
      </x:c>
      <x:c r="O55" s="31" t="n">
        <x:v>328.7</x:v>
      </x:c>
      <x:c r="P55" s="31" t="n">
        <x:v>1</x:v>
      </x:c>
      <x:c r="Q55" s="31" t="n">
        <x:v>100</x:v>
      </x:c>
      <x:c r="R55" s="31" t="inlineStr">
        <x:is>
          <x:t xml:space="preserve">Нет</x:t>
        </x:is>
      </x:c>
      <x:c r="S55" s="31" t="inlineStr">
        <x:is>
          <x:t xml:space="preserve">Нет</x:t>
        </x:is>
      </x:c>
      <x:c r="T55" s="31" t="inlineStr">
        <x:is>
          <x:t xml:space="preserve">Создано из строки заказа ПОЗ-0035-1</x:t>
        </x:is>
      </x:c>
    </x:row>
    <x:row r="56" ht="18" customHeight="1">
      <x:c r="A56" s="31" t="inlineStr">
        <x:is>
          <x:t xml:space="preserve">ПЗ-00055</x:t>
        </x:is>
      </x:c>
      <x:c r="B56" s="31" t="inlineStr">
        <x:is>
          <x:t xml:space="preserve">ЗК-1035</x:t>
        </x:is>
      </x:c>
      <x:c r="C56" s="31" t="inlineStr">
        <x:is>
          <x:t xml:space="preserve">ПОЗ-0035-2</x:t>
        </x:is>
      </x:c>
      <x:c r="D56" s="31" t="inlineStr">
        <x:is>
          <x:t xml:space="preserve">ИЗД-028</x:t>
        </x:is>
      </x:c>
      <x:c r="E56" s="31" t="n">
        <x:v>1</x:v>
      </x:c>
      <x:c r="F56" s="31" t="inlineStr">
        <x:is>
          <x:t xml:space="preserve">ОТК</x:t>
        </x:is>
      </x:c>
      <x:c r="G56" s="31" t="inlineStr">
        <x:is>
          <x:t xml:space="preserve">ОБ-033</x:t>
        </x:is>
      </x:c>
      <x:c r="H56" s="31" t="n">
        <x:v>46091</x:v>
      </x:c>
      <x:c r="I56" s="31" t="n">
        <x:v>46147</x:v>
      </x:c>
      <x:c r="J56" s="31" t="n">
        <x:v>46091</x:v>
      </x:c>
      <x:c r="K56" s="31" t="n">
        <x:v>46147</x:v>
      </x:c>
      <x:c r="L56" s="31" t="inlineStr">
        <x:is>
          <x:t xml:space="preserve">Завершено</x:t>
        </x:is>
      </x:c>
      <x:c r="M56" s="31" t="inlineStr">
        <x:is>
          <x:t xml:space="preserve">СОТР-099</x:t>
        </x:is>
      </x:c>
      <x:c r="N56" s="31" t="n">
        <x:v>110</x:v>
      </x:c>
      <x:c r="O56" s="31" t="n">
        <x:v>123</x:v>
      </x:c>
      <x:c r="P56" s="31" t="n">
        <x:v>0</x:v>
      </x:c>
      <x:c r="Q56" s="31" t="n">
        <x:v>100</x:v>
      </x:c>
      <x:c r="R56" s="31" t="inlineStr">
        <x:is>
          <x:t xml:space="preserve">Нет</x:t>
        </x:is>
      </x:c>
      <x:c r="S56" s="31" t="inlineStr">
        <x:is>
          <x:t xml:space="preserve">Оборудование</x:t>
        </x:is>
      </x:c>
      <x:c r="T56" s="31" t="inlineStr">
        <x:is>
          <x:t xml:space="preserve">Создано из строки заказа ПОЗ-0035-2</x:t>
        </x:is>
      </x:c>
    </x:row>
    <x:row r="57" ht="18" customHeight="1">
      <x:c r="A57" s="31" t="inlineStr">
        <x:is>
          <x:t xml:space="preserve">ПЗ-00056</x:t>
        </x:is>
      </x:c>
      <x:c r="B57" s="31" t="inlineStr">
        <x:is>
          <x:t xml:space="preserve">ЗК-1035</x:t>
        </x:is>
      </x:c>
      <x:c r="C57" s="31" t="inlineStr">
        <x:is>
          <x:t xml:space="preserve">ПОЗ-0035-3</x:t>
        </x:is>
      </x:c>
      <x:c r="D57" s="31" t="inlineStr">
        <x:is>
          <x:t xml:space="preserve">ИЗД-010</x:t>
        </x:is>
      </x:c>
      <x:c r="E57" s="31" t="n">
        <x:v>3</x:v>
      </x:c>
      <x:c r="F57" s="31" t="inlineStr">
        <x:is>
          <x:t xml:space="preserve">ОТК</x:t>
        </x:is>
      </x:c>
      <x:c r="G57" s="31" t="inlineStr">
        <x:is>
          <x:t xml:space="preserve">ОБ-022</x:t>
        </x:is>
      </x:c>
      <x:c r="H57" s="31" t="n">
        <x:v>46086</x:v>
      </x:c>
      <x:c r="I57" s="31" t="n">
        <x:v>46150</x:v>
      </x:c>
      <x:c r="J57" s="31" t="n">
        <x:v>46086</x:v>
      </x:c>
      <x:c r="K57" s="31" t="n">
        <x:v>46150</x:v>
      </x:c>
      <x:c r="L57" s="31" t="inlineStr">
        <x:is>
          <x:t xml:space="preserve">Завершено</x:t>
        </x:is>
      </x:c>
      <x:c r="M57" s="31" t="inlineStr">
        <x:is>
          <x:t xml:space="preserve">СОТР-096</x:t>
        </x:is>
      </x:c>
      <x:c r="N57" s="31" t="n">
        <x:v>211.2</x:v>
      </x:c>
      <x:c r="O57" s="31" t="n">
        <x:v>187.8</x:v>
      </x:c>
      <x:c r="P57" s="31" t="n">
        <x:v>2</x:v>
      </x:c>
      <x:c r="Q57" s="31" t="n">
        <x:v>100</x:v>
      </x:c>
      <x:c r="R57" s="31" t="inlineStr">
        <x:is>
          <x:t xml:space="preserve">Нет</x:t>
        </x:is>
      </x:c>
      <x:c r="S57" s="31" t="inlineStr">
        <x:is>
          <x:t xml:space="preserve">Нет</x:t>
        </x:is>
      </x:c>
      <x:c r="T57" s="31" t="inlineStr">
        <x:is>
          <x:t xml:space="preserve">Создано из строки заказа ПОЗ-0035-3</x:t>
        </x:is>
      </x:c>
    </x:row>
    <x:row r="58" ht="18" customHeight="1">
      <x:c r="A58" s="31" t="inlineStr">
        <x:is>
          <x:t xml:space="preserve">ПЗ-00057</x:t>
        </x:is>
      </x:c>
      <x:c r="B58" s="31" t="inlineStr">
        <x:is>
          <x:t xml:space="preserve">ЗК-1035</x:t>
        </x:is>
      </x:c>
      <x:c r="C58" s="31" t="inlineStr">
        <x:is>
          <x:t xml:space="preserve">ПОЗ-0035-4</x:t>
        </x:is>
      </x:c>
      <x:c r="D58" s="31" t="inlineStr">
        <x:is>
          <x:t xml:space="preserve">ИЗД-002</x:t>
        </x:is>
      </x:c>
      <x:c r="E58" s="31" t="n">
        <x:v>2</x:v>
      </x:c>
      <x:c r="F58" s="31" t="inlineStr">
        <x:is>
          <x:t xml:space="preserve">ОТК</x:t>
        </x:is>
      </x:c>
      <x:c r="G58" s="31" t="inlineStr">
        <x:is>
          <x:t xml:space="preserve">ОБ-024</x:t>
        </x:is>
      </x:c>
      <x:c r="H58" s="31" t="n">
        <x:v>46080</x:v>
      </x:c>
      <x:c r="I58" s="31" t="n">
        <x:v>46149</x:v>
      </x:c>
      <x:c r="J58" s="31" t="n">
        <x:v>46080</x:v>
      </x:c>
      <x:c r="K58" s="31" t="n">
        <x:v>46149</x:v>
      </x:c>
      <x:c r="L58" s="31" t="inlineStr">
        <x:is>
          <x:t xml:space="preserve">Завершено</x:t>
        </x:is>
      </x:c>
      <x:c r="M58" s="31" t="inlineStr">
        <x:is>
          <x:t xml:space="preserve">СОТР-063</x:t>
        </x:is>
      </x:c>
      <x:c r="N58" s="31" t="n">
        <x:v>88.59999999999999</x:v>
      </x:c>
      <x:c r="O58" s="31" t="n">
        <x:v>90.8</x:v>
      </x:c>
      <x:c r="P58" s="31" t="n">
        <x:v>1</x:v>
      </x:c>
      <x:c r="Q58" s="31" t="n">
        <x:v>100</x:v>
      </x:c>
      <x:c r="R58" s="31" t="inlineStr">
        <x:is>
          <x:t xml:space="preserve">Нет</x:t>
        </x:is>
      </x:c>
      <x:c r="S58" s="31" t="inlineStr">
        <x:is>
          <x:t xml:space="preserve">Нет</x:t>
        </x:is>
      </x:c>
      <x:c r="T58" s="31" t="inlineStr">
        <x:is>
          <x:t xml:space="preserve">Создано из строки заказа ПОЗ-0035-4</x:t>
        </x:is>
      </x:c>
    </x:row>
    <x:row r="59" ht="18" customHeight="1">
      <x:c r="A59" s="31" t="inlineStr">
        <x:is>
          <x:t xml:space="preserve">ПЗ-00058</x:t>
        </x:is>
      </x:c>
      <x:c r="B59" s="31" t="inlineStr">
        <x:is>
          <x:t xml:space="preserve">ЗК-1036</x:t>
        </x:is>
      </x:c>
      <x:c r="C59" s="31" t="inlineStr">
        <x:is>
          <x:t xml:space="preserve">ПОЗ-0036-1</x:t>
        </x:is>
      </x:c>
      <x:c r="D59" s="31" t="inlineStr">
        <x:is>
          <x:t xml:space="preserve">ИЗД-005</x:t>
        </x:is>
      </x:c>
      <x:c r="E59" s="31" t="n">
        <x:v>2</x:v>
      </x:c>
      <x:c r="F59" s="31" t="inlineStr">
        <x:is>
          <x:t xml:space="preserve">ОТК</x:t>
        </x:is>
      </x:c>
      <x:c r="G59" s="31" t="inlineStr">
        <x:is>
          <x:t xml:space="preserve">ОБ-022</x:t>
        </x:is>
      </x:c>
      <x:c r="H59" s="31" t="n">
        <x:v>46134</x:v>
      </x:c>
      <x:c r="I59" s="31" t="n">
        <x:v>46189</x:v>
      </x:c>
      <x:c r="J59" s="31" t="n">
        <x:v>46134</x:v>
      </x:c>
      <x:c r="K59" s="31" t="n">
        <x:v>46189</x:v>
      </x:c>
      <x:c r="L59" s="31" t="inlineStr">
        <x:is>
          <x:t xml:space="preserve">Завершено</x:t>
        </x:is>
      </x:c>
      <x:c r="M59" s="31" t="inlineStr">
        <x:is>
          <x:t xml:space="preserve">СОТР-096</x:t>
        </x:is>
      </x:c>
      <x:c r="N59" s="31" t="n">
        <x:v>99.8</x:v>
      </x:c>
      <x:c r="O59" s="31" t="n">
        <x:v>75</x:v>
      </x:c>
      <x:c r="P59" s="31" t="n">
        <x:v>3</x:v>
      </x:c>
      <x:c r="Q59" s="31" t="n">
        <x:v>100</x:v>
      </x:c>
      <x:c r="R59" s="31" t="inlineStr">
        <x:is>
          <x:t xml:space="preserve">Нет</x:t>
        </x:is>
      </x:c>
      <x:c r="S59" s="31" t="inlineStr">
        <x:is>
          <x:t xml:space="preserve">Нет</x:t>
        </x:is>
      </x:c>
      <x:c r="T59" s="31" t="inlineStr">
        <x:is>
          <x:t xml:space="preserve">Создано из строки заказа ПОЗ-0036-1</x:t>
        </x:is>
      </x:c>
    </x:row>
    <x:row r="60" ht="18" customHeight="1">
      <x:c r="A60" s="31" t="inlineStr">
        <x:is>
          <x:t xml:space="preserve">ПЗ-00059</x:t>
        </x:is>
      </x:c>
      <x:c r="B60" s="31" t="inlineStr">
        <x:is>
          <x:t xml:space="preserve">ЗК-1036</x:t>
        </x:is>
      </x:c>
      <x:c r="C60" s="31" t="inlineStr">
        <x:is>
          <x:t xml:space="preserve">ПОЗ-0036-2</x:t>
        </x:is>
      </x:c>
      <x:c r="D60" s="31" t="inlineStr">
        <x:is>
          <x:t xml:space="preserve">ИЗД-003</x:t>
        </x:is>
      </x:c>
      <x:c r="E60" s="31" t="n">
        <x:v>1</x:v>
      </x:c>
      <x:c r="F60" s="31" t="inlineStr">
        <x:is>
          <x:t xml:space="preserve">ОТК</x:t>
        </x:is>
      </x:c>
      <x:c r="G60" s="31" t="inlineStr">
        <x:is>
          <x:t xml:space="preserve">ОБ-028</x:t>
        </x:is>
      </x:c>
      <x:c r="H60" s="31" t="n">
        <x:v>46136</x:v>
      </x:c>
      <x:c r="I60" s="31" t="n">
        <x:v>46191</x:v>
      </x:c>
      <x:c r="J60" s="31" t="n">
        <x:v>46136</x:v>
      </x:c>
      <x:c r="K60" s="31" t="n">
        <x:v>46191</x:v>
      </x:c>
      <x:c r="L60" s="31" t="inlineStr">
        <x:is>
          <x:t xml:space="preserve">Завершено</x:t>
        </x:is>
      </x:c>
      <x:c r="M60" s="31" t="inlineStr">
        <x:is>
          <x:t xml:space="preserve">СОТР-097</x:t>
        </x:is>
      </x:c>
      <x:c r="N60" s="31" t="n">
        <x:v>45</x:v>
      </x:c>
      <x:c r="O60" s="31" t="n">
        <x:v>43.4</x:v>
      </x:c>
      <x:c r="P60" s="31" t="n">
        <x:v>0</x:v>
      </x:c>
      <x:c r="Q60" s="31" t="n">
        <x:v>100</x:v>
      </x:c>
      <x:c r="R60" s="31" t="inlineStr">
        <x:is>
          <x:t xml:space="preserve">Нет</x:t>
        </x:is>
      </x:c>
      <x:c r="S60" s="31" t="inlineStr">
        <x:is>
          <x:t xml:space="preserve">Оборудование</x:t>
        </x:is>
      </x:c>
      <x:c r="T60" s="31" t="inlineStr">
        <x:is>
          <x:t xml:space="preserve">Создано из строки заказа ПОЗ-0036-2</x:t>
        </x:is>
      </x:c>
    </x:row>
    <x:row r="61" ht="18" customHeight="1">
      <x:c r="A61" s="31" t="inlineStr">
        <x:is>
          <x:t xml:space="preserve">ПЗ-00060</x:t>
        </x:is>
      </x:c>
      <x:c r="B61" s="31" t="inlineStr">
        <x:is>
          <x:t xml:space="preserve">ЗК-1036</x:t>
        </x:is>
      </x:c>
      <x:c r="C61" s="31" t="inlineStr">
        <x:is>
          <x:t xml:space="preserve">ПОЗ-0036-3</x:t>
        </x:is>
      </x:c>
      <x:c r="D61" s="31" t="inlineStr">
        <x:is>
          <x:t xml:space="preserve">ИЗД-002</x:t>
        </x:is>
      </x:c>
      <x:c r="E61" s="31" t="n">
        <x:v>1</x:v>
      </x:c>
      <x:c r="F61" s="31" t="inlineStr">
        <x:is>
          <x:t xml:space="preserve">ОТК</x:t>
        </x:is>
      </x:c>
      <x:c r="G61" s="31" t="inlineStr">
        <x:is>
          <x:t xml:space="preserve">ОБ-015</x:t>
        </x:is>
      </x:c>
      <x:c r="H61" s="31" t="n">
        <x:v>46142</x:v>
      </x:c>
      <x:c r="I61" s="31" t="n">
        <x:v>46191</x:v>
      </x:c>
      <x:c r="J61" s="31" t="n">
        <x:v>46142</x:v>
      </x:c>
      <x:c r="K61" s="31" t="n">
        <x:v>46191</x:v>
      </x:c>
      <x:c r="L61" s="31" t="inlineStr">
        <x:is>
          <x:t xml:space="preserve">Завершено</x:t>
        </x:is>
      </x:c>
      <x:c r="M61" s="31" t="inlineStr">
        <x:is>
          <x:t xml:space="preserve">СОТР-097</x:t>
        </x:is>
      </x:c>
      <x:c r="N61" s="31" t="n">
        <x:v>44.3</x:v>
      </x:c>
      <x:c r="O61" s="31" t="n">
        <x:v>51.5</x:v>
      </x:c>
      <x:c r="P61" s="31" t="n">
        <x:v>2</x:v>
      </x:c>
      <x:c r="Q61" s="31" t="n">
        <x:v>100</x:v>
      </x:c>
      <x:c r="R61" s="31" t="inlineStr">
        <x:is>
          <x:t xml:space="preserve">Нет</x:t>
        </x:is>
      </x:c>
      <x:c r="S61" s="31" t="inlineStr">
        <x:is>
          <x:t xml:space="preserve">Материал</x:t>
        </x:is>
      </x:c>
      <x:c r="T61" s="31" t="inlineStr">
        <x:is>
          <x:t xml:space="preserve">Создано из строки заказа ПОЗ-0036-3</x:t>
        </x:is>
      </x:c>
    </x:row>
    <x:row r="62" ht="18" customHeight="1">
      <x:c r="A62" s="31" t="inlineStr">
        <x:is>
          <x:t xml:space="preserve">ПЗ-00061</x:t>
        </x:is>
      </x:c>
      <x:c r="B62" s="31" t="inlineStr">
        <x:is>
          <x:t xml:space="preserve">ЗК-1036</x:t>
        </x:is>
      </x:c>
      <x:c r="C62" s="31" t="inlineStr">
        <x:is>
          <x:t xml:space="preserve">ПОЗ-0036-4</x:t>
        </x:is>
      </x:c>
      <x:c r="D62" s="31" t="inlineStr">
        <x:is>
          <x:t xml:space="preserve">ИЗД-011</x:t>
        </x:is>
      </x:c>
      <x:c r="E62" s="31" t="n">
        <x:v>3</x:v>
      </x:c>
      <x:c r="F62" s="31" t="inlineStr">
        <x:is>
          <x:t xml:space="preserve">ОТК</x:t>
        </x:is>
      </x:c>
      <x:c r="G62" s="31" t="inlineStr">
        <x:is>
          <x:t xml:space="preserve">ОБ-028</x:t>
        </x:is>
      </x:c>
      <x:c r="H62" s="31" t="n">
        <x:v>46151</x:v>
      </x:c>
      <x:c r="I62" s="31" t="n">
        <x:v>46196</x:v>
      </x:c>
      <x:c r="J62" s="31" t="n">
        <x:v>46151</x:v>
      </x:c>
      <x:c r="K62" s="31" t="n">
        <x:v>46196</x:v>
      </x:c>
      <x:c r="L62" s="31" t="inlineStr">
        <x:is>
          <x:t xml:space="preserve">Завершено</x:t>
        </x:is>
      </x:c>
      <x:c r="M62" s="31" t="inlineStr">
        <x:is>
          <x:t xml:space="preserve">СОТР-093</x:t>
        </x:is>
      </x:c>
      <x:c r="N62" s="31" t="n">
        <x:v>160.5</x:v>
      </x:c>
      <x:c r="O62" s="31" t="n">
        <x:v>198.6</x:v>
      </x:c>
      <x:c r="P62" s="31" t="n">
        <x:v>0</x:v>
      </x:c>
      <x:c r="Q62" s="31" t="n">
        <x:v>100</x:v>
      </x:c>
      <x:c r="R62" s="31" t="inlineStr">
        <x:is>
          <x:t xml:space="preserve">Нет</x:t>
        </x:is>
      </x:c>
      <x:c r="S62" s="31" t="inlineStr">
        <x:is>
          <x:t xml:space="preserve">Нет</x:t>
        </x:is>
      </x:c>
      <x:c r="T62" s="31" t="inlineStr">
        <x:is>
          <x:t xml:space="preserve">Создано из строки заказа ПОЗ-0036-4</x:t>
        </x:is>
      </x:c>
    </x:row>
    <x:row r="63" ht="18" customHeight="1">
      <x:c r="A63" s="31" t="inlineStr">
        <x:is>
          <x:t xml:space="preserve">ПЗ-00062</x:t>
        </x:is>
      </x:c>
      <x:c r="B63" s="31" t="inlineStr">
        <x:is>
          <x:t xml:space="preserve">ЗК-1037</x:t>
        </x:is>
      </x:c>
      <x:c r="C63" s="31" t="inlineStr">
        <x:is>
          <x:t xml:space="preserve">ПОЗ-0037-1</x:t>
        </x:is>
      </x:c>
      <x:c r="D63" s="31" t="inlineStr">
        <x:is>
          <x:t xml:space="preserve">ИЗД-027</x:t>
        </x:is>
      </x:c>
      <x:c r="E63" s="31" t="n">
        <x:v>1</x:v>
      </x:c>
      <x:c r="F63" s="31" t="inlineStr">
        <x:is>
          <x:t xml:space="preserve">ОТК</x:t>
        </x:is>
      </x:c>
      <x:c r="G63" s="31" t="inlineStr">
        <x:is>
          <x:t xml:space="preserve">ОБ-022</x:t>
        </x:is>
      </x:c>
      <x:c r="H63" s="31" t="n">
        <x:v>46152</x:v>
      </x:c>
      <x:c r="I63" s="31" t="n">
        <x:v>46179</x:v>
      </x:c>
      <x:c r="J63" s="31" t="n"/>
      <x:c r="K63" s="31" t="n"/>
      <x:c r="L63" s="31" t="inlineStr">
        <x:is>
          <x:t xml:space="preserve">Запланировано</x:t>
        </x:is>
      </x:c>
      <x:c r="M63" s="31" t="inlineStr">
        <x:is>
          <x:t xml:space="preserve">СОТР-093</x:t>
        </x:is>
      </x:c>
      <x:c r="N63" s="31" t="n">
        <x:v>112.6</x:v>
      </x:c>
      <x:c r="O63" s="31" t="n"/>
      <x:c r="P63" s="31" t="n">
        <x:v>0</x:v>
      </x:c>
      <x:c r="Q63" s="31" t="n">
        <x:v>10</x:v>
      </x:c>
      <x:c r="R63" s="31" t="inlineStr">
        <x:is>
          <x:t xml:space="preserve">Нет</x:t>
        </x:is>
      </x:c>
      <x:c r="S63" s="31" t="inlineStr">
        <x:is>
          <x:t xml:space="preserve">Нет</x:t>
        </x:is>
      </x:c>
      <x:c r="T63" s="31" t="inlineStr">
        <x:is>
          <x:t xml:space="preserve">Создано из строки заказа ПОЗ-0037-1</x:t>
        </x:is>
      </x:c>
    </x:row>
    <x:row r="64" ht="18" customHeight="1">
      <x:c r="A64" s="31" t="inlineStr">
        <x:is>
          <x:t xml:space="preserve">ПЗ-00063</x:t>
        </x:is>
      </x:c>
      <x:c r="B64" s="31" t="inlineStr">
        <x:is>
          <x:t xml:space="preserve">ЗК-1037</x:t>
        </x:is>
      </x:c>
      <x:c r="C64" s="31" t="inlineStr">
        <x:is>
          <x:t xml:space="preserve">ПОЗ-0037-2</x:t>
        </x:is>
      </x:c>
      <x:c r="D64" s="31" t="inlineStr">
        <x:is>
          <x:t xml:space="preserve">ИЗД-037</x:t>
        </x:is>
      </x:c>
      <x:c r="E64" s="31" t="n">
        <x:v>5</x:v>
      </x:c>
      <x:c r="F64" s="31" t="inlineStr">
        <x:is>
          <x:t xml:space="preserve">ОТК</x:t>
        </x:is>
      </x:c>
      <x:c r="G64" s="31" t="inlineStr">
        <x:is>
          <x:t xml:space="preserve">ОБ-015</x:t>
        </x:is>
      </x:c>
      <x:c r="H64" s="31" t="n">
        <x:v>46162</x:v>
      </x:c>
      <x:c r="I64" s="31" t="n">
        <x:v>46177</x:v>
      </x:c>
      <x:c r="J64" s="31" t="n">
        <x:v>46162</x:v>
      </x:c>
      <x:c r="K64" s="31" t="n"/>
      <x:c r="L64" s="31" t="inlineStr">
        <x:is>
          <x:t xml:space="preserve">Пауза</x:t>
        </x:is>
      </x:c>
      <x:c r="M64" s="31" t="inlineStr">
        <x:is>
          <x:t xml:space="preserve">СОТР-098</x:t>
        </x:is>
      </x:c>
      <x:c r="N64" s="31" t="n">
        <x:v>419</x:v>
      </x:c>
      <x:c r="O64" s="31" t="n">
        <x:v>481.9</x:v>
      </x:c>
      <x:c r="P64" s="31" t="n">
        <x:v>0</x:v>
      </x:c>
      <x:c r="Q64" s="31" t="n">
        <x:v>40</x:v>
      </x:c>
      <x:c r="R64" s="31" t="inlineStr">
        <x:is>
          <x:t xml:space="preserve">Нет</x:t>
        </x:is>
      </x:c>
      <x:c r="S64" s="31" t="inlineStr">
        <x:is>
          <x:t xml:space="preserve">Нет</x:t>
        </x:is>
      </x:c>
      <x:c r="T64" s="31" t="inlineStr">
        <x:is>
          <x:t xml:space="preserve">Создано из строки заказа ПОЗ-0037-2</x:t>
        </x:is>
      </x:c>
    </x:row>
    <x:row r="65" ht="18" customHeight="1">
      <x:c r="A65" s="31" t="inlineStr">
        <x:is>
          <x:t xml:space="preserve">ПЗ-00064</x:t>
        </x:is>
      </x:c>
      <x:c r="B65" s="31" t="inlineStr">
        <x:is>
          <x:t xml:space="preserve">ЗК-1037</x:t>
        </x:is>
      </x:c>
      <x:c r="C65" s="31" t="inlineStr">
        <x:is>
          <x:t xml:space="preserve">ПОЗ-0037-3</x:t>
        </x:is>
      </x:c>
      <x:c r="D65" s="31" t="inlineStr">
        <x:is>
          <x:t xml:space="preserve">ИЗД-035</x:t>
        </x:is>
      </x:c>
      <x:c r="E65" s="31" t="n">
        <x:v>4</x:v>
      </x:c>
      <x:c r="F65" s="31" t="inlineStr">
        <x:is>
          <x:t xml:space="preserve">ОТК</x:t>
        </x:is>
      </x:c>
      <x:c r="G65" s="31" t="inlineStr">
        <x:is>
          <x:t xml:space="preserve">ОБ-022</x:t>
        </x:is>
      </x:c>
      <x:c r="H65" s="31" t="n">
        <x:v>46160</x:v>
      </x:c>
      <x:c r="I65" s="31" t="n">
        <x:v>46174</x:v>
      </x:c>
      <x:c r="J65" s="31" t="n"/>
      <x:c r="K65" s="31" t="n"/>
      <x:c r="L65" s="31" t="inlineStr">
        <x:is>
          <x:t xml:space="preserve">Запланировано</x:t>
        </x:is>
      </x:c>
      <x:c r="M65" s="31" t="inlineStr">
        <x:is>
          <x:t xml:space="preserve">СОТР-093</x:t>
        </x:is>
      </x:c>
      <x:c r="N65" s="31" t="n">
        <x:v>258</x:v>
      </x:c>
      <x:c r="O65" s="31" t="n"/>
      <x:c r="P65" s="31" t="n">
        <x:v>0</x:v>
      </x:c>
      <x:c r="Q65" s="31" t="n">
        <x:v>10</x:v>
      </x:c>
      <x:c r="R65" s="31" t="inlineStr">
        <x:is>
          <x:t xml:space="preserve">Нет</x:t>
        </x:is>
      </x:c>
      <x:c r="S65" s="31" t="inlineStr">
        <x:is>
          <x:t xml:space="preserve">Нет</x:t>
        </x:is>
      </x:c>
      <x:c r="T65" s="31" t="inlineStr">
        <x:is>
          <x:t xml:space="preserve">Создано из строки заказа ПОЗ-0037-3</x:t>
        </x:is>
      </x:c>
    </x:row>
    <x:row r="66" ht="18" customHeight="1">
      <x:c r="A66" s="31" t="inlineStr">
        <x:is>
          <x:t xml:space="preserve">ПЗ-00065</x:t>
        </x:is>
      </x:c>
      <x:c r="B66" s="31" t="inlineStr">
        <x:is>
          <x:t xml:space="preserve">ЗК-1038</x:t>
        </x:is>
      </x:c>
      <x:c r="C66" s="31" t="inlineStr">
        <x:is>
          <x:t xml:space="preserve">ПОЗ-0038-1</x:t>
        </x:is>
      </x:c>
      <x:c r="D66" s="31" t="inlineStr">
        <x:is>
          <x:t xml:space="preserve">ИЗД-040</x:t>
        </x:is>
      </x:c>
      <x:c r="E66" s="31" t="n">
        <x:v>1</x:v>
      </x:c>
      <x:c r="F66" s="31" t="inlineStr">
        <x:is>
          <x:t xml:space="preserve">ОТК</x:t>
        </x:is>
      </x:c>
      <x:c r="G66" s="31" t="inlineStr">
        <x:is>
          <x:t xml:space="preserve">ОБ-001</x:t>
        </x:is>
      </x:c>
      <x:c r="H66" s="31" t="n">
        <x:v>46101</x:v>
      </x:c>
      <x:c r="I66" s="31" t="n">
        <x:v>46128</x:v>
      </x:c>
      <x:c r="J66" s="31" t="n">
        <x:v>46101</x:v>
      </x:c>
      <x:c r="K66" s="31" t="n"/>
      <x:c r="L66" s="31" t="inlineStr">
        <x:is>
          <x:t xml:space="preserve">ОТК</x:t>
        </x:is>
      </x:c>
      <x:c r="M66" s="31" t="inlineStr">
        <x:is>
          <x:t xml:space="preserve">СОТР-096</x:t>
        </x:is>
      </x:c>
      <x:c r="N66" s="31" t="n">
        <x:v>44.4</x:v>
      </x:c>
      <x:c r="O66" s="31" t="n">
        <x:v>34</x:v>
      </x:c>
      <x:c r="P66" s="31" t="n">
        <x:v>3</x:v>
      </x:c>
      <x:c r="Q66" s="31" t="n">
        <x:v>90</x:v>
      </x:c>
      <x:c r="R66" s="31" t="inlineStr">
        <x:is>
          <x:t xml:space="preserve">Да</x:t>
        </x:is>
      </x:c>
      <x:c r="S66" s="31" t="inlineStr">
        <x:is>
          <x:t xml:space="preserve">Нет</x:t>
        </x:is>
      </x:c>
      <x:c r="T66" s="31" t="inlineStr">
        <x:is>
          <x:t xml:space="preserve">Создано из строки заказа ПОЗ-0038-1</x:t>
        </x:is>
      </x:c>
    </x:row>
    <x:row r="67" ht="18" customHeight="1">
      <x:c r="A67" s="31" t="inlineStr">
        <x:is>
          <x:t xml:space="preserve">ПЗ-00066</x:t>
        </x:is>
      </x:c>
      <x:c r="B67" s="31" t="inlineStr">
        <x:is>
          <x:t xml:space="preserve">ЗК-1038</x:t>
        </x:is>
      </x:c>
      <x:c r="C67" s="31" t="inlineStr">
        <x:is>
          <x:t xml:space="preserve">ПОЗ-0038-2</x:t>
        </x:is>
      </x:c>
      <x:c r="D67" s="31" t="inlineStr">
        <x:is>
          <x:t xml:space="preserve">ИЗД-004</x:t>
        </x:is>
      </x:c>
      <x:c r="E67" s="31" t="n">
        <x:v>3</x:v>
      </x:c>
      <x:c r="F67" s="31" t="inlineStr">
        <x:is>
          <x:t xml:space="preserve">ОТК</x:t>
        </x:is>
      </x:c>
      <x:c r="G67" s="31" t="inlineStr">
        <x:is>
          <x:t xml:space="preserve">ОБ-001</x:t>
        </x:is>
      </x:c>
      <x:c r="H67" s="31" t="n">
        <x:v>46104</x:v>
      </x:c>
      <x:c r="I67" s="31" t="n">
        <x:v>46130</x:v>
      </x:c>
      <x:c r="J67" s="31" t="n">
        <x:v>46104</x:v>
      </x:c>
      <x:c r="K67" s="31" t="n"/>
      <x:c r="L67" s="31" t="inlineStr">
        <x:is>
          <x:t xml:space="preserve">Ожидает материалов</x:t>
        </x:is>
      </x:c>
      <x:c r="M67" s="31" t="inlineStr">
        <x:is>
          <x:t xml:space="preserve">СОТР-092</x:t>
        </x:is>
      </x:c>
      <x:c r="N67" s="31" t="n">
        <x:v>309.9</x:v>
      </x:c>
      <x:c r="O67" s="31" t="n"/>
      <x:c r="P67" s="31" t="n">
        <x:v>0</x:v>
      </x:c>
      <x:c r="Q67" s="31" t="n">
        <x:v>15</x:v>
      </x:c>
      <x:c r="R67" s="31" t="inlineStr">
        <x:is>
          <x:t xml:space="preserve">Да</x:t>
        </x:is>
      </x:c>
      <x:c r="S67" s="31" t="inlineStr">
        <x:is>
          <x:t xml:space="preserve">КД</x:t>
        </x:is>
      </x:c>
      <x:c r="T67" s="31" t="inlineStr">
        <x:is>
          <x:t xml:space="preserve">Создано из строки заказа ПОЗ-0038-2</x:t>
        </x:is>
      </x:c>
    </x:row>
    <x:row r="68" ht="18" customHeight="1">
      <x:c r="A68" s="31" t="inlineStr">
        <x:is>
          <x:t xml:space="preserve">ПЗ-00067</x:t>
        </x:is>
      </x:c>
      <x:c r="B68" s="31" t="inlineStr">
        <x:is>
          <x:t xml:space="preserve">ЗК-1038</x:t>
        </x:is>
      </x:c>
      <x:c r="C68" s="31" t="inlineStr">
        <x:is>
          <x:t xml:space="preserve">ПОЗ-0038-3</x:t>
        </x:is>
      </x:c>
      <x:c r="D68" s="31" t="inlineStr">
        <x:is>
          <x:t xml:space="preserve">ИЗД-035</x:t>
        </x:is>
      </x:c>
      <x:c r="E68" s="31" t="n">
        <x:v>2</x:v>
      </x:c>
      <x:c r="F68" s="31" t="inlineStr">
        <x:is>
          <x:t xml:space="preserve">ОТК</x:t>
        </x:is>
      </x:c>
      <x:c r="G68" s="31" t="inlineStr">
        <x:is>
          <x:t xml:space="preserve">ОБ-006</x:t>
        </x:is>
      </x:c>
      <x:c r="H68" s="31" t="n">
        <x:v>46098</x:v>
      </x:c>
      <x:c r="I68" s="31" t="n">
        <x:v>46130</x:v>
      </x:c>
      <x:c r="J68" s="31" t="n">
        <x:v>46098</x:v>
      </x:c>
      <x:c r="K68" s="31" t="n"/>
      <x:c r="L68" s="31" t="inlineStr">
        <x:is>
          <x:t xml:space="preserve">В работе</x:t>
        </x:is>
      </x:c>
      <x:c r="M68" s="31" t="inlineStr">
        <x:is>
          <x:t xml:space="preserve">СОТР-063</x:t>
        </x:is>
      </x:c>
      <x:c r="N68" s="31" t="n">
        <x:v>129</x:v>
      </x:c>
      <x:c r="O68" s="31" t="n">
        <x:v>137.6</x:v>
      </x:c>
      <x:c r="P68" s="31" t="n">
        <x:v>0</x:v>
      </x:c>
      <x:c r="Q68" s="31" t="n">
        <x:v>38</x:v>
      </x:c>
      <x:c r="R68" s="31" t="inlineStr">
        <x:is>
          <x:t xml:space="preserve">Нет</x:t>
        </x:is>
      </x:c>
      <x:c r="S68" s="31" t="inlineStr">
        <x:is>
          <x:t xml:space="preserve">ОТК</x:t>
        </x:is>
      </x:c>
      <x:c r="T68" s="31" t="inlineStr">
        <x:is>
          <x:t xml:space="preserve">Создано из строки заказа ПОЗ-0038-3</x:t>
        </x:is>
      </x:c>
    </x:row>
    <x:row r="69" ht="18" customHeight="1">
      <x:c r="A69" s="31" t="inlineStr">
        <x:is>
          <x:t xml:space="preserve">ПЗ-00068</x:t>
        </x:is>
      </x:c>
      <x:c r="B69" s="31" t="inlineStr">
        <x:is>
          <x:t xml:space="preserve">ЗК-1038</x:t>
        </x:is>
      </x:c>
      <x:c r="C69" s="31" t="inlineStr">
        <x:is>
          <x:t xml:space="preserve">ПОЗ-0038-4</x:t>
        </x:is>
      </x:c>
      <x:c r="D69" s="31" t="inlineStr">
        <x:is>
          <x:t xml:space="preserve">ИЗД-045</x:t>
        </x:is>
      </x:c>
      <x:c r="E69" s="31" t="n">
        <x:v>1</x:v>
      </x:c>
      <x:c r="F69" s="31" t="inlineStr">
        <x:is>
          <x:t xml:space="preserve">ОТК</x:t>
        </x:is>
      </x:c>
      <x:c r="G69" s="31" t="inlineStr">
        <x:is>
          <x:t xml:space="preserve">ОБ-024</x:t>
        </x:is>
      </x:c>
      <x:c r="H69" s="31" t="n">
        <x:v>46106</x:v>
      </x:c>
      <x:c r="I69" s="31" t="n">
        <x:v>46131</x:v>
      </x:c>
      <x:c r="J69" s="31" t="n">
        <x:v>46106</x:v>
      </x:c>
      <x:c r="K69" s="31" t="n"/>
      <x:c r="L69" s="31" t="inlineStr">
        <x:is>
          <x:t xml:space="preserve">Ожидает материалов</x:t>
        </x:is>
      </x:c>
      <x:c r="M69" s="31" t="inlineStr">
        <x:is>
          <x:t xml:space="preserve">СОТР-095</x:t>
        </x:is>
      </x:c>
      <x:c r="N69" s="31" t="n">
        <x:v>50.8</x:v>
      </x:c>
      <x:c r="O69" s="31" t="n"/>
      <x:c r="P69" s="31" t="n">
        <x:v>0</x:v>
      </x:c>
      <x:c r="Q69" s="31" t="n">
        <x:v>15</x:v>
      </x:c>
      <x:c r="R69" s="31" t="inlineStr">
        <x:is>
          <x:t xml:space="preserve">Нет</x:t>
        </x:is>
      </x:c>
      <x:c r="S69" s="31" t="inlineStr">
        <x:is>
          <x:t xml:space="preserve">Оборудование</x:t>
        </x:is>
      </x:c>
      <x:c r="T69" s="31" t="inlineStr">
        <x:is>
          <x:t xml:space="preserve">Создано из строки заказа ПОЗ-0038-4</x:t>
        </x:is>
      </x:c>
    </x:row>
    <x:row r="70" ht="18" customHeight="1">
      <x:c r="A70" s="31" t="inlineStr">
        <x:is>
          <x:t xml:space="preserve">ПЗ-00069</x:t>
        </x:is>
      </x:c>
      <x:c r="B70" s="31" t="inlineStr">
        <x:is>
          <x:t xml:space="preserve">ЗК-1040</x:t>
        </x:is>
      </x:c>
      <x:c r="C70" s="31" t="inlineStr">
        <x:is>
          <x:t xml:space="preserve">ПОЗ-0040-1</x:t>
        </x:is>
      </x:c>
      <x:c r="D70" s="31" t="inlineStr">
        <x:is>
          <x:t xml:space="preserve">ИЗД-024</x:t>
        </x:is>
      </x:c>
      <x:c r="E70" s="31" t="n">
        <x:v>2</x:v>
      </x:c>
      <x:c r="F70" s="31" t="inlineStr">
        <x:is>
          <x:t xml:space="preserve">ОТК</x:t>
        </x:is>
      </x:c>
      <x:c r="G70" s="31" t="inlineStr">
        <x:is>
          <x:t xml:space="preserve">ОБ-024</x:t>
        </x:is>
      </x:c>
      <x:c r="H70" s="31" t="n">
        <x:v>46108</x:v>
      </x:c>
      <x:c r="I70" s="31" t="n">
        <x:v>46132</x:v>
      </x:c>
      <x:c r="J70" s="31" t="n">
        <x:v>46108</x:v>
      </x:c>
      <x:c r="K70" s="31" t="n"/>
      <x:c r="L70" s="31" t="inlineStr">
        <x:is>
          <x:t xml:space="preserve">Пауза</x:t>
        </x:is>
      </x:c>
      <x:c r="M70" s="31" t="inlineStr">
        <x:is>
          <x:t xml:space="preserve">СОТР-100</x:t>
        </x:is>
      </x:c>
      <x:c r="N70" s="31" t="n">
        <x:v>100</x:v>
      </x:c>
      <x:c r="O70" s="31" t="n">
        <x:v>113.6</x:v>
      </x:c>
      <x:c r="P70" s="31" t="n">
        <x:v>0</x:v>
      </x:c>
      <x:c r="Q70" s="31" t="n">
        <x:v>26</x:v>
      </x:c>
      <x:c r="R70" s="31" t="inlineStr">
        <x:is>
          <x:t xml:space="preserve">Нет</x:t>
        </x:is>
      </x:c>
      <x:c r="S70" s="31" t="inlineStr">
        <x:is>
          <x:t xml:space="preserve">Нет</x:t>
        </x:is>
      </x:c>
      <x:c r="T70" s="31" t="inlineStr">
        <x:is>
          <x:t xml:space="preserve">Создано из строки заказа ПОЗ-0040-1</x:t>
        </x:is>
      </x:c>
    </x:row>
    <x:row r="71" ht="18" customHeight="1">
      <x:c r="A71" s="31" t="inlineStr">
        <x:is>
          <x:t xml:space="preserve">ПЗ-00070</x:t>
        </x:is>
      </x:c>
      <x:c r="B71" s="31" t="inlineStr">
        <x:is>
          <x:t xml:space="preserve">ЗК-1040</x:t>
        </x:is>
      </x:c>
      <x:c r="C71" s="31" t="inlineStr">
        <x:is>
          <x:t xml:space="preserve">ПОЗ-0040-2</x:t>
        </x:is>
      </x:c>
      <x:c r="D71" s="31" t="inlineStr">
        <x:is>
          <x:t xml:space="preserve">ИЗД-036</x:t>
        </x:is>
      </x:c>
      <x:c r="E71" s="31" t="n">
        <x:v>3</x:v>
      </x:c>
      <x:c r="F71" s="31" t="inlineStr">
        <x:is>
          <x:t xml:space="preserve">ОТК</x:t>
        </x:is>
      </x:c>
      <x:c r="G71" s="31" t="inlineStr">
        <x:is>
          <x:t xml:space="preserve">ОБ-001</x:t>
        </x:is>
      </x:c>
      <x:c r="H71" s="31" t="n">
        <x:v>46125</x:v>
      </x:c>
      <x:c r="I71" s="31" t="n">
        <x:v>46135</x:v>
      </x:c>
      <x:c r="J71" s="31" t="n">
        <x:v>46125</x:v>
      </x:c>
      <x:c r="K71" s="31" t="n"/>
      <x:c r="L71" s="31" t="inlineStr">
        <x:is>
          <x:t xml:space="preserve">ОТК</x:t>
        </x:is>
      </x:c>
      <x:c r="M71" s="31" t="inlineStr">
        <x:is>
          <x:t xml:space="preserve">СОТР-093</x:t>
        </x:is>
      </x:c>
      <x:c r="N71" s="31" t="n">
        <x:v>261</x:v>
      </x:c>
      <x:c r="O71" s="31" t="n">
        <x:v>213.4</x:v>
      </x:c>
      <x:c r="P71" s="31" t="n">
        <x:v>2</x:v>
      </x:c>
      <x:c r="Q71" s="31" t="n">
        <x:v>90</x:v>
      </x:c>
      <x:c r="R71" s="31" t="inlineStr">
        <x:is>
          <x:t xml:space="preserve">Да</x:t>
        </x:is>
      </x:c>
      <x:c r="S71" s="31" t="inlineStr">
        <x:is>
          <x:t xml:space="preserve">Нет</x:t>
        </x:is>
      </x:c>
      <x:c r="T71" s="31" t="inlineStr">
        <x:is>
          <x:t xml:space="preserve">Создано из строки заказа ПОЗ-0040-2</x:t>
        </x:is>
      </x:c>
    </x:row>
    <x:row r="72" ht="18" customHeight="1">
      <x:c r="A72" s="31" t="inlineStr">
        <x:is>
          <x:t xml:space="preserve">ПЗ-00071</x:t>
        </x:is>
      </x:c>
      <x:c r="B72" s="31" t="inlineStr">
        <x:is>
          <x:t xml:space="preserve">ЗК-1040</x:t>
        </x:is>
      </x:c>
      <x:c r="C72" s="31" t="inlineStr">
        <x:is>
          <x:t xml:space="preserve">ПОЗ-0040-3</x:t>
        </x:is>
      </x:c>
      <x:c r="D72" s="31" t="inlineStr">
        <x:is>
          <x:t xml:space="preserve">ИЗД-019</x:t>
        </x:is>
      </x:c>
      <x:c r="E72" s="31" t="n">
        <x:v>3</x:v>
      </x:c>
      <x:c r="F72" s="31" t="inlineStr">
        <x:is>
          <x:t xml:space="preserve">ОТК</x:t>
        </x:is>
      </x:c>
      <x:c r="G72" s="31" t="inlineStr">
        <x:is>
          <x:t xml:space="preserve">ОБ-007</x:t>
        </x:is>
      </x:c>
      <x:c r="H72" s="31" t="n">
        <x:v>46122</x:v>
      </x:c>
      <x:c r="I72" s="31" t="n">
        <x:v>46132</x:v>
      </x:c>
      <x:c r="J72" s="31" t="n">
        <x:v>46122</x:v>
      </x:c>
      <x:c r="K72" s="31" t="n"/>
      <x:c r="L72" s="31" t="inlineStr">
        <x:is>
          <x:t xml:space="preserve">В работе</x:t>
        </x:is>
      </x:c>
      <x:c r="M72" s="31" t="inlineStr">
        <x:is>
          <x:t xml:space="preserve">СОТР-095</x:t>
        </x:is>
      </x:c>
      <x:c r="N72" s="31" t="n">
        <x:v>126.3</x:v>
      </x:c>
      <x:c r="O72" s="31" t="n">
        <x:v>133.3</x:v>
      </x:c>
      <x:c r="P72" s="31" t="n">
        <x:v>0</x:v>
      </x:c>
      <x:c r="Q72" s="31" t="n">
        <x:v>62</x:v>
      </x:c>
      <x:c r="R72" s="31" t="inlineStr">
        <x:is>
          <x:t xml:space="preserve">Нет</x:t>
        </x:is>
      </x:c>
      <x:c r="S72" s="31" t="inlineStr">
        <x:is>
          <x:t xml:space="preserve">Нет</x:t>
        </x:is>
      </x:c>
      <x:c r="T72" s="31" t="inlineStr">
        <x:is>
          <x:t xml:space="preserve">Создано из строки заказа ПОЗ-0040-3</x:t>
        </x:is>
      </x:c>
    </x:row>
    <x:row r="73" ht="18" customHeight="1">
      <x:c r="A73" s="31" t="inlineStr">
        <x:is>
          <x:t xml:space="preserve">ПЗ-00072</x:t>
        </x:is>
      </x:c>
      <x:c r="B73" s="31" t="inlineStr">
        <x:is>
          <x:t xml:space="preserve">ЗК-1041</x:t>
        </x:is>
      </x:c>
      <x:c r="C73" s="31" t="inlineStr">
        <x:is>
          <x:t xml:space="preserve">ПОЗ-0041-1</x:t>
        </x:is>
      </x:c>
      <x:c r="D73" s="31" t="inlineStr">
        <x:is>
          <x:t xml:space="preserve">ИЗД-014</x:t>
        </x:is>
      </x:c>
      <x:c r="E73" s="31" t="n">
        <x:v>2</x:v>
      </x:c>
      <x:c r="F73" s="31" t="inlineStr">
        <x:is>
          <x:t xml:space="preserve">Сварка</x:t>
        </x:is>
      </x:c>
      <x:c r="G73" s="31" t="inlineStr">
        <x:is>
          <x:t xml:space="preserve">ОБ-026</x:t>
        </x:is>
      </x:c>
      <x:c r="H73" s="31" t="n">
        <x:v>46045</x:v>
      </x:c>
      <x:c r="I73" s="31" t="n">
        <x:v>46099</x:v>
      </x:c>
      <x:c r="J73" s="31" t="n">
        <x:v>46045</x:v>
      </x:c>
      <x:c r="K73" s="31" t="n">
        <x:v>46099</x:v>
      </x:c>
      <x:c r="L73" s="31" t="inlineStr">
        <x:is>
          <x:t xml:space="preserve">Завершено</x:t>
        </x:is>
      </x:c>
      <x:c r="M73" s="31" t="inlineStr">
        <x:is>
          <x:t xml:space="preserve">СОТР-066</x:t>
        </x:is>
      </x:c>
      <x:c r="N73" s="31" t="n">
        <x:v>127.4</x:v>
      </x:c>
      <x:c r="O73" s="31" t="n">
        <x:v>114.8</x:v>
      </x:c>
      <x:c r="P73" s="31" t="n">
        <x:v>1</x:v>
      </x:c>
      <x:c r="Q73" s="31" t="n">
        <x:v>100</x:v>
      </x:c>
      <x:c r="R73" s="31" t="inlineStr">
        <x:is>
          <x:t xml:space="preserve">Нет</x:t>
        </x:is>
      </x:c>
      <x:c r="S73" s="31" t="inlineStr">
        <x:is>
          <x:t xml:space="preserve">Нет</x:t>
        </x:is>
      </x:c>
      <x:c r="T73" s="31" t="inlineStr">
        <x:is>
          <x:t xml:space="preserve">Создано из строки заказа ПОЗ-0041-1</x:t>
        </x:is>
      </x:c>
    </x:row>
    <x:row r="74" ht="18" customHeight="1">
      <x:c r="A74" s="31" t="inlineStr">
        <x:is>
          <x:t xml:space="preserve">ПЗ-00073</x:t>
        </x:is>
      </x:c>
      <x:c r="B74" s="31" t="inlineStr">
        <x:is>
          <x:t xml:space="preserve">ЗК-1041</x:t>
        </x:is>
      </x:c>
      <x:c r="C74" s="31" t="inlineStr">
        <x:is>
          <x:t xml:space="preserve">ПОЗ-0041-2</x:t>
        </x:is>
      </x:c>
      <x:c r="D74" s="31" t="inlineStr">
        <x:is>
          <x:t xml:space="preserve">ИЗД-025</x:t>
        </x:is>
      </x:c>
      <x:c r="E74" s="31" t="n">
        <x:v>3</x:v>
      </x:c>
      <x:c r="F74" s="31" t="inlineStr">
        <x:is>
          <x:t xml:space="preserve">ОТК</x:t>
        </x:is>
      </x:c>
      <x:c r="G74" s="31" t="inlineStr">
        <x:is>
          <x:t xml:space="preserve">ОБ-007</x:t>
        </x:is>
      </x:c>
      <x:c r="H74" s="31" t="n">
        <x:v>46041</x:v>
      </x:c>
      <x:c r="I74" s="31" t="n">
        <x:v>46096</x:v>
      </x:c>
      <x:c r="J74" s="31" t="n">
        <x:v>46041</x:v>
      </x:c>
      <x:c r="K74" s="31" t="n">
        <x:v>46096</x:v>
      </x:c>
      <x:c r="L74" s="31" t="inlineStr">
        <x:is>
          <x:t xml:space="preserve">Завершено</x:t>
        </x:is>
      </x:c>
      <x:c r="M74" s="31" t="inlineStr">
        <x:is>
          <x:t xml:space="preserve">СОТР-095</x:t>
        </x:is>
      </x:c>
      <x:c r="N74" s="31" t="n">
        <x:v>177.9</x:v>
      </x:c>
      <x:c r="O74" s="31" t="n">
        <x:v>163.6</x:v>
      </x:c>
      <x:c r="P74" s="31" t="n">
        <x:v>2</x:v>
      </x:c>
      <x:c r="Q74" s="31" t="n">
        <x:v>100</x:v>
      </x:c>
      <x:c r="R74" s="31" t="inlineStr">
        <x:is>
          <x:t xml:space="preserve">Нет</x:t>
        </x:is>
      </x:c>
      <x:c r="S74" s="31" t="inlineStr">
        <x:is>
          <x:t xml:space="preserve">ОТК</x:t>
        </x:is>
      </x:c>
      <x:c r="T74" s="31" t="inlineStr">
        <x:is>
          <x:t xml:space="preserve">Создано из строки заказа ПОЗ-0041-2</x:t>
        </x:is>
      </x:c>
    </x:row>
    <x:row r="75" ht="18" customHeight="1">
      <x:c r="A75" s="31" t="inlineStr">
        <x:is>
          <x:t xml:space="preserve">ПЗ-00074</x:t>
        </x:is>
      </x:c>
      <x:c r="B75" s="31" t="inlineStr">
        <x:is>
          <x:t xml:space="preserve">ЗК-1042</x:t>
        </x:is>
      </x:c>
      <x:c r="C75" s="31" t="inlineStr">
        <x:is>
          <x:t xml:space="preserve">ПОЗ-0042-1</x:t>
        </x:is>
      </x:c>
      <x:c r="D75" s="31" t="inlineStr">
        <x:is>
          <x:t xml:space="preserve">ИЗД-001</x:t>
        </x:is>
      </x:c>
      <x:c r="E75" s="31" t="n">
        <x:v>10</x:v>
      </x:c>
      <x:c r="F75" s="31" t="inlineStr">
        <x:is>
          <x:t xml:space="preserve">ОТК</x:t>
        </x:is>
      </x:c>
      <x:c r="G75" s="31" t="inlineStr">
        <x:is>
          <x:t xml:space="preserve">ОБ-007</x:t>
        </x:is>
      </x:c>
      <x:c r="H75" s="31" t="n">
        <x:v>46048</x:v>
      </x:c>
      <x:c r="I75" s="31" t="n">
        <x:v>46093</x:v>
      </x:c>
      <x:c r="J75" s="31" t="n">
        <x:v>46048</x:v>
      </x:c>
      <x:c r="K75" s="31" t="n">
        <x:v>46093</x:v>
      </x:c>
      <x:c r="L75" s="31" t="inlineStr">
        <x:is>
          <x:t xml:space="preserve">Завершено</x:t>
        </x:is>
      </x:c>
      <x:c r="M75" s="31" t="inlineStr">
        <x:is>
          <x:t xml:space="preserve">СОТР-097</x:t>
        </x:is>
      </x:c>
      <x:c r="N75" s="31" t="n">
        <x:v>142</x:v>
      </x:c>
      <x:c r="O75" s="31" t="n">
        <x:v>142.6</x:v>
      </x:c>
      <x:c r="P75" s="31" t="n">
        <x:v>3</x:v>
      </x:c>
      <x:c r="Q75" s="31" t="n">
        <x:v>100</x:v>
      </x:c>
      <x:c r="R75" s="31" t="inlineStr">
        <x:is>
          <x:t xml:space="preserve">Нет</x:t>
        </x:is>
      </x:c>
      <x:c r="S75" s="31" t="inlineStr">
        <x:is>
          <x:t xml:space="preserve">Нет</x:t>
        </x:is>
      </x:c>
      <x:c r="T75" s="31" t="inlineStr">
        <x:is>
          <x:t xml:space="preserve">Создано из строки заказа ПОЗ-0042-1</x:t>
        </x:is>
      </x:c>
    </x:row>
    <x:row r="76" ht="18" customHeight="1">
      <x:c r="A76" s="31" t="inlineStr">
        <x:is>
          <x:t xml:space="preserve">ПЗ-00075</x:t>
        </x:is>
      </x:c>
      <x:c r="B76" s="31" t="inlineStr">
        <x:is>
          <x:t xml:space="preserve">ЗК-1042</x:t>
        </x:is>
      </x:c>
      <x:c r="C76" s="31" t="inlineStr">
        <x:is>
          <x:t xml:space="preserve">ПОЗ-0042-2</x:t>
        </x:is>
      </x:c>
      <x:c r="D76" s="31" t="inlineStr">
        <x:is>
          <x:t xml:space="preserve">ИЗД-018</x:t>
        </x:is>
      </x:c>
      <x:c r="E76" s="31" t="n">
        <x:v>3</x:v>
      </x:c>
      <x:c r="F76" s="31" t="inlineStr">
        <x:is>
          <x:t xml:space="preserve">ОТК</x:t>
        </x:is>
      </x:c>
      <x:c r="G76" s="31" t="inlineStr">
        <x:is>
          <x:t xml:space="preserve">ОБ-013</x:t>
        </x:is>
      </x:c>
      <x:c r="H76" s="31" t="n">
        <x:v>46053</x:v>
      </x:c>
      <x:c r="I76" s="31" t="n">
        <x:v>46092</x:v>
      </x:c>
      <x:c r="J76" s="31" t="n">
        <x:v>46053</x:v>
      </x:c>
      <x:c r="K76" s="31" t="n">
        <x:v>46092</x:v>
      </x:c>
      <x:c r="L76" s="31" t="inlineStr">
        <x:is>
          <x:t xml:space="preserve">Завершено</x:t>
        </x:is>
      </x:c>
      <x:c r="M76" s="31" t="inlineStr">
        <x:is>
          <x:t xml:space="preserve">СОТР-096</x:t>
        </x:is>
      </x:c>
      <x:c r="N76" s="31" t="n">
        <x:v>133.2</x:v>
      </x:c>
      <x:c r="O76" s="31" t="n">
        <x:v>121</x:v>
      </x:c>
      <x:c r="P76" s="31" t="n">
        <x:v>0</x:v>
      </x:c>
      <x:c r="Q76" s="31" t="n">
        <x:v>100</x:v>
      </x:c>
      <x:c r="R76" s="31" t="inlineStr">
        <x:is>
          <x:t xml:space="preserve">Нет</x:t>
        </x:is>
      </x:c>
      <x:c r="S76" s="31" t="inlineStr">
        <x:is>
          <x:t xml:space="preserve">Нет</x:t>
        </x:is>
      </x:c>
      <x:c r="T76" s="31" t="inlineStr">
        <x:is>
          <x:t xml:space="preserve">Создано из строки заказа ПОЗ-0042-2</x:t>
        </x:is>
      </x:c>
    </x:row>
    <x:row r="77" ht="18" customHeight="1">
      <x:c r="A77" s="31" t="inlineStr">
        <x:is>
          <x:t xml:space="preserve">ПЗ-00076</x:t>
        </x:is>
      </x:c>
      <x:c r="B77" s="31" t="inlineStr">
        <x:is>
          <x:t xml:space="preserve">ЗК-1043</x:t>
        </x:is>
      </x:c>
      <x:c r="C77" s="31" t="inlineStr">
        <x:is>
          <x:t xml:space="preserve">ПОЗ-0043-1</x:t>
        </x:is>
      </x:c>
      <x:c r="D77" s="31" t="inlineStr">
        <x:is>
          <x:t xml:space="preserve">ИЗД-005</x:t>
        </x:is>
      </x:c>
      <x:c r="E77" s="31" t="n">
        <x:v>3</x:v>
      </x:c>
      <x:c r="F77" s="31" t="inlineStr">
        <x:is>
          <x:t xml:space="preserve">ОТК</x:t>
        </x:is>
      </x:c>
      <x:c r="G77" s="31" t="inlineStr">
        <x:is>
          <x:t xml:space="preserve">ОБ-007</x:t>
        </x:is>
      </x:c>
      <x:c r="H77" s="31" t="n">
        <x:v>46109</x:v>
      </x:c>
      <x:c r="I77" s="31" t="n">
        <x:v>46116</x:v>
      </x:c>
      <x:c r="J77" s="31" t="n">
        <x:v>46109</x:v>
      </x:c>
      <x:c r="K77" s="31" t="n"/>
      <x:c r="L77" s="31" t="inlineStr">
        <x:is>
          <x:t xml:space="preserve">ОТК</x:t>
        </x:is>
      </x:c>
      <x:c r="M77" s="31" t="inlineStr">
        <x:is>
          <x:t xml:space="preserve">СОТР-097</x:t>
        </x:is>
      </x:c>
      <x:c r="N77" s="31" t="n">
        <x:v>149.7</x:v>
      </x:c>
      <x:c r="O77" s="31" t="n">
        <x:v>159.4</x:v>
      </x:c>
      <x:c r="P77" s="31" t="n">
        <x:v>3</x:v>
      </x:c>
      <x:c r="Q77" s="31" t="n">
        <x:v>90</x:v>
      </x:c>
      <x:c r="R77" s="31" t="inlineStr">
        <x:is>
          <x:t xml:space="preserve">Нет</x:t>
        </x:is>
      </x:c>
      <x:c r="S77" s="31" t="inlineStr">
        <x:is>
          <x:t xml:space="preserve">Нет</x:t>
        </x:is>
      </x:c>
      <x:c r="T77" s="31" t="inlineStr">
        <x:is>
          <x:t xml:space="preserve">Создано из строки заказа ПОЗ-0043-1</x:t>
        </x:is>
      </x:c>
    </x:row>
    <x:row r="78" ht="18" customHeight="1">
      <x:c r="A78" s="31" t="inlineStr">
        <x:is>
          <x:t xml:space="preserve">ПЗ-00077</x:t>
        </x:is>
      </x:c>
      <x:c r="B78" s="31" t="inlineStr">
        <x:is>
          <x:t xml:space="preserve">ЗК-1043</x:t>
        </x:is>
      </x:c>
      <x:c r="C78" s="31" t="inlineStr">
        <x:is>
          <x:t xml:space="preserve">ПОЗ-0043-2</x:t>
        </x:is>
      </x:c>
      <x:c r="D78" s="31" t="inlineStr">
        <x:is>
          <x:t xml:space="preserve">ИЗД-029</x:t>
        </x:is>
      </x:c>
      <x:c r="E78" s="31" t="n">
        <x:v>2</x:v>
      </x:c>
      <x:c r="F78" s="31" t="inlineStr">
        <x:is>
          <x:t xml:space="preserve">ОТК</x:t>
        </x:is>
      </x:c>
      <x:c r="G78" s="31" t="inlineStr">
        <x:is>
          <x:t xml:space="preserve">ОБ-022</x:t>
        </x:is>
      </x:c>
      <x:c r="H78" s="31" t="n">
        <x:v>46117</x:v>
      </x:c>
      <x:c r="I78" s="31" t="n">
        <x:v>46122</x:v>
      </x:c>
      <x:c r="J78" s="31" t="n">
        <x:v>46117</x:v>
      </x:c>
      <x:c r="K78" s="31" t="n"/>
      <x:c r="L78" s="31" t="inlineStr">
        <x:is>
          <x:t xml:space="preserve">В работе</x:t>
        </x:is>
      </x:c>
      <x:c r="M78" s="31" t="inlineStr">
        <x:is>
          <x:t xml:space="preserve">СОТР-095</x:t>
        </x:is>
      </x:c>
      <x:c r="N78" s="31" t="n">
        <x:v>260.6</x:v>
      </x:c>
      <x:c r="O78" s="31" t="n">
        <x:v>285.5</x:v>
      </x:c>
      <x:c r="P78" s="31" t="n">
        <x:v>1</x:v>
      </x:c>
      <x:c r="Q78" s="31" t="n">
        <x:v>79</x:v>
      </x:c>
      <x:c r="R78" s="31" t="inlineStr">
        <x:is>
          <x:t xml:space="preserve">Да</x:t>
        </x:is>
      </x:c>
      <x:c r="S78" s="31" t="inlineStr">
        <x:is>
          <x:t xml:space="preserve">Нет</x:t>
        </x:is>
      </x:c>
      <x:c r="T78" s="31" t="inlineStr">
        <x:is>
          <x:t xml:space="preserve">Создано из строки заказа ПОЗ-0043-2</x:t>
        </x:is>
      </x:c>
    </x:row>
    <x:row r="79" ht="18" customHeight="1">
      <x:c r="A79" s="31" t="inlineStr">
        <x:is>
          <x:t xml:space="preserve">ПЗ-00078</x:t>
        </x:is>
      </x:c>
      <x:c r="B79" s="31" t="inlineStr">
        <x:is>
          <x:t xml:space="preserve">ЗК-1043</x:t>
        </x:is>
      </x:c>
      <x:c r="C79" s="31" t="inlineStr">
        <x:is>
          <x:t xml:space="preserve">ПОЗ-0043-3</x:t>
        </x:is>
      </x:c>
      <x:c r="D79" s="31" t="inlineStr">
        <x:is>
          <x:t xml:space="preserve">ИЗД-012</x:t>
        </x:is>
      </x:c>
      <x:c r="E79" s="31" t="n">
        <x:v>1</x:v>
      </x:c>
      <x:c r="F79" s="31" t="inlineStr">
        <x:is>
          <x:t xml:space="preserve">ОТК</x:t>
        </x:is>
      </x:c>
      <x:c r="G79" s="31" t="inlineStr">
        <x:is>
          <x:t xml:space="preserve">ОБ-024</x:t>
        </x:is>
      </x:c>
      <x:c r="H79" s="31" t="n">
        <x:v>46105</x:v>
      </x:c>
      <x:c r="I79" s="31" t="n">
        <x:v>46114</x:v>
      </x:c>
      <x:c r="J79" s="31" t="n">
        <x:v>46105</x:v>
      </x:c>
      <x:c r="K79" s="31" t="n"/>
      <x:c r="L79" s="31" t="inlineStr">
        <x:is>
          <x:t xml:space="preserve">Ожидает материалов</x:t>
        </x:is>
      </x:c>
      <x:c r="M79" s="31" t="inlineStr">
        <x:is>
          <x:t xml:space="preserve">СОТР-063</x:t>
        </x:is>
      </x:c>
      <x:c r="N79" s="31" t="n">
        <x:v>34.4</x:v>
      </x:c>
      <x:c r="O79" s="31" t="n"/>
      <x:c r="P79" s="31" t="n">
        <x:v>0</x:v>
      </x:c>
      <x:c r="Q79" s="31" t="n">
        <x:v>15</x:v>
      </x:c>
      <x:c r="R79" s="31" t="inlineStr">
        <x:is>
          <x:t xml:space="preserve">Нет</x:t>
        </x:is>
      </x:c>
      <x:c r="S79" s="31" t="inlineStr">
        <x:is>
          <x:t xml:space="preserve">Оборудование</x:t>
        </x:is>
      </x:c>
      <x:c r="T79" s="31" t="inlineStr">
        <x:is>
          <x:t xml:space="preserve">Создано из строки заказа ПОЗ-0043-3</x:t>
        </x:is>
      </x:c>
    </x:row>
    <x:row r="80" ht="18" customHeight="1">
      <x:c r="A80" s="31" t="inlineStr">
        <x:is>
          <x:t xml:space="preserve">ПЗ-00079</x:t>
        </x:is>
      </x:c>
      <x:c r="B80" s="31" t="inlineStr">
        <x:is>
          <x:t xml:space="preserve">ЗК-1044</x:t>
        </x:is>
      </x:c>
      <x:c r="C80" s="31" t="inlineStr">
        <x:is>
          <x:t xml:space="preserve">ПОЗ-0044-1</x:t>
        </x:is>
      </x:c>
      <x:c r="D80" s="31" t="inlineStr">
        <x:is>
          <x:t xml:space="preserve">ИЗД-002</x:t>
        </x:is>
      </x:c>
      <x:c r="E80" s="31" t="n">
        <x:v>5</x:v>
      </x:c>
      <x:c r="F80" s="31" t="inlineStr">
        <x:is>
          <x:t xml:space="preserve">ОТК</x:t>
        </x:is>
      </x:c>
      <x:c r="G80" s="31" t="inlineStr">
        <x:is>
          <x:t xml:space="preserve">ОБ-006</x:t>
        </x:is>
      </x:c>
      <x:c r="H80" s="31" t="n">
        <x:v>46194</x:v>
      </x:c>
      <x:c r="I80" s="31" t="n">
        <x:v>46253</x:v>
      </x:c>
      <x:c r="J80" s="31" t="n">
        <x:v>46194</x:v>
      </x:c>
      <x:c r="K80" s="31" t="n">
        <x:v>46253</x:v>
      </x:c>
      <x:c r="L80" s="31" t="inlineStr">
        <x:is>
          <x:t xml:space="preserve">Завершено</x:t>
        </x:is>
      </x:c>
      <x:c r="M80" s="31" t="inlineStr">
        <x:is>
          <x:t xml:space="preserve">СОТР-063</x:t>
        </x:is>
      </x:c>
      <x:c r="N80" s="31" t="n">
        <x:v>221.5</x:v>
      </x:c>
      <x:c r="O80" s="31" t="n">
        <x:v>202</x:v>
      </x:c>
      <x:c r="P80" s="31" t="n">
        <x:v>1</x:v>
      </x:c>
      <x:c r="Q80" s="31" t="n">
        <x:v>100</x:v>
      </x:c>
      <x:c r="R80" s="31" t="inlineStr">
        <x:is>
          <x:t xml:space="preserve">Нет</x:t>
        </x:is>
      </x:c>
      <x:c r="S80" s="31" t="inlineStr">
        <x:is>
          <x:t xml:space="preserve">Нет</x:t>
        </x:is>
      </x:c>
      <x:c r="T80" s="31" t="inlineStr">
        <x:is>
          <x:t xml:space="preserve">Создано из строки заказа ПОЗ-0044-1</x:t>
        </x:is>
      </x:c>
    </x:row>
    <x:row r="81" ht="18" customHeight="1">
      <x:c r="A81" s="31" t="inlineStr">
        <x:is>
          <x:t xml:space="preserve">ПЗ-00080</x:t>
        </x:is>
      </x:c>
      <x:c r="B81" s="31" t="inlineStr">
        <x:is>
          <x:t xml:space="preserve">ЗК-1044</x:t>
        </x:is>
      </x:c>
      <x:c r="C81" s="31" t="inlineStr">
        <x:is>
          <x:t xml:space="preserve">ПОЗ-0044-2</x:t>
        </x:is>
      </x:c>
      <x:c r="D81" s="31" t="inlineStr">
        <x:is>
          <x:t xml:space="preserve">ИЗД-021</x:t>
        </x:is>
      </x:c>
      <x:c r="E81" s="31" t="n">
        <x:v>2</x:v>
      </x:c>
      <x:c r="F81" s="31" t="inlineStr">
        <x:is>
          <x:t xml:space="preserve">ОТК</x:t>
        </x:is>
      </x:c>
      <x:c r="G81" s="31" t="inlineStr">
        <x:is>
          <x:t xml:space="preserve">ОБ-028</x:t>
        </x:is>
      </x:c>
      <x:c r="H81" s="31" t="n">
        <x:v>46189</x:v>
      </x:c>
      <x:c r="I81" s="31" t="n">
        <x:v>46254</x:v>
      </x:c>
      <x:c r="J81" s="31" t="n">
        <x:v>46189</x:v>
      </x:c>
      <x:c r="K81" s="31" t="n"/>
      <x:c r="L81" s="31" t="inlineStr">
        <x:is>
          <x:t xml:space="preserve">Пауза</x:t>
        </x:is>
      </x:c>
      <x:c r="M81" s="31" t="inlineStr">
        <x:is>
          <x:t xml:space="preserve">СОТР-098</x:t>
        </x:is>
      </x:c>
      <x:c r="N81" s="31" t="n">
        <x:v>219.8</x:v>
      </x:c>
      <x:c r="O81" s="31" t="n">
        <x:v>212.1</x:v>
      </x:c>
      <x:c r="P81" s="31" t="n">
        <x:v>3</x:v>
      </x:c>
      <x:c r="Q81" s="31" t="n">
        <x:v>65</x:v>
      </x:c>
      <x:c r="R81" s="31" t="inlineStr">
        <x:is>
          <x:t xml:space="preserve">Нет</x:t>
        </x:is>
      </x:c>
      <x:c r="S81" s="31" t="inlineStr">
        <x:is>
          <x:t xml:space="preserve">Нет</x:t>
        </x:is>
      </x:c>
      <x:c r="T81" s="31" t="inlineStr">
        <x:is>
          <x:t xml:space="preserve">Создано из строки заказа ПОЗ-0044-2</x:t>
        </x:is>
      </x:c>
    </x:row>
    <x:row r="82" ht="18" customHeight="1">
      <x:c r="A82" s="31" t="inlineStr">
        <x:is>
          <x:t xml:space="preserve">ПЗ-00081</x:t>
        </x:is>
      </x:c>
      <x:c r="B82" s="31" t="inlineStr">
        <x:is>
          <x:t xml:space="preserve">ЗК-1045</x:t>
        </x:is>
      </x:c>
      <x:c r="C82" s="31" t="inlineStr">
        <x:is>
          <x:t xml:space="preserve">ПОЗ-0045-1</x:t>
        </x:is>
      </x:c>
      <x:c r="D82" s="31" t="inlineStr">
        <x:is>
          <x:t xml:space="preserve">ИЗД-035</x:t>
        </x:is>
      </x:c>
      <x:c r="E82" s="31" t="n">
        <x:v>5</x:v>
      </x:c>
      <x:c r="F82" s="31" t="inlineStr">
        <x:is>
          <x:t xml:space="preserve">ОТК</x:t>
        </x:is>
      </x:c>
      <x:c r="G82" s="31" t="inlineStr">
        <x:is>
          <x:t xml:space="preserve">ОБ-001</x:t>
        </x:is>
      </x:c>
      <x:c r="H82" s="31" t="n">
        <x:v>46173</x:v>
      </x:c>
      <x:c r="I82" s="31" t="n">
        <x:v>46215</x:v>
      </x:c>
      <x:c r="J82" s="31" t="n">
        <x:v>46173</x:v>
      </x:c>
      <x:c r="K82" s="31" t="n">
        <x:v>46215</x:v>
      </x:c>
      <x:c r="L82" s="31" t="inlineStr">
        <x:is>
          <x:t xml:space="preserve">Завершено</x:t>
        </x:is>
      </x:c>
      <x:c r="M82" s="31" t="inlineStr">
        <x:is>
          <x:t xml:space="preserve">СОТР-063</x:t>
        </x:is>
      </x:c>
      <x:c r="N82" s="31" t="n">
        <x:v>322.5</x:v>
      </x:c>
      <x:c r="O82" s="31" t="n">
        <x:v>243</x:v>
      </x:c>
      <x:c r="P82" s="31" t="n">
        <x:v>1</x:v>
      </x:c>
      <x:c r="Q82" s="31" t="n">
        <x:v>100</x:v>
      </x:c>
      <x:c r="R82" s="31" t="inlineStr">
        <x:is>
          <x:t xml:space="preserve">Нет</x:t>
        </x:is>
      </x:c>
      <x:c r="S82" s="31" t="inlineStr">
        <x:is>
          <x:t xml:space="preserve">Нет</x:t>
        </x:is>
      </x:c>
      <x:c r="T82" s="31" t="inlineStr">
        <x:is>
          <x:t xml:space="preserve">Создано из строки заказа ПОЗ-0045-1</x:t>
        </x:is>
      </x:c>
    </x:row>
    <x:row r="83" ht="18" customHeight="1">
      <x:c r="A83" s="31" t="inlineStr">
        <x:is>
          <x:t xml:space="preserve">ПЗ-00082</x:t>
        </x:is>
      </x:c>
      <x:c r="B83" s="31" t="inlineStr">
        <x:is>
          <x:t xml:space="preserve">ЗК-1045</x:t>
        </x:is>
      </x:c>
      <x:c r="C83" s="31" t="inlineStr">
        <x:is>
          <x:t xml:space="preserve">ПОЗ-0045-2</x:t>
        </x:is>
      </x:c>
      <x:c r="D83" s="31" t="inlineStr">
        <x:is>
          <x:t xml:space="preserve">ИЗД-008</x:t>
        </x:is>
      </x:c>
      <x:c r="E83" s="31" t="n">
        <x:v>12</x:v>
      </x:c>
      <x:c r="F83" s="31" t="inlineStr">
        <x:is>
          <x:t xml:space="preserve">ОТК</x:t>
        </x:is>
      </x:c>
      <x:c r="G83" s="31" t="inlineStr">
        <x:is>
          <x:t xml:space="preserve">ОБ-015</x:t>
        </x:is>
      </x:c>
      <x:c r="H83" s="31" t="n">
        <x:v>46174</x:v>
      </x:c>
      <x:c r="I83" s="31" t="n">
        <x:v>46216</x:v>
      </x:c>
      <x:c r="J83" s="31" t="n">
        <x:v>46174</x:v>
      </x:c>
      <x:c r="K83" s="31" t="n">
        <x:v>46216</x:v>
      </x:c>
      <x:c r="L83" s="31" t="inlineStr">
        <x:is>
          <x:t xml:space="preserve">Завершено</x:t>
        </x:is>
      </x:c>
      <x:c r="M83" s="31" t="inlineStr">
        <x:is>
          <x:t xml:space="preserve">СОТР-095</x:t>
        </x:is>
      </x:c>
      <x:c r="N83" s="31" t="n">
        <x:v>242.4</x:v>
      </x:c>
      <x:c r="O83" s="31" t="n">
        <x:v>261.5</x:v>
      </x:c>
      <x:c r="P83" s="31" t="n">
        <x:v>2</x:v>
      </x:c>
      <x:c r="Q83" s="31" t="n">
        <x:v>100</x:v>
      </x:c>
      <x:c r="R83" s="31" t="inlineStr">
        <x:is>
          <x:t xml:space="preserve">Нет</x:t>
        </x:is>
      </x:c>
      <x:c r="S83" s="31" t="inlineStr">
        <x:is>
          <x:t xml:space="preserve">Оборудование</x:t>
        </x:is>
      </x:c>
      <x:c r="T83" s="31" t="inlineStr">
        <x:is>
          <x:t xml:space="preserve">Создано из строки заказа ПОЗ-0045-2</x:t>
        </x:is>
      </x:c>
    </x:row>
    <x:row r="84" ht="18" customHeight="1">
      <x:c r="A84" s="31" t="inlineStr">
        <x:is>
          <x:t xml:space="preserve">ПЗ-00083</x:t>
        </x:is>
      </x:c>
      <x:c r="B84" s="31" t="inlineStr">
        <x:is>
          <x:t xml:space="preserve">ЗК-1045</x:t>
        </x:is>
      </x:c>
      <x:c r="C84" s="31" t="inlineStr">
        <x:is>
          <x:t xml:space="preserve">ПОЗ-0045-3</x:t>
        </x:is>
      </x:c>
      <x:c r="D84" s="31" t="inlineStr">
        <x:is>
          <x:t xml:space="preserve">ИЗД-034</x:t>
        </x:is>
      </x:c>
      <x:c r="E84" s="31" t="n">
        <x:v>4</x:v>
      </x:c>
      <x:c r="F84" s="31" t="inlineStr">
        <x:is>
          <x:t xml:space="preserve">ОТК</x:t>
        </x:is>
      </x:c>
      <x:c r="G84" s="31" t="inlineStr">
        <x:is>
          <x:t xml:space="preserve">ОБ-007</x:t>
        </x:is>
      </x:c>
      <x:c r="H84" s="31" t="n">
        <x:v>46181</x:v>
      </x:c>
      <x:c r="I84" s="31" t="n">
        <x:v>46220</x:v>
      </x:c>
      <x:c r="J84" s="31" t="n">
        <x:v>46181</x:v>
      </x:c>
      <x:c r="K84" s="31" t="n">
        <x:v>46220</x:v>
      </x:c>
      <x:c r="L84" s="31" t="inlineStr">
        <x:is>
          <x:t xml:space="preserve">Завершено</x:t>
        </x:is>
      </x:c>
      <x:c r="M84" s="31" t="inlineStr">
        <x:is>
          <x:t xml:space="preserve">СОТР-098</x:t>
        </x:is>
      </x:c>
      <x:c r="N84" s="31" t="n">
        <x:v>196.8</x:v>
      </x:c>
      <x:c r="O84" s="31" t="n">
        <x:v>179.9</x:v>
      </x:c>
      <x:c r="P84" s="31" t="n">
        <x:v>3</x:v>
      </x:c>
      <x:c r="Q84" s="31" t="n">
        <x:v>100</x:v>
      </x:c>
      <x:c r="R84" s="31" t="inlineStr">
        <x:is>
          <x:t xml:space="preserve">Нет</x:t>
        </x:is>
      </x:c>
      <x:c r="S84" s="31" t="inlineStr">
        <x:is>
          <x:t xml:space="preserve">Нет</x:t>
        </x:is>
      </x:c>
      <x:c r="T84" s="31" t="inlineStr">
        <x:is>
          <x:t xml:space="preserve">Создано из строки заказа ПОЗ-0045-3</x:t>
        </x:is>
      </x:c>
    </x:row>
    <x:row r="85" ht="18" customHeight="1">
      <x:c r="A85" s="31" t="inlineStr">
        <x:is>
          <x:t xml:space="preserve">ПЗ-00084</x:t>
        </x:is>
      </x:c>
      <x:c r="B85" s="31" t="inlineStr">
        <x:is>
          <x:t xml:space="preserve">ЗК-1045</x:t>
        </x:is>
      </x:c>
      <x:c r="C85" s="31" t="inlineStr">
        <x:is>
          <x:t xml:space="preserve">ПОЗ-0045-4</x:t>
        </x:is>
      </x:c>
      <x:c r="D85" s="31" t="inlineStr">
        <x:is>
          <x:t xml:space="preserve">ИЗД-004</x:t>
        </x:is>
      </x:c>
      <x:c r="E85" s="31" t="n">
        <x:v>5</x:v>
      </x:c>
      <x:c r="F85" s="31" t="inlineStr">
        <x:is>
          <x:t xml:space="preserve">ОТК</x:t>
        </x:is>
      </x:c>
      <x:c r="G85" s="31" t="inlineStr">
        <x:is>
          <x:t xml:space="preserve">ОБ-013</x:t>
        </x:is>
      </x:c>
      <x:c r="H85" s="31" t="n">
        <x:v>46166</x:v>
      </x:c>
      <x:c r="I85" s="31" t="n">
        <x:v>46219</x:v>
      </x:c>
      <x:c r="J85" s="31" t="n">
        <x:v>46166</x:v>
      </x:c>
      <x:c r="K85" s="31" t="n">
        <x:v>46219</x:v>
      </x:c>
      <x:c r="L85" s="31" t="inlineStr">
        <x:is>
          <x:t xml:space="preserve">Завершено</x:t>
        </x:is>
      </x:c>
      <x:c r="M85" s="31" t="inlineStr">
        <x:is>
          <x:t xml:space="preserve">СОТР-096</x:t>
        </x:is>
      </x:c>
      <x:c r="N85" s="31" t="n">
        <x:v>516.5</x:v>
      </x:c>
      <x:c r="O85" s="31" t="n">
        <x:v>480.5</x:v>
      </x:c>
      <x:c r="P85" s="31" t="n">
        <x:v>2</x:v>
      </x:c>
      <x:c r="Q85" s="31" t="n">
        <x:v>100</x:v>
      </x:c>
      <x:c r="R85" s="31" t="inlineStr">
        <x:is>
          <x:t xml:space="preserve">Нет</x:t>
        </x:is>
      </x:c>
      <x:c r="S85" s="31" t="inlineStr">
        <x:is>
          <x:t xml:space="preserve">Нет</x:t>
        </x:is>
      </x:c>
      <x:c r="T85" s="31" t="inlineStr">
        <x:is>
          <x:t xml:space="preserve">Создано из строки заказа ПОЗ-0045-4</x:t>
        </x:is>
      </x:c>
    </x:row>
    <x:row r="86" ht="18" customHeight="1">
      <x:c r="A86" s="31" t="inlineStr">
        <x:is>
          <x:t xml:space="preserve">ПЗ-00085</x:t>
        </x:is>
      </x:c>
      <x:c r="B86" s="31" t="inlineStr">
        <x:is>
          <x:t xml:space="preserve">ЗК-1046</x:t>
        </x:is>
      </x:c>
      <x:c r="C86" s="31" t="inlineStr">
        <x:is>
          <x:t xml:space="preserve">ПОЗ-0046-1</x:t>
        </x:is>
      </x:c>
      <x:c r="D86" s="31" t="inlineStr">
        <x:is>
          <x:t xml:space="preserve">ИЗД-030</x:t>
        </x:is>
      </x:c>
      <x:c r="E86" s="31" t="n">
        <x:v>2</x:v>
      </x:c>
      <x:c r="F86" s="31" t="inlineStr">
        <x:is>
          <x:t xml:space="preserve">ОТК</x:t>
        </x:is>
      </x:c>
      <x:c r="G86" s="31" t="inlineStr">
        <x:is>
          <x:t xml:space="preserve">ОБ-001</x:t>
        </x:is>
      </x:c>
      <x:c r="H86" s="31" t="n">
        <x:v>46147</x:v>
      </x:c>
      <x:c r="I86" s="31" t="n">
        <x:v>46182</x:v>
      </x:c>
      <x:c r="J86" s="31" t="n">
        <x:v>46147</x:v>
      </x:c>
      <x:c r="K86" s="31" t="n">
        <x:v>46182</x:v>
      </x:c>
      <x:c r="L86" s="31" t="inlineStr">
        <x:is>
          <x:t xml:space="preserve">Завершено</x:t>
        </x:is>
      </x:c>
      <x:c r="M86" s="31" t="inlineStr">
        <x:is>
          <x:t xml:space="preserve">СОТР-097</x:t>
        </x:is>
      </x:c>
      <x:c r="N86" s="31" t="n">
        <x:v>124.2</x:v>
      </x:c>
      <x:c r="O86" s="31" t="n">
        <x:v>107.3</x:v>
      </x:c>
      <x:c r="P86" s="31" t="n">
        <x:v>1</x:v>
      </x:c>
      <x:c r="Q86" s="31" t="n">
        <x:v>100</x:v>
      </x:c>
      <x:c r="R86" s="31" t="inlineStr">
        <x:is>
          <x:t xml:space="preserve">Нет</x:t>
        </x:is>
      </x:c>
      <x:c r="S86" s="31" t="inlineStr">
        <x:is>
          <x:t xml:space="preserve">Нет</x:t>
        </x:is>
      </x:c>
      <x:c r="T86" s="31" t="inlineStr">
        <x:is>
          <x:t xml:space="preserve">Создано из строки заказа ПОЗ-0046-1</x:t>
        </x:is>
      </x:c>
    </x:row>
    <x:row r="87" ht="18" customHeight="1">
      <x:c r="A87" s="31" t="inlineStr">
        <x:is>
          <x:t xml:space="preserve">ПЗ-00086</x:t>
        </x:is>
      </x:c>
      <x:c r="B87" s="31" t="inlineStr">
        <x:is>
          <x:t xml:space="preserve">ЗК-1046</x:t>
        </x:is>
      </x:c>
      <x:c r="C87" s="31" t="inlineStr">
        <x:is>
          <x:t xml:space="preserve">ПОЗ-0046-2</x:t>
        </x:is>
      </x:c>
      <x:c r="D87" s="31" t="inlineStr">
        <x:is>
          <x:t xml:space="preserve">ИЗД-001</x:t>
        </x:is>
      </x:c>
      <x:c r="E87" s="31" t="n">
        <x:v>15</x:v>
      </x:c>
      <x:c r="F87" s="31" t="inlineStr">
        <x:is>
          <x:t xml:space="preserve">ОТК</x:t>
        </x:is>
      </x:c>
      <x:c r="G87" s="31" t="inlineStr">
        <x:is>
          <x:t xml:space="preserve">ОБ-033</x:t>
        </x:is>
      </x:c>
      <x:c r="H87" s="31" t="n">
        <x:v>46142</x:v>
      </x:c>
      <x:c r="I87" s="31" t="n">
        <x:v>46185</x:v>
      </x:c>
      <x:c r="J87" s="31" t="n">
        <x:v>46142</x:v>
      </x:c>
      <x:c r="K87" s="31" t="n"/>
      <x:c r="L87" s="31" t="inlineStr">
        <x:is>
          <x:t xml:space="preserve">Ожидает материалов</x:t>
        </x:is>
      </x:c>
      <x:c r="M87" s="31" t="inlineStr">
        <x:is>
          <x:t xml:space="preserve">СОТР-092</x:t>
        </x:is>
      </x:c>
      <x:c r="N87" s="31" t="n">
        <x:v>213</x:v>
      </x:c>
      <x:c r="O87" s="31" t="n"/>
      <x:c r="P87" s="31" t="n">
        <x:v>0</x:v>
      </x:c>
      <x:c r="Q87" s="31" t="n">
        <x:v>15</x:v>
      </x:c>
      <x:c r="R87" s="31" t="inlineStr">
        <x:is>
          <x:t xml:space="preserve">Нет</x:t>
        </x:is>
      </x:c>
      <x:c r="S87" s="31" t="inlineStr">
        <x:is>
          <x:t xml:space="preserve">Материал</x:t>
        </x:is>
      </x:c>
      <x:c r="T87" s="31" t="inlineStr">
        <x:is>
          <x:t xml:space="preserve">Создано из строки заказа ПОЗ-0046-2</x:t>
        </x:is>
      </x:c>
    </x:row>
    <x:row r="88" ht="18" customHeight="1">
      <x:c r="A88" s="31" t="inlineStr">
        <x:is>
          <x:t xml:space="preserve">ПЗ-00087</x:t>
        </x:is>
      </x:c>
      <x:c r="B88" s="31" t="inlineStr">
        <x:is>
          <x:t xml:space="preserve">ЗК-1047</x:t>
        </x:is>
      </x:c>
      <x:c r="C88" s="31" t="inlineStr">
        <x:is>
          <x:t xml:space="preserve">ПОЗ-0047-1</x:t>
        </x:is>
      </x:c>
      <x:c r="D88" s="31" t="inlineStr">
        <x:is>
          <x:t xml:space="preserve">ИЗД-027</x:t>
        </x:is>
      </x:c>
      <x:c r="E88" s="31" t="n">
        <x:v>3</x:v>
      </x:c>
      <x:c r="F88" s="31" t="inlineStr">
        <x:is>
          <x:t xml:space="preserve">ОТК</x:t>
        </x:is>
      </x:c>
      <x:c r="G88" s="31" t="inlineStr">
        <x:is>
          <x:t xml:space="preserve">ОБ-022</x:t>
        </x:is>
      </x:c>
      <x:c r="H88" s="31" t="n">
        <x:v>46141</x:v>
      </x:c>
      <x:c r="I88" s="31" t="n">
        <x:v>46168</x:v>
      </x:c>
      <x:c r="J88" s="31" t="n">
        <x:v>46141</x:v>
      </x:c>
      <x:c r="K88" s="31" t="n">
        <x:v>46168</x:v>
      </x:c>
      <x:c r="L88" s="31" t="inlineStr">
        <x:is>
          <x:t xml:space="preserve">Завершено</x:t>
        </x:is>
      </x:c>
      <x:c r="M88" s="31" t="inlineStr">
        <x:is>
          <x:t xml:space="preserve">СОТР-099</x:t>
        </x:is>
      </x:c>
      <x:c r="N88" s="31" t="n">
        <x:v>337.8</x:v>
      </x:c>
      <x:c r="O88" s="31" t="n">
        <x:v>361.8</x:v>
      </x:c>
      <x:c r="P88" s="31" t="n">
        <x:v>2</x:v>
      </x:c>
      <x:c r="Q88" s="31" t="n">
        <x:v>100</x:v>
      </x:c>
      <x:c r="R88" s="31" t="inlineStr">
        <x:is>
          <x:t xml:space="preserve">Нет</x:t>
        </x:is>
      </x:c>
      <x:c r="S88" s="31" t="inlineStr">
        <x:is>
          <x:t xml:space="preserve">Нет</x:t>
        </x:is>
      </x:c>
      <x:c r="T88" s="31" t="inlineStr">
        <x:is>
          <x:t xml:space="preserve">Создано из строки заказа ПОЗ-0047-1</x:t>
        </x:is>
      </x:c>
    </x:row>
    <x:row r="89" ht="18" customHeight="1">
      <x:c r="A89" s="31" t="inlineStr">
        <x:is>
          <x:t xml:space="preserve">ПЗ-00088</x:t>
        </x:is>
      </x:c>
      <x:c r="B89" s="31" t="inlineStr">
        <x:is>
          <x:t xml:space="preserve">ЗК-1047</x:t>
        </x:is>
      </x:c>
      <x:c r="C89" s="31" t="inlineStr">
        <x:is>
          <x:t xml:space="preserve">ПОЗ-0047-2</x:t>
        </x:is>
      </x:c>
      <x:c r="D89" s="31" t="inlineStr">
        <x:is>
          <x:t xml:space="preserve">ИЗД-041</x:t>
        </x:is>
      </x:c>
      <x:c r="E89" s="31" t="n">
        <x:v>2</x:v>
      </x:c>
      <x:c r="F89" s="31" t="inlineStr">
        <x:is>
          <x:t xml:space="preserve">Сварка</x:t>
        </x:is>
      </x:c>
      <x:c r="G89" s="31" t="inlineStr">
        <x:is>
          <x:t xml:space="preserve">ОБ-021</x:t>
        </x:is>
      </x:c>
      <x:c r="H89" s="31" t="n">
        <x:v>46131</x:v>
      </x:c>
      <x:c r="I89" s="31" t="n">
        <x:v>46173</x:v>
      </x:c>
      <x:c r="J89" s="31" t="n">
        <x:v>46131</x:v>
      </x:c>
      <x:c r="K89" s="31" t="n"/>
      <x:c r="L89" s="31" t="inlineStr">
        <x:is>
          <x:t xml:space="preserve">В работе</x:t>
        </x:is>
      </x:c>
      <x:c r="M89" s="31" t="inlineStr">
        <x:is>
          <x:t xml:space="preserve">СОТР-068</x:t>
        </x:is>
      </x:c>
      <x:c r="N89" s="31" t="n">
        <x:v>77</x:v>
      </x:c>
      <x:c r="O89" s="31" t="n">
        <x:v>81.5</x:v>
      </x:c>
      <x:c r="P89" s="31" t="n">
        <x:v>1</x:v>
      </x:c>
      <x:c r="Q89" s="31" t="n">
        <x:v>62</x:v>
      </x:c>
      <x:c r="R89" s="31" t="inlineStr">
        <x:is>
          <x:t xml:space="preserve">Нет</x:t>
        </x:is>
      </x:c>
      <x:c r="S89" s="31" t="inlineStr">
        <x:is>
          <x:t xml:space="preserve">Нет</x:t>
        </x:is>
      </x:c>
      <x:c r="T89" s="31" t="inlineStr">
        <x:is>
          <x:t xml:space="preserve">Создано из строки заказа ПОЗ-0047-2</x:t>
        </x:is>
      </x:c>
    </x:row>
    <x:row r="90" ht="18" customHeight="1">
      <x:c r="A90" s="31" t="inlineStr">
        <x:is>
          <x:t xml:space="preserve">ПЗ-00089</x:t>
        </x:is>
      </x:c>
      <x:c r="B90" s="31" t="inlineStr">
        <x:is>
          <x:t xml:space="preserve">ЗК-1047</x:t>
        </x:is>
      </x:c>
      <x:c r="C90" s="31" t="inlineStr">
        <x:is>
          <x:t xml:space="preserve">ПОЗ-0047-3</x:t>
        </x:is>
      </x:c>
      <x:c r="D90" s="31" t="inlineStr">
        <x:is>
          <x:t xml:space="preserve">ИЗД-029</x:t>
        </x:is>
      </x:c>
      <x:c r="E90" s="31" t="n">
        <x:v>1</x:v>
      </x:c>
      <x:c r="F90" s="31" t="inlineStr">
        <x:is>
          <x:t xml:space="preserve">ОТК</x:t>
        </x:is>
      </x:c>
      <x:c r="G90" s="31" t="inlineStr">
        <x:is>
          <x:t xml:space="preserve">ОБ-028</x:t>
        </x:is>
      </x:c>
      <x:c r="H90" s="31" t="n">
        <x:v>46141</x:v>
      </x:c>
      <x:c r="I90" s="31" t="n">
        <x:v>46172</x:v>
      </x:c>
      <x:c r="J90" s="31" t="n">
        <x:v>46141</x:v>
      </x:c>
      <x:c r="K90" s="31" t="n"/>
      <x:c r="L90" s="31" t="inlineStr">
        <x:is>
          <x:t xml:space="preserve">Ожидает материалов</x:t>
        </x:is>
      </x:c>
      <x:c r="M90" s="31" t="inlineStr">
        <x:is>
          <x:t xml:space="preserve">СОТР-096</x:t>
        </x:is>
      </x:c>
      <x:c r="N90" s="31" t="n">
        <x:v>130.3</x:v>
      </x:c>
      <x:c r="O90" s="31" t="n"/>
      <x:c r="P90" s="31" t="n">
        <x:v>0</x:v>
      </x:c>
      <x:c r="Q90" s="31" t="n">
        <x:v>15</x:v>
      </x:c>
      <x:c r="R90" s="31" t="inlineStr">
        <x:is>
          <x:t xml:space="preserve">Нет</x:t>
        </x:is>
      </x:c>
      <x:c r="S90" s="31" t="inlineStr">
        <x:is>
          <x:t xml:space="preserve">Материал</x:t>
        </x:is>
      </x:c>
      <x:c r="T90" s="31" t="inlineStr">
        <x:is>
          <x:t xml:space="preserve">Создано из строки заказа ПОЗ-0047-3</x:t>
        </x:is>
      </x:c>
    </x:row>
    <x:row r="91" ht="18" customHeight="1">
      <x:c r="A91" s="31" t="inlineStr">
        <x:is>
          <x:t xml:space="preserve">ПЗ-00090</x:t>
        </x:is>
      </x:c>
      <x:c r="B91" s="31" t="inlineStr">
        <x:is>
          <x:t xml:space="preserve">ЗК-1047</x:t>
        </x:is>
      </x:c>
      <x:c r="C91" s="31" t="inlineStr">
        <x:is>
          <x:t xml:space="preserve">ПОЗ-0047-4</x:t>
        </x:is>
      </x:c>
      <x:c r="D91" s="31" t="inlineStr">
        <x:is>
          <x:t xml:space="preserve">ИЗД-028</x:t>
        </x:is>
      </x:c>
      <x:c r="E91" s="31" t="n">
        <x:v>3</x:v>
      </x:c>
      <x:c r="F91" s="31" t="inlineStr">
        <x:is>
          <x:t xml:space="preserve">ОТК</x:t>
        </x:is>
      </x:c>
      <x:c r="G91" s="31" t="inlineStr">
        <x:is>
          <x:t xml:space="preserve">ОБ-022</x:t>
        </x:is>
      </x:c>
      <x:c r="H91" s="31" t="n">
        <x:v>46129</x:v>
      </x:c>
      <x:c r="I91" s="31" t="n">
        <x:v>46170</x:v>
      </x:c>
      <x:c r="J91" s="31" t="n">
        <x:v>46129</x:v>
      </x:c>
      <x:c r="K91" s="31" t="n"/>
      <x:c r="L91" s="31" t="inlineStr">
        <x:is>
          <x:t xml:space="preserve">Пауза</x:t>
        </x:is>
      </x:c>
      <x:c r="M91" s="31" t="inlineStr">
        <x:is>
          <x:t xml:space="preserve">СОТР-098</x:t>
        </x:is>
      </x:c>
      <x:c r="N91" s="31" t="n">
        <x:v>330</x:v>
      </x:c>
      <x:c r="O91" s="31" t="n">
        <x:v>260.8</x:v>
      </x:c>
      <x:c r="P91" s="31" t="n">
        <x:v>0</x:v>
      </x:c>
      <x:c r="Q91" s="31" t="n">
        <x:v>46</x:v>
      </x:c>
      <x:c r="R91" s="31" t="inlineStr">
        <x:is>
          <x:t xml:space="preserve">Нет</x:t>
        </x:is>
      </x:c>
      <x:c r="S91" s="31" t="inlineStr">
        <x:is>
          <x:t xml:space="preserve">Нет</x:t>
        </x:is>
      </x:c>
      <x:c r="T91" s="31" t="inlineStr">
        <x:is>
          <x:t xml:space="preserve">Создано из строки заказа ПОЗ-0047-4</x:t>
        </x:is>
      </x:c>
    </x:row>
    <x:row r="92" ht="18" customHeight="1">
      <x:c r="A92" s="31" t="inlineStr">
        <x:is>
          <x:t xml:space="preserve">ПЗ-00091</x:t>
        </x:is>
      </x:c>
      <x:c r="B92" s="31" t="inlineStr">
        <x:is>
          <x:t xml:space="preserve">ЗК-1048</x:t>
        </x:is>
      </x:c>
      <x:c r="C92" s="31" t="inlineStr">
        <x:is>
          <x:t xml:space="preserve">ПОЗ-0048-1</x:t>
        </x:is>
      </x:c>
      <x:c r="D92" s="31" t="inlineStr">
        <x:is>
          <x:t xml:space="preserve">ИЗД-015</x:t>
        </x:is>
      </x:c>
      <x:c r="E92" s="31" t="n">
        <x:v>10</x:v>
      </x:c>
      <x:c r="F92" s="31" t="inlineStr">
        <x:is>
          <x:t xml:space="preserve">ОТК</x:t>
        </x:is>
      </x:c>
      <x:c r="G92" s="31" t="inlineStr">
        <x:is>
          <x:t xml:space="preserve">ОБ-024</x:t>
        </x:is>
      </x:c>
      <x:c r="H92" s="31" t="n">
        <x:v>46153</x:v>
      </x:c>
      <x:c r="I92" s="31" t="n">
        <x:v>46197</x:v>
      </x:c>
      <x:c r="J92" s="31" t="n">
        <x:v>46153</x:v>
      </x:c>
      <x:c r="K92" s="31" t="n">
        <x:v>46197</x:v>
      </x:c>
      <x:c r="L92" s="31" t="inlineStr">
        <x:is>
          <x:t xml:space="preserve">Завершено</x:t>
        </x:is>
      </x:c>
      <x:c r="M92" s="31" t="inlineStr">
        <x:is>
          <x:t xml:space="preserve">СОТР-100</x:t>
        </x:is>
      </x:c>
      <x:c r="N92" s="31" t="n">
        <x:v>159</x:v>
      </x:c>
      <x:c r="O92" s="31" t="n">
        <x:v>188.4</x:v>
      </x:c>
      <x:c r="P92" s="31" t="n">
        <x:v>3</x:v>
      </x:c>
      <x:c r="Q92" s="31" t="n">
        <x:v>100</x:v>
      </x:c>
      <x:c r="R92" s="31" t="inlineStr">
        <x:is>
          <x:t xml:space="preserve">Нет</x:t>
        </x:is>
      </x:c>
      <x:c r="S92" s="31" t="inlineStr">
        <x:is>
          <x:t xml:space="preserve">Нет</x:t>
        </x:is>
      </x:c>
      <x:c r="T92" s="31" t="inlineStr">
        <x:is>
          <x:t xml:space="preserve">Создано из строки заказа ПОЗ-0048-1</x:t>
        </x:is>
      </x:c>
    </x:row>
    <x:row r="93" ht="18" customHeight="1">
      <x:c r="A93" s="31" t="inlineStr">
        <x:is>
          <x:t xml:space="preserve">ПЗ-00092</x:t>
        </x:is>
      </x:c>
      <x:c r="B93" s="31" t="inlineStr">
        <x:is>
          <x:t xml:space="preserve">ЗК-1049</x:t>
        </x:is>
      </x:c>
      <x:c r="C93" s="31" t="inlineStr">
        <x:is>
          <x:t xml:space="preserve">ПОЗ-0049-1</x:t>
        </x:is>
      </x:c>
      <x:c r="D93" s="31" t="inlineStr">
        <x:is>
          <x:t xml:space="preserve">ИЗД-028</x:t>
        </x:is>
      </x:c>
      <x:c r="E93" s="31" t="n">
        <x:v>2</x:v>
      </x:c>
      <x:c r="F93" s="31" t="inlineStr">
        <x:is>
          <x:t xml:space="preserve">ОТК</x:t>
        </x:is>
      </x:c>
      <x:c r="G93" s="31" t="inlineStr">
        <x:is>
          <x:t xml:space="preserve">ОБ-015</x:t>
        </x:is>
      </x:c>
      <x:c r="H93" s="31" t="n">
        <x:v>46051</x:v>
      </x:c>
      <x:c r="I93" s="31" t="n">
        <x:v>46070</x:v>
      </x:c>
      <x:c r="J93" s="31" t="n">
        <x:v>46051</x:v>
      </x:c>
      <x:c r="K93" s="31" t="n">
        <x:v>46070</x:v>
      </x:c>
      <x:c r="L93" s="31" t="inlineStr">
        <x:is>
          <x:t xml:space="preserve">Завершено</x:t>
        </x:is>
      </x:c>
      <x:c r="M93" s="31" t="inlineStr">
        <x:is>
          <x:t xml:space="preserve">СОТР-098</x:t>
        </x:is>
      </x:c>
      <x:c r="N93" s="31" t="n">
        <x:v>220</x:v>
      </x:c>
      <x:c r="O93" s="31" t="n">
        <x:v>209.2</x:v>
      </x:c>
      <x:c r="P93" s="31" t="n">
        <x:v>0</x:v>
      </x:c>
      <x:c r="Q93" s="31" t="n">
        <x:v>100</x:v>
      </x:c>
      <x:c r="R93" s="31" t="inlineStr">
        <x:is>
          <x:t xml:space="preserve">Нет</x:t>
        </x:is>
      </x:c>
      <x:c r="S93" s="31" t="inlineStr">
        <x:is>
          <x:t xml:space="preserve">Нет</x:t>
        </x:is>
      </x:c>
      <x:c r="T93" s="31" t="inlineStr">
        <x:is>
          <x:t xml:space="preserve">Создано из строки заказа ПОЗ-0049-1</x:t>
        </x:is>
      </x:c>
    </x:row>
    <x:row r="94" ht="18" customHeight="1">
      <x:c r="A94" s="31" t="inlineStr">
        <x:is>
          <x:t xml:space="preserve">ПЗ-00093</x:t>
        </x:is>
      </x:c>
      <x:c r="B94" s="31" t="inlineStr">
        <x:is>
          <x:t xml:space="preserve">ЗК-1049</x:t>
        </x:is>
      </x:c>
      <x:c r="C94" s="31" t="inlineStr">
        <x:is>
          <x:t xml:space="preserve">ПОЗ-0049-2</x:t>
        </x:is>
      </x:c>
      <x:c r="D94" s="31" t="inlineStr">
        <x:is>
          <x:t xml:space="preserve">ИЗД-032</x:t>
        </x:is>
      </x:c>
      <x:c r="E94" s="31" t="n">
        <x:v>12</x:v>
      </x:c>
      <x:c r="F94" s="31" t="inlineStr">
        <x:is>
          <x:t xml:space="preserve">ОТК</x:t>
        </x:is>
      </x:c>
      <x:c r="G94" s="31" t="inlineStr">
        <x:is>
          <x:t xml:space="preserve">ОБ-022</x:t>
        </x:is>
      </x:c>
      <x:c r="H94" s="31" t="n">
        <x:v>46052</x:v>
      </x:c>
      <x:c r="I94" s="31" t="n">
        <x:v>46070</x:v>
      </x:c>
      <x:c r="J94" s="31" t="n">
        <x:v>46052</x:v>
      </x:c>
      <x:c r="K94" s="31" t="n">
        <x:v>46070</x:v>
      </x:c>
      <x:c r="L94" s="31" t="inlineStr">
        <x:is>
          <x:t xml:space="preserve">Завершено</x:t>
        </x:is>
      </x:c>
      <x:c r="M94" s="31" t="inlineStr">
        <x:is>
          <x:t xml:space="preserve">СОТР-063</x:t>
        </x:is>
      </x:c>
      <x:c r="N94" s="31" t="n">
        <x:v>310.8</x:v>
      </x:c>
      <x:c r="O94" s="31" t="n">
        <x:v>368.8</x:v>
      </x:c>
      <x:c r="P94" s="31" t="n">
        <x:v>0</x:v>
      </x:c>
      <x:c r="Q94" s="31" t="n">
        <x:v>100</x:v>
      </x:c>
      <x:c r="R94" s="31" t="inlineStr">
        <x:is>
          <x:t xml:space="preserve">Нет</x:t>
        </x:is>
      </x:c>
      <x:c r="S94" s="31" t="inlineStr">
        <x:is>
          <x:t xml:space="preserve">Нет</x:t>
        </x:is>
      </x:c>
      <x:c r="T94" s="31" t="inlineStr">
        <x:is>
          <x:t xml:space="preserve">Создано из строки заказа ПОЗ-0049-2</x:t>
        </x:is>
      </x:c>
    </x:row>
    <x:row r="95" ht="18" customHeight="1">
      <x:c r="A95" s="31" t="inlineStr">
        <x:is>
          <x:t xml:space="preserve">ПЗ-00094</x:t>
        </x:is>
      </x:c>
      <x:c r="B95" s="31" t="inlineStr">
        <x:is>
          <x:t xml:space="preserve">ЗК-1049</x:t>
        </x:is>
      </x:c>
      <x:c r="C95" s="31" t="inlineStr">
        <x:is>
          <x:t xml:space="preserve">ПОЗ-0049-3</x:t>
        </x:is>
      </x:c>
      <x:c r="D95" s="31" t="inlineStr">
        <x:is>
          <x:t xml:space="preserve">ИЗД-017</x:t>
        </x:is>
      </x:c>
      <x:c r="E95" s="31" t="n">
        <x:v>1</x:v>
      </x:c>
      <x:c r="F95" s="31" t="inlineStr">
        <x:is>
          <x:t xml:space="preserve">ОТК</x:t>
        </x:is>
      </x:c>
      <x:c r="G95" s="31" t="inlineStr">
        <x:is>
          <x:t xml:space="preserve">ОБ-013</x:t>
        </x:is>
      </x:c>
      <x:c r="H95" s="31" t="n">
        <x:v>46052</x:v>
      </x:c>
      <x:c r="I95" s="31" t="n">
        <x:v>46072</x:v>
      </x:c>
      <x:c r="J95" s="31" t="n">
        <x:v>46052</x:v>
      </x:c>
      <x:c r="K95" s="31" t="n">
        <x:v>46072</x:v>
      </x:c>
      <x:c r="L95" s="31" t="inlineStr">
        <x:is>
          <x:t xml:space="preserve">Завершено</x:t>
        </x:is>
      </x:c>
      <x:c r="M95" s="31" t="inlineStr">
        <x:is>
          <x:t xml:space="preserve">СОТР-095</x:t>
        </x:is>
      </x:c>
      <x:c r="N95" s="31" t="n">
        <x:v>99.2</x:v>
      </x:c>
      <x:c r="O95" s="31" t="n">
        <x:v>118.7</x:v>
      </x:c>
      <x:c r="P95" s="31" t="n">
        <x:v>3</x:v>
      </x:c>
      <x:c r="Q95" s="31" t="n">
        <x:v>100</x:v>
      </x:c>
      <x:c r="R95" s="31" t="inlineStr">
        <x:is>
          <x:t xml:space="preserve">Нет</x:t>
        </x:is>
      </x:c>
      <x:c r="S95" s="31" t="inlineStr">
        <x:is>
          <x:t xml:space="preserve">Нет</x:t>
        </x:is>
      </x:c>
      <x:c r="T95" s="31" t="inlineStr">
        <x:is>
          <x:t xml:space="preserve">Создано из строки заказа ПОЗ-0049-3</x:t>
        </x:is>
      </x:c>
    </x:row>
    <x:row r="96" ht="18" customHeight="1">
      <x:c r="A96" s="31" t="inlineStr">
        <x:is>
          <x:t xml:space="preserve">ПЗ-00095</x:t>
        </x:is>
      </x:c>
      <x:c r="B96" s="31" t="inlineStr">
        <x:is>
          <x:t xml:space="preserve">ЗК-1049</x:t>
        </x:is>
      </x:c>
      <x:c r="C96" s="31" t="inlineStr">
        <x:is>
          <x:t xml:space="preserve">ПОЗ-0049-4</x:t>
        </x:is>
      </x:c>
      <x:c r="D96" s="31" t="inlineStr">
        <x:is>
          <x:t xml:space="preserve">ИЗД-006</x:t>
        </x:is>
      </x:c>
      <x:c r="E96" s="31" t="n">
        <x:v>1</x:v>
      </x:c>
      <x:c r="F96" s="31" t="inlineStr">
        <x:is>
          <x:t xml:space="preserve">ОТК</x:t>
        </x:is>
      </x:c>
      <x:c r="G96" s="31" t="inlineStr">
        <x:is>
          <x:t xml:space="preserve">ОБ-006</x:t>
        </x:is>
      </x:c>
      <x:c r="H96" s="31" t="n">
        <x:v>46037</x:v>
      </x:c>
      <x:c r="I96" s="31" t="n">
        <x:v>46073</x:v>
      </x:c>
      <x:c r="J96" s="31" t="n">
        <x:v>46037</x:v>
      </x:c>
      <x:c r="K96" s="31" t="n">
        <x:v>46073</x:v>
      </x:c>
      <x:c r="L96" s="31" t="inlineStr">
        <x:is>
          <x:t xml:space="preserve">Завершено</x:t>
        </x:is>
      </x:c>
      <x:c r="M96" s="31" t="inlineStr">
        <x:is>
          <x:t xml:space="preserve">СОТР-100</x:t>
        </x:is>
      </x:c>
      <x:c r="N96" s="31" t="n">
        <x:v>91</x:v>
      </x:c>
      <x:c r="O96" s="31" t="n">
        <x:v>73.59999999999999</x:v>
      </x:c>
      <x:c r="P96" s="31" t="n">
        <x:v>2</x:v>
      </x:c>
      <x:c r="Q96" s="31" t="n">
        <x:v>100</x:v>
      </x:c>
      <x:c r="R96" s="31" t="inlineStr">
        <x:is>
          <x:t xml:space="preserve">Нет</x:t>
        </x:is>
      </x:c>
      <x:c r="S96" s="31" t="inlineStr">
        <x:is>
          <x:t xml:space="preserve">Нет</x:t>
        </x:is>
      </x:c>
      <x:c r="T96" s="31" t="inlineStr">
        <x:is>
          <x:t xml:space="preserve">Создано из строки заказа ПОЗ-0049-4</x:t>
        </x:is>
      </x:c>
    </x:row>
    <x:row r="97" ht="18" customHeight="1">
      <x:c r="A97" s="31" t="inlineStr">
        <x:is>
          <x:t xml:space="preserve">ПЗ-00096</x:t>
        </x:is>
      </x:c>
      <x:c r="B97" s="31" t="inlineStr">
        <x:is>
          <x:t xml:space="preserve">ЗК-1050</x:t>
        </x:is>
      </x:c>
      <x:c r="C97" s="31" t="inlineStr">
        <x:is>
          <x:t xml:space="preserve">ПОЗ-0050-1</x:t>
        </x:is>
      </x:c>
      <x:c r="D97" s="31" t="inlineStr">
        <x:is>
          <x:t xml:space="preserve">ИЗД-041</x:t>
        </x:is>
      </x:c>
      <x:c r="E97" s="31" t="n">
        <x:v>4</x:v>
      </x:c>
      <x:c r="F97" s="31" t="inlineStr">
        <x:is>
          <x:t xml:space="preserve">Сварка</x:t>
        </x:is>
      </x:c>
      <x:c r="G97" s="31" t="inlineStr">
        <x:is>
          <x:t xml:space="preserve">ОБ-019</x:t>
        </x:is>
      </x:c>
      <x:c r="H97" s="31" t="n">
        <x:v>46090</x:v>
      </x:c>
      <x:c r="I97" s="31" t="n">
        <x:v>46100</x:v>
      </x:c>
      <x:c r="J97" s="31" t="n">
        <x:v>46090</x:v>
      </x:c>
      <x:c r="K97" s="31" t="n"/>
      <x:c r="L97" s="31" t="inlineStr">
        <x:is>
          <x:t xml:space="preserve">Ожидает материалов</x:t>
        </x:is>
      </x:c>
      <x:c r="M97" s="31" t="inlineStr">
        <x:is>
          <x:t xml:space="preserve">СОТР-069</x:t>
        </x:is>
      </x:c>
      <x:c r="N97" s="31" t="n">
        <x:v>154</x:v>
      </x:c>
      <x:c r="O97" s="31" t="n"/>
      <x:c r="P97" s="31" t="n">
        <x:v>0</x:v>
      </x:c>
      <x:c r="Q97" s="31" t="n">
        <x:v>15</x:v>
      </x:c>
      <x:c r="R97" s="31" t="inlineStr">
        <x:is>
          <x:t xml:space="preserve">Да</x:t>
        </x:is>
      </x:c>
      <x:c r="S97" s="31" t="inlineStr">
        <x:is>
          <x:t xml:space="preserve">Нет</x:t>
        </x:is>
      </x:c>
      <x:c r="T97" s="31" t="inlineStr">
        <x:is>
          <x:t xml:space="preserve">Создано из строки заказа ПОЗ-0050-1</x:t>
        </x:is>
      </x:c>
    </x:row>
    <x:row r="98" ht="18" customHeight="1">
      <x:c r="A98" s="31" t="inlineStr">
        <x:is>
          <x:t xml:space="preserve">ПЗ-00097</x:t>
        </x:is>
      </x:c>
      <x:c r="B98" s="31" t="inlineStr">
        <x:is>
          <x:t xml:space="preserve">ЗК-1050</x:t>
        </x:is>
      </x:c>
      <x:c r="C98" s="31" t="inlineStr">
        <x:is>
          <x:t xml:space="preserve">ПОЗ-0050-2</x:t>
        </x:is>
      </x:c>
      <x:c r="D98" s="31" t="inlineStr">
        <x:is>
          <x:t xml:space="preserve">ИЗД-038</x:t>
        </x:is>
      </x:c>
      <x:c r="E98" s="31" t="n">
        <x:v>4</x:v>
      </x:c>
      <x:c r="F98" s="31" t="inlineStr">
        <x:is>
          <x:t xml:space="preserve">ОТК</x:t>
        </x:is>
      </x:c>
      <x:c r="G98" s="31" t="inlineStr">
        <x:is>
          <x:t xml:space="preserve">ОБ-007</x:t>
        </x:is>
      </x:c>
      <x:c r="H98" s="31" t="n">
        <x:v>46093</x:v>
      </x:c>
      <x:c r="I98" s="31" t="n">
        <x:v>46106</x:v>
      </x:c>
      <x:c r="J98" s="31" t="n">
        <x:v>46093</x:v>
      </x:c>
      <x:c r="K98" s="31" t="n"/>
      <x:c r="L98" s="31" t="inlineStr">
        <x:is>
          <x:t xml:space="preserve">В работе</x:t>
        </x:is>
      </x:c>
      <x:c r="M98" s="31" t="inlineStr">
        <x:is>
          <x:t xml:space="preserve">СОТР-063</x:t>
        </x:is>
      </x:c>
      <x:c r="N98" s="31" t="n">
        <x:v>113.6</x:v>
      </x:c>
      <x:c r="O98" s="31" t="n">
        <x:v>132.7</x:v>
      </x:c>
      <x:c r="P98" s="31" t="n">
        <x:v>0</x:v>
      </x:c>
      <x:c r="Q98" s="31" t="n">
        <x:v>35</x:v>
      </x:c>
      <x:c r="R98" s="31" t="inlineStr">
        <x:is>
          <x:t xml:space="preserve">Нет</x:t>
        </x:is>
      </x:c>
      <x:c r="S98" s="31" t="inlineStr">
        <x:is>
          <x:t xml:space="preserve">КД</x:t>
        </x:is>
      </x:c>
      <x:c r="T98" s="31" t="inlineStr">
        <x:is>
          <x:t xml:space="preserve">Создано из строки заказа ПОЗ-0050-2</x:t>
        </x:is>
      </x:c>
    </x:row>
    <x:row r="99" ht="18" customHeight="1">
      <x:c r="A99" s="31" t="inlineStr">
        <x:is>
          <x:t xml:space="preserve">ПЗ-00098</x:t>
        </x:is>
      </x:c>
      <x:c r="B99" s="31" t="inlineStr">
        <x:is>
          <x:t xml:space="preserve">ЗК-1050</x:t>
        </x:is>
      </x:c>
      <x:c r="C99" s="31" t="inlineStr">
        <x:is>
          <x:t xml:space="preserve">ПОЗ-0050-3</x:t>
        </x:is>
      </x:c>
      <x:c r="D99" s="31" t="inlineStr">
        <x:is>
          <x:t xml:space="preserve">ИЗД-016</x:t>
        </x:is>
      </x:c>
      <x:c r="E99" s="31" t="n">
        <x:v>4</x:v>
      </x:c>
      <x:c r="F99" s="31" t="inlineStr">
        <x:is>
          <x:t xml:space="preserve">ОТК</x:t>
        </x:is>
      </x:c>
      <x:c r="G99" s="31" t="inlineStr">
        <x:is>
          <x:t xml:space="preserve">ОБ-001</x:t>
        </x:is>
      </x:c>
      <x:c r="H99" s="31" t="n">
        <x:v>46088</x:v>
      </x:c>
      <x:c r="I99" s="31" t="n">
        <x:v>46106</x:v>
      </x:c>
      <x:c r="J99" s="31" t="n">
        <x:v>46088</x:v>
      </x:c>
      <x:c r="K99" s="31" t="n"/>
      <x:c r="L99" s="31" t="inlineStr">
        <x:is>
          <x:t xml:space="preserve">Ожидает материалов</x:t>
        </x:is>
      </x:c>
      <x:c r="M99" s="31" t="inlineStr">
        <x:is>
          <x:t xml:space="preserve">СОТР-097</x:t>
        </x:is>
      </x:c>
      <x:c r="N99" s="31" t="n">
        <x:v>444.8</x:v>
      </x:c>
      <x:c r="O99" s="31" t="n"/>
      <x:c r="P99" s="31" t="n">
        <x:v>0</x:v>
      </x:c>
      <x:c r="Q99" s="31" t="n">
        <x:v>15</x:v>
      </x:c>
      <x:c r="R99" s="31" t="inlineStr">
        <x:is>
          <x:t xml:space="preserve">Да</x:t>
        </x:is>
      </x:c>
      <x:c r="S99" s="31" t="inlineStr">
        <x:is>
          <x:t xml:space="preserve">Нет</x:t>
        </x:is>
      </x:c>
      <x:c r="T99" s="31" t="inlineStr">
        <x:is>
          <x:t xml:space="preserve">Создано из строки заказа ПОЗ-0050-3</x:t>
        </x:is>
      </x:c>
    </x:row>
    <x:row r="100" ht="18" customHeight="1">
      <x:c r="A100" s="31" t="inlineStr">
        <x:is>
          <x:t xml:space="preserve">ПЗ-00099</x:t>
        </x:is>
      </x:c>
      <x:c r="B100" s="31" t="inlineStr">
        <x:is>
          <x:t xml:space="preserve">ЗК-1050</x:t>
        </x:is>
      </x:c>
      <x:c r="C100" s="31" t="inlineStr">
        <x:is>
          <x:t xml:space="preserve">ПОЗ-0050-4</x:t>
        </x:is>
      </x:c>
      <x:c r="D100" s="31" t="inlineStr">
        <x:is>
          <x:t xml:space="preserve">ИЗД-023</x:t>
        </x:is>
      </x:c>
      <x:c r="E100" s="31" t="n">
        <x:v>3</x:v>
      </x:c>
      <x:c r="F100" s="31" t="inlineStr">
        <x:is>
          <x:t xml:space="preserve">ОТК</x:t>
        </x:is>
      </x:c>
      <x:c r="G100" s="31" t="inlineStr">
        <x:is>
          <x:t xml:space="preserve">ОБ-015</x:t>
        </x:is>
      </x:c>
      <x:c r="H100" s="31" t="n">
        <x:v>46094</x:v>
      </x:c>
      <x:c r="I100" s="31" t="n">
        <x:v>46101</x:v>
      </x:c>
      <x:c r="J100" s="31" t="n">
        <x:v>46094</x:v>
      </x:c>
      <x:c r="K100" s="31" t="n">
        <x:v>46101</x:v>
      </x:c>
      <x:c r="L100" s="31" t="inlineStr">
        <x:is>
          <x:t xml:space="preserve">Завершено</x:t>
        </x:is>
      </x:c>
      <x:c r="M100" s="31" t="inlineStr">
        <x:is>
          <x:t xml:space="preserve">СОТР-096</x:t>
        </x:is>
      </x:c>
      <x:c r="N100" s="31" t="n">
        <x:v>266.7</x:v>
      </x:c>
      <x:c r="O100" s="31" t="n">
        <x:v>230.8</x:v>
      </x:c>
      <x:c r="P100" s="31" t="n">
        <x:v>2</x:v>
      </x:c>
      <x:c r="Q100" s="31" t="n">
        <x:v>100</x:v>
      </x:c>
      <x:c r="R100" s="31" t="inlineStr">
        <x:is>
          <x:t xml:space="preserve">Да</x:t>
        </x:is>
      </x:c>
      <x:c r="S100" s="31" t="inlineStr">
        <x:is>
          <x:t xml:space="preserve">Нет</x:t>
        </x:is>
      </x:c>
      <x:c r="T100" s="31" t="inlineStr">
        <x:is>
          <x:t xml:space="preserve">Создано из строки заказа ПОЗ-0050-4</x:t>
        </x:is>
      </x:c>
    </x:row>
    <x:row r="101" ht="18" customHeight="1">
      <x:c r="A101" s="31" t="inlineStr">
        <x:is>
          <x:t xml:space="preserve">ПЗ-00100</x:t>
        </x:is>
      </x:c>
      <x:c r="B101" s="31" t="inlineStr">
        <x:is>
          <x:t xml:space="preserve">ЗК-1051</x:t>
        </x:is>
      </x:c>
      <x:c r="C101" s="31" t="inlineStr">
        <x:is>
          <x:t xml:space="preserve">ПОЗ-0051-1</x:t>
        </x:is>
      </x:c>
      <x:c r="D101" s="31" t="inlineStr">
        <x:is>
          <x:t xml:space="preserve">ИЗД-032</x:t>
        </x:is>
      </x:c>
      <x:c r="E101" s="31" t="n">
        <x:v>3</x:v>
      </x:c>
      <x:c r="F101" s="31" t="inlineStr">
        <x:is>
          <x:t xml:space="preserve">ОТК</x:t>
        </x:is>
      </x:c>
      <x:c r="G101" s="31" t="inlineStr">
        <x:is>
          <x:t xml:space="preserve">ОБ-001</x:t>
        </x:is>
      </x:c>
      <x:c r="H101" s="31" t="n">
        <x:v>46103</x:v>
      </x:c>
      <x:c r="I101" s="31" t="n">
        <x:v>46155</x:v>
      </x:c>
      <x:c r="J101" s="31" t="n">
        <x:v>46103</x:v>
      </x:c>
      <x:c r="K101" s="31" t="n">
        <x:v>46155</x:v>
      </x:c>
      <x:c r="L101" s="31" t="inlineStr">
        <x:is>
          <x:t xml:space="preserve">Завершено</x:t>
        </x:is>
      </x:c>
      <x:c r="M101" s="31" t="inlineStr">
        <x:is>
          <x:t xml:space="preserve">СОТР-063</x:t>
        </x:is>
      </x:c>
      <x:c r="N101" s="31" t="n">
        <x:v>77.7</x:v>
      </x:c>
      <x:c r="O101" s="31" t="n">
        <x:v>64.7</x:v>
      </x:c>
      <x:c r="P101" s="31" t="n">
        <x:v>1</x:v>
      </x:c>
      <x:c r="Q101" s="31" t="n">
        <x:v>100</x:v>
      </x:c>
      <x:c r="R101" s="31" t="inlineStr">
        <x:is>
          <x:t xml:space="preserve">Нет</x:t>
        </x:is>
      </x:c>
      <x:c r="S101" s="31" t="inlineStr">
        <x:is>
          <x:t xml:space="preserve">Нет</x:t>
        </x:is>
      </x:c>
      <x:c r="T101" s="31" t="inlineStr">
        <x:is>
          <x:t xml:space="preserve">Создано из строки заказа ПОЗ-0051-1</x:t>
        </x:is>
      </x:c>
    </x:row>
    <x:row r="102" ht="18" customHeight="1">
      <x:c r="A102" s="31" t="inlineStr">
        <x:is>
          <x:t xml:space="preserve">ПЗ-00101</x:t>
        </x:is>
      </x:c>
      <x:c r="B102" s="31" t="inlineStr">
        <x:is>
          <x:t xml:space="preserve">ЗК-1051</x:t>
        </x:is>
      </x:c>
      <x:c r="C102" s="31" t="inlineStr">
        <x:is>
          <x:t xml:space="preserve">ПОЗ-0051-2</x:t>
        </x:is>
      </x:c>
      <x:c r="D102" s="31" t="inlineStr">
        <x:is>
          <x:t xml:space="preserve">ИЗД-015</x:t>
        </x:is>
      </x:c>
      <x:c r="E102" s="31" t="n">
        <x:v>6</x:v>
      </x:c>
      <x:c r="F102" s="31" t="inlineStr">
        <x:is>
          <x:t xml:space="preserve">ОТК</x:t>
        </x:is>
      </x:c>
      <x:c r="G102" s="31" t="inlineStr">
        <x:is>
          <x:t xml:space="preserve">ОБ-022</x:t>
        </x:is>
      </x:c>
      <x:c r="H102" s="31" t="n">
        <x:v>46105</x:v>
      </x:c>
      <x:c r="I102" s="31" t="n">
        <x:v>46158</x:v>
      </x:c>
      <x:c r="J102" s="31" t="n">
        <x:v>46105</x:v>
      </x:c>
      <x:c r="K102" s="31" t="n">
        <x:v>46158</x:v>
      </x:c>
      <x:c r="L102" s="31" t="inlineStr">
        <x:is>
          <x:t xml:space="preserve">Завершено</x:t>
        </x:is>
      </x:c>
      <x:c r="M102" s="31" t="inlineStr">
        <x:is>
          <x:t xml:space="preserve">СОТР-100</x:t>
        </x:is>
      </x:c>
      <x:c r="N102" s="31" t="n">
        <x:v>95.40000000000001</x:v>
      </x:c>
      <x:c r="O102" s="31" t="n">
        <x:v>90.90000000000001</x:v>
      </x:c>
      <x:c r="P102" s="31" t="n">
        <x:v>3</x:v>
      </x:c>
      <x:c r="Q102" s="31" t="n">
        <x:v>100</x:v>
      </x:c>
      <x:c r="R102" s="31" t="inlineStr">
        <x:is>
          <x:t xml:space="preserve">Нет</x:t>
        </x:is>
      </x:c>
      <x:c r="S102" s="31" t="inlineStr">
        <x:is>
          <x:t xml:space="preserve">Нет</x:t>
        </x:is>
      </x:c>
      <x:c r="T102" s="31" t="inlineStr">
        <x:is>
          <x:t xml:space="preserve">Создано из строки заказа ПОЗ-0051-2</x:t>
        </x:is>
      </x:c>
    </x:row>
    <x:row r="103" ht="18" customHeight="1">
      <x:c r="A103" s="31" t="inlineStr">
        <x:is>
          <x:t xml:space="preserve">ПЗ-00102</x:t>
        </x:is>
      </x:c>
      <x:c r="B103" s="31" t="inlineStr">
        <x:is>
          <x:t xml:space="preserve">ЗК-1051</x:t>
        </x:is>
      </x:c>
      <x:c r="C103" s="31" t="inlineStr">
        <x:is>
          <x:t xml:space="preserve">ПОЗ-0051-3</x:t>
        </x:is>
      </x:c>
      <x:c r="D103" s="31" t="inlineStr">
        <x:is>
          <x:t xml:space="preserve">ИЗД-022</x:t>
        </x:is>
      </x:c>
      <x:c r="E103" s="31" t="n">
        <x:v>5</x:v>
      </x:c>
      <x:c r="F103" s="31" t="inlineStr">
        <x:is>
          <x:t xml:space="preserve">ОТК</x:t>
        </x:is>
      </x:c>
      <x:c r="G103" s="31" t="inlineStr">
        <x:is>
          <x:t xml:space="preserve">ОБ-033</x:t>
        </x:is>
      </x:c>
      <x:c r="H103" s="31" t="n">
        <x:v>46103</x:v>
      </x:c>
      <x:c r="I103" s="31" t="n">
        <x:v>46159</x:v>
      </x:c>
      <x:c r="J103" s="31" t="n">
        <x:v>46103</x:v>
      </x:c>
      <x:c r="K103" s="31" t="n">
        <x:v>46159</x:v>
      </x:c>
      <x:c r="L103" s="31" t="inlineStr">
        <x:is>
          <x:t xml:space="preserve">Завершено</x:t>
        </x:is>
      </x:c>
      <x:c r="M103" s="31" t="inlineStr">
        <x:is>
          <x:t xml:space="preserve">СОТР-096</x:t>
        </x:is>
      </x:c>
      <x:c r="N103" s="31" t="n">
        <x:v>306</x:v>
      </x:c>
      <x:c r="O103" s="31" t="n">
        <x:v>247.7</x:v>
      </x:c>
      <x:c r="P103" s="31" t="n">
        <x:v>3</x:v>
      </x:c>
      <x:c r="Q103" s="31" t="n">
        <x:v>100</x:v>
      </x:c>
      <x:c r="R103" s="31" t="inlineStr">
        <x:is>
          <x:t xml:space="preserve">Нет</x:t>
        </x:is>
      </x:c>
      <x:c r="S103" s="31" t="inlineStr">
        <x:is>
          <x:t xml:space="preserve">Нет</x:t>
        </x:is>
      </x:c>
      <x:c r="T103" s="31" t="inlineStr">
        <x:is>
          <x:t xml:space="preserve">Создано из строки заказа ПОЗ-0051-3</x:t>
        </x:is>
      </x:c>
    </x:row>
    <x:row r="104" ht="18" customHeight="1">
      <x:c r="A104" s="31" t="inlineStr">
        <x:is>
          <x:t xml:space="preserve">ПЗ-00103</x:t>
        </x:is>
      </x:c>
      <x:c r="B104" s="31" t="inlineStr">
        <x:is>
          <x:t xml:space="preserve">ЗК-1052</x:t>
        </x:is>
      </x:c>
      <x:c r="C104" s="31" t="inlineStr">
        <x:is>
          <x:t xml:space="preserve">ПОЗ-0052-1</x:t>
        </x:is>
      </x:c>
      <x:c r="D104" s="31" t="inlineStr">
        <x:is>
          <x:t xml:space="preserve">ИЗД-003</x:t>
        </x:is>
      </x:c>
      <x:c r="E104" s="31" t="n">
        <x:v>1</x:v>
      </x:c>
      <x:c r="F104" s="31" t="inlineStr">
        <x:is>
          <x:t xml:space="preserve">ОТК</x:t>
        </x:is>
      </x:c>
      <x:c r="G104" s="31" t="inlineStr">
        <x:is>
          <x:t xml:space="preserve">ОБ-028</x:t>
        </x:is>
      </x:c>
      <x:c r="H104" s="31" t="n">
        <x:v>46107</x:v>
      </x:c>
      <x:c r="I104" s="31" t="n">
        <x:v>46145</x:v>
      </x:c>
      <x:c r="J104" s="31" t="n">
        <x:v>46107</x:v>
      </x:c>
      <x:c r="K104" s="31" t="n">
        <x:v>46145</x:v>
      </x:c>
      <x:c r="L104" s="31" t="inlineStr">
        <x:is>
          <x:t xml:space="preserve">Завершено</x:t>
        </x:is>
      </x:c>
      <x:c r="M104" s="31" t="inlineStr">
        <x:is>
          <x:t xml:space="preserve">СОТР-099</x:t>
        </x:is>
      </x:c>
      <x:c r="N104" s="31" t="n">
        <x:v>45</x:v>
      </x:c>
      <x:c r="O104" s="31" t="n">
        <x:v>44.9</x:v>
      </x:c>
      <x:c r="P104" s="31" t="n">
        <x:v>3</x:v>
      </x:c>
      <x:c r="Q104" s="31" t="n">
        <x:v>100</x:v>
      </x:c>
      <x:c r="R104" s="31" t="inlineStr">
        <x:is>
          <x:t xml:space="preserve">Нет</x:t>
        </x:is>
      </x:c>
      <x:c r="S104" s="31" t="inlineStr">
        <x:is>
          <x:t xml:space="preserve">Нет</x:t>
        </x:is>
      </x:c>
      <x:c r="T104" s="31" t="inlineStr">
        <x:is>
          <x:t xml:space="preserve">Создано из строки заказа ПОЗ-0052-1</x:t>
        </x:is>
      </x:c>
    </x:row>
    <x:row r="105" ht="18" customHeight="1">
      <x:c r="A105" s="31" t="inlineStr">
        <x:is>
          <x:t xml:space="preserve">ПЗ-00104</x:t>
        </x:is>
      </x:c>
      <x:c r="B105" s="31" t="inlineStr">
        <x:is>
          <x:t xml:space="preserve">ЗК-1052</x:t>
        </x:is>
      </x:c>
      <x:c r="C105" s="31" t="inlineStr">
        <x:is>
          <x:t xml:space="preserve">ПОЗ-0052-2</x:t>
        </x:is>
      </x:c>
      <x:c r="D105" s="31" t="inlineStr">
        <x:is>
          <x:t xml:space="preserve">ИЗД-011</x:t>
        </x:is>
      </x:c>
      <x:c r="E105" s="31" t="n">
        <x:v>2</x:v>
      </x:c>
      <x:c r="F105" s="31" t="inlineStr">
        <x:is>
          <x:t xml:space="preserve">ОТК</x:t>
        </x:is>
      </x:c>
      <x:c r="G105" s="31" t="inlineStr">
        <x:is>
          <x:t xml:space="preserve">ОБ-032</x:t>
        </x:is>
      </x:c>
      <x:c r="H105" s="31" t="n">
        <x:v>46095</x:v>
      </x:c>
      <x:c r="I105" s="31" t="n">
        <x:v>46148</x:v>
      </x:c>
      <x:c r="J105" s="31" t="n">
        <x:v>46095</x:v>
      </x:c>
      <x:c r="K105" s="31" t="n">
        <x:v>46148</x:v>
      </x:c>
      <x:c r="L105" s="31" t="inlineStr">
        <x:is>
          <x:t xml:space="preserve">Завершено</x:t>
        </x:is>
      </x:c>
      <x:c r="M105" s="31" t="inlineStr">
        <x:is>
          <x:t xml:space="preserve">СОТР-099</x:t>
        </x:is>
      </x:c>
      <x:c r="N105" s="31" t="n">
        <x:v>107</x:v>
      </x:c>
      <x:c r="O105" s="31" t="n">
        <x:v>120.1</x:v>
      </x:c>
      <x:c r="P105" s="31" t="n">
        <x:v>0</x:v>
      </x:c>
      <x:c r="Q105" s="31" t="n">
        <x:v>100</x:v>
      </x:c>
      <x:c r="R105" s="31" t="inlineStr">
        <x:is>
          <x:t xml:space="preserve">Нет</x:t>
        </x:is>
      </x:c>
      <x:c r="S105" s="31" t="inlineStr">
        <x:is>
          <x:t xml:space="preserve">Нет</x:t>
        </x:is>
      </x:c>
      <x:c r="T105" s="31" t="inlineStr">
        <x:is>
          <x:t xml:space="preserve">Создано из строки заказа ПОЗ-0052-2</x:t>
        </x:is>
      </x:c>
    </x:row>
    <x:row r="106" ht="18" customHeight="1">
      <x:c r="A106" s="31" t="inlineStr">
        <x:is>
          <x:t xml:space="preserve">ПЗ-00105</x:t>
        </x:is>
      </x:c>
      <x:c r="B106" s="31" t="inlineStr">
        <x:is>
          <x:t xml:space="preserve">ЗК-1052</x:t>
        </x:is>
      </x:c>
      <x:c r="C106" s="31" t="inlineStr">
        <x:is>
          <x:t xml:space="preserve">ПОЗ-0052-3</x:t>
        </x:is>
      </x:c>
      <x:c r="D106" s="31" t="inlineStr">
        <x:is>
          <x:t xml:space="preserve">ИЗД-019</x:t>
        </x:is>
      </x:c>
      <x:c r="E106" s="31" t="n">
        <x:v>1</x:v>
      </x:c>
      <x:c r="F106" s="31" t="inlineStr">
        <x:is>
          <x:t xml:space="preserve">ОТК</x:t>
        </x:is>
      </x:c>
      <x:c r="G106" s="31" t="inlineStr">
        <x:is>
          <x:t xml:space="preserve">ОБ-001</x:t>
        </x:is>
      </x:c>
      <x:c r="H106" s="31" t="n">
        <x:v>46094</x:v>
      </x:c>
      <x:c r="I106" s="31" t="n">
        <x:v>46143</x:v>
      </x:c>
      <x:c r="J106" s="31" t="n">
        <x:v>46094</x:v>
      </x:c>
      <x:c r="K106" s="31" t="n">
        <x:v>46143</x:v>
      </x:c>
      <x:c r="L106" s="31" t="inlineStr">
        <x:is>
          <x:t xml:space="preserve">Завершено</x:t>
        </x:is>
      </x:c>
      <x:c r="M106" s="31" t="inlineStr">
        <x:is>
          <x:t xml:space="preserve">СОТР-099</x:t>
        </x:is>
      </x:c>
      <x:c r="N106" s="31" t="n">
        <x:v>42.1</x:v>
      </x:c>
      <x:c r="O106" s="31" t="n">
        <x:v>32</x:v>
      </x:c>
      <x:c r="P106" s="31" t="n">
        <x:v>2</x:v>
      </x:c>
      <x:c r="Q106" s="31" t="n">
        <x:v>100</x:v>
      </x:c>
      <x:c r="R106" s="31" t="inlineStr">
        <x:is>
          <x:t xml:space="preserve">Нет</x:t>
        </x:is>
      </x:c>
      <x:c r="S106" s="31" t="inlineStr">
        <x:is>
          <x:t xml:space="preserve">Нет</x:t>
        </x:is>
      </x:c>
      <x:c r="T106" s="31" t="inlineStr">
        <x:is>
          <x:t xml:space="preserve">Создано из строки заказа ПОЗ-0052-3</x:t>
        </x:is>
      </x:c>
    </x:row>
    <x:row r="107" ht="18" customHeight="1">
      <x:c r="A107" s="31" t="inlineStr">
        <x:is>
          <x:t xml:space="preserve">ПЗ-00106</x:t>
        </x:is>
      </x:c>
      <x:c r="B107" s="31" t="inlineStr">
        <x:is>
          <x:t xml:space="preserve">ЗК-1052</x:t>
        </x:is>
      </x:c>
      <x:c r="C107" s="31" t="inlineStr">
        <x:is>
          <x:t xml:space="preserve">ПОЗ-0052-4</x:t>
        </x:is>
      </x:c>
      <x:c r="D107" s="31" t="inlineStr">
        <x:is>
          <x:t xml:space="preserve">ИЗД-020</x:t>
        </x:is>
      </x:c>
      <x:c r="E107" s="31" t="n">
        <x:v>5</x:v>
      </x:c>
      <x:c r="F107" s="31" t="inlineStr">
        <x:is>
          <x:t xml:space="preserve">ОТК</x:t>
        </x:is>
      </x:c>
      <x:c r="G107" s="31" t="inlineStr">
        <x:is>
          <x:t xml:space="preserve">ОБ-022</x:t>
        </x:is>
      </x:c>
      <x:c r="H107" s="31" t="n">
        <x:v>46105</x:v>
      </x:c>
      <x:c r="I107" s="31" t="n">
        <x:v>46147</x:v>
      </x:c>
      <x:c r="J107" s="31" t="n">
        <x:v>46105</x:v>
      </x:c>
      <x:c r="K107" s="31" t="n">
        <x:v>46147</x:v>
      </x:c>
      <x:c r="L107" s="31" t="inlineStr">
        <x:is>
          <x:t xml:space="preserve">Завершено</x:t>
        </x:is>
      </x:c>
      <x:c r="M107" s="31" t="inlineStr">
        <x:is>
          <x:t xml:space="preserve">СОТР-092</x:t>
        </x:is>
      </x:c>
      <x:c r="N107" s="31" t="n">
        <x:v>204.5</x:v>
      </x:c>
      <x:c r="O107" s="31" t="n">
        <x:v>221.4</x:v>
      </x:c>
      <x:c r="P107" s="31" t="n">
        <x:v>3</x:v>
      </x:c>
      <x:c r="Q107" s="31" t="n">
        <x:v>100</x:v>
      </x:c>
      <x:c r="R107" s="31" t="inlineStr">
        <x:is>
          <x:t xml:space="preserve">Нет</x:t>
        </x:is>
      </x:c>
      <x:c r="S107" s="31" t="inlineStr">
        <x:is>
          <x:t xml:space="preserve">Нет</x:t>
        </x:is>
      </x:c>
      <x:c r="T107" s="31" t="inlineStr">
        <x:is>
          <x:t xml:space="preserve">Создано из строки заказа ПОЗ-0052-4</x:t>
        </x:is>
      </x:c>
    </x:row>
    <x:row r="108" ht="18" customHeight="1">
      <x:c r="A108" s="31" t="inlineStr">
        <x:is>
          <x:t xml:space="preserve">ПЗ-00107</x:t>
        </x:is>
      </x:c>
      <x:c r="B108" s="31" t="inlineStr">
        <x:is>
          <x:t xml:space="preserve">ЗК-1053</x:t>
        </x:is>
      </x:c>
      <x:c r="C108" s="31" t="inlineStr">
        <x:is>
          <x:t xml:space="preserve">ПОЗ-0053-1</x:t>
        </x:is>
      </x:c>
      <x:c r="D108" s="31" t="inlineStr">
        <x:is>
          <x:t xml:space="preserve">ИЗД-026</x:t>
        </x:is>
      </x:c>
      <x:c r="E108" s="31" t="n">
        <x:v>4</x:v>
      </x:c>
      <x:c r="F108" s="31" t="inlineStr">
        <x:is>
          <x:t xml:space="preserve">ОТК</x:t>
        </x:is>
      </x:c>
      <x:c r="G108" s="31" t="inlineStr">
        <x:is>
          <x:t xml:space="preserve">ОБ-015</x:t>
        </x:is>
      </x:c>
      <x:c r="H108" s="31" t="n">
        <x:v>46111</x:v>
      </x:c>
      <x:c r="I108" s="31" t="n">
        <x:v>46166</x:v>
      </x:c>
      <x:c r="J108" s="31" t="n">
        <x:v>46111</x:v>
      </x:c>
      <x:c r="K108" s="31" t="n"/>
      <x:c r="L108" s="31" t="inlineStr">
        <x:is>
          <x:t xml:space="preserve">В работе</x:t>
        </x:is>
      </x:c>
      <x:c r="M108" s="31" t="inlineStr">
        <x:is>
          <x:t xml:space="preserve">СОТР-098</x:t>
        </x:is>
      </x:c>
      <x:c r="N108" s="31" t="n">
        <x:v>405.2</x:v>
      </x:c>
      <x:c r="O108" s="31" t="n">
        <x:v>490.1</x:v>
      </x:c>
      <x:c r="P108" s="31" t="n">
        <x:v>0</x:v>
      </x:c>
      <x:c r="Q108" s="31" t="n">
        <x:v>80</x:v>
      </x:c>
      <x:c r="R108" s="31" t="inlineStr">
        <x:is>
          <x:t xml:space="preserve">Нет</x:t>
        </x:is>
      </x:c>
      <x:c r="S108" s="31" t="inlineStr">
        <x:is>
          <x:t xml:space="preserve">КД</x:t>
        </x:is>
      </x:c>
      <x:c r="T108" s="31" t="inlineStr">
        <x:is>
          <x:t xml:space="preserve">Создано из строки заказа ПОЗ-0053-1</x:t>
        </x:is>
      </x:c>
    </x:row>
    <x:row r="109" ht="18" customHeight="1">
      <x:c r="A109" s="31" t="inlineStr">
        <x:is>
          <x:t xml:space="preserve">ПЗ-00108</x:t>
        </x:is>
      </x:c>
      <x:c r="B109" s="31" t="inlineStr">
        <x:is>
          <x:t xml:space="preserve">ЗК-1053</x:t>
        </x:is>
      </x:c>
      <x:c r="C109" s="31" t="inlineStr">
        <x:is>
          <x:t xml:space="preserve">ПОЗ-0053-2</x:t>
        </x:is>
      </x:c>
      <x:c r="D109" s="31" t="inlineStr">
        <x:is>
          <x:t xml:space="preserve">ИЗД-024</x:t>
        </x:is>
      </x:c>
      <x:c r="E109" s="31" t="n">
        <x:v>3</x:v>
      </x:c>
      <x:c r="F109" s="31" t="inlineStr">
        <x:is>
          <x:t xml:space="preserve">ОТК</x:t>
        </x:is>
      </x:c>
      <x:c r="G109" s="31" t="inlineStr">
        <x:is>
          <x:t xml:space="preserve">ОБ-032</x:t>
        </x:is>
      </x:c>
      <x:c r="H109" s="31" t="n">
        <x:v>46115</x:v>
      </x:c>
      <x:c r="I109" s="31" t="n">
        <x:v>46165</x:v>
      </x:c>
      <x:c r="J109" s="31" t="n">
        <x:v>46115</x:v>
      </x:c>
      <x:c r="K109" s="31" t="n">
        <x:v>46165</x:v>
      </x:c>
      <x:c r="L109" s="31" t="inlineStr">
        <x:is>
          <x:t xml:space="preserve">Завершено</x:t>
        </x:is>
      </x:c>
      <x:c r="M109" s="31" t="inlineStr">
        <x:is>
          <x:t xml:space="preserve">СОТР-100</x:t>
        </x:is>
      </x:c>
      <x:c r="N109" s="31" t="n">
        <x:v>150</x:v>
      </x:c>
      <x:c r="O109" s="31" t="n">
        <x:v>185.1</x:v>
      </x:c>
      <x:c r="P109" s="31" t="n">
        <x:v>0</x:v>
      </x:c>
      <x:c r="Q109" s="31" t="n">
        <x:v>100</x:v>
      </x:c>
      <x:c r="R109" s="31" t="inlineStr">
        <x:is>
          <x:t xml:space="preserve">Нет</x:t>
        </x:is>
      </x:c>
      <x:c r="S109" s="31" t="inlineStr">
        <x:is>
          <x:t xml:space="preserve">Материал</x:t>
        </x:is>
      </x:c>
      <x:c r="T109" s="31" t="inlineStr">
        <x:is>
          <x:t xml:space="preserve">Создано из строки заказа ПОЗ-0053-2</x:t>
        </x:is>
      </x:c>
    </x:row>
    <x:row r="110" ht="18" customHeight="1">
      <x:c r="A110" s="31" t="inlineStr">
        <x:is>
          <x:t xml:space="preserve">ПЗ-00109</x:t>
        </x:is>
      </x:c>
      <x:c r="B110" s="31" t="inlineStr">
        <x:is>
          <x:t xml:space="preserve">ЗК-1053</x:t>
        </x:is>
      </x:c>
      <x:c r="C110" s="31" t="inlineStr">
        <x:is>
          <x:t xml:space="preserve">ПОЗ-0053-3</x:t>
        </x:is>
      </x:c>
      <x:c r="D110" s="31" t="inlineStr">
        <x:is>
          <x:t xml:space="preserve">ИЗД-035</x:t>
        </x:is>
      </x:c>
      <x:c r="E110" s="31" t="n">
        <x:v>1</x:v>
      </x:c>
      <x:c r="F110" s="31" t="inlineStr">
        <x:is>
          <x:t xml:space="preserve">ОТК</x:t>
        </x:is>
      </x:c>
      <x:c r="G110" s="31" t="inlineStr">
        <x:is>
          <x:t xml:space="preserve">ОБ-033</x:t>
        </x:is>
      </x:c>
      <x:c r="H110" s="31" t="n">
        <x:v>46109</x:v>
      </x:c>
      <x:c r="I110" s="31" t="n">
        <x:v>46168</x:v>
      </x:c>
      <x:c r="J110" s="31" t="n"/>
      <x:c r="K110" s="31" t="n"/>
      <x:c r="L110" s="31" t="inlineStr">
        <x:is>
          <x:t xml:space="preserve">Запланировано</x:t>
        </x:is>
      </x:c>
      <x:c r="M110" s="31" t="inlineStr">
        <x:is>
          <x:t xml:space="preserve">СОТР-099</x:t>
        </x:is>
      </x:c>
      <x:c r="N110" s="31" t="n">
        <x:v>64.5</x:v>
      </x:c>
      <x:c r="O110" s="31" t="n"/>
      <x:c r="P110" s="31" t="n">
        <x:v>0</x:v>
      </x:c>
      <x:c r="Q110" s="31" t="n">
        <x:v>10</x:v>
      </x:c>
      <x:c r="R110" s="31" t="inlineStr">
        <x:is>
          <x:t xml:space="preserve">Нет</x:t>
        </x:is>
      </x:c>
      <x:c r="S110" s="31" t="inlineStr">
        <x:is>
          <x:t xml:space="preserve">Нет</x:t>
        </x:is>
      </x:c>
      <x:c r="T110" s="31" t="inlineStr">
        <x:is>
          <x:t xml:space="preserve">Создано из строки заказа ПОЗ-0053-3</x:t>
        </x:is>
      </x:c>
    </x:row>
    <x:row r="111" ht="18" customHeight="1">
      <x:c r="A111" s="31" t="inlineStr">
        <x:is>
          <x:t xml:space="preserve">ПЗ-00110</x:t>
        </x:is>
      </x:c>
      <x:c r="B111" s="31" t="inlineStr">
        <x:is>
          <x:t xml:space="preserve">ЗК-1053</x:t>
        </x:is>
      </x:c>
      <x:c r="C111" s="31" t="inlineStr">
        <x:is>
          <x:t xml:space="preserve">ПОЗ-0053-4</x:t>
        </x:is>
      </x:c>
      <x:c r="D111" s="31" t="inlineStr">
        <x:is>
          <x:t xml:space="preserve">ИЗД-007</x:t>
        </x:is>
      </x:c>
      <x:c r="E111" s="31" t="n">
        <x:v>3</x:v>
      </x:c>
      <x:c r="F111" s="31" t="inlineStr">
        <x:is>
          <x:t xml:space="preserve">ОТК</x:t>
        </x:is>
      </x:c>
      <x:c r="G111" s="31" t="inlineStr">
        <x:is>
          <x:t xml:space="preserve">ОБ-001</x:t>
        </x:is>
      </x:c>
      <x:c r="H111" s="31" t="n">
        <x:v>46107</x:v>
      </x:c>
      <x:c r="I111" s="31" t="n">
        <x:v>46167</x:v>
      </x:c>
      <x:c r="J111" s="31" t="n">
        <x:v>46107</x:v>
      </x:c>
      <x:c r="K111" s="31" t="n"/>
      <x:c r="L111" s="31" t="inlineStr">
        <x:is>
          <x:t xml:space="preserve">В работе</x:t>
        </x:is>
      </x:c>
      <x:c r="M111" s="31" t="inlineStr">
        <x:is>
          <x:t xml:space="preserve">СОТР-063</x:t>
        </x:is>
      </x:c>
      <x:c r="N111" s="31" t="n">
        <x:v>201.3</x:v>
      </x:c>
      <x:c r="O111" s="31" t="n">
        <x:v>234.4</x:v>
      </x:c>
      <x:c r="P111" s="31" t="n">
        <x:v>0</x:v>
      </x:c>
      <x:c r="Q111" s="31" t="n">
        <x:v>31</x:v>
      </x:c>
      <x:c r="R111" s="31" t="inlineStr">
        <x:is>
          <x:t xml:space="preserve">Нет</x:t>
        </x:is>
      </x:c>
      <x:c r="S111" s="31" t="inlineStr">
        <x:is>
          <x:t xml:space="preserve">Нет</x:t>
        </x:is>
      </x:c>
      <x:c r="T111" s="31" t="inlineStr">
        <x:is>
          <x:t xml:space="preserve">Создано из строки заказа ПОЗ-0053-4</x:t>
        </x:is>
      </x:c>
    </x:row>
    <x:row r="112" ht="18" customHeight="1">
      <x:c r="A112" s="31" t="inlineStr">
        <x:is>
          <x:t xml:space="preserve">ПЗ-00111</x:t>
        </x:is>
      </x:c>
      <x:c r="B112" s="31" t="inlineStr">
        <x:is>
          <x:t xml:space="preserve">ЗК-1054</x:t>
        </x:is>
      </x:c>
      <x:c r="C112" s="31" t="inlineStr">
        <x:is>
          <x:t xml:space="preserve">ПОЗ-0054-1</x:t>
        </x:is>
      </x:c>
      <x:c r="D112" s="31" t="inlineStr">
        <x:is>
          <x:t xml:space="preserve">ИЗД-028</x:t>
        </x:is>
      </x:c>
      <x:c r="E112" s="31" t="n">
        <x:v>1</x:v>
      </x:c>
      <x:c r="F112" s="31" t="inlineStr">
        <x:is>
          <x:t xml:space="preserve">ОТК</x:t>
        </x:is>
      </x:c>
      <x:c r="G112" s="31" t="inlineStr">
        <x:is>
          <x:t xml:space="preserve">ОБ-015</x:t>
        </x:is>
      </x:c>
      <x:c r="H112" s="31" t="n">
        <x:v>46117</x:v>
      </x:c>
      <x:c r="I112" s="31" t="n">
        <x:v>46176</x:v>
      </x:c>
      <x:c r="J112" s="31" t="n">
        <x:v>46117</x:v>
      </x:c>
      <x:c r="K112" s="31" t="n"/>
      <x:c r="L112" s="31" t="inlineStr">
        <x:is>
          <x:t xml:space="preserve">Ожидает материалов</x:t>
        </x:is>
      </x:c>
      <x:c r="M112" s="31" t="inlineStr">
        <x:is>
          <x:t xml:space="preserve">СОТР-097</x:t>
        </x:is>
      </x:c>
      <x:c r="N112" s="31" t="n">
        <x:v>110</x:v>
      </x:c>
      <x:c r="O112" s="31" t="n"/>
      <x:c r="P112" s="31" t="n">
        <x:v>0</x:v>
      </x:c>
      <x:c r="Q112" s="31" t="n">
        <x:v>15</x:v>
      </x:c>
      <x:c r="R112" s="31" t="inlineStr">
        <x:is>
          <x:t xml:space="preserve">Нет</x:t>
        </x:is>
      </x:c>
      <x:c r="S112" s="31" t="inlineStr">
        <x:is>
          <x:t xml:space="preserve">Материал</x:t>
        </x:is>
      </x:c>
      <x:c r="T112" s="31" t="inlineStr">
        <x:is>
          <x:t xml:space="preserve">Создано из строки заказа ПОЗ-0054-1</x:t>
        </x:is>
      </x:c>
    </x:row>
    <x:row r="113" ht="18" customHeight="1">
      <x:c r="A113" s="31" t="inlineStr">
        <x:is>
          <x:t xml:space="preserve">ПЗ-00112</x:t>
        </x:is>
      </x:c>
      <x:c r="B113" s="31" t="inlineStr">
        <x:is>
          <x:t xml:space="preserve">ЗК-1055</x:t>
        </x:is>
      </x:c>
      <x:c r="C113" s="31" t="inlineStr">
        <x:is>
          <x:t xml:space="preserve">ПОЗ-0055-1</x:t>
        </x:is>
      </x:c>
      <x:c r="D113" s="31" t="inlineStr">
        <x:is>
          <x:t xml:space="preserve">ИЗД-040</x:t>
        </x:is>
      </x:c>
      <x:c r="E113" s="31" t="n">
        <x:v>2</x:v>
      </x:c>
      <x:c r="F113" s="31" t="inlineStr">
        <x:is>
          <x:t xml:space="preserve">ОТК</x:t>
        </x:is>
      </x:c>
      <x:c r="G113" s="31" t="inlineStr">
        <x:is>
          <x:t xml:space="preserve">ОБ-007</x:t>
        </x:is>
      </x:c>
      <x:c r="H113" s="31" t="n">
        <x:v>46043</x:v>
      </x:c>
      <x:c r="I113" s="31" t="n">
        <x:v>46120</x:v>
      </x:c>
      <x:c r="J113" s="31" t="n">
        <x:v>46043</x:v>
      </x:c>
      <x:c r="K113" s="31" t="n"/>
      <x:c r="L113" s="31" t="inlineStr">
        <x:is>
          <x:t xml:space="preserve">В работе</x:t>
        </x:is>
      </x:c>
      <x:c r="M113" s="31" t="inlineStr">
        <x:is>
          <x:t xml:space="preserve">СОТР-099</x:t>
        </x:is>
      </x:c>
      <x:c r="N113" s="31" t="n">
        <x:v>88.8</x:v>
      </x:c>
      <x:c r="O113" s="31" t="n">
        <x:v>102</x:v>
      </x:c>
      <x:c r="P113" s="31" t="n">
        <x:v>3</x:v>
      </x:c>
      <x:c r="Q113" s="31" t="n">
        <x:v>77</x:v>
      </x:c>
      <x:c r="R113" s="31" t="inlineStr">
        <x:is>
          <x:t xml:space="preserve">Нет</x:t>
        </x:is>
      </x:c>
      <x:c r="S113" s="31" t="inlineStr">
        <x:is>
          <x:t xml:space="preserve">Нет</x:t>
        </x:is>
      </x:c>
      <x:c r="T113" s="31" t="inlineStr">
        <x:is>
          <x:t xml:space="preserve">Создано из строки заказа ПОЗ-0055-1</x:t>
        </x:is>
      </x:c>
    </x:row>
    <x:row r="114" ht="18" customHeight="1">
      <x:c r="A114" s="31" t="inlineStr">
        <x:is>
          <x:t xml:space="preserve">ПЗ-00113</x:t>
        </x:is>
      </x:c>
      <x:c r="B114" s="31" t="inlineStr">
        <x:is>
          <x:t xml:space="preserve">ЗК-1055</x:t>
        </x:is>
      </x:c>
      <x:c r="C114" s="31" t="inlineStr">
        <x:is>
          <x:t xml:space="preserve">ПОЗ-0055-2</x:t>
        </x:is>
      </x:c>
      <x:c r="D114" s="31" t="inlineStr">
        <x:is>
          <x:t xml:space="preserve">ИЗД-024</x:t>
        </x:is>
      </x:c>
      <x:c r="E114" s="31" t="n">
        <x:v>4</x:v>
      </x:c>
      <x:c r="F114" s="31" t="inlineStr">
        <x:is>
          <x:t xml:space="preserve">ОТК</x:t>
        </x:is>
      </x:c>
      <x:c r="G114" s="31" t="inlineStr">
        <x:is>
          <x:t xml:space="preserve">ОБ-032</x:t>
        </x:is>
      </x:c>
      <x:c r="H114" s="31" t="n">
        <x:v>46044</x:v>
      </x:c>
      <x:c r="I114" s="31" t="n">
        <x:v>46124</x:v>
      </x:c>
      <x:c r="J114" s="31" t="n">
        <x:v>46044</x:v>
      </x:c>
      <x:c r="K114" s="31" t="n"/>
      <x:c r="L114" s="31" t="inlineStr">
        <x:is>
          <x:t xml:space="preserve">В работе</x:t>
        </x:is>
      </x:c>
      <x:c r="M114" s="31" t="inlineStr">
        <x:is>
          <x:t xml:space="preserve">СОТР-063</x:t>
        </x:is>
      </x:c>
      <x:c r="N114" s="31" t="n">
        <x:v>200</x:v>
      </x:c>
      <x:c r="O114" s="31" t="n">
        <x:v>195.6</x:v>
      </x:c>
      <x:c r="P114" s="31" t="n">
        <x:v>0</x:v>
      </x:c>
      <x:c r="Q114" s="31" t="n">
        <x:v>42</x:v>
      </x:c>
      <x:c r="R114" s="31" t="inlineStr">
        <x:is>
          <x:t xml:space="preserve">Нет</x:t>
        </x:is>
      </x:c>
      <x:c r="S114" s="31" t="inlineStr">
        <x:is>
          <x:t xml:space="preserve">Нет</x:t>
        </x:is>
      </x:c>
      <x:c r="T114" s="31" t="inlineStr">
        <x:is>
          <x:t xml:space="preserve">Создано из строки заказа ПОЗ-0055-2</x:t>
        </x:is>
      </x:c>
    </x:row>
    <x:row r="115" ht="18" customHeight="1">
      <x:c r="A115" s="31" t="inlineStr">
        <x:is>
          <x:t xml:space="preserve">ПЗ-00114</x:t>
        </x:is>
      </x:c>
      <x:c r="B115" s="31" t="inlineStr">
        <x:is>
          <x:t xml:space="preserve">ЗК-1055</x:t>
        </x:is>
      </x:c>
      <x:c r="C115" s="31" t="inlineStr">
        <x:is>
          <x:t xml:space="preserve">ПОЗ-0055-3</x:t>
        </x:is>
      </x:c>
      <x:c r="D115" s="31" t="inlineStr">
        <x:is>
          <x:t xml:space="preserve">ИЗД-037</x:t>
        </x:is>
      </x:c>
      <x:c r="E115" s="31" t="n">
        <x:v>1</x:v>
      </x:c>
      <x:c r="F115" s="31" t="inlineStr">
        <x:is>
          <x:t xml:space="preserve">ОТК</x:t>
        </x:is>
      </x:c>
      <x:c r="G115" s="31" t="inlineStr">
        <x:is>
          <x:t xml:space="preserve">ОБ-001</x:t>
        </x:is>
      </x:c>
      <x:c r="H115" s="31" t="n">
        <x:v>46053</x:v>
      </x:c>
      <x:c r="I115" s="31" t="n">
        <x:v>46124</x:v>
      </x:c>
      <x:c r="J115" s="31" t="n">
        <x:v>46053</x:v>
      </x:c>
      <x:c r="K115" s="31" t="n">
        <x:v>46124</x:v>
      </x:c>
      <x:c r="L115" s="31" t="inlineStr">
        <x:is>
          <x:t xml:space="preserve">Завершено</x:t>
        </x:is>
      </x:c>
      <x:c r="M115" s="31" t="inlineStr">
        <x:is>
          <x:t xml:space="preserve">СОТР-063</x:t>
        </x:is>
      </x:c>
      <x:c r="N115" s="31" t="n">
        <x:v>83.8</x:v>
      </x:c>
      <x:c r="O115" s="31" t="n">
        <x:v>62.9</x:v>
      </x:c>
      <x:c r="P115" s="31" t="n">
        <x:v>3</x:v>
      </x:c>
      <x:c r="Q115" s="31" t="n">
        <x:v>100</x:v>
      </x:c>
      <x:c r="R115" s="31" t="inlineStr">
        <x:is>
          <x:t xml:space="preserve">Нет</x:t>
        </x:is>
      </x:c>
      <x:c r="S115" s="31" t="inlineStr">
        <x:is>
          <x:t xml:space="preserve">Нет</x:t>
        </x:is>
      </x:c>
      <x:c r="T115" s="31" t="inlineStr">
        <x:is>
          <x:t xml:space="preserve">Создано из строки заказа ПОЗ-0055-3</x:t>
        </x:is>
      </x:c>
    </x:row>
    <x:row r="116" ht="18" customHeight="1">
      <x:c r="A116" s="31" t="inlineStr">
        <x:is>
          <x:t xml:space="preserve">ПЗ-00115</x:t>
        </x:is>
      </x:c>
      <x:c r="B116" s="31" t="inlineStr">
        <x:is>
          <x:t xml:space="preserve">ЗК-1056</x:t>
        </x:is>
      </x:c>
      <x:c r="C116" s="31" t="inlineStr">
        <x:is>
          <x:t xml:space="preserve">ПОЗ-0056-1</x:t>
        </x:is>
      </x:c>
      <x:c r="D116" s="31" t="inlineStr">
        <x:is>
          <x:t xml:space="preserve">ИЗД-038</x:t>
        </x:is>
      </x:c>
      <x:c r="E116" s="31" t="n">
        <x:v>4</x:v>
      </x:c>
      <x:c r="F116" s="31" t="inlineStr">
        <x:is>
          <x:t xml:space="preserve">ОТК</x:t>
        </x:is>
      </x:c>
      <x:c r="G116" s="31" t="inlineStr">
        <x:is>
          <x:t xml:space="preserve">ОБ-013</x:t>
        </x:is>
      </x:c>
      <x:c r="H116" s="31" t="n">
        <x:v>46059</x:v>
      </x:c>
      <x:c r="I116" s="31" t="n">
        <x:v>46131</x:v>
      </x:c>
      <x:c r="J116" s="31" t="n">
        <x:v>46059</x:v>
      </x:c>
      <x:c r="K116" s="31" t="n">
        <x:v>46131</x:v>
      </x:c>
      <x:c r="L116" s="31" t="inlineStr">
        <x:is>
          <x:t xml:space="preserve">Завершено</x:t>
        </x:is>
      </x:c>
      <x:c r="M116" s="31" t="inlineStr">
        <x:is>
          <x:t xml:space="preserve">СОТР-095</x:t>
        </x:is>
      </x:c>
      <x:c r="N116" s="31" t="n">
        <x:v>113.6</x:v>
      </x:c>
      <x:c r="O116" s="31" t="n">
        <x:v>114.5</x:v>
      </x:c>
      <x:c r="P116" s="31" t="n">
        <x:v>3</x:v>
      </x:c>
      <x:c r="Q116" s="31" t="n">
        <x:v>100</x:v>
      </x:c>
      <x:c r="R116" s="31" t="inlineStr">
        <x:is>
          <x:t xml:space="preserve">Да</x:t>
        </x:is>
      </x:c>
      <x:c r="S116" s="31" t="inlineStr">
        <x:is>
          <x:t xml:space="preserve">Нет</x:t>
        </x:is>
      </x:c>
      <x:c r="T116" s="31" t="inlineStr">
        <x:is>
          <x:t xml:space="preserve">Создано из строки заказа ПОЗ-0056-1</x:t>
        </x:is>
      </x:c>
    </x:row>
    <x:row r="117" ht="18" customHeight="1">
      <x:c r="A117" s="31" t="inlineStr">
        <x:is>
          <x:t xml:space="preserve">ПЗ-00116</x:t>
        </x:is>
      </x:c>
      <x:c r="B117" s="31" t="inlineStr">
        <x:is>
          <x:t xml:space="preserve">ЗК-1056</x:t>
        </x:is>
      </x:c>
      <x:c r="C117" s="31" t="inlineStr">
        <x:is>
          <x:t xml:space="preserve">ПОЗ-0056-2</x:t>
        </x:is>
      </x:c>
      <x:c r="D117" s="31" t="inlineStr">
        <x:is>
          <x:t xml:space="preserve">ИЗД-020</x:t>
        </x:is>
      </x:c>
      <x:c r="E117" s="31" t="n">
        <x:v>3</x:v>
      </x:c>
      <x:c r="F117" s="31" t="inlineStr">
        <x:is>
          <x:t xml:space="preserve">ОТК</x:t>
        </x:is>
      </x:c>
      <x:c r="G117" s="31" t="inlineStr">
        <x:is>
          <x:t xml:space="preserve">ОБ-007</x:t>
        </x:is>
      </x:c>
      <x:c r="H117" s="31" t="n">
        <x:v>46075</x:v>
      </x:c>
      <x:c r="I117" s="31" t="n">
        <x:v>46129</x:v>
      </x:c>
      <x:c r="J117" s="31" t="n">
        <x:v>46075</x:v>
      </x:c>
      <x:c r="K117" s="31" t="n"/>
      <x:c r="L117" s="31" t="inlineStr">
        <x:is>
          <x:t xml:space="preserve">Ожидает материалов</x:t>
        </x:is>
      </x:c>
      <x:c r="M117" s="31" t="inlineStr">
        <x:is>
          <x:t xml:space="preserve">СОТР-063</x:t>
        </x:is>
      </x:c>
      <x:c r="N117" s="31" t="n">
        <x:v>122.7</x:v>
      </x:c>
      <x:c r="O117" s="31" t="n"/>
      <x:c r="P117" s="31" t="n">
        <x:v>0</x:v>
      </x:c>
      <x:c r="Q117" s="31" t="n">
        <x:v>15</x:v>
      </x:c>
      <x:c r="R117" s="31" t="inlineStr">
        <x:is>
          <x:t xml:space="preserve">Нет</x:t>
        </x:is>
      </x:c>
      <x:c r="S117" s="31" t="inlineStr">
        <x:is>
          <x:t xml:space="preserve">Нет</x:t>
        </x:is>
      </x:c>
      <x:c r="T117" s="31" t="inlineStr">
        <x:is>
          <x:t xml:space="preserve">Создано из строки заказа ПОЗ-0056-2</x:t>
        </x:is>
      </x:c>
    </x:row>
    <x:row r="118" ht="18" customHeight="1">
      <x:c r="A118" s="31" t="inlineStr">
        <x:is>
          <x:t xml:space="preserve">ПЗ-00117</x:t>
        </x:is>
      </x:c>
      <x:c r="B118" s="31" t="inlineStr">
        <x:is>
          <x:t xml:space="preserve">ЗК-1056</x:t>
        </x:is>
      </x:c>
      <x:c r="C118" s="31" t="inlineStr">
        <x:is>
          <x:t xml:space="preserve">ПОЗ-0056-3</x:t>
        </x:is>
      </x:c>
      <x:c r="D118" s="31" t="inlineStr">
        <x:is>
          <x:t xml:space="preserve">ИЗД-024</x:t>
        </x:is>
      </x:c>
      <x:c r="E118" s="31" t="n">
        <x:v>5</x:v>
      </x:c>
      <x:c r="F118" s="31" t="inlineStr">
        <x:is>
          <x:t xml:space="preserve">ОТК</x:t>
        </x:is>
      </x:c>
      <x:c r="G118" s="31" t="inlineStr">
        <x:is>
          <x:t xml:space="preserve">ОБ-001</x:t>
        </x:is>
      </x:c>
      <x:c r="H118" s="31" t="n">
        <x:v>46064</x:v>
      </x:c>
      <x:c r="I118" s="31" t="n">
        <x:v>46125</x:v>
      </x:c>
      <x:c r="J118" s="31" t="n">
        <x:v>46064</x:v>
      </x:c>
      <x:c r="K118" s="31" t="n"/>
      <x:c r="L118" s="31" t="inlineStr">
        <x:is>
          <x:t xml:space="preserve">В работе</x:t>
        </x:is>
      </x:c>
      <x:c r="M118" s="31" t="inlineStr">
        <x:is>
          <x:t xml:space="preserve">СОТР-063</x:t>
        </x:is>
      </x:c>
      <x:c r="N118" s="31" t="n">
        <x:v>250</x:v>
      </x:c>
      <x:c r="O118" s="31" t="n">
        <x:v>312</x:v>
      </x:c>
      <x:c r="P118" s="31" t="n">
        <x:v>0</x:v>
      </x:c>
      <x:c r="Q118" s="31" t="n">
        <x:v>39</x:v>
      </x:c>
      <x:c r="R118" s="31" t="inlineStr">
        <x:is>
          <x:t xml:space="preserve">Нет</x:t>
        </x:is>
      </x:c>
      <x:c r="S118" s="31" t="inlineStr">
        <x:is>
          <x:t xml:space="preserve">Нет</x:t>
        </x:is>
      </x:c>
      <x:c r="T118" s="31" t="inlineStr">
        <x:is>
          <x:t xml:space="preserve">Создано из строки заказа ПОЗ-0056-3</x:t>
        </x:is>
      </x:c>
    </x:row>
    <x:row r="119" ht="18" customHeight="1">
      <x:c r="A119" s="31" t="inlineStr">
        <x:is>
          <x:t xml:space="preserve">ПЗ-00118</x:t>
        </x:is>
      </x:c>
      <x:c r="B119" s="31" t="inlineStr">
        <x:is>
          <x:t xml:space="preserve">ЗК-1056</x:t>
        </x:is>
      </x:c>
      <x:c r="C119" s="31" t="inlineStr">
        <x:is>
          <x:t xml:space="preserve">ПОЗ-0056-4</x:t>
        </x:is>
      </x:c>
      <x:c r="D119" s="31" t="inlineStr">
        <x:is>
          <x:t xml:space="preserve">ИЗД-040</x:t>
        </x:is>
      </x:c>
      <x:c r="E119" s="31" t="n">
        <x:v>2</x:v>
      </x:c>
      <x:c r="F119" s="31" t="inlineStr">
        <x:is>
          <x:t xml:space="preserve">ОТК</x:t>
        </x:is>
      </x:c>
      <x:c r="G119" s="31" t="inlineStr">
        <x:is>
          <x:t xml:space="preserve">ОБ-022</x:t>
        </x:is>
      </x:c>
      <x:c r="H119" s="31" t="n">
        <x:v>46066</x:v>
      </x:c>
      <x:c r="I119" s="31" t="n">
        <x:v>46126</x:v>
      </x:c>
      <x:c r="J119" s="31" t="n"/>
      <x:c r="K119" s="31" t="n"/>
      <x:c r="L119" s="31" t="inlineStr">
        <x:is>
          <x:t xml:space="preserve">Запланировано</x:t>
        </x:is>
      </x:c>
      <x:c r="M119" s="31" t="inlineStr">
        <x:is>
          <x:t xml:space="preserve">СОТР-098</x:t>
        </x:is>
      </x:c>
      <x:c r="N119" s="31" t="n">
        <x:v>88.8</x:v>
      </x:c>
      <x:c r="O119" s="31" t="n"/>
      <x:c r="P119" s="31" t="n">
        <x:v>0</x:v>
      </x:c>
      <x:c r="Q119" s="31" t="n">
        <x:v>10</x:v>
      </x:c>
      <x:c r="R119" s="31" t="inlineStr">
        <x:is>
          <x:t xml:space="preserve">Нет</x:t>
        </x:is>
      </x:c>
      <x:c r="S119" s="31" t="inlineStr">
        <x:is>
          <x:t xml:space="preserve">Материал</x:t>
        </x:is>
      </x:c>
      <x:c r="T119" s="31" t="inlineStr">
        <x:is>
          <x:t xml:space="preserve">Создано из строки заказа ПОЗ-0056-4</x:t>
        </x:is>
      </x:c>
    </x:row>
    <x:row r="120" ht="18" customHeight="1">
      <x:c r="A120" s="31" t="inlineStr">
        <x:is>
          <x:t xml:space="preserve">ПЗ-00119</x:t>
        </x:is>
      </x:c>
      <x:c r="B120" s="31" t="inlineStr">
        <x:is>
          <x:t xml:space="preserve">ЗК-1057</x:t>
        </x:is>
      </x:c>
      <x:c r="C120" s="31" t="inlineStr">
        <x:is>
          <x:t xml:space="preserve">ПОЗ-0057-1</x:t>
        </x:is>
      </x:c>
      <x:c r="D120" s="31" t="inlineStr">
        <x:is>
          <x:t xml:space="preserve">ИЗД-041</x:t>
        </x:is>
      </x:c>
      <x:c r="E120" s="31" t="n">
        <x:v>2</x:v>
      </x:c>
      <x:c r="F120" s="31" t="inlineStr">
        <x:is>
          <x:t xml:space="preserve">Сварка</x:t>
        </x:is>
      </x:c>
      <x:c r="G120" s="31" t="inlineStr">
        <x:is>
          <x:t xml:space="preserve">ОБ-035</x:t>
        </x:is>
      </x:c>
      <x:c r="H120" s="31" t="n">
        <x:v>46147</x:v>
      </x:c>
      <x:c r="I120" s="31" t="n">
        <x:v>46169</x:v>
      </x:c>
      <x:c r="J120" s="31" t="n">
        <x:v>46147</x:v>
      </x:c>
      <x:c r="K120" s="31" t="n">
        <x:v>46169</x:v>
      </x:c>
      <x:c r="L120" s="31" t="inlineStr">
        <x:is>
          <x:t xml:space="preserve">Завершено</x:t>
        </x:is>
      </x:c>
      <x:c r="M120" s="31" t="inlineStr">
        <x:is>
          <x:t xml:space="preserve">СОТР-058</x:t>
        </x:is>
      </x:c>
      <x:c r="N120" s="31" t="n">
        <x:v>77</x:v>
      </x:c>
      <x:c r="O120" s="31" t="n">
        <x:v>86.59999999999999</x:v>
      </x:c>
      <x:c r="P120" s="31" t="n">
        <x:v>1</x:v>
      </x:c>
      <x:c r="Q120" s="31" t="n">
        <x:v>100</x:v>
      </x:c>
      <x:c r="R120" s="31" t="inlineStr">
        <x:is>
          <x:t xml:space="preserve">Нет</x:t>
        </x:is>
      </x:c>
      <x:c r="S120" s="31" t="inlineStr">
        <x:is>
          <x:t xml:space="preserve">ОТК</x:t>
        </x:is>
      </x:c>
      <x:c r="T120" s="31" t="inlineStr">
        <x:is>
          <x:t xml:space="preserve">Создано из строки заказа ПОЗ-0057-1</x:t>
        </x:is>
      </x:c>
    </x:row>
    <x:row r="121" ht="18" customHeight="1">
      <x:c r="A121" s="31" t="inlineStr">
        <x:is>
          <x:t xml:space="preserve">ПЗ-00120</x:t>
        </x:is>
      </x:c>
      <x:c r="B121" s="31" t="inlineStr">
        <x:is>
          <x:t xml:space="preserve">ЗК-1057</x:t>
        </x:is>
      </x:c>
      <x:c r="C121" s="31" t="inlineStr">
        <x:is>
          <x:t xml:space="preserve">ПОЗ-0057-2</x:t>
        </x:is>
      </x:c>
      <x:c r="D121" s="31" t="inlineStr">
        <x:is>
          <x:t xml:space="preserve">ИЗД-018</x:t>
        </x:is>
      </x:c>
      <x:c r="E121" s="31" t="n">
        <x:v>3</x:v>
      </x:c>
      <x:c r="F121" s="31" t="inlineStr">
        <x:is>
          <x:t xml:space="preserve">ОТК</x:t>
        </x:is>
      </x:c>
      <x:c r="G121" s="31" t="inlineStr">
        <x:is>
          <x:t xml:space="preserve">ОБ-013</x:t>
        </x:is>
      </x:c>
      <x:c r="H121" s="31" t="n">
        <x:v>46158</x:v>
      </x:c>
      <x:c r="I121" s="31" t="n">
        <x:v>46164</x:v>
      </x:c>
      <x:c r="J121" s="31" t="n">
        <x:v>46158</x:v>
      </x:c>
      <x:c r="K121" s="31" t="n">
        <x:v>46164</x:v>
      </x:c>
      <x:c r="L121" s="31" t="inlineStr">
        <x:is>
          <x:t xml:space="preserve">Завершено</x:t>
        </x:is>
      </x:c>
      <x:c r="M121" s="31" t="inlineStr">
        <x:is>
          <x:t xml:space="preserve">СОТР-096</x:t>
        </x:is>
      </x:c>
      <x:c r="N121" s="31" t="n">
        <x:v>133.2</x:v>
      </x:c>
      <x:c r="O121" s="31" t="n">
        <x:v>115.6</x:v>
      </x:c>
      <x:c r="P121" s="31" t="n">
        <x:v>2</x:v>
      </x:c>
      <x:c r="Q121" s="31" t="n">
        <x:v>100</x:v>
      </x:c>
      <x:c r="R121" s="31" t="inlineStr">
        <x:is>
          <x:t xml:space="preserve">Да</x:t>
        </x:is>
      </x:c>
      <x:c r="S121" s="31" t="inlineStr">
        <x:is>
          <x:t xml:space="preserve">Нет</x:t>
        </x:is>
      </x:c>
      <x:c r="T121" s="31" t="inlineStr">
        <x:is>
          <x:t xml:space="preserve">Создано из строки заказа ПОЗ-0057-2</x:t>
        </x:is>
      </x:c>
    </x:row>
    <x:row r="122" ht="18" customHeight="1">
      <x:c r="A122" s="31" t="inlineStr">
        <x:is>
          <x:t xml:space="preserve">ПЗ-00121</x:t>
        </x:is>
      </x:c>
      <x:c r="B122" s="31" t="inlineStr">
        <x:is>
          <x:t xml:space="preserve">ЗК-1059</x:t>
        </x:is>
      </x:c>
      <x:c r="C122" s="31" t="inlineStr">
        <x:is>
          <x:t xml:space="preserve">ПОЗ-0059-1</x:t>
        </x:is>
      </x:c>
      <x:c r="D122" s="31" t="inlineStr">
        <x:is>
          <x:t xml:space="preserve">ИЗД-009</x:t>
        </x:is>
      </x:c>
      <x:c r="E122" s="31" t="n">
        <x:v>4</x:v>
      </x:c>
      <x:c r="F122" s="31" t="inlineStr">
        <x:is>
          <x:t xml:space="preserve">ОТК</x:t>
        </x:is>
      </x:c>
      <x:c r="G122" s="31" t="inlineStr">
        <x:is>
          <x:t xml:space="preserve">ОБ-013</x:t>
        </x:is>
      </x:c>
      <x:c r="H122" s="31" t="n">
        <x:v>46185</x:v>
      </x:c>
      <x:c r="I122" s="31" t="n">
        <x:v>46247</x:v>
      </x:c>
      <x:c r="J122" s="31" t="n">
        <x:v>46185</x:v>
      </x:c>
      <x:c r="K122" s="31" t="n">
        <x:v>46247</x:v>
      </x:c>
      <x:c r="L122" s="31" t="inlineStr">
        <x:is>
          <x:t xml:space="preserve">Завершено</x:t>
        </x:is>
      </x:c>
      <x:c r="M122" s="31" t="inlineStr">
        <x:is>
          <x:t xml:space="preserve">СОТР-093</x:t>
        </x:is>
      </x:c>
      <x:c r="N122" s="31" t="n">
        <x:v>384</x:v>
      </x:c>
      <x:c r="O122" s="31" t="n">
        <x:v>341.6</x:v>
      </x:c>
      <x:c r="P122" s="31" t="n">
        <x:v>0</x:v>
      </x:c>
      <x:c r="Q122" s="31" t="n">
        <x:v>100</x:v>
      </x:c>
      <x:c r="R122" s="31" t="inlineStr">
        <x:is>
          <x:t xml:space="preserve">Да</x:t>
        </x:is>
      </x:c>
      <x:c r="S122" s="31" t="inlineStr">
        <x:is>
          <x:t xml:space="preserve">Нет</x:t>
        </x:is>
      </x:c>
      <x:c r="T122" s="31" t="inlineStr">
        <x:is>
          <x:t xml:space="preserve">Создано из строки заказа ПОЗ-0059-1</x:t>
        </x:is>
      </x:c>
    </x:row>
    <x:row r="123" ht="18" customHeight="1">
      <x:c r="A123" s="31" t="inlineStr">
        <x:is>
          <x:t xml:space="preserve">ПЗ-00122</x:t>
        </x:is>
      </x:c>
      <x:c r="B123" s="31" t="inlineStr">
        <x:is>
          <x:t xml:space="preserve">ЗК-1059</x:t>
        </x:is>
      </x:c>
      <x:c r="C123" s="31" t="inlineStr">
        <x:is>
          <x:t xml:space="preserve">ПОЗ-0059-2</x:t>
        </x:is>
      </x:c>
      <x:c r="D123" s="31" t="inlineStr">
        <x:is>
          <x:t xml:space="preserve">ИЗД-006</x:t>
        </x:is>
      </x:c>
      <x:c r="E123" s="31" t="n">
        <x:v>2</x:v>
      </x:c>
      <x:c r="F123" s="31" t="inlineStr">
        <x:is>
          <x:t xml:space="preserve">ОТК</x:t>
        </x:is>
      </x:c>
      <x:c r="G123" s="31" t="inlineStr">
        <x:is>
          <x:t xml:space="preserve">ОБ-032</x:t>
        </x:is>
      </x:c>
      <x:c r="H123" s="31" t="n">
        <x:v>46192</x:v>
      </x:c>
      <x:c r="I123" s="31" t="n">
        <x:v>46250</x:v>
      </x:c>
      <x:c r="J123" s="31" t="n">
        <x:v>46192</x:v>
      </x:c>
      <x:c r="K123" s="31" t="n">
        <x:v>46250</x:v>
      </x:c>
      <x:c r="L123" s="31" t="inlineStr">
        <x:is>
          <x:t xml:space="preserve">Завершено</x:t>
        </x:is>
      </x:c>
      <x:c r="M123" s="31" t="inlineStr">
        <x:is>
          <x:t xml:space="preserve">СОТР-063</x:t>
        </x:is>
      </x:c>
      <x:c r="N123" s="31" t="n">
        <x:v>182</x:v>
      </x:c>
      <x:c r="O123" s="31" t="n">
        <x:v>201.6</x:v>
      </x:c>
      <x:c r="P123" s="31" t="n">
        <x:v>2</x:v>
      </x:c>
      <x:c r="Q123" s="31" t="n">
        <x:v>100</x:v>
      </x:c>
      <x:c r="R123" s="31" t="inlineStr">
        <x:is>
          <x:t xml:space="preserve">Да</x:t>
        </x:is>
      </x:c>
      <x:c r="S123" s="31" t="inlineStr">
        <x:is>
          <x:t xml:space="preserve">Нет</x:t>
        </x:is>
      </x:c>
      <x:c r="T123" s="31" t="inlineStr">
        <x:is>
          <x:t xml:space="preserve">Создано из строки заказа ПОЗ-0059-2</x:t>
        </x:is>
      </x:c>
    </x:row>
    <x:row r="124" ht="18" customHeight="1">
      <x:c r="A124" s="31" t="inlineStr">
        <x:is>
          <x:t xml:space="preserve">ПЗ-00123</x:t>
        </x:is>
      </x:c>
      <x:c r="B124" s="31" t="inlineStr">
        <x:is>
          <x:t xml:space="preserve">ЗК-1060</x:t>
        </x:is>
      </x:c>
      <x:c r="C124" s="31" t="inlineStr">
        <x:is>
          <x:t xml:space="preserve">ПОЗ-0060-1</x:t>
        </x:is>
      </x:c>
      <x:c r="D124" s="31" t="inlineStr">
        <x:is>
          <x:t xml:space="preserve">ИЗД-039</x:t>
        </x:is>
      </x:c>
      <x:c r="E124" s="31" t="n">
        <x:v>5</x:v>
      </x:c>
      <x:c r="F124" s="31" t="inlineStr">
        <x:is>
          <x:t xml:space="preserve">Сварка</x:t>
        </x:is>
      </x:c>
      <x:c r="G124" s="31" t="inlineStr">
        <x:is>
          <x:t xml:space="preserve">ОБ-019</x:t>
        </x:is>
      </x:c>
      <x:c r="H124" s="31" t="n">
        <x:v>46201</x:v>
      </x:c>
      <x:c r="I124" s="31" t="n">
        <x:v>46244</x:v>
      </x:c>
      <x:c r="J124" s="31" t="n">
        <x:v>46201</x:v>
      </x:c>
      <x:c r="K124" s="31" t="n">
        <x:v>46244</x:v>
      </x:c>
      <x:c r="L124" s="31" t="inlineStr">
        <x:is>
          <x:t xml:space="preserve">Завершено</x:t>
        </x:is>
      </x:c>
      <x:c r="M124" s="31" t="inlineStr">
        <x:is>
          <x:t xml:space="preserve">СОТР-058</x:t>
        </x:is>
      </x:c>
      <x:c r="N124" s="31" t="n">
        <x:v>386</x:v>
      </x:c>
      <x:c r="O124" s="31" t="n">
        <x:v>295.6</x:v>
      </x:c>
      <x:c r="P124" s="31" t="n">
        <x:v>2</x:v>
      </x:c>
      <x:c r="Q124" s="31" t="n">
        <x:v>100</x:v>
      </x:c>
      <x:c r="R124" s="31" t="inlineStr">
        <x:is>
          <x:t xml:space="preserve">Нет</x:t>
        </x:is>
      </x:c>
      <x:c r="S124" s="31" t="inlineStr">
        <x:is>
          <x:t xml:space="preserve">Материал</x:t>
        </x:is>
      </x:c>
      <x:c r="T124" s="31" t="inlineStr">
        <x:is>
          <x:t xml:space="preserve">Создано из строки заказа ПОЗ-0060-1</x:t>
        </x:is>
      </x:c>
    </x:row>
    <x:row r="125" ht="18" customHeight="1">
      <x:c r="A125" s="31" t="inlineStr">
        <x:is>
          <x:t xml:space="preserve">ПЗ-00124</x:t>
        </x:is>
      </x:c>
      <x:c r="B125" s="31" t="inlineStr">
        <x:is>
          <x:t xml:space="preserve">ЗК-1060</x:t>
        </x:is>
      </x:c>
      <x:c r="C125" s="31" t="inlineStr">
        <x:is>
          <x:t xml:space="preserve">ПОЗ-0060-2</x:t>
        </x:is>
      </x:c>
      <x:c r="D125" s="31" t="inlineStr">
        <x:is>
          <x:t xml:space="preserve">ИЗД-013</x:t>
        </x:is>
      </x:c>
      <x:c r="E125" s="31" t="n">
        <x:v>3</x:v>
      </x:c>
      <x:c r="F125" s="31" t="inlineStr">
        <x:is>
          <x:t xml:space="preserve">Сварка</x:t>
        </x:is>
      </x:c>
      <x:c r="G125" s="31" t="inlineStr">
        <x:is>
          <x:t xml:space="preserve">ОБ-003</x:t>
        </x:is>
      </x:c>
      <x:c r="H125" s="31" t="n">
        <x:v>46197</x:v>
      </x:c>
      <x:c r="I125" s="31" t="n">
        <x:v>46245</x:v>
      </x:c>
      <x:c r="J125" s="31" t="n">
        <x:v>46197</x:v>
      </x:c>
      <x:c r="K125" s="31" t="n">
        <x:v>46245</x:v>
      </x:c>
      <x:c r="L125" s="31" t="inlineStr">
        <x:is>
          <x:t xml:space="preserve">Завершено</x:t>
        </x:is>
      </x:c>
      <x:c r="M125" s="31" t="inlineStr">
        <x:is>
          <x:t xml:space="preserve">СОТР-072</x:t>
        </x:is>
      </x:c>
      <x:c r="N125" s="31" t="n">
        <x:v>239.4</x:v>
      </x:c>
      <x:c r="O125" s="31" t="n">
        <x:v>180.1</x:v>
      </x:c>
      <x:c r="P125" s="31" t="n">
        <x:v>1</x:v>
      </x:c>
      <x:c r="Q125" s="31" t="n">
        <x:v>100</x:v>
      </x:c>
      <x:c r="R125" s="31" t="inlineStr">
        <x:is>
          <x:t xml:space="preserve">Нет</x:t>
        </x:is>
      </x:c>
      <x:c r="S125" s="31" t="inlineStr">
        <x:is>
          <x:t xml:space="preserve">Нет</x:t>
        </x:is>
      </x:c>
      <x:c r="T125" s="31" t="inlineStr">
        <x:is>
          <x:t xml:space="preserve">Создано из строки заказа ПОЗ-0060-2</x:t>
        </x:is>
      </x:c>
    </x:row>
    <x:row r="126" ht="18" customHeight="1">
      <x:c r="A126" s="31" t="inlineStr">
        <x:is>
          <x:t xml:space="preserve">ПЗ-00125</x:t>
        </x:is>
      </x:c>
      <x:c r="B126" s="31" t="inlineStr">
        <x:is>
          <x:t xml:space="preserve">ЗК-1060</x:t>
        </x:is>
      </x:c>
      <x:c r="C126" s="31" t="inlineStr">
        <x:is>
          <x:t xml:space="preserve">ПОЗ-0060-3</x:t>
        </x:is>
      </x:c>
      <x:c r="D126" s="31" t="inlineStr">
        <x:is>
          <x:t xml:space="preserve">ИЗД-045</x:t>
        </x:is>
      </x:c>
      <x:c r="E126" s="31" t="n">
        <x:v>1</x:v>
      </x:c>
      <x:c r="F126" s="31" t="inlineStr">
        <x:is>
          <x:t xml:space="preserve">ОТК</x:t>
        </x:is>
      </x:c>
      <x:c r="G126" s="31" t="inlineStr">
        <x:is>
          <x:t xml:space="preserve">ОБ-013</x:t>
        </x:is>
      </x:c>
      <x:c r="H126" s="31" t="n">
        <x:v>46196</x:v>
      </x:c>
      <x:c r="I126" s="31" t="n">
        <x:v>46245</x:v>
      </x:c>
      <x:c r="J126" s="31" t="n">
        <x:v>46196</x:v>
      </x:c>
      <x:c r="K126" s="31" t="n">
        <x:v>46245</x:v>
      </x:c>
      <x:c r="L126" s="31" t="inlineStr">
        <x:is>
          <x:t xml:space="preserve">Завершено</x:t>
        </x:is>
      </x:c>
      <x:c r="M126" s="31" t="inlineStr">
        <x:is>
          <x:t xml:space="preserve">СОТР-097</x:t>
        </x:is>
      </x:c>
      <x:c r="N126" s="31" t="n">
        <x:v>50.8</x:v>
      </x:c>
      <x:c r="O126" s="31" t="n">
        <x:v>44</x:v>
      </x:c>
      <x:c r="P126" s="31" t="n">
        <x:v>2</x:v>
      </x:c>
      <x:c r="Q126" s="31" t="n">
        <x:v>100</x:v>
      </x:c>
      <x:c r="R126" s="31" t="inlineStr">
        <x:is>
          <x:t xml:space="preserve">Нет</x:t>
        </x:is>
      </x:c>
      <x:c r="S126" s="31" t="inlineStr">
        <x:is>
          <x:t xml:space="preserve">Нет</x:t>
        </x:is>
      </x:c>
      <x:c r="T126" s="31" t="inlineStr">
        <x:is>
          <x:t xml:space="preserve">Создано из строки заказа ПОЗ-0060-3</x:t>
        </x:is>
      </x:c>
    </x:row>
    <x:row r="127" ht="18" customHeight="1">
      <x:c r="A127" s="31" t="inlineStr">
        <x:is>
          <x:t xml:space="preserve">ПЗ-00126</x:t>
        </x:is>
      </x:c>
      <x:c r="B127" s="31" t="inlineStr">
        <x:is>
          <x:t xml:space="preserve">ЗК-1061</x:t>
        </x:is>
      </x:c>
      <x:c r="C127" s="31" t="inlineStr">
        <x:is>
          <x:t xml:space="preserve">ПОЗ-0061-1</x:t>
        </x:is>
      </x:c>
      <x:c r="D127" s="31" t="inlineStr">
        <x:is>
          <x:t xml:space="preserve">ИЗД-018</x:t>
        </x:is>
      </x:c>
      <x:c r="E127" s="31" t="n">
        <x:v>2</x:v>
      </x:c>
      <x:c r="F127" s="31" t="inlineStr">
        <x:is>
          <x:t xml:space="preserve">ОТК</x:t>
        </x:is>
      </x:c>
      <x:c r="G127" s="31" t="inlineStr">
        <x:is>
          <x:t xml:space="preserve">ОБ-024</x:t>
        </x:is>
      </x:c>
      <x:c r="H127" s="31" t="n">
        <x:v>46154</x:v>
      </x:c>
      <x:c r="I127" s="31" t="n">
        <x:v>46204</x:v>
      </x:c>
      <x:c r="J127" s="31" t="n">
        <x:v>46154</x:v>
      </x:c>
      <x:c r="K127" s="31" t="n">
        <x:v>46204</x:v>
      </x:c>
      <x:c r="L127" s="31" t="inlineStr">
        <x:is>
          <x:t xml:space="preserve">Завершено</x:t>
        </x:is>
      </x:c>
      <x:c r="M127" s="31" t="inlineStr">
        <x:is>
          <x:t xml:space="preserve">СОТР-097</x:t>
        </x:is>
      </x:c>
      <x:c r="N127" s="31" t="n">
        <x:v>88.8</x:v>
      </x:c>
      <x:c r="O127" s="31" t="n">
        <x:v>87.2</x:v>
      </x:c>
      <x:c r="P127" s="31" t="n">
        <x:v>2</x:v>
      </x:c>
      <x:c r="Q127" s="31" t="n">
        <x:v>100</x:v>
      </x:c>
      <x:c r="R127" s="31" t="inlineStr">
        <x:is>
          <x:t xml:space="preserve">Нет</x:t>
        </x:is>
      </x:c>
      <x:c r="S127" s="31" t="inlineStr">
        <x:is>
          <x:t xml:space="preserve">Нет</x:t>
        </x:is>
      </x:c>
      <x:c r="T127" s="31" t="inlineStr">
        <x:is>
          <x:t xml:space="preserve">Создано из строки заказа ПОЗ-0061-1</x:t>
        </x:is>
      </x:c>
    </x:row>
    <x:row r="128" ht="18" customHeight="1">
      <x:c r="A128" s="31" t="inlineStr">
        <x:is>
          <x:t xml:space="preserve">ПЗ-00127</x:t>
        </x:is>
      </x:c>
      <x:c r="B128" s="31" t="inlineStr">
        <x:is>
          <x:t xml:space="preserve">ЗК-1061</x:t>
        </x:is>
      </x:c>
      <x:c r="C128" s="31" t="inlineStr">
        <x:is>
          <x:t xml:space="preserve">ПОЗ-0061-2</x:t>
        </x:is>
      </x:c>
      <x:c r="D128" s="31" t="inlineStr">
        <x:is>
          <x:t xml:space="preserve">ИЗД-013</x:t>
        </x:is>
      </x:c>
      <x:c r="E128" s="31" t="n">
        <x:v>2</x:v>
      </x:c>
      <x:c r="F128" s="31" t="inlineStr">
        <x:is>
          <x:t xml:space="preserve">Сварка</x:t>
        </x:is>
      </x:c>
      <x:c r="G128" s="31" t="inlineStr">
        <x:is>
          <x:t xml:space="preserve">ОБ-019</x:t>
        </x:is>
      </x:c>
      <x:c r="H128" s="31" t="n">
        <x:v>46164</x:v>
      </x:c>
      <x:c r="I128" s="31" t="n">
        <x:v>46197</x:v>
      </x:c>
      <x:c r="J128" s="31" t="n">
        <x:v>46164</x:v>
      </x:c>
      <x:c r="K128" s="31" t="n">
        <x:v>46197</x:v>
      </x:c>
      <x:c r="L128" s="31" t="inlineStr">
        <x:is>
          <x:t xml:space="preserve">Завершено</x:t>
        </x:is>
      </x:c>
      <x:c r="M128" s="31" t="inlineStr">
        <x:is>
          <x:t xml:space="preserve">СОТР-069</x:t>
        </x:is>
      </x:c>
      <x:c r="N128" s="31" t="n">
        <x:v>159.6</x:v>
      </x:c>
      <x:c r="O128" s="31" t="n">
        <x:v>175.1</x:v>
      </x:c>
      <x:c r="P128" s="31" t="n">
        <x:v>3</x:v>
      </x:c>
      <x:c r="Q128" s="31" t="n">
        <x:v>100</x:v>
      </x:c>
      <x:c r="R128" s="31" t="inlineStr">
        <x:is>
          <x:t xml:space="preserve">Нет</x:t>
        </x:is>
      </x:c>
      <x:c r="S128" s="31" t="inlineStr">
        <x:is>
          <x:t xml:space="preserve">Нет</x:t>
        </x:is>
      </x:c>
      <x:c r="T128" s="31" t="inlineStr">
        <x:is>
          <x:t xml:space="preserve">Создано из строки заказа ПОЗ-0061-2</x:t>
        </x:is>
      </x:c>
    </x:row>
    <x:row r="129" ht="18" customHeight="1">
      <x:c r="A129" s="31" t="inlineStr">
        <x:is>
          <x:t xml:space="preserve">ПЗ-00128</x:t>
        </x:is>
      </x:c>
      <x:c r="B129" s="31" t="inlineStr">
        <x:is>
          <x:t xml:space="preserve">ЗК-1062</x:t>
        </x:is>
      </x:c>
      <x:c r="C129" s="31" t="inlineStr">
        <x:is>
          <x:t xml:space="preserve">ПОЗ-0062-1</x:t>
        </x:is>
      </x:c>
      <x:c r="D129" s="31" t="inlineStr">
        <x:is>
          <x:t xml:space="preserve">ИЗД-030</x:t>
        </x:is>
      </x:c>
      <x:c r="E129" s="31" t="n">
        <x:v>3</x:v>
      </x:c>
      <x:c r="F129" s="31" t="inlineStr">
        <x:is>
          <x:t xml:space="preserve">ОТК</x:t>
        </x:is>
      </x:c>
      <x:c r="G129" s="31" t="inlineStr">
        <x:is>
          <x:t xml:space="preserve">ОБ-007</x:t>
        </x:is>
      </x:c>
      <x:c r="H129" s="31" t="n">
        <x:v>46109</x:v>
      </x:c>
      <x:c r="I129" s="31" t="n">
        <x:v>46155</x:v>
      </x:c>
      <x:c r="J129" s="31" t="n">
        <x:v>46109</x:v>
      </x:c>
      <x:c r="K129" s="31" t="n"/>
      <x:c r="L129" s="31" t="inlineStr">
        <x:is>
          <x:t xml:space="preserve">Ожидает материалов</x:t>
        </x:is>
      </x:c>
      <x:c r="M129" s="31" t="inlineStr">
        <x:is>
          <x:t xml:space="preserve">СОТР-096</x:t>
        </x:is>
      </x:c>
      <x:c r="N129" s="31" t="n">
        <x:v>186.3</x:v>
      </x:c>
      <x:c r="O129" s="31" t="n"/>
      <x:c r="P129" s="31" t="n">
        <x:v>0</x:v>
      </x:c>
      <x:c r="Q129" s="31" t="n">
        <x:v>15</x:v>
      </x:c>
      <x:c r="R129" s="31" t="inlineStr">
        <x:is>
          <x:t xml:space="preserve">Нет</x:t>
        </x:is>
      </x:c>
      <x:c r="S129" s="31" t="inlineStr">
        <x:is>
          <x:t xml:space="preserve">Нет</x:t>
        </x:is>
      </x:c>
      <x:c r="T129" s="31" t="inlineStr">
        <x:is>
          <x:t xml:space="preserve">Создано из строки заказа ПОЗ-0062-1</x:t>
        </x:is>
      </x:c>
    </x:row>
    <x:row r="130" ht="18" customHeight="1">
      <x:c r="A130" s="31" t="inlineStr">
        <x:is>
          <x:t xml:space="preserve">ПЗ-00129</x:t>
        </x:is>
      </x:c>
      <x:c r="B130" s="31" t="inlineStr">
        <x:is>
          <x:t xml:space="preserve">ЗК-1062</x:t>
        </x:is>
      </x:c>
      <x:c r="C130" s="31" t="inlineStr">
        <x:is>
          <x:t xml:space="preserve">ПОЗ-0062-2</x:t>
        </x:is>
      </x:c>
      <x:c r="D130" s="31" t="inlineStr">
        <x:is>
          <x:t xml:space="preserve">ИЗД-038</x:t>
        </x:is>
      </x:c>
      <x:c r="E130" s="31" t="n">
        <x:v>2</x:v>
      </x:c>
      <x:c r="F130" s="31" t="inlineStr">
        <x:is>
          <x:t xml:space="preserve">ОТК</x:t>
        </x:is>
      </x:c>
      <x:c r="G130" s="31" t="inlineStr">
        <x:is>
          <x:t xml:space="preserve">ОБ-001</x:t>
        </x:is>
      </x:c>
      <x:c r="H130" s="31" t="n">
        <x:v>46120</x:v>
      </x:c>
      <x:c r="I130" s="31" t="n">
        <x:v>46155</x:v>
      </x:c>
      <x:c r="J130" s="31" t="n">
        <x:v>46120</x:v>
      </x:c>
      <x:c r="K130" s="31" t="n"/>
      <x:c r="L130" s="31" t="inlineStr">
        <x:is>
          <x:t xml:space="preserve">Ожидает материалов</x:t>
        </x:is>
      </x:c>
      <x:c r="M130" s="31" t="inlineStr">
        <x:is>
          <x:t xml:space="preserve">СОТР-093</x:t>
        </x:is>
      </x:c>
      <x:c r="N130" s="31" t="n">
        <x:v>56.8</x:v>
      </x:c>
      <x:c r="O130" s="31" t="n"/>
      <x:c r="P130" s="31" t="n">
        <x:v>0</x:v>
      </x:c>
      <x:c r="Q130" s="31" t="n">
        <x:v>15</x:v>
      </x:c>
      <x:c r="R130" s="31" t="inlineStr">
        <x:is>
          <x:t xml:space="preserve">Нет</x:t>
        </x:is>
      </x:c>
      <x:c r="S130" s="31" t="inlineStr">
        <x:is>
          <x:t xml:space="preserve">Нет</x:t>
        </x:is>
      </x:c>
      <x:c r="T130" s="31" t="inlineStr">
        <x:is>
          <x:t xml:space="preserve">Создано из строки заказа ПОЗ-0062-2</x:t>
        </x:is>
      </x:c>
    </x:row>
    <x:row r="131" ht="18" customHeight="1">
      <x:c r="A131" s="31" t="inlineStr">
        <x:is>
          <x:t xml:space="preserve">ПЗ-00130</x:t>
        </x:is>
      </x:c>
      <x:c r="B131" s="31" t="inlineStr">
        <x:is>
          <x:t xml:space="preserve">ЗК-1063</x:t>
        </x:is>
      </x:c>
      <x:c r="C131" s="31" t="inlineStr">
        <x:is>
          <x:t xml:space="preserve">ПОЗ-0063-1</x:t>
        </x:is>
      </x:c>
      <x:c r="D131" s="31" t="inlineStr">
        <x:is>
          <x:t xml:space="preserve">ИЗД-033</x:t>
        </x:is>
      </x:c>
      <x:c r="E131" s="31" t="n">
        <x:v>4</x:v>
      </x:c>
      <x:c r="F131" s="31" t="inlineStr">
        <x:is>
          <x:t xml:space="preserve">ОТК</x:t>
        </x:is>
      </x:c>
      <x:c r="G131" s="31" t="inlineStr">
        <x:is>
          <x:t xml:space="preserve">ОБ-007</x:t>
        </x:is>
      </x:c>
      <x:c r="H131" s="31" t="n">
        <x:v>46174</x:v>
      </x:c>
      <x:c r="I131" s="31" t="n">
        <x:v>46240</x:v>
      </x:c>
      <x:c r="J131" s="31" t="n">
        <x:v>46174</x:v>
      </x:c>
      <x:c r="K131" s="31" t="n">
        <x:v>46240</x:v>
      </x:c>
      <x:c r="L131" s="31" t="inlineStr">
        <x:is>
          <x:t xml:space="preserve">Завершено</x:t>
        </x:is>
      </x:c>
      <x:c r="M131" s="31" t="inlineStr">
        <x:is>
          <x:t xml:space="preserve">СОТР-095</x:t>
        </x:is>
      </x:c>
      <x:c r="N131" s="31" t="n">
        <x:v>373.6</x:v>
      </x:c>
      <x:c r="O131" s="31" t="n">
        <x:v>389.2</x:v>
      </x:c>
      <x:c r="P131" s="31" t="n">
        <x:v>3</x:v>
      </x:c>
      <x:c r="Q131" s="31" t="n">
        <x:v>100</x:v>
      </x:c>
      <x:c r="R131" s="31" t="inlineStr">
        <x:is>
          <x:t xml:space="preserve">Нет</x:t>
        </x:is>
      </x:c>
      <x:c r="S131" s="31" t="inlineStr">
        <x:is>
          <x:t xml:space="preserve">Нет</x:t>
        </x:is>
      </x:c>
      <x:c r="T131" s="31" t="inlineStr">
        <x:is>
          <x:t xml:space="preserve">Создано из строки заказа ПОЗ-0063-1</x:t>
        </x:is>
      </x:c>
    </x:row>
    <x:row r="132" ht="18" customHeight="1">
      <x:c r="A132" s="31" t="inlineStr">
        <x:is>
          <x:t xml:space="preserve">ПЗ-00131</x:t>
        </x:is>
      </x:c>
      <x:c r="B132" s="31" t="inlineStr">
        <x:is>
          <x:t xml:space="preserve">ЗК-1063</x:t>
        </x:is>
      </x:c>
      <x:c r="C132" s="31" t="inlineStr">
        <x:is>
          <x:t xml:space="preserve">ПОЗ-0063-2</x:t>
        </x:is>
      </x:c>
      <x:c r="D132" s="31" t="inlineStr">
        <x:is>
          <x:t xml:space="preserve">ИЗД-007</x:t>
        </x:is>
      </x:c>
      <x:c r="E132" s="31" t="n">
        <x:v>5</x:v>
      </x:c>
      <x:c r="F132" s="31" t="inlineStr">
        <x:is>
          <x:t xml:space="preserve">ОТК</x:t>
        </x:is>
      </x:c>
      <x:c r="G132" s="31" t="inlineStr">
        <x:is>
          <x:t xml:space="preserve">ОБ-013</x:t>
        </x:is>
      </x:c>
      <x:c r="H132" s="31" t="n">
        <x:v>46183</x:v>
      </x:c>
      <x:c r="I132" s="31" t="n">
        <x:v>46243</x:v>
      </x:c>
      <x:c r="J132" s="31" t="n">
        <x:v>46183</x:v>
      </x:c>
      <x:c r="K132" s="31" t="n">
        <x:v>46243</x:v>
      </x:c>
      <x:c r="L132" s="31" t="inlineStr">
        <x:is>
          <x:t xml:space="preserve">Завершено</x:t>
        </x:is>
      </x:c>
      <x:c r="M132" s="31" t="inlineStr">
        <x:is>
          <x:t xml:space="preserve">СОТР-097</x:t>
        </x:is>
      </x:c>
      <x:c r="N132" s="31" t="n">
        <x:v>335.5</x:v>
      </x:c>
      <x:c r="O132" s="31" t="n">
        <x:v>359.7</x:v>
      </x:c>
      <x:c r="P132" s="31" t="n">
        <x:v>3</x:v>
      </x:c>
      <x:c r="Q132" s="31" t="n">
        <x:v>100</x:v>
      </x:c>
      <x:c r="R132" s="31" t="inlineStr">
        <x:is>
          <x:t xml:space="preserve">Нет</x:t>
        </x:is>
      </x:c>
      <x:c r="S132" s="31" t="inlineStr">
        <x:is>
          <x:t xml:space="preserve">Нет</x:t>
        </x:is>
      </x:c>
      <x:c r="T132" s="31" t="inlineStr">
        <x:is>
          <x:t xml:space="preserve">Создано из строки заказа ПОЗ-0063-2</x:t>
        </x:is>
      </x:c>
    </x:row>
    <x:row r="133" ht="18" customHeight="1">
      <x:c r="A133" s="31" t="inlineStr">
        <x:is>
          <x:t xml:space="preserve">ПЗ-00132</x:t>
        </x:is>
      </x:c>
      <x:c r="B133" s="31" t="inlineStr">
        <x:is>
          <x:t xml:space="preserve">ЗК-1064</x:t>
        </x:is>
      </x:c>
      <x:c r="C133" s="31" t="inlineStr">
        <x:is>
          <x:t xml:space="preserve">ПОЗ-0064-1</x:t>
        </x:is>
      </x:c>
      <x:c r="D133" s="31" t="inlineStr">
        <x:is>
          <x:t xml:space="preserve">ИЗД-028</x:t>
        </x:is>
      </x:c>
      <x:c r="E133" s="31" t="n">
        <x:v>2</x:v>
      </x:c>
      <x:c r="F133" s="31" t="inlineStr">
        <x:is>
          <x:t xml:space="preserve">ОТК</x:t>
        </x:is>
      </x:c>
      <x:c r="G133" s="31" t="inlineStr">
        <x:is>
          <x:t xml:space="preserve">ОБ-024</x:t>
        </x:is>
      </x:c>
      <x:c r="H133" s="31" t="n">
        <x:v>46057</x:v>
      </x:c>
      <x:c r="I133" s="31" t="n">
        <x:v>46101</x:v>
      </x:c>
      <x:c r="J133" s="31" t="n">
        <x:v>46057</x:v>
      </x:c>
      <x:c r="K133" s="31" t="n"/>
      <x:c r="L133" s="31" t="inlineStr">
        <x:is>
          <x:t xml:space="preserve">В работе</x:t>
        </x:is>
      </x:c>
      <x:c r="M133" s="31" t="inlineStr">
        <x:is>
          <x:t xml:space="preserve">СОТР-095</x:t>
        </x:is>
      </x:c>
      <x:c r="N133" s="31" t="n">
        <x:v>220</x:v>
      </x:c>
      <x:c r="O133" s="31" t="n">
        <x:v>263.7</x:v>
      </x:c>
      <x:c r="P133" s="31" t="n">
        <x:v>2</x:v>
      </x:c>
      <x:c r="Q133" s="31" t="n">
        <x:v>70</x:v>
      </x:c>
      <x:c r="R133" s="31" t="inlineStr">
        <x:is>
          <x:t xml:space="preserve">Нет</x:t>
        </x:is>
      </x:c>
      <x:c r="S133" s="31" t="inlineStr">
        <x:is>
          <x:t xml:space="preserve">Нет</x:t>
        </x:is>
      </x:c>
      <x:c r="T133" s="31" t="inlineStr">
        <x:is>
          <x:t xml:space="preserve">Создано из строки заказа ПОЗ-0064-1</x:t>
        </x:is>
      </x:c>
    </x:row>
    <x:row r="134" ht="18" customHeight="1">
      <x:c r="A134" s="31" t="inlineStr">
        <x:is>
          <x:t xml:space="preserve">ПЗ-00133</x:t>
        </x:is>
      </x:c>
      <x:c r="B134" s="31" t="inlineStr">
        <x:is>
          <x:t xml:space="preserve">ЗК-1064</x:t>
        </x:is>
      </x:c>
      <x:c r="C134" s="31" t="inlineStr">
        <x:is>
          <x:t xml:space="preserve">ПОЗ-0064-2</x:t>
        </x:is>
      </x:c>
      <x:c r="D134" s="31" t="inlineStr">
        <x:is>
          <x:t xml:space="preserve">ИЗД-006</x:t>
        </x:is>
      </x:c>
      <x:c r="E134" s="31" t="n">
        <x:v>2</x:v>
      </x:c>
      <x:c r="F134" s="31" t="inlineStr">
        <x:is>
          <x:t xml:space="preserve">ОТК</x:t>
        </x:is>
      </x:c>
      <x:c r="G134" s="31" t="inlineStr">
        <x:is>
          <x:t xml:space="preserve">ОБ-007</x:t>
        </x:is>
      </x:c>
      <x:c r="H134" s="31" t="n">
        <x:v>46061</x:v>
      </x:c>
      <x:c r="I134" s="31" t="n">
        <x:v>46104</x:v>
      </x:c>
      <x:c r="J134" s="31" t="n">
        <x:v>46061</x:v>
      </x:c>
      <x:c r="K134" s="31" t="n">
        <x:v>46104</x:v>
      </x:c>
      <x:c r="L134" s="31" t="inlineStr">
        <x:is>
          <x:t xml:space="preserve">Завершено</x:t>
        </x:is>
      </x:c>
      <x:c r="M134" s="31" t="inlineStr">
        <x:is>
          <x:t xml:space="preserve">СОТР-098</x:t>
        </x:is>
      </x:c>
      <x:c r="N134" s="31" t="n">
        <x:v>182</x:v>
      </x:c>
      <x:c r="O134" s="31" t="n">
        <x:v>170.4</x:v>
      </x:c>
      <x:c r="P134" s="31" t="n">
        <x:v>3</x:v>
      </x:c>
      <x:c r="Q134" s="31" t="n">
        <x:v>100</x:v>
      </x:c>
      <x:c r="R134" s="31" t="inlineStr">
        <x:is>
          <x:t xml:space="preserve">Нет</x:t>
        </x:is>
      </x:c>
      <x:c r="S134" s="31" t="inlineStr">
        <x:is>
          <x:t xml:space="preserve">Нет</x:t>
        </x:is>
      </x:c>
      <x:c r="T134" s="31" t="inlineStr">
        <x:is>
          <x:t xml:space="preserve">Создано из строки заказа ПОЗ-0064-2</x:t>
        </x:is>
      </x:c>
    </x:row>
    <x:row r="135" ht="18" customHeight="1">
      <x:c r="A135" s="31" t="inlineStr">
        <x:is>
          <x:t xml:space="preserve">ПЗ-00134</x:t>
        </x:is>
      </x:c>
      <x:c r="B135" s="31" t="inlineStr">
        <x:is>
          <x:t xml:space="preserve">ЗК-1065</x:t>
        </x:is>
      </x:c>
      <x:c r="C135" s="31" t="inlineStr">
        <x:is>
          <x:t xml:space="preserve">ПОЗ-0065-1</x:t>
        </x:is>
      </x:c>
      <x:c r="D135" s="31" t="inlineStr">
        <x:is>
          <x:t xml:space="preserve">ИЗД-016</x:t>
        </x:is>
      </x:c>
      <x:c r="E135" s="31" t="n">
        <x:v>3</x:v>
      </x:c>
      <x:c r="F135" s="31" t="inlineStr">
        <x:is>
          <x:t xml:space="preserve">ОТК</x:t>
        </x:is>
      </x:c>
      <x:c r="G135" s="31" t="inlineStr">
        <x:is>
          <x:t xml:space="preserve">ОБ-028</x:t>
        </x:is>
      </x:c>
      <x:c r="H135" s="31" t="n">
        <x:v>46125</x:v>
      </x:c>
      <x:c r="I135" s="31" t="n">
        <x:v>46169</x:v>
      </x:c>
      <x:c r="J135" s="31" t="n">
        <x:v>46125</x:v>
      </x:c>
      <x:c r="K135" s="31" t="n">
        <x:v>46169</x:v>
      </x:c>
      <x:c r="L135" s="31" t="inlineStr">
        <x:is>
          <x:t xml:space="preserve">Завершено</x:t>
        </x:is>
      </x:c>
      <x:c r="M135" s="31" t="inlineStr">
        <x:is>
          <x:t xml:space="preserve">СОТР-100</x:t>
        </x:is>
      </x:c>
      <x:c r="N135" s="31" t="n">
        <x:v>333.6</x:v>
      </x:c>
      <x:c r="O135" s="31" t="n">
        <x:v>300.7</x:v>
      </x:c>
      <x:c r="P135" s="31" t="n">
        <x:v>3</x:v>
      </x:c>
      <x:c r="Q135" s="31" t="n">
        <x:v>100</x:v>
      </x:c>
      <x:c r="R135" s="31" t="inlineStr">
        <x:is>
          <x:t xml:space="preserve">Да</x:t>
        </x:is>
      </x:c>
      <x:c r="S135" s="31" t="inlineStr">
        <x:is>
          <x:t xml:space="preserve">Нет</x:t>
        </x:is>
      </x:c>
      <x:c r="T135" s="31" t="inlineStr">
        <x:is>
          <x:t xml:space="preserve">Создано из строки заказа ПОЗ-0065-1</x:t>
        </x:is>
      </x:c>
    </x:row>
    <x:row r="136" ht="18" customHeight="1">
      <x:c r="A136" s="31" t="inlineStr">
        <x:is>
          <x:t xml:space="preserve">ПЗ-00135</x:t>
        </x:is>
      </x:c>
      <x:c r="B136" s="31" t="inlineStr">
        <x:is>
          <x:t xml:space="preserve">ЗК-1065</x:t>
        </x:is>
      </x:c>
      <x:c r="C136" s="31" t="inlineStr">
        <x:is>
          <x:t xml:space="preserve">ПОЗ-0065-2</x:t>
        </x:is>
      </x:c>
      <x:c r="D136" s="31" t="inlineStr">
        <x:is>
          <x:t xml:space="preserve">ИЗД-024</x:t>
        </x:is>
      </x:c>
      <x:c r="E136" s="31" t="n">
        <x:v>4</x:v>
      </x:c>
      <x:c r="F136" s="31" t="inlineStr">
        <x:is>
          <x:t xml:space="preserve">ОТК</x:t>
        </x:is>
      </x:c>
      <x:c r="G136" s="31" t="inlineStr">
        <x:is>
          <x:t xml:space="preserve">ОБ-028</x:t>
        </x:is>
      </x:c>
      <x:c r="H136" s="31" t="n">
        <x:v>46120</x:v>
      </x:c>
      <x:c r="I136" s="31" t="n">
        <x:v>46165</x:v>
      </x:c>
      <x:c r="J136" s="31" t="n">
        <x:v>46120</x:v>
      </x:c>
      <x:c r="K136" s="31" t="n">
        <x:v>46165</x:v>
      </x:c>
      <x:c r="L136" s="31" t="inlineStr">
        <x:is>
          <x:t xml:space="preserve">Завершено</x:t>
        </x:is>
      </x:c>
      <x:c r="M136" s="31" t="inlineStr">
        <x:is>
          <x:t xml:space="preserve">СОТР-096</x:t>
        </x:is>
      </x:c>
      <x:c r="N136" s="31" t="n">
        <x:v>200</x:v>
      </x:c>
      <x:c r="O136" s="31" t="n">
        <x:v>190.6</x:v>
      </x:c>
      <x:c r="P136" s="31" t="n">
        <x:v>1</x:v>
      </x:c>
      <x:c r="Q136" s="31" t="n">
        <x:v>100</x:v>
      </x:c>
      <x:c r="R136" s="31" t="inlineStr">
        <x:is>
          <x:t xml:space="preserve">Нет</x:t>
        </x:is>
      </x:c>
      <x:c r="S136" s="31" t="inlineStr">
        <x:is>
          <x:t xml:space="preserve">Нет</x:t>
        </x:is>
      </x:c>
      <x:c r="T136" s="31" t="inlineStr">
        <x:is>
          <x:t xml:space="preserve">Создано из строки заказа ПОЗ-0065-2</x:t>
        </x:is>
      </x:c>
    </x:row>
    <x:row r="137" ht="18" customHeight="1">
      <x:c r="A137" s="31" t="inlineStr">
        <x:is>
          <x:t xml:space="preserve">ПЗ-00136</x:t>
        </x:is>
      </x:c>
      <x:c r="B137" s="31" t="inlineStr">
        <x:is>
          <x:t xml:space="preserve">ЗК-1066</x:t>
        </x:is>
      </x:c>
      <x:c r="C137" s="31" t="inlineStr">
        <x:is>
          <x:t xml:space="preserve">ПОЗ-0066-1</x:t>
        </x:is>
      </x:c>
      <x:c r="D137" s="31" t="inlineStr">
        <x:is>
          <x:t xml:space="preserve">ИЗД-001</x:t>
        </x:is>
      </x:c>
      <x:c r="E137" s="31" t="n">
        <x:v>18</x:v>
      </x:c>
      <x:c r="F137" s="31" t="inlineStr">
        <x:is>
          <x:t xml:space="preserve">ОТК</x:t>
        </x:is>
      </x:c>
      <x:c r="G137" s="31" t="inlineStr">
        <x:is>
          <x:t xml:space="preserve">ОБ-022</x:t>
        </x:is>
      </x:c>
      <x:c r="H137" s="31" t="n">
        <x:v>46113</x:v>
      </x:c>
      <x:c r="I137" s="31" t="n">
        <x:v>46160</x:v>
      </x:c>
      <x:c r="J137" s="31" t="n">
        <x:v>46113</x:v>
      </x:c>
      <x:c r="K137" s="31" t="n"/>
      <x:c r="L137" s="31" t="inlineStr">
        <x:is>
          <x:t xml:space="preserve">ОТК</x:t>
        </x:is>
      </x:c>
      <x:c r="M137" s="31" t="inlineStr">
        <x:is>
          <x:t xml:space="preserve">СОТР-063</x:t>
        </x:is>
      </x:c>
      <x:c r="N137" s="31" t="n">
        <x:v>255.6</x:v>
      </x:c>
      <x:c r="O137" s="31" t="n">
        <x:v>250.7</x:v>
      </x:c>
      <x:c r="P137" s="31" t="n">
        <x:v>3</x:v>
      </x:c>
      <x:c r="Q137" s="31" t="n">
        <x:v>90</x:v>
      </x:c>
      <x:c r="R137" s="31" t="inlineStr">
        <x:is>
          <x:t xml:space="preserve">Нет</x:t>
        </x:is>
      </x:c>
      <x:c r="S137" s="31" t="inlineStr">
        <x:is>
          <x:t xml:space="preserve">Нет</x:t>
        </x:is>
      </x:c>
      <x:c r="T137" s="31" t="inlineStr">
        <x:is>
          <x:t xml:space="preserve">Создано из строки заказа ПОЗ-0066-1</x:t>
        </x:is>
      </x:c>
    </x:row>
    <x:row r="138" ht="18" customHeight="1">
      <x:c r="A138" s="31" t="inlineStr">
        <x:is>
          <x:t xml:space="preserve">ПЗ-00137</x:t>
        </x:is>
      </x:c>
      <x:c r="B138" s="31" t="inlineStr">
        <x:is>
          <x:t xml:space="preserve">ЗК-1066</x:t>
        </x:is>
      </x:c>
      <x:c r="C138" s="31" t="inlineStr">
        <x:is>
          <x:t xml:space="preserve">ПОЗ-0066-2</x:t>
        </x:is>
      </x:c>
      <x:c r="D138" s="31" t="inlineStr">
        <x:is>
          <x:t xml:space="preserve">ИЗД-011</x:t>
        </x:is>
      </x:c>
      <x:c r="E138" s="31" t="n">
        <x:v>4</x:v>
      </x:c>
      <x:c r="F138" s="31" t="inlineStr">
        <x:is>
          <x:t xml:space="preserve">ОТК</x:t>
        </x:is>
      </x:c>
      <x:c r="G138" s="31" t="inlineStr">
        <x:is>
          <x:t xml:space="preserve">ОБ-033</x:t>
        </x:is>
      </x:c>
      <x:c r="H138" s="31" t="n">
        <x:v>46120</x:v>
      </x:c>
      <x:c r="I138" s="31" t="n">
        <x:v>46159</x:v>
      </x:c>
      <x:c r="J138" s="31" t="n">
        <x:v>46120</x:v>
      </x:c>
      <x:c r="K138" s="31" t="n">
        <x:v>46159</x:v>
      </x:c>
      <x:c r="L138" s="31" t="inlineStr">
        <x:is>
          <x:t xml:space="preserve">Завершено</x:t>
        </x:is>
      </x:c>
      <x:c r="M138" s="31" t="inlineStr">
        <x:is>
          <x:t xml:space="preserve">СОТР-063</x:t>
        </x:is>
      </x:c>
      <x:c r="N138" s="31" t="n">
        <x:v>214</x:v>
      </x:c>
      <x:c r="O138" s="31" t="n">
        <x:v>204.4</x:v>
      </x:c>
      <x:c r="P138" s="31" t="n">
        <x:v>2</x:v>
      </x:c>
      <x:c r="Q138" s="31" t="n">
        <x:v>100</x:v>
      </x:c>
      <x:c r="R138" s="31" t="inlineStr">
        <x:is>
          <x:t xml:space="preserve">Нет</x:t>
        </x:is>
      </x:c>
      <x:c r="S138" s="31" t="inlineStr">
        <x:is>
          <x:t xml:space="preserve">Нет</x:t>
        </x:is>
      </x:c>
      <x:c r="T138" s="31" t="inlineStr">
        <x:is>
          <x:t xml:space="preserve">Создано из строки заказа ПОЗ-0066-2</x:t>
        </x:is>
      </x:c>
    </x:row>
    <x:row r="139" ht="18" customHeight="1">
      <x:c r="A139" s="31" t="inlineStr">
        <x:is>
          <x:t xml:space="preserve">ПЗ-00138</x:t>
        </x:is>
      </x:c>
      <x:c r="B139" s="31" t="inlineStr">
        <x:is>
          <x:t xml:space="preserve">ЗК-1066</x:t>
        </x:is>
      </x:c>
      <x:c r="C139" s="31" t="inlineStr">
        <x:is>
          <x:t xml:space="preserve">ПОЗ-0066-3</x:t>
        </x:is>
      </x:c>
      <x:c r="D139" s="31" t="inlineStr">
        <x:is>
          <x:t xml:space="preserve">ИЗД-021</x:t>
        </x:is>
      </x:c>
      <x:c r="E139" s="31" t="n">
        <x:v>3</x:v>
      </x:c>
      <x:c r="F139" s="31" t="inlineStr">
        <x:is>
          <x:t xml:space="preserve">ОТК</x:t>
        </x:is>
      </x:c>
      <x:c r="G139" s="31" t="inlineStr">
        <x:is>
          <x:t xml:space="preserve">ОБ-024</x:t>
        </x:is>
      </x:c>
      <x:c r="H139" s="31" t="n">
        <x:v>46128</x:v>
      </x:c>
      <x:c r="I139" s="31" t="n">
        <x:v>46158</x:v>
      </x:c>
      <x:c r="J139" s="31" t="n">
        <x:v>46128</x:v>
      </x:c>
      <x:c r="K139" s="31" t="n"/>
      <x:c r="L139" s="31" t="inlineStr">
        <x:is>
          <x:t xml:space="preserve">ОТК</x:t>
        </x:is>
      </x:c>
      <x:c r="M139" s="31" t="inlineStr">
        <x:is>
          <x:t xml:space="preserve">СОТР-100</x:t>
        </x:is>
      </x:c>
      <x:c r="N139" s="31" t="n">
        <x:v>329.7</x:v>
      </x:c>
      <x:c r="O139" s="31" t="n">
        <x:v>378.5</x:v>
      </x:c>
      <x:c r="P139" s="31" t="n">
        <x:v>2</x:v>
      </x:c>
      <x:c r="Q139" s="31" t="n">
        <x:v>90</x:v>
      </x:c>
      <x:c r="R139" s="31" t="inlineStr">
        <x:is>
          <x:t xml:space="preserve">Нет</x:t>
        </x:is>
      </x:c>
      <x:c r="S139" s="31" t="inlineStr">
        <x:is>
          <x:t xml:space="preserve">Материал</x:t>
        </x:is>
      </x:c>
      <x:c r="T139" s="31" t="inlineStr">
        <x:is>
          <x:t xml:space="preserve">Создано из строки заказа ПОЗ-0066-3</x:t>
        </x:is>
      </x:c>
    </x:row>
    <x:row r="140" ht="18" customHeight="1">
      <x:c r="A140" s="31" t="inlineStr">
        <x:is>
          <x:t xml:space="preserve">ПЗ-00139</x:t>
        </x:is>
      </x:c>
      <x:c r="B140" s="31" t="inlineStr">
        <x:is>
          <x:t xml:space="preserve">ЗК-1066</x:t>
        </x:is>
      </x:c>
      <x:c r="C140" s="31" t="inlineStr">
        <x:is>
          <x:t xml:space="preserve">ПОЗ-0066-4</x:t>
        </x:is>
      </x:c>
      <x:c r="D140" s="31" t="inlineStr">
        <x:is>
          <x:t xml:space="preserve">ИЗД-009</x:t>
        </x:is>
      </x:c>
      <x:c r="E140" s="31" t="n">
        <x:v>2</x:v>
      </x:c>
      <x:c r="F140" s="31" t="inlineStr">
        <x:is>
          <x:t xml:space="preserve">ОТК</x:t>
        </x:is>
      </x:c>
      <x:c r="G140" s="31" t="inlineStr">
        <x:is>
          <x:t xml:space="preserve">ОБ-028</x:t>
        </x:is>
      </x:c>
      <x:c r="H140" s="31" t="n">
        <x:v>46127</x:v>
      </x:c>
      <x:c r="I140" s="31" t="n">
        <x:v>46156</x:v>
      </x:c>
      <x:c r="J140" s="31" t="n">
        <x:v>46127</x:v>
      </x:c>
      <x:c r="K140" s="31" t="n"/>
      <x:c r="L140" s="31" t="inlineStr">
        <x:is>
          <x:t xml:space="preserve">ОТК</x:t>
        </x:is>
      </x:c>
      <x:c r="M140" s="31" t="inlineStr">
        <x:is>
          <x:t xml:space="preserve">СОТР-100</x:t>
        </x:is>
      </x:c>
      <x:c r="N140" s="31" t="n">
        <x:v>192</x:v>
      </x:c>
      <x:c r="O140" s="31" t="n">
        <x:v>180</x:v>
      </x:c>
      <x:c r="P140" s="31" t="n">
        <x:v>2</x:v>
      </x:c>
      <x:c r="Q140" s="31" t="n">
        <x:v>90</x:v>
      </x:c>
      <x:c r="R140" s="31" t="inlineStr">
        <x:is>
          <x:t xml:space="preserve">Нет</x:t>
        </x:is>
      </x:c>
      <x:c r="S140" s="31" t="inlineStr">
        <x:is>
          <x:t xml:space="preserve">Нет</x:t>
        </x:is>
      </x:c>
      <x:c r="T140" s="31" t="inlineStr">
        <x:is>
          <x:t xml:space="preserve">Создано из строки заказа ПОЗ-0066-4</x:t>
        </x:is>
      </x:c>
    </x:row>
    <x:row r="141" ht="18" customHeight="1">
      <x:c r="A141" s="31" t="inlineStr">
        <x:is>
          <x:t xml:space="preserve">ПЗ-00140</x:t>
        </x:is>
      </x:c>
      <x:c r="B141" s="31" t="inlineStr">
        <x:is>
          <x:t xml:space="preserve">ЗК-1067</x:t>
        </x:is>
      </x:c>
      <x:c r="C141" s="31" t="inlineStr">
        <x:is>
          <x:t xml:space="preserve">ПОЗ-0067-1</x:t>
        </x:is>
      </x:c>
      <x:c r="D141" s="31" t="inlineStr">
        <x:is>
          <x:t xml:space="preserve">ИЗД-012</x:t>
        </x:is>
      </x:c>
      <x:c r="E141" s="31" t="n">
        <x:v>4</x:v>
      </x:c>
      <x:c r="F141" s="31" t="inlineStr">
        <x:is>
          <x:t xml:space="preserve">ОТК</x:t>
        </x:is>
      </x:c>
      <x:c r="G141" s="31" t="inlineStr">
        <x:is>
          <x:t xml:space="preserve">ОБ-015</x:t>
        </x:is>
      </x:c>
      <x:c r="H141" s="31" t="n">
        <x:v>46158</x:v>
      </x:c>
      <x:c r="I141" s="31" t="n">
        <x:v>46221</x:v>
      </x:c>
      <x:c r="J141" s="31" t="n">
        <x:v>46158</x:v>
      </x:c>
      <x:c r="K141" s="31" t="n"/>
      <x:c r="L141" s="31" t="inlineStr">
        <x:is>
          <x:t xml:space="preserve">В работе</x:t>
        </x:is>
      </x:c>
      <x:c r="M141" s="31" t="inlineStr">
        <x:is>
          <x:t xml:space="preserve">СОТР-099</x:t>
        </x:is>
      </x:c>
      <x:c r="N141" s="31" t="n">
        <x:v>137.6</x:v>
      </x:c>
      <x:c r="O141" s="31" t="n">
        <x:v>151.8</x:v>
      </x:c>
      <x:c r="P141" s="31" t="n">
        <x:v>0</x:v>
      </x:c>
      <x:c r="Q141" s="31" t="n">
        <x:v>27</x:v>
      </x:c>
      <x:c r="R141" s="31" t="inlineStr">
        <x:is>
          <x:t xml:space="preserve">Нет</x:t>
        </x:is>
      </x:c>
      <x:c r="S141" s="31" t="inlineStr">
        <x:is>
          <x:t xml:space="preserve">Нет</x:t>
        </x:is>
      </x:c>
      <x:c r="T141" s="31" t="inlineStr">
        <x:is>
          <x:t xml:space="preserve">Создано из строки заказа ПОЗ-0067-1</x:t>
        </x:is>
      </x:c>
    </x:row>
    <x:row r="142" ht="18" customHeight="1">
      <x:c r="A142" s="31" t="inlineStr">
        <x:is>
          <x:t xml:space="preserve">ПЗ-00141</x:t>
        </x:is>
      </x:c>
      <x:c r="B142" s="31" t="inlineStr">
        <x:is>
          <x:t xml:space="preserve">ЗК-1067</x:t>
        </x:is>
      </x:c>
      <x:c r="C142" s="31" t="inlineStr">
        <x:is>
          <x:t xml:space="preserve">ПОЗ-0067-2</x:t>
        </x:is>
      </x:c>
      <x:c r="D142" s="31" t="inlineStr">
        <x:is>
          <x:t xml:space="preserve">ИЗД-019</x:t>
        </x:is>
      </x:c>
      <x:c r="E142" s="31" t="n">
        <x:v>2</x:v>
      </x:c>
      <x:c r="F142" s="31" t="inlineStr">
        <x:is>
          <x:t xml:space="preserve">ОТК</x:t>
        </x:is>
      </x:c>
      <x:c r="G142" s="31" t="inlineStr">
        <x:is>
          <x:t xml:space="preserve">ОБ-028</x:t>
        </x:is>
      </x:c>
      <x:c r="H142" s="31" t="n">
        <x:v>46158</x:v>
      </x:c>
      <x:c r="I142" s="31" t="n">
        <x:v>46218</x:v>
      </x:c>
      <x:c r="J142" s="31" t="n">
        <x:v>46158</x:v>
      </x:c>
      <x:c r="K142" s="31" t="n"/>
      <x:c r="L142" s="31" t="inlineStr">
        <x:is>
          <x:t xml:space="preserve">В работе</x:t>
        </x:is>
      </x:c>
      <x:c r="M142" s="31" t="inlineStr">
        <x:is>
          <x:t xml:space="preserve">СОТР-100</x:t>
        </x:is>
      </x:c>
      <x:c r="N142" s="31" t="n">
        <x:v>84.2</x:v>
      </x:c>
      <x:c r="O142" s="31" t="n">
        <x:v>92.5</x:v>
      </x:c>
      <x:c r="P142" s="31" t="n">
        <x:v>3</x:v>
      </x:c>
      <x:c r="Q142" s="31" t="n">
        <x:v>77</x:v>
      </x:c>
      <x:c r="R142" s="31" t="inlineStr">
        <x:is>
          <x:t xml:space="preserve">Да</x:t>
        </x:is>
      </x:c>
      <x:c r="S142" s="31" t="inlineStr">
        <x:is>
          <x:t xml:space="preserve">Материал</x:t>
        </x:is>
      </x:c>
      <x:c r="T142" s="31" t="inlineStr">
        <x:is>
          <x:t xml:space="preserve">Создано из строки заказа ПОЗ-0067-2</x:t>
        </x:is>
      </x:c>
    </x:row>
    <x:row r="143" ht="18" customHeight="1">
      <x:c r="A143" s="31" t="inlineStr">
        <x:is>
          <x:t xml:space="preserve">ПЗ-00142</x:t>
        </x:is>
      </x:c>
      <x:c r="B143" s="31" t="inlineStr">
        <x:is>
          <x:t xml:space="preserve">ЗК-1067</x:t>
        </x:is>
      </x:c>
      <x:c r="C143" s="31" t="inlineStr">
        <x:is>
          <x:t xml:space="preserve">ПОЗ-0067-3</x:t>
        </x:is>
      </x:c>
      <x:c r="D143" s="31" t="inlineStr">
        <x:is>
          <x:t xml:space="preserve">ИЗД-023</x:t>
        </x:is>
      </x:c>
      <x:c r="E143" s="31" t="n">
        <x:v>4</x:v>
      </x:c>
      <x:c r="F143" s="31" t="inlineStr">
        <x:is>
          <x:t xml:space="preserve">ОТК</x:t>
        </x:is>
      </x:c>
      <x:c r="G143" s="31" t="inlineStr">
        <x:is>
          <x:t xml:space="preserve">ОБ-015</x:t>
        </x:is>
      </x:c>
      <x:c r="H143" s="31" t="n">
        <x:v>46151</x:v>
      </x:c>
      <x:c r="I143" s="31" t="n">
        <x:v>46218</x:v>
      </x:c>
      <x:c r="J143" s="31" t="n">
        <x:v>46151</x:v>
      </x:c>
      <x:c r="K143" s="31" t="n">
        <x:v>46218</x:v>
      </x:c>
      <x:c r="L143" s="31" t="inlineStr">
        <x:is>
          <x:t xml:space="preserve">Завершено</x:t>
        </x:is>
      </x:c>
      <x:c r="M143" s="31" t="inlineStr">
        <x:is>
          <x:t xml:space="preserve">СОТР-097</x:t>
        </x:is>
      </x:c>
      <x:c r="N143" s="31" t="n">
        <x:v>355.6</x:v>
      </x:c>
      <x:c r="O143" s="31" t="n">
        <x:v>403.8</x:v>
      </x:c>
      <x:c r="P143" s="31" t="n">
        <x:v>0</x:v>
      </x:c>
      <x:c r="Q143" s="31" t="n">
        <x:v>100</x:v>
      </x:c>
      <x:c r="R143" s="31" t="inlineStr">
        <x:is>
          <x:t xml:space="preserve">Да</x:t>
        </x:is>
      </x:c>
      <x:c r="S143" s="31" t="inlineStr">
        <x:is>
          <x:t xml:space="preserve">Нет</x:t>
        </x:is>
      </x:c>
      <x:c r="T143" s="31" t="inlineStr">
        <x:is>
          <x:t xml:space="preserve">Создано из строки заказа ПОЗ-0067-3</x:t>
        </x:is>
      </x:c>
    </x:row>
    <x:row r="144" ht="18" customHeight="1">
      <x:c r="A144" s="31" t="inlineStr">
        <x:is>
          <x:t xml:space="preserve">ПЗ-00143</x:t>
        </x:is>
      </x:c>
      <x:c r="B144" s="31" t="inlineStr">
        <x:is>
          <x:t xml:space="preserve">ЗК-1068</x:t>
        </x:is>
      </x:c>
      <x:c r="C144" s="31" t="inlineStr">
        <x:is>
          <x:t xml:space="preserve">ПОЗ-0068-1</x:t>
        </x:is>
      </x:c>
      <x:c r="D144" s="31" t="inlineStr">
        <x:is>
          <x:t xml:space="preserve">ИЗД-008</x:t>
        </x:is>
      </x:c>
      <x:c r="E144" s="31" t="n">
        <x:v>11</x:v>
      </x:c>
      <x:c r="F144" s="31" t="inlineStr">
        <x:is>
          <x:t xml:space="preserve">ОТК</x:t>
        </x:is>
      </x:c>
      <x:c r="G144" s="31" t="inlineStr">
        <x:is>
          <x:t xml:space="preserve">ОБ-001</x:t>
        </x:is>
      </x:c>
      <x:c r="H144" s="31" t="n">
        <x:v>46045</x:v>
      </x:c>
      <x:c r="I144" s="31" t="n">
        <x:v>46069</x:v>
      </x:c>
      <x:c r="J144" s="31" t="n">
        <x:v>46045</x:v>
      </x:c>
      <x:c r="K144" s="31" t="n"/>
      <x:c r="L144" s="31" t="inlineStr">
        <x:is>
          <x:t xml:space="preserve">В работе</x:t>
        </x:is>
      </x:c>
      <x:c r="M144" s="31" t="inlineStr">
        <x:is>
          <x:t xml:space="preserve">СОТР-096</x:t>
        </x:is>
      </x:c>
      <x:c r="N144" s="31" t="n">
        <x:v>222.2</x:v>
      </x:c>
      <x:c r="O144" s="31" t="n">
        <x:v>212.5</x:v>
      </x:c>
      <x:c r="P144" s="31" t="n">
        <x:v>3</x:v>
      </x:c>
      <x:c r="Q144" s="31" t="n">
        <x:v>63</x:v>
      </x:c>
      <x:c r="R144" s="31" t="inlineStr">
        <x:is>
          <x:t xml:space="preserve">Нет</x:t>
        </x:is>
      </x:c>
      <x:c r="S144" s="31" t="inlineStr">
        <x:is>
          <x:t xml:space="preserve">Нет</x:t>
        </x:is>
      </x:c>
      <x:c r="T144" s="31" t="inlineStr">
        <x:is>
          <x:t xml:space="preserve">Создано из строки заказа ПОЗ-0068-1</x:t>
        </x:is>
      </x:c>
    </x:row>
    <x:row r="145" ht="18" customHeight="1">
      <x:c r="A145" s="31" t="inlineStr">
        <x:is>
          <x:t xml:space="preserve">ПЗ-00144</x:t>
        </x:is>
      </x:c>
      <x:c r="B145" s="31" t="inlineStr">
        <x:is>
          <x:t xml:space="preserve">ЗК-1068</x:t>
        </x:is>
      </x:c>
      <x:c r="C145" s="31" t="inlineStr">
        <x:is>
          <x:t xml:space="preserve">ПОЗ-0068-2</x:t>
        </x:is>
      </x:c>
      <x:c r="D145" s="31" t="inlineStr">
        <x:is>
          <x:t xml:space="preserve">ИЗД-013</x:t>
        </x:is>
      </x:c>
      <x:c r="E145" s="31" t="n">
        <x:v>4</x:v>
      </x:c>
      <x:c r="F145" s="31" t="inlineStr">
        <x:is>
          <x:t xml:space="preserve">Сварка</x:t>
        </x:is>
      </x:c>
      <x:c r="G145" s="31" t="inlineStr">
        <x:is>
          <x:t xml:space="preserve">ОБ-026</x:t>
        </x:is>
      </x:c>
      <x:c r="H145" s="31" t="n">
        <x:v>46054</x:v>
      </x:c>
      <x:c r="I145" s="31" t="n">
        <x:v>46068</x:v>
      </x:c>
      <x:c r="J145" s="31" t="n">
        <x:v>46054</x:v>
      </x:c>
      <x:c r="K145" s="31" t="n"/>
      <x:c r="L145" s="31" t="inlineStr">
        <x:is>
          <x:t xml:space="preserve">ОТК</x:t>
        </x:is>
      </x:c>
      <x:c r="M145" s="31" t="inlineStr">
        <x:is>
          <x:t xml:space="preserve">СОТР-057</x:t>
        </x:is>
      </x:c>
      <x:c r="N145" s="31" t="n">
        <x:v>319.2</x:v>
      </x:c>
      <x:c r="O145" s="31" t="n">
        <x:v>283.4</x:v>
      </x:c>
      <x:c r="P145" s="31" t="n">
        <x:v>0</x:v>
      </x:c>
      <x:c r="Q145" s="31" t="n">
        <x:v>90</x:v>
      </x:c>
      <x:c r="R145" s="31" t="inlineStr">
        <x:is>
          <x:t xml:space="preserve">Нет</x:t>
        </x:is>
      </x:c>
      <x:c r="S145" s="31" t="inlineStr">
        <x:is>
          <x:t xml:space="preserve">Нет</x:t>
        </x:is>
      </x:c>
      <x:c r="T145" s="31" t="inlineStr">
        <x:is>
          <x:t xml:space="preserve">Создано из строки заказа ПОЗ-0068-2</x:t>
        </x:is>
      </x:c>
    </x:row>
    <x:row r="146" ht="18" customHeight="1">
      <x:c r="A146" s="31" t="inlineStr">
        <x:is>
          <x:t xml:space="preserve">ПЗ-00145</x:t>
        </x:is>
      </x:c>
      <x:c r="B146" s="31" t="inlineStr">
        <x:is>
          <x:t xml:space="preserve">ЗК-1068</x:t>
        </x:is>
      </x:c>
      <x:c r="C146" s="31" t="inlineStr">
        <x:is>
          <x:t xml:space="preserve">ПОЗ-0068-3</x:t>
        </x:is>
      </x:c>
      <x:c r="D146" s="31" t="inlineStr">
        <x:is>
          <x:t xml:space="preserve">ИЗД-037</x:t>
        </x:is>
      </x:c>
      <x:c r="E146" s="31" t="n">
        <x:v>3</x:v>
      </x:c>
      <x:c r="F146" s="31" t="inlineStr">
        <x:is>
          <x:t xml:space="preserve">ОТК</x:t>
        </x:is>
      </x:c>
      <x:c r="G146" s="31" t="inlineStr">
        <x:is>
          <x:t xml:space="preserve">ОБ-007</x:t>
        </x:is>
      </x:c>
      <x:c r="H146" s="31" t="n">
        <x:v>46059</x:v>
      </x:c>
      <x:c r="I146" s="31" t="n">
        <x:v>46070</x:v>
      </x:c>
      <x:c r="J146" s="31" t="n"/>
      <x:c r="K146" s="31" t="n"/>
      <x:c r="L146" s="31" t="inlineStr">
        <x:is>
          <x:t xml:space="preserve">Запланировано</x:t>
        </x:is>
      </x:c>
      <x:c r="M146" s="31" t="inlineStr">
        <x:is>
          <x:t xml:space="preserve">СОТР-096</x:t>
        </x:is>
      </x:c>
      <x:c r="N146" s="31" t="n">
        <x:v>251.4</x:v>
      </x:c>
      <x:c r="O146" s="31" t="n"/>
      <x:c r="P146" s="31" t="n">
        <x:v>0</x:v>
      </x:c>
      <x:c r="Q146" s="31" t="n">
        <x:v>10</x:v>
      </x:c>
      <x:c r="R146" s="31" t="inlineStr">
        <x:is>
          <x:t xml:space="preserve">Нет</x:t>
        </x:is>
      </x:c>
      <x:c r="S146" s="31" t="inlineStr">
        <x:is>
          <x:t xml:space="preserve">Нет</x:t>
        </x:is>
      </x:c>
      <x:c r="T146" s="31" t="inlineStr">
        <x:is>
          <x:t xml:space="preserve">Создано из строки заказа ПОЗ-0068-3</x:t>
        </x:is>
      </x:c>
    </x:row>
    <x:row r="147" ht="18" customHeight="1">
      <x:c r="A147" s="31" t="inlineStr">
        <x:is>
          <x:t xml:space="preserve">ПЗ-00146</x:t>
        </x:is>
      </x:c>
      <x:c r="B147" s="31" t="inlineStr">
        <x:is>
          <x:t xml:space="preserve">ЗК-1068</x:t>
        </x:is>
      </x:c>
      <x:c r="C147" s="31" t="inlineStr">
        <x:is>
          <x:t xml:space="preserve">ПОЗ-0068-4</x:t>
        </x:is>
      </x:c>
      <x:c r="D147" s="31" t="inlineStr">
        <x:is>
          <x:t xml:space="preserve">ИЗД-017</x:t>
        </x:is>
      </x:c>
      <x:c r="E147" s="31" t="n">
        <x:v>1</x:v>
      </x:c>
      <x:c r="F147" s="31" t="inlineStr">
        <x:is>
          <x:t xml:space="preserve">ОТК</x:t>
        </x:is>
      </x:c>
      <x:c r="G147" s="31" t="inlineStr">
        <x:is>
          <x:t xml:space="preserve">ОБ-001</x:t>
        </x:is>
      </x:c>
      <x:c r="H147" s="31" t="n">
        <x:v>46053</x:v>
      </x:c>
      <x:c r="I147" s="31" t="n">
        <x:v>46067</x:v>
      </x:c>
      <x:c r="J147" s="31" t="n">
        <x:v>46053</x:v>
      </x:c>
      <x:c r="K147" s="31" t="n"/>
      <x:c r="L147" s="31" t="inlineStr">
        <x:is>
          <x:t xml:space="preserve">В работе</x:t>
        </x:is>
      </x:c>
      <x:c r="M147" s="31" t="inlineStr">
        <x:is>
          <x:t xml:space="preserve">СОТР-096</x:t>
        </x:is>
      </x:c>
      <x:c r="N147" s="31" t="n">
        <x:v>99.2</x:v>
      </x:c>
      <x:c r="O147" s="31" t="n">
        <x:v>118.6</x:v>
      </x:c>
      <x:c r="P147" s="31" t="n">
        <x:v>0</x:v>
      </x:c>
      <x:c r="Q147" s="31" t="n">
        <x:v>33</x:v>
      </x:c>
      <x:c r="R147" s="31" t="inlineStr">
        <x:is>
          <x:t xml:space="preserve">Нет</x:t>
        </x:is>
      </x:c>
      <x:c r="S147" s="31" t="inlineStr">
        <x:is>
          <x:t xml:space="preserve">Нет</x:t>
        </x:is>
      </x:c>
      <x:c r="T147" s="31" t="inlineStr">
        <x:is>
          <x:t xml:space="preserve">Создано из строки заказа ПОЗ-0068-4</x:t>
        </x:is>
      </x:c>
    </x:row>
    <x:row r="148" ht="18" customHeight="1">
      <x:c r="A148" s="31" t="inlineStr">
        <x:is>
          <x:t xml:space="preserve">ПЗ-00147</x:t>
        </x:is>
      </x:c>
      <x:c r="B148" s="31" t="inlineStr">
        <x:is>
          <x:t xml:space="preserve">ЗК-1069</x:t>
        </x:is>
      </x:c>
      <x:c r="C148" s="31" t="inlineStr">
        <x:is>
          <x:t xml:space="preserve">ПОЗ-0069-1</x:t>
        </x:is>
      </x:c>
      <x:c r="D148" s="31" t="inlineStr">
        <x:is>
          <x:t xml:space="preserve">ИЗД-044</x:t>
        </x:is>
      </x:c>
      <x:c r="E148" s="31" t="n">
        <x:v>3</x:v>
      </x:c>
      <x:c r="F148" s="31" t="inlineStr">
        <x:is>
          <x:t xml:space="preserve">ОТК</x:t>
        </x:is>
      </x:c>
      <x:c r="G148" s="31" t="inlineStr">
        <x:is>
          <x:t xml:space="preserve">ОБ-007</x:t>
        </x:is>
      </x:c>
      <x:c r="H148" s="31" t="n">
        <x:v>46188</x:v>
      </x:c>
      <x:c r="I148" s="31" t="n">
        <x:v>46247</x:v>
      </x:c>
      <x:c r="J148" s="31" t="n">
        <x:v>46188</x:v>
      </x:c>
      <x:c r="K148" s="31" t="n"/>
      <x:c r="L148" s="31" t="inlineStr">
        <x:is>
          <x:t xml:space="preserve">В работе</x:t>
        </x:is>
      </x:c>
      <x:c r="M148" s="31" t="inlineStr">
        <x:is>
          <x:t xml:space="preserve">СОТР-098</x:t>
        </x:is>
      </x:c>
      <x:c r="N148" s="31" t="n">
        <x:v>486.6</x:v>
      </x:c>
      <x:c r="O148" s="31" t="n">
        <x:v>600.1</x:v>
      </x:c>
      <x:c r="P148" s="31" t="n">
        <x:v>0</x:v>
      </x:c>
      <x:c r="Q148" s="31" t="n">
        <x:v>50</x:v>
      </x:c>
      <x:c r="R148" s="31" t="inlineStr">
        <x:is>
          <x:t xml:space="preserve">Нет</x:t>
        </x:is>
      </x:c>
      <x:c r="S148" s="31" t="inlineStr">
        <x:is>
          <x:t xml:space="preserve">Нет</x:t>
        </x:is>
      </x:c>
      <x:c r="T148" s="31" t="inlineStr">
        <x:is>
          <x:t xml:space="preserve">Создано из строки заказа ПОЗ-0069-1</x:t>
        </x:is>
      </x:c>
    </x:row>
    <x:row r="149" ht="18" customHeight="1">
      <x:c r="A149" s="31" t="inlineStr">
        <x:is>
          <x:t xml:space="preserve">ПЗ-00148</x:t>
        </x:is>
      </x:c>
      <x:c r="B149" s="31" t="inlineStr">
        <x:is>
          <x:t xml:space="preserve">ЗК-1069</x:t>
        </x:is>
      </x:c>
      <x:c r="C149" s="31" t="inlineStr">
        <x:is>
          <x:t xml:space="preserve">ПОЗ-0069-2</x:t>
        </x:is>
      </x:c>
      <x:c r="D149" s="31" t="inlineStr">
        <x:is>
          <x:t xml:space="preserve">ИЗД-025</x:t>
        </x:is>
      </x:c>
      <x:c r="E149" s="31" t="n">
        <x:v>2</x:v>
      </x:c>
      <x:c r="F149" s="31" t="inlineStr">
        <x:is>
          <x:t xml:space="preserve">ОТК</x:t>
        </x:is>
      </x:c>
      <x:c r="G149" s="31" t="inlineStr">
        <x:is>
          <x:t xml:space="preserve">ОБ-022</x:t>
        </x:is>
      </x:c>
      <x:c r="H149" s="31" t="n">
        <x:v>46186</x:v>
      </x:c>
      <x:c r="I149" s="31" t="n">
        <x:v>46244</x:v>
      </x:c>
      <x:c r="J149" s="31" t="n">
        <x:v>46186</x:v>
      </x:c>
      <x:c r="K149" s="31" t="n"/>
      <x:c r="L149" s="31" t="inlineStr">
        <x:is>
          <x:t xml:space="preserve">В работе</x:t>
        </x:is>
      </x:c>
      <x:c r="M149" s="31" t="inlineStr">
        <x:is>
          <x:t xml:space="preserve">СОТР-099</x:t>
        </x:is>
      </x:c>
      <x:c r="N149" s="31" t="n">
        <x:v>118.6</x:v>
      </x:c>
      <x:c r="O149" s="31" t="n">
        <x:v>119.6</x:v>
      </x:c>
      <x:c r="P149" s="31" t="n">
        <x:v>0</x:v>
      </x:c>
      <x:c r="Q149" s="31" t="n">
        <x:v>26</x:v>
      </x:c>
      <x:c r="R149" s="31" t="inlineStr">
        <x:is>
          <x:t xml:space="preserve">Нет</x:t>
        </x:is>
      </x:c>
      <x:c r="S149" s="31" t="inlineStr">
        <x:is>
          <x:t xml:space="preserve">Нет</x:t>
        </x:is>
      </x:c>
      <x:c r="T149" s="31" t="inlineStr">
        <x:is>
          <x:t xml:space="preserve">Создано из строки заказа ПОЗ-0069-2</x:t>
        </x:is>
      </x:c>
    </x:row>
    <x:row r="150" ht="18" customHeight="1">
      <x:c r="A150" s="31" t="inlineStr">
        <x:is>
          <x:t xml:space="preserve">ПЗ-00149</x:t>
        </x:is>
      </x:c>
      <x:c r="B150" s="31" t="inlineStr">
        <x:is>
          <x:t xml:space="preserve">ЗК-1071</x:t>
        </x:is>
      </x:c>
      <x:c r="C150" s="31" t="inlineStr">
        <x:is>
          <x:t xml:space="preserve">ПОЗ-0071-1</x:t>
        </x:is>
      </x:c>
      <x:c r="D150" s="31" t="inlineStr">
        <x:is>
          <x:t xml:space="preserve">ИЗД-026</x:t>
        </x:is>
      </x:c>
      <x:c r="E150" s="31" t="n">
        <x:v>4</x:v>
      </x:c>
      <x:c r="F150" s="31" t="inlineStr">
        <x:is>
          <x:t xml:space="preserve">ОТК</x:t>
        </x:is>
      </x:c>
      <x:c r="G150" s="31" t="inlineStr">
        <x:is>
          <x:t xml:space="preserve">ОБ-007</x:t>
        </x:is>
      </x:c>
      <x:c r="H150" s="31" t="n">
        <x:v>46188</x:v>
      </x:c>
      <x:c r="I150" s="31" t="n">
        <x:v>46217</x:v>
      </x:c>
      <x:c r="J150" s="31" t="n">
        <x:v>46188</x:v>
      </x:c>
      <x:c r="K150" s="31" t="n"/>
      <x:c r="L150" s="31" t="inlineStr">
        <x:is>
          <x:t xml:space="preserve">В работе</x:t>
        </x:is>
      </x:c>
      <x:c r="M150" s="31" t="inlineStr">
        <x:is>
          <x:t xml:space="preserve">СОТР-099</x:t>
        </x:is>
      </x:c>
      <x:c r="N150" s="31" t="n">
        <x:v>405.2</x:v>
      </x:c>
      <x:c r="O150" s="31" t="n">
        <x:v>419.8</x:v>
      </x:c>
      <x:c r="P150" s="31" t="n">
        <x:v>2</x:v>
      </x:c>
      <x:c r="Q150" s="31" t="n">
        <x:v>58</x:v>
      </x:c>
      <x:c r="R150" s="31" t="inlineStr">
        <x:is>
          <x:t xml:space="preserve">Нет</x:t>
        </x:is>
      </x:c>
      <x:c r="S150" s="31" t="inlineStr">
        <x:is>
          <x:t xml:space="preserve">Нет</x:t>
        </x:is>
      </x:c>
      <x:c r="T150" s="31" t="inlineStr">
        <x:is>
          <x:t xml:space="preserve">Создано из строки заказа ПОЗ-0071-1</x:t>
        </x:is>
      </x:c>
    </x:row>
    <x:row r="151" ht="18" customHeight="1">
      <x:c r="A151" s="31" t="inlineStr">
        <x:is>
          <x:t xml:space="preserve">ПЗ-00150</x:t>
        </x:is>
      </x:c>
      <x:c r="B151" s="31" t="inlineStr">
        <x:is>
          <x:t xml:space="preserve">ЗК-1071</x:t>
        </x:is>
      </x:c>
      <x:c r="C151" s="31" t="inlineStr">
        <x:is>
          <x:t xml:space="preserve">ПОЗ-0071-2</x:t>
        </x:is>
      </x:c>
      <x:c r="D151" s="31" t="inlineStr">
        <x:is>
          <x:t xml:space="preserve">ИЗД-032</x:t>
        </x:is>
      </x:c>
      <x:c r="E151" s="31" t="n">
        <x:v>16</x:v>
      </x:c>
      <x:c r="F151" s="31" t="inlineStr">
        <x:is>
          <x:t xml:space="preserve">ОТК</x:t>
        </x:is>
      </x:c>
      <x:c r="G151" s="31" t="inlineStr">
        <x:is>
          <x:t xml:space="preserve">ОБ-024</x:t>
        </x:is>
      </x:c>
      <x:c r="H151" s="31" t="n">
        <x:v>46174</x:v>
      </x:c>
      <x:c r="I151" s="31" t="n">
        <x:v>46219</x:v>
      </x:c>
      <x:c r="J151" s="31" t="n">
        <x:v>46174</x:v>
      </x:c>
      <x:c r="K151" s="31" t="n"/>
      <x:c r="L151" s="31" t="inlineStr">
        <x:is>
          <x:t xml:space="preserve">В работе</x:t>
        </x:is>
      </x:c>
      <x:c r="M151" s="31" t="inlineStr">
        <x:is>
          <x:t xml:space="preserve">СОТР-100</x:t>
        </x:is>
      </x:c>
      <x:c r="N151" s="31" t="n">
        <x:v>414.4</x:v>
      </x:c>
      <x:c r="O151" s="31" t="n">
        <x:v>466.2</x:v>
      </x:c>
      <x:c r="P151" s="31" t="n">
        <x:v>0</x:v>
      </x:c>
      <x:c r="Q151" s="31" t="n">
        <x:v>26</x:v>
      </x:c>
      <x:c r="R151" s="31" t="inlineStr">
        <x:is>
          <x:t xml:space="preserve">Нет</x:t>
        </x:is>
      </x:c>
      <x:c r="S151" s="31" t="inlineStr">
        <x:is>
          <x:t xml:space="preserve">Материал</x:t>
        </x:is>
      </x:c>
      <x:c r="T151" s="31" t="inlineStr">
        <x:is>
          <x:t xml:space="preserve">Создано из строки заказа ПОЗ-0071-2</x:t>
        </x:is>
      </x:c>
    </x:row>
    <x:row r="152" ht="18" customHeight="1">
      <x:c r="A152" s="31" t="inlineStr">
        <x:is>
          <x:t xml:space="preserve">ПЗ-00151</x:t>
        </x:is>
      </x:c>
      <x:c r="B152" s="31" t="inlineStr">
        <x:is>
          <x:t xml:space="preserve">ЗК-1072</x:t>
        </x:is>
      </x:c>
      <x:c r="C152" s="31" t="inlineStr">
        <x:is>
          <x:t xml:space="preserve">ПОЗ-0072-1</x:t>
        </x:is>
      </x:c>
      <x:c r="D152" s="31" t="inlineStr">
        <x:is>
          <x:t xml:space="preserve">ИЗД-039</x:t>
        </x:is>
      </x:c>
      <x:c r="E152" s="31" t="n">
        <x:v>4</x:v>
      </x:c>
      <x:c r="F152" s="31" t="inlineStr">
        <x:is>
          <x:t xml:space="preserve">Сварка</x:t>
        </x:is>
      </x:c>
      <x:c r="G152" s="31" t="inlineStr">
        <x:is>
          <x:t xml:space="preserve">ОБ-004</x:t>
        </x:is>
      </x:c>
      <x:c r="H152" s="31" t="n">
        <x:v>46052</x:v>
      </x:c>
      <x:c r="I152" s="31" t="n">
        <x:v>46113</x:v>
      </x:c>
      <x:c r="J152" s="31" t="n">
        <x:v>46052</x:v>
      </x:c>
      <x:c r="K152" s="31" t="n"/>
      <x:c r="L152" s="31" t="inlineStr">
        <x:is>
          <x:t xml:space="preserve">Ожидает материалов</x:t>
        </x:is>
      </x:c>
      <x:c r="M152" s="31" t="inlineStr">
        <x:is>
          <x:t xml:space="preserve">СОТР-066</x:t>
        </x:is>
      </x:c>
      <x:c r="N152" s="31" t="n">
        <x:v>308.8</x:v>
      </x:c>
      <x:c r="O152" s="31" t="n"/>
      <x:c r="P152" s="31" t="n">
        <x:v>0</x:v>
      </x:c>
      <x:c r="Q152" s="31" t="n">
        <x:v>15</x:v>
      </x:c>
      <x:c r="R152" s="31" t="inlineStr">
        <x:is>
          <x:t xml:space="preserve">Нет</x:t>
        </x:is>
      </x:c>
      <x:c r="S152" s="31" t="inlineStr">
        <x:is>
          <x:t xml:space="preserve">Нет</x:t>
        </x:is>
      </x:c>
      <x:c r="T152" s="31" t="inlineStr">
        <x:is>
          <x:t xml:space="preserve">Создано из строки заказа ПОЗ-0072-1</x:t>
        </x:is>
      </x:c>
    </x:row>
    <x:row r="153" ht="18" customHeight="1">
      <x:c r="A153" s="31" t="inlineStr">
        <x:is>
          <x:t xml:space="preserve">ПЗ-00152</x:t>
        </x:is>
      </x:c>
      <x:c r="B153" s="31" t="inlineStr">
        <x:is>
          <x:t xml:space="preserve">ЗК-1073</x:t>
        </x:is>
      </x:c>
      <x:c r="C153" s="31" t="inlineStr">
        <x:is>
          <x:t xml:space="preserve">ПОЗ-0073-1</x:t>
        </x:is>
      </x:c>
      <x:c r="D153" s="31" t="inlineStr">
        <x:is>
          <x:t xml:space="preserve">ИЗД-033</x:t>
        </x:is>
      </x:c>
      <x:c r="E153" s="31" t="n">
        <x:v>3</x:v>
      </x:c>
      <x:c r="F153" s="31" t="inlineStr">
        <x:is>
          <x:t xml:space="preserve">ОТК</x:t>
        </x:is>
      </x:c>
      <x:c r="G153" s="31" t="inlineStr">
        <x:is>
          <x:t xml:space="preserve">ОБ-015</x:t>
        </x:is>
      </x:c>
      <x:c r="H153" s="31" t="n">
        <x:v>46169</x:v>
      </x:c>
      <x:c r="I153" s="31" t="n">
        <x:v>46205</x:v>
      </x:c>
      <x:c r="J153" s="31" t="n">
        <x:v>46169</x:v>
      </x:c>
      <x:c r="K153" s="31" t="n">
        <x:v>46205</x:v>
      </x:c>
      <x:c r="L153" s="31" t="inlineStr">
        <x:is>
          <x:t xml:space="preserve">Завершено</x:t>
        </x:is>
      </x:c>
      <x:c r="M153" s="31" t="inlineStr">
        <x:is>
          <x:t xml:space="preserve">СОТР-063</x:t>
        </x:is>
      </x:c>
      <x:c r="N153" s="31" t="n">
        <x:v>280.2</x:v>
      </x:c>
      <x:c r="O153" s="31" t="n">
        <x:v>244.6</x:v>
      </x:c>
      <x:c r="P153" s="31" t="n">
        <x:v>2</x:v>
      </x:c>
      <x:c r="Q153" s="31" t="n">
        <x:v>100</x:v>
      </x:c>
      <x:c r="R153" s="31" t="inlineStr">
        <x:is>
          <x:t xml:space="preserve">Нет</x:t>
        </x:is>
      </x:c>
      <x:c r="S153" s="31" t="inlineStr">
        <x:is>
          <x:t xml:space="preserve">Нет</x:t>
        </x:is>
      </x:c>
      <x:c r="T153" s="31" t="inlineStr">
        <x:is>
          <x:t xml:space="preserve">Создано из строки заказа ПОЗ-0073-1</x:t>
        </x:is>
      </x:c>
    </x:row>
    <x:row r="154" ht="18" customHeight="1">
      <x:c r="A154" s="31" t="inlineStr">
        <x:is>
          <x:t xml:space="preserve">ПЗ-00153</x:t>
        </x:is>
      </x:c>
      <x:c r="B154" s="31" t="inlineStr">
        <x:is>
          <x:t xml:space="preserve">ЗК-1073</x:t>
        </x:is>
      </x:c>
      <x:c r="C154" s="31" t="inlineStr">
        <x:is>
          <x:t xml:space="preserve">ПОЗ-0073-2</x:t>
        </x:is>
      </x:c>
      <x:c r="D154" s="31" t="inlineStr">
        <x:is>
          <x:t xml:space="preserve">ИЗД-042</x:t>
        </x:is>
      </x:c>
      <x:c r="E154" s="31" t="n">
        <x:v>5</x:v>
      </x:c>
      <x:c r="F154" s="31" t="inlineStr">
        <x:is>
          <x:t xml:space="preserve">ОТК</x:t>
        </x:is>
      </x:c>
      <x:c r="G154" s="31" t="inlineStr">
        <x:is>
          <x:t xml:space="preserve">ОБ-033</x:t>
        </x:is>
      </x:c>
      <x:c r="H154" s="31" t="n">
        <x:v>46154</x:v>
      </x:c>
      <x:c r="I154" s="31" t="n">
        <x:v>46205</x:v>
      </x:c>
      <x:c r="J154" s="31" t="n">
        <x:v>46154</x:v>
      </x:c>
      <x:c r="K154" s="31" t="n">
        <x:v>46205</x:v>
      </x:c>
      <x:c r="L154" s="31" t="inlineStr">
        <x:is>
          <x:t xml:space="preserve">Завершено</x:t>
        </x:is>
      </x:c>
      <x:c r="M154" s="31" t="inlineStr">
        <x:is>
          <x:t xml:space="preserve">СОТР-100</x:t>
        </x:is>
      </x:c>
      <x:c r="N154" s="31" t="n">
        <x:v>766.5</x:v>
      </x:c>
      <x:c r="O154" s="31" t="n">
        <x:v>761.7</x:v>
      </x:c>
      <x:c r="P154" s="31" t="n">
        <x:v>3</x:v>
      </x:c>
      <x:c r="Q154" s="31" t="n">
        <x:v>100</x:v>
      </x:c>
      <x:c r="R154" s="31" t="inlineStr">
        <x:is>
          <x:t xml:space="preserve">Нет</x:t>
        </x:is>
      </x:c>
      <x:c r="S154" s="31" t="inlineStr">
        <x:is>
          <x:t xml:space="preserve">Нет</x:t>
        </x:is>
      </x:c>
      <x:c r="T154" s="31" t="inlineStr">
        <x:is>
          <x:t xml:space="preserve">Создано из строки заказа ПОЗ-0073-2</x:t>
        </x:is>
      </x:c>
    </x:row>
    <x:row r="155" ht="18" customHeight="1">
      <x:c r="A155" s="31" t="inlineStr">
        <x:is>
          <x:t xml:space="preserve">ПЗ-00154</x:t>
        </x:is>
      </x:c>
      <x:c r="B155" s="31" t="inlineStr">
        <x:is>
          <x:t xml:space="preserve">ЗК-1073</x:t>
        </x:is>
      </x:c>
      <x:c r="C155" s="31" t="inlineStr">
        <x:is>
          <x:t xml:space="preserve">ПОЗ-0073-3</x:t>
        </x:is>
      </x:c>
      <x:c r="D155" s="31" t="inlineStr">
        <x:is>
          <x:t xml:space="preserve">ИЗД-008</x:t>
        </x:is>
      </x:c>
      <x:c r="E155" s="31" t="n">
        <x:v>2</x:v>
      </x:c>
      <x:c r="F155" s="31" t="inlineStr">
        <x:is>
          <x:t xml:space="preserve">ОТК</x:t>
        </x:is>
      </x:c>
      <x:c r="G155" s="31" t="inlineStr">
        <x:is>
          <x:t xml:space="preserve">ОБ-024</x:t>
        </x:is>
      </x:c>
      <x:c r="H155" s="31" t="n">
        <x:v>46156</x:v>
      </x:c>
      <x:c r="I155" s="31" t="n">
        <x:v>46200</x:v>
      </x:c>
      <x:c r="J155" s="31" t="n">
        <x:v>46156</x:v>
      </x:c>
      <x:c r="K155" s="31" t="n">
        <x:v>46200</x:v>
      </x:c>
      <x:c r="L155" s="31" t="inlineStr">
        <x:is>
          <x:t xml:space="preserve">Завершено</x:t>
        </x:is>
      </x:c>
      <x:c r="M155" s="31" t="inlineStr">
        <x:is>
          <x:t xml:space="preserve">СОТР-099</x:t>
        </x:is>
      </x:c>
      <x:c r="N155" s="31" t="n">
        <x:v>40.4</x:v>
      </x:c>
      <x:c r="O155" s="31" t="n">
        <x:v>38.8</x:v>
      </x:c>
      <x:c r="P155" s="31" t="n">
        <x:v>3</x:v>
      </x:c>
      <x:c r="Q155" s="31" t="n">
        <x:v>100</x:v>
      </x:c>
      <x:c r="R155" s="31" t="inlineStr">
        <x:is>
          <x:t xml:space="preserve">Да</x:t>
        </x:is>
      </x:c>
      <x:c r="S155" s="31" t="inlineStr">
        <x:is>
          <x:t xml:space="preserve">Нет</x:t>
        </x:is>
      </x:c>
      <x:c r="T155" s="31" t="inlineStr">
        <x:is>
          <x:t xml:space="preserve">Создано из строки заказа ПОЗ-0073-3</x:t>
        </x:is>
      </x:c>
    </x:row>
    <x:row r="156" ht="18" customHeight="1">
      <x:c r="A156" s="31" t="inlineStr">
        <x:is>
          <x:t xml:space="preserve">ПЗ-00155</x:t>
        </x:is>
      </x:c>
      <x:c r="B156" s="31" t="inlineStr">
        <x:is>
          <x:t xml:space="preserve">ЗК-1073</x:t>
        </x:is>
      </x:c>
      <x:c r="C156" s="31" t="inlineStr">
        <x:is>
          <x:t xml:space="preserve">ПОЗ-0073-4</x:t>
        </x:is>
      </x:c>
      <x:c r="D156" s="31" t="inlineStr">
        <x:is>
          <x:t xml:space="preserve">ИЗД-039</x:t>
        </x:is>
      </x:c>
      <x:c r="E156" s="31" t="n">
        <x:v>3</x:v>
      </x:c>
      <x:c r="F156" s="31" t="inlineStr">
        <x:is>
          <x:t xml:space="preserve">Сварка</x:t>
        </x:is>
      </x:c>
      <x:c r="G156" s="31" t="inlineStr">
        <x:is>
          <x:t xml:space="preserve">ОБ-003</x:t>
        </x:is>
      </x:c>
      <x:c r="H156" s="31" t="n">
        <x:v>46164</x:v>
      </x:c>
      <x:c r="I156" s="31" t="n">
        <x:v>46205</x:v>
      </x:c>
      <x:c r="J156" s="31" t="n">
        <x:v>46164</x:v>
      </x:c>
      <x:c r="K156" s="31" t="n">
        <x:v>46205</x:v>
      </x:c>
      <x:c r="L156" s="31" t="inlineStr">
        <x:is>
          <x:t xml:space="preserve">Завершено</x:t>
        </x:is>
      </x:c>
      <x:c r="M156" s="31" t="inlineStr">
        <x:is>
          <x:t xml:space="preserve">СОТР-062</x:t>
        </x:is>
      </x:c>
      <x:c r="N156" s="31" t="n">
        <x:v>231.6</x:v>
      </x:c>
      <x:c r="O156" s="31" t="n">
        <x:v>219.5</x:v>
      </x:c>
      <x:c r="P156" s="31" t="n">
        <x:v>2</x:v>
      </x:c>
      <x:c r="Q156" s="31" t="n">
        <x:v>100</x:v>
      </x:c>
      <x:c r="R156" s="31" t="inlineStr">
        <x:is>
          <x:t xml:space="preserve">Да</x:t>
        </x:is>
      </x:c>
      <x:c r="S156" s="31" t="inlineStr">
        <x:is>
          <x:t xml:space="preserve">Нет</x:t>
        </x:is>
      </x:c>
      <x:c r="T156" s="31" t="inlineStr">
        <x:is>
          <x:t xml:space="preserve">Создано из строки заказа ПОЗ-0073-4</x:t>
        </x:is>
      </x:c>
    </x:row>
    <x:row r="157" ht="18" customHeight="1">
      <x:c r="A157" s="31" t="inlineStr">
        <x:is>
          <x:t xml:space="preserve">ПЗ-00156</x:t>
        </x:is>
      </x:c>
      <x:c r="B157" s="31" t="inlineStr">
        <x:is>
          <x:t xml:space="preserve">ЗК-1074</x:t>
        </x:is>
      </x:c>
      <x:c r="C157" s="31" t="inlineStr">
        <x:is>
          <x:t xml:space="preserve">ПОЗ-0074-1</x:t>
        </x:is>
      </x:c>
      <x:c r="D157" s="31" t="inlineStr">
        <x:is>
          <x:t xml:space="preserve">ИЗД-016</x:t>
        </x:is>
      </x:c>
      <x:c r="E157" s="31" t="n">
        <x:v>4</x:v>
      </x:c>
      <x:c r="F157" s="31" t="inlineStr">
        <x:is>
          <x:t xml:space="preserve">ОТК</x:t>
        </x:is>
      </x:c>
      <x:c r="G157" s="31" t="inlineStr">
        <x:is>
          <x:t xml:space="preserve">ОБ-015</x:t>
        </x:is>
      </x:c>
      <x:c r="H157" s="31" t="n">
        <x:v>46199</x:v>
      </x:c>
      <x:c r="I157" s="31" t="n">
        <x:v>46236</x:v>
      </x:c>
      <x:c r="J157" s="31" t="n">
        <x:v>46199</x:v>
      </x:c>
      <x:c r="K157" s="31" t="n">
        <x:v>46236</x:v>
      </x:c>
      <x:c r="L157" s="31" t="inlineStr">
        <x:is>
          <x:t xml:space="preserve">Завершено</x:t>
        </x:is>
      </x:c>
      <x:c r="M157" s="31" t="inlineStr">
        <x:is>
          <x:t xml:space="preserve">СОТР-099</x:t>
        </x:is>
      </x:c>
      <x:c r="N157" s="31" t="n">
        <x:v>444.8</x:v>
      </x:c>
      <x:c r="O157" s="31" t="n">
        <x:v>411.2</x:v>
      </x:c>
      <x:c r="P157" s="31" t="n">
        <x:v>2</x:v>
      </x:c>
      <x:c r="Q157" s="31" t="n">
        <x:v>100</x:v>
      </x:c>
      <x:c r="R157" s="31" t="inlineStr">
        <x:is>
          <x:t xml:space="preserve">Нет</x:t>
        </x:is>
      </x:c>
      <x:c r="S157" s="31" t="inlineStr">
        <x:is>
          <x:t xml:space="preserve">Нет</x:t>
        </x:is>
      </x:c>
      <x:c r="T157" s="31" t="inlineStr">
        <x:is>
          <x:t xml:space="preserve">Создано из строки заказа ПОЗ-0074-1</x:t>
        </x:is>
      </x:c>
    </x:row>
    <x:row r="158" ht="18" customHeight="1">
      <x:c r="A158" s="31" t="inlineStr">
        <x:is>
          <x:t xml:space="preserve">ПЗ-00157</x:t>
        </x:is>
      </x:c>
      <x:c r="B158" s="31" t="inlineStr">
        <x:is>
          <x:t xml:space="preserve">ЗК-1074</x:t>
        </x:is>
      </x:c>
      <x:c r="C158" s="31" t="inlineStr">
        <x:is>
          <x:t xml:space="preserve">ПОЗ-0074-2</x:t>
        </x:is>
      </x:c>
      <x:c r="D158" s="31" t="inlineStr">
        <x:is>
          <x:t xml:space="preserve">ИЗД-017</x:t>
        </x:is>
      </x:c>
      <x:c r="E158" s="31" t="n">
        <x:v>1</x:v>
      </x:c>
      <x:c r="F158" s="31" t="inlineStr">
        <x:is>
          <x:t xml:space="preserve">ОТК</x:t>
        </x:is>
      </x:c>
      <x:c r="G158" s="31" t="inlineStr">
        <x:is>
          <x:t xml:space="preserve">ОБ-028</x:t>
        </x:is>
      </x:c>
      <x:c r="H158" s="31" t="n">
        <x:v>46198</x:v>
      </x:c>
      <x:c r="I158" s="31" t="n">
        <x:v>46237</x:v>
      </x:c>
      <x:c r="J158" s="31" t="n">
        <x:v>46198</x:v>
      </x:c>
      <x:c r="K158" s="31" t="n">
        <x:v>46237</x:v>
      </x:c>
      <x:c r="L158" s="31" t="inlineStr">
        <x:is>
          <x:t xml:space="preserve">Завершено</x:t>
        </x:is>
      </x:c>
      <x:c r="M158" s="31" t="inlineStr">
        <x:is>
          <x:t xml:space="preserve">СОТР-092</x:t>
        </x:is>
      </x:c>
      <x:c r="N158" s="31" t="n">
        <x:v>99.2</x:v>
      </x:c>
      <x:c r="O158" s="31" t="n">
        <x:v>108.2</x:v>
      </x:c>
      <x:c r="P158" s="31" t="n">
        <x:v>1</x:v>
      </x:c>
      <x:c r="Q158" s="31" t="n">
        <x:v>100</x:v>
      </x:c>
      <x:c r="R158" s="31" t="inlineStr">
        <x:is>
          <x:t xml:space="preserve">Нет</x:t>
        </x:is>
      </x:c>
      <x:c r="S158" s="31" t="inlineStr">
        <x:is>
          <x:t xml:space="preserve">Нет</x:t>
        </x:is>
      </x:c>
      <x:c r="T158" s="31" t="inlineStr">
        <x:is>
          <x:t xml:space="preserve">Создано из строки заказа ПОЗ-0074-2</x:t>
        </x:is>
      </x:c>
    </x:row>
    <x:row r="159" ht="18" customHeight="1">
      <x:c r="A159" s="31" t="inlineStr">
        <x:is>
          <x:t xml:space="preserve">ПЗ-00158</x:t>
        </x:is>
      </x:c>
      <x:c r="B159" s="31" t="inlineStr">
        <x:is>
          <x:t xml:space="preserve">ЗК-1074</x:t>
        </x:is>
      </x:c>
      <x:c r="C159" s="31" t="inlineStr">
        <x:is>
          <x:t xml:space="preserve">ПОЗ-0074-3</x:t>
        </x:is>
      </x:c>
      <x:c r="D159" s="31" t="inlineStr">
        <x:is>
          <x:t xml:space="preserve">ИЗД-022</x:t>
        </x:is>
      </x:c>
      <x:c r="E159" s="31" t="n">
        <x:v>4</x:v>
      </x:c>
      <x:c r="F159" s="31" t="inlineStr">
        <x:is>
          <x:t xml:space="preserve">ОТК</x:t>
        </x:is>
      </x:c>
      <x:c r="G159" s="31" t="inlineStr">
        <x:is>
          <x:t xml:space="preserve">ОБ-007</x:t>
        </x:is>
      </x:c>
      <x:c r="H159" s="31" t="n">
        <x:v>46199</x:v>
      </x:c>
      <x:c r="I159" s="31" t="n">
        <x:v>46235</x:v>
      </x:c>
      <x:c r="J159" s="31" t="n">
        <x:v>46199</x:v>
      </x:c>
      <x:c r="K159" s="31" t="n">
        <x:v>46235</x:v>
      </x:c>
      <x:c r="L159" s="31" t="inlineStr">
        <x:is>
          <x:t xml:space="preserve">Завершено</x:t>
        </x:is>
      </x:c>
      <x:c r="M159" s="31" t="inlineStr">
        <x:is>
          <x:t xml:space="preserve">СОТР-063</x:t>
        </x:is>
      </x:c>
      <x:c r="N159" s="31" t="n">
        <x:v>244.8</x:v>
      </x:c>
      <x:c r="O159" s="31" t="n">
        <x:v>267.6</x:v>
      </x:c>
      <x:c r="P159" s="31" t="n">
        <x:v>1</x:v>
      </x:c>
      <x:c r="Q159" s="31" t="n">
        <x:v>100</x:v>
      </x:c>
      <x:c r="R159" s="31" t="inlineStr">
        <x:is>
          <x:t xml:space="preserve">Нет</x:t>
        </x:is>
      </x:c>
      <x:c r="S159" s="31" t="inlineStr">
        <x:is>
          <x:t xml:space="preserve">Нет</x:t>
        </x:is>
      </x:c>
      <x:c r="T159" s="31" t="inlineStr">
        <x:is>
          <x:t xml:space="preserve">Создано из строки заказа ПОЗ-0074-3</x:t>
        </x:is>
      </x:c>
    </x:row>
    <x:row r="160" ht="18" customHeight="1">
      <x:c r="A160" s="31" t="inlineStr">
        <x:is>
          <x:t xml:space="preserve">ПЗ-00159</x:t>
        </x:is>
      </x:c>
      <x:c r="B160" s="31" t="inlineStr">
        <x:is>
          <x:t xml:space="preserve">ЗК-1074</x:t>
        </x:is>
      </x:c>
      <x:c r="C160" s="31" t="inlineStr">
        <x:is>
          <x:t xml:space="preserve">ПОЗ-0074-4</x:t>
        </x:is>
      </x:c>
      <x:c r="D160" s="31" t="inlineStr">
        <x:is>
          <x:t xml:space="preserve">ИЗД-019</x:t>
        </x:is>
      </x:c>
      <x:c r="E160" s="31" t="n">
        <x:v>3</x:v>
      </x:c>
      <x:c r="F160" s="31" t="inlineStr">
        <x:is>
          <x:t xml:space="preserve">ОТК</x:t>
        </x:is>
      </x:c>
      <x:c r="G160" s="31" t="inlineStr">
        <x:is>
          <x:t xml:space="preserve">ОБ-024</x:t>
        </x:is>
      </x:c>
      <x:c r="H160" s="31" t="n">
        <x:v>46187</x:v>
      </x:c>
      <x:c r="I160" s="31" t="n">
        <x:v>46242</x:v>
      </x:c>
      <x:c r="J160" s="31" t="n">
        <x:v>46187</x:v>
      </x:c>
      <x:c r="K160" s="31" t="n">
        <x:v>46242</x:v>
      </x:c>
      <x:c r="L160" s="31" t="inlineStr">
        <x:is>
          <x:t xml:space="preserve">Завершено</x:t>
        </x:is>
      </x:c>
      <x:c r="M160" s="31" t="inlineStr">
        <x:is>
          <x:t xml:space="preserve">СОТР-092</x:t>
        </x:is>
      </x:c>
      <x:c r="N160" s="31" t="n">
        <x:v>126.3</x:v>
      </x:c>
      <x:c r="O160" s="31" t="n">
        <x:v>157.3</x:v>
      </x:c>
      <x:c r="P160" s="31" t="n">
        <x:v>1</x:v>
      </x:c>
      <x:c r="Q160" s="31" t="n">
        <x:v>100</x:v>
      </x:c>
      <x:c r="R160" s="31" t="inlineStr">
        <x:is>
          <x:t xml:space="preserve">Нет</x:t>
        </x:is>
      </x:c>
      <x:c r="S160" s="31" t="inlineStr">
        <x:is>
          <x:t xml:space="preserve">Материал</x:t>
        </x:is>
      </x:c>
      <x:c r="T160" s="31" t="inlineStr">
        <x:is>
          <x:t xml:space="preserve">Создано из строки заказа ПОЗ-0074-4</x:t>
        </x:is>
      </x:c>
    </x:row>
    <x:row r="161" ht="18" customHeight="1">
      <x:c r="A161" s="31" t="inlineStr">
        <x:is>
          <x:t xml:space="preserve">ПЗ-00160</x:t>
        </x:is>
      </x:c>
      <x:c r="B161" s="31" t="inlineStr">
        <x:is>
          <x:t xml:space="preserve">ЗК-1075</x:t>
        </x:is>
      </x:c>
      <x:c r="C161" s="31" t="inlineStr">
        <x:is>
          <x:t xml:space="preserve">ПОЗ-0075-1</x:t>
        </x:is>
      </x:c>
      <x:c r="D161" s="31" t="inlineStr">
        <x:is>
          <x:t xml:space="preserve">ИЗД-022</x:t>
        </x:is>
      </x:c>
      <x:c r="E161" s="31" t="n">
        <x:v>2</x:v>
      </x:c>
      <x:c r="F161" s="31" t="inlineStr">
        <x:is>
          <x:t xml:space="preserve">ОТК</x:t>
        </x:is>
      </x:c>
      <x:c r="G161" s="31" t="inlineStr">
        <x:is>
          <x:t xml:space="preserve">ОБ-022</x:t>
        </x:is>
      </x:c>
      <x:c r="H161" s="31" t="n">
        <x:v>46170</x:v>
      </x:c>
      <x:c r="I161" s="31" t="n">
        <x:v>46189</x:v>
      </x:c>
      <x:c r="J161" s="31" t="n">
        <x:v>46170</x:v>
      </x:c>
      <x:c r="K161" s="31" t="n">
        <x:v>46189</x:v>
      </x:c>
      <x:c r="L161" s="31" t="inlineStr">
        <x:is>
          <x:t xml:space="preserve">Завершено</x:t>
        </x:is>
      </x:c>
      <x:c r="M161" s="31" t="inlineStr">
        <x:is>
          <x:t xml:space="preserve">СОТР-063</x:t>
        </x:is>
      </x:c>
      <x:c r="N161" s="31" t="n">
        <x:v>122.4</x:v>
      </x:c>
      <x:c r="O161" s="31" t="n">
        <x:v>106.4</x:v>
      </x:c>
      <x:c r="P161" s="31" t="n">
        <x:v>2</x:v>
      </x:c>
      <x:c r="Q161" s="31" t="n">
        <x:v>100</x:v>
      </x:c>
      <x:c r="R161" s="31" t="inlineStr">
        <x:is>
          <x:t xml:space="preserve">Нет</x:t>
        </x:is>
      </x:c>
      <x:c r="S161" s="31" t="inlineStr">
        <x:is>
          <x:t xml:space="preserve">Нет</x:t>
        </x:is>
      </x:c>
      <x:c r="T161" s="31" t="inlineStr">
        <x:is>
          <x:t xml:space="preserve">Создано из строки заказа ПОЗ-0075-1</x:t>
        </x:is>
      </x:c>
    </x:row>
    <x:row r="162" ht="18" customHeight="1">
      <x:c r="A162" s="31" t="inlineStr">
        <x:is>
          <x:t xml:space="preserve">ПЗ-00161</x:t>
        </x:is>
      </x:c>
      <x:c r="B162" s="31" t="inlineStr">
        <x:is>
          <x:t xml:space="preserve">ЗК-1076</x:t>
        </x:is>
      </x:c>
      <x:c r="C162" s="31" t="inlineStr">
        <x:is>
          <x:t xml:space="preserve">ПОЗ-0076-1</x:t>
        </x:is>
      </x:c>
      <x:c r="D162" s="31" t="inlineStr">
        <x:is>
          <x:t xml:space="preserve">ИЗД-029</x:t>
        </x:is>
      </x:c>
      <x:c r="E162" s="31" t="n">
        <x:v>5</x:v>
      </x:c>
      <x:c r="F162" s="31" t="inlineStr">
        <x:is>
          <x:t xml:space="preserve">ОТК</x:t>
        </x:is>
      </x:c>
      <x:c r="G162" s="31" t="inlineStr">
        <x:is>
          <x:t xml:space="preserve">ОБ-015</x:t>
        </x:is>
      </x:c>
      <x:c r="H162" s="31" t="n">
        <x:v>46177</x:v>
      </x:c>
      <x:c r="I162" s="31" t="n">
        <x:v>46182</x:v>
      </x:c>
      <x:c r="J162" s="31" t="n">
        <x:v>46177</x:v>
      </x:c>
      <x:c r="K162" s="31" t="n"/>
      <x:c r="L162" s="31" t="inlineStr">
        <x:is>
          <x:t xml:space="preserve">Пауза</x:t>
        </x:is>
      </x:c>
      <x:c r="M162" s="31" t="inlineStr">
        <x:is>
          <x:t xml:space="preserve">СОТР-063</x:t>
        </x:is>
      </x:c>
      <x:c r="N162" s="31" t="n">
        <x:v>651.5</x:v>
      </x:c>
      <x:c r="O162" s="31" t="n">
        <x:v>753.7</x:v>
      </x:c>
      <x:c r="P162" s="31" t="n">
        <x:v>0</x:v>
      </x:c>
      <x:c r="Q162" s="31" t="n">
        <x:v>40</x:v>
      </x:c>
      <x:c r="R162" s="31" t="inlineStr">
        <x:is>
          <x:t xml:space="preserve">Нет</x:t>
        </x:is>
      </x:c>
      <x:c r="S162" s="31" t="inlineStr">
        <x:is>
          <x:t xml:space="preserve">Материал</x:t>
        </x:is>
      </x:c>
      <x:c r="T162" s="31" t="inlineStr">
        <x:is>
          <x:t xml:space="preserve">Создано из строки заказа ПОЗ-0076-1</x:t>
        </x:is>
      </x:c>
    </x:row>
    <x:row r="163" ht="18" customHeight="1">
      <x:c r="A163" s="31" t="inlineStr">
        <x:is>
          <x:t xml:space="preserve">ПЗ-00162</x:t>
        </x:is>
      </x:c>
      <x:c r="B163" s="31" t="inlineStr">
        <x:is>
          <x:t xml:space="preserve">ЗК-1078</x:t>
        </x:is>
      </x:c>
      <x:c r="C163" s="31" t="inlineStr">
        <x:is>
          <x:t xml:space="preserve">ПОЗ-0078-1</x:t>
        </x:is>
      </x:c>
      <x:c r="D163" s="31" t="inlineStr">
        <x:is>
          <x:t xml:space="preserve">ИЗД-007</x:t>
        </x:is>
      </x:c>
      <x:c r="E163" s="31" t="n">
        <x:v>5</x:v>
      </x:c>
      <x:c r="F163" s="31" t="inlineStr">
        <x:is>
          <x:t xml:space="preserve">ОТК</x:t>
        </x:is>
      </x:c>
      <x:c r="G163" s="31" t="inlineStr">
        <x:is>
          <x:t xml:space="preserve">ОБ-015</x:t>
        </x:is>
      </x:c>
      <x:c r="H163" s="31" t="n">
        <x:v>46113</x:v>
      </x:c>
      <x:c r="I163" s="31" t="n">
        <x:v>46173</x:v>
      </x:c>
      <x:c r="J163" s="31" t="n">
        <x:v>46113</x:v>
      </x:c>
      <x:c r="K163" s="31" t="n"/>
      <x:c r="L163" s="31" t="inlineStr">
        <x:is>
          <x:t xml:space="preserve">В работе</x:t>
        </x:is>
      </x:c>
      <x:c r="M163" s="31" t="inlineStr">
        <x:is>
          <x:t xml:space="preserve">СОТР-095</x:t>
        </x:is>
      </x:c>
      <x:c r="N163" s="31" t="n">
        <x:v>335.5</x:v>
      </x:c>
      <x:c r="O163" s="31" t="n">
        <x:v>368.6</x:v>
      </x:c>
      <x:c r="P163" s="31" t="n">
        <x:v>0</x:v>
      </x:c>
      <x:c r="Q163" s="31" t="n">
        <x:v>28</x:v>
      </x:c>
      <x:c r="R163" s="31" t="inlineStr">
        <x:is>
          <x:t xml:space="preserve">Нет</x:t>
        </x:is>
      </x:c>
      <x:c r="S163" s="31" t="inlineStr">
        <x:is>
          <x:t xml:space="preserve">Нет</x:t>
        </x:is>
      </x:c>
      <x:c r="T163" s="31" t="inlineStr">
        <x:is>
          <x:t xml:space="preserve">Создано из строки заказа ПОЗ-0078-1</x:t>
        </x:is>
      </x:c>
    </x:row>
    <x:row r="164" ht="18" customHeight="1">
      <x:c r="A164" s="31" t="inlineStr">
        <x:is>
          <x:t xml:space="preserve">ПЗ-00163</x:t>
        </x:is>
      </x:c>
      <x:c r="B164" s="31" t="inlineStr">
        <x:is>
          <x:t xml:space="preserve">ЗК-1078</x:t>
        </x:is>
      </x:c>
      <x:c r="C164" s="31" t="inlineStr">
        <x:is>
          <x:t xml:space="preserve">ПОЗ-0078-2</x:t>
        </x:is>
      </x:c>
      <x:c r="D164" s="31" t="inlineStr">
        <x:is>
          <x:t xml:space="preserve">ИЗД-029</x:t>
        </x:is>
      </x:c>
      <x:c r="E164" s="31" t="n">
        <x:v>1</x:v>
      </x:c>
      <x:c r="F164" s="31" t="inlineStr">
        <x:is>
          <x:t xml:space="preserve">ОТК</x:t>
        </x:is>
      </x:c>
      <x:c r="G164" s="31" t="inlineStr">
        <x:is>
          <x:t xml:space="preserve">ОБ-015</x:t>
        </x:is>
      </x:c>
      <x:c r="H164" s="31" t="n">
        <x:v>46120</x:v>
      </x:c>
      <x:c r="I164" s="31" t="n">
        <x:v>46167</x:v>
      </x:c>
      <x:c r="J164" s="31" t="n">
        <x:v>46120</x:v>
      </x:c>
      <x:c r="K164" s="31" t="n"/>
      <x:c r="L164" s="31" t="inlineStr">
        <x:is>
          <x:t xml:space="preserve">В работе</x:t>
        </x:is>
      </x:c>
      <x:c r="M164" s="31" t="inlineStr">
        <x:is>
          <x:t xml:space="preserve">СОТР-093</x:t>
        </x:is>
      </x:c>
      <x:c r="N164" s="31" t="n">
        <x:v>130.3</x:v>
      </x:c>
      <x:c r="O164" s="31" t="n">
        <x:v>150.4</x:v>
      </x:c>
      <x:c r="P164" s="31" t="n">
        <x:v>0</x:v>
      </x:c>
      <x:c r="Q164" s="31" t="n">
        <x:v>75</x:v>
      </x:c>
      <x:c r="R164" s="31" t="inlineStr">
        <x:is>
          <x:t xml:space="preserve">Нет</x:t>
        </x:is>
      </x:c>
      <x:c r="S164" s="31" t="inlineStr">
        <x:is>
          <x:t xml:space="preserve">Нет</x:t>
        </x:is>
      </x:c>
      <x:c r="T164" s="31" t="inlineStr">
        <x:is>
          <x:t xml:space="preserve">Создано из строки заказа ПОЗ-0078-2</x:t>
        </x:is>
      </x:c>
    </x:row>
    <x:row r="165" ht="18" customHeight="1">
      <x:c r="A165" s="31" t="inlineStr">
        <x:is>
          <x:t xml:space="preserve">ПЗ-00164</x:t>
        </x:is>
      </x:c>
      <x:c r="B165" s="31" t="inlineStr">
        <x:is>
          <x:t xml:space="preserve">ЗК-1078</x:t>
        </x:is>
      </x:c>
      <x:c r="C165" s="31" t="inlineStr">
        <x:is>
          <x:t xml:space="preserve">ПОЗ-0078-3</x:t>
        </x:is>
      </x:c>
      <x:c r="D165" s="31" t="inlineStr">
        <x:is>
          <x:t xml:space="preserve">ИЗД-022</x:t>
        </x:is>
      </x:c>
      <x:c r="E165" s="31" t="n">
        <x:v>2</x:v>
      </x:c>
      <x:c r="F165" s="31" t="inlineStr">
        <x:is>
          <x:t xml:space="preserve">ОТК</x:t>
        </x:is>
      </x:c>
      <x:c r="G165" s="31" t="inlineStr">
        <x:is>
          <x:t xml:space="preserve">ОБ-015</x:t>
        </x:is>
      </x:c>
      <x:c r="H165" s="31" t="n">
        <x:v>46106</x:v>
      </x:c>
      <x:c r="I165" s="31" t="n">
        <x:v>46167</x:v>
      </x:c>
      <x:c r="J165" s="31" t="n">
        <x:v>46106</x:v>
      </x:c>
      <x:c r="K165" s="31" t="n"/>
      <x:c r="L165" s="31" t="inlineStr">
        <x:is>
          <x:t xml:space="preserve">ОТК</x:t>
        </x:is>
      </x:c>
      <x:c r="M165" s="31" t="inlineStr">
        <x:is>
          <x:t xml:space="preserve">СОТР-093</x:t>
        </x:is>
      </x:c>
      <x:c r="N165" s="31" t="n">
        <x:v>122.4</x:v>
      </x:c>
      <x:c r="O165" s="31" t="n">
        <x:v>145.5</x:v>
      </x:c>
      <x:c r="P165" s="31" t="n">
        <x:v>2</x:v>
      </x:c>
      <x:c r="Q165" s="31" t="n">
        <x:v>90</x:v>
      </x:c>
      <x:c r="R165" s="31" t="inlineStr">
        <x:is>
          <x:t xml:space="preserve">Нет</x:t>
        </x:is>
      </x:c>
      <x:c r="S165" s="31" t="inlineStr">
        <x:is>
          <x:t xml:space="preserve">Нет</x:t>
        </x:is>
      </x:c>
      <x:c r="T165" s="31" t="inlineStr">
        <x:is>
          <x:t xml:space="preserve">Создано из строки заказа ПОЗ-0078-3</x:t>
        </x:is>
      </x:c>
    </x:row>
    <x:row r="166" ht="18" customHeight="1">
      <x:c r="A166" s="31" t="inlineStr">
        <x:is>
          <x:t xml:space="preserve">ПЗ-00165</x:t>
        </x:is>
      </x:c>
      <x:c r="B166" s="31" t="inlineStr">
        <x:is>
          <x:t xml:space="preserve">ЗК-1079</x:t>
        </x:is>
      </x:c>
      <x:c r="C166" s="31" t="inlineStr">
        <x:is>
          <x:t xml:space="preserve">ПОЗ-0079-1</x:t>
        </x:is>
      </x:c>
      <x:c r="D166" s="31" t="inlineStr">
        <x:is>
          <x:t xml:space="preserve">ИЗД-001</x:t>
        </x:is>
      </x:c>
      <x:c r="E166" s="31" t="n">
        <x:v>13</x:v>
      </x:c>
      <x:c r="F166" s="31" t="inlineStr">
        <x:is>
          <x:t xml:space="preserve">ОТК</x:t>
        </x:is>
      </x:c>
      <x:c r="G166" s="31" t="inlineStr">
        <x:is>
          <x:t xml:space="preserve">ОБ-006</x:t>
        </x:is>
      </x:c>
      <x:c r="H166" s="31" t="n">
        <x:v>46116</x:v>
      </x:c>
      <x:c r="I166" s="31" t="n">
        <x:v>46147</x:v>
      </x:c>
      <x:c r="J166" s="31" t="n">
        <x:v>46116</x:v>
      </x:c>
      <x:c r="K166" s="31" t="n">
        <x:v>46147</x:v>
      </x:c>
      <x:c r="L166" s="31" t="inlineStr">
        <x:is>
          <x:t xml:space="preserve">Завершено</x:t>
        </x:is>
      </x:c>
      <x:c r="M166" s="31" t="inlineStr">
        <x:is>
          <x:t xml:space="preserve">СОТР-097</x:t>
        </x:is>
      </x:c>
      <x:c r="N166" s="31" t="n">
        <x:v>184.6</x:v>
      </x:c>
      <x:c r="O166" s="31" t="n">
        <x:v>180.9</x:v>
      </x:c>
      <x:c r="P166" s="31" t="n">
        <x:v>2</x:v>
      </x:c>
      <x:c r="Q166" s="31" t="n">
        <x:v>100</x:v>
      </x:c>
      <x:c r="R166" s="31" t="inlineStr">
        <x:is>
          <x:t xml:space="preserve">Да</x:t>
        </x:is>
      </x:c>
      <x:c r="S166" s="31" t="inlineStr">
        <x:is>
          <x:t xml:space="preserve">Оборудование</x:t>
        </x:is>
      </x:c>
      <x:c r="T166" s="31" t="inlineStr">
        <x:is>
          <x:t xml:space="preserve">Создано из строки заказа ПОЗ-0079-1</x:t>
        </x:is>
      </x:c>
    </x:row>
    <x:row r="167" ht="18" customHeight="1">
      <x:c r="A167" s="31" t="inlineStr">
        <x:is>
          <x:t xml:space="preserve">ПЗ-00166</x:t>
        </x:is>
      </x:c>
      <x:c r="B167" s="31" t="inlineStr">
        <x:is>
          <x:t xml:space="preserve">ЗК-1079</x:t>
        </x:is>
      </x:c>
      <x:c r="C167" s="31" t="inlineStr">
        <x:is>
          <x:t xml:space="preserve">ПОЗ-0079-2</x:t>
        </x:is>
      </x:c>
      <x:c r="D167" s="31" t="inlineStr">
        <x:is>
          <x:t xml:space="preserve">ИЗД-026</x:t>
        </x:is>
      </x:c>
      <x:c r="E167" s="31" t="n">
        <x:v>3</x:v>
      </x:c>
      <x:c r="F167" s="31" t="inlineStr">
        <x:is>
          <x:t xml:space="preserve">ОТК</x:t>
        </x:is>
      </x:c>
      <x:c r="G167" s="31" t="inlineStr">
        <x:is>
          <x:t xml:space="preserve">ОБ-028</x:t>
        </x:is>
      </x:c>
      <x:c r="H167" s="31" t="n">
        <x:v>46113</x:v>
      </x:c>
      <x:c r="I167" s="31" t="n">
        <x:v>46148</x:v>
      </x:c>
      <x:c r="J167" s="31" t="n">
        <x:v>46113</x:v>
      </x:c>
      <x:c r="K167" s="31" t="n">
        <x:v>46148</x:v>
      </x:c>
      <x:c r="L167" s="31" t="inlineStr">
        <x:is>
          <x:t xml:space="preserve">Завершено</x:t>
        </x:is>
      </x:c>
      <x:c r="M167" s="31" t="inlineStr">
        <x:is>
          <x:t xml:space="preserve">СОТР-098</x:t>
        </x:is>
      </x:c>
      <x:c r="N167" s="31" t="n">
        <x:v>303.9</x:v>
      </x:c>
      <x:c r="O167" s="31" t="n">
        <x:v>253.1</x:v>
      </x:c>
      <x:c r="P167" s="31" t="n">
        <x:v>2</x:v>
      </x:c>
      <x:c r="Q167" s="31" t="n">
        <x:v>100</x:v>
      </x:c>
      <x:c r="R167" s="31" t="inlineStr">
        <x:is>
          <x:t xml:space="preserve">Нет</x:t>
        </x:is>
      </x:c>
      <x:c r="S167" s="31" t="inlineStr">
        <x:is>
          <x:t xml:space="preserve">Нет</x:t>
        </x:is>
      </x:c>
      <x:c r="T167" s="31" t="inlineStr">
        <x:is>
          <x:t xml:space="preserve">Создано из строки заказа ПОЗ-0079-2</x:t>
        </x:is>
      </x:c>
    </x:row>
    <x:row r="168" ht="18" customHeight="1">
      <x:c r="A168" s="31" t="inlineStr">
        <x:is>
          <x:t xml:space="preserve">ПЗ-00167</x:t>
        </x:is>
      </x:c>
      <x:c r="B168" s="31" t="inlineStr">
        <x:is>
          <x:t xml:space="preserve">ЗК-1079</x:t>
        </x:is>
      </x:c>
      <x:c r="C168" s="31" t="inlineStr">
        <x:is>
          <x:t xml:space="preserve">ПОЗ-0079-3</x:t>
        </x:is>
      </x:c>
      <x:c r="D168" s="31" t="inlineStr">
        <x:is>
          <x:t xml:space="preserve">ИЗД-004</x:t>
        </x:is>
      </x:c>
      <x:c r="E168" s="31" t="n">
        <x:v>5</x:v>
      </x:c>
      <x:c r="F168" s="31" t="inlineStr">
        <x:is>
          <x:t xml:space="preserve">ОТК</x:t>
        </x:is>
      </x:c>
      <x:c r="G168" s="31" t="inlineStr">
        <x:is>
          <x:t xml:space="preserve">ОБ-024</x:t>
        </x:is>
      </x:c>
      <x:c r="H168" s="31" t="n">
        <x:v>46116</x:v>
      </x:c>
      <x:c r="I168" s="31" t="n">
        <x:v>46147</x:v>
      </x:c>
      <x:c r="J168" s="31" t="n">
        <x:v>46116</x:v>
      </x:c>
      <x:c r="K168" s="31" t="n">
        <x:v>46147</x:v>
      </x:c>
      <x:c r="L168" s="31" t="inlineStr">
        <x:is>
          <x:t xml:space="preserve">Завершено</x:t>
        </x:is>
      </x:c>
      <x:c r="M168" s="31" t="inlineStr">
        <x:is>
          <x:t xml:space="preserve">СОТР-099</x:t>
        </x:is>
      </x:c>
      <x:c r="N168" s="31" t="n">
        <x:v>516.5</x:v>
      </x:c>
      <x:c r="O168" s="31" t="n">
        <x:v>405.6</x:v>
      </x:c>
      <x:c r="P168" s="31" t="n">
        <x:v>3</x:v>
      </x:c>
      <x:c r="Q168" s="31" t="n">
        <x:v>100</x:v>
      </x:c>
      <x:c r="R168" s="31" t="inlineStr">
        <x:is>
          <x:t xml:space="preserve">Нет</x:t>
        </x:is>
      </x:c>
      <x:c r="S168" s="31" t="inlineStr">
        <x:is>
          <x:t xml:space="preserve">Нет</x:t>
        </x:is>
      </x:c>
      <x:c r="T168" s="31" t="inlineStr">
        <x:is>
          <x:t xml:space="preserve">Создано из строки заказа ПОЗ-0079-3</x:t>
        </x:is>
      </x:c>
    </x:row>
    <x:row r="169" ht="18" customHeight="1">
      <x:c r="A169" s="31" t="inlineStr">
        <x:is>
          <x:t xml:space="preserve">ПЗ-00168</x:t>
        </x:is>
      </x:c>
      <x:c r="B169" s="31" t="inlineStr">
        <x:is>
          <x:t xml:space="preserve">ЗК-1079</x:t>
        </x:is>
      </x:c>
      <x:c r="C169" s="31" t="inlineStr">
        <x:is>
          <x:t xml:space="preserve">ПОЗ-0079-4</x:t>
        </x:is>
      </x:c>
      <x:c r="D169" s="31" t="inlineStr">
        <x:is>
          <x:t xml:space="preserve">ИЗД-027</x:t>
        </x:is>
      </x:c>
      <x:c r="E169" s="31" t="n">
        <x:v>1</x:v>
      </x:c>
      <x:c r="F169" s="31" t="inlineStr">
        <x:is>
          <x:t xml:space="preserve">ОТК</x:t>
        </x:is>
      </x:c>
      <x:c r="G169" s="31" t="inlineStr">
        <x:is>
          <x:t xml:space="preserve">ОБ-033</x:t>
        </x:is>
      </x:c>
      <x:c r="H169" s="31" t="n">
        <x:v>46106</x:v>
      </x:c>
      <x:c r="I169" s="31" t="n">
        <x:v>46154</x:v>
      </x:c>
      <x:c r="J169" s="31" t="n">
        <x:v>46106</x:v>
      </x:c>
      <x:c r="K169" s="31" t="n">
        <x:v>46154</x:v>
      </x:c>
      <x:c r="L169" s="31" t="inlineStr">
        <x:is>
          <x:t xml:space="preserve">Завершено</x:t>
        </x:is>
      </x:c>
      <x:c r="M169" s="31" t="inlineStr">
        <x:is>
          <x:t xml:space="preserve">СОТР-098</x:t>
        </x:is>
      </x:c>
      <x:c r="N169" s="31" t="n">
        <x:v>112.6</x:v>
      </x:c>
      <x:c r="O169" s="31" t="n">
        <x:v>136</x:v>
      </x:c>
      <x:c r="P169" s="31" t="n">
        <x:v>0</x:v>
      </x:c>
      <x:c r="Q169" s="31" t="n">
        <x:v>100</x:v>
      </x:c>
      <x:c r="R169" s="31" t="inlineStr">
        <x:is>
          <x:t xml:space="preserve">Нет</x:t>
        </x:is>
      </x:c>
      <x:c r="S169" s="31" t="inlineStr">
        <x:is>
          <x:t xml:space="preserve">Нет</x:t>
        </x:is>
      </x:c>
      <x:c r="T169" s="31" t="inlineStr">
        <x:is>
          <x:t xml:space="preserve">Создано из строки заказа ПОЗ-0079-4</x:t>
        </x:is>
      </x:c>
    </x:row>
    <x:row r="170" ht="18" customHeight="1">
      <x:c r="A170" s="31" t="inlineStr">
        <x:is>
          <x:t xml:space="preserve">ПЗ-00169</x:t>
        </x:is>
      </x:c>
      <x:c r="B170" s="31" t="inlineStr">
        <x:is>
          <x:t xml:space="preserve">ЗК-1081</x:t>
        </x:is>
      </x:c>
      <x:c r="C170" s="31" t="inlineStr">
        <x:is>
          <x:t xml:space="preserve">ПОЗ-0081-1</x:t>
        </x:is>
      </x:c>
      <x:c r="D170" s="31" t="inlineStr">
        <x:is>
          <x:t xml:space="preserve">ИЗД-008</x:t>
        </x:is>
      </x:c>
      <x:c r="E170" s="31" t="n">
        <x:v>15</x:v>
      </x:c>
      <x:c r="F170" s="31" t="inlineStr">
        <x:is>
          <x:t xml:space="preserve">ОТК</x:t>
        </x:is>
      </x:c>
      <x:c r="G170" s="31" t="inlineStr">
        <x:is>
          <x:t xml:space="preserve">ОБ-032</x:t>
        </x:is>
      </x:c>
      <x:c r="H170" s="31" t="n">
        <x:v>46155</x:v>
      </x:c>
      <x:c r="I170" s="31" t="n">
        <x:v>46217</x:v>
      </x:c>
      <x:c r="J170" s="31" t="n">
        <x:v>46155</x:v>
      </x:c>
      <x:c r="K170" s="31" t="n">
        <x:v>46217</x:v>
      </x:c>
      <x:c r="L170" s="31" t="inlineStr">
        <x:is>
          <x:t xml:space="preserve">Завершено</x:t>
        </x:is>
      </x:c>
      <x:c r="M170" s="31" t="inlineStr">
        <x:is>
          <x:t xml:space="preserve">СОТР-097</x:t>
        </x:is>
      </x:c>
      <x:c r="N170" s="31" t="n">
        <x:v>303</x:v>
      </x:c>
      <x:c r="O170" s="31" t="n">
        <x:v>234</x:v>
      </x:c>
      <x:c r="P170" s="31" t="n">
        <x:v>1</x:v>
      </x:c>
      <x:c r="Q170" s="31" t="n">
        <x:v>100</x:v>
      </x:c>
      <x:c r="R170" s="31" t="inlineStr">
        <x:is>
          <x:t xml:space="preserve">Да</x:t>
        </x:is>
      </x:c>
      <x:c r="S170" s="31" t="inlineStr">
        <x:is>
          <x:t xml:space="preserve">Нет</x:t>
        </x:is>
      </x:c>
      <x:c r="T170" s="31" t="inlineStr">
        <x:is>
          <x:t xml:space="preserve">Создано из строки заказа ПОЗ-0081-1</x:t>
        </x:is>
      </x:c>
    </x:row>
    <x:row r="171" ht="18" customHeight="1">
      <x:c r="A171" s="31" t="inlineStr">
        <x:is>
          <x:t xml:space="preserve">ПЗ-00170</x:t>
        </x:is>
      </x:c>
      <x:c r="B171" s="31" t="inlineStr">
        <x:is>
          <x:t xml:space="preserve">ЗК-1081</x:t>
        </x:is>
      </x:c>
      <x:c r="C171" s="31" t="inlineStr">
        <x:is>
          <x:t xml:space="preserve">ПОЗ-0081-2</x:t>
        </x:is>
      </x:c>
      <x:c r="D171" s="31" t="inlineStr">
        <x:is>
          <x:t xml:space="preserve">ИЗД-042</x:t>
        </x:is>
      </x:c>
      <x:c r="E171" s="31" t="n">
        <x:v>1</x:v>
      </x:c>
      <x:c r="F171" s="31" t="inlineStr">
        <x:is>
          <x:t xml:space="preserve">ОТК</x:t>
        </x:is>
      </x:c>
      <x:c r="G171" s="31" t="inlineStr">
        <x:is>
          <x:t xml:space="preserve">ОБ-015</x:t>
        </x:is>
      </x:c>
      <x:c r="H171" s="31" t="n">
        <x:v>46162</x:v>
      </x:c>
      <x:c r="I171" s="31" t="n">
        <x:v>46214</x:v>
      </x:c>
      <x:c r="J171" s="31" t="n">
        <x:v>46162</x:v>
      </x:c>
      <x:c r="K171" s="31" t="n">
        <x:v>46214</x:v>
      </x:c>
      <x:c r="L171" s="31" t="inlineStr">
        <x:is>
          <x:t xml:space="preserve">Завершено</x:t>
        </x:is>
      </x:c>
      <x:c r="M171" s="31" t="inlineStr">
        <x:is>
          <x:t xml:space="preserve">СОТР-096</x:t>
        </x:is>
      </x:c>
      <x:c r="N171" s="31" t="n">
        <x:v>153.3</x:v>
      </x:c>
      <x:c r="O171" s="31" t="n">
        <x:v>132.8</x:v>
      </x:c>
      <x:c r="P171" s="31" t="n">
        <x:v>2</x:v>
      </x:c>
      <x:c r="Q171" s="31" t="n">
        <x:v>100</x:v>
      </x:c>
      <x:c r="R171" s="31" t="inlineStr">
        <x:is>
          <x:t xml:space="preserve">Нет</x:t>
        </x:is>
      </x:c>
      <x:c r="S171" s="31" t="inlineStr">
        <x:is>
          <x:t xml:space="preserve">Нет</x:t>
        </x:is>
      </x:c>
      <x:c r="T171" s="31" t="inlineStr">
        <x:is>
          <x:t xml:space="preserve">Создано из строки заказа ПОЗ-0081-2</x:t>
        </x:is>
      </x:c>
    </x:row>
    <x:row r="172" ht="18" customHeight="1">
      <x:c r="A172" s="31" t="inlineStr">
        <x:is>
          <x:t xml:space="preserve">ПЗ-00171</x:t>
        </x:is>
      </x:c>
      <x:c r="B172" s="31" t="inlineStr">
        <x:is>
          <x:t xml:space="preserve">ЗК-1082</x:t>
        </x:is>
      </x:c>
      <x:c r="C172" s="31" t="inlineStr">
        <x:is>
          <x:t xml:space="preserve">ПОЗ-0082-1</x:t>
        </x:is>
      </x:c>
      <x:c r="D172" s="31" t="inlineStr">
        <x:is>
          <x:t xml:space="preserve">ИЗД-030</x:t>
        </x:is>
      </x:c>
      <x:c r="E172" s="31" t="n">
        <x:v>3</x:v>
      </x:c>
      <x:c r="F172" s="31" t="inlineStr">
        <x:is>
          <x:t xml:space="preserve">ОТК</x:t>
        </x:is>
      </x:c>
      <x:c r="G172" s="31" t="inlineStr">
        <x:is>
          <x:t xml:space="preserve">ОБ-024</x:t>
        </x:is>
      </x:c>
      <x:c r="H172" s="31" t="n">
        <x:v>46198</x:v>
      </x:c>
      <x:c r="I172" s="31" t="n">
        <x:v>46201</x:v>
      </x:c>
      <x:c r="J172" s="31" t="n">
        <x:v>46198</x:v>
      </x:c>
      <x:c r="K172" s="31" t="n"/>
      <x:c r="L172" s="31" t="inlineStr">
        <x:is>
          <x:t xml:space="preserve">ОТК</x:t>
        </x:is>
      </x:c>
      <x:c r="M172" s="31" t="inlineStr">
        <x:is>
          <x:t xml:space="preserve">СОТР-098</x:t>
        </x:is>
      </x:c>
      <x:c r="N172" s="31" t="n">
        <x:v>186.3</x:v>
      </x:c>
      <x:c r="O172" s="31" t="n">
        <x:v>162.8</x:v>
      </x:c>
      <x:c r="P172" s="31" t="n">
        <x:v>0</x:v>
      </x:c>
      <x:c r="Q172" s="31" t="n">
        <x:v>90</x:v>
      </x:c>
      <x:c r="R172" s="31" t="inlineStr">
        <x:is>
          <x:t xml:space="preserve">Нет</x:t>
        </x:is>
      </x:c>
      <x:c r="S172" s="31" t="inlineStr">
        <x:is>
          <x:t xml:space="preserve">Оборудование</x:t>
        </x:is>
      </x:c>
      <x:c r="T172" s="31" t="inlineStr">
        <x:is>
          <x:t xml:space="preserve">Создано из строки заказа ПОЗ-0082-1</x:t>
        </x:is>
      </x:c>
    </x:row>
    <x:row r="173" ht="18" customHeight="1">
      <x:c r="A173" s="31" t="inlineStr">
        <x:is>
          <x:t xml:space="preserve">ПЗ-00172</x:t>
        </x:is>
      </x:c>
      <x:c r="B173" s="31" t="inlineStr">
        <x:is>
          <x:t xml:space="preserve">ЗК-1082</x:t>
        </x:is>
      </x:c>
      <x:c r="C173" s="31" t="inlineStr">
        <x:is>
          <x:t xml:space="preserve">ПОЗ-0082-2</x:t>
        </x:is>
      </x:c>
      <x:c r="D173" s="31" t="inlineStr">
        <x:is>
          <x:t xml:space="preserve">ИЗД-029</x:t>
        </x:is>
      </x:c>
      <x:c r="E173" s="31" t="n">
        <x:v>1</x:v>
      </x:c>
      <x:c r="F173" s="31" t="inlineStr">
        <x:is>
          <x:t xml:space="preserve">ОТК</x:t>
        </x:is>
      </x:c>
      <x:c r="G173" s="31" t="inlineStr">
        <x:is>
          <x:t xml:space="preserve">ОБ-006</x:t>
        </x:is>
      </x:c>
      <x:c r="H173" s="31" t="n">
        <x:v>46192</x:v>
      </x:c>
      <x:c r="I173" s="31" t="n">
        <x:v>46206</x:v>
      </x:c>
      <x:c r="J173" s="31" t="n">
        <x:v>46192</x:v>
      </x:c>
      <x:c r="K173" s="31" t="n"/>
      <x:c r="L173" s="31" t="inlineStr">
        <x:is>
          <x:t xml:space="preserve">Пауза</x:t>
        </x:is>
      </x:c>
      <x:c r="M173" s="31" t="inlineStr">
        <x:is>
          <x:t xml:space="preserve">СОТР-093</x:t>
        </x:is>
      </x:c>
      <x:c r="N173" s="31" t="n">
        <x:v>130.3</x:v>
      </x:c>
      <x:c r="O173" s="31" t="n">
        <x:v>122.8</x:v>
      </x:c>
      <x:c r="P173" s="31" t="n">
        <x:v>1</x:v>
      </x:c>
      <x:c r="Q173" s="31" t="n">
        <x:v>57</x:v>
      </x:c>
      <x:c r="R173" s="31" t="inlineStr">
        <x:is>
          <x:t xml:space="preserve">Нет</x:t>
        </x:is>
      </x:c>
      <x:c r="S173" s="31" t="inlineStr">
        <x:is>
          <x:t xml:space="preserve">Нет</x:t>
        </x:is>
      </x:c>
      <x:c r="T173" s="31" t="inlineStr">
        <x:is>
          <x:t xml:space="preserve">Создано из строки заказа ПОЗ-0082-2</x:t>
        </x:is>
      </x:c>
    </x:row>
    <x:row r="174" ht="18" customHeight="1">
      <x:c r="A174" s="31" t="inlineStr">
        <x:is>
          <x:t xml:space="preserve">ПЗ-00173</x:t>
        </x:is>
      </x:c>
      <x:c r="B174" s="31" t="inlineStr">
        <x:is>
          <x:t xml:space="preserve">ЗК-1082</x:t>
        </x:is>
      </x:c>
      <x:c r="C174" s="31" t="inlineStr">
        <x:is>
          <x:t xml:space="preserve">ПОЗ-0082-3</x:t>
        </x:is>
      </x:c>
      <x:c r="D174" s="31" t="inlineStr">
        <x:is>
          <x:t xml:space="preserve">ИЗД-010</x:t>
        </x:is>
      </x:c>
      <x:c r="E174" s="31" t="n">
        <x:v>3</x:v>
      </x:c>
      <x:c r="F174" s="31" t="inlineStr">
        <x:is>
          <x:t xml:space="preserve">ОТК</x:t>
        </x:is>
      </x:c>
      <x:c r="G174" s="31" t="inlineStr">
        <x:is>
          <x:t xml:space="preserve">ОБ-013</x:t>
        </x:is>
      </x:c>
      <x:c r="H174" s="31" t="n">
        <x:v>46182</x:v>
      </x:c>
      <x:c r="I174" s="31" t="n">
        <x:v>46205</x:v>
      </x:c>
      <x:c r="J174" s="31" t="n">
        <x:v>46182</x:v>
      </x:c>
      <x:c r="K174" s="31" t="n"/>
      <x:c r="L174" s="31" t="inlineStr">
        <x:is>
          <x:t xml:space="preserve">Пауза</x:t>
        </x:is>
      </x:c>
      <x:c r="M174" s="31" t="inlineStr">
        <x:is>
          <x:t xml:space="preserve">СОТР-098</x:t>
        </x:is>
      </x:c>
      <x:c r="N174" s="31" t="n">
        <x:v>211.2</x:v>
      </x:c>
      <x:c r="O174" s="31" t="n">
        <x:v>237.8</x:v>
      </x:c>
      <x:c r="P174" s="31" t="n">
        <x:v>0</x:v>
      </x:c>
      <x:c r="Q174" s="31" t="n">
        <x:v>51</x:v>
      </x:c>
      <x:c r="R174" s="31" t="inlineStr">
        <x:is>
          <x:t xml:space="preserve">Нет</x:t>
        </x:is>
      </x:c>
      <x:c r="S174" s="31" t="inlineStr">
        <x:is>
          <x:t xml:space="preserve">Материал</x:t>
        </x:is>
      </x:c>
      <x:c r="T174" s="31" t="inlineStr">
        <x:is>
          <x:t xml:space="preserve">Создано из строки заказа ПОЗ-0082-3</x:t>
        </x:is>
      </x:c>
    </x:row>
    <x:row r="175" ht="18" customHeight="1">
      <x:c r="A175" s="31" t="inlineStr">
        <x:is>
          <x:t xml:space="preserve">ПЗ-00174</x:t>
        </x:is>
      </x:c>
      <x:c r="B175" s="31" t="inlineStr">
        <x:is>
          <x:t xml:space="preserve">ЗК-1083</x:t>
        </x:is>
      </x:c>
      <x:c r="C175" s="31" t="inlineStr">
        <x:is>
          <x:t xml:space="preserve">ПОЗ-0083-1</x:t>
        </x:is>
      </x:c>
      <x:c r="D175" s="31" t="inlineStr">
        <x:is>
          <x:t xml:space="preserve">ИЗД-015</x:t>
        </x:is>
      </x:c>
      <x:c r="E175" s="31" t="n">
        <x:v>8</x:v>
      </x:c>
      <x:c r="F175" s="31" t="inlineStr">
        <x:is>
          <x:t xml:space="preserve">ОТК</x:t>
        </x:is>
      </x:c>
      <x:c r="G175" s="31" t="inlineStr">
        <x:is>
          <x:t xml:space="preserve">ОБ-032</x:t>
        </x:is>
      </x:c>
      <x:c r="H175" s="31" t="n">
        <x:v>46187</x:v>
      </x:c>
      <x:c r="I175" s="31" t="n">
        <x:v>46232</x:v>
      </x:c>
      <x:c r="J175" s="31" t="n">
        <x:v>46187</x:v>
      </x:c>
      <x:c r="K175" s="31" t="n"/>
      <x:c r="L175" s="31" t="inlineStr">
        <x:is>
          <x:t xml:space="preserve">В работе</x:t>
        </x:is>
      </x:c>
      <x:c r="M175" s="31" t="inlineStr">
        <x:is>
          <x:t xml:space="preserve">СОТР-099</x:t>
        </x:is>
      </x:c>
      <x:c r="N175" s="31" t="n">
        <x:v>127.2</x:v>
      </x:c>
      <x:c r="O175" s="31" t="n">
        <x:v>139.7</x:v>
      </x:c>
      <x:c r="P175" s="31" t="n">
        <x:v>0</x:v>
      </x:c>
      <x:c r="Q175" s="31" t="n">
        <x:v>32</x:v>
      </x:c>
      <x:c r="R175" s="31" t="inlineStr">
        <x:is>
          <x:t xml:space="preserve">Нет</x:t>
        </x:is>
      </x:c>
      <x:c r="S175" s="31" t="inlineStr">
        <x:is>
          <x:t xml:space="preserve">Нет</x:t>
        </x:is>
      </x:c>
      <x:c r="T175" s="31" t="inlineStr">
        <x:is>
          <x:t xml:space="preserve">Создано из строки заказа ПОЗ-0083-1</x:t>
        </x:is>
      </x:c>
    </x:row>
    <x:row r="176" ht="18" customHeight="1">
      <x:c r="A176" s="31" t="inlineStr">
        <x:is>
          <x:t xml:space="preserve">ПЗ-00175</x:t>
        </x:is>
      </x:c>
      <x:c r="B176" s="31" t="inlineStr">
        <x:is>
          <x:t xml:space="preserve">ЗК-1083</x:t>
        </x:is>
      </x:c>
      <x:c r="C176" s="31" t="inlineStr">
        <x:is>
          <x:t xml:space="preserve">ПОЗ-0083-2</x:t>
        </x:is>
      </x:c>
      <x:c r="D176" s="31" t="inlineStr">
        <x:is>
          <x:t xml:space="preserve">ИЗД-043</x:t>
        </x:is>
      </x:c>
      <x:c r="E176" s="31" t="n">
        <x:v>4</x:v>
      </x:c>
      <x:c r="F176" s="31" t="inlineStr">
        <x:is>
          <x:t xml:space="preserve">ОТК</x:t>
        </x:is>
      </x:c>
      <x:c r="G176" s="31" t="inlineStr">
        <x:is>
          <x:t xml:space="preserve">ОБ-024</x:t>
        </x:is>
      </x:c>
      <x:c r="H176" s="31" t="n">
        <x:v>46183</x:v>
      </x:c>
      <x:c r="I176" s="31" t="n">
        <x:v>46229</x:v>
      </x:c>
      <x:c r="J176" s="31" t="n"/>
      <x:c r="K176" s="31" t="n"/>
      <x:c r="L176" s="31" t="inlineStr">
        <x:is>
          <x:t xml:space="preserve">Запланировано</x:t>
        </x:is>
      </x:c>
      <x:c r="M176" s="31" t="inlineStr">
        <x:is>
          <x:t xml:space="preserve">СОТР-095</x:t>
        </x:is>
      </x:c>
      <x:c r="N176" s="31" t="n">
        <x:v>371.6</x:v>
      </x:c>
      <x:c r="O176" s="31" t="n"/>
      <x:c r="P176" s="31" t="n">
        <x:v>0</x:v>
      </x:c>
      <x:c r="Q176" s="31" t="n">
        <x:v>10</x:v>
      </x:c>
      <x:c r="R176" s="31" t="inlineStr">
        <x:is>
          <x:t xml:space="preserve">Нет</x:t>
        </x:is>
      </x:c>
      <x:c r="S176" s="31" t="inlineStr">
        <x:is>
          <x:t xml:space="preserve">Нет</x:t>
        </x:is>
      </x:c>
      <x:c r="T176" s="31" t="inlineStr">
        <x:is>
          <x:t xml:space="preserve">Создано из строки заказа ПОЗ-0083-2</x:t>
        </x:is>
      </x:c>
    </x:row>
    <x:row r="177" ht="18" customHeight="1">
      <x:c r="A177" s="31" t="inlineStr">
        <x:is>
          <x:t xml:space="preserve">ПЗ-00176</x:t>
        </x:is>
      </x:c>
      <x:c r="B177" s="31" t="inlineStr">
        <x:is>
          <x:t xml:space="preserve">ЗК-1083</x:t>
        </x:is>
      </x:c>
      <x:c r="C177" s="31" t="inlineStr">
        <x:is>
          <x:t xml:space="preserve">ПОЗ-0083-3</x:t>
        </x:is>
      </x:c>
      <x:c r="D177" s="31" t="inlineStr">
        <x:is>
          <x:t xml:space="preserve">ИЗД-014</x:t>
        </x:is>
      </x:c>
      <x:c r="E177" s="31" t="n">
        <x:v>4</x:v>
      </x:c>
      <x:c r="F177" s="31" t="inlineStr">
        <x:is>
          <x:t xml:space="preserve">Сварка</x:t>
        </x:is>
      </x:c>
      <x:c r="G177" s="31" t="inlineStr">
        <x:is>
          <x:t xml:space="preserve">ОБ-021</x:t>
        </x:is>
      </x:c>
      <x:c r="H177" s="31" t="n">
        <x:v>46194</x:v>
      </x:c>
      <x:c r="I177" s="31" t="n">
        <x:v>46229</x:v>
      </x:c>
      <x:c r="J177" s="31" t="n">
        <x:v>46194</x:v>
      </x:c>
      <x:c r="K177" s="31" t="n">
        <x:v>46229</x:v>
      </x:c>
      <x:c r="L177" s="31" t="inlineStr">
        <x:is>
          <x:t xml:space="preserve">Завершено</x:t>
        </x:is>
      </x:c>
      <x:c r="M177" s="31" t="inlineStr">
        <x:is>
          <x:t xml:space="preserve">СОТР-056</x:t>
        </x:is>
      </x:c>
      <x:c r="N177" s="31" t="n">
        <x:v>254.8</x:v>
      </x:c>
      <x:c r="O177" s="31" t="n">
        <x:v>307</x:v>
      </x:c>
      <x:c r="P177" s="31" t="n">
        <x:v>1</x:v>
      </x:c>
      <x:c r="Q177" s="31" t="n">
        <x:v>100</x:v>
      </x:c>
      <x:c r="R177" s="31" t="inlineStr">
        <x:is>
          <x:t xml:space="preserve">Нет</x:t>
        </x:is>
      </x:c>
      <x:c r="S177" s="31" t="inlineStr">
        <x:is>
          <x:t xml:space="preserve">Нет</x:t>
        </x:is>
      </x:c>
      <x:c r="T177" s="31" t="inlineStr">
        <x:is>
          <x:t xml:space="preserve">Создано из строки заказа ПОЗ-0083-3</x:t>
        </x:is>
      </x:c>
    </x:row>
    <x:row r="178" ht="18" customHeight="1">
      <x:c r="A178" s="31" t="inlineStr">
        <x:is>
          <x:t xml:space="preserve">ПЗ-00177</x:t>
        </x:is>
      </x:c>
      <x:c r="B178" s="31" t="inlineStr">
        <x:is>
          <x:t xml:space="preserve">ЗК-1084</x:t>
        </x:is>
      </x:c>
      <x:c r="C178" s="31" t="inlineStr">
        <x:is>
          <x:t xml:space="preserve">ПОЗ-0084-1</x:t>
        </x:is>
      </x:c>
      <x:c r="D178" s="31" t="inlineStr">
        <x:is>
          <x:t xml:space="preserve">ИЗД-001</x:t>
        </x:is>
      </x:c>
      <x:c r="E178" s="31" t="n">
        <x:v>14</x:v>
      </x:c>
      <x:c r="F178" s="31" t="inlineStr">
        <x:is>
          <x:t xml:space="preserve">ОТК</x:t>
        </x:is>
      </x:c>
      <x:c r="G178" s="31" t="inlineStr">
        <x:is>
          <x:t xml:space="preserve">ОБ-015</x:t>
        </x:is>
      </x:c>
      <x:c r="H178" s="31" t="n">
        <x:v>46076</x:v>
      </x:c>
      <x:c r="I178" s="31" t="n">
        <x:v>46133</x:v>
      </x:c>
      <x:c r="J178" s="31" t="n"/>
      <x:c r="K178" s="31" t="n"/>
      <x:c r="L178" s="31" t="inlineStr">
        <x:is>
          <x:t xml:space="preserve">Запланировано</x:t>
        </x:is>
      </x:c>
      <x:c r="M178" s="31" t="inlineStr">
        <x:is>
          <x:t xml:space="preserve">СОТР-100</x:t>
        </x:is>
      </x:c>
      <x:c r="N178" s="31" t="n">
        <x:v>198.8</x:v>
      </x:c>
      <x:c r="O178" s="31" t="n"/>
      <x:c r="P178" s="31" t="n">
        <x:v>0</x:v>
      </x:c>
      <x:c r="Q178" s="31" t="n">
        <x:v>10</x:v>
      </x:c>
      <x:c r="R178" s="31" t="inlineStr">
        <x:is>
          <x:t xml:space="preserve">Нет</x:t>
        </x:is>
      </x:c>
      <x:c r="S178" s="31" t="inlineStr">
        <x:is>
          <x:t xml:space="preserve">Нет</x:t>
        </x:is>
      </x:c>
      <x:c r="T178" s="31" t="inlineStr">
        <x:is>
          <x:t xml:space="preserve">Создано из строки заказа ПОЗ-0084-1</x:t>
        </x:is>
      </x:c>
    </x:row>
    <x:row r="179" ht="18" customHeight="1">
      <x:c r="A179" s="31" t="inlineStr">
        <x:is>
          <x:t xml:space="preserve">ПЗ-00178</x:t>
        </x:is>
      </x:c>
      <x:c r="B179" s="31" t="inlineStr">
        <x:is>
          <x:t xml:space="preserve">ЗК-1085</x:t>
        </x:is>
      </x:c>
      <x:c r="C179" s="31" t="inlineStr">
        <x:is>
          <x:t xml:space="preserve">ПОЗ-0085-1</x:t>
        </x:is>
      </x:c>
      <x:c r="D179" s="31" t="inlineStr">
        <x:is>
          <x:t xml:space="preserve">ИЗД-045</x:t>
        </x:is>
      </x:c>
      <x:c r="E179" s="31" t="n">
        <x:v>1</x:v>
      </x:c>
      <x:c r="F179" s="31" t="inlineStr">
        <x:is>
          <x:t xml:space="preserve">ОТК</x:t>
        </x:is>
      </x:c>
      <x:c r="G179" s="31" t="inlineStr">
        <x:is>
          <x:t xml:space="preserve">ОБ-015</x:t>
        </x:is>
      </x:c>
      <x:c r="H179" s="31" t="n">
        <x:v>46119</x:v>
      </x:c>
      <x:c r="I179" s="31" t="n">
        <x:v>46168</x:v>
      </x:c>
      <x:c r="J179" s="31" t="n">
        <x:v>46119</x:v>
      </x:c>
      <x:c r="K179" s="31" t="n">
        <x:v>46168</x:v>
      </x:c>
      <x:c r="L179" s="31" t="inlineStr">
        <x:is>
          <x:t xml:space="preserve">Завершено</x:t>
        </x:is>
      </x:c>
      <x:c r="M179" s="31" t="inlineStr">
        <x:is>
          <x:t xml:space="preserve">СОТР-096</x:t>
        </x:is>
      </x:c>
      <x:c r="N179" s="31" t="n">
        <x:v>50.8</x:v>
      </x:c>
      <x:c r="O179" s="31" t="n">
        <x:v>50.8</x:v>
      </x:c>
      <x:c r="P179" s="31" t="n">
        <x:v>3</x:v>
      </x:c>
      <x:c r="Q179" s="31" t="n">
        <x:v>100</x:v>
      </x:c>
      <x:c r="R179" s="31" t="inlineStr">
        <x:is>
          <x:t xml:space="preserve">Нет</x:t>
        </x:is>
      </x:c>
      <x:c r="S179" s="31" t="inlineStr">
        <x:is>
          <x:t xml:space="preserve">Нет</x:t>
        </x:is>
      </x:c>
      <x:c r="T179" s="31" t="inlineStr">
        <x:is>
          <x:t xml:space="preserve">Создано из строки заказа ПОЗ-0085-1</x:t>
        </x:is>
      </x:c>
    </x:row>
    <x:row r="180" ht="18" customHeight="1">
      <x:c r="A180" s="31" t="inlineStr">
        <x:is>
          <x:t xml:space="preserve">ПЗ-00179</x:t>
        </x:is>
      </x:c>
      <x:c r="B180" s="31" t="inlineStr">
        <x:is>
          <x:t xml:space="preserve">ЗК-1085</x:t>
        </x:is>
      </x:c>
      <x:c r="C180" s="31" t="inlineStr">
        <x:is>
          <x:t xml:space="preserve">ПОЗ-0085-2</x:t>
        </x:is>
      </x:c>
      <x:c r="D180" s="31" t="inlineStr">
        <x:is>
          <x:t xml:space="preserve">ИЗД-031</x:t>
        </x:is>
      </x:c>
      <x:c r="E180" s="31" t="n">
        <x:v>4</x:v>
      </x:c>
      <x:c r="F180" s="31" t="inlineStr">
        <x:is>
          <x:t xml:space="preserve">ОТК</x:t>
        </x:is>
      </x:c>
      <x:c r="G180" s="31" t="inlineStr">
        <x:is>
          <x:t xml:space="preserve">ОБ-013</x:t>
        </x:is>
      </x:c>
      <x:c r="H180" s="31" t="n">
        <x:v>46119</x:v>
      </x:c>
      <x:c r="I180" s="31" t="n">
        <x:v>46166</x:v>
      </x:c>
      <x:c r="J180" s="31" t="n">
        <x:v>46119</x:v>
      </x:c>
      <x:c r="K180" s="31" t="n">
        <x:v>46166</x:v>
      </x:c>
      <x:c r="L180" s="31" t="inlineStr">
        <x:is>
          <x:t xml:space="preserve">Завершено</x:t>
        </x:is>
      </x:c>
      <x:c r="M180" s="31" t="inlineStr">
        <x:is>
          <x:t xml:space="preserve">СОТР-097</x:t>
        </x:is>
      </x:c>
      <x:c r="N180" s="31" t="n">
        <x:v>203.6</x:v>
      </x:c>
      <x:c r="O180" s="31" t="n">
        <x:v>192.8</x:v>
      </x:c>
      <x:c r="P180" s="31" t="n">
        <x:v>2</x:v>
      </x:c>
      <x:c r="Q180" s="31" t="n">
        <x:v>100</x:v>
      </x:c>
      <x:c r="R180" s="31" t="inlineStr">
        <x:is>
          <x:t xml:space="preserve">Нет</x:t>
        </x:is>
      </x:c>
      <x:c r="S180" s="31" t="inlineStr">
        <x:is>
          <x:t xml:space="preserve">Нет</x:t>
        </x:is>
      </x:c>
      <x:c r="T180" s="31" t="inlineStr">
        <x:is>
          <x:t xml:space="preserve">Создано из строки заказа ПОЗ-0085-2</x:t>
        </x:is>
      </x:c>
    </x:row>
    <x:row r="181" ht="18" customHeight="1">
      <x:c r="A181" s="31" t="inlineStr">
        <x:is>
          <x:t xml:space="preserve">ПЗ-00180</x:t>
        </x:is>
      </x:c>
      <x:c r="B181" s="31" t="inlineStr">
        <x:is>
          <x:t xml:space="preserve">ЗК-1086</x:t>
        </x:is>
      </x:c>
      <x:c r="C181" s="31" t="inlineStr">
        <x:is>
          <x:t xml:space="preserve">ПОЗ-0086-1</x:t>
        </x:is>
      </x:c>
      <x:c r="D181" s="31" t="inlineStr">
        <x:is>
          <x:t xml:space="preserve">ИЗД-035</x:t>
        </x:is>
      </x:c>
      <x:c r="E181" s="31" t="n">
        <x:v>4</x:v>
      </x:c>
      <x:c r="F181" s="31" t="inlineStr">
        <x:is>
          <x:t xml:space="preserve">ОТК</x:t>
        </x:is>
      </x:c>
      <x:c r="G181" s="31" t="inlineStr">
        <x:is>
          <x:t xml:space="preserve">ОБ-006</x:t>
        </x:is>
      </x:c>
      <x:c r="H181" s="31" t="n">
        <x:v>46090</x:v>
      </x:c>
      <x:c r="I181" s="31" t="n">
        <x:v>46134</x:v>
      </x:c>
      <x:c r="J181" s="31" t="n">
        <x:v>46090</x:v>
      </x:c>
      <x:c r="K181" s="31" t="n"/>
      <x:c r="L181" s="31" t="inlineStr">
        <x:is>
          <x:t xml:space="preserve">В работе</x:t>
        </x:is>
      </x:c>
      <x:c r="M181" s="31" t="inlineStr">
        <x:is>
          <x:t xml:space="preserve">СОТР-063</x:t>
        </x:is>
      </x:c>
      <x:c r="N181" s="31" t="n">
        <x:v>258</x:v>
      </x:c>
      <x:c r="O181" s="31" t="n">
        <x:v>214.9</x:v>
      </x:c>
      <x:c r="P181" s="31" t="n">
        <x:v>2</x:v>
      </x:c>
      <x:c r="Q181" s="31" t="n">
        <x:v>55</x:v>
      </x:c>
      <x:c r="R181" s="31" t="inlineStr">
        <x:is>
          <x:t xml:space="preserve">Нет</x:t>
        </x:is>
      </x:c>
      <x:c r="S181" s="31" t="inlineStr">
        <x:is>
          <x:t xml:space="preserve">Нет</x:t>
        </x:is>
      </x:c>
      <x:c r="T181" s="31" t="inlineStr">
        <x:is>
          <x:t xml:space="preserve">Создано из строки заказа ПОЗ-0086-1</x:t>
        </x:is>
      </x:c>
    </x:row>
    <x:row r="182" ht="18" customHeight="1">
      <x:c r="A182" s="31" t="inlineStr">
        <x:is>
          <x:t xml:space="preserve">ПЗ-00181</x:t>
        </x:is>
      </x:c>
      <x:c r="B182" s="31" t="inlineStr">
        <x:is>
          <x:t xml:space="preserve">ЗК-1087</x:t>
        </x:is>
      </x:c>
      <x:c r="C182" s="31" t="inlineStr">
        <x:is>
          <x:t xml:space="preserve">ПОЗ-0087-1</x:t>
        </x:is>
      </x:c>
      <x:c r="D182" s="31" t="inlineStr">
        <x:is>
          <x:t xml:space="preserve">ИЗД-031</x:t>
        </x:is>
      </x:c>
      <x:c r="E182" s="31" t="n">
        <x:v>4</x:v>
      </x:c>
      <x:c r="F182" s="31" t="inlineStr">
        <x:is>
          <x:t xml:space="preserve">ОТК</x:t>
        </x:is>
      </x:c>
      <x:c r="G182" s="31" t="inlineStr">
        <x:is>
          <x:t xml:space="preserve">ОБ-006</x:t>
        </x:is>
      </x:c>
      <x:c r="H182" s="31" t="n">
        <x:v>46053</x:v>
      </x:c>
      <x:c r="I182" s="31" t="n">
        <x:v>46111</x:v>
      </x:c>
      <x:c r="J182" s="31" t="n">
        <x:v>46053</x:v>
      </x:c>
      <x:c r="K182" s="31" t="n">
        <x:v>46111</x:v>
      </x:c>
      <x:c r="L182" s="31" t="inlineStr">
        <x:is>
          <x:t xml:space="preserve">Завершено</x:t>
        </x:is>
      </x:c>
      <x:c r="M182" s="31" t="inlineStr">
        <x:is>
          <x:t xml:space="preserve">СОТР-063</x:t>
        </x:is>
      </x:c>
      <x:c r="N182" s="31" t="n">
        <x:v>203.6</x:v>
      </x:c>
      <x:c r="O182" s="31" t="n">
        <x:v>213.9</x:v>
      </x:c>
      <x:c r="P182" s="31" t="n">
        <x:v>1</x:v>
      </x:c>
      <x:c r="Q182" s="31" t="n">
        <x:v>100</x:v>
      </x:c>
      <x:c r="R182" s="31" t="inlineStr">
        <x:is>
          <x:t xml:space="preserve">Нет</x:t>
        </x:is>
      </x:c>
      <x:c r="S182" s="31" t="inlineStr">
        <x:is>
          <x:t xml:space="preserve">Нет</x:t>
        </x:is>
      </x:c>
      <x:c r="T182" s="31" t="inlineStr">
        <x:is>
          <x:t xml:space="preserve">Создано из строки заказа ПОЗ-0087-1</x:t>
        </x:is>
      </x:c>
    </x:row>
    <x:row r="183" ht="18" customHeight="1">
      <x:c r="A183" s="31" t="inlineStr">
        <x:is>
          <x:t xml:space="preserve">ПЗ-00182</x:t>
        </x:is>
      </x:c>
      <x:c r="B183" s="31" t="inlineStr">
        <x:is>
          <x:t xml:space="preserve">ЗК-1089</x:t>
        </x:is>
      </x:c>
      <x:c r="C183" s="31" t="inlineStr">
        <x:is>
          <x:t xml:space="preserve">ПОЗ-0089-1</x:t>
        </x:is>
      </x:c>
      <x:c r="D183" s="31" t="inlineStr">
        <x:is>
          <x:t xml:space="preserve">ИЗД-012</x:t>
        </x:is>
      </x:c>
      <x:c r="E183" s="31" t="n">
        <x:v>4</x:v>
      </x:c>
      <x:c r="F183" s="31" t="inlineStr">
        <x:is>
          <x:t xml:space="preserve">ОТК</x:t>
        </x:is>
      </x:c>
      <x:c r="G183" s="31" t="inlineStr">
        <x:is>
          <x:t xml:space="preserve">ОБ-033</x:t>
        </x:is>
      </x:c>
      <x:c r="H183" s="31" t="n">
        <x:v>46181</x:v>
      </x:c>
      <x:c r="I183" s="31" t="n">
        <x:v>46242</x:v>
      </x:c>
      <x:c r="J183" s="31" t="n">
        <x:v>46181</x:v>
      </x:c>
      <x:c r="K183" s="31" t="n"/>
      <x:c r="L183" s="31" t="inlineStr">
        <x:is>
          <x:t xml:space="preserve">В работе</x:t>
        </x:is>
      </x:c>
      <x:c r="M183" s="31" t="inlineStr">
        <x:is>
          <x:t xml:space="preserve">СОТР-099</x:t>
        </x:is>
      </x:c>
      <x:c r="N183" s="31" t="n">
        <x:v>137.6</x:v>
      </x:c>
      <x:c r="O183" s="31" t="n">
        <x:v>107.4</x:v>
      </x:c>
      <x:c r="P183" s="31" t="n">
        <x:v>0</x:v>
      </x:c>
      <x:c r="Q183" s="31" t="n">
        <x:v>29</x:v>
      </x:c>
      <x:c r="R183" s="31" t="inlineStr">
        <x:is>
          <x:t xml:space="preserve">Нет</x:t>
        </x:is>
      </x:c>
      <x:c r="S183" s="31" t="inlineStr">
        <x:is>
          <x:t xml:space="preserve">Нет</x:t>
        </x:is>
      </x:c>
      <x:c r="T183" s="31" t="inlineStr">
        <x:is>
          <x:t xml:space="preserve">Создано из строки заказа ПОЗ-0089-1</x:t>
        </x:is>
      </x:c>
    </x:row>
    <x:row r="184" ht="18" customHeight="1">
      <x:c r="A184" s="31" t="inlineStr">
        <x:is>
          <x:t xml:space="preserve">ПЗ-00183</x:t>
        </x:is>
      </x:c>
      <x:c r="B184" s="31" t="inlineStr">
        <x:is>
          <x:t xml:space="preserve">ЗК-1089</x:t>
        </x:is>
      </x:c>
      <x:c r="C184" s="31" t="inlineStr">
        <x:is>
          <x:t xml:space="preserve">ПОЗ-0089-2</x:t>
        </x:is>
      </x:c>
      <x:c r="D184" s="31" t="inlineStr">
        <x:is>
          <x:t xml:space="preserve">ИЗД-017</x:t>
        </x:is>
      </x:c>
      <x:c r="E184" s="31" t="n">
        <x:v>4</x:v>
      </x:c>
      <x:c r="F184" s="31" t="inlineStr">
        <x:is>
          <x:t xml:space="preserve">ОТК</x:t>
        </x:is>
      </x:c>
      <x:c r="G184" s="31" t="inlineStr">
        <x:is>
          <x:t xml:space="preserve">ОБ-006</x:t>
        </x:is>
      </x:c>
      <x:c r="H184" s="31" t="n">
        <x:v>46197</x:v>
      </x:c>
      <x:c r="I184" s="31" t="n">
        <x:v>46238</x:v>
      </x:c>
      <x:c r="J184" s="31" t="n">
        <x:v>46197</x:v>
      </x:c>
      <x:c r="K184" s="31" t="n">
        <x:v>46238</x:v>
      </x:c>
      <x:c r="L184" s="31" t="inlineStr">
        <x:is>
          <x:t xml:space="preserve">Завершено</x:t>
        </x:is>
      </x:c>
      <x:c r="M184" s="31" t="inlineStr">
        <x:is>
          <x:t xml:space="preserve">СОТР-099</x:t>
        </x:is>
      </x:c>
      <x:c r="N184" s="31" t="n">
        <x:v>396.8</x:v>
      </x:c>
      <x:c r="O184" s="31" t="n">
        <x:v>324.7</x:v>
      </x:c>
      <x:c r="P184" s="31" t="n">
        <x:v>1</x:v>
      </x:c>
      <x:c r="Q184" s="31" t="n">
        <x:v>100</x:v>
      </x:c>
      <x:c r="R184" s="31" t="inlineStr">
        <x:is>
          <x:t xml:space="preserve">Нет</x:t>
        </x:is>
      </x:c>
      <x:c r="S184" s="31" t="inlineStr">
        <x:is>
          <x:t xml:space="preserve">Нет</x:t>
        </x:is>
      </x:c>
      <x:c r="T184" s="31" t="inlineStr">
        <x:is>
          <x:t xml:space="preserve">Создано из строки заказа ПОЗ-0089-2</x:t>
        </x:is>
      </x:c>
    </x:row>
    <x:row r="185" ht="18" customHeight="1">
      <x:c r="A185" s="31" t="inlineStr">
        <x:is>
          <x:t xml:space="preserve">ПЗ-00184</x:t>
        </x:is>
      </x:c>
      <x:c r="B185" s="31" t="inlineStr">
        <x:is>
          <x:t xml:space="preserve">ЗК-1089</x:t>
        </x:is>
      </x:c>
      <x:c r="C185" s="31" t="inlineStr">
        <x:is>
          <x:t xml:space="preserve">ПОЗ-0089-3</x:t>
        </x:is>
      </x:c>
      <x:c r="D185" s="31" t="inlineStr">
        <x:is>
          <x:t xml:space="preserve">ИЗД-022</x:t>
        </x:is>
      </x:c>
      <x:c r="E185" s="31" t="n">
        <x:v>2</x:v>
      </x:c>
      <x:c r="F185" s="31" t="inlineStr">
        <x:is>
          <x:t xml:space="preserve">ОТК</x:t>
        </x:is>
      </x:c>
      <x:c r="G185" s="31" t="inlineStr">
        <x:is>
          <x:t xml:space="preserve">ОБ-032</x:t>
        </x:is>
      </x:c>
      <x:c r="H185" s="31" t="n">
        <x:v>46182</x:v>
      </x:c>
      <x:c r="I185" s="31" t="n">
        <x:v>46238</x:v>
      </x:c>
      <x:c r="J185" s="31" t="n">
        <x:v>46182</x:v>
      </x:c>
      <x:c r="K185" s="31" t="n"/>
      <x:c r="L185" s="31" t="inlineStr">
        <x:is>
          <x:t xml:space="preserve">Пауза</x:t>
        </x:is>
      </x:c>
      <x:c r="M185" s="31" t="inlineStr">
        <x:is>
          <x:t xml:space="preserve">СОТР-100</x:t>
        </x:is>
      </x:c>
      <x:c r="N185" s="31" t="n">
        <x:v>122.4</x:v>
      </x:c>
      <x:c r="O185" s="31" t="n">
        <x:v>129.4</x:v>
      </x:c>
      <x:c r="P185" s="31" t="n">
        <x:v>2</x:v>
      </x:c>
      <x:c r="Q185" s="31" t="n">
        <x:v>65</x:v>
      </x:c>
      <x:c r="R185" s="31" t="inlineStr">
        <x:is>
          <x:t xml:space="preserve">Нет</x:t>
        </x:is>
      </x:c>
      <x:c r="S185" s="31" t="inlineStr">
        <x:is>
          <x:t xml:space="preserve">Нет</x:t>
        </x:is>
      </x:c>
      <x:c r="T185" s="31" t="inlineStr">
        <x:is>
          <x:t xml:space="preserve">Создано из строки заказа ПОЗ-0089-3</x:t>
        </x:is>
      </x:c>
    </x:row>
    <x:row r="186" ht="18" customHeight="1">
      <x:c r="A186" s="31" t="inlineStr">
        <x:is>
          <x:t xml:space="preserve">ПЗ-00185</x:t>
        </x:is>
      </x:c>
      <x:c r="B186" s="31" t="inlineStr">
        <x:is>
          <x:t xml:space="preserve">ЗК-1090</x:t>
        </x:is>
      </x:c>
      <x:c r="C186" s="31" t="inlineStr">
        <x:is>
          <x:t xml:space="preserve">ПОЗ-0090-1</x:t>
        </x:is>
      </x:c>
      <x:c r="D186" s="31" t="inlineStr">
        <x:is>
          <x:t xml:space="preserve">ИЗД-045</x:t>
        </x:is>
      </x:c>
      <x:c r="E186" s="31" t="n">
        <x:v>2</x:v>
      </x:c>
      <x:c r="F186" s="31" t="inlineStr">
        <x:is>
          <x:t xml:space="preserve">ОТК</x:t>
        </x:is>
      </x:c>
      <x:c r="G186" s="31" t="inlineStr">
        <x:is>
          <x:t xml:space="preserve">ОБ-032</x:t>
        </x:is>
      </x:c>
      <x:c r="H186" s="31" t="n">
        <x:v>46138</x:v>
      </x:c>
      <x:c r="I186" s="31" t="n">
        <x:v>46177</x:v>
      </x:c>
      <x:c r="J186" s="31" t="n"/>
      <x:c r="K186" s="31" t="n"/>
      <x:c r="L186" s="31" t="inlineStr">
        <x:is>
          <x:t xml:space="preserve">Запланировано</x:t>
        </x:is>
      </x:c>
      <x:c r="M186" s="31" t="inlineStr">
        <x:is>
          <x:t xml:space="preserve">СОТР-098</x:t>
        </x:is>
      </x:c>
      <x:c r="N186" s="31" t="n">
        <x:v>101.6</x:v>
      </x:c>
      <x:c r="O186" s="31" t="n"/>
      <x:c r="P186" s="31" t="n">
        <x:v>0</x:v>
      </x:c>
      <x:c r="Q186" s="31" t="n">
        <x:v>10</x:v>
      </x:c>
      <x:c r="R186" s="31" t="inlineStr">
        <x:is>
          <x:t xml:space="preserve">Нет</x:t>
        </x:is>
      </x:c>
      <x:c r="S186" s="31" t="inlineStr">
        <x:is>
          <x:t xml:space="preserve">Нет</x:t>
        </x:is>
      </x:c>
      <x:c r="T186" s="31" t="inlineStr">
        <x:is>
          <x:t xml:space="preserve">Создано из строки заказа ПОЗ-0090-1</x:t>
        </x:is>
      </x:c>
    </x:row>
    <x:row r="187" ht="18" customHeight="1">
      <x:c r="A187" s="31" t="inlineStr">
        <x:is>
          <x:t xml:space="preserve">ПЗ-00186</x:t>
        </x:is>
      </x:c>
      <x:c r="B187" s="31" t="inlineStr">
        <x:is>
          <x:t xml:space="preserve">ЗК-1090</x:t>
        </x:is>
      </x:c>
      <x:c r="C187" s="31" t="inlineStr">
        <x:is>
          <x:t xml:space="preserve">ПОЗ-0090-2</x:t>
        </x:is>
      </x:c>
      <x:c r="D187" s="31" t="inlineStr">
        <x:is>
          <x:t xml:space="preserve">ИЗД-034</x:t>
        </x:is>
      </x:c>
      <x:c r="E187" s="31" t="n">
        <x:v>5</x:v>
      </x:c>
      <x:c r="F187" s="31" t="inlineStr">
        <x:is>
          <x:t xml:space="preserve">ОТК</x:t>
        </x:is>
      </x:c>
      <x:c r="G187" s="31" t="inlineStr">
        <x:is>
          <x:t xml:space="preserve">ОБ-022</x:t>
        </x:is>
      </x:c>
      <x:c r="H187" s="31" t="n">
        <x:v>46142</x:v>
      </x:c>
      <x:c r="I187" s="31" t="n">
        <x:v>46172</x:v>
      </x:c>
      <x:c r="J187" s="31" t="n">
        <x:v>46142</x:v>
      </x:c>
      <x:c r="K187" s="31" t="n">
        <x:v>46172</x:v>
      </x:c>
      <x:c r="L187" s="31" t="inlineStr">
        <x:is>
          <x:t xml:space="preserve">Завершено</x:t>
        </x:is>
      </x:c>
      <x:c r="M187" s="31" t="inlineStr">
        <x:is>
          <x:t xml:space="preserve">СОТР-095</x:t>
        </x:is>
      </x:c>
      <x:c r="N187" s="31" t="n">
        <x:v>246</x:v>
      </x:c>
      <x:c r="O187" s="31" t="n">
        <x:v>198.7</x:v>
      </x:c>
      <x:c r="P187" s="31" t="n">
        <x:v>0</x:v>
      </x:c>
      <x:c r="Q187" s="31" t="n">
        <x:v>100</x:v>
      </x:c>
      <x:c r="R187" s="31" t="inlineStr">
        <x:is>
          <x:t xml:space="preserve">Нет</x:t>
        </x:is>
      </x:c>
      <x:c r="S187" s="31" t="inlineStr">
        <x:is>
          <x:t xml:space="preserve">КД</x:t>
        </x:is>
      </x:c>
      <x:c r="T187" s="31" t="inlineStr">
        <x:is>
          <x:t xml:space="preserve">Создано из строки заказа ПОЗ-0090-2</x:t>
        </x:is>
      </x:c>
    </x:row>
    <x:row r="188" ht="18" customHeight="1">
      <x:c r="A188" s="31" t="inlineStr">
        <x:is>
          <x:t xml:space="preserve">ПЗ-00187</x:t>
        </x:is>
      </x:c>
      <x:c r="B188" s="31" t="inlineStr">
        <x:is>
          <x:t xml:space="preserve">ЗК-1091</x:t>
        </x:is>
      </x:c>
      <x:c r="C188" s="31" t="inlineStr">
        <x:is>
          <x:t xml:space="preserve">ПОЗ-0091-1</x:t>
        </x:is>
      </x:c>
      <x:c r="D188" s="31" t="inlineStr">
        <x:is>
          <x:t xml:space="preserve">ИЗД-027</x:t>
        </x:is>
      </x:c>
      <x:c r="E188" s="31" t="n">
        <x:v>2</x:v>
      </x:c>
      <x:c r="F188" s="31" t="inlineStr">
        <x:is>
          <x:t xml:space="preserve">ОТК</x:t>
        </x:is>
      </x:c>
      <x:c r="G188" s="31" t="inlineStr">
        <x:is>
          <x:t xml:space="preserve">ОБ-015</x:t>
        </x:is>
      </x:c>
      <x:c r="H188" s="31" t="n">
        <x:v>46137</x:v>
      </x:c>
      <x:c r="I188" s="31" t="n">
        <x:v>46205</x:v>
      </x:c>
      <x:c r="J188" s="31" t="n">
        <x:v>46137</x:v>
      </x:c>
      <x:c r="K188" s="31" t="n">
        <x:v>46205</x:v>
      </x:c>
      <x:c r="L188" s="31" t="inlineStr">
        <x:is>
          <x:t xml:space="preserve">Завершено</x:t>
        </x:is>
      </x:c>
      <x:c r="M188" s="31" t="inlineStr">
        <x:is>
          <x:t xml:space="preserve">СОТР-099</x:t>
        </x:is>
      </x:c>
      <x:c r="N188" s="31" t="n">
        <x:v>225.2</x:v>
      </x:c>
      <x:c r="O188" s="31" t="n">
        <x:v>250.6</x:v>
      </x:c>
      <x:c r="P188" s="31" t="n">
        <x:v>1</x:v>
      </x:c>
      <x:c r="Q188" s="31" t="n">
        <x:v>100</x:v>
      </x:c>
      <x:c r="R188" s="31" t="inlineStr">
        <x:is>
          <x:t xml:space="preserve">Нет</x:t>
        </x:is>
      </x:c>
      <x:c r="S188" s="31" t="inlineStr">
        <x:is>
          <x:t xml:space="preserve">Нет</x:t>
        </x:is>
      </x:c>
      <x:c r="T188" s="31" t="inlineStr">
        <x:is>
          <x:t xml:space="preserve">Создано из строки заказа ПОЗ-0091-1</x:t>
        </x:is>
      </x:c>
    </x:row>
    <x:row r="189" ht="18" customHeight="1">
      <x:c r="A189" s="31" t="inlineStr">
        <x:is>
          <x:t xml:space="preserve">ПЗ-00188</x:t>
        </x:is>
      </x:c>
      <x:c r="B189" s="31" t="inlineStr">
        <x:is>
          <x:t xml:space="preserve">ЗК-1092</x:t>
        </x:is>
      </x:c>
      <x:c r="C189" s="31" t="inlineStr">
        <x:is>
          <x:t xml:space="preserve">ПОЗ-0092-1</x:t>
        </x:is>
      </x:c>
      <x:c r="D189" s="31" t="inlineStr">
        <x:is>
          <x:t xml:space="preserve">ИЗД-010</x:t>
        </x:is>
      </x:c>
      <x:c r="E189" s="31" t="n">
        <x:v>1</x:v>
      </x:c>
      <x:c r="F189" s="31" t="inlineStr">
        <x:is>
          <x:t xml:space="preserve">ОТК</x:t>
        </x:is>
      </x:c>
      <x:c r="G189" s="31" t="inlineStr">
        <x:is>
          <x:t xml:space="preserve">ОБ-015</x:t>
        </x:is>
      </x:c>
      <x:c r="H189" s="31" t="n">
        <x:v>46149</x:v>
      </x:c>
      <x:c r="I189" s="31" t="n">
        <x:v>46196</x:v>
      </x:c>
      <x:c r="J189" s="31" t="n">
        <x:v>46149</x:v>
      </x:c>
      <x:c r="K189" s="31" t="n"/>
      <x:c r="L189" s="31" t="inlineStr">
        <x:is>
          <x:t xml:space="preserve">В работе</x:t>
        </x:is>
      </x:c>
      <x:c r="M189" s="31" t="inlineStr">
        <x:is>
          <x:t xml:space="preserve">СОТР-098</x:t>
        </x:is>
      </x:c>
      <x:c r="N189" s="31" t="n">
        <x:v>70.40000000000001</x:v>
      </x:c>
      <x:c r="O189" s="31" t="n">
        <x:v>74.40000000000001</x:v>
      </x:c>
      <x:c r="P189" s="31" t="n">
        <x:v>0</x:v>
      </x:c>
      <x:c r="Q189" s="31" t="n">
        <x:v>50</x:v>
      </x:c>
      <x:c r="R189" s="31" t="inlineStr">
        <x:is>
          <x:t xml:space="preserve">Нет</x:t>
        </x:is>
      </x:c>
      <x:c r="S189" s="31" t="inlineStr">
        <x:is>
          <x:t xml:space="preserve">Нет</x:t>
        </x:is>
      </x:c>
      <x:c r="T189" s="31" t="inlineStr">
        <x:is>
          <x:t xml:space="preserve">Создано из строки заказа ПОЗ-0092-1</x:t>
        </x:is>
      </x:c>
    </x:row>
    <x:row r="190" ht="18" customHeight="1">
      <x:c r="A190" s="31" t="inlineStr">
        <x:is>
          <x:t xml:space="preserve">ПЗ-00189</x:t>
        </x:is>
      </x:c>
      <x:c r="B190" s="31" t="inlineStr">
        <x:is>
          <x:t xml:space="preserve">ЗК-1092</x:t>
        </x:is>
      </x:c>
      <x:c r="C190" s="31" t="inlineStr">
        <x:is>
          <x:t xml:space="preserve">ПОЗ-0092-2</x:t>
        </x:is>
      </x:c>
      <x:c r="D190" s="31" t="inlineStr">
        <x:is>
          <x:t xml:space="preserve">ИЗД-044</x:t>
        </x:is>
      </x:c>
      <x:c r="E190" s="31" t="n">
        <x:v>3</x:v>
      </x:c>
      <x:c r="F190" s="31" t="inlineStr">
        <x:is>
          <x:t xml:space="preserve">ОТК</x:t>
        </x:is>
      </x:c>
      <x:c r="G190" s="31" t="inlineStr">
        <x:is>
          <x:t xml:space="preserve">ОБ-033</x:t>
        </x:is>
      </x:c>
      <x:c r="H190" s="31" t="n">
        <x:v>46149</x:v>
      </x:c>
      <x:c r="I190" s="31" t="n">
        <x:v>46199</x:v>
      </x:c>
      <x:c r="J190" s="31" t="n">
        <x:v>46149</x:v>
      </x:c>
      <x:c r="K190" s="31" t="n">
        <x:v>46199</x:v>
      </x:c>
      <x:c r="L190" s="31" t="inlineStr">
        <x:is>
          <x:t xml:space="preserve">Завершено</x:t>
        </x:is>
      </x:c>
      <x:c r="M190" s="31" t="inlineStr">
        <x:is>
          <x:t xml:space="preserve">СОТР-093</x:t>
        </x:is>
      </x:c>
      <x:c r="N190" s="31" t="n">
        <x:v>486.6</x:v>
      </x:c>
      <x:c r="O190" s="31" t="n">
        <x:v>470.8</x:v>
      </x:c>
      <x:c r="P190" s="31" t="n">
        <x:v>0</x:v>
      </x:c>
      <x:c r="Q190" s="31" t="n">
        <x:v>100</x:v>
      </x:c>
      <x:c r="R190" s="31" t="inlineStr">
        <x:is>
          <x:t xml:space="preserve">Нет</x:t>
        </x:is>
      </x:c>
      <x:c r="S190" s="31" t="inlineStr">
        <x:is>
          <x:t xml:space="preserve">Нет</x:t>
        </x:is>
      </x:c>
      <x:c r="T190" s="31" t="inlineStr">
        <x:is>
          <x:t xml:space="preserve">Создано из строки заказа ПОЗ-0092-2</x:t>
        </x:is>
      </x:c>
    </x:row>
    <x:row r="191" ht="18" customHeight="1">
      <x:c r="A191" s="31" t="inlineStr">
        <x:is>
          <x:t xml:space="preserve">ПЗ-00190</x:t>
        </x:is>
      </x:c>
      <x:c r="B191" s="31" t="inlineStr">
        <x:is>
          <x:t xml:space="preserve">ЗК-1092</x:t>
        </x:is>
      </x:c>
      <x:c r="C191" s="31" t="inlineStr">
        <x:is>
          <x:t xml:space="preserve">ПОЗ-0092-3</x:t>
        </x:is>
      </x:c>
      <x:c r="D191" s="31" t="inlineStr">
        <x:is>
          <x:t xml:space="preserve">ИЗД-018</x:t>
        </x:is>
      </x:c>
      <x:c r="E191" s="31" t="n">
        <x:v>3</x:v>
      </x:c>
      <x:c r="F191" s="31" t="inlineStr">
        <x:is>
          <x:t xml:space="preserve">ОТК</x:t>
        </x:is>
      </x:c>
      <x:c r="G191" s="31" t="inlineStr">
        <x:is>
          <x:t xml:space="preserve">ОБ-024</x:t>
        </x:is>
      </x:c>
      <x:c r="H191" s="31" t="n">
        <x:v>46146</x:v>
      </x:c>
      <x:c r="I191" s="31" t="n">
        <x:v>46194</x:v>
      </x:c>
      <x:c r="J191" s="31" t="n">
        <x:v>46146</x:v>
      </x:c>
      <x:c r="K191" s="31" t="n"/>
      <x:c r="L191" s="31" t="inlineStr">
        <x:is>
          <x:t xml:space="preserve">В работе</x:t>
        </x:is>
      </x:c>
      <x:c r="M191" s="31" t="inlineStr">
        <x:is>
          <x:t xml:space="preserve">СОТР-097</x:t>
        </x:is>
      </x:c>
      <x:c r="N191" s="31" t="n">
        <x:v>133.2</x:v>
      </x:c>
      <x:c r="O191" s="31" t="n">
        <x:v>112.2</x:v>
      </x:c>
      <x:c r="P191" s="31" t="n">
        <x:v>0</x:v>
      </x:c>
      <x:c r="Q191" s="31" t="n">
        <x:v>49</x:v>
      </x:c>
      <x:c r="R191" s="31" t="inlineStr">
        <x:is>
          <x:t xml:space="preserve">Нет</x:t>
        </x:is>
      </x:c>
      <x:c r="S191" s="31" t="inlineStr">
        <x:is>
          <x:t xml:space="preserve">Нет</x:t>
        </x:is>
      </x:c>
      <x:c r="T191" s="31" t="inlineStr">
        <x:is>
          <x:t xml:space="preserve">Создано из строки заказа ПОЗ-0092-3</x:t>
        </x:is>
      </x:c>
    </x:row>
    <x:row r="192" ht="18" customHeight="1">
      <x:c r="A192" s="31" t="inlineStr">
        <x:is>
          <x:t xml:space="preserve">ПЗ-00191</x:t>
        </x:is>
      </x:c>
      <x:c r="B192" s="31" t="inlineStr">
        <x:is>
          <x:t xml:space="preserve">ЗК-1092</x:t>
        </x:is>
      </x:c>
      <x:c r="C192" s="31" t="inlineStr">
        <x:is>
          <x:t xml:space="preserve">ПОЗ-0092-4</x:t>
        </x:is>
      </x:c>
      <x:c r="D192" s="31" t="inlineStr">
        <x:is>
          <x:t xml:space="preserve">ИЗД-021</x:t>
        </x:is>
      </x:c>
      <x:c r="E192" s="31" t="n">
        <x:v>4</x:v>
      </x:c>
      <x:c r="F192" s="31" t="inlineStr">
        <x:is>
          <x:t xml:space="preserve">ОТК</x:t>
        </x:is>
      </x:c>
      <x:c r="G192" s="31" t="inlineStr">
        <x:is>
          <x:t xml:space="preserve">ОБ-006</x:t>
        </x:is>
      </x:c>
      <x:c r="H192" s="31" t="n">
        <x:v>46143</x:v>
      </x:c>
      <x:c r="I192" s="31" t="n">
        <x:v>46197</x:v>
      </x:c>
      <x:c r="J192" s="31" t="n"/>
      <x:c r="K192" s="31" t="n"/>
      <x:c r="L192" s="31" t="inlineStr">
        <x:is>
          <x:t xml:space="preserve">Запланировано</x:t>
        </x:is>
      </x:c>
      <x:c r="M192" s="31" t="inlineStr">
        <x:is>
          <x:t xml:space="preserve">СОТР-100</x:t>
        </x:is>
      </x:c>
      <x:c r="N192" s="31" t="n">
        <x:v>439.6</x:v>
      </x:c>
      <x:c r="O192" s="31" t="n"/>
      <x:c r="P192" s="31" t="n">
        <x:v>0</x:v>
      </x:c>
      <x:c r="Q192" s="31" t="n">
        <x:v>10</x:v>
      </x:c>
      <x:c r="R192" s="31" t="inlineStr">
        <x:is>
          <x:t xml:space="preserve">Нет</x:t>
        </x:is>
      </x:c>
      <x:c r="S192" s="31" t="inlineStr">
        <x:is>
          <x:t xml:space="preserve">Нет</x:t>
        </x:is>
      </x:c>
      <x:c r="T192" s="31" t="inlineStr">
        <x:is>
          <x:t xml:space="preserve">Создано из строки заказа ПОЗ-0092-4</x:t>
        </x:is>
      </x:c>
    </x:row>
    <x:row r="193" ht="18" customHeight="1">
      <x:c r="A193" s="31" t="inlineStr">
        <x:is>
          <x:t xml:space="preserve">ПЗ-00192</x:t>
        </x:is>
      </x:c>
      <x:c r="B193" s="31" t="inlineStr">
        <x:is>
          <x:t xml:space="preserve">ЗК-1093</x:t>
        </x:is>
      </x:c>
      <x:c r="C193" s="31" t="inlineStr">
        <x:is>
          <x:t xml:space="preserve">ПОЗ-0093-1</x:t>
        </x:is>
      </x:c>
      <x:c r="D193" s="31" t="inlineStr">
        <x:is>
          <x:t xml:space="preserve">ИЗД-043</x:t>
        </x:is>
      </x:c>
      <x:c r="E193" s="31" t="n">
        <x:v>1</x:v>
      </x:c>
      <x:c r="F193" s="31" t="inlineStr">
        <x:is>
          <x:t xml:space="preserve">ОТК</x:t>
        </x:is>
      </x:c>
      <x:c r="G193" s="31" t="inlineStr">
        <x:is>
          <x:t xml:space="preserve">ОБ-013</x:t>
        </x:is>
      </x:c>
      <x:c r="H193" s="31" t="n">
        <x:v>46102</x:v>
      </x:c>
      <x:c r="I193" s="31" t="n">
        <x:v>46157</x:v>
      </x:c>
      <x:c r="J193" s="31" t="n"/>
      <x:c r="K193" s="31" t="n"/>
      <x:c r="L193" s="31" t="inlineStr">
        <x:is>
          <x:t xml:space="preserve">Запланировано</x:t>
        </x:is>
      </x:c>
      <x:c r="M193" s="31" t="inlineStr">
        <x:is>
          <x:t xml:space="preserve">СОТР-096</x:t>
        </x:is>
      </x:c>
      <x:c r="N193" s="31" t="n">
        <x:v>92.90000000000001</x:v>
      </x:c>
      <x:c r="O193" s="31" t="n"/>
      <x:c r="P193" s="31" t="n">
        <x:v>0</x:v>
      </x:c>
      <x:c r="Q193" s="31" t="n">
        <x:v>10</x:v>
      </x:c>
      <x:c r="R193" s="31" t="inlineStr">
        <x:is>
          <x:t xml:space="preserve">Да</x:t>
        </x:is>
      </x:c>
      <x:c r="S193" s="31" t="inlineStr">
        <x:is>
          <x:t xml:space="preserve">Нет</x:t>
        </x:is>
      </x:c>
      <x:c r="T193" s="31" t="inlineStr">
        <x:is>
          <x:t xml:space="preserve">Создано из строки заказа ПОЗ-0093-1</x:t>
        </x:is>
      </x:c>
    </x:row>
    <x:row r="194" ht="18" customHeight="1">
      <x:c r="A194" s="31" t="inlineStr">
        <x:is>
          <x:t xml:space="preserve">ПЗ-00193</x:t>
        </x:is>
      </x:c>
      <x:c r="B194" s="31" t="inlineStr">
        <x:is>
          <x:t xml:space="preserve">ЗК-1093</x:t>
        </x:is>
      </x:c>
      <x:c r="C194" s="31" t="inlineStr">
        <x:is>
          <x:t xml:space="preserve">ПОЗ-0093-2</x:t>
        </x:is>
      </x:c>
      <x:c r="D194" s="31" t="inlineStr">
        <x:is>
          <x:t xml:space="preserve">ИЗД-017</x:t>
        </x:is>
      </x:c>
      <x:c r="E194" s="31" t="n">
        <x:v>4</x:v>
      </x:c>
      <x:c r="F194" s="31" t="inlineStr">
        <x:is>
          <x:t xml:space="preserve">ОТК</x:t>
        </x:is>
      </x:c>
      <x:c r="G194" s="31" t="inlineStr">
        <x:is>
          <x:t xml:space="preserve">ОБ-001</x:t>
        </x:is>
      </x:c>
      <x:c r="H194" s="31" t="n">
        <x:v>46105</x:v>
      </x:c>
      <x:c r="I194" s="31" t="n">
        <x:v>46161</x:v>
      </x:c>
      <x:c r="J194" s="31" t="n">
        <x:v>46105</x:v>
      </x:c>
      <x:c r="K194" s="31" t="n">
        <x:v>46161</x:v>
      </x:c>
      <x:c r="L194" s="31" t="inlineStr">
        <x:is>
          <x:t xml:space="preserve">Завершено</x:t>
        </x:is>
      </x:c>
      <x:c r="M194" s="31" t="inlineStr">
        <x:is>
          <x:t xml:space="preserve">СОТР-096</x:t>
        </x:is>
      </x:c>
      <x:c r="N194" s="31" t="n">
        <x:v>396.8</x:v>
      </x:c>
      <x:c r="O194" s="31" t="n">
        <x:v>316.3</x:v>
      </x:c>
      <x:c r="P194" s="31" t="n">
        <x:v>3</x:v>
      </x:c>
      <x:c r="Q194" s="31" t="n">
        <x:v>100</x:v>
      </x:c>
      <x:c r="R194" s="31" t="inlineStr">
        <x:is>
          <x:t xml:space="preserve">Нет</x:t>
        </x:is>
      </x:c>
      <x:c r="S194" s="31" t="inlineStr">
        <x:is>
          <x:t xml:space="preserve">Нет</x:t>
        </x:is>
      </x:c>
      <x:c r="T194" s="31" t="inlineStr">
        <x:is>
          <x:t xml:space="preserve">Создано из строки заказа ПОЗ-0093-2</x:t>
        </x:is>
      </x:c>
    </x:row>
    <x:row r="195" ht="18" customHeight="1">
      <x:c r="A195" s="31" t="inlineStr">
        <x:is>
          <x:t xml:space="preserve">ПЗ-00194</x:t>
        </x:is>
      </x:c>
      <x:c r="B195" s="31" t="inlineStr">
        <x:is>
          <x:t xml:space="preserve">ЗК-1093</x:t>
        </x:is>
      </x:c>
      <x:c r="C195" s="31" t="inlineStr">
        <x:is>
          <x:t xml:space="preserve">ПОЗ-0093-3</x:t>
        </x:is>
      </x:c>
      <x:c r="D195" s="31" t="inlineStr">
        <x:is>
          <x:t xml:space="preserve">ИЗД-023</x:t>
        </x:is>
      </x:c>
      <x:c r="E195" s="31" t="n">
        <x:v>5</x:v>
      </x:c>
      <x:c r="F195" s="31" t="inlineStr">
        <x:is>
          <x:t xml:space="preserve">ОТК</x:t>
        </x:is>
      </x:c>
      <x:c r="G195" s="31" t="inlineStr">
        <x:is>
          <x:t xml:space="preserve">ОБ-028</x:t>
        </x:is>
      </x:c>
      <x:c r="H195" s="31" t="n">
        <x:v>46099</x:v>
      </x:c>
      <x:c r="I195" s="31" t="n">
        <x:v>46164</x:v>
      </x:c>
      <x:c r="J195" s="31" t="n">
        <x:v>46099</x:v>
      </x:c>
      <x:c r="K195" s="31" t="n">
        <x:v>46164</x:v>
      </x:c>
      <x:c r="L195" s="31" t="inlineStr">
        <x:is>
          <x:t xml:space="preserve">Завершено</x:t>
        </x:is>
      </x:c>
      <x:c r="M195" s="31" t="inlineStr">
        <x:is>
          <x:t xml:space="preserve">СОТР-098</x:t>
        </x:is>
      </x:c>
      <x:c r="N195" s="31" t="n">
        <x:v>444.5</x:v>
      </x:c>
      <x:c r="O195" s="31" t="n">
        <x:v>500.2</x:v>
      </x:c>
      <x:c r="P195" s="31" t="n">
        <x:v>1</x:v>
      </x:c>
      <x:c r="Q195" s="31" t="n">
        <x:v>100</x:v>
      </x:c>
      <x:c r="R195" s="31" t="inlineStr">
        <x:is>
          <x:t xml:space="preserve">Нет</x:t>
        </x:is>
      </x:c>
      <x:c r="S195" s="31" t="inlineStr">
        <x:is>
          <x:t xml:space="preserve">Нет</x:t>
        </x:is>
      </x:c>
      <x:c r="T195" s="31" t="inlineStr">
        <x:is>
          <x:t xml:space="preserve">Создано из строки заказа ПОЗ-0093-3</x:t>
        </x:is>
      </x:c>
    </x:row>
    <x:row r="196" ht="18" customHeight="1">
      <x:c r="A196" s="31" t="inlineStr">
        <x:is>
          <x:t xml:space="preserve">ПЗ-00195</x:t>
        </x:is>
      </x:c>
      <x:c r="B196" s="31" t="inlineStr">
        <x:is>
          <x:t xml:space="preserve">ЗК-1093</x:t>
        </x:is>
      </x:c>
      <x:c r="C196" s="31" t="inlineStr">
        <x:is>
          <x:t xml:space="preserve">ПОЗ-0093-4</x:t>
        </x:is>
      </x:c>
      <x:c r="D196" s="31" t="inlineStr">
        <x:is>
          <x:t xml:space="preserve">ИЗД-006</x:t>
        </x:is>
      </x:c>
      <x:c r="E196" s="31" t="n">
        <x:v>4</x:v>
      </x:c>
      <x:c r="F196" s="31" t="inlineStr">
        <x:is>
          <x:t xml:space="preserve">ОТК</x:t>
        </x:is>
      </x:c>
      <x:c r="G196" s="31" t="inlineStr">
        <x:is>
          <x:t xml:space="preserve">ОБ-001</x:t>
        </x:is>
      </x:c>
      <x:c r="H196" s="31" t="n">
        <x:v>46096</x:v>
      </x:c>
      <x:c r="I196" s="31" t="n">
        <x:v>46160</x:v>
      </x:c>
      <x:c r="J196" s="31" t="n">
        <x:v>46096</x:v>
      </x:c>
      <x:c r="K196" s="31" t="n"/>
      <x:c r="L196" s="31" t="inlineStr">
        <x:is>
          <x:t xml:space="preserve">В работе</x:t>
        </x:is>
      </x:c>
      <x:c r="M196" s="31" t="inlineStr">
        <x:is>
          <x:t xml:space="preserve">СОТР-099</x:t>
        </x:is>
      </x:c>
      <x:c r="N196" s="31" t="n">
        <x:v>364</x:v>
      </x:c>
      <x:c r="O196" s="31" t="n">
        <x:v>361.9</x:v>
      </x:c>
      <x:c r="P196" s="31" t="n">
        <x:v>3</x:v>
      </x:c>
      <x:c r="Q196" s="31" t="n">
        <x:v>70</x:v>
      </x:c>
      <x:c r="R196" s="31" t="inlineStr">
        <x:is>
          <x:t xml:space="preserve">Нет</x:t>
        </x:is>
      </x:c>
      <x:c r="S196" s="31" t="inlineStr">
        <x:is>
          <x:t xml:space="preserve">Нет</x:t>
        </x:is>
      </x:c>
      <x:c r="T196" s="31" t="inlineStr">
        <x:is>
          <x:t xml:space="preserve">Создано из строки заказа ПОЗ-0093-4</x:t>
        </x:is>
      </x:c>
    </x:row>
    <x:row r="197" ht="18" customHeight="1">
      <x:c r="A197" s="31" t="inlineStr">
        <x:is>
          <x:t xml:space="preserve">ПЗ-00196</x:t>
        </x:is>
      </x:c>
      <x:c r="B197" s="31" t="inlineStr">
        <x:is>
          <x:t xml:space="preserve">ЗК-1094</x:t>
        </x:is>
      </x:c>
      <x:c r="C197" s="31" t="inlineStr">
        <x:is>
          <x:t xml:space="preserve">ПОЗ-0094-1</x:t>
        </x:is>
      </x:c>
      <x:c r="D197" s="31" t="inlineStr">
        <x:is>
          <x:t xml:space="preserve">ИЗД-044</x:t>
        </x:is>
      </x:c>
      <x:c r="E197" s="31" t="n">
        <x:v>3</x:v>
      </x:c>
      <x:c r="F197" s="31" t="inlineStr">
        <x:is>
          <x:t xml:space="preserve">ОТК</x:t>
        </x:is>
      </x:c>
      <x:c r="G197" s="31" t="inlineStr">
        <x:is>
          <x:t xml:space="preserve">ОБ-001</x:t>
        </x:is>
      </x:c>
      <x:c r="H197" s="31" t="n">
        <x:v>46144</x:v>
      </x:c>
      <x:c r="I197" s="31" t="n">
        <x:v>46148</x:v>
      </x:c>
      <x:c r="J197" s="31" t="n">
        <x:v>46144</x:v>
      </x:c>
      <x:c r="K197" s="31" t="n">
        <x:v>46148</x:v>
      </x:c>
      <x:c r="L197" s="31" t="inlineStr">
        <x:is>
          <x:t xml:space="preserve">Завершено</x:t>
        </x:is>
      </x:c>
      <x:c r="M197" s="31" t="inlineStr">
        <x:is>
          <x:t xml:space="preserve">СОТР-097</x:t>
        </x:is>
      </x:c>
      <x:c r="N197" s="31" t="n">
        <x:v>486.6</x:v>
      </x:c>
      <x:c r="O197" s="31" t="n">
        <x:v>591.3</x:v>
      </x:c>
      <x:c r="P197" s="31" t="n">
        <x:v>0</x:v>
      </x:c>
      <x:c r="Q197" s="31" t="n">
        <x:v>100</x:v>
      </x:c>
      <x:c r="R197" s="31" t="inlineStr">
        <x:is>
          <x:t xml:space="preserve">Да</x:t>
        </x:is>
      </x:c>
      <x:c r="S197" s="31" t="inlineStr">
        <x:is>
          <x:t xml:space="preserve">Оборудование</x:t>
        </x:is>
      </x:c>
      <x:c r="T197" s="31" t="inlineStr">
        <x:is>
          <x:t xml:space="preserve">Создано из строки заказа ПОЗ-0094-1</x:t>
        </x:is>
      </x:c>
    </x:row>
    <x:row r="198" ht="18" customHeight="1">
      <x:c r="A198" s="31" t="inlineStr">
        <x:is>
          <x:t xml:space="preserve">ПЗ-00197</x:t>
        </x:is>
      </x:c>
      <x:c r="B198" s="31" t="inlineStr">
        <x:is>
          <x:t xml:space="preserve">ЗК-1094</x:t>
        </x:is>
      </x:c>
      <x:c r="C198" s="31" t="inlineStr">
        <x:is>
          <x:t xml:space="preserve">ПОЗ-0094-2</x:t>
        </x:is>
      </x:c>
      <x:c r="D198" s="31" t="inlineStr">
        <x:is>
          <x:t xml:space="preserve">ИЗД-023</x:t>
        </x:is>
      </x:c>
      <x:c r="E198" s="31" t="n">
        <x:v>5</x:v>
      </x:c>
      <x:c r="F198" s="31" t="inlineStr">
        <x:is>
          <x:t xml:space="preserve">ОТК</x:t>
        </x:is>
      </x:c>
      <x:c r="G198" s="31" t="inlineStr">
        <x:is>
          <x:t xml:space="preserve">ОБ-006</x:t>
        </x:is>
      </x:c>
      <x:c r="H198" s="31" t="n">
        <x:v>46137</x:v>
      </x:c>
      <x:c r="I198" s="31" t="n">
        <x:v>46152</x:v>
      </x:c>
      <x:c r="J198" s="31" t="n">
        <x:v>46137</x:v>
      </x:c>
      <x:c r="K198" s="31" t="n">
        <x:v>46152</x:v>
      </x:c>
      <x:c r="L198" s="31" t="inlineStr">
        <x:is>
          <x:t xml:space="preserve">Завершено</x:t>
        </x:is>
      </x:c>
      <x:c r="M198" s="31" t="inlineStr">
        <x:is>
          <x:t xml:space="preserve">СОТР-099</x:t>
        </x:is>
      </x:c>
      <x:c r="N198" s="31" t="n">
        <x:v>444.5</x:v>
      </x:c>
      <x:c r="O198" s="31" t="n">
        <x:v>367.8</x:v>
      </x:c>
      <x:c r="P198" s="31" t="n">
        <x:v>3</x:v>
      </x:c>
      <x:c r="Q198" s="31" t="n">
        <x:v>100</x:v>
      </x:c>
      <x:c r="R198" s="31" t="inlineStr">
        <x:is>
          <x:t xml:space="preserve">Нет</x:t>
        </x:is>
      </x:c>
      <x:c r="S198" s="31" t="inlineStr">
        <x:is>
          <x:t xml:space="preserve">Нет</x:t>
        </x:is>
      </x:c>
      <x:c r="T198" s="31" t="inlineStr">
        <x:is>
          <x:t xml:space="preserve">Создано из строки заказа ПОЗ-0094-2</x:t>
        </x:is>
      </x:c>
    </x:row>
    <x:row r="199" ht="18" customHeight="1">
      <x:c r="A199" s="31" t="inlineStr">
        <x:is>
          <x:t xml:space="preserve">ПЗ-00198</x:t>
        </x:is>
      </x:c>
      <x:c r="B199" s="31" t="inlineStr">
        <x:is>
          <x:t xml:space="preserve">ЗК-1094</x:t>
        </x:is>
      </x:c>
      <x:c r="C199" s="31" t="inlineStr">
        <x:is>
          <x:t xml:space="preserve">ПОЗ-0094-3</x:t>
        </x:is>
      </x:c>
      <x:c r="D199" s="31" t="inlineStr">
        <x:is>
          <x:t xml:space="preserve">ИЗД-016</x:t>
        </x:is>
      </x:c>
      <x:c r="E199" s="31" t="n">
        <x:v>1</x:v>
      </x:c>
      <x:c r="F199" s="31" t="inlineStr">
        <x:is>
          <x:t xml:space="preserve">ОТК</x:t>
        </x:is>
      </x:c>
      <x:c r="G199" s="31" t="inlineStr">
        <x:is>
          <x:t xml:space="preserve">ОБ-024</x:t>
        </x:is>
      </x:c>
      <x:c r="H199" s="31" t="n">
        <x:v>46150</x:v>
      </x:c>
      <x:c r="I199" s="31" t="n">
        <x:v>46160</x:v>
      </x:c>
      <x:c r="J199" s="31" t="n">
        <x:v>46150</x:v>
      </x:c>
      <x:c r="K199" s="31" t="n">
        <x:v>46160</x:v>
      </x:c>
      <x:c r="L199" s="31" t="inlineStr">
        <x:is>
          <x:t xml:space="preserve">Завершено</x:t>
        </x:is>
      </x:c>
      <x:c r="M199" s="31" t="inlineStr">
        <x:is>
          <x:t xml:space="preserve">СОТР-096</x:t>
        </x:is>
      </x:c>
      <x:c r="N199" s="31" t="n">
        <x:v>111.2</x:v>
      </x:c>
      <x:c r="O199" s="31" t="n">
        <x:v>101.8</x:v>
      </x:c>
      <x:c r="P199" s="31" t="n">
        <x:v>3</x:v>
      </x:c>
      <x:c r="Q199" s="31" t="n">
        <x:v>100</x:v>
      </x:c>
      <x:c r="R199" s="31" t="inlineStr">
        <x:is>
          <x:t xml:space="preserve">Нет</x:t>
        </x:is>
      </x:c>
      <x:c r="S199" s="31" t="inlineStr">
        <x:is>
          <x:t xml:space="preserve">Нет</x:t>
        </x:is>
      </x:c>
      <x:c r="T199" s="31" t="inlineStr">
        <x:is>
          <x:t xml:space="preserve">Создано из строки заказа ПОЗ-0094-3</x:t>
        </x:is>
      </x:c>
    </x:row>
    <x:row r="200" ht="18" customHeight="1">
      <x:c r="A200" s="31" t="inlineStr">
        <x:is>
          <x:t xml:space="preserve">ПЗ-00199</x:t>
        </x:is>
      </x:c>
      <x:c r="B200" s="31" t="inlineStr">
        <x:is>
          <x:t xml:space="preserve">ЗК-1095</x:t>
        </x:is>
      </x:c>
      <x:c r="C200" s="31" t="inlineStr">
        <x:is>
          <x:t xml:space="preserve">ПОЗ-0095-1</x:t>
        </x:is>
      </x:c>
      <x:c r="D200" s="31" t="inlineStr">
        <x:is>
          <x:t xml:space="preserve">ИЗД-008</x:t>
        </x:is>
      </x:c>
      <x:c r="E200" s="31" t="n">
        <x:v>8</x:v>
      </x:c>
      <x:c r="F200" s="31" t="inlineStr">
        <x:is>
          <x:t xml:space="preserve">ОТК</x:t>
        </x:is>
      </x:c>
      <x:c r="G200" s="31" t="inlineStr">
        <x:is>
          <x:t xml:space="preserve">ОБ-007</x:t>
        </x:is>
      </x:c>
      <x:c r="H200" s="31" t="n">
        <x:v>46071</x:v>
      </x:c>
      <x:c r="I200" s="31" t="n">
        <x:v>46093</x:v>
      </x:c>
      <x:c r="J200" s="31" t="n">
        <x:v>46071</x:v>
      </x:c>
      <x:c r="K200" s="31" t="n"/>
      <x:c r="L200" s="31" t="inlineStr">
        <x:is>
          <x:t xml:space="preserve">Ожидает материалов</x:t>
        </x:is>
      </x:c>
      <x:c r="M200" s="31" t="inlineStr">
        <x:is>
          <x:t xml:space="preserve">СОТР-096</x:t>
        </x:is>
      </x:c>
      <x:c r="N200" s="31" t="n">
        <x:v>161.6</x:v>
      </x:c>
      <x:c r="O200" s="31" t="n"/>
      <x:c r="P200" s="31" t="n">
        <x:v>0</x:v>
      </x:c>
      <x:c r="Q200" s="31" t="n">
        <x:v>15</x:v>
      </x:c>
      <x:c r="R200" s="31" t="inlineStr">
        <x:is>
          <x:t xml:space="preserve">Нет</x:t>
        </x:is>
      </x:c>
      <x:c r="S200" s="31" t="inlineStr">
        <x:is>
          <x:t xml:space="preserve">Нет</x:t>
        </x:is>
      </x:c>
      <x:c r="T200" s="31" t="inlineStr">
        <x:is>
          <x:t xml:space="preserve">Создано из строки заказа ПОЗ-0095-1</x:t>
        </x:is>
      </x:c>
    </x:row>
    <x:row r="201" ht="18" customHeight="1">
      <x:c r="A201" s="31" t="inlineStr">
        <x:is>
          <x:t xml:space="preserve">ПЗ-00200</x:t>
        </x:is>
      </x:c>
      <x:c r="B201" s="31" t="inlineStr">
        <x:is>
          <x:t xml:space="preserve">ЗК-1097</x:t>
        </x:is>
      </x:c>
      <x:c r="C201" s="31" t="inlineStr">
        <x:is>
          <x:t xml:space="preserve">ПОЗ-0097-1</x:t>
        </x:is>
      </x:c>
      <x:c r="D201" s="31" t="inlineStr">
        <x:is>
          <x:t xml:space="preserve">ИЗД-012</x:t>
        </x:is>
      </x:c>
      <x:c r="E201" s="31" t="n">
        <x:v>5</x:v>
      </x:c>
      <x:c r="F201" s="31" t="inlineStr">
        <x:is>
          <x:t xml:space="preserve">ОТК</x:t>
        </x:is>
      </x:c>
      <x:c r="G201" s="31" t="inlineStr">
        <x:is>
          <x:t xml:space="preserve">ОБ-024</x:t>
        </x:is>
      </x:c>
      <x:c r="H201" s="31" t="n">
        <x:v>46111</x:v>
      </x:c>
      <x:c r="I201" s="31" t="n">
        <x:v>46127</x:v>
      </x:c>
      <x:c r="J201" s="31" t="n">
        <x:v>46111</x:v>
      </x:c>
      <x:c r="K201" s="31" t="n"/>
      <x:c r="L201" s="31" t="inlineStr">
        <x:is>
          <x:t xml:space="preserve">В работе</x:t>
        </x:is>
      </x:c>
      <x:c r="M201" s="31" t="inlineStr">
        <x:is>
          <x:t xml:space="preserve">СОТР-098</x:t>
        </x:is>
      </x:c>
      <x:c r="N201" s="31" t="n">
        <x:v>172</x:v>
      </x:c>
      <x:c r="O201" s="31" t="n">
        <x:v>166.4</x:v>
      </x:c>
      <x:c r="P201" s="31" t="n">
        <x:v>3</x:v>
      </x:c>
      <x:c r="Q201" s="31" t="n">
        <x:v>70</x:v>
      </x:c>
      <x:c r="R201" s="31" t="inlineStr">
        <x:is>
          <x:t xml:space="preserve">Нет</x:t>
        </x:is>
      </x:c>
      <x:c r="S201" s="31" t="inlineStr">
        <x:is>
          <x:t xml:space="preserve">Нет</x:t>
        </x:is>
      </x:c>
      <x:c r="T201" s="31" t="inlineStr">
        <x:is>
          <x:t xml:space="preserve">Создано из строки заказа ПОЗ-0097-1</x:t>
        </x:is>
      </x:c>
    </x:row>
    <x:row r="202" ht="18" customHeight="1">
      <x:c r="A202" s="31" t="inlineStr">
        <x:is>
          <x:t xml:space="preserve">ПЗ-00201</x:t>
        </x:is>
      </x:c>
      <x:c r="B202" s="31" t="inlineStr">
        <x:is>
          <x:t xml:space="preserve">ЗК-1097</x:t>
        </x:is>
      </x:c>
      <x:c r="C202" s="31" t="inlineStr">
        <x:is>
          <x:t xml:space="preserve">ПОЗ-0097-2</x:t>
        </x:is>
      </x:c>
      <x:c r="D202" s="31" t="inlineStr">
        <x:is>
          <x:t xml:space="preserve">ИЗД-034</x:t>
        </x:is>
      </x:c>
      <x:c r="E202" s="31" t="n">
        <x:v>4</x:v>
      </x:c>
      <x:c r="F202" s="31" t="inlineStr">
        <x:is>
          <x:t xml:space="preserve">ОТК</x:t>
        </x:is>
      </x:c>
      <x:c r="G202" s="31" t="inlineStr">
        <x:is>
          <x:t xml:space="preserve">ОБ-022</x:t>
        </x:is>
      </x:c>
      <x:c r="H202" s="31" t="n">
        <x:v>46097</x:v>
      </x:c>
      <x:c r="I202" s="31" t="n">
        <x:v>46127</x:v>
      </x:c>
      <x:c r="J202" s="31" t="n">
        <x:v>46097</x:v>
      </x:c>
      <x:c r="K202" s="31" t="n"/>
      <x:c r="L202" s="31" t="inlineStr">
        <x:is>
          <x:t xml:space="preserve">В работе</x:t>
        </x:is>
      </x:c>
      <x:c r="M202" s="31" t="inlineStr">
        <x:is>
          <x:t xml:space="preserve">СОТР-092</x:t>
        </x:is>
      </x:c>
      <x:c r="N202" s="31" t="n">
        <x:v>196.8</x:v>
      </x:c>
      <x:c r="O202" s="31" t="n">
        <x:v>205.3</x:v>
      </x:c>
      <x:c r="P202" s="31" t="n">
        <x:v>0</x:v>
      </x:c>
      <x:c r="Q202" s="31" t="n">
        <x:v>75</x:v>
      </x:c>
      <x:c r="R202" s="31" t="inlineStr">
        <x:is>
          <x:t xml:space="preserve">Нет</x:t>
        </x:is>
      </x:c>
      <x:c r="S202" s="31" t="inlineStr">
        <x:is>
          <x:t xml:space="preserve">Нет</x:t>
        </x:is>
      </x:c>
      <x:c r="T202" s="31" t="inlineStr">
        <x:is>
          <x:t xml:space="preserve">Создано из строки заказа ПОЗ-0097-2</x:t>
        </x:is>
      </x:c>
    </x:row>
    <x:row r="203" ht="18" customHeight="1">
      <x:c r="A203" s="31" t="inlineStr">
        <x:is>
          <x:t xml:space="preserve">ПЗ-00202</x:t>
        </x:is>
      </x:c>
      <x:c r="B203" s="31" t="inlineStr">
        <x:is>
          <x:t xml:space="preserve">ЗК-1097</x:t>
        </x:is>
      </x:c>
      <x:c r="C203" s="31" t="inlineStr">
        <x:is>
          <x:t xml:space="preserve">ПОЗ-0097-3</x:t>
        </x:is>
      </x:c>
      <x:c r="D203" s="31" t="inlineStr">
        <x:is>
          <x:t xml:space="preserve">ИЗД-038</x:t>
        </x:is>
      </x:c>
      <x:c r="E203" s="31" t="n">
        <x:v>3</x:v>
      </x:c>
      <x:c r="F203" s="31" t="inlineStr">
        <x:is>
          <x:t xml:space="preserve">ОТК</x:t>
        </x:is>
      </x:c>
      <x:c r="G203" s="31" t="inlineStr">
        <x:is>
          <x:t xml:space="preserve">ОБ-007</x:t>
        </x:is>
      </x:c>
      <x:c r="H203" s="31" t="n">
        <x:v>46101</x:v>
      </x:c>
      <x:c r="I203" s="31" t="n">
        <x:v>46121</x:v>
      </x:c>
      <x:c r="J203" s="31" t="n">
        <x:v>46101</x:v>
      </x:c>
      <x:c r="K203" s="31" t="n"/>
      <x:c r="L203" s="31" t="inlineStr">
        <x:is>
          <x:t xml:space="preserve">ОТК</x:t>
        </x:is>
      </x:c>
      <x:c r="M203" s="31" t="inlineStr">
        <x:is>
          <x:t xml:space="preserve">СОТР-063</x:t>
        </x:is>
      </x:c>
      <x:c r="N203" s="31" t="n">
        <x:v>85.2</x:v>
      </x:c>
      <x:c r="O203" s="31" t="n">
        <x:v>65.59999999999999</x:v>
      </x:c>
      <x:c r="P203" s="31" t="n">
        <x:v>0</x:v>
      </x:c>
      <x:c r="Q203" s="31" t="n">
        <x:v>90</x:v>
      </x:c>
      <x:c r="R203" s="31" t="inlineStr">
        <x:is>
          <x:t xml:space="preserve">Нет</x:t>
        </x:is>
      </x:c>
      <x:c r="S203" s="31" t="inlineStr">
        <x:is>
          <x:t xml:space="preserve">Нет</x:t>
        </x:is>
      </x:c>
      <x:c r="T203" s="31" t="inlineStr">
        <x:is>
          <x:t xml:space="preserve">Создано из строки заказа ПОЗ-0097-3</x:t>
        </x:is>
      </x:c>
    </x:row>
    <x:row r="204" ht="18" customHeight="1">
      <x:c r="A204" s="31" t="inlineStr">
        <x:is>
          <x:t xml:space="preserve">ПЗ-00203</x:t>
        </x:is>
      </x:c>
      <x:c r="B204" s="31" t="inlineStr">
        <x:is>
          <x:t xml:space="preserve">ЗК-1097</x:t>
        </x:is>
      </x:c>
      <x:c r="C204" s="31" t="inlineStr">
        <x:is>
          <x:t xml:space="preserve">ПОЗ-0097-4</x:t>
        </x:is>
      </x:c>
      <x:c r="D204" s="31" t="inlineStr">
        <x:is>
          <x:t xml:space="preserve">ИЗД-026</x:t>
        </x:is>
      </x:c>
      <x:c r="E204" s="31" t="n">
        <x:v>5</x:v>
      </x:c>
      <x:c r="F204" s="31" t="inlineStr">
        <x:is>
          <x:t xml:space="preserve">ОТК</x:t>
        </x:is>
      </x:c>
      <x:c r="G204" s="31" t="inlineStr">
        <x:is>
          <x:t xml:space="preserve">ОБ-015</x:t>
        </x:is>
      </x:c>
      <x:c r="H204" s="31" t="n">
        <x:v>46105</x:v>
      </x:c>
      <x:c r="I204" s="31" t="n">
        <x:v>46128</x:v>
      </x:c>
      <x:c r="J204" s="31" t="n">
        <x:v>46105</x:v>
      </x:c>
      <x:c r="K204" s="31" t="n"/>
      <x:c r="L204" s="31" t="inlineStr">
        <x:is>
          <x:t xml:space="preserve">Ожидает материалов</x:t>
        </x:is>
      </x:c>
      <x:c r="M204" s="31" t="inlineStr">
        <x:is>
          <x:t xml:space="preserve">СОТР-097</x:t>
        </x:is>
      </x:c>
      <x:c r="N204" s="31" t="n">
        <x:v>506.5</x:v>
      </x:c>
      <x:c r="O204" s="31" t="n"/>
      <x:c r="P204" s="31" t="n">
        <x:v>0</x:v>
      </x:c>
      <x:c r="Q204" s="31" t="n">
        <x:v>15</x:v>
      </x:c>
      <x:c r="R204" s="31" t="inlineStr">
        <x:is>
          <x:t xml:space="preserve">Да</x:t>
        </x:is>
      </x:c>
      <x:c r="S204" s="31" t="inlineStr">
        <x:is>
          <x:t xml:space="preserve">Нет</x:t>
        </x:is>
      </x:c>
      <x:c r="T204" s="31" t="inlineStr">
        <x:is>
          <x:t xml:space="preserve">Создано из строки заказа ПОЗ-0097-4</x:t>
        </x:is>
      </x:c>
    </x:row>
    <x:row r="205" ht="18" customHeight="1">
      <x:c r="A205" s="31" t="inlineStr">
        <x:is>
          <x:t xml:space="preserve">ПЗ-00204</x:t>
        </x:is>
      </x:c>
      <x:c r="B205" s="31" t="inlineStr">
        <x:is>
          <x:t xml:space="preserve">ЗК-1098</x:t>
        </x:is>
      </x:c>
      <x:c r="C205" s="31" t="inlineStr">
        <x:is>
          <x:t xml:space="preserve">ПОЗ-0098-1</x:t>
        </x:is>
      </x:c>
      <x:c r="D205" s="31" t="inlineStr">
        <x:is>
          <x:t xml:space="preserve">ИЗД-044</x:t>
        </x:is>
      </x:c>
      <x:c r="E205" s="31" t="n">
        <x:v>3</x:v>
      </x:c>
      <x:c r="F205" s="31" t="inlineStr">
        <x:is>
          <x:t xml:space="preserve">ОТК</x:t>
        </x:is>
      </x:c>
      <x:c r="G205" s="31" t="inlineStr">
        <x:is>
          <x:t xml:space="preserve">ОБ-032</x:t>
        </x:is>
      </x:c>
      <x:c r="H205" s="31" t="n">
        <x:v>46160</x:v>
      </x:c>
      <x:c r="I205" s="31" t="n">
        <x:v>46222</x:v>
      </x:c>
      <x:c r="J205" s="31" t="n">
        <x:v>46160</x:v>
      </x:c>
      <x:c r="K205" s="31" t="n">
        <x:v>46222</x:v>
      </x:c>
      <x:c r="L205" s="31" t="inlineStr">
        <x:is>
          <x:t xml:space="preserve">Завершено</x:t>
        </x:is>
      </x:c>
      <x:c r="M205" s="31" t="inlineStr">
        <x:is>
          <x:t xml:space="preserve">СОТР-097</x:t>
        </x:is>
      </x:c>
      <x:c r="N205" s="31" t="n">
        <x:v>486.6</x:v>
      </x:c>
      <x:c r="O205" s="31" t="n">
        <x:v>373.8</x:v>
      </x:c>
      <x:c r="P205" s="31" t="n">
        <x:v>1</x:v>
      </x:c>
      <x:c r="Q205" s="31" t="n">
        <x:v>100</x:v>
      </x:c>
      <x:c r="R205" s="31" t="inlineStr">
        <x:is>
          <x:t xml:space="preserve">Нет</x:t>
        </x:is>
      </x:c>
      <x:c r="S205" s="31" t="inlineStr">
        <x:is>
          <x:t xml:space="preserve">Нет</x:t>
        </x:is>
      </x:c>
      <x:c r="T205" s="31" t="inlineStr">
        <x:is>
          <x:t xml:space="preserve">Создано из строки заказа ПОЗ-0098-1</x:t>
        </x:is>
      </x:c>
    </x:row>
    <x:row r="206" ht="18" customHeight="1">
      <x:c r="A206" s="31" t="inlineStr">
        <x:is>
          <x:t xml:space="preserve">ПЗ-00205</x:t>
        </x:is>
      </x:c>
      <x:c r="B206" s="31" t="inlineStr">
        <x:is>
          <x:t xml:space="preserve">ЗК-1099</x:t>
        </x:is>
      </x:c>
      <x:c r="C206" s="31" t="inlineStr">
        <x:is>
          <x:t xml:space="preserve">ПОЗ-0099-1</x:t>
        </x:is>
      </x:c>
      <x:c r="D206" s="31" t="inlineStr">
        <x:is>
          <x:t xml:space="preserve">ИЗД-035</x:t>
        </x:is>
      </x:c>
      <x:c r="E206" s="31" t="n">
        <x:v>5</x:v>
      </x:c>
      <x:c r="F206" s="31" t="inlineStr">
        <x:is>
          <x:t xml:space="preserve">ОТК</x:t>
        </x:is>
      </x:c>
      <x:c r="G206" s="31" t="inlineStr">
        <x:is>
          <x:t xml:space="preserve">ОБ-028</x:t>
        </x:is>
      </x:c>
      <x:c r="H206" s="31" t="n">
        <x:v>46157</x:v>
      </x:c>
      <x:c r="I206" s="31" t="n">
        <x:v>46202</x:v>
      </x:c>
      <x:c r="J206" s="31" t="n">
        <x:v>46157</x:v>
      </x:c>
      <x:c r="K206" s="31" t="n">
        <x:v>46202</x:v>
      </x:c>
      <x:c r="L206" s="31" t="inlineStr">
        <x:is>
          <x:t xml:space="preserve">Завершено</x:t>
        </x:is>
      </x:c>
      <x:c r="M206" s="31" t="inlineStr">
        <x:is>
          <x:t xml:space="preserve">СОТР-095</x:t>
        </x:is>
      </x:c>
      <x:c r="N206" s="31" t="n">
        <x:v>322.5</x:v>
      </x:c>
      <x:c r="O206" s="31" t="n">
        <x:v>324.9</x:v>
      </x:c>
      <x:c r="P206" s="31" t="n">
        <x:v>3</x:v>
      </x:c>
      <x:c r="Q206" s="31" t="n">
        <x:v>100</x:v>
      </x:c>
      <x:c r="R206" s="31" t="inlineStr">
        <x:is>
          <x:t xml:space="preserve">Да</x:t>
        </x:is>
      </x:c>
      <x:c r="S206" s="31" t="inlineStr">
        <x:is>
          <x:t xml:space="preserve">Нет</x:t>
        </x:is>
      </x:c>
      <x:c r="T206" s="31" t="inlineStr">
        <x:is>
          <x:t xml:space="preserve">Создано из строки заказа ПОЗ-0099-1</x:t>
        </x:is>
      </x:c>
    </x:row>
    <x:row r="207" ht="18" customHeight="1">
      <x:c r="A207" s="31" t="inlineStr">
        <x:is>
          <x:t xml:space="preserve">ПЗ-00206</x:t>
        </x:is>
      </x:c>
      <x:c r="B207" s="31" t="inlineStr">
        <x:is>
          <x:t xml:space="preserve">ЗК-1099</x:t>
        </x:is>
      </x:c>
      <x:c r="C207" s="31" t="inlineStr">
        <x:is>
          <x:t xml:space="preserve">ПОЗ-0099-2</x:t>
        </x:is>
      </x:c>
      <x:c r="D207" s="31" t="inlineStr">
        <x:is>
          <x:t xml:space="preserve">ИЗД-044</x:t>
        </x:is>
      </x:c>
      <x:c r="E207" s="31" t="n">
        <x:v>5</x:v>
      </x:c>
      <x:c r="F207" s="31" t="inlineStr">
        <x:is>
          <x:t xml:space="preserve">ОТК</x:t>
        </x:is>
      </x:c>
      <x:c r="G207" s="31" t="inlineStr">
        <x:is>
          <x:t xml:space="preserve">ОБ-028</x:t>
        </x:is>
      </x:c>
      <x:c r="H207" s="31" t="n">
        <x:v>46144</x:v>
      </x:c>
      <x:c r="I207" s="31" t="n">
        <x:v>46206</x:v>
      </x:c>
      <x:c r="J207" s="31" t="n">
        <x:v>46144</x:v>
      </x:c>
      <x:c r="K207" s="31" t="n">
        <x:v>46206</x:v>
      </x:c>
      <x:c r="L207" s="31" t="inlineStr">
        <x:is>
          <x:t xml:space="preserve">Завершено</x:t>
        </x:is>
      </x:c>
      <x:c r="M207" s="31" t="inlineStr">
        <x:is>
          <x:t xml:space="preserve">СОТР-100</x:t>
        </x:is>
      </x:c>
      <x:c r="N207" s="31" t="n">
        <x:v>811</x:v>
      </x:c>
      <x:c r="O207" s="31" t="n">
        <x:v>867.2</x:v>
      </x:c>
      <x:c r="P207" s="31" t="n">
        <x:v>3</x:v>
      </x:c>
      <x:c r="Q207" s="31" t="n">
        <x:v>100</x:v>
      </x:c>
      <x:c r="R207" s="31" t="inlineStr">
        <x:is>
          <x:t xml:space="preserve">Нет</x:t>
        </x:is>
      </x:c>
      <x:c r="S207" s="31" t="inlineStr">
        <x:is>
          <x:t xml:space="preserve">Нет</x:t>
        </x:is>
      </x:c>
      <x:c r="T207" s="31" t="inlineStr">
        <x:is>
          <x:t xml:space="preserve">Создано из строки заказа ПОЗ-0099-2</x:t>
        </x:is>
      </x:c>
    </x:row>
    <x:row r="208" ht="18" customHeight="1">
      <x:c r="A208" s="31" t="inlineStr">
        <x:is>
          <x:t xml:space="preserve">ПЗ-00207</x:t>
        </x:is>
      </x:c>
      <x:c r="B208" s="31" t="inlineStr">
        <x:is>
          <x:t xml:space="preserve">ЗК-1100</x:t>
        </x:is>
      </x:c>
      <x:c r="C208" s="31" t="inlineStr">
        <x:is>
          <x:t xml:space="preserve">ПОЗ-0100-1</x:t>
        </x:is>
      </x:c>
      <x:c r="D208" s="31" t="inlineStr">
        <x:is>
          <x:t xml:space="preserve">ИЗД-022</x:t>
        </x:is>
      </x:c>
      <x:c r="E208" s="31" t="n">
        <x:v>1</x:v>
      </x:c>
      <x:c r="F208" s="31" t="inlineStr">
        <x:is>
          <x:t xml:space="preserve">ОТК</x:t>
        </x:is>
      </x:c>
      <x:c r="G208" s="31" t="inlineStr">
        <x:is>
          <x:t xml:space="preserve">ОБ-015</x:t>
        </x:is>
      </x:c>
      <x:c r="H208" s="31" t="n">
        <x:v>46089</x:v>
      </x:c>
      <x:c r="I208" s="31" t="n">
        <x:v>46109</x:v>
      </x:c>
      <x:c r="J208" s="31" t="n">
        <x:v>46089</x:v>
      </x:c>
      <x:c r="K208" s="31" t="n"/>
      <x:c r="L208" s="31" t="inlineStr">
        <x:is>
          <x:t xml:space="preserve">ОТК</x:t>
        </x:is>
      </x:c>
      <x:c r="M208" s="31" t="inlineStr">
        <x:is>
          <x:t xml:space="preserve">СОТР-096</x:t>
        </x:is>
      </x:c>
      <x:c r="N208" s="31" t="n">
        <x:v>61.2</x:v>
      </x:c>
      <x:c r="O208" s="31" t="n">
        <x:v>48.7</x:v>
      </x:c>
      <x:c r="P208" s="31" t="n">
        <x:v>3</x:v>
      </x:c>
      <x:c r="Q208" s="31" t="n">
        <x:v>90</x:v>
      </x:c>
      <x:c r="R208" s="31" t="inlineStr">
        <x:is>
          <x:t xml:space="preserve">Нет</x:t>
        </x:is>
      </x:c>
      <x:c r="S208" s="31" t="inlineStr">
        <x:is>
          <x:t xml:space="preserve">КД</x:t>
        </x:is>
      </x:c>
      <x:c r="T208" s="31" t="inlineStr">
        <x:is>
          <x:t xml:space="preserve">Создано из строки заказа ПОЗ-0100-1</x:t>
        </x:is>
      </x:c>
    </x:row>
    <x:row r="209" ht="18" customHeight="1">
      <x:c r="A209" s="31" t="inlineStr">
        <x:is>
          <x:t xml:space="preserve">ПЗ-00208</x:t>
        </x:is>
      </x:c>
      <x:c r="B209" s="31" t="inlineStr">
        <x:is>
          <x:t xml:space="preserve">ЗК-1100</x:t>
        </x:is>
      </x:c>
      <x:c r="C209" s="31" t="inlineStr">
        <x:is>
          <x:t xml:space="preserve">ПОЗ-0100-2</x:t>
        </x:is>
      </x:c>
      <x:c r="D209" s="31" t="inlineStr">
        <x:is>
          <x:t xml:space="preserve">ИЗД-012</x:t>
        </x:is>
      </x:c>
      <x:c r="E209" s="31" t="n">
        <x:v>2</x:v>
      </x:c>
      <x:c r="F209" s="31" t="inlineStr">
        <x:is>
          <x:t xml:space="preserve">ОТК</x:t>
        </x:is>
      </x:c>
      <x:c r="G209" s="31" t="inlineStr">
        <x:is>
          <x:t xml:space="preserve">ОБ-013</x:t>
        </x:is>
      </x:c>
      <x:c r="H209" s="31" t="n">
        <x:v>46089</x:v>
      </x:c>
      <x:c r="I209" s="31" t="n">
        <x:v>46106</x:v>
      </x:c>
      <x:c r="J209" s="31" t="n">
        <x:v>46089</x:v>
      </x:c>
      <x:c r="K209" s="31" t="n">
        <x:v>46106</x:v>
      </x:c>
      <x:c r="L209" s="31" t="inlineStr">
        <x:is>
          <x:t xml:space="preserve">Завершено</x:t>
        </x:is>
      </x:c>
      <x:c r="M209" s="31" t="inlineStr">
        <x:is>
          <x:t xml:space="preserve">СОТР-100</x:t>
        </x:is>
      </x:c>
      <x:c r="N209" s="31" t="n">
        <x:v>68.8</x:v>
      </x:c>
      <x:c r="O209" s="31" t="n">
        <x:v>79.3</x:v>
      </x:c>
      <x:c r="P209" s="31" t="n">
        <x:v>2</x:v>
      </x:c>
      <x:c r="Q209" s="31" t="n">
        <x:v>100</x:v>
      </x:c>
      <x:c r="R209" s="31" t="inlineStr">
        <x:is>
          <x:t xml:space="preserve">Нет</x:t>
        </x:is>
      </x:c>
      <x:c r="S209" s="31" t="inlineStr">
        <x:is>
          <x:t xml:space="preserve">Оборудование</x:t>
        </x:is>
      </x:c>
      <x:c r="T209" s="31" t="inlineStr">
        <x:is>
          <x:t xml:space="preserve">Создано из строки заказа ПОЗ-0100-2</x:t>
        </x:is>
      </x:c>
    </x:row>
    <x:row r="210" ht="18" customHeight="1">
      <x:c r="A210" s="31" t="inlineStr">
        <x:is>
          <x:t xml:space="preserve">ПЗ-00209</x:t>
        </x:is>
      </x:c>
      <x:c r="B210" s="31" t="inlineStr">
        <x:is>
          <x:t xml:space="preserve">ЗК-1101</x:t>
        </x:is>
      </x:c>
      <x:c r="C210" s="31" t="inlineStr">
        <x:is>
          <x:t xml:space="preserve">ПОЗ-0101-1</x:t>
        </x:is>
      </x:c>
      <x:c r="D210" s="31" t="inlineStr">
        <x:is>
          <x:t xml:space="preserve">ИЗД-041</x:t>
        </x:is>
      </x:c>
      <x:c r="E210" s="31" t="n">
        <x:v>4</x:v>
      </x:c>
      <x:c r="F210" s="31" t="inlineStr">
        <x:is>
          <x:t xml:space="preserve">Сварка</x:t>
        </x:is>
      </x:c>
      <x:c r="G210" s="31" t="inlineStr">
        <x:is>
          <x:t xml:space="preserve">ОБ-003</x:t>
        </x:is>
      </x:c>
      <x:c r="H210" s="31" t="n">
        <x:v>46180</x:v>
      </x:c>
      <x:c r="I210" s="31" t="n">
        <x:v>46185</x:v>
      </x:c>
      <x:c r="J210" s="31" t="n">
        <x:v>46180</x:v>
      </x:c>
      <x:c r="K210" s="31" t="n"/>
      <x:c r="L210" s="31" t="inlineStr">
        <x:is>
          <x:t xml:space="preserve">ОТК</x:t>
        </x:is>
      </x:c>
      <x:c r="M210" s="31" t="inlineStr">
        <x:is>
          <x:t xml:space="preserve">СОТР-068</x:t>
        </x:is>
      </x:c>
      <x:c r="N210" s="31" t="n">
        <x:v>154</x:v>
      </x:c>
      <x:c r="O210" s="31" t="n">
        <x:v>167.6</x:v>
      </x:c>
      <x:c r="P210" s="31" t="n">
        <x:v>2</x:v>
      </x:c>
      <x:c r="Q210" s="31" t="n">
        <x:v>90</x:v>
      </x:c>
      <x:c r="R210" s="31" t="inlineStr">
        <x:is>
          <x:t xml:space="preserve">Нет</x:t>
        </x:is>
      </x:c>
      <x:c r="S210" s="31" t="inlineStr">
        <x:is>
          <x:t xml:space="preserve">Нет</x:t>
        </x:is>
      </x:c>
      <x:c r="T210" s="31" t="inlineStr">
        <x:is>
          <x:t xml:space="preserve">Создано из строки заказа ПОЗ-0101-1</x:t>
        </x:is>
      </x:c>
    </x:row>
    <x:row r="211" ht="18" customHeight="1">
      <x:c r="A211" s="31" t="inlineStr">
        <x:is>
          <x:t xml:space="preserve">ПЗ-00210</x:t>
        </x:is>
      </x:c>
      <x:c r="B211" s="31" t="inlineStr">
        <x:is>
          <x:t xml:space="preserve">ЗК-1101</x:t>
        </x:is>
      </x:c>
      <x:c r="C211" s="31" t="inlineStr">
        <x:is>
          <x:t xml:space="preserve">ПОЗ-0101-2</x:t>
        </x:is>
      </x:c>
      <x:c r="D211" s="31" t="inlineStr">
        <x:is>
          <x:t xml:space="preserve">ИЗД-040</x:t>
        </x:is>
      </x:c>
      <x:c r="E211" s="31" t="n">
        <x:v>4</x:v>
      </x:c>
      <x:c r="F211" s="31" t="inlineStr">
        <x:is>
          <x:t xml:space="preserve">ОТК</x:t>
        </x:is>
      </x:c>
      <x:c r="G211" s="31" t="inlineStr">
        <x:is>
          <x:t xml:space="preserve">ОБ-006</x:t>
        </x:is>
      </x:c>
      <x:c r="H211" s="31" t="n">
        <x:v>46190</x:v>
      </x:c>
      <x:c r="I211" s="31" t="n">
        <x:v>46197</x:v>
      </x:c>
      <x:c r="J211" s="31" t="n">
        <x:v>46190</x:v>
      </x:c>
      <x:c r="K211" s="31" t="n">
        <x:v>46197</x:v>
      </x:c>
      <x:c r="L211" s="31" t="inlineStr">
        <x:is>
          <x:t xml:space="preserve">Завершено</x:t>
        </x:is>
      </x:c>
      <x:c r="M211" s="31" t="inlineStr">
        <x:is>
          <x:t xml:space="preserve">СОТР-097</x:t>
        </x:is>
      </x:c>
      <x:c r="N211" s="31" t="n">
        <x:v>177.6</x:v>
      </x:c>
      <x:c r="O211" s="31" t="n">
        <x:v>204.8</x:v>
      </x:c>
      <x:c r="P211" s="31" t="n">
        <x:v>0</x:v>
      </x:c>
      <x:c r="Q211" s="31" t="n">
        <x:v>100</x:v>
      </x:c>
      <x:c r="R211" s="31" t="inlineStr">
        <x:is>
          <x:t xml:space="preserve">Нет</x:t>
        </x:is>
      </x:c>
      <x:c r="S211" s="31" t="inlineStr">
        <x:is>
          <x:t xml:space="preserve">Нет</x:t>
        </x:is>
      </x:c>
      <x:c r="T211" s="31" t="inlineStr">
        <x:is>
          <x:t xml:space="preserve">Создано из строки заказа ПОЗ-0101-2</x:t>
        </x:is>
      </x:c>
    </x:row>
    <x:row r="212" ht="18" customHeight="1">
      <x:c r="A212" s="31" t="inlineStr">
        <x:is>
          <x:t xml:space="preserve">ПЗ-00211</x:t>
        </x:is>
      </x:c>
      <x:c r="B212" s="31" t="inlineStr">
        <x:is>
          <x:t xml:space="preserve">ЗК-1102</x:t>
        </x:is>
      </x:c>
      <x:c r="C212" s="31" t="inlineStr">
        <x:is>
          <x:t xml:space="preserve">ПОЗ-0102-1</x:t>
        </x:is>
      </x:c>
      <x:c r="D212" s="31" t="inlineStr">
        <x:is>
          <x:t xml:space="preserve">ИЗД-043</x:t>
        </x:is>
      </x:c>
      <x:c r="E212" s="31" t="n">
        <x:v>1</x:v>
      </x:c>
      <x:c r="F212" s="31" t="inlineStr">
        <x:is>
          <x:t xml:space="preserve">ОТК</x:t>
        </x:is>
      </x:c>
      <x:c r="G212" s="31" t="inlineStr">
        <x:is>
          <x:t xml:space="preserve">ОБ-001</x:t>
        </x:is>
      </x:c>
      <x:c r="H212" s="31" t="n">
        <x:v>46187</x:v>
      </x:c>
      <x:c r="I212" s="31" t="n">
        <x:v>46221</x:v>
      </x:c>
      <x:c r="J212" s="31" t="n">
        <x:v>46187</x:v>
      </x:c>
      <x:c r="K212" s="31" t="n">
        <x:v>46221</x:v>
      </x:c>
      <x:c r="L212" s="31" t="inlineStr">
        <x:is>
          <x:t xml:space="preserve">Завершено</x:t>
        </x:is>
      </x:c>
      <x:c r="M212" s="31" t="inlineStr">
        <x:is>
          <x:t xml:space="preserve">СОТР-093</x:t>
        </x:is>
      </x:c>
      <x:c r="N212" s="31" t="n">
        <x:v>92.90000000000001</x:v>
      </x:c>
      <x:c r="O212" s="31" t="n">
        <x:v>90.2</x:v>
      </x:c>
      <x:c r="P212" s="31" t="n">
        <x:v>0</x:v>
      </x:c>
      <x:c r="Q212" s="31" t="n">
        <x:v>100</x:v>
      </x:c>
      <x:c r="R212" s="31" t="inlineStr">
        <x:is>
          <x:t xml:space="preserve">Нет</x:t>
        </x:is>
      </x:c>
      <x:c r="S212" s="31" t="inlineStr">
        <x:is>
          <x:t xml:space="preserve">Нет</x:t>
        </x:is>
      </x:c>
      <x:c r="T212" s="31" t="inlineStr">
        <x:is>
          <x:t xml:space="preserve">Создано из строки заказа ПОЗ-0102-1</x:t>
        </x:is>
      </x:c>
    </x:row>
    <x:row r="213" ht="18" customHeight="1">
      <x:c r="A213" s="31" t="inlineStr">
        <x:is>
          <x:t xml:space="preserve">ПЗ-00212</x:t>
        </x:is>
      </x:c>
      <x:c r="B213" s="31" t="inlineStr">
        <x:is>
          <x:t xml:space="preserve">ЗК-1102</x:t>
        </x:is>
      </x:c>
      <x:c r="C213" s="31" t="inlineStr">
        <x:is>
          <x:t xml:space="preserve">ПОЗ-0102-2</x:t>
        </x:is>
      </x:c>
      <x:c r="D213" s="31" t="inlineStr">
        <x:is>
          <x:t xml:space="preserve">ИЗД-036</x:t>
        </x:is>
      </x:c>
      <x:c r="E213" s="31" t="n">
        <x:v>1</x:v>
      </x:c>
      <x:c r="F213" s="31" t="inlineStr">
        <x:is>
          <x:t xml:space="preserve">ОТК</x:t>
        </x:is>
      </x:c>
      <x:c r="G213" s="31" t="inlineStr">
        <x:is>
          <x:t xml:space="preserve">ОБ-022</x:t>
        </x:is>
      </x:c>
      <x:c r="H213" s="31" t="n">
        <x:v>46182</x:v>
      </x:c>
      <x:c r="I213" s="31" t="n">
        <x:v>46215</x:v>
      </x:c>
      <x:c r="J213" s="31" t="n">
        <x:v>46182</x:v>
      </x:c>
      <x:c r="K213" s="31" t="n">
        <x:v>46215</x:v>
      </x:c>
      <x:c r="L213" s="31" t="inlineStr">
        <x:is>
          <x:t xml:space="preserve">Завершено</x:t>
        </x:is>
      </x:c>
      <x:c r="M213" s="31" t="inlineStr">
        <x:is>
          <x:t xml:space="preserve">СОТР-092</x:t>
        </x:is>
      </x:c>
      <x:c r="N213" s="31" t="n">
        <x:v>87</x:v>
      </x:c>
      <x:c r="O213" s="31" t="n">
        <x:v>91.8</x:v>
      </x:c>
      <x:c r="P213" s="31" t="n">
        <x:v>2</x:v>
      </x:c>
      <x:c r="Q213" s="31" t="n">
        <x:v>100</x:v>
      </x:c>
      <x:c r="R213" s="31" t="inlineStr">
        <x:is>
          <x:t xml:space="preserve">Нет</x:t>
        </x:is>
      </x:c>
      <x:c r="S213" s="31" t="inlineStr">
        <x:is>
          <x:t xml:space="preserve">Нет</x:t>
        </x:is>
      </x:c>
      <x:c r="T213" s="31" t="inlineStr">
        <x:is>
          <x:t xml:space="preserve">Создано из строки заказа ПОЗ-0102-2</x:t>
        </x:is>
      </x:c>
    </x:row>
    <x:row r="214" ht="18" customHeight="1">
      <x:c r="A214" s="31" t="inlineStr">
        <x:is>
          <x:t xml:space="preserve">ПЗ-00213</x:t>
        </x:is>
      </x:c>
      <x:c r="B214" s="31" t="inlineStr">
        <x:is>
          <x:t xml:space="preserve">ЗК-1102</x:t>
        </x:is>
      </x:c>
      <x:c r="C214" s="31" t="inlineStr">
        <x:is>
          <x:t xml:space="preserve">ПОЗ-0102-3</x:t>
        </x:is>
      </x:c>
      <x:c r="D214" s="31" t="inlineStr">
        <x:is>
          <x:t xml:space="preserve">ИЗД-025</x:t>
        </x:is>
      </x:c>
      <x:c r="E214" s="31" t="n">
        <x:v>5</x:v>
      </x:c>
      <x:c r="F214" s="31" t="inlineStr">
        <x:is>
          <x:t xml:space="preserve">ОТК</x:t>
        </x:is>
      </x:c>
      <x:c r="G214" s="31" t="inlineStr">
        <x:is>
          <x:t xml:space="preserve">ОБ-006</x:t>
        </x:is>
      </x:c>
      <x:c r="H214" s="31" t="n">
        <x:v>46173</x:v>
      </x:c>
      <x:c r="I214" s="31" t="n">
        <x:v>46217</x:v>
      </x:c>
      <x:c r="J214" s="31" t="n">
        <x:v>46173</x:v>
      </x:c>
      <x:c r="K214" s="31" t="n">
        <x:v>46217</x:v>
      </x:c>
      <x:c r="L214" s="31" t="inlineStr">
        <x:is>
          <x:t xml:space="preserve">Завершено</x:t>
        </x:is>
      </x:c>
      <x:c r="M214" s="31" t="inlineStr">
        <x:is>
          <x:t xml:space="preserve">СОТР-099</x:t>
        </x:is>
      </x:c>
      <x:c r="N214" s="31" t="n">
        <x:v>296.5</x:v>
      </x:c>
      <x:c r="O214" s="31" t="n">
        <x:v>286.9</x:v>
      </x:c>
      <x:c r="P214" s="31" t="n">
        <x:v>0</x:v>
      </x:c>
      <x:c r="Q214" s="31" t="n">
        <x:v>100</x:v>
      </x:c>
      <x:c r="R214" s="31" t="inlineStr">
        <x:is>
          <x:t xml:space="preserve">Нет</x:t>
        </x:is>
      </x:c>
      <x:c r="S214" s="31" t="inlineStr">
        <x:is>
          <x:t xml:space="preserve">Нет</x:t>
        </x:is>
      </x:c>
      <x:c r="T214" s="31" t="inlineStr">
        <x:is>
          <x:t xml:space="preserve">Создано из строки заказа ПОЗ-0102-3</x:t>
        </x:is>
      </x:c>
    </x:row>
    <x:row r="215" ht="18" customHeight="1">
      <x:c r="A215" s="31" t="inlineStr">
        <x:is>
          <x:t xml:space="preserve">ПЗ-00214</x:t>
        </x:is>
      </x:c>
      <x:c r="B215" s="31" t="inlineStr">
        <x:is>
          <x:t xml:space="preserve">ЗК-1102</x:t>
        </x:is>
      </x:c>
      <x:c r="C215" s="31" t="inlineStr">
        <x:is>
          <x:t xml:space="preserve">ПОЗ-0102-4</x:t>
        </x:is>
      </x:c>
      <x:c r="D215" s="31" t="inlineStr">
        <x:is>
          <x:t xml:space="preserve">ИЗД-029</x:t>
        </x:is>
      </x:c>
      <x:c r="E215" s="31" t="n">
        <x:v>3</x:v>
      </x:c>
      <x:c r="F215" s="31" t="inlineStr">
        <x:is>
          <x:t xml:space="preserve">ОТК</x:t>
        </x:is>
      </x:c>
      <x:c r="G215" s="31" t="inlineStr">
        <x:is>
          <x:t xml:space="preserve">ОБ-007</x:t>
        </x:is>
      </x:c>
      <x:c r="H215" s="31" t="n">
        <x:v>46172</x:v>
      </x:c>
      <x:c r="I215" s="31" t="n">
        <x:v>46221</x:v>
      </x:c>
      <x:c r="J215" s="31" t="n">
        <x:v>46172</x:v>
      </x:c>
      <x:c r="K215" s="31" t="n">
        <x:v>46221</x:v>
      </x:c>
      <x:c r="L215" s="31" t="inlineStr">
        <x:is>
          <x:t xml:space="preserve">Завершено</x:t>
        </x:is>
      </x:c>
      <x:c r="M215" s="31" t="inlineStr">
        <x:is>
          <x:t xml:space="preserve">СОТР-099</x:t>
        </x:is>
      </x:c>
      <x:c r="N215" s="31" t="n">
        <x:v>390.9</x:v>
      </x:c>
      <x:c r="O215" s="31" t="n">
        <x:v>423.2</x:v>
      </x:c>
      <x:c r="P215" s="31" t="n">
        <x:v>0</x:v>
      </x:c>
      <x:c r="Q215" s="31" t="n">
        <x:v>100</x:v>
      </x:c>
      <x:c r="R215" s="31" t="inlineStr">
        <x:is>
          <x:t xml:space="preserve">Да</x:t>
        </x:is>
      </x:c>
      <x:c r="S215" s="31" t="inlineStr">
        <x:is>
          <x:t xml:space="preserve">Материал</x:t>
        </x:is>
      </x:c>
      <x:c r="T215" s="31" t="inlineStr">
        <x:is>
          <x:t xml:space="preserve">Создано из строки заказа ПОЗ-0102-4</x:t>
        </x:is>
      </x:c>
    </x:row>
    <x:row r="216" ht="18" customHeight="1">
      <x:c r="A216" s="31" t="inlineStr">
        <x:is>
          <x:t xml:space="preserve">ПЗ-00215</x:t>
        </x:is>
      </x:c>
      <x:c r="B216" s="31" t="inlineStr">
        <x:is>
          <x:t xml:space="preserve">ЗК-1103</x:t>
        </x:is>
      </x:c>
      <x:c r="C216" s="31" t="inlineStr">
        <x:is>
          <x:t xml:space="preserve">ПОЗ-0103-1</x:t>
        </x:is>
      </x:c>
      <x:c r="D216" s="31" t="inlineStr">
        <x:is>
          <x:t xml:space="preserve">ИЗД-038</x:t>
        </x:is>
      </x:c>
      <x:c r="E216" s="31" t="n">
        <x:v>2</x:v>
      </x:c>
      <x:c r="F216" s="31" t="inlineStr">
        <x:is>
          <x:t xml:space="preserve">ОТК</x:t>
        </x:is>
      </x:c>
      <x:c r="G216" s="31" t="inlineStr">
        <x:is>
          <x:t xml:space="preserve">ОБ-032</x:t>
        </x:is>
      </x:c>
      <x:c r="H216" s="31" t="n">
        <x:v>46176</x:v>
      </x:c>
      <x:c r="I216" s="31" t="n">
        <x:v>46229</x:v>
      </x:c>
      <x:c r="J216" s="31" t="n"/>
      <x:c r="K216" s="31" t="n"/>
      <x:c r="L216" s="31" t="inlineStr">
        <x:is>
          <x:t xml:space="preserve">Запланировано</x:t>
        </x:is>
      </x:c>
      <x:c r="M216" s="31" t="inlineStr">
        <x:is>
          <x:t xml:space="preserve">СОТР-063</x:t>
        </x:is>
      </x:c>
      <x:c r="N216" s="31" t="n">
        <x:v>56.8</x:v>
      </x:c>
      <x:c r="O216" s="31" t="n"/>
      <x:c r="P216" s="31" t="n">
        <x:v>0</x:v>
      </x:c>
      <x:c r="Q216" s="31" t="n">
        <x:v>10</x:v>
      </x:c>
      <x:c r="R216" s="31" t="inlineStr">
        <x:is>
          <x:t xml:space="preserve">Нет</x:t>
        </x:is>
      </x:c>
      <x:c r="S216" s="31" t="inlineStr">
        <x:is>
          <x:t xml:space="preserve">Материал</x:t>
        </x:is>
      </x:c>
      <x:c r="T216" s="31" t="inlineStr">
        <x:is>
          <x:t xml:space="preserve">Создано из строки заказа ПОЗ-0103-1</x:t>
        </x:is>
      </x:c>
    </x:row>
    <x:row r="217" ht="18" customHeight="1">
      <x:c r="A217" s="31" t="inlineStr">
        <x:is>
          <x:t xml:space="preserve">ПЗ-00216</x:t>
        </x:is>
      </x:c>
      <x:c r="B217" s="31" t="inlineStr">
        <x:is>
          <x:t xml:space="preserve">ЗК-1103</x:t>
        </x:is>
      </x:c>
      <x:c r="C217" s="31" t="inlineStr">
        <x:is>
          <x:t xml:space="preserve">ПОЗ-0103-2</x:t>
        </x:is>
      </x:c>
      <x:c r="D217" s="31" t="inlineStr">
        <x:is>
          <x:t xml:space="preserve">ИЗД-037</x:t>
        </x:is>
      </x:c>
      <x:c r="E217" s="31" t="n">
        <x:v>4</x:v>
      </x:c>
      <x:c r="F217" s="31" t="inlineStr">
        <x:is>
          <x:t xml:space="preserve">ОТК</x:t>
        </x:is>
      </x:c>
      <x:c r="G217" s="31" t="inlineStr">
        <x:is>
          <x:t xml:space="preserve">ОБ-024</x:t>
        </x:is>
      </x:c>
      <x:c r="H217" s="31" t="n">
        <x:v>46175</x:v>
      </x:c>
      <x:c r="I217" s="31" t="n">
        <x:v>46228</x:v>
      </x:c>
      <x:c r="J217" s="31" t="n">
        <x:v>46175</x:v>
      </x:c>
      <x:c r="K217" s="31" t="n">
        <x:v>46228</x:v>
      </x:c>
      <x:c r="L217" s="31" t="inlineStr">
        <x:is>
          <x:t xml:space="preserve">Завершено</x:t>
        </x:is>
      </x:c>
      <x:c r="M217" s="31" t="inlineStr">
        <x:is>
          <x:t xml:space="preserve">СОТР-097</x:t>
        </x:is>
      </x:c>
      <x:c r="N217" s="31" t="n">
        <x:v>335.2</x:v>
      </x:c>
      <x:c r="O217" s="31" t="n">
        <x:v>291.7</x:v>
      </x:c>
      <x:c r="P217" s="31" t="n">
        <x:v>0</x:v>
      </x:c>
      <x:c r="Q217" s="31" t="n">
        <x:v>100</x:v>
      </x:c>
      <x:c r="R217" s="31" t="inlineStr">
        <x:is>
          <x:t xml:space="preserve">Да</x:t>
        </x:is>
      </x:c>
      <x:c r="S217" s="31" t="inlineStr">
        <x:is>
          <x:t xml:space="preserve">Нет</x:t>
        </x:is>
      </x:c>
      <x:c r="T217" s="31" t="inlineStr">
        <x:is>
          <x:t xml:space="preserve">Создано из строки заказа ПОЗ-0103-2</x:t>
        </x:is>
      </x:c>
    </x:row>
    <x:row r="218" ht="18" customHeight="1">
      <x:c r="A218" s="31" t="inlineStr">
        <x:is>
          <x:t xml:space="preserve">ПЗ-00217</x:t>
        </x:is>
      </x:c>
      <x:c r="B218" s="31" t="inlineStr">
        <x:is>
          <x:t xml:space="preserve">ЗК-1103</x:t>
        </x:is>
      </x:c>
      <x:c r="C218" s="31" t="inlineStr">
        <x:is>
          <x:t xml:space="preserve">ПОЗ-0103-3</x:t>
        </x:is>
      </x:c>
      <x:c r="D218" s="31" t="inlineStr">
        <x:is>
          <x:t xml:space="preserve">ИЗД-035</x:t>
        </x:is>
      </x:c>
      <x:c r="E218" s="31" t="n">
        <x:v>4</x:v>
      </x:c>
      <x:c r="F218" s="31" t="inlineStr">
        <x:is>
          <x:t xml:space="preserve">ОТК</x:t>
        </x:is>
      </x:c>
      <x:c r="G218" s="31" t="inlineStr">
        <x:is>
          <x:t xml:space="preserve">ОБ-024</x:t>
        </x:is>
      </x:c>
      <x:c r="H218" s="31" t="n">
        <x:v>46170</x:v>
      </x:c>
      <x:c r="I218" s="31" t="n">
        <x:v>46232</x:v>
      </x:c>
      <x:c r="J218" s="31" t="n">
        <x:v>46170</x:v>
      </x:c>
      <x:c r="K218" s="31" t="n"/>
      <x:c r="L218" s="31" t="inlineStr">
        <x:is>
          <x:t xml:space="preserve">В работе</x:t>
        </x:is>
      </x:c>
      <x:c r="M218" s="31" t="inlineStr">
        <x:is>
          <x:t xml:space="preserve">СОТР-100</x:t>
        </x:is>
      </x:c>
      <x:c r="N218" s="31" t="n">
        <x:v>258</x:v>
      </x:c>
      <x:c r="O218" s="31" t="n">
        <x:v>271</x:v>
      </x:c>
      <x:c r="P218" s="31" t="n">
        <x:v>0</x:v>
      </x:c>
      <x:c r="Q218" s="31" t="n">
        <x:v>39</x:v>
      </x:c>
      <x:c r="R218" s="31" t="inlineStr">
        <x:is>
          <x:t xml:space="preserve">Нет</x:t>
        </x:is>
      </x:c>
      <x:c r="S218" s="31" t="inlineStr">
        <x:is>
          <x:t xml:space="preserve">КД</x:t>
        </x:is>
      </x:c>
      <x:c r="T218" s="31" t="inlineStr">
        <x:is>
          <x:t xml:space="preserve">Создано из строки заказа ПОЗ-0103-3</x:t>
        </x:is>
      </x:c>
    </x:row>
    <x:row r="219" ht="18" customHeight="1">
      <x:c r="A219" s="31" t="inlineStr">
        <x:is>
          <x:t xml:space="preserve">ПЗ-00218</x:t>
        </x:is>
      </x:c>
      <x:c r="B219" s="31" t="inlineStr">
        <x:is>
          <x:t xml:space="preserve">ЗК-1104</x:t>
        </x:is>
      </x:c>
      <x:c r="C219" s="31" t="inlineStr">
        <x:is>
          <x:t xml:space="preserve">ПОЗ-0104-1</x:t>
        </x:is>
      </x:c>
      <x:c r="D219" s="31" t="inlineStr">
        <x:is>
          <x:t xml:space="preserve">ИЗД-010</x:t>
        </x:is>
      </x:c>
      <x:c r="E219" s="31" t="n">
        <x:v>2</x:v>
      </x:c>
      <x:c r="F219" s="31" t="inlineStr">
        <x:is>
          <x:t xml:space="preserve">ОТК</x:t>
        </x:is>
      </x:c>
      <x:c r="G219" s="31" t="inlineStr">
        <x:is>
          <x:t xml:space="preserve">ОБ-033</x:t>
        </x:is>
      </x:c>
      <x:c r="H219" s="31" t="n">
        <x:v>46057</x:v>
      </x:c>
      <x:c r="I219" s="31" t="n">
        <x:v>46096</x:v>
      </x:c>
      <x:c r="J219" s="31" t="n">
        <x:v>46057</x:v>
      </x:c>
      <x:c r="K219" s="31" t="n">
        <x:v>46096</x:v>
      </x:c>
      <x:c r="L219" s="31" t="inlineStr">
        <x:is>
          <x:t xml:space="preserve">Завершено</x:t>
        </x:is>
      </x:c>
      <x:c r="M219" s="31" t="inlineStr">
        <x:is>
          <x:t xml:space="preserve">СОТР-100</x:t>
        </x:is>
      </x:c>
      <x:c r="N219" s="31" t="n">
        <x:v>140.8</x:v>
      </x:c>
      <x:c r="O219" s="31" t="n">
        <x:v>153.3</x:v>
      </x:c>
      <x:c r="P219" s="31" t="n">
        <x:v>2</x:v>
      </x:c>
      <x:c r="Q219" s="31" t="n">
        <x:v>100</x:v>
      </x:c>
      <x:c r="R219" s="31" t="inlineStr">
        <x:is>
          <x:t xml:space="preserve">Нет</x:t>
        </x:is>
      </x:c>
      <x:c r="S219" s="31" t="inlineStr">
        <x:is>
          <x:t xml:space="preserve">Нет</x:t>
        </x:is>
      </x:c>
      <x:c r="T219" s="31" t="inlineStr">
        <x:is>
          <x:t xml:space="preserve">Создано из строки заказа ПОЗ-0104-1</x:t>
        </x:is>
      </x:c>
    </x:row>
    <x:row r="220" ht="18" customHeight="1">
      <x:c r="A220" s="31" t="inlineStr">
        <x:is>
          <x:t xml:space="preserve">ПЗ-00219</x:t>
        </x:is>
      </x:c>
      <x:c r="B220" s="31" t="inlineStr">
        <x:is>
          <x:t xml:space="preserve">ЗК-1104</x:t>
        </x:is>
      </x:c>
      <x:c r="C220" s="31" t="inlineStr">
        <x:is>
          <x:t xml:space="preserve">ПОЗ-0104-2</x:t>
        </x:is>
      </x:c>
      <x:c r="D220" s="31" t="inlineStr">
        <x:is>
          <x:t xml:space="preserve">ИЗД-039</x:t>
        </x:is>
      </x:c>
      <x:c r="E220" s="31" t="n">
        <x:v>2</x:v>
      </x:c>
      <x:c r="F220" s="31" t="inlineStr">
        <x:is>
          <x:t xml:space="preserve">Сварка</x:t>
        </x:is>
      </x:c>
      <x:c r="G220" s="31" t="inlineStr">
        <x:is>
          <x:t xml:space="preserve">ОБ-021</x:t>
        </x:is>
      </x:c>
      <x:c r="H220" s="31" t="n">
        <x:v>46048</x:v>
      </x:c>
      <x:c r="I220" s="31" t="n">
        <x:v>46093</x:v>
      </x:c>
      <x:c r="J220" s="31" t="n">
        <x:v>46048</x:v>
      </x:c>
      <x:c r="K220" s="31" t="n"/>
      <x:c r="L220" s="31" t="inlineStr">
        <x:is>
          <x:t xml:space="preserve">ОТК</x:t>
        </x:is>
      </x:c>
      <x:c r="M220" s="31" t="inlineStr">
        <x:is>
          <x:t xml:space="preserve">СОТР-064</x:t>
        </x:is>
      </x:c>
      <x:c r="N220" s="31" t="n">
        <x:v>154.4</x:v>
      </x:c>
      <x:c r="O220" s="31" t="n">
        <x:v>121.7</x:v>
      </x:c>
      <x:c r="P220" s="31" t="n">
        <x:v>1</x:v>
      </x:c>
      <x:c r="Q220" s="31" t="n">
        <x:v>90</x:v>
      </x:c>
      <x:c r="R220" s="31" t="inlineStr">
        <x:is>
          <x:t xml:space="preserve">Нет</x:t>
        </x:is>
      </x:c>
      <x:c r="S220" s="31" t="inlineStr">
        <x:is>
          <x:t xml:space="preserve">Нет</x:t>
        </x:is>
      </x:c>
      <x:c r="T220" s="31" t="inlineStr">
        <x:is>
          <x:t xml:space="preserve">Создано из строки заказа ПОЗ-0104-2</x:t>
        </x:is>
      </x:c>
    </x:row>
    <x:row r="221" ht="18" customHeight="1">
      <x:c r="A221" s="31" t="inlineStr">
        <x:is>
          <x:t xml:space="preserve">ПЗ-00220</x:t>
        </x:is>
      </x:c>
      <x:c r="B221" s="31" t="inlineStr">
        <x:is>
          <x:t xml:space="preserve">ЗК-1105</x:t>
        </x:is>
      </x:c>
      <x:c r="C221" s="31" t="inlineStr">
        <x:is>
          <x:t xml:space="preserve">ПОЗ-0105-1</x:t>
        </x:is>
      </x:c>
      <x:c r="D221" s="31" t="inlineStr">
        <x:is>
          <x:t xml:space="preserve">ИЗД-012</x:t>
        </x:is>
      </x:c>
      <x:c r="E221" s="31" t="n">
        <x:v>5</x:v>
      </x:c>
      <x:c r="F221" s="31" t="inlineStr">
        <x:is>
          <x:t xml:space="preserve">ОТК</x:t>
        </x:is>
      </x:c>
      <x:c r="G221" s="31" t="inlineStr">
        <x:is>
          <x:t xml:space="preserve">ОБ-006</x:t>
        </x:is>
      </x:c>
      <x:c r="H221" s="31" t="n">
        <x:v>46111</x:v>
      </x:c>
      <x:c r="I221" s="31" t="n">
        <x:v>46118</x:v>
      </x:c>
      <x:c r="J221" s="31" t="n">
        <x:v>46111</x:v>
      </x:c>
      <x:c r="K221" s="31" t="n">
        <x:v>46118</x:v>
      </x:c>
      <x:c r="L221" s="31" t="inlineStr">
        <x:is>
          <x:t xml:space="preserve">Завершено</x:t>
        </x:is>
      </x:c>
      <x:c r="M221" s="31" t="inlineStr">
        <x:is>
          <x:t xml:space="preserve">СОТР-097</x:t>
        </x:is>
      </x:c>
      <x:c r="N221" s="31" t="n">
        <x:v>172</x:v>
      </x:c>
      <x:c r="O221" s="31" t="n">
        <x:v>211.7</x:v>
      </x:c>
      <x:c r="P221" s="31" t="n">
        <x:v>3</x:v>
      </x:c>
      <x:c r="Q221" s="31" t="n">
        <x:v>100</x:v>
      </x:c>
      <x:c r="R221" s="31" t="inlineStr">
        <x:is>
          <x:t xml:space="preserve">Нет</x:t>
        </x:is>
      </x:c>
      <x:c r="S221" s="31" t="inlineStr">
        <x:is>
          <x:t xml:space="preserve">Нет</x:t>
        </x:is>
      </x:c>
      <x:c r="T221" s="31" t="inlineStr">
        <x:is>
          <x:t xml:space="preserve">Создано из строки заказа ПОЗ-0105-1</x:t>
        </x:is>
      </x:c>
    </x:row>
    <x:row r="222" ht="18" customHeight="1">
      <x:c r="A222" s="31" t="inlineStr">
        <x:is>
          <x:t xml:space="preserve">ПЗ-00221</x:t>
        </x:is>
      </x:c>
      <x:c r="B222" s="31" t="inlineStr">
        <x:is>
          <x:t xml:space="preserve">ЗК-1106</x:t>
        </x:is>
      </x:c>
      <x:c r="C222" s="31" t="inlineStr">
        <x:is>
          <x:t xml:space="preserve">ПОЗ-0106-1</x:t>
        </x:is>
      </x:c>
      <x:c r="D222" s="31" t="inlineStr">
        <x:is>
          <x:t xml:space="preserve">ИЗД-025</x:t>
        </x:is>
      </x:c>
      <x:c r="E222" s="31" t="n">
        <x:v>2</x:v>
      </x:c>
      <x:c r="F222" s="31" t="inlineStr">
        <x:is>
          <x:t xml:space="preserve">ОТК</x:t>
        </x:is>
      </x:c>
      <x:c r="G222" s="31" t="inlineStr">
        <x:is>
          <x:t xml:space="preserve">ОБ-015</x:t>
        </x:is>
      </x:c>
      <x:c r="H222" s="31" t="n">
        <x:v>46118</x:v>
      </x:c>
      <x:c r="I222" s="31" t="n">
        <x:v>46165</x:v>
      </x:c>
      <x:c r="J222" s="31" t="n">
        <x:v>46118</x:v>
      </x:c>
      <x:c r="K222" s="31" t="n">
        <x:v>46165</x:v>
      </x:c>
      <x:c r="L222" s="31" t="inlineStr">
        <x:is>
          <x:t xml:space="preserve">Завершено</x:t>
        </x:is>
      </x:c>
      <x:c r="M222" s="31" t="inlineStr">
        <x:is>
          <x:t xml:space="preserve">СОТР-098</x:t>
        </x:is>
      </x:c>
      <x:c r="N222" s="31" t="n">
        <x:v>118.6</x:v>
      </x:c>
      <x:c r="O222" s="31" t="n">
        <x:v>127.5</x:v>
      </x:c>
      <x:c r="P222" s="31" t="n">
        <x:v>2</x:v>
      </x:c>
      <x:c r="Q222" s="31" t="n">
        <x:v>100</x:v>
      </x:c>
      <x:c r="R222" s="31" t="inlineStr">
        <x:is>
          <x:t xml:space="preserve">Нет</x:t>
        </x:is>
      </x:c>
      <x:c r="S222" s="31" t="inlineStr">
        <x:is>
          <x:t xml:space="preserve">Нет</x:t>
        </x:is>
      </x:c>
      <x:c r="T222" s="31" t="inlineStr">
        <x:is>
          <x:t xml:space="preserve">Создано из строки заказа ПОЗ-0106-1</x:t>
        </x:is>
      </x:c>
    </x:row>
    <x:row r="223" ht="18" customHeight="1">
      <x:c r="A223" s="31" t="inlineStr">
        <x:is>
          <x:t xml:space="preserve">ПЗ-00222</x:t>
        </x:is>
      </x:c>
      <x:c r="B223" s="31" t="inlineStr">
        <x:is>
          <x:t xml:space="preserve">ЗК-1109</x:t>
        </x:is>
      </x:c>
      <x:c r="C223" s="31" t="inlineStr">
        <x:is>
          <x:t xml:space="preserve">ПОЗ-0109-1</x:t>
        </x:is>
      </x:c>
      <x:c r="D223" s="31" t="inlineStr">
        <x:is>
          <x:t xml:space="preserve">ИЗД-011</x:t>
        </x:is>
      </x:c>
      <x:c r="E223" s="31" t="n">
        <x:v>4</x:v>
      </x:c>
      <x:c r="F223" s="31" t="inlineStr">
        <x:is>
          <x:t xml:space="preserve">ОТК</x:t>
        </x:is>
      </x:c>
      <x:c r="G223" s="31" t="inlineStr">
        <x:is>
          <x:t xml:space="preserve">ОБ-032</x:t>
        </x:is>
      </x:c>
      <x:c r="H223" s="31" t="n">
        <x:v>46207</x:v>
      </x:c>
      <x:c r="I223" s="31" t="n">
        <x:v>46261</x:v>
      </x:c>
      <x:c r="J223" s="31" t="n">
        <x:v>46207</x:v>
      </x:c>
      <x:c r="K223" s="31" t="n"/>
      <x:c r="L223" s="31" t="inlineStr">
        <x:is>
          <x:t xml:space="preserve">ОТК</x:t>
        </x:is>
      </x:c>
      <x:c r="M223" s="31" t="inlineStr">
        <x:is>
          <x:t xml:space="preserve">СОТР-096</x:t>
        </x:is>
      </x:c>
      <x:c r="N223" s="31" t="n">
        <x:v>214</x:v>
      </x:c>
      <x:c r="O223" s="31" t="n">
        <x:v>189.2</x:v>
      </x:c>
      <x:c r="P223" s="31" t="n">
        <x:v>2</x:v>
      </x:c>
      <x:c r="Q223" s="31" t="n">
        <x:v>90</x:v>
      </x:c>
      <x:c r="R223" s="31" t="inlineStr">
        <x:is>
          <x:t xml:space="preserve">Нет</x:t>
        </x:is>
      </x:c>
      <x:c r="S223" s="31" t="inlineStr">
        <x:is>
          <x:t xml:space="preserve">ОТК</x:t>
        </x:is>
      </x:c>
      <x:c r="T223" s="31" t="inlineStr">
        <x:is>
          <x:t xml:space="preserve">Создано из строки заказа ПОЗ-0109-1</x:t>
        </x:is>
      </x:c>
    </x:row>
    <x:row r="224" ht="18" customHeight="1">
      <x:c r="A224" s="31" t="inlineStr">
        <x:is>
          <x:t xml:space="preserve">ПЗ-00223</x:t>
        </x:is>
      </x:c>
      <x:c r="B224" s="31" t="inlineStr">
        <x:is>
          <x:t xml:space="preserve">ЗК-1109</x:t>
        </x:is>
      </x:c>
      <x:c r="C224" s="31" t="inlineStr">
        <x:is>
          <x:t xml:space="preserve">ПОЗ-0109-2</x:t>
        </x:is>
      </x:c>
      <x:c r="D224" s="31" t="inlineStr">
        <x:is>
          <x:t xml:space="preserve">ИЗД-024</x:t>
        </x:is>
      </x:c>
      <x:c r="E224" s="31" t="n">
        <x:v>2</x:v>
      </x:c>
      <x:c r="F224" s="31" t="inlineStr">
        <x:is>
          <x:t xml:space="preserve">ОТК</x:t>
        </x:is>
      </x:c>
      <x:c r="G224" s="31" t="inlineStr">
        <x:is>
          <x:t xml:space="preserve">ОБ-024</x:t>
        </x:is>
      </x:c>
      <x:c r="H224" s="31" t="n">
        <x:v>46195</x:v>
      </x:c>
      <x:c r="I224" s="31" t="n">
        <x:v>46262</x:v>
      </x:c>
      <x:c r="J224" s="31" t="n">
        <x:v>46195</x:v>
      </x:c>
      <x:c r="K224" s="31" t="n"/>
      <x:c r="L224" s="31" t="inlineStr">
        <x:is>
          <x:t xml:space="preserve">ОТК</x:t>
        </x:is>
      </x:c>
      <x:c r="M224" s="31" t="inlineStr">
        <x:is>
          <x:t xml:space="preserve">СОТР-098</x:t>
        </x:is>
      </x:c>
      <x:c r="N224" s="31" t="n">
        <x:v>100</x:v>
      </x:c>
      <x:c r="O224" s="31" t="n">
        <x:v>99</x:v>
      </x:c>
      <x:c r="P224" s="31" t="n">
        <x:v>3</x:v>
      </x:c>
      <x:c r="Q224" s="31" t="n">
        <x:v>90</x:v>
      </x:c>
      <x:c r="R224" s="31" t="inlineStr">
        <x:is>
          <x:t xml:space="preserve">Нет</x:t>
        </x:is>
      </x:c>
      <x:c r="S224" s="31" t="inlineStr">
        <x:is>
          <x:t xml:space="preserve">Материал</x:t>
        </x:is>
      </x:c>
      <x:c r="T224" s="31" t="inlineStr">
        <x:is>
          <x:t xml:space="preserve">Создано из строки заказа ПОЗ-0109-2</x:t>
        </x:is>
      </x:c>
    </x:row>
    <x:row r="225" ht="18" customHeight="1">
      <x:c r="A225" s="31" t="inlineStr">
        <x:is>
          <x:t xml:space="preserve">ПЗ-00224</x:t>
        </x:is>
      </x:c>
      <x:c r="B225" s="31" t="inlineStr">
        <x:is>
          <x:t xml:space="preserve">ЗК-1109</x:t>
        </x:is>
      </x:c>
      <x:c r="C225" s="31" t="inlineStr">
        <x:is>
          <x:t xml:space="preserve">ПОЗ-0109-3</x:t>
        </x:is>
      </x:c>
      <x:c r="D225" s="31" t="inlineStr">
        <x:is>
          <x:t xml:space="preserve">ИЗД-002</x:t>
        </x:is>
      </x:c>
      <x:c r="E225" s="31" t="n">
        <x:v>4</x:v>
      </x:c>
      <x:c r="F225" s="31" t="inlineStr">
        <x:is>
          <x:t xml:space="preserve">ОТК</x:t>
        </x:is>
      </x:c>
      <x:c r="G225" s="31" t="inlineStr">
        <x:is>
          <x:t xml:space="preserve">ОБ-032</x:t>
        </x:is>
      </x:c>
      <x:c r="H225" s="31" t="n">
        <x:v>46199</x:v>
      </x:c>
      <x:c r="I225" s="31" t="n">
        <x:v>46260</x:v>
      </x:c>
      <x:c r="J225" s="31" t="n">
        <x:v>46199</x:v>
      </x:c>
      <x:c r="K225" s="31" t="n"/>
      <x:c r="L225" s="31" t="inlineStr">
        <x:is>
          <x:t xml:space="preserve">В работе</x:t>
        </x:is>
      </x:c>
      <x:c r="M225" s="31" t="inlineStr">
        <x:is>
          <x:t xml:space="preserve">СОТР-093</x:t>
        </x:is>
      </x:c>
      <x:c r="N225" s="31" t="n">
        <x:v>177.2</x:v>
      </x:c>
      <x:c r="O225" s="31" t="n">
        <x:v>148.5</x:v>
      </x:c>
      <x:c r="P225" s="31" t="n">
        <x:v>2</x:v>
      </x:c>
      <x:c r="Q225" s="31" t="n">
        <x:v>71</x:v>
      </x:c>
      <x:c r="R225" s="31" t="inlineStr">
        <x:is>
          <x:t xml:space="preserve">Нет</x:t>
        </x:is>
      </x:c>
      <x:c r="S225" s="31" t="inlineStr">
        <x:is>
          <x:t xml:space="preserve">Нет</x:t>
        </x:is>
      </x:c>
      <x:c r="T225" s="31" t="inlineStr">
        <x:is>
          <x:t xml:space="preserve">Создано из строки заказа ПОЗ-0109-3</x:t>
        </x:is>
      </x:c>
    </x:row>
    <x:row r="226" ht="18" customHeight="1">
      <x:c r="A226" s="31" t="inlineStr">
        <x:is>
          <x:t xml:space="preserve">ПЗ-00225</x:t>
        </x:is>
      </x:c>
      <x:c r="B226" s="31" t="inlineStr">
        <x:is>
          <x:t xml:space="preserve">ЗК-1110</x:t>
        </x:is>
      </x:c>
      <x:c r="C226" s="31" t="inlineStr">
        <x:is>
          <x:t xml:space="preserve">ПОЗ-0110-1</x:t>
        </x:is>
      </x:c>
      <x:c r="D226" s="31" t="inlineStr">
        <x:is>
          <x:t xml:space="preserve">ИЗД-004</x:t>
        </x:is>
      </x:c>
      <x:c r="E226" s="31" t="n">
        <x:v>5</x:v>
      </x:c>
      <x:c r="F226" s="31" t="inlineStr">
        <x:is>
          <x:t xml:space="preserve">ОТК</x:t>
        </x:is>
      </x:c>
      <x:c r="G226" s="31" t="inlineStr">
        <x:is>
          <x:t xml:space="preserve">ОБ-024</x:t>
        </x:is>
      </x:c>
      <x:c r="H226" s="31" t="n">
        <x:v>46193</x:v>
      </x:c>
      <x:c r="I226" s="31" t="n">
        <x:v>46235</x:v>
      </x:c>
      <x:c r="J226" s="31" t="n">
        <x:v>46193</x:v>
      </x:c>
      <x:c r="K226" s="31" t="n">
        <x:v>46235</x:v>
      </x:c>
      <x:c r="L226" s="31" t="inlineStr">
        <x:is>
          <x:t xml:space="preserve">Завершено</x:t>
        </x:is>
      </x:c>
      <x:c r="M226" s="31" t="inlineStr">
        <x:is>
          <x:t xml:space="preserve">СОТР-063</x:t>
        </x:is>
      </x:c>
      <x:c r="N226" s="31" t="n">
        <x:v>516.5</x:v>
      </x:c>
      <x:c r="O226" s="31" t="n">
        <x:v>414.9</x:v>
      </x:c>
      <x:c r="P226" s="31" t="n">
        <x:v>0</x:v>
      </x:c>
      <x:c r="Q226" s="31" t="n">
        <x:v>100</x:v>
      </x:c>
      <x:c r="R226" s="31" t="inlineStr">
        <x:is>
          <x:t xml:space="preserve">Да</x:t>
        </x:is>
      </x:c>
      <x:c r="S226" s="31" t="inlineStr">
        <x:is>
          <x:t xml:space="preserve">Нет</x:t>
        </x:is>
      </x:c>
      <x:c r="T226" s="31" t="inlineStr">
        <x:is>
          <x:t xml:space="preserve">Создано из строки заказа ПОЗ-0110-1</x:t>
        </x:is>
      </x:c>
    </x:row>
    <x:row r="227" ht="18" customHeight="1">
      <x:c r="A227" s="31" t="inlineStr">
        <x:is>
          <x:t xml:space="preserve">ПЗ-00226</x:t>
        </x:is>
      </x:c>
      <x:c r="B227" s="31" t="inlineStr">
        <x:is>
          <x:t xml:space="preserve">ЗК-1110</x:t>
        </x:is>
      </x:c>
      <x:c r="C227" s="31" t="inlineStr">
        <x:is>
          <x:t xml:space="preserve">ПОЗ-0110-2</x:t>
        </x:is>
      </x:c>
      <x:c r="D227" s="31" t="inlineStr">
        <x:is>
          <x:t xml:space="preserve">ИЗД-013</x:t>
        </x:is>
      </x:c>
      <x:c r="E227" s="31" t="n">
        <x:v>4</x:v>
      </x:c>
      <x:c r="F227" s="31" t="inlineStr">
        <x:is>
          <x:t xml:space="preserve">Сварка</x:t>
        </x:is>
      </x:c>
      <x:c r="G227" s="31" t="inlineStr">
        <x:is>
          <x:t xml:space="preserve">ОБ-010</x:t>
        </x:is>
      </x:c>
      <x:c r="H227" s="31" t="n">
        <x:v>46187</x:v>
      </x:c>
      <x:c r="I227" s="31" t="n">
        <x:v>46237</x:v>
      </x:c>
      <x:c r="J227" s="31" t="n">
        <x:v>46187</x:v>
      </x:c>
      <x:c r="K227" s="31" t="n">
        <x:v>46237</x:v>
      </x:c>
      <x:c r="L227" s="31" t="inlineStr">
        <x:is>
          <x:t xml:space="preserve">Завершено</x:t>
        </x:is>
      </x:c>
      <x:c r="M227" s="31" t="inlineStr">
        <x:is>
          <x:t xml:space="preserve">СОТР-068</x:t>
        </x:is>
      </x:c>
      <x:c r="N227" s="31" t="n">
        <x:v>319.2</x:v>
      </x:c>
      <x:c r="O227" s="31" t="n">
        <x:v>314.7</x:v>
      </x:c>
      <x:c r="P227" s="31" t="n">
        <x:v>2</x:v>
      </x:c>
      <x:c r="Q227" s="31" t="n">
        <x:v>100</x:v>
      </x:c>
      <x:c r="R227" s="31" t="inlineStr">
        <x:is>
          <x:t xml:space="preserve">Нет</x:t>
        </x:is>
      </x:c>
      <x:c r="S227" s="31" t="inlineStr">
        <x:is>
          <x:t xml:space="preserve">Нет</x:t>
        </x:is>
      </x:c>
      <x:c r="T227" s="31" t="inlineStr">
        <x:is>
          <x:t xml:space="preserve">Создано из строки заказа ПОЗ-0110-2</x:t>
        </x:is>
      </x:c>
    </x:row>
    <x:row r="228" ht="18" customHeight="1">
      <x:c r="A228" s="31" t="inlineStr">
        <x:is>
          <x:t xml:space="preserve">ПЗ-00227</x:t>
        </x:is>
      </x:c>
      <x:c r="B228" s="31" t="inlineStr">
        <x:is>
          <x:t xml:space="preserve">ЗК-1110</x:t>
        </x:is>
      </x:c>
      <x:c r="C228" s="31" t="inlineStr">
        <x:is>
          <x:t xml:space="preserve">ПОЗ-0110-3</x:t>
        </x:is>
      </x:c>
      <x:c r="D228" s="31" t="inlineStr">
        <x:is>
          <x:t xml:space="preserve">ИЗД-014</x:t>
        </x:is>
      </x:c>
      <x:c r="E228" s="31" t="n">
        <x:v>2</x:v>
      </x:c>
      <x:c r="F228" s="31" t="inlineStr">
        <x:is>
          <x:t xml:space="preserve">Сварка</x:t>
        </x:is>
      </x:c>
      <x:c r="G228" s="31" t="inlineStr">
        <x:is>
          <x:t xml:space="preserve">ОБ-026</x:t>
        </x:is>
      </x:c>
      <x:c r="H228" s="31" t="n">
        <x:v>46181</x:v>
      </x:c>
      <x:c r="I228" s="31" t="n">
        <x:v>46239</x:v>
      </x:c>
      <x:c r="J228" s="31" t="n">
        <x:v>46181</x:v>
      </x:c>
      <x:c r="K228" s="31" t="n">
        <x:v>46239</x:v>
      </x:c>
      <x:c r="L228" s="31" t="inlineStr">
        <x:is>
          <x:t xml:space="preserve">Завершено</x:t>
        </x:is>
      </x:c>
      <x:c r="M228" s="31" t="inlineStr">
        <x:is>
          <x:t xml:space="preserve">СОТР-065</x:t>
        </x:is>
      </x:c>
      <x:c r="N228" s="31" t="n">
        <x:v>127.4</x:v>
      </x:c>
      <x:c r="O228" s="31" t="n">
        <x:v>104.6</x:v>
      </x:c>
      <x:c r="P228" s="31" t="n">
        <x:v>2</x:v>
      </x:c>
      <x:c r="Q228" s="31" t="n">
        <x:v>100</x:v>
      </x:c>
      <x:c r="R228" s="31" t="inlineStr">
        <x:is>
          <x:t xml:space="preserve">Да</x:t>
        </x:is>
      </x:c>
      <x:c r="S228" s="31" t="inlineStr">
        <x:is>
          <x:t xml:space="preserve">Материал</x:t>
        </x:is>
      </x:c>
      <x:c r="T228" s="31" t="inlineStr">
        <x:is>
          <x:t xml:space="preserve">Создано из строки заказа ПОЗ-0110-3</x:t>
        </x:is>
      </x:c>
    </x:row>
    <x:row r="229" ht="18" customHeight="1">
      <x:c r="A229" s="31" t="inlineStr">
        <x:is>
          <x:t xml:space="preserve">ПЗ-00228</x:t>
        </x:is>
      </x:c>
      <x:c r="B229" s="31" t="inlineStr">
        <x:is>
          <x:t xml:space="preserve">ЗК-1110</x:t>
        </x:is>
      </x:c>
      <x:c r="C229" s="31" t="inlineStr">
        <x:is>
          <x:t xml:space="preserve">ПОЗ-0110-4</x:t>
        </x:is>
      </x:c>
      <x:c r="D229" s="31" t="inlineStr">
        <x:is>
          <x:t xml:space="preserve">ИЗД-022</x:t>
        </x:is>
      </x:c>
      <x:c r="E229" s="31" t="n">
        <x:v>1</x:v>
      </x:c>
      <x:c r="F229" s="31" t="inlineStr">
        <x:is>
          <x:t xml:space="preserve">ОТК</x:t>
        </x:is>
      </x:c>
      <x:c r="G229" s="31" t="inlineStr">
        <x:is>
          <x:t xml:space="preserve">ОБ-028</x:t>
        </x:is>
      </x:c>
      <x:c r="H229" s="31" t="n">
        <x:v>46185</x:v>
      </x:c>
      <x:c r="I229" s="31" t="n">
        <x:v>46236</x:v>
      </x:c>
      <x:c r="J229" s="31" t="n">
        <x:v>46185</x:v>
      </x:c>
      <x:c r="K229" s="31" t="n">
        <x:v>46236</x:v>
      </x:c>
      <x:c r="L229" s="31" t="inlineStr">
        <x:is>
          <x:t xml:space="preserve">Завершено</x:t>
        </x:is>
      </x:c>
      <x:c r="M229" s="31" t="inlineStr">
        <x:is>
          <x:t xml:space="preserve">СОТР-063</x:t>
        </x:is>
      </x:c>
      <x:c r="N229" s="31" t="n">
        <x:v>61.2</x:v>
      </x:c>
      <x:c r="O229" s="31" t="n">
        <x:v>48.6</x:v>
      </x:c>
      <x:c r="P229" s="31" t="n">
        <x:v>1</x:v>
      </x:c>
      <x:c r="Q229" s="31" t="n">
        <x:v>100</x:v>
      </x:c>
      <x:c r="R229" s="31" t="inlineStr">
        <x:is>
          <x:t xml:space="preserve">Нет</x:t>
        </x:is>
      </x:c>
      <x:c r="S229" s="31" t="inlineStr">
        <x:is>
          <x:t xml:space="preserve">Оборудование</x:t>
        </x:is>
      </x:c>
      <x:c r="T229" s="31" t="inlineStr">
        <x:is>
          <x:t xml:space="preserve">Создано из строки заказа ПОЗ-0110-4</x:t>
        </x:is>
      </x:c>
    </x:row>
    <x:row r="230" ht="18" customHeight="1">
      <x:c r="A230" s="31" t="inlineStr">
        <x:is>
          <x:t xml:space="preserve">ПЗ-00229</x:t>
        </x:is>
      </x:c>
      <x:c r="B230" s="31" t="inlineStr">
        <x:is>
          <x:t xml:space="preserve">ЗК-1111</x:t>
        </x:is>
      </x:c>
      <x:c r="C230" s="31" t="inlineStr">
        <x:is>
          <x:t xml:space="preserve">ПОЗ-0111-1</x:t>
        </x:is>
      </x:c>
      <x:c r="D230" s="31" t="inlineStr">
        <x:is>
          <x:t xml:space="preserve">ИЗД-036</x:t>
        </x:is>
      </x:c>
      <x:c r="E230" s="31" t="n">
        <x:v>2</x:v>
      </x:c>
      <x:c r="F230" s="31" t="inlineStr">
        <x:is>
          <x:t xml:space="preserve">ОТК</x:t>
        </x:is>
      </x:c>
      <x:c r="G230" s="31" t="inlineStr">
        <x:is>
          <x:t xml:space="preserve">ОБ-006</x:t>
        </x:is>
      </x:c>
      <x:c r="H230" s="31" t="n">
        <x:v>46136</x:v>
      </x:c>
      <x:c r="I230" s="31" t="n">
        <x:v>46177</x:v>
      </x:c>
      <x:c r="J230" s="31" t="n">
        <x:v>46136</x:v>
      </x:c>
      <x:c r="K230" s="31" t="n">
        <x:v>46177</x:v>
      </x:c>
      <x:c r="L230" s="31" t="inlineStr">
        <x:is>
          <x:t xml:space="preserve">Завершено</x:t>
        </x:is>
      </x:c>
      <x:c r="M230" s="31" t="inlineStr">
        <x:is>
          <x:t xml:space="preserve">СОТР-092</x:t>
        </x:is>
      </x:c>
      <x:c r="N230" s="31" t="n">
        <x:v>174</x:v>
      </x:c>
      <x:c r="O230" s="31" t="n">
        <x:v>147.9</x:v>
      </x:c>
      <x:c r="P230" s="31" t="n">
        <x:v>2</x:v>
      </x:c>
      <x:c r="Q230" s="31" t="n">
        <x:v>100</x:v>
      </x:c>
      <x:c r="R230" s="31" t="inlineStr">
        <x:is>
          <x:t xml:space="preserve">Нет</x:t>
        </x:is>
      </x:c>
      <x:c r="S230" s="31" t="inlineStr">
        <x:is>
          <x:t xml:space="preserve">Материал</x:t>
        </x:is>
      </x:c>
      <x:c r="T230" s="31" t="inlineStr">
        <x:is>
          <x:t xml:space="preserve">Создано из строки заказа ПОЗ-0111-1</x:t>
        </x:is>
      </x:c>
    </x:row>
    <x:row r="231" ht="18" customHeight="1">
      <x:c r="A231" s="31" t="inlineStr">
        <x:is>
          <x:t xml:space="preserve">ПЗ-00230</x:t>
        </x:is>
      </x:c>
      <x:c r="B231" s="31" t="inlineStr">
        <x:is>
          <x:t xml:space="preserve">ЗК-1112</x:t>
        </x:is>
      </x:c>
      <x:c r="C231" s="31" t="inlineStr">
        <x:is>
          <x:t xml:space="preserve">ПОЗ-0112-1</x:t>
        </x:is>
      </x:c>
      <x:c r="D231" s="31" t="inlineStr">
        <x:is>
          <x:t xml:space="preserve">ИЗД-038</x:t>
        </x:is>
      </x:c>
      <x:c r="E231" s="31" t="n">
        <x:v>1</x:v>
      </x:c>
      <x:c r="F231" s="31" t="inlineStr">
        <x:is>
          <x:t xml:space="preserve">ОТК</x:t>
        </x:is>
      </x:c>
      <x:c r="G231" s="31" t="inlineStr">
        <x:is>
          <x:t xml:space="preserve">ОБ-024</x:t>
        </x:is>
      </x:c>
      <x:c r="H231" s="31" t="n">
        <x:v>46115</x:v>
      </x:c>
      <x:c r="I231" s="31" t="n">
        <x:v>46130</x:v>
      </x:c>
      <x:c r="J231" s="31" t="n">
        <x:v>46115</x:v>
      </x:c>
      <x:c r="K231" s="31" t="n">
        <x:v>46130</x:v>
      </x:c>
      <x:c r="L231" s="31" t="inlineStr">
        <x:is>
          <x:t xml:space="preserve">Завершено</x:t>
        </x:is>
      </x:c>
      <x:c r="M231" s="31" t="inlineStr">
        <x:is>
          <x:t xml:space="preserve">СОТР-098</x:t>
        </x:is>
      </x:c>
      <x:c r="N231" s="31" t="n">
        <x:v>28.4</x:v>
      </x:c>
      <x:c r="O231" s="31" t="n">
        <x:v>34.5</x:v>
      </x:c>
      <x:c r="P231" s="31" t="n">
        <x:v>0</x:v>
      </x:c>
      <x:c r="Q231" s="31" t="n">
        <x:v>100</x:v>
      </x:c>
      <x:c r="R231" s="31" t="inlineStr">
        <x:is>
          <x:t xml:space="preserve">Нет</x:t>
        </x:is>
      </x:c>
      <x:c r="S231" s="31" t="inlineStr">
        <x:is>
          <x:t xml:space="preserve">Нет</x:t>
        </x:is>
      </x:c>
      <x:c r="T231" s="31" t="inlineStr">
        <x:is>
          <x:t xml:space="preserve">Создано из строки заказа ПОЗ-0112-1</x:t>
        </x:is>
      </x:c>
    </x:row>
    <x:row r="232" ht="18" customHeight="1">
      <x:c r="A232" s="31" t="inlineStr">
        <x:is>
          <x:t xml:space="preserve">ПЗ-00231</x:t>
        </x:is>
      </x:c>
      <x:c r="B232" s="31" t="inlineStr">
        <x:is>
          <x:t xml:space="preserve">ЗК-1112</x:t>
        </x:is>
      </x:c>
      <x:c r="C232" s="31" t="inlineStr">
        <x:is>
          <x:t xml:space="preserve">ПОЗ-0112-2</x:t>
        </x:is>
      </x:c>
      <x:c r="D232" s="31" t="inlineStr">
        <x:is>
          <x:t xml:space="preserve">ИЗД-037</x:t>
        </x:is>
      </x:c>
      <x:c r="E232" s="31" t="n">
        <x:v>2</x:v>
      </x:c>
      <x:c r="F232" s="31" t="inlineStr">
        <x:is>
          <x:t xml:space="preserve">ОТК</x:t>
        </x:is>
      </x:c>
      <x:c r="G232" s="31" t="inlineStr">
        <x:is>
          <x:t xml:space="preserve">ОБ-006</x:t>
        </x:is>
      </x:c>
      <x:c r="H232" s="31" t="n">
        <x:v>46113</x:v>
      </x:c>
      <x:c r="I232" s="31" t="n">
        <x:v>46126</x:v>
      </x:c>
      <x:c r="J232" s="31" t="n">
        <x:v>46113</x:v>
      </x:c>
      <x:c r="K232" s="31" t="n">
        <x:v>46126</x:v>
      </x:c>
      <x:c r="L232" s="31" t="inlineStr">
        <x:is>
          <x:t xml:space="preserve">Завершено</x:t>
        </x:is>
      </x:c>
      <x:c r="M232" s="31" t="inlineStr">
        <x:is>
          <x:t xml:space="preserve">СОТР-093</x:t>
        </x:is>
      </x:c>
      <x:c r="N232" s="31" t="n">
        <x:v>167.6</x:v>
      </x:c>
      <x:c r="O232" s="31" t="n">
        <x:v>161.1</x:v>
      </x:c>
      <x:c r="P232" s="31" t="n">
        <x:v>2</x:v>
      </x:c>
      <x:c r="Q232" s="31" t="n">
        <x:v>100</x:v>
      </x:c>
      <x:c r="R232" s="31" t="inlineStr">
        <x:is>
          <x:t xml:space="preserve">Да</x:t>
        </x:is>
      </x:c>
      <x:c r="S232" s="31" t="inlineStr">
        <x:is>
          <x:t xml:space="preserve">Нет</x:t>
        </x:is>
      </x:c>
      <x:c r="T232" s="31" t="inlineStr">
        <x:is>
          <x:t xml:space="preserve">Создано из строки заказа ПОЗ-0112-2</x:t>
        </x:is>
      </x:c>
    </x:row>
    <x:row r="233" ht="18" customHeight="1">
      <x:c r="A233" s="31" t="inlineStr">
        <x:is>
          <x:t xml:space="preserve">ПЗ-00232</x:t>
        </x:is>
      </x:c>
      <x:c r="B233" s="31" t="inlineStr">
        <x:is>
          <x:t xml:space="preserve">ЗК-1112</x:t>
        </x:is>
      </x:c>
      <x:c r="C233" s="31" t="inlineStr">
        <x:is>
          <x:t xml:space="preserve">ПОЗ-0112-3</x:t>
        </x:is>
      </x:c>
      <x:c r="D233" s="31" t="inlineStr">
        <x:is>
          <x:t xml:space="preserve">ИЗД-012</x:t>
        </x:is>
      </x:c>
      <x:c r="E233" s="31" t="n">
        <x:v>3</x:v>
      </x:c>
      <x:c r="F233" s="31" t="inlineStr">
        <x:is>
          <x:t xml:space="preserve">ОТК</x:t>
        </x:is>
      </x:c>
      <x:c r="G233" s="31" t="inlineStr">
        <x:is>
          <x:t xml:space="preserve">ОБ-001</x:t>
        </x:is>
      </x:c>
      <x:c r="H233" s="31" t="n">
        <x:v>46114</x:v>
      </x:c>
      <x:c r="I233" s="31" t="n">
        <x:v>46132</x:v>
      </x:c>
      <x:c r="J233" s="31" t="n">
        <x:v>46114</x:v>
      </x:c>
      <x:c r="K233" s="31" t="n">
        <x:v>46132</x:v>
      </x:c>
      <x:c r="L233" s="31" t="inlineStr">
        <x:is>
          <x:t xml:space="preserve">Завершено</x:t>
        </x:is>
      </x:c>
      <x:c r="M233" s="31" t="inlineStr">
        <x:is>
          <x:t xml:space="preserve">СОТР-095</x:t>
        </x:is>
      </x:c>
      <x:c r="N233" s="31" t="n">
        <x:v>103.2</x:v>
      </x:c>
      <x:c r="O233" s="31" t="n">
        <x:v>81.3</x:v>
      </x:c>
      <x:c r="P233" s="31" t="n">
        <x:v>1</x:v>
      </x:c>
      <x:c r="Q233" s="31" t="n">
        <x:v>100</x:v>
      </x:c>
      <x:c r="R233" s="31" t="inlineStr">
        <x:is>
          <x:t xml:space="preserve">Нет</x:t>
        </x:is>
      </x:c>
      <x:c r="S233" s="31" t="inlineStr">
        <x:is>
          <x:t xml:space="preserve">Нет</x:t>
        </x:is>
      </x:c>
      <x:c r="T233" s="31" t="inlineStr">
        <x:is>
          <x:t xml:space="preserve">Создано из строки заказа ПОЗ-0112-3</x:t>
        </x:is>
      </x:c>
    </x:row>
    <x:row r="234" ht="18" customHeight="1">
      <x:c r="A234" s="31" t="inlineStr">
        <x:is>
          <x:t xml:space="preserve">ПЗ-00233</x:t>
        </x:is>
      </x:c>
      <x:c r="B234" s="31" t="inlineStr">
        <x:is>
          <x:t xml:space="preserve">ЗК-1112</x:t>
        </x:is>
      </x:c>
      <x:c r="C234" s="31" t="inlineStr">
        <x:is>
          <x:t xml:space="preserve">ПОЗ-0112-4</x:t>
        </x:is>
      </x:c>
      <x:c r="D234" s="31" t="inlineStr">
        <x:is>
          <x:t xml:space="preserve">ИЗД-029</x:t>
        </x:is>
      </x:c>
      <x:c r="E234" s="31" t="n">
        <x:v>2</x:v>
      </x:c>
      <x:c r="F234" s="31" t="inlineStr">
        <x:is>
          <x:t xml:space="preserve">ОТК</x:t>
        </x:is>
      </x:c>
      <x:c r="G234" s="31" t="inlineStr">
        <x:is>
          <x:t xml:space="preserve">ОБ-013</x:t>
        </x:is>
      </x:c>
      <x:c r="H234" s="31" t="n">
        <x:v>46122</x:v>
      </x:c>
      <x:c r="I234" s="31" t="n">
        <x:v>46132</x:v>
      </x:c>
      <x:c r="J234" s="31" t="n">
        <x:v>46122</x:v>
      </x:c>
      <x:c r="K234" s="31" t="n">
        <x:v>46132</x:v>
      </x:c>
      <x:c r="L234" s="31" t="inlineStr">
        <x:is>
          <x:t xml:space="preserve">Завершено</x:t>
        </x:is>
      </x:c>
      <x:c r="M234" s="31" t="inlineStr">
        <x:is>
          <x:t xml:space="preserve">СОТР-063</x:t>
        </x:is>
      </x:c>
      <x:c r="N234" s="31" t="n">
        <x:v>260.6</x:v>
      </x:c>
      <x:c r="O234" s="31" t="n">
        <x:v>200.8</x:v>
      </x:c>
      <x:c r="P234" s="31" t="n">
        <x:v>0</x:v>
      </x:c>
      <x:c r="Q234" s="31" t="n">
        <x:v>100</x:v>
      </x:c>
      <x:c r="R234" s="31" t="inlineStr">
        <x:is>
          <x:t xml:space="preserve">Нет</x:t>
        </x:is>
      </x:c>
      <x:c r="S234" s="31" t="inlineStr">
        <x:is>
          <x:t xml:space="preserve">Оборудование</x:t>
        </x:is>
      </x:c>
      <x:c r="T234" s="31" t="inlineStr">
        <x:is>
          <x:t xml:space="preserve">Создано из строки заказа ПОЗ-0112-4</x:t>
        </x:is>
      </x:c>
    </x:row>
    <x:row r="235" ht="18" customHeight="1">
      <x:c r="A235" s="31" t="inlineStr">
        <x:is>
          <x:t xml:space="preserve">ПЗ-00234</x:t>
        </x:is>
      </x:c>
      <x:c r="B235" s="31" t="inlineStr">
        <x:is>
          <x:t xml:space="preserve">ЗК-1113</x:t>
        </x:is>
      </x:c>
      <x:c r="C235" s="31" t="inlineStr">
        <x:is>
          <x:t xml:space="preserve">ПОЗ-0113-1</x:t>
        </x:is>
      </x:c>
      <x:c r="D235" s="31" t="inlineStr">
        <x:is>
          <x:t xml:space="preserve">ИЗД-040</x:t>
        </x:is>
      </x:c>
      <x:c r="E235" s="31" t="n">
        <x:v>5</x:v>
      </x:c>
      <x:c r="F235" s="31" t="inlineStr">
        <x:is>
          <x:t xml:space="preserve">ОТК</x:t>
        </x:is>
      </x:c>
      <x:c r="G235" s="31" t="inlineStr">
        <x:is>
          <x:t xml:space="preserve">ОБ-033</x:t>
        </x:is>
      </x:c>
      <x:c r="H235" s="31" t="n">
        <x:v>46085</x:v>
      </x:c>
      <x:c r="I235" s="31" t="n">
        <x:v>46118</x:v>
      </x:c>
      <x:c r="J235" s="31" t="n">
        <x:v>46085</x:v>
      </x:c>
      <x:c r="K235" s="31" t="n"/>
      <x:c r="L235" s="31" t="inlineStr">
        <x:is>
          <x:t xml:space="preserve">ОТК</x:t>
        </x:is>
      </x:c>
      <x:c r="M235" s="31" t="inlineStr">
        <x:is>
          <x:t xml:space="preserve">СОТР-093</x:t>
        </x:is>
      </x:c>
      <x:c r="N235" s="31" t="n">
        <x:v>222</x:v>
      </x:c>
      <x:c r="O235" s="31" t="n">
        <x:v>248.9</x:v>
      </x:c>
      <x:c r="P235" s="31" t="n">
        <x:v>0</x:v>
      </x:c>
      <x:c r="Q235" s="31" t="n">
        <x:v>90</x:v>
      </x:c>
      <x:c r="R235" s="31" t="inlineStr">
        <x:is>
          <x:t xml:space="preserve">Да</x:t>
        </x:is>
      </x:c>
      <x:c r="S235" s="31" t="inlineStr">
        <x:is>
          <x:t xml:space="preserve">КД</x:t>
        </x:is>
      </x:c>
      <x:c r="T235" s="31" t="inlineStr">
        <x:is>
          <x:t xml:space="preserve">Создано из строки заказа ПОЗ-0113-1</x:t>
        </x:is>
      </x:c>
    </x:row>
    <x:row r="236" ht="18" customHeight="1">
      <x:c r="A236" s="31" t="inlineStr">
        <x:is>
          <x:t xml:space="preserve">ПЗ-00235</x:t>
        </x:is>
      </x:c>
      <x:c r="B236" s="31" t="inlineStr">
        <x:is>
          <x:t xml:space="preserve">ЗК-1113</x:t>
        </x:is>
      </x:c>
      <x:c r="C236" s="31" t="inlineStr">
        <x:is>
          <x:t xml:space="preserve">ПОЗ-0113-2</x:t>
        </x:is>
      </x:c>
      <x:c r="D236" s="31" t="inlineStr">
        <x:is>
          <x:t xml:space="preserve">ИЗД-001</x:t>
        </x:is>
      </x:c>
      <x:c r="E236" s="31" t="n">
        <x:v>12</x:v>
      </x:c>
      <x:c r="F236" s="31" t="inlineStr">
        <x:is>
          <x:t xml:space="preserve">ОТК</x:t>
        </x:is>
      </x:c>
      <x:c r="G236" s="31" t="inlineStr">
        <x:is>
          <x:t xml:space="preserve">ОБ-007</x:t>
        </x:is>
      </x:c>
      <x:c r="H236" s="31" t="n">
        <x:v>46087</x:v>
      </x:c>
      <x:c r="I236" s="31" t="n">
        <x:v>46116</x:v>
      </x:c>
      <x:c r="J236" s="31" t="n">
        <x:v>46087</x:v>
      </x:c>
      <x:c r="K236" s="31" t="n"/>
      <x:c r="L236" s="31" t="inlineStr">
        <x:is>
          <x:t xml:space="preserve">ОТК</x:t>
        </x:is>
      </x:c>
      <x:c r="M236" s="31" t="inlineStr">
        <x:is>
          <x:t xml:space="preserve">СОТР-095</x:t>
        </x:is>
      </x:c>
      <x:c r="N236" s="31" t="n">
        <x:v>170.4</x:v>
      </x:c>
      <x:c r="O236" s="31" t="n">
        <x:v>132</x:v>
      </x:c>
      <x:c r="P236" s="31" t="n">
        <x:v>1</x:v>
      </x:c>
      <x:c r="Q236" s="31" t="n">
        <x:v>90</x:v>
      </x:c>
      <x:c r="R236" s="31" t="inlineStr">
        <x:is>
          <x:t xml:space="preserve">Да</x:t>
        </x:is>
      </x:c>
      <x:c r="S236" s="31" t="inlineStr">
        <x:is>
          <x:t xml:space="preserve">КД</x:t>
        </x:is>
      </x:c>
      <x:c r="T236" s="31" t="inlineStr">
        <x:is>
          <x:t xml:space="preserve">Создано из строки заказа ПОЗ-0113-2</x:t>
        </x:is>
      </x:c>
    </x:row>
    <x:row r="237" ht="18" customHeight="1">
      <x:c r="A237" s="31" t="inlineStr">
        <x:is>
          <x:t xml:space="preserve">ПЗ-00236</x:t>
        </x:is>
      </x:c>
      <x:c r="B237" s="31" t="inlineStr">
        <x:is>
          <x:t xml:space="preserve">ЗК-1114</x:t>
        </x:is>
      </x:c>
      <x:c r="C237" s="31" t="inlineStr">
        <x:is>
          <x:t xml:space="preserve">ПОЗ-0114-1</x:t>
        </x:is>
      </x:c>
      <x:c r="D237" s="31" t="inlineStr">
        <x:is>
          <x:t xml:space="preserve">ИЗД-005</x:t>
        </x:is>
      </x:c>
      <x:c r="E237" s="31" t="n">
        <x:v>3</x:v>
      </x:c>
      <x:c r="F237" s="31" t="inlineStr">
        <x:is>
          <x:t xml:space="preserve">ОТК</x:t>
        </x:is>
      </x:c>
      <x:c r="G237" s="31" t="inlineStr">
        <x:is>
          <x:t xml:space="preserve">ОБ-001</x:t>
        </x:is>
      </x:c>
      <x:c r="H237" s="31" t="n">
        <x:v>46100</x:v>
      </x:c>
      <x:c r="I237" s="31" t="n">
        <x:v>46122</x:v>
      </x:c>
      <x:c r="J237" s="31" t="n">
        <x:v>46100</x:v>
      </x:c>
      <x:c r="K237" s="31" t="n">
        <x:v>46122</x:v>
      </x:c>
      <x:c r="L237" s="31" t="inlineStr">
        <x:is>
          <x:t xml:space="preserve">Завершено</x:t>
        </x:is>
      </x:c>
      <x:c r="M237" s="31" t="inlineStr">
        <x:is>
          <x:t xml:space="preserve">СОТР-098</x:t>
        </x:is>
      </x:c>
      <x:c r="N237" s="31" t="n">
        <x:v>149.7</x:v>
      </x:c>
      <x:c r="O237" s="31" t="n">
        <x:v>113.5</x:v>
      </x:c>
      <x:c r="P237" s="31" t="n">
        <x:v>2</x:v>
      </x:c>
      <x:c r="Q237" s="31" t="n">
        <x:v>100</x:v>
      </x:c>
      <x:c r="R237" s="31" t="inlineStr">
        <x:is>
          <x:t xml:space="preserve">Нет</x:t>
        </x:is>
      </x:c>
      <x:c r="S237" s="31" t="inlineStr">
        <x:is>
          <x:t xml:space="preserve">Нет</x:t>
        </x:is>
      </x:c>
      <x:c r="T237" s="31" t="inlineStr">
        <x:is>
          <x:t xml:space="preserve">Создано из строки заказа ПОЗ-0114-1</x:t>
        </x:is>
      </x:c>
    </x:row>
    <x:row r="238" ht="18" customHeight="1">
      <x:c r="A238" s="31" t="inlineStr">
        <x:is>
          <x:t xml:space="preserve">ПЗ-00237</x:t>
        </x:is>
      </x:c>
      <x:c r="B238" s="31" t="inlineStr">
        <x:is>
          <x:t xml:space="preserve">ЗК-1114</x:t>
        </x:is>
      </x:c>
      <x:c r="C238" s="31" t="inlineStr">
        <x:is>
          <x:t xml:space="preserve">ПОЗ-0114-2</x:t>
        </x:is>
      </x:c>
      <x:c r="D238" s="31" t="inlineStr">
        <x:is>
          <x:t xml:space="preserve">ИЗД-012</x:t>
        </x:is>
      </x:c>
      <x:c r="E238" s="31" t="n">
        <x:v>5</x:v>
      </x:c>
      <x:c r="F238" s="31" t="inlineStr">
        <x:is>
          <x:t xml:space="preserve">ОТК</x:t>
        </x:is>
      </x:c>
      <x:c r="G238" s="31" t="inlineStr">
        <x:is>
          <x:t xml:space="preserve">ОБ-013</x:t>
        </x:is>
      </x:c>
      <x:c r="H238" s="31" t="n">
        <x:v>46108</x:v>
      </x:c>
      <x:c r="I238" s="31" t="n">
        <x:v>46117</x:v>
      </x:c>
      <x:c r="J238" s="31" t="n">
        <x:v>46108</x:v>
      </x:c>
      <x:c r="K238" s="31" t="n">
        <x:v>46117</x:v>
      </x:c>
      <x:c r="L238" s="31" t="inlineStr">
        <x:is>
          <x:t xml:space="preserve">Завершено</x:t>
        </x:is>
      </x:c>
      <x:c r="M238" s="31" t="inlineStr">
        <x:is>
          <x:t xml:space="preserve">СОТР-063</x:t>
        </x:is>
      </x:c>
      <x:c r="N238" s="31" t="n">
        <x:v>172</x:v>
      </x:c>
      <x:c r="O238" s="31" t="n">
        <x:v>178.7</x:v>
      </x:c>
      <x:c r="P238" s="31" t="n">
        <x:v>0</x:v>
      </x:c>
      <x:c r="Q238" s="31" t="n">
        <x:v>100</x:v>
      </x:c>
      <x:c r="R238" s="31" t="inlineStr">
        <x:is>
          <x:t xml:space="preserve">Нет</x:t>
        </x:is>
      </x:c>
      <x:c r="S238" s="31" t="inlineStr">
        <x:is>
          <x:t xml:space="preserve">Нет</x:t>
        </x:is>
      </x:c>
      <x:c r="T238" s="31" t="inlineStr">
        <x:is>
          <x:t xml:space="preserve">Создано из строки заказа ПОЗ-0114-2</x:t>
        </x:is>
      </x:c>
    </x:row>
    <x:row r="239" ht="18" customHeight="1">
      <x:c r="A239" s="31" t="inlineStr">
        <x:is>
          <x:t xml:space="preserve">ПЗ-00238</x:t>
        </x:is>
      </x:c>
      <x:c r="B239" s="31" t="inlineStr">
        <x:is>
          <x:t xml:space="preserve">ЗК-1116</x:t>
        </x:is>
      </x:c>
      <x:c r="C239" s="31" t="inlineStr">
        <x:is>
          <x:t xml:space="preserve">ПОЗ-0116-1</x:t>
        </x:is>
      </x:c>
      <x:c r="D239" s="31" t="inlineStr">
        <x:is>
          <x:t xml:space="preserve">ИЗД-021</x:t>
        </x:is>
      </x:c>
      <x:c r="E239" s="31" t="n">
        <x:v>5</x:v>
      </x:c>
      <x:c r="F239" s="31" t="inlineStr">
        <x:is>
          <x:t xml:space="preserve">ОТК</x:t>
        </x:is>
      </x:c>
      <x:c r="G239" s="31" t="inlineStr">
        <x:is>
          <x:t xml:space="preserve">ОБ-033</x:t>
        </x:is>
      </x:c>
      <x:c r="H239" s="31" t="n">
        <x:v>46114</x:v>
      </x:c>
      <x:c r="I239" s="31" t="n">
        <x:v>46114</x:v>
      </x:c>
      <x:c r="J239" s="31" t="n">
        <x:v>46114</x:v>
      </x:c>
      <x:c r="K239" s="31" t="n">
        <x:v>46114</x:v>
      </x:c>
      <x:c r="L239" s="31" t="inlineStr">
        <x:is>
          <x:t xml:space="preserve">Завершено</x:t>
        </x:is>
      </x:c>
      <x:c r="M239" s="31" t="inlineStr">
        <x:is>
          <x:t xml:space="preserve">СОТР-093</x:t>
        </x:is>
      </x:c>
      <x:c r="N239" s="31" t="n">
        <x:v>549.5</x:v>
      </x:c>
      <x:c r="O239" s="31" t="n">
        <x:v>601.4</x:v>
      </x:c>
      <x:c r="P239" s="31" t="n">
        <x:v>1</x:v>
      </x:c>
      <x:c r="Q239" s="31" t="n">
        <x:v>100</x:v>
      </x:c>
      <x:c r="R239" s="31" t="inlineStr">
        <x:is>
          <x:t xml:space="preserve">Нет</x:t>
        </x:is>
      </x:c>
      <x:c r="S239" s="31" t="inlineStr">
        <x:is>
          <x:t xml:space="preserve">Нет</x:t>
        </x:is>
      </x:c>
      <x:c r="T239" s="31" t="inlineStr">
        <x:is>
          <x:t xml:space="preserve">Создано из строки заказа ПОЗ-0116-1</x:t>
        </x:is>
      </x:c>
    </x:row>
    <x:row r="240" ht="18" customHeight="1">
      <x:c r="A240" s="31" t="inlineStr">
        <x:is>
          <x:t xml:space="preserve">ПЗ-00239</x:t>
        </x:is>
      </x:c>
      <x:c r="B240" s="31" t="inlineStr">
        <x:is>
          <x:t xml:space="preserve">ЗК-1117</x:t>
        </x:is>
      </x:c>
      <x:c r="C240" s="31" t="inlineStr">
        <x:is>
          <x:t xml:space="preserve">ПОЗ-0117-1</x:t>
        </x:is>
      </x:c>
      <x:c r="D240" s="31" t="inlineStr">
        <x:is>
          <x:t xml:space="preserve">ИЗД-030</x:t>
        </x:is>
      </x:c>
      <x:c r="E240" s="31" t="n">
        <x:v>2</x:v>
      </x:c>
      <x:c r="F240" s="31" t="inlineStr">
        <x:is>
          <x:t xml:space="preserve">ОТК</x:t>
        </x:is>
      </x:c>
      <x:c r="G240" s="31" t="inlineStr">
        <x:is>
          <x:t xml:space="preserve">ОБ-024</x:t>
        </x:is>
      </x:c>
      <x:c r="H240" s="31" t="n">
        <x:v>46151</x:v>
      </x:c>
      <x:c r="I240" s="31" t="n">
        <x:v>46225</x:v>
      </x:c>
      <x:c r="J240" s="31" t="n">
        <x:v>46151</x:v>
      </x:c>
      <x:c r="K240" s="31" t="n">
        <x:v>46225</x:v>
      </x:c>
      <x:c r="L240" s="31" t="inlineStr">
        <x:is>
          <x:t xml:space="preserve">Завершено</x:t>
        </x:is>
      </x:c>
      <x:c r="M240" s="31" t="inlineStr">
        <x:is>
          <x:t xml:space="preserve">СОТР-093</x:t>
        </x:is>
      </x:c>
      <x:c r="N240" s="31" t="n">
        <x:v>124.2</x:v>
      </x:c>
      <x:c r="O240" s="31" t="n">
        <x:v>117.1</x:v>
      </x:c>
      <x:c r="P240" s="31" t="n">
        <x:v>3</x:v>
      </x:c>
      <x:c r="Q240" s="31" t="n">
        <x:v>100</x:v>
      </x:c>
      <x:c r="R240" s="31" t="inlineStr">
        <x:is>
          <x:t xml:space="preserve">Нет</x:t>
        </x:is>
      </x:c>
      <x:c r="S240" s="31" t="inlineStr">
        <x:is>
          <x:t xml:space="preserve">Нет</x:t>
        </x:is>
      </x:c>
      <x:c r="T240" s="31" t="inlineStr">
        <x:is>
          <x:t xml:space="preserve">Создано из строки заказа ПОЗ-0117-1</x:t>
        </x:is>
      </x:c>
    </x:row>
    <x:row r="241" ht="18" customHeight="1">
      <x:c r="A241" s="31" t="inlineStr">
        <x:is>
          <x:t xml:space="preserve">ПЗ-00240</x:t>
        </x:is>
      </x:c>
      <x:c r="B241" s="31" t="inlineStr">
        <x:is>
          <x:t xml:space="preserve">ЗК-1117</x:t>
        </x:is>
      </x:c>
      <x:c r="C241" s="31" t="inlineStr">
        <x:is>
          <x:t xml:space="preserve">ПОЗ-0117-2</x:t>
        </x:is>
      </x:c>
      <x:c r="D241" s="31" t="inlineStr">
        <x:is>
          <x:t xml:space="preserve">ИЗД-021</x:t>
        </x:is>
      </x:c>
      <x:c r="E241" s="31" t="n">
        <x:v>4</x:v>
      </x:c>
      <x:c r="F241" s="31" t="inlineStr">
        <x:is>
          <x:t xml:space="preserve">ОТК</x:t>
        </x:is>
      </x:c>
      <x:c r="G241" s="31" t="inlineStr">
        <x:is>
          <x:t xml:space="preserve">ОБ-001</x:t>
        </x:is>
      </x:c>
      <x:c r="H241" s="31" t="n">
        <x:v>46150</x:v>
      </x:c>
      <x:c r="I241" s="31" t="n">
        <x:v>46222</x:v>
      </x:c>
      <x:c r="J241" s="31" t="n">
        <x:v>46150</x:v>
      </x:c>
      <x:c r="K241" s="31" t="n">
        <x:v>46222</x:v>
      </x:c>
      <x:c r="L241" s="31" t="inlineStr">
        <x:is>
          <x:t xml:space="preserve">Завершено</x:t>
        </x:is>
      </x:c>
      <x:c r="M241" s="31" t="inlineStr">
        <x:is>
          <x:t xml:space="preserve">СОТР-100</x:t>
        </x:is>
      </x:c>
      <x:c r="N241" s="31" t="n">
        <x:v>439.6</x:v>
      </x:c>
      <x:c r="O241" s="31" t="n">
        <x:v>529.7</x:v>
      </x:c>
      <x:c r="P241" s="31" t="n">
        <x:v>0</x:v>
      </x:c>
      <x:c r="Q241" s="31" t="n">
        <x:v>100</x:v>
      </x:c>
      <x:c r="R241" s="31" t="inlineStr">
        <x:is>
          <x:t xml:space="preserve">Нет</x:t>
        </x:is>
      </x:c>
      <x:c r="S241" s="31" t="inlineStr">
        <x:is>
          <x:t xml:space="preserve">Нет</x:t>
        </x:is>
      </x:c>
      <x:c r="T241" s="31" t="inlineStr">
        <x:is>
          <x:t xml:space="preserve">Создано из строки заказа ПОЗ-0117-2</x:t>
        </x:is>
      </x:c>
    </x:row>
    <x:row r="242" ht="18" customHeight="1">
      <x:c r="A242" s="31" t="inlineStr">
        <x:is>
          <x:t xml:space="preserve">ПЗ-00241</x:t>
        </x:is>
      </x:c>
      <x:c r="B242" s="31" t="inlineStr">
        <x:is>
          <x:t xml:space="preserve">ЗК-1117</x:t>
        </x:is>
      </x:c>
      <x:c r="C242" s="31" t="inlineStr">
        <x:is>
          <x:t xml:space="preserve">ПОЗ-0117-3</x:t>
        </x:is>
      </x:c>
      <x:c r="D242" s="31" t="inlineStr">
        <x:is>
          <x:t xml:space="preserve">ИЗД-026</x:t>
        </x:is>
      </x:c>
      <x:c r="E242" s="31" t="n">
        <x:v>1</x:v>
      </x:c>
      <x:c r="F242" s="31" t="inlineStr">
        <x:is>
          <x:t xml:space="preserve">ОТК</x:t>
        </x:is>
      </x:c>
      <x:c r="G242" s="31" t="inlineStr">
        <x:is>
          <x:t xml:space="preserve">ОБ-032</x:t>
        </x:is>
      </x:c>
      <x:c r="H242" s="31" t="n">
        <x:v>46160</x:v>
      </x:c>
      <x:c r="I242" s="31" t="n">
        <x:v>46221</x:v>
      </x:c>
      <x:c r="J242" s="31" t="n">
        <x:v>46160</x:v>
      </x:c>
      <x:c r="K242" s="31" t="n">
        <x:v>46221</x:v>
      </x:c>
      <x:c r="L242" s="31" t="inlineStr">
        <x:is>
          <x:t xml:space="preserve">Завершено</x:t>
        </x:is>
      </x:c>
      <x:c r="M242" s="31" t="inlineStr">
        <x:is>
          <x:t xml:space="preserve">СОТР-095</x:t>
        </x:is>
      </x:c>
      <x:c r="N242" s="31" t="n">
        <x:v>101.3</x:v>
      </x:c>
      <x:c r="O242" s="31" t="n">
        <x:v>108.8</x:v>
      </x:c>
      <x:c r="P242" s="31" t="n">
        <x:v>1</x:v>
      </x:c>
      <x:c r="Q242" s="31" t="n">
        <x:v>100</x:v>
      </x:c>
      <x:c r="R242" s="31" t="inlineStr">
        <x:is>
          <x:t xml:space="preserve">Нет</x:t>
        </x:is>
      </x:c>
      <x:c r="S242" s="31" t="inlineStr">
        <x:is>
          <x:t xml:space="preserve">Нет</x:t>
        </x:is>
      </x:c>
      <x:c r="T242" s="31" t="inlineStr">
        <x:is>
          <x:t xml:space="preserve">Создано из строки заказа ПОЗ-0117-3</x:t>
        </x:is>
      </x:c>
    </x:row>
    <x:row r="243" ht="18" customHeight="1">
      <x:c r="A243" s="31" t="inlineStr">
        <x:is>
          <x:t xml:space="preserve">ПЗ-00242</x:t>
        </x:is>
      </x:c>
      <x:c r="B243" s="31" t="inlineStr">
        <x:is>
          <x:t xml:space="preserve">ЗК-1117</x:t>
        </x:is>
      </x:c>
      <x:c r="C243" s="31" t="inlineStr">
        <x:is>
          <x:t xml:space="preserve">ПОЗ-0117-4</x:t>
        </x:is>
      </x:c>
      <x:c r="D243" s="31" t="inlineStr">
        <x:is>
          <x:t xml:space="preserve">ИЗД-029</x:t>
        </x:is>
      </x:c>
      <x:c r="E243" s="31" t="n">
        <x:v>2</x:v>
      </x:c>
      <x:c r="F243" s="31" t="inlineStr">
        <x:is>
          <x:t xml:space="preserve">ОТК</x:t>
        </x:is>
      </x:c>
      <x:c r="G243" s="31" t="inlineStr">
        <x:is>
          <x:t xml:space="preserve">ОБ-013</x:t>
        </x:is>
      </x:c>
      <x:c r="H243" s="31" t="n">
        <x:v>46159</x:v>
      </x:c>
      <x:c r="I243" s="31" t="n">
        <x:v>46226</x:v>
      </x:c>
      <x:c r="J243" s="31" t="n">
        <x:v>46159</x:v>
      </x:c>
      <x:c r="K243" s="31" t="n">
        <x:v>46226</x:v>
      </x:c>
      <x:c r="L243" s="31" t="inlineStr">
        <x:is>
          <x:t xml:space="preserve">Завершено</x:t>
        </x:is>
      </x:c>
      <x:c r="M243" s="31" t="inlineStr">
        <x:is>
          <x:t xml:space="preserve">СОТР-096</x:t>
        </x:is>
      </x:c>
      <x:c r="N243" s="31" t="n">
        <x:v>260.6</x:v>
      </x:c>
      <x:c r="O243" s="31" t="n">
        <x:v>234.9</x:v>
      </x:c>
      <x:c r="P243" s="31" t="n">
        <x:v>2</x:v>
      </x:c>
      <x:c r="Q243" s="31" t="n">
        <x:v>100</x:v>
      </x:c>
      <x:c r="R243" s="31" t="inlineStr">
        <x:is>
          <x:t xml:space="preserve">Нет</x:t>
        </x:is>
      </x:c>
      <x:c r="S243" s="31" t="inlineStr">
        <x:is>
          <x:t xml:space="preserve">Материал</x:t>
        </x:is>
      </x:c>
      <x:c r="T243" s="31" t="inlineStr">
        <x:is>
          <x:t xml:space="preserve">Создано из строки заказа ПОЗ-0117-4</x:t>
        </x:is>
      </x:c>
    </x:row>
    <x:row r="244" ht="18" customHeight="1">
      <x:c r="A244" s="31" t="inlineStr">
        <x:is>
          <x:t xml:space="preserve">ПЗ-00243</x:t>
        </x:is>
      </x:c>
      <x:c r="B244" s="31" t="inlineStr">
        <x:is>
          <x:t xml:space="preserve">ЗК-1119</x:t>
        </x:is>
      </x:c>
      <x:c r="C244" s="31" t="inlineStr">
        <x:is>
          <x:t xml:space="preserve">ПОЗ-0119-1</x:t>
        </x:is>
      </x:c>
      <x:c r="D244" s="31" t="inlineStr">
        <x:is>
          <x:t xml:space="preserve">ИЗД-032</x:t>
        </x:is>
      </x:c>
      <x:c r="E244" s="31" t="n">
        <x:v>17</x:v>
      </x:c>
      <x:c r="F244" s="31" t="inlineStr">
        <x:is>
          <x:t xml:space="preserve">ОТК</x:t>
        </x:is>
      </x:c>
      <x:c r="G244" s="31" t="inlineStr">
        <x:is>
          <x:t xml:space="preserve">ОБ-028</x:t>
        </x:is>
      </x:c>
      <x:c r="H244" s="31" t="n">
        <x:v>46118</x:v>
      </x:c>
      <x:c r="I244" s="31" t="n">
        <x:v>46158</x:v>
      </x:c>
      <x:c r="J244" s="31" t="n">
        <x:v>46118</x:v>
      </x:c>
      <x:c r="K244" s="31" t="n">
        <x:v>46158</x:v>
      </x:c>
      <x:c r="L244" s="31" t="inlineStr">
        <x:is>
          <x:t xml:space="preserve">Завершено</x:t>
        </x:is>
      </x:c>
      <x:c r="M244" s="31" t="inlineStr">
        <x:is>
          <x:t xml:space="preserve">СОТР-097</x:t>
        </x:is>
      </x:c>
      <x:c r="N244" s="31" t="n">
        <x:v>440.3</x:v>
      </x:c>
      <x:c r="O244" s="31" t="n">
        <x:v>334.1</x:v>
      </x:c>
      <x:c r="P244" s="31" t="n">
        <x:v>2</x:v>
      </x:c>
      <x:c r="Q244" s="31" t="n">
        <x:v>100</x:v>
      </x:c>
      <x:c r="R244" s="31" t="inlineStr">
        <x:is>
          <x:t xml:space="preserve">Нет</x:t>
        </x:is>
      </x:c>
      <x:c r="S244" s="31" t="inlineStr">
        <x:is>
          <x:t xml:space="preserve">Нет</x:t>
        </x:is>
      </x:c>
      <x:c r="T244" s="31" t="inlineStr">
        <x:is>
          <x:t xml:space="preserve">Создано из строки заказа ПОЗ-0119-1</x:t>
        </x:is>
      </x:c>
    </x:row>
    <x:row r="245" ht="18" customHeight="1">
      <x:c r="A245" s="31" t="inlineStr">
        <x:is>
          <x:t xml:space="preserve">ПЗ-00244</x:t>
        </x:is>
      </x:c>
      <x:c r="B245" s="31" t="inlineStr">
        <x:is>
          <x:t xml:space="preserve">ЗК-1119</x:t>
        </x:is>
      </x:c>
      <x:c r="C245" s="31" t="inlineStr">
        <x:is>
          <x:t xml:space="preserve">ПОЗ-0119-2</x:t>
        </x:is>
      </x:c>
      <x:c r="D245" s="31" t="inlineStr">
        <x:is>
          <x:t xml:space="preserve">ИЗД-037</x:t>
        </x:is>
      </x:c>
      <x:c r="E245" s="31" t="n">
        <x:v>4</x:v>
      </x:c>
      <x:c r="F245" s="31" t="inlineStr">
        <x:is>
          <x:t xml:space="preserve">ОТК</x:t>
        </x:is>
      </x:c>
      <x:c r="G245" s="31" t="inlineStr">
        <x:is>
          <x:t xml:space="preserve">ОБ-033</x:t>
        </x:is>
      </x:c>
      <x:c r="H245" s="31" t="n">
        <x:v>46126</x:v>
      </x:c>
      <x:c r="I245" s="31" t="n">
        <x:v>46156</x:v>
      </x:c>
      <x:c r="J245" s="31" t="n">
        <x:v>46126</x:v>
      </x:c>
      <x:c r="K245" s="31" t="n">
        <x:v>46156</x:v>
      </x:c>
      <x:c r="L245" s="31" t="inlineStr">
        <x:is>
          <x:t xml:space="preserve">Завершено</x:t>
        </x:is>
      </x:c>
      <x:c r="M245" s="31" t="inlineStr">
        <x:is>
          <x:t xml:space="preserve">СОТР-099</x:t>
        </x:is>
      </x:c>
      <x:c r="N245" s="31" t="n">
        <x:v>335.2</x:v>
      </x:c>
      <x:c r="O245" s="31" t="n">
        <x:v>373.7</x:v>
      </x:c>
      <x:c r="P245" s="31" t="n">
        <x:v>3</x:v>
      </x:c>
      <x:c r="Q245" s="31" t="n">
        <x:v>100</x:v>
      </x:c>
      <x:c r="R245" s="31" t="inlineStr">
        <x:is>
          <x:t xml:space="preserve">Нет</x:t>
        </x:is>
      </x:c>
      <x:c r="S245" s="31" t="inlineStr">
        <x:is>
          <x:t xml:space="preserve">Материал</x:t>
        </x:is>
      </x:c>
      <x:c r="T245" s="31" t="inlineStr">
        <x:is>
          <x:t xml:space="preserve">Создано из строки заказа ПОЗ-0119-2</x:t>
        </x:is>
      </x:c>
    </x:row>
    <x:row r="246" ht="18" customHeight="1">
      <x:c r="A246" s="31" t="inlineStr">
        <x:is>
          <x:t xml:space="preserve">ПЗ-00245</x:t>
        </x:is>
      </x:c>
      <x:c r="B246" s="31" t="inlineStr">
        <x:is>
          <x:t xml:space="preserve">ЗК-1120</x:t>
        </x:is>
      </x:c>
      <x:c r="C246" s="31" t="inlineStr">
        <x:is>
          <x:t xml:space="preserve">ПОЗ-0120-1</x:t>
        </x:is>
      </x:c>
      <x:c r="D246" s="31" t="inlineStr">
        <x:is>
          <x:t xml:space="preserve">ИЗД-039</x:t>
        </x:is>
      </x:c>
      <x:c r="E246" s="31" t="n">
        <x:v>2</x:v>
      </x:c>
      <x:c r="F246" s="31" t="inlineStr">
        <x:is>
          <x:t xml:space="preserve">Сварка</x:t>
        </x:is>
      </x:c>
      <x:c r="G246" s="31" t="inlineStr">
        <x:is>
          <x:t xml:space="preserve">ОБ-021</x:t>
        </x:is>
      </x:c>
      <x:c r="H246" s="31" t="n">
        <x:v>46080</x:v>
      </x:c>
      <x:c r="I246" s="31" t="n">
        <x:v>46114</x:v>
      </x:c>
      <x:c r="J246" s="31" t="n">
        <x:v>46080</x:v>
      </x:c>
      <x:c r="K246" s="31" t="n">
        <x:v>46114</x:v>
      </x:c>
      <x:c r="L246" s="31" t="inlineStr">
        <x:is>
          <x:t xml:space="preserve">Завершено</x:t>
        </x:is>
      </x:c>
      <x:c r="M246" s="31" t="inlineStr">
        <x:is>
          <x:t xml:space="preserve">СОТР-069</x:t>
        </x:is>
      </x:c>
      <x:c r="N246" s="31" t="n">
        <x:v>154.4</x:v>
      </x:c>
      <x:c r="O246" s="31" t="n">
        <x:v>124.3</x:v>
      </x:c>
      <x:c r="P246" s="31" t="n">
        <x:v>1</x:v>
      </x:c>
      <x:c r="Q246" s="31" t="n">
        <x:v>100</x:v>
      </x:c>
      <x:c r="R246" s="31" t="inlineStr">
        <x:is>
          <x:t xml:space="preserve">Нет</x:t>
        </x:is>
      </x:c>
      <x:c r="S246" s="31" t="inlineStr">
        <x:is>
          <x:t xml:space="preserve">Материал</x:t>
        </x:is>
      </x:c>
      <x:c r="T246" s="31" t="inlineStr">
        <x:is>
          <x:t xml:space="preserve">Создано из строки заказа ПОЗ-0120-1</x:t>
        </x:is>
      </x:c>
    </x:row>
    <x:row r="247" ht="18" customHeight="1">
      <x:c r="A247" s="31" t="inlineStr">
        <x:is>
          <x:t xml:space="preserve">ПЗ-00246</x:t>
        </x:is>
      </x:c>
      <x:c r="B247" s="31" t="inlineStr">
        <x:is>
          <x:t xml:space="preserve">ЗК-1120</x:t>
        </x:is>
      </x:c>
      <x:c r="C247" s="31" t="inlineStr">
        <x:is>
          <x:t xml:space="preserve">ПОЗ-0120-2</x:t>
        </x:is>
      </x:c>
      <x:c r="D247" s="31" t="inlineStr">
        <x:is>
          <x:t xml:space="preserve">ИЗД-035</x:t>
        </x:is>
      </x:c>
      <x:c r="E247" s="31" t="n">
        <x:v>2</x:v>
      </x:c>
      <x:c r="F247" s="31" t="inlineStr">
        <x:is>
          <x:t xml:space="preserve">ОТК</x:t>
        </x:is>
      </x:c>
      <x:c r="G247" s="31" t="inlineStr">
        <x:is>
          <x:t xml:space="preserve">ОБ-024</x:t>
        </x:is>
      </x:c>
      <x:c r="H247" s="31" t="n">
        <x:v>46084</x:v>
      </x:c>
      <x:c r="I247" s="31" t="n">
        <x:v>46111</x:v>
      </x:c>
      <x:c r="J247" s="31" t="n">
        <x:v>46084</x:v>
      </x:c>
      <x:c r="K247" s="31" t="n">
        <x:v>46111</x:v>
      </x:c>
      <x:c r="L247" s="31" t="inlineStr">
        <x:is>
          <x:t xml:space="preserve">Завершено</x:t>
        </x:is>
      </x:c>
      <x:c r="M247" s="31" t="inlineStr">
        <x:is>
          <x:t xml:space="preserve">СОТР-095</x:t>
        </x:is>
      </x:c>
      <x:c r="N247" s="31" t="n">
        <x:v>129</x:v>
      </x:c>
      <x:c r="O247" s="31" t="n">
        <x:v>159.7</x:v>
      </x:c>
      <x:c r="P247" s="31" t="n">
        <x:v>3</x:v>
      </x:c>
      <x:c r="Q247" s="31" t="n">
        <x:v>100</x:v>
      </x:c>
      <x:c r="R247" s="31" t="inlineStr">
        <x:is>
          <x:t xml:space="preserve">Нет</x:t>
        </x:is>
      </x:c>
      <x:c r="S247" s="31" t="inlineStr">
        <x:is>
          <x:t xml:space="preserve">КД</x:t>
        </x:is>
      </x:c>
      <x:c r="T247" s="31" t="inlineStr">
        <x:is>
          <x:t xml:space="preserve">Создано из строки заказа ПОЗ-0120-2</x:t>
        </x:is>
      </x:c>
    </x:row>
    <x:row r="248" ht="18" customHeight="1">
      <x:c r="A248" s="31" t="inlineStr">
        <x:is>
          <x:t xml:space="preserve">ПЗ-00247</x:t>
        </x:is>
      </x:c>
      <x:c r="B248" s="31" t="inlineStr">
        <x:is>
          <x:t xml:space="preserve">ЗК-1120</x:t>
        </x:is>
      </x:c>
      <x:c r="C248" s="31" t="inlineStr">
        <x:is>
          <x:t xml:space="preserve">ПОЗ-0120-3</x:t>
        </x:is>
      </x:c>
      <x:c r="D248" s="31" t="inlineStr">
        <x:is>
          <x:t xml:space="preserve">ИЗД-013</x:t>
        </x:is>
      </x:c>
      <x:c r="E248" s="31" t="n">
        <x:v>1</x:v>
      </x:c>
      <x:c r="F248" s="31" t="inlineStr">
        <x:is>
          <x:t xml:space="preserve">Сварка</x:t>
        </x:is>
      </x:c>
      <x:c r="G248" s="31" t="inlineStr">
        <x:is>
          <x:t xml:space="preserve">ОБ-021</x:t>
        </x:is>
      </x:c>
      <x:c r="H248" s="31" t="n">
        <x:v>46082</x:v>
      </x:c>
      <x:c r="I248" s="31" t="n">
        <x:v>46110</x:v>
      </x:c>
      <x:c r="J248" s="31" t="n">
        <x:v>46082</x:v>
      </x:c>
      <x:c r="K248" s="31" t="n">
        <x:v>46110</x:v>
      </x:c>
      <x:c r="L248" s="31" t="inlineStr">
        <x:is>
          <x:t xml:space="preserve">Завершено</x:t>
        </x:is>
      </x:c>
      <x:c r="M248" s="31" t="inlineStr">
        <x:is>
          <x:t xml:space="preserve">СОТР-062</x:t>
        </x:is>
      </x:c>
      <x:c r="N248" s="31" t="n">
        <x:v>79.8</x:v>
      </x:c>
      <x:c r="O248" s="31" t="n">
        <x:v>85</x:v>
      </x:c>
      <x:c r="P248" s="31" t="n">
        <x:v>1</x:v>
      </x:c>
      <x:c r="Q248" s="31" t="n">
        <x:v>100</x:v>
      </x:c>
      <x:c r="R248" s="31" t="inlineStr">
        <x:is>
          <x:t xml:space="preserve">Нет</x:t>
        </x:is>
      </x:c>
      <x:c r="S248" s="31" t="inlineStr">
        <x:is>
          <x:t xml:space="preserve">Нет</x:t>
        </x:is>
      </x:c>
      <x:c r="T248" s="31" t="inlineStr">
        <x:is>
          <x:t xml:space="preserve">Создано из строки заказа ПОЗ-0120-3</x:t>
        </x:is>
      </x:c>
    </x:row>
    <x:row r="249" ht="18" customHeight="1">
      <x:c r="A249" s="31" t="inlineStr">
        <x:is>
          <x:t xml:space="preserve">ПЗ-00248</x:t>
        </x:is>
      </x:c>
      <x:c r="B249" s="31" t="inlineStr">
        <x:is>
          <x:t xml:space="preserve">ЗК-1121</x:t>
        </x:is>
      </x:c>
      <x:c r="C249" s="31" t="inlineStr">
        <x:is>
          <x:t xml:space="preserve">ПОЗ-0121-1</x:t>
        </x:is>
      </x:c>
      <x:c r="D249" s="31" t="inlineStr">
        <x:is>
          <x:t xml:space="preserve">ИЗД-004</x:t>
        </x:is>
      </x:c>
      <x:c r="E249" s="31" t="n">
        <x:v>3</x:v>
      </x:c>
      <x:c r="F249" s="31" t="inlineStr">
        <x:is>
          <x:t xml:space="preserve">ОТК</x:t>
        </x:is>
      </x:c>
      <x:c r="G249" s="31" t="inlineStr">
        <x:is>
          <x:t xml:space="preserve">ОБ-013</x:t>
        </x:is>
      </x:c>
      <x:c r="H249" s="31" t="n">
        <x:v>46181</x:v>
      </x:c>
      <x:c r="I249" s="31" t="n">
        <x:v>46203</x:v>
      </x:c>
      <x:c r="J249" s="31" t="n">
        <x:v>46181</x:v>
      </x:c>
      <x:c r="K249" s="31" t="n">
        <x:v>46203</x:v>
      </x:c>
      <x:c r="L249" s="31" t="inlineStr">
        <x:is>
          <x:t xml:space="preserve">Завершено</x:t>
        </x:is>
      </x:c>
      <x:c r="M249" s="31" t="inlineStr">
        <x:is>
          <x:t xml:space="preserve">СОТР-095</x:t>
        </x:is>
      </x:c>
      <x:c r="N249" s="31" t="n">
        <x:v>309.9</x:v>
      </x:c>
      <x:c r="O249" s="31" t="n">
        <x:v>313.3</x:v>
      </x:c>
      <x:c r="P249" s="31" t="n">
        <x:v>2</x:v>
      </x:c>
      <x:c r="Q249" s="31" t="n">
        <x:v>100</x:v>
      </x:c>
      <x:c r="R249" s="31" t="inlineStr">
        <x:is>
          <x:t xml:space="preserve">Нет</x:t>
        </x:is>
      </x:c>
      <x:c r="S249" s="31" t="inlineStr">
        <x:is>
          <x:t xml:space="preserve">Нет</x:t>
        </x:is>
      </x:c>
      <x:c r="T249" s="31" t="inlineStr">
        <x:is>
          <x:t xml:space="preserve">Создано из строки заказа ПОЗ-0121-1</x:t>
        </x:is>
      </x:c>
    </x:row>
    <x:row r="250" ht="18" customHeight="1">
      <x:c r="A250" s="31" t="inlineStr">
        <x:is>
          <x:t xml:space="preserve">ПЗ-00249</x:t>
        </x:is>
      </x:c>
      <x:c r="B250" s="31" t="inlineStr">
        <x:is>
          <x:t xml:space="preserve">ЗК-1122</x:t>
        </x:is>
      </x:c>
      <x:c r="C250" s="31" t="inlineStr">
        <x:is>
          <x:t xml:space="preserve">ПОЗ-0122-1</x:t>
        </x:is>
      </x:c>
      <x:c r="D250" s="31" t="inlineStr">
        <x:is>
          <x:t xml:space="preserve">ИЗД-009</x:t>
        </x:is>
      </x:c>
      <x:c r="E250" s="31" t="n">
        <x:v>2</x:v>
      </x:c>
      <x:c r="F250" s="31" t="inlineStr">
        <x:is>
          <x:t xml:space="preserve">ОТК</x:t>
        </x:is>
      </x:c>
      <x:c r="G250" s="31" t="inlineStr">
        <x:is>
          <x:t xml:space="preserve">ОБ-006</x:t>
        </x:is>
      </x:c>
      <x:c r="H250" s="31" t="n">
        <x:v>46144</x:v>
      </x:c>
      <x:c r="I250" s="31" t="n">
        <x:v>46148</x:v>
      </x:c>
      <x:c r="J250" s="31" t="n">
        <x:v>46144</x:v>
      </x:c>
      <x:c r="K250" s="31" t="n">
        <x:v>46148</x:v>
      </x:c>
      <x:c r="L250" s="31" t="inlineStr">
        <x:is>
          <x:t xml:space="preserve">Завершено</x:t>
        </x:is>
      </x:c>
      <x:c r="M250" s="31" t="inlineStr">
        <x:is>
          <x:t xml:space="preserve">СОТР-096</x:t>
        </x:is>
      </x:c>
      <x:c r="N250" s="31" t="n">
        <x:v>192</x:v>
      </x:c>
      <x:c r="O250" s="31" t="n">
        <x:v>185.2</x:v>
      </x:c>
      <x:c r="P250" s="31" t="n">
        <x:v>0</x:v>
      </x:c>
      <x:c r="Q250" s="31" t="n">
        <x:v>100</x:v>
      </x:c>
      <x:c r="R250" s="31" t="inlineStr">
        <x:is>
          <x:t xml:space="preserve">Нет</x:t>
        </x:is>
      </x:c>
      <x:c r="S250" s="31" t="inlineStr">
        <x:is>
          <x:t xml:space="preserve">Нет</x:t>
        </x:is>
      </x:c>
      <x:c r="T250" s="31" t="inlineStr">
        <x:is>
          <x:t xml:space="preserve">Создано из строки заказа ПОЗ-0122-1</x:t>
        </x:is>
      </x:c>
    </x:row>
    <x:row r="251" ht="18" customHeight="1">
      <x:c r="A251" s="31" t="inlineStr">
        <x:is>
          <x:t xml:space="preserve">ПЗ-00250</x:t>
        </x:is>
      </x:c>
      <x:c r="B251" s="31" t="inlineStr">
        <x:is>
          <x:t xml:space="preserve">ЗК-1123</x:t>
        </x:is>
      </x:c>
      <x:c r="C251" s="31" t="inlineStr">
        <x:is>
          <x:t xml:space="preserve">ПОЗ-0123-1</x:t>
        </x:is>
      </x:c>
      <x:c r="D251" s="31" t="inlineStr">
        <x:is>
          <x:t xml:space="preserve">ИЗД-016</x:t>
        </x:is>
      </x:c>
      <x:c r="E251" s="31" t="n">
        <x:v>5</x:v>
      </x:c>
      <x:c r="F251" s="31" t="inlineStr">
        <x:is>
          <x:t xml:space="preserve">ОТК</x:t>
        </x:is>
      </x:c>
      <x:c r="G251" s="31" t="inlineStr">
        <x:is>
          <x:t xml:space="preserve">ОБ-006</x:t>
        </x:is>
      </x:c>
      <x:c r="H251" s="31" t="n">
        <x:v>46143</x:v>
      </x:c>
      <x:c r="I251" s="31" t="n">
        <x:v>46155</x:v>
      </x:c>
      <x:c r="J251" s="31" t="n">
        <x:v>46143</x:v>
      </x:c>
      <x:c r="K251" s="31" t="n">
        <x:v>46155</x:v>
      </x:c>
      <x:c r="L251" s="31" t="inlineStr">
        <x:is>
          <x:t xml:space="preserve">Завершено</x:t>
        </x:is>
      </x:c>
      <x:c r="M251" s="31" t="inlineStr">
        <x:is>
          <x:t xml:space="preserve">СОТР-093</x:t>
        </x:is>
      </x:c>
      <x:c r="N251" s="31" t="n">
        <x:v>556</x:v>
      </x:c>
      <x:c r="O251" s="31" t="n">
        <x:v>418</x:v>
      </x:c>
      <x:c r="P251" s="31" t="n">
        <x:v>3</x:v>
      </x:c>
      <x:c r="Q251" s="31" t="n">
        <x:v>100</x:v>
      </x:c>
      <x:c r="R251" s="31" t="inlineStr">
        <x:is>
          <x:t xml:space="preserve">Нет</x:t>
        </x:is>
      </x:c>
      <x:c r="S251" s="31" t="inlineStr">
        <x:is>
          <x:t xml:space="preserve">КД</x:t>
        </x:is>
      </x:c>
      <x:c r="T251" s="31" t="inlineStr">
        <x:is>
          <x:t xml:space="preserve">Создано из строки заказа ПОЗ-0123-1</x:t>
        </x:is>
      </x:c>
    </x:row>
    <x:row r="252" ht="18" customHeight="1">
      <x:c r="A252" s="31" t="inlineStr">
        <x:is>
          <x:t xml:space="preserve">ПЗ-00251</x:t>
        </x:is>
      </x:c>
      <x:c r="B252" s="31" t="inlineStr">
        <x:is>
          <x:t xml:space="preserve">ЗК-1123</x:t>
        </x:is>
      </x:c>
      <x:c r="C252" s="31" t="inlineStr">
        <x:is>
          <x:t xml:space="preserve">ПОЗ-0123-2</x:t>
        </x:is>
      </x:c>
      <x:c r="D252" s="31" t="inlineStr">
        <x:is>
          <x:t xml:space="preserve">ИЗД-004</x:t>
        </x:is>
      </x:c>
      <x:c r="E252" s="31" t="n">
        <x:v>2</x:v>
      </x:c>
      <x:c r="F252" s="31" t="inlineStr">
        <x:is>
          <x:t xml:space="preserve">ОТК</x:t>
        </x:is>
      </x:c>
      <x:c r="G252" s="31" t="inlineStr">
        <x:is>
          <x:t xml:space="preserve">ОБ-033</x:t>
        </x:is>
      </x:c>
      <x:c r="H252" s="31" t="n">
        <x:v>46139</x:v>
      </x:c>
      <x:c r="I252" s="31" t="n">
        <x:v>46157</x:v>
      </x:c>
      <x:c r="J252" s="31" t="n">
        <x:v>46139</x:v>
      </x:c>
      <x:c r="K252" s="31" t="n">
        <x:v>46157</x:v>
      </x:c>
      <x:c r="L252" s="31" t="inlineStr">
        <x:is>
          <x:t xml:space="preserve">Завершено</x:t>
        </x:is>
      </x:c>
      <x:c r="M252" s="31" t="inlineStr">
        <x:is>
          <x:t xml:space="preserve">СОТР-063</x:t>
        </x:is>
      </x:c>
      <x:c r="N252" s="31" t="n">
        <x:v>206.6</x:v>
      </x:c>
      <x:c r="O252" s="31" t="n">
        <x:v>201.6</x:v>
      </x:c>
      <x:c r="P252" s="31" t="n">
        <x:v>2</x:v>
      </x:c>
      <x:c r="Q252" s="31" t="n">
        <x:v>100</x:v>
      </x:c>
      <x:c r="R252" s="31" t="inlineStr">
        <x:is>
          <x:t xml:space="preserve">Да</x:t>
        </x:is>
      </x:c>
      <x:c r="S252" s="31" t="inlineStr">
        <x:is>
          <x:t xml:space="preserve">Нет</x:t>
        </x:is>
      </x:c>
      <x:c r="T252" s="31" t="inlineStr">
        <x:is>
          <x:t xml:space="preserve">Создано из строки заказа ПОЗ-0123-2</x:t>
        </x:is>
      </x:c>
    </x:row>
    <x:row r="253" ht="18" customHeight="1">
      <x:c r="A253" s="31" t="inlineStr">
        <x:is>
          <x:t xml:space="preserve">ПЗ-00252</x:t>
        </x:is>
      </x:c>
      <x:c r="B253" s="31" t="inlineStr">
        <x:is>
          <x:t xml:space="preserve">ЗК-1124</x:t>
        </x:is>
      </x:c>
      <x:c r="C253" s="31" t="inlineStr">
        <x:is>
          <x:t xml:space="preserve">ПОЗ-0124-1</x:t>
        </x:is>
      </x:c>
      <x:c r="D253" s="31" t="inlineStr">
        <x:is>
          <x:t xml:space="preserve">ИЗД-026</x:t>
        </x:is>
      </x:c>
      <x:c r="E253" s="31" t="n">
        <x:v>2</x:v>
      </x:c>
      <x:c r="F253" s="31" t="inlineStr">
        <x:is>
          <x:t xml:space="preserve">ОТК</x:t>
        </x:is>
      </x:c>
      <x:c r="G253" s="31" t="inlineStr">
        <x:is>
          <x:t xml:space="preserve">ОБ-007</x:t>
        </x:is>
      </x:c>
      <x:c r="H253" s="31" t="n">
        <x:v>46046</x:v>
      </x:c>
      <x:c r="I253" s="31" t="n">
        <x:v>46061</x:v>
      </x:c>
      <x:c r="J253" s="31" t="n">
        <x:v>46046</x:v>
      </x:c>
      <x:c r="K253" s="31" t="n"/>
      <x:c r="L253" s="31" t="inlineStr">
        <x:is>
          <x:t xml:space="preserve">Доработка</x:t>
        </x:is>
      </x:c>
      <x:c r="M253" s="31" t="inlineStr">
        <x:is>
          <x:t xml:space="preserve">СОТР-096</x:t>
        </x:is>
      </x:c>
      <x:c r="N253" s="31" t="n">
        <x:v>202.6</x:v>
      </x:c>
      <x:c r="O253" s="31" t="n">
        <x:v>238.7</x:v>
      </x:c>
      <x:c r="P253" s="31" t="n">
        <x:v>3</x:v>
      </x:c>
      <x:c r="Q253" s="31" t="n">
        <x:v>75</x:v>
      </x:c>
      <x:c r="R253" s="31" t="inlineStr">
        <x:is>
          <x:t xml:space="preserve">Да</x:t>
        </x:is>
      </x:c>
      <x:c r="S253" s="31" t="inlineStr">
        <x:is>
          <x:t xml:space="preserve">Нет</x:t>
        </x:is>
      </x:c>
      <x:c r="T253" s="31" t="inlineStr">
        <x:is>
          <x:t xml:space="preserve">Создано из строки заказа ПОЗ-0124-1</x:t>
        </x:is>
      </x:c>
    </x:row>
    <x:row r="254" ht="18" customHeight="1">
      <x:c r="A254" s="31" t="inlineStr">
        <x:is>
          <x:t xml:space="preserve">ПЗ-00253</x:t>
        </x:is>
      </x:c>
      <x:c r="B254" s="31" t="inlineStr">
        <x:is>
          <x:t xml:space="preserve">ЗК-1124</x:t>
        </x:is>
      </x:c>
      <x:c r="C254" s="31" t="inlineStr">
        <x:is>
          <x:t xml:space="preserve">ПОЗ-0124-2</x:t>
        </x:is>
      </x:c>
      <x:c r="D254" s="31" t="inlineStr">
        <x:is>
          <x:t xml:space="preserve">ИЗД-014</x:t>
        </x:is>
      </x:c>
      <x:c r="E254" s="31" t="n">
        <x:v>2</x:v>
      </x:c>
      <x:c r="F254" s="31" t="inlineStr">
        <x:is>
          <x:t xml:space="preserve">Сварка</x:t>
        </x:is>
      </x:c>
      <x:c r="G254" s="31" t="inlineStr">
        <x:is>
          <x:t xml:space="preserve">ОБ-010</x:t>
        </x:is>
      </x:c>
      <x:c r="H254" s="31" t="n">
        <x:v>46051</x:v>
      </x:c>
      <x:c r="I254" s="31" t="n">
        <x:v>46055</x:v>
      </x:c>
      <x:c r="J254" s="31" t="n">
        <x:v>46051</x:v>
      </x:c>
      <x:c r="K254" s="31" t="n">
        <x:v>46055</x:v>
      </x:c>
      <x:c r="L254" s="31" t="inlineStr">
        <x:is>
          <x:t xml:space="preserve">Завершено</x:t>
        </x:is>
      </x:c>
      <x:c r="M254" s="31" t="inlineStr">
        <x:is>
          <x:t xml:space="preserve">СОТР-062</x:t>
        </x:is>
      </x:c>
      <x:c r="N254" s="31" t="n">
        <x:v>127.4</x:v>
      </x:c>
      <x:c r="O254" s="31" t="n">
        <x:v>152.4</x:v>
      </x:c>
      <x:c r="P254" s="31" t="n">
        <x:v>3</x:v>
      </x:c>
      <x:c r="Q254" s="31" t="n">
        <x:v>100</x:v>
      </x:c>
      <x:c r="R254" s="31" t="inlineStr">
        <x:is>
          <x:t xml:space="preserve">Нет</x:t>
        </x:is>
      </x:c>
      <x:c r="S254" s="31" t="inlineStr">
        <x:is>
          <x:t xml:space="preserve">Нет</x:t>
        </x:is>
      </x:c>
      <x:c r="T254" s="31" t="inlineStr">
        <x:is>
          <x:t xml:space="preserve">Создано из строки заказа ПОЗ-0124-2</x:t>
        </x:is>
      </x:c>
    </x:row>
    <x:row r="255" ht="18" customHeight="1">
      <x:c r="A255" s="31" t="inlineStr">
        <x:is>
          <x:t xml:space="preserve">ПЗ-00254</x:t>
        </x:is>
      </x:c>
      <x:c r="B255" s="31" t="inlineStr">
        <x:is>
          <x:t xml:space="preserve">ЗК-1125</x:t>
        </x:is>
      </x:c>
      <x:c r="C255" s="31" t="inlineStr">
        <x:is>
          <x:t xml:space="preserve">ПОЗ-0125-1</x:t>
        </x:is>
      </x:c>
      <x:c r="D255" s="31" t="inlineStr">
        <x:is>
          <x:t xml:space="preserve">ИЗД-038</x:t>
        </x:is>
      </x:c>
      <x:c r="E255" s="31" t="n">
        <x:v>3</x:v>
      </x:c>
      <x:c r="F255" s="31" t="inlineStr">
        <x:is>
          <x:t xml:space="preserve">ОТК</x:t>
        </x:is>
      </x:c>
      <x:c r="G255" s="31" t="inlineStr">
        <x:is>
          <x:t xml:space="preserve">ОБ-024</x:t>
        </x:is>
      </x:c>
      <x:c r="H255" s="31" t="n">
        <x:v>46041</x:v>
      </x:c>
      <x:c r="I255" s="31" t="n">
        <x:v>46114</x:v>
      </x:c>
      <x:c r="J255" s="31" t="n">
        <x:v>46041</x:v>
      </x:c>
      <x:c r="K255" s="31" t="n"/>
      <x:c r="L255" s="31" t="inlineStr">
        <x:is>
          <x:t xml:space="preserve">Пауза</x:t>
        </x:is>
      </x:c>
      <x:c r="M255" s="31" t="inlineStr">
        <x:is>
          <x:t xml:space="preserve">СОТР-063</x:t>
        </x:is>
      </x:c>
      <x:c r="N255" s="31" t="n">
        <x:v>85.2</x:v>
      </x:c>
      <x:c r="O255" s="31" t="n">
        <x:v>73.59999999999999</x:v>
      </x:c>
      <x:c r="P255" s="31" t="n">
        <x:v>2</x:v>
      </x:c>
      <x:c r="Q255" s="31" t="n">
        <x:v>65</x:v>
      </x:c>
      <x:c r="R255" s="31" t="inlineStr">
        <x:is>
          <x:t xml:space="preserve">Нет</x:t>
        </x:is>
      </x:c>
      <x:c r="S255" s="31" t="inlineStr">
        <x:is>
          <x:t xml:space="preserve">Нет</x:t>
        </x:is>
      </x:c>
      <x:c r="T255" s="31" t="inlineStr">
        <x:is>
          <x:t xml:space="preserve">Создано из строки заказа ПОЗ-0125-1</x:t>
        </x:is>
      </x:c>
    </x:row>
    <x:row r="256" ht="18" customHeight="1">
      <x:c r="A256" s="31" t="inlineStr">
        <x:is>
          <x:t xml:space="preserve">ПЗ-00255</x:t>
        </x:is>
      </x:c>
      <x:c r="B256" s="31" t="inlineStr">
        <x:is>
          <x:t xml:space="preserve">ЗК-1125</x:t>
        </x:is>
      </x:c>
      <x:c r="C256" s="31" t="inlineStr">
        <x:is>
          <x:t xml:space="preserve">ПОЗ-0125-2</x:t>
        </x:is>
      </x:c>
      <x:c r="D256" s="31" t="inlineStr">
        <x:is>
          <x:t xml:space="preserve">ИЗД-020</x:t>
        </x:is>
      </x:c>
      <x:c r="E256" s="31" t="n">
        <x:v>3</x:v>
      </x:c>
      <x:c r="F256" s="31" t="inlineStr">
        <x:is>
          <x:t xml:space="preserve">ОТК</x:t>
        </x:is>
      </x:c>
      <x:c r="G256" s="31" t="inlineStr">
        <x:is>
          <x:t xml:space="preserve">ОБ-028</x:t>
        </x:is>
      </x:c>
      <x:c r="H256" s="31" t="n">
        <x:v>46055</x:v>
      </x:c>
      <x:c r="I256" s="31" t="n">
        <x:v>46114</x:v>
      </x:c>
      <x:c r="J256" s="31" t="n">
        <x:v>46055</x:v>
      </x:c>
      <x:c r="K256" s="31" t="n">
        <x:v>46114</x:v>
      </x:c>
      <x:c r="L256" s="31" t="inlineStr">
        <x:is>
          <x:t xml:space="preserve">Завершено</x:t>
        </x:is>
      </x:c>
      <x:c r="M256" s="31" t="inlineStr">
        <x:is>
          <x:t xml:space="preserve">СОТР-063</x:t>
        </x:is>
      </x:c>
      <x:c r="N256" s="31" t="n">
        <x:v>122.7</x:v>
      </x:c>
      <x:c r="O256" s="31" t="n">
        <x:v>114.4</x:v>
      </x:c>
      <x:c r="P256" s="31" t="n">
        <x:v>3</x:v>
      </x:c>
      <x:c r="Q256" s="31" t="n">
        <x:v>100</x:v>
      </x:c>
      <x:c r="R256" s="31" t="inlineStr">
        <x:is>
          <x:t xml:space="preserve">Нет</x:t>
        </x:is>
      </x:c>
      <x:c r="S256" s="31" t="inlineStr">
        <x:is>
          <x:t xml:space="preserve">Нет</x:t>
        </x:is>
      </x:c>
      <x:c r="T256" s="31" t="inlineStr">
        <x:is>
          <x:t xml:space="preserve">Создано из строки заказа ПОЗ-0125-2</x:t>
        </x:is>
      </x:c>
    </x:row>
    <x:row r="257" ht="18" customHeight="1">
      <x:c r="A257" s="31" t="inlineStr">
        <x:is>
          <x:t xml:space="preserve">ПЗ-00256</x:t>
        </x:is>
      </x:c>
      <x:c r="B257" s="31" t="inlineStr">
        <x:is>
          <x:t xml:space="preserve">ЗК-1126</x:t>
        </x:is>
      </x:c>
      <x:c r="C257" s="31" t="inlineStr">
        <x:is>
          <x:t xml:space="preserve">ПОЗ-0126-1</x:t>
        </x:is>
      </x:c>
      <x:c r="D257" s="31" t="inlineStr">
        <x:is>
          <x:t xml:space="preserve">ИЗД-001</x:t>
        </x:is>
      </x:c>
      <x:c r="E257" s="31" t="n">
        <x:v>14</x:v>
      </x:c>
      <x:c r="F257" s="31" t="inlineStr">
        <x:is>
          <x:t xml:space="preserve">ОТК</x:t>
        </x:is>
      </x:c>
      <x:c r="G257" s="31" t="inlineStr">
        <x:is>
          <x:t xml:space="preserve">ОБ-024</x:t>
        </x:is>
      </x:c>
      <x:c r="H257" s="31" t="n">
        <x:v>46154</x:v>
      </x:c>
      <x:c r="I257" s="31" t="n">
        <x:v>46220</x:v>
      </x:c>
      <x:c r="J257" s="31" t="n">
        <x:v>46154</x:v>
      </x:c>
      <x:c r="K257" s="31" t="n">
        <x:v>46220</x:v>
      </x:c>
      <x:c r="L257" s="31" t="inlineStr">
        <x:is>
          <x:t xml:space="preserve">Завершено</x:t>
        </x:is>
      </x:c>
      <x:c r="M257" s="31" t="inlineStr">
        <x:is>
          <x:t xml:space="preserve">СОТР-092</x:t>
        </x:is>
      </x:c>
      <x:c r="N257" s="31" t="n">
        <x:v>198.8</x:v>
      </x:c>
      <x:c r="O257" s="31" t="n">
        <x:v>179.9</x:v>
      </x:c>
      <x:c r="P257" s="31" t="n">
        <x:v>0</x:v>
      </x:c>
      <x:c r="Q257" s="31" t="n">
        <x:v>100</x:v>
      </x:c>
      <x:c r="R257" s="31" t="inlineStr">
        <x:is>
          <x:t xml:space="preserve">Нет</x:t>
        </x:is>
      </x:c>
      <x:c r="S257" s="31" t="inlineStr">
        <x:is>
          <x:t xml:space="preserve">Материал</x:t>
        </x:is>
      </x:c>
      <x:c r="T257" s="31" t="inlineStr">
        <x:is>
          <x:t xml:space="preserve">Создано из строки заказа ПОЗ-0126-1</x:t>
        </x:is>
      </x:c>
    </x:row>
    <x:row r="258" ht="18" customHeight="1">
      <x:c r="A258" s="31" t="inlineStr">
        <x:is>
          <x:t xml:space="preserve">ПЗ-00257</x:t>
        </x:is>
      </x:c>
      <x:c r="B258" s="31" t="inlineStr">
        <x:is>
          <x:t xml:space="preserve">ЗК-1126</x:t>
        </x:is>
      </x:c>
      <x:c r="C258" s="31" t="inlineStr">
        <x:is>
          <x:t xml:space="preserve">ПОЗ-0126-2</x:t>
        </x:is>
      </x:c>
      <x:c r="D258" s="31" t="inlineStr">
        <x:is>
          <x:t xml:space="preserve">ИЗД-020</x:t>
        </x:is>
      </x:c>
      <x:c r="E258" s="31" t="n">
        <x:v>1</x:v>
      </x:c>
      <x:c r="F258" s="31" t="inlineStr">
        <x:is>
          <x:t xml:space="preserve">ОТК</x:t>
        </x:is>
      </x:c>
      <x:c r="G258" s="31" t="inlineStr">
        <x:is>
          <x:t xml:space="preserve">ОБ-024</x:t>
        </x:is>
      </x:c>
      <x:c r="H258" s="31" t="n">
        <x:v>46159</x:v>
      </x:c>
      <x:c r="I258" s="31" t="n">
        <x:v>46220</x:v>
      </x:c>
      <x:c r="J258" s="31" t="n">
        <x:v>46159</x:v>
      </x:c>
      <x:c r="K258" s="31" t="n"/>
      <x:c r="L258" s="31" t="inlineStr">
        <x:is>
          <x:t xml:space="preserve">ОТК</x:t>
        </x:is>
      </x:c>
      <x:c r="M258" s="31" t="inlineStr">
        <x:is>
          <x:t xml:space="preserve">СОТР-096</x:t>
        </x:is>
      </x:c>
      <x:c r="N258" s="31" t="n">
        <x:v>40.9</x:v>
      </x:c>
      <x:c r="O258" s="31" t="n">
        <x:v>32.1</x:v>
      </x:c>
      <x:c r="P258" s="31" t="n">
        <x:v>3</x:v>
      </x:c>
      <x:c r="Q258" s="31" t="n">
        <x:v>90</x:v>
      </x:c>
      <x:c r="R258" s="31" t="inlineStr">
        <x:is>
          <x:t xml:space="preserve">Да</x:t>
        </x:is>
      </x:c>
      <x:c r="S258" s="31" t="inlineStr">
        <x:is>
          <x:t xml:space="preserve">Нет</x:t>
        </x:is>
      </x:c>
      <x:c r="T258" s="31" t="inlineStr">
        <x:is>
          <x:t xml:space="preserve">Создано из строки заказа ПОЗ-0126-2</x:t>
        </x:is>
      </x:c>
    </x:row>
    <x:row r="259" ht="18" customHeight="1">
      <x:c r="A259" s="31" t="inlineStr">
        <x:is>
          <x:t xml:space="preserve">ПЗ-00258</x:t>
        </x:is>
      </x:c>
      <x:c r="B259" s="31" t="inlineStr">
        <x:is>
          <x:t xml:space="preserve">ЗК-1126</x:t>
        </x:is>
      </x:c>
      <x:c r="C259" s="31" t="inlineStr">
        <x:is>
          <x:t xml:space="preserve">ПОЗ-0126-3</x:t>
        </x:is>
      </x:c>
      <x:c r="D259" s="31" t="inlineStr">
        <x:is>
          <x:t xml:space="preserve">ИЗД-029</x:t>
        </x:is>
      </x:c>
      <x:c r="E259" s="31" t="n">
        <x:v>2</x:v>
      </x:c>
      <x:c r="F259" s="31" t="inlineStr">
        <x:is>
          <x:t xml:space="preserve">ОТК</x:t>
        </x:is>
      </x:c>
      <x:c r="G259" s="31" t="inlineStr">
        <x:is>
          <x:t xml:space="preserve">ОБ-032</x:t>
        </x:is>
      </x:c>
      <x:c r="H259" s="31" t="n">
        <x:v>46155</x:v>
      </x:c>
      <x:c r="I259" s="31" t="n">
        <x:v>46224</x:v>
      </x:c>
      <x:c r="J259" s="31" t="n">
        <x:v>46155</x:v>
      </x:c>
      <x:c r="K259" s="31" t="n"/>
      <x:c r="L259" s="31" t="inlineStr">
        <x:is>
          <x:t xml:space="preserve">Ожидает материалов</x:t>
        </x:is>
      </x:c>
      <x:c r="M259" s="31" t="inlineStr">
        <x:is>
          <x:t xml:space="preserve">СОТР-096</x:t>
        </x:is>
      </x:c>
      <x:c r="N259" s="31" t="n">
        <x:v>260.6</x:v>
      </x:c>
      <x:c r="O259" s="31" t="n"/>
      <x:c r="P259" s="31" t="n">
        <x:v>0</x:v>
      </x:c>
      <x:c r="Q259" s="31" t="n">
        <x:v>15</x:v>
      </x:c>
      <x:c r="R259" s="31" t="inlineStr">
        <x:is>
          <x:t xml:space="preserve">Нет</x:t>
        </x:is>
      </x:c>
      <x:c r="S259" s="31" t="inlineStr">
        <x:is>
          <x:t xml:space="preserve">Нет</x:t>
        </x:is>
      </x:c>
      <x:c r="T259" s="31" t="inlineStr">
        <x:is>
          <x:t xml:space="preserve">Создано из строки заказа ПОЗ-0126-3</x:t>
        </x:is>
      </x:c>
    </x:row>
    <x:row r="260" ht="18" customHeight="1">
      <x:c r="A260" s="31" t="inlineStr">
        <x:is>
          <x:t xml:space="preserve">ПЗ-00259</x:t>
        </x:is>
      </x:c>
      <x:c r="B260" s="31" t="inlineStr">
        <x:is>
          <x:t xml:space="preserve">ЗК-1128</x:t>
        </x:is>
      </x:c>
      <x:c r="C260" s="31" t="inlineStr">
        <x:is>
          <x:t xml:space="preserve">ПОЗ-0128-1</x:t>
        </x:is>
      </x:c>
      <x:c r="D260" s="31" t="inlineStr">
        <x:is>
          <x:t xml:space="preserve">ИЗД-015</x:t>
        </x:is>
      </x:c>
      <x:c r="E260" s="31" t="n">
        <x:v>4</x:v>
      </x:c>
      <x:c r="F260" s="31" t="inlineStr">
        <x:is>
          <x:t xml:space="preserve">ОТК</x:t>
        </x:is>
      </x:c>
      <x:c r="G260" s="31" t="inlineStr">
        <x:is>
          <x:t xml:space="preserve">ОБ-015</x:t>
        </x:is>
      </x:c>
      <x:c r="H260" s="31" t="n">
        <x:v>46108</x:v>
      </x:c>
      <x:c r="I260" s="31" t="n">
        <x:v>46117</x:v>
      </x:c>
      <x:c r="J260" s="31" t="n">
        <x:v>46108</x:v>
      </x:c>
      <x:c r="K260" s="31" t="n">
        <x:v>46117</x:v>
      </x:c>
      <x:c r="L260" s="31" t="inlineStr">
        <x:is>
          <x:t xml:space="preserve">Завершено</x:t>
        </x:is>
      </x:c>
      <x:c r="M260" s="31" t="inlineStr">
        <x:is>
          <x:t xml:space="preserve">СОТР-092</x:t>
        </x:is>
      </x:c>
      <x:c r="N260" s="31" t="n">
        <x:v>63.6</x:v>
      </x:c>
      <x:c r="O260" s="31" t="n">
        <x:v>68.2</x:v>
      </x:c>
      <x:c r="P260" s="31" t="n">
        <x:v>1</x:v>
      </x:c>
      <x:c r="Q260" s="31" t="n">
        <x:v>100</x:v>
      </x:c>
      <x:c r="R260" s="31" t="inlineStr">
        <x:is>
          <x:t xml:space="preserve">Нет</x:t>
        </x:is>
      </x:c>
      <x:c r="S260" s="31" t="inlineStr">
        <x:is>
          <x:t xml:space="preserve">Оборудование</x:t>
        </x:is>
      </x:c>
      <x:c r="T260" s="31" t="inlineStr">
        <x:is>
          <x:t xml:space="preserve">Создано из строки заказа ПОЗ-0128-1</x:t>
        </x:is>
      </x:c>
    </x:row>
    <x:row r="261" ht="18" customHeight="1">
      <x:c r="A261" s="31" t="inlineStr">
        <x:is>
          <x:t xml:space="preserve">ПЗ-00260</x:t>
        </x:is>
      </x:c>
      <x:c r="B261" s="31" t="inlineStr">
        <x:is>
          <x:t xml:space="preserve">ЗК-1128</x:t>
        </x:is>
      </x:c>
      <x:c r="C261" s="31" t="inlineStr">
        <x:is>
          <x:t xml:space="preserve">ПОЗ-0128-2</x:t>
        </x:is>
      </x:c>
      <x:c r="D261" s="31" t="inlineStr">
        <x:is>
          <x:t xml:space="preserve">ИЗД-004</x:t>
        </x:is>
      </x:c>
      <x:c r="E261" s="31" t="n">
        <x:v>3</x:v>
      </x:c>
      <x:c r="F261" s="31" t="inlineStr">
        <x:is>
          <x:t xml:space="preserve">ОТК</x:t>
        </x:is>
      </x:c>
      <x:c r="G261" s="31" t="inlineStr">
        <x:is>
          <x:t xml:space="preserve">ОБ-028</x:t>
        </x:is>
      </x:c>
      <x:c r="H261" s="31" t="n">
        <x:v>46121</x:v>
      </x:c>
      <x:c r="I261" s="31" t="n">
        <x:v>46129</x:v>
      </x:c>
      <x:c r="J261" s="31" t="n">
        <x:v>46121</x:v>
      </x:c>
      <x:c r="K261" s="31" t="n">
        <x:v>46129</x:v>
      </x:c>
      <x:c r="L261" s="31" t="inlineStr">
        <x:is>
          <x:t xml:space="preserve">Завершено</x:t>
        </x:is>
      </x:c>
      <x:c r="M261" s="31" t="inlineStr">
        <x:is>
          <x:t xml:space="preserve">СОТР-099</x:t>
        </x:is>
      </x:c>
      <x:c r="N261" s="31" t="n">
        <x:v>309.9</x:v>
      </x:c>
      <x:c r="O261" s="31" t="n">
        <x:v>342.2</x:v>
      </x:c>
      <x:c r="P261" s="31" t="n">
        <x:v>1</x:v>
      </x:c>
      <x:c r="Q261" s="31" t="n">
        <x:v>100</x:v>
      </x:c>
      <x:c r="R261" s="31" t="inlineStr">
        <x:is>
          <x:t xml:space="preserve">Нет</x:t>
        </x:is>
      </x:c>
      <x:c r="S261" s="31" t="inlineStr">
        <x:is>
          <x:t xml:space="preserve">Нет</x:t>
        </x:is>
      </x:c>
      <x:c r="T261" s="31" t="inlineStr">
        <x:is>
          <x:t xml:space="preserve">Создано из строки заказа ПОЗ-0128-2</x:t>
        </x:is>
      </x:c>
    </x:row>
    <x:row r="262" ht="18" customHeight="1">
      <x:c r="A262" s="31" t="inlineStr">
        <x:is>
          <x:t xml:space="preserve">ПЗ-00261</x:t>
        </x:is>
      </x:c>
      <x:c r="B262" s="31" t="inlineStr">
        <x:is>
          <x:t xml:space="preserve">ЗК-1128</x:t>
        </x:is>
      </x:c>
      <x:c r="C262" s="31" t="inlineStr">
        <x:is>
          <x:t xml:space="preserve">ПОЗ-0128-3</x:t>
        </x:is>
      </x:c>
      <x:c r="D262" s="31" t="inlineStr">
        <x:is>
          <x:t xml:space="preserve">ИЗД-019</x:t>
        </x:is>
      </x:c>
      <x:c r="E262" s="31" t="n">
        <x:v>2</x:v>
      </x:c>
      <x:c r="F262" s="31" t="inlineStr">
        <x:is>
          <x:t xml:space="preserve">ОТК</x:t>
        </x:is>
      </x:c>
      <x:c r="G262" s="31" t="inlineStr">
        <x:is>
          <x:t xml:space="preserve">ОБ-024</x:t>
        </x:is>
      </x:c>
      <x:c r="H262" s="31" t="n">
        <x:v>46110</x:v>
      </x:c>
      <x:c r="I262" s="31" t="n">
        <x:v>46121</x:v>
      </x:c>
      <x:c r="J262" s="31" t="n">
        <x:v>46110</x:v>
      </x:c>
      <x:c r="K262" s="31" t="n"/>
      <x:c r="L262" s="31" t="inlineStr">
        <x:is>
          <x:t xml:space="preserve">В работе</x:t>
        </x:is>
      </x:c>
      <x:c r="M262" s="31" t="inlineStr">
        <x:is>
          <x:t xml:space="preserve">СОТР-095</x:t>
        </x:is>
      </x:c>
      <x:c r="N262" s="31" t="n">
        <x:v>84.2</x:v>
      </x:c>
      <x:c r="O262" s="31" t="n">
        <x:v>102</x:v>
      </x:c>
      <x:c r="P262" s="31" t="n">
        <x:v>1</x:v>
      </x:c>
      <x:c r="Q262" s="31" t="n">
        <x:v>63</x:v>
      </x:c>
      <x:c r="R262" s="31" t="inlineStr">
        <x:is>
          <x:t xml:space="preserve">Да</x:t>
        </x:is>
      </x:c>
      <x:c r="S262" s="31" t="inlineStr">
        <x:is>
          <x:t xml:space="preserve">Материал</x:t>
        </x:is>
      </x:c>
      <x:c r="T262" s="31" t="inlineStr">
        <x:is>
          <x:t xml:space="preserve">Создано из строки заказа ПОЗ-0128-3</x:t>
        </x:is>
      </x:c>
    </x:row>
    <x:row r="263" ht="18" customHeight="1">
      <x:c r="A263" s="31" t="inlineStr">
        <x:is>
          <x:t xml:space="preserve">ПЗ-00262</x:t>
        </x:is>
      </x:c>
      <x:c r="B263" s="31" t="inlineStr">
        <x:is>
          <x:t xml:space="preserve">ЗК-1128</x:t>
        </x:is>
      </x:c>
      <x:c r="C263" s="31" t="inlineStr">
        <x:is>
          <x:t xml:space="preserve">ПОЗ-0128-4</x:t>
        </x:is>
      </x:c>
      <x:c r="D263" s="31" t="inlineStr">
        <x:is>
          <x:t xml:space="preserve">ИЗД-024</x:t>
        </x:is>
      </x:c>
      <x:c r="E263" s="31" t="n">
        <x:v>2</x:v>
      </x:c>
      <x:c r="F263" s="31" t="inlineStr">
        <x:is>
          <x:t xml:space="preserve">ОТК</x:t>
        </x:is>
      </x:c>
      <x:c r="G263" s="31" t="inlineStr">
        <x:is>
          <x:t xml:space="preserve">ОБ-013</x:t>
        </x:is>
      </x:c>
      <x:c r="H263" s="31" t="n">
        <x:v>46115</x:v>
      </x:c>
      <x:c r="I263" s="31" t="n">
        <x:v>46116</x:v>
      </x:c>
      <x:c r="J263" s="31" t="n">
        <x:v>46115</x:v>
      </x:c>
      <x:c r="K263" s="31" t="n">
        <x:v>46116</x:v>
      </x:c>
      <x:c r="L263" s="31" t="inlineStr">
        <x:is>
          <x:t xml:space="preserve">Завершено</x:t>
        </x:is>
      </x:c>
      <x:c r="M263" s="31" t="inlineStr">
        <x:is>
          <x:t xml:space="preserve">СОТР-063</x:t>
        </x:is>
      </x:c>
      <x:c r="N263" s="31" t="n">
        <x:v>100</x:v>
      </x:c>
      <x:c r="O263" s="31" t="n">
        <x:v>91.2</x:v>
      </x:c>
      <x:c r="P263" s="31" t="n">
        <x:v>1</x:v>
      </x:c>
      <x:c r="Q263" s="31" t="n">
        <x:v>100</x:v>
      </x:c>
      <x:c r="R263" s="31" t="inlineStr">
        <x:is>
          <x:t xml:space="preserve">Нет</x:t>
        </x:is>
      </x:c>
      <x:c r="S263" s="31" t="inlineStr">
        <x:is>
          <x:t xml:space="preserve">Нет</x:t>
        </x:is>
      </x:c>
      <x:c r="T263" s="31" t="inlineStr">
        <x:is>
          <x:t xml:space="preserve">Создано из строки заказа ПОЗ-0128-4</x:t>
        </x:is>
      </x:c>
    </x:row>
    <x:row r="264" ht="18" customHeight="1">
      <x:c r="A264" s="31" t="inlineStr">
        <x:is>
          <x:t xml:space="preserve">ПЗ-00263</x:t>
        </x:is>
      </x:c>
      <x:c r="B264" s="31" t="inlineStr">
        <x:is>
          <x:t xml:space="preserve">ЗК-1129</x:t>
        </x:is>
      </x:c>
      <x:c r="C264" s="31" t="inlineStr">
        <x:is>
          <x:t xml:space="preserve">ПОЗ-0129-1</x:t>
        </x:is>
      </x:c>
      <x:c r="D264" s="31" t="inlineStr">
        <x:is>
          <x:t xml:space="preserve">ИЗД-034</x:t>
        </x:is>
      </x:c>
      <x:c r="E264" s="31" t="n">
        <x:v>1</x:v>
      </x:c>
      <x:c r="F264" s="31" t="inlineStr">
        <x:is>
          <x:t xml:space="preserve">ОТК</x:t>
        </x:is>
      </x:c>
      <x:c r="G264" s="31" t="inlineStr">
        <x:is>
          <x:t xml:space="preserve">ОБ-013</x:t>
        </x:is>
      </x:c>
      <x:c r="H264" s="31" t="n">
        <x:v>46128</x:v>
      </x:c>
      <x:c r="I264" s="31" t="n">
        <x:v>46150</x:v>
      </x:c>
      <x:c r="J264" s="31" t="n">
        <x:v>46128</x:v>
      </x:c>
      <x:c r="K264" s="31" t="n">
        <x:v>46150</x:v>
      </x:c>
      <x:c r="L264" s="31" t="inlineStr">
        <x:is>
          <x:t xml:space="preserve">Завершено</x:t>
        </x:is>
      </x:c>
      <x:c r="M264" s="31" t="inlineStr">
        <x:is>
          <x:t xml:space="preserve">СОТР-095</x:t>
        </x:is>
      </x:c>
      <x:c r="N264" s="31" t="n">
        <x:v>49.2</x:v>
      </x:c>
      <x:c r="O264" s="31" t="n">
        <x:v>43.7</x:v>
      </x:c>
      <x:c r="P264" s="31" t="n">
        <x:v>0</x:v>
      </x:c>
      <x:c r="Q264" s="31" t="n">
        <x:v>100</x:v>
      </x:c>
      <x:c r="R264" s="31" t="inlineStr">
        <x:is>
          <x:t xml:space="preserve">Нет</x:t>
        </x:is>
      </x:c>
      <x:c r="S264" s="31" t="inlineStr">
        <x:is>
          <x:t xml:space="preserve">Нет</x:t>
        </x:is>
      </x:c>
      <x:c r="T264" s="31" t="inlineStr">
        <x:is>
          <x:t xml:space="preserve">Создано из строки заказа ПОЗ-0129-1</x:t>
        </x:is>
      </x:c>
    </x:row>
    <x:row r="265" ht="18" customHeight="1">
      <x:c r="A265" s="31" t="inlineStr">
        <x:is>
          <x:t xml:space="preserve">ПЗ-00264</x:t>
        </x:is>
      </x:c>
      <x:c r="B265" s="31" t="inlineStr">
        <x:is>
          <x:t xml:space="preserve">ЗК-1130</x:t>
        </x:is>
      </x:c>
      <x:c r="C265" s="31" t="inlineStr">
        <x:is>
          <x:t xml:space="preserve">ПОЗ-0130-1</x:t>
        </x:is>
      </x:c>
      <x:c r="D265" s="31" t="inlineStr">
        <x:is>
          <x:t xml:space="preserve">ИЗД-001</x:t>
        </x:is>
      </x:c>
      <x:c r="E265" s="31" t="n">
        <x:v>5</x:v>
      </x:c>
      <x:c r="F265" s="31" t="inlineStr">
        <x:is>
          <x:t xml:space="preserve">ОТК</x:t>
        </x:is>
      </x:c>
      <x:c r="G265" s="31" t="inlineStr">
        <x:is>
          <x:t xml:space="preserve">ОБ-006</x:t>
        </x:is>
      </x:c>
      <x:c r="H265" s="31" t="n">
        <x:v>46168</x:v>
      </x:c>
      <x:c r="I265" s="31" t="n">
        <x:v>46216</x:v>
      </x:c>
      <x:c r="J265" s="31" t="n">
        <x:v>46168</x:v>
      </x:c>
      <x:c r="K265" s="31" t="n">
        <x:v>46216</x:v>
      </x:c>
      <x:c r="L265" s="31" t="inlineStr">
        <x:is>
          <x:t xml:space="preserve">Завершено</x:t>
        </x:is>
      </x:c>
      <x:c r="M265" s="31" t="inlineStr">
        <x:is>
          <x:t xml:space="preserve">СОТР-099</x:t>
        </x:is>
      </x:c>
      <x:c r="N265" s="31" t="n">
        <x:v>71</x:v>
      </x:c>
      <x:c r="O265" s="31" t="n">
        <x:v>78.59999999999999</x:v>
      </x:c>
      <x:c r="P265" s="31" t="n">
        <x:v>2</x:v>
      </x:c>
      <x:c r="Q265" s="31" t="n">
        <x:v>100</x:v>
      </x:c>
      <x:c r="R265" s="31" t="inlineStr">
        <x:is>
          <x:t xml:space="preserve">Нет</x:t>
        </x:is>
      </x:c>
      <x:c r="S265" s="31" t="inlineStr">
        <x:is>
          <x:t xml:space="preserve">Оборудование</x:t>
        </x:is>
      </x:c>
      <x:c r="T265" s="31" t="inlineStr">
        <x:is>
          <x:t xml:space="preserve">Создано из строки заказа ПОЗ-0130-1</x:t>
        </x:is>
      </x:c>
    </x:row>
    <x:row r="266" ht="18" customHeight="1">
      <x:c r="A266" s="31" t="inlineStr">
        <x:is>
          <x:t xml:space="preserve">ПЗ-00265</x:t>
        </x:is>
      </x:c>
      <x:c r="B266" s="31" t="inlineStr">
        <x:is>
          <x:t xml:space="preserve">ЗК-1130</x:t>
        </x:is>
      </x:c>
      <x:c r="C266" s="31" t="inlineStr">
        <x:is>
          <x:t xml:space="preserve">ПОЗ-0130-2</x:t>
        </x:is>
      </x:c>
      <x:c r="D266" s="31" t="inlineStr">
        <x:is>
          <x:t xml:space="preserve">ИЗД-033</x:t>
        </x:is>
      </x:c>
      <x:c r="E266" s="31" t="n">
        <x:v>5</x:v>
      </x:c>
      <x:c r="F266" s="31" t="inlineStr">
        <x:is>
          <x:t xml:space="preserve">ОТК</x:t>
        </x:is>
      </x:c>
      <x:c r="G266" s="31" t="inlineStr">
        <x:is>
          <x:t xml:space="preserve">ОБ-001</x:t>
        </x:is>
      </x:c>
      <x:c r="H266" s="31" t="n">
        <x:v>46176</x:v>
      </x:c>
      <x:c r="I266" s="31" t="n">
        <x:v>46215</x:v>
      </x:c>
      <x:c r="J266" s="31" t="n">
        <x:v>46176</x:v>
      </x:c>
      <x:c r="K266" s="31" t="n">
        <x:v>46215</x:v>
      </x:c>
      <x:c r="L266" s="31" t="inlineStr">
        <x:is>
          <x:t xml:space="preserve">Завершено</x:t>
        </x:is>
      </x:c>
      <x:c r="M266" s="31" t="inlineStr">
        <x:is>
          <x:t xml:space="preserve">СОТР-093</x:t>
        </x:is>
      </x:c>
      <x:c r="N266" s="31" t="n">
        <x:v>467</x:v>
      </x:c>
      <x:c r="O266" s="31" t="n">
        <x:v>405.7</x:v>
      </x:c>
      <x:c r="P266" s="31" t="n">
        <x:v>0</x:v>
      </x:c>
      <x:c r="Q266" s="31" t="n">
        <x:v>100</x:v>
      </x:c>
      <x:c r="R266" s="31" t="inlineStr">
        <x:is>
          <x:t xml:space="preserve">Нет</x:t>
        </x:is>
      </x:c>
      <x:c r="S266" s="31" t="inlineStr">
        <x:is>
          <x:t xml:space="preserve">КД</x:t>
        </x:is>
      </x:c>
      <x:c r="T266" s="31" t="inlineStr">
        <x:is>
          <x:t xml:space="preserve">Создано из строки заказа ПОЗ-0130-2</x:t>
        </x:is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31" customWidth="1"/>
    <x:col min="3" max="3" width="12" customWidth="1"/>
    <x:col min="4" max="4" width="13" customWidth="1"/>
    <x:col min="5" max="5" width="13" customWidth="1"/>
    <x:col min="6" max="6" width="12" customWidth="1"/>
    <x:col min="7" max="7" width="22" customWidth="1"/>
    <x:col min="8" max="8" width="18" customWidth="1"/>
    <x:col min="9" max="9" width="18" customWidth="1"/>
    <x:col min="10" max="10" width="10" customWidth="1"/>
    <x:col min="11" max="11" width="12" customWidth="1"/>
    <x:col min="12" max="12" width="12" customWidth="1"/>
    <x:col min="13" max="13" width="17" customWidth="1"/>
    <x:col min="14" max="14" width="20" customWidth="1"/>
    <x:col min="15" max="15" width="20" customWidth="1"/>
    <x:col min="16" max="16" width="23" customWidth="1"/>
    <x:col min="17" max="17" width="15" customWidth="1"/>
    <x:col min="18" max="18" width="18" customWidth="1"/>
    <x:col min="19" max="19" width="16" customWidth="1"/>
  </x:cols>
  <x:sheetData>
    <x:row r="1" ht="18" customHeight="1">
      <x:c r="A1" s="30" t="inlineStr">
        <x:is>
          <x:t xml:space="preserve">Код операции</x:t>
        </x:is>
      </x:c>
      <x:c r="B1" s="30" t="inlineStr">
        <x:is>
          <x:t xml:space="preserve">Код производственного задания</x:t>
        </x:is>
      </x:c>
      <x:c r="C1" s="30" t="inlineStr">
        <x:is>
          <x:t xml:space="preserve">Код заказа</x:t>
        </x:is>
      </x:c>
      <x:c r="D1" s="30" t="inlineStr">
        <x:is>
          <x:t xml:space="preserve">Код позиции</x:t>
        </x:is>
      </x:c>
      <x:c r="E1" s="30" t="inlineStr">
        <x:is>
          <x:t xml:space="preserve">Код изделия</x:t>
        </x:is>
      </x:c>
      <x:c r="F1" s="30" t="inlineStr">
        <x:is>
          <x:t xml:space="preserve">№ операции</x:t>
        </x:is>
      </x:c>
      <x:c r="G1" s="30" t="inlineStr">
        <x:is>
          <x:t xml:space="preserve">Операция</x:t>
        </x:is>
      </x:c>
      <x:c r="H1" s="30" t="inlineStr">
        <x:is>
          <x:t xml:space="preserve">Цех/участок</x:t>
        </x:is>
      </x:c>
      <x:c r="I1" s="30" t="inlineStr">
        <x:is>
          <x:t xml:space="preserve">Код оборудования</x:t>
        </x:is>
      </x:c>
      <x:c r="J1" s="30" t="inlineStr">
        <x:is>
          <x:t xml:space="preserve">Оператор</x:t>
        </x:is>
      </x:c>
      <x:c r="K1" s="30" t="inlineStr">
        <x:is>
          <x:t xml:space="preserve">План часов</x:t>
        </x:is>
      </x:c>
      <x:c r="L1" s="30" t="inlineStr">
        <x:is>
          <x:t xml:space="preserve">Факт часов</x:t>
        </x:is>
      </x:c>
      <x:c r="M1" s="30" t="inlineStr">
        <x:is>
          <x:t xml:space="preserve">Плановое начало</x:t>
        </x:is>
      </x:c>
      <x:c r="N1" s="30" t="inlineStr">
        <x:is>
          <x:t xml:space="preserve">Плановое окончание</x:t>
        </x:is>
      </x:c>
      <x:c r="O1" s="30" t="inlineStr">
        <x:is>
          <x:t xml:space="preserve">Фактическое начало</x:t>
        </x:is>
      </x:c>
      <x:c r="P1" s="30" t="inlineStr">
        <x:is>
          <x:t xml:space="preserve">Фактическое окончание</x:t>
        </x:is>
      </x:c>
      <x:c r="Q1" s="30" t="inlineStr">
        <x:is>
          <x:t xml:space="preserve">Статус</x:t>
        </x:is>
      </x:c>
      <x:c r="R1" s="30" t="inlineStr">
        <x:is>
          <x:t xml:space="preserve">Причина задержки</x:t>
        </x:is>
      </x:c>
      <x:c r="S1" s="30" t="inlineStr">
        <x:is>
          <x:t xml:space="preserve">Требуется фото</x:t>
        </x:is>
      </x:c>
    </x:row>
    <x:row r="2" ht="18" customHeight="1">
      <x:c r="A2" s="31" t="inlineStr">
        <x:is>
          <x:t xml:space="preserve">ОП-000001</x:t>
        </x:is>
      </x:c>
      <x:c r="B2" s="31" t="inlineStr">
        <x:is>
          <x:t xml:space="preserve">ПЗ-00001</x:t>
        </x:is>
      </x:c>
      <x:c r="C2" s="31" t="inlineStr">
        <x:is>
          <x:t xml:space="preserve">ЗК-1002</x:t>
        </x:is>
      </x:c>
      <x:c r="D2" s="31" t="inlineStr">
        <x:is>
          <x:t xml:space="preserve">ПОЗ-0002-1</x:t>
        </x:is>
      </x:c>
      <x:c r="E2" s="31" t="inlineStr">
        <x:is>
          <x:t xml:space="preserve">ИЗД-018</x:t>
        </x:is>
      </x:c>
      <x:c r="F2" s="31" t="n">
        <x:v>10</x:v>
      </x:c>
      <x:c r="G2" s="31" t="inlineStr">
        <x:is>
          <x:t xml:space="preserve">КД</x:t>
        </x:is>
      </x:c>
      <x:c r="H2" s="31" t="inlineStr">
        <x:is>
          <x:t xml:space="preserve">Инженерный отдел</x:t>
        </x:is>
      </x:c>
      <x:c r="I2" s="31" t="n"/>
      <x:c r="J2" s="31" t="inlineStr">
        <x:is>
          <x:t xml:space="preserve">СОТР-016</x:t>
        </x:is>
      </x:c>
      <x:c r="K2" s="31" t="n">
        <x:v>4.6</x:v>
      </x:c>
      <x:c r="L2" s="31" t="n">
        <x:v>6.1</x:v>
      </x:c>
      <x:c r="M2" s="31" t="n">
        <x:v>46167</x:v>
      </x:c>
      <x:c r="N2" s="31" t="n">
        <x:v>46168</x:v>
      </x:c>
      <x:c r="O2" s="31" t="n">
        <x:v>46167</x:v>
      </x:c>
      <x:c r="P2" s="31" t="n">
        <x:v>46170</x:v>
      </x:c>
      <x:c r="Q2" s="31" t="inlineStr">
        <x:is>
          <x:t xml:space="preserve">Завершено</x:t>
        </x:is>
      </x:c>
      <x:c r="R2" s="31" t="inlineStr">
        <x:is>
          <x:t xml:space="preserve">Нет</x:t>
        </x:is>
      </x:c>
      <x:c r="S2" s="31" t="inlineStr">
        <x:is>
          <x:t xml:space="preserve">Нет</x:t>
        </x:is>
      </x:c>
    </x:row>
    <x:row r="3" ht="18" customHeight="1">
      <x:c r="A3" s="31" t="inlineStr">
        <x:is>
          <x:t xml:space="preserve">ОП-000002</x:t>
        </x:is>
      </x:c>
      <x:c r="B3" s="31" t="inlineStr">
        <x:is>
          <x:t xml:space="preserve">ПЗ-00001</x:t>
        </x:is>
      </x:c>
      <x:c r="C3" s="31" t="inlineStr">
        <x:is>
          <x:t xml:space="preserve">ЗК-1002</x:t>
        </x:is>
      </x:c>
      <x:c r="D3" s="31" t="inlineStr">
        <x:is>
          <x:t xml:space="preserve">ПОЗ-0002-1</x:t>
        </x:is>
      </x:c>
      <x:c r="E3" s="31" t="inlineStr">
        <x:is>
          <x:t xml:space="preserve">ИЗД-018</x:t>
        </x:is>
      </x:c>
      <x:c r="F3" s="31" t="n">
        <x:v>20</x:v>
      </x:c>
      <x:c r="G3" s="31" t="inlineStr">
        <x:is>
          <x:t xml:space="preserve">Комплектация</x:t>
        </x:is>
      </x:c>
      <x:c r="H3" s="31" t="inlineStr">
        <x:is>
          <x:t xml:space="preserve">Склад</x:t>
        </x:is>
      </x:c>
      <x:c r="I3" s="31" t="inlineStr">
        <x:is>
          <x:t xml:space="preserve">ОБ-009</x:t>
        </x:is>
      </x:c>
      <x:c r="J3" s="31" t="inlineStr">
        <x:is>
          <x:t xml:space="preserve">СОТР-037</x:t>
        </x:is>
      </x:c>
      <x:c r="K3" s="31" t="n">
        <x:v>11.2</x:v>
      </x:c>
      <x:c r="L3" s="31" t="n">
        <x:v>12.2</x:v>
      </x:c>
      <x:c r="M3" s="31" t="n">
        <x:v>46168</x:v>
      </x:c>
      <x:c r="N3" s="31" t="n">
        <x:v>46169</x:v>
      </x:c>
      <x:c r="O3" s="31" t="n">
        <x:v>46168</x:v>
      </x:c>
      <x:c r="P3" s="31" t="n">
        <x:v>46170</x:v>
      </x:c>
      <x:c r="Q3" s="31" t="inlineStr">
        <x:is>
          <x:t xml:space="preserve">Завершено</x:t>
        </x:is>
      </x:c>
      <x:c r="R3" s="31" t="inlineStr">
        <x:is>
          <x:t xml:space="preserve">Нет</x:t>
        </x:is>
      </x:c>
      <x:c r="S3" s="31" t="inlineStr">
        <x:is>
          <x:t xml:space="preserve">Нет</x:t>
        </x:is>
      </x:c>
    </x:row>
    <x:row r="4" ht="18" customHeight="1">
      <x:c r="A4" s="31" t="inlineStr">
        <x:is>
          <x:t xml:space="preserve">ОП-000003</x:t>
        </x:is>
      </x:c>
      <x:c r="B4" s="31" t="inlineStr">
        <x:is>
          <x:t xml:space="preserve">ПЗ-00001</x:t>
        </x:is>
      </x:c>
      <x:c r="C4" s="31" t="inlineStr">
        <x:is>
          <x:t xml:space="preserve">ЗК-1002</x:t>
        </x:is>
      </x:c>
      <x:c r="D4" s="31" t="inlineStr">
        <x:is>
          <x:t xml:space="preserve">ПОЗ-0002-1</x:t>
        </x:is>
      </x:c>
      <x:c r="E4" s="31" t="inlineStr">
        <x:is>
          <x:t xml:space="preserve">ИЗД-018</x:t>
        </x:is>
      </x:c>
      <x:c r="F4" s="31" t="n">
        <x:v>30</x:v>
      </x:c>
      <x:c r="G4" s="31" t="inlineStr">
        <x:is>
          <x:t xml:space="preserve">Сборка шкафа</x:t>
        </x:is>
      </x:c>
      <x:c r="H4" s="31" t="inlineStr">
        <x:is>
          <x:t xml:space="preserve">Сборка</x:t>
        </x:is>
      </x:c>
      <x:c r="I4" s="31" t="inlineStr">
        <x:is>
          <x:t xml:space="preserve">ОБ-034</x:t>
        </x:is>
      </x:c>
      <x:c r="J4" s="31" t="inlineStr">
        <x:is>
          <x:t xml:space="preserve">СОТР-091</x:t>
        </x:is>
      </x:c>
      <x:c r="K4" s="31" t="n">
        <x:v>4.4</x:v>
      </x:c>
      <x:c r="L4" s="31" t="n">
        <x:v>5.5</x:v>
      </x:c>
      <x:c r="M4" s="31" t="n">
        <x:v>46169</x:v>
      </x:c>
      <x:c r="N4" s="31" t="n">
        <x:v>46170</x:v>
      </x:c>
      <x:c r="O4" s="31" t="n">
        <x:v>46169</x:v>
      </x:c>
      <x:c r="P4" s="31" t="n">
        <x:v>46171</x:v>
      </x:c>
      <x:c r="Q4" s="31" t="inlineStr">
        <x:is>
          <x:t xml:space="preserve">Завершено</x:t>
        </x:is>
      </x:c>
      <x:c r="R4" s="31" t="inlineStr">
        <x:is>
          <x:t xml:space="preserve">Нет</x:t>
        </x:is>
      </x:c>
      <x:c r="S4" s="31" t="inlineStr">
        <x:is>
          <x:t xml:space="preserve">Нет</x:t>
        </x:is>
      </x:c>
    </x:row>
    <x:row r="5" ht="18" customHeight="1">
      <x:c r="A5" s="31" t="inlineStr">
        <x:is>
          <x:t xml:space="preserve">ОП-000004</x:t>
        </x:is>
      </x:c>
      <x:c r="B5" s="31" t="inlineStr">
        <x:is>
          <x:t xml:space="preserve">ПЗ-00001</x:t>
        </x:is>
      </x:c>
      <x:c r="C5" s="31" t="inlineStr">
        <x:is>
          <x:t xml:space="preserve">ЗК-1002</x:t>
        </x:is>
      </x:c>
      <x:c r="D5" s="31" t="inlineStr">
        <x:is>
          <x:t xml:space="preserve">ПОЗ-0002-1</x:t>
        </x:is>
      </x:c>
      <x:c r="E5" s="31" t="inlineStr">
        <x:is>
          <x:t xml:space="preserve">ИЗД-018</x:t>
        </x:is>
      </x:c>
      <x:c r="F5" s="31" t="n">
        <x:v>40</x:v>
      </x:c>
      <x:c r="G5" s="31" t="inlineStr">
        <x:is>
          <x:t xml:space="preserve">Маркировка</x:t>
        </x:is>
      </x:c>
      <x:c r="H5" s="31" t="inlineStr">
        <x:is>
          <x:t xml:space="preserve">Сборка</x:t>
        </x:is>
      </x:c>
      <x:c r="I5" s="31" t="inlineStr">
        <x:is>
          <x:t xml:space="preserve">ОБ-016</x:t>
        </x:is>
      </x:c>
      <x:c r="J5" s="31" t="inlineStr">
        <x:is>
          <x:t xml:space="preserve">СОТР-032</x:t>
        </x:is>
      </x:c>
      <x:c r="K5" s="31" t="n">
        <x:v>17.2</x:v>
      </x:c>
      <x:c r="L5" s="31" t="n">
        <x:v>18.3</x:v>
      </x:c>
      <x:c r="M5" s="31" t="n">
        <x:v>46170</x:v>
      </x:c>
      <x:c r="N5" s="31" t="n">
        <x:v>46172</x:v>
      </x:c>
      <x:c r="O5" s="31" t="n">
        <x:v>46170</x:v>
      </x:c>
      <x:c r="P5" s="31" t="n">
        <x:v>46174</x:v>
      </x:c>
      <x:c r="Q5" s="31" t="inlineStr">
        <x:is>
          <x:t xml:space="preserve">Завершено</x:t>
        </x:is>
      </x:c>
      <x:c r="R5" s="31" t="inlineStr">
        <x:is>
          <x:t xml:space="preserve">Нет</x:t>
        </x:is>
      </x:c>
      <x:c r="S5" s="31" t="inlineStr">
        <x:is>
          <x:t xml:space="preserve">Нет</x:t>
        </x:is>
      </x:c>
    </x:row>
    <x:row r="6" ht="18" customHeight="1">
      <x:c r="A6" s="31" t="inlineStr">
        <x:is>
          <x:t xml:space="preserve">ОП-000005</x:t>
        </x:is>
      </x:c>
      <x:c r="B6" s="31" t="inlineStr">
        <x:is>
          <x:t xml:space="preserve">ПЗ-00001</x:t>
        </x:is>
      </x:c>
      <x:c r="C6" s="31" t="inlineStr">
        <x:is>
          <x:t xml:space="preserve">ЗК-1002</x:t>
        </x:is>
      </x:c>
      <x:c r="D6" s="31" t="inlineStr">
        <x:is>
          <x:t xml:space="preserve">ПОЗ-0002-1</x:t>
        </x:is>
      </x:c>
      <x:c r="E6" s="31" t="inlineStr">
        <x:is>
          <x:t xml:space="preserve">ИЗД-018</x:t>
        </x:is>
      </x:c>
      <x:c r="F6" s="31" t="n">
        <x:v>50</x:v>
      </x:c>
      <x:c r="G6" s="31" t="inlineStr">
        <x:is>
          <x:t xml:space="preserve">Электромонтаж</x:t>
        </x:is>
      </x:c>
      <x:c r="H6" s="31" t="inlineStr">
        <x:is>
          <x:t xml:space="preserve">Сборка</x:t>
        </x:is>
      </x:c>
      <x:c r="I6" s="31" t="inlineStr">
        <x:is>
          <x:t xml:space="preserve">ОБ-017</x:t>
        </x:is>
      </x:c>
      <x:c r="J6" s="31" t="inlineStr">
        <x:is>
          <x:t xml:space="preserve">СОТР-090</x:t>
        </x:is>
      </x:c>
      <x:c r="K6" s="31" t="n">
        <x:v>7.8</x:v>
      </x:c>
      <x:c r="L6" s="31" t="n">
        <x:v>6.5</x:v>
      </x:c>
      <x:c r="M6" s="31" t="n">
        <x:v>46172</x:v>
      </x:c>
      <x:c r="N6" s="31" t="n">
        <x:v>46173</x:v>
      </x:c>
      <x:c r="O6" s="31" t="n">
        <x:v>46172</x:v>
      </x:c>
      <x:c r="P6" s="31" t="n">
        <x:v>46175</x:v>
      </x:c>
      <x:c r="Q6" s="31" t="inlineStr">
        <x:is>
          <x:t xml:space="preserve">Завершено</x:t>
        </x:is>
      </x:c>
      <x:c r="R6" s="31" t="inlineStr">
        <x:is>
          <x:t xml:space="preserve">Нет</x:t>
        </x:is>
      </x:c>
      <x:c r="S6" s="31" t="inlineStr">
        <x:is>
          <x:t xml:space="preserve">Нет</x:t>
        </x:is>
      </x:c>
    </x:row>
    <x:row r="7" ht="18" customHeight="1">
      <x:c r="A7" s="31" t="inlineStr">
        <x:is>
          <x:t xml:space="preserve">ОП-000006</x:t>
        </x:is>
      </x:c>
      <x:c r="B7" s="31" t="inlineStr">
        <x:is>
          <x:t xml:space="preserve">ПЗ-00001</x:t>
        </x:is>
      </x:c>
      <x:c r="C7" s="31" t="inlineStr">
        <x:is>
          <x:t xml:space="preserve">ЗК-1002</x:t>
        </x:is>
      </x:c>
      <x:c r="D7" s="31" t="inlineStr">
        <x:is>
          <x:t xml:space="preserve">ПОЗ-0002-1</x:t>
        </x:is>
      </x:c>
      <x:c r="E7" s="31" t="inlineStr">
        <x:is>
          <x:t xml:space="preserve">ИЗД-018</x:t>
        </x:is>
      </x:c>
      <x:c r="F7" s="31" t="n">
        <x:v>60</x:v>
      </x:c>
      <x:c r="G7" s="31" t="inlineStr">
        <x:is>
          <x:t xml:space="preserve">Программирование ПЛК</x:t>
        </x:is>
      </x:c>
      <x:c r="H7" s="31" t="inlineStr">
        <x:is>
          <x:t xml:space="preserve">Инженерный отдел</x:t>
        </x:is>
      </x:c>
      <x:c r="I7" s="31" t="n"/>
      <x:c r="J7" s="31" t="inlineStr">
        <x:is>
          <x:t xml:space="preserve">СОТР-015</x:t>
        </x:is>
      </x:c>
      <x:c r="K7" s="31" t="n">
        <x:v>13</x:v>
      </x:c>
      <x:c r="L7" s="31" t="n">
        <x:v>14.4</x:v>
      </x:c>
      <x:c r="M7" s="31" t="n">
        <x:v>46173</x:v>
      </x:c>
      <x:c r="N7" s="31" t="n">
        <x:v>46175</x:v>
      </x:c>
      <x:c r="O7" s="31" t="n">
        <x:v>46173</x:v>
      </x:c>
      <x:c r="P7" s="31" t="n">
        <x:v>46175</x:v>
      </x:c>
      <x:c r="Q7" s="31" t="inlineStr">
        <x:is>
          <x:t xml:space="preserve">Завершено</x:t>
        </x:is>
      </x:c>
      <x:c r="R7" s="31" t="inlineStr">
        <x:is>
          <x:t xml:space="preserve">Материал</x:t>
        </x:is>
      </x:c>
      <x:c r="S7" s="31" t="inlineStr">
        <x:is>
          <x:t xml:space="preserve">Нет</x:t>
        </x:is>
      </x:c>
    </x:row>
    <x:row r="8" ht="18" customHeight="1">
      <x:c r="A8" s="31" t="inlineStr">
        <x:is>
          <x:t xml:space="preserve">ОП-000007</x:t>
        </x:is>
      </x:c>
      <x:c r="B8" s="31" t="inlineStr">
        <x:is>
          <x:t xml:space="preserve">ПЗ-00001</x:t>
        </x:is>
      </x:c>
      <x:c r="C8" s="31" t="inlineStr">
        <x:is>
          <x:t xml:space="preserve">ЗК-1002</x:t>
        </x:is>
      </x:c>
      <x:c r="D8" s="31" t="inlineStr">
        <x:is>
          <x:t xml:space="preserve">ПОЗ-0002-1</x:t>
        </x:is>
      </x:c>
      <x:c r="E8" s="31" t="inlineStr">
        <x:is>
          <x:t xml:space="preserve">ИЗД-018</x:t>
        </x:is>
      </x:c>
      <x:c r="F8" s="31" t="n">
        <x:v>70</x:v>
      </x:c>
      <x:c r="G8" s="31" t="inlineStr">
        <x:is>
          <x:t xml:space="preserve">Приемочные испытания</x:t>
        </x:is>
      </x:c>
      <x:c r="H8" s="31" t="inlineStr">
        <x:is>
          <x:t xml:space="preserve">ОТК</x:t>
        </x:is>
      </x:c>
      <x:c r="I8" s="31" t="inlineStr">
        <x:is>
          <x:t xml:space="preserve">ОБ-033</x:t>
        </x:is>
      </x:c>
      <x:c r="J8" s="31" t="inlineStr">
        <x:is>
          <x:t xml:space="preserve">СОТР-095</x:t>
        </x:is>
      </x:c>
      <x:c r="K8" s="31" t="n">
        <x:v>19.8</x:v>
      </x:c>
      <x:c r="L8" s="31" t="n">
        <x:v>25.7</x:v>
      </x:c>
      <x:c r="M8" s="31" t="n">
        <x:v>46175</x:v>
      </x:c>
      <x:c r="N8" s="31" t="n">
        <x:v>46177</x:v>
      </x:c>
      <x:c r="O8" s="31" t="n">
        <x:v>46175</x:v>
      </x:c>
      <x:c r="P8" s="31" t="n">
        <x:v>46179</x:v>
      </x:c>
      <x:c r="Q8" s="31" t="inlineStr">
        <x:is>
          <x:t xml:space="preserve">Завершено</x:t>
        </x:is>
      </x:c>
      <x:c r="R8" s="31" t="inlineStr">
        <x:is>
          <x:t xml:space="preserve">Оборудование</x:t>
        </x:is>
      </x:c>
      <x:c r="S8" s="31" t="inlineStr">
        <x:is>
          <x:t xml:space="preserve">Нет</x:t>
        </x:is>
      </x:c>
    </x:row>
    <x:row r="9" ht="18" customHeight="1">
      <x:c r="A9" s="31" t="inlineStr">
        <x:is>
          <x:t xml:space="preserve">ОП-000008</x:t>
        </x:is>
      </x:c>
      <x:c r="B9" s="31" t="inlineStr">
        <x:is>
          <x:t xml:space="preserve">ПЗ-00001</x:t>
        </x:is>
      </x:c>
      <x:c r="C9" s="31" t="inlineStr">
        <x:is>
          <x:t xml:space="preserve">ЗК-1002</x:t>
        </x:is>
      </x:c>
      <x:c r="D9" s="31" t="inlineStr">
        <x:is>
          <x:t xml:space="preserve">ПОЗ-0002-1</x:t>
        </x:is>
      </x:c>
      <x:c r="E9" s="31" t="inlineStr">
        <x:is>
          <x:t xml:space="preserve">ИЗД-018</x:t>
        </x:is>
      </x:c>
      <x:c r="F9" s="31" t="n">
        <x:v>80</x:v>
      </x:c>
      <x:c r="G9" s="31" t="inlineStr">
        <x:is>
          <x:t xml:space="preserve">ОТК</x:t>
        </x:is>
      </x:c>
      <x:c r="H9" s="31" t="inlineStr">
        <x:is>
          <x:t xml:space="preserve">ОТК</x:t>
        </x:is>
      </x:c>
      <x:c r="I9" s="31" t="inlineStr">
        <x:is>
          <x:t xml:space="preserve">ОБ-006</x:t>
        </x:is>
      </x:c>
      <x:c r="J9" s="31" t="inlineStr">
        <x:is>
          <x:t xml:space="preserve">СОТР-098</x:t>
        </x:is>
      </x:c>
      <x:c r="K9" s="31" t="n">
        <x:v>6.2</x:v>
      </x:c>
      <x:c r="L9" s="31" t="n"/>
      <x:c r="M9" s="31" t="n">
        <x:v>46177</x:v>
      </x:c>
      <x:c r="N9" s="31" t="n">
        <x:v>46178</x:v>
      </x:c>
      <x:c r="O9" s="31" t="n"/>
      <x:c r="P9" s="31" t="n"/>
      <x:c r="Q9" s="31" t="inlineStr">
        <x:is>
          <x:t xml:space="preserve">Запланировано</x:t>
        </x:is>
      </x:c>
      <x:c r="R9" s="31" t="inlineStr">
        <x:is>
          <x:t xml:space="preserve">Нет</x:t>
        </x:is>
      </x:c>
      <x:c r="S9" s="31" t="inlineStr">
        <x:is>
          <x:t xml:space="preserve">Нет</x:t>
        </x:is>
      </x:c>
    </x:row>
    <x:row r="10" ht="18" customHeight="1">
      <x:c r="A10" s="31" t="inlineStr">
        <x:is>
          <x:t xml:space="preserve">ОП-000009</x:t>
        </x:is>
      </x:c>
      <x:c r="B10" s="31" t="inlineStr">
        <x:is>
          <x:t xml:space="preserve">ПЗ-00001</x:t>
        </x:is>
      </x:c>
      <x:c r="C10" s="31" t="inlineStr">
        <x:is>
          <x:t xml:space="preserve">ЗК-1002</x:t>
        </x:is>
      </x:c>
      <x:c r="D10" s="31" t="inlineStr">
        <x:is>
          <x:t xml:space="preserve">ПОЗ-0002-1</x:t>
        </x:is>
      </x:c>
      <x:c r="E10" s="31" t="inlineStr">
        <x:is>
          <x:t xml:space="preserve">ИЗД-018</x:t>
        </x:is>
      </x:c>
      <x:c r="F10" s="31" t="n">
        <x:v>90</x:v>
      </x:c>
      <x:c r="G10" s="31" t="inlineStr">
        <x:is>
          <x:t xml:space="preserve">Упаковка</x:t>
        </x:is>
      </x:c>
      <x:c r="H10" s="31" t="inlineStr">
        <x:is>
          <x:t xml:space="preserve">Логистика</x:t>
        </x:is>
      </x:c>
      <x:c r="I10" s="31" t="n"/>
      <x:c r="J10" s="31" t="inlineStr">
        <x:is>
          <x:t xml:space="preserve">СОТР-070</x:t>
        </x:is>
      </x:c>
      <x:c r="K10" s="31" t="n">
        <x:v>4.6</x:v>
      </x:c>
      <x:c r="L10" s="31" t="n"/>
      <x:c r="M10" s="31" t="n">
        <x:v>46178</x:v>
      </x:c>
      <x:c r="N10" s="31" t="n">
        <x:v>46179</x:v>
      </x:c>
      <x:c r="O10" s="31" t="n"/>
      <x:c r="P10" s="31" t="n"/>
      <x:c r="Q10" s="31" t="inlineStr">
        <x:is>
          <x:t xml:space="preserve">Запланировано</x:t>
        </x:is>
      </x:c>
      <x:c r="R10" s="31" t="inlineStr">
        <x:is>
          <x:t xml:space="preserve">Нет</x:t>
        </x:is>
      </x:c>
      <x:c r="S10" s="31" t="inlineStr">
        <x:is>
          <x:t xml:space="preserve">Нет</x:t>
        </x:is>
      </x:c>
    </x:row>
    <x:row r="11" ht="18" customHeight="1">
      <x:c r="A11" s="31" t="inlineStr">
        <x:is>
          <x:t xml:space="preserve">ОП-000010</x:t>
        </x:is>
      </x:c>
      <x:c r="B11" s="31" t="inlineStr">
        <x:is>
          <x:t xml:space="preserve">ПЗ-00002</x:t>
        </x:is>
      </x:c>
      <x:c r="C11" s="31" t="inlineStr">
        <x:is>
          <x:t xml:space="preserve">ЗК-1002</x:t>
        </x:is>
      </x:c>
      <x:c r="D11" s="31" t="inlineStr">
        <x:is>
          <x:t xml:space="preserve">ПОЗ-0002-2</x:t>
        </x:is>
      </x:c>
      <x:c r="E11" s="31" t="inlineStr">
        <x:is>
          <x:t xml:space="preserve">ИЗД-004</x:t>
        </x:is>
      </x:c>
      <x:c r="F11" s="31" t="n">
        <x:v>10</x:v>
      </x:c>
      <x:c r="G11" s="31" t="inlineStr">
        <x:is>
          <x:t xml:space="preserve">КД</x:t>
        </x:is>
      </x:c>
      <x:c r="H11" s="31" t="inlineStr">
        <x:is>
          <x:t xml:space="preserve">Инженерный отдел</x:t>
        </x:is>
      </x:c>
      <x:c r="I11" s="31" t="n"/>
      <x:c r="J11" s="31" t="inlineStr">
        <x:is>
          <x:t xml:space="preserve">СОТР-014</x:t>
        </x:is>
      </x:c>
      <x:c r="K11" s="31" t="n">
        <x:v>19.2</x:v>
      </x:c>
      <x:c r="L11" s="31" t="n">
        <x:v>25.2</x:v>
      </x:c>
      <x:c r="M11" s="31" t="n">
        <x:v>46164</x:v>
      </x:c>
      <x:c r="N11" s="31" t="n">
        <x:v>46166</x:v>
      </x:c>
      <x:c r="O11" s="31" t="n">
        <x:v>46164</x:v>
      </x:c>
      <x:c r="P11" s="31" t="n">
        <x:v>46168</x:v>
      </x:c>
      <x:c r="Q11" s="31" t="inlineStr">
        <x:is>
          <x:t xml:space="preserve">Завершено</x:t>
        </x:is>
      </x:c>
      <x:c r="R11" s="31" t="inlineStr">
        <x:is>
          <x:t xml:space="preserve">Нет</x:t>
        </x:is>
      </x:c>
      <x:c r="S11" s="31" t="inlineStr">
        <x:is>
          <x:t xml:space="preserve">Нет</x:t>
        </x:is>
      </x:c>
    </x:row>
    <x:row r="12" ht="18" customHeight="1">
      <x:c r="A12" s="31" t="inlineStr">
        <x:is>
          <x:t xml:space="preserve">ОП-000011</x:t>
        </x:is>
      </x:c>
      <x:c r="B12" s="31" t="inlineStr">
        <x:is>
          <x:t xml:space="preserve">ПЗ-00002</x:t>
        </x:is>
      </x:c>
      <x:c r="C12" s="31" t="inlineStr">
        <x:is>
          <x:t xml:space="preserve">ЗК-1002</x:t>
        </x:is>
      </x:c>
      <x:c r="D12" s="31" t="inlineStr">
        <x:is>
          <x:t xml:space="preserve">ПОЗ-0002-2</x:t>
        </x:is>
      </x:c>
      <x:c r="E12" s="31" t="inlineStr">
        <x:is>
          <x:t xml:space="preserve">ИЗД-004</x:t>
        </x:is>
      </x:c>
      <x:c r="F12" s="31" t="n">
        <x:v>20</x:v>
      </x:c>
      <x:c r="G12" s="31" t="inlineStr">
        <x:is>
          <x:t xml:space="preserve">Резерв материалов</x:t>
        </x:is>
      </x:c>
      <x:c r="H12" s="31" t="inlineStr">
        <x:is>
          <x:t xml:space="preserve">Склад</x:t>
        </x:is>
      </x:c>
      <x:c r="I12" s="31" t="inlineStr">
        <x:is>
          <x:t xml:space="preserve">ОБ-011</x:t>
        </x:is>
      </x:c>
      <x:c r="J12" s="31" t="inlineStr">
        <x:is>
          <x:t xml:space="preserve">СОТР-038</x:t>
        </x:is>
      </x:c>
      <x:c r="K12" s="31" t="n">
        <x:v>7.1</x:v>
      </x:c>
      <x:c r="L12" s="31" t="n">
        <x:v>6.8</x:v>
      </x:c>
      <x:c r="M12" s="31" t="n">
        <x:v>46166</x:v>
      </x:c>
      <x:c r="N12" s="31" t="n">
        <x:v>46167</x:v>
      </x:c>
      <x:c r="O12" s="31" t="n">
        <x:v>46166</x:v>
      </x:c>
      <x:c r="P12" s="31" t="n">
        <x:v>46167</x:v>
      </x:c>
      <x:c r="Q12" s="31" t="inlineStr">
        <x:is>
          <x:t xml:space="preserve">Завершено</x:t>
        </x:is>
      </x:c>
      <x:c r="R12" s="31" t="inlineStr">
        <x:is>
          <x:t xml:space="preserve">Нет</x:t>
        </x:is>
      </x:c>
      <x:c r="S12" s="31" t="inlineStr">
        <x:is>
          <x:t xml:space="preserve">Нет</x:t>
        </x:is>
      </x:c>
    </x:row>
    <x:row r="13" ht="18" customHeight="1">
      <x:c r="A13" s="31" t="inlineStr">
        <x:is>
          <x:t xml:space="preserve">ОП-000012</x:t>
        </x:is>
      </x:c>
      <x:c r="B13" s="31" t="inlineStr">
        <x:is>
          <x:t xml:space="preserve">ПЗ-00002</x:t>
        </x:is>
      </x:c>
      <x:c r="C13" s="31" t="inlineStr">
        <x:is>
          <x:t xml:space="preserve">ЗК-1002</x:t>
        </x:is>
      </x:c>
      <x:c r="D13" s="31" t="inlineStr">
        <x:is>
          <x:t xml:space="preserve">ПОЗ-0002-2</x:t>
        </x:is>
      </x:c>
      <x:c r="E13" s="31" t="inlineStr">
        <x:is>
          <x:t xml:space="preserve">ИЗД-004</x:t>
        </x:is>
      </x:c>
      <x:c r="F13" s="31" t="n">
        <x:v>30</x:v>
      </x:c>
      <x:c r="G13" s="31" t="inlineStr">
        <x:is>
          <x:t xml:space="preserve">Сварка рамы</x:t>
        </x:is>
      </x:c>
      <x:c r="H13" s="31" t="inlineStr">
        <x:is>
          <x:t xml:space="preserve">Сварка</x:t>
        </x:is>
      </x:c>
      <x:c r="I13" s="31" t="inlineStr">
        <x:is>
          <x:t xml:space="preserve">ОБ-021</x:t>
        </x:is>
      </x:c>
      <x:c r="J13" s="31" t="inlineStr">
        <x:is>
          <x:t xml:space="preserve">СОТР-058</x:t>
        </x:is>
      </x:c>
      <x:c r="K13" s="31" t="n">
        <x:v>12.7</x:v>
      </x:c>
      <x:c r="L13" s="31" t="n">
        <x:v>14.3</x:v>
      </x:c>
      <x:c r="M13" s="31" t="n">
        <x:v>46167</x:v>
      </x:c>
      <x:c r="N13" s="31" t="n">
        <x:v>46169</x:v>
      </x:c>
      <x:c r="O13" s="31" t="n">
        <x:v>46167</x:v>
      </x:c>
      <x:c r="P13" s="31" t="n">
        <x:v>46170</x:v>
      </x:c>
      <x:c r="Q13" s="31" t="inlineStr">
        <x:is>
          <x:t xml:space="preserve">Завершено</x:t>
        </x:is>
      </x:c>
      <x:c r="R13" s="31" t="inlineStr">
        <x:is>
          <x:t xml:space="preserve">Материал</x:t>
        </x:is>
      </x:c>
      <x:c r="S13" s="31" t="inlineStr">
        <x:is>
          <x:t xml:space="preserve">Нет</x:t>
        </x:is>
      </x:c>
    </x:row>
    <x:row r="14" ht="18" customHeight="1">
      <x:c r="A14" s="31" t="inlineStr">
        <x:is>
          <x:t xml:space="preserve">ОП-000013</x:t>
        </x:is>
      </x:c>
      <x:c r="B14" s="31" t="inlineStr">
        <x:is>
          <x:t xml:space="preserve">ПЗ-00002</x:t>
        </x:is>
      </x:c>
      <x:c r="C14" s="31" t="inlineStr">
        <x:is>
          <x:t xml:space="preserve">ЗК-1002</x:t>
        </x:is>
      </x:c>
      <x:c r="D14" s="31" t="inlineStr">
        <x:is>
          <x:t xml:space="preserve">ПОЗ-0002-2</x:t>
        </x:is>
      </x:c>
      <x:c r="E14" s="31" t="inlineStr">
        <x:is>
          <x:t xml:space="preserve">ИЗД-004</x:t>
        </x:is>
      </x:c>
      <x:c r="F14" s="31" t="n">
        <x:v>40</x:v>
      </x:c>
      <x:c r="G14" s="31" t="inlineStr">
        <x:is>
          <x:t xml:space="preserve">Сборка</x:t>
        </x:is>
      </x:c>
      <x:c r="H14" s="31" t="inlineStr">
        <x:is>
          <x:t xml:space="preserve">Сборка</x:t>
        </x:is>
      </x:c>
      <x:c r="I14" s="31" t="inlineStr">
        <x:is>
          <x:t xml:space="preserve">ОБ-034</x:t>
        </x:is>
      </x:c>
      <x:c r="J14" s="31" t="inlineStr">
        <x:is>
          <x:t xml:space="preserve">СОТР-074</x:t>
        </x:is>
      </x:c>
      <x:c r="K14" s="31" t="n">
        <x:v>5.4</x:v>
      </x:c>
      <x:c r="L14" s="31" t="n">
        <x:v>4.8</x:v>
      </x:c>
      <x:c r="M14" s="31" t="n">
        <x:v>46169</x:v>
      </x:c>
      <x:c r="N14" s="31" t="n">
        <x:v>46170</x:v>
      </x:c>
      <x:c r="O14" s="31" t="n">
        <x:v>46169</x:v>
      </x:c>
      <x:c r="P14" s="31" t="n">
        <x:v>46169</x:v>
      </x:c>
      <x:c r="Q14" s="31" t="inlineStr">
        <x:is>
          <x:t xml:space="preserve">Завершено</x:t>
        </x:is>
      </x:c>
      <x:c r="R14" s="31" t="inlineStr">
        <x:is>
          <x:t xml:space="preserve">Нет</x:t>
        </x:is>
      </x:c>
      <x:c r="S14" s="31" t="inlineStr">
        <x:is>
          <x:t xml:space="preserve">Да</x:t>
        </x:is>
      </x:c>
    </x:row>
    <x:row r="15" ht="18" customHeight="1">
      <x:c r="A15" s="31" t="inlineStr">
        <x:is>
          <x:t xml:space="preserve">ОП-000014</x:t>
        </x:is>
      </x:c>
      <x:c r="B15" s="31" t="inlineStr">
        <x:is>
          <x:t xml:space="preserve">ПЗ-00002</x:t>
        </x:is>
      </x:c>
      <x:c r="C15" s="31" t="inlineStr">
        <x:is>
          <x:t xml:space="preserve">ЗК-1002</x:t>
        </x:is>
      </x:c>
      <x:c r="D15" s="31" t="inlineStr">
        <x:is>
          <x:t xml:space="preserve">ПОЗ-0002-2</x:t>
        </x:is>
      </x:c>
      <x:c r="E15" s="31" t="inlineStr">
        <x:is>
          <x:t xml:space="preserve">ИЗД-004</x:t>
        </x:is>
      </x:c>
      <x:c r="F15" s="31" t="n">
        <x:v>50</x:v>
      </x:c>
      <x:c r="G15" s="31" t="inlineStr">
        <x:is>
          <x:t xml:space="preserve">Обвязка труб</x:t>
        </x:is>
      </x:c>
      <x:c r="H15" s="31" t="inlineStr">
        <x:is>
          <x:t xml:space="preserve">Сборка</x:t>
        </x:is>
      </x:c>
      <x:c r="I15" s="31" t="inlineStr">
        <x:is>
          <x:t xml:space="preserve">ОБ-027</x:t>
        </x:is>
      </x:c>
      <x:c r="J15" s="31" t="inlineStr">
        <x:is>
          <x:t xml:space="preserve">СОТР-077</x:t>
        </x:is>
      </x:c>
      <x:c r="K15" s="31" t="n">
        <x:v>18.5</x:v>
      </x:c>
      <x:c r="L15" s="31" t="n">
        <x:v>14.8</x:v>
      </x:c>
      <x:c r="M15" s="31" t="n">
        <x:v>46170</x:v>
      </x:c>
      <x:c r="N15" s="31" t="n">
        <x:v>46172</x:v>
      </x:c>
      <x:c r="O15" s="31" t="n">
        <x:v>46170</x:v>
      </x:c>
      <x:c r="P15" s="31" t="n">
        <x:v>46171</x:v>
      </x:c>
      <x:c r="Q15" s="31" t="inlineStr">
        <x:is>
          <x:t xml:space="preserve">Завершено</x:t>
        </x:is>
      </x:c>
      <x:c r="R15" s="31" t="inlineStr">
        <x:is>
          <x:t xml:space="preserve">Нет</x:t>
        </x:is>
      </x:c>
      <x:c r="S15" s="31" t="inlineStr">
        <x:is>
          <x:t xml:space="preserve">Нет</x:t>
        </x:is>
      </x:c>
    </x:row>
    <x:row r="16" ht="18" customHeight="1">
      <x:c r="A16" s="31" t="inlineStr">
        <x:is>
          <x:t xml:space="preserve">ОП-000015</x:t>
        </x:is>
      </x:c>
      <x:c r="B16" s="31" t="inlineStr">
        <x:is>
          <x:t xml:space="preserve">ПЗ-00002</x:t>
        </x:is>
      </x:c>
      <x:c r="C16" s="31" t="inlineStr">
        <x:is>
          <x:t xml:space="preserve">ЗК-1002</x:t>
        </x:is>
      </x:c>
      <x:c r="D16" s="31" t="inlineStr">
        <x:is>
          <x:t xml:space="preserve">ПОЗ-0002-2</x:t>
        </x:is>
      </x:c>
      <x:c r="E16" s="31" t="inlineStr">
        <x:is>
          <x:t xml:space="preserve">ИЗД-004</x:t>
        </x:is>
      </x:c>
      <x:c r="F16" s="31" t="n">
        <x:v>60</x:v>
      </x:c>
      <x:c r="G16" s="31" t="inlineStr">
        <x:is>
          <x:t xml:space="preserve">Электромонтаж</x:t>
        </x:is>
      </x:c>
      <x:c r="H16" s="31" t="inlineStr">
        <x:is>
          <x:t xml:space="preserve">Сборка</x:t>
        </x:is>
      </x:c>
      <x:c r="I16" s="31" t="inlineStr">
        <x:is>
          <x:t xml:space="preserve">ОБ-016</x:t>
        </x:is>
      </x:c>
      <x:c r="J16" s="31" t="inlineStr">
        <x:is>
          <x:t xml:space="preserve">СОТР-085</x:t>
        </x:is>
      </x:c>
      <x:c r="K16" s="31" t="n">
        <x:v>2.2</x:v>
      </x:c>
      <x:c r="L16" s="31" t="n">
        <x:v>2.6</x:v>
      </x:c>
      <x:c r="M16" s="31" t="n">
        <x:v>46172</x:v>
      </x:c>
      <x:c r="N16" s="31" t="n">
        <x:v>46173</x:v>
      </x:c>
      <x:c r="O16" s="31" t="n">
        <x:v>46172</x:v>
      </x:c>
      <x:c r="P16" s="31" t="n">
        <x:v>46174</x:v>
      </x:c>
      <x:c r="Q16" s="31" t="inlineStr">
        <x:is>
          <x:t xml:space="preserve">Завершено</x:t>
        </x:is>
      </x:c>
      <x:c r="R16" s="31" t="inlineStr">
        <x:is>
          <x:t xml:space="preserve">Нет</x:t>
        </x:is>
      </x:c>
      <x:c r="S16" s="31" t="inlineStr">
        <x:is>
          <x:t xml:space="preserve">Нет</x:t>
        </x:is>
      </x:c>
    </x:row>
    <x:row r="17" ht="18" customHeight="1">
      <x:c r="A17" s="31" t="inlineStr">
        <x:is>
          <x:t xml:space="preserve">ОП-000016</x:t>
        </x:is>
      </x:c>
      <x:c r="B17" s="31" t="inlineStr">
        <x:is>
          <x:t xml:space="preserve">ПЗ-00002</x:t>
        </x:is>
      </x:c>
      <x:c r="C17" s="31" t="inlineStr">
        <x:is>
          <x:t xml:space="preserve">ЗК-1002</x:t>
        </x:is>
      </x:c>
      <x:c r="D17" s="31" t="inlineStr">
        <x:is>
          <x:t xml:space="preserve">ПОЗ-0002-2</x:t>
        </x:is>
      </x:c>
      <x:c r="E17" s="31" t="inlineStr">
        <x:is>
          <x:t xml:space="preserve">ИЗД-004</x:t>
        </x:is>
      </x:c>
      <x:c r="F17" s="31" t="n">
        <x:v>70</x:v>
      </x:c>
      <x:c r="G17" s="31" t="inlineStr">
        <x:is>
          <x:t xml:space="preserve">Гидроиспытания</x:t>
        </x:is>
      </x:c>
      <x:c r="H17" s="31" t="inlineStr">
        <x:is>
          <x:t xml:space="preserve">ОТК</x:t>
        </x:is>
      </x:c>
      <x:c r="I17" s="31" t="inlineStr">
        <x:is>
          <x:t xml:space="preserve">ОБ-015</x:t>
        </x:is>
      </x:c>
      <x:c r="J17" s="31" t="inlineStr">
        <x:is>
          <x:t xml:space="preserve">СОТР-096</x:t>
        </x:is>
      </x:c>
      <x:c r="K17" s="31" t="n">
        <x:v>19.1</x:v>
      </x:c>
      <x:c r="L17" s="31" t="n">
        <x:v>16.3</x:v>
      </x:c>
      <x:c r="M17" s="31" t="n">
        <x:v>46173</x:v>
      </x:c>
      <x:c r="N17" s="31" t="n">
        <x:v>46175</x:v>
      </x:c>
      <x:c r="O17" s="31" t="n">
        <x:v>46173</x:v>
      </x:c>
      <x:c r="P17" s="31" t="n">
        <x:v>46176</x:v>
      </x:c>
      <x:c r="Q17" s="31" t="inlineStr">
        <x:is>
          <x:t xml:space="preserve">Завершено</x:t>
        </x:is>
      </x:c>
      <x:c r="R17" s="31" t="inlineStr">
        <x:is>
          <x:t xml:space="preserve">КД</x:t>
        </x:is>
      </x:c>
      <x:c r="S17" s="31" t="inlineStr">
        <x:is>
          <x:t xml:space="preserve">Нет</x:t>
        </x:is>
      </x:c>
    </x:row>
    <x:row r="18" ht="18" customHeight="1">
      <x:c r="A18" s="31" t="inlineStr">
        <x:is>
          <x:t xml:space="preserve">ОП-000017</x:t>
        </x:is>
      </x:c>
      <x:c r="B18" s="31" t="inlineStr">
        <x:is>
          <x:t xml:space="preserve">ПЗ-00002</x:t>
        </x:is>
      </x:c>
      <x:c r="C18" s="31" t="inlineStr">
        <x:is>
          <x:t xml:space="preserve">ЗК-1002</x:t>
        </x:is>
      </x:c>
      <x:c r="D18" s="31" t="inlineStr">
        <x:is>
          <x:t xml:space="preserve">ПОЗ-0002-2</x:t>
        </x:is>
      </x:c>
      <x:c r="E18" s="31" t="inlineStr">
        <x:is>
          <x:t xml:space="preserve">ИЗД-004</x:t>
        </x:is>
      </x:c>
      <x:c r="F18" s="31" t="n">
        <x:v>80</x:v>
      </x:c>
      <x:c r="G18" s="31" t="inlineStr">
        <x:is>
          <x:t xml:space="preserve">ОТК</x:t>
        </x:is>
      </x:c>
      <x:c r="H18" s="31" t="inlineStr">
        <x:is>
          <x:t xml:space="preserve">ОТК</x:t>
        </x:is>
      </x:c>
      <x:c r="I18" s="31" t="inlineStr">
        <x:is>
          <x:t xml:space="preserve">ОБ-022</x:t>
        </x:is>
      </x:c>
      <x:c r="J18" s="31" t="inlineStr">
        <x:is>
          <x:t xml:space="preserve">СОТР-063</x:t>
        </x:is>
      </x:c>
      <x:c r="K18" s="31" t="n">
        <x:v>5.4</x:v>
      </x:c>
      <x:c r="L18" s="31" t="n"/>
      <x:c r="M18" s="31" t="n">
        <x:v>46175</x:v>
      </x:c>
      <x:c r="N18" s="31" t="n">
        <x:v>46176</x:v>
      </x:c>
      <x:c r="O18" s="31" t="n">
        <x:v>46175</x:v>
      </x:c>
      <x:c r="P18" s="31" t="n"/>
      <x:c r="Q18" s="31" t="inlineStr">
        <x:is>
          <x:t xml:space="preserve">В работе</x:t>
        </x:is>
      </x:c>
      <x:c r="R18" s="31" t="inlineStr">
        <x:is>
          <x:t xml:space="preserve">Материал</x:t>
        </x:is>
      </x:c>
      <x:c r="S18" s="31" t="inlineStr">
        <x:is>
          <x:t xml:space="preserve">Нет</x:t>
        </x:is>
      </x:c>
    </x:row>
    <x:row r="19" ht="18" customHeight="1">
      <x:c r="A19" s="31" t="inlineStr">
        <x:is>
          <x:t xml:space="preserve">ОП-000018</x:t>
        </x:is>
      </x:c>
      <x:c r="B19" s="31" t="inlineStr">
        <x:is>
          <x:t xml:space="preserve">ПЗ-00002</x:t>
        </x:is>
      </x:c>
      <x:c r="C19" s="31" t="inlineStr">
        <x:is>
          <x:t xml:space="preserve">ЗК-1002</x:t>
        </x:is>
      </x:c>
      <x:c r="D19" s="31" t="inlineStr">
        <x:is>
          <x:t xml:space="preserve">ПОЗ-0002-2</x:t>
        </x:is>
      </x:c>
      <x:c r="E19" s="31" t="inlineStr">
        <x:is>
          <x:t xml:space="preserve">ИЗД-004</x:t>
        </x:is>
      </x:c>
      <x:c r="F19" s="31" t="n">
        <x:v>90</x:v>
      </x:c>
      <x:c r="G19" s="31" t="inlineStr">
        <x:is>
          <x:t xml:space="preserve">Упаковка</x:t>
        </x:is>
      </x:c>
      <x:c r="H19" s="31" t="inlineStr">
        <x:is>
          <x:t xml:space="preserve">Логистика</x:t>
        </x:is>
      </x:c>
      <x:c r="I19" s="31" t="n"/>
      <x:c r="J19" s="31" t="inlineStr">
        <x:is>
          <x:t xml:space="preserve">СОТР-103</x:t>
        </x:is>
      </x:c>
      <x:c r="K19" s="31" t="n">
        <x:v>13.7</x:v>
      </x:c>
      <x:c r="L19" s="31" t="n"/>
      <x:c r="M19" s="31" t="n">
        <x:v>46176</x:v>
      </x:c>
      <x:c r="N19" s="31" t="n">
        <x:v>46178</x:v>
      </x:c>
      <x:c r="O19" s="31" t="n">
        <x:v>46176</x:v>
      </x:c>
      <x:c r="P19" s="31" t="n"/>
      <x:c r="Q19" s="31" t="inlineStr">
        <x:is>
          <x:t xml:space="preserve">В работе</x:t>
        </x:is>
      </x:c>
      <x:c r="R19" s="31" t="inlineStr">
        <x:is>
          <x:t xml:space="preserve">Нет</x:t>
        </x:is>
      </x:c>
      <x:c r="S19" s="31" t="inlineStr">
        <x:is>
          <x:t xml:space="preserve">Нет</x:t>
        </x:is>
      </x:c>
    </x:row>
    <x:row r="20" ht="18" customHeight="1">
      <x:c r="A20" s="31" t="inlineStr">
        <x:is>
          <x:t xml:space="preserve">ОП-000019</x:t>
        </x:is>
      </x:c>
      <x:c r="B20" s="31" t="inlineStr">
        <x:is>
          <x:t xml:space="preserve">ПЗ-00003</x:t>
        </x:is>
      </x:c>
      <x:c r="C20" s="31" t="inlineStr">
        <x:is>
          <x:t xml:space="preserve">ЗК-1003</x:t>
        </x:is>
      </x:c>
      <x:c r="D20" s="31" t="inlineStr">
        <x:is>
          <x:t xml:space="preserve">ПОЗ-0003-1</x:t>
        </x:is>
      </x:c>
      <x:c r="E20" s="31" t="inlineStr">
        <x:is>
          <x:t xml:space="preserve">ИЗД-041</x:t>
        </x:is>
      </x:c>
      <x:c r="F20" s="31" t="n">
        <x:v>10</x:v>
      </x:c>
      <x:c r="G20" s="31" t="inlineStr">
        <x:is>
          <x:t xml:space="preserve">КД</x:t>
        </x:is>
      </x:c>
      <x:c r="H20" s="31" t="inlineStr">
        <x:is>
          <x:t xml:space="preserve">Инженерный отдел</x:t>
        </x:is>
      </x:c>
      <x:c r="I20" s="31" t="n"/>
      <x:c r="J20" s="31" t="inlineStr">
        <x:is>
          <x:t xml:space="preserve">СОТР-012</x:t>
        </x:is>
      </x:c>
      <x:c r="K20" s="31" t="n">
        <x:v>15</x:v>
      </x:c>
      <x:c r="L20" s="31" t="n">
        <x:v>17.7</x:v>
      </x:c>
      <x:c r="M20" s="31" t="n">
        <x:v>46210</x:v>
      </x:c>
      <x:c r="N20" s="31" t="n">
        <x:v>46212</x:v>
      </x:c>
      <x:c r="O20" s="31" t="n">
        <x:v>46210</x:v>
      </x:c>
      <x:c r="P20" s="31" t="n">
        <x:v>46212</x:v>
      </x:c>
      <x:c r="Q20" s="31" t="inlineStr">
        <x:is>
          <x:t xml:space="preserve">Завершено</x:t>
        </x:is>
      </x:c>
      <x:c r="R20" s="31" t="inlineStr">
        <x:is>
          <x:t xml:space="preserve">Нет</x:t>
        </x:is>
      </x:c>
      <x:c r="S20" s="31" t="inlineStr">
        <x:is>
          <x:t xml:space="preserve">Да</x:t>
        </x:is>
      </x:c>
    </x:row>
    <x:row r="21" ht="18" customHeight="1">
      <x:c r="A21" s="31" t="inlineStr">
        <x:is>
          <x:t xml:space="preserve">ОП-000020</x:t>
        </x:is>
      </x:c>
      <x:c r="B21" s="31" t="inlineStr">
        <x:is>
          <x:t xml:space="preserve">ПЗ-00003</x:t>
        </x:is>
      </x:c>
      <x:c r="C21" s="31" t="inlineStr">
        <x:is>
          <x:t xml:space="preserve">ЗК-1003</x:t>
        </x:is>
      </x:c>
      <x:c r="D21" s="31" t="inlineStr">
        <x:is>
          <x:t xml:space="preserve">ПОЗ-0003-1</x:t>
        </x:is>
      </x:c>
      <x:c r="E21" s="31" t="inlineStr">
        <x:is>
          <x:t xml:space="preserve">ИЗД-041</x:t>
        </x:is>
      </x:c>
      <x:c r="F21" s="31" t="n">
        <x:v>20</x:v>
      </x:c>
      <x:c r="G21" s="31" t="inlineStr">
        <x:is>
          <x:t xml:space="preserve">Резка металла</x:t>
        </x:is>
      </x:c>
      <x:c r="H21" s="31" t="inlineStr">
        <x:is>
          <x:t xml:space="preserve">Сварка</x:t>
        </x:is>
      </x:c>
      <x:c r="I21" s="31" t="inlineStr">
        <x:is>
          <x:t xml:space="preserve">ОБ-003</x:t>
        </x:is>
      </x:c>
      <x:c r="J21" s="31" t="inlineStr">
        <x:is>
          <x:t xml:space="preserve">СОТР-067</x:t>
        </x:is>
      </x:c>
      <x:c r="K21" s="31" t="n">
        <x:v>2.2</x:v>
      </x:c>
      <x:c r="L21" s="31" t="n">
        <x:v>2.6</x:v>
      </x:c>
      <x:c r="M21" s="31" t="n">
        <x:v>46212</x:v>
      </x:c>
      <x:c r="N21" s="31" t="n">
        <x:v>46213</x:v>
      </x:c>
      <x:c r="O21" s="31" t="n">
        <x:v>46212</x:v>
      </x:c>
      <x:c r="P21" s="31" t="n">
        <x:v>46213</x:v>
      </x:c>
      <x:c r="Q21" s="31" t="inlineStr">
        <x:is>
          <x:t xml:space="preserve">Завершено</x:t>
        </x:is>
      </x:c>
      <x:c r="R21" s="31" t="inlineStr">
        <x:is>
          <x:t xml:space="preserve">Нет</x:t>
        </x:is>
      </x:c>
      <x:c r="S21" s="31" t="inlineStr">
        <x:is>
          <x:t xml:space="preserve">Нет</x:t>
        </x:is>
      </x:c>
    </x:row>
    <x:row r="22" ht="18" customHeight="1">
      <x:c r="A22" s="31" t="inlineStr">
        <x:is>
          <x:t xml:space="preserve">ОП-000021</x:t>
        </x:is>
      </x:c>
      <x:c r="B22" s="31" t="inlineStr">
        <x:is>
          <x:t xml:space="preserve">ПЗ-00003</x:t>
        </x:is>
      </x:c>
      <x:c r="C22" s="31" t="inlineStr">
        <x:is>
          <x:t xml:space="preserve">ЗК-1003</x:t>
        </x:is>
      </x:c>
      <x:c r="D22" s="31" t="inlineStr">
        <x:is>
          <x:t xml:space="preserve">ПОЗ-0003-1</x:t>
        </x:is>
      </x:c>
      <x:c r="E22" s="31" t="inlineStr">
        <x:is>
          <x:t xml:space="preserve">ИЗД-041</x:t>
        </x:is>
      </x:c>
      <x:c r="F22" s="31" t="n">
        <x:v>30</x:v>
      </x:c>
      <x:c r="G22" s="31" t="inlineStr">
        <x:is>
          <x:t xml:space="preserve">Сварка рамы</x:t>
        </x:is>
      </x:c>
      <x:c r="H22" s="31" t="inlineStr">
        <x:is>
          <x:t xml:space="preserve">Сварка</x:t>
        </x:is>
      </x:c>
      <x:c r="I22" s="31" t="inlineStr">
        <x:is>
          <x:t xml:space="preserve">ОБ-003</x:t>
        </x:is>
      </x:c>
      <x:c r="J22" s="31" t="inlineStr">
        <x:is>
          <x:t xml:space="preserve">СОТР-065</x:t>
        </x:is>
      </x:c>
      <x:c r="K22" s="31" t="n">
        <x:v>19</x:v>
      </x:c>
      <x:c r="L22" s="31" t="n">
        <x:v>18.3</x:v>
      </x:c>
      <x:c r="M22" s="31" t="n">
        <x:v>46213</x:v>
      </x:c>
      <x:c r="N22" s="31" t="n">
        <x:v>46215</x:v>
      </x:c>
      <x:c r="O22" s="31" t="n">
        <x:v>46213</x:v>
      </x:c>
      <x:c r="P22" s="31" t="n">
        <x:v>46216</x:v>
      </x:c>
      <x:c r="Q22" s="31" t="inlineStr">
        <x:is>
          <x:t xml:space="preserve">Завершено</x:t>
        </x:is>
      </x:c>
      <x:c r="R22" s="31" t="inlineStr">
        <x:is>
          <x:t xml:space="preserve">Нет</x:t>
        </x:is>
      </x:c>
      <x:c r="S22" s="31" t="inlineStr">
        <x:is>
          <x:t xml:space="preserve">Нет</x:t>
        </x:is>
      </x:c>
    </x:row>
    <x:row r="23" ht="18" customHeight="1">
      <x:c r="A23" s="31" t="inlineStr">
        <x:is>
          <x:t xml:space="preserve">ОП-000022</x:t>
        </x:is>
      </x:c>
      <x:c r="B23" s="31" t="inlineStr">
        <x:is>
          <x:t xml:space="preserve">ПЗ-00003</x:t>
        </x:is>
      </x:c>
      <x:c r="C23" s="31" t="inlineStr">
        <x:is>
          <x:t xml:space="preserve">ЗК-1003</x:t>
        </x:is>
      </x:c>
      <x:c r="D23" s="31" t="inlineStr">
        <x:is>
          <x:t xml:space="preserve">ПОЗ-0003-1</x:t>
        </x:is>
      </x:c>
      <x:c r="E23" s="31" t="inlineStr">
        <x:is>
          <x:t xml:space="preserve">ИЗД-041</x:t>
        </x:is>
      </x:c>
      <x:c r="F23" s="31" t="n">
        <x:v>40</x:v>
      </x:c>
      <x:c r="G23" s="31" t="inlineStr">
        <x:is>
          <x:t xml:space="preserve">Пескоструй</x:t>
        </x:is>
      </x:c>
      <x:c r="H23" s="31" t="inlineStr">
        <x:is>
          <x:t xml:space="preserve">Сварка</x:t>
        </x:is>
      </x:c>
      <x:c r="I23" s="31" t="inlineStr">
        <x:is>
          <x:t xml:space="preserve">ОБ-004</x:t>
        </x:is>
      </x:c>
      <x:c r="J23" s="31" t="inlineStr">
        <x:is>
          <x:t xml:space="preserve">СОТР-069</x:t>
        </x:is>
      </x:c>
      <x:c r="K23" s="31" t="n">
        <x:v>19.8</x:v>
      </x:c>
      <x:c r="L23" s="31" t="n">
        <x:v>24.5</x:v>
      </x:c>
      <x:c r="M23" s="31" t="n">
        <x:v>46215</x:v>
      </x:c>
      <x:c r="N23" s="31" t="n">
        <x:v>46217</x:v>
      </x:c>
      <x:c r="O23" s="31" t="n">
        <x:v>46215</x:v>
      </x:c>
      <x:c r="P23" s="31" t="n">
        <x:v>46217</x:v>
      </x:c>
      <x:c r="Q23" s="31" t="inlineStr">
        <x:is>
          <x:t xml:space="preserve">Завершено</x:t>
        </x:is>
      </x:c>
      <x:c r="R23" s="31" t="inlineStr">
        <x:is>
          <x:t xml:space="preserve">Материал</x:t>
        </x:is>
      </x:c>
      <x:c r="S23" s="31" t="inlineStr">
        <x:is>
          <x:t xml:space="preserve">Нет</x:t>
        </x:is>
      </x:c>
    </x:row>
    <x:row r="24" ht="18" customHeight="1">
      <x:c r="A24" s="31" t="inlineStr">
        <x:is>
          <x:t xml:space="preserve">ОП-000023</x:t>
        </x:is>
      </x:c>
      <x:c r="B24" s="31" t="inlineStr">
        <x:is>
          <x:t xml:space="preserve">ПЗ-00003</x:t>
        </x:is>
      </x:c>
      <x:c r="C24" s="31" t="inlineStr">
        <x:is>
          <x:t xml:space="preserve">ЗК-1003</x:t>
        </x:is>
      </x:c>
      <x:c r="D24" s="31" t="inlineStr">
        <x:is>
          <x:t xml:space="preserve">ПОЗ-0003-1</x:t>
        </x:is>
      </x:c>
      <x:c r="E24" s="31" t="inlineStr">
        <x:is>
          <x:t xml:space="preserve">ИЗД-041</x:t>
        </x:is>
      </x:c>
      <x:c r="F24" s="31" t="n">
        <x:v>50</x:v>
      </x:c>
      <x:c r="G24" s="31" t="inlineStr">
        <x:is>
          <x:t xml:space="preserve">Покраска</x:t>
        </x:is>
      </x:c>
      <x:c r="H24" s="31" t="inlineStr">
        <x:is>
          <x:t xml:space="preserve">Сварка</x:t>
        </x:is>
      </x:c>
      <x:c r="I24" s="31" t="inlineStr">
        <x:is>
          <x:t xml:space="preserve">ОБ-003</x:t>
        </x:is>
      </x:c>
      <x:c r="J24" s="31" t="inlineStr">
        <x:is>
          <x:t xml:space="preserve">СОТР-059</x:t>
        </x:is>
      </x:c>
      <x:c r="K24" s="31" t="n">
        <x:v>14.2</x:v>
      </x:c>
      <x:c r="L24" s="31" t="n">
        <x:v>15</x:v>
      </x:c>
      <x:c r="M24" s="31" t="n">
        <x:v>46217</x:v>
      </x:c>
      <x:c r="N24" s="31" t="n">
        <x:v>46219</x:v>
      </x:c>
      <x:c r="O24" s="31" t="n">
        <x:v>46217</x:v>
      </x:c>
      <x:c r="P24" s="31" t="n">
        <x:v>46219</x:v>
      </x:c>
      <x:c r="Q24" s="31" t="inlineStr">
        <x:is>
          <x:t xml:space="preserve">Завершено</x:t>
        </x:is>
      </x:c>
      <x:c r="R24" s="31" t="inlineStr">
        <x:is>
          <x:t xml:space="preserve">Нет</x:t>
        </x:is>
      </x:c>
      <x:c r="S24" s="31" t="inlineStr">
        <x:is>
          <x:t xml:space="preserve">Нет</x:t>
        </x:is>
      </x:c>
    </x:row>
    <x:row r="25" ht="18" customHeight="1">
      <x:c r="A25" s="31" t="inlineStr">
        <x:is>
          <x:t xml:space="preserve">ОП-000024</x:t>
        </x:is>
      </x:c>
      <x:c r="B25" s="31" t="inlineStr">
        <x:is>
          <x:t xml:space="preserve">ПЗ-00003</x:t>
        </x:is>
      </x:c>
      <x:c r="C25" s="31" t="inlineStr">
        <x:is>
          <x:t xml:space="preserve">ЗК-1003</x:t>
        </x:is>
      </x:c>
      <x:c r="D25" s="31" t="inlineStr">
        <x:is>
          <x:t xml:space="preserve">ПОЗ-0003-1</x:t>
        </x:is>
      </x:c>
      <x:c r="E25" s="31" t="inlineStr">
        <x:is>
          <x:t xml:space="preserve">ИЗД-041</x:t>
        </x:is>
      </x:c>
      <x:c r="F25" s="31" t="n">
        <x:v>60</x:v>
      </x:c>
      <x:c r="G25" s="31" t="inlineStr">
        <x:is>
          <x:t xml:space="preserve">ОТК</x:t>
        </x:is>
      </x:c>
      <x:c r="H25" s="31" t="inlineStr">
        <x:is>
          <x:t xml:space="preserve">ОТК</x:t>
        </x:is>
      </x:c>
      <x:c r="I25" s="31" t="inlineStr">
        <x:is>
          <x:t xml:space="preserve">ОБ-022</x:t>
        </x:is>
      </x:c>
      <x:c r="J25" s="31" t="inlineStr">
        <x:is>
          <x:t xml:space="preserve">СОТР-063</x:t>
        </x:is>
      </x:c>
      <x:c r="K25" s="31" t="n">
        <x:v>6.8</x:v>
      </x:c>
      <x:c r="L25" s="31" t="n">
        <x:v>6</x:v>
      </x:c>
      <x:c r="M25" s="31" t="n">
        <x:v>46219</x:v>
      </x:c>
      <x:c r="N25" s="31" t="n">
        <x:v>46220</x:v>
      </x:c>
      <x:c r="O25" s="31" t="n">
        <x:v>46219</x:v>
      </x:c>
      <x:c r="P25" s="31" t="n">
        <x:v>46219</x:v>
      </x:c>
      <x:c r="Q25" s="31" t="inlineStr">
        <x:is>
          <x:t xml:space="preserve">Завершено</x:t>
        </x:is>
      </x:c>
      <x:c r="R25" s="31" t="inlineStr">
        <x:is>
          <x:t xml:space="preserve">КД</x:t>
        </x:is>
      </x:c>
      <x:c r="S25" s="31" t="inlineStr">
        <x:is>
          <x:t xml:space="preserve">Нет</x:t>
        </x:is>
      </x:c>
    </x:row>
    <x:row r="26" ht="18" customHeight="1">
      <x:c r="A26" s="31" t="inlineStr">
        <x:is>
          <x:t xml:space="preserve">ОП-000025</x:t>
        </x:is>
      </x:c>
      <x:c r="B26" s="31" t="inlineStr">
        <x:is>
          <x:t xml:space="preserve">ПЗ-00004</x:t>
        </x:is>
      </x:c>
      <x:c r="C26" s="31" t="inlineStr">
        <x:is>
          <x:t xml:space="preserve">ЗК-1003</x:t>
        </x:is>
      </x:c>
      <x:c r="D26" s="31" t="inlineStr">
        <x:is>
          <x:t xml:space="preserve">ПОЗ-0003-2</x:t>
        </x:is>
      </x:c>
      <x:c r="E26" s="31" t="inlineStr">
        <x:is>
          <x:t xml:space="preserve">ИЗД-039</x:t>
        </x:is>
      </x:c>
      <x:c r="F26" s="31" t="n">
        <x:v>10</x:v>
      </x:c>
      <x:c r="G26" s="31" t="inlineStr">
        <x:is>
          <x:t xml:space="preserve">КД</x:t>
        </x:is>
      </x:c>
      <x:c r="H26" s="31" t="inlineStr">
        <x:is>
          <x:t xml:space="preserve">Инженерный отдел</x:t>
        </x:is>
      </x:c>
      <x:c r="I26" s="31" t="n"/>
      <x:c r="J26" s="31" t="inlineStr">
        <x:is>
          <x:t xml:space="preserve">СОТР-020</x:t>
        </x:is>
      </x:c>
      <x:c r="K26" s="31" t="n">
        <x:v>72</x:v>
      </x:c>
      <x:c r="L26" s="31" t="n">
        <x:v>93.09999999999999</x:v>
      </x:c>
      <x:c r="M26" s="31" t="n">
        <x:v>46196</x:v>
      </x:c>
      <x:c r="N26" s="31" t="n">
        <x:v>46202</x:v>
      </x:c>
      <x:c r="O26" s="31" t="n">
        <x:v>46196</x:v>
      </x:c>
      <x:c r="P26" s="31" t="n">
        <x:v>46202</x:v>
      </x:c>
      <x:c r="Q26" s="31" t="inlineStr">
        <x:is>
          <x:t xml:space="preserve">Завершено</x:t>
        </x:is>
      </x:c>
      <x:c r="R26" s="31" t="inlineStr">
        <x:is>
          <x:t xml:space="preserve">Нет</x:t>
        </x:is>
      </x:c>
      <x:c r="S26" s="31" t="inlineStr">
        <x:is>
          <x:t xml:space="preserve">Нет</x:t>
        </x:is>
      </x:c>
    </x:row>
    <x:row r="27" ht="18" customHeight="1">
      <x:c r="A27" s="31" t="inlineStr">
        <x:is>
          <x:t xml:space="preserve">ОП-000026</x:t>
        </x:is>
      </x:c>
      <x:c r="B27" s="31" t="inlineStr">
        <x:is>
          <x:t xml:space="preserve">ПЗ-00004</x:t>
        </x:is>
      </x:c>
      <x:c r="C27" s="31" t="inlineStr">
        <x:is>
          <x:t xml:space="preserve">ЗК-1003</x:t>
        </x:is>
      </x:c>
      <x:c r="D27" s="31" t="inlineStr">
        <x:is>
          <x:t xml:space="preserve">ПОЗ-0003-2</x:t>
        </x:is>
      </x:c>
      <x:c r="E27" s="31" t="inlineStr">
        <x:is>
          <x:t xml:space="preserve">ИЗД-039</x:t>
        </x:is>
      </x:c>
      <x:c r="F27" s="31" t="n">
        <x:v>20</x:v>
      </x:c>
      <x:c r="G27" s="31" t="inlineStr">
        <x:is>
          <x:t xml:space="preserve">Резка металла</x:t>
        </x:is>
      </x:c>
      <x:c r="H27" s="31" t="inlineStr">
        <x:is>
          <x:t xml:space="preserve">Сварка</x:t>
        </x:is>
      </x:c>
      <x:c r="I27" s="31" t="inlineStr">
        <x:is>
          <x:t xml:space="preserve">ОБ-021</x:t>
        </x:is>
      </x:c>
      <x:c r="J27" s="31" t="inlineStr">
        <x:is>
          <x:t xml:space="preserve">СОТР-062</x:t>
        </x:is>
      </x:c>
      <x:c r="K27" s="31" t="n">
        <x:v>81.2</x:v>
      </x:c>
      <x:c r="L27" s="31" t="n">
        <x:v>80.40000000000001</x:v>
      </x:c>
      <x:c r="M27" s="31" t="n">
        <x:v>46202</x:v>
      </x:c>
      <x:c r="N27" s="31" t="n">
        <x:v>46209</x:v>
      </x:c>
      <x:c r="O27" s="31" t="n">
        <x:v>46202</x:v>
      </x:c>
      <x:c r="P27" s="31" t="n">
        <x:v>46209</x:v>
      </x:c>
      <x:c r="Q27" s="31" t="inlineStr">
        <x:is>
          <x:t xml:space="preserve">Завершено</x:t>
        </x:is>
      </x:c>
      <x:c r="R27" s="31" t="inlineStr">
        <x:is>
          <x:t xml:space="preserve">Нет</x:t>
        </x:is>
      </x:c>
      <x:c r="S27" s="31" t="inlineStr">
        <x:is>
          <x:t xml:space="preserve">Нет</x:t>
        </x:is>
      </x:c>
    </x:row>
    <x:row r="28" ht="18" customHeight="1">
      <x:c r="A28" s="31" t="inlineStr">
        <x:is>
          <x:t xml:space="preserve">ОП-000027</x:t>
        </x:is>
      </x:c>
      <x:c r="B28" s="31" t="inlineStr">
        <x:is>
          <x:t xml:space="preserve">ПЗ-00004</x:t>
        </x:is>
      </x:c>
      <x:c r="C28" s="31" t="inlineStr">
        <x:is>
          <x:t xml:space="preserve">ЗК-1003</x:t>
        </x:is>
      </x:c>
      <x:c r="D28" s="31" t="inlineStr">
        <x:is>
          <x:t xml:space="preserve">ПОЗ-0003-2</x:t>
        </x:is>
      </x:c>
      <x:c r="E28" s="31" t="inlineStr">
        <x:is>
          <x:t xml:space="preserve">ИЗД-039</x:t>
        </x:is>
      </x:c>
      <x:c r="F28" s="31" t="n">
        <x:v>30</x:v>
      </x:c>
      <x:c r="G28" s="31" t="inlineStr">
        <x:is>
          <x:t xml:space="preserve">Сварка рамы</x:t>
        </x:is>
      </x:c>
      <x:c r="H28" s="31" t="inlineStr">
        <x:is>
          <x:t xml:space="preserve">Сварка</x:t>
        </x:is>
      </x:c>
      <x:c r="I28" s="31" t="inlineStr">
        <x:is>
          <x:t xml:space="preserve">ОБ-018</x:t>
        </x:is>
      </x:c>
      <x:c r="J28" s="31" t="inlineStr">
        <x:is>
          <x:t xml:space="preserve">СОТР-069</x:t>
        </x:is>
      </x:c>
      <x:c r="K28" s="31" t="n">
        <x:v>33.6</x:v>
      </x:c>
      <x:c r="L28" s="31" t="n">
        <x:v>34.1</x:v>
      </x:c>
      <x:c r="M28" s="31" t="n">
        <x:v>46209</x:v>
      </x:c>
      <x:c r="N28" s="31" t="n">
        <x:v>46212</x:v>
      </x:c>
      <x:c r="O28" s="31" t="n">
        <x:v>46209</x:v>
      </x:c>
      <x:c r="P28" s="31" t="n">
        <x:v>46213</x:v>
      </x:c>
      <x:c r="Q28" s="31" t="inlineStr">
        <x:is>
          <x:t xml:space="preserve">Завершено</x:t>
        </x:is>
      </x:c>
      <x:c r="R28" s="31" t="inlineStr">
        <x:is>
          <x:t xml:space="preserve">Нет</x:t>
        </x:is>
      </x:c>
      <x:c r="S28" s="31" t="inlineStr">
        <x:is>
          <x:t xml:space="preserve">Нет</x:t>
        </x:is>
      </x:c>
    </x:row>
    <x:row r="29" ht="18" customHeight="1">
      <x:c r="A29" s="31" t="inlineStr">
        <x:is>
          <x:t xml:space="preserve">ОП-000028</x:t>
        </x:is>
      </x:c>
      <x:c r="B29" s="31" t="inlineStr">
        <x:is>
          <x:t xml:space="preserve">ПЗ-00004</x:t>
        </x:is>
      </x:c>
      <x:c r="C29" s="31" t="inlineStr">
        <x:is>
          <x:t xml:space="preserve">ЗК-1003</x:t>
        </x:is>
      </x:c>
      <x:c r="D29" s="31" t="inlineStr">
        <x:is>
          <x:t xml:space="preserve">ПОЗ-0003-2</x:t>
        </x:is>
      </x:c>
      <x:c r="E29" s="31" t="inlineStr">
        <x:is>
          <x:t xml:space="preserve">ИЗД-039</x:t>
        </x:is>
      </x:c>
      <x:c r="F29" s="31" t="n">
        <x:v>40</x:v>
      </x:c>
      <x:c r="G29" s="31" t="inlineStr">
        <x:is>
          <x:t xml:space="preserve">Пескоструй</x:t>
        </x:is>
      </x:c>
      <x:c r="H29" s="31" t="inlineStr">
        <x:is>
          <x:t xml:space="preserve">Сварка</x:t>
        </x:is>
      </x:c>
      <x:c r="I29" s="31" t="inlineStr">
        <x:is>
          <x:t xml:space="preserve">ОБ-018</x:t>
        </x:is>
      </x:c>
      <x:c r="J29" s="31" t="inlineStr">
        <x:is>
          <x:t xml:space="preserve">СОТР-062</x:t>
        </x:is>
      </x:c>
      <x:c r="K29" s="31" t="n">
        <x:v>49.2</x:v>
      </x:c>
      <x:c r="L29" s="31" t="n">
        <x:v>51.5</x:v>
      </x:c>
      <x:c r="M29" s="31" t="n">
        <x:v>46212</x:v>
      </x:c>
      <x:c r="N29" s="31" t="n">
        <x:v>46217</x:v>
      </x:c>
      <x:c r="O29" s="31" t="n">
        <x:v>46212</x:v>
      </x:c>
      <x:c r="P29" s="31" t="n">
        <x:v>46218</x:v>
      </x:c>
      <x:c r="Q29" s="31" t="inlineStr">
        <x:is>
          <x:t xml:space="preserve">Завершено</x:t>
        </x:is>
      </x:c>
      <x:c r="R29" s="31" t="inlineStr">
        <x:is>
          <x:t xml:space="preserve">Нет</x:t>
        </x:is>
      </x:c>
      <x:c r="S29" s="31" t="inlineStr">
        <x:is>
          <x:t xml:space="preserve">Нет</x:t>
        </x:is>
      </x:c>
    </x:row>
    <x:row r="30" ht="18" customHeight="1">
      <x:c r="A30" s="31" t="inlineStr">
        <x:is>
          <x:t xml:space="preserve">ОП-000029</x:t>
        </x:is>
      </x:c>
      <x:c r="B30" s="31" t="inlineStr">
        <x:is>
          <x:t xml:space="preserve">ПЗ-00004</x:t>
        </x:is>
      </x:c>
      <x:c r="C30" s="31" t="inlineStr">
        <x:is>
          <x:t xml:space="preserve">ЗК-1003</x:t>
        </x:is>
      </x:c>
      <x:c r="D30" s="31" t="inlineStr">
        <x:is>
          <x:t xml:space="preserve">ПОЗ-0003-2</x:t>
        </x:is>
      </x:c>
      <x:c r="E30" s="31" t="inlineStr">
        <x:is>
          <x:t xml:space="preserve">ИЗД-039</x:t>
        </x:is>
      </x:c>
      <x:c r="F30" s="31" t="n">
        <x:v>50</x:v>
      </x:c>
      <x:c r="G30" s="31" t="inlineStr">
        <x:is>
          <x:t xml:space="preserve">Покраска</x:t>
        </x:is>
      </x:c>
      <x:c r="H30" s="31" t="inlineStr">
        <x:is>
          <x:t xml:space="preserve">Сварка</x:t>
        </x:is>
      </x:c>
      <x:c r="I30" s="31" t="inlineStr">
        <x:is>
          <x:t xml:space="preserve">ОБ-026</x:t>
        </x:is>
      </x:c>
      <x:c r="J30" s="31" t="inlineStr">
        <x:is>
          <x:t xml:space="preserve">СОТР-068</x:t>
        </x:is>
      </x:c>
      <x:c r="K30" s="31" t="n">
        <x:v>15.2</x:v>
      </x:c>
      <x:c r="L30" s="31" t="n">
        <x:v>17.7</x:v>
      </x:c>
      <x:c r="M30" s="31" t="n">
        <x:v>46217</x:v>
      </x:c>
      <x:c r="N30" s="31" t="n">
        <x:v>46219</x:v>
      </x:c>
      <x:c r="O30" s="31" t="n">
        <x:v>46217</x:v>
      </x:c>
      <x:c r="P30" s="31" t="n">
        <x:v>46221</x:v>
      </x:c>
      <x:c r="Q30" s="31" t="inlineStr">
        <x:is>
          <x:t xml:space="preserve">Завершено</x:t>
        </x:is>
      </x:c>
      <x:c r="R30" s="31" t="inlineStr">
        <x:is>
          <x:t xml:space="preserve">Ожидание ОТК</x:t>
        </x:is>
      </x:c>
      <x:c r="S30" s="31" t="inlineStr">
        <x:is>
          <x:t xml:space="preserve">Нет</x:t>
        </x:is>
      </x:c>
    </x:row>
    <x:row r="31" ht="18" customHeight="1">
      <x:c r="A31" s="31" t="inlineStr">
        <x:is>
          <x:t xml:space="preserve">ОП-000030</x:t>
        </x:is>
      </x:c>
      <x:c r="B31" s="31" t="inlineStr">
        <x:is>
          <x:t xml:space="preserve">ПЗ-00004</x:t>
        </x:is>
      </x:c>
      <x:c r="C31" s="31" t="inlineStr">
        <x:is>
          <x:t xml:space="preserve">ЗК-1003</x:t>
        </x:is>
      </x:c>
      <x:c r="D31" s="31" t="inlineStr">
        <x:is>
          <x:t xml:space="preserve">ПОЗ-0003-2</x:t>
        </x:is>
      </x:c>
      <x:c r="E31" s="31" t="inlineStr">
        <x:is>
          <x:t xml:space="preserve">ИЗД-039</x:t>
        </x:is>
      </x:c>
      <x:c r="F31" s="31" t="n">
        <x:v>60</x:v>
      </x:c>
      <x:c r="G31" s="31" t="inlineStr">
        <x:is>
          <x:t xml:space="preserve">ОТК</x:t>
        </x:is>
      </x:c>
      <x:c r="H31" s="31" t="inlineStr">
        <x:is>
          <x:t xml:space="preserve">ОТК</x:t>
        </x:is>
      </x:c>
      <x:c r="I31" s="31" t="inlineStr">
        <x:is>
          <x:t xml:space="preserve">ОБ-024</x:t>
        </x:is>
      </x:c>
      <x:c r="J31" s="31" t="inlineStr">
        <x:is>
          <x:t xml:space="preserve">СОТР-093</x:t>
        </x:is>
      </x:c>
      <x:c r="K31" s="31" t="n">
        <x:v>57.6</x:v>
      </x:c>
      <x:c r="L31" s="31" t="n">
        <x:v>73.59999999999999</x:v>
      </x:c>
      <x:c r="M31" s="31" t="n">
        <x:v>46219</x:v>
      </x:c>
      <x:c r="N31" s="31" t="n">
        <x:v>46224</x:v>
      </x:c>
      <x:c r="O31" s="31" t="n">
        <x:v>46219</x:v>
      </x:c>
      <x:c r="P31" s="31" t="n">
        <x:v>46223</x:v>
      </x:c>
      <x:c r="Q31" s="31" t="inlineStr">
        <x:is>
          <x:t xml:space="preserve">Завершено</x:t>
        </x:is>
      </x:c>
      <x:c r="R31" s="31" t="inlineStr">
        <x:is>
          <x:t xml:space="preserve">Нет</x:t>
        </x:is>
      </x:c>
      <x:c r="S31" s="31" t="inlineStr">
        <x:is>
          <x:t xml:space="preserve">Нет</x:t>
        </x:is>
      </x:c>
    </x:row>
    <x:row r="32" ht="18" customHeight="1">
      <x:c r="A32" s="31" t="inlineStr">
        <x:is>
          <x:t xml:space="preserve">ОП-000031</x:t>
        </x:is>
      </x:c>
      <x:c r="B32" s="31" t="inlineStr">
        <x:is>
          <x:t xml:space="preserve">ПЗ-00005</x:t>
        </x:is>
      </x:c>
      <x:c r="C32" s="31" t="inlineStr">
        <x:is>
          <x:t xml:space="preserve">ЗК-1003</x:t>
        </x:is>
      </x:c>
      <x:c r="D32" s="31" t="inlineStr">
        <x:is>
          <x:t xml:space="preserve">ПОЗ-0003-3</x:t>
        </x:is>
      </x:c>
      <x:c r="E32" s="31" t="inlineStr">
        <x:is>
          <x:t xml:space="preserve">ИЗД-036</x:t>
        </x:is>
      </x:c>
      <x:c r="F32" s="31" t="n">
        <x:v>10</x:v>
      </x:c>
      <x:c r="G32" s="31" t="inlineStr">
        <x:is>
          <x:t xml:space="preserve">КД</x:t>
        </x:is>
      </x:c>
      <x:c r="H32" s="31" t="inlineStr">
        <x:is>
          <x:t xml:space="preserve">Инженерный отдел</x:t>
        </x:is>
      </x:c>
      <x:c r="I32" s="31" t="n"/>
      <x:c r="J32" s="31" t="inlineStr">
        <x:is>
          <x:t xml:space="preserve">СОТР-013</x:t>
        </x:is>
      </x:c>
      <x:c r="K32" s="31" t="n">
        <x:v>15</x:v>
      </x:c>
      <x:c r="L32" s="31" t="n">
        <x:v>18.4</x:v>
      </x:c>
      <x:c r="M32" s="31" t="n">
        <x:v>46196</x:v>
      </x:c>
      <x:c r="N32" s="31" t="n">
        <x:v>46198</x:v>
      </x:c>
      <x:c r="O32" s="31" t="n">
        <x:v>46196</x:v>
      </x:c>
      <x:c r="P32" s="31" t="n">
        <x:v>46197</x:v>
      </x:c>
      <x:c r="Q32" s="31" t="inlineStr">
        <x:is>
          <x:t xml:space="preserve">Завершено</x:t>
        </x:is>
      </x:c>
      <x:c r="R32" s="31" t="inlineStr">
        <x:is>
          <x:t xml:space="preserve">Нет</x:t>
        </x:is>
      </x:c>
      <x:c r="S32" s="31" t="inlineStr">
        <x:is>
          <x:t xml:space="preserve">Нет</x:t>
        </x:is>
      </x:c>
    </x:row>
    <x:row r="33" ht="18" customHeight="1">
      <x:c r="A33" s="31" t="inlineStr">
        <x:is>
          <x:t xml:space="preserve">ОП-000032</x:t>
        </x:is>
      </x:c>
      <x:c r="B33" s="31" t="inlineStr">
        <x:is>
          <x:t xml:space="preserve">ПЗ-00005</x:t>
        </x:is>
      </x:c>
      <x:c r="C33" s="31" t="inlineStr">
        <x:is>
          <x:t xml:space="preserve">ЗК-1003</x:t>
        </x:is>
      </x:c>
      <x:c r="D33" s="31" t="inlineStr">
        <x:is>
          <x:t xml:space="preserve">ПОЗ-0003-3</x:t>
        </x:is>
      </x:c>
      <x:c r="E33" s="31" t="inlineStr">
        <x:is>
          <x:t xml:space="preserve">ИЗД-036</x:t>
        </x:is>
      </x:c>
      <x:c r="F33" s="31" t="n">
        <x:v>20</x:v>
      </x:c>
      <x:c r="G33" s="31" t="inlineStr">
        <x:is>
          <x:t xml:space="preserve">Комплектация</x:t>
        </x:is>
      </x:c>
      <x:c r="H33" s="31" t="inlineStr">
        <x:is>
          <x:t xml:space="preserve">Склад</x:t>
        </x:is>
      </x:c>
      <x:c r="I33" s="31" t="inlineStr">
        <x:is>
          <x:t xml:space="preserve">ОБ-008</x:t>
        </x:is>
      </x:c>
      <x:c r="J33" s="31" t="inlineStr">
        <x:is>
          <x:t xml:space="preserve">СОТР-037</x:t>
        </x:is>
      </x:c>
      <x:c r="K33" s="31" t="n">
        <x:v>17.4</x:v>
      </x:c>
      <x:c r="L33" s="31" t="n">
        <x:v>13.9</x:v>
      </x:c>
      <x:c r="M33" s="31" t="n">
        <x:v>46198</x:v>
      </x:c>
      <x:c r="N33" s="31" t="n">
        <x:v>46200</x:v>
      </x:c>
      <x:c r="O33" s="31" t="n">
        <x:v>46198</x:v>
      </x:c>
      <x:c r="P33" s="31" t="n">
        <x:v>46201</x:v>
      </x:c>
      <x:c r="Q33" s="31" t="inlineStr">
        <x:is>
          <x:t xml:space="preserve">Завершено</x:t>
        </x:is>
      </x:c>
      <x:c r="R33" s="31" t="inlineStr">
        <x:is>
          <x:t xml:space="preserve">Нет</x:t>
        </x:is>
      </x:c>
      <x:c r="S33" s="31" t="inlineStr">
        <x:is>
          <x:t xml:space="preserve">Нет</x:t>
        </x:is>
      </x:c>
    </x:row>
    <x:row r="34" ht="18" customHeight="1">
      <x:c r="A34" s="31" t="inlineStr">
        <x:is>
          <x:t xml:space="preserve">ОП-000033</x:t>
        </x:is>
      </x:c>
      <x:c r="B34" s="31" t="inlineStr">
        <x:is>
          <x:t xml:space="preserve">ПЗ-00005</x:t>
        </x:is>
      </x:c>
      <x:c r="C34" s="31" t="inlineStr">
        <x:is>
          <x:t xml:space="preserve">ЗК-1003</x:t>
        </x:is>
      </x:c>
      <x:c r="D34" s="31" t="inlineStr">
        <x:is>
          <x:t xml:space="preserve">ПОЗ-0003-3</x:t>
        </x:is>
      </x:c>
      <x:c r="E34" s="31" t="inlineStr">
        <x:is>
          <x:t xml:space="preserve">ИЗД-036</x:t>
        </x:is>
      </x:c>
      <x:c r="F34" s="31" t="n">
        <x:v>30</x:v>
      </x:c>
      <x:c r="G34" s="31" t="inlineStr">
        <x:is>
          <x:t xml:space="preserve">Сборка шкафа</x:t>
        </x:is>
      </x:c>
      <x:c r="H34" s="31" t="inlineStr">
        <x:is>
          <x:t xml:space="preserve">Сборка</x:t>
        </x:is>
      </x:c>
      <x:c r="I34" s="31" t="inlineStr">
        <x:is>
          <x:t xml:space="preserve">ОБ-014</x:t>
        </x:is>
      </x:c>
      <x:c r="J34" s="31" t="inlineStr">
        <x:is>
          <x:t xml:space="preserve">СОТР-091</x:t>
        </x:is>
      </x:c>
      <x:c r="K34" s="31" t="n">
        <x:v>8</x:v>
      </x:c>
      <x:c r="L34" s="31" t="n">
        <x:v>7.3</x:v>
      </x:c>
      <x:c r="M34" s="31" t="n">
        <x:v>46200</x:v>
      </x:c>
      <x:c r="N34" s="31" t="n">
        <x:v>46201</x:v>
      </x:c>
      <x:c r="O34" s="31" t="n">
        <x:v>46200</x:v>
      </x:c>
      <x:c r="P34" s="31" t="n">
        <x:v>46201</x:v>
      </x:c>
      <x:c r="Q34" s="31" t="inlineStr">
        <x:is>
          <x:t xml:space="preserve">Завершено</x:t>
        </x:is>
      </x:c>
      <x:c r="R34" s="31" t="inlineStr">
        <x:is>
          <x:t xml:space="preserve">Нет</x:t>
        </x:is>
      </x:c>
      <x:c r="S34" s="31" t="inlineStr">
        <x:is>
          <x:t xml:space="preserve">Нет</x:t>
        </x:is>
      </x:c>
    </x:row>
    <x:row r="35" ht="18" customHeight="1">
      <x:c r="A35" s="31" t="inlineStr">
        <x:is>
          <x:t xml:space="preserve">ОП-000034</x:t>
        </x:is>
      </x:c>
      <x:c r="B35" s="31" t="inlineStr">
        <x:is>
          <x:t xml:space="preserve">ПЗ-00005</x:t>
        </x:is>
      </x:c>
      <x:c r="C35" s="31" t="inlineStr">
        <x:is>
          <x:t xml:space="preserve">ЗК-1003</x:t>
        </x:is>
      </x:c>
      <x:c r="D35" s="31" t="inlineStr">
        <x:is>
          <x:t xml:space="preserve">ПОЗ-0003-3</x:t>
        </x:is>
      </x:c>
      <x:c r="E35" s="31" t="inlineStr">
        <x:is>
          <x:t xml:space="preserve">ИЗД-036</x:t>
        </x:is>
      </x:c>
      <x:c r="F35" s="31" t="n">
        <x:v>40</x:v>
      </x:c>
      <x:c r="G35" s="31" t="inlineStr">
        <x:is>
          <x:t xml:space="preserve">Маркировка</x:t>
        </x:is>
      </x:c>
      <x:c r="H35" s="31" t="inlineStr">
        <x:is>
          <x:t xml:space="preserve">Сборка</x:t>
        </x:is>
      </x:c>
      <x:c r="I35" s="31" t="inlineStr">
        <x:is>
          <x:t xml:space="preserve">ОБ-005</x:t>
        </x:is>
      </x:c>
      <x:c r="J35" s="31" t="inlineStr">
        <x:is>
          <x:t xml:space="preserve">СОТР-091</x:t>
        </x:is>
      </x:c>
      <x:c r="K35" s="31" t="n">
        <x:v>15</x:v>
      </x:c>
      <x:c r="L35" s="31" t="n">
        <x:v>16.4</x:v>
      </x:c>
      <x:c r="M35" s="31" t="n">
        <x:v>46201</x:v>
      </x:c>
      <x:c r="N35" s="31" t="n">
        <x:v>46203</x:v>
      </x:c>
      <x:c r="O35" s="31" t="n">
        <x:v>46201</x:v>
      </x:c>
      <x:c r="P35" s="31" t="n">
        <x:v>46204</x:v>
      </x:c>
      <x:c r="Q35" s="31" t="inlineStr">
        <x:is>
          <x:t xml:space="preserve">Завершено</x:t>
        </x:is>
      </x:c>
      <x:c r="R35" s="31" t="inlineStr">
        <x:is>
          <x:t xml:space="preserve">Материал</x:t>
        </x:is>
      </x:c>
      <x:c r="S35" s="31" t="inlineStr">
        <x:is>
          <x:t xml:space="preserve">Да</x:t>
        </x:is>
      </x:c>
    </x:row>
    <x:row r="36" ht="18" customHeight="1">
      <x:c r="A36" s="31" t="inlineStr">
        <x:is>
          <x:t xml:space="preserve">ОП-000035</x:t>
        </x:is>
      </x:c>
      <x:c r="B36" s="31" t="inlineStr">
        <x:is>
          <x:t xml:space="preserve">ПЗ-00005</x:t>
        </x:is>
      </x:c>
      <x:c r="C36" s="31" t="inlineStr">
        <x:is>
          <x:t xml:space="preserve">ЗК-1003</x:t>
        </x:is>
      </x:c>
      <x:c r="D36" s="31" t="inlineStr">
        <x:is>
          <x:t xml:space="preserve">ПОЗ-0003-3</x:t>
        </x:is>
      </x:c>
      <x:c r="E36" s="31" t="inlineStr">
        <x:is>
          <x:t xml:space="preserve">ИЗД-036</x:t>
        </x:is>
      </x:c>
      <x:c r="F36" s="31" t="n">
        <x:v>50</x:v>
      </x:c>
      <x:c r="G36" s="31" t="inlineStr">
        <x:is>
          <x:t xml:space="preserve">Электромонтаж</x:t>
        </x:is>
      </x:c>
      <x:c r="H36" s="31" t="inlineStr">
        <x:is>
          <x:t xml:space="preserve">Сборка</x:t>
        </x:is>
      </x:c>
      <x:c r="I36" s="31" t="inlineStr">
        <x:is>
          <x:t xml:space="preserve">ОБ-017</x:t>
        </x:is>
      </x:c>
      <x:c r="J36" s="31" t="inlineStr">
        <x:is>
          <x:t xml:space="preserve">СОТР-079</x:t>
        </x:is>
      </x:c>
      <x:c r="K36" s="31" t="n">
        <x:v>9.199999999999999</x:v>
      </x:c>
      <x:c r="L36" s="31" t="n">
        <x:v>11.3</x:v>
      </x:c>
      <x:c r="M36" s="31" t="n">
        <x:v>46203</x:v>
      </x:c>
      <x:c r="N36" s="31" t="n">
        <x:v>46204</x:v>
      </x:c>
      <x:c r="O36" s="31" t="n">
        <x:v>46203</x:v>
      </x:c>
      <x:c r="P36" s="31" t="n">
        <x:v>46206</x:v>
      </x:c>
      <x:c r="Q36" s="31" t="inlineStr">
        <x:is>
          <x:t xml:space="preserve">Завершено</x:t>
        </x:is>
      </x:c>
      <x:c r="R36" s="31" t="inlineStr">
        <x:is>
          <x:t xml:space="preserve">Нет</x:t>
        </x:is>
      </x:c>
      <x:c r="S36" s="31" t="inlineStr">
        <x:is>
          <x:t xml:space="preserve">Нет</x:t>
        </x:is>
      </x:c>
    </x:row>
    <x:row r="37" ht="18" customHeight="1">
      <x:c r="A37" s="31" t="inlineStr">
        <x:is>
          <x:t xml:space="preserve">ОП-000036</x:t>
        </x:is>
      </x:c>
      <x:c r="B37" s="31" t="inlineStr">
        <x:is>
          <x:t xml:space="preserve">ПЗ-00005</x:t>
        </x:is>
      </x:c>
      <x:c r="C37" s="31" t="inlineStr">
        <x:is>
          <x:t xml:space="preserve">ЗК-1003</x:t>
        </x:is>
      </x:c>
      <x:c r="D37" s="31" t="inlineStr">
        <x:is>
          <x:t xml:space="preserve">ПОЗ-0003-3</x:t>
        </x:is>
      </x:c>
      <x:c r="E37" s="31" t="inlineStr">
        <x:is>
          <x:t xml:space="preserve">ИЗД-036</x:t>
        </x:is>
      </x:c>
      <x:c r="F37" s="31" t="n">
        <x:v>60</x:v>
      </x:c>
      <x:c r="G37" s="31" t="inlineStr">
        <x:is>
          <x:t xml:space="preserve">Программирование ПЛК</x:t>
        </x:is>
      </x:c>
      <x:c r="H37" s="31" t="inlineStr">
        <x:is>
          <x:t xml:space="preserve">Инженерный отдел</x:t>
        </x:is>
      </x:c>
      <x:c r="I37" s="31" t="n"/>
      <x:c r="J37" s="31" t="inlineStr">
        <x:is>
          <x:t xml:space="preserve">СОТР-021</x:t>
        </x:is>
      </x:c>
      <x:c r="K37" s="31" t="n">
        <x:v>35.8</x:v>
      </x:c>
      <x:c r="L37" s="31" t="n">
        <x:v>29.5</x:v>
      </x:c>
      <x:c r="M37" s="31" t="n">
        <x:v>46204</x:v>
      </x:c>
      <x:c r="N37" s="31" t="n">
        <x:v>46207</x:v>
      </x:c>
      <x:c r="O37" s="31" t="n">
        <x:v>46204</x:v>
      </x:c>
      <x:c r="P37" s="31" t="n">
        <x:v>46209</x:v>
      </x:c>
      <x:c r="Q37" s="31" t="inlineStr">
        <x:is>
          <x:t xml:space="preserve">Завершено</x:t>
        </x:is>
      </x:c>
      <x:c r="R37" s="31" t="inlineStr">
        <x:is>
          <x:t xml:space="preserve">Нет</x:t>
        </x:is>
      </x:c>
      <x:c r="S37" s="31" t="inlineStr">
        <x:is>
          <x:t xml:space="preserve">Нет</x:t>
        </x:is>
      </x:c>
    </x:row>
    <x:row r="38" ht="18" customHeight="1">
      <x:c r="A38" s="31" t="inlineStr">
        <x:is>
          <x:t xml:space="preserve">ОП-000037</x:t>
        </x:is>
      </x:c>
      <x:c r="B38" s="31" t="inlineStr">
        <x:is>
          <x:t xml:space="preserve">ПЗ-00005</x:t>
        </x:is>
      </x:c>
      <x:c r="C38" s="31" t="inlineStr">
        <x:is>
          <x:t xml:space="preserve">ЗК-1003</x:t>
        </x:is>
      </x:c>
      <x:c r="D38" s="31" t="inlineStr">
        <x:is>
          <x:t xml:space="preserve">ПОЗ-0003-3</x:t>
        </x:is>
      </x:c>
      <x:c r="E38" s="31" t="inlineStr">
        <x:is>
          <x:t xml:space="preserve">ИЗД-036</x:t>
        </x:is>
      </x:c>
      <x:c r="F38" s="31" t="n">
        <x:v>70</x:v>
      </x:c>
      <x:c r="G38" s="31" t="inlineStr">
        <x:is>
          <x:t xml:space="preserve">Приемочные испытания</x:t>
        </x:is>
      </x:c>
      <x:c r="H38" s="31" t="inlineStr">
        <x:is>
          <x:t xml:space="preserve">ОТК</x:t>
        </x:is>
      </x:c>
      <x:c r="I38" s="31" t="inlineStr">
        <x:is>
          <x:t xml:space="preserve">ОБ-033</x:t>
        </x:is>
      </x:c>
      <x:c r="J38" s="31" t="inlineStr">
        <x:is>
          <x:t xml:space="preserve">СОТР-092</x:t>
        </x:is>
      </x:c>
      <x:c r="K38" s="31" t="n">
        <x:v>33</x:v>
      </x:c>
      <x:c r="L38" s="31" t="n">
        <x:v>41.5</x:v>
      </x:c>
      <x:c r="M38" s="31" t="n">
        <x:v>46207</x:v>
      </x:c>
      <x:c r="N38" s="31" t="n">
        <x:v>46210</x:v>
      </x:c>
      <x:c r="O38" s="31" t="n">
        <x:v>46207</x:v>
      </x:c>
      <x:c r="P38" s="31" t="n">
        <x:v>46212</x:v>
      </x:c>
      <x:c r="Q38" s="31" t="inlineStr">
        <x:is>
          <x:t xml:space="preserve">Завершено</x:t>
        </x:is>
      </x:c>
      <x:c r="R38" s="31" t="inlineStr">
        <x:is>
          <x:t xml:space="preserve">Нет</x:t>
        </x:is>
      </x:c>
      <x:c r="S38" s="31" t="inlineStr">
        <x:is>
          <x:t xml:space="preserve">Нет</x:t>
        </x:is>
      </x:c>
    </x:row>
    <x:row r="39" ht="18" customHeight="1">
      <x:c r="A39" s="31" t="inlineStr">
        <x:is>
          <x:t xml:space="preserve">ОП-000038</x:t>
        </x:is>
      </x:c>
      <x:c r="B39" s="31" t="inlineStr">
        <x:is>
          <x:t xml:space="preserve">ПЗ-00005</x:t>
        </x:is>
      </x:c>
      <x:c r="C39" s="31" t="inlineStr">
        <x:is>
          <x:t xml:space="preserve">ЗК-1003</x:t>
        </x:is>
      </x:c>
      <x:c r="D39" s="31" t="inlineStr">
        <x:is>
          <x:t xml:space="preserve">ПОЗ-0003-3</x:t>
        </x:is>
      </x:c>
      <x:c r="E39" s="31" t="inlineStr">
        <x:is>
          <x:t xml:space="preserve">ИЗД-036</x:t>
        </x:is>
      </x:c>
      <x:c r="F39" s="31" t="n">
        <x:v>80</x:v>
      </x:c>
      <x:c r="G39" s="31" t="inlineStr">
        <x:is>
          <x:t xml:space="preserve">ОТК</x:t>
        </x:is>
      </x:c>
      <x:c r="H39" s="31" t="inlineStr">
        <x:is>
          <x:t xml:space="preserve">ОТК</x:t>
        </x:is>
      </x:c>
      <x:c r="I39" s="31" t="inlineStr">
        <x:is>
          <x:t xml:space="preserve">ОБ-006</x:t>
        </x:is>
      </x:c>
      <x:c r="J39" s="31" t="inlineStr">
        <x:is>
          <x:t xml:space="preserve">СОТР-095</x:t>
        </x:is>
      </x:c>
      <x:c r="K39" s="31" t="n">
        <x:v>34.2</x:v>
      </x:c>
      <x:c r="L39" s="31" t="n">
        <x:v>43.1</x:v>
      </x:c>
      <x:c r="M39" s="31" t="n">
        <x:v>46210</x:v>
      </x:c>
      <x:c r="N39" s="31" t="n">
        <x:v>46213</x:v>
      </x:c>
      <x:c r="O39" s="31" t="n">
        <x:v>46210</x:v>
      </x:c>
      <x:c r="P39" s="31" t="n">
        <x:v>46214</x:v>
      </x:c>
      <x:c r="Q39" s="31" t="inlineStr">
        <x:is>
          <x:t xml:space="preserve">Завершено</x:t>
        </x:is>
      </x:c>
      <x:c r="R39" s="31" t="inlineStr">
        <x:is>
          <x:t xml:space="preserve">Нет</x:t>
        </x:is>
      </x:c>
      <x:c r="S39" s="31" t="inlineStr">
        <x:is>
          <x:t xml:space="preserve">Нет</x:t>
        </x:is>
      </x:c>
    </x:row>
    <x:row r="40" ht="18" customHeight="1">
      <x:c r="A40" s="31" t="inlineStr">
        <x:is>
          <x:t xml:space="preserve">ОП-000039</x:t>
        </x:is>
      </x:c>
      <x:c r="B40" s="31" t="inlineStr">
        <x:is>
          <x:t xml:space="preserve">ПЗ-00005</x:t>
        </x:is>
      </x:c>
      <x:c r="C40" s="31" t="inlineStr">
        <x:is>
          <x:t xml:space="preserve">ЗК-1003</x:t>
        </x:is>
      </x:c>
      <x:c r="D40" s="31" t="inlineStr">
        <x:is>
          <x:t xml:space="preserve">ПОЗ-0003-3</x:t>
        </x:is>
      </x:c>
      <x:c r="E40" s="31" t="inlineStr">
        <x:is>
          <x:t xml:space="preserve">ИЗД-036</x:t>
        </x:is>
      </x:c>
      <x:c r="F40" s="31" t="n">
        <x:v>90</x:v>
      </x:c>
      <x:c r="G40" s="31" t="inlineStr">
        <x:is>
          <x:t xml:space="preserve">Упаковка</x:t>
        </x:is>
      </x:c>
      <x:c r="H40" s="31" t="inlineStr">
        <x:is>
          <x:t xml:space="preserve">Логистика</x:t>
        </x:is>
      </x:c>
      <x:c r="I40" s="31" t="n"/>
      <x:c r="J40" s="31" t="inlineStr">
        <x:is>
          <x:t xml:space="preserve">СОТР-105</x:t>
        </x:is>
      </x:c>
      <x:c r="K40" s="31" t="n">
        <x:v>6.4</x:v>
      </x:c>
      <x:c r="L40" s="31" t="n">
        <x:v>7.5</x:v>
      </x:c>
      <x:c r="M40" s="31" t="n">
        <x:v>46213</x:v>
      </x:c>
      <x:c r="N40" s="31" t="n">
        <x:v>46214</x:v>
      </x:c>
      <x:c r="O40" s="31" t="n">
        <x:v>46213</x:v>
      </x:c>
      <x:c r="P40" s="31" t="n">
        <x:v>46214</x:v>
      </x:c>
      <x:c r="Q40" s="31" t="inlineStr">
        <x:is>
          <x:t xml:space="preserve">Завершено</x:t>
        </x:is>
      </x:c>
      <x:c r="R40" s="31" t="inlineStr">
        <x:is>
          <x:t xml:space="preserve">Нет</x:t>
        </x:is>
      </x:c>
      <x:c r="S40" s="31" t="inlineStr">
        <x:is>
          <x:t xml:space="preserve">Нет</x:t>
        </x:is>
      </x:c>
    </x:row>
    <x:row r="41" ht="18" customHeight="1">
      <x:c r="A41" s="31" t="inlineStr">
        <x:is>
          <x:t xml:space="preserve">ОП-000040</x:t>
        </x:is>
      </x:c>
      <x:c r="B41" s="31" t="inlineStr">
        <x:is>
          <x:t xml:space="preserve">ПЗ-00006</x:t>
        </x:is>
      </x:c>
      <x:c r="C41" s="31" t="inlineStr">
        <x:is>
          <x:t xml:space="preserve">ЗК-1004</x:t>
        </x:is>
      </x:c>
      <x:c r="D41" s="31" t="inlineStr">
        <x:is>
          <x:t xml:space="preserve">ПОЗ-0004-1</x:t>
        </x:is>
      </x:c>
      <x:c r="E41" s="31" t="inlineStr">
        <x:is>
          <x:t xml:space="preserve">ИЗД-025</x:t>
        </x:is>
      </x:c>
      <x:c r="F41" s="31" t="n">
        <x:v>10</x:v>
      </x:c>
      <x:c r="G41" s="31" t="inlineStr">
        <x:is>
          <x:t xml:space="preserve">КД</x:t>
        </x:is>
      </x:c>
      <x:c r="H41" s="31" t="inlineStr">
        <x:is>
          <x:t xml:space="preserve">Инженерный отдел</x:t>
        </x:is>
      </x:c>
      <x:c r="I41" s="31" t="n"/>
      <x:c r="J41" s="31" t="inlineStr">
        <x:is>
          <x:t xml:space="preserve">СОТР-012</x:t>
        </x:is>
      </x:c>
      <x:c r="K41" s="31" t="n">
        <x:v>36.4</x:v>
      </x:c>
      <x:c r="L41" s="31" t="n"/>
      <x:c r="M41" s="31" t="n">
        <x:v>46134</x:v>
      </x:c>
      <x:c r="N41" s="31" t="n">
        <x:v>46138</x:v>
      </x:c>
      <x:c r="O41" s="31" t="n"/>
      <x:c r="P41" s="31" t="n"/>
      <x:c r="Q41" s="31" t="inlineStr">
        <x:is>
          <x:t xml:space="preserve">Запланировано</x:t>
        </x:is>
      </x:c>
      <x:c r="R41" s="31" t="inlineStr">
        <x:is>
          <x:t xml:space="preserve">Нет</x:t>
        </x:is>
      </x:c>
      <x:c r="S41" s="31" t="inlineStr">
        <x:is>
          <x:t xml:space="preserve">Да</x:t>
        </x:is>
      </x:c>
    </x:row>
    <x:row r="42" ht="18" customHeight="1">
      <x:c r="A42" s="31" t="inlineStr">
        <x:is>
          <x:t xml:space="preserve">ОП-000041</x:t>
        </x:is>
      </x:c>
      <x:c r="B42" s="31" t="inlineStr">
        <x:is>
          <x:t xml:space="preserve">ПЗ-00006</x:t>
        </x:is>
      </x:c>
      <x:c r="C42" s="31" t="inlineStr">
        <x:is>
          <x:t xml:space="preserve">ЗК-1004</x:t>
        </x:is>
      </x:c>
      <x:c r="D42" s="31" t="inlineStr">
        <x:is>
          <x:t xml:space="preserve">ПОЗ-0004-1</x:t>
        </x:is>
      </x:c>
      <x:c r="E42" s="31" t="inlineStr">
        <x:is>
          <x:t xml:space="preserve">ИЗД-025</x:t>
        </x:is>
      </x:c>
      <x:c r="F42" s="31" t="n">
        <x:v>20</x:v>
      </x:c>
      <x:c r="G42" s="31" t="inlineStr">
        <x:is>
          <x:t xml:space="preserve">Резерв материалов</x:t>
        </x:is>
      </x:c>
      <x:c r="H42" s="31" t="inlineStr">
        <x:is>
          <x:t xml:space="preserve">Склад</x:t>
        </x:is>
      </x:c>
      <x:c r="I42" s="31" t="inlineStr">
        <x:is>
          <x:t xml:space="preserve">ОБ-025</x:t>
        </x:is>
      </x:c>
      <x:c r="J42" s="31" t="inlineStr">
        <x:is>
          <x:t xml:space="preserve">СОТР-038</x:t>
        </x:is>
      </x:c>
      <x:c r="K42" s="31" t="n">
        <x:v>9.199999999999999</x:v>
      </x:c>
      <x:c r="L42" s="31" t="n"/>
      <x:c r="M42" s="31" t="n">
        <x:v>46138</x:v>
      </x:c>
      <x:c r="N42" s="31" t="n">
        <x:v>46139</x:v>
      </x:c>
      <x:c r="O42" s="31" t="n"/>
      <x:c r="P42" s="31" t="n"/>
      <x:c r="Q42" s="31" t="inlineStr">
        <x:is>
          <x:t xml:space="preserve">Запланировано</x:t>
        </x:is>
      </x:c>
      <x:c r="R42" s="31" t="inlineStr">
        <x:is>
          <x:t xml:space="preserve">Нет</x:t>
        </x:is>
      </x:c>
      <x:c r="S42" s="31" t="inlineStr">
        <x:is>
          <x:t xml:space="preserve">Да</x:t>
        </x:is>
      </x:c>
    </x:row>
    <x:row r="43" ht="18" customHeight="1">
      <x:c r="A43" s="31" t="inlineStr">
        <x:is>
          <x:t xml:space="preserve">ОП-000042</x:t>
        </x:is>
      </x:c>
      <x:c r="B43" s="31" t="inlineStr">
        <x:is>
          <x:t xml:space="preserve">ПЗ-00006</x:t>
        </x:is>
      </x:c>
      <x:c r="C43" s="31" t="inlineStr">
        <x:is>
          <x:t xml:space="preserve">ЗК-1004</x:t>
        </x:is>
      </x:c>
      <x:c r="D43" s="31" t="inlineStr">
        <x:is>
          <x:t xml:space="preserve">ПОЗ-0004-1</x:t>
        </x:is>
      </x:c>
      <x:c r="E43" s="31" t="inlineStr">
        <x:is>
          <x:t xml:space="preserve">ИЗД-025</x:t>
        </x:is>
      </x:c>
      <x:c r="F43" s="31" t="n">
        <x:v>30</x:v>
      </x:c>
      <x:c r="G43" s="31" t="inlineStr">
        <x:is>
          <x:t xml:space="preserve">Сварка рамы</x:t>
        </x:is>
      </x:c>
      <x:c r="H43" s="31" t="inlineStr">
        <x:is>
          <x:t xml:space="preserve">Сварка</x:t>
        </x:is>
      </x:c>
      <x:c r="I43" s="31" t="inlineStr">
        <x:is>
          <x:t xml:space="preserve">ОБ-010</x:t>
        </x:is>
      </x:c>
      <x:c r="J43" s="31" t="inlineStr">
        <x:is>
          <x:t xml:space="preserve">СОТР-068</x:t>
        </x:is>
      </x:c>
      <x:c r="K43" s="31" t="n">
        <x:v>40</x:v>
      </x:c>
      <x:c r="L43" s="31" t="n"/>
      <x:c r="M43" s="31" t="n">
        <x:v>46139</x:v>
      </x:c>
      <x:c r="N43" s="31" t="n">
        <x:v>46143</x:v>
      </x:c>
      <x:c r="O43" s="31" t="n"/>
      <x:c r="P43" s="31" t="n"/>
      <x:c r="Q43" s="31" t="inlineStr">
        <x:is>
          <x:t xml:space="preserve">Запланировано</x:t>
        </x:is>
      </x:c>
      <x:c r="R43" s="31" t="inlineStr">
        <x:is>
          <x:t xml:space="preserve">Нет</x:t>
        </x:is>
      </x:c>
      <x:c r="S43" s="31" t="inlineStr">
        <x:is>
          <x:t xml:space="preserve">Нет</x:t>
        </x:is>
      </x:c>
    </x:row>
    <x:row r="44" ht="18" customHeight="1">
      <x:c r="A44" s="31" t="inlineStr">
        <x:is>
          <x:t xml:space="preserve">ОП-000043</x:t>
        </x:is>
      </x:c>
      <x:c r="B44" s="31" t="inlineStr">
        <x:is>
          <x:t xml:space="preserve">ПЗ-00006</x:t>
        </x:is>
      </x:c>
      <x:c r="C44" s="31" t="inlineStr">
        <x:is>
          <x:t xml:space="preserve">ЗК-1004</x:t>
        </x:is>
      </x:c>
      <x:c r="D44" s="31" t="inlineStr">
        <x:is>
          <x:t xml:space="preserve">ПОЗ-0004-1</x:t>
        </x:is>
      </x:c>
      <x:c r="E44" s="31" t="inlineStr">
        <x:is>
          <x:t xml:space="preserve">ИЗД-025</x:t>
        </x:is>
      </x:c>
      <x:c r="F44" s="31" t="n">
        <x:v>40</x:v>
      </x:c>
      <x:c r="G44" s="31" t="inlineStr">
        <x:is>
          <x:t xml:space="preserve">Сборка</x:t>
        </x:is>
      </x:c>
      <x:c r="H44" s="31" t="inlineStr">
        <x:is>
          <x:t xml:space="preserve">Сборка</x:t>
        </x:is>
      </x:c>
      <x:c r="I44" s="31" t="inlineStr">
        <x:is>
          <x:t xml:space="preserve">ОБ-020</x:t>
        </x:is>
      </x:c>
      <x:c r="J44" s="31" t="inlineStr">
        <x:is>
          <x:t xml:space="preserve">СОТР-083</x:t>
        </x:is>
      </x:c>
      <x:c r="K44" s="31" t="n">
        <x:v>30.4</x:v>
      </x:c>
      <x:c r="L44" s="31" t="n"/>
      <x:c r="M44" s="31" t="n">
        <x:v>46143</x:v>
      </x:c>
      <x:c r="N44" s="31" t="n">
        <x:v>46146</x:v>
      </x:c>
      <x:c r="O44" s="31" t="n"/>
      <x:c r="P44" s="31" t="n"/>
      <x:c r="Q44" s="31" t="inlineStr">
        <x:is>
          <x:t xml:space="preserve">Запланировано</x:t>
        </x:is>
      </x:c>
      <x:c r="R44" s="31" t="inlineStr">
        <x:is>
          <x:t xml:space="preserve">Нет</x:t>
        </x:is>
      </x:c>
      <x:c r="S44" s="31" t="inlineStr">
        <x:is>
          <x:t xml:space="preserve">Нет</x:t>
        </x:is>
      </x:c>
    </x:row>
    <x:row r="45" ht="18" customHeight="1">
      <x:c r="A45" s="31" t="inlineStr">
        <x:is>
          <x:t xml:space="preserve">ОП-000044</x:t>
        </x:is>
      </x:c>
      <x:c r="B45" s="31" t="inlineStr">
        <x:is>
          <x:t xml:space="preserve">ПЗ-00006</x:t>
        </x:is>
      </x:c>
      <x:c r="C45" s="31" t="inlineStr">
        <x:is>
          <x:t xml:space="preserve">ЗК-1004</x:t>
        </x:is>
      </x:c>
      <x:c r="D45" s="31" t="inlineStr">
        <x:is>
          <x:t xml:space="preserve">ПОЗ-0004-1</x:t>
        </x:is>
      </x:c>
      <x:c r="E45" s="31" t="inlineStr">
        <x:is>
          <x:t xml:space="preserve">ИЗД-025</x:t>
        </x:is>
      </x:c>
      <x:c r="F45" s="31" t="n">
        <x:v>50</x:v>
      </x:c>
      <x:c r="G45" s="31" t="inlineStr">
        <x:is>
          <x:t xml:space="preserve">Обвязка труб</x:t>
        </x:is>
      </x:c>
      <x:c r="H45" s="31" t="inlineStr">
        <x:is>
          <x:t xml:space="preserve">Сборка</x:t>
        </x:is>
      </x:c>
      <x:c r="I45" s="31" t="inlineStr">
        <x:is>
          <x:t xml:space="preserve">ОБ-014</x:t>
        </x:is>
      </x:c>
      <x:c r="J45" s="31" t="inlineStr">
        <x:is>
          <x:t xml:space="preserve">СОТР-090</x:t>
        </x:is>
      </x:c>
      <x:c r="K45" s="31" t="n">
        <x:v>6.8</x:v>
      </x:c>
      <x:c r="L45" s="31" t="n"/>
      <x:c r="M45" s="31" t="n">
        <x:v>46146</x:v>
      </x:c>
      <x:c r="N45" s="31" t="n">
        <x:v>46147</x:v>
      </x:c>
      <x:c r="O45" s="31" t="n"/>
      <x:c r="P45" s="31" t="n"/>
      <x:c r="Q45" s="31" t="inlineStr">
        <x:is>
          <x:t xml:space="preserve">Запланировано</x:t>
        </x:is>
      </x:c>
      <x:c r="R45" s="31" t="inlineStr">
        <x:is>
          <x:t xml:space="preserve">КД</x:t>
        </x:is>
      </x:c>
      <x:c r="S45" s="31" t="inlineStr">
        <x:is>
          <x:t xml:space="preserve">Нет</x:t>
        </x:is>
      </x:c>
    </x:row>
    <x:row r="46" ht="18" customHeight="1">
      <x:c r="A46" s="31" t="inlineStr">
        <x:is>
          <x:t xml:space="preserve">ОП-000045</x:t>
        </x:is>
      </x:c>
      <x:c r="B46" s="31" t="inlineStr">
        <x:is>
          <x:t xml:space="preserve">ПЗ-00006</x:t>
        </x:is>
      </x:c>
      <x:c r="C46" s="31" t="inlineStr">
        <x:is>
          <x:t xml:space="preserve">ЗК-1004</x:t>
        </x:is>
      </x:c>
      <x:c r="D46" s="31" t="inlineStr">
        <x:is>
          <x:t xml:space="preserve">ПОЗ-0004-1</x:t>
        </x:is>
      </x:c>
      <x:c r="E46" s="31" t="inlineStr">
        <x:is>
          <x:t xml:space="preserve">ИЗД-025</x:t>
        </x:is>
      </x:c>
      <x:c r="F46" s="31" t="n">
        <x:v>60</x:v>
      </x:c>
      <x:c r="G46" s="31" t="inlineStr">
        <x:is>
          <x:t xml:space="preserve">Электромонтаж</x:t>
        </x:is>
      </x:c>
      <x:c r="H46" s="31" t="inlineStr">
        <x:is>
          <x:t xml:space="preserve">Сборка</x:t>
        </x:is>
      </x:c>
      <x:c r="I46" s="31" t="inlineStr">
        <x:is>
          <x:t xml:space="preserve">ОБ-002</x:t>
        </x:is>
      </x:c>
      <x:c r="J46" s="31" t="inlineStr">
        <x:is>
          <x:t xml:space="preserve">СОТР-083</x:t>
        </x:is>
      </x:c>
      <x:c r="K46" s="31" t="n">
        <x:v>43.6</x:v>
      </x:c>
      <x:c r="L46" s="31" t="n"/>
      <x:c r="M46" s="31" t="n">
        <x:v>46147</x:v>
      </x:c>
      <x:c r="N46" s="31" t="n">
        <x:v>46151</x:v>
      </x:c>
      <x:c r="O46" s="31" t="n"/>
      <x:c r="P46" s="31" t="n"/>
      <x:c r="Q46" s="31" t="inlineStr">
        <x:is>
          <x:t xml:space="preserve">Запланировано</x:t>
        </x:is>
      </x:c>
      <x:c r="R46" s="31" t="inlineStr">
        <x:is>
          <x:t xml:space="preserve">Нет</x:t>
        </x:is>
      </x:c>
      <x:c r="S46" s="31" t="inlineStr">
        <x:is>
          <x:t xml:space="preserve">Да</x:t>
        </x:is>
      </x:c>
    </x:row>
    <x:row r="47" ht="18" customHeight="1">
      <x:c r="A47" s="31" t="inlineStr">
        <x:is>
          <x:t xml:space="preserve">ОП-000046</x:t>
        </x:is>
      </x:c>
      <x:c r="B47" s="31" t="inlineStr">
        <x:is>
          <x:t xml:space="preserve">ПЗ-00006</x:t>
        </x:is>
      </x:c>
      <x:c r="C47" s="31" t="inlineStr">
        <x:is>
          <x:t xml:space="preserve">ЗК-1004</x:t>
        </x:is>
      </x:c>
      <x:c r="D47" s="31" t="inlineStr">
        <x:is>
          <x:t xml:space="preserve">ПОЗ-0004-1</x:t>
        </x:is>
      </x:c>
      <x:c r="E47" s="31" t="inlineStr">
        <x:is>
          <x:t xml:space="preserve">ИЗД-025</x:t>
        </x:is>
      </x:c>
      <x:c r="F47" s="31" t="n">
        <x:v>70</x:v>
      </x:c>
      <x:c r="G47" s="31" t="inlineStr">
        <x:is>
          <x:t xml:space="preserve">Гидроиспытания</x:t>
        </x:is>
      </x:c>
      <x:c r="H47" s="31" t="inlineStr">
        <x:is>
          <x:t xml:space="preserve">ОТК</x:t>
        </x:is>
      </x:c>
      <x:c r="I47" s="31" t="inlineStr">
        <x:is>
          <x:t xml:space="preserve">ОБ-015</x:t>
        </x:is>
      </x:c>
      <x:c r="J47" s="31" t="inlineStr">
        <x:is>
          <x:t xml:space="preserve">СОТР-098</x:t>
        </x:is>
      </x:c>
      <x:c r="K47" s="31" t="n">
        <x:v>24</x:v>
      </x:c>
      <x:c r="L47" s="31" t="n"/>
      <x:c r="M47" s="31" t="n">
        <x:v>46151</x:v>
      </x:c>
      <x:c r="N47" s="31" t="n">
        <x:v>46153</x:v>
      </x:c>
      <x:c r="O47" s="31" t="n"/>
      <x:c r="P47" s="31" t="n"/>
      <x:c r="Q47" s="31" t="inlineStr">
        <x:is>
          <x:t xml:space="preserve">Запланировано</x:t>
        </x:is>
      </x:c>
      <x:c r="R47" s="31" t="inlineStr">
        <x:is>
          <x:t xml:space="preserve">Нет</x:t>
        </x:is>
      </x:c>
      <x:c r="S47" s="31" t="inlineStr">
        <x:is>
          <x:t xml:space="preserve">Нет</x:t>
        </x:is>
      </x:c>
    </x:row>
    <x:row r="48" ht="18" customHeight="1">
      <x:c r="A48" s="31" t="inlineStr">
        <x:is>
          <x:t xml:space="preserve">ОП-000047</x:t>
        </x:is>
      </x:c>
      <x:c r="B48" s="31" t="inlineStr">
        <x:is>
          <x:t xml:space="preserve">ПЗ-00006</x:t>
        </x:is>
      </x:c>
      <x:c r="C48" s="31" t="inlineStr">
        <x:is>
          <x:t xml:space="preserve">ЗК-1004</x:t>
        </x:is>
      </x:c>
      <x:c r="D48" s="31" t="inlineStr">
        <x:is>
          <x:t xml:space="preserve">ПОЗ-0004-1</x:t>
        </x:is>
      </x:c>
      <x:c r="E48" s="31" t="inlineStr">
        <x:is>
          <x:t xml:space="preserve">ИЗД-025</x:t>
        </x:is>
      </x:c>
      <x:c r="F48" s="31" t="n">
        <x:v>80</x:v>
      </x:c>
      <x:c r="G48" s="31" t="inlineStr">
        <x:is>
          <x:t xml:space="preserve">ОТК</x:t>
        </x:is>
      </x:c>
      <x:c r="H48" s="31" t="inlineStr">
        <x:is>
          <x:t xml:space="preserve">ОТК</x:t>
        </x:is>
      </x:c>
      <x:c r="I48" s="31" t="inlineStr">
        <x:is>
          <x:t xml:space="preserve">ОБ-022</x:t>
        </x:is>
      </x:c>
      <x:c r="J48" s="31" t="inlineStr">
        <x:is>
          <x:t xml:space="preserve">СОТР-100</x:t>
        </x:is>
      </x:c>
      <x:c r="K48" s="31" t="n">
        <x:v>12.8</x:v>
      </x:c>
      <x:c r="L48" s="31" t="n"/>
      <x:c r="M48" s="31" t="n">
        <x:v>46153</x:v>
      </x:c>
      <x:c r="N48" s="31" t="n">
        <x:v>46155</x:v>
      </x:c>
      <x:c r="O48" s="31" t="n"/>
      <x:c r="P48" s="31" t="n"/>
      <x:c r="Q48" s="31" t="inlineStr">
        <x:is>
          <x:t xml:space="preserve">Запланировано</x:t>
        </x:is>
      </x:c>
      <x:c r="R48" s="31" t="inlineStr">
        <x:is>
          <x:t xml:space="preserve">Нет</x:t>
        </x:is>
      </x:c>
      <x:c r="S48" s="31" t="inlineStr">
        <x:is>
          <x:t xml:space="preserve">Нет</x:t>
        </x:is>
      </x:c>
    </x:row>
    <x:row r="49" ht="18" customHeight="1">
      <x:c r="A49" s="31" t="inlineStr">
        <x:is>
          <x:t xml:space="preserve">ОП-000048</x:t>
        </x:is>
      </x:c>
      <x:c r="B49" s="31" t="inlineStr">
        <x:is>
          <x:t xml:space="preserve">ПЗ-00006</x:t>
        </x:is>
      </x:c>
      <x:c r="C49" s="31" t="inlineStr">
        <x:is>
          <x:t xml:space="preserve">ЗК-1004</x:t>
        </x:is>
      </x:c>
      <x:c r="D49" s="31" t="inlineStr">
        <x:is>
          <x:t xml:space="preserve">ПОЗ-0004-1</x:t>
        </x:is>
      </x:c>
      <x:c r="E49" s="31" t="inlineStr">
        <x:is>
          <x:t xml:space="preserve">ИЗД-025</x:t>
        </x:is>
      </x:c>
      <x:c r="F49" s="31" t="n">
        <x:v>90</x:v>
      </x:c>
      <x:c r="G49" s="31" t="inlineStr">
        <x:is>
          <x:t xml:space="preserve">Упаковка</x:t>
        </x:is>
      </x:c>
      <x:c r="H49" s="31" t="inlineStr">
        <x:is>
          <x:t xml:space="preserve">Логистика</x:t>
        </x:is>
      </x:c>
      <x:c r="I49" s="31" t="n"/>
      <x:c r="J49" s="31" t="inlineStr">
        <x:is>
          <x:t xml:space="preserve">СОТР-103</x:t>
        </x:is>
      </x:c>
      <x:c r="K49" s="31" t="n">
        <x:v>34</x:v>
      </x:c>
      <x:c r="L49" s="31" t="n"/>
      <x:c r="M49" s="31" t="n">
        <x:v>46155</x:v>
      </x:c>
      <x:c r="N49" s="31" t="n">
        <x:v>46158</x:v>
      </x:c>
      <x:c r="O49" s="31" t="n"/>
      <x:c r="P49" s="31" t="n"/>
      <x:c r="Q49" s="31" t="inlineStr">
        <x:is>
          <x:t xml:space="preserve">Запланировано</x:t>
        </x:is>
      </x:c>
      <x:c r="R49" s="31" t="inlineStr">
        <x:is>
          <x:t xml:space="preserve">Нет</x:t>
        </x:is>
      </x:c>
      <x:c r="S49" s="31" t="inlineStr">
        <x:is>
          <x:t xml:space="preserve">Нет</x:t>
        </x:is>
      </x:c>
    </x:row>
    <x:row r="50" ht="18" customHeight="1">
      <x:c r="A50" s="31" t="inlineStr">
        <x:is>
          <x:t xml:space="preserve">ОП-000049</x:t>
        </x:is>
      </x:c>
      <x:c r="B50" s="31" t="inlineStr">
        <x:is>
          <x:t xml:space="preserve">ПЗ-00007</x:t>
        </x:is>
      </x:c>
      <x:c r="C50" s="31" t="inlineStr">
        <x:is>
          <x:t xml:space="preserve">ЗК-1005</x:t>
        </x:is>
      </x:c>
      <x:c r="D50" s="31" t="inlineStr">
        <x:is>
          <x:t xml:space="preserve">ПОЗ-0005-1</x:t>
        </x:is>
      </x:c>
      <x:c r="E50" s="31" t="inlineStr">
        <x:is>
          <x:t xml:space="preserve">ИЗД-016</x:t>
        </x:is>
      </x:c>
      <x:c r="F50" s="31" t="n">
        <x:v>10</x:v>
      </x:c>
      <x:c r="G50" s="31" t="inlineStr">
        <x:is>
          <x:t xml:space="preserve">КД</x:t>
        </x:is>
      </x:c>
      <x:c r="H50" s="31" t="inlineStr">
        <x:is>
          <x:t xml:space="preserve">Инженерный отдел</x:t>
        </x:is>
      </x:c>
      <x:c r="I50" s="31" t="n"/>
      <x:c r="J50" s="31" t="inlineStr">
        <x:is>
          <x:t xml:space="preserve">СОТР-013</x:t>
        </x:is>
      </x:c>
      <x:c r="K50" s="31" t="n">
        <x:v>64</x:v>
      </x:c>
      <x:c r="L50" s="31" t="n">
        <x:v>78.09999999999999</x:v>
      </x:c>
      <x:c r="M50" s="31" t="n">
        <x:v>46117</x:v>
      </x:c>
      <x:c r="N50" s="31" t="n">
        <x:v>46123</x:v>
      </x:c>
      <x:c r="O50" s="31" t="n">
        <x:v>46117</x:v>
      </x:c>
      <x:c r="P50" s="31" t="n">
        <x:v>46122</x:v>
      </x:c>
      <x:c r="Q50" s="31" t="inlineStr">
        <x:is>
          <x:t xml:space="preserve">Завершено</x:t>
        </x:is>
      </x:c>
      <x:c r="R50" s="31" t="inlineStr">
        <x:is>
          <x:t xml:space="preserve">Нет</x:t>
        </x:is>
      </x:c>
      <x:c r="S50" s="31" t="inlineStr">
        <x:is>
          <x:t xml:space="preserve">Да</x:t>
        </x:is>
      </x:c>
    </x:row>
    <x:row r="51" ht="18" customHeight="1">
      <x:c r="A51" s="31" t="inlineStr">
        <x:is>
          <x:t xml:space="preserve">ОП-000050</x:t>
        </x:is>
      </x:c>
      <x:c r="B51" s="31" t="inlineStr">
        <x:is>
          <x:t xml:space="preserve">ПЗ-00007</x:t>
        </x:is>
      </x:c>
      <x:c r="C51" s="31" t="inlineStr">
        <x:is>
          <x:t xml:space="preserve">ЗК-1005</x:t>
        </x:is>
      </x:c>
      <x:c r="D51" s="31" t="inlineStr">
        <x:is>
          <x:t xml:space="preserve">ПОЗ-0005-1</x:t>
        </x:is>
      </x:c>
      <x:c r="E51" s="31" t="inlineStr">
        <x:is>
          <x:t xml:space="preserve">ИЗД-016</x:t>
        </x:is>
      </x:c>
      <x:c r="F51" s="31" t="n">
        <x:v>20</x:v>
      </x:c>
      <x:c r="G51" s="31" t="inlineStr">
        <x:is>
          <x:t xml:space="preserve">Резерв материалов</x:t>
        </x:is>
      </x:c>
      <x:c r="H51" s="31" t="inlineStr">
        <x:is>
          <x:t xml:space="preserve">Склад</x:t>
        </x:is>
      </x:c>
      <x:c r="I51" s="31" t="inlineStr">
        <x:is>
          <x:t xml:space="preserve">ОБ-025</x:t>
        </x:is>
      </x:c>
      <x:c r="J51" s="31" t="inlineStr">
        <x:is>
          <x:t xml:space="preserve">СОТР-033</x:t>
        </x:is>
      </x:c>
      <x:c r="K51" s="31" t="n">
        <x:v>72</x:v>
      </x:c>
      <x:c r="L51" s="31" t="n">
        <x:v>96.5</x:v>
      </x:c>
      <x:c r="M51" s="31" t="n">
        <x:v>46123</x:v>
      </x:c>
      <x:c r="N51" s="31" t="n">
        <x:v>46129</x:v>
      </x:c>
      <x:c r="O51" s="31" t="n">
        <x:v>46123</x:v>
      </x:c>
      <x:c r="P51" s="31" t="n">
        <x:v>46128</x:v>
      </x:c>
      <x:c r="Q51" s="31" t="inlineStr">
        <x:is>
          <x:t xml:space="preserve">Завершено</x:t>
        </x:is>
      </x:c>
      <x:c r="R51" s="31" t="inlineStr">
        <x:is>
          <x:t xml:space="preserve">Материал</x:t>
        </x:is>
      </x:c>
      <x:c r="S51" s="31" t="inlineStr">
        <x:is>
          <x:t xml:space="preserve">Да</x:t>
        </x:is>
      </x:c>
    </x:row>
    <x:row r="52" ht="18" customHeight="1">
      <x:c r="A52" s="31" t="inlineStr">
        <x:is>
          <x:t xml:space="preserve">ОП-000051</x:t>
        </x:is>
      </x:c>
      <x:c r="B52" s="31" t="inlineStr">
        <x:is>
          <x:t xml:space="preserve">ПЗ-00007</x:t>
        </x:is>
      </x:c>
      <x:c r="C52" s="31" t="inlineStr">
        <x:is>
          <x:t xml:space="preserve">ЗК-1005</x:t>
        </x:is>
      </x:c>
      <x:c r="D52" s="31" t="inlineStr">
        <x:is>
          <x:t xml:space="preserve">ПОЗ-0005-1</x:t>
        </x:is>
      </x:c>
      <x:c r="E52" s="31" t="inlineStr">
        <x:is>
          <x:t xml:space="preserve">ИЗД-016</x:t>
        </x:is>
      </x:c>
      <x:c r="F52" s="31" t="n">
        <x:v>30</x:v>
      </x:c>
      <x:c r="G52" s="31" t="inlineStr">
        <x:is>
          <x:t xml:space="preserve">Резка металла</x:t>
        </x:is>
      </x:c>
      <x:c r="H52" s="31" t="inlineStr">
        <x:is>
          <x:t xml:space="preserve">Сварка</x:t>
        </x:is>
      </x:c>
      <x:c r="I52" s="31" t="inlineStr">
        <x:is>
          <x:t xml:space="preserve">ОБ-003</x:t>
        </x:is>
      </x:c>
      <x:c r="J52" s="31" t="inlineStr">
        <x:is>
          <x:t xml:space="preserve">СОТР-056</x:t>
        </x:is>
      </x:c>
      <x:c r="K52" s="31" t="n">
        <x:v>56.5</x:v>
      </x:c>
      <x:c r="L52" s="31" t="n">
        <x:v>47.3</x:v>
      </x:c>
      <x:c r="M52" s="31" t="n">
        <x:v>46129</x:v>
      </x:c>
      <x:c r="N52" s="31" t="n">
        <x:v>46134</x:v>
      </x:c>
      <x:c r="O52" s="31" t="n">
        <x:v>46129</x:v>
      </x:c>
      <x:c r="P52" s="31" t="n">
        <x:v>46134</x:v>
      </x:c>
      <x:c r="Q52" s="31" t="inlineStr">
        <x:is>
          <x:t xml:space="preserve">Завершено</x:t>
        </x:is>
      </x:c>
      <x:c r="R52" s="31" t="inlineStr">
        <x:is>
          <x:t xml:space="preserve">Нет</x:t>
        </x:is>
      </x:c>
      <x:c r="S52" s="31" t="inlineStr">
        <x:is>
          <x:t xml:space="preserve">Нет</x:t>
        </x:is>
      </x:c>
    </x:row>
    <x:row r="53" ht="18" customHeight="1">
      <x:c r="A53" s="31" t="inlineStr">
        <x:is>
          <x:t xml:space="preserve">ОП-000052</x:t>
        </x:is>
      </x:c>
      <x:c r="B53" s="31" t="inlineStr">
        <x:is>
          <x:t xml:space="preserve">ПЗ-00007</x:t>
        </x:is>
      </x:c>
      <x:c r="C53" s="31" t="inlineStr">
        <x:is>
          <x:t xml:space="preserve">ЗК-1005</x:t>
        </x:is>
      </x:c>
      <x:c r="D53" s="31" t="inlineStr">
        <x:is>
          <x:t xml:space="preserve">ПОЗ-0005-1</x:t>
        </x:is>
      </x:c>
      <x:c r="E53" s="31" t="inlineStr">
        <x:is>
          <x:t xml:space="preserve">ИЗД-016</x:t>
        </x:is>
      </x:c>
      <x:c r="F53" s="31" t="n">
        <x:v>40</x:v>
      </x:c>
      <x:c r="G53" s="31" t="inlineStr">
        <x:is>
          <x:t xml:space="preserve">Сварка рамы</x:t>
        </x:is>
      </x:c>
      <x:c r="H53" s="31" t="inlineStr">
        <x:is>
          <x:t xml:space="preserve">Сварка</x:t>
        </x:is>
      </x:c>
      <x:c r="I53" s="31" t="inlineStr">
        <x:is>
          <x:t xml:space="preserve">ОБ-010</x:t>
        </x:is>
      </x:c>
      <x:c r="J53" s="31" t="inlineStr">
        <x:is>
          <x:t xml:space="preserve">СОТР-060</x:t>
        </x:is>
      </x:c>
      <x:c r="K53" s="31" t="n">
        <x:v>58</x:v>
      </x:c>
      <x:c r="L53" s="31" t="n">
        <x:v>50</x:v>
      </x:c>
      <x:c r="M53" s="31" t="n">
        <x:v>46134</x:v>
      </x:c>
      <x:c r="N53" s="31" t="n">
        <x:v>46139</x:v>
      </x:c>
      <x:c r="O53" s="31" t="n">
        <x:v>46134</x:v>
      </x:c>
      <x:c r="P53" s="31" t="n">
        <x:v>46139</x:v>
      </x:c>
      <x:c r="Q53" s="31" t="inlineStr">
        <x:is>
          <x:t xml:space="preserve">Завершено</x:t>
        </x:is>
      </x:c>
      <x:c r="R53" s="31" t="inlineStr">
        <x:is>
          <x:t xml:space="preserve">Нет</x:t>
        </x:is>
      </x:c>
      <x:c r="S53" s="31" t="inlineStr">
        <x:is>
          <x:t xml:space="preserve">Нет</x:t>
        </x:is>
      </x:c>
    </x:row>
    <x:row r="54" ht="18" customHeight="1">
      <x:c r="A54" s="31" t="inlineStr">
        <x:is>
          <x:t xml:space="preserve">ОП-000053</x:t>
        </x:is>
      </x:c>
      <x:c r="B54" s="31" t="inlineStr">
        <x:is>
          <x:t xml:space="preserve">ПЗ-00007</x:t>
        </x:is>
      </x:c>
      <x:c r="C54" s="31" t="inlineStr">
        <x:is>
          <x:t xml:space="preserve">ЗК-1005</x:t>
        </x:is>
      </x:c>
      <x:c r="D54" s="31" t="inlineStr">
        <x:is>
          <x:t xml:space="preserve">ПОЗ-0005-1</x:t>
        </x:is>
      </x:c>
      <x:c r="E54" s="31" t="inlineStr">
        <x:is>
          <x:t xml:space="preserve">ИЗД-016</x:t>
        </x:is>
      </x:c>
      <x:c r="F54" s="31" t="n">
        <x:v>50</x:v>
      </x:c>
      <x:c r="G54" s="31" t="inlineStr">
        <x:is>
          <x:t xml:space="preserve">Механообработка</x:t>
        </x:is>
      </x:c>
      <x:c r="H54" s="31" t="inlineStr">
        <x:is>
          <x:t xml:space="preserve">Механообработка</x:t>
        </x:is>
      </x:c>
      <x:c r="I54" s="31" t="inlineStr">
        <x:is>
          <x:t xml:space="preserve">ОБ-029</x:t>
        </x:is>
      </x:c>
      <x:c r="J54" s="31" t="inlineStr">
        <x:is>
          <x:t xml:space="preserve">СОТР-053</x:t>
        </x:is>
      </x:c>
      <x:c r="K54" s="31" t="n">
        <x:v>75.5</x:v>
      </x:c>
      <x:c r="L54" s="31" t="n">
        <x:v>80.40000000000001</x:v>
      </x:c>
      <x:c r="M54" s="31" t="n">
        <x:v>46139</x:v>
      </x:c>
      <x:c r="N54" s="31" t="n">
        <x:v>46146</x:v>
      </x:c>
      <x:c r="O54" s="31" t="n">
        <x:v>46139</x:v>
      </x:c>
      <x:c r="P54" s="31" t="n">
        <x:v>46145</x:v>
      </x:c>
      <x:c r="Q54" s="31" t="inlineStr">
        <x:is>
          <x:t xml:space="preserve">Завершено</x:t>
        </x:is>
      </x:c>
      <x:c r="R54" s="31" t="inlineStr">
        <x:is>
          <x:t xml:space="preserve">Нет</x:t>
        </x:is>
      </x:c>
      <x:c r="S54" s="31" t="inlineStr">
        <x:is>
          <x:t xml:space="preserve">Нет</x:t>
        </x:is>
      </x:c>
    </x:row>
    <x:row r="55" ht="18" customHeight="1">
      <x:c r="A55" s="31" t="inlineStr">
        <x:is>
          <x:t xml:space="preserve">ОП-000054</x:t>
        </x:is>
      </x:c>
      <x:c r="B55" s="31" t="inlineStr">
        <x:is>
          <x:t xml:space="preserve">ПЗ-00007</x:t>
        </x:is>
      </x:c>
      <x:c r="C55" s="31" t="inlineStr">
        <x:is>
          <x:t xml:space="preserve">ЗК-1005</x:t>
        </x:is>
      </x:c>
      <x:c r="D55" s="31" t="inlineStr">
        <x:is>
          <x:t xml:space="preserve">ПОЗ-0005-1</x:t>
        </x:is>
      </x:c>
      <x:c r="E55" s="31" t="inlineStr">
        <x:is>
          <x:t xml:space="preserve">ИЗД-016</x:t>
        </x:is>
      </x:c>
      <x:c r="F55" s="31" t="n">
        <x:v>60</x:v>
      </x:c>
      <x:c r="G55" s="31" t="inlineStr">
        <x:is>
          <x:t xml:space="preserve">Сборка</x:t>
        </x:is>
      </x:c>
      <x:c r="H55" s="31" t="inlineStr">
        <x:is>
          <x:t xml:space="preserve">Сборка</x:t>
        </x:is>
      </x:c>
      <x:c r="I55" s="31" t="inlineStr">
        <x:is>
          <x:t xml:space="preserve">ОБ-027</x:t>
        </x:is>
      </x:c>
      <x:c r="J55" s="31" t="inlineStr">
        <x:is>
          <x:t xml:space="preserve">СОТР-085</x:t>
        </x:is>
      </x:c>
      <x:c r="K55" s="31" t="n">
        <x:v>75.5</x:v>
      </x:c>
      <x:c r="L55" s="31" t="n">
        <x:v>75.09999999999999</x:v>
      </x:c>
      <x:c r="M55" s="31" t="n">
        <x:v>46146</x:v>
      </x:c>
      <x:c r="N55" s="31" t="n">
        <x:v>46153</x:v>
      </x:c>
      <x:c r="O55" s="31" t="n">
        <x:v>46146</x:v>
      </x:c>
      <x:c r="P55" s="31" t="n">
        <x:v>46152</x:v>
      </x:c>
      <x:c r="Q55" s="31" t="inlineStr">
        <x:is>
          <x:t xml:space="preserve">Завершено</x:t>
        </x:is>
      </x:c>
      <x:c r="R55" s="31" t="inlineStr">
        <x:is>
          <x:t xml:space="preserve">Нет</x:t>
        </x:is>
      </x:c>
      <x:c r="S55" s="31" t="inlineStr">
        <x:is>
          <x:t xml:space="preserve">Нет</x:t>
        </x:is>
      </x:c>
    </x:row>
    <x:row r="56" ht="18" customHeight="1">
      <x:c r="A56" s="31" t="inlineStr">
        <x:is>
          <x:t xml:space="preserve">ОП-000055</x:t>
        </x:is>
      </x:c>
      <x:c r="B56" s="31" t="inlineStr">
        <x:is>
          <x:t xml:space="preserve">ПЗ-00007</x:t>
        </x:is>
      </x:c>
      <x:c r="C56" s="31" t="inlineStr">
        <x:is>
          <x:t xml:space="preserve">ЗК-1005</x:t>
        </x:is>
      </x:c>
      <x:c r="D56" s="31" t="inlineStr">
        <x:is>
          <x:t xml:space="preserve">ПОЗ-0005-1</x:t>
        </x:is>
      </x:c>
      <x:c r="E56" s="31" t="inlineStr">
        <x:is>
          <x:t xml:space="preserve">ИЗД-016</x:t>
        </x:is>
      </x:c>
      <x:c r="F56" s="31" t="n">
        <x:v>70</x:v>
      </x:c>
      <x:c r="G56" s="31" t="inlineStr">
        <x:is>
          <x:t xml:space="preserve">Электромонтаж</x:t>
        </x:is>
      </x:c>
      <x:c r="H56" s="31" t="inlineStr">
        <x:is>
          <x:t xml:space="preserve">Сборка</x:t>
        </x:is>
      </x:c>
      <x:c r="I56" s="31" t="inlineStr">
        <x:is>
          <x:t xml:space="preserve">ОБ-014</x:t>
        </x:is>
      </x:c>
      <x:c r="J56" s="31" t="inlineStr">
        <x:is>
          <x:t xml:space="preserve">СОТР-081</x:t>
        </x:is>
      </x:c>
      <x:c r="K56" s="31" t="n">
        <x:v>87</x:v>
      </x:c>
      <x:c r="L56" s="31" t="n">
        <x:v>113.2</x:v>
      </x:c>
      <x:c r="M56" s="31" t="n">
        <x:v>46153</x:v>
      </x:c>
      <x:c r="N56" s="31" t="n">
        <x:v>46161</x:v>
      </x:c>
      <x:c r="O56" s="31" t="n">
        <x:v>46153</x:v>
      </x:c>
      <x:c r="P56" s="31" t="n">
        <x:v>46160</x:v>
      </x:c>
      <x:c r="Q56" s="31" t="inlineStr">
        <x:is>
          <x:t xml:space="preserve">Завершено</x:t>
        </x:is>
      </x:c>
      <x:c r="R56" s="31" t="inlineStr">
        <x:is>
          <x:t xml:space="preserve">Нет</x:t>
        </x:is>
      </x:c>
      <x:c r="S56" s="31" t="inlineStr">
        <x:is>
          <x:t xml:space="preserve">Да</x:t>
        </x:is>
      </x:c>
    </x:row>
    <x:row r="57" ht="18" customHeight="1">
      <x:c r="A57" s="31" t="inlineStr">
        <x:is>
          <x:t xml:space="preserve">ОП-000056</x:t>
        </x:is>
      </x:c>
      <x:c r="B57" s="31" t="inlineStr">
        <x:is>
          <x:t xml:space="preserve">ПЗ-00007</x:t>
        </x:is>
      </x:c>
      <x:c r="C57" s="31" t="inlineStr">
        <x:is>
          <x:t xml:space="preserve">ЗК-1005</x:t>
        </x:is>
      </x:c>
      <x:c r="D57" s="31" t="inlineStr">
        <x:is>
          <x:t xml:space="preserve">ПОЗ-0005-1</x:t>
        </x:is>
      </x:c>
      <x:c r="E57" s="31" t="inlineStr">
        <x:is>
          <x:t xml:space="preserve">ИЗД-016</x:t>
        </x:is>
      </x:c>
      <x:c r="F57" s="31" t="n">
        <x:v>80</x:v>
      </x:c>
      <x:c r="G57" s="31" t="inlineStr">
        <x:is>
          <x:t xml:space="preserve">Гидроиспытания</x:t>
        </x:is>
      </x:c>
      <x:c r="H57" s="31" t="inlineStr">
        <x:is>
          <x:t xml:space="preserve">ОТК</x:t>
        </x:is>
      </x:c>
      <x:c r="I57" s="31" t="inlineStr">
        <x:is>
          <x:t xml:space="preserve">ОБ-028</x:t>
        </x:is>
      </x:c>
      <x:c r="J57" s="31" t="inlineStr">
        <x:is>
          <x:t xml:space="preserve">СОТР-092</x:t>
        </x:is>
      </x:c>
      <x:c r="K57" s="31" t="n">
        <x:v>9</x:v>
      </x:c>
      <x:c r="L57" s="31" t="n">
        <x:v>8</x:v>
      </x:c>
      <x:c r="M57" s="31" t="n">
        <x:v>46161</x:v>
      </x:c>
      <x:c r="N57" s="31" t="n">
        <x:v>46162</x:v>
      </x:c>
      <x:c r="O57" s="31" t="n">
        <x:v>46161</x:v>
      </x:c>
      <x:c r="P57" s="31" t="n">
        <x:v>46161</x:v>
      </x:c>
      <x:c r="Q57" s="31" t="inlineStr">
        <x:is>
          <x:t xml:space="preserve">Завершено</x:t>
        </x:is>
      </x:c>
      <x:c r="R57" s="31" t="inlineStr">
        <x:is>
          <x:t xml:space="preserve">Нет</x:t>
        </x:is>
      </x:c>
      <x:c r="S57" s="31" t="inlineStr">
        <x:is>
          <x:t xml:space="preserve">Нет</x:t>
        </x:is>
      </x:c>
    </x:row>
    <x:row r="58" ht="18" customHeight="1">
      <x:c r="A58" s="31" t="inlineStr">
        <x:is>
          <x:t xml:space="preserve">ОП-000057</x:t>
        </x:is>
      </x:c>
      <x:c r="B58" s="31" t="inlineStr">
        <x:is>
          <x:t xml:space="preserve">ПЗ-00007</x:t>
        </x:is>
      </x:c>
      <x:c r="C58" s="31" t="inlineStr">
        <x:is>
          <x:t xml:space="preserve">ЗК-1005</x:t>
        </x:is>
      </x:c>
      <x:c r="D58" s="31" t="inlineStr">
        <x:is>
          <x:t xml:space="preserve">ПОЗ-0005-1</x:t>
        </x:is>
      </x:c>
      <x:c r="E58" s="31" t="inlineStr">
        <x:is>
          <x:t xml:space="preserve">ИЗД-016</x:t>
        </x:is>
      </x:c>
      <x:c r="F58" s="31" t="n">
        <x:v>90</x:v>
      </x:c>
      <x:c r="G58" s="31" t="inlineStr">
        <x:is>
          <x:t xml:space="preserve">ОТК</x:t>
        </x:is>
      </x:c>
      <x:c r="H58" s="31" t="inlineStr">
        <x:is>
          <x:t xml:space="preserve">ОТК</x:t>
        </x:is>
      </x:c>
      <x:c r="I58" s="31" t="inlineStr">
        <x:is>
          <x:t xml:space="preserve">ОБ-028</x:t>
        </x:is>
      </x:c>
      <x:c r="J58" s="31" t="inlineStr">
        <x:is>
          <x:t xml:space="preserve">СОТР-100</x:t>
        </x:is>
      </x:c>
      <x:c r="K58" s="31" t="n">
        <x:v>8.5</x:v>
      </x:c>
      <x:c r="L58" s="31" t="n">
        <x:v>9</x:v>
      </x:c>
      <x:c r="M58" s="31" t="n">
        <x:v>46162</x:v>
      </x:c>
      <x:c r="N58" s="31" t="n">
        <x:v>46163</x:v>
      </x:c>
      <x:c r="O58" s="31" t="n">
        <x:v>46162</x:v>
      </x:c>
      <x:c r="P58" s="31" t="n">
        <x:v>46163</x:v>
      </x:c>
      <x:c r="Q58" s="31" t="inlineStr">
        <x:is>
          <x:t xml:space="preserve">Завершено</x:t>
        </x:is>
      </x:c>
      <x:c r="R58" s="31" t="inlineStr">
        <x:is>
          <x:t xml:space="preserve">Оборудование</x:t>
        </x:is>
      </x:c>
      <x:c r="S58" s="31" t="inlineStr">
        <x:is>
          <x:t xml:space="preserve">Нет</x:t>
        </x:is>
      </x:c>
    </x:row>
    <x:row r="59" ht="18" customHeight="1">
      <x:c r="A59" s="31" t="inlineStr">
        <x:is>
          <x:t xml:space="preserve">ОП-000058</x:t>
        </x:is>
      </x:c>
      <x:c r="B59" s="31" t="inlineStr">
        <x:is>
          <x:t xml:space="preserve">ПЗ-00007</x:t>
        </x:is>
      </x:c>
      <x:c r="C59" s="31" t="inlineStr">
        <x:is>
          <x:t xml:space="preserve">ЗК-1005</x:t>
        </x:is>
      </x:c>
      <x:c r="D59" s="31" t="inlineStr">
        <x:is>
          <x:t xml:space="preserve">ПОЗ-0005-1</x:t>
        </x:is>
      </x:c>
      <x:c r="E59" s="31" t="inlineStr">
        <x:is>
          <x:t xml:space="preserve">ИЗД-016</x:t>
        </x:is>
      </x:c>
      <x:c r="F59" s="31" t="n">
        <x:v>100</x:v>
      </x:c>
      <x:c r="G59" s="31" t="inlineStr">
        <x:is>
          <x:t xml:space="preserve">Упаковка</x:t>
        </x:is>
      </x:c>
      <x:c r="H59" s="31" t="inlineStr">
        <x:is>
          <x:t xml:space="preserve">Логистика</x:t>
        </x:is>
      </x:c>
      <x:c r="I59" s="31" t="n"/>
      <x:c r="J59" s="31" t="inlineStr">
        <x:is>
          <x:t xml:space="preserve">СОТР-070</x:t>
        </x:is>
      </x:c>
      <x:c r="K59" s="31" t="n">
        <x:v>50</x:v>
      </x:c>
      <x:c r="L59" s="31" t="n">
        <x:v>61.8</x:v>
      </x:c>
      <x:c r="M59" s="31" t="n">
        <x:v>46163</x:v>
      </x:c>
      <x:c r="N59" s="31" t="n">
        <x:v>46168</x:v>
      </x:c>
      <x:c r="O59" s="31" t="n">
        <x:v>46163</x:v>
      </x:c>
      <x:c r="P59" s="31" t="n">
        <x:v>46170</x:v>
      </x:c>
      <x:c r="Q59" s="31" t="inlineStr">
        <x:is>
          <x:t xml:space="preserve">Завершено</x:t>
        </x:is>
      </x:c>
      <x:c r="R59" s="31" t="inlineStr">
        <x:is>
          <x:t xml:space="preserve">Нет</x:t>
        </x:is>
      </x:c>
      <x:c r="S59" s="31" t="inlineStr">
        <x:is>
          <x:t xml:space="preserve">Нет</x:t>
        </x:is>
      </x:c>
    </x:row>
    <x:row r="60" ht="18" customHeight="1">
      <x:c r="A60" s="31" t="inlineStr">
        <x:is>
          <x:t xml:space="preserve">ОП-000059</x:t>
        </x:is>
      </x:c>
      <x:c r="B60" s="31" t="inlineStr">
        <x:is>
          <x:t xml:space="preserve">ПЗ-00008</x:t>
        </x:is>
      </x:c>
      <x:c r="C60" s="31" t="inlineStr">
        <x:is>
          <x:t xml:space="preserve">ЗК-1005</x:t>
        </x:is>
      </x:c>
      <x:c r="D60" s="31" t="inlineStr">
        <x:is>
          <x:t xml:space="preserve">ПОЗ-0005-2</x:t>
        </x:is>
      </x:c>
      <x:c r="E60" s="31" t="inlineStr">
        <x:is>
          <x:t xml:space="preserve">ИЗД-004</x:t>
        </x:is>
      </x:c>
      <x:c r="F60" s="31" t="n">
        <x:v>10</x:v>
      </x:c>
      <x:c r="G60" s="31" t="inlineStr">
        <x:is>
          <x:t xml:space="preserve">КД</x:t>
        </x:is>
      </x:c>
      <x:c r="H60" s="31" t="inlineStr">
        <x:is>
          <x:t xml:space="preserve">Инженерный отдел</x:t>
        </x:is>
      </x:c>
      <x:c r="I60" s="31" t="n"/>
      <x:c r="J60" s="31" t="inlineStr">
        <x:is>
          <x:t xml:space="preserve">СОТР-016</x:t>
        </x:is>
      </x:c>
      <x:c r="K60" s="31" t="n">
        <x:v>38.4</x:v>
      </x:c>
      <x:c r="L60" s="31" t="n">
        <x:v>49.7</x:v>
      </x:c>
      <x:c r="M60" s="31" t="n">
        <x:v>46114</x:v>
      </x:c>
      <x:c r="N60" s="31" t="n">
        <x:v>46118</x:v>
      </x:c>
      <x:c r="O60" s="31" t="n">
        <x:v>46114</x:v>
      </x:c>
      <x:c r="P60" s="31" t="n">
        <x:v>46118</x:v>
      </x:c>
      <x:c r="Q60" s="31" t="inlineStr">
        <x:is>
          <x:t xml:space="preserve">Завершено</x:t>
        </x:is>
      </x:c>
      <x:c r="R60" s="31" t="inlineStr">
        <x:is>
          <x:t xml:space="preserve">Нет</x:t>
        </x:is>
      </x:c>
      <x:c r="S60" s="31" t="inlineStr">
        <x:is>
          <x:t xml:space="preserve">Нет</x:t>
        </x:is>
      </x:c>
    </x:row>
    <x:row r="61" ht="18" customHeight="1">
      <x:c r="A61" s="31" t="inlineStr">
        <x:is>
          <x:t xml:space="preserve">ОП-000060</x:t>
        </x:is>
      </x:c>
      <x:c r="B61" s="31" t="inlineStr">
        <x:is>
          <x:t xml:space="preserve">ПЗ-00008</x:t>
        </x:is>
      </x:c>
      <x:c r="C61" s="31" t="inlineStr">
        <x:is>
          <x:t xml:space="preserve">ЗК-1005</x:t>
        </x:is>
      </x:c>
      <x:c r="D61" s="31" t="inlineStr">
        <x:is>
          <x:t xml:space="preserve">ПОЗ-0005-2</x:t>
        </x:is>
      </x:c>
      <x:c r="E61" s="31" t="inlineStr">
        <x:is>
          <x:t xml:space="preserve">ИЗД-004</x:t>
        </x:is>
      </x:c>
      <x:c r="F61" s="31" t="n">
        <x:v>20</x:v>
      </x:c>
      <x:c r="G61" s="31" t="inlineStr">
        <x:is>
          <x:t xml:space="preserve">Резерв материалов</x:t>
        </x:is>
      </x:c>
      <x:c r="H61" s="31" t="inlineStr">
        <x:is>
          <x:t xml:space="preserve">Склад</x:t>
        </x:is>
      </x:c>
      <x:c r="I61" s="31" t="inlineStr">
        <x:is>
          <x:t xml:space="preserve">ОБ-011</x:t>
        </x:is>
      </x:c>
      <x:c r="J61" s="31" t="inlineStr">
        <x:is>
          <x:t xml:space="preserve">СОТР-037</x:t>
        </x:is>
      </x:c>
      <x:c r="K61" s="31" t="n">
        <x:v>14.2</x:v>
      </x:c>
      <x:c r="L61" s="31" t="n">
        <x:v>19.1</x:v>
      </x:c>
      <x:c r="M61" s="31" t="n">
        <x:v>46118</x:v>
      </x:c>
      <x:c r="N61" s="31" t="n">
        <x:v>46120</x:v>
      </x:c>
      <x:c r="O61" s="31" t="n">
        <x:v>46118</x:v>
      </x:c>
      <x:c r="P61" s="31" t="n">
        <x:v>46119</x:v>
      </x:c>
      <x:c r="Q61" s="31" t="inlineStr">
        <x:is>
          <x:t xml:space="preserve">Завершено</x:t>
        </x:is>
      </x:c>
      <x:c r="R61" s="31" t="inlineStr">
        <x:is>
          <x:t xml:space="preserve">Оборудование</x:t>
        </x:is>
      </x:c>
      <x:c r="S61" s="31" t="inlineStr">
        <x:is>
          <x:t xml:space="preserve">Нет</x:t>
        </x:is>
      </x:c>
    </x:row>
    <x:row r="62" ht="18" customHeight="1">
      <x:c r="A62" s="31" t="inlineStr">
        <x:is>
          <x:t xml:space="preserve">ОП-000061</x:t>
        </x:is>
      </x:c>
      <x:c r="B62" s="31" t="inlineStr">
        <x:is>
          <x:t xml:space="preserve">ПЗ-00008</x:t>
        </x:is>
      </x:c>
      <x:c r="C62" s="31" t="inlineStr">
        <x:is>
          <x:t xml:space="preserve">ЗК-1005</x:t>
        </x:is>
      </x:c>
      <x:c r="D62" s="31" t="inlineStr">
        <x:is>
          <x:t xml:space="preserve">ПОЗ-0005-2</x:t>
        </x:is>
      </x:c>
      <x:c r="E62" s="31" t="inlineStr">
        <x:is>
          <x:t xml:space="preserve">ИЗД-004</x:t>
        </x:is>
      </x:c>
      <x:c r="F62" s="31" t="n">
        <x:v>30</x:v>
      </x:c>
      <x:c r="G62" s="31" t="inlineStr">
        <x:is>
          <x:t xml:space="preserve">Сварка рамы</x:t>
        </x:is>
      </x:c>
      <x:c r="H62" s="31" t="inlineStr">
        <x:is>
          <x:t xml:space="preserve">Сварка</x:t>
        </x:is>
      </x:c>
      <x:c r="I62" s="31" t="inlineStr">
        <x:is>
          <x:t xml:space="preserve">ОБ-021</x:t>
        </x:is>
      </x:c>
      <x:c r="J62" s="31" t="inlineStr">
        <x:is>
          <x:t xml:space="preserve">СОТР-062</x:t>
        </x:is>
      </x:c>
      <x:c r="K62" s="31" t="n">
        <x:v>25.4</x:v>
      </x:c>
      <x:c r="L62" s="31" t="n">
        <x:v>33.9</x:v>
      </x:c>
      <x:c r="M62" s="31" t="n">
        <x:v>46120</x:v>
      </x:c>
      <x:c r="N62" s="31" t="n">
        <x:v>46123</x:v>
      </x:c>
      <x:c r="O62" s="31" t="n">
        <x:v>46120</x:v>
      </x:c>
      <x:c r="P62" s="31" t="n">
        <x:v>46122</x:v>
      </x:c>
      <x:c r="Q62" s="31" t="inlineStr">
        <x:is>
          <x:t xml:space="preserve">Завершено</x:t>
        </x:is>
      </x:c>
      <x:c r="R62" s="31" t="inlineStr">
        <x:is>
          <x:t xml:space="preserve">Материал</x:t>
        </x:is>
      </x:c>
      <x:c r="S62" s="31" t="inlineStr">
        <x:is>
          <x:t xml:space="preserve">Нет</x:t>
        </x:is>
      </x:c>
    </x:row>
    <x:row r="63" ht="18" customHeight="1">
      <x:c r="A63" s="31" t="inlineStr">
        <x:is>
          <x:t xml:space="preserve">ОП-000062</x:t>
        </x:is>
      </x:c>
      <x:c r="B63" s="31" t="inlineStr">
        <x:is>
          <x:t xml:space="preserve">ПЗ-00008</x:t>
        </x:is>
      </x:c>
      <x:c r="C63" s="31" t="inlineStr">
        <x:is>
          <x:t xml:space="preserve">ЗК-1005</x:t>
        </x:is>
      </x:c>
      <x:c r="D63" s="31" t="inlineStr">
        <x:is>
          <x:t xml:space="preserve">ПОЗ-0005-2</x:t>
        </x:is>
      </x:c>
      <x:c r="E63" s="31" t="inlineStr">
        <x:is>
          <x:t xml:space="preserve">ИЗД-004</x:t>
        </x:is>
      </x:c>
      <x:c r="F63" s="31" t="n">
        <x:v>40</x:v>
      </x:c>
      <x:c r="G63" s="31" t="inlineStr">
        <x:is>
          <x:t xml:space="preserve">Сборка</x:t>
        </x:is>
      </x:c>
      <x:c r="H63" s="31" t="inlineStr">
        <x:is>
          <x:t xml:space="preserve">Сборка</x:t>
        </x:is>
      </x:c>
      <x:c r="I63" s="31" t="inlineStr">
        <x:is>
          <x:t xml:space="preserve">ОБ-034</x:t>
        </x:is>
      </x:c>
      <x:c r="J63" s="31" t="inlineStr">
        <x:is>
          <x:t xml:space="preserve">СОТР-075</x:t>
        </x:is>
      </x:c>
      <x:c r="K63" s="31" t="n">
        <x:v>10.8</x:v>
      </x:c>
      <x:c r="L63" s="31" t="n">
        <x:v>12.2</x:v>
      </x:c>
      <x:c r="M63" s="31" t="n">
        <x:v>46123</x:v>
      </x:c>
      <x:c r="N63" s="31" t="n">
        <x:v>46124</x:v>
      </x:c>
      <x:c r="O63" s="31" t="n">
        <x:v>46123</x:v>
      </x:c>
      <x:c r="P63" s="31" t="n">
        <x:v>46123</x:v>
      </x:c>
      <x:c r="Q63" s="31" t="inlineStr">
        <x:is>
          <x:t xml:space="preserve">Завершено</x:t>
        </x:is>
      </x:c>
      <x:c r="R63" s="31" t="inlineStr">
        <x:is>
          <x:t xml:space="preserve">Нет</x:t>
        </x:is>
      </x:c>
      <x:c r="S63" s="31" t="inlineStr">
        <x:is>
          <x:t xml:space="preserve">Нет</x:t>
        </x:is>
      </x:c>
    </x:row>
    <x:row r="64" ht="18" customHeight="1">
      <x:c r="A64" s="31" t="inlineStr">
        <x:is>
          <x:t xml:space="preserve">ОП-000063</x:t>
        </x:is>
      </x:c>
      <x:c r="B64" s="31" t="inlineStr">
        <x:is>
          <x:t xml:space="preserve">ПЗ-00008</x:t>
        </x:is>
      </x:c>
      <x:c r="C64" s="31" t="inlineStr">
        <x:is>
          <x:t xml:space="preserve">ЗК-1005</x:t>
        </x:is>
      </x:c>
      <x:c r="D64" s="31" t="inlineStr">
        <x:is>
          <x:t xml:space="preserve">ПОЗ-0005-2</x:t>
        </x:is>
      </x:c>
      <x:c r="E64" s="31" t="inlineStr">
        <x:is>
          <x:t xml:space="preserve">ИЗД-004</x:t>
        </x:is>
      </x:c>
      <x:c r="F64" s="31" t="n">
        <x:v>50</x:v>
      </x:c>
      <x:c r="G64" s="31" t="inlineStr">
        <x:is>
          <x:t xml:space="preserve">Обвязка труб</x:t>
        </x:is>
      </x:c>
      <x:c r="H64" s="31" t="inlineStr">
        <x:is>
          <x:t xml:space="preserve">Сборка</x:t>
        </x:is>
      </x:c>
      <x:c r="I64" s="31" t="inlineStr">
        <x:is>
          <x:t xml:space="preserve">ОБ-027</x:t>
        </x:is>
      </x:c>
      <x:c r="J64" s="31" t="inlineStr">
        <x:is>
          <x:t xml:space="preserve">СОТР-084</x:t>
        </x:is>
      </x:c>
      <x:c r="K64" s="31" t="n">
        <x:v>37</x:v>
      </x:c>
      <x:c r="L64" s="31" t="n">
        <x:v>42.3</x:v>
      </x:c>
      <x:c r="M64" s="31" t="n">
        <x:v>46124</x:v>
      </x:c>
      <x:c r="N64" s="31" t="n">
        <x:v>46128</x:v>
      </x:c>
      <x:c r="O64" s="31" t="n">
        <x:v>46124</x:v>
      </x:c>
      <x:c r="P64" s="31" t="n">
        <x:v>46127</x:v>
      </x:c>
      <x:c r="Q64" s="31" t="inlineStr">
        <x:is>
          <x:t xml:space="preserve">Завершено</x:t>
        </x:is>
      </x:c>
      <x:c r="R64" s="31" t="inlineStr">
        <x:is>
          <x:t xml:space="preserve">Нет</x:t>
        </x:is>
      </x:c>
      <x:c r="S64" s="31" t="inlineStr">
        <x:is>
          <x:t xml:space="preserve">Нет</x:t>
        </x:is>
      </x:c>
    </x:row>
    <x:row r="65" ht="18" customHeight="1">
      <x:c r="A65" s="31" t="inlineStr">
        <x:is>
          <x:t xml:space="preserve">ОП-000064</x:t>
        </x:is>
      </x:c>
      <x:c r="B65" s="31" t="inlineStr">
        <x:is>
          <x:t xml:space="preserve">ПЗ-00008</x:t>
        </x:is>
      </x:c>
      <x:c r="C65" s="31" t="inlineStr">
        <x:is>
          <x:t xml:space="preserve">ЗК-1005</x:t>
        </x:is>
      </x:c>
      <x:c r="D65" s="31" t="inlineStr">
        <x:is>
          <x:t xml:space="preserve">ПОЗ-0005-2</x:t>
        </x:is>
      </x:c>
      <x:c r="E65" s="31" t="inlineStr">
        <x:is>
          <x:t xml:space="preserve">ИЗД-004</x:t>
        </x:is>
      </x:c>
      <x:c r="F65" s="31" t="n">
        <x:v>60</x:v>
      </x:c>
      <x:c r="G65" s="31" t="inlineStr">
        <x:is>
          <x:t xml:space="preserve">Электромонтаж</x:t>
        </x:is>
      </x:c>
      <x:c r="H65" s="31" t="inlineStr">
        <x:is>
          <x:t xml:space="preserve">Сборка</x:t>
        </x:is>
      </x:c>
      <x:c r="I65" s="31" t="inlineStr">
        <x:is>
          <x:t xml:space="preserve">ОБ-016</x:t>
        </x:is>
      </x:c>
      <x:c r="J65" s="31" t="inlineStr">
        <x:is>
          <x:t xml:space="preserve">СОТР-084</x:t>
        </x:is>
      </x:c>
      <x:c r="K65" s="31" t="n">
        <x:v>4.4</x:v>
      </x:c>
      <x:c r="L65" s="31" t="n">
        <x:v>4.3</x:v>
      </x:c>
      <x:c r="M65" s="31" t="n">
        <x:v>46128</x:v>
      </x:c>
      <x:c r="N65" s="31" t="n">
        <x:v>46129</x:v>
      </x:c>
      <x:c r="O65" s="31" t="n">
        <x:v>46128</x:v>
      </x:c>
      <x:c r="P65" s="31" t="n">
        <x:v>46129</x:v>
      </x:c>
      <x:c r="Q65" s="31" t="inlineStr">
        <x:is>
          <x:t xml:space="preserve">Завершено</x:t>
        </x:is>
      </x:c>
      <x:c r="R65" s="31" t="inlineStr">
        <x:is>
          <x:t xml:space="preserve">Материал</x:t>
        </x:is>
      </x:c>
      <x:c r="S65" s="31" t="inlineStr">
        <x:is>
          <x:t xml:space="preserve">Нет</x:t>
        </x:is>
      </x:c>
    </x:row>
    <x:row r="66" ht="18" customHeight="1">
      <x:c r="A66" s="31" t="inlineStr">
        <x:is>
          <x:t xml:space="preserve">ОП-000065</x:t>
        </x:is>
      </x:c>
      <x:c r="B66" s="31" t="inlineStr">
        <x:is>
          <x:t xml:space="preserve">ПЗ-00008</x:t>
        </x:is>
      </x:c>
      <x:c r="C66" s="31" t="inlineStr">
        <x:is>
          <x:t xml:space="preserve">ЗК-1005</x:t>
        </x:is>
      </x:c>
      <x:c r="D66" s="31" t="inlineStr">
        <x:is>
          <x:t xml:space="preserve">ПОЗ-0005-2</x:t>
        </x:is>
      </x:c>
      <x:c r="E66" s="31" t="inlineStr">
        <x:is>
          <x:t xml:space="preserve">ИЗД-004</x:t>
        </x:is>
      </x:c>
      <x:c r="F66" s="31" t="n">
        <x:v>70</x:v>
      </x:c>
      <x:c r="G66" s="31" t="inlineStr">
        <x:is>
          <x:t xml:space="preserve">Гидроиспытания</x:t>
        </x:is>
      </x:c>
      <x:c r="H66" s="31" t="inlineStr">
        <x:is>
          <x:t xml:space="preserve">ОТК</x:t>
        </x:is>
      </x:c>
      <x:c r="I66" s="31" t="inlineStr">
        <x:is>
          <x:t xml:space="preserve">ОБ-015</x:t>
        </x:is>
      </x:c>
      <x:c r="J66" s="31" t="inlineStr">
        <x:is>
          <x:t xml:space="preserve">СОТР-092</x:t>
        </x:is>
      </x:c>
      <x:c r="K66" s="31" t="n">
        <x:v>38.2</x:v>
      </x:c>
      <x:c r="L66" s="31" t="n">
        <x:v>50.3</x:v>
      </x:c>
      <x:c r="M66" s="31" t="n">
        <x:v>46129</x:v>
      </x:c>
      <x:c r="N66" s="31" t="n">
        <x:v>46133</x:v>
      </x:c>
      <x:c r="O66" s="31" t="n">
        <x:v>46129</x:v>
      </x:c>
      <x:c r="P66" s="31" t="n">
        <x:v>46132</x:v>
      </x:c>
      <x:c r="Q66" s="31" t="inlineStr">
        <x:is>
          <x:t xml:space="preserve">Завершено</x:t>
        </x:is>
      </x:c>
      <x:c r="R66" s="31" t="inlineStr">
        <x:is>
          <x:t xml:space="preserve">Нет</x:t>
        </x:is>
      </x:c>
      <x:c r="S66" s="31" t="inlineStr">
        <x:is>
          <x:t xml:space="preserve">Да</x:t>
        </x:is>
      </x:c>
    </x:row>
    <x:row r="67" ht="18" customHeight="1">
      <x:c r="A67" s="31" t="inlineStr">
        <x:is>
          <x:t xml:space="preserve">ОП-000066</x:t>
        </x:is>
      </x:c>
      <x:c r="B67" s="31" t="inlineStr">
        <x:is>
          <x:t xml:space="preserve">ПЗ-00008</x:t>
        </x:is>
      </x:c>
      <x:c r="C67" s="31" t="inlineStr">
        <x:is>
          <x:t xml:space="preserve">ЗК-1005</x:t>
        </x:is>
      </x:c>
      <x:c r="D67" s="31" t="inlineStr">
        <x:is>
          <x:t xml:space="preserve">ПОЗ-0005-2</x:t>
        </x:is>
      </x:c>
      <x:c r="E67" s="31" t="inlineStr">
        <x:is>
          <x:t xml:space="preserve">ИЗД-004</x:t>
        </x:is>
      </x:c>
      <x:c r="F67" s="31" t="n">
        <x:v>80</x:v>
      </x:c>
      <x:c r="G67" s="31" t="inlineStr">
        <x:is>
          <x:t xml:space="preserve">ОТК</x:t>
        </x:is>
      </x:c>
      <x:c r="H67" s="31" t="inlineStr">
        <x:is>
          <x:t xml:space="preserve">ОТК</x:t>
        </x:is>
      </x:c>
      <x:c r="I67" s="31" t="inlineStr">
        <x:is>
          <x:t xml:space="preserve">ОБ-022</x:t>
        </x:is>
      </x:c>
      <x:c r="J67" s="31" t="inlineStr">
        <x:is>
          <x:t xml:space="preserve">СОТР-096</x:t>
        </x:is>
      </x:c>
      <x:c r="K67" s="31" t="n">
        <x:v>10.8</x:v>
      </x:c>
      <x:c r="L67" s="31" t="n">
        <x:v>14.6</x:v>
      </x:c>
      <x:c r="M67" s="31" t="n">
        <x:v>46133</x:v>
      </x:c>
      <x:c r="N67" s="31" t="n">
        <x:v>46134</x:v>
      </x:c>
      <x:c r="O67" s="31" t="n">
        <x:v>46133</x:v>
      </x:c>
      <x:c r="P67" s="31" t="n">
        <x:v>46136</x:v>
      </x:c>
      <x:c r="Q67" s="31" t="inlineStr">
        <x:is>
          <x:t xml:space="preserve">Завершено</x:t>
        </x:is>
      </x:c>
      <x:c r="R67" s="31" t="inlineStr">
        <x:is>
          <x:t xml:space="preserve">Нет</x:t>
        </x:is>
      </x:c>
      <x:c r="S67" s="31" t="inlineStr">
        <x:is>
          <x:t xml:space="preserve">Нет</x:t>
        </x:is>
      </x:c>
    </x:row>
    <x:row r="68" ht="18" customHeight="1">
      <x:c r="A68" s="31" t="inlineStr">
        <x:is>
          <x:t xml:space="preserve">ОП-000067</x:t>
        </x:is>
      </x:c>
      <x:c r="B68" s="31" t="inlineStr">
        <x:is>
          <x:t xml:space="preserve">ПЗ-00008</x:t>
        </x:is>
      </x:c>
      <x:c r="C68" s="31" t="inlineStr">
        <x:is>
          <x:t xml:space="preserve">ЗК-1005</x:t>
        </x:is>
      </x:c>
      <x:c r="D68" s="31" t="inlineStr">
        <x:is>
          <x:t xml:space="preserve">ПОЗ-0005-2</x:t>
        </x:is>
      </x:c>
      <x:c r="E68" s="31" t="inlineStr">
        <x:is>
          <x:t xml:space="preserve">ИЗД-004</x:t>
        </x:is>
      </x:c>
      <x:c r="F68" s="31" t="n">
        <x:v>90</x:v>
      </x:c>
      <x:c r="G68" s="31" t="inlineStr">
        <x:is>
          <x:t xml:space="preserve">Упаковка</x:t>
        </x:is>
      </x:c>
      <x:c r="H68" s="31" t="inlineStr">
        <x:is>
          <x:t xml:space="preserve">Логистика</x:t>
        </x:is>
      </x:c>
      <x:c r="I68" s="31" t="n"/>
      <x:c r="J68" s="31" t="inlineStr">
        <x:is>
          <x:t xml:space="preserve">СОТР-070</x:t>
        </x:is>
      </x:c>
      <x:c r="K68" s="31" t="n">
        <x:v>27.4</x:v>
      </x:c>
      <x:c r="L68" s="31" t="n">
        <x:v>29.4</x:v>
      </x:c>
      <x:c r="M68" s="31" t="n">
        <x:v>46134</x:v>
      </x:c>
      <x:c r="N68" s="31" t="n">
        <x:v>46137</x:v>
      </x:c>
      <x:c r="O68" s="31" t="n">
        <x:v>46134</x:v>
      </x:c>
      <x:c r="P68" s="31" t="n">
        <x:v>46136</x:v>
      </x:c>
      <x:c r="Q68" s="31" t="inlineStr">
        <x:is>
          <x:t xml:space="preserve">Завершено</x:t>
        </x:is>
      </x:c>
      <x:c r="R68" s="31" t="inlineStr">
        <x:is>
          <x:t xml:space="preserve">Нет</x:t>
        </x:is>
      </x:c>
      <x:c r="S68" s="31" t="inlineStr">
        <x:is>
          <x:t xml:space="preserve">Нет</x:t>
        </x:is>
      </x:c>
    </x:row>
    <x:row r="69" ht="18" customHeight="1">
      <x:c r="A69" s="31" t="inlineStr">
        <x:is>
          <x:t xml:space="preserve">ОП-000068</x:t>
        </x:is>
      </x:c>
      <x:c r="B69" s="31" t="inlineStr">
        <x:is>
          <x:t xml:space="preserve">ПЗ-00009</x:t>
        </x:is>
      </x:c>
      <x:c r="C69" s="31" t="inlineStr">
        <x:is>
          <x:t xml:space="preserve">ЗК-1007</x:t>
        </x:is>
      </x:c>
      <x:c r="D69" s="31" t="inlineStr">
        <x:is>
          <x:t xml:space="preserve">ПОЗ-0007-1</x:t>
        </x:is>
      </x:c>
      <x:c r="E69" s="31" t="inlineStr">
        <x:is>
          <x:t xml:space="preserve">ИЗД-045</x:t>
        </x:is>
      </x:c>
      <x:c r="F69" s="31" t="n">
        <x:v>10</x:v>
      </x:c>
      <x:c r="G69" s="31" t="inlineStr">
        <x:is>
          <x:t xml:space="preserve">КД</x:t>
        </x:is>
      </x:c>
      <x:c r="H69" s="31" t="inlineStr">
        <x:is>
          <x:t xml:space="preserve">Инженерный отдел</x:t>
        </x:is>
      </x:c>
      <x:c r="I69" s="31" t="n"/>
      <x:c r="J69" s="31" t="inlineStr">
        <x:is>
          <x:t xml:space="preserve">СОТР-015</x:t>
        </x:is>
      </x:c>
      <x:c r="K69" s="31" t="n">
        <x:v>19.4</x:v>
      </x:c>
      <x:c r="L69" s="31" t="n">
        <x:v>25</x:v>
      </x:c>
      <x:c r="M69" s="31" t="n">
        <x:v>46139</x:v>
      </x:c>
      <x:c r="N69" s="31" t="n">
        <x:v>46141</x:v>
      </x:c>
      <x:c r="O69" s="31" t="n">
        <x:v>46139</x:v>
      </x:c>
      <x:c r="P69" s="31" t="n">
        <x:v>46142</x:v>
      </x:c>
      <x:c r="Q69" s="31" t="inlineStr">
        <x:is>
          <x:t xml:space="preserve">Завершено</x:t>
        </x:is>
      </x:c>
      <x:c r="R69" s="31" t="inlineStr">
        <x:is>
          <x:t xml:space="preserve">Нет</x:t>
        </x:is>
      </x:c>
      <x:c r="S69" s="31" t="inlineStr">
        <x:is>
          <x:t xml:space="preserve">Нет</x:t>
        </x:is>
      </x:c>
    </x:row>
    <x:row r="70" ht="18" customHeight="1">
      <x:c r="A70" s="31" t="inlineStr">
        <x:is>
          <x:t xml:space="preserve">ОП-000069</x:t>
        </x:is>
      </x:c>
      <x:c r="B70" s="31" t="inlineStr">
        <x:is>
          <x:t xml:space="preserve">ПЗ-00009</x:t>
        </x:is>
      </x:c>
      <x:c r="C70" s="31" t="inlineStr">
        <x:is>
          <x:t xml:space="preserve">ЗК-1007</x:t>
        </x:is>
      </x:c>
      <x:c r="D70" s="31" t="inlineStr">
        <x:is>
          <x:t xml:space="preserve">ПОЗ-0007-1</x:t>
        </x:is>
      </x:c>
      <x:c r="E70" s="31" t="inlineStr">
        <x:is>
          <x:t xml:space="preserve">ИЗД-045</x:t>
        </x:is>
      </x:c>
      <x:c r="F70" s="31" t="n">
        <x:v>20</x:v>
      </x:c>
      <x:c r="G70" s="31" t="inlineStr">
        <x:is>
          <x:t xml:space="preserve">Комплектация</x:t>
        </x:is>
      </x:c>
      <x:c r="H70" s="31" t="inlineStr">
        <x:is>
          <x:t xml:space="preserve">Склад</x:t>
        </x:is>
      </x:c>
      <x:c r="I70" s="31" t="inlineStr">
        <x:is>
          <x:t xml:space="preserve">ОБ-025</x:t>
        </x:is>
      </x:c>
      <x:c r="J70" s="31" t="inlineStr">
        <x:is>
          <x:t xml:space="preserve">СОТР-033</x:t>
        </x:is>
      </x:c>
      <x:c r="K70" s="31" t="n">
        <x:v>13.6</x:v>
      </x:c>
      <x:c r="L70" s="31" t="n">
        <x:v>11.2</x:v>
      </x:c>
      <x:c r="M70" s="31" t="n">
        <x:v>46141</x:v>
      </x:c>
      <x:c r="N70" s="31" t="n">
        <x:v>46143</x:v>
      </x:c>
      <x:c r="O70" s="31" t="n">
        <x:v>46141</x:v>
      </x:c>
      <x:c r="P70" s="31" t="n">
        <x:v>46143</x:v>
      </x:c>
      <x:c r="Q70" s="31" t="inlineStr">
        <x:is>
          <x:t xml:space="preserve">Завершено</x:t>
        </x:is>
      </x:c>
      <x:c r="R70" s="31" t="inlineStr">
        <x:is>
          <x:t xml:space="preserve">Нет</x:t>
        </x:is>
      </x:c>
      <x:c r="S70" s="31" t="inlineStr">
        <x:is>
          <x:t xml:space="preserve">Нет</x:t>
        </x:is>
      </x:c>
    </x:row>
    <x:row r="71" ht="18" customHeight="1">
      <x:c r="A71" s="31" t="inlineStr">
        <x:is>
          <x:t xml:space="preserve">ОП-000070</x:t>
        </x:is>
      </x:c>
      <x:c r="B71" s="31" t="inlineStr">
        <x:is>
          <x:t xml:space="preserve">ПЗ-00009</x:t>
        </x:is>
      </x:c>
      <x:c r="C71" s="31" t="inlineStr">
        <x:is>
          <x:t xml:space="preserve">ЗК-1007</x:t>
        </x:is>
      </x:c>
      <x:c r="D71" s="31" t="inlineStr">
        <x:is>
          <x:t xml:space="preserve">ПОЗ-0007-1</x:t>
        </x:is>
      </x:c>
      <x:c r="E71" s="31" t="inlineStr">
        <x:is>
          <x:t xml:space="preserve">ИЗД-045</x:t>
        </x:is>
      </x:c>
      <x:c r="F71" s="31" t="n">
        <x:v>30</x:v>
      </x:c>
      <x:c r="G71" s="31" t="inlineStr">
        <x:is>
          <x:t xml:space="preserve">Сборка шкафа</x:t>
        </x:is>
      </x:c>
      <x:c r="H71" s="31" t="inlineStr">
        <x:is>
          <x:t xml:space="preserve">Сборка</x:t>
        </x:is>
      </x:c>
      <x:c r="I71" s="31" t="inlineStr">
        <x:is>
          <x:t xml:space="preserve">ОБ-016</x:t>
        </x:is>
      </x:c>
      <x:c r="J71" s="31" t="inlineStr">
        <x:is>
          <x:t xml:space="preserve">СОТР-074</x:t>
        </x:is>
      </x:c>
      <x:c r="K71" s="31" t="n">
        <x:v>5</x:v>
      </x:c>
      <x:c r="L71" s="31" t="n">
        <x:v>6.5</x:v>
      </x:c>
      <x:c r="M71" s="31" t="n">
        <x:v>46143</x:v>
      </x:c>
      <x:c r="N71" s="31" t="n">
        <x:v>46144</x:v>
      </x:c>
      <x:c r="O71" s="31" t="n">
        <x:v>46143</x:v>
      </x:c>
      <x:c r="P71" s="31" t="n">
        <x:v>46145</x:v>
      </x:c>
      <x:c r="Q71" s="31" t="inlineStr">
        <x:is>
          <x:t xml:space="preserve">Завершено</x:t>
        </x:is>
      </x:c>
      <x:c r="R71" s="31" t="inlineStr">
        <x:is>
          <x:t xml:space="preserve">Нет</x:t>
        </x:is>
      </x:c>
      <x:c r="S71" s="31" t="inlineStr">
        <x:is>
          <x:t xml:space="preserve">Нет</x:t>
        </x:is>
      </x:c>
    </x:row>
    <x:row r="72" ht="18" customHeight="1">
      <x:c r="A72" s="31" t="inlineStr">
        <x:is>
          <x:t xml:space="preserve">ОП-000071</x:t>
        </x:is>
      </x:c>
      <x:c r="B72" s="31" t="inlineStr">
        <x:is>
          <x:t xml:space="preserve">ПЗ-00009</x:t>
        </x:is>
      </x:c>
      <x:c r="C72" s="31" t="inlineStr">
        <x:is>
          <x:t xml:space="preserve">ЗК-1007</x:t>
        </x:is>
      </x:c>
      <x:c r="D72" s="31" t="inlineStr">
        <x:is>
          <x:t xml:space="preserve">ПОЗ-0007-1</x:t>
        </x:is>
      </x:c>
      <x:c r="E72" s="31" t="inlineStr">
        <x:is>
          <x:t xml:space="preserve">ИЗД-045</x:t>
        </x:is>
      </x:c>
      <x:c r="F72" s="31" t="n">
        <x:v>40</x:v>
      </x:c>
      <x:c r="G72" s="31" t="inlineStr">
        <x:is>
          <x:t xml:space="preserve">Маркировка</x:t>
        </x:is>
      </x:c>
      <x:c r="H72" s="31" t="inlineStr">
        <x:is>
          <x:t xml:space="preserve">Сборка</x:t>
        </x:is>
      </x:c>
      <x:c r="I72" s="31" t="inlineStr">
        <x:is>
          <x:t xml:space="preserve">ОБ-016</x:t>
        </x:is>
      </x:c>
      <x:c r="J72" s="31" t="inlineStr">
        <x:is>
          <x:t xml:space="preserve">СОТР-086</x:t>
        </x:is>
      </x:c>
      <x:c r="K72" s="31" t="n">
        <x:v>12.6</x:v>
      </x:c>
      <x:c r="L72" s="31" t="n">
        <x:v>12.2</x:v>
      </x:c>
      <x:c r="M72" s="31" t="n">
        <x:v>46144</x:v>
      </x:c>
      <x:c r="N72" s="31" t="n">
        <x:v>46146</x:v>
      </x:c>
      <x:c r="O72" s="31" t="n">
        <x:v>46144</x:v>
      </x:c>
      <x:c r="P72" s="31" t="n">
        <x:v>46145</x:v>
      </x:c>
      <x:c r="Q72" s="31" t="inlineStr">
        <x:is>
          <x:t xml:space="preserve">Завершено</x:t>
        </x:is>
      </x:c>
      <x:c r="R72" s="31" t="inlineStr">
        <x:is>
          <x:t xml:space="preserve">Материал</x:t>
        </x:is>
      </x:c>
      <x:c r="S72" s="31" t="inlineStr">
        <x:is>
          <x:t xml:space="preserve">Нет</x:t>
        </x:is>
      </x:c>
    </x:row>
    <x:row r="73" ht="18" customHeight="1">
      <x:c r="A73" s="31" t="inlineStr">
        <x:is>
          <x:t xml:space="preserve">ОП-000072</x:t>
        </x:is>
      </x:c>
      <x:c r="B73" s="31" t="inlineStr">
        <x:is>
          <x:t xml:space="preserve">ПЗ-00009</x:t>
        </x:is>
      </x:c>
      <x:c r="C73" s="31" t="inlineStr">
        <x:is>
          <x:t xml:space="preserve">ЗК-1007</x:t>
        </x:is>
      </x:c>
      <x:c r="D73" s="31" t="inlineStr">
        <x:is>
          <x:t xml:space="preserve">ПОЗ-0007-1</x:t>
        </x:is>
      </x:c>
      <x:c r="E73" s="31" t="inlineStr">
        <x:is>
          <x:t xml:space="preserve">ИЗД-045</x:t>
        </x:is>
      </x:c>
      <x:c r="F73" s="31" t="n">
        <x:v>50</x:v>
      </x:c>
      <x:c r="G73" s="31" t="inlineStr">
        <x:is>
          <x:t xml:space="preserve">Электромонтаж</x:t>
        </x:is>
      </x:c>
      <x:c r="H73" s="31" t="inlineStr">
        <x:is>
          <x:t xml:space="preserve">Сборка</x:t>
        </x:is>
      </x:c>
      <x:c r="I73" s="31" t="inlineStr">
        <x:is>
          <x:t xml:space="preserve">ОБ-027</x:t>
        </x:is>
      </x:c>
      <x:c r="J73" s="31" t="inlineStr">
        <x:is>
          <x:t xml:space="preserve">СОТР-084</x:t>
        </x:is>
      </x:c>
      <x:c r="K73" s="31" t="n">
        <x:v>9.800000000000001</x:v>
      </x:c>
      <x:c r="L73" s="31" t="n">
        <x:v>11.8</x:v>
      </x:c>
      <x:c r="M73" s="31" t="n">
        <x:v>46146</x:v>
      </x:c>
      <x:c r="N73" s="31" t="n">
        <x:v>46147</x:v>
      </x:c>
      <x:c r="O73" s="31" t="n">
        <x:v>46146</x:v>
      </x:c>
      <x:c r="P73" s="31" t="n">
        <x:v>46148</x:v>
      </x:c>
      <x:c r="Q73" s="31" t="inlineStr">
        <x:is>
          <x:t xml:space="preserve">Завершено</x:t>
        </x:is>
      </x:c>
      <x:c r="R73" s="31" t="inlineStr">
        <x:is>
          <x:t xml:space="preserve">Нет</x:t>
        </x:is>
      </x:c>
      <x:c r="S73" s="31" t="inlineStr">
        <x:is>
          <x:t xml:space="preserve">Нет</x:t>
        </x:is>
      </x:c>
    </x:row>
    <x:row r="74" ht="18" customHeight="1">
      <x:c r="A74" s="31" t="inlineStr">
        <x:is>
          <x:t xml:space="preserve">ОП-000073</x:t>
        </x:is>
      </x:c>
      <x:c r="B74" s="31" t="inlineStr">
        <x:is>
          <x:t xml:space="preserve">ПЗ-00009</x:t>
        </x:is>
      </x:c>
      <x:c r="C74" s="31" t="inlineStr">
        <x:is>
          <x:t xml:space="preserve">ЗК-1007</x:t>
        </x:is>
      </x:c>
      <x:c r="D74" s="31" t="inlineStr">
        <x:is>
          <x:t xml:space="preserve">ПОЗ-0007-1</x:t>
        </x:is>
      </x:c>
      <x:c r="E74" s="31" t="inlineStr">
        <x:is>
          <x:t xml:space="preserve">ИЗД-045</x:t>
        </x:is>
      </x:c>
      <x:c r="F74" s="31" t="n">
        <x:v>60</x:v>
      </x:c>
      <x:c r="G74" s="31" t="inlineStr">
        <x:is>
          <x:t xml:space="preserve">Программирование ПЛК</x:t>
        </x:is>
      </x:c>
      <x:c r="H74" s="31" t="inlineStr">
        <x:is>
          <x:t xml:space="preserve">Инженерный отдел</x:t>
        </x:is>
      </x:c>
      <x:c r="I74" s="31" t="n"/>
      <x:c r="J74" s="31" t="inlineStr">
        <x:is>
          <x:t xml:space="preserve">СОТР-021</x:t>
        </x:is>
      </x:c>
      <x:c r="K74" s="31" t="n">
        <x:v>5.6</x:v>
      </x:c>
      <x:c r="L74" s="31" t="n">
        <x:v>7.2</x:v>
      </x:c>
      <x:c r="M74" s="31" t="n">
        <x:v>46147</x:v>
      </x:c>
      <x:c r="N74" s="31" t="n">
        <x:v>46148</x:v>
      </x:c>
      <x:c r="O74" s="31" t="n">
        <x:v>46147</x:v>
      </x:c>
      <x:c r="P74" s="31" t="n">
        <x:v>46147</x:v>
      </x:c>
      <x:c r="Q74" s="31" t="inlineStr">
        <x:is>
          <x:t xml:space="preserve">Завершено</x:t>
        </x:is>
      </x:c>
      <x:c r="R74" s="31" t="inlineStr">
        <x:is>
          <x:t xml:space="preserve">Нет</x:t>
        </x:is>
      </x:c>
      <x:c r="S74" s="31" t="inlineStr">
        <x:is>
          <x:t xml:space="preserve">Нет</x:t>
        </x:is>
      </x:c>
    </x:row>
    <x:row r="75" ht="18" customHeight="1">
      <x:c r="A75" s="31" t="inlineStr">
        <x:is>
          <x:t xml:space="preserve">ОП-000074</x:t>
        </x:is>
      </x:c>
      <x:c r="B75" s="31" t="inlineStr">
        <x:is>
          <x:t xml:space="preserve">ПЗ-00009</x:t>
        </x:is>
      </x:c>
      <x:c r="C75" s="31" t="inlineStr">
        <x:is>
          <x:t xml:space="preserve">ЗК-1007</x:t>
        </x:is>
      </x:c>
      <x:c r="D75" s="31" t="inlineStr">
        <x:is>
          <x:t xml:space="preserve">ПОЗ-0007-1</x:t>
        </x:is>
      </x:c>
      <x:c r="E75" s="31" t="inlineStr">
        <x:is>
          <x:t xml:space="preserve">ИЗД-045</x:t>
        </x:is>
      </x:c>
      <x:c r="F75" s="31" t="n">
        <x:v>70</x:v>
      </x:c>
      <x:c r="G75" s="31" t="inlineStr">
        <x:is>
          <x:t xml:space="preserve">Приемочные испытания</x:t>
        </x:is>
      </x:c>
      <x:c r="H75" s="31" t="inlineStr">
        <x:is>
          <x:t xml:space="preserve">ОТК</x:t>
        </x:is>
      </x:c>
      <x:c r="I75" s="31" t="inlineStr">
        <x:is>
          <x:t xml:space="preserve">ОБ-007</x:t>
        </x:is>
      </x:c>
      <x:c r="J75" s="31" t="inlineStr">
        <x:is>
          <x:t xml:space="preserve">СОТР-098</x:t>
        </x:is>
      </x:c>
      <x:c r="K75" s="31" t="n">
        <x:v>5.8</x:v>
      </x:c>
      <x:c r="L75" s="31" t="n">
        <x:v>5.5</x:v>
      </x:c>
      <x:c r="M75" s="31" t="n">
        <x:v>46148</x:v>
      </x:c>
      <x:c r="N75" s="31" t="n">
        <x:v>46149</x:v>
      </x:c>
      <x:c r="O75" s="31" t="n">
        <x:v>46148</x:v>
      </x:c>
      <x:c r="P75" s="31" t="n">
        <x:v>46148</x:v>
      </x:c>
      <x:c r="Q75" s="31" t="inlineStr">
        <x:is>
          <x:t xml:space="preserve">Завершено</x:t>
        </x:is>
      </x:c>
      <x:c r="R75" s="31" t="inlineStr">
        <x:is>
          <x:t xml:space="preserve">Нет</x:t>
        </x:is>
      </x:c>
      <x:c r="S75" s="31" t="inlineStr">
        <x:is>
          <x:t xml:space="preserve">Нет</x:t>
        </x:is>
      </x:c>
    </x:row>
    <x:row r="76" ht="18" customHeight="1">
      <x:c r="A76" s="31" t="inlineStr">
        <x:is>
          <x:t xml:space="preserve">ОП-000075</x:t>
        </x:is>
      </x:c>
      <x:c r="B76" s="31" t="inlineStr">
        <x:is>
          <x:t xml:space="preserve">ПЗ-00009</x:t>
        </x:is>
      </x:c>
      <x:c r="C76" s="31" t="inlineStr">
        <x:is>
          <x:t xml:space="preserve">ЗК-1007</x:t>
        </x:is>
      </x:c>
      <x:c r="D76" s="31" t="inlineStr">
        <x:is>
          <x:t xml:space="preserve">ПОЗ-0007-1</x:t>
        </x:is>
      </x:c>
      <x:c r="E76" s="31" t="inlineStr">
        <x:is>
          <x:t xml:space="preserve">ИЗД-045</x:t>
        </x:is>
      </x:c>
      <x:c r="F76" s="31" t="n">
        <x:v>80</x:v>
      </x:c>
      <x:c r="G76" s="31" t="inlineStr">
        <x:is>
          <x:t xml:space="preserve">ОТК</x:t>
        </x:is>
      </x:c>
      <x:c r="H76" s="31" t="inlineStr">
        <x:is>
          <x:t xml:space="preserve">ОТК</x:t>
        </x:is>
      </x:c>
      <x:c r="I76" s="31" t="inlineStr">
        <x:is>
          <x:t xml:space="preserve">ОБ-033</x:t>
        </x:is>
      </x:c>
      <x:c r="J76" s="31" t="inlineStr">
        <x:is>
          <x:t xml:space="preserve">СОТР-095</x:t>
        </x:is>
      </x:c>
      <x:c r="K76" s="31" t="n">
        <x:v>23.8</x:v>
      </x:c>
      <x:c r="L76" s="31" t="n">
        <x:v>23.4</x:v>
      </x:c>
      <x:c r="M76" s="31" t="n">
        <x:v>46149</x:v>
      </x:c>
      <x:c r="N76" s="31" t="n">
        <x:v>46151</x:v>
      </x:c>
      <x:c r="O76" s="31" t="n">
        <x:v>46149</x:v>
      </x:c>
      <x:c r="P76" s="31" t="n">
        <x:v>46150</x:v>
      </x:c>
      <x:c r="Q76" s="31" t="inlineStr">
        <x:is>
          <x:t xml:space="preserve">Завершено</x:t>
        </x:is>
      </x:c>
      <x:c r="R76" s="31" t="inlineStr">
        <x:is>
          <x:t xml:space="preserve">Нет</x:t>
        </x:is>
      </x:c>
      <x:c r="S76" s="31" t="inlineStr">
        <x:is>
          <x:t xml:space="preserve">Да</x:t>
        </x:is>
      </x:c>
    </x:row>
    <x:row r="77" ht="18" customHeight="1">
      <x:c r="A77" s="31" t="inlineStr">
        <x:is>
          <x:t xml:space="preserve">ОП-000076</x:t>
        </x:is>
      </x:c>
      <x:c r="B77" s="31" t="inlineStr">
        <x:is>
          <x:t xml:space="preserve">ПЗ-00009</x:t>
        </x:is>
      </x:c>
      <x:c r="C77" s="31" t="inlineStr">
        <x:is>
          <x:t xml:space="preserve">ЗК-1007</x:t>
        </x:is>
      </x:c>
      <x:c r="D77" s="31" t="inlineStr">
        <x:is>
          <x:t xml:space="preserve">ПОЗ-0007-1</x:t>
        </x:is>
      </x:c>
      <x:c r="E77" s="31" t="inlineStr">
        <x:is>
          <x:t xml:space="preserve">ИЗД-045</x:t>
        </x:is>
      </x:c>
      <x:c r="F77" s="31" t="n">
        <x:v>90</x:v>
      </x:c>
      <x:c r="G77" s="31" t="inlineStr">
        <x:is>
          <x:t xml:space="preserve">Упаковка</x:t>
        </x:is>
      </x:c>
      <x:c r="H77" s="31" t="inlineStr">
        <x:is>
          <x:t xml:space="preserve">Логистика</x:t>
        </x:is>
      </x:c>
      <x:c r="I77" s="31" t="n"/>
      <x:c r="J77" s="31" t="inlineStr">
        <x:is>
          <x:t xml:space="preserve">СОТР-105</x:t>
        </x:is>
      </x:c>
      <x:c r="K77" s="31" t="n">
        <x:v>6</x:v>
      </x:c>
      <x:c r="L77" s="31" t="n">
        <x:v>6.4</x:v>
      </x:c>
      <x:c r="M77" s="31" t="n">
        <x:v>46151</x:v>
      </x:c>
      <x:c r="N77" s="31" t="n">
        <x:v>46152</x:v>
      </x:c>
      <x:c r="O77" s="31" t="n">
        <x:v>46151</x:v>
      </x:c>
      <x:c r="P77" s="31" t="n">
        <x:v>46151</x:v>
      </x:c>
      <x:c r="Q77" s="31" t="inlineStr">
        <x:is>
          <x:t xml:space="preserve">Завершено</x:t>
        </x:is>
      </x:c>
      <x:c r="R77" s="31" t="inlineStr">
        <x:is>
          <x:t xml:space="preserve">Нет</x:t>
        </x:is>
      </x:c>
      <x:c r="S77" s="31" t="inlineStr">
        <x:is>
          <x:t xml:space="preserve">Нет</x:t>
        </x:is>
      </x:c>
    </x:row>
    <x:row r="78" ht="18" customHeight="1">
      <x:c r="A78" s="31" t="inlineStr">
        <x:is>
          <x:t xml:space="preserve">ОП-000077</x:t>
        </x:is>
      </x:c>
      <x:c r="B78" s="31" t="inlineStr">
        <x:is>
          <x:t xml:space="preserve">ПЗ-00010</x:t>
        </x:is>
      </x:c>
      <x:c r="C78" s="31" t="inlineStr">
        <x:is>
          <x:t xml:space="preserve">ЗК-1007</x:t>
        </x:is>
      </x:c>
      <x:c r="D78" s="31" t="inlineStr">
        <x:is>
          <x:t xml:space="preserve">ПОЗ-0007-2</x:t>
        </x:is>
      </x:c>
      <x:c r="E78" s="31" t="inlineStr">
        <x:is>
          <x:t xml:space="preserve">ИЗД-006</x:t>
        </x:is>
      </x:c>
      <x:c r="F78" s="31" t="n">
        <x:v>10</x:v>
      </x:c>
      <x:c r="G78" s="31" t="inlineStr">
        <x:is>
          <x:t xml:space="preserve">КД</x:t>
        </x:is>
      </x:c>
      <x:c r="H78" s="31" t="inlineStr">
        <x:is>
          <x:t xml:space="preserve">Инженерный отдел</x:t>
        </x:is>
      </x:c>
      <x:c r="I78" s="31" t="n"/>
      <x:c r="J78" s="31" t="inlineStr">
        <x:is>
          <x:t xml:space="preserve">СОТР-017</x:t>
        </x:is>
      </x:c>
      <x:c r="K78" s="31" t="n">
        <x:v>15.3</x:v>
      </x:c>
      <x:c r="L78" s="31" t="n">
        <x:v>13.9</x:v>
      </x:c>
      <x:c r="M78" s="31" t="n">
        <x:v>46155</x:v>
      </x:c>
      <x:c r="N78" s="31" t="n">
        <x:v>46157</x:v>
      </x:c>
      <x:c r="O78" s="31" t="n">
        <x:v>46155</x:v>
      </x:c>
      <x:c r="P78" s="31" t="n">
        <x:v>46159</x:v>
      </x:c>
      <x:c r="Q78" s="31" t="inlineStr">
        <x:is>
          <x:t xml:space="preserve">Завершено</x:t>
        </x:is>
      </x:c>
      <x:c r="R78" s="31" t="inlineStr">
        <x:is>
          <x:t xml:space="preserve">Нет</x:t>
        </x:is>
      </x:c>
      <x:c r="S78" s="31" t="inlineStr">
        <x:is>
          <x:t xml:space="preserve">Нет</x:t>
        </x:is>
      </x:c>
    </x:row>
    <x:row r="79" ht="18" customHeight="1">
      <x:c r="A79" s="31" t="inlineStr">
        <x:is>
          <x:t xml:space="preserve">ОП-000078</x:t>
        </x:is>
      </x:c>
      <x:c r="B79" s="31" t="inlineStr">
        <x:is>
          <x:t xml:space="preserve">ПЗ-00010</x:t>
        </x:is>
      </x:c>
      <x:c r="C79" s="31" t="inlineStr">
        <x:is>
          <x:t xml:space="preserve">ЗК-1007</x:t>
        </x:is>
      </x:c>
      <x:c r="D79" s="31" t="inlineStr">
        <x:is>
          <x:t xml:space="preserve">ПОЗ-0007-2</x:t>
        </x:is>
      </x:c>
      <x:c r="E79" s="31" t="inlineStr">
        <x:is>
          <x:t xml:space="preserve">ИЗД-006</x:t>
        </x:is>
      </x:c>
      <x:c r="F79" s="31" t="n">
        <x:v>20</x:v>
      </x:c>
      <x:c r="G79" s="31" t="inlineStr">
        <x:is>
          <x:t xml:space="preserve">Резерв материалов</x:t>
        </x:is>
      </x:c>
      <x:c r="H79" s="31" t="inlineStr">
        <x:is>
          <x:t xml:space="preserve">Склад</x:t>
        </x:is>
      </x:c>
      <x:c r="I79" s="31" t="inlineStr">
        <x:is>
          <x:t xml:space="preserve">ОБ-025</x:t>
        </x:is>
      </x:c>
      <x:c r="J79" s="31" t="inlineStr">
        <x:is>
          <x:t xml:space="preserve">СОТР-038</x:t>
        </x:is>
      </x:c>
      <x:c r="K79" s="31" t="n">
        <x:v>2.3</x:v>
      </x:c>
      <x:c r="L79" s="31" t="n">
        <x:v>3</x:v>
      </x:c>
      <x:c r="M79" s="31" t="n">
        <x:v>46157</x:v>
      </x:c>
      <x:c r="N79" s="31" t="n">
        <x:v>46158</x:v>
      </x:c>
      <x:c r="O79" s="31" t="n">
        <x:v>46157</x:v>
      </x:c>
      <x:c r="P79" s="31" t="n">
        <x:v>46160</x:v>
      </x:c>
      <x:c r="Q79" s="31" t="inlineStr">
        <x:is>
          <x:t xml:space="preserve">Завершено</x:t>
        </x:is>
      </x:c>
      <x:c r="R79" s="31" t="inlineStr">
        <x:is>
          <x:t xml:space="preserve">Нет</x:t>
        </x:is>
      </x:c>
      <x:c r="S79" s="31" t="inlineStr">
        <x:is>
          <x:t xml:space="preserve">Нет</x:t>
        </x:is>
      </x:c>
    </x:row>
    <x:row r="80" ht="18" customHeight="1">
      <x:c r="A80" s="31" t="inlineStr">
        <x:is>
          <x:t xml:space="preserve">ОП-000079</x:t>
        </x:is>
      </x:c>
      <x:c r="B80" s="31" t="inlineStr">
        <x:is>
          <x:t xml:space="preserve">ПЗ-00010</x:t>
        </x:is>
      </x:c>
      <x:c r="C80" s="31" t="inlineStr">
        <x:is>
          <x:t xml:space="preserve">ЗК-1007</x:t>
        </x:is>
      </x:c>
      <x:c r="D80" s="31" t="inlineStr">
        <x:is>
          <x:t xml:space="preserve">ПОЗ-0007-2</x:t>
        </x:is>
      </x:c>
      <x:c r="E80" s="31" t="inlineStr">
        <x:is>
          <x:t xml:space="preserve">ИЗД-006</x:t>
        </x:is>
      </x:c>
      <x:c r="F80" s="31" t="n">
        <x:v>30</x:v>
      </x:c>
      <x:c r="G80" s="31" t="inlineStr">
        <x:is>
          <x:t xml:space="preserve">Резка металла</x:t>
        </x:is>
      </x:c>
      <x:c r="H80" s="31" t="inlineStr">
        <x:is>
          <x:t xml:space="preserve">Сварка</x:t>
        </x:is>
      </x:c>
      <x:c r="I80" s="31" t="inlineStr">
        <x:is>
          <x:t xml:space="preserve">ОБ-010</x:t>
        </x:is>
      </x:c>
      <x:c r="J80" s="31" t="inlineStr">
        <x:is>
          <x:t xml:space="preserve">СОТР-071</x:t>
        </x:is>
      </x:c>
      <x:c r="K80" s="31" t="n">
        <x:v>13.9</x:v>
      </x:c>
      <x:c r="L80" s="31" t="n">
        <x:v>16.5</x:v>
      </x:c>
      <x:c r="M80" s="31" t="n">
        <x:v>46158</x:v>
      </x:c>
      <x:c r="N80" s="31" t="n">
        <x:v>46160</x:v>
      </x:c>
      <x:c r="O80" s="31" t="n">
        <x:v>46158</x:v>
      </x:c>
      <x:c r="P80" s="31" t="n">
        <x:v>46159</x:v>
      </x:c>
      <x:c r="Q80" s="31" t="inlineStr">
        <x:is>
          <x:t xml:space="preserve">Завершено</x:t>
        </x:is>
      </x:c>
      <x:c r="R80" s="31" t="inlineStr">
        <x:is>
          <x:t xml:space="preserve">Нет</x:t>
        </x:is>
      </x:c>
      <x:c r="S80" s="31" t="inlineStr">
        <x:is>
          <x:t xml:space="preserve">Нет</x:t>
        </x:is>
      </x:c>
    </x:row>
    <x:row r="81" ht="18" customHeight="1">
      <x:c r="A81" s="31" t="inlineStr">
        <x:is>
          <x:t xml:space="preserve">ОП-000080</x:t>
        </x:is>
      </x:c>
      <x:c r="B81" s="31" t="inlineStr">
        <x:is>
          <x:t xml:space="preserve">ПЗ-00010</x:t>
        </x:is>
      </x:c>
      <x:c r="C81" s="31" t="inlineStr">
        <x:is>
          <x:t xml:space="preserve">ЗК-1007</x:t>
        </x:is>
      </x:c>
      <x:c r="D81" s="31" t="inlineStr">
        <x:is>
          <x:t xml:space="preserve">ПОЗ-0007-2</x:t>
        </x:is>
      </x:c>
      <x:c r="E81" s="31" t="inlineStr">
        <x:is>
          <x:t xml:space="preserve">ИЗД-006</x:t>
        </x:is>
      </x:c>
      <x:c r="F81" s="31" t="n">
        <x:v>40</x:v>
      </x:c>
      <x:c r="G81" s="31" t="inlineStr">
        <x:is>
          <x:t xml:space="preserve">Сварка рамы</x:t>
        </x:is>
      </x:c>
      <x:c r="H81" s="31" t="inlineStr">
        <x:is>
          <x:t xml:space="preserve">Сварка</x:t>
        </x:is>
      </x:c>
      <x:c r="I81" s="31" t="inlineStr">
        <x:is>
          <x:t xml:space="preserve">ОБ-035</x:t>
        </x:is>
      </x:c>
      <x:c r="J81" s="31" t="inlineStr">
        <x:is>
          <x:t xml:space="preserve">СОТР-056</x:t>
        </x:is>
      </x:c>
      <x:c r="K81" s="31" t="n">
        <x:v>8.5</x:v>
      </x:c>
      <x:c r="L81" s="31" t="n">
        <x:v>8.699999999999999</x:v>
      </x:c>
      <x:c r="M81" s="31" t="n">
        <x:v>46160</x:v>
      </x:c>
      <x:c r="N81" s="31" t="n">
        <x:v>46161</x:v>
      </x:c>
      <x:c r="O81" s="31" t="n">
        <x:v>46160</x:v>
      </x:c>
      <x:c r="P81" s="31" t="n">
        <x:v>46160</x:v>
      </x:c>
      <x:c r="Q81" s="31" t="inlineStr">
        <x:is>
          <x:t xml:space="preserve">Завершено</x:t>
        </x:is>
      </x:c>
      <x:c r="R81" s="31" t="inlineStr">
        <x:is>
          <x:t xml:space="preserve">Нет</x:t>
        </x:is>
      </x:c>
      <x:c r="S81" s="31" t="inlineStr">
        <x:is>
          <x:t xml:space="preserve">Нет</x:t>
        </x:is>
      </x:c>
    </x:row>
    <x:row r="82" ht="18" customHeight="1">
      <x:c r="A82" s="31" t="inlineStr">
        <x:is>
          <x:t xml:space="preserve">ОП-000081</x:t>
        </x:is>
      </x:c>
      <x:c r="B82" s="31" t="inlineStr">
        <x:is>
          <x:t xml:space="preserve">ПЗ-00010</x:t>
        </x:is>
      </x:c>
      <x:c r="C82" s="31" t="inlineStr">
        <x:is>
          <x:t xml:space="preserve">ЗК-1007</x:t>
        </x:is>
      </x:c>
      <x:c r="D82" s="31" t="inlineStr">
        <x:is>
          <x:t xml:space="preserve">ПОЗ-0007-2</x:t>
        </x:is>
      </x:c>
      <x:c r="E82" s="31" t="inlineStr">
        <x:is>
          <x:t xml:space="preserve">ИЗД-006</x:t>
        </x:is>
      </x:c>
      <x:c r="F82" s="31" t="n">
        <x:v>50</x:v>
      </x:c>
      <x:c r="G82" s="31" t="inlineStr">
        <x:is>
          <x:t xml:space="preserve">Механообработка</x:t>
        </x:is>
      </x:c>
      <x:c r="H82" s="31" t="inlineStr">
        <x:is>
          <x:t xml:space="preserve">Механообработка</x:t>
        </x:is>
      </x:c>
      <x:c r="I82" s="31" t="inlineStr">
        <x:is>
          <x:t xml:space="preserve">ОБ-030</x:t>
        </x:is>
      </x:c>
      <x:c r="J82" s="31" t="inlineStr">
        <x:is>
          <x:t xml:space="preserve">СОТР-043</x:t>
        </x:is>
      </x:c>
      <x:c r="K82" s="31" t="n">
        <x:v>3.2</x:v>
      </x:c>
      <x:c r="L82" s="31" t="n">
        <x:v>4</x:v>
      </x:c>
      <x:c r="M82" s="31" t="n">
        <x:v>46161</x:v>
      </x:c>
      <x:c r="N82" s="31" t="n">
        <x:v>46162</x:v>
      </x:c>
      <x:c r="O82" s="31" t="n">
        <x:v>46161</x:v>
      </x:c>
      <x:c r="P82" s="31" t="n">
        <x:v>46162</x:v>
      </x:c>
      <x:c r="Q82" s="31" t="inlineStr">
        <x:is>
          <x:t xml:space="preserve">Завершено</x:t>
        </x:is>
      </x:c>
      <x:c r="R82" s="31" t="inlineStr">
        <x:is>
          <x:t xml:space="preserve">Нет</x:t>
        </x:is>
      </x:c>
      <x:c r="S82" s="31" t="inlineStr">
        <x:is>
          <x:t xml:space="preserve">Да</x:t>
        </x:is>
      </x:c>
    </x:row>
    <x:row r="83" ht="18" customHeight="1">
      <x:c r="A83" s="31" t="inlineStr">
        <x:is>
          <x:t xml:space="preserve">ОП-000082</x:t>
        </x:is>
      </x:c>
      <x:c r="B83" s="31" t="inlineStr">
        <x:is>
          <x:t xml:space="preserve">ПЗ-00010</x:t>
        </x:is>
      </x:c>
      <x:c r="C83" s="31" t="inlineStr">
        <x:is>
          <x:t xml:space="preserve">ЗК-1007</x:t>
        </x:is>
      </x:c>
      <x:c r="D83" s="31" t="inlineStr">
        <x:is>
          <x:t xml:space="preserve">ПОЗ-0007-2</x:t>
        </x:is>
      </x:c>
      <x:c r="E83" s="31" t="inlineStr">
        <x:is>
          <x:t xml:space="preserve">ИЗД-006</x:t>
        </x:is>
      </x:c>
      <x:c r="F83" s="31" t="n">
        <x:v>60</x:v>
      </x:c>
      <x:c r="G83" s="31" t="inlineStr">
        <x:is>
          <x:t xml:space="preserve">Сборка</x:t>
        </x:is>
      </x:c>
      <x:c r="H83" s="31" t="inlineStr">
        <x:is>
          <x:t xml:space="preserve">Сборка</x:t>
        </x:is>
      </x:c>
      <x:c r="I83" s="31" t="inlineStr">
        <x:is>
          <x:t xml:space="preserve">ОБ-005</x:t>
        </x:is>
      </x:c>
      <x:c r="J83" s="31" t="inlineStr">
        <x:is>
          <x:t xml:space="preserve">СОТР-080</x:t>
        </x:is>
      </x:c>
      <x:c r="K83" s="31" t="n">
        <x:v>3.9</x:v>
      </x:c>
      <x:c r="L83" s="31" t="n">
        <x:v>4.6</x:v>
      </x:c>
      <x:c r="M83" s="31" t="n">
        <x:v>46162</x:v>
      </x:c>
      <x:c r="N83" s="31" t="n">
        <x:v>46163</x:v>
      </x:c>
      <x:c r="O83" s="31" t="n">
        <x:v>46162</x:v>
      </x:c>
      <x:c r="P83" s="31" t="n">
        <x:v>46163</x:v>
      </x:c>
      <x:c r="Q83" s="31" t="inlineStr">
        <x:is>
          <x:t xml:space="preserve">Завершено</x:t>
        </x:is>
      </x:c>
      <x:c r="R83" s="31" t="inlineStr">
        <x:is>
          <x:t xml:space="preserve">Нет</x:t>
        </x:is>
      </x:c>
      <x:c r="S83" s="31" t="inlineStr">
        <x:is>
          <x:t xml:space="preserve">Нет</x:t>
        </x:is>
      </x:c>
    </x:row>
    <x:row r="84" ht="18" customHeight="1">
      <x:c r="A84" s="31" t="inlineStr">
        <x:is>
          <x:t xml:space="preserve">ОП-000083</x:t>
        </x:is>
      </x:c>
      <x:c r="B84" s="31" t="inlineStr">
        <x:is>
          <x:t xml:space="preserve">ПЗ-00010</x:t>
        </x:is>
      </x:c>
      <x:c r="C84" s="31" t="inlineStr">
        <x:is>
          <x:t xml:space="preserve">ЗК-1007</x:t>
        </x:is>
      </x:c>
      <x:c r="D84" s="31" t="inlineStr">
        <x:is>
          <x:t xml:space="preserve">ПОЗ-0007-2</x:t>
        </x:is>
      </x:c>
      <x:c r="E84" s="31" t="inlineStr">
        <x:is>
          <x:t xml:space="preserve">ИЗД-006</x:t>
        </x:is>
      </x:c>
      <x:c r="F84" s="31" t="n">
        <x:v>70</x:v>
      </x:c>
      <x:c r="G84" s="31" t="inlineStr">
        <x:is>
          <x:t xml:space="preserve">Электромонтаж</x:t>
        </x:is>
      </x:c>
      <x:c r="H84" s="31" t="inlineStr">
        <x:is>
          <x:t xml:space="preserve">Сборка</x:t>
        </x:is>
      </x:c>
      <x:c r="I84" s="31" t="inlineStr">
        <x:is>
          <x:t xml:space="preserve">ОБ-016</x:t>
        </x:is>
      </x:c>
      <x:c r="J84" s="31" t="inlineStr">
        <x:is>
          <x:t xml:space="preserve">СОТР-073</x:t>
        </x:is>
      </x:c>
      <x:c r="K84" s="31" t="n">
        <x:v>11.2</x:v>
      </x:c>
      <x:c r="L84" s="31" t="n">
        <x:v>13.2</x:v>
      </x:c>
      <x:c r="M84" s="31" t="n">
        <x:v>46163</x:v>
      </x:c>
      <x:c r="N84" s="31" t="n">
        <x:v>46164</x:v>
      </x:c>
      <x:c r="O84" s="31" t="n">
        <x:v>46163</x:v>
      </x:c>
      <x:c r="P84" s="31" t="n">
        <x:v>46163</x:v>
      </x:c>
      <x:c r="Q84" s="31" t="inlineStr">
        <x:is>
          <x:t xml:space="preserve">Завершено</x:t>
        </x:is>
      </x:c>
      <x:c r="R84" s="31" t="inlineStr">
        <x:is>
          <x:t xml:space="preserve">Нет</x:t>
        </x:is>
      </x:c>
      <x:c r="S84" s="31" t="inlineStr">
        <x:is>
          <x:t xml:space="preserve">Нет</x:t>
        </x:is>
      </x:c>
    </x:row>
    <x:row r="85" ht="18" customHeight="1">
      <x:c r="A85" s="31" t="inlineStr">
        <x:is>
          <x:t xml:space="preserve">ОП-000084</x:t>
        </x:is>
      </x:c>
      <x:c r="B85" s="31" t="inlineStr">
        <x:is>
          <x:t xml:space="preserve">ПЗ-00010</x:t>
        </x:is>
      </x:c>
      <x:c r="C85" s="31" t="inlineStr">
        <x:is>
          <x:t xml:space="preserve">ЗК-1007</x:t>
        </x:is>
      </x:c>
      <x:c r="D85" s="31" t="inlineStr">
        <x:is>
          <x:t xml:space="preserve">ПОЗ-0007-2</x:t>
        </x:is>
      </x:c>
      <x:c r="E85" s="31" t="inlineStr">
        <x:is>
          <x:t xml:space="preserve">ИЗД-006</x:t>
        </x:is>
      </x:c>
      <x:c r="F85" s="31" t="n">
        <x:v>80</x:v>
      </x:c>
      <x:c r="G85" s="31" t="inlineStr">
        <x:is>
          <x:t xml:space="preserve">Гидроиспытания</x:t>
        </x:is>
      </x:c>
      <x:c r="H85" s="31" t="inlineStr">
        <x:is>
          <x:t xml:space="preserve">ОТК</x:t>
        </x:is>
      </x:c>
      <x:c r="I85" s="31" t="inlineStr">
        <x:is>
          <x:t xml:space="preserve">ОБ-007</x:t>
        </x:is>
      </x:c>
      <x:c r="J85" s="31" t="inlineStr">
        <x:is>
          <x:t xml:space="preserve">СОТР-092</x:t>
        </x:is>
      </x:c>
      <x:c r="K85" s="31" t="n">
        <x:v>15.2</x:v>
      </x:c>
      <x:c r="L85" s="31" t="n">
        <x:v>17.6</x:v>
      </x:c>
      <x:c r="M85" s="31" t="n">
        <x:v>46164</x:v>
      </x:c>
      <x:c r="N85" s="31" t="n">
        <x:v>46166</x:v>
      </x:c>
      <x:c r="O85" s="31" t="n">
        <x:v>46164</x:v>
      </x:c>
      <x:c r="P85" s="31" t="n">
        <x:v>46165</x:v>
      </x:c>
      <x:c r="Q85" s="31" t="inlineStr">
        <x:is>
          <x:t xml:space="preserve">Завершено</x:t>
        </x:is>
      </x:c>
      <x:c r="R85" s="31" t="inlineStr">
        <x:is>
          <x:t xml:space="preserve">Нет</x:t>
        </x:is>
      </x:c>
      <x:c r="S85" s="31" t="inlineStr">
        <x:is>
          <x:t xml:space="preserve">Нет</x:t>
        </x:is>
      </x:c>
    </x:row>
    <x:row r="86" ht="18" customHeight="1">
      <x:c r="A86" s="31" t="inlineStr">
        <x:is>
          <x:t xml:space="preserve">ОП-000085</x:t>
        </x:is>
      </x:c>
      <x:c r="B86" s="31" t="inlineStr">
        <x:is>
          <x:t xml:space="preserve">ПЗ-00010</x:t>
        </x:is>
      </x:c>
      <x:c r="C86" s="31" t="inlineStr">
        <x:is>
          <x:t xml:space="preserve">ЗК-1007</x:t>
        </x:is>
      </x:c>
      <x:c r="D86" s="31" t="inlineStr">
        <x:is>
          <x:t xml:space="preserve">ПОЗ-0007-2</x:t>
        </x:is>
      </x:c>
      <x:c r="E86" s="31" t="inlineStr">
        <x:is>
          <x:t xml:space="preserve">ИЗД-006</x:t>
        </x:is>
      </x:c>
      <x:c r="F86" s="31" t="n">
        <x:v>90</x:v>
      </x:c>
      <x:c r="G86" s="31" t="inlineStr">
        <x:is>
          <x:t xml:space="preserve">ОТК</x:t>
        </x:is>
      </x:c>
      <x:c r="H86" s="31" t="inlineStr">
        <x:is>
          <x:t xml:space="preserve">ОТК</x:t>
        </x:is>
      </x:c>
      <x:c r="I86" s="31" t="inlineStr">
        <x:is>
          <x:t xml:space="preserve">ОБ-024</x:t>
        </x:is>
      </x:c>
      <x:c r="J86" s="31" t="inlineStr">
        <x:is>
          <x:t xml:space="preserve">СОТР-063</x:t>
        </x:is>
      </x:c>
      <x:c r="K86" s="31" t="n">
        <x:v>5.1</x:v>
      </x:c>
      <x:c r="L86" s="31" t="n">
        <x:v>4.4</x:v>
      </x:c>
      <x:c r="M86" s="31" t="n">
        <x:v>46166</x:v>
      </x:c>
      <x:c r="N86" s="31" t="n">
        <x:v>46167</x:v>
      </x:c>
      <x:c r="O86" s="31" t="n">
        <x:v>46166</x:v>
      </x:c>
      <x:c r="P86" s="31" t="n">
        <x:v>46169</x:v>
      </x:c>
      <x:c r="Q86" s="31" t="inlineStr">
        <x:is>
          <x:t xml:space="preserve">Завершено</x:t>
        </x:is>
      </x:c>
      <x:c r="R86" s="31" t="inlineStr">
        <x:is>
          <x:t xml:space="preserve">Нет</x:t>
        </x:is>
      </x:c>
      <x:c r="S86" s="31" t="inlineStr">
        <x:is>
          <x:t xml:space="preserve">Нет</x:t>
        </x:is>
      </x:c>
    </x:row>
    <x:row r="87" ht="18" customHeight="1">
      <x:c r="A87" s="31" t="inlineStr">
        <x:is>
          <x:t xml:space="preserve">ОП-000086</x:t>
        </x:is>
      </x:c>
      <x:c r="B87" s="31" t="inlineStr">
        <x:is>
          <x:t xml:space="preserve">ПЗ-00010</x:t>
        </x:is>
      </x:c>
      <x:c r="C87" s="31" t="inlineStr">
        <x:is>
          <x:t xml:space="preserve">ЗК-1007</x:t>
        </x:is>
      </x:c>
      <x:c r="D87" s="31" t="inlineStr">
        <x:is>
          <x:t xml:space="preserve">ПОЗ-0007-2</x:t>
        </x:is>
      </x:c>
      <x:c r="E87" s="31" t="inlineStr">
        <x:is>
          <x:t xml:space="preserve">ИЗД-006</x:t>
        </x:is>
      </x:c>
      <x:c r="F87" s="31" t="n">
        <x:v>100</x:v>
      </x:c>
      <x:c r="G87" s="31" t="inlineStr">
        <x:is>
          <x:t xml:space="preserve">Упаковка</x:t>
        </x:is>
      </x:c>
      <x:c r="H87" s="31" t="inlineStr">
        <x:is>
          <x:t xml:space="preserve">Логистика</x:t>
        </x:is>
      </x:c>
      <x:c r="I87" s="31" t="n"/>
      <x:c r="J87" s="31" t="inlineStr">
        <x:is>
          <x:t xml:space="preserve">СОТР-105</x:t>
        </x:is>
      </x:c>
      <x:c r="K87" s="31" t="n">
        <x:v>12.4</x:v>
      </x:c>
      <x:c r="L87" s="31" t="n">
        <x:v>12.1</x:v>
      </x:c>
      <x:c r="M87" s="31" t="n">
        <x:v>46167</x:v>
      </x:c>
      <x:c r="N87" s="31" t="n">
        <x:v>46169</x:v>
      </x:c>
      <x:c r="O87" s="31" t="n">
        <x:v>46167</x:v>
      </x:c>
      <x:c r="P87" s="31" t="n">
        <x:v>46170</x:v>
      </x:c>
      <x:c r="Q87" s="31" t="inlineStr">
        <x:is>
          <x:t xml:space="preserve">Завершено</x:t>
        </x:is>
      </x:c>
      <x:c r="R87" s="31" t="inlineStr">
        <x:is>
          <x:t xml:space="preserve">Нет</x:t>
        </x:is>
      </x:c>
      <x:c r="S87" s="31" t="inlineStr">
        <x:is>
          <x:t xml:space="preserve">Нет</x:t>
        </x:is>
      </x:c>
    </x:row>
    <x:row r="88" ht="18" customHeight="1">
      <x:c r="A88" s="31" t="inlineStr">
        <x:is>
          <x:t xml:space="preserve">ОП-000087</x:t>
        </x:is>
      </x:c>
      <x:c r="B88" s="31" t="inlineStr">
        <x:is>
          <x:t xml:space="preserve">ПЗ-00011</x:t>
        </x:is>
      </x:c>
      <x:c r="C88" s="31" t="inlineStr">
        <x:is>
          <x:t xml:space="preserve">ЗК-1008</x:t>
        </x:is>
      </x:c>
      <x:c r="D88" s="31" t="inlineStr">
        <x:is>
          <x:t xml:space="preserve">ПОЗ-0008-1</x:t>
        </x:is>
      </x:c>
      <x:c r="E88" s="31" t="inlineStr">
        <x:is>
          <x:t xml:space="preserve">ИЗД-039</x:t>
        </x:is>
      </x:c>
      <x:c r="F88" s="31" t="n">
        <x:v>10</x:v>
      </x:c>
      <x:c r="G88" s="31" t="inlineStr">
        <x:is>
          <x:t xml:space="preserve">КД</x:t>
        </x:is>
      </x:c>
      <x:c r="H88" s="31" t="inlineStr">
        <x:is>
          <x:t xml:space="preserve">Инженерный отдел</x:t>
        </x:is>
      </x:c>
      <x:c r="I88" s="31" t="n"/>
      <x:c r="J88" s="31" t="inlineStr">
        <x:is>
          <x:t xml:space="preserve">СОТР-014</x:t>
        </x:is>
      </x:c>
      <x:c r="K88" s="31" t="n">
        <x:v>54</x:v>
      </x:c>
      <x:c r="L88" s="31" t="n">
        <x:v>71.40000000000001</x:v>
      </x:c>
      <x:c r="M88" s="31" t="n">
        <x:v>46104</x:v>
      </x:c>
      <x:c r="N88" s="31" t="n">
        <x:v>46109</x:v>
      </x:c>
      <x:c r="O88" s="31" t="n">
        <x:v>46104</x:v>
      </x:c>
      <x:c r="P88" s="31" t="n">
        <x:v>46111</x:v>
      </x:c>
      <x:c r="Q88" s="31" t="inlineStr">
        <x:is>
          <x:t xml:space="preserve">Завершено</x:t>
        </x:is>
      </x:c>
      <x:c r="R88" s="31" t="inlineStr">
        <x:is>
          <x:t xml:space="preserve">Нет</x:t>
        </x:is>
      </x:c>
      <x:c r="S88" s="31" t="inlineStr">
        <x:is>
          <x:t xml:space="preserve">Нет</x:t>
        </x:is>
      </x:c>
    </x:row>
    <x:row r="89" ht="18" customHeight="1">
      <x:c r="A89" s="31" t="inlineStr">
        <x:is>
          <x:t xml:space="preserve">ОП-000088</x:t>
        </x:is>
      </x:c>
      <x:c r="B89" s="31" t="inlineStr">
        <x:is>
          <x:t xml:space="preserve">ПЗ-00011</x:t>
        </x:is>
      </x:c>
      <x:c r="C89" s="31" t="inlineStr">
        <x:is>
          <x:t xml:space="preserve">ЗК-1008</x:t>
        </x:is>
      </x:c>
      <x:c r="D89" s="31" t="inlineStr">
        <x:is>
          <x:t xml:space="preserve">ПОЗ-0008-1</x:t>
        </x:is>
      </x:c>
      <x:c r="E89" s="31" t="inlineStr">
        <x:is>
          <x:t xml:space="preserve">ИЗД-039</x:t>
        </x:is>
      </x:c>
      <x:c r="F89" s="31" t="n">
        <x:v>20</x:v>
      </x:c>
      <x:c r="G89" s="31" t="inlineStr">
        <x:is>
          <x:t xml:space="preserve">Резка металла</x:t>
        </x:is>
      </x:c>
      <x:c r="H89" s="31" t="inlineStr">
        <x:is>
          <x:t xml:space="preserve">Сварка</x:t>
        </x:is>
      </x:c>
      <x:c r="I89" s="31" t="inlineStr">
        <x:is>
          <x:t xml:space="preserve">ОБ-021</x:t>
        </x:is>
      </x:c>
      <x:c r="J89" s="31" t="inlineStr">
        <x:is>
          <x:t xml:space="preserve">СОТР-062</x:t>
        </x:is>
      </x:c>
      <x:c r="K89" s="31" t="n">
        <x:v>60.9</x:v>
      </x:c>
      <x:c r="L89" s="31" t="n">
        <x:v>54</x:v>
      </x:c>
      <x:c r="M89" s="31" t="n">
        <x:v>46109</x:v>
      </x:c>
      <x:c r="N89" s="31" t="n">
        <x:v>46115</x:v>
      </x:c>
      <x:c r="O89" s="31" t="n">
        <x:v>46109</x:v>
      </x:c>
      <x:c r="P89" s="31" t="n">
        <x:v>46117</x:v>
      </x:c>
      <x:c r="Q89" s="31" t="inlineStr">
        <x:is>
          <x:t xml:space="preserve">Завершено</x:t>
        </x:is>
      </x:c>
      <x:c r="R89" s="31" t="inlineStr">
        <x:is>
          <x:t xml:space="preserve">Нет</x:t>
        </x:is>
      </x:c>
      <x:c r="S89" s="31" t="inlineStr">
        <x:is>
          <x:t xml:space="preserve">Нет</x:t>
        </x:is>
      </x:c>
    </x:row>
    <x:row r="90" ht="18" customHeight="1">
      <x:c r="A90" s="31" t="inlineStr">
        <x:is>
          <x:t xml:space="preserve">ОП-000089</x:t>
        </x:is>
      </x:c>
      <x:c r="B90" s="31" t="inlineStr">
        <x:is>
          <x:t xml:space="preserve">ПЗ-00011</x:t>
        </x:is>
      </x:c>
      <x:c r="C90" s="31" t="inlineStr">
        <x:is>
          <x:t xml:space="preserve">ЗК-1008</x:t>
        </x:is>
      </x:c>
      <x:c r="D90" s="31" t="inlineStr">
        <x:is>
          <x:t xml:space="preserve">ПОЗ-0008-1</x:t>
        </x:is>
      </x:c>
      <x:c r="E90" s="31" t="inlineStr">
        <x:is>
          <x:t xml:space="preserve">ИЗД-039</x:t>
        </x:is>
      </x:c>
      <x:c r="F90" s="31" t="n">
        <x:v>30</x:v>
      </x:c>
      <x:c r="G90" s="31" t="inlineStr">
        <x:is>
          <x:t xml:space="preserve">Сварка рамы</x:t>
        </x:is>
      </x:c>
      <x:c r="H90" s="31" t="inlineStr">
        <x:is>
          <x:t xml:space="preserve">Сварка</x:t>
        </x:is>
      </x:c>
      <x:c r="I90" s="31" t="inlineStr">
        <x:is>
          <x:t xml:space="preserve">ОБ-018</x:t>
        </x:is>
      </x:c>
      <x:c r="J90" s="31" t="inlineStr">
        <x:is>
          <x:t xml:space="preserve">СОТР-068</x:t>
        </x:is>
      </x:c>
      <x:c r="K90" s="31" t="n">
        <x:v>25.2</x:v>
      </x:c>
      <x:c r="L90" s="31" t="n">
        <x:v>27.4</x:v>
      </x:c>
      <x:c r="M90" s="31" t="n">
        <x:v>46115</x:v>
      </x:c>
      <x:c r="N90" s="31" t="n">
        <x:v>46118</x:v>
      </x:c>
      <x:c r="O90" s="31" t="n">
        <x:v>46115</x:v>
      </x:c>
      <x:c r="P90" s="31" t="n">
        <x:v>46120</x:v>
      </x:c>
      <x:c r="Q90" s="31" t="inlineStr">
        <x:is>
          <x:t xml:space="preserve">Завершено</x:t>
        </x:is>
      </x:c>
      <x:c r="R90" s="31" t="inlineStr">
        <x:is>
          <x:t xml:space="preserve">Нет</x:t>
        </x:is>
      </x:c>
      <x:c r="S90" s="31" t="inlineStr">
        <x:is>
          <x:t xml:space="preserve">Нет</x:t>
        </x:is>
      </x:c>
    </x:row>
    <x:row r="91" ht="18" customHeight="1">
      <x:c r="A91" s="31" t="inlineStr">
        <x:is>
          <x:t xml:space="preserve">ОП-000090</x:t>
        </x:is>
      </x:c>
      <x:c r="B91" s="31" t="inlineStr">
        <x:is>
          <x:t xml:space="preserve">ПЗ-00011</x:t>
        </x:is>
      </x:c>
      <x:c r="C91" s="31" t="inlineStr">
        <x:is>
          <x:t xml:space="preserve">ЗК-1008</x:t>
        </x:is>
      </x:c>
      <x:c r="D91" s="31" t="inlineStr">
        <x:is>
          <x:t xml:space="preserve">ПОЗ-0008-1</x:t>
        </x:is>
      </x:c>
      <x:c r="E91" s="31" t="inlineStr">
        <x:is>
          <x:t xml:space="preserve">ИЗД-039</x:t>
        </x:is>
      </x:c>
      <x:c r="F91" s="31" t="n">
        <x:v>40</x:v>
      </x:c>
      <x:c r="G91" s="31" t="inlineStr">
        <x:is>
          <x:t xml:space="preserve">Пескоструй</x:t>
        </x:is>
      </x:c>
      <x:c r="H91" s="31" t="inlineStr">
        <x:is>
          <x:t xml:space="preserve">Сварка</x:t>
        </x:is>
      </x:c>
      <x:c r="I91" s="31" t="inlineStr">
        <x:is>
          <x:t xml:space="preserve">ОБ-018</x:t>
        </x:is>
      </x:c>
      <x:c r="J91" s="31" t="inlineStr">
        <x:is>
          <x:t xml:space="preserve">СОТР-060</x:t>
        </x:is>
      </x:c>
      <x:c r="K91" s="31" t="n">
        <x:v>36.9</x:v>
      </x:c>
      <x:c r="L91" s="31" t="n">
        <x:v>35.3</x:v>
      </x:c>
      <x:c r="M91" s="31" t="n">
        <x:v>46118</x:v>
      </x:c>
      <x:c r="N91" s="31" t="n">
        <x:v>46122</x:v>
      </x:c>
      <x:c r="O91" s="31" t="n">
        <x:v>46118</x:v>
      </x:c>
      <x:c r="P91" s="31" t="n">
        <x:v>46122</x:v>
      </x:c>
      <x:c r="Q91" s="31" t="inlineStr">
        <x:is>
          <x:t xml:space="preserve">Завершено</x:t>
        </x:is>
      </x:c>
      <x:c r="R91" s="31" t="inlineStr">
        <x:is>
          <x:t xml:space="preserve">Нет</x:t>
        </x:is>
      </x:c>
      <x:c r="S91" s="31" t="inlineStr">
        <x:is>
          <x:t xml:space="preserve">Нет</x:t>
        </x:is>
      </x:c>
    </x:row>
    <x:row r="92" ht="18" customHeight="1">
      <x:c r="A92" s="31" t="inlineStr">
        <x:is>
          <x:t xml:space="preserve">ОП-000091</x:t>
        </x:is>
      </x:c>
      <x:c r="B92" s="31" t="inlineStr">
        <x:is>
          <x:t xml:space="preserve">ПЗ-00011</x:t>
        </x:is>
      </x:c>
      <x:c r="C92" s="31" t="inlineStr">
        <x:is>
          <x:t xml:space="preserve">ЗК-1008</x:t>
        </x:is>
      </x:c>
      <x:c r="D92" s="31" t="inlineStr">
        <x:is>
          <x:t xml:space="preserve">ПОЗ-0008-1</x:t>
        </x:is>
      </x:c>
      <x:c r="E92" s="31" t="inlineStr">
        <x:is>
          <x:t xml:space="preserve">ИЗД-039</x:t>
        </x:is>
      </x:c>
      <x:c r="F92" s="31" t="n">
        <x:v>50</x:v>
      </x:c>
      <x:c r="G92" s="31" t="inlineStr">
        <x:is>
          <x:t xml:space="preserve">Покраска</x:t>
        </x:is>
      </x:c>
      <x:c r="H92" s="31" t="inlineStr">
        <x:is>
          <x:t xml:space="preserve">Сварка</x:t>
        </x:is>
      </x:c>
      <x:c r="I92" s="31" t="inlineStr">
        <x:is>
          <x:t xml:space="preserve">ОБ-026</x:t>
        </x:is>
      </x:c>
      <x:c r="J92" s="31" t="inlineStr">
        <x:is>
          <x:t xml:space="preserve">СОТР-064</x:t>
        </x:is>
      </x:c>
      <x:c r="K92" s="31" t="n">
        <x:v>11.4</x:v>
      </x:c>
      <x:c r="L92" s="31" t="n">
        <x:v>12.8</x:v>
      </x:c>
      <x:c r="M92" s="31" t="n">
        <x:v>46122</x:v>
      </x:c>
      <x:c r="N92" s="31" t="n">
        <x:v>46123</x:v>
      </x:c>
      <x:c r="O92" s="31" t="n">
        <x:v>46122</x:v>
      </x:c>
      <x:c r="P92" s="31" t="n">
        <x:v>46122</x:v>
      </x:c>
      <x:c r="Q92" s="31" t="inlineStr">
        <x:is>
          <x:t xml:space="preserve">Завершено</x:t>
        </x:is>
      </x:c>
      <x:c r="R92" s="31" t="inlineStr">
        <x:is>
          <x:t xml:space="preserve">Нет</x:t>
        </x:is>
      </x:c>
      <x:c r="S92" s="31" t="inlineStr">
        <x:is>
          <x:t xml:space="preserve">Нет</x:t>
        </x:is>
      </x:c>
    </x:row>
    <x:row r="93" ht="18" customHeight="1">
      <x:c r="A93" s="31" t="inlineStr">
        <x:is>
          <x:t xml:space="preserve">ОП-000092</x:t>
        </x:is>
      </x:c>
      <x:c r="B93" s="31" t="inlineStr">
        <x:is>
          <x:t xml:space="preserve">ПЗ-00011</x:t>
        </x:is>
      </x:c>
      <x:c r="C93" s="31" t="inlineStr">
        <x:is>
          <x:t xml:space="preserve">ЗК-1008</x:t>
        </x:is>
      </x:c>
      <x:c r="D93" s="31" t="inlineStr">
        <x:is>
          <x:t xml:space="preserve">ПОЗ-0008-1</x:t>
        </x:is>
      </x:c>
      <x:c r="E93" s="31" t="inlineStr">
        <x:is>
          <x:t xml:space="preserve">ИЗД-039</x:t>
        </x:is>
      </x:c>
      <x:c r="F93" s="31" t="n">
        <x:v>60</x:v>
      </x:c>
      <x:c r="G93" s="31" t="inlineStr">
        <x:is>
          <x:t xml:space="preserve">ОТК</x:t>
        </x:is>
      </x:c>
      <x:c r="H93" s="31" t="inlineStr">
        <x:is>
          <x:t xml:space="preserve">ОТК</x:t>
        </x:is>
      </x:c>
      <x:c r="I93" s="31" t="inlineStr">
        <x:is>
          <x:t xml:space="preserve">ОБ-024</x:t>
        </x:is>
      </x:c>
      <x:c r="J93" s="31" t="inlineStr">
        <x:is>
          <x:t xml:space="preserve">СОТР-099</x:t>
        </x:is>
      </x:c>
      <x:c r="K93" s="31" t="n">
        <x:v>43.2</x:v>
      </x:c>
      <x:c r="L93" s="31" t="n">
        <x:v>50.9</x:v>
      </x:c>
      <x:c r="M93" s="31" t="n">
        <x:v>46123</x:v>
      </x:c>
      <x:c r="N93" s="31" t="n">
        <x:v>46127</x:v>
      </x:c>
      <x:c r="O93" s="31" t="n">
        <x:v>46123</x:v>
      </x:c>
      <x:c r="P93" s="31" t="n">
        <x:v>46127</x:v>
      </x:c>
      <x:c r="Q93" s="31" t="inlineStr">
        <x:is>
          <x:t xml:space="preserve">Завершено</x:t>
        </x:is>
      </x:c>
      <x:c r="R93" s="31" t="inlineStr">
        <x:is>
          <x:t xml:space="preserve">Нет</x:t>
        </x:is>
      </x:c>
      <x:c r="S93" s="31" t="inlineStr">
        <x:is>
          <x:t xml:space="preserve">Нет</x:t>
        </x:is>
      </x:c>
    </x:row>
    <x:row r="94" ht="18" customHeight="1">
      <x:c r="A94" s="31" t="inlineStr">
        <x:is>
          <x:t xml:space="preserve">ОП-000093</x:t>
        </x:is>
      </x:c>
      <x:c r="B94" s="31" t="inlineStr">
        <x:is>
          <x:t xml:space="preserve">ПЗ-00012</x:t>
        </x:is>
      </x:c>
      <x:c r="C94" s="31" t="inlineStr">
        <x:is>
          <x:t xml:space="preserve">ЗК-1008</x:t>
        </x:is>
      </x:c>
      <x:c r="D94" s="31" t="inlineStr">
        <x:is>
          <x:t xml:space="preserve">ПОЗ-0008-2</x:t>
        </x:is>
      </x:c>
      <x:c r="E94" s="31" t="inlineStr">
        <x:is>
          <x:t xml:space="preserve">ИЗД-011</x:t>
        </x:is>
      </x:c>
      <x:c r="F94" s="31" t="n">
        <x:v>10</x:v>
      </x:c>
      <x:c r="G94" s="31" t="inlineStr">
        <x:is>
          <x:t xml:space="preserve">КД</x:t>
        </x:is>
      </x:c>
      <x:c r="H94" s="31" t="inlineStr">
        <x:is>
          <x:t xml:space="preserve">Инженерный отдел</x:t>
        </x:is>
      </x:c>
      <x:c r="I94" s="31" t="n"/>
      <x:c r="J94" s="31" t="inlineStr">
        <x:is>
          <x:t xml:space="preserve">СОТР-020</x:t>
        </x:is>
      </x:c>
      <x:c r="K94" s="31" t="n">
        <x:v>14</x:v>
      </x:c>
      <x:c r="L94" s="31" t="n">
        <x:v>13.3</x:v>
      </x:c>
      <x:c r="M94" s="31" t="n">
        <x:v>46108</x:v>
      </x:c>
      <x:c r="N94" s="31" t="n">
        <x:v>46110</x:v>
      </x:c>
      <x:c r="O94" s="31" t="n">
        <x:v>46108</x:v>
      </x:c>
      <x:c r="P94" s="31" t="n">
        <x:v>46109</x:v>
      </x:c>
      <x:c r="Q94" s="31" t="inlineStr">
        <x:is>
          <x:t xml:space="preserve">Завершено</x:t>
        </x:is>
      </x:c>
      <x:c r="R94" s="31" t="inlineStr">
        <x:is>
          <x:t xml:space="preserve">Нет</x:t>
        </x:is>
      </x:c>
      <x:c r="S94" s="31" t="inlineStr">
        <x:is>
          <x:t xml:space="preserve">Нет</x:t>
        </x:is>
      </x:c>
    </x:row>
    <x:row r="95" ht="18" customHeight="1">
      <x:c r="A95" s="31" t="inlineStr">
        <x:is>
          <x:t xml:space="preserve">ОП-000094</x:t>
        </x:is>
      </x:c>
      <x:c r="B95" s="31" t="inlineStr">
        <x:is>
          <x:t xml:space="preserve">ПЗ-00012</x:t>
        </x:is>
      </x:c>
      <x:c r="C95" s="31" t="inlineStr">
        <x:is>
          <x:t xml:space="preserve">ЗК-1008</x:t>
        </x:is>
      </x:c>
      <x:c r="D95" s="31" t="inlineStr">
        <x:is>
          <x:t xml:space="preserve">ПОЗ-0008-2</x:t>
        </x:is>
      </x:c>
      <x:c r="E95" s="31" t="inlineStr">
        <x:is>
          <x:t xml:space="preserve">ИЗД-011</x:t>
        </x:is>
      </x:c>
      <x:c r="F95" s="31" t="n">
        <x:v>20</x:v>
      </x:c>
      <x:c r="G95" s="31" t="inlineStr">
        <x:is>
          <x:t xml:space="preserve">Комплектация</x:t>
        </x:is>
      </x:c>
      <x:c r="H95" s="31" t="inlineStr">
        <x:is>
          <x:t xml:space="preserve">Склад</x:t>
        </x:is>
      </x:c>
      <x:c r="I95" s="31" t="inlineStr">
        <x:is>
          <x:t xml:space="preserve">ОБ-025</x:t>
        </x:is>
      </x:c>
      <x:c r="J95" s="31" t="inlineStr">
        <x:is>
          <x:t xml:space="preserve">СОТР-033</x:t>
        </x:is>
      </x:c>
      <x:c r="K95" s="31" t="n">
        <x:v>8.800000000000001</x:v>
      </x:c>
      <x:c r="L95" s="31" t="n">
        <x:v>11.2</x:v>
      </x:c>
      <x:c r="M95" s="31" t="n">
        <x:v>46110</x:v>
      </x:c>
      <x:c r="N95" s="31" t="n">
        <x:v>46111</x:v>
      </x:c>
      <x:c r="O95" s="31" t="n">
        <x:v>46110</x:v>
      </x:c>
      <x:c r="P95" s="31" t="n">
        <x:v>46112</x:v>
      </x:c>
      <x:c r="Q95" s="31" t="inlineStr">
        <x:is>
          <x:t xml:space="preserve">Завершено</x:t>
        </x:is>
      </x:c>
      <x:c r="R95" s="31" t="inlineStr">
        <x:is>
          <x:t xml:space="preserve">Нет</x:t>
        </x:is>
      </x:c>
      <x:c r="S95" s="31" t="inlineStr">
        <x:is>
          <x:t xml:space="preserve">Нет</x:t>
        </x:is>
      </x:c>
    </x:row>
    <x:row r="96" ht="18" customHeight="1">
      <x:c r="A96" s="31" t="inlineStr">
        <x:is>
          <x:t xml:space="preserve">ОП-000095</x:t>
        </x:is>
      </x:c>
      <x:c r="B96" s="31" t="inlineStr">
        <x:is>
          <x:t xml:space="preserve">ПЗ-00012</x:t>
        </x:is>
      </x:c>
      <x:c r="C96" s="31" t="inlineStr">
        <x:is>
          <x:t xml:space="preserve">ЗК-1008</x:t>
        </x:is>
      </x:c>
      <x:c r="D96" s="31" t="inlineStr">
        <x:is>
          <x:t xml:space="preserve">ПОЗ-0008-2</x:t>
        </x:is>
      </x:c>
      <x:c r="E96" s="31" t="inlineStr">
        <x:is>
          <x:t xml:space="preserve">ИЗД-011</x:t>
        </x:is>
      </x:c>
      <x:c r="F96" s="31" t="n">
        <x:v>30</x:v>
      </x:c>
      <x:c r="G96" s="31" t="inlineStr">
        <x:is>
          <x:t xml:space="preserve">Сборка шкафа</x:t>
        </x:is>
      </x:c>
      <x:c r="H96" s="31" t="inlineStr">
        <x:is>
          <x:t xml:space="preserve">Сборка</x:t>
        </x:is>
      </x:c>
      <x:c r="I96" s="31" t="inlineStr">
        <x:is>
          <x:t xml:space="preserve">ОБ-012</x:t>
        </x:is>
      </x:c>
      <x:c r="J96" s="31" t="inlineStr">
        <x:is>
          <x:t xml:space="preserve">СОТР-086</x:t>
        </x:is>
      </x:c>
      <x:c r="K96" s="31" t="n">
        <x:v>22</x:v>
      </x:c>
      <x:c r="L96" s="31" t="n">
        <x:v>18.4</x:v>
      </x:c>
      <x:c r="M96" s="31" t="n">
        <x:v>46111</x:v>
      </x:c>
      <x:c r="N96" s="31" t="n">
        <x:v>46113</x:v>
      </x:c>
      <x:c r="O96" s="31" t="n">
        <x:v>46111</x:v>
      </x:c>
      <x:c r="P96" s="31" t="n">
        <x:v>46112</x:v>
      </x:c>
      <x:c r="Q96" s="31" t="inlineStr">
        <x:is>
          <x:t xml:space="preserve">Завершено</x:t>
        </x:is>
      </x:c>
      <x:c r="R96" s="31" t="inlineStr">
        <x:is>
          <x:t xml:space="preserve">Ожидание ОТК</x:t>
        </x:is>
      </x:c>
      <x:c r="S96" s="31" t="inlineStr">
        <x:is>
          <x:t xml:space="preserve">Нет</x:t>
        </x:is>
      </x:c>
    </x:row>
    <x:row r="97" ht="18" customHeight="1">
      <x:c r="A97" s="31" t="inlineStr">
        <x:is>
          <x:t xml:space="preserve">ОП-000096</x:t>
        </x:is>
      </x:c>
      <x:c r="B97" s="31" t="inlineStr">
        <x:is>
          <x:t xml:space="preserve">ПЗ-00012</x:t>
        </x:is>
      </x:c>
      <x:c r="C97" s="31" t="inlineStr">
        <x:is>
          <x:t xml:space="preserve">ЗК-1008</x:t>
        </x:is>
      </x:c>
      <x:c r="D97" s="31" t="inlineStr">
        <x:is>
          <x:t xml:space="preserve">ПОЗ-0008-2</x:t>
        </x:is>
      </x:c>
      <x:c r="E97" s="31" t="inlineStr">
        <x:is>
          <x:t xml:space="preserve">ИЗД-011</x:t>
        </x:is>
      </x:c>
      <x:c r="F97" s="31" t="n">
        <x:v>40</x:v>
      </x:c>
      <x:c r="G97" s="31" t="inlineStr">
        <x:is>
          <x:t xml:space="preserve">Маркировка</x:t>
        </x:is>
      </x:c>
      <x:c r="H97" s="31" t="inlineStr">
        <x:is>
          <x:t xml:space="preserve">Сборка</x:t>
        </x:is>
      </x:c>
      <x:c r="I97" s="31" t="inlineStr">
        <x:is>
          <x:t xml:space="preserve">ОБ-005</x:t>
        </x:is>
      </x:c>
      <x:c r="J97" s="31" t="inlineStr">
        <x:is>
          <x:t xml:space="preserve">СОТР-083</x:t>
        </x:is>
      </x:c>
      <x:c r="K97" s="31" t="n">
        <x:v>5.4</x:v>
      </x:c>
      <x:c r="L97" s="31" t="n">
        <x:v>6.7</x:v>
      </x:c>
      <x:c r="M97" s="31" t="n">
        <x:v>46113</x:v>
      </x:c>
      <x:c r="N97" s="31" t="n">
        <x:v>46114</x:v>
      </x:c>
      <x:c r="O97" s="31" t="n">
        <x:v>46113</x:v>
      </x:c>
      <x:c r="P97" s="31" t="n">
        <x:v>46115</x:v>
      </x:c>
      <x:c r="Q97" s="31" t="inlineStr">
        <x:is>
          <x:t xml:space="preserve">Завершено</x:t>
        </x:is>
      </x:c>
      <x:c r="R97" s="31" t="inlineStr">
        <x:is>
          <x:t xml:space="preserve">Нет</x:t>
        </x:is>
      </x:c>
      <x:c r="S97" s="31" t="inlineStr">
        <x:is>
          <x:t xml:space="preserve">Нет</x:t>
        </x:is>
      </x:c>
    </x:row>
    <x:row r="98" ht="18" customHeight="1">
      <x:c r="A98" s="31" t="inlineStr">
        <x:is>
          <x:t xml:space="preserve">ОП-000097</x:t>
        </x:is>
      </x:c>
      <x:c r="B98" s="31" t="inlineStr">
        <x:is>
          <x:t xml:space="preserve">ПЗ-00012</x:t>
        </x:is>
      </x:c>
      <x:c r="C98" s="31" t="inlineStr">
        <x:is>
          <x:t xml:space="preserve">ЗК-1008</x:t>
        </x:is>
      </x:c>
      <x:c r="D98" s="31" t="inlineStr">
        <x:is>
          <x:t xml:space="preserve">ПОЗ-0008-2</x:t>
        </x:is>
      </x:c>
      <x:c r="E98" s="31" t="inlineStr">
        <x:is>
          <x:t xml:space="preserve">ИЗД-011</x:t>
        </x:is>
      </x:c>
      <x:c r="F98" s="31" t="n">
        <x:v>50</x:v>
      </x:c>
      <x:c r="G98" s="31" t="inlineStr">
        <x:is>
          <x:t xml:space="preserve">Электромонтаж</x:t>
        </x:is>
      </x:c>
      <x:c r="H98" s="31" t="inlineStr">
        <x:is>
          <x:t xml:space="preserve">Сборка</x:t>
        </x:is>
      </x:c>
      <x:c r="I98" s="31" t="inlineStr">
        <x:is>
          <x:t xml:space="preserve">ОБ-017</x:t>
        </x:is>
      </x:c>
      <x:c r="J98" s="31" t="inlineStr">
        <x:is>
          <x:t xml:space="preserve">СОТР-091</x:t>
        </x:is>
      </x:c>
      <x:c r="K98" s="31" t="n">
        <x:v>4.6</x:v>
      </x:c>
      <x:c r="L98" s="31" t="n">
        <x:v>5.3</x:v>
      </x:c>
      <x:c r="M98" s="31" t="n">
        <x:v>46114</x:v>
      </x:c>
      <x:c r="N98" s="31" t="n">
        <x:v>46115</x:v>
      </x:c>
      <x:c r="O98" s="31" t="n">
        <x:v>46114</x:v>
      </x:c>
      <x:c r="P98" s="31" t="n">
        <x:v>46115</x:v>
      </x:c>
      <x:c r="Q98" s="31" t="inlineStr">
        <x:is>
          <x:t xml:space="preserve">Завершено</x:t>
        </x:is>
      </x:c>
      <x:c r="R98" s="31" t="inlineStr">
        <x:is>
          <x:t xml:space="preserve">Ожидание ОТК</x:t>
        </x:is>
      </x:c>
      <x:c r="S98" s="31" t="inlineStr">
        <x:is>
          <x:t xml:space="preserve">Нет</x:t>
        </x:is>
      </x:c>
    </x:row>
    <x:row r="99" ht="18" customHeight="1">
      <x:c r="A99" s="31" t="inlineStr">
        <x:is>
          <x:t xml:space="preserve">ОП-000098</x:t>
        </x:is>
      </x:c>
      <x:c r="B99" s="31" t="inlineStr">
        <x:is>
          <x:t xml:space="preserve">ПЗ-00012</x:t>
        </x:is>
      </x:c>
      <x:c r="C99" s="31" t="inlineStr">
        <x:is>
          <x:t xml:space="preserve">ЗК-1008</x:t>
        </x:is>
      </x:c>
      <x:c r="D99" s="31" t="inlineStr">
        <x:is>
          <x:t xml:space="preserve">ПОЗ-0008-2</x:t>
        </x:is>
      </x:c>
      <x:c r="E99" s="31" t="inlineStr">
        <x:is>
          <x:t xml:space="preserve">ИЗД-011</x:t>
        </x:is>
      </x:c>
      <x:c r="F99" s="31" t="n">
        <x:v>60</x:v>
      </x:c>
      <x:c r="G99" s="31" t="inlineStr">
        <x:is>
          <x:t xml:space="preserve">Программирование ПЛК</x:t>
        </x:is>
      </x:c>
      <x:c r="H99" s="31" t="inlineStr">
        <x:is>
          <x:t xml:space="preserve">Инженерный отдел</x:t>
        </x:is>
      </x:c>
      <x:c r="I99" s="31" t="n"/>
      <x:c r="J99" s="31" t="inlineStr">
        <x:is>
          <x:t xml:space="preserve">СОТР-011</x:t>
        </x:is>
      </x:c>
      <x:c r="K99" s="31" t="n">
        <x:v>2.6</x:v>
      </x:c>
      <x:c r="L99" s="31" t="n">
        <x:v>2.9</x:v>
      </x:c>
      <x:c r="M99" s="31" t="n">
        <x:v>46115</x:v>
      </x:c>
      <x:c r="N99" s="31" t="n">
        <x:v>46116</x:v>
      </x:c>
      <x:c r="O99" s="31" t="n">
        <x:v>46115</x:v>
      </x:c>
      <x:c r="P99" s="31" t="n">
        <x:v>46118</x:v>
      </x:c>
      <x:c r="Q99" s="31" t="inlineStr">
        <x:is>
          <x:t xml:space="preserve">Завершено</x:t>
        </x:is>
      </x:c>
      <x:c r="R99" s="31" t="inlineStr">
        <x:is>
          <x:t xml:space="preserve">Нет</x:t>
        </x:is>
      </x:c>
      <x:c r="S99" s="31" t="inlineStr">
        <x:is>
          <x:t xml:space="preserve">Нет</x:t>
        </x:is>
      </x:c>
    </x:row>
    <x:row r="100" ht="18" customHeight="1">
      <x:c r="A100" s="31" t="inlineStr">
        <x:is>
          <x:t xml:space="preserve">ОП-000099</x:t>
        </x:is>
      </x:c>
      <x:c r="B100" s="31" t="inlineStr">
        <x:is>
          <x:t xml:space="preserve">ПЗ-00012</x:t>
        </x:is>
      </x:c>
      <x:c r="C100" s="31" t="inlineStr">
        <x:is>
          <x:t xml:space="preserve">ЗК-1008</x:t>
        </x:is>
      </x:c>
      <x:c r="D100" s="31" t="inlineStr">
        <x:is>
          <x:t xml:space="preserve">ПОЗ-0008-2</x:t>
        </x:is>
      </x:c>
      <x:c r="E100" s="31" t="inlineStr">
        <x:is>
          <x:t xml:space="preserve">ИЗД-011</x:t>
        </x:is>
      </x:c>
      <x:c r="F100" s="31" t="n">
        <x:v>70</x:v>
      </x:c>
      <x:c r="G100" s="31" t="inlineStr">
        <x:is>
          <x:t xml:space="preserve">Приемочные испытания</x:t>
        </x:is>
      </x:c>
      <x:c r="H100" s="31" t="inlineStr">
        <x:is>
          <x:t xml:space="preserve">ОТК</x:t>
        </x:is>
      </x:c>
      <x:c r="I100" s="31" t="inlineStr">
        <x:is>
          <x:t xml:space="preserve">ОБ-015</x:t>
        </x:is>
      </x:c>
      <x:c r="J100" s="31" t="inlineStr">
        <x:is>
          <x:t xml:space="preserve">СОТР-092</x:t>
        </x:is>
      </x:c>
      <x:c r="K100" s="31" t="n">
        <x:v>23.2</x:v>
      </x:c>
      <x:c r="L100" s="31" t="n">
        <x:v>27.8</x:v>
      </x:c>
      <x:c r="M100" s="31" t="n">
        <x:v>46116</x:v>
      </x:c>
      <x:c r="N100" s="31" t="n">
        <x:v>46118</x:v>
      </x:c>
      <x:c r="O100" s="31" t="n">
        <x:v>46116</x:v>
      </x:c>
      <x:c r="P100" s="31" t="n">
        <x:v>46119</x:v>
      </x:c>
      <x:c r="Q100" s="31" t="inlineStr">
        <x:is>
          <x:t xml:space="preserve">Завершено</x:t>
        </x:is>
      </x:c>
      <x:c r="R100" s="31" t="inlineStr">
        <x:is>
          <x:t xml:space="preserve">Нет</x:t>
        </x:is>
      </x:c>
      <x:c r="S100" s="31" t="inlineStr">
        <x:is>
          <x:t xml:space="preserve">Нет</x:t>
        </x:is>
      </x:c>
    </x:row>
    <x:row r="101" ht="18" customHeight="1">
      <x:c r="A101" s="31" t="inlineStr">
        <x:is>
          <x:t xml:space="preserve">ОП-000100</x:t>
        </x:is>
      </x:c>
      <x:c r="B101" s="31" t="inlineStr">
        <x:is>
          <x:t xml:space="preserve">ПЗ-00012</x:t>
        </x:is>
      </x:c>
      <x:c r="C101" s="31" t="inlineStr">
        <x:is>
          <x:t xml:space="preserve">ЗК-1008</x:t>
        </x:is>
      </x:c>
      <x:c r="D101" s="31" t="inlineStr">
        <x:is>
          <x:t xml:space="preserve">ПОЗ-0008-2</x:t>
        </x:is>
      </x:c>
      <x:c r="E101" s="31" t="inlineStr">
        <x:is>
          <x:t xml:space="preserve">ИЗД-011</x:t>
        </x:is>
      </x:c>
      <x:c r="F101" s="31" t="n">
        <x:v>80</x:v>
      </x:c>
      <x:c r="G101" s="31" t="inlineStr">
        <x:is>
          <x:t xml:space="preserve">ОТК</x:t>
        </x:is>
      </x:c>
      <x:c r="H101" s="31" t="inlineStr">
        <x:is>
          <x:t xml:space="preserve">ОТК</x:t>
        </x:is>
      </x:c>
      <x:c r="I101" s="31" t="inlineStr">
        <x:is>
          <x:t xml:space="preserve">ОБ-015</x:t>
        </x:is>
      </x:c>
      <x:c r="J101" s="31" t="inlineStr">
        <x:is>
          <x:t xml:space="preserve">СОТР-096</x:t>
        </x:is>
      </x:c>
      <x:c r="K101" s="31" t="n">
        <x:v>21.6</x:v>
      </x:c>
      <x:c r="L101" s="31" t="n">
        <x:v>24.8</x:v>
      </x:c>
      <x:c r="M101" s="31" t="n">
        <x:v>46118</x:v>
      </x:c>
      <x:c r="N101" s="31" t="n">
        <x:v>46120</x:v>
      </x:c>
      <x:c r="O101" s="31" t="n">
        <x:v>46118</x:v>
      </x:c>
      <x:c r="P101" s="31" t="n">
        <x:v>46120</x:v>
      </x:c>
      <x:c r="Q101" s="31" t="inlineStr">
        <x:is>
          <x:t xml:space="preserve">Завершено</x:t>
        </x:is>
      </x:c>
      <x:c r="R101" s="31" t="inlineStr">
        <x:is>
          <x:t xml:space="preserve">Нет</x:t>
        </x:is>
      </x:c>
      <x:c r="S101" s="31" t="inlineStr">
        <x:is>
          <x:t xml:space="preserve">Да</x:t>
        </x:is>
      </x:c>
    </x:row>
    <x:row r="102" ht="18" customHeight="1">
      <x:c r="A102" s="31" t="inlineStr">
        <x:is>
          <x:t xml:space="preserve">ОП-000101</x:t>
        </x:is>
      </x:c>
      <x:c r="B102" s="31" t="inlineStr">
        <x:is>
          <x:t xml:space="preserve">ПЗ-00012</x:t>
        </x:is>
      </x:c>
      <x:c r="C102" s="31" t="inlineStr">
        <x:is>
          <x:t xml:space="preserve">ЗК-1008</x:t>
        </x:is>
      </x:c>
      <x:c r="D102" s="31" t="inlineStr">
        <x:is>
          <x:t xml:space="preserve">ПОЗ-0008-2</x:t>
        </x:is>
      </x:c>
      <x:c r="E102" s="31" t="inlineStr">
        <x:is>
          <x:t xml:space="preserve">ИЗД-011</x:t>
        </x:is>
      </x:c>
      <x:c r="F102" s="31" t="n">
        <x:v>90</x:v>
      </x:c>
      <x:c r="G102" s="31" t="inlineStr">
        <x:is>
          <x:t xml:space="preserve">Упаковка</x:t>
        </x:is>
      </x:c>
      <x:c r="H102" s="31" t="inlineStr">
        <x:is>
          <x:t xml:space="preserve">Логистика</x:t>
        </x:is>
      </x:c>
      <x:c r="I102" s="31" t="n"/>
      <x:c r="J102" s="31" t="inlineStr">
        <x:is>
          <x:t xml:space="preserve">СОТР-104</x:t>
        </x:is>
      </x:c>
      <x:c r="K102" s="31" t="n">
        <x:v>4.8</x:v>
      </x:c>
      <x:c r="L102" s="31" t="n">
        <x:v>4.8</x:v>
      </x:c>
      <x:c r="M102" s="31" t="n">
        <x:v>46120</x:v>
      </x:c>
      <x:c r="N102" s="31" t="n">
        <x:v>46121</x:v>
      </x:c>
      <x:c r="O102" s="31" t="n">
        <x:v>46120</x:v>
      </x:c>
      <x:c r="P102" s="31" t="n">
        <x:v>46120</x:v>
      </x:c>
      <x:c r="Q102" s="31" t="inlineStr">
        <x:is>
          <x:t xml:space="preserve">Завершено</x:t>
        </x:is>
      </x:c>
      <x:c r="R102" s="31" t="inlineStr">
        <x:is>
          <x:t xml:space="preserve">Нет</x:t>
        </x:is>
      </x:c>
      <x:c r="S102" s="31" t="inlineStr">
        <x:is>
          <x:t xml:space="preserve">Да</x:t>
        </x:is>
      </x:c>
    </x:row>
    <x:row r="103" ht="18" customHeight="1">
      <x:c r="A103" s="31" t="inlineStr">
        <x:is>
          <x:t xml:space="preserve">ОП-000102</x:t>
        </x:is>
      </x:c>
      <x:c r="B103" s="31" t="inlineStr">
        <x:is>
          <x:t xml:space="preserve">ПЗ-00013</x:t>
        </x:is>
      </x:c>
      <x:c r="C103" s="31" t="inlineStr">
        <x:is>
          <x:t xml:space="preserve">ЗК-1008</x:t>
        </x:is>
      </x:c>
      <x:c r="D103" s="31" t="inlineStr">
        <x:is>
          <x:t xml:space="preserve">ПОЗ-0008-3</x:t>
        </x:is>
      </x:c>
      <x:c r="E103" s="31" t="inlineStr">
        <x:is>
          <x:t xml:space="preserve">ИЗД-002</x:t>
        </x:is>
      </x:c>
      <x:c r="F103" s="31" t="n">
        <x:v>10</x:v>
      </x:c>
      <x:c r="G103" s="31" t="inlineStr">
        <x:is>
          <x:t xml:space="preserve">КД</x:t>
        </x:is>
      </x:c>
      <x:c r="H103" s="31" t="inlineStr">
        <x:is>
          <x:t xml:space="preserve">Инженерный отдел</x:t>
        </x:is>
      </x:c>
      <x:c r="I103" s="31" t="n"/>
      <x:c r="J103" s="31" t="inlineStr">
        <x:is>
          <x:t xml:space="preserve">СОТР-011</x:t>
        </x:is>
      </x:c>
      <x:c r="K103" s="31" t="n">
        <x:v>11.1</x:v>
      </x:c>
      <x:c r="L103" s="31" t="n">
        <x:v>12.3</x:v>
      </x:c>
      <x:c r="M103" s="31" t="n">
        <x:v>46106</x:v>
      </x:c>
      <x:c r="N103" s="31" t="n">
        <x:v>46107</x:v>
      </x:c>
      <x:c r="O103" s="31" t="n">
        <x:v>46106</x:v>
      </x:c>
      <x:c r="P103" s="31" t="n">
        <x:v>46106</x:v>
      </x:c>
      <x:c r="Q103" s="31" t="inlineStr">
        <x:is>
          <x:t xml:space="preserve">Завершено</x:t>
        </x:is>
      </x:c>
      <x:c r="R103" s="31" t="inlineStr">
        <x:is>
          <x:t xml:space="preserve">Нет</x:t>
        </x:is>
      </x:c>
      <x:c r="S103" s="31" t="inlineStr">
        <x:is>
          <x:t xml:space="preserve">Нет</x:t>
        </x:is>
      </x:c>
    </x:row>
    <x:row r="104" ht="18" customHeight="1">
      <x:c r="A104" s="31" t="inlineStr">
        <x:is>
          <x:t xml:space="preserve">ОП-000103</x:t>
        </x:is>
      </x:c>
      <x:c r="B104" s="31" t="inlineStr">
        <x:is>
          <x:t xml:space="preserve">ПЗ-00013</x:t>
        </x:is>
      </x:c>
      <x:c r="C104" s="31" t="inlineStr">
        <x:is>
          <x:t xml:space="preserve">ЗК-1008</x:t>
        </x:is>
      </x:c>
      <x:c r="D104" s="31" t="inlineStr">
        <x:is>
          <x:t xml:space="preserve">ПОЗ-0008-3</x:t>
        </x:is>
      </x:c>
      <x:c r="E104" s="31" t="inlineStr">
        <x:is>
          <x:t xml:space="preserve">ИЗД-002</x:t>
        </x:is>
      </x:c>
      <x:c r="F104" s="31" t="n">
        <x:v>20</x:v>
      </x:c>
      <x:c r="G104" s="31" t="inlineStr">
        <x:is>
          <x:t xml:space="preserve">Комплектация</x:t>
        </x:is>
      </x:c>
      <x:c r="H104" s="31" t="inlineStr">
        <x:is>
          <x:t xml:space="preserve">Склад</x:t>
        </x:is>
      </x:c>
      <x:c r="I104" s="31" t="inlineStr">
        <x:is>
          <x:t xml:space="preserve">ОБ-025</x:t>
        </x:is>
      </x:c>
      <x:c r="J104" s="31" t="inlineStr">
        <x:is>
          <x:t xml:space="preserve">СОТР-024</x:t>
        </x:is>
      </x:c>
      <x:c r="K104" s="31" t="n">
        <x:v>14.7</x:v>
      </x:c>
      <x:c r="L104" s="31" t="n">
        <x:v>15.5</x:v>
      </x:c>
      <x:c r="M104" s="31" t="n">
        <x:v>46107</x:v>
      </x:c>
      <x:c r="N104" s="31" t="n">
        <x:v>46109</x:v>
      </x:c>
      <x:c r="O104" s="31" t="n">
        <x:v>46107</x:v>
      </x:c>
      <x:c r="P104" s="31" t="n">
        <x:v>46109</x:v>
      </x:c>
      <x:c r="Q104" s="31" t="inlineStr">
        <x:is>
          <x:t xml:space="preserve">Завершено</x:t>
        </x:is>
      </x:c>
      <x:c r="R104" s="31" t="inlineStr">
        <x:is>
          <x:t xml:space="preserve">Нет</x:t>
        </x:is>
      </x:c>
      <x:c r="S104" s="31" t="inlineStr">
        <x:is>
          <x:t xml:space="preserve">Нет</x:t>
        </x:is>
      </x:c>
    </x:row>
    <x:row r="105" ht="18" customHeight="1">
      <x:c r="A105" s="31" t="inlineStr">
        <x:is>
          <x:t xml:space="preserve">ОП-000104</x:t>
        </x:is>
      </x:c>
      <x:c r="B105" s="31" t="inlineStr">
        <x:is>
          <x:t xml:space="preserve">ПЗ-00013</x:t>
        </x:is>
      </x:c>
      <x:c r="C105" s="31" t="inlineStr">
        <x:is>
          <x:t xml:space="preserve">ЗК-1008</x:t>
        </x:is>
      </x:c>
      <x:c r="D105" s="31" t="inlineStr">
        <x:is>
          <x:t xml:space="preserve">ПОЗ-0008-3</x:t>
        </x:is>
      </x:c>
      <x:c r="E105" s="31" t="inlineStr">
        <x:is>
          <x:t xml:space="preserve">ИЗД-002</x:t>
        </x:is>
      </x:c>
      <x:c r="F105" s="31" t="n">
        <x:v>30</x:v>
      </x:c>
      <x:c r="G105" s="31" t="inlineStr">
        <x:is>
          <x:t xml:space="preserve">Сборка шкафа</x:t>
        </x:is>
      </x:c>
      <x:c r="H105" s="31" t="inlineStr">
        <x:is>
          <x:t xml:space="preserve">Сборка</x:t>
        </x:is>
      </x:c>
      <x:c r="I105" s="31" t="inlineStr">
        <x:is>
          <x:t xml:space="preserve">ОБ-005</x:t>
        </x:is>
      </x:c>
      <x:c r="J105" s="31" t="inlineStr">
        <x:is>
          <x:t xml:space="preserve">СОТР-075</x:t>
        </x:is>
      </x:c>
      <x:c r="K105" s="31" t="n">
        <x:v>9.6</x:v>
      </x:c>
      <x:c r="L105" s="31" t="n">
        <x:v>11.5</x:v>
      </x:c>
      <x:c r="M105" s="31" t="n">
        <x:v>46109</x:v>
      </x:c>
      <x:c r="N105" s="31" t="n">
        <x:v>46110</x:v>
      </x:c>
      <x:c r="O105" s="31" t="n">
        <x:v>46109</x:v>
      </x:c>
      <x:c r="P105" s="31" t="n">
        <x:v>46112</x:v>
      </x:c>
      <x:c r="Q105" s="31" t="inlineStr">
        <x:is>
          <x:t xml:space="preserve">Завершено</x:t>
        </x:is>
      </x:c>
      <x:c r="R105" s="31" t="inlineStr">
        <x:is>
          <x:t xml:space="preserve">Нет</x:t>
        </x:is>
      </x:c>
      <x:c r="S105" s="31" t="inlineStr">
        <x:is>
          <x:t xml:space="preserve">Нет</x:t>
        </x:is>
      </x:c>
    </x:row>
    <x:row r="106" ht="18" customHeight="1">
      <x:c r="A106" s="31" t="inlineStr">
        <x:is>
          <x:t xml:space="preserve">ОП-000105</x:t>
        </x:is>
      </x:c>
      <x:c r="B106" s="31" t="inlineStr">
        <x:is>
          <x:t xml:space="preserve">ПЗ-00013</x:t>
        </x:is>
      </x:c>
      <x:c r="C106" s="31" t="inlineStr">
        <x:is>
          <x:t xml:space="preserve">ЗК-1008</x:t>
        </x:is>
      </x:c>
      <x:c r="D106" s="31" t="inlineStr">
        <x:is>
          <x:t xml:space="preserve">ПОЗ-0008-3</x:t>
        </x:is>
      </x:c>
      <x:c r="E106" s="31" t="inlineStr">
        <x:is>
          <x:t xml:space="preserve">ИЗД-002</x:t>
        </x:is>
      </x:c>
      <x:c r="F106" s="31" t="n">
        <x:v>40</x:v>
      </x:c>
      <x:c r="G106" s="31" t="inlineStr">
        <x:is>
          <x:t xml:space="preserve">Маркировка</x:t>
        </x:is>
      </x:c>
      <x:c r="H106" s="31" t="inlineStr">
        <x:is>
          <x:t xml:space="preserve">Сборка</x:t>
        </x:is>
      </x:c>
      <x:c r="I106" s="31" t="inlineStr">
        <x:is>
          <x:t xml:space="preserve">ОБ-012</x:t>
        </x:is>
      </x:c>
      <x:c r="J106" s="31" t="inlineStr">
        <x:is>
          <x:t xml:space="preserve">СОТР-085</x:t>
        </x:is>
      </x:c>
      <x:c r="K106" s="31" t="n">
        <x:v>21.3</x:v>
      </x:c>
      <x:c r="L106" s="31" t="n">
        <x:v>17.5</x:v>
      </x:c>
      <x:c r="M106" s="31" t="n">
        <x:v>46110</x:v>
      </x:c>
      <x:c r="N106" s="31" t="n">
        <x:v>46112</x:v>
      </x:c>
      <x:c r="O106" s="31" t="n">
        <x:v>46110</x:v>
      </x:c>
      <x:c r="P106" s="31" t="n">
        <x:v>46111</x:v>
      </x:c>
      <x:c r="Q106" s="31" t="inlineStr">
        <x:is>
          <x:t xml:space="preserve">Завершено</x:t>
        </x:is>
      </x:c>
      <x:c r="R106" s="31" t="inlineStr">
        <x:is>
          <x:t xml:space="preserve">Нет</x:t>
        </x:is>
      </x:c>
      <x:c r="S106" s="31" t="inlineStr">
        <x:is>
          <x:t xml:space="preserve">Нет</x:t>
        </x:is>
      </x:c>
    </x:row>
    <x:row r="107" ht="18" customHeight="1">
      <x:c r="A107" s="31" t="inlineStr">
        <x:is>
          <x:t xml:space="preserve">ОП-000106</x:t>
        </x:is>
      </x:c>
      <x:c r="B107" s="31" t="inlineStr">
        <x:is>
          <x:t xml:space="preserve">ПЗ-00013</x:t>
        </x:is>
      </x:c>
      <x:c r="C107" s="31" t="inlineStr">
        <x:is>
          <x:t xml:space="preserve">ЗК-1008</x:t>
        </x:is>
      </x:c>
      <x:c r="D107" s="31" t="inlineStr">
        <x:is>
          <x:t xml:space="preserve">ПОЗ-0008-3</x:t>
        </x:is>
      </x:c>
      <x:c r="E107" s="31" t="inlineStr">
        <x:is>
          <x:t xml:space="preserve">ИЗД-002</x:t>
        </x:is>
      </x:c>
      <x:c r="F107" s="31" t="n">
        <x:v>50</x:v>
      </x:c>
      <x:c r="G107" s="31" t="inlineStr">
        <x:is>
          <x:t xml:space="preserve">Электромонтаж</x:t>
        </x:is>
      </x:c>
      <x:c r="H107" s="31" t="inlineStr">
        <x:is>
          <x:t xml:space="preserve">Сборка</x:t>
        </x:is>
      </x:c>
      <x:c r="I107" s="31" t="inlineStr">
        <x:is>
          <x:t xml:space="preserve">ОБ-014</x:t>
        </x:is>
      </x:c>
      <x:c r="J107" s="31" t="inlineStr">
        <x:is>
          <x:t xml:space="preserve">СОТР-075</x:t>
        </x:is>
      </x:c>
      <x:c r="K107" s="31" t="n">
        <x:v>4.5</x:v>
      </x:c>
      <x:c r="L107" s="31" t="n">
        <x:v>5.2</x:v>
      </x:c>
      <x:c r="M107" s="31" t="n">
        <x:v>46112</x:v>
      </x:c>
      <x:c r="N107" s="31" t="n">
        <x:v>46113</x:v>
      </x:c>
      <x:c r="O107" s="31" t="n">
        <x:v>46112</x:v>
      </x:c>
      <x:c r="P107" s="31" t="n">
        <x:v>46114</x:v>
      </x:c>
      <x:c r="Q107" s="31" t="inlineStr">
        <x:is>
          <x:t xml:space="preserve">Завершено</x:t>
        </x:is>
      </x:c>
      <x:c r="R107" s="31" t="inlineStr">
        <x:is>
          <x:t xml:space="preserve">Материал</x:t>
        </x:is>
      </x:c>
      <x:c r="S107" s="31" t="inlineStr">
        <x:is>
          <x:t xml:space="preserve">Да</x:t>
        </x:is>
      </x:c>
    </x:row>
    <x:row r="108" ht="18" customHeight="1">
      <x:c r="A108" s="31" t="inlineStr">
        <x:is>
          <x:t xml:space="preserve">ОП-000107</x:t>
        </x:is>
      </x:c>
      <x:c r="B108" s="31" t="inlineStr">
        <x:is>
          <x:t xml:space="preserve">ПЗ-00013</x:t>
        </x:is>
      </x:c>
      <x:c r="C108" s="31" t="inlineStr">
        <x:is>
          <x:t xml:space="preserve">ЗК-1008</x:t>
        </x:is>
      </x:c>
      <x:c r="D108" s="31" t="inlineStr">
        <x:is>
          <x:t xml:space="preserve">ПОЗ-0008-3</x:t>
        </x:is>
      </x:c>
      <x:c r="E108" s="31" t="inlineStr">
        <x:is>
          <x:t xml:space="preserve">ИЗД-002</x:t>
        </x:is>
      </x:c>
      <x:c r="F108" s="31" t="n">
        <x:v>60</x:v>
      </x:c>
      <x:c r="G108" s="31" t="inlineStr">
        <x:is>
          <x:t xml:space="preserve">Программирование ПЛК</x:t>
        </x:is>
      </x:c>
      <x:c r="H108" s="31" t="inlineStr">
        <x:is>
          <x:t xml:space="preserve">Инженерный отдел</x:t>
        </x:is>
      </x:c>
      <x:c r="I108" s="31" t="n"/>
      <x:c r="J108" s="31" t="inlineStr">
        <x:is>
          <x:t xml:space="preserve">СОТР-012</x:t>
        </x:is>
      </x:c>
      <x:c r="K108" s="31" t="n">
        <x:v>21.3</x:v>
      </x:c>
      <x:c r="L108" s="31" t="n">
        <x:v>24.2</x:v>
      </x:c>
      <x:c r="M108" s="31" t="n">
        <x:v>46113</x:v>
      </x:c>
      <x:c r="N108" s="31" t="n">
        <x:v>46115</x:v>
      </x:c>
      <x:c r="O108" s="31" t="n">
        <x:v>46113</x:v>
      </x:c>
      <x:c r="P108" s="31" t="n">
        <x:v>46115</x:v>
      </x:c>
      <x:c r="Q108" s="31" t="inlineStr">
        <x:is>
          <x:t xml:space="preserve">Завершено</x:t>
        </x:is>
      </x:c>
      <x:c r="R108" s="31" t="inlineStr">
        <x:is>
          <x:t xml:space="preserve">Нет</x:t>
        </x:is>
      </x:c>
      <x:c r="S108" s="31" t="inlineStr">
        <x:is>
          <x:t xml:space="preserve">Нет</x:t>
        </x:is>
      </x:c>
    </x:row>
    <x:row r="109" ht="18" customHeight="1">
      <x:c r="A109" s="31" t="inlineStr">
        <x:is>
          <x:t xml:space="preserve">ОП-000108</x:t>
        </x:is>
      </x:c>
      <x:c r="B109" s="31" t="inlineStr">
        <x:is>
          <x:t xml:space="preserve">ПЗ-00013</x:t>
        </x:is>
      </x:c>
      <x:c r="C109" s="31" t="inlineStr">
        <x:is>
          <x:t xml:space="preserve">ЗК-1008</x:t>
        </x:is>
      </x:c>
      <x:c r="D109" s="31" t="inlineStr">
        <x:is>
          <x:t xml:space="preserve">ПОЗ-0008-3</x:t>
        </x:is>
      </x:c>
      <x:c r="E109" s="31" t="inlineStr">
        <x:is>
          <x:t xml:space="preserve">ИЗД-002</x:t>
        </x:is>
      </x:c>
      <x:c r="F109" s="31" t="n">
        <x:v>70</x:v>
      </x:c>
      <x:c r="G109" s="31" t="inlineStr">
        <x:is>
          <x:t xml:space="preserve">Приемочные испытания</x:t>
        </x:is>
      </x:c>
      <x:c r="H109" s="31" t="inlineStr">
        <x:is>
          <x:t xml:space="preserve">ОТК</x:t>
        </x:is>
      </x:c>
      <x:c r="I109" s="31" t="inlineStr">
        <x:is>
          <x:t xml:space="preserve">ОБ-015</x:t>
        </x:is>
      </x:c>
      <x:c r="J109" s="31" t="inlineStr">
        <x:is>
          <x:t xml:space="preserve">СОТР-100</x:t>
        </x:is>
      </x:c>
      <x:c r="K109" s="31" t="n">
        <x:v>18.3</x:v>
      </x:c>
      <x:c r="L109" s="31" t="n">
        <x:v>15.1</x:v>
      </x:c>
      <x:c r="M109" s="31" t="n">
        <x:v>46115</x:v>
      </x:c>
      <x:c r="N109" s="31" t="n">
        <x:v>46117</x:v>
      </x:c>
      <x:c r="O109" s="31" t="n">
        <x:v>46115</x:v>
      </x:c>
      <x:c r="P109" s="31" t="n">
        <x:v>46117</x:v>
      </x:c>
      <x:c r="Q109" s="31" t="inlineStr">
        <x:is>
          <x:t xml:space="preserve">Завершено</x:t>
        </x:is>
      </x:c>
      <x:c r="R109" s="31" t="inlineStr">
        <x:is>
          <x:t xml:space="preserve">Нет</x:t>
        </x:is>
      </x:c>
      <x:c r="S109" s="31" t="inlineStr">
        <x:is>
          <x:t xml:space="preserve">Нет</x:t>
        </x:is>
      </x:c>
    </x:row>
    <x:row r="110" ht="18" customHeight="1">
      <x:c r="A110" s="31" t="inlineStr">
        <x:is>
          <x:t xml:space="preserve">ОП-000109</x:t>
        </x:is>
      </x:c>
      <x:c r="B110" s="31" t="inlineStr">
        <x:is>
          <x:t xml:space="preserve">ПЗ-00013</x:t>
        </x:is>
      </x:c>
      <x:c r="C110" s="31" t="inlineStr">
        <x:is>
          <x:t xml:space="preserve">ЗК-1008</x:t>
        </x:is>
      </x:c>
      <x:c r="D110" s="31" t="inlineStr">
        <x:is>
          <x:t xml:space="preserve">ПОЗ-0008-3</x:t>
        </x:is>
      </x:c>
      <x:c r="E110" s="31" t="inlineStr">
        <x:is>
          <x:t xml:space="preserve">ИЗД-002</x:t>
        </x:is>
      </x:c>
      <x:c r="F110" s="31" t="n">
        <x:v>80</x:v>
      </x:c>
      <x:c r="G110" s="31" t="inlineStr">
        <x:is>
          <x:t xml:space="preserve">ОТК</x:t>
        </x:is>
      </x:c>
      <x:c r="H110" s="31" t="inlineStr">
        <x:is>
          <x:t xml:space="preserve">ОТК</x:t>
        </x:is>
      </x:c>
      <x:c r="I110" s="31" t="inlineStr">
        <x:is>
          <x:t xml:space="preserve">ОБ-001</x:t>
        </x:is>
      </x:c>
      <x:c r="J110" s="31" t="inlineStr">
        <x:is>
          <x:t xml:space="preserve">СОТР-063</x:t>
        </x:is>
      </x:c>
      <x:c r="K110" s="31" t="n">
        <x:v>18.6</x:v>
      </x:c>
      <x:c r="L110" s="31" t="n">
        <x:v>23.2</x:v>
      </x:c>
      <x:c r="M110" s="31" t="n">
        <x:v>46117</x:v>
      </x:c>
      <x:c r="N110" s="31" t="n">
        <x:v>46119</x:v>
      </x:c>
      <x:c r="O110" s="31" t="n">
        <x:v>46117</x:v>
      </x:c>
      <x:c r="P110" s="31" t="n">
        <x:v>46121</x:v>
      </x:c>
      <x:c r="Q110" s="31" t="inlineStr">
        <x:is>
          <x:t xml:space="preserve">Завершено</x:t>
        </x:is>
      </x:c>
      <x:c r="R110" s="31" t="inlineStr">
        <x:is>
          <x:t xml:space="preserve">Нет</x:t>
        </x:is>
      </x:c>
      <x:c r="S110" s="31" t="inlineStr">
        <x:is>
          <x:t xml:space="preserve">Нет</x:t>
        </x:is>
      </x:c>
    </x:row>
    <x:row r="111" ht="18" customHeight="1">
      <x:c r="A111" s="31" t="inlineStr">
        <x:is>
          <x:t xml:space="preserve">ОП-000110</x:t>
        </x:is>
      </x:c>
      <x:c r="B111" s="31" t="inlineStr">
        <x:is>
          <x:t xml:space="preserve">ПЗ-00013</x:t>
        </x:is>
      </x:c>
      <x:c r="C111" s="31" t="inlineStr">
        <x:is>
          <x:t xml:space="preserve">ЗК-1008</x:t>
        </x:is>
      </x:c>
      <x:c r="D111" s="31" t="inlineStr">
        <x:is>
          <x:t xml:space="preserve">ПОЗ-0008-3</x:t>
        </x:is>
      </x:c>
      <x:c r="E111" s="31" t="inlineStr">
        <x:is>
          <x:t xml:space="preserve">ИЗД-002</x:t>
        </x:is>
      </x:c>
      <x:c r="F111" s="31" t="n">
        <x:v>90</x:v>
      </x:c>
      <x:c r="G111" s="31" t="inlineStr">
        <x:is>
          <x:t xml:space="preserve">Упаковка</x:t>
        </x:is>
      </x:c>
      <x:c r="H111" s="31" t="inlineStr">
        <x:is>
          <x:t xml:space="preserve">Логистика</x:t>
        </x:is>
      </x:c>
      <x:c r="I111" s="31" t="n"/>
      <x:c r="J111" s="31" t="inlineStr">
        <x:is>
          <x:t xml:space="preserve">СОТР-102</x:t>
        </x:is>
      </x:c>
      <x:c r="K111" s="31" t="n">
        <x:v>13.5</x:v>
      </x:c>
      <x:c r="L111" s="31" t="n">
        <x:v>14.5</x:v>
      </x:c>
      <x:c r="M111" s="31" t="n">
        <x:v>46119</x:v>
      </x:c>
      <x:c r="N111" s="31" t="n">
        <x:v>46121</x:v>
      </x:c>
      <x:c r="O111" s="31" t="n">
        <x:v>46119</x:v>
      </x:c>
      <x:c r="P111" s="31" t="n">
        <x:v>46120</x:v>
      </x:c>
      <x:c r="Q111" s="31" t="inlineStr">
        <x:is>
          <x:t xml:space="preserve">Завершено</x:t>
        </x:is>
      </x:c>
      <x:c r="R111" s="31" t="inlineStr">
        <x:is>
          <x:t xml:space="preserve">Нет</x:t>
        </x:is>
      </x:c>
      <x:c r="S111" s="31" t="inlineStr">
        <x:is>
          <x:t xml:space="preserve">Нет</x:t>
        </x:is>
      </x:c>
    </x:row>
    <x:row r="112" ht="18" customHeight="1">
      <x:c r="A112" s="31" t="inlineStr">
        <x:is>
          <x:t xml:space="preserve">ОП-000111</x:t>
        </x:is>
      </x:c>
      <x:c r="B112" s="31" t="inlineStr">
        <x:is>
          <x:t xml:space="preserve">ПЗ-00014</x:t>
        </x:is>
      </x:c>
      <x:c r="C112" s="31" t="inlineStr">
        <x:is>
          <x:t xml:space="preserve">ЗК-1008</x:t>
        </x:is>
      </x:c>
      <x:c r="D112" s="31" t="inlineStr">
        <x:is>
          <x:t xml:space="preserve">ПОЗ-0008-4</x:t>
        </x:is>
      </x:c>
      <x:c r="E112" s="31" t="inlineStr">
        <x:is>
          <x:t xml:space="preserve">ИЗД-010</x:t>
        </x:is>
      </x:c>
      <x:c r="F112" s="31" t="n">
        <x:v>10</x:v>
      </x:c>
      <x:c r="G112" s="31" t="inlineStr">
        <x:is>
          <x:t xml:space="preserve">КД</x:t>
        </x:is>
      </x:c>
      <x:c r="H112" s="31" t="inlineStr">
        <x:is>
          <x:t xml:space="preserve">Инженерный отдел</x:t>
        </x:is>
      </x:c>
      <x:c r="I112" s="31" t="n"/>
      <x:c r="J112" s="31" t="inlineStr">
        <x:is>
          <x:t xml:space="preserve">СОТР-015</x:t>
        </x:is>
      </x:c>
      <x:c r="K112" s="31" t="n">
        <x:v>30.8</x:v>
      </x:c>
      <x:c r="L112" s="31" t="n">
        <x:v>38.6</x:v>
      </x:c>
      <x:c r="M112" s="31" t="n">
        <x:v>46096</x:v>
      </x:c>
      <x:c r="N112" s="31" t="n">
        <x:v>46099</x:v>
      </x:c>
      <x:c r="O112" s="31" t="n">
        <x:v>46096</x:v>
      </x:c>
      <x:c r="P112" s="31" t="n">
        <x:v>46099</x:v>
      </x:c>
      <x:c r="Q112" s="31" t="inlineStr">
        <x:is>
          <x:t xml:space="preserve">Завершено</x:t>
        </x:is>
      </x:c>
      <x:c r="R112" s="31" t="inlineStr">
        <x:is>
          <x:t xml:space="preserve">Нет</x:t>
        </x:is>
      </x:c>
      <x:c r="S112" s="31" t="inlineStr">
        <x:is>
          <x:t xml:space="preserve">Нет</x:t>
        </x:is>
      </x:c>
    </x:row>
    <x:row r="113" ht="18" customHeight="1">
      <x:c r="A113" s="31" t="inlineStr">
        <x:is>
          <x:t xml:space="preserve">ОП-000112</x:t>
        </x:is>
      </x:c>
      <x:c r="B113" s="31" t="inlineStr">
        <x:is>
          <x:t xml:space="preserve">ПЗ-00014</x:t>
        </x:is>
      </x:c>
      <x:c r="C113" s="31" t="inlineStr">
        <x:is>
          <x:t xml:space="preserve">ЗК-1008</x:t>
        </x:is>
      </x:c>
      <x:c r="D113" s="31" t="inlineStr">
        <x:is>
          <x:t xml:space="preserve">ПОЗ-0008-4</x:t>
        </x:is>
      </x:c>
      <x:c r="E113" s="31" t="inlineStr">
        <x:is>
          <x:t xml:space="preserve">ИЗД-010</x:t>
        </x:is>
      </x:c>
      <x:c r="F113" s="31" t="n">
        <x:v>20</x:v>
      </x:c>
      <x:c r="G113" s="31" t="inlineStr">
        <x:is>
          <x:t xml:space="preserve">Комплектация</x:t>
        </x:is>
      </x:c>
      <x:c r="H113" s="31" t="inlineStr">
        <x:is>
          <x:t xml:space="preserve">Склад</x:t>
        </x:is>
      </x:c>
      <x:c r="I113" s="31" t="inlineStr">
        <x:is>
          <x:t xml:space="preserve">ОБ-025</x:t>
        </x:is>
      </x:c>
      <x:c r="J113" s="31" t="inlineStr">
        <x:is>
          <x:t xml:space="preserve">СОТР-034</x:t>
        </x:is>
      </x:c>
      <x:c r="K113" s="31" t="n">
        <x:v>23.2</x:v>
      </x:c>
      <x:c r="L113" s="31" t="n">
        <x:v>29.1</x:v>
      </x:c>
      <x:c r="M113" s="31" t="n">
        <x:v>46099</x:v>
      </x:c>
      <x:c r="N113" s="31" t="n">
        <x:v>46101</x:v>
      </x:c>
      <x:c r="O113" s="31" t="n">
        <x:v>46099</x:v>
      </x:c>
      <x:c r="P113" s="31" t="n">
        <x:v>46101</x:v>
      </x:c>
      <x:c r="Q113" s="31" t="inlineStr">
        <x:is>
          <x:t xml:space="preserve">Завершено</x:t>
        </x:is>
      </x:c>
      <x:c r="R113" s="31" t="inlineStr">
        <x:is>
          <x:t xml:space="preserve">Нет</x:t>
        </x:is>
      </x:c>
      <x:c r="S113" s="31" t="inlineStr">
        <x:is>
          <x:t xml:space="preserve">Нет</x:t>
        </x:is>
      </x:c>
    </x:row>
    <x:row r="114" ht="18" customHeight="1">
      <x:c r="A114" s="31" t="inlineStr">
        <x:is>
          <x:t xml:space="preserve">ОП-000113</x:t>
        </x:is>
      </x:c>
      <x:c r="B114" s="31" t="inlineStr">
        <x:is>
          <x:t xml:space="preserve">ПЗ-00014</x:t>
        </x:is>
      </x:c>
      <x:c r="C114" s="31" t="inlineStr">
        <x:is>
          <x:t xml:space="preserve">ЗК-1008</x:t>
        </x:is>
      </x:c>
      <x:c r="D114" s="31" t="inlineStr">
        <x:is>
          <x:t xml:space="preserve">ПОЗ-0008-4</x:t>
        </x:is>
      </x:c>
      <x:c r="E114" s="31" t="inlineStr">
        <x:is>
          <x:t xml:space="preserve">ИЗД-010</x:t>
        </x:is>
      </x:c>
      <x:c r="F114" s="31" t="n">
        <x:v>30</x:v>
      </x:c>
      <x:c r="G114" s="31" t="inlineStr">
        <x:is>
          <x:t xml:space="preserve">Сборка шкафа</x:t>
        </x:is>
      </x:c>
      <x:c r="H114" s="31" t="inlineStr">
        <x:is>
          <x:t xml:space="preserve">Сборка</x:t>
        </x:is>
      </x:c>
      <x:c r="I114" s="31" t="inlineStr">
        <x:is>
          <x:t xml:space="preserve">ОБ-020</x:t>
        </x:is>
      </x:c>
      <x:c r="J114" s="31" t="inlineStr">
        <x:is>
          <x:t xml:space="preserve">СОТР-073</x:t>
        </x:is>
      </x:c>
      <x:c r="K114" s="31" t="n">
        <x:v>24.4</x:v>
      </x:c>
      <x:c r="L114" s="31" t="n">
        <x:v>22.5</x:v>
      </x:c>
      <x:c r="M114" s="31" t="n">
        <x:v>46101</x:v>
      </x:c>
      <x:c r="N114" s="31" t="n">
        <x:v>46104</x:v>
      </x:c>
      <x:c r="O114" s="31" t="n">
        <x:v>46101</x:v>
      </x:c>
      <x:c r="P114" s="31" t="n">
        <x:v>46106</x:v>
      </x:c>
      <x:c r="Q114" s="31" t="inlineStr">
        <x:is>
          <x:t xml:space="preserve">Завершено</x:t>
        </x:is>
      </x:c>
      <x:c r="R114" s="31" t="inlineStr">
        <x:is>
          <x:t xml:space="preserve">Нет</x:t>
        </x:is>
      </x:c>
      <x:c r="S114" s="31" t="inlineStr">
        <x:is>
          <x:t xml:space="preserve">Нет</x:t>
        </x:is>
      </x:c>
    </x:row>
    <x:row r="115" ht="18" customHeight="1">
      <x:c r="A115" s="31" t="inlineStr">
        <x:is>
          <x:t xml:space="preserve">ОП-000114</x:t>
        </x:is>
      </x:c>
      <x:c r="B115" s="31" t="inlineStr">
        <x:is>
          <x:t xml:space="preserve">ПЗ-00014</x:t>
        </x:is>
      </x:c>
      <x:c r="C115" s="31" t="inlineStr">
        <x:is>
          <x:t xml:space="preserve">ЗК-1008</x:t>
        </x:is>
      </x:c>
      <x:c r="D115" s="31" t="inlineStr">
        <x:is>
          <x:t xml:space="preserve">ПОЗ-0008-4</x:t>
        </x:is>
      </x:c>
      <x:c r="E115" s="31" t="inlineStr">
        <x:is>
          <x:t xml:space="preserve">ИЗД-010</x:t>
        </x:is>
      </x:c>
      <x:c r="F115" s="31" t="n">
        <x:v>40</x:v>
      </x:c>
      <x:c r="G115" s="31" t="inlineStr">
        <x:is>
          <x:t xml:space="preserve">Маркировка</x:t>
        </x:is>
      </x:c>
      <x:c r="H115" s="31" t="inlineStr">
        <x:is>
          <x:t xml:space="preserve">Сборка</x:t>
        </x:is>
      </x:c>
      <x:c r="I115" s="31" t="inlineStr">
        <x:is>
          <x:t xml:space="preserve">ОБ-034</x:t>
        </x:is>
      </x:c>
      <x:c r="J115" s="31" t="inlineStr">
        <x:is>
          <x:t xml:space="preserve">СОТР-079</x:t>
        </x:is>
      </x:c>
      <x:c r="K115" s="31" t="n">
        <x:v>8.4</x:v>
      </x:c>
      <x:c r="L115" s="31" t="n">
        <x:v>9.6</x:v>
      </x:c>
      <x:c r="M115" s="31" t="n">
        <x:v>46104</x:v>
      </x:c>
      <x:c r="N115" s="31" t="n">
        <x:v>46105</x:v>
      </x:c>
      <x:c r="O115" s="31" t="n">
        <x:v>46104</x:v>
      </x:c>
      <x:c r="P115" s="31" t="n">
        <x:v>46106</x:v>
      </x:c>
      <x:c r="Q115" s="31" t="inlineStr">
        <x:is>
          <x:t xml:space="preserve">Завершено</x:t>
        </x:is>
      </x:c>
      <x:c r="R115" s="31" t="inlineStr">
        <x:is>
          <x:t xml:space="preserve">Материал</x:t>
        </x:is>
      </x:c>
      <x:c r="S115" s="31" t="inlineStr">
        <x:is>
          <x:t xml:space="preserve">Нет</x:t>
        </x:is>
      </x:c>
    </x:row>
    <x:row r="116" ht="18" customHeight="1">
      <x:c r="A116" s="31" t="inlineStr">
        <x:is>
          <x:t xml:space="preserve">ОП-000115</x:t>
        </x:is>
      </x:c>
      <x:c r="B116" s="31" t="inlineStr">
        <x:is>
          <x:t xml:space="preserve">ПЗ-00014</x:t>
        </x:is>
      </x:c>
      <x:c r="C116" s="31" t="inlineStr">
        <x:is>
          <x:t xml:space="preserve">ЗК-1008</x:t>
        </x:is>
      </x:c>
      <x:c r="D116" s="31" t="inlineStr">
        <x:is>
          <x:t xml:space="preserve">ПОЗ-0008-4</x:t>
        </x:is>
      </x:c>
      <x:c r="E116" s="31" t="inlineStr">
        <x:is>
          <x:t xml:space="preserve">ИЗД-010</x:t>
        </x:is>
      </x:c>
      <x:c r="F116" s="31" t="n">
        <x:v>50</x:v>
      </x:c>
      <x:c r="G116" s="31" t="inlineStr">
        <x:is>
          <x:t xml:space="preserve">Электромонтаж</x:t>
        </x:is>
      </x:c>
      <x:c r="H116" s="31" t="inlineStr">
        <x:is>
          <x:t xml:space="preserve">Сборка</x:t>
        </x:is>
      </x:c>
      <x:c r="I116" s="31" t="inlineStr">
        <x:is>
          <x:t xml:space="preserve">ОБ-020</x:t>
        </x:is>
      </x:c>
      <x:c r="J116" s="31" t="inlineStr">
        <x:is>
          <x:t xml:space="preserve">СОТР-087</x:t>
        </x:is>
      </x:c>
      <x:c r="K116" s="31" t="n">
        <x:v>30.4</x:v>
      </x:c>
      <x:c r="L116" s="31" t="n">
        <x:v>35.8</x:v>
      </x:c>
      <x:c r="M116" s="31" t="n">
        <x:v>46105</x:v>
      </x:c>
      <x:c r="N116" s="31" t="n">
        <x:v>46108</x:v>
      </x:c>
      <x:c r="O116" s="31" t="n">
        <x:v>46105</x:v>
      </x:c>
      <x:c r="P116" s="31" t="n">
        <x:v>46108</x:v>
      </x:c>
      <x:c r="Q116" s="31" t="inlineStr">
        <x:is>
          <x:t xml:space="preserve">Завершено</x:t>
        </x:is>
      </x:c>
      <x:c r="R116" s="31" t="inlineStr">
        <x:is>
          <x:t xml:space="preserve">Материал</x:t>
        </x:is>
      </x:c>
      <x:c r="S116" s="31" t="inlineStr">
        <x:is>
          <x:t xml:space="preserve">Нет</x:t>
        </x:is>
      </x:c>
    </x:row>
    <x:row r="117" ht="18" customHeight="1">
      <x:c r="A117" s="31" t="inlineStr">
        <x:is>
          <x:t xml:space="preserve">ОП-000116</x:t>
        </x:is>
      </x:c>
      <x:c r="B117" s="31" t="inlineStr">
        <x:is>
          <x:t xml:space="preserve">ПЗ-00014</x:t>
        </x:is>
      </x:c>
      <x:c r="C117" s="31" t="inlineStr">
        <x:is>
          <x:t xml:space="preserve">ЗК-1008</x:t>
        </x:is>
      </x:c>
      <x:c r="D117" s="31" t="inlineStr">
        <x:is>
          <x:t xml:space="preserve">ПОЗ-0008-4</x:t>
        </x:is>
      </x:c>
      <x:c r="E117" s="31" t="inlineStr">
        <x:is>
          <x:t xml:space="preserve">ИЗД-010</x:t>
        </x:is>
      </x:c>
      <x:c r="F117" s="31" t="n">
        <x:v>60</x:v>
      </x:c>
      <x:c r="G117" s="31" t="inlineStr">
        <x:is>
          <x:t xml:space="preserve">Программирование ПЛК</x:t>
        </x:is>
      </x:c>
      <x:c r="H117" s="31" t="inlineStr">
        <x:is>
          <x:t xml:space="preserve">Инженерный отдел</x:t>
        </x:is>
      </x:c>
      <x:c r="I117" s="31" t="n"/>
      <x:c r="J117" s="31" t="inlineStr">
        <x:is>
          <x:t xml:space="preserve">СОТР-017</x:t>
        </x:is>
      </x:c>
      <x:c r="K117" s="31" t="n">
        <x:v>33.2</x:v>
      </x:c>
      <x:c r="L117" s="31" t="n">
        <x:v>33.4</x:v>
      </x:c>
      <x:c r="M117" s="31" t="n">
        <x:v>46108</x:v>
      </x:c>
      <x:c r="N117" s="31" t="n">
        <x:v>46111</x:v>
      </x:c>
      <x:c r="O117" s="31" t="n">
        <x:v>46108</x:v>
      </x:c>
      <x:c r="P117" s="31" t="n">
        <x:v>46111</x:v>
      </x:c>
      <x:c r="Q117" s="31" t="inlineStr">
        <x:is>
          <x:t xml:space="preserve">Завершено</x:t>
        </x:is>
      </x:c>
      <x:c r="R117" s="31" t="inlineStr">
        <x:is>
          <x:t xml:space="preserve">Нет</x:t>
        </x:is>
      </x:c>
      <x:c r="S117" s="31" t="inlineStr">
        <x:is>
          <x:t xml:space="preserve">Нет</x:t>
        </x:is>
      </x:c>
    </x:row>
    <x:row r="118" ht="18" customHeight="1">
      <x:c r="A118" s="31" t="inlineStr">
        <x:is>
          <x:t xml:space="preserve">ОП-000117</x:t>
        </x:is>
      </x:c>
      <x:c r="B118" s="31" t="inlineStr">
        <x:is>
          <x:t xml:space="preserve">ПЗ-00014</x:t>
        </x:is>
      </x:c>
      <x:c r="C118" s="31" t="inlineStr">
        <x:is>
          <x:t xml:space="preserve">ЗК-1008</x:t>
        </x:is>
      </x:c>
      <x:c r="D118" s="31" t="inlineStr">
        <x:is>
          <x:t xml:space="preserve">ПОЗ-0008-4</x:t>
        </x:is>
      </x:c>
      <x:c r="E118" s="31" t="inlineStr">
        <x:is>
          <x:t xml:space="preserve">ИЗД-010</x:t>
        </x:is>
      </x:c>
      <x:c r="F118" s="31" t="n">
        <x:v>70</x:v>
      </x:c>
      <x:c r="G118" s="31" t="inlineStr">
        <x:is>
          <x:t xml:space="preserve">Приемочные испытания</x:t>
        </x:is>
      </x:c>
      <x:c r="H118" s="31" t="inlineStr">
        <x:is>
          <x:t xml:space="preserve">ОТК</x:t>
        </x:is>
      </x:c>
      <x:c r="I118" s="31" t="inlineStr">
        <x:is>
          <x:t xml:space="preserve">ОБ-013</x:t>
        </x:is>
      </x:c>
      <x:c r="J118" s="31" t="inlineStr">
        <x:is>
          <x:t xml:space="preserve">СОТР-098</x:t>
        </x:is>
      </x:c>
      <x:c r="K118" s="31" t="n">
        <x:v>50.4</x:v>
      </x:c>
      <x:c r="L118" s="31" t="n">
        <x:v>42.7</x:v>
      </x:c>
      <x:c r="M118" s="31" t="n">
        <x:v>46111</x:v>
      </x:c>
      <x:c r="N118" s="31" t="n">
        <x:v>46116</x:v>
      </x:c>
      <x:c r="O118" s="31" t="n">
        <x:v>46111</x:v>
      </x:c>
      <x:c r="P118" s="31" t="n">
        <x:v>46115</x:v>
      </x:c>
      <x:c r="Q118" s="31" t="inlineStr">
        <x:is>
          <x:t xml:space="preserve">Завершено</x:t>
        </x:is>
      </x:c>
      <x:c r="R118" s="31" t="inlineStr">
        <x:is>
          <x:t xml:space="preserve">Нет</x:t>
        </x:is>
      </x:c>
      <x:c r="S118" s="31" t="inlineStr">
        <x:is>
          <x:t xml:space="preserve">Нет</x:t>
        </x:is>
      </x:c>
    </x:row>
    <x:row r="119" ht="18" customHeight="1">
      <x:c r="A119" s="31" t="inlineStr">
        <x:is>
          <x:t xml:space="preserve">ОП-000118</x:t>
        </x:is>
      </x:c>
      <x:c r="B119" s="31" t="inlineStr">
        <x:is>
          <x:t xml:space="preserve">ПЗ-00014</x:t>
        </x:is>
      </x:c>
      <x:c r="C119" s="31" t="inlineStr">
        <x:is>
          <x:t xml:space="preserve">ЗК-1008</x:t>
        </x:is>
      </x:c>
      <x:c r="D119" s="31" t="inlineStr">
        <x:is>
          <x:t xml:space="preserve">ПОЗ-0008-4</x:t>
        </x:is>
      </x:c>
      <x:c r="E119" s="31" t="inlineStr">
        <x:is>
          <x:t xml:space="preserve">ИЗД-010</x:t>
        </x:is>
      </x:c>
      <x:c r="F119" s="31" t="n">
        <x:v>80</x:v>
      </x:c>
      <x:c r="G119" s="31" t="inlineStr">
        <x:is>
          <x:t xml:space="preserve">ОТК</x:t>
        </x:is>
      </x:c>
      <x:c r="H119" s="31" t="inlineStr">
        <x:is>
          <x:t xml:space="preserve">ОТК</x:t>
        </x:is>
      </x:c>
      <x:c r="I119" s="31" t="inlineStr">
        <x:is>
          <x:t xml:space="preserve">ОБ-015</x:t>
        </x:is>
      </x:c>
      <x:c r="J119" s="31" t="inlineStr">
        <x:is>
          <x:t xml:space="preserve">СОТР-098</x:t>
        </x:is>
      </x:c>
      <x:c r="K119" s="31" t="n">
        <x:v>36.4</x:v>
      </x:c>
      <x:c r="L119" s="31" t="n">
        <x:v>37.8</x:v>
      </x:c>
      <x:c r="M119" s="31" t="n">
        <x:v>46116</x:v>
      </x:c>
      <x:c r="N119" s="31" t="n">
        <x:v>46120</x:v>
      </x:c>
      <x:c r="O119" s="31" t="n">
        <x:v>46116</x:v>
      </x:c>
      <x:c r="P119" s="31" t="n">
        <x:v>46119</x:v>
      </x:c>
      <x:c r="Q119" s="31" t="inlineStr">
        <x:is>
          <x:t xml:space="preserve">Завершено</x:t>
        </x:is>
      </x:c>
      <x:c r="R119" s="31" t="inlineStr">
        <x:is>
          <x:t xml:space="preserve">Нет</x:t>
        </x:is>
      </x:c>
      <x:c r="S119" s="31" t="inlineStr">
        <x:is>
          <x:t xml:space="preserve">Нет</x:t>
        </x:is>
      </x:c>
    </x:row>
    <x:row r="120" ht="18" customHeight="1">
      <x:c r="A120" s="31" t="inlineStr">
        <x:is>
          <x:t xml:space="preserve">ОП-000119</x:t>
        </x:is>
      </x:c>
      <x:c r="B120" s="31" t="inlineStr">
        <x:is>
          <x:t xml:space="preserve">ПЗ-00014</x:t>
        </x:is>
      </x:c>
      <x:c r="C120" s="31" t="inlineStr">
        <x:is>
          <x:t xml:space="preserve">ЗК-1008</x:t>
        </x:is>
      </x:c>
      <x:c r="D120" s="31" t="inlineStr">
        <x:is>
          <x:t xml:space="preserve">ПОЗ-0008-4</x:t>
        </x:is>
      </x:c>
      <x:c r="E120" s="31" t="inlineStr">
        <x:is>
          <x:t xml:space="preserve">ИЗД-010</x:t>
        </x:is>
      </x:c>
      <x:c r="F120" s="31" t="n">
        <x:v>90</x:v>
      </x:c>
      <x:c r="G120" s="31" t="inlineStr">
        <x:is>
          <x:t xml:space="preserve">Упаковка</x:t>
        </x:is>
      </x:c>
      <x:c r="H120" s="31" t="inlineStr">
        <x:is>
          <x:t xml:space="preserve">Логистика</x:t>
        </x:is>
      </x:c>
      <x:c r="I120" s="31" t="n"/>
      <x:c r="J120" s="31" t="inlineStr">
        <x:is>
          <x:t xml:space="preserve">СОТР-105</x:t>
        </x:is>
      </x:c>
      <x:c r="K120" s="31" t="n">
        <x:v>44.4</x:v>
      </x:c>
      <x:c r="L120" s="31" t="n">
        <x:v>39.4</x:v>
      </x:c>
      <x:c r="M120" s="31" t="n">
        <x:v>46120</x:v>
      </x:c>
      <x:c r="N120" s="31" t="n">
        <x:v>46124</x:v>
      </x:c>
      <x:c r="O120" s="31" t="n">
        <x:v>46120</x:v>
      </x:c>
      <x:c r="P120" s="31" t="n">
        <x:v>46126</x:v>
      </x:c>
      <x:c r="Q120" s="31" t="inlineStr">
        <x:is>
          <x:t xml:space="preserve">Завершено</x:t>
        </x:is>
      </x:c>
      <x:c r="R120" s="31" t="inlineStr">
        <x:is>
          <x:t xml:space="preserve">КД</x:t>
        </x:is>
      </x:c>
      <x:c r="S120" s="31" t="inlineStr">
        <x:is>
          <x:t xml:space="preserve">Нет</x:t>
        </x:is>
      </x:c>
    </x:row>
    <x:row r="121" ht="18" customHeight="1">
      <x:c r="A121" s="31" t="inlineStr">
        <x:is>
          <x:t xml:space="preserve">ОП-000120</x:t>
        </x:is>
      </x:c>
      <x:c r="B121" s="31" t="inlineStr">
        <x:is>
          <x:t xml:space="preserve">ПЗ-00015</x:t>
        </x:is>
      </x:c>
      <x:c r="C121" s="31" t="inlineStr">
        <x:is>
          <x:t xml:space="preserve">ЗК-1009</x:t>
        </x:is>
      </x:c>
      <x:c r="D121" s="31" t="inlineStr">
        <x:is>
          <x:t xml:space="preserve">ПОЗ-0009-1</x:t>
        </x:is>
      </x:c>
      <x:c r="E121" s="31" t="inlineStr">
        <x:is>
          <x:t xml:space="preserve">ИЗД-031</x:t>
        </x:is>
      </x:c>
      <x:c r="F121" s="31" t="n">
        <x:v>10</x:v>
      </x:c>
      <x:c r="G121" s="31" t="inlineStr">
        <x:is>
          <x:t xml:space="preserve">КД</x:t>
        </x:is>
      </x:c>
      <x:c r="H121" s="31" t="inlineStr">
        <x:is>
          <x:t xml:space="preserve">Инженерный отдел</x:t>
        </x:is>
      </x:c>
      <x:c r="I121" s="31" t="n"/>
      <x:c r="J121" s="31" t="inlineStr">
        <x:is>
          <x:t xml:space="preserve">СОТР-014</x:t>
        </x:is>
      </x:c>
      <x:c r="K121" s="31" t="n">
        <x:v>36.8</x:v>
      </x:c>
      <x:c r="L121" s="31" t="n"/>
      <x:c r="M121" s="31" t="n">
        <x:v>46148</x:v>
      </x:c>
      <x:c r="N121" s="31" t="n">
        <x:v>46152</x:v>
      </x:c>
      <x:c r="O121" s="31" t="n">
        <x:v>46148</x:v>
      </x:c>
      <x:c r="P121" s="31" t="n"/>
      <x:c r="Q121" s="31" t="inlineStr">
        <x:is>
          <x:t xml:space="preserve">В работе</x:t>
        </x:is>
      </x:c>
      <x:c r="R121" s="31" t="inlineStr">
        <x:is>
          <x:t xml:space="preserve">Нет</x:t>
        </x:is>
      </x:c>
      <x:c r="S121" s="31" t="inlineStr">
        <x:is>
          <x:t xml:space="preserve">Нет</x:t>
        </x:is>
      </x:c>
    </x:row>
    <x:row r="122" ht="18" customHeight="1">
      <x:c r="A122" s="31" t="inlineStr">
        <x:is>
          <x:t xml:space="preserve">ОП-000121</x:t>
        </x:is>
      </x:c>
      <x:c r="B122" s="31" t="inlineStr">
        <x:is>
          <x:t xml:space="preserve">ПЗ-00015</x:t>
        </x:is>
      </x:c>
      <x:c r="C122" s="31" t="inlineStr">
        <x:is>
          <x:t xml:space="preserve">ЗК-1009</x:t>
        </x:is>
      </x:c>
      <x:c r="D122" s="31" t="inlineStr">
        <x:is>
          <x:t xml:space="preserve">ПОЗ-0009-1</x:t>
        </x:is>
      </x:c>
      <x:c r="E122" s="31" t="inlineStr">
        <x:is>
          <x:t xml:space="preserve">ИЗД-031</x:t>
        </x:is>
      </x:c>
      <x:c r="F122" s="31" t="n">
        <x:v>20</x:v>
      </x:c>
      <x:c r="G122" s="31" t="inlineStr">
        <x:is>
          <x:t xml:space="preserve">Резерв материалов</x:t>
        </x:is>
      </x:c>
      <x:c r="H122" s="31" t="inlineStr">
        <x:is>
          <x:t xml:space="preserve">Склад</x:t>
        </x:is>
      </x:c>
      <x:c r="I122" s="31" t="inlineStr">
        <x:is>
          <x:t xml:space="preserve">ОБ-011</x:t>
        </x:is>
      </x:c>
      <x:c r="J122" s="31" t="inlineStr">
        <x:is>
          <x:t xml:space="preserve">СОТР-033</x:t>
        </x:is>
      </x:c>
      <x:c r="K122" s="31" t="n">
        <x:v>12.4</x:v>
      </x:c>
      <x:c r="L122" s="31" t="n">
        <x:v>15.4</x:v>
      </x:c>
      <x:c r="M122" s="31" t="n">
        <x:v>46152</x:v>
      </x:c>
      <x:c r="N122" s="31" t="n">
        <x:v>46154</x:v>
      </x:c>
      <x:c r="O122" s="31" t="n">
        <x:v>46152</x:v>
      </x:c>
      <x:c r="P122" s="31" t="n">
        <x:v>46153</x:v>
      </x:c>
      <x:c r="Q122" s="31" t="inlineStr">
        <x:is>
          <x:t xml:space="preserve">Завершено</x:t>
        </x:is>
      </x:c>
      <x:c r="R122" s="31" t="inlineStr">
        <x:is>
          <x:t xml:space="preserve">Нет</x:t>
        </x:is>
      </x:c>
      <x:c r="S122" s="31" t="inlineStr">
        <x:is>
          <x:t xml:space="preserve">Нет</x:t>
        </x:is>
      </x:c>
    </x:row>
    <x:row r="123" ht="18" customHeight="1">
      <x:c r="A123" s="31" t="inlineStr">
        <x:is>
          <x:t xml:space="preserve">ОП-000122</x:t>
        </x:is>
      </x:c>
      <x:c r="B123" s="31" t="inlineStr">
        <x:is>
          <x:t xml:space="preserve">ПЗ-00015</x:t>
        </x:is>
      </x:c>
      <x:c r="C123" s="31" t="inlineStr">
        <x:is>
          <x:t xml:space="preserve">ЗК-1009</x:t>
        </x:is>
      </x:c>
      <x:c r="D123" s="31" t="inlineStr">
        <x:is>
          <x:t xml:space="preserve">ПОЗ-0009-1</x:t>
        </x:is>
      </x:c>
      <x:c r="E123" s="31" t="inlineStr">
        <x:is>
          <x:t xml:space="preserve">ИЗД-031</x:t>
        </x:is>
      </x:c>
      <x:c r="F123" s="31" t="n">
        <x:v>30</x:v>
      </x:c>
      <x:c r="G123" s="31" t="inlineStr">
        <x:is>
          <x:t xml:space="preserve">Резка металла</x:t>
        </x:is>
      </x:c>
      <x:c r="H123" s="31" t="inlineStr">
        <x:is>
          <x:t xml:space="preserve">Сварка</x:t>
        </x:is>
      </x:c>
      <x:c r="I123" s="31" t="inlineStr">
        <x:is>
          <x:t xml:space="preserve">ОБ-003</x:t>
        </x:is>
      </x:c>
      <x:c r="J123" s="31" t="inlineStr">
        <x:is>
          <x:t xml:space="preserve">СОТР-071</x:t>
        </x:is>
      </x:c>
      <x:c r="K123" s="31" t="n">
        <x:v>17.6</x:v>
      </x:c>
      <x:c r="L123" s="31" t="n">
        <x:v>19.5</x:v>
      </x:c>
      <x:c r="M123" s="31" t="n">
        <x:v>46154</x:v>
      </x:c>
      <x:c r="N123" s="31" t="n">
        <x:v>46156</x:v>
      </x:c>
      <x:c r="O123" s="31" t="n">
        <x:v>46154</x:v>
      </x:c>
      <x:c r="P123" s="31" t="n">
        <x:v>46155</x:v>
      </x:c>
      <x:c r="Q123" s="31" t="inlineStr">
        <x:is>
          <x:t xml:space="preserve">Завершено</x:t>
        </x:is>
      </x:c>
      <x:c r="R123" s="31" t="inlineStr">
        <x:is>
          <x:t xml:space="preserve">Нет</x:t>
        </x:is>
      </x:c>
      <x:c r="S123" s="31" t="inlineStr">
        <x:is>
          <x:t xml:space="preserve">Нет</x:t>
        </x:is>
      </x:c>
    </x:row>
    <x:row r="124" ht="18" customHeight="1">
      <x:c r="A124" s="31" t="inlineStr">
        <x:is>
          <x:t xml:space="preserve">ОП-000123</x:t>
        </x:is>
      </x:c>
      <x:c r="B124" s="31" t="inlineStr">
        <x:is>
          <x:t xml:space="preserve">ПЗ-00015</x:t>
        </x:is>
      </x:c>
      <x:c r="C124" s="31" t="inlineStr">
        <x:is>
          <x:t xml:space="preserve">ЗК-1009</x:t>
        </x:is>
      </x:c>
      <x:c r="D124" s="31" t="inlineStr">
        <x:is>
          <x:t xml:space="preserve">ПОЗ-0009-1</x:t>
        </x:is>
      </x:c>
      <x:c r="E124" s="31" t="inlineStr">
        <x:is>
          <x:t xml:space="preserve">ИЗД-031</x:t>
        </x:is>
      </x:c>
      <x:c r="F124" s="31" t="n">
        <x:v>40</x:v>
      </x:c>
      <x:c r="G124" s="31" t="inlineStr">
        <x:is>
          <x:t xml:space="preserve">Сварка рамы</x:t>
        </x:is>
      </x:c>
      <x:c r="H124" s="31" t="inlineStr">
        <x:is>
          <x:t xml:space="preserve">Сварка</x:t>
        </x:is>
      </x:c>
      <x:c r="I124" s="31" t="inlineStr">
        <x:is>
          <x:t xml:space="preserve">ОБ-004</x:t>
        </x:is>
      </x:c>
      <x:c r="J124" s="31" t="inlineStr">
        <x:is>
          <x:t xml:space="preserve">СОТР-056</x:t>
        </x:is>
      </x:c>
      <x:c r="K124" s="31" t="n">
        <x:v>4.4</x:v>
      </x:c>
      <x:c r="L124" s="31" t="n"/>
      <x:c r="M124" s="31" t="n">
        <x:v>46156</x:v>
      </x:c>
      <x:c r="N124" s="31" t="n">
        <x:v>46157</x:v>
      </x:c>
      <x:c r="O124" s="31" t="n"/>
      <x:c r="P124" s="31" t="n"/>
      <x:c r="Q124" s="31" t="inlineStr">
        <x:is>
          <x:t xml:space="preserve">Запланировано</x:t>
        </x:is>
      </x:c>
      <x:c r="R124" s="31" t="inlineStr">
        <x:is>
          <x:t xml:space="preserve">Нет</x:t>
        </x:is>
      </x:c>
      <x:c r="S124" s="31" t="inlineStr">
        <x:is>
          <x:t xml:space="preserve">Нет</x:t>
        </x:is>
      </x:c>
    </x:row>
    <x:row r="125" ht="18" customHeight="1">
      <x:c r="A125" s="31" t="inlineStr">
        <x:is>
          <x:t xml:space="preserve">ОП-000124</x:t>
        </x:is>
      </x:c>
      <x:c r="B125" s="31" t="inlineStr">
        <x:is>
          <x:t xml:space="preserve">ПЗ-00015</x:t>
        </x:is>
      </x:c>
      <x:c r="C125" s="31" t="inlineStr">
        <x:is>
          <x:t xml:space="preserve">ЗК-1009</x:t>
        </x:is>
      </x:c>
      <x:c r="D125" s="31" t="inlineStr">
        <x:is>
          <x:t xml:space="preserve">ПОЗ-0009-1</x:t>
        </x:is>
      </x:c>
      <x:c r="E125" s="31" t="inlineStr">
        <x:is>
          <x:t xml:space="preserve">ИЗД-031</x:t>
        </x:is>
      </x:c>
      <x:c r="F125" s="31" t="n">
        <x:v>50</x:v>
      </x:c>
      <x:c r="G125" s="31" t="inlineStr">
        <x:is>
          <x:t xml:space="preserve">Механообработка</x:t>
        </x:is>
      </x:c>
      <x:c r="H125" s="31" t="inlineStr">
        <x:is>
          <x:t xml:space="preserve">Механообработка</x:t>
        </x:is>
      </x:c>
      <x:c r="I125" s="31" t="inlineStr">
        <x:is>
          <x:t xml:space="preserve">ОБ-031</x:t>
        </x:is>
      </x:c>
      <x:c r="J125" s="31" t="inlineStr">
        <x:is>
          <x:t xml:space="preserve">СОТР-043</x:t>
        </x:is>
      </x:c>
      <x:c r="K125" s="31" t="n">
        <x:v>19.6</x:v>
      </x:c>
      <x:c r="L125" s="31" t="n"/>
      <x:c r="M125" s="31" t="n">
        <x:v>46157</x:v>
      </x:c>
      <x:c r="N125" s="31" t="n">
        <x:v>46159</x:v>
      </x:c>
      <x:c r="O125" s="31" t="n"/>
      <x:c r="P125" s="31" t="n"/>
      <x:c r="Q125" s="31" t="inlineStr">
        <x:is>
          <x:t xml:space="preserve">Запланировано</x:t>
        </x:is>
      </x:c>
      <x:c r="R125" s="31" t="inlineStr">
        <x:is>
          <x:t xml:space="preserve">Нет</x:t>
        </x:is>
      </x:c>
      <x:c r="S125" s="31" t="inlineStr">
        <x:is>
          <x:t xml:space="preserve">Нет</x:t>
        </x:is>
      </x:c>
    </x:row>
    <x:row r="126" ht="18" customHeight="1">
      <x:c r="A126" s="31" t="inlineStr">
        <x:is>
          <x:t xml:space="preserve">ОП-000125</x:t>
        </x:is>
      </x:c>
      <x:c r="B126" s="31" t="inlineStr">
        <x:is>
          <x:t xml:space="preserve">ПЗ-00015</x:t>
        </x:is>
      </x:c>
      <x:c r="C126" s="31" t="inlineStr">
        <x:is>
          <x:t xml:space="preserve">ЗК-1009</x:t>
        </x:is>
      </x:c>
      <x:c r="D126" s="31" t="inlineStr">
        <x:is>
          <x:t xml:space="preserve">ПОЗ-0009-1</x:t>
        </x:is>
      </x:c>
      <x:c r="E126" s="31" t="inlineStr">
        <x:is>
          <x:t xml:space="preserve">ИЗД-031</x:t>
        </x:is>
      </x:c>
      <x:c r="F126" s="31" t="n">
        <x:v>60</x:v>
      </x:c>
      <x:c r="G126" s="31" t="inlineStr">
        <x:is>
          <x:t xml:space="preserve">Сборка</x:t>
        </x:is>
      </x:c>
      <x:c r="H126" s="31" t="inlineStr">
        <x:is>
          <x:t xml:space="preserve">Сборка</x:t>
        </x:is>
      </x:c>
      <x:c r="I126" s="31" t="inlineStr">
        <x:is>
          <x:t xml:space="preserve">ОБ-005</x:t>
        </x:is>
      </x:c>
      <x:c r="J126" s="31" t="inlineStr">
        <x:is>
          <x:t xml:space="preserve">СОТР-074</x:t>
        </x:is>
      </x:c>
      <x:c r="K126" s="31" t="n">
        <x:v>5.2</x:v>
      </x:c>
      <x:c r="L126" s="31" t="n">
        <x:v>5.7</x:v>
      </x:c>
      <x:c r="M126" s="31" t="n">
        <x:v>46159</x:v>
      </x:c>
      <x:c r="N126" s="31" t="n">
        <x:v>46160</x:v>
      </x:c>
      <x:c r="O126" s="31" t="n">
        <x:v>46159</x:v>
      </x:c>
      <x:c r="P126" s="31" t="n">
        <x:v>46160</x:v>
      </x:c>
      <x:c r="Q126" s="31" t="inlineStr">
        <x:is>
          <x:t xml:space="preserve">Завершено</x:t>
        </x:is>
      </x:c>
      <x:c r="R126" s="31" t="inlineStr">
        <x:is>
          <x:t xml:space="preserve">Нет</x:t>
        </x:is>
      </x:c>
      <x:c r="S126" s="31" t="inlineStr">
        <x:is>
          <x:t xml:space="preserve">Нет</x:t>
        </x:is>
      </x:c>
    </x:row>
    <x:row r="127" ht="18" customHeight="1">
      <x:c r="A127" s="31" t="inlineStr">
        <x:is>
          <x:t xml:space="preserve">ОП-000126</x:t>
        </x:is>
      </x:c>
      <x:c r="B127" s="31" t="inlineStr">
        <x:is>
          <x:t xml:space="preserve">ПЗ-00015</x:t>
        </x:is>
      </x:c>
      <x:c r="C127" s="31" t="inlineStr">
        <x:is>
          <x:t xml:space="preserve">ЗК-1009</x:t>
        </x:is>
      </x:c>
      <x:c r="D127" s="31" t="inlineStr">
        <x:is>
          <x:t xml:space="preserve">ПОЗ-0009-1</x:t>
        </x:is>
      </x:c>
      <x:c r="E127" s="31" t="inlineStr">
        <x:is>
          <x:t xml:space="preserve">ИЗД-031</x:t>
        </x:is>
      </x:c>
      <x:c r="F127" s="31" t="n">
        <x:v>70</x:v>
      </x:c>
      <x:c r="G127" s="31" t="inlineStr">
        <x:is>
          <x:t xml:space="preserve">Электромонтаж</x:t>
        </x:is>
      </x:c>
      <x:c r="H127" s="31" t="inlineStr">
        <x:is>
          <x:t xml:space="preserve">Сборка</x:t>
        </x:is>
      </x:c>
      <x:c r="I127" s="31" t="inlineStr">
        <x:is>
          <x:t xml:space="preserve">ОБ-014</x:t>
        </x:is>
      </x:c>
      <x:c r="J127" s="31" t="inlineStr">
        <x:is>
          <x:t xml:space="preserve">СОТР-081</x:t>
        </x:is>
      </x:c>
      <x:c r="K127" s="31" t="n">
        <x:v>43.2</x:v>
      </x:c>
      <x:c r="L127" s="31" t="n"/>
      <x:c r="M127" s="31" t="n">
        <x:v>46160</x:v>
      </x:c>
      <x:c r="N127" s="31" t="n">
        <x:v>46164</x:v>
      </x:c>
      <x:c r="O127" s="31" t="n"/>
      <x:c r="P127" s="31" t="n"/>
      <x:c r="Q127" s="31" t="inlineStr">
        <x:is>
          <x:t xml:space="preserve">Запланировано</x:t>
        </x:is>
      </x:c>
      <x:c r="R127" s="31" t="inlineStr">
        <x:is>
          <x:t xml:space="preserve">Нет</x:t>
        </x:is>
      </x:c>
      <x:c r="S127" s="31" t="inlineStr">
        <x:is>
          <x:t xml:space="preserve">Нет</x:t>
        </x:is>
      </x:c>
    </x:row>
    <x:row r="128" ht="18" customHeight="1">
      <x:c r="A128" s="31" t="inlineStr">
        <x:is>
          <x:t xml:space="preserve">ОП-000127</x:t>
        </x:is>
      </x:c>
      <x:c r="B128" s="31" t="inlineStr">
        <x:is>
          <x:t xml:space="preserve">ПЗ-00015</x:t>
        </x:is>
      </x:c>
      <x:c r="C128" s="31" t="inlineStr">
        <x:is>
          <x:t xml:space="preserve">ЗК-1009</x:t>
        </x:is>
      </x:c>
      <x:c r="D128" s="31" t="inlineStr">
        <x:is>
          <x:t xml:space="preserve">ПОЗ-0009-1</x:t>
        </x:is>
      </x:c>
      <x:c r="E128" s="31" t="inlineStr">
        <x:is>
          <x:t xml:space="preserve">ИЗД-031</x:t>
        </x:is>
      </x:c>
      <x:c r="F128" s="31" t="n">
        <x:v>80</x:v>
      </x:c>
      <x:c r="G128" s="31" t="inlineStr">
        <x:is>
          <x:t xml:space="preserve">Гидроиспытания</x:t>
        </x:is>
      </x:c>
      <x:c r="H128" s="31" t="inlineStr">
        <x:is>
          <x:t xml:space="preserve">ОТК</x:t>
        </x:is>
      </x:c>
      <x:c r="I128" s="31" t="inlineStr">
        <x:is>
          <x:t xml:space="preserve">ОБ-006</x:t>
        </x:is>
      </x:c>
      <x:c r="J128" s="31" t="inlineStr">
        <x:is>
          <x:t xml:space="preserve">СОТР-063</x:t>
        </x:is>
      </x:c>
      <x:c r="K128" s="31" t="n">
        <x:v>35.2</x:v>
      </x:c>
      <x:c r="L128" s="31" t="n"/>
      <x:c r="M128" s="31" t="n">
        <x:v>46164</x:v>
      </x:c>
      <x:c r="N128" s="31" t="n">
        <x:v>46167</x:v>
      </x:c>
      <x:c r="O128" s="31" t="n"/>
      <x:c r="P128" s="31" t="n"/>
      <x:c r="Q128" s="31" t="inlineStr">
        <x:is>
          <x:t xml:space="preserve">Запланировано</x:t>
        </x:is>
      </x:c>
      <x:c r="R128" s="31" t="inlineStr">
        <x:is>
          <x:t xml:space="preserve">Нет</x:t>
        </x:is>
      </x:c>
      <x:c r="S128" s="31" t="inlineStr">
        <x:is>
          <x:t xml:space="preserve">Да</x:t>
        </x:is>
      </x:c>
    </x:row>
    <x:row r="129" ht="18" customHeight="1">
      <x:c r="A129" s="31" t="inlineStr">
        <x:is>
          <x:t xml:space="preserve">ОП-000128</x:t>
        </x:is>
      </x:c>
      <x:c r="B129" s="31" t="inlineStr">
        <x:is>
          <x:t xml:space="preserve">ПЗ-00015</x:t>
        </x:is>
      </x:c>
      <x:c r="C129" s="31" t="inlineStr">
        <x:is>
          <x:t xml:space="preserve">ЗК-1009</x:t>
        </x:is>
      </x:c>
      <x:c r="D129" s="31" t="inlineStr">
        <x:is>
          <x:t xml:space="preserve">ПОЗ-0009-1</x:t>
        </x:is>
      </x:c>
      <x:c r="E129" s="31" t="inlineStr">
        <x:is>
          <x:t xml:space="preserve">ИЗД-031</x:t>
        </x:is>
      </x:c>
      <x:c r="F129" s="31" t="n">
        <x:v>90</x:v>
      </x:c>
      <x:c r="G129" s="31" t="inlineStr">
        <x:is>
          <x:t xml:space="preserve">ОТК</x:t>
        </x:is>
      </x:c>
      <x:c r="H129" s="31" t="inlineStr">
        <x:is>
          <x:t xml:space="preserve">ОТК</x:t>
        </x:is>
      </x:c>
      <x:c r="I129" s="31" t="inlineStr">
        <x:is>
          <x:t xml:space="preserve">ОБ-033</x:t>
        </x:is>
      </x:c>
      <x:c r="J129" s="31" t="inlineStr">
        <x:is>
          <x:t xml:space="preserve">СОТР-093</x:t>
        </x:is>
      </x:c>
      <x:c r="K129" s="31" t="n">
        <x:v>20.4</x:v>
      </x:c>
      <x:c r="L129" s="31" t="n"/>
      <x:c r="M129" s="31" t="n">
        <x:v>46167</x:v>
      </x:c>
      <x:c r="N129" s="31" t="n">
        <x:v>46169</x:v>
      </x:c>
      <x:c r="O129" s="31" t="n"/>
      <x:c r="P129" s="31" t="n"/>
      <x:c r="Q129" s="31" t="inlineStr">
        <x:is>
          <x:t xml:space="preserve">Запланировано</x:t>
        </x:is>
      </x:c>
      <x:c r="R129" s="31" t="inlineStr">
        <x:is>
          <x:t xml:space="preserve">Нет</x:t>
        </x:is>
      </x:c>
      <x:c r="S129" s="31" t="inlineStr">
        <x:is>
          <x:t xml:space="preserve">Нет</x:t>
        </x:is>
      </x:c>
    </x:row>
    <x:row r="130" ht="18" customHeight="1">
      <x:c r="A130" s="31" t="inlineStr">
        <x:is>
          <x:t xml:space="preserve">ОП-000129</x:t>
        </x:is>
      </x:c>
      <x:c r="B130" s="31" t="inlineStr">
        <x:is>
          <x:t xml:space="preserve">ПЗ-00015</x:t>
        </x:is>
      </x:c>
      <x:c r="C130" s="31" t="inlineStr">
        <x:is>
          <x:t xml:space="preserve">ЗК-1009</x:t>
        </x:is>
      </x:c>
      <x:c r="D130" s="31" t="inlineStr">
        <x:is>
          <x:t xml:space="preserve">ПОЗ-0009-1</x:t>
        </x:is>
      </x:c>
      <x:c r="E130" s="31" t="inlineStr">
        <x:is>
          <x:t xml:space="preserve">ИЗД-031</x:t>
        </x:is>
      </x:c>
      <x:c r="F130" s="31" t="n">
        <x:v>100</x:v>
      </x:c>
      <x:c r="G130" s="31" t="inlineStr">
        <x:is>
          <x:t xml:space="preserve">Упаковка</x:t>
        </x:is>
      </x:c>
      <x:c r="H130" s="31" t="inlineStr">
        <x:is>
          <x:t xml:space="preserve">Логистика</x:t>
        </x:is>
      </x:c>
      <x:c r="I130" s="31" t="n"/>
      <x:c r="J130" s="31" t="inlineStr">
        <x:is>
          <x:t xml:space="preserve">СОТР-104</x:t>
        </x:is>
      </x:c>
      <x:c r="K130" s="31" t="n">
        <x:v>8.800000000000001</x:v>
      </x:c>
      <x:c r="L130" s="31" t="n"/>
      <x:c r="M130" s="31" t="n">
        <x:v>46169</x:v>
      </x:c>
      <x:c r="N130" s="31" t="n">
        <x:v>46170</x:v>
      </x:c>
      <x:c r="O130" s="31" t="n"/>
      <x:c r="P130" s="31" t="n"/>
      <x:c r="Q130" s="31" t="inlineStr">
        <x:is>
          <x:t xml:space="preserve">Запланировано</x:t>
        </x:is>
      </x:c>
      <x:c r="R130" s="31" t="inlineStr">
        <x:is>
          <x:t xml:space="preserve">Нет</x:t>
        </x:is>
      </x:c>
      <x:c r="S130" s="31" t="inlineStr">
        <x:is>
          <x:t xml:space="preserve">Нет</x:t>
        </x:is>
      </x:c>
    </x:row>
    <x:row r="131" ht="18" customHeight="1">
      <x:c r="A131" s="31" t="inlineStr">
        <x:is>
          <x:t xml:space="preserve">ОП-000130</x:t>
        </x:is>
      </x:c>
      <x:c r="B131" s="31" t="inlineStr">
        <x:is>
          <x:t xml:space="preserve">ПЗ-00016</x:t>
        </x:is>
      </x:c>
      <x:c r="C131" s="31" t="inlineStr">
        <x:is>
          <x:t xml:space="preserve">ЗК-1009</x:t>
        </x:is>
      </x:c>
      <x:c r="D131" s="31" t="inlineStr">
        <x:is>
          <x:t xml:space="preserve">ПОЗ-0009-2</x:t>
        </x:is>
      </x:c>
      <x:c r="E131" s="31" t="inlineStr">
        <x:is>
          <x:t xml:space="preserve">ИЗД-021</x:t>
        </x:is>
      </x:c>
      <x:c r="F131" s="31" t="n">
        <x:v>10</x:v>
      </x:c>
      <x:c r="G131" s="31" t="inlineStr">
        <x:is>
          <x:t xml:space="preserve">КД</x:t>
        </x:is>
      </x:c>
      <x:c r="H131" s="31" t="inlineStr">
        <x:is>
          <x:t xml:space="preserve">Инженерный отдел</x:t>
        </x:is>
      </x:c>
      <x:c r="I131" s="31" t="n"/>
      <x:c r="J131" s="31" t="inlineStr">
        <x:is>
          <x:t xml:space="preserve">СОТР-011</x:t>
        </x:is>
      </x:c>
      <x:c r="K131" s="31" t="n">
        <x:v>3.6</x:v>
      </x:c>
      <x:c r="L131" s="31" t="n">
        <x:v>3</x:v>
      </x:c>
      <x:c r="M131" s="31" t="n">
        <x:v>46159</x:v>
      </x:c>
      <x:c r="N131" s="31" t="n">
        <x:v>46160</x:v>
      </x:c>
      <x:c r="O131" s="31" t="n">
        <x:v>46159</x:v>
      </x:c>
      <x:c r="P131" s="31" t="n">
        <x:v>46159</x:v>
      </x:c>
      <x:c r="Q131" s="31" t="inlineStr">
        <x:is>
          <x:t xml:space="preserve">Завершено</x:t>
        </x:is>
      </x:c>
      <x:c r="R131" s="31" t="inlineStr">
        <x:is>
          <x:t xml:space="preserve">Нет</x:t>
        </x:is>
      </x:c>
      <x:c r="S131" s="31" t="inlineStr">
        <x:is>
          <x:t xml:space="preserve">Нет</x:t>
        </x:is>
      </x:c>
    </x:row>
    <x:row r="132" ht="18" customHeight="1">
      <x:c r="A132" s="31" t="inlineStr">
        <x:is>
          <x:t xml:space="preserve">ОП-000131</x:t>
        </x:is>
      </x:c>
      <x:c r="B132" s="31" t="inlineStr">
        <x:is>
          <x:t xml:space="preserve">ПЗ-00016</x:t>
        </x:is>
      </x:c>
      <x:c r="C132" s="31" t="inlineStr">
        <x:is>
          <x:t xml:space="preserve">ЗК-1009</x:t>
        </x:is>
      </x:c>
      <x:c r="D132" s="31" t="inlineStr">
        <x:is>
          <x:t xml:space="preserve">ПОЗ-0009-2</x:t>
        </x:is>
      </x:c>
      <x:c r="E132" s="31" t="inlineStr">
        <x:is>
          <x:t xml:space="preserve">ИЗД-021</x:t>
        </x:is>
      </x:c>
      <x:c r="F132" s="31" t="n">
        <x:v>20</x:v>
      </x:c>
      <x:c r="G132" s="31" t="inlineStr">
        <x:is>
          <x:t xml:space="preserve">Резерв материалов</x:t>
        </x:is>
      </x:c>
      <x:c r="H132" s="31" t="inlineStr">
        <x:is>
          <x:t xml:space="preserve">Склад</x:t>
        </x:is>
      </x:c>
      <x:c r="I132" s="31" t="inlineStr">
        <x:is>
          <x:t xml:space="preserve">ОБ-023</x:t>
        </x:is>
      </x:c>
      <x:c r="J132" s="31" t="inlineStr">
        <x:is>
          <x:t xml:space="preserve">СОТР-033</x:t>
        </x:is>
      </x:c>
      <x:c r="K132" s="31" t="n">
        <x:v>17.7</x:v>
      </x:c>
      <x:c r="L132" s="31" t="n">
        <x:v>20.9</x:v>
      </x:c>
      <x:c r="M132" s="31" t="n">
        <x:v>46160</x:v>
      </x:c>
      <x:c r="N132" s="31" t="n">
        <x:v>46162</x:v>
      </x:c>
      <x:c r="O132" s="31" t="n">
        <x:v>46160</x:v>
      </x:c>
      <x:c r="P132" s="31" t="n">
        <x:v>46161</x:v>
      </x:c>
      <x:c r="Q132" s="31" t="inlineStr">
        <x:is>
          <x:t xml:space="preserve">Завершено</x:t>
        </x:is>
      </x:c>
      <x:c r="R132" s="31" t="inlineStr">
        <x:is>
          <x:t xml:space="preserve">Нет</x:t>
        </x:is>
      </x:c>
      <x:c r="S132" s="31" t="inlineStr">
        <x:is>
          <x:t xml:space="preserve">Нет</x:t>
        </x:is>
      </x:c>
    </x:row>
    <x:row r="133" ht="18" customHeight="1">
      <x:c r="A133" s="31" t="inlineStr">
        <x:is>
          <x:t xml:space="preserve">ОП-000132</x:t>
        </x:is>
      </x:c>
      <x:c r="B133" s="31" t="inlineStr">
        <x:is>
          <x:t xml:space="preserve">ПЗ-00016</x:t>
        </x:is>
      </x:c>
      <x:c r="C133" s="31" t="inlineStr">
        <x:is>
          <x:t xml:space="preserve">ЗК-1009</x:t>
        </x:is>
      </x:c>
      <x:c r="D133" s="31" t="inlineStr">
        <x:is>
          <x:t xml:space="preserve">ПОЗ-0009-2</x:t>
        </x:is>
      </x:c>
      <x:c r="E133" s="31" t="inlineStr">
        <x:is>
          <x:t xml:space="preserve">ИЗД-021</x:t>
        </x:is>
      </x:c>
      <x:c r="F133" s="31" t="n">
        <x:v>30</x:v>
      </x:c>
      <x:c r="G133" s="31" t="inlineStr">
        <x:is>
          <x:t xml:space="preserve">Сварка рамы</x:t>
        </x:is>
      </x:c>
      <x:c r="H133" s="31" t="inlineStr">
        <x:is>
          <x:t xml:space="preserve">Сварка</x:t>
        </x:is>
      </x:c>
      <x:c r="I133" s="31" t="inlineStr">
        <x:is>
          <x:t xml:space="preserve">ОБ-010</x:t>
        </x:is>
      </x:c>
      <x:c r="J133" s="31" t="inlineStr">
        <x:is>
          <x:t xml:space="preserve">СОТР-064</x:t>
        </x:is>
      </x:c>
      <x:c r="K133" s="31" t="n">
        <x:v>17.5</x:v>
      </x:c>
      <x:c r="L133" s="31" t="n">
        <x:v>14.6</x:v>
      </x:c>
      <x:c r="M133" s="31" t="n">
        <x:v>46162</x:v>
      </x:c>
      <x:c r="N133" s="31" t="n">
        <x:v>46164</x:v>
      </x:c>
      <x:c r="O133" s="31" t="n">
        <x:v>46162</x:v>
      </x:c>
      <x:c r="P133" s="31" t="n">
        <x:v>46165</x:v>
      </x:c>
      <x:c r="Q133" s="31" t="inlineStr">
        <x:is>
          <x:t xml:space="preserve">Завершено</x:t>
        </x:is>
      </x:c>
      <x:c r="R133" s="31" t="inlineStr">
        <x:is>
          <x:t xml:space="preserve">Нет</x:t>
        </x:is>
      </x:c>
      <x:c r="S133" s="31" t="inlineStr">
        <x:is>
          <x:t xml:space="preserve">Да</x:t>
        </x:is>
      </x:c>
    </x:row>
    <x:row r="134" ht="18" customHeight="1">
      <x:c r="A134" s="31" t="inlineStr">
        <x:is>
          <x:t xml:space="preserve">ОП-000133</x:t>
        </x:is>
      </x:c>
      <x:c r="B134" s="31" t="inlineStr">
        <x:is>
          <x:t xml:space="preserve">ПЗ-00016</x:t>
        </x:is>
      </x:c>
      <x:c r="C134" s="31" t="inlineStr">
        <x:is>
          <x:t xml:space="preserve">ЗК-1009</x:t>
        </x:is>
      </x:c>
      <x:c r="D134" s="31" t="inlineStr">
        <x:is>
          <x:t xml:space="preserve">ПОЗ-0009-2</x:t>
        </x:is>
      </x:c>
      <x:c r="E134" s="31" t="inlineStr">
        <x:is>
          <x:t xml:space="preserve">ИЗД-021</x:t>
        </x:is>
      </x:c>
      <x:c r="F134" s="31" t="n">
        <x:v>40</x:v>
      </x:c>
      <x:c r="G134" s="31" t="inlineStr">
        <x:is>
          <x:t xml:space="preserve">Сборка</x:t>
        </x:is>
      </x:c>
      <x:c r="H134" s="31" t="inlineStr">
        <x:is>
          <x:t xml:space="preserve">Сборка</x:t>
        </x:is>
      </x:c>
      <x:c r="I134" s="31" t="inlineStr">
        <x:is>
          <x:t xml:space="preserve">ОБ-034</x:t>
        </x:is>
      </x:c>
      <x:c r="J134" s="31" t="inlineStr">
        <x:is>
          <x:t xml:space="preserve">СОТР-032</x:t>
        </x:is>
      </x:c>
      <x:c r="K134" s="31" t="n">
        <x:v>14.5</x:v>
      </x:c>
      <x:c r="L134" s="31" t="n">
        <x:v>19.5</x:v>
      </x:c>
      <x:c r="M134" s="31" t="n">
        <x:v>46164</x:v>
      </x:c>
      <x:c r="N134" s="31" t="n">
        <x:v>46166</x:v>
      </x:c>
      <x:c r="O134" s="31" t="n">
        <x:v>46164</x:v>
      </x:c>
      <x:c r="P134" s="31" t="n">
        <x:v>46166</x:v>
      </x:c>
      <x:c r="Q134" s="31" t="inlineStr">
        <x:is>
          <x:t xml:space="preserve">Завершено</x:t>
        </x:is>
      </x:c>
      <x:c r="R134" s="31" t="inlineStr">
        <x:is>
          <x:t xml:space="preserve">Нет</x:t>
        </x:is>
      </x:c>
      <x:c r="S134" s="31" t="inlineStr">
        <x:is>
          <x:t xml:space="preserve">Нет</x:t>
        </x:is>
      </x:c>
    </x:row>
    <x:row r="135" ht="18" customHeight="1">
      <x:c r="A135" s="31" t="inlineStr">
        <x:is>
          <x:t xml:space="preserve">ОП-000134</x:t>
        </x:is>
      </x:c>
      <x:c r="B135" s="31" t="inlineStr">
        <x:is>
          <x:t xml:space="preserve">ПЗ-00016</x:t>
        </x:is>
      </x:c>
      <x:c r="C135" s="31" t="inlineStr">
        <x:is>
          <x:t xml:space="preserve">ЗК-1009</x:t>
        </x:is>
      </x:c>
      <x:c r="D135" s="31" t="inlineStr">
        <x:is>
          <x:t xml:space="preserve">ПОЗ-0009-2</x:t>
        </x:is>
      </x:c>
      <x:c r="E135" s="31" t="inlineStr">
        <x:is>
          <x:t xml:space="preserve">ИЗД-021</x:t>
        </x:is>
      </x:c>
      <x:c r="F135" s="31" t="n">
        <x:v>50</x:v>
      </x:c>
      <x:c r="G135" s="31" t="inlineStr">
        <x:is>
          <x:t xml:space="preserve">Обвязка труб</x:t>
        </x:is>
      </x:c>
      <x:c r="H135" s="31" t="inlineStr">
        <x:is>
          <x:t xml:space="preserve">Сборка</x:t>
        </x:is>
      </x:c>
      <x:c r="I135" s="31" t="inlineStr">
        <x:is>
          <x:t xml:space="preserve">ОБ-005</x:t>
        </x:is>
      </x:c>
      <x:c r="J135" s="31" t="inlineStr">
        <x:is>
          <x:t xml:space="preserve">СОТР-091</x:t>
        </x:is>
      </x:c>
      <x:c r="K135" s="31" t="n">
        <x:v>15.1</x:v>
      </x:c>
      <x:c r="L135" s="31" t="n">
        <x:v>18.3</x:v>
      </x:c>
      <x:c r="M135" s="31" t="n">
        <x:v>46166</x:v>
      </x:c>
      <x:c r="N135" s="31" t="n">
        <x:v>46168</x:v>
      </x:c>
      <x:c r="O135" s="31" t="n">
        <x:v>46166</x:v>
      </x:c>
      <x:c r="P135" s="31" t="n">
        <x:v>46169</x:v>
      </x:c>
      <x:c r="Q135" s="31" t="inlineStr">
        <x:is>
          <x:t xml:space="preserve">Завершено</x:t>
        </x:is>
      </x:c>
      <x:c r="R135" s="31" t="inlineStr">
        <x:is>
          <x:t xml:space="preserve">Нет</x:t>
        </x:is>
      </x:c>
      <x:c r="S135" s="31" t="inlineStr">
        <x:is>
          <x:t xml:space="preserve">Нет</x:t>
        </x:is>
      </x:c>
    </x:row>
    <x:row r="136" ht="18" customHeight="1">
      <x:c r="A136" s="31" t="inlineStr">
        <x:is>
          <x:t xml:space="preserve">ОП-000135</x:t>
        </x:is>
      </x:c>
      <x:c r="B136" s="31" t="inlineStr">
        <x:is>
          <x:t xml:space="preserve">ПЗ-00016</x:t>
        </x:is>
      </x:c>
      <x:c r="C136" s="31" t="inlineStr">
        <x:is>
          <x:t xml:space="preserve">ЗК-1009</x:t>
        </x:is>
      </x:c>
      <x:c r="D136" s="31" t="inlineStr">
        <x:is>
          <x:t xml:space="preserve">ПОЗ-0009-2</x:t>
        </x:is>
      </x:c>
      <x:c r="E136" s="31" t="inlineStr">
        <x:is>
          <x:t xml:space="preserve">ИЗД-021</x:t>
        </x:is>
      </x:c>
      <x:c r="F136" s="31" t="n">
        <x:v>60</x:v>
      </x:c>
      <x:c r="G136" s="31" t="inlineStr">
        <x:is>
          <x:t xml:space="preserve">Электромонтаж</x:t>
        </x:is>
      </x:c>
      <x:c r="H136" s="31" t="inlineStr">
        <x:is>
          <x:t xml:space="preserve">Сборка</x:t>
        </x:is>
      </x:c>
      <x:c r="I136" s="31" t="inlineStr">
        <x:is>
          <x:t xml:space="preserve">ОБ-012</x:t>
        </x:is>
      </x:c>
      <x:c r="J136" s="31" t="inlineStr">
        <x:is>
          <x:t xml:space="preserve">СОТР-077</x:t>
        </x:is>
      </x:c>
      <x:c r="K136" s="31" t="n">
        <x:v>13.5</x:v>
      </x:c>
      <x:c r="L136" s="31" t="n">
        <x:v>12.9</x:v>
      </x:c>
      <x:c r="M136" s="31" t="n">
        <x:v>46168</x:v>
      </x:c>
      <x:c r="N136" s="31" t="n">
        <x:v>46170</x:v>
      </x:c>
      <x:c r="O136" s="31" t="n">
        <x:v>46168</x:v>
      </x:c>
      <x:c r="P136" s="31" t="n">
        <x:v>46172</x:v>
      </x:c>
      <x:c r="Q136" s="31" t="inlineStr">
        <x:is>
          <x:t xml:space="preserve">Завершено</x:t>
        </x:is>
      </x:c>
      <x:c r="R136" s="31" t="inlineStr">
        <x:is>
          <x:t xml:space="preserve">Нет</x:t>
        </x:is>
      </x:c>
      <x:c r="S136" s="31" t="inlineStr">
        <x:is>
          <x:t xml:space="preserve">Нет</x:t>
        </x:is>
      </x:c>
    </x:row>
    <x:row r="137" ht="18" customHeight="1">
      <x:c r="A137" s="31" t="inlineStr">
        <x:is>
          <x:t xml:space="preserve">ОП-000136</x:t>
        </x:is>
      </x:c>
      <x:c r="B137" s="31" t="inlineStr">
        <x:is>
          <x:t xml:space="preserve">ПЗ-00016</x:t>
        </x:is>
      </x:c>
      <x:c r="C137" s="31" t="inlineStr">
        <x:is>
          <x:t xml:space="preserve">ЗК-1009</x:t>
        </x:is>
      </x:c>
      <x:c r="D137" s="31" t="inlineStr">
        <x:is>
          <x:t xml:space="preserve">ПОЗ-0009-2</x:t>
        </x:is>
      </x:c>
      <x:c r="E137" s="31" t="inlineStr">
        <x:is>
          <x:t xml:space="preserve">ИЗД-021</x:t>
        </x:is>
      </x:c>
      <x:c r="F137" s="31" t="n">
        <x:v>70</x:v>
      </x:c>
      <x:c r="G137" s="31" t="inlineStr">
        <x:is>
          <x:t xml:space="preserve">Гидроиспытания</x:t>
        </x:is>
      </x:c>
      <x:c r="H137" s="31" t="inlineStr">
        <x:is>
          <x:t xml:space="preserve">ОТК</x:t>
        </x:is>
      </x:c>
      <x:c r="I137" s="31" t="inlineStr">
        <x:is>
          <x:t xml:space="preserve">ОБ-032</x:t>
        </x:is>
      </x:c>
      <x:c r="J137" s="31" t="inlineStr">
        <x:is>
          <x:t xml:space="preserve">СОТР-093</x:t>
        </x:is>
      </x:c>
      <x:c r="K137" s="31" t="n">
        <x:v>8.4</x:v>
      </x:c>
      <x:c r="L137" s="31" t="n">
        <x:v>10.5</x:v>
      </x:c>
      <x:c r="M137" s="31" t="n">
        <x:v>46170</x:v>
      </x:c>
      <x:c r="N137" s="31" t="n">
        <x:v>46171</x:v>
      </x:c>
      <x:c r="O137" s="31" t="n">
        <x:v>46170</x:v>
      </x:c>
      <x:c r="P137" s="31" t="n">
        <x:v>46171</x:v>
      </x:c>
      <x:c r="Q137" s="31" t="inlineStr">
        <x:is>
          <x:t xml:space="preserve">Завершено</x:t>
        </x:is>
      </x:c>
      <x:c r="R137" s="31" t="inlineStr">
        <x:is>
          <x:t xml:space="preserve">Нет</x:t>
        </x:is>
      </x:c>
      <x:c r="S137" s="31" t="inlineStr">
        <x:is>
          <x:t xml:space="preserve">Нет</x:t>
        </x:is>
      </x:c>
    </x:row>
    <x:row r="138" ht="18" customHeight="1">
      <x:c r="A138" s="31" t="inlineStr">
        <x:is>
          <x:t xml:space="preserve">ОП-000137</x:t>
        </x:is>
      </x:c>
      <x:c r="B138" s="31" t="inlineStr">
        <x:is>
          <x:t xml:space="preserve">ПЗ-00016</x:t>
        </x:is>
      </x:c>
      <x:c r="C138" s="31" t="inlineStr">
        <x:is>
          <x:t xml:space="preserve">ЗК-1009</x:t>
        </x:is>
      </x:c>
      <x:c r="D138" s="31" t="inlineStr">
        <x:is>
          <x:t xml:space="preserve">ПОЗ-0009-2</x:t>
        </x:is>
      </x:c>
      <x:c r="E138" s="31" t="inlineStr">
        <x:is>
          <x:t xml:space="preserve">ИЗД-021</x:t>
        </x:is>
      </x:c>
      <x:c r="F138" s="31" t="n">
        <x:v>80</x:v>
      </x:c>
      <x:c r="G138" s="31" t="inlineStr">
        <x:is>
          <x:t xml:space="preserve">ОТК</x:t>
        </x:is>
      </x:c>
      <x:c r="H138" s="31" t="inlineStr">
        <x:is>
          <x:t xml:space="preserve">ОТК</x:t>
        </x:is>
      </x:c>
      <x:c r="I138" s="31" t="inlineStr">
        <x:is>
          <x:t xml:space="preserve">ОБ-033</x:t>
        </x:is>
      </x:c>
      <x:c r="J138" s="31" t="inlineStr">
        <x:is>
          <x:t xml:space="preserve">СОТР-063</x:t>
        </x:is>
      </x:c>
      <x:c r="K138" s="31" t="n">
        <x:v>2.4</x:v>
      </x:c>
      <x:c r="L138" s="31" t="n">
        <x:v>2.4</x:v>
      </x:c>
      <x:c r="M138" s="31" t="n">
        <x:v>46171</x:v>
      </x:c>
      <x:c r="N138" s="31" t="n">
        <x:v>46172</x:v>
      </x:c>
      <x:c r="O138" s="31" t="n">
        <x:v>46171</x:v>
      </x:c>
      <x:c r="P138" s="31" t="n">
        <x:v>46173</x:v>
      </x:c>
      <x:c r="Q138" s="31" t="inlineStr">
        <x:is>
          <x:t xml:space="preserve">Завершено</x:t>
        </x:is>
      </x:c>
      <x:c r="R138" s="31" t="inlineStr">
        <x:is>
          <x:t xml:space="preserve">Нет</x:t>
        </x:is>
      </x:c>
      <x:c r="S138" s="31" t="inlineStr">
        <x:is>
          <x:t xml:space="preserve">Нет</x:t>
        </x:is>
      </x:c>
    </x:row>
    <x:row r="139" ht="18" customHeight="1">
      <x:c r="A139" s="31" t="inlineStr">
        <x:is>
          <x:t xml:space="preserve">ОП-000138</x:t>
        </x:is>
      </x:c>
      <x:c r="B139" s="31" t="inlineStr">
        <x:is>
          <x:t xml:space="preserve">ПЗ-00016</x:t>
        </x:is>
      </x:c>
      <x:c r="C139" s="31" t="inlineStr">
        <x:is>
          <x:t xml:space="preserve">ЗК-1009</x:t>
        </x:is>
      </x:c>
      <x:c r="D139" s="31" t="inlineStr">
        <x:is>
          <x:t xml:space="preserve">ПОЗ-0009-2</x:t>
        </x:is>
      </x:c>
      <x:c r="E139" s="31" t="inlineStr">
        <x:is>
          <x:t xml:space="preserve">ИЗД-021</x:t>
        </x:is>
      </x:c>
      <x:c r="F139" s="31" t="n">
        <x:v>90</x:v>
      </x:c>
      <x:c r="G139" s="31" t="inlineStr">
        <x:is>
          <x:t xml:space="preserve">Упаковка</x:t>
        </x:is>
      </x:c>
      <x:c r="H139" s="31" t="inlineStr">
        <x:is>
          <x:t xml:space="preserve">Логистика</x:t>
        </x:is>
      </x:c>
      <x:c r="I139" s="31" t="n"/>
      <x:c r="J139" s="31" t="inlineStr">
        <x:is>
          <x:t xml:space="preserve">СОТР-070</x:t>
        </x:is>
      </x:c>
      <x:c r="K139" s="31" t="n">
        <x:v>17.2</x:v>
      </x:c>
      <x:c r="L139" s="31" t="n">
        <x:v>13.8</x:v>
      </x:c>
      <x:c r="M139" s="31" t="n">
        <x:v>46172</x:v>
      </x:c>
      <x:c r="N139" s="31" t="n">
        <x:v>46174</x:v>
      </x:c>
      <x:c r="O139" s="31" t="n">
        <x:v>46172</x:v>
      </x:c>
      <x:c r="P139" s="31" t="n">
        <x:v>46173</x:v>
      </x:c>
      <x:c r="Q139" s="31" t="inlineStr">
        <x:is>
          <x:t xml:space="preserve">Завершено</x:t>
        </x:is>
      </x:c>
      <x:c r="R139" s="31" t="inlineStr">
        <x:is>
          <x:t xml:space="preserve">Нет</x:t>
        </x:is>
      </x:c>
      <x:c r="S139" s="31" t="inlineStr">
        <x:is>
          <x:t xml:space="preserve">Нет</x:t>
        </x:is>
      </x:c>
    </x:row>
    <x:row r="140" ht="18" customHeight="1">
      <x:c r="A140" s="31" t="inlineStr">
        <x:is>
          <x:t xml:space="preserve">ОП-000139</x:t>
        </x:is>
      </x:c>
      <x:c r="B140" s="31" t="inlineStr">
        <x:is>
          <x:t xml:space="preserve">ПЗ-00017</x:t>
        </x:is>
      </x:c>
      <x:c r="C140" s="31" t="inlineStr">
        <x:is>
          <x:t xml:space="preserve">ЗК-1009</x:t>
        </x:is>
      </x:c>
      <x:c r="D140" s="31" t="inlineStr">
        <x:is>
          <x:t xml:space="preserve">ПОЗ-0009-3</x:t>
        </x:is>
      </x:c>
      <x:c r="E140" s="31" t="inlineStr">
        <x:is>
          <x:t xml:space="preserve">ИЗД-042</x:t>
        </x:is>
      </x:c>
      <x:c r="F140" s="31" t="n">
        <x:v>10</x:v>
      </x:c>
      <x:c r="G140" s="31" t="inlineStr">
        <x:is>
          <x:t xml:space="preserve">КД</x:t>
        </x:is>
      </x:c>
      <x:c r="H140" s="31" t="inlineStr">
        <x:is>
          <x:t xml:space="preserve">Инженерный отдел</x:t>
        </x:is>
      </x:c>
      <x:c r="I140" s="31" t="n"/>
      <x:c r="J140" s="31" t="inlineStr">
        <x:is>
          <x:t xml:space="preserve">СОТР-012</x:t>
        </x:is>
      </x:c>
      <x:c r="K140" s="31" t="n">
        <x:v>24</x:v>
      </x:c>
      <x:c r="L140" s="31" t="n"/>
      <x:c r="M140" s="31" t="n">
        <x:v>46153</x:v>
      </x:c>
      <x:c r="N140" s="31" t="n">
        <x:v>46155</x:v>
      </x:c>
      <x:c r="O140" s="31" t="n"/>
      <x:c r="P140" s="31" t="n"/>
      <x:c r="Q140" s="31" t="inlineStr">
        <x:is>
          <x:t xml:space="preserve">Запланировано</x:t>
        </x:is>
      </x:c>
      <x:c r="R140" s="31" t="inlineStr">
        <x:is>
          <x:t xml:space="preserve">Нет</x:t>
        </x:is>
      </x:c>
      <x:c r="S140" s="31" t="inlineStr">
        <x:is>
          <x:t xml:space="preserve">Нет</x:t>
        </x:is>
      </x:c>
    </x:row>
    <x:row r="141" ht="18" customHeight="1">
      <x:c r="A141" s="31" t="inlineStr">
        <x:is>
          <x:t xml:space="preserve">ОП-000140</x:t>
        </x:is>
      </x:c>
      <x:c r="B141" s="31" t="inlineStr">
        <x:is>
          <x:t xml:space="preserve">ПЗ-00017</x:t>
        </x:is>
      </x:c>
      <x:c r="C141" s="31" t="inlineStr">
        <x:is>
          <x:t xml:space="preserve">ЗК-1009</x:t>
        </x:is>
      </x:c>
      <x:c r="D141" s="31" t="inlineStr">
        <x:is>
          <x:t xml:space="preserve">ПОЗ-0009-3</x:t>
        </x:is>
      </x:c>
      <x:c r="E141" s="31" t="inlineStr">
        <x:is>
          <x:t xml:space="preserve">ИЗД-042</x:t>
        </x:is>
      </x:c>
      <x:c r="F141" s="31" t="n">
        <x:v>20</x:v>
      </x:c>
      <x:c r="G141" s="31" t="inlineStr">
        <x:is>
          <x:t xml:space="preserve">Комплектация</x:t>
        </x:is>
      </x:c>
      <x:c r="H141" s="31" t="inlineStr">
        <x:is>
          <x:t xml:space="preserve">Склад</x:t>
        </x:is>
      </x:c>
      <x:c r="I141" s="31" t="inlineStr">
        <x:is>
          <x:t xml:space="preserve">ОБ-025</x:t>
        </x:is>
      </x:c>
      <x:c r="J141" s="31" t="inlineStr">
        <x:is>
          <x:t xml:space="preserve">СОТР-035</x:t>
        </x:is>
      </x:c>
      <x:c r="K141" s="31" t="n">
        <x:v>105</x:v>
      </x:c>
      <x:c r="L141" s="31" t="n"/>
      <x:c r="M141" s="31" t="n">
        <x:v>46155</x:v>
      </x:c>
      <x:c r="N141" s="31" t="n">
        <x:v>46164</x:v>
      </x:c>
      <x:c r="O141" s="31" t="n"/>
      <x:c r="P141" s="31" t="n"/>
      <x:c r="Q141" s="31" t="inlineStr">
        <x:is>
          <x:t xml:space="preserve">Запланировано</x:t>
        </x:is>
      </x:c>
      <x:c r="R141" s="31" t="inlineStr">
        <x:is>
          <x:t xml:space="preserve">КД</x:t>
        </x:is>
      </x:c>
      <x:c r="S141" s="31" t="inlineStr">
        <x:is>
          <x:t xml:space="preserve">Нет</x:t>
        </x:is>
      </x:c>
    </x:row>
    <x:row r="142" ht="18" customHeight="1">
      <x:c r="A142" s="31" t="inlineStr">
        <x:is>
          <x:t xml:space="preserve">ОП-000141</x:t>
        </x:is>
      </x:c>
      <x:c r="B142" s="31" t="inlineStr">
        <x:is>
          <x:t xml:space="preserve">ПЗ-00017</x:t>
        </x:is>
      </x:c>
      <x:c r="C142" s="31" t="inlineStr">
        <x:is>
          <x:t xml:space="preserve">ЗК-1009</x:t>
        </x:is>
      </x:c>
      <x:c r="D142" s="31" t="inlineStr">
        <x:is>
          <x:t xml:space="preserve">ПОЗ-0009-3</x:t>
        </x:is>
      </x:c>
      <x:c r="E142" s="31" t="inlineStr">
        <x:is>
          <x:t xml:space="preserve">ИЗД-042</x:t>
        </x:is>
      </x:c>
      <x:c r="F142" s="31" t="n">
        <x:v>30</x:v>
      </x:c>
      <x:c r="G142" s="31" t="inlineStr">
        <x:is>
          <x:t xml:space="preserve">Сборка шкафа</x:t>
        </x:is>
      </x:c>
      <x:c r="H142" s="31" t="inlineStr">
        <x:is>
          <x:t xml:space="preserve">Сборка</x:t>
        </x:is>
      </x:c>
      <x:c r="I142" s="31" t="inlineStr">
        <x:is>
          <x:t xml:space="preserve">ОБ-012</x:t>
        </x:is>
      </x:c>
      <x:c r="J142" s="31" t="inlineStr">
        <x:is>
          <x:t xml:space="preserve">СОТР-073</x:t>
        </x:is>
      </x:c>
      <x:c r="K142" s="31" t="n">
        <x:v>72</x:v>
      </x:c>
      <x:c r="L142" s="31" t="n"/>
      <x:c r="M142" s="31" t="n">
        <x:v>46164</x:v>
      </x:c>
      <x:c r="N142" s="31" t="n">
        <x:v>46170</x:v>
      </x:c>
      <x:c r="O142" s="31" t="n"/>
      <x:c r="P142" s="31" t="n"/>
      <x:c r="Q142" s="31" t="inlineStr">
        <x:is>
          <x:t xml:space="preserve">Запланировано</x:t>
        </x:is>
      </x:c>
      <x:c r="R142" s="31" t="inlineStr">
        <x:is>
          <x:t xml:space="preserve">Нет</x:t>
        </x:is>
      </x:c>
      <x:c r="S142" s="31" t="inlineStr">
        <x:is>
          <x:t xml:space="preserve">Нет</x:t>
        </x:is>
      </x:c>
    </x:row>
    <x:row r="143" ht="18" customHeight="1">
      <x:c r="A143" s="31" t="inlineStr">
        <x:is>
          <x:t xml:space="preserve">ОП-000142</x:t>
        </x:is>
      </x:c>
      <x:c r="B143" s="31" t="inlineStr">
        <x:is>
          <x:t xml:space="preserve">ПЗ-00017</x:t>
        </x:is>
      </x:c>
      <x:c r="C143" s="31" t="inlineStr">
        <x:is>
          <x:t xml:space="preserve">ЗК-1009</x:t>
        </x:is>
      </x:c>
      <x:c r="D143" s="31" t="inlineStr">
        <x:is>
          <x:t xml:space="preserve">ПОЗ-0009-3</x:t>
        </x:is>
      </x:c>
      <x:c r="E143" s="31" t="inlineStr">
        <x:is>
          <x:t xml:space="preserve">ИЗД-042</x:t>
        </x:is>
      </x:c>
      <x:c r="F143" s="31" t="n">
        <x:v>40</x:v>
      </x:c>
      <x:c r="G143" s="31" t="inlineStr">
        <x:is>
          <x:t xml:space="preserve">Маркировка</x:t>
        </x:is>
      </x:c>
      <x:c r="H143" s="31" t="inlineStr">
        <x:is>
          <x:t xml:space="preserve">Сборка</x:t>
        </x:is>
      </x:c>
      <x:c r="I143" s="31" t="inlineStr">
        <x:is>
          <x:t xml:space="preserve">ОБ-017</x:t>
        </x:is>
      </x:c>
      <x:c r="J143" s="31" t="inlineStr">
        <x:is>
          <x:t xml:space="preserve">СОТР-086</x:t>
        </x:is>
      </x:c>
      <x:c r="K143" s="31" t="n">
        <x:v>116.5</x:v>
      </x:c>
      <x:c r="L143" s="31" t="n"/>
      <x:c r="M143" s="31" t="n">
        <x:v>46170</x:v>
      </x:c>
      <x:c r="N143" s="31" t="n">
        <x:v>46180</x:v>
      </x:c>
      <x:c r="O143" s="31" t="n"/>
      <x:c r="P143" s="31" t="n"/>
      <x:c r="Q143" s="31" t="inlineStr">
        <x:is>
          <x:t xml:space="preserve">Запланировано</x:t>
        </x:is>
      </x:c>
      <x:c r="R143" s="31" t="inlineStr">
        <x:is>
          <x:t xml:space="preserve">Нет</x:t>
        </x:is>
      </x:c>
      <x:c r="S143" s="31" t="inlineStr">
        <x:is>
          <x:t xml:space="preserve">Нет</x:t>
        </x:is>
      </x:c>
    </x:row>
    <x:row r="144" ht="18" customHeight="1">
      <x:c r="A144" s="31" t="inlineStr">
        <x:is>
          <x:t xml:space="preserve">ОП-000143</x:t>
        </x:is>
      </x:c>
      <x:c r="B144" s="31" t="inlineStr">
        <x:is>
          <x:t xml:space="preserve">ПЗ-00017</x:t>
        </x:is>
      </x:c>
      <x:c r="C144" s="31" t="inlineStr">
        <x:is>
          <x:t xml:space="preserve">ЗК-1009</x:t>
        </x:is>
      </x:c>
      <x:c r="D144" s="31" t="inlineStr">
        <x:is>
          <x:t xml:space="preserve">ПОЗ-0009-3</x:t>
        </x:is>
      </x:c>
      <x:c r="E144" s="31" t="inlineStr">
        <x:is>
          <x:t xml:space="preserve">ИЗД-042</x:t>
        </x:is>
      </x:c>
      <x:c r="F144" s="31" t="n">
        <x:v>50</x:v>
      </x:c>
      <x:c r="G144" s="31" t="inlineStr">
        <x:is>
          <x:t xml:space="preserve">Электромонтаж</x:t>
        </x:is>
      </x:c>
      <x:c r="H144" s="31" t="inlineStr">
        <x:is>
          <x:t xml:space="preserve">Сборка</x:t>
        </x:is>
      </x:c>
      <x:c r="I144" s="31" t="inlineStr">
        <x:is>
          <x:t xml:space="preserve">ОБ-005</x:t>
        </x:is>
      </x:c>
      <x:c r="J144" s="31" t="inlineStr">
        <x:is>
          <x:t xml:space="preserve">СОТР-073</x:t>
        </x:is>
      </x:c>
      <x:c r="K144" s="31" t="n">
        <x:v>12</x:v>
      </x:c>
      <x:c r="L144" s="31" t="n"/>
      <x:c r="M144" s="31" t="n">
        <x:v>46180</x:v>
      </x:c>
      <x:c r="N144" s="31" t="n">
        <x:v>46181</x:v>
      </x:c>
      <x:c r="O144" s="31" t="n"/>
      <x:c r="P144" s="31" t="n"/>
      <x:c r="Q144" s="31" t="inlineStr">
        <x:is>
          <x:t xml:space="preserve">Запланировано</x:t>
        </x:is>
      </x:c>
      <x:c r="R144" s="31" t="inlineStr">
        <x:is>
          <x:t xml:space="preserve">Нет</x:t>
        </x:is>
      </x:c>
      <x:c r="S144" s="31" t="inlineStr">
        <x:is>
          <x:t xml:space="preserve">Нет</x:t>
        </x:is>
      </x:c>
    </x:row>
    <x:row r="145" ht="18" customHeight="1">
      <x:c r="A145" s="31" t="inlineStr">
        <x:is>
          <x:t xml:space="preserve">ОП-000144</x:t>
        </x:is>
      </x:c>
      <x:c r="B145" s="31" t="inlineStr">
        <x:is>
          <x:t xml:space="preserve">ПЗ-00017</x:t>
        </x:is>
      </x:c>
      <x:c r="C145" s="31" t="inlineStr">
        <x:is>
          <x:t xml:space="preserve">ЗК-1009</x:t>
        </x:is>
      </x:c>
      <x:c r="D145" s="31" t="inlineStr">
        <x:is>
          <x:t xml:space="preserve">ПОЗ-0009-3</x:t>
        </x:is>
      </x:c>
      <x:c r="E145" s="31" t="inlineStr">
        <x:is>
          <x:t xml:space="preserve">ИЗД-042</x:t>
        </x:is>
      </x:c>
      <x:c r="F145" s="31" t="n">
        <x:v>60</x:v>
      </x:c>
      <x:c r="G145" s="31" t="inlineStr">
        <x:is>
          <x:t xml:space="preserve">Программирование ПЛК</x:t>
        </x:is>
      </x:c>
      <x:c r="H145" s="31" t="inlineStr">
        <x:is>
          <x:t xml:space="preserve">Инженерный отдел</x:t>
        </x:is>
      </x:c>
      <x:c r="I145" s="31" t="n"/>
      <x:c r="J145" s="31" t="inlineStr">
        <x:is>
          <x:t xml:space="preserve">СОТР-014</x:t>
        </x:is>
      </x:c>
      <x:c r="K145" s="31" t="n">
        <x:v>82</x:v>
      </x:c>
      <x:c r="L145" s="31" t="n"/>
      <x:c r="M145" s="31" t="n">
        <x:v>46181</x:v>
      </x:c>
      <x:c r="N145" s="31" t="n">
        <x:v>46188</x:v>
      </x:c>
      <x:c r="O145" s="31" t="n"/>
      <x:c r="P145" s="31" t="n"/>
      <x:c r="Q145" s="31" t="inlineStr">
        <x:is>
          <x:t xml:space="preserve">Запланировано</x:t>
        </x:is>
      </x:c>
      <x:c r="R145" s="31" t="inlineStr">
        <x:is>
          <x:t xml:space="preserve">Нет</x:t>
        </x:is>
      </x:c>
      <x:c r="S145" s="31" t="inlineStr">
        <x:is>
          <x:t xml:space="preserve">Да</x:t>
        </x:is>
      </x:c>
    </x:row>
    <x:row r="146" ht="18" customHeight="1">
      <x:c r="A146" s="31" t="inlineStr">
        <x:is>
          <x:t xml:space="preserve">ОП-000145</x:t>
        </x:is>
      </x:c>
      <x:c r="B146" s="31" t="inlineStr">
        <x:is>
          <x:t xml:space="preserve">ПЗ-00017</x:t>
        </x:is>
      </x:c>
      <x:c r="C146" s="31" t="inlineStr">
        <x:is>
          <x:t xml:space="preserve">ЗК-1009</x:t>
        </x:is>
      </x:c>
      <x:c r="D146" s="31" t="inlineStr">
        <x:is>
          <x:t xml:space="preserve">ПОЗ-0009-3</x:t>
        </x:is>
      </x:c>
      <x:c r="E146" s="31" t="inlineStr">
        <x:is>
          <x:t xml:space="preserve">ИЗД-042</x:t>
        </x:is>
      </x:c>
      <x:c r="F146" s="31" t="n">
        <x:v>70</x:v>
      </x:c>
      <x:c r="G146" s="31" t="inlineStr">
        <x:is>
          <x:t xml:space="preserve">Приемочные испытания</x:t>
        </x:is>
      </x:c>
      <x:c r="H146" s="31" t="inlineStr">
        <x:is>
          <x:t xml:space="preserve">ОТК</x:t>
        </x:is>
      </x:c>
      <x:c r="I146" s="31" t="inlineStr">
        <x:is>
          <x:t xml:space="preserve">ОБ-033</x:t>
        </x:is>
      </x:c>
      <x:c r="J146" s="31" t="inlineStr">
        <x:is>
          <x:t xml:space="preserve">СОТР-100</x:t>
        </x:is>
      </x:c>
      <x:c r="K146" s="31" t="n">
        <x:v>104</x:v>
      </x:c>
      <x:c r="L146" s="31" t="n"/>
      <x:c r="M146" s="31" t="n">
        <x:v>46188</x:v>
      </x:c>
      <x:c r="N146" s="31" t="n">
        <x:v>46197</x:v>
      </x:c>
      <x:c r="O146" s="31" t="n"/>
      <x:c r="P146" s="31" t="n"/>
      <x:c r="Q146" s="31" t="inlineStr">
        <x:is>
          <x:t xml:space="preserve">Запланировано</x:t>
        </x:is>
      </x:c>
      <x:c r="R146" s="31" t="inlineStr">
        <x:is>
          <x:t xml:space="preserve">Нет</x:t>
        </x:is>
      </x:c>
      <x:c r="S146" s="31" t="inlineStr">
        <x:is>
          <x:t xml:space="preserve">Нет</x:t>
        </x:is>
      </x:c>
    </x:row>
    <x:row r="147" ht="18" customHeight="1">
      <x:c r="A147" s="31" t="inlineStr">
        <x:is>
          <x:t xml:space="preserve">ОП-000146</x:t>
        </x:is>
      </x:c>
      <x:c r="B147" s="31" t="inlineStr">
        <x:is>
          <x:t xml:space="preserve">ПЗ-00017</x:t>
        </x:is>
      </x:c>
      <x:c r="C147" s="31" t="inlineStr">
        <x:is>
          <x:t xml:space="preserve">ЗК-1009</x:t>
        </x:is>
      </x:c>
      <x:c r="D147" s="31" t="inlineStr">
        <x:is>
          <x:t xml:space="preserve">ПОЗ-0009-3</x:t>
        </x:is>
      </x:c>
      <x:c r="E147" s="31" t="inlineStr">
        <x:is>
          <x:t xml:space="preserve">ИЗД-042</x:t>
        </x:is>
      </x:c>
      <x:c r="F147" s="31" t="n">
        <x:v>80</x:v>
      </x:c>
      <x:c r="G147" s="31" t="inlineStr">
        <x:is>
          <x:t xml:space="preserve">ОТК</x:t>
        </x:is>
      </x:c>
      <x:c r="H147" s="31" t="inlineStr">
        <x:is>
          <x:t xml:space="preserve">ОТК</x:t>
        </x:is>
      </x:c>
      <x:c r="I147" s="31" t="inlineStr">
        <x:is>
          <x:t xml:space="preserve">ОБ-006</x:t>
        </x:is>
      </x:c>
      <x:c r="J147" s="31" t="inlineStr">
        <x:is>
          <x:t xml:space="preserve">СОТР-063</x:t>
        </x:is>
      </x:c>
      <x:c r="K147" s="31" t="n">
        <x:v>116</x:v>
      </x:c>
      <x:c r="L147" s="31" t="n"/>
      <x:c r="M147" s="31" t="n">
        <x:v>46197</x:v>
      </x:c>
      <x:c r="N147" s="31" t="n">
        <x:v>46207</x:v>
      </x:c>
      <x:c r="O147" s="31" t="n"/>
      <x:c r="P147" s="31" t="n"/>
      <x:c r="Q147" s="31" t="inlineStr">
        <x:is>
          <x:t xml:space="preserve">Запланировано</x:t>
        </x:is>
      </x:c>
      <x:c r="R147" s="31" t="inlineStr">
        <x:is>
          <x:t xml:space="preserve">Нет</x:t>
        </x:is>
      </x:c>
      <x:c r="S147" s="31" t="inlineStr">
        <x:is>
          <x:t xml:space="preserve">Нет</x:t>
        </x:is>
      </x:c>
    </x:row>
    <x:row r="148" ht="18" customHeight="1">
      <x:c r="A148" s="31" t="inlineStr">
        <x:is>
          <x:t xml:space="preserve">ОП-000147</x:t>
        </x:is>
      </x:c>
      <x:c r="B148" s="31" t="inlineStr">
        <x:is>
          <x:t xml:space="preserve">ПЗ-00017</x:t>
        </x:is>
      </x:c>
      <x:c r="C148" s="31" t="inlineStr">
        <x:is>
          <x:t xml:space="preserve">ЗК-1009</x:t>
        </x:is>
      </x:c>
      <x:c r="D148" s="31" t="inlineStr">
        <x:is>
          <x:t xml:space="preserve">ПОЗ-0009-3</x:t>
        </x:is>
      </x:c>
      <x:c r="E148" s="31" t="inlineStr">
        <x:is>
          <x:t xml:space="preserve">ИЗД-042</x:t>
        </x:is>
      </x:c>
      <x:c r="F148" s="31" t="n">
        <x:v>90</x:v>
      </x:c>
      <x:c r="G148" s="31" t="inlineStr">
        <x:is>
          <x:t xml:space="preserve">Упаковка</x:t>
        </x:is>
      </x:c>
      <x:c r="H148" s="31" t="inlineStr">
        <x:is>
          <x:t xml:space="preserve">Логистика</x:t>
        </x:is>
      </x:c>
      <x:c r="I148" s="31" t="n"/>
      <x:c r="J148" s="31" t="inlineStr">
        <x:is>
          <x:t xml:space="preserve">СОТР-104</x:t>
        </x:is>
      </x:c>
      <x:c r="K148" s="31" t="n">
        <x:v>135</x:v>
      </x:c>
      <x:c r="L148" s="31" t="n"/>
      <x:c r="M148" s="31" t="n">
        <x:v>46207</x:v>
      </x:c>
      <x:c r="N148" s="31" t="n">
        <x:v>46219</x:v>
      </x:c>
      <x:c r="O148" s="31" t="n"/>
      <x:c r="P148" s="31" t="n"/>
      <x:c r="Q148" s="31" t="inlineStr">
        <x:is>
          <x:t xml:space="preserve">Запланировано</x:t>
        </x:is>
      </x:c>
      <x:c r="R148" s="31" t="inlineStr">
        <x:is>
          <x:t xml:space="preserve">Нет</x:t>
        </x:is>
      </x:c>
      <x:c r="S148" s="31" t="inlineStr">
        <x:is>
          <x:t xml:space="preserve">Нет</x:t>
        </x:is>
      </x:c>
    </x:row>
    <x:row r="149" ht="18" customHeight="1">
      <x:c r="A149" s="31" t="inlineStr">
        <x:is>
          <x:t xml:space="preserve">ОП-000148</x:t>
        </x:is>
      </x:c>
      <x:c r="B149" s="31" t="inlineStr">
        <x:is>
          <x:t xml:space="preserve">ПЗ-00018</x:t>
        </x:is>
      </x:c>
      <x:c r="C149" s="31" t="inlineStr">
        <x:is>
          <x:t xml:space="preserve">ЗК-1009</x:t>
        </x:is>
      </x:c>
      <x:c r="D149" s="31" t="inlineStr">
        <x:is>
          <x:t xml:space="preserve">ПОЗ-0009-4</x:t>
        </x:is>
      </x:c>
      <x:c r="E149" s="31" t="inlineStr">
        <x:is>
          <x:t xml:space="preserve">ИЗД-026</x:t>
        </x:is>
      </x:c>
      <x:c r="F149" s="31" t="n">
        <x:v>10</x:v>
      </x:c>
      <x:c r="G149" s="31" t="inlineStr">
        <x:is>
          <x:t xml:space="preserve">КД</x:t>
        </x:is>
      </x:c>
      <x:c r="H149" s="31" t="inlineStr">
        <x:is>
          <x:t xml:space="preserve">Инженерный отдел</x:t>
        </x:is>
      </x:c>
      <x:c r="I149" s="31" t="n"/>
      <x:c r="J149" s="31" t="inlineStr">
        <x:is>
          <x:t xml:space="preserve">СОТР-013</x:t>
        </x:is>
      </x:c>
      <x:c r="K149" s="31" t="n">
        <x:v>14.2</x:v>
      </x:c>
      <x:c r="L149" s="31" t="n">
        <x:v>18.2</x:v>
      </x:c>
      <x:c r="M149" s="31" t="n">
        <x:v>46143</x:v>
      </x:c>
      <x:c r="N149" s="31" t="n">
        <x:v>46145</x:v>
      </x:c>
      <x:c r="O149" s="31" t="n">
        <x:v>46143</x:v>
      </x:c>
      <x:c r="P149" s="31" t="n">
        <x:v>46147</x:v>
      </x:c>
      <x:c r="Q149" s="31" t="inlineStr">
        <x:is>
          <x:t xml:space="preserve">Завершено</x:t>
        </x:is>
      </x:c>
      <x:c r="R149" s="31" t="inlineStr">
        <x:is>
          <x:t xml:space="preserve">Нет</x:t>
        </x:is>
      </x:c>
      <x:c r="S149" s="31" t="inlineStr">
        <x:is>
          <x:t xml:space="preserve">Нет</x:t>
        </x:is>
      </x:c>
    </x:row>
    <x:row r="150" ht="18" customHeight="1">
      <x:c r="A150" s="31" t="inlineStr">
        <x:is>
          <x:t xml:space="preserve">ОП-000149</x:t>
        </x:is>
      </x:c>
      <x:c r="B150" s="31" t="inlineStr">
        <x:is>
          <x:t xml:space="preserve">ПЗ-00018</x:t>
        </x:is>
      </x:c>
      <x:c r="C150" s="31" t="inlineStr">
        <x:is>
          <x:t xml:space="preserve">ЗК-1009</x:t>
        </x:is>
      </x:c>
      <x:c r="D150" s="31" t="inlineStr">
        <x:is>
          <x:t xml:space="preserve">ПОЗ-0009-4</x:t>
        </x:is>
      </x:c>
      <x:c r="E150" s="31" t="inlineStr">
        <x:is>
          <x:t xml:space="preserve">ИЗД-026</x:t>
        </x:is>
      </x:c>
      <x:c r="F150" s="31" t="n">
        <x:v>20</x:v>
      </x:c>
      <x:c r="G150" s="31" t="inlineStr">
        <x:is>
          <x:t xml:space="preserve">Комплектация</x:t>
        </x:is>
      </x:c>
      <x:c r="H150" s="31" t="inlineStr">
        <x:is>
          <x:t xml:space="preserve">Склад</x:t>
        </x:is>
      </x:c>
      <x:c r="I150" s="31" t="inlineStr">
        <x:is>
          <x:t xml:space="preserve">ОБ-025</x:t>
        </x:is>
      </x:c>
      <x:c r="J150" s="31" t="inlineStr">
        <x:is>
          <x:t xml:space="preserve">СОТР-035</x:t>
        </x:is>
      </x:c>
      <x:c r="K150" s="31" t="n">
        <x:v>11.9</x:v>
      </x:c>
      <x:c r="L150" s="31" t="n">
        <x:v>12.1</x:v>
      </x:c>
      <x:c r="M150" s="31" t="n">
        <x:v>46145</x:v>
      </x:c>
      <x:c r="N150" s="31" t="n">
        <x:v>46146</x:v>
      </x:c>
      <x:c r="O150" s="31" t="n">
        <x:v>46145</x:v>
      </x:c>
      <x:c r="P150" s="31" t="n">
        <x:v>46145</x:v>
      </x:c>
      <x:c r="Q150" s="31" t="inlineStr">
        <x:is>
          <x:t xml:space="preserve">Завершено</x:t>
        </x:is>
      </x:c>
      <x:c r="R150" s="31" t="inlineStr">
        <x:is>
          <x:t xml:space="preserve">Нет</x:t>
        </x:is>
      </x:c>
      <x:c r="S150" s="31" t="inlineStr">
        <x:is>
          <x:t xml:space="preserve">Нет</x:t>
        </x:is>
      </x:c>
    </x:row>
    <x:row r="151" ht="18" customHeight="1">
      <x:c r="A151" s="31" t="inlineStr">
        <x:is>
          <x:t xml:space="preserve">ОП-000150</x:t>
        </x:is>
      </x:c>
      <x:c r="B151" s="31" t="inlineStr">
        <x:is>
          <x:t xml:space="preserve">ПЗ-00018</x:t>
        </x:is>
      </x:c>
      <x:c r="C151" s="31" t="inlineStr">
        <x:is>
          <x:t xml:space="preserve">ЗК-1009</x:t>
        </x:is>
      </x:c>
      <x:c r="D151" s="31" t="inlineStr">
        <x:is>
          <x:t xml:space="preserve">ПОЗ-0009-4</x:t>
        </x:is>
      </x:c>
      <x:c r="E151" s="31" t="inlineStr">
        <x:is>
          <x:t xml:space="preserve">ИЗД-026</x:t>
        </x:is>
      </x:c>
      <x:c r="F151" s="31" t="n">
        <x:v>30</x:v>
      </x:c>
      <x:c r="G151" s="31" t="inlineStr">
        <x:is>
          <x:t xml:space="preserve">Сборка шкафа</x:t>
        </x:is>
      </x:c>
      <x:c r="H151" s="31" t="inlineStr">
        <x:is>
          <x:t xml:space="preserve">Сборка</x:t>
        </x:is>
      </x:c>
      <x:c r="I151" s="31" t="inlineStr">
        <x:is>
          <x:t xml:space="preserve">ОБ-016</x:t>
        </x:is>
      </x:c>
      <x:c r="J151" s="31" t="inlineStr">
        <x:is>
          <x:t xml:space="preserve">СОТР-077</x:t>
        </x:is>
      </x:c>
      <x:c r="K151" s="31" t="n">
        <x:v>3.8</x:v>
      </x:c>
      <x:c r="L151" s="31" t="n">
        <x:v>4.3</x:v>
      </x:c>
      <x:c r="M151" s="31" t="n">
        <x:v>46146</x:v>
      </x:c>
      <x:c r="N151" s="31" t="n">
        <x:v>46147</x:v>
      </x:c>
      <x:c r="O151" s="31" t="n">
        <x:v>46146</x:v>
      </x:c>
      <x:c r="P151" s="31" t="n">
        <x:v>46149</x:v>
      </x:c>
      <x:c r="Q151" s="31" t="inlineStr">
        <x:is>
          <x:t xml:space="preserve">Завершено</x:t>
        </x:is>
      </x:c>
      <x:c r="R151" s="31" t="inlineStr">
        <x:is>
          <x:t xml:space="preserve">Нет</x:t>
        </x:is>
      </x:c>
      <x:c r="S151" s="31" t="inlineStr">
        <x:is>
          <x:t xml:space="preserve">Нет</x:t>
        </x:is>
      </x:c>
    </x:row>
    <x:row r="152" ht="18" customHeight="1">
      <x:c r="A152" s="31" t="inlineStr">
        <x:is>
          <x:t xml:space="preserve">ОП-000151</x:t>
        </x:is>
      </x:c>
      <x:c r="B152" s="31" t="inlineStr">
        <x:is>
          <x:t xml:space="preserve">ПЗ-00018</x:t>
        </x:is>
      </x:c>
      <x:c r="C152" s="31" t="inlineStr">
        <x:is>
          <x:t xml:space="preserve">ЗК-1009</x:t>
        </x:is>
      </x:c>
      <x:c r="D152" s="31" t="inlineStr">
        <x:is>
          <x:t xml:space="preserve">ПОЗ-0009-4</x:t>
        </x:is>
      </x:c>
      <x:c r="E152" s="31" t="inlineStr">
        <x:is>
          <x:t xml:space="preserve">ИЗД-026</x:t>
        </x:is>
      </x:c>
      <x:c r="F152" s="31" t="n">
        <x:v>40</x:v>
      </x:c>
      <x:c r="G152" s="31" t="inlineStr">
        <x:is>
          <x:t xml:space="preserve">Маркировка</x:t>
        </x:is>
      </x:c>
      <x:c r="H152" s="31" t="inlineStr">
        <x:is>
          <x:t xml:space="preserve">Сборка</x:t>
        </x:is>
      </x:c>
      <x:c r="I152" s="31" t="inlineStr">
        <x:is>
          <x:t xml:space="preserve">ОБ-002</x:t>
        </x:is>
      </x:c>
      <x:c r="J152" s="31" t="inlineStr">
        <x:is>
          <x:t xml:space="preserve">СОТР-083</x:t>
        </x:is>
      </x:c>
      <x:c r="K152" s="31" t="n">
        <x:v>18.6</x:v>
      </x:c>
      <x:c r="L152" s="31" t="n">
        <x:v>17.9</x:v>
      </x:c>
      <x:c r="M152" s="31" t="n">
        <x:v>46147</x:v>
      </x:c>
      <x:c r="N152" s="31" t="n">
        <x:v>46149</x:v>
      </x:c>
      <x:c r="O152" s="31" t="n">
        <x:v>46147</x:v>
      </x:c>
      <x:c r="P152" s="31" t="n">
        <x:v>46151</x:v>
      </x:c>
      <x:c r="Q152" s="31" t="inlineStr">
        <x:is>
          <x:t xml:space="preserve">Завершено</x:t>
        </x:is>
      </x:c>
      <x:c r="R152" s="31" t="inlineStr">
        <x:is>
          <x:t xml:space="preserve">Нет</x:t>
        </x:is>
      </x:c>
      <x:c r="S152" s="31" t="inlineStr">
        <x:is>
          <x:t xml:space="preserve">Да</x:t>
        </x:is>
      </x:c>
    </x:row>
    <x:row r="153" ht="18" customHeight="1">
      <x:c r="A153" s="31" t="inlineStr">
        <x:is>
          <x:t xml:space="preserve">ОП-000152</x:t>
        </x:is>
      </x:c>
      <x:c r="B153" s="31" t="inlineStr">
        <x:is>
          <x:t xml:space="preserve">ПЗ-00018</x:t>
        </x:is>
      </x:c>
      <x:c r="C153" s="31" t="inlineStr">
        <x:is>
          <x:t xml:space="preserve">ЗК-1009</x:t>
        </x:is>
      </x:c>
      <x:c r="D153" s="31" t="inlineStr">
        <x:is>
          <x:t xml:space="preserve">ПОЗ-0009-4</x:t>
        </x:is>
      </x:c>
      <x:c r="E153" s="31" t="inlineStr">
        <x:is>
          <x:t xml:space="preserve">ИЗД-026</x:t>
        </x:is>
      </x:c>
      <x:c r="F153" s="31" t="n">
        <x:v>50</x:v>
      </x:c>
      <x:c r="G153" s="31" t="inlineStr">
        <x:is>
          <x:t xml:space="preserve">Электромонтаж</x:t>
        </x:is>
      </x:c>
      <x:c r="H153" s="31" t="inlineStr">
        <x:is>
          <x:t xml:space="preserve">Сборка</x:t>
        </x:is>
      </x:c>
      <x:c r="I153" s="31" t="inlineStr">
        <x:is>
          <x:t xml:space="preserve">ОБ-016</x:t>
        </x:is>
      </x:c>
      <x:c r="J153" s="31" t="inlineStr">
        <x:is>
          <x:t xml:space="preserve">СОТР-077</x:t>
        </x:is>
      </x:c>
      <x:c r="K153" s="31" t="n">
        <x:v>7.9</x:v>
      </x:c>
      <x:c r="L153" s="31" t="n">
        <x:v>9.5</x:v>
      </x:c>
      <x:c r="M153" s="31" t="n">
        <x:v>46149</x:v>
      </x:c>
      <x:c r="N153" s="31" t="n">
        <x:v>46150</x:v>
      </x:c>
      <x:c r="O153" s="31" t="n">
        <x:v>46149</x:v>
      </x:c>
      <x:c r="P153" s="31" t="n">
        <x:v>46151</x:v>
      </x:c>
      <x:c r="Q153" s="31" t="inlineStr">
        <x:is>
          <x:t xml:space="preserve">Завершено</x:t>
        </x:is>
      </x:c>
      <x:c r="R153" s="31" t="inlineStr">
        <x:is>
          <x:t xml:space="preserve">Материал</x:t>
        </x:is>
      </x:c>
      <x:c r="S153" s="31" t="inlineStr">
        <x:is>
          <x:t xml:space="preserve">Нет</x:t>
        </x:is>
      </x:c>
    </x:row>
    <x:row r="154" ht="18" customHeight="1">
      <x:c r="A154" s="31" t="inlineStr">
        <x:is>
          <x:t xml:space="preserve">ОП-000153</x:t>
        </x:is>
      </x:c>
      <x:c r="B154" s="31" t="inlineStr">
        <x:is>
          <x:t xml:space="preserve">ПЗ-00018</x:t>
        </x:is>
      </x:c>
      <x:c r="C154" s="31" t="inlineStr">
        <x:is>
          <x:t xml:space="preserve">ЗК-1009</x:t>
        </x:is>
      </x:c>
      <x:c r="D154" s="31" t="inlineStr">
        <x:is>
          <x:t xml:space="preserve">ПОЗ-0009-4</x:t>
        </x:is>
      </x:c>
      <x:c r="E154" s="31" t="inlineStr">
        <x:is>
          <x:t xml:space="preserve">ИЗД-026</x:t>
        </x:is>
      </x:c>
      <x:c r="F154" s="31" t="n">
        <x:v>60</x:v>
      </x:c>
      <x:c r="G154" s="31" t="inlineStr">
        <x:is>
          <x:t xml:space="preserve">Программирование ПЛК</x:t>
        </x:is>
      </x:c>
      <x:c r="H154" s="31" t="inlineStr">
        <x:is>
          <x:t xml:space="preserve">Инженерный отдел</x:t>
        </x:is>
      </x:c>
      <x:c r="I154" s="31" t="n"/>
      <x:c r="J154" s="31" t="inlineStr">
        <x:is>
          <x:t xml:space="preserve">СОТР-012</x:t>
        </x:is>
      </x:c>
      <x:c r="K154" s="31" t="n">
        <x:v>14</x:v>
      </x:c>
      <x:c r="L154" s="31" t="n">
        <x:v>11.8</x:v>
      </x:c>
      <x:c r="M154" s="31" t="n">
        <x:v>46150</x:v>
      </x:c>
      <x:c r="N154" s="31" t="n">
        <x:v>46152</x:v>
      </x:c>
      <x:c r="O154" s="31" t="n">
        <x:v>46150</x:v>
      </x:c>
      <x:c r="P154" s="31" t="n">
        <x:v>46153</x:v>
      </x:c>
      <x:c r="Q154" s="31" t="inlineStr">
        <x:is>
          <x:t xml:space="preserve">Завершено</x:t>
        </x:is>
      </x:c>
      <x:c r="R154" s="31" t="inlineStr">
        <x:is>
          <x:t xml:space="preserve">Материал</x:t>
        </x:is>
      </x:c>
      <x:c r="S154" s="31" t="inlineStr">
        <x:is>
          <x:t xml:space="preserve">Нет</x:t>
        </x:is>
      </x:c>
    </x:row>
    <x:row r="155" ht="18" customHeight="1">
      <x:c r="A155" s="31" t="inlineStr">
        <x:is>
          <x:t xml:space="preserve">ОП-000154</x:t>
        </x:is>
      </x:c>
      <x:c r="B155" s="31" t="inlineStr">
        <x:is>
          <x:t xml:space="preserve">ПЗ-00018</x:t>
        </x:is>
      </x:c>
      <x:c r="C155" s="31" t="inlineStr">
        <x:is>
          <x:t xml:space="preserve">ЗК-1009</x:t>
        </x:is>
      </x:c>
      <x:c r="D155" s="31" t="inlineStr">
        <x:is>
          <x:t xml:space="preserve">ПОЗ-0009-4</x:t>
        </x:is>
      </x:c>
      <x:c r="E155" s="31" t="inlineStr">
        <x:is>
          <x:t xml:space="preserve">ИЗД-026</x:t>
        </x:is>
      </x:c>
      <x:c r="F155" s="31" t="n">
        <x:v>70</x:v>
      </x:c>
      <x:c r="G155" s="31" t="inlineStr">
        <x:is>
          <x:t xml:space="preserve">Приемочные испытания</x:t>
        </x:is>
      </x:c>
      <x:c r="H155" s="31" t="inlineStr">
        <x:is>
          <x:t xml:space="preserve">ОТК</x:t>
        </x:is>
      </x:c>
      <x:c r="I155" s="31" t="inlineStr">
        <x:is>
          <x:t xml:space="preserve">ОБ-024</x:t>
        </x:is>
      </x:c>
      <x:c r="J155" s="31" t="inlineStr">
        <x:is>
          <x:t xml:space="preserve">СОТР-096</x:t>
        </x:is>
      </x:c>
      <x:c r="K155" s="31" t="n">
        <x:v>8.300000000000001</x:v>
      </x:c>
      <x:c r="L155" s="31" t="n">
        <x:v>7.4</x:v>
      </x:c>
      <x:c r="M155" s="31" t="n">
        <x:v>46152</x:v>
      </x:c>
      <x:c r="N155" s="31" t="n">
        <x:v>46153</x:v>
      </x:c>
      <x:c r="O155" s="31" t="n">
        <x:v>46152</x:v>
      </x:c>
      <x:c r="P155" s="31" t="n">
        <x:v>46155</x:v>
      </x:c>
      <x:c r="Q155" s="31" t="inlineStr">
        <x:is>
          <x:t xml:space="preserve">Завершено</x:t>
        </x:is>
      </x:c>
      <x:c r="R155" s="31" t="inlineStr">
        <x:is>
          <x:t xml:space="preserve">Ожидание ОТК</x:t>
        </x:is>
      </x:c>
      <x:c r="S155" s="31" t="inlineStr">
        <x:is>
          <x:t xml:space="preserve">Нет</x:t>
        </x:is>
      </x:c>
    </x:row>
    <x:row r="156" ht="18" customHeight="1">
      <x:c r="A156" s="31" t="inlineStr">
        <x:is>
          <x:t xml:space="preserve">ОП-000155</x:t>
        </x:is>
      </x:c>
      <x:c r="B156" s="31" t="inlineStr">
        <x:is>
          <x:t xml:space="preserve">ПЗ-00018</x:t>
        </x:is>
      </x:c>
      <x:c r="C156" s="31" t="inlineStr">
        <x:is>
          <x:t xml:space="preserve">ЗК-1009</x:t>
        </x:is>
      </x:c>
      <x:c r="D156" s="31" t="inlineStr">
        <x:is>
          <x:t xml:space="preserve">ПОЗ-0009-4</x:t>
        </x:is>
      </x:c>
      <x:c r="E156" s="31" t="inlineStr">
        <x:is>
          <x:t xml:space="preserve">ИЗД-026</x:t>
        </x:is>
      </x:c>
      <x:c r="F156" s="31" t="n">
        <x:v>80</x:v>
      </x:c>
      <x:c r="G156" s="31" t="inlineStr">
        <x:is>
          <x:t xml:space="preserve">ОТК</x:t>
        </x:is>
      </x:c>
      <x:c r="H156" s="31" t="inlineStr">
        <x:is>
          <x:t xml:space="preserve">ОТК</x:t>
        </x:is>
      </x:c>
      <x:c r="I156" s="31" t="inlineStr">
        <x:is>
          <x:t xml:space="preserve">ОБ-007</x:t>
        </x:is>
      </x:c>
      <x:c r="J156" s="31" t="inlineStr">
        <x:is>
          <x:t xml:space="preserve">СОТР-096</x:t>
        </x:is>
      </x:c>
      <x:c r="K156" s="31" t="n">
        <x:v>4.7</x:v>
      </x:c>
      <x:c r="L156" s="31" t="n">
        <x:v>4.2</x:v>
      </x:c>
      <x:c r="M156" s="31" t="n">
        <x:v>46153</x:v>
      </x:c>
      <x:c r="N156" s="31" t="n">
        <x:v>46154</x:v>
      </x:c>
      <x:c r="O156" s="31" t="n">
        <x:v>46153</x:v>
      </x:c>
      <x:c r="P156" s="31" t="n">
        <x:v>46153</x:v>
      </x:c>
      <x:c r="Q156" s="31" t="inlineStr">
        <x:is>
          <x:t xml:space="preserve">Завершено</x:t>
        </x:is>
      </x:c>
      <x:c r="R156" s="31" t="inlineStr">
        <x:is>
          <x:t xml:space="preserve">Нет</x:t>
        </x:is>
      </x:c>
      <x:c r="S156" s="31" t="inlineStr">
        <x:is>
          <x:t xml:space="preserve">Нет</x:t>
        </x:is>
      </x:c>
    </x:row>
    <x:row r="157" ht="18" customHeight="1">
      <x:c r="A157" s="31" t="inlineStr">
        <x:is>
          <x:t xml:space="preserve">ОП-000156</x:t>
        </x:is>
      </x:c>
      <x:c r="B157" s="31" t="inlineStr">
        <x:is>
          <x:t xml:space="preserve">ПЗ-00018</x:t>
        </x:is>
      </x:c>
      <x:c r="C157" s="31" t="inlineStr">
        <x:is>
          <x:t xml:space="preserve">ЗК-1009</x:t>
        </x:is>
      </x:c>
      <x:c r="D157" s="31" t="inlineStr">
        <x:is>
          <x:t xml:space="preserve">ПОЗ-0009-4</x:t>
        </x:is>
      </x:c>
      <x:c r="E157" s="31" t="inlineStr">
        <x:is>
          <x:t xml:space="preserve">ИЗД-026</x:t>
        </x:is>
      </x:c>
      <x:c r="F157" s="31" t="n">
        <x:v>90</x:v>
      </x:c>
      <x:c r="G157" s="31" t="inlineStr">
        <x:is>
          <x:t xml:space="preserve">Упаковка</x:t>
        </x:is>
      </x:c>
      <x:c r="H157" s="31" t="inlineStr">
        <x:is>
          <x:t xml:space="preserve">Логистика</x:t>
        </x:is>
      </x:c>
      <x:c r="I157" s="31" t="n"/>
      <x:c r="J157" s="31" t="inlineStr">
        <x:is>
          <x:t xml:space="preserve">СОТР-102</x:t>
        </x:is>
      </x:c>
      <x:c r="K157" s="31" t="n">
        <x:v>17.9</x:v>
      </x:c>
      <x:c r="L157" s="31" t="n">
        <x:v>17.2</x:v>
      </x:c>
      <x:c r="M157" s="31" t="n">
        <x:v>46154</x:v>
      </x:c>
      <x:c r="N157" s="31" t="n">
        <x:v>46156</x:v>
      </x:c>
      <x:c r="O157" s="31" t="n">
        <x:v>46154</x:v>
      </x:c>
      <x:c r="P157" s="31" t="n">
        <x:v>46156</x:v>
      </x:c>
      <x:c r="Q157" s="31" t="inlineStr">
        <x:is>
          <x:t xml:space="preserve">Завершено</x:t>
        </x:is>
      </x:c>
      <x:c r="R157" s="31" t="inlineStr">
        <x:is>
          <x:t xml:space="preserve">Ожидание ОТК</x:t>
        </x:is>
      </x:c>
      <x:c r="S157" s="31" t="inlineStr">
        <x:is>
          <x:t xml:space="preserve">Да</x:t>
        </x:is>
      </x:c>
    </x:row>
    <x:row r="158" ht="18" customHeight="1">
      <x:c r="A158" s="31" t="inlineStr">
        <x:is>
          <x:t xml:space="preserve">ОП-000157</x:t>
        </x:is>
      </x:c>
      <x:c r="B158" s="31" t="inlineStr">
        <x:is>
          <x:t xml:space="preserve">ПЗ-00019</x:t>
        </x:is>
      </x:c>
      <x:c r="C158" s="31" t="inlineStr">
        <x:is>
          <x:t xml:space="preserve">ЗК-1010</x:t>
        </x:is>
      </x:c>
      <x:c r="D158" s="31" t="inlineStr">
        <x:is>
          <x:t xml:space="preserve">ПОЗ-0010-1</x:t>
        </x:is>
      </x:c>
      <x:c r="E158" s="31" t="inlineStr">
        <x:is>
          <x:t xml:space="preserve">ИЗД-019</x:t>
        </x:is>
      </x:c>
      <x:c r="F158" s="31" t="n">
        <x:v>10</x:v>
      </x:c>
      <x:c r="G158" s="31" t="inlineStr">
        <x:is>
          <x:t xml:space="preserve">КД</x:t>
        </x:is>
      </x:c>
      <x:c r="H158" s="31" t="inlineStr">
        <x:is>
          <x:t xml:space="preserve">Инженерный отдел</x:t>
        </x:is>
      </x:c>
      <x:c r="I158" s="31" t="n"/>
      <x:c r="J158" s="31" t="inlineStr">
        <x:is>
          <x:t xml:space="preserve">СОТР-011</x:t>
        </x:is>
      </x:c>
      <x:c r="K158" s="31" t="n">
        <x:v>16.8</x:v>
      </x:c>
      <x:c r="L158" s="31" t="n">
        <x:v>16.8</x:v>
      </x:c>
      <x:c r="M158" s="31" t="n">
        <x:v>46114</x:v>
      </x:c>
      <x:c r="N158" s="31" t="n">
        <x:v>46116</x:v>
      </x:c>
      <x:c r="O158" s="31" t="n">
        <x:v>46114</x:v>
      </x:c>
      <x:c r="P158" s="31" t="n">
        <x:v>46115</x:v>
      </x:c>
      <x:c r="Q158" s="31" t="inlineStr">
        <x:is>
          <x:t xml:space="preserve">Завершено</x:t>
        </x:is>
      </x:c>
      <x:c r="R158" s="31" t="inlineStr">
        <x:is>
          <x:t xml:space="preserve">Нет</x:t>
        </x:is>
      </x:c>
      <x:c r="S158" s="31" t="inlineStr">
        <x:is>
          <x:t xml:space="preserve">Нет</x:t>
        </x:is>
      </x:c>
    </x:row>
    <x:row r="159" ht="18" customHeight="1">
      <x:c r="A159" s="31" t="inlineStr">
        <x:is>
          <x:t xml:space="preserve">ОП-000158</x:t>
        </x:is>
      </x:c>
      <x:c r="B159" s="31" t="inlineStr">
        <x:is>
          <x:t xml:space="preserve">ПЗ-00019</x:t>
        </x:is>
      </x:c>
      <x:c r="C159" s="31" t="inlineStr">
        <x:is>
          <x:t xml:space="preserve">ЗК-1010</x:t>
        </x:is>
      </x:c>
      <x:c r="D159" s="31" t="inlineStr">
        <x:is>
          <x:t xml:space="preserve">ПОЗ-0010-1</x:t>
        </x:is>
      </x:c>
      <x:c r="E159" s="31" t="inlineStr">
        <x:is>
          <x:t xml:space="preserve">ИЗД-019</x:t>
        </x:is>
      </x:c>
      <x:c r="F159" s="31" t="n">
        <x:v>20</x:v>
      </x:c>
      <x:c r="G159" s="31" t="inlineStr">
        <x:is>
          <x:t xml:space="preserve">Резерв материалов</x:t>
        </x:is>
      </x:c>
      <x:c r="H159" s="31" t="inlineStr">
        <x:is>
          <x:t xml:space="preserve">Склад</x:t>
        </x:is>
      </x:c>
      <x:c r="I159" s="31" t="inlineStr">
        <x:is>
          <x:t xml:space="preserve">ОБ-009</x:t>
        </x:is>
      </x:c>
      <x:c r="J159" s="31" t="inlineStr">
        <x:is>
          <x:t xml:space="preserve">СОТР-036</x:t>
        </x:is>
      </x:c>
      <x:c r="K159" s="31" t="n">
        <x:v>10</x:v>
      </x:c>
      <x:c r="L159" s="31" t="n">
        <x:v>12</x:v>
      </x:c>
      <x:c r="M159" s="31" t="n">
        <x:v>46116</x:v>
      </x:c>
      <x:c r="N159" s="31" t="n">
        <x:v>46117</x:v>
      </x:c>
      <x:c r="O159" s="31" t="n">
        <x:v>46116</x:v>
      </x:c>
      <x:c r="P159" s="31" t="n">
        <x:v>46118</x:v>
      </x:c>
      <x:c r="Q159" s="31" t="inlineStr">
        <x:is>
          <x:t xml:space="preserve">Завершено</x:t>
        </x:is>
      </x:c>
      <x:c r="R159" s="31" t="inlineStr">
        <x:is>
          <x:t xml:space="preserve">Нет</x:t>
        </x:is>
      </x:c>
      <x:c r="S159" s="31" t="inlineStr">
        <x:is>
          <x:t xml:space="preserve">Нет</x:t>
        </x:is>
      </x:c>
    </x:row>
    <x:row r="160" ht="18" customHeight="1">
      <x:c r="A160" s="31" t="inlineStr">
        <x:is>
          <x:t xml:space="preserve">ОП-000159</x:t>
        </x:is>
      </x:c>
      <x:c r="B160" s="31" t="inlineStr">
        <x:is>
          <x:t xml:space="preserve">ПЗ-00019</x:t>
        </x:is>
      </x:c>
      <x:c r="C160" s="31" t="inlineStr">
        <x:is>
          <x:t xml:space="preserve">ЗК-1010</x:t>
        </x:is>
      </x:c>
      <x:c r="D160" s="31" t="inlineStr">
        <x:is>
          <x:t xml:space="preserve">ПОЗ-0010-1</x:t>
        </x:is>
      </x:c>
      <x:c r="E160" s="31" t="inlineStr">
        <x:is>
          <x:t xml:space="preserve">ИЗД-019</x:t>
        </x:is>
      </x:c>
      <x:c r="F160" s="31" t="n">
        <x:v>30</x:v>
      </x:c>
      <x:c r="G160" s="31" t="inlineStr">
        <x:is>
          <x:t xml:space="preserve">Резка металла</x:t>
        </x:is>
      </x:c>
      <x:c r="H160" s="31" t="inlineStr">
        <x:is>
          <x:t xml:space="preserve">Сварка</x:t>
        </x:is>
      </x:c>
      <x:c r="I160" s="31" t="inlineStr">
        <x:is>
          <x:t xml:space="preserve">ОБ-004</x:t>
        </x:is>
      </x:c>
      <x:c r="J160" s="31" t="inlineStr">
        <x:is>
          <x:t xml:space="preserve">СОТР-067</x:t>
        </x:is>
      </x:c>
      <x:c r="K160" s="31" t="n">
        <x:v>5.8</x:v>
      </x:c>
      <x:c r="L160" s="31" t="n"/>
      <x:c r="M160" s="31" t="n">
        <x:v>46117</x:v>
      </x:c>
      <x:c r="N160" s="31" t="n">
        <x:v>46118</x:v>
      </x:c>
      <x:c r="O160" s="31" t="n"/>
      <x:c r="P160" s="31" t="n"/>
      <x:c r="Q160" s="31" t="inlineStr">
        <x:is>
          <x:t xml:space="preserve">Запланировано</x:t>
        </x:is>
      </x:c>
      <x:c r="R160" s="31" t="inlineStr">
        <x:is>
          <x:t xml:space="preserve">Нет</x:t>
        </x:is>
      </x:c>
      <x:c r="S160" s="31" t="inlineStr">
        <x:is>
          <x:t xml:space="preserve">Нет</x:t>
        </x:is>
      </x:c>
    </x:row>
    <x:row r="161" ht="18" customHeight="1">
      <x:c r="A161" s="31" t="inlineStr">
        <x:is>
          <x:t xml:space="preserve">ОП-000160</x:t>
        </x:is>
      </x:c>
      <x:c r="B161" s="31" t="inlineStr">
        <x:is>
          <x:t xml:space="preserve">ПЗ-00019</x:t>
        </x:is>
      </x:c>
      <x:c r="C161" s="31" t="inlineStr">
        <x:is>
          <x:t xml:space="preserve">ЗК-1010</x:t>
        </x:is>
      </x:c>
      <x:c r="D161" s="31" t="inlineStr">
        <x:is>
          <x:t xml:space="preserve">ПОЗ-0010-1</x:t>
        </x:is>
      </x:c>
      <x:c r="E161" s="31" t="inlineStr">
        <x:is>
          <x:t xml:space="preserve">ИЗД-019</x:t>
        </x:is>
      </x:c>
      <x:c r="F161" s="31" t="n">
        <x:v>40</x:v>
      </x:c>
      <x:c r="G161" s="31" t="inlineStr">
        <x:is>
          <x:t xml:space="preserve">Сварка рамы</x:t>
        </x:is>
      </x:c>
      <x:c r="H161" s="31" t="inlineStr">
        <x:is>
          <x:t xml:space="preserve">Сварка</x:t>
        </x:is>
      </x:c>
      <x:c r="I161" s="31" t="inlineStr">
        <x:is>
          <x:t xml:space="preserve">ОБ-003</x:t>
        </x:is>
      </x:c>
      <x:c r="J161" s="31" t="inlineStr">
        <x:is>
          <x:t xml:space="preserve">СОТР-071</x:t>
        </x:is>
      </x:c>
      <x:c r="K161" s="31" t="n">
        <x:v>6.4</x:v>
      </x:c>
      <x:c r="L161" s="31" t="n"/>
      <x:c r="M161" s="31" t="n">
        <x:v>46118</x:v>
      </x:c>
      <x:c r="N161" s="31" t="n">
        <x:v>46119</x:v>
      </x:c>
      <x:c r="O161" s="31" t="n"/>
      <x:c r="P161" s="31" t="n"/>
      <x:c r="Q161" s="31" t="inlineStr">
        <x:is>
          <x:t xml:space="preserve">Запланировано</x:t>
        </x:is>
      </x:c>
      <x:c r="R161" s="31" t="inlineStr">
        <x:is>
          <x:t xml:space="preserve">Нет</x:t>
        </x:is>
      </x:c>
      <x:c r="S161" s="31" t="inlineStr">
        <x:is>
          <x:t xml:space="preserve">Нет</x:t>
        </x:is>
      </x:c>
    </x:row>
    <x:row r="162" ht="18" customHeight="1">
      <x:c r="A162" s="31" t="inlineStr">
        <x:is>
          <x:t xml:space="preserve">ОП-000161</x:t>
        </x:is>
      </x:c>
      <x:c r="B162" s="31" t="inlineStr">
        <x:is>
          <x:t xml:space="preserve">ПЗ-00019</x:t>
        </x:is>
      </x:c>
      <x:c r="C162" s="31" t="inlineStr">
        <x:is>
          <x:t xml:space="preserve">ЗК-1010</x:t>
        </x:is>
      </x:c>
      <x:c r="D162" s="31" t="inlineStr">
        <x:is>
          <x:t xml:space="preserve">ПОЗ-0010-1</x:t>
        </x:is>
      </x:c>
      <x:c r="E162" s="31" t="inlineStr">
        <x:is>
          <x:t xml:space="preserve">ИЗД-019</x:t>
        </x:is>
      </x:c>
      <x:c r="F162" s="31" t="n">
        <x:v>50</x:v>
      </x:c>
      <x:c r="G162" s="31" t="inlineStr">
        <x:is>
          <x:t xml:space="preserve">Механообработка</x:t>
        </x:is>
      </x:c>
      <x:c r="H162" s="31" t="inlineStr">
        <x:is>
          <x:t xml:space="preserve">Механообработка</x:t>
        </x:is>
      </x:c>
      <x:c r="I162" s="31" t="inlineStr">
        <x:is>
          <x:t xml:space="preserve">ОБ-031</x:t>
        </x:is>
      </x:c>
      <x:c r="J162" s="31" t="inlineStr">
        <x:is>
          <x:t xml:space="preserve">СОТР-045</x:t>
        </x:is>
      </x:c>
      <x:c r="K162" s="31" t="n">
        <x:v>7.4</x:v>
      </x:c>
      <x:c r="L162" s="31" t="n"/>
      <x:c r="M162" s="31" t="n">
        <x:v>46119</x:v>
      </x:c>
      <x:c r="N162" s="31" t="n">
        <x:v>46120</x:v>
      </x:c>
      <x:c r="O162" s="31" t="n"/>
      <x:c r="P162" s="31" t="n"/>
      <x:c r="Q162" s="31" t="inlineStr">
        <x:is>
          <x:t xml:space="preserve">Запланировано</x:t>
        </x:is>
      </x:c>
      <x:c r="R162" s="31" t="inlineStr">
        <x:is>
          <x:t xml:space="preserve">Ожидание ОТК</x:t>
        </x:is>
      </x:c>
      <x:c r="S162" s="31" t="inlineStr">
        <x:is>
          <x:t xml:space="preserve">Нет</x:t>
        </x:is>
      </x:c>
    </x:row>
    <x:row r="163" ht="18" customHeight="1">
      <x:c r="A163" s="31" t="inlineStr">
        <x:is>
          <x:t xml:space="preserve">ОП-000162</x:t>
        </x:is>
      </x:c>
      <x:c r="B163" s="31" t="inlineStr">
        <x:is>
          <x:t xml:space="preserve">ПЗ-00019</x:t>
        </x:is>
      </x:c>
      <x:c r="C163" s="31" t="inlineStr">
        <x:is>
          <x:t xml:space="preserve">ЗК-1010</x:t>
        </x:is>
      </x:c>
      <x:c r="D163" s="31" t="inlineStr">
        <x:is>
          <x:t xml:space="preserve">ПОЗ-0010-1</x:t>
        </x:is>
      </x:c>
      <x:c r="E163" s="31" t="inlineStr">
        <x:is>
          <x:t xml:space="preserve">ИЗД-019</x:t>
        </x:is>
      </x:c>
      <x:c r="F163" s="31" t="n">
        <x:v>60</x:v>
      </x:c>
      <x:c r="G163" s="31" t="inlineStr">
        <x:is>
          <x:t xml:space="preserve">Сборка</x:t>
        </x:is>
      </x:c>
      <x:c r="H163" s="31" t="inlineStr">
        <x:is>
          <x:t xml:space="preserve">Сборка</x:t>
        </x:is>
      </x:c>
      <x:c r="I163" s="31" t="inlineStr">
        <x:is>
          <x:t xml:space="preserve">ОБ-017</x:t>
        </x:is>
      </x:c>
      <x:c r="J163" s="31" t="inlineStr">
        <x:is>
          <x:t xml:space="preserve">СОТР-091</x:t>
        </x:is>
      </x:c>
      <x:c r="K163" s="31" t="n">
        <x:v>4.2</x:v>
      </x:c>
      <x:c r="L163" s="31" t="n"/>
      <x:c r="M163" s="31" t="n">
        <x:v>46120</x:v>
      </x:c>
      <x:c r="N163" s="31" t="n">
        <x:v>46121</x:v>
      </x:c>
      <x:c r="O163" s="31" t="n"/>
      <x:c r="P163" s="31" t="n"/>
      <x:c r="Q163" s="31" t="inlineStr">
        <x:is>
          <x:t xml:space="preserve">Запланировано</x:t>
        </x:is>
      </x:c>
      <x:c r="R163" s="31" t="inlineStr">
        <x:is>
          <x:t xml:space="preserve">Нет</x:t>
        </x:is>
      </x:c>
      <x:c r="S163" s="31" t="inlineStr">
        <x:is>
          <x:t xml:space="preserve">Нет</x:t>
        </x:is>
      </x:c>
    </x:row>
    <x:row r="164" ht="18" customHeight="1">
      <x:c r="A164" s="31" t="inlineStr">
        <x:is>
          <x:t xml:space="preserve">ОП-000163</x:t>
        </x:is>
      </x:c>
      <x:c r="B164" s="31" t="inlineStr">
        <x:is>
          <x:t xml:space="preserve">ПЗ-00019</x:t>
        </x:is>
      </x:c>
      <x:c r="C164" s="31" t="inlineStr">
        <x:is>
          <x:t xml:space="preserve">ЗК-1010</x:t>
        </x:is>
      </x:c>
      <x:c r="D164" s="31" t="inlineStr">
        <x:is>
          <x:t xml:space="preserve">ПОЗ-0010-1</x:t>
        </x:is>
      </x:c>
      <x:c r="E164" s="31" t="inlineStr">
        <x:is>
          <x:t xml:space="preserve">ИЗД-019</x:t>
        </x:is>
      </x:c>
      <x:c r="F164" s="31" t="n">
        <x:v>70</x:v>
      </x:c>
      <x:c r="G164" s="31" t="inlineStr">
        <x:is>
          <x:t xml:space="preserve">Электромонтаж</x:t>
        </x:is>
      </x:c>
      <x:c r="H164" s="31" t="inlineStr">
        <x:is>
          <x:t xml:space="preserve">Сборка</x:t>
        </x:is>
      </x:c>
      <x:c r="I164" s="31" t="inlineStr">
        <x:is>
          <x:t xml:space="preserve">ОБ-027</x:t>
        </x:is>
      </x:c>
      <x:c r="J164" s="31" t="inlineStr">
        <x:is>
          <x:t xml:space="preserve">СОТР-086</x:t>
        </x:is>
      </x:c>
      <x:c r="K164" s="31" t="n">
        <x:v>8.800000000000001</x:v>
      </x:c>
      <x:c r="L164" s="31" t="n"/>
      <x:c r="M164" s="31" t="n">
        <x:v>46121</x:v>
      </x:c>
      <x:c r="N164" s="31" t="n">
        <x:v>46122</x:v>
      </x:c>
      <x:c r="O164" s="31" t="n"/>
      <x:c r="P164" s="31" t="n"/>
      <x:c r="Q164" s="31" t="inlineStr">
        <x:is>
          <x:t xml:space="preserve">Запланировано</x:t>
        </x:is>
      </x:c>
      <x:c r="R164" s="31" t="inlineStr">
        <x:is>
          <x:t xml:space="preserve">Нет</x:t>
        </x:is>
      </x:c>
      <x:c r="S164" s="31" t="inlineStr">
        <x:is>
          <x:t xml:space="preserve">Нет</x:t>
        </x:is>
      </x:c>
    </x:row>
    <x:row r="165" ht="18" customHeight="1">
      <x:c r="A165" s="31" t="inlineStr">
        <x:is>
          <x:t xml:space="preserve">ОП-000164</x:t>
        </x:is>
      </x:c>
      <x:c r="B165" s="31" t="inlineStr">
        <x:is>
          <x:t xml:space="preserve">ПЗ-00019</x:t>
        </x:is>
      </x:c>
      <x:c r="C165" s="31" t="inlineStr">
        <x:is>
          <x:t xml:space="preserve">ЗК-1010</x:t>
        </x:is>
      </x:c>
      <x:c r="D165" s="31" t="inlineStr">
        <x:is>
          <x:t xml:space="preserve">ПОЗ-0010-1</x:t>
        </x:is>
      </x:c>
      <x:c r="E165" s="31" t="inlineStr">
        <x:is>
          <x:t xml:space="preserve">ИЗД-019</x:t>
        </x:is>
      </x:c>
      <x:c r="F165" s="31" t="n">
        <x:v>80</x:v>
      </x:c>
      <x:c r="G165" s="31" t="inlineStr">
        <x:is>
          <x:t xml:space="preserve">Гидроиспытания</x:t>
        </x:is>
      </x:c>
      <x:c r="H165" s="31" t="inlineStr">
        <x:is>
          <x:t xml:space="preserve">ОТК</x:t>
        </x:is>
      </x:c>
      <x:c r="I165" s="31" t="inlineStr">
        <x:is>
          <x:t xml:space="preserve">ОБ-028</x:t>
        </x:is>
      </x:c>
      <x:c r="J165" s="31" t="inlineStr">
        <x:is>
          <x:t xml:space="preserve">СОТР-092</x:t>
        </x:is>
      </x:c>
      <x:c r="K165" s="31" t="n">
        <x:v>8.800000000000001</x:v>
      </x:c>
      <x:c r="L165" s="31" t="n"/>
      <x:c r="M165" s="31" t="n">
        <x:v>46122</x:v>
      </x:c>
      <x:c r="N165" s="31" t="n">
        <x:v>46123</x:v>
      </x:c>
      <x:c r="O165" s="31" t="n"/>
      <x:c r="P165" s="31" t="n"/>
      <x:c r="Q165" s="31" t="inlineStr">
        <x:is>
          <x:t xml:space="preserve">Запланировано</x:t>
        </x:is>
      </x:c>
      <x:c r="R165" s="31" t="inlineStr">
        <x:is>
          <x:t xml:space="preserve">Нет</x:t>
        </x:is>
      </x:c>
      <x:c r="S165" s="31" t="inlineStr">
        <x:is>
          <x:t xml:space="preserve">Нет</x:t>
        </x:is>
      </x:c>
    </x:row>
    <x:row r="166" ht="18" customHeight="1">
      <x:c r="A166" s="31" t="inlineStr">
        <x:is>
          <x:t xml:space="preserve">ОП-000165</x:t>
        </x:is>
      </x:c>
      <x:c r="B166" s="31" t="inlineStr">
        <x:is>
          <x:t xml:space="preserve">ПЗ-00019</x:t>
        </x:is>
      </x:c>
      <x:c r="C166" s="31" t="inlineStr">
        <x:is>
          <x:t xml:space="preserve">ЗК-1010</x:t>
        </x:is>
      </x:c>
      <x:c r="D166" s="31" t="inlineStr">
        <x:is>
          <x:t xml:space="preserve">ПОЗ-0010-1</x:t>
        </x:is>
      </x:c>
      <x:c r="E166" s="31" t="inlineStr">
        <x:is>
          <x:t xml:space="preserve">ИЗД-019</x:t>
        </x:is>
      </x:c>
      <x:c r="F166" s="31" t="n">
        <x:v>90</x:v>
      </x:c>
      <x:c r="G166" s="31" t="inlineStr">
        <x:is>
          <x:t xml:space="preserve">ОТК</x:t>
        </x:is>
      </x:c>
      <x:c r="H166" s="31" t="inlineStr">
        <x:is>
          <x:t xml:space="preserve">ОТК</x:t>
        </x:is>
      </x:c>
      <x:c r="I166" s="31" t="inlineStr">
        <x:is>
          <x:t xml:space="preserve">ОБ-024</x:t>
        </x:is>
      </x:c>
      <x:c r="J166" s="31" t="inlineStr">
        <x:is>
          <x:t xml:space="preserve">СОТР-099</x:t>
        </x:is>
      </x:c>
      <x:c r="K166" s="31" t="n">
        <x:v>6.6</x:v>
      </x:c>
      <x:c r="L166" s="31" t="n"/>
      <x:c r="M166" s="31" t="n">
        <x:v>46123</x:v>
      </x:c>
      <x:c r="N166" s="31" t="n">
        <x:v>46124</x:v>
      </x:c>
      <x:c r="O166" s="31" t="n">
        <x:v>46123</x:v>
      </x:c>
      <x:c r="P166" s="31" t="n"/>
      <x:c r="Q166" s="31" t="inlineStr">
        <x:is>
          <x:t xml:space="preserve">В работе</x:t>
        </x:is>
      </x:c>
      <x:c r="R166" s="31" t="inlineStr">
        <x:is>
          <x:t xml:space="preserve">Нет</x:t>
        </x:is>
      </x:c>
      <x:c r="S166" s="31" t="inlineStr">
        <x:is>
          <x:t xml:space="preserve">Нет</x:t>
        </x:is>
      </x:c>
    </x:row>
    <x:row r="167" ht="18" customHeight="1">
      <x:c r="A167" s="31" t="inlineStr">
        <x:is>
          <x:t xml:space="preserve">ОП-000166</x:t>
        </x:is>
      </x:c>
      <x:c r="B167" s="31" t="inlineStr">
        <x:is>
          <x:t xml:space="preserve">ПЗ-00019</x:t>
        </x:is>
      </x:c>
      <x:c r="C167" s="31" t="inlineStr">
        <x:is>
          <x:t xml:space="preserve">ЗК-1010</x:t>
        </x:is>
      </x:c>
      <x:c r="D167" s="31" t="inlineStr">
        <x:is>
          <x:t xml:space="preserve">ПОЗ-0010-1</x:t>
        </x:is>
      </x:c>
      <x:c r="E167" s="31" t="inlineStr">
        <x:is>
          <x:t xml:space="preserve">ИЗД-019</x:t>
        </x:is>
      </x:c>
      <x:c r="F167" s="31" t="n">
        <x:v>100</x:v>
      </x:c>
      <x:c r="G167" s="31" t="inlineStr">
        <x:is>
          <x:t xml:space="preserve">Упаковка</x:t>
        </x:is>
      </x:c>
      <x:c r="H167" s="31" t="inlineStr">
        <x:is>
          <x:t xml:space="preserve">Логистика</x:t>
        </x:is>
      </x:c>
      <x:c r="I167" s="31" t="n"/>
      <x:c r="J167" s="31" t="inlineStr">
        <x:is>
          <x:t xml:space="preserve">СОТР-070</x:t>
        </x:is>
      </x:c>
      <x:c r="K167" s="31" t="n">
        <x:v>9.4</x:v>
      </x:c>
      <x:c r="L167" s="31" t="n"/>
      <x:c r="M167" s="31" t="n">
        <x:v>46124</x:v>
      </x:c>
      <x:c r="N167" s="31" t="n">
        <x:v>46125</x:v>
      </x:c>
      <x:c r="O167" s="31" t="n"/>
      <x:c r="P167" s="31" t="n"/>
      <x:c r="Q167" s="31" t="inlineStr">
        <x:is>
          <x:t xml:space="preserve">Запланировано</x:t>
        </x:is>
      </x:c>
      <x:c r="R167" s="31" t="inlineStr">
        <x:is>
          <x:t xml:space="preserve">Нет</x:t>
        </x:is>
      </x:c>
      <x:c r="S167" s="31" t="inlineStr">
        <x:is>
          <x:t xml:space="preserve">Нет</x:t>
        </x:is>
      </x:c>
    </x:row>
    <x:row r="168" ht="18" customHeight="1">
      <x:c r="A168" s="31" t="inlineStr">
        <x:is>
          <x:t xml:space="preserve">ОП-000167</x:t>
        </x:is>
      </x:c>
      <x:c r="B168" s="31" t="inlineStr">
        <x:is>
          <x:t xml:space="preserve">ПЗ-00020</x:t>
        </x:is>
      </x:c>
      <x:c r="C168" s="31" t="inlineStr">
        <x:is>
          <x:t xml:space="preserve">ЗК-1011</x:t>
        </x:is>
      </x:c>
      <x:c r="D168" s="31" t="inlineStr">
        <x:is>
          <x:t xml:space="preserve">ПОЗ-0011-1</x:t>
        </x:is>
      </x:c>
      <x:c r="E168" s="31" t="inlineStr">
        <x:is>
          <x:t xml:space="preserve">ИЗД-014</x:t>
        </x:is>
      </x:c>
      <x:c r="F168" s="31" t="n">
        <x:v>10</x:v>
      </x:c>
      <x:c r="G168" s="31" t="inlineStr">
        <x:is>
          <x:t xml:space="preserve">КД</x:t>
        </x:is>
      </x:c>
      <x:c r="H168" s="31" t="inlineStr">
        <x:is>
          <x:t xml:space="preserve">Инженерный отдел</x:t>
        </x:is>
      </x:c>
      <x:c r="I168" s="31" t="n"/>
      <x:c r="J168" s="31" t="inlineStr">
        <x:is>
          <x:t xml:space="preserve">СОТР-011</x:t>
        </x:is>
      </x:c>
      <x:c r="K168" s="31" t="n">
        <x:v>55.5</x:v>
      </x:c>
      <x:c r="L168" s="31" t="n"/>
      <x:c r="M168" s="31" t="n">
        <x:v>46081</x:v>
      </x:c>
      <x:c r="N168" s="31" t="n">
        <x:v>46086</x:v>
      </x:c>
      <x:c r="O168" s="31" t="n"/>
      <x:c r="P168" s="31" t="n"/>
      <x:c r="Q168" s="31" t="inlineStr">
        <x:is>
          <x:t xml:space="preserve">Запланировано</x:t>
        </x:is>
      </x:c>
      <x:c r="R168" s="31" t="inlineStr">
        <x:is>
          <x:t xml:space="preserve">Ожидание ОТК</x:t>
        </x:is>
      </x:c>
      <x:c r="S168" s="31" t="inlineStr">
        <x:is>
          <x:t xml:space="preserve">Да</x:t>
        </x:is>
      </x:c>
    </x:row>
    <x:row r="169" ht="18" customHeight="1">
      <x:c r="A169" s="31" t="inlineStr">
        <x:is>
          <x:t xml:space="preserve">ОП-000168</x:t>
        </x:is>
      </x:c>
      <x:c r="B169" s="31" t="inlineStr">
        <x:is>
          <x:t xml:space="preserve">ПЗ-00020</x:t>
        </x:is>
      </x:c>
      <x:c r="C169" s="31" t="inlineStr">
        <x:is>
          <x:t xml:space="preserve">ЗК-1011</x:t>
        </x:is>
      </x:c>
      <x:c r="D169" s="31" t="inlineStr">
        <x:is>
          <x:t xml:space="preserve">ПОЗ-0011-1</x:t>
        </x:is>
      </x:c>
      <x:c r="E169" s="31" t="inlineStr">
        <x:is>
          <x:t xml:space="preserve">ИЗД-014</x:t>
        </x:is>
      </x:c>
      <x:c r="F169" s="31" t="n">
        <x:v>20</x:v>
      </x:c>
      <x:c r="G169" s="31" t="inlineStr">
        <x:is>
          <x:t xml:space="preserve">Резка металла</x:t>
        </x:is>
      </x:c>
      <x:c r="H169" s="31" t="inlineStr">
        <x:is>
          <x:t xml:space="preserve">Сварка</x:t>
        </x:is>
      </x:c>
      <x:c r="I169" s="31" t="inlineStr">
        <x:is>
          <x:t xml:space="preserve">ОБ-003</x:t>
        </x:is>
      </x:c>
      <x:c r="J169" s="31" t="inlineStr">
        <x:is>
          <x:t xml:space="preserve">СОТР-066</x:t>
        </x:is>
      </x:c>
      <x:c r="K169" s="31" t="n">
        <x:v>42</x:v>
      </x:c>
      <x:c r="L169" s="31" t="n"/>
      <x:c r="M169" s="31" t="n">
        <x:v>46086</x:v>
      </x:c>
      <x:c r="N169" s="31" t="n">
        <x:v>46090</x:v>
      </x:c>
      <x:c r="O169" s="31" t="n"/>
      <x:c r="P169" s="31" t="n"/>
      <x:c r="Q169" s="31" t="inlineStr">
        <x:is>
          <x:t xml:space="preserve">Запланировано</x:t>
        </x:is>
      </x:c>
      <x:c r="R169" s="31" t="inlineStr">
        <x:is>
          <x:t xml:space="preserve">Нет</x:t>
        </x:is>
      </x:c>
      <x:c r="S169" s="31" t="inlineStr">
        <x:is>
          <x:t xml:space="preserve">Нет</x:t>
        </x:is>
      </x:c>
    </x:row>
    <x:row r="170" ht="18" customHeight="1">
      <x:c r="A170" s="31" t="inlineStr">
        <x:is>
          <x:t xml:space="preserve">ОП-000169</x:t>
        </x:is>
      </x:c>
      <x:c r="B170" s="31" t="inlineStr">
        <x:is>
          <x:t xml:space="preserve">ПЗ-00020</x:t>
        </x:is>
      </x:c>
      <x:c r="C170" s="31" t="inlineStr">
        <x:is>
          <x:t xml:space="preserve">ЗК-1011</x:t>
        </x:is>
      </x:c>
      <x:c r="D170" s="31" t="inlineStr">
        <x:is>
          <x:t xml:space="preserve">ПОЗ-0011-1</x:t>
        </x:is>
      </x:c>
      <x:c r="E170" s="31" t="inlineStr">
        <x:is>
          <x:t xml:space="preserve">ИЗД-014</x:t>
        </x:is>
      </x:c>
      <x:c r="F170" s="31" t="n">
        <x:v>30</x:v>
      </x:c>
      <x:c r="G170" s="31" t="inlineStr">
        <x:is>
          <x:t xml:space="preserve">Сварка рамы</x:t>
        </x:is>
      </x:c>
      <x:c r="H170" s="31" t="inlineStr">
        <x:is>
          <x:t xml:space="preserve">Сварка</x:t>
        </x:is>
      </x:c>
      <x:c r="I170" s="31" t="inlineStr">
        <x:is>
          <x:t xml:space="preserve">ОБ-019</x:t>
        </x:is>
      </x:c>
      <x:c r="J170" s="31" t="inlineStr">
        <x:is>
          <x:t xml:space="preserve">СОТР-061</x:t>
        </x:is>
      </x:c>
      <x:c r="K170" s="31" t="n">
        <x:v>86</x:v>
      </x:c>
      <x:c r="L170" s="31" t="n"/>
      <x:c r="M170" s="31" t="n">
        <x:v>46090</x:v>
      </x:c>
      <x:c r="N170" s="31" t="n">
        <x:v>46098</x:v>
      </x:c>
      <x:c r="O170" s="31" t="n"/>
      <x:c r="P170" s="31" t="n"/>
      <x:c r="Q170" s="31" t="inlineStr">
        <x:is>
          <x:t xml:space="preserve">Запланировано</x:t>
        </x:is>
      </x:c>
      <x:c r="R170" s="31" t="inlineStr">
        <x:is>
          <x:t xml:space="preserve">КД</x:t>
        </x:is>
      </x:c>
      <x:c r="S170" s="31" t="inlineStr">
        <x:is>
          <x:t xml:space="preserve">Нет</x:t>
        </x:is>
      </x:c>
    </x:row>
    <x:row r="171" ht="18" customHeight="1">
      <x:c r="A171" s="31" t="inlineStr">
        <x:is>
          <x:t xml:space="preserve">ОП-000170</x:t>
        </x:is>
      </x:c>
      <x:c r="B171" s="31" t="inlineStr">
        <x:is>
          <x:t xml:space="preserve">ПЗ-00020</x:t>
        </x:is>
      </x:c>
      <x:c r="C171" s="31" t="inlineStr">
        <x:is>
          <x:t xml:space="preserve">ЗК-1011</x:t>
        </x:is>
      </x:c>
      <x:c r="D171" s="31" t="inlineStr">
        <x:is>
          <x:t xml:space="preserve">ПОЗ-0011-1</x:t>
        </x:is>
      </x:c>
      <x:c r="E171" s="31" t="inlineStr">
        <x:is>
          <x:t xml:space="preserve">ИЗД-014</x:t>
        </x:is>
      </x:c>
      <x:c r="F171" s="31" t="n">
        <x:v>40</x:v>
      </x:c>
      <x:c r="G171" s="31" t="inlineStr">
        <x:is>
          <x:t xml:space="preserve">Пескоструй</x:t>
        </x:is>
      </x:c>
      <x:c r="H171" s="31" t="inlineStr">
        <x:is>
          <x:t xml:space="preserve">Сварка</x:t>
        </x:is>
      </x:c>
      <x:c r="I171" s="31" t="inlineStr">
        <x:is>
          <x:t xml:space="preserve">ОБ-003</x:t>
        </x:is>
      </x:c>
      <x:c r="J171" s="31" t="inlineStr">
        <x:is>
          <x:t xml:space="preserve">СОТР-065</x:t>
        </x:is>
      </x:c>
      <x:c r="K171" s="31" t="n">
        <x:v>62</x:v>
      </x:c>
      <x:c r="L171" s="31" t="n"/>
      <x:c r="M171" s="31" t="n">
        <x:v>46098</x:v>
      </x:c>
      <x:c r="N171" s="31" t="n">
        <x:v>46104</x:v>
      </x:c>
      <x:c r="O171" s="31" t="n"/>
      <x:c r="P171" s="31" t="n"/>
      <x:c r="Q171" s="31" t="inlineStr">
        <x:is>
          <x:t xml:space="preserve">Запланировано</x:t>
        </x:is>
      </x:c>
      <x:c r="R171" s="31" t="inlineStr">
        <x:is>
          <x:t xml:space="preserve">Материал</x:t>
        </x:is>
      </x:c>
      <x:c r="S171" s="31" t="inlineStr">
        <x:is>
          <x:t xml:space="preserve">Нет</x:t>
        </x:is>
      </x:c>
    </x:row>
    <x:row r="172" ht="18" customHeight="1">
      <x:c r="A172" s="31" t="inlineStr">
        <x:is>
          <x:t xml:space="preserve">ОП-000171</x:t>
        </x:is>
      </x:c>
      <x:c r="B172" s="31" t="inlineStr">
        <x:is>
          <x:t xml:space="preserve">ПЗ-00020</x:t>
        </x:is>
      </x:c>
      <x:c r="C172" s="31" t="inlineStr">
        <x:is>
          <x:t xml:space="preserve">ЗК-1011</x:t>
        </x:is>
      </x:c>
      <x:c r="D172" s="31" t="inlineStr">
        <x:is>
          <x:t xml:space="preserve">ПОЗ-0011-1</x:t>
        </x:is>
      </x:c>
      <x:c r="E172" s="31" t="inlineStr">
        <x:is>
          <x:t xml:space="preserve">ИЗД-014</x:t>
        </x:is>
      </x:c>
      <x:c r="F172" s="31" t="n">
        <x:v>50</x:v>
      </x:c>
      <x:c r="G172" s="31" t="inlineStr">
        <x:is>
          <x:t xml:space="preserve">Покраска</x:t>
        </x:is>
      </x:c>
      <x:c r="H172" s="31" t="inlineStr">
        <x:is>
          <x:t xml:space="preserve">Сварка</x:t>
        </x:is>
      </x:c>
      <x:c r="I172" s="31" t="inlineStr">
        <x:is>
          <x:t xml:space="preserve">ОБ-035</x:t>
        </x:is>
      </x:c>
      <x:c r="J172" s="31" t="inlineStr">
        <x:is>
          <x:t xml:space="preserve">СОТР-068</x:t>
        </x:is>
      </x:c>
      <x:c r="K172" s="31" t="n">
        <x:v>49</x:v>
      </x:c>
      <x:c r="L172" s="31" t="n"/>
      <x:c r="M172" s="31" t="n">
        <x:v>46104</x:v>
      </x:c>
      <x:c r="N172" s="31" t="n">
        <x:v>46109</x:v>
      </x:c>
      <x:c r="O172" s="31" t="n"/>
      <x:c r="P172" s="31" t="n"/>
      <x:c r="Q172" s="31" t="inlineStr">
        <x:is>
          <x:t xml:space="preserve">Запланировано</x:t>
        </x:is>
      </x:c>
      <x:c r="R172" s="31" t="inlineStr">
        <x:is>
          <x:t xml:space="preserve">Материал</x:t>
        </x:is>
      </x:c>
      <x:c r="S172" s="31" t="inlineStr">
        <x:is>
          <x:t xml:space="preserve">Да</x:t>
        </x:is>
      </x:c>
    </x:row>
    <x:row r="173" ht="18" customHeight="1">
      <x:c r="A173" s="31" t="inlineStr">
        <x:is>
          <x:t xml:space="preserve">ОП-000172</x:t>
        </x:is>
      </x:c>
      <x:c r="B173" s="31" t="inlineStr">
        <x:is>
          <x:t xml:space="preserve">ПЗ-00020</x:t>
        </x:is>
      </x:c>
      <x:c r="C173" s="31" t="inlineStr">
        <x:is>
          <x:t xml:space="preserve">ЗК-1011</x:t>
        </x:is>
      </x:c>
      <x:c r="D173" s="31" t="inlineStr">
        <x:is>
          <x:t xml:space="preserve">ПОЗ-0011-1</x:t>
        </x:is>
      </x:c>
      <x:c r="E173" s="31" t="inlineStr">
        <x:is>
          <x:t xml:space="preserve">ИЗД-014</x:t>
        </x:is>
      </x:c>
      <x:c r="F173" s="31" t="n">
        <x:v>60</x:v>
      </x:c>
      <x:c r="G173" s="31" t="inlineStr">
        <x:is>
          <x:t xml:space="preserve">ОТК</x:t>
        </x:is>
      </x:c>
      <x:c r="H173" s="31" t="inlineStr">
        <x:is>
          <x:t xml:space="preserve">ОТК</x:t>
        </x:is>
      </x:c>
      <x:c r="I173" s="31" t="inlineStr">
        <x:is>
          <x:t xml:space="preserve">ОБ-033</x:t>
        </x:is>
      </x:c>
      <x:c r="J173" s="31" t="inlineStr">
        <x:is>
          <x:t xml:space="preserve">СОТР-063</x:t>
        </x:is>
      </x:c>
      <x:c r="K173" s="31" t="n">
        <x:v>24</x:v>
      </x:c>
      <x:c r="L173" s="31" t="n"/>
      <x:c r="M173" s="31" t="n">
        <x:v>46109</x:v>
      </x:c>
      <x:c r="N173" s="31" t="n">
        <x:v>46111</x:v>
      </x:c>
      <x:c r="O173" s="31" t="n"/>
      <x:c r="P173" s="31" t="n"/>
      <x:c r="Q173" s="31" t="inlineStr">
        <x:is>
          <x:t xml:space="preserve">Запланировано</x:t>
        </x:is>
      </x:c>
      <x:c r="R173" s="31" t="inlineStr">
        <x:is>
          <x:t xml:space="preserve">Оборудование</x:t>
        </x:is>
      </x:c>
      <x:c r="S173" s="31" t="inlineStr">
        <x:is>
          <x:t xml:space="preserve">Нет</x:t>
        </x:is>
      </x:c>
    </x:row>
    <x:row r="174" ht="18" customHeight="1">
      <x:c r="A174" s="31" t="inlineStr">
        <x:is>
          <x:t xml:space="preserve">ОП-000173</x:t>
        </x:is>
      </x:c>
      <x:c r="B174" s="31" t="inlineStr">
        <x:is>
          <x:t xml:space="preserve">ПЗ-00021</x:t>
        </x:is>
      </x:c>
      <x:c r="C174" s="31" t="inlineStr">
        <x:is>
          <x:t xml:space="preserve">ЗК-1011</x:t>
        </x:is>
      </x:c>
      <x:c r="D174" s="31" t="inlineStr">
        <x:is>
          <x:t xml:space="preserve">ПОЗ-0011-2</x:t>
        </x:is>
      </x:c>
      <x:c r="E174" s="31" t="inlineStr">
        <x:is>
          <x:t xml:space="preserve">ИЗД-040</x:t>
        </x:is>
      </x:c>
      <x:c r="F174" s="31" t="n">
        <x:v>10</x:v>
      </x:c>
      <x:c r="G174" s="31" t="inlineStr">
        <x:is>
          <x:t xml:space="preserve">КД</x:t>
        </x:is>
      </x:c>
      <x:c r="H174" s="31" t="inlineStr">
        <x:is>
          <x:t xml:space="preserve">Инженерный отдел</x:t>
        </x:is>
      </x:c>
      <x:c r="I174" s="31" t="n"/>
      <x:c r="J174" s="31" t="inlineStr">
        <x:is>
          <x:t xml:space="preserve">СОТР-019</x:t>
        </x:is>
      </x:c>
      <x:c r="K174" s="31" t="n">
        <x:v>15.5</x:v>
      </x:c>
      <x:c r="L174" s="31" t="n">
        <x:v>19.4</x:v>
      </x:c>
      <x:c r="M174" s="31" t="n">
        <x:v>46075</x:v>
      </x:c>
      <x:c r="N174" s="31" t="n">
        <x:v>46077</x:v>
      </x:c>
      <x:c r="O174" s="31" t="n">
        <x:v>46075</x:v>
      </x:c>
      <x:c r="P174" s="31" t="n">
        <x:v>46078</x:v>
      </x:c>
      <x:c r="Q174" s="31" t="inlineStr">
        <x:is>
          <x:t xml:space="preserve">Завершено</x:t>
        </x:is>
      </x:c>
      <x:c r="R174" s="31" t="inlineStr">
        <x:is>
          <x:t xml:space="preserve">Нет</x:t>
        </x:is>
      </x:c>
      <x:c r="S174" s="31" t="inlineStr">
        <x:is>
          <x:t xml:space="preserve">Да</x:t>
        </x:is>
      </x:c>
    </x:row>
    <x:row r="175" ht="18" customHeight="1">
      <x:c r="A175" s="31" t="inlineStr">
        <x:is>
          <x:t xml:space="preserve">ОП-000174</x:t>
        </x:is>
      </x:c>
      <x:c r="B175" s="31" t="inlineStr">
        <x:is>
          <x:t xml:space="preserve">ПЗ-00021</x:t>
        </x:is>
      </x:c>
      <x:c r="C175" s="31" t="inlineStr">
        <x:is>
          <x:t xml:space="preserve">ЗК-1011</x:t>
        </x:is>
      </x:c>
      <x:c r="D175" s="31" t="inlineStr">
        <x:is>
          <x:t xml:space="preserve">ПОЗ-0011-2</x:t>
        </x:is>
      </x:c>
      <x:c r="E175" s="31" t="inlineStr">
        <x:is>
          <x:t xml:space="preserve">ИЗД-040</x:t>
        </x:is>
      </x:c>
      <x:c r="F175" s="31" t="n">
        <x:v>20</x:v>
      </x:c>
      <x:c r="G175" s="31" t="inlineStr">
        <x:is>
          <x:t xml:space="preserve">Резерв материалов</x:t>
        </x:is>
      </x:c>
      <x:c r="H175" s="31" t="inlineStr">
        <x:is>
          <x:t xml:space="preserve">Склад</x:t>
        </x:is>
      </x:c>
      <x:c r="I175" s="31" t="inlineStr">
        <x:is>
          <x:t xml:space="preserve">ОБ-008</x:t>
        </x:is>
      </x:c>
      <x:c r="J175" s="31" t="inlineStr">
        <x:is>
          <x:t xml:space="preserve">СОТР-024</x:t>
        </x:is>
      </x:c>
      <x:c r="K175" s="31" t="n">
        <x:v>23.5</x:v>
      </x:c>
      <x:c r="L175" s="31" t="n">
        <x:v>23.9</x:v>
      </x:c>
      <x:c r="M175" s="31" t="n">
        <x:v>46077</x:v>
      </x:c>
      <x:c r="N175" s="31" t="n">
        <x:v>46079</x:v>
      </x:c>
      <x:c r="O175" s="31" t="n">
        <x:v>46077</x:v>
      </x:c>
      <x:c r="P175" s="31" t="n">
        <x:v>46079</x:v>
      </x:c>
      <x:c r="Q175" s="31" t="inlineStr">
        <x:is>
          <x:t xml:space="preserve">Завершено</x:t>
        </x:is>
      </x:c>
      <x:c r="R175" s="31" t="inlineStr">
        <x:is>
          <x:t xml:space="preserve">Нет</x:t>
        </x:is>
      </x:c>
      <x:c r="S175" s="31" t="inlineStr">
        <x:is>
          <x:t xml:space="preserve">Нет</x:t>
        </x:is>
      </x:c>
    </x:row>
    <x:row r="176" ht="18" customHeight="1">
      <x:c r="A176" s="31" t="inlineStr">
        <x:is>
          <x:t xml:space="preserve">ОП-000175</x:t>
        </x:is>
      </x:c>
      <x:c r="B176" s="31" t="inlineStr">
        <x:is>
          <x:t xml:space="preserve">ПЗ-00021</x:t>
        </x:is>
      </x:c>
      <x:c r="C176" s="31" t="inlineStr">
        <x:is>
          <x:t xml:space="preserve">ЗК-1011</x:t>
        </x:is>
      </x:c>
      <x:c r="D176" s="31" t="inlineStr">
        <x:is>
          <x:t xml:space="preserve">ПОЗ-0011-2</x:t>
        </x:is>
      </x:c>
      <x:c r="E176" s="31" t="inlineStr">
        <x:is>
          <x:t xml:space="preserve">ИЗД-040</x:t>
        </x:is>
      </x:c>
      <x:c r="F176" s="31" t="n">
        <x:v>30</x:v>
      </x:c>
      <x:c r="G176" s="31" t="inlineStr">
        <x:is>
          <x:t xml:space="preserve">Сварка рамы</x:t>
        </x:is>
      </x:c>
      <x:c r="H176" s="31" t="inlineStr">
        <x:is>
          <x:t xml:space="preserve">Сварка</x:t>
        </x:is>
      </x:c>
      <x:c r="I176" s="31" t="inlineStr">
        <x:is>
          <x:t xml:space="preserve">ОБ-035</x:t>
        </x:is>
      </x:c>
      <x:c r="J176" s="31" t="inlineStr">
        <x:is>
          <x:t xml:space="preserve">СОТР-057</x:t>
        </x:is>
      </x:c>
      <x:c r="K176" s="31" t="n">
        <x:v>12.5</x:v>
      </x:c>
      <x:c r="L176" s="31" t="n"/>
      <x:c r="M176" s="31" t="n">
        <x:v>46079</x:v>
      </x:c>
      <x:c r="N176" s="31" t="n">
        <x:v>46081</x:v>
      </x:c>
      <x:c r="O176" s="31" t="n"/>
      <x:c r="P176" s="31" t="n"/>
      <x:c r="Q176" s="31" t="inlineStr">
        <x:is>
          <x:t xml:space="preserve">Запланировано</x:t>
        </x:is>
      </x:c>
      <x:c r="R176" s="31" t="inlineStr">
        <x:is>
          <x:t xml:space="preserve">Нет</x:t>
        </x:is>
      </x:c>
      <x:c r="S176" s="31" t="inlineStr">
        <x:is>
          <x:t xml:space="preserve">Нет</x:t>
        </x:is>
      </x:c>
    </x:row>
    <x:row r="177" ht="18" customHeight="1">
      <x:c r="A177" s="31" t="inlineStr">
        <x:is>
          <x:t xml:space="preserve">ОП-000176</x:t>
        </x:is>
      </x:c>
      <x:c r="B177" s="31" t="inlineStr">
        <x:is>
          <x:t xml:space="preserve">ПЗ-00021</x:t>
        </x:is>
      </x:c>
      <x:c r="C177" s="31" t="inlineStr">
        <x:is>
          <x:t xml:space="preserve">ЗК-1011</x:t>
        </x:is>
      </x:c>
      <x:c r="D177" s="31" t="inlineStr">
        <x:is>
          <x:t xml:space="preserve">ПОЗ-0011-2</x:t>
        </x:is>
      </x:c>
      <x:c r="E177" s="31" t="inlineStr">
        <x:is>
          <x:t xml:space="preserve">ИЗД-040</x:t>
        </x:is>
      </x:c>
      <x:c r="F177" s="31" t="n">
        <x:v>40</x:v>
      </x:c>
      <x:c r="G177" s="31" t="inlineStr">
        <x:is>
          <x:t xml:space="preserve">Сборка</x:t>
        </x:is>
      </x:c>
      <x:c r="H177" s="31" t="inlineStr">
        <x:is>
          <x:t xml:space="preserve">Сборка</x:t>
        </x:is>
      </x:c>
      <x:c r="I177" s="31" t="inlineStr">
        <x:is>
          <x:t xml:space="preserve">ОБ-016</x:t>
        </x:is>
      </x:c>
      <x:c r="J177" s="31" t="inlineStr">
        <x:is>
          <x:t xml:space="preserve">СОТР-091</x:t>
        </x:is>
      </x:c>
      <x:c r="K177" s="31" t="n">
        <x:v>24</x:v>
      </x:c>
      <x:c r="L177" s="31" t="n"/>
      <x:c r="M177" s="31" t="n">
        <x:v>46081</x:v>
      </x:c>
      <x:c r="N177" s="31" t="n">
        <x:v>46083</x:v>
      </x:c>
      <x:c r="O177" s="31" t="n"/>
      <x:c r="P177" s="31" t="n"/>
      <x:c r="Q177" s="31" t="inlineStr">
        <x:is>
          <x:t xml:space="preserve">Запланировано</x:t>
        </x:is>
      </x:c>
      <x:c r="R177" s="31" t="inlineStr">
        <x:is>
          <x:t xml:space="preserve">Нет</x:t>
        </x:is>
      </x:c>
      <x:c r="S177" s="31" t="inlineStr">
        <x:is>
          <x:t xml:space="preserve">Нет</x:t>
        </x:is>
      </x:c>
    </x:row>
    <x:row r="178" ht="18" customHeight="1">
      <x:c r="A178" s="31" t="inlineStr">
        <x:is>
          <x:t xml:space="preserve">ОП-000177</x:t>
        </x:is>
      </x:c>
      <x:c r="B178" s="31" t="inlineStr">
        <x:is>
          <x:t xml:space="preserve">ПЗ-00021</x:t>
        </x:is>
      </x:c>
      <x:c r="C178" s="31" t="inlineStr">
        <x:is>
          <x:t xml:space="preserve">ЗК-1011</x:t>
        </x:is>
      </x:c>
      <x:c r="D178" s="31" t="inlineStr">
        <x:is>
          <x:t xml:space="preserve">ПОЗ-0011-2</x:t>
        </x:is>
      </x:c>
      <x:c r="E178" s="31" t="inlineStr">
        <x:is>
          <x:t xml:space="preserve">ИЗД-040</x:t>
        </x:is>
      </x:c>
      <x:c r="F178" s="31" t="n">
        <x:v>50</x:v>
      </x:c>
      <x:c r="G178" s="31" t="inlineStr">
        <x:is>
          <x:t xml:space="preserve">Обвязка труб</x:t>
        </x:is>
      </x:c>
      <x:c r="H178" s="31" t="inlineStr">
        <x:is>
          <x:t xml:space="preserve">Сборка</x:t>
        </x:is>
      </x:c>
      <x:c r="I178" s="31" t="inlineStr">
        <x:is>
          <x:t xml:space="preserve">ОБ-012</x:t>
        </x:is>
      </x:c>
      <x:c r="J178" s="31" t="inlineStr">
        <x:is>
          <x:t xml:space="preserve">СОТР-083</x:t>
        </x:is>
      </x:c>
      <x:c r="K178" s="31" t="n">
        <x:v>40</x:v>
      </x:c>
      <x:c r="L178" s="31" t="n"/>
      <x:c r="M178" s="31" t="n">
        <x:v>46083</x:v>
      </x:c>
      <x:c r="N178" s="31" t="n">
        <x:v>46087</x:v>
      </x:c>
      <x:c r="O178" s="31" t="n"/>
      <x:c r="P178" s="31" t="n"/>
      <x:c r="Q178" s="31" t="inlineStr">
        <x:is>
          <x:t xml:space="preserve">Запланировано</x:t>
        </x:is>
      </x:c>
      <x:c r="R178" s="31" t="inlineStr">
        <x:is>
          <x:t xml:space="preserve">Нет</x:t>
        </x:is>
      </x:c>
      <x:c r="S178" s="31" t="inlineStr">
        <x:is>
          <x:t xml:space="preserve">Нет</x:t>
        </x:is>
      </x:c>
    </x:row>
    <x:row r="179" ht="18" customHeight="1">
      <x:c r="A179" s="31" t="inlineStr">
        <x:is>
          <x:t xml:space="preserve">ОП-000178</x:t>
        </x:is>
      </x:c>
      <x:c r="B179" s="31" t="inlineStr">
        <x:is>
          <x:t xml:space="preserve">ПЗ-00021</x:t>
        </x:is>
      </x:c>
      <x:c r="C179" s="31" t="inlineStr">
        <x:is>
          <x:t xml:space="preserve">ЗК-1011</x:t>
        </x:is>
      </x:c>
      <x:c r="D179" s="31" t="inlineStr">
        <x:is>
          <x:t xml:space="preserve">ПОЗ-0011-2</x:t>
        </x:is>
      </x:c>
      <x:c r="E179" s="31" t="inlineStr">
        <x:is>
          <x:t xml:space="preserve">ИЗД-040</x:t>
        </x:is>
      </x:c>
      <x:c r="F179" s="31" t="n">
        <x:v>60</x:v>
      </x:c>
      <x:c r="G179" s="31" t="inlineStr">
        <x:is>
          <x:t xml:space="preserve">Электромонтаж</x:t>
        </x:is>
      </x:c>
      <x:c r="H179" s="31" t="inlineStr">
        <x:is>
          <x:t xml:space="preserve">Сборка</x:t>
        </x:is>
      </x:c>
      <x:c r="I179" s="31" t="inlineStr">
        <x:is>
          <x:t xml:space="preserve">ОБ-020</x:t>
        </x:is>
      </x:c>
      <x:c r="J179" s="31" t="inlineStr">
        <x:is>
          <x:t xml:space="preserve">СОТР-084</x:t>
        </x:is>
      </x:c>
      <x:c r="K179" s="31" t="n">
        <x:v>17.5</x:v>
      </x:c>
      <x:c r="L179" s="31" t="n">
        <x:v>19.6</x:v>
      </x:c>
      <x:c r="M179" s="31" t="n">
        <x:v>46087</x:v>
      </x:c>
      <x:c r="N179" s="31" t="n">
        <x:v>46089</x:v>
      </x:c>
      <x:c r="O179" s="31" t="n">
        <x:v>46087</x:v>
      </x:c>
      <x:c r="P179" s="31" t="n">
        <x:v>46088</x:v>
      </x:c>
      <x:c r="Q179" s="31" t="inlineStr">
        <x:is>
          <x:t xml:space="preserve">Завершено</x:t>
        </x:is>
      </x:c>
      <x:c r="R179" s="31" t="inlineStr">
        <x:is>
          <x:t xml:space="preserve">Нет</x:t>
        </x:is>
      </x:c>
      <x:c r="S179" s="31" t="inlineStr">
        <x:is>
          <x:t xml:space="preserve">Нет</x:t>
        </x:is>
      </x:c>
    </x:row>
    <x:row r="180" ht="18" customHeight="1">
      <x:c r="A180" s="31" t="inlineStr">
        <x:is>
          <x:t xml:space="preserve">ОП-000179</x:t>
        </x:is>
      </x:c>
      <x:c r="B180" s="31" t="inlineStr">
        <x:is>
          <x:t xml:space="preserve">ПЗ-00021</x:t>
        </x:is>
      </x:c>
      <x:c r="C180" s="31" t="inlineStr">
        <x:is>
          <x:t xml:space="preserve">ЗК-1011</x:t>
        </x:is>
      </x:c>
      <x:c r="D180" s="31" t="inlineStr">
        <x:is>
          <x:t xml:space="preserve">ПОЗ-0011-2</x:t>
        </x:is>
      </x:c>
      <x:c r="E180" s="31" t="inlineStr">
        <x:is>
          <x:t xml:space="preserve">ИЗД-040</x:t>
        </x:is>
      </x:c>
      <x:c r="F180" s="31" t="n">
        <x:v>70</x:v>
      </x:c>
      <x:c r="G180" s="31" t="inlineStr">
        <x:is>
          <x:t xml:space="preserve">Гидроиспытания</x:t>
        </x:is>
      </x:c>
      <x:c r="H180" s="31" t="inlineStr">
        <x:is>
          <x:t xml:space="preserve">ОТК</x:t>
        </x:is>
      </x:c>
      <x:c r="I180" s="31" t="inlineStr">
        <x:is>
          <x:t xml:space="preserve">ОБ-033</x:t>
        </x:is>
      </x:c>
      <x:c r="J180" s="31" t="inlineStr">
        <x:is>
          <x:t xml:space="preserve">СОТР-093</x:t>
        </x:is>
      </x:c>
      <x:c r="K180" s="31" t="n">
        <x:v>60</x:v>
      </x:c>
      <x:c r="L180" s="31" t="n"/>
      <x:c r="M180" s="31" t="n">
        <x:v>46089</x:v>
      </x:c>
      <x:c r="N180" s="31" t="n">
        <x:v>46094</x:v>
      </x:c>
      <x:c r="O180" s="31" t="n"/>
      <x:c r="P180" s="31" t="n"/>
      <x:c r="Q180" s="31" t="inlineStr">
        <x:is>
          <x:t xml:space="preserve">Запланировано</x:t>
        </x:is>
      </x:c>
      <x:c r="R180" s="31" t="inlineStr">
        <x:is>
          <x:t xml:space="preserve">Ожидание ОТК</x:t>
        </x:is>
      </x:c>
      <x:c r="S180" s="31" t="inlineStr">
        <x:is>
          <x:t xml:space="preserve">Нет</x:t>
        </x:is>
      </x:c>
    </x:row>
    <x:row r="181" ht="18" customHeight="1">
      <x:c r="A181" s="31" t="inlineStr">
        <x:is>
          <x:t xml:space="preserve">ОП-000180</x:t>
        </x:is>
      </x:c>
      <x:c r="B181" s="31" t="inlineStr">
        <x:is>
          <x:t xml:space="preserve">ПЗ-00021</x:t>
        </x:is>
      </x:c>
      <x:c r="C181" s="31" t="inlineStr">
        <x:is>
          <x:t xml:space="preserve">ЗК-1011</x:t>
        </x:is>
      </x:c>
      <x:c r="D181" s="31" t="inlineStr">
        <x:is>
          <x:t xml:space="preserve">ПОЗ-0011-2</x:t>
        </x:is>
      </x:c>
      <x:c r="E181" s="31" t="inlineStr">
        <x:is>
          <x:t xml:space="preserve">ИЗД-040</x:t>
        </x:is>
      </x:c>
      <x:c r="F181" s="31" t="n">
        <x:v>80</x:v>
      </x:c>
      <x:c r="G181" s="31" t="inlineStr">
        <x:is>
          <x:t xml:space="preserve">ОТК</x:t>
        </x:is>
      </x:c>
      <x:c r="H181" s="31" t="inlineStr">
        <x:is>
          <x:t xml:space="preserve">ОТК</x:t>
        </x:is>
      </x:c>
      <x:c r="I181" s="31" t="inlineStr">
        <x:is>
          <x:t xml:space="preserve">ОБ-024</x:t>
        </x:is>
      </x:c>
      <x:c r="J181" s="31" t="inlineStr">
        <x:is>
          <x:t xml:space="preserve">СОТР-093</x:t>
        </x:is>
      </x:c>
      <x:c r="K181" s="31" t="n">
        <x:v>6</x:v>
      </x:c>
      <x:c r="L181" s="31" t="n">
        <x:v>5.6</x:v>
      </x:c>
      <x:c r="M181" s="31" t="n">
        <x:v>46094</x:v>
      </x:c>
      <x:c r="N181" s="31" t="n">
        <x:v>46095</x:v>
      </x:c>
      <x:c r="O181" s="31" t="n">
        <x:v>46094</x:v>
      </x:c>
      <x:c r="P181" s="31" t="n">
        <x:v>46094</x:v>
      </x:c>
      <x:c r="Q181" s="31" t="inlineStr">
        <x:is>
          <x:t xml:space="preserve">Завершено</x:t>
        </x:is>
      </x:c>
      <x:c r="R181" s="31" t="inlineStr">
        <x:is>
          <x:t xml:space="preserve">Нет</x:t>
        </x:is>
      </x:c>
      <x:c r="S181" s="31" t="inlineStr">
        <x:is>
          <x:t xml:space="preserve">Нет</x:t>
        </x:is>
      </x:c>
    </x:row>
    <x:row r="182" ht="18" customHeight="1">
      <x:c r="A182" s="31" t="inlineStr">
        <x:is>
          <x:t xml:space="preserve">ОП-000181</x:t>
        </x:is>
      </x:c>
      <x:c r="B182" s="31" t="inlineStr">
        <x:is>
          <x:t xml:space="preserve">ПЗ-00021</x:t>
        </x:is>
      </x:c>
      <x:c r="C182" s="31" t="inlineStr">
        <x:is>
          <x:t xml:space="preserve">ЗК-1011</x:t>
        </x:is>
      </x:c>
      <x:c r="D182" s="31" t="inlineStr">
        <x:is>
          <x:t xml:space="preserve">ПОЗ-0011-2</x:t>
        </x:is>
      </x:c>
      <x:c r="E182" s="31" t="inlineStr">
        <x:is>
          <x:t xml:space="preserve">ИЗД-040</x:t>
        </x:is>
      </x:c>
      <x:c r="F182" s="31" t="n">
        <x:v>90</x:v>
      </x:c>
      <x:c r="G182" s="31" t="inlineStr">
        <x:is>
          <x:t xml:space="preserve">Упаковка</x:t>
        </x:is>
      </x:c>
      <x:c r="H182" s="31" t="inlineStr">
        <x:is>
          <x:t xml:space="preserve">Логистика</x:t>
        </x:is>
      </x:c>
      <x:c r="I182" s="31" t="n"/>
      <x:c r="J182" s="31" t="inlineStr">
        <x:is>
          <x:t xml:space="preserve">СОТР-070</x:t>
        </x:is>
      </x:c>
      <x:c r="K182" s="31" t="n">
        <x:v>23</x:v>
      </x:c>
      <x:c r="L182" s="31" t="n"/>
      <x:c r="M182" s="31" t="n">
        <x:v>46095</x:v>
      </x:c>
      <x:c r="N182" s="31" t="n">
        <x:v>46097</x:v>
      </x:c>
      <x:c r="O182" s="31" t="n"/>
      <x:c r="P182" s="31" t="n"/>
      <x:c r="Q182" s="31" t="inlineStr">
        <x:is>
          <x:t xml:space="preserve">Запланировано</x:t>
        </x:is>
      </x:c>
      <x:c r="R182" s="31" t="inlineStr">
        <x:is>
          <x:t xml:space="preserve">Оборудование</x:t>
        </x:is>
      </x:c>
      <x:c r="S182" s="31" t="inlineStr">
        <x:is>
          <x:t xml:space="preserve">Нет</x:t>
        </x:is>
      </x:c>
    </x:row>
    <x:row r="183" ht="18" customHeight="1">
      <x:c r="A183" s="31" t="inlineStr">
        <x:is>
          <x:t xml:space="preserve">ОП-000182</x:t>
        </x:is>
      </x:c>
      <x:c r="B183" s="31" t="inlineStr">
        <x:is>
          <x:t xml:space="preserve">ПЗ-00022</x:t>
        </x:is>
      </x:c>
      <x:c r="C183" s="31" t="inlineStr">
        <x:is>
          <x:t xml:space="preserve">ЗК-1012</x:t>
        </x:is>
      </x:c>
      <x:c r="D183" s="31" t="inlineStr">
        <x:is>
          <x:t xml:space="preserve">ПОЗ-0012-1</x:t>
        </x:is>
      </x:c>
      <x:c r="E183" s="31" t="inlineStr">
        <x:is>
          <x:t xml:space="preserve">ИЗД-003</x:t>
        </x:is>
      </x:c>
      <x:c r="F183" s="31" t="n">
        <x:v>10</x:v>
      </x:c>
      <x:c r="G183" s="31" t="inlineStr">
        <x:is>
          <x:t xml:space="preserve">КД</x:t>
        </x:is>
      </x:c>
      <x:c r="H183" s="31" t="inlineStr">
        <x:is>
          <x:t xml:space="preserve">Инженерный отдел</x:t>
        </x:is>
      </x:c>
      <x:c r="I183" s="31" t="n"/>
      <x:c r="J183" s="31" t="inlineStr">
        <x:is>
          <x:t xml:space="preserve">СОТР-017</x:t>
        </x:is>
      </x:c>
      <x:c r="K183" s="31" t="n">
        <x:v>27.6</x:v>
      </x:c>
      <x:c r="L183" s="31" t="n">
        <x:v>23.8</x:v>
      </x:c>
      <x:c r="M183" s="31" t="n">
        <x:v>46084</x:v>
      </x:c>
      <x:c r="N183" s="31" t="n">
        <x:v>46087</x:v>
      </x:c>
      <x:c r="O183" s="31" t="n">
        <x:v>46084</x:v>
      </x:c>
      <x:c r="P183" s="31" t="n">
        <x:v>46086</x:v>
      </x:c>
      <x:c r="Q183" s="31" t="inlineStr">
        <x:is>
          <x:t xml:space="preserve">Завершено</x:t>
        </x:is>
      </x:c>
      <x:c r="R183" s="31" t="inlineStr">
        <x:is>
          <x:t xml:space="preserve">Нет</x:t>
        </x:is>
      </x:c>
      <x:c r="S183" s="31" t="inlineStr">
        <x:is>
          <x:t xml:space="preserve">Нет</x:t>
        </x:is>
      </x:c>
    </x:row>
    <x:row r="184" ht="18" customHeight="1">
      <x:c r="A184" s="31" t="inlineStr">
        <x:is>
          <x:t xml:space="preserve">ОП-000183</x:t>
        </x:is>
      </x:c>
      <x:c r="B184" s="31" t="inlineStr">
        <x:is>
          <x:t xml:space="preserve">ПЗ-00022</x:t>
        </x:is>
      </x:c>
      <x:c r="C184" s="31" t="inlineStr">
        <x:is>
          <x:t xml:space="preserve">ЗК-1012</x:t>
        </x:is>
      </x:c>
      <x:c r="D184" s="31" t="inlineStr">
        <x:is>
          <x:t xml:space="preserve">ПОЗ-0012-1</x:t>
        </x:is>
      </x:c>
      <x:c r="E184" s="31" t="inlineStr">
        <x:is>
          <x:t xml:space="preserve">ИЗД-003</x:t>
        </x:is>
      </x:c>
      <x:c r="F184" s="31" t="n">
        <x:v>20</x:v>
      </x:c>
      <x:c r="G184" s="31" t="inlineStr">
        <x:is>
          <x:t xml:space="preserve">Резерв материалов</x:t>
        </x:is>
      </x:c>
      <x:c r="H184" s="31" t="inlineStr">
        <x:is>
          <x:t xml:space="preserve">Склад</x:t>
        </x:is>
      </x:c>
      <x:c r="I184" s="31" t="inlineStr">
        <x:is>
          <x:t xml:space="preserve">ОБ-023</x:t>
        </x:is>
      </x:c>
      <x:c r="J184" s="31" t="inlineStr">
        <x:is>
          <x:t xml:space="preserve">СОТР-024</x:t>
        </x:is>
      </x:c>
      <x:c r="K184" s="31" t="n">
        <x:v>31.6</x:v>
      </x:c>
      <x:c r="L184" s="31" t="n"/>
      <x:c r="M184" s="31" t="n">
        <x:v>46087</x:v>
      </x:c>
      <x:c r="N184" s="31" t="n">
        <x:v>46090</x:v>
      </x:c>
      <x:c r="O184" s="31" t="n"/>
      <x:c r="P184" s="31" t="n"/>
      <x:c r="Q184" s="31" t="inlineStr">
        <x:is>
          <x:t xml:space="preserve">Запланировано</x:t>
        </x:is>
      </x:c>
      <x:c r="R184" s="31" t="inlineStr">
        <x:is>
          <x:t xml:space="preserve">Ожидание ОТК</x:t>
        </x:is>
      </x:c>
      <x:c r="S184" s="31" t="inlineStr">
        <x:is>
          <x:t xml:space="preserve">Да</x:t>
        </x:is>
      </x:c>
    </x:row>
    <x:row r="185" ht="18" customHeight="1">
      <x:c r="A185" s="31" t="inlineStr">
        <x:is>
          <x:t xml:space="preserve">ОП-000184</x:t>
        </x:is>
      </x:c>
      <x:c r="B185" s="31" t="inlineStr">
        <x:is>
          <x:t xml:space="preserve">ПЗ-00022</x:t>
        </x:is>
      </x:c>
      <x:c r="C185" s="31" t="inlineStr">
        <x:is>
          <x:t xml:space="preserve">ЗК-1012</x:t>
        </x:is>
      </x:c>
      <x:c r="D185" s="31" t="inlineStr">
        <x:is>
          <x:t xml:space="preserve">ПОЗ-0012-1</x:t>
        </x:is>
      </x:c>
      <x:c r="E185" s="31" t="inlineStr">
        <x:is>
          <x:t xml:space="preserve">ИЗД-003</x:t>
        </x:is>
      </x:c>
      <x:c r="F185" s="31" t="n">
        <x:v>30</x:v>
      </x:c>
      <x:c r="G185" s="31" t="inlineStr">
        <x:is>
          <x:t xml:space="preserve">Резка металла</x:t>
        </x:is>
      </x:c>
      <x:c r="H185" s="31" t="inlineStr">
        <x:is>
          <x:t xml:space="preserve">Сварка</x:t>
        </x:is>
      </x:c>
      <x:c r="I185" s="31" t="inlineStr">
        <x:is>
          <x:t xml:space="preserve">ОБ-019</x:t>
        </x:is>
      </x:c>
      <x:c r="J185" s="31" t="inlineStr">
        <x:is>
          <x:t xml:space="preserve">СОТР-065</x:t>
        </x:is>
      </x:c>
      <x:c r="K185" s="31" t="n">
        <x:v>4.4</x:v>
      </x:c>
      <x:c r="L185" s="31" t="n"/>
      <x:c r="M185" s="31" t="n">
        <x:v>46090</x:v>
      </x:c>
      <x:c r="N185" s="31" t="n">
        <x:v>46091</x:v>
      </x:c>
      <x:c r="O185" s="31" t="n"/>
      <x:c r="P185" s="31" t="n"/>
      <x:c r="Q185" s="31" t="inlineStr">
        <x:is>
          <x:t xml:space="preserve">Запланировано</x:t>
        </x:is>
      </x:c>
      <x:c r="R185" s="31" t="inlineStr">
        <x:is>
          <x:t xml:space="preserve">Материал</x:t>
        </x:is>
      </x:c>
      <x:c r="S185" s="31" t="inlineStr">
        <x:is>
          <x:t xml:space="preserve">Нет</x:t>
        </x:is>
      </x:c>
    </x:row>
    <x:row r="186" ht="18" customHeight="1">
      <x:c r="A186" s="31" t="inlineStr">
        <x:is>
          <x:t xml:space="preserve">ОП-000185</x:t>
        </x:is>
      </x:c>
      <x:c r="B186" s="31" t="inlineStr">
        <x:is>
          <x:t xml:space="preserve">ПЗ-00022</x:t>
        </x:is>
      </x:c>
      <x:c r="C186" s="31" t="inlineStr">
        <x:is>
          <x:t xml:space="preserve">ЗК-1012</x:t>
        </x:is>
      </x:c>
      <x:c r="D186" s="31" t="inlineStr">
        <x:is>
          <x:t xml:space="preserve">ПОЗ-0012-1</x:t>
        </x:is>
      </x:c>
      <x:c r="E186" s="31" t="inlineStr">
        <x:is>
          <x:t xml:space="preserve">ИЗД-003</x:t>
        </x:is>
      </x:c>
      <x:c r="F186" s="31" t="n">
        <x:v>40</x:v>
      </x:c>
      <x:c r="G186" s="31" t="inlineStr">
        <x:is>
          <x:t xml:space="preserve">Сварка рамы</x:t>
        </x:is>
      </x:c>
      <x:c r="H186" s="31" t="inlineStr">
        <x:is>
          <x:t xml:space="preserve">Сварка</x:t>
        </x:is>
      </x:c>
      <x:c r="I186" s="31" t="inlineStr">
        <x:is>
          <x:t xml:space="preserve">ОБ-004</x:t>
        </x:is>
      </x:c>
      <x:c r="J186" s="31" t="inlineStr">
        <x:is>
          <x:t xml:space="preserve">СОТР-072</x:t>
        </x:is>
      </x:c>
      <x:c r="K186" s="31" t="n">
        <x:v>28.4</x:v>
      </x:c>
      <x:c r="L186" s="31" t="n">
        <x:v>35.5</x:v>
      </x:c>
      <x:c r="M186" s="31" t="n">
        <x:v>46091</x:v>
      </x:c>
      <x:c r="N186" s="31" t="n">
        <x:v>46094</x:v>
      </x:c>
      <x:c r="O186" s="31" t="n">
        <x:v>46091</x:v>
      </x:c>
      <x:c r="P186" s="31" t="n">
        <x:v>46093</x:v>
      </x:c>
      <x:c r="Q186" s="31" t="inlineStr">
        <x:is>
          <x:t xml:space="preserve">Завершено</x:t>
        </x:is>
      </x:c>
      <x:c r="R186" s="31" t="inlineStr">
        <x:is>
          <x:t xml:space="preserve">Нет</x:t>
        </x:is>
      </x:c>
      <x:c r="S186" s="31" t="inlineStr">
        <x:is>
          <x:t xml:space="preserve">Нет</x:t>
        </x:is>
      </x:c>
    </x:row>
    <x:row r="187" ht="18" customHeight="1">
      <x:c r="A187" s="31" t="inlineStr">
        <x:is>
          <x:t xml:space="preserve">ОП-000186</x:t>
        </x:is>
      </x:c>
      <x:c r="B187" s="31" t="inlineStr">
        <x:is>
          <x:t xml:space="preserve">ПЗ-00022</x:t>
        </x:is>
      </x:c>
      <x:c r="C187" s="31" t="inlineStr">
        <x:is>
          <x:t xml:space="preserve">ЗК-1012</x:t>
        </x:is>
      </x:c>
      <x:c r="D187" s="31" t="inlineStr">
        <x:is>
          <x:t xml:space="preserve">ПОЗ-0012-1</x:t>
        </x:is>
      </x:c>
      <x:c r="E187" s="31" t="inlineStr">
        <x:is>
          <x:t xml:space="preserve">ИЗД-003</x:t>
        </x:is>
      </x:c>
      <x:c r="F187" s="31" t="n">
        <x:v>50</x:v>
      </x:c>
      <x:c r="G187" s="31" t="inlineStr">
        <x:is>
          <x:t xml:space="preserve">Механообработка</x:t>
        </x:is>
      </x:c>
      <x:c r="H187" s="31" t="inlineStr">
        <x:is>
          <x:t xml:space="preserve">Механообработка</x:t>
        </x:is>
      </x:c>
      <x:c r="I187" s="31" t="inlineStr">
        <x:is>
          <x:t xml:space="preserve">ОБ-031</x:t>
        </x:is>
      </x:c>
      <x:c r="J187" s="31" t="inlineStr">
        <x:is>
          <x:t xml:space="preserve">СОТР-041</x:t>
        </x:is>
      </x:c>
      <x:c r="K187" s="31" t="n">
        <x:v>5.6</x:v>
      </x:c>
      <x:c r="L187" s="31" t="n">
        <x:v>7.4</x:v>
      </x:c>
      <x:c r="M187" s="31" t="n">
        <x:v>46094</x:v>
      </x:c>
      <x:c r="N187" s="31" t="n">
        <x:v>46095</x:v>
      </x:c>
      <x:c r="O187" s="31" t="n">
        <x:v>46094</x:v>
      </x:c>
      <x:c r="P187" s="31" t="n">
        <x:v>46096</x:v>
      </x:c>
      <x:c r="Q187" s="31" t="inlineStr">
        <x:is>
          <x:t xml:space="preserve">Завершено</x:t>
        </x:is>
      </x:c>
      <x:c r="R187" s="31" t="inlineStr">
        <x:is>
          <x:t xml:space="preserve">Нет</x:t>
        </x:is>
      </x:c>
      <x:c r="S187" s="31" t="inlineStr">
        <x:is>
          <x:t xml:space="preserve">Да</x:t>
        </x:is>
      </x:c>
    </x:row>
    <x:row r="188" ht="18" customHeight="1">
      <x:c r="A188" s="31" t="inlineStr">
        <x:is>
          <x:t xml:space="preserve">ОП-000187</x:t>
        </x:is>
      </x:c>
      <x:c r="B188" s="31" t="inlineStr">
        <x:is>
          <x:t xml:space="preserve">ПЗ-00022</x:t>
        </x:is>
      </x:c>
      <x:c r="C188" s="31" t="inlineStr">
        <x:is>
          <x:t xml:space="preserve">ЗК-1012</x:t>
        </x:is>
      </x:c>
      <x:c r="D188" s="31" t="inlineStr">
        <x:is>
          <x:t xml:space="preserve">ПОЗ-0012-1</x:t>
        </x:is>
      </x:c>
      <x:c r="E188" s="31" t="inlineStr">
        <x:is>
          <x:t xml:space="preserve">ИЗД-003</x:t>
        </x:is>
      </x:c>
      <x:c r="F188" s="31" t="n">
        <x:v>60</x:v>
      </x:c>
      <x:c r="G188" s="31" t="inlineStr">
        <x:is>
          <x:t xml:space="preserve">Сборка</x:t>
        </x:is>
      </x:c>
      <x:c r="H188" s="31" t="inlineStr">
        <x:is>
          <x:t xml:space="preserve">Сборка</x:t>
        </x:is>
      </x:c>
      <x:c r="I188" s="31" t="inlineStr">
        <x:is>
          <x:t xml:space="preserve">ОБ-014</x:t>
        </x:is>
      </x:c>
      <x:c r="J188" s="31" t="inlineStr">
        <x:is>
          <x:t xml:space="preserve">СОТР-081</x:t>
        </x:is>
      </x:c>
      <x:c r="K188" s="31" t="n">
        <x:v>8.800000000000001</x:v>
      </x:c>
      <x:c r="L188" s="31" t="n"/>
      <x:c r="M188" s="31" t="n">
        <x:v>46095</x:v>
      </x:c>
      <x:c r="N188" s="31" t="n">
        <x:v>46096</x:v>
      </x:c>
      <x:c r="O188" s="31" t="n"/>
      <x:c r="P188" s="31" t="n"/>
      <x:c r="Q188" s="31" t="inlineStr">
        <x:is>
          <x:t xml:space="preserve">Запланировано</x:t>
        </x:is>
      </x:c>
      <x:c r="R188" s="31" t="inlineStr">
        <x:is>
          <x:t xml:space="preserve">Оборудование</x:t>
        </x:is>
      </x:c>
      <x:c r="S188" s="31" t="inlineStr">
        <x:is>
          <x:t xml:space="preserve">Нет</x:t>
        </x:is>
      </x:c>
    </x:row>
    <x:row r="189" ht="18" customHeight="1">
      <x:c r="A189" s="31" t="inlineStr">
        <x:is>
          <x:t xml:space="preserve">ОП-000188</x:t>
        </x:is>
      </x:c>
      <x:c r="B189" s="31" t="inlineStr">
        <x:is>
          <x:t xml:space="preserve">ПЗ-00022</x:t>
        </x:is>
      </x:c>
      <x:c r="C189" s="31" t="inlineStr">
        <x:is>
          <x:t xml:space="preserve">ЗК-1012</x:t>
        </x:is>
      </x:c>
      <x:c r="D189" s="31" t="inlineStr">
        <x:is>
          <x:t xml:space="preserve">ПОЗ-0012-1</x:t>
        </x:is>
      </x:c>
      <x:c r="E189" s="31" t="inlineStr">
        <x:is>
          <x:t xml:space="preserve">ИЗД-003</x:t>
        </x:is>
      </x:c>
      <x:c r="F189" s="31" t="n">
        <x:v>70</x:v>
      </x:c>
      <x:c r="G189" s="31" t="inlineStr">
        <x:is>
          <x:t xml:space="preserve">Электромонтаж</x:t>
        </x:is>
      </x:c>
      <x:c r="H189" s="31" t="inlineStr">
        <x:is>
          <x:t xml:space="preserve">Сборка</x:t>
        </x:is>
      </x:c>
      <x:c r="I189" s="31" t="inlineStr">
        <x:is>
          <x:t xml:space="preserve">ОБ-034</x:t>
        </x:is>
      </x:c>
      <x:c r="J189" s="31" t="inlineStr">
        <x:is>
          <x:t xml:space="preserve">СОТР-091</x:t>
        </x:is>
      </x:c>
      <x:c r="K189" s="31" t="n">
        <x:v>20</x:v>
      </x:c>
      <x:c r="L189" s="31" t="n"/>
      <x:c r="M189" s="31" t="n">
        <x:v>46096</x:v>
      </x:c>
      <x:c r="N189" s="31" t="n">
        <x:v>46098</x:v>
      </x:c>
      <x:c r="O189" s="31" t="n">
        <x:v>46096</x:v>
      </x:c>
      <x:c r="P189" s="31" t="n"/>
      <x:c r="Q189" s="31" t="inlineStr">
        <x:is>
          <x:t xml:space="preserve">В работе</x:t>
        </x:is>
      </x:c>
      <x:c r="R189" s="31" t="inlineStr">
        <x:is>
          <x:t xml:space="preserve">Нет</x:t>
        </x:is>
      </x:c>
      <x:c r="S189" s="31" t="inlineStr">
        <x:is>
          <x:t xml:space="preserve">Нет</x:t>
        </x:is>
      </x:c>
    </x:row>
    <x:row r="190" ht="18" customHeight="1">
      <x:c r="A190" s="31" t="inlineStr">
        <x:is>
          <x:t xml:space="preserve">ОП-000189</x:t>
        </x:is>
      </x:c>
      <x:c r="B190" s="31" t="inlineStr">
        <x:is>
          <x:t xml:space="preserve">ПЗ-00022</x:t>
        </x:is>
      </x:c>
      <x:c r="C190" s="31" t="inlineStr">
        <x:is>
          <x:t xml:space="preserve">ЗК-1012</x:t>
        </x:is>
      </x:c>
      <x:c r="D190" s="31" t="inlineStr">
        <x:is>
          <x:t xml:space="preserve">ПОЗ-0012-1</x:t>
        </x:is>
      </x:c>
      <x:c r="E190" s="31" t="inlineStr">
        <x:is>
          <x:t xml:space="preserve">ИЗД-003</x:t>
        </x:is>
      </x:c>
      <x:c r="F190" s="31" t="n">
        <x:v>80</x:v>
      </x:c>
      <x:c r="G190" s="31" t="inlineStr">
        <x:is>
          <x:t xml:space="preserve">Гидроиспытания</x:t>
        </x:is>
      </x:c>
      <x:c r="H190" s="31" t="inlineStr">
        <x:is>
          <x:t xml:space="preserve">ОТК</x:t>
        </x:is>
      </x:c>
      <x:c r="I190" s="31" t="inlineStr">
        <x:is>
          <x:t xml:space="preserve">ОБ-022</x:t>
        </x:is>
      </x:c>
      <x:c r="J190" s="31" t="inlineStr">
        <x:is>
          <x:t xml:space="preserve">СОТР-099</x:t>
        </x:is>
      </x:c>
      <x:c r="K190" s="31" t="n">
        <x:v>22.4</x:v>
      </x:c>
      <x:c r="L190" s="31" t="n"/>
      <x:c r="M190" s="31" t="n">
        <x:v>46098</x:v>
      </x:c>
      <x:c r="N190" s="31" t="n">
        <x:v>46100</x:v>
      </x:c>
      <x:c r="O190" s="31" t="n"/>
      <x:c r="P190" s="31" t="n"/>
      <x:c r="Q190" s="31" t="inlineStr">
        <x:is>
          <x:t xml:space="preserve">Запланировано</x:t>
        </x:is>
      </x:c>
      <x:c r="R190" s="31" t="inlineStr">
        <x:is>
          <x:t xml:space="preserve">Нет</x:t>
        </x:is>
      </x:c>
      <x:c r="S190" s="31" t="inlineStr">
        <x:is>
          <x:t xml:space="preserve">Нет</x:t>
        </x:is>
      </x:c>
    </x:row>
    <x:row r="191" ht="18" customHeight="1">
      <x:c r="A191" s="31" t="inlineStr">
        <x:is>
          <x:t xml:space="preserve">ОП-000190</x:t>
        </x:is>
      </x:c>
      <x:c r="B191" s="31" t="inlineStr">
        <x:is>
          <x:t xml:space="preserve">ПЗ-00022</x:t>
        </x:is>
      </x:c>
      <x:c r="C191" s="31" t="inlineStr">
        <x:is>
          <x:t xml:space="preserve">ЗК-1012</x:t>
        </x:is>
      </x:c>
      <x:c r="D191" s="31" t="inlineStr">
        <x:is>
          <x:t xml:space="preserve">ПОЗ-0012-1</x:t>
        </x:is>
      </x:c>
      <x:c r="E191" s="31" t="inlineStr">
        <x:is>
          <x:t xml:space="preserve">ИЗД-003</x:t>
        </x:is>
      </x:c>
      <x:c r="F191" s="31" t="n">
        <x:v>90</x:v>
      </x:c>
      <x:c r="G191" s="31" t="inlineStr">
        <x:is>
          <x:t xml:space="preserve">ОТК</x:t>
        </x:is>
      </x:c>
      <x:c r="H191" s="31" t="inlineStr">
        <x:is>
          <x:t xml:space="preserve">ОТК</x:t>
        </x:is>
      </x:c>
      <x:c r="I191" s="31" t="inlineStr">
        <x:is>
          <x:t xml:space="preserve">ОБ-006</x:t>
        </x:is>
      </x:c>
      <x:c r="J191" s="31" t="inlineStr">
        <x:is>
          <x:t xml:space="preserve">СОТР-093</x:t>
        </x:is>
      </x:c>
      <x:c r="K191" s="31" t="n">
        <x:v>16</x:v>
      </x:c>
      <x:c r="L191" s="31" t="n"/>
      <x:c r="M191" s="31" t="n">
        <x:v>46100</x:v>
      </x:c>
      <x:c r="N191" s="31" t="n">
        <x:v>46102</x:v>
      </x:c>
      <x:c r="O191" s="31" t="n">
        <x:v>46100</x:v>
      </x:c>
      <x:c r="P191" s="31" t="n"/>
      <x:c r="Q191" s="31" t="inlineStr">
        <x:is>
          <x:t xml:space="preserve">В работе</x:t>
        </x:is>
      </x:c>
      <x:c r="R191" s="31" t="inlineStr">
        <x:is>
          <x:t xml:space="preserve">Нет</x:t>
        </x:is>
      </x:c>
      <x:c r="S191" s="31" t="inlineStr">
        <x:is>
          <x:t xml:space="preserve">Да</x:t>
        </x:is>
      </x:c>
    </x:row>
    <x:row r="192" ht="18" customHeight="1">
      <x:c r="A192" s="31" t="inlineStr">
        <x:is>
          <x:t xml:space="preserve">ОП-000191</x:t>
        </x:is>
      </x:c>
      <x:c r="B192" s="31" t="inlineStr">
        <x:is>
          <x:t xml:space="preserve">ПЗ-00022</x:t>
        </x:is>
      </x:c>
      <x:c r="C192" s="31" t="inlineStr">
        <x:is>
          <x:t xml:space="preserve">ЗК-1012</x:t>
        </x:is>
      </x:c>
      <x:c r="D192" s="31" t="inlineStr">
        <x:is>
          <x:t xml:space="preserve">ПОЗ-0012-1</x:t>
        </x:is>
      </x:c>
      <x:c r="E192" s="31" t="inlineStr">
        <x:is>
          <x:t xml:space="preserve">ИЗД-003</x:t>
        </x:is>
      </x:c>
      <x:c r="F192" s="31" t="n">
        <x:v>100</x:v>
      </x:c>
      <x:c r="G192" s="31" t="inlineStr">
        <x:is>
          <x:t xml:space="preserve">Упаковка</x:t>
        </x:is>
      </x:c>
      <x:c r="H192" s="31" t="inlineStr">
        <x:is>
          <x:t xml:space="preserve">Логистика</x:t>
        </x:is>
      </x:c>
      <x:c r="I192" s="31" t="n"/>
      <x:c r="J192" s="31" t="inlineStr">
        <x:is>
          <x:t xml:space="preserve">СОТР-102</x:t>
        </x:is>
      </x:c>
      <x:c r="K192" s="31" t="n">
        <x:v>15.2</x:v>
      </x:c>
      <x:c r="L192" s="31" t="n"/>
      <x:c r="M192" s="31" t="n">
        <x:v>46102</x:v>
      </x:c>
      <x:c r="N192" s="31" t="n">
        <x:v>46104</x:v>
      </x:c>
      <x:c r="O192" s="31" t="n"/>
      <x:c r="P192" s="31" t="n"/>
      <x:c r="Q192" s="31" t="inlineStr">
        <x:is>
          <x:t xml:space="preserve">Запланировано</x:t>
        </x:is>
      </x:c>
      <x:c r="R192" s="31" t="inlineStr">
        <x:is>
          <x:t xml:space="preserve">Нет</x:t>
        </x:is>
      </x:c>
      <x:c r="S192" s="31" t="inlineStr">
        <x:is>
          <x:t xml:space="preserve">Нет</x:t>
        </x:is>
      </x:c>
    </x:row>
    <x:row r="193" ht="18" customHeight="1">
      <x:c r="A193" s="31" t="inlineStr">
        <x:is>
          <x:t xml:space="preserve">ОП-000192</x:t>
        </x:is>
      </x:c>
      <x:c r="B193" s="31" t="inlineStr">
        <x:is>
          <x:t xml:space="preserve">ПЗ-00023</x:t>
        </x:is>
      </x:c>
      <x:c r="C193" s="31" t="inlineStr">
        <x:is>
          <x:t xml:space="preserve">ЗК-1012</x:t>
        </x:is>
      </x:c>
      <x:c r="D193" s="31" t="inlineStr">
        <x:is>
          <x:t xml:space="preserve">ПОЗ-0012-2</x:t>
        </x:is>
      </x:c>
      <x:c r="E193" s="31" t="inlineStr">
        <x:is>
          <x:t xml:space="preserve">ИЗД-024</x:t>
        </x:is>
      </x:c>
      <x:c r="F193" s="31" t="n">
        <x:v>10</x:v>
      </x:c>
      <x:c r="G193" s="31" t="inlineStr">
        <x:is>
          <x:t xml:space="preserve">КД</x:t>
        </x:is>
      </x:c>
      <x:c r="H193" s="31" t="inlineStr">
        <x:is>
          <x:t xml:space="preserve">Инженерный отдел</x:t>
        </x:is>
      </x:c>
      <x:c r="I193" s="31" t="n"/>
      <x:c r="J193" s="31" t="inlineStr">
        <x:is>
          <x:t xml:space="preserve">СОТР-020</x:t>
        </x:is>
      </x:c>
      <x:c r="K193" s="31" t="n">
        <x:v>10.5</x:v>
      </x:c>
      <x:c r="L193" s="31" t="n">
        <x:v>8.699999999999999</x:v>
      </x:c>
      <x:c r="M193" s="31" t="n">
        <x:v>46092</x:v>
      </x:c>
      <x:c r="N193" s="31" t="n">
        <x:v>46093</x:v>
      </x:c>
      <x:c r="O193" s="31" t="n">
        <x:v>46092</x:v>
      </x:c>
      <x:c r="P193" s="31" t="n">
        <x:v>46095</x:v>
      </x:c>
      <x:c r="Q193" s="31" t="inlineStr">
        <x:is>
          <x:t xml:space="preserve">Завершено</x:t>
        </x:is>
      </x:c>
      <x:c r="R193" s="31" t="inlineStr">
        <x:is>
          <x:t xml:space="preserve">Нет</x:t>
        </x:is>
      </x:c>
      <x:c r="S193" s="31" t="inlineStr">
        <x:is>
          <x:t xml:space="preserve">Нет</x:t>
        </x:is>
      </x:c>
    </x:row>
    <x:row r="194" ht="18" customHeight="1">
      <x:c r="A194" s="31" t="inlineStr">
        <x:is>
          <x:t xml:space="preserve">ОП-000193</x:t>
        </x:is>
      </x:c>
      <x:c r="B194" s="31" t="inlineStr">
        <x:is>
          <x:t xml:space="preserve">ПЗ-00023</x:t>
        </x:is>
      </x:c>
      <x:c r="C194" s="31" t="inlineStr">
        <x:is>
          <x:t xml:space="preserve">ЗК-1012</x:t>
        </x:is>
      </x:c>
      <x:c r="D194" s="31" t="inlineStr">
        <x:is>
          <x:t xml:space="preserve">ПОЗ-0012-2</x:t>
        </x:is>
      </x:c>
      <x:c r="E194" s="31" t="inlineStr">
        <x:is>
          <x:t xml:space="preserve">ИЗД-024</x:t>
        </x:is>
      </x:c>
      <x:c r="F194" s="31" t="n">
        <x:v>20</x:v>
      </x:c>
      <x:c r="G194" s="31" t="inlineStr">
        <x:is>
          <x:t xml:space="preserve">Резерв материалов</x:t>
        </x:is>
      </x:c>
      <x:c r="H194" s="31" t="inlineStr">
        <x:is>
          <x:t xml:space="preserve">Склад</x:t>
        </x:is>
      </x:c>
      <x:c r="I194" s="31" t="inlineStr">
        <x:is>
          <x:t xml:space="preserve">ОБ-008</x:t>
        </x:is>
      </x:c>
      <x:c r="J194" s="31" t="inlineStr">
        <x:is>
          <x:t xml:space="preserve">СОТР-033</x:t>
        </x:is>
      </x:c>
      <x:c r="K194" s="31" t="n">
        <x:v>1.7</x:v>
      </x:c>
      <x:c r="L194" s="31" t="n">
        <x:v>1.5</x:v>
      </x:c>
      <x:c r="M194" s="31" t="n">
        <x:v>46093</x:v>
      </x:c>
      <x:c r="N194" s="31" t="n">
        <x:v>46094</x:v>
      </x:c>
      <x:c r="O194" s="31" t="n">
        <x:v>46093</x:v>
      </x:c>
      <x:c r="P194" s="31" t="n">
        <x:v>46093</x:v>
      </x:c>
      <x:c r="Q194" s="31" t="inlineStr">
        <x:is>
          <x:t xml:space="preserve">Завершено</x:t>
        </x:is>
      </x:c>
      <x:c r="R194" s="31" t="inlineStr">
        <x:is>
          <x:t xml:space="preserve">Нет</x:t>
        </x:is>
      </x:c>
      <x:c r="S194" s="31" t="inlineStr">
        <x:is>
          <x:t xml:space="preserve">Нет</x:t>
        </x:is>
      </x:c>
    </x:row>
    <x:row r="195" ht="18" customHeight="1">
      <x:c r="A195" s="31" t="inlineStr">
        <x:is>
          <x:t xml:space="preserve">ОП-000194</x:t>
        </x:is>
      </x:c>
      <x:c r="B195" s="31" t="inlineStr">
        <x:is>
          <x:t xml:space="preserve">ПЗ-00023</x:t>
        </x:is>
      </x:c>
      <x:c r="C195" s="31" t="inlineStr">
        <x:is>
          <x:t xml:space="preserve">ЗК-1012</x:t>
        </x:is>
      </x:c>
      <x:c r="D195" s="31" t="inlineStr">
        <x:is>
          <x:t xml:space="preserve">ПОЗ-0012-2</x:t>
        </x:is>
      </x:c>
      <x:c r="E195" s="31" t="inlineStr">
        <x:is>
          <x:t xml:space="preserve">ИЗД-024</x:t>
        </x:is>
      </x:c>
      <x:c r="F195" s="31" t="n">
        <x:v>30</x:v>
      </x:c>
      <x:c r="G195" s="31" t="inlineStr">
        <x:is>
          <x:t xml:space="preserve">Сварка рамы</x:t>
        </x:is>
      </x:c>
      <x:c r="H195" s="31" t="inlineStr">
        <x:is>
          <x:t xml:space="preserve">Сварка</x:t>
        </x:is>
      </x:c>
      <x:c r="I195" s="31" t="inlineStr">
        <x:is>
          <x:t xml:space="preserve">ОБ-021</x:t>
        </x:is>
      </x:c>
      <x:c r="J195" s="31" t="inlineStr">
        <x:is>
          <x:t xml:space="preserve">СОТР-056</x:t>
        </x:is>
      </x:c>
      <x:c r="K195" s="31" t="n">
        <x:v>2.9</x:v>
      </x:c>
      <x:c r="L195" s="31" t="n">
        <x:v>3.1</x:v>
      </x:c>
      <x:c r="M195" s="31" t="n">
        <x:v>46094</x:v>
      </x:c>
      <x:c r="N195" s="31" t="n">
        <x:v>46095</x:v>
      </x:c>
      <x:c r="O195" s="31" t="n">
        <x:v>46094</x:v>
      </x:c>
      <x:c r="P195" s="31" t="n">
        <x:v>46094</x:v>
      </x:c>
      <x:c r="Q195" s="31" t="inlineStr">
        <x:is>
          <x:t xml:space="preserve">Завершено</x:t>
        </x:is>
      </x:c>
      <x:c r="R195" s="31" t="inlineStr">
        <x:is>
          <x:t xml:space="preserve">КД</x:t>
        </x:is>
      </x:c>
      <x:c r="S195" s="31" t="inlineStr">
        <x:is>
          <x:t xml:space="preserve">Нет</x:t>
        </x:is>
      </x:c>
    </x:row>
    <x:row r="196" ht="18" customHeight="1">
      <x:c r="A196" s="31" t="inlineStr">
        <x:is>
          <x:t xml:space="preserve">ОП-000195</x:t>
        </x:is>
      </x:c>
      <x:c r="B196" s="31" t="inlineStr">
        <x:is>
          <x:t xml:space="preserve">ПЗ-00023</x:t>
        </x:is>
      </x:c>
      <x:c r="C196" s="31" t="inlineStr">
        <x:is>
          <x:t xml:space="preserve">ЗК-1012</x:t>
        </x:is>
      </x:c>
      <x:c r="D196" s="31" t="inlineStr">
        <x:is>
          <x:t xml:space="preserve">ПОЗ-0012-2</x:t>
        </x:is>
      </x:c>
      <x:c r="E196" s="31" t="inlineStr">
        <x:is>
          <x:t xml:space="preserve">ИЗД-024</x:t>
        </x:is>
      </x:c>
      <x:c r="F196" s="31" t="n">
        <x:v>40</x:v>
      </x:c>
      <x:c r="G196" s="31" t="inlineStr">
        <x:is>
          <x:t xml:space="preserve">Сборка</x:t>
        </x:is>
      </x:c>
      <x:c r="H196" s="31" t="inlineStr">
        <x:is>
          <x:t xml:space="preserve">Сборка</x:t>
        </x:is>
      </x:c>
      <x:c r="I196" s="31" t="inlineStr">
        <x:is>
          <x:t xml:space="preserve">ОБ-005</x:t>
        </x:is>
      </x:c>
      <x:c r="J196" s="31" t="inlineStr">
        <x:is>
          <x:t xml:space="preserve">СОТР-074</x:t>
        </x:is>
      </x:c>
      <x:c r="K196" s="31" t="n">
        <x:v>2.1</x:v>
      </x:c>
      <x:c r="L196" s="31" t="n">
        <x:v>2</x:v>
      </x:c>
      <x:c r="M196" s="31" t="n">
        <x:v>46095</x:v>
      </x:c>
      <x:c r="N196" s="31" t="n">
        <x:v>46096</x:v>
      </x:c>
      <x:c r="O196" s="31" t="n">
        <x:v>46095</x:v>
      </x:c>
      <x:c r="P196" s="31" t="n">
        <x:v>46097</x:v>
      </x:c>
      <x:c r="Q196" s="31" t="inlineStr">
        <x:is>
          <x:t xml:space="preserve">Завершено</x:t>
        </x:is>
      </x:c>
      <x:c r="R196" s="31" t="inlineStr">
        <x:is>
          <x:t xml:space="preserve">Нет</x:t>
        </x:is>
      </x:c>
      <x:c r="S196" s="31" t="inlineStr">
        <x:is>
          <x:t xml:space="preserve">Нет</x:t>
        </x:is>
      </x:c>
    </x:row>
    <x:row r="197" ht="18" customHeight="1">
      <x:c r="A197" s="31" t="inlineStr">
        <x:is>
          <x:t xml:space="preserve">ОП-000196</x:t>
        </x:is>
      </x:c>
      <x:c r="B197" s="31" t="inlineStr">
        <x:is>
          <x:t xml:space="preserve">ПЗ-00023</x:t>
        </x:is>
      </x:c>
      <x:c r="C197" s="31" t="inlineStr">
        <x:is>
          <x:t xml:space="preserve">ЗК-1012</x:t>
        </x:is>
      </x:c>
      <x:c r="D197" s="31" t="inlineStr">
        <x:is>
          <x:t xml:space="preserve">ПОЗ-0012-2</x:t>
        </x:is>
      </x:c>
      <x:c r="E197" s="31" t="inlineStr">
        <x:is>
          <x:t xml:space="preserve">ИЗД-024</x:t>
        </x:is>
      </x:c>
      <x:c r="F197" s="31" t="n">
        <x:v>50</x:v>
      </x:c>
      <x:c r="G197" s="31" t="inlineStr">
        <x:is>
          <x:t xml:space="preserve">Обвязка труб</x:t>
        </x:is>
      </x:c>
      <x:c r="H197" s="31" t="inlineStr">
        <x:is>
          <x:t xml:space="preserve">Сборка</x:t>
        </x:is>
      </x:c>
      <x:c r="I197" s="31" t="inlineStr">
        <x:is>
          <x:t xml:space="preserve">ОБ-034</x:t>
        </x:is>
      </x:c>
      <x:c r="J197" s="31" t="inlineStr">
        <x:is>
          <x:t xml:space="preserve">СОТР-088</x:t>
        </x:is>
      </x:c>
      <x:c r="K197" s="31" t="n">
        <x:v>9.699999999999999</x:v>
      </x:c>
      <x:c r="L197" s="31" t="n">
        <x:v>10.9</x:v>
      </x:c>
      <x:c r="M197" s="31" t="n">
        <x:v>46096</x:v>
      </x:c>
      <x:c r="N197" s="31" t="n">
        <x:v>46097</x:v>
      </x:c>
      <x:c r="O197" s="31" t="n">
        <x:v>46096</x:v>
      </x:c>
      <x:c r="P197" s="31" t="n">
        <x:v>46098</x:v>
      </x:c>
      <x:c r="Q197" s="31" t="inlineStr">
        <x:is>
          <x:t xml:space="preserve">Завершено</x:t>
        </x:is>
      </x:c>
      <x:c r="R197" s="31" t="inlineStr">
        <x:is>
          <x:t xml:space="preserve">Нет</x:t>
        </x:is>
      </x:c>
      <x:c r="S197" s="31" t="inlineStr">
        <x:is>
          <x:t xml:space="preserve">Нет</x:t>
        </x:is>
      </x:c>
    </x:row>
    <x:row r="198" ht="18" customHeight="1">
      <x:c r="A198" s="31" t="inlineStr">
        <x:is>
          <x:t xml:space="preserve">ОП-000197</x:t>
        </x:is>
      </x:c>
      <x:c r="B198" s="31" t="inlineStr">
        <x:is>
          <x:t xml:space="preserve">ПЗ-00023</x:t>
        </x:is>
      </x:c>
      <x:c r="C198" s="31" t="inlineStr">
        <x:is>
          <x:t xml:space="preserve">ЗК-1012</x:t>
        </x:is>
      </x:c>
      <x:c r="D198" s="31" t="inlineStr">
        <x:is>
          <x:t xml:space="preserve">ПОЗ-0012-2</x:t>
        </x:is>
      </x:c>
      <x:c r="E198" s="31" t="inlineStr">
        <x:is>
          <x:t xml:space="preserve">ИЗД-024</x:t>
        </x:is>
      </x:c>
      <x:c r="F198" s="31" t="n">
        <x:v>60</x:v>
      </x:c>
      <x:c r="G198" s="31" t="inlineStr">
        <x:is>
          <x:t xml:space="preserve">Электромонтаж</x:t>
        </x:is>
      </x:c>
      <x:c r="H198" s="31" t="inlineStr">
        <x:is>
          <x:t xml:space="preserve">Сборка</x:t>
        </x:is>
      </x:c>
      <x:c r="I198" s="31" t="inlineStr">
        <x:is>
          <x:t xml:space="preserve">ОБ-014</x:t>
        </x:is>
      </x:c>
      <x:c r="J198" s="31" t="inlineStr">
        <x:is>
          <x:t xml:space="preserve">СОТР-087</x:t>
        </x:is>
      </x:c>
      <x:c r="K198" s="31" t="n">
        <x:v>3.6</x:v>
      </x:c>
      <x:c r="L198" s="31" t="n">
        <x:v>4.6</x:v>
      </x:c>
      <x:c r="M198" s="31" t="n">
        <x:v>46097</x:v>
      </x:c>
      <x:c r="N198" s="31" t="n">
        <x:v>46098</x:v>
      </x:c>
      <x:c r="O198" s="31" t="n">
        <x:v>46097</x:v>
      </x:c>
      <x:c r="P198" s="31" t="n">
        <x:v>46100</x:v>
      </x:c>
      <x:c r="Q198" s="31" t="inlineStr">
        <x:is>
          <x:t xml:space="preserve">Завершено</x:t>
        </x:is>
      </x:c>
      <x:c r="R198" s="31" t="inlineStr">
        <x:is>
          <x:t xml:space="preserve">Нет</x:t>
        </x:is>
      </x:c>
      <x:c r="S198" s="31" t="inlineStr">
        <x:is>
          <x:t xml:space="preserve">Нет</x:t>
        </x:is>
      </x:c>
    </x:row>
    <x:row r="199" ht="18" customHeight="1">
      <x:c r="A199" s="31" t="inlineStr">
        <x:is>
          <x:t xml:space="preserve">ОП-000198</x:t>
        </x:is>
      </x:c>
      <x:c r="B199" s="31" t="inlineStr">
        <x:is>
          <x:t xml:space="preserve">ПЗ-00023</x:t>
        </x:is>
      </x:c>
      <x:c r="C199" s="31" t="inlineStr">
        <x:is>
          <x:t xml:space="preserve">ЗК-1012</x:t>
        </x:is>
      </x:c>
      <x:c r="D199" s="31" t="inlineStr">
        <x:is>
          <x:t xml:space="preserve">ПОЗ-0012-2</x:t>
        </x:is>
      </x:c>
      <x:c r="E199" s="31" t="inlineStr">
        <x:is>
          <x:t xml:space="preserve">ИЗД-024</x:t>
        </x:is>
      </x:c>
      <x:c r="F199" s="31" t="n">
        <x:v>70</x:v>
      </x:c>
      <x:c r="G199" s="31" t="inlineStr">
        <x:is>
          <x:t xml:space="preserve">Гидроиспытания</x:t>
        </x:is>
      </x:c>
      <x:c r="H199" s="31" t="inlineStr">
        <x:is>
          <x:t xml:space="preserve">ОТК</x:t>
        </x:is>
      </x:c>
      <x:c r="I199" s="31" t="inlineStr">
        <x:is>
          <x:t xml:space="preserve">ОБ-022</x:t>
        </x:is>
      </x:c>
      <x:c r="J199" s="31" t="inlineStr">
        <x:is>
          <x:t xml:space="preserve">СОТР-099</x:t>
        </x:is>
      </x:c>
      <x:c r="K199" s="31" t="n">
        <x:v>5.2</x:v>
      </x:c>
      <x:c r="L199" s="31" t="n">
        <x:v>6.7</x:v>
      </x:c>
      <x:c r="M199" s="31" t="n">
        <x:v>46098</x:v>
      </x:c>
      <x:c r="N199" s="31" t="n">
        <x:v>46099</x:v>
      </x:c>
      <x:c r="O199" s="31" t="n">
        <x:v>46098</x:v>
      </x:c>
      <x:c r="P199" s="31" t="n">
        <x:v>46098</x:v>
      </x:c>
      <x:c r="Q199" s="31" t="inlineStr">
        <x:is>
          <x:t xml:space="preserve">Завершено</x:t>
        </x:is>
      </x:c>
      <x:c r="R199" s="31" t="inlineStr">
        <x:is>
          <x:t xml:space="preserve">Нет</x:t>
        </x:is>
      </x:c>
      <x:c r="S199" s="31" t="inlineStr">
        <x:is>
          <x:t xml:space="preserve">Нет</x:t>
        </x:is>
      </x:c>
    </x:row>
    <x:row r="200" ht="18" customHeight="1">
      <x:c r="A200" s="31" t="inlineStr">
        <x:is>
          <x:t xml:space="preserve">ОП-000199</x:t>
        </x:is>
      </x:c>
      <x:c r="B200" s="31" t="inlineStr">
        <x:is>
          <x:t xml:space="preserve">ПЗ-00023</x:t>
        </x:is>
      </x:c>
      <x:c r="C200" s="31" t="inlineStr">
        <x:is>
          <x:t xml:space="preserve">ЗК-1012</x:t>
        </x:is>
      </x:c>
      <x:c r="D200" s="31" t="inlineStr">
        <x:is>
          <x:t xml:space="preserve">ПОЗ-0012-2</x:t>
        </x:is>
      </x:c>
      <x:c r="E200" s="31" t="inlineStr">
        <x:is>
          <x:t xml:space="preserve">ИЗД-024</x:t>
        </x:is>
      </x:c>
      <x:c r="F200" s="31" t="n">
        <x:v>80</x:v>
      </x:c>
      <x:c r="G200" s="31" t="inlineStr">
        <x:is>
          <x:t xml:space="preserve">ОТК</x:t>
        </x:is>
      </x:c>
      <x:c r="H200" s="31" t="inlineStr">
        <x:is>
          <x:t xml:space="preserve">ОТК</x:t>
        </x:is>
      </x:c>
      <x:c r="I200" s="31" t="inlineStr">
        <x:is>
          <x:t xml:space="preserve">ОБ-024</x:t>
        </x:is>
      </x:c>
      <x:c r="J200" s="31" t="inlineStr">
        <x:is>
          <x:t xml:space="preserve">СОТР-097</x:t>
        </x:is>
      </x:c>
      <x:c r="K200" s="31" t="n">
        <x:v>5.7</x:v>
      </x:c>
      <x:c r="L200" s="31" t="n">
        <x:v>6.6</x:v>
      </x:c>
      <x:c r="M200" s="31" t="n">
        <x:v>46099</x:v>
      </x:c>
      <x:c r="N200" s="31" t="n">
        <x:v>46100</x:v>
      </x:c>
      <x:c r="O200" s="31" t="n">
        <x:v>46099</x:v>
      </x:c>
      <x:c r="P200" s="31" t="n">
        <x:v>46102</x:v>
      </x:c>
      <x:c r="Q200" s="31" t="inlineStr">
        <x:is>
          <x:t xml:space="preserve">Завершено</x:t>
        </x:is>
      </x:c>
      <x:c r="R200" s="31" t="inlineStr">
        <x:is>
          <x:t xml:space="preserve">Нет</x:t>
        </x:is>
      </x:c>
      <x:c r="S200" s="31" t="inlineStr">
        <x:is>
          <x:t xml:space="preserve">Нет</x:t>
        </x:is>
      </x:c>
    </x:row>
    <x:row r="201" ht="18" customHeight="1">
      <x:c r="A201" s="31" t="inlineStr">
        <x:is>
          <x:t xml:space="preserve">ОП-000200</x:t>
        </x:is>
      </x:c>
      <x:c r="B201" s="31" t="inlineStr">
        <x:is>
          <x:t xml:space="preserve">ПЗ-00023</x:t>
        </x:is>
      </x:c>
      <x:c r="C201" s="31" t="inlineStr">
        <x:is>
          <x:t xml:space="preserve">ЗК-1012</x:t>
        </x:is>
      </x:c>
      <x:c r="D201" s="31" t="inlineStr">
        <x:is>
          <x:t xml:space="preserve">ПОЗ-0012-2</x:t>
        </x:is>
      </x:c>
      <x:c r="E201" s="31" t="inlineStr">
        <x:is>
          <x:t xml:space="preserve">ИЗД-024</x:t>
        </x:is>
      </x:c>
      <x:c r="F201" s="31" t="n">
        <x:v>90</x:v>
      </x:c>
      <x:c r="G201" s="31" t="inlineStr">
        <x:is>
          <x:t xml:space="preserve">Упаковка</x:t>
        </x:is>
      </x:c>
      <x:c r="H201" s="31" t="inlineStr">
        <x:is>
          <x:t xml:space="preserve">Логистика</x:t>
        </x:is>
      </x:c>
      <x:c r="I201" s="31" t="n"/>
      <x:c r="J201" s="31" t="inlineStr">
        <x:is>
          <x:t xml:space="preserve">СОТР-104</x:t>
        </x:is>
      </x:c>
      <x:c r="K201" s="31" t="n">
        <x:v>8.6</x:v>
      </x:c>
      <x:c r="L201" s="31" t="n">
        <x:v>7</x:v>
      </x:c>
      <x:c r="M201" s="31" t="n">
        <x:v>46100</x:v>
      </x:c>
      <x:c r="N201" s="31" t="n">
        <x:v>46101</x:v>
      </x:c>
      <x:c r="O201" s="31" t="n">
        <x:v>46100</x:v>
      </x:c>
      <x:c r="P201" s="31" t="n">
        <x:v>46102</x:v>
      </x:c>
      <x:c r="Q201" s="31" t="inlineStr">
        <x:is>
          <x:t xml:space="preserve">Завершено</x:t>
        </x:is>
      </x:c>
      <x:c r="R201" s="31" t="inlineStr">
        <x:is>
          <x:t xml:space="preserve">Нет</x:t>
        </x:is>
      </x:c>
      <x:c r="S201" s="31" t="inlineStr">
        <x:is>
          <x:t xml:space="preserve">Нет</x:t>
        </x:is>
      </x:c>
    </x:row>
    <x:row r="202" ht="18" customHeight="1">
      <x:c r="A202" s="31" t="inlineStr">
        <x:is>
          <x:t xml:space="preserve">ОП-000201</x:t>
        </x:is>
      </x:c>
      <x:c r="B202" s="31" t="inlineStr">
        <x:is>
          <x:t xml:space="preserve">ПЗ-00024</x:t>
        </x:is>
      </x:c>
      <x:c r="C202" s="31" t="inlineStr">
        <x:is>
          <x:t xml:space="preserve">ЗК-1012</x:t>
        </x:is>
      </x:c>
      <x:c r="D202" s="31" t="inlineStr">
        <x:is>
          <x:t xml:space="preserve">ПОЗ-0012-3</x:t>
        </x:is>
      </x:c>
      <x:c r="E202" s="31" t="inlineStr">
        <x:is>
          <x:t xml:space="preserve">ИЗД-019</x:t>
        </x:is>
      </x:c>
      <x:c r="F202" s="31" t="n">
        <x:v>10</x:v>
      </x:c>
      <x:c r="G202" s="31" t="inlineStr">
        <x:is>
          <x:t xml:space="preserve">КД</x:t>
        </x:is>
      </x:c>
      <x:c r="H202" s="31" t="inlineStr">
        <x:is>
          <x:t xml:space="preserve">Инженерный отдел</x:t>
        </x:is>
      </x:c>
      <x:c r="I202" s="31" t="n"/>
      <x:c r="J202" s="31" t="inlineStr">
        <x:is>
          <x:t xml:space="preserve">СОТР-021</x:t>
        </x:is>
      </x:c>
      <x:c r="K202" s="31" t="n">
        <x:v>16.8</x:v>
      </x:c>
      <x:c r="L202" s="31" t="n">
        <x:v>19.2</x:v>
      </x:c>
      <x:c r="M202" s="31" t="n">
        <x:v>46081</x:v>
      </x:c>
      <x:c r="N202" s="31" t="n">
        <x:v>46083</x:v>
      </x:c>
      <x:c r="O202" s="31" t="n">
        <x:v>46081</x:v>
      </x:c>
      <x:c r="P202" s="31" t="n">
        <x:v>46085</x:v>
      </x:c>
      <x:c r="Q202" s="31" t="inlineStr">
        <x:is>
          <x:t xml:space="preserve">Завершено</x:t>
        </x:is>
      </x:c>
      <x:c r="R202" s="31" t="inlineStr">
        <x:is>
          <x:t xml:space="preserve">Нет</x:t>
        </x:is>
      </x:c>
      <x:c r="S202" s="31" t="inlineStr">
        <x:is>
          <x:t xml:space="preserve">Нет</x:t>
        </x:is>
      </x:c>
    </x:row>
    <x:row r="203" ht="18" customHeight="1">
      <x:c r="A203" s="31" t="inlineStr">
        <x:is>
          <x:t xml:space="preserve">ОП-000202</x:t>
        </x:is>
      </x:c>
      <x:c r="B203" s="31" t="inlineStr">
        <x:is>
          <x:t xml:space="preserve">ПЗ-00024</x:t>
        </x:is>
      </x:c>
      <x:c r="C203" s="31" t="inlineStr">
        <x:is>
          <x:t xml:space="preserve">ЗК-1012</x:t>
        </x:is>
      </x:c>
      <x:c r="D203" s="31" t="inlineStr">
        <x:is>
          <x:t xml:space="preserve">ПОЗ-0012-3</x:t>
        </x:is>
      </x:c>
      <x:c r="E203" s="31" t="inlineStr">
        <x:is>
          <x:t xml:space="preserve">ИЗД-019</x:t>
        </x:is>
      </x:c>
      <x:c r="F203" s="31" t="n">
        <x:v>20</x:v>
      </x:c>
      <x:c r="G203" s="31" t="inlineStr">
        <x:is>
          <x:t xml:space="preserve">Резерв материалов</x:t>
        </x:is>
      </x:c>
      <x:c r="H203" s="31" t="inlineStr">
        <x:is>
          <x:t xml:space="preserve">Склад</x:t>
        </x:is>
      </x:c>
      <x:c r="I203" s="31" t="inlineStr">
        <x:is>
          <x:t xml:space="preserve">ОБ-009</x:t>
        </x:is>
      </x:c>
      <x:c r="J203" s="31" t="inlineStr">
        <x:is>
          <x:t xml:space="preserve">СОТР-034</x:t>
        </x:is>
      </x:c>
      <x:c r="K203" s="31" t="n">
        <x:v>10</x:v>
      </x:c>
      <x:c r="L203" s="31" t="n">
        <x:v>11.5</x:v>
      </x:c>
      <x:c r="M203" s="31" t="n">
        <x:v>46083</x:v>
      </x:c>
      <x:c r="N203" s="31" t="n">
        <x:v>46084</x:v>
      </x:c>
      <x:c r="O203" s="31" t="n">
        <x:v>46083</x:v>
      </x:c>
      <x:c r="P203" s="31" t="n">
        <x:v>46086</x:v>
      </x:c>
      <x:c r="Q203" s="31" t="inlineStr">
        <x:is>
          <x:t xml:space="preserve">Завершено</x:t>
        </x:is>
      </x:c>
      <x:c r="R203" s="31" t="inlineStr">
        <x:is>
          <x:t xml:space="preserve">Нет</x:t>
        </x:is>
      </x:c>
      <x:c r="S203" s="31" t="inlineStr">
        <x:is>
          <x:t xml:space="preserve">Нет</x:t>
        </x:is>
      </x:c>
    </x:row>
    <x:row r="204" ht="18" customHeight="1">
      <x:c r="A204" s="31" t="inlineStr">
        <x:is>
          <x:t xml:space="preserve">ОП-000203</x:t>
        </x:is>
      </x:c>
      <x:c r="B204" s="31" t="inlineStr">
        <x:is>
          <x:t xml:space="preserve">ПЗ-00024</x:t>
        </x:is>
      </x:c>
      <x:c r="C204" s="31" t="inlineStr">
        <x:is>
          <x:t xml:space="preserve">ЗК-1012</x:t>
        </x:is>
      </x:c>
      <x:c r="D204" s="31" t="inlineStr">
        <x:is>
          <x:t xml:space="preserve">ПОЗ-0012-3</x:t>
        </x:is>
      </x:c>
      <x:c r="E204" s="31" t="inlineStr">
        <x:is>
          <x:t xml:space="preserve">ИЗД-019</x:t>
        </x:is>
      </x:c>
      <x:c r="F204" s="31" t="n">
        <x:v>30</x:v>
      </x:c>
      <x:c r="G204" s="31" t="inlineStr">
        <x:is>
          <x:t xml:space="preserve">Резка металла</x:t>
        </x:is>
      </x:c>
      <x:c r="H204" s="31" t="inlineStr">
        <x:is>
          <x:t xml:space="preserve">Сварка</x:t>
        </x:is>
      </x:c>
      <x:c r="I204" s="31" t="inlineStr">
        <x:is>
          <x:t xml:space="preserve">ОБ-004</x:t>
        </x:is>
      </x:c>
      <x:c r="J204" s="31" t="inlineStr">
        <x:is>
          <x:t xml:space="preserve">СОТР-072</x:t>
        </x:is>
      </x:c>
      <x:c r="K204" s="31" t="n">
        <x:v>5.8</x:v>
      </x:c>
      <x:c r="L204" s="31" t="n">
        <x:v>6.7</x:v>
      </x:c>
      <x:c r="M204" s="31" t="n">
        <x:v>46084</x:v>
      </x:c>
      <x:c r="N204" s="31" t="n">
        <x:v>46085</x:v>
      </x:c>
      <x:c r="O204" s="31" t="n">
        <x:v>46084</x:v>
      </x:c>
      <x:c r="P204" s="31" t="n">
        <x:v>46084</x:v>
      </x:c>
      <x:c r="Q204" s="31" t="inlineStr">
        <x:is>
          <x:t xml:space="preserve">Завершено</x:t>
        </x:is>
      </x:c>
      <x:c r="R204" s="31" t="inlineStr">
        <x:is>
          <x:t xml:space="preserve">Нет</x:t>
        </x:is>
      </x:c>
      <x:c r="S204" s="31" t="inlineStr">
        <x:is>
          <x:t xml:space="preserve">Нет</x:t>
        </x:is>
      </x:c>
    </x:row>
    <x:row r="205" ht="18" customHeight="1">
      <x:c r="A205" s="31" t="inlineStr">
        <x:is>
          <x:t xml:space="preserve">ОП-000204</x:t>
        </x:is>
      </x:c>
      <x:c r="B205" s="31" t="inlineStr">
        <x:is>
          <x:t xml:space="preserve">ПЗ-00024</x:t>
        </x:is>
      </x:c>
      <x:c r="C205" s="31" t="inlineStr">
        <x:is>
          <x:t xml:space="preserve">ЗК-1012</x:t>
        </x:is>
      </x:c>
      <x:c r="D205" s="31" t="inlineStr">
        <x:is>
          <x:t xml:space="preserve">ПОЗ-0012-3</x:t>
        </x:is>
      </x:c>
      <x:c r="E205" s="31" t="inlineStr">
        <x:is>
          <x:t xml:space="preserve">ИЗД-019</x:t>
        </x:is>
      </x:c>
      <x:c r="F205" s="31" t="n">
        <x:v>40</x:v>
      </x:c>
      <x:c r="G205" s="31" t="inlineStr">
        <x:is>
          <x:t xml:space="preserve">Сварка рамы</x:t>
        </x:is>
      </x:c>
      <x:c r="H205" s="31" t="inlineStr">
        <x:is>
          <x:t xml:space="preserve">Сварка</x:t>
        </x:is>
      </x:c>
      <x:c r="I205" s="31" t="inlineStr">
        <x:is>
          <x:t xml:space="preserve">ОБ-003</x:t>
        </x:is>
      </x:c>
      <x:c r="J205" s="31" t="inlineStr">
        <x:is>
          <x:t xml:space="preserve">СОТР-065</x:t>
        </x:is>
      </x:c>
      <x:c r="K205" s="31" t="n">
        <x:v>6.4</x:v>
      </x:c>
      <x:c r="L205" s="31" t="n">
        <x:v>7</x:v>
      </x:c>
      <x:c r="M205" s="31" t="n">
        <x:v>46085</x:v>
      </x:c>
      <x:c r="N205" s="31" t="n">
        <x:v>46086</x:v>
      </x:c>
      <x:c r="O205" s="31" t="n">
        <x:v>46085</x:v>
      </x:c>
      <x:c r="P205" s="31" t="n">
        <x:v>46086</x:v>
      </x:c>
      <x:c r="Q205" s="31" t="inlineStr">
        <x:is>
          <x:t xml:space="preserve">Завершено</x:t>
        </x:is>
      </x:c>
      <x:c r="R205" s="31" t="inlineStr">
        <x:is>
          <x:t xml:space="preserve">Нет</x:t>
        </x:is>
      </x:c>
      <x:c r="S205" s="31" t="inlineStr">
        <x:is>
          <x:t xml:space="preserve">Нет</x:t>
        </x:is>
      </x:c>
    </x:row>
    <x:row r="206" ht="18" customHeight="1">
      <x:c r="A206" s="31" t="inlineStr">
        <x:is>
          <x:t xml:space="preserve">ОП-000205</x:t>
        </x:is>
      </x:c>
      <x:c r="B206" s="31" t="inlineStr">
        <x:is>
          <x:t xml:space="preserve">ПЗ-00024</x:t>
        </x:is>
      </x:c>
      <x:c r="C206" s="31" t="inlineStr">
        <x:is>
          <x:t xml:space="preserve">ЗК-1012</x:t>
        </x:is>
      </x:c>
      <x:c r="D206" s="31" t="inlineStr">
        <x:is>
          <x:t xml:space="preserve">ПОЗ-0012-3</x:t>
        </x:is>
      </x:c>
      <x:c r="E206" s="31" t="inlineStr">
        <x:is>
          <x:t xml:space="preserve">ИЗД-019</x:t>
        </x:is>
      </x:c>
      <x:c r="F206" s="31" t="n">
        <x:v>50</x:v>
      </x:c>
      <x:c r="G206" s="31" t="inlineStr">
        <x:is>
          <x:t xml:space="preserve">Механообработка</x:t>
        </x:is>
      </x:c>
      <x:c r="H206" s="31" t="inlineStr">
        <x:is>
          <x:t xml:space="preserve">Механообработка</x:t>
        </x:is>
      </x:c>
      <x:c r="I206" s="31" t="inlineStr">
        <x:is>
          <x:t xml:space="preserve">ОБ-031</x:t>
        </x:is>
      </x:c>
      <x:c r="J206" s="31" t="inlineStr">
        <x:is>
          <x:t xml:space="preserve">СОТР-050</x:t>
        </x:is>
      </x:c>
      <x:c r="K206" s="31" t="n">
        <x:v>7.4</x:v>
      </x:c>
      <x:c r="L206" s="31" t="n">
        <x:v>9.6</x:v>
      </x:c>
      <x:c r="M206" s="31" t="n">
        <x:v>46086</x:v>
      </x:c>
      <x:c r="N206" s="31" t="n">
        <x:v>46087</x:v>
      </x:c>
      <x:c r="O206" s="31" t="n">
        <x:v>46086</x:v>
      </x:c>
      <x:c r="P206" s="31" t="n">
        <x:v>46087</x:v>
      </x:c>
      <x:c r="Q206" s="31" t="inlineStr">
        <x:is>
          <x:t xml:space="preserve">Завершено</x:t>
        </x:is>
      </x:c>
      <x:c r="R206" s="31" t="inlineStr">
        <x:is>
          <x:t xml:space="preserve">Нет</x:t>
        </x:is>
      </x:c>
      <x:c r="S206" s="31" t="inlineStr">
        <x:is>
          <x:t xml:space="preserve">Нет</x:t>
        </x:is>
      </x:c>
    </x:row>
    <x:row r="207" ht="18" customHeight="1">
      <x:c r="A207" s="31" t="inlineStr">
        <x:is>
          <x:t xml:space="preserve">ОП-000206</x:t>
        </x:is>
      </x:c>
      <x:c r="B207" s="31" t="inlineStr">
        <x:is>
          <x:t xml:space="preserve">ПЗ-00024</x:t>
        </x:is>
      </x:c>
      <x:c r="C207" s="31" t="inlineStr">
        <x:is>
          <x:t xml:space="preserve">ЗК-1012</x:t>
        </x:is>
      </x:c>
      <x:c r="D207" s="31" t="inlineStr">
        <x:is>
          <x:t xml:space="preserve">ПОЗ-0012-3</x:t>
        </x:is>
      </x:c>
      <x:c r="E207" s="31" t="inlineStr">
        <x:is>
          <x:t xml:space="preserve">ИЗД-019</x:t>
        </x:is>
      </x:c>
      <x:c r="F207" s="31" t="n">
        <x:v>60</x:v>
      </x:c>
      <x:c r="G207" s="31" t="inlineStr">
        <x:is>
          <x:t xml:space="preserve">Сборка</x:t>
        </x:is>
      </x:c>
      <x:c r="H207" s="31" t="inlineStr">
        <x:is>
          <x:t xml:space="preserve">Сборка</x:t>
        </x:is>
      </x:c>
      <x:c r="I207" s="31" t="inlineStr">
        <x:is>
          <x:t xml:space="preserve">ОБ-017</x:t>
        </x:is>
      </x:c>
      <x:c r="J207" s="31" t="inlineStr">
        <x:is>
          <x:t xml:space="preserve">СОТР-032</x:t>
        </x:is>
      </x:c>
      <x:c r="K207" s="31" t="n">
        <x:v>4.2</x:v>
      </x:c>
      <x:c r="L207" s="31" t="n">
        <x:v>5.3</x:v>
      </x:c>
      <x:c r="M207" s="31" t="n">
        <x:v>46087</x:v>
      </x:c>
      <x:c r="N207" s="31" t="n">
        <x:v>46088</x:v>
      </x:c>
      <x:c r="O207" s="31" t="n">
        <x:v>46087</x:v>
      </x:c>
      <x:c r="P207" s="31" t="n">
        <x:v>46089</x:v>
      </x:c>
      <x:c r="Q207" s="31" t="inlineStr">
        <x:is>
          <x:t xml:space="preserve">Завершено</x:t>
        </x:is>
      </x:c>
      <x:c r="R207" s="31" t="inlineStr">
        <x:is>
          <x:t xml:space="preserve">Оборудование</x:t>
        </x:is>
      </x:c>
      <x:c r="S207" s="31" t="inlineStr">
        <x:is>
          <x:t xml:space="preserve">Да</x:t>
        </x:is>
      </x:c>
    </x:row>
    <x:row r="208" ht="18" customHeight="1">
      <x:c r="A208" s="31" t="inlineStr">
        <x:is>
          <x:t xml:space="preserve">ОП-000207</x:t>
        </x:is>
      </x:c>
      <x:c r="B208" s="31" t="inlineStr">
        <x:is>
          <x:t xml:space="preserve">ПЗ-00024</x:t>
        </x:is>
      </x:c>
      <x:c r="C208" s="31" t="inlineStr">
        <x:is>
          <x:t xml:space="preserve">ЗК-1012</x:t>
        </x:is>
      </x:c>
      <x:c r="D208" s="31" t="inlineStr">
        <x:is>
          <x:t xml:space="preserve">ПОЗ-0012-3</x:t>
        </x:is>
      </x:c>
      <x:c r="E208" s="31" t="inlineStr">
        <x:is>
          <x:t xml:space="preserve">ИЗД-019</x:t>
        </x:is>
      </x:c>
      <x:c r="F208" s="31" t="n">
        <x:v>70</x:v>
      </x:c>
      <x:c r="G208" s="31" t="inlineStr">
        <x:is>
          <x:t xml:space="preserve">Электромонтаж</x:t>
        </x:is>
      </x:c>
      <x:c r="H208" s="31" t="inlineStr">
        <x:is>
          <x:t xml:space="preserve">Сборка</x:t>
        </x:is>
      </x:c>
      <x:c r="I208" s="31" t="inlineStr">
        <x:is>
          <x:t xml:space="preserve">ОБ-027</x:t>
        </x:is>
      </x:c>
      <x:c r="J208" s="31" t="inlineStr">
        <x:is>
          <x:t xml:space="preserve">СОТР-075</x:t>
        </x:is>
      </x:c>
      <x:c r="K208" s="31" t="n">
        <x:v>8.800000000000001</x:v>
      </x:c>
      <x:c r="L208" s="31" t="n">
        <x:v>11.4</x:v>
      </x:c>
      <x:c r="M208" s="31" t="n">
        <x:v>46088</x:v>
      </x:c>
      <x:c r="N208" s="31" t="n">
        <x:v>46089</x:v>
      </x:c>
      <x:c r="O208" s="31" t="n">
        <x:v>46088</x:v>
      </x:c>
      <x:c r="P208" s="31" t="n">
        <x:v>46089</x:v>
      </x:c>
      <x:c r="Q208" s="31" t="inlineStr">
        <x:is>
          <x:t xml:space="preserve">Завершено</x:t>
        </x:is>
      </x:c>
      <x:c r="R208" s="31" t="inlineStr">
        <x:is>
          <x:t xml:space="preserve">Нет</x:t>
        </x:is>
      </x:c>
      <x:c r="S208" s="31" t="inlineStr">
        <x:is>
          <x:t xml:space="preserve">Нет</x:t>
        </x:is>
      </x:c>
    </x:row>
    <x:row r="209" ht="18" customHeight="1">
      <x:c r="A209" s="31" t="inlineStr">
        <x:is>
          <x:t xml:space="preserve">ОП-000208</x:t>
        </x:is>
      </x:c>
      <x:c r="B209" s="31" t="inlineStr">
        <x:is>
          <x:t xml:space="preserve">ПЗ-00024</x:t>
        </x:is>
      </x:c>
      <x:c r="C209" s="31" t="inlineStr">
        <x:is>
          <x:t xml:space="preserve">ЗК-1012</x:t>
        </x:is>
      </x:c>
      <x:c r="D209" s="31" t="inlineStr">
        <x:is>
          <x:t xml:space="preserve">ПОЗ-0012-3</x:t>
        </x:is>
      </x:c>
      <x:c r="E209" s="31" t="inlineStr">
        <x:is>
          <x:t xml:space="preserve">ИЗД-019</x:t>
        </x:is>
      </x:c>
      <x:c r="F209" s="31" t="n">
        <x:v>80</x:v>
      </x:c>
      <x:c r="G209" s="31" t="inlineStr">
        <x:is>
          <x:t xml:space="preserve">Гидроиспытания</x:t>
        </x:is>
      </x:c>
      <x:c r="H209" s="31" t="inlineStr">
        <x:is>
          <x:t xml:space="preserve">ОТК</x:t>
        </x:is>
      </x:c>
      <x:c r="I209" s="31" t="inlineStr">
        <x:is>
          <x:t xml:space="preserve">ОБ-028</x:t>
        </x:is>
      </x:c>
      <x:c r="J209" s="31" t="inlineStr">
        <x:is>
          <x:t xml:space="preserve">СОТР-063</x:t>
        </x:is>
      </x:c>
      <x:c r="K209" s="31" t="n">
        <x:v>8.800000000000001</x:v>
      </x:c>
      <x:c r="L209" s="31" t="n">
        <x:v>9</x:v>
      </x:c>
      <x:c r="M209" s="31" t="n">
        <x:v>46089</x:v>
      </x:c>
      <x:c r="N209" s="31" t="n">
        <x:v>46090</x:v>
      </x:c>
      <x:c r="O209" s="31" t="n">
        <x:v>46089</x:v>
      </x:c>
      <x:c r="P209" s="31" t="n">
        <x:v>46090</x:v>
      </x:c>
      <x:c r="Q209" s="31" t="inlineStr">
        <x:is>
          <x:t xml:space="preserve">Завершено</x:t>
        </x:is>
      </x:c>
      <x:c r="R209" s="31" t="inlineStr">
        <x:is>
          <x:t xml:space="preserve">Нет</x:t>
        </x:is>
      </x:c>
      <x:c r="S209" s="31" t="inlineStr">
        <x:is>
          <x:t xml:space="preserve">Нет</x:t>
        </x:is>
      </x:c>
    </x:row>
    <x:row r="210" ht="18" customHeight="1">
      <x:c r="A210" s="31" t="inlineStr">
        <x:is>
          <x:t xml:space="preserve">ОП-000209</x:t>
        </x:is>
      </x:c>
      <x:c r="B210" s="31" t="inlineStr">
        <x:is>
          <x:t xml:space="preserve">ПЗ-00024</x:t>
        </x:is>
      </x:c>
      <x:c r="C210" s="31" t="inlineStr">
        <x:is>
          <x:t xml:space="preserve">ЗК-1012</x:t>
        </x:is>
      </x:c>
      <x:c r="D210" s="31" t="inlineStr">
        <x:is>
          <x:t xml:space="preserve">ПОЗ-0012-3</x:t>
        </x:is>
      </x:c>
      <x:c r="E210" s="31" t="inlineStr">
        <x:is>
          <x:t xml:space="preserve">ИЗД-019</x:t>
        </x:is>
      </x:c>
      <x:c r="F210" s="31" t="n">
        <x:v>90</x:v>
      </x:c>
      <x:c r="G210" s="31" t="inlineStr">
        <x:is>
          <x:t xml:space="preserve">ОТК</x:t>
        </x:is>
      </x:c>
      <x:c r="H210" s="31" t="inlineStr">
        <x:is>
          <x:t xml:space="preserve">ОТК</x:t>
        </x:is>
      </x:c>
      <x:c r="I210" s="31" t="inlineStr">
        <x:is>
          <x:t xml:space="preserve">ОБ-024</x:t>
        </x:is>
      </x:c>
      <x:c r="J210" s="31" t="inlineStr">
        <x:is>
          <x:t xml:space="preserve">СОТР-093</x:t>
        </x:is>
      </x:c>
      <x:c r="K210" s="31" t="n">
        <x:v>6.6</x:v>
      </x:c>
      <x:c r="L210" s="31" t="n">
        <x:v>7.7</x:v>
      </x:c>
      <x:c r="M210" s="31" t="n">
        <x:v>46090</x:v>
      </x:c>
      <x:c r="N210" s="31" t="n">
        <x:v>46091</x:v>
      </x:c>
      <x:c r="O210" s="31" t="n">
        <x:v>46090</x:v>
      </x:c>
      <x:c r="P210" s="31" t="n">
        <x:v>46093</x:v>
      </x:c>
      <x:c r="Q210" s="31" t="inlineStr">
        <x:is>
          <x:t xml:space="preserve">Завершено</x:t>
        </x:is>
      </x:c>
      <x:c r="R210" s="31" t="inlineStr">
        <x:is>
          <x:t xml:space="preserve">Нет</x:t>
        </x:is>
      </x:c>
      <x:c r="S210" s="31" t="inlineStr">
        <x:is>
          <x:t xml:space="preserve">Нет</x:t>
        </x:is>
      </x:c>
    </x:row>
    <x:row r="211" ht="18" customHeight="1">
      <x:c r="A211" s="31" t="inlineStr">
        <x:is>
          <x:t xml:space="preserve">ОП-000210</x:t>
        </x:is>
      </x:c>
      <x:c r="B211" s="31" t="inlineStr">
        <x:is>
          <x:t xml:space="preserve">ПЗ-00024</x:t>
        </x:is>
      </x:c>
      <x:c r="C211" s="31" t="inlineStr">
        <x:is>
          <x:t xml:space="preserve">ЗК-1012</x:t>
        </x:is>
      </x:c>
      <x:c r="D211" s="31" t="inlineStr">
        <x:is>
          <x:t xml:space="preserve">ПОЗ-0012-3</x:t>
        </x:is>
      </x:c>
      <x:c r="E211" s="31" t="inlineStr">
        <x:is>
          <x:t xml:space="preserve">ИЗД-019</x:t>
        </x:is>
      </x:c>
      <x:c r="F211" s="31" t="n">
        <x:v>100</x:v>
      </x:c>
      <x:c r="G211" s="31" t="inlineStr">
        <x:is>
          <x:t xml:space="preserve">Упаковка</x:t>
        </x:is>
      </x:c>
      <x:c r="H211" s="31" t="inlineStr">
        <x:is>
          <x:t xml:space="preserve">Логистика</x:t>
        </x:is>
      </x:c>
      <x:c r="I211" s="31" t="n"/>
      <x:c r="J211" s="31" t="inlineStr">
        <x:is>
          <x:t xml:space="preserve">СОТР-104</x:t>
        </x:is>
      </x:c>
      <x:c r="K211" s="31" t="n">
        <x:v>9.4</x:v>
      </x:c>
      <x:c r="L211" s="31" t="n">
        <x:v>9.6</x:v>
      </x:c>
      <x:c r="M211" s="31" t="n">
        <x:v>46091</x:v>
      </x:c>
      <x:c r="N211" s="31" t="n">
        <x:v>46092</x:v>
      </x:c>
      <x:c r="O211" s="31" t="n">
        <x:v>46091</x:v>
      </x:c>
      <x:c r="P211" s="31" t="n">
        <x:v>46093</x:v>
      </x:c>
      <x:c r="Q211" s="31" t="inlineStr">
        <x:is>
          <x:t xml:space="preserve">Завершено</x:t>
        </x:is>
      </x:c>
      <x:c r="R211" s="31" t="inlineStr">
        <x:is>
          <x:t xml:space="preserve">Нет</x:t>
        </x:is>
      </x:c>
      <x:c r="S211" s="31" t="inlineStr">
        <x:is>
          <x:t xml:space="preserve">Нет</x:t>
        </x:is>
      </x:c>
    </x:row>
    <x:row r="212" ht="18" customHeight="1">
      <x:c r="A212" s="31" t="inlineStr">
        <x:is>
          <x:t xml:space="preserve">ОП-000211</x:t>
        </x:is>
      </x:c>
      <x:c r="B212" s="31" t="inlineStr">
        <x:is>
          <x:t xml:space="preserve">ПЗ-00025</x:t>
        </x:is>
      </x:c>
      <x:c r="C212" s="31" t="inlineStr">
        <x:is>
          <x:t xml:space="preserve">ЗК-1012</x:t>
        </x:is>
      </x:c>
      <x:c r="D212" s="31" t="inlineStr">
        <x:is>
          <x:t xml:space="preserve">ПОЗ-0012-4</x:t>
        </x:is>
      </x:c>
      <x:c r="E212" s="31" t="inlineStr">
        <x:is>
          <x:t xml:space="preserve">ИЗД-026</x:t>
        </x:is>
      </x:c>
      <x:c r="F212" s="31" t="n">
        <x:v>10</x:v>
      </x:c>
      <x:c r="G212" s="31" t="inlineStr">
        <x:is>
          <x:t xml:space="preserve">КД</x:t>
        </x:is>
      </x:c>
      <x:c r="H212" s="31" t="inlineStr">
        <x:is>
          <x:t xml:space="preserve">Инженерный отдел</x:t>
        </x:is>
      </x:c>
      <x:c r="I212" s="31" t="n"/>
      <x:c r="J212" s="31" t="inlineStr">
        <x:is>
          <x:t xml:space="preserve">СОТР-012</x:t>
        </x:is>
      </x:c>
      <x:c r="K212" s="31" t="n">
        <x:v>28.4</x:v>
      </x:c>
      <x:c r="L212" s="31" t="n">
        <x:v>34.9</x:v>
      </x:c>
      <x:c r="M212" s="31" t="n">
        <x:v>46075</x:v>
      </x:c>
      <x:c r="N212" s="31" t="n">
        <x:v>46078</x:v>
      </x:c>
      <x:c r="O212" s="31" t="n">
        <x:v>46075</x:v>
      </x:c>
      <x:c r="P212" s="31" t="n">
        <x:v>46078</x:v>
      </x:c>
      <x:c r="Q212" s="31" t="inlineStr">
        <x:is>
          <x:t xml:space="preserve">Завершено</x:t>
        </x:is>
      </x:c>
      <x:c r="R212" s="31" t="inlineStr">
        <x:is>
          <x:t xml:space="preserve">Нет</x:t>
        </x:is>
      </x:c>
      <x:c r="S212" s="31" t="inlineStr">
        <x:is>
          <x:t xml:space="preserve">Нет</x:t>
        </x:is>
      </x:c>
    </x:row>
    <x:row r="213" ht="18" customHeight="1">
      <x:c r="A213" s="31" t="inlineStr">
        <x:is>
          <x:t xml:space="preserve">ОП-000212</x:t>
        </x:is>
      </x:c>
      <x:c r="B213" s="31" t="inlineStr">
        <x:is>
          <x:t xml:space="preserve">ПЗ-00025</x:t>
        </x:is>
      </x:c>
      <x:c r="C213" s="31" t="inlineStr">
        <x:is>
          <x:t xml:space="preserve">ЗК-1012</x:t>
        </x:is>
      </x:c>
      <x:c r="D213" s="31" t="inlineStr">
        <x:is>
          <x:t xml:space="preserve">ПОЗ-0012-4</x:t>
        </x:is>
      </x:c>
      <x:c r="E213" s="31" t="inlineStr">
        <x:is>
          <x:t xml:space="preserve">ИЗД-026</x:t>
        </x:is>
      </x:c>
      <x:c r="F213" s="31" t="n">
        <x:v>20</x:v>
      </x:c>
      <x:c r="G213" s="31" t="inlineStr">
        <x:is>
          <x:t xml:space="preserve">Комплектация</x:t>
        </x:is>
      </x:c>
      <x:c r="H213" s="31" t="inlineStr">
        <x:is>
          <x:t xml:space="preserve">Склад</x:t>
        </x:is>
      </x:c>
      <x:c r="I213" s="31" t="inlineStr">
        <x:is>
          <x:t xml:space="preserve">ОБ-025</x:t>
        </x:is>
      </x:c>
      <x:c r="J213" s="31" t="inlineStr">
        <x:is>
          <x:t xml:space="preserve">СОТР-036</x:t>
        </x:is>
      </x:c>
      <x:c r="K213" s="31" t="n">
        <x:v>23.8</x:v>
      </x:c>
      <x:c r="L213" s="31" t="n">
        <x:v>27.2</x:v>
      </x:c>
      <x:c r="M213" s="31" t="n">
        <x:v>46078</x:v>
      </x:c>
      <x:c r="N213" s="31" t="n">
        <x:v>46080</x:v>
      </x:c>
      <x:c r="O213" s="31" t="n">
        <x:v>46078</x:v>
      </x:c>
      <x:c r="P213" s="31" t="n">
        <x:v>46081</x:v>
      </x:c>
      <x:c r="Q213" s="31" t="inlineStr">
        <x:is>
          <x:t xml:space="preserve">Завершено</x:t>
        </x:is>
      </x:c>
      <x:c r="R213" s="31" t="inlineStr">
        <x:is>
          <x:t xml:space="preserve">Нет</x:t>
        </x:is>
      </x:c>
      <x:c r="S213" s="31" t="inlineStr">
        <x:is>
          <x:t xml:space="preserve">Нет</x:t>
        </x:is>
      </x:c>
    </x:row>
    <x:row r="214" ht="18" customHeight="1">
      <x:c r="A214" s="31" t="inlineStr">
        <x:is>
          <x:t xml:space="preserve">ОП-000213</x:t>
        </x:is>
      </x:c>
      <x:c r="B214" s="31" t="inlineStr">
        <x:is>
          <x:t xml:space="preserve">ПЗ-00025</x:t>
        </x:is>
      </x:c>
      <x:c r="C214" s="31" t="inlineStr">
        <x:is>
          <x:t xml:space="preserve">ЗК-1012</x:t>
        </x:is>
      </x:c>
      <x:c r="D214" s="31" t="inlineStr">
        <x:is>
          <x:t xml:space="preserve">ПОЗ-0012-4</x:t>
        </x:is>
      </x:c>
      <x:c r="E214" s="31" t="inlineStr">
        <x:is>
          <x:t xml:space="preserve">ИЗД-026</x:t>
        </x:is>
      </x:c>
      <x:c r="F214" s="31" t="n">
        <x:v>30</x:v>
      </x:c>
      <x:c r="G214" s="31" t="inlineStr">
        <x:is>
          <x:t xml:space="preserve">Сборка шкафа</x:t>
        </x:is>
      </x:c>
      <x:c r="H214" s="31" t="inlineStr">
        <x:is>
          <x:t xml:space="preserve">Сборка</x:t>
        </x:is>
      </x:c>
      <x:c r="I214" s="31" t="inlineStr">
        <x:is>
          <x:t xml:space="preserve">ОБ-016</x:t>
        </x:is>
      </x:c>
      <x:c r="J214" s="31" t="inlineStr">
        <x:is>
          <x:t xml:space="preserve">СОТР-078</x:t>
        </x:is>
      </x:c>
      <x:c r="K214" s="31" t="n">
        <x:v>7.6</x:v>
      </x:c>
      <x:c r="L214" s="31" t="n">
        <x:v>9.199999999999999</x:v>
      </x:c>
      <x:c r="M214" s="31" t="n">
        <x:v>46080</x:v>
      </x:c>
      <x:c r="N214" s="31" t="n">
        <x:v>46081</x:v>
      </x:c>
      <x:c r="O214" s="31" t="n">
        <x:v>46080</x:v>
      </x:c>
      <x:c r="P214" s="31" t="n">
        <x:v>46083</x:v>
      </x:c>
      <x:c r="Q214" s="31" t="inlineStr">
        <x:is>
          <x:t xml:space="preserve">Завершено</x:t>
        </x:is>
      </x:c>
      <x:c r="R214" s="31" t="inlineStr">
        <x:is>
          <x:t xml:space="preserve">Нет</x:t>
        </x:is>
      </x:c>
      <x:c r="S214" s="31" t="inlineStr">
        <x:is>
          <x:t xml:space="preserve">Нет</x:t>
        </x:is>
      </x:c>
    </x:row>
    <x:row r="215" ht="18" customHeight="1">
      <x:c r="A215" s="31" t="inlineStr">
        <x:is>
          <x:t xml:space="preserve">ОП-000214</x:t>
        </x:is>
      </x:c>
      <x:c r="B215" s="31" t="inlineStr">
        <x:is>
          <x:t xml:space="preserve">ПЗ-00025</x:t>
        </x:is>
      </x:c>
      <x:c r="C215" s="31" t="inlineStr">
        <x:is>
          <x:t xml:space="preserve">ЗК-1012</x:t>
        </x:is>
      </x:c>
      <x:c r="D215" s="31" t="inlineStr">
        <x:is>
          <x:t xml:space="preserve">ПОЗ-0012-4</x:t>
        </x:is>
      </x:c>
      <x:c r="E215" s="31" t="inlineStr">
        <x:is>
          <x:t xml:space="preserve">ИЗД-026</x:t>
        </x:is>
      </x:c>
      <x:c r="F215" s="31" t="n">
        <x:v>40</x:v>
      </x:c>
      <x:c r="G215" s="31" t="inlineStr">
        <x:is>
          <x:t xml:space="preserve">Маркировка</x:t>
        </x:is>
      </x:c>
      <x:c r="H215" s="31" t="inlineStr">
        <x:is>
          <x:t xml:space="preserve">Сборка</x:t>
        </x:is>
      </x:c>
      <x:c r="I215" s="31" t="inlineStr">
        <x:is>
          <x:t xml:space="preserve">ОБ-002</x:t>
        </x:is>
      </x:c>
      <x:c r="J215" s="31" t="inlineStr">
        <x:is>
          <x:t xml:space="preserve">СОТР-091</x:t>
        </x:is>
      </x:c>
      <x:c r="K215" s="31" t="n">
        <x:v>37.2</x:v>
      </x:c>
      <x:c r="L215" s="31" t="n">
        <x:v>42</x:v>
      </x:c>
      <x:c r="M215" s="31" t="n">
        <x:v>46081</x:v>
      </x:c>
      <x:c r="N215" s="31" t="n">
        <x:v>46085</x:v>
      </x:c>
      <x:c r="O215" s="31" t="n">
        <x:v>46081</x:v>
      </x:c>
      <x:c r="P215" s="31" t="n">
        <x:v>46087</x:v>
      </x:c>
      <x:c r="Q215" s="31" t="inlineStr">
        <x:is>
          <x:t xml:space="preserve">Завершено</x:t>
        </x:is>
      </x:c>
      <x:c r="R215" s="31" t="inlineStr">
        <x:is>
          <x:t xml:space="preserve">Оборудование</x:t>
        </x:is>
      </x:c>
      <x:c r="S215" s="31" t="inlineStr">
        <x:is>
          <x:t xml:space="preserve">Нет</x:t>
        </x:is>
      </x:c>
    </x:row>
    <x:row r="216" ht="18" customHeight="1">
      <x:c r="A216" s="31" t="inlineStr">
        <x:is>
          <x:t xml:space="preserve">ОП-000215</x:t>
        </x:is>
      </x:c>
      <x:c r="B216" s="31" t="inlineStr">
        <x:is>
          <x:t xml:space="preserve">ПЗ-00025</x:t>
        </x:is>
      </x:c>
      <x:c r="C216" s="31" t="inlineStr">
        <x:is>
          <x:t xml:space="preserve">ЗК-1012</x:t>
        </x:is>
      </x:c>
      <x:c r="D216" s="31" t="inlineStr">
        <x:is>
          <x:t xml:space="preserve">ПОЗ-0012-4</x:t>
        </x:is>
      </x:c>
      <x:c r="E216" s="31" t="inlineStr">
        <x:is>
          <x:t xml:space="preserve">ИЗД-026</x:t>
        </x:is>
      </x:c>
      <x:c r="F216" s="31" t="n">
        <x:v>50</x:v>
      </x:c>
      <x:c r="G216" s="31" t="inlineStr">
        <x:is>
          <x:t xml:space="preserve">Электромонтаж</x:t>
        </x:is>
      </x:c>
      <x:c r="H216" s="31" t="inlineStr">
        <x:is>
          <x:t xml:space="preserve">Сборка</x:t>
        </x:is>
      </x:c>
      <x:c r="I216" s="31" t="inlineStr">
        <x:is>
          <x:t xml:space="preserve">ОБ-016</x:t>
        </x:is>
      </x:c>
      <x:c r="J216" s="31" t="inlineStr">
        <x:is>
          <x:t xml:space="preserve">СОТР-073</x:t>
        </x:is>
      </x:c>
      <x:c r="K216" s="31" t="n">
        <x:v>15.8</x:v>
      </x:c>
      <x:c r="L216" s="31" t="n">
        <x:v>19.9</x:v>
      </x:c>
      <x:c r="M216" s="31" t="n">
        <x:v>46085</x:v>
      </x:c>
      <x:c r="N216" s="31" t="n">
        <x:v>46087</x:v>
      </x:c>
      <x:c r="O216" s="31" t="n">
        <x:v>46085</x:v>
      </x:c>
      <x:c r="P216" s="31" t="n">
        <x:v>46086</x:v>
      </x:c>
      <x:c r="Q216" s="31" t="inlineStr">
        <x:is>
          <x:t xml:space="preserve">Завершено</x:t>
        </x:is>
      </x:c>
      <x:c r="R216" s="31" t="inlineStr">
        <x:is>
          <x:t xml:space="preserve">Нет</x:t>
        </x:is>
      </x:c>
      <x:c r="S216" s="31" t="inlineStr">
        <x:is>
          <x:t xml:space="preserve">Нет</x:t>
        </x:is>
      </x:c>
    </x:row>
    <x:row r="217" ht="18" customHeight="1">
      <x:c r="A217" s="31" t="inlineStr">
        <x:is>
          <x:t xml:space="preserve">ОП-000216</x:t>
        </x:is>
      </x:c>
      <x:c r="B217" s="31" t="inlineStr">
        <x:is>
          <x:t xml:space="preserve">ПЗ-00025</x:t>
        </x:is>
      </x:c>
      <x:c r="C217" s="31" t="inlineStr">
        <x:is>
          <x:t xml:space="preserve">ЗК-1012</x:t>
        </x:is>
      </x:c>
      <x:c r="D217" s="31" t="inlineStr">
        <x:is>
          <x:t xml:space="preserve">ПОЗ-0012-4</x:t>
        </x:is>
      </x:c>
      <x:c r="E217" s="31" t="inlineStr">
        <x:is>
          <x:t xml:space="preserve">ИЗД-026</x:t>
        </x:is>
      </x:c>
      <x:c r="F217" s="31" t="n">
        <x:v>60</x:v>
      </x:c>
      <x:c r="G217" s="31" t="inlineStr">
        <x:is>
          <x:t xml:space="preserve">Программирование ПЛК</x:t>
        </x:is>
      </x:c>
      <x:c r="H217" s="31" t="inlineStr">
        <x:is>
          <x:t xml:space="preserve">Инженерный отдел</x:t>
        </x:is>
      </x:c>
      <x:c r="I217" s="31" t="n"/>
      <x:c r="J217" s="31" t="inlineStr">
        <x:is>
          <x:t xml:space="preserve">СОТР-012</x:t>
        </x:is>
      </x:c>
      <x:c r="K217" s="31" t="n">
        <x:v>28</x:v>
      </x:c>
      <x:c r="L217" s="31" t="n">
        <x:v>34.9</x:v>
      </x:c>
      <x:c r="M217" s="31" t="n">
        <x:v>46087</x:v>
      </x:c>
      <x:c r="N217" s="31" t="n">
        <x:v>46090</x:v>
      </x:c>
      <x:c r="O217" s="31" t="n">
        <x:v>46087</x:v>
      </x:c>
      <x:c r="P217" s="31" t="n">
        <x:v>46090</x:v>
      </x:c>
      <x:c r="Q217" s="31" t="inlineStr">
        <x:is>
          <x:t xml:space="preserve">Завершено</x:t>
        </x:is>
      </x:c>
      <x:c r="R217" s="31" t="inlineStr">
        <x:is>
          <x:t xml:space="preserve">Нет</x:t>
        </x:is>
      </x:c>
      <x:c r="S217" s="31" t="inlineStr">
        <x:is>
          <x:t xml:space="preserve">Да</x:t>
        </x:is>
      </x:c>
    </x:row>
    <x:row r="218" ht="18" customHeight="1">
      <x:c r="A218" s="31" t="inlineStr">
        <x:is>
          <x:t xml:space="preserve">ОП-000217</x:t>
        </x:is>
      </x:c>
      <x:c r="B218" s="31" t="inlineStr">
        <x:is>
          <x:t xml:space="preserve">ПЗ-00025</x:t>
        </x:is>
      </x:c>
      <x:c r="C218" s="31" t="inlineStr">
        <x:is>
          <x:t xml:space="preserve">ЗК-1012</x:t>
        </x:is>
      </x:c>
      <x:c r="D218" s="31" t="inlineStr">
        <x:is>
          <x:t xml:space="preserve">ПОЗ-0012-4</x:t>
        </x:is>
      </x:c>
      <x:c r="E218" s="31" t="inlineStr">
        <x:is>
          <x:t xml:space="preserve">ИЗД-026</x:t>
        </x:is>
      </x:c>
      <x:c r="F218" s="31" t="n">
        <x:v>70</x:v>
      </x:c>
      <x:c r="G218" s="31" t="inlineStr">
        <x:is>
          <x:t xml:space="preserve">Приемочные испытания</x:t>
        </x:is>
      </x:c>
      <x:c r="H218" s="31" t="inlineStr">
        <x:is>
          <x:t xml:space="preserve">ОТК</x:t>
        </x:is>
      </x:c>
      <x:c r="I218" s="31" t="inlineStr">
        <x:is>
          <x:t xml:space="preserve">ОБ-024</x:t>
        </x:is>
      </x:c>
      <x:c r="J218" s="31" t="inlineStr">
        <x:is>
          <x:t xml:space="preserve">СОТР-063</x:t>
        </x:is>
      </x:c>
      <x:c r="K218" s="31" t="n">
        <x:v>16.6</x:v>
      </x:c>
      <x:c r="L218" s="31" t="n">
        <x:v>21.9</x:v>
      </x:c>
      <x:c r="M218" s="31" t="n">
        <x:v>46090</x:v>
      </x:c>
      <x:c r="N218" s="31" t="n">
        <x:v>46092</x:v>
      </x:c>
      <x:c r="O218" s="31" t="n">
        <x:v>46090</x:v>
      </x:c>
      <x:c r="P218" s="31" t="n">
        <x:v>46091</x:v>
      </x:c>
      <x:c r="Q218" s="31" t="inlineStr">
        <x:is>
          <x:t xml:space="preserve">Завершено</x:t>
        </x:is>
      </x:c>
      <x:c r="R218" s="31" t="inlineStr">
        <x:is>
          <x:t xml:space="preserve">Нет</x:t>
        </x:is>
      </x:c>
      <x:c r="S218" s="31" t="inlineStr">
        <x:is>
          <x:t xml:space="preserve">Нет</x:t>
        </x:is>
      </x:c>
    </x:row>
    <x:row r="219" ht="18" customHeight="1">
      <x:c r="A219" s="31" t="inlineStr">
        <x:is>
          <x:t xml:space="preserve">ОП-000218</x:t>
        </x:is>
      </x:c>
      <x:c r="B219" s="31" t="inlineStr">
        <x:is>
          <x:t xml:space="preserve">ПЗ-00025</x:t>
        </x:is>
      </x:c>
      <x:c r="C219" s="31" t="inlineStr">
        <x:is>
          <x:t xml:space="preserve">ЗК-1012</x:t>
        </x:is>
      </x:c>
      <x:c r="D219" s="31" t="inlineStr">
        <x:is>
          <x:t xml:space="preserve">ПОЗ-0012-4</x:t>
        </x:is>
      </x:c>
      <x:c r="E219" s="31" t="inlineStr">
        <x:is>
          <x:t xml:space="preserve">ИЗД-026</x:t>
        </x:is>
      </x:c>
      <x:c r="F219" s="31" t="n">
        <x:v>80</x:v>
      </x:c>
      <x:c r="G219" s="31" t="inlineStr">
        <x:is>
          <x:t xml:space="preserve">ОТК</x:t>
        </x:is>
      </x:c>
      <x:c r="H219" s="31" t="inlineStr">
        <x:is>
          <x:t xml:space="preserve">ОТК</x:t>
        </x:is>
      </x:c>
      <x:c r="I219" s="31" t="inlineStr">
        <x:is>
          <x:t xml:space="preserve">ОБ-007</x:t>
        </x:is>
      </x:c>
      <x:c r="J219" s="31" t="inlineStr">
        <x:is>
          <x:t xml:space="preserve">СОТР-096</x:t>
        </x:is>
      </x:c>
      <x:c r="K219" s="31" t="n">
        <x:v>9.4</x:v>
      </x:c>
      <x:c r="L219" s="31" t="n">
        <x:v>9</x:v>
      </x:c>
      <x:c r="M219" s="31" t="n">
        <x:v>46092</x:v>
      </x:c>
      <x:c r="N219" s="31" t="n">
        <x:v>46093</x:v>
      </x:c>
      <x:c r="O219" s="31" t="n">
        <x:v>46092</x:v>
      </x:c>
      <x:c r="P219" s="31" t="n">
        <x:v>46092</x:v>
      </x:c>
      <x:c r="Q219" s="31" t="inlineStr">
        <x:is>
          <x:t xml:space="preserve">Завершено</x:t>
        </x:is>
      </x:c>
      <x:c r="R219" s="31" t="inlineStr">
        <x:is>
          <x:t xml:space="preserve">Нет</x:t>
        </x:is>
      </x:c>
      <x:c r="S219" s="31" t="inlineStr">
        <x:is>
          <x:t xml:space="preserve">Да</x:t>
        </x:is>
      </x:c>
    </x:row>
    <x:row r="220" ht="18" customHeight="1">
      <x:c r="A220" s="31" t="inlineStr">
        <x:is>
          <x:t xml:space="preserve">ОП-000219</x:t>
        </x:is>
      </x:c>
      <x:c r="B220" s="31" t="inlineStr">
        <x:is>
          <x:t xml:space="preserve">ПЗ-00025</x:t>
        </x:is>
      </x:c>
      <x:c r="C220" s="31" t="inlineStr">
        <x:is>
          <x:t xml:space="preserve">ЗК-1012</x:t>
        </x:is>
      </x:c>
      <x:c r="D220" s="31" t="inlineStr">
        <x:is>
          <x:t xml:space="preserve">ПОЗ-0012-4</x:t>
        </x:is>
      </x:c>
      <x:c r="E220" s="31" t="inlineStr">
        <x:is>
          <x:t xml:space="preserve">ИЗД-026</x:t>
        </x:is>
      </x:c>
      <x:c r="F220" s="31" t="n">
        <x:v>90</x:v>
      </x:c>
      <x:c r="G220" s="31" t="inlineStr">
        <x:is>
          <x:t xml:space="preserve">Упаковка</x:t>
        </x:is>
      </x:c>
      <x:c r="H220" s="31" t="inlineStr">
        <x:is>
          <x:t xml:space="preserve">Логистика</x:t>
        </x:is>
      </x:c>
      <x:c r="I220" s="31" t="n"/>
      <x:c r="J220" s="31" t="inlineStr">
        <x:is>
          <x:t xml:space="preserve">СОТР-102</x:t>
        </x:is>
      </x:c>
      <x:c r="K220" s="31" t="n">
        <x:v>35.8</x:v>
      </x:c>
      <x:c r="L220" s="31" t="n">
        <x:v>36.7</x:v>
      </x:c>
      <x:c r="M220" s="31" t="n">
        <x:v>46093</x:v>
      </x:c>
      <x:c r="N220" s="31" t="n">
        <x:v>46096</x:v>
      </x:c>
      <x:c r="O220" s="31" t="n">
        <x:v>46093</x:v>
      </x:c>
      <x:c r="P220" s="31" t="n">
        <x:v>46098</x:v>
      </x:c>
      <x:c r="Q220" s="31" t="inlineStr">
        <x:is>
          <x:t xml:space="preserve">Завершено</x:t>
        </x:is>
      </x:c>
      <x:c r="R220" s="31" t="inlineStr">
        <x:is>
          <x:t xml:space="preserve">Нет</x:t>
        </x:is>
      </x:c>
      <x:c r="S220" s="31" t="inlineStr">
        <x:is>
          <x:t xml:space="preserve">Нет</x:t>
        </x:is>
      </x:c>
    </x:row>
    <x:row r="221" ht="18" customHeight="1">
      <x:c r="A221" s="31" t="inlineStr">
        <x:is>
          <x:t xml:space="preserve">ОП-000220</x:t>
        </x:is>
      </x:c>
      <x:c r="B221" s="31" t="inlineStr">
        <x:is>
          <x:t xml:space="preserve">ПЗ-00026</x:t>
        </x:is>
      </x:c>
      <x:c r="C221" s="31" t="inlineStr">
        <x:is>
          <x:t xml:space="preserve">ЗК-1013</x:t>
        </x:is>
      </x:c>
      <x:c r="D221" s="31" t="inlineStr">
        <x:is>
          <x:t xml:space="preserve">ПОЗ-0013-1</x:t>
        </x:is>
      </x:c>
      <x:c r="E221" s="31" t="inlineStr">
        <x:is>
          <x:t xml:space="preserve">ИЗД-018</x:t>
        </x:is>
      </x:c>
      <x:c r="F221" s="31" t="n">
        <x:v>10</x:v>
      </x:c>
      <x:c r="G221" s="31" t="inlineStr">
        <x:is>
          <x:t xml:space="preserve">КД</x:t>
        </x:is>
      </x:c>
      <x:c r="H221" s="31" t="inlineStr">
        <x:is>
          <x:t xml:space="preserve">Инженерный отдел</x:t>
        </x:is>
      </x:c>
      <x:c r="I221" s="31" t="n"/>
      <x:c r="J221" s="31" t="inlineStr">
        <x:is>
          <x:t xml:space="preserve">СОТР-019</x:t>
        </x:is>
      </x:c>
      <x:c r="K221" s="31" t="n">
        <x:v>9.199999999999999</x:v>
      </x:c>
      <x:c r="L221" s="31" t="n">
        <x:v>9.300000000000001</x:v>
      </x:c>
      <x:c r="M221" s="31" t="n">
        <x:v>46067</x:v>
      </x:c>
      <x:c r="N221" s="31" t="n">
        <x:v>46068</x:v>
      </x:c>
      <x:c r="O221" s="31" t="n">
        <x:v>46067</x:v>
      </x:c>
      <x:c r="P221" s="31" t="n">
        <x:v>46069</x:v>
      </x:c>
      <x:c r="Q221" s="31" t="inlineStr">
        <x:is>
          <x:t xml:space="preserve">Завершено</x:t>
        </x:is>
      </x:c>
      <x:c r="R221" s="31" t="inlineStr">
        <x:is>
          <x:t xml:space="preserve">Нет</x:t>
        </x:is>
      </x:c>
      <x:c r="S221" s="31" t="inlineStr">
        <x:is>
          <x:t xml:space="preserve">Да</x:t>
        </x:is>
      </x:c>
    </x:row>
    <x:row r="222" ht="18" customHeight="1">
      <x:c r="A222" s="31" t="inlineStr">
        <x:is>
          <x:t xml:space="preserve">ОП-000221</x:t>
        </x:is>
      </x:c>
      <x:c r="B222" s="31" t="inlineStr">
        <x:is>
          <x:t xml:space="preserve">ПЗ-00026</x:t>
        </x:is>
      </x:c>
      <x:c r="C222" s="31" t="inlineStr">
        <x:is>
          <x:t xml:space="preserve">ЗК-1013</x:t>
        </x:is>
      </x:c>
      <x:c r="D222" s="31" t="inlineStr">
        <x:is>
          <x:t xml:space="preserve">ПОЗ-0013-1</x:t>
        </x:is>
      </x:c>
      <x:c r="E222" s="31" t="inlineStr">
        <x:is>
          <x:t xml:space="preserve">ИЗД-018</x:t>
        </x:is>
      </x:c>
      <x:c r="F222" s="31" t="n">
        <x:v>20</x:v>
      </x:c>
      <x:c r="G222" s="31" t="inlineStr">
        <x:is>
          <x:t xml:space="preserve">Комплектация</x:t>
        </x:is>
      </x:c>
      <x:c r="H222" s="31" t="inlineStr">
        <x:is>
          <x:t xml:space="preserve">Склад</x:t>
        </x:is>
      </x:c>
      <x:c r="I222" s="31" t="inlineStr">
        <x:is>
          <x:t xml:space="preserve">ОБ-009</x:t>
        </x:is>
      </x:c>
      <x:c r="J222" s="31" t="inlineStr">
        <x:is>
          <x:t xml:space="preserve">СОТР-034</x:t>
        </x:is>
      </x:c>
      <x:c r="K222" s="31" t="n">
        <x:v>22.4</x:v>
      </x:c>
      <x:c r="L222" s="31" t="n">
        <x:v>27.3</x:v>
      </x:c>
      <x:c r="M222" s="31" t="n">
        <x:v>46068</x:v>
      </x:c>
      <x:c r="N222" s="31" t="n">
        <x:v>46070</x:v>
      </x:c>
      <x:c r="O222" s="31" t="n">
        <x:v>46068</x:v>
      </x:c>
      <x:c r="P222" s="31" t="n">
        <x:v>46072</x:v>
      </x:c>
      <x:c r="Q222" s="31" t="inlineStr">
        <x:is>
          <x:t xml:space="preserve">Завершено</x:t>
        </x:is>
      </x:c>
      <x:c r="R222" s="31" t="inlineStr">
        <x:is>
          <x:t xml:space="preserve">Нет</x:t>
        </x:is>
      </x:c>
      <x:c r="S222" s="31" t="inlineStr">
        <x:is>
          <x:t xml:space="preserve">Нет</x:t>
        </x:is>
      </x:c>
    </x:row>
    <x:row r="223" ht="18" customHeight="1">
      <x:c r="A223" s="31" t="inlineStr">
        <x:is>
          <x:t xml:space="preserve">ОП-000222</x:t>
        </x:is>
      </x:c>
      <x:c r="B223" s="31" t="inlineStr">
        <x:is>
          <x:t xml:space="preserve">ПЗ-00026</x:t>
        </x:is>
      </x:c>
      <x:c r="C223" s="31" t="inlineStr">
        <x:is>
          <x:t xml:space="preserve">ЗК-1013</x:t>
        </x:is>
      </x:c>
      <x:c r="D223" s="31" t="inlineStr">
        <x:is>
          <x:t xml:space="preserve">ПОЗ-0013-1</x:t>
        </x:is>
      </x:c>
      <x:c r="E223" s="31" t="inlineStr">
        <x:is>
          <x:t xml:space="preserve">ИЗД-018</x:t>
        </x:is>
      </x:c>
      <x:c r="F223" s="31" t="n">
        <x:v>30</x:v>
      </x:c>
      <x:c r="G223" s="31" t="inlineStr">
        <x:is>
          <x:t xml:space="preserve">Сборка шкафа</x:t>
        </x:is>
      </x:c>
      <x:c r="H223" s="31" t="inlineStr">
        <x:is>
          <x:t xml:space="preserve">Сборка</x:t>
        </x:is>
      </x:c>
      <x:c r="I223" s="31" t="inlineStr">
        <x:is>
          <x:t xml:space="preserve">ОБ-034</x:t>
        </x:is>
      </x:c>
      <x:c r="J223" s="31" t="inlineStr">
        <x:is>
          <x:t xml:space="preserve">СОТР-077</x:t>
        </x:is>
      </x:c>
      <x:c r="K223" s="31" t="n">
        <x:v>8.800000000000001</x:v>
      </x:c>
      <x:c r="L223" s="31" t="n">
        <x:v>7.1</x:v>
      </x:c>
      <x:c r="M223" s="31" t="n">
        <x:v>46070</x:v>
      </x:c>
      <x:c r="N223" s="31" t="n">
        <x:v>46071</x:v>
      </x:c>
      <x:c r="O223" s="31" t="n">
        <x:v>46070</x:v>
      </x:c>
      <x:c r="P223" s="31" t="n">
        <x:v>46072</x:v>
      </x:c>
      <x:c r="Q223" s="31" t="inlineStr">
        <x:is>
          <x:t xml:space="preserve">Завершено</x:t>
        </x:is>
      </x:c>
      <x:c r="R223" s="31" t="inlineStr">
        <x:is>
          <x:t xml:space="preserve">Нет</x:t>
        </x:is>
      </x:c>
      <x:c r="S223" s="31" t="inlineStr">
        <x:is>
          <x:t xml:space="preserve">Нет</x:t>
        </x:is>
      </x:c>
    </x:row>
    <x:row r="224" ht="18" customHeight="1">
      <x:c r="A224" s="31" t="inlineStr">
        <x:is>
          <x:t xml:space="preserve">ОП-000223</x:t>
        </x:is>
      </x:c>
      <x:c r="B224" s="31" t="inlineStr">
        <x:is>
          <x:t xml:space="preserve">ПЗ-00026</x:t>
        </x:is>
      </x:c>
      <x:c r="C224" s="31" t="inlineStr">
        <x:is>
          <x:t xml:space="preserve">ЗК-1013</x:t>
        </x:is>
      </x:c>
      <x:c r="D224" s="31" t="inlineStr">
        <x:is>
          <x:t xml:space="preserve">ПОЗ-0013-1</x:t>
        </x:is>
      </x:c>
      <x:c r="E224" s="31" t="inlineStr">
        <x:is>
          <x:t xml:space="preserve">ИЗД-018</x:t>
        </x:is>
      </x:c>
      <x:c r="F224" s="31" t="n">
        <x:v>40</x:v>
      </x:c>
      <x:c r="G224" s="31" t="inlineStr">
        <x:is>
          <x:t xml:space="preserve">Маркировка</x:t>
        </x:is>
      </x:c>
      <x:c r="H224" s="31" t="inlineStr">
        <x:is>
          <x:t xml:space="preserve">Сборка</x:t>
        </x:is>
      </x:c>
      <x:c r="I224" s="31" t="inlineStr">
        <x:is>
          <x:t xml:space="preserve">ОБ-016</x:t>
        </x:is>
      </x:c>
      <x:c r="J224" s="31" t="inlineStr">
        <x:is>
          <x:t xml:space="preserve">СОТР-090</x:t>
        </x:is>
      </x:c>
      <x:c r="K224" s="31" t="n">
        <x:v>34.4</x:v>
      </x:c>
      <x:c r="L224" s="31" t="n">
        <x:v>45</x:v>
      </x:c>
      <x:c r="M224" s="31" t="n">
        <x:v>46071</x:v>
      </x:c>
      <x:c r="N224" s="31" t="n">
        <x:v>46074</x:v>
      </x:c>
      <x:c r="O224" s="31" t="n">
        <x:v>46071</x:v>
      </x:c>
      <x:c r="P224" s="31" t="n">
        <x:v>46076</x:v>
      </x:c>
      <x:c r="Q224" s="31" t="inlineStr">
        <x:is>
          <x:t xml:space="preserve">Завершено</x:t>
        </x:is>
      </x:c>
      <x:c r="R224" s="31" t="inlineStr">
        <x:is>
          <x:t xml:space="preserve">Оборудование</x:t>
        </x:is>
      </x:c>
      <x:c r="S224" s="31" t="inlineStr">
        <x:is>
          <x:t xml:space="preserve">Да</x:t>
        </x:is>
      </x:c>
    </x:row>
    <x:row r="225" ht="18" customHeight="1">
      <x:c r="A225" s="31" t="inlineStr">
        <x:is>
          <x:t xml:space="preserve">ОП-000224</x:t>
        </x:is>
      </x:c>
      <x:c r="B225" s="31" t="inlineStr">
        <x:is>
          <x:t xml:space="preserve">ПЗ-00026</x:t>
        </x:is>
      </x:c>
      <x:c r="C225" s="31" t="inlineStr">
        <x:is>
          <x:t xml:space="preserve">ЗК-1013</x:t>
        </x:is>
      </x:c>
      <x:c r="D225" s="31" t="inlineStr">
        <x:is>
          <x:t xml:space="preserve">ПОЗ-0013-1</x:t>
        </x:is>
      </x:c>
      <x:c r="E225" s="31" t="inlineStr">
        <x:is>
          <x:t xml:space="preserve">ИЗД-018</x:t>
        </x:is>
      </x:c>
      <x:c r="F225" s="31" t="n">
        <x:v>50</x:v>
      </x:c>
      <x:c r="G225" s="31" t="inlineStr">
        <x:is>
          <x:t xml:space="preserve">Электромонтаж</x:t>
        </x:is>
      </x:c>
      <x:c r="H225" s="31" t="inlineStr">
        <x:is>
          <x:t xml:space="preserve">Сборка</x:t>
        </x:is>
      </x:c>
      <x:c r="I225" s="31" t="inlineStr">
        <x:is>
          <x:t xml:space="preserve">ОБ-017</x:t>
        </x:is>
      </x:c>
      <x:c r="J225" s="31" t="inlineStr">
        <x:is>
          <x:t xml:space="preserve">СОТР-074</x:t>
        </x:is>
      </x:c>
      <x:c r="K225" s="31" t="n">
        <x:v>15.6</x:v>
      </x:c>
      <x:c r="L225" s="31" t="n">
        <x:v>12.7</x:v>
      </x:c>
      <x:c r="M225" s="31" t="n">
        <x:v>46074</x:v>
      </x:c>
      <x:c r="N225" s="31" t="n">
        <x:v>46076</x:v>
      </x:c>
      <x:c r="O225" s="31" t="n">
        <x:v>46074</x:v>
      </x:c>
      <x:c r="P225" s="31" t="n">
        <x:v>46077</x:v>
      </x:c>
      <x:c r="Q225" s="31" t="inlineStr">
        <x:is>
          <x:t xml:space="preserve">Завершено</x:t>
        </x:is>
      </x:c>
      <x:c r="R225" s="31" t="inlineStr">
        <x:is>
          <x:t xml:space="preserve">Оборудование</x:t>
        </x:is>
      </x:c>
      <x:c r="S225" s="31" t="inlineStr">
        <x:is>
          <x:t xml:space="preserve">Нет</x:t>
        </x:is>
      </x:c>
    </x:row>
    <x:row r="226" ht="18" customHeight="1">
      <x:c r="A226" s="31" t="inlineStr">
        <x:is>
          <x:t xml:space="preserve">ОП-000225</x:t>
        </x:is>
      </x:c>
      <x:c r="B226" s="31" t="inlineStr">
        <x:is>
          <x:t xml:space="preserve">ПЗ-00026</x:t>
        </x:is>
      </x:c>
      <x:c r="C226" s="31" t="inlineStr">
        <x:is>
          <x:t xml:space="preserve">ЗК-1013</x:t>
        </x:is>
      </x:c>
      <x:c r="D226" s="31" t="inlineStr">
        <x:is>
          <x:t xml:space="preserve">ПОЗ-0013-1</x:t>
        </x:is>
      </x:c>
      <x:c r="E226" s="31" t="inlineStr">
        <x:is>
          <x:t xml:space="preserve">ИЗД-018</x:t>
        </x:is>
      </x:c>
      <x:c r="F226" s="31" t="n">
        <x:v>60</x:v>
      </x:c>
      <x:c r="G226" s="31" t="inlineStr">
        <x:is>
          <x:t xml:space="preserve">Программирование ПЛК</x:t>
        </x:is>
      </x:c>
      <x:c r="H226" s="31" t="inlineStr">
        <x:is>
          <x:t xml:space="preserve">Инженерный отдел</x:t>
        </x:is>
      </x:c>
      <x:c r="I226" s="31" t="n"/>
      <x:c r="J226" s="31" t="inlineStr">
        <x:is>
          <x:t xml:space="preserve">СОТР-015</x:t>
        </x:is>
      </x:c>
      <x:c r="K226" s="31" t="n">
        <x:v>26</x:v>
      </x:c>
      <x:c r="L226" s="31" t="n">
        <x:v>23.6</x:v>
      </x:c>
      <x:c r="M226" s="31" t="n">
        <x:v>46076</x:v>
      </x:c>
      <x:c r="N226" s="31" t="n">
        <x:v>46079</x:v>
      </x:c>
      <x:c r="O226" s="31" t="n">
        <x:v>46076</x:v>
      </x:c>
      <x:c r="P226" s="31" t="n">
        <x:v>46079</x:v>
      </x:c>
      <x:c r="Q226" s="31" t="inlineStr">
        <x:is>
          <x:t xml:space="preserve">Завершено</x:t>
        </x:is>
      </x:c>
      <x:c r="R226" s="31" t="inlineStr">
        <x:is>
          <x:t xml:space="preserve">Нет</x:t>
        </x:is>
      </x:c>
      <x:c r="S226" s="31" t="inlineStr">
        <x:is>
          <x:t xml:space="preserve">Нет</x:t>
        </x:is>
      </x:c>
    </x:row>
    <x:row r="227" ht="18" customHeight="1">
      <x:c r="A227" s="31" t="inlineStr">
        <x:is>
          <x:t xml:space="preserve">ОП-000226</x:t>
        </x:is>
      </x:c>
      <x:c r="B227" s="31" t="inlineStr">
        <x:is>
          <x:t xml:space="preserve">ПЗ-00026</x:t>
        </x:is>
      </x:c>
      <x:c r="C227" s="31" t="inlineStr">
        <x:is>
          <x:t xml:space="preserve">ЗК-1013</x:t>
        </x:is>
      </x:c>
      <x:c r="D227" s="31" t="inlineStr">
        <x:is>
          <x:t xml:space="preserve">ПОЗ-0013-1</x:t>
        </x:is>
      </x:c>
      <x:c r="E227" s="31" t="inlineStr">
        <x:is>
          <x:t xml:space="preserve">ИЗД-018</x:t>
        </x:is>
      </x:c>
      <x:c r="F227" s="31" t="n">
        <x:v>70</x:v>
      </x:c>
      <x:c r="G227" s="31" t="inlineStr">
        <x:is>
          <x:t xml:space="preserve">Приемочные испытания</x:t>
        </x:is>
      </x:c>
      <x:c r="H227" s="31" t="inlineStr">
        <x:is>
          <x:t xml:space="preserve">ОТК</x:t>
        </x:is>
      </x:c>
      <x:c r="I227" s="31" t="inlineStr">
        <x:is>
          <x:t xml:space="preserve">ОБ-033</x:t>
        </x:is>
      </x:c>
      <x:c r="J227" s="31" t="inlineStr">
        <x:is>
          <x:t xml:space="preserve">СОТР-093</x:t>
        </x:is>
      </x:c>
      <x:c r="K227" s="31" t="n">
        <x:v>39.6</x:v>
      </x:c>
      <x:c r="L227" s="31" t="n">
        <x:v>39.5</x:v>
      </x:c>
      <x:c r="M227" s="31" t="n">
        <x:v>46079</x:v>
      </x:c>
      <x:c r="N227" s="31" t="n">
        <x:v>46083</x:v>
      </x:c>
      <x:c r="O227" s="31" t="n">
        <x:v>46079</x:v>
      </x:c>
      <x:c r="P227" s="31" t="n">
        <x:v>46084</x:v>
      </x:c>
      <x:c r="Q227" s="31" t="inlineStr">
        <x:is>
          <x:t xml:space="preserve">Завершено</x:t>
        </x:is>
      </x:c>
      <x:c r="R227" s="31" t="inlineStr">
        <x:is>
          <x:t xml:space="preserve">Оборудование</x:t>
        </x:is>
      </x:c>
      <x:c r="S227" s="31" t="inlineStr">
        <x:is>
          <x:t xml:space="preserve">Нет</x:t>
        </x:is>
      </x:c>
    </x:row>
    <x:row r="228" ht="18" customHeight="1">
      <x:c r="A228" s="31" t="inlineStr">
        <x:is>
          <x:t xml:space="preserve">ОП-000227</x:t>
        </x:is>
      </x:c>
      <x:c r="B228" s="31" t="inlineStr">
        <x:is>
          <x:t xml:space="preserve">ПЗ-00026</x:t>
        </x:is>
      </x:c>
      <x:c r="C228" s="31" t="inlineStr">
        <x:is>
          <x:t xml:space="preserve">ЗК-1013</x:t>
        </x:is>
      </x:c>
      <x:c r="D228" s="31" t="inlineStr">
        <x:is>
          <x:t xml:space="preserve">ПОЗ-0013-1</x:t>
        </x:is>
      </x:c>
      <x:c r="E228" s="31" t="inlineStr">
        <x:is>
          <x:t xml:space="preserve">ИЗД-018</x:t>
        </x:is>
      </x:c>
      <x:c r="F228" s="31" t="n">
        <x:v>80</x:v>
      </x:c>
      <x:c r="G228" s="31" t="inlineStr">
        <x:is>
          <x:t xml:space="preserve">ОТК</x:t>
        </x:is>
      </x:c>
      <x:c r="H228" s="31" t="inlineStr">
        <x:is>
          <x:t xml:space="preserve">ОТК</x:t>
        </x:is>
      </x:c>
      <x:c r="I228" s="31" t="inlineStr">
        <x:is>
          <x:t xml:space="preserve">ОБ-006</x:t>
        </x:is>
      </x:c>
      <x:c r="J228" s="31" t="inlineStr">
        <x:is>
          <x:t xml:space="preserve">СОТР-098</x:t>
        </x:is>
      </x:c>
      <x:c r="K228" s="31" t="n">
        <x:v>12.4</x:v>
      </x:c>
      <x:c r="L228" s="31" t="n">
        <x:v>13.1</x:v>
      </x:c>
      <x:c r="M228" s="31" t="n">
        <x:v>46083</x:v>
      </x:c>
      <x:c r="N228" s="31" t="n">
        <x:v>46085</x:v>
      </x:c>
      <x:c r="O228" s="31" t="n">
        <x:v>46083</x:v>
      </x:c>
      <x:c r="P228" s="31" t="n">
        <x:v>46084</x:v>
      </x:c>
      <x:c r="Q228" s="31" t="inlineStr">
        <x:is>
          <x:t xml:space="preserve">Завершено</x:t>
        </x:is>
      </x:c>
      <x:c r="R228" s="31" t="inlineStr">
        <x:is>
          <x:t xml:space="preserve">Оборудование</x:t>
        </x:is>
      </x:c>
      <x:c r="S228" s="31" t="inlineStr">
        <x:is>
          <x:t xml:space="preserve">Нет</x:t>
        </x:is>
      </x:c>
    </x:row>
    <x:row r="229" ht="18" customHeight="1">
      <x:c r="A229" s="31" t="inlineStr">
        <x:is>
          <x:t xml:space="preserve">ОП-000228</x:t>
        </x:is>
      </x:c>
      <x:c r="B229" s="31" t="inlineStr">
        <x:is>
          <x:t xml:space="preserve">ПЗ-00026</x:t>
        </x:is>
      </x:c>
      <x:c r="C229" s="31" t="inlineStr">
        <x:is>
          <x:t xml:space="preserve">ЗК-1013</x:t>
        </x:is>
      </x:c>
      <x:c r="D229" s="31" t="inlineStr">
        <x:is>
          <x:t xml:space="preserve">ПОЗ-0013-1</x:t>
        </x:is>
      </x:c>
      <x:c r="E229" s="31" t="inlineStr">
        <x:is>
          <x:t xml:space="preserve">ИЗД-018</x:t>
        </x:is>
      </x:c>
      <x:c r="F229" s="31" t="n">
        <x:v>90</x:v>
      </x:c>
      <x:c r="G229" s="31" t="inlineStr">
        <x:is>
          <x:t xml:space="preserve">Упаковка</x:t>
        </x:is>
      </x:c>
      <x:c r="H229" s="31" t="inlineStr">
        <x:is>
          <x:t xml:space="preserve">Логистика</x:t>
        </x:is>
      </x:c>
      <x:c r="I229" s="31" t="n"/>
      <x:c r="J229" s="31" t="inlineStr">
        <x:is>
          <x:t xml:space="preserve">СОТР-101</x:t>
        </x:is>
      </x:c>
      <x:c r="K229" s="31" t="n">
        <x:v>9.199999999999999</x:v>
      </x:c>
      <x:c r="L229" s="31" t="n"/>
      <x:c r="M229" s="31" t="n">
        <x:v>46085</x:v>
      </x:c>
      <x:c r="N229" s="31" t="n">
        <x:v>46086</x:v>
      </x:c>
      <x:c r="O229" s="31" t="n">
        <x:v>46085</x:v>
      </x:c>
      <x:c r="P229" s="31" t="n"/>
      <x:c r="Q229" s="31" t="inlineStr">
        <x:is>
          <x:t xml:space="preserve">В работе</x:t>
        </x:is>
      </x:c>
      <x:c r="R229" s="31" t="inlineStr">
        <x:is>
          <x:t xml:space="preserve">Нет</x:t>
        </x:is>
      </x:c>
      <x:c r="S229" s="31" t="inlineStr">
        <x:is>
          <x:t xml:space="preserve">Нет</x:t>
        </x:is>
      </x:c>
    </x:row>
    <x:row r="230" ht="18" customHeight="1">
      <x:c r="A230" s="31" t="inlineStr">
        <x:is>
          <x:t xml:space="preserve">ОП-000229</x:t>
        </x:is>
      </x:c>
      <x:c r="B230" s="31" t="inlineStr">
        <x:is>
          <x:t xml:space="preserve">ПЗ-00027</x:t>
        </x:is>
      </x:c>
      <x:c r="C230" s="31" t="inlineStr">
        <x:is>
          <x:t xml:space="preserve">ЗК-1014</x:t>
        </x:is>
      </x:c>
      <x:c r="D230" s="31" t="inlineStr">
        <x:is>
          <x:t xml:space="preserve">ПОЗ-0014-1</x:t>
        </x:is>
      </x:c>
      <x:c r="E230" s="31" t="inlineStr">
        <x:is>
          <x:t xml:space="preserve">ИЗД-020</x:t>
        </x:is>
      </x:c>
      <x:c r="F230" s="31" t="n">
        <x:v>10</x:v>
      </x:c>
      <x:c r="G230" s="31" t="inlineStr">
        <x:is>
          <x:t xml:space="preserve">КД</x:t>
        </x:is>
      </x:c>
      <x:c r="H230" s="31" t="inlineStr">
        <x:is>
          <x:t xml:space="preserve">Инженерный отдел</x:t>
        </x:is>
      </x:c>
      <x:c r="I230" s="31" t="n"/>
      <x:c r="J230" s="31" t="inlineStr">
        <x:is>
          <x:t xml:space="preserve">СОТР-016</x:t>
        </x:is>
      </x:c>
      <x:c r="K230" s="31" t="n">
        <x:v>28.4</x:v>
      </x:c>
      <x:c r="L230" s="31" t="n">
        <x:v>25.7</x:v>
      </x:c>
      <x:c r="M230" s="31" t="n">
        <x:v>46061</x:v>
      </x:c>
      <x:c r="N230" s="31" t="n">
        <x:v>46064</x:v>
      </x:c>
      <x:c r="O230" s="31" t="n">
        <x:v>46061</x:v>
      </x:c>
      <x:c r="P230" s="31" t="n">
        <x:v>46063</x:v>
      </x:c>
      <x:c r="Q230" s="31" t="inlineStr">
        <x:is>
          <x:t xml:space="preserve">Завершено</x:t>
        </x:is>
      </x:c>
      <x:c r="R230" s="31" t="inlineStr">
        <x:is>
          <x:t xml:space="preserve">Нет</x:t>
        </x:is>
      </x:c>
      <x:c r="S230" s="31" t="inlineStr">
        <x:is>
          <x:t xml:space="preserve">Да</x:t>
        </x:is>
      </x:c>
    </x:row>
    <x:row r="231" ht="18" customHeight="1">
      <x:c r="A231" s="31" t="inlineStr">
        <x:is>
          <x:t xml:space="preserve">ОП-000230</x:t>
        </x:is>
      </x:c>
      <x:c r="B231" s="31" t="inlineStr">
        <x:is>
          <x:t xml:space="preserve">ПЗ-00027</x:t>
        </x:is>
      </x:c>
      <x:c r="C231" s="31" t="inlineStr">
        <x:is>
          <x:t xml:space="preserve">ЗК-1014</x:t>
        </x:is>
      </x:c>
      <x:c r="D231" s="31" t="inlineStr">
        <x:is>
          <x:t xml:space="preserve">ПОЗ-0014-1</x:t>
        </x:is>
      </x:c>
      <x:c r="E231" s="31" t="inlineStr">
        <x:is>
          <x:t xml:space="preserve">ИЗД-020</x:t>
        </x:is>
      </x:c>
      <x:c r="F231" s="31" t="n">
        <x:v>20</x:v>
      </x:c>
      <x:c r="G231" s="31" t="inlineStr">
        <x:is>
          <x:t xml:space="preserve">Резка труб</x:t>
        </x:is>
      </x:c>
      <x:c r="H231" s="31" t="inlineStr">
        <x:is>
          <x:t xml:space="preserve">Сварка</x:t>
        </x:is>
      </x:c>
      <x:c r="I231" s="31" t="inlineStr">
        <x:is>
          <x:t xml:space="preserve">ОБ-021</x:t>
        </x:is>
      </x:c>
      <x:c r="J231" s="31" t="inlineStr">
        <x:is>
          <x:t xml:space="preserve">СОТР-065</x:t>
        </x:is>
      </x:c>
      <x:c r="K231" s="31" t="n">
        <x:v>18.4</x:v>
      </x:c>
      <x:c r="L231" s="31" t="n">
        <x:v>17.8</x:v>
      </x:c>
      <x:c r="M231" s="31" t="n">
        <x:v>46064</x:v>
      </x:c>
      <x:c r="N231" s="31" t="n">
        <x:v>46066</x:v>
      </x:c>
      <x:c r="O231" s="31" t="n">
        <x:v>46064</x:v>
      </x:c>
      <x:c r="P231" s="31" t="n">
        <x:v>46067</x:v>
      </x:c>
      <x:c r="Q231" s="31" t="inlineStr">
        <x:is>
          <x:t xml:space="preserve">Завершено</x:t>
        </x:is>
      </x:c>
      <x:c r="R231" s="31" t="inlineStr">
        <x:is>
          <x:t xml:space="preserve">Нет</x:t>
        </x:is>
      </x:c>
      <x:c r="S231" s="31" t="inlineStr">
        <x:is>
          <x:t xml:space="preserve">Нет</x:t>
        </x:is>
      </x:c>
    </x:row>
    <x:row r="232" ht="18" customHeight="1">
      <x:c r="A232" s="31" t="inlineStr">
        <x:is>
          <x:t xml:space="preserve">ОП-000231</x:t>
        </x:is>
      </x:c>
      <x:c r="B232" s="31" t="inlineStr">
        <x:is>
          <x:t xml:space="preserve">ПЗ-00027</x:t>
        </x:is>
      </x:c>
      <x:c r="C232" s="31" t="inlineStr">
        <x:is>
          <x:t xml:space="preserve">ЗК-1014</x:t>
        </x:is>
      </x:c>
      <x:c r="D232" s="31" t="inlineStr">
        <x:is>
          <x:t xml:space="preserve">ПОЗ-0014-1</x:t>
        </x:is>
      </x:c>
      <x:c r="E232" s="31" t="inlineStr">
        <x:is>
          <x:t xml:space="preserve">ИЗД-020</x:t>
        </x:is>
      </x:c>
      <x:c r="F232" s="31" t="n">
        <x:v>30</x:v>
      </x:c>
      <x:c r="G232" s="31" t="inlineStr">
        <x:is>
          <x:t xml:space="preserve">Сварка</x:t>
        </x:is>
      </x:c>
      <x:c r="H232" s="31" t="inlineStr">
        <x:is>
          <x:t xml:space="preserve">Сварка</x:t>
        </x:is>
      </x:c>
      <x:c r="I232" s="31" t="inlineStr">
        <x:is>
          <x:t xml:space="preserve">ОБ-021</x:t>
        </x:is>
      </x:c>
      <x:c r="J232" s="31" t="inlineStr">
        <x:is>
          <x:t xml:space="preserve">СОТР-058</x:t>
        </x:is>
      </x:c>
      <x:c r="K232" s="31" t="n">
        <x:v>40.8</x:v>
      </x:c>
      <x:c r="L232" s="31" t="n">
        <x:v>33.7</x:v>
      </x:c>
      <x:c r="M232" s="31" t="n">
        <x:v>46066</x:v>
      </x:c>
      <x:c r="N232" s="31" t="n">
        <x:v>46070</x:v>
      </x:c>
      <x:c r="O232" s="31" t="n">
        <x:v>46066</x:v>
      </x:c>
      <x:c r="P232" s="31" t="n">
        <x:v>46071</x:v>
      </x:c>
      <x:c r="Q232" s="31" t="inlineStr">
        <x:is>
          <x:t xml:space="preserve">Завершено</x:t>
        </x:is>
      </x:c>
      <x:c r="R232" s="31" t="inlineStr">
        <x:is>
          <x:t xml:space="preserve">Материал</x:t>
        </x:is>
      </x:c>
      <x:c r="S232" s="31" t="inlineStr">
        <x:is>
          <x:t xml:space="preserve">Нет</x:t>
        </x:is>
      </x:c>
    </x:row>
    <x:row r="233" ht="18" customHeight="1">
      <x:c r="A233" s="31" t="inlineStr">
        <x:is>
          <x:t xml:space="preserve">ОП-000232</x:t>
        </x:is>
      </x:c>
      <x:c r="B233" s="31" t="inlineStr">
        <x:is>
          <x:t xml:space="preserve">ПЗ-00027</x:t>
        </x:is>
      </x:c>
      <x:c r="C233" s="31" t="inlineStr">
        <x:is>
          <x:t xml:space="preserve">ЗК-1014</x:t>
        </x:is>
      </x:c>
      <x:c r="D233" s="31" t="inlineStr">
        <x:is>
          <x:t xml:space="preserve">ПОЗ-0014-1</x:t>
        </x:is>
      </x:c>
      <x:c r="E233" s="31" t="inlineStr">
        <x:is>
          <x:t xml:space="preserve">ИЗД-020</x:t>
        </x:is>
      </x:c>
      <x:c r="F233" s="31" t="n">
        <x:v>40</x:v>
      </x:c>
      <x:c r="G233" s="31" t="inlineStr">
        <x:is>
          <x:t xml:space="preserve">НК сварных швов</x:t>
        </x:is>
      </x:c>
      <x:c r="H233" s="31" t="inlineStr">
        <x:is>
          <x:t xml:space="preserve">ОТК</x:t>
        </x:is>
      </x:c>
      <x:c r="I233" s="31" t="inlineStr">
        <x:is>
          <x:t xml:space="preserve">ОБ-033</x:t>
        </x:is>
      </x:c>
      <x:c r="J233" s="31" t="inlineStr">
        <x:is>
          <x:t xml:space="preserve">СОТР-063</x:t>
        </x:is>
      </x:c>
      <x:c r="K233" s="31" t="n">
        <x:v>41.2</x:v>
      </x:c>
      <x:c r="L233" s="31" t="n">
        <x:v>42.7</x:v>
      </x:c>
      <x:c r="M233" s="31" t="n">
        <x:v>46070</x:v>
      </x:c>
      <x:c r="N233" s="31" t="n">
        <x:v>46074</x:v>
      </x:c>
      <x:c r="O233" s="31" t="n">
        <x:v>46070</x:v>
      </x:c>
      <x:c r="P233" s="31" t="n">
        <x:v>46073</x:v>
      </x:c>
      <x:c r="Q233" s="31" t="inlineStr">
        <x:is>
          <x:t xml:space="preserve">Завершено</x:t>
        </x:is>
      </x:c>
      <x:c r="R233" s="31" t="inlineStr">
        <x:is>
          <x:t xml:space="preserve">Нет</x:t>
        </x:is>
      </x:c>
      <x:c r="S233" s="31" t="inlineStr">
        <x:is>
          <x:t xml:space="preserve">Нет</x:t>
        </x:is>
      </x:c>
    </x:row>
    <x:row r="234" ht="18" customHeight="1">
      <x:c r="A234" s="31" t="inlineStr">
        <x:is>
          <x:t xml:space="preserve">ОП-000233</x:t>
        </x:is>
      </x:c>
      <x:c r="B234" s="31" t="inlineStr">
        <x:is>
          <x:t xml:space="preserve">ПЗ-00027</x:t>
        </x:is>
      </x:c>
      <x:c r="C234" s="31" t="inlineStr">
        <x:is>
          <x:t xml:space="preserve">ЗК-1014</x:t>
        </x:is>
      </x:c>
      <x:c r="D234" s="31" t="inlineStr">
        <x:is>
          <x:t xml:space="preserve">ПОЗ-0014-1</x:t>
        </x:is>
      </x:c>
      <x:c r="E234" s="31" t="inlineStr">
        <x:is>
          <x:t xml:space="preserve">ИЗД-020</x:t>
        </x:is>
      </x:c>
      <x:c r="F234" s="31" t="n">
        <x:v>50</x:v>
      </x:c>
      <x:c r="G234" s="31" t="inlineStr">
        <x:is>
          <x:t xml:space="preserve">Гидроиспытания</x:t>
        </x:is>
      </x:c>
      <x:c r="H234" s="31" t="inlineStr">
        <x:is>
          <x:t xml:space="preserve">ОТК</x:t>
        </x:is>
      </x:c>
      <x:c r="I234" s="31" t="inlineStr">
        <x:is>
          <x:t xml:space="preserve">ОБ-015</x:t>
        </x:is>
      </x:c>
      <x:c r="J234" s="31" t="inlineStr">
        <x:is>
          <x:t xml:space="preserve">СОТР-099</x:t>
        </x:is>
      </x:c>
      <x:c r="K234" s="31" t="n">
        <x:v>9.199999999999999</x:v>
      </x:c>
      <x:c r="L234" s="31" t="n">
        <x:v>10.8</x:v>
      </x:c>
      <x:c r="M234" s="31" t="n">
        <x:v>46074</x:v>
      </x:c>
      <x:c r="N234" s="31" t="n">
        <x:v>46075</x:v>
      </x:c>
      <x:c r="O234" s="31" t="n">
        <x:v>46074</x:v>
      </x:c>
      <x:c r="P234" s="31" t="n">
        <x:v>46075</x:v>
      </x:c>
      <x:c r="Q234" s="31" t="inlineStr">
        <x:is>
          <x:t xml:space="preserve">Завершено</x:t>
        </x:is>
      </x:c>
      <x:c r="R234" s="31" t="inlineStr">
        <x:is>
          <x:t xml:space="preserve">Материал</x:t>
        </x:is>
      </x:c>
      <x:c r="S234" s="31" t="inlineStr">
        <x:is>
          <x:t xml:space="preserve">Нет</x:t>
        </x:is>
      </x:c>
    </x:row>
    <x:row r="235" ht="18" customHeight="1">
      <x:c r="A235" s="31" t="inlineStr">
        <x:is>
          <x:t xml:space="preserve">ОП-000234</x:t>
        </x:is>
      </x:c>
      <x:c r="B235" s="31" t="inlineStr">
        <x:is>
          <x:t xml:space="preserve">ПЗ-00027</x:t>
        </x:is>
      </x:c>
      <x:c r="C235" s="31" t="inlineStr">
        <x:is>
          <x:t xml:space="preserve">ЗК-1014</x:t>
        </x:is>
      </x:c>
      <x:c r="D235" s="31" t="inlineStr">
        <x:is>
          <x:t xml:space="preserve">ПОЗ-0014-1</x:t>
        </x:is>
      </x:c>
      <x:c r="E235" s="31" t="inlineStr">
        <x:is>
          <x:t xml:space="preserve">ИЗД-020</x:t>
        </x:is>
      </x:c>
      <x:c r="F235" s="31" t="n">
        <x:v>60</x:v>
      </x:c>
      <x:c r="G235" s="31" t="inlineStr">
        <x:is>
          <x:t xml:space="preserve">Покраска</x:t>
        </x:is>
      </x:c>
      <x:c r="H235" s="31" t="inlineStr">
        <x:is>
          <x:t xml:space="preserve">Сварка</x:t>
        </x:is>
      </x:c>
      <x:c r="I235" s="31" t="inlineStr">
        <x:is>
          <x:t xml:space="preserve">ОБ-026</x:t>
        </x:is>
      </x:c>
      <x:c r="J235" s="31" t="inlineStr">
        <x:is>
          <x:t xml:space="preserve">СОТР-065</x:t>
        </x:is>
      </x:c>
      <x:c r="K235" s="31" t="n">
        <x:v>5.2</x:v>
      </x:c>
      <x:c r="L235" s="31" t="n">
        <x:v>6.8</x:v>
      </x:c>
      <x:c r="M235" s="31" t="n">
        <x:v>46075</x:v>
      </x:c>
      <x:c r="N235" s="31" t="n">
        <x:v>46076</x:v>
      </x:c>
      <x:c r="O235" s="31" t="n">
        <x:v>46075</x:v>
      </x:c>
      <x:c r="P235" s="31" t="n">
        <x:v>46075</x:v>
      </x:c>
      <x:c r="Q235" s="31" t="inlineStr">
        <x:is>
          <x:t xml:space="preserve">Завершено</x:t>
        </x:is>
      </x:c>
      <x:c r="R235" s="31" t="inlineStr">
        <x:is>
          <x:t xml:space="preserve">Оборудование</x:t>
        </x:is>
      </x:c>
      <x:c r="S235" s="31" t="inlineStr">
        <x:is>
          <x:t xml:space="preserve">Нет</x:t>
        </x:is>
      </x:c>
    </x:row>
    <x:row r="236" ht="18" customHeight="1">
      <x:c r="A236" s="31" t="inlineStr">
        <x:is>
          <x:t xml:space="preserve">ОП-000235</x:t>
        </x:is>
      </x:c>
      <x:c r="B236" s="31" t="inlineStr">
        <x:is>
          <x:t xml:space="preserve">ПЗ-00027</x:t>
        </x:is>
      </x:c>
      <x:c r="C236" s="31" t="inlineStr">
        <x:is>
          <x:t xml:space="preserve">ЗК-1014</x:t>
        </x:is>
      </x:c>
      <x:c r="D236" s="31" t="inlineStr">
        <x:is>
          <x:t xml:space="preserve">ПОЗ-0014-1</x:t>
        </x:is>
      </x:c>
      <x:c r="E236" s="31" t="inlineStr">
        <x:is>
          <x:t xml:space="preserve">ИЗД-020</x:t>
        </x:is>
      </x:c>
      <x:c r="F236" s="31" t="n">
        <x:v>70</x:v>
      </x:c>
      <x:c r="G236" s="31" t="inlineStr">
        <x:is>
          <x:t xml:space="preserve">ОТК</x:t>
        </x:is>
      </x:c>
      <x:c r="H236" s="31" t="inlineStr">
        <x:is>
          <x:t xml:space="preserve">ОТК</x:t>
        </x:is>
      </x:c>
      <x:c r="I236" s="31" t="inlineStr">
        <x:is>
          <x:t xml:space="preserve">ОБ-015</x:t>
        </x:is>
      </x:c>
      <x:c r="J236" s="31" t="inlineStr">
        <x:is>
          <x:t xml:space="preserve">СОТР-099</x:t>
        </x:is>
      </x:c>
      <x:c r="K236" s="31" t="n">
        <x:v>20.4</x:v>
      </x:c>
      <x:c r="L236" s="31" t="n">
        <x:v>26.6</x:v>
      </x:c>
      <x:c r="M236" s="31" t="n">
        <x:v>46076</x:v>
      </x:c>
      <x:c r="N236" s="31" t="n">
        <x:v>46078</x:v>
      </x:c>
      <x:c r="O236" s="31" t="n">
        <x:v>46076</x:v>
      </x:c>
      <x:c r="P236" s="31" t="n">
        <x:v>46078</x:v>
      </x:c>
      <x:c r="Q236" s="31" t="inlineStr">
        <x:is>
          <x:t xml:space="preserve">Завершено</x:t>
        </x:is>
      </x:c>
      <x:c r="R236" s="31" t="inlineStr">
        <x:is>
          <x:t xml:space="preserve">Нет</x:t>
        </x:is>
      </x:c>
      <x:c r="S236" s="31" t="inlineStr">
        <x:is>
          <x:t xml:space="preserve">Нет</x:t>
        </x:is>
      </x:c>
    </x:row>
    <x:row r="237" ht="18" customHeight="1">
      <x:c r="A237" s="31" t="inlineStr">
        <x:is>
          <x:t xml:space="preserve">ОП-000236</x:t>
        </x:is>
      </x:c>
      <x:c r="B237" s="31" t="inlineStr">
        <x:is>
          <x:t xml:space="preserve">ПЗ-00028</x:t>
        </x:is>
      </x:c>
      <x:c r="C237" s="31" t="inlineStr">
        <x:is>
          <x:t xml:space="preserve">ЗК-1015</x:t>
        </x:is>
      </x:c>
      <x:c r="D237" s="31" t="inlineStr">
        <x:is>
          <x:t xml:space="preserve">ПОЗ-0015-1</x:t>
        </x:is>
      </x:c>
      <x:c r="E237" s="31" t="inlineStr">
        <x:is>
          <x:t xml:space="preserve">ИЗД-043</x:t>
        </x:is>
      </x:c>
      <x:c r="F237" s="31" t="n">
        <x:v>10</x:v>
      </x:c>
      <x:c r="G237" s="31" t="inlineStr">
        <x:is>
          <x:t xml:space="preserve">КД</x:t>
        </x:is>
      </x:c>
      <x:c r="H237" s="31" t="inlineStr">
        <x:is>
          <x:t xml:space="preserve">Инженерный отдел</x:t>
        </x:is>
      </x:c>
      <x:c r="I237" s="31" t="n"/>
      <x:c r="J237" s="31" t="inlineStr">
        <x:is>
          <x:t xml:space="preserve">СОТР-013</x:t>
        </x:is>
      </x:c>
      <x:c r="K237" s="31" t="n">
        <x:v>40</x:v>
      </x:c>
      <x:c r="L237" s="31" t="n">
        <x:v>49.3</x:v>
      </x:c>
      <x:c r="M237" s="31" t="n">
        <x:v>46123</x:v>
      </x:c>
      <x:c r="N237" s="31" t="n">
        <x:v>46127</x:v>
      </x:c>
      <x:c r="O237" s="31" t="n">
        <x:v>46123</x:v>
      </x:c>
      <x:c r="P237" s="31" t="n">
        <x:v>46129</x:v>
      </x:c>
      <x:c r="Q237" s="31" t="inlineStr">
        <x:is>
          <x:t xml:space="preserve">Завершено</x:t>
        </x:is>
      </x:c>
      <x:c r="R237" s="31" t="inlineStr">
        <x:is>
          <x:t xml:space="preserve">Нет</x:t>
        </x:is>
      </x:c>
      <x:c r="S237" s="31" t="inlineStr">
        <x:is>
          <x:t xml:space="preserve">Нет</x:t>
        </x:is>
      </x:c>
    </x:row>
    <x:row r="238" ht="18" customHeight="1">
      <x:c r="A238" s="31" t="inlineStr">
        <x:is>
          <x:t xml:space="preserve">ОП-000237</x:t>
        </x:is>
      </x:c>
      <x:c r="B238" s="31" t="inlineStr">
        <x:is>
          <x:t xml:space="preserve">ПЗ-00028</x:t>
        </x:is>
      </x:c>
      <x:c r="C238" s="31" t="inlineStr">
        <x:is>
          <x:t xml:space="preserve">ЗК-1015</x:t>
        </x:is>
      </x:c>
      <x:c r="D238" s="31" t="inlineStr">
        <x:is>
          <x:t xml:space="preserve">ПОЗ-0015-1</x:t>
        </x:is>
      </x:c>
      <x:c r="E238" s="31" t="inlineStr">
        <x:is>
          <x:t xml:space="preserve">ИЗД-043</x:t>
        </x:is>
      </x:c>
      <x:c r="F238" s="31" t="n">
        <x:v>20</x:v>
      </x:c>
      <x:c r="G238" s="31" t="inlineStr">
        <x:is>
          <x:t xml:space="preserve">Резерв материалов</x:t>
        </x:is>
      </x:c>
      <x:c r="H238" s="31" t="inlineStr">
        <x:is>
          <x:t xml:space="preserve">Склад</x:t>
        </x:is>
      </x:c>
      <x:c r="I238" s="31" t="inlineStr">
        <x:is>
          <x:t xml:space="preserve">ОБ-008</x:t>
        </x:is>
      </x:c>
      <x:c r="J238" s="31" t="inlineStr">
        <x:is>
          <x:t xml:space="preserve">СОТР-038</x:t>
        </x:is>
      </x:c>
      <x:c r="K238" s="31" t="n">
        <x:v>49</x:v>
      </x:c>
      <x:c r="L238" s="31" t="n">
        <x:v>62.8</x:v>
      </x:c>
      <x:c r="M238" s="31" t="n">
        <x:v>46127</x:v>
      </x:c>
      <x:c r="N238" s="31" t="n">
        <x:v>46132</x:v>
      </x:c>
      <x:c r="O238" s="31" t="n">
        <x:v>46127</x:v>
      </x:c>
      <x:c r="P238" s="31" t="n">
        <x:v>46132</x:v>
      </x:c>
      <x:c r="Q238" s="31" t="inlineStr">
        <x:is>
          <x:t xml:space="preserve">Завершено</x:t>
        </x:is>
      </x:c>
      <x:c r="R238" s="31" t="inlineStr">
        <x:is>
          <x:t xml:space="preserve">Нет</x:t>
        </x:is>
      </x:c>
      <x:c r="S238" s="31" t="inlineStr">
        <x:is>
          <x:t xml:space="preserve">Да</x:t>
        </x:is>
      </x:c>
    </x:row>
    <x:row r="239" ht="18" customHeight="1">
      <x:c r="A239" s="31" t="inlineStr">
        <x:is>
          <x:t xml:space="preserve">ОП-000238</x:t>
        </x:is>
      </x:c>
      <x:c r="B239" s="31" t="inlineStr">
        <x:is>
          <x:t xml:space="preserve">ПЗ-00028</x:t>
        </x:is>
      </x:c>
      <x:c r="C239" s="31" t="inlineStr">
        <x:is>
          <x:t xml:space="preserve">ЗК-1015</x:t>
        </x:is>
      </x:c>
      <x:c r="D239" s="31" t="inlineStr">
        <x:is>
          <x:t xml:space="preserve">ПОЗ-0015-1</x:t>
        </x:is>
      </x:c>
      <x:c r="E239" s="31" t="inlineStr">
        <x:is>
          <x:t xml:space="preserve">ИЗД-043</x:t>
        </x:is>
      </x:c>
      <x:c r="F239" s="31" t="n">
        <x:v>30</x:v>
      </x:c>
      <x:c r="G239" s="31" t="inlineStr">
        <x:is>
          <x:t xml:space="preserve">Резка металла</x:t>
        </x:is>
      </x:c>
      <x:c r="H239" s="31" t="inlineStr">
        <x:is>
          <x:t xml:space="preserve">Сварка</x:t>
        </x:is>
      </x:c>
      <x:c r="I239" s="31" t="inlineStr">
        <x:is>
          <x:t xml:space="preserve">ОБ-004</x:t>
        </x:is>
      </x:c>
      <x:c r="J239" s="31" t="inlineStr">
        <x:is>
          <x:t xml:space="preserve">СОТР-071</x:t>
        </x:is>
      </x:c>
      <x:c r="K239" s="31" t="n">
        <x:v>57</x:v>
      </x:c>
      <x:c r="L239" s="31" t="n">
        <x:v>62.6</x:v>
      </x:c>
      <x:c r="M239" s="31" t="n">
        <x:v>46132</x:v>
      </x:c>
      <x:c r="N239" s="31" t="n">
        <x:v>46137</x:v>
      </x:c>
      <x:c r="O239" s="31" t="n">
        <x:v>46132</x:v>
      </x:c>
      <x:c r="P239" s="31" t="n">
        <x:v>46137</x:v>
      </x:c>
      <x:c r="Q239" s="31" t="inlineStr">
        <x:is>
          <x:t xml:space="preserve">Завершено</x:t>
        </x:is>
      </x:c>
      <x:c r="R239" s="31" t="inlineStr">
        <x:is>
          <x:t xml:space="preserve">КД</x:t>
        </x:is>
      </x:c>
      <x:c r="S239" s="31" t="inlineStr">
        <x:is>
          <x:t xml:space="preserve">Нет</x:t>
        </x:is>
      </x:c>
    </x:row>
    <x:row r="240" ht="18" customHeight="1">
      <x:c r="A240" s="31" t="inlineStr">
        <x:is>
          <x:t xml:space="preserve">ОП-000239</x:t>
        </x:is>
      </x:c>
      <x:c r="B240" s="31" t="inlineStr">
        <x:is>
          <x:t xml:space="preserve">ПЗ-00028</x:t>
        </x:is>
      </x:c>
      <x:c r="C240" s="31" t="inlineStr">
        <x:is>
          <x:t xml:space="preserve">ЗК-1015</x:t>
        </x:is>
      </x:c>
      <x:c r="D240" s="31" t="inlineStr">
        <x:is>
          <x:t xml:space="preserve">ПОЗ-0015-1</x:t>
        </x:is>
      </x:c>
      <x:c r="E240" s="31" t="inlineStr">
        <x:is>
          <x:t xml:space="preserve">ИЗД-043</x:t>
        </x:is>
      </x:c>
      <x:c r="F240" s="31" t="n">
        <x:v>40</x:v>
      </x:c>
      <x:c r="G240" s="31" t="inlineStr">
        <x:is>
          <x:t xml:space="preserve">Сварка рамы</x:t>
        </x:is>
      </x:c>
      <x:c r="H240" s="31" t="inlineStr">
        <x:is>
          <x:t xml:space="preserve">Сварка</x:t>
        </x:is>
      </x:c>
      <x:c r="I240" s="31" t="inlineStr">
        <x:is>
          <x:t xml:space="preserve">ОБ-021</x:t>
        </x:is>
      </x:c>
      <x:c r="J240" s="31" t="inlineStr">
        <x:is>
          <x:t xml:space="preserve">СОТР-061</x:t>
        </x:is>
      </x:c>
      <x:c r="K240" s="31" t="n">
        <x:v>20</x:v>
      </x:c>
      <x:c r="L240" s="31" t="n">
        <x:v>22.3</x:v>
      </x:c>
      <x:c r="M240" s="31" t="n">
        <x:v>46137</x:v>
      </x:c>
      <x:c r="N240" s="31" t="n">
        <x:v>46139</x:v>
      </x:c>
      <x:c r="O240" s="31" t="n">
        <x:v>46137</x:v>
      </x:c>
      <x:c r="P240" s="31" t="n">
        <x:v>46139</x:v>
      </x:c>
      <x:c r="Q240" s="31" t="inlineStr">
        <x:is>
          <x:t xml:space="preserve">Завершено</x:t>
        </x:is>
      </x:c>
      <x:c r="R240" s="31" t="inlineStr">
        <x:is>
          <x:t xml:space="preserve">Нет</x:t>
        </x:is>
      </x:c>
      <x:c r="S240" s="31" t="inlineStr">
        <x:is>
          <x:t xml:space="preserve">Нет</x:t>
        </x:is>
      </x:c>
    </x:row>
    <x:row r="241" ht="18" customHeight="1">
      <x:c r="A241" s="31" t="inlineStr">
        <x:is>
          <x:t xml:space="preserve">ОП-000240</x:t>
        </x:is>
      </x:c>
      <x:c r="B241" s="31" t="inlineStr">
        <x:is>
          <x:t xml:space="preserve">ПЗ-00028</x:t>
        </x:is>
      </x:c>
      <x:c r="C241" s="31" t="inlineStr">
        <x:is>
          <x:t xml:space="preserve">ЗК-1015</x:t>
        </x:is>
      </x:c>
      <x:c r="D241" s="31" t="inlineStr">
        <x:is>
          <x:t xml:space="preserve">ПОЗ-0015-1</x:t>
        </x:is>
      </x:c>
      <x:c r="E241" s="31" t="inlineStr">
        <x:is>
          <x:t xml:space="preserve">ИЗД-043</x:t>
        </x:is>
      </x:c>
      <x:c r="F241" s="31" t="n">
        <x:v>50</x:v>
      </x:c>
      <x:c r="G241" s="31" t="inlineStr">
        <x:is>
          <x:t xml:space="preserve">Механообработка</x:t>
        </x:is>
      </x:c>
      <x:c r="H241" s="31" t="inlineStr">
        <x:is>
          <x:t xml:space="preserve">Механообработка</x:t>
        </x:is>
      </x:c>
      <x:c r="I241" s="31" t="inlineStr">
        <x:is>
          <x:t xml:space="preserve">ОБ-031</x:t>
        </x:is>
      </x:c>
      <x:c r="J241" s="31" t="inlineStr">
        <x:is>
          <x:t xml:space="preserve">СОТР-054</x:t>
        </x:is>
      </x:c>
      <x:c r="K241" s="31" t="n">
        <x:v>50</x:v>
      </x:c>
      <x:c r="L241" s="31" t="n">
        <x:v>51.1</x:v>
      </x:c>
      <x:c r="M241" s="31" t="n">
        <x:v>46139</x:v>
      </x:c>
      <x:c r="N241" s="31" t="n">
        <x:v>46144</x:v>
      </x:c>
      <x:c r="O241" s="31" t="n">
        <x:v>46139</x:v>
      </x:c>
      <x:c r="P241" s="31" t="n">
        <x:v>46146</x:v>
      </x:c>
      <x:c r="Q241" s="31" t="inlineStr">
        <x:is>
          <x:t xml:space="preserve">Завершено</x:t>
        </x:is>
      </x:c>
      <x:c r="R241" s="31" t="inlineStr">
        <x:is>
          <x:t xml:space="preserve">Оборудование</x:t>
        </x:is>
      </x:c>
      <x:c r="S241" s="31" t="inlineStr">
        <x:is>
          <x:t xml:space="preserve">Нет</x:t>
        </x:is>
      </x:c>
    </x:row>
    <x:row r="242" ht="18" customHeight="1">
      <x:c r="A242" s="31" t="inlineStr">
        <x:is>
          <x:t xml:space="preserve">ОП-000241</x:t>
        </x:is>
      </x:c>
      <x:c r="B242" s="31" t="inlineStr">
        <x:is>
          <x:t xml:space="preserve">ПЗ-00028</x:t>
        </x:is>
      </x:c>
      <x:c r="C242" s="31" t="inlineStr">
        <x:is>
          <x:t xml:space="preserve">ЗК-1015</x:t>
        </x:is>
      </x:c>
      <x:c r="D242" s="31" t="inlineStr">
        <x:is>
          <x:t xml:space="preserve">ПОЗ-0015-1</x:t>
        </x:is>
      </x:c>
      <x:c r="E242" s="31" t="inlineStr">
        <x:is>
          <x:t xml:space="preserve">ИЗД-043</x:t>
        </x:is>
      </x:c>
      <x:c r="F242" s="31" t="n">
        <x:v>60</x:v>
      </x:c>
      <x:c r="G242" s="31" t="inlineStr">
        <x:is>
          <x:t xml:space="preserve">Сборка</x:t>
        </x:is>
      </x:c>
      <x:c r="H242" s="31" t="inlineStr">
        <x:is>
          <x:t xml:space="preserve">Сборка</x:t>
        </x:is>
      </x:c>
      <x:c r="I242" s="31" t="inlineStr">
        <x:is>
          <x:t xml:space="preserve">ОБ-014</x:t>
        </x:is>
      </x:c>
      <x:c r="J242" s="31" t="inlineStr">
        <x:is>
          <x:t xml:space="preserve">СОТР-090</x:t>
        </x:is>
      </x:c>
      <x:c r="K242" s="31" t="n">
        <x:v>74.5</x:v>
      </x:c>
      <x:c r="L242" s="31" t="n">
        <x:v>76.09999999999999</x:v>
      </x:c>
      <x:c r="M242" s="31" t="n">
        <x:v>46144</x:v>
      </x:c>
      <x:c r="N242" s="31" t="n">
        <x:v>46151</x:v>
      </x:c>
      <x:c r="O242" s="31" t="n">
        <x:v>46144</x:v>
      </x:c>
      <x:c r="P242" s="31" t="n">
        <x:v>46150</x:v>
      </x:c>
      <x:c r="Q242" s="31" t="inlineStr">
        <x:is>
          <x:t xml:space="preserve">Завершено</x:t>
        </x:is>
      </x:c>
      <x:c r="R242" s="31" t="inlineStr">
        <x:is>
          <x:t xml:space="preserve">Оборудование</x:t>
        </x:is>
      </x:c>
      <x:c r="S242" s="31" t="inlineStr">
        <x:is>
          <x:t xml:space="preserve">Нет</x:t>
        </x:is>
      </x:c>
    </x:row>
    <x:row r="243" ht="18" customHeight="1">
      <x:c r="A243" s="31" t="inlineStr">
        <x:is>
          <x:t xml:space="preserve">ОП-000242</x:t>
        </x:is>
      </x:c>
      <x:c r="B243" s="31" t="inlineStr">
        <x:is>
          <x:t xml:space="preserve">ПЗ-00028</x:t>
        </x:is>
      </x:c>
      <x:c r="C243" s="31" t="inlineStr">
        <x:is>
          <x:t xml:space="preserve">ЗК-1015</x:t>
        </x:is>
      </x:c>
      <x:c r="D243" s="31" t="inlineStr">
        <x:is>
          <x:t xml:space="preserve">ПОЗ-0015-1</x:t>
        </x:is>
      </x:c>
      <x:c r="E243" s="31" t="inlineStr">
        <x:is>
          <x:t xml:space="preserve">ИЗД-043</x:t>
        </x:is>
      </x:c>
      <x:c r="F243" s="31" t="n">
        <x:v>70</x:v>
      </x:c>
      <x:c r="G243" s="31" t="inlineStr">
        <x:is>
          <x:t xml:space="preserve">Электромонтаж</x:t>
        </x:is>
      </x:c>
      <x:c r="H243" s="31" t="inlineStr">
        <x:is>
          <x:t xml:space="preserve">Сборка</x:t>
        </x:is>
      </x:c>
      <x:c r="I243" s="31" t="inlineStr">
        <x:is>
          <x:t xml:space="preserve">ОБ-020</x:t>
        </x:is>
      </x:c>
      <x:c r="J243" s="31" t="inlineStr">
        <x:is>
          <x:t xml:space="preserve">СОТР-086</x:t>
        </x:is>
      </x:c>
      <x:c r="K243" s="31" t="n">
        <x:v>52.5</x:v>
      </x:c>
      <x:c r="L243" s="31" t="n">
        <x:v>66.8</x:v>
      </x:c>
      <x:c r="M243" s="31" t="n">
        <x:v>46151</x:v>
      </x:c>
      <x:c r="N243" s="31" t="n">
        <x:v>46156</x:v>
      </x:c>
      <x:c r="O243" s="31" t="n">
        <x:v>46151</x:v>
      </x:c>
      <x:c r="P243" s="31" t="n">
        <x:v>46156</x:v>
      </x:c>
      <x:c r="Q243" s="31" t="inlineStr">
        <x:is>
          <x:t xml:space="preserve">Завершено</x:t>
        </x:is>
      </x:c>
      <x:c r="R243" s="31" t="inlineStr">
        <x:is>
          <x:t xml:space="preserve">Нет</x:t>
        </x:is>
      </x:c>
      <x:c r="S243" s="31" t="inlineStr">
        <x:is>
          <x:t xml:space="preserve">Нет</x:t>
        </x:is>
      </x:c>
    </x:row>
    <x:row r="244" ht="18" customHeight="1">
      <x:c r="A244" s="31" t="inlineStr">
        <x:is>
          <x:t xml:space="preserve">ОП-000243</x:t>
        </x:is>
      </x:c>
      <x:c r="B244" s="31" t="inlineStr">
        <x:is>
          <x:t xml:space="preserve">ПЗ-00028</x:t>
        </x:is>
      </x:c>
      <x:c r="C244" s="31" t="inlineStr">
        <x:is>
          <x:t xml:space="preserve">ЗК-1015</x:t>
        </x:is>
      </x:c>
      <x:c r="D244" s="31" t="inlineStr">
        <x:is>
          <x:t xml:space="preserve">ПОЗ-0015-1</x:t>
        </x:is>
      </x:c>
      <x:c r="E244" s="31" t="inlineStr">
        <x:is>
          <x:t xml:space="preserve">ИЗД-043</x:t>
        </x:is>
      </x:c>
      <x:c r="F244" s="31" t="n">
        <x:v>80</x:v>
      </x:c>
      <x:c r="G244" s="31" t="inlineStr">
        <x:is>
          <x:t xml:space="preserve">Гидроиспытания</x:t>
        </x:is>
      </x:c>
      <x:c r="H244" s="31" t="inlineStr">
        <x:is>
          <x:t xml:space="preserve">ОТК</x:t>
        </x:is>
      </x:c>
      <x:c r="I244" s="31" t="inlineStr">
        <x:is>
          <x:t xml:space="preserve">ОБ-028</x:t>
        </x:is>
      </x:c>
      <x:c r="J244" s="31" t="inlineStr">
        <x:is>
          <x:t xml:space="preserve">СОТР-098</x:t>
        </x:is>
      </x:c>
      <x:c r="K244" s="31" t="n">
        <x:v>38.5</x:v>
      </x:c>
      <x:c r="L244" s="31" t="n">
        <x:v>32.6</x:v>
      </x:c>
      <x:c r="M244" s="31" t="n">
        <x:v>46156</x:v>
      </x:c>
      <x:c r="N244" s="31" t="n">
        <x:v>46160</x:v>
      </x:c>
      <x:c r="O244" s="31" t="n">
        <x:v>46156</x:v>
      </x:c>
      <x:c r="P244" s="31" t="n">
        <x:v>46160</x:v>
      </x:c>
      <x:c r="Q244" s="31" t="inlineStr">
        <x:is>
          <x:t xml:space="preserve">Завершено</x:t>
        </x:is>
      </x:c>
      <x:c r="R244" s="31" t="inlineStr">
        <x:is>
          <x:t xml:space="preserve">Материал</x:t>
        </x:is>
      </x:c>
      <x:c r="S244" s="31" t="inlineStr">
        <x:is>
          <x:t xml:space="preserve">Нет</x:t>
        </x:is>
      </x:c>
    </x:row>
    <x:row r="245" ht="18" customHeight="1">
      <x:c r="A245" s="31" t="inlineStr">
        <x:is>
          <x:t xml:space="preserve">ОП-000244</x:t>
        </x:is>
      </x:c>
      <x:c r="B245" s="31" t="inlineStr">
        <x:is>
          <x:t xml:space="preserve">ПЗ-00028</x:t>
        </x:is>
      </x:c>
      <x:c r="C245" s="31" t="inlineStr">
        <x:is>
          <x:t xml:space="preserve">ЗК-1015</x:t>
        </x:is>
      </x:c>
      <x:c r="D245" s="31" t="inlineStr">
        <x:is>
          <x:t xml:space="preserve">ПОЗ-0015-1</x:t>
        </x:is>
      </x:c>
      <x:c r="E245" s="31" t="inlineStr">
        <x:is>
          <x:t xml:space="preserve">ИЗД-043</x:t>
        </x:is>
      </x:c>
      <x:c r="F245" s="31" t="n">
        <x:v>90</x:v>
      </x:c>
      <x:c r="G245" s="31" t="inlineStr">
        <x:is>
          <x:t xml:space="preserve">ОТК</x:t>
        </x:is>
      </x:c>
      <x:c r="H245" s="31" t="inlineStr">
        <x:is>
          <x:t xml:space="preserve">ОТК</x:t>
        </x:is>
      </x:c>
      <x:c r="I245" s="31" t="inlineStr">
        <x:is>
          <x:t xml:space="preserve">ОБ-032</x:t>
        </x:is>
      </x:c>
      <x:c r="J245" s="31" t="inlineStr">
        <x:is>
          <x:t xml:space="preserve">СОТР-097</x:t>
        </x:is>
      </x:c>
      <x:c r="K245" s="31" t="n">
        <x:v>49.5</x:v>
      </x:c>
      <x:c r="L245" s="31" t="n">
        <x:v>57.9</x:v>
      </x:c>
      <x:c r="M245" s="31" t="n">
        <x:v>46160</x:v>
      </x:c>
      <x:c r="N245" s="31" t="n">
        <x:v>46165</x:v>
      </x:c>
      <x:c r="O245" s="31" t="n">
        <x:v>46160</x:v>
      </x:c>
      <x:c r="P245" s="31" t="n">
        <x:v>46166</x:v>
      </x:c>
      <x:c r="Q245" s="31" t="inlineStr">
        <x:is>
          <x:t xml:space="preserve">Завершено</x:t>
        </x:is>
      </x:c>
      <x:c r="R245" s="31" t="inlineStr">
        <x:is>
          <x:t xml:space="preserve">Нет</x:t>
        </x:is>
      </x:c>
      <x:c r="S245" s="31" t="inlineStr">
        <x:is>
          <x:t xml:space="preserve">Нет</x:t>
        </x:is>
      </x:c>
    </x:row>
    <x:row r="246" ht="18" customHeight="1">
      <x:c r="A246" s="31" t="inlineStr">
        <x:is>
          <x:t xml:space="preserve">ОП-000245</x:t>
        </x:is>
      </x:c>
      <x:c r="B246" s="31" t="inlineStr">
        <x:is>
          <x:t xml:space="preserve">ПЗ-00028</x:t>
        </x:is>
      </x:c>
      <x:c r="C246" s="31" t="inlineStr">
        <x:is>
          <x:t xml:space="preserve">ЗК-1015</x:t>
        </x:is>
      </x:c>
      <x:c r="D246" s="31" t="inlineStr">
        <x:is>
          <x:t xml:space="preserve">ПОЗ-0015-1</x:t>
        </x:is>
      </x:c>
      <x:c r="E246" s="31" t="inlineStr">
        <x:is>
          <x:t xml:space="preserve">ИЗД-043</x:t>
        </x:is>
      </x:c>
      <x:c r="F246" s="31" t="n">
        <x:v>100</x:v>
      </x:c>
      <x:c r="G246" s="31" t="inlineStr">
        <x:is>
          <x:t xml:space="preserve">Упаковка</x:t>
        </x:is>
      </x:c>
      <x:c r="H246" s="31" t="inlineStr">
        <x:is>
          <x:t xml:space="preserve">Логистика</x:t>
        </x:is>
      </x:c>
      <x:c r="I246" s="31" t="n"/>
      <x:c r="J246" s="31" t="inlineStr">
        <x:is>
          <x:t xml:space="preserve">СОТР-105</x:t>
        </x:is>
      </x:c>
      <x:c r="K246" s="31" t="n">
        <x:v>33.5</x:v>
      </x:c>
      <x:c r="L246" s="31" t="n">
        <x:v>41.1</x:v>
      </x:c>
      <x:c r="M246" s="31" t="n">
        <x:v>46165</x:v>
      </x:c>
      <x:c r="N246" s="31" t="n">
        <x:v>46168</x:v>
      </x:c>
      <x:c r="O246" s="31" t="n">
        <x:v>46165</x:v>
      </x:c>
      <x:c r="P246" s="31" t="n">
        <x:v>46167</x:v>
      </x:c>
      <x:c r="Q246" s="31" t="inlineStr">
        <x:is>
          <x:t xml:space="preserve">Завершено</x:t>
        </x:is>
      </x:c>
      <x:c r="R246" s="31" t="inlineStr">
        <x:is>
          <x:t xml:space="preserve">Нет</x:t>
        </x:is>
      </x:c>
      <x:c r="S246" s="31" t="inlineStr">
        <x:is>
          <x:t xml:space="preserve">Нет</x:t>
        </x:is>
      </x:c>
    </x:row>
    <x:row r="247" ht="18" customHeight="1">
      <x:c r="A247" s="31" t="inlineStr">
        <x:is>
          <x:t xml:space="preserve">ОП-000246</x:t>
        </x:is>
      </x:c>
      <x:c r="B247" s="31" t="inlineStr">
        <x:is>
          <x:t xml:space="preserve">ПЗ-00029</x:t>
        </x:is>
      </x:c>
      <x:c r="C247" s="31" t="inlineStr">
        <x:is>
          <x:t xml:space="preserve">ЗК-1016</x:t>
        </x:is>
      </x:c>
      <x:c r="D247" s="31" t="inlineStr">
        <x:is>
          <x:t xml:space="preserve">ПОЗ-0016-1</x:t>
        </x:is>
      </x:c>
      <x:c r="E247" s="31" t="inlineStr">
        <x:is>
          <x:t xml:space="preserve">ИЗД-003</x:t>
        </x:is>
      </x:c>
      <x:c r="F247" s="31" t="n">
        <x:v>10</x:v>
      </x:c>
      <x:c r="G247" s="31" t="inlineStr">
        <x:is>
          <x:t xml:space="preserve">КД</x:t>
        </x:is>
      </x:c>
      <x:c r="H247" s="31" t="inlineStr">
        <x:is>
          <x:t xml:space="preserve">Инженерный отдел</x:t>
        </x:is>
      </x:c>
      <x:c r="I247" s="31" t="n"/>
      <x:c r="J247" s="31" t="inlineStr">
        <x:is>
          <x:t xml:space="preserve">СОТР-019</x:t>
        </x:is>
      </x:c>
      <x:c r="K247" s="31" t="n">
        <x:v>13.8</x:v>
      </x:c>
      <x:c r="L247" s="31" t="n">
        <x:v>12.8</x:v>
      </x:c>
      <x:c r="M247" s="31" t="n">
        <x:v>46040</x:v>
      </x:c>
      <x:c r="N247" s="31" t="n">
        <x:v>46042</x:v>
      </x:c>
      <x:c r="O247" s="31" t="n">
        <x:v>46040</x:v>
      </x:c>
      <x:c r="P247" s="31" t="n">
        <x:v>46043</x:v>
      </x:c>
      <x:c r="Q247" s="31" t="inlineStr">
        <x:is>
          <x:t xml:space="preserve">Завершено</x:t>
        </x:is>
      </x:c>
      <x:c r="R247" s="31" t="inlineStr">
        <x:is>
          <x:t xml:space="preserve">Нет</x:t>
        </x:is>
      </x:c>
      <x:c r="S247" s="31" t="inlineStr">
        <x:is>
          <x:t xml:space="preserve">Нет</x:t>
        </x:is>
      </x:c>
    </x:row>
    <x:row r="248" ht="18" customHeight="1">
      <x:c r="A248" s="31" t="inlineStr">
        <x:is>
          <x:t xml:space="preserve">ОП-000247</x:t>
        </x:is>
      </x:c>
      <x:c r="B248" s="31" t="inlineStr">
        <x:is>
          <x:t xml:space="preserve">ПЗ-00029</x:t>
        </x:is>
      </x:c>
      <x:c r="C248" s="31" t="inlineStr">
        <x:is>
          <x:t xml:space="preserve">ЗК-1016</x:t>
        </x:is>
      </x:c>
      <x:c r="D248" s="31" t="inlineStr">
        <x:is>
          <x:t xml:space="preserve">ПОЗ-0016-1</x:t>
        </x:is>
      </x:c>
      <x:c r="E248" s="31" t="inlineStr">
        <x:is>
          <x:t xml:space="preserve">ИЗД-003</x:t>
        </x:is>
      </x:c>
      <x:c r="F248" s="31" t="n">
        <x:v>20</x:v>
      </x:c>
      <x:c r="G248" s="31" t="inlineStr">
        <x:is>
          <x:t xml:space="preserve">Резерв материалов</x:t>
        </x:is>
      </x:c>
      <x:c r="H248" s="31" t="inlineStr">
        <x:is>
          <x:t xml:space="preserve">Склад</x:t>
        </x:is>
      </x:c>
      <x:c r="I248" s="31" t="inlineStr">
        <x:is>
          <x:t xml:space="preserve">ОБ-023</x:t>
        </x:is>
      </x:c>
      <x:c r="J248" s="31" t="inlineStr">
        <x:is>
          <x:t xml:space="preserve">СОТР-024</x:t>
        </x:is>
      </x:c>
      <x:c r="K248" s="31" t="n">
        <x:v>15.8</x:v>
      </x:c>
      <x:c r="L248" s="31" t="n">
        <x:v>13.7</x:v>
      </x:c>
      <x:c r="M248" s="31" t="n">
        <x:v>46042</x:v>
      </x:c>
      <x:c r="N248" s="31" t="n">
        <x:v>46044</x:v>
      </x:c>
      <x:c r="O248" s="31" t="n">
        <x:v>46042</x:v>
      </x:c>
      <x:c r="P248" s="31" t="n">
        <x:v>46044</x:v>
      </x:c>
      <x:c r="Q248" s="31" t="inlineStr">
        <x:is>
          <x:t xml:space="preserve">Завершено</x:t>
        </x:is>
      </x:c>
      <x:c r="R248" s="31" t="inlineStr">
        <x:is>
          <x:t xml:space="preserve">Оборудование</x:t>
        </x:is>
      </x:c>
      <x:c r="S248" s="31" t="inlineStr">
        <x:is>
          <x:t xml:space="preserve">Да</x:t>
        </x:is>
      </x:c>
    </x:row>
    <x:row r="249" ht="18" customHeight="1">
      <x:c r="A249" s="31" t="inlineStr">
        <x:is>
          <x:t xml:space="preserve">ОП-000248</x:t>
        </x:is>
      </x:c>
      <x:c r="B249" s="31" t="inlineStr">
        <x:is>
          <x:t xml:space="preserve">ПЗ-00029</x:t>
        </x:is>
      </x:c>
      <x:c r="C249" s="31" t="inlineStr">
        <x:is>
          <x:t xml:space="preserve">ЗК-1016</x:t>
        </x:is>
      </x:c>
      <x:c r="D249" s="31" t="inlineStr">
        <x:is>
          <x:t xml:space="preserve">ПОЗ-0016-1</x:t>
        </x:is>
      </x:c>
      <x:c r="E249" s="31" t="inlineStr">
        <x:is>
          <x:t xml:space="preserve">ИЗД-003</x:t>
        </x:is>
      </x:c>
      <x:c r="F249" s="31" t="n">
        <x:v>30</x:v>
      </x:c>
      <x:c r="G249" s="31" t="inlineStr">
        <x:is>
          <x:t xml:space="preserve">Резка металла</x:t>
        </x:is>
      </x:c>
      <x:c r="H249" s="31" t="inlineStr">
        <x:is>
          <x:t xml:space="preserve">Сварка</x:t>
        </x:is>
      </x:c>
      <x:c r="I249" s="31" t="inlineStr">
        <x:is>
          <x:t xml:space="preserve">ОБ-019</x:t>
        </x:is>
      </x:c>
      <x:c r="J249" s="31" t="inlineStr">
        <x:is>
          <x:t xml:space="preserve">СОТР-069</x:t>
        </x:is>
      </x:c>
      <x:c r="K249" s="31" t="n">
        <x:v>2.2</x:v>
      </x:c>
      <x:c r="L249" s="31" t="n">
        <x:v>2.9</x:v>
      </x:c>
      <x:c r="M249" s="31" t="n">
        <x:v>46044</x:v>
      </x:c>
      <x:c r="N249" s="31" t="n">
        <x:v>46045</x:v>
      </x:c>
      <x:c r="O249" s="31" t="n">
        <x:v>46044</x:v>
      </x:c>
      <x:c r="P249" s="31" t="n">
        <x:v>46044</x:v>
      </x:c>
      <x:c r="Q249" s="31" t="inlineStr">
        <x:is>
          <x:t xml:space="preserve">Завершено</x:t>
        </x:is>
      </x:c>
      <x:c r="R249" s="31" t="inlineStr">
        <x:is>
          <x:t xml:space="preserve">Нет</x:t>
        </x:is>
      </x:c>
      <x:c r="S249" s="31" t="inlineStr">
        <x:is>
          <x:t xml:space="preserve">Нет</x:t>
        </x:is>
      </x:c>
    </x:row>
    <x:row r="250" ht="18" customHeight="1">
      <x:c r="A250" s="31" t="inlineStr">
        <x:is>
          <x:t xml:space="preserve">ОП-000249</x:t>
        </x:is>
      </x:c>
      <x:c r="B250" s="31" t="inlineStr">
        <x:is>
          <x:t xml:space="preserve">ПЗ-00029</x:t>
        </x:is>
      </x:c>
      <x:c r="C250" s="31" t="inlineStr">
        <x:is>
          <x:t xml:space="preserve">ЗК-1016</x:t>
        </x:is>
      </x:c>
      <x:c r="D250" s="31" t="inlineStr">
        <x:is>
          <x:t xml:space="preserve">ПОЗ-0016-1</x:t>
        </x:is>
      </x:c>
      <x:c r="E250" s="31" t="inlineStr">
        <x:is>
          <x:t xml:space="preserve">ИЗД-003</x:t>
        </x:is>
      </x:c>
      <x:c r="F250" s="31" t="n">
        <x:v>40</x:v>
      </x:c>
      <x:c r="G250" s="31" t="inlineStr">
        <x:is>
          <x:t xml:space="preserve">Сварка рамы</x:t>
        </x:is>
      </x:c>
      <x:c r="H250" s="31" t="inlineStr">
        <x:is>
          <x:t xml:space="preserve">Сварка</x:t>
        </x:is>
      </x:c>
      <x:c r="I250" s="31" t="inlineStr">
        <x:is>
          <x:t xml:space="preserve">ОБ-004</x:t>
        </x:is>
      </x:c>
      <x:c r="J250" s="31" t="inlineStr">
        <x:is>
          <x:t xml:space="preserve">СОТР-071</x:t>
        </x:is>
      </x:c>
      <x:c r="K250" s="31" t="n">
        <x:v>14.2</x:v>
      </x:c>
      <x:c r="L250" s="31" t="n">
        <x:v>19</x:v>
      </x:c>
      <x:c r="M250" s="31" t="n">
        <x:v>46045</x:v>
      </x:c>
      <x:c r="N250" s="31" t="n">
        <x:v>46047</x:v>
      </x:c>
      <x:c r="O250" s="31" t="n">
        <x:v>46045</x:v>
      </x:c>
      <x:c r="P250" s="31" t="n">
        <x:v>46049</x:v>
      </x:c>
      <x:c r="Q250" s="31" t="inlineStr">
        <x:is>
          <x:t xml:space="preserve">Завершено</x:t>
        </x:is>
      </x:c>
      <x:c r="R250" s="31" t="inlineStr">
        <x:is>
          <x:t xml:space="preserve">Нет</x:t>
        </x:is>
      </x:c>
      <x:c r="S250" s="31" t="inlineStr">
        <x:is>
          <x:t xml:space="preserve">Нет</x:t>
        </x:is>
      </x:c>
    </x:row>
    <x:row r="251" ht="18" customHeight="1">
      <x:c r="A251" s="31" t="inlineStr">
        <x:is>
          <x:t xml:space="preserve">ОП-000250</x:t>
        </x:is>
      </x:c>
      <x:c r="B251" s="31" t="inlineStr">
        <x:is>
          <x:t xml:space="preserve">ПЗ-00029</x:t>
        </x:is>
      </x:c>
      <x:c r="C251" s="31" t="inlineStr">
        <x:is>
          <x:t xml:space="preserve">ЗК-1016</x:t>
        </x:is>
      </x:c>
      <x:c r="D251" s="31" t="inlineStr">
        <x:is>
          <x:t xml:space="preserve">ПОЗ-0016-1</x:t>
        </x:is>
      </x:c>
      <x:c r="E251" s="31" t="inlineStr">
        <x:is>
          <x:t xml:space="preserve">ИЗД-003</x:t>
        </x:is>
      </x:c>
      <x:c r="F251" s="31" t="n">
        <x:v>50</x:v>
      </x:c>
      <x:c r="G251" s="31" t="inlineStr">
        <x:is>
          <x:t xml:space="preserve">Механообработка</x:t>
        </x:is>
      </x:c>
      <x:c r="H251" s="31" t="inlineStr">
        <x:is>
          <x:t xml:space="preserve">Механообработка</x:t>
        </x:is>
      </x:c>
      <x:c r="I251" s="31" t="inlineStr">
        <x:is>
          <x:t xml:space="preserve">ОБ-031</x:t>
        </x:is>
      </x:c>
      <x:c r="J251" s="31" t="inlineStr">
        <x:is>
          <x:t xml:space="preserve">СОТР-055</x:t>
        </x:is>
      </x:c>
      <x:c r="K251" s="31" t="n">
        <x:v>2.8</x:v>
      </x:c>
      <x:c r="L251" s="31" t="n">
        <x:v>3.2</x:v>
      </x:c>
      <x:c r="M251" s="31" t="n">
        <x:v>46047</x:v>
      </x:c>
      <x:c r="N251" s="31" t="n">
        <x:v>46048</x:v>
      </x:c>
      <x:c r="O251" s="31" t="n">
        <x:v>46047</x:v>
      </x:c>
      <x:c r="P251" s="31" t="n">
        <x:v>46049</x:v>
      </x:c>
      <x:c r="Q251" s="31" t="inlineStr">
        <x:is>
          <x:t xml:space="preserve">Завершено</x:t>
        </x:is>
      </x:c>
      <x:c r="R251" s="31" t="inlineStr">
        <x:is>
          <x:t xml:space="preserve">Нет</x:t>
        </x:is>
      </x:c>
      <x:c r="S251" s="31" t="inlineStr">
        <x:is>
          <x:t xml:space="preserve">Нет</x:t>
        </x:is>
      </x:c>
    </x:row>
    <x:row r="252" ht="18" customHeight="1">
      <x:c r="A252" s="31" t="inlineStr">
        <x:is>
          <x:t xml:space="preserve">ОП-000251</x:t>
        </x:is>
      </x:c>
      <x:c r="B252" s="31" t="inlineStr">
        <x:is>
          <x:t xml:space="preserve">ПЗ-00029</x:t>
        </x:is>
      </x:c>
      <x:c r="C252" s="31" t="inlineStr">
        <x:is>
          <x:t xml:space="preserve">ЗК-1016</x:t>
        </x:is>
      </x:c>
      <x:c r="D252" s="31" t="inlineStr">
        <x:is>
          <x:t xml:space="preserve">ПОЗ-0016-1</x:t>
        </x:is>
      </x:c>
      <x:c r="E252" s="31" t="inlineStr">
        <x:is>
          <x:t xml:space="preserve">ИЗД-003</x:t>
        </x:is>
      </x:c>
      <x:c r="F252" s="31" t="n">
        <x:v>60</x:v>
      </x:c>
      <x:c r="G252" s="31" t="inlineStr">
        <x:is>
          <x:t xml:space="preserve">Сборка</x:t>
        </x:is>
      </x:c>
      <x:c r="H252" s="31" t="inlineStr">
        <x:is>
          <x:t xml:space="preserve">Сборка</x:t>
        </x:is>
      </x:c>
      <x:c r="I252" s="31" t="inlineStr">
        <x:is>
          <x:t xml:space="preserve">ОБ-014</x:t>
        </x:is>
      </x:c>
      <x:c r="J252" s="31" t="inlineStr">
        <x:is>
          <x:t xml:space="preserve">СОТР-091</x:t>
        </x:is>
      </x:c>
      <x:c r="K252" s="31" t="n">
        <x:v>4.4</x:v>
      </x:c>
      <x:c r="L252" s="31" t="n">
        <x:v>5.1</x:v>
      </x:c>
      <x:c r="M252" s="31" t="n">
        <x:v>46048</x:v>
      </x:c>
      <x:c r="N252" s="31" t="n">
        <x:v>46049</x:v>
      </x:c>
      <x:c r="O252" s="31" t="n">
        <x:v>46048</x:v>
      </x:c>
      <x:c r="P252" s="31" t="n">
        <x:v>46048</x:v>
      </x:c>
      <x:c r="Q252" s="31" t="inlineStr">
        <x:is>
          <x:t xml:space="preserve">Завершено</x:t>
        </x:is>
      </x:c>
      <x:c r="R252" s="31" t="inlineStr">
        <x:is>
          <x:t xml:space="preserve">Нет</x:t>
        </x:is>
      </x:c>
      <x:c r="S252" s="31" t="inlineStr">
        <x:is>
          <x:t xml:space="preserve">Нет</x:t>
        </x:is>
      </x:c>
    </x:row>
    <x:row r="253" ht="18" customHeight="1">
      <x:c r="A253" s="31" t="inlineStr">
        <x:is>
          <x:t xml:space="preserve">ОП-000252</x:t>
        </x:is>
      </x:c>
      <x:c r="B253" s="31" t="inlineStr">
        <x:is>
          <x:t xml:space="preserve">ПЗ-00029</x:t>
        </x:is>
      </x:c>
      <x:c r="C253" s="31" t="inlineStr">
        <x:is>
          <x:t xml:space="preserve">ЗК-1016</x:t>
        </x:is>
      </x:c>
      <x:c r="D253" s="31" t="inlineStr">
        <x:is>
          <x:t xml:space="preserve">ПОЗ-0016-1</x:t>
        </x:is>
      </x:c>
      <x:c r="E253" s="31" t="inlineStr">
        <x:is>
          <x:t xml:space="preserve">ИЗД-003</x:t>
        </x:is>
      </x:c>
      <x:c r="F253" s="31" t="n">
        <x:v>70</x:v>
      </x:c>
      <x:c r="G253" s="31" t="inlineStr">
        <x:is>
          <x:t xml:space="preserve">Электромонтаж</x:t>
        </x:is>
      </x:c>
      <x:c r="H253" s="31" t="inlineStr">
        <x:is>
          <x:t xml:space="preserve">Сборка</x:t>
        </x:is>
      </x:c>
      <x:c r="I253" s="31" t="inlineStr">
        <x:is>
          <x:t xml:space="preserve">ОБ-034</x:t>
        </x:is>
      </x:c>
      <x:c r="J253" s="31" t="inlineStr">
        <x:is>
          <x:t xml:space="preserve">СОТР-091</x:t>
        </x:is>
      </x:c>
      <x:c r="K253" s="31" t="n">
        <x:v>10</x:v>
      </x:c>
      <x:c r="L253" s="31" t="n">
        <x:v>13.3</x:v>
      </x:c>
      <x:c r="M253" s="31" t="n">
        <x:v>46049</x:v>
      </x:c>
      <x:c r="N253" s="31" t="n">
        <x:v>46050</x:v>
      </x:c>
      <x:c r="O253" s="31" t="n">
        <x:v>46049</x:v>
      </x:c>
      <x:c r="P253" s="31" t="n">
        <x:v>46052</x:v>
      </x:c>
      <x:c r="Q253" s="31" t="inlineStr">
        <x:is>
          <x:t xml:space="preserve">Завершено</x:t>
        </x:is>
      </x:c>
      <x:c r="R253" s="31" t="inlineStr">
        <x:is>
          <x:t xml:space="preserve">Нет</x:t>
        </x:is>
      </x:c>
      <x:c r="S253" s="31" t="inlineStr">
        <x:is>
          <x:t xml:space="preserve">Нет</x:t>
        </x:is>
      </x:c>
    </x:row>
    <x:row r="254" ht="18" customHeight="1">
      <x:c r="A254" s="31" t="inlineStr">
        <x:is>
          <x:t xml:space="preserve">ОП-000253</x:t>
        </x:is>
      </x:c>
      <x:c r="B254" s="31" t="inlineStr">
        <x:is>
          <x:t xml:space="preserve">ПЗ-00029</x:t>
        </x:is>
      </x:c>
      <x:c r="C254" s="31" t="inlineStr">
        <x:is>
          <x:t xml:space="preserve">ЗК-1016</x:t>
        </x:is>
      </x:c>
      <x:c r="D254" s="31" t="inlineStr">
        <x:is>
          <x:t xml:space="preserve">ПОЗ-0016-1</x:t>
        </x:is>
      </x:c>
      <x:c r="E254" s="31" t="inlineStr">
        <x:is>
          <x:t xml:space="preserve">ИЗД-003</x:t>
        </x:is>
      </x:c>
      <x:c r="F254" s="31" t="n">
        <x:v>80</x:v>
      </x:c>
      <x:c r="G254" s="31" t="inlineStr">
        <x:is>
          <x:t xml:space="preserve">Гидроиспытания</x:t>
        </x:is>
      </x:c>
      <x:c r="H254" s="31" t="inlineStr">
        <x:is>
          <x:t xml:space="preserve">ОТК</x:t>
        </x:is>
      </x:c>
      <x:c r="I254" s="31" t="inlineStr">
        <x:is>
          <x:t xml:space="preserve">ОБ-022</x:t>
        </x:is>
      </x:c>
      <x:c r="J254" s="31" t="inlineStr">
        <x:is>
          <x:t xml:space="preserve">СОТР-099</x:t>
        </x:is>
      </x:c>
      <x:c r="K254" s="31" t="n">
        <x:v>11.2</x:v>
      </x:c>
      <x:c r="L254" s="31" t="n">
        <x:v>11.2</x:v>
      </x:c>
      <x:c r="M254" s="31" t="n">
        <x:v>46050</x:v>
      </x:c>
      <x:c r="N254" s="31" t="n">
        <x:v>46051</x:v>
      </x:c>
      <x:c r="O254" s="31" t="n">
        <x:v>46050</x:v>
      </x:c>
      <x:c r="P254" s="31" t="n">
        <x:v>46050</x:v>
      </x:c>
      <x:c r="Q254" s="31" t="inlineStr">
        <x:is>
          <x:t xml:space="preserve">Завершено</x:t>
        </x:is>
      </x:c>
      <x:c r="R254" s="31" t="inlineStr">
        <x:is>
          <x:t xml:space="preserve">Нет</x:t>
        </x:is>
      </x:c>
      <x:c r="S254" s="31" t="inlineStr">
        <x:is>
          <x:t xml:space="preserve">Да</x:t>
        </x:is>
      </x:c>
    </x:row>
    <x:row r="255" ht="18" customHeight="1">
      <x:c r="A255" s="31" t="inlineStr">
        <x:is>
          <x:t xml:space="preserve">ОП-000254</x:t>
        </x:is>
      </x:c>
      <x:c r="B255" s="31" t="inlineStr">
        <x:is>
          <x:t xml:space="preserve">ПЗ-00029</x:t>
        </x:is>
      </x:c>
      <x:c r="C255" s="31" t="inlineStr">
        <x:is>
          <x:t xml:space="preserve">ЗК-1016</x:t>
        </x:is>
      </x:c>
      <x:c r="D255" s="31" t="inlineStr">
        <x:is>
          <x:t xml:space="preserve">ПОЗ-0016-1</x:t>
        </x:is>
      </x:c>
      <x:c r="E255" s="31" t="inlineStr">
        <x:is>
          <x:t xml:space="preserve">ИЗД-003</x:t>
        </x:is>
      </x:c>
      <x:c r="F255" s="31" t="n">
        <x:v>90</x:v>
      </x:c>
      <x:c r="G255" s="31" t="inlineStr">
        <x:is>
          <x:t xml:space="preserve">ОТК</x:t>
        </x:is>
      </x:c>
      <x:c r="H255" s="31" t="inlineStr">
        <x:is>
          <x:t xml:space="preserve">ОТК</x:t>
        </x:is>
      </x:c>
      <x:c r="I255" s="31" t="inlineStr">
        <x:is>
          <x:t xml:space="preserve">ОБ-006</x:t>
        </x:is>
      </x:c>
      <x:c r="J255" s="31" t="inlineStr">
        <x:is>
          <x:t xml:space="preserve">СОТР-098</x:t>
        </x:is>
      </x:c>
      <x:c r="K255" s="31" t="n">
        <x:v>8</x:v>
      </x:c>
      <x:c r="L255" s="31" t="n">
        <x:v>8.1</x:v>
      </x:c>
      <x:c r="M255" s="31" t="n">
        <x:v>46051</x:v>
      </x:c>
      <x:c r="N255" s="31" t="n">
        <x:v>46052</x:v>
      </x:c>
      <x:c r="O255" s="31" t="n">
        <x:v>46051</x:v>
      </x:c>
      <x:c r="P255" s="31" t="n">
        <x:v>46054</x:v>
      </x:c>
      <x:c r="Q255" s="31" t="inlineStr">
        <x:is>
          <x:t xml:space="preserve">Завершено</x:t>
        </x:is>
      </x:c>
      <x:c r="R255" s="31" t="inlineStr">
        <x:is>
          <x:t xml:space="preserve">Нет</x:t>
        </x:is>
      </x:c>
      <x:c r="S255" s="31" t="inlineStr">
        <x:is>
          <x:t xml:space="preserve">Нет</x:t>
        </x:is>
      </x:c>
    </x:row>
    <x:row r="256" ht="18" customHeight="1">
      <x:c r="A256" s="31" t="inlineStr">
        <x:is>
          <x:t xml:space="preserve">ОП-000255</x:t>
        </x:is>
      </x:c>
      <x:c r="B256" s="31" t="inlineStr">
        <x:is>
          <x:t xml:space="preserve">ПЗ-00029</x:t>
        </x:is>
      </x:c>
      <x:c r="C256" s="31" t="inlineStr">
        <x:is>
          <x:t xml:space="preserve">ЗК-1016</x:t>
        </x:is>
      </x:c>
      <x:c r="D256" s="31" t="inlineStr">
        <x:is>
          <x:t xml:space="preserve">ПОЗ-0016-1</x:t>
        </x:is>
      </x:c>
      <x:c r="E256" s="31" t="inlineStr">
        <x:is>
          <x:t xml:space="preserve">ИЗД-003</x:t>
        </x:is>
      </x:c>
      <x:c r="F256" s="31" t="n">
        <x:v>100</x:v>
      </x:c>
      <x:c r="G256" s="31" t="inlineStr">
        <x:is>
          <x:t xml:space="preserve">Упаковка</x:t>
        </x:is>
      </x:c>
      <x:c r="H256" s="31" t="inlineStr">
        <x:is>
          <x:t xml:space="preserve">Логистика</x:t>
        </x:is>
      </x:c>
      <x:c r="I256" s="31" t="n"/>
      <x:c r="J256" s="31" t="inlineStr">
        <x:is>
          <x:t xml:space="preserve">СОТР-105</x:t>
        </x:is>
      </x:c>
      <x:c r="K256" s="31" t="n">
        <x:v>7.6</x:v>
      </x:c>
      <x:c r="L256" s="31" t="n">
        <x:v>10</x:v>
      </x:c>
      <x:c r="M256" s="31" t="n">
        <x:v>46052</x:v>
      </x:c>
      <x:c r="N256" s="31" t="n">
        <x:v>46053</x:v>
      </x:c>
      <x:c r="O256" s="31" t="n">
        <x:v>46052</x:v>
      </x:c>
      <x:c r="P256" s="31" t="n">
        <x:v>46052</x:v>
      </x:c>
      <x:c r="Q256" s="31" t="inlineStr">
        <x:is>
          <x:t xml:space="preserve">Завершено</x:t>
        </x:is>
      </x:c>
      <x:c r="R256" s="31" t="inlineStr">
        <x:is>
          <x:t xml:space="preserve">Нет</x:t>
        </x:is>
      </x:c>
      <x:c r="S256" s="31" t="inlineStr">
        <x:is>
          <x:t xml:space="preserve">Нет</x:t>
        </x:is>
      </x:c>
    </x:row>
    <x:row r="257" ht="18" customHeight="1">
      <x:c r="A257" s="31" t="inlineStr">
        <x:is>
          <x:t xml:space="preserve">ОП-000256</x:t>
        </x:is>
      </x:c>
      <x:c r="B257" s="31" t="inlineStr">
        <x:is>
          <x:t xml:space="preserve">ПЗ-00030</x:t>
        </x:is>
      </x:c>
      <x:c r="C257" s="31" t="inlineStr">
        <x:is>
          <x:t xml:space="preserve">ЗК-1017</x:t>
        </x:is>
      </x:c>
      <x:c r="D257" s="31" t="inlineStr">
        <x:is>
          <x:t xml:space="preserve">ПОЗ-0017-1</x:t>
        </x:is>
      </x:c>
      <x:c r="E257" s="31" t="inlineStr">
        <x:is>
          <x:t xml:space="preserve">ИЗД-023</x:t>
        </x:is>
      </x:c>
      <x:c r="F257" s="31" t="n">
        <x:v>10</x:v>
      </x:c>
      <x:c r="G257" s="31" t="inlineStr">
        <x:is>
          <x:t xml:space="preserve">КД</x:t>
        </x:is>
      </x:c>
      <x:c r="H257" s="31" t="inlineStr">
        <x:is>
          <x:t xml:space="preserve">Инженерный отдел</x:t>
        </x:is>
      </x:c>
      <x:c r="I257" s="31" t="n"/>
      <x:c r="J257" s="31" t="inlineStr">
        <x:is>
          <x:t xml:space="preserve">СОТР-021</x:t>
        </x:is>
      </x:c>
      <x:c r="K257" s="31" t="n">
        <x:v>12.5</x:v>
      </x:c>
      <x:c r="L257" s="31" t="n">
        <x:v>14.9</x:v>
      </x:c>
      <x:c r="M257" s="31" t="n">
        <x:v>46084</x:v>
      </x:c>
      <x:c r="N257" s="31" t="n">
        <x:v>46086</x:v>
      </x:c>
      <x:c r="O257" s="31" t="n">
        <x:v>46084</x:v>
      </x:c>
      <x:c r="P257" s="31" t="n">
        <x:v>46088</x:v>
      </x:c>
      <x:c r="Q257" s="31" t="inlineStr">
        <x:is>
          <x:t xml:space="preserve">Завершено</x:t>
        </x:is>
      </x:c>
      <x:c r="R257" s="31" t="inlineStr">
        <x:is>
          <x:t xml:space="preserve">Нет</x:t>
        </x:is>
      </x:c>
      <x:c r="S257" s="31" t="inlineStr">
        <x:is>
          <x:t xml:space="preserve">Нет</x:t>
        </x:is>
      </x:c>
    </x:row>
    <x:row r="258" ht="18" customHeight="1">
      <x:c r="A258" s="31" t="inlineStr">
        <x:is>
          <x:t xml:space="preserve">ОП-000257</x:t>
        </x:is>
      </x:c>
      <x:c r="B258" s="31" t="inlineStr">
        <x:is>
          <x:t xml:space="preserve">ПЗ-00030</x:t>
        </x:is>
      </x:c>
      <x:c r="C258" s="31" t="inlineStr">
        <x:is>
          <x:t xml:space="preserve">ЗК-1017</x:t>
        </x:is>
      </x:c>
      <x:c r="D258" s="31" t="inlineStr">
        <x:is>
          <x:t xml:space="preserve">ПОЗ-0017-1</x:t>
        </x:is>
      </x:c>
      <x:c r="E258" s="31" t="inlineStr">
        <x:is>
          <x:t xml:space="preserve">ИЗД-023</x:t>
        </x:is>
      </x:c>
      <x:c r="F258" s="31" t="n">
        <x:v>20</x:v>
      </x:c>
      <x:c r="G258" s="31" t="inlineStr">
        <x:is>
          <x:t xml:space="preserve">Комплектация</x:t>
        </x:is>
      </x:c>
      <x:c r="H258" s="31" t="inlineStr">
        <x:is>
          <x:t xml:space="preserve">Склад</x:t>
        </x:is>
      </x:c>
      <x:c r="I258" s="31" t="inlineStr">
        <x:is>
          <x:t xml:space="preserve">ОБ-025</x:t>
        </x:is>
      </x:c>
      <x:c r="J258" s="31" t="inlineStr">
        <x:is>
          <x:t xml:space="preserve">СОТР-037</x:t>
        </x:is>
      </x:c>
      <x:c r="K258" s="31" t="n">
        <x:v>60.5</x:v>
      </x:c>
      <x:c r="L258" s="31" t="n">
        <x:v>64.8</x:v>
      </x:c>
      <x:c r="M258" s="31" t="n">
        <x:v>46086</x:v>
      </x:c>
      <x:c r="N258" s="31" t="n">
        <x:v>46092</x:v>
      </x:c>
      <x:c r="O258" s="31" t="n">
        <x:v>46086</x:v>
      </x:c>
      <x:c r="P258" s="31" t="n">
        <x:v>46092</x:v>
      </x:c>
      <x:c r="Q258" s="31" t="inlineStr">
        <x:is>
          <x:t xml:space="preserve">Завершено</x:t>
        </x:is>
      </x:c>
      <x:c r="R258" s="31" t="inlineStr">
        <x:is>
          <x:t xml:space="preserve">Нет</x:t>
        </x:is>
      </x:c>
      <x:c r="S258" s="31" t="inlineStr">
        <x:is>
          <x:t xml:space="preserve">Нет</x:t>
        </x:is>
      </x:c>
    </x:row>
    <x:row r="259" ht="18" customHeight="1">
      <x:c r="A259" s="31" t="inlineStr">
        <x:is>
          <x:t xml:space="preserve">ОП-000258</x:t>
        </x:is>
      </x:c>
      <x:c r="B259" s="31" t="inlineStr">
        <x:is>
          <x:t xml:space="preserve">ПЗ-00030</x:t>
        </x:is>
      </x:c>
      <x:c r="C259" s="31" t="inlineStr">
        <x:is>
          <x:t xml:space="preserve">ЗК-1017</x:t>
        </x:is>
      </x:c>
      <x:c r="D259" s="31" t="inlineStr">
        <x:is>
          <x:t xml:space="preserve">ПОЗ-0017-1</x:t>
        </x:is>
      </x:c>
      <x:c r="E259" s="31" t="inlineStr">
        <x:is>
          <x:t xml:space="preserve">ИЗД-023</x:t>
        </x:is>
      </x:c>
      <x:c r="F259" s="31" t="n">
        <x:v>30</x:v>
      </x:c>
      <x:c r="G259" s="31" t="inlineStr">
        <x:is>
          <x:t xml:space="preserve">Сборка шкафа</x:t>
        </x:is>
      </x:c>
      <x:c r="H259" s="31" t="inlineStr">
        <x:is>
          <x:t xml:space="preserve">Сборка</x:t>
        </x:is>
      </x:c>
      <x:c r="I259" s="31" t="inlineStr">
        <x:is>
          <x:t xml:space="preserve">ОБ-017</x:t>
        </x:is>
      </x:c>
      <x:c r="J259" s="31" t="inlineStr">
        <x:is>
          <x:t xml:space="preserve">СОТР-084</x:t>
        </x:is>
      </x:c>
      <x:c r="K259" s="31" t="n">
        <x:v>47</x:v>
      </x:c>
      <x:c r="L259" s="31" t="n">
        <x:v>47.9</x:v>
      </x:c>
      <x:c r="M259" s="31" t="n">
        <x:v>46092</x:v>
      </x:c>
      <x:c r="N259" s="31" t="n">
        <x:v>46096</x:v>
      </x:c>
      <x:c r="O259" s="31" t="n">
        <x:v>46092</x:v>
      </x:c>
      <x:c r="P259" s="31" t="n">
        <x:v>46095</x:v>
      </x:c>
      <x:c r="Q259" s="31" t="inlineStr">
        <x:is>
          <x:t xml:space="preserve">Завершено</x:t>
        </x:is>
      </x:c>
      <x:c r="R259" s="31" t="inlineStr">
        <x:is>
          <x:t xml:space="preserve">Нет</x:t>
        </x:is>
      </x:c>
      <x:c r="S259" s="31" t="inlineStr">
        <x:is>
          <x:t xml:space="preserve">Нет</x:t>
        </x:is>
      </x:c>
    </x:row>
    <x:row r="260" ht="18" customHeight="1">
      <x:c r="A260" s="31" t="inlineStr">
        <x:is>
          <x:t xml:space="preserve">ОП-000259</x:t>
        </x:is>
      </x:c>
      <x:c r="B260" s="31" t="inlineStr">
        <x:is>
          <x:t xml:space="preserve">ПЗ-00030</x:t>
        </x:is>
      </x:c>
      <x:c r="C260" s="31" t="inlineStr">
        <x:is>
          <x:t xml:space="preserve">ЗК-1017</x:t>
        </x:is>
      </x:c>
      <x:c r="D260" s="31" t="inlineStr">
        <x:is>
          <x:t xml:space="preserve">ПОЗ-0017-1</x:t>
        </x:is>
      </x:c>
      <x:c r="E260" s="31" t="inlineStr">
        <x:is>
          <x:t xml:space="preserve">ИЗД-023</x:t>
        </x:is>
      </x:c>
      <x:c r="F260" s="31" t="n">
        <x:v>40</x:v>
      </x:c>
      <x:c r="G260" s="31" t="inlineStr">
        <x:is>
          <x:t xml:space="preserve">Маркировка</x:t>
        </x:is>
      </x:c>
      <x:c r="H260" s="31" t="inlineStr">
        <x:is>
          <x:t xml:space="preserve">Сборка</x:t>
        </x:is>
      </x:c>
      <x:c r="I260" s="31" t="inlineStr">
        <x:is>
          <x:t xml:space="preserve">ОБ-034</x:t>
        </x:is>
      </x:c>
      <x:c r="J260" s="31" t="inlineStr">
        <x:is>
          <x:t xml:space="preserve">СОТР-080</x:t>
        </x:is>
      </x:c>
      <x:c r="K260" s="31" t="n">
        <x:v>70.5</x:v>
      </x:c>
      <x:c r="L260" s="31" t="n">
        <x:v>58.4</x:v>
      </x:c>
      <x:c r="M260" s="31" t="n">
        <x:v>46096</x:v>
      </x:c>
      <x:c r="N260" s="31" t="n">
        <x:v>46102</x:v>
      </x:c>
      <x:c r="O260" s="31" t="n">
        <x:v>46096</x:v>
      </x:c>
      <x:c r="P260" s="31" t="n">
        <x:v>46103</x:v>
      </x:c>
      <x:c r="Q260" s="31" t="inlineStr">
        <x:is>
          <x:t xml:space="preserve">Завершено</x:t>
        </x:is>
      </x:c>
      <x:c r="R260" s="31" t="inlineStr">
        <x:is>
          <x:t xml:space="preserve">Нет</x:t>
        </x:is>
      </x:c>
      <x:c r="S260" s="31" t="inlineStr">
        <x:is>
          <x:t xml:space="preserve">Нет</x:t>
        </x:is>
      </x:c>
    </x:row>
    <x:row r="261" ht="18" customHeight="1">
      <x:c r="A261" s="31" t="inlineStr">
        <x:is>
          <x:t xml:space="preserve">ОП-000260</x:t>
        </x:is>
      </x:c>
      <x:c r="B261" s="31" t="inlineStr">
        <x:is>
          <x:t xml:space="preserve">ПЗ-00030</x:t>
        </x:is>
      </x:c>
      <x:c r="C261" s="31" t="inlineStr">
        <x:is>
          <x:t xml:space="preserve">ЗК-1017</x:t>
        </x:is>
      </x:c>
      <x:c r="D261" s="31" t="inlineStr">
        <x:is>
          <x:t xml:space="preserve">ПОЗ-0017-1</x:t>
        </x:is>
      </x:c>
      <x:c r="E261" s="31" t="inlineStr">
        <x:is>
          <x:t xml:space="preserve">ИЗД-023</x:t>
        </x:is>
      </x:c>
      <x:c r="F261" s="31" t="n">
        <x:v>50</x:v>
      </x:c>
      <x:c r="G261" s="31" t="inlineStr">
        <x:is>
          <x:t xml:space="preserve">Электромонтаж</x:t>
        </x:is>
      </x:c>
      <x:c r="H261" s="31" t="inlineStr">
        <x:is>
          <x:t xml:space="preserve">Сборка</x:t>
        </x:is>
      </x:c>
      <x:c r="I261" s="31" t="inlineStr">
        <x:is>
          <x:t xml:space="preserve">ОБ-012</x:t>
        </x:is>
      </x:c>
      <x:c r="J261" s="31" t="inlineStr">
        <x:is>
          <x:t xml:space="preserve">СОТР-085</x:t>
        </x:is>
      </x:c>
      <x:c r="K261" s="31" t="n">
        <x:v>75.5</x:v>
      </x:c>
      <x:c r="L261" s="31" t="n">
        <x:v>76.2</x:v>
      </x:c>
      <x:c r="M261" s="31" t="n">
        <x:v>46102</x:v>
      </x:c>
      <x:c r="N261" s="31" t="n">
        <x:v>46109</x:v>
      </x:c>
      <x:c r="O261" s="31" t="n">
        <x:v>46102</x:v>
      </x:c>
      <x:c r="P261" s="31" t="n">
        <x:v>46111</x:v>
      </x:c>
      <x:c r="Q261" s="31" t="inlineStr">
        <x:is>
          <x:t xml:space="preserve">Завершено</x:t>
        </x:is>
      </x:c>
      <x:c r="R261" s="31" t="inlineStr">
        <x:is>
          <x:t xml:space="preserve">Нет</x:t>
        </x:is>
      </x:c>
      <x:c r="S261" s="31" t="inlineStr">
        <x:is>
          <x:t xml:space="preserve">Нет</x:t>
        </x:is>
      </x:c>
    </x:row>
    <x:row r="262" ht="18" customHeight="1">
      <x:c r="A262" s="31" t="inlineStr">
        <x:is>
          <x:t xml:space="preserve">ОП-000261</x:t>
        </x:is>
      </x:c>
      <x:c r="B262" s="31" t="inlineStr">
        <x:is>
          <x:t xml:space="preserve">ПЗ-00030</x:t>
        </x:is>
      </x:c>
      <x:c r="C262" s="31" t="inlineStr">
        <x:is>
          <x:t xml:space="preserve">ЗК-1017</x:t>
        </x:is>
      </x:c>
      <x:c r="D262" s="31" t="inlineStr">
        <x:is>
          <x:t xml:space="preserve">ПОЗ-0017-1</x:t>
        </x:is>
      </x:c>
      <x:c r="E262" s="31" t="inlineStr">
        <x:is>
          <x:t xml:space="preserve">ИЗД-023</x:t>
        </x:is>
      </x:c>
      <x:c r="F262" s="31" t="n">
        <x:v>60</x:v>
      </x:c>
      <x:c r="G262" s="31" t="inlineStr">
        <x:is>
          <x:t xml:space="preserve">Программирование ПЛК</x:t>
        </x:is>
      </x:c>
      <x:c r="H262" s="31" t="inlineStr">
        <x:is>
          <x:t xml:space="preserve">Инженерный отдел</x:t>
        </x:is>
      </x:c>
      <x:c r="I262" s="31" t="n"/>
      <x:c r="J262" s="31" t="inlineStr">
        <x:is>
          <x:t xml:space="preserve">СОТР-021</x:t>
        </x:is>
      </x:c>
      <x:c r="K262" s="31" t="n">
        <x:v>69.5</x:v>
      </x:c>
      <x:c r="L262" s="31" t="n">
        <x:v>81.3</x:v>
      </x:c>
      <x:c r="M262" s="31" t="n">
        <x:v>46109</x:v>
      </x:c>
      <x:c r="N262" s="31" t="n">
        <x:v>46115</x:v>
      </x:c>
      <x:c r="O262" s="31" t="n">
        <x:v>46109</x:v>
      </x:c>
      <x:c r="P262" s="31" t="n">
        <x:v>46114</x:v>
      </x:c>
      <x:c r="Q262" s="31" t="inlineStr">
        <x:is>
          <x:t xml:space="preserve">Завершено</x:t>
        </x:is>
      </x:c>
      <x:c r="R262" s="31" t="inlineStr">
        <x:is>
          <x:t xml:space="preserve">Нет</x:t>
        </x:is>
      </x:c>
      <x:c r="S262" s="31" t="inlineStr">
        <x:is>
          <x:t xml:space="preserve">Да</x:t>
        </x:is>
      </x:c>
    </x:row>
    <x:row r="263" ht="18" customHeight="1">
      <x:c r="A263" s="31" t="inlineStr">
        <x:is>
          <x:t xml:space="preserve">ОП-000262</x:t>
        </x:is>
      </x:c>
      <x:c r="B263" s="31" t="inlineStr">
        <x:is>
          <x:t xml:space="preserve">ПЗ-00030</x:t>
        </x:is>
      </x:c>
      <x:c r="C263" s="31" t="inlineStr">
        <x:is>
          <x:t xml:space="preserve">ЗК-1017</x:t>
        </x:is>
      </x:c>
      <x:c r="D263" s="31" t="inlineStr">
        <x:is>
          <x:t xml:space="preserve">ПОЗ-0017-1</x:t>
        </x:is>
      </x:c>
      <x:c r="E263" s="31" t="inlineStr">
        <x:is>
          <x:t xml:space="preserve">ИЗД-023</x:t>
        </x:is>
      </x:c>
      <x:c r="F263" s="31" t="n">
        <x:v>70</x:v>
      </x:c>
      <x:c r="G263" s="31" t="inlineStr">
        <x:is>
          <x:t xml:space="preserve">Приемочные испытания</x:t>
        </x:is>
      </x:c>
      <x:c r="H263" s="31" t="inlineStr">
        <x:is>
          <x:t xml:space="preserve">ОТК</x:t>
        </x:is>
      </x:c>
      <x:c r="I263" s="31" t="inlineStr">
        <x:is>
          <x:t xml:space="preserve">ОБ-028</x:t>
        </x:is>
      </x:c>
      <x:c r="J263" s="31" t="inlineStr">
        <x:is>
          <x:t xml:space="preserve">СОТР-093</x:t>
        </x:is>
      </x:c>
      <x:c r="K263" s="31" t="n">
        <x:v>64.5</x:v>
      </x:c>
      <x:c r="L263" s="31" t="n">
        <x:v>81.8</x:v>
      </x:c>
      <x:c r="M263" s="31" t="n">
        <x:v>46115</x:v>
      </x:c>
      <x:c r="N263" s="31" t="n">
        <x:v>46121</x:v>
      </x:c>
      <x:c r="O263" s="31" t="n">
        <x:v>46115</x:v>
      </x:c>
      <x:c r="P263" s="31" t="n">
        <x:v>46122</x:v>
      </x:c>
      <x:c r="Q263" s="31" t="inlineStr">
        <x:is>
          <x:t xml:space="preserve">Завершено</x:t>
        </x:is>
      </x:c>
      <x:c r="R263" s="31" t="inlineStr">
        <x:is>
          <x:t xml:space="preserve">Нет</x:t>
        </x:is>
      </x:c>
      <x:c r="S263" s="31" t="inlineStr">
        <x:is>
          <x:t xml:space="preserve">Нет</x:t>
        </x:is>
      </x:c>
    </x:row>
    <x:row r="264" ht="18" customHeight="1">
      <x:c r="A264" s="31" t="inlineStr">
        <x:is>
          <x:t xml:space="preserve">ОП-000263</x:t>
        </x:is>
      </x:c>
      <x:c r="B264" s="31" t="inlineStr">
        <x:is>
          <x:t xml:space="preserve">ПЗ-00030</x:t>
        </x:is>
      </x:c>
      <x:c r="C264" s="31" t="inlineStr">
        <x:is>
          <x:t xml:space="preserve">ЗК-1017</x:t>
        </x:is>
      </x:c>
      <x:c r="D264" s="31" t="inlineStr">
        <x:is>
          <x:t xml:space="preserve">ПОЗ-0017-1</x:t>
        </x:is>
      </x:c>
      <x:c r="E264" s="31" t="inlineStr">
        <x:is>
          <x:t xml:space="preserve">ИЗД-023</x:t>
        </x:is>
      </x:c>
      <x:c r="F264" s="31" t="n">
        <x:v>80</x:v>
      </x:c>
      <x:c r="G264" s="31" t="inlineStr">
        <x:is>
          <x:t xml:space="preserve">ОТК</x:t>
        </x:is>
      </x:c>
      <x:c r="H264" s="31" t="inlineStr">
        <x:is>
          <x:t xml:space="preserve">ОТК</x:t>
        </x:is>
      </x:c>
      <x:c r="I264" s="31" t="inlineStr">
        <x:is>
          <x:t xml:space="preserve">ОБ-033</x:t>
        </x:is>
      </x:c>
      <x:c r="J264" s="31" t="inlineStr">
        <x:is>
          <x:t xml:space="preserve">СОТР-100</x:t>
        </x:is>
      </x:c>
      <x:c r="K264" s="31" t="n">
        <x:v>20.5</x:v>
      </x:c>
      <x:c r="L264" s="31" t="n">
        <x:v>21.6</x:v>
      </x:c>
      <x:c r="M264" s="31" t="n">
        <x:v>46121</x:v>
      </x:c>
      <x:c r="N264" s="31" t="n">
        <x:v>46123</x:v>
      </x:c>
      <x:c r="O264" s="31" t="n">
        <x:v>46121</x:v>
      </x:c>
      <x:c r="P264" s="31" t="n">
        <x:v>46125</x:v>
      </x:c>
      <x:c r="Q264" s="31" t="inlineStr">
        <x:is>
          <x:t xml:space="preserve">Завершено</x:t>
        </x:is>
      </x:c>
      <x:c r="R264" s="31" t="inlineStr">
        <x:is>
          <x:t xml:space="preserve">Нет</x:t>
        </x:is>
      </x:c>
      <x:c r="S264" s="31" t="inlineStr">
        <x:is>
          <x:t xml:space="preserve">Нет</x:t>
        </x:is>
      </x:c>
    </x:row>
    <x:row r="265" ht="18" customHeight="1">
      <x:c r="A265" s="31" t="inlineStr">
        <x:is>
          <x:t xml:space="preserve">ОП-000264</x:t>
        </x:is>
      </x:c>
      <x:c r="B265" s="31" t="inlineStr">
        <x:is>
          <x:t xml:space="preserve">ПЗ-00030</x:t>
        </x:is>
      </x:c>
      <x:c r="C265" s="31" t="inlineStr">
        <x:is>
          <x:t xml:space="preserve">ЗК-1017</x:t>
        </x:is>
      </x:c>
      <x:c r="D265" s="31" t="inlineStr">
        <x:is>
          <x:t xml:space="preserve">ПОЗ-0017-1</x:t>
        </x:is>
      </x:c>
      <x:c r="E265" s="31" t="inlineStr">
        <x:is>
          <x:t xml:space="preserve">ИЗД-023</x:t>
        </x:is>
      </x:c>
      <x:c r="F265" s="31" t="n">
        <x:v>90</x:v>
      </x:c>
      <x:c r="G265" s="31" t="inlineStr">
        <x:is>
          <x:t xml:space="preserve">Упаковка</x:t>
        </x:is>
      </x:c>
      <x:c r="H265" s="31" t="inlineStr">
        <x:is>
          <x:t xml:space="preserve">Логистика</x:t>
        </x:is>
      </x:c>
      <x:c r="I265" s="31" t="n"/>
      <x:c r="J265" s="31" t="inlineStr">
        <x:is>
          <x:t xml:space="preserve">СОТР-104</x:t>
        </x:is>
      </x:c>
      <x:c r="K265" s="31" t="n">
        <x:v>24</x:v>
      </x:c>
      <x:c r="L265" s="31" t="n">
        <x:v>27.6</x:v>
      </x:c>
      <x:c r="M265" s="31" t="n">
        <x:v>46123</x:v>
      </x:c>
      <x:c r="N265" s="31" t="n">
        <x:v>46125</x:v>
      </x:c>
      <x:c r="O265" s="31" t="n">
        <x:v>46123</x:v>
      </x:c>
      <x:c r="P265" s="31" t="n">
        <x:v>46125</x:v>
      </x:c>
      <x:c r="Q265" s="31" t="inlineStr">
        <x:is>
          <x:t xml:space="preserve">Завершено</x:t>
        </x:is>
      </x:c>
      <x:c r="R265" s="31" t="inlineStr">
        <x:is>
          <x:t xml:space="preserve">Нет</x:t>
        </x:is>
      </x:c>
      <x:c r="S265" s="31" t="inlineStr">
        <x:is>
          <x:t xml:space="preserve">Нет</x:t>
        </x:is>
      </x:c>
    </x:row>
    <x:row r="266" ht="18" customHeight="1">
      <x:c r="A266" s="31" t="inlineStr">
        <x:is>
          <x:t xml:space="preserve">ОП-000265</x:t>
        </x:is>
      </x:c>
      <x:c r="B266" s="31" t="inlineStr">
        <x:is>
          <x:t xml:space="preserve">ПЗ-00031</x:t>
        </x:is>
      </x:c>
      <x:c r="C266" s="31" t="inlineStr">
        <x:is>
          <x:t xml:space="preserve">ЗК-1017</x:t>
        </x:is>
      </x:c>
      <x:c r="D266" s="31" t="inlineStr">
        <x:is>
          <x:t xml:space="preserve">ПОЗ-0017-2</x:t>
        </x:is>
      </x:c>
      <x:c r="E266" s="31" t="inlineStr">
        <x:is>
          <x:t xml:space="preserve">ИЗД-035</x:t>
        </x:is>
      </x:c>
      <x:c r="F266" s="31" t="n">
        <x:v>10</x:v>
      </x:c>
      <x:c r="G266" s="31" t="inlineStr">
        <x:is>
          <x:t xml:space="preserve">КД</x:t>
        </x:is>
      </x:c>
      <x:c r="H266" s="31" t="inlineStr">
        <x:is>
          <x:t xml:space="preserve">Инженерный отдел</x:t>
        </x:is>
      </x:c>
      <x:c r="I266" s="31" t="n"/>
      <x:c r="J266" s="31" t="inlineStr">
        <x:is>
          <x:t xml:space="preserve">СОТР-012</x:t>
        </x:is>
      </x:c>
      <x:c r="K266" s="31" t="n">
        <x:v>34.5</x:v>
      </x:c>
      <x:c r="L266" s="31" t="n">
        <x:v>37.7</x:v>
      </x:c>
      <x:c r="M266" s="31" t="n">
        <x:v>46099</x:v>
      </x:c>
      <x:c r="N266" s="31" t="n">
        <x:v>46102</x:v>
      </x:c>
      <x:c r="O266" s="31" t="n">
        <x:v>46099</x:v>
      </x:c>
      <x:c r="P266" s="31" t="n">
        <x:v>46102</x:v>
      </x:c>
      <x:c r="Q266" s="31" t="inlineStr">
        <x:is>
          <x:t xml:space="preserve">Завершено</x:t>
        </x:is>
      </x:c>
      <x:c r="R266" s="31" t="inlineStr">
        <x:is>
          <x:t xml:space="preserve">Нет</x:t>
        </x:is>
      </x:c>
      <x:c r="S266" s="31" t="inlineStr">
        <x:is>
          <x:t xml:space="preserve">Да</x:t>
        </x:is>
      </x:c>
    </x:row>
    <x:row r="267" ht="18" customHeight="1">
      <x:c r="A267" s="31" t="inlineStr">
        <x:is>
          <x:t xml:space="preserve">ОП-000266</x:t>
        </x:is>
      </x:c>
      <x:c r="B267" s="31" t="inlineStr">
        <x:is>
          <x:t xml:space="preserve">ПЗ-00031</x:t>
        </x:is>
      </x:c>
      <x:c r="C267" s="31" t="inlineStr">
        <x:is>
          <x:t xml:space="preserve">ЗК-1017</x:t>
        </x:is>
      </x:c>
      <x:c r="D267" s="31" t="inlineStr">
        <x:is>
          <x:t xml:space="preserve">ПОЗ-0017-2</x:t>
        </x:is>
      </x:c>
      <x:c r="E267" s="31" t="inlineStr">
        <x:is>
          <x:t xml:space="preserve">ИЗД-035</x:t>
        </x:is>
      </x:c>
      <x:c r="F267" s="31" t="n">
        <x:v>20</x:v>
      </x:c>
      <x:c r="G267" s="31" t="inlineStr">
        <x:is>
          <x:t xml:space="preserve">Резерв материалов</x:t>
        </x:is>
      </x:c>
      <x:c r="H267" s="31" t="inlineStr">
        <x:is>
          <x:t xml:space="preserve">Склад</x:t>
        </x:is>
      </x:c>
      <x:c r="I267" s="31" t="inlineStr">
        <x:is>
          <x:t xml:space="preserve">ОБ-023</x:t>
        </x:is>
      </x:c>
      <x:c r="J267" s="31" t="inlineStr">
        <x:is>
          <x:t xml:space="preserve">СОТР-039</x:t>
        </x:is>
      </x:c>
      <x:c r="K267" s="31" t="n">
        <x:v>51</x:v>
      </x:c>
      <x:c r="L267" s="31" t="n">
        <x:v>66.40000000000001</x:v>
      </x:c>
      <x:c r="M267" s="31" t="n">
        <x:v>46102</x:v>
      </x:c>
      <x:c r="N267" s="31" t="n">
        <x:v>46107</x:v>
      </x:c>
      <x:c r="O267" s="31" t="n">
        <x:v>46102</x:v>
      </x:c>
      <x:c r="P267" s="31" t="n">
        <x:v>46107</x:v>
      </x:c>
      <x:c r="Q267" s="31" t="inlineStr">
        <x:is>
          <x:t xml:space="preserve">Завершено</x:t>
        </x:is>
      </x:c>
      <x:c r="R267" s="31" t="inlineStr">
        <x:is>
          <x:t xml:space="preserve">Нет</x:t>
        </x:is>
      </x:c>
      <x:c r="S267" s="31" t="inlineStr">
        <x:is>
          <x:t xml:space="preserve">Нет</x:t>
        </x:is>
      </x:c>
    </x:row>
    <x:row r="268" ht="18" customHeight="1">
      <x:c r="A268" s="31" t="inlineStr">
        <x:is>
          <x:t xml:space="preserve">ОП-000267</x:t>
        </x:is>
      </x:c>
      <x:c r="B268" s="31" t="inlineStr">
        <x:is>
          <x:t xml:space="preserve">ПЗ-00031</x:t>
        </x:is>
      </x:c>
      <x:c r="C268" s="31" t="inlineStr">
        <x:is>
          <x:t xml:space="preserve">ЗК-1017</x:t>
        </x:is>
      </x:c>
      <x:c r="D268" s="31" t="inlineStr">
        <x:is>
          <x:t xml:space="preserve">ПОЗ-0017-2</x:t>
        </x:is>
      </x:c>
      <x:c r="E268" s="31" t="inlineStr">
        <x:is>
          <x:t xml:space="preserve">ИЗД-035</x:t>
        </x:is>
      </x:c>
      <x:c r="F268" s="31" t="n">
        <x:v>30</x:v>
      </x:c>
      <x:c r="G268" s="31" t="inlineStr">
        <x:is>
          <x:t xml:space="preserve">Резка металла</x:t>
        </x:is>
      </x:c>
      <x:c r="H268" s="31" t="inlineStr">
        <x:is>
          <x:t xml:space="preserve">Сварка</x:t>
        </x:is>
      </x:c>
      <x:c r="I268" s="31" t="inlineStr">
        <x:is>
          <x:t xml:space="preserve">ОБ-021</x:t>
        </x:is>
      </x:c>
      <x:c r="J268" s="31" t="inlineStr">
        <x:is>
          <x:t xml:space="preserve">СОТР-066</x:t>
        </x:is>
      </x:c>
      <x:c r="K268" s="31" t="n">
        <x:v>23.5</x:v>
      </x:c>
      <x:c r="L268" s="31" t="n">
        <x:v>24</x:v>
      </x:c>
      <x:c r="M268" s="31" t="n">
        <x:v>46107</x:v>
      </x:c>
      <x:c r="N268" s="31" t="n">
        <x:v>46109</x:v>
      </x:c>
      <x:c r="O268" s="31" t="n">
        <x:v>46107</x:v>
      </x:c>
      <x:c r="P268" s="31" t="n">
        <x:v>46109</x:v>
      </x:c>
      <x:c r="Q268" s="31" t="inlineStr">
        <x:is>
          <x:t xml:space="preserve">Завершено</x:t>
        </x:is>
      </x:c>
      <x:c r="R268" s="31" t="inlineStr">
        <x:is>
          <x:t xml:space="preserve">Нет</x:t>
        </x:is>
      </x:c>
      <x:c r="S268" s="31" t="inlineStr">
        <x:is>
          <x:t xml:space="preserve">Да</x:t>
        </x:is>
      </x:c>
    </x:row>
    <x:row r="269" ht="18" customHeight="1">
      <x:c r="A269" s="31" t="inlineStr">
        <x:is>
          <x:t xml:space="preserve">ОП-000268</x:t>
        </x:is>
      </x:c>
      <x:c r="B269" s="31" t="inlineStr">
        <x:is>
          <x:t xml:space="preserve">ПЗ-00031</x:t>
        </x:is>
      </x:c>
      <x:c r="C269" s="31" t="inlineStr">
        <x:is>
          <x:t xml:space="preserve">ЗК-1017</x:t>
        </x:is>
      </x:c>
      <x:c r="D269" s="31" t="inlineStr">
        <x:is>
          <x:t xml:space="preserve">ПОЗ-0017-2</x:t>
        </x:is>
      </x:c>
      <x:c r="E269" s="31" t="inlineStr">
        <x:is>
          <x:t xml:space="preserve">ИЗД-035</x:t>
        </x:is>
      </x:c>
      <x:c r="F269" s="31" t="n">
        <x:v>40</x:v>
      </x:c>
      <x:c r="G269" s="31" t="inlineStr">
        <x:is>
          <x:t xml:space="preserve">Сварка рамы</x:t>
        </x:is>
      </x:c>
      <x:c r="H269" s="31" t="inlineStr">
        <x:is>
          <x:t xml:space="preserve">Сварка</x:t>
        </x:is>
      </x:c>
      <x:c r="I269" s="31" t="inlineStr">
        <x:is>
          <x:t xml:space="preserve">ОБ-035</x:t>
        </x:is>
      </x:c>
      <x:c r="J269" s="31" t="inlineStr">
        <x:is>
          <x:t xml:space="preserve">СОТР-059</x:t>
        </x:is>
      </x:c>
      <x:c r="K269" s="31" t="n">
        <x:v>11.5</x:v>
      </x:c>
      <x:c r="L269" s="31" t="n">
        <x:v>12.6</x:v>
      </x:c>
      <x:c r="M269" s="31" t="n">
        <x:v>46109</x:v>
      </x:c>
      <x:c r="N269" s="31" t="n">
        <x:v>46110</x:v>
      </x:c>
      <x:c r="O269" s="31" t="n">
        <x:v>46109</x:v>
      </x:c>
      <x:c r="P269" s="31" t="n">
        <x:v>46111</x:v>
      </x:c>
      <x:c r="Q269" s="31" t="inlineStr">
        <x:is>
          <x:t xml:space="preserve">Завершено</x:t>
        </x:is>
      </x:c>
      <x:c r="R269" s="31" t="inlineStr">
        <x:is>
          <x:t xml:space="preserve">Нет</x:t>
        </x:is>
      </x:c>
      <x:c r="S269" s="31" t="inlineStr">
        <x:is>
          <x:t xml:space="preserve">Нет</x:t>
        </x:is>
      </x:c>
    </x:row>
    <x:row r="270" ht="18" customHeight="1">
      <x:c r="A270" s="31" t="inlineStr">
        <x:is>
          <x:t xml:space="preserve">ОП-000269</x:t>
        </x:is>
      </x:c>
      <x:c r="B270" s="31" t="inlineStr">
        <x:is>
          <x:t xml:space="preserve">ПЗ-00031</x:t>
        </x:is>
      </x:c>
      <x:c r="C270" s="31" t="inlineStr">
        <x:is>
          <x:t xml:space="preserve">ЗК-1017</x:t>
        </x:is>
      </x:c>
      <x:c r="D270" s="31" t="inlineStr">
        <x:is>
          <x:t xml:space="preserve">ПОЗ-0017-2</x:t>
        </x:is>
      </x:c>
      <x:c r="E270" s="31" t="inlineStr">
        <x:is>
          <x:t xml:space="preserve">ИЗД-035</x:t>
        </x:is>
      </x:c>
      <x:c r="F270" s="31" t="n">
        <x:v>50</x:v>
      </x:c>
      <x:c r="G270" s="31" t="inlineStr">
        <x:is>
          <x:t xml:space="preserve">Механообработка</x:t>
        </x:is>
      </x:c>
      <x:c r="H270" s="31" t="inlineStr">
        <x:is>
          <x:t xml:space="preserve">Механообработка</x:t>
        </x:is>
      </x:c>
      <x:c r="I270" s="31" t="inlineStr">
        <x:is>
          <x:t xml:space="preserve">ОБ-031</x:t>
        </x:is>
      </x:c>
      <x:c r="J270" s="31" t="inlineStr">
        <x:is>
          <x:t xml:space="preserve">СОТР-046</x:t>
        </x:is>
      </x:c>
      <x:c r="K270" s="31" t="n">
        <x:v>34.5</x:v>
      </x:c>
      <x:c r="L270" s="31" t="n">
        <x:v>38.2</x:v>
      </x:c>
      <x:c r="M270" s="31" t="n">
        <x:v>46110</x:v>
      </x:c>
      <x:c r="N270" s="31" t="n">
        <x:v>46113</x:v>
      </x:c>
      <x:c r="O270" s="31" t="n">
        <x:v>46110</x:v>
      </x:c>
      <x:c r="P270" s="31" t="n">
        <x:v>46112</x:v>
      </x:c>
      <x:c r="Q270" s="31" t="inlineStr">
        <x:is>
          <x:t xml:space="preserve">Завершено</x:t>
        </x:is>
      </x:c>
      <x:c r="R270" s="31" t="inlineStr">
        <x:is>
          <x:t xml:space="preserve">Нет</x:t>
        </x:is>
      </x:c>
      <x:c r="S270" s="31" t="inlineStr">
        <x:is>
          <x:t xml:space="preserve">Нет</x:t>
        </x:is>
      </x:c>
    </x:row>
    <x:row r="271" ht="18" customHeight="1">
      <x:c r="A271" s="31" t="inlineStr">
        <x:is>
          <x:t xml:space="preserve">ОП-000270</x:t>
        </x:is>
      </x:c>
      <x:c r="B271" s="31" t="inlineStr">
        <x:is>
          <x:t xml:space="preserve">ПЗ-00031</x:t>
        </x:is>
      </x:c>
      <x:c r="C271" s="31" t="inlineStr">
        <x:is>
          <x:t xml:space="preserve">ЗК-1017</x:t>
        </x:is>
      </x:c>
      <x:c r="D271" s="31" t="inlineStr">
        <x:is>
          <x:t xml:space="preserve">ПОЗ-0017-2</x:t>
        </x:is>
      </x:c>
      <x:c r="E271" s="31" t="inlineStr">
        <x:is>
          <x:t xml:space="preserve">ИЗД-035</x:t>
        </x:is>
      </x:c>
      <x:c r="F271" s="31" t="n">
        <x:v>60</x:v>
      </x:c>
      <x:c r="G271" s="31" t="inlineStr">
        <x:is>
          <x:t xml:space="preserve">Сборка</x:t>
        </x:is>
      </x:c>
      <x:c r="H271" s="31" t="inlineStr">
        <x:is>
          <x:t xml:space="preserve">Сборка</x:t>
        </x:is>
      </x:c>
      <x:c r="I271" s="31" t="inlineStr">
        <x:is>
          <x:t xml:space="preserve">ОБ-012</x:t>
        </x:is>
      </x:c>
      <x:c r="J271" s="31" t="inlineStr">
        <x:is>
          <x:t xml:space="preserve">СОТР-090</x:t>
        </x:is>
      </x:c>
      <x:c r="K271" s="31" t="n">
        <x:v>7</x:v>
      </x:c>
      <x:c r="L271" s="31" t="n">
        <x:v>9.300000000000001</x:v>
      </x:c>
      <x:c r="M271" s="31" t="n">
        <x:v>46113</x:v>
      </x:c>
      <x:c r="N271" s="31" t="n">
        <x:v>46114</x:v>
      </x:c>
      <x:c r="O271" s="31" t="n">
        <x:v>46113</x:v>
      </x:c>
      <x:c r="P271" s="31" t="n">
        <x:v>46115</x:v>
      </x:c>
      <x:c r="Q271" s="31" t="inlineStr">
        <x:is>
          <x:t xml:space="preserve">Завершено</x:t>
        </x:is>
      </x:c>
      <x:c r="R271" s="31" t="inlineStr">
        <x:is>
          <x:t xml:space="preserve">Ожидание ОТК</x:t>
        </x:is>
      </x:c>
      <x:c r="S271" s="31" t="inlineStr">
        <x:is>
          <x:t xml:space="preserve">Нет</x:t>
        </x:is>
      </x:c>
    </x:row>
    <x:row r="272" ht="18" customHeight="1">
      <x:c r="A272" s="31" t="inlineStr">
        <x:is>
          <x:t xml:space="preserve">ОП-000271</x:t>
        </x:is>
      </x:c>
      <x:c r="B272" s="31" t="inlineStr">
        <x:is>
          <x:t xml:space="preserve">ПЗ-00031</x:t>
        </x:is>
      </x:c>
      <x:c r="C272" s="31" t="inlineStr">
        <x:is>
          <x:t xml:space="preserve">ЗК-1017</x:t>
        </x:is>
      </x:c>
      <x:c r="D272" s="31" t="inlineStr">
        <x:is>
          <x:t xml:space="preserve">ПОЗ-0017-2</x:t>
        </x:is>
      </x:c>
      <x:c r="E272" s="31" t="inlineStr">
        <x:is>
          <x:t xml:space="preserve">ИЗД-035</x:t>
        </x:is>
      </x:c>
      <x:c r="F272" s="31" t="n">
        <x:v>70</x:v>
      </x:c>
      <x:c r="G272" s="31" t="inlineStr">
        <x:is>
          <x:t xml:space="preserve">Обвязка труб</x:t>
        </x:is>
      </x:c>
      <x:c r="H272" s="31" t="inlineStr">
        <x:is>
          <x:t xml:space="preserve">Сборка</x:t>
        </x:is>
      </x:c>
      <x:c r="I272" s="31" t="inlineStr">
        <x:is>
          <x:t xml:space="preserve">ОБ-002</x:t>
        </x:is>
      </x:c>
      <x:c r="J272" s="31" t="inlineStr">
        <x:is>
          <x:t xml:space="preserve">СОТР-032</x:t>
        </x:is>
      </x:c>
      <x:c r="K272" s="31" t="n">
        <x:v>55</x:v>
      </x:c>
      <x:c r="L272" s="31" t="n">
        <x:v>66.90000000000001</x:v>
      </x:c>
      <x:c r="M272" s="31" t="n">
        <x:v>46114</x:v>
      </x:c>
      <x:c r="N272" s="31" t="n">
        <x:v>46119</x:v>
      </x:c>
      <x:c r="O272" s="31" t="n">
        <x:v>46114</x:v>
      </x:c>
      <x:c r="P272" s="31" t="n">
        <x:v>46120</x:v>
      </x:c>
      <x:c r="Q272" s="31" t="inlineStr">
        <x:is>
          <x:t xml:space="preserve">Завершено</x:t>
        </x:is>
      </x:c>
      <x:c r="R272" s="31" t="inlineStr">
        <x:is>
          <x:t xml:space="preserve">Нет</x:t>
        </x:is>
      </x:c>
      <x:c r="S272" s="31" t="inlineStr">
        <x:is>
          <x:t xml:space="preserve">Нет</x:t>
        </x:is>
      </x:c>
    </x:row>
    <x:row r="273" ht="18" customHeight="1">
      <x:c r="A273" s="31" t="inlineStr">
        <x:is>
          <x:t xml:space="preserve">ОП-000272</x:t>
        </x:is>
      </x:c>
      <x:c r="B273" s="31" t="inlineStr">
        <x:is>
          <x:t xml:space="preserve">ПЗ-00031</x:t>
        </x:is>
      </x:c>
      <x:c r="C273" s="31" t="inlineStr">
        <x:is>
          <x:t xml:space="preserve">ЗК-1017</x:t>
        </x:is>
      </x:c>
      <x:c r="D273" s="31" t="inlineStr">
        <x:is>
          <x:t xml:space="preserve">ПОЗ-0017-2</x:t>
        </x:is>
      </x:c>
      <x:c r="E273" s="31" t="inlineStr">
        <x:is>
          <x:t xml:space="preserve">ИЗД-035</x:t>
        </x:is>
      </x:c>
      <x:c r="F273" s="31" t="n">
        <x:v>80</x:v>
      </x:c>
      <x:c r="G273" s="31" t="inlineStr">
        <x:is>
          <x:t xml:space="preserve">Электромонтаж</x:t>
        </x:is>
      </x:c>
      <x:c r="H273" s="31" t="inlineStr">
        <x:is>
          <x:t xml:space="preserve">Сборка</x:t>
        </x:is>
      </x:c>
      <x:c r="I273" s="31" t="inlineStr">
        <x:is>
          <x:t xml:space="preserve">ОБ-002</x:t>
        </x:is>
      </x:c>
      <x:c r="J273" s="31" t="inlineStr">
        <x:is>
          <x:t xml:space="preserve">СОТР-081</x:t>
        </x:is>
      </x:c>
      <x:c r="K273" s="31" t="n">
        <x:v>6</x:v>
      </x:c>
      <x:c r="L273" s="31" t="n">
        <x:v>4.8</x:v>
      </x:c>
      <x:c r="M273" s="31" t="n">
        <x:v>46119</x:v>
      </x:c>
      <x:c r="N273" s="31" t="n">
        <x:v>46120</x:v>
      </x:c>
      <x:c r="O273" s="31" t="n">
        <x:v>46119</x:v>
      </x:c>
      <x:c r="P273" s="31" t="n">
        <x:v>46120</x:v>
      </x:c>
      <x:c r="Q273" s="31" t="inlineStr">
        <x:is>
          <x:t xml:space="preserve">Завершено</x:t>
        </x:is>
      </x:c>
      <x:c r="R273" s="31" t="inlineStr">
        <x:is>
          <x:t xml:space="preserve">Нет</x:t>
        </x:is>
      </x:c>
      <x:c r="S273" s="31" t="inlineStr">
        <x:is>
          <x:t xml:space="preserve">Нет</x:t>
        </x:is>
      </x:c>
    </x:row>
    <x:row r="274" ht="18" customHeight="1">
      <x:c r="A274" s="31" t="inlineStr">
        <x:is>
          <x:t xml:space="preserve">ОП-000273</x:t>
        </x:is>
      </x:c>
      <x:c r="B274" s="31" t="inlineStr">
        <x:is>
          <x:t xml:space="preserve">ПЗ-00031</x:t>
        </x:is>
      </x:c>
      <x:c r="C274" s="31" t="inlineStr">
        <x:is>
          <x:t xml:space="preserve">ЗК-1017</x:t>
        </x:is>
      </x:c>
      <x:c r="D274" s="31" t="inlineStr">
        <x:is>
          <x:t xml:space="preserve">ПОЗ-0017-2</x:t>
        </x:is>
      </x:c>
      <x:c r="E274" s="31" t="inlineStr">
        <x:is>
          <x:t xml:space="preserve">ИЗД-035</x:t>
        </x:is>
      </x:c>
      <x:c r="F274" s="31" t="n">
        <x:v>90</x:v>
      </x:c>
      <x:c r="G274" s="31" t="inlineStr">
        <x:is>
          <x:t xml:space="preserve">Приемочные испытания</x:t>
        </x:is>
      </x:c>
      <x:c r="H274" s="31" t="inlineStr">
        <x:is>
          <x:t xml:space="preserve">ОТК</x:t>
        </x:is>
      </x:c>
      <x:c r="I274" s="31" t="inlineStr">
        <x:is>
          <x:t xml:space="preserve">ОБ-033</x:t>
        </x:is>
      </x:c>
      <x:c r="J274" s="31" t="inlineStr">
        <x:is>
          <x:t xml:space="preserve">СОТР-100</x:t>
        </x:is>
      </x:c>
      <x:c r="K274" s="31" t="n">
        <x:v>10.5</x:v>
      </x:c>
      <x:c r="L274" s="31" t="n">
        <x:v>13.7</x:v>
      </x:c>
      <x:c r="M274" s="31" t="n">
        <x:v>46120</x:v>
      </x:c>
      <x:c r="N274" s="31" t="n">
        <x:v>46121</x:v>
      </x:c>
      <x:c r="O274" s="31" t="n">
        <x:v>46120</x:v>
      </x:c>
      <x:c r="P274" s="31" t="n">
        <x:v>46120</x:v>
      </x:c>
      <x:c r="Q274" s="31" t="inlineStr">
        <x:is>
          <x:t xml:space="preserve">Завершено</x:t>
        </x:is>
      </x:c>
      <x:c r="R274" s="31" t="inlineStr">
        <x:is>
          <x:t xml:space="preserve">Нет</x:t>
        </x:is>
      </x:c>
      <x:c r="S274" s="31" t="inlineStr">
        <x:is>
          <x:t xml:space="preserve">Нет</x:t>
        </x:is>
      </x:c>
    </x:row>
    <x:row r="275" ht="18" customHeight="1">
      <x:c r="A275" s="31" t="inlineStr">
        <x:is>
          <x:t xml:space="preserve">ОП-000274</x:t>
        </x:is>
      </x:c>
      <x:c r="B275" s="31" t="inlineStr">
        <x:is>
          <x:t xml:space="preserve">ПЗ-00031</x:t>
        </x:is>
      </x:c>
      <x:c r="C275" s="31" t="inlineStr">
        <x:is>
          <x:t xml:space="preserve">ЗК-1017</x:t>
        </x:is>
      </x:c>
      <x:c r="D275" s="31" t="inlineStr">
        <x:is>
          <x:t xml:space="preserve">ПОЗ-0017-2</x:t>
        </x:is>
      </x:c>
      <x:c r="E275" s="31" t="inlineStr">
        <x:is>
          <x:t xml:space="preserve">ИЗД-035</x:t>
        </x:is>
      </x:c>
      <x:c r="F275" s="31" t="n">
        <x:v>100</x:v>
      </x:c>
      <x:c r="G275" s="31" t="inlineStr">
        <x:is>
          <x:t xml:space="preserve">ОТК</x:t>
        </x:is>
      </x:c>
      <x:c r="H275" s="31" t="inlineStr">
        <x:is>
          <x:t xml:space="preserve">ОТК</x:t>
        </x:is>
      </x:c>
      <x:c r="I275" s="31" t="inlineStr">
        <x:is>
          <x:t xml:space="preserve">ОБ-006</x:t>
        </x:is>
      </x:c>
      <x:c r="J275" s="31" t="inlineStr">
        <x:is>
          <x:t xml:space="preserve">СОТР-099</x:t>
        </x:is>
      </x:c>
      <x:c r="K275" s="31" t="n">
        <x:v>50</x:v>
      </x:c>
      <x:c r="L275" s="31" t="n">
        <x:v>41.3</x:v>
      </x:c>
      <x:c r="M275" s="31" t="n">
        <x:v>46121</x:v>
      </x:c>
      <x:c r="N275" s="31" t="n">
        <x:v>46126</x:v>
      </x:c>
      <x:c r="O275" s="31" t="n">
        <x:v>46121</x:v>
      </x:c>
      <x:c r="P275" s="31" t="n">
        <x:v>46126</x:v>
      </x:c>
      <x:c r="Q275" s="31" t="inlineStr">
        <x:is>
          <x:t xml:space="preserve">Завершено</x:t>
        </x:is>
      </x:c>
      <x:c r="R275" s="31" t="inlineStr">
        <x:is>
          <x:t xml:space="preserve">Нет</x:t>
        </x:is>
      </x:c>
      <x:c r="S275" s="31" t="inlineStr">
        <x:is>
          <x:t xml:space="preserve">Нет</x:t>
        </x:is>
      </x:c>
    </x:row>
    <x:row r="276" ht="18" customHeight="1">
      <x:c r="A276" s="31" t="inlineStr">
        <x:is>
          <x:t xml:space="preserve">ОП-000275</x:t>
        </x:is>
      </x:c>
      <x:c r="B276" s="31" t="inlineStr">
        <x:is>
          <x:t xml:space="preserve">ПЗ-00031</x:t>
        </x:is>
      </x:c>
      <x:c r="C276" s="31" t="inlineStr">
        <x:is>
          <x:t xml:space="preserve">ЗК-1017</x:t>
        </x:is>
      </x:c>
      <x:c r="D276" s="31" t="inlineStr">
        <x:is>
          <x:t xml:space="preserve">ПОЗ-0017-2</x:t>
        </x:is>
      </x:c>
      <x:c r="E276" s="31" t="inlineStr">
        <x:is>
          <x:t xml:space="preserve">ИЗД-035</x:t>
        </x:is>
      </x:c>
      <x:c r="F276" s="31" t="n">
        <x:v>110</x:v>
      </x:c>
      <x:c r="G276" s="31" t="inlineStr">
        <x:is>
          <x:t xml:space="preserve">Упаковка</x:t>
        </x:is>
      </x:c>
      <x:c r="H276" s="31" t="inlineStr">
        <x:is>
          <x:t xml:space="preserve">Логистика</x:t>
        </x:is>
      </x:c>
      <x:c r="I276" s="31" t="n"/>
      <x:c r="J276" s="31" t="inlineStr">
        <x:is>
          <x:t xml:space="preserve">СОТР-104</x:t>
        </x:is>
      </x:c>
      <x:c r="K276" s="31" t="n">
        <x:v>39</x:v>
      </x:c>
      <x:c r="L276" s="31" t="n">
        <x:v>48.2</x:v>
      </x:c>
      <x:c r="M276" s="31" t="n">
        <x:v>46126</x:v>
      </x:c>
      <x:c r="N276" s="31" t="n">
        <x:v>46130</x:v>
      </x:c>
      <x:c r="O276" s="31" t="n">
        <x:v>46126</x:v>
      </x:c>
      <x:c r="P276" s="31" t="n">
        <x:v>46131</x:v>
      </x:c>
      <x:c r="Q276" s="31" t="inlineStr">
        <x:is>
          <x:t xml:space="preserve">Завершено</x:t>
        </x:is>
      </x:c>
      <x:c r="R276" s="31" t="inlineStr">
        <x:is>
          <x:t xml:space="preserve">Нет</x:t>
        </x:is>
      </x:c>
      <x:c r="S276" s="31" t="inlineStr">
        <x:is>
          <x:t xml:space="preserve">Нет</x:t>
        </x:is>
      </x:c>
    </x:row>
    <x:row r="277" ht="18" customHeight="1">
      <x:c r="A277" s="31" t="inlineStr">
        <x:is>
          <x:t xml:space="preserve">ОП-000276</x:t>
        </x:is>
      </x:c>
      <x:c r="B277" s="31" t="inlineStr">
        <x:is>
          <x:t xml:space="preserve">ПЗ-00032</x:t>
        </x:is>
      </x:c>
      <x:c r="C277" s="31" t="inlineStr">
        <x:is>
          <x:t xml:space="preserve">ЗК-1017</x:t>
        </x:is>
      </x:c>
      <x:c r="D277" s="31" t="inlineStr">
        <x:is>
          <x:t xml:space="preserve">ПОЗ-0017-3</x:t>
        </x:is>
      </x:c>
      <x:c r="E277" s="31" t="inlineStr">
        <x:is>
          <x:t xml:space="preserve">ИЗД-028</x:t>
        </x:is>
      </x:c>
      <x:c r="F277" s="31" t="n">
        <x:v>10</x:v>
      </x:c>
      <x:c r="G277" s="31" t="inlineStr">
        <x:is>
          <x:t xml:space="preserve">КД</x:t>
        </x:is>
      </x:c>
      <x:c r="H277" s="31" t="inlineStr">
        <x:is>
          <x:t xml:space="preserve">Инженерный отдел</x:t>
        </x:is>
      </x:c>
      <x:c r="I277" s="31" t="n"/>
      <x:c r="J277" s="31" t="inlineStr">
        <x:is>
          <x:t xml:space="preserve">СОТР-014</x:t>
        </x:is>
      </x:c>
      <x:c r="K277" s="31" t="n">
        <x:v>14</x:v>
      </x:c>
      <x:c r="L277" s="31" t="n"/>
      <x:c r="M277" s="31" t="n">
        <x:v>46094</x:v>
      </x:c>
      <x:c r="N277" s="31" t="n">
        <x:v>46096</x:v>
      </x:c>
      <x:c r="O277" s="31" t="n"/>
      <x:c r="P277" s="31" t="n"/>
      <x:c r="Q277" s="31" t="inlineStr">
        <x:is>
          <x:t xml:space="preserve">Запланировано</x:t>
        </x:is>
      </x:c>
      <x:c r="R277" s="31" t="inlineStr">
        <x:is>
          <x:t xml:space="preserve">Нет</x:t>
        </x:is>
      </x:c>
      <x:c r="S277" s="31" t="inlineStr">
        <x:is>
          <x:t xml:space="preserve">Да</x:t>
        </x:is>
      </x:c>
    </x:row>
    <x:row r="278" ht="18" customHeight="1">
      <x:c r="A278" s="31" t="inlineStr">
        <x:is>
          <x:t xml:space="preserve">ОП-000277</x:t>
        </x:is>
      </x:c>
      <x:c r="B278" s="31" t="inlineStr">
        <x:is>
          <x:t xml:space="preserve">ПЗ-00032</x:t>
        </x:is>
      </x:c>
      <x:c r="C278" s="31" t="inlineStr">
        <x:is>
          <x:t xml:space="preserve">ЗК-1017</x:t>
        </x:is>
      </x:c>
      <x:c r="D278" s="31" t="inlineStr">
        <x:is>
          <x:t xml:space="preserve">ПОЗ-0017-3</x:t>
        </x:is>
      </x:c>
      <x:c r="E278" s="31" t="inlineStr">
        <x:is>
          <x:t xml:space="preserve">ИЗД-028</x:t>
        </x:is>
      </x:c>
      <x:c r="F278" s="31" t="n">
        <x:v>20</x:v>
      </x:c>
      <x:c r="G278" s="31" t="inlineStr">
        <x:is>
          <x:t xml:space="preserve">Резерв материалов</x:t>
        </x:is>
      </x:c>
      <x:c r="H278" s="31" t="inlineStr">
        <x:is>
          <x:t xml:space="preserve">Склад</x:t>
        </x:is>
      </x:c>
      <x:c r="I278" s="31" t="inlineStr">
        <x:is>
          <x:t xml:space="preserve">ОБ-009</x:t>
        </x:is>
      </x:c>
      <x:c r="J278" s="31" t="inlineStr">
        <x:is>
          <x:t xml:space="preserve">СОТР-038</x:t>
        </x:is>
      </x:c>
      <x:c r="K278" s="31" t="n">
        <x:v>13.8</x:v>
      </x:c>
      <x:c r="L278" s="31" t="n"/>
      <x:c r="M278" s="31" t="n">
        <x:v>46096</x:v>
      </x:c>
      <x:c r="N278" s="31" t="n">
        <x:v>46098</x:v>
      </x:c>
      <x:c r="O278" s="31" t="n"/>
      <x:c r="P278" s="31" t="n"/>
      <x:c r="Q278" s="31" t="inlineStr">
        <x:is>
          <x:t xml:space="preserve">Запланировано</x:t>
        </x:is>
      </x:c>
      <x:c r="R278" s="31" t="inlineStr">
        <x:is>
          <x:t xml:space="preserve">Нет</x:t>
        </x:is>
      </x:c>
      <x:c r="S278" s="31" t="inlineStr">
        <x:is>
          <x:t xml:space="preserve">Нет</x:t>
        </x:is>
      </x:c>
    </x:row>
    <x:row r="279" ht="18" customHeight="1">
      <x:c r="A279" s="31" t="inlineStr">
        <x:is>
          <x:t xml:space="preserve">ОП-000278</x:t>
        </x:is>
      </x:c>
      <x:c r="B279" s="31" t="inlineStr">
        <x:is>
          <x:t xml:space="preserve">ПЗ-00032</x:t>
        </x:is>
      </x:c>
      <x:c r="C279" s="31" t="inlineStr">
        <x:is>
          <x:t xml:space="preserve">ЗК-1017</x:t>
        </x:is>
      </x:c>
      <x:c r="D279" s="31" t="inlineStr">
        <x:is>
          <x:t xml:space="preserve">ПОЗ-0017-3</x:t>
        </x:is>
      </x:c>
      <x:c r="E279" s="31" t="inlineStr">
        <x:is>
          <x:t xml:space="preserve">ИЗД-028</x:t>
        </x:is>
      </x:c>
      <x:c r="F279" s="31" t="n">
        <x:v>30</x:v>
      </x:c>
      <x:c r="G279" s="31" t="inlineStr">
        <x:is>
          <x:t xml:space="preserve">Сварка рамы</x:t>
        </x:is>
      </x:c>
      <x:c r="H279" s="31" t="inlineStr">
        <x:is>
          <x:t xml:space="preserve">Сварка</x:t>
        </x:is>
      </x:c>
      <x:c r="I279" s="31" t="inlineStr">
        <x:is>
          <x:t xml:space="preserve">ОБ-019</x:t>
        </x:is>
      </x:c>
      <x:c r="J279" s="31" t="inlineStr">
        <x:is>
          <x:t xml:space="preserve">СОТР-065</x:t>
        </x:is>
      </x:c>
      <x:c r="K279" s="31" t="n">
        <x:v>16.7</x:v>
      </x:c>
      <x:c r="L279" s="31" t="n"/>
      <x:c r="M279" s="31" t="n">
        <x:v>46098</x:v>
      </x:c>
      <x:c r="N279" s="31" t="n">
        <x:v>46100</x:v>
      </x:c>
      <x:c r="O279" s="31" t="n"/>
      <x:c r="P279" s="31" t="n"/>
      <x:c r="Q279" s="31" t="inlineStr">
        <x:is>
          <x:t xml:space="preserve">Запланировано</x:t>
        </x:is>
      </x:c>
      <x:c r="R279" s="31" t="inlineStr">
        <x:is>
          <x:t xml:space="preserve">Нет</x:t>
        </x:is>
      </x:c>
      <x:c r="S279" s="31" t="inlineStr">
        <x:is>
          <x:t xml:space="preserve">Нет</x:t>
        </x:is>
      </x:c>
    </x:row>
    <x:row r="280" ht="18" customHeight="1">
      <x:c r="A280" s="31" t="inlineStr">
        <x:is>
          <x:t xml:space="preserve">ОП-000279</x:t>
        </x:is>
      </x:c>
      <x:c r="B280" s="31" t="inlineStr">
        <x:is>
          <x:t xml:space="preserve">ПЗ-00032</x:t>
        </x:is>
      </x:c>
      <x:c r="C280" s="31" t="inlineStr">
        <x:is>
          <x:t xml:space="preserve">ЗК-1017</x:t>
        </x:is>
      </x:c>
      <x:c r="D280" s="31" t="inlineStr">
        <x:is>
          <x:t xml:space="preserve">ПОЗ-0017-3</x:t>
        </x:is>
      </x:c>
      <x:c r="E280" s="31" t="inlineStr">
        <x:is>
          <x:t xml:space="preserve">ИЗД-028</x:t>
        </x:is>
      </x:c>
      <x:c r="F280" s="31" t="n">
        <x:v>40</x:v>
      </x:c>
      <x:c r="G280" s="31" t="inlineStr">
        <x:is>
          <x:t xml:space="preserve">Сборка</x:t>
        </x:is>
      </x:c>
      <x:c r="H280" s="31" t="inlineStr">
        <x:is>
          <x:t xml:space="preserve">Сборка</x:t>
        </x:is>
      </x:c>
      <x:c r="I280" s="31" t="inlineStr">
        <x:is>
          <x:t xml:space="preserve">ОБ-005</x:t>
        </x:is>
      </x:c>
      <x:c r="J280" s="31" t="inlineStr">
        <x:is>
          <x:t xml:space="preserve">СОТР-088</x:t>
        </x:is>
      </x:c>
      <x:c r="K280" s="31" t="n">
        <x:v>17.3</x:v>
      </x:c>
      <x:c r="L280" s="31" t="n"/>
      <x:c r="M280" s="31" t="n">
        <x:v>46100</x:v>
      </x:c>
      <x:c r="N280" s="31" t="n">
        <x:v>46102</x:v>
      </x:c>
      <x:c r="O280" s="31" t="n"/>
      <x:c r="P280" s="31" t="n"/>
      <x:c r="Q280" s="31" t="inlineStr">
        <x:is>
          <x:t xml:space="preserve">Запланировано</x:t>
        </x:is>
      </x:c>
      <x:c r="R280" s="31" t="inlineStr">
        <x:is>
          <x:t xml:space="preserve">Материал</x:t>
        </x:is>
      </x:c>
      <x:c r="S280" s="31" t="inlineStr">
        <x:is>
          <x:t xml:space="preserve">Нет</x:t>
        </x:is>
      </x:c>
    </x:row>
    <x:row r="281" ht="18" customHeight="1">
      <x:c r="A281" s="31" t="inlineStr">
        <x:is>
          <x:t xml:space="preserve">ОП-000280</x:t>
        </x:is>
      </x:c>
      <x:c r="B281" s="31" t="inlineStr">
        <x:is>
          <x:t xml:space="preserve">ПЗ-00032</x:t>
        </x:is>
      </x:c>
      <x:c r="C281" s="31" t="inlineStr">
        <x:is>
          <x:t xml:space="preserve">ЗК-1017</x:t>
        </x:is>
      </x:c>
      <x:c r="D281" s="31" t="inlineStr">
        <x:is>
          <x:t xml:space="preserve">ПОЗ-0017-3</x:t>
        </x:is>
      </x:c>
      <x:c r="E281" s="31" t="inlineStr">
        <x:is>
          <x:t xml:space="preserve">ИЗД-028</x:t>
        </x:is>
      </x:c>
      <x:c r="F281" s="31" t="n">
        <x:v>50</x:v>
      </x:c>
      <x:c r="G281" s="31" t="inlineStr">
        <x:is>
          <x:t xml:space="preserve">Обвязка труб</x:t>
        </x:is>
      </x:c>
      <x:c r="H281" s="31" t="inlineStr">
        <x:is>
          <x:t xml:space="preserve">Сборка</x:t>
        </x:is>
      </x:c>
      <x:c r="I281" s="31" t="inlineStr">
        <x:is>
          <x:t xml:space="preserve">ОБ-005</x:t>
        </x:is>
      </x:c>
      <x:c r="J281" s="31" t="inlineStr">
        <x:is>
          <x:t xml:space="preserve">СОТР-081</x:t>
        </x:is>
      </x:c>
      <x:c r="K281" s="31" t="n">
        <x:v>13.3</x:v>
      </x:c>
      <x:c r="L281" s="31" t="n"/>
      <x:c r="M281" s="31" t="n">
        <x:v>46102</x:v>
      </x:c>
      <x:c r="N281" s="31" t="n">
        <x:v>46104</x:v>
      </x:c>
      <x:c r="O281" s="31" t="n"/>
      <x:c r="P281" s="31" t="n"/>
      <x:c r="Q281" s="31" t="inlineStr">
        <x:is>
          <x:t xml:space="preserve">Запланировано</x:t>
        </x:is>
      </x:c>
      <x:c r="R281" s="31" t="inlineStr">
        <x:is>
          <x:t xml:space="preserve">Ожидание ОТК</x:t>
        </x:is>
      </x:c>
      <x:c r="S281" s="31" t="inlineStr">
        <x:is>
          <x:t xml:space="preserve">Нет</x:t>
        </x:is>
      </x:c>
    </x:row>
    <x:row r="282" ht="18" customHeight="1">
      <x:c r="A282" s="31" t="inlineStr">
        <x:is>
          <x:t xml:space="preserve">ОП-000281</x:t>
        </x:is>
      </x:c>
      <x:c r="B282" s="31" t="inlineStr">
        <x:is>
          <x:t xml:space="preserve">ПЗ-00032</x:t>
        </x:is>
      </x:c>
      <x:c r="C282" s="31" t="inlineStr">
        <x:is>
          <x:t xml:space="preserve">ЗК-1017</x:t>
        </x:is>
      </x:c>
      <x:c r="D282" s="31" t="inlineStr">
        <x:is>
          <x:t xml:space="preserve">ПОЗ-0017-3</x:t>
        </x:is>
      </x:c>
      <x:c r="E282" s="31" t="inlineStr">
        <x:is>
          <x:t xml:space="preserve">ИЗД-028</x:t>
        </x:is>
      </x:c>
      <x:c r="F282" s="31" t="n">
        <x:v>60</x:v>
      </x:c>
      <x:c r="G282" s="31" t="inlineStr">
        <x:is>
          <x:t xml:space="preserve">Электромонтаж</x:t>
        </x:is>
      </x:c>
      <x:c r="H282" s="31" t="inlineStr">
        <x:is>
          <x:t xml:space="preserve">Сборка</x:t>
        </x:is>
      </x:c>
      <x:c r="I282" s="31" t="inlineStr">
        <x:is>
          <x:t xml:space="preserve">ОБ-002</x:t>
        </x:is>
      </x:c>
      <x:c r="J282" s="31" t="inlineStr">
        <x:is>
          <x:t xml:space="preserve">СОТР-075</x:t>
        </x:is>
      </x:c>
      <x:c r="K282" s="31" t="n">
        <x:v>11.8</x:v>
      </x:c>
      <x:c r="L282" s="31" t="n"/>
      <x:c r="M282" s="31" t="n">
        <x:v>46104</x:v>
      </x:c>
      <x:c r="N282" s="31" t="n">
        <x:v>46105</x:v>
      </x:c>
      <x:c r="O282" s="31" t="n"/>
      <x:c r="P282" s="31" t="n"/>
      <x:c r="Q282" s="31" t="inlineStr">
        <x:is>
          <x:t xml:space="preserve">Запланировано</x:t>
        </x:is>
      </x:c>
      <x:c r="R282" s="31" t="inlineStr">
        <x:is>
          <x:t xml:space="preserve">Нет</x:t>
        </x:is>
      </x:c>
      <x:c r="S282" s="31" t="inlineStr">
        <x:is>
          <x:t xml:space="preserve">Нет</x:t>
        </x:is>
      </x:c>
    </x:row>
    <x:row r="283" ht="18" customHeight="1">
      <x:c r="A283" s="31" t="inlineStr">
        <x:is>
          <x:t xml:space="preserve">ОП-000282</x:t>
        </x:is>
      </x:c>
      <x:c r="B283" s="31" t="inlineStr">
        <x:is>
          <x:t xml:space="preserve">ПЗ-00032</x:t>
        </x:is>
      </x:c>
      <x:c r="C283" s="31" t="inlineStr">
        <x:is>
          <x:t xml:space="preserve">ЗК-1017</x:t>
        </x:is>
      </x:c>
      <x:c r="D283" s="31" t="inlineStr">
        <x:is>
          <x:t xml:space="preserve">ПОЗ-0017-3</x:t>
        </x:is>
      </x:c>
      <x:c r="E283" s="31" t="inlineStr">
        <x:is>
          <x:t xml:space="preserve">ИЗД-028</x:t>
        </x:is>
      </x:c>
      <x:c r="F283" s="31" t="n">
        <x:v>70</x:v>
      </x:c>
      <x:c r="G283" s="31" t="inlineStr">
        <x:is>
          <x:t xml:space="preserve">Гидроиспытания</x:t>
        </x:is>
      </x:c>
      <x:c r="H283" s="31" t="inlineStr">
        <x:is>
          <x:t xml:space="preserve">ОТК</x:t>
        </x:is>
      </x:c>
      <x:c r="I283" s="31" t="inlineStr">
        <x:is>
          <x:t xml:space="preserve">ОБ-028</x:t>
        </x:is>
      </x:c>
      <x:c r="J283" s="31" t="inlineStr">
        <x:is>
          <x:t xml:space="preserve">СОТР-092</x:t>
        </x:is>
      </x:c>
      <x:c r="K283" s="31" t="n">
        <x:v>1.8</x:v>
      </x:c>
      <x:c r="L283" s="31" t="n"/>
      <x:c r="M283" s="31" t="n">
        <x:v>46105</x:v>
      </x:c>
      <x:c r="N283" s="31" t="n">
        <x:v>46106</x:v>
      </x:c>
      <x:c r="O283" s="31" t="n"/>
      <x:c r="P283" s="31" t="n"/>
      <x:c r="Q283" s="31" t="inlineStr">
        <x:is>
          <x:t xml:space="preserve">Запланировано</x:t>
        </x:is>
      </x:c>
      <x:c r="R283" s="31" t="inlineStr">
        <x:is>
          <x:t xml:space="preserve">Нет</x:t>
        </x:is>
      </x:c>
      <x:c r="S283" s="31" t="inlineStr">
        <x:is>
          <x:t xml:space="preserve">Нет</x:t>
        </x:is>
      </x:c>
    </x:row>
    <x:row r="284" ht="18" customHeight="1">
      <x:c r="A284" s="31" t="inlineStr">
        <x:is>
          <x:t xml:space="preserve">ОП-000283</x:t>
        </x:is>
      </x:c>
      <x:c r="B284" s="31" t="inlineStr">
        <x:is>
          <x:t xml:space="preserve">ПЗ-00032</x:t>
        </x:is>
      </x:c>
      <x:c r="C284" s="31" t="inlineStr">
        <x:is>
          <x:t xml:space="preserve">ЗК-1017</x:t>
        </x:is>
      </x:c>
      <x:c r="D284" s="31" t="inlineStr">
        <x:is>
          <x:t xml:space="preserve">ПОЗ-0017-3</x:t>
        </x:is>
      </x:c>
      <x:c r="E284" s="31" t="inlineStr">
        <x:is>
          <x:t xml:space="preserve">ИЗД-028</x:t>
        </x:is>
      </x:c>
      <x:c r="F284" s="31" t="n">
        <x:v>80</x:v>
      </x:c>
      <x:c r="G284" s="31" t="inlineStr">
        <x:is>
          <x:t xml:space="preserve">ОТК</x:t>
        </x:is>
      </x:c>
      <x:c r="H284" s="31" t="inlineStr">
        <x:is>
          <x:t xml:space="preserve">ОТК</x:t>
        </x:is>
      </x:c>
      <x:c r="I284" s="31" t="inlineStr">
        <x:is>
          <x:t xml:space="preserve">ОБ-024</x:t>
        </x:is>
      </x:c>
      <x:c r="J284" s="31" t="inlineStr">
        <x:is>
          <x:t xml:space="preserve">СОТР-099</x:t>
        </x:is>
      </x:c>
      <x:c r="K284" s="31" t="n">
        <x:v>14.5</x:v>
      </x:c>
      <x:c r="L284" s="31" t="n"/>
      <x:c r="M284" s="31" t="n">
        <x:v>46106</x:v>
      </x:c>
      <x:c r="N284" s="31" t="n">
        <x:v>46108</x:v>
      </x:c>
      <x:c r="O284" s="31" t="n"/>
      <x:c r="P284" s="31" t="n"/>
      <x:c r="Q284" s="31" t="inlineStr">
        <x:is>
          <x:t xml:space="preserve">Запланировано</x:t>
        </x:is>
      </x:c>
      <x:c r="R284" s="31" t="inlineStr">
        <x:is>
          <x:t xml:space="preserve">Нет</x:t>
        </x:is>
      </x:c>
      <x:c r="S284" s="31" t="inlineStr">
        <x:is>
          <x:t xml:space="preserve">Нет</x:t>
        </x:is>
      </x:c>
    </x:row>
    <x:row r="285" ht="18" customHeight="1">
      <x:c r="A285" s="31" t="inlineStr">
        <x:is>
          <x:t xml:space="preserve">ОП-000284</x:t>
        </x:is>
      </x:c>
      <x:c r="B285" s="31" t="inlineStr">
        <x:is>
          <x:t xml:space="preserve">ПЗ-00032</x:t>
        </x:is>
      </x:c>
      <x:c r="C285" s="31" t="inlineStr">
        <x:is>
          <x:t xml:space="preserve">ЗК-1017</x:t>
        </x:is>
      </x:c>
      <x:c r="D285" s="31" t="inlineStr">
        <x:is>
          <x:t xml:space="preserve">ПОЗ-0017-3</x:t>
        </x:is>
      </x:c>
      <x:c r="E285" s="31" t="inlineStr">
        <x:is>
          <x:t xml:space="preserve">ИЗД-028</x:t>
        </x:is>
      </x:c>
      <x:c r="F285" s="31" t="n">
        <x:v>90</x:v>
      </x:c>
      <x:c r="G285" s="31" t="inlineStr">
        <x:is>
          <x:t xml:space="preserve">Упаковка</x:t>
        </x:is>
      </x:c>
      <x:c r="H285" s="31" t="inlineStr">
        <x:is>
          <x:t xml:space="preserve">Логистика</x:t>
        </x:is>
      </x:c>
      <x:c r="I285" s="31" t="n"/>
      <x:c r="J285" s="31" t="inlineStr">
        <x:is>
          <x:t xml:space="preserve">СОТР-070</x:t>
        </x:is>
      </x:c>
      <x:c r="K285" s="31" t="n">
        <x:v>6.8</x:v>
      </x:c>
      <x:c r="L285" s="31" t="n"/>
      <x:c r="M285" s="31" t="n">
        <x:v>46108</x:v>
      </x:c>
      <x:c r="N285" s="31" t="n">
        <x:v>46109</x:v>
      </x:c>
      <x:c r="O285" s="31" t="n"/>
      <x:c r="P285" s="31" t="n"/>
      <x:c r="Q285" s="31" t="inlineStr">
        <x:is>
          <x:t xml:space="preserve">Запланировано</x:t>
        </x:is>
      </x:c>
      <x:c r="R285" s="31" t="inlineStr">
        <x:is>
          <x:t xml:space="preserve">Нет</x:t>
        </x:is>
      </x:c>
      <x:c r="S285" s="31" t="inlineStr">
        <x:is>
          <x:t xml:space="preserve">Нет</x:t>
        </x:is>
      </x:c>
    </x:row>
    <x:row r="286" ht="18" customHeight="1">
      <x:c r="A286" s="31" t="inlineStr">
        <x:is>
          <x:t xml:space="preserve">ОП-000285</x:t>
        </x:is>
      </x:c>
      <x:c r="B286" s="31" t="inlineStr">
        <x:is>
          <x:t xml:space="preserve">ПЗ-00033</x:t>
        </x:is>
      </x:c>
      <x:c r="C286" s="31" t="inlineStr">
        <x:is>
          <x:t xml:space="preserve">ЗК-1018</x:t>
        </x:is>
      </x:c>
      <x:c r="D286" s="31" t="inlineStr">
        <x:is>
          <x:t xml:space="preserve">ПОЗ-0018-1</x:t>
        </x:is>
      </x:c>
      <x:c r="E286" s="31" t="inlineStr">
        <x:is>
          <x:t xml:space="preserve">ИЗД-042</x:t>
        </x:is>
      </x:c>
      <x:c r="F286" s="31" t="n">
        <x:v>10</x:v>
      </x:c>
      <x:c r="G286" s="31" t="inlineStr">
        <x:is>
          <x:t xml:space="preserve">КД</x:t>
        </x:is>
      </x:c>
      <x:c r="H286" s="31" t="inlineStr">
        <x:is>
          <x:t xml:space="preserve">Инженерный отдел</x:t>
        </x:is>
      </x:c>
      <x:c r="I286" s="31" t="n"/>
      <x:c r="J286" s="31" t="inlineStr">
        <x:is>
          <x:t xml:space="preserve">СОТР-016</x:t>
        </x:is>
      </x:c>
      <x:c r="K286" s="31" t="n">
        <x:v>9.6</x:v>
      </x:c>
      <x:c r="L286" s="31" t="n"/>
      <x:c r="M286" s="31" t="n">
        <x:v>46151</x:v>
      </x:c>
      <x:c r="N286" s="31" t="n">
        <x:v>46152</x:v>
      </x:c>
      <x:c r="O286" s="31" t="n"/>
      <x:c r="P286" s="31" t="n"/>
      <x:c r="Q286" s="31" t="inlineStr">
        <x:is>
          <x:t xml:space="preserve">Запланировано</x:t>
        </x:is>
      </x:c>
      <x:c r="R286" s="31" t="inlineStr">
        <x:is>
          <x:t xml:space="preserve">Нет</x:t>
        </x:is>
      </x:c>
      <x:c r="S286" s="31" t="inlineStr">
        <x:is>
          <x:t xml:space="preserve">Нет</x:t>
        </x:is>
      </x:c>
    </x:row>
    <x:row r="287" ht="18" customHeight="1">
      <x:c r="A287" s="31" t="inlineStr">
        <x:is>
          <x:t xml:space="preserve">ОП-000286</x:t>
        </x:is>
      </x:c>
      <x:c r="B287" s="31" t="inlineStr">
        <x:is>
          <x:t xml:space="preserve">ПЗ-00033</x:t>
        </x:is>
      </x:c>
      <x:c r="C287" s="31" t="inlineStr">
        <x:is>
          <x:t xml:space="preserve">ЗК-1018</x:t>
        </x:is>
      </x:c>
      <x:c r="D287" s="31" t="inlineStr">
        <x:is>
          <x:t xml:space="preserve">ПОЗ-0018-1</x:t>
        </x:is>
      </x:c>
      <x:c r="E287" s="31" t="inlineStr">
        <x:is>
          <x:t xml:space="preserve">ИЗД-042</x:t>
        </x:is>
      </x:c>
      <x:c r="F287" s="31" t="n">
        <x:v>20</x:v>
      </x:c>
      <x:c r="G287" s="31" t="inlineStr">
        <x:is>
          <x:t xml:space="preserve">Комплектация</x:t>
        </x:is>
      </x:c>
      <x:c r="H287" s="31" t="inlineStr">
        <x:is>
          <x:t xml:space="preserve">Склад</x:t>
        </x:is>
      </x:c>
      <x:c r="I287" s="31" t="inlineStr">
        <x:is>
          <x:t xml:space="preserve">ОБ-025</x:t>
        </x:is>
      </x:c>
      <x:c r="J287" s="31" t="inlineStr">
        <x:is>
          <x:t xml:space="preserve">СОТР-037</x:t>
        </x:is>
      </x:c>
      <x:c r="K287" s="31" t="n">
        <x:v>42</x:v>
      </x:c>
      <x:c r="L287" s="31" t="n"/>
      <x:c r="M287" s="31" t="n">
        <x:v>46152</x:v>
      </x:c>
      <x:c r="N287" s="31" t="n">
        <x:v>46156</x:v>
      </x:c>
      <x:c r="O287" s="31" t="n"/>
      <x:c r="P287" s="31" t="n"/>
      <x:c r="Q287" s="31" t="inlineStr">
        <x:is>
          <x:t xml:space="preserve">Запланировано</x:t>
        </x:is>
      </x:c>
      <x:c r="R287" s="31" t="inlineStr">
        <x:is>
          <x:t xml:space="preserve">Нет</x:t>
        </x:is>
      </x:c>
      <x:c r="S287" s="31" t="inlineStr">
        <x:is>
          <x:t xml:space="preserve">Да</x:t>
        </x:is>
      </x:c>
    </x:row>
    <x:row r="288" ht="18" customHeight="1">
      <x:c r="A288" s="31" t="inlineStr">
        <x:is>
          <x:t xml:space="preserve">ОП-000287</x:t>
        </x:is>
      </x:c>
      <x:c r="B288" s="31" t="inlineStr">
        <x:is>
          <x:t xml:space="preserve">ПЗ-00033</x:t>
        </x:is>
      </x:c>
      <x:c r="C288" s="31" t="inlineStr">
        <x:is>
          <x:t xml:space="preserve">ЗК-1018</x:t>
        </x:is>
      </x:c>
      <x:c r="D288" s="31" t="inlineStr">
        <x:is>
          <x:t xml:space="preserve">ПОЗ-0018-1</x:t>
        </x:is>
      </x:c>
      <x:c r="E288" s="31" t="inlineStr">
        <x:is>
          <x:t xml:space="preserve">ИЗД-042</x:t>
        </x:is>
      </x:c>
      <x:c r="F288" s="31" t="n">
        <x:v>30</x:v>
      </x:c>
      <x:c r="G288" s="31" t="inlineStr">
        <x:is>
          <x:t xml:space="preserve">Сборка шкафа</x:t>
        </x:is>
      </x:c>
      <x:c r="H288" s="31" t="inlineStr">
        <x:is>
          <x:t xml:space="preserve">Сборка</x:t>
        </x:is>
      </x:c>
      <x:c r="I288" s="31" t="inlineStr">
        <x:is>
          <x:t xml:space="preserve">ОБ-012</x:t>
        </x:is>
      </x:c>
      <x:c r="J288" s="31" t="inlineStr">
        <x:is>
          <x:t xml:space="preserve">СОТР-087</x:t>
        </x:is>
      </x:c>
      <x:c r="K288" s="31" t="n">
        <x:v>28.8</x:v>
      </x:c>
      <x:c r="L288" s="31" t="n"/>
      <x:c r="M288" s="31" t="n">
        <x:v>46156</x:v>
      </x:c>
      <x:c r="N288" s="31" t="n">
        <x:v>46159</x:v>
      </x:c>
      <x:c r="O288" s="31" t="n"/>
      <x:c r="P288" s="31" t="n"/>
      <x:c r="Q288" s="31" t="inlineStr">
        <x:is>
          <x:t xml:space="preserve">Запланировано</x:t>
        </x:is>
      </x:c>
      <x:c r="R288" s="31" t="inlineStr">
        <x:is>
          <x:t xml:space="preserve">Нет</x:t>
        </x:is>
      </x:c>
      <x:c r="S288" s="31" t="inlineStr">
        <x:is>
          <x:t xml:space="preserve">Да</x:t>
        </x:is>
      </x:c>
    </x:row>
    <x:row r="289" ht="18" customHeight="1">
      <x:c r="A289" s="31" t="inlineStr">
        <x:is>
          <x:t xml:space="preserve">ОП-000288</x:t>
        </x:is>
      </x:c>
      <x:c r="B289" s="31" t="inlineStr">
        <x:is>
          <x:t xml:space="preserve">ПЗ-00033</x:t>
        </x:is>
      </x:c>
      <x:c r="C289" s="31" t="inlineStr">
        <x:is>
          <x:t xml:space="preserve">ЗК-1018</x:t>
        </x:is>
      </x:c>
      <x:c r="D289" s="31" t="inlineStr">
        <x:is>
          <x:t xml:space="preserve">ПОЗ-0018-1</x:t>
        </x:is>
      </x:c>
      <x:c r="E289" s="31" t="inlineStr">
        <x:is>
          <x:t xml:space="preserve">ИЗД-042</x:t>
        </x:is>
      </x:c>
      <x:c r="F289" s="31" t="n">
        <x:v>40</x:v>
      </x:c>
      <x:c r="G289" s="31" t="inlineStr">
        <x:is>
          <x:t xml:space="preserve">Маркировка</x:t>
        </x:is>
      </x:c>
      <x:c r="H289" s="31" t="inlineStr">
        <x:is>
          <x:t xml:space="preserve">Сборка</x:t>
        </x:is>
      </x:c>
      <x:c r="I289" s="31" t="inlineStr">
        <x:is>
          <x:t xml:space="preserve">ОБ-017</x:t>
        </x:is>
      </x:c>
      <x:c r="J289" s="31" t="inlineStr">
        <x:is>
          <x:t xml:space="preserve">СОТР-091</x:t>
        </x:is>
      </x:c>
      <x:c r="K289" s="31" t="n">
        <x:v>46.6</x:v>
      </x:c>
      <x:c r="L289" s="31" t="n"/>
      <x:c r="M289" s="31" t="n">
        <x:v>46159</x:v>
      </x:c>
      <x:c r="N289" s="31" t="n">
        <x:v>46163</x:v>
      </x:c>
      <x:c r="O289" s="31" t="n"/>
      <x:c r="P289" s="31" t="n"/>
      <x:c r="Q289" s="31" t="inlineStr">
        <x:is>
          <x:t xml:space="preserve">Запланировано</x:t>
        </x:is>
      </x:c>
      <x:c r="R289" s="31" t="inlineStr">
        <x:is>
          <x:t xml:space="preserve">Нет</x:t>
        </x:is>
      </x:c>
      <x:c r="S289" s="31" t="inlineStr">
        <x:is>
          <x:t xml:space="preserve">Нет</x:t>
        </x:is>
      </x:c>
    </x:row>
    <x:row r="290" ht="18" customHeight="1">
      <x:c r="A290" s="31" t="inlineStr">
        <x:is>
          <x:t xml:space="preserve">ОП-000289</x:t>
        </x:is>
      </x:c>
      <x:c r="B290" s="31" t="inlineStr">
        <x:is>
          <x:t xml:space="preserve">ПЗ-00033</x:t>
        </x:is>
      </x:c>
      <x:c r="C290" s="31" t="inlineStr">
        <x:is>
          <x:t xml:space="preserve">ЗК-1018</x:t>
        </x:is>
      </x:c>
      <x:c r="D290" s="31" t="inlineStr">
        <x:is>
          <x:t xml:space="preserve">ПОЗ-0018-1</x:t>
        </x:is>
      </x:c>
      <x:c r="E290" s="31" t="inlineStr">
        <x:is>
          <x:t xml:space="preserve">ИЗД-042</x:t>
        </x:is>
      </x:c>
      <x:c r="F290" s="31" t="n">
        <x:v>50</x:v>
      </x:c>
      <x:c r="G290" s="31" t="inlineStr">
        <x:is>
          <x:t xml:space="preserve">Электромонтаж</x:t>
        </x:is>
      </x:c>
      <x:c r="H290" s="31" t="inlineStr">
        <x:is>
          <x:t xml:space="preserve">Сборка</x:t>
        </x:is>
      </x:c>
      <x:c r="I290" s="31" t="inlineStr">
        <x:is>
          <x:t xml:space="preserve">ОБ-005</x:t>
        </x:is>
      </x:c>
      <x:c r="J290" s="31" t="inlineStr">
        <x:is>
          <x:t xml:space="preserve">СОТР-088</x:t>
        </x:is>
      </x:c>
      <x:c r="K290" s="31" t="n">
        <x:v>4.8</x:v>
      </x:c>
      <x:c r="L290" s="31" t="n"/>
      <x:c r="M290" s="31" t="n">
        <x:v>46163</x:v>
      </x:c>
      <x:c r="N290" s="31" t="n">
        <x:v>46164</x:v>
      </x:c>
      <x:c r="O290" s="31" t="n"/>
      <x:c r="P290" s="31" t="n"/>
      <x:c r="Q290" s="31" t="inlineStr">
        <x:is>
          <x:t xml:space="preserve">Запланировано</x:t>
        </x:is>
      </x:c>
      <x:c r="R290" s="31" t="inlineStr">
        <x:is>
          <x:t xml:space="preserve">Нет</x:t>
        </x:is>
      </x:c>
      <x:c r="S290" s="31" t="inlineStr">
        <x:is>
          <x:t xml:space="preserve">Да</x:t>
        </x:is>
      </x:c>
    </x:row>
    <x:row r="291" ht="18" customHeight="1">
      <x:c r="A291" s="31" t="inlineStr">
        <x:is>
          <x:t xml:space="preserve">ОП-000290</x:t>
        </x:is>
      </x:c>
      <x:c r="B291" s="31" t="inlineStr">
        <x:is>
          <x:t xml:space="preserve">ПЗ-00033</x:t>
        </x:is>
      </x:c>
      <x:c r="C291" s="31" t="inlineStr">
        <x:is>
          <x:t xml:space="preserve">ЗК-1018</x:t>
        </x:is>
      </x:c>
      <x:c r="D291" s="31" t="inlineStr">
        <x:is>
          <x:t xml:space="preserve">ПОЗ-0018-1</x:t>
        </x:is>
      </x:c>
      <x:c r="E291" s="31" t="inlineStr">
        <x:is>
          <x:t xml:space="preserve">ИЗД-042</x:t>
        </x:is>
      </x:c>
      <x:c r="F291" s="31" t="n">
        <x:v>60</x:v>
      </x:c>
      <x:c r="G291" s="31" t="inlineStr">
        <x:is>
          <x:t xml:space="preserve">Программирование ПЛК</x:t>
        </x:is>
      </x:c>
      <x:c r="H291" s="31" t="inlineStr">
        <x:is>
          <x:t xml:space="preserve">Инженерный отдел</x:t>
        </x:is>
      </x:c>
      <x:c r="I291" s="31" t="n"/>
      <x:c r="J291" s="31" t="inlineStr">
        <x:is>
          <x:t xml:space="preserve">СОТР-013</x:t>
        </x:is>
      </x:c>
      <x:c r="K291" s="31" t="n">
        <x:v>32.8</x:v>
      </x:c>
      <x:c r="L291" s="31" t="n"/>
      <x:c r="M291" s="31" t="n">
        <x:v>46164</x:v>
      </x:c>
      <x:c r="N291" s="31" t="n">
        <x:v>46167</x:v>
      </x:c>
      <x:c r="O291" s="31" t="n"/>
      <x:c r="P291" s="31" t="n"/>
      <x:c r="Q291" s="31" t="inlineStr">
        <x:is>
          <x:t xml:space="preserve">Запланировано</x:t>
        </x:is>
      </x:c>
      <x:c r="R291" s="31" t="inlineStr">
        <x:is>
          <x:t xml:space="preserve">Нет</x:t>
        </x:is>
      </x:c>
      <x:c r="S291" s="31" t="inlineStr">
        <x:is>
          <x:t xml:space="preserve">Нет</x:t>
        </x:is>
      </x:c>
    </x:row>
    <x:row r="292" ht="18" customHeight="1">
      <x:c r="A292" s="31" t="inlineStr">
        <x:is>
          <x:t xml:space="preserve">ОП-000291</x:t>
        </x:is>
      </x:c>
      <x:c r="B292" s="31" t="inlineStr">
        <x:is>
          <x:t xml:space="preserve">ПЗ-00033</x:t>
        </x:is>
      </x:c>
      <x:c r="C292" s="31" t="inlineStr">
        <x:is>
          <x:t xml:space="preserve">ЗК-1018</x:t>
        </x:is>
      </x:c>
      <x:c r="D292" s="31" t="inlineStr">
        <x:is>
          <x:t xml:space="preserve">ПОЗ-0018-1</x:t>
        </x:is>
      </x:c>
      <x:c r="E292" s="31" t="inlineStr">
        <x:is>
          <x:t xml:space="preserve">ИЗД-042</x:t>
        </x:is>
      </x:c>
      <x:c r="F292" s="31" t="n">
        <x:v>70</x:v>
      </x:c>
      <x:c r="G292" s="31" t="inlineStr">
        <x:is>
          <x:t xml:space="preserve">Приемочные испытания</x:t>
        </x:is>
      </x:c>
      <x:c r="H292" s="31" t="inlineStr">
        <x:is>
          <x:t xml:space="preserve">ОТК</x:t>
        </x:is>
      </x:c>
      <x:c r="I292" s="31" t="inlineStr">
        <x:is>
          <x:t xml:space="preserve">ОБ-033</x:t>
        </x:is>
      </x:c>
      <x:c r="J292" s="31" t="inlineStr">
        <x:is>
          <x:t xml:space="preserve">СОТР-096</x:t>
        </x:is>
      </x:c>
      <x:c r="K292" s="31" t="n">
        <x:v>41.6</x:v>
      </x:c>
      <x:c r="L292" s="31" t="n"/>
      <x:c r="M292" s="31" t="n">
        <x:v>46167</x:v>
      </x:c>
      <x:c r="N292" s="31" t="n">
        <x:v>46171</x:v>
      </x:c>
      <x:c r="O292" s="31" t="n"/>
      <x:c r="P292" s="31" t="n"/>
      <x:c r="Q292" s="31" t="inlineStr">
        <x:is>
          <x:t xml:space="preserve">Запланировано</x:t>
        </x:is>
      </x:c>
      <x:c r="R292" s="31" t="inlineStr">
        <x:is>
          <x:t xml:space="preserve">Нет</x:t>
        </x:is>
      </x:c>
      <x:c r="S292" s="31" t="inlineStr">
        <x:is>
          <x:t xml:space="preserve">Нет</x:t>
        </x:is>
      </x:c>
    </x:row>
    <x:row r="293" ht="18" customHeight="1">
      <x:c r="A293" s="31" t="inlineStr">
        <x:is>
          <x:t xml:space="preserve">ОП-000292</x:t>
        </x:is>
      </x:c>
      <x:c r="B293" s="31" t="inlineStr">
        <x:is>
          <x:t xml:space="preserve">ПЗ-00033</x:t>
        </x:is>
      </x:c>
      <x:c r="C293" s="31" t="inlineStr">
        <x:is>
          <x:t xml:space="preserve">ЗК-1018</x:t>
        </x:is>
      </x:c>
      <x:c r="D293" s="31" t="inlineStr">
        <x:is>
          <x:t xml:space="preserve">ПОЗ-0018-1</x:t>
        </x:is>
      </x:c>
      <x:c r="E293" s="31" t="inlineStr">
        <x:is>
          <x:t xml:space="preserve">ИЗД-042</x:t>
        </x:is>
      </x:c>
      <x:c r="F293" s="31" t="n">
        <x:v>80</x:v>
      </x:c>
      <x:c r="G293" s="31" t="inlineStr">
        <x:is>
          <x:t xml:space="preserve">ОТК</x:t>
        </x:is>
      </x:c>
      <x:c r="H293" s="31" t="inlineStr">
        <x:is>
          <x:t xml:space="preserve">ОТК</x:t>
        </x:is>
      </x:c>
      <x:c r="I293" s="31" t="inlineStr">
        <x:is>
          <x:t xml:space="preserve">ОБ-006</x:t>
        </x:is>
      </x:c>
      <x:c r="J293" s="31" t="inlineStr">
        <x:is>
          <x:t xml:space="preserve">СОТР-098</x:t>
        </x:is>
      </x:c>
      <x:c r="K293" s="31" t="n">
        <x:v>46.4</x:v>
      </x:c>
      <x:c r="L293" s="31" t="n"/>
      <x:c r="M293" s="31" t="n">
        <x:v>46171</x:v>
      </x:c>
      <x:c r="N293" s="31" t="n">
        <x:v>46175</x:v>
      </x:c>
      <x:c r="O293" s="31" t="n"/>
      <x:c r="P293" s="31" t="n"/>
      <x:c r="Q293" s="31" t="inlineStr">
        <x:is>
          <x:t xml:space="preserve">Запланировано</x:t>
        </x:is>
      </x:c>
      <x:c r="R293" s="31" t="inlineStr">
        <x:is>
          <x:t xml:space="preserve">Ожидание ОТК</x:t>
        </x:is>
      </x:c>
      <x:c r="S293" s="31" t="inlineStr">
        <x:is>
          <x:t xml:space="preserve">Нет</x:t>
        </x:is>
      </x:c>
    </x:row>
    <x:row r="294" ht="18" customHeight="1">
      <x:c r="A294" s="31" t="inlineStr">
        <x:is>
          <x:t xml:space="preserve">ОП-000293</x:t>
        </x:is>
      </x:c>
      <x:c r="B294" s="31" t="inlineStr">
        <x:is>
          <x:t xml:space="preserve">ПЗ-00033</x:t>
        </x:is>
      </x:c>
      <x:c r="C294" s="31" t="inlineStr">
        <x:is>
          <x:t xml:space="preserve">ЗК-1018</x:t>
        </x:is>
      </x:c>
      <x:c r="D294" s="31" t="inlineStr">
        <x:is>
          <x:t xml:space="preserve">ПОЗ-0018-1</x:t>
        </x:is>
      </x:c>
      <x:c r="E294" s="31" t="inlineStr">
        <x:is>
          <x:t xml:space="preserve">ИЗД-042</x:t>
        </x:is>
      </x:c>
      <x:c r="F294" s="31" t="n">
        <x:v>90</x:v>
      </x:c>
      <x:c r="G294" s="31" t="inlineStr">
        <x:is>
          <x:t xml:space="preserve">Упаковка</x:t>
        </x:is>
      </x:c>
      <x:c r="H294" s="31" t="inlineStr">
        <x:is>
          <x:t xml:space="preserve">Логистика</x:t>
        </x:is>
      </x:c>
      <x:c r="I294" s="31" t="n"/>
      <x:c r="J294" s="31" t="inlineStr">
        <x:is>
          <x:t xml:space="preserve">СОТР-102</x:t>
        </x:is>
      </x:c>
      <x:c r="K294" s="31" t="n">
        <x:v>54</x:v>
      </x:c>
      <x:c r="L294" s="31" t="n"/>
      <x:c r="M294" s="31" t="n">
        <x:v>46175</x:v>
      </x:c>
      <x:c r="N294" s="31" t="n">
        <x:v>46180</x:v>
      </x:c>
      <x:c r="O294" s="31" t="n"/>
      <x:c r="P294" s="31" t="n"/>
      <x:c r="Q294" s="31" t="inlineStr">
        <x:is>
          <x:t xml:space="preserve">Запланировано</x:t>
        </x:is>
      </x:c>
      <x:c r="R294" s="31" t="inlineStr">
        <x:is>
          <x:t xml:space="preserve">Нет</x:t>
        </x:is>
      </x:c>
      <x:c r="S294" s="31" t="inlineStr">
        <x:is>
          <x:t xml:space="preserve">Нет</x:t>
        </x:is>
      </x:c>
    </x:row>
    <x:row r="295" ht="18" customHeight="1">
      <x:c r="A295" s="31" t="inlineStr">
        <x:is>
          <x:t xml:space="preserve">ОП-000294</x:t>
        </x:is>
      </x:c>
      <x:c r="B295" s="31" t="inlineStr">
        <x:is>
          <x:t xml:space="preserve">ПЗ-00034</x:t>
        </x:is>
      </x:c>
      <x:c r="C295" s="31" t="inlineStr">
        <x:is>
          <x:t xml:space="preserve">ЗК-1018</x:t>
        </x:is>
      </x:c>
      <x:c r="D295" s="31" t="inlineStr">
        <x:is>
          <x:t xml:space="preserve">ПОЗ-0018-2</x:t>
        </x:is>
      </x:c>
      <x:c r="E295" s="31" t="inlineStr">
        <x:is>
          <x:t xml:space="preserve">ИЗД-026</x:t>
        </x:is>
      </x:c>
      <x:c r="F295" s="31" t="n">
        <x:v>10</x:v>
      </x:c>
      <x:c r="G295" s="31" t="inlineStr">
        <x:is>
          <x:t xml:space="preserve">КД</x:t>
        </x:is>
      </x:c>
      <x:c r="H295" s="31" t="inlineStr">
        <x:is>
          <x:t xml:space="preserve">Инженерный отдел</x:t>
        </x:is>
      </x:c>
      <x:c r="I295" s="31" t="n"/>
      <x:c r="J295" s="31" t="inlineStr">
        <x:is>
          <x:t xml:space="preserve">СОТР-014</x:t>
        </x:is>
      </x:c>
      <x:c r="K295" s="31" t="n">
        <x:v>14.2</x:v>
      </x:c>
      <x:c r="L295" s="31" t="n">
        <x:v>18.8</x:v>
      </x:c>
      <x:c r="M295" s="31" t="n">
        <x:v>46150</x:v>
      </x:c>
      <x:c r="N295" s="31" t="n">
        <x:v>46152</x:v>
      </x:c>
      <x:c r="O295" s="31" t="n">
        <x:v>46150</x:v>
      </x:c>
      <x:c r="P295" s="31" t="n">
        <x:v>46151</x:v>
      </x:c>
      <x:c r="Q295" s="31" t="inlineStr">
        <x:is>
          <x:t xml:space="preserve">Завершено</x:t>
        </x:is>
      </x:c>
      <x:c r="R295" s="31" t="inlineStr">
        <x:is>
          <x:t xml:space="preserve">Нет</x:t>
        </x:is>
      </x:c>
      <x:c r="S295" s="31" t="inlineStr">
        <x:is>
          <x:t xml:space="preserve">Да</x:t>
        </x:is>
      </x:c>
    </x:row>
    <x:row r="296" ht="18" customHeight="1">
      <x:c r="A296" s="31" t="inlineStr">
        <x:is>
          <x:t xml:space="preserve">ОП-000295</x:t>
        </x:is>
      </x:c>
      <x:c r="B296" s="31" t="inlineStr">
        <x:is>
          <x:t xml:space="preserve">ПЗ-00034</x:t>
        </x:is>
      </x:c>
      <x:c r="C296" s="31" t="inlineStr">
        <x:is>
          <x:t xml:space="preserve">ЗК-1018</x:t>
        </x:is>
      </x:c>
      <x:c r="D296" s="31" t="inlineStr">
        <x:is>
          <x:t xml:space="preserve">ПОЗ-0018-2</x:t>
        </x:is>
      </x:c>
      <x:c r="E296" s="31" t="inlineStr">
        <x:is>
          <x:t xml:space="preserve">ИЗД-026</x:t>
        </x:is>
      </x:c>
      <x:c r="F296" s="31" t="n">
        <x:v>20</x:v>
      </x:c>
      <x:c r="G296" s="31" t="inlineStr">
        <x:is>
          <x:t xml:space="preserve">Комплектация</x:t>
        </x:is>
      </x:c>
      <x:c r="H296" s="31" t="inlineStr">
        <x:is>
          <x:t xml:space="preserve">Склад</x:t>
        </x:is>
      </x:c>
      <x:c r="I296" s="31" t="inlineStr">
        <x:is>
          <x:t xml:space="preserve">ОБ-025</x:t>
        </x:is>
      </x:c>
      <x:c r="J296" s="31" t="inlineStr">
        <x:is>
          <x:t xml:space="preserve">СОТР-033</x:t>
        </x:is>
      </x:c>
      <x:c r="K296" s="31" t="n">
        <x:v>11.9</x:v>
      </x:c>
      <x:c r="L296" s="31" t="n">
        <x:v>15.2</x:v>
      </x:c>
      <x:c r="M296" s="31" t="n">
        <x:v>46152</x:v>
      </x:c>
      <x:c r="N296" s="31" t="n">
        <x:v>46153</x:v>
      </x:c>
      <x:c r="O296" s="31" t="n">
        <x:v>46152</x:v>
      </x:c>
      <x:c r="P296" s="31" t="n">
        <x:v>46154</x:v>
      </x:c>
      <x:c r="Q296" s="31" t="inlineStr">
        <x:is>
          <x:t xml:space="preserve">Завершено</x:t>
        </x:is>
      </x:c>
      <x:c r="R296" s="31" t="inlineStr">
        <x:is>
          <x:t xml:space="preserve">Нет</x:t>
        </x:is>
      </x:c>
      <x:c r="S296" s="31" t="inlineStr">
        <x:is>
          <x:t xml:space="preserve">Нет</x:t>
        </x:is>
      </x:c>
    </x:row>
    <x:row r="297" ht="18" customHeight="1">
      <x:c r="A297" s="31" t="inlineStr">
        <x:is>
          <x:t xml:space="preserve">ОП-000296</x:t>
        </x:is>
      </x:c>
      <x:c r="B297" s="31" t="inlineStr">
        <x:is>
          <x:t xml:space="preserve">ПЗ-00034</x:t>
        </x:is>
      </x:c>
      <x:c r="C297" s="31" t="inlineStr">
        <x:is>
          <x:t xml:space="preserve">ЗК-1018</x:t>
        </x:is>
      </x:c>
      <x:c r="D297" s="31" t="inlineStr">
        <x:is>
          <x:t xml:space="preserve">ПОЗ-0018-2</x:t>
        </x:is>
      </x:c>
      <x:c r="E297" s="31" t="inlineStr">
        <x:is>
          <x:t xml:space="preserve">ИЗД-026</x:t>
        </x:is>
      </x:c>
      <x:c r="F297" s="31" t="n">
        <x:v>30</x:v>
      </x:c>
      <x:c r="G297" s="31" t="inlineStr">
        <x:is>
          <x:t xml:space="preserve">Сборка шкафа</x:t>
        </x:is>
      </x:c>
      <x:c r="H297" s="31" t="inlineStr">
        <x:is>
          <x:t xml:space="preserve">Сборка</x:t>
        </x:is>
      </x:c>
      <x:c r="I297" s="31" t="inlineStr">
        <x:is>
          <x:t xml:space="preserve">ОБ-016</x:t>
        </x:is>
      </x:c>
      <x:c r="J297" s="31" t="inlineStr">
        <x:is>
          <x:t xml:space="preserve">СОТР-084</x:t>
        </x:is>
      </x:c>
      <x:c r="K297" s="31" t="n">
        <x:v>3.8</x:v>
      </x:c>
      <x:c r="L297" s="31" t="n">
        <x:v>3.1</x:v>
      </x:c>
      <x:c r="M297" s="31" t="n">
        <x:v>46153</x:v>
      </x:c>
      <x:c r="N297" s="31" t="n">
        <x:v>46154</x:v>
      </x:c>
      <x:c r="O297" s="31" t="n">
        <x:v>46153</x:v>
      </x:c>
      <x:c r="P297" s="31" t="n">
        <x:v>46156</x:v>
      </x:c>
      <x:c r="Q297" s="31" t="inlineStr">
        <x:is>
          <x:t xml:space="preserve">Завершено</x:t>
        </x:is>
      </x:c>
      <x:c r="R297" s="31" t="inlineStr">
        <x:is>
          <x:t xml:space="preserve">Нет</x:t>
        </x:is>
      </x:c>
      <x:c r="S297" s="31" t="inlineStr">
        <x:is>
          <x:t xml:space="preserve">Нет</x:t>
        </x:is>
      </x:c>
    </x:row>
    <x:row r="298" ht="18" customHeight="1">
      <x:c r="A298" s="31" t="inlineStr">
        <x:is>
          <x:t xml:space="preserve">ОП-000297</x:t>
        </x:is>
      </x:c>
      <x:c r="B298" s="31" t="inlineStr">
        <x:is>
          <x:t xml:space="preserve">ПЗ-00034</x:t>
        </x:is>
      </x:c>
      <x:c r="C298" s="31" t="inlineStr">
        <x:is>
          <x:t xml:space="preserve">ЗК-1018</x:t>
        </x:is>
      </x:c>
      <x:c r="D298" s="31" t="inlineStr">
        <x:is>
          <x:t xml:space="preserve">ПОЗ-0018-2</x:t>
        </x:is>
      </x:c>
      <x:c r="E298" s="31" t="inlineStr">
        <x:is>
          <x:t xml:space="preserve">ИЗД-026</x:t>
        </x:is>
      </x:c>
      <x:c r="F298" s="31" t="n">
        <x:v>40</x:v>
      </x:c>
      <x:c r="G298" s="31" t="inlineStr">
        <x:is>
          <x:t xml:space="preserve">Маркировка</x:t>
        </x:is>
      </x:c>
      <x:c r="H298" s="31" t="inlineStr">
        <x:is>
          <x:t xml:space="preserve">Сборка</x:t>
        </x:is>
      </x:c>
      <x:c r="I298" s="31" t="inlineStr">
        <x:is>
          <x:t xml:space="preserve">ОБ-002</x:t>
        </x:is>
      </x:c>
      <x:c r="J298" s="31" t="inlineStr">
        <x:is>
          <x:t xml:space="preserve">СОТР-078</x:t>
        </x:is>
      </x:c>
      <x:c r="K298" s="31" t="n">
        <x:v>18.6</x:v>
      </x:c>
      <x:c r="L298" s="31" t="n">
        <x:v>17.8</x:v>
      </x:c>
      <x:c r="M298" s="31" t="n">
        <x:v>46154</x:v>
      </x:c>
      <x:c r="N298" s="31" t="n">
        <x:v>46156</x:v>
      </x:c>
      <x:c r="O298" s="31" t="n">
        <x:v>46154</x:v>
      </x:c>
      <x:c r="P298" s="31" t="n">
        <x:v>46155</x:v>
      </x:c>
      <x:c r="Q298" s="31" t="inlineStr">
        <x:is>
          <x:t xml:space="preserve">Завершено</x:t>
        </x:is>
      </x:c>
      <x:c r="R298" s="31" t="inlineStr">
        <x:is>
          <x:t xml:space="preserve">Нет</x:t>
        </x:is>
      </x:c>
      <x:c r="S298" s="31" t="inlineStr">
        <x:is>
          <x:t xml:space="preserve">Нет</x:t>
        </x:is>
      </x:c>
    </x:row>
    <x:row r="299" ht="18" customHeight="1">
      <x:c r="A299" s="31" t="inlineStr">
        <x:is>
          <x:t xml:space="preserve">ОП-000298</x:t>
        </x:is>
      </x:c>
      <x:c r="B299" s="31" t="inlineStr">
        <x:is>
          <x:t xml:space="preserve">ПЗ-00034</x:t>
        </x:is>
      </x:c>
      <x:c r="C299" s="31" t="inlineStr">
        <x:is>
          <x:t xml:space="preserve">ЗК-1018</x:t>
        </x:is>
      </x:c>
      <x:c r="D299" s="31" t="inlineStr">
        <x:is>
          <x:t xml:space="preserve">ПОЗ-0018-2</x:t>
        </x:is>
      </x:c>
      <x:c r="E299" s="31" t="inlineStr">
        <x:is>
          <x:t xml:space="preserve">ИЗД-026</x:t>
        </x:is>
      </x:c>
      <x:c r="F299" s="31" t="n">
        <x:v>50</x:v>
      </x:c>
      <x:c r="G299" s="31" t="inlineStr">
        <x:is>
          <x:t xml:space="preserve">Электромонтаж</x:t>
        </x:is>
      </x:c>
      <x:c r="H299" s="31" t="inlineStr">
        <x:is>
          <x:t xml:space="preserve">Сборка</x:t>
        </x:is>
      </x:c>
      <x:c r="I299" s="31" t="inlineStr">
        <x:is>
          <x:t xml:space="preserve">ОБ-016</x:t>
        </x:is>
      </x:c>
      <x:c r="J299" s="31" t="inlineStr">
        <x:is>
          <x:t xml:space="preserve">СОТР-086</x:t>
        </x:is>
      </x:c>
      <x:c r="K299" s="31" t="n">
        <x:v>7.9</x:v>
      </x:c>
      <x:c r="L299" s="31" t="n">
        <x:v>8.9</x:v>
      </x:c>
      <x:c r="M299" s="31" t="n">
        <x:v>46156</x:v>
      </x:c>
      <x:c r="N299" s="31" t="n">
        <x:v>46157</x:v>
      </x:c>
      <x:c r="O299" s="31" t="n">
        <x:v>46156</x:v>
      </x:c>
      <x:c r="P299" s="31" t="n">
        <x:v>46159</x:v>
      </x:c>
      <x:c r="Q299" s="31" t="inlineStr">
        <x:is>
          <x:t xml:space="preserve">Завершено</x:t>
        </x:is>
      </x:c>
      <x:c r="R299" s="31" t="inlineStr">
        <x:is>
          <x:t xml:space="preserve">КД</x:t>
        </x:is>
      </x:c>
      <x:c r="S299" s="31" t="inlineStr">
        <x:is>
          <x:t xml:space="preserve">Нет</x:t>
        </x:is>
      </x:c>
    </x:row>
    <x:row r="300" ht="18" customHeight="1">
      <x:c r="A300" s="31" t="inlineStr">
        <x:is>
          <x:t xml:space="preserve">ОП-000299</x:t>
        </x:is>
      </x:c>
      <x:c r="B300" s="31" t="inlineStr">
        <x:is>
          <x:t xml:space="preserve">ПЗ-00034</x:t>
        </x:is>
      </x:c>
      <x:c r="C300" s="31" t="inlineStr">
        <x:is>
          <x:t xml:space="preserve">ЗК-1018</x:t>
        </x:is>
      </x:c>
      <x:c r="D300" s="31" t="inlineStr">
        <x:is>
          <x:t xml:space="preserve">ПОЗ-0018-2</x:t>
        </x:is>
      </x:c>
      <x:c r="E300" s="31" t="inlineStr">
        <x:is>
          <x:t xml:space="preserve">ИЗД-026</x:t>
        </x:is>
      </x:c>
      <x:c r="F300" s="31" t="n">
        <x:v>60</x:v>
      </x:c>
      <x:c r="G300" s="31" t="inlineStr">
        <x:is>
          <x:t xml:space="preserve">Программирование ПЛК</x:t>
        </x:is>
      </x:c>
      <x:c r="H300" s="31" t="inlineStr">
        <x:is>
          <x:t xml:space="preserve">Инженерный отдел</x:t>
        </x:is>
      </x:c>
      <x:c r="I300" s="31" t="n"/>
      <x:c r="J300" s="31" t="inlineStr">
        <x:is>
          <x:t xml:space="preserve">СОТР-019</x:t>
        </x:is>
      </x:c>
      <x:c r="K300" s="31" t="n">
        <x:v>14</x:v>
      </x:c>
      <x:c r="L300" s="31" t="n">
        <x:v>14.7</x:v>
      </x:c>
      <x:c r="M300" s="31" t="n">
        <x:v>46157</x:v>
      </x:c>
      <x:c r="N300" s="31" t="n">
        <x:v>46159</x:v>
      </x:c>
      <x:c r="O300" s="31" t="n">
        <x:v>46157</x:v>
      </x:c>
      <x:c r="P300" s="31" t="n">
        <x:v>46161</x:v>
      </x:c>
      <x:c r="Q300" s="31" t="inlineStr">
        <x:is>
          <x:t xml:space="preserve">Завершено</x:t>
        </x:is>
      </x:c>
      <x:c r="R300" s="31" t="inlineStr">
        <x:is>
          <x:t xml:space="preserve">Нет</x:t>
        </x:is>
      </x:c>
      <x:c r="S300" s="31" t="inlineStr">
        <x:is>
          <x:t xml:space="preserve">Нет</x:t>
        </x:is>
      </x:c>
    </x:row>
    <x:row r="301">
      <x:c r="A301" s="31" t="inlineStr">
        <x:is>
          <x:t xml:space="preserve">ОП-000300</x:t>
        </x:is>
      </x:c>
      <x:c r="B301" s="31" t="inlineStr">
        <x:is>
          <x:t xml:space="preserve">ПЗ-00034</x:t>
        </x:is>
      </x:c>
      <x:c r="C301" s="31" t="inlineStr">
        <x:is>
          <x:t xml:space="preserve">ЗК-1018</x:t>
        </x:is>
      </x:c>
      <x:c r="D301" s="31" t="inlineStr">
        <x:is>
          <x:t xml:space="preserve">ПОЗ-0018-2</x:t>
        </x:is>
      </x:c>
      <x:c r="E301" s="31" t="inlineStr">
        <x:is>
          <x:t xml:space="preserve">ИЗД-026</x:t>
        </x:is>
      </x:c>
      <x:c r="F301" s="31" t="n">
        <x:v>70</x:v>
      </x:c>
      <x:c r="G301" s="31" t="inlineStr">
        <x:is>
          <x:t xml:space="preserve">Приемочные испытания</x:t>
        </x:is>
      </x:c>
      <x:c r="H301" s="31" t="inlineStr">
        <x:is>
          <x:t xml:space="preserve">ОТК</x:t>
        </x:is>
      </x:c>
      <x:c r="I301" s="31" t="inlineStr">
        <x:is>
          <x:t xml:space="preserve">ОБ-024</x:t>
        </x:is>
      </x:c>
      <x:c r="J301" s="31" t="inlineStr">
        <x:is>
          <x:t xml:space="preserve">СОТР-096</x:t>
        </x:is>
      </x:c>
      <x:c r="K301" s="31" t="n">
        <x:v>8.300000000000001</x:v>
      </x:c>
      <x:c r="L301" s="31" t="n">
        <x:v>7.3</x:v>
      </x:c>
      <x:c r="M301" s="31" t="n">
        <x:v>46159</x:v>
      </x:c>
      <x:c r="N301" s="31" t="n">
        <x:v>46160</x:v>
      </x:c>
      <x:c r="O301" s="31" t="n">
        <x:v>46159</x:v>
      </x:c>
      <x:c r="P301" s="31" t="n">
        <x:v>46162</x:v>
      </x:c>
      <x:c r="Q301" s="31" t="inlineStr">
        <x:is>
          <x:t xml:space="preserve">Завершено</x:t>
        </x:is>
      </x:c>
      <x:c r="R301" s="31" t="inlineStr">
        <x:is>
          <x:t xml:space="preserve">Нет</x:t>
        </x:is>
      </x:c>
      <x:c r="S301" s="31" t="inlineStr">
        <x:is>
          <x:t xml:space="preserve">Нет</x:t>
        </x:is>
      </x:c>
    </x:row>
    <x:row r="302">
      <x:c r="A302" s="31" t="inlineStr">
        <x:is>
          <x:t xml:space="preserve">ОП-000301</x:t>
        </x:is>
      </x:c>
      <x:c r="B302" s="31" t="inlineStr">
        <x:is>
          <x:t xml:space="preserve">ПЗ-00034</x:t>
        </x:is>
      </x:c>
      <x:c r="C302" s="31" t="inlineStr">
        <x:is>
          <x:t xml:space="preserve">ЗК-1018</x:t>
        </x:is>
      </x:c>
      <x:c r="D302" s="31" t="inlineStr">
        <x:is>
          <x:t xml:space="preserve">ПОЗ-0018-2</x:t>
        </x:is>
      </x:c>
      <x:c r="E302" s="31" t="inlineStr">
        <x:is>
          <x:t xml:space="preserve">ИЗД-026</x:t>
        </x:is>
      </x:c>
      <x:c r="F302" s="31" t="n">
        <x:v>80</x:v>
      </x:c>
      <x:c r="G302" s="31" t="inlineStr">
        <x:is>
          <x:t xml:space="preserve">ОТК</x:t>
        </x:is>
      </x:c>
      <x:c r="H302" s="31" t="inlineStr">
        <x:is>
          <x:t xml:space="preserve">ОТК</x:t>
        </x:is>
      </x:c>
      <x:c r="I302" s="31" t="inlineStr">
        <x:is>
          <x:t xml:space="preserve">ОБ-007</x:t>
        </x:is>
      </x:c>
      <x:c r="J302" s="31" t="inlineStr">
        <x:is>
          <x:t xml:space="preserve">СОТР-100</x:t>
        </x:is>
      </x:c>
      <x:c r="K302" s="31" t="n">
        <x:v>4.7</x:v>
      </x:c>
      <x:c r="L302" s="31" t="n">
        <x:v>6.1</x:v>
      </x:c>
      <x:c r="M302" s="31" t="n">
        <x:v>46160</x:v>
      </x:c>
      <x:c r="N302" s="31" t="n">
        <x:v>46161</x:v>
      </x:c>
      <x:c r="O302" s="31" t="n">
        <x:v>46160</x:v>
      </x:c>
      <x:c r="P302" s="31" t="n">
        <x:v>46161</x:v>
      </x:c>
      <x:c r="Q302" s="31" t="inlineStr">
        <x:is>
          <x:t xml:space="preserve">Завершено</x:t>
        </x:is>
      </x:c>
      <x:c r="R302" s="31" t="inlineStr">
        <x:is>
          <x:t xml:space="preserve">Нет</x:t>
        </x:is>
      </x:c>
      <x:c r="S302" s="31" t="inlineStr">
        <x:is>
          <x:t xml:space="preserve">Да</x:t>
        </x:is>
      </x:c>
    </x:row>
    <x:row r="303">
      <x:c r="A303" s="31" t="inlineStr">
        <x:is>
          <x:t xml:space="preserve">ОП-000302</x:t>
        </x:is>
      </x:c>
      <x:c r="B303" s="31" t="inlineStr">
        <x:is>
          <x:t xml:space="preserve">ПЗ-00034</x:t>
        </x:is>
      </x:c>
      <x:c r="C303" s="31" t="inlineStr">
        <x:is>
          <x:t xml:space="preserve">ЗК-1018</x:t>
        </x:is>
      </x:c>
      <x:c r="D303" s="31" t="inlineStr">
        <x:is>
          <x:t xml:space="preserve">ПОЗ-0018-2</x:t>
        </x:is>
      </x:c>
      <x:c r="E303" s="31" t="inlineStr">
        <x:is>
          <x:t xml:space="preserve">ИЗД-026</x:t>
        </x:is>
      </x:c>
      <x:c r="F303" s="31" t="n">
        <x:v>90</x:v>
      </x:c>
      <x:c r="G303" s="31" t="inlineStr">
        <x:is>
          <x:t xml:space="preserve">Упаковка</x:t>
        </x:is>
      </x:c>
      <x:c r="H303" s="31" t="inlineStr">
        <x:is>
          <x:t xml:space="preserve">Логистика</x:t>
        </x:is>
      </x:c>
      <x:c r="I303" s="31" t="n"/>
      <x:c r="J303" s="31" t="inlineStr">
        <x:is>
          <x:t xml:space="preserve">СОТР-070</x:t>
        </x:is>
      </x:c>
      <x:c r="K303" s="31" t="n">
        <x:v>17.9</x:v>
      </x:c>
      <x:c r="L303" s="31" t="n">
        <x:v>21.3</x:v>
      </x:c>
      <x:c r="M303" s="31" t="n">
        <x:v>46161</x:v>
      </x:c>
      <x:c r="N303" s="31" t="n">
        <x:v>46163</x:v>
      </x:c>
      <x:c r="O303" s="31" t="n">
        <x:v>46161</x:v>
      </x:c>
      <x:c r="P303" s="31" t="n">
        <x:v>46163</x:v>
      </x:c>
      <x:c r="Q303" s="31" t="inlineStr">
        <x:is>
          <x:t xml:space="preserve">Завершено</x:t>
        </x:is>
      </x:c>
      <x:c r="R303" s="31" t="inlineStr">
        <x:is>
          <x:t xml:space="preserve">Нет</x:t>
        </x:is>
      </x:c>
      <x:c r="S303" s="31" t="inlineStr">
        <x:is>
          <x:t xml:space="preserve">Нет</x:t>
        </x:is>
      </x:c>
    </x:row>
    <x:row r="304">
      <x:c r="A304" s="31" t="inlineStr">
        <x:is>
          <x:t xml:space="preserve">ОП-000303</x:t>
        </x:is>
      </x:c>
      <x:c r="B304" s="31" t="inlineStr">
        <x:is>
          <x:t xml:space="preserve">ПЗ-00035</x:t>
        </x:is>
      </x:c>
      <x:c r="C304" s="31" t="inlineStr">
        <x:is>
          <x:t xml:space="preserve">ЗК-1018</x:t>
        </x:is>
      </x:c>
      <x:c r="D304" s="31" t="inlineStr">
        <x:is>
          <x:t xml:space="preserve">ПОЗ-0018-3</x:t>
        </x:is>
      </x:c>
      <x:c r="E304" s="31" t="inlineStr">
        <x:is>
          <x:t xml:space="preserve">ИЗД-001</x:t>
        </x:is>
      </x:c>
      <x:c r="F304" s="31" t="n">
        <x:v>10</x:v>
      </x:c>
      <x:c r="G304" s="31" t="inlineStr">
        <x:is>
          <x:t xml:space="preserve">Комплектация</x:t>
        </x:is>
      </x:c>
      <x:c r="H304" s="31" t="inlineStr">
        <x:is>
          <x:t xml:space="preserve">Склад</x:t>
        </x:is>
      </x:c>
      <x:c r="I304" s="31" t="inlineStr">
        <x:is>
          <x:t xml:space="preserve">ОБ-011</x:t>
        </x:is>
      </x:c>
      <x:c r="J304" s="31" t="inlineStr">
        <x:is>
          <x:t xml:space="preserve">СОТР-033</x:t>
        </x:is>
      </x:c>
      <x:c r="K304" s="31" t="n">
        <x:v>50.4</x:v>
      </x:c>
      <x:c r="L304" s="31" t="n">
        <x:v>51.8</x:v>
      </x:c>
      <x:c r="M304" s="31" t="n">
        <x:v>46151</x:v>
      </x:c>
      <x:c r="N304" s="31" t="n">
        <x:v>46156</x:v>
      </x:c>
      <x:c r="O304" s="31" t="n">
        <x:v>46151</x:v>
      </x:c>
      <x:c r="P304" s="31" t="n">
        <x:v>46156</x:v>
      </x:c>
      <x:c r="Q304" s="31" t="inlineStr">
        <x:is>
          <x:t xml:space="preserve">Завершено</x:t>
        </x:is>
      </x:c>
      <x:c r="R304" s="31" t="inlineStr">
        <x:is>
          <x:t xml:space="preserve">Нет</x:t>
        </x:is>
      </x:c>
      <x:c r="S304" s="31" t="inlineStr">
        <x:is>
          <x:t xml:space="preserve">Нет</x:t>
        </x:is>
      </x:c>
    </x:row>
    <x:row r="305">
      <x:c r="A305" s="31" t="inlineStr">
        <x:is>
          <x:t xml:space="preserve">ОП-000304</x:t>
        </x:is>
      </x:c>
      <x:c r="B305" s="31" t="inlineStr">
        <x:is>
          <x:t xml:space="preserve">ПЗ-00035</x:t>
        </x:is>
      </x:c>
      <x:c r="C305" s="31" t="inlineStr">
        <x:is>
          <x:t xml:space="preserve">ЗК-1018</x:t>
        </x:is>
      </x:c>
      <x:c r="D305" s="31" t="inlineStr">
        <x:is>
          <x:t xml:space="preserve">ПОЗ-0018-3</x:t>
        </x:is>
      </x:c>
      <x:c r="E305" s="31" t="inlineStr">
        <x:is>
          <x:t xml:space="preserve">ИЗД-001</x:t>
        </x:is>
      </x:c>
      <x:c r="F305" s="31" t="n">
        <x:v>20</x:v>
      </x:c>
      <x:c r="G305" s="31" t="inlineStr">
        <x:is>
          <x:t xml:space="preserve">Входной контроль</x:t>
        </x:is>
      </x:c>
      <x:c r="H305" s="31" t="inlineStr">
        <x:is>
          <x:t xml:space="preserve">ОТК</x:t>
        </x:is>
      </x:c>
      <x:c r="I305" s="31" t="inlineStr">
        <x:is>
          <x:t xml:space="preserve">ОБ-032</x:t>
        </x:is>
      </x:c>
      <x:c r="J305" s="31" t="inlineStr">
        <x:is>
          <x:t xml:space="preserve">СОТР-100</x:t>
        </x:is>
      </x:c>
      <x:c r="K305" s="31" t="n">
        <x:v>80.40000000000001</x:v>
      </x:c>
      <x:c r="L305" s="31" t="n">
        <x:v>79.59999999999999</x:v>
      </x:c>
      <x:c r="M305" s="31" t="n">
        <x:v>46156</x:v>
      </x:c>
      <x:c r="N305" s="31" t="n">
        <x:v>46163</x:v>
      </x:c>
      <x:c r="O305" s="31" t="n">
        <x:v>46156</x:v>
      </x:c>
      <x:c r="P305" s="31" t="n">
        <x:v>46165</x:v>
      </x:c>
      <x:c r="Q305" s="31" t="inlineStr">
        <x:is>
          <x:t xml:space="preserve">Завершено</x:t>
        </x:is>
      </x:c>
      <x:c r="R305" s="31" t="inlineStr">
        <x:is>
          <x:t xml:space="preserve">Нет</x:t>
        </x:is>
      </x:c>
      <x:c r="S305" s="31" t="inlineStr">
        <x:is>
          <x:t xml:space="preserve">Нет</x:t>
        </x:is>
      </x:c>
    </x:row>
    <x:row r="306">
      <x:c r="A306" s="31" t="inlineStr">
        <x:is>
          <x:t xml:space="preserve">ОП-000305</x:t>
        </x:is>
      </x:c>
      <x:c r="B306" s="31" t="inlineStr">
        <x:is>
          <x:t xml:space="preserve">ПЗ-00035</x:t>
        </x:is>
      </x:c>
      <x:c r="C306" s="31" t="inlineStr">
        <x:is>
          <x:t xml:space="preserve">ЗК-1018</x:t>
        </x:is>
      </x:c>
      <x:c r="D306" s="31" t="inlineStr">
        <x:is>
          <x:t xml:space="preserve">ПОЗ-0018-3</x:t>
        </x:is>
      </x:c>
      <x:c r="E306" s="31" t="inlineStr">
        <x:is>
          <x:t xml:space="preserve">ИЗД-001</x:t>
        </x:is>
      </x:c>
      <x:c r="F306" s="31" t="n">
        <x:v>30</x:v>
      </x:c>
      <x:c r="G306" s="31" t="inlineStr">
        <x:is>
          <x:t xml:space="preserve">Упаковка</x:t>
        </x:is>
      </x:c>
      <x:c r="H306" s="31" t="inlineStr">
        <x:is>
          <x:t xml:space="preserve">Логистика</x:t>
        </x:is>
      </x:c>
      <x:c r="I306" s="31" t="n"/>
      <x:c r="J306" s="31" t="inlineStr">
        <x:is>
          <x:t xml:space="preserve">СОТР-103</x:t>
        </x:is>
      </x:c>
      <x:c r="K306" s="31" t="n">
        <x:v>9.6</x:v>
      </x:c>
      <x:c r="L306" s="31" t="n">
        <x:v>8.6</x:v>
      </x:c>
      <x:c r="M306" s="31" t="n">
        <x:v>46163</x:v>
      </x:c>
      <x:c r="N306" s="31" t="n">
        <x:v>46164</x:v>
      </x:c>
      <x:c r="O306" s="31" t="n">
        <x:v>46163</x:v>
      </x:c>
      <x:c r="P306" s="31" t="n">
        <x:v>46166</x:v>
      </x:c>
      <x:c r="Q306" s="31" t="inlineStr">
        <x:is>
          <x:t xml:space="preserve">Завершено</x:t>
        </x:is>
      </x:c>
      <x:c r="R306" s="31" t="inlineStr">
        <x:is>
          <x:t xml:space="preserve">Нет</x:t>
        </x:is>
      </x:c>
      <x:c r="S306" s="31" t="inlineStr">
        <x:is>
          <x:t xml:space="preserve">Нет</x:t>
        </x:is>
      </x:c>
    </x:row>
    <x:row r="307">
      <x:c r="A307" s="31" t="inlineStr">
        <x:is>
          <x:t xml:space="preserve">ОП-000306</x:t>
        </x:is>
      </x:c>
      <x:c r="B307" s="31" t="inlineStr">
        <x:is>
          <x:t xml:space="preserve">ПЗ-00035</x:t>
        </x:is>
      </x:c>
      <x:c r="C307" s="31" t="inlineStr">
        <x:is>
          <x:t xml:space="preserve">ЗК-1018</x:t>
        </x:is>
      </x:c>
      <x:c r="D307" s="31" t="inlineStr">
        <x:is>
          <x:t xml:space="preserve">ПОЗ-0018-3</x:t>
        </x:is>
      </x:c>
      <x:c r="E307" s="31" t="inlineStr">
        <x:is>
          <x:t xml:space="preserve">ИЗД-001</x:t>
        </x:is>
      </x:c>
      <x:c r="F307" s="31" t="n">
        <x:v>40</x:v>
      </x:c>
      <x:c r="G307" s="31" t="inlineStr">
        <x:is>
          <x:t xml:space="preserve">ОТК</x:t>
        </x:is>
      </x:c>
      <x:c r="H307" s="31" t="inlineStr">
        <x:is>
          <x:t xml:space="preserve">ОТК</x:t>
        </x:is>
      </x:c>
      <x:c r="I307" s="31" t="inlineStr">
        <x:is>
          <x:t xml:space="preserve">ОБ-006</x:t>
        </x:is>
      </x:c>
      <x:c r="J307" s="31" t="inlineStr">
        <x:is>
          <x:t xml:space="preserve">СОТР-099</x:t>
        </x:is>
      </x:c>
      <x:c r="K307" s="31" t="n">
        <x:v>30</x:v>
      </x:c>
      <x:c r="L307" s="31" t="n">
        <x:v>28.3</x:v>
      </x:c>
      <x:c r="M307" s="31" t="n">
        <x:v>46164</x:v>
      </x:c>
      <x:c r="N307" s="31" t="n">
        <x:v>46167</x:v>
      </x:c>
      <x:c r="O307" s="31" t="n">
        <x:v>46164</x:v>
      </x:c>
      <x:c r="P307" s="31" t="n">
        <x:v>46168</x:v>
      </x:c>
      <x:c r="Q307" s="31" t="inlineStr">
        <x:is>
          <x:t xml:space="preserve">Завершено</x:t>
        </x:is>
      </x:c>
      <x:c r="R307" s="31" t="inlineStr">
        <x:is>
          <x:t xml:space="preserve">Ожидание ОТК</x:t>
        </x:is>
      </x:c>
      <x:c r="S307" s="31" t="inlineStr">
        <x:is>
          <x:t xml:space="preserve">Нет</x:t>
        </x:is>
      </x:c>
    </x:row>
    <x:row r="308">
      <x:c r="A308" s="31" t="inlineStr">
        <x:is>
          <x:t xml:space="preserve">ОП-000307</x:t>
        </x:is>
      </x:c>
      <x:c r="B308" s="31" t="inlineStr">
        <x:is>
          <x:t xml:space="preserve">ПЗ-00036</x:t>
        </x:is>
      </x:c>
      <x:c r="C308" s="31" t="inlineStr">
        <x:is>
          <x:t xml:space="preserve">ЗК-1018</x:t>
        </x:is>
      </x:c>
      <x:c r="D308" s="31" t="inlineStr">
        <x:is>
          <x:t xml:space="preserve">ПОЗ-0018-4</x:t>
        </x:is>
      </x:c>
      <x:c r="E308" s="31" t="inlineStr">
        <x:is>
          <x:t xml:space="preserve">ИЗД-024</x:t>
        </x:is>
      </x:c>
      <x:c r="F308" s="31" t="n">
        <x:v>10</x:v>
      </x:c>
      <x:c r="G308" s="31" t="inlineStr">
        <x:is>
          <x:t xml:space="preserve">КД</x:t>
        </x:is>
      </x:c>
      <x:c r="H308" s="31" t="inlineStr">
        <x:is>
          <x:t xml:space="preserve">Инженерный отдел</x:t>
        </x:is>
      </x:c>
      <x:c r="I308" s="31" t="n"/>
      <x:c r="J308" s="31" t="inlineStr">
        <x:is>
          <x:t xml:space="preserve">СОТР-019</x:t>
        </x:is>
      </x:c>
      <x:c r="K308" s="31" t="n">
        <x:v>10.5</x:v>
      </x:c>
      <x:c r="L308" s="31" t="n"/>
      <x:c r="M308" s="31" t="n">
        <x:v>46155</x:v>
      </x:c>
      <x:c r="N308" s="31" t="n">
        <x:v>46156</x:v>
      </x:c>
      <x:c r="O308" s="31" t="n"/>
      <x:c r="P308" s="31" t="n"/>
      <x:c r="Q308" s="31" t="inlineStr">
        <x:is>
          <x:t xml:space="preserve">Запланировано</x:t>
        </x:is>
      </x:c>
      <x:c r="R308" s="31" t="inlineStr">
        <x:is>
          <x:t xml:space="preserve">Оборудование</x:t>
        </x:is>
      </x:c>
      <x:c r="S308" s="31" t="inlineStr">
        <x:is>
          <x:t xml:space="preserve">Нет</x:t>
        </x:is>
      </x:c>
    </x:row>
    <x:row r="309">
      <x:c r="A309" s="31" t="inlineStr">
        <x:is>
          <x:t xml:space="preserve">ОП-000308</x:t>
        </x:is>
      </x:c>
      <x:c r="B309" s="31" t="inlineStr">
        <x:is>
          <x:t xml:space="preserve">ПЗ-00036</x:t>
        </x:is>
      </x:c>
      <x:c r="C309" s="31" t="inlineStr">
        <x:is>
          <x:t xml:space="preserve">ЗК-1018</x:t>
        </x:is>
      </x:c>
      <x:c r="D309" s="31" t="inlineStr">
        <x:is>
          <x:t xml:space="preserve">ПОЗ-0018-4</x:t>
        </x:is>
      </x:c>
      <x:c r="E309" s="31" t="inlineStr">
        <x:is>
          <x:t xml:space="preserve">ИЗД-024</x:t>
        </x:is>
      </x:c>
      <x:c r="F309" s="31" t="n">
        <x:v>20</x:v>
      </x:c>
      <x:c r="G309" s="31" t="inlineStr">
        <x:is>
          <x:t xml:space="preserve">Резерв материалов</x:t>
        </x:is>
      </x:c>
      <x:c r="H309" s="31" t="inlineStr">
        <x:is>
          <x:t xml:space="preserve">Склад</x:t>
        </x:is>
      </x:c>
      <x:c r="I309" s="31" t="inlineStr">
        <x:is>
          <x:t xml:space="preserve">ОБ-008</x:t>
        </x:is>
      </x:c>
      <x:c r="J309" s="31" t="inlineStr">
        <x:is>
          <x:t xml:space="preserve">СОТР-033</x:t>
        </x:is>
      </x:c>
      <x:c r="K309" s="31" t="n">
        <x:v>1.7</x:v>
      </x:c>
      <x:c r="L309" s="31" t="n"/>
      <x:c r="M309" s="31" t="n">
        <x:v>46156</x:v>
      </x:c>
      <x:c r="N309" s="31" t="n">
        <x:v>46157</x:v>
      </x:c>
      <x:c r="O309" s="31" t="n"/>
      <x:c r="P309" s="31" t="n"/>
      <x:c r="Q309" s="31" t="inlineStr">
        <x:is>
          <x:t xml:space="preserve">Блокировано</x:t>
        </x:is>
      </x:c>
      <x:c r="R309" s="31" t="inlineStr">
        <x:is>
          <x:t xml:space="preserve">Нет</x:t>
        </x:is>
      </x:c>
      <x:c r="S309" s="31" t="inlineStr">
        <x:is>
          <x:t xml:space="preserve">Нет</x:t>
        </x:is>
      </x:c>
    </x:row>
    <x:row r="310">
      <x:c r="A310" s="31" t="inlineStr">
        <x:is>
          <x:t xml:space="preserve">ОП-000309</x:t>
        </x:is>
      </x:c>
      <x:c r="B310" s="31" t="inlineStr">
        <x:is>
          <x:t xml:space="preserve">ПЗ-00036</x:t>
        </x:is>
      </x:c>
      <x:c r="C310" s="31" t="inlineStr">
        <x:is>
          <x:t xml:space="preserve">ЗК-1018</x:t>
        </x:is>
      </x:c>
      <x:c r="D310" s="31" t="inlineStr">
        <x:is>
          <x:t xml:space="preserve">ПОЗ-0018-4</x:t>
        </x:is>
      </x:c>
      <x:c r="E310" s="31" t="inlineStr">
        <x:is>
          <x:t xml:space="preserve">ИЗД-024</x:t>
        </x:is>
      </x:c>
      <x:c r="F310" s="31" t="n">
        <x:v>30</x:v>
      </x:c>
      <x:c r="G310" s="31" t="inlineStr">
        <x:is>
          <x:t xml:space="preserve">Сварка рамы</x:t>
        </x:is>
      </x:c>
      <x:c r="H310" s="31" t="inlineStr">
        <x:is>
          <x:t xml:space="preserve">Сварка</x:t>
        </x:is>
      </x:c>
      <x:c r="I310" s="31" t="inlineStr">
        <x:is>
          <x:t xml:space="preserve">ОБ-021</x:t>
        </x:is>
      </x:c>
      <x:c r="J310" s="31" t="inlineStr">
        <x:is>
          <x:t xml:space="preserve">СОТР-058</x:t>
        </x:is>
      </x:c>
      <x:c r="K310" s="31" t="n">
        <x:v>2.9</x:v>
      </x:c>
      <x:c r="L310" s="31" t="n"/>
      <x:c r="M310" s="31" t="n">
        <x:v>46157</x:v>
      </x:c>
      <x:c r="N310" s="31" t="n">
        <x:v>46158</x:v>
      </x:c>
      <x:c r="O310" s="31" t="n"/>
      <x:c r="P310" s="31" t="n"/>
      <x:c r="Q310" s="31" t="inlineStr">
        <x:is>
          <x:t xml:space="preserve">Запланировано</x:t>
        </x:is>
      </x:c>
      <x:c r="R310" s="31" t="inlineStr">
        <x:is>
          <x:t xml:space="preserve">Нет</x:t>
        </x:is>
      </x:c>
      <x:c r="S310" s="31" t="inlineStr">
        <x:is>
          <x:t xml:space="preserve">Да</x:t>
        </x:is>
      </x:c>
    </x:row>
    <x:row r="311">
      <x:c r="A311" s="31" t="inlineStr">
        <x:is>
          <x:t xml:space="preserve">ОП-000310</x:t>
        </x:is>
      </x:c>
      <x:c r="B311" s="31" t="inlineStr">
        <x:is>
          <x:t xml:space="preserve">ПЗ-00036</x:t>
        </x:is>
      </x:c>
      <x:c r="C311" s="31" t="inlineStr">
        <x:is>
          <x:t xml:space="preserve">ЗК-1018</x:t>
        </x:is>
      </x:c>
      <x:c r="D311" s="31" t="inlineStr">
        <x:is>
          <x:t xml:space="preserve">ПОЗ-0018-4</x:t>
        </x:is>
      </x:c>
      <x:c r="E311" s="31" t="inlineStr">
        <x:is>
          <x:t xml:space="preserve">ИЗД-024</x:t>
        </x:is>
      </x:c>
      <x:c r="F311" s="31" t="n">
        <x:v>40</x:v>
      </x:c>
      <x:c r="G311" s="31" t="inlineStr">
        <x:is>
          <x:t xml:space="preserve">Сборка</x:t>
        </x:is>
      </x:c>
      <x:c r="H311" s="31" t="inlineStr">
        <x:is>
          <x:t xml:space="preserve">Сборка</x:t>
        </x:is>
      </x:c>
      <x:c r="I311" s="31" t="inlineStr">
        <x:is>
          <x:t xml:space="preserve">ОБ-005</x:t>
        </x:is>
      </x:c>
      <x:c r="J311" s="31" t="inlineStr">
        <x:is>
          <x:t xml:space="preserve">СОТР-090</x:t>
        </x:is>
      </x:c>
      <x:c r="K311" s="31" t="n">
        <x:v>2.1</x:v>
      </x:c>
      <x:c r="L311" s="31" t="n"/>
      <x:c r="M311" s="31" t="n">
        <x:v>46158</x:v>
      </x:c>
      <x:c r="N311" s="31" t="n">
        <x:v>46159</x:v>
      </x:c>
      <x:c r="O311" s="31" t="n"/>
      <x:c r="P311" s="31" t="n"/>
      <x:c r="Q311" s="31" t="inlineStr">
        <x:is>
          <x:t xml:space="preserve">Запланировано</x:t>
        </x:is>
      </x:c>
      <x:c r="R311" s="31" t="inlineStr">
        <x:is>
          <x:t xml:space="preserve">Нет</x:t>
        </x:is>
      </x:c>
      <x:c r="S311" s="31" t="inlineStr">
        <x:is>
          <x:t xml:space="preserve">Нет</x:t>
        </x:is>
      </x:c>
    </x:row>
    <x:row r="312">
      <x:c r="A312" s="31" t="inlineStr">
        <x:is>
          <x:t xml:space="preserve">ОП-000311</x:t>
        </x:is>
      </x:c>
      <x:c r="B312" s="31" t="inlineStr">
        <x:is>
          <x:t xml:space="preserve">ПЗ-00036</x:t>
        </x:is>
      </x:c>
      <x:c r="C312" s="31" t="inlineStr">
        <x:is>
          <x:t xml:space="preserve">ЗК-1018</x:t>
        </x:is>
      </x:c>
      <x:c r="D312" s="31" t="inlineStr">
        <x:is>
          <x:t xml:space="preserve">ПОЗ-0018-4</x:t>
        </x:is>
      </x:c>
      <x:c r="E312" s="31" t="inlineStr">
        <x:is>
          <x:t xml:space="preserve">ИЗД-024</x:t>
        </x:is>
      </x:c>
      <x:c r="F312" s="31" t="n">
        <x:v>50</x:v>
      </x:c>
      <x:c r="G312" s="31" t="inlineStr">
        <x:is>
          <x:t xml:space="preserve">Обвязка труб</x:t>
        </x:is>
      </x:c>
      <x:c r="H312" s="31" t="inlineStr">
        <x:is>
          <x:t xml:space="preserve">Сборка</x:t>
        </x:is>
      </x:c>
      <x:c r="I312" s="31" t="inlineStr">
        <x:is>
          <x:t xml:space="preserve">ОБ-034</x:t>
        </x:is>
      </x:c>
      <x:c r="J312" s="31" t="inlineStr">
        <x:is>
          <x:t xml:space="preserve">СОТР-079</x:t>
        </x:is>
      </x:c>
      <x:c r="K312" s="31" t="n">
        <x:v>9.699999999999999</x:v>
      </x:c>
      <x:c r="L312" s="31" t="n"/>
      <x:c r="M312" s="31" t="n">
        <x:v>46159</x:v>
      </x:c>
      <x:c r="N312" s="31" t="n">
        <x:v>46160</x:v>
      </x:c>
      <x:c r="O312" s="31" t="n"/>
      <x:c r="P312" s="31" t="n"/>
      <x:c r="Q312" s="31" t="inlineStr">
        <x:is>
          <x:t xml:space="preserve">Запланировано</x:t>
        </x:is>
      </x:c>
      <x:c r="R312" s="31" t="inlineStr">
        <x:is>
          <x:t xml:space="preserve">Нет</x:t>
        </x:is>
      </x:c>
      <x:c r="S312" s="31" t="inlineStr">
        <x:is>
          <x:t xml:space="preserve">Нет</x:t>
        </x:is>
      </x:c>
    </x:row>
    <x:row r="313">
      <x:c r="A313" s="31" t="inlineStr">
        <x:is>
          <x:t xml:space="preserve">ОП-000312</x:t>
        </x:is>
      </x:c>
      <x:c r="B313" s="31" t="inlineStr">
        <x:is>
          <x:t xml:space="preserve">ПЗ-00036</x:t>
        </x:is>
      </x:c>
      <x:c r="C313" s="31" t="inlineStr">
        <x:is>
          <x:t xml:space="preserve">ЗК-1018</x:t>
        </x:is>
      </x:c>
      <x:c r="D313" s="31" t="inlineStr">
        <x:is>
          <x:t xml:space="preserve">ПОЗ-0018-4</x:t>
        </x:is>
      </x:c>
      <x:c r="E313" s="31" t="inlineStr">
        <x:is>
          <x:t xml:space="preserve">ИЗД-024</x:t>
        </x:is>
      </x:c>
      <x:c r="F313" s="31" t="n">
        <x:v>60</x:v>
      </x:c>
      <x:c r="G313" s="31" t="inlineStr">
        <x:is>
          <x:t xml:space="preserve">Электромонтаж</x:t>
        </x:is>
      </x:c>
      <x:c r="H313" s="31" t="inlineStr">
        <x:is>
          <x:t xml:space="preserve">Сборка</x:t>
        </x:is>
      </x:c>
      <x:c r="I313" s="31" t="inlineStr">
        <x:is>
          <x:t xml:space="preserve">ОБ-014</x:t>
        </x:is>
      </x:c>
      <x:c r="J313" s="31" t="inlineStr">
        <x:is>
          <x:t xml:space="preserve">СОТР-079</x:t>
        </x:is>
      </x:c>
      <x:c r="K313" s="31" t="n">
        <x:v>3.6</x:v>
      </x:c>
      <x:c r="L313" s="31" t="n"/>
      <x:c r="M313" s="31" t="n">
        <x:v>46160</x:v>
      </x:c>
      <x:c r="N313" s="31" t="n">
        <x:v>46161</x:v>
      </x:c>
      <x:c r="O313" s="31" t="n"/>
      <x:c r="P313" s="31" t="n"/>
      <x:c r="Q313" s="31" t="inlineStr">
        <x:is>
          <x:t xml:space="preserve">Запланировано</x:t>
        </x:is>
      </x:c>
      <x:c r="R313" s="31" t="inlineStr">
        <x:is>
          <x:t xml:space="preserve">Оборудование</x:t>
        </x:is>
      </x:c>
      <x:c r="S313" s="31" t="inlineStr">
        <x:is>
          <x:t xml:space="preserve">Нет</x:t>
        </x:is>
      </x:c>
    </x:row>
    <x:row r="314">
      <x:c r="A314" s="31" t="inlineStr">
        <x:is>
          <x:t xml:space="preserve">ОП-000313</x:t>
        </x:is>
      </x:c>
      <x:c r="B314" s="31" t="inlineStr">
        <x:is>
          <x:t xml:space="preserve">ПЗ-00036</x:t>
        </x:is>
      </x:c>
      <x:c r="C314" s="31" t="inlineStr">
        <x:is>
          <x:t xml:space="preserve">ЗК-1018</x:t>
        </x:is>
      </x:c>
      <x:c r="D314" s="31" t="inlineStr">
        <x:is>
          <x:t xml:space="preserve">ПОЗ-0018-4</x:t>
        </x:is>
      </x:c>
      <x:c r="E314" s="31" t="inlineStr">
        <x:is>
          <x:t xml:space="preserve">ИЗД-024</x:t>
        </x:is>
      </x:c>
      <x:c r="F314" s="31" t="n">
        <x:v>70</x:v>
      </x:c>
      <x:c r="G314" s="31" t="inlineStr">
        <x:is>
          <x:t xml:space="preserve">Гидроиспытания</x:t>
        </x:is>
      </x:c>
      <x:c r="H314" s="31" t="inlineStr">
        <x:is>
          <x:t xml:space="preserve">ОТК</x:t>
        </x:is>
      </x:c>
      <x:c r="I314" s="31" t="inlineStr">
        <x:is>
          <x:t xml:space="preserve">ОБ-022</x:t>
        </x:is>
      </x:c>
      <x:c r="J314" s="31" t="inlineStr">
        <x:is>
          <x:t xml:space="preserve">СОТР-093</x:t>
        </x:is>
      </x:c>
      <x:c r="K314" s="31" t="n">
        <x:v>5.2</x:v>
      </x:c>
      <x:c r="L314" s="31" t="n"/>
      <x:c r="M314" s="31" t="n">
        <x:v>46161</x:v>
      </x:c>
      <x:c r="N314" s="31" t="n">
        <x:v>46162</x:v>
      </x:c>
      <x:c r="O314" s="31" t="n"/>
      <x:c r="P314" s="31" t="n"/>
      <x:c r="Q314" s="31" t="inlineStr">
        <x:is>
          <x:t xml:space="preserve">Запланировано</x:t>
        </x:is>
      </x:c>
      <x:c r="R314" s="31" t="inlineStr">
        <x:is>
          <x:t xml:space="preserve">Ожидание ОТК</x:t>
        </x:is>
      </x:c>
      <x:c r="S314" s="31" t="inlineStr">
        <x:is>
          <x:t xml:space="preserve">Да</x:t>
        </x:is>
      </x:c>
    </x:row>
    <x:row r="315">
      <x:c r="A315" s="31" t="inlineStr">
        <x:is>
          <x:t xml:space="preserve">ОП-000314</x:t>
        </x:is>
      </x:c>
      <x:c r="B315" s="31" t="inlineStr">
        <x:is>
          <x:t xml:space="preserve">ПЗ-00036</x:t>
        </x:is>
      </x:c>
      <x:c r="C315" s="31" t="inlineStr">
        <x:is>
          <x:t xml:space="preserve">ЗК-1018</x:t>
        </x:is>
      </x:c>
      <x:c r="D315" s="31" t="inlineStr">
        <x:is>
          <x:t xml:space="preserve">ПОЗ-0018-4</x:t>
        </x:is>
      </x:c>
      <x:c r="E315" s="31" t="inlineStr">
        <x:is>
          <x:t xml:space="preserve">ИЗД-024</x:t>
        </x:is>
      </x:c>
      <x:c r="F315" s="31" t="n">
        <x:v>80</x:v>
      </x:c>
      <x:c r="G315" s="31" t="inlineStr">
        <x:is>
          <x:t xml:space="preserve">ОТК</x:t>
        </x:is>
      </x:c>
      <x:c r="H315" s="31" t="inlineStr">
        <x:is>
          <x:t xml:space="preserve">ОТК</x:t>
        </x:is>
      </x:c>
      <x:c r="I315" s="31" t="inlineStr">
        <x:is>
          <x:t xml:space="preserve">ОБ-024</x:t>
        </x:is>
      </x:c>
      <x:c r="J315" s="31" t="inlineStr">
        <x:is>
          <x:t xml:space="preserve">СОТР-097</x:t>
        </x:is>
      </x:c>
      <x:c r="K315" s="31" t="n">
        <x:v>5.7</x:v>
      </x:c>
      <x:c r="L315" s="31" t="n"/>
      <x:c r="M315" s="31" t="n">
        <x:v>46162</x:v>
      </x:c>
      <x:c r="N315" s="31" t="n">
        <x:v>46163</x:v>
      </x:c>
      <x:c r="O315" s="31" t="n"/>
      <x:c r="P315" s="31" t="n"/>
      <x:c r="Q315" s="31" t="inlineStr">
        <x:is>
          <x:t xml:space="preserve">Запланировано</x:t>
        </x:is>
      </x:c>
      <x:c r="R315" s="31" t="inlineStr">
        <x:is>
          <x:t xml:space="preserve">Нет</x:t>
        </x:is>
      </x:c>
      <x:c r="S315" s="31" t="inlineStr">
        <x:is>
          <x:t xml:space="preserve">Нет</x:t>
        </x:is>
      </x:c>
    </x:row>
    <x:row r="316">
      <x:c r="A316" s="31" t="inlineStr">
        <x:is>
          <x:t xml:space="preserve">ОП-000315</x:t>
        </x:is>
      </x:c>
      <x:c r="B316" s="31" t="inlineStr">
        <x:is>
          <x:t xml:space="preserve">ПЗ-00036</x:t>
        </x:is>
      </x:c>
      <x:c r="C316" s="31" t="inlineStr">
        <x:is>
          <x:t xml:space="preserve">ЗК-1018</x:t>
        </x:is>
      </x:c>
      <x:c r="D316" s="31" t="inlineStr">
        <x:is>
          <x:t xml:space="preserve">ПОЗ-0018-4</x:t>
        </x:is>
      </x:c>
      <x:c r="E316" s="31" t="inlineStr">
        <x:is>
          <x:t xml:space="preserve">ИЗД-024</x:t>
        </x:is>
      </x:c>
      <x:c r="F316" s="31" t="n">
        <x:v>90</x:v>
      </x:c>
      <x:c r="G316" s="31" t="inlineStr">
        <x:is>
          <x:t xml:space="preserve">Упаковка</x:t>
        </x:is>
      </x:c>
      <x:c r="H316" s="31" t="inlineStr">
        <x:is>
          <x:t xml:space="preserve">Логистика</x:t>
        </x:is>
      </x:c>
      <x:c r="I316" s="31" t="n"/>
      <x:c r="J316" s="31" t="inlineStr">
        <x:is>
          <x:t xml:space="preserve">СОТР-104</x:t>
        </x:is>
      </x:c>
      <x:c r="K316" s="31" t="n">
        <x:v>8.6</x:v>
      </x:c>
      <x:c r="L316" s="31" t="n"/>
      <x:c r="M316" s="31" t="n">
        <x:v>46163</x:v>
      </x:c>
      <x:c r="N316" s="31" t="n">
        <x:v>46164</x:v>
      </x:c>
      <x:c r="O316" s="31" t="n"/>
      <x:c r="P316" s="31" t="n"/>
      <x:c r="Q316" s="31" t="inlineStr">
        <x:is>
          <x:t xml:space="preserve">Запланировано</x:t>
        </x:is>
      </x:c>
      <x:c r="R316" s="31" t="inlineStr">
        <x:is>
          <x:t xml:space="preserve">Нет</x:t>
        </x:is>
      </x:c>
      <x:c r="S316" s="31" t="inlineStr">
        <x:is>
          <x:t xml:space="preserve">Да</x:t>
        </x:is>
      </x:c>
    </x:row>
    <x:row r="317">
      <x:c r="A317" s="31" t="inlineStr">
        <x:is>
          <x:t xml:space="preserve">ОП-000316</x:t>
        </x:is>
      </x:c>
      <x:c r="B317" s="31" t="inlineStr">
        <x:is>
          <x:t xml:space="preserve">ПЗ-00037</x:t>
        </x:is>
      </x:c>
      <x:c r="C317" s="31" t="inlineStr">
        <x:is>
          <x:t xml:space="preserve">ЗК-1019</x:t>
        </x:is>
      </x:c>
      <x:c r="D317" s="31" t="inlineStr">
        <x:is>
          <x:t xml:space="preserve">ПОЗ-0019-1</x:t>
        </x:is>
      </x:c>
      <x:c r="E317" s="31" t="inlineStr">
        <x:is>
          <x:t xml:space="preserve">ИЗД-041</x:t>
        </x:is>
      </x:c>
      <x:c r="F317" s="31" t="n">
        <x:v>10</x:v>
      </x:c>
      <x:c r="G317" s="31" t="inlineStr">
        <x:is>
          <x:t xml:space="preserve">КД</x:t>
        </x:is>
      </x:c>
      <x:c r="H317" s="31" t="inlineStr">
        <x:is>
          <x:t xml:space="preserve">Инженерный отдел</x:t>
        </x:is>
      </x:c>
      <x:c r="I317" s="31" t="n"/>
      <x:c r="J317" s="31" t="inlineStr">
        <x:is>
          <x:t xml:space="preserve">СОТР-016</x:t>
        </x:is>
      </x:c>
      <x:c r="K317" s="31" t="n">
        <x:v>37.5</x:v>
      </x:c>
      <x:c r="L317" s="31" t="n">
        <x:v>36.6</x:v>
      </x:c>
      <x:c r="M317" s="31" t="n">
        <x:v>46169</x:v>
      </x:c>
      <x:c r="N317" s="31" t="n">
        <x:v>46173</x:v>
      </x:c>
      <x:c r="O317" s="31" t="n">
        <x:v>46169</x:v>
      </x:c>
      <x:c r="P317" s="31" t="n">
        <x:v>46173</x:v>
      </x:c>
      <x:c r="Q317" s="31" t="inlineStr">
        <x:is>
          <x:t xml:space="preserve">Завершено</x:t>
        </x:is>
      </x:c>
      <x:c r="R317" s="31" t="inlineStr">
        <x:is>
          <x:t xml:space="preserve">Оборудование</x:t>
        </x:is>
      </x:c>
      <x:c r="S317" s="31" t="inlineStr">
        <x:is>
          <x:t xml:space="preserve">Нет</x:t>
        </x:is>
      </x:c>
    </x:row>
    <x:row r="318">
      <x:c r="A318" s="31" t="inlineStr">
        <x:is>
          <x:t xml:space="preserve">ОП-000317</x:t>
        </x:is>
      </x:c>
      <x:c r="B318" s="31" t="inlineStr">
        <x:is>
          <x:t xml:space="preserve">ПЗ-00037</x:t>
        </x:is>
      </x:c>
      <x:c r="C318" s="31" t="inlineStr">
        <x:is>
          <x:t xml:space="preserve">ЗК-1019</x:t>
        </x:is>
      </x:c>
      <x:c r="D318" s="31" t="inlineStr">
        <x:is>
          <x:t xml:space="preserve">ПОЗ-0019-1</x:t>
        </x:is>
      </x:c>
      <x:c r="E318" s="31" t="inlineStr">
        <x:is>
          <x:t xml:space="preserve">ИЗД-041</x:t>
        </x:is>
      </x:c>
      <x:c r="F318" s="31" t="n">
        <x:v>20</x:v>
      </x:c>
      <x:c r="G318" s="31" t="inlineStr">
        <x:is>
          <x:t xml:space="preserve">Резка металла</x:t>
        </x:is>
      </x:c>
      <x:c r="H318" s="31" t="inlineStr">
        <x:is>
          <x:t xml:space="preserve">Сварка</x:t>
        </x:is>
      </x:c>
      <x:c r="I318" s="31" t="inlineStr">
        <x:is>
          <x:t xml:space="preserve">ОБ-003</x:t>
        </x:is>
      </x:c>
      <x:c r="J318" s="31" t="inlineStr">
        <x:is>
          <x:t xml:space="preserve">СОТР-057</x:t>
        </x:is>
      </x:c>
      <x:c r="K318" s="31" t="n">
        <x:v>5.5</x:v>
      </x:c>
      <x:c r="L318" s="31" t="n">
        <x:v>6.6</x:v>
      </x:c>
      <x:c r="M318" s="31" t="n">
        <x:v>46173</x:v>
      </x:c>
      <x:c r="N318" s="31" t="n">
        <x:v>46174</x:v>
      </x:c>
      <x:c r="O318" s="31" t="n">
        <x:v>46173</x:v>
      </x:c>
      <x:c r="P318" s="31" t="n">
        <x:v>46176</x:v>
      </x:c>
      <x:c r="Q318" s="31" t="inlineStr">
        <x:is>
          <x:t xml:space="preserve">Завершено</x:t>
        </x:is>
      </x:c>
      <x:c r="R318" s="31" t="inlineStr">
        <x:is>
          <x:t xml:space="preserve">Нет</x:t>
        </x:is>
      </x:c>
      <x:c r="S318" s="31" t="inlineStr">
        <x:is>
          <x:t xml:space="preserve">Нет</x:t>
        </x:is>
      </x:c>
    </x:row>
    <x:row r="319">
      <x:c r="A319" s="31" t="inlineStr">
        <x:is>
          <x:t xml:space="preserve">ОП-000318</x:t>
        </x:is>
      </x:c>
      <x:c r="B319" s="31" t="inlineStr">
        <x:is>
          <x:t xml:space="preserve">ПЗ-00037</x:t>
        </x:is>
      </x:c>
      <x:c r="C319" s="31" t="inlineStr">
        <x:is>
          <x:t xml:space="preserve">ЗК-1019</x:t>
        </x:is>
      </x:c>
      <x:c r="D319" s="31" t="inlineStr">
        <x:is>
          <x:t xml:space="preserve">ПОЗ-0019-1</x:t>
        </x:is>
      </x:c>
      <x:c r="E319" s="31" t="inlineStr">
        <x:is>
          <x:t xml:space="preserve">ИЗД-041</x:t>
        </x:is>
      </x:c>
      <x:c r="F319" s="31" t="n">
        <x:v>30</x:v>
      </x:c>
      <x:c r="G319" s="31" t="inlineStr">
        <x:is>
          <x:t xml:space="preserve">Сварка рамы</x:t>
        </x:is>
      </x:c>
      <x:c r="H319" s="31" t="inlineStr">
        <x:is>
          <x:t xml:space="preserve">Сварка</x:t>
        </x:is>
      </x:c>
      <x:c r="I319" s="31" t="inlineStr">
        <x:is>
          <x:t xml:space="preserve">ОБ-003</x:t>
        </x:is>
      </x:c>
      <x:c r="J319" s="31" t="inlineStr">
        <x:is>
          <x:t xml:space="preserve">СОТР-064</x:t>
        </x:is>
      </x:c>
      <x:c r="K319" s="31" t="n">
        <x:v>47.5</x:v>
      </x:c>
      <x:c r="L319" s="31" t="n">
        <x:v>42.2</x:v>
      </x:c>
      <x:c r="M319" s="31" t="n">
        <x:v>46174</x:v>
      </x:c>
      <x:c r="N319" s="31" t="n">
        <x:v>46178</x:v>
      </x:c>
      <x:c r="O319" s="31" t="n">
        <x:v>46174</x:v>
      </x:c>
      <x:c r="P319" s="31" t="n">
        <x:v>46178</x:v>
      </x:c>
      <x:c r="Q319" s="31" t="inlineStr">
        <x:is>
          <x:t xml:space="preserve">Завершено</x:t>
        </x:is>
      </x:c>
      <x:c r="R319" s="31" t="inlineStr">
        <x:is>
          <x:t xml:space="preserve">Нет</x:t>
        </x:is>
      </x:c>
      <x:c r="S319" s="31" t="inlineStr">
        <x:is>
          <x:t xml:space="preserve">Нет</x:t>
        </x:is>
      </x:c>
    </x:row>
    <x:row r="320">
      <x:c r="A320" s="31" t="inlineStr">
        <x:is>
          <x:t xml:space="preserve">ОП-000319</x:t>
        </x:is>
      </x:c>
      <x:c r="B320" s="31" t="inlineStr">
        <x:is>
          <x:t xml:space="preserve">ПЗ-00037</x:t>
        </x:is>
      </x:c>
      <x:c r="C320" s="31" t="inlineStr">
        <x:is>
          <x:t xml:space="preserve">ЗК-1019</x:t>
        </x:is>
      </x:c>
      <x:c r="D320" s="31" t="inlineStr">
        <x:is>
          <x:t xml:space="preserve">ПОЗ-0019-1</x:t>
        </x:is>
      </x:c>
      <x:c r="E320" s="31" t="inlineStr">
        <x:is>
          <x:t xml:space="preserve">ИЗД-041</x:t>
        </x:is>
      </x:c>
      <x:c r="F320" s="31" t="n">
        <x:v>40</x:v>
      </x:c>
      <x:c r="G320" s="31" t="inlineStr">
        <x:is>
          <x:t xml:space="preserve">Пескоструй</x:t>
        </x:is>
      </x:c>
      <x:c r="H320" s="31" t="inlineStr">
        <x:is>
          <x:t xml:space="preserve">Сварка</x:t>
        </x:is>
      </x:c>
      <x:c r="I320" s="31" t="inlineStr">
        <x:is>
          <x:t xml:space="preserve">ОБ-004</x:t>
        </x:is>
      </x:c>
      <x:c r="J320" s="31" t="inlineStr">
        <x:is>
          <x:t xml:space="preserve">СОТР-056</x:t>
        </x:is>
      </x:c>
      <x:c r="K320" s="31" t="n">
        <x:v>49.5</x:v>
      </x:c>
      <x:c r="L320" s="31" t="n">
        <x:v>46.7</x:v>
      </x:c>
      <x:c r="M320" s="31" t="n">
        <x:v>46178</x:v>
      </x:c>
      <x:c r="N320" s="31" t="n">
        <x:v>46183</x:v>
      </x:c>
      <x:c r="O320" s="31" t="n">
        <x:v>46178</x:v>
      </x:c>
      <x:c r="P320" s="31" t="n">
        <x:v>46184</x:v>
      </x:c>
      <x:c r="Q320" s="31" t="inlineStr">
        <x:is>
          <x:t xml:space="preserve">Завершено</x:t>
        </x:is>
      </x:c>
      <x:c r="R320" s="31" t="inlineStr">
        <x:is>
          <x:t xml:space="preserve">Нет</x:t>
        </x:is>
      </x:c>
      <x:c r="S320" s="31" t="inlineStr">
        <x:is>
          <x:t xml:space="preserve">Нет</x:t>
        </x:is>
      </x:c>
    </x:row>
    <x:row r="321">
      <x:c r="A321" s="31" t="inlineStr">
        <x:is>
          <x:t xml:space="preserve">ОП-000320</x:t>
        </x:is>
      </x:c>
      <x:c r="B321" s="31" t="inlineStr">
        <x:is>
          <x:t xml:space="preserve">ПЗ-00037</x:t>
        </x:is>
      </x:c>
      <x:c r="C321" s="31" t="inlineStr">
        <x:is>
          <x:t xml:space="preserve">ЗК-1019</x:t>
        </x:is>
      </x:c>
      <x:c r="D321" s="31" t="inlineStr">
        <x:is>
          <x:t xml:space="preserve">ПОЗ-0019-1</x:t>
        </x:is>
      </x:c>
      <x:c r="E321" s="31" t="inlineStr">
        <x:is>
          <x:t xml:space="preserve">ИЗД-041</x:t>
        </x:is>
      </x:c>
      <x:c r="F321" s="31" t="n">
        <x:v>50</x:v>
      </x:c>
      <x:c r="G321" s="31" t="inlineStr">
        <x:is>
          <x:t xml:space="preserve">Покраска</x:t>
        </x:is>
      </x:c>
      <x:c r="H321" s="31" t="inlineStr">
        <x:is>
          <x:t xml:space="preserve">Сварка</x:t>
        </x:is>
      </x:c>
      <x:c r="I321" s="31" t="inlineStr">
        <x:is>
          <x:t xml:space="preserve">ОБ-003</x:t>
        </x:is>
      </x:c>
      <x:c r="J321" s="31" t="inlineStr">
        <x:is>
          <x:t xml:space="preserve">СОТР-069</x:t>
        </x:is>
      </x:c>
      <x:c r="K321" s="31" t="n">
        <x:v>35.5</x:v>
      </x:c>
      <x:c r="L321" s="31" t="n">
        <x:v>40.3</x:v>
      </x:c>
      <x:c r="M321" s="31" t="n">
        <x:v>46183</x:v>
      </x:c>
      <x:c r="N321" s="31" t="n">
        <x:v>46186</x:v>
      </x:c>
      <x:c r="O321" s="31" t="n">
        <x:v>46183</x:v>
      </x:c>
      <x:c r="P321" s="31" t="n">
        <x:v>46188</x:v>
      </x:c>
      <x:c r="Q321" s="31" t="inlineStr">
        <x:is>
          <x:t xml:space="preserve">Завершено</x:t>
        </x:is>
      </x:c>
      <x:c r="R321" s="31" t="inlineStr">
        <x:is>
          <x:t xml:space="preserve">Нет</x:t>
        </x:is>
      </x:c>
      <x:c r="S321" s="31" t="inlineStr">
        <x:is>
          <x:t xml:space="preserve">Нет</x:t>
        </x:is>
      </x:c>
    </x:row>
    <x:row r="322">
      <x:c r="A322" s="31" t="inlineStr">
        <x:is>
          <x:t xml:space="preserve">ОП-000321</x:t>
        </x:is>
      </x:c>
      <x:c r="B322" s="31" t="inlineStr">
        <x:is>
          <x:t xml:space="preserve">ПЗ-00037</x:t>
        </x:is>
      </x:c>
      <x:c r="C322" s="31" t="inlineStr">
        <x:is>
          <x:t xml:space="preserve">ЗК-1019</x:t>
        </x:is>
      </x:c>
      <x:c r="D322" s="31" t="inlineStr">
        <x:is>
          <x:t xml:space="preserve">ПОЗ-0019-1</x:t>
        </x:is>
      </x:c>
      <x:c r="E322" s="31" t="inlineStr">
        <x:is>
          <x:t xml:space="preserve">ИЗД-041</x:t>
        </x:is>
      </x:c>
      <x:c r="F322" s="31" t="n">
        <x:v>60</x:v>
      </x:c>
      <x:c r="G322" s="31" t="inlineStr">
        <x:is>
          <x:t xml:space="preserve">ОТК</x:t>
        </x:is>
      </x:c>
      <x:c r="H322" s="31" t="inlineStr">
        <x:is>
          <x:t xml:space="preserve">ОТК</x:t>
        </x:is>
      </x:c>
      <x:c r="I322" s="31" t="inlineStr">
        <x:is>
          <x:t xml:space="preserve">ОБ-022</x:t>
        </x:is>
      </x:c>
      <x:c r="J322" s="31" t="inlineStr">
        <x:is>
          <x:t xml:space="preserve">СОТР-099</x:t>
        </x:is>
      </x:c>
      <x:c r="K322" s="31" t="n">
        <x:v>17</x:v>
      </x:c>
      <x:c r="L322" s="31" t="n">
        <x:v>13.6</x:v>
      </x:c>
      <x:c r="M322" s="31" t="n">
        <x:v>46186</x:v>
      </x:c>
      <x:c r="N322" s="31" t="n">
        <x:v>46188</x:v>
      </x:c>
      <x:c r="O322" s="31" t="n">
        <x:v>46186</x:v>
      </x:c>
      <x:c r="P322" s="31" t="n">
        <x:v>46190</x:v>
      </x:c>
      <x:c r="Q322" s="31" t="inlineStr">
        <x:is>
          <x:t xml:space="preserve">Завершено</x:t>
        </x:is>
      </x:c>
      <x:c r="R322" s="31" t="inlineStr">
        <x:is>
          <x:t xml:space="preserve">Нет</x:t>
        </x:is>
      </x:c>
      <x:c r="S322" s="31" t="inlineStr">
        <x:is>
          <x:t xml:space="preserve">Нет</x:t>
        </x:is>
      </x:c>
    </x:row>
    <x:row r="323">
      <x:c r="A323" s="31" t="inlineStr">
        <x:is>
          <x:t xml:space="preserve">ОП-000322</x:t>
        </x:is>
      </x:c>
      <x:c r="B323" s="31" t="inlineStr">
        <x:is>
          <x:t xml:space="preserve">ПЗ-00038</x:t>
        </x:is>
      </x:c>
      <x:c r="C323" s="31" t="inlineStr">
        <x:is>
          <x:t xml:space="preserve">ЗК-1020</x:t>
        </x:is>
      </x:c>
      <x:c r="D323" s="31" t="inlineStr">
        <x:is>
          <x:t xml:space="preserve">ПОЗ-0020-1</x:t>
        </x:is>
      </x:c>
      <x:c r="E323" s="31" t="inlineStr">
        <x:is>
          <x:t xml:space="preserve">ИЗД-010</x:t>
        </x:is>
      </x:c>
      <x:c r="F323" s="31" t="n">
        <x:v>10</x:v>
      </x:c>
      <x:c r="G323" s="31" t="inlineStr">
        <x:is>
          <x:t xml:space="preserve">КД</x:t>
        </x:is>
      </x:c>
      <x:c r="H323" s="31" t="inlineStr">
        <x:is>
          <x:t xml:space="preserve">Инженерный отдел</x:t>
        </x:is>
      </x:c>
      <x:c r="I323" s="31" t="n"/>
      <x:c r="J323" s="31" t="inlineStr">
        <x:is>
          <x:t xml:space="preserve">СОТР-013</x:t>
        </x:is>
      </x:c>
      <x:c r="K323" s="31" t="n">
        <x:v>7.7</x:v>
      </x:c>
      <x:c r="L323" s="31" t="n">
        <x:v>6.8</x:v>
      </x:c>
      <x:c r="M323" s="31" t="n">
        <x:v>46155</x:v>
      </x:c>
      <x:c r="N323" s="31" t="n">
        <x:v>46156</x:v>
      </x:c>
      <x:c r="O323" s="31" t="n">
        <x:v>46155</x:v>
      </x:c>
      <x:c r="P323" s="31" t="n">
        <x:v>46156</x:v>
      </x:c>
      <x:c r="Q323" s="31" t="inlineStr">
        <x:is>
          <x:t xml:space="preserve">Завершено</x:t>
        </x:is>
      </x:c>
      <x:c r="R323" s="31" t="inlineStr">
        <x:is>
          <x:t xml:space="preserve">Нет</x:t>
        </x:is>
      </x:c>
      <x:c r="S323" s="31" t="inlineStr">
        <x:is>
          <x:t xml:space="preserve">Нет</x:t>
        </x:is>
      </x:c>
    </x:row>
    <x:row r="324">
      <x:c r="A324" s="31" t="inlineStr">
        <x:is>
          <x:t xml:space="preserve">ОП-000323</x:t>
        </x:is>
      </x:c>
      <x:c r="B324" s="31" t="inlineStr">
        <x:is>
          <x:t xml:space="preserve">ПЗ-00038</x:t>
        </x:is>
      </x:c>
      <x:c r="C324" s="31" t="inlineStr">
        <x:is>
          <x:t xml:space="preserve">ЗК-1020</x:t>
        </x:is>
      </x:c>
      <x:c r="D324" s="31" t="inlineStr">
        <x:is>
          <x:t xml:space="preserve">ПОЗ-0020-1</x:t>
        </x:is>
      </x:c>
      <x:c r="E324" s="31" t="inlineStr">
        <x:is>
          <x:t xml:space="preserve">ИЗД-010</x:t>
        </x:is>
      </x:c>
      <x:c r="F324" s="31" t="n">
        <x:v>20</x:v>
      </x:c>
      <x:c r="G324" s="31" t="inlineStr">
        <x:is>
          <x:t xml:space="preserve">Комплектация</x:t>
        </x:is>
      </x:c>
      <x:c r="H324" s="31" t="inlineStr">
        <x:is>
          <x:t xml:space="preserve">Склад</x:t>
        </x:is>
      </x:c>
      <x:c r="I324" s="31" t="inlineStr">
        <x:is>
          <x:t xml:space="preserve">ОБ-025</x:t>
        </x:is>
      </x:c>
      <x:c r="J324" s="31" t="inlineStr">
        <x:is>
          <x:t xml:space="preserve">СОТР-034</x:t>
        </x:is>
      </x:c>
      <x:c r="K324" s="31" t="n">
        <x:v>5.8</x:v>
      </x:c>
      <x:c r="L324" s="31" t="n"/>
      <x:c r="M324" s="31" t="n">
        <x:v>46156</x:v>
      </x:c>
      <x:c r="N324" s="31" t="n">
        <x:v>46157</x:v>
      </x:c>
      <x:c r="O324" s="31" t="n">
        <x:v>46156</x:v>
      </x:c>
      <x:c r="P324" s="31" t="n"/>
      <x:c r="Q324" s="31" t="inlineStr">
        <x:is>
          <x:t xml:space="preserve">В работе</x:t>
        </x:is>
      </x:c>
      <x:c r="R324" s="31" t="inlineStr">
        <x:is>
          <x:t xml:space="preserve">Нет</x:t>
        </x:is>
      </x:c>
      <x:c r="S324" s="31" t="inlineStr">
        <x:is>
          <x:t xml:space="preserve">Нет</x:t>
        </x:is>
      </x:c>
    </x:row>
    <x:row r="325">
      <x:c r="A325" s="31" t="inlineStr">
        <x:is>
          <x:t xml:space="preserve">ОП-000324</x:t>
        </x:is>
      </x:c>
      <x:c r="B325" s="31" t="inlineStr">
        <x:is>
          <x:t xml:space="preserve">ПЗ-00038</x:t>
        </x:is>
      </x:c>
      <x:c r="C325" s="31" t="inlineStr">
        <x:is>
          <x:t xml:space="preserve">ЗК-1020</x:t>
        </x:is>
      </x:c>
      <x:c r="D325" s="31" t="inlineStr">
        <x:is>
          <x:t xml:space="preserve">ПОЗ-0020-1</x:t>
        </x:is>
      </x:c>
      <x:c r="E325" s="31" t="inlineStr">
        <x:is>
          <x:t xml:space="preserve">ИЗД-010</x:t>
        </x:is>
      </x:c>
      <x:c r="F325" s="31" t="n">
        <x:v>30</x:v>
      </x:c>
      <x:c r="G325" s="31" t="inlineStr">
        <x:is>
          <x:t xml:space="preserve">Сборка шкафа</x:t>
        </x:is>
      </x:c>
      <x:c r="H325" s="31" t="inlineStr">
        <x:is>
          <x:t xml:space="preserve">Сборка</x:t>
        </x:is>
      </x:c>
      <x:c r="I325" s="31" t="inlineStr">
        <x:is>
          <x:t xml:space="preserve">ОБ-020</x:t>
        </x:is>
      </x:c>
      <x:c r="J325" s="31" t="inlineStr">
        <x:is>
          <x:t xml:space="preserve">СОТР-079</x:t>
        </x:is>
      </x:c>
      <x:c r="K325" s="31" t="n">
        <x:v>6.1</x:v>
      </x:c>
      <x:c r="L325" s="31" t="n"/>
      <x:c r="M325" s="31" t="n">
        <x:v>46157</x:v>
      </x:c>
      <x:c r="N325" s="31" t="n">
        <x:v>46158</x:v>
      </x:c>
      <x:c r="O325" s="31" t="n"/>
      <x:c r="P325" s="31" t="n"/>
      <x:c r="Q325" s="31" t="inlineStr">
        <x:is>
          <x:t xml:space="preserve">Запланировано</x:t>
        </x:is>
      </x:c>
      <x:c r="R325" s="31" t="inlineStr">
        <x:is>
          <x:t xml:space="preserve">Нет</x:t>
        </x:is>
      </x:c>
      <x:c r="S325" s="31" t="inlineStr">
        <x:is>
          <x:t xml:space="preserve">Да</x:t>
        </x:is>
      </x:c>
    </x:row>
    <x:row r="326">
      <x:c r="A326" s="31" t="inlineStr">
        <x:is>
          <x:t xml:space="preserve">ОП-000325</x:t>
        </x:is>
      </x:c>
      <x:c r="B326" s="31" t="inlineStr">
        <x:is>
          <x:t xml:space="preserve">ПЗ-00038</x:t>
        </x:is>
      </x:c>
      <x:c r="C326" s="31" t="inlineStr">
        <x:is>
          <x:t xml:space="preserve">ЗК-1020</x:t>
        </x:is>
      </x:c>
      <x:c r="D326" s="31" t="inlineStr">
        <x:is>
          <x:t xml:space="preserve">ПОЗ-0020-1</x:t>
        </x:is>
      </x:c>
      <x:c r="E326" s="31" t="inlineStr">
        <x:is>
          <x:t xml:space="preserve">ИЗД-010</x:t>
        </x:is>
      </x:c>
      <x:c r="F326" s="31" t="n">
        <x:v>40</x:v>
      </x:c>
      <x:c r="G326" s="31" t="inlineStr">
        <x:is>
          <x:t xml:space="preserve">Маркировка</x:t>
        </x:is>
      </x:c>
      <x:c r="H326" s="31" t="inlineStr">
        <x:is>
          <x:t xml:space="preserve">Сборка</x:t>
        </x:is>
      </x:c>
      <x:c r="I326" s="31" t="inlineStr">
        <x:is>
          <x:t xml:space="preserve">ОБ-034</x:t>
        </x:is>
      </x:c>
      <x:c r="J326" s="31" t="inlineStr">
        <x:is>
          <x:t xml:space="preserve">СОТР-090</x:t>
        </x:is>
      </x:c>
      <x:c r="K326" s="31" t="n">
        <x:v>2.1</x:v>
      </x:c>
      <x:c r="L326" s="31" t="n">
        <x:v>2.3</x:v>
      </x:c>
      <x:c r="M326" s="31" t="n">
        <x:v>46158</x:v>
      </x:c>
      <x:c r="N326" s="31" t="n">
        <x:v>46159</x:v>
      </x:c>
      <x:c r="O326" s="31" t="n">
        <x:v>46158</x:v>
      </x:c>
      <x:c r="P326" s="31" t="n">
        <x:v>46161</x:v>
      </x:c>
      <x:c r="Q326" s="31" t="inlineStr">
        <x:is>
          <x:t xml:space="preserve">Завершено</x:t>
        </x:is>
      </x:c>
      <x:c r="R326" s="31" t="inlineStr">
        <x:is>
          <x:t xml:space="preserve">Нет</x:t>
        </x:is>
      </x:c>
      <x:c r="S326" s="31" t="inlineStr">
        <x:is>
          <x:t xml:space="preserve">Нет</x:t>
        </x:is>
      </x:c>
    </x:row>
    <x:row r="327">
      <x:c r="A327" s="31" t="inlineStr">
        <x:is>
          <x:t xml:space="preserve">ОП-000326</x:t>
        </x:is>
      </x:c>
      <x:c r="B327" s="31" t="inlineStr">
        <x:is>
          <x:t xml:space="preserve">ПЗ-00038</x:t>
        </x:is>
      </x:c>
      <x:c r="C327" s="31" t="inlineStr">
        <x:is>
          <x:t xml:space="preserve">ЗК-1020</x:t>
        </x:is>
      </x:c>
      <x:c r="D327" s="31" t="inlineStr">
        <x:is>
          <x:t xml:space="preserve">ПОЗ-0020-1</x:t>
        </x:is>
      </x:c>
      <x:c r="E327" s="31" t="inlineStr">
        <x:is>
          <x:t xml:space="preserve">ИЗД-010</x:t>
        </x:is>
      </x:c>
      <x:c r="F327" s="31" t="n">
        <x:v>50</x:v>
      </x:c>
      <x:c r="G327" s="31" t="inlineStr">
        <x:is>
          <x:t xml:space="preserve">Электромонтаж</x:t>
        </x:is>
      </x:c>
      <x:c r="H327" s="31" t="inlineStr">
        <x:is>
          <x:t xml:space="preserve">Сборка</x:t>
        </x:is>
      </x:c>
      <x:c r="I327" s="31" t="inlineStr">
        <x:is>
          <x:t xml:space="preserve">ОБ-020</x:t>
        </x:is>
      </x:c>
      <x:c r="J327" s="31" t="inlineStr">
        <x:is>
          <x:t xml:space="preserve">СОТР-079</x:t>
        </x:is>
      </x:c>
      <x:c r="K327" s="31" t="n">
        <x:v>7.6</x:v>
      </x:c>
      <x:c r="L327" s="31" t="n">
        <x:v>8.9</x:v>
      </x:c>
      <x:c r="M327" s="31" t="n">
        <x:v>46159</x:v>
      </x:c>
      <x:c r="N327" s="31" t="n">
        <x:v>46160</x:v>
      </x:c>
      <x:c r="O327" s="31" t="n">
        <x:v>46159</x:v>
      </x:c>
      <x:c r="P327" s="31" t="n">
        <x:v>46161</x:v>
      </x:c>
      <x:c r="Q327" s="31" t="inlineStr">
        <x:is>
          <x:t xml:space="preserve">Завершено</x:t>
        </x:is>
      </x:c>
      <x:c r="R327" s="31" t="inlineStr">
        <x:is>
          <x:t xml:space="preserve">Нет</x:t>
        </x:is>
      </x:c>
      <x:c r="S327" s="31" t="inlineStr">
        <x:is>
          <x:t xml:space="preserve">Нет</x:t>
        </x:is>
      </x:c>
    </x:row>
    <x:row r="328">
      <x:c r="A328" s="31" t="inlineStr">
        <x:is>
          <x:t xml:space="preserve">ОП-000327</x:t>
        </x:is>
      </x:c>
      <x:c r="B328" s="31" t="inlineStr">
        <x:is>
          <x:t xml:space="preserve">ПЗ-00038</x:t>
        </x:is>
      </x:c>
      <x:c r="C328" s="31" t="inlineStr">
        <x:is>
          <x:t xml:space="preserve">ЗК-1020</x:t>
        </x:is>
      </x:c>
      <x:c r="D328" s="31" t="inlineStr">
        <x:is>
          <x:t xml:space="preserve">ПОЗ-0020-1</x:t>
        </x:is>
      </x:c>
      <x:c r="E328" s="31" t="inlineStr">
        <x:is>
          <x:t xml:space="preserve">ИЗД-010</x:t>
        </x:is>
      </x:c>
      <x:c r="F328" s="31" t="n">
        <x:v>60</x:v>
      </x:c>
      <x:c r="G328" s="31" t="inlineStr">
        <x:is>
          <x:t xml:space="preserve">Программирование ПЛК</x:t>
        </x:is>
      </x:c>
      <x:c r="H328" s="31" t="inlineStr">
        <x:is>
          <x:t xml:space="preserve">Инженерный отдел</x:t>
        </x:is>
      </x:c>
      <x:c r="I328" s="31" t="n"/>
      <x:c r="J328" s="31" t="inlineStr">
        <x:is>
          <x:t xml:space="preserve">СОТР-017</x:t>
        </x:is>
      </x:c>
      <x:c r="K328" s="31" t="n">
        <x:v>8.300000000000001</x:v>
      </x:c>
      <x:c r="L328" s="31" t="n">
        <x:v>7.6</x:v>
      </x:c>
      <x:c r="M328" s="31" t="n">
        <x:v>46160</x:v>
      </x:c>
      <x:c r="N328" s="31" t="n">
        <x:v>46161</x:v>
      </x:c>
      <x:c r="O328" s="31" t="n">
        <x:v>46160</x:v>
      </x:c>
      <x:c r="P328" s="31" t="n">
        <x:v>46160</x:v>
      </x:c>
      <x:c r="Q328" s="31" t="inlineStr">
        <x:is>
          <x:t xml:space="preserve">Завершено</x:t>
        </x:is>
      </x:c>
      <x:c r="R328" s="31" t="inlineStr">
        <x:is>
          <x:t xml:space="preserve">Нет</x:t>
        </x:is>
      </x:c>
      <x:c r="S328" s="31" t="inlineStr">
        <x:is>
          <x:t xml:space="preserve">Нет</x:t>
        </x:is>
      </x:c>
    </x:row>
    <x:row r="329">
      <x:c r="A329" s="31" t="inlineStr">
        <x:is>
          <x:t xml:space="preserve">ОП-000328</x:t>
        </x:is>
      </x:c>
      <x:c r="B329" s="31" t="inlineStr">
        <x:is>
          <x:t xml:space="preserve">ПЗ-00038</x:t>
        </x:is>
      </x:c>
      <x:c r="C329" s="31" t="inlineStr">
        <x:is>
          <x:t xml:space="preserve">ЗК-1020</x:t>
        </x:is>
      </x:c>
      <x:c r="D329" s="31" t="inlineStr">
        <x:is>
          <x:t xml:space="preserve">ПОЗ-0020-1</x:t>
        </x:is>
      </x:c>
      <x:c r="E329" s="31" t="inlineStr">
        <x:is>
          <x:t xml:space="preserve">ИЗД-010</x:t>
        </x:is>
      </x:c>
      <x:c r="F329" s="31" t="n">
        <x:v>70</x:v>
      </x:c>
      <x:c r="G329" s="31" t="inlineStr">
        <x:is>
          <x:t xml:space="preserve">Приемочные испытания</x:t>
        </x:is>
      </x:c>
      <x:c r="H329" s="31" t="inlineStr">
        <x:is>
          <x:t xml:space="preserve">ОТК</x:t>
        </x:is>
      </x:c>
      <x:c r="I329" s="31" t="inlineStr">
        <x:is>
          <x:t xml:space="preserve">ОБ-013</x:t>
        </x:is>
      </x:c>
      <x:c r="J329" s="31" t="inlineStr">
        <x:is>
          <x:t xml:space="preserve">СОТР-092</x:t>
        </x:is>
      </x:c>
      <x:c r="K329" s="31" t="n">
        <x:v>12.6</x:v>
      </x:c>
      <x:c r="L329" s="31" t="n"/>
      <x:c r="M329" s="31" t="n">
        <x:v>46161</x:v>
      </x:c>
      <x:c r="N329" s="31" t="n">
        <x:v>46163</x:v>
      </x:c>
      <x:c r="O329" s="31" t="n">
        <x:v>46161</x:v>
      </x:c>
      <x:c r="P329" s="31" t="n"/>
      <x:c r="Q329" s="31" t="inlineStr">
        <x:is>
          <x:t xml:space="preserve">В работе</x:t>
        </x:is>
      </x:c>
      <x:c r="R329" s="31" t="inlineStr">
        <x:is>
          <x:t xml:space="preserve">Нет</x:t>
        </x:is>
      </x:c>
      <x:c r="S329" s="31" t="inlineStr">
        <x:is>
          <x:t xml:space="preserve">Да</x:t>
        </x:is>
      </x:c>
    </x:row>
    <x:row r="330">
      <x:c r="A330" s="31" t="inlineStr">
        <x:is>
          <x:t xml:space="preserve">ОП-000329</x:t>
        </x:is>
      </x:c>
      <x:c r="B330" s="31" t="inlineStr">
        <x:is>
          <x:t xml:space="preserve">ПЗ-00038</x:t>
        </x:is>
      </x:c>
      <x:c r="C330" s="31" t="inlineStr">
        <x:is>
          <x:t xml:space="preserve">ЗК-1020</x:t>
        </x:is>
      </x:c>
      <x:c r="D330" s="31" t="inlineStr">
        <x:is>
          <x:t xml:space="preserve">ПОЗ-0020-1</x:t>
        </x:is>
      </x:c>
      <x:c r="E330" s="31" t="inlineStr">
        <x:is>
          <x:t xml:space="preserve">ИЗД-010</x:t>
        </x:is>
      </x:c>
      <x:c r="F330" s="31" t="n">
        <x:v>80</x:v>
      </x:c>
      <x:c r="G330" s="31" t="inlineStr">
        <x:is>
          <x:t xml:space="preserve">ОТК</x:t>
        </x:is>
      </x:c>
      <x:c r="H330" s="31" t="inlineStr">
        <x:is>
          <x:t xml:space="preserve">ОТК</x:t>
        </x:is>
      </x:c>
      <x:c r="I330" s="31" t="inlineStr">
        <x:is>
          <x:t xml:space="preserve">ОБ-015</x:t>
        </x:is>
      </x:c>
      <x:c r="J330" s="31" t="inlineStr">
        <x:is>
          <x:t xml:space="preserve">СОТР-092</x:t>
        </x:is>
      </x:c>
      <x:c r="K330" s="31" t="n">
        <x:v>9.1</x:v>
      </x:c>
      <x:c r="L330" s="31" t="n"/>
      <x:c r="M330" s="31" t="n">
        <x:v>46163</x:v>
      </x:c>
      <x:c r="N330" s="31" t="n">
        <x:v>46164</x:v>
      </x:c>
      <x:c r="O330" s="31" t="n"/>
      <x:c r="P330" s="31" t="n"/>
      <x:c r="Q330" s="31" t="inlineStr">
        <x:is>
          <x:t xml:space="preserve">Запланировано</x:t>
        </x:is>
      </x:c>
      <x:c r="R330" s="31" t="inlineStr">
        <x:is>
          <x:t xml:space="preserve">Нет</x:t>
        </x:is>
      </x:c>
      <x:c r="S330" s="31" t="inlineStr">
        <x:is>
          <x:t xml:space="preserve">Нет</x:t>
        </x:is>
      </x:c>
    </x:row>
    <x:row r="331">
      <x:c r="A331" s="31" t="inlineStr">
        <x:is>
          <x:t xml:space="preserve">ОП-000330</x:t>
        </x:is>
      </x:c>
      <x:c r="B331" s="31" t="inlineStr">
        <x:is>
          <x:t xml:space="preserve">ПЗ-00038</x:t>
        </x:is>
      </x:c>
      <x:c r="C331" s="31" t="inlineStr">
        <x:is>
          <x:t xml:space="preserve">ЗК-1020</x:t>
        </x:is>
      </x:c>
      <x:c r="D331" s="31" t="inlineStr">
        <x:is>
          <x:t xml:space="preserve">ПОЗ-0020-1</x:t>
        </x:is>
      </x:c>
      <x:c r="E331" s="31" t="inlineStr">
        <x:is>
          <x:t xml:space="preserve">ИЗД-010</x:t>
        </x:is>
      </x:c>
      <x:c r="F331" s="31" t="n">
        <x:v>90</x:v>
      </x:c>
      <x:c r="G331" s="31" t="inlineStr">
        <x:is>
          <x:t xml:space="preserve">Упаковка</x:t>
        </x:is>
      </x:c>
      <x:c r="H331" s="31" t="inlineStr">
        <x:is>
          <x:t xml:space="preserve">Логистика</x:t>
        </x:is>
      </x:c>
      <x:c r="I331" s="31" t="n"/>
      <x:c r="J331" s="31" t="inlineStr">
        <x:is>
          <x:t xml:space="preserve">СОТР-101</x:t>
        </x:is>
      </x:c>
      <x:c r="K331" s="31" t="n">
        <x:v>11.1</x:v>
      </x:c>
      <x:c r="L331" s="31" t="n"/>
      <x:c r="M331" s="31" t="n">
        <x:v>46164</x:v>
      </x:c>
      <x:c r="N331" s="31" t="n">
        <x:v>46165</x:v>
      </x:c>
      <x:c r="O331" s="31" t="n"/>
      <x:c r="P331" s="31" t="n"/>
      <x:c r="Q331" s="31" t="inlineStr">
        <x:is>
          <x:t xml:space="preserve">Запланировано</x:t>
        </x:is>
      </x:c>
      <x:c r="R331" s="31" t="inlineStr">
        <x:is>
          <x:t xml:space="preserve">Нет</x:t>
        </x:is>
      </x:c>
      <x:c r="S331" s="31" t="inlineStr">
        <x:is>
          <x:t xml:space="preserve">Нет</x:t>
        </x:is>
      </x:c>
    </x:row>
    <x:row r="332">
      <x:c r="A332" s="31" t="inlineStr">
        <x:is>
          <x:t xml:space="preserve">ОП-000331</x:t>
        </x:is>
      </x:c>
      <x:c r="B332" s="31" t="inlineStr">
        <x:is>
          <x:t xml:space="preserve">ПЗ-00039</x:t>
        </x:is>
      </x:c>
      <x:c r="C332" s="31" t="inlineStr">
        <x:is>
          <x:t xml:space="preserve">ЗК-1022</x:t>
        </x:is>
      </x:c>
      <x:c r="D332" s="31" t="inlineStr">
        <x:is>
          <x:t xml:space="preserve">ПОЗ-0022-1</x:t>
        </x:is>
      </x:c>
      <x:c r="E332" s="31" t="inlineStr">
        <x:is>
          <x:t xml:space="preserve">ИЗД-014</x:t>
        </x:is>
      </x:c>
      <x:c r="F332" s="31" t="n">
        <x:v>10</x:v>
      </x:c>
      <x:c r="G332" s="31" t="inlineStr">
        <x:is>
          <x:t xml:space="preserve">КД</x:t>
        </x:is>
      </x:c>
      <x:c r="H332" s="31" t="inlineStr">
        <x:is>
          <x:t xml:space="preserve">Инженерный отдел</x:t>
        </x:is>
      </x:c>
      <x:c r="I332" s="31" t="n"/>
      <x:c r="J332" s="31" t="inlineStr">
        <x:is>
          <x:t xml:space="preserve">СОТР-011</x:t>
        </x:is>
      </x:c>
      <x:c r="K332" s="31" t="n">
        <x:v>44.4</x:v>
      </x:c>
      <x:c r="L332" s="31" t="n">
        <x:v>37.5</x:v>
      </x:c>
      <x:c r="M332" s="31" t="n">
        <x:v>46128</x:v>
      </x:c>
      <x:c r="N332" s="31" t="n">
        <x:v>46132</x:v>
      </x:c>
      <x:c r="O332" s="31" t="n">
        <x:v>46128</x:v>
      </x:c>
      <x:c r="P332" s="31" t="n">
        <x:v>46134</x:v>
      </x:c>
      <x:c r="Q332" s="31" t="inlineStr">
        <x:is>
          <x:t xml:space="preserve">Завершено</x:t>
        </x:is>
      </x:c>
      <x:c r="R332" s="31" t="inlineStr">
        <x:is>
          <x:t xml:space="preserve">Нет</x:t>
        </x:is>
      </x:c>
      <x:c r="S332" s="31" t="inlineStr">
        <x:is>
          <x:t xml:space="preserve">Нет</x:t>
        </x:is>
      </x:c>
    </x:row>
    <x:row r="333">
      <x:c r="A333" s="31" t="inlineStr">
        <x:is>
          <x:t xml:space="preserve">ОП-000332</x:t>
        </x:is>
      </x:c>
      <x:c r="B333" s="31" t="inlineStr">
        <x:is>
          <x:t xml:space="preserve">ПЗ-00039</x:t>
        </x:is>
      </x:c>
      <x:c r="C333" s="31" t="inlineStr">
        <x:is>
          <x:t xml:space="preserve">ЗК-1022</x:t>
        </x:is>
      </x:c>
      <x:c r="D333" s="31" t="inlineStr">
        <x:is>
          <x:t xml:space="preserve">ПОЗ-0022-1</x:t>
        </x:is>
      </x:c>
      <x:c r="E333" s="31" t="inlineStr">
        <x:is>
          <x:t xml:space="preserve">ИЗД-014</x:t>
        </x:is>
      </x:c>
      <x:c r="F333" s="31" t="n">
        <x:v>20</x:v>
      </x:c>
      <x:c r="G333" s="31" t="inlineStr">
        <x:is>
          <x:t xml:space="preserve">Резка металла</x:t>
        </x:is>
      </x:c>
      <x:c r="H333" s="31" t="inlineStr">
        <x:is>
          <x:t xml:space="preserve">Сварка</x:t>
        </x:is>
      </x:c>
      <x:c r="I333" s="31" t="inlineStr">
        <x:is>
          <x:t xml:space="preserve">ОБ-003</x:t>
        </x:is>
      </x:c>
      <x:c r="J333" s="31" t="inlineStr">
        <x:is>
          <x:t xml:space="preserve">СОТР-066</x:t>
        </x:is>
      </x:c>
      <x:c r="K333" s="31" t="n">
        <x:v>33.6</x:v>
      </x:c>
      <x:c r="L333" s="31" t="n">
        <x:v>29.6</x:v>
      </x:c>
      <x:c r="M333" s="31" t="n">
        <x:v>46132</x:v>
      </x:c>
      <x:c r="N333" s="31" t="n">
        <x:v>46135</x:v>
      </x:c>
      <x:c r="O333" s="31" t="n">
        <x:v>46132</x:v>
      </x:c>
      <x:c r="P333" s="31" t="n">
        <x:v>46134</x:v>
      </x:c>
      <x:c r="Q333" s="31" t="inlineStr">
        <x:is>
          <x:t xml:space="preserve">Завершено</x:t>
        </x:is>
      </x:c>
      <x:c r="R333" s="31" t="inlineStr">
        <x:is>
          <x:t xml:space="preserve">Нет</x:t>
        </x:is>
      </x:c>
      <x:c r="S333" s="31" t="inlineStr">
        <x:is>
          <x:t xml:space="preserve">Нет</x:t>
        </x:is>
      </x:c>
    </x:row>
    <x:row r="334">
      <x:c r="A334" s="31" t="inlineStr">
        <x:is>
          <x:t xml:space="preserve">ОП-000333</x:t>
        </x:is>
      </x:c>
      <x:c r="B334" s="31" t="inlineStr">
        <x:is>
          <x:t xml:space="preserve">ПЗ-00039</x:t>
        </x:is>
      </x:c>
      <x:c r="C334" s="31" t="inlineStr">
        <x:is>
          <x:t xml:space="preserve">ЗК-1022</x:t>
        </x:is>
      </x:c>
      <x:c r="D334" s="31" t="inlineStr">
        <x:is>
          <x:t xml:space="preserve">ПОЗ-0022-1</x:t>
        </x:is>
      </x:c>
      <x:c r="E334" s="31" t="inlineStr">
        <x:is>
          <x:t xml:space="preserve">ИЗД-014</x:t>
        </x:is>
      </x:c>
      <x:c r="F334" s="31" t="n">
        <x:v>30</x:v>
      </x:c>
      <x:c r="G334" s="31" t="inlineStr">
        <x:is>
          <x:t xml:space="preserve">Сварка рамы</x:t>
        </x:is>
      </x:c>
      <x:c r="H334" s="31" t="inlineStr">
        <x:is>
          <x:t xml:space="preserve">Сварка</x:t>
        </x:is>
      </x:c>
      <x:c r="I334" s="31" t="inlineStr">
        <x:is>
          <x:t xml:space="preserve">ОБ-019</x:t>
        </x:is>
      </x:c>
      <x:c r="J334" s="31" t="inlineStr">
        <x:is>
          <x:t xml:space="preserve">СОТР-058</x:t>
        </x:is>
      </x:c>
      <x:c r="K334" s="31" t="n">
        <x:v>68.8</x:v>
      </x:c>
      <x:c r="L334" s="31" t="n">
        <x:v>62.9</x:v>
      </x:c>
      <x:c r="M334" s="31" t="n">
        <x:v>46135</x:v>
      </x:c>
      <x:c r="N334" s="31" t="n">
        <x:v>46141</x:v>
      </x:c>
      <x:c r="O334" s="31" t="n">
        <x:v>46135</x:v>
      </x:c>
      <x:c r="P334" s="31" t="n">
        <x:v>46140</x:v>
      </x:c>
      <x:c r="Q334" s="31" t="inlineStr">
        <x:is>
          <x:t xml:space="preserve">Завершено</x:t>
        </x:is>
      </x:c>
      <x:c r="R334" s="31" t="inlineStr">
        <x:is>
          <x:t xml:space="preserve">Нет</x:t>
        </x:is>
      </x:c>
      <x:c r="S334" s="31" t="inlineStr">
        <x:is>
          <x:t xml:space="preserve">Нет</x:t>
        </x:is>
      </x:c>
    </x:row>
    <x:row r="335">
      <x:c r="A335" s="31" t="inlineStr">
        <x:is>
          <x:t xml:space="preserve">ОП-000334</x:t>
        </x:is>
      </x:c>
      <x:c r="B335" s="31" t="inlineStr">
        <x:is>
          <x:t xml:space="preserve">ПЗ-00039</x:t>
        </x:is>
      </x:c>
      <x:c r="C335" s="31" t="inlineStr">
        <x:is>
          <x:t xml:space="preserve">ЗК-1022</x:t>
        </x:is>
      </x:c>
      <x:c r="D335" s="31" t="inlineStr">
        <x:is>
          <x:t xml:space="preserve">ПОЗ-0022-1</x:t>
        </x:is>
      </x:c>
      <x:c r="E335" s="31" t="inlineStr">
        <x:is>
          <x:t xml:space="preserve">ИЗД-014</x:t>
        </x:is>
      </x:c>
      <x:c r="F335" s="31" t="n">
        <x:v>40</x:v>
      </x:c>
      <x:c r="G335" s="31" t="inlineStr">
        <x:is>
          <x:t xml:space="preserve">Пескоструй</x:t>
        </x:is>
      </x:c>
      <x:c r="H335" s="31" t="inlineStr">
        <x:is>
          <x:t xml:space="preserve">Сварка</x:t>
        </x:is>
      </x:c>
      <x:c r="I335" s="31" t="inlineStr">
        <x:is>
          <x:t xml:space="preserve">ОБ-003</x:t>
        </x:is>
      </x:c>
      <x:c r="J335" s="31" t="inlineStr">
        <x:is>
          <x:t xml:space="preserve">СОТР-068</x:t>
        </x:is>
      </x:c>
      <x:c r="K335" s="31" t="n">
        <x:v>49.6</x:v>
      </x:c>
      <x:c r="L335" s="31" t="n">
        <x:v>50.9</x:v>
      </x:c>
      <x:c r="M335" s="31" t="n">
        <x:v>46141</x:v>
      </x:c>
      <x:c r="N335" s="31" t="n">
        <x:v>46146</x:v>
      </x:c>
      <x:c r="O335" s="31" t="n">
        <x:v>46141</x:v>
      </x:c>
      <x:c r="P335" s="31" t="n">
        <x:v>46148</x:v>
      </x:c>
      <x:c r="Q335" s="31" t="inlineStr">
        <x:is>
          <x:t xml:space="preserve">Завершено</x:t>
        </x:is>
      </x:c>
      <x:c r="R335" s="31" t="inlineStr">
        <x:is>
          <x:t xml:space="preserve">Нет</x:t>
        </x:is>
      </x:c>
      <x:c r="S335" s="31" t="inlineStr">
        <x:is>
          <x:t xml:space="preserve">Нет</x:t>
        </x:is>
      </x:c>
    </x:row>
    <x:row r="336">
      <x:c r="A336" s="31" t="inlineStr">
        <x:is>
          <x:t xml:space="preserve">ОП-000335</x:t>
        </x:is>
      </x:c>
      <x:c r="B336" s="31" t="inlineStr">
        <x:is>
          <x:t xml:space="preserve">ПЗ-00039</x:t>
        </x:is>
      </x:c>
      <x:c r="C336" s="31" t="inlineStr">
        <x:is>
          <x:t xml:space="preserve">ЗК-1022</x:t>
        </x:is>
      </x:c>
      <x:c r="D336" s="31" t="inlineStr">
        <x:is>
          <x:t xml:space="preserve">ПОЗ-0022-1</x:t>
        </x:is>
      </x:c>
      <x:c r="E336" s="31" t="inlineStr">
        <x:is>
          <x:t xml:space="preserve">ИЗД-014</x:t>
        </x:is>
      </x:c>
      <x:c r="F336" s="31" t="n">
        <x:v>50</x:v>
      </x:c>
      <x:c r="G336" s="31" t="inlineStr">
        <x:is>
          <x:t xml:space="preserve">Покраска</x:t>
        </x:is>
      </x:c>
      <x:c r="H336" s="31" t="inlineStr">
        <x:is>
          <x:t xml:space="preserve">Сварка</x:t>
        </x:is>
      </x:c>
      <x:c r="I336" s="31" t="inlineStr">
        <x:is>
          <x:t xml:space="preserve">ОБ-035</x:t>
        </x:is>
      </x:c>
      <x:c r="J336" s="31" t="inlineStr">
        <x:is>
          <x:t xml:space="preserve">СОТР-069</x:t>
        </x:is>
      </x:c>
      <x:c r="K336" s="31" t="n">
        <x:v>39.2</x:v>
      </x:c>
      <x:c r="L336" s="31" t="n"/>
      <x:c r="M336" s="31" t="n">
        <x:v>46146</x:v>
      </x:c>
      <x:c r="N336" s="31" t="n">
        <x:v>46150</x:v>
      </x:c>
      <x:c r="O336" s="31" t="n">
        <x:v>46146</x:v>
      </x:c>
      <x:c r="P336" s="31" t="n"/>
      <x:c r="Q336" s="31" t="inlineStr">
        <x:is>
          <x:t xml:space="preserve">В работе</x:t>
        </x:is>
      </x:c>
      <x:c r="R336" s="31" t="inlineStr">
        <x:is>
          <x:t xml:space="preserve">Нет</x:t>
        </x:is>
      </x:c>
      <x:c r="S336" s="31" t="inlineStr">
        <x:is>
          <x:t xml:space="preserve">Нет</x:t>
        </x:is>
      </x:c>
    </x:row>
    <x:row r="337">
      <x:c r="A337" s="31" t="inlineStr">
        <x:is>
          <x:t xml:space="preserve">ОП-000336</x:t>
        </x:is>
      </x:c>
      <x:c r="B337" s="31" t="inlineStr">
        <x:is>
          <x:t xml:space="preserve">ПЗ-00039</x:t>
        </x:is>
      </x:c>
      <x:c r="C337" s="31" t="inlineStr">
        <x:is>
          <x:t xml:space="preserve">ЗК-1022</x:t>
        </x:is>
      </x:c>
      <x:c r="D337" s="31" t="inlineStr">
        <x:is>
          <x:t xml:space="preserve">ПОЗ-0022-1</x:t>
        </x:is>
      </x:c>
      <x:c r="E337" s="31" t="inlineStr">
        <x:is>
          <x:t xml:space="preserve">ИЗД-014</x:t>
        </x:is>
      </x:c>
      <x:c r="F337" s="31" t="n">
        <x:v>60</x:v>
      </x:c>
      <x:c r="G337" s="31" t="inlineStr">
        <x:is>
          <x:t xml:space="preserve">ОТК</x:t>
        </x:is>
      </x:c>
      <x:c r="H337" s="31" t="inlineStr">
        <x:is>
          <x:t xml:space="preserve">ОТК</x:t>
        </x:is>
      </x:c>
      <x:c r="I337" s="31" t="inlineStr">
        <x:is>
          <x:t xml:space="preserve">ОБ-033</x:t>
        </x:is>
      </x:c>
      <x:c r="J337" s="31" t="inlineStr">
        <x:is>
          <x:t xml:space="preserve">СОТР-098</x:t>
        </x:is>
      </x:c>
      <x:c r="K337" s="31" t="n">
        <x:v>19.2</x:v>
      </x:c>
      <x:c r="L337" s="31" t="n"/>
      <x:c r="M337" s="31" t="n">
        <x:v>46150</x:v>
      </x:c>
      <x:c r="N337" s="31" t="n">
        <x:v>46152</x:v>
      </x:c>
      <x:c r="O337" s="31" t="n">
        <x:v>46150</x:v>
      </x:c>
      <x:c r="P337" s="31" t="n"/>
      <x:c r="Q337" s="31" t="inlineStr">
        <x:is>
          <x:t xml:space="preserve">В работе</x:t>
        </x:is>
      </x:c>
      <x:c r="R337" s="31" t="inlineStr">
        <x:is>
          <x:t xml:space="preserve">Нет</x:t>
        </x:is>
      </x:c>
      <x:c r="S337" s="31" t="inlineStr">
        <x:is>
          <x:t xml:space="preserve">Да</x:t>
        </x:is>
      </x:c>
    </x:row>
    <x:row r="338">
      <x:c r="A338" s="31" t="inlineStr">
        <x:is>
          <x:t xml:space="preserve">ОП-000337</x:t>
        </x:is>
      </x:c>
      <x:c r="B338" s="31" t="inlineStr">
        <x:is>
          <x:t xml:space="preserve">ПЗ-00040</x:t>
        </x:is>
      </x:c>
      <x:c r="C338" s="31" t="inlineStr">
        <x:is>
          <x:t xml:space="preserve">ЗК-1022</x:t>
        </x:is>
      </x:c>
      <x:c r="D338" s="31" t="inlineStr">
        <x:is>
          <x:t xml:space="preserve">ПОЗ-0022-2</x:t>
        </x:is>
      </x:c>
      <x:c r="E338" s="31" t="inlineStr">
        <x:is>
          <x:t xml:space="preserve">ИЗД-032</x:t>
        </x:is>
      </x:c>
      <x:c r="F338" s="31" t="n">
        <x:v>10</x:v>
      </x:c>
      <x:c r="G338" s="31" t="inlineStr">
        <x:is>
          <x:t xml:space="preserve">Комплектация</x:t>
        </x:is>
      </x:c>
      <x:c r="H338" s="31" t="inlineStr">
        <x:is>
          <x:t xml:space="preserve">Склад</x:t>
        </x:is>
      </x:c>
      <x:c r="I338" s="31" t="inlineStr">
        <x:is>
          <x:t xml:space="preserve">ОБ-008</x:t>
        </x:is>
      </x:c>
      <x:c r="J338" s="31" t="inlineStr">
        <x:is>
          <x:t xml:space="preserve">СОТР-035</x:t>
        </x:is>
      </x:c>
      <x:c r="K338" s="31" t="n">
        <x:v>66.40000000000001</x:v>
      </x:c>
      <x:c r="L338" s="31" t="n">
        <x:v>63.8</x:v>
      </x:c>
      <x:c r="M338" s="31" t="n">
        <x:v>46124</x:v>
      </x:c>
      <x:c r="N338" s="31" t="n">
        <x:v>46130</x:v>
      </x:c>
      <x:c r="O338" s="31" t="n">
        <x:v>46124</x:v>
      </x:c>
      <x:c r="P338" s="31" t="n">
        <x:v>46129</x:v>
      </x:c>
      <x:c r="Q338" s="31" t="inlineStr">
        <x:is>
          <x:t xml:space="preserve">Завершено</x:t>
        </x:is>
      </x:c>
      <x:c r="R338" s="31" t="inlineStr">
        <x:is>
          <x:t xml:space="preserve">Нет</x:t>
        </x:is>
      </x:c>
      <x:c r="S338" s="31" t="inlineStr">
        <x:is>
          <x:t xml:space="preserve">Нет</x:t>
        </x:is>
      </x:c>
    </x:row>
    <x:row r="339">
      <x:c r="A339" s="31" t="inlineStr">
        <x:is>
          <x:t xml:space="preserve">ОП-000338</x:t>
        </x:is>
      </x:c>
      <x:c r="B339" s="31" t="inlineStr">
        <x:is>
          <x:t xml:space="preserve">ПЗ-00040</x:t>
        </x:is>
      </x:c>
      <x:c r="C339" s="31" t="inlineStr">
        <x:is>
          <x:t xml:space="preserve">ЗК-1022</x:t>
        </x:is>
      </x:c>
      <x:c r="D339" s="31" t="inlineStr">
        <x:is>
          <x:t xml:space="preserve">ПОЗ-0022-2</x:t>
        </x:is>
      </x:c>
      <x:c r="E339" s="31" t="inlineStr">
        <x:is>
          <x:t xml:space="preserve">ИЗД-032</x:t>
        </x:is>
      </x:c>
      <x:c r="F339" s="31" t="n">
        <x:v>20</x:v>
      </x:c>
      <x:c r="G339" s="31" t="inlineStr">
        <x:is>
          <x:t xml:space="preserve">Входной контроль</x:t>
        </x:is>
      </x:c>
      <x:c r="H339" s="31" t="inlineStr">
        <x:is>
          <x:t xml:space="preserve">ОТК</x:t>
        </x:is>
      </x:c>
      <x:c r="I339" s="31" t="inlineStr">
        <x:is>
          <x:t xml:space="preserve">ОБ-024</x:t>
        </x:is>
      </x:c>
      <x:c r="J339" s="31" t="inlineStr">
        <x:is>
          <x:t xml:space="preserve">СОТР-095</x:t>
        </x:is>
      </x:c>
      <x:c r="K339" s="31" t="n">
        <x:v>32</x:v>
      </x:c>
      <x:c r="L339" s="31" t="n">
        <x:v>37.2</x:v>
      </x:c>
      <x:c r="M339" s="31" t="n">
        <x:v>46130</x:v>
      </x:c>
      <x:c r="N339" s="31" t="n">
        <x:v>46133</x:v>
      </x:c>
      <x:c r="O339" s="31" t="n">
        <x:v>46130</x:v>
      </x:c>
      <x:c r="P339" s="31" t="n">
        <x:v>46132</x:v>
      </x:c>
      <x:c r="Q339" s="31" t="inlineStr">
        <x:is>
          <x:t xml:space="preserve">Завершено</x:t>
        </x:is>
      </x:c>
      <x:c r="R339" s="31" t="inlineStr">
        <x:is>
          <x:t xml:space="preserve">Нет</x:t>
        </x:is>
      </x:c>
      <x:c r="S339" s="31" t="inlineStr">
        <x:is>
          <x:t xml:space="preserve">Да</x:t>
        </x:is>
      </x:c>
    </x:row>
    <x:row r="340">
      <x:c r="A340" s="31" t="inlineStr">
        <x:is>
          <x:t xml:space="preserve">ОП-000339</x:t>
        </x:is>
      </x:c>
      <x:c r="B340" s="31" t="inlineStr">
        <x:is>
          <x:t xml:space="preserve">ПЗ-00040</x:t>
        </x:is>
      </x:c>
      <x:c r="C340" s="31" t="inlineStr">
        <x:is>
          <x:t xml:space="preserve">ЗК-1022</x:t>
        </x:is>
      </x:c>
      <x:c r="D340" s="31" t="inlineStr">
        <x:is>
          <x:t xml:space="preserve">ПОЗ-0022-2</x:t>
        </x:is>
      </x:c>
      <x:c r="E340" s="31" t="inlineStr">
        <x:is>
          <x:t xml:space="preserve">ИЗД-032</x:t>
        </x:is>
      </x:c>
      <x:c r="F340" s="31" t="n">
        <x:v>30</x:v>
      </x:c>
      <x:c r="G340" s="31" t="inlineStr">
        <x:is>
          <x:t xml:space="preserve">Упаковка</x:t>
        </x:is>
      </x:c>
      <x:c r="H340" s="31" t="inlineStr">
        <x:is>
          <x:t xml:space="preserve">Логистика</x:t>
        </x:is>
      </x:c>
      <x:c r="I340" s="31" t="n"/>
      <x:c r="J340" s="31" t="inlineStr">
        <x:is>
          <x:t xml:space="preserve">СОТР-104</x:t>
        </x:is>
      </x:c>
      <x:c r="K340" s="31" t="n">
        <x:v>76</x:v>
      </x:c>
      <x:c r="L340" s="31" t="n">
        <x:v>92.8</x:v>
      </x:c>
      <x:c r="M340" s="31" t="n">
        <x:v>46133</x:v>
      </x:c>
      <x:c r="N340" s="31" t="n">
        <x:v>46140</x:v>
      </x:c>
      <x:c r="O340" s="31" t="n">
        <x:v>46133</x:v>
      </x:c>
      <x:c r="P340" s="31" t="n">
        <x:v>46140</x:v>
      </x:c>
      <x:c r="Q340" s="31" t="inlineStr">
        <x:is>
          <x:t xml:space="preserve">Завершено</x:t>
        </x:is>
      </x:c>
      <x:c r="R340" s="31" t="inlineStr">
        <x:is>
          <x:t xml:space="preserve">Нет</x:t>
        </x:is>
      </x:c>
      <x:c r="S340" s="31" t="inlineStr">
        <x:is>
          <x:t xml:space="preserve">Нет</x:t>
        </x:is>
      </x:c>
    </x:row>
    <x:row r="341">
      <x:c r="A341" s="31" t="inlineStr">
        <x:is>
          <x:t xml:space="preserve">ОП-000340</x:t>
        </x:is>
      </x:c>
      <x:c r="B341" s="31" t="inlineStr">
        <x:is>
          <x:t xml:space="preserve">ПЗ-00040</x:t>
        </x:is>
      </x:c>
      <x:c r="C341" s="31" t="inlineStr">
        <x:is>
          <x:t xml:space="preserve">ЗК-1022</x:t>
        </x:is>
      </x:c>
      <x:c r="D341" s="31" t="inlineStr">
        <x:is>
          <x:t xml:space="preserve">ПОЗ-0022-2</x:t>
        </x:is>
      </x:c>
      <x:c r="E341" s="31" t="inlineStr">
        <x:is>
          <x:t xml:space="preserve">ИЗД-032</x:t>
        </x:is>
      </x:c>
      <x:c r="F341" s="31" t="n">
        <x:v>40</x:v>
      </x:c>
      <x:c r="G341" s="31" t="inlineStr">
        <x:is>
          <x:t xml:space="preserve">ОТК</x:t>
        </x:is>
      </x:c>
      <x:c r="H341" s="31" t="inlineStr">
        <x:is>
          <x:t xml:space="preserve">ОТК</x:t>
        </x:is>
      </x:c>
      <x:c r="I341" s="31" t="inlineStr">
        <x:is>
          <x:t xml:space="preserve">ОБ-001</x:t>
        </x:is>
      </x:c>
      <x:c r="J341" s="31" t="inlineStr">
        <x:is>
          <x:t xml:space="preserve">СОТР-100</x:t>
        </x:is>
      </x:c>
      <x:c r="K341" s="31" t="n">
        <x:v>32.8</x:v>
      </x:c>
      <x:c r="L341" s="31" t="n"/>
      <x:c r="M341" s="31" t="n">
        <x:v>46140</x:v>
      </x:c>
      <x:c r="N341" s="31" t="n">
        <x:v>46143</x:v>
      </x:c>
      <x:c r="O341" s="31" t="n">
        <x:v>46140</x:v>
      </x:c>
      <x:c r="P341" s="31" t="n"/>
      <x:c r="Q341" s="31" t="inlineStr">
        <x:is>
          <x:t xml:space="preserve">В работе</x:t>
        </x:is>
      </x:c>
      <x:c r="R341" s="31" t="inlineStr">
        <x:is>
          <x:t xml:space="preserve">Нет</x:t>
        </x:is>
      </x:c>
      <x:c r="S341" s="31" t="inlineStr">
        <x:is>
          <x:t xml:space="preserve">Нет</x:t>
        </x:is>
      </x:c>
    </x:row>
    <x:row r="342">
      <x:c r="A342" s="31" t="inlineStr">
        <x:is>
          <x:t xml:space="preserve">ОП-000341</x:t>
        </x:is>
      </x:c>
      <x:c r="B342" s="31" t="inlineStr">
        <x:is>
          <x:t xml:space="preserve">ПЗ-00041</x:t>
        </x:is>
      </x:c>
      <x:c r="C342" s="31" t="inlineStr">
        <x:is>
          <x:t xml:space="preserve">ЗК-1023</x:t>
        </x:is>
      </x:c>
      <x:c r="D342" s="31" t="inlineStr">
        <x:is>
          <x:t xml:space="preserve">ПОЗ-0023-1</x:t>
        </x:is>
      </x:c>
      <x:c r="E342" s="31" t="inlineStr">
        <x:is>
          <x:t xml:space="preserve">ИЗД-010</x:t>
        </x:is>
      </x:c>
      <x:c r="F342" s="31" t="n">
        <x:v>10</x:v>
      </x:c>
      <x:c r="G342" s="31" t="inlineStr">
        <x:is>
          <x:t xml:space="preserve">КД</x:t>
        </x:is>
      </x:c>
      <x:c r="H342" s="31" t="inlineStr">
        <x:is>
          <x:t xml:space="preserve">Инженерный отдел</x:t>
        </x:is>
      </x:c>
      <x:c r="I342" s="31" t="n"/>
      <x:c r="J342" s="31" t="inlineStr">
        <x:is>
          <x:t xml:space="preserve">СОТР-021</x:t>
        </x:is>
      </x:c>
      <x:c r="K342" s="31" t="n">
        <x:v>7.7</x:v>
      </x:c>
      <x:c r="L342" s="31" t="n">
        <x:v>10.4</x:v>
      </x:c>
      <x:c r="M342" s="31" t="n">
        <x:v>46188</x:v>
      </x:c>
      <x:c r="N342" s="31" t="n">
        <x:v>46189</x:v>
      </x:c>
      <x:c r="O342" s="31" t="n">
        <x:v>46188</x:v>
      </x:c>
      <x:c r="P342" s="31" t="n">
        <x:v>46190</x:v>
      </x:c>
      <x:c r="Q342" s="31" t="inlineStr">
        <x:is>
          <x:t xml:space="preserve">Завершено</x:t>
        </x:is>
      </x:c>
      <x:c r="R342" s="31" t="inlineStr">
        <x:is>
          <x:t xml:space="preserve">Нет</x:t>
        </x:is>
      </x:c>
      <x:c r="S342" s="31" t="inlineStr">
        <x:is>
          <x:t xml:space="preserve">Нет</x:t>
        </x:is>
      </x:c>
    </x:row>
    <x:row r="343">
      <x:c r="A343" s="31" t="inlineStr">
        <x:is>
          <x:t xml:space="preserve">ОП-000342</x:t>
        </x:is>
      </x:c>
      <x:c r="B343" s="31" t="inlineStr">
        <x:is>
          <x:t xml:space="preserve">ПЗ-00041</x:t>
        </x:is>
      </x:c>
      <x:c r="C343" s="31" t="inlineStr">
        <x:is>
          <x:t xml:space="preserve">ЗК-1023</x:t>
        </x:is>
      </x:c>
      <x:c r="D343" s="31" t="inlineStr">
        <x:is>
          <x:t xml:space="preserve">ПОЗ-0023-1</x:t>
        </x:is>
      </x:c>
      <x:c r="E343" s="31" t="inlineStr">
        <x:is>
          <x:t xml:space="preserve">ИЗД-010</x:t>
        </x:is>
      </x:c>
      <x:c r="F343" s="31" t="n">
        <x:v>20</x:v>
      </x:c>
      <x:c r="G343" s="31" t="inlineStr">
        <x:is>
          <x:t xml:space="preserve">Комплектация</x:t>
        </x:is>
      </x:c>
      <x:c r="H343" s="31" t="inlineStr">
        <x:is>
          <x:t xml:space="preserve">Склад</x:t>
        </x:is>
      </x:c>
      <x:c r="I343" s="31" t="inlineStr">
        <x:is>
          <x:t xml:space="preserve">ОБ-025</x:t>
        </x:is>
      </x:c>
      <x:c r="J343" s="31" t="inlineStr">
        <x:is>
          <x:t xml:space="preserve">СОТР-033</x:t>
        </x:is>
      </x:c>
      <x:c r="K343" s="31" t="n">
        <x:v>5.8</x:v>
      </x:c>
      <x:c r="L343" s="31" t="n">
        <x:v>7.2</x:v>
      </x:c>
      <x:c r="M343" s="31" t="n">
        <x:v>46189</x:v>
      </x:c>
      <x:c r="N343" s="31" t="n">
        <x:v>46190</x:v>
      </x:c>
      <x:c r="O343" s="31" t="n">
        <x:v>46189</x:v>
      </x:c>
      <x:c r="P343" s="31" t="n">
        <x:v>46189</x:v>
      </x:c>
      <x:c r="Q343" s="31" t="inlineStr">
        <x:is>
          <x:t xml:space="preserve">Завершено</x:t>
        </x:is>
      </x:c>
      <x:c r="R343" s="31" t="inlineStr">
        <x:is>
          <x:t xml:space="preserve">Нет</x:t>
        </x:is>
      </x:c>
      <x:c r="S343" s="31" t="inlineStr">
        <x:is>
          <x:t xml:space="preserve">Нет</x:t>
        </x:is>
      </x:c>
    </x:row>
    <x:row r="344">
      <x:c r="A344" s="31" t="inlineStr">
        <x:is>
          <x:t xml:space="preserve">ОП-000343</x:t>
        </x:is>
      </x:c>
      <x:c r="B344" s="31" t="inlineStr">
        <x:is>
          <x:t xml:space="preserve">ПЗ-00041</x:t>
        </x:is>
      </x:c>
      <x:c r="C344" s="31" t="inlineStr">
        <x:is>
          <x:t xml:space="preserve">ЗК-1023</x:t>
        </x:is>
      </x:c>
      <x:c r="D344" s="31" t="inlineStr">
        <x:is>
          <x:t xml:space="preserve">ПОЗ-0023-1</x:t>
        </x:is>
      </x:c>
      <x:c r="E344" s="31" t="inlineStr">
        <x:is>
          <x:t xml:space="preserve">ИЗД-010</x:t>
        </x:is>
      </x:c>
      <x:c r="F344" s="31" t="n">
        <x:v>30</x:v>
      </x:c>
      <x:c r="G344" s="31" t="inlineStr">
        <x:is>
          <x:t xml:space="preserve">Сборка шкафа</x:t>
        </x:is>
      </x:c>
      <x:c r="H344" s="31" t="inlineStr">
        <x:is>
          <x:t xml:space="preserve">Сборка</x:t>
        </x:is>
      </x:c>
      <x:c r="I344" s="31" t="inlineStr">
        <x:is>
          <x:t xml:space="preserve">ОБ-020</x:t>
        </x:is>
      </x:c>
      <x:c r="J344" s="31" t="inlineStr">
        <x:is>
          <x:t xml:space="preserve">СОТР-085</x:t>
        </x:is>
      </x:c>
      <x:c r="K344" s="31" t="n">
        <x:v>6.1</x:v>
      </x:c>
      <x:c r="L344" s="31" t="n">
        <x:v>7.5</x:v>
      </x:c>
      <x:c r="M344" s="31" t="n">
        <x:v>46190</x:v>
      </x:c>
      <x:c r="N344" s="31" t="n">
        <x:v>46191</x:v>
      </x:c>
      <x:c r="O344" s="31" t="n">
        <x:v>46190</x:v>
      </x:c>
      <x:c r="P344" s="31" t="n">
        <x:v>46191</x:v>
      </x:c>
      <x:c r="Q344" s="31" t="inlineStr">
        <x:is>
          <x:t xml:space="preserve">Завершено</x:t>
        </x:is>
      </x:c>
      <x:c r="R344" s="31" t="inlineStr">
        <x:is>
          <x:t xml:space="preserve">Нет</x:t>
        </x:is>
      </x:c>
      <x:c r="S344" s="31" t="inlineStr">
        <x:is>
          <x:t xml:space="preserve">Нет</x:t>
        </x:is>
      </x:c>
    </x:row>
    <x:row r="345">
      <x:c r="A345" s="31" t="inlineStr">
        <x:is>
          <x:t xml:space="preserve">ОП-000344</x:t>
        </x:is>
      </x:c>
      <x:c r="B345" s="31" t="inlineStr">
        <x:is>
          <x:t xml:space="preserve">ПЗ-00041</x:t>
        </x:is>
      </x:c>
      <x:c r="C345" s="31" t="inlineStr">
        <x:is>
          <x:t xml:space="preserve">ЗК-1023</x:t>
        </x:is>
      </x:c>
      <x:c r="D345" s="31" t="inlineStr">
        <x:is>
          <x:t xml:space="preserve">ПОЗ-0023-1</x:t>
        </x:is>
      </x:c>
      <x:c r="E345" s="31" t="inlineStr">
        <x:is>
          <x:t xml:space="preserve">ИЗД-010</x:t>
        </x:is>
      </x:c>
      <x:c r="F345" s="31" t="n">
        <x:v>40</x:v>
      </x:c>
      <x:c r="G345" s="31" t="inlineStr">
        <x:is>
          <x:t xml:space="preserve">Маркировка</x:t>
        </x:is>
      </x:c>
      <x:c r="H345" s="31" t="inlineStr">
        <x:is>
          <x:t xml:space="preserve">Сборка</x:t>
        </x:is>
      </x:c>
      <x:c r="I345" s="31" t="inlineStr">
        <x:is>
          <x:t xml:space="preserve">ОБ-034</x:t>
        </x:is>
      </x:c>
      <x:c r="J345" s="31" t="inlineStr">
        <x:is>
          <x:t xml:space="preserve">СОТР-075</x:t>
        </x:is>
      </x:c>
      <x:c r="K345" s="31" t="n">
        <x:v>2.1</x:v>
      </x:c>
      <x:c r="L345" s="31" t="n">
        <x:v>2.8</x:v>
      </x:c>
      <x:c r="M345" s="31" t="n">
        <x:v>46191</x:v>
      </x:c>
      <x:c r="N345" s="31" t="n">
        <x:v>46192</x:v>
      </x:c>
      <x:c r="O345" s="31" t="n">
        <x:v>46191</x:v>
      </x:c>
      <x:c r="P345" s="31" t="n">
        <x:v>46192</x:v>
      </x:c>
      <x:c r="Q345" s="31" t="inlineStr">
        <x:is>
          <x:t xml:space="preserve">Завершено</x:t>
        </x:is>
      </x:c>
      <x:c r="R345" s="31" t="inlineStr">
        <x:is>
          <x:t xml:space="preserve">Нет</x:t>
        </x:is>
      </x:c>
      <x:c r="S345" s="31" t="inlineStr">
        <x:is>
          <x:t xml:space="preserve">Нет</x:t>
        </x:is>
      </x:c>
    </x:row>
    <x:row r="346">
      <x:c r="A346" s="31" t="inlineStr">
        <x:is>
          <x:t xml:space="preserve">ОП-000345</x:t>
        </x:is>
      </x:c>
      <x:c r="B346" s="31" t="inlineStr">
        <x:is>
          <x:t xml:space="preserve">ПЗ-00041</x:t>
        </x:is>
      </x:c>
      <x:c r="C346" s="31" t="inlineStr">
        <x:is>
          <x:t xml:space="preserve">ЗК-1023</x:t>
        </x:is>
      </x:c>
      <x:c r="D346" s="31" t="inlineStr">
        <x:is>
          <x:t xml:space="preserve">ПОЗ-0023-1</x:t>
        </x:is>
      </x:c>
      <x:c r="E346" s="31" t="inlineStr">
        <x:is>
          <x:t xml:space="preserve">ИЗД-010</x:t>
        </x:is>
      </x:c>
      <x:c r="F346" s="31" t="n">
        <x:v>50</x:v>
      </x:c>
      <x:c r="G346" s="31" t="inlineStr">
        <x:is>
          <x:t xml:space="preserve">Электромонтаж</x:t>
        </x:is>
      </x:c>
      <x:c r="H346" s="31" t="inlineStr">
        <x:is>
          <x:t xml:space="preserve">Сборка</x:t>
        </x:is>
      </x:c>
      <x:c r="I346" s="31" t="inlineStr">
        <x:is>
          <x:t xml:space="preserve">ОБ-020</x:t>
        </x:is>
      </x:c>
      <x:c r="J346" s="31" t="inlineStr">
        <x:is>
          <x:t xml:space="preserve">СОТР-087</x:t>
        </x:is>
      </x:c>
      <x:c r="K346" s="31" t="n">
        <x:v>7.6</x:v>
      </x:c>
      <x:c r="L346" s="31" t="n">
        <x:v>8.4</x:v>
      </x:c>
      <x:c r="M346" s="31" t="n">
        <x:v>46192</x:v>
      </x:c>
      <x:c r="N346" s="31" t="n">
        <x:v>46193</x:v>
      </x:c>
      <x:c r="O346" s="31" t="n">
        <x:v>46192</x:v>
      </x:c>
      <x:c r="P346" s="31" t="n">
        <x:v>46194</x:v>
      </x:c>
      <x:c r="Q346" s="31" t="inlineStr">
        <x:is>
          <x:t xml:space="preserve">Завершено</x:t>
        </x:is>
      </x:c>
      <x:c r="R346" s="31" t="inlineStr">
        <x:is>
          <x:t xml:space="preserve">Нет</x:t>
        </x:is>
      </x:c>
      <x:c r="S346" s="31" t="inlineStr">
        <x:is>
          <x:t xml:space="preserve">Нет</x:t>
        </x:is>
      </x:c>
    </x:row>
    <x:row r="347">
      <x:c r="A347" s="31" t="inlineStr">
        <x:is>
          <x:t xml:space="preserve">ОП-000346</x:t>
        </x:is>
      </x:c>
      <x:c r="B347" s="31" t="inlineStr">
        <x:is>
          <x:t xml:space="preserve">ПЗ-00041</x:t>
        </x:is>
      </x:c>
      <x:c r="C347" s="31" t="inlineStr">
        <x:is>
          <x:t xml:space="preserve">ЗК-1023</x:t>
        </x:is>
      </x:c>
      <x:c r="D347" s="31" t="inlineStr">
        <x:is>
          <x:t xml:space="preserve">ПОЗ-0023-1</x:t>
        </x:is>
      </x:c>
      <x:c r="E347" s="31" t="inlineStr">
        <x:is>
          <x:t xml:space="preserve">ИЗД-010</x:t>
        </x:is>
      </x:c>
      <x:c r="F347" s="31" t="n">
        <x:v>60</x:v>
      </x:c>
      <x:c r="G347" s="31" t="inlineStr">
        <x:is>
          <x:t xml:space="preserve">Программирование ПЛК</x:t>
        </x:is>
      </x:c>
      <x:c r="H347" s="31" t="inlineStr">
        <x:is>
          <x:t xml:space="preserve">Инженерный отдел</x:t>
        </x:is>
      </x:c>
      <x:c r="I347" s="31" t="n"/>
      <x:c r="J347" s="31" t="inlineStr">
        <x:is>
          <x:t xml:space="preserve">СОТР-013</x:t>
        </x:is>
      </x:c>
      <x:c r="K347" s="31" t="n">
        <x:v>8.300000000000001</x:v>
      </x:c>
      <x:c r="L347" s="31" t="n">
        <x:v>7.8</x:v>
      </x:c>
      <x:c r="M347" s="31" t="n">
        <x:v>46193</x:v>
      </x:c>
      <x:c r="N347" s="31" t="n">
        <x:v>46194</x:v>
      </x:c>
      <x:c r="O347" s="31" t="n">
        <x:v>46193</x:v>
      </x:c>
      <x:c r="P347" s="31" t="n">
        <x:v>46193</x:v>
      </x:c>
      <x:c r="Q347" s="31" t="inlineStr">
        <x:is>
          <x:t xml:space="preserve">Завершено</x:t>
        </x:is>
      </x:c>
      <x:c r="R347" s="31" t="inlineStr">
        <x:is>
          <x:t xml:space="preserve">Нет</x:t>
        </x:is>
      </x:c>
      <x:c r="S347" s="31" t="inlineStr">
        <x:is>
          <x:t xml:space="preserve">Нет</x:t>
        </x:is>
      </x:c>
    </x:row>
    <x:row r="348">
      <x:c r="A348" s="31" t="inlineStr">
        <x:is>
          <x:t xml:space="preserve">ОП-000347</x:t>
        </x:is>
      </x:c>
      <x:c r="B348" s="31" t="inlineStr">
        <x:is>
          <x:t xml:space="preserve">ПЗ-00041</x:t>
        </x:is>
      </x:c>
      <x:c r="C348" s="31" t="inlineStr">
        <x:is>
          <x:t xml:space="preserve">ЗК-1023</x:t>
        </x:is>
      </x:c>
      <x:c r="D348" s="31" t="inlineStr">
        <x:is>
          <x:t xml:space="preserve">ПОЗ-0023-1</x:t>
        </x:is>
      </x:c>
      <x:c r="E348" s="31" t="inlineStr">
        <x:is>
          <x:t xml:space="preserve">ИЗД-010</x:t>
        </x:is>
      </x:c>
      <x:c r="F348" s="31" t="n">
        <x:v>70</x:v>
      </x:c>
      <x:c r="G348" s="31" t="inlineStr">
        <x:is>
          <x:t xml:space="preserve">Приемочные испытания</x:t>
        </x:is>
      </x:c>
      <x:c r="H348" s="31" t="inlineStr">
        <x:is>
          <x:t xml:space="preserve">ОТК</x:t>
        </x:is>
      </x:c>
      <x:c r="I348" s="31" t="inlineStr">
        <x:is>
          <x:t xml:space="preserve">ОБ-013</x:t>
        </x:is>
      </x:c>
      <x:c r="J348" s="31" t="inlineStr">
        <x:is>
          <x:t xml:space="preserve">СОТР-093</x:t>
        </x:is>
      </x:c>
      <x:c r="K348" s="31" t="n">
        <x:v>12.6</x:v>
      </x:c>
      <x:c r="L348" s="31" t="n">
        <x:v>11.1</x:v>
      </x:c>
      <x:c r="M348" s="31" t="n">
        <x:v>46194</x:v>
      </x:c>
      <x:c r="N348" s="31" t="n">
        <x:v>46196</x:v>
      </x:c>
      <x:c r="O348" s="31" t="n">
        <x:v>46194</x:v>
      </x:c>
      <x:c r="P348" s="31" t="n">
        <x:v>46195</x:v>
      </x:c>
      <x:c r="Q348" s="31" t="inlineStr">
        <x:is>
          <x:t xml:space="preserve">Завершено</x:t>
        </x:is>
      </x:c>
      <x:c r="R348" s="31" t="inlineStr">
        <x:is>
          <x:t xml:space="preserve">Нет</x:t>
        </x:is>
      </x:c>
      <x:c r="S348" s="31" t="inlineStr">
        <x:is>
          <x:t xml:space="preserve">Нет</x:t>
        </x:is>
      </x:c>
    </x:row>
    <x:row r="349">
      <x:c r="A349" s="31" t="inlineStr">
        <x:is>
          <x:t xml:space="preserve">ОП-000348</x:t>
        </x:is>
      </x:c>
      <x:c r="B349" s="31" t="inlineStr">
        <x:is>
          <x:t xml:space="preserve">ПЗ-00041</x:t>
        </x:is>
      </x:c>
      <x:c r="C349" s="31" t="inlineStr">
        <x:is>
          <x:t xml:space="preserve">ЗК-1023</x:t>
        </x:is>
      </x:c>
      <x:c r="D349" s="31" t="inlineStr">
        <x:is>
          <x:t xml:space="preserve">ПОЗ-0023-1</x:t>
        </x:is>
      </x:c>
      <x:c r="E349" s="31" t="inlineStr">
        <x:is>
          <x:t xml:space="preserve">ИЗД-010</x:t>
        </x:is>
      </x:c>
      <x:c r="F349" s="31" t="n">
        <x:v>80</x:v>
      </x:c>
      <x:c r="G349" s="31" t="inlineStr">
        <x:is>
          <x:t xml:space="preserve">ОТК</x:t>
        </x:is>
      </x:c>
      <x:c r="H349" s="31" t="inlineStr">
        <x:is>
          <x:t xml:space="preserve">ОТК</x:t>
        </x:is>
      </x:c>
      <x:c r="I349" s="31" t="inlineStr">
        <x:is>
          <x:t xml:space="preserve">ОБ-015</x:t>
        </x:is>
      </x:c>
      <x:c r="J349" s="31" t="inlineStr">
        <x:is>
          <x:t xml:space="preserve">СОТР-092</x:t>
        </x:is>
      </x:c>
      <x:c r="K349" s="31" t="n">
        <x:v>9.1</x:v>
      </x:c>
      <x:c r="L349" s="31" t="n">
        <x:v>10.4</x:v>
      </x:c>
      <x:c r="M349" s="31" t="n">
        <x:v>46196</x:v>
      </x:c>
      <x:c r="N349" s="31" t="n">
        <x:v>46197</x:v>
      </x:c>
      <x:c r="O349" s="31" t="n">
        <x:v>46196</x:v>
      </x:c>
      <x:c r="P349" s="31" t="n">
        <x:v>46198</x:v>
      </x:c>
      <x:c r="Q349" s="31" t="inlineStr">
        <x:is>
          <x:t xml:space="preserve">Завершено</x:t>
        </x:is>
      </x:c>
      <x:c r="R349" s="31" t="inlineStr">
        <x:is>
          <x:t xml:space="preserve">Нет</x:t>
        </x:is>
      </x:c>
      <x:c r="S349" s="31" t="inlineStr">
        <x:is>
          <x:t xml:space="preserve">Нет</x:t>
        </x:is>
      </x:c>
    </x:row>
    <x:row r="350">
      <x:c r="A350" s="31" t="inlineStr">
        <x:is>
          <x:t xml:space="preserve">ОП-000349</x:t>
        </x:is>
      </x:c>
      <x:c r="B350" s="31" t="inlineStr">
        <x:is>
          <x:t xml:space="preserve">ПЗ-00041</x:t>
        </x:is>
      </x:c>
      <x:c r="C350" s="31" t="inlineStr">
        <x:is>
          <x:t xml:space="preserve">ЗК-1023</x:t>
        </x:is>
      </x:c>
      <x:c r="D350" s="31" t="inlineStr">
        <x:is>
          <x:t xml:space="preserve">ПОЗ-0023-1</x:t>
        </x:is>
      </x:c>
      <x:c r="E350" s="31" t="inlineStr">
        <x:is>
          <x:t xml:space="preserve">ИЗД-010</x:t>
        </x:is>
      </x:c>
      <x:c r="F350" s="31" t="n">
        <x:v>90</x:v>
      </x:c>
      <x:c r="G350" s="31" t="inlineStr">
        <x:is>
          <x:t xml:space="preserve">Упаковка</x:t>
        </x:is>
      </x:c>
      <x:c r="H350" s="31" t="inlineStr">
        <x:is>
          <x:t xml:space="preserve">Логистика</x:t>
        </x:is>
      </x:c>
      <x:c r="I350" s="31" t="n"/>
      <x:c r="J350" s="31" t="inlineStr">
        <x:is>
          <x:t xml:space="preserve">СОТР-102</x:t>
        </x:is>
      </x:c>
      <x:c r="K350" s="31" t="n">
        <x:v>11.1</x:v>
      </x:c>
      <x:c r="L350" s="31" t="n">
        <x:v>12.5</x:v>
      </x:c>
      <x:c r="M350" s="31" t="n">
        <x:v>46197</x:v>
      </x:c>
      <x:c r="N350" s="31" t="n">
        <x:v>46198</x:v>
      </x:c>
      <x:c r="O350" s="31" t="n">
        <x:v>46197</x:v>
      </x:c>
      <x:c r="P350" s="31" t="n">
        <x:v>46198</x:v>
      </x:c>
      <x:c r="Q350" s="31" t="inlineStr">
        <x:is>
          <x:t xml:space="preserve">Завершено</x:t>
        </x:is>
      </x:c>
      <x:c r="R350" s="31" t="inlineStr">
        <x:is>
          <x:t xml:space="preserve">Нет</x:t>
        </x:is>
      </x:c>
      <x:c r="S350" s="31" t="inlineStr">
        <x:is>
          <x:t xml:space="preserve">Нет</x:t>
        </x:is>
      </x:c>
    </x:row>
    <x:row r="351">
      <x:c r="A351" s="31" t="inlineStr">
        <x:is>
          <x:t xml:space="preserve">ОП-000350</x:t>
        </x:is>
      </x:c>
      <x:c r="B351" s="31" t="inlineStr">
        <x:is>
          <x:t xml:space="preserve">ПЗ-00042</x:t>
        </x:is>
      </x:c>
      <x:c r="C351" s="31" t="inlineStr">
        <x:is>
          <x:t xml:space="preserve">ЗК-1023</x:t>
        </x:is>
      </x:c>
      <x:c r="D351" s="31" t="inlineStr">
        <x:is>
          <x:t xml:space="preserve">ПОЗ-0023-2</x:t>
        </x:is>
      </x:c>
      <x:c r="E351" s="31" t="inlineStr">
        <x:is>
          <x:t xml:space="preserve">ИЗД-021</x:t>
        </x:is>
      </x:c>
      <x:c r="F351" s="31" t="n">
        <x:v>10</x:v>
      </x:c>
      <x:c r="G351" s="31" t="inlineStr">
        <x:is>
          <x:t xml:space="preserve">КД</x:t>
        </x:is>
      </x:c>
      <x:c r="H351" s="31" t="inlineStr">
        <x:is>
          <x:t xml:space="preserve">Инженерный отдел</x:t>
        </x:is>
      </x:c>
      <x:c r="I351" s="31" t="n"/>
      <x:c r="J351" s="31" t="inlineStr">
        <x:is>
          <x:t xml:space="preserve">СОТР-016</x:t>
        </x:is>
      </x:c>
      <x:c r="K351" s="31" t="n">
        <x:v>14.4</x:v>
      </x:c>
      <x:c r="L351" s="31" t="n">
        <x:v>19.1</x:v>
      </x:c>
      <x:c r="M351" s="31" t="n">
        <x:v>46186</x:v>
      </x:c>
      <x:c r="N351" s="31" t="n">
        <x:v>46188</x:v>
      </x:c>
      <x:c r="O351" s="31" t="n">
        <x:v>46186</x:v>
      </x:c>
      <x:c r="P351" s="31" t="n">
        <x:v>46189</x:v>
      </x:c>
      <x:c r="Q351" s="31" t="inlineStr">
        <x:is>
          <x:t xml:space="preserve">Завершено</x:t>
        </x:is>
      </x:c>
      <x:c r="R351" s="31" t="inlineStr">
        <x:is>
          <x:t xml:space="preserve">Нет</x:t>
        </x:is>
      </x:c>
      <x:c r="S351" s="31" t="inlineStr">
        <x:is>
          <x:t xml:space="preserve">Да</x:t>
        </x:is>
      </x:c>
    </x:row>
    <x:row r="352">
      <x:c r="A352" s="31" t="inlineStr">
        <x:is>
          <x:t xml:space="preserve">ОП-000351</x:t>
        </x:is>
      </x:c>
      <x:c r="B352" s="31" t="inlineStr">
        <x:is>
          <x:t xml:space="preserve">ПЗ-00042</x:t>
        </x:is>
      </x:c>
      <x:c r="C352" s="31" t="inlineStr">
        <x:is>
          <x:t xml:space="preserve">ЗК-1023</x:t>
        </x:is>
      </x:c>
      <x:c r="D352" s="31" t="inlineStr">
        <x:is>
          <x:t xml:space="preserve">ПОЗ-0023-2</x:t>
        </x:is>
      </x:c>
      <x:c r="E352" s="31" t="inlineStr">
        <x:is>
          <x:t xml:space="preserve">ИЗД-021</x:t>
        </x:is>
      </x:c>
      <x:c r="F352" s="31" t="n">
        <x:v>20</x:v>
      </x:c>
      <x:c r="G352" s="31" t="inlineStr">
        <x:is>
          <x:t xml:space="preserve">Резерв материалов</x:t>
        </x:is>
      </x:c>
      <x:c r="H352" s="31" t="inlineStr">
        <x:is>
          <x:t xml:space="preserve">Склад</x:t>
        </x:is>
      </x:c>
      <x:c r="I352" s="31" t="inlineStr">
        <x:is>
          <x:t xml:space="preserve">ОБ-023</x:t>
        </x:is>
      </x:c>
      <x:c r="J352" s="31" t="inlineStr">
        <x:is>
          <x:t xml:space="preserve">СОТР-035</x:t>
        </x:is>
      </x:c>
      <x:c r="K352" s="31" t="n">
        <x:v>70.8</x:v>
      </x:c>
      <x:c r="L352" s="31" t="n"/>
      <x:c r="M352" s="31" t="n">
        <x:v>46188</x:v>
      </x:c>
      <x:c r="N352" s="31" t="n">
        <x:v>46194</x:v>
      </x:c>
      <x:c r="O352" s="31" t="n"/>
      <x:c r="P352" s="31" t="n"/>
      <x:c r="Q352" s="31" t="inlineStr">
        <x:is>
          <x:t xml:space="preserve">Запланировано</x:t>
        </x:is>
      </x:c>
      <x:c r="R352" s="31" t="inlineStr">
        <x:is>
          <x:t xml:space="preserve">Нет</x:t>
        </x:is>
      </x:c>
      <x:c r="S352" s="31" t="inlineStr">
        <x:is>
          <x:t xml:space="preserve">Да</x:t>
        </x:is>
      </x:c>
    </x:row>
    <x:row r="353">
      <x:c r="A353" s="31" t="inlineStr">
        <x:is>
          <x:t xml:space="preserve">ОП-000352</x:t>
        </x:is>
      </x:c>
      <x:c r="B353" s="31" t="inlineStr">
        <x:is>
          <x:t xml:space="preserve">ПЗ-00042</x:t>
        </x:is>
      </x:c>
      <x:c r="C353" s="31" t="inlineStr">
        <x:is>
          <x:t xml:space="preserve">ЗК-1023</x:t>
        </x:is>
      </x:c>
      <x:c r="D353" s="31" t="inlineStr">
        <x:is>
          <x:t xml:space="preserve">ПОЗ-0023-2</x:t>
        </x:is>
      </x:c>
      <x:c r="E353" s="31" t="inlineStr">
        <x:is>
          <x:t xml:space="preserve">ИЗД-021</x:t>
        </x:is>
      </x:c>
      <x:c r="F353" s="31" t="n">
        <x:v>30</x:v>
      </x:c>
      <x:c r="G353" s="31" t="inlineStr">
        <x:is>
          <x:t xml:space="preserve">Сварка рамы</x:t>
        </x:is>
      </x:c>
      <x:c r="H353" s="31" t="inlineStr">
        <x:is>
          <x:t xml:space="preserve">Сварка</x:t>
        </x:is>
      </x:c>
      <x:c r="I353" s="31" t="inlineStr">
        <x:is>
          <x:t xml:space="preserve">ОБ-010</x:t>
        </x:is>
      </x:c>
      <x:c r="J353" s="31" t="inlineStr">
        <x:is>
          <x:t xml:space="preserve">СОТР-059</x:t>
        </x:is>
      </x:c>
      <x:c r="K353" s="31" t="n">
        <x:v>70</x:v>
      </x:c>
      <x:c r="L353" s="31" t="n"/>
      <x:c r="M353" s="31" t="n">
        <x:v>46194</x:v>
      </x:c>
      <x:c r="N353" s="31" t="n">
        <x:v>46200</x:v>
      </x:c>
      <x:c r="O353" s="31" t="n"/>
      <x:c r="P353" s="31" t="n"/>
      <x:c r="Q353" s="31" t="inlineStr">
        <x:is>
          <x:t xml:space="preserve">Запланировано</x:t>
        </x:is>
      </x:c>
      <x:c r="R353" s="31" t="inlineStr">
        <x:is>
          <x:t xml:space="preserve">Нет</x:t>
        </x:is>
      </x:c>
      <x:c r="S353" s="31" t="inlineStr">
        <x:is>
          <x:t xml:space="preserve">Нет</x:t>
        </x:is>
      </x:c>
    </x:row>
    <x:row r="354">
      <x:c r="A354" s="31" t="inlineStr">
        <x:is>
          <x:t xml:space="preserve">ОП-000353</x:t>
        </x:is>
      </x:c>
      <x:c r="B354" s="31" t="inlineStr">
        <x:is>
          <x:t xml:space="preserve">ПЗ-00042</x:t>
        </x:is>
      </x:c>
      <x:c r="C354" s="31" t="inlineStr">
        <x:is>
          <x:t xml:space="preserve">ЗК-1023</x:t>
        </x:is>
      </x:c>
      <x:c r="D354" s="31" t="inlineStr">
        <x:is>
          <x:t xml:space="preserve">ПОЗ-0023-2</x:t>
        </x:is>
      </x:c>
      <x:c r="E354" s="31" t="inlineStr">
        <x:is>
          <x:t xml:space="preserve">ИЗД-021</x:t>
        </x:is>
      </x:c>
      <x:c r="F354" s="31" t="n">
        <x:v>40</x:v>
      </x:c>
      <x:c r="G354" s="31" t="inlineStr">
        <x:is>
          <x:t xml:space="preserve">Сборка</x:t>
        </x:is>
      </x:c>
      <x:c r="H354" s="31" t="inlineStr">
        <x:is>
          <x:t xml:space="preserve">Сборка</x:t>
        </x:is>
      </x:c>
      <x:c r="I354" s="31" t="inlineStr">
        <x:is>
          <x:t xml:space="preserve">ОБ-034</x:t>
        </x:is>
      </x:c>
      <x:c r="J354" s="31" t="inlineStr">
        <x:is>
          <x:t xml:space="preserve">СОТР-086</x:t>
        </x:is>
      </x:c>
      <x:c r="K354" s="31" t="n">
        <x:v>58</x:v>
      </x:c>
      <x:c r="L354" s="31" t="n">
        <x:v>64.40000000000001</x:v>
      </x:c>
      <x:c r="M354" s="31" t="n">
        <x:v>46200</x:v>
      </x:c>
      <x:c r="N354" s="31" t="n">
        <x:v>46205</x:v>
      </x:c>
      <x:c r="O354" s="31" t="n">
        <x:v>46200</x:v>
      </x:c>
      <x:c r="P354" s="31" t="n">
        <x:v>46207</x:v>
      </x:c>
      <x:c r="Q354" s="31" t="inlineStr">
        <x:is>
          <x:t xml:space="preserve">Завершено</x:t>
        </x:is>
      </x:c>
      <x:c r="R354" s="31" t="inlineStr">
        <x:is>
          <x:t xml:space="preserve">Нет</x:t>
        </x:is>
      </x:c>
      <x:c r="S354" s="31" t="inlineStr">
        <x:is>
          <x:t xml:space="preserve">Нет</x:t>
        </x:is>
      </x:c>
    </x:row>
    <x:row r="355">
      <x:c r="A355" s="31" t="inlineStr">
        <x:is>
          <x:t xml:space="preserve">ОП-000354</x:t>
        </x:is>
      </x:c>
      <x:c r="B355" s="31" t="inlineStr">
        <x:is>
          <x:t xml:space="preserve">ПЗ-00042</x:t>
        </x:is>
      </x:c>
      <x:c r="C355" s="31" t="inlineStr">
        <x:is>
          <x:t xml:space="preserve">ЗК-1023</x:t>
        </x:is>
      </x:c>
      <x:c r="D355" s="31" t="inlineStr">
        <x:is>
          <x:t xml:space="preserve">ПОЗ-0023-2</x:t>
        </x:is>
      </x:c>
      <x:c r="E355" s="31" t="inlineStr">
        <x:is>
          <x:t xml:space="preserve">ИЗД-021</x:t>
        </x:is>
      </x:c>
      <x:c r="F355" s="31" t="n">
        <x:v>50</x:v>
      </x:c>
      <x:c r="G355" s="31" t="inlineStr">
        <x:is>
          <x:t xml:space="preserve">Обвязка труб</x:t>
        </x:is>
      </x:c>
      <x:c r="H355" s="31" t="inlineStr">
        <x:is>
          <x:t xml:space="preserve">Сборка</x:t>
        </x:is>
      </x:c>
      <x:c r="I355" s="31" t="inlineStr">
        <x:is>
          <x:t xml:space="preserve">ОБ-005</x:t>
        </x:is>
      </x:c>
      <x:c r="J355" s="31" t="inlineStr">
        <x:is>
          <x:t xml:space="preserve">СОТР-083</x:t>
        </x:is>
      </x:c>
      <x:c r="K355" s="31" t="n">
        <x:v>60.4</x:v>
      </x:c>
      <x:c r="L355" s="31" t="n">
        <x:v>60.6</x:v>
      </x:c>
      <x:c r="M355" s="31" t="n">
        <x:v>46205</x:v>
      </x:c>
      <x:c r="N355" s="31" t="n">
        <x:v>46211</x:v>
      </x:c>
      <x:c r="O355" s="31" t="n">
        <x:v>46205</x:v>
      </x:c>
      <x:c r="P355" s="31" t="n">
        <x:v>46210</x:v>
      </x:c>
      <x:c r="Q355" s="31" t="inlineStr">
        <x:is>
          <x:t xml:space="preserve">Завершено</x:t>
        </x:is>
      </x:c>
      <x:c r="R355" s="31" t="inlineStr">
        <x:is>
          <x:t xml:space="preserve">Нет</x:t>
        </x:is>
      </x:c>
      <x:c r="S355" s="31" t="inlineStr">
        <x:is>
          <x:t xml:space="preserve">Нет</x:t>
        </x:is>
      </x:c>
    </x:row>
    <x:row r="356">
      <x:c r="A356" s="31" t="inlineStr">
        <x:is>
          <x:t xml:space="preserve">ОП-000355</x:t>
        </x:is>
      </x:c>
      <x:c r="B356" s="31" t="inlineStr">
        <x:is>
          <x:t xml:space="preserve">ПЗ-00042</x:t>
        </x:is>
      </x:c>
      <x:c r="C356" s="31" t="inlineStr">
        <x:is>
          <x:t xml:space="preserve">ЗК-1023</x:t>
        </x:is>
      </x:c>
      <x:c r="D356" s="31" t="inlineStr">
        <x:is>
          <x:t xml:space="preserve">ПОЗ-0023-2</x:t>
        </x:is>
      </x:c>
      <x:c r="E356" s="31" t="inlineStr">
        <x:is>
          <x:t xml:space="preserve">ИЗД-021</x:t>
        </x:is>
      </x:c>
      <x:c r="F356" s="31" t="n">
        <x:v>60</x:v>
      </x:c>
      <x:c r="G356" s="31" t="inlineStr">
        <x:is>
          <x:t xml:space="preserve">Электромонтаж</x:t>
        </x:is>
      </x:c>
      <x:c r="H356" s="31" t="inlineStr">
        <x:is>
          <x:t xml:space="preserve">Сборка</x:t>
        </x:is>
      </x:c>
      <x:c r="I356" s="31" t="inlineStr">
        <x:is>
          <x:t xml:space="preserve">ОБ-012</x:t>
        </x:is>
      </x:c>
      <x:c r="J356" s="31" t="inlineStr">
        <x:is>
          <x:t xml:space="preserve">СОТР-085</x:t>
        </x:is>
      </x:c>
      <x:c r="K356" s="31" t="n">
        <x:v>54</x:v>
      </x:c>
      <x:c r="L356" s="31" t="n"/>
      <x:c r="M356" s="31" t="n">
        <x:v>46211</x:v>
      </x:c>
      <x:c r="N356" s="31" t="n">
        <x:v>46216</x:v>
      </x:c>
      <x:c r="O356" s="31" t="n">
        <x:v>46211</x:v>
      </x:c>
      <x:c r="P356" s="31" t="n"/>
      <x:c r="Q356" s="31" t="inlineStr">
        <x:is>
          <x:t xml:space="preserve">В работе</x:t>
        </x:is>
      </x:c>
      <x:c r="R356" s="31" t="inlineStr">
        <x:is>
          <x:t xml:space="preserve">Нет</x:t>
        </x:is>
      </x:c>
      <x:c r="S356" s="31" t="inlineStr">
        <x:is>
          <x:t xml:space="preserve">Нет</x:t>
        </x:is>
      </x:c>
    </x:row>
    <x:row r="357">
      <x:c r="A357" s="31" t="inlineStr">
        <x:is>
          <x:t xml:space="preserve">ОП-000356</x:t>
        </x:is>
      </x:c>
      <x:c r="B357" s="31" t="inlineStr">
        <x:is>
          <x:t xml:space="preserve">ПЗ-00042</x:t>
        </x:is>
      </x:c>
      <x:c r="C357" s="31" t="inlineStr">
        <x:is>
          <x:t xml:space="preserve">ЗК-1023</x:t>
        </x:is>
      </x:c>
      <x:c r="D357" s="31" t="inlineStr">
        <x:is>
          <x:t xml:space="preserve">ПОЗ-0023-2</x:t>
        </x:is>
      </x:c>
      <x:c r="E357" s="31" t="inlineStr">
        <x:is>
          <x:t xml:space="preserve">ИЗД-021</x:t>
        </x:is>
      </x:c>
      <x:c r="F357" s="31" t="n">
        <x:v>70</x:v>
      </x:c>
      <x:c r="G357" s="31" t="inlineStr">
        <x:is>
          <x:t xml:space="preserve">Гидроиспытания</x:t>
        </x:is>
      </x:c>
      <x:c r="H357" s="31" t="inlineStr">
        <x:is>
          <x:t xml:space="preserve">ОТК</x:t>
        </x:is>
      </x:c>
      <x:c r="I357" s="31" t="inlineStr">
        <x:is>
          <x:t xml:space="preserve">ОБ-032</x:t>
        </x:is>
      </x:c>
      <x:c r="J357" s="31" t="inlineStr">
        <x:is>
          <x:t xml:space="preserve">СОТР-096</x:t>
        </x:is>
      </x:c>
      <x:c r="K357" s="31" t="n">
        <x:v>33.6</x:v>
      </x:c>
      <x:c r="L357" s="31" t="n"/>
      <x:c r="M357" s="31" t="n">
        <x:v>46216</x:v>
      </x:c>
      <x:c r="N357" s="31" t="n">
        <x:v>46219</x:v>
      </x:c>
      <x:c r="O357" s="31" t="n"/>
      <x:c r="P357" s="31" t="n"/>
      <x:c r="Q357" s="31" t="inlineStr">
        <x:is>
          <x:t xml:space="preserve">Запланировано</x:t>
        </x:is>
      </x:c>
      <x:c r="R357" s="31" t="inlineStr">
        <x:is>
          <x:t xml:space="preserve">Нет</x:t>
        </x:is>
      </x:c>
      <x:c r="S357" s="31" t="inlineStr">
        <x:is>
          <x:t xml:space="preserve">Нет</x:t>
        </x:is>
      </x:c>
    </x:row>
    <x:row r="358">
      <x:c r="A358" s="31" t="inlineStr">
        <x:is>
          <x:t xml:space="preserve">ОП-000357</x:t>
        </x:is>
      </x:c>
      <x:c r="B358" s="31" t="inlineStr">
        <x:is>
          <x:t xml:space="preserve">ПЗ-00042</x:t>
        </x:is>
      </x:c>
      <x:c r="C358" s="31" t="inlineStr">
        <x:is>
          <x:t xml:space="preserve">ЗК-1023</x:t>
        </x:is>
      </x:c>
      <x:c r="D358" s="31" t="inlineStr">
        <x:is>
          <x:t xml:space="preserve">ПОЗ-0023-2</x:t>
        </x:is>
      </x:c>
      <x:c r="E358" s="31" t="inlineStr">
        <x:is>
          <x:t xml:space="preserve">ИЗД-021</x:t>
        </x:is>
      </x:c>
      <x:c r="F358" s="31" t="n">
        <x:v>80</x:v>
      </x:c>
      <x:c r="G358" s="31" t="inlineStr">
        <x:is>
          <x:t xml:space="preserve">ОТК</x:t>
        </x:is>
      </x:c>
      <x:c r="H358" s="31" t="inlineStr">
        <x:is>
          <x:t xml:space="preserve">ОТК</x:t>
        </x:is>
      </x:c>
      <x:c r="I358" s="31" t="inlineStr">
        <x:is>
          <x:t xml:space="preserve">ОБ-033</x:t>
        </x:is>
      </x:c>
      <x:c r="J358" s="31" t="inlineStr">
        <x:is>
          <x:t xml:space="preserve">СОТР-099</x:t>
        </x:is>
      </x:c>
      <x:c r="K358" s="31" t="n">
        <x:v>9.6</x:v>
      </x:c>
      <x:c r="L358" s="31" t="n"/>
      <x:c r="M358" s="31" t="n">
        <x:v>46219</x:v>
      </x:c>
      <x:c r="N358" s="31" t="n">
        <x:v>46220</x:v>
      </x:c>
      <x:c r="O358" s="31" t="n"/>
      <x:c r="P358" s="31" t="n"/>
      <x:c r="Q358" s="31" t="inlineStr">
        <x:is>
          <x:t xml:space="preserve">Запланировано</x:t>
        </x:is>
      </x:c>
      <x:c r="R358" s="31" t="inlineStr">
        <x:is>
          <x:t xml:space="preserve">Нет</x:t>
        </x:is>
      </x:c>
      <x:c r="S358" s="31" t="inlineStr">
        <x:is>
          <x:t xml:space="preserve">Нет</x:t>
        </x:is>
      </x:c>
    </x:row>
    <x:row r="359">
      <x:c r="A359" s="31" t="inlineStr">
        <x:is>
          <x:t xml:space="preserve">ОП-000358</x:t>
        </x:is>
      </x:c>
      <x:c r="B359" s="31" t="inlineStr">
        <x:is>
          <x:t xml:space="preserve">ПЗ-00042</x:t>
        </x:is>
      </x:c>
      <x:c r="C359" s="31" t="inlineStr">
        <x:is>
          <x:t xml:space="preserve">ЗК-1023</x:t>
        </x:is>
      </x:c>
      <x:c r="D359" s="31" t="inlineStr">
        <x:is>
          <x:t xml:space="preserve">ПОЗ-0023-2</x:t>
        </x:is>
      </x:c>
      <x:c r="E359" s="31" t="inlineStr">
        <x:is>
          <x:t xml:space="preserve">ИЗД-021</x:t>
        </x:is>
      </x:c>
      <x:c r="F359" s="31" t="n">
        <x:v>90</x:v>
      </x:c>
      <x:c r="G359" s="31" t="inlineStr">
        <x:is>
          <x:t xml:space="preserve">Упаковка</x:t>
        </x:is>
      </x:c>
      <x:c r="H359" s="31" t="inlineStr">
        <x:is>
          <x:t xml:space="preserve">Логистика</x:t>
        </x:is>
      </x:c>
      <x:c r="I359" s="31" t="n"/>
      <x:c r="J359" s="31" t="inlineStr">
        <x:is>
          <x:t xml:space="preserve">СОТР-070</x:t>
        </x:is>
      </x:c>
      <x:c r="K359" s="31" t="n">
        <x:v>68.8</x:v>
      </x:c>
      <x:c r="L359" s="31" t="n"/>
      <x:c r="M359" s="31" t="n">
        <x:v>46220</x:v>
      </x:c>
      <x:c r="N359" s="31" t="n">
        <x:v>46226</x:v>
      </x:c>
      <x:c r="O359" s="31" t="n">
        <x:v>46220</x:v>
      </x:c>
      <x:c r="P359" s="31" t="n"/>
      <x:c r="Q359" s="31" t="inlineStr">
        <x:is>
          <x:t xml:space="preserve">В работе</x:t>
        </x:is>
      </x:c>
      <x:c r="R359" s="31" t="inlineStr">
        <x:is>
          <x:t xml:space="preserve">Нет</x:t>
        </x:is>
      </x:c>
      <x:c r="S359" s="31" t="inlineStr">
        <x:is>
          <x:t xml:space="preserve">Нет</x:t>
        </x:is>
      </x:c>
    </x:row>
    <x:row r="360">
      <x:c r="A360" s="31" t="inlineStr">
        <x:is>
          <x:t xml:space="preserve">ОП-000359</x:t>
        </x:is>
      </x:c>
      <x:c r="B360" s="31" t="inlineStr">
        <x:is>
          <x:t xml:space="preserve">ПЗ-00043</x:t>
        </x:is>
      </x:c>
      <x:c r="C360" s="31" t="inlineStr">
        <x:is>
          <x:t xml:space="preserve">ЗК-1023</x:t>
        </x:is>
      </x:c>
      <x:c r="D360" s="31" t="inlineStr">
        <x:is>
          <x:t xml:space="preserve">ПОЗ-0023-3</x:t>
        </x:is>
      </x:c>
      <x:c r="E360" s="31" t="inlineStr">
        <x:is>
          <x:t xml:space="preserve">ИЗД-008</x:t>
        </x:is>
      </x:c>
      <x:c r="F360" s="31" t="n">
        <x:v>10</x:v>
      </x:c>
      <x:c r="G360" s="31" t="inlineStr">
        <x:is>
          <x:t xml:space="preserve">Комплектация</x:t>
        </x:is>
      </x:c>
      <x:c r="H360" s="31" t="inlineStr">
        <x:is>
          <x:t xml:space="preserve">Склад</x:t>
        </x:is>
      </x:c>
      <x:c r="I360" s="31" t="inlineStr">
        <x:is>
          <x:t xml:space="preserve">ОБ-011</x:t>
        </x:is>
      </x:c>
      <x:c r="J360" s="31" t="inlineStr">
        <x:is>
          <x:t xml:space="preserve">СОТР-036</x:t>
        </x:is>
      </x:c>
      <x:c r="K360" s="31" t="n">
        <x:v>73.5</x:v>
      </x:c>
      <x:c r="L360" s="31" t="n"/>
      <x:c r="M360" s="31" t="n">
        <x:v>46185</x:v>
      </x:c>
      <x:c r="N360" s="31" t="n">
        <x:v>46192</x:v>
      </x:c>
      <x:c r="O360" s="31" t="n"/>
      <x:c r="P360" s="31" t="n"/>
      <x:c r="Q360" s="31" t="inlineStr">
        <x:is>
          <x:t xml:space="preserve">Запланировано</x:t>
        </x:is>
      </x:c>
      <x:c r="R360" s="31" t="inlineStr">
        <x:is>
          <x:t xml:space="preserve">Нет</x:t>
        </x:is>
      </x:c>
      <x:c r="S360" s="31" t="inlineStr">
        <x:is>
          <x:t xml:space="preserve">Нет</x:t>
        </x:is>
      </x:c>
    </x:row>
    <x:row r="361">
      <x:c r="A361" s="31" t="inlineStr">
        <x:is>
          <x:t xml:space="preserve">ОП-000360</x:t>
        </x:is>
      </x:c>
      <x:c r="B361" s="31" t="inlineStr">
        <x:is>
          <x:t xml:space="preserve">ПЗ-00043</x:t>
        </x:is>
      </x:c>
      <x:c r="C361" s="31" t="inlineStr">
        <x:is>
          <x:t xml:space="preserve">ЗК-1023</x:t>
        </x:is>
      </x:c>
      <x:c r="D361" s="31" t="inlineStr">
        <x:is>
          <x:t xml:space="preserve">ПОЗ-0023-3</x:t>
        </x:is>
      </x:c>
      <x:c r="E361" s="31" t="inlineStr">
        <x:is>
          <x:t xml:space="preserve">ИЗД-008</x:t>
        </x:is>
      </x:c>
      <x:c r="F361" s="31" t="n">
        <x:v>20</x:v>
      </x:c>
      <x:c r="G361" s="31" t="inlineStr">
        <x:is>
          <x:t xml:space="preserve">Входной контроль</x:t>
        </x:is>
      </x:c>
      <x:c r="H361" s="31" t="inlineStr">
        <x:is>
          <x:t xml:space="preserve">ОТК</x:t>
        </x:is>
      </x:c>
      <x:c r="I361" s="31" t="inlineStr">
        <x:is>
          <x:t xml:space="preserve">ОБ-001</x:t>
        </x:is>
      </x:c>
      <x:c r="J361" s="31" t="inlineStr">
        <x:is>
          <x:t xml:space="preserve">СОТР-093</x:t>
        </x:is>
      </x:c>
      <x:c r="K361" s="31" t="n">
        <x:v>124.5</x:v>
      </x:c>
      <x:c r="L361" s="31" t="n"/>
      <x:c r="M361" s="31" t="n">
        <x:v>46192</x:v>
      </x:c>
      <x:c r="N361" s="31" t="n">
        <x:v>46203</x:v>
      </x:c>
      <x:c r="O361" s="31" t="n"/>
      <x:c r="P361" s="31" t="n"/>
      <x:c r="Q361" s="31" t="inlineStr">
        <x:is>
          <x:t xml:space="preserve">Запланировано</x:t>
        </x:is>
      </x:c>
      <x:c r="R361" s="31" t="inlineStr">
        <x:is>
          <x:t xml:space="preserve">Нет</x:t>
        </x:is>
      </x:c>
      <x:c r="S361" s="31" t="inlineStr">
        <x:is>
          <x:t xml:space="preserve">Нет</x:t>
        </x:is>
      </x:c>
    </x:row>
    <x:row r="362">
      <x:c r="A362" s="31" t="inlineStr">
        <x:is>
          <x:t xml:space="preserve">ОП-000361</x:t>
        </x:is>
      </x:c>
      <x:c r="B362" s="31" t="inlineStr">
        <x:is>
          <x:t xml:space="preserve">ПЗ-00043</x:t>
        </x:is>
      </x:c>
      <x:c r="C362" s="31" t="inlineStr">
        <x:is>
          <x:t xml:space="preserve">ЗК-1023</x:t>
        </x:is>
      </x:c>
      <x:c r="D362" s="31" t="inlineStr">
        <x:is>
          <x:t xml:space="preserve">ПОЗ-0023-3</x:t>
        </x:is>
      </x:c>
      <x:c r="E362" s="31" t="inlineStr">
        <x:is>
          <x:t xml:space="preserve">ИЗД-008</x:t>
        </x:is>
      </x:c>
      <x:c r="F362" s="31" t="n">
        <x:v>30</x:v>
      </x:c>
      <x:c r="G362" s="31" t="inlineStr">
        <x:is>
          <x:t xml:space="preserve">Упаковка</x:t>
        </x:is>
      </x:c>
      <x:c r="H362" s="31" t="inlineStr">
        <x:is>
          <x:t xml:space="preserve">Логистика</x:t>
        </x:is>
      </x:c>
      <x:c r="I362" s="31" t="n"/>
      <x:c r="J362" s="31" t="inlineStr">
        <x:is>
          <x:t xml:space="preserve">СОТР-070</x:t>
        </x:is>
      </x:c>
      <x:c r="K362" s="31" t="n">
        <x:v>72</x:v>
      </x:c>
      <x:c r="L362" s="31" t="n"/>
      <x:c r="M362" s="31" t="n">
        <x:v>46203</x:v>
      </x:c>
      <x:c r="N362" s="31" t="n">
        <x:v>46209</x:v>
      </x:c>
      <x:c r="O362" s="31" t="n"/>
      <x:c r="P362" s="31" t="n"/>
      <x:c r="Q362" s="31" t="inlineStr">
        <x:is>
          <x:t xml:space="preserve">Запланировано</x:t>
        </x:is>
      </x:c>
      <x:c r="R362" s="31" t="inlineStr">
        <x:is>
          <x:t xml:space="preserve">Нет</x:t>
        </x:is>
      </x:c>
      <x:c r="S362" s="31" t="inlineStr">
        <x:is>
          <x:t xml:space="preserve">Нет</x:t>
        </x:is>
      </x:c>
    </x:row>
    <x:row r="363">
      <x:c r="A363" s="31" t="inlineStr">
        <x:is>
          <x:t xml:space="preserve">ОП-000362</x:t>
        </x:is>
      </x:c>
      <x:c r="B363" s="31" t="inlineStr">
        <x:is>
          <x:t xml:space="preserve">ПЗ-00043</x:t>
        </x:is>
      </x:c>
      <x:c r="C363" s="31" t="inlineStr">
        <x:is>
          <x:t xml:space="preserve">ЗК-1023</x:t>
        </x:is>
      </x:c>
      <x:c r="D363" s="31" t="inlineStr">
        <x:is>
          <x:t xml:space="preserve">ПОЗ-0023-3</x:t>
        </x:is>
      </x:c>
      <x:c r="E363" s="31" t="inlineStr">
        <x:is>
          <x:t xml:space="preserve">ИЗД-008</x:t>
        </x:is>
      </x:c>
      <x:c r="F363" s="31" t="n">
        <x:v>40</x:v>
      </x:c>
      <x:c r="G363" s="31" t="inlineStr">
        <x:is>
          <x:t xml:space="preserve">ОТК</x:t>
        </x:is>
      </x:c>
      <x:c r="H363" s="31" t="inlineStr">
        <x:is>
          <x:t xml:space="preserve">ОТК</x:t>
        </x:is>
      </x:c>
      <x:c r="I363" s="31" t="inlineStr">
        <x:is>
          <x:t xml:space="preserve">ОБ-033</x:t>
        </x:is>
      </x:c>
      <x:c r="J363" s="31" t="inlineStr">
        <x:is>
          <x:t xml:space="preserve">СОТР-099</x:t>
        </x:is>
      </x:c>
      <x:c r="K363" s="31" t="n">
        <x:v>33</x:v>
      </x:c>
      <x:c r="L363" s="31" t="n"/>
      <x:c r="M363" s="31" t="n">
        <x:v>46209</x:v>
      </x:c>
      <x:c r="N363" s="31" t="n">
        <x:v>46212</x:v>
      </x:c>
      <x:c r="O363" s="31" t="n"/>
      <x:c r="P363" s="31" t="n"/>
      <x:c r="Q363" s="31" t="inlineStr">
        <x:is>
          <x:t xml:space="preserve">Запланировано</x:t>
        </x:is>
      </x:c>
      <x:c r="R363" s="31" t="inlineStr">
        <x:is>
          <x:t xml:space="preserve">Нет</x:t>
        </x:is>
      </x:c>
      <x:c r="S363" s="31" t="inlineStr">
        <x:is>
          <x:t xml:space="preserve">Нет</x:t>
        </x:is>
      </x:c>
    </x:row>
    <x:row r="364">
      <x:c r="A364" s="31" t="inlineStr">
        <x:is>
          <x:t xml:space="preserve">ОП-000363</x:t>
        </x:is>
      </x:c>
      <x:c r="B364" s="31" t="inlineStr">
        <x:is>
          <x:t xml:space="preserve">ПЗ-00044</x:t>
        </x:is>
      </x:c>
      <x:c r="C364" s="31" t="inlineStr">
        <x:is>
          <x:t xml:space="preserve">ЗК-1025</x:t>
        </x:is>
      </x:c>
      <x:c r="D364" s="31" t="inlineStr">
        <x:is>
          <x:t xml:space="preserve">ПОЗ-0025-1</x:t>
        </x:is>
      </x:c>
      <x:c r="E364" s="31" t="inlineStr">
        <x:is>
          <x:t xml:space="preserve">ИЗД-011</x:t>
        </x:is>
      </x:c>
      <x:c r="F364" s="31" t="n">
        <x:v>10</x:v>
      </x:c>
      <x:c r="G364" s="31" t="inlineStr">
        <x:is>
          <x:t xml:space="preserve">КД</x:t>
        </x:is>
      </x:c>
      <x:c r="H364" s="31" t="inlineStr">
        <x:is>
          <x:t xml:space="preserve">Инженерный отдел</x:t>
        </x:is>
      </x:c>
      <x:c r="I364" s="31" t="n"/>
      <x:c r="J364" s="31" t="inlineStr">
        <x:is>
          <x:t xml:space="preserve">СОТР-014</x:t>
        </x:is>
      </x:c>
      <x:c r="K364" s="31" t="n">
        <x:v>14</x:v>
      </x:c>
      <x:c r="L364" s="31" t="n">
        <x:v>18.7</x:v>
      </x:c>
      <x:c r="M364" s="31" t="n">
        <x:v>46153</x:v>
      </x:c>
      <x:c r="N364" s="31" t="n">
        <x:v>46155</x:v>
      </x:c>
      <x:c r="O364" s="31" t="n">
        <x:v>46153</x:v>
      </x:c>
      <x:c r="P364" s="31" t="n">
        <x:v>46154</x:v>
      </x:c>
      <x:c r="Q364" s="31" t="inlineStr">
        <x:is>
          <x:t xml:space="preserve">Завершено</x:t>
        </x:is>
      </x:c>
      <x:c r="R364" s="31" t="inlineStr">
        <x:is>
          <x:t xml:space="preserve">Нет</x:t>
        </x:is>
      </x:c>
      <x:c r="S364" s="31" t="inlineStr">
        <x:is>
          <x:t xml:space="preserve">Нет</x:t>
        </x:is>
      </x:c>
    </x:row>
    <x:row r="365">
      <x:c r="A365" s="31" t="inlineStr">
        <x:is>
          <x:t xml:space="preserve">ОП-000364</x:t>
        </x:is>
      </x:c>
      <x:c r="B365" s="31" t="inlineStr">
        <x:is>
          <x:t xml:space="preserve">ПЗ-00044</x:t>
        </x:is>
      </x:c>
      <x:c r="C365" s="31" t="inlineStr">
        <x:is>
          <x:t xml:space="preserve">ЗК-1025</x:t>
        </x:is>
      </x:c>
      <x:c r="D365" s="31" t="inlineStr">
        <x:is>
          <x:t xml:space="preserve">ПОЗ-0025-1</x:t>
        </x:is>
      </x:c>
      <x:c r="E365" s="31" t="inlineStr">
        <x:is>
          <x:t xml:space="preserve">ИЗД-011</x:t>
        </x:is>
      </x:c>
      <x:c r="F365" s="31" t="n">
        <x:v>20</x:v>
      </x:c>
      <x:c r="G365" s="31" t="inlineStr">
        <x:is>
          <x:t xml:space="preserve">Комплектация</x:t>
        </x:is>
      </x:c>
      <x:c r="H365" s="31" t="inlineStr">
        <x:is>
          <x:t xml:space="preserve">Склад</x:t>
        </x:is>
      </x:c>
      <x:c r="I365" s="31" t="inlineStr">
        <x:is>
          <x:t xml:space="preserve">ОБ-025</x:t>
        </x:is>
      </x:c>
      <x:c r="J365" s="31" t="inlineStr">
        <x:is>
          <x:t xml:space="preserve">СОТР-036</x:t>
        </x:is>
      </x:c>
      <x:c r="K365" s="31" t="n">
        <x:v>8.800000000000001</x:v>
      </x:c>
      <x:c r="L365" s="31" t="n">
        <x:v>8.5</x:v>
      </x:c>
      <x:c r="M365" s="31" t="n">
        <x:v>46155</x:v>
      </x:c>
      <x:c r="N365" s="31" t="n">
        <x:v>46156</x:v>
      </x:c>
      <x:c r="O365" s="31" t="n">
        <x:v>46155</x:v>
      </x:c>
      <x:c r="P365" s="31" t="n">
        <x:v>46158</x:v>
      </x:c>
      <x:c r="Q365" s="31" t="inlineStr">
        <x:is>
          <x:t xml:space="preserve">Завершено</x:t>
        </x:is>
      </x:c>
      <x:c r="R365" s="31" t="inlineStr">
        <x:is>
          <x:t xml:space="preserve">Нет</x:t>
        </x:is>
      </x:c>
      <x:c r="S365" s="31" t="inlineStr">
        <x:is>
          <x:t xml:space="preserve">Нет</x:t>
        </x:is>
      </x:c>
    </x:row>
    <x:row r="366">
      <x:c r="A366" s="31" t="inlineStr">
        <x:is>
          <x:t xml:space="preserve">ОП-000365</x:t>
        </x:is>
      </x:c>
      <x:c r="B366" s="31" t="inlineStr">
        <x:is>
          <x:t xml:space="preserve">ПЗ-00044</x:t>
        </x:is>
      </x:c>
      <x:c r="C366" s="31" t="inlineStr">
        <x:is>
          <x:t xml:space="preserve">ЗК-1025</x:t>
        </x:is>
      </x:c>
      <x:c r="D366" s="31" t="inlineStr">
        <x:is>
          <x:t xml:space="preserve">ПОЗ-0025-1</x:t>
        </x:is>
      </x:c>
      <x:c r="E366" s="31" t="inlineStr">
        <x:is>
          <x:t xml:space="preserve">ИЗД-011</x:t>
        </x:is>
      </x:c>
      <x:c r="F366" s="31" t="n">
        <x:v>30</x:v>
      </x:c>
      <x:c r="G366" s="31" t="inlineStr">
        <x:is>
          <x:t xml:space="preserve">Сборка шкафа</x:t>
        </x:is>
      </x:c>
      <x:c r="H366" s="31" t="inlineStr">
        <x:is>
          <x:t xml:space="preserve">Сборка</x:t>
        </x:is>
      </x:c>
      <x:c r="I366" s="31" t="inlineStr">
        <x:is>
          <x:t xml:space="preserve">ОБ-012</x:t>
        </x:is>
      </x:c>
      <x:c r="J366" s="31" t="inlineStr">
        <x:is>
          <x:t xml:space="preserve">СОТР-079</x:t>
        </x:is>
      </x:c>
      <x:c r="K366" s="31" t="n">
        <x:v>22</x:v>
      </x:c>
      <x:c r="L366" s="31" t="n">
        <x:v>17.8</x:v>
      </x:c>
      <x:c r="M366" s="31" t="n">
        <x:v>46156</x:v>
      </x:c>
      <x:c r="N366" s="31" t="n">
        <x:v>46158</x:v>
      </x:c>
      <x:c r="O366" s="31" t="n">
        <x:v>46156</x:v>
      </x:c>
      <x:c r="P366" s="31" t="n">
        <x:v>46157</x:v>
      </x:c>
      <x:c r="Q366" s="31" t="inlineStr">
        <x:is>
          <x:t xml:space="preserve">Завершено</x:t>
        </x:is>
      </x:c>
      <x:c r="R366" s="31" t="inlineStr">
        <x:is>
          <x:t xml:space="preserve">Нет</x:t>
        </x:is>
      </x:c>
      <x:c r="S366" s="31" t="inlineStr">
        <x:is>
          <x:t xml:space="preserve">Нет</x:t>
        </x:is>
      </x:c>
    </x:row>
    <x:row r="367">
      <x:c r="A367" s="31" t="inlineStr">
        <x:is>
          <x:t xml:space="preserve">ОП-000366</x:t>
        </x:is>
      </x:c>
      <x:c r="B367" s="31" t="inlineStr">
        <x:is>
          <x:t xml:space="preserve">ПЗ-00044</x:t>
        </x:is>
      </x:c>
      <x:c r="C367" s="31" t="inlineStr">
        <x:is>
          <x:t xml:space="preserve">ЗК-1025</x:t>
        </x:is>
      </x:c>
      <x:c r="D367" s="31" t="inlineStr">
        <x:is>
          <x:t xml:space="preserve">ПОЗ-0025-1</x:t>
        </x:is>
      </x:c>
      <x:c r="E367" s="31" t="inlineStr">
        <x:is>
          <x:t xml:space="preserve">ИЗД-011</x:t>
        </x:is>
      </x:c>
      <x:c r="F367" s="31" t="n">
        <x:v>40</x:v>
      </x:c>
      <x:c r="G367" s="31" t="inlineStr">
        <x:is>
          <x:t xml:space="preserve">Маркировка</x:t>
        </x:is>
      </x:c>
      <x:c r="H367" s="31" t="inlineStr">
        <x:is>
          <x:t xml:space="preserve">Сборка</x:t>
        </x:is>
      </x:c>
      <x:c r="I367" s="31" t="inlineStr">
        <x:is>
          <x:t xml:space="preserve">ОБ-005</x:t>
        </x:is>
      </x:c>
      <x:c r="J367" s="31" t="inlineStr">
        <x:is>
          <x:t xml:space="preserve">СОТР-091</x:t>
        </x:is>
      </x:c>
      <x:c r="K367" s="31" t="n">
        <x:v>5.4</x:v>
      </x:c>
      <x:c r="L367" s="31" t="n">
        <x:v>5.6</x:v>
      </x:c>
      <x:c r="M367" s="31" t="n">
        <x:v>46158</x:v>
      </x:c>
      <x:c r="N367" s="31" t="n">
        <x:v>46159</x:v>
      </x:c>
      <x:c r="O367" s="31" t="n">
        <x:v>46158</x:v>
      </x:c>
      <x:c r="P367" s="31" t="n">
        <x:v>46160</x:v>
      </x:c>
      <x:c r="Q367" s="31" t="inlineStr">
        <x:is>
          <x:t xml:space="preserve">Завершено</x:t>
        </x:is>
      </x:c>
      <x:c r="R367" s="31" t="inlineStr">
        <x:is>
          <x:t xml:space="preserve">Нет</x:t>
        </x:is>
      </x:c>
      <x:c r="S367" s="31" t="inlineStr">
        <x:is>
          <x:t xml:space="preserve">Нет</x:t>
        </x:is>
      </x:c>
    </x:row>
    <x:row r="368">
      <x:c r="A368" s="31" t="inlineStr">
        <x:is>
          <x:t xml:space="preserve">ОП-000367</x:t>
        </x:is>
      </x:c>
      <x:c r="B368" s="31" t="inlineStr">
        <x:is>
          <x:t xml:space="preserve">ПЗ-00044</x:t>
        </x:is>
      </x:c>
      <x:c r="C368" s="31" t="inlineStr">
        <x:is>
          <x:t xml:space="preserve">ЗК-1025</x:t>
        </x:is>
      </x:c>
      <x:c r="D368" s="31" t="inlineStr">
        <x:is>
          <x:t xml:space="preserve">ПОЗ-0025-1</x:t>
        </x:is>
      </x:c>
      <x:c r="E368" s="31" t="inlineStr">
        <x:is>
          <x:t xml:space="preserve">ИЗД-011</x:t>
        </x:is>
      </x:c>
      <x:c r="F368" s="31" t="n">
        <x:v>50</x:v>
      </x:c>
      <x:c r="G368" s="31" t="inlineStr">
        <x:is>
          <x:t xml:space="preserve">Электромонтаж</x:t>
        </x:is>
      </x:c>
      <x:c r="H368" s="31" t="inlineStr">
        <x:is>
          <x:t xml:space="preserve">Сборка</x:t>
        </x:is>
      </x:c>
      <x:c r="I368" s="31" t="inlineStr">
        <x:is>
          <x:t xml:space="preserve">ОБ-017</x:t>
        </x:is>
      </x:c>
      <x:c r="J368" s="31" t="inlineStr">
        <x:is>
          <x:t xml:space="preserve">СОТР-090</x:t>
        </x:is>
      </x:c>
      <x:c r="K368" s="31" t="n">
        <x:v>4.6</x:v>
      </x:c>
      <x:c r="L368" s="31" t="n">
        <x:v>4.2</x:v>
      </x:c>
      <x:c r="M368" s="31" t="n">
        <x:v>46159</x:v>
      </x:c>
      <x:c r="N368" s="31" t="n">
        <x:v>46160</x:v>
      </x:c>
      <x:c r="O368" s="31" t="n">
        <x:v>46159</x:v>
      </x:c>
      <x:c r="P368" s="31" t="n">
        <x:v>46159</x:v>
      </x:c>
      <x:c r="Q368" s="31" t="inlineStr">
        <x:is>
          <x:t xml:space="preserve">Завершено</x:t>
        </x:is>
      </x:c>
      <x:c r="R368" s="31" t="inlineStr">
        <x:is>
          <x:t xml:space="preserve">Нет</x:t>
        </x:is>
      </x:c>
      <x:c r="S368" s="31" t="inlineStr">
        <x:is>
          <x:t xml:space="preserve">Нет</x:t>
        </x:is>
      </x:c>
    </x:row>
    <x:row r="369">
      <x:c r="A369" s="31" t="inlineStr">
        <x:is>
          <x:t xml:space="preserve">ОП-000368</x:t>
        </x:is>
      </x:c>
      <x:c r="B369" s="31" t="inlineStr">
        <x:is>
          <x:t xml:space="preserve">ПЗ-00044</x:t>
        </x:is>
      </x:c>
      <x:c r="C369" s="31" t="inlineStr">
        <x:is>
          <x:t xml:space="preserve">ЗК-1025</x:t>
        </x:is>
      </x:c>
      <x:c r="D369" s="31" t="inlineStr">
        <x:is>
          <x:t xml:space="preserve">ПОЗ-0025-1</x:t>
        </x:is>
      </x:c>
      <x:c r="E369" s="31" t="inlineStr">
        <x:is>
          <x:t xml:space="preserve">ИЗД-011</x:t>
        </x:is>
      </x:c>
      <x:c r="F369" s="31" t="n">
        <x:v>60</x:v>
      </x:c>
      <x:c r="G369" s="31" t="inlineStr">
        <x:is>
          <x:t xml:space="preserve">Программирование ПЛК</x:t>
        </x:is>
      </x:c>
      <x:c r="H369" s="31" t="inlineStr">
        <x:is>
          <x:t xml:space="preserve">Инженерный отдел</x:t>
        </x:is>
      </x:c>
      <x:c r="I369" s="31" t="n"/>
      <x:c r="J369" s="31" t="inlineStr">
        <x:is>
          <x:t xml:space="preserve">СОТР-014</x:t>
        </x:is>
      </x:c>
      <x:c r="K369" s="31" t="n">
        <x:v>2.6</x:v>
      </x:c>
      <x:c r="L369" s="31" t="n">
        <x:v>3.3</x:v>
      </x:c>
      <x:c r="M369" s="31" t="n">
        <x:v>46160</x:v>
      </x:c>
      <x:c r="N369" s="31" t="n">
        <x:v>46161</x:v>
      </x:c>
      <x:c r="O369" s="31" t="n">
        <x:v>46160</x:v>
      </x:c>
      <x:c r="P369" s="31" t="n">
        <x:v>46161</x:v>
      </x:c>
      <x:c r="Q369" s="31" t="inlineStr">
        <x:is>
          <x:t xml:space="preserve">Завершено</x:t>
        </x:is>
      </x:c>
      <x:c r="R369" s="31" t="inlineStr">
        <x:is>
          <x:t xml:space="preserve">Оборудование</x:t>
        </x:is>
      </x:c>
      <x:c r="S369" s="31" t="inlineStr">
        <x:is>
          <x:t xml:space="preserve">Нет</x:t>
        </x:is>
      </x:c>
    </x:row>
    <x:row r="370">
      <x:c r="A370" s="31" t="inlineStr">
        <x:is>
          <x:t xml:space="preserve">ОП-000369</x:t>
        </x:is>
      </x:c>
      <x:c r="B370" s="31" t="inlineStr">
        <x:is>
          <x:t xml:space="preserve">ПЗ-00044</x:t>
        </x:is>
      </x:c>
      <x:c r="C370" s="31" t="inlineStr">
        <x:is>
          <x:t xml:space="preserve">ЗК-1025</x:t>
        </x:is>
      </x:c>
      <x:c r="D370" s="31" t="inlineStr">
        <x:is>
          <x:t xml:space="preserve">ПОЗ-0025-1</x:t>
        </x:is>
      </x:c>
      <x:c r="E370" s="31" t="inlineStr">
        <x:is>
          <x:t xml:space="preserve">ИЗД-011</x:t>
        </x:is>
      </x:c>
      <x:c r="F370" s="31" t="n">
        <x:v>70</x:v>
      </x:c>
      <x:c r="G370" s="31" t="inlineStr">
        <x:is>
          <x:t xml:space="preserve">Приемочные испытания</x:t>
        </x:is>
      </x:c>
      <x:c r="H370" s="31" t="inlineStr">
        <x:is>
          <x:t xml:space="preserve">ОТК</x:t>
        </x:is>
      </x:c>
      <x:c r="I370" s="31" t="inlineStr">
        <x:is>
          <x:t xml:space="preserve">ОБ-015</x:t>
        </x:is>
      </x:c>
      <x:c r="J370" s="31" t="inlineStr">
        <x:is>
          <x:t xml:space="preserve">СОТР-096</x:t>
        </x:is>
      </x:c>
      <x:c r="K370" s="31" t="n">
        <x:v>23.2</x:v>
      </x:c>
      <x:c r="L370" s="31" t="n">
        <x:v>29.9</x:v>
      </x:c>
      <x:c r="M370" s="31" t="n">
        <x:v>46161</x:v>
      </x:c>
      <x:c r="N370" s="31" t="n">
        <x:v>46163</x:v>
      </x:c>
      <x:c r="O370" s="31" t="n">
        <x:v>46161</x:v>
      </x:c>
      <x:c r="P370" s="31" t="n">
        <x:v>46165</x:v>
      </x:c>
      <x:c r="Q370" s="31" t="inlineStr">
        <x:is>
          <x:t xml:space="preserve">Завершено</x:t>
        </x:is>
      </x:c>
      <x:c r="R370" s="31" t="inlineStr">
        <x:is>
          <x:t xml:space="preserve">Нет</x:t>
        </x:is>
      </x:c>
      <x:c r="S370" s="31" t="inlineStr">
        <x:is>
          <x:t xml:space="preserve">Нет</x:t>
        </x:is>
      </x:c>
    </x:row>
    <x:row r="371">
      <x:c r="A371" s="31" t="inlineStr">
        <x:is>
          <x:t xml:space="preserve">ОП-000370</x:t>
        </x:is>
      </x:c>
      <x:c r="B371" s="31" t="inlineStr">
        <x:is>
          <x:t xml:space="preserve">ПЗ-00044</x:t>
        </x:is>
      </x:c>
      <x:c r="C371" s="31" t="inlineStr">
        <x:is>
          <x:t xml:space="preserve">ЗК-1025</x:t>
        </x:is>
      </x:c>
      <x:c r="D371" s="31" t="inlineStr">
        <x:is>
          <x:t xml:space="preserve">ПОЗ-0025-1</x:t>
        </x:is>
      </x:c>
      <x:c r="E371" s="31" t="inlineStr">
        <x:is>
          <x:t xml:space="preserve">ИЗД-011</x:t>
        </x:is>
      </x:c>
      <x:c r="F371" s="31" t="n">
        <x:v>80</x:v>
      </x:c>
      <x:c r="G371" s="31" t="inlineStr">
        <x:is>
          <x:t xml:space="preserve">ОТК</x:t>
        </x:is>
      </x:c>
      <x:c r="H371" s="31" t="inlineStr">
        <x:is>
          <x:t xml:space="preserve">ОТК</x:t>
        </x:is>
      </x:c>
      <x:c r="I371" s="31" t="inlineStr">
        <x:is>
          <x:t xml:space="preserve">ОБ-015</x:t>
        </x:is>
      </x:c>
      <x:c r="J371" s="31" t="inlineStr">
        <x:is>
          <x:t xml:space="preserve">СОТР-097</x:t>
        </x:is>
      </x:c>
      <x:c r="K371" s="31" t="n">
        <x:v>21.6</x:v>
      </x:c>
      <x:c r="L371" s="31" t="n">
        <x:v>23.5</x:v>
      </x:c>
      <x:c r="M371" s="31" t="n">
        <x:v>46163</x:v>
      </x:c>
      <x:c r="N371" s="31" t="n">
        <x:v>46165</x:v>
      </x:c>
      <x:c r="O371" s="31" t="n">
        <x:v>46163</x:v>
      </x:c>
      <x:c r="P371" s="31" t="n">
        <x:v>46164</x:v>
      </x:c>
      <x:c r="Q371" s="31" t="inlineStr">
        <x:is>
          <x:t xml:space="preserve">Завершено</x:t>
        </x:is>
      </x:c>
      <x:c r="R371" s="31" t="inlineStr">
        <x:is>
          <x:t xml:space="preserve">Материал</x:t>
        </x:is>
      </x:c>
      <x:c r="S371" s="31" t="inlineStr">
        <x:is>
          <x:t xml:space="preserve">Нет</x:t>
        </x:is>
      </x:c>
    </x:row>
    <x:row r="372">
      <x:c r="A372" s="31" t="inlineStr">
        <x:is>
          <x:t xml:space="preserve">ОП-000371</x:t>
        </x:is>
      </x:c>
      <x:c r="B372" s="31" t="inlineStr">
        <x:is>
          <x:t xml:space="preserve">ПЗ-00044</x:t>
        </x:is>
      </x:c>
      <x:c r="C372" s="31" t="inlineStr">
        <x:is>
          <x:t xml:space="preserve">ЗК-1025</x:t>
        </x:is>
      </x:c>
      <x:c r="D372" s="31" t="inlineStr">
        <x:is>
          <x:t xml:space="preserve">ПОЗ-0025-1</x:t>
        </x:is>
      </x:c>
      <x:c r="E372" s="31" t="inlineStr">
        <x:is>
          <x:t xml:space="preserve">ИЗД-011</x:t>
        </x:is>
      </x:c>
      <x:c r="F372" s="31" t="n">
        <x:v>90</x:v>
      </x:c>
      <x:c r="G372" s="31" t="inlineStr">
        <x:is>
          <x:t xml:space="preserve">Упаковка</x:t>
        </x:is>
      </x:c>
      <x:c r="H372" s="31" t="inlineStr">
        <x:is>
          <x:t xml:space="preserve">Логистика</x:t>
        </x:is>
      </x:c>
      <x:c r="I372" s="31" t="n"/>
      <x:c r="J372" s="31" t="inlineStr">
        <x:is>
          <x:t xml:space="preserve">СОТР-103</x:t>
        </x:is>
      </x:c>
      <x:c r="K372" s="31" t="n">
        <x:v>4.8</x:v>
      </x:c>
      <x:c r="L372" s="31" t="n">
        <x:v>4</x:v>
      </x:c>
      <x:c r="M372" s="31" t="n">
        <x:v>46165</x:v>
      </x:c>
      <x:c r="N372" s="31" t="n">
        <x:v>46166</x:v>
      </x:c>
      <x:c r="O372" s="31" t="n">
        <x:v>46165</x:v>
      </x:c>
      <x:c r="P372" s="31" t="n">
        <x:v>46165</x:v>
      </x:c>
      <x:c r="Q372" s="31" t="inlineStr">
        <x:is>
          <x:t xml:space="preserve">Завершено</x:t>
        </x:is>
      </x:c>
      <x:c r="R372" s="31" t="inlineStr">
        <x:is>
          <x:t xml:space="preserve">Нет</x:t>
        </x:is>
      </x:c>
      <x:c r="S372" s="31" t="inlineStr">
        <x:is>
          <x:t xml:space="preserve">Нет</x:t>
        </x:is>
      </x:c>
    </x:row>
    <x:row r="373">
      <x:c r="A373" s="31" t="inlineStr">
        <x:is>
          <x:t xml:space="preserve">ОП-000372</x:t>
        </x:is>
      </x:c>
      <x:c r="B373" s="31" t="inlineStr">
        <x:is>
          <x:t xml:space="preserve">ПЗ-00045</x:t>
        </x:is>
      </x:c>
      <x:c r="C373" s="31" t="inlineStr">
        <x:is>
          <x:t xml:space="preserve">ЗК-1025</x:t>
        </x:is>
      </x:c>
      <x:c r="D373" s="31" t="inlineStr">
        <x:is>
          <x:t xml:space="preserve">ПОЗ-0025-2</x:t>
        </x:is>
      </x:c>
      <x:c r="E373" s="31" t="inlineStr">
        <x:is>
          <x:t xml:space="preserve">ИЗД-006</x:t>
        </x:is>
      </x:c>
      <x:c r="F373" s="31" t="n">
        <x:v>10</x:v>
      </x:c>
      <x:c r="G373" s="31" t="inlineStr">
        <x:is>
          <x:t xml:space="preserve">КД</x:t>
        </x:is>
      </x:c>
      <x:c r="H373" s="31" t="inlineStr">
        <x:is>
          <x:t xml:space="preserve">Инженерный отдел</x:t>
        </x:is>
      </x:c>
      <x:c r="I373" s="31" t="n"/>
      <x:c r="J373" s="31" t="inlineStr">
        <x:is>
          <x:t xml:space="preserve">СОТР-019</x:t>
        </x:is>
      </x:c>
      <x:c r="K373" s="31" t="n">
        <x:v>45.9</x:v>
      </x:c>
      <x:c r="L373" s="31" t="n">
        <x:v>37.7</x:v>
      </x:c>
      <x:c r="M373" s="31" t="n">
        <x:v>46153</x:v>
      </x:c>
      <x:c r="N373" s="31" t="n">
        <x:v>46157</x:v>
      </x:c>
      <x:c r="O373" s="31" t="n">
        <x:v>46153</x:v>
      </x:c>
      <x:c r="P373" s="31" t="n">
        <x:v>46158</x:v>
      </x:c>
      <x:c r="Q373" s="31" t="inlineStr">
        <x:is>
          <x:t xml:space="preserve">Завершено</x:t>
        </x:is>
      </x:c>
      <x:c r="R373" s="31" t="inlineStr">
        <x:is>
          <x:t xml:space="preserve">Нет</x:t>
        </x:is>
      </x:c>
      <x:c r="S373" s="31" t="inlineStr">
        <x:is>
          <x:t xml:space="preserve">Нет</x:t>
        </x:is>
      </x:c>
    </x:row>
    <x:row r="374">
      <x:c r="A374" s="31" t="inlineStr">
        <x:is>
          <x:t xml:space="preserve">ОП-000373</x:t>
        </x:is>
      </x:c>
      <x:c r="B374" s="31" t="inlineStr">
        <x:is>
          <x:t xml:space="preserve">ПЗ-00045</x:t>
        </x:is>
      </x:c>
      <x:c r="C374" s="31" t="inlineStr">
        <x:is>
          <x:t xml:space="preserve">ЗК-1025</x:t>
        </x:is>
      </x:c>
      <x:c r="D374" s="31" t="inlineStr">
        <x:is>
          <x:t xml:space="preserve">ПОЗ-0025-2</x:t>
        </x:is>
      </x:c>
      <x:c r="E374" s="31" t="inlineStr">
        <x:is>
          <x:t xml:space="preserve">ИЗД-006</x:t>
        </x:is>
      </x:c>
      <x:c r="F374" s="31" t="n">
        <x:v>20</x:v>
      </x:c>
      <x:c r="G374" s="31" t="inlineStr">
        <x:is>
          <x:t xml:space="preserve">Резерв материалов</x:t>
        </x:is>
      </x:c>
      <x:c r="H374" s="31" t="inlineStr">
        <x:is>
          <x:t xml:space="preserve">Склад</x:t>
        </x:is>
      </x:c>
      <x:c r="I374" s="31" t="inlineStr">
        <x:is>
          <x:t xml:space="preserve">ОБ-025</x:t>
        </x:is>
      </x:c>
      <x:c r="J374" s="31" t="inlineStr">
        <x:is>
          <x:t xml:space="preserve">СОТР-035</x:t>
        </x:is>
      </x:c>
      <x:c r="K374" s="31" t="n">
        <x:v>6.9</x:v>
      </x:c>
      <x:c r="L374" s="31" t="n">
        <x:v>8.6</x:v>
      </x:c>
      <x:c r="M374" s="31" t="n">
        <x:v>46157</x:v>
      </x:c>
      <x:c r="N374" s="31" t="n">
        <x:v>46158</x:v>
      </x:c>
      <x:c r="O374" s="31" t="n">
        <x:v>46157</x:v>
      </x:c>
      <x:c r="P374" s="31" t="n">
        <x:v>46157</x:v>
      </x:c>
      <x:c r="Q374" s="31" t="inlineStr">
        <x:is>
          <x:t xml:space="preserve">Завершено</x:t>
        </x:is>
      </x:c>
      <x:c r="R374" s="31" t="inlineStr">
        <x:is>
          <x:t xml:space="preserve">Нет</x:t>
        </x:is>
      </x:c>
      <x:c r="S374" s="31" t="inlineStr">
        <x:is>
          <x:t xml:space="preserve">Нет</x:t>
        </x:is>
      </x:c>
    </x:row>
    <x:row r="375">
      <x:c r="A375" s="31" t="inlineStr">
        <x:is>
          <x:t xml:space="preserve">ОП-000374</x:t>
        </x:is>
      </x:c>
      <x:c r="B375" s="31" t="inlineStr">
        <x:is>
          <x:t xml:space="preserve">ПЗ-00045</x:t>
        </x:is>
      </x:c>
      <x:c r="C375" s="31" t="inlineStr">
        <x:is>
          <x:t xml:space="preserve">ЗК-1025</x:t>
        </x:is>
      </x:c>
      <x:c r="D375" s="31" t="inlineStr">
        <x:is>
          <x:t xml:space="preserve">ПОЗ-0025-2</x:t>
        </x:is>
      </x:c>
      <x:c r="E375" s="31" t="inlineStr">
        <x:is>
          <x:t xml:space="preserve">ИЗД-006</x:t>
        </x:is>
      </x:c>
      <x:c r="F375" s="31" t="n">
        <x:v>30</x:v>
      </x:c>
      <x:c r="G375" s="31" t="inlineStr">
        <x:is>
          <x:t xml:space="preserve">Резка металла</x:t>
        </x:is>
      </x:c>
      <x:c r="H375" s="31" t="inlineStr">
        <x:is>
          <x:t xml:space="preserve">Сварка</x:t>
        </x:is>
      </x:c>
      <x:c r="I375" s="31" t="inlineStr">
        <x:is>
          <x:t xml:space="preserve">ОБ-010</x:t>
        </x:is>
      </x:c>
      <x:c r="J375" s="31" t="inlineStr">
        <x:is>
          <x:t xml:space="preserve">СОТР-068</x:t>
        </x:is>
      </x:c>
      <x:c r="K375" s="31" t="n">
        <x:v>41.7</x:v>
      </x:c>
      <x:c r="L375" s="31" t="n">
        <x:v>46.5</x:v>
      </x:c>
      <x:c r="M375" s="31" t="n">
        <x:v>46158</x:v>
      </x:c>
      <x:c r="N375" s="31" t="n">
        <x:v>46162</x:v>
      </x:c>
      <x:c r="O375" s="31" t="n">
        <x:v>46158</x:v>
      </x:c>
      <x:c r="P375" s="31" t="n">
        <x:v>46163</x:v>
      </x:c>
      <x:c r="Q375" s="31" t="inlineStr">
        <x:is>
          <x:t xml:space="preserve">Завершено</x:t>
        </x:is>
      </x:c>
      <x:c r="R375" s="31" t="inlineStr">
        <x:is>
          <x:t xml:space="preserve">Нет</x:t>
        </x:is>
      </x:c>
      <x:c r="S375" s="31" t="inlineStr">
        <x:is>
          <x:t xml:space="preserve">Нет</x:t>
        </x:is>
      </x:c>
    </x:row>
    <x:row r="376">
      <x:c r="A376" s="31" t="inlineStr">
        <x:is>
          <x:t xml:space="preserve">ОП-000375</x:t>
        </x:is>
      </x:c>
      <x:c r="B376" s="31" t="inlineStr">
        <x:is>
          <x:t xml:space="preserve">ПЗ-00045</x:t>
        </x:is>
      </x:c>
      <x:c r="C376" s="31" t="inlineStr">
        <x:is>
          <x:t xml:space="preserve">ЗК-1025</x:t>
        </x:is>
      </x:c>
      <x:c r="D376" s="31" t="inlineStr">
        <x:is>
          <x:t xml:space="preserve">ПОЗ-0025-2</x:t>
        </x:is>
      </x:c>
      <x:c r="E376" s="31" t="inlineStr">
        <x:is>
          <x:t xml:space="preserve">ИЗД-006</x:t>
        </x:is>
      </x:c>
      <x:c r="F376" s="31" t="n">
        <x:v>40</x:v>
      </x:c>
      <x:c r="G376" s="31" t="inlineStr">
        <x:is>
          <x:t xml:space="preserve">Сварка рамы</x:t>
        </x:is>
      </x:c>
      <x:c r="H376" s="31" t="inlineStr">
        <x:is>
          <x:t xml:space="preserve">Сварка</x:t>
        </x:is>
      </x:c>
      <x:c r="I376" s="31" t="inlineStr">
        <x:is>
          <x:t xml:space="preserve">ОБ-035</x:t>
        </x:is>
      </x:c>
      <x:c r="J376" s="31" t="inlineStr">
        <x:is>
          <x:t xml:space="preserve">СОТР-068</x:t>
        </x:is>
      </x:c>
      <x:c r="K376" s="31" t="n">
        <x:v>25.5</x:v>
      </x:c>
      <x:c r="L376" s="31" t="n">
        <x:v>24.8</x:v>
      </x:c>
      <x:c r="M376" s="31" t="n">
        <x:v>46162</x:v>
      </x:c>
      <x:c r="N376" s="31" t="n">
        <x:v>46165</x:v>
      </x:c>
      <x:c r="O376" s="31" t="n">
        <x:v>46162</x:v>
      </x:c>
      <x:c r="P376" s="31" t="n">
        <x:v>46164</x:v>
      </x:c>
      <x:c r="Q376" s="31" t="inlineStr">
        <x:is>
          <x:t xml:space="preserve">Завершено</x:t>
        </x:is>
      </x:c>
      <x:c r="R376" s="31" t="inlineStr">
        <x:is>
          <x:t xml:space="preserve">Нет</x:t>
        </x:is>
      </x:c>
      <x:c r="S376" s="31" t="inlineStr">
        <x:is>
          <x:t xml:space="preserve">Нет</x:t>
        </x:is>
      </x:c>
    </x:row>
    <x:row r="377">
      <x:c r="A377" s="31" t="inlineStr">
        <x:is>
          <x:t xml:space="preserve">ОП-000376</x:t>
        </x:is>
      </x:c>
      <x:c r="B377" s="31" t="inlineStr">
        <x:is>
          <x:t xml:space="preserve">ПЗ-00045</x:t>
        </x:is>
      </x:c>
      <x:c r="C377" s="31" t="inlineStr">
        <x:is>
          <x:t xml:space="preserve">ЗК-1025</x:t>
        </x:is>
      </x:c>
      <x:c r="D377" s="31" t="inlineStr">
        <x:is>
          <x:t xml:space="preserve">ПОЗ-0025-2</x:t>
        </x:is>
      </x:c>
      <x:c r="E377" s="31" t="inlineStr">
        <x:is>
          <x:t xml:space="preserve">ИЗД-006</x:t>
        </x:is>
      </x:c>
      <x:c r="F377" s="31" t="n">
        <x:v>50</x:v>
      </x:c>
      <x:c r="G377" s="31" t="inlineStr">
        <x:is>
          <x:t xml:space="preserve">Механообработка</x:t>
        </x:is>
      </x:c>
      <x:c r="H377" s="31" t="inlineStr">
        <x:is>
          <x:t xml:space="preserve">Механообработка</x:t>
        </x:is>
      </x:c>
      <x:c r="I377" s="31" t="inlineStr">
        <x:is>
          <x:t xml:space="preserve">ОБ-030</x:t>
        </x:is>
      </x:c>
      <x:c r="J377" s="31" t="inlineStr">
        <x:is>
          <x:t xml:space="preserve">СОТР-055</x:t>
        </x:is>
      </x:c>
      <x:c r="K377" s="31" t="n">
        <x:v>9.6</x:v>
      </x:c>
      <x:c r="L377" s="31" t="n">
        <x:v>11.9</x:v>
      </x:c>
      <x:c r="M377" s="31" t="n">
        <x:v>46165</x:v>
      </x:c>
      <x:c r="N377" s="31" t="n">
        <x:v>46166</x:v>
      </x:c>
      <x:c r="O377" s="31" t="n">
        <x:v>46165</x:v>
      </x:c>
      <x:c r="P377" s="31" t="n">
        <x:v>46165</x:v>
      </x:c>
      <x:c r="Q377" s="31" t="inlineStr">
        <x:is>
          <x:t xml:space="preserve">Завершено</x:t>
        </x:is>
      </x:c>
      <x:c r="R377" s="31" t="inlineStr">
        <x:is>
          <x:t xml:space="preserve">Нет</x:t>
        </x:is>
      </x:c>
      <x:c r="S377" s="31" t="inlineStr">
        <x:is>
          <x:t xml:space="preserve">Нет</x:t>
        </x:is>
      </x:c>
    </x:row>
    <x:row r="378">
      <x:c r="A378" s="31" t="inlineStr">
        <x:is>
          <x:t xml:space="preserve">ОП-000377</x:t>
        </x:is>
      </x:c>
      <x:c r="B378" s="31" t="inlineStr">
        <x:is>
          <x:t xml:space="preserve">ПЗ-00045</x:t>
        </x:is>
      </x:c>
      <x:c r="C378" s="31" t="inlineStr">
        <x:is>
          <x:t xml:space="preserve">ЗК-1025</x:t>
        </x:is>
      </x:c>
      <x:c r="D378" s="31" t="inlineStr">
        <x:is>
          <x:t xml:space="preserve">ПОЗ-0025-2</x:t>
        </x:is>
      </x:c>
      <x:c r="E378" s="31" t="inlineStr">
        <x:is>
          <x:t xml:space="preserve">ИЗД-006</x:t>
        </x:is>
      </x:c>
      <x:c r="F378" s="31" t="n">
        <x:v>60</x:v>
      </x:c>
      <x:c r="G378" s="31" t="inlineStr">
        <x:is>
          <x:t xml:space="preserve">Сборка</x:t>
        </x:is>
      </x:c>
      <x:c r="H378" s="31" t="inlineStr">
        <x:is>
          <x:t xml:space="preserve">Сборка</x:t>
        </x:is>
      </x:c>
      <x:c r="I378" s="31" t="inlineStr">
        <x:is>
          <x:t xml:space="preserve">ОБ-005</x:t>
        </x:is>
      </x:c>
      <x:c r="J378" s="31" t="inlineStr">
        <x:is>
          <x:t xml:space="preserve">СОТР-090</x:t>
        </x:is>
      </x:c>
      <x:c r="K378" s="31" t="n">
        <x:v>11.7</x:v>
      </x:c>
      <x:c r="L378" s="31" t="n">
        <x:v>14.4</x:v>
      </x:c>
      <x:c r="M378" s="31" t="n">
        <x:v>46166</x:v>
      </x:c>
      <x:c r="N378" s="31" t="n">
        <x:v>46167</x:v>
      </x:c>
      <x:c r="O378" s="31" t="n">
        <x:v>46166</x:v>
      </x:c>
      <x:c r="P378" s="31" t="n">
        <x:v>46169</x:v>
      </x:c>
      <x:c r="Q378" s="31" t="inlineStr">
        <x:is>
          <x:t xml:space="preserve">Завершено</x:t>
        </x:is>
      </x:c>
      <x:c r="R378" s="31" t="inlineStr">
        <x:is>
          <x:t xml:space="preserve">Нет</x:t>
        </x:is>
      </x:c>
      <x:c r="S378" s="31" t="inlineStr">
        <x:is>
          <x:t xml:space="preserve">Нет</x:t>
        </x:is>
      </x:c>
    </x:row>
    <x:row r="379">
      <x:c r="A379" s="31" t="inlineStr">
        <x:is>
          <x:t xml:space="preserve">ОП-000378</x:t>
        </x:is>
      </x:c>
      <x:c r="B379" s="31" t="inlineStr">
        <x:is>
          <x:t xml:space="preserve">ПЗ-00045</x:t>
        </x:is>
      </x:c>
      <x:c r="C379" s="31" t="inlineStr">
        <x:is>
          <x:t xml:space="preserve">ЗК-1025</x:t>
        </x:is>
      </x:c>
      <x:c r="D379" s="31" t="inlineStr">
        <x:is>
          <x:t xml:space="preserve">ПОЗ-0025-2</x:t>
        </x:is>
      </x:c>
      <x:c r="E379" s="31" t="inlineStr">
        <x:is>
          <x:t xml:space="preserve">ИЗД-006</x:t>
        </x:is>
      </x:c>
      <x:c r="F379" s="31" t="n">
        <x:v>70</x:v>
      </x:c>
      <x:c r="G379" s="31" t="inlineStr">
        <x:is>
          <x:t xml:space="preserve">Электромонтаж</x:t>
        </x:is>
      </x:c>
      <x:c r="H379" s="31" t="inlineStr">
        <x:is>
          <x:t xml:space="preserve">Сборка</x:t>
        </x:is>
      </x:c>
      <x:c r="I379" s="31" t="inlineStr">
        <x:is>
          <x:t xml:space="preserve">ОБ-016</x:t>
        </x:is>
      </x:c>
      <x:c r="J379" s="31" t="inlineStr">
        <x:is>
          <x:t xml:space="preserve">СОТР-080</x:t>
        </x:is>
      </x:c>
      <x:c r="K379" s="31" t="n">
        <x:v>33.6</x:v>
      </x:c>
      <x:c r="L379" s="31" t="n">
        <x:v>30.6</x:v>
      </x:c>
      <x:c r="M379" s="31" t="n">
        <x:v>46167</x:v>
      </x:c>
      <x:c r="N379" s="31" t="n">
        <x:v>46170</x:v>
      </x:c>
      <x:c r="O379" s="31" t="n">
        <x:v>46167</x:v>
      </x:c>
      <x:c r="P379" s="31" t="n">
        <x:v>46169</x:v>
      </x:c>
      <x:c r="Q379" s="31" t="inlineStr">
        <x:is>
          <x:t xml:space="preserve">Завершено</x:t>
        </x:is>
      </x:c>
      <x:c r="R379" s="31" t="inlineStr">
        <x:is>
          <x:t xml:space="preserve">Нет</x:t>
        </x:is>
      </x:c>
      <x:c r="S379" s="31" t="inlineStr">
        <x:is>
          <x:t xml:space="preserve">Нет</x:t>
        </x:is>
      </x:c>
    </x:row>
    <x:row r="380">
      <x:c r="A380" s="31" t="inlineStr">
        <x:is>
          <x:t xml:space="preserve">ОП-000379</x:t>
        </x:is>
      </x:c>
      <x:c r="B380" s="31" t="inlineStr">
        <x:is>
          <x:t xml:space="preserve">ПЗ-00045</x:t>
        </x:is>
      </x:c>
      <x:c r="C380" s="31" t="inlineStr">
        <x:is>
          <x:t xml:space="preserve">ЗК-1025</x:t>
        </x:is>
      </x:c>
      <x:c r="D380" s="31" t="inlineStr">
        <x:is>
          <x:t xml:space="preserve">ПОЗ-0025-2</x:t>
        </x:is>
      </x:c>
      <x:c r="E380" s="31" t="inlineStr">
        <x:is>
          <x:t xml:space="preserve">ИЗД-006</x:t>
        </x:is>
      </x:c>
      <x:c r="F380" s="31" t="n">
        <x:v>80</x:v>
      </x:c>
      <x:c r="G380" s="31" t="inlineStr">
        <x:is>
          <x:t xml:space="preserve">Гидроиспытания</x:t>
        </x:is>
      </x:c>
      <x:c r="H380" s="31" t="inlineStr">
        <x:is>
          <x:t xml:space="preserve">ОТК</x:t>
        </x:is>
      </x:c>
      <x:c r="I380" s="31" t="inlineStr">
        <x:is>
          <x:t xml:space="preserve">ОБ-007</x:t>
        </x:is>
      </x:c>
      <x:c r="J380" s="31" t="inlineStr">
        <x:is>
          <x:t xml:space="preserve">СОТР-098</x:t>
        </x:is>
      </x:c>
      <x:c r="K380" s="31" t="n">
        <x:v>45.6</x:v>
      </x:c>
      <x:c r="L380" s="31" t="n">
        <x:v>51.6</x:v>
      </x:c>
      <x:c r="M380" s="31" t="n">
        <x:v>46170</x:v>
      </x:c>
      <x:c r="N380" s="31" t="n">
        <x:v>46174</x:v>
      </x:c>
      <x:c r="O380" s="31" t="n">
        <x:v>46170</x:v>
      </x:c>
      <x:c r="P380" s="31" t="n">
        <x:v>46176</x:v>
      </x:c>
      <x:c r="Q380" s="31" t="inlineStr">
        <x:is>
          <x:t xml:space="preserve">Завершено</x:t>
        </x:is>
      </x:c>
      <x:c r="R380" s="31" t="inlineStr">
        <x:is>
          <x:t xml:space="preserve">Нет</x:t>
        </x:is>
      </x:c>
      <x:c r="S380" s="31" t="inlineStr">
        <x:is>
          <x:t xml:space="preserve">Нет</x:t>
        </x:is>
      </x:c>
    </x:row>
    <x:row r="381">
      <x:c r="A381" s="31" t="inlineStr">
        <x:is>
          <x:t xml:space="preserve">ОП-000380</x:t>
        </x:is>
      </x:c>
      <x:c r="B381" s="31" t="inlineStr">
        <x:is>
          <x:t xml:space="preserve">ПЗ-00045</x:t>
        </x:is>
      </x:c>
      <x:c r="C381" s="31" t="inlineStr">
        <x:is>
          <x:t xml:space="preserve">ЗК-1025</x:t>
        </x:is>
      </x:c>
      <x:c r="D381" s="31" t="inlineStr">
        <x:is>
          <x:t xml:space="preserve">ПОЗ-0025-2</x:t>
        </x:is>
      </x:c>
      <x:c r="E381" s="31" t="inlineStr">
        <x:is>
          <x:t xml:space="preserve">ИЗД-006</x:t>
        </x:is>
      </x:c>
      <x:c r="F381" s="31" t="n">
        <x:v>90</x:v>
      </x:c>
      <x:c r="G381" s="31" t="inlineStr">
        <x:is>
          <x:t xml:space="preserve">ОТК</x:t>
        </x:is>
      </x:c>
      <x:c r="H381" s="31" t="inlineStr">
        <x:is>
          <x:t xml:space="preserve">ОТК</x:t>
        </x:is>
      </x:c>
      <x:c r="I381" s="31" t="inlineStr">
        <x:is>
          <x:t xml:space="preserve">ОБ-024</x:t>
        </x:is>
      </x:c>
      <x:c r="J381" s="31" t="inlineStr">
        <x:is>
          <x:t xml:space="preserve">СОТР-098</x:t>
        </x:is>
      </x:c>
      <x:c r="K381" s="31" t="n">
        <x:v>15.3</x:v>
      </x:c>
      <x:c r="L381" s="31" t="n">
        <x:v>13.5</x:v>
      </x:c>
      <x:c r="M381" s="31" t="n">
        <x:v>46174</x:v>
      </x:c>
      <x:c r="N381" s="31" t="n">
        <x:v>46176</x:v>
      </x:c>
      <x:c r="O381" s="31" t="n">
        <x:v>46174</x:v>
      </x:c>
      <x:c r="P381" s="31" t="n">
        <x:v>46175</x:v>
      </x:c>
      <x:c r="Q381" s="31" t="inlineStr">
        <x:is>
          <x:t xml:space="preserve">Завершено</x:t>
        </x:is>
      </x:c>
      <x:c r="R381" s="31" t="inlineStr">
        <x:is>
          <x:t xml:space="preserve">Нет</x:t>
        </x:is>
      </x:c>
      <x:c r="S381" s="31" t="inlineStr">
        <x:is>
          <x:t xml:space="preserve">Да</x:t>
        </x:is>
      </x:c>
    </x:row>
    <x:row r="382">
      <x:c r="A382" s="31" t="inlineStr">
        <x:is>
          <x:t xml:space="preserve">ОП-000381</x:t>
        </x:is>
      </x:c>
      <x:c r="B382" s="31" t="inlineStr">
        <x:is>
          <x:t xml:space="preserve">ПЗ-00045</x:t>
        </x:is>
      </x:c>
      <x:c r="C382" s="31" t="inlineStr">
        <x:is>
          <x:t xml:space="preserve">ЗК-1025</x:t>
        </x:is>
      </x:c>
      <x:c r="D382" s="31" t="inlineStr">
        <x:is>
          <x:t xml:space="preserve">ПОЗ-0025-2</x:t>
        </x:is>
      </x:c>
      <x:c r="E382" s="31" t="inlineStr">
        <x:is>
          <x:t xml:space="preserve">ИЗД-006</x:t>
        </x:is>
      </x:c>
      <x:c r="F382" s="31" t="n">
        <x:v>100</x:v>
      </x:c>
      <x:c r="G382" s="31" t="inlineStr">
        <x:is>
          <x:t xml:space="preserve">Упаковка</x:t>
        </x:is>
      </x:c>
      <x:c r="H382" s="31" t="inlineStr">
        <x:is>
          <x:t xml:space="preserve">Логистика</x:t>
        </x:is>
      </x:c>
      <x:c r="I382" s="31" t="n"/>
      <x:c r="J382" s="31" t="inlineStr">
        <x:is>
          <x:t xml:space="preserve">СОТР-103</x:t>
        </x:is>
      </x:c>
      <x:c r="K382" s="31" t="n">
        <x:v>37.2</x:v>
      </x:c>
      <x:c r="L382" s="31" t="n">
        <x:v>34.8</x:v>
      </x:c>
      <x:c r="M382" s="31" t="n">
        <x:v>46176</x:v>
      </x:c>
      <x:c r="N382" s="31" t="n">
        <x:v>46180</x:v>
      </x:c>
      <x:c r="O382" s="31" t="n">
        <x:v>46176</x:v>
      </x:c>
      <x:c r="P382" s="31" t="n">
        <x:v>46181</x:v>
      </x:c>
      <x:c r="Q382" s="31" t="inlineStr">
        <x:is>
          <x:t xml:space="preserve">Завершено</x:t>
        </x:is>
      </x:c>
      <x:c r="R382" s="31" t="inlineStr">
        <x:is>
          <x:t xml:space="preserve">Материал</x:t>
        </x:is>
      </x:c>
      <x:c r="S382" s="31" t="inlineStr">
        <x:is>
          <x:t xml:space="preserve">Нет</x:t>
        </x:is>
      </x:c>
    </x:row>
    <x:row r="383">
      <x:c r="A383" s="31" t="inlineStr">
        <x:is>
          <x:t xml:space="preserve">ОП-000382</x:t>
        </x:is>
      </x:c>
      <x:c r="B383" s="31" t="inlineStr">
        <x:is>
          <x:t xml:space="preserve">ПЗ-00046</x:t>
        </x:is>
      </x:c>
      <x:c r="C383" s="31" t="inlineStr">
        <x:is>
          <x:t xml:space="preserve">ЗК-1029</x:t>
        </x:is>
      </x:c>
      <x:c r="D383" s="31" t="inlineStr">
        <x:is>
          <x:t xml:space="preserve">ПОЗ-0029-1</x:t>
        </x:is>
      </x:c>
      <x:c r="E383" s="31" t="inlineStr">
        <x:is>
          <x:t xml:space="preserve">ИЗД-031</x:t>
        </x:is>
      </x:c>
      <x:c r="F383" s="31" t="n">
        <x:v>10</x:v>
      </x:c>
      <x:c r="G383" s="31" t="inlineStr">
        <x:is>
          <x:t xml:space="preserve">КД</x:t>
        </x:is>
      </x:c>
      <x:c r="H383" s="31" t="inlineStr">
        <x:is>
          <x:t xml:space="preserve">Инженерный отдел</x:t>
        </x:is>
      </x:c>
      <x:c r="I383" s="31" t="n"/>
      <x:c r="J383" s="31" t="inlineStr">
        <x:is>
          <x:t xml:space="preserve">СОТР-021</x:t>
        </x:is>
      </x:c>
      <x:c r="K383" s="31" t="n">
        <x:v>36.8</x:v>
      </x:c>
      <x:c r="L383" s="31" t="n"/>
      <x:c r="M383" s="31" t="n">
        <x:v>46064</x:v>
      </x:c>
      <x:c r="N383" s="31" t="n">
        <x:v>46068</x:v>
      </x:c>
      <x:c r="O383" s="31" t="n"/>
      <x:c r="P383" s="31" t="n"/>
      <x:c r="Q383" s="31" t="inlineStr">
        <x:is>
          <x:t xml:space="preserve">Запланировано</x:t>
        </x:is>
      </x:c>
      <x:c r="R383" s="31" t="inlineStr">
        <x:is>
          <x:t xml:space="preserve">Нет</x:t>
        </x:is>
      </x:c>
      <x:c r="S383" s="31" t="inlineStr">
        <x:is>
          <x:t xml:space="preserve">Нет</x:t>
        </x:is>
      </x:c>
    </x:row>
    <x:row r="384">
      <x:c r="A384" s="31" t="inlineStr">
        <x:is>
          <x:t xml:space="preserve">ОП-000383</x:t>
        </x:is>
      </x:c>
      <x:c r="B384" s="31" t="inlineStr">
        <x:is>
          <x:t xml:space="preserve">ПЗ-00046</x:t>
        </x:is>
      </x:c>
      <x:c r="C384" s="31" t="inlineStr">
        <x:is>
          <x:t xml:space="preserve">ЗК-1029</x:t>
        </x:is>
      </x:c>
      <x:c r="D384" s="31" t="inlineStr">
        <x:is>
          <x:t xml:space="preserve">ПОЗ-0029-1</x:t>
        </x:is>
      </x:c>
      <x:c r="E384" s="31" t="inlineStr">
        <x:is>
          <x:t xml:space="preserve">ИЗД-031</x:t>
        </x:is>
      </x:c>
      <x:c r="F384" s="31" t="n">
        <x:v>20</x:v>
      </x:c>
      <x:c r="G384" s="31" t="inlineStr">
        <x:is>
          <x:t xml:space="preserve">Резерв материалов</x:t>
        </x:is>
      </x:c>
      <x:c r="H384" s="31" t="inlineStr">
        <x:is>
          <x:t xml:space="preserve">Склад</x:t>
        </x:is>
      </x:c>
      <x:c r="I384" s="31" t="inlineStr">
        <x:is>
          <x:t xml:space="preserve">ОБ-011</x:t>
        </x:is>
      </x:c>
      <x:c r="J384" s="31" t="inlineStr">
        <x:is>
          <x:t xml:space="preserve">СОТР-036</x:t>
        </x:is>
      </x:c>
      <x:c r="K384" s="31" t="n">
        <x:v>12.4</x:v>
      </x:c>
      <x:c r="L384" s="31" t="n"/>
      <x:c r="M384" s="31" t="n">
        <x:v>46068</x:v>
      </x:c>
      <x:c r="N384" s="31" t="n">
        <x:v>46070</x:v>
      </x:c>
      <x:c r="O384" s="31" t="n"/>
      <x:c r="P384" s="31" t="n"/>
      <x:c r="Q384" s="31" t="inlineStr">
        <x:is>
          <x:t xml:space="preserve">Блокировано</x:t>
        </x:is>
      </x:c>
      <x:c r="R384" s="31" t="inlineStr">
        <x:is>
          <x:t xml:space="preserve">Нет</x:t>
        </x:is>
      </x:c>
      <x:c r="S384" s="31" t="inlineStr">
        <x:is>
          <x:t xml:space="preserve">Нет</x:t>
        </x:is>
      </x:c>
    </x:row>
    <x:row r="385">
      <x:c r="A385" s="31" t="inlineStr">
        <x:is>
          <x:t xml:space="preserve">ОП-000384</x:t>
        </x:is>
      </x:c>
      <x:c r="B385" s="31" t="inlineStr">
        <x:is>
          <x:t xml:space="preserve">ПЗ-00046</x:t>
        </x:is>
      </x:c>
      <x:c r="C385" s="31" t="inlineStr">
        <x:is>
          <x:t xml:space="preserve">ЗК-1029</x:t>
        </x:is>
      </x:c>
      <x:c r="D385" s="31" t="inlineStr">
        <x:is>
          <x:t xml:space="preserve">ПОЗ-0029-1</x:t>
        </x:is>
      </x:c>
      <x:c r="E385" s="31" t="inlineStr">
        <x:is>
          <x:t xml:space="preserve">ИЗД-031</x:t>
        </x:is>
      </x:c>
      <x:c r="F385" s="31" t="n">
        <x:v>30</x:v>
      </x:c>
      <x:c r="G385" s="31" t="inlineStr">
        <x:is>
          <x:t xml:space="preserve">Резка металла</x:t>
        </x:is>
      </x:c>
      <x:c r="H385" s="31" t="inlineStr">
        <x:is>
          <x:t xml:space="preserve">Сварка</x:t>
        </x:is>
      </x:c>
      <x:c r="I385" s="31" t="inlineStr">
        <x:is>
          <x:t xml:space="preserve">ОБ-003</x:t>
        </x:is>
      </x:c>
      <x:c r="J385" s="31" t="inlineStr">
        <x:is>
          <x:t xml:space="preserve">СОТР-067</x:t>
        </x:is>
      </x:c>
      <x:c r="K385" s="31" t="n">
        <x:v>17.6</x:v>
      </x:c>
      <x:c r="L385" s="31" t="n"/>
      <x:c r="M385" s="31" t="n">
        <x:v>46070</x:v>
      </x:c>
      <x:c r="N385" s="31" t="n">
        <x:v>46072</x:v>
      </x:c>
      <x:c r="O385" s="31" t="n"/>
      <x:c r="P385" s="31" t="n"/>
      <x:c r="Q385" s="31" t="inlineStr">
        <x:is>
          <x:t xml:space="preserve">Запланировано</x:t>
        </x:is>
      </x:c>
      <x:c r="R385" s="31" t="inlineStr">
        <x:is>
          <x:t xml:space="preserve">Нет</x:t>
        </x:is>
      </x:c>
      <x:c r="S385" s="31" t="inlineStr">
        <x:is>
          <x:t xml:space="preserve">Нет</x:t>
        </x:is>
      </x:c>
    </x:row>
    <x:row r="386">
      <x:c r="A386" s="31" t="inlineStr">
        <x:is>
          <x:t xml:space="preserve">ОП-000385</x:t>
        </x:is>
      </x:c>
      <x:c r="B386" s="31" t="inlineStr">
        <x:is>
          <x:t xml:space="preserve">ПЗ-00046</x:t>
        </x:is>
      </x:c>
      <x:c r="C386" s="31" t="inlineStr">
        <x:is>
          <x:t xml:space="preserve">ЗК-1029</x:t>
        </x:is>
      </x:c>
      <x:c r="D386" s="31" t="inlineStr">
        <x:is>
          <x:t xml:space="preserve">ПОЗ-0029-1</x:t>
        </x:is>
      </x:c>
      <x:c r="E386" s="31" t="inlineStr">
        <x:is>
          <x:t xml:space="preserve">ИЗД-031</x:t>
        </x:is>
      </x:c>
      <x:c r="F386" s="31" t="n">
        <x:v>40</x:v>
      </x:c>
      <x:c r="G386" s="31" t="inlineStr">
        <x:is>
          <x:t xml:space="preserve">Сварка рамы</x:t>
        </x:is>
      </x:c>
      <x:c r="H386" s="31" t="inlineStr">
        <x:is>
          <x:t xml:space="preserve">Сварка</x:t>
        </x:is>
      </x:c>
      <x:c r="I386" s="31" t="inlineStr">
        <x:is>
          <x:t xml:space="preserve">ОБ-004</x:t>
        </x:is>
      </x:c>
      <x:c r="J386" s="31" t="inlineStr">
        <x:is>
          <x:t xml:space="preserve">СОТР-056</x:t>
        </x:is>
      </x:c>
      <x:c r="K386" s="31" t="n">
        <x:v>4.4</x:v>
      </x:c>
      <x:c r="L386" s="31" t="n"/>
      <x:c r="M386" s="31" t="n">
        <x:v>46072</x:v>
      </x:c>
      <x:c r="N386" s="31" t="n">
        <x:v>46073</x:v>
      </x:c>
      <x:c r="O386" s="31" t="n"/>
      <x:c r="P386" s="31" t="n"/>
      <x:c r="Q386" s="31" t="inlineStr">
        <x:is>
          <x:t xml:space="preserve">Запланировано</x:t>
        </x:is>
      </x:c>
      <x:c r="R386" s="31" t="inlineStr">
        <x:is>
          <x:t xml:space="preserve">Нет</x:t>
        </x:is>
      </x:c>
      <x:c r="S386" s="31" t="inlineStr">
        <x:is>
          <x:t xml:space="preserve">Нет</x:t>
        </x:is>
      </x:c>
    </x:row>
    <x:row r="387">
      <x:c r="A387" s="31" t="inlineStr">
        <x:is>
          <x:t xml:space="preserve">ОП-000386</x:t>
        </x:is>
      </x:c>
      <x:c r="B387" s="31" t="inlineStr">
        <x:is>
          <x:t xml:space="preserve">ПЗ-00046</x:t>
        </x:is>
      </x:c>
      <x:c r="C387" s="31" t="inlineStr">
        <x:is>
          <x:t xml:space="preserve">ЗК-1029</x:t>
        </x:is>
      </x:c>
      <x:c r="D387" s="31" t="inlineStr">
        <x:is>
          <x:t xml:space="preserve">ПОЗ-0029-1</x:t>
        </x:is>
      </x:c>
      <x:c r="E387" s="31" t="inlineStr">
        <x:is>
          <x:t xml:space="preserve">ИЗД-031</x:t>
        </x:is>
      </x:c>
      <x:c r="F387" s="31" t="n">
        <x:v>50</x:v>
      </x:c>
      <x:c r="G387" s="31" t="inlineStr">
        <x:is>
          <x:t xml:space="preserve">Механообработка</x:t>
        </x:is>
      </x:c>
      <x:c r="H387" s="31" t="inlineStr">
        <x:is>
          <x:t xml:space="preserve">Механообработка</x:t>
        </x:is>
      </x:c>
      <x:c r="I387" s="31" t="inlineStr">
        <x:is>
          <x:t xml:space="preserve">ОБ-031</x:t>
        </x:is>
      </x:c>
      <x:c r="J387" s="31" t="inlineStr">
        <x:is>
          <x:t xml:space="preserve">СОТР-044</x:t>
        </x:is>
      </x:c>
      <x:c r="K387" s="31" t="n">
        <x:v>19.6</x:v>
      </x:c>
      <x:c r="L387" s="31" t="n"/>
      <x:c r="M387" s="31" t="n">
        <x:v>46073</x:v>
      </x:c>
      <x:c r="N387" s="31" t="n">
        <x:v>46075</x:v>
      </x:c>
      <x:c r="O387" s="31" t="n"/>
      <x:c r="P387" s="31" t="n"/>
      <x:c r="Q387" s="31" t="inlineStr">
        <x:is>
          <x:t xml:space="preserve">Запланировано</x:t>
        </x:is>
      </x:c>
      <x:c r="R387" s="31" t="inlineStr">
        <x:is>
          <x:t xml:space="preserve">Нет</x:t>
        </x:is>
      </x:c>
      <x:c r="S387" s="31" t="inlineStr">
        <x:is>
          <x:t xml:space="preserve">Нет</x:t>
        </x:is>
      </x:c>
    </x:row>
    <x:row r="388">
      <x:c r="A388" s="31" t="inlineStr">
        <x:is>
          <x:t xml:space="preserve">ОП-000387</x:t>
        </x:is>
      </x:c>
      <x:c r="B388" s="31" t="inlineStr">
        <x:is>
          <x:t xml:space="preserve">ПЗ-00046</x:t>
        </x:is>
      </x:c>
      <x:c r="C388" s="31" t="inlineStr">
        <x:is>
          <x:t xml:space="preserve">ЗК-1029</x:t>
        </x:is>
      </x:c>
      <x:c r="D388" s="31" t="inlineStr">
        <x:is>
          <x:t xml:space="preserve">ПОЗ-0029-1</x:t>
        </x:is>
      </x:c>
      <x:c r="E388" s="31" t="inlineStr">
        <x:is>
          <x:t xml:space="preserve">ИЗД-031</x:t>
        </x:is>
      </x:c>
      <x:c r="F388" s="31" t="n">
        <x:v>60</x:v>
      </x:c>
      <x:c r="G388" s="31" t="inlineStr">
        <x:is>
          <x:t xml:space="preserve">Сборка</x:t>
        </x:is>
      </x:c>
      <x:c r="H388" s="31" t="inlineStr">
        <x:is>
          <x:t xml:space="preserve">Сборка</x:t>
        </x:is>
      </x:c>
      <x:c r="I388" s="31" t="inlineStr">
        <x:is>
          <x:t xml:space="preserve">ОБ-005</x:t>
        </x:is>
      </x:c>
      <x:c r="J388" s="31" t="inlineStr">
        <x:is>
          <x:t xml:space="preserve">СОТР-078</x:t>
        </x:is>
      </x:c>
      <x:c r="K388" s="31" t="n">
        <x:v>5.2</x:v>
      </x:c>
      <x:c r="L388" s="31" t="n"/>
      <x:c r="M388" s="31" t="n">
        <x:v>46075</x:v>
      </x:c>
      <x:c r="N388" s="31" t="n">
        <x:v>46076</x:v>
      </x:c>
      <x:c r="O388" s="31" t="n"/>
      <x:c r="P388" s="31" t="n"/>
      <x:c r="Q388" s="31" t="inlineStr">
        <x:is>
          <x:t xml:space="preserve">Запланировано</x:t>
        </x:is>
      </x:c>
      <x:c r="R388" s="31" t="inlineStr">
        <x:is>
          <x:t xml:space="preserve">Нет</x:t>
        </x:is>
      </x:c>
      <x:c r="S388" s="31" t="inlineStr">
        <x:is>
          <x:t xml:space="preserve">Нет</x:t>
        </x:is>
      </x:c>
    </x:row>
    <x:row r="389">
      <x:c r="A389" s="31" t="inlineStr">
        <x:is>
          <x:t xml:space="preserve">ОП-000388</x:t>
        </x:is>
      </x:c>
      <x:c r="B389" s="31" t="inlineStr">
        <x:is>
          <x:t xml:space="preserve">ПЗ-00046</x:t>
        </x:is>
      </x:c>
      <x:c r="C389" s="31" t="inlineStr">
        <x:is>
          <x:t xml:space="preserve">ЗК-1029</x:t>
        </x:is>
      </x:c>
      <x:c r="D389" s="31" t="inlineStr">
        <x:is>
          <x:t xml:space="preserve">ПОЗ-0029-1</x:t>
        </x:is>
      </x:c>
      <x:c r="E389" s="31" t="inlineStr">
        <x:is>
          <x:t xml:space="preserve">ИЗД-031</x:t>
        </x:is>
      </x:c>
      <x:c r="F389" s="31" t="n">
        <x:v>70</x:v>
      </x:c>
      <x:c r="G389" s="31" t="inlineStr">
        <x:is>
          <x:t xml:space="preserve">Электромонтаж</x:t>
        </x:is>
      </x:c>
      <x:c r="H389" s="31" t="inlineStr">
        <x:is>
          <x:t xml:space="preserve">Сборка</x:t>
        </x:is>
      </x:c>
      <x:c r="I389" s="31" t="inlineStr">
        <x:is>
          <x:t xml:space="preserve">ОБ-014</x:t>
        </x:is>
      </x:c>
      <x:c r="J389" s="31" t="inlineStr">
        <x:is>
          <x:t xml:space="preserve">СОТР-081</x:t>
        </x:is>
      </x:c>
      <x:c r="K389" s="31" t="n">
        <x:v>43.2</x:v>
      </x:c>
      <x:c r="L389" s="31" t="n"/>
      <x:c r="M389" s="31" t="n">
        <x:v>46076</x:v>
      </x:c>
      <x:c r="N389" s="31" t="n">
        <x:v>46080</x:v>
      </x:c>
      <x:c r="O389" s="31" t="n"/>
      <x:c r="P389" s="31" t="n"/>
      <x:c r="Q389" s="31" t="inlineStr">
        <x:is>
          <x:t xml:space="preserve">Запланировано</x:t>
        </x:is>
      </x:c>
      <x:c r="R389" s="31" t="inlineStr">
        <x:is>
          <x:t xml:space="preserve">Нет</x:t>
        </x:is>
      </x:c>
      <x:c r="S389" s="31" t="inlineStr">
        <x:is>
          <x:t xml:space="preserve">Да</x:t>
        </x:is>
      </x:c>
    </x:row>
    <x:row r="390">
      <x:c r="A390" s="31" t="inlineStr">
        <x:is>
          <x:t xml:space="preserve">ОП-000389</x:t>
        </x:is>
      </x:c>
      <x:c r="B390" s="31" t="inlineStr">
        <x:is>
          <x:t xml:space="preserve">ПЗ-00046</x:t>
        </x:is>
      </x:c>
      <x:c r="C390" s="31" t="inlineStr">
        <x:is>
          <x:t xml:space="preserve">ЗК-1029</x:t>
        </x:is>
      </x:c>
      <x:c r="D390" s="31" t="inlineStr">
        <x:is>
          <x:t xml:space="preserve">ПОЗ-0029-1</x:t>
        </x:is>
      </x:c>
      <x:c r="E390" s="31" t="inlineStr">
        <x:is>
          <x:t xml:space="preserve">ИЗД-031</x:t>
        </x:is>
      </x:c>
      <x:c r="F390" s="31" t="n">
        <x:v>80</x:v>
      </x:c>
      <x:c r="G390" s="31" t="inlineStr">
        <x:is>
          <x:t xml:space="preserve">Гидроиспытания</x:t>
        </x:is>
      </x:c>
      <x:c r="H390" s="31" t="inlineStr">
        <x:is>
          <x:t xml:space="preserve">ОТК</x:t>
        </x:is>
      </x:c>
      <x:c r="I390" s="31" t="inlineStr">
        <x:is>
          <x:t xml:space="preserve">ОБ-006</x:t>
        </x:is>
      </x:c>
      <x:c r="J390" s="31" t="inlineStr">
        <x:is>
          <x:t xml:space="preserve">СОТР-100</x:t>
        </x:is>
      </x:c>
      <x:c r="K390" s="31" t="n">
        <x:v>35.2</x:v>
      </x:c>
      <x:c r="L390" s="31" t="n"/>
      <x:c r="M390" s="31" t="n">
        <x:v>46080</x:v>
      </x:c>
      <x:c r="N390" s="31" t="n">
        <x:v>46083</x:v>
      </x:c>
      <x:c r="O390" s="31" t="n"/>
      <x:c r="P390" s="31" t="n"/>
      <x:c r="Q390" s="31" t="inlineStr">
        <x:is>
          <x:t xml:space="preserve">Запланировано</x:t>
        </x:is>
      </x:c>
      <x:c r="R390" s="31" t="inlineStr">
        <x:is>
          <x:t xml:space="preserve">Ожидание ОТК</x:t>
        </x:is>
      </x:c>
      <x:c r="S390" s="31" t="inlineStr">
        <x:is>
          <x:t xml:space="preserve">Нет</x:t>
        </x:is>
      </x:c>
    </x:row>
    <x:row r="391">
      <x:c r="A391" s="31" t="inlineStr">
        <x:is>
          <x:t xml:space="preserve">ОП-000390</x:t>
        </x:is>
      </x:c>
      <x:c r="B391" s="31" t="inlineStr">
        <x:is>
          <x:t xml:space="preserve">ПЗ-00046</x:t>
        </x:is>
      </x:c>
      <x:c r="C391" s="31" t="inlineStr">
        <x:is>
          <x:t xml:space="preserve">ЗК-1029</x:t>
        </x:is>
      </x:c>
      <x:c r="D391" s="31" t="inlineStr">
        <x:is>
          <x:t xml:space="preserve">ПОЗ-0029-1</x:t>
        </x:is>
      </x:c>
      <x:c r="E391" s="31" t="inlineStr">
        <x:is>
          <x:t xml:space="preserve">ИЗД-031</x:t>
        </x:is>
      </x:c>
      <x:c r="F391" s="31" t="n">
        <x:v>90</x:v>
      </x:c>
      <x:c r="G391" s="31" t="inlineStr">
        <x:is>
          <x:t xml:space="preserve">ОТК</x:t>
        </x:is>
      </x:c>
      <x:c r="H391" s="31" t="inlineStr">
        <x:is>
          <x:t xml:space="preserve">ОТК</x:t>
        </x:is>
      </x:c>
      <x:c r="I391" s="31" t="inlineStr">
        <x:is>
          <x:t xml:space="preserve">ОБ-033</x:t>
        </x:is>
      </x:c>
      <x:c r="J391" s="31" t="inlineStr">
        <x:is>
          <x:t xml:space="preserve">СОТР-095</x:t>
        </x:is>
      </x:c>
      <x:c r="K391" s="31" t="n">
        <x:v>20.4</x:v>
      </x:c>
      <x:c r="L391" s="31" t="n"/>
      <x:c r="M391" s="31" t="n">
        <x:v>46083</x:v>
      </x:c>
      <x:c r="N391" s="31" t="n">
        <x:v>46085</x:v>
      </x:c>
      <x:c r="O391" s="31" t="n"/>
      <x:c r="P391" s="31" t="n"/>
      <x:c r="Q391" s="31" t="inlineStr">
        <x:is>
          <x:t xml:space="preserve">Запланировано</x:t>
        </x:is>
      </x:c>
      <x:c r="R391" s="31" t="inlineStr">
        <x:is>
          <x:t xml:space="preserve">Нет</x:t>
        </x:is>
      </x:c>
      <x:c r="S391" s="31" t="inlineStr">
        <x:is>
          <x:t xml:space="preserve">Нет</x:t>
        </x:is>
      </x:c>
    </x:row>
    <x:row r="392">
      <x:c r="A392" s="31" t="inlineStr">
        <x:is>
          <x:t xml:space="preserve">ОП-000391</x:t>
        </x:is>
      </x:c>
      <x:c r="B392" s="31" t="inlineStr">
        <x:is>
          <x:t xml:space="preserve">ПЗ-00046</x:t>
        </x:is>
      </x:c>
      <x:c r="C392" s="31" t="inlineStr">
        <x:is>
          <x:t xml:space="preserve">ЗК-1029</x:t>
        </x:is>
      </x:c>
      <x:c r="D392" s="31" t="inlineStr">
        <x:is>
          <x:t xml:space="preserve">ПОЗ-0029-1</x:t>
        </x:is>
      </x:c>
      <x:c r="E392" s="31" t="inlineStr">
        <x:is>
          <x:t xml:space="preserve">ИЗД-031</x:t>
        </x:is>
      </x:c>
      <x:c r="F392" s="31" t="n">
        <x:v>100</x:v>
      </x:c>
      <x:c r="G392" s="31" t="inlineStr">
        <x:is>
          <x:t xml:space="preserve">Упаковка</x:t>
        </x:is>
      </x:c>
      <x:c r="H392" s="31" t="inlineStr">
        <x:is>
          <x:t xml:space="preserve">Логистика</x:t>
        </x:is>
      </x:c>
      <x:c r="I392" s="31" t="n"/>
      <x:c r="J392" s="31" t="inlineStr">
        <x:is>
          <x:t xml:space="preserve">СОТР-104</x:t>
        </x:is>
      </x:c>
      <x:c r="K392" s="31" t="n">
        <x:v>8.800000000000001</x:v>
      </x:c>
      <x:c r="L392" s="31" t="n"/>
      <x:c r="M392" s="31" t="n">
        <x:v>46085</x:v>
      </x:c>
      <x:c r="N392" s="31" t="n">
        <x:v>46086</x:v>
      </x:c>
      <x:c r="O392" s="31" t="n"/>
      <x:c r="P392" s="31" t="n"/>
      <x:c r="Q392" s="31" t="inlineStr">
        <x:is>
          <x:t xml:space="preserve">Запланировано</x:t>
        </x:is>
      </x:c>
      <x:c r="R392" s="31" t="inlineStr">
        <x:is>
          <x:t xml:space="preserve">Оборудование</x:t>
        </x:is>
      </x:c>
      <x:c r="S392" s="31" t="inlineStr">
        <x:is>
          <x:t xml:space="preserve">Да</x:t>
        </x:is>
      </x:c>
    </x:row>
    <x:row r="393">
      <x:c r="A393" s="31" t="inlineStr">
        <x:is>
          <x:t xml:space="preserve">ОП-000392</x:t>
        </x:is>
      </x:c>
      <x:c r="B393" s="31" t="inlineStr">
        <x:is>
          <x:t xml:space="preserve">ПЗ-00047</x:t>
        </x:is>
      </x:c>
      <x:c r="C393" s="31" t="inlineStr">
        <x:is>
          <x:t xml:space="preserve">ЗК-1029</x:t>
        </x:is>
      </x:c>
      <x:c r="D393" s="31" t="inlineStr">
        <x:is>
          <x:t xml:space="preserve">ПОЗ-0029-2</x:t>
        </x:is>
      </x:c>
      <x:c r="E393" s="31" t="inlineStr">
        <x:is>
          <x:t xml:space="preserve">ИЗД-038</x:t>
        </x:is>
      </x:c>
      <x:c r="F393" s="31" t="n">
        <x:v>10</x:v>
      </x:c>
      <x:c r="G393" s="31" t="inlineStr">
        <x:is>
          <x:t xml:space="preserve">КД</x:t>
        </x:is>
      </x:c>
      <x:c r="H393" s="31" t="inlineStr">
        <x:is>
          <x:t xml:space="preserve">Инженерный отдел</x:t>
        </x:is>
      </x:c>
      <x:c r="I393" s="31" t="n"/>
      <x:c r="J393" s="31" t="inlineStr">
        <x:is>
          <x:t xml:space="preserve">СОТР-020</x:t>
        </x:is>
      </x:c>
      <x:c r="K393" s="31" t="n">
        <x:v>27.5</x:v>
      </x:c>
      <x:c r="L393" s="31" t="n">
        <x:v>26.6</x:v>
      </x:c>
      <x:c r="M393" s="31" t="n">
        <x:v>46053</x:v>
      </x:c>
      <x:c r="N393" s="31" t="n">
        <x:v>46056</x:v>
      </x:c>
      <x:c r="O393" s="31" t="n">
        <x:v>46053</x:v>
      </x:c>
      <x:c r="P393" s="31" t="n">
        <x:v>46057</x:v>
      </x:c>
      <x:c r="Q393" s="31" t="inlineStr">
        <x:is>
          <x:t xml:space="preserve">Завершено</x:t>
        </x:is>
      </x:c>
      <x:c r="R393" s="31" t="inlineStr">
        <x:is>
          <x:t xml:space="preserve">Нет</x:t>
        </x:is>
      </x:c>
      <x:c r="S393" s="31" t="inlineStr">
        <x:is>
          <x:t xml:space="preserve">Нет</x:t>
        </x:is>
      </x:c>
    </x:row>
    <x:row r="394">
      <x:c r="A394" s="31" t="inlineStr">
        <x:is>
          <x:t xml:space="preserve">ОП-000393</x:t>
        </x:is>
      </x:c>
      <x:c r="B394" s="31" t="inlineStr">
        <x:is>
          <x:t xml:space="preserve">ПЗ-00047</x:t>
        </x:is>
      </x:c>
      <x:c r="C394" s="31" t="inlineStr">
        <x:is>
          <x:t xml:space="preserve">ЗК-1029</x:t>
        </x:is>
      </x:c>
      <x:c r="D394" s="31" t="inlineStr">
        <x:is>
          <x:t xml:space="preserve">ПОЗ-0029-2</x:t>
        </x:is>
      </x:c>
      <x:c r="E394" s="31" t="inlineStr">
        <x:is>
          <x:t xml:space="preserve">ИЗД-038</x:t>
        </x:is>
      </x:c>
      <x:c r="F394" s="31" t="n">
        <x:v>20</x:v>
      </x:c>
      <x:c r="G394" s="31" t="inlineStr">
        <x:is>
          <x:t xml:space="preserve">Резка труб</x:t>
        </x:is>
      </x:c>
      <x:c r="H394" s="31" t="inlineStr">
        <x:is>
          <x:t xml:space="preserve">Сварка</x:t>
        </x:is>
      </x:c>
      <x:c r="I394" s="31" t="inlineStr">
        <x:is>
          <x:t xml:space="preserve">ОБ-010</x:t>
        </x:is>
      </x:c>
      <x:c r="J394" s="31" t="inlineStr">
        <x:is>
          <x:t xml:space="preserve">СОТР-064</x:t>
        </x:is>
      </x:c>
      <x:c r="K394" s="31" t="n">
        <x:v>8</x:v>
      </x:c>
      <x:c r="L394" s="31" t="n">
        <x:v>8.699999999999999</x:v>
      </x:c>
      <x:c r="M394" s="31" t="n">
        <x:v>46056</x:v>
      </x:c>
      <x:c r="N394" s="31" t="n">
        <x:v>46057</x:v>
      </x:c>
      <x:c r="O394" s="31" t="n">
        <x:v>46056</x:v>
      </x:c>
      <x:c r="P394" s="31" t="n">
        <x:v>46058</x:v>
      </x:c>
      <x:c r="Q394" s="31" t="inlineStr">
        <x:is>
          <x:t xml:space="preserve">Завершено</x:t>
        </x:is>
      </x:c>
      <x:c r="R394" s="31" t="inlineStr">
        <x:is>
          <x:t xml:space="preserve">Нет</x:t>
        </x:is>
      </x:c>
      <x:c r="S394" s="31" t="inlineStr">
        <x:is>
          <x:t xml:space="preserve">Нет</x:t>
        </x:is>
      </x:c>
    </x:row>
    <x:row r="395">
      <x:c r="A395" s="31" t="inlineStr">
        <x:is>
          <x:t xml:space="preserve">ОП-000394</x:t>
        </x:is>
      </x:c>
      <x:c r="B395" s="31" t="inlineStr">
        <x:is>
          <x:t xml:space="preserve">ПЗ-00047</x:t>
        </x:is>
      </x:c>
      <x:c r="C395" s="31" t="inlineStr">
        <x:is>
          <x:t xml:space="preserve">ЗК-1029</x:t>
        </x:is>
      </x:c>
      <x:c r="D395" s="31" t="inlineStr">
        <x:is>
          <x:t xml:space="preserve">ПОЗ-0029-2</x:t>
        </x:is>
      </x:c>
      <x:c r="E395" s="31" t="inlineStr">
        <x:is>
          <x:t xml:space="preserve">ИЗД-038</x:t>
        </x:is>
      </x:c>
      <x:c r="F395" s="31" t="n">
        <x:v>30</x:v>
      </x:c>
      <x:c r="G395" s="31" t="inlineStr">
        <x:is>
          <x:t xml:space="preserve">Сварка</x:t>
        </x:is>
      </x:c>
      <x:c r="H395" s="31" t="inlineStr">
        <x:is>
          <x:t xml:space="preserve">Сварка</x:t>
        </x:is>
      </x:c>
      <x:c r="I395" s="31" t="inlineStr">
        <x:is>
          <x:t xml:space="preserve">ОБ-010</x:t>
        </x:is>
      </x:c>
      <x:c r="J395" s="31" t="inlineStr">
        <x:is>
          <x:t xml:space="preserve">СОТР-064</x:t>
        </x:is>
      </x:c>
      <x:c r="K395" s="31" t="n">
        <x:v>22</x:v>
      </x:c>
      <x:c r="L395" s="31" t="n">
        <x:v>22.9</x:v>
      </x:c>
      <x:c r="M395" s="31" t="n">
        <x:v>46057</x:v>
      </x:c>
      <x:c r="N395" s="31" t="n">
        <x:v>46059</x:v>
      </x:c>
      <x:c r="O395" s="31" t="n">
        <x:v>46057</x:v>
      </x:c>
      <x:c r="P395" s="31" t="n">
        <x:v>46060</x:v>
      </x:c>
      <x:c r="Q395" s="31" t="inlineStr">
        <x:is>
          <x:t xml:space="preserve">Завершено</x:t>
        </x:is>
      </x:c>
      <x:c r="R395" s="31" t="inlineStr">
        <x:is>
          <x:t xml:space="preserve">Нет</x:t>
        </x:is>
      </x:c>
      <x:c r="S395" s="31" t="inlineStr">
        <x:is>
          <x:t xml:space="preserve">Нет</x:t>
        </x:is>
      </x:c>
    </x:row>
    <x:row r="396">
      <x:c r="A396" s="31" t="inlineStr">
        <x:is>
          <x:t xml:space="preserve">ОП-000395</x:t>
        </x:is>
      </x:c>
      <x:c r="B396" s="31" t="inlineStr">
        <x:is>
          <x:t xml:space="preserve">ПЗ-00047</x:t>
        </x:is>
      </x:c>
      <x:c r="C396" s="31" t="inlineStr">
        <x:is>
          <x:t xml:space="preserve">ЗК-1029</x:t>
        </x:is>
      </x:c>
      <x:c r="D396" s="31" t="inlineStr">
        <x:is>
          <x:t xml:space="preserve">ПОЗ-0029-2</x:t>
        </x:is>
      </x:c>
      <x:c r="E396" s="31" t="inlineStr">
        <x:is>
          <x:t xml:space="preserve">ИЗД-038</x:t>
        </x:is>
      </x:c>
      <x:c r="F396" s="31" t="n">
        <x:v>40</x:v>
      </x:c>
      <x:c r="G396" s="31" t="inlineStr">
        <x:is>
          <x:t xml:space="preserve">НК сварных швов</x:t>
        </x:is>
      </x:c>
      <x:c r="H396" s="31" t="inlineStr">
        <x:is>
          <x:t xml:space="preserve">ОТК</x:t>
        </x:is>
      </x:c>
      <x:c r="I396" s="31" t="inlineStr">
        <x:is>
          <x:t xml:space="preserve">ОБ-022</x:t>
        </x:is>
      </x:c>
      <x:c r="J396" s="31" t="inlineStr">
        <x:is>
          <x:t xml:space="preserve">СОТР-063</x:t>
        </x:is>
      </x:c>
      <x:c r="K396" s="31" t="n">
        <x:v>5.5</x:v>
      </x:c>
      <x:c r="L396" s="31" t="n">
        <x:v>6</x:v>
      </x:c>
      <x:c r="M396" s="31" t="n">
        <x:v>46059</x:v>
      </x:c>
      <x:c r="N396" s="31" t="n">
        <x:v>46060</x:v>
      </x:c>
      <x:c r="O396" s="31" t="n">
        <x:v>46059</x:v>
      </x:c>
      <x:c r="P396" s="31" t="n">
        <x:v>46061</x:v>
      </x:c>
      <x:c r="Q396" s="31" t="inlineStr">
        <x:is>
          <x:t xml:space="preserve">Завершено</x:t>
        </x:is>
      </x:c>
      <x:c r="R396" s="31" t="inlineStr">
        <x:is>
          <x:t xml:space="preserve">Нет</x:t>
        </x:is>
      </x:c>
      <x:c r="S396" s="31" t="inlineStr">
        <x:is>
          <x:t xml:space="preserve">Нет</x:t>
        </x:is>
      </x:c>
    </x:row>
    <x:row r="397">
      <x:c r="A397" s="31" t="inlineStr">
        <x:is>
          <x:t xml:space="preserve">ОП-000396</x:t>
        </x:is>
      </x:c>
      <x:c r="B397" s="31" t="inlineStr">
        <x:is>
          <x:t xml:space="preserve">ПЗ-00047</x:t>
        </x:is>
      </x:c>
      <x:c r="C397" s="31" t="inlineStr">
        <x:is>
          <x:t xml:space="preserve">ЗК-1029</x:t>
        </x:is>
      </x:c>
      <x:c r="D397" s="31" t="inlineStr">
        <x:is>
          <x:t xml:space="preserve">ПОЗ-0029-2</x:t>
        </x:is>
      </x:c>
      <x:c r="E397" s="31" t="inlineStr">
        <x:is>
          <x:t xml:space="preserve">ИЗД-038</x:t>
        </x:is>
      </x:c>
      <x:c r="F397" s="31" t="n">
        <x:v>50</x:v>
      </x:c>
      <x:c r="G397" s="31" t="inlineStr">
        <x:is>
          <x:t xml:space="preserve">Гидроиспытания</x:t>
        </x:is>
      </x:c>
      <x:c r="H397" s="31" t="inlineStr">
        <x:is>
          <x:t xml:space="preserve">ОТК</x:t>
        </x:is>
      </x:c>
      <x:c r="I397" s="31" t="inlineStr">
        <x:is>
          <x:t xml:space="preserve">ОБ-028</x:t>
        </x:is>
      </x:c>
      <x:c r="J397" s="31" t="inlineStr">
        <x:is>
          <x:t xml:space="preserve">СОТР-092</x:t>
        </x:is>
      </x:c>
      <x:c r="K397" s="31" t="n">
        <x:v>16.5</x:v>
      </x:c>
      <x:c r="L397" s="31" t="n">
        <x:v>20.8</x:v>
      </x:c>
      <x:c r="M397" s="31" t="n">
        <x:v>46060</x:v>
      </x:c>
      <x:c r="N397" s="31" t="n">
        <x:v>46062</x:v>
      </x:c>
      <x:c r="O397" s="31" t="n">
        <x:v>46060</x:v>
      </x:c>
      <x:c r="P397" s="31" t="n">
        <x:v>46062</x:v>
      </x:c>
      <x:c r="Q397" s="31" t="inlineStr">
        <x:is>
          <x:t xml:space="preserve">Завершено</x:t>
        </x:is>
      </x:c>
      <x:c r="R397" s="31" t="inlineStr">
        <x:is>
          <x:t xml:space="preserve">Нет</x:t>
        </x:is>
      </x:c>
      <x:c r="S397" s="31" t="inlineStr">
        <x:is>
          <x:t xml:space="preserve">Нет</x:t>
        </x:is>
      </x:c>
    </x:row>
    <x:row r="398">
      <x:c r="A398" s="31" t="inlineStr">
        <x:is>
          <x:t xml:space="preserve">ОП-000397</x:t>
        </x:is>
      </x:c>
      <x:c r="B398" s="31" t="inlineStr">
        <x:is>
          <x:t xml:space="preserve">ПЗ-00047</x:t>
        </x:is>
      </x:c>
      <x:c r="C398" s="31" t="inlineStr">
        <x:is>
          <x:t xml:space="preserve">ЗК-1029</x:t>
        </x:is>
      </x:c>
      <x:c r="D398" s="31" t="inlineStr">
        <x:is>
          <x:t xml:space="preserve">ПОЗ-0029-2</x:t>
        </x:is>
      </x:c>
      <x:c r="E398" s="31" t="inlineStr">
        <x:is>
          <x:t xml:space="preserve">ИЗД-038</x:t>
        </x:is>
      </x:c>
      <x:c r="F398" s="31" t="n">
        <x:v>60</x:v>
      </x:c>
      <x:c r="G398" s="31" t="inlineStr">
        <x:is>
          <x:t xml:space="preserve">Покраска</x:t>
        </x:is>
      </x:c>
      <x:c r="H398" s="31" t="inlineStr">
        <x:is>
          <x:t xml:space="preserve">Сварка</x:t>
        </x:is>
      </x:c>
      <x:c r="I398" s="31" t="inlineStr">
        <x:is>
          <x:t xml:space="preserve">ОБ-010</x:t>
        </x:is>
      </x:c>
      <x:c r="J398" s="31" t="inlineStr">
        <x:is>
          <x:t xml:space="preserve">СОТР-066</x:t>
        </x:is>
      </x:c>
      <x:c r="K398" s="31" t="n">
        <x:v>39</x:v>
      </x:c>
      <x:c r="L398" s="31" t="n">
        <x:v>33.2</x:v>
      </x:c>
      <x:c r="M398" s="31" t="n">
        <x:v>46062</x:v>
      </x:c>
      <x:c r="N398" s="31" t="n">
        <x:v>46066</x:v>
      </x:c>
      <x:c r="O398" s="31" t="n">
        <x:v>46062</x:v>
      </x:c>
      <x:c r="P398" s="31" t="n">
        <x:v>46068</x:v>
      </x:c>
      <x:c r="Q398" s="31" t="inlineStr">
        <x:is>
          <x:t xml:space="preserve">Завершено</x:t>
        </x:is>
      </x:c>
      <x:c r="R398" s="31" t="inlineStr">
        <x:is>
          <x:t xml:space="preserve">Нет</x:t>
        </x:is>
      </x:c>
      <x:c r="S398" s="31" t="inlineStr">
        <x:is>
          <x:t xml:space="preserve">Нет</x:t>
        </x:is>
      </x:c>
    </x:row>
    <x:row r="399">
      <x:c r="A399" s="31" t="inlineStr">
        <x:is>
          <x:t xml:space="preserve">ОП-000398</x:t>
        </x:is>
      </x:c>
      <x:c r="B399" s="31" t="inlineStr">
        <x:is>
          <x:t xml:space="preserve">ПЗ-00047</x:t>
        </x:is>
      </x:c>
      <x:c r="C399" s="31" t="inlineStr">
        <x:is>
          <x:t xml:space="preserve">ЗК-1029</x:t>
        </x:is>
      </x:c>
      <x:c r="D399" s="31" t="inlineStr">
        <x:is>
          <x:t xml:space="preserve">ПОЗ-0029-2</x:t>
        </x:is>
      </x:c>
      <x:c r="E399" s="31" t="inlineStr">
        <x:is>
          <x:t xml:space="preserve">ИЗД-038</x:t>
        </x:is>
      </x:c>
      <x:c r="F399" s="31" t="n">
        <x:v>70</x:v>
      </x:c>
      <x:c r="G399" s="31" t="inlineStr">
        <x:is>
          <x:t xml:space="preserve">ОТК</x:t>
        </x:is>
      </x:c>
      <x:c r="H399" s="31" t="inlineStr">
        <x:is>
          <x:t xml:space="preserve">ОТК</x:t>
        </x:is>
      </x:c>
      <x:c r="I399" s="31" t="inlineStr">
        <x:is>
          <x:t xml:space="preserve">ОБ-006</x:t>
        </x:is>
      </x:c>
      <x:c r="J399" s="31" t="inlineStr">
        <x:is>
          <x:t xml:space="preserve">СОТР-093</x:t>
        </x:is>
      </x:c>
      <x:c r="K399" s="31" t="n">
        <x:v>23.5</x:v>
      </x:c>
      <x:c r="L399" s="31" t="n">
        <x:v>27.5</x:v>
      </x:c>
      <x:c r="M399" s="31" t="n">
        <x:v>46066</x:v>
      </x:c>
      <x:c r="N399" s="31" t="n">
        <x:v>46068</x:v>
      </x:c>
      <x:c r="O399" s="31" t="n">
        <x:v>46066</x:v>
      </x:c>
      <x:c r="P399" s="31" t="n">
        <x:v>46070</x:v>
      </x:c>
      <x:c r="Q399" s="31" t="inlineStr">
        <x:is>
          <x:t xml:space="preserve">Завершено</x:t>
        </x:is>
      </x:c>
      <x:c r="R399" s="31" t="inlineStr">
        <x:is>
          <x:t xml:space="preserve">Нет</x:t>
        </x:is>
      </x:c>
      <x:c r="S399" s="31" t="inlineStr">
        <x:is>
          <x:t xml:space="preserve">Нет</x:t>
        </x:is>
      </x:c>
    </x:row>
    <x:row r="400">
      <x:c r="A400" s="31" t="inlineStr">
        <x:is>
          <x:t xml:space="preserve">ОП-000399</x:t>
        </x:is>
      </x:c>
      <x:c r="B400" s="31" t="inlineStr">
        <x:is>
          <x:t xml:space="preserve">ПЗ-00048</x:t>
        </x:is>
      </x:c>
      <x:c r="C400" s="31" t="inlineStr">
        <x:is>
          <x:t xml:space="preserve">ЗК-1029</x:t>
        </x:is>
      </x:c>
      <x:c r="D400" s="31" t="inlineStr">
        <x:is>
          <x:t xml:space="preserve">ПОЗ-0029-3</x:t>
        </x:is>
      </x:c>
      <x:c r="E400" s="31" t="inlineStr">
        <x:is>
          <x:t xml:space="preserve">ИЗД-001</x:t>
        </x:is>
      </x:c>
      <x:c r="F400" s="31" t="n">
        <x:v>10</x:v>
      </x:c>
      <x:c r="G400" s="31" t="inlineStr">
        <x:is>
          <x:t xml:space="preserve">Комплектация</x:t>
        </x:is>
      </x:c>
      <x:c r="H400" s="31" t="inlineStr">
        <x:is>
          <x:t xml:space="preserve">Склад</x:t>
        </x:is>
      </x:c>
      <x:c r="I400" s="31" t="inlineStr">
        <x:is>
          <x:t xml:space="preserve">ОБ-011</x:t>
        </x:is>
      </x:c>
      <x:c r="J400" s="31" t="inlineStr">
        <x:is>
          <x:t xml:space="preserve">СОТР-036</x:t>
        </x:is>
      </x:c>
      <x:c r="K400" s="31" t="n">
        <x:v>54.6</x:v>
      </x:c>
      <x:c r="L400" s="31" t="n"/>
      <x:c r="M400" s="31" t="n">
        <x:v>46064</x:v>
      </x:c>
      <x:c r="N400" s="31" t="n">
        <x:v>46069</x:v>
      </x:c>
      <x:c r="O400" s="31" t="n">
        <x:v>46064</x:v>
      </x:c>
      <x:c r="P400" s="31" t="n"/>
      <x:c r="Q400" s="31" t="inlineStr">
        <x:is>
          <x:t xml:space="preserve">В работе</x:t>
        </x:is>
      </x:c>
      <x:c r="R400" s="31" t="inlineStr">
        <x:is>
          <x:t xml:space="preserve">Оборудование</x:t>
        </x:is>
      </x:c>
      <x:c r="S400" s="31" t="inlineStr">
        <x:is>
          <x:t xml:space="preserve">Нет</x:t>
        </x:is>
      </x:c>
    </x:row>
    <x:row r="401">
      <x:c r="A401" s="31" t="inlineStr">
        <x:is>
          <x:t xml:space="preserve">ОП-000400</x:t>
        </x:is>
      </x:c>
      <x:c r="B401" s="31" t="inlineStr">
        <x:is>
          <x:t xml:space="preserve">ПЗ-00048</x:t>
        </x:is>
      </x:c>
      <x:c r="C401" s="31" t="inlineStr">
        <x:is>
          <x:t xml:space="preserve">ЗК-1029</x:t>
        </x:is>
      </x:c>
      <x:c r="D401" s="31" t="inlineStr">
        <x:is>
          <x:t xml:space="preserve">ПОЗ-0029-3</x:t>
        </x:is>
      </x:c>
      <x:c r="E401" s="31" t="inlineStr">
        <x:is>
          <x:t xml:space="preserve">ИЗД-001</x:t>
        </x:is>
      </x:c>
      <x:c r="F401" s="31" t="n">
        <x:v>20</x:v>
      </x:c>
      <x:c r="G401" s="31" t="inlineStr">
        <x:is>
          <x:t xml:space="preserve">Входной контроль</x:t>
        </x:is>
      </x:c>
      <x:c r="H401" s="31" t="inlineStr">
        <x:is>
          <x:t xml:space="preserve">ОТК</x:t>
        </x:is>
      </x:c>
      <x:c r="I401" s="31" t="inlineStr">
        <x:is>
          <x:t xml:space="preserve">ОБ-032</x:t>
        </x:is>
      </x:c>
      <x:c r="J401" s="31" t="inlineStr">
        <x:is>
          <x:t xml:space="preserve">СОТР-092</x:t>
        </x:is>
      </x:c>
      <x:c r="K401" s="31" t="n">
        <x:v>87.09999999999999</x:v>
      </x:c>
      <x:c r="L401" s="31" t="n">
        <x:v>90.09999999999999</x:v>
      </x:c>
      <x:c r="M401" s="31" t="n">
        <x:v>46069</x:v>
      </x:c>
      <x:c r="N401" s="31" t="n">
        <x:v>46077</x:v>
      </x:c>
      <x:c r="O401" s="31" t="n">
        <x:v>46069</x:v>
      </x:c>
      <x:c r="P401" s="31" t="n">
        <x:v>46078</x:v>
      </x:c>
      <x:c r="Q401" s="31" t="inlineStr">
        <x:is>
          <x:t xml:space="preserve">Завершено</x:t>
        </x:is>
      </x:c>
      <x:c r="R401" s="31" t="inlineStr">
        <x:is>
          <x:t xml:space="preserve">Нет</x:t>
        </x:is>
      </x:c>
      <x:c r="S401" s="31" t="inlineStr">
        <x:is>
          <x:t xml:space="preserve">Нет</x:t>
        </x:is>
      </x:c>
    </x:row>
    <x:row r="402">
      <x:c r="A402" s="31" t="inlineStr">
        <x:is>
          <x:t xml:space="preserve">ОП-000401</x:t>
        </x:is>
      </x:c>
      <x:c r="B402" s="31" t="inlineStr">
        <x:is>
          <x:t xml:space="preserve">ПЗ-00048</x:t>
        </x:is>
      </x:c>
      <x:c r="C402" s="31" t="inlineStr">
        <x:is>
          <x:t xml:space="preserve">ЗК-1029</x:t>
        </x:is>
      </x:c>
      <x:c r="D402" s="31" t="inlineStr">
        <x:is>
          <x:t xml:space="preserve">ПОЗ-0029-3</x:t>
        </x:is>
      </x:c>
      <x:c r="E402" s="31" t="inlineStr">
        <x:is>
          <x:t xml:space="preserve">ИЗД-001</x:t>
        </x:is>
      </x:c>
      <x:c r="F402" s="31" t="n">
        <x:v>30</x:v>
      </x:c>
      <x:c r="G402" s="31" t="inlineStr">
        <x:is>
          <x:t xml:space="preserve">Упаковка</x:t>
        </x:is>
      </x:c>
      <x:c r="H402" s="31" t="inlineStr">
        <x:is>
          <x:t xml:space="preserve">Логистика</x:t>
        </x:is>
      </x:c>
      <x:c r="I402" s="31" t="n"/>
      <x:c r="J402" s="31" t="inlineStr">
        <x:is>
          <x:t xml:space="preserve">СОТР-101</x:t>
        </x:is>
      </x:c>
      <x:c r="K402" s="31" t="n">
        <x:v>10.4</x:v>
      </x:c>
      <x:c r="L402" s="31" t="n"/>
      <x:c r="M402" s="31" t="n">
        <x:v>46077</x:v>
      </x:c>
      <x:c r="N402" s="31" t="n">
        <x:v>46078</x:v>
      </x:c>
      <x:c r="O402" s="31" t="n"/>
      <x:c r="P402" s="31" t="n"/>
      <x:c r="Q402" s="31" t="inlineStr">
        <x:is>
          <x:t xml:space="preserve">Запланировано</x:t>
        </x:is>
      </x:c>
      <x:c r="R402" s="31" t="inlineStr">
        <x:is>
          <x:t xml:space="preserve">Нет</x:t>
        </x:is>
      </x:c>
      <x:c r="S402" s="31" t="inlineStr">
        <x:is>
          <x:t xml:space="preserve">Да</x:t>
        </x:is>
      </x:c>
    </x:row>
    <x:row r="403">
      <x:c r="A403" s="31" t="inlineStr">
        <x:is>
          <x:t xml:space="preserve">ОП-000402</x:t>
        </x:is>
      </x:c>
      <x:c r="B403" s="31" t="inlineStr">
        <x:is>
          <x:t xml:space="preserve">ПЗ-00048</x:t>
        </x:is>
      </x:c>
      <x:c r="C403" s="31" t="inlineStr">
        <x:is>
          <x:t xml:space="preserve">ЗК-1029</x:t>
        </x:is>
      </x:c>
      <x:c r="D403" s="31" t="inlineStr">
        <x:is>
          <x:t xml:space="preserve">ПОЗ-0029-3</x:t>
        </x:is>
      </x:c>
      <x:c r="E403" s="31" t="inlineStr">
        <x:is>
          <x:t xml:space="preserve">ИЗД-001</x:t>
        </x:is>
      </x:c>
      <x:c r="F403" s="31" t="n">
        <x:v>40</x:v>
      </x:c>
      <x:c r="G403" s="31" t="inlineStr">
        <x:is>
          <x:t xml:space="preserve">ОТК</x:t>
        </x:is>
      </x:c>
      <x:c r="H403" s="31" t="inlineStr">
        <x:is>
          <x:t xml:space="preserve">ОТК</x:t>
        </x:is>
      </x:c>
      <x:c r="I403" s="31" t="inlineStr">
        <x:is>
          <x:t xml:space="preserve">ОБ-006</x:t>
        </x:is>
      </x:c>
      <x:c r="J403" s="31" t="inlineStr">
        <x:is>
          <x:t xml:space="preserve">СОТР-097</x:t>
        </x:is>
      </x:c>
      <x:c r="K403" s="31" t="n">
        <x:v>32.5</x:v>
      </x:c>
      <x:c r="L403" s="31" t="n"/>
      <x:c r="M403" s="31" t="n">
        <x:v>46078</x:v>
      </x:c>
      <x:c r="N403" s="31" t="n">
        <x:v>46081</x:v>
      </x:c>
      <x:c r="O403" s="31" t="n"/>
      <x:c r="P403" s="31" t="n"/>
      <x:c r="Q403" s="31" t="inlineStr">
        <x:is>
          <x:t xml:space="preserve">Запланировано</x:t>
        </x:is>
      </x:c>
      <x:c r="R403" s="31" t="inlineStr">
        <x:is>
          <x:t xml:space="preserve">Нет</x:t>
        </x:is>
      </x:c>
      <x:c r="S403" s="31" t="inlineStr">
        <x:is>
          <x:t xml:space="preserve">Нет</x:t>
        </x:is>
      </x:c>
    </x:row>
    <x:row r="404">
      <x:c r="A404" s="31" t="inlineStr">
        <x:is>
          <x:t xml:space="preserve">ОП-000403</x:t>
        </x:is>
      </x:c>
      <x:c r="B404" s="31" t="inlineStr">
        <x:is>
          <x:t xml:space="preserve">ПЗ-00049</x:t>
        </x:is>
      </x:c>
      <x:c r="C404" s="31" t="inlineStr">
        <x:is>
          <x:t xml:space="preserve">ЗК-1030</x:t>
        </x:is>
      </x:c>
      <x:c r="D404" s="31" t="inlineStr">
        <x:is>
          <x:t xml:space="preserve">ПОЗ-0030-1</x:t>
        </x:is>
      </x:c>
      <x:c r="E404" s="31" t="inlineStr">
        <x:is>
          <x:t xml:space="preserve">ИЗД-032</x:t>
        </x:is>
      </x:c>
      <x:c r="F404" s="31" t="n">
        <x:v>10</x:v>
      </x:c>
      <x:c r="G404" s="31" t="inlineStr">
        <x:is>
          <x:t xml:space="preserve">Комплектация</x:t>
        </x:is>
      </x:c>
      <x:c r="H404" s="31" t="inlineStr">
        <x:is>
          <x:t xml:space="preserve">Склад</x:t>
        </x:is>
      </x:c>
      <x:c r="I404" s="31" t="inlineStr">
        <x:is>
          <x:t xml:space="preserve">ОБ-008</x:t>
        </x:is>
      </x:c>
      <x:c r="J404" s="31" t="inlineStr">
        <x:is>
          <x:t xml:space="preserve">СОТР-036</x:t>
        </x:is>
      </x:c>
      <x:c r="K404" s="31" t="n">
        <x:v>124.5</x:v>
      </x:c>
      <x:c r="L404" s="31" t="n">
        <x:v>101.4</x:v>
      </x:c>
      <x:c r="M404" s="31" t="n">
        <x:v>46180</x:v>
      </x:c>
      <x:c r="N404" s="31" t="n">
        <x:v>46191</x:v>
      </x:c>
      <x:c r="O404" s="31" t="n">
        <x:v>46180</x:v>
      </x:c>
      <x:c r="P404" s="31" t="n">
        <x:v>46193</x:v>
      </x:c>
      <x:c r="Q404" s="31" t="inlineStr">
        <x:is>
          <x:t xml:space="preserve">Завершено</x:t>
        </x:is>
      </x:c>
      <x:c r="R404" s="31" t="inlineStr">
        <x:is>
          <x:t xml:space="preserve">Нет</x:t>
        </x:is>
      </x:c>
      <x:c r="S404" s="31" t="inlineStr">
        <x:is>
          <x:t xml:space="preserve">Нет</x:t>
        </x:is>
      </x:c>
    </x:row>
    <x:row r="405">
      <x:c r="A405" s="31" t="inlineStr">
        <x:is>
          <x:t xml:space="preserve">ОП-000404</x:t>
        </x:is>
      </x:c>
      <x:c r="B405" s="31" t="inlineStr">
        <x:is>
          <x:t xml:space="preserve">ПЗ-00049</x:t>
        </x:is>
      </x:c>
      <x:c r="C405" s="31" t="inlineStr">
        <x:is>
          <x:t xml:space="preserve">ЗК-1030</x:t>
        </x:is>
      </x:c>
      <x:c r="D405" s="31" t="inlineStr">
        <x:is>
          <x:t xml:space="preserve">ПОЗ-0030-1</x:t>
        </x:is>
      </x:c>
      <x:c r="E405" s="31" t="inlineStr">
        <x:is>
          <x:t xml:space="preserve">ИЗД-032</x:t>
        </x:is>
      </x:c>
      <x:c r="F405" s="31" t="n">
        <x:v>20</x:v>
      </x:c>
      <x:c r="G405" s="31" t="inlineStr">
        <x:is>
          <x:t xml:space="preserve">Входной контроль</x:t>
        </x:is>
      </x:c>
      <x:c r="H405" s="31" t="inlineStr">
        <x:is>
          <x:t xml:space="preserve">ОТК</x:t>
        </x:is>
      </x:c>
      <x:c r="I405" s="31" t="inlineStr">
        <x:is>
          <x:t xml:space="preserve">ОБ-024</x:t>
        </x:is>
      </x:c>
      <x:c r="J405" s="31" t="inlineStr">
        <x:is>
          <x:t xml:space="preserve">СОТР-092</x:t>
        </x:is>
      </x:c>
      <x:c r="K405" s="31" t="n">
        <x:v>60</x:v>
      </x:c>
      <x:c r="L405" s="31" t="n">
        <x:v>48.4</x:v>
      </x:c>
      <x:c r="M405" s="31" t="n">
        <x:v>46191</x:v>
      </x:c>
      <x:c r="N405" s="31" t="n">
        <x:v>46196</x:v>
      </x:c>
      <x:c r="O405" s="31" t="n">
        <x:v>46191</x:v>
      </x:c>
      <x:c r="P405" s="31" t="n">
        <x:v>46198</x:v>
      </x:c>
      <x:c r="Q405" s="31" t="inlineStr">
        <x:is>
          <x:t xml:space="preserve">Завершено</x:t>
        </x:is>
      </x:c>
      <x:c r="R405" s="31" t="inlineStr">
        <x:is>
          <x:t xml:space="preserve">Нет</x:t>
        </x:is>
      </x:c>
      <x:c r="S405" s="31" t="inlineStr">
        <x:is>
          <x:t xml:space="preserve">Нет</x:t>
        </x:is>
      </x:c>
    </x:row>
    <x:row r="406">
      <x:c r="A406" s="31" t="inlineStr">
        <x:is>
          <x:t xml:space="preserve">ОП-000405</x:t>
        </x:is>
      </x:c>
      <x:c r="B406" s="31" t="inlineStr">
        <x:is>
          <x:t xml:space="preserve">ПЗ-00049</x:t>
        </x:is>
      </x:c>
      <x:c r="C406" s="31" t="inlineStr">
        <x:is>
          <x:t xml:space="preserve">ЗК-1030</x:t>
        </x:is>
      </x:c>
      <x:c r="D406" s="31" t="inlineStr">
        <x:is>
          <x:t xml:space="preserve">ПОЗ-0030-1</x:t>
        </x:is>
      </x:c>
      <x:c r="E406" s="31" t="inlineStr">
        <x:is>
          <x:t xml:space="preserve">ИЗД-032</x:t>
        </x:is>
      </x:c>
      <x:c r="F406" s="31" t="n">
        <x:v>30</x:v>
      </x:c>
      <x:c r="G406" s="31" t="inlineStr">
        <x:is>
          <x:t xml:space="preserve">Упаковка</x:t>
        </x:is>
      </x:c>
      <x:c r="H406" s="31" t="inlineStr">
        <x:is>
          <x:t xml:space="preserve">Логистика</x:t>
        </x:is>
      </x:c>
      <x:c r="I406" s="31" t="n"/>
      <x:c r="J406" s="31" t="inlineStr">
        <x:is>
          <x:t xml:space="preserve">СОТР-101</x:t>
        </x:is>
      </x:c>
      <x:c r="K406" s="31" t="n">
        <x:v>142.5</x:v>
      </x:c>
      <x:c r="L406" s="31" t="n">
        <x:v>159.5</x:v>
      </x:c>
      <x:c r="M406" s="31" t="n">
        <x:v>46196</x:v>
      </x:c>
      <x:c r="N406" s="31" t="n">
        <x:v>46208</x:v>
      </x:c>
      <x:c r="O406" s="31" t="n">
        <x:v>46196</x:v>
      </x:c>
      <x:c r="P406" s="31" t="n">
        <x:v>46209</x:v>
      </x:c>
      <x:c r="Q406" s="31" t="inlineStr">
        <x:is>
          <x:t xml:space="preserve">Завершено</x:t>
        </x:is>
      </x:c>
      <x:c r="R406" s="31" t="inlineStr">
        <x:is>
          <x:t xml:space="preserve">Нет</x:t>
        </x:is>
      </x:c>
      <x:c r="S406" s="31" t="inlineStr">
        <x:is>
          <x:t xml:space="preserve">Нет</x:t>
        </x:is>
      </x:c>
    </x:row>
    <x:row r="407">
      <x:c r="A407" s="31" t="inlineStr">
        <x:is>
          <x:t xml:space="preserve">ОП-000406</x:t>
        </x:is>
      </x:c>
      <x:c r="B407" s="31" t="inlineStr">
        <x:is>
          <x:t xml:space="preserve">ПЗ-00049</x:t>
        </x:is>
      </x:c>
      <x:c r="C407" s="31" t="inlineStr">
        <x:is>
          <x:t xml:space="preserve">ЗК-1030</x:t>
        </x:is>
      </x:c>
      <x:c r="D407" s="31" t="inlineStr">
        <x:is>
          <x:t xml:space="preserve">ПОЗ-0030-1</x:t>
        </x:is>
      </x:c>
      <x:c r="E407" s="31" t="inlineStr">
        <x:is>
          <x:t xml:space="preserve">ИЗД-032</x:t>
        </x:is>
      </x:c>
      <x:c r="F407" s="31" t="n">
        <x:v>40</x:v>
      </x:c>
      <x:c r="G407" s="31" t="inlineStr">
        <x:is>
          <x:t xml:space="preserve">ОТК</x:t>
        </x:is>
      </x:c>
      <x:c r="H407" s="31" t="inlineStr">
        <x:is>
          <x:t xml:space="preserve">ОТК</x:t>
        </x:is>
      </x:c>
      <x:c r="I407" s="31" t="inlineStr">
        <x:is>
          <x:t xml:space="preserve">ОБ-001</x:t>
        </x:is>
      </x:c>
      <x:c r="J407" s="31" t="inlineStr">
        <x:is>
          <x:t xml:space="preserve">СОТР-096</x:t>
        </x:is>
      </x:c>
      <x:c r="K407" s="31" t="n">
        <x:v>61.5</x:v>
      </x:c>
      <x:c r="L407" s="31" t="n">
        <x:v>49.2</x:v>
      </x:c>
      <x:c r="M407" s="31" t="n">
        <x:v>46208</x:v>
      </x:c>
      <x:c r="N407" s="31" t="n">
        <x:v>46214</x:v>
      </x:c>
      <x:c r="O407" s="31" t="n">
        <x:v>46208</x:v>
      </x:c>
      <x:c r="P407" s="31" t="n">
        <x:v>46214</x:v>
      </x:c>
      <x:c r="Q407" s="31" t="inlineStr">
        <x:is>
          <x:t xml:space="preserve">Завершено</x:t>
        </x:is>
      </x:c>
      <x:c r="R407" s="31" t="inlineStr">
        <x:is>
          <x:t xml:space="preserve">Ожидание ОТК</x:t>
        </x:is>
      </x:c>
      <x:c r="S407" s="31" t="inlineStr">
        <x:is>
          <x:t xml:space="preserve">Да</x:t>
        </x:is>
      </x:c>
    </x:row>
    <x:row r="408">
      <x:c r="A408" s="31" t="inlineStr">
        <x:is>
          <x:t xml:space="preserve">ОП-000407</x:t>
        </x:is>
      </x:c>
      <x:c r="B408" s="31" t="inlineStr">
        <x:is>
          <x:t xml:space="preserve">ПЗ-00050</x:t>
        </x:is>
      </x:c>
      <x:c r="C408" s="31" t="inlineStr">
        <x:is>
          <x:t xml:space="preserve">ЗК-1030</x:t>
        </x:is>
      </x:c>
      <x:c r="D408" s="31" t="inlineStr">
        <x:is>
          <x:t xml:space="preserve">ПОЗ-0030-2</x:t>
        </x:is>
      </x:c>
      <x:c r="E408" s="31" t="inlineStr">
        <x:is>
          <x:t xml:space="preserve">ИЗД-002</x:t>
        </x:is>
      </x:c>
      <x:c r="F408" s="31" t="n">
        <x:v>10</x:v>
      </x:c>
      <x:c r="G408" s="31" t="inlineStr">
        <x:is>
          <x:t xml:space="preserve">КД</x:t>
        </x:is>
      </x:c>
      <x:c r="H408" s="31" t="inlineStr">
        <x:is>
          <x:t xml:space="preserve">Инженерный отдел</x:t>
        </x:is>
      </x:c>
      <x:c r="I408" s="31" t="n"/>
      <x:c r="J408" s="31" t="inlineStr">
        <x:is>
          <x:t xml:space="preserve">СОТР-020</x:t>
        </x:is>
      </x:c>
      <x:c r="K408" s="31" t="n">
        <x:v>18.5</x:v>
      </x:c>
      <x:c r="L408" s="31" t="n">
        <x:v>19.1</x:v>
      </x:c>
      <x:c r="M408" s="31" t="n">
        <x:v>46173</x:v>
      </x:c>
      <x:c r="N408" s="31" t="n">
        <x:v>46175</x:v>
      </x:c>
      <x:c r="O408" s="31" t="n">
        <x:v>46173</x:v>
      </x:c>
      <x:c r="P408" s="31" t="n">
        <x:v>46174</x:v>
      </x:c>
      <x:c r="Q408" s="31" t="inlineStr">
        <x:is>
          <x:t xml:space="preserve">Завершено</x:t>
        </x:is>
      </x:c>
      <x:c r="R408" s="31" t="inlineStr">
        <x:is>
          <x:t xml:space="preserve">Нет</x:t>
        </x:is>
      </x:c>
      <x:c r="S408" s="31" t="inlineStr">
        <x:is>
          <x:t xml:space="preserve">Нет</x:t>
        </x:is>
      </x:c>
    </x:row>
    <x:row r="409">
      <x:c r="A409" s="31" t="inlineStr">
        <x:is>
          <x:t xml:space="preserve">ОП-000408</x:t>
        </x:is>
      </x:c>
      <x:c r="B409" s="31" t="inlineStr">
        <x:is>
          <x:t xml:space="preserve">ПЗ-00050</x:t>
        </x:is>
      </x:c>
      <x:c r="C409" s="31" t="inlineStr">
        <x:is>
          <x:t xml:space="preserve">ЗК-1030</x:t>
        </x:is>
      </x:c>
      <x:c r="D409" s="31" t="inlineStr">
        <x:is>
          <x:t xml:space="preserve">ПОЗ-0030-2</x:t>
        </x:is>
      </x:c>
      <x:c r="E409" s="31" t="inlineStr">
        <x:is>
          <x:t xml:space="preserve">ИЗД-002</x:t>
        </x:is>
      </x:c>
      <x:c r="F409" s="31" t="n">
        <x:v>20</x:v>
      </x:c>
      <x:c r="G409" s="31" t="inlineStr">
        <x:is>
          <x:t xml:space="preserve">Комплектация</x:t>
        </x:is>
      </x:c>
      <x:c r="H409" s="31" t="inlineStr">
        <x:is>
          <x:t xml:space="preserve">Склад</x:t>
        </x:is>
      </x:c>
      <x:c r="I409" s="31" t="inlineStr">
        <x:is>
          <x:t xml:space="preserve">ОБ-025</x:t>
        </x:is>
      </x:c>
      <x:c r="J409" s="31" t="inlineStr">
        <x:is>
          <x:t xml:space="preserve">СОТР-036</x:t>
        </x:is>
      </x:c>
      <x:c r="K409" s="31" t="n">
        <x:v>24.5</x:v>
      </x:c>
      <x:c r="L409" s="31" t="n">
        <x:v>22.5</x:v>
      </x:c>
      <x:c r="M409" s="31" t="n">
        <x:v>46175</x:v>
      </x:c>
      <x:c r="N409" s="31" t="n">
        <x:v>46178</x:v>
      </x:c>
      <x:c r="O409" s="31" t="n">
        <x:v>46175</x:v>
      </x:c>
      <x:c r="P409" s="31" t="n">
        <x:v>46177</x:v>
      </x:c>
      <x:c r="Q409" s="31" t="inlineStr">
        <x:is>
          <x:t xml:space="preserve">Завершено</x:t>
        </x:is>
      </x:c>
      <x:c r="R409" s="31" t="inlineStr">
        <x:is>
          <x:t xml:space="preserve">Материал</x:t>
        </x:is>
      </x:c>
      <x:c r="S409" s="31" t="inlineStr">
        <x:is>
          <x:t xml:space="preserve">Нет</x:t>
        </x:is>
      </x:c>
    </x:row>
    <x:row r="410">
      <x:c r="A410" s="31" t="inlineStr">
        <x:is>
          <x:t xml:space="preserve">ОП-000409</x:t>
        </x:is>
      </x:c>
      <x:c r="B410" s="31" t="inlineStr">
        <x:is>
          <x:t xml:space="preserve">ПЗ-00050</x:t>
        </x:is>
      </x:c>
      <x:c r="C410" s="31" t="inlineStr">
        <x:is>
          <x:t xml:space="preserve">ЗК-1030</x:t>
        </x:is>
      </x:c>
      <x:c r="D410" s="31" t="inlineStr">
        <x:is>
          <x:t xml:space="preserve">ПОЗ-0030-2</x:t>
        </x:is>
      </x:c>
      <x:c r="E410" s="31" t="inlineStr">
        <x:is>
          <x:t xml:space="preserve">ИЗД-002</x:t>
        </x:is>
      </x:c>
      <x:c r="F410" s="31" t="n">
        <x:v>30</x:v>
      </x:c>
      <x:c r="G410" s="31" t="inlineStr">
        <x:is>
          <x:t xml:space="preserve">Сборка шкафа</x:t>
        </x:is>
      </x:c>
      <x:c r="H410" s="31" t="inlineStr">
        <x:is>
          <x:t xml:space="preserve">Сборка</x:t>
        </x:is>
      </x:c>
      <x:c r="I410" s="31" t="inlineStr">
        <x:is>
          <x:t xml:space="preserve">ОБ-005</x:t>
        </x:is>
      </x:c>
      <x:c r="J410" s="31" t="inlineStr">
        <x:is>
          <x:t xml:space="preserve">СОТР-080</x:t>
        </x:is>
      </x:c>
      <x:c r="K410" s="31" t="n">
        <x:v>16</x:v>
      </x:c>
      <x:c r="L410" s="31" t="n">
        <x:v>18.6</x:v>
      </x:c>
      <x:c r="M410" s="31" t="n">
        <x:v>46178</x:v>
      </x:c>
      <x:c r="N410" s="31" t="n">
        <x:v>46180</x:v>
      </x:c>
      <x:c r="O410" s="31" t="n">
        <x:v>46178</x:v>
      </x:c>
      <x:c r="P410" s="31" t="n">
        <x:v>46181</x:v>
      </x:c>
      <x:c r="Q410" s="31" t="inlineStr">
        <x:is>
          <x:t xml:space="preserve">Завершено</x:t>
        </x:is>
      </x:c>
      <x:c r="R410" s="31" t="inlineStr">
        <x:is>
          <x:t xml:space="preserve">КД</x:t>
        </x:is>
      </x:c>
      <x:c r="S410" s="31" t="inlineStr">
        <x:is>
          <x:t xml:space="preserve">Нет</x:t>
        </x:is>
      </x:c>
    </x:row>
    <x:row r="411">
      <x:c r="A411" s="31" t="inlineStr">
        <x:is>
          <x:t xml:space="preserve">ОП-000410</x:t>
        </x:is>
      </x:c>
      <x:c r="B411" s="31" t="inlineStr">
        <x:is>
          <x:t xml:space="preserve">ПЗ-00050</x:t>
        </x:is>
      </x:c>
      <x:c r="C411" s="31" t="inlineStr">
        <x:is>
          <x:t xml:space="preserve">ЗК-1030</x:t>
        </x:is>
      </x:c>
      <x:c r="D411" s="31" t="inlineStr">
        <x:is>
          <x:t xml:space="preserve">ПОЗ-0030-2</x:t>
        </x:is>
      </x:c>
      <x:c r="E411" s="31" t="inlineStr">
        <x:is>
          <x:t xml:space="preserve">ИЗД-002</x:t>
        </x:is>
      </x:c>
      <x:c r="F411" s="31" t="n">
        <x:v>40</x:v>
      </x:c>
      <x:c r="G411" s="31" t="inlineStr">
        <x:is>
          <x:t xml:space="preserve">Маркировка</x:t>
        </x:is>
      </x:c>
      <x:c r="H411" s="31" t="inlineStr">
        <x:is>
          <x:t xml:space="preserve">Сборка</x:t>
        </x:is>
      </x:c>
      <x:c r="I411" s="31" t="inlineStr">
        <x:is>
          <x:t xml:space="preserve">ОБ-012</x:t>
        </x:is>
      </x:c>
      <x:c r="J411" s="31" t="inlineStr">
        <x:is>
          <x:t xml:space="preserve">СОТР-078</x:t>
        </x:is>
      </x:c>
      <x:c r="K411" s="31" t="n">
        <x:v>35.5</x:v>
      </x:c>
      <x:c r="L411" s="31" t="n">
        <x:v>42.4</x:v>
      </x:c>
      <x:c r="M411" s="31" t="n">
        <x:v>46180</x:v>
      </x:c>
      <x:c r="N411" s="31" t="n">
        <x:v>46183</x:v>
      </x:c>
      <x:c r="O411" s="31" t="n">
        <x:v>46180</x:v>
      </x:c>
      <x:c r="P411" s="31" t="n">
        <x:v>46183</x:v>
      </x:c>
      <x:c r="Q411" s="31" t="inlineStr">
        <x:is>
          <x:t xml:space="preserve">Завершено</x:t>
        </x:is>
      </x:c>
      <x:c r="R411" s="31" t="inlineStr">
        <x:is>
          <x:t xml:space="preserve">Нет</x:t>
        </x:is>
      </x:c>
      <x:c r="S411" s="31" t="inlineStr">
        <x:is>
          <x:t xml:space="preserve">Нет</x:t>
        </x:is>
      </x:c>
    </x:row>
    <x:row r="412">
      <x:c r="A412" s="31" t="inlineStr">
        <x:is>
          <x:t xml:space="preserve">ОП-000411</x:t>
        </x:is>
      </x:c>
      <x:c r="B412" s="31" t="inlineStr">
        <x:is>
          <x:t xml:space="preserve">ПЗ-00050</x:t>
        </x:is>
      </x:c>
      <x:c r="C412" s="31" t="inlineStr">
        <x:is>
          <x:t xml:space="preserve">ЗК-1030</x:t>
        </x:is>
      </x:c>
      <x:c r="D412" s="31" t="inlineStr">
        <x:is>
          <x:t xml:space="preserve">ПОЗ-0030-2</x:t>
        </x:is>
      </x:c>
      <x:c r="E412" s="31" t="inlineStr">
        <x:is>
          <x:t xml:space="preserve">ИЗД-002</x:t>
        </x:is>
      </x:c>
      <x:c r="F412" s="31" t="n">
        <x:v>50</x:v>
      </x:c>
      <x:c r="G412" s="31" t="inlineStr">
        <x:is>
          <x:t xml:space="preserve">Электромонтаж</x:t>
        </x:is>
      </x:c>
      <x:c r="H412" s="31" t="inlineStr">
        <x:is>
          <x:t xml:space="preserve">Сборка</x:t>
        </x:is>
      </x:c>
      <x:c r="I412" s="31" t="inlineStr">
        <x:is>
          <x:t xml:space="preserve">ОБ-014</x:t>
        </x:is>
      </x:c>
      <x:c r="J412" s="31" t="inlineStr">
        <x:is>
          <x:t xml:space="preserve">СОТР-087</x:t>
        </x:is>
      </x:c>
      <x:c r="K412" s="31" t="n">
        <x:v>7.5</x:v>
      </x:c>
      <x:c r="L412" s="31" t="n">
        <x:v>7.4</x:v>
      </x:c>
      <x:c r="M412" s="31" t="n">
        <x:v>46183</x:v>
      </x:c>
      <x:c r="N412" s="31" t="n">
        <x:v>46184</x:v>
      </x:c>
      <x:c r="O412" s="31" t="n">
        <x:v>46183</x:v>
      </x:c>
      <x:c r="P412" s="31" t="n">
        <x:v>46183</x:v>
      </x:c>
      <x:c r="Q412" s="31" t="inlineStr">
        <x:is>
          <x:t xml:space="preserve">Завершено</x:t>
        </x:is>
      </x:c>
      <x:c r="R412" s="31" t="inlineStr">
        <x:is>
          <x:t xml:space="preserve">КД</x:t>
        </x:is>
      </x:c>
      <x:c r="S412" s="31" t="inlineStr">
        <x:is>
          <x:t xml:space="preserve">Нет</x:t>
        </x:is>
      </x:c>
    </x:row>
    <x:row r="413">
      <x:c r="A413" s="31" t="inlineStr">
        <x:is>
          <x:t xml:space="preserve">ОП-000412</x:t>
        </x:is>
      </x:c>
      <x:c r="B413" s="31" t="inlineStr">
        <x:is>
          <x:t xml:space="preserve">ПЗ-00050</x:t>
        </x:is>
      </x:c>
      <x:c r="C413" s="31" t="inlineStr">
        <x:is>
          <x:t xml:space="preserve">ЗК-1030</x:t>
        </x:is>
      </x:c>
      <x:c r="D413" s="31" t="inlineStr">
        <x:is>
          <x:t xml:space="preserve">ПОЗ-0030-2</x:t>
        </x:is>
      </x:c>
      <x:c r="E413" s="31" t="inlineStr">
        <x:is>
          <x:t xml:space="preserve">ИЗД-002</x:t>
        </x:is>
      </x:c>
      <x:c r="F413" s="31" t="n">
        <x:v>60</x:v>
      </x:c>
      <x:c r="G413" s="31" t="inlineStr">
        <x:is>
          <x:t xml:space="preserve">Программирование ПЛК</x:t>
        </x:is>
      </x:c>
      <x:c r="H413" s="31" t="inlineStr">
        <x:is>
          <x:t xml:space="preserve">Инженерный отдел</x:t>
        </x:is>
      </x:c>
      <x:c r="I413" s="31" t="n"/>
      <x:c r="J413" s="31" t="inlineStr">
        <x:is>
          <x:t xml:space="preserve">СОТР-015</x:t>
        </x:is>
      </x:c>
      <x:c r="K413" s="31" t="n">
        <x:v>35.5</x:v>
      </x:c>
      <x:c r="L413" s="31" t="n">
        <x:v>36.2</x:v>
      </x:c>
      <x:c r="M413" s="31" t="n">
        <x:v>46184</x:v>
      </x:c>
      <x:c r="N413" s="31" t="n">
        <x:v>46187</x:v>
      </x:c>
      <x:c r="O413" s="31" t="n">
        <x:v>46184</x:v>
      </x:c>
      <x:c r="P413" s="31" t="n">
        <x:v>46186</x:v>
      </x:c>
      <x:c r="Q413" s="31" t="inlineStr">
        <x:is>
          <x:t xml:space="preserve">Завершено</x:t>
        </x:is>
      </x:c>
      <x:c r="R413" s="31" t="inlineStr">
        <x:is>
          <x:t xml:space="preserve">Нет</x:t>
        </x:is>
      </x:c>
      <x:c r="S413" s="31" t="inlineStr">
        <x:is>
          <x:t xml:space="preserve">Нет</x:t>
        </x:is>
      </x:c>
    </x:row>
    <x:row r="414">
      <x:c r="A414" s="31" t="inlineStr">
        <x:is>
          <x:t xml:space="preserve">ОП-000413</x:t>
        </x:is>
      </x:c>
      <x:c r="B414" s="31" t="inlineStr">
        <x:is>
          <x:t xml:space="preserve">ПЗ-00050</x:t>
        </x:is>
      </x:c>
      <x:c r="C414" s="31" t="inlineStr">
        <x:is>
          <x:t xml:space="preserve">ЗК-1030</x:t>
        </x:is>
      </x:c>
      <x:c r="D414" s="31" t="inlineStr">
        <x:is>
          <x:t xml:space="preserve">ПОЗ-0030-2</x:t>
        </x:is>
      </x:c>
      <x:c r="E414" s="31" t="inlineStr">
        <x:is>
          <x:t xml:space="preserve">ИЗД-002</x:t>
        </x:is>
      </x:c>
      <x:c r="F414" s="31" t="n">
        <x:v>70</x:v>
      </x:c>
      <x:c r="G414" s="31" t="inlineStr">
        <x:is>
          <x:t xml:space="preserve">Приемочные испытания</x:t>
        </x:is>
      </x:c>
      <x:c r="H414" s="31" t="inlineStr">
        <x:is>
          <x:t xml:space="preserve">ОТК</x:t>
        </x:is>
      </x:c>
      <x:c r="I414" s="31" t="inlineStr">
        <x:is>
          <x:t xml:space="preserve">ОБ-015</x:t>
        </x:is>
      </x:c>
      <x:c r="J414" s="31" t="inlineStr">
        <x:is>
          <x:t xml:space="preserve">СОТР-093</x:t>
        </x:is>
      </x:c>
      <x:c r="K414" s="31" t="n">
        <x:v>30.5</x:v>
      </x:c>
      <x:c r="L414" s="31" t="n">
        <x:v>39.6</x:v>
      </x:c>
      <x:c r="M414" s="31" t="n">
        <x:v>46187</x:v>
      </x:c>
      <x:c r="N414" s="31" t="n">
        <x:v>46190</x:v>
      </x:c>
      <x:c r="O414" s="31" t="n">
        <x:v>46187</x:v>
      </x:c>
      <x:c r="P414" s="31" t="n">
        <x:v>46191</x:v>
      </x:c>
      <x:c r="Q414" s="31" t="inlineStr">
        <x:is>
          <x:t xml:space="preserve">Завершено</x:t>
        </x:is>
      </x:c>
      <x:c r="R414" s="31" t="inlineStr">
        <x:is>
          <x:t xml:space="preserve">Нет</x:t>
        </x:is>
      </x:c>
      <x:c r="S414" s="31" t="inlineStr">
        <x:is>
          <x:t xml:space="preserve">Нет</x:t>
        </x:is>
      </x:c>
    </x:row>
    <x:row r="415">
      <x:c r="A415" s="31" t="inlineStr">
        <x:is>
          <x:t xml:space="preserve">ОП-000414</x:t>
        </x:is>
      </x:c>
      <x:c r="B415" s="31" t="inlineStr">
        <x:is>
          <x:t xml:space="preserve">ПЗ-00050</x:t>
        </x:is>
      </x:c>
      <x:c r="C415" s="31" t="inlineStr">
        <x:is>
          <x:t xml:space="preserve">ЗК-1030</x:t>
        </x:is>
      </x:c>
      <x:c r="D415" s="31" t="inlineStr">
        <x:is>
          <x:t xml:space="preserve">ПОЗ-0030-2</x:t>
        </x:is>
      </x:c>
      <x:c r="E415" s="31" t="inlineStr">
        <x:is>
          <x:t xml:space="preserve">ИЗД-002</x:t>
        </x:is>
      </x:c>
      <x:c r="F415" s="31" t="n">
        <x:v>80</x:v>
      </x:c>
      <x:c r="G415" s="31" t="inlineStr">
        <x:is>
          <x:t xml:space="preserve">ОТК</x:t>
        </x:is>
      </x:c>
      <x:c r="H415" s="31" t="inlineStr">
        <x:is>
          <x:t xml:space="preserve">ОТК</x:t>
        </x:is>
      </x:c>
      <x:c r="I415" s="31" t="inlineStr">
        <x:is>
          <x:t xml:space="preserve">ОБ-001</x:t>
        </x:is>
      </x:c>
      <x:c r="J415" s="31" t="inlineStr">
        <x:is>
          <x:t xml:space="preserve">СОТР-092</x:t>
        </x:is>
      </x:c>
      <x:c r="K415" s="31" t="n">
        <x:v>31</x:v>
      </x:c>
      <x:c r="L415" s="31" t="n"/>
      <x:c r="M415" s="31" t="n">
        <x:v>46190</x:v>
      </x:c>
      <x:c r="N415" s="31" t="n">
        <x:v>46193</x:v>
      </x:c>
      <x:c r="O415" s="31" t="n">
        <x:v>46190</x:v>
      </x:c>
      <x:c r="P415" s="31" t="n"/>
      <x:c r="Q415" s="31" t="inlineStr">
        <x:is>
          <x:t xml:space="preserve">В работе</x:t>
        </x:is>
      </x:c>
      <x:c r="R415" s="31" t="inlineStr">
        <x:is>
          <x:t xml:space="preserve">Нет</x:t>
        </x:is>
      </x:c>
      <x:c r="S415" s="31" t="inlineStr">
        <x:is>
          <x:t xml:space="preserve">Нет</x:t>
        </x:is>
      </x:c>
    </x:row>
    <x:row r="416">
      <x:c r="A416" s="31" t="inlineStr">
        <x:is>
          <x:t xml:space="preserve">ОП-000415</x:t>
        </x:is>
      </x:c>
      <x:c r="B416" s="31" t="inlineStr">
        <x:is>
          <x:t xml:space="preserve">ПЗ-00050</x:t>
        </x:is>
      </x:c>
      <x:c r="C416" s="31" t="inlineStr">
        <x:is>
          <x:t xml:space="preserve">ЗК-1030</x:t>
        </x:is>
      </x:c>
      <x:c r="D416" s="31" t="inlineStr">
        <x:is>
          <x:t xml:space="preserve">ПОЗ-0030-2</x:t>
        </x:is>
      </x:c>
      <x:c r="E416" s="31" t="inlineStr">
        <x:is>
          <x:t xml:space="preserve">ИЗД-002</x:t>
        </x:is>
      </x:c>
      <x:c r="F416" s="31" t="n">
        <x:v>90</x:v>
      </x:c>
      <x:c r="G416" s="31" t="inlineStr">
        <x:is>
          <x:t xml:space="preserve">Упаковка</x:t>
        </x:is>
      </x:c>
      <x:c r="H416" s="31" t="inlineStr">
        <x:is>
          <x:t xml:space="preserve">Логистика</x:t>
        </x:is>
      </x:c>
      <x:c r="I416" s="31" t="n"/>
      <x:c r="J416" s="31" t="inlineStr">
        <x:is>
          <x:t xml:space="preserve">СОТР-101</x:t>
        </x:is>
      </x:c>
      <x:c r="K416" s="31" t="n">
        <x:v>22.5</x:v>
      </x:c>
      <x:c r="L416" s="31" t="n"/>
      <x:c r="M416" s="31" t="n">
        <x:v>46193</x:v>
      </x:c>
      <x:c r="N416" s="31" t="n">
        <x:v>46195</x:v>
      </x:c>
      <x:c r="O416" s="31" t="n"/>
      <x:c r="P416" s="31" t="n"/>
      <x:c r="Q416" s="31" t="inlineStr">
        <x:is>
          <x:t xml:space="preserve">Запланировано</x:t>
        </x:is>
      </x:c>
      <x:c r="R416" s="31" t="inlineStr">
        <x:is>
          <x:t xml:space="preserve">Нет</x:t>
        </x:is>
      </x:c>
      <x:c r="S416" s="31" t="inlineStr">
        <x:is>
          <x:t xml:space="preserve">Нет</x:t>
        </x:is>
      </x:c>
    </x:row>
    <x:row r="417">
      <x:c r="A417" s="31" t="inlineStr">
        <x:is>
          <x:t xml:space="preserve">ОП-000416</x:t>
        </x:is>
      </x:c>
      <x:c r="B417" s="31" t="inlineStr">
        <x:is>
          <x:t xml:space="preserve">ПЗ-00051</x:t>
        </x:is>
      </x:c>
      <x:c r="C417" s="31" t="inlineStr">
        <x:is>
          <x:t xml:space="preserve">ЗК-1030</x:t>
        </x:is>
      </x:c>
      <x:c r="D417" s="31" t="inlineStr">
        <x:is>
          <x:t xml:space="preserve">ПОЗ-0030-3</x:t>
        </x:is>
      </x:c>
      <x:c r="E417" s="31" t="inlineStr">
        <x:is>
          <x:t xml:space="preserve">ИЗД-016</x:t>
        </x:is>
      </x:c>
      <x:c r="F417" s="31" t="n">
        <x:v>10</x:v>
      </x:c>
      <x:c r="G417" s="31" t="inlineStr">
        <x:is>
          <x:t xml:space="preserve">КД</x:t>
        </x:is>
      </x:c>
      <x:c r="H417" s="31" t="inlineStr">
        <x:is>
          <x:t xml:space="preserve">Инженерный отдел</x:t>
        </x:is>
      </x:c>
      <x:c r="I417" s="31" t="n"/>
      <x:c r="J417" s="31" t="inlineStr">
        <x:is>
          <x:t xml:space="preserve">СОТР-021</x:t>
        </x:is>
      </x:c>
      <x:c r="K417" s="31" t="n">
        <x:v>38.4</x:v>
      </x:c>
      <x:c r="L417" s="31" t="n">
        <x:v>49</x:v>
      </x:c>
      <x:c r="M417" s="31" t="n">
        <x:v>46179</x:v>
      </x:c>
      <x:c r="N417" s="31" t="n">
        <x:v>46183</x:v>
      </x:c>
      <x:c r="O417" s="31" t="n">
        <x:v>46179</x:v>
      </x:c>
      <x:c r="P417" s="31" t="n">
        <x:v>46182</x:v>
      </x:c>
      <x:c r="Q417" s="31" t="inlineStr">
        <x:is>
          <x:t xml:space="preserve">Завершено</x:t>
        </x:is>
      </x:c>
      <x:c r="R417" s="31" t="inlineStr">
        <x:is>
          <x:t xml:space="preserve">Нет</x:t>
        </x:is>
      </x:c>
      <x:c r="S417" s="31" t="inlineStr">
        <x:is>
          <x:t xml:space="preserve">Нет</x:t>
        </x:is>
      </x:c>
    </x:row>
    <x:row r="418">
      <x:c r="A418" s="31" t="inlineStr">
        <x:is>
          <x:t xml:space="preserve">ОП-000417</x:t>
        </x:is>
      </x:c>
      <x:c r="B418" s="31" t="inlineStr">
        <x:is>
          <x:t xml:space="preserve">ПЗ-00051</x:t>
        </x:is>
      </x:c>
      <x:c r="C418" s="31" t="inlineStr">
        <x:is>
          <x:t xml:space="preserve">ЗК-1030</x:t>
        </x:is>
      </x:c>
      <x:c r="D418" s="31" t="inlineStr">
        <x:is>
          <x:t xml:space="preserve">ПОЗ-0030-3</x:t>
        </x:is>
      </x:c>
      <x:c r="E418" s="31" t="inlineStr">
        <x:is>
          <x:t xml:space="preserve">ИЗД-016</x:t>
        </x:is>
      </x:c>
      <x:c r="F418" s="31" t="n">
        <x:v>20</x:v>
      </x:c>
      <x:c r="G418" s="31" t="inlineStr">
        <x:is>
          <x:t xml:space="preserve">Резерв материалов</x:t>
        </x:is>
      </x:c>
      <x:c r="H418" s="31" t="inlineStr">
        <x:is>
          <x:t xml:space="preserve">Склад</x:t>
        </x:is>
      </x:c>
      <x:c r="I418" s="31" t="inlineStr">
        <x:is>
          <x:t xml:space="preserve">ОБ-025</x:t>
        </x:is>
      </x:c>
      <x:c r="J418" s="31" t="inlineStr">
        <x:is>
          <x:t xml:space="preserve">СОТР-033</x:t>
        </x:is>
      </x:c>
      <x:c r="K418" s="31" t="n">
        <x:v>43.2</x:v>
      </x:c>
      <x:c r="L418" s="31" t="n">
        <x:v>36.5</x:v>
      </x:c>
      <x:c r="M418" s="31" t="n">
        <x:v>46183</x:v>
      </x:c>
      <x:c r="N418" s="31" t="n">
        <x:v>46187</x:v>
      </x:c>
      <x:c r="O418" s="31" t="n">
        <x:v>46183</x:v>
      </x:c>
      <x:c r="P418" s="31" t="n">
        <x:v>46188</x:v>
      </x:c>
      <x:c r="Q418" s="31" t="inlineStr">
        <x:is>
          <x:t xml:space="preserve">Завершено</x:t>
        </x:is>
      </x:c>
      <x:c r="R418" s="31" t="inlineStr">
        <x:is>
          <x:t xml:space="preserve">Нет</x:t>
        </x:is>
      </x:c>
      <x:c r="S418" s="31" t="inlineStr">
        <x:is>
          <x:t xml:space="preserve">Нет</x:t>
        </x:is>
      </x:c>
    </x:row>
    <x:row r="419">
      <x:c r="A419" s="31" t="inlineStr">
        <x:is>
          <x:t xml:space="preserve">ОП-000418</x:t>
        </x:is>
      </x:c>
      <x:c r="B419" s="31" t="inlineStr">
        <x:is>
          <x:t xml:space="preserve">ПЗ-00051</x:t>
        </x:is>
      </x:c>
      <x:c r="C419" s="31" t="inlineStr">
        <x:is>
          <x:t xml:space="preserve">ЗК-1030</x:t>
        </x:is>
      </x:c>
      <x:c r="D419" s="31" t="inlineStr">
        <x:is>
          <x:t xml:space="preserve">ПОЗ-0030-3</x:t>
        </x:is>
      </x:c>
      <x:c r="E419" s="31" t="inlineStr">
        <x:is>
          <x:t xml:space="preserve">ИЗД-016</x:t>
        </x:is>
      </x:c>
      <x:c r="F419" s="31" t="n">
        <x:v>30</x:v>
      </x:c>
      <x:c r="G419" s="31" t="inlineStr">
        <x:is>
          <x:t xml:space="preserve">Резка металла</x:t>
        </x:is>
      </x:c>
      <x:c r="H419" s="31" t="inlineStr">
        <x:is>
          <x:t xml:space="preserve">Сварка</x:t>
        </x:is>
      </x:c>
      <x:c r="I419" s="31" t="inlineStr">
        <x:is>
          <x:t xml:space="preserve">ОБ-003</x:t>
        </x:is>
      </x:c>
      <x:c r="J419" s="31" t="inlineStr">
        <x:is>
          <x:t xml:space="preserve">СОТР-057</x:t>
        </x:is>
      </x:c>
      <x:c r="K419" s="31" t="n">
        <x:v>33.9</x:v>
      </x:c>
      <x:c r="L419" s="31" t="n">
        <x:v>42.8</x:v>
      </x:c>
      <x:c r="M419" s="31" t="n">
        <x:v>46187</x:v>
      </x:c>
      <x:c r="N419" s="31" t="n">
        <x:v>46190</x:v>
      </x:c>
      <x:c r="O419" s="31" t="n">
        <x:v>46187</x:v>
      </x:c>
      <x:c r="P419" s="31" t="n">
        <x:v>46190</x:v>
      </x:c>
      <x:c r="Q419" s="31" t="inlineStr">
        <x:is>
          <x:t xml:space="preserve">Завершено</x:t>
        </x:is>
      </x:c>
      <x:c r="R419" s="31" t="inlineStr">
        <x:is>
          <x:t xml:space="preserve">Нет</x:t>
        </x:is>
      </x:c>
      <x:c r="S419" s="31" t="inlineStr">
        <x:is>
          <x:t xml:space="preserve">Да</x:t>
        </x:is>
      </x:c>
    </x:row>
    <x:row r="420">
      <x:c r="A420" s="31" t="inlineStr">
        <x:is>
          <x:t xml:space="preserve">ОП-000419</x:t>
        </x:is>
      </x:c>
      <x:c r="B420" s="31" t="inlineStr">
        <x:is>
          <x:t xml:space="preserve">ПЗ-00051</x:t>
        </x:is>
      </x:c>
      <x:c r="C420" s="31" t="inlineStr">
        <x:is>
          <x:t xml:space="preserve">ЗК-1030</x:t>
        </x:is>
      </x:c>
      <x:c r="D420" s="31" t="inlineStr">
        <x:is>
          <x:t xml:space="preserve">ПОЗ-0030-3</x:t>
        </x:is>
      </x:c>
      <x:c r="E420" s="31" t="inlineStr">
        <x:is>
          <x:t xml:space="preserve">ИЗД-016</x:t>
        </x:is>
      </x:c>
      <x:c r="F420" s="31" t="n">
        <x:v>40</x:v>
      </x:c>
      <x:c r="G420" s="31" t="inlineStr">
        <x:is>
          <x:t xml:space="preserve">Сварка рамы</x:t>
        </x:is>
      </x:c>
      <x:c r="H420" s="31" t="inlineStr">
        <x:is>
          <x:t xml:space="preserve">Сварка</x:t>
        </x:is>
      </x:c>
      <x:c r="I420" s="31" t="inlineStr">
        <x:is>
          <x:t xml:space="preserve">ОБ-010</x:t>
        </x:is>
      </x:c>
      <x:c r="J420" s="31" t="inlineStr">
        <x:is>
          <x:t xml:space="preserve">СОТР-067</x:t>
        </x:is>
      </x:c>
      <x:c r="K420" s="31" t="n">
        <x:v>34.8</x:v>
      </x:c>
      <x:c r="L420" s="31" t="n">
        <x:v>46</x:v>
      </x:c>
      <x:c r="M420" s="31" t="n">
        <x:v>46190</x:v>
      </x:c>
      <x:c r="N420" s="31" t="n">
        <x:v>46193</x:v>
      </x:c>
      <x:c r="O420" s="31" t="n">
        <x:v>46190</x:v>
      </x:c>
      <x:c r="P420" s="31" t="n">
        <x:v>46195</x:v>
      </x:c>
      <x:c r="Q420" s="31" t="inlineStr">
        <x:is>
          <x:t xml:space="preserve">Завершено</x:t>
        </x:is>
      </x:c>
      <x:c r="R420" s="31" t="inlineStr">
        <x:is>
          <x:t xml:space="preserve">Нет</x:t>
        </x:is>
      </x:c>
      <x:c r="S420" s="31" t="inlineStr">
        <x:is>
          <x:t xml:space="preserve">Нет</x:t>
        </x:is>
      </x:c>
    </x:row>
    <x:row r="421">
      <x:c r="A421" s="31" t="inlineStr">
        <x:is>
          <x:t xml:space="preserve">ОП-000420</x:t>
        </x:is>
      </x:c>
      <x:c r="B421" s="31" t="inlineStr">
        <x:is>
          <x:t xml:space="preserve">ПЗ-00051</x:t>
        </x:is>
      </x:c>
      <x:c r="C421" s="31" t="inlineStr">
        <x:is>
          <x:t xml:space="preserve">ЗК-1030</x:t>
        </x:is>
      </x:c>
      <x:c r="D421" s="31" t="inlineStr">
        <x:is>
          <x:t xml:space="preserve">ПОЗ-0030-3</x:t>
        </x:is>
      </x:c>
      <x:c r="E421" s="31" t="inlineStr">
        <x:is>
          <x:t xml:space="preserve">ИЗД-016</x:t>
        </x:is>
      </x:c>
      <x:c r="F421" s="31" t="n">
        <x:v>50</x:v>
      </x:c>
      <x:c r="G421" s="31" t="inlineStr">
        <x:is>
          <x:t xml:space="preserve">Механообработка</x:t>
        </x:is>
      </x:c>
      <x:c r="H421" s="31" t="inlineStr">
        <x:is>
          <x:t xml:space="preserve">Механообработка</x:t>
        </x:is>
      </x:c>
      <x:c r="I421" s="31" t="inlineStr">
        <x:is>
          <x:t xml:space="preserve">ОБ-029</x:t>
        </x:is>
      </x:c>
      <x:c r="J421" s="31" t="inlineStr">
        <x:is>
          <x:t xml:space="preserve">СОТР-046</x:t>
        </x:is>
      </x:c>
      <x:c r="K421" s="31" t="n">
        <x:v>45.3</x:v>
      </x:c>
      <x:c r="L421" s="31" t="n">
        <x:v>53.6</x:v>
      </x:c>
      <x:c r="M421" s="31" t="n">
        <x:v>46193</x:v>
      </x:c>
      <x:c r="N421" s="31" t="n">
        <x:v>46197</x:v>
      </x:c>
      <x:c r="O421" s="31" t="n">
        <x:v>46193</x:v>
      </x:c>
      <x:c r="P421" s="31" t="n">
        <x:v>46199</x:v>
      </x:c>
      <x:c r="Q421" s="31" t="inlineStr">
        <x:is>
          <x:t xml:space="preserve">Завершено</x:t>
        </x:is>
      </x:c>
      <x:c r="R421" s="31" t="inlineStr">
        <x:is>
          <x:t xml:space="preserve">Нет</x:t>
        </x:is>
      </x:c>
      <x:c r="S421" s="31" t="inlineStr">
        <x:is>
          <x:t xml:space="preserve">Нет</x:t>
        </x:is>
      </x:c>
    </x:row>
    <x:row r="422">
      <x:c r="A422" s="31" t="inlineStr">
        <x:is>
          <x:t xml:space="preserve">ОП-000421</x:t>
        </x:is>
      </x:c>
      <x:c r="B422" s="31" t="inlineStr">
        <x:is>
          <x:t xml:space="preserve">ПЗ-00051</x:t>
        </x:is>
      </x:c>
      <x:c r="C422" s="31" t="inlineStr">
        <x:is>
          <x:t xml:space="preserve">ЗК-1030</x:t>
        </x:is>
      </x:c>
      <x:c r="D422" s="31" t="inlineStr">
        <x:is>
          <x:t xml:space="preserve">ПОЗ-0030-3</x:t>
        </x:is>
      </x:c>
      <x:c r="E422" s="31" t="inlineStr">
        <x:is>
          <x:t xml:space="preserve">ИЗД-016</x:t>
        </x:is>
      </x:c>
      <x:c r="F422" s="31" t="n">
        <x:v>60</x:v>
      </x:c>
      <x:c r="G422" s="31" t="inlineStr">
        <x:is>
          <x:t xml:space="preserve">Сборка</x:t>
        </x:is>
      </x:c>
      <x:c r="H422" s="31" t="inlineStr">
        <x:is>
          <x:t xml:space="preserve">Сборка</x:t>
        </x:is>
      </x:c>
      <x:c r="I422" s="31" t="inlineStr">
        <x:is>
          <x:t xml:space="preserve">ОБ-027</x:t>
        </x:is>
      </x:c>
      <x:c r="J422" s="31" t="inlineStr">
        <x:is>
          <x:t xml:space="preserve">СОТР-091</x:t>
        </x:is>
      </x:c>
      <x:c r="K422" s="31" t="n">
        <x:v>45.3</x:v>
      </x:c>
      <x:c r="L422" s="31" t="n">
        <x:v>50.4</x:v>
      </x:c>
      <x:c r="M422" s="31" t="n">
        <x:v>46197</x:v>
      </x:c>
      <x:c r="N422" s="31" t="n">
        <x:v>46201</x:v>
      </x:c>
      <x:c r="O422" s="31" t="n">
        <x:v>46197</x:v>
      </x:c>
      <x:c r="P422" s="31" t="n">
        <x:v>46203</x:v>
      </x:c>
      <x:c r="Q422" s="31" t="inlineStr">
        <x:is>
          <x:t xml:space="preserve">Завершено</x:t>
        </x:is>
      </x:c>
      <x:c r="R422" s="31" t="inlineStr">
        <x:is>
          <x:t xml:space="preserve">Нет</x:t>
        </x:is>
      </x:c>
      <x:c r="S422" s="31" t="inlineStr">
        <x:is>
          <x:t xml:space="preserve">Да</x:t>
        </x:is>
      </x:c>
    </x:row>
    <x:row r="423">
      <x:c r="A423" s="31" t="inlineStr">
        <x:is>
          <x:t xml:space="preserve">ОП-000422</x:t>
        </x:is>
      </x:c>
      <x:c r="B423" s="31" t="inlineStr">
        <x:is>
          <x:t xml:space="preserve">ПЗ-00051</x:t>
        </x:is>
      </x:c>
      <x:c r="C423" s="31" t="inlineStr">
        <x:is>
          <x:t xml:space="preserve">ЗК-1030</x:t>
        </x:is>
      </x:c>
      <x:c r="D423" s="31" t="inlineStr">
        <x:is>
          <x:t xml:space="preserve">ПОЗ-0030-3</x:t>
        </x:is>
      </x:c>
      <x:c r="E423" s="31" t="inlineStr">
        <x:is>
          <x:t xml:space="preserve">ИЗД-016</x:t>
        </x:is>
      </x:c>
      <x:c r="F423" s="31" t="n">
        <x:v>70</x:v>
      </x:c>
      <x:c r="G423" s="31" t="inlineStr">
        <x:is>
          <x:t xml:space="preserve">Электромонтаж</x:t>
        </x:is>
      </x:c>
      <x:c r="H423" s="31" t="inlineStr">
        <x:is>
          <x:t xml:space="preserve">Сборка</x:t>
        </x:is>
      </x:c>
      <x:c r="I423" s="31" t="inlineStr">
        <x:is>
          <x:t xml:space="preserve">ОБ-014</x:t>
        </x:is>
      </x:c>
      <x:c r="J423" s="31" t="inlineStr">
        <x:is>
          <x:t xml:space="preserve">СОТР-084</x:t>
        </x:is>
      </x:c>
      <x:c r="K423" s="31" t="n">
        <x:v>52.2</x:v>
      </x:c>
      <x:c r="L423" s="31" t="n">
        <x:v>58.7</x:v>
      </x:c>
      <x:c r="M423" s="31" t="n">
        <x:v>46201</x:v>
      </x:c>
      <x:c r="N423" s="31" t="n">
        <x:v>46206</x:v>
      </x:c>
      <x:c r="O423" s="31" t="n">
        <x:v>46201</x:v>
      </x:c>
      <x:c r="P423" s="31" t="n">
        <x:v>46207</x:v>
      </x:c>
      <x:c r="Q423" s="31" t="inlineStr">
        <x:is>
          <x:t xml:space="preserve">Завершено</x:t>
        </x:is>
      </x:c>
      <x:c r="R423" s="31" t="inlineStr">
        <x:is>
          <x:t xml:space="preserve">Ожидание ОТК</x:t>
        </x:is>
      </x:c>
      <x:c r="S423" s="31" t="inlineStr">
        <x:is>
          <x:t xml:space="preserve">Нет</x:t>
        </x:is>
      </x:c>
    </x:row>
    <x:row r="424">
      <x:c r="A424" s="31" t="inlineStr">
        <x:is>
          <x:t xml:space="preserve">ОП-000423</x:t>
        </x:is>
      </x:c>
      <x:c r="B424" s="31" t="inlineStr">
        <x:is>
          <x:t xml:space="preserve">ПЗ-00051</x:t>
        </x:is>
      </x:c>
      <x:c r="C424" s="31" t="inlineStr">
        <x:is>
          <x:t xml:space="preserve">ЗК-1030</x:t>
        </x:is>
      </x:c>
      <x:c r="D424" s="31" t="inlineStr">
        <x:is>
          <x:t xml:space="preserve">ПОЗ-0030-3</x:t>
        </x:is>
      </x:c>
      <x:c r="E424" s="31" t="inlineStr">
        <x:is>
          <x:t xml:space="preserve">ИЗД-016</x:t>
        </x:is>
      </x:c>
      <x:c r="F424" s="31" t="n">
        <x:v>80</x:v>
      </x:c>
      <x:c r="G424" s="31" t="inlineStr">
        <x:is>
          <x:t xml:space="preserve">Гидроиспытания</x:t>
        </x:is>
      </x:c>
      <x:c r="H424" s="31" t="inlineStr">
        <x:is>
          <x:t xml:space="preserve">ОТК</x:t>
        </x:is>
      </x:c>
      <x:c r="I424" s="31" t="inlineStr">
        <x:is>
          <x:t xml:space="preserve">ОБ-028</x:t>
        </x:is>
      </x:c>
      <x:c r="J424" s="31" t="inlineStr">
        <x:is>
          <x:t xml:space="preserve">СОТР-063</x:t>
        </x:is>
      </x:c>
      <x:c r="K424" s="31" t="n">
        <x:v>5.4</x:v>
      </x:c>
      <x:c r="L424" s="31" t="n">
        <x:v>4.7</x:v>
      </x:c>
      <x:c r="M424" s="31" t="n">
        <x:v>46206</x:v>
      </x:c>
      <x:c r="N424" s="31" t="n">
        <x:v>46207</x:v>
      </x:c>
      <x:c r="O424" s="31" t="n">
        <x:v>46206</x:v>
      </x:c>
      <x:c r="P424" s="31" t="n">
        <x:v>46206</x:v>
      </x:c>
      <x:c r="Q424" s="31" t="inlineStr">
        <x:is>
          <x:t xml:space="preserve">Завершено</x:t>
        </x:is>
      </x:c>
      <x:c r="R424" s="31" t="inlineStr">
        <x:is>
          <x:t xml:space="preserve">Нет</x:t>
        </x:is>
      </x:c>
      <x:c r="S424" s="31" t="inlineStr">
        <x:is>
          <x:t xml:space="preserve">Нет</x:t>
        </x:is>
      </x:c>
    </x:row>
    <x:row r="425">
      <x:c r="A425" s="31" t="inlineStr">
        <x:is>
          <x:t xml:space="preserve">ОП-000424</x:t>
        </x:is>
      </x:c>
      <x:c r="B425" s="31" t="inlineStr">
        <x:is>
          <x:t xml:space="preserve">ПЗ-00051</x:t>
        </x:is>
      </x:c>
      <x:c r="C425" s="31" t="inlineStr">
        <x:is>
          <x:t xml:space="preserve">ЗК-1030</x:t>
        </x:is>
      </x:c>
      <x:c r="D425" s="31" t="inlineStr">
        <x:is>
          <x:t xml:space="preserve">ПОЗ-0030-3</x:t>
        </x:is>
      </x:c>
      <x:c r="E425" s="31" t="inlineStr">
        <x:is>
          <x:t xml:space="preserve">ИЗД-016</x:t>
        </x:is>
      </x:c>
      <x:c r="F425" s="31" t="n">
        <x:v>90</x:v>
      </x:c>
      <x:c r="G425" s="31" t="inlineStr">
        <x:is>
          <x:t xml:space="preserve">ОТК</x:t>
        </x:is>
      </x:c>
      <x:c r="H425" s="31" t="inlineStr">
        <x:is>
          <x:t xml:space="preserve">ОТК</x:t>
        </x:is>
      </x:c>
      <x:c r="I425" s="31" t="inlineStr">
        <x:is>
          <x:t xml:space="preserve">ОБ-028</x:t>
        </x:is>
      </x:c>
      <x:c r="J425" s="31" t="inlineStr">
        <x:is>
          <x:t xml:space="preserve">СОТР-099</x:t>
        </x:is>
      </x:c>
      <x:c r="K425" s="31" t="n">
        <x:v>5.1</x:v>
      </x:c>
      <x:c r="L425" s="31" t="n"/>
      <x:c r="M425" s="31" t="n">
        <x:v>46207</x:v>
      </x:c>
      <x:c r="N425" s="31" t="n">
        <x:v>46208</x:v>
      </x:c>
      <x:c r="O425" s="31" t="n">
        <x:v>46207</x:v>
      </x:c>
      <x:c r="P425" s="31" t="n"/>
      <x:c r="Q425" s="31" t="inlineStr">
        <x:is>
          <x:t xml:space="preserve">В работе</x:t>
        </x:is>
      </x:c>
      <x:c r="R425" s="31" t="inlineStr">
        <x:is>
          <x:t xml:space="preserve">КД</x:t>
        </x:is>
      </x:c>
      <x:c r="S425" s="31" t="inlineStr">
        <x:is>
          <x:t xml:space="preserve">Нет</x:t>
        </x:is>
      </x:c>
    </x:row>
    <x:row r="426">
      <x:c r="A426" s="31" t="inlineStr">
        <x:is>
          <x:t xml:space="preserve">ОП-000425</x:t>
        </x:is>
      </x:c>
      <x:c r="B426" s="31" t="inlineStr">
        <x:is>
          <x:t xml:space="preserve">ПЗ-00051</x:t>
        </x:is>
      </x:c>
      <x:c r="C426" s="31" t="inlineStr">
        <x:is>
          <x:t xml:space="preserve">ЗК-1030</x:t>
        </x:is>
      </x:c>
      <x:c r="D426" s="31" t="inlineStr">
        <x:is>
          <x:t xml:space="preserve">ПОЗ-0030-3</x:t>
        </x:is>
      </x:c>
      <x:c r="E426" s="31" t="inlineStr">
        <x:is>
          <x:t xml:space="preserve">ИЗД-016</x:t>
        </x:is>
      </x:c>
      <x:c r="F426" s="31" t="n">
        <x:v>100</x:v>
      </x:c>
      <x:c r="G426" s="31" t="inlineStr">
        <x:is>
          <x:t xml:space="preserve">Упаковка</x:t>
        </x:is>
      </x:c>
      <x:c r="H426" s="31" t="inlineStr">
        <x:is>
          <x:t xml:space="preserve">Логистика</x:t>
        </x:is>
      </x:c>
      <x:c r="I426" s="31" t="n"/>
      <x:c r="J426" s="31" t="inlineStr">
        <x:is>
          <x:t xml:space="preserve">СОТР-105</x:t>
        </x:is>
      </x:c>
      <x:c r="K426" s="31" t="n">
        <x:v>30</x:v>
      </x:c>
      <x:c r="L426" s="31" t="n">
        <x:v>25.9</x:v>
      </x:c>
      <x:c r="M426" s="31" t="n">
        <x:v>46208</x:v>
      </x:c>
      <x:c r="N426" s="31" t="n">
        <x:v>46211</x:v>
      </x:c>
      <x:c r="O426" s="31" t="n">
        <x:v>46208</x:v>
      </x:c>
      <x:c r="P426" s="31" t="n">
        <x:v>46212</x:v>
      </x:c>
      <x:c r="Q426" s="31" t="inlineStr">
        <x:is>
          <x:t xml:space="preserve">Завершено</x:t>
        </x:is>
      </x:c>
      <x:c r="R426" s="31" t="inlineStr">
        <x:is>
          <x:t xml:space="preserve">Нет</x:t>
        </x:is>
      </x:c>
      <x:c r="S426" s="31" t="inlineStr">
        <x:is>
          <x:t xml:space="preserve">Нет</x:t>
        </x:is>
      </x:c>
    </x:row>
    <x:row r="427">
      <x:c r="A427" s="31" t="inlineStr">
        <x:is>
          <x:t xml:space="preserve">ОП-000426</x:t>
        </x:is>
      </x:c>
      <x:c r="B427" s="31" t="inlineStr">
        <x:is>
          <x:t xml:space="preserve">ПЗ-00052</x:t>
        </x:is>
      </x:c>
      <x:c r="C427" s="31" t="inlineStr">
        <x:is>
          <x:t xml:space="preserve">ЗК-1031</x:t>
        </x:is>
      </x:c>
      <x:c r="D427" s="31" t="inlineStr">
        <x:is>
          <x:t xml:space="preserve">ПОЗ-0031-1</x:t>
        </x:is>
      </x:c>
      <x:c r="E427" s="31" t="inlineStr">
        <x:is>
          <x:t xml:space="preserve">ИЗД-030</x:t>
        </x:is>
      </x:c>
      <x:c r="F427" s="31" t="n">
        <x:v>10</x:v>
      </x:c>
      <x:c r="G427" s="31" t="inlineStr">
        <x:is>
          <x:t xml:space="preserve">КД</x:t>
        </x:is>
      </x:c>
      <x:c r="H427" s="31" t="inlineStr">
        <x:is>
          <x:t xml:space="preserve">Инженерный отдел</x:t>
        </x:is>
      </x:c>
      <x:c r="I427" s="31" t="n"/>
      <x:c r="J427" s="31" t="inlineStr">
        <x:is>
          <x:t xml:space="preserve">СОТР-013</x:t>
        </x:is>
      </x:c>
      <x:c r="K427" s="31" t="n">
        <x:v>9</x:v>
      </x:c>
      <x:c r="L427" s="31" t="n">
        <x:v>8.800000000000001</x:v>
      </x:c>
      <x:c r="M427" s="31" t="n">
        <x:v>46108</x:v>
      </x:c>
      <x:c r="N427" s="31" t="n">
        <x:v>46109</x:v>
      </x:c>
      <x:c r="O427" s="31" t="n">
        <x:v>46108</x:v>
      </x:c>
      <x:c r="P427" s="31" t="n">
        <x:v>46110</x:v>
      </x:c>
      <x:c r="Q427" s="31" t="inlineStr">
        <x:is>
          <x:t xml:space="preserve">Завершено</x:t>
        </x:is>
      </x:c>
      <x:c r="R427" s="31" t="inlineStr">
        <x:is>
          <x:t xml:space="preserve">Нет</x:t>
        </x:is>
      </x:c>
      <x:c r="S427" s="31" t="inlineStr">
        <x:is>
          <x:t xml:space="preserve">Нет</x:t>
        </x:is>
      </x:c>
    </x:row>
    <x:row r="428">
      <x:c r="A428" s="31" t="inlineStr">
        <x:is>
          <x:t xml:space="preserve">ОП-000427</x:t>
        </x:is>
      </x:c>
      <x:c r="B428" s="31" t="inlineStr">
        <x:is>
          <x:t xml:space="preserve">ПЗ-00052</x:t>
        </x:is>
      </x:c>
      <x:c r="C428" s="31" t="inlineStr">
        <x:is>
          <x:t xml:space="preserve">ЗК-1031</x:t>
        </x:is>
      </x:c>
      <x:c r="D428" s="31" t="inlineStr">
        <x:is>
          <x:t xml:space="preserve">ПОЗ-0031-1</x:t>
        </x:is>
      </x:c>
      <x:c r="E428" s="31" t="inlineStr">
        <x:is>
          <x:t xml:space="preserve">ИЗД-030</x:t>
        </x:is>
      </x:c>
      <x:c r="F428" s="31" t="n">
        <x:v>20</x:v>
      </x:c>
      <x:c r="G428" s="31" t="inlineStr">
        <x:is>
          <x:t xml:space="preserve">Резерв материалов</x:t>
        </x:is>
      </x:c>
      <x:c r="H428" s="31" t="inlineStr">
        <x:is>
          <x:t xml:space="preserve">Склад</x:t>
        </x:is>
      </x:c>
      <x:c r="I428" s="31" t="inlineStr">
        <x:is>
          <x:t xml:space="preserve">ОБ-008</x:t>
        </x:is>
      </x:c>
      <x:c r="J428" s="31" t="inlineStr">
        <x:is>
          <x:t xml:space="preserve">СОТР-024</x:t>
        </x:is>
      </x:c>
      <x:c r="K428" s="31" t="n">
        <x:v>10.3</x:v>
      </x:c>
      <x:c r="L428" s="31" t="n">
        <x:v>8.4</x:v>
      </x:c>
      <x:c r="M428" s="31" t="n">
        <x:v>46109</x:v>
      </x:c>
      <x:c r="N428" s="31" t="n">
        <x:v>46110</x:v>
      </x:c>
      <x:c r="O428" s="31" t="n">
        <x:v>46109</x:v>
      </x:c>
      <x:c r="P428" s="31" t="n">
        <x:v>46109</x:v>
      </x:c>
      <x:c r="Q428" s="31" t="inlineStr">
        <x:is>
          <x:t xml:space="preserve">Завершено</x:t>
        </x:is>
      </x:c>
      <x:c r="R428" s="31" t="inlineStr">
        <x:is>
          <x:t xml:space="preserve">Нет</x:t>
        </x:is>
      </x:c>
      <x:c r="S428" s="31" t="inlineStr">
        <x:is>
          <x:t xml:space="preserve">Нет</x:t>
        </x:is>
      </x:c>
    </x:row>
    <x:row r="429">
      <x:c r="A429" s="31" t="inlineStr">
        <x:is>
          <x:t xml:space="preserve">ОП-000428</x:t>
        </x:is>
      </x:c>
      <x:c r="B429" s="31" t="inlineStr">
        <x:is>
          <x:t xml:space="preserve">ПЗ-00052</x:t>
        </x:is>
      </x:c>
      <x:c r="C429" s="31" t="inlineStr">
        <x:is>
          <x:t xml:space="preserve">ЗК-1031</x:t>
        </x:is>
      </x:c>
      <x:c r="D429" s="31" t="inlineStr">
        <x:is>
          <x:t xml:space="preserve">ПОЗ-0031-1</x:t>
        </x:is>
      </x:c>
      <x:c r="E429" s="31" t="inlineStr">
        <x:is>
          <x:t xml:space="preserve">ИЗД-030</x:t>
        </x:is>
      </x:c>
      <x:c r="F429" s="31" t="n">
        <x:v>30</x:v>
      </x:c>
      <x:c r="G429" s="31" t="inlineStr">
        <x:is>
          <x:t xml:space="preserve">Резка металла</x:t>
        </x:is>
      </x:c>
      <x:c r="H429" s="31" t="inlineStr">
        <x:is>
          <x:t xml:space="preserve">Сварка</x:t>
        </x:is>
      </x:c>
      <x:c r="I429" s="31" t="inlineStr">
        <x:is>
          <x:t xml:space="preserve">ОБ-010</x:t>
        </x:is>
      </x:c>
      <x:c r="J429" s="31" t="inlineStr">
        <x:is>
          <x:t xml:space="preserve">СОТР-069</x:t>
        </x:is>
      </x:c>
      <x:c r="K429" s="31" t="n">
        <x:v>2.3</x:v>
      </x:c>
      <x:c r="L429" s="31" t="n">
        <x:v>2.2</x:v>
      </x:c>
      <x:c r="M429" s="31" t="n">
        <x:v>46110</x:v>
      </x:c>
      <x:c r="N429" s="31" t="n">
        <x:v>46111</x:v>
      </x:c>
      <x:c r="O429" s="31" t="n">
        <x:v>46110</x:v>
      </x:c>
      <x:c r="P429" s="31" t="n">
        <x:v>46111</x:v>
      </x:c>
      <x:c r="Q429" s="31" t="inlineStr">
        <x:is>
          <x:t xml:space="preserve">Завершено</x:t>
        </x:is>
      </x:c>
      <x:c r="R429" s="31" t="inlineStr">
        <x:is>
          <x:t xml:space="preserve">Ожидание ОТК</x:t>
        </x:is>
      </x:c>
      <x:c r="S429" s="31" t="inlineStr">
        <x:is>
          <x:t xml:space="preserve">Нет</x:t>
        </x:is>
      </x:c>
    </x:row>
    <x:row r="430">
      <x:c r="A430" s="31" t="inlineStr">
        <x:is>
          <x:t xml:space="preserve">ОП-000429</x:t>
        </x:is>
      </x:c>
      <x:c r="B430" s="31" t="inlineStr">
        <x:is>
          <x:t xml:space="preserve">ПЗ-00052</x:t>
        </x:is>
      </x:c>
      <x:c r="C430" s="31" t="inlineStr">
        <x:is>
          <x:t xml:space="preserve">ЗК-1031</x:t>
        </x:is>
      </x:c>
      <x:c r="D430" s="31" t="inlineStr">
        <x:is>
          <x:t xml:space="preserve">ПОЗ-0031-1</x:t>
        </x:is>
      </x:c>
      <x:c r="E430" s="31" t="inlineStr">
        <x:is>
          <x:t xml:space="preserve">ИЗД-030</x:t>
        </x:is>
      </x:c>
      <x:c r="F430" s="31" t="n">
        <x:v>40</x:v>
      </x:c>
      <x:c r="G430" s="31" t="inlineStr">
        <x:is>
          <x:t xml:space="preserve">Сварка рамы</x:t>
        </x:is>
      </x:c>
      <x:c r="H430" s="31" t="inlineStr">
        <x:is>
          <x:t xml:space="preserve">Сварка</x:t>
        </x:is>
      </x:c>
      <x:c r="I430" s="31" t="inlineStr">
        <x:is>
          <x:t xml:space="preserve">ОБ-018</x:t>
        </x:is>
      </x:c>
      <x:c r="J430" s="31" t="inlineStr">
        <x:is>
          <x:t xml:space="preserve">СОТР-056</x:t>
        </x:is>
      </x:c>
      <x:c r="K430" s="31" t="n">
        <x:v>6.2</x:v>
      </x:c>
      <x:c r="L430" s="31" t="n">
        <x:v>8.1</x:v>
      </x:c>
      <x:c r="M430" s="31" t="n">
        <x:v>46111</x:v>
      </x:c>
      <x:c r="N430" s="31" t="n">
        <x:v>46112</x:v>
      </x:c>
      <x:c r="O430" s="31" t="n">
        <x:v>46111</x:v>
      </x:c>
      <x:c r="P430" s="31" t="n">
        <x:v>46113</x:v>
      </x:c>
      <x:c r="Q430" s="31" t="inlineStr">
        <x:is>
          <x:t xml:space="preserve">Завершено</x:t>
        </x:is>
      </x:c>
      <x:c r="R430" s="31" t="inlineStr">
        <x:is>
          <x:t xml:space="preserve">КД</x:t>
        </x:is>
      </x:c>
      <x:c r="S430" s="31" t="inlineStr">
        <x:is>
          <x:t xml:space="preserve">Нет</x:t>
        </x:is>
      </x:c>
    </x:row>
    <x:row r="431">
      <x:c r="A431" s="31" t="inlineStr">
        <x:is>
          <x:t xml:space="preserve">ОП-000430</x:t>
        </x:is>
      </x:c>
      <x:c r="B431" s="31" t="inlineStr">
        <x:is>
          <x:t xml:space="preserve">ПЗ-00052</x:t>
        </x:is>
      </x:c>
      <x:c r="C431" s="31" t="inlineStr">
        <x:is>
          <x:t xml:space="preserve">ЗК-1031</x:t>
        </x:is>
      </x:c>
      <x:c r="D431" s="31" t="inlineStr">
        <x:is>
          <x:t xml:space="preserve">ПОЗ-0031-1</x:t>
        </x:is>
      </x:c>
      <x:c r="E431" s="31" t="inlineStr">
        <x:is>
          <x:t xml:space="preserve">ИЗД-030</x:t>
        </x:is>
      </x:c>
      <x:c r="F431" s="31" t="n">
        <x:v>50</x:v>
      </x:c>
      <x:c r="G431" s="31" t="inlineStr">
        <x:is>
          <x:t xml:space="preserve">Механообработка</x:t>
        </x:is>
      </x:c>
      <x:c r="H431" s="31" t="inlineStr">
        <x:is>
          <x:t xml:space="preserve">Механообработка</x:t>
        </x:is>
      </x:c>
      <x:c r="I431" s="31" t="inlineStr">
        <x:is>
          <x:t xml:space="preserve">ОБ-029</x:t>
        </x:is>
      </x:c>
      <x:c r="J431" s="31" t="inlineStr">
        <x:is>
          <x:t xml:space="preserve">СОТР-047</x:t>
        </x:is>
      </x:c>
      <x:c r="K431" s="31" t="n">
        <x:v>6.2</x:v>
      </x:c>
      <x:c r="L431" s="31" t="n">
        <x:v>6.4</x:v>
      </x:c>
      <x:c r="M431" s="31" t="n">
        <x:v>46112</x:v>
      </x:c>
      <x:c r="N431" s="31" t="n">
        <x:v>46113</x:v>
      </x:c>
      <x:c r="O431" s="31" t="n">
        <x:v>46112</x:v>
      </x:c>
      <x:c r="P431" s="31" t="n">
        <x:v>46115</x:v>
      </x:c>
      <x:c r="Q431" s="31" t="inlineStr">
        <x:is>
          <x:t xml:space="preserve">Завершено</x:t>
        </x:is>
      </x:c>
      <x:c r="R431" s="31" t="inlineStr">
        <x:is>
          <x:t xml:space="preserve">Нет</x:t>
        </x:is>
      </x:c>
      <x:c r="S431" s="31" t="inlineStr">
        <x:is>
          <x:t xml:space="preserve">Нет</x:t>
        </x:is>
      </x:c>
    </x:row>
    <x:row r="432">
      <x:c r="A432" s="31" t="inlineStr">
        <x:is>
          <x:t xml:space="preserve">ОП-000431</x:t>
        </x:is>
      </x:c>
      <x:c r="B432" s="31" t="inlineStr">
        <x:is>
          <x:t xml:space="preserve">ПЗ-00052</x:t>
        </x:is>
      </x:c>
      <x:c r="C432" s="31" t="inlineStr">
        <x:is>
          <x:t xml:space="preserve">ЗК-1031</x:t>
        </x:is>
      </x:c>
      <x:c r="D432" s="31" t="inlineStr">
        <x:is>
          <x:t xml:space="preserve">ПОЗ-0031-1</x:t>
        </x:is>
      </x:c>
      <x:c r="E432" s="31" t="inlineStr">
        <x:is>
          <x:t xml:space="preserve">ИЗД-030</x:t>
        </x:is>
      </x:c>
      <x:c r="F432" s="31" t="n">
        <x:v>60</x:v>
      </x:c>
      <x:c r="G432" s="31" t="inlineStr">
        <x:is>
          <x:t xml:space="preserve">Сборка</x:t>
        </x:is>
      </x:c>
      <x:c r="H432" s="31" t="inlineStr">
        <x:is>
          <x:t xml:space="preserve">Сборка</x:t>
        </x:is>
      </x:c>
      <x:c r="I432" s="31" t="inlineStr">
        <x:is>
          <x:t xml:space="preserve">ОБ-027</x:t>
        </x:is>
      </x:c>
      <x:c r="J432" s="31" t="inlineStr">
        <x:is>
          <x:t xml:space="preserve">СОТР-087</x:t>
        </x:is>
      </x:c>
      <x:c r="K432" s="31" t="n">
        <x:v>4.2</x:v>
      </x:c>
      <x:c r="L432" s="31" t="n">
        <x:v>3.7</x:v>
      </x:c>
      <x:c r="M432" s="31" t="n">
        <x:v>46113</x:v>
      </x:c>
      <x:c r="N432" s="31" t="n">
        <x:v>46114</x:v>
      </x:c>
      <x:c r="O432" s="31" t="n">
        <x:v>46113</x:v>
      </x:c>
      <x:c r="P432" s="31" t="n">
        <x:v>46115</x:v>
      </x:c>
      <x:c r="Q432" s="31" t="inlineStr">
        <x:is>
          <x:t xml:space="preserve">Завершено</x:t>
        </x:is>
      </x:c>
      <x:c r="R432" s="31" t="inlineStr">
        <x:is>
          <x:t xml:space="preserve">Материал</x:t>
        </x:is>
      </x:c>
      <x:c r="S432" s="31" t="inlineStr">
        <x:is>
          <x:t xml:space="preserve">Да</x:t>
        </x:is>
      </x:c>
    </x:row>
    <x:row r="433">
      <x:c r="A433" s="31" t="inlineStr">
        <x:is>
          <x:t xml:space="preserve">ОП-000432</x:t>
        </x:is>
      </x:c>
      <x:c r="B433" s="31" t="inlineStr">
        <x:is>
          <x:t xml:space="preserve">ПЗ-00052</x:t>
        </x:is>
      </x:c>
      <x:c r="C433" s="31" t="inlineStr">
        <x:is>
          <x:t xml:space="preserve">ЗК-1031</x:t>
        </x:is>
      </x:c>
      <x:c r="D433" s="31" t="inlineStr">
        <x:is>
          <x:t xml:space="preserve">ПОЗ-0031-1</x:t>
        </x:is>
      </x:c>
      <x:c r="E433" s="31" t="inlineStr">
        <x:is>
          <x:t xml:space="preserve">ИЗД-030</x:t>
        </x:is>
      </x:c>
      <x:c r="F433" s="31" t="n">
        <x:v>70</x:v>
      </x:c>
      <x:c r="G433" s="31" t="inlineStr">
        <x:is>
          <x:t xml:space="preserve">Электромонтаж</x:t>
        </x:is>
      </x:c>
      <x:c r="H433" s="31" t="inlineStr">
        <x:is>
          <x:t xml:space="preserve">Сборка</x:t>
        </x:is>
      </x:c>
      <x:c r="I433" s="31" t="inlineStr">
        <x:is>
          <x:t xml:space="preserve">ОБ-002</x:t>
        </x:is>
      </x:c>
      <x:c r="J433" s="31" t="inlineStr">
        <x:is>
          <x:t xml:space="preserve">СОТР-084</x:t>
        </x:is>
      </x:c>
      <x:c r="K433" s="31" t="n">
        <x:v>6.8</x:v>
      </x:c>
      <x:c r="L433" s="31" t="n">
        <x:v>8.699999999999999</x:v>
      </x:c>
      <x:c r="M433" s="31" t="n">
        <x:v>46114</x:v>
      </x:c>
      <x:c r="N433" s="31" t="n">
        <x:v>46115</x:v>
      </x:c>
      <x:c r="O433" s="31" t="n">
        <x:v>46114</x:v>
      </x:c>
      <x:c r="P433" s="31" t="n">
        <x:v>46117</x:v>
      </x:c>
      <x:c r="Q433" s="31" t="inlineStr">
        <x:is>
          <x:t xml:space="preserve">Завершено</x:t>
        </x:is>
      </x:c>
      <x:c r="R433" s="31" t="inlineStr">
        <x:is>
          <x:t xml:space="preserve">Нет</x:t>
        </x:is>
      </x:c>
      <x:c r="S433" s="31" t="inlineStr">
        <x:is>
          <x:t xml:space="preserve">Нет</x:t>
        </x:is>
      </x:c>
    </x:row>
    <x:row r="434">
      <x:c r="A434" s="31" t="inlineStr">
        <x:is>
          <x:t xml:space="preserve">ОП-000433</x:t>
        </x:is>
      </x:c>
      <x:c r="B434" s="31" t="inlineStr">
        <x:is>
          <x:t xml:space="preserve">ПЗ-00052</x:t>
        </x:is>
      </x:c>
      <x:c r="C434" s="31" t="inlineStr">
        <x:is>
          <x:t xml:space="preserve">ЗК-1031</x:t>
        </x:is>
      </x:c>
      <x:c r="D434" s="31" t="inlineStr">
        <x:is>
          <x:t xml:space="preserve">ПОЗ-0031-1</x:t>
        </x:is>
      </x:c>
      <x:c r="E434" s="31" t="inlineStr">
        <x:is>
          <x:t xml:space="preserve">ИЗД-030</x:t>
        </x:is>
      </x:c>
      <x:c r="F434" s="31" t="n">
        <x:v>80</x:v>
      </x:c>
      <x:c r="G434" s="31" t="inlineStr">
        <x:is>
          <x:t xml:space="preserve">Гидроиспытания</x:t>
        </x:is>
      </x:c>
      <x:c r="H434" s="31" t="inlineStr">
        <x:is>
          <x:t xml:space="preserve">ОТК</x:t>
        </x:is>
      </x:c>
      <x:c r="I434" s="31" t="inlineStr">
        <x:is>
          <x:t xml:space="preserve">ОБ-024</x:t>
        </x:is>
      </x:c>
      <x:c r="J434" s="31" t="inlineStr">
        <x:is>
          <x:t xml:space="preserve">СОТР-100</x:t>
        </x:is>
      </x:c>
      <x:c r="K434" s="31" t="n">
        <x:v>4.9</x:v>
      </x:c>
      <x:c r="L434" s="31" t="n">
        <x:v>5.5</x:v>
      </x:c>
      <x:c r="M434" s="31" t="n">
        <x:v>46115</x:v>
      </x:c>
      <x:c r="N434" s="31" t="n">
        <x:v>46116</x:v>
      </x:c>
      <x:c r="O434" s="31" t="n">
        <x:v>46115</x:v>
      </x:c>
      <x:c r="P434" s="31" t="n">
        <x:v>46115</x:v>
      </x:c>
      <x:c r="Q434" s="31" t="inlineStr">
        <x:is>
          <x:t xml:space="preserve">Завершено</x:t>
        </x:is>
      </x:c>
      <x:c r="R434" s="31" t="inlineStr">
        <x:is>
          <x:t xml:space="preserve">Нет</x:t>
        </x:is>
      </x:c>
      <x:c r="S434" s="31" t="inlineStr">
        <x:is>
          <x:t xml:space="preserve">Нет</x:t>
        </x:is>
      </x:c>
    </x:row>
    <x:row r="435">
      <x:c r="A435" s="31" t="inlineStr">
        <x:is>
          <x:t xml:space="preserve">ОП-000434</x:t>
        </x:is>
      </x:c>
      <x:c r="B435" s="31" t="inlineStr">
        <x:is>
          <x:t xml:space="preserve">ПЗ-00052</x:t>
        </x:is>
      </x:c>
      <x:c r="C435" s="31" t="inlineStr">
        <x:is>
          <x:t xml:space="preserve">ЗК-1031</x:t>
        </x:is>
      </x:c>
      <x:c r="D435" s="31" t="inlineStr">
        <x:is>
          <x:t xml:space="preserve">ПОЗ-0031-1</x:t>
        </x:is>
      </x:c>
      <x:c r="E435" s="31" t="inlineStr">
        <x:is>
          <x:t xml:space="preserve">ИЗД-030</x:t>
        </x:is>
      </x:c>
      <x:c r="F435" s="31" t="n">
        <x:v>90</x:v>
      </x:c>
      <x:c r="G435" s="31" t="inlineStr">
        <x:is>
          <x:t xml:space="preserve">ОТК</x:t>
        </x:is>
      </x:c>
      <x:c r="H435" s="31" t="inlineStr">
        <x:is>
          <x:t xml:space="preserve">ОТК</x:t>
        </x:is>
      </x:c>
      <x:c r="I435" s="31" t="inlineStr">
        <x:is>
          <x:t xml:space="preserve">ОБ-015</x:t>
        </x:is>
      </x:c>
      <x:c r="J435" s="31" t="inlineStr">
        <x:is>
          <x:t xml:space="preserve">СОТР-097</x:t>
        </x:is>
      </x:c>
      <x:c r="K435" s="31" t="n">
        <x:v>4</x:v>
      </x:c>
      <x:c r="L435" s="31" t="n">
        <x:v>3.6</x:v>
      </x:c>
      <x:c r="M435" s="31" t="n">
        <x:v>46116</x:v>
      </x:c>
      <x:c r="N435" s="31" t="n">
        <x:v>46117</x:v>
      </x:c>
      <x:c r="O435" s="31" t="n">
        <x:v>46116</x:v>
      </x:c>
      <x:c r="P435" s="31" t="n">
        <x:v>46117</x:v>
      </x:c>
      <x:c r="Q435" s="31" t="inlineStr">
        <x:is>
          <x:t xml:space="preserve">Завершено</x:t>
        </x:is>
      </x:c>
      <x:c r="R435" s="31" t="inlineStr">
        <x:is>
          <x:t xml:space="preserve">Нет</x:t>
        </x:is>
      </x:c>
      <x:c r="S435" s="31" t="inlineStr">
        <x:is>
          <x:t xml:space="preserve">Нет</x:t>
        </x:is>
      </x:c>
    </x:row>
    <x:row r="436">
      <x:c r="A436" s="31" t="inlineStr">
        <x:is>
          <x:t xml:space="preserve">ОП-000435</x:t>
        </x:is>
      </x:c>
      <x:c r="B436" s="31" t="inlineStr">
        <x:is>
          <x:t xml:space="preserve">ПЗ-00052</x:t>
        </x:is>
      </x:c>
      <x:c r="C436" s="31" t="inlineStr">
        <x:is>
          <x:t xml:space="preserve">ЗК-1031</x:t>
        </x:is>
      </x:c>
      <x:c r="D436" s="31" t="inlineStr">
        <x:is>
          <x:t xml:space="preserve">ПОЗ-0031-1</x:t>
        </x:is>
      </x:c>
      <x:c r="E436" s="31" t="inlineStr">
        <x:is>
          <x:t xml:space="preserve">ИЗД-030</x:t>
        </x:is>
      </x:c>
      <x:c r="F436" s="31" t="n">
        <x:v>100</x:v>
      </x:c>
      <x:c r="G436" s="31" t="inlineStr">
        <x:is>
          <x:t xml:space="preserve">Упаковка</x:t>
        </x:is>
      </x:c>
      <x:c r="H436" s="31" t="inlineStr">
        <x:is>
          <x:t xml:space="preserve">Логистика</x:t>
        </x:is>
      </x:c>
      <x:c r="I436" s="31" t="n"/>
      <x:c r="J436" s="31" t="inlineStr">
        <x:is>
          <x:t xml:space="preserve">СОТР-103</x:t>
        </x:is>
      </x:c>
      <x:c r="K436" s="31" t="n">
        <x:v>8.199999999999999</x:v>
      </x:c>
      <x:c r="L436" s="31" t="n">
        <x:v>10.4</x:v>
      </x:c>
      <x:c r="M436" s="31" t="n">
        <x:v>46117</x:v>
      </x:c>
      <x:c r="N436" s="31" t="n">
        <x:v>46118</x:v>
      </x:c>
      <x:c r="O436" s="31" t="n">
        <x:v>46117</x:v>
      </x:c>
      <x:c r="P436" s="31" t="n">
        <x:v>46118</x:v>
      </x:c>
      <x:c r="Q436" s="31" t="inlineStr">
        <x:is>
          <x:t xml:space="preserve">Завершено</x:t>
        </x:is>
      </x:c>
      <x:c r="R436" s="31" t="inlineStr">
        <x:is>
          <x:t xml:space="preserve">Нет</x:t>
        </x:is>
      </x:c>
      <x:c r="S436" s="31" t="inlineStr">
        <x:is>
          <x:t xml:space="preserve">Нет</x:t>
        </x:is>
      </x:c>
    </x:row>
    <x:row r="437">
      <x:c r="A437" s="31" t="inlineStr">
        <x:is>
          <x:t xml:space="preserve">ОП-000436</x:t>
        </x:is>
      </x:c>
      <x:c r="B437" s="31" t="inlineStr">
        <x:is>
          <x:t xml:space="preserve">ПЗ-00053</x:t>
        </x:is>
      </x:c>
      <x:c r="C437" s="31" t="inlineStr">
        <x:is>
          <x:t xml:space="preserve">ЗК-1033</x:t>
        </x:is>
      </x:c>
      <x:c r="D437" s="31" t="inlineStr">
        <x:is>
          <x:t xml:space="preserve">ПОЗ-0033-1</x:t>
        </x:is>
      </x:c>
      <x:c r="E437" s="31" t="inlineStr">
        <x:is>
          <x:t xml:space="preserve">ИЗД-026</x:t>
        </x:is>
      </x:c>
      <x:c r="F437" s="31" t="n">
        <x:v>10</x:v>
      </x:c>
      <x:c r="G437" s="31" t="inlineStr">
        <x:is>
          <x:t xml:space="preserve">КД</x:t>
        </x:is>
      </x:c>
      <x:c r="H437" s="31" t="inlineStr">
        <x:is>
          <x:t xml:space="preserve">Инженерный отдел</x:t>
        </x:is>
      </x:c>
      <x:c r="I437" s="31" t="n"/>
      <x:c r="J437" s="31" t="inlineStr">
        <x:is>
          <x:t xml:space="preserve">СОТР-021</x:t>
        </x:is>
      </x:c>
      <x:c r="K437" s="31" t="n">
        <x:v>28.4</x:v>
      </x:c>
      <x:c r="L437" s="31" t="n">
        <x:v>37.2</x:v>
      </x:c>
      <x:c r="M437" s="31" t="n">
        <x:v>46153</x:v>
      </x:c>
      <x:c r="N437" s="31" t="n">
        <x:v>46156</x:v>
      </x:c>
      <x:c r="O437" s="31" t="n">
        <x:v>46153</x:v>
      </x:c>
      <x:c r="P437" s="31" t="n">
        <x:v>46156</x:v>
      </x:c>
      <x:c r="Q437" s="31" t="inlineStr">
        <x:is>
          <x:t xml:space="preserve">Завершено</x:t>
        </x:is>
      </x:c>
      <x:c r="R437" s="31" t="inlineStr">
        <x:is>
          <x:t xml:space="preserve">Нет</x:t>
        </x:is>
      </x:c>
      <x:c r="S437" s="31" t="inlineStr">
        <x:is>
          <x:t xml:space="preserve">Да</x:t>
        </x:is>
      </x:c>
    </x:row>
    <x:row r="438">
      <x:c r="A438" s="31" t="inlineStr">
        <x:is>
          <x:t xml:space="preserve">ОП-000437</x:t>
        </x:is>
      </x:c>
      <x:c r="B438" s="31" t="inlineStr">
        <x:is>
          <x:t xml:space="preserve">ПЗ-00053</x:t>
        </x:is>
      </x:c>
      <x:c r="C438" s="31" t="inlineStr">
        <x:is>
          <x:t xml:space="preserve">ЗК-1033</x:t>
        </x:is>
      </x:c>
      <x:c r="D438" s="31" t="inlineStr">
        <x:is>
          <x:t xml:space="preserve">ПОЗ-0033-1</x:t>
        </x:is>
      </x:c>
      <x:c r="E438" s="31" t="inlineStr">
        <x:is>
          <x:t xml:space="preserve">ИЗД-026</x:t>
        </x:is>
      </x:c>
      <x:c r="F438" s="31" t="n">
        <x:v>20</x:v>
      </x:c>
      <x:c r="G438" s="31" t="inlineStr">
        <x:is>
          <x:t xml:space="preserve">Комплектация</x:t>
        </x:is>
      </x:c>
      <x:c r="H438" s="31" t="inlineStr">
        <x:is>
          <x:t xml:space="preserve">Склад</x:t>
        </x:is>
      </x:c>
      <x:c r="I438" s="31" t="inlineStr">
        <x:is>
          <x:t xml:space="preserve">ОБ-025</x:t>
        </x:is>
      </x:c>
      <x:c r="J438" s="31" t="inlineStr">
        <x:is>
          <x:t xml:space="preserve">СОТР-038</x:t>
        </x:is>
      </x:c>
      <x:c r="K438" s="31" t="n">
        <x:v>23.8</x:v>
      </x:c>
      <x:c r="L438" s="31" t="n">
        <x:v>30.2</x:v>
      </x:c>
      <x:c r="M438" s="31" t="n">
        <x:v>46156</x:v>
      </x:c>
      <x:c r="N438" s="31" t="n">
        <x:v>46158</x:v>
      </x:c>
      <x:c r="O438" s="31" t="n">
        <x:v>46156</x:v>
      </x:c>
      <x:c r="P438" s="31" t="n">
        <x:v>46158</x:v>
      </x:c>
      <x:c r="Q438" s="31" t="inlineStr">
        <x:is>
          <x:t xml:space="preserve">Завершено</x:t>
        </x:is>
      </x:c>
      <x:c r="R438" s="31" t="inlineStr">
        <x:is>
          <x:t xml:space="preserve">Нет</x:t>
        </x:is>
      </x:c>
      <x:c r="S438" s="31" t="inlineStr">
        <x:is>
          <x:t xml:space="preserve">Нет</x:t>
        </x:is>
      </x:c>
    </x:row>
    <x:row r="439">
      <x:c r="A439" s="31" t="inlineStr">
        <x:is>
          <x:t xml:space="preserve">ОП-000438</x:t>
        </x:is>
      </x:c>
      <x:c r="B439" s="31" t="inlineStr">
        <x:is>
          <x:t xml:space="preserve">ПЗ-00053</x:t>
        </x:is>
      </x:c>
      <x:c r="C439" s="31" t="inlineStr">
        <x:is>
          <x:t xml:space="preserve">ЗК-1033</x:t>
        </x:is>
      </x:c>
      <x:c r="D439" s="31" t="inlineStr">
        <x:is>
          <x:t xml:space="preserve">ПОЗ-0033-1</x:t>
        </x:is>
      </x:c>
      <x:c r="E439" s="31" t="inlineStr">
        <x:is>
          <x:t xml:space="preserve">ИЗД-026</x:t>
        </x:is>
      </x:c>
      <x:c r="F439" s="31" t="n">
        <x:v>30</x:v>
      </x:c>
      <x:c r="G439" s="31" t="inlineStr">
        <x:is>
          <x:t xml:space="preserve">Сборка шкафа</x:t>
        </x:is>
      </x:c>
      <x:c r="H439" s="31" t="inlineStr">
        <x:is>
          <x:t xml:space="preserve">Сборка</x:t>
        </x:is>
      </x:c>
      <x:c r="I439" s="31" t="inlineStr">
        <x:is>
          <x:t xml:space="preserve">ОБ-016</x:t>
        </x:is>
      </x:c>
      <x:c r="J439" s="31" t="inlineStr">
        <x:is>
          <x:t xml:space="preserve">СОТР-078</x:t>
        </x:is>
      </x:c>
      <x:c r="K439" s="31" t="n">
        <x:v>7.6</x:v>
      </x:c>
      <x:c r="L439" s="31" t="n">
        <x:v>7.9</x:v>
      </x:c>
      <x:c r="M439" s="31" t="n">
        <x:v>46158</x:v>
      </x:c>
      <x:c r="N439" s="31" t="n">
        <x:v>46159</x:v>
      </x:c>
      <x:c r="O439" s="31" t="n">
        <x:v>46158</x:v>
      </x:c>
      <x:c r="P439" s="31" t="n">
        <x:v>46161</x:v>
      </x:c>
      <x:c r="Q439" s="31" t="inlineStr">
        <x:is>
          <x:t xml:space="preserve">Завершено</x:t>
        </x:is>
      </x:c>
      <x:c r="R439" s="31" t="inlineStr">
        <x:is>
          <x:t xml:space="preserve">Материал</x:t>
        </x:is>
      </x:c>
      <x:c r="S439" s="31" t="inlineStr">
        <x:is>
          <x:t xml:space="preserve">Нет</x:t>
        </x:is>
      </x:c>
    </x:row>
    <x:row r="440">
      <x:c r="A440" s="31" t="inlineStr">
        <x:is>
          <x:t xml:space="preserve">ОП-000439</x:t>
        </x:is>
      </x:c>
      <x:c r="B440" s="31" t="inlineStr">
        <x:is>
          <x:t xml:space="preserve">ПЗ-00053</x:t>
        </x:is>
      </x:c>
      <x:c r="C440" s="31" t="inlineStr">
        <x:is>
          <x:t xml:space="preserve">ЗК-1033</x:t>
        </x:is>
      </x:c>
      <x:c r="D440" s="31" t="inlineStr">
        <x:is>
          <x:t xml:space="preserve">ПОЗ-0033-1</x:t>
        </x:is>
      </x:c>
      <x:c r="E440" s="31" t="inlineStr">
        <x:is>
          <x:t xml:space="preserve">ИЗД-026</x:t>
        </x:is>
      </x:c>
      <x:c r="F440" s="31" t="n">
        <x:v>40</x:v>
      </x:c>
      <x:c r="G440" s="31" t="inlineStr">
        <x:is>
          <x:t xml:space="preserve">Маркировка</x:t>
        </x:is>
      </x:c>
      <x:c r="H440" s="31" t="inlineStr">
        <x:is>
          <x:t xml:space="preserve">Сборка</x:t>
        </x:is>
      </x:c>
      <x:c r="I440" s="31" t="inlineStr">
        <x:is>
          <x:t xml:space="preserve">ОБ-002</x:t>
        </x:is>
      </x:c>
      <x:c r="J440" s="31" t="inlineStr">
        <x:is>
          <x:t xml:space="preserve">СОТР-090</x:t>
        </x:is>
      </x:c>
      <x:c r="K440" s="31" t="n">
        <x:v>37.2</x:v>
      </x:c>
      <x:c r="L440" s="31" t="n">
        <x:v>38</x:v>
      </x:c>
      <x:c r="M440" s="31" t="n">
        <x:v>46159</x:v>
      </x:c>
      <x:c r="N440" s="31" t="n">
        <x:v>46163</x:v>
      </x:c>
      <x:c r="O440" s="31" t="n">
        <x:v>46159</x:v>
      </x:c>
      <x:c r="P440" s="31" t="n">
        <x:v>46164</x:v>
      </x:c>
      <x:c r="Q440" s="31" t="inlineStr">
        <x:is>
          <x:t xml:space="preserve">Завершено</x:t>
        </x:is>
      </x:c>
      <x:c r="R440" s="31" t="inlineStr">
        <x:is>
          <x:t xml:space="preserve">Нет</x:t>
        </x:is>
      </x:c>
      <x:c r="S440" s="31" t="inlineStr">
        <x:is>
          <x:t xml:space="preserve">Нет</x:t>
        </x:is>
      </x:c>
    </x:row>
    <x:row r="441">
      <x:c r="A441" s="31" t="inlineStr">
        <x:is>
          <x:t xml:space="preserve">ОП-000440</x:t>
        </x:is>
      </x:c>
      <x:c r="B441" s="31" t="inlineStr">
        <x:is>
          <x:t xml:space="preserve">ПЗ-00053</x:t>
        </x:is>
      </x:c>
      <x:c r="C441" s="31" t="inlineStr">
        <x:is>
          <x:t xml:space="preserve">ЗК-1033</x:t>
        </x:is>
      </x:c>
      <x:c r="D441" s="31" t="inlineStr">
        <x:is>
          <x:t xml:space="preserve">ПОЗ-0033-1</x:t>
        </x:is>
      </x:c>
      <x:c r="E441" s="31" t="inlineStr">
        <x:is>
          <x:t xml:space="preserve">ИЗД-026</x:t>
        </x:is>
      </x:c>
      <x:c r="F441" s="31" t="n">
        <x:v>50</x:v>
      </x:c>
      <x:c r="G441" s="31" t="inlineStr">
        <x:is>
          <x:t xml:space="preserve">Электромонтаж</x:t>
        </x:is>
      </x:c>
      <x:c r="H441" s="31" t="inlineStr">
        <x:is>
          <x:t xml:space="preserve">Сборка</x:t>
        </x:is>
      </x:c>
      <x:c r="I441" s="31" t="inlineStr">
        <x:is>
          <x:t xml:space="preserve">ОБ-016</x:t>
        </x:is>
      </x:c>
      <x:c r="J441" s="31" t="inlineStr">
        <x:is>
          <x:t xml:space="preserve">СОТР-086</x:t>
        </x:is>
      </x:c>
      <x:c r="K441" s="31" t="n">
        <x:v>15.8</x:v>
      </x:c>
      <x:c r="L441" s="31" t="n">
        <x:v>13.5</x:v>
      </x:c>
      <x:c r="M441" s="31" t="n">
        <x:v>46163</x:v>
      </x:c>
      <x:c r="N441" s="31" t="n">
        <x:v>46165</x:v>
      </x:c>
      <x:c r="O441" s="31" t="n">
        <x:v>46163</x:v>
      </x:c>
      <x:c r="P441" s="31" t="n">
        <x:v>46164</x:v>
      </x:c>
      <x:c r="Q441" s="31" t="inlineStr">
        <x:is>
          <x:t xml:space="preserve">Завершено</x:t>
        </x:is>
      </x:c>
      <x:c r="R441" s="31" t="inlineStr">
        <x:is>
          <x:t xml:space="preserve">Нет</x:t>
        </x:is>
      </x:c>
      <x:c r="S441" s="31" t="inlineStr">
        <x:is>
          <x:t xml:space="preserve">Нет</x:t>
        </x:is>
      </x:c>
    </x:row>
    <x:row r="442">
      <x:c r="A442" s="31" t="inlineStr">
        <x:is>
          <x:t xml:space="preserve">ОП-000441</x:t>
        </x:is>
      </x:c>
      <x:c r="B442" s="31" t="inlineStr">
        <x:is>
          <x:t xml:space="preserve">ПЗ-00053</x:t>
        </x:is>
      </x:c>
      <x:c r="C442" s="31" t="inlineStr">
        <x:is>
          <x:t xml:space="preserve">ЗК-1033</x:t>
        </x:is>
      </x:c>
      <x:c r="D442" s="31" t="inlineStr">
        <x:is>
          <x:t xml:space="preserve">ПОЗ-0033-1</x:t>
        </x:is>
      </x:c>
      <x:c r="E442" s="31" t="inlineStr">
        <x:is>
          <x:t xml:space="preserve">ИЗД-026</x:t>
        </x:is>
      </x:c>
      <x:c r="F442" s="31" t="n">
        <x:v>60</x:v>
      </x:c>
      <x:c r="G442" s="31" t="inlineStr">
        <x:is>
          <x:t xml:space="preserve">Программирование ПЛК</x:t>
        </x:is>
      </x:c>
      <x:c r="H442" s="31" t="inlineStr">
        <x:is>
          <x:t xml:space="preserve">Инженерный отдел</x:t>
        </x:is>
      </x:c>
      <x:c r="I442" s="31" t="n"/>
      <x:c r="J442" s="31" t="inlineStr">
        <x:is>
          <x:t xml:space="preserve">СОТР-012</x:t>
        </x:is>
      </x:c>
      <x:c r="K442" s="31" t="n">
        <x:v>28</x:v>
      </x:c>
      <x:c r="L442" s="31" t="n">
        <x:v>36.4</x:v>
      </x:c>
      <x:c r="M442" s="31" t="n">
        <x:v>46165</x:v>
      </x:c>
      <x:c r="N442" s="31" t="n">
        <x:v>46168</x:v>
      </x:c>
      <x:c r="O442" s="31" t="n">
        <x:v>46165</x:v>
      </x:c>
      <x:c r="P442" s="31" t="n">
        <x:v>46169</x:v>
      </x:c>
      <x:c r="Q442" s="31" t="inlineStr">
        <x:is>
          <x:t xml:space="preserve">Завершено</x:t>
        </x:is>
      </x:c>
      <x:c r="R442" s="31" t="inlineStr">
        <x:is>
          <x:t xml:space="preserve">Материал</x:t>
        </x:is>
      </x:c>
      <x:c r="S442" s="31" t="inlineStr">
        <x:is>
          <x:t xml:space="preserve">Нет</x:t>
        </x:is>
      </x:c>
    </x:row>
    <x:row r="443">
      <x:c r="A443" s="31" t="inlineStr">
        <x:is>
          <x:t xml:space="preserve">ОП-000442</x:t>
        </x:is>
      </x:c>
      <x:c r="B443" s="31" t="inlineStr">
        <x:is>
          <x:t xml:space="preserve">ПЗ-00053</x:t>
        </x:is>
      </x:c>
      <x:c r="C443" s="31" t="inlineStr">
        <x:is>
          <x:t xml:space="preserve">ЗК-1033</x:t>
        </x:is>
      </x:c>
      <x:c r="D443" s="31" t="inlineStr">
        <x:is>
          <x:t xml:space="preserve">ПОЗ-0033-1</x:t>
        </x:is>
      </x:c>
      <x:c r="E443" s="31" t="inlineStr">
        <x:is>
          <x:t xml:space="preserve">ИЗД-026</x:t>
        </x:is>
      </x:c>
      <x:c r="F443" s="31" t="n">
        <x:v>70</x:v>
      </x:c>
      <x:c r="G443" s="31" t="inlineStr">
        <x:is>
          <x:t xml:space="preserve">Приемочные испытания</x:t>
        </x:is>
      </x:c>
      <x:c r="H443" s="31" t="inlineStr">
        <x:is>
          <x:t xml:space="preserve">ОТК</x:t>
        </x:is>
      </x:c>
      <x:c r="I443" s="31" t="inlineStr">
        <x:is>
          <x:t xml:space="preserve">ОБ-024</x:t>
        </x:is>
      </x:c>
      <x:c r="J443" s="31" t="inlineStr">
        <x:is>
          <x:t xml:space="preserve">СОТР-096</x:t>
        </x:is>
      </x:c>
      <x:c r="K443" s="31" t="n">
        <x:v>16.6</x:v>
      </x:c>
      <x:c r="L443" s="31" t="n">
        <x:v>22.3</x:v>
      </x:c>
      <x:c r="M443" s="31" t="n">
        <x:v>46168</x:v>
      </x:c>
      <x:c r="N443" s="31" t="n">
        <x:v>46170</x:v>
      </x:c>
      <x:c r="O443" s="31" t="n">
        <x:v>46168</x:v>
      </x:c>
      <x:c r="P443" s="31" t="n">
        <x:v>46172</x:v>
      </x:c>
      <x:c r="Q443" s="31" t="inlineStr">
        <x:is>
          <x:t xml:space="preserve">Завершено</x:t>
        </x:is>
      </x:c>
      <x:c r="R443" s="31" t="inlineStr">
        <x:is>
          <x:t xml:space="preserve">Нет</x:t>
        </x:is>
      </x:c>
      <x:c r="S443" s="31" t="inlineStr">
        <x:is>
          <x:t xml:space="preserve">Да</x:t>
        </x:is>
      </x:c>
    </x:row>
    <x:row r="444">
      <x:c r="A444" s="31" t="inlineStr">
        <x:is>
          <x:t xml:space="preserve">ОП-000443</x:t>
        </x:is>
      </x:c>
      <x:c r="B444" s="31" t="inlineStr">
        <x:is>
          <x:t xml:space="preserve">ПЗ-00053</x:t>
        </x:is>
      </x:c>
      <x:c r="C444" s="31" t="inlineStr">
        <x:is>
          <x:t xml:space="preserve">ЗК-1033</x:t>
        </x:is>
      </x:c>
      <x:c r="D444" s="31" t="inlineStr">
        <x:is>
          <x:t xml:space="preserve">ПОЗ-0033-1</x:t>
        </x:is>
      </x:c>
      <x:c r="E444" s="31" t="inlineStr">
        <x:is>
          <x:t xml:space="preserve">ИЗД-026</x:t>
        </x:is>
      </x:c>
      <x:c r="F444" s="31" t="n">
        <x:v>80</x:v>
      </x:c>
      <x:c r="G444" s="31" t="inlineStr">
        <x:is>
          <x:t xml:space="preserve">ОТК</x:t>
        </x:is>
      </x:c>
      <x:c r="H444" s="31" t="inlineStr">
        <x:is>
          <x:t xml:space="preserve">ОТК</x:t>
        </x:is>
      </x:c>
      <x:c r="I444" s="31" t="inlineStr">
        <x:is>
          <x:t xml:space="preserve">ОБ-007</x:t>
        </x:is>
      </x:c>
      <x:c r="J444" s="31" t="inlineStr">
        <x:is>
          <x:t xml:space="preserve">СОТР-100</x:t>
        </x:is>
      </x:c>
      <x:c r="K444" s="31" t="n">
        <x:v>9.4</x:v>
      </x:c>
      <x:c r="L444" s="31" t="n">
        <x:v>8.1</x:v>
      </x:c>
      <x:c r="M444" s="31" t="n">
        <x:v>46170</x:v>
      </x:c>
      <x:c r="N444" s="31" t="n">
        <x:v>46171</x:v>
      </x:c>
      <x:c r="O444" s="31" t="n">
        <x:v>46170</x:v>
      </x:c>
      <x:c r="P444" s="31" t="n">
        <x:v>46170</x:v>
      </x:c>
      <x:c r="Q444" s="31" t="inlineStr">
        <x:is>
          <x:t xml:space="preserve">Завершено</x:t>
        </x:is>
      </x:c>
      <x:c r="R444" s="31" t="inlineStr">
        <x:is>
          <x:t xml:space="preserve">Нет</x:t>
        </x:is>
      </x:c>
      <x:c r="S444" s="31" t="inlineStr">
        <x:is>
          <x:t xml:space="preserve">Да</x:t>
        </x:is>
      </x:c>
    </x:row>
    <x:row r="445">
      <x:c r="A445" s="31" t="inlineStr">
        <x:is>
          <x:t xml:space="preserve">ОП-000444</x:t>
        </x:is>
      </x:c>
      <x:c r="B445" s="31" t="inlineStr">
        <x:is>
          <x:t xml:space="preserve">ПЗ-00053</x:t>
        </x:is>
      </x:c>
      <x:c r="C445" s="31" t="inlineStr">
        <x:is>
          <x:t xml:space="preserve">ЗК-1033</x:t>
        </x:is>
      </x:c>
      <x:c r="D445" s="31" t="inlineStr">
        <x:is>
          <x:t xml:space="preserve">ПОЗ-0033-1</x:t>
        </x:is>
      </x:c>
      <x:c r="E445" s="31" t="inlineStr">
        <x:is>
          <x:t xml:space="preserve">ИЗД-026</x:t>
        </x:is>
      </x:c>
      <x:c r="F445" s="31" t="n">
        <x:v>90</x:v>
      </x:c>
      <x:c r="G445" s="31" t="inlineStr">
        <x:is>
          <x:t xml:space="preserve">Упаковка</x:t>
        </x:is>
      </x:c>
      <x:c r="H445" s="31" t="inlineStr">
        <x:is>
          <x:t xml:space="preserve">Логистика</x:t>
        </x:is>
      </x:c>
      <x:c r="I445" s="31" t="n"/>
      <x:c r="J445" s="31" t="inlineStr">
        <x:is>
          <x:t xml:space="preserve">СОТР-103</x:t>
        </x:is>
      </x:c>
      <x:c r="K445" s="31" t="n">
        <x:v>35.8</x:v>
      </x:c>
      <x:c r="L445" s="31" t="n">
        <x:v>32.5</x:v>
      </x:c>
      <x:c r="M445" s="31" t="n">
        <x:v>46171</x:v>
      </x:c>
      <x:c r="N445" s="31" t="n">
        <x:v>46174</x:v>
      </x:c>
      <x:c r="O445" s="31" t="n">
        <x:v>46171</x:v>
      </x:c>
      <x:c r="P445" s="31" t="n">
        <x:v>46174</x:v>
      </x:c>
      <x:c r="Q445" s="31" t="inlineStr">
        <x:is>
          <x:t xml:space="preserve">Завершено</x:t>
        </x:is>
      </x:c>
      <x:c r="R445" s="31" t="inlineStr">
        <x:is>
          <x:t xml:space="preserve">Нет</x:t>
        </x:is>
      </x:c>
      <x:c r="S445" s="31" t="inlineStr">
        <x:is>
          <x:t xml:space="preserve">Нет</x:t>
        </x:is>
      </x:c>
    </x:row>
    <x:row r="446">
      <x:c r="A446" s="31" t="inlineStr">
        <x:is>
          <x:t xml:space="preserve">ОП-000445</x:t>
        </x:is>
      </x:c>
      <x:c r="B446" s="31" t="inlineStr">
        <x:is>
          <x:t xml:space="preserve">ПЗ-00054</x:t>
        </x:is>
      </x:c>
      <x:c r="C446" s="31" t="inlineStr">
        <x:is>
          <x:t xml:space="preserve">ЗК-1035</x:t>
        </x:is>
      </x:c>
      <x:c r="D446" s="31" t="inlineStr">
        <x:is>
          <x:t xml:space="preserve">ПОЗ-0035-1</x:t>
        </x:is>
      </x:c>
      <x:c r="E446" s="31" t="inlineStr">
        <x:is>
          <x:t xml:space="preserve">ИЗД-027</x:t>
        </x:is>
      </x:c>
      <x:c r="F446" s="31" t="n">
        <x:v>10</x:v>
      </x:c>
      <x:c r="G446" s="31" t="inlineStr">
        <x:is>
          <x:t xml:space="preserve">КД</x:t>
        </x:is>
      </x:c>
      <x:c r="H446" s="31" t="inlineStr">
        <x:is>
          <x:t xml:space="preserve">Инженерный отдел</x:t>
        </x:is>
      </x:c>
      <x:c r="I446" s="31" t="n"/>
      <x:c r="J446" s="31" t="inlineStr">
        <x:is>
          <x:t xml:space="preserve">СОТР-013</x:t>
        </x:is>
      </x:c>
      <x:c r="K446" s="31" t="n">
        <x:v>57.6</x:v>
      </x:c>
      <x:c r="L446" s="31" t="n">
        <x:v>47.8</x:v>
      </x:c>
      <x:c r="M446" s="31" t="n">
        <x:v>46088</x:v>
      </x:c>
      <x:c r="N446" s="31" t="n">
        <x:v>46093</x:v>
      </x:c>
      <x:c r="O446" s="31" t="n">
        <x:v>46088</x:v>
      </x:c>
      <x:c r="P446" s="31" t="n">
        <x:v>46093</x:v>
      </x:c>
      <x:c r="Q446" s="31" t="inlineStr">
        <x:is>
          <x:t xml:space="preserve">Завершено</x:t>
        </x:is>
      </x:c>
      <x:c r="R446" s="31" t="inlineStr">
        <x:is>
          <x:t xml:space="preserve">Нет</x:t>
        </x:is>
      </x:c>
      <x:c r="S446" s="31" t="inlineStr">
        <x:is>
          <x:t xml:space="preserve">Нет</x:t>
        </x:is>
      </x:c>
    </x:row>
    <x:row r="447">
      <x:c r="A447" s="31" t="inlineStr">
        <x:is>
          <x:t xml:space="preserve">ОП-000446</x:t>
        </x:is>
      </x:c>
      <x:c r="B447" s="31" t="inlineStr">
        <x:is>
          <x:t xml:space="preserve">ПЗ-00054</x:t>
        </x:is>
      </x:c>
      <x:c r="C447" s="31" t="inlineStr">
        <x:is>
          <x:t xml:space="preserve">ЗК-1035</x:t>
        </x:is>
      </x:c>
      <x:c r="D447" s="31" t="inlineStr">
        <x:is>
          <x:t xml:space="preserve">ПОЗ-0035-1</x:t>
        </x:is>
      </x:c>
      <x:c r="E447" s="31" t="inlineStr">
        <x:is>
          <x:t xml:space="preserve">ИЗД-027</x:t>
        </x:is>
      </x:c>
      <x:c r="F447" s="31" t="n">
        <x:v>20</x:v>
      </x:c>
      <x:c r="G447" s="31" t="inlineStr">
        <x:is>
          <x:t xml:space="preserve">Резерв материалов</x:t>
        </x:is>
      </x:c>
      <x:c r="H447" s="31" t="inlineStr">
        <x:is>
          <x:t xml:space="preserve">Склад</x:t>
        </x:is>
      </x:c>
      <x:c r="I447" s="31" t="inlineStr">
        <x:is>
          <x:t xml:space="preserve">ОБ-008</x:t>
        </x:is>
      </x:c>
      <x:c r="J447" s="31" t="inlineStr">
        <x:is>
          <x:t xml:space="preserve">СОТР-039</x:t>
        </x:is>
      </x:c>
      <x:c r="K447" s="31" t="n">
        <x:v>8.699999999999999</x:v>
      </x:c>
      <x:c r="L447" s="31" t="n">
        <x:v>8.1</x:v>
      </x:c>
      <x:c r="M447" s="31" t="n">
        <x:v>46093</x:v>
      </x:c>
      <x:c r="N447" s="31" t="n">
        <x:v>46094</x:v>
      </x:c>
      <x:c r="O447" s="31" t="n">
        <x:v>46093</x:v>
      </x:c>
      <x:c r="P447" s="31" t="n">
        <x:v>46095</x:v>
      </x:c>
      <x:c r="Q447" s="31" t="inlineStr">
        <x:is>
          <x:t xml:space="preserve">Завершено</x:t>
        </x:is>
      </x:c>
      <x:c r="R447" s="31" t="inlineStr">
        <x:is>
          <x:t xml:space="preserve">Нет</x:t>
        </x:is>
      </x:c>
      <x:c r="S447" s="31" t="inlineStr">
        <x:is>
          <x:t xml:space="preserve">Нет</x:t>
        </x:is>
      </x:c>
    </x:row>
    <x:row r="448">
      <x:c r="A448" s="31" t="inlineStr">
        <x:is>
          <x:t xml:space="preserve">ОП-000447</x:t>
        </x:is>
      </x:c>
      <x:c r="B448" s="31" t="inlineStr">
        <x:is>
          <x:t xml:space="preserve">ПЗ-00054</x:t>
        </x:is>
      </x:c>
      <x:c r="C448" s="31" t="inlineStr">
        <x:is>
          <x:t xml:space="preserve">ЗК-1035</x:t>
        </x:is>
      </x:c>
      <x:c r="D448" s="31" t="inlineStr">
        <x:is>
          <x:t xml:space="preserve">ПОЗ-0035-1</x:t>
        </x:is>
      </x:c>
      <x:c r="E448" s="31" t="inlineStr">
        <x:is>
          <x:t xml:space="preserve">ИЗД-027</x:t>
        </x:is>
      </x:c>
      <x:c r="F448" s="31" t="n">
        <x:v>30</x:v>
      </x:c>
      <x:c r="G448" s="31" t="inlineStr">
        <x:is>
          <x:t xml:space="preserve">Сварка рамы</x:t>
        </x:is>
      </x:c>
      <x:c r="H448" s="31" t="inlineStr">
        <x:is>
          <x:t xml:space="preserve">Сварка</x:t>
        </x:is>
      </x:c>
      <x:c r="I448" s="31" t="inlineStr">
        <x:is>
          <x:t xml:space="preserve">ОБ-010</x:t>
        </x:is>
      </x:c>
      <x:c r="J448" s="31" t="inlineStr">
        <x:is>
          <x:t xml:space="preserve">СОТР-062</x:t>
        </x:is>
      </x:c>
      <x:c r="K448" s="31" t="n">
        <x:v>39.6</x:v>
      </x:c>
      <x:c r="L448" s="31" t="n">
        <x:v>41.7</x:v>
      </x:c>
      <x:c r="M448" s="31" t="n">
        <x:v>46094</x:v>
      </x:c>
      <x:c r="N448" s="31" t="n">
        <x:v>46098</x:v>
      </x:c>
      <x:c r="O448" s="31" t="n">
        <x:v>46094</x:v>
      </x:c>
      <x:c r="P448" s="31" t="n">
        <x:v>46097</x:v>
      </x:c>
      <x:c r="Q448" s="31" t="inlineStr">
        <x:is>
          <x:t xml:space="preserve">Завершено</x:t>
        </x:is>
      </x:c>
      <x:c r="R448" s="31" t="inlineStr">
        <x:is>
          <x:t xml:space="preserve">Нет</x:t>
        </x:is>
      </x:c>
      <x:c r="S448" s="31" t="inlineStr">
        <x:is>
          <x:t xml:space="preserve">Нет</x:t>
        </x:is>
      </x:c>
    </x:row>
    <x:row r="449">
      <x:c r="A449" s="31" t="inlineStr">
        <x:is>
          <x:t xml:space="preserve">ОП-000448</x:t>
        </x:is>
      </x:c>
      <x:c r="B449" s="31" t="inlineStr">
        <x:is>
          <x:t xml:space="preserve">ПЗ-00054</x:t>
        </x:is>
      </x:c>
      <x:c r="C449" s="31" t="inlineStr">
        <x:is>
          <x:t xml:space="preserve">ЗК-1035</x:t>
        </x:is>
      </x:c>
      <x:c r="D449" s="31" t="inlineStr">
        <x:is>
          <x:t xml:space="preserve">ПОЗ-0035-1</x:t>
        </x:is>
      </x:c>
      <x:c r="E449" s="31" t="inlineStr">
        <x:is>
          <x:t xml:space="preserve">ИЗД-027</x:t>
        </x:is>
      </x:c>
      <x:c r="F449" s="31" t="n">
        <x:v>40</x:v>
      </x:c>
      <x:c r="G449" s="31" t="inlineStr">
        <x:is>
          <x:t xml:space="preserve">Сборка</x:t>
        </x:is>
      </x:c>
      <x:c r="H449" s="31" t="inlineStr">
        <x:is>
          <x:t xml:space="preserve">Сборка</x:t>
        </x:is>
      </x:c>
      <x:c r="I449" s="31" t="inlineStr">
        <x:is>
          <x:t xml:space="preserve">ОБ-027</x:t>
        </x:is>
      </x:c>
      <x:c r="J449" s="31" t="inlineStr">
        <x:is>
          <x:t xml:space="preserve">СОТР-078</x:t>
        </x:is>
      </x:c>
      <x:c r="K449" s="31" t="n">
        <x:v>26.7</x:v>
      </x:c>
      <x:c r="L449" s="31" t="n">
        <x:v>35.8</x:v>
      </x:c>
      <x:c r="M449" s="31" t="n">
        <x:v>46098</x:v>
      </x:c>
      <x:c r="N449" s="31" t="n">
        <x:v>46101</x:v>
      </x:c>
      <x:c r="O449" s="31" t="n">
        <x:v>46098</x:v>
      </x:c>
      <x:c r="P449" s="31" t="n">
        <x:v>46102</x:v>
      </x:c>
      <x:c r="Q449" s="31" t="inlineStr">
        <x:is>
          <x:t xml:space="preserve">Завершено</x:t>
        </x:is>
      </x:c>
      <x:c r="R449" s="31" t="inlineStr">
        <x:is>
          <x:t xml:space="preserve">Ожидание ОТК</x:t>
        </x:is>
      </x:c>
      <x:c r="S449" s="31" t="inlineStr">
        <x:is>
          <x:t xml:space="preserve">Нет</x:t>
        </x:is>
      </x:c>
    </x:row>
    <x:row r="450">
      <x:c r="A450" s="31" t="inlineStr">
        <x:is>
          <x:t xml:space="preserve">ОП-000449</x:t>
        </x:is>
      </x:c>
      <x:c r="B450" s="31" t="inlineStr">
        <x:is>
          <x:t xml:space="preserve">ПЗ-00054</x:t>
        </x:is>
      </x:c>
      <x:c r="C450" s="31" t="inlineStr">
        <x:is>
          <x:t xml:space="preserve">ЗК-1035</x:t>
        </x:is>
      </x:c>
      <x:c r="D450" s="31" t="inlineStr">
        <x:is>
          <x:t xml:space="preserve">ПОЗ-0035-1</x:t>
        </x:is>
      </x:c>
      <x:c r="E450" s="31" t="inlineStr">
        <x:is>
          <x:t xml:space="preserve">ИЗД-027</x:t>
        </x:is>
      </x:c>
      <x:c r="F450" s="31" t="n">
        <x:v>50</x:v>
      </x:c>
      <x:c r="G450" s="31" t="inlineStr">
        <x:is>
          <x:t xml:space="preserve">Обвязка труб</x:t>
        </x:is>
      </x:c>
      <x:c r="H450" s="31" t="inlineStr">
        <x:is>
          <x:t xml:space="preserve">Сборка</x:t>
        </x:is>
      </x:c>
      <x:c r="I450" s="31" t="inlineStr">
        <x:is>
          <x:t xml:space="preserve">ОБ-012</x:t>
        </x:is>
      </x:c>
      <x:c r="J450" s="31" t="inlineStr">
        <x:is>
          <x:t xml:space="preserve">СОТР-077</x:t>
        </x:is>
      </x:c>
      <x:c r="K450" s="31" t="n">
        <x:v>54</x:v>
      </x:c>
      <x:c r="L450" s="31" t="n">
        <x:v>63.2</x:v>
      </x:c>
      <x:c r="M450" s="31" t="n">
        <x:v>46101</x:v>
      </x:c>
      <x:c r="N450" s="31" t="n">
        <x:v>46106</x:v>
      </x:c>
      <x:c r="O450" s="31" t="n">
        <x:v>46101</x:v>
      </x:c>
      <x:c r="P450" s="31" t="n">
        <x:v>46105</x:v>
      </x:c>
      <x:c r="Q450" s="31" t="inlineStr">
        <x:is>
          <x:t xml:space="preserve">Завершено</x:t>
        </x:is>
      </x:c>
      <x:c r="R450" s="31" t="inlineStr">
        <x:is>
          <x:t xml:space="preserve">Нет</x:t>
        </x:is>
      </x:c>
      <x:c r="S450" s="31" t="inlineStr">
        <x:is>
          <x:t xml:space="preserve">Нет</x:t>
        </x:is>
      </x:c>
    </x:row>
    <x:row r="451">
      <x:c r="A451" s="31" t="inlineStr">
        <x:is>
          <x:t xml:space="preserve">ОП-000450</x:t>
        </x:is>
      </x:c>
      <x:c r="B451" s="31" t="inlineStr">
        <x:is>
          <x:t xml:space="preserve">ПЗ-00054</x:t>
        </x:is>
      </x:c>
      <x:c r="C451" s="31" t="inlineStr">
        <x:is>
          <x:t xml:space="preserve">ЗК-1035</x:t>
        </x:is>
      </x:c>
      <x:c r="D451" s="31" t="inlineStr">
        <x:is>
          <x:t xml:space="preserve">ПОЗ-0035-1</x:t>
        </x:is>
      </x:c>
      <x:c r="E451" s="31" t="inlineStr">
        <x:is>
          <x:t xml:space="preserve">ИЗД-027</x:t>
        </x:is>
      </x:c>
      <x:c r="F451" s="31" t="n">
        <x:v>60</x:v>
      </x:c>
      <x:c r="G451" s="31" t="inlineStr">
        <x:is>
          <x:t xml:space="preserve">Электромонтаж</x:t>
        </x:is>
      </x:c>
      <x:c r="H451" s="31" t="inlineStr">
        <x:is>
          <x:t xml:space="preserve">Сборка</x:t>
        </x:is>
      </x:c>
      <x:c r="I451" s="31" t="inlineStr">
        <x:is>
          <x:t xml:space="preserve">ОБ-020</x:t>
        </x:is>
      </x:c>
      <x:c r="J451" s="31" t="inlineStr">
        <x:is>
          <x:t xml:space="preserve">СОТР-084</x:t>
        </x:is>
      </x:c>
      <x:c r="K451" s="31" t="n">
        <x:v>48</x:v>
      </x:c>
      <x:c r="L451" s="31" t="n">
        <x:v>48</x:v>
      </x:c>
      <x:c r="M451" s="31" t="n">
        <x:v>46106</x:v>
      </x:c>
      <x:c r="N451" s="31" t="n">
        <x:v>46110</x:v>
      </x:c>
      <x:c r="O451" s="31" t="n">
        <x:v>46106</x:v>
      </x:c>
      <x:c r="P451" s="31" t="n">
        <x:v>46111</x:v>
      </x:c>
      <x:c r="Q451" s="31" t="inlineStr">
        <x:is>
          <x:t xml:space="preserve">Завершено</x:t>
        </x:is>
      </x:c>
      <x:c r="R451" s="31" t="inlineStr">
        <x:is>
          <x:t xml:space="preserve">Нет</x:t>
        </x:is>
      </x:c>
      <x:c r="S451" s="31" t="inlineStr">
        <x:is>
          <x:t xml:space="preserve">Да</x:t>
        </x:is>
      </x:c>
    </x:row>
    <x:row r="452">
      <x:c r="A452" s="31" t="inlineStr">
        <x:is>
          <x:t xml:space="preserve">ОП-000451</x:t>
        </x:is>
      </x:c>
      <x:c r="B452" s="31" t="inlineStr">
        <x:is>
          <x:t xml:space="preserve">ПЗ-00054</x:t>
        </x:is>
      </x:c>
      <x:c r="C452" s="31" t="inlineStr">
        <x:is>
          <x:t xml:space="preserve">ЗК-1035</x:t>
        </x:is>
      </x:c>
      <x:c r="D452" s="31" t="inlineStr">
        <x:is>
          <x:t xml:space="preserve">ПОЗ-0035-1</x:t>
        </x:is>
      </x:c>
      <x:c r="E452" s="31" t="inlineStr">
        <x:is>
          <x:t xml:space="preserve">ИЗД-027</x:t>
        </x:is>
      </x:c>
      <x:c r="F452" s="31" t="n">
        <x:v>70</x:v>
      </x:c>
      <x:c r="G452" s="31" t="inlineStr">
        <x:is>
          <x:t xml:space="preserve">Гидроиспытания</x:t>
        </x:is>
      </x:c>
      <x:c r="H452" s="31" t="inlineStr">
        <x:is>
          <x:t xml:space="preserve">ОТК</x:t>
        </x:is>
      </x:c>
      <x:c r="I452" s="31" t="inlineStr">
        <x:is>
          <x:t xml:space="preserve">ОБ-033</x:t>
        </x:is>
      </x:c>
      <x:c r="J452" s="31" t="inlineStr">
        <x:is>
          <x:t xml:space="preserve">СОТР-063</x:t>
        </x:is>
      </x:c>
      <x:c r="K452" s="31" t="n">
        <x:v>36.6</x:v>
      </x:c>
      <x:c r="L452" s="31" t="n">
        <x:v>42.9</x:v>
      </x:c>
      <x:c r="M452" s="31" t="n">
        <x:v>46110</x:v>
      </x:c>
      <x:c r="N452" s="31" t="n">
        <x:v>46114</x:v>
      </x:c>
      <x:c r="O452" s="31" t="n">
        <x:v>46110</x:v>
      </x:c>
      <x:c r="P452" s="31" t="n">
        <x:v>46113</x:v>
      </x:c>
      <x:c r="Q452" s="31" t="inlineStr">
        <x:is>
          <x:t xml:space="preserve">Завершено</x:t>
        </x:is>
      </x:c>
      <x:c r="R452" s="31" t="inlineStr">
        <x:is>
          <x:t xml:space="preserve">Нет</x:t>
        </x:is>
      </x:c>
      <x:c r="S452" s="31" t="inlineStr">
        <x:is>
          <x:t xml:space="preserve">Нет</x:t>
        </x:is>
      </x:c>
    </x:row>
    <x:row r="453">
      <x:c r="A453" s="31" t="inlineStr">
        <x:is>
          <x:t xml:space="preserve">ОП-000452</x:t>
        </x:is>
      </x:c>
      <x:c r="B453" s="31" t="inlineStr">
        <x:is>
          <x:t xml:space="preserve">ПЗ-00054</x:t>
        </x:is>
      </x:c>
      <x:c r="C453" s="31" t="inlineStr">
        <x:is>
          <x:t xml:space="preserve">ЗК-1035</x:t>
        </x:is>
      </x:c>
      <x:c r="D453" s="31" t="inlineStr">
        <x:is>
          <x:t xml:space="preserve">ПОЗ-0035-1</x:t>
        </x:is>
      </x:c>
      <x:c r="E453" s="31" t="inlineStr">
        <x:is>
          <x:t xml:space="preserve">ИЗД-027</x:t>
        </x:is>
      </x:c>
      <x:c r="F453" s="31" t="n">
        <x:v>80</x:v>
      </x:c>
      <x:c r="G453" s="31" t="inlineStr">
        <x:is>
          <x:t xml:space="preserve">ОТК</x:t>
        </x:is>
      </x:c>
      <x:c r="H453" s="31" t="inlineStr">
        <x:is>
          <x:t xml:space="preserve">ОТК</x:t>
        </x:is>
      </x:c>
      <x:c r="I453" s="31" t="inlineStr">
        <x:is>
          <x:t xml:space="preserve">ОБ-015</x:t>
        </x:is>
      </x:c>
      <x:c r="J453" s="31" t="inlineStr">
        <x:is>
          <x:t xml:space="preserve">СОТР-097</x:t>
        </x:is>
      </x:c>
      <x:c r="K453" s="31" t="n">
        <x:v>42.3</x:v>
      </x:c>
      <x:c r="L453" s="31" t="n">
        <x:v>49</x:v>
      </x:c>
      <x:c r="M453" s="31" t="n">
        <x:v>46114</x:v>
      </x:c>
      <x:c r="N453" s="31" t="n">
        <x:v>46118</x:v>
      </x:c>
      <x:c r="O453" s="31" t="n">
        <x:v>46114</x:v>
      </x:c>
      <x:c r="P453" s="31" t="n">
        <x:v>46119</x:v>
      </x:c>
      <x:c r="Q453" s="31" t="inlineStr">
        <x:is>
          <x:t xml:space="preserve">Завершено</x:t>
        </x:is>
      </x:c>
      <x:c r="R453" s="31" t="inlineStr">
        <x:is>
          <x:t xml:space="preserve">Нет</x:t>
        </x:is>
      </x:c>
      <x:c r="S453" s="31" t="inlineStr">
        <x:is>
          <x:t xml:space="preserve">Нет</x:t>
        </x:is>
      </x:c>
    </x:row>
    <x:row r="454">
      <x:c r="A454" s="31" t="inlineStr">
        <x:is>
          <x:t xml:space="preserve">ОП-000453</x:t>
        </x:is>
      </x:c>
      <x:c r="B454" s="31" t="inlineStr">
        <x:is>
          <x:t xml:space="preserve">ПЗ-00054</x:t>
        </x:is>
      </x:c>
      <x:c r="C454" s="31" t="inlineStr">
        <x:is>
          <x:t xml:space="preserve">ЗК-1035</x:t>
        </x:is>
      </x:c>
      <x:c r="D454" s="31" t="inlineStr">
        <x:is>
          <x:t xml:space="preserve">ПОЗ-0035-1</x:t>
        </x:is>
      </x:c>
      <x:c r="E454" s="31" t="inlineStr">
        <x:is>
          <x:t xml:space="preserve">ИЗД-027</x:t>
        </x:is>
      </x:c>
      <x:c r="F454" s="31" t="n">
        <x:v>90</x:v>
      </x:c>
      <x:c r="G454" s="31" t="inlineStr">
        <x:is>
          <x:t xml:space="preserve">Упаковка</x:t>
        </x:is>
      </x:c>
      <x:c r="H454" s="31" t="inlineStr">
        <x:is>
          <x:t xml:space="preserve">Логистика</x:t>
        </x:is>
      </x:c>
      <x:c r="I454" s="31" t="n"/>
      <x:c r="J454" s="31" t="inlineStr">
        <x:is>
          <x:t xml:space="preserve">СОТР-101</x:t>
        </x:is>
      </x:c>
      <x:c r="K454" s="31" t="n">
        <x:v>24.3</x:v>
      </x:c>
      <x:c r="L454" s="31" t="n">
        <x:v>21.3</x:v>
      </x:c>
      <x:c r="M454" s="31" t="n">
        <x:v>46118</x:v>
      </x:c>
      <x:c r="N454" s="31" t="n">
        <x:v>46121</x:v>
      </x:c>
      <x:c r="O454" s="31" t="n">
        <x:v>46118</x:v>
      </x:c>
      <x:c r="P454" s="31" t="n">
        <x:v>46120</x:v>
      </x:c>
      <x:c r="Q454" s="31" t="inlineStr">
        <x:is>
          <x:t xml:space="preserve">Завершено</x:t>
        </x:is>
      </x:c>
      <x:c r="R454" s="31" t="inlineStr">
        <x:is>
          <x:t xml:space="preserve">Нет</x:t>
        </x:is>
      </x:c>
      <x:c r="S454" s="31" t="inlineStr">
        <x:is>
          <x:t xml:space="preserve">Да</x:t>
        </x:is>
      </x:c>
    </x:row>
    <x:row r="455">
      <x:c r="A455" s="31" t="inlineStr">
        <x:is>
          <x:t xml:space="preserve">ОП-000454</x:t>
        </x:is>
      </x:c>
      <x:c r="B455" s="31" t="inlineStr">
        <x:is>
          <x:t xml:space="preserve">ПЗ-00055</x:t>
        </x:is>
      </x:c>
      <x:c r="C455" s="31" t="inlineStr">
        <x:is>
          <x:t xml:space="preserve">ЗК-1035</x:t>
        </x:is>
      </x:c>
      <x:c r="D455" s="31" t="inlineStr">
        <x:is>
          <x:t xml:space="preserve">ПОЗ-0035-2</x:t>
        </x:is>
      </x:c>
      <x:c r="E455" s="31" t="inlineStr">
        <x:is>
          <x:t xml:space="preserve">ИЗД-028</x:t>
        </x:is>
      </x:c>
      <x:c r="F455" s="31" t="n">
        <x:v>10</x:v>
      </x:c>
      <x:c r="G455" s="31" t="inlineStr">
        <x:is>
          <x:t xml:space="preserve">КД</x:t>
        </x:is>
      </x:c>
      <x:c r="H455" s="31" t="inlineStr">
        <x:is>
          <x:t xml:space="preserve">Инженерный отдел</x:t>
        </x:is>
      </x:c>
      <x:c r="I455" s="31" t="n"/>
      <x:c r="J455" s="31" t="inlineStr">
        <x:is>
          <x:t xml:space="preserve">СОТР-017</x:t>
        </x:is>
      </x:c>
      <x:c r="K455" s="31" t="n">
        <x:v>14</x:v>
      </x:c>
      <x:c r="L455" s="31" t="n">
        <x:v>16.3</x:v>
      </x:c>
      <x:c r="M455" s="31" t="n">
        <x:v>46091</x:v>
      </x:c>
      <x:c r="N455" s="31" t="n">
        <x:v>46093</x:v>
      </x:c>
      <x:c r="O455" s="31" t="n">
        <x:v>46091</x:v>
      </x:c>
      <x:c r="P455" s="31" t="n">
        <x:v>46093</x:v>
      </x:c>
      <x:c r="Q455" s="31" t="inlineStr">
        <x:is>
          <x:t xml:space="preserve">Завершено</x:t>
        </x:is>
      </x:c>
      <x:c r="R455" s="31" t="inlineStr">
        <x:is>
          <x:t xml:space="preserve">Нет</x:t>
        </x:is>
      </x:c>
      <x:c r="S455" s="31" t="inlineStr">
        <x:is>
          <x:t xml:space="preserve">Нет</x:t>
        </x:is>
      </x:c>
    </x:row>
    <x:row r="456">
      <x:c r="A456" s="31" t="inlineStr">
        <x:is>
          <x:t xml:space="preserve">ОП-000455</x:t>
        </x:is>
      </x:c>
      <x:c r="B456" s="31" t="inlineStr">
        <x:is>
          <x:t xml:space="preserve">ПЗ-00055</x:t>
        </x:is>
      </x:c>
      <x:c r="C456" s="31" t="inlineStr">
        <x:is>
          <x:t xml:space="preserve">ЗК-1035</x:t>
        </x:is>
      </x:c>
      <x:c r="D456" s="31" t="inlineStr">
        <x:is>
          <x:t xml:space="preserve">ПОЗ-0035-2</x:t>
        </x:is>
      </x:c>
      <x:c r="E456" s="31" t="inlineStr">
        <x:is>
          <x:t xml:space="preserve">ИЗД-028</x:t>
        </x:is>
      </x:c>
      <x:c r="F456" s="31" t="n">
        <x:v>20</x:v>
      </x:c>
      <x:c r="G456" s="31" t="inlineStr">
        <x:is>
          <x:t xml:space="preserve">Резерв материалов</x:t>
        </x:is>
      </x:c>
      <x:c r="H456" s="31" t="inlineStr">
        <x:is>
          <x:t xml:space="preserve">Склад</x:t>
        </x:is>
      </x:c>
      <x:c r="I456" s="31" t="inlineStr">
        <x:is>
          <x:t xml:space="preserve">ОБ-009</x:t>
        </x:is>
      </x:c>
      <x:c r="J456" s="31" t="inlineStr">
        <x:is>
          <x:t xml:space="preserve">СОТР-034</x:t>
        </x:is>
      </x:c>
      <x:c r="K456" s="31" t="n">
        <x:v>13.8</x:v>
      </x:c>
      <x:c r="L456" s="31" t="n">
        <x:v>12.3</x:v>
      </x:c>
      <x:c r="M456" s="31" t="n">
        <x:v>46093</x:v>
      </x:c>
      <x:c r="N456" s="31" t="n">
        <x:v>46095</x:v>
      </x:c>
      <x:c r="O456" s="31" t="n">
        <x:v>46093</x:v>
      </x:c>
      <x:c r="P456" s="31" t="n">
        <x:v>46097</x:v>
      </x:c>
      <x:c r="Q456" s="31" t="inlineStr">
        <x:is>
          <x:t xml:space="preserve">Завершено</x:t>
        </x:is>
      </x:c>
      <x:c r="R456" s="31" t="inlineStr">
        <x:is>
          <x:t xml:space="preserve">Нет</x:t>
        </x:is>
      </x:c>
      <x:c r="S456" s="31" t="inlineStr">
        <x:is>
          <x:t xml:space="preserve">Нет</x:t>
        </x:is>
      </x:c>
    </x:row>
    <x:row r="457">
      <x:c r="A457" s="31" t="inlineStr">
        <x:is>
          <x:t xml:space="preserve">ОП-000456</x:t>
        </x:is>
      </x:c>
      <x:c r="B457" s="31" t="inlineStr">
        <x:is>
          <x:t xml:space="preserve">ПЗ-00055</x:t>
        </x:is>
      </x:c>
      <x:c r="C457" s="31" t="inlineStr">
        <x:is>
          <x:t xml:space="preserve">ЗК-1035</x:t>
        </x:is>
      </x:c>
      <x:c r="D457" s="31" t="inlineStr">
        <x:is>
          <x:t xml:space="preserve">ПОЗ-0035-2</x:t>
        </x:is>
      </x:c>
      <x:c r="E457" s="31" t="inlineStr">
        <x:is>
          <x:t xml:space="preserve">ИЗД-028</x:t>
        </x:is>
      </x:c>
      <x:c r="F457" s="31" t="n">
        <x:v>30</x:v>
      </x:c>
      <x:c r="G457" s="31" t="inlineStr">
        <x:is>
          <x:t xml:space="preserve">Сварка рамы</x:t>
        </x:is>
      </x:c>
      <x:c r="H457" s="31" t="inlineStr">
        <x:is>
          <x:t xml:space="preserve">Сварка</x:t>
        </x:is>
      </x:c>
      <x:c r="I457" s="31" t="inlineStr">
        <x:is>
          <x:t xml:space="preserve">ОБ-019</x:t>
        </x:is>
      </x:c>
      <x:c r="J457" s="31" t="inlineStr">
        <x:is>
          <x:t xml:space="preserve">СОТР-065</x:t>
        </x:is>
      </x:c>
      <x:c r="K457" s="31" t="n">
        <x:v>16.7</x:v>
      </x:c>
      <x:c r="L457" s="31" t="n">
        <x:v>19.7</x:v>
      </x:c>
      <x:c r="M457" s="31" t="n">
        <x:v>46095</x:v>
      </x:c>
      <x:c r="N457" s="31" t="n">
        <x:v>46097</x:v>
      </x:c>
      <x:c r="O457" s="31" t="n">
        <x:v>46095</x:v>
      </x:c>
      <x:c r="P457" s="31" t="n">
        <x:v>46099</x:v>
      </x:c>
      <x:c r="Q457" s="31" t="inlineStr">
        <x:is>
          <x:t xml:space="preserve">Завершено</x:t>
        </x:is>
      </x:c>
      <x:c r="R457" s="31" t="inlineStr">
        <x:is>
          <x:t xml:space="preserve">Нет</x:t>
        </x:is>
      </x:c>
      <x:c r="S457" s="31" t="inlineStr">
        <x:is>
          <x:t xml:space="preserve">Да</x:t>
        </x:is>
      </x:c>
    </x:row>
    <x:row r="458">
      <x:c r="A458" s="31" t="inlineStr">
        <x:is>
          <x:t xml:space="preserve">ОП-000457</x:t>
        </x:is>
      </x:c>
      <x:c r="B458" s="31" t="inlineStr">
        <x:is>
          <x:t xml:space="preserve">ПЗ-00055</x:t>
        </x:is>
      </x:c>
      <x:c r="C458" s="31" t="inlineStr">
        <x:is>
          <x:t xml:space="preserve">ЗК-1035</x:t>
        </x:is>
      </x:c>
      <x:c r="D458" s="31" t="inlineStr">
        <x:is>
          <x:t xml:space="preserve">ПОЗ-0035-2</x:t>
        </x:is>
      </x:c>
      <x:c r="E458" s="31" t="inlineStr">
        <x:is>
          <x:t xml:space="preserve">ИЗД-028</x:t>
        </x:is>
      </x:c>
      <x:c r="F458" s="31" t="n">
        <x:v>40</x:v>
      </x:c>
      <x:c r="G458" s="31" t="inlineStr">
        <x:is>
          <x:t xml:space="preserve">Сборка</x:t>
        </x:is>
      </x:c>
      <x:c r="H458" s="31" t="inlineStr">
        <x:is>
          <x:t xml:space="preserve">Сборка</x:t>
        </x:is>
      </x:c>
      <x:c r="I458" s="31" t="inlineStr">
        <x:is>
          <x:t xml:space="preserve">ОБ-005</x:t>
        </x:is>
      </x:c>
      <x:c r="J458" s="31" t="inlineStr">
        <x:is>
          <x:t xml:space="preserve">СОТР-085</x:t>
        </x:is>
      </x:c>
      <x:c r="K458" s="31" t="n">
        <x:v>17.3</x:v>
      </x:c>
      <x:c r="L458" s="31" t="n">
        <x:v>20.1</x:v>
      </x:c>
      <x:c r="M458" s="31" t="n">
        <x:v>46097</x:v>
      </x:c>
      <x:c r="N458" s="31" t="n">
        <x:v>46099</x:v>
      </x:c>
      <x:c r="O458" s="31" t="n">
        <x:v>46097</x:v>
      </x:c>
      <x:c r="P458" s="31" t="n">
        <x:v>46098</x:v>
      </x:c>
      <x:c r="Q458" s="31" t="inlineStr">
        <x:is>
          <x:t xml:space="preserve">Завершено</x:t>
        </x:is>
      </x:c>
      <x:c r="R458" s="31" t="inlineStr">
        <x:is>
          <x:t xml:space="preserve">Нет</x:t>
        </x:is>
      </x:c>
      <x:c r="S458" s="31" t="inlineStr">
        <x:is>
          <x:t xml:space="preserve">Нет</x:t>
        </x:is>
      </x:c>
    </x:row>
    <x:row r="459">
      <x:c r="A459" s="31" t="inlineStr">
        <x:is>
          <x:t xml:space="preserve">ОП-000458</x:t>
        </x:is>
      </x:c>
      <x:c r="B459" s="31" t="inlineStr">
        <x:is>
          <x:t xml:space="preserve">ПЗ-00055</x:t>
        </x:is>
      </x:c>
      <x:c r="C459" s="31" t="inlineStr">
        <x:is>
          <x:t xml:space="preserve">ЗК-1035</x:t>
        </x:is>
      </x:c>
      <x:c r="D459" s="31" t="inlineStr">
        <x:is>
          <x:t xml:space="preserve">ПОЗ-0035-2</x:t>
        </x:is>
      </x:c>
      <x:c r="E459" s="31" t="inlineStr">
        <x:is>
          <x:t xml:space="preserve">ИЗД-028</x:t>
        </x:is>
      </x:c>
      <x:c r="F459" s="31" t="n">
        <x:v>50</x:v>
      </x:c>
      <x:c r="G459" s="31" t="inlineStr">
        <x:is>
          <x:t xml:space="preserve">Обвязка труб</x:t>
        </x:is>
      </x:c>
      <x:c r="H459" s="31" t="inlineStr">
        <x:is>
          <x:t xml:space="preserve">Сборка</x:t>
        </x:is>
      </x:c>
      <x:c r="I459" s="31" t="inlineStr">
        <x:is>
          <x:t xml:space="preserve">ОБ-005</x:t>
        </x:is>
      </x:c>
      <x:c r="J459" s="31" t="inlineStr">
        <x:is>
          <x:t xml:space="preserve">СОТР-086</x:t>
        </x:is>
      </x:c>
      <x:c r="K459" s="31" t="n">
        <x:v>13.3</x:v>
      </x:c>
      <x:c r="L459" s="31" t="n">
        <x:v>16.7</x:v>
      </x:c>
      <x:c r="M459" s="31" t="n">
        <x:v>46099</x:v>
      </x:c>
      <x:c r="N459" s="31" t="n">
        <x:v>46101</x:v>
      </x:c>
      <x:c r="O459" s="31" t="n">
        <x:v>46099</x:v>
      </x:c>
      <x:c r="P459" s="31" t="n">
        <x:v>46101</x:v>
      </x:c>
      <x:c r="Q459" s="31" t="inlineStr">
        <x:is>
          <x:t xml:space="preserve">Завершено</x:t>
        </x:is>
      </x:c>
      <x:c r="R459" s="31" t="inlineStr">
        <x:is>
          <x:t xml:space="preserve">Нет</x:t>
        </x:is>
      </x:c>
      <x:c r="S459" s="31" t="inlineStr">
        <x:is>
          <x:t xml:space="preserve">Нет</x:t>
        </x:is>
      </x:c>
    </x:row>
    <x:row r="460">
      <x:c r="A460" s="31" t="inlineStr">
        <x:is>
          <x:t xml:space="preserve">ОП-000459</x:t>
        </x:is>
      </x:c>
      <x:c r="B460" s="31" t="inlineStr">
        <x:is>
          <x:t xml:space="preserve">ПЗ-00055</x:t>
        </x:is>
      </x:c>
      <x:c r="C460" s="31" t="inlineStr">
        <x:is>
          <x:t xml:space="preserve">ЗК-1035</x:t>
        </x:is>
      </x:c>
      <x:c r="D460" s="31" t="inlineStr">
        <x:is>
          <x:t xml:space="preserve">ПОЗ-0035-2</x:t>
        </x:is>
      </x:c>
      <x:c r="E460" s="31" t="inlineStr">
        <x:is>
          <x:t xml:space="preserve">ИЗД-028</x:t>
        </x:is>
      </x:c>
      <x:c r="F460" s="31" t="n">
        <x:v>60</x:v>
      </x:c>
      <x:c r="G460" s="31" t="inlineStr">
        <x:is>
          <x:t xml:space="preserve">Электромонтаж</x:t>
        </x:is>
      </x:c>
      <x:c r="H460" s="31" t="inlineStr">
        <x:is>
          <x:t xml:space="preserve">Сборка</x:t>
        </x:is>
      </x:c>
      <x:c r="I460" s="31" t="inlineStr">
        <x:is>
          <x:t xml:space="preserve">ОБ-002</x:t>
        </x:is>
      </x:c>
      <x:c r="J460" s="31" t="inlineStr">
        <x:is>
          <x:t xml:space="preserve">СОТР-079</x:t>
        </x:is>
      </x:c>
      <x:c r="K460" s="31" t="n">
        <x:v>11.8</x:v>
      </x:c>
      <x:c r="L460" s="31" t="n">
        <x:v>11.9</x:v>
      </x:c>
      <x:c r="M460" s="31" t="n">
        <x:v>46101</x:v>
      </x:c>
      <x:c r="N460" s="31" t="n">
        <x:v>46102</x:v>
      </x:c>
      <x:c r="O460" s="31" t="n">
        <x:v>46101</x:v>
      </x:c>
      <x:c r="P460" s="31" t="n">
        <x:v>46101</x:v>
      </x:c>
      <x:c r="Q460" s="31" t="inlineStr">
        <x:is>
          <x:t xml:space="preserve">Завершено</x:t>
        </x:is>
      </x:c>
      <x:c r="R460" s="31" t="inlineStr">
        <x:is>
          <x:t xml:space="preserve">КД</x:t>
        </x:is>
      </x:c>
      <x:c r="S460" s="31" t="inlineStr">
        <x:is>
          <x:t xml:space="preserve">Да</x:t>
        </x:is>
      </x:c>
    </x:row>
    <x:row r="461">
      <x:c r="A461" s="31" t="inlineStr">
        <x:is>
          <x:t xml:space="preserve">ОП-000460</x:t>
        </x:is>
      </x:c>
      <x:c r="B461" s="31" t="inlineStr">
        <x:is>
          <x:t xml:space="preserve">ПЗ-00055</x:t>
        </x:is>
      </x:c>
      <x:c r="C461" s="31" t="inlineStr">
        <x:is>
          <x:t xml:space="preserve">ЗК-1035</x:t>
        </x:is>
      </x:c>
      <x:c r="D461" s="31" t="inlineStr">
        <x:is>
          <x:t xml:space="preserve">ПОЗ-0035-2</x:t>
        </x:is>
      </x:c>
      <x:c r="E461" s="31" t="inlineStr">
        <x:is>
          <x:t xml:space="preserve">ИЗД-028</x:t>
        </x:is>
      </x:c>
      <x:c r="F461" s="31" t="n">
        <x:v>70</x:v>
      </x:c>
      <x:c r="G461" s="31" t="inlineStr">
        <x:is>
          <x:t xml:space="preserve">Гидроиспытания</x:t>
        </x:is>
      </x:c>
      <x:c r="H461" s="31" t="inlineStr">
        <x:is>
          <x:t xml:space="preserve">ОТК</x:t>
        </x:is>
      </x:c>
      <x:c r="I461" s="31" t="inlineStr">
        <x:is>
          <x:t xml:space="preserve">ОБ-028</x:t>
        </x:is>
      </x:c>
      <x:c r="J461" s="31" t="inlineStr">
        <x:is>
          <x:t xml:space="preserve">СОТР-097</x:t>
        </x:is>
      </x:c>
      <x:c r="K461" s="31" t="n">
        <x:v>1.8</x:v>
      </x:c>
      <x:c r="L461" s="31" t="n">
        <x:v>1.7</x:v>
      </x:c>
      <x:c r="M461" s="31" t="n">
        <x:v>46102</x:v>
      </x:c>
      <x:c r="N461" s="31" t="n">
        <x:v>46103</x:v>
      </x:c>
      <x:c r="O461" s="31" t="n">
        <x:v>46102</x:v>
      </x:c>
      <x:c r="P461" s="31" t="n">
        <x:v>46103</x:v>
      </x:c>
      <x:c r="Q461" s="31" t="inlineStr">
        <x:is>
          <x:t xml:space="preserve">Завершено</x:t>
        </x:is>
      </x:c>
      <x:c r="R461" s="31" t="inlineStr">
        <x:is>
          <x:t xml:space="preserve">Оборудование</x:t>
        </x:is>
      </x:c>
      <x:c r="S461" s="31" t="inlineStr">
        <x:is>
          <x:t xml:space="preserve">Нет</x:t>
        </x:is>
      </x:c>
    </x:row>
    <x:row r="462">
      <x:c r="A462" s="31" t="inlineStr">
        <x:is>
          <x:t xml:space="preserve">ОП-000461</x:t>
        </x:is>
      </x:c>
      <x:c r="B462" s="31" t="inlineStr">
        <x:is>
          <x:t xml:space="preserve">ПЗ-00055</x:t>
        </x:is>
      </x:c>
      <x:c r="C462" s="31" t="inlineStr">
        <x:is>
          <x:t xml:space="preserve">ЗК-1035</x:t>
        </x:is>
      </x:c>
      <x:c r="D462" s="31" t="inlineStr">
        <x:is>
          <x:t xml:space="preserve">ПОЗ-0035-2</x:t>
        </x:is>
      </x:c>
      <x:c r="E462" s="31" t="inlineStr">
        <x:is>
          <x:t xml:space="preserve">ИЗД-028</x:t>
        </x:is>
      </x:c>
      <x:c r="F462" s="31" t="n">
        <x:v>80</x:v>
      </x:c>
      <x:c r="G462" s="31" t="inlineStr">
        <x:is>
          <x:t xml:space="preserve">ОТК</x:t>
        </x:is>
      </x:c>
      <x:c r="H462" s="31" t="inlineStr">
        <x:is>
          <x:t xml:space="preserve">ОТК</x:t>
        </x:is>
      </x:c>
      <x:c r="I462" s="31" t="inlineStr">
        <x:is>
          <x:t xml:space="preserve">ОБ-024</x:t>
        </x:is>
      </x:c>
      <x:c r="J462" s="31" t="inlineStr">
        <x:is>
          <x:t xml:space="preserve">СОТР-095</x:t>
        </x:is>
      </x:c>
      <x:c r="K462" s="31" t="n">
        <x:v>14.5</x:v>
      </x:c>
      <x:c r="L462" s="31" t="n">
        <x:v>11.7</x:v>
      </x:c>
      <x:c r="M462" s="31" t="n">
        <x:v>46103</x:v>
      </x:c>
      <x:c r="N462" s="31" t="n">
        <x:v>46105</x:v>
      </x:c>
      <x:c r="O462" s="31" t="n">
        <x:v>46103</x:v>
      </x:c>
      <x:c r="P462" s="31" t="n">
        <x:v>46106</x:v>
      </x:c>
      <x:c r="Q462" s="31" t="inlineStr">
        <x:is>
          <x:t xml:space="preserve">Завершено</x:t>
        </x:is>
      </x:c>
      <x:c r="R462" s="31" t="inlineStr">
        <x:is>
          <x:t xml:space="preserve">Материал</x:t>
        </x:is>
      </x:c>
      <x:c r="S462" s="31" t="inlineStr">
        <x:is>
          <x:t xml:space="preserve">Да</x:t>
        </x:is>
      </x:c>
    </x:row>
    <x:row r="463">
      <x:c r="A463" s="31" t="inlineStr">
        <x:is>
          <x:t xml:space="preserve">ОП-000462</x:t>
        </x:is>
      </x:c>
      <x:c r="B463" s="31" t="inlineStr">
        <x:is>
          <x:t xml:space="preserve">ПЗ-00055</x:t>
        </x:is>
      </x:c>
      <x:c r="C463" s="31" t="inlineStr">
        <x:is>
          <x:t xml:space="preserve">ЗК-1035</x:t>
        </x:is>
      </x:c>
      <x:c r="D463" s="31" t="inlineStr">
        <x:is>
          <x:t xml:space="preserve">ПОЗ-0035-2</x:t>
        </x:is>
      </x:c>
      <x:c r="E463" s="31" t="inlineStr">
        <x:is>
          <x:t xml:space="preserve">ИЗД-028</x:t>
        </x:is>
      </x:c>
      <x:c r="F463" s="31" t="n">
        <x:v>90</x:v>
      </x:c>
      <x:c r="G463" s="31" t="inlineStr">
        <x:is>
          <x:t xml:space="preserve">Упаковка</x:t>
        </x:is>
      </x:c>
      <x:c r="H463" s="31" t="inlineStr">
        <x:is>
          <x:t xml:space="preserve">Логистика</x:t>
        </x:is>
      </x:c>
      <x:c r="I463" s="31" t="n"/>
      <x:c r="J463" s="31" t="inlineStr">
        <x:is>
          <x:t xml:space="preserve">СОТР-105</x:t>
        </x:is>
      </x:c>
      <x:c r="K463" s="31" t="n">
        <x:v>6.8</x:v>
      </x:c>
      <x:c r="L463" s="31" t="n">
        <x:v>8.1</x:v>
      </x:c>
      <x:c r="M463" s="31" t="n">
        <x:v>46105</x:v>
      </x:c>
      <x:c r="N463" s="31" t="n">
        <x:v>46106</x:v>
      </x:c>
      <x:c r="O463" s="31" t="n">
        <x:v>46105</x:v>
      </x:c>
      <x:c r="P463" s="31" t="n">
        <x:v>46105</x:v>
      </x:c>
      <x:c r="Q463" s="31" t="inlineStr">
        <x:is>
          <x:t xml:space="preserve">Завершено</x:t>
        </x:is>
      </x:c>
      <x:c r="R463" s="31" t="inlineStr">
        <x:is>
          <x:t xml:space="preserve">Нет</x:t>
        </x:is>
      </x:c>
      <x:c r="S463" s="31" t="inlineStr">
        <x:is>
          <x:t xml:space="preserve">Нет</x:t>
        </x:is>
      </x:c>
    </x:row>
    <x:row r="464">
      <x:c r="A464" s="31" t="inlineStr">
        <x:is>
          <x:t xml:space="preserve">ОП-000463</x:t>
        </x:is>
      </x:c>
      <x:c r="B464" s="31" t="inlineStr">
        <x:is>
          <x:t xml:space="preserve">ПЗ-00056</x:t>
        </x:is>
      </x:c>
      <x:c r="C464" s="31" t="inlineStr">
        <x:is>
          <x:t xml:space="preserve">ЗК-1035</x:t>
        </x:is>
      </x:c>
      <x:c r="D464" s="31" t="inlineStr">
        <x:is>
          <x:t xml:space="preserve">ПОЗ-0035-3</x:t>
        </x:is>
      </x:c>
      <x:c r="E464" s="31" t="inlineStr">
        <x:is>
          <x:t xml:space="preserve">ИЗД-010</x:t>
        </x:is>
      </x:c>
      <x:c r="F464" s="31" t="n">
        <x:v>10</x:v>
      </x:c>
      <x:c r="G464" s="31" t="inlineStr">
        <x:is>
          <x:t xml:space="preserve">КД</x:t>
        </x:is>
      </x:c>
      <x:c r="H464" s="31" t="inlineStr">
        <x:is>
          <x:t xml:space="preserve">Инженерный отдел</x:t>
        </x:is>
      </x:c>
      <x:c r="I464" s="31" t="n"/>
      <x:c r="J464" s="31" t="inlineStr">
        <x:is>
          <x:t xml:space="preserve">СОТР-020</x:t>
        </x:is>
      </x:c>
      <x:c r="K464" s="31" t="n">
        <x:v>23.1</x:v>
      </x:c>
      <x:c r="L464" s="31" t="n">
        <x:v>27.2</x:v>
      </x:c>
      <x:c r="M464" s="31" t="n">
        <x:v>46086</x:v>
      </x:c>
      <x:c r="N464" s="31" t="n">
        <x:v>46088</x:v>
      </x:c>
      <x:c r="O464" s="31" t="n">
        <x:v>46086</x:v>
      </x:c>
      <x:c r="P464" s="31" t="n">
        <x:v>46089</x:v>
      </x:c>
      <x:c r="Q464" s="31" t="inlineStr">
        <x:is>
          <x:t xml:space="preserve">Завершено</x:t>
        </x:is>
      </x:c>
      <x:c r="R464" s="31" t="inlineStr">
        <x:is>
          <x:t xml:space="preserve">Нет</x:t>
        </x:is>
      </x:c>
      <x:c r="S464" s="31" t="inlineStr">
        <x:is>
          <x:t xml:space="preserve">Нет</x:t>
        </x:is>
      </x:c>
    </x:row>
    <x:row r="465">
      <x:c r="A465" s="31" t="inlineStr">
        <x:is>
          <x:t xml:space="preserve">ОП-000464</x:t>
        </x:is>
      </x:c>
      <x:c r="B465" s="31" t="inlineStr">
        <x:is>
          <x:t xml:space="preserve">ПЗ-00056</x:t>
        </x:is>
      </x:c>
      <x:c r="C465" s="31" t="inlineStr">
        <x:is>
          <x:t xml:space="preserve">ЗК-1035</x:t>
        </x:is>
      </x:c>
      <x:c r="D465" s="31" t="inlineStr">
        <x:is>
          <x:t xml:space="preserve">ПОЗ-0035-3</x:t>
        </x:is>
      </x:c>
      <x:c r="E465" s="31" t="inlineStr">
        <x:is>
          <x:t xml:space="preserve">ИЗД-010</x:t>
        </x:is>
      </x:c>
      <x:c r="F465" s="31" t="n">
        <x:v>20</x:v>
      </x:c>
      <x:c r="G465" s="31" t="inlineStr">
        <x:is>
          <x:t xml:space="preserve">Комплектация</x:t>
        </x:is>
      </x:c>
      <x:c r="H465" s="31" t="inlineStr">
        <x:is>
          <x:t xml:space="preserve">Склад</x:t>
        </x:is>
      </x:c>
      <x:c r="I465" s="31" t="inlineStr">
        <x:is>
          <x:t xml:space="preserve">ОБ-025</x:t>
        </x:is>
      </x:c>
      <x:c r="J465" s="31" t="inlineStr">
        <x:is>
          <x:t xml:space="preserve">СОТР-039</x:t>
        </x:is>
      </x:c>
      <x:c r="K465" s="31" t="n">
        <x:v>17.4</x:v>
      </x:c>
      <x:c r="L465" s="31" t="n">
        <x:v>14.1</x:v>
      </x:c>
      <x:c r="M465" s="31" t="n">
        <x:v>46088</x:v>
      </x:c>
      <x:c r="N465" s="31" t="n">
        <x:v>46090</x:v>
      </x:c>
      <x:c r="O465" s="31" t="n">
        <x:v>46088</x:v>
      </x:c>
      <x:c r="P465" s="31" t="n">
        <x:v>46089</x:v>
      </x:c>
      <x:c r="Q465" s="31" t="inlineStr">
        <x:is>
          <x:t xml:space="preserve">Завершено</x:t>
        </x:is>
      </x:c>
      <x:c r="R465" s="31" t="inlineStr">
        <x:is>
          <x:t xml:space="preserve">Нет</x:t>
        </x:is>
      </x:c>
      <x:c r="S465" s="31" t="inlineStr">
        <x:is>
          <x:t xml:space="preserve">Нет</x:t>
        </x:is>
      </x:c>
    </x:row>
    <x:row r="466">
      <x:c r="A466" s="31" t="inlineStr">
        <x:is>
          <x:t xml:space="preserve">ОП-000465</x:t>
        </x:is>
      </x:c>
      <x:c r="B466" s="31" t="inlineStr">
        <x:is>
          <x:t xml:space="preserve">ПЗ-00056</x:t>
        </x:is>
      </x:c>
      <x:c r="C466" s="31" t="inlineStr">
        <x:is>
          <x:t xml:space="preserve">ЗК-1035</x:t>
        </x:is>
      </x:c>
      <x:c r="D466" s="31" t="inlineStr">
        <x:is>
          <x:t xml:space="preserve">ПОЗ-0035-3</x:t>
        </x:is>
      </x:c>
      <x:c r="E466" s="31" t="inlineStr">
        <x:is>
          <x:t xml:space="preserve">ИЗД-010</x:t>
        </x:is>
      </x:c>
      <x:c r="F466" s="31" t="n">
        <x:v>30</x:v>
      </x:c>
      <x:c r="G466" s="31" t="inlineStr">
        <x:is>
          <x:t xml:space="preserve">Сборка шкафа</x:t>
        </x:is>
      </x:c>
      <x:c r="H466" s="31" t="inlineStr">
        <x:is>
          <x:t xml:space="preserve">Сборка</x:t>
        </x:is>
      </x:c>
      <x:c r="I466" s="31" t="inlineStr">
        <x:is>
          <x:t xml:space="preserve">ОБ-020</x:t>
        </x:is>
      </x:c>
      <x:c r="J466" s="31" t="inlineStr">
        <x:is>
          <x:t xml:space="preserve">СОТР-084</x:t>
        </x:is>
      </x:c>
      <x:c r="K466" s="31" t="n">
        <x:v>18.3</x:v>
      </x:c>
      <x:c r="L466" s="31" t="n">
        <x:v>21.1</x:v>
      </x:c>
      <x:c r="M466" s="31" t="n">
        <x:v>46090</x:v>
      </x:c>
      <x:c r="N466" s="31" t="n">
        <x:v>46092</x:v>
      </x:c>
      <x:c r="O466" s="31" t="n">
        <x:v>46090</x:v>
      </x:c>
      <x:c r="P466" s="31" t="n">
        <x:v>46092</x:v>
      </x:c>
      <x:c r="Q466" s="31" t="inlineStr">
        <x:is>
          <x:t xml:space="preserve">Завершено</x:t>
        </x:is>
      </x:c>
      <x:c r="R466" s="31" t="inlineStr">
        <x:is>
          <x:t xml:space="preserve">Нет</x:t>
        </x:is>
      </x:c>
      <x:c r="S466" s="31" t="inlineStr">
        <x:is>
          <x:t xml:space="preserve">Нет</x:t>
        </x:is>
      </x:c>
    </x:row>
    <x:row r="467">
      <x:c r="A467" s="31" t="inlineStr">
        <x:is>
          <x:t xml:space="preserve">ОП-000466</x:t>
        </x:is>
      </x:c>
      <x:c r="B467" s="31" t="inlineStr">
        <x:is>
          <x:t xml:space="preserve">ПЗ-00056</x:t>
        </x:is>
      </x:c>
      <x:c r="C467" s="31" t="inlineStr">
        <x:is>
          <x:t xml:space="preserve">ЗК-1035</x:t>
        </x:is>
      </x:c>
      <x:c r="D467" s="31" t="inlineStr">
        <x:is>
          <x:t xml:space="preserve">ПОЗ-0035-3</x:t>
        </x:is>
      </x:c>
      <x:c r="E467" s="31" t="inlineStr">
        <x:is>
          <x:t xml:space="preserve">ИЗД-010</x:t>
        </x:is>
      </x:c>
      <x:c r="F467" s="31" t="n">
        <x:v>40</x:v>
      </x:c>
      <x:c r="G467" s="31" t="inlineStr">
        <x:is>
          <x:t xml:space="preserve">Маркировка</x:t>
        </x:is>
      </x:c>
      <x:c r="H467" s="31" t="inlineStr">
        <x:is>
          <x:t xml:space="preserve">Сборка</x:t>
        </x:is>
      </x:c>
      <x:c r="I467" s="31" t="inlineStr">
        <x:is>
          <x:t xml:space="preserve">ОБ-034</x:t>
        </x:is>
      </x:c>
      <x:c r="J467" s="31" t="inlineStr">
        <x:is>
          <x:t xml:space="preserve">СОТР-091</x:t>
        </x:is>
      </x:c>
      <x:c r="K467" s="31" t="n">
        <x:v>6.3</x:v>
      </x:c>
      <x:c r="L467" s="31" t="n">
        <x:v>8.1</x:v>
      </x:c>
      <x:c r="M467" s="31" t="n">
        <x:v>46092</x:v>
      </x:c>
      <x:c r="N467" s="31" t="n">
        <x:v>46093</x:v>
      </x:c>
      <x:c r="O467" s="31" t="n">
        <x:v>46092</x:v>
      </x:c>
      <x:c r="P467" s="31" t="n">
        <x:v>46094</x:v>
      </x:c>
      <x:c r="Q467" s="31" t="inlineStr">
        <x:is>
          <x:t xml:space="preserve">Завершено</x:t>
        </x:is>
      </x:c>
      <x:c r="R467" s="31" t="inlineStr">
        <x:is>
          <x:t xml:space="preserve">Нет</x:t>
        </x:is>
      </x:c>
      <x:c r="S467" s="31" t="inlineStr">
        <x:is>
          <x:t xml:space="preserve">Нет</x:t>
        </x:is>
      </x:c>
    </x:row>
    <x:row r="468">
      <x:c r="A468" s="31" t="inlineStr">
        <x:is>
          <x:t xml:space="preserve">ОП-000467</x:t>
        </x:is>
      </x:c>
      <x:c r="B468" s="31" t="inlineStr">
        <x:is>
          <x:t xml:space="preserve">ПЗ-00056</x:t>
        </x:is>
      </x:c>
      <x:c r="C468" s="31" t="inlineStr">
        <x:is>
          <x:t xml:space="preserve">ЗК-1035</x:t>
        </x:is>
      </x:c>
      <x:c r="D468" s="31" t="inlineStr">
        <x:is>
          <x:t xml:space="preserve">ПОЗ-0035-3</x:t>
        </x:is>
      </x:c>
      <x:c r="E468" s="31" t="inlineStr">
        <x:is>
          <x:t xml:space="preserve">ИЗД-010</x:t>
        </x:is>
      </x:c>
      <x:c r="F468" s="31" t="n">
        <x:v>50</x:v>
      </x:c>
      <x:c r="G468" s="31" t="inlineStr">
        <x:is>
          <x:t xml:space="preserve">Электромонтаж</x:t>
        </x:is>
      </x:c>
      <x:c r="H468" s="31" t="inlineStr">
        <x:is>
          <x:t xml:space="preserve">Сборка</x:t>
        </x:is>
      </x:c>
      <x:c r="I468" s="31" t="inlineStr">
        <x:is>
          <x:t xml:space="preserve">ОБ-020</x:t>
        </x:is>
      </x:c>
      <x:c r="J468" s="31" t="inlineStr">
        <x:is>
          <x:t xml:space="preserve">СОТР-087</x:t>
        </x:is>
      </x:c>
      <x:c r="K468" s="31" t="n">
        <x:v>22.8</x:v>
      </x:c>
      <x:c r="L468" s="31" t="n">
        <x:v>29.3</x:v>
      </x:c>
      <x:c r="M468" s="31" t="n">
        <x:v>46093</x:v>
      </x:c>
      <x:c r="N468" s="31" t="n">
        <x:v>46095</x:v>
      </x:c>
      <x:c r="O468" s="31" t="n">
        <x:v>46093</x:v>
      </x:c>
      <x:c r="P468" s="31" t="n">
        <x:v>46095</x:v>
      </x:c>
      <x:c r="Q468" s="31" t="inlineStr">
        <x:is>
          <x:t xml:space="preserve">Завершено</x:t>
        </x:is>
      </x:c>
      <x:c r="R468" s="31" t="inlineStr">
        <x:is>
          <x:t xml:space="preserve">Нет</x:t>
        </x:is>
      </x:c>
      <x:c r="S468" s="31" t="inlineStr">
        <x:is>
          <x:t xml:space="preserve">Нет</x:t>
        </x:is>
      </x:c>
    </x:row>
    <x:row r="469">
      <x:c r="A469" s="31" t="inlineStr">
        <x:is>
          <x:t xml:space="preserve">ОП-000468</x:t>
        </x:is>
      </x:c>
      <x:c r="B469" s="31" t="inlineStr">
        <x:is>
          <x:t xml:space="preserve">ПЗ-00056</x:t>
        </x:is>
      </x:c>
      <x:c r="C469" s="31" t="inlineStr">
        <x:is>
          <x:t xml:space="preserve">ЗК-1035</x:t>
        </x:is>
      </x:c>
      <x:c r="D469" s="31" t="inlineStr">
        <x:is>
          <x:t xml:space="preserve">ПОЗ-0035-3</x:t>
        </x:is>
      </x:c>
      <x:c r="E469" s="31" t="inlineStr">
        <x:is>
          <x:t xml:space="preserve">ИЗД-010</x:t>
        </x:is>
      </x:c>
      <x:c r="F469" s="31" t="n">
        <x:v>60</x:v>
      </x:c>
      <x:c r="G469" s="31" t="inlineStr">
        <x:is>
          <x:t xml:space="preserve">Программирование ПЛК</x:t>
        </x:is>
      </x:c>
      <x:c r="H469" s="31" t="inlineStr">
        <x:is>
          <x:t xml:space="preserve">Инженерный отдел</x:t>
        </x:is>
      </x:c>
      <x:c r="I469" s="31" t="n"/>
      <x:c r="J469" s="31" t="inlineStr">
        <x:is>
          <x:t xml:space="preserve">СОТР-015</x:t>
        </x:is>
      </x:c>
      <x:c r="K469" s="31" t="n">
        <x:v>24.9</x:v>
      </x:c>
      <x:c r="L469" s="31" t="n">
        <x:v>27.8</x:v>
      </x:c>
      <x:c r="M469" s="31" t="n">
        <x:v>46095</x:v>
      </x:c>
      <x:c r="N469" s="31" t="n">
        <x:v>46098</x:v>
      </x:c>
      <x:c r="O469" s="31" t="n">
        <x:v>46095</x:v>
      </x:c>
      <x:c r="P469" s="31" t="n">
        <x:v>46100</x:v>
      </x:c>
      <x:c r="Q469" s="31" t="inlineStr">
        <x:is>
          <x:t xml:space="preserve">Завершено</x:t>
        </x:is>
      </x:c>
      <x:c r="R469" s="31" t="inlineStr">
        <x:is>
          <x:t xml:space="preserve">Нет</x:t>
        </x:is>
      </x:c>
      <x:c r="S469" s="31" t="inlineStr">
        <x:is>
          <x:t xml:space="preserve">Нет</x:t>
        </x:is>
      </x:c>
    </x:row>
    <x:row r="470">
      <x:c r="A470" s="31" t="inlineStr">
        <x:is>
          <x:t xml:space="preserve">ОП-000469</x:t>
        </x:is>
      </x:c>
      <x:c r="B470" s="31" t="inlineStr">
        <x:is>
          <x:t xml:space="preserve">ПЗ-00056</x:t>
        </x:is>
      </x:c>
      <x:c r="C470" s="31" t="inlineStr">
        <x:is>
          <x:t xml:space="preserve">ЗК-1035</x:t>
        </x:is>
      </x:c>
      <x:c r="D470" s="31" t="inlineStr">
        <x:is>
          <x:t xml:space="preserve">ПОЗ-0035-3</x:t>
        </x:is>
      </x:c>
      <x:c r="E470" s="31" t="inlineStr">
        <x:is>
          <x:t xml:space="preserve">ИЗД-010</x:t>
        </x:is>
      </x:c>
      <x:c r="F470" s="31" t="n">
        <x:v>70</x:v>
      </x:c>
      <x:c r="G470" s="31" t="inlineStr">
        <x:is>
          <x:t xml:space="preserve">Приемочные испытания</x:t>
        </x:is>
      </x:c>
      <x:c r="H470" s="31" t="inlineStr">
        <x:is>
          <x:t xml:space="preserve">ОТК</x:t>
        </x:is>
      </x:c>
      <x:c r="I470" s="31" t="inlineStr">
        <x:is>
          <x:t xml:space="preserve">ОБ-013</x:t>
        </x:is>
      </x:c>
      <x:c r="J470" s="31" t="inlineStr">
        <x:is>
          <x:t xml:space="preserve">СОТР-096</x:t>
        </x:is>
      </x:c>
      <x:c r="K470" s="31" t="n">
        <x:v>37.8</x:v>
      </x:c>
      <x:c r="L470" s="31" t="n">
        <x:v>44.4</x:v>
      </x:c>
      <x:c r="M470" s="31" t="n">
        <x:v>46098</x:v>
      </x:c>
      <x:c r="N470" s="31" t="n">
        <x:v>46102</x:v>
      </x:c>
      <x:c r="O470" s="31" t="n">
        <x:v>46098</x:v>
      </x:c>
      <x:c r="P470" s="31" t="n">
        <x:v>46104</x:v>
      </x:c>
      <x:c r="Q470" s="31" t="inlineStr">
        <x:is>
          <x:t xml:space="preserve">Завершено</x:t>
        </x:is>
      </x:c>
      <x:c r="R470" s="31" t="inlineStr">
        <x:is>
          <x:t xml:space="preserve">Нет</x:t>
        </x:is>
      </x:c>
      <x:c r="S470" s="31" t="inlineStr">
        <x:is>
          <x:t xml:space="preserve">Нет</x:t>
        </x:is>
      </x:c>
    </x:row>
    <x:row r="471">
      <x:c r="A471" s="31" t="inlineStr">
        <x:is>
          <x:t xml:space="preserve">ОП-000470</x:t>
        </x:is>
      </x:c>
      <x:c r="B471" s="31" t="inlineStr">
        <x:is>
          <x:t xml:space="preserve">ПЗ-00056</x:t>
        </x:is>
      </x:c>
      <x:c r="C471" s="31" t="inlineStr">
        <x:is>
          <x:t xml:space="preserve">ЗК-1035</x:t>
        </x:is>
      </x:c>
      <x:c r="D471" s="31" t="inlineStr">
        <x:is>
          <x:t xml:space="preserve">ПОЗ-0035-3</x:t>
        </x:is>
      </x:c>
      <x:c r="E471" s="31" t="inlineStr">
        <x:is>
          <x:t xml:space="preserve">ИЗД-010</x:t>
        </x:is>
      </x:c>
      <x:c r="F471" s="31" t="n">
        <x:v>80</x:v>
      </x:c>
      <x:c r="G471" s="31" t="inlineStr">
        <x:is>
          <x:t xml:space="preserve">ОТК</x:t>
        </x:is>
      </x:c>
      <x:c r="H471" s="31" t="inlineStr">
        <x:is>
          <x:t xml:space="preserve">ОТК</x:t>
        </x:is>
      </x:c>
      <x:c r="I471" s="31" t="inlineStr">
        <x:is>
          <x:t xml:space="preserve">ОБ-015</x:t>
        </x:is>
      </x:c>
      <x:c r="J471" s="31" t="inlineStr">
        <x:is>
          <x:t xml:space="preserve">СОТР-092</x:t>
        </x:is>
      </x:c>
      <x:c r="K471" s="31" t="n">
        <x:v>27.3</x:v>
      </x:c>
      <x:c r="L471" s="31" t="n">
        <x:v>32.5</x:v>
      </x:c>
      <x:c r="M471" s="31" t="n">
        <x:v>46102</x:v>
      </x:c>
      <x:c r="N471" s="31" t="n">
        <x:v>46105</x:v>
      </x:c>
      <x:c r="O471" s="31" t="n">
        <x:v>46102</x:v>
      </x:c>
      <x:c r="P471" s="31" t="n">
        <x:v>46107</x:v>
      </x:c>
      <x:c r="Q471" s="31" t="inlineStr">
        <x:is>
          <x:t xml:space="preserve">Завершено</x:t>
        </x:is>
      </x:c>
      <x:c r="R471" s="31" t="inlineStr">
        <x:is>
          <x:t xml:space="preserve">Нет</x:t>
        </x:is>
      </x:c>
      <x:c r="S471" s="31" t="inlineStr">
        <x:is>
          <x:t xml:space="preserve">Нет</x:t>
        </x:is>
      </x:c>
    </x:row>
    <x:row r="472">
      <x:c r="A472" s="31" t="inlineStr">
        <x:is>
          <x:t xml:space="preserve">ОП-000471</x:t>
        </x:is>
      </x:c>
      <x:c r="B472" s="31" t="inlineStr">
        <x:is>
          <x:t xml:space="preserve">ПЗ-00056</x:t>
        </x:is>
      </x:c>
      <x:c r="C472" s="31" t="inlineStr">
        <x:is>
          <x:t xml:space="preserve">ЗК-1035</x:t>
        </x:is>
      </x:c>
      <x:c r="D472" s="31" t="inlineStr">
        <x:is>
          <x:t xml:space="preserve">ПОЗ-0035-3</x:t>
        </x:is>
      </x:c>
      <x:c r="E472" s="31" t="inlineStr">
        <x:is>
          <x:t xml:space="preserve">ИЗД-010</x:t>
        </x:is>
      </x:c>
      <x:c r="F472" s="31" t="n">
        <x:v>90</x:v>
      </x:c>
      <x:c r="G472" s="31" t="inlineStr">
        <x:is>
          <x:t xml:space="preserve">Упаковка</x:t>
        </x:is>
      </x:c>
      <x:c r="H472" s="31" t="inlineStr">
        <x:is>
          <x:t xml:space="preserve">Логистика</x:t>
        </x:is>
      </x:c>
      <x:c r="I472" s="31" t="n"/>
      <x:c r="J472" s="31" t="inlineStr">
        <x:is>
          <x:t xml:space="preserve">СОТР-101</x:t>
        </x:is>
      </x:c>
      <x:c r="K472" s="31" t="n">
        <x:v>33.3</x:v>
      </x:c>
      <x:c r="L472" s="31" t="n">
        <x:v>29.6</x:v>
      </x:c>
      <x:c r="M472" s="31" t="n">
        <x:v>46105</x:v>
      </x:c>
      <x:c r="N472" s="31" t="n">
        <x:v>46108</x:v>
      </x:c>
      <x:c r="O472" s="31" t="n">
        <x:v>46105</x:v>
      </x:c>
      <x:c r="P472" s="31" t="n">
        <x:v>46110</x:v>
      </x:c>
      <x:c r="Q472" s="31" t="inlineStr">
        <x:is>
          <x:t xml:space="preserve">Завершено</x:t>
        </x:is>
      </x:c>
      <x:c r="R472" s="31" t="inlineStr">
        <x:is>
          <x:t xml:space="preserve">Нет</x:t>
        </x:is>
      </x:c>
      <x:c r="S472" s="31" t="inlineStr">
        <x:is>
          <x:t xml:space="preserve">Нет</x:t>
        </x:is>
      </x:c>
    </x:row>
    <x:row r="473">
      <x:c r="A473" s="31" t="inlineStr">
        <x:is>
          <x:t xml:space="preserve">ОП-000472</x:t>
        </x:is>
      </x:c>
      <x:c r="B473" s="31" t="inlineStr">
        <x:is>
          <x:t xml:space="preserve">ПЗ-00057</x:t>
        </x:is>
      </x:c>
      <x:c r="C473" s="31" t="inlineStr">
        <x:is>
          <x:t xml:space="preserve">ЗК-1035</x:t>
        </x:is>
      </x:c>
      <x:c r="D473" s="31" t="inlineStr">
        <x:is>
          <x:t xml:space="preserve">ПОЗ-0035-4</x:t>
        </x:is>
      </x:c>
      <x:c r="E473" s="31" t="inlineStr">
        <x:is>
          <x:t xml:space="preserve">ИЗД-002</x:t>
        </x:is>
      </x:c>
      <x:c r="F473" s="31" t="n">
        <x:v>10</x:v>
      </x:c>
      <x:c r="G473" s="31" t="inlineStr">
        <x:is>
          <x:t xml:space="preserve">КД</x:t>
        </x:is>
      </x:c>
      <x:c r="H473" s="31" t="inlineStr">
        <x:is>
          <x:t xml:space="preserve">Инженерный отдел</x:t>
        </x:is>
      </x:c>
      <x:c r="I473" s="31" t="n"/>
      <x:c r="J473" s="31" t="inlineStr">
        <x:is>
          <x:t xml:space="preserve">СОТР-013</x:t>
        </x:is>
      </x:c>
      <x:c r="K473" s="31" t="n">
        <x:v>7.4</x:v>
      </x:c>
      <x:c r="L473" s="31" t="n">
        <x:v>6.6</x:v>
      </x:c>
      <x:c r="M473" s="31" t="n">
        <x:v>46080</x:v>
      </x:c>
      <x:c r="N473" s="31" t="n">
        <x:v>46081</x:v>
      </x:c>
      <x:c r="O473" s="31" t="n">
        <x:v>46080</x:v>
      </x:c>
      <x:c r="P473" s="31" t="n">
        <x:v>46081</x:v>
      </x:c>
      <x:c r="Q473" s="31" t="inlineStr">
        <x:is>
          <x:t xml:space="preserve">Завершено</x:t>
        </x:is>
      </x:c>
      <x:c r="R473" s="31" t="inlineStr">
        <x:is>
          <x:t xml:space="preserve">Нет</x:t>
        </x:is>
      </x:c>
      <x:c r="S473" s="31" t="inlineStr">
        <x:is>
          <x:t xml:space="preserve">Нет</x:t>
        </x:is>
      </x:c>
    </x:row>
    <x:row r="474">
      <x:c r="A474" s="31" t="inlineStr">
        <x:is>
          <x:t xml:space="preserve">ОП-000473</x:t>
        </x:is>
      </x:c>
      <x:c r="B474" s="31" t="inlineStr">
        <x:is>
          <x:t xml:space="preserve">ПЗ-00057</x:t>
        </x:is>
      </x:c>
      <x:c r="C474" s="31" t="inlineStr">
        <x:is>
          <x:t xml:space="preserve">ЗК-1035</x:t>
        </x:is>
      </x:c>
      <x:c r="D474" s="31" t="inlineStr">
        <x:is>
          <x:t xml:space="preserve">ПОЗ-0035-4</x:t>
        </x:is>
      </x:c>
      <x:c r="E474" s="31" t="inlineStr">
        <x:is>
          <x:t xml:space="preserve">ИЗД-002</x:t>
        </x:is>
      </x:c>
      <x:c r="F474" s="31" t="n">
        <x:v>20</x:v>
      </x:c>
      <x:c r="G474" s="31" t="inlineStr">
        <x:is>
          <x:t xml:space="preserve">Комплектация</x:t>
        </x:is>
      </x:c>
      <x:c r="H474" s="31" t="inlineStr">
        <x:is>
          <x:t xml:space="preserve">Склад</x:t>
        </x:is>
      </x:c>
      <x:c r="I474" s="31" t="inlineStr">
        <x:is>
          <x:t xml:space="preserve">ОБ-025</x:t>
        </x:is>
      </x:c>
      <x:c r="J474" s="31" t="inlineStr">
        <x:is>
          <x:t xml:space="preserve">СОТР-024</x:t>
        </x:is>
      </x:c>
      <x:c r="K474" s="31" t="n">
        <x:v>9.800000000000001</x:v>
      </x:c>
      <x:c r="L474" s="31" t="n">
        <x:v>9.1</x:v>
      </x:c>
      <x:c r="M474" s="31" t="n">
        <x:v>46081</x:v>
      </x:c>
      <x:c r="N474" s="31" t="n">
        <x:v>46082</x:v>
      </x:c>
      <x:c r="O474" s="31" t="n">
        <x:v>46081</x:v>
      </x:c>
      <x:c r="P474" s="31" t="n">
        <x:v>46082</x:v>
      </x:c>
      <x:c r="Q474" s="31" t="inlineStr">
        <x:is>
          <x:t xml:space="preserve">Завершено</x:t>
        </x:is>
      </x:c>
      <x:c r="R474" s="31" t="inlineStr">
        <x:is>
          <x:t xml:space="preserve">Материал</x:t>
        </x:is>
      </x:c>
      <x:c r="S474" s="31" t="inlineStr">
        <x:is>
          <x:t xml:space="preserve">Нет</x:t>
        </x:is>
      </x:c>
    </x:row>
    <x:row r="475">
      <x:c r="A475" s="31" t="inlineStr">
        <x:is>
          <x:t xml:space="preserve">ОП-000474</x:t>
        </x:is>
      </x:c>
      <x:c r="B475" s="31" t="inlineStr">
        <x:is>
          <x:t xml:space="preserve">ПЗ-00057</x:t>
        </x:is>
      </x:c>
      <x:c r="C475" s="31" t="inlineStr">
        <x:is>
          <x:t xml:space="preserve">ЗК-1035</x:t>
        </x:is>
      </x:c>
      <x:c r="D475" s="31" t="inlineStr">
        <x:is>
          <x:t xml:space="preserve">ПОЗ-0035-4</x:t>
        </x:is>
      </x:c>
      <x:c r="E475" s="31" t="inlineStr">
        <x:is>
          <x:t xml:space="preserve">ИЗД-002</x:t>
        </x:is>
      </x:c>
      <x:c r="F475" s="31" t="n">
        <x:v>30</x:v>
      </x:c>
      <x:c r="G475" s="31" t="inlineStr">
        <x:is>
          <x:t xml:space="preserve">Сборка шкафа</x:t>
        </x:is>
      </x:c>
      <x:c r="H475" s="31" t="inlineStr">
        <x:is>
          <x:t xml:space="preserve">Сборка</x:t>
        </x:is>
      </x:c>
      <x:c r="I475" s="31" t="inlineStr">
        <x:is>
          <x:t xml:space="preserve">ОБ-005</x:t>
        </x:is>
      </x:c>
      <x:c r="J475" s="31" t="inlineStr">
        <x:is>
          <x:t xml:space="preserve">СОТР-091</x:t>
        </x:is>
      </x:c>
      <x:c r="K475" s="31" t="n">
        <x:v>6.4</x:v>
      </x:c>
      <x:c r="L475" s="31" t="n">
        <x:v>6.7</x:v>
      </x:c>
      <x:c r="M475" s="31" t="n">
        <x:v>46082</x:v>
      </x:c>
      <x:c r="N475" s="31" t="n">
        <x:v>46083</x:v>
      </x:c>
      <x:c r="O475" s="31" t="n">
        <x:v>46082</x:v>
      </x:c>
      <x:c r="P475" s="31" t="n">
        <x:v>46085</x:v>
      </x:c>
      <x:c r="Q475" s="31" t="inlineStr">
        <x:is>
          <x:t xml:space="preserve">Завершено</x:t>
        </x:is>
      </x:c>
      <x:c r="R475" s="31" t="inlineStr">
        <x:is>
          <x:t xml:space="preserve">Нет</x:t>
        </x:is>
      </x:c>
      <x:c r="S475" s="31" t="inlineStr">
        <x:is>
          <x:t xml:space="preserve">Нет</x:t>
        </x:is>
      </x:c>
    </x:row>
    <x:row r="476">
      <x:c r="A476" s="31" t="inlineStr">
        <x:is>
          <x:t xml:space="preserve">ОП-000475</x:t>
        </x:is>
      </x:c>
      <x:c r="B476" s="31" t="inlineStr">
        <x:is>
          <x:t xml:space="preserve">ПЗ-00057</x:t>
        </x:is>
      </x:c>
      <x:c r="C476" s="31" t="inlineStr">
        <x:is>
          <x:t xml:space="preserve">ЗК-1035</x:t>
        </x:is>
      </x:c>
      <x:c r="D476" s="31" t="inlineStr">
        <x:is>
          <x:t xml:space="preserve">ПОЗ-0035-4</x:t>
        </x:is>
      </x:c>
      <x:c r="E476" s="31" t="inlineStr">
        <x:is>
          <x:t xml:space="preserve">ИЗД-002</x:t>
        </x:is>
      </x:c>
      <x:c r="F476" s="31" t="n">
        <x:v>40</x:v>
      </x:c>
      <x:c r="G476" s="31" t="inlineStr">
        <x:is>
          <x:t xml:space="preserve">Маркировка</x:t>
        </x:is>
      </x:c>
      <x:c r="H476" s="31" t="inlineStr">
        <x:is>
          <x:t xml:space="preserve">Сборка</x:t>
        </x:is>
      </x:c>
      <x:c r="I476" s="31" t="inlineStr">
        <x:is>
          <x:t xml:space="preserve">ОБ-012</x:t>
        </x:is>
      </x:c>
      <x:c r="J476" s="31" t="inlineStr">
        <x:is>
          <x:t xml:space="preserve">СОТР-032</x:t>
        </x:is>
      </x:c>
      <x:c r="K476" s="31" t="n">
        <x:v>14.2</x:v>
      </x:c>
      <x:c r="L476" s="31" t="n">
        <x:v>16.9</x:v>
      </x:c>
      <x:c r="M476" s="31" t="n">
        <x:v>46083</x:v>
      </x:c>
      <x:c r="N476" s="31" t="n">
        <x:v>46085</x:v>
      </x:c>
      <x:c r="O476" s="31" t="n">
        <x:v>46083</x:v>
      </x:c>
      <x:c r="P476" s="31" t="n">
        <x:v>46087</x:v>
      </x:c>
      <x:c r="Q476" s="31" t="inlineStr">
        <x:is>
          <x:t xml:space="preserve">Завершено</x:t>
        </x:is>
      </x:c>
      <x:c r="R476" s="31" t="inlineStr">
        <x:is>
          <x:t xml:space="preserve">Нет</x:t>
        </x:is>
      </x:c>
      <x:c r="S476" s="31" t="inlineStr">
        <x:is>
          <x:t xml:space="preserve">Нет</x:t>
        </x:is>
      </x:c>
    </x:row>
    <x:row r="477">
      <x:c r="A477" s="31" t="inlineStr">
        <x:is>
          <x:t xml:space="preserve">ОП-000476</x:t>
        </x:is>
      </x:c>
      <x:c r="B477" s="31" t="inlineStr">
        <x:is>
          <x:t xml:space="preserve">ПЗ-00057</x:t>
        </x:is>
      </x:c>
      <x:c r="C477" s="31" t="inlineStr">
        <x:is>
          <x:t xml:space="preserve">ЗК-1035</x:t>
        </x:is>
      </x:c>
      <x:c r="D477" s="31" t="inlineStr">
        <x:is>
          <x:t xml:space="preserve">ПОЗ-0035-4</x:t>
        </x:is>
      </x:c>
      <x:c r="E477" s="31" t="inlineStr">
        <x:is>
          <x:t xml:space="preserve">ИЗД-002</x:t>
        </x:is>
      </x:c>
      <x:c r="F477" s="31" t="n">
        <x:v>50</x:v>
      </x:c>
      <x:c r="G477" s="31" t="inlineStr">
        <x:is>
          <x:t xml:space="preserve">Электромонтаж</x:t>
        </x:is>
      </x:c>
      <x:c r="H477" s="31" t="inlineStr">
        <x:is>
          <x:t xml:space="preserve">Сборка</x:t>
        </x:is>
      </x:c>
      <x:c r="I477" s="31" t="inlineStr">
        <x:is>
          <x:t xml:space="preserve">ОБ-014</x:t>
        </x:is>
      </x:c>
      <x:c r="J477" s="31" t="inlineStr">
        <x:is>
          <x:t xml:space="preserve">СОТР-083</x:t>
        </x:is>
      </x:c>
      <x:c r="K477" s="31" t="n">
        <x:v>3</x:v>
      </x:c>
      <x:c r="L477" s="31" t="n">
        <x:v>3</x:v>
      </x:c>
      <x:c r="M477" s="31" t="n">
        <x:v>46085</x:v>
      </x:c>
      <x:c r="N477" s="31" t="n">
        <x:v>46086</x:v>
      </x:c>
      <x:c r="O477" s="31" t="n">
        <x:v>46085</x:v>
      </x:c>
      <x:c r="P477" s="31" t="n">
        <x:v>46086</x:v>
      </x:c>
      <x:c r="Q477" s="31" t="inlineStr">
        <x:is>
          <x:t xml:space="preserve">Завершено</x:t>
        </x:is>
      </x:c>
      <x:c r="R477" s="31" t="inlineStr">
        <x:is>
          <x:t xml:space="preserve">Нет</x:t>
        </x:is>
      </x:c>
      <x:c r="S477" s="31" t="inlineStr">
        <x:is>
          <x:t xml:space="preserve">Нет</x:t>
        </x:is>
      </x:c>
    </x:row>
    <x:row r="478">
      <x:c r="A478" s="31" t="inlineStr">
        <x:is>
          <x:t xml:space="preserve">ОП-000477</x:t>
        </x:is>
      </x:c>
      <x:c r="B478" s="31" t="inlineStr">
        <x:is>
          <x:t xml:space="preserve">ПЗ-00057</x:t>
        </x:is>
      </x:c>
      <x:c r="C478" s="31" t="inlineStr">
        <x:is>
          <x:t xml:space="preserve">ЗК-1035</x:t>
        </x:is>
      </x:c>
      <x:c r="D478" s="31" t="inlineStr">
        <x:is>
          <x:t xml:space="preserve">ПОЗ-0035-4</x:t>
        </x:is>
      </x:c>
      <x:c r="E478" s="31" t="inlineStr">
        <x:is>
          <x:t xml:space="preserve">ИЗД-002</x:t>
        </x:is>
      </x:c>
      <x:c r="F478" s="31" t="n">
        <x:v>60</x:v>
      </x:c>
      <x:c r="G478" s="31" t="inlineStr">
        <x:is>
          <x:t xml:space="preserve">Программирование ПЛК</x:t>
        </x:is>
      </x:c>
      <x:c r="H478" s="31" t="inlineStr">
        <x:is>
          <x:t xml:space="preserve">Инженерный отдел</x:t>
        </x:is>
      </x:c>
      <x:c r="I478" s="31" t="n"/>
      <x:c r="J478" s="31" t="inlineStr">
        <x:is>
          <x:t xml:space="preserve">СОТР-014</x:t>
        </x:is>
      </x:c>
      <x:c r="K478" s="31" t="n">
        <x:v>14.2</x:v>
      </x:c>
      <x:c r="L478" s="31" t="n">
        <x:v>16.4</x:v>
      </x:c>
      <x:c r="M478" s="31" t="n">
        <x:v>46086</x:v>
      </x:c>
      <x:c r="N478" s="31" t="n">
        <x:v>46088</x:v>
      </x:c>
      <x:c r="O478" s="31" t="n">
        <x:v>46086</x:v>
      </x:c>
      <x:c r="P478" s="31" t="n">
        <x:v>46089</x:v>
      </x:c>
      <x:c r="Q478" s="31" t="inlineStr">
        <x:is>
          <x:t xml:space="preserve">Завершено</x:t>
        </x:is>
      </x:c>
      <x:c r="R478" s="31" t="inlineStr">
        <x:is>
          <x:t xml:space="preserve">Нет</x:t>
        </x:is>
      </x:c>
      <x:c r="S478" s="31" t="inlineStr">
        <x:is>
          <x:t xml:space="preserve">Нет</x:t>
        </x:is>
      </x:c>
    </x:row>
    <x:row r="479">
      <x:c r="A479" s="31" t="inlineStr">
        <x:is>
          <x:t xml:space="preserve">ОП-000478</x:t>
        </x:is>
      </x:c>
      <x:c r="B479" s="31" t="inlineStr">
        <x:is>
          <x:t xml:space="preserve">ПЗ-00057</x:t>
        </x:is>
      </x:c>
      <x:c r="C479" s="31" t="inlineStr">
        <x:is>
          <x:t xml:space="preserve">ЗК-1035</x:t>
        </x:is>
      </x:c>
      <x:c r="D479" s="31" t="inlineStr">
        <x:is>
          <x:t xml:space="preserve">ПОЗ-0035-4</x:t>
        </x:is>
      </x:c>
      <x:c r="E479" s="31" t="inlineStr">
        <x:is>
          <x:t xml:space="preserve">ИЗД-002</x:t>
        </x:is>
      </x:c>
      <x:c r="F479" s="31" t="n">
        <x:v>70</x:v>
      </x:c>
      <x:c r="G479" s="31" t="inlineStr">
        <x:is>
          <x:t xml:space="preserve">Приемочные испытания</x:t>
        </x:is>
      </x:c>
      <x:c r="H479" s="31" t="inlineStr">
        <x:is>
          <x:t xml:space="preserve">ОТК</x:t>
        </x:is>
      </x:c>
      <x:c r="I479" s="31" t="inlineStr">
        <x:is>
          <x:t xml:space="preserve">ОБ-015</x:t>
        </x:is>
      </x:c>
      <x:c r="J479" s="31" t="inlineStr">
        <x:is>
          <x:t xml:space="preserve">СОТР-100</x:t>
        </x:is>
      </x:c>
      <x:c r="K479" s="31" t="n">
        <x:v>12.2</x:v>
      </x:c>
      <x:c r="L479" s="31" t="n">
        <x:v>15</x:v>
      </x:c>
      <x:c r="M479" s="31" t="n">
        <x:v>46088</x:v>
      </x:c>
      <x:c r="N479" s="31" t="n">
        <x:v>46090</x:v>
      </x:c>
      <x:c r="O479" s="31" t="n">
        <x:v>46088</x:v>
      </x:c>
      <x:c r="P479" s="31" t="n">
        <x:v>46089</x:v>
      </x:c>
      <x:c r="Q479" s="31" t="inlineStr">
        <x:is>
          <x:t xml:space="preserve">Завершено</x:t>
        </x:is>
      </x:c>
      <x:c r="R479" s="31" t="inlineStr">
        <x:is>
          <x:t xml:space="preserve">Нет</x:t>
        </x:is>
      </x:c>
      <x:c r="S479" s="31" t="inlineStr">
        <x:is>
          <x:t xml:space="preserve">Нет</x:t>
        </x:is>
      </x:c>
    </x:row>
    <x:row r="480">
      <x:c r="A480" s="31" t="inlineStr">
        <x:is>
          <x:t xml:space="preserve">ОП-000479</x:t>
        </x:is>
      </x:c>
      <x:c r="B480" s="31" t="inlineStr">
        <x:is>
          <x:t xml:space="preserve">ПЗ-00057</x:t>
        </x:is>
      </x:c>
      <x:c r="C480" s="31" t="inlineStr">
        <x:is>
          <x:t xml:space="preserve">ЗК-1035</x:t>
        </x:is>
      </x:c>
      <x:c r="D480" s="31" t="inlineStr">
        <x:is>
          <x:t xml:space="preserve">ПОЗ-0035-4</x:t>
        </x:is>
      </x:c>
      <x:c r="E480" s="31" t="inlineStr">
        <x:is>
          <x:t xml:space="preserve">ИЗД-002</x:t>
        </x:is>
      </x:c>
      <x:c r="F480" s="31" t="n">
        <x:v>80</x:v>
      </x:c>
      <x:c r="G480" s="31" t="inlineStr">
        <x:is>
          <x:t xml:space="preserve">ОТК</x:t>
        </x:is>
      </x:c>
      <x:c r="H480" s="31" t="inlineStr">
        <x:is>
          <x:t xml:space="preserve">ОТК</x:t>
        </x:is>
      </x:c>
      <x:c r="I480" s="31" t="inlineStr">
        <x:is>
          <x:t xml:space="preserve">ОБ-001</x:t>
        </x:is>
      </x:c>
      <x:c r="J480" s="31" t="inlineStr">
        <x:is>
          <x:t xml:space="preserve">СОТР-100</x:t>
        </x:is>
      </x:c>
      <x:c r="K480" s="31" t="n">
        <x:v>12.4</x:v>
      </x:c>
      <x:c r="L480" s="31" t="n">
        <x:v>11.2</x:v>
      </x:c>
      <x:c r="M480" s="31" t="n">
        <x:v>46090</x:v>
      </x:c>
      <x:c r="N480" s="31" t="n">
        <x:v>46092</x:v>
      </x:c>
      <x:c r="O480" s="31" t="n">
        <x:v>46090</x:v>
      </x:c>
      <x:c r="P480" s="31" t="n">
        <x:v>46092</x:v>
      </x:c>
      <x:c r="Q480" s="31" t="inlineStr">
        <x:is>
          <x:t xml:space="preserve">Завершено</x:t>
        </x:is>
      </x:c>
      <x:c r="R480" s="31" t="inlineStr">
        <x:is>
          <x:t xml:space="preserve">Нет</x:t>
        </x:is>
      </x:c>
      <x:c r="S480" s="31" t="inlineStr">
        <x:is>
          <x:t xml:space="preserve">Да</x:t>
        </x:is>
      </x:c>
    </x:row>
    <x:row r="481">
      <x:c r="A481" s="31" t="inlineStr">
        <x:is>
          <x:t xml:space="preserve">ОП-000480</x:t>
        </x:is>
      </x:c>
      <x:c r="B481" s="31" t="inlineStr">
        <x:is>
          <x:t xml:space="preserve">ПЗ-00057</x:t>
        </x:is>
      </x:c>
      <x:c r="C481" s="31" t="inlineStr">
        <x:is>
          <x:t xml:space="preserve">ЗК-1035</x:t>
        </x:is>
      </x:c>
      <x:c r="D481" s="31" t="inlineStr">
        <x:is>
          <x:t xml:space="preserve">ПОЗ-0035-4</x:t>
        </x:is>
      </x:c>
      <x:c r="E481" s="31" t="inlineStr">
        <x:is>
          <x:t xml:space="preserve">ИЗД-002</x:t>
        </x:is>
      </x:c>
      <x:c r="F481" s="31" t="n">
        <x:v>90</x:v>
      </x:c>
      <x:c r="G481" s="31" t="inlineStr">
        <x:is>
          <x:t xml:space="preserve">Упаковка</x:t>
        </x:is>
      </x:c>
      <x:c r="H481" s="31" t="inlineStr">
        <x:is>
          <x:t xml:space="preserve">Логистика</x:t>
        </x:is>
      </x:c>
      <x:c r="I481" s="31" t="n"/>
      <x:c r="J481" s="31" t="inlineStr">
        <x:is>
          <x:t xml:space="preserve">СОТР-104</x:t>
        </x:is>
      </x:c>
      <x:c r="K481" s="31" t="n">
        <x:v>9</x:v>
      </x:c>
      <x:c r="L481" s="31" t="n">
        <x:v>7.4</x:v>
      </x:c>
      <x:c r="M481" s="31" t="n">
        <x:v>46092</x:v>
      </x:c>
      <x:c r="N481" s="31" t="n">
        <x:v>46093</x:v>
      </x:c>
      <x:c r="O481" s="31" t="n">
        <x:v>46092</x:v>
      </x:c>
      <x:c r="P481" s="31" t="n">
        <x:v>46092</x:v>
      </x:c>
      <x:c r="Q481" s="31" t="inlineStr">
        <x:is>
          <x:t xml:space="preserve">Завершено</x:t>
        </x:is>
      </x:c>
      <x:c r="R481" s="31" t="inlineStr">
        <x:is>
          <x:t xml:space="preserve">Нет</x:t>
        </x:is>
      </x:c>
      <x:c r="S481" s="31" t="inlineStr">
        <x:is>
          <x:t xml:space="preserve">Нет</x:t>
        </x:is>
      </x:c>
    </x:row>
    <x:row r="482">
      <x:c r="A482" s="31" t="inlineStr">
        <x:is>
          <x:t xml:space="preserve">ОП-000481</x:t>
        </x:is>
      </x:c>
      <x:c r="B482" s="31" t="inlineStr">
        <x:is>
          <x:t xml:space="preserve">ПЗ-00058</x:t>
        </x:is>
      </x:c>
      <x:c r="C482" s="31" t="inlineStr">
        <x:is>
          <x:t xml:space="preserve">ЗК-1036</x:t>
        </x:is>
      </x:c>
      <x:c r="D482" s="31" t="inlineStr">
        <x:is>
          <x:t xml:space="preserve">ПОЗ-0036-1</x:t>
        </x:is>
      </x:c>
      <x:c r="E482" s="31" t="inlineStr">
        <x:is>
          <x:t xml:space="preserve">ИЗД-005</x:t>
        </x:is>
      </x:c>
      <x:c r="F482" s="31" t="n">
        <x:v>10</x:v>
      </x:c>
      <x:c r="G482" s="31" t="inlineStr">
        <x:is>
          <x:t xml:space="preserve">КД</x:t>
        </x:is>
      </x:c>
      <x:c r="H482" s="31" t="inlineStr">
        <x:is>
          <x:t xml:space="preserve">Инженерный отдел</x:t>
        </x:is>
      </x:c>
      <x:c r="I482" s="31" t="n"/>
      <x:c r="J482" s="31" t="inlineStr">
        <x:is>
          <x:t xml:space="preserve">СОТР-011</x:t>
        </x:is>
      </x:c>
      <x:c r="K482" s="31" t="n">
        <x:v>10</x:v>
      </x:c>
      <x:c r="L482" s="31" t="n">
        <x:v>10.4</x:v>
      </x:c>
      <x:c r="M482" s="31" t="n">
        <x:v>46134</x:v>
      </x:c>
      <x:c r="N482" s="31" t="n">
        <x:v>46135</x:v>
      </x:c>
      <x:c r="O482" s="31" t="n">
        <x:v>46134</x:v>
      </x:c>
      <x:c r="P482" s="31" t="n">
        <x:v>46137</x:v>
      </x:c>
      <x:c r="Q482" s="31" t="inlineStr">
        <x:is>
          <x:t xml:space="preserve">Завершено</x:t>
        </x:is>
      </x:c>
      <x:c r="R482" s="31" t="inlineStr">
        <x:is>
          <x:t xml:space="preserve">Оборудование</x:t>
        </x:is>
      </x:c>
      <x:c r="S482" s="31" t="inlineStr">
        <x:is>
          <x:t xml:space="preserve">Нет</x:t>
        </x:is>
      </x:c>
    </x:row>
    <x:row r="483">
      <x:c r="A483" s="31" t="inlineStr">
        <x:is>
          <x:t xml:space="preserve">ОП-000482</x:t>
        </x:is>
      </x:c>
      <x:c r="B483" s="31" t="inlineStr">
        <x:is>
          <x:t xml:space="preserve">ПЗ-00058</x:t>
        </x:is>
      </x:c>
      <x:c r="C483" s="31" t="inlineStr">
        <x:is>
          <x:t xml:space="preserve">ЗК-1036</x:t>
        </x:is>
      </x:c>
      <x:c r="D483" s="31" t="inlineStr">
        <x:is>
          <x:t xml:space="preserve">ПОЗ-0036-1</x:t>
        </x:is>
      </x:c>
      <x:c r="E483" s="31" t="inlineStr">
        <x:is>
          <x:t xml:space="preserve">ИЗД-005</x:t>
        </x:is>
      </x:c>
      <x:c r="F483" s="31" t="n">
        <x:v>20</x:v>
      </x:c>
      <x:c r="G483" s="31" t="inlineStr">
        <x:is>
          <x:t xml:space="preserve">Резерв материалов</x:t>
        </x:is>
      </x:c>
      <x:c r="H483" s="31" t="inlineStr">
        <x:is>
          <x:t xml:space="preserve">Склад</x:t>
        </x:is>
      </x:c>
      <x:c r="I483" s="31" t="inlineStr">
        <x:is>
          <x:t xml:space="preserve">ОБ-011</x:t>
        </x:is>
      </x:c>
      <x:c r="J483" s="31" t="inlineStr">
        <x:is>
          <x:t xml:space="preserve">СОТР-036</x:t>
        </x:is>
      </x:c>
      <x:c r="K483" s="31" t="n">
        <x:v>2</x:v>
      </x:c>
      <x:c r="L483" s="31" t="n">
        <x:v>1.7</x:v>
      </x:c>
      <x:c r="M483" s="31" t="n">
        <x:v>46135</x:v>
      </x:c>
      <x:c r="N483" s="31" t="n">
        <x:v>46136</x:v>
      </x:c>
      <x:c r="O483" s="31" t="n">
        <x:v>46135</x:v>
      </x:c>
      <x:c r="P483" s="31" t="n">
        <x:v>46135</x:v>
      </x:c>
      <x:c r="Q483" s="31" t="inlineStr">
        <x:is>
          <x:t xml:space="preserve">Завершено</x:t>
        </x:is>
      </x:c>
      <x:c r="R483" s="31" t="inlineStr">
        <x:is>
          <x:t xml:space="preserve">Оборудование</x:t>
        </x:is>
      </x:c>
      <x:c r="S483" s="31" t="inlineStr">
        <x:is>
          <x:t xml:space="preserve">Нет</x:t>
        </x:is>
      </x:c>
    </x:row>
    <x:row r="484">
      <x:c r="A484" s="31" t="inlineStr">
        <x:is>
          <x:t xml:space="preserve">ОП-000483</x:t>
        </x:is>
      </x:c>
      <x:c r="B484" s="31" t="inlineStr">
        <x:is>
          <x:t xml:space="preserve">ПЗ-00058</x:t>
        </x:is>
      </x:c>
      <x:c r="C484" s="31" t="inlineStr">
        <x:is>
          <x:t xml:space="preserve">ЗК-1036</x:t>
        </x:is>
      </x:c>
      <x:c r="D484" s="31" t="inlineStr">
        <x:is>
          <x:t xml:space="preserve">ПОЗ-0036-1</x:t>
        </x:is>
      </x:c>
      <x:c r="E484" s="31" t="inlineStr">
        <x:is>
          <x:t xml:space="preserve">ИЗД-005</x:t>
        </x:is>
      </x:c>
      <x:c r="F484" s="31" t="n">
        <x:v>30</x:v>
      </x:c>
      <x:c r="G484" s="31" t="inlineStr">
        <x:is>
          <x:t xml:space="preserve">Резка металла</x:t>
        </x:is>
      </x:c>
      <x:c r="H484" s="31" t="inlineStr">
        <x:is>
          <x:t xml:space="preserve">Сварка</x:t>
        </x:is>
      </x:c>
      <x:c r="I484" s="31" t="inlineStr">
        <x:is>
          <x:t xml:space="preserve">ОБ-018</x:t>
        </x:is>
      </x:c>
      <x:c r="J484" s="31" t="inlineStr">
        <x:is>
          <x:t xml:space="preserve">СОТР-061</x:t>
        </x:is>
      </x:c>
      <x:c r="K484" s="31" t="n">
        <x:v>15.2</x:v>
      </x:c>
      <x:c r="L484" s="31" t="n">
        <x:v>19.4</x:v>
      </x:c>
      <x:c r="M484" s="31" t="n">
        <x:v>46136</x:v>
      </x:c>
      <x:c r="N484" s="31" t="n">
        <x:v>46138</x:v>
      </x:c>
      <x:c r="O484" s="31" t="n">
        <x:v>46136</x:v>
      </x:c>
      <x:c r="P484" s="31" t="n">
        <x:v>46139</x:v>
      </x:c>
      <x:c r="Q484" s="31" t="inlineStr">
        <x:is>
          <x:t xml:space="preserve">Завершено</x:t>
        </x:is>
      </x:c>
      <x:c r="R484" s="31" t="inlineStr">
        <x:is>
          <x:t xml:space="preserve">Нет</x:t>
        </x:is>
      </x:c>
      <x:c r="S484" s="31" t="inlineStr">
        <x:is>
          <x:t xml:space="preserve">Нет</x:t>
        </x:is>
      </x:c>
    </x:row>
    <x:row r="485">
      <x:c r="A485" s="31" t="inlineStr">
        <x:is>
          <x:t xml:space="preserve">ОП-000484</x:t>
        </x:is>
      </x:c>
      <x:c r="B485" s="31" t="inlineStr">
        <x:is>
          <x:t xml:space="preserve">ПЗ-00058</x:t>
        </x:is>
      </x:c>
      <x:c r="C485" s="31" t="inlineStr">
        <x:is>
          <x:t xml:space="preserve">ЗК-1036</x:t>
        </x:is>
      </x:c>
      <x:c r="D485" s="31" t="inlineStr">
        <x:is>
          <x:t xml:space="preserve">ПОЗ-0036-1</x:t>
        </x:is>
      </x:c>
      <x:c r="E485" s="31" t="inlineStr">
        <x:is>
          <x:t xml:space="preserve">ИЗД-005</x:t>
        </x:is>
      </x:c>
      <x:c r="F485" s="31" t="n">
        <x:v>40</x:v>
      </x:c>
      <x:c r="G485" s="31" t="inlineStr">
        <x:is>
          <x:t xml:space="preserve">Сварка рамы</x:t>
        </x:is>
      </x:c>
      <x:c r="H485" s="31" t="inlineStr">
        <x:is>
          <x:t xml:space="preserve">Сварка</x:t>
        </x:is>
      </x:c>
      <x:c r="I485" s="31" t="inlineStr">
        <x:is>
          <x:t xml:space="preserve">ОБ-026</x:t>
        </x:is>
      </x:c>
      <x:c r="J485" s="31" t="inlineStr">
        <x:is>
          <x:t xml:space="preserve">СОТР-072</x:t>
        </x:is>
      </x:c>
      <x:c r="K485" s="31" t="n">
        <x:v>2.8</x:v>
      </x:c>
      <x:c r="L485" s="31" t="n">
        <x:v>3.8</x:v>
      </x:c>
      <x:c r="M485" s="31" t="n">
        <x:v>46138</x:v>
      </x:c>
      <x:c r="N485" s="31" t="n">
        <x:v>46139</x:v>
      </x:c>
      <x:c r="O485" s="31" t="n">
        <x:v>46138</x:v>
      </x:c>
      <x:c r="P485" s="31" t="n">
        <x:v>46139</x:v>
      </x:c>
      <x:c r="Q485" s="31" t="inlineStr">
        <x:is>
          <x:t xml:space="preserve">Завершено</x:t>
        </x:is>
      </x:c>
      <x:c r="R485" s="31" t="inlineStr">
        <x:is>
          <x:t xml:space="preserve">Нет</x:t>
        </x:is>
      </x:c>
      <x:c r="S485" s="31" t="inlineStr">
        <x:is>
          <x:t xml:space="preserve">Нет</x:t>
        </x:is>
      </x:c>
    </x:row>
    <x:row r="486">
      <x:c r="A486" s="31" t="inlineStr">
        <x:is>
          <x:t xml:space="preserve">ОП-000485</x:t>
        </x:is>
      </x:c>
      <x:c r="B486" s="31" t="inlineStr">
        <x:is>
          <x:t xml:space="preserve">ПЗ-00058</x:t>
        </x:is>
      </x:c>
      <x:c r="C486" s="31" t="inlineStr">
        <x:is>
          <x:t xml:space="preserve">ЗК-1036</x:t>
        </x:is>
      </x:c>
      <x:c r="D486" s="31" t="inlineStr">
        <x:is>
          <x:t xml:space="preserve">ПОЗ-0036-1</x:t>
        </x:is>
      </x:c>
      <x:c r="E486" s="31" t="inlineStr">
        <x:is>
          <x:t xml:space="preserve">ИЗД-005</x:t>
        </x:is>
      </x:c>
      <x:c r="F486" s="31" t="n">
        <x:v>50</x:v>
      </x:c>
      <x:c r="G486" s="31" t="inlineStr">
        <x:is>
          <x:t xml:space="preserve">Механообработка</x:t>
        </x:is>
      </x:c>
      <x:c r="H486" s="31" t="inlineStr">
        <x:is>
          <x:t xml:space="preserve">Механообработка</x:t>
        </x:is>
      </x:c>
      <x:c r="I486" s="31" t="inlineStr">
        <x:is>
          <x:t xml:space="preserve">ОБ-030</x:t>
        </x:is>
      </x:c>
      <x:c r="J486" s="31" t="inlineStr">
        <x:is>
          <x:t xml:space="preserve">СОТР-049</x:t>
        </x:is>
      </x:c>
      <x:c r="K486" s="31" t="n">
        <x:v>2.6</x:v>
      </x:c>
      <x:c r="L486" s="31" t="n">
        <x:v>2.7</x:v>
      </x:c>
      <x:c r="M486" s="31" t="n">
        <x:v>46139</x:v>
      </x:c>
      <x:c r="N486" s="31" t="n">
        <x:v>46140</x:v>
      </x:c>
      <x:c r="O486" s="31" t="n">
        <x:v>46139</x:v>
      </x:c>
      <x:c r="P486" s="31" t="n">
        <x:v>46139</x:v>
      </x:c>
      <x:c r="Q486" s="31" t="inlineStr">
        <x:is>
          <x:t xml:space="preserve">Завершено</x:t>
        </x:is>
      </x:c>
      <x:c r="R486" s="31" t="inlineStr">
        <x:is>
          <x:t xml:space="preserve">Нет</x:t>
        </x:is>
      </x:c>
      <x:c r="S486" s="31" t="inlineStr">
        <x:is>
          <x:t xml:space="preserve">Да</x:t>
        </x:is>
      </x:c>
    </x:row>
    <x:row r="487">
      <x:c r="A487" s="31" t="inlineStr">
        <x:is>
          <x:t xml:space="preserve">ОП-000486</x:t>
        </x:is>
      </x:c>
      <x:c r="B487" s="31" t="inlineStr">
        <x:is>
          <x:t xml:space="preserve">ПЗ-00058</x:t>
        </x:is>
      </x:c>
      <x:c r="C487" s="31" t="inlineStr">
        <x:is>
          <x:t xml:space="preserve">ЗК-1036</x:t>
        </x:is>
      </x:c>
      <x:c r="D487" s="31" t="inlineStr">
        <x:is>
          <x:t xml:space="preserve">ПОЗ-0036-1</x:t>
        </x:is>
      </x:c>
      <x:c r="E487" s="31" t="inlineStr">
        <x:is>
          <x:t xml:space="preserve">ИЗД-005</x:t>
        </x:is>
      </x:c>
      <x:c r="F487" s="31" t="n">
        <x:v>60</x:v>
      </x:c>
      <x:c r="G487" s="31" t="inlineStr">
        <x:is>
          <x:t xml:space="preserve">Сборка</x:t>
        </x:is>
      </x:c>
      <x:c r="H487" s="31" t="inlineStr">
        <x:is>
          <x:t xml:space="preserve">Сборка</x:t>
        </x:is>
      </x:c>
      <x:c r="I487" s="31" t="inlineStr">
        <x:is>
          <x:t xml:space="preserve">ОБ-005</x:t>
        </x:is>
      </x:c>
      <x:c r="J487" s="31" t="inlineStr">
        <x:is>
          <x:t xml:space="preserve">СОТР-081</x:t>
        </x:is>
      </x:c>
      <x:c r="K487" s="31" t="n">
        <x:v>14.2</x:v>
      </x:c>
      <x:c r="L487" s="31" t="n">
        <x:v>11.7</x:v>
      </x:c>
      <x:c r="M487" s="31" t="n">
        <x:v>46140</x:v>
      </x:c>
      <x:c r="N487" s="31" t="n">
        <x:v>46142</x:v>
      </x:c>
      <x:c r="O487" s="31" t="n">
        <x:v>46140</x:v>
      </x:c>
      <x:c r="P487" s="31" t="n">
        <x:v>46144</x:v>
      </x:c>
      <x:c r="Q487" s="31" t="inlineStr">
        <x:is>
          <x:t xml:space="preserve">Завершено</x:t>
        </x:is>
      </x:c>
      <x:c r="R487" s="31" t="inlineStr">
        <x:is>
          <x:t xml:space="preserve">Нет</x:t>
        </x:is>
      </x:c>
      <x:c r="S487" s="31" t="inlineStr">
        <x:is>
          <x:t xml:space="preserve">Нет</x:t>
        </x:is>
      </x:c>
    </x:row>
    <x:row r="488">
      <x:c r="A488" s="31" t="inlineStr">
        <x:is>
          <x:t xml:space="preserve">ОП-000487</x:t>
        </x:is>
      </x:c>
      <x:c r="B488" s="31" t="inlineStr">
        <x:is>
          <x:t xml:space="preserve">ПЗ-00058</x:t>
        </x:is>
      </x:c>
      <x:c r="C488" s="31" t="inlineStr">
        <x:is>
          <x:t xml:space="preserve">ЗК-1036</x:t>
        </x:is>
      </x:c>
      <x:c r="D488" s="31" t="inlineStr">
        <x:is>
          <x:t xml:space="preserve">ПОЗ-0036-1</x:t>
        </x:is>
      </x:c>
      <x:c r="E488" s="31" t="inlineStr">
        <x:is>
          <x:t xml:space="preserve">ИЗД-005</x:t>
        </x:is>
      </x:c>
      <x:c r="F488" s="31" t="n">
        <x:v>70</x:v>
      </x:c>
      <x:c r="G488" s="31" t="inlineStr">
        <x:is>
          <x:t xml:space="preserve">Электромонтаж</x:t>
        </x:is>
      </x:c>
      <x:c r="H488" s="31" t="inlineStr">
        <x:is>
          <x:t xml:space="preserve">Сборка</x:t>
        </x:is>
      </x:c>
      <x:c r="I488" s="31" t="inlineStr">
        <x:is>
          <x:t xml:space="preserve">ОБ-020</x:t>
        </x:is>
      </x:c>
      <x:c r="J488" s="31" t="inlineStr">
        <x:is>
          <x:t xml:space="preserve">СОТР-079</x:t>
        </x:is>
      </x:c>
      <x:c r="K488" s="31" t="n">
        <x:v>12.6</x:v>
      </x:c>
      <x:c r="L488" s="31" t="n">
        <x:v>13</x:v>
      </x:c>
      <x:c r="M488" s="31" t="n">
        <x:v>46142</x:v>
      </x:c>
      <x:c r="N488" s="31" t="n">
        <x:v>46144</x:v>
      </x:c>
      <x:c r="O488" s="31" t="n">
        <x:v>46142</x:v>
      </x:c>
      <x:c r="P488" s="31" t="n">
        <x:v>46146</x:v>
      </x:c>
      <x:c r="Q488" s="31" t="inlineStr">
        <x:is>
          <x:t xml:space="preserve">Завершено</x:t>
        </x:is>
      </x:c>
      <x:c r="R488" s="31" t="inlineStr">
        <x:is>
          <x:t xml:space="preserve">Нет</x:t>
        </x:is>
      </x:c>
      <x:c r="S488" s="31" t="inlineStr">
        <x:is>
          <x:t xml:space="preserve">Нет</x:t>
        </x:is>
      </x:c>
    </x:row>
    <x:row r="489">
      <x:c r="A489" s="31" t="inlineStr">
        <x:is>
          <x:t xml:space="preserve">ОП-000488</x:t>
        </x:is>
      </x:c>
      <x:c r="B489" s="31" t="inlineStr">
        <x:is>
          <x:t xml:space="preserve">ПЗ-00058</x:t>
        </x:is>
      </x:c>
      <x:c r="C489" s="31" t="inlineStr">
        <x:is>
          <x:t xml:space="preserve">ЗК-1036</x:t>
        </x:is>
      </x:c>
      <x:c r="D489" s="31" t="inlineStr">
        <x:is>
          <x:t xml:space="preserve">ПОЗ-0036-1</x:t>
        </x:is>
      </x:c>
      <x:c r="E489" s="31" t="inlineStr">
        <x:is>
          <x:t xml:space="preserve">ИЗД-005</x:t>
        </x:is>
      </x:c>
      <x:c r="F489" s="31" t="n">
        <x:v>80</x:v>
      </x:c>
      <x:c r="G489" s="31" t="inlineStr">
        <x:is>
          <x:t xml:space="preserve">Гидроиспытания</x:t>
        </x:is>
      </x:c>
      <x:c r="H489" s="31" t="inlineStr">
        <x:is>
          <x:t xml:space="preserve">ОТК</x:t>
        </x:is>
      </x:c>
      <x:c r="I489" s="31" t="inlineStr">
        <x:is>
          <x:t xml:space="preserve">ОБ-022</x:t>
        </x:is>
      </x:c>
      <x:c r="J489" s="31" t="inlineStr">
        <x:is>
          <x:t xml:space="preserve">СОТР-098</x:t>
        </x:is>
      </x:c>
      <x:c r="K489" s="31" t="n">
        <x:v>13.2</x:v>
      </x:c>
      <x:c r="L489" s="31" t="n">
        <x:v>11.7</x:v>
      </x:c>
      <x:c r="M489" s="31" t="n">
        <x:v>46144</x:v>
      </x:c>
      <x:c r="N489" s="31" t="n">
        <x:v>46146</x:v>
      </x:c>
      <x:c r="O489" s="31" t="n">
        <x:v>46144</x:v>
      </x:c>
      <x:c r="P489" s="31" t="n">
        <x:v>46148</x:v>
      </x:c>
      <x:c r="Q489" s="31" t="inlineStr">
        <x:is>
          <x:t xml:space="preserve">Завершено</x:t>
        </x:is>
      </x:c>
      <x:c r="R489" s="31" t="inlineStr">
        <x:is>
          <x:t xml:space="preserve">Нет</x:t>
        </x:is>
      </x:c>
      <x:c r="S489" s="31" t="inlineStr">
        <x:is>
          <x:t xml:space="preserve">Нет</x:t>
        </x:is>
      </x:c>
    </x:row>
    <x:row r="490">
      <x:c r="A490" s="31" t="inlineStr">
        <x:is>
          <x:t xml:space="preserve">ОП-000489</x:t>
        </x:is>
      </x:c>
      <x:c r="B490" s="31" t="inlineStr">
        <x:is>
          <x:t xml:space="preserve">ПЗ-00058</x:t>
        </x:is>
      </x:c>
      <x:c r="C490" s="31" t="inlineStr">
        <x:is>
          <x:t xml:space="preserve">ЗК-1036</x:t>
        </x:is>
      </x:c>
      <x:c r="D490" s="31" t="inlineStr">
        <x:is>
          <x:t xml:space="preserve">ПОЗ-0036-1</x:t>
        </x:is>
      </x:c>
      <x:c r="E490" s="31" t="inlineStr">
        <x:is>
          <x:t xml:space="preserve">ИЗД-005</x:t>
        </x:is>
      </x:c>
      <x:c r="F490" s="31" t="n">
        <x:v>90</x:v>
      </x:c>
      <x:c r="G490" s="31" t="inlineStr">
        <x:is>
          <x:t xml:space="preserve">ОТК</x:t>
        </x:is>
      </x:c>
      <x:c r="H490" s="31" t="inlineStr">
        <x:is>
          <x:t xml:space="preserve">ОТК</x:t>
        </x:is>
      </x:c>
      <x:c r="I490" s="31" t="inlineStr">
        <x:is>
          <x:t xml:space="preserve">ОБ-006</x:t>
        </x:is>
      </x:c>
      <x:c r="J490" s="31" t="inlineStr">
        <x:is>
          <x:t xml:space="preserve">СОТР-100</x:t>
        </x:is>
      </x:c>
      <x:c r="K490" s="31" t="n">
        <x:v>15.8</x:v>
      </x:c>
      <x:c r="L490" s="31" t="n">
        <x:v>17.3</x:v>
      </x:c>
      <x:c r="M490" s="31" t="n">
        <x:v>46146</x:v>
      </x:c>
      <x:c r="N490" s="31" t="n">
        <x:v>46148</x:v>
      </x:c>
      <x:c r="O490" s="31" t="n">
        <x:v>46146</x:v>
      </x:c>
      <x:c r="P490" s="31" t="n">
        <x:v>46148</x:v>
      </x:c>
      <x:c r="Q490" s="31" t="inlineStr">
        <x:is>
          <x:t xml:space="preserve">Завершено</x:t>
        </x:is>
      </x:c>
      <x:c r="R490" s="31" t="inlineStr">
        <x:is>
          <x:t xml:space="preserve">Нет</x:t>
        </x:is>
      </x:c>
      <x:c r="S490" s="31" t="inlineStr">
        <x:is>
          <x:t xml:space="preserve">Нет</x:t>
        </x:is>
      </x:c>
    </x:row>
    <x:row r="491">
      <x:c r="A491" s="31" t="inlineStr">
        <x:is>
          <x:t xml:space="preserve">ОП-000490</x:t>
        </x:is>
      </x:c>
      <x:c r="B491" s="31" t="inlineStr">
        <x:is>
          <x:t xml:space="preserve">ПЗ-00058</x:t>
        </x:is>
      </x:c>
      <x:c r="C491" s="31" t="inlineStr">
        <x:is>
          <x:t xml:space="preserve">ЗК-1036</x:t>
        </x:is>
      </x:c>
      <x:c r="D491" s="31" t="inlineStr">
        <x:is>
          <x:t xml:space="preserve">ПОЗ-0036-1</x:t>
        </x:is>
      </x:c>
      <x:c r="E491" s="31" t="inlineStr">
        <x:is>
          <x:t xml:space="preserve">ИЗД-005</x:t>
        </x:is>
      </x:c>
      <x:c r="F491" s="31" t="n">
        <x:v>100</x:v>
      </x:c>
      <x:c r="G491" s="31" t="inlineStr">
        <x:is>
          <x:t xml:space="preserve">Упаковка</x:t>
        </x:is>
      </x:c>
      <x:c r="H491" s="31" t="inlineStr">
        <x:is>
          <x:t xml:space="preserve">Логистика</x:t>
        </x:is>
      </x:c>
      <x:c r="I491" s="31" t="n"/>
      <x:c r="J491" s="31" t="inlineStr">
        <x:is>
          <x:t xml:space="preserve">СОТР-105</x:t>
        </x:is>
      </x:c>
      <x:c r="K491" s="31" t="n">
        <x:v>11.4</x:v>
      </x:c>
      <x:c r="L491" s="31" t="n">
        <x:v>12.4</x:v>
      </x:c>
      <x:c r="M491" s="31" t="n">
        <x:v>46148</x:v>
      </x:c>
      <x:c r="N491" s="31" t="n">
        <x:v>46149</x:v>
      </x:c>
      <x:c r="O491" s="31" t="n">
        <x:v>46148</x:v>
      </x:c>
      <x:c r="P491" s="31" t="n">
        <x:v>46151</x:v>
      </x:c>
      <x:c r="Q491" s="31" t="inlineStr">
        <x:is>
          <x:t xml:space="preserve">Завершено</x:t>
        </x:is>
      </x:c>
      <x:c r="R491" s="31" t="inlineStr">
        <x:is>
          <x:t xml:space="preserve">Нет</x:t>
        </x:is>
      </x:c>
      <x:c r="S491" s="31" t="inlineStr">
        <x:is>
          <x:t xml:space="preserve">Нет</x:t>
        </x:is>
      </x:c>
    </x:row>
    <x:row r="492">
      <x:c r="A492" s="31" t="inlineStr">
        <x:is>
          <x:t xml:space="preserve">ОП-000491</x:t>
        </x:is>
      </x:c>
      <x:c r="B492" s="31" t="inlineStr">
        <x:is>
          <x:t xml:space="preserve">ПЗ-00059</x:t>
        </x:is>
      </x:c>
      <x:c r="C492" s="31" t="inlineStr">
        <x:is>
          <x:t xml:space="preserve">ЗК-1036</x:t>
        </x:is>
      </x:c>
      <x:c r="D492" s="31" t="inlineStr">
        <x:is>
          <x:t xml:space="preserve">ПОЗ-0036-2</x:t>
        </x:is>
      </x:c>
      <x:c r="E492" s="31" t="inlineStr">
        <x:is>
          <x:t xml:space="preserve">ИЗД-003</x:t>
        </x:is>
      </x:c>
      <x:c r="F492" s="31" t="n">
        <x:v>10</x:v>
      </x:c>
      <x:c r="G492" s="31" t="inlineStr">
        <x:is>
          <x:t xml:space="preserve">КД</x:t>
        </x:is>
      </x:c>
      <x:c r="H492" s="31" t="inlineStr">
        <x:is>
          <x:t xml:space="preserve">Инженерный отдел</x:t>
        </x:is>
      </x:c>
      <x:c r="I492" s="31" t="n"/>
      <x:c r="J492" s="31" t="inlineStr">
        <x:is>
          <x:t xml:space="preserve">СОТР-011</x:t>
        </x:is>
      </x:c>
      <x:c r="K492" s="31" t="n">
        <x:v>6.9</x:v>
      </x:c>
      <x:c r="L492" s="31" t="n">
        <x:v>5.6</x:v>
      </x:c>
      <x:c r="M492" s="31" t="n">
        <x:v>46136</x:v>
      </x:c>
      <x:c r="N492" s="31" t="n">
        <x:v>46137</x:v>
      </x:c>
      <x:c r="O492" s="31" t="n">
        <x:v>46136</x:v>
      </x:c>
      <x:c r="P492" s="31" t="n">
        <x:v>46137</x:v>
      </x:c>
      <x:c r="Q492" s="31" t="inlineStr">
        <x:is>
          <x:t xml:space="preserve">Завершено</x:t>
        </x:is>
      </x:c>
      <x:c r="R492" s="31" t="inlineStr">
        <x:is>
          <x:t xml:space="preserve">Нет</x:t>
        </x:is>
      </x:c>
      <x:c r="S492" s="31" t="inlineStr">
        <x:is>
          <x:t xml:space="preserve">Нет</x:t>
        </x:is>
      </x:c>
    </x:row>
    <x:row r="493">
      <x:c r="A493" s="31" t="inlineStr">
        <x:is>
          <x:t xml:space="preserve">ОП-000492</x:t>
        </x:is>
      </x:c>
      <x:c r="B493" s="31" t="inlineStr">
        <x:is>
          <x:t xml:space="preserve">ПЗ-00059</x:t>
        </x:is>
      </x:c>
      <x:c r="C493" s="31" t="inlineStr">
        <x:is>
          <x:t xml:space="preserve">ЗК-1036</x:t>
        </x:is>
      </x:c>
      <x:c r="D493" s="31" t="inlineStr">
        <x:is>
          <x:t xml:space="preserve">ПОЗ-0036-2</x:t>
        </x:is>
      </x:c>
      <x:c r="E493" s="31" t="inlineStr">
        <x:is>
          <x:t xml:space="preserve">ИЗД-003</x:t>
        </x:is>
      </x:c>
      <x:c r="F493" s="31" t="n">
        <x:v>20</x:v>
      </x:c>
      <x:c r="G493" s="31" t="inlineStr">
        <x:is>
          <x:t xml:space="preserve">Резерв материалов</x:t>
        </x:is>
      </x:c>
      <x:c r="H493" s="31" t="inlineStr">
        <x:is>
          <x:t xml:space="preserve">Склад</x:t>
        </x:is>
      </x:c>
      <x:c r="I493" s="31" t="inlineStr">
        <x:is>
          <x:t xml:space="preserve">ОБ-023</x:t>
        </x:is>
      </x:c>
      <x:c r="J493" s="31" t="inlineStr">
        <x:is>
          <x:t xml:space="preserve">СОТР-037</x:t>
        </x:is>
      </x:c>
      <x:c r="K493" s="31" t="n">
        <x:v>7.9</x:v>
      </x:c>
      <x:c r="L493" s="31" t="n">
        <x:v>10</x:v>
      </x:c>
      <x:c r="M493" s="31" t="n">
        <x:v>46137</x:v>
      </x:c>
      <x:c r="N493" s="31" t="n">
        <x:v>46138</x:v>
      </x:c>
      <x:c r="O493" s="31" t="n">
        <x:v>46137</x:v>
      </x:c>
      <x:c r="P493" s="31" t="n">
        <x:v>46140</x:v>
      </x:c>
      <x:c r="Q493" s="31" t="inlineStr">
        <x:is>
          <x:t xml:space="preserve">Завершено</x:t>
        </x:is>
      </x:c>
      <x:c r="R493" s="31" t="inlineStr">
        <x:is>
          <x:t xml:space="preserve">Нет</x:t>
        </x:is>
      </x:c>
      <x:c r="S493" s="31" t="inlineStr">
        <x:is>
          <x:t xml:space="preserve">Нет</x:t>
        </x:is>
      </x:c>
    </x:row>
    <x:row r="494">
      <x:c r="A494" s="31" t="inlineStr">
        <x:is>
          <x:t xml:space="preserve">ОП-000493</x:t>
        </x:is>
      </x:c>
      <x:c r="B494" s="31" t="inlineStr">
        <x:is>
          <x:t xml:space="preserve">ПЗ-00059</x:t>
        </x:is>
      </x:c>
      <x:c r="C494" s="31" t="inlineStr">
        <x:is>
          <x:t xml:space="preserve">ЗК-1036</x:t>
        </x:is>
      </x:c>
      <x:c r="D494" s="31" t="inlineStr">
        <x:is>
          <x:t xml:space="preserve">ПОЗ-0036-2</x:t>
        </x:is>
      </x:c>
      <x:c r="E494" s="31" t="inlineStr">
        <x:is>
          <x:t xml:space="preserve">ИЗД-003</x:t>
        </x:is>
      </x:c>
      <x:c r="F494" s="31" t="n">
        <x:v>30</x:v>
      </x:c>
      <x:c r="G494" s="31" t="inlineStr">
        <x:is>
          <x:t xml:space="preserve">Резка металла</x:t>
        </x:is>
      </x:c>
      <x:c r="H494" s="31" t="inlineStr">
        <x:is>
          <x:t xml:space="preserve">Сварка</x:t>
        </x:is>
      </x:c>
      <x:c r="I494" s="31" t="inlineStr">
        <x:is>
          <x:t xml:space="preserve">ОБ-019</x:t>
        </x:is>
      </x:c>
      <x:c r="J494" s="31" t="inlineStr">
        <x:is>
          <x:t xml:space="preserve">СОТР-071</x:t>
        </x:is>
      </x:c>
      <x:c r="K494" s="31" t="n">
        <x:v>1.1</x:v>
      </x:c>
      <x:c r="L494" s="31" t="n">
        <x:v>1.1</x:v>
      </x:c>
      <x:c r="M494" s="31" t="n">
        <x:v>46138</x:v>
      </x:c>
      <x:c r="N494" s="31" t="n">
        <x:v>46139</x:v>
      </x:c>
      <x:c r="O494" s="31" t="n">
        <x:v>46138</x:v>
      </x:c>
      <x:c r="P494" s="31" t="n">
        <x:v>46139</x:v>
      </x:c>
      <x:c r="Q494" s="31" t="inlineStr">
        <x:is>
          <x:t xml:space="preserve">Завершено</x:t>
        </x:is>
      </x:c>
      <x:c r="R494" s="31" t="inlineStr">
        <x:is>
          <x:t xml:space="preserve">Нет</x:t>
        </x:is>
      </x:c>
      <x:c r="S494" s="31" t="inlineStr">
        <x:is>
          <x:t xml:space="preserve">Нет</x:t>
        </x:is>
      </x:c>
    </x:row>
    <x:row r="495">
      <x:c r="A495" s="31" t="inlineStr">
        <x:is>
          <x:t xml:space="preserve">ОП-000494</x:t>
        </x:is>
      </x:c>
      <x:c r="B495" s="31" t="inlineStr">
        <x:is>
          <x:t xml:space="preserve">ПЗ-00059</x:t>
        </x:is>
      </x:c>
      <x:c r="C495" s="31" t="inlineStr">
        <x:is>
          <x:t xml:space="preserve">ЗК-1036</x:t>
        </x:is>
      </x:c>
      <x:c r="D495" s="31" t="inlineStr">
        <x:is>
          <x:t xml:space="preserve">ПОЗ-0036-2</x:t>
        </x:is>
      </x:c>
      <x:c r="E495" s="31" t="inlineStr">
        <x:is>
          <x:t xml:space="preserve">ИЗД-003</x:t>
        </x:is>
      </x:c>
      <x:c r="F495" s="31" t="n">
        <x:v>40</x:v>
      </x:c>
      <x:c r="G495" s="31" t="inlineStr">
        <x:is>
          <x:t xml:space="preserve">Сварка рамы</x:t>
        </x:is>
      </x:c>
      <x:c r="H495" s="31" t="inlineStr">
        <x:is>
          <x:t xml:space="preserve">Сварка</x:t>
        </x:is>
      </x:c>
      <x:c r="I495" s="31" t="inlineStr">
        <x:is>
          <x:t xml:space="preserve">ОБ-004</x:t>
        </x:is>
      </x:c>
      <x:c r="J495" s="31" t="inlineStr">
        <x:is>
          <x:t xml:space="preserve">СОТР-071</x:t>
        </x:is>
      </x:c>
      <x:c r="K495" s="31" t="n">
        <x:v>7.1</x:v>
      </x:c>
      <x:c r="L495" s="31" t="n">
        <x:v>8.699999999999999</x:v>
      </x:c>
      <x:c r="M495" s="31" t="n">
        <x:v>46139</x:v>
      </x:c>
      <x:c r="N495" s="31" t="n">
        <x:v>46140</x:v>
      </x:c>
      <x:c r="O495" s="31" t="n">
        <x:v>46139</x:v>
      </x:c>
      <x:c r="P495" s="31" t="n">
        <x:v>46139</x:v>
      </x:c>
      <x:c r="Q495" s="31" t="inlineStr">
        <x:is>
          <x:t xml:space="preserve">Завершено</x:t>
        </x:is>
      </x:c>
      <x:c r="R495" s="31" t="inlineStr">
        <x:is>
          <x:t xml:space="preserve">КД</x:t>
        </x:is>
      </x:c>
      <x:c r="S495" s="31" t="inlineStr">
        <x:is>
          <x:t xml:space="preserve">Нет</x:t>
        </x:is>
      </x:c>
    </x:row>
    <x:row r="496">
      <x:c r="A496" s="31" t="inlineStr">
        <x:is>
          <x:t xml:space="preserve">ОП-000495</x:t>
        </x:is>
      </x:c>
      <x:c r="B496" s="31" t="inlineStr">
        <x:is>
          <x:t xml:space="preserve">ПЗ-00059</x:t>
        </x:is>
      </x:c>
      <x:c r="C496" s="31" t="inlineStr">
        <x:is>
          <x:t xml:space="preserve">ЗК-1036</x:t>
        </x:is>
      </x:c>
      <x:c r="D496" s="31" t="inlineStr">
        <x:is>
          <x:t xml:space="preserve">ПОЗ-0036-2</x:t>
        </x:is>
      </x:c>
      <x:c r="E496" s="31" t="inlineStr">
        <x:is>
          <x:t xml:space="preserve">ИЗД-003</x:t>
        </x:is>
      </x:c>
      <x:c r="F496" s="31" t="n">
        <x:v>50</x:v>
      </x:c>
      <x:c r="G496" s="31" t="inlineStr">
        <x:is>
          <x:t xml:space="preserve">Механообработка</x:t>
        </x:is>
      </x:c>
      <x:c r="H496" s="31" t="inlineStr">
        <x:is>
          <x:t xml:space="preserve">Механообработка</x:t>
        </x:is>
      </x:c>
      <x:c r="I496" s="31" t="inlineStr">
        <x:is>
          <x:t xml:space="preserve">ОБ-031</x:t>
        </x:is>
      </x:c>
      <x:c r="J496" s="31" t="inlineStr">
        <x:is>
          <x:t xml:space="preserve">СОТР-043</x:t>
        </x:is>
      </x:c>
      <x:c r="K496" s="31" t="n">
        <x:v>1.4</x:v>
      </x:c>
      <x:c r="L496" s="31" t="n">
        <x:v>1.7</x:v>
      </x:c>
      <x:c r="M496" s="31" t="n">
        <x:v>46140</x:v>
      </x:c>
      <x:c r="N496" s="31" t="n">
        <x:v>46141</x:v>
      </x:c>
      <x:c r="O496" s="31" t="n">
        <x:v>46140</x:v>
      </x:c>
      <x:c r="P496" s="31" t="n">
        <x:v>46140</x:v>
      </x:c>
      <x:c r="Q496" s="31" t="inlineStr">
        <x:is>
          <x:t xml:space="preserve">Завершено</x:t>
        </x:is>
      </x:c>
      <x:c r="R496" s="31" t="inlineStr">
        <x:is>
          <x:t xml:space="preserve">Нет</x:t>
        </x:is>
      </x:c>
      <x:c r="S496" s="31" t="inlineStr">
        <x:is>
          <x:t xml:space="preserve">Нет</x:t>
        </x:is>
      </x:c>
    </x:row>
    <x:row r="497">
      <x:c r="A497" s="31" t="inlineStr">
        <x:is>
          <x:t xml:space="preserve">ОП-000496</x:t>
        </x:is>
      </x:c>
      <x:c r="B497" s="31" t="inlineStr">
        <x:is>
          <x:t xml:space="preserve">ПЗ-00059</x:t>
        </x:is>
      </x:c>
      <x:c r="C497" s="31" t="inlineStr">
        <x:is>
          <x:t xml:space="preserve">ЗК-1036</x:t>
        </x:is>
      </x:c>
      <x:c r="D497" s="31" t="inlineStr">
        <x:is>
          <x:t xml:space="preserve">ПОЗ-0036-2</x:t>
        </x:is>
      </x:c>
      <x:c r="E497" s="31" t="inlineStr">
        <x:is>
          <x:t xml:space="preserve">ИЗД-003</x:t>
        </x:is>
      </x:c>
      <x:c r="F497" s="31" t="n">
        <x:v>60</x:v>
      </x:c>
      <x:c r="G497" s="31" t="inlineStr">
        <x:is>
          <x:t xml:space="preserve">Сборка</x:t>
        </x:is>
      </x:c>
      <x:c r="H497" s="31" t="inlineStr">
        <x:is>
          <x:t xml:space="preserve">Сборка</x:t>
        </x:is>
      </x:c>
      <x:c r="I497" s="31" t="inlineStr">
        <x:is>
          <x:t xml:space="preserve">ОБ-014</x:t>
        </x:is>
      </x:c>
      <x:c r="J497" s="31" t="inlineStr">
        <x:is>
          <x:t xml:space="preserve">СОТР-075</x:t>
        </x:is>
      </x:c>
      <x:c r="K497" s="31" t="n">
        <x:v>2.2</x:v>
      </x:c>
      <x:c r="L497" s="31" t="n">
        <x:v>2.3</x:v>
      </x:c>
      <x:c r="M497" s="31" t="n">
        <x:v>46141</x:v>
      </x:c>
      <x:c r="N497" s="31" t="n">
        <x:v>46142</x:v>
      </x:c>
      <x:c r="O497" s="31" t="n">
        <x:v>46141</x:v>
      </x:c>
      <x:c r="P497" s="31" t="n">
        <x:v>46144</x:v>
      </x:c>
      <x:c r="Q497" s="31" t="inlineStr">
        <x:is>
          <x:t xml:space="preserve">Завершено</x:t>
        </x:is>
      </x:c>
      <x:c r="R497" s="31" t="inlineStr">
        <x:is>
          <x:t xml:space="preserve">Нет</x:t>
        </x:is>
      </x:c>
      <x:c r="S497" s="31" t="inlineStr">
        <x:is>
          <x:t xml:space="preserve">Нет</x:t>
        </x:is>
      </x:c>
    </x:row>
    <x:row r="498">
      <x:c r="A498" s="31" t="inlineStr">
        <x:is>
          <x:t xml:space="preserve">ОП-000497</x:t>
        </x:is>
      </x:c>
      <x:c r="B498" s="31" t="inlineStr">
        <x:is>
          <x:t xml:space="preserve">ПЗ-00059</x:t>
        </x:is>
      </x:c>
      <x:c r="C498" s="31" t="inlineStr">
        <x:is>
          <x:t xml:space="preserve">ЗК-1036</x:t>
        </x:is>
      </x:c>
      <x:c r="D498" s="31" t="inlineStr">
        <x:is>
          <x:t xml:space="preserve">ПОЗ-0036-2</x:t>
        </x:is>
      </x:c>
      <x:c r="E498" s="31" t="inlineStr">
        <x:is>
          <x:t xml:space="preserve">ИЗД-003</x:t>
        </x:is>
      </x:c>
      <x:c r="F498" s="31" t="n">
        <x:v>70</x:v>
      </x:c>
      <x:c r="G498" s="31" t="inlineStr">
        <x:is>
          <x:t xml:space="preserve">Электромонтаж</x:t>
        </x:is>
      </x:c>
      <x:c r="H498" s="31" t="inlineStr">
        <x:is>
          <x:t xml:space="preserve">Сборка</x:t>
        </x:is>
      </x:c>
      <x:c r="I498" s="31" t="inlineStr">
        <x:is>
          <x:t xml:space="preserve">ОБ-034</x:t>
        </x:is>
      </x:c>
      <x:c r="J498" s="31" t="inlineStr">
        <x:is>
          <x:t xml:space="preserve">СОТР-077</x:t>
        </x:is>
      </x:c>
      <x:c r="K498" s="31" t="n">
        <x:v>5</x:v>
      </x:c>
      <x:c r="L498" s="31" t="n">
        <x:v>4.8</x:v>
      </x:c>
      <x:c r="M498" s="31" t="n">
        <x:v>46142</x:v>
      </x:c>
      <x:c r="N498" s="31" t="n">
        <x:v>46143</x:v>
      </x:c>
      <x:c r="O498" s="31" t="n">
        <x:v>46142</x:v>
      </x:c>
      <x:c r="P498" s="31" t="n">
        <x:v>46145</x:v>
      </x:c>
      <x:c r="Q498" s="31" t="inlineStr">
        <x:is>
          <x:t xml:space="preserve">Завершено</x:t>
        </x:is>
      </x:c>
      <x:c r="R498" s="31" t="inlineStr">
        <x:is>
          <x:t xml:space="preserve">Нет</x:t>
        </x:is>
      </x:c>
      <x:c r="S498" s="31" t="inlineStr">
        <x:is>
          <x:t xml:space="preserve">Нет</x:t>
        </x:is>
      </x:c>
    </x:row>
    <x:row r="499">
      <x:c r="A499" s="31" t="inlineStr">
        <x:is>
          <x:t xml:space="preserve">ОП-000498</x:t>
        </x:is>
      </x:c>
      <x:c r="B499" s="31" t="inlineStr">
        <x:is>
          <x:t xml:space="preserve">ПЗ-00059</x:t>
        </x:is>
      </x:c>
      <x:c r="C499" s="31" t="inlineStr">
        <x:is>
          <x:t xml:space="preserve">ЗК-1036</x:t>
        </x:is>
      </x:c>
      <x:c r="D499" s="31" t="inlineStr">
        <x:is>
          <x:t xml:space="preserve">ПОЗ-0036-2</x:t>
        </x:is>
      </x:c>
      <x:c r="E499" s="31" t="inlineStr">
        <x:is>
          <x:t xml:space="preserve">ИЗД-003</x:t>
        </x:is>
      </x:c>
      <x:c r="F499" s="31" t="n">
        <x:v>80</x:v>
      </x:c>
      <x:c r="G499" s="31" t="inlineStr">
        <x:is>
          <x:t xml:space="preserve">Гидроиспытания</x:t>
        </x:is>
      </x:c>
      <x:c r="H499" s="31" t="inlineStr">
        <x:is>
          <x:t xml:space="preserve">ОТК</x:t>
        </x:is>
      </x:c>
      <x:c r="I499" s="31" t="inlineStr">
        <x:is>
          <x:t xml:space="preserve">ОБ-022</x:t>
        </x:is>
      </x:c>
      <x:c r="J499" s="31" t="inlineStr">
        <x:is>
          <x:t xml:space="preserve">СОТР-092</x:t>
        </x:is>
      </x:c>
      <x:c r="K499" s="31" t="n">
        <x:v>5.6</x:v>
      </x:c>
      <x:c r="L499" s="31" t="n">
        <x:v>5.3</x:v>
      </x:c>
      <x:c r="M499" s="31" t="n">
        <x:v>46143</x:v>
      </x:c>
      <x:c r="N499" s="31" t="n">
        <x:v>46144</x:v>
      </x:c>
      <x:c r="O499" s="31" t="n">
        <x:v>46143</x:v>
      </x:c>
      <x:c r="P499" s="31" t="n">
        <x:v>46144</x:v>
      </x:c>
      <x:c r="Q499" s="31" t="inlineStr">
        <x:is>
          <x:t xml:space="preserve">Завершено</x:t>
        </x:is>
      </x:c>
      <x:c r="R499" s="31" t="inlineStr">
        <x:is>
          <x:t xml:space="preserve">Нет</x:t>
        </x:is>
      </x:c>
      <x:c r="S499" s="31" t="inlineStr">
        <x:is>
          <x:t xml:space="preserve">Нет</x:t>
        </x:is>
      </x:c>
    </x:row>
    <x:row r="500">
      <x:c r="A500" s="31" t="inlineStr">
        <x:is>
          <x:t xml:space="preserve">ОП-000499</x:t>
        </x:is>
      </x:c>
      <x:c r="B500" s="31" t="inlineStr">
        <x:is>
          <x:t xml:space="preserve">ПЗ-00059</x:t>
        </x:is>
      </x:c>
      <x:c r="C500" s="31" t="inlineStr">
        <x:is>
          <x:t xml:space="preserve">ЗК-1036</x:t>
        </x:is>
      </x:c>
      <x:c r="D500" s="31" t="inlineStr">
        <x:is>
          <x:t xml:space="preserve">ПОЗ-0036-2</x:t>
        </x:is>
      </x:c>
      <x:c r="E500" s="31" t="inlineStr">
        <x:is>
          <x:t xml:space="preserve">ИЗД-003</x:t>
        </x:is>
      </x:c>
      <x:c r="F500" s="31" t="n">
        <x:v>90</x:v>
      </x:c>
      <x:c r="G500" s="31" t="inlineStr">
        <x:is>
          <x:t xml:space="preserve">ОТК</x:t>
        </x:is>
      </x:c>
      <x:c r="H500" s="31" t="inlineStr">
        <x:is>
          <x:t xml:space="preserve">ОТК</x:t>
        </x:is>
      </x:c>
      <x:c r="I500" s="31" t="inlineStr">
        <x:is>
          <x:t xml:space="preserve">ОБ-006</x:t>
        </x:is>
      </x:c>
      <x:c r="J500" s="31" t="inlineStr">
        <x:is>
          <x:t xml:space="preserve">СОТР-093</x:t>
        </x:is>
      </x:c>
      <x:c r="K500" s="31" t="n">
        <x:v>4</x:v>
      </x:c>
      <x:c r="L500" s="31" t="n">
        <x:v>3.8</x:v>
      </x:c>
      <x:c r="M500" s="31" t="n">
        <x:v>46144</x:v>
      </x:c>
      <x:c r="N500" s="31" t="n">
        <x:v>46145</x:v>
      </x:c>
      <x:c r="O500" s="31" t="n">
        <x:v>46144</x:v>
      </x:c>
      <x:c r="P500" s="31" t="n">
        <x:v>46147</x:v>
      </x:c>
      <x:c r="Q500" s="31" t="inlineStr">
        <x:is>
          <x:t xml:space="preserve">Завершено</x:t>
        </x:is>
      </x:c>
      <x:c r="R500" s="31" t="inlineStr">
        <x:is>
          <x:t xml:space="preserve">Нет</x:t>
        </x:is>
      </x:c>
      <x:c r="S500" s="31" t="inlineStr">
        <x:is>
          <x:t xml:space="preserve">Нет</x:t>
        </x:is>
      </x:c>
    </x:row>
    <x:row r="501">
      <x:c r="A501" s="31" t="inlineStr">
        <x:is>
          <x:t xml:space="preserve">ОП-000500</x:t>
        </x:is>
      </x:c>
      <x:c r="B501" s="31" t="inlineStr">
        <x:is>
          <x:t xml:space="preserve">ПЗ-00059</x:t>
        </x:is>
      </x:c>
      <x:c r="C501" s="31" t="inlineStr">
        <x:is>
          <x:t xml:space="preserve">ЗК-1036</x:t>
        </x:is>
      </x:c>
      <x:c r="D501" s="31" t="inlineStr">
        <x:is>
          <x:t xml:space="preserve">ПОЗ-0036-2</x:t>
        </x:is>
      </x:c>
      <x:c r="E501" s="31" t="inlineStr">
        <x:is>
          <x:t xml:space="preserve">ИЗД-003</x:t>
        </x:is>
      </x:c>
      <x:c r="F501" s="31" t="n">
        <x:v>100</x:v>
      </x:c>
      <x:c r="G501" s="31" t="inlineStr">
        <x:is>
          <x:t xml:space="preserve">Упаковка</x:t>
        </x:is>
      </x:c>
      <x:c r="H501" s="31" t="inlineStr">
        <x:is>
          <x:t xml:space="preserve">Логистика</x:t>
        </x:is>
      </x:c>
      <x:c r="I501" s="31" t="n"/>
      <x:c r="J501" s="31" t="inlineStr">
        <x:is>
          <x:t xml:space="preserve">СОТР-103</x:t>
        </x:is>
      </x:c>
      <x:c r="K501" s="31" t="n">
        <x:v>3.8</x:v>
      </x:c>
      <x:c r="L501" s="31" t="n">
        <x:v>4</x:v>
      </x:c>
      <x:c r="M501" s="31" t="n">
        <x:v>46145</x:v>
      </x:c>
      <x:c r="N501" s="31" t="n">
        <x:v>46146</x:v>
      </x:c>
      <x:c r="O501" s="31" t="n">
        <x:v>46145</x:v>
      </x:c>
      <x:c r="P501" s="31" t="n">
        <x:v>46145</x:v>
      </x:c>
      <x:c r="Q501" s="31" t="inlineStr">
        <x:is>
          <x:t xml:space="preserve">Завершено</x:t>
        </x:is>
      </x:c>
      <x:c r="R501" s="31" t="inlineStr">
        <x:is>
          <x:t xml:space="preserve">Нет</x:t>
        </x:is>
      </x:c>
      <x:c r="S501" s="31" t="inlineStr">
        <x:is>
          <x:t xml:space="preserve">Да</x:t>
        </x:is>
      </x:c>
    </x:row>
    <x:row r="502">
      <x:c r="A502" s="31" t="inlineStr">
        <x:is>
          <x:t xml:space="preserve">ОП-000501</x:t>
        </x:is>
      </x:c>
      <x:c r="B502" s="31" t="inlineStr">
        <x:is>
          <x:t xml:space="preserve">ПЗ-00060</x:t>
        </x:is>
      </x:c>
      <x:c r="C502" s="31" t="inlineStr">
        <x:is>
          <x:t xml:space="preserve">ЗК-1036</x:t>
        </x:is>
      </x:c>
      <x:c r="D502" s="31" t="inlineStr">
        <x:is>
          <x:t xml:space="preserve">ПОЗ-0036-3</x:t>
        </x:is>
      </x:c>
      <x:c r="E502" s="31" t="inlineStr">
        <x:is>
          <x:t xml:space="preserve">ИЗД-002</x:t>
        </x:is>
      </x:c>
      <x:c r="F502" s="31" t="n">
        <x:v>10</x:v>
      </x:c>
      <x:c r="G502" s="31" t="inlineStr">
        <x:is>
          <x:t xml:space="preserve">КД</x:t>
        </x:is>
      </x:c>
      <x:c r="H502" s="31" t="inlineStr">
        <x:is>
          <x:t xml:space="preserve">Инженерный отдел</x:t>
        </x:is>
      </x:c>
      <x:c r="I502" s="31" t="n"/>
      <x:c r="J502" s="31" t="inlineStr">
        <x:is>
          <x:t xml:space="preserve">СОТР-016</x:t>
        </x:is>
      </x:c>
      <x:c r="K502" s="31" t="n">
        <x:v>3.7</x:v>
      </x:c>
      <x:c r="L502" s="31" t="n">
        <x:v>3</x:v>
      </x:c>
      <x:c r="M502" s="31" t="n">
        <x:v>46142</x:v>
      </x:c>
      <x:c r="N502" s="31" t="n">
        <x:v>46143</x:v>
      </x:c>
      <x:c r="O502" s="31" t="n">
        <x:v>46142</x:v>
      </x:c>
      <x:c r="P502" s="31" t="n">
        <x:v>46143</x:v>
      </x:c>
      <x:c r="Q502" s="31" t="inlineStr">
        <x:is>
          <x:t xml:space="preserve">Завершено</x:t>
        </x:is>
      </x:c>
      <x:c r="R502" s="31" t="inlineStr">
        <x:is>
          <x:t xml:space="preserve">Нет</x:t>
        </x:is>
      </x:c>
      <x:c r="S502" s="31" t="inlineStr">
        <x:is>
          <x:t xml:space="preserve">Нет</x:t>
        </x:is>
      </x:c>
    </x:row>
    <x:row r="503">
      <x:c r="A503" s="31" t="inlineStr">
        <x:is>
          <x:t xml:space="preserve">ОП-000502</x:t>
        </x:is>
      </x:c>
      <x:c r="B503" s="31" t="inlineStr">
        <x:is>
          <x:t xml:space="preserve">ПЗ-00060</x:t>
        </x:is>
      </x:c>
      <x:c r="C503" s="31" t="inlineStr">
        <x:is>
          <x:t xml:space="preserve">ЗК-1036</x:t>
        </x:is>
      </x:c>
      <x:c r="D503" s="31" t="inlineStr">
        <x:is>
          <x:t xml:space="preserve">ПОЗ-0036-3</x:t>
        </x:is>
      </x:c>
      <x:c r="E503" s="31" t="inlineStr">
        <x:is>
          <x:t xml:space="preserve">ИЗД-002</x:t>
        </x:is>
      </x:c>
      <x:c r="F503" s="31" t="n">
        <x:v>20</x:v>
      </x:c>
      <x:c r="G503" s="31" t="inlineStr">
        <x:is>
          <x:t xml:space="preserve">Комплектация</x:t>
        </x:is>
      </x:c>
      <x:c r="H503" s="31" t="inlineStr">
        <x:is>
          <x:t xml:space="preserve">Склад</x:t>
        </x:is>
      </x:c>
      <x:c r="I503" s="31" t="inlineStr">
        <x:is>
          <x:t xml:space="preserve">ОБ-025</x:t>
        </x:is>
      </x:c>
      <x:c r="J503" s="31" t="inlineStr">
        <x:is>
          <x:t xml:space="preserve">СОТР-037</x:t>
        </x:is>
      </x:c>
      <x:c r="K503" s="31" t="n">
        <x:v>4.9</x:v>
      </x:c>
      <x:c r="L503" s="31" t="n">
        <x:v>6.2</x:v>
      </x:c>
      <x:c r="M503" s="31" t="n">
        <x:v>46143</x:v>
      </x:c>
      <x:c r="N503" s="31" t="n">
        <x:v>46144</x:v>
      </x:c>
      <x:c r="O503" s="31" t="n">
        <x:v>46143</x:v>
      </x:c>
      <x:c r="P503" s="31" t="n">
        <x:v>46146</x:v>
      </x:c>
      <x:c r="Q503" s="31" t="inlineStr">
        <x:is>
          <x:t xml:space="preserve">Завершено</x:t>
        </x:is>
      </x:c>
      <x:c r="R503" s="31" t="inlineStr">
        <x:is>
          <x:t xml:space="preserve">Нет</x:t>
        </x:is>
      </x:c>
      <x:c r="S503" s="31" t="inlineStr">
        <x:is>
          <x:t xml:space="preserve">Нет</x:t>
        </x:is>
      </x:c>
    </x:row>
    <x:row r="504">
      <x:c r="A504" s="31" t="inlineStr">
        <x:is>
          <x:t xml:space="preserve">ОП-000503</x:t>
        </x:is>
      </x:c>
      <x:c r="B504" s="31" t="inlineStr">
        <x:is>
          <x:t xml:space="preserve">ПЗ-00060</x:t>
        </x:is>
      </x:c>
      <x:c r="C504" s="31" t="inlineStr">
        <x:is>
          <x:t xml:space="preserve">ЗК-1036</x:t>
        </x:is>
      </x:c>
      <x:c r="D504" s="31" t="inlineStr">
        <x:is>
          <x:t xml:space="preserve">ПОЗ-0036-3</x:t>
        </x:is>
      </x:c>
      <x:c r="E504" s="31" t="inlineStr">
        <x:is>
          <x:t xml:space="preserve">ИЗД-002</x:t>
        </x:is>
      </x:c>
      <x:c r="F504" s="31" t="n">
        <x:v>30</x:v>
      </x:c>
      <x:c r="G504" s="31" t="inlineStr">
        <x:is>
          <x:t xml:space="preserve">Сборка шкафа</x:t>
        </x:is>
      </x:c>
      <x:c r="H504" s="31" t="inlineStr">
        <x:is>
          <x:t xml:space="preserve">Сборка</x:t>
        </x:is>
      </x:c>
      <x:c r="I504" s="31" t="inlineStr">
        <x:is>
          <x:t xml:space="preserve">ОБ-005</x:t>
        </x:is>
      </x:c>
      <x:c r="J504" s="31" t="inlineStr">
        <x:is>
          <x:t xml:space="preserve">СОТР-073</x:t>
        </x:is>
      </x:c>
      <x:c r="K504" s="31" t="n">
        <x:v>3.2</x:v>
      </x:c>
      <x:c r="L504" s="31" t="n">
        <x:v>3.7</x:v>
      </x:c>
      <x:c r="M504" s="31" t="n">
        <x:v>46144</x:v>
      </x:c>
      <x:c r="N504" s="31" t="n">
        <x:v>46145</x:v>
      </x:c>
      <x:c r="O504" s="31" t="n">
        <x:v>46144</x:v>
      </x:c>
      <x:c r="P504" s="31" t="n">
        <x:v>46144</x:v>
      </x:c>
      <x:c r="Q504" s="31" t="inlineStr">
        <x:is>
          <x:t xml:space="preserve">Завершено</x:t>
        </x:is>
      </x:c>
      <x:c r="R504" s="31" t="inlineStr">
        <x:is>
          <x:t xml:space="preserve">Нет</x:t>
        </x:is>
      </x:c>
      <x:c r="S504" s="31" t="inlineStr">
        <x:is>
          <x:t xml:space="preserve">Нет</x:t>
        </x:is>
      </x:c>
    </x:row>
    <x:row r="505">
      <x:c r="A505" s="31" t="inlineStr">
        <x:is>
          <x:t xml:space="preserve">ОП-000504</x:t>
        </x:is>
      </x:c>
      <x:c r="B505" s="31" t="inlineStr">
        <x:is>
          <x:t xml:space="preserve">ПЗ-00060</x:t>
        </x:is>
      </x:c>
      <x:c r="C505" s="31" t="inlineStr">
        <x:is>
          <x:t xml:space="preserve">ЗК-1036</x:t>
        </x:is>
      </x:c>
      <x:c r="D505" s="31" t="inlineStr">
        <x:is>
          <x:t xml:space="preserve">ПОЗ-0036-3</x:t>
        </x:is>
      </x:c>
      <x:c r="E505" s="31" t="inlineStr">
        <x:is>
          <x:t xml:space="preserve">ИЗД-002</x:t>
        </x:is>
      </x:c>
      <x:c r="F505" s="31" t="n">
        <x:v>40</x:v>
      </x:c>
      <x:c r="G505" s="31" t="inlineStr">
        <x:is>
          <x:t xml:space="preserve">Маркировка</x:t>
        </x:is>
      </x:c>
      <x:c r="H505" s="31" t="inlineStr">
        <x:is>
          <x:t xml:space="preserve">Сборка</x:t>
        </x:is>
      </x:c>
      <x:c r="I505" s="31" t="inlineStr">
        <x:is>
          <x:t xml:space="preserve">ОБ-012</x:t>
        </x:is>
      </x:c>
      <x:c r="J505" s="31" t="inlineStr">
        <x:is>
          <x:t xml:space="preserve">СОТР-084</x:t>
        </x:is>
      </x:c>
      <x:c r="K505" s="31" t="n">
        <x:v>7.1</x:v>
      </x:c>
      <x:c r="L505" s="31" t="n">
        <x:v>6.8</x:v>
      </x:c>
      <x:c r="M505" s="31" t="n">
        <x:v>46145</x:v>
      </x:c>
      <x:c r="N505" s="31" t="n">
        <x:v>46146</x:v>
      </x:c>
      <x:c r="O505" s="31" t="n">
        <x:v>46145</x:v>
      </x:c>
      <x:c r="P505" s="31" t="n">
        <x:v>46148</x:v>
      </x:c>
      <x:c r="Q505" s="31" t="inlineStr">
        <x:is>
          <x:t xml:space="preserve">Завершено</x:t>
        </x:is>
      </x:c>
      <x:c r="R505" s="31" t="inlineStr">
        <x:is>
          <x:t xml:space="preserve">Нет</x:t>
        </x:is>
      </x:c>
      <x:c r="S505" s="31" t="inlineStr">
        <x:is>
          <x:t xml:space="preserve">Нет</x:t>
        </x:is>
      </x:c>
    </x:row>
    <x:row r="506">
      <x:c r="A506" s="31" t="inlineStr">
        <x:is>
          <x:t xml:space="preserve">ОП-000505</x:t>
        </x:is>
      </x:c>
      <x:c r="B506" s="31" t="inlineStr">
        <x:is>
          <x:t xml:space="preserve">ПЗ-00060</x:t>
        </x:is>
      </x:c>
      <x:c r="C506" s="31" t="inlineStr">
        <x:is>
          <x:t xml:space="preserve">ЗК-1036</x:t>
        </x:is>
      </x:c>
      <x:c r="D506" s="31" t="inlineStr">
        <x:is>
          <x:t xml:space="preserve">ПОЗ-0036-3</x:t>
        </x:is>
      </x:c>
      <x:c r="E506" s="31" t="inlineStr">
        <x:is>
          <x:t xml:space="preserve">ИЗД-002</x:t>
        </x:is>
      </x:c>
      <x:c r="F506" s="31" t="n">
        <x:v>50</x:v>
      </x:c>
      <x:c r="G506" s="31" t="inlineStr">
        <x:is>
          <x:t xml:space="preserve">Электромонтаж</x:t>
        </x:is>
      </x:c>
      <x:c r="H506" s="31" t="inlineStr">
        <x:is>
          <x:t xml:space="preserve">Сборка</x:t>
        </x:is>
      </x:c>
      <x:c r="I506" s="31" t="inlineStr">
        <x:is>
          <x:t xml:space="preserve">ОБ-014</x:t>
        </x:is>
      </x:c>
      <x:c r="J506" s="31" t="inlineStr">
        <x:is>
          <x:t xml:space="preserve">СОТР-077</x:t>
        </x:is>
      </x:c>
      <x:c r="K506" s="31" t="n">
        <x:v>1.5</x:v>
      </x:c>
      <x:c r="L506" s="31" t="n">
        <x:v>1.9</x:v>
      </x:c>
      <x:c r="M506" s="31" t="n">
        <x:v>46146</x:v>
      </x:c>
      <x:c r="N506" s="31" t="n">
        <x:v>46147</x:v>
      </x:c>
      <x:c r="O506" s="31" t="n">
        <x:v>46146</x:v>
      </x:c>
      <x:c r="P506" s="31" t="n">
        <x:v>46148</x:v>
      </x:c>
      <x:c r="Q506" s="31" t="inlineStr">
        <x:is>
          <x:t xml:space="preserve">Завершено</x:t>
        </x:is>
      </x:c>
      <x:c r="R506" s="31" t="inlineStr">
        <x:is>
          <x:t xml:space="preserve">Нет</x:t>
        </x:is>
      </x:c>
      <x:c r="S506" s="31" t="inlineStr">
        <x:is>
          <x:t xml:space="preserve">Нет</x:t>
        </x:is>
      </x:c>
    </x:row>
    <x:row r="507">
      <x:c r="A507" s="31" t="inlineStr">
        <x:is>
          <x:t xml:space="preserve">ОП-000506</x:t>
        </x:is>
      </x:c>
      <x:c r="B507" s="31" t="inlineStr">
        <x:is>
          <x:t xml:space="preserve">ПЗ-00060</x:t>
        </x:is>
      </x:c>
      <x:c r="C507" s="31" t="inlineStr">
        <x:is>
          <x:t xml:space="preserve">ЗК-1036</x:t>
        </x:is>
      </x:c>
      <x:c r="D507" s="31" t="inlineStr">
        <x:is>
          <x:t xml:space="preserve">ПОЗ-0036-3</x:t>
        </x:is>
      </x:c>
      <x:c r="E507" s="31" t="inlineStr">
        <x:is>
          <x:t xml:space="preserve">ИЗД-002</x:t>
        </x:is>
      </x:c>
      <x:c r="F507" s="31" t="n">
        <x:v>60</x:v>
      </x:c>
      <x:c r="G507" s="31" t="inlineStr">
        <x:is>
          <x:t xml:space="preserve">Программирование ПЛК</x:t>
        </x:is>
      </x:c>
      <x:c r="H507" s="31" t="inlineStr">
        <x:is>
          <x:t xml:space="preserve">Инженерный отдел</x:t>
        </x:is>
      </x:c>
      <x:c r="I507" s="31" t="n"/>
      <x:c r="J507" s="31" t="inlineStr">
        <x:is>
          <x:t xml:space="preserve">СОТР-013</x:t>
        </x:is>
      </x:c>
      <x:c r="K507" s="31" t="n">
        <x:v>7.1</x:v>
      </x:c>
      <x:c r="L507" s="31" t="n">
        <x:v>5.7</x:v>
      </x:c>
      <x:c r="M507" s="31" t="n">
        <x:v>46147</x:v>
      </x:c>
      <x:c r="N507" s="31" t="n">
        <x:v>46148</x:v>
      </x:c>
      <x:c r="O507" s="31" t="n">
        <x:v>46147</x:v>
      </x:c>
      <x:c r="P507" s="31" t="n">
        <x:v>46149</x:v>
      </x:c>
      <x:c r="Q507" s="31" t="inlineStr">
        <x:is>
          <x:t xml:space="preserve">Завершено</x:t>
        </x:is>
      </x:c>
      <x:c r="R507" s="31" t="inlineStr">
        <x:is>
          <x:t xml:space="preserve">Нет</x:t>
        </x:is>
      </x:c>
      <x:c r="S507" s="31" t="inlineStr">
        <x:is>
          <x:t xml:space="preserve">Нет</x:t>
        </x:is>
      </x:c>
    </x:row>
    <x:row r="508">
      <x:c r="A508" s="31" t="inlineStr">
        <x:is>
          <x:t xml:space="preserve">ОП-000507</x:t>
        </x:is>
      </x:c>
      <x:c r="B508" s="31" t="inlineStr">
        <x:is>
          <x:t xml:space="preserve">ПЗ-00060</x:t>
        </x:is>
      </x:c>
      <x:c r="C508" s="31" t="inlineStr">
        <x:is>
          <x:t xml:space="preserve">ЗК-1036</x:t>
        </x:is>
      </x:c>
      <x:c r="D508" s="31" t="inlineStr">
        <x:is>
          <x:t xml:space="preserve">ПОЗ-0036-3</x:t>
        </x:is>
      </x:c>
      <x:c r="E508" s="31" t="inlineStr">
        <x:is>
          <x:t xml:space="preserve">ИЗД-002</x:t>
        </x:is>
      </x:c>
      <x:c r="F508" s="31" t="n">
        <x:v>70</x:v>
      </x:c>
      <x:c r="G508" s="31" t="inlineStr">
        <x:is>
          <x:t xml:space="preserve">Приемочные испытания</x:t>
        </x:is>
      </x:c>
      <x:c r="H508" s="31" t="inlineStr">
        <x:is>
          <x:t xml:space="preserve">ОТК</x:t>
        </x:is>
      </x:c>
      <x:c r="I508" s="31" t="inlineStr">
        <x:is>
          <x:t xml:space="preserve">ОБ-015</x:t>
        </x:is>
      </x:c>
      <x:c r="J508" s="31" t="inlineStr">
        <x:is>
          <x:t xml:space="preserve">СОТР-100</x:t>
        </x:is>
      </x:c>
      <x:c r="K508" s="31" t="n">
        <x:v>6.1</x:v>
      </x:c>
      <x:c r="L508" s="31" t="n">
        <x:v>5.4</x:v>
      </x:c>
      <x:c r="M508" s="31" t="n">
        <x:v>46148</x:v>
      </x:c>
      <x:c r="N508" s="31" t="n">
        <x:v>46149</x:v>
      </x:c>
      <x:c r="O508" s="31" t="n">
        <x:v>46148</x:v>
      </x:c>
      <x:c r="P508" s="31" t="n">
        <x:v>46149</x:v>
      </x:c>
      <x:c r="Q508" s="31" t="inlineStr">
        <x:is>
          <x:t xml:space="preserve">Завершено</x:t>
        </x:is>
      </x:c>
      <x:c r="R508" s="31" t="inlineStr">
        <x:is>
          <x:t xml:space="preserve">Нет</x:t>
        </x:is>
      </x:c>
      <x:c r="S508" s="31" t="inlineStr">
        <x:is>
          <x:t xml:space="preserve">Нет</x:t>
        </x:is>
      </x:c>
    </x:row>
    <x:row r="509">
      <x:c r="A509" s="31" t="inlineStr">
        <x:is>
          <x:t xml:space="preserve">ОП-000508</x:t>
        </x:is>
      </x:c>
      <x:c r="B509" s="31" t="inlineStr">
        <x:is>
          <x:t xml:space="preserve">ПЗ-00060</x:t>
        </x:is>
      </x:c>
      <x:c r="C509" s="31" t="inlineStr">
        <x:is>
          <x:t xml:space="preserve">ЗК-1036</x:t>
        </x:is>
      </x:c>
      <x:c r="D509" s="31" t="inlineStr">
        <x:is>
          <x:t xml:space="preserve">ПОЗ-0036-3</x:t>
        </x:is>
      </x:c>
      <x:c r="E509" s="31" t="inlineStr">
        <x:is>
          <x:t xml:space="preserve">ИЗД-002</x:t>
        </x:is>
      </x:c>
      <x:c r="F509" s="31" t="n">
        <x:v>80</x:v>
      </x:c>
      <x:c r="G509" s="31" t="inlineStr">
        <x:is>
          <x:t xml:space="preserve">ОТК</x:t>
        </x:is>
      </x:c>
      <x:c r="H509" s="31" t="inlineStr">
        <x:is>
          <x:t xml:space="preserve">ОТК</x:t>
        </x:is>
      </x:c>
      <x:c r="I509" s="31" t="inlineStr">
        <x:is>
          <x:t xml:space="preserve">ОБ-001</x:t>
        </x:is>
      </x:c>
      <x:c r="J509" s="31" t="inlineStr">
        <x:is>
          <x:t xml:space="preserve">СОТР-092</x:t>
        </x:is>
      </x:c>
      <x:c r="K509" s="31" t="n">
        <x:v>6.2</x:v>
      </x:c>
      <x:c r="L509" s="31" t="n">
        <x:v>8.300000000000001</x:v>
      </x:c>
      <x:c r="M509" s="31" t="n">
        <x:v>46149</x:v>
      </x:c>
      <x:c r="N509" s="31" t="n">
        <x:v>46150</x:v>
      </x:c>
      <x:c r="O509" s="31" t="n">
        <x:v>46149</x:v>
      </x:c>
      <x:c r="P509" s="31" t="n">
        <x:v>46150</x:v>
      </x:c>
      <x:c r="Q509" s="31" t="inlineStr">
        <x:is>
          <x:t xml:space="preserve">Завершено</x:t>
        </x:is>
      </x:c>
      <x:c r="R509" s="31" t="inlineStr">
        <x:is>
          <x:t xml:space="preserve">Нет</x:t>
        </x:is>
      </x:c>
      <x:c r="S509" s="31" t="inlineStr">
        <x:is>
          <x:t xml:space="preserve">Да</x:t>
        </x:is>
      </x:c>
    </x:row>
    <x:row r="510">
      <x:c r="A510" s="31" t="inlineStr">
        <x:is>
          <x:t xml:space="preserve">ОП-000509</x:t>
        </x:is>
      </x:c>
      <x:c r="B510" s="31" t="inlineStr">
        <x:is>
          <x:t xml:space="preserve">ПЗ-00060</x:t>
        </x:is>
      </x:c>
      <x:c r="C510" s="31" t="inlineStr">
        <x:is>
          <x:t xml:space="preserve">ЗК-1036</x:t>
        </x:is>
      </x:c>
      <x:c r="D510" s="31" t="inlineStr">
        <x:is>
          <x:t xml:space="preserve">ПОЗ-0036-3</x:t>
        </x:is>
      </x:c>
      <x:c r="E510" s="31" t="inlineStr">
        <x:is>
          <x:t xml:space="preserve">ИЗД-002</x:t>
        </x:is>
      </x:c>
      <x:c r="F510" s="31" t="n">
        <x:v>90</x:v>
      </x:c>
      <x:c r="G510" s="31" t="inlineStr">
        <x:is>
          <x:t xml:space="preserve">Упаковка</x:t>
        </x:is>
      </x:c>
      <x:c r="H510" s="31" t="inlineStr">
        <x:is>
          <x:t xml:space="preserve">Логистика</x:t>
        </x:is>
      </x:c>
      <x:c r="I510" s="31" t="n"/>
      <x:c r="J510" s="31" t="inlineStr">
        <x:is>
          <x:t xml:space="preserve">СОТР-104</x:t>
        </x:is>
      </x:c>
      <x:c r="K510" s="31" t="n">
        <x:v>4.5</x:v>
      </x:c>
      <x:c r="L510" s="31" t="n">
        <x:v>4.8</x:v>
      </x:c>
      <x:c r="M510" s="31" t="n">
        <x:v>46150</x:v>
      </x:c>
      <x:c r="N510" s="31" t="n">
        <x:v>46151</x:v>
      </x:c>
      <x:c r="O510" s="31" t="n">
        <x:v>46150</x:v>
      </x:c>
      <x:c r="P510" s="31" t="n">
        <x:v>46150</x:v>
      </x:c>
      <x:c r="Q510" s="31" t="inlineStr">
        <x:is>
          <x:t xml:space="preserve">Завершено</x:t>
        </x:is>
      </x:c>
      <x:c r="R510" s="31" t="inlineStr">
        <x:is>
          <x:t xml:space="preserve">Нет</x:t>
        </x:is>
      </x:c>
      <x:c r="S510" s="31" t="inlineStr">
        <x:is>
          <x:t xml:space="preserve">Нет</x:t>
        </x:is>
      </x:c>
    </x:row>
    <x:row r="511">
      <x:c r="A511" s="31" t="inlineStr">
        <x:is>
          <x:t xml:space="preserve">ОП-000510</x:t>
        </x:is>
      </x:c>
      <x:c r="B511" s="31" t="inlineStr">
        <x:is>
          <x:t xml:space="preserve">ПЗ-00061</x:t>
        </x:is>
      </x:c>
      <x:c r="C511" s="31" t="inlineStr">
        <x:is>
          <x:t xml:space="preserve">ЗК-1036</x:t>
        </x:is>
      </x:c>
      <x:c r="D511" s="31" t="inlineStr">
        <x:is>
          <x:t xml:space="preserve">ПОЗ-0036-4</x:t>
        </x:is>
      </x:c>
      <x:c r="E511" s="31" t="inlineStr">
        <x:is>
          <x:t xml:space="preserve">ИЗД-011</x:t>
        </x:is>
      </x:c>
      <x:c r="F511" s="31" t="n">
        <x:v>10</x:v>
      </x:c>
      <x:c r="G511" s="31" t="inlineStr">
        <x:is>
          <x:t xml:space="preserve">КД</x:t>
        </x:is>
      </x:c>
      <x:c r="H511" s="31" t="inlineStr">
        <x:is>
          <x:t xml:space="preserve">Инженерный отдел</x:t>
        </x:is>
      </x:c>
      <x:c r="I511" s="31" t="n"/>
      <x:c r="J511" s="31" t="inlineStr">
        <x:is>
          <x:t xml:space="preserve">СОТР-016</x:t>
        </x:is>
      </x:c>
      <x:c r="K511" s="31" t="n">
        <x:v>21</x:v>
      </x:c>
      <x:c r="L511" s="31" t="n">
        <x:v>17.7</x:v>
      </x:c>
      <x:c r="M511" s="31" t="n">
        <x:v>46151</x:v>
      </x:c>
      <x:c r="N511" s="31" t="n">
        <x:v>46153</x:v>
      </x:c>
      <x:c r="O511" s="31" t="n">
        <x:v>46151</x:v>
      </x:c>
      <x:c r="P511" s="31" t="n">
        <x:v>46155</x:v>
      </x:c>
      <x:c r="Q511" s="31" t="inlineStr">
        <x:is>
          <x:t xml:space="preserve">Завершено</x:t>
        </x:is>
      </x:c>
      <x:c r="R511" s="31" t="inlineStr">
        <x:is>
          <x:t xml:space="preserve">Материал</x:t>
        </x:is>
      </x:c>
      <x:c r="S511" s="31" t="inlineStr">
        <x:is>
          <x:t xml:space="preserve">Нет</x:t>
        </x:is>
      </x:c>
    </x:row>
    <x:row r="512">
      <x:c r="A512" s="31" t="inlineStr">
        <x:is>
          <x:t xml:space="preserve">ОП-000511</x:t>
        </x:is>
      </x:c>
      <x:c r="B512" s="31" t="inlineStr">
        <x:is>
          <x:t xml:space="preserve">ПЗ-00061</x:t>
        </x:is>
      </x:c>
      <x:c r="C512" s="31" t="inlineStr">
        <x:is>
          <x:t xml:space="preserve">ЗК-1036</x:t>
        </x:is>
      </x:c>
      <x:c r="D512" s="31" t="inlineStr">
        <x:is>
          <x:t xml:space="preserve">ПОЗ-0036-4</x:t>
        </x:is>
      </x:c>
      <x:c r="E512" s="31" t="inlineStr">
        <x:is>
          <x:t xml:space="preserve">ИЗД-011</x:t>
        </x:is>
      </x:c>
      <x:c r="F512" s="31" t="n">
        <x:v>20</x:v>
      </x:c>
      <x:c r="G512" s="31" t="inlineStr">
        <x:is>
          <x:t xml:space="preserve">Комплектация</x:t>
        </x:is>
      </x:c>
      <x:c r="H512" s="31" t="inlineStr">
        <x:is>
          <x:t xml:space="preserve">Склад</x:t>
        </x:is>
      </x:c>
      <x:c r="I512" s="31" t="inlineStr">
        <x:is>
          <x:t xml:space="preserve">ОБ-025</x:t>
        </x:is>
      </x:c>
      <x:c r="J512" s="31" t="inlineStr">
        <x:is>
          <x:t xml:space="preserve">СОТР-035</x:t>
        </x:is>
      </x:c>
      <x:c r="K512" s="31" t="n">
        <x:v>13.2</x:v>
      </x:c>
      <x:c r="L512" s="31" t="n">
        <x:v>10.9</x:v>
      </x:c>
      <x:c r="M512" s="31" t="n">
        <x:v>46153</x:v>
      </x:c>
      <x:c r="N512" s="31" t="n">
        <x:v>46155</x:v>
      </x:c>
      <x:c r="O512" s="31" t="n">
        <x:v>46153</x:v>
      </x:c>
      <x:c r="P512" s="31" t="n">
        <x:v>46157</x:v>
      </x:c>
      <x:c r="Q512" s="31" t="inlineStr">
        <x:is>
          <x:t xml:space="preserve">Завершено</x:t>
        </x:is>
      </x:c>
      <x:c r="R512" s="31" t="inlineStr">
        <x:is>
          <x:t xml:space="preserve">Нет</x:t>
        </x:is>
      </x:c>
      <x:c r="S512" s="31" t="inlineStr">
        <x:is>
          <x:t xml:space="preserve">Нет</x:t>
        </x:is>
      </x:c>
    </x:row>
    <x:row r="513">
      <x:c r="A513" s="31" t="inlineStr">
        <x:is>
          <x:t xml:space="preserve">ОП-000512</x:t>
        </x:is>
      </x:c>
      <x:c r="B513" s="31" t="inlineStr">
        <x:is>
          <x:t xml:space="preserve">ПЗ-00061</x:t>
        </x:is>
      </x:c>
      <x:c r="C513" s="31" t="inlineStr">
        <x:is>
          <x:t xml:space="preserve">ЗК-1036</x:t>
        </x:is>
      </x:c>
      <x:c r="D513" s="31" t="inlineStr">
        <x:is>
          <x:t xml:space="preserve">ПОЗ-0036-4</x:t>
        </x:is>
      </x:c>
      <x:c r="E513" s="31" t="inlineStr">
        <x:is>
          <x:t xml:space="preserve">ИЗД-011</x:t>
        </x:is>
      </x:c>
      <x:c r="F513" s="31" t="n">
        <x:v>30</x:v>
      </x:c>
      <x:c r="G513" s="31" t="inlineStr">
        <x:is>
          <x:t xml:space="preserve">Сборка шкафа</x:t>
        </x:is>
      </x:c>
      <x:c r="H513" s="31" t="inlineStr">
        <x:is>
          <x:t xml:space="preserve">Сборка</x:t>
        </x:is>
      </x:c>
      <x:c r="I513" s="31" t="inlineStr">
        <x:is>
          <x:t xml:space="preserve">ОБ-012</x:t>
        </x:is>
      </x:c>
      <x:c r="J513" s="31" t="inlineStr">
        <x:is>
          <x:t xml:space="preserve">СОТР-073</x:t>
        </x:is>
      </x:c>
      <x:c r="K513" s="31" t="n">
        <x:v>33</x:v>
      </x:c>
      <x:c r="L513" s="31" t="n">
        <x:v>27.7</x:v>
      </x:c>
      <x:c r="M513" s="31" t="n">
        <x:v>46155</x:v>
      </x:c>
      <x:c r="N513" s="31" t="n">
        <x:v>46158</x:v>
      </x:c>
      <x:c r="O513" s="31" t="n">
        <x:v>46155</x:v>
      </x:c>
      <x:c r="P513" s="31" t="n">
        <x:v>46160</x:v>
      </x:c>
      <x:c r="Q513" s="31" t="inlineStr">
        <x:is>
          <x:t xml:space="preserve">Завершено</x:t>
        </x:is>
      </x:c>
      <x:c r="R513" s="31" t="inlineStr">
        <x:is>
          <x:t xml:space="preserve">Нет</x:t>
        </x:is>
      </x:c>
      <x:c r="S513" s="31" t="inlineStr">
        <x:is>
          <x:t xml:space="preserve">Нет</x:t>
        </x:is>
      </x:c>
    </x:row>
    <x:row r="514">
      <x:c r="A514" s="31" t="inlineStr">
        <x:is>
          <x:t xml:space="preserve">ОП-000513</x:t>
        </x:is>
      </x:c>
      <x:c r="B514" s="31" t="inlineStr">
        <x:is>
          <x:t xml:space="preserve">ПЗ-00061</x:t>
        </x:is>
      </x:c>
      <x:c r="C514" s="31" t="inlineStr">
        <x:is>
          <x:t xml:space="preserve">ЗК-1036</x:t>
        </x:is>
      </x:c>
      <x:c r="D514" s="31" t="inlineStr">
        <x:is>
          <x:t xml:space="preserve">ПОЗ-0036-4</x:t>
        </x:is>
      </x:c>
      <x:c r="E514" s="31" t="inlineStr">
        <x:is>
          <x:t xml:space="preserve">ИЗД-011</x:t>
        </x:is>
      </x:c>
      <x:c r="F514" s="31" t="n">
        <x:v>40</x:v>
      </x:c>
      <x:c r="G514" s="31" t="inlineStr">
        <x:is>
          <x:t xml:space="preserve">Маркировка</x:t>
        </x:is>
      </x:c>
      <x:c r="H514" s="31" t="inlineStr">
        <x:is>
          <x:t xml:space="preserve">Сборка</x:t>
        </x:is>
      </x:c>
      <x:c r="I514" s="31" t="inlineStr">
        <x:is>
          <x:t xml:space="preserve">ОБ-005</x:t>
        </x:is>
      </x:c>
      <x:c r="J514" s="31" t="inlineStr">
        <x:is>
          <x:t xml:space="preserve">СОТР-032</x:t>
        </x:is>
      </x:c>
      <x:c r="K514" s="31" t="n">
        <x:v>8.1</x:v>
      </x:c>
      <x:c r="L514" s="31" t="n">
        <x:v>10.7</x:v>
      </x:c>
      <x:c r="M514" s="31" t="n">
        <x:v>46158</x:v>
      </x:c>
      <x:c r="N514" s="31" t="n">
        <x:v>46159</x:v>
      </x:c>
      <x:c r="O514" s="31" t="n">
        <x:v>46158</x:v>
      </x:c>
      <x:c r="P514" s="31" t="n">
        <x:v>46158</x:v>
      </x:c>
      <x:c r="Q514" s="31" t="inlineStr">
        <x:is>
          <x:t xml:space="preserve">Завершено</x:t>
        </x:is>
      </x:c>
      <x:c r="R514" s="31" t="inlineStr">
        <x:is>
          <x:t xml:space="preserve">Нет</x:t>
        </x:is>
      </x:c>
      <x:c r="S514" s="31" t="inlineStr">
        <x:is>
          <x:t xml:space="preserve">Нет</x:t>
        </x:is>
      </x:c>
    </x:row>
    <x:row r="515">
      <x:c r="A515" s="31" t="inlineStr">
        <x:is>
          <x:t xml:space="preserve">ОП-000514</x:t>
        </x:is>
      </x:c>
      <x:c r="B515" s="31" t="inlineStr">
        <x:is>
          <x:t xml:space="preserve">ПЗ-00061</x:t>
        </x:is>
      </x:c>
      <x:c r="C515" s="31" t="inlineStr">
        <x:is>
          <x:t xml:space="preserve">ЗК-1036</x:t>
        </x:is>
      </x:c>
      <x:c r="D515" s="31" t="inlineStr">
        <x:is>
          <x:t xml:space="preserve">ПОЗ-0036-4</x:t>
        </x:is>
      </x:c>
      <x:c r="E515" s="31" t="inlineStr">
        <x:is>
          <x:t xml:space="preserve">ИЗД-011</x:t>
        </x:is>
      </x:c>
      <x:c r="F515" s="31" t="n">
        <x:v>50</x:v>
      </x:c>
      <x:c r="G515" s="31" t="inlineStr">
        <x:is>
          <x:t xml:space="preserve">Электромонтаж</x:t>
        </x:is>
      </x:c>
      <x:c r="H515" s="31" t="inlineStr">
        <x:is>
          <x:t xml:space="preserve">Сборка</x:t>
        </x:is>
      </x:c>
      <x:c r="I515" s="31" t="inlineStr">
        <x:is>
          <x:t xml:space="preserve">ОБ-017</x:t>
        </x:is>
      </x:c>
      <x:c r="J515" s="31" t="inlineStr">
        <x:is>
          <x:t xml:space="preserve">СОТР-074</x:t>
        </x:is>
      </x:c>
      <x:c r="K515" s="31" t="n">
        <x:v>6.9</x:v>
      </x:c>
      <x:c r="L515" s="31" t="n">
        <x:v>7.7</x:v>
      </x:c>
      <x:c r="M515" s="31" t="n">
        <x:v>46159</x:v>
      </x:c>
      <x:c r="N515" s="31" t="n">
        <x:v>46160</x:v>
      </x:c>
      <x:c r="O515" s="31" t="n">
        <x:v>46159</x:v>
      </x:c>
      <x:c r="P515" s="31" t="n">
        <x:v>46161</x:v>
      </x:c>
      <x:c r="Q515" s="31" t="inlineStr">
        <x:is>
          <x:t xml:space="preserve">Завершено</x:t>
        </x:is>
      </x:c>
      <x:c r="R515" s="31" t="inlineStr">
        <x:is>
          <x:t xml:space="preserve">Нет</x:t>
        </x:is>
      </x:c>
      <x:c r="S515" s="31" t="inlineStr">
        <x:is>
          <x:t xml:space="preserve">Нет</x:t>
        </x:is>
      </x:c>
    </x:row>
    <x:row r="516">
      <x:c r="A516" s="31" t="inlineStr">
        <x:is>
          <x:t xml:space="preserve">ОП-000515</x:t>
        </x:is>
      </x:c>
      <x:c r="B516" s="31" t="inlineStr">
        <x:is>
          <x:t xml:space="preserve">ПЗ-00061</x:t>
        </x:is>
      </x:c>
      <x:c r="C516" s="31" t="inlineStr">
        <x:is>
          <x:t xml:space="preserve">ЗК-1036</x:t>
        </x:is>
      </x:c>
      <x:c r="D516" s="31" t="inlineStr">
        <x:is>
          <x:t xml:space="preserve">ПОЗ-0036-4</x:t>
        </x:is>
      </x:c>
      <x:c r="E516" s="31" t="inlineStr">
        <x:is>
          <x:t xml:space="preserve">ИЗД-011</x:t>
        </x:is>
      </x:c>
      <x:c r="F516" s="31" t="n">
        <x:v>60</x:v>
      </x:c>
      <x:c r="G516" s="31" t="inlineStr">
        <x:is>
          <x:t xml:space="preserve">Программирование ПЛК</x:t>
        </x:is>
      </x:c>
      <x:c r="H516" s="31" t="inlineStr">
        <x:is>
          <x:t xml:space="preserve">Инженерный отдел</x:t>
        </x:is>
      </x:c>
      <x:c r="I516" s="31" t="n"/>
      <x:c r="J516" s="31" t="inlineStr">
        <x:is>
          <x:t xml:space="preserve">СОТР-013</x:t>
        </x:is>
      </x:c>
      <x:c r="K516" s="31" t="n">
        <x:v>3.9</x:v>
      </x:c>
      <x:c r="L516" s="31" t="n">
        <x:v>4.4</x:v>
      </x:c>
      <x:c r="M516" s="31" t="n">
        <x:v>46160</x:v>
      </x:c>
      <x:c r="N516" s="31" t="n">
        <x:v>46161</x:v>
      </x:c>
      <x:c r="O516" s="31" t="n">
        <x:v>46160</x:v>
      </x:c>
      <x:c r="P516" s="31" t="n">
        <x:v>46163</x:v>
      </x:c>
      <x:c r="Q516" s="31" t="inlineStr">
        <x:is>
          <x:t xml:space="preserve">Завершено</x:t>
        </x:is>
      </x:c>
      <x:c r="R516" s="31" t="inlineStr">
        <x:is>
          <x:t xml:space="preserve">Нет</x:t>
        </x:is>
      </x:c>
      <x:c r="S516" s="31" t="inlineStr">
        <x:is>
          <x:t xml:space="preserve">Да</x:t>
        </x:is>
      </x:c>
    </x:row>
    <x:row r="517">
      <x:c r="A517" s="31" t="inlineStr">
        <x:is>
          <x:t xml:space="preserve">ОП-000516</x:t>
        </x:is>
      </x:c>
      <x:c r="B517" s="31" t="inlineStr">
        <x:is>
          <x:t xml:space="preserve">ПЗ-00061</x:t>
        </x:is>
      </x:c>
      <x:c r="C517" s="31" t="inlineStr">
        <x:is>
          <x:t xml:space="preserve">ЗК-1036</x:t>
        </x:is>
      </x:c>
      <x:c r="D517" s="31" t="inlineStr">
        <x:is>
          <x:t xml:space="preserve">ПОЗ-0036-4</x:t>
        </x:is>
      </x:c>
      <x:c r="E517" s="31" t="inlineStr">
        <x:is>
          <x:t xml:space="preserve">ИЗД-011</x:t>
        </x:is>
      </x:c>
      <x:c r="F517" s="31" t="n">
        <x:v>70</x:v>
      </x:c>
      <x:c r="G517" s="31" t="inlineStr">
        <x:is>
          <x:t xml:space="preserve">Приемочные испытания</x:t>
        </x:is>
      </x:c>
      <x:c r="H517" s="31" t="inlineStr">
        <x:is>
          <x:t xml:space="preserve">ОТК</x:t>
        </x:is>
      </x:c>
      <x:c r="I517" s="31" t="inlineStr">
        <x:is>
          <x:t xml:space="preserve">ОБ-015</x:t>
        </x:is>
      </x:c>
      <x:c r="J517" s="31" t="inlineStr">
        <x:is>
          <x:t xml:space="preserve">СОТР-098</x:t>
        </x:is>
      </x:c>
      <x:c r="K517" s="31" t="n">
        <x:v>34.8</x:v>
      </x:c>
      <x:c r="L517" s="31" t="n">
        <x:v>30.4</x:v>
      </x:c>
      <x:c r="M517" s="31" t="n">
        <x:v>46161</x:v>
      </x:c>
      <x:c r="N517" s="31" t="n">
        <x:v>46164</x:v>
      </x:c>
      <x:c r="O517" s="31" t="n">
        <x:v>46161</x:v>
      </x:c>
      <x:c r="P517" s="31" t="n">
        <x:v>46165</x:v>
      </x:c>
      <x:c r="Q517" s="31" t="inlineStr">
        <x:is>
          <x:t xml:space="preserve">Завершено</x:t>
        </x:is>
      </x:c>
      <x:c r="R517" s="31" t="inlineStr">
        <x:is>
          <x:t xml:space="preserve">Нет</x:t>
        </x:is>
      </x:c>
      <x:c r="S517" s="31" t="inlineStr">
        <x:is>
          <x:t xml:space="preserve">Да</x:t>
        </x:is>
      </x:c>
    </x:row>
    <x:row r="518">
      <x:c r="A518" s="31" t="inlineStr">
        <x:is>
          <x:t xml:space="preserve">ОП-000517</x:t>
        </x:is>
      </x:c>
      <x:c r="B518" s="31" t="inlineStr">
        <x:is>
          <x:t xml:space="preserve">ПЗ-00061</x:t>
        </x:is>
      </x:c>
      <x:c r="C518" s="31" t="inlineStr">
        <x:is>
          <x:t xml:space="preserve">ЗК-1036</x:t>
        </x:is>
      </x:c>
      <x:c r="D518" s="31" t="inlineStr">
        <x:is>
          <x:t xml:space="preserve">ПОЗ-0036-4</x:t>
        </x:is>
      </x:c>
      <x:c r="E518" s="31" t="inlineStr">
        <x:is>
          <x:t xml:space="preserve">ИЗД-011</x:t>
        </x:is>
      </x:c>
      <x:c r="F518" s="31" t="n">
        <x:v>80</x:v>
      </x:c>
      <x:c r="G518" s="31" t="inlineStr">
        <x:is>
          <x:t xml:space="preserve">ОТК</x:t>
        </x:is>
      </x:c>
      <x:c r="H518" s="31" t="inlineStr">
        <x:is>
          <x:t xml:space="preserve">ОТК</x:t>
        </x:is>
      </x:c>
      <x:c r="I518" s="31" t="inlineStr">
        <x:is>
          <x:t xml:space="preserve">ОБ-015</x:t>
        </x:is>
      </x:c>
      <x:c r="J518" s="31" t="inlineStr">
        <x:is>
          <x:t xml:space="preserve">СОТР-092</x:t>
        </x:is>
      </x:c>
      <x:c r="K518" s="31" t="n">
        <x:v>32.4</x:v>
      </x:c>
      <x:c r="L518" s="31" t="n">
        <x:v>40.8</x:v>
      </x:c>
      <x:c r="M518" s="31" t="n">
        <x:v>46164</x:v>
      </x:c>
      <x:c r="N518" s="31" t="n">
        <x:v>46167</x:v>
      </x:c>
      <x:c r="O518" s="31" t="n">
        <x:v>46164</x:v>
      </x:c>
      <x:c r="P518" s="31" t="n">
        <x:v>46169</x:v>
      </x:c>
      <x:c r="Q518" s="31" t="inlineStr">
        <x:is>
          <x:t xml:space="preserve">Завершено</x:t>
        </x:is>
      </x:c>
      <x:c r="R518" s="31" t="inlineStr">
        <x:is>
          <x:t xml:space="preserve">Нет</x:t>
        </x:is>
      </x:c>
      <x:c r="S518" s="31" t="inlineStr">
        <x:is>
          <x:t xml:space="preserve">Нет</x:t>
        </x:is>
      </x:c>
    </x:row>
    <x:row r="519">
      <x:c r="A519" s="31" t="inlineStr">
        <x:is>
          <x:t xml:space="preserve">ОП-000518</x:t>
        </x:is>
      </x:c>
      <x:c r="B519" s="31" t="inlineStr">
        <x:is>
          <x:t xml:space="preserve">ПЗ-00061</x:t>
        </x:is>
      </x:c>
      <x:c r="C519" s="31" t="inlineStr">
        <x:is>
          <x:t xml:space="preserve">ЗК-1036</x:t>
        </x:is>
      </x:c>
      <x:c r="D519" s="31" t="inlineStr">
        <x:is>
          <x:t xml:space="preserve">ПОЗ-0036-4</x:t>
        </x:is>
      </x:c>
      <x:c r="E519" s="31" t="inlineStr">
        <x:is>
          <x:t xml:space="preserve">ИЗД-011</x:t>
        </x:is>
      </x:c>
      <x:c r="F519" s="31" t="n">
        <x:v>90</x:v>
      </x:c>
      <x:c r="G519" s="31" t="inlineStr">
        <x:is>
          <x:t xml:space="preserve">Упаковка</x:t>
        </x:is>
      </x:c>
      <x:c r="H519" s="31" t="inlineStr">
        <x:is>
          <x:t xml:space="preserve">Логистика</x:t>
        </x:is>
      </x:c>
      <x:c r="I519" s="31" t="n"/>
      <x:c r="J519" s="31" t="inlineStr">
        <x:is>
          <x:t xml:space="preserve">СОТР-105</x:t>
        </x:is>
      </x:c>
      <x:c r="K519" s="31" t="n">
        <x:v>7.2</x:v>
      </x:c>
      <x:c r="L519" s="31" t="n">
        <x:v>6.6</x:v>
      </x:c>
      <x:c r="M519" s="31" t="n">
        <x:v>46167</x:v>
      </x:c>
      <x:c r="N519" s="31" t="n">
        <x:v>46168</x:v>
      </x:c>
      <x:c r="O519" s="31" t="n">
        <x:v>46167</x:v>
      </x:c>
      <x:c r="P519" s="31" t="n">
        <x:v>46170</x:v>
      </x:c>
      <x:c r="Q519" s="31" t="inlineStr">
        <x:is>
          <x:t xml:space="preserve">Завершено</x:t>
        </x:is>
      </x:c>
      <x:c r="R519" s="31" t="inlineStr">
        <x:is>
          <x:t xml:space="preserve">Нет</x:t>
        </x:is>
      </x:c>
      <x:c r="S519" s="31" t="inlineStr">
        <x:is>
          <x:t xml:space="preserve">Нет</x:t>
        </x:is>
      </x:c>
    </x:row>
    <x:row r="520">
      <x:c r="A520" s="31" t="inlineStr">
        <x:is>
          <x:t xml:space="preserve">ОП-000519</x:t>
        </x:is>
      </x:c>
      <x:c r="B520" s="31" t="inlineStr">
        <x:is>
          <x:t xml:space="preserve">ПЗ-00062</x:t>
        </x:is>
      </x:c>
      <x:c r="C520" s="31" t="inlineStr">
        <x:is>
          <x:t xml:space="preserve">ЗК-1037</x:t>
        </x:is>
      </x:c>
      <x:c r="D520" s="31" t="inlineStr">
        <x:is>
          <x:t xml:space="preserve">ПОЗ-0037-1</x:t>
        </x:is>
      </x:c>
      <x:c r="E520" s="31" t="inlineStr">
        <x:is>
          <x:t xml:space="preserve">ИЗД-027</x:t>
        </x:is>
      </x:c>
      <x:c r="F520" s="31" t="n">
        <x:v>10</x:v>
      </x:c>
      <x:c r="G520" s="31" t="inlineStr">
        <x:is>
          <x:t xml:space="preserve">КД</x:t>
        </x:is>
      </x:c>
      <x:c r="H520" s="31" t="inlineStr">
        <x:is>
          <x:t xml:space="preserve">Инженерный отдел</x:t>
        </x:is>
      </x:c>
      <x:c r="I520" s="31" t="n"/>
      <x:c r="J520" s="31" t="inlineStr">
        <x:is>
          <x:t xml:space="preserve">СОТР-017</x:t>
        </x:is>
      </x:c>
      <x:c r="K520" s="31" t="n">
        <x:v>19.2</x:v>
      </x:c>
      <x:c r="L520" s="31" t="n"/>
      <x:c r="M520" s="31" t="n">
        <x:v>46152</x:v>
      </x:c>
      <x:c r="N520" s="31" t="n">
        <x:v>46154</x:v>
      </x:c>
      <x:c r="O520" s="31" t="n"/>
      <x:c r="P520" s="31" t="n"/>
      <x:c r="Q520" s="31" t="inlineStr">
        <x:is>
          <x:t xml:space="preserve">Запланировано</x:t>
        </x:is>
      </x:c>
      <x:c r="R520" s="31" t="inlineStr">
        <x:is>
          <x:t xml:space="preserve">Нет</x:t>
        </x:is>
      </x:c>
      <x:c r="S520" s="31" t="inlineStr">
        <x:is>
          <x:t xml:space="preserve">Нет</x:t>
        </x:is>
      </x:c>
    </x:row>
    <x:row r="521">
      <x:c r="A521" s="31" t="inlineStr">
        <x:is>
          <x:t xml:space="preserve">ОП-000520</x:t>
        </x:is>
      </x:c>
      <x:c r="B521" s="31" t="inlineStr">
        <x:is>
          <x:t xml:space="preserve">ПЗ-00062</x:t>
        </x:is>
      </x:c>
      <x:c r="C521" s="31" t="inlineStr">
        <x:is>
          <x:t xml:space="preserve">ЗК-1037</x:t>
        </x:is>
      </x:c>
      <x:c r="D521" s="31" t="inlineStr">
        <x:is>
          <x:t xml:space="preserve">ПОЗ-0037-1</x:t>
        </x:is>
      </x:c>
      <x:c r="E521" s="31" t="inlineStr">
        <x:is>
          <x:t xml:space="preserve">ИЗД-027</x:t>
        </x:is>
      </x:c>
      <x:c r="F521" s="31" t="n">
        <x:v>20</x:v>
      </x:c>
      <x:c r="G521" s="31" t="inlineStr">
        <x:is>
          <x:t xml:space="preserve">Резерв материалов</x:t>
        </x:is>
      </x:c>
      <x:c r="H521" s="31" t="inlineStr">
        <x:is>
          <x:t xml:space="preserve">Склад</x:t>
        </x:is>
      </x:c>
      <x:c r="I521" s="31" t="inlineStr">
        <x:is>
          <x:t xml:space="preserve">ОБ-008</x:t>
        </x:is>
      </x:c>
      <x:c r="J521" s="31" t="inlineStr">
        <x:is>
          <x:t xml:space="preserve">СОТР-036</x:t>
        </x:is>
      </x:c>
      <x:c r="K521" s="31" t="n">
        <x:v>2.9</x:v>
      </x:c>
      <x:c r="L521" s="31" t="n"/>
      <x:c r="M521" s="31" t="n">
        <x:v>46154</x:v>
      </x:c>
      <x:c r="N521" s="31" t="n">
        <x:v>46155</x:v>
      </x:c>
      <x:c r="O521" s="31" t="n"/>
      <x:c r="P521" s="31" t="n"/>
      <x:c r="Q521" s="31" t="inlineStr">
        <x:is>
          <x:t xml:space="preserve">Запланировано</x:t>
        </x:is>
      </x:c>
      <x:c r="R521" s="31" t="inlineStr">
        <x:is>
          <x:t xml:space="preserve">Нет</x:t>
        </x:is>
      </x:c>
      <x:c r="S521" s="31" t="inlineStr">
        <x:is>
          <x:t xml:space="preserve">Да</x:t>
        </x:is>
      </x:c>
    </x:row>
    <x:row r="522">
      <x:c r="A522" s="31" t="inlineStr">
        <x:is>
          <x:t xml:space="preserve">ОП-000521</x:t>
        </x:is>
      </x:c>
      <x:c r="B522" s="31" t="inlineStr">
        <x:is>
          <x:t xml:space="preserve">ПЗ-00062</x:t>
        </x:is>
      </x:c>
      <x:c r="C522" s="31" t="inlineStr">
        <x:is>
          <x:t xml:space="preserve">ЗК-1037</x:t>
        </x:is>
      </x:c>
      <x:c r="D522" s="31" t="inlineStr">
        <x:is>
          <x:t xml:space="preserve">ПОЗ-0037-1</x:t>
        </x:is>
      </x:c>
      <x:c r="E522" s="31" t="inlineStr">
        <x:is>
          <x:t xml:space="preserve">ИЗД-027</x:t>
        </x:is>
      </x:c>
      <x:c r="F522" s="31" t="n">
        <x:v>30</x:v>
      </x:c>
      <x:c r="G522" s="31" t="inlineStr">
        <x:is>
          <x:t xml:space="preserve">Сварка рамы</x:t>
        </x:is>
      </x:c>
      <x:c r="H522" s="31" t="inlineStr">
        <x:is>
          <x:t xml:space="preserve">Сварка</x:t>
        </x:is>
      </x:c>
      <x:c r="I522" s="31" t="inlineStr">
        <x:is>
          <x:t xml:space="preserve">ОБ-010</x:t>
        </x:is>
      </x:c>
      <x:c r="J522" s="31" t="inlineStr">
        <x:is>
          <x:t xml:space="preserve">СОТР-069</x:t>
        </x:is>
      </x:c>
      <x:c r="K522" s="31" t="n">
        <x:v>13.2</x:v>
      </x:c>
      <x:c r="L522" s="31" t="n"/>
      <x:c r="M522" s="31" t="n">
        <x:v>46155</x:v>
      </x:c>
      <x:c r="N522" s="31" t="n">
        <x:v>46157</x:v>
      </x:c>
      <x:c r="O522" s="31" t="n"/>
      <x:c r="P522" s="31" t="n"/>
      <x:c r="Q522" s="31" t="inlineStr">
        <x:is>
          <x:t xml:space="preserve">Запланировано</x:t>
        </x:is>
      </x:c>
      <x:c r="R522" s="31" t="inlineStr">
        <x:is>
          <x:t xml:space="preserve">Нет</x:t>
        </x:is>
      </x:c>
      <x:c r="S522" s="31" t="inlineStr">
        <x:is>
          <x:t xml:space="preserve">Нет</x:t>
        </x:is>
      </x:c>
    </x:row>
    <x:row r="523">
      <x:c r="A523" s="31" t="inlineStr">
        <x:is>
          <x:t xml:space="preserve">ОП-000522</x:t>
        </x:is>
      </x:c>
      <x:c r="B523" s="31" t="inlineStr">
        <x:is>
          <x:t xml:space="preserve">ПЗ-00062</x:t>
        </x:is>
      </x:c>
      <x:c r="C523" s="31" t="inlineStr">
        <x:is>
          <x:t xml:space="preserve">ЗК-1037</x:t>
        </x:is>
      </x:c>
      <x:c r="D523" s="31" t="inlineStr">
        <x:is>
          <x:t xml:space="preserve">ПОЗ-0037-1</x:t>
        </x:is>
      </x:c>
      <x:c r="E523" s="31" t="inlineStr">
        <x:is>
          <x:t xml:space="preserve">ИЗД-027</x:t>
        </x:is>
      </x:c>
      <x:c r="F523" s="31" t="n">
        <x:v>40</x:v>
      </x:c>
      <x:c r="G523" s="31" t="inlineStr">
        <x:is>
          <x:t xml:space="preserve">Сборка</x:t>
        </x:is>
      </x:c>
      <x:c r="H523" s="31" t="inlineStr">
        <x:is>
          <x:t xml:space="preserve">Сборка</x:t>
        </x:is>
      </x:c>
      <x:c r="I523" s="31" t="inlineStr">
        <x:is>
          <x:t xml:space="preserve">ОБ-027</x:t>
        </x:is>
      </x:c>
      <x:c r="J523" s="31" t="inlineStr">
        <x:is>
          <x:t xml:space="preserve">СОТР-091</x:t>
        </x:is>
      </x:c>
      <x:c r="K523" s="31" t="n">
        <x:v>8.9</x:v>
      </x:c>
      <x:c r="L523" s="31" t="n"/>
      <x:c r="M523" s="31" t="n">
        <x:v>46157</x:v>
      </x:c>
      <x:c r="N523" s="31" t="n">
        <x:v>46158</x:v>
      </x:c>
      <x:c r="O523" s="31" t="n"/>
      <x:c r="P523" s="31" t="n"/>
      <x:c r="Q523" s="31" t="inlineStr">
        <x:is>
          <x:t xml:space="preserve">Запланировано</x:t>
        </x:is>
      </x:c>
      <x:c r="R523" s="31" t="inlineStr">
        <x:is>
          <x:t xml:space="preserve">Нет</x:t>
        </x:is>
      </x:c>
      <x:c r="S523" s="31" t="inlineStr">
        <x:is>
          <x:t xml:space="preserve">Нет</x:t>
        </x:is>
      </x:c>
    </x:row>
    <x:row r="524">
      <x:c r="A524" s="31" t="inlineStr">
        <x:is>
          <x:t xml:space="preserve">ОП-000523</x:t>
        </x:is>
      </x:c>
      <x:c r="B524" s="31" t="inlineStr">
        <x:is>
          <x:t xml:space="preserve">ПЗ-00062</x:t>
        </x:is>
      </x:c>
      <x:c r="C524" s="31" t="inlineStr">
        <x:is>
          <x:t xml:space="preserve">ЗК-1037</x:t>
        </x:is>
      </x:c>
      <x:c r="D524" s="31" t="inlineStr">
        <x:is>
          <x:t xml:space="preserve">ПОЗ-0037-1</x:t>
        </x:is>
      </x:c>
      <x:c r="E524" s="31" t="inlineStr">
        <x:is>
          <x:t xml:space="preserve">ИЗД-027</x:t>
        </x:is>
      </x:c>
      <x:c r="F524" s="31" t="n">
        <x:v>50</x:v>
      </x:c>
      <x:c r="G524" s="31" t="inlineStr">
        <x:is>
          <x:t xml:space="preserve">Обвязка труб</x:t>
        </x:is>
      </x:c>
      <x:c r="H524" s="31" t="inlineStr">
        <x:is>
          <x:t xml:space="preserve">Сборка</x:t>
        </x:is>
      </x:c>
      <x:c r="I524" s="31" t="inlineStr">
        <x:is>
          <x:t xml:space="preserve">ОБ-012</x:t>
        </x:is>
      </x:c>
      <x:c r="J524" s="31" t="inlineStr">
        <x:is>
          <x:t xml:space="preserve">СОТР-084</x:t>
        </x:is>
      </x:c>
      <x:c r="K524" s="31" t="n">
        <x:v>18</x:v>
      </x:c>
      <x:c r="L524" s="31" t="n"/>
      <x:c r="M524" s="31" t="n">
        <x:v>46158</x:v>
      </x:c>
      <x:c r="N524" s="31" t="n">
        <x:v>46160</x:v>
      </x:c>
      <x:c r="O524" s="31" t="n"/>
      <x:c r="P524" s="31" t="n"/>
      <x:c r="Q524" s="31" t="inlineStr">
        <x:is>
          <x:t xml:space="preserve">Запланировано</x:t>
        </x:is>
      </x:c>
      <x:c r="R524" s="31" t="inlineStr">
        <x:is>
          <x:t xml:space="preserve">Материал</x:t>
        </x:is>
      </x:c>
      <x:c r="S524" s="31" t="inlineStr">
        <x:is>
          <x:t xml:space="preserve">Нет</x:t>
        </x:is>
      </x:c>
    </x:row>
    <x:row r="525">
      <x:c r="A525" s="31" t="inlineStr">
        <x:is>
          <x:t xml:space="preserve">ОП-000524</x:t>
        </x:is>
      </x:c>
      <x:c r="B525" s="31" t="inlineStr">
        <x:is>
          <x:t xml:space="preserve">ПЗ-00062</x:t>
        </x:is>
      </x:c>
      <x:c r="C525" s="31" t="inlineStr">
        <x:is>
          <x:t xml:space="preserve">ЗК-1037</x:t>
        </x:is>
      </x:c>
      <x:c r="D525" s="31" t="inlineStr">
        <x:is>
          <x:t xml:space="preserve">ПОЗ-0037-1</x:t>
        </x:is>
      </x:c>
      <x:c r="E525" s="31" t="inlineStr">
        <x:is>
          <x:t xml:space="preserve">ИЗД-027</x:t>
        </x:is>
      </x:c>
      <x:c r="F525" s="31" t="n">
        <x:v>60</x:v>
      </x:c>
      <x:c r="G525" s="31" t="inlineStr">
        <x:is>
          <x:t xml:space="preserve">Электромонтаж</x:t>
        </x:is>
      </x:c>
      <x:c r="H525" s="31" t="inlineStr">
        <x:is>
          <x:t xml:space="preserve">Сборка</x:t>
        </x:is>
      </x:c>
      <x:c r="I525" s="31" t="inlineStr">
        <x:is>
          <x:t xml:space="preserve">ОБ-020</x:t>
        </x:is>
      </x:c>
      <x:c r="J525" s="31" t="inlineStr">
        <x:is>
          <x:t xml:space="preserve">СОТР-091</x:t>
        </x:is>
      </x:c>
      <x:c r="K525" s="31" t="n">
        <x:v>16</x:v>
      </x:c>
      <x:c r="L525" s="31" t="n"/>
      <x:c r="M525" s="31" t="n">
        <x:v>46160</x:v>
      </x:c>
      <x:c r="N525" s="31" t="n">
        <x:v>46162</x:v>
      </x:c>
      <x:c r="O525" s="31" t="n"/>
      <x:c r="P525" s="31" t="n"/>
      <x:c r="Q525" s="31" t="inlineStr">
        <x:is>
          <x:t xml:space="preserve">Запланировано</x:t>
        </x:is>
      </x:c>
      <x:c r="R525" s="31" t="inlineStr">
        <x:is>
          <x:t xml:space="preserve">Нет</x:t>
        </x:is>
      </x:c>
      <x:c r="S525" s="31" t="inlineStr">
        <x:is>
          <x:t xml:space="preserve">Да</x:t>
        </x:is>
      </x:c>
    </x:row>
    <x:row r="526">
      <x:c r="A526" s="31" t="inlineStr">
        <x:is>
          <x:t xml:space="preserve">ОП-000525</x:t>
        </x:is>
      </x:c>
      <x:c r="B526" s="31" t="inlineStr">
        <x:is>
          <x:t xml:space="preserve">ПЗ-00062</x:t>
        </x:is>
      </x:c>
      <x:c r="C526" s="31" t="inlineStr">
        <x:is>
          <x:t xml:space="preserve">ЗК-1037</x:t>
        </x:is>
      </x:c>
      <x:c r="D526" s="31" t="inlineStr">
        <x:is>
          <x:t xml:space="preserve">ПОЗ-0037-1</x:t>
        </x:is>
      </x:c>
      <x:c r="E526" s="31" t="inlineStr">
        <x:is>
          <x:t xml:space="preserve">ИЗД-027</x:t>
        </x:is>
      </x:c>
      <x:c r="F526" s="31" t="n">
        <x:v>70</x:v>
      </x:c>
      <x:c r="G526" s="31" t="inlineStr">
        <x:is>
          <x:t xml:space="preserve">Гидроиспытания</x:t>
        </x:is>
      </x:c>
      <x:c r="H526" s="31" t="inlineStr">
        <x:is>
          <x:t xml:space="preserve">ОТК</x:t>
        </x:is>
      </x:c>
      <x:c r="I526" s="31" t="inlineStr">
        <x:is>
          <x:t xml:space="preserve">ОБ-033</x:t>
        </x:is>
      </x:c>
      <x:c r="J526" s="31" t="inlineStr">
        <x:is>
          <x:t xml:space="preserve">СОТР-100</x:t>
        </x:is>
      </x:c>
      <x:c r="K526" s="31" t="n">
        <x:v>12.2</x:v>
      </x:c>
      <x:c r="L526" s="31" t="n"/>
      <x:c r="M526" s="31" t="n">
        <x:v>46162</x:v>
      </x:c>
      <x:c r="N526" s="31" t="n">
        <x:v>46164</x:v>
      </x:c>
      <x:c r="O526" s="31" t="n"/>
      <x:c r="P526" s="31" t="n"/>
      <x:c r="Q526" s="31" t="inlineStr">
        <x:is>
          <x:t xml:space="preserve">Запланировано</x:t>
        </x:is>
      </x:c>
      <x:c r="R526" s="31" t="inlineStr">
        <x:is>
          <x:t xml:space="preserve">Нет</x:t>
        </x:is>
      </x:c>
      <x:c r="S526" s="31" t="inlineStr">
        <x:is>
          <x:t xml:space="preserve">Нет</x:t>
        </x:is>
      </x:c>
    </x:row>
    <x:row r="527">
      <x:c r="A527" s="31" t="inlineStr">
        <x:is>
          <x:t xml:space="preserve">ОП-000526</x:t>
        </x:is>
      </x:c>
      <x:c r="B527" s="31" t="inlineStr">
        <x:is>
          <x:t xml:space="preserve">ПЗ-00062</x:t>
        </x:is>
      </x:c>
      <x:c r="C527" s="31" t="inlineStr">
        <x:is>
          <x:t xml:space="preserve">ЗК-1037</x:t>
        </x:is>
      </x:c>
      <x:c r="D527" s="31" t="inlineStr">
        <x:is>
          <x:t xml:space="preserve">ПОЗ-0037-1</x:t>
        </x:is>
      </x:c>
      <x:c r="E527" s="31" t="inlineStr">
        <x:is>
          <x:t xml:space="preserve">ИЗД-027</x:t>
        </x:is>
      </x:c>
      <x:c r="F527" s="31" t="n">
        <x:v>80</x:v>
      </x:c>
      <x:c r="G527" s="31" t="inlineStr">
        <x:is>
          <x:t xml:space="preserve">ОТК</x:t>
        </x:is>
      </x:c>
      <x:c r="H527" s="31" t="inlineStr">
        <x:is>
          <x:t xml:space="preserve">ОТК</x:t>
        </x:is>
      </x:c>
      <x:c r="I527" s="31" t="inlineStr">
        <x:is>
          <x:t xml:space="preserve">ОБ-015</x:t>
        </x:is>
      </x:c>
      <x:c r="J527" s="31" t="inlineStr">
        <x:is>
          <x:t xml:space="preserve">СОТР-099</x:t>
        </x:is>
      </x:c>
      <x:c r="K527" s="31" t="n">
        <x:v>14.1</x:v>
      </x:c>
      <x:c r="L527" s="31" t="n"/>
      <x:c r="M527" s="31" t="n">
        <x:v>46164</x:v>
      </x:c>
      <x:c r="N527" s="31" t="n">
        <x:v>46166</x:v>
      </x:c>
      <x:c r="O527" s="31" t="n"/>
      <x:c r="P527" s="31" t="n"/>
      <x:c r="Q527" s="31" t="inlineStr">
        <x:is>
          <x:t xml:space="preserve">Запланировано</x:t>
        </x:is>
      </x:c>
      <x:c r="R527" s="31" t="inlineStr">
        <x:is>
          <x:t xml:space="preserve">Нет</x:t>
        </x:is>
      </x:c>
      <x:c r="S527" s="31" t="inlineStr">
        <x:is>
          <x:t xml:space="preserve">Нет</x:t>
        </x:is>
      </x:c>
    </x:row>
    <x:row r="528">
      <x:c r="A528" s="31" t="inlineStr">
        <x:is>
          <x:t xml:space="preserve">ОП-000527</x:t>
        </x:is>
      </x:c>
      <x:c r="B528" s="31" t="inlineStr">
        <x:is>
          <x:t xml:space="preserve">ПЗ-00062</x:t>
        </x:is>
      </x:c>
      <x:c r="C528" s="31" t="inlineStr">
        <x:is>
          <x:t xml:space="preserve">ЗК-1037</x:t>
        </x:is>
      </x:c>
      <x:c r="D528" s="31" t="inlineStr">
        <x:is>
          <x:t xml:space="preserve">ПОЗ-0037-1</x:t>
        </x:is>
      </x:c>
      <x:c r="E528" s="31" t="inlineStr">
        <x:is>
          <x:t xml:space="preserve">ИЗД-027</x:t>
        </x:is>
      </x:c>
      <x:c r="F528" s="31" t="n">
        <x:v>90</x:v>
      </x:c>
      <x:c r="G528" s="31" t="inlineStr">
        <x:is>
          <x:t xml:space="preserve">Упаковка</x:t>
        </x:is>
      </x:c>
      <x:c r="H528" s="31" t="inlineStr">
        <x:is>
          <x:t xml:space="preserve">Логистика</x:t>
        </x:is>
      </x:c>
      <x:c r="I528" s="31" t="n"/>
      <x:c r="J528" s="31" t="inlineStr">
        <x:is>
          <x:t xml:space="preserve">СОТР-105</x:t>
        </x:is>
      </x:c>
      <x:c r="K528" s="31" t="n">
        <x:v>8.1</x:v>
      </x:c>
      <x:c r="L528" s="31" t="n"/>
      <x:c r="M528" s="31" t="n">
        <x:v>46166</x:v>
      </x:c>
      <x:c r="N528" s="31" t="n">
        <x:v>46167</x:v>
      </x:c>
      <x:c r="O528" s="31" t="n"/>
      <x:c r="P528" s="31" t="n"/>
      <x:c r="Q528" s="31" t="inlineStr">
        <x:is>
          <x:t xml:space="preserve">Запланировано</x:t>
        </x:is>
      </x:c>
      <x:c r="R528" s="31" t="inlineStr">
        <x:is>
          <x:t xml:space="preserve">Оборудование</x:t>
        </x:is>
      </x:c>
      <x:c r="S528" s="31" t="inlineStr">
        <x:is>
          <x:t xml:space="preserve">Да</x:t>
        </x:is>
      </x:c>
    </x:row>
    <x:row r="529">
      <x:c r="A529" s="31" t="inlineStr">
        <x:is>
          <x:t xml:space="preserve">ОП-000528</x:t>
        </x:is>
      </x:c>
      <x:c r="B529" s="31" t="inlineStr">
        <x:is>
          <x:t xml:space="preserve">ПЗ-00063</x:t>
        </x:is>
      </x:c>
      <x:c r="C529" s="31" t="inlineStr">
        <x:is>
          <x:t xml:space="preserve">ЗК-1037</x:t>
        </x:is>
      </x:c>
      <x:c r="D529" s="31" t="inlineStr">
        <x:is>
          <x:t xml:space="preserve">ПОЗ-0037-2</x:t>
        </x:is>
      </x:c>
      <x:c r="E529" s="31" t="inlineStr">
        <x:is>
          <x:t xml:space="preserve">ИЗД-037</x:t>
        </x:is>
      </x:c>
      <x:c r="F529" s="31" t="n">
        <x:v>10</x:v>
      </x:c>
      <x:c r="G529" s="31" t="inlineStr">
        <x:is>
          <x:t xml:space="preserve">КД</x:t>
        </x:is>
      </x:c>
      <x:c r="H529" s="31" t="inlineStr">
        <x:is>
          <x:t xml:space="preserve">Инженерный отдел</x:t>
        </x:is>
      </x:c>
      <x:c r="I529" s="31" t="n"/>
      <x:c r="J529" s="31" t="inlineStr">
        <x:is>
          <x:t xml:space="preserve">СОТР-016</x:t>
        </x:is>
      </x:c>
      <x:c r="K529" s="31" t="n">
        <x:v>67</x:v>
      </x:c>
      <x:c r="L529" s="31" t="n"/>
      <x:c r="M529" s="31" t="n">
        <x:v>46162</x:v>
      </x:c>
      <x:c r="N529" s="31" t="n">
        <x:v>46168</x:v>
      </x:c>
      <x:c r="O529" s="31" t="n">
        <x:v>46162</x:v>
      </x:c>
      <x:c r="P529" s="31" t="n"/>
      <x:c r="Q529" s="31" t="inlineStr">
        <x:is>
          <x:t xml:space="preserve">В работе</x:t>
        </x:is>
      </x:c>
      <x:c r="R529" s="31" t="inlineStr">
        <x:is>
          <x:t xml:space="preserve">Нет</x:t>
        </x:is>
      </x:c>
      <x:c r="S529" s="31" t="inlineStr">
        <x:is>
          <x:t xml:space="preserve">Нет</x:t>
        </x:is>
      </x:c>
    </x:row>
    <x:row r="530">
      <x:c r="A530" s="31" t="inlineStr">
        <x:is>
          <x:t xml:space="preserve">ОП-000529</x:t>
        </x:is>
      </x:c>
      <x:c r="B530" s="31" t="inlineStr">
        <x:is>
          <x:t xml:space="preserve">ПЗ-00063</x:t>
        </x:is>
      </x:c>
      <x:c r="C530" s="31" t="inlineStr">
        <x:is>
          <x:t xml:space="preserve">ЗК-1037</x:t>
        </x:is>
      </x:c>
      <x:c r="D530" s="31" t="inlineStr">
        <x:is>
          <x:t xml:space="preserve">ПОЗ-0037-2</x:t>
        </x:is>
      </x:c>
      <x:c r="E530" s="31" t="inlineStr">
        <x:is>
          <x:t xml:space="preserve">ИЗД-037</x:t>
        </x:is>
      </x:c>
      <x:c r="F530" s="31" t="n">
        <x:v>20</x:v>
      </x:c>
      <x:c r="G530" s="31" t="inlineStr">
        <x:is>
          <x:t xml:space="preserve">Резка труб</x:t>
        </x:is>
      </x:c>
      <x:c r="H530" s="31" t="inlineStr">
        <x:is>
          <x:t xml:space="preserve">Сварка</x:t>
        </x:is>
      </x:c>
      <x:c r="I530" s="31" t="inlineStr">
        <x:is>
          <x:t xml:space="preserve">ОБ-018</x:t>
        </x:is>
      </x:c>
      <x:c r="J530" s="31" t="inlineStr">
        <x:is>
          <x:t xml:space="preserve">СОТР-068</x:t>
        </x:is>
      </x:c>
      <x:c r="K530" s="31" t="n">
        <x:v>103.5</x:v>
      </x:c>
      <x:c r="L530" s="31" t="n">
        <x:v>105.2</x:v>
      </x:c>
      <x:c r="M530" s="31" t="n">
        <x:v>46168</x:v>
      </x:c>
      <x:c r="N530" s="31" t="n">
        <x:v>46177</x:v>
      </x:c>
      <x:c r="O530" s="31" t="n">
        <x:v>46168</x:v>
      </x:c>
      <x:c r="P530" s="31" t="n">
        <x:v>46176</x:v>
      </x:c>
      <x:c r="Q530" s="31" t="inlineStr">
        <x:is>
          <x:t xml:space="preserve">Завершено</x:t>
        </x:is>
      </x:c>
      <x:c r="R530" s="31" t="inlineStr">
        <x:is>
          <x:t xml:space="preserve">Нет</x:t>
        </x:is>
      </x:c>
      <x:c r="S530" s="31" t="inlineStr">
        <x:is>
          <x:t xml:space="preserve">Нет</x:t>
        </x:is>
      </x:c>
    </x:row>
    <x:row r="531">
      <x:c r="A531" s="31" t="inlineStr">
        <x:is>
          <x:t xml:space="preserve">ОП-000530</x:t>
        </x:is>
      </x:c>
      <x:c r="B531" s="31" t="inlineStr">
        <x:is>
          <x:t xml:space="preserve">ПЗ-00063</x:t>
        </x:is>
      </x:c>
      <x:c r="C531" s="31" t="inlineStr">
        <x:is>
          <x:t xml:space="preserve">ЗК-1037</x:t>
        </x:is>
      </x:c>
      <x:c r="D531" s="31" t="inlineStr">
        <x:is>
          <x:t xml:space="preserve">ПОЗ-0037-2</x:t>
        </x:is>
      </x:c>
      <x:c r="E531" s="31" t="inlineStr">
        <x:is>
          <x:t xml:space="preserve">ИЗД-037</x:t>
        </x:is>
      </x:c>
      <x:c r="F531" s="31" t="n">
        <x:v>30</x:v>
      </x:c>
      <x:c r="G531" s="31" t="inlineStr">
        <x:is>
          <x:t xml:space="preserve">Сварка</x:t>
        </x:is>
      </x:c>
      <x:c r="H531" s="31" t="inlineStr">
        <x:is>
          <x:t xml:space="preserve">Сварка</x:t>
        </x:is>
      </x:c>
      <x:c r="I531" s="31" t="inlineStr">
        <x:is>
          <x:t xml:space="preserve">ОБ-018</x:t>
        </x:is>
      </x:c>
      <x:c r="J531" s="31" t="inlineStr">
        <x:is>
          <x:t xml:space="preserve">СОТР-061</x:t>
        </x:is>
      </x:c>
      <x:c r="K531" s="31" t="n">
        <x:v>71.5</x:v>
      </x:c>
      <x:c r="L531" s="31" t="n"/>
      <x:c r="M531" s="31" t="n">
        <x:v>46177</x:v>
      </x:c>
      <x:c r="N531" s="31" t="n">
        <x:v>46183</x:v>
      </x:c>
      <x:c r="O531" s="31" t="n"/>
      <x:c r="P531" s="31" t="n"/>
      <x:c r="Q531" s="31" t="inlineStr">
        <x:is>
          <x:t xml:space="preserve">Запланировано</x:t>
        </x:is>
      </x:c>
      <x:c r="R531" s="31" t="inlineStr">
        <x:is>
          <x:t xml:space="preserve">Ожидание ОТК</x:t>
        </x:is>
      </x:c>
      <x:c r="S531" s="31" t="inlineStr">
        <x:is>
          <x:t xml:space="preserve">Нет</x:t>
        </x:is>
      </x:c>
    </x:row>
    <x:row r="532">
      <x:c r="A532" s="31" t="inlineStr">
        <x:is>
          <x:t xml:space="preserve">ОП-000531</x:t>
        </x:is>
      </x:c>
      <x:c r="B532" s="31" t="inlineStr">
        <x:is>
          <x:t xml:space="preserve">ПЗ-00063</x:t>
        </x:is>
      </x:c>
      <x:c r="C532" s="31" t="inlineStr">
        <x:is>
          <x:t xml:space="preserve">ЗК-1037</x:t>
        </x:is>
      </x:c>
      <x:c r="D532" s="31" t="inlineStr">
        <x:is>
          <x:t xml:space="preserve">ПОЗ-0037-2</x:t>
        </x:is>
      </x:c>
      <x:c r="E532" s="31" t="inlineStr">
        <x:is>
          <x:t xml:space="preserve">ИЗД-037</x:t>
        </x:is>
      </x:c>
      <x:c r="F532" s="31" t="n">
        <x:v>40</x:v>
      </x:c>
      <x:c r="G532" s="31" t="inlineStr">
        <x:is>
          <x:t xml:space="preserve">НК сварных швов</x:t>
        </x:is>
      </x:c>
      <x:c r="H532" s="31" t="inlineStr">
        <x:is>
          <x:t xml:space="preserve">ОТК</x:t>
        </x:is>
      </x:c>
      <x:c r="I532" s="31" t="inlineStr">
        <x:is>
          <x:t xml:space="preserve">ОБ-007</x:t>
        </x:is>
      </x:c>
      <x:c r="J532" s="31" t="inlineStr">
        <x:is>
          <x:t xml:space="preserve">СОТР-093</x:t>
        </x:is>
      </x:c>
      <x:c r="K532" s="31" t="n">
        <x:v>17</x:v>
      </x:c>
      <x:c r="L532" s="31" t="n">
        <x:v>19.2</x:v>
      </x:c>
      <x:c r="M532" s="31" t="n">
        <x:v>46183</x:v>
      </x:c>
      <x:c r="N532" s="31" t="n">
        <x:v>46185</x:v>
      </x:c>
      <x:c r="O532" s="31" t="n">
        <x:v>46183</x:v>
      </x:c>
      <x:c r="P532" s="31" t="n">
        <x:v>46184</x:v>
      </x:c>
      <x:c r="Q532" s="31" t="inlineStr">
        <x:is>
          <x:t xml:space="preserve">Завершено</x:t>
        </x:is>
      </x:c>
      <x:c r="R532" s="31" t="inlineStr">
        <x:is>
          <x:t xml:space="preserve">Нет</x:t>
        </x:is>
      </x:c>
      <x:c r="S532" s="31" t="inlineStr">
        <x:is>
          <x:t xml:space="preserve">Нет</x:t>
        </x:is>
      </x:c>
    </x:row>
    <x:row r="533">
      <x:c r="A533" s="31" t="inlineStr">
        <x:is>
          <x:t xml:space="preserve">ОП-000532</x:t>
        </x:is>
      </x:c>
      <x:c r="B533" s="31" t="inlineStr">
        <x:is>
          <x:t xml:space="preserve">ПЗ-00063</x:t>
        </x:is>
      </x:c>
      <x:c r="C533" s="31" t="inlineStr">
        <x:is>
          <x:t xml:space="preserve">ЗК-1037</x:t>
        </x:is>
      </x:c>
      <x:c r="D533" s="31" t="inlineStr">
        <x:is>
          <x:t xml:space="preserve">ПОЗ-0037-2</x:t>
        </x:is>
      </x:c>
      <x:c r="E533" s="31" t="inlineStr">
        <x:is>
          <x:t xml:space="preserve">ИЗД-037</x:t>
        </x:is>
      </x:c>
      <x:c r="F533" s="31" t="n">
        <x:v>50</x:v>
      </x:c>
      <x:c r="G533" s="31" t="inlineStr">
        <x:is>
          <x:t xml:space="preserve">Гидроиспытания</x:t>
        </x:is>
      </x:c>
      <x:c r="H533" s="31" t="inlineStr">
        <x:is>
          <x:t xml:space="preserve">ОТК</x:t>
        </x:is>
      </x:c>
      <x:c r="I533" s="31" t="inlineStr">
        <x:is>
          <x:t xml:space="preserve">ОБ-015</x:t>
        </x:is>
      </x:c>
      <x:c r="J533" s="31" t="inlineStr">
        <x:is>
          <x:t xml:space="preserve">СОТР-097</x:t>
        </x:is>
      </x:c>
      <x:c r="K533" s="31" t="n">
        <x:v>23.5</x:v>
      </x:c>
      <x:c r="L533" s="31" t="n">
        <x:v>19.3</x:v>
      </x:c>
      <x:c r="M533" s="31" t="n">
        <x:v>46185</x:v>
      </x:c>
      <x:c r="N533" s="31" t="n">
        <x:v>46187</x:v>
      </x:c>
      <x:c r="O533" s="31" t="n">
        <x:v>46185</x:v>
      </x:c>
      <x:c r="P533" s="31" t="n">
        <x:v>46186</x:v>
      </x:c>
      <x:c r="Q533" s="31" t="inlineStr">
        <x:is>
          <x:t xml:space="preserve">Завершено</x:t>
        </x:is>
      </x:c>
      <x:c r="R533" s="31" t="inlineStr">
        <x:is>
          <x:t xml:space="preserve">Нет</x:t>
        </x:is>
      </x:c>
      <x:c r="S533" s="31" t="inlineStr">
        <x:is>
          <x:t xml:space="preserve">Нет</x:t>
        </x:is>
      </x:c>
    </x:row>
    <x:row r="534">
      <x:c r="A534" s="31" t="inlineStr">
        <x:is>
          <x:t xml:space="preserve">ОП-000533</x:t>
        </x:is>
      </x:c>
      <x:c r="B534" s="31" t="inlineStr">
        <x:is>
          <x:t xml:space="preserve">ПЗ-00063</x:t>
        </x:is>
      </x:c>
      <x:c r="C534" s="31" t="inlineStr">
        <x:is>
          <x:t xml:space="preserve">ЗК-1037</x:t>
        </x:is>
      </x:c>
      <x:c r="D534" s="31" t="inlineStr">
        <x:is>
          <x:t xml:space="preserve">ПОЗ-0037-2</x:t>
        </x:is>
      </x:c>
      <x:c r="E534" s="31" t="inlineStr">
        <x:is>
          <x:t xml:space="preserve">ИЗД-037</x:t>
        </x:is>
      </x:c>
      <x:c r="F534" s="31" t="n">
        <x:v>60</x:v>
      </x:c>
      <x:c r="G534" s="31" t="inlineStr">
        <x:is>
          <x:t xml:space="preserve">Покраска</x:t>
        </x:is>
      </x:c>
      <x:c r="H534" s="31" t="inlineStr">
        <x:is>
          <x:t xml:space="preserve">Сварка</x:t>
        </x:is>
      </x:c>
      <x:c r="I534" s="31" t="inlineStr">
        <x:is>
          <x:t xml:space="preserve">ОБ-004</x:t>
        </x:is>
      </x:c>
      <x:c r="J534" s="31" t="inlineStr">
        <x:is>
          <x:t xml:space="preserve">СОТР-067</x:t>
        </x:is>
      </x:c>
      <x:c r="K534" s="31" t="n">
        <x:v>43</x:v>
      </x:c>
      <x:c r="L534" s="31" t="n"/>
      <x:c r="M534" s="31" t="n">
        <x:v>46187</x:v>
      </x:c>
      <x:c r="N534" s="31" t="n">
        <x:v>46191</x:v>
      </x:c>
      <x:c r="O534" s="31" t="n"/>
      <x:c r="P534" s="31" t="n"/>
      <x:c r="Q534" s="31" t="inlineStr">
        <x:is>
          <x:t xml:space="preserve">Запланировано</x:t>
        </x:is>
      </x:c>
      <x:c r="R534" s="31" t="inlineStr">
        <x:is>
          <x:t xml:space="preserve">КД</x:t>
        </x:is>
      </x:c>
      <x:c r="S534" s="31" t="inlineStr">
        <x:is>
          <x:t xml:space="preserve">Нет</x:t>
        </x:is>
      </x:c>
    </x:row>
    <x:row r="535">
      <x:c r="A535" s="31" t="inlineStr">
        <x:is>
          <x:t xml:space="preserve">ОП-000534</x:t>
        </x:is>
      </x:c>
      <x:c r="B535" s="31" t="inlineStr">
        <x:is>
          <x:t xml:space="preserve">ПЗ-00063</x:t>
        </x:is>
      </x:c>
      <x:c r="C535" s="31" t="inlineStr">
        <x:is>
          <x:t xml:space="preserve">ЗК-1037</x:t>
        </x:is>
      </x:c>
      <x:c r="D535" s="31" t="inlineStr">
        <x:is>
          <x:t xml:space="preserve">ПОЗ-0037-2</x:t>
        </x:is>
      </x:c>
      <x:c r="E535" s="31" t="inlineStr">
        <x:is>
          <x:t xml:space="preserve">ИЗД-037</x:t>
        </x:is>
      </x:c>
      <x:c r="F535" s="31" t="n">
        <x:v>70</x:v>
      </x:c>
      <x:c r="G535" s="31" t="inlineStr">
        <x:is>
          <x:t xml:space="preserve">ОТК</x:t>
        </x:is>
      </x:c>
      <x:c r="H535" s="31" t="inlineStr">
        <x:is>
          <x:t xml:space="preserve">ОТК</x:t>
        </x:is>
      </x:c>
      <x:c r="I535" s="31" t="inlineStr">
        <x:is>
          <x:t xml:space="preserve">ОБ-032</x:t>
        </x:is>
      </x:c>
      <x:c r="J535" s="31" t="inlineStr">
        <x:is>
          <x:t xml:space="preserve">СОТР-092</x:t>
        </x:is>
      </x:c>
      <x:c r="K535" s="31" t="n">
        <x:v>93.5</x:v>
      </x:c>
      <x:c r="L535" s="31" t="n"/>
      <x:c r="M535" s="31" t="n">
        <x:v>46191</x:v>
      </x:c>
      <x:c r="N535" s="31" t="n">
        <x:v>46199</x:v>
      </x:c>
      <x:c r="O535" s="31" t="n"/>
      <x:c r="P535" s="31" t="n"/>
      <x:c r="Q535" s="31" t="inlineStr">
        <x:is>
          <x:t xml:space="preserve">Запланировано</x:t>
        </x:is>
      </x:c>
      <x:c r="R535" s="31" t="inlineStr">
        <x:is>
          <x:t xml:space="preserve">Ожидание ОТК</x:t>
        </x:is>
      </x:c>
      <x:c r="S535" s="31" t="inlineStr">
        <x:is>
          <x:t xml:space="preserve">Да</x:t>
        </x:is>
      </x:c>
    </x:row>
    <x:row r="536">
      <x:c r="A536" s="31" t="inlineStr">
        <x:is>
          <x:t xml:space="preserve">ОП-000535</x:t>
        </x:is>
      </x:c>
      <x:c r="B536" s="31" t="inlineStr">
        <x:is>
          <x:t xml:space="preserve">ПЗ-00064</x:t>
        </x:is>
      </x:c>
      <x:c r="C536" s="31" t="inlineStr">
        <x:is>
          <x:t xml:space="preserve">ЗК-1037</x:t>
        </x:is>
      </x:c>
      <x:c r="D536" s="31" t="inlineStr">
        <x:is>
          <x:t xml:space="preserve">ПОЗ-0037-3</x:t>
        </x:is>
      </x:c>
      <x:c r="E536" s="31" t="inlineStr">
        <x:is>
          <x:t xml:space="preserve">ИЗД-035</x:t>
        </x:is>
      </x:c>
      <x:c r="F536" s="31" t="n">
        <x:v>10</x:v>
      </x:c>
      <x:c r="G536" s="31" t="inlineStr">
        <x:is>
          <x:t xml:space="preserve">КД</x:t>
        </x:is>
      </x:c>
      <x:c r="H536" s="31" t="inlineStr">
        <x:is>
          <x:t xml:space="preserve">Инженерный отдел</x:t>
        </x:is>
      </x:c>
      <x:c r="I536" s="31" t="n"/>
      <x:c r="J536" s="31" t="inlineStr">
        <x:is>
          <x:t xml:space="preserve">СОТР-019</x:t>
        </x:is>
      </x:c>
      <x:c r="K536" s="31" t="n">
        <x:v>27.6</x:v>
      </x:c>
      <x:c r="L536" s="31" t="n"/>
      <x:c r="M536" s="31" t="n">
        <x:v>46160</x:v>
      </x:c>
      <x:c r="N536" s="31" t="n">
        <x:v>46163</x:v>
      </x:c>
      <x:c r="O536" s="31" t="n"/>
      <x:c r="P536" s="31" t="n"/>
      <x:c r="Q536" s="31" t="inlineStr">
        <x:is>
          <x:t xml:space="preserve">Запланировано</x:t>
        </x:is>
      </x:c>
      <x:c r="R536" s="31" t="inlineStr">
        <x:is>
          <x:t xml:space="preserve">Нет</x:t>
        </x:is>
      </x:c>
      <x:c r="S536" s="31" t="inlineStr">
        <x:is>
          <x:t xml:space="preserve">Нет</x:t>
        </x:is>
      </x:c>
    </x:row>
    <x:row r="537">
      <x:c r="A537" s="31" t="inlineStr">
        <x:is>
          <x:t xml:space="preserve">ОП-000536</x:t>
        </x:is>
      </x:c>
      <x:c r="B537" s="31" t="inlineStr">
        <x:is>
          <x:t xml:space="preserve">ПЗ-00064</x:t>
        </x:is>
      </x:c>
      <x:c r="C537" s="31" t="inlineStr">
        <x:is>
          <x:t xml:space="preserve">ЗК-1037</x:t>
        </x:is>
      </x:c>
      <x:c r="D537" s="31" t="inlineStr">
        <x:is>
          <x:t xml:space="preserve">ПОЗ-0037-3</x:t>
        </x:is>
      </x:c>
      <x:c r="E537" s="31" t="inlineStr">
        <x:is>
          <x:t xml:space="preserve">ИЗД-035</x:t>
        </x:is>
      </x:c>
      <x:c r="F537" s="31" t="n">
        <x:v>20</x:v>
      </x:c>
      <x:c r="G537" s="31" t="inlineStr">
        <x:is>
          <x:t xml:space="preserve">Резерв материалов</x:t>
        </x:is>
      </x:c>
      <x:c r="H537" s="31" t="inlineStr">
        <x:is>
          <x:t xml:space="preserve">Склад</x:t>
        </x:is>
      </x:c>
      <x:c r="I537" s="31" t="inlineStr">
        <x:is>
          <x:t xml:space="preserve">ОБ-023</x:t>
        </x:is>
      </x:c>
      <x:c r="J537" s="31" t="inlineStr">
        <x:is>
          <x:t xml:space="preserve">СОТР-034</x:t>
        </x:is>
      </x:c>
      <x:c r="K537" s="31" t="n">
        <x:v>40.8</x:v>
      </x:c>
      <x:c r="L537" s="31" t="n"/>
      <x:c r="M537" s="31" t="n">
        <x:v>46163</x:v>
      </x:c>
      <x:c r="N537" s="31" t="n">
        <x:v>46167</x:v>
      </x:c>
      <x:c r="O537" s="31" t="n"/>
      <x:c r="P537" s="31" t="n"/>
      <x:c r="Q537" s="31" t="inlineStr">
        <x:is>
          <x:t xml:space="preserve">Запланировано</x:t>
        </x:is>
      </x:c>
      <x:c r="R537" s="31" t="inlineStr">
        <x:is>
          <x:t xml:space="preserve">Нет</x:t>
        </x:is>
      </x:c>
      <x:c r="S537" s="31" t="inlineStr">
        <x:is>
          <x:t xml:space="preserve">Нет</x:t>
        </x:is>
      </x:c>
    </x:row>
    <x:row r="538">
      <x:c r="A538" s="31" t="inlineStr">
        <x:is>
          <x:t xml:space="preserve">ОП-000537</x:t>
        </x:is>
      </x:c>
      <x:c r="B538" s="31" t="inlineStr">
        <x:is>
          <x:t xml:space="preserve">ПЗ-00064</x:t>
        </x:is>
      </x:c>
      <x:c r="C538" s="31" t="inlineStr">
        <x:is>
          <x:t xml:space="preserve">ЗК-1037</x:t>
        </x:is>
      </x:c>
      <x:c r="D538" s="31" t="inlineStr">
        <x:is>
          <x:t xml:space="preserve">ПОЗ-0037-3</x:t>
        </x:is>
      </x:c>
      <x:c r="E538" s="31" t="inlineStr">
        <x:is>
          <x:t xml:space="preserve">ИЗД-035</x:t>
        </x:is>
      </x:c>
      <x:c r="F538" s="31" t="n">
        <x:v>30</x:v>
      </x:c>
      <x:c r="G538" s="31" t="inlineStr">
        <x:is>
          <x:t xml:space="preserve">Резка металла</x:t>
        </x:is>
      </x:c>
      <x:c r="H538" s="31" t="inlineStr">
        <x:is>
          <x:t xml:space="preserve">Сварка</x:t>
        </x:is>
      </x:c>
      <x:c r="I538" s="31" t="inlineStr">
        <x:is>
          <x:t xml:space="preserve">ОБ-021</x:t>
        </x:is>
      </x:c>
      <x:c r="J538" s="31" t="inlineStr">
        <x:is>
          <x:t xml:space="preserve">СОТР-066</x:t>
        </x:is>
      </x:c>
      <x:c r="K538" s="31" t="n">
        <x:v>18.8</x:v>
      </x:c>
      <x:c r="L538" s="31" t="n"/>
      <x:c r="M538" s="31" t="n">
        <x:v>46167</x:v>
      </x:c>
      <x:c r="N538" s="31" t="n">
        <x:v>46169</x:v>
      </x:c>
      <x:c r="O538" s="31" t="n"/>
      <x:c r="P538" s="31" t="n"/>
      <x:c r="Q538" s="31" t="inlineStr">
        <x:is>
          <x:t xml:space="preserve">Запланировано</x:t>
        </x:is>
      </x:c>
      <x:c r="R538" s="31" t="inlineStr">
        <x:is>
          <x:t xml:space="preserve">Нет</x:t>
        </x:is>
      </x:c>
      <x:c r="S538" s="31" t="inlineStr">
        <x:is>
          <x:t xml:space="preserve">Нет</x:t>
        </x:is>
      </x:c>
    </x:row>
    <x:row r="539">
      <x:c r="A539" s="31" t="inlineStr">
        <x:is>
          <x:t xml:space="preserve">ОП-000538</x:t>
        </x:is>
      </x:c>
      <x:c r="B539" s="31" t="inlineStr">
        <x:is>
          <x:t xml:space="preserve">ПЗ-00064</x:t>
        </x:is>
      </x:c>
      <x:c r="C539" s="31" t="inlineStr">
        <x:is>
          <x:t xml:space="preserve">ЗК-1037</x:t>
        </x:is>
      </x:c>
      <x:c r="D539" s="31" t="inlineStr">
        <x:is>
          <x:t xml:space="preserve">ПОЗ-0037-3</x:t>
        </x:is>
      </x:c>
      <x:c r="E539" s="31" t="inlineStr">
        <x:is>
          <x:t xml:space="preserve">ИЗД-035</x:t>
        </x:is>
      </x:c>
      <x:c r="F539" s="31" t="n">
        <x:v>40</x:v>
      </x:c>
      <x:c r="G539" s="31" t="inlineStr">
        <x:is>
          <x:t xml:space="preserve">Сварка рамы</x:t>
        </x:is>
      </x:c>
      <x:c r="H539" s="31" t="inlineStr">
        <x:is>
          <x:t xml:space="preserve">Сварка</x:t>
        </x:is>
      </x:c>
      <x:c r="I539" s="31" t="inlineStr">
        <x:is>
          <x:t xml:space="preserve">ОБ-035</x:t>
        </x:is>
      </x:c>
      <x:c r="J539" s="31" t="inlineStr">
        <x:is>
          <x:t xml:space="preserve">СОТР-071</x:t>
        </x:is>
      </x:c>
      <x:c r="K539" s="31" t="n">
        <x:v>9.199999999999999</x:v>
      </x:c>
      <x:c r="L539" s="31" t="n"/>
      <x:c r="M539" s="31" t="n">
        <x:v>46169</x:v>
      </x:c>
      <x:c r="N539" s="31" t="n">
        <x:v>46170</x:v>
      </x:c>
      <x:c r="O539" s="31" t="n"/>
      <x:c r="P539" s="31" t="n"/>
      <x:c r="Q539" s="31" t="inlineStr">
        <x:is>
          <x:t xml:space="preserve">Запланировано</x:t>
        </x:is>
      </x:c>
      <x:c r="R539" s="31" t="inlineStr">
        <x:is>
          <x:t xml:space="preserve">Оборудование</x:t>
        </x:is>
      </x:c>
      <x:c r="S539" s="31" t="inlineStr">
        <x:is>
          <x:t xml:space="preserve">Нет</x:t>
        </x:is>
      </x:c>
    </x:row>
    <x:row r="540">
      <x:c r="A540" s="31" t="inlineStr">
        <x:is>
          <x:t xml:space="preserve">ОП-000539</x:t>
        </x:is>
      </x:c>
      <x:c r="B540" s="31" t="inlineStr">
        <x:is>
          <x:t xml:space="preserve">ПЗ-00064</x:t>
        </x:is>
      </x:c>
      <x:c r="C540" s="31" t="inlineStr">
        <x:is>
          <x:t xml:space="preserve">ЗК-1037</x:t>
        </x:is>
      </x:c>
      <x:c r="D540" s="31" t="inlineStr">
        <x:is>
          <x:t xml:space="preserve">ПОЗ-0037-3</x:t>
        </x:is>
      </x:c>
      <x:c r="E540" s="31" t="inlineStr">
        <x:is>
          <x:t xml:space="preserve">ИЗД-035</x:t>
        </x:is>
      </x:c>
      <x:c r="F540" s="31" t="n">
        <x:v>50</x:v>
      </x:c>
      <x:c r="G540" s="31" t="inlineStr">
        <x:is>
          <x:t xml:space="preserve">Механообработка</x:t>
        </x:is>
      </x:c>
      <x:c r="H540" s="31" t="inlineStr">
        <x:is>
          <x:t xml:space="preserve">Механообработка</x:t>
        </x:is>
      </x:c>
      <x:c r="I540" s="31" t="inlineStr">
        <x:is>
          <x:t xml:space="preserve">ОБ-031</x:t>
        </x:is>
      </x:c>
      <x:c r="J540" s="31" t="inlineStr">
        <x:is>
          <x:t xml:space="preserve">СОТР-041</x:t>
        </x:is>
      </x:c>
      <x:c r="K540" s="31" t="n">
        <x:v>27.6</x:v>
      </x:c>
      <x:c r="L540" s="31" t="n"/>
      <x:c r="M540" s="31" t="n">
        <x:v>46170</x:v>
      </x:c>
      <x:c r="N540" s="31" t="n">
        <x:v>46173</x:v>
      </x:c>
      <x:c r="O540" s="31" t="n"/>
      <x:c r="P540" s="31" t="n"/>
      <x:c r="Q540" s="31" t="inlineStr">
        <x:is>
          <x:t xml:space="preserve">Запланировано</x:t>
        </x:is>
      </x:c>
      <x:c r="R540" s="31" t="inlineStr">
        <x:is>
          <x:t xml:space="preserve">Нет</x:t>
        </x:is>
      </x:c>
      <x:c r="S540" s="31" t="inlineStr">
        <x:is>
          <x:t xml:space="preserve">Да</x:t>
        </x:is>
      </x:c>
    </x:row>
    <x:row r="541">
      <x:c r="A541" s="31" t="inlineStr">
        <x:is>
          <x:t xml:space="preserve">ОП-000540</x:t>
        </x:is>
      </x:c>
      <x:c r="B541" s="31" t="inlineStr">
        <x:is>
          <x:t xml:space="preserve">ПЗ-00064</x:t>
        </x:is>
      </x:c>
      <x:c r="C541" s="31" t="inlineStr">
        <x:is>
          <x:t xml:space="preserve">ЗК-1037</x:t>
        </x:is>
      </x:c>
      <x:c r="D541" s="31" t="inlineStr">
        <x:is>
          <x:t xml:space="preserve">ПОЗ-0037-3</x:t>
        </x:is>
      </x:c>
      <x:c r="E541" s="31" t="inlineStr">
        <x:is>
          <x:t xml:space="preserve">ИЗД-035</x:t>
        </x:is>
      </x:c>
      <x:c r="F541" s="31" t="n">
        <x:v>60</x:v>
      </x:c>
      <x:c r="G541" s="31" t="inlineStr">
        <x:is>
          <x:t xml:space="preserve">Сборка</x:t>
        </x:is>
      </x:c>
      <x:c r="H541" s="31" t="inlineStr">
        <x:is>
          <x:t xml:space="preserve">Сборка</x:t>
        </x:is>
      </x:c>
      <x:c r="I541" s="31" t="inlineStr">
        <x:is>
          <x:t xml:space="preserve">ОБ-012</x:t>
        </x:is>
      </x:c>
      <x:c r="J541" s="31" t="inlineStr">
        <x:is>
          <x:t xml:space="preserve">СОТР-074</x:t>
        </x:is>
      </x:c>
      <x:c r="K541" s="31" t="n">
        <x:v>5.6</x:v>
      </x:c>
      <x:c r="L541" s="31" t="n"/>
      <x:c r="M541" s="31" t="n">
        <x:v>46173</x:v>
      </x:c>
      <x:c r="N541" s="31" t="n">
        <x:v>46174</x:v>
      </x:c>
      <x:c r="O541" s="31" t="n"/>
      <x:c r="P541" s="31" t="n"/>
      <x:c r="Q541" s="31" t="inlineStr">
        <x:is>
          <x:t xml:space="preserve">Запланировано</x:t>
        </x:is>
      </x:c>
      <x:c r="R541" s="31" t="inlineStr">
        <x:is>
          <x:t xml:space="preserve">Нет</x:t>
        </x:is>
      </x:c>
      <x:c r="S541" s="31" t="inlineStr">
        <x:is>
          <x:t xml:space="preserve">Нет</x:t>
        </x:is>
      </x:c>
    </x:row>
    <x:row r="542">
      <x:c r="A542" s="31" t="inlineStr">
        <x:is>
          <x:t xml:space="preserve">ОП-000541</x:t>
        </x:is>
      </x:c>
      <x:c r="B542" s="31" t="inlineStr">
        <x:is>
          <x:t xml:space="preserve">ПЗ-00064</x:t>
        </x:is>
      </x:c>
      <x:c r="C542" s="31" t="inlineStr">
        <x:is>
          <x:t xml:space="preserve">ЗК-1037</x:t>
        </x:is>
      </x:c>
      <x:c r="D542" s="31" t="inlineStr">
        <x:is>
          <x:t xml:space="preserve">ПОЗ-0037-3</x:t>
        </x:is>
      </x:c>
      <x:c r="E542" s="31" t="inlineStr">
        <x:is>
          <x:t xml:space="preserve">ИЗД-035</x:t>
        </x:is>
      </x:c>
      <x:c r="F542" s="31" t="n">
        <x:v>70</x:v>
      </x:c>
      <x:c r="G542" s="31" t="inlineStr">
        <x:is>
          <x:t xml:space="preserve">Обвязка труб</x:t>
        </x:is>
      </x:c>
      <x:c r="H542" s="31" t="inlineStr">
        <x:is>
          <x:t xml:space="preserve">Сборка</x:t>
        </x:is>
      </x:c>
      <x:c r="I542" s="31" t="inlineStr">
        <x:is>
          <x:t xml:space="preserve">ОБ-002</x:t>
        </x:is>
      </x:c>
      <x:c r="J542" s="31" t="inlineStr">
        <x:is>
          <x:t xml:space="preserve">СОТР-084</x:t>
        </x:is>
      </x:c>
      <x:c r="K542" s="31" t="n">
        <x:v>44</x:v>
      </x:c>
      <x:c r="L542" s="31" t="n"/>
      <x:c r="M542" s="31" t="n">
        <x:v>46174</x:v>
      </x:c>
      <x:c r="N542" s="31" t="n">
        <x:v>46178</x:v>
      </x:c>
      <x:c r="O542" s="31" t="n"/>
      <x:c r="P542" s="31" t="n"/>
      <x:c r="Q542" s="31" t="inlineStr">
        <x:is>
          <x:t xml:space="preserve">Запланировано</x:t>
        </x:is>
      </x:c>
      <x:c r="R542" s="31" t="inlineStr">
        <x:is>
          <x:t xml:space="preserve">Нет</x:t>
        </x:is>
      </x:c>
      <x:c r="S542" s="31" t="inlineStr">
        <x:is>
          <x:t xml:space="preserve">Да</x:t>
        </x:is>
      </x:c>
    </x:row>
    <x:row r="543">
      <x:c r="A543" s="31" t="inlineStr">
        <x:is>
          <x:t xml:space="preserve">ОП-000542</x:t>
        </x:is>
      </x:c>
      <x:c r="B543" s="31" t="inlineStr">
        <x:is>
          <x:t xml:space="preserve">ПЗ-00064</x:t>
        </x:is>
      </x:c>
      <x:c r="C543" s="31" t="inlineStr">
        <x:is>
          <x:t xml:space="preserve">ЗК-1037</x:t>
        </x:is>
      </x:c>
      <x:c r="D543" s="31" t="inlineStr">
        <x:is>
          <x:t xml:space="preserve">ПОЗ-0037-3</x:t>
        </x:is>
      </x:c>
      <x:c r="E543" s="31" t="inlineStr">
        <x:is>
          <x:t xml:space="preserve">ИЗД-035</x:t>
        </x:is>
      </x:c>
      <x:c r="F543" s="31" t="n">
        <x:v>80</x:v>
      </x:c>
      <x:c r="G543" s="31" t="inlineStr">
        <x:is>
          <x:t xml:space="preserve">Электромонтаж</x:t>
        </x:is>
      </x:c>
      <x:c r="H543" s="31" t="inlineStr">
        <x:is>
          <x:t xml:space="preserve">Сборка</x:t>
        </x:is>
      </x:c>
      <x:c r="I543" s="31" t="inlineStr">
        <x:is>
          <x:t xml:space="preserve">ОБ-002</x:t>
        </x:is>
      </x:c>
      <x:c r="J543" s="31" t="inlineStr">
        <x:is>
          <x:t xml:space="preserve">СОТР-085</x:t>
        </x:is>
      </x:c>
      <x:c r="K543" s="31" t="n">
        <x:v>4.8</x:v>
      </x:c>
      <x:c r="L543" s="31" t="n"/>
      <x:c r="M543" s="31" t="n">
        <x:v>46178</x:v>
      </x:c>
      <x:c r="N543" s="31" t="n">
        <x:v>46179</x:v>
      </x:c>
      <x:c r="O543" s="31" t="n"/>
      <x:c r="P543" s="31" t="n"/>
      <x:c r="Q543" s="31" t="inlineStr">
        <x:is>
          <x:t xml:space="preserve">Запланировано</x:t>
        </x:is>
      </x:c>
      <x:c r="R543" s="31" t="inlineStr">
        <x:is>
          <x:t xml:space="preserve">Материал</x:t>
        </x:is>
      </x:c>
      <x:c r="S543" s="31" t="inlineStr">
        <x:is>
          <x:t xml:space="preserve">Нет</x:t>
        </x:is>
      </x:c>
    </x:row>
    <x:row r="544">
      <x:c r="A544" s="31" t="inlineStr">
        <x:is>
          <x:t xml:space="preserve">ОП-000543</x:t>
        </x:is>
      </x:c>
      <x:c r="B544" s="31" t="inlineStr">
        <x:is>
          <x:t xml:space="preserve">ПЗ-00064</x:t>
        </x:is>
      </x:c>
      <x:c r="C544" s="31" t="inlineStr">
        <x:is>
          <x:t xml:space="preserve">ЗК-1037</x:t>
        </x:is>
      </x:c>
      <x:c r="D544" s="31" t="inlineStr">
        <x:is>
          <x:t xml:space="preserve">ПОЗ-0037-3</x:t>
        </x:is>
      </x:c>
      <x:c r="E544" s="31" t="inlineStr">
        <x:is>
          <x:t xml:space="preserve">ИЗД-035</x:t>
        </x:is>
      </x:c>
      <x:c r="F544" s="31" t="n">
        <x:v>90</x:v>
      </x:c>
      <x:c r="G544" s="31" t="inlineStr">
        <x:is>
          <x:t xml:space="preserve">Приемочные испытания</x:t>
        </x:is>
      </x:c>
      <x:c r="H544" s="31" t="inlineStr">
        <x:is>
          <x:t xml:space="preserve">ОТК</x:t>
        </x:is>
      </x:c>
      <x:c r="I544" s="31" t="inlineStr">
        <x:is>
          <x:t xml:space="preserve">ОБ-033</x:t>
        </x:is>
      </x:c>
      <x:c r="J544" s="31" t="inlineStr">
        <x:is>
          <x:t xml:space="preserve">СОТР-093</x:t>
        </x:is>
      </x:c>
      <x:c r="K544" s="31" t="n">
        <x:v>8.4</x:v>
      </x:c>
      <x:c r="L544" s="31" t="n"/>
      <x:c r="M544" s="31" t="n">
        <x:v>46179</x:v>
      </x:c>
      <x:c r="N544" s="31" t="n">
        <x:v>46180</x:v>
      </x:c>
      <x:c r="O544" s="31" t="n"/>
      <x:c r="P544" s="31" t="n"/>
      <x:c r="Q544" s="31" t="inlineStr">
        <x:is>
          <x:t xml:space="preserve">Запланировано</x:t>
        </x:is>
      </x:c>
      <x:c r="R544" s="31" t="inlineStr">
        <x:is>
          <x:t xml:space="preserve">Материал</x:t>
        </x:is>
      </x:c>
      <x:c r="S544" s="31" t="inlineStr">
        <x:is>
          <x:t xml:space="preserve">Нет</x:t>
        </x:is>
      </x:c>
    </x:row>
    <x:row r="545">
      <x:c r="A545" s="31" t="inlineStr">
        <x:is>
          <x:t xml:space="preserve">ОП-000544</x:t>
        </x:is>
      </x:c>
      <x:c r="B545" s="31" t="inlineStr">
        <x:is>
          <x:t xml:space="preserve">ПЗ-00064</x:t>
        </x:is>
      </x:c>
      <x:c r="C545" s="31" t="inlineStr">
        <x:is>
          <x:t xml:space="preserve">ЗК-1037</x:t>
        </x:is>
      </x:c>
      <x:c r="D545" s="31" t="inlineStr">
        <x:is>
          <x:t xml:space="preserve">ПОЗ-0037-3</x:t>
        </x:is>
      </x:c>
      <x:c r="E545" s="31" t="inlineStr">
        <x:is>
          <x:t xml:space="preserve">ИЗД-035</x:t>
        </x:is>
      </x:c>
      <x:c r="F545" s="31" t="n">
        <x:v>100</x:v>
      </x:c>
      <x:c r="G545" s="31" t="inlineStr">
        <x:is>
          <x:t xml:space="preserve">ОТК</x:t>
        </x:is>
      </x:c>
      <x:c r="H545" s="31" t="inlineStr">
        <x:is>
          <x:t xml:space="preserve">ОТК</x:t>
        </x:is>
      </x:c>
      <x:c r="I545" s="31" t="inlineStr">
        <x:is>
          <x:t xml:space="preserve">ОБ-006</x:t>
        </x:is>
      </x:c>
      <x:c r="J545" s="31" t="inlineStr">
        <x:is>
          <x:t xml:space="preserve">СОТР-063</x:t>
        </x:is>
      </x:c>
      <x:c r="K545" s="31" t="n">
        <x:v>40</x:v>
      </x:c>
      <x:c r="L545" s="31" t="n"/>
      <x:c r="M545" s="31" t="n">
        <x:v>46180</x:v>
      </x:c>
      <x:c r="N545" s="31" t="n">
        <x:v>46184</x:v>
      </x:c>
      <x:c r="O545" s="31" t="n"/>
      <x:c r="P545" s="31" t="n"/>
      <x:c r="Q545" s="31" t="inlineStr">
        <x:is>
          <x:t xml:space="preserve">Запланировано</x:t>
        </x:is>
      </x:c>
      <x:c r="R545" s="31" t="inlineStr">
        <x:is>
          <x:t xml:space="preserve">Нет</x:t>
        </x:is>
      </x:c>
      <x:c r="S545" s="31" t="inlineStr">
        <x:is>
          <x:t xml:space="preserve">Нет</x:t>
        </x:is>
      </x:c>
    </x:row>
    <x:row r="546">
      <x:c r="A546" s="31" t="inlineStr">
        <x:is>
          <x:t xml:space="preserve">ОП-000545</x:t>
        </x:is>
      </x:c>
      <x:c r="B546" s="31" t="inlineStr">
        <x:is>
          <x:t xml:space="preserve">ПЗ-00064</x:t>
        </x:is>
      </x:c>
      <x:c r="C546" s="31" t="inlineStr">
        <x:is>
          <x:t xml:space="preserve">ЗК-1037</x:t>
        </x:is>
      </x:c>
      <x:c r="D546" s="31" t="inlineStr">
        <x:is>
          <x:t xml:space="preserve">ПОЗ-0037-3</x:t>
        </x:is>
      </x:c>
      <x:c r="E546" s="31" t="inlineStr">
        <x:is>
          <x:t xml:space="preserve">ИЗД-035</x:t>
        </x:is>
      </x:c>
      <x:c r="F546" s="31" t="n">
        <x:v>110</x:v>
      </x:c>
      <x:c r="G546" s="31" t="inlineStr">
        <x:is>
          <x:t xml:space="preserve">Упаковка</x:t>
        </x:is>
      </x:c>
      <x:c r="H546" s="31" t="inlineStr">
        <x:is>
          <x:t xml:space="preserve">Логистика</x:t>
        </x:is>
      </x:c>
      <x:c r="I546" s="31" t="n"/>
      <x:c r="J546" s="31" t="inlineStr">
        <x:is>
          <x:t xml:space="preserve">СОТР-101</x:t>
        </x:is>
      </x:c>
      <x:c r="K546" s="31" t="n">
        <x:v>31.2</x:v>
      </x:c>
      <x:c r="L546" s="31" t="n"/>
      <x:c r="M546" s="31" t="n">
        <x:v>46184</x:v>
      </x:c>
      <x:c r="N546" s="31" t="n">
        <x:v>46187</x:v>
      </x:c>
      <x:c r="O546" s="31" t="n"/>
      <x:c r="P546" s="31" t="n"/>
      <x:c r="Q546" s="31" t="inlineStr">
        <x:is>
          <x:t xml:space="preserve">Запланировано</x:t>
        </x:is>
      </x:c>
      <x:c r="R546" s="31" t="inlineStr">
        <x:is>
          <x:t xml:space="preserve">Оборудование</x:t>
        </x:is>
      </x:c>
      <x:c r="S546" s="31" t="inlineStr">
        <x:is>
          <x:t xml:space="preserve">Нет</x:t>
        </x:is>
      </x:c>
    </x:row>
    <x:row r="547">
      <x:c r="A547" s="31" t="inlineStr">
        <x:is>
          <x:t xml:space="preserve">ОП-000546</x:t>
        </x:is>
      </x:c>
      <x:c r="B547" s="31" t="inlineStr">
        <x:is>
          <x:t xml:space="preserve">ПЗ-00065</x:t>
        </x:is>
      </x:c>
      <x:c r="C547" s="31" t="inlineStr">
        <x:is>
          <x:t xml:space="preserve">ЗК-1038</x:t>
        </x:is>
      </x:c>
      <x:c r="D547" s="31" t="inlineStr">
        <x:is>
          <x:t xml:space="preserve">ПОЗ-0038-1</x:t>
        </x:is>
      </x:c>
      <x:c r="E547" s="31" t="inlineStr">
        <x:is>
          <x:t xml:space="preserve">ИЗД-040</x:t>
        </x:is>
      </x:c>
      <x:c r="F547" s="31" t="n">
        <x:v>10</x:v>
      </x:c>
      <x:c r="G547" s="31" t="inlineStr">
        <x:is>
          <x:t xml:space="preserve">КД</x:t>
        </x:is>
      </x:c>
      <x:c r="H547" s="31" t="inlineStr">
        <x:is>
          <x:t xml:space="preserve">Инженерный отдел</x:t>
        </x:is>
      </x:c>
      <x:c r="I547" s="31" t="n"/>
      <x:c r="J547" s="31" t="inlineStr">
        <x:is>
          <x:t xml:space="preserve">СОТР-014</x:t>
        </x:is>
      </x:c>
      <x:c r="K547" s="31" t="n">
        <x:v>3.1</x:v>
      </x:c>
      <x:c r="L547" s="31" t="n">
        <x:v>3.5</x:v>
      </x:c>
      <x:c r="M547" s="31" t="n">
        <x:v>46101</x:v>
      </x:c>
      <x:c r="N547" s="31" t="n">
        <x:v>46102</x:v>
      </x:c>
      <x:c r="O547" s="31" t="n">
        <x:v>46101</x:v>
      </x:c>
      <x:c r="P547" s="31" t="n">
        <x:v>46104</x:v>
      </x:c>
      <x:c r="Q547" s="31" t="inlineStr">
        <x:is>
          <x:t xml:space="preserve">Завершено</x:t>
        </x:is>
      </x:c>
      <x:c r="R547" s="31" t="inlineStr">
        <x:is>
          <x:t xml:space="preserve">Нет</x:t>
        </x:is>
      </x:c>
      <x:c r="S547" s="31" t="inlineStr">
        <x:is>
          <x:t xml:space="preserve">Нет</x:t>
        </x:is>
      </x:c>
    </x:row>
    <x:row r="548">
      <x:c r="A548" s="31" t="inlineStr">
        <x:is>
          <x:t xml:space="preserve">ОП-000547</x:t>
        </x:is>
      </x:c>
      <x:c r="B548" s="31" t="inlineStr">
        <x:is>
          <x:t xml:space="preserve">ПЗ-00065</x:t>
        </x:is>
      </x:c>
      <x:c r="C548" s="31" t="inlineStr">
        <x:is>
          <x:t xml:space="preserve">ЗК-1038</x:t>
        </x:is>
      </x:c>
      <x:c r="D548" s="31" t="inlineStr">
        <x:is>
          <x:t xml:space="preserve">ПОЗ-0038-1</x:t>
        </x:is>
      </x:c>
      <x:c r="E548" s="31" t="inlineStr">
        <x:is>
          <x:t xml:space="preserve">ИЗД-040</x:t>
        </x:is>
      </x:c>
      <x:c r="F548" s="31" t="n">
        <x:v>20</x:v>
      </x:c>
      <x:c r="G548" s="31" t="inlineStr">
        <x:is>
          <x:t xml:space="preserve">Резерв материалов</x:t>
        </x:is>
      </x:c>
      <x:c r="H548" s="31" t="inlineStr">
        <x:is>
          <x:t xml:space="preserve">Склад</x:t>
        </x:is>
      </x:c>
      <x:c r="I548" s="31" t="inlineStr">
        <x:is>
          <x:t xml:space="preserve">ОБ-008</x:t>
        </x:is>
      </x:c>
      <x:c r="J548" s="31" t="inlineStr">
        <x:is>
          <x:t xml:space="preserve">СОТР-037</x:t>
        </x:is>
      </x:c>
      <x:c r="K548" s="31" t="n">
        <x:v>4.7</x:v>
      </x:c>
      <x:c r="L548" s="31" t="n">
        <x:v>6.1</x:v>
      </x:c>
      <x:c r="M548" s="31" t="n">
        <x:v>46102</x:v>
      </x:c>
      <x:c r="N548" s="31" t="n">
        <x:v>46103</x:v>
      </x:c>
      <x:c r="O548" s="31" t="n">
        <x:v>46102</x:v>
      </x:c>
      <x:c r="P548" s="31" t="n">
        <x:v>46102</x:v>
      </x:c>
      <x:c r="Q548" s="31" t="inlineStr">
        <x:is>
          <x:t xml:space="preserve">Завершено</x:t>
        </x:is>
      </x:c>
      <x:c r="R548" s="31" t="inlineStr">
        <x:is>
          <x:t xml:space="preserve">Нет</x:t>
        </x:is>
      </x:c>
      <x:c r="S548" s="31" t="inlineStr">
        <x:is>
          <x:t xml:space="preserve">Нет</x:t>
        </x:is>
      </x:c>
    </x:row>
    <x:row r="549">
      <x:c r="A549" s="31" t="inlineStr">
        <x:is>
          <x:t xml:space="preserve">ОП-000548</x:t>
        </x:is>
      </x:c>
      <x:c r="B549" s="31" t="inlineStr">
        <x:is>
          <x:t xml:space="preserve">ПЗ-00065</x:t>
        </x:is>
      </x:c>
      <x:c r="C549" s="31" t="inlineStr">
        <x:is>
          <x:t xml:space="preserve">ЗК-1038</x:t>
        </x:is>
      </x:c>
      <x:c r="D549" s="31" t="inlineStr">
        <x:is>
          <x:t xml:space="preserve">ПОЗ-0038-1</x:t>
        </x:is>
      </x:c>
      <x:c r="E549" s="31" t="inlineStr">
        <x:is>
          <x:t xml:space="preserve">ИЗД-040</x:t>
        </x:is>
      </x:c>
      <x:c r="F549" s="31" t="n">
        <x:v>30</x:v>
      </x:c>
      <x:c r="G549" s="31" t="inlineStr">
        <x:is>
          <x:t xml:space="preserve">Сварка рамы</x:t>
        </x:is>
      </x:c>
      <x:c r="H549" s="31" t="inlineStr">
        <x:is>
          <x:t xml:space="preserve">Сварка</x:t>
        </x:is>
      </x:c>
      <x:c r="I549" s="31" t="inlineStr">
        <x:is>
          <x:t xml:space="preserve">ОБ-035</x:t>
        </x:is>
      </x:c>
      <x:c r="J549" s="31" t="inlineStr">
        <x:is>
          <x:t xml:space="preserve">СОТР-056</x:t>
        </x:is>
      </x:c>
      <x:c r="K549" s="31" t="n">
        <x:v>2.5</x:v>
      </x:c>
      <x:c r="L549" s="31" t="n">
        <x:v>3.4</x:v>
      </x:c>
      <x:c r="M549" s="31" t="n">
        <x:v>46103</x:v>
      </x:c>
      <x:c r="N549" s="31" t="n">
        <x:v>46104</x:v>
      </x:c>
      <x:c r="O549" s="31" t="n">
        <x:v>46103</x:v>
      </x:c>
      <x:c r="P549" s="31" t="n">
        <x:v>46103</x:v>
      </x:c>
      <x:c r="Q549" s="31" t="inlineStr">
        <x:is>
          <x:t xml:space="preserve">Завершено</x:t>
        </x:is>
      </x:c>
      <x:c r="R549" s="31" t="inlineStr">
        <x:is>
          <x:t xml:space="preserve">Нет</x:t>
        </x:is>
      </x:c>
      <x:c r="S549" s="31" t="inlineStr">
        <x:is>
          <x:t xml:space="preserve">Нет</x:t>
        </x:is>
      </x:c>
    </x:row>
    <x:row r="550">
      <x:c r="A550" s="31" t="inlineStr">
        <x:is>
          <x:t xml:space="preserve">ОП-000549</x:t>
        </x:is>
      </x:c>
      <x:c r="B550" s="31" t="inlineStr">
        <x:is>
          <x:t xml:space="preserve">ПЗ-00065</x:t>
        </x:is>
      </x:c>
      <x:c r="C550" s="31" t="inlineStr">
        <x:is>
          <x:t xml:space="preserve">ЗК-1038</x:t>
        </x:is>
      </x:c>
      <x:c r="D550" s="31" t="inlineStr">
        <x:is>
          <x:t xml:space="preserve">ПОЗ-0038-1</x:t>
        </x:is>
      </x:c>
      <x:c r="E550" s="31" t="inlineStr">
        <x:is>
          <x:t xml:space="preserve">ИЗД-040</x:t>
        </x:is>
      </x:c>
      <x:c r="F550" s="31" t="n">
        <x:v>40</x:v>
      </x:c>
      <x:c r="G550" s="31" t="inlineStr">
        <x:is>
          <x:t xml:space="preserve">Сборка</x:t>
        </x:is>
      </x:c>
      <x:c r="H550" s="31" t="inlineStr">
        <x:is>
          <x:t xml:space="preserve">Сборка</x:t>
        </x:is>
      </x:c>
      <x:c r="I550" s="31" t="inlineStr">
        <x:is>
          <x:t xml:space="preserve">ОБ-016</x:t>
        </x:is>
      </x:c>
      <x:c r="J550" s="31" t="inlineStr">
        <x:is>
          <x:t xml:space="preserve">СОТР-079</x:t>
        </x:is>
      </x:c>
      <x:c r="K550" s="31" t="n">
        <x:v>4.8</x:v>
      </x:c>
      <x:c r="L550" s="31" t="n">
        <x:v>5.9</x:v>
      </x:c>
      <x:c r="M550" s="31" t="n">
        <x:v>46104</x:v>
      </x:c>
      <x:c r="N550" s="31" t="n">
        <x:v>46105</x:v>
      </x:c>
      <x:c r="O550" s="31" t="n">
        <x:v>46104</x:v>
      </x:c>
      <x:c r="P550" s="31" t="n">
        <x:v>46106</x:v>
      </x:c>
      <x:c r="Q550" s="31" t="inlineStr">
        <x:is>
          <x:t xml:space="preserve">Завершено</x:t>
        </x:is>
      </x:c>
      <x:c r="R550" s="31" t="inlineStr">
        <x:is>
          <x:t xml:space="preserve">Нет</x:t>
        </x:is>
      </x:c>
      <x:c r="S550" s="31" t="inlineStr">
        <x:is>
          <x:t xml:space="preserve">Нет</x:t>
        </x:is>
      </x:c>
    </x:row>
    <x:row r="551">
      <x:c r="A551" s="31" t="inlineStr">
        <x:is>
          <x:t xml:space="preserve">ОП-000550</x:t>
        </x:is>
      </x:c>
      <x:c r="B551" s="31" t="inlineStr">
        <x:is>
          <x:t xml:space="preserve">ПЗ-00065</x:t>
        </x:is>
      </x:c>
      <x:c r="C551" s="31" t="inlineStr">
        <x:is>
          <x:t xml:space="preserve">ЗК-1038</x:t>
        </x:is>
      </x:c>
      <x:c r="D551" s="31" t="inlineStr">
        <x:is>
          <x:t xml:space="preserve">ПОЗ-0038-1</x:t>
        </x:is>
      </x:c>
      <x:c r="E551" s="31" t="inlineStr">
        <x:is>
          <x:t xml:space="preserve">ИЗД-040</x:t>
        </x:is>
      </x:c>
      <x:c r="F551" s="31" t="n">
        <x:v>50</x:v>
      </x:c>
      <x:c r="G551" s="31" t="inlineStr">
        <x:is>
          <x:t xml:space="preserve">Обвязка труб</x:t>
        </x:is>
      </x:c>
      <x:c r="H551" s="31" t="inlineStr">
        <x:is>
          <x:t xml:space="preserve">Сборка</x:t>
        </x:is>
      </x:c>
      <x:c r="I551" s="31" t="inlineStr">
        <x:is>
          <x:t xml:space="preserve">ОБ-012</x:t>
        </x:is>
      </x:c>
      <x:c r="J551" s="31" t="inlineStr">
        <x:is>
          <x:t xml:space="preserve">СОТР-075</x:t>
        </x:is>
      </x:c>
      <x:c r="K551" s="31" t="n">
        <x:v>8</x:v>
      </x:c>
      <x:c r="L551" s="31" t="n">
        <x:v>7.6</x:v>
      </x:c>
      <x:c r="M551" s="31" t="n">
        <x:v>46105</x:v>
      </x:c>
      <x:c r="N551" s="31" t="n">
        <x:v>46106</x:v>
      </x:c>
      <x:c r="O551" s="31" t="n">
        <x:v>46105</x:v>
      </x:c>
      <x:c r="P551" s="31" t="n">
        <x:v>46105</x:v>
      </x:c>
      <x:c r="Q551" s="31" t="inlineStr">
        <x:is>
          <x:t xml:space="preserve">Завершено</x:t>
        </x:is>
      </x:c>
      <x:c r="R551" s="31" t="inlineStr">
        <x:is>
          <x:t xml:space="preserve">Нет</x:t>
        </x:is>
      </x:c>
      <x:c r="S551" s="31" t="inlineStr">
        <x:is>
          <x:t xml:space="preserve">Нет</x:t>
        </x:is>
      </x:c>
    </x:row>
    <x:row r="552">
      <x:c r="A552" s="31" t="inlineStr">
        <x:is>
          <x:t xml:space="preserve">ОП-000551</x:t>
        </x:is>
      </x:c>
      <x:c r="B552" s="31" t="inlineStr">
        <x:is>
          <x:t xml:space="preserve">ПЗ-00065</x:t>
        </x:is>
      </x:c>
      <x:c r="C552" s="31" t="inlineStr">
        <x:is>
          <x:t xml:space="preserve">ЗК-1038</x:t>
        </x:is>
      </x:c>
      <x:c r="D552" s="31" t="inlineStr">
        <x:is>
          <x:t xml:space="preserve">ПОЗ-0038-1</x:t>
        </x:is>
      </x:c>
      <x:c r="E552" s="31" t="inlineStr">
        <x:is>
          <x:t xml:space="preserve">ИЗД-040</x:t>
        </x:is>
      </x:c>
      <x:c r="F552" s="31" t="n">
        <x:v>60</x:v>
      </x:c>
      <x:c r="G552" s="31" t="inlineStr">
        <x:is>
          <x:t xml:space="preserve">Электромонтаж</x:t>
        </x:is>
      </x:c>
      <x:c r="H552" s="31" t="inlineStr">
        <x:is>
          <x:t xml:space="preserve">Сборка</x:t>
        </x:is>
      </x:c>
      <x:c r="I552" s="31" t="inlineStr">
        <x:is>
          <x:t xml:space="preserve">ОБ-020</x:t>
        </x:is>
      </x:c>
      <x:c r="J552" s="31" t="inlineStr">
        <x:is>
          <x:t xml:space="preserve">СОТР-079</x:t>
        </x:is>
      </x:c>
      <x:c r="K552" s="31" t="n">
        <x:v>3.5</x:v>
      </x:c>
      <x:c r="L552" s="31" t="n">
        <x:v>2.9</x:v>
      </x:c>
      <x:c r="M552" s="31" t="n">
        <x:v>46106</x:v>
      </x:c>
      <x:c r="N552" s="31" t="n">
        <x:v>46107</x:v>
      </x:c>
      <x:c r="O552" s="31" t="n">
        <x:v>46106</x:v>
      </x:c>
      <x:c r="P552" s="31" t="n">
        <x:v>46109</x:v>
      </x:c>
      <x:c r="Q552" s="31" t="inlineStr">
        <x:is>
          <x:t xml:space="preserve">Завершено</x:t>
        </x:is>
      </x:c>
      <x:c r="R552" s="31" t="inlineStr">
        <x:is>
          <x:t xml:space="preserve">Нет</x:t>
        </x:is>
      </x:c>
      <x:c r="S552" s="31" t="inlineStr">
        <x:is>
          <x:t xml:space="preserve">Да</x:t>
        </x:is>
      </x:c>
    </x:row>
    <x:row r="553">
      <x:c r="A553" s="31" t="inlineStr">
        <x:is>
          <x:t xml:space="preserve">ОП-000552</x:t>
        </x:is>
      </x:c>
      <x:c r="B553" s="31" t="inlineStr">
        <x:is>
          <x:t xml:space="preserve">ПЗ-00065</x:t>
        </x:is>
      </x:c>
      <x:c r="C553" s="31" t="inlineStr">
        <x:is>
          <x:t xml:space="preserve">ЗК-1038</x:t>
        </x:is>
      </x:c>
      <x:c r="D553" s="31" t="inlineStr">
        <x:is>
          <x:t xml:space="preserve">ПОЗ-0038-1</x:t>
        </x:is>
      </x:c>
      <x:c r="E553" s="31" t="inlineStr">
        <x:is>
          <x:t xml:space="preserve">ИЗД-040</x:t>
        </x:is>
      </x:c>
      <x:c r="F553" s="31" t="n">
        <x:v>70</x:v>
      </x:c>
      <x:c r="G553" s="31" t="inlineStr">
        <x:is>
          <x:t xml:space="preserve">Гидроиспытания</x:t>
        </x:is>
      </x:c>
      <x:c r="H553" s="31" t="inlineStr">
        <x:is>
          <x:t xml:space="preserve">ОТК</x:t>
        </x:is>
      </x:c>
      <x:c r="I553" s="31" t="inlineStr">
        <x:is>
          <x:t xml:space="preserve">ОБ-033</x:t>
        </x:is>
      </x:c>
      <x:c r="J553" s="31" t="inlineStr">
        <x:is>
          <x:t xml:space="preserve">СОТР-096</x:t>
        </x:is>
      </x:c>
      <x:c r="K553" s="31" t="n">
        <x:v>12</x:v>
      </x:c>
      <x:c r="L553" s="31" t="n">
        <x:v>10.1</x:v>
      </x:c>
      <x:c r="M553" s="31" t="n">
        <x:v>46107</x:v>
      </x:c>
      <x:c r="N553" s="31" t="n">
        <x:v>46108</x:v>
      </x:c>
      <x:c r="O553" s="31" t="n">
        <x:v>46107</x:v>
      </x:c>
      <x:c r="P553" s="31" t="n">
        <x:v>46107</x:v>
      </x:c>
      <x:c r="Q553" s="31" t="inlineStr">
        <x:is>
          <x:t xml:space="preserve">Завершено</x:t>
        </x:is>
      </x:c>
      <x:c r="R553" s="31" t="inlineStr">
        <x:is>
          <x:t xml:space="preserve">Нет</x:t>
        </x:is>
      </x:c>
      <x:c r="S553" s="31" t="inlineStr">
        <x:is>
          <x:t xml:space="preserve">Нет</x:t>
        </x:is>
      </x:c>
    </x:row>
    <x:row r="554">
      <x:c r="A554" s="31" t="inlineStr">
        <x:is>
          <x:t xml:space="preserve">ОП-000553</x:t>
        </x:is>
      </x:c>
      <x:c r="B554" s="31" t="inlineStr">
        <x:is>
          <x:t xml:space="preserve">ПЗ-00065</x:t>
        </x:is>
      </x:c>
      <x:c r="C554" s="31" t="inlineStr">
        <x:is>
          <x:t xml:space="preserve">ЗК-1038</x:t>
        </x:is>
      </x:c>
      <x:c r="D554" s="31" t="inlineStr">
        <x:is>
          <x:t xml:space="preserve">ПОЗ-0038-1</x:t>
        </x:is>
      </x:c>
      <x:c r="E554" s="31" t="inlineStr">
        <x:is>
          <x:t xml:space="preserve">ИЗД-040</x:t>
        </x:is>
      </x:c>
      <x:c r="F554" s="31" t="n">
        <x:v>80</x:v>
      </x:c>
      <x:c r="G554" s="31" t="inlineStr">
        <x:is>
          <x:t xml:space="preserve">ОТК</x:t>
        </x:is>
      </x:c>
      <x:c r="H554" s="31" t="inlineStr">
        <x:is>
          <x:t xml:space="preserve">ОТК</x:t>
        </x:is>
      </x:c>
      <x:c r="I554" s="31" t="inlineStr">
        <x:is>
          <x:t xml:space="preserve">ОБ-024</x:t>
        </x:is>
      </x:c>
      <x:c r="J554" s="31" t="inlineStr">
        <x:is>
          <x:t xml:space="preserve">СОТР-095</x:t>
        </x:is>
      </x:c>
      <x:c r="K554" s="31" t="n">
        <x:v>1.2</x:v>
      </x:c>
      <x:c r="L554" s="31" t="n"/>
      <x:c r="M554" s="31" t="n">
        <x:v>46108</x:v>
      </x:c>
      <x:c r="N554" s="31" t="n">
        <x:v>46109</x:v>
      </x:c>
      <x:c r="O554" s="31" t="n">
        <x:v>46108</x:v>
      </x:c>
      <x:c r="P554" s="31" t="n"/>
      <x:c r="Q554" s="31" t="inlineStr">
        <x:is>
          <x:t xml:space="preserve">В работе</x:t>
        </x:is>
      </x:c>
      <x:c r="R554" s="31" t="inlineStr">
        <x:is>
          <x:t xml:space="preserve">КД</x:t>
        </x:is>
      </x:c>
      <x:c r="S554" s="31" t="inlineStr">
        <x:is>
          <x:t xml:space="preserve">Нет</x:t>
        </x:is>
      </x:c>
    </x:row>
    <x:row r="555">
      <x:c r="A555" s="31" t="inlineStr">
        <x:is>
          <x:t xml:space="preserve">ОП-000554</x:t>
        </x:is>
      </x:c>
      <x:c r="B555" s="31" t="inlineStr">
        <x:is>
          <x:t xml:space="preserve">ПЗ-00065</x:t>
        </x:is>
      </x:c>
      <x:c r="C555" s="31" t="inlineStr">
        <x:is>
          <x:t xml:space="preserve">ЗК-1038</x:t>
        </x:is>
      </x:c>
      <x:c r="D555" s="31" t="inlineStr">
        <x:is>
          <x:t xml:space="preserve">ПОЗ-0038-1</x:t>
        </x:is>
      </x:c>
      <x:c r="E555" s="31" t="inlineStr">
        <x:is>
          <x:t xml:space="preserve">ИЗД-040</x:t>
        </x:is>
      </x:c>
      <x:c r="F555" s="31" t="n">
        <x:v>90</x:v>
      </x:c>
      <x:c r="G555" s="31" t="inlineStr">
        <x:is>
          <x:t xml:space="preserve">Упаковка</x:t>
        </x:is>
      </x:c>
      <x:c r="H555" s="31" t="inlineStr">
        <x:is>
          <x:t xml:space="preserve">Логистика</x:t>
        </x:is>
      </x:c>
      <x:c r="I555" s="31" t="n"/>
      <x:c r="J555" s="31" t="inlineStr">
        <x:is>
          <x:t xml:space="preserve">СОТР-101</x:t>
        </x:is>
      </x:c>
      <x:c r="K555" s="31" t="n">
        <x:v>4.6</x:v>
      </x:c>
      <x:c r="L555" s="31" t="n"/>
      <x:c r="M555" s="31" t="n">
        <x:v>46109</x:v>
      </x:c>
      <x:c r="N555" s="31" t="n">
        <x:v>46110</x:v>
      </x:c>
      <x:c r="O555" s="31" t="n"/>
      <x:c r="P555" s="31" t="n"/>
      <x:c r="Q555" s="31" t="inlineStr">
        <x:is>
          <x:t xml:space="preserve">Запланировано</x:t>
        </x:is>
      </x:c>
      <x:c r="R555" s="31" t="inlineStr">
        <x:is>
          <x:t xml:space="preserve">Нет</x:t>
        </x:is>
      </x:c>
      <x:c r="S555" s="31" t="inlineStr">
        <x:is>
          <x:t xml:space="preserve">Нет</x:t>
        </x:is>
      </x:c>
    </x:row>
    <x:row r="556">
      <x:c r="A556" s="31" t="inlineStr">
        <x:is>
          <x:t xml:space="preserve">ОП-000555</x:t>
        </x:is>
      </x:c>
      <x:c r="B556" s="31" t="inlineStr">
        <x:is>
          <x:t xml:space="preserve">ПЗ-00066</x:t>
        </x:is>
      </x:c>
      <x:c r="C556" s="31" t="inlineStr">
        <x:is>
          <x:t xml:space="preserve">ЗК-1038</x:t>
        </x:is>
      </x:c>
      <x:c r="D556" s="31" t="inlineStr">
        <x:is>
          <x:t xml:space="preserve">ПОЗ-0038-2</x:t>
        </x:is>
      </x:c>
      <x:c r="E556" s="31" t="inlineStr">
        <x:is>
          <x:t xml:space="preserve">ИЗД-004</x:t>
        </x:is>
      </x:c>
      <x:c r="F556" s="31" t="n">
        <x:v>10</x:v>
      </x:c>
      <x:c r="G556" s="31" t="inlineStr">
        <x:is>
          <x:t xml:space="preserve">КД</x:t>
        </x:is>
      </x:c>
      <x:c r="H556" s="31" t="inlineStr">
        <x:is>
          <x:t xml:space="preserve">Инженерный отдел</x:t>
        </x:is>
      </x:c>
      <x:c r="I556" s="31" t="n"/>
      <x:c r="J556" s="31" t="inlineStr">
        <x:is>
          <x:t xml:space="preserve">СОТР-021</x:t>
        </x:is>
      </x:c>
      <x:c r="K556" s="31" t="n">
        <x:v>57.6</x:v>
      </x:c>
      <x:c r="L556" s="31" t="n"/>
      <x:c r="M556" s="31" t="n">
        <x:v>46104</x:v>
      </x:c>
      <x:c r="N556" s="31" t="n">
        <x:v>46109</x:v>
      </x:c>
      <x:c r="O556" s="31" t="n"/>
      <x:c r="P556" s="31" t="n"/>
      <x:c r="Q556" s="31" t="inlineStr">
        <x:is>
          <x:t xml:space="preserve">Запланировано</x:t>
        </x:is>
      </x:c>
      <x:c r="R556" s="31" t="inlineStr">
        <x:is>
          <x:t xml:space="preserve">Нет</x:t>
        </x:is>
      </x:c>
      <x:c r="S556" s="31" t="inlineStr">
        <x:is>
          <x:t xml:space="preserve">Нет</x:t>
        </x:is>
      </x:c>
    </x:row>
    <x:row r="557">
      <x:c r="A557" s="31" t="inlineStr">
        <x:is>
          <x:t xml:space="preserve">ОП-000556</x:t>
        </x:is>
      </x:c>
      <x:c r="B557" s="31" t="inlineStr">
        <x:is>
          <x:t xml:space="preserve">ПЗ-00066</x:t>
        </x:is>
      </x:c>
      <x:c r="C557" s="31" t="inlineStr">
        <x:is>
          <x:t xml:space="preserve">ЗК-1038</x:t>
        </x:is>
      </x:c>
      <x:c r="D557" s="31" t="inlineStr">
        <x:is>
          <x:t xml:space="preserve">ПОЗ-0038-2</x:t>
        </x:is>
      </x:c>
      <x:c r="E557" s="31" t="inlineStr">
        <x:is>
          <x:t xml:space="preserve">ИЗД-004</x:t>
        </x:is>
      </x:c>
      <x:c r="F557" s="31" t="n">
        <x:v>20</x:v>
      </x:c>
      <x:c r="G557" s="31" t="inlineStr">
        <x:is>
          <x:t xml:space="preserve">Резерв материалов</x:t>
        </x:is>
      </x:c>
      <x:c r="H557" s="31" t="inlineStr">
        <x:is>
          <x:t xml:space="preserve">Склад</x:t>
        </x:is>
      </x:c>
      <x:c r="I557" s="31" t="inlineStr">
        <x:is>
          <x:t xml:space="preserve">ОБ-011</x:t>
        </x:is>
      </x:c>
      <x:c r="J557" s="31" t="inlineStr">
        <x:is>
          <x:t xml:space="preserve">СОТР-038</x:t>
        </x:is>
      </x:c>
      <x:c r="K557" s="31" t="n">
        <x:v>21.3</x:v>
      </x:c>
      <x:c r="L557" s="31" t="n"/>
      <x:c r="M557" s="31" t="n">
        <x:v>46109</x:v>
      </x:c>
      <x:c r="N557" s="31" t="n">
        <x:v>46111</x:v>
      </x:c>
      <x:c r="O557" s="31" t="n"/>
      <x:c r="P557" s="31" t="n"/>
      <x:c r="Q557" s="31" t="inlineStr">
        <x:is>
          <x:t xml:space="preserve">Блокировано</x:t>
        </x:is>
      </x:c>
      <x:c r="R557" s="31" t="inlineStr">
        <x:is>
          <x:t xml:space="preserve">Ожидание ОТК</x:t>
        </x:is>
      </x:c>
      <x:c r="S557" s="31" t="inlineStr">
        <x:is>
          <x:t xml:space="preserve">Да</x:t>
        </x:is>
      </x:c>
    </x:row>
    <x:row r="558">
      <x:c r="A558" s="31" t="inlineStr">
        <x:is>
          <x:t xml:space="preserve">ОП-000557</x:t>
        </x:is>
      </x:c>
      <x:c r="B558" s="31" t="inlineStr">
        <x:is>
          <x:t xml:space="preserve">ПЗ-00066</x:t>
        </x:is>
      </x:c>
      <x:c r="C558" s="31" t="inlineStr">
        <x:is>
          <x:t xml:space="preserve">ЗК-1038</x:t>
        </x:is>
      </x:c>
      <x:c r="D558" s="31" t="inlineStr">
        <x:is>
          <x:t xml:space="preserve">ПОЗ-0038-2</x:t>
        </x:is>
      </x:c>
      <x:c r="E558" s="31" t="inlineStr">
        <x:is>
          <x:t xml:space="preserve">ИЗД-004</x:t>
        </x:is>
      </x:c>
      <x:c r="F558" s="31" t="n">
        <x:v>30</x:v>
      </x:c>
      <x:c r="G558" s="31" t="inlineStr">
        <x:is>
          <x:t xml:space="preserve">Сварка рамы</x:t>
        </x:is>
      </x:c>
      <x:c r="H558" s="31" t="inlineStr">
        <x:is>
          <x:t xml:space="preserve">Сварка</x:t>
        </x:is>
      </x:c>
      <x:c r="I558" s="31" t="inlineStr">
        <x:is>
          <x:t xml:space="preserve">ОБ-021</x:t>
        </x:is>
      </x:c>
      <x:c r="J558" s="31" t="inlineStr">
        <x:is>
          <x:t xml:space="preserve">СОТР-065</x:t>
        </x:is>
      </x:c>
      <x:c r="K558" s="31" t="n">
        <x:v>38.1</x:v>
      </x:c>
      <x:c r="L558" s="31" t="n"/>
      <x:c r="M558" s="31" t="n">
        <x:v>46111</x:v>
      </x:c>
      <x:c r="N558" s="31" t="n">
        <x:v>46115</x:v>
      </x:c>
      <x:c r="O558" s="31" t="n"/>
      <x:c r="P558" s="31" t="n"/>
      <x:c r="Q558" s="31" t="inlineStr">
        <x:is>
          <x:t xml:space="preserve">Запланировано</x:t>
        </x:is>
      </x:c>
      <x:c r="R558" s="31" t="inlineStr">
        <x:is>
          <x:t xml:space="preserve">Нет</x:t>
        </x:is>
      </x:c>
      <x:c r="S558" s="31" t="inlineStr">
        <x:is>
          <x:t xml:space="preserve">Нет</x:t>
        </x:is>
      </x:c>
    </x:row>
    <x:row r="559">
      <x:c r="A559" s="31" t="inlineStr">
        <x:is>
          <x:t xml:space="preserve">ОП-000558</x:t>
        </x:is>
      </x:c>
      <x:c r="B559" s="31" t="inlineStr">
        <x:is>
          <x:t xml:space="preserve">ПЗ-00066</x:t>
        </x:is>
      </x:c>
      <x:c r="C559" s="31" t="inlineStr">
        <x:is>
          <x:t xml:space="preserve">ЗК-1038</x:t>
        </x:is>
      </x:c>
      <x:c r="D559" s="31" t="inlineStr">
        <x:is>
          <x:t xml:space="preserve">ПОЗ-0038-2</x:t>
        </x:is>
      </x:c>
      <x:c r="E559" s="31" t="inlineStr">
        <x:is>
          <x:t xml:space="preserve">ИЗД-004</x:t>
        </x:is>
      </x:c>
      <x:c r="F559" s="31" t="n">
        <x:v>40</x:v>
      </x:c>
      <x:c r="G559" s="31" t="inlineStr">
        <x:is>
          <x:t xml:space="preserve">Сборка</x:t>
        </x:is>
      </x:c>
      <x:c r="H559" s="31" t="inlineStr">
        <x:is>
          <x:t xml:space="preserve">Сборка</x:t>
        </x:is>
      </x:c>
      <x:c r="I559" s="31" t="inlineStr">
        <x:is>
          <x:t xml:space="preserve">ОБ-034</x:t>
        </x:is>
      </x:c>
      <x:c r="J559" s="31" t="inlineStr">
        <x:is>
          <x:t xml:space="preserve">СОТР-088</x:t>
        </x:is>
      </x:c>
      <x:c r="K559" s="31" t="n">
        <x:v>16.2</x:v>
      </x:c>
      <x:c r="L559" s="31" t="n"/>
      <x:c r="M559" s="31" t="n">
        <x:v>46115</x:v>
      </x:c>
      <x:c r="N559" s="31" t="n">
        <x:v>46117</x:v>
      </x:c>
      <x:c r="O559" s="31" t="n"/>
      <x:c r="P559" s="31" t="n"/>
      <x:c r="Q559" s="31" t="inlineStr">
        <x:is>
          <x:t xml:space="preserve">Запланировано</x:t>
        </x:is>
      </x:c>
      <x:c r="R559" s="31" t="inlineStr">
        <x:is>
          <x:t xml:space="preserve">Нет</x:t>
        </x:is>
      </x:c>
      <x:c r="S559" s="31" t="inlineStr">
        <x:is>
          <x:t xml:space="preserve">Нет</x:t>
        </x:is>
      </x:c>
    </x:row>
    <x:row r="560">
      <x:c r="A560" s="31" t="inlineStr">
        <x:is>
          <x:t xml:space="preserve">ОП-000559</x:t>
        </x:is>
      </x:c>
      <x:c r="B560" s="31" t="inlineStr">
        <x:is>
          <x:t xml:space="preserve">ПЗ-00066</x:t>
        </x:is>
      </x:c>
      <x:c r="C560" s="31" t="inlineStr">
        <x:is>
          <x:t xml:space="preserve">ЗК-1038</x:t>
        </x:is>
      </x:c>
      <x:c r="D560" s="31" t="inlineStr">
        <x:is>
          <x:t xml:space="preserve">ПОЗ-0038-2</x:t>
        </x:is>
      </x:c>
      <x:c r="E560" s="31" t="inlineStr">
        <x:is>
          <x:t xml:space="preserve">ИЗД-004</x:t>
        </x:is>
      </x:c>
      <x:c r="F560" s="31" t="n">
        <x:v>50</x:v>
      </x:c>
      <x:c r="G560" s="31" t="inlineStr">
        <x:is>
          <x:t xml:space="preserve">Обвязка труб</x:t>
        </x:is>
      </x:c>
      <x:c r="H560" s="31" t="inlineStr">
        <x:is>
          <x:t xml:space="preserve">Сборка</x:t>
        </x:is>
      </x:c>
      <x:c r="I560" s="31" t="inlineStr">
        <x:is>
          <x:t xml:space="preserve">ОБ-027</x:t>
        </x:is>
      </x:c>
      <x:c r="J560" s="31" t="inlineStr">
        <x:is>
          <x:t xml:space="preserve">СОТР-080</x:t>
        </x:is>
      </x:c>
      <x:c r="K560" s="31" t="n">
        <x:v>55.5</x:v>
      </x:c>
      <x:c r="L560" s="31" t="n"/>
      <x:c r="M560" s="31" t="n">
        <x:v>46117</x:v>
      </x:c>
      <x:c r="N560" s="31" t="n">
        <x:v>46122</x:v>
      </x:c>
      <x:c r="O560" s="31" t="n"/>
      <x:c r="P560" s="31" t="n"/>
      <x:c r="Q560" s="31" t="inlineStr">
        <x:is>
          <x:t xml:space="preserve">Запланировано</x:t>
        </x:is>
      </x:c>
      <x:c r="R560" s="31" t="inlineStr">
        <x:is>
          <x:t xml:space="preserve">КД</x:t>
        </x:is>
      </x:c>
      <x:c r="S560" s="31" t="inlineStr">
        <x:is>
          <x:t xml:space="preserve">Нет</x:t>
        </x:is>
      </x:c>
    </x:row>
    <x:row r="561">
      <x:c r="A561" s="31" t="inlineStr">
        <x:is>
          <x:t xml:space="preserve">ОП-000560</x:t>
        </x:is>
      </x:c>
      <x:c r="B561" s="31" t="inlineStr">
        <x:is>
          <x:t xml:space="preserve">ПЗ-00066</x:t>
        </x:is>
      </x:c>
      <x:c r="C561" s="31" t="inlineStr">
        <x:is>
          <x:t xml:space="preserve">ЗК-1038</x:t>
        </x:is>
      </x:c>
      <x:c r="D561" s="31" t="inlineStr">
        <x:is>
          <x:t xml:space="preserve">ПОЗ-0038-2</x:t>
        </x:is>
      </x:c>
      <x:c r="E561" s="31" t="inlineStr">
        <x:is>
          <x:t xml:space="preserve">ИЗД-004</x:t>
        </x:is>
      </x:c>
      <x:c r="F561" s="31" t="n">
        <x:v>60</x:v>
      </x:c>
      <x:c r="G561" s="31" t="inlineStr">
        <x:is>
          <x:t xml:space="preserve">Электромонтаж</x:t>
        </x:is>
      </x:c>
      <x:c r="H561" s="31" t="inlineStr">
        <x:is>
          <x:t xml:space="preserve">Сборка</x:t>
        </x:is>
      </x:c>
      <x:c r="I561" s="31" t="inlineStr">
        <x:is>
          <x:t xml:space="preserve">ОБ-016</x:t>
        </x:is>
      </x:c>
      <x:c r="J561" s="31" t="inlineStr">
        <x:is>
          <x:t xml:space="preserve">СОТР-077</x:t>
        </x:is>
      </x:c>
      <x:c r="K561" s="31" t="n">
        <x:v>6.6</x:v>
      </x:c>
      <x:c r="L561" s="31" t="n"/>
      <x:c r="M561" s="31" t="n">
        <x:v>46122</x:v>
      </x:c>
      <x:c r="N561" s="31" t="n">
        <x:v>46123</x:v>
      </x:c>
      <x:c r="O561" s="31" t="n"/>
      <x:c r="P561" s="31" t="n"/>
      <x:c r="Q561" s="31" t="inlineStr">
        <x:is>
          <x:t xml:space="preserve">Запланировано</x:t>
        </x:is>
      </x:c>
      <x:c r="R561" s="31" t="inlineStr">
        <x:is>
          <x:t xml:space="preserve">Нет</x:t>
        </x:is>
      </x:c>
      <x:c r="S561" s="31" t="inlineStr">
        <x:is>
          <x:t xml:space="preserve">Да</x:t>
        </x:is>
      </x:c>
    </x:row>
    <x:row r="562">
      <x:c r="A562" s="31" t="inlineStr">
        <x:is>
          <x:t xml:space="preserve">ОП-000561</x:t>
        </x:is>
      </x:c>
      <x:c r="B562" s="31" t="inlineStr">
        <x:is>
          <x:t xml:space="preserve">ПЗ-00066</x:t>
        </x:is>
      </x:c>
      <x:c r="C562" s="31" t="inlineStr">
        <x:is>
          <x:t xml:space="preserve">ЗК-1038</x:t>
        </x:is>
      </x:c>
      <x:c r="D562" s="31" t="inlineStr">
        <x:is>
          <x:t xml:space="preserve">ПОЗ-0038-2</x:t>
        </x:is>
      </x:c>
      <x:c r="E562" s="31" t="inlineStr">
        <x:is>
          <x:t xml:space="preserve">ИЗД-004</x:t>
        </x:is>
      </x:c>
      <x:c r="F562" s="31" t="n">
        <x:v>70</x:v>
      </x:c>
      <x:c r="G562" s="31" t="inlineStr">
        <x:is>
          <x:t xml:space="preserve">Гидроиспытания</x:t>
        </x:is>
      </x:c>
      <x:c r="H562" s="31" t="inlineStr">
        <x:is>
          <x:t xml:space="preserve">ОТК</x:t>
        </x:is>
      </x:c>
      <x:c r="I562" s="31" t="inlineStr">
        <x:is>
          <x:t xml:space="preserve">ОБ-015</x:t>
        </x:is>
      </x:c>
      <x:c r="J562" s="31" t="inlineStr">
        <x:is>
          <x:t xml:space="preserve">СОТР-095</x:t>
        </x:is>
      </x:c>
      <x:c r="K562" s="31" t="n">
        <x:v>57.3</x:v>
      </x:c>
      <x:c r="L562" s="31" t="n"/>
      <x:c r="M562" s="31" t="n">
        <x:v>46123</x:v>
      </x:c>
      <x:c r="N562" s="31" t="n">
        <x:v>46128</x:v>
      </x:c>
      <x:c r="O562" s="31" t="n"/>
      <x:c r="P562" s="31" t="n"/>
      <x:c r="Q562" s="31" t="inlineStr">
        <x:is>
          <x:t xml:space="preserve">Запланировано</x:t>
        </x:is>
      </x:c>
      <x:c r="R562" s="31" t="inlineStr">
        <x:is>
          <x:t xml:space="preserve">Нет</x:t>
        </x:is>
      </x:c>
      <x:c r="S562" s="31" t="inlineStr">
        <x:is>
          <x:t xml:space="preserve">Нет</x:t>
        </x:is>
      </x:c>
    </x:row>
    <x:row r="563">
      <x:c r="A563" s="31" t="inlineStr">
        <x:is>
          <x:t xml:space="preserve">ОП-000562</x:t>
        </x:is>
      </x:c>
      <x:c r="B563" s="31" t="inlineStr">
        <x:is>
          <x:t xml:space="preserve">ПЗ-00066</x:t>
        </x:is>
      </x:c>
      <x:c r="C563" s="31" t="inlineStr">
        <x:is>
          <x:t xml:space="preserve">ЗК-1038</x:t>
        </x:is>
      </x:c>
      <x:c r="D563" s="31" t="inlineStr">
        <x:is>
          <x:t xml:space="preserve">ПОЗ-0038-2</x:t>
        </x:is>
      </x:c>
      <x:c r="E563" s="31" t="inlineStr">
        <x:is>
          <x:t xml:space="preserve">ИЗД-004</x:t>
        </x:is>
      </x:c>
      <x:c r="F563" s="31" t="n">
        <x:v>80</x:v>
      </x:c>
      <x:c r="G563" s="31" t="inlineStr">
        <x:is>
          <x:t xml:space="preserve">ОТК</x:t>
        </x:is>
      </x:c>
      <x:c r="H563" s="31" t="inlineStr">
        <x:is>
          <x:t xml:space="preserve">ОТК</x:t>
        </x:is>
      </x:c>
      <x:c r="I563" s="31" t="inlineStr">
        <x:is>
          <x:t xml:space="preserve">ОБ-022</x:t>
        </x:is>
      </x:c>
      <x:c r="J563" s="31" t="inlineStr">
        <x:is>
          <x:t xml:space="preserve">СОТР-097</x:t>
        </x:is>
      </x:c>
      <x:c r="K563" s="31" t="n">
        <x:v>16.2</x:v>
      </x:c>
      <x:c r="L563" s="31" t="n"/>
      <x:c r="M563" s="31" t="n">
        <x:v>46128</x:v>
      </x:c>
      <x:c r="N563" s="31" t="n">
        <x:v>46130</x:v>
      </x:c>
      <x:c r="O563" s="31" t="n"/>
      <x:c r="P563" s="31" t="n"/>
      <x:c r="Q563" s="31" t="inlineStr">
        <x:is>
          <x:t xml:space="preserve">Запланировано</x:t>
        </x:is>
      </x:c>
      <x:c r="R563" s="31" t="inlineStr">
        <x:is>
          <x:t xml:space="preserve">Материал</x:t>
        </x:is>
      </x:c>
      <x:c r="S563" s="31" t="inlineStr">
        <x:is>
          <x:t xml:space="preserve">Нет</x:t>
        </x:is>
      </x:c>
    </x:row>
    <x:row r="564">
      <x:c r="A564" s="31" t="inlineStr">
        <x:is>
          <x:t xml:space="preserve">ОП-000563</x:t>
        </x:is>
      </x:c>
      <x:c r="B564" s="31" t="inlineStr">
        <x:is>
          <x:t xml:space="preserve">ПЗ-00066</x:t>
        </x:is>
      </x:c>
      <x:c r="C564" s="31" t="inlineStr">
        <x:is>
          <x:t xml:space="preserve">ЗК-1038</x:t>
        </x:is>
      </x:c>
      <x:c r="D564" s="31" t="inlineStr">
        <x:is>
          <x:t xml:space="preserve">ПОЗ-0038-2</x:t>
        </x:is>
      </x:c>
      <x:c r="E564" s="31" t="inlineStr">
        <x:is>
          <x:t xml:space="preserve">ИЗД-004</x:t>
        </x:is>
      </x:c>
      <x:c r="F564" s="31" t="n">
        <x:v>90</x:v>
      </x:c>
      <x:c r="G564" s="31" t="inlineStr">
        <x:is>
          <x:t xml:space="preserve">Упаковка</x:t>
        </x:is>
      </x:c>
      <x:c r="H564" s="31" t="inlineStr">
        <x:is>
          <x:t xml:space="preserve">Логистика</x:t>
        </x:is>
      </x:c>
      <x:c r="I564" s="31" t="n"/>
      <x:c r="J564" s="31" t="inlineStr">
        <x:is>
          <x:t xml:space="preserve">СОТР-103</x:t>
        </x:is>
      </x:c>
      <x:c r="K564" s="31" t="n">
        <x:v>41.1</x:v>
      </x:c>
      <x:c r="L564" s="31" t="n"/>
      <x:c r="M564" s="31" t="n">
        <x:v>46130</x:v>
      </x:c>
      <x:c r="N564" s="31" t="n">
        <x:v>46134</x:v>
      </x:c>
      <x:c r="O564" s="31" t="n"/>
      <x:c r="P564" s="31" t="n"/>
      <x:c r="Q564" s="31" t="inlineStr">
        <x:is>
          <x:t xml:space="preserve">Запланировано</x:t>
        </x:is>
      </x:c>
      <x:c r="R564" s="31" t="inlineStr">
        <x:is>
          <x:t xml:space="preserve">Нет</x:t>
        </x:is>
      </x:c>
      <x:c r="S564" s="31" t="inlineStr">
        <x:is>
          <x:t xml:space="preserve">Нет</x:t>
        </x:is>
      </x:c>
    </x:row>
    <x:row r="565">
      <x:c r="A565" s="31" t="inlineStr">
        <x:is>
          <x:t xml:space="preserve">ОП-000564</x:t>
        </x:is>
      </x:c>
      <x:c r="B565" s="31" t="inlineStr">
        <x:is>
          <x:t xml:space="preserve">ПЗ-00067</x:t>
        </x:is>
      </x:c>
      <x:c r="C565" s="31" t="inlineStr">
        <x:is>
          <x:t xml:space="preserve">ЗК-1038</x:t>
        </x:is>
      </x:c>
      <x:c r="D565" s="31" t="inlineStr">
        <x:is>
          <x:t xml:space="preserve">ПОЗ-0038-3</x:t>
        </x:is>
      </x:c>
      <x:c r="E565" s="31" t="inlineStr">
        <x:is>
          <x:t xml:space="preserve">ИЗД-035</x:t>
        </x:is>
      </x:c>
      <x:c r="F565" s="31" t="n">
        <x:v>10</x:v>
      </x:c>
      <x:c r="G565" s="31" t="inlineStr">
        <x:is>
          <x:t xml:space="preserve">КД</x:t>
        </x:is>
      </x:c>
      <x:c r="H565" s="31" t="inlineStr">
        <x:is>
          <x:t xml:space="preserve">Инженерный отдел</x:t>
        </x:is>
      </x:c>
      <x:c r="I565" s="31" t="n"/>
      <x:c r="J565" s="31" t="inlineStr">
        <x:is>
          <x:t xml:space="preserve">СОТР-015</x:t>
        </x:is>
      </x:c>
      <x:c r="K565" s="31" t="n">
        <x:v>13.8</x:v>
      </x:c>
      <x:c r="L565" s="31" t="n">
        <x:v>12.4</x:v>
      </x:c>
      <x:c r="M565" s="31" t="n">
        <x:v>46098</x:v>
      </x:c>
      <x:c r="N565" s="31" t="n">
        <x:v>46100</x:v>
      </x:c>
      <x:c r="O565" s="31" t="n">
        <x:v>46098</x:v>
      </x:c>
      <x:c r="P565" s="31" t="n">
        <x:v>46102</x:v>
      </x:c>
      <x:c r="Q565" s="31" t="inlineStr">
        <x:is>
          <x:t xml:space="preserve">Завершено</x:t>
        </x:is>
      </x:c>
      <x:c r="R565" s="31" t="inlineStr">
        <x:is>
          <x:t xml:space="preserve">Нет</x:t>
        </x:is>
      </x:c>
      <x:c r="S565" s="31" t="inlineStr">
        <x:is>
          <x:t xml:space="preserve">Нет</x:t>
        </x:is>
      </x:c>
    </x:row>
    <x:row r="566">
      <x:c r="A566" s="31" t="inlineStr">
        <x:is>
          <x:t xml:space="preserve">ОП-000565</x:t>
        </x:is>
      </x:c>
      <x:c r="B566" s="31" t="inlineStr">
        <x:is>
          <x:t xml:space="preserve">ПЗ-00067</x:t>
        </x:is>
      </x:c>
      <x:c r="C566" s="31" t="inlineStr">
        <x:is>
          <x:t xml:space="preserve">ЗК-1038</x:t>
        </x:is>
      </x:c>
      <x:c r="D566" s="31" t="inlineStr">
        <x:is>
          <x:t xml:space="preserve">ПОЗ-0038-3</x:t>
        </x:is>
      </x:c>
      <x:c r="E566" s="31" t="inlineStr">
        <x:is>
          <x:t xml:space="preserve">ИЗД-035</x:t>
        </x:is>
      </x:c>
      <x:c r="F566" s="31" t="n">
        <x:v>20</x:v>
      </x:c>
      <x:c r="G566" s="31" t="inlineStr">
        <x:is>
          <x:t xml:space="preserve">Резерв материалов</x:t>
        </x:is>
      </x:c>
      <x:c r="H566" s="31" t="inlineStr">
        <x:is>
          <x:t xml:space="preserve">Склад</x:t>
        </x:is>
      </x:c>
      <x:c r="I566" s="31" t="inlineStr">
        <x:is>
          <x:t xml:space="preserve">ОБ-023</x:t>
        </x:is>
      </x:c>
      <x:c r="J566" s="31" t="inlineStr">
        <x:is>
          <x:t xml:space="preserve">СОТР-024</x:t>
        </x:is>
      </x:c>
      <x:c r="K566" s="31" t="n">
        <x:v>20.4</x:v>
      </x:c>
      <x:c r="L566" s="31" t="n">
        <x:v>23.7</x:v>
      </x:c>
      <x:c r="M566" s="31" t="n">
        <x:v>46100</x:v>
      </x:c>
      <x:c r="N566" s="31" t="n">
        <x:v>46102</x:v>
      </x:c>
      <x:c r="O566" s="31" t="n">
        <x:v>46100</x:v>
      </x:c>
      <x:c r="P566" s="31" t="n">
        <x:v>46102</x:v>
      </x:c>
      <x:c r="Q566" s="31" t="inlineStr">
        <x:is>
          <x:t xml:space="preserve">Завершено</x:t>
        </x:is>
      </x:c>
      <x:c r="R566" s="31" t="inlineStr">
        <x:is>
          <x:t xml:space="preserve">Нет</x:t>
        </x:is>
      </x:c>
      <x:c r="S566" s="31" t="inlineStr">
        <x:is>
          <x:t xml:space="preserve">Нет</x:t>
        </x:is>
      </x:c>
    </x:row>
    <x:row r="567">
      <x:c r="A567" s="31" t="inlineStr">
        <x:is>
          <x:t xml:space="preserve">ОП-000566</x:t>
        </x:is>
      </x:c>
      <x:c r="B567" s="31" t="inlineStr">
        <x:is>
          <x:t xml:space="preserve">ПЗ-00067</x:t>
        </x:is>
      </x:c>
      <x:c r="C567" s="31" t="inlineStr">
        <x:is>
          <x:t xml:space="preserve">ЗК-1038</x:t>
        </x:is>
      </x:c>
      <x:c r="D567" s="31" t="inlineStr">
        <x:is>
          <x:t xml:space="preserve">ПОЗ-0038-3</x:t>
        </x:is>
      </x:c>
      <x:c r="E567" s="31" t="inlineStr">
        <x:is>
          <x:t xml:space="preserve">ИЗД-035</x:t>
        </x:is>
      </x:c>
      <x:c r="F567" s="31" t="n">
        <x:v>30</x:v>
      </x:c>
      <x:c r="G567" s="31" t="inlineStr">
        <x:is>
          <x:t xml:space="preserve">Резка металла</x:t>
        </x:is>
      </x:c>
      <x:c r="H567" s="31" t="inlineStr">
        <x:is>
          <x:t xml:space="preserve">Сварка</x:t>
        </x:is>
      </x:c>
      <x:c r="I567" s="31" t="inlineStr">
        <x:is>
          <x:t xml:space="preserve">ОБ-021</x:t>
        </x:is>
      </x:c>
      <x:c r="J567" s="31" t="inlineStr">
        <x:is>
          <x:t xml:space="preserve">СОТР-069</x:t>
        </x:is>
      </x:c>
      <x:c r="K567" s="31" t="n">
        <x:v>9.4</x:v>
      </x:c>
      <x:c r="L567" s="31" t="n">
        <x:v>9.1</x:v>
      </x:c>
      <x:c r="M567" s="31" t="n">
        <x:v>46102</x:v>
      </x:c>
      <x:c r="N567" s="31" t="n">
        <x:v>46103</x:v>
      </x:c>
      <x:c r="O567" s="31" t="n">
        <x:v>46102</x:v>
      </x:c>
      <x:c r="P567" s="31" t="n">
        <x:v>46103</x:v>
      </x:c>
      <x:c r="Q567" s="31" t="inlineStr">
        <x:is>
          <x:t xml:space="preserve">Завершено</x:t>
        </x:is>
      </x:c>
      <x:c r="R567" s="31" t="inlineStr">
        <x:is>
          <x:t xml:space="preserve">Материал</x:t>
        </x:is>
      </x:c>
      <x:c r="S567" s="31" t="inlineStr">
        <x:is>
          <x:t xml:space="preserve">Нет</x:t>
        </x:is>
      </x:c>
    </x:row>
    <x:row r="568">
      <x:c r="A568" s="31" t="inlineStr">
        <x:is>
          <x:t xml:space="preserve">ОП-000567</x:t>
        </x:is>
      </x:c>
      <x:c r="B568" s="31" t="inlineStr">
        <x:is>
          <x:t xml:space="preserve">ПЗ-00067</x:t>
        </x:is>
      </x:c>
      <x:c r="C568" s="31" t="inlineStr">
        <x:is>
          <x:t xml:space="preserve">ЗК-1038</x:t>
        </x:is>
      </x:c>
      <x:c r="D568" s="31" t="inlineStr">
        <x:is>
          <x:t xml:space="preserve">ПОЗ-0038-3</x:t>
        </x:is>
      </x:c>
      <x:c r="E568" s="31" t="inlineStr">
        <x:is>
          <x:t xml:space="preserve">ИЗД-035</x:t>
        </x:is>
      </x:c>
      <x:c r="F568" s="31" t="n">
        <x:v>40</x:v>
      </x:c>
      <x:c r="G568" s="31" t="inlineStr">
        <x:is>
          <x:t xml:space="preserve">Сварка рамы</x:t>
        </x:is>
      </x:c>
      <x:c r="H568" s="31" t="inlineStr">
        <x:is>
          <x:t xml:space="preserve">Сварка</x:t>
        </x:is>
      </x:c>
      <x:c r="I568" s="31" t="inlineStr">
        <x:is>
          <x:t xml:space="preserve">ОБ-035</x:t>
        </x:is>
      </x:c>
      <x:c r="J568" s="31" t="inlineStr">
        <x:is>
          <x:t xml:space="preserve">СОТР-066</x:t>
        </x:is>
      </x:c>
      <x:c r="K568" s="31" t="n">
        <x:v>4.6</x:v>
      </x:c>
      <x:c r="L568" s="31" t="n"/>
      <x:c r="M568" s="31" t="n">
        <x:v>46103</x:v>
      </x:c>
      <x:c r="N568" s="31" t="n">
        <x:v>46104</x:v>
      </x:c>
      <x:c r="O568" s="31" t="n"/>
      <x:c r="P568" s="31" t="n"/>
      <x:c r="Q568" s="31" t="inlineStr">
        <x:is>
          <x:t xml:space="preserve">Запланировано</x:t>
        </x:is>
      </x:c>
      <x:c r="R568" s="31" t="inlineStr">
        <x:is>
          <x:t xml:space="preserve">Нет</x:t>
        </x:is>
      </x:c>
      <x:c r="S568" s="31" t="inlineStr">
        <x:is>
          <x:t xml:space="preserve">Да</x:t>
        </x:is>
      </x:c>
    </x:row>
    <x:row r="569">
      <x:c r="A569" s="31" t="inlineStr">
        <x:is>
          <x:t xml:space="preserve">ОП-000568</x:t>
        </x:is>
      </x:c>
      <x:c r="B569" s="31" t="inlineStr">
        <x:is>
          <x:t xml:space="preserve">ПЗ-00067</x:t>
        </x:is>
      </x:c>
      <x:c r="C569" s="31" t="inlineStr">
        <x:is>
          <x:t xml:space="preserve">ЗК-1038</x:t>
        </x:is>
      </x:c>
      <x:c r="D569" s="31" t="inlineStr">
        <x:is>
          <x:t xml:space="preserve">ПОЗ-0038-3</x:t>
        </x:is>
      </x:c>
      <x:c r="E569" s="31" t="inlineStr">
        <x:is>
          <x:t xml:space="preserve">ИЗД-035</x:t>
        </x:is>
      </x:c>
      <x:c r="F569" s="31" t="n">
        <x:v>50</x:v>
      </x:c>
      <x:c r="G569" s="31" t="inlineStr">
        <x:is>
          <x:t xml:space="preserve">Механообработка</x:t>
        </x:is>
      </x:c>
      <x:c r="H569" s="31" t="inlineStr">
        <x:is>
          <x:t xml:space="preserve">Механообработка</x:t>
        </x:is>
      </x:c>
      <x:c r="I569" s="31" t="inlineStr">
        <x:is>
          <x:t xml:space="preserve">ОБ-031</x:t>
        </x:is>
      </x:c>
      <x:c r="J569" s="31" t="inlineStr">
        <x:is>
          <x:t xml:space="preserve">СОТР-040</x:t>
        </x:is>
      </x:c>
      <x:c r="K569" s="31" t="n">
        <x:v>13.8</x:v>
      </x:c>
      <x:c r="L569" s="31" t="n">
        <x:v>12.9</x:v>
      </x:c>
      <x:c r="M569" s="31" t="n">
        <x:v>46104</x:v>
      </x:c>
      <x:c r="N569" s="31" t="n">
        <x:v>46106</x:v>
      </x:c>
      <x:c r="O569" s="31" t="n">
        <x:v>46104</x:v>
      </x:c>
      <x:c r="P569" s="31" t="n">
        <x:v>46107</x:v>
      </x:c>
      <x:c r="Q569" s="31" t="inlineStr">
        <x:is>
          <x:t xml:space="preserve">Завершено</x:t>
        </x:is>
      </x:c>
      <x:c r="R569" s="31" t="inlineStr">
        <x:is>
          <x:t xml:space="preserve">Нет</x:t>
        </x:is>
      </x:c>
      <x:c r="S569" s="31" t="inlineStr">
        <x:is>
          <x:t xml:space="preserve">Да</x:t>
        </x:is>
      </x:c>
    </x:row>
    <x:row r="570">
      <x:c r="A570" s="31" t="inlineStr">
        <x:is>
          <x:t xml:space="preserve">ОП-000569</x:t>
        </x:is>
      </x:c>
      <x:c r="B570" s="31" t="inlineStr">
        <x:is>
          <x:t xml:space="preserve">ПЗ-00067</x:t>
        </x:is>
      </x:c>
      <x:c r="C570" s="31" t="inlineStr">
        <x:is>
          <x:t xml:space="preserve">ЗК-1038</x:t>
        </x:is>
      </x:c>
      <x:c r="D570" s="31" t="inlineStr">
        <x:is>
          <x:t xml:space="preserve">ПОЗ-0038-3</x:t>
        </x:is>
      </x:c>
      <x:c r="E570" s="31" t="inlineStr">
        <x:is>
          <x:t xml:space="preserve">ИЗД-035</x:t>
        </x:is>
      </x:c>
      <x:c r="F570" s="31" t="n">
        <x:v>60</x:v>
      </x:c>
      <x:c r="G570" s="31" t="inlineStr">
        <x:is>
          <x:t xml:space="preserve">Сборка</x:t>
        </x:is>
      </x:c>
      <x:c r="H570" s="31" t="inlineStr">
        <x:is>
          <x:t xml:space="preserve">Сборка</x:t>
        </x:is>
      </x:c>
      <x:c r="I570" s="31" t="inlineStr">
        <x:is>
          <x:t xml:space="preserve">ОБ-012</x:t>
        </x:is>
      </x:c>
      <x:c r="J570" s="31" t="inlineStr">
        <x:is>
          <x:t xml:space="preserve">СОТР-087</x:t>
        </x:is>
      </x:c>
      <x:c r="K570" s="31" t="n">
        <x:v>2.8</x:v>
      </x:c>
      <x:c r="L570" s="31" t="n">
        <x:v>2.6</x:v>
      </x:c>
      <x:c r="M570" s="31" t="n">
        <x:v>46106</x:v>
      </x:c>
      <x:c r="N570" s="31" t="n">
        <x:v>46107</x:v>
      </x:c>
      <x:c r="O570" s="31" t="n">
        <x:v>46106</x:v>
      </x:c>
      <x:c r="P570" s="31" t="n">
        <x:v>46108</x:v>
      </x:c>
      <x:c r="Q570" s="31" t="inlineStr">
        <x:is>
          <x:t xml:space="preserve">Завершено</x:t>
        </x:is>
      </x:c>
      <x:c r="R570" s="31" t="inlineStr">
        <x:is>
          <x:t xml:space="preserve">Нет</x:t>
        </x:is>
      </x:c>
      <x:c r="S570" s="31" t="inlineStr">
        <x:is>
          <x:t xml:space="preserve">Да</x:t>
        </x:is>
      </x:c>
    </x:row>
    <x:row r="571">
      <x:c r="A571" s="31" t="inlineStr">
        <x:is>
          <x:t xml:space="preserve">ОП-000570</x:t>
        </x:is>
      </x:c>
      <x:c r="B571" s="31" t="inlineStr">
        <x:is>
          <x:t xml:space="preserve">ПЗ-00067</x:t>
        </x:is>
      </x:c>
      <x:c r="C571" s="31" t="inlineStr">
        <x:is>
          <x:t xml:space="preserve">ЗК-1038</x:t>
        </x:is>
      </x:c>
      <x:c r="D571" s="31" t="inlineStr">
        <x:is>
          <x:t xml:space="preserve">ПОЗ-0038-3</x:t>
        </x:is>
      </x:c>
      <x:c r="E571" s="31" t="inlineStr">
        <x:is>
          <x:t xml:space="preserve">ИЗД-035</x:t>
        </x:is>
      </x:c>
      <x:c r="F571" s="31" t="n">
        <x:v>70</x:v>
      </x:c>
      <x:c r="G571" s="31" t="inlineStr">
        <x:is>
          <x:t xml:space="preserve">Обвязка труб</x:t>
        </x:is>
      </x:c>
      <x:c r="H571" s="31" t="inlineStr">
        <x:is>
          <x:t xml:space="preserve">Сборка</x:t>
        </x:is>
      </x:c>
      <x:c r="I571" s="31" t="inlineStr">
        <x:is>
          <x:t xml:space="preserve">ОБ-002</x:t>
        </x:is>
      </x:c>
      <x:c r="J571" s="31" t="inlineStr">
        <x:is>
          <x:t xml:space="preserve">СОТР-086</x:t>
        </x:is>
      </x:c>
      <x:c r="K571" s="31" t="n">
        <x:v>22</x:v>
      </x:c>
      <x:c r="L571" s="31" t="n"/>
      <x:c r="M571" s="31" t="n">
        <x:v>46107</x:v>
      </x:c>
      <x:c r="N571" s="31" t="n">
        <x:v>46109</x:v>
      </x:c>
      <x:c r="O571" s="31" t="n"/>
      <x:c r="P571" s="31" t="n"/>
      <x:c r="Q571" s="31" t="inlineStr">
        <x:is>
          <x:t xml:space="preserve">Запланировано</x:t>
        </x:is>
      </x:c>
      <x:c r="R571" s="31" t="inlineStr">
        <x:is>
          <x:t xml:space="preserve">Нет</x:t>
        </x:is>
      </x:c>
      <x:c r="S571" s="31" t="inlineStr">
        <x:is>
          <x:t xml:space="preserve">Нет</x:t>
        </x:is>
      </x:c>
    </x:row>
    <x:row r="572">
      <x:c r="A572" s="31" t="inlineStr">
        <x:is>
          <x:t xml:space="preserve">ОП-000571</x:t>
        </x:is>
      </x:c>
      <x:c r="B572" s="31" t="inlineStr">
        <x:is>
          <x:t xml:space="preserve">ПЗ-00067</x:t>
        </x:is>
      </x:c>
      <x:c r="C572" s="31" t="inlineStr">
        <x:is>
          <x:t xml:space="preserve">ЗК-1038</x:t>
        </x:is>
      </x:c>
      <x:c r="D572" s="31" t="inlineStr">
        <x:is>
          <x:t xml:space="preserve">ПОЗ-0038-3</x:t>
        </x:is>
      </x:c>
      <x:c r="E572" s="31" t="inlineStr">
        <x:is>
          <x:t xml:space="preserve">ИЗД-035</x:t>
        </x:is>
      </x:c>
      <x:c r="F572" s="31" t="n">
        <x:v>80</x:v>
      </x:c>
      <x:c r="G572" s="31" t="inlineStr">
        <x:is>
          <x:t xml:space="preserve">Электромонтаж</x:t>
        </x:is>
      </x:c>
      <x:c r="H572" s="31" t="inlineStr">
        <x:is>
          <x:t xml:space="preserve">Сборка</x:t>
        </x:is>
      </x:c>
      <x:c r="I572" s="31" t="inlineStr">
        <x:is>
          <x:t xml:space="preserve">ОБ-002</x:t>
        </x:is>
      </x:c>
      <x:c r="J572" s="31" t="inlineStr">
        <x:is>
          <x:t xml:space="preserve">СОТР-032</x:t>
        </x:is>
      </x:c>
      <x:c r="K572" s="31" t="n">
        <x:v>2.4</x:v>
      </x:c>
      <x:c r="L572" s="31" t="n"/>
      <x:c r="M572" s="31" t="n">
        <x:v>46109</x:v>
      </x:c>
      <x:c r="N572" s="31" t="n">
        <x:v>46110</x:v>
      </x:c>
      <x:c r="O572" s="31" t="n"/>
      <x:c r="P572" s="31" t="n"/>
      <x:c r="Q572" s="31" t="inlineStr">
        <x:is>
          <x:t xml:space="preserve">Запланировано</x:t>
        </x:is>
      </x:c>
      <x:c r="R572" s="31" t="inlineStr">
        <x:is>
          <x:t xml:space="preserve">Нет</x:t>
        </x:is>
      </x:c>
      <x:c r="S572" s="31" t="inlineStr">
        <x:is>
          <x:t xml:space="preserve">Нет</x:t>
        </x:is>
      </x:c>
    </x:row>
    <x:row r="573">
      <x:c r="A573" s="31" t="inlineStr">
        <x:is>
          <x:t xml:space="preserve">ОП-000572</x:t>
        </x:is>
      </x:c>
      <x:c r="B573" s="31" t="inlineStr">
        <x:is>
          <x:t xml:space="preserve">ПЗ-00067</x:t>
        </x:is>
      </x:c>
      <x:c r="C573" s="31" t="inlineStr">
        <x:is>
          <x:t xml:space="preserve">ЗК-1038</x:t>
        </x:is>
      </x:c>
      <x:c r="D573" s="31" t="inlineStr">
        <x:is>
          <x:t xml:space="preserve">ПОЗ-0038-3</x:t>
        </x:is>
      </x:c>
      <x:c r="E573" s="31" t="inlineStr">
        <x:is>
          <x:t xml:space="preserve">ИЗД-035</x:t>
        </x:is>
      </x:c>
      <x:c r="F573" s="31" t="n">
        <x:v>90</x:v>
      </x:c>
      <x:c r="G573" s="31" t="inlineStr">
        <x:is>
          <x:t xml:space="preserve">Приемочные испытания</x:t>
        </x:is>
      </x:c>
      <x:c r="H573" s="31" t="inlineStr">
        <x:is>
          <x:t xml:space="preserve">ОТК</x:t>
        </x:is>
      </x:c>
      <x:c r="I573" s="31" t="inlineStr">
        <x:is>
          <x:t xml:space="preserve">ОБ-033</x:t>
        </x:is>
      </x:c>
      <x:c r="J573" s="31" t="inlineStr">
        <x:is>
          <x:t xml:space="preserve">СОТР-097</x:t>
        </x:is>
      </x:c>
      <x:c r="K573" s="31" t="n">
        <x:v>4.2</x:v>
      </x:c>
      <x:c r="L573" s="31" t="n"/>
      <x:c r="M573" s="31" t="n">
        <x:v>46110</x:v>
      </x:c>
      <x:c r="N573" s="31" t="n">
        <x:v>46111</x:v>
      </x:c>
      <x:c r="O573" s="31" t="n"/>
      <x:c r="P573" s="31" t="n"/>
      <x:c r="Q573" s="31" t="inlineStr">
        <x:is>
          <x:t xml:space="preserve">Запланировано</x:t>
        </x:is>
      </x:c>
      <x:c r="R573" s="31" t="inlineStr">
        <x:is>
          <x:t xml:space="preserve">Нет</x:t>
        </x:is>
      </x:c>
      <x:c r="S573" s="31" t="inlineStr">
        <x:is>
          <x:t xml:space="preserve">Да</x:t>
        </x:is>
      </x:c>
    </x:row>
    <x:row r="574">
      <x:c r="A574" s="31" t="inlineStr">
        <x:is>
          <x:t xml:space="preserve">ОП-000573</x:t>
        </x:is>
      </x:c>
      <x:c r="B574" s="31" t="inlineStr">
        <x:is>
          <x:t xml:space="preserve">ПЗ-00067</x:t>
        </x:is>
      </x:c>
      <x:c r="C574" s="31" t="inlineStr">
        <x:is>
          <x:t xml:space="preserve">ЗК-1038</x:t>
        </x:is>
      </x:c>
      <x:c r="D574" s="31" t="inlineStr">
        <x:is>
          <x:t xml:space="preserve">ПОЗ-0038-3</x:t>
        </x:is>
      </x:c>
      <x:c r="E574" s="31" t="inlineStr">
        <x:is>
          <x:t xml:space="preserve">ИЗД-035</x:t>
        </x:is>
      </x:c>
      <x:c r="F574" s="31" t="n">
        <x:v>100</x:v>
      </x:c>
      <x:c r="G574" s="31" t="inlineStr">
        <x:is>
          <x:t xml:space="preserve">ОТК</x:t>
        </x:is>
      </x:c>
      <x:c r="H574" s="31" t="inlineStr">
        <x:is>
          <x:t xml:space="preserve">ОТК</x:t>
        </x:is>
      </x:c>
      <x:c r="I574" s="31" t="inlineStr">
        <x:is>
          <x:t xml:space="preserve">ОБ-006</x:t>
        </x:is>
      </x:c>
      <x:c r="J574" s="31" t="inlineStr">
        <x:is>
          <x:t xml:space="preserve">СОТР-100</x:t>
        </x:is>
      </x:c>
      <x:c r="K574" s="31" t="n">
        <x:v>20</x:v>
      </x:c>
      <x:c r="L574" s="31" t="n"/>
      <x:c r="M574" s="31" t="n">
        <x:v>46111</x:v>
      </x:c>
      <x:c r="N574" s="31" t="n">
        <x:v>46113</x:v>
      </x:c>
      <x:c r="O574" s="31" t="n"/>
      <x:c r="P574" s="31" t="n"/>
      <x:c r="Q574" s="31" t="inlineStr">
        <x:is>
          <x:t xml:space="preserve">Запланировано</x:t>
        </x:is>
      </x:c>
      <x:c r="R574" s="31" t="inlineStr">
        <x:is>
          <x:t xml:space="preserve">Нет</x:t>
        </x:is>
      </x:c>
      <x:c r="S574" s="31" t="inlineStr">
        <x:is>
          <x:t xml:space="preserve">Да</x:t>
        </x:is>
      </x:c>
    </x:row>
    <x:row r="575">
      <x:c r="A575" s="31" t="inlineStr">
        <x:is>
          <x:t xml:space="preserve">ОП-000574</x:t>
        </x:is>
      </x:c>
      <x:c r="B575" s="31" t="inlineStr">
        <x:is>
          <x:t xml:space="preserve">ПЗ-00067</x:t>
        </x:is>
      </x:c>
      <x:c r="C575" s="31" t="inlineStr">
        <x:is>
          <x:t xml:space="preserve">ЗК-1038</x:t>
        </x:is>
      </x:c>
      <x:c r="D575" s="31" t="inlineStr">
        <x:is>
          <x:t xml:space="preserve">ПОЗ-0038-3</x:t>
        </x:is>
      </x:c>
      <x:c r="E575" s="31" t="inlineStr">
        <x:is>
          <x:t xml:space="preserve">ИЗД-035</x:t>
        </x:is>
      </x:c>
      <x:c r="F575" s="31" t="n">
        <x:v>110</x:v>
      </x:c>
      <x:c r="G575" s="31" t="inlineStr">
        <x:is>
          <x:t xml:space="preserve">Упаковка</x:t>
        </x:is>
      </x:c>
      <x:c r="H575" s="31" t="inlineStr">
        <x:is>
          <x:t xml:space="preserve">Логистика</x:t>
        </x:is>
      </x:c>
      <x:c r="I575" s="31" t="n"/>
      <x:c r="J575" s="31" t="inlineStr">
        <x:is>
          <x:t xml:space="preserve">СОТР-070</x:t>
        </x:is>
      </x:c>
      <x:c r="K575" s="31" t="n">
        <x:v>15.6</x:v>
      </x:c>
      <x:c r="L575" s="31" t="n"/>
      <x:c r="M575" s="31" t="n">
        <x:v>46113</x:v>
      </x:c>
      <x:c r="N575" s="31" t="n">
        <x:v>46115</x:v>
      </x:c>
      <x:c r="O575" s="31" t="n"/>
      <x:c r="P575" s="31" t="n"/>
      <x:c r="Q575" s="31" t="inlineStr">
        <x:is>
          <x:t xml:space="preserve">Запланировано</x:t>
        </x:is>
      </x:c>
      <x:c r="R575" s="31" t="inlineStr">
        <x:is>
          <x:t xml:space="preserve">Нет</x:t>
        </x:is>
      </x:c>
      <x:c r="S575" s="31" t="inlineStr">
        <x:is>
          <x:t xml:space="preserve">Нет</x:t>
        </x:is>
      </x:c>
    </x:row>
    <x:row r="576">
      <x:c r="A576" s="31" t="inlineStr">
        <x:is>
          <x:t xml:space="preserve">ОП-000575</x:t>
        </x:is>
      </x:c>
      <x:c r="B576" s="31" t="inlineStr">
        <x:is>
          <x:t xml:space="preserve">ПЗ-00068</x:t>
        </x:is>
      </x:c>
      <x:c r="C576" s="31" t="inlineStr">
        <x:is>
          <x:t xml:space="preserve">ЗК-1038</x:t>
        </x:is>
      </x:c>
      <x:c r="D576" s="31" t="inlineStr">
        <x:is>
          <x:t xml:space="preserve">ПОЗ-0038-4</x:t>
        </x:is>
      </x:c>
      <x:c r="E576" s="31" t="inlineStr">
        <x:is>
          <x:t xml:space="preserve">ИЗД-045</x:t>
        </x:is>
      </x:c>
      <x:c r="F576" s="31" t="n">
        <x:v>10</x:v>
      </x:c>
      <x:c r="G576" s="31" t="inlineStr">
        <x:is>
          <x:t xml:space="preserve">КД</x:t>
        </x:is>
      </x:c>
      <x:c r="H576" s="31" t="inlineStr">
        <x:is>
          <x:t xml:space="preserve">Инженерный отдел</x:t>
        </x:is>
      </x:c>
      <x:c r="I576" s="31" t="n"/>
      <x:c r="J576" s="31" t="inlineStr">
        <x:is>
          <x:t xml:space="preserve">СОТР-011</x:t>
        </x:is>
      </x:c>
      <x:c r="K576" s="31" t="n">
        <x:v>9.699999999999999</x:v>
      </x:c>
      <x:c r="L576" s="31" t="n"/>
      <x:c r="M576" s="31" t="n">
        <x:v>46106</x:v>
      </x:c>
      <x:c r="N576" s="31" t="n">
        <x:v>46107</x:v>
      </x:c>
      <x:c r="O576" s="31" t="n"/>
      <x:c r="P576" s="31" t="n"/>
      <x:c r="Q576" s="31" t="inlineStr">
        <x:is>
          <x:t xml:space="preserve">Запланировано</x:t>
        </x:is>
      </x:c>
      <x:c r="R576" s="31" t="inlineStr">
        <x:is>
          <x:t xml:space="preserve">Нет</x:t>
        </x:is>
      </x:c>
      <x:c r="S576" s="31" t="inlineStr">
        <x:is>
          <x:t xml:space="preserve">Нет</x:t>
        </x:is>
      </x:c>
    </x:row>
    <x:row r="577">
      <x:c r="A577" s="31" t="inlineStr">
        <x:is>
          <x:t xml:space="preserve">ОП-000576</x:t>
        </x:is>
      </x:c>
      <x:c r="B577" s="31" t="inlineStr">
        <x:is>
          <x:t xml:space="preserve">ПЗ-00068</x:t>
        </x:is>
      </x:c>
      <x:c r="C577" s="31" t="inlineStr">
        <x:is>
          <x:t xml:space="preserve">ЗК-1038</x:t>
        </x:is>
      </x:c>
      <x:c r="D577" s="31" t="inlineStr">
        <x:is>
          <x:t xml:space="preserve">ПОЗ-0038-4</x:t>
        </x:is>
      </x:c>
      <x:c r="E577" s="31" t="inlineStr">
        <x:is>
          <x:t xml:space="preserve">ИЗД-045</x:t>
        </x:is>
      </x:c>
      <x:c r="F577" s="31" t="n">
        <x:v>20</x:v>
      </x:c>
      <x:c r="G577" s="31" t="inlineStr">
        <x:is>
          <x:t xml:space="preserve">Комплектация</x:t>
        </x:is>
      </x:c>
      <x:c r="H577" s="31" t="inlineStr">
        <x:is>
          <x:t xml:space="preserve">Склад</x:t>
        </x:is>
      </x:c>
      <x:c r="I577" s="31" t="inlineStr">
        <x:is>
          <x:t xml:space="preserve">ОБ-025</x:t>
        </x:is>
      </x:c>
      <x:c r="J577" s="31" t="inlineStr">
        <x:is>
          <x:t xml:space="preserve">СОТР-034</x:t>
        </x:is>
      </x:c>
      <x:c r="K577" s="31" t="n">
        <x:v>6.8</x:v>
      </x:c>
      <x:c r="L577" s="31" t="n"/>
      <x:c r="M577" s="31" t="n">
        <x:v>46107</x:v>
      </x:c>
      <x:c r="N577" s="31" t="n">
        <x:v>46108</x:v>
      </x:c>
      <x:c r="O577" s="31" t="n"/>
      <x:c r="P577" s="31" t="n"/>
      <x:c r="Q577" s="31" t="inlineStr">
        <x:is>
          <x:t xml:space="preserve">Блокировано</x:t>
        </x:is>
      </x:c>
      <x:c r="R577" s="31" t="inlineStr">
        <x:is>
          <x:t xml:space="preserve">Нет</x:t>
        </x:is>
      </x:c>
      <x:c r="S577" s="31" t="inlineStr">
        <x:is>
          <x:t xml:space="preserve">Нет</x:t>
        </x:is>
      </x:c>
    </x:row>
    <x:row r="578">
      <x:c r="A578" s="31" t="inlineStr">
        <x:is>
          <x:t xml:space="preserve">ОП-000577</x:t>
        </x:is>
      </x:c>
      <x:c r="B578" s="31" t="inlineStr">
        <x:is>
          <x:t xml:space="preserve">ПЗ-00068</x:t>
        </x:is>
      </x:c>
      <x:c r="C578" s="31" t="inlineStr">
        <x:is>
          <x:t xml:space="preserve">ЗК-1038</x:t>
        </x:is>
      </x:c>
      <x:c r="D578" s="31" t="inlineStr">
        <x:is>
          <x:t xml:space="preserve">ПОЗ-0038-4</x:t>
        </x:is>
      </x:c>
      <x:c r="E578" s="31" t="inlineStr">
        <x:is>
          <x:t xml:space="preserve">ИЗД-045</x:t>
        </x:is>
      </x:c>
      <x:c r="F578" s="31" t="n">
        <x:v>30</x:v>
      </x:c>
      <x:c r="G578" s="31" t="inlineStr">
        <x:is>
          <x:t xml:space="preserve">Сборка шкафа</x:t>
        </x:is>
      </x:c>
      <x:c r="H578" s="31" t="inlineStr">
        <x:is>
          <x:t xml:space="preserve">Сборка</x:t>
        </x:is>
      </x:c>
      <x:c r="I578" s="31" t="inlineStr">
        <x:is>
          <x:t xml:space="preserve">ОБ-016</x:t>
        </x:is>
      </x:c>
      <x:c r="J578" s="31" t="inlineStr">
        <x:is>
          <x:t xml:space="preserve">СОТР-088</x:t>
        </x:is>
      </x:c>
      <x:c r="K578" s="31" t="n">
        <x:v>2.5</x:v>
      </x:c>
      <x:c r="L578" s="31" t="n"/>
      <x:c r="M578" s="31" t="n">
        <x:v>46108</x:v>
      </x:c>
      <x:c r="N578" s="31" t="n">
        <x:v>46109</x:v>
      </x:c>
      <x:c r="O578" s="31" t="n"/>
      <x:c r="P578" s="31" t="n"/>
      <x:c r="Q578" s="31" t="inlineStr">
        <x:is>
          <x:t xml:space="preserve">Запланировано</x:t>
        </x:is>
      </x:c>
      <x:c r="R578" s="31" t="inlineStr">
        <x:is>
          <x:t xml:space="preserve">Материал</x:t>
        </x:is>
      </x:c>
      <x:c r="S578" s="31" t="inlineStr">
        <x:is>
          <x:t xml:space="preserve">Нет</x:t>
        </x:is>
      </x:c>
    </x:row>
    <x:row r="579">
      <x:c r="A579" s="31" t="inlineStr">
        <x:is>
          <x:t xml:space="preserve">ОП-000578</x:t>
        </x:is>
      </x:c>
      <x:c r="B579" s="31" t="inlineStr">
        <x:is>
          <x:t xml:space="preserve">ПЗ-00068</x:t>
        </x:is>
      </x:c>
      <x:c r="C579" s="31" t="inlineStr">
        <x:is>
          <x:t xml:space="preserve">ЗК-1038</x:t>
        </x:is>
      </x:c>
      <x:c r="D579" s="31" t="inlineStr">
        <x:is>
          <x:t xml:space="preserve">ПОЗ-0038-4</x:t>
        </x:is>
      </x:c>
      <x:c r="E579" s="31" t="inlineStr">
        <x:is>
          <x:t xml:space="preserve">ИЗД-045</x:t>
        </x:is>
      </x:c>
      <x:c r="F579" s="31" t="n">
        <x:v>40</x:v>
      </x:c>
      <x:c r="G579" s="31" t="inlineStr">
        <x:is>
          <x:t xml:space="preserve">Маркировка</x:t>
        </x:is>
      </x:c>
      <x:c r="H579" s="31" t="inlineStr">
        <x:is>
          <x:t xml:space="preserve">Сборка</x:t>
        </x:is>
      </x:c>
      <x:c r="I579" s="31" t="inlineStr">
        <x:is>
          <x:t xml:space="preserve">ОБ-016</x:t>
        </x:is>
      </x:c>
      <x:c r="J579" s="31" t="inlineStr">
        <x:is>
          <x:t xml:space="preserve">СОТР-077</x:t>
        </x:is>
      </x:c>
      <x:c r="K579" s="31" t="n">
        <x:v>6.3</x:v>
      </x:c>
      <x:c r="L579" s="31" t="n"/>
      <x:c r="M579" s="31" t="n">
        <x:v>46109</x:v>
      </x:c>
      <x:c r="N579" s="31" t="n">
        <x:v>46110</x:v>
      </x:c>
      <x:c r="O579" s="31" t="n"/>
      <x:c r="P579" s="31" t="n"/>
      <x:c r="Q579" s="31" t="inlineStr">
        <x:is>
          <x:t xml:space="preserve">Запланировано</x:t>
        </x:is>
      </x:c>
      <x:c r="R579" s="31" t="inlineStr">
        <x:is>
          <x:t xml:space="preserve">Нет</x:t>
        </x:is>
      </x:c>
      <x:c r="S579" s="31" t="inlineStr">
        <x:is>
          <x:t xml:space="preserve">Нет</x:t>
        </x:is>
      </x:c>
    </x:row>
    <x:row r="580">
      <x:c r="A580" s="31" t="inlineStr">
        <x:is>
          <x:t xml:space="preserve">ОП-000579</x:t>
        </x:is>
      </x:c>
      <x:c r="B580" s="31" t="inlineStr">
        <x:is>
          <x:t xml:space="preserve">ПЗ-00068</x:t>
        </x:is>
      </x:c>
      <x:c r="C580" s="31" t="inlineStr">
        <x:is>
          <x:t xml:space="preserve">ЗК-1038</x:t>
        </x:is>
      </x:c>
      <x:c r="D580" s="31" t="inlineStr">
        <x:is>
          <x:t xml:space="preserve">ПОЗ-0038-4</x:t>
        </x:is>
      </x:c>
      <x:c r="E580" s="31" t="inlineStr">
        <x:is>
          <x:t xml:space="preserve">ИЗД-045</x:t>
        </x:is>
      </x:c>
      <x:c r="F580" s="31" t="n">
        <x:v>50</x:v>
      </x:c>
      <x:c r="G580" s="31" t="inlineStr">
        <x:is>
          <x:t xml:space="preserve">Электромонтаж</x:t>
        </x:is>
      </x:c>
      <x:c r="H580" s="31" t="inlineStr">
        <x:is>
          <x:t xml:space="preserve">Сборка</x:t>
        </x:is>
      </x:c>
      <x:c r="I580" s="31" t="inlineStr">
        <x:is>
          <x:t xml:space="preserve">ОБ-027</x:t>
        </x:is>
      </x:c>
      <x:c r="J580" s="31" t="inlineStr">
        <x:is>
          <x:t xml:space="preserve">СОТР-074</x:t>
        </x:is>
      </x:c>
      <x:c r="K580" s="31" t="n">
        <x:v>4.9</x:v>
      </x:c>
      <x:c r="L580" s="31" t="n"/>
      <x:c r="M580" s="31" t="n">
        <x:v>46110</x:v>
      </x:c>
      <x:c r="N580" s="31" t="n">
        <x:v>46111</x:v>
      </x:c>
      <x:c r="O580" s="31" t="n"/>
      <x:c r="P580" s="31" t="n"/>
      <x:c r="Q580" s="31" t="inlineStr">
        <x:is>
          <x:t xml:space="preserve">Запланировано</x:t>
        </x:is>
      </x:c>
      <x:c r="R580" s="31" t="inlineStr">
        <x:is>
          <x:t xml:space="preserve">Нет</x:t>
        </x:is>
      </x:c>
      <x:c r="S580" s="31" t="inlineStr">
        <x:is>
          <x:t xml:space="preserve">Нет</x:t>
        </x:is>
      </x:c>
    </x:row>
    <x:row r="581">
      <x:c r="A581" s="31" t="inlineStr">
        <x:is>
          <x:t xml:space="preserve">ОП-000580</x:t>
        </x:is>
      </x:c>
      <x:c r="B581" s="31" t="inlineStr">
        <x:is>
          <x:t xml:space="preserve">ПЗ-00068</x:t>
        </x:is>
      </x:c>
      <x:c r="C581" s="31" t="inlineStr">
        <x:is>
          <x:t xml:space="preserve">ЗК-1038</x:t>
        </x:is>
      </x:c>
      <x:c r="D581" s="31" t="inlineStr">
        <x:is>
          <x:t xml:space="preserve">ПОЗ-0038-4</x:t>
        </x:is>
      </x:c>
      <x:c r="E581" s="31" t="inlineStr">
        <x:is>
          <x:t xml:space="preserve">ИЗД-045</x:t>
        </x:is>
      </x:c>
      <x:c r="F581" s="31" t="n">
        <x:v>60</x:v>
      </x:c>
      <x:c r="G581" s="31" t="inlineStr">
        <x:is>
          <x:t xml:space="preserve">Программирование ПЛК</x:t>
        </x:is>
      </x:c>
      <x:c r="H581" s="31" t="inlineStr">
        <x:is>
          <x:t xml:space="preserve">Инженерный отдел</x:t>
        </x:is>
      </x:c>
      <x:c r="I581" s="31" t="n"/>
      <x:c r="J581" s="31" t="inlineStr">
        <x:is>
          <x:t xml:space="preserve">СОТР-014</x:t>
        </x:is>
      </x:c>
      <x:c r="K581" s="31" t="n">
        <x:v>2.8</x:v>
      </x:c>
      <x:c r="L581" s="31" t="n"/>
      <x:c r="M581" s="31" t="n">
        <x:v>46111</x:v>
      </x:c>
      <x:c r="N581" s="31" t="n">
        <x:v>46112</x:v>
      </x:c>
      <x:c r="O581" s="31" t="n"/>
      <x:c r="P581" s="31" t="n"/>
      <x:c r="Q581" s="31" t="inlineStr">
        <x:is>
          <x:t xml:space="preserve">Запланировано</x:t>
        </x:is>
      </x:c>
      <x:c r="R581" s="31" t="inlineStr">
        <x:is>
          <x:t xml:space="preserve">Нет</x:t>
        </x:is>
      </x:c>
      <x:c r="S581" s="31" t="inlineStr">
        <x:is>
          <x:t xml:space="preserve">Нет</x:t>
        </x:is>
      </x:c>
    </x:row>
    <x:row r="582">
      <x:c r="A582" s="31" t="inlineStr">
        <x:is>
          <x:t xml:space="preserve">ОП-000581</x:t>
        </x:is>
      </x:c>
      <x:c r="B582" s="31" t="inlineStr">
        <x:is>
          <x:t xml:space="preserve">ПЗ-00068</x:t>
        </x:is>
      </x:c>
      <x:c r="C582" s="31" t="inlineStr">
        <x:is>
          <x:t xml:space="preserve">ЗК-1038</x:t>
        </x:is>
      </x:c>
      <x:c r="D582" s="31" t="inlineStr">
        <x:is>
          <x:t xml:space="preserve">ПОЗ-0038-4</x:t>
        </x:is>
      </x:c>
      <x:c r="E582" s="31" t="inlineStr">
        <x:is>
          <x:t xml:space="preserve">ИЗД-045</x:t>
        </x:is>
      </x:c>
      <x:c r="F582" s="31" t="n">
        <x:v>70</x:v>
      </x:c>
      <x:c r="G582" s="31" t="inlineStr">
        <x:is>
          <x:t xml:space="preserve">Приемочные испытания</x:t>
        </x:is>
      </x:c>
      <x:c r="H582" s="31" t="inlineStr">
        <x:is>
          <x:t xml:space="preserve">ОТК</x:t>
        </x:is>
      </x:c>
      <x:c r="I582" s="31" t="inlineStr">
        <x:is>
          <x:t xml:space="preserve">ОБ-007</x:t>
        </x:is>
      </x:c>
      <x:c r="J582" s="31" t="inlineStr">
        <x:is>
          <x:t xml:space="preserve">СОТР-093</x:t>
        </x:is>
      </x:c>
      <x:c r="K582" s="31" t="n">
        <x:v>2.9</x:v>
      </x:c>
      <x:c r="L582" s="31" t="n"/>
      <x:c r="M582" s="31" t="n">
        <x:v>46112</x:v>
      </x:c>
      <x:c r="N582" s="31" t="n">
        <x:v>46113</x:v>
      </x:c>
      <x:c r="O582" s="31" t="n"/>
      <x:c r="P582" s="31" t="n"/>
      <x:c r="Q582" s="31" t="inlineStr">
        <x:is>
          <x:t xml:space="preserve">Запланировано</x:t>
        </x:is>
      </x:c>
      <x:c r="R582" s="31" t="inlineStr">
        <x:is>
          <x:t xml:space="preserve">Нет</x:t>
        </x:is>
      </x:c>
      <x:c r="S582" s="31" t="inlineStr">
        <x:is>
          <x:t xml:space="preserve">Нет</x:t>
        </x:is>
      </x:c>
    </x:row>
    <x:row r="583">
      <x:c r="A583" s="31" t="inlineStr">
        <x:is>
          <x:t xml:space="preserve">ОП-000582</x:t>
        </x:is>
      </x:c>
      <x:c r="B583" s="31" t="inlineStr">
        <x:is>
          <x:t xml:space="preserve">ПЗ-00068</x:t>
        </x:is>
      </x:c>
      <x:c r="C583" s="31" t="inlineStr">
        <x:is>
          <x:t xml:space="preserve">ЗК-1038</x:t>
        </x:is>
      </x:c>
      <x:c r="D583" s="31" t="inlineStr">
        <x:is>
          <x:t xml:space="preserve">ПОЗ-0038-4</x:t>
        </x:is>
      </x:c>
      <x:c r="E583" s="31" t="inlineStr">
        <x:is>
          <x:t xml:space="preserve">ИЗД-045</x:t>
        </x:is>
      </x:c>
      <x:c r="F583" s="31" t="n">
        <x:v>80</x:v>
      </x:c>
      <x:c r="G583" s="31" t="inlineStr">
        <x:is>
          <x:t xml:space="preserve">ОТК</x:t>
        </x:is>
      </x:c>
      <x:c r="H583" s="31" t="inlineStr">
        <x:is>
          <x:t xml:space="preserve">ОТК</x:t>
        </x:is>
      </x:c>
      <x:c r="I583" s="31" t="inlineStr">
        <x:is>
          <x:t xml:space="preserve">ОБ-033</x:t>
        </x:is>
      </x:c>
      <x:c r="J583" s="31" t="inlineStr">
        <x:is>
          <x:t xml:space="preserve">СОТР-093</x:t>
        </x:is>
      </x:c>
      <x:c r="K583" s="31" t="n">
        <x:v>11.9</x:v>
      </x:c>
      <x:c r="L583" s="31" t="n"/>
      <x:c r="M583" s="31" t="n">
        <x:v>46113</x:v>
      </x:c>
      <x:c r="N583" s="31" t="n">
        <x:v>46114</x:v>
      </x:c>
      <x:c r="O583" s="31" t="n"/>
      <x:c r="P583" s="31" t="n"/>
      <x:c r="Q583" s="31" t="inlineStr">
        <x:is>
          <x:t xml:space="preserve">Запланировано</x:t>
        </x:is>
      </x:c>
      <x:c r="R583" s="31" t="inlineStr">
        <x:is>
          <x:t xml:space="preserve">Нет</x:t>
        </x:is>
      </x:c>
      <x:c r="S583" s="31" t="inlineStr">
        <x:is>
          <x:t xml:space="preserve">Да</x:t>
        </x:is>
      </x:c>
    </x:row>
    <x:row r="584">
      <x:c r="A584" s="31" t="inlineStr">
        <x:is>
          <x:t xml:space="preserve">ОП-000583</x:t>
        </x:is>
      </x:c>
      <x:c r="B584" s="31" t="inlineStr">
        <x:is>
          <x:t xml:space="preserve">ПЗ-00068</x:t>
        </x:is>
      </x:c>
      <x:c r="C584" s="31" t="inlineStr">
        <x:is>
          <x:t xml:space="preserve">ЗК-1038</x:t>
        </x:is>
      </x:c>
      <x:c r="D584" s="31" t="inlineStr">
        <x:is>
          <x:t xml:space="preserve">ПОЗ-0038-4</x:t>
        </x:is>
      </x:c>
      <x:c r="E584" s="31" t="inlineStr">
        <x:is>
          <x:t xml:space="preserve">ИЗД-045</x:t>
        </x:is>
      </x:c>
      <x:c r="F584" s="31" t="n">
        <x:v>90</x:v>
      </x:c>
      <x:c r="G584" s="31" t="inlineStr">
        <x:is>
          <x:t xml:space="preserve">Упаковка</x:t>
        </x:is>
      </x:c>
      <x:c r="H584" s="31" t="inlineStr">
        <x:is>
          <x:t xml:space="preserve">Логистика</x:t>
        </x:is>
      </x:c>
      <x:c r="I584" s="31" t="n"/>
      <x:c r="J584" s="31" t="inlineStr">
        <x:is>
          <x:t xml:space="preserve">СОТР-104</x:t>
        </x:is>
      </x:c>
      <x:c r="K584" s="31" t="n">
        <x:v>3</x:v>
      </x:c>
      <x:c r="L584" s="31" t="n"/>
      <x:c r="M584" s="31" t="n">
        <x:v>46114</x:v>
      </x:c>
      <x:c r="N584" s="31" t="n">
        <x:v>46115</x:v>
      </x:c>
      <x:c r="O584" s="31" t="n"/>
      <x:c r="P584" s="31" t="n"/>
      <x:c r="Q584" s="31" t="inlineStr">
        <x:is>
          <x:t xml:space="preserve">Запланировано</x:t>
        </x:is>
      </x:c>
      <x:c r="R584" s="31" t="inlineStr">
        <x:is>
          <x:t xml:space="preserve">Нет</x:t>
        </x:is>
      </x:c>
      <x:c r="S584" s="31" t="inlineStr">
        <x:is>
          <x:t xml:space="preserve">Да</x:t>
        </x:is>
      </x:c>
    </x:row>
    <x:row r="585">
      <x:c r="A585" s="31" t="inlineStr">
        <x:is>
          <x:t xml:space="preserve">ОП-000584</x:t>
        </x:is>
      </x:c>
      <x:c r="B585" s="31" t="inlineStr">
        <x:is>
          <x:t xml:space="preserve">ПЗ-00069</x:t>
        </x:is>
      </x:c>
      <x:c r="C585" s="31" t="inlineStr">
        <x:is>
          <x:t xml:space="preserve">ЗК-1040</x:t>
        </x:is>
      </x:c>
      <x:c r="D585" s="31" t="inlineStr">
        <x:is>
          <x:t xml:space="preserve">ПОЗ-0040-1</x:t>
        </x:is>
      </x:c>
      <x:c r="E585" s="31" t="inlineStr">
        <x:is>
          <x:t xml:space="preserve">ИЗД-024</x:t>
        </x:is>
      </x:c>
      <x:c r="F585" s="31" t="n">
        <x:v>10</x:v>
      </x:c>
      <x:c r="G585" s="31" t="inlineStr">
        <x:is>
          <x:t xml:space="preserve">КД</x:t>
        </x:is>
      </x:c>
      <x:c r="H585" s="31" t="inlineStr">
        <x:is>
          <x:t xml:space="preserve">Инженерный отдел</x:t>
        </x:is>
      </x:c>
      <x:c r="I585" s="31" t="n"/>
      <x:c r="J585" s="31" t="inlineStr">
        <x:is>
          <x:t xml:space="preserve">СОТР-020</x:t>
        </x:is>
      </x:c>
      <x:c r="K585" s="31" t="n">
        <x:v>21</x:v>
      </x:c>
      <x:c r="L585" s="31" t="n">
        <x:v>23.4</x:v>
      </x:c>
      <x:c r="M585" s="31" t="n">
        <x:v>46108</x:v>
      </x:c>
      <x:c r="N585" s="31" t="n">
        <x:v>46110</x:v>
      </x:c>
      <x:c r="O585" s="31" t="n">
        <x:v>46108</x:v>
      </x:c>
      <x:c r="P585" s="31" t="n">
        <x:v>46111</x:v>
      </x:c>
      <x:c r="Q585" s="31" t="inlineStr">
        <x:is>
          <x:t xml:space="preserve">Завершено</x:t>
        </x:is>
      </x:c>
      <x:c r="R585" s="31" t="inlineStr">
        <x:is>
          <x:t xml:space="preserve">Нет</x:t>
        </x:is>
      </x:c>
      <x:c r="S585" s="31" t="inlineStr">
        <x:is>
          <x:t xml:space="preserve">Да</x:t>
        </x:is>
      </x:c>
    </x:row>
    <x:row r="586">
      <x:c r="A586" s="31" t="inlineStr">
        <x:is>
          <x:t xml:space="preserve">ОП-000585</x:t>
        </x:is>
      </x:c>
      <x:c r="B586" s="31" t="inlineStr">
        <x:is>
          <x:t xml:space="preserve">ПЗ-00069</x:t>
        </x:is>
      </x:c>
      <x:c r="C586" s="31" t="inlineStr">
        <x:is>
          <x:t xml:space="preserve">ЗК-1040</x:t>
        </x:is>
      </x:c>
      <x:c r="D586" s="31" t="inlineStr">
        <x:is>
          <x:t xml:space="preserve">ПОЗ-0040-1</x:t>
        </x:is>
      </x:c>
      <x:c r="E586" s="31" t="inlineStr">
        <x:is>
          <x:t xml:space="preserve">ИЗД-024</x:t>
        </x:is>
      </x:c>
      <x:c r="F586" s="31" t="n">
        <x:v>20</x:v>
      </x:c>
      <x:c r="G586" s="31" t="inlineStr">
        <x:is>
          <x:t xml:space="preserve">Резерв материалов</x:t>
        </x:is>
      </x:c>
      <x:c r="H586" s="31" t="inlineStr">
        <x:is>
          <x:t xml:space="preserve">Склад</x:t>
        </x:is>
      </x:c>
      <x:c r="I586" s="31" t="inlineStr">
        <x:is>
          <x:t xml:space="preserve">ОБ-008</x:t>
        </x:is>
      </x:c>
      <x:c r="J586" s="31" t="inlineStr">
        <x:is>
          <x:t xml:space="preserve">СОТР-033</x:t>
        </x:is>
      </x:c>
      <x:c r="K586" s="31" t="n">
        <x:v>3.4</x:v>
      </x:c>
      <x:c r="L586" s="31" t="n">
        <x:v>3.8</x:v>
      </x:c>
      <x:c r="M586" s="31" t="n">
        <x:v>46110</x:v>
      </x:c>
      <x:c r="N586" s="31" t="n">
        <x:v>46111</x:v>
      </x:c>
      <x:c r="O586" s="31" t="n">
        <x:v>46110</x:v>
      </x:c>
      <x:c r="P586" s="31" t="n">
        <x:v>46113</x:v>
      </x:c>
      <x:c r="Q586" s="31" t="inlineStr">
        <x:is>
          <x:t xml:space="preserve">Завершено</x:t>
        </x:is>
      </x:c>
      <x:c r="R586" s="31" t="inlineStr">
        <x:is>
          <x:t xml:space="preserve">Нет</x:t>
        </x:is>
      </x:c>
      <x:c r="S586" s="31" t="inlineStr">
        <x:is>
          <x:t xml:space="preserve">Нет</x:t>
        </x:is>
      </x:c>
    </x:row>
    <x:row r="587">
      <x:c r="A587" s="31" t="inlineStr">
        <x:is>
          <x:t xml:space="preserve">ОП-000586</x:t>
        </x:is>
      </x:c>
      <x:c r="B587" s="31" t="inlineStr">
        <x:is>
          <x:t xml:space="preserve">ПЗ-00069</x:t>
        </x:is>
      </x:c>
      <x:c r="C587" s="31" t="inlineStr">
        <x:is>
          <x:t xml:space="preserve">ЗК-1040</x:t>
        </x:is>
      </x:c>
      <x:c r="D587" s="31" t="inlineStr">
        <x:is>
          <x:t xml:space="preserve">ПОЗ-0040-1</x:t>
        </x:is>
      </x:c>
      <x:c r="E587" s="31" t="inlineStr">
        <x:is>
          <x:t xml:space="preserve">ИЗД-024</x:t>
        </x:is>
      </x:c>
      <x:c r="F587" s="31" t="n">
        <x:v>30</x:v>
      </x:c>
      <x:c r="G587" s="31" t="inlineStr">
        <x:is>
          <x:t xml:space="preserve">Сварка рамы</x:t>
        </x:is>
      </x:c>
      <x:c r="H587" s="31" t="inlineStr">
        <x:is>
          <x:t xml:space="preserve">Сварка</x:t>
        </x:is>
      </x:c>
      <x:c r="I587" s="31" t="inlineStr">
        <x:is>
          <x:t xml:space="preserve">ОБ-021</x:t>
        </x:is>
      </x:c>
      <x:c r="J587" s="31" t="inlineStr">
        <x:is>
          <x:t xml:space="preserve">СОТР-072</x:t>
        </x:is>
      </x:c>
      <x:c r="K587" s="31" t="n">
        <x:v>5.8</x:v>
      </x:c>
      <x:c r="L587" s="31" t="n">
        <x:v>6.2</x:v>
      </x:c>
      <x:c r="M587" s="31" t="n">
        <x:v>46111</x:v>
      </x:c>
      <x:c r="N587" s="31" t="n">
        <x:v>46112</x:v>
      </x:c>
      <x:c r="O587" s="31" t="n">
        <x:v>46111</x:v>
      </x:c>
      <x:c r="P587" s="31" t="n">
        <x:v>46112</x:v>
      </x:c>
      <x:c r="Q587" s="31" t="inlineStr">
        <x:is>
          <x:t xml:space="preserve">Завершено</x:t>
        </x:is>
      </x:c>
      <x:c r="R587" s="31" t="inlineStr">
        <x:is>
          <x:t xml:space="preserve">Нет</x:t>
        </x:is>
      </x:c>
      <x:c r="S587" s="31" t="inlineStr">
        <x:is>
          <x:t xml:space="preserve">Нет</x:t>
        </x:is>
      </x:c>
    </x:row>
    <x:row r="588">
      <x:c r="A588" s="31" t="inlineStr">
        <x:is>
          <x:t xml:space="preserve">ОП-000587</x:t>
        </x:is>
      </x:c>
      <x:c r="B588" s="31" t="inlineStr">
        <x:is>
          <x:t xml:space="preserve">ПЗ-00069</x:t>
        </x:is>
      </x:c>
      <x:c r="C588" s="31" t="inlineStr">
        <x:is>
          <x:t xml:space="preserve">ЗК-1040</x:t>
        </x:is>
      </x:c>
      <x:c r="D588" s="31" t="inlineStr">
        <x:is>
          <x:t xml:space="preserve">ПОЗ-0040-1</x:t>
        </x:is>
      </x:c>
      <x:c r="E588" s="31" t="inlineStr">
        <x:is>
          <x:t xml:space="preserve">ИЗД-024</x:t>
        </x:is>
      </x:c>
      <x:c r="F588" s="31" t="n">
        <x:v>40</x:v>
      </x:c>
      <x:c r="G588" s="31" t="inlineStr">
        <x:is>
          <x:t xml:space="preserve">Сборка</x:t>
        </x:is>
      </x:c>
      <x:c r="H588" s="31" t="inlineStr">
        <x:is>
          <x:t xml:space="preserve">Сборка</x:t>
        </x:is>
      </x:c>
      <x:c r="I588" s="31" t="inlineStr">
        <x:is>
          <x:t xml:space="preserve">ОБ-005</x:t>
        </x:is>
      </x:c>
      <x:c r="J588" s="31" t="inlineStr">
        <x:is>
          <x:t xml:space="preserve">СОТР-074</x:t>
        </x:is>
      </x:c>
      <x:c r="K588" s="31" t="n">
        <x:v>4.2</x:v>
      </x:c>
      <x:c r="L588" s="31" t="n"/>
      <x:c r="M588" s="31" t="n">
        <x:v>46112</x:v>
      </x:c>
      <x:c r="N588" s="31" t="n">
        <x:v>46113</x:v>
      </x:c>
      <x:c r="O588" s="31" t="n">
        <x:v>46112</x:v>
      </x:c>
      <x:c r="P588" s="31" t="n"/>
      <x:c r="Q588" s="31" t="inlineStr">
        <x:is>
          <x:t xml:space="preserve">В работе</x:t>
        </x:is>
      </x:c>
      <x:c r="R588" s="31" t="inlineStr">
        <x:is>
          <x:t xml:space="preserve">Нет</x:t>
        </x:is>
      </x:c>
      <x:c r="S588" s="31" t="inlineStr">
        <x:is>
          <x:t xml:space="preserve">Нет</x:t>
        </x:is>
      </x:c>
    </x:row>
    <x:row r="589">
      <x:c r="A589" s="31" t="inlineStr">
        <x:is>
          <x:t xml:space="preserve">ОП-000588</x:t>
        </x:is>
      </x:c>
      <x:c r="B589" s="31" t="inlineStr">
        <x:is>
          <x:t xml:space="preserve">ПЗ-00069</x:t>
        </x:is>
      </x:c>
      <x:c r="C589" s="31" t="inlineStr">
        <x:is>
          <x:t xml:space="preserve">ЗК-1040</x:t>
        </x:is>
      </x:c>
      <x:c r="D589" s="31" t="inlineStr">
        <x:is>
          <x:t xml:space="preserve">ПОЗ-0040-1</x:t>
        </x:is>
      </x:c>
      <x:c r="E589" s="31" t="inlineStr">
        <x:is>
          <x:t xml:space="preserve">ИЗД-024</x:t>
        </x:is>
      </x:c>
      <x:c r="F589" s="31" t="n">
        <x:v>50</x:v>
      </x:c>
      <x:c r="G589" s="31" t="inlineStr">
        <x:is>
          <x:t xml:space="preserve">Обвязка труб</x:t>
        </x:is>
      </x:c>
      <x:c r="H589" s="31" t="inlineStr">
        <x:is>
          <x:t xml:space="preserve">Сборка</x:t>
        </x:is>
      </x:c>
      <x:c r="I589" s="31" t="inlineStr">
        <x:is>
          <x:t xml:space="preserve">ОБ-034</x:t>
        </x:is>
      </x:c>
      <x:c r="J589" s="31" t="inlineStr">
        <x:is>
          <x:t xml:space="preserve">СОТР-091</x:t>
        </x:is>
      </x:c>
      <x:c r="K589" s="31" t="n">
        <x:v>19.4</x:v>
      </x:c>
      <x:c r="L589" s="31" t="n"/>
      <x:c r="M589" s="31" t="n">
        <x:v>46113</x:v>
      </x:c>
      <x:c r="N589" s="31" t="n">
        <x:v>46115</x:v>
      </x:c>
      <x:c r="O589" s="31" t="n"/>
      <x:c r="P589" s="31" t="n"/>
      <x:c r="Q589" s="31" t="inlineStr">
        <x:is>
          <x:t xml:space="preserve">Запланировано</x:t>
        </x:is>
      </x:c>
      <x:c r="R589" s="31" t="inlineStr">
        <x:is>
          <x:t xml:space="preserve">Оборудование</x:t>
        </x:is>
      </x:c>
      <x:c r="S589" s="31" t="inlineStr">
        <x:is>
          <x:t xml:space="preserve">Нет</x:t>
        </x:is>
      </x:c>
    </x:row>
    <x:row r="590">
      <x:c r="A590" s="31" t="inlineStr">
        <x:is>
          <x:t xml:space="preserve">ОП-000589</x:t>
        </x:is>
      </x:c>
      <x:c r="B590" s="31" t="inlineStr">
        <x:is>
          <x:t xml:space="preserve">ПЗ-00069</x:t>
        </x:is>
      </x:c>
      <x:c r="C590" s="31" t="inlineStr">
        <x:is>
          <x:t xml:space="preserve">ЗК-1040</x:t>
        </x:is>
      </x:c>
      <x:c r="D590" s="31" t="inlineStr">
        <x:is>
          <x:t xml:space="preserve">ПОЗ-0040-1</x:t>
        </x:is>
      </x:c>
      <x:c r="E590" s="31" t="inlineStr">
        <x:is>
          <x:t xml:space="preserve">ИЗД-024</x:t>
        </x:is>
      </x:c>
      <x:c r="F590" s="31" t="n">
        <x:v>60</x:v>
      </x:c>
      <x:c r="G590" s="31" t="inlineStr">
        <x:is>
          <x:t xml:space="preserve">Электромонтаж</x:t>
        </x:is>
      </x:c>
      <x:c r="H590" s="31" t="inlineStr">
        <x:is>
          <x:t xml:space="preserve">Сборка</x:t>
        </x:is>
      </x:c>
      <x:c r="I590" s="31" t="inlineStr">
        <x:is>
          <x:t xml:space="preserve">ОБ-014</x:t>
        </x:is>
      </x:c>
      <x:c r="J590" s="31" t="inlineStr">
        <x:is>
          <x:t xml:space="preserve">СОТР-091</x:t>
        </x:is>
      </x:c>
      <x:c r="K590" s="31" t="n">
        <x:v>7.2</x:v>
      </x:c>
      <x:c r="L590" s="31" t="n"/>
      <x:c r="M590" s="31" t="n">
        <x:v>46115</x:v>
      </x:c>
      <x:c r="N590" s="31" t="n">
        <x:v>46116</x:v>
      </x:c>
      <x:c r="O590" s="31" t="n"/>
      <x:c r="P590" s="31" t="n"/>
      <x:c r="Q590" s="31" t="inlineStr">
        <x:is>
          <x:t xml:space="preserve">Запланировано</x:t>
        </x:is>
      </x:c>
      <x:c r="R590" s="31" t="inlineStr">
        <x:is>
          <x:t xml:space="preserve">Нет</x:t>
        </x:is>
      </x:c>
      <x:c r="S590" s="31" t="inlineStr">
        <x:is>
          <x:t xml:space="preserve">Да</x:t>
        </x:is>
      </x:c>
    </x:row>
    <x:row r="591">
      <x:c r="A591" s="31" t="inlineStr">
        <x:is>
          <x:t xml:space="preserve">ОП-000590</x:t>
        </x:is>
      </x:c>
      <x:c r="B591" s="31" t="inlineStr">
        <x:is>
          <x:t xml:space="preserve">ПЗ-00069</x:t>
        </x:is>
      </x:c>
      <x:c r="C591" s="31" t="inlineStr">
        <x:is>
          <x:t xml:space="preserve">ЗК-1040</x:t>
        </x:is>
      </x:c>
      <x:c r="D591" s="31" t="inlineStr">
        <x:is>
          <x:t xml:space="preserve">ПОЗ-0040-1</x:t>
        </x:is>
      </x:c>
      <x:c r="E591" s="31" t="inlineStr">
        <x:is>
          <x:t xml:space="preserve">ИЗД-024</x:t>
        </x:is>
      </x:c>
      <x:c r="F591" s="31" t="n">
        <x:v>70</x:v>
      </x:c>
      <x:c r="G591" s="31" t="inlineStr">
        <x:is>
          <x:t xml:space="preserve">Гидроиспытания</x:t>
        </x:is>
      </x:c>
      <x:c r="H591" s="31" t="inlineStr">
        <x:is>
          <x:t xml:space="preserve">ОТК</x:t>
        </x:is>
      </x:c>
      <x:c r="I591" s="31" t="inlineStr">
        <x:is>
          <x:t xml:space="preserve">ОБ-022</x:t>
        </x:is>
      </x:c>
      <x:c r="J591" s="31" t="inlineStr">
        <x:is>
          <x:t xml:space="preserve">СОТР-063</x:t>
        </x:is>
      </x:c>
      <x:c r="K591" s="31" t="n">
        <x:v>10.4</x:v>
      </x:c>
      <x:c r="L591" s="31" t="n"/>
      <x:c r="M591" s="31" t="n">
        <x:v>46116</x:v>
      </x:c>
      <x:c r="N591" s="31" t="n">
        <x:v>46117</x:v>
      </x:c>
      <x:c r="O591" s="31" t="n"/>
      <x:c r="P591" s="31" t="n"/>
      <x:c r="Q591" s="31" t="inlineStr">
        <x:is>
          <x:t xml:space="preserve">Запланировано</x:t>
        </x:is>
      </x:c>
      <x:c r="R591" s="31" t="inlineStr">
        <x:is>
          <x:t xml:space="preserve">Нет</x:t>
        </x:is>
      </x:c>
      <x:c r="S591" s="31" t="inlineStr">
        <x:is>
          <x:t xml:space="preserve">Да</x:t>
        </x:is>
      </x:c>
    </x:row>
    <x:row r="592">
      <x:c r="A592" s="31" t="inlineStr">
        <x:is>
          <x:t xml:space="preserve">ОП-000591</x:t>
        </x:is>
      </x:c>
      <x:c r="B592" s="31" t="inlineStr">
        <x:is>
          <x:t xml:space="preserve">ПЗ-00069</x:t>
        </x:is>
      </x:c>
      <x:c r="C592" s="31" t="inlineStr">
        <x:is>
          <x:t xml:space="preserve">ЗК-1040</x:t>
        </x:is>
      </x:c>
      <x:c r="D592" s="31" t="inlineStr">
        <x:is>
          <x:t xml:space="preserve">ПОЗ-0040-1</x:t>
        </x:is>
      </x:c>
      <x:c r="E592" s="31" t="inlineStr">
        <x:is>
          <x:t xml:space="preserve">ИЗД-024</x:t>
        </x:is>
      </x:c>
      <x:c r="F592" s="31" t="n">
        <x:v>80</x:v>
      </x:c>
      <x:c r="G592" s="31" t="inlineStr">
        <x:is>
          <x:t xml:space="preserve">ОТК</x:t>
        </x:is>
      </x:c>
      <x:c r="H592" s="31" t="inlineStr">
        <x:is>
          <x:t xml:space="preserve">ОТК</x:t>
        </x:is>
      </x:c>
      <x:c r="I592" s="31" t="inlineStr">
        <x:is>
          <x:t xml:space="preserve">ОБ-024</x:t>
        </x:is>
      </x:c>
      <x:c r="J592" s="31" t="inlineStr">
        <x:is>
          <x:t xml:space="preserve">СОТР-093</x:t>
        </x:is>
      </x:c>
      <x:c r="K592" s="31" t="n">
        <x:v>11.4</x:v>
      </x:c>
      <x:c r="L592" s="31" t="n"/>
      <x:c r="M592" s="31" t="n">
        <x:v>46117</x:v>
      </x:c>
      <x:c r="N592" s="31" t="n">
        <x:v>46118</x:v>
      </x:c>
      <x:c r="O592" s="31" t="n"/>
      <x:c r="P592" s="31" t="n"/>
      <x:c r="Q592" s="31" t="inlineStr">
        <x:is>
          <x:t xml:space="preserve">Запланировано</x:t>
        </x:is>
      </x:c>
      <x:c r="R592" s="31" t="inlineStr">
        <x:is>
          <x:t xml:space="preserve">Нет</x:t>
        </x:is>
      </x:c>
      <x:c r="S592" s="31" t="inlineStr">
        <x:is>
          <x:t xml:space="preserve">Нет</x:t>
        </x:is>
      </x:c>
    </x:row>
    <x:row r="593">
      <x:c r="A593" s="31" t="inlineStr">
        <x:is>
          <x:t xml:space="preserve">ОП-000592</x:t>
        </x:is>
      </x:c>
      <x:c r="B593" s="31" t="inlineStr">
        <x:is>
          <x:t xml:space="preserve">ПЗ-00069</x:t>
        </x:is>
      </x:c>
      <x:c r="C593" s="31" t="inlineStr">
        <x:is>
          <x:t xml:space="preserve">ЗК-1040</x:t>
        </x:is>
      </x:c>
      <x:c r="D593" s="31" t="inlineStr">
        <x:is>
          <x:t xml:space="preserve">ПОЗ-0040-1</x:t>
        </x:is>
      </x:c>
      <x:c r="E593" s="31" t="inlineStr">
        <x:is>
          <x:t xml:space="preserve">ИЗД-024</x:t>
        </x:is>
      </x:c>
      <x:c r="F593" s="31" t="n">
        <x:v>90</x:v>
      </x:c>
      <x:c r="G593" s="31" t="inlineStr">
        <x:is>
          <x:t xml:space="preserve">Упаковка</x:t>
        </x:is>
      </x:c>
      <x:c r="H593" s="31" t="inlineStr">
        <x:is>
          <x:t xml:space="preserve">Логистика</x:t>
        </x:is>
      </x:c>
      <x:c r="I593" s="31" t="n"/>
      <x:c r="J593" s="31" t="inlineStr">
        <x:is>
          <x:t xml:space="preserve">СОТР-070</x:t>
        </x:is>
      </x:c>
      <x:c r="K593" s="31" t="n">
        <x:v>17.2</x:v>
      </x:c>
      <x:c r="L593" s="31" t="n"/>
      <x:c r="M593" s="31" t="n">
        <x:v>46118</x:v>
      </x:c>
      <x:c r="N593" s="31" t="n">
        <x:v>46120</x:v>
      </x:c>
      <x:c r="O593" s="31" t="n"/>
      <x:c r="P593" s="31" t="n"/>
      <x:c r="Q593" s="31" t="inlineStr">
        <x:is>
          <x:t xml:space="preserve">Запланировано</x:t>
        </x:is>
      </x:c>
      <x:c r="R593" s="31" t="inlineStr">
        <x:is>
          <x:t xml:space="preserve">Нет</x:t>
        </x:is>
      </x:c>
      <x:c r="S593" s="31" t="inlineStr">
        <x:is>
          <x:t xml:space="preserve">Нет</x:t>
        </x:is>
      </x:c>
    </x:row>
    <x:row r="594">
      <x:c r="A594" s="31" t="inlineStr">
        <x:is>
          <x:t xml:space="preserve">ОП-000593</x:t>
        </x:is>
      </x:c>
      <x:c r="B594" s="31" t="inlineStr">
        <x:is>
          <x:t xml:space="preserve">ПЗ-00070</x:t>
        </x:is>
      </x:c>
      <x:c r="C594" s="31" t="inlineStr">
        <x:is>
          <x:t xml:space="preserve">ЗК-1040</x:t>
        </x:is>
      </x:c>
      <x:c r="D594" s="31" t="inlineStr">
        <x:is>
          <x:t xml:space="preserve">ПОЗ-0040-2</x:t>
        </x:is>
      </x:c>
      <x:c r="E594" s="31" t="inlineStr">
        <x:is>
          <x:t xml:space="preserve">ИЗД-036</x:t>
        </x:is>
      </x:c>
      <x:c r="F594" s="31" t="n">
        <x:v>10</x:v>
      </x:c>
      <x:c r="G594" s="31" t="inlineStr">
        <x:is>
          <x:t xml:space="preserve">КД</x:t>
        </x:is>
      </x:c>
      <x:c r="H594" s="31" t="inlineStr">
        <x:is>
          <x:t xml:space="preserve">Инженерный отдел</x:t>
        </x:is>
      </x:c>
      <x:c r="I594" s="31" t="n"/>
      <x:c r="J594" s="31" t="inlineStr">
        <x:is>
          <x:t xml:space="preserve">СОТР-015</x:t>
        </x:is>
      </x:c>
      <x:c r="K594" s="31" t="n">
        <x:v>22.5</x:v>
      </x:c>
      <x:c r="L594" s="31" t="n">
        <x:v>29.4</x:v>
      </x:c>
      <x:c r="M594" s="31" t="n">
        <x:v>46125</x:v>
      </x:c>
      <x:c r="N594" s="31" t="n">
        <x:v>46127</x:v>
      </x:c>
      <x:c r="O594" s="31" t="n">
        <x:v>46125</x:v>
      </x:c>
      <x:c r="P594" s="31" t="n">
        <x:v>46127</x:v>
      </x:c>
      <x:c r="Q594" s="31" t="inlineStr">
        <x:is>
          <x:t xml:space="preserve">Завершено</x:t>
        </x:is>
      </x:c>
      <x:c r="R594" s="31" t="inlineStr">
        <x:is>
          <x:t xml:space="preserve">Материал</x:t>
        </x:is>
      </x:c>
      <x:c r="S594" s="31" t="inlineStr">
        <x:is>
          <x:t xml:space="preserve">Нет</x:t>
        </x:is>
      </x:c>
    </x:row>
    <x:row r="595">
      <x:c r="A595" s="31" t="inlineStr">
        <x:is>
          <x:t xml:space="preserve">ОП-000594</x:t>
        </x:is>
      </x:c>
      <x:c r="B595" s="31" t="inlineStr">
        <x:is>
          <x:t xml:space="preserve">ПЗ-00070</x:t>
        </x:is>
      </x:c>
      <x:c r="C595" s="31" t="inlineStr">
        <x:is>
          <x:t xml:space="preserve">ЗК-1040</x:t>
        </x:is>
      </x:c>
      <x:c r="D595" s="31" t="inlineStr">
        <x:is>
          <x:t xml:space="preserve">ПОЗ-0040-2</x:t>
        </x:is>
      </x:c>
      <x:c r="E595" s="31" t="inlineStr">
        <x:is>
          <x:t xml:space="preserve">ИЗД-036</x:t>
        </x:is>
      </x:c>
      <x:c r="F595" s="31" t="n">
        <x:v>20</x:v>
      </x:c>
      <x:c r="G595" s="31" t="inlineStr">
        <x:is>
          <x:t xml:space="preserve">Комплектация</x:t>
        </x:is>
      </x:c>
      <x:c r="H595" s="31" t="inlineStr">
        <x:is>
          <x:t xml:space="preserve">Склад</x:t>
        </x:is>
      </x:c>
      <x:c r="I595" s="31" t="inlineStr">
        <x:is>
          <x:t xml:space="preserve">ОБ-008</x:t>
        </x:is>
      </x:c>
      <x:c r="J595" s="31" t="inlineStr">
        <x:is>
          <x:t xml:space="preserve">СОТР-033</x:t>
        </x:is>
      </x:c>
      <x:c r="K595" s="31" t="n">
        <x:v>26.1</x:v>
      </x:c>
      <x:c r="L595" s="31" t="n">
        <x:v>34.9</x:v>
      </x:c>
      <x:c r="M595" s="31" t="n">
        <x:v>46127</x:v>
      </x:c>
      <x:c r="N595" s="31" t="n">
        <x:v>46130</x:v>
      </x:c>
      <x:c r="O595" s="31" t="n">
        <x:v>46127</x:v>
      </x:c>
      <x:c r="P595" s="31" t="n">
        <x:v>46132</x:v>
      </x:c>
      <x:c r="Q595" s="31" t="inlineStr">
        <x:is>
          <x:t xml:space="preserve">Завершено</x:t>
        </x:is>
      </x:c>
      <x:c r="R595" s="31" t="inlineStr">
        <x:is>
          <x:t xml:space="preserve">Ожидание ОТК</x:t>
        </x:is>
      </x:c>
      <x:c r="S595" s="31" t="inlineStr">
        <x:is>
          <x:t xml:space="preserve">Нет</x:t>
        </x:is>
      </x:c>
    </x:row>
    <x:row r="596">
      <x:c r="A596" s="31" t="inlineStr">
        <x:is>
          <x:t xml:space="preserve">ОП-000595</x:t>
        </x:is>
      </x:c>
      <x:c r="B596" s="31" t="inlineStr">
        <x:is>
          <x:t xml:space="preserve">ПЗ-00070</x:t>
        </x:is>
      </x:c>
      <x:c r="C596" s="31" t="inlineStr">
        <x:is>
          <x:t xml:space="preserve">ЗК-1040</x:t>
        </x:is>
      </x:c>
      <x:c r="D596" s="31" t="inlineStr">
        <x:is>
          <x:t xml:space="preserve">ПОЗ-0040-2</x:t>
        </x:is>
      </x:c>
      <x:c r="E596" s="31" t="inlineStr">
        <x:is>
          <x:t xml:space="preserve">ИЗД-036</x:t>
        </x:is>
      </x:c>
      <x:c r="F596" s="31" t="n">
        <x:v>30</x:v>
      </x:c>
      <x:c r="G596" s="31" t="inlineStr">
        <x:is>
          <x:t xml:space="preserve">Сборка шкафа</x:t>
        </x:is>
      </x:c>
      <x:c r="H596" s="31" t="inlineStr">
        <x:is>
          <x:t xml:space="preserve">Сборка</x:t>
        </x:is>
      </x:c>
      <x:c r="I596" s="31" t="inlineStr">
        <x:is>
          <x:t xml:space="preserve">ОБ-014</x:t>
        </x:is>
      </x:c>
      <x:c r="J596" s="31" t="inlineStr">
        <x:is>
          <x:t xml:space="preserve">СОТР-079</x:t>
        </x:is>
      </x:c>
      <x:c r="K596" s="31" t="n">
        <x:v>12</x:v>
      </x:c>
      <x:c r="L596" s="31" t="n">
        <x:v>14</x:v>
      </x:c>
      <x:c r="M596" s="31" t="n">
        <x:v>46130</x:v>
      </x:c>
      <x:c r="N596" s="31" t="n">
        <x:v>46131</x:v>
      </x:c>
      <x:c r="O596" s="31" t="n">
        <x:v>46130</x:v>
      </x:c>
      <x:c r="P596" s="31" t="n">
        <x:v>46130</x:v>
      </x:c>
      <x:c r="Q596" s="31" t="inlineStr">
        <x:is>
          <x:t xml:space="preserve">Завершено</x:t>
        </x:is>
      </x:c>
      <x:c r="R596" s="31" t="inlineStr">
        <x:is>
          <x:t xml:space="preserve">Нет</x:t>
        </x:is>
      </x:c>
      <x:c r="S596" s="31" t="inlineStr">
        <x:is>
          <x:t xml:space="preserve">Нет</x:t>
        </x:is>
      </x:c>
    </x:row>
    <x:row r="597">
      <x:c r="A597" s="31" t="inlineStr">
        <x:is>
          <x:t xml:space="preserve">ОП-000596</x:t>
        </x:is>
      </x:c>
      <x:c r="B597" s="31" t="inlineStr">
        <x:is>
          <x:t xml:space="preserve">ПЗ-00070</x:t>
        </x:is>
      </x:c>
      <x:c r="C597" s="31" t="inlineStr">
        <x:is>
          <x:t xml:space="preserve">ЗК-1040</x:t>
        </x:is>
      </x:c>
      <x:c r="D597" s="31" t="inlineStr">
        <x:is>
          <x:t xml:space="preserve">ПОЗ-0040-2</x:t>
        </x:is>
      </x:c>
      <x:c r="E597" s="31" t="inlineStr">
        <x:is>
          <x:t xml:space="preserve">ИЗД-036</x:t>
        </x:is>
      </x:c>
      <x:c r="F597" s="31" t="n">
        <x:v>40</x:v>
      </x:c>
      <x:c r="G597" s="31" t="inlineStr">
        <x:is>
          <x:t xml:space="preserve">Маркировка</x:t>
        </x:is>
      </x:c>
      <x:c r="H597" s="31" t="inlineStr">
        <x:is>
          <x:t xml:space="preserve">Сборка</x:t>
        </x:is>
      </x:c>
      <x:c r="I597" s="31" t="inlineStr">
        <x:is>
          <x:t xml:space="preserve">ОБ-005</x:t>
        </x:is>
      </x:c>
      <x:c r="J597" s="31" t="inlineStr">
        <x:is>
          <x:t xml:space="preserve">СОТР-077</x:t>
        </x:is>
      </x:c>
      <x:c r="K597" s="31" t="n">
        <x:v>22.5</x:v>
      </x:c>
      <x:c r="L597" s="31" t="n">
        <x:v>25.8</x:v>
      </x:c>
      <x:c r="M597" s="31" t="n">
        <x:v>46131</x:v>
      </x:c>
      <x:c r="N597" s="31" t="n">
        <x:v>46133</x:v>
      </x:c>
      <x:c r="O597" s="31" t="n">
        <x:v>46131</x:v>
      </x:c>
      <x:c r="P597" s="31" t="n">
        <x:v>46132</x:v>
      </x:c>
      <x:c r="Q597" s="31" t="inlineStr">
        <x:is>
          <x:t xml:space="preserve">Завершено</x:t>
        </x:is>
      </x:c>
      <x:c r="R597" s="31" t="inlineStr">
        <x:is>
          <x:t xml:space="preserve">Ожидание ОТК</x:t>
        </x:is>
      </x:c>
      <x:c r="S597" s="31" t="inlineStr">
        <x:is>
          <x:t xml:space="preserve">Нет</x:t>
        </x:is>
      </x:c>
    </x:row>
    <x:row r="598">
      <x:c r="A598" s="31" t="inlineStr">
        <x:is>
          <x:t xml:space="preserve">ОП-000597</x:t>
        </x:is>
      </x:c>
      <x:c r="B598" s="31" t="inlineStr">
        <x:is>
          <x:t xml:space="preserve">ПЗ-00070</x:t>
        </x:is>
      </x:c>
      <x:c r="C598" s="31" t="inlineStr">
        <x:is>
          <x:t xml:space="preserve">ЗК-1040</x:t>
        </x:is>
      </x:c>
      <x:c r="D598" s="31" t="inlineStr">
        <x:is>
          <x:t xml:space="preserve">ПОЗ-0040-2</x:t>
        </x:is>
      </x:c>
      <x:c r="E598" s="31" t="inlineStr">
        <x:is>
          <x:t xml:space="preserve">ИЗД-036</x:t>
        </x:is>
      </x:c>
      <x:c r="F598" s="31" t="n">
        <x:v>50</x:v>
      </x:c>
      <x:c r="G598" s="31" t="inlineStr">
        <x:is>
          <x:t xml:space="preserve">Электромонтаж</x:t>
        </x:is>
      </x:c>
      <x:c r="H598" s="31" t="inlineStr">
        <x:is>
          <x:t xml:space="preserve">Сборка</x:t>
        </x:is>
      </x:c>
      <x:c r="I598" s="31" t="inlineStr">
        <x:is>
          <x:t xml:space="preserve">ОБ-017</x:t>
        </x:is>
      </x:c>
      <x:c r="J598" s="31" t="inlineStr">
        <x:is>
          <x:t xml:space="preserve">СОТР-077</x:t>
        </x:is>
      </x:c>
      <x:c r="K598" s="31" t="n">
        <x:v>13.8</x:v>
      </x:c>
      <x:c r="L598" s="31" t="n">
        <x:v>17.5</x:v>
      </x:c>
      <x:c r="M598" s="31" t="n">
        <x:v>46133</x:v>
      </x:c>
      <x:c r="N598" s="31" t="n">
        <x:v>46135</x:v>
      </x:c>
      <x:c r="O598" s="31" t="n">
        <x:v>46133</x:v>
      </x:c>
      <x:c r="P598" s="31" t="n">
        <x:v>46135</x:v>
      </x:c>
      <x:c r="Q598" s="31" t="inlineStr">
        <x:is>
          <x:t xml:space="preserve">Завершено</x:t>
        </x:is>
      </x:c>
      <x:c r="R598" s="31" t="inlineStr">
        <x:is>
          <x:t xml:space="preserve">Нет</x:t>
        </x:is>
      </x:c>
      <x:c r="S598" s="31" t="inlineStr">
        <x:is>
          <x:t xml:space="preserve">Нет</x:t>
        </x:is>
      </x:c>
    </x:row>
    <x:row r="599">
      <x:c r="A599" s="31" t="inlineStr">
        <x:is>
          <x:t xml:space="preserve">ОП-000598</x:t>
        </x:is>
      </x:c>
      <x:c r="B599" s="31" t="inlineStr">
        <x:is>
          <x:t xml:space="preserve">ПЗ-00070</x:t>
        </x:is>
      </x:c>
      <x:c r="C599" s="31" t="inlineStr">
        <x:is>
          <x:t xml:space="preserve">ЗК-1040</x:t>
        </x:is>
      </x:c>
      <x:c r="D599" s="31" t="inlineStr">
        <x:is>
          <x:t xml:space="preserve">ПОЗ-0040-2</x:t>
        </x:is>
      </x:c>
      <x:c r="E599" s="31" t="inlineStr">
        <x:is>
          <x:t xml:space="preserve">ИЗД-036</x:t>
        </x:is>
      </x:c>
      <x:c r="F599" s="31" t="n">
        <x:v>60</x:v>
      </x:c>
      <x:c r="G599" s="31" t="inlineStr">
        <x:is>
          <x:t xml:space="preserve">Программирование ПЛК</x:t>
        </x:is>
      </x:c>
      <x:c r="H599" s="31" t="inlineStr">
        <x:is>
          <x:t xml:space="preserve">Инженерный отдел</x:t>
        </x:is>
      </x:c>
      <x:c r="I599" s="31" t="n"/>
      <x:c r="J599" s="31" t="inlineStr">
        <x:is>
          <x:t xml:space="preserve">СОТР-016</x:t>
        </x:is>
      </x:c>
      <x:c r="K599" s="31" t="n">
        <x:v>53.7</x:v>
      </x:c>
      <x:c r="L599" s="31" t="n">
        <x:v>50.2</x:v>
      </x:c>
      <x:c r="M599" s="31" t="n">
        <x:v>46135</x:v>
      </x:c>
      <x:c r="N599" s="31" t="n">
        <x:v>46140</x:v>
      </x:c>
      <x:c r="O599" s="31" t="n">
        <x:v>46135</x:v>
      </x:c>
      <x:c r="P599" s="31" t="n">
        <x:v>46139</x:v>
      </x:c>
      <x:c r="Q599" s="31" t="inlineStr">
        <x:is>
          <x:t xml:space="preserve">Завершено</x:t>
        </x:is>
      </x:c>
      <x:c r="R599" s="31" t="inlineStr">
        <x:is>
          <x:t xml:space="preserve">Нет</x:t>
        </x:is>
      </x:c>
      <x:c r="S599" s="31" t="inlineStr">
        <x:is>
          <x:t xml:space="preserve">Нет</x:t>
        </x:is>
      </x:c>
    </x:row>
    <x:row r="600">
      <x:c r="A600" s="31" t="inlineStr">
        <x:is>
          <x:t xml:space="preserve">ОП-000599</x:t>
        </x:is>
      </x:c>
      <x:c r="B600" s="31" t="inlineStr">
        <x:is>
          <x:t xml:space="preserve">ПЗ-00070</x:t>
        </x:is>
      </x:c>
      <x:c r="C600" s="31" t="inlineStr">
        <x:is>
          <x:t xml:space="preserve">ЗК-1040</x:t>
        </x:is>
      </x:c>
      <x:c r="D600" s="31" t="inlineStr">
        <x:is>
          <x:t xml:space="preserve">ПОЗ-0040-2</x:t>
        </x:is>
      </x:c>
      <x:c r="E600" s="31" t="inlineStr">
        <x:is>
          <x:t xml:space="preserve">ИЗД-036</x:t>
        </x:is>
      </x:c>
      <x:c r="F600" s="31" t="n">
        <x:v>70</x:v>
      </x:c>
      <x:c r="G600" s="31" t="inlineStr">
        <x:is>
          <x:t xml:space="preserve">Приемочные испытания</x:t>
        </x:is>
      </x:c>
      <x:c r="H600" s="31" t="inlineStr">
        <x:is>
          <x:t xml:space="preserve">ОТК</x:t>
        </x:is>
      </x:c>
      <x:c r="I600" s="31" t="inlineStr">
        <x:is>
          <x:t xml:space="preserve">ОБ-033</x:t>
        </x:is>
      </x:c>
      <x:c r="J600" s="31" t="inlineStr">
        <x:is>
          <x:t xml:space="preserve">СОТР-093</x:t>
        </x:is>
      </x:c>
      <x:c r="K600" s="31" t="n">
        <x:v>49.5</x:v>
      </x:c>
      <x:c r="L600" s="31" t="n">
        <x:v>51</x:v>
      </x:c>
      <x:c r="M600" s="31" t="n">
        <x:v>46140</x:v>
      </x:c>
      <x:c r="N600" s="31" t="n">
        <x:v>46145</x:v>
      </x:c>
      <x:c r="O600" s="31" t="n">
        <x:v>46140</x:v>
      </x:c>
      <x:c r="P600" s="31" t="n">
        <x:v>46144</x:v>
      </x:c>
      <x:c r="Q600" s="31" t="inlineStr">
        <x:is>
          <x:t xml:space="preserve">Завершено</x:t>
        </x:is>
      </x:c>
      <x:c r="R600" s="31" t="inlineStr">
        <x:is>
          <x:t xml:space="preserve">Материал</x:t>
        </x:is>
      </x:c>
      <x:c r="S600" s="31" t="inlineStr">
        <x:is>
          <x:t xml:space="preserve">Нет</x:t>
        </x:is>
      </x:c>
    </x:row>
    <x:row r="601">
      <x:c r="A601" s="31" t="inlineStr">
        <x:is>
          <x:t xml:space="preserve">ОП-000600</x:t>
        </x:is>
      </x:c>
      <x:c r="B601" s="31" t="inlineStr">
        <x:is>
          <x:t xml:space="preserve">ПЗ-00070</x:t>
        </x:is>
      </x:c>
      <x:c r="C601" s="31" t="inlineStr">
        <x:is>
          <x:t xml:space="preserve">ЗК-1040</x:t>
        </x:is>
      </x:c>
      <x:c r="D601" s="31" t="inlineStr">
        <x:is>
          <x:t xml:space="preserve">ПОЗ-0040-2</x:t>
        </x:is>
      </x:c>
      <x:c r="E601" s="31" t="inlineStr">
        <x:is>
          <x:t xml:space="preserve">ИЗД-036</x:t>
        </x:is>
      </x:c>
      <x:c r="F601" s="31" t="n">
        <x:v>80</x:v>
      </x:c>
      <x:c r="G601" s="31" t="inlineStr">
        <x:is>
          <x:t xml:space="preserve">ОТК</x:t>
        </x:is>
      </x:c>
      <x:c r="H601" s="31" t="inlineStr">
        <x:is>
          <x:t xml:space="preserve">ОТК</x:t>
        </x:is>
      </x:c>
      <x:c r="I601" s="31" t="inlineStr">
        <x:is>
          <x:t xml:space="preserve">ОБ-006</x:t>
        </x:is>
      </x:c>
      <x:c r="J601" s="31" t="inlineStr">
        <x:is>
          <x:t xml:space="preserve">СОТР-063</x:t>
        </x:is>
      </x:c>
      <x:c r="K601" s="31" t="n">
        <x:v>51.3</x:v>
      </x:c>
      <x:c r="L601" s="31" t="n"/>
      <x:c r="M601" s="31" t="n">
        <x:v>46145</x:v>
      </x:c>
      <x:c r="N601" s="31" t="n">
        <x:v>46150</x:v>
      </x:c>
      <x:c r="O601" s="31" t="n"/>
      <x:c r="P601" s="31" t="n"/>
      <x:c r="Q601" s="31" t="inlineStr">
        <x:is>
          <x:t xml:space="preserve">Запланировано</x:t>
        </x:is>
      </x:c>
      <x:c r="R601" s="31" t="inlineStr">
        <x:is>
          <x:t xml:space="preserve">Нет</x:t>
        </x:is>
      </x:c>
      <x:c r="S601" s="31" t="inlineStr">
        <x:is>
          <x:t xml:space="preserve">Нет</x:t>
        </x:is>
      </x:c>
    </x:row>
    <x:row r="602">
      <x:c r="A602" s="31" t="inlineStr">
        <x:is>
          <x:t xml:space="preserve">ОП-000601</x:t>
        </x:is>
      </x:c>
      <x:c r="B602" s="31" t="inlineStr">
        <x:is>
          <x:t xml:space="preserve">ПЗ-00070</x:t>
        </x:is>
      </x:c>
      <x:c r="C602" s="31" t="inlineStr">
        <x:is>
          <x:t xml:space="preserve">ЗК-1040</x:t>
        </x:is>
      </x:c>
      <x:c r="D602" s="31" t="inlineStr">
        <x:is>
          <x:t xml:space="preserve">ПОЗ-0040-2</x:t>
        </x:is>
      </x:c>
      <x:c r="E602" s="31" t="inlineStr">
        <x:is>
          <x:t xml:space="preserve">ИЗД-036</x:t>
        </x:is>
      </x:c>
      <x:c r="F602" s="31" t="n">
        <x:v>90</x:v>
      </x:c>
      <x:c r="G602" s="31" t="inlineStr">
        <x:is>
          <x:t xml:space="preserve">Упаковка</x:t>
        </x:is>
      </x:c>
      <x:c r="H602" s="31" t="inlineStr">
        <x:is>
          <x:t xml:space="preserve">Логистика</x:t>
        </x:is>
      </x:c>
      <x:c r="I602" s="31" t="n"/>
      <x:c r="J602" s="31" t="inlineStr">
        <x:is>
          <x:t xml:space="preserve">СОТР-104</x:t>
        </x:is>
      </x:c>
      <x:c r="K602" s="31" t="n">
        <x:v>9.6</x:v>
      </x:c>
      <x:c r="L602" s="31" t="n"/>
      <x:c r="M602" s="31" t="n">
        <x:v>46150</x:v>
      </x:c>
      <x:c r="N602" s="31" t="n">
        <x:v>46151</x:v>
      </x:c>
      <x:c r="O602" s="31" t="n"/>
      <x:c r="P602" s="31" t="n"/>
      <x:c r="Q602" s="31" t="inlineStr">
        <x:is>
          <x:t xml:space="preserve">Запланировано</x:t>
        </x:is>
      </x:c>
      <x:c r="R602" s="31" t="inlineStr">
        <x:is>
          <x:t xml:space="preserve">Оборудование</x:t>
        </x:is>
      </x:c>
      <x:c r="S602" s="31" t="inlineStr">
        <x:is>
          <x:t xml:space="preserve">Нет</x:t>
        </x:is>
      </x:c>
    </x:row>
    <x:row r="603">
      <x:c r="A603" s="31" t="inlineStr">
        <x:is>
          <x:t xml:space="preserve">ОП-000602</x:t>
        </x:is>
      </x:c>
      <x:c r="B603" s="31" t="inlineStr">
        <x:is>
          <x:t xml:space="preserve">ПЗ-00071</x:t>
        </x:is>
      </x:c>
      <x:c r="C603" s="31" t="inlineStr">
        <x:is>
          <x:t xml:space="preserve">ЗК-1040</x:t>
        </x:is>
      </x:c>
      <x:c r="D603" s="31" t="inlineStr">
        <x:is>
          <x:t xml:space="preserve">ПОЗ-0040-3</x:t>
        </x:is>
      </x:c>
      <x:c r="E603" s="31" t="inlineStr">
        <x:is>
          <x:t xml:space="preserve">ИЗД-019</x:t>
        </x:is>
      </x:c>
      <x:c r="F603" s="31" t="n">
        <x:v>10</x:v>
      </x:c>
      <x:c r="G603" s="31" t="inlineStr">
        <x:is>
          <x:t xml:space="preserve">КД</x:t>
        </x:is>
      </x:c>
      <x:c r="H603" s="31" t="inlineStr">
        <x:is>
          <x:t xml:space="preserve">Инженерный отдел</x:t>
        </x:is>
      </x:c>
      <x:c r="I603" s="31" t="n"/>
      <x:c r="J603" s="31" t="inlineStr">
        <x:is>
          <x:t xml:space="preserve">СОТР-012</x:t>
        </x:is>
      </x:c>
      <x:c r="K603" s="31" t="n">
        <x:v>25.2</x:v>
      </x:c>
      <x:c r="L603" s="31" t="n">
        <x:v>26.7</x:v>
      </x:c>
      <x:c r="M603" s="31" t="n">
        <x:v>46122</x:v>
      </x:c>
      <x:c r="N603" s="31" t="n">
        <x:v>46125</x:v>
      </x:c>
      <x:c r="O603" s="31" t="n">
        <x:v>46122</x:v>
      </x:c>
      <x:c r="P603" s="31" t="n">
        <x:v>46124</x:v>
      </x:c>
      <x:c r="Q603" s="31" t="inlineStr">
        <x:is>
          <x:t xml:space="preserve">Завершено</x:t>
        </x:is>
      </x:c>
      <x:c r="R603" s="31" t="inlineStr">
        <x:is>
          <x:t xml:space="preserve">Нет</x:t>
        </x:is>
      </x:c>
      <x:c r="S603" s="31" t="inlineStr">
        <x:is>
          <x:t xml:space="preserve">Нет</x:t>
        </x:is>
      </x:c>
    </x:row>
    <x:row r="604">
      <x:c r="A604" s="31" t="inlineStr">
        <x:is>
          <x:t xml:space="preserve">ОП-000603</x:t>
        </x:is>
      </x:c>
      <x:c r="B604" s="31" t="inlineStr">
        <x:is>
          <x:t xml:space="preserve">ПЗ-00071</x:t>
        </x:is>
      </x:c>
      <x:c r="C604" s="31" t="inlineStr">
        <x:is>
          <x:t xml:space="preserve">ЗК-1040</x:t>
        </x:is>
      </x:c>
      <x:c r="D604" s="31" t="inlineStr">
        <x:is>
          <x:t xml:space="preserve">ПОЗ-0040-3</x:t>
        </x:is>
      </x:c>
      <x:c r="E604" s="31" t="inlineStr">
        <x:is>
          <x:t xml:space="preserve">ИЗД-019</x:t>
        </x:is>
      </x:c>
      <x:c r="F604" s="31" t="n">
        <x:v>20</x:v>
      </x:c>
      <x:c r="G604" s="31" t="inlineStr">
        <x:is>
          <x:t xml:space="preserve">Резерв материалов</x:t>
        </x:is>
      </x:c>
      <x:c r="H604" s="31" t="inlineStr">
        <x:is>
          <x:t xml:space="preserve">Склад</x:t>
        </x:is>
      </x:c>
      <x:c r="I604" s="31" t="inlineStr">
        <x:is>
          <x:t xml:space="preserve">ОБ-009</x:t>
        </x:is>
      </x:c>
      <x:c r="J604" s="31" t="inlineStr">
        <x:is>
          <x:t xml:space="preserve">СОТР-035</x:t>
        </x:is>
      </x:c>
      <x:c r="K604" s="31" t="n">
        <x:v>15</x:v>
      </x:c>
      <x:c r="L604" s="31" t="n">
        <x:v>19.8</x:v>
      </x:c>
      <x:c r="M604" s="31" t="n">
        <x:v>46125</x:v>
      </x:c>
      <x:c r="N604" s="31" t="n">
        <x:v>46127</x:v>
      </x:c>
      <x:c r="O604" s="31" t="n">
        <x:v>46125</x:v>
      </x:c>
      <x:c r="P604" s="31" t="n">
        <x:v>46126</x:v>
      </x:c>
      <x:c r="Q604" s="31" t="inlineStr">
        <x:is>
          <x:t xml:space="preserve">Завершено</x:t>
        </x:is>
      </x:c>
      <x:c r="R604" s="31" t="inlineStr">
        <x:is>
          <x:t xml:space="preserve">Нет</x:t>
        </x:is>
      </x:c>
      <x:c r="S604" s="31" t="inlineStr">
        <x:is>
          <x:t xml:space="preserve">Нет</x:t>
        </x:is>
      </x:c>
    </x:row>
    <x:row r="605">
      <x:c r="A605" s="31" t="inlineStr">
        <x:is>
          <x:t xml:space="preserve">ОП-000604</x:t>
        </x:is>
      </x:c>
      <x:c r="B605" s="31" t="inlineStr">
        <x:is>
          <x:t xml:space="preserve">ПЗ-00071</x:t>
        </x:is>
      </x:c>
      <x:c r="C605" s="31" t="inlineStr">
        <x:is>
          <x:t xml:space="preserve">ЗК-1040</x:t>
        </x:is>
      </x:c>
      <x:c r="D605" s="31" t="inlineStr">
        <x:is>
          <x:t xml:space="preserve">ПОЗ-0040-3</x:t>
        </x:is>
      </x:c>
      <x:c r="E605" s="31" t="inlineStr">
        <x:is>
          <x:t xml:space="preserve">ИЗД-019</x:t>
        </x:is>
      </x:c>
      <x:c r="F605" s="31" t="n">
        <x:v>30</x:v>
      </x:c>
      <x:c r="G605" s="31" t="inlineStr">
        <x:is>
          <x:t xml:space="preserve">Резка металла</x:t>
        </x:is>
      </x:c>
      <x:c r="H605" s="31" t="inlineStr">
        <x:is>
          <x:t xml:space="preserve">Сварка</x:t>
        </x:is>
      </x:c>
      <x:c r="I605" s="31" t="inlineStr">
        <x:is>
          <x:t xml:space="preserve">ОБ-004</x:t>
        </x:is>
      </x:c>
      <x:c r="J605" s="31" t="inlineStr">
        <x:is>
          <x:t xml:space="preserve">СОТР-071</x:t>
        </x:is>
      </x:c>
      <x:c r="K605" s="31" t="n">
        <x:v>8.699999999999999</x:v>
      </x:c>
      <x:c r="L605" s="31" t="n">
        <x:v>7.3</x:v>
      </x:c>
      <x:c r="M605" s="31" t="n">
        <x:v>46127</x:v>
      </x:c>
      <x:c r="N605" s="31" t="n">
        <x:v>46128</x:v>
      </x:c>
      <x:c r="O605" s="31" t="n">
        <x:v>46127</x:v>
      </x:c>
      <x:c r="P605" s="31" t="n">
        <x:v>46129</x:v>
      </x:c>
      <x:c r="Q605" s="31" t="inlineStr">
        <x:is>
          <x:t xml:space="preserve">Завершено</x:t>
        </x:is>
      </x:c>
      <x:c r="R605" s="31" t="inlineStr">
        <x:is>
          <x:t xml:space="preserve">Нет</x:t>
        </x:is>
      </x:c>
      <x:c r="S605" s="31" t="inlineStr">
        <x:is>
          <x:t xml:space="preserve">Нет</x:t>
        </x:is>
      </x:c>
    </x:row>
    <x:row r="606">
      <x:c r="A606" s="31" t="inlineStr">
        <x:is>
          <x:t xml:space="preserve">ОП-000605</x:t>
        </x:is>
      </x:c>
      <x:c r="B606" s="31" t="inlineStr">
        <x:is>
          <x:t xml:space="preserve">ПЗ-00071</x:t>
        </x:is>
      </x:c>
      <x:c r="C606" s="31" t="inlineStr">
        <x:is>
          <x:t xml:space="preserve">ЗК-1040</x:t>
        </x:is>
      </x:c>
      <x:c r="D606" s="31" t="inlineStr">
        <x:is>
          <x:t xml:space="preserve">ПОЗ-0040-3</x:t>
        </x:is>
      </x:c>
      <x:c r="E606" s="31" t="inlineStr">
        <x:is>
          <x:t xml:space="preserve">ИЗД-019</x:t>
        </x:is>
      </x:c>
      <x:c r="F606" s="31" t="n">
        <x:v>40</x:v>
      </x:c>
      <x:c r="G606" s="31" t="inlineStr">
        <x:is>
          <x:t xml:space="preserve">Сварка рамы</x:t>
        </x:is>
      </x:c>
      <x:c r="H606" s="31" t="inlineStr">
        <x:is>
          <x:t xml:space="preserve">Сварка</x:t>
        </x:is>
      </x:c>
      <x:c r="I606" s="31" t="inlineStr">
        <x:is>
          <x:t xml:space="preserve">ОБ-003</x:t>
        </x:is>
      </x:c>
      <x:c r="J606" s="31" t="inlineStr">
        <x:is>
          <x:t xml:space="preserve">СОТР-057</x:t>
        </x:is>
      </x:c>
      <x:c r="K606" s="31" t="n">
        <x:v>9.6</x:v>
      </x:c>
      <x:c r="L606" s="31" t="n">
        <x:v>12.6</x:v>
      </x:c>
      <x:c r="M606" s="31" t="n">
        <x:v>46128</x:v>
      </x:c>
      <x:c r="N606" s="31" t="n">
        <x:v>46129</x:v>
      </x:c>
      <x:c r="O606" s="31" t="n">
        <x:v>46128</x:v>
      </x:c>
      <x:c r="P606" s="31" t="n">
        <x:v>46129</x:v>
      </x:c>
      <x:c r="Q606" s="31" t="inlineStr">
        <x:is>
          <x:t xml:space="preserve">Завершено</x:t>
        </x:is>
      </x:c>
      <x:c r="R606" s="31" t="inlineStr">
        <x:is>
          <x:t xml:space="preserve">Нет</x:t>
        </x:is>
      </x:c>
      <x:c r="S606" s="31" t="inlineStr">
        <x:is>
          <x:t xml:space="preserve">Нет</x:t>
        </x:is>
      </x:c>
    </x:row>
    <x:row r="607">
      <x:c r="A607" s="31" t="inlineStr">
        <x:is>
          <x:t xml:space="preserve">ОП-000606</x:t>
        </x:is>
      </x:c>
      <x:c r="B607" s="31" t="inlineStr">
        <x:is>
          <x:t xml:space="preserve">ПЗ-00071</x:t>
        </x:is>
      </x:c>
      <x:c r="C607" s="31" t="inlineStr">
        <x:is>
          <x:t xml:space="preserve">ЗК-1040</x:t>
        </x:is>
      </x:c>
      <x:c r="D607" s="31" t="inlineStr">
        <x:is>
          <x:t xml:space="preserve">ПОЗ-0040-3</x:t>
        </x:is>
      </x:c>
      <x:c r="E607" s="31" t="inlineStr">
        <x:is>
          <x:t xml:space="preserve">ИЗД-019</x:t>
        </x:is>
      </x:c>
      <x:c r="F607" s="31" t="n">
        <x:v>50</x:v>
      </x:c>
      <x:c r="G607" s="31" t="inlineStr">
        <x:is>
          <x:t xml:space="preserve">Механообработка</x:t>
        </x:is>
      </x:c>
      <x:c r="H607" s="31" t="inlineStr">
        <x:is>
          <x:t xml:space="preserve">Механообработка</x:t>
        </x:is>
      </x:c>
      <x:c r="I607" s="31" t="inlineStr">
        <x:is>
          <x:t xml:space="preserve">ОБ-031</x:t>
        </x:is>
      </x:c>
      <x:c r="J607" s="31" t="inlineStr">
        <x:is>
          <x:t xml:space="preserve">СОТР-050</x:t>
        </x:is>
      </x:c>
      <x:c r="K607" s="31" t="n">
        <x:v>11.1</x:v>
      </x:c>
      <x:c r="L607" s="31" t="n"/>
      <x:c r="M607" s="31" t="n">
        <x:v>46129</x:v>
      </x:c>
      <x:c r="N607" s="31" t="n">
        <x:v>46130</x:v>
      </x:c>
      <x:c r="O607" s="31" t="n"/>
      <x:c r="P607" s="31" t="n"/>
      <x:c r="Q607" s="31" t="inlineStr">
        <x:is>
          <x:t xml:space="preserve">Запланировано</x:t>
        </x:is>
      </x:c>
      <x:c r="R607" s="31" t="inlineStr">
        <x:is>
          <x:t xml:space="preserve">Нет</x:t>
        </x:is>
      </x:c>
      <x:c r="S607" s="31" t="inlineStr">
        <x:is>
          <x:t xml:space="preserve">Да</x:t>
        </x:is>
      </x:c>
    </x:row>
    <x:row r="608">
      <x:c r="A608" s="31" t="inlineStr">
        <x:is>
          <x:t xml:space="preserve">ОП-000607</x:t>
        </x:is>
      </x:c>
      <x:c r="B608" s="31" t="inlineStr">
        <x:is>
          <x:t xml:space="preserve">ПЗ-00071</x:t>
        </x:is>
      </x:c>
      <x:c r="C608" s="31" t="inlineStr">
        <x:is>
          <x:t xml:space="preserve">ЗК-1040</x:t>
        </x:is>
      </x:c>
      <x:c r="D608" s="31" t="inlineStr">
        <x:is>
          <x:t xml:space="preserve">ПОЗ-0040-3</x:t>
        </x:is>
      </x:c>
      <x:c r="E608" s="31" t="inlineStr">
        <x:is>
          <x:t xml:space="preserve">ИЗД-019</x:t>
        </x:is>
      </x:c>
      <x:c r="F608" s="31" t="n">
        <x:v>60</x:v>
      </x:c>
      <x:c r="G608" s="31" t="inlineStr">
        <x:is>
          <x:t xml:space="preserve">Сборка</x:t>
        </x:is>
      </x:c>
      <x:c r="H608" s="31" t="inlineStr">
        <x:is>
          <x:t xml:space="preserve">Сборка</x:t>
        </x:is>
      </x:c>
      <x:c r="I608" s="31" t="inlineStr">
        <x:is>
          <x:t xml:space="preserve">ОБ-017</x:t>
        </x:is>
      </x:c>
      <x:c r="J608" s="31" t="inlineStr">
        <x:is>
          <x:t xml:space="preserve">СОТР-086</x:t>
        </x:is>
      </x:c>
      <x:c r="K608" s="31" t="n">
        <x:v>6.3</x:v>
      </x:c>
      <x:c r="L608" s="31" t="n">
        <x:v>8.300000000000001</x:v>
      </x:c>
      <x:c r="M608" s="31" t="n">
        <x:v>46130</x:v>
      </x:c>
      <x:c r="N608" s="31" t="n">
        <x:v>46131</x:v>
      </x:c>
      <x:c r="O608" s="31" t="n">
        <x:v>46130</x:v>
      </x:c>
      <x:c r="P608" s="31" t="n">
        <x:v>46133</x:v>
      </x:c>
      <x:c r="Q608" s="31" t="inlineStr">
        <x:is>
          <x:t xml:space="preserve">Завершено</x:t>
        </x:is>
      </x:c>
      <x:c r="R608" s="31" t="inlineStr">
        <x:is>
          <x:t xml:space="preserve">Материал</x:t>
        </x:is>
      </x:c>
      <x:c r="S608" s="31" t="inlineStr">
        <x:is>
          <x:t xml:space="preserve">Нет</x:t>
        </x:is>
      </x:c>
    </x:row>
    <x:row r="609">
      <x:c r="A609" s="31" t="inlineStr">
        <x:is>
          <x:t xml:space="preserve">ОП-000608</x:t>
        </x:is>
      </x:c>
      <x:c r="B609" s="31" t="inlineStr">
        <x:is>
          <x:t xml:space="preserve">ПЗ-00071</x:t>
        </x:is>
      </x:c>
      <x:c r="C609" s="31" t="inlineStr">
        <x:is>
          <x:t xml:space="preserve">ЗК-1040</x:t>
        </x:is>
      </x:c>
      <x:c r="D609" s="31" t="inlineStr">
        <x:is>
          <x:t xml:space="preserve">ПОЗ-0040-3</x:t>
        </x:is>
      </x:c>
      <x:c r="E609" s="31" t="inlineStr">
        <x:is>
          <x:t xml:space="preserve">ИЗД-019</x:t>
        </x:is>
      </x:c>
      <x:c r="F609" s="31" t="n">
        <x:v>70</x:v>
      </x:c>
      <x:c r="G609" s="31" t="inlineStr">
        <x:is>
          <x:t xml:space="preserve">Электромонтаж</x:t>
        </x:is>
      </x:c>
      <x:c r="H609" s="31" t="inlineStr">
        <x:is>
          <x:t xml:space="preserve">Сборка</x:t>
        </x:is>
      </x:c>
      <x:c r="I609" s="31" t="inlineStr">
        <x:is>
          <x:t xml:space="preserve">ОБ-027</x:t>
        </x:is>
      </x:c>
      <x:c r="J609" s="31" t="inlineStr">
        <x:is>
          <x:t xml:space="preserve">СОТР-086</x:t>
        </x:is>
      </x:c>
      <x:c r="K609" s="31" t="n">
        <x:v>13.2</x:v>
      </x:c>
      <x:c r="L609" s="31" t="n"/>
      <x:c r="M609" s="31" t="n">
        <x:v>46131</x:v>
      </x:c>
      <x:c r="N609" s="31" t="n">
        <x:v>46133</x:v>
      </x:c>
      <x:c r="O609" s="31" t="n"/>
      <x:c r="P609" s="31" t="n"/>
      <x:c r="Q609" s="31" t="inlineStr">
        <x:is>
          <x:t xml:space="preserve">Запланировано</x:t>
        </x:is>
      </x:c>
      <x:c r="R609" s="31" t="inlineStr">
        <x:is>
          <x:t xml:space="preserve">Оборудование</x:t>
        </x:is>
      </x:c>
      <x:c r="S609" s="31" t="inlineStr">
        <x:is>
          <x:t xml:space="preserve">Нет</x:t>
        </x:is>
      </x:c>
    </x:row>
    <x:row r="610">
      <x:c r="A610" s="31" t="inlineStr">
        <x:is>
          <x:t xml:space="preserve">ОП-000609</x:t>
        </x:is>
      </x:c>
      <x:c r="B610" s="31" t="inlineStr">
        <x:is>
          <x:t xml:space="preserve">ПЗ-00071</x:t>
        </x:is>
      </x:c>
      <x:c r="C610" s="31" t="inlineStr">
        <x:is>
          <x:t xml:space="preserve">ЗК-1040</x:t>
        </x:is>
      </x:c>
      <x:c r="D610" s="31" t="inlineStr">
        <x:is>
          <x:t xml:space="preserve">ПОЗ-0040-3</x:t>
        </x:is>
      </x:c>
      <x:c r="E610" s="31" t="inlineStr">
        <x:is>
          <x:t xml:space="preserve">ИЗД-019</x:t>
        </x:is>
      </x:c>
      <x:c r="F610" s="31" t="n">
        <x:v>80</x:v>
      </x:c>
      <x:c r="G610" s="31" t="inlineStr">
        <x:is>
          <x:t xml:space="preserve">Гидроиспытания</x:t>
        </x:is>
      </x:c>
      <x:c r="H610" s="31" t="inlineStr">
        <x:is>
          <x:t xml:space="preserve">ОТК</x:t>
        </x:is>
      </x:c>
      <x:c r="I610" s="31" t="inlineStr">
        <x:is>
          <x:t xml:space="preserve">ОБ-028</x:t>
        </x:is>
      </x:c>
      <x:c r="J610" s="31" t="inlineStr">
        <x:is>
          <x:t xml:space="preserve">СОТР-098</x:t>
        </x:is>
      </x:c>
      <x:c r="K610" s="31" t="n">
        <x:v>13.2</x:v>
      </x:c>
      <x:c r="L610" s="31" t="n">
        <x:v>13.2</x:v>
      </x:c>
      <x:c r="M610" s="31" t="n">
        <x:v>46133</x:v>
      </x:c>
      <x:c r="N610" s="31" t="n">
        <x:v>46135</x:v>
      </x:c>
      <x:c r="O610" s="31" t="n">
        <x:v>46133</x:v>
      </x:c>
      <x:c r="P610" s="31" t="n">
        <x:v>46136</x:v>
      </x:c>
      <x:c r="Q610" s="31" t="inlineStr">
        <x:is>
          <x:t xml:space="preserve">Завершено</x:t>
        </x:is>
      </x:c>
      <x:c r="R610" s="31" t="inlineStr">
        <x:is>
          <x:t xml:space="preserve">Нет</x:t>
        </x:is>
      </x:c>
      <x:c r="S610" s="31" t="inlineStr">
        <x:is>
          <x:t xml:space="preserve">Нет</x:t>
        </x:is>
      </x:c>
    </x:row>
    <x:row r="611">
      <x:c r="A611" s="31" t="inlineStr">
        <x:is>
          <x:t xml:space="preserve">ОП-000610</x:t>
        </x:is>
      </x:c>
      <x:c r="B611" s="31" t="inlineStr">
        <x:is>
          <x:t xml:space="preserve">ПЗ-00071</x:t>
        </x:is>
      </x:c>
      <x:c r="C611" s="31" t="inlineStr">
        <x:is>
          <x:t xml:space="preserve">ЗК-1040</x:t>
        </x:is>
      </x:c>
      <x:c r="D611" s="31" t="inlineStr">
        <x:is>
          <x:t xml:space="preserve">ПОЗ-0040-3</x:t>
        </x:is>
      </x:c>
      <x:c r="E611" s="31" t="inlineStr">
        <x:is>
          <x:t xml:space="preserve">ИЗД-019</x:t>
        </x:is>
      </x:c>
      <x:c r="F611" s="31" t="n">
        <x:v>90</x:v>
      </x:c>
      <x:c r="G611" s="31" t="inlineStr">
        <x:is>
          <x:t xml:space="preserve">ОТК</x:t>
        </x:is>
      </x:c>
      <x:c r="H611" s="31" t="inlineStr">
        <x:is>
          <x:t xml:space="preserve">ОТК</x:t>
        </x:is>
      </x:c>
      <x:c r="I611" s="31" t="inlineStr">
        <x:is>
          <x:t xml:space="preserve">ОБ-024</x:t>
        </x:is>
      </x:c>
      <x:c r="J611" s="31" t="inlineStr">
        <x:is>
          <x:t xml:space="preserve">СОТР-096</x:t>
        </x:is>
      </x:c>
      <x:c r="K611" s="31" t="n">
        <x:v>9.9</x:v>
      </x:c>
      <x:c r="L611" s="31" t="n"/>
      <x:c r="M611" s="31" t="n">
        <x:v>46135</x:v>
      </x:c>
      <x:c r="N611" s="31" t="n">
        <x:v>46136</x:v>
      </x:c>
      <x:c r="O611" s="31" t="n"/>
      <x:c r="P611" s="31" t="n"/>
      <x:c r="Q611" s="31" t="inlineStr">
        <x:is>
          <x:t xml:space="preserve">Запланировано</x:t>
        </x:is>
      </x:c>
      <x:c r="R611" s="31" t="inlineStr">
        <x:is>
          <x:t xml:space="preserve">Нет</x:t>
        </x:is>
      </x:c>
      <x:c r="S611" s="31" t="inlineStr">
        <x:is>
          <x:t xml:space="preserve">Нет</x:t>
        </x:is>
      </x:c>
    </x:row>
    <x:row r="612">
      <x:c r="A612" s="31" t="inlineStr">
        <x:is>
          <x:t xml:space="preserve">ОП-000611</x:t>
        </x:is>
      </x:c>
      <x:c r="B612" s="31" t="inlineStr">
        <x:is>
          <x:t xml:space="preserve">ПЗ-00071</x:t>
        </x:is>
      </x:c>
      <x:c r="C612" s="31" t="inlineStr">
        <x:is>
          <x:t xml:space="preserve">ЗК-1040</x:t>
        </x:is>
      </x:c>
      <x:c r="D612" s="31" t="inlineStr">
        <x:is>
          <x:t xml:space="preserve">ПОЗ-0040-3</x:t>
        </x:is>
      </x:c>
      <x:c r="E612" s="31" t="inlineStr">
        <x:is>
          <x:t xml:space="preserve">ИЗД-019</x:t>
        </x:is>
      </x:c>
      <x:c r="F612" s="31" t="n">
        <x:v>100</x:v>
      </x:c>
      <x:c r="G612" s="31" t="inlineStr">
        <x:is>
          <x:t xml:space="preserve">Упаковка</x:t>
        </x:is>
      </x:c>
      <x:c r="H612" s="31" t="inlineStr">
        <x:is>
          <x:t xml:space="preserve">Логистика</x:t>
        </x:is>
      </x:c>
      <x:c r="I612" s="31" t="n"/>
      <x:c r="J612" s="31" t="inlineStr">
        <x:is>
          <x:t xml:space="preserve">СОТР-103</x:t>
        </x:is>
      </x:c>
      <x:c r="K612" s="31" t="n">
        <x:v>14.1</x:v>
      </x:c>
      <x:c r="L612" s="31" t="n"/>
      <x:c r="M612" s="31" t="n">
        <x:v>46136</x:v>
      </x:c>
      <x:c r="N612" s="31" t="n">
        <x:v>46138</x:v>
      </x:c>
      <x:c r="O612" s="31" t="n"/>
      <x:c r="P612" s="31" t="n"/>
      <x:c r="Q612" s="31" t="inlineStr">
        <x:is>
          <x:t xml:space="preserve">Запланировано</x:t>
        </x:is>
      </x:c>
      <x:c r="R612" s="31" t="inlineStr">
        <x:is>
          <x:t xml:space="preserve">Нет</x:t>
        </x:is>
      </x:c>
      <x:c r="S612" s="31" t="inlineStr">
        <x:is>
          <x:t xml:space="preserve">Нет</x:t>
        </x:is>
      </x:c>
    </x:row>
    <x:row r="613">
      <x:c r="A613" s="31" t="inlineStr">
        <x:is>
          <x:t xml:space="preserve">ОП-000612</x:t>
        </x:is>
      </x:c>
      <x:c r="B613" s="31" t="inlineStr">
        <x:is>
          <x:t xml:space="preserve">ПЗ-00072</x:t>
        </x:is>
      </x:c>
      <x:c r="C613" s="31" t="inlineStr">
        <x:is>
          <x:t xml:space="preserve">ЗК-1041</x:t>
        </x:is>
      </x:c>
      <x:c r="D613" s="31" t="inlineStr">
        <x:is>
          <x:t xml:space="preserve">ПОЗ-0041-1</x:t>
        </x:is>
      </x:c>
      <x:c r="E613" s="31" t="inlineStr">
        <x:is>
          <x:t xml:space="preserve">ИЗД-014</x:t>
        </x:is>
      </x:c>
      <x:c r="F613" s="31" t="n">
        <x:v>10</x:v>
      </x:c>
      <x:c r="G613" s="31" t="inlineStr">
        <x:is>
          <x:t xml:space="preserve">КД</x:t>
        </x:is>
      </x:c>
      <x:c r="H613" s="31" t="inlineStr">
        <x:is>
          <x:t xml:space="preserve">Инженерный отдел</x:t>
        </x:is>
      </x:c>
      <x:c r="I613" s="31" t="n"/>
      <x:c r="J613" s="31" t="inlineStr">
        <x:is>
          <x:t xml:space="preserve">СОТР-013</x:t>
        </x:is>
      </x:c>
      <x:c r="K613" s="31" t="n">
        <x:v>22.2</x:v>
      </x:c>
      <x:c r="L613" s="31" t="n">
        <x:v>23.1</x:v>
      </x:c>
      <x:c r="M613" s="31" t="n">
        <x:v>46045</x:v>
      </x:c>
      <x:c r="N613" s="31" t="n">
        <x:v>46047</x:v>
      </x:c>
      <x:c r="O613" s="31" t="n">
        <x:v>46045</x:v>
      </x:c>
      <x:c r="P613" s="31" t="n">
        <x:v>46047</x:v>
      </x:c>
      <x:c r="Q613" s="31" t="inlineStr">
        <x:is>
          <x:t xml:space="preserve">Завершено</x:t>
        </x:is>
      </x:c>
      <x:c r="R613" s="31" t="inlineStr">
        <x:is>
          <x:t xml:space="preserve">Материал</x:t>
        </x:is>
      </x:c>
      <x:c r="S613" s="31" t="inlineStr">
        <x:is>
          <x:t xml:space="preserve">Нет</x:t>
        </x:is>
      </x:c>
    </x:row>
    <x:row r="614">
      <x:c r="A614" s="31" t="inlineStr">
        <x:is>
          <x:t xml:space="preserve">ОП-000613</x:t>
        </x:is>
      </x:c>
      <x:c r="B614" s="31" t="inlineStr">
        <x:is>
          <x:t xml:space="preserve">ПЗ-00072</x:t>
        </x:is>
      </x:c>
      <x:c r="C614" s="31" t="inlineStr">
        <x:is>
          <x:t xml:space="preserve">ЗК-1041</x:t>
        </x:is>
      </x:c>
      <x:c r="D614" s="31" t="inlineStr">
        <x:is>
          <x:t xml:space="preserve">ПОЗ-0041-1</x:t>
        </x:is>
      </x:c>
      <x:c r="E614" s="31" t="inlineStr">
        <x:is>
          <x:t xml:space="preserve">ИЗД-014</x:t>
        </x:is>
      </x:c>
      <x:c r="F614" s="31" t="n">
        <x:v>20</x:v>
      </x:c>
      <x:c r="G614" s="31" t="inlineStr">
        <x:is>
          <x:t xml:space="preserve">Резка металла</x:t>
        </x:is>
      </x:c>
      <x:c r="H614" s="31" t="inlineStr">
        <x:is>
          <x:t xml:space="preserve">Сварка</x:t>
        </x:is>
      </x:c>
      <x:c r="I614" s="31" t="inlineStr">
        <x:is>
          <x:t xml:space="preserve">ОБ-003</x:t>
        </x:is>
      </x:c>
      <x:c r="J614" s="31" t="inlineStr">
        <x:is>
          <x:t xml:space="preserve">СОТР-058</x:t>
        </x:is>
      </x:c>
      <x:c r="K614" s="31" t="n">
        <x:v>16.8</x:v>
      </x:c>
      <x:c r="L614" s="31" t="n">
        <x:v>15.4</x:v>
      </x:c>
      <x:c r="M614" s="31" t="n">
        <x:v>46047</x:v>
      </x:c>
      <x:c r="N614" s="31" t="n">
        <x:v>46049</x:v>
      </x:c>
      <x:c r="O614" s="31" t="n">
        <x:v>46047</x:v>
      </x:c>
      <x:c r="P614" s="31" t="n">
        <x:v>46050</x:v>
      </x:c>
      <x:c r="Q614" s="31" t="inlineStr">
        <x:is>
          <x:t xml:space="preserve">Завершено</x:t>
        </x:is>
      </x:c>
      <x:c r="R614" s="31" t="inlineStr">
        <x:is>
          <x:t xml:space="preserve">Нет</x:t>
        </x:is>
      </x:c>
      <x:c r="S614" s="31" t="inlineStr">
        <x:is>
          <x:t xml:space="preserve">Нет</x:t>
        </x:is>
      </x:c>
    </x:row>
    <x:row r="615">
      <x:c r="A615" s="31" t="inlineStr">
        <x:is>
          <x:t xml:space="preserve">ОП-000614</x:t>
        </x:is>
      </x:c>
      <x:c r="B615" s="31" t="inlineStr">
        <x:is>
          <x:t xml:space="preserve">ПЗ-00072</x:t>
        </x:is>
      </x:c>
      <x:c r="C615" s="31" t="inlineStr">
        <x:is>
          <x:t xml:space="preserve">ЗК-1041</x:t>
        </x:is>
      </x:c>
      <x:c r="D615" s="31" t="inlineStr">
        <x:is>
          <x:t xml:space="preserve">ПОЗ-0041-1</x:t>
        </x:is>
      </x:c>
      <x:c r="E615" s="31" t="inlineStr">
        <x:is>
          <x:t xml:space="preserve">ИЗД-014</x:t>
        </x:is>
      </x:c>
      <x:c r="F615" s="31" t="n">
        <x:v>30</x:v>
      </x:c>
      <x:c r="G615" s="31" t="inlineStr">
        <x:is>
          <x:t xml:space="preserve">Сварка рамы</x:t>
        </x:is>
      </x:c>
      <x:c r="H615" s="31" t="inlineStr">
        <x:is>
          <x:t xml:space="preserve">Сварка</x:t>
        </x:is>
      </x:c>
      <x:c r="I615" s="31" t="inlineStr">
        <x:is>
          <x:t xml:space="preserve">ОБ-019</x:t>
        </x:is>
      </x:c>
      <x:c r="J615" s="31" t="inlineStr">
        <x:is>
          <x:t xml:space="preserve">СОТР-071</x:t>
        </x:is>
      </x:c>
      <x:c r="K615" s="31" t="n">
        <x:v>34.4</x:v>
      </x:c>
      <x:c r="L615" s="31" t="n">
        <x:v>45.3</x:v>
      </x:c>
      <x:c r="M615" s="31" t="n">
        <x:v>46049</x:v>
      </x:c>
      <x:c r="N615" s="31" t="n">
        <x:v>46052</x:v>
      </x:c>
      <x:c r="O615" s="31" t="n">
        <x:v>46049</x:v>
      </x:c>
      <x:c r="P615" s="31" t="n">
        <x:v>46053</x:v>
      </x:c>
      <x:c r="Q615" s="31" t="inlineStr">
        <x:is>
          <x:t xml:space="preserve">Завершено</x:t>
        </x:is>
      </x:c>
      <x:c r="R615" s="31" t="inlineStr">
        <x:is>
          <x:t xml:space="preserve">Нет</x:t>
        </x:is>
      </x:c>
      <x:c r="S615" s="31" t="inlineStr">
        <x:is>
          <x:t xml:space="preserve">Нет</x:t>
        </x:is>
      </x:c>
    </x:row>
    <x:row r="616">
      <x:c r="A616" s="31" t="inlineStr">
        <x:is>
          <x:t xml:space="preserve">ОП-000615</x:t>
        </x:is>
      </x:c>
      <x:c r="B616" s="31" t="inlineStr">
        <x:is>
          <x:t xml:space="preserve">ПЗ-00072</x:t>
        </x:is>
      </x:c>
      <x:c r="C616" s="31" t="inlineStr">
        <x:is>
          <x:t xml:space="preserve">ЗК-1041</x:t>
        </x:is>
      </x:c>
      <x:c r="D616" s="31" t="inlineStr">
        <x:is>
          <x:t xml:space="preserve">ПОЗ-0041-1</x:t>
        </x:is>
      </x:c>
      <x:c r="E616" s="31" t="inlineStr">
        <x:is>
          <x:t xml:space="preserve">ИЗД-014</x:t>
        </x:is>
      </x:c>
      <x:c r="F616" s="31" t="n">
        <x:v>40</x:v>
      </x:c>
      <x:c r="G616" s="31" t="inlineStr">
        <x:is>
          <x:t xml:space="preserve">Пескоструй</x:t>
        </x:is>
      </x:c>
      <x:c r="H616" s="31" t="inlineStr">
        <x:is>
          <x:t xml:space="preserve">Сварка</x:t>
        </x:is>
      </x:c>
      <x:c r="I616" s="31" t="inlineStr">
        <x:is>
          <x:t xml:space="preserve">ОБ-003</x:t>
        </x:is>
      </x:c>
      <x:c r="J616" s="31" t="inlineStr">
        <x:is>
          <x:t xml:space="preserve">СОТР-067</x:t>
        </x:is>
      </x:c>
      <x:c r="K616" s="31" t="n">
        <x:v>24.8</x:v>
      </x:c>
      <x:c r="L616" s="31" t="n">
        <x:v>21.2</x:v>
      </x:c>
      <x:c r="M616" s="31" t="n">
        <x:v>46052</x:v>
      </x:c>
      <x:c r="N616" s="31" t="n">
        <x:v>46055</x:v>
      </x:c>
      <x:c r="O616" s="31" t="n">
        <x:v>46052</x:v>
      </x:c>
      <x:c r="P616" s="31" t="n">
        <x:v>46055</x:v>
      </x:c>
      <x:c r="Q616" s="31" t="inlineStr">
        <x:is>
          <x:t xml:space="preserve">Завершено</x:t>
        </x:is>
      </x:c>
      <x:c r="R616" s="31" t="inlineStr">
        <x:is>
          <x:t xml:space="preserve">Нет</x:t>
        </x:is>
      </x:c>
      <x:c r="S616" s="31" t="inlineStr">
        <x:is>
          <x:t xml:space="preserve">Нет</x:t>
        </x:is>
      </x:c>
    </x:row>
    <x:row r="617">
      <x:c r="A617" s="31" t="inlineStr">
        <x:is>
          <x:t xml:space="preserve">ОП-000616</x:t>
        </x:is>
      </x:c>
      <x:c r="B617" s="31" t="inlineStr">
        <x:is>
          <x:t xml:space="preserve">ПЗ-00072</x:t>
        </x:is>
      </x:c>
      <x:c r="C617" s="31" t="inlineStr">
        <x:is>
          <x:t xml:space="preserve">ЗК-1041</x:t>
        </x:is>
      </x:c>
      <x:c r="D617" s="31" t="inlineStr">
        <x:is>
          <x:t xml:space="preserve">ПОЗ-0041-1</x:t>
        </x:is>
      </x:c>
      <x:c r="E617" s="31" t="inlineStr">
        <x:is>
          <x:t xml:space="preserve">ИЗД-014</x:t>
        </x:is>
      </x:c>
      <x:c r="F617" s="31" t="n">
        <x:v>50</x:v>
      </x:c>
      <x:c r="G617" s="31" t="inlineStr">
        <x:is>
          <x:t xml:space="preserve">Покраска</x:t>
        </x:is>
      </x:c>
      <x:c r="H617" s="31" t="inlineStr">
        <x:is>
          <x:t xml:space="preserve">Сварка</x:t>
        </x:is>
      </x:c>
      <x:c r="I617" s="31" t="inlineStr">
        <x:is>
          <x:t xml:space="preserve">ОБ-035</x:t>
        </x:is>
      </x:c>
      <x:c r="J617" s="31" t="inlineStr">
        <x:is>
          <x:t xml:space="preserve">СОТР-072</x:t>
        </x:is>
      </x:c>
      <x:c r="K617" s="31" t="n">
        <x:v>19.6</x:v>
      </x:c>
      <x:c r="L617" s="31" t="n">
        <x:v>21.4</x:v>
      </x:c>
      <x:c r="M617" s="31" t="n">
        <x:v>46055</x:v>
      </x:c>
      <x:c r="N617" s="31" t="n">
        <x:v>46057</x:v>
      </x:c>
      <x:c r="O617" s="31" t="n">
        <x:v>46055</x:v>
      </x:c>
      <x:c r="P617" s="31" t="n">
        <x:v>46056</x:v>
      </x:c>
      <x:c r="Q617" s="31" t="inlineStr">
        <x:is>
          <x:t xml:space="preserve">Завершено</x:t>
        </x:is>
      </x:c>
      <x:c r="R617" s="31" t="inlineStr">
        <x:is>
          <x:t xml:space="preserve">Нет</x:t>
        </x:is>
      </x:c>
      <x:c r="S617" s="31" t="inlineStr">
        <x:is>
          <x:t xml:space="preserve">Да</x:t>
        </x:is>
      </x:c>
    </x:row>
    <x:row r="618">
      <x:c r="A618" s="31" t="inlineStr">
        <x:is>
          <x:t xml:space="preserve">ОП-000617</x:t>
        </x:is>
      </x:c>
      <x:c r="B618" s="31" t="inlineStr">
        <x:is>
          <x:t xml:space="preserve">ПЗ-00072</x:t>
        </x:is>
      </x:c>
      <x:c r="C618" s="31" t="inlineStr">
        <x:is>
          <x:t xml:space="preserve">ЗК-1041</x:t>
        </x:is>
      </x:c>
      <x:c r="D618" s="31" t="inlineStr">
        <x:is>
          <x:t xml:space="preserve">ПОЗ-0041-1</x:t>
        </x:is>
      </x:c>
      <x:c r="E618" s="31" t="inlineStr">
        <x:is>
          <x:t xml:space="preserve">ИЗД-014</x:t>
        </x:is>
      </x:c>
      <x:c r="F618" s="31" t="n">
        <x:v>60</x:v>
      </x:c>
      <x:c r="G618" s="31" t="inlineStr">
        <x:is>
          <x:t xml:space="preserve">ОТК</x:t>
        </x:is>
      </x:c>
      <x:c r="H618" s="31" t="inlineStr">
        <x:is>
          <x:t xml:space="preserve">ОТК</x:t>
        </x:is>
      </x:c>
      <x:c r="I618" s="31" t="inlineStr">
        <x:is>
          <x:t xml:space="preserve">ОБ-033</x:t>
        </x:is>
      </x:c>
      <x:c r="J618" s="31" t="inlineStr">
        <x:is>
          <x:t xml:space="preserve">СОТР-092</x:t>
        </x:is>
      </x:c>
      <x:c r="K618" s="31" t="n">
        <x:v>9.6</x:v>
      </x:c>
      <x:c r="L618" s="31" t="n">
        <x:v>8.5</x:v>
      </x:c>
      <x:c r="M618" s="31" t="n">
        <x:v>46057</x:v>
      </x:c>
      <x:c r="N618" s="31" t="n">
        <x:v>46058</x:v>
      </x:c>
      <x:c r="O618" s="31" t="n">
        <x:v>46057</x:v>
      </x:c>
      <x:c r="P618" s="31" t="n">
        <x:v>46060</x:v>
      </x:c>
      <x:c r="Q618" s="31" t="inlineStr">
        <x:is>
          <x:t xml:space="preserve">Завершено</x:t>
        </x:is>
      </x:c>
      <x:c r="R618" s="31" t="inlineStr">
        <x:is>
          <x:t xml:space="preserve">Нет</x:t>
        </x:is>
      </x:c>
      <x:c r="S618" s="31" t="inlineStr">
        <x:is>
          <x:t xml:space="preserve">Нет</x:t>
        </x:is>
      </x:c>
    </x:row>
    <x:row r="619">
      <x:c r="A619" s="31" t="inlineStr">
        <x:is>
          <x:t xml:space="preserve">ОП-000618</x:t>
        </x:is>
      </x:c>
      <x:c r="B619" s="31" t="inlineStr">
        <x:is>
          <x:t xml:space="preserve">ПЗ-00073</x:t>
        </x:is>
      </x:c>
      <x:c r="C619" s="31" t="inlineStr">
        <x:is>
          <x:t xml:space="preserve">ЗК-1041</x:t>
        </x:is>
      </x:c>
      <x:c r="D619" s="31" t="inlineStr">
        <x:is>
          <x:t xml:space="preserve">ПОЗ-0041-2</x:t>
        </x:is>
      </x:c>
      <x:c r="E619" s="31" t="inlineStr">
        <x:is>
          <x:t xml:space="preserve">ИЗД-025</x:t>
        </x:is>
      </x:c>
      <x:c r="F619" s="31" t="n">
        <x:v>10</x:v>
      </x:c>
      <x:c r="G619" s="31" t="inlineStr">
        <x:is>
          <x:t xml:space="preserve">КД</x:t>
        </x:is>
      </x:c>
      <x:c r="H619" s="31" t="inlineStr">
        <x:is>
          <x:t xml:space="preserve">Инженерный отдел</x:t>
        </x:is>
      </x:c>
      <x:c r="I619" s="31" t="n"/>
      <x:c r="J619" s="31" t="inlineStr">
        <x:is>
          <x:t xml:space="preserve">СОТР-013</x:t>
        </x:is>
      </x:c>
      <x:c r="K619" s="31" t="n">
        <x:v>27.3</x:v>
      </x:c>
      <x:c r="L619" s="31" t="n">
        <x:v>27.3</x:v>
      </x:c>
      <x:c r="M619" s="31" t="n">
        <x:v>46041</x:v>
      </x:c>
      <x:c r="N619" s="31" t="n">
        <x:v>46044</x:v>
      </x:c>
      <x:c r="O619" s="31" t="n">
        <x:v>46041</x:v>
      </x:c>
      <x:c r="P619" s="31" t="n">
        <x:v>46043</x:v>
      </x:c>
      <x:c r="Q619" s="31" t="inlineStr">
        <x:is>
          <x:t xml:space="preserve">Завершено</x:t>
        </x:is>
      </x:c>
      <x:c r="R619" s="31" t="inlineStr">
        <x:is>
          <x:t xml:space="preserve">Нет</x:t>
        </x:is>
      </x:c>
      <x:c r="S619" s="31" t="inlineStr">
        <x:is>
          <x:t xml:space="preserve">Нет</x:t>
        </x:is>
      </x:c>
    </x:row>
    <x:row r="620">
      <x:c r="A620" s="31" t="inlineStr">
        <x:is>
          <x:t xml:space="preserve">ОП-000619</x:t>
        </x:is>
      </x:c>
      <x:c r="B620" s="31" t="inlineStr">
        <x:is>
          <x:t xml:space="preserve">ПЗ-00073</x:t>
        </x:is>
      </x:c>
      <x:c r="C620" s="31" t="inlineStr">
        <x:is>
          <x:t xml:space="preserve">ЗК-1041</x:t>
        </x:is>
      </x:c>
      <x:c r="D620" s="31" t="inlineStr">
        <x:is>
          <x:t xml:space="preserve">ПОЗ-0041-2</x:t>
        </x:is>
      </x:c>
      <x:c r="E620" s="31" t="inlineStr">
        <x:is>
          <x:t xml:space="preserve">ИЗД-025</x:t>
        </x:is>
      </x:c>
      <x:c r="F620" s="31" t="n">
        <x:v>20</x:v>
      </x:c>
      <x:c r="G620" s="31" t="inlineStr">
        <x:is>
          <x:t xml:space="preserve">Резерв материалов</x:t>
        </x:is>
      </x:c>
      <x:c r="H620" s="31" t="inlineStr">
        <x:is>
          <x:t xml:space="preserve">Склад</x:t>
        </x:is>
      </x:c>
      <x:c r="I620" s="31" t="inlineStr">
        <x:is>
          <x:t xml:space="preserve">ОБ-025</x:t>
        </x:is>
      </x:c>
      <x:c r="J620" s="31" t="inlineStr">
        <x:is>
          <x:t xml:space="preserve">СОТР-035</x:t>
        </x:is>
      </x:c>
      <x:c r="K620" s="31" t="n">
        <x:v>6.9</x:v>
      </x:c>
      <x:c r="L620" s="31" t="n">
        <x:v>8.6</x:v>
      </x:c>
      <x:c r="M620" s="31" t="n">
        <x:v>46044</x:v>
      </x:c>
      <x:c r="N620" s="31" t="n">
        <x:v>46045</x:v>
      </x:c>
      <x:c r="O620" s="31" t="n">
        <x:v>46044</x:v>
      </x:c>
      <x:c r="P620" s="31" t="n">
        <x:v>46044</x:v>
      </x:c>
      <x:c r="Q620" s="31" t="inlineStr">
        <x:is>
          <x:t xml:space="preserve">Завершено</x:t>
        </x:is>
      </x:c>
      <x:c r="R620" s="31" t="inlineStr">
        <x:is>
          <x:t xml:space="preserve">Нет</x:t>
        </x:is>
      </x:c>
      <x:c r="S620" s="31" t="inlineStr">
        <x:is>
          <x:t xml:space="preserve">Нет</x:t>
        </x:is>
      </x:c>
    </x:row>
    <x:row r="621">
      <x:c r="A621" s="31" t="inlineStr">
        <x:is>
          <x:t xml:space="preserve">ОП-000620</x:t>
        </x:is>
      </x:c>
      <x:c r="B621" s="31" t="inlineStr">
        <x:is>
          <x:t xml:space="preserve">ПЗ-00073</x:t>
        </x:is>
      </x:c>
      <x:c r="C621" s="31" t="inlineStr">
        <x:is>
          <x:t xml:space="preserve">ЗК-1041</x:t>
        </x:is>
      </x:c>
      <x:c r="D621" s="31" t="inlineStr">
        <x:is>
          <x:t xml:space="preserve">ПОЗ-0041-2</x:t>
        </x:is>
      </x:c>
      <x:c r="E621" s="31" t="inlineStr">
        <x:is>
          <x:t xml:space="preserve">ИЗД-025</x:t>
        </x:is>
      </x:c>
      <x:c r="F621" s="31" t="n">
        <x:v>30</x:v>
      </x:c>
      <x:c r="G621" s="31" t="inlineStr">
        <x:is>
          <x:t xml:space="preserve">Сварка рамы</x:t>
        </x:is>
      </x:c>
      <x:c r="H621" s="31" t="inlineStr">
        <x:is>
          <x:t xml:space="preserve">Сварка</x:t>
        </x:is>
      </x:c>
      <x:c r="I621" s="31" t="inlineStr">
        <x:is>
          <x:t xml:space="preserve">ОБ-010</x:t>
        </x:is>
      </x:c>
      <x:c r="J621" s="31" t="inlineStr">
        <x:is>
          <x:t xml:space="preserve">СОТР-071</x:t>
        </x:is>
      </x:c>
      <x:c r="K621" s="31" t="n">
        <x:v>30</x:v>
      </x:c>
      <x:c r="L621" s="31" t="n">
        <x:v>38</x:v>
      </x:c>
      <x:c r="M621" s="31" t="n">
        <x:v>46045</x:v>
      </x:c>
      <x:c r="N621" s="31" t="n">
        <x:v>46048</x:v>
      </x:c>
      <x:c r="O621" s="31" t="n">
        <x:v>46045</x:v>
      </x:c>
      <x:c r="P621" s="31" t="n">
        <x:v>46049</x:v>
      </x:c>
      <x:c r="Q621" s="31" t="inlineStr">
        <x:is>
          <x:t xml:space="preserve">Завершено</x:t>
        </x:is>
      </x:c>
      <x:c r="R621" s="31" t="inlineStr">
        <x:is>
          <x:t xml:space="preserve">Нет</x:t>
        </x:is>
      </x:c>
      <x:c r="S621" s="31" t="inlineStr">
        <x:is>
          <x:t xml:space="preserve">Нет</x:t>
        </x:is>
      </x:c>
    </x:row>
    <x:row r="622">
      <x:c r="A622" s="31" t="inlineStr">
        <x:is>
          <x:t xml:space="preserve">ОП-000621</x:t>
        </x:is>
      </x:c>
      <x:c r="B622" s="31" t="inlineStr">
        <x:is>
          <x:t xml:space="preserve">ПЗ-00073</x:t>
        </x:is>
      </x:c>
      <x:c r="C622" s="31" t="inlineStr">
        <x:is>
          <x:t xml:space="preserve">ЗК-1041</x:t>
        </x:is>
      </x:c>
      <x:c r="D622" s="31" t="inlineStr">
        <x:is>
          <x:t xml:space="preserve">ПОЗ-0041-2</x:t>
        </x:is>
      </x:c>
      <x:c r="E622" s="31" t="inlineStr">
        <x:is>
          <x:t xml:space="preserve">ИЗД-025</x:t>
        </x:is>
      </x:c>
      <x:c r="F622" s="31" t="n">
        <x:v>40</x:v>
      </x:c>
      <x:c r="G622" s="31" t="inlineStr">
        <x:is>
          <x:t xml:space="preserve">Сборка</x:t>
        </x:is>
      </x:c>
      <x:c r="H622" s="31" t="inlineStr">
        <x:is>
          <x:t xml:space="preserve">Сборка</x:t>
        </x:is>
      </x:c>
      <x:c r="I622" s="31" t="inlineStr">
        <x:is>
          <x:t xml:space="preserve">ОБ-020</x:t>
        </x:is>
      </x:c>
      <x:c r="J622" s="31" t="inlineStr">
        <x:is>
          <x:t xml:space="preserve">СОТР-085</x:t>
        </x:is>
      </x:c>
      <x:c r="K622" s="31" t="n">
        <x:v>22.8</x:v>
      </x:c>
      <x:c r="L622" s="31" t="n">
        <x:v>22.9</x:v>
      </x:c>
      <x:c r="M622" s="31" t="n">
        <x:v>46048</x:v>
      </x:c>
      <x:c r="N622" s="31" t="n">
        <x:v>46050</x:v>
      </x:c>
      <x:c r="O622" s="31" t="n">
        <x:v>46048</x:v>
      </x:c>
      <x:c r="P622" s="31" t="n">
        <x:v>46051</x:v>
      </x:c>
      <x:c r="Q622" s="31" t="inlineStr">
        <x:is>
          <x:t xml:space="preserve">Завершено</x:t>
        </x:is>
      </x:c>
      <x:c r="R622" s="31" t="inlineStr">
        <x:is>
          <x:t xml:space="preserve">Нет</x:t>
        </x:is>
      </x:c>
      <x:c r="S622" s="31" t="inlineStr">
        <x:is>
          <x:t xml:space="preserve">Нет</x:t>
        </x:is>
      </x:c>
    </x:row>
    <x:row r="623">
      <x:c r="A623" s="31" t="inlineStr">
        <x:is>
          <x:t xml:space="preserve">ОП-000622</x:t>
        </x:is>
      </x:c>
      <x:c r="B623" s="31" t="inlineStr">
        <x:is>
          <x:t xml:space="preserve">ПЗ-00073</x:t>
        </x:is>
      </x:c>
      <x:c r="C623" s="31" t="inlineStr">
        <x:is>
          <x:t xml:space="preserve">ЗК-1041</x:t>
        </x:is>
      </x:c>
      <x:c r="D623" s="31" t="inlineStr">
        <x:is>
          <x:t xml:space="preserve">ПОЗ-0041-2</x:t>
        </x:is>
      </x:c>
      <x:c r="E623" s="31" t="inlineStr">
        <x:is>
          <x:t xml:space="preserve">ИЗД-025</x:t>
        </x:is>
      </x:c>
      <x:c r="F623" s="31" t="n">
        <x:v>50</x:v>
      </x:c>
      <x:c r="G623" s="31" t="inlineStr">
        <x:is>
          <x:t xml:space="preserve">Обвязка труб</x:t>
        </x:is>
      </x:c>
      <x:c r="H623" s="31" t="inlineStr">
        <x:is>
          <x:t xml:space="preserve">Сборка</x:t>
        </x:is>
      </x:c>
      <x:c r="I623" s="31" t="inlineStr">
        <x:is>
          <x:t xml:space="preserve">ОБ-014</x:t>
        </x:is>
      </x:c>
      <x:c r="J623" s="31" t="inlineStr">
        <x:is>
          <x:t xml:space="preserve">СОТР-081</x:t>
        </x:is>
      </x:c>
      <x:c r="K623" s="31" t="n">
        <x:v>5.1</x:v>
      </x:c>
      <x:c r="L623" s="31" t="n">
        <x:v>5</x:v>
      </x:c>
      <x:c r="M623" s="31" t="n">
        <x:v>46050</x:v>
      </x:c>
      <x:c r="N623" s="31" t="n">
        <x:v>46051</x:v>
      </x:c>
      <x:c r="O623" s="31" t="n">
        <x:v>46050</x:v>
      </x:c>
      <x:c r="P623" s="31" t="n">
        <x:v>46053</x:v>
      </x:c>
      <x:c r="Q623" s="31" t="inlineStr">
        <x:is>
          <x:t xml:space="preserve">Завершено</x:t>
        </x:is>
      </x:c>
      <x:c r="R623" s="31" t="inlineStr">
        <x:is>
          <x:t xml:space="preserve">Нет</x:t>
        </x:is>
      </x:c>
      <x:c r="S623" s="31" t="inlineStr">
        <x:is>
          <x:t xml:space="preserve">Нет</x:t>
        </x:is>
      </x:c>
    </x:row>
    <x:row r="624">
      <x:c r="A624" s="31" t="inlineStr">
        <x:is>
          <x:t xml:space="preserve">ОП-000623</x:t>
        </x:is>
      </x:c>
      <x:c r="B624" s="31" t="inlineStr">
        <x:is>
          <x:t xml:space="preserve">ПЗ-00073</x:t>
        </x:is>
      </x:c>
      <x:c r="C624" s="31" t="inlineStr">
        <x:is>
          <x:t xml:space="preserve">ЗК-1041</x:t>
        </x:is>
      </x:c>
      <x:c r="D624" s="31" t="inlineStr">
        <x:is>
          <x:t xml:space="preserve">ПОЗ-0041-2</x:t>
        </x:is>
      </x:c>
      <x:c r="E624" s="31" t="inlineStr">
        <x:is>
          <x:t xml:space="preserve">ИЗД-025</x:t>
        </x:is>
      </x:c>
      <x:c r="F624" s="31" t="n">
        <x:v>60</x:v>
      </x:c>
      <x:c r="G624" s="31" t="inlineStr">
        <x:is>
          <x:t xml:space="preserve">Электромонтаж</x:t>
        </x:is>
      </x:c>
      <x:c r="H624" s="31" t="inlineStr">
        <x:is>
          <x:t xml:space="preserve">Сборка</x:t>
        </x:is>
      </x:c>
      <x:c r="I624" s="31" t="inlineStr">
        <x:is>
          <x:t xml:space="preserve">ОБ-002</x:t>
        </x:is>
      </x:c>
      <x:c r="J624" s="31" t="inlineStr">
        <x:is>
          <x:t xml:space="preserve">СОТР-081</x:t>
        </x:is>
      </x:c>
      <x:c r="K624" s="31" t="n">
        <x:v>32.7</x:v>
      </x:c>
      <x:c r="L624" s="31" t="n">
        <x:v>43.2</x:v>
      </x:c>
      <x:c r="M624" s="31" t="n">
        <x:v>46051</x:v>
      </x:c>
      <x:c r="N624" s="31" t="n">
        <x:v>46054</x:v>
      </x:c>
      <x:c r="O624" s="31" t="n">
        <x:v>46051</x:v>
      </x:c>
      <x:c r="P624" s="31" t="n">
        <x:v>46055</x:v>
      </x:c>
      <x:c r="Q624" s="31" t="inlineStr">
        <x:is>
          <x:t xml:space="preserve">Завершено</x:t>
        </x:is>
      </x:c>
      <x:c r="R624" s="31" t="inlineStr">
        <x:is>
          <x:t xml:space="preserve">Нет</x:t>
        </x:is>
      </x:c>
      <x:c r="S624" s="31" t="inlineStr">
        <x:is>
          <x:t xml:space="preserve">Нет</x:t>
        </x:is>
      </x:c>
    </x:row>
    <x:row r="625">
      <x:c r="A625" s="31" t="inlineStr">
        <x:is>
          <x:t xml:space="preserve">ОП-000624</x:t>
        </x:is>
      </x:c>
      <x:c r="B625" s="31" t="inlineStr">
        <x:is>
          <x:t xml:space="preserve">ПЗ-00073</x:t>
        </x:is>
      </x:c>
      <x:c r="C625" s="31" t="inlineStr">
        <x:is>
          <x:t xml:space="preserve">ЗК-1041</x:t>
        </x:is>
      </x:c>
      <x:c r="D625" s="31" t="inlineStr">
        <x:is>
          <x:t xml:space="preserve">ПОЗ-0041-2</x:t>
        </x:is>
      </x:c>
      <x:c r="E625" s="31" t="inlineStr">
        <x:is>
          <x:t xml:space="preserve">ИЗД-025</x:t>
        </x:is>
      </x:c>
      <x:c r="F625" s="31" t="n">
        <x:v>70</x:v>
      </x:c>
      <x:c r="G625" s="31" t="inlineStr">
        <x:is>
          <x:t xml:space="preserve">Гидроиспытания</x:t>
        </x:is>
      </x:c>
      <x:c r="H625" s="31" t="inlineStr">
        <x:is>
          <x:t xml:space="preserve">ОТК</x:t>
        </x:is>
      </x:c>
      <x:c r="I625" s="31" t="inlineStr">
        <x:is>
          <x:t xml:space="preserve">ОБ-015</x:t>
        </x:is>
      </x:c>
      <x:c r="J625" s="31" t="inlineStr">
        <x:is>
          <x:t xml:space="preserve">СОТР-097</x:t>
        </x:is>
      </x:c>
      <x:c r="K625" s="31" t="n">
        <x:v>18</x:v>
      </x:c>
      <x:c r="L625" s="31" t="n">
        <x:v>24.2</x:v>
      </x:c>
      <x:c r="M625" s="31" t="n">
        <x:v>46054</x:v>
      </x:c>
      <x:c r="N625" s="31" t="n">
        <x:v>46056</x:v>
      </x:c>
      <x:c r="O625" s="31" t="n">
        <x:v>46054</x:v>
      </x:c>
      <x:c r="P625" s="31" t="n">
        <x:v>46058</x:v>
      </x:c>
      <x:c r="Q625" s="31" t="inlineStr">
        <x:is>
          <x:t xml:space="preserve">Завершено</x:t>
        </x:is>
      </x:c>
      <x:c r="R625" s="31" t="inlineStr">
        <x:is>
          <x:t xml:space="preserve">Нет</x:t>
        </x:is>
      </x:c>
      <x:c r="S625" s="31" t="inlineStr">
        <x:is>
          <x:t xml:space="preserve">Нет</x:t>
        </x:is>
      </x:c>
    </x:row>
    <x:row r="626">
      <x:c r="A626" s="31" t="inlineStr">
        <x:is>
          <x:t xml:space="preserve">ОП-000625</x:t>
        </x:is>
      </x:c>
      <x:c r="B626" s="31" t="inlineStr">
        <x:is>
          <x:t xml:space="preserve">ПЗ-00073</x:t>
        </x:is>
      </x:c>
      <x:c r="C626" s="31" t="inlineStr">
        <x:is>
          <x:t xml:space="preserve">ЗК-1041</x:t>
        </x:is>
      </x:c>
      <x:c r="D626" s="31" t="inlineStr">
        <x:is>
          <x:t xml:space="preserve">ПОЗ-0041-2</x:t>
        </x:is>
      </x:c>
      <x:c r="E626" s="31" t="inlineStr">
        <x:is>
          <x:t xml:space="preserve">ИЗД-025</x:t>
        </x:is>
      </x:c>
      <x:c r="F626" s="31" t="n">
        <x:v>80</x:v>
      </x:c>
      <x:c r="G626" s="31" t="inlineStr">
        <x:is>
          <x:t xml:space="preserve">ОТК</x:t>
        </x:is>
      </x:c>
      <x:c r="H626" s="31" t="inlineStr">
        <x:is>
          <x:t xml:space="preserve">ОТК</x:t>
        </x:is>
      </x:c>
      <x:c r="I626" s="31" t="inlineStr">
        <x:is>
          <x:t xml:space="preserve">ОБ-022</x:t>
        </x:is>
      </x:c>
      <x:c r="J626" s="31" t="inlineStr">
        <x:is>
          <x:t xml:space="preserve">СОТР-100</x:t>
        </x:is>
      </x:c>
      <x:c r="K626" s="31" t="n">
        <x:v>9.6</x:v>
      </x:c>
      <x:c r="L626" s="31" t="n">
        <x:v>12.8</x:v>
      </x:c>
      <x:c r="M626" s="31" t="n">
        <x:v>46056</x:v>
      </x:c>
      <x:c r="N626" s="31" t="n">
        <x:v>46057</x:v>
      </x:c>
      <x:c r="O626" s="31" t="n">
        <x:v>46056</x:v>
      </x:c>
      <x:c r="P626" s="31" t="n">
        <x:v>46059</x:v>
      </x:c>
      <x:c r="Q626" s="31" t="inlineStr">
        <x:is>
          <x:t xml:space="preserve">Завершено</x:t>
        </x:is>
      </x:c>
      <x:c r="R626" s="31" t="inlineStr">
        <x:is>
          <x:t xml:space="preserve">Нет</x:t>
        </x:is>
      </x:c>
      <x:c r="S626" s="31" t="inlineStr">
        <x:is>
          <x:t xml:space="preserve">Нет</x:t>
        </x:is>
      </x:c>
    </x:row>
    <x:row r="627">
      <x:c r="A627" s="31" t="inlineStr">
        <x:is>
          <x:t xml:space="preserve">ОП-000626</x:t>
        </x:is>
      </x:c>
      <x:c r="B627" s="31" t="inlineStr">
        <x:is>
          <x:t xml:space="preserve">ПЗ-00073</x:t>
        </x:is>
      </x:c>
      <x:c r="C627" s="31" t="inlineStr">
        <x:is>
          <x:t xml:space="preserve">ЗК-1041</x:t>
        </x:is>
      </x:c>
      <x:c r="D627" s="31" t="inlineStr">
        <x:is>
          <x:t xml:space="preserve">ПОЗ-0041-2</x:t>
        </x:is>
      </x:c>
      <x:c r="E627" s="31" t="inlineStr">
        <x:is>
          <x:t xml:space="preserve">ИЗД-025</x:t>
        </x:is>
      </x:c>
      <x:c r="F627" s="31" t="n">
        <x:v>90</x:v>
      </x:c>
      <x:c r="G627" s="31" t="inlineStr">
        <x:is>
          <x:t xml:space="preserve">Упаковка</x:t>
        </x:is>
      </x:c>
      <x:c r="H627" s="31" t="inlineStr">
        <x:is>
          <x:t xml:space="preserve">Логистика</x:t>
        </x:is>
      </x:c>
      <x:c r="I627" s="31" t="n"/>
      <x:c r="J627" s="31" t="inlineStr">
        <x:is>
          <x:t xml:space="preserve">СОТР-102</x:t>
        </x:is>
      </x:c>
      <x:c r="K627" s="31" t="n">
        <x:v>25.5</x:v>
      </x:c>
      <x:c r="L627" s="31" t="n">
        <x:v>22.9</x:v>
      </x:c>
      <x:c r="M627" s="31" t="n">
        <x:v>46057</x:v>
      </x:c>
      <x:c r="N627" s="31" t="n">
        <x:v>46060</x:v>
      </x:c>
      <x:c r="O627" s="31" t="n">
        <x:v>46057</x:v>
      </x:c>
      <x:c r="P627" s="31" t="n">
        <x:v>46059</x:v>
      </x:c>
      <x:c r="Q627" s="31" t="inlineStr">
        <x:is>
          <x:t xml:space="preserve">Завершено</x:t>
        </x:is>
      </x:c>
      <x:c r="R627" s="31" t="inlineStr">
        <x:is>
          <x:t xml:space="preserve">Нет</x:t>
        </x:is>
      </x:c>
      <x:c r="S627" s="31" t="inlineStr">
        <x:is>
          <x:t xml:space="preserve">Нет</x:t>
        </x:is>
      </x:c>
    </x:row>
    <x:row r="628">
      <x:c r="A628" s="31" t="inlineStr">
        <x:is>
          <x:t xml:space="preserve">ОП-000627</x:t>
        </x:is>
      </x:c>
      <x:c r="B628" s="31" t="inlineStr">
        <x:is>
          <x:t xml:space="preserve">ПЗ-00074</x:t>
        </x:is>
      </x:c>
      <x:c r="C628" s="31" t="inlineStr">
        <x:is>
          <x:t xml:space="preserve">ЗК-1042</x:t>
        </x:is>
      </x:c>
      <x:c r="D628" s="31" t="inlineStr">
        <x:is>
          <x:t xml:space="preserve">ПОЗ-0042-1</x:t>
        </x:is>
      </x:c>
      <x:c r="E628" s="31" t="inlineStr">
        <x:is>
          <x:t xml:space="preserve">ИЗД-001</x:t>
        </x:is>
      </x:c>
      <x:c r="F628" s="31" t="n">
        <x:v>10</x:v>
      </x:c>
      <x:c r="G628" s="31" t="inlineStr">
        <x:is>
          <x:t xml:space="preserve">Комплектация</x:t>
        </x:is>
      </x:c>
      <x:c r="H628" s="31" t="inlineStr">
        <x:is>
          <x:t xml:space="preserve">Склад</x:t>
        </x:is>
      </x:c>
      <x:c r="I628" s="31" t="inlineStr">
        <x:is>
          <x:t xml:space="preserve">ОБ-011</x:t>
        </x:is>
      </x:c>
      <x:c r="J628" s="31" t="inlineStr">
        <x:is>
          <x:t xml:space="preserve">СОТР-037</x:t>
        </x:is>
      </x:c>
      <x:c r="K628" s="31" t="n">
        <x:v>42</x:v>
      </x:c>
      <x:c r="L628" s="31" t="n">
        <x:v>42.8</x:v>
      </x:c>
      <x:c r="M628" s="31" t="n">
        <x:v>46048</x:v>
      </x:c>
      <x:c r="N628" s="31" t="n">
        <x:v>46052</x:v>
      </x:c>
      <x:c r="O628" s="31" t="n">
        <x:v>46048</x:v>
      </x:c>
      <x:c r="P628" s="31" t="n">
        <x:v>46054</x:v>
      </x:c>
      <x:c r="Q628" s="31" t="inlineStr">
        <x:is>
          <x:t xml:space="preserve">Завершено</x:t>
        </x:is>
      </x:c>
      <x:c r="R628" s="31" t="inlineStr">
        <x:is>
          <x:t xml:space="preserve">Материал</x:t>
        </x:is>
      </x:c>
      <x:c r="S628" s="31" t="inlineStr">
        <x:is>
          <x:t xml:space="preserve">Нет</x:t>
        </x:is>
      </x:c>
    </x:row>
    <x:row r="629">
      <x:c r="A629" s="31" t="inlineStr">
        <x:is>
          <x:t xml:space="preserve">ОП-000628</x:t>
        </x:is>
      </x:c>
      <x:c r="B629" s="31" t="inlineStr">
        <x:is>
          <x:t xml:space="preserve">ПЗ-00074</x:t>
        </x:is>
      </x:c>
      <x:c r="C629" s="31" t="inlineStr">
        <x:is>
          <x:t xml:space="preserve">ЗК-1042</x:t>
        </x:is>
      </x:c>
      <x:c r="D629" s="31" t="inlineStr">
        <x:is>
          <x:t xml:space="preserve">ПОЗ-0042-1</x:t>
        </x:is>
      </x:c>
      <x:c r="E629" s="31" t="inlineStr">
        <x:is>
          <x:t xml:space="preserve">ИЗД-001</x:t>
        </x:is>
      </x:c>
      <x:c r="F629" s="31" t="n">
        <x:v>20</x:v>
      </x:c>
      <x:c r="G629" s="31" t="inlineStr">
        <x:is>
          <x:t xml:space="preserve">Входной контроль</x:t>
        </x:is>
      </x:c>
      <x:c r="H629" s="31" t="inlineStr">
        <x:is>
          <x:t xml:space="preserve">ОТК</x:t>
        </x:is>
      </x:c>
      <x:c r="I629" s="31" t="inlineStr">
        <x:is>
          <x:t xml:space="preserve">ОБ-032</x:t>
        </x:is>
      </x:c>
      <x:c r="J629" s="31" t="inlineStr">
        <x:is>
          <x:t xml:space="preserve">СОТР-095</x:t>
        </x:is>
      </x:c>
      <x:c r="K629" s="31" t="n">
        <x:v>67</x:v>
      </x:c>
      <x:c r="L629" s="31" t="n">
        <x:v>70.3</x:v>
      </x:c>
      <x:c r="M629" s="31" t="n">
        <x:v>46052</x:v>
      </x:c>
      <x:c r="N629" s="31" t="n">
        <x:v>46058</x:v>
      </x:c>
      <x:c r="O629" s="31" t="n">
        <x:v>46052</x:v>
      </x:c>
      <x:c r="P629" s="31" t="n">
        <x:v>46057</x:v>
      </x:c>
      <x:c r="Q629" s="31" t="inlineStr">
        <x:is>
          <x:t xml:space="preserve">Завершено</x:t>
        </x:is>
      </x:c>
      <x:c r="R629" s="31" t="inlineStr">
        <x:is>
          <x:t xml:space="preserve">КД</x:t>
        </x:is>
      </x:c>
      <x:c r="S629" s="31" t="inlineStr">
        <x:is>
          <x:t xml:space="preserve">Нет</x:t>
        </x:is>
      </x:c>
    </x:row>
    <x:row r="630">
      <x:c r="A630" s="31" t="inlineStr">
        <x:is>
          <x:t xml:space="preserve">ОП-000629</x:t>
        </x:is>
      </x:c>
      <x:c r="B630" s="31" t="inlineStr">
        <x:is>
          <x:t xml:space="preserve">ПЗ-00074</x:t>
        </x:is>
      </x:c>
      <x:c r="C630" s="31" t="inlineStr">
        <x:is>
          <x:t xml:space="preserve">ЗК-1042</x:t>
        </x:is>
      </x:c>
      <x:c r="D630" s="31" t="inlineStr">
        <x:is>
          <x:t xml:space="preserve">ПОЗ-0042-1</x:t>
        </x:is>
      </x:c>
      <x:c r="E630" s="31" t="inlineStr">
        <x:is>
          <x:t xml:space="preserve">ИЗД-001</x:t>
        </x:is>
      </x:c>
      <x:c r="F630" s="31" t="n">
        <x:v>30</x:v>
      </x:c>
      <x:c r="G630" s="31" t="inlineStr">
        <x:is>
          <x:t xml:space="preserve">Упаковка</x:t>
        </x:is>
      </x:c>
      <x:c r="H630" s="31" t="inlineStr">
        <x:is>
          <x:t xml:space="preserve">Логистика</x:t>
        </x:is>
      </x:c>
      <x:c r="I630" s="31" t="n"/>
      <x:c r="J630" s="31" t="inlineStr">
        <x:is>
          <x:t xml:space="preserve">СОТР-102</x:t>
        </x:is>
      </x:c>
      <x:c r="K630" s="31" t="n">
        <x:v>8</x:v>
      </x:c>
      <x:c r="L630" s="31" t="n">
        <x:v>7.2</x:v>
      </x:c>
      <x:c r="M630" s="31" t="n">
        <x:v>46058</x:v>
      </x:c>
      <x:c r="N630" s="31" t="n">
        <x:v>46059</x:v>
      </x:c>
      <x:c r="O630" s="31" t="n">
        <x:v>46058</x:v>
      </x:c>
      <x:c r="P630" s="31" t="n">
        <x:v>46060</x:v>
      </x:c>
      <x:c r="Q630" s="31" t="inlineStr">
        <x:is>
          <x:t xml:space="preserve">Завершено</x:t>
        </x:is>
      </x:c>
      <x:c r="R630" s="31" t="inlineStr">
        <x:is>
          <x:t xml:space="preserve">Нет</x:t>
        </x:is>
      </x:c>
      <x:c r="S630" s="31" t="inlineStr">
        <x:is>
          <x:t xml:space="preserve">Нет</x:t>
        </x:is>
      </x:c>
    </x:row>
    <x:row r="631">
      <x:c r="A631" s="31" t="inlineStr">
        <x:is>
          <x:t xml:space="preserve">ОП-000630</x:t>
        </x:is>
      </x:c>
      <x:c r="B631" s="31" t="inlineStr">
        <x:is>
          <x:t xml:space="preserve">ПЗ-00074</x:t>
        </x:is>
      </x:c>
      <x:c r="C631" s="31" t="inlineStr">
        <x:is>
          <x:t xml:space="preserve">ЗК-1042</x:t>
        </x:is>
      </x:c>
      <x:c r="D631" s="31" t="inlineStr">
        <x:is>
          <x:t xml:space="preserve">ПОЗ-0042-1</x:t>
        </x:is>
      </x:c>
      <x:c r="E631" s="31" t="inlineStr">
        <x:is>
          <x:t xml:space="preserve">ИЗД-001</x:t>
        </x:is>
      </x:c>
      <x:c r="F631" s="31" t="n">
        <x:v>40</x:v>
      </x:c>
      <x:c r="G631" s="31" t="inlineStr">
        <x:is>
          <x:t xml:space="preserve">ОТК</x:t>
        </x:is>
      </x:c>
      <x:c r="H631" s="31" t="inlineStr">
        <x:is>
          <x:t xml:space="preserve">ОТК</x:t>
        </x:is>
      </x:c>
      <x:c r="I631" s="31" t="inlineStr">
        <x:is>
          <x:t xml:space="preserve">ОБ-006</x:t>
        </x:is>
      </x:c>
      <x:c r="J631" s="31" t="inlineStr">
        <x:is>
          <x:t xml:space="preserve">СОТР-063</x:t>
        </x:is>
      </x:c>
      <x:c r="K631" s="31" t="n">
        <x:v>25</x:v>
      </x:c>
      <x:c r="L631" s="31" t="n">
        <x:v>28.9</x:v>
      </x:c>
      <x:c r="M631" s="31" t="n">
        <x:v>46059</x:v>
      </x:c>
      <x:c r="N631" s="31" t="n">
        <x:v>46062</x:v>
      </x:c>
      <x:c r="O631" s="31" t="n">
        <x:v>46059</x:v>
      </x:c>
      <x:c r="P631" s="31" t="n">
        <x:v>46063</x:v>
      </x:c>
      <x:c r="Q631" s="31" t="inlineStr">
        <x:is>
          <x:t xml:space="preserve">Завершено</x:t>
        </x:is>
      </x:c>
      <x:c r="R631" s="31" t="inlineStr">
        <x:is>
          <x:t xml:space="preserve">Нет</x:t>
        </x:is>
      </x:c>
      <x:c r="S631" s="31" t="inlineStr">
        <x:is>
          <x:t xml:space="preserve">Нет</x:t>
        </x:is>
      </x:c>
    </x:row>
    <x:row r="632">
      <x:c r="A632" s="31" t="inlineStr">
        <x:is>
          <x:t xml:space="preserve">ОП-000631</x:t>
        </x:is>
      </x:c>
      <x:c r="B632" s="31" t="inlineStr">
        <x:is>
          <x:t xml:space="preserve">ПЗ-00075</x:t>
        </x:is>
      </x:c>
      <x:c r="C632" s="31" t="inlineStr">
        <x:is>
          <x:t xml:space="preserve">ЗК-1042</x:t>
        </x:is>
      </x:c>
      <x:c r="D632" s="31" t="inlineStr">
        <x:is>
          <x:t xml:space="preserve">ПОЗ-0042-2</x:t>
        </x:is>
      </x:c>
      <x:c r="E632" s="31" t="inlineStr">
        <x:is>
          <x:t xml:space="preserve">ИЗД-018</x:t>
        </x:is>
      </x:c>
      <x:c r="F632" s="31" t="n">
        <x:v>10</x:v>
      </x:c>
      <x:c r="G632" s="31" t="inlineStr">
        <x:is>
          <x:t xml:space="preserve">КД</x:t>
        </x:is>
      </x:c>
      <x:c r="H632" s="31" t="inlineStr">
        <x:is>
          <x:t xml:space="preserve">Инженерный отдел</x:t>
        </x:is>
      </x:c>
      <x:c r="I632" s="31" t="n"/>
      <x:c r="J632" s="31" t="inlineStr">
        <x:is>
          <x:t xml:space="preserve">СОТР-019</x:t>
        </x:is>
      </x:c>
      <x:c r="K632" s="31" t="n">
        <x:v>6.9</x:v>
      </x:c>
      <x:c r="L632" s="31" t="n">
        <x:v>9.199999999999999</x:v>
      </x:c>
      <x:c r="M632" s="31" t="n">
        <x:v>46053</x:v>
      </x:c>
      <x:c r="N632" s="31" t="n">
        <x:v>46054</x:v>
      </x:c>
      <x:c r="O632" s="31" t="n">
        <x:v>46053</x:v>
      </x:c>
      <x:c r="P632" s="31" t="n">
        <x:v>46053</x:v>
      </x:c>
      <x:c r="Q632" s="31" t="inlineStr">
        <x:is>
          <x:t xml:space="preserve">Завершено</x:t>
        </x:is>
      </x:c>
      <x:c r="R632" s="31" t="inlineStr">
        <x:is>
          <x:t xml:space="preserve">Нет</x:t>
        </x:is>
      </x:c>
      <x:c r="S632" s="31" t="inlineStr">
        <x:is>
          <x:t xml:space="preserve">Нет</x:t>
        </x:is>
      </x:c>
    </x:row>
    <x:row r="633">
      <x:c r="A633" s="31" t="inlineStr">
        <x:is>
          <x:t xml:space="preserve">ОП-000632</x:t>
        </x:is>
      </x:c>
      <x:c r="B633" s="31" t="inlineStr">
        <x:is>
          <x:t xml:space="preserve">ПЗ-00075</x:t>
        </x:is>
      </x:c>
      <x:c r="C633" s="31" t="inlineStr">
        <x:is>
          <x:t xml:space="preserve">ЗК-1042</x:t>
        </x:is>
      </x:c>
      <x:c r="D633" s="31" t="inlineStr">
        <x:is>
          <x:t xml:space="preserve">ПОЗ-0042-2</x:t>
        </x:is>
      </x:c>
      <x:c r="E633" s="31" t="inlineStr">
        <x:is>
          <x:t xml:space="preserve">ИЗД-018</x:t>
        </x:is>
      </x:c>
      <x:c r="F633" s="31" t="n">
        <x:v>20</x:v>
      </x:c>
      <x:c r="G633" s="31" t="inlineStr">
        <x:is>
          <x:t xml:space="preserve">Комплектация</x:t>
        </x:is>
      </x:c>
      <x:c r="H633" s="31" t="inlineStr">
        <x:is>
          <x:t xml:space="preserve">Склад</x:t>
        </x:is>
      </x:c>
      <x:c r="I633" s="31" t="inlineStr">
        <x:is>
          <x:t xml:space="preserve">ОБ-009</x:t>
        </x:is>
      </x:c>
      <x:c r="J633" s="31" t="inlineStr">
        <x:is>
          <x:t xml:space="preserve">СОТР-033</x:t>
        </x:is>
      </x:c>
      <x:c r="K633" s="31" t="n">
        <x:v>16.8</x:v>
      </x:c>
      <x:c r="L633" s="31" t="n">
        <x:v>22.1</x:v>
      </x:c>
      <x:c r="M633" s="31" t="n">
        <x:v>46054</x:v>
      </x:c>
      <x:c r="N633" s="31" t="n">
        <x:v>46056</x:v>
      </x:c>
      <x:c r="O633" s="31" t="n">
        <x:v>46054</x:v>
      </x:c>
      <x:c r="P633" s="31" t="n">
        <x:v>46058</x:v>
      </x:c>
      <x:c r="Q633" s="31" t="inlineStr">
        <x:is>
          <x:t xml:space="preserve">Завершено</x:t>
        </x:is>
      </x:c>
      <x:c r="R633" s="31" t="inlineStr">
        <x:is>
          <x:t xml:space="preserve">Материал</x:t>
        </x:is>
      </x:c>
      <x:c r="S633" s="31" t="inlineStr">
        <x:is>
          <x:t xml:space="preserve">Да</x:t>
        </x:is>
      </x:c>
    </x:row>
    <x:row r="634">
      <x:c r="A634" s="31" t="inlineStr">
        <x:is>
          <x:t xml:space="preserve">ОП-000633</x:t>
        </x:is>
      </x:c>
      <x:c r="B634" s="31" t="inlineStr">
        <x:is>
          <x:t xml:space="preserve">ПЗ-00075</x:t>
        </x:is>
      </x:c>
      <x:c r="C634" s="31" t="inlineStr">
        <x:is>
          <x:t xml:space="preserve">ЗК-1042</x:t>
        </x:is>
      </x:c>
      <x:c r="D634" s="31" t="inlineStr">
        <x:is>
          <x:t xml:space="preserve">ПОЗ-0042-2</x:t>
        </x:is>
      </x:c>
      <x:c r="E634" s="31" t="inlineStr">
        <x:is>
          <x:t xml:space="preserve">ИЗД-018</x:t>
        </x:is>
      </x:c>
      <x:c r="F634" s="31" t="n">
        <x:v>30</x:v>
      </x:c>
      <x:c r="G634" s="31" t="inlineStr">
        <x:is>
          <x:t xml:space="preserve">Сборка шкафа</x:t>
        </x:is>
      </x:c>
      <x:c r="H634" s="31" t="inlineStr">
        <x:is>
          <x:t xml:space="preserve">Сборка</x:t>
        </x:is>
      </x:c>
      <x:c r="I634" s="31" t="inlineStr">
        <x:is>
          <x:t xml:space="preserve">ОБ-034</x:t>
        </x:is>
      </x:c>
      <x:c r="J634" s="31" t="inlineStr">
        <x:is>
          <x:t xml:space="preserve">СОТР-077</x:t>
        </x:is>
      </x:c>
      <x:c r="K634" s="31" t="n">
        <x:v>6.6</x:v>
      </x:c>
      <x:c r="L634" s="31" t="n">
        <x:v>5.6</x:v>
      </x:c>
      <x:c r="M634" s="31" t="n">
        <x:v>46056</x:v>
      </x:c>
      <x:c r="N634" s="31" t="n">
        <x:v>46057</x:v>
      </x:c>
      <x:c r="O634" s="31" t="n">
        <x:v>46056</x:v>
      </x:c>
      <x:c r="P634" s="31" t="n">
        <x:v>46056</x:v>
      </x:c>
      <x:c r="Q634" s="31" t="inlineStr">
        <x:is>
          <x:t xml:space="preserve">Завершено</x:t>
        </x:is>
      </x:c>
      <x:c r="R634" s="31" t="inlineStr">
        <x:is>
          <x:t xml:space="preserve">Нет</x:t>
        </x:is>
      </x:c>
      <x:c r="S634" s="31" t="inlineStr">
        <x:is>
          <x:t xml:space="preserve">Нет</x:t>
        </x:is>
      </x:c>
    </x:row>
    <x:row r="635">
      <x:c r="A635" s="31" t="inlineStr">
        <x:is>
          <x:t xml:space="preserve">ОП-000634</x:t>
        </x:is>
      </x:c>
      <x:c r="B635" s="31" t="inlineStr">
        <x:is>
          <x:t xml:space="preserve">ПЗ-00075</x:t>
        </x:is>
      </x:c>
      <x:c r="C635" s="31" t="inlineStr">
        <x:is>
          <x:t xml:space="preserve">ЗК-1042</x:t>
        </x:is>
      </x:c>
      <x:c r="D635" s="31" t="inlineStr">
        <x:is>
          <x:t xml:space="preserve">ПОЗ-0042-2</x:t>
        </x:is>
      </x:c>
      <x:c r="E635" s="31" t="inlineStr">
        <x:is>
          <x:t xml:space="preserve">ИЗД-018</x:t>
        </x:is>
      </x:c>
      <x:c r="F635" s="31" t="n">
        <x:v>40</x:v>
      </x:c>
      <x:c r="G635" s="31" t="inlineStr">
        <x:is>
          <x:t xml:space="preserve">Маркировка</x:t>
        </x:is>
      </x:c>
      <x:c r="H635" s="31" t="inlineStr">
        <x:is>
          <x:t xml:space="preserve">Сборка</x:t>
        </x:is>
      </x:c>
      <x:c r="I635" s="31" t="inlineStr">
        <x:is>
          <x:t xml:space="preserve">ОБ-016</x:t>
        </x:is>
      </x:c>
      <x:c r="J635" s="31" t="inlineStr">
        <x:is>
          <x:t xml:space="preserve">СОТР-081</x:t>
        </x:is>
      </x:c>
      <x:c r="K635" s="31" t="n">
        <x:v>25.8</x:v>
      </x:c>
      <x:c r="L635" s="31" t="n">
        <x:v>22.9</x:v>
      </x:c>
      <x:c r="M635" s="31" t="n">
        <x:v>46057</x:v>
      </x:c>
      <x:c r="N635" s="31" t="n">
        <x:v>46060</x:v>
      </x:c>
      <x:c r="O635" s="31" t="n">
        <x:v>46057</x:v>
      </x:c>
      <x:c r="P635" s="31" t="n">
        <x:v>46061</x:v>
      </x:c>
      <x:c r="Q635" s="31" t="inlineStr">
        <x:is>
          <x:t xml:space="preserve">Завершено</x:t>
        </x:is>
      </x:c>
      <x:c r="R635" s="31" t="inlineStr">
        <x:is>
          <x:t xml:space="preserve">Нет</x:t>
        </x:is>
      </x:c>
      <x:c r="S635" s="31" t="inlineStr">
        <x:is>
          <x:t xml:space="preserve">Да</x:t>
        </x:is>
      </x:c>
    </x:row>
    <x:row r="636">
      <x:c r="A636" s="31" t="inlineStr">
        <x:is>
          <x:t xml:space="preserve">ОП-000635</x:t>
        </x:is>
      </x:c>
      <x:c r="B636" s="31" t="inlineStr">
        <x:is>
          <x:t xml:space="preserve">ПЗ-00075</x:t>
        </x:is>
      </x:c>
      <x:c r="C636" s="31" t="inlineStr">
        <x:is>
          <x:t xml:space="preserve">ЗК-1042</x:t>
        </x:is>
      </x:c>
      <x:c r="D636" s="31" t="inlineStr">
        <x:is>
          <x:t xml:space="preserve">ПОЗ-0042-2</x:t>
        </x:is>
      </x:c>
      <x:c r="E636" s="31" t="inlineStr">
        <x:is>
          <x:t xml:space="preserve">ИЗД-018</x:t>
        </x:is>
      </x:c>
      <x:c r="F636" s="31" t="n">
        <x:v>50</x:v>
      </x:c>
      <x:c r="G636" s="31" t="inlineStr">
        <x:is>
          <x:t xml:space="preserve">Электромонтаж</x:t>
        </x:is>
      </x:c>
      <x:c r="H636" s="31" t="inlineStr">
        <x:is>
          <x:t xml:space="preserve">Сборка</x:t>
        </x:is>
      </x:c>
      <x:c r="I636" s="31" t="inlineStr">
        <x:is>
          <x:t xml:space="preserve">ОБ-017</x:t>
        </x:is>
      </x:c>
      <x:c r="J636" s="31" t="inlineStr">
        <x:is>
          <x:t xml:space="preserve">СОТР-081</x:t>
        </x:is>
      </x:c>
      <x:c r="K636" s="31" t="n">
        <x:v>11.7</x:v>
      </x:c>
      <x:c r="L636" s="31" t="n">
        <x:v>12.1</x:v>
      </x:c>
      <x:c r="M636" s="31" t="n">
        <x:v>46060</x:v>
      </x:c>
      <x:c r="N636" s="31" t="n">
        <x:v>46061</x:v>
      </x:c>
      <x:c r="O636" s="31" t="n">
        <x:v>46060</x:v>
      </x:c>
      <x:c r="P636" s="31" t="n">
        <x:v>46061</x:v>
      </x:c>
      <x:c r="Q636" s="31" t="inlineStr">
        <x:is>
          <x:t xml:space="preserve">Завершено</x:t>
        </x:is>
      </x:c>
      <x:c r="R636" s="31" t="inlineStr">
        <x:is>
          <x:t xml:space="preserve">Оборудование</x:t>
        </x:is>
      </x:c>
      <x:c r="S636" s="31" t="inlineStr">
        <x:is>
          <x:t xml:space="preserve">Нет</x:t>
        </x:is>
      </x:c>
    </x:row>
    <x:row r="637">
      <x:c r="A637" s="31" t="inlineStr">
        <x:is>
          <x:t xml:space="preserve">ОП-000636</x:t>
        </x:is>
      </x:c>
      <x:c r="B637" s="31" t="inlineStr">
        <x:is>
          <x:t xml:space="preserve">ПЗ-00075</x:t>
        </x:is>
      </x:c>
      <x:c r="C637" s="31" t="inlineStr">
        <x:is>
          <x:t xml:space="preserve">ЗК-1042</x:t>
        </x:is>
      </x:c>
      <x:c r="D637" s="31" t="inlineStr">
        <x:is>
          <x:t xml:space="preserve">ПОЗ-0042-2</x:t>
        </x:is>
      </x:c>
      <x:c r="E637" s="31" t="inlineStr">
        <x:is>
          <x:t xml:space="preserve">ИЗД-018</x:t>
        </x:is>
      </x:c>
      <x:c r="F637" s="31" t="n">
        <x:v>60</x:v>
      </x:c>
      <x:c r="G637" s="31" t="inlineStr">
        <x:is>
          <x:t xml:space="preserve">Программирование ПЛК</x:t>
        </x:is>
      </x:c>
      <x:c r="H637" s="31" t="inlineStr">
        <x:is>
          <x:t xml:space="preserve">Инженерный отдел</x:t>
        </x:is>
      </x:c>
      <x:c r="I637" s="31" t="n"/>
      <x:c r="J637" s="31" t="inlineStr">
        <x:is>
          <x:t xml:space="preserve">СОТР-015</x:t>
        </x:is>
      </x:c>
      <x:c r="K637" s="31" t="n">
        <x:v>19.5</x:v>
      </x:c>
      <x:c r="L637" s="31" t="n">
        <x:v>16.1</x:v>
      </x:c>
      <x:c r="M637" s="31" t="n">
        <x:v>46061</x:v>
      </x:c>
      <x:c r="N637" s="31" t="n">
        <x:v>46063</x:v>
      </x:c>
      <x:c r="O637" s="31" t="n">
        <x:v>46061</x:v>
      </x:c>
      <x:c r="P637" s="31" t="n">
        <x:v>46065</x:v>
      </x:c>
      <x:c r="Q637" s="31" t="inlineStr">
        <x:is>
          <x:t xml:space="preserve">Завершено</x:t>
        </x:is>
      </x:c>
      <x:c r="R637" s="31" t="inlineStr">
        <x:is>
          <x:t xml:space="preserve">Нет</x:t>
        </x:is>
      </x:c>
      <x:c r="S637" s="31" t="inlineStr">
        <x:is>
          <x:t xml:space="preserve">Нет</x:t>
        </x:is>
      </x:c>
    </x:row>
    <x:row r="638">
      <x:c r="A638" s="31" t="inlineStr">
        <x:is>
          <x:t xml:space="preserve">ОП-000637</x:t>
        </x:is>
      </x:c>
      <x:c r="B638" s="31" t="inlineStr">
        <x:is>
          <x:t xml:space="preserve">ПЗ-00075</x:t>
        </x:is>
      </x:c>
      <x:c r="C638" s="31" t="inlineStr">
        <x:is>
          <x:t xml:space="preserve">ЗК-1042</x:t>
        </x:is>
      </x:c>
      <x:c r="D638" s="31" t="inlineStr">
        <x:is>
          <x:t xml:space="preserve">ПОЗ-0042-2</x:t>
        </x:is>
      </x:c>
      <x:c r="E638" s="31" t="inlineStr">
        <x:is>
          <x:t xml:space="preserve">ИЗД-018</x:t>
        </x:is>
      </x:c>
      <x:c r="F638" s="31" t="n">
        <x:v>70</x:v>
      </x:c>
      <x:c r="G638" s="31" t="inlineStr">
        <x:is>
          <x:t xml:space="preserve">Приемочные испытания</x:t>
        </x:is>
      </x:c>
      <x:c r="H638" s="31" t="inlineStr">
        <x:is>
          <x:t xml:space="preserve">ОТК</x:t>
        </x:is>
      </x:c>
      <x:c r="I638" s="31" t="inlineStr">
        <x:is>
          <x:t xml:space="preserve">ОБ-033</x:t>
        </x:is>
      </x:c>
      <x:c r="J638" s="31" t="inlineStr">
        <x:is>
          <x:t xml:space="preserve">СОТР-093</x:t>
        </x:is>
      </x:c>
      <x:c r="K638" s="31" t="n">
        <x:v>29.7</x:v>
      </x:c>
      <x:c r="L638" s="31" t="n">
        <x:v>35.1</x:v>
      </x:c>
      <x:c r="M638" s="31" t="n">
        <x:v>46063</x:v>
      </x:c>
      <x:c r="N638" s="31" t="n">
        <x:v>46066</x:v>
      </x:c>
      <x:c r="O638" s="31" t="n">
        <x:v>46063</x:v>
      </x:c>
      <x:c r="P638" s="31" t="n">
        <x:v>46065</x:v>
      </x:c>
      <x:c r="Q638" s="31" t="inlineStr">
        <x:is>
          <x:t xml:space="preserve">Завершено</x:t>
        </x:is>
      </x:c>
      <x:c r="R638" s="31" t="inlineStr">
        <x:is>
          <x:t xml:space="preserve">Нет</x:t>
        </x:is>
      </x:c>
      <x:c r="S638" s="31" t="inlineStr">
        <x:is>
          <x:t xml:space="preserve">Нет</x:t>
        </x:is>
      </x:c>
    </x:row>
    <x:row r="639">
      <x:c r="A639" s="31" t="inlineStr">
        <x:is>
          <x:t xml:space="preserve">ОП-000638</x:t>
        </x:is>
      </x:c>
      <x:c r="B639" s="31" t="inlineStr">
        <x:is>
          <x:t xml:space="preserve">ПЗ-00075</x:t>
        </x:is>
      </x:c>
      <x:c r="C639" s="31" t="inlineStr">
        <x:is>
          <x:t xml:space="preserve">ЗК-1042</x:t>
        </x:is>
      </x:c>
      <x:c r="D639" s="31" t="inlineStr">
        <x:is>
          <x:t xml:space="preserve">ПОЗ-0042-2</x:t>
        </x:is>
      </x:c>
      <x:c r="E639" s="31" t="inlineStr">
        <x:is>
          <x:t xml:space="preserve">ИЗД-018</x:t>
        </x:is>
      </x:c>
      <x:c r="F639" s="31" t="n">
        <x:v>80</x:v>
      </x:c>
      <x:c r="G639" s="31" t="inlineStr">
        <x:is>
          <x:t xml:space="preserve">ОТК</x:t>
        </x:is>
      </x:c>
      <x:c r="H639" s="31" t="inlineStr">
        <x:is>
          <x:t xml:space="preserve">ОТК</x:t>
        </x:is>
      </x:c>
      <x:c r="I639" s="31" t="inlineStr">
        <x:is>
          <x:t xml:space="preserve">ОБ-006</x:t>
        </x:is>
      </x:c>
      <x:c r="J639" s="31" t="inlineStr">
        <x:is>
          <x:t xml:space="preserve">СОТР-093</x:t>
        </x:is>
      </x:c>
      <x:c r="K639" s="31" t="n">
        <x:v>9.300000000000001</x:v>
      </x:c>
      <x:c r="L639" s="31" t="n">
        <x:v>12.1</x:v>
      </x:c>
      <x:c r="M639" s="31" t="n">
        <x:v>46066</x:v>
      </x:c>
      <x:c r="N639" s="31" t="n">
        <x:v>46067</x:v>
      </x:c>
      <x:c r="O639" s="31" t="n">
        <x:v>46066</x:v>
      </x:c>
      <x:c r="P639" s="31" t="n">
        <x:v>46067</x:v>
      </x:c>
      <x:c r="Q639" s="31" t="inlineStr">
        <x:is>
          <x:t xml:space="preserve">Завершено</x:t>
        </x:is>
      </x:c>
      <x:c r="R639" s="31" t="inlineStr">
        <x:is>
          <x:t xml:space="preserve">Нет</x:t>
        </x:is>
      </x:c>
      <x:c r="S639" s="31" t="inlineStr">
        <x:is>
          <x:t xml:space="preserve">Нет</x:t>
        </x:is>
      </x:c>
    </x:row>
    <x:row r="640">
      <x:c r="A640" s="31" t="inlineStr">
        <x:is>
          <x:t xml:space="preserve">ОП-000639</x:t>
        </x:is>
      </x:c>
      <x:c r="B640" s="31" t="inlineStr">
        <x:is>
          <x:t xml:space="preserve">ПЗ-00075</x:t>
        </x:is>
      </x:c>
      <x:c r="C640" s="31" t="inlineStr">
        <x:is>
          <x:t xml:space="preserve">ЗК-1042</x:t>
        </x:is>
      </x:c>
      <x:c r="D640" s="31" t="inlineStr">
        <x:is>
          <x:t xml:space="preserve">ПОЗ-0042-2</x:t>
        </x:is>
      </x:c>
      <x:c r="E640" s="31" t="inlineStr">
        <x:is>
          <x:t xml:space="preserve">ИЗД-018</x:t>
        </x:is>
      </x:c>
      <x:c r="F640" s="31" t="n">
        <x:v>90</x:v>
      </x:c>
      <x:c r="G640" s="31" t="inlineStr">
        <x:is>
          <x:t xml:space="preserve">Упаковка</x:t>
        </x:is>
      </x:c>
      <x:c r="H640" s="31" t="inlineStr">
        <x:is>
          <x:t xml:space="preserve">Логистика</x:t>
        </x:is>
      </x:c>
      <x:c r="I640" s="31" t="n"/>
      <x:c r="J640" s="31" t="inlineStr">
        <x:is>
          <x:t xml:space="preserve">СОТР-103</x:t>
        </x:is>
      </x:c>
      <x:c r="K640" s="31" t="n">
        <x:v>6.9</x:v>
      </x:c>
      <x:c r="L640" s="31" t="n">
        <x:v>7.1</x:v>
      </x:c>
      <x:c r="M640" s="31" t="n">
        <x:v>46067</x:v>
      </x:c>
      <x:c r="N640" s="31" t="n">
        <x:v>46068</x:v>
      </x:c>
      <x:c r="O640" s="31" t="n">
        <x:v>46067</x:v>
      </x:c>
      <x:c r="P640" s="31" t="n">
        <x:v>46069</x:v>
      </x:c>
      <x:c r="Q640" s="31" t="inlineStr">
        <x:is>
          <x:t xml:space="preserve">Завершено</x:t>
        </x:is>
      </x:c>
      <x:c r="R640" s="31" t="inlineStr">
        <x:is>
          <x:t xml:space="preserve">Нет</x:t>
        </x:is>
      </x:c>
      <x:c r="S640" s="31" t="inlineStr">
        <x:is>
          <x:t xml:space="preserve">Нет</x:t>
        </x:is>
      </x:c>
    </x:row>
    <x:row r="641">
      <x:c r="A641" s="31" t="inlineStr">
        <x:is>
          <x:t xml:space="preserve">ОП-000640</x:t>
        </x:is>
      </x:c>
      <x:c r="B641" s="31" t="inlineStr">
        <x:is>
          <x:t xml:space="preserve">ПЗ-00076</x:t>
        </x:is>
      </x:c>
      <x:c r="C641" s="31" t="inlineStr">
        <x:is>
          <x:t xml:space="preserve">ЗК-1043</x:t>
        </x:is>
      </x:c>
      <x:c r="D641" s="31" t="inlineStr">
        <x:is>
          <x:t xml:space="preserve">ПОЗ-0043-1</x:t>
        </x:is>
      </x:c>
      <x:c r="E641" s="31" t="inlineStr">
        <x:is>
          <x:t xml:space="preserve">ИЗД-005</x:t>
        </x:is>
      </x:c>
      <x:c r="F641" s="31" t="n">
        <x:v>10</x:v>
      </x:c>
      <x:c r="G641" s="31" t="inlineStr">
        <x:is>
          <x:t xml:space="preserve">КД</x:t>
        </x:is>
      </x:c>
      <x:c r="H641" s="31" t="inlineStr">
        <x:is>
          <x:t xml:space="preserve">Инженерный отдел</x:t>
        </x:is>
      </x:c>
      <x:c r="I641" s="31" t="n"/>
      <x:c r="J641" s="31" t="inlineStr">
        <x:is>
          <x:t xml:space="preserve">СОТР-016</x:t>
        </x:is>
      </x:c>
      <x:c r="K641" s="31" t="n">
        <x:v>15</x:v>
      </x:c>
      <x:c r="L641" s="31" t="n">
        <x:v>12.3</x:v>
      </x:c>
      <x:c r="M641" s="31" t="n">
        <x:v>46109</x:v>
      </x:c>
      <x:c r="N641" s="31" t="n">
        <x:v>46111</x:v>
      </x:c>
      <x:c r="O641" s="31" t="n">
        <x:v>46109</x:v>
      </x:c>
      <x:c r="P641" s="31" t="n">
        <x:v>46110</x:v>
      </x:c>
      <x:c r="Q641" s="31" t="inlineStr">
        <x:is>
          <x:t xml:space="preserve">Завершено</x:t>
        </x:is>
      </x:c>
      <x:c r="R641" s="31" t="inlineStr">
        <x:is>
          <x:t xml:space="preserve">Оборудование</x:t>
        </x:is>
      </x:c>
      <x:c r="S641" s="31" t="inlineStr">
        <x:is>
          <x:t xml:space="preserve">Нет</x:t>
        </x:is>
      </x:c>
    </x:row>
    <x:row r="642">
      <x:c r="A642" s="31" t="inlineStr">
        <x:is>
          <x:t xml:space="preserve">ОП-000641</x:t>
        </x:is>
      </x:c>
      <x:c r="B642" s="31" t="inlineStr">
        <x:is>
          <x:t xml:space="preserve">ПЗ-00076</x:t>
        </x:is>
      </x:c>
      <x:c r="C642" s="31" t="inlineStr">
        <x:is>
          <x:t xml:space="preserve">ЗК-1043</x:t>
        </x:is>
      </x:c>
      <x:c r="D642" s="31" t="inlineStr">
        <x:is>
          <x:t xml:space="preserve">ПОЗ-0043-1</x:t>
        </x:is>
      </x:c>
      <x:c r="E642" s="31" t="inlineStr">
        <x:is>
          <x:t xml:space="preserve">ИЗД-005</x:t>
        </x:is>
      </x:c>
      <x:c r="F642" s="31" t="n">
        <x:v>20</x:v>
      </x:c>
      <x:c r="G642" s="31" t="inlineStr">
        <x:is>
          <x:t xml:space="preserve">Резерв материалов</x:t>
        </x:is>
      </x:c>
      <x:c r="H642" s="31" t="inlineStr">
        <x:is>
          <x:t xml:space="preserve">Склад</x:t>
        </x:is>
      </x:c>
      <x:c r="I642" s="31" t="inlineStr">
        <x:is>
          <x:t xml:space="preserve">ОБ-011</x:t>
        </x:is>
      </x:c>
      <x:c r="J642" s="31" t="inlineStr">
        <x:is>
          <x:t xml:space="preserve">СОТР-034</x:t>
        </x:is>
      </x:c>
      <x:c r="K642" s="31" t="n">
        <x:v>3</x:v>
      </x:c>
      <x:c r="L642" s="31" t="n">
        <x:v>2.5</x:v>
      </x:c>
      <x:c r="M642" s="31" t="n">
        <x:v>46111</x:v>
      </x:c>
      <x:c r="N642" s="31" t="n">
        <x:v>46112</x:v>
      </x:c>
      <x:c r="O642" s="31" t="n">
        <x:v>46111</x:v>
      </x:c>
      <x:c r="P642" s="31" t="n">
        <x:v>46112</x:v>
      </x:c>
      <x:c r="Q642" s="31" t="inlineStr">
        <x:is>
          <x:t xml:space="preserve">Завершено</x:t>
        </x:is>
      </x:c>
      <x:c r="R642" s="31" t="inlineStr">
        <x:is>
          <x:t xml:space="preserve">Нет</x:t>
        </x:is>
      </x:c>
      <x:c r="S642" s="31" t="inlineStr">
        <x:is>
          <x:t xml:space="preserve">Нет</x:t>
        </x:is>
      </x:c>
    </x:row>
    <x:row r="643">
      <x:c r="A643" s="31" t="inlineStr">
        <x:is>
          <x:t xml:space="preserve">ОП-000642</x:t>
        </x:is>
      </x:c>
      <x:c r="B643" s="31" t="inlineStr">
        <x:is>
          <x:t xml:space="preserve">ПЗ-00076</x:t>
        </x:is>
      </x:c>
      <x:c r="C643" s="31" t="inlineStr">
        <x:is>
          <x:t xml:space="preserve">ЗК-1043</x:t>
        </x:is>
      </x:c>
      <x:c r="D643" s="31" t="inlineStr">
        <x:is>
          <x:t xml:space="preserve">ПОЗ-0043-1</x:t>
        </x:is>
      </x:c>
      <x:c r="E643" s="31" t="inlineStr">
        <x:is>
          <x:t xml:space="preserve">ИЗД-005</x:t>
        </x:is>
      </x:c>
      <x:c r="F643" s="31" t="n">
        <x:v>30</x:v>
      </x:c>
      <x:c r="G643" s="31" t="inlineStr">
        <x:is>
          <x:t xml:space="preserve">Резка металла</x:t>
        </x:is>
      </x:c>
      <x:c r="H643" s="31" t="inlineStr">
        <x:is>
          <x:t xml:space="preserve">Сварка</x:t>
        </x:is>
      </x:c>
      <x:c r="I643" s="31" t="inlineStr">
        <x:is>
          <x:t xml:space="preserve">ОБ-018</x:t>
        </x:is>
      </x:c>
      <x:c r="J643" s="31" t="inlineStr">
        <x:is>
          <x:t xml:space="preserve">СОТР-071</x:t>
        </x:is>
      </x:c>
      <x:c r="K643" s="31" t="n">
        <x:v>22.8</x:v>
      </x:c>
      <x:c r="L643" s="31" t="n">
        <x:v>19.7</x:v>
      </x:c>
      <x:c r="M643" s="31" t="n">
        <x:v>46112</x:v>
      </x:c>
      <x:c r="N643" s="31" t="n">
        <x:v>46114</x:v>
      </x:c>
      <x:c r="O643" s="31" t="n">
        <x:v>46112</x:v>
      </x:c>
      <x:c r="P643" s="31" t="n">
        <x:v>46114</x:v>
      </x:c>
      <x:c r="Q643" s="31" t="inlineStr">
        <x:is>
          <x:t xml:space="preserve">Завершено</x:t>
        </x:is>
      </x:c>
      <x:c r="R643" s="31" t="inlineStr">
        <x:is>
          <x:t xml:space="preserve">Нет</x:t>
        </x:is>
      </x:c>
      <x:c r="S643" s="31" t="inlineStr">
        <x:is>
          <x:t xml:space="preserve">Нет</x:t>
        </x:is>
      </x:c>
    </x:row>
    <x:row r="644">
      <x:c r="A644" s="31" t="inlineStr">
        <x:is>
          <x:t xml:space="preserve">ОП-000643</x:t>
        </x:is>
      </x:c>
      <x:c r="B644" s="31" t="inlineStr">
        <x:is>
          <x:t xml:space="preserve">ПЗ-00076</x:t>
        </x:is>
      </x:c>
      <x:c r="C644" s="31" t="inlineStr">
        <x:is>
          <x:t xml:space="preserve">ЗК-1043</x:t>
        </x:is>
      </x:c>
      <x:c r="D644" s="31" t="inlineStr">
        <x:is>
          <x:t xml:space="preserve">ПОЗ-0043-1</x:t>
        </x:is>
      </x:c>
      <x:c r="E644" s="31" t="inlineStr">
        <x:is>
          <x:t xml:space="preserve">ИЗД-005</x:t>
        </x:is>
      </x:c>
      <x:c r="F644" s="31" t="n">
        <x:v>40</x:v>
      </x:c>
      <x:c r="G644" s="31" t="inlineStr">
        <x:is>
          <x:t xml:space="preserve">Сварка рамы</x:t>
        </x:is>
      </x:c>
      <x:c r="H644" s="31" t="inlineStr">
        <x:is>
          <x:t xml:space="preserve">Сварка</x:t>
        </x:is>
      </x:c>
      <x:c r="I644" s="31" t="inlineStr">
        <x:is>
          <x:t xml:space="preserve">ОБ-026</x:t>
        </x:is>
      </x:c>
      <x:c r="J644" s="31" t="inlineStr">
        <x:is>
          <x:t xml:space="preserve">СОТР-066</x:t>
        </x:is>
      </x:c>
      <x:c r="K644" s="31" t="n">
        <x:v>4.2</x:v>
      </x:c>
      <x:c r="L644" s="31" t="n">
        <x:v>5.1</x:v>
      </x:c>
      <x:c r="M644" s="31" t="n">
        <x:v>46114</x:v>
      </x:c>
      <x:c r="N644" s="31" t="n">
        <x:v>46115</x:v>
      </x:c>
      <x:c r="O644" s="31" t="n">
        <x:v>46114</x:v>
      </x:c>
      <x:c r="P644" s="31" t="n">
        <x:v>46114</x:v>
      </x:c>
      <x:c r="Q644" s="31" t="inlineStr">
        <x:is>
          <x:t xml:space="preserve">Завершено</x:t>
        </x:is>
      </x:c>
      <x:c r="R644" s="31" t="inlineStr">
        <x:is>
          <x:t xml:space="preserve">Нет</x:t>
        </x:is>
      </x:c>
      <x:c r="S644" s="31" t="inlineStr">
        <x:is>
          <x:t xml:space="preserve">Нет</x:t>
        </x:is>
      </x:c>
    </x:row>
    <x:row r="645">
      <x:c r="A645" s="31" t="inlineStr">
        <x:is>
          <x:t xml:space="preserve">ОП-000644</x:t>
        </x:is>
      </x:c>
      <x:c r="B645" s="31" t="inlineStr">
        <x:is>
          <x:t xml:space="preserve">ПЗ-00076</x:t>
        </x:is>
      </x:c>
      <x:c r="C645" s="31" t="inlineStr">
        <x:is>
          <x:t xml:space="preserve">ЗК-1043</x:t>
        </x:is>
      </x:c>
      <x:c r="D645" s="31" t="inlineStr">
        <x:is>
          <x:t xml:space="preserve">ПОЗ-0043-1</x:t>
        </x:is>
      </x:c>
      <x:c r="E645" s="31" t="inlineStr">
        <x:is>
          <x:t xml:space="preserve">ИЗД-005</x:t>
        </x:is>
      </x:c>
      <x:c r="F645" s="31" t="n">
        <x:v>50</x:v>
      </x:c>
      <x:c r="G645" s="31" t="inlineStr">
        <x:is>
          <x:t xml:space="preserve">Механообработка</x:t>
        </x:is>
      </x:c>
      <x:c r="H645" s="31" t="inlineStr">
        <x:is>
          <x:t xml:space="preserve">Механообработка</x:t>
        </x:is>
      </x:c>
      <x:c r="I645" s="31" t="inlineStr">
        <x:is>
          <x:t xml:space="preserve">ОБ-030</x:t>
        </x:is>
      </x:c>
      <x:c r="J645" s="31" t="inlineStr">
        <x:is>
          <x:t xml:space="preserve">СОТР-041</x:t>
        </x:is>
      </x:c>
      <x:c r="K645" s="31" t="n">
        <x:v>3.9</x:v>
      </x:c>
      <x:c r="L645" s="31" t="n">
        <x:v>5.3</x:v>
      </x:c>
      <x:c r="M645" s="31" t="n">
        <x:v>46115</x:v>
      </x:c>
      <x:c r="N645" s="31" t="n">
        <x:v>46116</x:v>
      </x:c>
      <x:c r="O645" s="31" t="n">
        <x:v>46115</x:v>
      </x:c>
      <x:c r="P645" s="31" t="n">
        <x:v>46118</x:v>
      </x:c>
      <x:c r="Q645" s="31" t="inlineStr">
        <x:is>
          <x:t xml:space="preserve">Завершено</x:t>
        </x:is>
      </x:c>
      <x:c r="R645" s="31" t="inlineStr">
        <x:is>
          <x:t xml:space="preserve">Оборудование</x:t>
        </x:is>
      </x:c>
      <x:c r="S645" s="31" t="inlineStr">
        <x:is>
          <x:t xml:space="preserve">Нет</x:t>
        </x:is>
      </x:c>
    </x:row>
    <x:row r="646">
      <x:c r="A646" s="31" t="inlineStr">
        <x:is>
          <x:t xml:space="preserve">ОП-000645</x:t>
        </x:is>
      </x:c>
      <x:c r="B646" s="31" t="inlineStr">
        <x:is>
          <x:t xml:space="preserve">ПЗ-00076</x:t>
        </x:is>
      </x:c>
      <x:c r="C646" s="31" t="inlineStr">
        <x:is>
          <x:t xml:space="preserve">ЗК-1043</x:t>
        </x:is>
      </x:c>
      <x:c r="D646" s="31" t="inlineStr">
        <x:is>
          <x:t xml:space="preserve">ПОЗ-0043-1</x:t>
        </x:is>
      </x:c>
      <x:c r="E646" s="31" t="inlineStr">
        <x:is>
          <x:t xml:space="preserve">ИЗД-005</x:t>
        </x:is>
      </x:c>
      <x:c r="F646" s="31" t="n">
        <x:v>60</x:v>
      </x:c>
      <x:c r="G646" s="31" t="inlineStr">
        <x:is>
          <x:t xml:space="preserve">Сборка</x:t>
        </x:is>
      </x:c>
      <x:c r="H646" s="31" t="inlineStr">
        <x:is>
          <x:t xml:space="preserve">Сборка</x:t>
        </x:is>
      </x:c>
      <x:c r="I646" s="31" t="inlineStr">
        <x:is>
          <x:t xml:space="preserve">ОБ-005</x:t>
        </x:is>
      </x:c>
      <x:c r="J646" s="31" t="inlineStr">
        <x:is>
          <x:t xml:space="preserve">СОТР-079</x:t>
        </x:is>
      </x:c>
      <x:c r="K646" s="31" t="n">
        <x:v>21.3</x:v>
      </x:c>
      <x:c r="L646" s="31" t="n">
        <x:v>24.3</x:v>
      </x:c>
      <x:c r="M646" s="31" t="n">
        <x:v>46116</x:v>
      </x:c>
      <x:c r="N646" s="31" t="n">
        <x:v>46118</x:v>
      </x:c>
      <x:c r="O646" s="31" t="n">
        <x:v>46116</x:v>
      </x:c>
      <x:c r="P646" s="31" t="n">
        <x:v>46120</x:v>
      </x:c>
      <x:c r="Q646" s="31" t="inlineStr">
        <x:is>
          <x:t xml:space="preserve">Завершено</x:t>
        </x:is>
      </x:c>
      <x:c r="R646" s="31" t="inlineStr">
        <x:is>
          <x:t xml:space="preserve">Нет</x:t>
        </x:is>
      </x:c>
      <x:c r="S646" s="31" t="inlineStr">
        <x:is>
          <x:t xml:space="preserve">Нет</x:t>
        </x:is>
      </x:c>
    </x:row>
    <x:row r="647">
      <x:c r="A647" s="31" t="inlineStr">
        <x:is>
          <x:t xml:space="preserve">ОП-000646</x:t>
        </x:is>
      </x:c>
      <x:c r="B647" s="31" t="inlineStr">
        <x:is>
          <x:t xml:space="preserve">ПЗ-00076</x:t>
        </x:is>
      </x:c>
      <x:c r="C647" s="31" t="inlineStr">
        <x:is>
          <x:t xml:space="preserve">ЗК-1043</x:t>
        </x:is>
      </x:c>
      <x:c r="D647" s="31" t="inlineStr">
        <x:is>
          <x:t xml:space="preserve">ПОЗ-0043-1</x:t>
        </x:is>
      </x:c>
      <x:c r="E647" s="31" t="inlineStr">
        <x:is>
          <x:t xml:space="preserve">ИЗД-005</x:t>
        </x:is>
      </x:c>
      <x:c r="F647" s="31" t="n">
        <x:v>70</x:v>
      </x:c>
      <x:c r="G647" s="31" t="inlineStr">
        <x:is>
          <x:t xml:space="preserve">Электромонтаж</x:t>
        </x:is>
      </x:c>
      <x:c r="H647" s="31" t="inlineStr">
        <x:is>
          <x:t xml:space="preserve">Сборка</x:t>
        </x:is>
      </x:c>
      <x:c r="I647" s="31" t="inlineStr">
        <x:is>
          <x:t xml:space="preserve">ОБ-020</x:t>
        </x:is>
      </x:c>
      <x:c r="J647" s="31" t="inlineStr">
        <x:is>
          <x:t xml:space="preserve">СОТР-086</x:t>
        </x:is>
      </x:c>
      <x:c r="K647" s="31" t="n">
        <x:v>18.9</x:v>
      </x:c>
      <x:c r="L647" s="31" t="n">
        <x:v>24.5</x:v>
      </x:c>
      <x:c r="M647" s="31" t="n">
        <x:v>46118</x:v>
      </x:c>
      <x:c r="N647" s="31" t="n">
        <x:v>46120</x:v>
      </x:c>
      <x:c r="O647" s="31" t="n">
        <x:v>46118</x:v>
      </x:c>
      <x:c r="P647" s="31" t="n">
        <x:v>46120</x:v>
      </x:c>
      <x:c r="Q647" s="31" t="inlineStr">
        <x:is>
          <x:t xml:space="preserve">Завершено</x:t>
        </x:is>
      </x:c>
      <x:c r="R647" s="31" t="inlineStr">
        <x:is>
          <x:t xml:space="preserve">Нет</x:t>
        </x:is>
      </x:c>
      <x:c r="S647" s="31" t="inlineStr">
        <x:is>
          <x:t xml:space="preserve">Нет</x:t>
        </x:is>
      </x:c>
    </x:row>
    <x:row r="648">
      <x:c r="A648" s="31" t="inlineStr">
        <x:is>
          <x:t xml:space="preserve">ОП-000647</x:t>
        </x:is>
      </x:c>
      <x:c r="B648" s="31" t="inlineStr">
        <x:is>
          <x:t xml:space="preserve">ПЗ-00076</x:t>
        </x:is>
      </x:c>
      <x:c r="C648" s="31" t="inlineStr">
        <x:is>
          <x:t xml:space="preserve">ЗК-1043</x:t>
        </x:is>
      </x:c>
      <x:c r="D648" s="31" t="inlineStr">
        <x:is>
          <x:t xml:space="preserve">ПОЗ-0043-1</x:t>
        </x:is>
      </x:c>
      <x:c r="E648" s="31" t="inlineStr">
        <x:is>
          <x:t xml:space="preserve">ИЗД-005</x:t>
        </x:is>
      </x:c>
      <x:c r="F648" s="31" t="n">
        <x:v>80</x:v>
      </x:c>
      <x:c r="G648" s="31" t="inlineStr">
        <x:is>
          <x:t xml:space="preserve">Гидроиспытания</x:t>
        </x:is>
      </x:c>
      <x:c r="H648" s="31" t="inlineStr">
        <x:is>
          <x:t xml:space="preserve">ОТК</x:t>
        </x:is>
      </x:c>
      <x:c r="I648" s="31" t="inlineStr">
        <x:is>
          <x:t xml:space="preserve">ОБ-022</x:t>
        </x:is>
      </x:c>
      <x:c r="J648" s="31" t="inlineStr">
        <x:is>
          <x:t xml:space="preserve">СОТР-099</x:t>
        </x:is>
      </x:c>
      <x:c r="K648" s="31" t="n">
        <x:v>19.8</x:v>
      </x:c>
      <x:c r="L648" s="31" t="n">
        <x:v>19.6</x:v>
      </x:c>
      <x:c r="M648" s="31" t="n">
        <x:v>46120</x:v>
      </x:c>
      <x:c r="N648" s="31" t="n">
        <x:v>46122</x:v>
      </x:c>
      <x:c r="O648" s="31" t="n">
        <x:v>46120</x:v>
      </x:c>
      <x:c r="P648" s="31" t="n">
        <x:v>46122</x:v>
      </x:c>
      <x:c r="Q648" s="31" t="inlineStr">
        <x:is>
          <x:t xml:space="preserve">Завершено</x:t>
        </x:is>
      </x:c>
      <x:c r="R648" s="31" t="inlineStr">
        <x:is>
          <x:t xml:space="preserve">Нет</x:t>
        </x:is>
      </x:c>
      <x:c r="S648" s="31" t="inlineStr">
        <x:is>
          <x:t xml:space="preserve">Да</x:t>
        </x:is>
      </x:c>
    </x:row>
    <x:row r="649">
      <x:c r="A649" s="31" t="inlineStr">
        <x:is>
          <x:t xml:space="preserve">ОП-000648</x:t>
        </x:is>
      </x:c>
      <x:c r="B649" s="31" t="inlineStr">
        <x:is>
          <x:t xml:space="preserve">ПЗ-00076</x:t>
        </x:is>
      </x:c>
      <x:c r="C649" s="31" t="inlineStr">
        <x:is>
          <x:t xml:space="preserve">ЗК-1043</x:t>
        </x:is>
      </x:c>
      <x:c r="D649" s="31" t="inlineStr">
        <x:is>
          <x:t xml:space="preserve">ПОЗ-0043-1</x:t>
        </x:is>
      </x:c>
      <x:c r="E649" s="31" t="inlineStr">
        <x:is>
          <x:t xml:space="preserve">ИЗД-005</x:t>
        </x:is>
      </x:c>
      <x:c r="F649" s="31" t="n">
        <x:v>90</x:v>
      </x:c>
      <x:c r="G649" s="31" t="inlineStr">
        <x:is>
          <x:t xml:space="preserve">ОТК</x:t>
        </x:is>
      </x:c>
      <x:c r="H649" s="31" t="inlineStr">
        <x:is>
          <x:t xml:space="preserve">ОТК</x:t>
        </x:is>
      </x:c>
      <x:c r="I649" s="31" t="inlineStr">
        <x:is>
          <x:t xml:space="preserve">ОБ-006</x:t>
        </x:is>
      </x:c>
      <x:c r="J649" s="31" t="inlineStr">
        <x:is>
          <x:t xml:space="preserve">СОТР-095</x:t>
        </x:is>
      </x:c>
      <x:c r="K649" s="31" t="n">
        <x:v>23.7</x:v>
      </x:c>
      <x:c r="L649" s="31" t="n"/>
      <x:c r="M649" s="31" t="n">
        <x:v>46122</x:v>
      </x:c>
      <x:c r="N649" s="31" t="n">
        <x:v>46124</x:v>
      </x:c>
      <x:c r="O649" s="31" t="n"/>
      <x:c r="P649" s="31" t="n"/>
      <x:c r="Q649" s="31" t="inlineStr">
        <x:is>
          <x:t xml:space="preserve">Запланировано</x:t>
        </x:is>
      </x:c>
      <x:c r="R649" s="31" t="inlineStr">
        <x:is>
          <x:t xml:space="preserve">Оборудование</x:t>
        </x:is>
      </x:c>
      <x:c r="S649" s="31" t="inlineStr">
        <x:is>
          <x:t xml:space="preserve">Нет</x:t>
        </x:is>
      </x:c>
    </x:row>
    <x:row r="650">
      <x:c r="A650" s="31" t="inlineStr">
        <x:is>
          <x:t xml:space="preserve">ОП-000649</x:t>
        </x:is>
      </x:c>
      <x:c r="B650" s="31" t="inlineStr">
        <x:is>
          <x:t xml:space="preserve">ПЗ-00076</x:t>
        </x:is>
      </x:c>
      <x:c r="C650" s="31" t="inlineStr">
        <x:is>
          <x:t xml:space="preserve">ЗК-1043</x:t>
        </x:is>
      </x:c>
      <x:c r="D650" s="31" t="inlineStr">
        <x:is>
          <x:t xml:space="preserve">ПОЗ-0043-1</x:t>
        </x:is>
      </x:c>
      <x:c r="E650" s="31" t="inlineStr">
        <x:is>
          <x:t xml:space="preserve">ИЗД-005</x:t>
        </x:is>
      </x:c>
      <x:c r="F650" s="31" t="n">
        <x:v>100</x:v>
      </x:c>
      <x:c r="G650" s="31" t="inlineStr">
        <x:is>
          <x:t xml:space="preserve">Упаковка</x:t>
        </x:is>
      </x:c>
      <x:c r="H650" s="31" t="inlineStr">
        <x:is>
          <x:t xml:space="preserve">Логистика</x:t>
        </x:is>
      </x:c>
      <x:c r="I650" s="31" t="n"/>
      <x:c r="J650" s="31" t="inlineStr">
        <x:is>
          <x:t xml:space="preserve">СОТР-105</x:t>
        </x:is>
      </x:c>
      <x:c r="K650" s="31" t="n">
        <x:v>17.1</x:v>
      </x:c>
      <x:c r="L650" s="31" t="n"/>
      <x:c r="M650" s="31" t="n">
        <x:v>46124</x:v>
      </x:c>
      <x:c r="N650" s="31" t="n">
        <x:v>46126</x:v>
      </x:c>
      <x:c r="O650" s="31" t="n">
        <x:v>46124</x:v>
      </x:c>
      <x:c r="P650" s="31" t="n"/>
      <x:c r="Q650" s="31" t="inlineStr">
        <x:is>
          <x:t xml:space="preserve">В работе</x:t>
        </x:is>
      </x:c>
      <x:c r="R650" s="31" t="inlineStr">
        <x:is>
          <x:t xml:space="preserve">Нет</x:t>
        </x:is>
      </x:c>
      <x:c r="S650" s="31" t="inlineStr">
        <x:is>
          <x:t xml:space="preserve">Нет</x:t>
        </x:is>
      </x:c>
    </x:row>
    <x:row r="651">
      <x:c r="A651" s="31" t="inlineStr">
        <x:is>
          <x:t xml:space="preserve">ОП-000650</x:t>
        </x:is>
      </x:c>
      <x:c r="B651" s="31" t="inlineStr">
        <x:is>
          <x:t xml:space="preserve">ПЗ-00077</x:t>
        </x:is>
      </x:c>
      <x:c r="C651" s="31" t="inlineStr">
        <x:is>
          <x:t xml:space="preserve">ЗК-1043</x:t>
        </x:is>
      </x:c>
      <x:c r="D651" s="31" t="inlineStr">
        <x:is>
          <x:t xml:space="preserve">ПОЗ-0043-2</x:t>
        </x:is>
      </x:c>
      <x:c r="E651" s="31" t="inlineStr">
        <x:is>
          <x:t xml:space="preserve">ИЗД-029</x:t>
        </x:is>
      </x:c>
      <x:c r="F651" s="31" t="n">
        <x:v>10</x:v>
      </x:c>
      <x:c r="G651" s="31" t="inlineStr">
        <x:is>
          <x:t xml:space="preserve">КД</x:t>
        </x:is>
      </x:c>
      <x:c r="H651" s="31" t="inlineStr">
        <x:is>
          <x:t xml:space="preserve">Инженерный отдел</x:t>
        </x:is>
      </x:c>
      <x:c r="I651" s="31" t="n"/>
      <x:c r="J651" s="31" t="inlineStr">
        <x:is>
          <x:t xml:space="preserve">СОТР-020</x:t>
        </x:is>
      </x:c>
      <x:c r="K651" s="31" t="n">
        <x:v>24.2</x:v>
      </x:c>
      <x:c r="L651" s="31" t="n">
        <x:v>25.6</x:v>
      </x:c>
      <x:c r="M651" s="31" t="n">
        <x:v>46117</x:v>
      </x:c>
      <x:c r="N651" s="31" t="n">
        <x:v>46120</x:v>
      </x:c>
      <x:c r="O651" s="31" t="n">
        <x:v>46117</x:v>
      </x:c>
      <x:c r="P651" s="31" t="n">
        <x:v>46119</x:v>
      </x:c>
      <x:c r="Q651" s="31" t="inlineStr">
        <x:is>
          <x:t xml:space="preserve">Завершено</x:t>
        </x:is>
      </x:c>
      <x:c r="R651" s="31" t="inlineStr">
        <x:is>
          <x:t xml:space="preserve">Нет</x:t>
        </x:is>
      </x:c>
      <x:c r="S651" s="31" t="inlineStr">
        <x:is>
          <x:t xml:space="preserve">Нет</x:t>
        </x:is>
      </x:c>
    </x:row>
    <x:row r="652">
      <x:c r="A652" s="31" t="inlineStr">
        <x:is>
          <x:t xml:space="preserve">ОП-000651</x:t>
        </x:is>
      </x:c>
      <x:c r="B652" s="31" t="inlineStr">
        <x:is>
          <x:t xml:space="preserve">ПЗ-00077</x:t>
        </x:is>
      </x:c>
      <x:c r="C652" s="31" t="inlineStr">
        <x:is>
          <x:t xml:space="preserve">ЗК-1043</x:t>
        </x:is>
      </x:c>
      <x:c r="D652" s="31" t="inlineStr">
        <x:is>
          <x:t xml:space="preserve">ПОЗ-0043-2</x:t>
        </x:is>
      </x:c>
      <x:c r="E652" s="31" t="inlineStr">
        <x:is>
          <x:t xml:space="preserve">ИЗД-029</x:t>
        </x:is>
      </x:c>
      <x:c r="F652" s="31" t="n">
        <x:v>20</x:v>
      </x:c>
      <x:c r="G652" s="31" t="inlineStr">
        <x:is>
          <x:t xml:space="preserve">Резерв материалов</x:t>
        </x:is>
      </x:c>
      <x:c r="H652" s="31" t="inlineStr">
        <x:is>
          <x:t xml:space="preserve">Склад</x:t>
        </x:is>
      </x:c>
      <x:c r="I652" s="31" t="inlineStr">
        <x:is>
          <x:t xml:space="preserve">ОБ-023</x:t>
        </x:is>
      </x:c>
      <x:c r="J652" s="31" t="inlineStr">
        <x:is>
          <x:t xml:space="preserve">СОТР-024</x:t>
        </x:is>
      </x:c>
      <x:c r="K652" s="31" t="n">
        <x:v>12.4</x:v>
      </x:c>
      <x:c r="L652" s="31" t="n">
        <x:v>12.6</x:v>
      </x:c>
      <x:c r="M652" s="31" t="n">
        <x:v>46120</x:v>
      </x:c>
      <x:c r="N652" s="31" t="n">
        <x:v>46122</x:v>
      </x:c>
      <x:c r="O652" s="31" t="n">
        <x:v>46120</x:v>
      </x:c>
      <x:c r="P652" s="31" t="n">
        <x:v>46122</x:v>
      </x:c>
      <x:c r="Q652" s="31" t="inlineStr">
        <x:is>
          <x:t xml:space="preserve">Завершено</x:t>
        </x:is>
      </x:c>
      <x:c r="R652" s="31" t="inlineStr">
        <x:is>
          <x:t xml:space="preserve">Нет</x:t>
        </x:is>
      </x:c>
      <x:c r="S652" s="31" t="inlineStr">
        <x:is>
          <x:t xml:space="preserve">Да</x:t>
        </x:is>
      </x:c>
    </x:row>
    <x:row r="653">
      <x:c r="A653" s="31" t="inlineStr">
        <x:is>
          <x:t xml:space="preserve">ОП-000652</x:t>
        </x:is>
      </x:c>
      <x:c r="B653" s="31" t="inlineStr">
        <x:is>
          <x:t xml:space="preserve">ПЗ-00077</x:t>
        </x:is>
      </x:c>
      <x:c r="C653" s="31" t="inlineStr">
        <x:is>
          <x:t xml:space="preserve">ЗК-1043</x:t>
        </x:is>
      </x:c>
      <x:c r="D653" s="31" t="inlineStr">
        <x:is>
          <x:t xml:space="preserve">ПОЗ-0043-2</x:t>
        </x:is>
      </x:c>
      <x:c r="E653" s="31" t="inlineStr">
        <x:is>
          <x:t xml:space="preserve">ИЗД-029</x:t>
        </x:is>
      </x:c>
      <x:c r="F653" s="31" t="n">
        <x:v>30</x:v>
      </x:c>
      <x:c r="G653" s="31" t="inlineStr">
        <x:is>
          <x:t xml:space="preserve">Резка металла</x:t>
        </x:is>
      </x:c>
      <x:c r="H653" s="31" t="inlineStr">
        <x:is>
          <x:t xml:space="preserve">Сварка</x:t>
        </x:is>
      </x:c>
      <x:c r="I653" s="31" t="inlineStr">
        <x:is>
          <x:t xml:space="preserve">ОБ-019</x:t>
        </x:is>
      </x:c>
      <x:c r="J653" s="31" t="inlineStr">
        <x:is>
          <x:t xml:space="preserve">СОТР-069</x:t>
        </x:is>
      </x:c>
      <x:c r="K653" s="31" t="n">
        <x:v>26.4</x:v>
      </x:c>
      <x:c r="L653" s="31" t="n">
        <x:v>33.2</x:v>
      </x:c>
      <x:c r="M653" s="31" t="n">
        <x:v>46122</x:v>
      </x:c>
      <x:c r="N653" s="31" t="n">
        <x:v>46125</x:v>
      </x:c>
      <x:c r="O653" s="31" t="n">
        <x:v>46122</x:v>
      </x:c>
      <x:c r="P653" s="31" t="n">
        <x:v>46125</x:v>
      </x:c>
      <x:c r="Q653" s="31" t="inlineStr">
        <x:is>
          <x:t xml:space="preserve">Завершено</x:t>
        </x:is>
      </x:c>
      <x:c r="R653" s="31" t="inlineStr">
        <x:is>
          <x:t xml:space="preserve">Нет</x:t>
        </x:is>
      </x:c>
      <x:c r="S653" s="31" t="inlineStr">
        <x:is>
          <x:t xml:space="preserve">Нет</x:t>
        </x:is>
      </x:c>
    </x:row>
    <x:row r="654">
      <x:c r="A654" s="31" t="inlineStr">
        <x:is>
          <x:t xml:space="preserve">ОП-000653</x:t>
        </x:is>
      </x:c>
      <x:c r="B654" s="31" t="inlineStr">
        <x:is>
          <x:t xml:space="preserve">ПЗ-00077</x:t>
        </x:is>
      </x:c>
      <x:c r="C654" s="31" t="inlineStr">
        <x:is>
          <x:t xml:space="preserve">ЗК-1043</x:t>
        </x:is>
      </x:c>
      <x:c r="D654" s="31" t="inlineStr">
        <x:is>
          <x:t xml:space="preserve">ПОЗ-0043-2</x:t>
        </x:is>
      </x:c>
      <x:c r="E654" s="31" t="inlineStr">
        <x:is>
          <x:t xml:space="preserve">ИЗД-029</x:t>
        </x:is>
      </x:c>
      <x:c r="F654" s="31" t="n">
        <x:v>40</x:v>
      </x:c>
      <x:c r="G654" s="31" t="inlineStr">
        <x:is>
          <x:t xml:space="preserve">Сварка рамы</x:t>
        </x:is>
      </x:c>
      <x:c r="H654" s="31" t="inlineStr">
        <x:is>
          <x:t xml:space="preserve">Сварка</x:t>
        </x:is>
      </x:c>
      <x:c r="I654" s="31" t="inlineStr">
        <x:is>
          <x:t xml:space="preserve">ОБ-004</x:t>
        </x:is>
      </x:c>
      <x:c r="J654" s="31" t="inlineStr">
        <x:is>
          <x:t xml:space="preserve">СОТР-064</x:t>
        </x:is>
      </x:c>
      <x:c r="K654" s="31" t="n">
        <x:v>13.2</x:v>
      </x:c>
      <x:c r="L654" s="31" t="n"/>
      <x:c r="M654" s="31" t="n">
        <x:v>46125</x:v>
      </x:c>
      <x:c r="N654" s="31" t="n">
        <x:v>46127</x:v>
      </x:c>
      <x:c r="O654" s="31" t="n"/>
      <x:c r="P654" s="31" t="n"/>
      <x:c r="Q654" s="31" t="inlineStr">
        <x:is>
          <x:t xml:space="preserve">Запланировано</x:t>
        </x:is>
      </x:c>
      <x:c r="R654" s="31" t="inlineStr">
        <x:is>
          <x:t xml:space="preserve">Нет</x:t>
        </x:is>
      </x:c>
      <x:c r="S654" s="31" t="inlineStr">
        <x:is>
          <x:t xml:space="preserve">Нет</x:t>
        </x:is>
      </x:c>
    </x:row>
    <x:row r="655">
      <x:c r="A655" s="31" t="inlineStr">
        <x:is>
          <x:t xml:space="preserve">ОП-000654</x:t>
        </x:is>
      </x:c>
      <x:c r="B655" s="31" t="inlineStr">
        <x:is>
          <x:t xml:space="preserve">ПЗ-00077</x:t>
        </x:is>
      </x:c>
      <x:c r="C655" s="31" t="inlineStr">
        <x:is>
          <x:t xml:space="preserve">ЗК-1043</x:t>
        </x:is>
      </x:c>
      <x:c r="D655" s="31" t="inlineStr">
        <x:is>
          <x:t xml:space="preserve">ПОЗ-0043-2</x:t>
        </x:is>
      </x:c>
      <x:c r="E655" s="31" t="inlineStr">
        <x:is>
          <x:t xml:space="preserve">ИЗД-029</x:t>
        </x:is>
      </x:c>
      <x:c r="F655" s="31" t="n">
        <x:v>50</x:v>
      </x:c>
      <x:c r="G655" s="31" t="inlineStr">
        <x:is>
          <x:t xml:space="preserve">Механообработка</x:t>
        </x:is>
      </x:c>
      <x:c r="H655" s="31" t="inlineStr">
        <x:is>
          <x:t xml:space="preserve">Механообработка</x:t>
        </x:is>
      </x:c>
      <x:c r="I655" s="31" t="inlineStr">
        <x:is>
          <x:t xml:space="preserve">ОБ-030</x:t>
        </x:is>
      </x:c>
      <x:c r="J655" s="31" t="inlineStr">
        <x:is>
          <x:t xml:space="preserve">СОТР-046</x:t>
        </x:is>
      </x:c>
      <x:c r="K655" s="31" t="n">
        <x:v>30.8</x:v>
      </x:c>
      <x:c r="L655" s="31" t="n">
        <x:v>36.6</x:v>
      </x:c>
      <x:c r="M655" s="31" t="n">
        <x:v>46127</x:v>
      </x:c>
      <x:c r="N655" s="31" t="n">
        <x:v>46130</x:v>
      </x:c>
      <x:c r="O655" s="31" t="n">
        <x:v>46127</x:v>
      </x:c>
      <x:c r="P655" s="31" t="n">
        <x:v>46130</x:v>
      </x:c>
      <x:c r="Q655" s="31" t="inlineStr">
        <x:is>
          <x:t xml:space="preserve">Завершено</x:t>
        </x:is>
      </x:c>
      <x:c r="R655" s="31" t="inlineStr">
        <x:is>
          <x:t xml:space="preserve">Ожидание ОТК</x:t>
        </x:is>
      </x:c>
      <x:c r="S655" s="31" t="inlineStr">
        <x:is>
          <x:t xml:space="preserve">Нет</x:t>
        </x:is>
      </x:c>
    </x:row>
    <x:row r="656">
      <x:c r="A656" s="31" t="inlineStr">
        <x:is>
          <x:t xml:space="preserve">ОП-000655</x:t>
        </x:is>
      </x:c>
      <x:c r="B656" s="31" t="inlineStr">
        <x:is>
          <x:t xml:space="preserve">ПЗ-00077</x:t>
        </x:is>
      </x:c>
      <x:c r="C656" s="31" t="inlineStr">
        <x:is>
          <x:t xml:space="preserve">ЗК-1043</x:t>
        </x:is>
      </x:c>
      <x:c r="D656" s="31" t="inlineStr">
        <x:is>
          <x:t xml:space="preserve">ПОЗ-0043-2</x:t>
        </x:is>
      </x:c>
      <x:c r="E656" s="31" t="inlineStr">
        <x:is>
          <x:t xml:space="preserve">ИЗД-029</x:t>
        </x:is>
      </x:c>
      <x:c r="F656" s="31" t="n">
        <x:v>60</x:v>
      </x:c>
      <x:c r="G656" s="31" t="inlineStr">
        <x:is>
          <x:t xml:space="preserve">Сборка</x:t>
        </x:is>
      </x:c>
      <x:c r="H656" s="31" t="inlineStr">
        <x:is>
          <x:t xml:space="preserve">Сборка</x:t>
        </x:is>
      </x:c>
      <x:c r="I656" s="31" t="inlineStr">
        <x:is>
          <x:t xml:space="preserve">ОБ-002</x:t>
        </x:is>
      </x:c>
      <x:c r="J656" s="31" t="inlineStr">
        <x:is>
          <x:t xml:space="preserve">СОТР-087</x:t>
        </x:is>
      </x:c>
      <x:c r="K656" s="31" t="n">
        <x:v>33.4</x:v>
      </x:c>
      <x:c r="L656" s="31" t="n">
        <x:v>36.5</x:v>
      </x:c>
      <x:c r="M656" s="31" t="n">
        <x:v>46130</x:v>
      </x:c>
      <x:c r="N656" s="31" t="n">
        <x:v>46133</x:v>
      </x:c>
      <x:c r="O656" s="31" t="n">
        <x:v>46130</x:v>
      </x:c>
      <x:c r="P656" s="31" t="n">
        <x:v>46134</x:v>
      </x:c>
      <x:c r="Q656" s="31" t="inlineStr">
        <x:is>
          <x:t xml:space="preserve">Завершено</x:t>
        </x:is>
      </x:c>
      <x:c r="R656" s="31" t="inlineStr">
        <x:is>
          <x:t xml:space="preserve">Нет</x:t>
        </x:is>
      </x:c>
      <x:c r="S656" s="31" t="inlineStr">
        <x:is>
          <x:t xml:space="preserve">Нет</x:t>
        </x:is>
      </x:c>
    </x:row>
    <x:row r="657">
      <x:c r="A657" s="31" t="inlineStr">
        <x:is>
          <x:t xml:space="preserve">ОП-000656</x:t>
        </x:is>
      </x:c>
      <x:c r="B657" s="31" t="inlineStr">
        <x:is>
          <x:t xml:space="preserve">ПЗ-00077</x:t>
        </x:is>
      </x:c>
      <x:c r="C657" s="31" t="inlineStr">
        <x:is>
          <x:t xml:space="preserve">ЗК-1043</x:t>
        </x:is>
      </x:c>
      <x:c r="D657" s="31" t="inlineStr">
        <x:is>
          <x:t xml:space="preserve">ПОЗ-0043-2</x:t>
        </x:is>
      </x:c>
      <x:c r="E657" s="31" t="inlineStr">
        <x:is>
          <x:t xml:space="preserve">ИЗД-029</x:t>
        </x:is>
      </x:c>
      <x:c r="F657" s="31" t="n">
        <x:v>70</x:v>
      </x:c>
      <x:c r="G657" s="31" t="inlineStr">
        <x:is>
          <x:t xml:space="preserve">Обвязка труб</x:t>
        </x:is>
      </x:c>
      <x:c r="H657" s="31" t="inlineStr">
        <x:is>
          <x:t xml:space="preserve">Сборка</x:t>
        </x:is>
      </x:c>
      <x:c r="I657" s="31" t="inlineStr">
        <x:is>
          <x:t xml:space="preserve">ОБ-012</x:t>
        </x:is>
      </x:c>
      <x:c r="J657" s="31" t="inlineStr">
        <x:is>
          <x:t xml:space="preserve">СОТР-084</x:t>
        </x:is>
      </x:c>
      <x:c r="K657" s="31" t="n">
        <x:v>35.2</x:v>
      </x:c>
      <x:c r="L657" s="31" t="n"/>
      <x:c r="M657" s="31" t="n">
        <x:v>46133</x:v>
      </x:c>
      <x:c r="N657" s="31" t="n">
        <x:v>46136</x:v>
      </x:c>
      <x:c r="O657" s="31" t="n"/>
      <x:c r="P657" s="31" t="n"/>
      <x:c r="Q657" s="31" t="inlineStr">
        <x:is>
          <x:t xml:space="preserve">Запланировано</x:t>
        </x:is>
      </x:c>
      <x:c r="R657" s="31" t="inlineStr">
        <x:is>
          <x:t xml:space="preserve">Нет</x:t>
        </x:is>
      </x:c>
      <x:c r="S657" s="31" t="inlineStr">
        <x:is>
          <x:t xml:space="preserve">Нет</x:t>
        </x:is>
      </x:c>
    </x:row>
    <x:row r="658">
      <x:c r="A658" s="31" t="inlineStr">
        <x:is>
          <x:t xml:space="preserve">ОП-000657</x:t>
        </x:is>
      </x:c>
      <x:c r="B658" s="31" t="inlineStr">
        <x:is>
          <x:t xml:space="preserve">ПЗ-00077</x:t>
        </x:is>
      </x:c>
      <x:c r="C658" s="31" t="inlineStr">
        <x:is>
          <x:t xml:space="preserve">ЗК-1043</x:t>
        </x:is>
      </x:c>
      <x:c r="D658" s="31" t="inlineStr">
        <x:is>
          <x:t xml:space="preserve">ПОЗ-0043-2</x:t>
        </x:is>
      </x:c>
      <x:c r="E658" s="31" t="inlineStr">
        <x:is>
          <x:t xml:space="preserve">ИЗД-029</x:t>
        </x:is>
      </x:c>
      <x:c r="F658" s="31" t="n">
        <x:v>80</x:v>
      </x:c>
      <x:c r="G658" s="31" t="inlineStr">
        <x:is>
          <x:t xml:space="preserve">Электромонтаж</x:t>
        </x:is>
      </x:c>
      <x:c r="H658" s="31" t="inlineStr">
        <x:is>
          <x:t xml:space="preserve">Сборка</x:t>
        </x:is>
      </x:c>
      <x:c r="I658" s="31" t="inlineStr">
        <x:is>
          <x:t xml:space="preserve">ОБ-014</x:t>
        </x:is>
      </x:c>
      <x:c r="J658" s="31" t="inlineStr">
        <x:is>
          <x:t xml:space="preserve">СОТР-079</x:t>
        </x:is>
      </x:c>
      <x:c r="K658" s="31" t="n">
        <x:v>9.4</x:v>
      </x:c>
      <x:c r="L658" s="31" t="n"/>
      <x:c r="M658" s="31" t="n">
        <x:v>46136</x:v>
      </x:c>
      <x:c r="N658" s="31" t="n">
        <x:v>46137</x:v>
      </x:c>
      <x:c r="O658" s="31" t="n"/>
      <x:c r="P658" s="31" t="n"/>
      <x:c r="Q658" s="31" t="inlineStr">
        <x:is>
          <x:t xml:space="preserve">Запланировано</x:t>
        </x:is>
      </x:c>
      <x:c r="R658" s="31" t="inlineStr">
        <x:is>
          <x:t xml:space="preserve">Ожидание ОТК</x:t>
        </x:is>
      </x:c>
      <x:c r="S658" s="31" t="inlineStr">
        <x:is>
          <x:t xml:space="preserve">Да</x:t>
        </x:is>
      </x:c>
    </x:row>
    <x:row r="659">
      <x:c r="A659" s="31" t="inlineStr">
        <x:is>
          <x:t xml:space="preserve">ОП-000658</x:t>
        </x:is>
      </x:c>
      <x:c r="B659" s="31" t="inlineStr">
        <x:is>
          <x:t xml:space="preserve">ПЗ-00077</x:t>
        </x:is>
      </x:c>
      <x:c r="C659" s="31" t="inlineStr">
        <x:is>
          <x:t xml:space="preserve">ЗК-1043</x:t>
        </x:is>
      </x:c>
      <x:c r="D659" s="31" t="inlineStr">
        <x:is>
          <x:t xml:space="preserve">ПОЗ-0043-2</x:t>
        </x:is>
      </x:c>
      <x:c r="E659" s="31" t="inlineStr">
        <x:is>
          <x:t xml:space="preserve">ИЗД-029</x:t>
        </x:is>
      </x:c>
      <x:c r="F659" s="31" t="n">
        <x:v>90</x:v>
      </x:c>
      <x:c r="G659" s="31" t="inlineStr">
        <x:is>
          <x:t xml:space="preserve">Приемочные испытания</x:t>
        </x:is>
      </x:c>
      <x:c r="H659" s="31" t="inlineStr">
        <x:is>
          <x:t xml:space="preserve">ОТК</x:t>
        </x:is>
      </x:c>
      <x:c r="I659" s="31" t="inlineStr">
        <x:is>
          <x:t xml:space="preserve">ОБ-022</x:t>
        </x:is>
      </x:c>
      <x:c r="J659" s="31" t="inlineStr">
        <x:is>
          <x:t xml:space="preserve">СОТР-093</x:t>
        </x:is>
      </x:c>
      <x:c r="K659" s="31" t="n">
        <x:v>33.6</x:v>
      </x:c>
      <x:c r="L659" s="31" t="n"/>
      <x:c r="M659" s="31" t="n">
        <x:v>46137</x:v>
      </x:c>
      <x:c r="N659" s="31" t="n">
        <x:v>46140</x:v>
      </x:c>
      <x:c r="O659" s="31" t="n"/>
      <x:c r="P659" s="31" t="n"/>
      <x:c r="Q659" s="31" t="inlineStr">
        <x:is>
          <x:t xml:space="preserve">Запланировано</x:t>
        </x:is>
      </x:c>
      <x:c r="R659" s="31" t="inlineStr">
        <x:is>
          <x:t xml:space="preserve">Ожидание ОТК</x:t>
        </x:is>
      </x:c>
      <x:c r="S659" s="31" t="inlineStr">
        <x:is>
          <x:t xml:space="preserve">Да</x:t>
        </x:is>
      </x:c>
    </x:row>
    <x:row r="660">
      <x:c r="A660" s="31" t="inlineStr">
        <x:is>
          <x:t xml:space="preserve">ОП-000659</x:t>
        </x:is>
      </x:c>
      <x:c r="B660" s="31" t="inlineStr">
        <x:is>
          <x:t xml:space="preserve">ПЗ-00077</x:t>
        </x:is>
      </x:c>
      <x:c r="C660" s="31" t="inlineStr">
        <x:is>
          <x:t xml:space="preserve">ЗК-1043</x:t>
        </x:is>
      </x:c>
      <x:c r="D660" s="31" t="inlineStr">
        <x:is>
          <x:t xml:space="preserve">ПОЗ-0043-2</x:t>
        </x:is>
      </x:c>
      <x:c r="E660" s="31" t="inlineStr">
        <x:is>
          <x:t xml:space="preserve">ИЗД-029</x:t>
        </x:is>
      </x:c>
      <x:c r="F660" s="31" t="n">
        <x:v>100</x:v>
      </x:c>
      <x:c r="G660" s="31" t="inlineStr">
        <x:is>
          <x:t xml:space="preserve">ОТК</x:t>
        </x:is>
      </x:c>
      <x:c r="H660" s="31" t="inlineStr">
        <x:is>
          <x:t xml:space="preserve">ОТК</x:t>
        </x:is>
      </x:c>
      <x:c r="I660" s="31" t="inlineStr">
        <x:is>
          <x:t xml:space="preserve">ОБ-007</x:t>
        </x:is>
      </x:c>
      <x:c r="J660" s="31" t="inlineStr">
        <x:is>
          <x:t xml:space="preserve">СОТР-063</x:t>
        </x:is>
      </x:c>
      <x:c r="K660" s="31" t="n">
        <x:v>24.2</x:v>
      </x:c>
      <x:c r="L660" s="31" t="n"/>
      <x:c r="M660" s="31" t="n">
        <x:v>46140</x:v>
      </x:c>
      <x:c r="N660" s="31" t="n">
        <x:v>46143</x:v>
      </x:c>
      <x:c r="O660" s="31" t="n"/>
      <x:c r="P660" s="31" t="n"/>
      <x:c r="Q660" s="31" t="inlineStr">
        <x:is>
          <x:t xml:space="preserve">Запланировано</x:t>
        </x:is>
      </x:c>
      <x:c r="R660" s="31" t="inlineStr">
        <x:is>
          <x:t xml:space="preserve">Нет</x:t>
        </x:is>
      </x:c>
      <x:c r="S660" s="31" t="inlineStr">
        <x:is>
          <x:t xml:space="preserve">Нет</x:t>
        </x:is>
      </x:c>
    </x:row>
    <x:row r="661">
      <x:c r="A661" s="31" t="inlineStr">
        <x:is>
          <x:t xml:space="preserve">ОП-000660</x:t>
        </x:is>
      </x:c>
      <x:c r="B661" s="31" t="inlineStr">
        <x:is>
          <x:t xml:space="preserve">ПЗ-00077</x:t>
        </x:is>
      </x:c>
      <x:c r="C661" s="31" t="inlineStr">
        <x:is>
          <x:t xml:space="preserve">ЗК-1043</x:t>
        </x:is>
      </x:c>
      <x:c r="D661" s="31" t="inlineStr">
        <x:is>
          <x:t xml:space="preserve">ПОЗ-0043-2</x:t>
        </x:is>
      </x:c>
      <x:c r="E661" s="31" t="inlineStr">
        <x:is>
          <x:t xml:space="preserve">ИЗД-029</x:t>
        </x:is>
      </x:c>
      <x:c r="F661" s="31" t="n">
        <x:v>110</x:v>
      </x:c>
      <x:c r="G661" s="31" t="inlineStr">
        <x:is>
          <x:t xml:space="preserve">Упаковка</x:t>
        </x:is>
      </x:c>
      <x:c r="H661" s="31" t="inlineStr">
        <x:is>
          <x:t xml:space="preserve">Логистика</x:t>
        </x:is>
      </x:c>
      <x:c r="I661" s="31" t="n"/>
      <x:c r="J661" s="31" t="inlineStr">
        <x:is>
          <x:t xml:space="preserve">СОТР-102</x:t>
        </x:is>
      </x:c>
      <x:c r="K661" s="31" t="n">
        <x:v>17.8</x:v>
      </x:c>
      <x:c r="L661" s="31" t="n"/>
      <x:c r="M661" s="31" t="n">
        <x:v>46143</x:v>
      </x:c>
      <x:c r="N661" s="31" t="n">
        <x:v>46145</x:v>
      </x:c>
      <x:c r="O661" s="31" t="n"/>
      <x:c r="P661" s="31" t="n"/>
      <x:c r="Q661" s="31" t="inlineStr">
        <x:is>
          <x:t xml:space="preserve">Запланировано</x:t>
        </x:is>
      </x:c>
      <x:c r="R661" s="31" t="inlineStr">
        <x:is>
          <x:t xml:space="preserve">Нет</x:t>
        </x:is>
      </x:c>
      <x:c r="S661" s="31" t="inlineStr">
        <x:is>
          <x:t xml:space="preserve">Да</x:t>
        </x:is>
      </x:c>
    </x:row>
    <x:row r="662">
      <x:c r="A662" s="31" t="inlineStr">
        <x:is>
          <x:t xml:space="preserve">ОП-000661</x:t>
        </x:is>
      </x:c>
      <x:c r="B662" s="31" t="inlineStr">
        <x:is>
          <x:t xml:space="preserve">ПЗ-00078</x:t>
        </x:is>
      </x:c>
      <x:c r="C662" s="31" t="inlineStr">
        <x:is>
          <x:t xml:space="preserve">ЗК-1043</x:t>
        </x:is>
      </x:c>
      <x:c r="D662" s="31" t="inlineStr">
        <x:is>
          <x:t xml:space="preserve">ПОЗ-0043-3</x:t>
        </x:is>
      </x:c>
      <x:c r="E662" s="31" t="inlineStr">
        <x:is>
          <x:t xml:space="preserve">ИЗД-012</x:t>
        </x:is>
      </x:c>
      <x:c r="F662" s="31" t="n">
        <x:v>10</x:v>
      </x:c>
      <x:c r="G662" s="31" t="inlineStr">
        <x:is>
          <x:t xml:space="preserve">КД</x:t>
        </x:is>
      </x:c>
      <x:c r="H662" s="31" t="inlineStr">
        <x:is>
          <x:t xml:space="preserve">Инженерный отдел</x:t>
        </x:is>
      </x:c>
      <x:c r="I662" s="31" t="n"/>
      <x:c r="J662" s="31" t="inlineStr">
        <x:is>
          <x:t xml:space="preserve">СОТР-016</x:t>
        </x:is>
      </x:c>
      <x:c r="K662" s="31" t="n">
        <x:v>5.5</x:v>
      </x:c>
      <x:c r="L662" s="31" t="n"/>
      <x:c r="M662" s="31" t="n">
        <x:v>46105</x:v>
      </x:c>
      <x:c r="N662" s="31" t="n">
        <x:v>46106</x:v>
      </x:c>
      <x:c r="O662" s="31" t="n"/>
      <x:c r="P662" s="31" t="n"/>
      <x:c r="Q662" s="31" t="inlineStr">
        <x:is>
          <x:t xml:space="preserve">Запланировано</x:t>
        </x:is>
      </x:c>
      <x:c r="R662" s="31" t="inlineStr">
        <x:is>
          <x:t xml:space="preserve">Нет</x:t>
        </x:is>
      </x:c>
      <x:c r="S662" s="31" t="inlineStr">
        <x:is>
          <x:t xml:space="preserve">Нет</x:t>
        </x:is>
      </x:c>
    </x:row>
    <x:row r="663">
      <x:c r="A663" s="31" t="inlineStr">
        <x:is>
          <x:t xml:space="preserve">ОП-000662</x:t>
        </x:is>
      </x:c>
      <x:c r="B663" s="31" t="inlineStr">
        <x:is>
          <x:t xml:space="preserve">ПЗ-00078</x:t>
        </x:is>
      </x:c>
      <x:c r="C663" s="31" t="inlineStr">
        <x:is>
          <x:t xml:space="preserve">ЗК-1043</x:t>
        </x:is>
      </x:c>
      <x:c r="D663" s="31" t="inlineStr">
        <x:is>
          <x:t xml:space="preserve">ПОЗ-0043-3</x:t>
        </x:is>
      </x:c>
      <x:c r="E663" s="31" t="inlineStr">
        <x:is>
          <x:t xml:space="preserve">ИЗД-012</x:t>
        </x:is>
      </x:c>
      <x:c r="F663" s="31" t="n">
        <x:v>20</x:v>
      </x:c>
      <x:c r="G663" s="31" t="inlineStr">
        <x:is>
          <x:t xml:space="preserve">Резка труб</x:t>
        </x:is>
      </x:c>
      <x:c r="H663" s="31" t="inlineStr">
        <x:is>
          <x:t xml:space="preserve">Сварка</x:t>
        </x:is>
      </x:c>
      <x:c r="I663" s="31" t="inlineStr">
        <x:is>
          <x:t xml:space="preserve">ОБ-018</x:t>
        </x:is>
      </x:c>
      <x:c r="J663" s="31" t="inlineStr">
        <x:is>
          <x:t xml:space="preserve">СОТР-062</x:t>
        </x:is>
      </x:c>
      <x:c r="K663" s="31" t="n">
        <x:v>5.3</x:v>
      </x:c>
      <x:c r="L663" s="31" t="n"/>
      <x:c r="M663" s="31" t="n">
        <x:v>46106</x:v>
      </x:c>
      <x:c r="N663" s="31" t="n">
        <x:v>46107</x:v>
      </x:c>
      <x:c r="O663" s="31" t="n"/>
      <x:c r="P663" s="31" t="n"/>
      <x:c r="Q663" s="31" t="inlineStr">
        <x:is>
          <x:t xml:space="preserve">Запланировано</x:t>
        </x:is>
      </x:c>
      <x:c r="R663" s="31" t="inlineStr">
        <x:is>
          <x:t xml:space="preserve">Нет</x:t>
        </x:is>
      </x:c>
      <x:c r="S663" s="31" t="inlineStr">
        <x:is>
          <x:t xml:space="preserve">Да</x:t>
        </x:is>
      </x:c>
    </x:row>
    <x:row r="664">
      <x:c r="A664" s="31" t="inlineStr">
        <x:is>
          <x:t xml:space="preserve">ОП-000663</x:t>
        </x:is>
      </x:c>
      <x:c r="B664" s="31" t="inlineStr">
        <x:is>
          <x:t xml:space="preserve">ПЗ-00078</x:t>
        </x:is>
      </x:c>
      <x:c r="C664" s="31" t="inlineStr">
        <x:is>
          <x:t xml:space="preserve">ЗК-1043</x:t>
        </x:is>
      </x:c>
      <x:c r="D664" s="31" t="inlineStr">
        <x:is>
          <x:t xml:space="preserve">ПОЗ-0043-3</x:t>
        </x:is>
      </x:c>
      <x:c r="E664" s="31" t="inlineStr">
        <x:is>
          <x:t xml:space="preserve">ИЗД-012</x:t>
        </x:is>
      </x:c>
      <x:c r="F664" s="31" t="n">
        <x:v>30</x:v>
      </x:c>
      <x:c r="G664" s="31" t="inlineStr">
        <x:is>
          <x:t xml:space="preserve">Сварка</x:t>
        </x:is>
      </x:c>
      <x:c r="H664" s="31" t="inlineStr">
        <x:is>
          <x:t xml:space="preserve">Сварка</x:t>
        </x:is>
      </x:c>
      <x:c r="I664" s="31" t="inlineStr">
        <x:is>
          <x:t xml:space="preserve">ОБ-035</x:t>
        </x:is>
      </x:c>
      <x:c r="J664" s="31" t="inlineStr">
        <x:is>
          <x:t xml:space="preserve">СОТР-069</x:t>
        </x:is>
      </x:c>
      <x:c r="K664" s="31" t="n">
        <x:v>6</x:v>
      </x:c>
      <x:c r="L664" s="31" t="n"/>
      <x:c r="M664" s="31" t="n">
        <x:v>46107</x:v>
      </x:c>
      <x:c r="N664" s="31" t="n">
        <x:v>46108</x:v>
      </x:c>
      <x:c r="O664" s="31" t="n"/>
      <x:c r="P664" s="31" t="n"/>
      <x:c r="Q664" s="31" t="inlineStr">
        <x:is>
          <x:t xml:space="preserve">Запланировано</x:t>
        </x:is>
      </x:c>
      <x:c r="R664" s="31" t="inlineStr">
        <x:is>
          <x:t xml:space="preserve">Нет</x:t>
        </x:is>
      </x:c>
      <x:c r="S664" s="31" t="inlineStr">
        <x:is>
          <x:t xml:space="preserve">Да</x:t>
        </x:is>
      </x:c>
    </x:row>
    <x:row r="665">
      <x:c r="A665" s="31" t="inlineStr">
        <x:is>
          <x:t xml:space="preserve">ОП-000664</x:t>
        </x:is>
      </x:c>
      <x:c r="B665" s="31" t="inlineStr">
        <x:is>
          <x:t xml:space="preserve">ПЗ-00078</x:t>
        </x:is>
      </x:c>
      <x:c r="C665" s="31" t="inlineStr">
        <x:is>
          <x:t xml:space="preserve">ЗК-1043</x:t>
        </x:is>
      </x:c>
      <x:c r="D665" s="31" t="inlineStr">
        <x:is>
          <x:t xml:space="preserve">ПОЗ-0043-3</x:t>
        </x:is>
      </x:c>
      <x:c r="E665" s="31" t="inlineStr">
        <x:is>
          <x:t xml:space="preserve">ИЗД-012</x:t>
        </x:is>
      </x:c>
      <x:c r="F665" s="31" t="n">
        <x:v>40</x:v>
      </x:c>
      <x:c r="G665" s="31" t="inlineStr">
        <x:is>
          <x:t xml:space="preserve">НК сварных швов</x:t>
        </x:is>
      </x:c>
      <x:c r="H665" s="31" t="inlineStr">
        <x:is>
          <x:t xml:space="preserve">ОТК</x:t>
        </x:is>
      </x:c>
      <x:c r="I665" s="31" t="inlineStr">
        <x:is>
          <x:t xml:space="preserve">ОБ-022</x:t>
        </x:is>
      </x:c>
      <x:c r="J665" s="31" t="inlineStr">
        <x:is>
          <x:t xml:space="preserve">СОТР-095</x:t>
        </x:is>
      </x:c>
      <x:c r="K665" s="31" t="n">
        <x:v>4.3</x:v>
      </x:c>
      <x:c r="L665" s="31" t="n"/>
      <x:c r="M665" s="31" t="n">
        <x:v>46108</x:v>
      </x:c>
      <x:c r="N665" s="31" t="n">
        <x:v>46109</x:v>
      </x:c>
      <x:c r="O665" s="31" t="n"/>
      <x:c r="P665" s="31" t="n"/>
      <x:c r="Q665" s="31" t="inlineStr">
        <x:is>
          <x:t xml:space="preserve">Запланировано</x:t>
        </x:is>
      </x:c>
      <x:c r="R665" s="31" t="inlineStr">
        <x:is>
          <x:t xml:space="preserve">Нет</x:t>
        </x:is>
      </x:c>
      <x:c r="S665" s="31" t="inlineStr">
        <x:is>
          <x:t xml:space="preserve">Нет</x:t>
        </x:is>
      </x:c>
    </x:row>
    <x:row r="666">
      <x:c r="A666" s="31" t="inlineStr">
        <x:is>
          <x:t xml:space="preserve">ОП-000665</x:t>
        </x:is>
      </x:c>
      <x:c r="B666" s="31" t="inlineStr">
        <x:is>
          <x:t xml:space="preserve">ПЗ-00078</x:t>
        </x:is>
      </x:c>
      <x:c r="C666" s="31" t="inlineStr">
        <x:is>
          <x:t xml:space="preserve">ЗК-1043</x:t>
        </x:is>
      </x:c>
      <x:c r="D666" s="31" t="inlineStr">
        <x:is>
          <x:t xml:space="preserve">ПОЗ-0043-3</x:t>
        </x:is>
      </x:c>
      <x:c r="E666" s="31" t="inlineStr">
        <x:is>
          <x:t xml:space="preserve">ИЗД-012</x:t>
        </x:is>
      </x:c>
      <x:c r="F666" s="31" t="n">
        <x:v>50</x:v>
      </x:c>
      <x:c r="G666" s="31" t="inlineStr">
        <x:is>
          <x:t xml:space="preserve">Гидроиспытания</x:t>
        </x:is>
      </x:c>
      <x:c r="H666" s="31" t="inlineStr">
        <x:is>
          <x:t xml:space="preserve">ОТК</x:t>
        </x:is>
      </x:c>
      <x:c r="I666" s="31" t="inlineStr">
        <x:is>
          <x:t xml:space="preserve">ОБ-007</x:t>
        </x:is>
      </x:c>
      <x:c r="J666" s="31" t="inlineStr">
        <x:is>
          <x:t xml:space="preserve">СОТР-100</x:t>
        </x:is>
      </x:c>
      <x:c r="K666" s="31" t="n">
        <x:v>4.3</x:v>
      </x:c>
      <x:c r="L666" s="31" t="n"/>
      <x:c r="M666" s="31" t="n">
        <x:v>46109</x:v>
      </x:c>
      <x:c r="N666" s="31" t="n">
        <x:v>46110</x:v>
      </x:c>
      <x:c r="O666" s="31" t="n"/>
      <x:c r="P666" s="31" t="n"/>
      <x:c r="Q666" s="31" t="inlineStr">
        <x:is>
          <x:t xml:space="preserve">Запланировано</x:t>
        </x:is>
      </x:c>
      <x:c r="R666" s="31" t="inlineStr">
        <x:is>
          <x:t xml:space="preserve">Нет</x:t>
        </x:is>
      </x:c>
      <x:c r="S666" s="31" t="inlineStr">
        <x:is>
          <x:t xml:space="preserve">Нет</x:t>
        </x:is>
      </x:c>
    </x:row>
    <x:row r="667">
      <x:c r="A667" s="31" t="inlineStr">
        <x:is>
          <x:t xml:space="preserve">ОП-000666</x:t>
        </x:is>
      </x:c>
      <x:c r="B667" s="31" t="inlineStr">
        <x:is>
          <x:t xml:space="preserve">ПЗ-00078</x:t>
        </x:is>
      </x:c>
      <x:c r="C667" s="31" t="inlineStr">
        <x:is>
          <x:t xml:space="preserve">ЗК-1043</x:t>
        </x:is>
      </x:c>
      <x:c r="D667" s="31" t="inlineStr">
        <x:is>
          <x:t xml:space="preserve">ПОЗ-0043-3</x:t>
        </x:is>
      </x:c>
      <x:c r="E667" s="31" t="inlineStr">
        <x:is>
          <x:t xml:space="preserve">ИЗД-012</x:t>
        </x:is>
      </x:c>
      <x:c r="F667" s="31" t="n">
        <x:v>60</x:v>
      </x:c>
      <x:c r="G667" s="31" t="inlineStr">
        <x:is>
          <x:t xml:space="preserve">Покраска</x:t>
        </x:is>
      </x:c>
      <x:c r="H667" s="31" t="inlineStr">
        <x:is>
          <x:t xml:space="preserve">Сварка</x:t>
        </x:is>
      </x:c>
      <x:c r="I667" s="31" t="inlineStr">
        <x:is>
          <x:t xml:space="preserve">ОБ-003</x:t>
        </x:is>
      </x:c>
      <x:c r="J667" s="31" t="inlineStr">
        <x:is>
          <x:t xml:space="preserve">СОТР-069</x:t>
        </x:is>
      </x:c>
      <x:c r="K667" s="31" t="n">
        <x:v>6.6</x:v>
      </x:c>
      <x:c r="L667" s="31" t="n"/>
      <x:c r="M667" s="31" t="n">
        <x:v>46110</x:v>
      </x:c>
      <x:c r="N667" s="31" t="n">
        <x:v>46111</x:v>
      </x:c>
      <x:c r="O667" s="31" t="n"/>
      <x:c r="P667" s="31" t="n"/>
      <x:c r="Q667" s="31" t="inlineStr">
        <x:is>
          <x:t xml:space="preserve">Запланировано</x:t>
        </x:is>
      </x:c>
      <x:c r="R667" s="31" t="inlineStr">
        <x:is>
          <x:t xml:space="preserve">Нет</x:t>
        </x:is>
      </x:c>
      <x:c r="S667" s="31" t="inlineStr">
        <x:is>
          <x:t xml:space="preserve">Нет</x:t>
        </x:is>
      </x:c>
    </x:row>
    <x:row r="668">
      <x:c r="A668" s="31" t="inlineStr">
        <x:is>
          <x:t xml:space="preserve">ОП-000667</x:t>
        </x:is>
      </x:c>
      <x:c r="B668" s="31" t="inlineStr">
        <x:is>
          <x:t xml:space="preserve">ПЗ-00078</x:t>
        </x:is>
      </x:c>
      <x:c r="C668" s="31" t="inlineStr">
        <x:is>
          <x:t xml:space="preserve">ЗК-1043</x:t>
        </x:is>
      </x:c>
      <x:c r="D668" s="31" t="inlineStr">
        <x:is>
          <x:t xml:space="preserve">ПОЗ-0043-3</x:t>
        </x:is>
      </x:c>
      <x:c r="E668" s="31" t="inlineStr">
        <x:is>
          <x:t xml:space="preserve">ИЗД-012</x:t>
        </x:is>
      </x:c>
      <x:c r="F668" s="31" t="n">
        <x:v>70</x:v>
      </x:c>
      <x:c r="G668" s="31" t="inlineStr">
        <x:is>
          <x:t xml:space="preserve">ОТК</x:t>
        </x:is>
      </x:c>
      <x:c r="H668" s="31" t="inlineStr">
        <x:is>
          <x:t xml:space="preserve">ОТК</x:t>
        </x:is>
      </x:c>
      <x:c r="I668" s="31" t="inlineStr">
        <x:is>
          <x:t xml:space="preserve">ОБ-013</x:t>
        </x:is>
      </x:c>
      <x:c r="J668" s="31" t="inlineStr">
        <x:is>
          <x:t xml:space="preserve">СОТР-095</x:t>
        </x:is>
      </x:c>
      <x:c r="K668" s="31" t="n">
        <x:v>2.4</x:v>
      </x:c>
      <x:c r="L668" s="31" t="n"/>
      <x:c r="M668" s="31" t="n">
        <x:v>46111</x:v>
      </x:c>
      <x:c r="N668" s="31" t="n">
        <x:v>46112</x:v>
      </x:c>
      <x:c r="O668" s="31" t="n"/>
      <x:c r="P668" s="31" t="n"/>
      <x:c r="Q668" s="31" t="inlineStr">
        <x:is>
          <x:t xml:space="preserve">Запланировано</x:t>
        </x:is>
      </x:c>
      <x:c r="R668" s="31" t="inlineStr">
        <x:is>
          <x:t xml:space="preserve">Нет</x:t>
        </x:is>
      </x:c>
      <x:c r="S668" s="31" t="inlineStr">
        <x:is>
          <x:t xml:space="preserve">Нет</x:t>
        </x:is>
      </x:c>
    </x:row>
    <x:row r="669">
      <x:c r="A669" s="31" t="inlineStr">
        <x:is>
          <x:t xml:space="preserve">ОП-000668</x:t>
        </x:is>
      </x:c>
      <x:c r="B669" s="31" t="inlineStr">
        <x:is>
          <x:t xml:space="preserve">ПЗ-00079</x:t>
        </x:is>
      </x:c>
      <x:c r="C669" s="31" t="inlineStr">
        <x:is>
          <x:t xml:space="preserve">ЗК-1044</x:t>
        </x:is>
      </x:c>
      <x:c r="D669" s="31" t="inlineStr">
        <x:is>
          <x:t xml:space="preserve">ПОЗ-0044-1</x:t>
        </x:is>
      </x:c>
      <x:c r="E669" s="31" t="inlineStr">
        <x:is>
          <x:t xml:space="preserve">ИЗД-002</x:t>
        </x:is>
      </x:c>
      <x:c r="F669" s="31" t="n">
        <x:v>10</x:v>
      </x:c>
      <x:c r="G669" s="31" t="inlineStr">
        <x:is>
          <x:t xml:space="preserve">КД</x:t>
        </x:is>
      </x:c>
      <x:c r="H669" s="31" t="inlineStr">
        <x:is>
          <x:t xml:space="preserve">Инженерный отдел</x:t>
        </x:is>
      </x:c>
      <x:c r="I669" s="31" t="n"/>
      <x:c r="J669" s="31" t="inlineStr">
        <x:is>
          <x:t xml:space="preserve">СОТР-011</x:t>
        </x:is>
      </x:c>
      <x:c r="K669" s="31" t="n">
        <x:v>18.5</x:v>
      </x:c>
      <x:c r="L669" s="31" t="n">
        <x:v>17.1</x:v>
      </x:c>
      <x:c r="M669" s="31" t="n">
        <x:v>46194</x:v>
      </x:c>
      <x:c r="N669" s="31" t="n">
        <x:v>46196</x:v>
      </x:c>
      <x:c r="O669" s="31" t="n">
        <x:v>46194</x:v>
      </x:c>
      <x:c r="P669" s="31" t="n">
        <x:v>46198</x:v>
      </x:c>
      <x:c r="Q669" s="31" t="inlineStr">
        <x:is>
          <x:t xml:space="preserve">Завершено</x:t>
        </x:is>
      </x:c>
      <x:c r="R669" s="31" t="inlineStr">
        <x:is>
          <x:t xml:space="preserve">Материал</x:t>
        </x:is>
      </x:c>
      <x:c r="S669" s="31" t="inlineStr">
        <x:is>
          <x:t xml:space="preserve">Нет</x:t>
        </x:is>
      </x:c>
    </x:row>
    <x:row r="670">
      <x:c r="A670" s="31" t="inlineStr">
        <x:is>
          <x:t xml:space="preserve">ОП-000669</x:t>
        </x:is>
      </x:c>
      <x:c r="B670" s="31" t="inlineStr">
        <x:is>
          <x:t xml:space="preserve">ПЗ-00079</x:t>
        </x:is>
      </x:c>
      <x:c r="C670" s="31" t="inlineStr">
        <x:is>
          <x:t xml:space="preserve">ЗК-1044</x:t>
        </x:is>
      </x:c>
      <x:c r="D670" s="31" t="inlineStr">
        <x:is>
          <x:t xml:space="preserve">ПОЗ-0044-1</x:t>
        </x:is>
      </x:c>
      <x:c r="E670" s="31" t="inlineStr">
        <x:is>
          <x:t xml:space="preserve">ИЗД-002</x:t>
        </x:is>
      </x:c>
      <x:c r="F670" s="31" t="n">
        <x:v>20</x:v>
      </x:c>
      <x:c r="G670" s="31" t="inlineStr">
        <x:is>
          <x:t xml:space="preserve">Комплектация</x:t>
        </x:is>
      </x:c>
      <x:c r="H670" s="31" t="inlineStr">
        <x:is>
          <x:t xml:space="preserve">Склад</x:t>
        </x:is>
      </x:c>
      <x:c r="I670" s="31" t="inlineStr">
        <x:is>
          <x:t xml:space="preserve">ОБ-025</x:t>
        </x:is>
      </x:c>
      <x:c r="J670" s="31" t="inlineStr">
        <x:is>
          <x:t xml:space="preserve">СОТР-037</x:t>
        </x:is>
      </x:c>
      <x:c r="K670" s="31" t="n">
        <x:v>24.5</x:v>
      </x:c>
      <x:c r="L670" s="31" t="n">
        <x:v>20.5</x:v>
      </x:c>
      <x:c r="M670" s="31" t="n">
        <x:v>46196</x:v>
      </x:c>
      <x:c r="N670" s="31" t="n">
        <x:v>46199</x:v>
      </x:c>
      <x:c r="O670" s="31" t="n">
        <x:v>46196</x:v>
      </x:c>
      <x:c r="P670" s="31" t="n">
        <x:v>46201</x:v>
      </x:c>
      <x:c r="Q670" s="31" t="inlineStr">
        <x:is>
          <x:t xml:space="preserve">Завершено</x:t>
        </x:is>
      </x:c>
      <x:c r="R670" s="31" t="inlineStr">
        <x:is>
          <x:t xml:space="preserve">Нет</x:t>
        </x:is>
      </x:c>
      <x:c r="S670" s="31" t="inlineStr">
        <x:is>
          <x:t xml:space="preserve">Нет</x:t>
        </x:is>
      </x:c>
    </x:row>
    <x:row r="671">
      <x:c r="A671" s="31" t="inlineStr">
        <x:is>
          <x:t xml:space="preserve">ОП-000670</x:t>
        </x:is>
      </x:c>
      <x:c r="B671" s="31" t="inlineStr">
        <x:is>
          <x:t xml:space="preserve">ПЗ-00079</x:t>
        </x:is>
      </x:c>
      <x:c r="C671" s="31" t="inlineStr">
        <x:is>
          <x:t xml:space="preserve">ЗК-1044</x:t>
        </x:is>
      </x:c>
      <x:c r="D671" s="31" t="inlineStr">
        <x:is>
          <x:t xml:space="preserve">ПОЗ-0044-1</x:t>
        </x:is>
      </x:c>
      <x:c r="E671" s="31" t="inlineStr">
        <x:is>
          <x:t xml:space="preserve">ИЗД-002</x:t>
        </x:is>
      </x:c>
      <x:c r="F671" s="31" t="n">
        <x:v>30</x:v>
      </x:c>
      <x:c r="G671" s="31" t="inlineStr">
        <x:is>
          <x:t xml:space="preserve">Сборка шкафа</x:t>
        </x:is>
      </x:c>
      <x:c r="H671" s="31" t="inlineStr">
        <x:is>
          <x:t xml:space="preserve">Сборка</x:t>
        </x:is>
      </x:c>
      <x:c r="I671" s="31" t="inlineStr">
        <x:is>
          <x:t xml:space="preserve">ОБ-005</x:t>
        </x:is>
      </x:c>
      <x:c r="J671" s="31" t="inlineStr">
        <x:is>
          <x:t xml:space="preserve">СОТР-073</x:t>
        </x:is>
      </x:c>
      <x:c r="K671" s="31" t="n">
        <x:v>16</x:v>
      </x:c>
      <x:c r="L671" s="31" t="n">
        <x:v>15.6</x:v>
      </x:c>
      <x:c r="M671" s="31" t="n">
        <x:v>46199</x:v>
      </x:c>
      <x:c r="N671" s="31" t="n">
        <x:v>46201</x:v>
      </x:c>
      <x:c r="O671" s="31" t="n">
        <x:v>46199</x:v>
      </x:c>
      <x:c r="P671" s="31" t="n">
        <x:v>46202</x:v>
      </x:c>
      <x:c r="Q671" s="31" t="inlineStr">
        <x:is>
          <x:t xml:space="preserve">Завершено</x:t>
        </x:is>
      </x:c>
      <x:c r="R671" s="31" t="inlineStr">
        <x:is>
          <x:t xml:space="preserve">Нет</x:t>
        </x:is>
      </x:c>
      <x:c r="S671" s="31" t="inlineStr">
        <x:is>
          <x:t xml:space="preserve">Нет</x:t>
        </x:is>
      </x:c>
    </x:row>
    <x:row r="672">
      <x:c r="A672" s="31" t="inlineStr">
        <x:is>
          <x:t xml:space="preserve">ОП-000671</x:t>
        </x:is>
      </x:c>
      <x:c r="B672" s="31" t="inlineStr">
        <x:is>
          <x:t xml:space="preserve">ПЗ-00079</x:t>
        </x:is>
      </x:c>
      <x:c r="C672" s="31" t="inlineStr">
        <x:is>
          <x:t xml:space="preserve">ЗК-1044</x:t>
        </x:is>
      </x:c>
      <x:c r="D672" s="31" t="inlineStr">
        <x:is>
          <x:t xml:space="preserve">ПОЗ-0044-1</x:t>
        </x:is>
      </x:c>
      <x:c r="E672" s="31" t="inlineStr">
        <x:is>
          <x:t xml:space="preserve">ИЗД-002</x:t>
        </x:is>
      </x:c>
      <x:c r="F672" s="31" t="n">
        <x:v>40</x:v>
      </x:c>
      <x:c r="G672" s="31" t="inlineStr">
        <x:is>
          <x:t xml:space="preserve">Маркировка</x:t>
        </x:is>
      </x:c>
      <x:c r="H672" s="31" t="inlineStr">
        <x:is>
          <x:t xml:space="preserve">Сборка</x:t>
        </x:is>
      </x:c>
      <x:c r="I672" s="31" t="inlineStr">
        <x:is>
          <x:t xml:space="preserve">ОБ-012</x:t>
        </x:is>
      </x:c>
      <x:c r="J672" s="31" t="inlineStr">
        <x:is>
          <x:t xml:space="preserve">СОТР-074</x:t>
        </x:is>
      </x:c>
      <x:c r="K672" s="31" t="n">
        <x:v>35.5</x:v>
      </x:c>
      <x:c r="L672" s="31" t="n">
        <x:v>30.1</x:v>
      </x:c>
      <x:c r="M672" s="31" t="n">
        <x:v>46201</x:v>
      </x:c>
      <x:c r="N672" s="31" t="n">
        <x:v>46204</x:v>
      </x:c>
      <x:c r="O672" s="31" t="n">
        <x:v>46201</x:v>
      </x:c>
      <x:c r="P672" s="31" t="n">
        <x:v>46205</x:v>
      </x:c>
      <x:c r="Q672" s="31" t="inlineStr">
        <x:is>
          <x:t xml:space="preserve">Завершено</x:t>
        </x:is>
      </x:c>
      <x:c r="R672" s="31" t="inlineStr">
        <x:is>
          <x:t xml:space="preserve">Ожидание ОТК</x:t>
        </x:is>
      </x:c>
      <x:c r="S672" s="31" t="inlineStr">
        <x:is>
          <x:t xml:space="preserve">Нет</x:t>
        </x:is>
      </x:c>
    </x:row>
    <x:row r="673">
      <x:c r="A673" s="31" t="inlineStr">
        <x:is>
          <x:t xml:space="preserve">ОП-000672</x:t>
        </x:is>
      </x:c>
      <x:c r="B673" s="31" t="inlineStr">
        <x:is>
          <x:t xml:space="preserve">ПЗ-00079</x:t>
        </x:is>
      </x:c>
      <x:c r="C673" s="31" t="inlineStr">
        <x:is>
          <x:t xml:space="preserve">ЗК-1044</x:t>
        </x:is>
      </x:c>
      <x:c r="D673" s="31" t="inlineStr">
        <x:is>
          <x:t xml:space="preserve">ПОЗ-0044-1</x:t>
        </x:is>
      </x:c>
      <x:c r="E673" s="31" t="inlineStr">
        <x:is>
          <x:t xml:space="preserve">ИЗД-002</x:t>
        </x:is>
      </x:c>
      <x:c r="F673" s="31" t="n">
        <x:v>50</x:v>
      </x:c>
      <x:c r="G673" s="31" t="inlineStr">
        <x:is>
          <x:t xml:space="preserve">Электромонтаж</x:t>
        </x:is>
      </x:c>
      <x:c r="H673" s="31" t="inlineStr">
        <x:is>
          <x:t xml:space="preserve">Сборка</x:t>
        </x:is>
      </x:c>
      <x:c r="I673" s="31" t="inlineStr">
        <x:is>
          <x:t xml:space="preserve">ОБ-014</x:t>
        </x:is>
      </x:c>
      <x:c r="J673" s="31" t="inlineStr">
        <x:is>
          <x:t xml:space="preserve">СОТР-074</x:t>
        </x:is>
      </x:c>
      <x:c r="K673" s="31" t="n">
        <x:v>7.5</x:v>
      </x:c>
      <x:c r="L673" s="31" t="n">
        <x:v>7.4</x:v>
      </x:c>
      <x:c r="M673" s="31" t="n">
        <x:v>46204</x:v>
      </x:c>
      <x:c r="N673" s="31" t="n">
        <x:v>46205</x:v>
      </x:c>
      <x:c r="O673" s="31" t="n">
        <x:v>46204</x:v>
      </x:c>
      <x:c r="P673" s="31" t="n">
        <x:v>46206</x:v>
      </x:c>
      <x:c r="Q673" s="31" t="inlineStr">
        <x:is>
          <x:t xml:space="preserve">Завершено</x:t>
        </x:is>
      </x:c>
      <x:c r="R673" s="31" t="inlineStr">
        <x:is>
          <x:t xml:space="preserve">Нет</x:t>
        </x:is>
      </x:c>
      <x:c r="S673" s="31" t="inlineStr">
        <x:is>
          <x:t xml:space="preserve">Нет</x:t>
        </x:is>
      </x:c>
    </x:row>
    <x:row r="674">
      <x:c r="A674" s="31" t="inlineStr">
        <x:is>
          <x:t xml:space="preserve">ОП-000673</x:t>
        </x:is>
      </x:c>
      <x:c r="B674" s="31" t="inlineStr">
        <x:is>
          <x:t xml:space="preserve">ПЗ-00079</x:t>
        </x:is>
      </x:c>
      <x:c r="C674" s="31" t="inlineStr">
        <x:is>
          <x:t xml:space="preserve">ЗК-1044</x:t>
        </x:is>
      </x:c>
      <x:c r="D674" s="31" t="inlineStr">
        <x:is>
          <x:t xml:space="preserve">ПОЗ-0044-1</x:t>
        </x:is>
      </x:c>
      <x:c r="E674" s="31" t="inlineStr">
        <x:is>
          <x:t xml:space="preserve">ИЗД-002</x:t>
        </x:is>
      </x:c>
      <x:c r="F674" s="31" t="n">
        <x:v>60</x:v>
      </x:c>
      <x:c r="G674" s="31" t="inlineStr">
        <x:is>
          <x:t xml:space="preserve">Программирование ПЛК</x:t>
        </x:is>
      </x:c>
      <x:c r="H674" s="31" t="inlineStr">
        <x:is>
          <x:t xml:space="preserve">Инженерный отдел</x:t>
        </x:is>
      </x:c>
      <x:c r="I674" s="31" t="n"/>
      <x:c r="J674" s="31" t="inlineStr">
        <x:is>
          <x:t xml:space="preserve">СОТР-012</x:t>
        </x:is>
      </x:c>
      <x:c r="K674" s="31" t="n">
        <x:v>35.5</x:v>
      </x:c>
      <x:c r="L674" s="31" t="n">
        <x:v>39.9</x:v>
      </x:c>
      <x:c r="M674" s="31" t="n">
        <x:v>46205</x:v>
      </x:c>
      <x:c r="N674" s="31" t="n">
        <x:v>46208</x:v>
      </x:c>
      <x:c r="O674" s="31" t="n">
        <x:v>46205</x:v>
      </x:c>
      <x:c r="P674" s="31" t="n">
        <x:v>46208</x:v>
      </x:c>
      <x:c r="Q674" s="31" t="inlineStr">
        <x:is>
          <x:t xml:space="preserve">Завершено</x:t>
        </x:is>
      </x:c>
      <x:c r="R674" s="31" t="inlineStr">
        <x:is>
          <x:t xml:space="preserve">Нет</x:t>
        </x:is>
      </x:c>
      <x:c r="S674" s="31" t="inlineStr">
        <x:is>
          <x:t xml:space="preserve">Нет</x:t>
        </x:is>
      </x:c>
    </x:row>
    <x:row r="675">
      <x:c r="A675" s="31" t="inlineStr">
        <x:is>
          <x:t xml:space="preserve">ОП-000674</x:t>
        </x:is>
      </x:c>
      <x:c r="B675" s="31" t="inlineStr">
        <x:is>
          <x:t xml:space="preserve">ПЗ-00079</x:t>
        </x:is>
      </x:c>
      <x:c r="C675" s="31" t="inlineStr">
        <x:is>
          <x:t xml:space="preserve">ЗК-1044</x:t>
        </x:is>
      </x:c>
      <x:c r="D675" s="31" t="inlineStr">
        <x:is>
          <x:t xml:space="preserve">ПОЗ-0044-1</x:t>
        </x:is>
      </x:c>
      <x:c r="E675" s="31" t="inlineStr">
        <x:is>
          <x:t xml:space="preserve">ИЗД-002</x:t>
        </x:is>
      </x:c>
      <x:c r="F675" s="31" t="n">
        <x:v>70</x:v>
      </x:c>
      <x:c r="G675" s="31" t="inlineStr">
        <x:is>
          <x:t xml:space="preserve">Приемочные испытания</x:t>
        </x:is>
      </x:c>
      <x:c r="H675" s="31" t="inlineStr">
        <x:is>
          <x:t xml:space="preserve">ОТК</x:t>
        </x:is>
      </x:c>
      <x:c r="I675" s="31" t="inlineStr">
        <x:is>
          <x:t xml:space="preserve">ОБ-015</x:t>
        </x:is>
      </x:c>
      <x:c r="J675" s="31" t="inlineStr">
        <x:is>
          <x:t xml:space="preserve">СОТР-093</x:t>
        </x:is>
      </x:c>
      <x:c r="K675" s="31" t="n">
        <x:v>30.5</x:v>
      </x:c>
      <x:c r="L675" s="31" t="n">
        <x:v>32.4</x:v>
      </x:c>
      <x:c r="M675" s="31" t="n">
        <x:v>46208</x:v>
      </x:c>
      <x:c r="N675" s="31" t="n">
        <x:v>46211</x:v>
      </x:c>
      <x:c r="O675" s="31" t="n">
        <x:v>46208</x:v>
      </x:c>
      <x:c r="P675" s="31" t="n">
        <x:v>46210</x:v>
      </x:c>
      <x:c r="Q675" s="31" t="inlineStr">
        <x:is>
          <x:t xml:space="preserve">Завершено</x:t>
        </x:is>
      </x:c>
      <x:c r="R675" s="31" t="inlineStr">
        <x:is>
          <x:t xml:space="preserve">Нет</x:t>
        </x:is>
      </x:c>
      <x:c r="S675" s="31" t="inlineStr">
        <x:is>
          <x:t xml:space="preserve">Нет</x:t>
        </x:is>
      </x:c>
    </x:row>
    <x:row r="676">
      <x:c r="A676" s="31" t="inlineStr">
        <x:is>
          <x:t xml:space="preserve">ОП-000675</x:t>
        </x:is>
      </x:c>
      <x:c r="B676" s="31" t="inlineStr">
        <x:is>
          <x:t xml:space="preserve">ПЗ-00079</x:t>
        </x:is>
      </x:c>
      <x:c r="C676" s="31" t="inlineStr">
        <x:is>
          <x:t xml:space="preserve">ЗК-1044</x:t>
        </x:is>
      </x:c>
      <x:c r="D676" s="31" t="inlineStr">
        <x:is>
          <x:t xml:space="preserve">ПОЗ-0044-1</x:t>
        </x:is>
      </x:c>
      <x:c r="E676" s="31" t="inlineStr">
        <x:is>
          <x:t xml:space="preserve">ИЗД-002</x:t>
        </x:is>
      </x:c>
      <x:c r="F676" s="31" t="n">
        <x:v>80</x:v>
      </x:c>
      <x:c r="G676" s="31" t="inlineStr">
        <x:is>
          <x:t xml:space="preserve">ОТК</x:t>
        </x:is>
      </x:c>
      <x:c r="H676" s="31" t="inlineStr">
        <x:is>
          <x:t xml:space="preserve">ОТК</x:t>
        </x:is>
      </x:c>
      <x:c r="I676" s="31" t="inlineStr">
        <x:is>
          <x:t xml:space="preserve">ОБ-001</x:t>
        </x:is>
      </x:c>
      <x:c r="J676" s="31" t="inlineStr">
        <x:is>
          <x:t xml:space="preserve">СОТР-096</x:t>
        </x:is>
      </x:c>
      <x:c r="K676" s="31" t="n">
        <x:v>31</x:v>
      </x:c>
      <x:c r="L676" s="31" t="n">
        <x:v>32.2</x:v>
      </x:c>
      <x:c r="M676" s="31" t="n">
        <x:v>46211</x:v>
      </x:c>
      <x:c r="N676" s="31" t="n">
        <x:v>46214</x:v>
      </x:c>
      <x:c r="O676" s="31" t="n">
        <x:v>46211</x:v>
      </x:c>
      <x:c r="P676" s="31" t="n">
        <x:v>46214</x:v>
      </x:c>
      <x:c r="Q676" s="31" t="inlineStr">
        <x:is>
          <x:t xml:space="preserve">Завершено</x:t>
        </x:is>
      </x:c>
      <x:c r="R676" s="31" t="inlineStr">
        <x:is>
          <x:t xml:space="preserve">Нет</x:t>
        </x:is>
      </x:c>
      <x:c r="S676" s="31" t="inlineStr">
        <x:is>
          <x:t xml:space="preserve">Нет</x:t>
        </x:is>
      </x:c>
    </x:row>
    <x:row r="677">
      <x:c r="A677" s="31" t="inlineStr">
        <x:is>
          <x:t xml:space="preserve">ОП-000676</x:t>
        </x:is>
      </x:c>
      <x:c r="B677" s="31" t="inlineStr">
        <x:is>
          <x:t xml:space="preserve">ПЗ-00079</x:t>
        </x:is>
      </x:c>
      <x:c r="C677" s="31" t="inlineStr">
        <x:is>
          <x:t xml:space="preserve">ЗК-1044</x:t>
        </x:is>
      </x:c>
      <x:c r="D677" s="31" t="inlineStr">
        <x:is>
          <x:t xml:space="preserve">ПОЗ-0044-1</x:t>
        </x:is>
      </x:c>
      <x:c r="E677" s="31" t="inlineStr">
        <x:is>
          <x:t xml:space="preserve">ИЗД-002</x:t>
        </x:is>
      </x:c>
      <x:c r="F677" s="31" t="n">
        <x:v>90</x:v>
      </x:c>
      <x:c r="G677" s="31" t="inlineStr">
        <x:is>
          <x:t xml:space="preserve">Упаковка</x:t>
        </x:is>
      </x:c>
      <x:c r="H677" s="31" t="inlineStr">
        <x:is>
          <x:t xml:space="preserve">Логистика</x:t>
        </x:is>
      </x:c>
      <x:c r="I677" s="31" t="n"/>
      <x:c r="J677" s="31" t="inlineStr">
        <x:is>
          <x:t xml:space="preserve">СОТР-104</x:t>
        </x:is>
      </x:c>
      <x:c r="K677" s="31" t="n">
        <x:v>22.5</x:v>
      </x:c>
      <x:c r="L677" s="31" t="n">
        <x:v>19.7</x:v>
      </x:c>
      <x:c r="M677" s="31" t="n">
        <x:v>46214</x:v>
      </x:c>
      <x:c r="N677" s="31" t="n">
        <x:v>46216</x:v>
      </x:c>
      <x:c r="O677" s="31" t="n">
        <x:v>46214</x:v>
      </x:c>
      <x:c r="P677" s="31" t="n">
        <x:v>46215</x:v>
      </x:c>
      <x:c r="Q677" s="31" t="inlineStr">
        <x:is>
          <x:t xml:space="preserve">Завершено</x:t>
        </x:is>
      </x:c>
      <x:c r="R677" s="31" t="inlineStr">
        <x:is>
          <x:t xml:space="preserve">Нет</x:t>
        </x:is>
      </x:c>
      <x:c r="S677" s="31" t="inlineStr">
        <x:is>
          <x:t xml:space="preserve">Нет</x:t>
        </x:is>
      </x:c>
    </x:row>
    <x:row r="678">
      <x:c r="A678" s="31" t="inlineStr">
        <x:is>
          <x:t xml:space="preserve">ОП-000677</x:t>
        </x:is>
      </x:c>
      <x:c r="B678" s="31" t="inlineStr">
        <x:is>
          <x:t xml:space="preserve">ПЗ-00080</x:t>
        </x:is>
      </x:c>
      <x:c r="C678" s="31" t="inlineStr">
        <x:is>
          <x:t xml:space="preserve">ЗК-1044</x:t>
        </x:is>
      </x:c>
      <x:c r="D678" s="31" t="inlineStr">
        <x:is>
          <x:t xml:space="preserve">ПОЗ-0044-2</x:t>
        </x:is>
      </x:c>
      <x:c r="E678" s="31" t="inlineStr">
        <x:is>
          <x:t xml:space="preserve">ИЗД-021</x:t>
        </x:is>
      </x:c>
      <x:c r="F678" s="31" t="n">
        <x:v>10</x:v>
      </x:c>
      <x:c r="G678" s="31" t="inlineStr">
        <x:is>
          <x:t xml:space="preserve">КД</x:t>
        </x:is>
      </x:c>
      <x:c r="H678" s="31" t="inlineStr">
        <x:is>
          <x:t xml:space="preserve">Инженерный отдел</x:t>
        </x:is>
      </x:c>
      <x:c r="I678" s="31" t="n"/>
      <x:c r="J678" s="31" t="inlineStr">
        <x:is>
          <x:t xml:space="preserve">СОТР-019</x:t>
        </x:is>
      </x:c>
      <x:c r="K678" s="31" t="n">
        <x:v>7.2</x:v>
      </x:c>
      <x:c r="L678" s="31" t="n">
        <x:v>6.4</x:v>
      </x:c>
      <x:c r="M678" s="31" t="n">
        <x:v>46189</x:v>
      </x:c>
      <x:c r="N678" s="31" t="n">
        <x:v>46190</x:v>
      </x:c>
      <x:c r="O678" s="31" t="n">
        <x:v>46189</x:v>
      </x:c>
      <x:c r="P678" s="31" t="n">
        <x:v>46189</x:v>
      </x:c>
      <x:c r="Q678" s="31" t="inlineStr">
        <x:is>
          <x:t xml:space="preserve">Завершено</x:t>
        </x:is>
      </x:c>
      <x:c r="R678" s="31" t="inlineStr">
        <x:is>
          <x:t xml:space="preserve">Нет</x:t>
        </x:is>
      </x:c>
      <x:c r="S678" s="31" t="inlineStr">
        <x:is>
          <x:t xml:space="preserve">Нет</x:t>
        </x:is>
      </x:c>
    </x:row>
    <x:row r="679">
      <x:c r="A679" s="31" t="inlineStr">
        <x:is>
          <x:t xml:space="preserve">ОП-000678</x:t>
        </x:is>
      </x:c>
      <x:c r="B679" s="31" t="inlineStr">
        <x:is>
          <x:t xml:space="preserve">ПЗ-00080</x:t>
        </x:is>
      </x:c>
      <x:c r="C679" s="31" t="inlineStr">
        <x:is>
          <x:t xml:space="preserve">ЗК-1044</x:t>
        </x:is>
      </x:c>
      <x:c r="D679" s="31" t="inlineStr">
        <x:is>
          <x:t xml:space="preserve">ПОЗ-0044-2</x:t>
        </x:is>
      </x:c>
      <x:c r="E679" s="31" t="inlineStr">
        <x:is>
          <x:t xml:space="preserve">ИЗД-021</x:t>
        </x:is>
      </x:c>
      <x:c r="F679" s="31" t="n">
        <x:v>20</x:v>
      </x:c>
      <x:c r="G679" s="31" t="inlineStr">
        <x:is>
          <x:t xml:space="preserve">Резерв материалов</x:t>
        </x:is>
      </x:c>
      <x:c r="H679" s="31" t="inlineStr">
        <x:is>
          <x:t xml:space="preserve">Склад</x:t>
        </x:is>
      </x:c>
      <x:c r="I679" s="31" t="inlineStr">
        <x:is>
          <x:t xml:space="preserve">ОБ-023</x:t>
        </x:is>
      </x:c>
      <x:c r="J679" s="31" t="inlineStr">
        <x:is>
          <x:t xml:space="preserve">СОТР-034</x:t>
        </x:is>
      </x:c>
      <x:c r="K679" s="31" t="n">
        <x:v>35.4</x:v>
      </x:c>
      <x:c r="L679" s="31" t="n"/>
      <x:c r="M679" s="31" t="n">
        <x:v>46190</x:v>
      </x:c>
      <x:c r="N679" s="31" t="n">
        <x:v>46193</x:v>
      </x:c>
      <x:c r="O679" s="31" t="n">
        <x:v>46190</x:v>
      </x:c>
      <x:c r="P679" s="31" t="n"/>
      <x:c r="Q679" s="31" t="inlineStr">
        <x:is>
          <x:t xml:space="preserve">В работе</x:t>
        </x:is>
      </x:c>
      <x:c r="R679" s="31" t="inlineStr">
        <x:is>
          <x:t xml:space="preserve">Нет</x:t>
        </x:is>
      </x:c>
      <x:c r="S679" s="31" t="inlineStr">
        <x:is>
          <x:t xml:space="preserve">Нет</x:t>
        </x:is>
      </x:c>
    </x:row>
    <x:row r="680">
      <x:c r="A680" s="31" t="inlineStr">
        <x:is>
          <x:t xml:space="preserve">ОП-000679</x:t>
        </x:is>
      </x:c>
      <x:c r="B680" s="31" t="inlineStr">
        <x:is>
          <x:t xml:space="preserve">ПЗ-00080</x:t>
        </x:is>
      </x:c>
      <x:c r="C680" s="31" t="inlineStr">
        <x:is>
          <x:t xml:space="preserve">ЗК-1044</x:t>
        </x:is>
      </x:c>
      <x:c r="D680" s="31" t="inlineStr">
        <x:is>
          <x:t xml:space="preserve">ПОЗ-0044-2</x:t>
        </x:is>
      </x:c>
      <x:c r="E680" s="31" t="inlineStr">
        <x:is>
          <x:t xml:space="preserve">ИЗД-021</x:t>
        </x:is>
      </x:c>
      <x:c r="F680" s="31" t="n">
        <x:v>30</x:v>
      </x:c>
      <x:c r="G680" s="31" t="inlineStr">
        <x:is>
          <x:t xml:space="preserve">Сварка рамы</x:t>
        </x:is>
      </x:c>
      <x:c r="H680" s="31" t="inlineStr">
        <x:is>
          <x:t xml:space="preserve">Сварка</x:t>
        </x:is>
      </x:c>
      <x:c r="I680" s="31" t="inlineStr">
        <x:is>
          <x:t xml:space="preserve">ОБ-010</x:t>
        </x:is>
      </x:c>
      <x:c r="J680" s="31" t="inlineStr">
        <x:is>
          <x:t xml:space="preserve">СОТР-064</x:t>
        </x:is>
      </x:c>
      <x:c r="K680" s="31" t="n">
        <x:v>35</x:v>
      </x:c>
      <x:c r="L680" s="31" t="n"/>
      <x:c r="M680" s="31" t="n">
        <x:v>46193</x:v>
      </x:c>
      <x:c r="N680" s="31" t="n">
        <x:v>46196</x:v>
      </x:c>
      <x:c r="O680" s="31" t="n"/>
      <x:c r="P680" s="31" t="n"/>
      <x:c r="Q680" s="31" t="inlineStr">
        <x:is>
          <x:t xml:space="preserve">Запланировано</x:t>
        </x:is>
      </x:c>
      <x:c r="R680" s="31" t="inlineStr">
        <x:is>
          <x:t xml:space="preserve">Ожидание ОТК</x:t>
        </x:is>
      </x:c>
      <x:c r="S680" s="31" t="inlineStr">
        <x:is>
          <x:t xml:space="preserve">Нет</x:t>
        </x:is>
      </x:c>
    </x:row>
    <x:row r="681">
      <x:c r="A681" s="31" t="inlineStr">
        <x:is>
          <x:t xml:space="preserve">ОП-000680</x:t>
        </x:is>
      </x:c>
      <x:c r="B681" s="31" t="inlineStr">
        <x:is>
          <x:t xml:space="preserve">ПЗ-00080</x:t>
        </x:is>
      </x:c>
      <x:c r="C681" s="31" t="inlineStr">
        <x:is>
          <x:t xml:space="preserve">ЗК-1044</x:t>
        </x:is>
      </x:c>
      <x:c r="D681" s="31" t="inlineStr">
        <x:is>
          <x:t xml:space="preserve">ПОЗ-0044-2</x:t>
        </x:is>
      </x:c>
      <x:c r="E681" s="31" t="inlineStr">
        <x:is>
          <x:t xml:space="preserve">ИЗД-021</x:t>
        </x:is>
      </x:c>
      <x:c r="F681" s="31" t="n">
        <x:v>40</x:v>
      </x:c>
      <x:c r="G681" s="31" t="inlineStr">
        <x:is>
          <x:t xml:space="preserve">Сборка</x:t>
        </x:is>
      </x:c>
      <x:c r="H681" s="31" t="inlineStr">
        <x:is>
          <x:t xml:space="preserve">Сборка</x:t>
        </x:is>
      </x:c>
      <x:c r="I681" s="31" t="inlineStr">
        <x:is>
          <x:t xml:space="preserve">ОБ-034</x:t>
        </x:is>
      </x:c>
      <x:c r="J681" s="31" t="inlineStr">
        <x:is>
          <x:t xml:space="preserve">СОТР-090</x:t>
        </x:is>
      </x:c>
      <x:c r="K681" s="31" t="n">
        <x:v>29</x:v>
      </x:c>
      <x:c r="L681" s="31" t="n">
        <x:v>28.8</x:v>
      </x:c>
      <x:c r="M681" s="31" t="n">
        <x:v>46196</x:v>
      </x:c>
      <x:c r="N681" s="31" t="n">
        <x:v>46199</x:v>
      </x:c>
      <x:c r="O681" s="31" t="n">
        <x:v>46196</x:v>
      </x:c>
      <x:c r="P681" s="31" t="n">
        <x:v>46201</x:v>
      </x:c>
      <x:c r="Q681" s="31" t="inlineStr">
        <x:is>
          <x:t xml:space="preserve">Завершено</x:t>
        </x:is>
      </x:c>
      <x:c r="R681" s="31" t="inlineStr">
        <x:is>
          <x:t xml:space="preserve">Материал</x:t>
        </x:is>
      </x:c>
      <x:c r="S681" s="31" t="inlineStr">
        <x:is>
          <x:t xml:space="preserve">Да</x:t>
        </x:is>
      </x:c>
    </x:row>
    <x:row r="682">
      <x:c r="A682" s="31" t="inlineStr">
        <x:is>
          <x:t xml:space="preserve">ОП-000681</x:t>
        </x:is>
      </x:c>
      <x:c r="B682" s="31" t="inlineStr">
        <x:is>
          <x:t xml:space="preserve">ПЗ-00080</x:t>
        </x:is>
      </x:c>
      <x:c r="C682" s="31" t="inlineStr">
        <x:is>
          <x:t xml:space="preserve">ЗК-1044</x:t>
        </x:is>
      </x:c>
      <x:c r="D682" s="31" t="inlineStr">
        <x:is>
          <x:t xml:space="preserve">ПОЗ-0044-2</x:t>
        </x:is>
      </x:c>
      <x:c r="E682" s="31" t="inlineStr">
        <x:is>
          <x:t xml:space="preserve">ИЗД-021</x:t>
        </x:is>
      </x:c>
      <x:c r="F682" s="31" t="n">
        <x:v>50</x:v>
      </x:c>
      <x:c r="G682" s="31" t="inlineStr">
        <x:is>
          <x:t xml:space="preserve">Обвязка труб</x:t>
        </x:is>
      </x:c>
      <x:c r="H682" s="31" t="inlineStr">
        <x:is>
          <x:t xml:space="preserve">Сборка</x:t>
        </x:is>
      </x:c>
      <x:c r="I682" s="31" t="inlineStr">
        <x:is>
          <x:t xml:space="preserve">ОБ-005</x:t>
        </x:is>
      </x:c>
      <x:c r="J682" s="31" t="inlineStr">
        <x:is>
          <x:t xml:space="preserve">СОТР-079</x:t>
        </x:is>
      </x:c>
      <x:c r="K682" s="31" t="n">
        <x:v>30.2</x:v>
      </x:c>
      <x:c r="L682" s="31" t="n"/>
      <x:c r="M682" s="31" t="n">
        <x:v>46199</x:v>
      </x:c>
      <x:c r="N682" s="31" t="n">
        <x:v>46202</x:v>
      </x:c>
      <x:c r="O682" s="31" t="n">
        <x:v>46199</x:v>
      </x:c>
      <x:c r="P682" s="31" t="n"/>
      <x:c r="Q682" s="31" t="inlineStr">
        <x:is>
          <x:t xml:space="preserve">В работе</x:t>
        </x:is>
      </x:c>
      <x:c r="R682" s="31" t="inlineStr">
        <x:is>
          <x:t xml:space="preserve">Нет</x:t>
        </x:is>
      </x:c>
      <x:c r="S682" s="31" t="inlineStr">
        <x:is>
          <x:t xml:space="preserve">Нет</x:t>
        </x:is>
      </x:c>
    </x:row>
    <x:row r="683">
      <x:c r="A683" s="31" t="inlineStr">
        <x:is>
          <x:t xml:space="preserve">ОП-000682</x:t>
        </x:is>
      </x:c>
      <x:c r="B683" s="31" t="inlineStr">
        <x:is>
          <x:t xml:space="preserve">ПЗ-00080</x:t>
        </x:is>
      </x:c>
      <x:c r="C683" s="31" t="inlineStr">
        <x:is>
          <x:t xml:space="preserve">ЗК-1044</x:t>
        </x:is>
      </x:c>
      <x:c r="D683" s="31" t="inlineStr">
        <x:is>
          <x:t xml:space="preserve">ПОЗ-0044-2</x:t>
        </x:is>
      </x:c>
      <x:c r="E683" s="31" t="inlineStr">
        <x:is>
          <x:t xml:space="preserve">ИЗД-021</x:t>
        </x:is>
      </x:c>
      <x:c r="F683" s="31" t="n">
        <x:v>60</x:v>
      </x:c>
      <x:c r="G683" s="31" t="inlineStr">
        <x:is>
          <x:t xml:space="preserve">Электромонтаж</x:t>
        </x:is>
      </x:c>
      <x:c r="H683" s="31" t="inlineStr">
        <x:is>
          <x:t xml:space="preserve">Сборка</x:t>
        </x:is>
      </x:c>
      <x:c r="I683" s="31" t="inlineStr">
        <x:is>
          <x:t xml:space="preserve">ОБ-012</x:t>
        </x:is>
      </x:c>
      <x:c r="J683" s="31" t="inlineStr">
        <x:is>
          <x:t xml:space="preserve">СОТР-084</x:t>
        </x:is>
      </x:c>
      <x:c r="K683" s="31" t="n">
        <x:v>27</x:v>
      </x:c>
      <x:c r="L683" s="31" t="n">
        <x:v>24.4</x:v>
      </x:c>
      <x:c r="M683" s="31" t="n">
        <x:v>46202</x:v>
      </x:c>
      <x:c r="N683" s="31" t="n">
        <x:v>46205</x:v>
      </x:c>
      <x:c r="O683" s="31" t="n">
        <x:v>46202</x:v>
      </x:c>
      <x:c r="P683" s="31" t="n">
        <x:v>46206</x:v>
      </x:c>
      <x:c r="Q683" s="31" t="inlineStr">
        <x:is>
          <x:t xml:space="preserve">Завершено</x:t>
        </x:is>
      </x:c>
      <x:c r="R683" s="31" t="inlineStr">
        <x:is>
          <x:t xml:space="preserve">Ожидание ОТК</x:t>
        </x:is>
      </x:c>
      <x:c r="S683" s="31" t="inlineStr">
        <x:is>
          <x:t xml:space="preserve">Нет</x:t>
        </x:is>
      </x:c>
    </x:row>
    <x:row r="684">
      <x:c r="A684" s="31" t="inlineStr">
        <x:is>
          <x:t xml:space="preserve">ОП-000683</x:t>
        </x:is>
      </x:c>
      <x:c r="B684" s="31" t="inlineStr">
        <x:is>
          <x:t xml:space="preserve">ПЗ-00080</x:t>
        </x:is>
      </x:c>
      <x:c r="C684" s="31" t="inlineStr">
        <x:is>
          <x:t xml:space="preserve">ЗК-1044</x:t>
        </x:is>
      </x:c>
      <x:c r="D684" s="31" t="inlineStr">
        <x:is>
          <x:t xml:space="preserve">ПОЗ-0044-2</x:t>
        </x:is>
      </x:c>
      <x:c r="E684" s="31" t="inlineStr">
        <x:is>
          <x:t xml:space="preserve">ИЗД-021</x:t>
        </x:is>
      </x:c>
      <x:c r="F684" s="31" t="n">
        <x:v>70</x:v>
      </x:c>
      <x:c r="G684" s="31" t="inlineStr">
        <x:is>
          <x:t xml:space="preserve">Гидроиспытания</x:t>
        </x:is>
      </x:c>
      <x:c r="H684" s="31" t="inlineStr">
        <x:is>
          <x:t xml:space="preserve">ОТК</x:t>
        </x:is>
      </x:c>
      <x:c r="I684" s="31" t="inlineStr">
        <x:is>
          <x:t xml:space="preserve">ОБ-032</x:t>
        </x:is>
      </x:c>
      <x:c r="J684" s="31" t="inlineStr">
        <x:is>
          <x:t xml:space="preserve">СОТР-093</x:t>
        </x:is>
      </x:c>
      <x:c r="K684" s="31" t="n">
        <x:v>16.8</x:v>
      </x:c>
      <x:c r="L684" s="31" t="n"/>
      <x:c r="M684" s="31" t="n">
        <x:v>46205</x:v>
      </x:c>
      <x:c r="N684" s="31" t="n">
        <x:v>46207</x:v>
      </x:c>
      <x:c r="O684" s="31" t="n"/>
      <x:c r="P684" s="31" t="n"/>
      <x:c r="Q684" s="31" t="inlineStr">
        <x:is>
          <x:t xml:space="preserve">Запланировано</x:t>
        </x:is>
      </x:c>
      <x:c r="R684" s="31" t="inlineStr">
        <x:is>
          <x:t xml:space="preserve">Нет</x:t>
        </x:is>
      </x:c>
      <x:c r="S684" s="31" t="inlineStr">
        <x:is>
          <x:t xml:space="preserve">Нет</x:t>
        </x:is>
      </x:c>
    </x:row>
    <x:row r="685">
      <x:c r="A685" s="31" t="inlineStr">
        <x:is>
          <x:t xml:space="preserve">ОП-000684</x:t>
        </x:is>
      </x:c>
      <x:c r="B685" s="31" t="inlineStr">
        <x:is>
          <x:t xml:space="preserve">ПЗ-00080</x:t>
        </x:is>
      </x:c>
      <x:c r="C685" s="31" t="inlineStr">
        <x:is>
          <x:t xml:space="preserve">ЗК-1044</x:t>
        </x:is>
      </x:c>
      <x:c r="D685" s="31" t="inlineStr">
        <x:is>
          <x:t xml:space="preserve">ПОЗ-0044-2</x:t>
        </x:is>
      </x:c>
      <x:c r="E685" s="31" t="inlineStr">
        <x:is>
          <x:t xml:space="preserve">ИЗД-021</x:t>
        </x:is>
      </x:c>
      <x:c r="F685" s="31" t="n">
        <x:v>80</x:v>
      </x:c>
      <x:c r="G685" s="31" t="inlineStr">
        <x:is>
          <x:t xml:space="preserve">ОТК</x:t>
        </x:is>
      </x:c>
      <x:c r="H685" s="31" t="inlineStr">
        <x:is>
          <x:t xml:space="preserve">ОТК</x:t>
        </x:is>
      </x:c>
      <x:c r="I685" s="31" t="inlineStr">
        <x:is>
          <x:t xml:space="preserve">ОБ-033</x:t>
        </x:is>
      </x:c>
      <x:c r="J685" s="31" t="inlineStr">
        <x:is>
          <x:t xml:space="preserve">СОТР-092</x:t>
        </x:is>
      </x:c>
      <x:c r="K685" s="31" t="n">
        <x:v>4.8</x:v>
      </x:c>
      <x:c r="L685" s="31" t="n"/>
      <x:c r="M685" s="31" t="n">
        <x:v>46207</x:v>
      </x:c>
      <x:c r="N685" s="31" t="n">
        <x:v>46208</x:v>
      </x:c>
      <x:c r="O685" s="31" t="n"/>
      <x:c r="P685" s="31" t="n"/>
      <x:c r="Q685" s="31" t="inlineStr">
        <x:is>
          <x:t xml:space="preserve">Запланировано</x:t>
        </x:is>
      </x:c>
      <x:c r="R685" s="31" t="inlineStr">
        <x:is>
          <x:t xml:space="preserve">Нет</x:t>
        </x:is>
      </x:c>
      <x:c r="S685" s="31" t="inlineStr">
        <x:is>
          <x:t xml:space="preserve">Нет</x:t>
        </x:is>
      </x:c>
    </x:row>
    <x:row r="686">
      <x:c r="A686" s="31" t="inlineStr">
        <x:is>
          <x:t xml:space="preserve">ОП-000685</x:t>
        </x:is>
      </x:c>
      <x:c r="B686" s="31" t="inlineStr">
        <x:is>
          <x:t xml:space="preserve">ПЗ-00080</x:t>
        </x:is>
      </x:c>
      <x:c r="C686" s="31" t="inlineStr">
        <x:is>
          <x:t xml:space="preserve">ЗК-1044</x:t>
        </x:is>
      </x:c>
      <x:c r="D686" s="31" t="inlineStr">
        <x:is>
          <x:t xml:space="preserve">ПОЗ-0044-2</x:t>
        </x:is>
      </x:c>
      <x:c r="E686" s="31" t="inlineStr">
        <x:is>
          <x:t xml:space="preserve">ИЗД-021</x:t>
        </x:is>
      </x:c>
      <x:c r="F686" s="31" t="n">
        <x:v>90</x:v>
      </x:c>
      <x:c r="G686" s="31" t="inlineStr">
        <x:is>
          <x:t xml:space="preserve">Упаковка</x:t>
        </x:is>
      </x:c>
      <x:c r="H686" s="31" t="inlineStr">
        <x:is>
          <x:t xml:space="preserve">Логистика</x:t>
        </x:is>
      </x:c>
      <x:c r="I686" s="31" t="n"/>
      <x:c r="J686" s="31" t="inlineStr">
        <x:is>
          <x:t xml:space="preserve">СОТР-102</x:t>
        </x:is>
      </x:c>
      <x:c r="K686" s="31" t="n">
        <x:v>34.4</x:v>
      </x:c>
      <x:c r="L686" s="31" t="n"/>
      <x:c r="M686" s="31" t="n">
        <x:v>46208</x:v>
      </x:c>
      <x:c r="N686" s="31" t="n">
        <x:v>46211</x:v>
      </x:c>
      <x:c r="O686" s="31" t="n"/>
      <x:c r="P686" s="31" t="n"/>
      <x:c r="Q686" s="31" t="inlineStr">
        <x:is>
          <x:t xml:space="preserve">Запланировано</x:t>
        </x:is>
      </x:c>
      <x:c r="R686" s="31" t="inlineStr">
        <x:is>
          <x:t xml:space="preserve">Нет</x:t>
        </x:is>
      </x:c>
      <x:c r="S686" s="31" t="inlineStr">
        <x:is>
          <x:t xml:space="preserve">Нет</x:t>
        </x:is>
      </x:c>
    </x:row>
    <x:row r="687">
      <x:c r="A687" s="31" t="inlineStr">
        <x:is>
          <x:t xml:space="preserve">ОП-000686</x:t>
        </x:is>
      </x:c>
      <x:c r="B687" s="31" t="inlineStr">
        <x:is>
          <x:t xml:space="preserve">ПЗ-00081</x:t>
        </x:is>
      </x:c>
      <x:c r="C687" s="31" t="inlineStr">
        <x:is>
          <x:t xml:space="preserve">ЗК-1045</x:t>
        </x:is>
      </x:c>
      <x:c r="D687" s="31" t="inlineStr">
        <x:is>
          <x:t xml:space="preserve">ПОЗ-0045-1</x:t>
        </x:is>
      </x:c>
      <x:c r="E687" s="31" t="inlineStr">
        <x:is>
          <x:t xml:space="preserve">ИЗД-035</x:t>
        </x:is>
      </x:c>
      <x:c r="F687" s="31" t="n">
        <x:v>10</x:v>
      </x:c>
      <x:c r="G687" s="31" t="inlineStr">
        <x:is>
          <x:t xml:space="preserve">КД</x:t>
        </x:is>
      </x:c>
      <x:c r="H687" s="31" t="inlineStr">
        <x:is>
          <x:t xml:space="preserve">Инженерный отдел</x:t>
        </x:is>
      </x:c>
      <x:c r="I687" s="31" t="n"/>
      <x:c r="J687" s="31" t="inlineStr">
        <x:is>
          <x:t xml:space="preserve">СОТР-017</x:t>
        </x:is>
      </x:c>
      <x:c r="K687" s="31" t="n">
        <x:v>34.5</x:v>
      </x:c>
      <x:c r="L687" s="31" t="n">
        <x:v>37.9</x:v>
      </x:c>
      <x:c r="M687" s="31" t="n">
        <x:v>46173</x:v>
      </x:c>
      <x:c r="N687" s="31" t="n">
        <x:v>46176</x:v>
      </x:c>
      <x:c r="O687" s="31" t="n">
        <x:v>46173</x:v>
      </x:c>
      <x:c r="P687" s="31" t="n">
        <x:v>46177</x:v>
      </x:c>
      <x:c r="Q687" s="31" t="inlineStr">
        <x:is>
          <x:t xml:space="preserve">Завершено</x:t>
        </x:is>
      </x:c>
      <x:c r="R687" s="31" t="inlineStr">
        <x:is>
          <x:t xml:space="preserve">Нет</x:t>
        </x:is>
      </x:c>
      <x:c r="S687" s="31" t="inlineStr">
        <x:is>
          <x:t xml:space="preserve">Нет</x:t>
        </x:is>
      </x:c>
    </x:row>
    <x:row r="688">
      <x:c r="A688" s="31" t="inlineStr">
        <x:is>
          <x:t xml:space="preserve">ОП-000687</x:t>
        </x:is>
      </x:c>
      <x:c r="B688" s="31" t="inlineStr">
        <x:is>
          <x:t xml:space="preserve">ПЗ-00081</x:t>
        </x:is>
      </x:c>
      <x:c r="C688" s="31" t="inlineStr">
        <x:is>
          <x:t xml:space="preserve">ЗК-1045</x:t>
        </x:is>
      </x:c>
      <x:c r="D688" s="31" t="inlineStr">
        <x:is>
          <x:t xml:space="preserve">ПОЗ-0045-1</x:t>
        </x:is>
      </x:c>
      <x:c r="E688" s="31" t="inlineStr">
        <x:is>
          <x:t xml:space="preserve">ИЗД-035</x:t>
        </x:is>
      </x:c>
      <x:c r="F688" s="31" t="n">
        <x:v>20</x:v>
      </x:c>
      <x:c r="G688" s="31" t="inlineStr">
        <x:is>
          <x:t xml:space="preserve">Резерв материалов</x:t>
        </x:is>
      </x:c>
      <x:c r="H688" s="31" t="inlineStr">
        <x:is>
          <x:t xml:space="preserve">Склад</x:t>
        </x:is>
      </x:c>
      <x:c r="I688" s="31" t="inlineStr">
        <x:is>
          <x:t xml:space="preserve">ОБ-023</x:t>
        </x:is>
      </x:c>
      <x:c r="J688" s="31" t="inlineStr">
        <x:is>
          <x:t xml:space="preserve">СОТР-036</x:t>
        </x:is>
      </x:c>
      <x:c r="K688" s="31" t="n">
        <x:v>51</x:v>
      </x:c>
      <x:c r="L688" s="31" t="n">
        <x:v>57.4</x:v>
      </x:c>
      <x:c r="M688" s="31" t="n">
        <x:v>46176</x:v>
      </x:c>
      <x:c r="N688" s="31" t="n">
        <x:v>46181</x:v>
      </x:c>
      <x:c r="O688" s="31" t="n">
        <x:v>46176</x:v>
      </x:c>
      <x:c r="P688" s="31" t="n">
        <x:v>46183</x:v>
      </x:c>
      <x:c r="Q688" s="31" t="inlineStr">
        <x:is>
          <x:t xml:space="preserve">Завершено</x:t>
        </x:is>
      </x:c>
      <x:c r="R688" s="31" t="inlineStr">
        <x:is>
          <x:t xml:space="preserve">Оборудование</x:t>
        </x:is>
      </x:c>
      <x:c r="S688" s="31" t="inlineStr">
        <x:is>
          <x:t xml:space="preserve">Да</x:t>
        </x:is>
      </x:c>
    </x:row>
    <x:row r="689">
      <x:c r="A689" s="31" t="inlineStr">
        <x:is>
          <x:t xml:space="preserve">ОП-000688</x:t>
        </x:is>
      </x:c>
      <x:c r="B689" s="31" t="inlineStr">
        <x:is>
          <x:t xml:space="preserve">ПЗ-00081</x:t>
        </x:is>
      </x:c>
      <x:c r="C689" s="31" t="inlineStr">
        <x:is>
          <x:t xml:space="preserve">ЗК-1045</x:t>
        </x:is>
      </x:c>
      <x:c r="D689" s="31" t="inlineStr">
        <x:is>
          <x:t xml:space="preserve">ПОЗ-0045-1</x:t>
        </x:is>
      </x:c>
      <x:c r="E689" s="31" t="inlineStr">
        <x:is>
          <x:t xml:space="preserve">ИЗД-035</x:t>
        </x:is>
      </x:c>
      <x:c r="F689" s="31" t="n">
        <x:v>30</x:v>
      </x:c>
      <x:c r="G689" s="31" t="inlineStr">
        <x:is>
          <x:t xml:space="preserve">Резка металла</x:t>
        </x:is>
      </x:c>
      <x:c r="H689" s="31" t="inlineStr">
        <x:is>
          <x:t xml:space="preserve">Сварка</x:t>
        </x:is>
      </x:c>
      <x:c r="I689" s="31" t="inlineStr">
        <x:is>
          <x:t xml:space="preserve">ОБ-021</x:t>
        </x:is>
      </x:c>
      <x:c r="J689" s="31" t="inlineStr">
        <x:is>
          <x:t xml:space="preserve">СОТР-057</x:t>
        </x:is>
      </x:c>
      <x:c r="K689" s="31" t="n">
        <x:v>23.5</x:v>
      </x:c>
      <x:c r="L689" s="31" t="n">
        <x:v>29.3</x:v>
      </x:c>
      <x:c r="M689" s="31" t="n">
        <x:v>46181</x:v>
      </x:c>
      <x:c r="N689" s="31" t="n">
        <x:v>46183</x:v>
      </x:c>
      <x:c r="O689" s="31" t="n">
        <x:v>46181</x:v>
      </x:c>
      <x:c r="P689" s="31" t="n">
        <x:v>46185</x:v>
      </x:c>
      <x:c r="Q689" s="31" t="inlineStr">
        <x:is>
          <x:t xml:space="preserve">Завершено</x:t>
        </x:is>
      </x:c>
      <x:c r="R689" s="31" t="inlineStr">
        <x:is>
          <x:t xml:space="preserve">Нет</x:t>
        </x:is>
      </x:c>
      <x:c r="S689" s="31" t="inlineStr">
        <x:is>
          <x:t xml:space="preserve">Нет</x:t>
        </x:is>
      </x:c>
    </x:row>
    <x:row r="690">
      <x:c r="A690" s="31" t="inlineStr">
        <x:is>
          <x:t xml:space="preserve">ОП-000689</x:t>
        </x:is>
      </x:c>
      <x:c r="B690" s="31" t="inlineStr">
        <x:is>
          <x:t xml:space="preserve">ПЗ-00081</x:t>
        </x:is>
      </x:c>
      <x:c r="C690" s="31" t="inlineStr">
        <x:is>
          <x:t xml:space="preserve">ЗК-1045</x:t>
        </x:is>
      </x:c>
      <x:c r="D690" s="31" t="inlineStr">
        <x:is>
          <x:t xml:space="preserve">ПОЗ-0045-1</x:t>
        </x:is>
      </x:c>
      <x:c r="E690" s="31" t="inlineStr">
        <x:is>
          <x:t xml:space="preserve">ИЗД-035</x:t>
        </x:is>
      </x:c>
      <x:c r="F690" s="31" t="n">
        <x:v>40</x:v>
      </x:c>
      <x:c r="G690" s="31" t="inlineStr">
        <x:is>
          <x:t xml:space="preserve">Сварка рамы</x:t>
        </x:is>
      </x:c>
      <x:c r="H690" s="31" t="inlineStr">
        <x:is>
          <x:t xml:space="preserve">Сварка</x:t>
        </x:is>
      </x:c>
      <x:c r="I690" s="31" t="inlineStr">
        <x:is>
          <x:t xml:space="preserve">ОБ-035</x:t>
        </x:is>
      </x:c>
      <x:c r="J690" s="31" t="inlineStr">
        <x:is>
          <x:t xml:space="preserve">СОТР-068</x:t>
        </x:is>
      </x:c>
      <x:c r="K690" s="31" t="n">
        <x:v>11.5</x:v>
      </x:c>
      <x:c r="L690" s="31" t="n">
        <x:v>10.8</x:v>
      </x:c>
      <x:c r="M690" s="31" t="n">
        <x:v>46183</x:v>
      </x:c>
      <x:c r="N690" s="31" t="n">
        <x:v>46184</x:v>
      </x:c>
      <x:c r="O690" s="31" t="n">
        <x:v>46183</x:v>
      </x:c>
      <x:c r="P690" s="31" t="n">
        <x:v>46183</x:v>
      </x:c>
      <x:c r="Q690" s="31" t="inlineStr">
        <x:is>
          <x:t xml:space="preserve">Завершено</x:t>
        </x:is>
      </x:c>
      <x:c r="R690" s="31" t="inlineStr">
        <x:is>
          <x:t xml:space="preserve">Нет</x:t>
        </x:is>
      </x:c>
      <x:c r="S690" s="31" t="inlineStr">
        <x:is>
          <x:t xml:space="preserve">Нет</x:t>
        </x:is>
      </x:c>
    </x:row>
    <x:row r="691">
      <x:c r="A691" s="31" t="inlineStr">
        <x:is>
          <x:t xml:space="preserve">ОП-000690</x:t>
        </x:is>
      </x:c>
      <x:c r="B691" s="31" t="inlineStr">
        <x:is>
          <x:t xml:space="preserve">ПЗ-00081</x:t>
        </x:is>
      </x:c>
      <x:c r="C691" s="31" t="inlineStr">
        <x:is>
          <x:t xml:space="preserve">ЗК-1045</x:t>
        </x:is>
      </x:c>
      <x:c r="D691" s="31" t="inlineStr">
        <x:is>
          <x:t xml:space="preserve">ПОЗ-0045-1</x:t>
        </x:is>
      </x:c>
      <x:c r="E691" s="31" t="inlineStr">
        <x:is>
          <x:t xml:space="preserve">ИЗД-035</x:t>
        </x:is>
      </x:c>
      <x:c r="F691" s="31" t="n">
        <x:v>50</x:v>
      </x:c>
      <x:c r="G691" s="31" t="inlineStr">
        <x:is>
          <x:t xml:space="preserve">Механообработка</x:t>
        </x:is>
      </x:c>
      <x:c r="H691" s="31" t="inlineStr">
        <x:is>
          <x:t xml:space="preserve">Механообработка</x:t>
        </x:is>
      </x:c>
      <x:c r="I691" s="31" t="inlineStr">
        <x:is>
          <x:t xml:space="preserve">ОБ-031</x:t>
        </x:is>
      </x:c>
      <x:c r="J691" s="31" t="inlineStr">
        <x:is>
          <x:t xml:space="preserve">СОТР-046</x:t>
        </x:is>
      </x:c>
      <x:c r="K691" s="31" t="n">
        <x:v>34.5</x:v>
      </x:c>
      <x:c r="L691" s="31" t="n">
        <x:v>33.6</x:v>
      </x:c>
      <x:c r="M691" s="31" t="n">
        <x:v>46184</x:v>
      </x:c>
      <x:c r="N691" s="31" t="n">
        <x:v>46187</x:v>
      </x:c>
      <x:c r="O691" s="31" t="n">
        <x:v>46184</x:v>
      </x:c>
      <x:c r="P691" s="31" t="n">
        <x:v>46188</x:v>
      </x:c>
      <x:c r="Q691" s="31" t="inlineStr">
        <x:is>
          <x:t xml:space="preserve">Завершено</x:t>
        </x:is>
      </x:c>
      <x:c r="R691" s="31" t="inlineStr">
        <x:is>
          <x:t xml:space="preserve">Нет</x:t>
        </x:is>
      </x:c>
      <x:c r="S691" s="31" t="inlineStr">
        <x:is>
          <x:t xml:space="preserve">Нет</x:t>
        </x:is>
      </x:c>
    </x:row>
    <x:row r="692">
      <x:c r="A692" s="31" t="inlineStr">
        <x:is>
          <x:t xml:space="preserve">ОП-000691</x:t>
        </x:is>
      </x:c>
      <x:c r="B692" s="31" t="inlineStr">
        <x:is>
          <x:t xml:space="preserve">ПЗ-00081</x:t>
        </x:is>
      </x:c>
      <x:c r="C692" s="31" t="inlineStr">
        <x:is>
          <x:t xml:space="preserve">ЗК-1045</x:t>
        </x:is>
      </x:c>
      <x:c r="D692" s="31" t="inlineStr">
        <x:is>
          <x:t xml:space="preserve">ПОЗ-0045-1</x:t>
        </x:is>
      </x:c>
      <x:c r="E692" s="31" t="inlineStr">
        <x:is>
          <x:t xml:space="preserve">ИЗД-035</x:t>
        </x:is>
      </x:c>
      <x:c r="F692" s="31" t="n">
        <x:v>60</x:v>
      </x:c>
      <x:c r="G692" s="31" t="inlineStr">
        <x:is>
          <x:t xml:space="preserve">Сборка</x:t>
        </x:is>
      </x:c>
      <x:c r="H692" s="31" t="inlineStr">
        <x:is>
          <x:t xml:space="preserve">Сборка</x:t>
        </x:is>
      </x:c>
      <x:c r="I692" s="31" t="inlineStr">
        <x:is>
          <x:t xml:space="preserve">ОБ-012</x:t>
        </x:is>
      </x:c>
      <x:c r="J692" s="31" t="inlineStr">
        <x:is>
          <x:t xml:space="preserve">СОТР-086</x:t>
        </x:is>
      </x:c>
      <x:c r="K692" s="31" t="n">
        <x:v>7</x:v>
      </x:c>
      <x:c r="L692" s="31" t="n">
        <x:v>7.8</x:v>
      </x:c>
      <x:c r="M692" s="31" t="n">
        <x:v>46187</x:v>
      </x:c>
      <x:c r="N692" s="31" t="n">
        <x:v>46188</x:v>
      </x:c>
      <x:c r="O692" s="31" t="n">
        <x:v>46187</x:v>
      </x:c>
      <x:c r="P692" s="31" t="n">
        <x:v>46189</x:v>
      </x:c>
      <x:c r="Q692" s="31" t="inlineStr">
        <x:is>
          <x:t xml:space="preserve">Завершено</x:t>
        </x:is>
      </x:c>
      <x:c r="R692" s="31" t="inlineStr">
        <x:is>
          <x:t xml:space="preserve">Нет</x:t>
        </x:is>
      </x:c>
      <x:c r="S692" s="31" t="inlineStr">
        <x:is>
          <x:t xml:space="preserve">Да</x:t>
        </x:is>
      </x:c>
    </x:row>
    <x:row r="693">
      <x:c r="A693" s="31" t="inlineStr">
        <x:is>
          <x:t xml:space="preserve">ОП-000692</x:t>
        </x:is>
      </x:c>
      <x:c r="B693" s="31" t="inlineStr">
        <x:is>
          <x:t xml:space="preserve">ПЗ-00081</x:t>
        </x:is>
      </x:c>
      <x:c r="C693" s="31" t="inlineStr">
        <x:is>
          <x:t xml:space="preserve">ЗК-1045</x:t>
        </x:is>
      </x:c>
      <x:c r="D693" s="31" t="inlineStr">
        <x:is>
          <x:t xml:space="preserve">ПОЗ-0045-1</x:t>
        </x:is>
      </x:c>
      <x:c r="E693" s="31" t="inlineStr">
        <x:is>
          <x:t xml:space="preserve">ИЗД-035</x:t>
        </x:is>
      </x:c>
      <x:c r="F693" s="31" t="n">
        <x:v>70</x:v>
      </x:c>
      <x:c r="G693" s="31" t="inlineStr">
        <x:is>
          <x:t xml:space="preserve">Обвязка труб</x:t>
        </x:is>
      </x:c>
      <x:c r="H693" s="31" t="inlineStr">
        <x:is>
          <x:t xml:space="preserve">Сборка</x:t>
        </x:is>
      </x:c>
      <x:c r="I693" s="31" t="inlineStr">
        <x:is>
          <x:t xml:space="preserve">ОБ-002</x:t>
        </x:is>
      </x:c>
      <x:c r="J693" s="31" t="inlineStr">
        <x:is>
          <x:t xml:space="preserve">СОТР-088</x:t>
        </x:is>
      </x:c>
      <x:c r="K693" s="31" t="n">
        <x:v>55</x:v>
      </x:c>
      <x:c r="L693" s="31" t="n">
        <x:v>47.3</x:v>
      </x:c>
      <x:c r="M693" s="31" t="n">
        <x:v>46188</x:v>
      </x:c>
      <x:c r="N693" s="31" t="n">
        <x:v>46193</x:v>
      </x:c>
      <x:c r="O693" s="31" t="n">
        <x:v>46188</x:v>
      </x:c>
      <x:c r="P693" s="31" t="n">
        <x:v>46192</x:v>
      </x:c>
      <x:c r="Q693" s="31" t="inlineStr">
        <x:is>
          <x:t xml:space="preserve">Завершено</x:t>
        </x:is>
      </x:c>
      <x:c r="R693" s="31" t="inlineStr">
        <x:is>
          <x:t xml:space="preserve">Нет</x:t>
        </x:is>
      </x:c>
      <x:c r="S693" s="31" t="inlineStr">
        <x:is>
          <x:t xml:space="preserve">Нет</x:t>
        </x:is>
      </x:c>
    </x:row>
    <x:row r="694">
      <x:c r="A694" s="31" t="inlineStr">
        <x:is>
          <x:t xml:space="preserve">ОП-000693</x:t>
        </x:is>
      </x:c>
      <x:c r="B694" s="31" t="inlineStr">
        <x:is>
          <x:t xml:space="preserve">ПЗ-00081</x:t>
        </x:is>
      </x:c>
      <x:c r="C694" s="31" t="inlineStr">
        <x:is>
          <x:t xml:space="preserve">ЗК-1045</x:t>
        </x:is>
      </x:c>
      <x:c r="D694" s="31" t="inlineStr">
        <x:is>
          <x:t xml:space="preserve">ПОЗ-0045-1</x:t>
        </x:is>
      </x:c>
      <x:c r="E694" s="31" t="inlineStr">
        <x:is>
          <x:t xml:space="preserve">ИЗД-035</x:t>
        </x:is>
      </x:c>
      <x:c r="F694" s="31" t="n">
        <x:v>80</x:v>
      </x:c>
      <x:c r="G694" s="31" t="inlineStr">
        <x:is>
          <x:t xml:space="preserve">Электромонтаж</x:t>
        </x:is>
      </x:c>
      <x:c r="H694" s="31" t="inlineStr">
        <x:is>
          <x:t xml:space="preserve">Сборка</x:t>
        </x:is>
      </x:c>
      <x:c r="I694" s="31" t="inlineStr">
        <x:is>
          <x:t xml:space="preserve">ОБ-002</x:t>
        </x:is>
      </x:c>
      <x:c r="J694" s="31" t="inlineStr">
        <x:is>
          <x:t xml:space="preserve">СОТР-077</x:t>
        </x:is>
      </x:c>
      <x:c r="K694" s="31" t="n">
        <x:v>6</x:v>
      </x:c>
      <x:c r="L694" s="31" t="n">
        <x:v>5.5</x:v>
      </x:c>
      <x:c r="M694" s="31" t="n">
        <x:v>46193</x:v>
      </x:c>
      <x:c r="N694" s="31" t="n">
        <x:v>46194</x:v>
      </x:c>
      <x:c r="O694" s="31" t="n">
        <x:v>46193</x:v>
      </x:c>
      <x:c r="P694" s="31" t="n">
        <x:v>46196</x:v>
      </x:c>
      <x:c r="Q694" s="31" t="inlineStr">
        <x:is>
          <x:t xml:space="preserve">Завершено</x:t>
        </x:is>
      </x:c>
      <x:c r="R694" s="31" t="inlineStr">
        <x:is>
          <x:t xml:space="preserve">Нет</x:t>
        </x:is>
      </x:c>
      <x:c r="S694" s="31" t="inlineStr">
        <x:is>
          <x:t xml:space="preserve">Нет</x:t>
        </x:is>
      </x:c>
    </x:row>
    <x:row r="695">
      <x:c r="A695" s="31" t="inlineStr">
        <x:is>
          <x:t xml:space="preserve">ОП-000694</x:t>
        </x:is>
      </x:c>
      <x:c r="B695" s="31" t="inlineStr">
        <x:is>
          <x:t xml:space="preserve">ПЗ-00081</x:t>
        </x:is>
      </x:c>
      <x:c r="C695" s="31" t="inlineStr">
        <x:is>
          <x:t xml:space="preserve">ЗК-1045</x:t>
        </x:is>
      </x:c>
      <x:c r="D695" s="31" t="inlineStr">
        <x:is>
          <x:t xml:space="preserve">ПОЗ-0045-1</x:t>
        </x:is>
      </x:c>
      <x:c r="E695" s="31" t="inlineStr">
        <x:is>
          <x:t xml:space="preserve">ИЗД-035</x:t>
        </x:is>
      </x:c>
      <x:c r="F695" s="31" t="n">
        <x:v>90</x:v>
      </x:c>
      <x:c r="G695" s="31" t="inlineStr">
        <x:is>
          <x:t xml:space="preserve">Приемочные испытания</x:t>
        </x:is>
      </x:c>
      <x:c r="H695" s="31" t="inlineStr">
        <x:is>
          <x:t xml:space="preserve">ОТК</x:t>
        </x:is>
      </x:c>
      <x:c r="I695" s="31" t="inlineStr">
        <x:is>
          <x:t xml:space="preserve">ОБ-033</x:t>
        </x:is>
      </x:c>
      <x:c r="J695" s="31" t="inlineStr">
        <x:is>
          <x:t xml:space="preserve">СОТР-099</x:t>
        </x:is>
      </x:c>
      <x:c r="K695" s="31" t="n">
        <x:v>10.5</x:v>
      </x:c>
      <x:c r="L695" s="31" t="n">
        <x:v>9.4</x:v>
      </x:c>
      <x:c r="M695" s="31" t="n">
        <x:v>46194</x:v>
      </x:c>
      <x:c r="N695" s="31" t="n">
        <x:v>46195</x:v>
      </x:c>
      <x:c r="O695" s="31" t="n">
        <x:v>46194</x:v>
      </x:c>
      <x:c r="P695" s="31" t="n">
        <x:v>46194</x:v>
      </x:c>
      <x:c r="Q695" s="31" t="inlineStr">
        <x:is>
          <x:t xml:space="preserve">Завершено</x:t>
        </x:is>
      </x:c>
      <x:c r="R695" s="31" t="inlineStr">
        <x:is>
          <x:t xml:space="preserve">Нет</x:t>
        </x:is>
      </x:c>
      <x:c r="S695" s="31" t="inlineStr">
        <x:is>
          <x:t xml:space="preserve">Нет</x:t>
        </x:is>
      </x:c>
    </x:row>
    <x:row r="696">
      <x:c r="A696" s="31" t="inlineStr">
        <x:is>
          <x:t xml:space="preserve">ОП-000695</x:t>
        </x:is>
      </x:c>
      <x:c r="B696" s="31" t="inlineStr">
        <x:is>
          <x:t xml:space="preserve">ПЗ-00081</x:t>
        </x:is>
      </x:c>
      <x:c r="C696" s="31" t="inlineStr">
        <x:is>
          <x:t xml:space="preserve">ЗК-1045</x:t>
        </x:is>
      </x:c>
      <x:c r="D696" s="31" t="inlineStr">
        <x:is>
          <x:t xml:space="preserve">ПОЗ-0045-1</x:t>
        </x:is>
      </x:c>
      <x:c r="E696" s="31" t="inlineStr">
        <x:is>
          <x:t xml:space="preserve">ИЗД-035</x:t>
        </x:is>
      </x:c>
      <x:c r="F696" s="31" t="n">
        <x:v>100</x:v>
      </x:c>
      <x:c r="G696" s="31" t="inlineStr">
        <x:is>
          <x:t xml:space="preserve">ОТК</x:t>
        </x:is>
      </x:c>
      <x:c r="H696" s="31" t="inlineStr">
        <x:is>
          <x:t xml:space="preserve">ОТК</x:t>
        </x:is>
      </x:c>
      <x:c r="I696" s="31" t="inlineStr">
        <x:is>
          <x:t xml:space="preserve">ОБ-006</x:t>
        </x:is>
      </x:c>
      <x:c r="J696" s="31" t="inlineStr">
        <x:is>
          <x:t xml:space="preserve">СОТР-093</x:t>
        </x:is>
      </x:c>
      <x:c r="K696" s="31" t="n">
        <x:v>50</x:v>
      </x:c>
      <x:c r="L696" s="31" t="n">
        <x:v>51.4</x:v>
      </x:c>
      <x:c r="M696" s="31" t="n">
        <x:v>46195</x:v>
      </x:c>
      <x:c r="N696" s="31" t="n">
        <x:v>46200</x:v>
      </x:c>
      <x:c r="O696" s="31" t="n">
        <x:v>46195</x:v>
      </x:c>
      <x:c r="P696" s="31" t="n">
        <x:v>46202</x:v>
      </x:c>
      <x:c r="Q696" s="31" t="inlineStr">
        <x:is>
          <x:t xml:space="preserve">Завершено</x:t>
        </x:is>
      </x:c>
      <x:c r="R696" s="31" t="inlineStr">
        <x:is>
          <x:t xml:space="preserve">Нет</x:t>
        </x:is>
      </x:c>
      <x:c r="S696" s="31" t="inlineStr">
        <x:is>
          <x:t xml:space="preserve">Нет</x:t>
        </x:is>
      </x:c>
    </x:row>
    <x:row r="697">
      <x:c r="A697" s="31" t="inlineStr">
        <x:is>
          <x:t xml:space="preserve">ОП-000696</x:t>
        </x:is>
      </x:c>
      <x:c r="B697" s="31" t="inlineStr">
        <x:is>
          <x:t xml:space="preserve">ПЗ-00081</x:t>
        </x:is>
      </x:c>
      <x:c r="C697" s="31" t="inlineStr">
        <x:is>
          <x:t xml:space="preserve">ЗК-1045</x:t>
        </x:is>
      </x:c>
      <x:c r="D697" s="31" t="inlineStr">
        <x:is>
          <x:t xml:space="preserve">ПОЗ-0045-1</x:t>
        </x:is>
      </x:c>
      <x:c r="E697" s="31" t="inlineStr">
        <x:is>
          <x:t xml:space="preserve">ИЗД-035</x:t>
        </x:is>
      </x:c>
      <x:c r="F697" s="31" t="n">
        <x:v>110</x:v>
      </x:c>
      <x:c r="G697" s="31" t="inlineStr">
        <x:is>
          <x:t xml:space="preserve">Упаковка</x:t>
        </x:is>
      </x:c>
      <x:c r="H697" s="31" t="inlineStr">
        <x:is>
          <x:t xml:space="preserve">Логистика</x:t>
        </x:is>
      </x:c>
      <x:c r="I697" s="31" t="n"/>
      <x:c r="J697" s="31" t="inlineStr">
        <x:is>
          <x:t xml:space="preserve">СОТР-070</x:t>
        </x:is>
      </x:c>
      <x:c r="K697" s="31" t="n">
        <x:v>39</x:v>
      </x:c>
      <x:c r="L697" s="31" t="n">
        <x:v>50.9</x:v>
      </x:c>
      <x:c r="M697" s="31" t="n">
        <x:v>46200</x:v>
      </x:c>
      <x:c r="N697" s="31" t="n">
        <x:v>46204</x:v>
      </x:c>
      <x:c r="O697" s="31" t="n">
        <x:v>46200</x:v>
      </x:c>
      <x:c r="P697" s="31" t="n">
        <x:v>46205</x:v>
      </x:c>
      <x:c r="Q697" s="31" t="inlineStr">
        <x:is>
          <x:t xml:space="preserve">Завершено</x:t>
        </x:is>
      </x:c>
      <x:c r="R697" s="31" t="inlineStr">
        <x:is>
          <x:t xml:space="preserve">Нет</x:t>
        </x:is>
      </x:c>
      <x:c r="S697" s="31" t="inlineStr">
        <x:is>
          <x:t xml:space="preserve">Нет</x:t>
        </x:is>
      </x:c>
    </x:row>
    <x:row r="698">
      <x:c r="A698" s="31" t="inlineStr">
        <x:is>
          <x:t xml:space="preserve">ОП-000697</x:t>
        </x:is>
      </x:c>
      <x:c r="B698" s="31" t="inlineStr">
        <x:is>
          <x:t xml:space="preserve">ПЗ-00082</x:t>
        </x:is>
      </x:c>
      <x:c r="C698" s="31" t="inlineStr">
        <x:is>
          <x:t xml:space="preserve">ЗК-1045</x:t>
        </x:is>
      </x:c>
      <x:c r="D698" s="31" t="inlineStr">
        <x:is>
          <x:t xml:space="preserve">ПОЗ-0045-2</x:t>
        </x:is>
      </x:c>
      <x:c r="E698" s="31" t="inlineStr">
        <x:is>
          <x:t xml:space="preserve">ИЗД-008</x:t>
        </x:is>
      </x:c>
      <x:c r="F698" s="31" t="n">
        <x:v>10</x:v>
      </x:c>
      <x:c r="G698" s="31" t="inlineStr">
        <x:is>
          <x:t xml:space="preserve">Комплектация</x:t>
        </x:is>
      </x:c>
      <x:c r="H698" s="31" t="inlineStr">
        <x:is>
          <x:t xml:space="preserve">Склад</x:t>
        </x:is>
      </x:c>
      <x:c r="I698" s="31" t="inlineStr">
        <x:is>
          <x:t xml:space="preserve">ОБ-011</x:t>
        </x:is>
      </x:c>
      <x:c r="J698" s="31" t="inlineStr">
        <x:is>
          <x:t xml:space="preserve">СОТР-036</x:t>
        </x:is>
      </x:c>
      <x:c r="K698" s="31" t="n">
        <x:v>58.8</x:v>
      </x:c>
      <x:c r="L698" s="31" t="n">
        <x:v>57</x:v>
      </x:c>
      <x:c r="M698" s="31" t="n">
        <x:v>46174</x:v>
      </x:c>
      <x:c r="N698" s="31" t="n">
        <x:v>46179</x:v>
      </x:c>
      <x:c r="O698" s="31" t="n">
        <x:v>46174</x:v>
      </x:c>
      <x:c r="P698" s="31" t="n">
        <x:v>46179</x:v>
      </x:c>
      <x:c r="Q698" s="31" t="inlineStr">
        <x:is>
          <x:t xml:space="preserve">Завершено</x:t>
        </x:is>
      </x:c>
      <x:c r="R698" s="31" t="inlineStr">
        <x:is>
          <x:t xml:space="preserve">Нет</x:t>
        </x:is>
      </x:c>
      <x:c r="S698" s="31" t="inlineStr">
        <x:is>
          <x:t xml:space="preserve">Нет</x:t>
        </x:is>
      </x:c>
    </x:row>
    <x:row r="699">
      <x:c r="A699" s="31" t="inlineStr">
        <x:is>
          <x:t xml:space="preserve">ОП-000698</x:t>
        </x:is>
      </x:c>
      <x:c r="B699" s="31" t="inlineStr">
        <x:is>
          <x:t xml:space="preserve">ПЗ-00082</x:t>
        </x:is>
      </x:c>
      <x:c r="C699" s="31" t="inlineStr">
        <x:is>
          <x:t xml:space="preserve">ЗК-1045</x:t>
        </x:is>
      </x:c>
      <x:c r="D699" s="31" t="inlineStr">
        <x:is>
          <x:t xml:space="preserve">ПОЗ-0045-2</x:t>
        </x:is>
      </x:c>
      <x:c r="E699" s="31" t="inlineStr">
        <x:is>
          <x:t xml:space="preserve">ИЗД-008</x:t>
        </x:is>
      </x:c>
      <x:c r="F699" s="31" t="n">
        <x:v>20</x:v>
      </x:c>
      <x:c r="G699" s="31" t="inlineStr">
        <x:is>
          <x:t xml:space="preserve">Входной контроль</x:t>
        </x:is>
      </x:c>
      <x:c r="H699" s="31" t="inlineStr">
        <x:is>
          <x:t xml:space="preserve">ОТК</x:t>
        </x:is>
      </x:c>
      <x:c r="I699" s="31" t="inlineStr">
        <x:is>
          <x:t xml:space="preserve">ОБ-001</x:t>
        </x:is>
      </x:c>
      <x:c r="J699" s="31" t="inlineStr">
        <x:is>
          <x:t xml:space="preserve">СОТР-096</x:t>
        </x:is>
      </x:c>
      <x:c r="K699" s="31" t="n">
        <x:v>99.59999999999999</x:v>
      </x:c>
      <x:c r="L699" s="31" t="n">
        <x:v>101.3</x:v>
      </x:c>
      <x:c r="M699" s="31" t="n">
        <x:v>46179</x:v>
      </x:c>
      <x:c r="N699" s="31" t="n">
        <x:v>46188</x:v>
      </x:c>
      <x:c r="O699" s="31" t="n">
        <x:v>46179</x:v>
      </x:c>
      <x:c r="P699" s="31" t="n">
        <x:v>46187</x:v>
      </x:c>
      <x:c r="Q699" s="31" t="inlineStr">
        <x:is>
          <x:t xml:space="preserve">Завершено</x:t>
        </x:is>
      </x:c>
      <x:c r="R699" s="31" t="inlineStr">
        <x:is>
          <x:t xml:space="preserve">Оборудование</x:t>
        </x:is>
      </x:c>
      <x:c r="S699" s="31" t="inlineStr">
        <x:is>
          <x:t xml:space="preserve">Нет</x:t>
        </x:is>
      </x:c>
    </x:row>
    <x:row r="700">
      <x:c r="A700" s="31" t="inlineStr">
        <x:is>
          <x:t xml:space="preserve">ОП-000699</x:t>
        </x:is>
      </x:c>
      <x:c r="B700" s="31" t="inlineStr">
        <x:is>
          <x:t xml:space="preserve">ПЗ-00082</x:t>
        </x:is>
      </x:c>
      <x:c r="C700" s="31" t="inlineStr">
        <x:is>
          <x:t xml:space="preserve">ЗК-1045</x:t>
        </x:is>
      </x:c>
      <x:c r="D700" s="31" t="inlineStr">
        <x:is>
          <x:t xml:space="preserve">ПОЗ-0045-2</x:t>
        </x:is>
      </x:c>
      <x:c r="E700" s="31" t="inlineStr">
        <x:is>
          <x:t xml:space="preserve">ИЗД-008</x:t>
        </x:is>
      </x:c>
      <x:c r="F700" s="31" t="n">
        <x:v>30</x:v>
      </x:c>
      <x:c r="G700" s="31" t="inlineStr">
        <x:is>
          <x:t xml:space="preserve">Упаковка</x:t>
        </x:is>
      </x:c>
      <x:c r="H700" s="31" t="inlineStr">
        <x:is>
          <x:t xml:space="preserve">Логистика</x:t>
        </x:is>
      </x:c>
      <x:c r="I700" s="31" t="n"/>
      <x:c r="J700" s="31" t="inlineStr">
        <x:is>
          <x:t xml:space="preserve">СОТР-104</x:t>
        </x:is>
      </x:c>
      <x:c r="K700" s="31" t="n">
        <x:v>57.6</x:v>
      </x:c>
      <x:c r="L700" s="31" t="n">
        <x:v>54.8</x:v>
      </x:c>
      <x:c r="M700" s="31" t="n">
        <x:v>46188</x:v>
      </x:c>
      <x:c r="N700" s="31" t="n">
        <x:v>46193</x:v>
      </x:c>
      <x:c r="O700" s="31" t="n">
        <x:v>46188</x:v>
      </x:c>
      <x:c r="P700" s="31" t="n">
        <x:v>46194</x:v>
      </x:c>
      <x:c r="Q700" s="31" t="inlineStr">
        <x:is>
          <x:t xml:space="preserve">Завершено</x:t>
        </x:is>
      </x:c>
      <x:c r="R700" s="31" t="inlineStr">
        <x:is>
          <x:t xml:space="preserve">Нет</x:t>
        </x:is>
      </x:c>
      <x:c r="S700" s="31" t="inlineStr">
        <x:is>
          <x:t xml:space="preserve">Нет</x:t>
        </x:is>
      </x:c>
    </x:row>
    <x:row r="701">
      <x:c r="A701" s="31" t="inlineStr">
        <x:is>
          <x:t xml:space="preserve">ОП-000700</x:t>
        </x:is>
      </x:c>
      <x:c r="B701" s="31" t="inlineStr">
        <x:is>
          <x:t xml:space="preserve">ПЗ-00082</x:t>
        </x:is>
      </x:c>
      <x:c r="C701" s="31" t="inlineStr">
        <x:is>
          <x:t xml:space="preserve">ЗК-1045</x:t>
        </x:is>
      </x:c>
      <x:c r="D701" s="31" t="inlineStr">
        <x:is>
          <x:t xml:space="preserve">ПОЗ-0045-2</x:t>
        </x:is>
      </x:c>
      <x:c r="E701" s="31" t="inlineStr">
        <x:is>
          <x:t xml:space="preserve">ИЗД-008</x:t>
        </x:is>
      </x:c>
      <x:c r="F701" s="31" t="n">
        <x:v>40</x:v>
      </x:c>
      <x:c r="G701" s="31" t="inlineStr">
        <x:is>
          <x:t xml:space="preserve">ОТК</x:t>
        </x:is>
      </x:c>
      <x:c r="H701" s="31" t="inlineStr">
        <x:is>
          <x:t xml:space="preserve">ОТК</x:t>
        </x:is>
      </x:c>
      <x:c r="I701" s="31" t="inlineStr">
        <x:is>
          <x:t xml:space="preserve">ОБ-033</x:t>
        </x:is>
      </x:c>
      <x:c r="J701" s="31" t="inlineStr">
        <x:is>
          <x:t xml:space="preserve">СОТР-096</x:t>
        </x:is>
      </x:c>
      <x:c r="K701" s="31" t="n">
        <x:v>26.4</x:v>
      </x:c>
      <x:c r="L701" s="31" t="n">
        <x:v>25</x:v>
      </x:c>
      <x:c r="M701" s="31" t="n">
        <x:v>46193</x:v>
      </x:c>
      <x:c r="N701" s="31" t="n">
        <x:v>46196</x:v>
      </x:c>
      <x:c r="O701" s="31" t="n">
        <x:v>46193</x:v>
      </x:c>
      <x:c r="P701" s="31" t="n">
        <x:v>46198</x:v>
      </x:c>
      <x:c r="Q701" s="31" t="inlineStr">
        <x:is>
          <x:t xml:space="preserve">Завершено</x:t>
        </x:is>
      </x:c>
      <x:c r="R701" s="31" t="inlineStr">
        <x:is>
          <x:t xml:space="preserve">Нет</x:t>
        </x:is>
      </x:c>
      <x:c r="S701" s="31" t="inlineStr">
        <x:is>
          <x:t xml:space="preserve">Нет</x:t>
        </x:is>
      </x:c>
    </x:row>
    <x:row r="702">
      <x:c r="A702" s="31" t="inlineStr">
        <x:is>
          <x:t xml:space="preserve">ОП-000701</x:t>
        </x:is>
      </x:c>
      <x:c r="B702" s="31" t="inlineStr">
        <x:is>
          <x:t xml:space="preserve">ПЗ-00083</x:t>
        </x:is>
      </x:c>
      <x:c r="C702" s="31" t="inlineStr">
        <x:is>
          <x:t xml:space="preserve">ЗК-1045</x:t>
        </x:is>
      </x:c>
      <x:c r="D702" s="31" t="inlineStr">
        <x:is>
          <x:t xml:space="preserve">ПОЗ-0045-3</x:t>
        </x:is>
      </x:c>
      <x:c r="E702" s="31" t="inlineStr">
        <x:is>
          <x:t xml:space="preserve">ИЗД-034</x:t>
        </x:is>
      </x:c>
      <x:c r="F702" s="31" t="n">
        <x:v>10</x:v>
      </x:c>
      <x:c r="G702" s="31" t="inlineStr">
        <x:is>
          <x:t xml:space="preserve">КД</x:t>
        </x:is>
      </x:c>
      <x:c r="H702" s="31" t="inlineStr">
        <x:is>
          <x:t xml:space="preserve">Инженерный отдел</x:t>
        </x:is>
      </x:c>
      <x:c r="I702" s="31" t="n"/>
      <x:c r="J702" s="31" t="inlineStr">
        <x:is>
          <x:t xml:space="preserve">СОТР-021</x:t>
        </x:is>
      </x:c>
      <x:c r="K702" s="31" t="n">
        <x:v>28.8</x:v>
      </x:c>
      <x:c r="L702" s="31" t="n">
        <x:v>27</x:v>
      </x:c>
      <x:c r="M702" s="31" t="n">
        <x:v>46181</x:v>
      </x:c>
      <x:c r="N702" s="31" t="n">
        <x:v>46184</x:v>
      </x:c>
      <x:c r="O702" s="31" t="n">
        <x:v>46181</x:v>
      </x:c>
      <x:c r="P702" s="31" t="n">
        <x:v>46183</x:v>
      </x:c>
      <x:c r="Q702" s="31" t="inlineStr">
        <x:is>
          <x:t xml:space="preserve">Завершено</x:t>
        </x:is>
      </x:c>
      <x:c r="R702" s="31" t="inlineStr">
        <x:is>
          <x:t xml:space="preserve">Нет</x:t>
        </x:is>
      </x:c>
      <x:c r="S702" s="31" t="inlineStr">
        <x:is>
          <x:t xml:space="preserve">Нет</x:t>
        </x:is>
      </x:c>
    </x:row>
    <x:row r="703">
      <x:c r="A703" s="31" t="inlineStr">
        <x:is>
          <x:t xml:space="preserve">ОП-000702</x:t>
        </x:is>
      </x:c>
      <x:c r="B703" s="31" t="inlineStr">
        <x:is>
          <x:t xml:space="preserve">ПЗ-00083</x:t>
        </x:is>
      </x:c>
      <x:c r="C703" s="31" t="inlineStr">
        <x:is>
          <x:t xml:space="preserve">ЗК-1045</x:t>
        </x:is>
      </x:c>
      <x:c r="D703" s="31" t="inlineStr">
        <x:is>
          <x:t xml:space="preserve">ПОЗ-0045-3</x:t>
        </x:is>
      </x:c>
      <x:c r="E703" s="31" t="inlineStr">
        <x:is>
          <x:t xml:space="preserve">ИЗД-034</x:t>
        </x:is>
      </x:c>
      <x:c r="F703" s="31" t="n">
        <x:v>20</x:v>
      </x:c>
      <x:c r="G703" s="31" t="inlineStr">
        <x:is>
          <x:t xml:space="preserve">Резерв материалов</x:t>
        </x:is>
      </x:c>
      <x:c r="H703" s="31" t="inlineStr">
        <x:is>
          <x:t xml:space="preserve">Склад</x:t>
        </x:is>
      </x:c>
      <x:c r="I703" s="31" t="inlineStr">
        <x:is>
          <x:t xml:space="preserve">ОБ-008</x:t>
        </x:is>
      </x:c>
      <x:c r="J703" s="31" t="inlineStr">
        <x:is>
          <x:t xml:space="preserve">СОТР-039</x:t>
        </x:is>
      </x:c>
      <x:c r="K703" s="31" t="n">
        <x:v>19.6</x:v>
      </x:c>
      <x:c r="L703" s="31" t="n">
        <x:v>16.3</x:v>
      </x:c>
      <x:c r="M703" s="31" t="n">
        <x:v>46184</x:v>
      </x:c>
      <x:c r="N703" s="31" t="n">
        <x:v>46186</x:v>
      </x:c>
      <x:c r="O703" s="31" t="n">
        <x:v>46184</x:v>
      </x:c>
      <x:c r="P703" s="31" t="n">
        <x:v>46186</x:v>
      </x:c>
      <x:c r="Q703" s="31" t="inlineStr">
        <x:is>
          <x:t xml:space="preserve">Завершено</x:t>
        </x:is>
      </x:c>
      <x:c r="R703" s="31" t="inlineStr">
        <x:is>
          <x:t xml:space="preserve">Нет</x:t>
        </x:is>
      </x:c>
      <x:c r="S703" s="31" t="inlineStr">
        <x:is>
          <x:t xml:space="preserve">Да</x:t>
        </x:is>
      </x:c>
    </x:row>
    <x:row r="704">
      <x:c r="A704" s="31" t="inlineStr">
        <x:is>
          <x:t xml:space="preserve">ОП-000703</x:t>
        </x:is>
      </x:c>
      <x:c r="B704" s="31" t="inlineStr">
        <x:is>
          <x:t xml:space="preserve">ПЗ-00083</x:t>
        </x:is>
      </x:c>
      <x:c r="C704" s="31" t="inlineStr">
        <x:is>
          <x:t xml:space="preserve">ЗК-1045</x:t>
        </x:is>
      </x:c>
      <x:c r="D704" s="31" t="inlineStr">
        <x:is>
          <x:t xml:space="preserve">ПОЗ-0045-3</x:t>
        </x:is>
      </x:c>
      <x:c r="E704" s="31" t="inlineStr">
        <x:is>
          <x:t xml:space="preserve">ИЗД-034</x:t>
        </x:is>
      </x:c>
      <x:c r="F704" s="31" t="n">
        <x:v>30</x:v>
      </x:c>
      <x:c r="G704" s="31" t="inlineStr">
        <x:is>
          <x:t xml:space="preserve">Резка металла</x:t>
        </x:is>
      </x:c>
      <x:c r="H704" s="31" t="inlineStr">
        <x:is>
          <x:t xml:space="preserve">Сварка</x:t>
        </x:is>
      </x:c>
      <x:c r="I704" s="31" t="inlineStr">
        <x:is>
          <x:t xml:space="preserve">ОБ-004</x:t>
        </x:is>
      </x:c>
      <x:c r="J704" s="31" t="inlineStr">
        <x:is>
          <x:t xml:space="preserve">СОТР-069</x:t>
        </x:is>
      </x:c>
      <x:c r="K704" s="31" t="n">
        <x:v>26.8</x:v>
      </x:c>
      <x:c r="L704" s="31" t="n">
        <x:v>28.5</x:v>
      </x:c>
      <x:c r="M704" s="31" t="n">
        <x:v>46186</x:v>
      </x:c>
      <x:c r="N704" s="31" t="n">
        <x:v>46189</x:v>
      </x:c>
      <x:c r="O704" s="31" t="n">
        <x:v>46186</x:v>
      </x:c>
      <x:c r="P704" s="31" t="n">
        <x:v>46188</x:v>
      </x:c>
      <x:c r="Q704" s="31" t="inlineStr">
        <x:is>
          <x:t xml:space="preserve">Завершено</x:t>
        </x:is>
      </x:c>
      <x:c r="R704" s="31" t="inlineStr">
        <x:is>
          <x:t xml:space="preserve">Нет</x:t>
        </x:is>
      </x:c>
      <x:c r="S704" s="31" t="inlineStr">
        <x:is>
          <x:t xml:space="preserve">Да</x:t>
        </x:is>
      </x:c>
    </x:row>
    <x:row r="705">
      <x:c r="A705" s="31" t="inlineStr">
        <x:is>
          <x:t xml:space="preserve">ОП-000704</x:t>
        </x:is>
      </x:c>
      <x:c r="B705" s="31" t="inlineStr">
        <x:is>
          <x:t xml:space="preserve">ПЗ-00083</x:t>
        </x:is>
      </x:c>
      <x:c r="C705" s="31" t="inlineStr">
        <x:is>
          <x:t xml:space="preserve">ЗК-1045</x:t>
        </x:is>
      </x:c>
      <x:c r="D705" s="31" t="inlineStr">
        <x:is>
          <x:t xml:space="preserve">ПОЗ-0045-3</x:t>
        </x:is>
      </x:c>
      <x:c r="E705" s="31" t="inlineStr">
        <x:is>
          <x:t xml:space="preserve">ИЗД-034</x:t>
        </x:is>
      </x:c>
      <x:c r="F705" s="31" t="n">
        <x:v>40</x:v>
      </x:c>
      <x:c r="G705" s="31" t="inlineStr">
        <x:is>
          <x:t xml:space="preserve">Сварка рамы</x:t>
        </x:is>
      </x:c>
      <x:c r="H705" s="31" t="inlineStr">
        <x:is>
          <x:t xml:space="preserve">Сварка</x:t>
        </x:is>
      </x:c>
      <x:c r="I705" s="31" t="inlineStr">
        <x:is>
          <x:t xml:space="preserve">ОБ-019</x:t>
        </x:is>
      </x:c>
      <x:c r="J705" s="31" t="inlineStr">
        <x:is>
          <x:t xml:space="preserve">СОТР-061</x:t>
        </x:is>
      </x:c>
      <x:c r="K705" s="31" t="n">
        <x:v>14</x:v>
      </x:c>
      <x:c r="L705" s="31" t="n">
        <x:v>13.4</x:v>
      </x:c>
      <x:c r="M705" s="31" t="n">
        <x:v>46189</x:v>
      </x:c>
      <x:c r="N705" s="31" t="n">
        <x:v>46191</x:v>
      </x:c>
      <x:c r="O705" s="31" t="n">
        <x:v>46189</x:v>
      </x:c>
      <x:c r="P705" s="31" t="n">
        <x:v>46191</x:v>
      </x:c>
      <x:c r="Q705" s="31" t="inlineStr">
        <x:is>
          <x:t xml:space="preserve">Завершено</x:t>
        </x:is>
      </x:c>
      <x:c r="R705" s="31" t="inlineStr">
        <x:is>
          <x:t xml:space="preserve">Нет</x:t>
        </x:is>
      </x:c>
      <x:c r="S705" s="31" t="inlineStr">
        <x:is>
          <x:t xml:space="preserve">Нет</x:t>
        </x:is>
      </x:c>
    </x:row>
    <x:row r="706">
      <x:c r="A706" s="31" t="inlineStr">
        <x:is>
          <x:t xml:space="preserve">ОП-000705</x:t>
        </x:is>
      </x:c>
      <x:c r="B706" s="31" t="inlineStr">
        <x:is>
          <x:t xml:space="preserve">ПЗ-00083</x:t>
        </x:is>
      </x:c>
      <x:c r="C706" s="31" t="inlineStr">
        <x:is>
          <x:t xml:space="preserve">ЗК-1045</x:t>
        </x:is>
      </x:c>
      <x:c r="D706" s="31" t="inlineStr">
        <x:is>
          <x:t xml:space="preserve">ПОЗ-0045-3</x:t>
        </x:is>
      </x:c>
      <x:c r="E706" s="31" t="inlineStr">
        <x:is>
          <x:t xml:space="preserve">ИЗД-034</x:t>
        </x:is>
      </x:c>
      <x:c r="F706" s="31" t="n">
        <x:v>50</x:v>
      </x:c>
      <x:c r="G706" s="31" t="inlineStr">
        <x:is>
          <x:t xml:space="preserve">Механообработка</x:t>
        </x:is>
      </x:c>
      <x:c r="H706" s="31" t="inlineStr">
        <x:is>
          <x:t xml:space="preserve">Механообработка</x:t>
        </x:is>
      </x:c>
      <x:c r="I706" s="31" t="inlineStr">
        <x:is>
          <x:t xml:space="preserve">ОБ-029</x:t>
        </x:is>
      </x:c>
      <x:c r="J706" s="31" t="inlineStr">
        <x:is>
          <x:t xml:space="preserve">СОТР-049</x:t>
        </x:is>
      </x:c>
      <x:c r="K706" s="31" t="n">
        <x:v>32.4</x:v>
      </x:c>
      <x:c r="L706" s="31" t="n">
        <x:v>40.2</x:v>
      </x:c>
      <x:c r="M706" s="31" t="n">
        <x:v>46191</x:v>
      </x:c>
      <x:c r="N706" s="31" t="n">
        <x:v>46194</x:v>
      </x:c>
      <x:c r="O706" s="31" t="n">
        <x:v>46191</x:v>
      </x:c>
      <x:c r="P706" s="31" t="n">
        <x:v>46196</x:v>
      </x:c>
      <x:c r="Q706" s="31" t="inlineStr">
        <x:is>
          <x:t xml:space="preserve">Завершено</x:t>
        </x:is>
      </x:c>
      <x:c r="R706" s="31" t="inlineStr">
        <x:is>
          <x:t xml:space="preserve">Нет</x:t>
        </x:is>
      </x:c>
      <x:c r="S706" s="31" t="inlineStr">
        <x:is>
          <x:t xml:space="preserve">Нет</x:t>
        </x:is>
      </x:c>
    </x:row>
    <x:row r="707">
      <x:c r="A707" s="31" t="inlineStr">
        <x:is>
          <x:t xml:space="preserve">ОП-000706</x:t>
        </x:is>
      </x:c>
      <x:c r="B707" s="31" t="inlineStr">
        <x:is>
          <x:t xml:space="preserve">ПЗ-00083</x:t>
        </x:is>
      </x:c>
      <x:c r="C707" s="31" t="inlineStr">
        <x:is>
          <x:t xml:space="preserve">ЗК-1045</x:t>
        </x:is>
      </x:c>
      <x:c r="D707" s="31" t="inlineStr">
        <x:is>
          <x:t xml:space="preserve">ПОЗ-0045-3</x:t>
        </x:is>
      </x:c>
      <x:c r="E707" s="31" t="inlineStr">
        <x:is>
          <x:t xml:space="preserve">ИЗД-034</x:t>
        </x:is>
      </x:c>
      <x:c r="F707" s="31" t="n">
        <x:v>60</x:v>
      </x:c>
      <x:c r="G707" s="31" t="inlineStr">
        <x:is>
          <x:t xml:space="preserve">Сборка</x:t>
        </x:is>
      </x:c>
      <x:c r="H707" s="31" t="inlineStr">
        <x:is>
          <x:t xml:space="preserve">Сборка</x:t>
        </x:is>
      </x:c>
      <x:c r="I707" s="31" t="inlineStr">
        <x:is>
          <x:t xml:space="preserve">ОБ-027</x:t>
        </x:is>
      </x:c>
      <x:c r="J707" s="31" t="inlineStr">
        <x:is>
          <x:t xml:space="preserve">СОТР-073</x:t>
        </x:is>
      </x:c>
      <x:c r="K707" s="31" t="n">
        <x:v>13.2</x:v>
      </x:c>
      <x:c r="L707" s="31" t="n">
        <x:v>10.6</x:v>
      </x:c>
      <x:c r="M707" s="31" t="n">
        <x:v>46194</x:v>
      </x:c>
      <x:c r="N707" s="31" t="n">
        <x:v>46196</x:v>
      </x:c>
      <x:c r="O707" s="31" t="n">
        <x:v>46194</x:v>
      </x:c>
      <x:c r="P707" s="31" t="n">
        <x:v>46196</x:v>
      </x:c>
      <x:c r="Q707" s="31" t="inlineStr">
        <x:is>
          <x:t xml:space="preserve">Завершено</x:t>
        </x:is>
      </x:c>
      <x:c r="R707" s="31" t="inlineStr">
        <x:is>
          <x:t xml:space="preserve">Нет</x:t>
        </x:is>
      </x:c>
      <x:c r="S707" s="31" t="inlineStr">
        <x:is>
          <x:t xml:space="preserve">Нет</x:t>
        </x:is>
      </x:c>
    </x:row>
    <x:row r="708">
      <x:c r="A708" s="31" t="inlineStr">
        <x:is>
          <x:t xml:space="preserve">ОП-000707</x:t>
        </x:is>
      </x:c>
      <x:c r="B708" s="31" t="inlineStr">
        <x:is>
          <x:t xml:space="preserve">ПЗ-00083</x:t>
        </x:is>
      </x:c>
      <x:c r="C708" s="31" t="inlineStr">
        <x:is>
          <x:t xml:space="preserve">ЗК-1045</x:t>
        </x:is>
      </x:c>
      <x:c r="D708" s="31" t="inlineStr">
        <x:is>
          <x:t xml:space="preserve">ПОЗ-0045-3</x:t>
        </x:is>
      </x:c>
      <x:c r="E708" s="31" t="inlineStr">
        <x:is>
          <x:t xml:space="preserve">ИЗД-034</x:t>
        </x:is>
      </x:c>
      <x:c r="F708" s="31" t="n">
        <x:v>70</x:v>
      </x:c>
      <x:c r="G708" s="31" t="inlineStr">
        <x:is>
          <x:t xml:space="preserve">Обвязка труб</x:t>
        </x:is>
      </x:c>
      <x:c r="H708" s="31" t="inlineStr">
        <x:is>
          <x:t xml:space="preserve">Сборка</x:t>
        </x:is>
      </x:c>
      <x:c r="I708" s="31" t="inlineStr">
        <x:is>
          <x:t xml:space="preserve">ОБ-034</x:t>
        </x:is>
      </x:c>
      <x:c r="J708" s="31" t="inlineStr">
        <x:is>
          <x:t xml:space="preserve">СОТР-083</x:t>
        </x:is>
      </x:c>
      <x:c r="K708" s="31" t="n">
        <x:v>9.199999999999999</x:v>
      </x:c>
      <x:c r="L708" s="31" t="n">
        <x:v>12.1</x:v>
      </x:c>
      <x:c r="M708" s="31" t="n">
        <x:v>46196</x:v>
      </x:c>
      <x:c r="N708" s="31" t="n">
        <x:v>46197</x:v>
      </x:c>
      <x:c r="O708" s="31" t="n">
        <x:v>46196</x:v>
      </x:c>
      <x:c r="P708" s="31" t="n">
        <x:v>46199</x:v>
      </x:c>
      <x:c r="Q708" s="31" t="inlineStr">
        <x:is>
          <x:t xml:space="preserve">Завершено</x:t>
        </x:is>
      </x:c>
      <x:c r="R708" s="31" t="inlineStr">
        <x:is>
          <x:t xml:space="preserve">Нет</x:t>
        </x:is>
      </x:c>
      <x:c r="S708" s="31" t="inlineStr">
        <x:is>
          <x:t xml:space="preserve">Нет</x:t>
        </x:is>
      </x:c>
    </x:row>
    <x:row r="709">
      <x:c r="A709" s="31" t="inlineStr">
        <x:is>
          <x:t xml:space="preserve">ОП-000708</x:t>
        </x:is>
      </x:c>
      <x:c r="B709" s="31" t="inlineStr">
        <x:is>
          <x:t xml:space="preserve">ПЗ-00083</x:t>
        </x:is>
      </x:c>
      <x:c r="C709" s="31" t="inlineStr">
        <x:is>
          <x:t xml:space="preserve">ЗК-1045</x:t>
        </x:is>
      </x:c>
      <x:c r="D709" s="31" t="inlineStr">
        <x:is>
          <x:t xml:space="preserve">ПОЗ-0045-3</x:t>
        </x:is>
      </x:c>
      <x:c r="E709" s="31" t="inlineStr">
        <x:is>
          <x:t xml:space="preserve">ИЗД-034</x:t>
        </x:is>
      </x:c>
      <x:c r="F709" s="31" t="n">
        <x:v>80</x:v>
      </x:c>
      <x:c r="G709" s="31" t="inlineStr">
        <x:is>
          <x:t xml:space="preserve">Электромонтаж</x:t>
        </x:is>
      </x:c>
      <x:c r="H709" s="31" t="inlineStr">
        <x:is>
          <x:t xml:space="preserve">Сборка</x:t>
        </x:is>
      </x:c>
      <x:c r="I709" s="31" t="inlineStr">
        <x:is>
          <x:t xml:space="preserve">ОБ-020</x:t>
        </x:is>
      </x:c>
      <x:c r="J709" s="31" t="inlineStr">
        <x:is>
          <x:t xml:space="preserve">СОТР-073</x:t>
        </x:is>
      </x:c>
      <x:c r="K709" s="31" t="n">
        <x:v>8.800000000000001</x:v>
      </x:c>
      <x:c r="L709" s="31" t="n">
        <x:v>7.7</x:v>
      </x:c>
      <x:c r="M709" s="31" t="n">
        <x:v>46197</x:v>
      </x:c>
      <x:c r="N709" s="31" t="n">
        <x:v>46198</x:v>
      </x:c>
      <x:c r="O709" s="31" t="n">
        <x:v>46197</x:v>
      </x:c>
      <x:c r="P709" s="31" t="n">
        <x:v>46197</x:v>
      </x:c>
      <x:c r="Q709" s="31" t="inlineStr">
        <x:is>
          <x:t xml:space="preserve">Завершено</x:t>
        </x:is>
      </x:c>
      <x:c r="R709" s="31" t="inlineStr">
        <x:is>
          <x:t xml:space="preserve">Нет</x:t>
        </x:is>
      </x:c>
      <x:c r="S709" s="31" t="inlineStr">
        <x:is>
          <x:t xml:space="preserve">Нет</x:t>
        </x:is>
      </x:c>
    </x:row>
    <x:row r="710">
      <x:c r="A710" s="31" t="inlineStr">
        <x:is>
          <x:t xml:space="preserve">ОП-000709</x:t>
        </x:is>
      </x:c>
      <x:c r="B710" s="31" t="inlineStr">
        <x:is>
          <x:t xml:space="preserve">ПЗ-00083</x:t>
        </x:is>
      </x:c>
      <x:c r="C710" s="31" t="inlineStr">
        <x:is>
          <x:t xml:space="preserve">ЗК-1045</x:t>
        </x:is>
      </x:c>
      <x:c r="D710" s="31" t="inlineStr">
        <x:is>
          <x:t xml:space="preserve">ПОЗ-0045-3</x:t>
        </x:is>
      </x:c>
      <x:c r="E710" s="31" t="inlineStr">
        <x:is>
          <x:t xml:space="preserve">ИЗД-034</x:t>
        </x:is>
      </x:c>
      <x:c r="F710" s="31" t="n">
        <x:v>90</x:v>
      </x:c>
      <x:c r="G710" s="31" t="inlineStr">
        <x:is>
          <x:t xml:space="preserve">Приемочные испытания</x:t>
        </x:is>
      </x:c>
      <x:c r="H710" s="31" t="inlineStr">
        <x:is>
          <x:t xml:space="preserve">ОТК</x:t>
        </x:is>
      </x:c>
      <x:c r="I710" s="31" t="inlineStr">
        <x:is>
          <x:t xml:space="preserve">ОБ-006</x:t>
        </x:is>
      </x:c>
      <x:c r="J710" s="31" t="inlineStr">
        <x:is>
          <x:t xml:space="preserve">СОТР-093</x:t>
        </x:is>
      </x:c>
      <x:c r="K710" s="31" t="n">
        <x:v>14</x:v>
      </x:c>
      <x:c r="L710" s="31" t="n">
        <x:v>12.8</x:v>
      </x:c>
      <x:c r="M710" s="31" t="n">
        <x:v>46198</x:v>
      </x:c>
      <x:c r="N710" s="31" t="n">
        <x:v>46200</x:v>
      </x:c>
      <x:c r="O710" s="31" t="n">
        <x:v>46198</x:v>
      </x:c>
      <x:c r="P710" s="31" t="n">
        <x:v>46199</x:v>
      </x:c>
      <x:c r="Q710" s="31" t="inlineStr">
        <x:is>
          <x:t xml:space="preserve">Завершено</x:t>
        </x:is>
      </x:c>
      <x:c r="R710" s="31" t="inlineStr">
        <x:is>
          <x:t xml:space="preserve">Материал</x:t>
        </x:is>
      </x:c>
      <x:c r="S710" s="31" t="inlineStr">
        <x:is>
          <x:t xml:space="preserve">Нет</x:t>
        </x:is>
      </x:c>
    </x:row>
    <x:row r="711">
      <x:c r="A711" s="31" t="inlineStr">
        <x:is>
          <x:t xml:space="preserve">ОП-000710</x:t>
        </x:is>
      </x:c>
      <x:c r="B711" s="31" t="inlineStr">
        <x:is>
          <x:t xml:space="preserve">ПЗ-00083</x:t>
        </x:is>
      </x:c>
      <x:c r="C711" s="31" t="inlineStr">
        <x:is>
          <x:t xml:space="preserve">ЗК-1045</x:t>
        </x:is>
      </x:c>
      <x:c r="D711" s="31" t="inlineStr">
        <x:is>
          <x:t xml:space="preserve">ПОЗ-0045-3</x:t>
        </x:is>
      </x:c>
      <x:c r="E711" s="31" t="inlineStr">
        <x:is>
          <x:t xml:space="preserve">ИЗД-034</x:t>
        </x:is>
      </x:c>
      <x:c r="F711" s="31" t="n">
        <x:v>100</x:v>
      </x:c>
      <x:c r="G711" s="31" t="inlineStr">
        <x:is>
          <x:t xml:space="preserve">ОТК</x:t>
        </x:is>
      </x:c>
      <x:c r="H711" s="31" t="inlineStr">
        <x:is>
          <x:t xml:space="preserve">ОТК</x:t>
        </x:is>
      </x:c>
      <x:c r="I711" s="31" t="inlineStr">
        <x:is>
          <x:t xml:space="preserve">ОБ-001</x:t>
        </x:is>
      </x:c>
      <x:c r="J711" s="31" t="inlineStr">
        <x:is>
          <x:t xml:space="preserve">СОТР-098</x:t>
        </x:is>
      </x:c>
      <x:c r="K711" s="31" t="n">
        <x:v>8.800000000000001</x:v>
      </x:c>
      <x:c r="L711" s="31" t="n">
        <x:v>9.6</x:v>
      </x:c>
      <x:c r="M711" s="31" t="n">
        <x:v>46200</x:v>
      </x:c>
      <x:c r="N711" s="31" t="n">
        <x:v>46201</x:v>
      </x:c>
      <x:c r="O711" s="31" t="n">
        <x:v>46200</x:v>
      </x:c>
      <x:c r="P711" s="31" t="n">
        <x:v>46202</x:v>
      </x:c>
      <x:c r="Q711" s="31" t="inlineStr">
        <x:is>
          <x:t xml:space="preserve">Завершено</x:t>
        </x:is>
      </x:c>
      <x:c r="R711" s="31" t="inlineStr">
        <x:is>
          <x:t xml:space="preserve">Нет</x:t>
        </x:is>
      </x:c>
      <x:c r="S711" s="31" t="inlineStr">
        <x:is>
          <x:t xml:space="preserve">Нет</x:t>
        </x:is>
      </x:c>
    </x:row>
    <x:row r="712">
      <x:c r="A712" s="31" t="inlineStr">
        <x:is>
          <x:t xml:space="preserve">ОП-000711</x:t>
        </x:is>
      </x:c>
      <x:c r="B712" s="31" t="inlineStr">
        <x:is>
          <x:t xml:space="preserve">ПЗ-00083</x:t>
        </x:is>
      </x:c>
      <x:c r="C712" s="31" t="inlineStr">
        <x:is>
          <x:t xml:space="preserve">ЗК-1045</x:t>
        </x:is>
      </x:c>
      <x:c r="D712" s="31" t="inlineStr">
        <x:is>
          <x:t xml:space="preserve">ПОЗ-0045-3</x:t>
        </x:is>
      </x:c>
      <x:c r="E712" s="31" t="inlineStr">
        <x:is>
          <x:t xml:space="preserve">ИЗД-034</x:t>
        </x:is>
      </x:c>
      <x:c r="F712" s="31" t="n">
        <x:v>110</x:v>
      </x:c>
      <x:c r="G712" s="31" t="inlineStr">
        <x:is>
          <x:t xml:space="preserve">Упаковка</x:t>
        </x:is>
      </x:c>
      <x:c r="H712" s="31" t="inlineStr">
        <x:is>
          <x:t xml:space="preserve">Логистика</x:t>
        </x:is>
      </x:c>
      <x:c r="I712" s="31" t="n"/>
      <x:c r="J712" s="31" t="inlineStr">
        <x:is>
          <x:t xml:space="preserve">СОТР-104</x:t>
        </x:is>
      </x:c>
      <x:c r="K712" s="31" t="n">
        <x:v>21.2</x:v>
      </x:c>
      <x:c r="L712" s="31" t="n">
        <x:v>28.2</x:v>
      </x:c>
      <x:c r="M712" s="31" t="n">
        <x:v>46201</x:v>
      </x:c>
      <x:c r="N712" s="31" t="n">
        <x:v>46203</x:v>
      </x:c>
      <x:c r="O712" s="31" t="n">
        <x:v>46201</x:v>
      </x:c>
      <x:c r="P712" s="31" t="n">
        <x:v>46205</x:v>
      </x:c>
      <x:c r="Q712" s="31" t="inlineStr">
        <x:is>
          <x:t xml:space="preserve">Завершено</x:t>
        </x:is>
      </x:c>
      <x:c r="R712" s="31" t="inlineStr">
        <x:is>
          <x:t xml:space="preserve">Нет</x:t>
        </x:is>
      </x:c>
      <x:c r="S712" s="31" t="inlineStr">
        <x:is>
          <x:t xml:space="preserve">Нет</x:t>
        </x:is>
      </x:c>
    </x:row>
    <x:row r="713">
      <x:c r="A713" s="31" t="inlineStr">
        <x:is>
          <x:t xml:space="preserve">ОП-000712</x:t>
        </x:is>
      </x:c>
      <x:c r="B713" s="31" t="inlineStr">
        <x:is>
          <x:t xml:space="preserve">ПЗ-00084</x:t>
        </x:is>
      </x:c>
      <x:c r="C713" s="31" t="inlineStr">
        <x:is>
          <x:t xml:space="preserve">ЗК-1045</x:t>
        </x:is>
      </x:c>
      <x:c r="D713" s="31" t="inlineStr">
        <x:is>
          <x:t xml:space="preserve">ПОЗ-0045-4</x:t>
        </x:is>
      </x:c>
      <x:c r="E713" s="31" t="inlineStr">
        <x:is>
          <x:t xml:space="preserve">ИЗД-004</x:t>
        </x:is>
      </x:c>
      <x:c r="F713" s="31" t="n">
        <x:v>10</x:v>
      </x:c>
      <x:c r="G713" s="31" t="inlineStr">
        <x:is>
          <x:t xml:space="preserve">КД</x:t>
        </x:is>
      </x:c>
      <x:c r="H713" s="31" t="inlineStr">
        <x:is>
          <x:t xml:space="preserve">Инженерный отдел</x:t>
        </x:is>
      </x:c>
      <x:c r="I713" s="31" t="n"/>
      <x:c r="J713" s="31" t="inlineStr">
        <x:is>
          <x:t xml:space="preserve">СОТР-014</x:t>
        </x:is>
      </x:c>
      <x:c r="K713" s="31" t="n">
        <x:v>96</x:v>
      </x:c>
      <x:c r="L713" s="31" t="n">
        <x:v>88.59999999999999</x:v>
      </x:c>
      <x:c r="M713" s="31" t="n">
        <x:v>46166</x:v>
      </x:c>
      <x:c r="N713" s="31" t="n">
        <x:v>46174</x:v>
      </x:c>
      <x:c r="O713" s="31" t="n">
        <x:v>46166</x:v>
      </x:c>
      <x:c r="P713" s="31" t="n">
        <x:v>46173</x:v>
      </x:c>
      <x:c r="Q713" s="31" t="inlineStr">
        <x:is>
          <x:t xml:space="preserve">Завершено</x:t>
        </x:is>
      </x:c>
      <x:c r="R713" s="31" t="inlineStr">
        <x:is>
          <x:t xml:space="preserve">Нет</x:t>
        </x:is>
      </x:c>
      <x:c r="S713" s="31" t="inlineStr">
        <x:is>
          <x:t xml:space="preserve">Нет</x:t>
        </x:is>
      </x:c>
    </x:row>
    <x:row r="714">
      <x:c r="A714" s="31" t="inlineStr">
        <x:is>
          <x:t xml:space="preserve">ОП-000713</x:t>
        </x:is>
      </x:c>
      <x:c r="B714" s="31" t="inlineStr">
        <x:is>
          <x:t xml:space="preserve">ПЗ-00084</x:t>
        </x:is>
      </x:c>
      <x:c r="C714" s="31" t="inlineStr">
        <x:is>
          <x:t xml:space="preserve">ЗК-1045</x:t>
        </x:is>
      </x:c>
      <x:c r="D714" s="31" t="inlineStr">
        <x:is>
          <x:t xml:space="preserve">ПОЗ-0045-4</x:t>
        </x:is>
      </x:c>
      <x:c r="E714" s="31" t="inlineStr">
        <x:is>
          <x:t xml:space="preserve">ИЗД-004</x:t>
        </x:is>
      </x:c>
      <x:c r="F714" s="31" t="n">
        <x:v>20</x:v>
      </x:c>
      <x:c r="G714" s="31" t="inlineStr">
        <x:is>
          <x:t xml:space="preserve">Резерв материалов</x:t>
        </x:is>
      </x:c>
      <x:c r="H714" s="31" t="inlineStr">
        <x:is>
          <x:t xml:space="preserve">Склад</x:t>
        </x:is>
      </x:c>
      <x:c r="I714" s="31" t="inlineStr">
        <x:is>
          <x:t xml:space="preserve">ОБ-011</x:t>
        </x:is>
      </x:c>
      <x:c r="J714" s="31" t="inlineStr">
        <x:is>
          <x:t xml:space="preserve">СОТР-035</x:t>
        </x:is>
      </x:c>
      <x:c r="K714" s="31" t="n">
        <x:v>35.5</x:v>
      </x:c>
      <x:c r="L714" s="31" t="n">
        <x:v>45.8</x:v>
      </x:c>
      <x:c r="M714" s="31" t="n">
        <x:v>46174</x:v>
      </x:c>
      <x:c r="N714" s="31" t="n">
        <x:v>46177</x:v>
      </x:c>
      <x:c r="O714" s="31" t="n">
        <x:v>46174</x:v>
      </x:c>
      <x:c r="P714" s="31" t="n">
        <x:v>46178</x:v>
      </x:c>
      <x:c r="Q714" s="31" t="inlineStr">
        <x:is>
          <x:t xml:space="preserve">Завершено</x:t>
        </x:is>
      </x:c>
      <x:c r="R714" s="31" t="inlineStr">
        <x:is>
          <x:t xml:space="preserve">Нет</x:t>
        </x:is>
      </x:c>
      <x:c r="S714" s="31" t="inlineStr">
        <x:is>
          <x:t xml:space="preserve">Нет</x:t>
        </x:is>
      </x:c>
    </x:row>
    <x:row r="715">
      <x:c r="A715" s="31" t="inlineStr">
        <x:is>
          <x:t xml:space="preserve">ОП-000714</x:t>
        </x:is>
      </x:c>
      <x:c r="B715" s="31" t="inlineStr">
        <x:is>
          <x:t xml:space="preserve">ПЗ-00084</x:t>
        </x:is>
      </x:c>
      <x:c r="C715" s="31" t="inlineStr">
        <x:is>
          <x:t xml:space="preserve">ЗК-1045</x:t>
        </x:is>
      </x:c>
      <x:c r="D715" s="31" t="inlineStr">
        <x:is>
          <x:t xml:space="preserve">ПОЗ-0045-4</x:t>
        </x:is>
      </x:c>
      <x:c r="E715" s="31" t="inlineStr">
        <x:is>
          <x:t xml:space="preserve">ИЗД-004</x:t>
        </x:is>
      </x:c>
      <x:c r="F715" s="31" t="n">
        <x:v>30</x:v>
      </x:c>
      <x:c r="G715" s="31" t="inlineStr">
        <x:is>
          <x:t xml:space="preserve">Сварка рамы</x:t>
        </x:is>
      </x:c>
      <x:c r="H715" s="31" t="inlineStr">
        <x:is>
          <x:t xml:space="preserve">Сварка</x:t>
        </x:is>
      </x:c>
      <x:c r="I715" s="31" t="inlineStr">
        <x:is>
          <x:t xml:space="preserve">ОБ-021</x:t>
        </x:is>
      </x:c>
      <x:c r="J715" s="31" t="inlineStr">
        <x:is>
          <x:t xml:space="preserve">СОТР-072</x:t>
        </x:is>
      </x:c>
      <x:c r="K715" s="31" t="n">
        <x:v>63.5</x:v>
      </x:c>
      <x:c r="L715" s="31" t="n">
        <x:v>52</x:v>
      </x:c>
      <x:c r="M715" s="31" t="n">
        <x:v>46177</x:v>
      </x:c>
      <x:c r="N715" s="31" t="n">
        <x:v>46183</x:v>
      </x:c>
      <x:c r="O715" s="31" t="n">
        <x:v>46177</x:v>
      </x:c>
      <x:c r="P715" s="31" t="n">
        <x:v>46183</x:v>
      </x:c>
      <x:c r="Q715" s="31" t="inlineStr">
        <x:is>
          <x:t xml:space="preserve">Завершено</x:t>
        </x:is>
      </x:c>
      <x:c r="R715" s="31" t="inlineStr">
        <x:is>
          <x:t xml:space="preserve">Нет</x:t>
        </x:is>
      </x:c>
      <x:c r="S715" s="31" t="inlineStr">
        <x:is>
          <x:t xml:space="preserve">Нет</x:t>
        </x:is>
      </x:c>
    </x:row>
    <x:row r="716">
      <x:c r="A716" s="31" t="inlineStr">
        <x:is>
          <x:t xml:space="preserve">ОП-000715</x:t>
        </x:is>
      </x:c>
      <x:c r="B716" s="31" t="inlineStr">
        <x:is>
          <x:t xml:space="preserve">ПЗ-00084</x:t>
        </x:is>
      </x:c>
      <x:c r="C716" s="31" t="inlineStr">
        <x:is>
          <x:t xml:space="preserve">ЗК-1045</x:t>
        </x:is>
      </x:c>
      <x:c r="D716" s="31" t="inlineStr">
        <x:is>
          <x:t xml:space="preserve">ПОЗ-0045-4</x:t>
        </x:is>
      </x:c>
      <x:c r="E716" s="31" t="inlineStr">
        <x:is>
          <x:t xml:space="preserve">ИЗД-004</x:t>
        </x:is>
      </x:c>
      <x:c r="F716" s="31" t="n">
        <x:v>40</x:v>
      </x:c>
      <x:c r="G716" s="31" t="inlineStr">
        <x:is>
          <x:t xml:space="preserve">Сборка</x:t>
        </x:is>
      </x:c>
      <x:c r="H716" s="31" t="inlineStr">
        <x:is>
          <x:t xml:space="preserve">Сборка</x:t>
        </x:is>
      </x:c>
      <x:c r="I716" s="31" t="inlineStr">
        <x:is>
          <x:t xml:space="preserve">ОБ-034</x:t>
        </x:is>
      </x:c>
      <x:c r="J716" s="31" t="inlineStr">
        <x:is>
          <x:t xml:space="preserve">СОТР-083</x:t>
        </x:is>
      </x:c>
      <x:c r="K716" s="31" t="n">
        <x:v>27</x:v>
      </x:c>
      <x:c r="L716" s="31" t="n">
        <x:v>25.5</x:v>
      </x:c>
      <x:c r="M716" s="31" t="n">
        <x:v>46183</x:v>
      </x:c>
      <x:c r="N716" s="31" t="n">
        <x:v>46186</x:v>
      </x:c>
      <x:c r="O716" s="31" t="n">
        <x:v>46183</x:v>
      </x:c>
      <x:c r="P716" s="31" t="n">
        <x:v>46186</x:v>
      </x:c>
      <x:c r="Q716" s="31" t="inlineStr">
        <x:is>
          <x:t xml:space="preserve">Завершено</x:t>
        </x:is>
      </x:c>
      <x:c r="R716" s="31" t="inlineStr">
        <x:is>
          <x:t xml:space="preserve">Нет</x:t>
        </x:is>
      </x:c>
      <x:c r="S716" s="31" t="inlineStr">
        <x:is>
          <x:t xml:space="preserve">Нет</x:t>
        </x:is>
      </x:c>
    </x:row>
    <x:row r="717">
      <x:c r="A717" s="31" t="inlineStr">
        <x:is>
          <x:t xml:space="preserve">ОП-000716</x:t>
        </x:is>
      </x:c>
      <x:c r="B717" s="31" t="inlineStr">
        <x:is>
          <x:t xml:space="preserve">ПЗ-00084</x:t>
        </x:is>
      </x:c>
      <x:c r="C717" s="31" t="inlineStr">
        <x:is>
          <x:t xml:space="preserve">ЗК-1045</x:t>
        </x:is>
      </x:c>
      <x:c r="D717" s="31" t="inlineStr">
        <x:is>
          <x:t xml:space="preserve">ПОЗ-0045-4</x:t>
        </x:is>
      </x:c>
      <x:c r="E717" s="31" t="inlineStr">
        <x:is>
          <x:t xml:space="preserve">ИЗД-004</x:t>
        </x:is>
      </x:c>
      <x:c r="F717" s="31" t="n">
        <x:v>50</x:v>
      </x:c>
      <x:c r="G717" s="31" t="inlineStr">
        <x:is>
          <x:t xml:space="preserve">Обвязка труб</x:t>
        </x:is>
      </x:c>
      <x:c r="H717" s="31" t="inlineStr">
        <x:is>
          <x:t xml:space="preserve">Сборка</x:t>
        </x:is>
      </x:c>
      <x:c r="I717" s="31" t="inlineStr">
        <x:is>
          <x:t xml:space="preserve">ОБ-027</x:t>
        </x:is>
      </x:c>
      <x:c r="J717" s="31" t="inlineStr">
        <x:is>
          <x:t xml:space="preserve">СОТР-083</x:t>
        </x:is>
      </x:c>
      <x:c r="K717" s="31" t="n">
        <x:v>92.5</x:v>
      </x:c>
      <x:c r="L717" s="31" t="n">
        <x:v>107.7</x:v>
      </x:c>
      <x:c r="M717" s="31" t="n">
        <x:v>46186</x:v>
      </x:c>
      <x:c r="N717" s="31" t="n">
        <x:v>46194</x:v>
      </x:c>
      <x:c r="O717" s="31" t="n">
        <x:v>46186</x:v>
      </x:c>
      <x:c r="P717" s="31" t="n">
        <x:v>46194</x:v>
      </x:c>
      <x:c r="Q717" s="31" t="inlineStr">
        <x:is>
          <x:t xml:space="preserve">Завершено</x:t>
        </x:is>
      </x:c>
      <x:c r="R717" s="31" t="inlineStr">
        <x:is>
          <x:t xml:space="preserve">Нет</x:t>
        </x:is>
      </x:c>
      <x:c r="S717" s="31" t="inlineStr">
        <x:is>
          <x:t xml:space="preserve">Нет</x:t>
        </x:is>
      </x:c>
    </x:row>
    <x:row r="718">
      <x:c r="A718" s="31" t="inlineStr">
        <x:is>
          <x:t xml:space="preserve">ОП-000717</x:t>
        </x:is>
      </x:c>
      <x:c r="B718" s="31" t="inlineStr">
        <x:is>
          <x:t xml:space="preserve">ПЗ-00084</x:t>
        </x:is>
      </x:c>
      <x:c r="C718" s="31" t="inlineStr">
        <x:is>
          <x:t xml:space="preserve">ЗК-1045</x:t>
        </x:is>
      </x:c>
      <x:c r="D718" s="31" t="inlineStr">
        <x:is>
          <x:t xml:space="preserve">ПОЗ-0045-4</x:t>
        </x:is>
      </x:c>
      <x:c r="E718" s="31" t="inlineStr">
        <x:is>
          <x:t xml:space="preserve">ИЗД-004</x:t>
        </x:is>
      </x:c>
      <x:c r="F718" s="31" t="n">
        <x:v>60</x:v>
      </x:c>
      <x:c r="G718" s="31" t="inlineStr">
        <x:is>
          <x:t xml:space="preserve">Электромонтаж</x:t>
        </x:is>
      </x:c>
      <x:c r="H718" s="31" t="inlineStr">
        <x:is>
          <x:t xml:space="preserve">Сборка</x:t>
        </x:is>
      </x:c>
      <x:c r="I718" s="31" t="inlineStr">
        <x:is>
          <x:t xml:space="preserve">ОБ-016</x:t>
        </x:is>
      </x:c>
      <x:c r="J718" s="31" t="inlineStr">
        <x:is>
          <x:t xml:space="preserve">СОТР-086</x:t>
        </x:is>
      </x:c>
      <x:c r="K718" s="31" t="n">
        <x:v>11</x:v>
      </x:c>
      <x:c r="L718" s="31" t="n">
        <x:v>9</x:v>
      </x:c>
      <x:c r="M718" s="31" t="n">
        <x:v>46194</x:v>
      </x:c>
      <x:c r="N718" s="31" t="n">
        <x:v>46195</x:v>
      </x:c>
      <x:c r="O718" s="31" t="n">
        <x:v>46194</x:v>
      </x:c>
      <x:c r="P718" s="31" t="n">
        <x:v>46194</x:v>
      </x:c>
      <x:c r="Q718" s="31" t="inlineStr">
        <x:is>
          <x:t xml:space="preserve">Завершено</x:t>
        </x:is>
      </x:c>
      <x:c r="R718" s="31" t="inlineStr">
        <x:is>
          <x:t xml:space="preserve">Нет</x:t>
        </x:is>
      </x:c>
      <x:c r="S718" s="31" t="inlineStr">
        <x:is>
          <x:t xml:space="preserve">Да</x:t>
        </x:is>
      </x:c>
    </x:row>
    <x:row r="719">
      <x:c r="A719" s="31" t="inlineStr">
        <x:is>
          <x:t xml:space="preserve">ОП-000718</x:t>
        </x:is>
      </x:c>
      <x:c r="B719" s="31" t="inlineStr">
        <x:is>
          <x:t xml:space="preserve">ПЗ-00084</x:t>
        </x:is>
      </x:c>
      <x:c r="C719" s="31" t="inlineStr">
        <x:is>
          <x:t xml:space="preserve">ЗК-1045</x:t>
        </x:is>
      </x:c>
      <x:c r="D719" s="31" t="inlineStr">
        <x:is>
          <x:t xml:space="preserve">ПОЗ-0045-4</x:t>
        </x:is>
      </x:c>
      <x:c r="E719" s="31" t="inlineStr">
        <x:is>
          <x:t xml:space="preserve">ИЗД-004</x:t>
        </x:is>
      </x:c>
      <x:c r="F719" s="31" t="n">
        <x:v>70</x:v>
      </x:c>
      <x:c r="G719" s="31" t="inlineStr">
        <x:is>
          <x:t xml:space="preserve">Гидроиспытания</x:t>
        </x:is>
      </x:c>
      <x:c r="H719" s="31" t="inlineStr">
        <x:is>
          <x:t xml:space="preserve">ОТК</x:t>
        </x:is>
      </x:c>
      <x:c r="I719" s="31" t="inlineStr">
        <x:is>
          <x:t xml:space="preserve">ОБ-015</x:t>
        </x:is>
      </x:c>
      <x:c r="J719" s="31" t="inlineStr">
        <x:is>
          <x:t xml:space="preserve">СОТР-097</x:t>
        </x:is>
      </x:c>
      <x:c r="K719" s="31" t="n">
        <x:v>95.5</x:v>
      </x:c>
      <x:c r="L719" s="31" t="n">
        <x:v>106.3</x:v>
      </x:c>
      <x:c r="M719" s="31" t="n">
        <x:v>46195</x:v>
      </x:c>
      <x:c r="N719" s="31" t="n">
        <x:v>46203</x:v>
      </x:c>
      <x:c r="O719" s="31" t="n">
        <x:v>46195</x:v>
      </x:c>
      <x:c r="P719" s="31" t="n">
        <x:v>46203</x:v>
      </x:c>
      <x:c r="Q719" s="31" t="inlineStr">
        <x:is>
          <x:t xml:space="preserve">Завершено</x:t>
        </x:is>
      </x:c>
      <x:c r="R719" s="31" t="inlineStr">
        <x:is>
          <x:t xml:space="preserve">Нет</x:t>
        </x:is>
      </x:c>
      <x:c r="S719" s="31" t="inlineStr">
        <x:is>
          <x:t xml:space="preserve">Нет</x:t>
        </x:is>
      </x:c>
    </x:row>
    <x:row r="720">
      <x:c r="A720" s="31" t="inlineStr">
        <x:is>
          <x:t xml:space="preserve">ОП-000719</x:t>
        </x:is>
      </x:c>
      <x:c r="B720" s="31" t="inlineStr">
        <x:is>
          <x:t xml:space="preserve">ПЗ-00084</x:t>
        </x:is>
      </x:c>
      <x:c r="C720" s="31" t="inlineStr">
        <x:is>
          <x:t xml:space="preserve">ЗК-1045</x:t>
        </x:is>
      </x:c>
      <x:c r="D720" s="31" t="inlineStr">
        <x:is>
          <x:t xml:space="preserve">ПОЗ-0045-4</x:t>
        </x:is>
      </x:c>
      <x:c r="E720" s="31" t="inlineStr">
        <x:is>
          <x:t xml:space="preserve">ИЗД-004</x:t>
        </x:is>
      </x:c>
      <x:c r="F720" s="31" t="n">
        <x:v>80</x:v>
      </x:c>
      <x:c r="G720" s="31" t="inlineStr">
        <x:is>
          <x:t xml:space="preserve">ОТК</x:t>
        </x:is>
      </x:c>
      <x:c r="H720" s="31" t="inlineStr">
        <x:is>
          <x:t xml:space="preserve">ОТК</x:t>
        </x:is>
      </x:c>
      <x:c r="I720" s="31" t="inlineStr">
        <x:is>
          <x:t xml:space="preserve">ОБ-022</x:t>
        </x:is>
      </x:c>
      <x:c r="J720" s="31" t="inlineStr">
        <x:is>
          <x:t xml:space="preserve">СОТР-063</x:t>
        </x:is>
      </x:c>
      <x:c r="K720" s="31" t="n">
        <x:v>27</x:v>
      </x:c>
      <x:c r="L720" s="31" t="n">
        <x:v>34.8</x:v>
      </x:c>
      <x:c r="M720" s="31" t="n">
        <x:v>46203</x:v>
      </x:c>
      <x:c r="N720" s="31" t="n">
        <x:v>46206</x:v>
      </x:c>
      <x:c r="O720" s="31" t="n">
        <x:v>46203</x:v>
      </x:c>
      <x:c r="P720" s="31" t="n">
        <x:v>46206</x:v>
      </x:c>
      <x:c r="Q720" s="31" t="inlineStr">
        <x:is>
          <x:t xml:space="preserve">Завершено</x:t>
        </x:is>
      </x:c>
      <x:c r="R720" s="31" t="inlineStr">
        <x:is>
          <x:t xml:space="preserve">Нет</x:t>
        </x:is>
      </x:c>
      <x:c r="S720" s="31" t="inlineStr">
        <x:is>
          <x:t xml:space="preserve">Нет</x:t>
        </x:is>
      </x:c>
    </x:row>
    <x:row r="721">
      <x:c r="A721" s="31" t="inlineStr">
        <x:is>
          <x:t xml:space="preserve">ОП-000720</x:t>
        </x:is>
      </x:c>
      <x:c r="B721" s="31" t="inlineStr">
        <x:is>
          <x:t xml:space="preserve">ПЗ-00084</x:t>
        </x:is>
      </x:c>
      <x:c r="C721" s="31" t="inlineStr">
        <x:is>
          <x:t xml:space="preserve">ЗК-1045</x:t>
        </x:is>
      </x:c>
      <x:c r="D721" s="31" t="inlineStr">
        <x:is>
          <x:t xml:space="preserve">ПОЗ-0045-4</x:t>
        </x:is>
      </x:c>
      <x:c r="E721" s="31" t="inlineStr">
        <x:is>
          <x:t xml:space="preserve">ИЗД-004</x:t>
        </x:is>
      </x:c>
      <x:c r="F721" s="31" t="n">
        <x:v>90</x:v>
      </x:c>
      <x:c r="G721" s="31" t="inlineStr">
        <x:is>
          <x:t xml:space="preserve">Упаковка</x:t>
        </x:is>
      </x:c>
      <x:c r="H721" s="31" t="inlineStr">
        <x:is>
          <x:t xml:space="preserve">Логистика</x:t>
        </x:is>
      </x:c>
      <x:c r="I721" s="31" t="n"/>
      <x:c r="J721" s="31" t="inlineStr">
        <x:is>
          <x:t xml:space="preserve">СОТР-103</x:t>
        </x:is>
      </x:c>
      <x:c r="K721" s="31" t="n">
        <x:v>68.5</x:v>
      </x:c>
      <x:c r="L721" s="31" t="n">
        <x:v>57.2</x:v>
      </x:c>
      <x:c r="M721" s="31" t="n">
        <x:v>46206</x:v>
      </x:c>
      <x:c r="N721" s="31" t="n">
        <x:v>46212</x:v>
      </x:c>
      <x:c r="O721" s="31" t="n">
        <x:v>46206</x:v>
      </x:c>
      <x:c r="P721" s="31" t="n">
        <x:v>46213</x:v>
      </x:c>
      <x:c r="Q721" s="31" t="inlineStr">
        <x:is>
          <x:t xml:space="preserve">Завершено</x:t>
        </x:is>
      </x:c>
      <x:c r="R721" s="31" t="inlineStr">
        <x:is>
          <x:t xml:space="preserve">Нет</x:t>
        </x:is>
      </x:c>
      <x:c r="S721" s="31" t="inlineStr">
        <x:is>
          <x:t xml:space="preserve">Да</x:t>
        </x:is>
      </x:c>
    </x:row>
    <x:row r="722">
      <x:c r="A722" s="31" t="inlineStr">
        <x:is>
          <x:t xml:space="preserve">ОП-000721</x:t>
        </x:is>
      </x:c>
      <x:c r="B722" s="31" t="inlineStr">
        <x:is>
          <x:t xml:space="preserve">ПЗ-00085</x:t>
        </x:is>
      </x:c>
      <x:c r="C722" s="31" t="inlineStr">
        <x:is>
          <x:t xml:space="preserve">ЗК-1046</x:t>
        </x:is>
      </x:c>
      <x:c r="D722" s="31" t="inlineStr">
        <x:is>
          <x:t xml:space="preserve">ПОЗ-0046-1</x:t>
        </x:is>
      </x:c>
      <x:c r="E722" s="31" t="inlineStr">
        <x:is>
          <x:t xml:space="preserve">ИЗД-030</x:t>
        </x:is>
      </x:c>
      <x:c r="F722" s="31" t="n">
        <x:v>10</x:v>
      </x:c>
      <x:c r="G722" s="31" t="inlineStr">
        <x:is>
          <x:t xml:space="preserve">КД</x:t>
        </x:is>
      </x:c>
      <x:c r="H722" s="31" t="inlineStr">
        <x:is>
          <x:t xml:space="preserve">Инженерный отдел</x:t>
        </x:is>
      </x:c>
      <x:c r="I722" s="31" t="n"/>
      <x:c r="J722" s="31" t="inlineStr">
        <x:is>
          <x:t xml:space="preserve">СОТР-015</x:t>
        </x:is>
      </x:c>
      <x:c r="K722" s="31" t="n">
        <x:v>18</x:v>
      </x:c>
      <x:c r="L722" s="31" t="n">
        <x:v>17.7</x:v>
      </x:c>
      <x:c r="M722" s="31" t="n">
        <x:v>46147</x:v>
      </x:c>
      <x:c r="N722" s="31" t="n">
        <x:v>46149</x:v>
      </x:c>
      <x:c r="O722" s="31" t="n">
        <x:v>46147</x:v>
      </x:c>
      <x:c r="P722" s="31" t="n">
        <x:v>46151</x:v>
      </x:c>
      <x:c r="Q722" s="31" t="inlineStr">
        <x:is>
          <x:t xml:space="preserve">Завершено</x:t>
        </x:is>
      </x:c>
      <x:c r="R722" s="31" t="inlineStr">
        <x:is>
          <x:t xml:space="preserve">Нет</x:t>
        </x:is>
      </x:c>
      <x:c r="S722" s="31" t="inlineStr">
        <x:is>
          <x:t xml:space="preserve">Нет</x:t>
        </x:is>
      </x:c>
    </x:row>
    <x:row r="723">
      <x:c r="A723" s="31" t="inlineStr">
        <x:is>
          <x:t xml:space="preserve">ОП-000722</x:t>
        </x:is>
      </x:c>
      <x:c r="B723" s="31" t="inlineStr">
        <x:is>
          <x:t xml:space="preserve">ПЗ-00085</x:t>
        </x:is>
      </x:c>
      <x:c r="C723" s="31" t="inlineStr">
        <x:is>
          <x:t xml:space="preserve">ЗК-1046</x:t>
        </x:is>
      </x:c>
      <x:c r="D723" s="31" t="inlineStr">
        <x:is>
          <x:t xml:space="preserve">ПОЗ-0046-1</x:t>
        </x:is>
      </x:c>
      <x:c r="E723" s="31" t="inlineStr">
        <x:is>
          <x:t xml:space="preserve">ИЗД-030</x:t>
        </x:is>
      </x:c>
      <x:c r="F723" s="31" t="n">
        <x:v>20</x:v>
      </x:c>
      <x:c r="G723" s="31" t="inlineStr">
        <x:is>
          <x:t xml:space="preserve">Резерв материалов</x:t>
        </x:is>
      </x:c>
      <x:c r="H723" s="31" t="inlineStr">
        <x:is>
          <x:t xml:space="preserve">Склад</x:t>
        </x:is>
      </x:c>
      <x:c r="I723" s="31" t="inlineStr">
        <x:is>
          <x:t xml:space="preserve">ОБ-008</x:t>
        </x:is>
      </x:c>
      <x:c r="J723" s="31" t="inlineStr">
        <x:is>
          <x:t xml:space="preserve">СОТР-034</x:t>
        </x:is>
      </x:c>
      <x:c r="K723" s="31" t="n">
        <x:v>20.6</x:v>
      </x:c>
      <x:c r="L723" s="31" t="n">
        <x:v>18.8</x:v>
      </x:c>
      <x:c r="M723" s="31" t="n">
        <x:v>46149</x:v>
      </x:c>
      <x:c r="N723" s="31" t="n">
        <x:v>46151</x:v>
      </x:c>
      <x:c r="O723" s="31" t="n">
        <x:v>46149</x:v>
      </x:c>
      <x:c r="P723" s="31" t="n">
        <x:v>46151</x:v>
      </x:c>
      <x:c r="Q723" s="31" t="inlineStr">
        <x:is>
          <x:t xml:space="preserve">Завершено</x:t>
        </x:is>
      </x:c>
      <x:c r="R723" s="31" t="inlineStr">
        <x:is>
          <x:t xml:space="preserve">Нет</x:t>
        </x:is>
      </x:c>
      <x:c r="S723" s="31" t="inlineStr">
        <x:is>
          <x:t xml:space="preserve">Нет</x:t>
        </x:is>
      </x:c>
    </x:row>
    <x:row r="724">
      <x:c r="A724" s="31" t="inlineStr">
        <x:is>
          <x:t xml:space="preserve">ОП-000723</x:t>
        </x:is>
      </x:c>
      <x:c r="B724" s="31" t="inlineStr">
        <x:is>
          <x:t xml:space="preserve">ПЗ-00085</x:t>
        </x:is>
      </x:c>
      <x:c r="C724" s="31" t="inlineStr">
        <x:is>
          <x:t xml:space="preserve">ЗК-1046</x:t>
        </x:is>
      </x:c>
      <x:c r="D724" s="31" t="inlineStr">
        <x:is>
          <x:t xml:space="preserve">ПОЗ-0046-1</x:t>
        </x:is>
      </x:c>
      <x:c r="E724" s="31" t="inlineStr">
        <x:is>
          <x:t xml:space="preserve">ИЗД-030</x:t>
        </x:is>
      </x:c>
      <x:c r="F724" s="31" t="n">
        <x:v>30</x:v>
      </x:c>
      <x:c r="G724" s="31" t="inlineStr">
        <x:is>
          <x:t xml:space="preserve">Резка металла</x:t>
        </x:is>
      </x:c>
      <x:c r="H724" s="31" t="inlineStr">
        <x:is>
          <x:t xml:space="preserve">Сварка</x:t>
        </x:is>
      </x:c>
      <x:c r="I724" s="31" t="inlineStr">
        <x:is>
          <x:t xml:space="preserve">ОБ-010</x:t>
        </x:is>
      </x:c>
      <x:c r="J724" s="31" t="inlineStr">
        <x:is>
          <x:t xml:space="preserve">СОТР-069</x:t>
        </x:is>
      </x:c>
      <x:c r="K724" s="31" t="n">
        <x:v>4.6</x:v>
      </x:c>
      <x:c r="L724" s="31" t="n">
        <x:v>3.7</x:v>
      </x:c>
      <x:c r="M724" s="31" t="n">
        <x:v>46151</x:v>
      </x:c>
      <x:c r="N724" s="31" t="n">
        <x:v>46152</x:v>
      </x:c>
      <x:c r="O724" s="31" t="n">
        <x:v>46151</x:v>
      </x:c>
      <x:c r="P724" s="31" t="n">
        <x:v>46152</x:v>
      </x:c>
      <x:c r="Q724" s="31" t="inlineStr">
        <x:is>
          <x:t xml:space="preserve">Завершено</x:t>
        </x:is>
      </x:c>
      <x:c r="R724" s="31" t="inlineStr">
        <x:is>
          <x:t xml:space="preserve">Нет</x:t>
        </x:is>
      </x:c>
      <x:c r="S724" s="31" t="inlineStr">
        <x:is>
          <x:t xml:space="preserve">Нет</x:t>
        </x:is>
      </x:c>
    </x:row>
    <x:row r="725">
      <x:c r="A725" s="31" t="inlineStr">
        <x:is>
          <x:t xml:space="preserve">ОП-000724</x:t>
        </x:is>
      </x:c>
      <x:c r="B725" s="31" t="inlineStr">
        <x:is>
          <x:t xml:space="preserve">ПЗ-00085</x:t>
        </x:is>
      </x:c>
      <x:c r="C725" s="31" t="inlineStr">
        <x:is>
          <x:t xml:space="preserve">ЗК-1046</x:t>
        </x:is>
      </x:c>
      <x:c r="D725" s="31" t="inlineStr">
        <x:is>
          <x:t xml:space="preserve">ПОЗ-0046-1</x:t>
        </x:is>
      </x:c>
      <x:c r="E725" s="31" t="inlineStr">
        <x:is>
          <x:t xml:space="preserve">ИЗД-030</x:t>
        </x:is>
      </x:c>
      <x:c r="F725" s="31" t="n">
        <x:v>40</x:v>
      </x:c>
      <x:c r="G725" s="31" t="inlineStr">
        <x:is>
          <x:t xml:space="preserve">Сварка рамы</x:t>
        </x:is>
      </x:c>
      <x:c r="H725" s="31" t="inlineStr">
        <x:is>
          <x:t xml:space="preserve">Сварка</x:t>
        </x:is>
      </x:c>
      <x:c r="I725" s="31" t="inlineStr">
        <x:is>
          <x:t xml:space="preserve">ОБ-018</x:t>
        </x:is>
      </x:c>
      <x:c r="J725" s="31" t="inlineStr">
        <x:is>
          <x:t xml:space="preserve">СОТР-066</x:t>
        </x:is>
      </x:c>
      <x:c r="K725" s="31" t="n">
        <x:v>12.4</x:v>
      </x:c>
      <x:c r="L725" s="31" t="n">
        <x:v>11.4</x:v>
      </x:c>
      <x:c r="M725" s="31" t="n">
        <x:v>46152</x:v>
      </x:c>
      <x:c r="N725" s="31" t="n">
        <x:v>46154</x:v>
      </x:c>
      <x:c r="O725" s="31" t="n">
        <x:v>46152</x:v>
      </x:c>
      <x:c r="P725" s="31" t="n">
        <x:v>46153</x:v>
      </x:c>
      <x:c r="Q725" s="31" t="inlineStr">
        <x:is>
          <x:t xml:space="preserve">Завершено</x:t>
        </x:is>
      </x:c>
      <x:c r="R725" s="31" t="inlineStr">
        <x:is>
          <x:t xml:space="preserve">Материал</x:t>
        </x:is>
      </x:c>
      <x:c r="S725" s="31" t="inlineStr">
        <x:is>
          <x:t xml:space="preserve">Нет</x:t>
        </x:is>
      </x:c>
    </x:row>
    <x:row r="726">
      <x:c r="A726" s="31" t="inlineStr">
        <x:is>
          <x:t xml:space="preserve">ОП-000725</x:t>
        </x:is>
      </x:c>
      <x:c r="B726" s="31" t="inlineStr">
        <x:is>
          <x:t xml:space="preserve">ПЗ-00085</x:t>
        </x:is>
      </x:c>
      <x:c r="C726" s="31" t="inlineStr">
        <x:is>
          <x:t xml:space="preserve">ЗК-1046</x:t>
        </x:is>
      </x:c>
      <x:c r="D726" s="31" t="inlineStr">
        <x:is>
          <x:t xml:space="preserve">ПОЗ-0046-1</x:t>
        </x:is>
      </x:c>
      <x:c r="E726" s="31" t="inlineStr">
        <x:is>
          <x:t xml:space="preserve">ИЗД-030</x:t>
        </x:is>
      </x:c>
      <x:c r="F726" s="31" t="n">
        <x:v>50</x:v>
      </x:c>
      <x:c r="G726" s="31" t="inlineStr">
        <x:is>
          <x:t xml:space="preserve">Механообработка</x:t>
        </x:is>
      </x:c>
      <x:c r="H726" s="31" t="inlineStr">
        <x:is>
          <x:t xml:space="preserve">Механообработка</x:t>
        </x:is>
      </x:c>
      <x:c r="I726" s="31" t="inlineStr">
        <x:is>
          <x:t xml:space="preserve">ОБ-029</x:t>
        </x:is>
      </x:c>
      <x:c r="J726" s="31" t="inlineStr">
        <x:is>
          <x:t xml:space="preserve">СОТР-046</x:t>
        </x:is>
      </x:c>
      <x:c r="K726" s="31" t="n">
        <x:v>12.4</x:v>
      </x:c>
      <x:c r="L726" s="31" t="n">
        <x:v>11.6</x:v>
      </x:c>
      <x:c r="M726" s="31" t="n">
        <x:v>46154</x:v>
      </x:c>
      <x:c r="N726" s="31" t="n">
        <x:v>46156</x:v>
      </x:c>
      <x:c r="O726" s="31" t="n">
        <x:v>46154</x:v>
      </x:c>
      <x:c r="P726" s="31" t="n">
        <x:v>46156</x:v>
      </x:c>
      <x:c r="Q726" s="31" t="inlineStr">
        <x:is>
          <x:t xml:space="preserve">Завершено</x:t>
        </x:is>
      </x:c>
      <x:c r="R726" s="31" t="inlineStr">
        <x:is>
          <x:t xml:space="preserve">Нет</x:t>
        </x:is>
      </x:c>
      <x:c r="S726" s="31" t="inlineStr">
        <x:is>
          <x:t xml:space="preserve">Нет</x:t>
        </x:is>
      </x:c>
    </x:row>
    <x:row r="727">
      <x:c r="A727" s="31" t="inlineStr">
        <x:is>
          <x:t xml:space="preserve">ОП-000726</x:t>
        </x:is>
      </x:c>
      <x:c r="B727" s="31" t="inlineStr">
        <x:is>
          <x:t xml:space="preserve">ПЗ-00085</x:t>
        </x:is>
      </x:c>
      <x:c r="C727" s="31" t="inlineStr">
        <x:is>
          <x:t xml:space="preserve">ЗК-1046</x:t>
        </x:is>
      </x:c>
      <x:c r="D727" s="31" t="inlineStr">
        <x:is>
          <x:t xml:space="preserve">ПОЗ-0046-1</x:t>
        </x:is>
      </x:c>
      <x:c r="E727" s="31" t="inlineStr">
        <x:is>
          <x:t xml:space="preserve">ИЗД-030</x:t>
        </x:is>
      </x:c>
      <x:c r="F727" s="31" t="n">
        <x:v>60</x:v>
      </x:c>
      <x:c r="G727" s="31" t="inlineStr">
        <x:is>
          <x:t xml:space="preserve">Сборка</x:t>
        </x:is>
      </x:c>
      <x:c r="H727" s="31" t="inlineStr">
        <x:is>
          <x:t xml:space="preserve">Сборка</x:t>
        </x:is>
      </x:c>
      <x:c r="I727" s="31" t="inlineStr">
        <x:is>
          <x:t xml:space="preserve">ОБ-027</x:t>
        </x:is>
      </x:c>
      <x:c r="J727" s="31" t="inlineStr">
        <x:is>
          <x:t xml:space="preserve">СОТР-075</x:t>
        </x:is>
      </x:c>
      <x:c r="K727" s="31" t="n">
        <x:v>8.4</x:v>
      </x:c>
      <x:c r="L727" s="31" t="n">
        <x:v>10.3</x:v>
      </x:c>
      <x:c r="M727" s="31" t="n">
        <x:v>46156</x:v>
      </x:c>
      <x:c r="N727" s="31" t="n">
        <x:v>46157</x:v>
      </x:c>
      <x:c r="O727" s="31" t="n">
        <x:v>46156</x:v>
      </x:c>
      <x:c r="P727" s="31" t="n">
        <x:v>46159</x:v>
      </x:c>
      <x:c r="Q727" s="31" t="inlineStr">
        <x:is>
          <x:t xml:space="preserve">Завершено</x:t>
        </x:is>
      </x:c>
      <x:c r="R727" s="31" t="inlineStr">
        <x:is>
          <x:t xml:space="preserve">Нет</x:t>
        </x:is>
      </x:c>
      <x:c r="S727" s="31" t="inlineStr">
        <x:is>
          <x:t xml:space="preserve">Нет</x:t>
        </x:is>
      </x:c>
    </x:row>
    <x:row r="728">
      <x:c r="A728" s="31" t="inlineStr">
        <x:is>
          <x:t xml:space="preserve">ОП-000727</x:t>
        </x:is>
      </x:c>
      <x:c r="B728" s="31" t="inlineStr">
        <x:is>
          <x:t xml:space="preserve">ПЗ-00085</x:t>
        </x:is>
      </x:c>
      <x:c r="C728" s="31" t="inlineStr">
        <x:is>
          <x:t xml:space="preserve">ЗК-1046</x:t>
        </x:is>
      </x:c>
      <x:c r="D728" s="31" t="inlineStr">
        <x:is>
          <x:t xml:space="preserve">ПОЗ-0046-1</x:t>
        </x:is>
      </x:c>
      <x:c r="E728" s="31" t="inlineStr">
        <x:is>
          <x:t xml:space="preserve">ИЗД-030</x:t>
        </x:is>
      </x:c>
      <x:c r="F728" s="31" t="n">
        <x:v>70</x:v>
      </x:c>
      <x:c r="G728" s="31" t="inlineStr">
        <x:is>
          <x:t xml:space="preserve">Электромонтаж</x:t>
        </x:is>
      </x:c>
      <x:c r="H728" s="31" t="inlineStr">
        <x:is>
          <x:t xml:space="preserve">Сборка</x:t>
        </x:is>
      </x:c>
      <x:c r="I728" s="31" t="inlineStr">
        <x:is>
          <x:t xml:space="preserve">ОБ-002</x:t>
        </x:is>
      </x:c>
      <x:c r="J728" s="31" t="inlineStr">
        <x:is>
          <x:t xml:space="preserve">СОТР-088</x:t>
        </x:is>
      </x:c>
      <x:c r="K728" s="31" t="n">
        <x:v>13.6</x:v>
      </x:c>
      <x:c r="L728" s="31" t="n">
        <x:v>11.9</x:v>
      </x:c>
      <x:c r="M728" s="31" t="n">
        <x:v>46157</x:v>
      </x:c>
      <x:c r="N728" s="31" t="n">
        <x:v>46159</x:v>
      </x:c>
      <x:c r="O728" s="31" t="n">
        <x:v>46157</x:v>
      </x:c>
      <x:c r="P728" s="31" t="n">
        <x:v>46161</x:v>
      </x:c>
      <x:c r="Q728" s="31" t="inlineStr">
        <x:is>
          <x:t xml:space="preserve">Завершено</x:t>
        </x:is>
      </x:c>
      <x:c r="R728" s="31" t="inlineStr">
        <x:is>
          <x:t xml:space="preserve">Нет</x:t>
        </x:is>
      </x:c>
      <x:c r="S728" s="31" t="inlineStr">
        <x:is>
          <x:t xml:space="preserve">Нет</x:t>
        </x:is>
      </x:c>
    </x:row>
    <x:row r="729">
      <x:c r="A729" s="31" t="inlineStr">
        <x:is>
          <x:t xml:space="preserve">ОП-000728</x:t>
        </x:is>
      </x:c>
      <x:c r="B729" s="31" t="inlineStr">
        <x:is>
          <x:t xml:space="preserve">ПЗ-00085</x:t>
        </x:is>
      </x:c>
      <x:c r="C729" s="31" t="inlineStr">
        <x:is>
          <x:t xml:space="preserve">ЗК-1046</x:t>
        </x:is>
      </x:c>
      <x:c r="D729" s="31" t="inlineStr">
        <x:is>
          <x:t xml:space="preserve">ПОЗ-0046-1</x:t>
        </x:is>
      </x:c>
      <x:c r="E729" s="31" t="inlineStr">
        <x:is>
          <x:t xml:space="preserve">ИЗД-030</x:t>
        </x:is>
      </x:c>
      <x:c r="F729" s="31" t="n">
        <x:v>80</x:v>
      </x:c>
      <x:c r="G729" s="31" t="inlineStr">
        <x:is>
          <x:t xml:space="preserve">Гидроиспытания</x:t>
        </x:is>
      </x:c>
      <x:c r="H729" s="31" t="inlineStr">
        <x:is>
          <x:t xml:space="preserve">ОТК</x:t>
        </x:is>
      </x:c>
      <x:c r="I729" s="31" t="inlineStr">
        <x:is>
          <x:t xml:space="preserve">ОБ-024</x:t>
        </x:is>
      </x:c>
      <x:c r="J729" s="31" t="inlineStr">
        <x:is>
          <x:t xml:space="preserve">СОТР-097</x:t>
        </x:is>
      </x:c>
      <x:c r="K729" s="31" t="n">
        <x:v>9.800000000000001</x:v>
      </x:c>
      <x:c r="L729" s="31" t="n">
        <x:v>12.7</x:v>
      </x:c>
      <x:c r="M729" s="31" t="n">
        <x:v>46159</x:v>
      </x:c>
      <x:c r="N729" s="31" t="n">
        <x:v>46160</x:v>
      </x:c>
      <x:c r="O729" s="31" t="n">
        <x:v>46159</x:v>
      </x:c>
      <x:c r="P729" s="31" t="n">
        <x:v>46160</x:v>
      </x:c>
      <x:c r="Q729" s="31" t="inlineStr">
        <x:is>
          <x:t xml:space="preserve">Завершено</x:t>
        </x:is>
      </x:c>
      <x:c r="R729" s="31" t="inlineStr">
        <x:is>
          <x:t xml:space="preserve">Нет</x:t>
        </x:is>
      </x:c>
      <x:c r="S729" s="31" t="inlineStr">
        <x:is>
          <x:t xml:space="preserve">Нет</x:t>
        </x:is>
      </x:c>
    </x:row>
    <x:row r="730">
      <x:c r="A730" s="31" t="inlineStr">
        <x:is>
          <x:t xml:space="preserve">ОП-000729</x:t>
        </x:is>
      </x:c>
      <x:c r="B730" s="31" t="inlineStr">
        <x:is>
          <x:t xml:space="preserve">ПЗ-00085</x:t>
        </x:is>
      </x:c>
      <x:c r="C730" s="31" t="inlineStr">
        <x:is>
          <x:t xml:space="preserve">ЗК-1046</x:t>
        </x:is>
      </x:c>
      <x:c r="D730" s="31" t="inlineStr">
        <x:is>
          <x:t xml:space="preserve">ПОЗ-0046-1</x:t>
        </x:is>
      </x:c>
      <x:c r="E730" s="31" t="inlineStr">
        <x:is>
          <x:t xml:space="preserve">ИЗД-030</x:t>
        </x:is>
      </x:c>
      <x:c r="F730" s="31" t="n">
        <x:v>90</x:v>
      </x:c>
      <x:c r="G730" s="31" t="inlineStr">
        <x:is>
          <x:t xml:space="preserve">ОТК</x:t>
        </x:is>
      </x:c>
      <x:c r="H730" s="31" t="inlineStr">
        <x:is>
          <x:t xml:space="preserve">ОТК</x:t>
        </x:is>
      </x:c>
      <x:c r="I730" s="31" t="inlineStr">
        <x:is>
          <x:t xml:space="preserve">ОБ-015</x:t>
        </x:is>
      </x:c>
      <x:c r="J730" s="31" t="inlineStr">
        <x:is>
          <x:t xml:space="preserve">СОТР-097</x:t>
        </x:is>
      </x:c>
      <x:c r="K730" s="31" t="n">
        <x:v>8</x:v>
      </x:c>
      <x:c r="L730" s="31" t="n">
        <x:v>6.6</x:v>
      </x:c>
      <x:c r="M730" s="31" t="n">
        <x:v>46160</x:v>
      </x:c>
      <x:c r="N730" s="31" t="n">
        <x:v>46161</x:v>
      </x:c>
      <x:c r="O730" s="31" t="n">
        <x:v>46160</x:v>
      </x:c>
      <x:c r="P730" s="31" t="n">
        <x:v>46161</x:v>
      </x:c>
      <x:c r="Q730" s="31" t="inlineStr">
        <x:is>
          <x:t xml:space="preserve">Завершено</x:t>
        </x:is>
      </x:c>
      <x:c r="R730" s="31" t="inlineStr">
        <x:is>
          <x:t xml:space="preserve">Ожидание ОТК</x:t>
        </x:is>
      </x:c>
      <x:c r="S730" s="31" t="inlineStr">
        <x:is>
          <x:t xml:space="preserve">Нет</x:t>
        </x:is>
      </x:c>
    </x:row>
    <x:row r="731">
      <x:c r="A731" s="31" t="inlineStr">
        <x:is>
          <x:t xml:space="preserve">ОП-000730</x:t>
        </x:is>
      </x:c>
      <x:c r="B731" s="31" t="inlineStr">
        <x:is>
          <x:t xml:space="preserve">ПЗ-00085</x:t>
        </x:is>
      </x:c>
      <x:c r="C731" s="31" t="inlineStr">
        <x:is>
          <x:t xml:space="preserve">ЗК-1046</x:t>
        </x:is>
      </x:c>
      <x:c r="D731" s="31" t="inlineStr">
        <x:is>
          <x:t xml:space="preserve">ПОЗ-0046-1</x:t>
        </x:is>
      </x:c>
      <x:c r="E731" s="31" t="inlineStr">
        <x:is>
          <x:t xml:space="preserve">ИЗД-030</x:t>
        </x:is>
      </x:c>
      <x:c r="F731" s="31" t="n">
        <x:v>100</x:v>
      </x:c>
      <x:c r="G731" s="31" t="inlineStr">
        <x:is>
          <x:t xml:space="preserve">Упаковка</x:t>
        </x:is>
      </x:c>
      <x:c r="H731" s="31" t="inlineStr">
        <x:is>
          <x:t xml:space="preserve">Логистика</x:t>
        </x:is>
      </x:c>
      <x:c r="I731" s="31" t="n"/>
      <x:c r="J731" s="31" t="inlineStr">
        <x:is>
          <x:t xml:space="preserve">СОТР-101</x:t>
        </x:is>
      </x:c>
      <x:c r="K731" s="31" t="n">
        <x:v>16.4</x:v>
      </x:c>
      <x:c r="L731" s="31" t="n">
        <x:v>14.7</x:v>
      </x:c>
      <x:c r="M731" s="31" t="n">
        <x:v>46161</x:v>
      </x:c>
      <x:c r="N731" s="31" t="n">
        <x:v>46163</x:v>
      </x:c>
      <x:c r="O731" s="31" t="n">
        <x:v>46161</x:v>
      </x:c>
      <x:c r="P731" s="31" t="n">
        <x:v>46165</x:v>
      </x:c>
      <x:c r="Q731" s="31" t="inlineStr">
        <x:is>
          <x:t xml:space="preserve">Завершено</x:t>
        </x:is>
      </x:c>
      <x:c r="R731" s="31" t="inlineStr">
        <x:is>
          <x:t xml:space="preserve">Нет</x:t>
        </x:is>
      </x:c>
      <x:c r="S731" s="31" t="inlineStr">
        <x:is>
          <x:t xml:space="preserve">Нет</x:t>
        </x:is>
      </x:c>
    </x:row>
    <x:row r="732">
      <x:c r="A732" s="31" t="inlineStr">
        <x:is>
          <x:t xml:space="preserve">ОП-000731</x:t>
        </x:is>
      </x:c>
      <x:c r="B732" s="31" t="inlineStr">
        <x:is>
          <x:t xml:space="preserve">ПЗ-00086</x:t>
        </x:is>
      </x:c>
      <x:c r="C732" s="31" t="inlineStr">
        <x:is>
          <x:t xml:space="preserve">ЗК-1046</x:t>
        </x:is>
      </x:c>
      <x:c r="D732" s="31" t="inlineStr">
        <x:is>
          <x:t xml:space="preserve">ПОЗ-0046-2</x:t>
        </x:is>
      </x:c>
      <x:c r="E732" s="31" t="inlineStr">
        <x:is>
          <x:t xml:space="preserve">ИЗД-001</x:t>
        </x:is>
      </x:c>
      <x:c r="F732" s="31" t="n">
        <x:v>10</x:v>
      </x:c>
      <x:c r="G732" s="31" t="inlineStr">
        <x:is>
          <x:t xml:space="preserve">Комплектация</x:t>
        </x:is>
      </x:c>
      <x:c r="H732" s="31" t="inlineStr">
        <x:is>
          <x:t xml:space="preserve">Склад</x:t>
        </x:is>
      </x:c>
      <x:c r="I732" s="31" t="inlineStr">
        <x:is>
          <x:t xml:space="preserve">ОБ-011</x:t>
        </x:is>
      </x:c>
      <x:c r="J732" s="31" t="inlineStr">
        <x:is>
          <x:t xml:space="preserve">СОТР-024</x:t>
        </x:is>
      </x:c>
      <x:c r="K732" s="31" t="n">
        <x:v>63</x:v>
      </x:c>
      <x:c r="L732" s="31" t="n"/>
      <x:c r="M732" s="31" t="n">
        <x:v>46142</x:v>
      </x:c>
      <x:c r="N732" s="31" t="n">
        <x:v>46148</x:v>
      </x:c>
      <x:c r="O732" s="31" t="n"/>
      <x:c r="P732" s="31" t="n"/>
      <x:c r="Q732" s="31" t="inlineStr">
        <x:is>
          <x:t xml:space="preserve">Блокировано</x:t>
        </x:is>
      </x:c>
      <x:c r="R732" s="31" t="inlineStr">
        <x:is>
          <x:t xml:space="preserve">Нет</x:t>
        </x:is>
      </x:c>
      <x:c r="S732" s="31" t="inlineStr">
        <x:is>
          <x:t xml:space="preserve">Нет</x:t>
        </x:is>
      </x:c>
    </x:row>
    <x:row r="733">
      <x:c r="A733" s="31" t="inlineStr">
        <x:is>
          <x:t xml:space="preserve">ОП-000732</x:t>
        </x:is>
      </x:c>
      <x:c r="B733" s="31" t="inlineStr">
        <x:is>
          <x:t xml:space="preserve">ПЗ-00086</x:t>
        </x:is>
      </x:c>
      <x:c r="C733" s="31" t="inlineStr">
        <x:is>
          <x:t xml:space="preserve">ЗК-1046</x:t>
        </x:is>
      </x:c>
      <x:c r="D733" s="31" t="inlineStr">
        <x:is>
          <x:t xml:space="preserve">ПОЗ-0046-2</x:t>
        </x:is>
      </x:c>
      <x:c r="E733" s="31" t="inlineStr">
        <x:is>
          <x:t xml:space="preserve">ИЗД-001</x:t>
        </x:is>
      </x:c>
      <x:c r="F733" s="31" t="n">
        <x:v>20</x:v>
      </x:c>
      <x:c r="G733" s="31" t="inlineStr">
        <x:is>
          <x:t xml:space="preserve">Входной контроль</x:t>
        </x:is>
      </x:c>
      <x:c r="H733" s="31" t="inlineStr">
        <x:is>
          <x:t xml:space="preserve">ОТК</x:t>
        </x:is>
      </x:c>
      <x:c r="I733" s="31" t="inlineStr">
        <x:is>
          <x:t xml:space="preserve">ОБ-032</x:t>
        </x:is>
      </x:c>
      <x:c r="J733" s="31" t="inlineStr">
        <x:is>
          <x:t xml:space="preserve">СОТР-093</x:t>
        </x:is>
      </x:c>
      <x:c r="K733" s="31" t="n">
        <x:v>100.5</x:v>
      </x:c>
      <x:c r="L733" s="31" t="n"/>
      <x:c r="M733" s="31" t="n">
        <x:v>46148</x:v>
      </x:c>
      <x:c r="N733" s="31" t="n">
        <x:v>46157</x:v>
      </x:c>
      <x:c r="O733" s="31" t="n"/>
      <x:c r="P733" s="31" t="n"/>
      <x:c r="Q733" s="31" t="inlineStr">
        <x:is>
          <x:t xml:space="preserve">Запланировано</x:t>
        </x:is>
      </x:c>
      <x:c r="R733" s="31" t="inlineStr">
        <x:is>
          <x:t xml:space="preserve">Нет</x:t>
        </x:is>
      </x:c>
      <x:c r="S733" s="31" t="inlineStr">
        <x:is>
          <x:t xml:space="preserve">Нет</x:t>
        </x:is>
      </x:c>
    </x:row>
    <x:row r="734">
      <x:c r="A734" s="31" t="inlineStr">
        <x:is>
          <x:t xml:space="preserve">ОП-000733</x:t>
        </x:is>
      </x:c>
      <x:c r="B734" s="31" t="inlineStr">
        <x:is>
          <x:t xml:space="preserve">ПЗ-00086</x:t>
        </x:is>
      </x:c>
      <x:c r="C734" s="31" t="inlineStr">
        <x:is>
          <x:t xml:space="preserve">ЗК-1046</x:t>
        </x:is>
      </x:c>
      <x:c r="D734" s="31" t="inlineStr">
        <x:is>
          <x:t xml:space="preserve">ПОЗ-0046-2</x:t>
        </x:is>
      </x:c>
      <x:c r="E734" s="31" t="inlineStr">
        <x:is>
          <x:t xml:space="preserve">ИЗД-001</x:t>
        </x:is>
      </x:c>
      <x:c r="F734" s="31" t="n">
        <x:v>30</x:v>
      </x:c>
      <x:c r="G734" s="31" t="inlineStr">
        <x:is>
          <x:t xml:space="preserve">Упаковка</x:t>
        </x:is>
      </x:c>
      <x:c r="H734" s="31" t="inlineStr">
        <x:is>
          <x:t xml:space="preserve">Логистика</x:t>
        </x:is>
      </x:c>
      <x:c r="I734" s="31" t="n"/>
      <x:c r="J734" s="31" t="inlineStr">
        <x:is>
          <x:t xml:space="preserve">СОТР-070</x:t>
        </x:is>
      </x:c>
      <x:c r="K734" s="31" t="n">
        <x:v>12</x:v>
      </x:c>
      <x:c r="L734" s="31" t="n"/>
      <x:c r="M734" s="31" t="n">
        <x:v>46157</x:v>
      </x:c>
      <x:c r="N734" s="31" t="n">
        <x:v>46158</x:v>
      </x:c>
      <x:c r="O734" s="31" t="n"/>
      <x:c r="P734" s="31" t="n"/>
      <x:c r="Q734" s="31" t="inlineStr">
        <x:is>
          <x:t xml:space="preserve">Запланировано</x:t>
        </x:is>
      </x:c>
      <x:c r="R734" s="31" t="inlineStr">
        <x:is>
          <x:t xml:space="preserve">Нет</x:t>
        </x:is>
      </x:c>
      <x:c r="S734" s="31" t="inlineStr">
        <x:is>
          <x:t xml:space="preserve">Нет</x:t>
        </x:is>
      </x:c>
    </x:row>
    <x:row r="735">
      <x:c r="A735" s="31" t="inlineStr">
        <x:is>
          <x:t xml:space="preserve">ОП-000734</x:t>
        </x:is>
      </x:c>
      <x:c r="B735" s="31" t="inlineStr">
        <x:is>
          <x:t xml:space="preserve">ПЗ-00086</x:t>
        </x:is>
      </x:c>
      <x:c r="C735" s="31" t="inlineStr">
        <x:is>
          <x:t xml:space="preserve">ЗК-1046</x:t>
        </x:is>
      </x:c>
      <x:c r="D735" s="31" t="inlineStr">
        <x:is>
          <x:t xml:space="preserve">ПОЗ-0046-2</x:t>
        </x:is>
      </x:c>
      <x:c r="E735" s="31" t="inlineStr">
        <x:is>
          <x:t xml:space="preserve">ИЗД-001</x:t>
        </x:is>
      </x:c>
      <x:c r="F735" s="31" t="n">
        <x:v>40</x:v>
      </x:c>
      <x:c r="G735" s="31" t="inlineStr">
        <x:is>
          <x:t xml:space="preserve">ОТК</x:t>
        </x:is>
      </x:c>
      <x:c r="H735" s="31" t="inlineStr">
        <x:is>
          <x:t xml:space="preserve">ОТК</x:t>
        </x:is>
      </x:c>
      <x:c r="I735" s="31" t="inlineStr">
        <x:is>
          <x:t xml:space="preserve">ОБ-006</x:t>
        </x:is>
      </x:c>
      <x:c r="J735" s="31" t="inlineStr">
        <x:is>
          <x:t xml:space="preserve">СОТР-098</x:t>
        </x:is>
      </x:c>
      <x:c r="K735" s="31" t="n">
        <x:v>37.5</x:v>
      </x:c>
      <x:c r="L735" s="31" t="n"/>
      <x:c r="M735" s="31" t="n">
        <x:v>46158</x:v>
      </x:c>
      <x:c r="N735" s="31" t="n">
        <x:v>46162</x:v>
      </x:c>
      <x:c r="O735" s="31" t="n"/>
      <x:c r="P735" s="31" t="n"/>
      <x:c r="Q735" s="31" t="inlineStr">
        <x:is>
          <x:t xml:space="preserve">Запланировано</x:t>
        </x:is>
      </x:c>
      <x:c r="R735" s="31" t="inlineStr">
        <x:is>
          <x:t xml:space="preserve">Оборудование</x:t>
        </x:is>
      </x:c>
      <x:c r="S735" s="31" t="inlineStr">
        <x:is>
          <x:t xml:space="preserve">Нет</x:t>
        </x:is>
      </x:c>
    </x:row>
    <x:row r="736">
      <x:c r="A736" s="31" t="inlineStr">
        <x:is>
          <x:t xml:space="preserve">ОП-000735</x:t>
        </x:is>
      </x:c>
      <x:c r="B736" s="31" t="inlineStr">
        <x:is>
          <x:t xml:space="preserve">ПЗ-00087</x:t>
        </x:is>
      </x:c>
      <x:c r="C736" s="31" t="inlineStr">
        <x:is>
          <x:t xml:space="preserve">ЗК-1047</x:t>
        </x:is>
      </x:c>
      <x:c r="D736" s="31" t="inlineStr">
        <x:is>
          <x:t xml:space="preserve">ПОЗ-0047-1</x:t>
        </x:is>
      </x:c>
      <x:c r="E736" s="31" t="inlineStr">
        <x:is>
          <x:t xml:space="preserve">ИЗД-027</x:t>
        </x:is>
      </x:c>
      <x:c r="F736" s="31" t="n">
        <x:v>10</x:v>
      </x:c>
      <x:c r="G736" s="31" t="inlineStr">
        <x:is>
          <x:t xml:space="preserve">КД</x:t>
        </x:is>
      </x:c>
      <x:c r="H736" s="31" t="inlineStr">
        <x:is>
          <x:t xml:space="preserve">Инженерный отдел</x:t>
        </x:is>
      </x:c>
      <x:c r="I736" s="31" t="n"/>
      <x:c r="J736" s="31" t="inlineStr">
        <x:is>
          <x:t xml:space="preserve">СОТР-021</x:t>
        </x:is>
      </x:c>
      <x:c r="K736" s="31" t="n">
        <x:v>57.6</x:v>
      </x:c>
      <x:c r="L736" s="31" t="n">
        <x:v>47.7</x:v>
      </x:c>
      <x:c r="M736" s="31" t="n">
        <x:v>46141</x:v>
      </x:c>
      <x:c r="N736" s="31" t="n">
        <x:v>46146</x:v>
      </x:c>
      <x:c r="O736" s="31" t="n">
        <x:v>46141</x:v>
      </x:c>
      <x:c r="P736" s="31" t="n">
        <x:v>46147</x:v>
      </x:c>
      <x:c r="Q736" s="31" t="inlineStr">
        <x:is>
          <x:t xml:space="preserve">Завершено</x:t>
        </x:is>
      </x:c>
      <x:c r="R736" s="31" t="inlineStr">
        <x:is>
          <x:t xml:space="preserve">Нет</x:t>
        </x:is>
      </x:c>
      <x:c r="S736" s="31" t="inlineStr">
        <x:is>
          <x:t xml:space="preserve">Нет</x:t>
        </x:is>
      </x:c>
    </x:row>
    <x:row r="737">
      <x:c r="A737" s="31" t="inlineStr">
        <x:is>
          <x:t xml:space="preserve">ОП-000736</x:t>
        </x:is>
      </x:c>
      <x:c r="B737" s="31" t="inlineStr">
        <x:is>
          <x:t xml:space="preserve">ПЗ-00087</x:t>
        </x:is>
      </x:c>
      <x:c r="C737" s="31" t="inlineStr">
        <x:is>
          <x:t xml:space="preserve">ЗК-1047</x:t>
        </x:is>
      </x:c>
      <x:c r="D737" s="31" t="inlineStr">
        <x:is>
          <x:t xml:space="preserve">ПОЗ-0047-1</x:t>
        </x:is>
      </x:c>
      <x:c r="E737" s="31" t="inlineStr">
        <x:is>
          <x:t xml:space="preserve">ИЗД-027</x:t>
        </x:is>
      </x:c>
      <x:c r="F737" s="31" t="n">
        <x:v>20</x:v>
      </x:c>
      <x:c r="G737" s="31" t="inlineStr">
        <x:is>
          <x:t xml:space="preserve">Резерв материалов</x:t>
        </x:is>
      </x:c>
      <x:c r="H737" s="31" t="inlineStr">
        <x:is>
          <x:t xml:space="preserve">Склад</x:t>
        </x:is>
      </x:c>
      <x:c r="I737" s="31" t="inlineStr">
        <x:is>
          <x:t xml:space="preserve">ОБ-008</x:t>
        </x:is>
      </x:c>
      <x:c r="J737" s="31" t="inlineStr">
        <x:is>
          <x:t xml:space="preserve">СОТР-039</x:t>
        </x:is>
      </x:c>
      <x:c r="K737" s="31" t="n">
        <x:v>8.699999999999999</x:v>
      </x:c>
      <x:c r="L737" s="31" t="n">
        <x:v>10.7</x:v>
      </x:c>
      <x:c r="M737" s="31" t="n">
        <x:v>46146</x:v>
      </x:c>
      <x:c r="N737" s="31" t="n">
        <x:v>46147</x:v>
      </x:c>
      <x:c r="O737" s="31" t="n">
        <x:v>46146</x:v>
      </x:c>
      <x:c r="P737" s="31" t="n">
        <x:v>46147</x:v>
      </x:c>
      <x:c r="Q737" s="31" t="inlineStr">
        <x:is>
          <x:t xml:space="preserve">Завершено</x:t>
        </x:is>
      </x:c>
      <x:c r="R737" s="31" t="inlineStr">
        <x:is>
          <x:t xml:space="preserve">Нет</x:t>
        </x:is>
      </x:c>
      <x:c r="S737" s="31" t="inlineStr">
        <x:is>
          <x:t xml:space="preserve">Нет</x:t>
        </x:is>
      </x:c>
    </x:row>
    <x:row r="738">
      <x:c r="A738" s="31" t="inlineStr">
        <x:is>
          <x:t xml:space="preserve">ОП-000737</x:t>
        </x:is>
      </x:c>
      <x:c r="B738" s="31" t="inlineStr">
        <x:is>
          <x:t xml:space="preserve">ПЗ-00087</x:t>
        </x:is>
      </x:c>
      <x:c r="C738" s="31" t="inlineStr">
        <x:is>
          <x:t xml:space="preserve">ЗК-1047</x:t>
        </x:is>
      </x:c>
      <x:c r="D738" s="31" t="inlineStr">
        <x:is>
          <x:t xml:space="preserve">ПОЗ-0047-1</x:t>
        </x:is>
      </x:c>
      <x:c r="E738" s="31" t="inlineStr">
        <x:is>
          <x:t xml:space="preserve">ИЗД-027</x:t>
        </x:is>
      </x:c>
      <x:c r="F738" s="31" t="n">
        <x:v>30</x:v>
      </x:c>
      <x:c r="G738" s="31" t="inlineStr">
        <x:is>
          <x:t xml:space="preserve">Сварка рамы</x:t>
        </x:is>
      </x:c>
      <x:c r="H738" s="31" t="inlineStr">
        <x:is>
          <x:t xml:space="preserve">Сварка</x:t>
        </x:is>
      </x:c>
      <x:c r="I738" s="31" t="inlineStr">
        <x:is>
          <x:t xml:space="preserve">ОБ-010</x:t>
        </x:is>
      </x:c>
      <x:c r="J738" s="31" t="inlineStr">
        <x:is>
          <x:t xml:space="preserve">СОТР-065</x:t>
        </x:is>
      </x:c>
      <x:c r="K738" s="31" t="n">
        <x:v>39.6</x:v>
      </x:c>
      <x:c r="L738" s="31" t="n">
        <x:v>35.6</x:v>
      </x:c>
      <x:c r="M738" s="31" t="n">
        <x:v>46147</x:v>
      </x:c>
      <x:c r="N738" s="31" t="n">
        <x:v>46151</x:v>
      </x:c>
      <x:c r="O738" s="31" t="n">
        <x:v>46147</x:v>
      </x:c>
      <x:c r="P738" s="31" t="n">
        <x:v>46150</x:v>
      </x:c>
      <x:c r="Q738" s="31" t="inlineStr">
        <x:is>
          <x:t xml:space="preserve">Завершено</x:t>
        </x:is>
      </x:c>
      <x:c r="R738" s="31" t="inlineStr">
        <x:is>
          <x:t xml:space="preserve">Нет</x:t>
        </x:is>
      </x:c>
      <x:c r="S738" s="31" t="inlineStr">
        <x:is>
          <x:t xml:space="preserve">Нет</x:t>
        </x:is>
      </x:c>
    </x:row>
    <x:row r="739">
      <x:c r="A739" s="31" t="inlineStr">
        <x:is>
          <x:t xml:space="preserve">ОП-000738</x:t>
        </x:is>
      </x:c>
      <x:c r="B739" s="31" t="inlineStr">
        <x:is>
          <x:t xml:space="preserve">ПЗ-00087</x:t>
        </x:is>
      </x:c>
      <x:c r="C739" s="31" t="inlineStr">
        <x:is>
          <x:t xml:space="preserve">ЗК-1047</x:t>
        </x:is>
      </x:c>
      <x:c r="D739" s="31" t="inlineStr">
        <x:is>
          <x:t xml:space="preserve">ПОЗ-0047-1</x:t>
        </x:is>
      </x:c>
      <x:c r="E739" s="31" t="inlineStr">
        <x:is>
          <x:t xml:space="preserve">ИЗД-027</x:t>
        </x:is>
      </x:c>
      <x:c r="F739" s="31" t="n">
        <x:v>40</x:v>
      </x:c>
      <x:c r="G739" s="31" t="inlineStr">
        <x:is>
          <x:t xml:space="preserve">Сборка</x:t>
        </x:is>
      </x:c>
      <x:c r="H739" s="31" t="inlineStr">
        <x:is>
          <x:t xml:space="preserve">Сборка</x:t>
        </x:is>
      </x:c>
      <x:c r="I739" s="31" t="inlineStr">
        <x:is>
          <x:t xml:space="preserve">ОБ-027</x:t>
        </x:is>
      </x:c>
      <x:c r="J739" s="31" t="inlineStr">
        <x:is>
          <x:t xml:space="preserve">СОТР-084</x:t>
        </x:is>
      </x:c>
      <x:c r="K739" s="31" t="n">
        <x:v>26.7</x:v>
      </x:c>
      <x:c r="L739" s="31" t="n">
        <x:v>27.1</x:v>
      </x:c>
      <x:c r="M739" s="31" t="n">
        <x:v>46151</x:v>
      </x:c>
      <x:c r="N739" s="31" t="n">
        <x:v>46154</x:v>
      </x:c>
      <x:c r="O739" s="31" t="n">
        <x:v>46151</x:v>
      </x:c>
      <x:c r="P739" s="31" t="n">
        <x:v>46156</x:v>
      </x:c>
      <x:c r="Q739" s="31" t="inlineStr">
        <x:is>
          <x:t xml:space="preserve">Завершено</x:t>
        </x:is>
      </x:c>
      <x:c r="R739" s="31" t="inlineStr">
        <x:is>
          <x:t xml:space="preserve">Нет</x:t>
        </x:is>
      </x:c>
      <x:c r="S739" s="31" t="inlineStr">
        <x:is>
          <x:t xml:space="preserve">Нет</x:t>
        </x:is>
      </x:c>
    </x:row>
    <x:row r="740">
      <x:c r="A740" s="31" t="inlineStr">
        <x:is>
          <x:t xml:space="preserve">ОП-000739</x:t>
        </x:is>
      </x:c>
      <x:c r="B740" s="31" t="inlineStr">
        <x:is>
          <x:t xml:space="preserve">ПЗ-00087</x:t>
        </x:is>
      </x:c>
      <x:c r="C740" s="31" t="inlineStr">
        <x:is>
          <x:t xml:space="preserve">ЗК-1047</x:t>
        </x:is>
      </x:c>
      <x:c r="D740" s="31" t="inlineStr">
        <x:is>
          <x:t xml:space="preserve">ПОЗ-0047-1</x:t>
        </x:is>
      </x:c>
      <x:c r="E740" s="31" t="inlineStr">
        <x:is>
          <x:t xml:space="preserve">ИЗД-027</x:t>
        </x:is>
      </x:c>
      <x:c r="F740" s="31" t="n">
        <x:v>50</x:v>
      </x:c>
      <x:c r="G740" s="31" t="inlineStr">
        <x:is>
          <x:t xml:space="preserve">Обвязка труб</x:t>
        </x:is>
      </x:c>
      <x:c r="H740" s="31" t="inlineStr">
        <x:is>
          <x:t xml:space="preserve">Сборка</x:t>
        </x:is>
      </x:c>
      <x:c r="I740" s="31" t="inlineStr">
        <x:is>
          <x:t xml:space="preserve">ОБ-012</x:t>
        </x:is>
      </x:c>
      <x:c r="J740" s="31" t="inlineStr">
        <x:is>
          <x:t xml:space="preserve">СОТР-091</x:t>
        </x:is>
      </x:c>
      <x:c r="K740" s="31" t="n">
        <x:v>54</x:v>
      </x:c>
      <x:c r="L740" s="31" t="n">
        <x:v>71.3</x:v>
      </x:c>
      <x:c r="M740" s="31" t="n">
        <x:v>46154</x:v>
      </x:c>
      <x:c r="N740" s="31" t="n">
        <x:v>46159</x:v>
      </x:c>
      <x:c r="O740" s="31" t="n">
        <x:v>46154</x:v>
      </x:c>
      <x:c r="P740" s="31" t="n">
        <x:v>46159</x:v>
      </x:c>
      <x:c r="Q740" s="31" t="inlineStr">
        <x:is>
          <x:t xml:space="preserve">Завершено</x:t>
        </x:is>
      </x:c>
      <x:c r="R740" s="31" t="inlineStr">
        <x:is>
          <x:t xml:space="preserve">Нет</x:t>
        </x:is>
      </x:c>
      <x:c r="S740" s="31" t="inlineStr">
        <x:is>
          <x:t xml:space="preserve">Нет</x:t>
        </x:is>
      </x:c>
    </x:row>
    <x:row r="741">
      <x:c r="A741" s="31" t="inlineStr">
        <x:is>
          <x:t xml:space="preserve">ОП-000740</x:t>
        </x:is>
      </x:c>
      <x:c r="B741" s="31" t="inlineStr">
        <x:is>
          <x:t xml:space="preserve">ПЗ-00087</x:t>
        </x:is>
      </x:c>
      <x:c r="C741" s="31" t="inlineStr">
        <x:is>
          <x:t xml:space="preserve">ЗК-1047</x:t>
        </x:is>
      </x:c>
      <x:c r="D741" s="31" t="inlineStr">
        <x:is>
          <x:t xml:space="preserve">ПОЗ-0047-1</x:t>
        </x:is>
      </x:c>
      <x:c r="E741" s="31" t="inlineStr">
        <x:is>
          <x:t xml:space="preserve">ИЗД-027</x:t>
        </x:is>
      </x:c>
      <x:c r="F741" s="31" t="n">
        <x:v>60</x:v>
      </x:c>
      <x:c r="G741" s="31" t="inlineStr">
        <x:is>
          <x:t xml:space="preserve">Электромонтаж</x:t>
        </x:is>
      </x:c>
      <x:c r="H741" s="31" t="inlineStr">
        <x:is>
          <x:t xml:space="preserve">Сборка</x:t>
        </x:is>
      </x:c>
      <x:c r="I741" s="31" t="inlineStr">
        <x:is>
          <x:t xml:space="preserve">ОБ-020</x:t>
        </x:is>
      </x:c>
      <x:c r="J741" s="31" t="inlineStr">
        <x:is>
          <x:t xml:space="preserve">СОТР-088</x:t>
        </x:is>
      </x:c>
      <x:c r="K741" s="31" t="n">
        <x:v>48</x:v>
      </x:c>
      <x:c r="L741" s="31" t="n">
        <x:v>59.4</x:v>
      </x:c>
      <x:c r="M741" s="31" t="n">
        <x:v>46159</x:v>
      </x:c>
      <x:c r="N741" s="31" t="n">
        <x:v>46163</x:v>
      </x:c>
      <x:c r="O741" s="31" t="n">
        <x:v>46159</x:v>
      </x:c>
      <x:c r="P741" s="31" t="n">
        <x:v>46162</x:v>
      </x:c>
      <x:c r="Q741" s="31" t="inlineStr">
        <x:is>
          <x:t xml:space="preserve">Завершено</x:t>
        </x:is>
      </x:c>
      <x:c r="R741" s="31" t="inlineStr">
        <x:is>
          <x:t xml:space="preserve">Нет</x:t>
        </x:is>
      </x:c>
      <x:c r="S741" s="31" t="inlineStr">
        <x:is>
          <x:t xml:space="preserve">Нет</x:t>
        </x:is>
      </x:c>
    </x:row>
    <x:row r="742">
      <x:c r="A742" s="31" t="inlineStr">
        <x:is>
          <x:t xml:space="preserve">ОП-000741</x:t>
        </x:is>
      </x:c>
      <x:c r="B742" s="31" t="inlineStr">
        <x:is>
          <x:t xml:space="preserve">ПЗ-00087</x:t>
        </x:is>
      </x:c>
      <x:c r="C742" s="31" t="inlineStr">
        <x:is>
          <x:t xml:space="preserve">ЗК-1047</x:t>
        </x:is>
      </x:c>
      <x:c r="D742" s="31" t="inlineStr">
        <x:is>
          <x:t xml:space="preserve">ПОЗ-0047-1</x:t>
        </x:is>
      </x:c>
      <x:c r="E742" s="31" t="inlineStr">
        <x:is>
          <x:t xml:space="preserve">ИЗД-027</x:t>
        </x:is>
      </x:c>
      <x:c r="F742" s="31" t="n">
        <x:v>70</x:v>
      </x:c>
      <x:c r="G742" s="31" t="inlineStr">
        <x:is>
          <x:t xml:space="preserve">Гидроиспытания</x:t>
        </x:is>
      </x:c>
      <x:c r="H742" s="31" t="inlineStr">
        <x:is>
          <x:t xml:space="preserve">ОТК</x:t>
        </x:is>
      </x:c>
      <x:c r="I742" s="31" t="inlineStr">
        <x:is>
          <x:t xml:space="preserve">ОБ-033</x:t>
        </x:is>
      </x:c>
      <x:c r="J742" s="31" t="inlineStr">
        <x:is>
          <x:t xml:space="preserve">СОТР-063</x:t>
        </x:is>
      </x:c>
      <x:c r="K742" s="31" t="n">
        <x:v>36.6</x:v>
      </x:c>
      <x:c r="L742" s="31" t="n">
        <x:v>40</x:v>
      </x:c>
      <x:c r="M742" s="31" t="n">
        <x:v>46163</x:v>
      </x:c>
      <x:c r="N742" s="31" t="n">
        <x:v>46167</x:v>
      </x:c>
      <x:c r="O742" s="31" t="n">
        <x:v>46163</x:v>
      </x:c>
      <x:c r="P742" s="31" t="n">
        <x:v>46166</x:v>
      </x:c>
      <x:c r="Q742" s="31" t="inlineStr">
        <x:is>
          <x:t xml:space="preserve">Завершено</x:t>
        </x:is>
      </x:c>
      <x:c r="R742" s="31" t="inlineStr">
        <x:is>
          <x:t xml:space="preserve">Ожидание ОТК</x:t>
        </x:is>
      </x:c>
      <x:c r="S742" s="31" t="inlineStr">
        <x:is>
          <x:t xml:space="preserve">Нет</x:t>
        </x:is>
      </x:c>
    </x:row>
    <x:row r="743">
      <x:c r="A743" s="31" t="inlineStr">
        <x:is>
          <x:t xml:space="preserve">ОП-000742</x:t>
        </x:is>
      </x:c>
      <x:c r="B743" s="31" t="inlineStr">
        <x:is>
          <x:t xml:space="preserve">ПЗ-00087</x:t>
        </x:is>
      </x:c>
      <x:c r="C743" s="31" t="inlineStr">
        <x:is>
          <x:t xml:space="preserve">ЗК-1047</x:t>
        </x:is>
      </x:c>
      <x:c r="D743" s="31" t="inlineStr">
        <x:is>
          <x:t xml:space="preserve">ПОЗ-0047-1</x:t>
        </x:is>
      </x:c>
      <x:c r="E743" s="31" t="inlineStr">
        <x:is>
          <x:t xml:space="preserve">ИЗД-027</x:t>
        </x:is>
      </x:c>
      <x:c r="F743" s="31" t="n">
        <x:v>80</x:v>
      </x:c>
      <x:c r="G743" s="31" t="inlineStr">
        <x:is>
          <x:t xml:space="preserve">ОТК</x:t>
        </x:is>
      </x:c>
      <x:c r="H743" s="31" t="inlineStr">
        <x:is>
          <x:t xml:space="preserve">ОТК</x:t>
        </x:is>
      </x:c>
      <x:c r="I743" s="31" t="inlineStr">
        <x:is>
          <x:t xml:space="preserve">ОБ-015</x:t>
        </x:is>
      </x:c>
      <x:c r="J743" s="31" t="inlineStr">
        <x:is>
          <x:t xml:space="preserve">СОТР-097</x:t>
        </x:is>
      </x:c>
      <x:c r="K743" s="31" t="n">
        <x:v>42.3</x:v>
      </x:c>
      <x:c r="L743" s="31" t="n">
        <x:v>52.6</x:v>
      </x:c>
      <x:c r="M743" s="31" t="n">
        <x:v>46167</x:v>
      </x:c>
      <x:c r="N743" s="31" t="n">
        <x:v>46171</x:v>
      </x:c>
      <x:c r="O743" s="31" t="n">
        <x:v>46167</x:v>
      </x:c>
      <x:c r="P743" s="31" t="n">
        <x:v>46173</x:v>
      </x:c>
      <x:c r="Q743" s="31" t="inlineStr">
        <x:is>
          <x:t xml:space="preserve">Завершено</x:t>
        </x:is>
      </x:c>
      <x:c r="R743" s="31" t="inlineStr">
        <x:is>
          <x:t xml:space="preserve">Нет</x:t>
        </x:is>
      </x:c>
      <x:c r="S743" s="31" t="inlineStr">
        <x:is>
          <x:t xml:space="preserve">Нет</x:t>
        </x:is>
      </x:c>
    </x:row>
    <x:row r="744">
      <x:c r="A744" s="31" t="inlineStr">
        <x:is>
          <x:t xml:space="preserve">ОП-000743</x:t>
        </x:is>
      </x:c>
      <x:c r="B744" s="31" t="inlineStr">
        <x:is>
          <x:t xml:space="preserve">ПЗ-00087</x:t>
        </x:is>
      </x:c>
      <x:c r="C744" s="31" t="inlineStr">
        <x:is>
          <x:t xml:space="preserve">ЗК-1047</x:t>
        </x:is>
      </x:c>
      <x:c r="D744" s="31" t="inlineStr">
        <x:is>
          <x:t xml:space="preserve">ПОЗ-0047-1</x:t>
        </x:is>
      </x:c>
      <x:c r="E744" s="31" t="inlineStr">
        <x:is>
          <x:t xml:space="preserve">ИЗД-027</x:t>
        </x:is>
      </x:c>
      <x:c r="F744" s="31" t="n">
        <x:v>90</x:v>
      </x:c>
      <x:c r="G744" s="31" t="inlineStr">
        <x:is>
          <x:t xml:space="preserve">Упаковка</x:t>
        </x:is>
      </x:c>
      <x:c r="H744" s="31" t="inlineStr">
        <x:is>
          <x:t xml:space="preserve">Логистика</x:t>
        </x:is>
      </x:c>
      <x:c r="I744" s="31" t="n"/>
      <x:c r="J744" s="31" t="inlineStr">
        <x:is>
          <x:t xml:space="preserve">СОТР-070</x:t>
        </x:is>
      </x:c>
      <x:c r="K744" s="31" t="n">
        <x:v>24.3</x:v>
      </x:c>
      <x:c r="L744" s="31" t="n">
        <x:v>31</x:v>
      </x:c>
      <x:c r="M744" s="31" t="n">
        <x:v>46171</x:v>
      </x:c>
      <x:c r="N744" s="31" t="n">
        <x:v>46174</x:v>
      </x:c>
      <x:c r="O744" s="31" t="n">
        <x:v>46171</x:v>
      </x:c>
      <x:c r="P744" s="31" t="n">
        <x:v>46173</x:v>
      </x:c>
      <x:c r="Q744" s="31" t="inlineStr">
        <x:is>
          <x:t xml:space="preserve">Завершено</x:t>
        </x:is>
      </x:c>
      <x:c r="R744" s="31" t="inlineStr">
        <x:is>
          <x:t xml:space="preserve">Нет</x:t>
        </x:is>
      </x:c>
      <x:c r="S744" s="31" t="inlineStr">
        <x:is>
          <x:t xml:space="preserve">Нет</x:t>
        </x:is>
      </x:c>
    </x:row>
    <x:row r="745">
      <x:c r="A745" s="31" t="inlineStr">
        <x:is>
          <x:t xml:space="preserve">ОП-000744</x:t>
        </x:is>
      </x:c>
      <x:c r="B745" s="31" t="inlineStr">
        <x:is>
          <x:t xml:space="preserve">ПЗ-00088</x:t>
        </x:is>
      </x:c>
      <x:c r="C745" s="31" t="inlineStr">
        <x:is>
          <x:t xml:space="preserve">ЗК-1047</x:t>
        </x:is>
      </x:c>
      <x:c r="D745" s="31" t="inlineStr">
        <x:is>
          <x:t xml:space="preserve">ПОЗ-0047-2</x:t>
        </x:is>
      </x:c>
      <x:c r="E745" s="31" t="inlineStr">
        <x:is>
          <x:t xml:space="preserve">ИЗД-041</x:t>
        </x:is>
      </x:c>
      <x:c r="F745" s="31" t="n">
        <x:v>10</x:v>
      </x:c>
      <x:c r="G745" s="31" t="inlineStr">
        <x:is>
          <x:t xml:space="preserve">КД</x:t>
        </x:is>
      </x:c>
      <x:c r="H745" s="31" t="inlineStr">
        <x:is>
          <x:t xml:space="preserve">Инженерный отдел</x:t>
        </x:is>
      </x:c>
      <x:c r="I745" s="31" t="n"/>
      <x:c r="J745" s="31" t="inlineStr">
        <x:is>
          <x:t xml:space="preserve">СОТР-019</x:t>
        </x:is>
      </x:c>
      <x:c r="K745" s="31" t="n">
        <x:v>15</x:v>
      </x:c>
      <x:c r="L745" s="31" t="n"/>
      <x:c r="M745" s="31" t="n">
        <x:v>46131</x:v>
      </x:c>
      <x:c r="N745" s="31" t="n">
        <x:v>46133</x:v>
      </x:c>
      <x:c r="O745" s="31" t="n">
        <x:v>46131</x:v>
      </x:c>
      <x:c r="P745" s="31" t="n"/>
      <x:c r="Q745" s="31" t="inlineStr">
        <x:is>
          <x:t xml:space="preserve">В работе</x:t>
        </x:is>
      </x:c>
      <x:c r="R745" s="31" t="inlineStr">
        <x:is>
          <x:t xml:space="preserve">Нет</x:t>
        </x:is>
      </x:c>
      <x:c r="S745" s="31" t="inlineStr">
        <x:is>
          <x:t xml:space="preserve">Нет</x:t>
        </x:is>
      </x:c>
    </x:row>
    <x:row r="746">
      <x:c r="A746" s="31" t="inlineStr">
        <x:is>
          <x:t xml:space="preserve">ОП-000745</x:t>
        </x:is>
      </x:c>
      <x:c r="B746" s="31" t="inlineStr">
        <x:is>
          <x:t xml:space="preserve">ПЗ-00088</x:t>
        </x:is>
      </x:c>
      <x:c r="C746" s="31" t="inlineStr">
        <x:is>
          <x:t xml:space="preserve">ЗК-1047</x:t>
        </x:is>
      </x:c>
      <x:c r="D746" s="31" t="inlineStr">
        <x:is>
          <x:t xml:space="preserve">ПОЗ-0047-2</x:t>
        </x:is>
      </x:c>
      <x:c r="E746" s="31" t="inlineStr">
        <x:is>
          <x:t xml:space="preserve">ИЗД-041</x:t>
        </x:is>
      </x:c>
      <x:c r="F746" s="31" t="n">
        <x:v>20</x:v>
      </x:c>
      <x:c r="G746" s="31" t="inlineStr">
        <x:is>
          <x:t xml:space="preserve">Резка металла</x:t>
        </x:is>
      </x:c>
      <x:c r="H746" s="31" t="inlineStr">
        <x:is>
          <x:t xml:space="preserve">Сварка</x:t>
        </x:is>
      </x:c>
      <x:c r="I746" s="31" t="inlineStr">
        <x:is>
          <x:t xml:space="preserve">ОБ-003</x:t>
        </x:is>
      </x:c>
      <x:c r="J746" s="31" t="inlineStr">
        <x:is>
          <x:t xml:space="preserve">СОТР-062</x:t>
        </x:is>
      </x:c>
      <x:c r="K746" s="31" t="n">
        <x:v>2.2</x:v>
      </x:c>
      <x:c r="L746" s="31" t="n">
        <x:v>2.1</x:v>
      </x:c>
      <x:c r="M746" s="31" t="n">
        <x:v>46133</x:v>
      </x:c>
      <x:c r="N746" s="31" t="n">
        <x:v>46134</x:v>
      </x:c>
      <x:c r="O746" s="31" t="n">
        <x:v>46133</x:v>
      </x:c>
      <x:c r="P746" s="31" t="n">
        <x:v>46135</x:v>
      </x:c>
      <x:c r="Q746" s="31" t="inlineStr">
        <x:is>
          <x:t xml:space="preserve">Завершено</x:t>
        </x:is>
      </x:c>
      <x:c r="R746" s="31" t="inlineStr">
        <x:is>
          <x:t xml:space="preserve">Нет</x:t>
        </x:is>
      </x:c>
      <x:c r="S746" s="31" t="inlineStr">
        <x:is>
          <x:t xml:space="preserve">Нет</x:t>
        </x:is>
      </x:c>
    </x:row>
    <x:row r="747">
      <x:c r="A747" s="31" t="inlineStr">
        <x:is>
          <x:t xml:space="preserve">ОП-000746</x:t>
        </x:is>
      </x:c>
      <x:c r="B747" s="31" t="inlineStr">
        <x:is>
          <x:t xml:space="preserve">ПЗ-00088</x:t>
        </x:is>
      </x:c>
      <x:c r="C747" s="31" t="inlineStr">
        <x:is>
          <x:t xml:space="preserve">ЗК-1047</x:t>
        </x:is>
      </x:c>
      <x:c r="D747" s="31" t="inlineStr">
        <x:is>
          <x:t xml:space="preserve">ПОЗ-0047-2</x:t>
        </x:is>
      </x:c>
      <x:c r="E747" s="31" t="inlineStr">
        <x:is>
          <x:t xml:space="preserve">ИЗД-041</x:t>
        </x:is>
      </x:c>
      <x:c r="F747" s="31" t="n">
        <x:v>30</x:v>
      </x:c>
      <x:c r="G747" s="31" t="inlineStr">
        <x:is>
          <x:t xml:space="preserve">Сварка рамы</x:t>
        </x:is>
      </x:c>
      <x:c r="H747" s="31" t="inlineStr">
        <x:is>
          <x:t xml:space="preserve">Сварка</x:t>
        </x:is>
      </x:c>
      <x:c r="I747" s="31" t="inlineStr">
        <x:is>
          <x:t xml:space="preserve">ОБ-003</x:t>
        </x:is>
      </x:c>
      <x:c r="J747" s="31" t="inlineStr">
        <x:is>
          <x:t xml:space="preserve">СОТР-061</x:t>
        </x:is>
      </x:c>
      <x:c r="K747" s="31" t="n">
        <x:v>19</x:v>
      </x:c>
      <x:c r="L747" s="31" t="n"/>
      <x:c r="M747" s="31" t="n">
        <x:v>46134</x:v>
      </x:c>
      <x:c r="N747" s="31" t="n">
        <x:v>46136</x:v>
      </x:c>
      <x:c r="O747" s="31" t="n"/>
      <x:c r="P747" s="31" t="n"/>
      <x:c r="Q747" s="31" t="inlineStr">
        <x:is>
          <x:t xml:space="preserve">Запланировано</x:t>
        </x:is>
      </x:c>
      <x:c r="R747" s="31" t="inlineStr">
        <x:is>
          <x:t xml:space="preserve">Материал</x:t>
        </x:is>
      </x:c>
      <x:c r="S747" s="31" t="inlineStr">
        <x:is>
          <x:t xml:space="preserve">Нет</x:t>
        </x:is>
      </x:c>
    </x:row>
    <x:row r="748">
      <x:c r="A748" s="31" t="inlineStr">
        <x:is>
          <x:t xml:space="preserve">ОП-000747</x:t>
        </x:is>
      </x:c>
      <x:c r="B748" s="31" t="inlineStr">
        <x:is>
          <x:t xml:space="preserve">ПЗ-00088</x:t>
        </x:is>
      </x:c>
      <x:c r="C748" s="31" t="inlineStr">
        <x:is>
          <x:t xml:space="preserve">ЗК-1047</x:t>
        </x:is>
      </x:c>
      <x:c r="D748" s="31" t="inlineStr">
        <x:is>
          <x:t xml:space="preserve">ПОЗ-0047-2</x:t>
        </x:is>
      </x:c>
      <x:c r="E748" s="31" t="inlineStr">
        <x:is>
          <x:t xml:space="preserve">ИЗД-041</x:t>
        </x:is>
      </x:c>
      <x:c r="F748" s="31" t="n">
        <x:v>40</x:v>
      </x:c>
      <x:c r="G748" s="31" t="inlineStr">
        <x:is>
          <x:t xml:space="preserve">Пескоструй</x:t>
        </x:is>
      </x:c>
      <x:c r="H748" s="31" t="inlineStr">
        <x:is>
          <x:t xml:space="preserve">Сварка</x:t>
        </x:is>
      </x:c>
      <x:c r="I748" s="31" t="inlineStr">
        <x:is>
          <x:t xml:space="preserve">ОБ-004</x:t>
        </x:is>
      </x:c>
      <x:c r="J748" s="31" t="inlineStr">
        <x:is>
          <x:t xml:space="preserve">СОТР-062</x:t>
        </x:is>
      </x:c>
      <x:c r="K748" s="31" t="n">
        <x:v>19.8</x:v>
      </x:c>
      <x:c r="L748" s="31" t="n"/>
      <x:c r="M748" s="31" t="n">
        <x:v>46136</x:v>
      </x:c>
      <x:c r="N748" s="31" t="n">
        <x:v>46138</x:v>
      </x:c>
      <x:c r="O748" s="31" t="n"/>
      <x:c r="P748" s="31" t="n"/>
      <x:c r="Q748" s="31" t="inlineStr">
        <x:is>
          <x:t xml:space="preserve">Запланировано</x:t>
        </x:is>
      </x:c>
      <x:c r="R748" s="31" t="inlineStr">
        <x:is>
          <x:t xml:space="preserve">Нет</x:t>
        </x:is>
      </x:c>
      <x:c r="S748" s="31" t="inlineStr">
        <x:is>
          <x:t xml:space="preserve">Нет</x:t>
        </x:is>
      </x:c>
    </x:row>
    <x:row r="749">
      <x:c r="A749" s="31" t="inlineStr">
        <x:is>
          <x:t xml:space="preserve">ОП-000748</x:t>
        </x:is>
      </x:c>
      <x:c r="B749" s="31" t="inlineStr">
        <x:is>
          <x:t xml:space="preserve">ПЗ-00088</x:t>
        </x:is>
      </x:c>
      <x:c r="C749" s="31" t="inlineStr">
        <x:is>
          <x:t xml:space="preserve">ЗК-1047</x:t>
        </x:is>
      </x:c>
      <x:c r="D749" s="31" t="inlineStr">
        <x:is>
          <x:t xml:space="preserve">ПОЗ-0047-2</x:t>
        </x:is>
      </x:c>
      <x:c r="E749" s="31" t="inlineStr">
        <x:is>
          <x:t xml:space="preserve">ИЗД-041</x:t>
        </x:is>
      </x:c>
      <x:c r="F749" s="31" t="n">
        <x:v>50</x:v>
      </x:c>
      <x:c r="G749" s="31" t="inlineStr">
        <x:is>
          <x:t xml:space="preserve">Покраска</x:t>
        </x:is>
      </x:c>
      <x:c r="H749" s="31" t="inlineStr">
        <x:is>
          <x:t xml:space="preserve">Сварка</x:t>
        </x:is>
      </x:c>
      <x:c r="I749" s="31" t="inlineStr">
        <x:is>
          <x:t xml:space="preserve">ОБ-003</x:t>
        </x:is>
      </x:c>
      <x:c r="J749" s="31" t="inlineStr">
        <x:is>
          <x:t xml:space="preserve">СОТР-069</x:t>
        </x:is>
      </x:c>
      <x:c r="K749" s="31" t="n">
        <x:v>14.2</x:v>
      </x:c>
      <x:c r="L749" s="31" t="n">
        <x:v>16</x:v>
      </x:c>
      <x:c r="M749" s="31" t="n">
        <x:v>46138</x:v>
      </x:c>
      <x:c r="N749" s="31" t="n">
        <x:v>46140</x:v>
      </x:c>
      <x:c r="O749" s="31" t="n">
        <x:v>46138</x:v>
      </x:c>
      <x:c r="P749" s="31" t="n">
        <x:v>46141</x:v>
      </x:c>
      <x:c r="Q749" s="31" t="inlineStr">
        <x:is>
          <x:t xml:space="preserve">Завершено</x:t>
        </x:is>
      </x:c>
      <x:c r="R749" s="31" t="inlineStr">
        <x:is>
          <x:t xml:space="preserve">Нет</x:t>
        </x:is>
      </x:c>
      <x:c r="S749" s="31" t="inlineStr">
        <x:is>
          <x:t xml:space="preserve">Нет</x:t>
        </x:is>
      </x:c>
    </x:row>
    <x:row r="750">
      <x:c r="A750" s="31" t="inlineStr">
        <x:is>
          <x:t xml:space="preserve">ОП-000749</x:t>
        </x:is>
      </x:c>
      <x:c r="B750" s="31" t="inlineStr">
        <x:is>
          <x:t xml:space="preserve">ПЗ-00088</x:t>
        </x:is>
      </x:c>
      <x:c r="C750" s="31" t="inlineStr">
        <x:is>
          <x:t xml:space="preserve">ЗК-1047</x:t>
        </x:is>
      </x:c>
      <x:c r="D750" s="31" t="inlineStr">
        <x:is>
          <x:t xml:space="preserve">ПОЗ-0047-2</x:t>
        </x:is>
      </x:c>
      <x:c r="E750" s="31" t="inlineStr">
        <x:is>
          <x:t xml:space="preserve">ИЗД-041</x:t>
        </x:is>
      </x:c>
      <x:c r="F750" s="31" t="n">
        <x:v>60</x:v>
      </x:c>
      <x:c r="G750" s="31" t="inlineStr">
        <x:is>
          <x:t xml:space="preserve">ОТК</x:t>
        </x:is>
      </x:c>
      <x:c r="H750" s="31" t="inlineStr">
        <x:is>
          <x:t xml:space="preserve">ОТК</x:t>
        </x:is>
      </x:c>
      <x:c r="I750" s="31" t="inlineStr">
        <x:is>
          <x:t xml:space="preserve">ОБ-022</x:t>
        </x:is>
      </x:c>
      <x:c r="J750" s="31" t="inlineStr">
        <x:is>
          <x:t xml:space="preserve">СОТР-095</x:t>
        </x:is>
      </x:c>
      <x:c r="K750" s="31" t="n">
        <x:v>6.8</x:v>
      </x:c>
      <x:c r="L750" s="31" t="n"/>
      <x:c r="M750" s="31" t="n">
        <x:v>46140</x:v>
      </x:c>
      <x:c r="N750" s="31" t="n">
        <x:v>46141</x:v>
      </x:c>
      <x:c r="O750" s="31" t="n"/>
      <x:c r="P750" s="31" t="n"/>
      <x:c r="Q750" s="31" t="inlineStr">
        <x:is>
          <x:t xml:space="preserve">Запланировано</x:t>
        </x:is>
      </x:c>
      <x:c r="R750" s="31" t="inlineStr">
        <x:is>
          <x:t xml:space="preserve">Нет</x:t>
        </x:is>
      </x:c>
      <x:c r="S750" s="31" t="inlineStr">
        <x:is>
          <x:t xml:space="preserve">Нет</x:t>
        </x:is>
      </x:c>
    </x:row>
    <x:row r="751">
      <x:c r="A751" s="31" t="inlineStr">
        <x:is>
          <x:t xml:space="preserve">ОП-000750</x:t>
        </x:is>
      </x:c>
      <x:c r="B751" s="31" t="inlineStr">
        <x:is>
          <x:t xml:space="preserve">ПЗ-00089</x:t>
        </x:is>
      </x:c>
      <x:c r="C751" s="31" t="inlineStr">
        <x:is>
          <x:t xml:space="preserve">ЗК-1047</x:t>
        </x:is>
      </x:c>
      <x:c r="D751" s="31" t="inlineStr">
        <x:is>
          <x:t xml:space="preserve">ПОЗ-0047-3</x:t>
        </x:is>
      </x:c>
      <x:c r="E751" s="31" t="inlineStr">
        <x:is>
          <x:t xml:space="preserve">ИЗД-029</x:t>
        </x:is>
      </x:c>
      <x:c r="F751" s="31" t="n">
        <x:v>10</x:v>
      </x:c>
      <x:c r="G751" s="31" t="inlineStr">
        <x:is>
          <x:t xml:space="preserve">КД</x:t>
        </x:is>
      </x:c>
      <x:c r="H751" s="31" t="inlineStr">
        <x:is>
          <x:t xml:space="preserve">Инженерный отдел</x:t>
        </x:is>
      </x:c>
      <x:c r="I751" s="31" t="n"/>
      <x:c r="J751" s="31" t="inlineStr">
        <x:is>
          <x:t xml:space="preserve">СОТР-015</x:t>
        </x:is>
      </x:c>
      <x:c r="K751" s="31" t="n">
        <x:v>12.1</x:v>
      </x:c>
      <x:c r="L751" s="31" t="n"/>
      <x:c r="M751" s="31" t="n">
        <x:v>46141</x:v>
      </x:c>
      <x:c r="N751" s="31" t="n">
        <x:v>46143</x:v>
      </x:c>
      <x:c r="O751" s="31" t="n"/>
      <x:c r="P751" s="31" t="n"/>
      <x:c r="Q751" s="31" t="inlineStr">
        <x:is>
          <x:t xml:space="preserve">Запланировано</x:t>
        </x:is>
      </x:c>
      <x:c r="R751" s="31" t="inlineStr">
        <x:is>
          <x:t xml:space="preserve">Нет</x:t>
        </x:is>
      </x:c>
      <x:c r="S751" s="31" t="inlineStr">
        <x:is>
          <x:t xml:space="preserve">Нет</x:t>
        </x:is>
      </x:c>
    </x:row>
    <x:row r="752">
      <x:c r="A752" s="31" t="inlineStr">
        <x:is>
          <x:t xml:space="preserve">ОП-000751</x:t>
        </x:is>
      </x:c>
      <x:c r="B752" s="31" t="inlineStr">
        <x:is>
          <x:t xml:space="preserve">ПЗ-00089</x:t>
        </x:is>
      </x:c>
      <x:c r="C752" s="31" t="inlineStr">
        <x:is>
          <x:t xml:space="preserve">ЗК-1047</x:t>
        </x:is>
      </x:c>
      <x:c r="D752" s="31" t="inlineStr">
        <x:is>
          <x:t xml:space="preserve">ПОЗ-0047-3</x:t>
        </x:is>
      </x:c>
      <x:c r="E752" s="31" t="inlineStr">
        <x:is>
          <x:t xml:space="preserve">ИЗД-029</x:t>
        </x:is>
      </x:c>
      <x:c r="F752" s="31" t="n">
        <x:v>20</x:v>
      </x:c>
      <x:c r="G752" s="31" t="inlineStr">
        <x:is>
          <x:t xml:space="preserve">Резерв материалов</x:t>
        </x:is>
      </x:c>
      <x:c r="H752" s="31" t="inlineStr">
        <x:is>
          <x:t xml:space="preserve">Склад</x:t>
        </x:is>
      </x:c>
      <x:c r="I752" s="31" t="inlineStr">
        <x:is>
          <x:t xml:space="preserve">ОБ-023</x:t>
        </x:is>
      </x:c>
      <x:c r="J752" s="31" t="inlineStr">
        <x:is>
          <x:t xml:space="preserve">СОТР-037</x:t>
        </x:is>
      </x:c>
      <x:c r="K752" s="31" t="n">
        <x:v>6.2</x:v>
      </x:c>
      <x:c r="L752" s="31" t="n"/>
      <x:c r="M752" s="31" t="n">
        <x:v>46143</x:v>
      </x:c>
      <x:c r="N752" s="31" t="n">
        <x:v>46144</x:v>
      </x:c>
      <x:c r="O752" s="31" t="n"/>
      <x:c r="P752" s="31" t="n"/>
      <x:c r="Q752" s="31" t="inlineStr">
        <x:is>
          <x:t xml:space="preserve">Блокировано</x:t>
        </x:is>
      </x:c>
      <x:c r="R752" s="31" t="inlineStr">
        <x:is>
          <x:t xml:space="preserve">Нет</x:t>
        </x:is>
      </x:c>
      <x:c r="S752" s="31" t="inlineStr">
        <x:is>
          <x:t xml:space="preserve">Нет</x:t>
        </x:is>
      </x:c>
    </x:row>
    <x:row r="753">
      <x:c r="A753" s="31" t="inlineStr">
        <x:is>
          <x:t xml:space="preserve">ОП-000752</x:t>
        </x:is>
      </x:c>
      <x:c r="B753" s="31" t="inlineStr">
        <x:is>
          <x:t xml:space="preserve">ПЗ-00089</x:t>
        </x:is>
      </x:c>
      <x:c r="C753" s="31" t="inlineStr">
        <x:is>
          <x:t xml:space="preserve">ЗК-1047</x:t>
        </x:is>
      </x:c>
      <x:c r="D753" s="31" t="inlineStr">
        <x:is>
          <x:t xml:space="preserve">ПОЗ-0047-3</x:t>
        </x:is>
      </x:c>
      <x:c r="E753" s="31" t="inlineStr">
        <x:is>
          <x:t xml:space="preserve">ИЗД-029</x:t>
        </x:is>
      </x:c>
      <x:c r="F753" s="31" t="n">
        <x:v>30</x:v>
      </x:c>
      <x:c r="G753" s="31" t="inlineStr">
        <x:is>
          <x:t xml:space="preserve">Резка металла</x:t>
        </x:is>
      </x:c>
      <x:c r="H753" s="31" t="inlineStr">
        <x:is>
          <x:t xml:space="preserve">Сварка</x:t>
        </x:is>
      </x:c>
      <x:c r="I753" s="31" t="inlineStr">
        <x:is>
          <x:t xml:space="preserve">ОБ-019</x:t>
        </x:is>
      </x:c>
      <x:c r="J753" s="31" t="inlineStr">
        <x:is>
          <x:t xml:space="preserve">СОТР-069</x:t>
        </x:is>
      </x:c>
      <x:c r="K753" s="31" t="n">
        <x:v>13.2</x:v>
      </x:c>
      <x:c r="L753" s="31" t="n"/>
      <x:c r="M753" s="31" t="n">
        <x:v>46144</x:v>
      </x:c>
      <x:c r="N753" s="31" t="n">
        <x:v>46146</x:v>
      </x:c>
      <x:c r="O753" s="31" t="n"/>
      <x:c r="P753" s="31" t="n"/>
      <x:c r="Q753" s="31" t="inlineStr">
        <x:is>
          <x:t xml:space="preserve">Запланировано</x:t>
        </x:is>
      </x:c>
      <x:c r="R753" s="31" t="inlineStr">
        <x:is>
          <x:t xml:space="preserve">Нет</x:t>
        </x:is>
      </x:c>
      <x:c r="S753" s="31" t="inlineStr">
        <x:is>
          <x:t xml:space="preserve">Да</x:t>
        </x:is>
      </x:c>
    </x:row>
    <x:row r="754">
      <x:c r="A754" s="31" t="inlineStr">
        <x:is>
          <x:t xml:space="preserve">ОП-000753</x:t>
        </x:is>
      </x:c>
      <x:c r="B754" s="31" t="inlineStr">
        <x:is>
          <x:t xml:space="preserve">ПЗ-00089</x:t>
        </x:is>
      </x:c>
      <x:c r="C754" s="31" t="inlineStr">
        <x:is>
          <x:t xml:space="preserve">ЗК-1047</x:t>
        </x:is>
      </x:c>
      <x:c r="D754" s="31" t="inlineStr">
        <x:is>
          <x:t xml:space="preserve">ПОЗ-0047-3</x:t>
        </x:is>
      </x:c>
      <x:c r="E754" s="31" t="inlineStr">
        <x:is>
          <x:t xml:space="preserve">ИЗД-029</x:t>
        </x:is>
      </x:c>
      <x:c r="F754" s="31" t="n">
        <x:v>40</x:v>
      </x:c>
      <x:c r="G754" s="31" t="inlineStr">
        <x:is>
          <x:t xml:space="preserve">Сварка рамы</x:t>
        </x:is>
      </x:c>
      <x:c r="H754" s="31" t="inlineStr">
        <x:is>
          <x:t xml:space="preserve">Сварка</x:t>
        </x:is>
      </x:c>
      <x:c r="I754" s="31" t="inlineStr">
        <x:is>
          <x:t xml:space="preserve">ОБ-004</x:t>
        </x:is>
      </x:c>
      <x:c r="J754" s="31" t="inlineStr">
        <x:is>
          <x:t xml:space="preserve">СОТР-066</x:t>
        </x:is>
      </x:c>
      <x:c r="K754" s="31" t="n">
        <x:v>6.6</x:v>
      </x:c>
      <x:c r="L754" s="31" t="n"/>
      <x:c r="M754" s="31" t="n">
        <x:v>46146</x:v>
      </x:c>
      <x:c r="N754" s="31" t="n">
        <x:v>46147</x:v>
      </x:c>
      <x:c r="O754" s="31" t="n"/>
      <x:c r="P754" s="31" t="n"/>
      <x:c r="Q754" s="31" t="inlineStr">
        <x:is>
          <x:t xml:space="preserve">Запланировано</x:t>
        </x:is>
      </x:c>
      <x:c r="R754" s="31" t="inlineStr">
        <x:is>
          <x:t xml:space="preserve">Нет</x:t>
        </x:is>
      </x:c>
      <x:c r="S754" s="31" t="inlineStr">
        <x:is>
          <x:t xml:space="preserve">Нет</x:t>
        </x:is>
      </x:c>
    </x:row>
    <x:row r="755">
      <x:c r="A755" s="31" t="inlineStr">
        <x:is>
          <x:t xml:space="preserve">ОП-000754</x:t>
        </x:is>
      </x:c>
      <x:c r="B755" s="31" t="inlineStr">
        <x:is>
          <x:t xml:space="preserve">ПЗ-00089</x:t>
        </x:is>
      </x:c>
      <x:c r="C755" s="31" t="inlineStr">
        <x:is>
          <x:t xml:space="preserve">ЗК-1047</x:t>
        </x:is>
      </x:c>
      <x:c r="D755" s="31" t="inlineStr">
        <x:is>
          <x:t xml:space="preserve">ПОЗ-0047-3</x:t>
        </x:is>
      </x:c>
      <x:c r="E755" s="31" t="inlineStr">
        <x:is>
          <x:t xml:space="preserve">ИЗД-029</x:t>
        </x:is>
      </x:c>
      <x:c r="F755" s="31" t="n">
        <x:v>50</x:v>
      </x:c>
      <x:c r="G755" s="31" t="inlineStr">
        <x:is>
          <x:t xml:space="preserve">Механообработка</x:t>
        </x:is>
      </x:c>
      <x:c r="H755" s="31" t="inlineStr">
        <x:is>
          <x:t xml:space="preserve">Механообработка</x:t>
        </x:is>
      </x:c>
      <x:c r="I755" s="31" t="inlineStr">
        <x:is>
          <x:t xml:space="preserve">ОБ-030</x:t>
        </x:is>
      </x:c>
      <x:c r="J755" s="31" t="inlineStr">
        <x:is>
          <x:t xml:space="preserve">СОТР-050</x:t>
        </x:is>
      </x:c>
      <x:c r="K755" s="31" t="n">
        <x:v>15.4</x:v>
      </x:c>
      <x:c r="L755" s="31" t="n"/>
      <x:c r="M755" s="31" t="n">
        <x:v>46147</x:v>
      </x:c>
      <x:c r="N755" s="31" t="n">
        <x:v>46149</x:v>
      </x:c>
      <x:c r="O755" s="31" t="n"/>
      <x:c r="P755" s="31" t="n"/>
      <x:c r="Q755" s="31" t="inlineStr">
        <x:is>
          <x:t xml:space="preserve">Запланировано</x:t>
        </x:is>
      </x:c>
      <x:c r="R755" s="31" t="inlineStr">
        <x:is>
          <x:t xml:space="preserve">Нет</x:t>
        </x:is>
      </x:c>
      <x:c r="S755" s="31" t="inlineStr">
        <x:is>
          <x:t xml:space="preserve">Нет</x:t>
        </x:is>
      </x:c>
    </x:row>
    <x:row r="756">
      <x:c r="A756" s="31" t="inlineStr">
        <x:is>
          <x:t xml:space="preserve">ОП-000755</x:t>
        </x:is>
      </x:c>
      <x:c r="B756" s="31" t="inlineStr">
        <x:is>
          <x:t xml:space="preserve">ПЗ-00089</x:t>
        </x:is>
      </x:c>
      <x:c r="C756" s="31" t="inlineStr">
        <x:is>
          <x:t xml:space="preserve">ЗК-1047</x:t>
        </x:is>
      </x:c>
      <x:c r="D756" s="31" t="inlineStr">
        <x:is>
          <x:t xml:space="preserve">ПОЗ-0047-3</x:t>
        </x:is>
      </x:c>
      <x:c r="E756" s="31" t="inlineStr">
        <x:is>
          <x:t xml:space="preserve">ИЗД-029</x:t>
        </x:is>
      </x:c>
      <x:c r="F756" s="31" t="n">
        <x:v>60</x:v>
      </x:c>
      <x:c r="G756" s="31" t="inlineStr">
        <x:is>
          <x:t xml:space="preserve">Сборка</x:t>
        </x:is>
      </x:c>
      <x:c r="H756" s="31" t="inlineStr">
        <x:is>
          <x:t xml:space="preserve">Сборка</x:t>
        </x:is>
      </x:c>
      <x:c r="I756" s="31" t="inlineStr">
        <x:is>
          <x:t xml:space="preserve">ОБ-002</x:t>
        </x:is>
      </x:c>
      <x:c r="J756" s="31" t="inlineStr">
        <x:is>
          <x:t xml:space="preserve">СОТР-084</x:t>
        </x:is>
      </x:c>
      <x:c r="K756" s="31" t="n">
        <x:v>16.7</x:v>
      </x:c>
      <x:c r="L756" s="31" t="n"/>
      <x:c r="M756" s="31" t="n">
        <x:v>46149</x:v>
      </x:c>
      <x:c r="N756" s="31" t="n">
        <x:v>46151</x:v>
      </x:c>
      <x:c r="O756" s="31" t="n"/>
      <x:c r="P756" s="31" t="n"/>
      <x:c r="Q756" s="31" t="inlineStr">
        <x:is>
          <x:t xml:space="preserve">Запланировано</x:t>
        </x:is>
      </x:c>
      <x:c r="R756" s="31" t="inlineStr">
        <x:is>
          <x:t xml:space="preserve">Нет</x:t>
        </x:is>
      </x:c>
      <x:c r="S756" s="31" t="inlineStr">
        <x:is>
          <x:t xml:space="preserve">Нет</x:t>
        </x:is>
      </x:c>
    </x:row>
    <x:row r="757">
      <x:c r="A757" s="31" t="inlineStr">
        <x:is>
          <x:t xml:space="preserve">ОП-000756</x:t>
        </x:is>
      </x:c>
      <x:c r="B757" s="31" t="inlineStr">
        <x:is>
          <x:t xml:space="preserve">ПЗ-00089</x:t>
        </x:is>
      </x:c>
      <x:c r="C757" s="31" t="inlineStr">
        <x:is>
          <x:t xml:space="preserve">ЗК-1047</x:t>
        </x:is>
      </x:c>
      <x:c r="D757" s="31" t="inlineStr">
        <x:is>
          <x:t xml:space="preserve">ПОЗ-0047-3</x:t>
        </x:is>
      </x:c>
      <x:c r="E757" s="31" t="inlineStr">
        <x:is>
          <x:t xml:space="preserve">ИЗД-029</x:t>
        </x:is>
      </x:c>
      <x:c r="F757" s="31" t="n">
        <x:v>70</x:v>
      </x:c>
      <x:c r="G757" s="31" t="inlineStr">
        <x:is>
          <x:t xml:space="preserve">Обвязка труб</x:t>
        </x:is>
      </x:c>
      <x:c r="H757" s="31" t="inlineStr">
        <x:is>
          <x:t xml:space="preserve">Сборка</x:t>
        </x:is>
      </x:c>
      <x:c r="I757" s="31" t="inlineStr">
        <x:is>
          <x:t xml:space="preserve">ОБ-012</x:t>
        </x:is>
      </x:c>
      <x:c r="J757" s="31" t="inlineStr">
        <x:is>
          <x:t xml:space="preserve">СОТР-090</x:t>
        </x:is>
      </x:c>
      <x:c r="K757" s="31" t="n">
        <x:v>17.6</x:v>
      </x:c>
      <x:c r="L757" s="31" t="n"/>
      <x:c r="M757" s="31" t="n">
        <x:v>46151</x:v>
      </x:c>
      <x:c r="N757" s="31" t="n">
        <x:v>46153</x:v>
      </x:c>
      <x:c r="O757" s="31" t="n"/>
      <x:c r="P757" s="31" t="n"/>
      <x:c r="Q757" s="31" t="inlineStr">
        <x:is>
          <x:t xml:space="preserve">Запланировано</x:t>
        </x:is>
      </x:c>
      <x:c r="R757" s="31" t="inlineStr">
        <x:is>
          <x:t xml:space="preserve">Нет</x:t>
        </x:is>
      </x:c>
      <x:c r="S757" s="31" t="inlineStr">
        <x:is>
          <x:t xml:space="preserve">Нет</x:t>
        </x:is>
      </x:c>
    </x:row>
    <x:row r="758">
      <x:c r="A758" s="31" t="inlineStr">
        <x:is>
          <x:t xml:space="preserve">ОП-000757</x:t>
        </x:is>
      </x:c>
      <x:c r="B758" s="31" t="inlineStr">
        <x:is>
          <x:t xml:space="preserve">ПЗ-00089</x:t>
        </x:is>
      </x:c>
      <x:c r="C758" s="31" t="inlineStr">
        <x:is>
          <x:t xml:space="preserve">ЗК-1047</x:t>
        </x:is>
      </x:c>
      <x:c r="D758" s="31" t="inlineStr">
        <x:is>
          <x:t xml:space="preserve">ПОЗ-0047-3</x:t>
        </x:is>
      </x:c>
      <x:c r="E758" s="31" t="inlineStr">
        <x:is>
          <x:t xml:space="preserve">ИЗД-029</x:t>
        </x:is>
      </x:c>
      <x:c r="F758" s="31" t="n">
        <x:v>80</x:v>
      </x:c>
      <x:c r="G758" s="31" t="inlineStr">
        <x:is>
          <x:t xml:space="preserve">Электромонтаж</x:t>
        </x:is>
      </x:c>
      <x:c r="H758" s="31" t="inlineStr">
        <x:is>
          <x:t xml:space="preserve">Сборка</x:t>
        </x:is>
      </x:c>
      <x:c r="I758" s="31" t="inlineStr">
        <x:is>
          <x:t xml:space="preserve">ОБ-014</x:t>
        </x:is>
      </x:c>
      <x:c r="J758" s="31" t="inlineStr">
        <x:is>
          <x:t xml:space="preserve">СОТР-078</x:t>
        </x:is>
      </x:c>
      <x:c r="K758" s="31" t="n">
        <x:v>4.7</x:v>
      </x:c>
      <x:c r="L758" s="31" t="n"/>
      <x:c r="M758" s="31" t="n">
        <x:v>46153</x:v>
      </x:c>
      <x:c r="N758" s="31" t="n">
        <x:v>46154</x:v>
      </x:c>
      <x:c r="O758" s="31" t="n"/>
      <x:c r="P758" s="31" t="n"/>
      <x:c r="Q758" s="31" t="inlineStr">
        <x:is>
          <x:t xml:space="preserve">Запланировано</x:t>
        </x:is>
      </x:c>
      <x:c r="R758" s="31" t="inlineStr">
        <x:is>
          <x:t xml:space="preserve">Нет</x:t>
        </x:is>
      </x:c>
      <x:c r="S758" s="31" t="inlineStr">
        <x:is>
          <x:t xml:space="preserve">Нет</x:t>
        </x:is>
      </x:c>
    </x:row>
    <x:row r="759">
      <x:c r="A759" s="31" t="inlineStr">
        <x:is>
          <x:t xml:space="preserve">ОП-000758</x:t>
        </x:is>
      </x:c>
      <x:c r="B759" s="31" t="inlineStr">
        <x:is>
          <x:t xml:space="preserve">ПЗ-00089</x:t>
        </x:is>
      </x:c>
      <x:c r="C759" s="31" t="inlineStr">
        <x:is>
          <x:t xml:space="preserve">ЗК-1047</x:t>
        </x:is>
      </x:c>
      <x:c r="D759" s="31" t="inlineStr">
        <x:is>
          <x:t xml:space="preserve">ПОЗ-0047-3</x:t>
        </x:is>
      </x:c>
      <x:c r="E759" s="31" t="inlineStr">
        <x:is>
          <x:t xml:space="preserve">ИЗД-029</x:t>
        </x:is>
      </x:c>
      <x:c r="F759" s="31" t="n">
        <x:v>90</x:v>
      </x:c>
      <x:c r="G759" s="31" t="inlineStr">
        <x:is>
          <x:t xml:space="preserve">Приемочные испытания</x:t>
        </x:is>
      </x:c>
      <x:c r="H759" s="31" t="inlineStr">
        <x:is>
          <x:t xml:space="preserve">ОТК</x:t>
        </x:is>
      </x:c>
      <x:c r="I759" s="31" t="inlineStr">
        <x:is>
          <x:t xml:space="preserve">ОБ-022</x:t>
        </x:is>
      </x:c>
      <x:c r="J759" s="31" t="inlineStr">
        <x:is>
          <x:t xml:space="preserve">СОТР-095</x:t>
        </x:is>
      </x:c>
      <x:c r="K759" s="31" t="n">
        <x:v>16.8</x:v>
      </x:c>
      <x:c r="L759" s="31" t="n"/>
      <x:c r="M759" s="31" t="n">
        <x:v>46154</x:v>
      </x:c>
      <x:c r="N759" s="31" t="n">
        <x:v>46156</x:v>
      </x:c>
      <x:c r="O759" s="31" t="n"/>
      <x:c r="P759" s="31" t="n"/>
      <x:c r="Q759" s="31" t="inlineStr">
        <x:is>
          <x:t xml:space="preserve">Запланировано</x:t>
        </x:is>
      </x:c>
      <x:c r="R759" s="31" t="inlineStr">
        <x:is>
          <x:t xml:space="preserve">Нет</x:t>
        </x:is>
      </x:c>
      <x:c r="S759" s="31" t="inlineStr">
        <x:is>
          <x:t xml:space="preserve">Да</x:t>
        </x:is>
      </x:c>
    </x:row>
    <x:row r="760">
      <x:c r="A760" s="31" t="inlineStr">
        <x:is>
          <x:t xml:space="preserve">ОП-000759</x:t>
        </x:is>
      </x:c>
      <x:c r="B760" s="31" t="inlineStr">
        <x:is>
          <x:t xml:space="preserve">ПЗ-00089</x:t>
        </x:is>
      </x:c>
      <x:c r="C760" s="31" t="inlineStr">
        <x:is>
          <x:t xml:space="preserve">ЗК-1047</x:t>
        </x:is>
      </x:c>
      <x:c r="D760" s="31" t="inlineStr">
        <x:is>
          <x:t xml:space="preserve">ПОЗ-0047-3</x:t>
        </x:is>
      </x:c>
      <x:c r="E760" s="31" t="inlineStr">
        <x:is>
          <x:t xml:space="preserve">ИЗД-029</x:t>
        </x:is>
      </x:c>
      <x:c r="F760" s="31" t="n">
        <x:v>100</x:v>
      </x:c>
      <x:c r="G760" s="31" t="inlineStr">
        <x:is>
          <x:t xml:space="preserve">ОТК</x:t>
        </x:is>
      </x:c>
      <x:c r="H760" s="31" t="inlineStr">
        <x:is>
          <x:t xml:space="preserve">ОТК</x:t>
        </x:is>
      </x:c>
      <x:c r="I760" s="31" t="inlineStr">
        <x:is>
          <x:t xml:space="preserve">ОБ-007</x:t>
        </x:is>
      </x:c>
      <x:c r="J760" s="31" t="inlineStr">
        <x:is>
          <x:t xml:space="preserve">СОТР-097</x:t>
        </x:is>
      </x:c>
      <x:c r="K760" s="31" t="n">
        <x:v>12.1</x:v>
      </x:c>
      <x:c r="L760" s="31" t="n"/>
      <x:c r="M760" s="31" t="n">
        <x:v>46156</x:v>
      </x:c>
      <x:c r="N760" s="31" t="n">
        <x:v>46158</x:v>
      </x:c>
      <x:c r="O760" s="31" t="n"/>
      <x:c r="P760" s="31" t="n"/>
      <x:c r="Q760" s="31" t="inlineStr">
        <x:is>
          <x:t xml:space="preserve">Запланировано</x:t>
        </x:is>
      </x:c>
      <x:c r="R760" s="31" t="inlineStr">
        <x:is>
          <x:t xml:space="preserve">Нет</x:t>
        </x:is>
      </x:c>
      <x:c r="S760" s="31" t="inlineStr">
        <x:is>
          <x:t xml:space="preserve">Нет</x:t>
        </x:is>
      </x:c>
    </x:row>
    <x:row r="761">
      <x:c r="A761" s="31" t="inlineStr">
        <x:is>
          <x:t xml:space="preserve">ОП-000760</x:t>
        </x:is>
      </x:c>
      <x:c r="B761" s="31" t="inlineStr">
        <x:is>
          <x:t xml:space="preserve">ПЗ-00089</x:t>
        </x:is>
      </x:c>
      <x:c r="C761" s="31" t="inlineStr">
        <x:is>
          <x:t xml:space="preserve">ЗК-1047</x:t>
        </x:is>
      </x:c>
      <x:c r="D761" s="31" t="inlineStr">
        <x:is>
          <x:t xml:space="preserve">ПОЗ-0047-3</x:t>
        </x:is>
      </x:c>
      <x:c r="E761" s="31" t="inlineStr">
        <x:is>
          <x:t xml:space="preserve">ИЗД-029</x:t>
        </x:is>
      </x:c>
      <x:c r="F761" s="31" t="n">
        <x:v>110</x:v>
      </x:c>
      <x:c r="G761" s="31" t="inlineStr">
        <x:is>
          <x:t xml:space="preserve">Упаковка</x:t>
        </x:is>
      </x:c>
      <x:c r="H761" s="31" t="inlineStr">
        <x:is>
          <x:t xml:space="preserve">Логистика</x:t>
        </x:is>
      </x:c>
      <x:c r="I761" s="31" t="n"/>
      <x:c r="J761" s="31" t="inlineStr">
        <x:is>
          <x:t xml:space="preserve">СОТР-103</x:t>
        </x:is>
      </x:c>
      <x:c r="K761" s="31" t="n">
        <x:v>8.9</x:v>
      </x:c>
      <x:c r="L761" s="31" t="n"/>
      <x:c r="M761" s="31" t="n">
        <x:v>46158</x:v>
      </x:c>
      <x:c r="N761" s="31" t="n">
        <x:v>46159</x:v>
      </x:c>
      <x:c r="O761" s="31" t="n"/>
      <x:c r="P761" s="31" t="n"/>
      <x:c r="Q761" s="31" t="inlineStr">
        <x:is>
          <x:t xml:space="preserve">Запланировано</x:t>
        </x:is>
      </x:c>
      <x:c r="R761" s="31" t="inlineStr">
        <x:is>
          <x:t xml:space="preserve">Нет</x:t>
        </x:is>
      </x:c>
      <x:c r="S761" s="31" t="inlineStr">
        <x:is>
          <x:t xml:space="preserve">Нет</x:t>
        </x:is>
      </x:c>
    </x:row>
    <x:row r="762">
      <x:c r="A762" s="31" t="inlineStr">
        <x:is>
          <x:t xml:space="preserve">ОП-000761</x:t>
        </x:is>
      </x:c>
      <x:c r="B762" s="31" t="inlineStr">
        <x:is>
          <x:t xml:space="preserve">ПЗ-00090</x:t>
        </x:is>
      </x:c>
      <x:c r="C762" s="31" t="inlineStr">
        <x:is>
          <x:t xml:space="preserve">ЗК-1047</x:t>
        </x:is>
      </x:c>
      <x:c r="D762" s="31" t="inlineStr">
        <x:is>
          <x:t xml:space="preserve">ПОЗ-0047-4</x:t>
        </x:is>
      </x:c>
      <x:c r="E762" s="31" t="inlineStr">
        <x:is>
          <x:t xml:space="preserve">ИЗД-028</x:t>
        </x:is>
      </x:c>
      <x:c r="F762" s="31" t="n">
        <x:v>10</x:v>
      </x:c>
      <x:c r="G762" s="31" t="inlineStr">
        <x:is>
          <x:t xml:space="preserve">КД</x:t>
        </x:is>
      </x:c>
      <x:c r="H762" s="31" t="inlineStr">
        <x:is>
          <x:t xml:space="preserve">Инженерный отдел</x:t>
        </x:is>
      </x:c>
      <x:c r="I762" s="31" t="n"/>
      <x:c r="J762" s="31" t="inlineStr">
        <x:is>
          <x:t xml:space="preserve">СОТР-011</x:t>
        </x:is>
      </x:c>
      <x:c r="K762" s="31" t="n">
        <x:v>42</x:v>
      </x:c>
      <x:c r="L762" s="31" t="n">
        <x:v>37.1</x:v>
      </x:c>
      <x:c r="M762" s="31" t="n">
        <x:v>46129</x:v>
      </x:c>
      <x:c r="N762" s="31" t="n">
        <x:v>46133</x:v>
      </x:c>
      <x:c r="O762" s="31" t="n">
        <x:v>46129</x:v>
      </x:c>
      <x:c r="P762" s="31" t="n">
        <x:v>46133</x:v>
      </x:c>
      <x:c r="Q762" s="31" t="inlineStr">
        <x:is>
          <x:t xml:space="preserve">Завершено</x:t>
        </x:is>
      </x:c>
      <x:c r="R762" s="31" t="inlineStr">
        <x:is>
          <x:t xml:space="preserve">Нет</x:t>
        </x:is>
      </x:c>
      <x:c r="S762" s="31" t="inlineStr">
        <x:is>
          <x:t xml:space="preserve">Нет</x:t>
        </x:is>
      </x:c>
    </x:row>
    <x:row r="763">
      <x:c r="A763" s="31" t="inlineStr">
        <x:is>
          <x:t xml:space="preserve">ОП-000762</x:t>
        </x:is>
      </x:c>
      <x:c r="B763" s="31" t="inlineStr">
        <x:is>
          <x:t xml:space="preserve">ПЗ-00090</x:t>
        </x:is>
      </x:c>
      <x:c r="C763" s="31" t="inlineStr">
        <x:is>
          <x:t xml:space="preserve">ЗК-1047</x:t>
        </x:is>
      </x:c>
      <x:c r="D763" s="31" t="inlineStr">
        <x:is>
          <x:t xml:space="preserve">ПОЗ-0047-4</x:t>
        </x:is>
      </x:c>
      <x:c r="E763" s="31" t="inlineStr">
        <x:is>
          <x:t xml:space="preserve">ИЗД-028</x:t>
        </x:is>
      </x:c>
      <x:c r="F763" s="31" t="n">
        <x:v>20</x:v>
      </x:c>
      <x:c r="G763" s="31" t="inlineStr">
        <x:is>
          <x:t xml:space="preserve">Резерв материалов</x:t>
        </x:is>
      </x:c>
      <x:c r="H763" s="31" t="inlineStr">
        <x:is>
          <x:t xml:space="preserve">Склад</x:t>
        </x:is>
      </x:c>
      <x:c r="I763" s="31" t="inlineStr">
        <x:is>
          <x:t xml:space="preserve">ОБ-009</x:t>
        </x:is>
      </x:c>
      <x:c r="J763" s="31" t="inlineStr">
        <x:is>
          <x:t xml:space="preserve">СОТР-035</x:t>
        </x:is>
      </x:c>
      <x:c r="K763" s="31" t="n">
        <x:v>41.4</x:v>
      </x:c>
      <x:c r="L763" s="31" t="n">
        <x:v>36.6</x:v>
      </x:c>
      <x:c r="M763" s="31" t="n">
        <x:v>46133</x:v>
      </x:c>
      <x:c r="N763" s="31" t="n">
        <x:v>46137</x:v>
      </x:c>
      <x:c r="O763" s="31" t="n">
        <x:v>46133</x:v>
      </x:c>
      <x:c r="P763" s="31" t="n">
        <x:v>46136</x:v>
      </x:c>
      <x:c r="Q763" s="31" t="inlineStr">
        <x:is>
          <x:t xml:space="preserve">Завершено</x:t>
        </x:is>
      </x:c>
      <x:c r="R763" s="31" t="inlineStr">
        <x:is>
          <x:t xml:space="preserve">Нет</x:t>
        </x:is>
      </x:c>
      <x:c r="S763" s="31" t="inlineStr">
        <x:is>
          <x:t xml:space="preserve">Нет</x:t>
        </x:is>
      </x:c>
    </x:row>
    <x:row r="764">
      <x:c r="A764" s="31" t="inlineStr">
        <x:is>
          <x:t xml:space="preserve">ОП-000763</x:t>
        </x:is>
      </x:c>
      <x:c r="B764" s="31" t="inlineStr">
        <x:is>
          <x:t xml:space="preserve">ПЗ-00090</x:t>
        </x:is>
      </x:c>
      <x:c r="C764" s="31" t="inlineStr">
        <x:is>
          <x:t xml:space="preserve">ЗК-1047</x:t>
        </x:is>
      </x:c>
      <x:c r="D764" s="31" t="inlineStr">
        <x:is>
          <x:t xml:space="preserve">ПОЗ-0047-4</x:t>
        </x:is>
      </x:c>
      <x:c r="E764" s="31" t="inlineStr">
        <x:is>
          <x:t xml:space="preserve">ИЗД-028</x:t>
        </x:is>
      </x:c>
      <x:c r="F764" s="31" t="n">
        <x:v>30</x:v>
      </x:c>
      <x:c r="G764" s="31" t="inlineStr">
        <x:is>
          <x:t xml:space="preserve">Сварка рамы</x:t>
        </x:is>
      </x:c>
      <x:c r="H764" s="31" t="inlineStr">
        <x:is>
          <x:t xml:space="preserve">Сварка</x:t>
        </x:is>
      </x:c>
      <x:c r="I764" s="31" t="inlineStr">
        <x:is>
          <x:t xml:space="preserve">ОБ-019</x:t>
        </x:is>
      </x:c>
      <x:c r="J764" s="31" t="inlineStr">
        <x:is>
          <x:t xml:space="preserve">СОТР-059</x:t>
        </x:is>
      </x:c>
      <x:c r="K764" s="31" t="n">
        <x:v>50.1</x:v>
      </x:c>
      <x:c r="L764" s="31" t="n">
        <x:v>46.8</x:v>
      </x:c>
      <x:c r="M764" s="31" t="n">
        <x:v>46137</x:v>
      </x:c>
      <x:c r="N764" s="31" t="n">
        <x:v>46142</x:v>
      </x:c>
      <x:c r="O764" s="31" t="n">
        <x:v>46137</x:v>
      </x:c>
      <x:c r="P764" s="31" t="n">
        <x:v>46144</x:v>
      </x:c>
      <x:c r="Q764" s="31" t="inlineStr">
        <x:is>
          <x:t xml:space="preserve">Завершено</x:t>
        </x:is>
      </x:c>
      <x:c r="R764" s="31" t="inlineStr">
        <x:is>
          <x:t xml:space="preserve">Нет</x:t>
        </x:is>
      </x:c>
      <x:c r="S764" s="31" t="inlineStr">
        <x:is>
          <x:t xml:space="preserve">Нет</x:t>
        </x:is>
      </x:c>
    </x:row>
    <x:row r="765">
      <x:c r="A765" s="31" t="inlineStr">
        <x:is>
          <x:t xml:space="preserve">ОП-000764</x:t>
        </x:is>
      </x:c>
      <x:c r="B765" s="31" t="inlineStr">
        <x:is>
          <x:t xml:space="preserve">ПЗ-00090</x:t>
        </x:is>
      </x:c>
      <x:c r="C765" s="31" t="inlineStr">
        <x:is>
          <x:t xml:space="preserve">ЗК-1047</x:t>
        </x:is>
      </x:c>
      <x:c r="D765" s="31" t="inlineStr">
        <x:is>
          <x:t xml:space="preserve">ПОЗ-0047-4</x:t>
        </x:is>
      </x:c>
      <x:c r="E765" s="31" t="inlineStr">
        <x:is>
          <x:t xml:space="preserve">ИЗД-028</x:t>
        </x:is>
      </x:c>
      <x:c r="F765" s="31" t="n">
        <x:v>40</x:v>
      </x:c>
      <x:c r="G765" s="31" t="inlineStr">
        <x:is>
          <x:t xml:space="preserve">Сборка</x:t>
        </x:is>
      </x:c>
      <x:c r="H765" s="31" t="inlineStr">
        <x:is>
          <x:t xml:space="preserve">Сборка</x:t>
        </x:is>
      </x:c>
      <x:c r="I765" s="31" t="inlineStr">
        <x:is>
          <x:t xml:space="preserve">ОБ-005</x:t>
        </x:is>
      </x:c>
      <x:c r="J765" s="31" t="inlineStr">
        <x:is>
          <x:t xml:space="preserve">СОТР-078</x:t>
        </x:is>
      </x:c>
      <x:c r="K765" s="31" t="n">
        <x:v>51.9</x:v>
      </x:c>
      <x:c r="L765" s="31" t="n">
        <x:v>60.5</x:v>
      </x:c>
      <x:c r="M765" s="31" t="n">
        <x:v>46142</x:v>
      </x:c>
      <x:c r="N765" s="31" t="n">
        <x:v>46147</x:v>
      </x:c>
      <x:c r="O765" s="31" t="n">
        <x:v>46142</x:v>
      </x:c>
      <x:c r="P765" s="31" t="n">
        <x:v>46148</x:v>
      </x:c>
      <x:c r="Q765" s="31" t="inlineStr">
        <x:is>
          <x:t xml:space="preserve">Завершено</x:t>
        </x:is>
      </x:c>
      <x:c r="R765" s="31" t="inlineStr">
        <x:is>
          <x:t xml:space="preserve">Ожидание ОТК</x:t>
        </x:is>
      </x:c>
      <x:c r="S765" s="31" t="inlineStr">
        <x:is>
          <x:t xml:space="preserve">Нет</x:t>
        </x:is>
      </x:c>
    </x:row>
    <x:row r="766">
      <x:c r="A766" s="31" t="inlineStr">
        <x:is>
          <x:t xml:space="preserve">ОП-000765</x:t>
        </x:is>
      </x:c>
      <x:c r="B766" s="31" t="inlineStr">
        <x:is>
          <x:t xml:space="preserve">ПЗ-00090</x:t>
        </x:is>
      </x:c>
      <x:c r="C766" s="31" t="inlineStr">
        <x:is>
          <x:t xml:space="preserve">ЗК-1047</x:t>
        </x:is>
      </x:c>
      <x:c r="D766" s="31" t="inlineStr">
        <x:is>
          <x:t xml:space="preserve">ПОЗ-0047-4</x:t>
        </x:is>
      </x:c>
      <x:c r="E766" s="31" t="inlineStr">
        <x:is>
          <x:t xml:space="preserve">ИЗД-028</x:t>
        </x:is>
      </x:c>
      <x:c r="F766" s="31" t="n">
        <x:v>50</x:v>
      </x:c>
      <x:c r="G766" s="31" t="inlineStr">
        <x:is>
          <x:t xml:space="preserve">Обвязка труб</x:t>
        </x:is>
      </x:c>
      <x:c r="H766" s="31" t="inlineStr">
        <x:is>
          <x:t xml:space="preserve">Сборка</x:t>
        </x:is>
      </x:c>
      <x:c r="I766" s="31" t="inlineStr">
        <x:is>
          <x:t xml:space="preserve">ОБ-005</x:t>
        </x:is>
      </x:c>
      <x:c r="J766" s="31" t="inlineStr">
        <x:is>
          <x:t xml:space="preserve">СОТР-074</x:t>
        </x:is>
      </x:c>
      <x:c r="K766" s="31" t="n">
        <x:v>39.9</x:v>
      </x:c>
      <x:c r="L766" s="31" t="n">
        <x:v>46.5</x:v>
      </x:c>
      <x:c r="M766" s="31" t="n">
        <x:v>46147</x:v>
      </x:c>
      <x:c r="N766" s="31" t="n">
        <x:v>46151</x:v>
      </x:c>
      <x:c r="O766" s="31" t="n">
        <x:v>46147</x:v>
      </x:c>
      <x:c r="P766" s="31" t="n">
        <x:v>46152</x:v>
      </x:c>
      <x:c r="Q766" s="31" t="inlineStr">
        <x:is>
          <x:t xml:space="preserve">Завершено</x:t>
        </x:is>
      </x:c>
      <x:c r="R766" s="31" t="inlineStr">
        <x:is>
          <x:t xml:space="preserve">Нет</x:t>
        </x:is>
      </x:c>
      <x:c r="S766" s="31" t="inlineStr">
        <x:is>
          <x:t xml:space="preserve">Нет</x:t>
        </x:is>
      </x:c>
    </x:row>
    <x:row r="767">
      <x:c r="A767" s="31" t="inlineStr">
        <x:is>
          <x:t xml:space="preserve">ОП-000766</x:t>
        </x:is>
      </x:c>
      <x:c r="B767" s="31" t="inlineStr">
        <x:is>
          <x:t xml:space="preserve">ПЗ-00090</x:t>
        </x:is>
      </x:c>
      <x:c r="C767" s="31" t="inlineStr">
        <x:is>
          <x:t xml:space="preserve">ЗК-1047</x:t>
        </x:is>
      </x:c>
      <x:c r="D767" s="31" t="inlineStr">
        <x:is>
          <x:t xml:space="preserve">ПОЗ-0047-4</x:t>
        </x:is>
      </x:c>
      <x:c r="E767" s="31" t="inlineStr">
        <x:is>
          <x:t xml:space="preserve">ИЗД-028</x:t>
        </x:is>
      </x:c>
      <x:c r="F767" s="31" t="n">
        <x:v>60</x:v>
      </x:c>
      <x:c r="G767" s="31" t="inlineStr">
        <x:is>
          <x:t xml:space="preserve">Электромонтаж</x:t>
        </x:is>
      </x:c>
      <x:c r="H767" s="31" t="inlineStr">
        <x:is>
          <x:t xml:space="preserve">Сборка</x:t>
        </x:is>
      </x:c>
      <x:c r="I767" s="31" t="inlineStr">
        <x:is>
          <x:t xml:space="preserve">ОБ-002</x:t>
        </x:is>
      </x:c>
      <x:c r="J767" s="31" t="inlineStr">
        <x:is>
          <x:t xml:space="preserve">СОТР-084</x:t>
        </x:is>
      </x:c>
      <x:c r="K767" s="31" t="n">
        <x:v>35.4</x:v>
      </x:c>
      <x:c r="L767" s="31" t="n">
        <x:v>32.1</x:v>
      </x:c>
      <x:c r="M767" s="31" t="n">
        <x:v>46151</x:v>
      </x:c>
      <x:c r="N767" s="31" t="n">
        <x:v>46154</x:v>
      </x:c>
      <x:c r="O767" s="31" t="n">
        <x:v>46151</x:v>
      </x:c>
      <x:c r="P767" s="31" t="n">
        <x:v>46153</x:v>
      </x:c>
      <x:c r="Q767" s="31" t="inlineStr">
        <x:is>
          <x:t xml:space="preserve">Завершено</x:t>
        </x:is>
      </x:c>
      <x:c r="R767" s="31" t="inlineStr">
        <x:is>
          <x:t xml:space="preserve">Нет</x:t>
        </x:is>
      </x:c>
      <x:c r="S767" s="31" t="inlineStr">
        <x:is>
          <x:t xml:space="preserve">Нет</x:t>
        </x:is>
      </x:c>
    </x:row>
    <x:row r="768">
      <x:c r="A768" s="31" t="inlineStr">
        <x:is>
          <x:t xml:space="preserve">ОП-000767</x:t>
        </x:is>
      </x:c>
      <x:c r="B768" s="31" t="inlineStr">
        <x:is>
          <x:t xml:space="preserve">ПЗ-00090</x:t>
        </x:is>
      </x:c>
      <x:c r="C768" s="31" t="inlineStr">
        <x:is>
          <x:t xml:space="preserve">ЗК-1047</x:t>
        </x:is>
      </x:c>
      <x:c r="D768" s="31" t="inlineStr">
        <x:is>
          <x:t xml:space="preserve">ПОЗ-0047-4</x:t>
        </x:is>
      </x:c>
      <x:c r="E768" s="31" t="inlineStr">
        <x:is>
          <x:t xml:space="preserve">ИЗД-028</x:t>
        </x:is>
      </x:c>
      <x:c r="F768" s="31" t="n">
        <x:v>70</x:v>
      </x:c>
      <x:c r="G768" s="31" t="inlineStr">
        <x:is>
          <x:t xml:space="preserve">Гидроиспытания</x:t>
        </x:is>
      </x:c>
      <x:c r="H768" s="31" t="inlineStr">
        <x:is>
          <x:t xml:space="preserve">ОТК</x:t>
        </x:is>
      </x:c>
      <x:c r="I768" s="31" t="inlineStr">
        <x:is>
          <x:t xml:space="preserve">ОБ-028</x:t>
        </x:is>
      </x:c>
      <x:c r="J768" s="31" t="inlineStr">
        <x:is>
          <x:t xml:space="preserve">СОТР-063</x:t>
        </x:is>
      </x:c>
      <x:c r="K768" s="31" t="n">
        <x:v>5.4</x:v>
      </x:c>
      <x:c r="L768" s="31" t="n">
        <x:v>5.1</x:v>
      </x:c>
      <x:c r="M768" s="31" t="n">
        <x:v>46154</x:v>
      </x:c>
      <x:c r="N768" s="31" t="n">
        <x:v>46155</x:v>
      </x:c>
      <x:c r="O768" s="31" t="n">
        <x:v>46154</x:v>
      </x:c>
      <x:c r="P768" s="31" t="n">
        <x:v>46154</x:v>
      </x:c>
      <x:c r="Q768" s="31" t="inlineStr">
        <x:is>
          <x:t xml:space="preserve">Завершено</x:t>
        </x:is>
      </x:c>
      <x:c r="R768" s="31" t="inlineStr">
        <x:is>
          <x:t xml:space="preserve">Нет</x:t>
        </x:is>
      </x:c>
      <x:c r="S768" s="31" t="inlineStr">
        <x:is>
          <x:t xml:space="preserve">Да</x:t>
        </x:is>
      </x:c>
    </x:row>
    <x:row r="769">
      <x:c r="A769" s="31" t="inlineStr">
        <x:is>
          <x:t xml:space="preserve">ОП-000768</x:t>
        </x:is>
      </x:c>
      <x:c r="B769" s="31" t="inlineStr">
        <x:is>
          <x:t xml:space="preserve">ПЗ-00090</x:t>
        </x:is>
      </x:c>
      <x:c r="C769" s="31" t="inlineStr">
        <x:is>
          <x:t xml:space="preserve">ЗК-1047</x:t>
        </x:is>
      </x:c>
      <x:c r="D769" s="31" t="inlineStr">
        <x:is>
          <x:t xml:space="preserve">ПОЗ-0047-4</x:t>
        </x:is>
      </x:c>
      <x:c r="E769" s="31" t="inlineStr">
        <x:is>
          <x:t xml:space="preserve">ИЗД-028</x:t>
        </x:is>
      </x:c>
      <x:c r="F769" s="31" t="n">
        <x:v>80</x:v>
      </x:c>
      <x:c r="G769" s="31" t="inlineStr">
        <x:is>
          <x:t xml:space="preserve">ОТК</x:t>
        </x:is>
      </x:c>
      <x:c r="H769" s="31" t="inlineStr">
        <x:is>
          <x:t xml:space="preserve">ОТК</x:t>
        </x:is>
      </x:c>
      <x:c r="I769" s="31" t="inlineStr">
        <x:is>
          <x:t xml:space="preserve">ОБ-024</x:t>
        </x:is>
      </x:c>
      <x:c r="J769" s="31" t="inlineStr">
        <x:is>
          <x:t xml:space="preserve">СОТР-092</x:t>
        </x:is>
      </x:c>
      <x:c r="K769" s="31" t="n">
        <x:v>43.5</x:v>
      </x:c>
      <x:c r="L769" s="31" t="n"/>
      <x:c r="M769" s="31" t="n">
        <x:v>46155</x:v>
      </x:c>
      <x:c r="N769" s="31" t="n">
        <x:v>46159</x:v>
      </x:c>
      <x:c r="O769" s="31" t="n"/>
      <x:c r="P769" s="31" t="n"/>
      <x:c r="Q769" s="31" t="inlineStr">
        <x:is>
          <x:t xml:space="preserve">Запланировано</x:t>
        </x:is>
      </x:c>
      <x:c r="R769" s="31" t="inlineStr">
        <x:is>
          <x:t xml:space="preserve">Нет</x:t>
        </x:is>
      </x:c>
      <x:c r="S769" s="31" t="inlineStr">
        <x:is>
          <x:t xml:space="preserve">Нет</x:t>
        </x:is>
      </x:c>
    </x:row>
    <x:row r="770">
      <x:c r="A770" s="31" t="inlineStr">
        <x:is>
          <x:t xml:space="preserve">ОП-000769</x:t>
        </x:is>
      </x:c>
      <x:c r="B770" s="31" t="inlineStr">
        <x:is>
          <x:t xml:space="preserve">ПЗ-00090</x:t>
        </x:is>
      </x:c>
      <x:c r="C770" s="31" t="inlineStr">
        <x:is>
          <x:t xml:space="preserve">ЗК-1047</x:t>
        </x:is>
      </x:c>
      <x:c r="D770" s="31" t="inlineStr">
        <x:is>
          <x:t xml:space="preserve">ПОЗ-0047-4</x:t>
        </x:is>
      </x:c>
      <x:c r="E770" s="31" t="inlineStr">
        <x:is>
          <x:t xml:space="preserve">ИЗД-028</x:t>
        </x:is>
      </x:c>
      <x:c r="F770" s="31" t="n">
        <x:v>90</x:v>
      </x:c>
      <x:c r="G770" s="31" t="inlineStr">
        <x:is>
          <x:t xml:space="preserve">Упаковка</x:t>
        </x:is>
      </x:c>
      <x:c r="H770" s="31" t="inlineStr">
        <x:is>
          <x:t xml:space="preserve">Логистика</x:t>
        </x:is>
      </x:c>
      <x:c r="I770" s="31" t="n"/>
      <x:c r="J770" s="31" t="inlineStr">
        <x:is>
          <x:t xml:space="preserve">СОТР-070</x:t>
        </x:is>
      </x:c>
      <x:c r="K770" s="31" t="n">
        <x:v>20.4</x:v>
      </x:c>
      <x:c r="L770" s="31" t="n"/>
      <x:c r="M770" s="31" t="n">
        <x:v>46159</x:v>
      </x:c>
      <x:c r="N770" s="31" t="n">
        <x:v>46161</x:v>
      </x:c>
      <x:c r="O770" s="31" t="n"/>
      <x:c r="P770" s="31" t="n"/>
      <x:c r="Q770" s="31" t="inlineStr">
        <x:is>
          <x:t xml:space="preserve">Запланировано</x:t>
        </x:is>
      </x:c>
      <x:c r="R770" s="31" t="inlineStr">
        <x:is>
          <x:t xml:space="preserve">Нет</x:t>
        </x:is>
      </x:c>
      <x:c r="S770" s="31" t="inlineStr">
        <x:is>
          <x:t xml:space="preserve">Нет</x:t>
        </x:is>
      </x:c>
    </x:row>
    <x:row r="771">
      <x:c r="A771" s="31" t="inlineStr">
        <x:is>
          <x:t xml:space="preserve">ОП-000770</x:t>
        </x:is>
      </x:c>
      <x:c r="B771" s="31" t="inlineStr">
        <x:is>
          <x:t xml:space="preserve">ПЗ-00091</x:t>
        </x:is>
      </x:c>
      <x:c r="C771" s="31" t="inlineStr">
        <x:is>
          <x:t xml:space="preserve">ЗК-1048</x:t>
        </x:is>
      </x:c>
      <x:c r="D771" s="31" t="inlineStr">
        <x:is>
          <x:t xml:space="preserve">ПОЗ-0048-1</x:t>
        </x:is>
      </x:c>
      <x:c r="E771" s="31" t="inlineStr">
        <x:is>
          <x:t xml:space="preserve">ИЗД-015</x:t>
        </x:is>
      </x:c>
      <x:c r="F771" s="31" t="n">
        <x:v>10</x:v>
      </x:c>
      <x:c r="G771" s="31" t="inlineStr">
        <x:is>
          <x:t xml:space="preserve">Комплектация</x:t>
        </x:is>
      </x:c>
      <x:c r="H771" s="31" t="inlineStr">
        <x:is>
          <x:t xml:space="preserve">Склад</x:t>
        </x:is>
      </x:c>
      <x:c r="I771" s="31" t="inlineStr">
        <x:is>
          <x:t xml:space="preserve">ОБ-023</x:t>
        </x:is>
      </x:c>
      <x:c r="J771" s="31" t="inlineStr">
        <x:is>
          <x:t xml:space="preserve">СОТР-024</x:t>
        </x:is>
      </x:c>
      <x:c r="K771" s="31" t="n">
        <x:v>25</x:v>
      </x:c>
      <x:c r="L771" s="31" t="n">
        <x:v>30.5</x:v>
      </x:c>
      <x:c r="M771" s="31" t="n">
        <x:v>46153</x:v>
      </x:c>
      <x:c r="N771" s="31" t="n">
        <x:v>46156</x:v>
      </x:c>
      <x:c r="O771" s="31" t="n">
        <x:v>46153</x:v>
      </x:c>
      <x:c r="P771" s="31" t="n">
        <x:v>46155</x:v>
      </x:c>
      <x:c r="Q771" s="31" t="inlineStr">
        <x:is>
          <x:t xml:space="preserve">Завершено</x:t>
        </x:is>
      </x:c>
      <x:c r="R771" s="31" t="inlineStr">
        <x:is>
          <x:t xml:space="preserve">Нет</x:t>
        </x:is>
      </x:c>
      <x:c r="S771" s="31" t="inlineStr">
        <x:is>
          <x:t xml:space="preserve">Нет</x:t>
        </x:is>
      </x:c>
    </x:row>
    <x:row r="772">
      <x:c r="A772" s="31" t="inlineStr">
        <x:is>
          <x:t xml:space="preserve">ОП-000771</x:t>
        </x:is>
      </x:c>
      <x:c r="B772" s="31" t="inlineStr">
        <x:is>
          <x:t xml:space="preserve">ПЗ-00091</x:t>
        </x:is>
      </x:c>
      <x:c r="C772" s="31" t="inlineStr">
        <x:is>
          <x:t xml:space="preserve">ЗК-1048</x:t>
        </x:is>
      </x:c>
      <x:c r="D772" s="31" t="inlineStr">
        <x:is>
          <x:t xml:space="preserve">ПОЗ-0048-1</x:t>
        </x:is>
      </x:c>
      <x:c r="E772" s="31" t="inlineStr">
        <x:is>
          <x:t xml:space="preserve">ИЗД-015</x:t>
        </x:is>
      </x:c>
      <x:c r="F772" s="31" t="n">
        <x:v>20</x:v>
      </x:c>
      <x:c r="G772" s="31" t="inlineStr">
        <x:is>
          <x:t xml:space="preserve">Проверка</x:t>
        </x:is>
      </x:c>
      <x:c r="H772" s="31" t="inlineStr">
        <x:is>
          <x:t xml:space="preserve">ОТК</x:t>
        </x:is>
      </x:c>
      <x:c r="I772" s="31" t="inlineStr">
        <x:is>
          <x:t xml:space="preserve">ОБ-013</x:t>
        </x:is>
      </x:c>
      <x:c r="J772" s="31" t="inlineStr">
        <x:is>
          <x:t xml:space="preserve">СОТР-100</x:t>
        </x:is>
      </x:c>
      <x:c r="K772" s="31" t="n">
        <x:v>60</x:v>
      </x:c>
      <x:c r="L772" s="31" t="n">
        <x:v>60.9</x:v>
      </x:c>
      <x:c r="M772" s="31" t="n">
        <x:v>46156</x:v>
      </x:c>
      <x:c r="N772" s="31" t="n">
        <x:v>46161</x:v>
      </x:c>
      <x:c r="O772" s="31" t="n">
        <x:v>46156</x:v>
      </x:c>
      <x:c r="P772" s="31" t="n">
        <x:v>46160</x:v>
      </x:c>
      <x:c r="Q772" s="31" t="inlineStr">
        <x:is>
          <x:t xml:space="preserve">Завершено</x:t>
        </x:is>
      </x:c>
      <x:c r="R772" s="31" t="inlineStr">
        <x:is>
          <x:t xml:space="preserve">КД</x:t>
        </x:is>
      </x:c>
      <x:c r="S772" s="31" t="inlineStr">
        <x:is>
          <x:t xml:space="preserve">Нет</x:t>
        </x:is>
      </x:c>
    </x:row>
    <x:row r="773">
      <x:c r="A773" s="31" t="inlineStr">
        <x:is>
          <x:t xml:space="preserve">ОП-000772</x:t>
        </x:is>
      </x:c>
      <x:c r="B773" s="31" t="inlineStr">
        <x:is>
          <x:t xml:space="preserve">ПЗ-00091</x:t>
        </x:is>
      </x:c>
      <x:c r="C773" s="31" t="inlineStr">
        <x:is>
          <x:t xml:space="preserve">ЗК-1048</x:t>
        </x:is>
      </x:c>
      <x:c r="D773" s="31" t="inlineStr">
        <x:is>
          <x:t xml:space="preserve">ПОЗ-0048-1</x:t>
        </x:is>
      </x:c>
      <x:c r="E773" s="31" t="inlineStr">
        <x:is>
          <x:t xml:space="preserve">ИЗД-015</x:t>
        </x:is>
      </x:c>
      <x:c r="F773" s="31" t="n">
        <x:v>30</x:v>
      </x:c>
      <x:c r="G773" s="31" t="inlineStr">
        <x:is>
          <x:t xml:space="preserve">Упаковка</x:t>
        </x:is>
      </x:c>
      <x:c r="H773" s="31" t="inlineStr">
        <x:is>
          <x:t xml:space="preserve">Логистика</x:t>
        </x:is>
      </x:c>
      <x:c r="I773" s="31" t="n"/>
      <x:c r="J773" s="31" t="inlineStr">
        <x:is>
          <x:t xml:space="preserve">СОТР-105</x:t>
        </x:is>
      </x:c>
      <x:c r="K773" s="31" t="n">
        <x:v>46</x:v>
      </x:c>
      <x:c r="L773" s="31" t="n">
        <x:v>56.9</x:v>
      </x:c>
      <x:c r="M773" s="31" t="n">
        <x:v>46161</x:v>
      </x:c>
      <x:c r="N773" s="31" t="n">
        <x:v>46165</x:v>
      </x:c>
      <x:c r="O773" s="31" t="n">
        <x:v>46161</x:v>
      </x:c>
      <x:c r="P773" s="31" t="n">
        <x:v>46164</x:v>
      </x:c>
      <x:c r="Q773" s="31" t="inlineStr">
        <x:is>
          <x:t xml:space="preserve">Завершено</x:t>
        </x:is>
      </x:c>
      <x:c r="R773" s="31" t="inlineStr">
        <x:is>
          <x:t xml:space="preserve">Нет</x:t>
        </x:is>
      </x:c>
      <x:c r="S773" s="31" t="inlineStr">
        <x:is>
          <x:t xml:space="preserve">Да</x:t>
        </x:is>
      </x:c>
    </x:row>
    <x:row r="774">
      <x:c r="A774" s="31" t="inlineStr">
        <x:is>
          <x:t xml:space="preserve">ОП-000773</x:t>
        </x:is>
      </x:c>
      <x:c r="B774" s="31" t="inlineStr">
        <x:is>
          <x:t xml:space="preserve">ПЗ-00091</x:t>
        </x:is>
      </x:c>
      <x:c r="C774" s="31" t="inlineStr">
        <x:is>
          <x:t xml:space="preserve">ЗК-1048</x:t>
        </x:is>
      </x:c>
      <x:c r="D774" s="31" t="inlineStr">
        <x:is>
          <x:t xml:space="preserve">ПОЗ-0048-1</x:t>
        </x:is>
      </x:c>
      <x:c r="E774" s="31" t="inlineStr">
        <x:is>
          <x:t xml:space="preserve">ИЗД-015</x:t>
        </x:is>
      </x:c>
      <x:c r="F774" s="31" t="n">
        <x:v>40</x:v>
      </x:c>
      <x:c r="G774" s="31" t="inlineStr">
        <x:is>
          <x:t xml:space="preserve">ОТК</x:t>
        </x:is>
      </x:c>
      <x:c r="H774" s="31" t="inlineStr">
        <x:is>
          <x:t xml:space="preserve">ОТК</x:t>
        </x:is>
      </x:c>
      <x:c r="I774" s="31" t="inlineStr">
        <x:is>
          <x:t xml:space="preserve">ОБ-006</x:t>
        </x:is>
      </x:c>
      <x:c r="J774" s="31" t="inlineStr">
        <x:is>
          <x:t xml:space="preserve">СОТР-099</x:t>
        </x:is>
      </x:c>
      <x:c r="K774" s="31" t="n">
        <x:v>28</x:v>
      </x:c>
      <x:c r="L774" s="31" t="n">
        <x:v>32.2</x:v>
      </x:c>
      <x:c r="M774" s="31" t="n">
        <x:v>46165</x:v>
      </x:c>
      <x:c r="N774" s="31" t="n">
        <x:v>46168</x:v>
      </x:c>
      <x:c r="O774" s="31" t="n">
        <x:v>46165</x:v>
      </x:c>
      <x:c r="P774" s="31" t="n">
        <x:v>46170</x:v>
      </x:c>
      <x:c r="Q774" s="31" t="inlineStr">
        <x:is>
          <x:t xml:space="preserve">Завершено</x:t>
        </x:is>
      </x:c>
      <x:c r="R774" s="31" t="inlineStr">
        <x:is>
          <x:t xml:space="preserve">Нет</x:t>
        </x:is>
      </x:c>
      <x:c r="S774" s="31" t="inlineStr">
        <x:is>
          <x:t xml:space="preserve">Нет</x:t>
        </x:is>
      </x:c>
    </x:row>
    <x:row r="775">
      <x:c r="A775" s="31" t="inlineStr">
        <x:is>
          <x:t xml:space="preserve">ОП-000774</x:t>
        </x:is>
      </x:c>
      <x:c r="B775" s="31" t="inlineStr">
        <x:is>
          <x:t xml:space="preserve">ПЗ-00092</x:t>
        </x:is>
      </x:c>
      <x:c r="C775" s="31" t="inlineStr">
        <x:is>
          <x:t xml:space="preserve">ЗК-1049</x:t>
        </x:is>
      </x:c>
      <x:c r="D775" s="31" t="inlineStr">
        <x:is>
          <x:t xml:space="preserve">ПОЗ-0049-1</x:t>
        </x:is>
      </x:c>
      <x:c r="E775" s="31" t="inlineStr">
        <x:is>
          <x:t xml:space="preserve">ИЗД-028</x:t>
        </x:is>
      </x:c>
      <x:c r="F775" s="31" t="n">
        <x:v>10</x:v>
      </x:c>
      <x:c r="G775" s="31" t="inlineStr">
        <x:is>
          <x:t xml:space="preserve">КД</x:t>
        </x:is>
      </x:c>
      <x:c r="H775" s="31" t="inlineStr">
        <x:is>
          <x:t xml:space="preserve">Инженерный отдел</x:t>
        </x:is>
      </x:c>
      <x:c r="I775" s="31" t="n"/>
      <x:c r="J775" s="31" t="inlineStr">
        <x:is>
          <x:t xml:space="preserve">СОТР-014</x:t>
        </x:is>
      </x:c>
      <x:c r="K775" s="31" t="n">
        <x:v>28</x:v>
      </x:c>
      <x:c r="L775" s="31" t="n">
        <x:v>24.1</x:v>
      </x:c>
      <x:c r="M775" s="31" t="n">
        <x:v>46051</x:v>
      </x:c>
      <x:c r="N775" s="31" t="n">
        <x:v>46054</x:v>
      </x:c>
      <x:c r="O775" s="31" t="n">
        <x:v>46051</x:v>
      </x:c>
      <x:c r="P775" s="31" t="n">
        <x:v>46054</x:v>
      </x:c>
      <x:c r="Q775" s="31" t="inlineStr">
        <x:is>
          <x:t xml:space="preserve">Завершено</x:t>
        </x:is>
      </x:c>
      <x:c r="R775" s="31" t="inlineStr">
        <x:is>
          <x:t xml:space="preserve">Нет</x:t>
        </x:is>
      </x:c>
      <x:c r="S775" s="31" t="inlineStr">
        <x:is>
          <x:t xml:space="preserve">Да</x:t>
        </x:is>
      </x:c>
    </x:row>
    <x:row r="776">
      <x:c r="A776" s="31" t="inlineStr">
        <x:is>
          <x:t xml:space="preserve">ОП-000775</x:t>
        </x:is>
      </x:c>
      <x:c r="B776" s="31" t="inlineStr">
        <x:is>
          <x:t xml:space="preserve">ПЗ-00092</x:t>
        </x:is>
      </x:c>
      <x:c r="C776" s="31" t="inlineStr">
        <x:is>
          <x:t xml:space="preserve">ЗК-1049</x:t>
        </x:is>
      </x:c>
      <x:c r="D776" s="31" t="inlineStr">
        <x:is>
          <x:t xml:space="preserve">ПОЗ-0049-1</x:t>
        </x:is>
      </x:c>
      <x:c r="E776" s="31" t="inlineStr">
        <x:is>
          <x:t xml:space="preserve">ИЗД-028</x:t>
        </x:is>
      </x:c>
      <x:c r="F776" s="31" t="n">
        <x:v>20</x:v>
      </x:c>
      <x:c r="G776" s="31" t="inlineStr">
        <x:is>
          <x:t xml:space="preserve">Резерв материалов</x:t>
        </x:is>
      </x:c>
      <x:c r="H776" s="31" t="inlineStr">
        <x:is>
          <x:t xml:space="preserve">Склад</x:t>
        </x:is>
      </x:c>
      <x:c r="I776" s="31" t="inlineStr">
        <x:is>
          <x:t xml:space="preserve">ОБ-009</x:t>
        </x:is>
      </x:c>
      <x:c r="J776" s="31" t="inlineStr">
        <x:is>
          <x:t xml:space="preserve">СОТР-034</x:t>
        </x:is>
      </x:c>
      <x:c r="K776" s="31" t="n">
        <x:v>27.6</x:v>
      </x:c>
      <x:c r="L776" s="31" t="n">
        <x:v>23.2</x:v>
      </x:c>
      <x:c r="M776" s="31" t="n">
        <x:v>46054</x:v>
      </x:c>
      <x:c r="N776" s="31" t="n">
        <x:v>46057</x:v>
      </x:c>
      <x:c r="O776" s="31" t="n">
        <x:v>46054</x:v>
      </x:c>
      <x:c r="P776" s="31" t="n">
        <x:v>46057</x:v>
      </x:c>
      <x:c r="Q776" s="31" t="inlineStr">
        <x:is>
          <x:t xml:space="preserve">Завершено</x:t>
        </x:is>
      </x:c>
      <x:c r="R776" s="31" t="inlineStr">
        <x:is>
          <x:t xml:space="preserve">Нет</x:t>
        </x:is>
      </x:c>
      <x:c r="S776" s="31" t="inlineStr">
        <x:is>
          <x:t xml:space="preserve">Нет</x:t>
        </x:is>
      </x:c>
    </x:row>
    <x:row r="777">
      <x:c r="A777" s="31" t="inlineStr">
        <x:is>
          <x:t xml:space="preserve">ОП-000776</x:t>
        </x:is>
      </x:c>
      <x:c r="B777" s="31" t="inlineStr">
        <x:is>
          <x:t xml:space="preserve">ПЗ-00092</x:t>
        </x:is>
      </x:c>
      <x:c r="C777" s="31" t="inlineStr">
        <x:is>
          <x:t xml:space="preserve">ЗК-1049</x:t>
        </x:is>
      </x:c>
      <x:c r="D777" s="31" t="inlineStr">
        <x:is>
          <x:t xml:space="preserve">ПОЗ-0049-1</x:t>
        </x:is>
      </x:c>
      <x:c r="E777" s="31" t="inlineStr">
        <x:is>
          <x:t xml:space="preserve">ИЗД-028</x:t>
        </x:is>
      </x:c>
      <x:c r="F777" s="31" t="n">
        <x:v>30</x:v>
      </x:c>
      <x:c r="G777" s="31" t="inlineStr">
        <x:is>
          <x:t xml:space="preserve">Сварка рамы</x:t>
        </x:is>
      </x:c>
      <x:c r="H777" s="31" t="inlineStr">
        <x:is>
          <x:t xml:space="preserve">Сварка</x:t>
        </x:is>
      </x:c>
      <x:c r="I777" s="31" t="inlineStr">
        <x:is>
          <x:t xml:space="preserve">ОБ-019</x:t>
        </x:is>
      </x:c>
      <x:c r="J777" s="31" t="inlineStr">
        <x:is>
          <x:t xml:space="preserve">СОТР-057</x:t>
        </x:is>
      </x:c>
      <x:c r="K777" s="31" t="n">
        <x:v>33.4</x:v>
      </x:c>
      <x:c r="L777" s="31" t="n">
        <x:v>31.9</x:v>
      </x:c>
      <x:c r="M777" s="31" t="n">
        <x:v>46057</x:v>
      </x:c>
      <x:c r="N777" s="31" t="n">
        <x:v>46060</x:v>
      </x:c>
      <x:c r="O777" s="31" t="n">
        <x:v>46057</x:v>
      </x:c>
      <x:c r="P777" s="31" t="n">
        <x:v>46059</x:v>
      </x:c>
      <x:c r="Q777" s="31" t="inlineStr">
        <x:is>
          <x:t xml:space="preserve">Завершено</x:t>
        </x:is>
      </x:c>
      <x:c r="R777" s="31" t="inlineStr">
        <x:is>
          <x:t xml:space="preserve">Нет</x:t>
        </x:is>
      </x:c>
      <x:c r="S777" s="31" t="inlineStr">
        <x:is>
          <x:t xml:space="preserve">Нет</x:t>
        </x:is>
      </x:c>
    </x:row>
    <x:row r="778">
      <x:c r="A778" s="31" t="inlineStr">
        <x:is>
          <x:t xml:space="preserve">ОП-000777</x:t>
        </x:is>
      </x:c>
      <x:c r="B778" s="31" t="inlineStr">
        <x:is>
          <x:t xml:space="preserve">ПЗ-00092</x:t>
        </x:is>
      </x:c>
      <x:c r="C778" s="31" t="inlineStr">
        <x:is>
          <x:t xml:space="preserve">ЗК-1049</x:t>
        </x:is>
      </x:c>
      <x:c r="D778" s="31" t="inlineStr">
        <x:is>
          <x:t xml:space="preserve">ПОЗ-0049-1</x:t>
        </x:is>
      </x:c>
      <x:c r="E778" s="31" t="inlineStr">
        <x:is>
          <x:t xml:space="preserve">ИЗД-028</x:t>
        </x:is>
      </x:c>
      <x:c r="F778" s="31" t="n">
        <x:v>40</x:v>
      </x:c>
      <x:c r="G778" s="31" t="inlineStr">
        <x:is>
          <x:t xml:space="preserve">Сборка</x:t>
        </x:is>
      </x:c>
      <x:c r="H778" s="31" t="inlineStr">
        <x:is>
          <x:t xml:space="preserve">Сборка</x:t>
        </x:is>
      </x:c>
      <x:c r="I778" s="31" t="inlineStr">
        <x:is>
          <x:t xml:space="preserve">ОБ-005</x:t>
        </x:is>
      </x:c>
      <x:c r="J778" s="31" t="inlineStr">
        <x:is>
          <x:t xml:space="preserve">СОТР-075</x:t>
        </x:is>
      </x:c>
      <x:c r="K778" s="31" t="n">
        <x:v>34.6</x:v>
      </x:c>
      <x:c r="L778" s="31" t="n">
        <x:v>41.6</x:v>
      </x:c>
      <x:c r="M778" s="31" t="n">
        <x:v>46060</x:v>
      </x:c>
      <x:c r="N778" s="31" t="n">
        <x:v>46063</x:v>
      </x:c>
      <x:c r="O778" s="31" t="n">
        <x:v>46060</x:v>
      </x:c>
      <x:c r="P778" s="31" t="n">
        <x:v>46064</x:v>
      </x:c>
      <x:c r="Q778" s="31" t="inlineStr">
        <x:is>
          <x:t xml:space="preserve">Завершено</x:t>
        </x:is>
      </x:c>
      <x:c r="R778" s="31" t="inlineStr">
        <x:is>
          <x:t xml:space="preserve">Оборудование</x:t>
        </x:is>
      </x:c>
      <x:c r="S778" s="31" t="inlineStr">
        <x:is>
          <x:t xml:space="preserve">Да</x:t>
        </x:is>
      </x:c>
    </x:row>
    <x:row r="779">
      <x:c r="A779" s="31" t="inlineStr">
        <x:is>
          <x:t xml:space="preserve">ОП-000778</x:t>
        </x:is>
      </x:c>
      <x:c r="B779" s="31" t="inlineStr">
        <x:is>
          <x:t xml:space="preserve">ПЗ-00092</x:t>
        </x:is>
      </x:c>
      <x:c r="C779" s="31" t="inlineStr">
        <x:is>
          <x:t xml:space="preserve">ЗК-1049</x:t>
        </x:is>
      </x:c>
      <x:c r="D779" s="31" t="inlineStr">
        <x:is>
          <x:t xml:space="preserve">ПОЗ-0049-1</x:t>
        </x:is>
      </x:c>
      <x:c r="E779" s="31" t="inlineStr">
        <x:is>
          <x:t xml:space="preserve">ИЗД-028</x:t>
        </x:is>
      </x:c>
      <x:c r="F779" s="31" t="n">
        <x:v>50</x:v>
      </x:c>
      <x:c r="G779" s="31" t="inlineStr">
        <x:is>
          <x:t xml:space="preserve">Обвязка труб</x:t>
        </x:is>
      </x:c>
      <x:c r="H779" s="31" t="inlineStr">
        <x:is>
          <x:t xml:space="preserve">Сборка</x:t>
        </x:is>
      </x:c>
      <x:c r="I779" s="31" t="inlineStr">
        <x:is>
          <x:t xml:space="preserve">ОБ-005</x:t>
        </x:is>
      </x:c>
      <x:c r="J779" s="31" t="inlineStr">
        <x:is>
          <x:t xml:space="preserve">СОТР-075</x:t>
        </x:is>
      </x:c>
      <x:c r="K779" s="31" t="n">
        <x:v>26.6</x:v>
      </x:c>
      <x:c r="L779" s="31" t="n">
        <x:v>28.2</x:v>
      </x:c>
      <x:c r="M779" s="31" t="n">
        <x:v>46063</x:v>
      </x:c>
      <x:c r="N779" s="31" t="n">
        <x:v>46066</x:v>
      </x:c>
      <x:c r="O779" s="31" t="n">
        <x:v>46063</x:v>
      </x:c>
      <x:c r="P779" s="31" t="n">
        <x:v>46065</x:v>
      </x:c>
      <x:c r="Q779" s="31" t="inlineStr">
        <x:is>
          <x:t xml:space="preserve">Завершено</x:t>
        </x:is>
      </x:c>
      <x:c r="R779" s="31" t="inlineStr">
        <x:is>
          <x:t xml:space="preserve">Нет</x:t>
        </x:is>
      </x:c>
      <x:c r="S779" s="31" t="inlineStr">
        <x:is>
          <x:t xml:space="preserve">Нет</x:t>
        </x:is>
      </x:c>
    </x:row>
    <x:row r="780">
      <x:c r="A780" s="31" t="inlineStr">
        <x:is>
          <x:t xml:space="preserve">ОП-000779</x:t>
        </x:is>
      </x:c>
      <x:c r="B780" s="31" t="inlineStr">
        <x:is>
          <x:t xml:space="preserve">ПЗ-00092</x:t>
        </x:is>
      </x:c>
      <x:c r="C780" s="31" t="inlineStr">
        <x:is>
          <x:t xml:space="preserve">ЗК-1049</x:t>
        </x:is>
      </x:c>
      <x:c r="D780" s="31" t="inlineStr">
        <x:is>
          <x:t xml:space="preserve">ПОЗ-0049-1</x:t>
        </x:is>
      </x:c>
      <x:c r="E780" s="31" t="inlineStr">
        <x:is>
          <x:t xml:space="preserve">ИЗД-028</x:t>
        </x:is>
      </x:c>
      <x:c r="F780" s="31" t="n">
        <x:v>60</x:v>
      </x:c>
      <x:c r="G780" s="31" t="inlineStr">
        <x:is>
          <x:t xml:space="preserve">Электромонтаж</x:t>
        </x:is>
      </x:c>
      <x:c r="H780" s="31" t="inlineStr">
        <x:is>
          <x:t xml:space="preserve">Сборка</x:t>
        </x:is>
      </x:c>
      <x:c r="I780" s="31" t="inlineStr">
        <x:is>
          <x:t xml:space="preserve">ОБ-002</x:t>
        </x:is>
      </x:c>
      <x:c r="J780" s="31" t="inlineStr">
        <x:is>
          <x:t xml:space="preserve">СОТР-087</x:t>
        </x:is>
      </x:c>
      <x:c r="K780" s="31" t="n">
        <x:v>23.6</x:v>
      </x:c>
      <x:c r="L780" s="31" t="n">
        <x:v>26.3</x:v>
      </x:c>
      <x:c r="M780" s="31" t="n">
        <x:v>46066</x:v>
      </x:c>
      <x:c r="N780" s="31" t="n">
        <x:v>46068</x:v>
      </x:c>
      <x:c r="O780" s="31" t="n">
        <x:v>46066</x:v>
      </x:c>
      <x:c r="P780" s="31" t="n">
        <x:v>46069</x:v>
      </x:c>
      <x:c r="Q780" s="31" t="inlineStr">
        <x:is>
          <x:t xml:space="preserve">Завершено</x:t>
        </x:is>
      </x:c>
      <x:c r="R780" s="31" t="inlineStr">
        <x:is>
          <x:t xml:space="preserve">Нет</x:t>
        </x:is>
      </x:c>
      <x:c r="S780" s="31" t="inlineStr">
        <x:is>
          <x:t xml:space="preserve">Нет</x:t>
        </x:is>
      </x:c>
    </x:row>
    <x:row r="781">
      <x:c r="A781" s="31" t="inlineStr">
        <x:is>
          <x:t xml:space="preserve">ОП-000780</x:t>
        </x:is>
      </x:c>
      <x:c r="B781" s="31" t="inlineStr">
        <x:is>
          <x:t xml:space="preserve">ПЗ-00092</x:t>
        </x:is>
      </x:c>
      <x:c r="C781" s="31" t="inlineStr">
        <x:is>
          <x:t xml:space="preserve">ЗК-1049</x:t>
        </x:is>
      </x:c>
      <x:c r="D781" s="31" t="inlineStr">
        <x:is>
          <x:t xml:space="preserve">ПОЗ-0049-1</x:t>
        </x:is>
      </x:c>
      <x:c r="E781" s="31" t="inlineStr">
        <x:is>
          <x:t xml:space="preserve">ИЗД-028</x:t>
        </x:is>
      </x:c>
      <x:c r="F781" s="31" t="n">
        <x:v>70</x:v>
      </x:c>
      <x:c r="G781" s="31" t="inlineStr">
        <x:is>
          <x:t xml:space="preserve">Гидроиспытания</x:t>
        </x:is>
      </x:c>
      <x:c r="H781" s="31" t="inlineStr">
        <x:is>
          <x:t xml:space="preserve">ОТК</x:t>
        </x:is>
      </x:c>
      <x:c r="I781" s="31" t="inlineStr">
        <x:is>
          <x:t xml:space="preserve">ОБ-028</x:t>
        </x:is>
      </x:c>
      <x:c r="J781" s="31" t="inlineStr">
        <x:is>
          <x:t xml:space="preserve">СОТР-100</x:t>
        </x:is>
      </x:c>
      <x:c r="K781" s="31" t="n">
        <x:v>3.6</x:v>
      </x:c>
      <x:c r="L781" s="31" t="n">
        <x:v>3.1</x:v>
      </x:c>
      <x:c r="M781" s="31" t="n">
        <x:v>46068</x:v>
      </x:c>
      <x:c r="N781" s="31" t="n">
        <x:v>46069</x:v>
      </x:c>
      <x:c r="O781" s="31" t="n">
        <x:v>46068</x:v>
      </x:c>
      <x:c r="P781" s="31" t="n">
        <x:v>46069</x:v>
      </x:c>
      <x:c r="Q781" s="31" t="inlineStr">
        <x:is>
          <x:t xml:space="preserve">Завершено</x:t>
        </x:is>
      </x:c>
      <x:c r="R781" s="31" t="inlineStr">
        <x:is>
          <x:t xml:space="preserve">Нет</x:t>
        </x:is>
      </x:c>
      <x:c r="S781" s="31" t="inlineStr">
        <x:is>
          <x:t xml:space="preserve">Нет</x:t>
        </x:is>
      </x:c>
    </x:row>
    <x:row r="782">
      <x:c r="A782" s="31" t="inlineStr">
        <x:is>
          <x:t xml:space="preserve">ОП-000781</x:t>
        </x:is>
      </x:c>
      <x:c r="B782" s="31" t="inlineStr">
        <x:is>
          <x:t xml:space="preserve">ПЗ-00092</x:t>
        </x:is>
      </x:c>
      <x:c r="C782" s="31" t="inlineStr">
        <x:is>
          <x:t xml:space="preserve">ЗК-1049</x:t>
        </x:is>
      </x:c>
      <x:c r="D782" s="31" t="inlineStr">
        <x:is>
          <x:t xml:space="preserve">ПОЗ-0049-1</x:t>
        </x:is>
      </x:c>
      <x:c r="E782" s="31" t="inlineStr">
        <x:is>
          <x:t xml:space="preserve">ИЗД-028</x:t>
        </x:is>
      </x:c>
      <x:c r="F782" s="31" t="n">
        <x:v>80</x:v>
      </x:c>
      <x:c r="G782" s="31" t="inlineStr">
        <x:is>
          <x:t xml:space="preserve">ОТК</x:t>
        </x:is>
      </x:c>
      <x:c r="H782" s="31" t="inlineStr">
        <x:is>
          <x:t xml:space="preserve">ОТК</x:t>
        </x:is>
      </x:c>
      <x:c r="I782" s="31" t="inlineStr">
        <x:is>
          <x:t xml:space="preserve">ОБ-024</x:t>
        </x:is>
      </x:c>
      <x:c r="J782" s="31" t="inlineStr">
        <x:is>
          <x:t xml:space="preserve">СОТР-098</x:t>
        </x:is>
      </x:c>
      <x:c r="K782" s="31" t="n">
        <x:v>29</x:v>
      </x:c>
      <x:c r="L782" s="31" t="n">
        <x:v>29.7</x:v>
      </x:c>
      <x:c r="M782" s="31" t="n">
        <x:v>46069</x:v>
      </x:c>
      <x:c r="N782" s="31" t="n">
        <x:v>46072</x:v>
      </x:c>
      <x:c r="O782" s="31" t="n">
        <x:v>46069</x:v>
      </x:c>
      <x:c r="P782" s="31" t="n">
        <x:v>46074</x:v>
      </x:c>
      <x:c r="Q782" s="31" t="inlineStr">
        <x:is>
          <x:t xml:space="preserve">Завершено</x:t>
        </x:is>
      </x:c>
      <x:c r="R782" s="31" t="inlineStr">
        <x:is>
          <x:t xml:space="preserve">Нет</x:t>
        </x:is>
      </x:c>
      <x:c r="S782" s="31" t="inlineStr">
        <x:is>
          <x:t xml:space="preserve">Нет</x:t>
        </x:is>
      </x:c>
    </x:row>
    <x:row r="783">
      <x:c r="A783" s="31" t="inlineStr">
        <x:is>
          <x:t xml:space="preserve">ОП-000782</x:t>
        </x:is>
      </x:c>
      <x:c r="B783" s="31" t="inlineStr">
        <x:is>
          <x:t xml:space="preserve">ПЗ-00092</x:t>
        </x:is>
      </x:c>
      <x:c r="C783" s="31" t="inlineStr">
        <x:is>
          <x:t xml:space="preserve">ЗК-1049</x:t>
        </x:is>
      </x:c>
      <x:c r="D783" s="31" t="inlineStr">
        <x:is>
          <x:t xml:space="preserve">ПОЗ-0049-1</x:t>
        </x:is>
      </x:c>
      <x:c r="E783" s="31" t="inlineStr">
        <x:is>
          <x:t xml:space="preserve">ИЗД-028</x:t>
        </x:is>
      </x:c>
      <x:c r="F783" s="31" t="n">
        <x:v>90</x:v>
      </x:c>
      <x:c r="G783" s="31" t="inlineStr">
        <x:is>
          <x:t xml:space="preserve">Упаковка</x:t>
        </x:is>
      </x:c>
      <x:c r="H783" s="31" t="inlineStr">
        <x:is>
          <x:t xml:space="preserve">Логистика</x:t>
        </x:is>
      </x:c>
      <x:c r="I783" s="31" t="n"/>
      <x:c r="J783" s="31" t="inlineStr">
        <x:is>
          <x:t xml:space="preserve">СОТР-105</x:t>
        </x:is>
      </x:c>
      <x:c r="K783" s="31" t="n">
        <x:v>13.6</x:v>
      </x:c>
      <x:c r="L783" s="31" t="n">
        <x:v>10.9</x:v>
      </x:c>
      <x:c r="M783" s="31" t="n">
        <x:v>46072</x:v>
      </x:c>
      <x:c r="N783" s="31" t="n">
        <x:v>46074</x:v>
      </x:c>
      <x:c r="O783" s="31" t="n">
        <x:v>46072</x:v>
      </x:c>
      <x:c r="P783" s="31" t="n">
        <x:v>46073</x:v>
      </x:c>
      <x:c r="Q783" s="31" t="inlineStr">
        <x:is>
          <x:t xml:space="preserve">Завершено</x:t>
        </x:is>
      </x:c>
      <x:c r="R783" s="31" t="inlineStr">
        <x:is>
          <x:t xml:space="preserve">Оборудование</x:t>
        </x:is>
      </x:c>
      <x:c r="S783" s="31" t="inlineStr">
        <x:is>
          <x:t xml:space="preserve">Нет</x:t>
        </x:is>
      </x:c>
    </x:row>
    <x:row r="784">
      <x:c r="A784" s="31" t="inlineStr">
        <x:is>
          <x:t xml:space="preserve">ОП-000783</x:t>
        </x:is>
      </x:c>
      <x:c r="B784" s="31" t="inlineStr">
        <x:is>
          <x:t xml:space="preserve">ПЗ-00093</x:t>
        </x:is>
      </x:c>
      <x:c r="C784" s="31" t="inlineStr">
        <x:is>
          <x:t xml:space="preserve">ЗК-1049</x:t>
        </x:is>
      </x:c>
      <x:c r="D784" s="31" t="inlineStr">
        <x:is>
          <x:t xml:space="preserve">ПОЗ-0049-2</x:t>
        </x:is>
      </x:c>
      <x:c r="E784" s="31" t="inlineStr">
        <x:is>
          <x:t xml:space="preserve">ИЗД-032</x:t>
        </x:is>
      </x:c>
      <x:c r="F784" s="31" t="n">
        <x:v>10</x:v>
      </x:c>
      <x:c r="G784" s="31" t="inlineStr">
        <x:is>
          <x:t xml:space="preserve">Комплектация</x:t>
        </x:is>
      </x:c>
      <x:c r="H784" s="31" t="inlineStr">
        <x:is>
          <x:t xml:space="preserve">Склад</x:t>
        </x:is>
      </x:c>
      <x:c r="I784" s="31" t="inlineStr">
        <x:is>
          <x:t xml:space="preserve">ОБ-008</x:t>
        </x:is>
      </x:c>
      <x:c r="J784" s="31" t="inlineStr">
        <x:is>
          <x:t xml:space="preserve">СОТР-035</x:t>
        </x:is>
      </x:c>
      <x:c r="K784" s="31" t="n">
        <x:v>99.59999999999999</x:v>
      </x:c>
      <x:c r="L784" s="31" t="n">
        <x:v>109.8</x:v>
      </x:c>
      <x:c r="M784" s="31" t="n">
        <x:v>46052</x:v>
      </x:c>
      <x:c r="N784" s="31" t="n">
        <x:v>46061</x:v>
      </x:c>
      <x:c r="O784" s="31" t="n">
        <x:v>46052</x:v>
      </x:c>
      <x:c r="P784" s="31" t="n">
        <x:v>46061</x:v>
      </x:c>
      <x:c r="Q784" s="31" t="inlineStr">
        <x:is>
          <x:t xml:space="preserve">Завершено</x:t>
        </x:is>
      </x:c>
      <x:c r="R784" s="31" t="inlineStr">
        <x:is>
          <x:t xml:space="preserve">Нет</x:t>
        </x:is>
      </x:c>
      <x:c r="S784" s="31" t="inlineStr">
        <x:is>
          <x:t xml:space="preserve">Нет</x:t>
        </x:is>
      </x:c>
    </x:row>
    <x:row r="785">
      <x:c r="A785" s="31" t="inlineStr">
        <x:is>
          <x:t xml:space="preserve">ОП-000784</x:t>
        </x:is>
      </x:c>
      <x:c r="B785" s="31" t="inlineStr">
        <x:is>
          <x:t xml:space="preserve">ПЗ-00093</x:t>
        </x:is>
      </x:c>
      <x:c r="C785" s="31" t="inlineStr">
        <x:is>
          <x:t xml:space="preserve">ЗК-1049</x:t>
        </x:is>
      </x:c>
      <x:c r="D785" s="31" t="inlineStr">
        <x:is>
          <x:t xml:space="preserve">ПОЗ-0049-2</x:t>
        </x:is>
      </x:c>
      <x:c r="E785" s="31" t="inlineStr">
        <x:is>
          <x:t xml:space="preserve">ИЗД-032</x:t>
        </x:is>
      </x:c>
      <x:c r="F785" s="31" t="n">
        <x:v>20</x:v>
      </x:c>
      <x:c r="G785" s="31" t="inlineStr">
        <x:is>
          <x:t xml:space="preserve">Входной контроль</x:t>
        </x:is>
      </x:c>
      <x:c r="H785" s="31" t="inlineStr">
        <x:is>
          <x:t xml:space="preserve">ОТК</x:t>
        </x:is>
      </x:c>
      <x:c r="I785" s="31" t="inlineStr">
        <x:is>
          <x:t xml:space="preserve">ОБ-024</x:t>
        </x:is>
      </x:c>
      <x:c r="J785" s="31" t="inlineStr">
        <x:is>
          <x:t xml:space="preserve">СОТР-093</x:t>
        </x:is>
      </x:c>
      <x:c r="K785" s="31" t="n">
        <x:v>48</x:v>
      </x:c>
      <x:c r="L785" s="31" t="n">
        <x:v>60.6</x:v>
      </x:c>
      <x:c r="M785" s="31" t="n">
        <x:v>46061</x:v>
      </x:c>
      <x:c r="N785" s="31" t="n">
        <x:v>46065</x:v>
      </x:c>
      <x:c r="O785" s="31" t="n">
        <x:v>46061</x:v>
      </x:c>
      <x:c r="P785" s="31" t="n">
        <x:v>46067</x:v>
      </x:c>
      <x:c r="Q785" s="31" t="inlineStr">
        <x:is>
          <x:t xml:space="preserve">Завершено</x:t>
        </x:is>
      </x:c>
      <x:c r="R785" s="31" t="inlineStr">
        <x:is>
          <x:t xml:space="preserve">Нет</x:t>
        </x:is>
      </x:c>
      <x:c r="S785" s="31" t="inlineStr">
        <x:is>
          <x:t xml:space="preserve">Нет</x:t>
        </x:is>
      </x:c>
    </x:row>
    <x:row r="786">
      <x:c r="A786" s="31" t="inlineStr">
        <x:is>
          <x:t xml:space="preserve">ОП-000785</x:t>
        </x:is>
      </x:c>
      <x:c r="B786" s="31" t="inlineStr">
        <x:is>
          <x:t xml:space="preserve">ПЗ-00093</x:t>
        </x:is>
      </x:c>
      <x:c r="C786" s="31" t="inlineStr">
        <x:is>
          <x:t xml:space="preserve">ЗК-1049</x:t>
        </x:is>
      </x:c>
      <x:c r="D786" s="31" t="inlineStr">
        <x:is>
          <x:t xml:space="preserve">ПОЗ-0049-2</x:t>
        </x:is>
      </x:c>
      <x:c r="E786" s="31" t="inlineStr">
        <x:is>
          <x:t xml:space="preserve">ИЗД-032</x:t>
        </x:is>
      </x:c>
      <x:c r="F786" s="31" t="n">
        <x:v>30</x:v>
      </x:c>
      <x:c r="G786" s="31" t="inlineStr">
        <x:is>
          <x:t xml:space="preserve">Упаковка</x:t>
        </x:is>
      </x:c>
      <x:c r="H786" s="31" t="inlineStr">
        <x:is>
          <x:t xml:space="preserve">Логистика</x:t>
        </x:is>
      </x:c>
      <x:c r="I786" s="31" t="n"/>
      <x:c r="J786" s="31" t="inlineStr">
        <x:is>
          <x:t xml:space="preserve">СОТР-104</x:t>
        </x:is>
      </x:c>
      <x:c r="K786" s="31" t="n">
        <x:v>114</x:v>
      </x:c>
      <x:c r="L786" s="31" t="n">
        <x:v>119.5</x:v>
      </x:c>
      <x:c r="M786" s="31" t="n">
        <x:v>46065</x:v>
      </x:c>
      <x:c r="N786" s="31" t="n">
        <x:v>46075</x:v>
      </x:c>
      <x:c r="O786" s="31" t="n">
        <x:v>46065</x:v>
      </x:c>
      <x:c r="P786" s="31" t="n">
        <x:v>46074</x:v>
      </x:c>
      <x:c r="Q786" s="31" t="inlineStr">
        <x:is>
          <x:t xml:space="preserve">Завершено</x:t>
        </x:is>
      </x:c>
      <x:c r="R786" s="31" t="inlineStr">
        <x:is>
          <x:t xml:space="preserve">Нет</x:t>
        </x:is>
      </x:c>
      <x:c r="S786" s="31" t="inlineStr">
        <x:is>
          <x:t xml:space="preserve">Нет</x:t>
        </x:is>
      </x:c>
    </x:row>
    <x:row r="787">
      <x:c r="A787" s="31" t="inlineStr">
        <x:is>
          <x:t xml:space="preserve">ОП-000786</x:t>
        </x:is>
      </x:c>
      <x:c r="B787" s="31" t="inlineStr">
        <x:is>
          <x:t xml:space="preserve">ПЗ-00093</x:t>
        </x:is>
      </x:c>
      <x:c r="C787" s="31" t="inlineStr">
        <x:is>
          <x:t xml:space="preserve">ЗК-1049</x:t>
        </x:is>
      </x:c>
      <x:c r="D787" s="31" t="inlineStr">
        <x:is>
          <x:t xml:space="preserve">ПОЗ-0049-2</x:t>
        </x:is>
      </x:c>
      <x:c r="E787" s="31" t="inlineStr">
        <x:is>
          <x:t xml:space="preserve">ИЗД-032</x:t>
        </x:is>
      </x:c>
      <x:c r="F787" s="31" t="n">
        <x:v>40</x:v>
      </x:c>
      <x:c r="G787" s="31" t="inlineStr">
        <x:is>
          <x:t xml:space="preserve">ОТК</x:t>
        </x:is>
      </x:c>
      <x:c r="H787" s="31" t="inlineStr">
        <x:is>
          <x:t xml:space="preserve">ОТК</x:t>
        </x:is>
      </x:c>
      <x:c r="I787" s="31" t="inlineStr">
        <x:is>
          <x:t xml:space="preserve">ОБ-001</x:t>
        </x:is>
      </x:c>
      <x:c r="J787" s="31" t="inlineStr">
        <x:is>
          <x:t xml:space="preserve">СОТР-099</x:t>
        </x:is>
      </x:c>
      <x:c r="K787" s="31" t="n">
        <x:v>49.2</x:v>
      </x:c>
      <x:c r="L787" s="31" t="n">
        <x:v>64.59999999999999</x:v>
      </x:c>
      <x:c r="M787" s="31" t="n">
        <x:v>46075</x:v>
      </x:c>
      <x:c r="N787" s="31" t="n">
        <x:v>46080</x:v>
      </x:c>
      <x:c r="O787" s="31" t="n">
        <x:v>46075</x:v>
      </x:c>
      <x:c r="P787" s="31" t="n">
        <x:v>46082</x:v>
      </x:c>
      <x:c r="Q787" s="31" t="inlineStr">
        <x:is>
          <x:t xml:space="preserve">Завершено</x:t>
        </x:is>
      </x:c>
      <x:c r="R787" s="31" t="inlineStr">
        <x:is>
          <x:t xml:space="preserve">Материал</x:t>
        </x:is>
      </x:c>
      <x:c r="S787" s="31" t="inlineStr">
        <x:is>
          <x:t xml:space="preserve">Нет</x:t>
        </x:is>
      </x:c>
    </x:row>
    <x:row r="788">
      <x:c r="A788" s="31" t="inlineStr">
        <x:is>
          <x:t xml:space="preserve">ОП-000787</x:t>
        </x:is>
      </x:c>
      <x:c r="B788" s="31" t="inlineStr">
        <x:is>
          <x:t xml:space="preserve">ПЗ-00094</x:t>
        </x:is>
      </x:c>
      <x:c r="C788" s="31" t="inlineStr">
        <x:is>
          <x:t xml:space="preserve">ЗК-1049</x:t>
        </x:is>
      </x:c>
      <x:c r="D788" s="31" t="inlineStr">
        <x:is>
          <x:t xml:space="preserve">ПОЗ-0049-3</x:t>
        </x:is>
      </x:c>
      <x:c r="E788" s="31" t="inlineStr">
        <x:is>
          <x:t xml:space="preserve">ИЗД-017</x:t>
        </x:is>
      </x:c>
      <x:c r="F788" s="31" t="n">
        <x:v>10</x:v>
      </x:c>
      <x:c r="G788" s="31" t="inlineStr">
        <x:is>
          <x:t xml:space="preserve">КД</x:t>
        </x:is>
      </x:c>
      <x:c r="H788" s="31" t="inlineStr">
        <x:is>
          <x:t xml:space="preserve">Инженерный отдел</x:t>
        </x:is>
      </x:c>
      <x:c r="I788" s="31" t="n"/>
      <x:c r="J788" s="31" t="inlineStr">
        <x:is>
          <x:t xml:space="preserve">СОТР-020</x:t>
        </x:is>
      </x:c>
      <x:c r="K788" s="31" t="n">
        <x:v>12.2</x:v>
      </x:c>
      <x:c r="L788" s="31" t="n">
        <x:v>15.7</x:v>
      </x:c>
      <x:c r="M788" s="31" t="n">
        <x:v>46052</x:v>
      </x:c>
      <x:c r="N788" s="31" t="n">
        <x:v>46054</x:v>
      </x:c>
      <x:c r="O788" s="31" t="n">
        <x:v>46052</x:v>
      </x:c>
      <x:c r="P788" s="31" t="n">
        <x:v>46053</x:v>
      </x:c>
      <x:c r="Q788" s="31" t="inlineStr">
        <x:is>
          <x:t xml:space="preserve">Завершено</x:t>
        </x:is>
      </x:c>
      <x:c r="R788" s="31" t="inlineStr">
        <x:is>
          <x:t xml:space="preserve">Ожидание ОТК</x:t>
        </x:is>
      </x:c>
      <x:c r="S788" s="31" t="inlineStr">
        <x:is>
          <x:t xml:space="preserve">Да</x:t>
        </x:is>
      </x:c>
    </x:row>
    <x:row r="789">
      <x:c r="A789" s="31" t="inlineStr">
        <x:is>
          <x:t xml:space="preserve">ОП-000788</x:t>
        </x:is>
      </x:c>
      <x:c r="B789" s="31" t="inlineStr">
        <x:is>
          <x:t xml:space="preserve">ПЗ-00094</x:t>
        </x:is>
      </x:c>
      <x:c r="C789" s="31" t="inlineStr">
        <x:is>
          <x:t xml:space="preserve">ЗК-1049</x:t>
        </x:is>
      </x:c>
      <x:c r="D789" s="31" t="inlineStr">
        <x:is>
          <x:t xml:space="preserve">ПОЗ-0049-3</x:t>
        </x:is>
      </x:c>
      <x:c r="E789" s="31" t="inlineStr">
        <x:is>
          <x:t xml:space="preserve">ИЗД-017</x:t>
        </x:is>
      </x:c>
      <x:c r="F789" s="31" t="n">
        <x:v>20</x:v>
      </x:c>
      <x:c r="G789" s="31" t="inlineStr">
        <x:is>
          <x:t xml:space="preserve">Резерв материалов</x:t>
        </x:is>
      </x:c>
      <x:c r="H789" s="31" t="inlineStr">
        <x:is>
          <x:t xml:space="preserve">Склад</x:t>
        </x:is>
      </x:c>
      <x:c r="I789" s="31" t="inlineStr">
        <x:is>
          <x:t xml:space="preserve">ОБ-025</x:t>
        </x:is>
      </x:c>
      <x:c r="J789" s="31" t="inlineStr">
        <x:is>
          <x:t xml:space="preserve">СОТР-038</x:t>
        </x:is>
      </x:c>
      <x:c r="K789" s="31" t="n">
        <x:v>12.5</x:v>
      </x:c>
      <x:c r="L789" s="31" t="n">
        <x:v>12.7</x:v>
      </x:c>
      <x:c r="M789" s="31" t="n">
        <x:v>46054</x:v>
      </x:c>
      <x:c r="N789" s="31" t="n">
        <x:v>46056</x:v>
      </x:c>
      <x:c r="O789" s="31" t="n">
        <x:v>46054</x:v>
      </x:c>
      <x:c r="P789" s="31" t="n">
        <x:v>46056</x:v>
      </x:c>
      <x:c r="Q789" s="31" t="inlineStr">
        <x:is>
          <x:t xml:space="preserve">Завершено</x:t>
        </x:is>
      </x:c>
      <x:c r="R789" s="31" t="inlineStr">
        <x:is>
          <x:t xml:space="preserve">Нет</x:t>
        </x:is>
      </x:c>
      <x:c r="S789" s="31" t="inlineStr">
        <x:is>
          <x:t xml:space="preserve">Нет</x:t>
        </x:is>
      </x:c>
    </x:row>
    <x:row r="790">
      <x:c r="A790" s="31" t="inlineStr">
        <x:is>
          <x:t xml:space="preserve">ОП-000789</x:t>
        </x:is>
      </x:c>
      <x:c r="B790" s="31" t="inlineStr">
        <x:is>
          <x:t xml:space="preserve">ПЗ-00094</x:t>
        </x:is>
      </x:c>
      <x:c r="C790" s="31" t="inlineStr">
        <x:is>
          <x:t xml:space="preserve">ЗК-1049</x:t>
        </x:is>
      </x:c>
      <x:c r="D790" s="31" t="inlineStr">
        <x:is>
          <x:t xml:space="preserve">ПОЗ-0049-3</x:t>
        </x:is>
      </x:c>
      <x:c r="E790" s="31" t="inlineStr">
        <x:is>
          <x:t xml:space="preserve">ИЗД-017</x:t>
        </x:is>
      </x:c>
      <x:c r="F790" s="31" t="n">
        <x:v>30</x:v>
      </x:c>
      <x:c r="G790" s="31" t="inlineStr">
        <x:is>
          <x:t xml:space="preserve">Сварка рамы</x:t>
        </x:is>
      </x:c>
      <x:c r="H790" s="31" t="inlineStr">
        <x:is>
          <x:t xml:space="preserve">Сварка</x:t>
        </x:is>
      </x:c>
      <x:c r="I790" s="31" t="inlineStr">
        <x:is>
          <x:t xml:space="preserve">ОБ-003</x:t>
        </x:is>
      </x:c>
      <x:c r="J790" s="31" t="inlineStr">
        <x:is>
          <x:t xml:space="preserve">СОТР-060</x:t>
        </x:is>
      </x:c>
      <x:c r="K790" s="31" t="n">
        <x:v>4.9</x:v>
      </x:c>
      <x:c r="L790" s="31" t="n">
        <x:v>3.9</x:v>
      </x:c>
      <x:c r="M790" s="31" t="n">
        <x:v>46056</x:v>
      </x:c>
      <x:c r="N790" s="31" t="n">
        <x:v>46057</x:v>
      </x:c>
      <x:c r="O790" s="31" t="n">
        <x:v>46056</x:v>
      </x:c>
      <x:c r="P790" s="31" t="n">
        <x:v>46056</x:v>
      </x:c>
      <x:c r="Q790" s="31" t="inlineStr">
        <x:is>
          <x:t xml:space="preserve">Завершено</x:t>
        </x:is>
      </x:c>
      <x:c r="R790" s="31" t="inlineStr">
        <x:is>
          <x:t xml:space="preserve">Нет</x:t>
        </x:is>
      </x:c>
      <x:c r="S790" s="31" t="inlineStr">
        <x:is>
          <x:t xml:space="preserve">Нет</x:t>
        </x:is>
      </x:c>
    </x:row>
    <x:row r="791">
      <x:c r="A791" s="31" t="inlineStr">
        <x:is>
          <x:t xml:space="preserve">ОП-000790</x:t>
        </x:is>
      </x:c>
      <x:c r="B791" s="31" t="inlineStr">
        <x:is>
          <x:t xml:space="preserve">ПЗ-00094</x:t>
        </x:is>
      </x:c>
      <x:c r="C791" s="31" t="inlineStr">
        <x:is>
          <x:t xml:space="preserve">ЗК-1049</x:t>
        </x:is>
      </x:c>
      <x:c r="D791" s="31" t="inlineStr">
        <x:is>
          <x:t xml:space="preserve">ПОЗ-0049-3</x:t>
        </x:is>
      </x:c>
      <x:c r="E791" s="31" t="inlineStr">
        <x:is>
          <x:t xml:space="preserve">ИЗД-017</x:t>
        </x:is>
      </x:c>
      <x:c r="F791" s="31" t="n">
        <x:v>40</x:v>
      </x:c>
      <x:c r="G791" s="31" t="inlineStr">
        <x:is>
          <x:t xml:space="preserve">Сборка</x:t>
        </x:is>
      </x:c>
      <x:c r="H791" s="31" t="inlineStr">
        <x:is>
          <x:t xml:space="preserve">Сборка</x:t>
        </x:is>
      </x:c>
      <x:c r="I791" s="31" t="inlineStr">
        <x:is>
          <x:t xml:space="preserve">ОБ-016</x:t>
        </x:is>
      </x:c>
      <x:c r="J791" s="31" t="inlineStr">
        <x:is>
          <x:t xml:space="preserve">СОТР-091</x:t>
        </x:is>
      </x:c>
      <x:c r="K791" s="31" t="n">
        <x:v>16.6</x:v>
      </x:c>
      <x:c r="L791" s="31" t="n">
        <x:v>15.1</x:v>
      </x:c>
      <x:c r="M791" s="31" t="n">
        <x:v>46057</x:v>
      </x:c>
      <x:c r="N791" s="31" t="n">
        <x:v>46059</x:v>
      </x:c>
      <x:c r="O791" s="31" t="n">
        <x:v>46057</x:v>
      </x:c>
      <x:c r="P791" s="31" t="n">
        <x:v>46059</x:v>
      </x:c>
      <x:c r="Q791" s="31" t="inlineStr">
        <x:is>
          <x:t xml:space="preserve">Завершено</x:t>
        </x:is>
      </x:c>
      <x:c r="R791" s="31" t="inlineStr">
        <x:is>
          <x:t xml:space="preserve">Нет</x:t>
        </x:is>
      </x:c>
      <x:c r="S791" s="31" t="inlineStr">
        <x:is>
          <x:t xml:space="preserve">Нет</x:t>
        </x:is>
      </x:c>
    </x:row>
    <x:row r="792">
      <x:c r="A792" s="31" t="inlineStr">
        <x:is>
          <x:t xml:space="preserve">ОП-000791</x:t>
        </x:is>
      </x:c>
      <x:c r="B792" s="31" t="inlineStr">
        <x:is>
          <x:t xml:space="preserve">ПЗ-00094</x:t>
        </x:is>
      </x:c>
      <x:c r="C792" s="31" t="inlineStr">
        <x:is>
          <x:t xml:space="preserve">ЗК-1049</x:t>
        </x:is>
      </x:c>
      <x:c r="D792" s="31" t="inlineStr">
        <x:is>
          <x:t xml:space="preserve">ПОЗ-0049-3</x:t>
        </x:is>
      </x:c>
      <x:c r="E792" s="31" t="inlineStr">
        <x:is>
          <x:t xml:space="preserve">ИЗД-017</x:t>
        </x:is>
      </x:c>
      <x:c r="F792" s="31" t="n">
        <x:v>50</x:v>
      </x:c>
      <x:c r="G792" s="31" t="inlineStr">
        <x:is>
          <x:t xml:space="preserve">Обвязка труб</x:t>
        </x:is>
      </x:c>
      <x:c r="H792" s="31" t="inlineStr">
        <x:is>
          <x:t xml:space="preserve">Сборка</x:t>
        </x:is>
      </x:c>
      <x:c r="I792" s="31" t="inlineStr">
        <x:is>
          <x:t xml:space="preserve">ОБ-012</x:t>
        </x:is>
      </x:c>
      <x:c r="J792" s="31" t="inlineStr">
        <x:is>
          <x:t xml:space="preserve">СОТР-075</x:t>
        </x:is>
      </x:c>
      <x:c r="K792" s="31" t="n">
        <x:v>3.5</x:v>
      </x:c>
      <x:c r="L792" s="31" t="n">
        <x:v>3.5</x:v>
      </x:c>
      <x:c r="M792" s="31" t="n">
        <x:v>46059</x:v>
      </x:c>
      <x:c r="N792" s="31" t="n">
        <x:v>46060</x:v>
      </x:c>
      <x:c r="O792" s="31" t="n">
        <x:v>46059</x:v>
      </x:c>
      <x:c r="P792" s="31" t="n">
        <x:v>46060</x:v>
      </x:c>
      <x:c r="Q792" s="31" t="inlineStr">
        <x:is>
          <x:t xml:space="preserve">Завершено</x:t>
        </x:is>
      </x:c>
      <x:c r="R792" s="31" t="inlineStr">
        <x:is>
          <x:t xml:space="preserve">Нет</x:t>
        </x:is>
      </x:c>
      <x:c r="S792" s="31" t="inlineStr">
        <x:is>
          <x:t xml:space="preserve">Нет</x:t>
        </x:is>
      </x:c>
    </x:row>
    <x:row r="793">
      <x:c r="A793" s="31" t="inlineStr">
        <x:is>
          <x:t xml:space="preserve">ОП-000792</x:t>
        </x:is>
      </x:c>
      <x:c r="B793" s="31" t="inlineStr">
        <x:is>
          <x:t xml:space="preserve">ПЗ-00094</x:t>
        </x:is>
      </x:c>
      <x:c r="C793" s="31" t="inlineStr">
        <x:is>
          <x:t xml:space="preserve">ЗК-1049</x:t>
        </x:is>
      </x:c>
      <x:c r="D793" s="31" t="inlineStr">
        <x:is>
          <x:t xml:space="preserve">ПОЗ-0049-3</x:t>
        </x:is>
      </x:c>
      <x:c r="E793" s="31" t="inlineStr">
        <x:is>
          <x:t xml:space="preserve">ИЗД-017</x:t>
        </x:is>
      </x:c>
      <x:c r="F793" s="31" t="n">
        <x:v>60</x:v>
      </x:c>
      <x:c r="G793" s="31" t="inlineStr">
        <x:is>
          <x:t xml:space="preserve">Электромонтаж</x:t>
        </x:is>
      </x:c>
      <x:c r="H793" s="31" t="inlineStr">
        <x:is>
          <x:t xml:space="preserve">Сборка</x:t>
        </x:is>
      </x:c>
      <x:c r="I793" s="31" t="inlineStr">
        <x:is>
          <x:t xml:space="preserve">ОБ-034</x:t>
        </x:is>
      </x:c>
      <x:c r="J793" s="31" t="inlineStr">
        <x:is>
          <x:t xml:space="preserve">СОТР-074</x:t>
        </x:is>
      </x:c>
      <x:c r="K793" s="31" t="n">
        <x:v>13.2</x:v>
      </x:c>
      <x:c r="L793" s="31" t="n">
        <x:v>12.9</x:v>
      </x:c>
      <x:c r="M793" s="31" t="n">
        <x:v>46060</x:v>
      </x:c>
      <x:c r="N793" s="31" t="n">
        <x:v>46062</x:v>
      </x:c>
      <x:c r="O793" s="31" t="n">
        <x:v>46060</x:v>
      </x:c>
      <x:c r="P793" s="31" t="n">
        <x:v>46064</x:v>
      </x:c>
      <x:c r="Q793" s="31" t="inlineStr">
        <x:is>
          <x:t xml:space="preserve">Завершено</x:t>
        </x:is>
      </x:c>
      <x:c r="R793" s="31" t="inlineStr">
        <x:is>
          <x:t xml:space="preserve">Оборудование</x:t>
        </x:is>
      </x:c>
      <x:c r="S793" s="31" t="inlineStr">
        <x:is>
          <x:t xml:space="preserve">Нет</x:t>
        </x:is>
      </x:c>
    </x:row>
    <x:row r="794">
      <x:c r="A794" s="31" t="inlineStr">
        <x:is>
          <x:t xml:space="preserve">ОП-000793</x:t>
        </x:is>
      </x:c>
      <x:c r="B794" s="31" t="inlineStr">
        <x:is>
          <x:t xml:space="preserve">ПЗ-00094</x:t>
        </x:is>
      </x:c>
      <x:c r="C794" s="31" t="inlineStr">
        <x:is>
          <x:t xml:space="preserve">ЗК-1049</x:t>
        </x:is>
      </x:c>
      <x:c r="D794" s="31" t="inlineStr">
        <x:is>
          <x:t xml:space="preserve">ПОЗ-0049-3</x:t>
        </x:is>
      </x:c>
      <x:c r="E794" s="31" t="inlineStr">
        <x:is>
          <x:t xml:space="preserve">ИЗД-017</x:t>
        </x:is>
      </x:c>
      <x:c r="F794" s="31" t="n">
        <x:v>70</x:v>
      </x:c>
      <x:c r="G794" s="31" t="inlineStr">
        <x:is>
          <x:t xml:space="preserve">Гидроиспытания</x:t>
        </x:is>
      </x:c>
      <x:c r="H794" s="31" t="inlineStr">
        <x:is>
          <x:t xml:space="preserve">ОТК</x:t>
        </x:is>
      </x:c>
      <x:c r="I794" s="31" t="inlineStr">
        <x:is>
          <x:t xml:space="preserve">ОБ-001</x:t>
        </x:is>
      </x:c>
      <x:c r="J794" s="31" t="inlineStr">
        <x:is>
          <x:t xml:space="preserve">СОТР-063</x:t>
        </x:is>
      </x:c>
      <x:c r="K794" s="31" t="n">
        <x:v>11.8</x:v>
      </x:c>
      <x:c r="L794" s="31" t="n">
        <x:v>15.6</x:v>
      </x:c>
      <x:c r="M794" s="31" t="n">
        <x:v>46062</x:v>
      </x:c>
      <x:c r="N794" s="31" t="n">
        <x:v>46063</x:v>
      </x:c>
      <x:c r="O794" s="31" t="n">
        <x:v>46062</x:v>
      </x:c>
      <x:c r="P794" s="31" t="n">
        <x:v>46065</x:v>
      </x:c>
      <x:c r="Q794" s="31" t="inlineStr">
        <x:is>
          <x:t xml:space="preserve">Завершено</x:t>
        </x:is>
      </x:c>
      <x:c r="R794" s="31" t="inlineStr">
        <x:is>
          <x:t xml:space="preserve">Нет</x:t>
        </x:is>
      </x:c>
      <x:c r="S794" s="31" t="inlineStr">
        <x:is>
          <x:t xml:space="preserve">Нет</x:t>
        </x:is>
      </x:c>
    </x:row>
    <x:row r="795">
      <x:c r="A795" s="31" t="inlineStr">
        <x:is>
          <x:t xml:space="preserve">ОП-000794</x:t>
        </x:is>
      </x:c>
      <x:c r="B795" s="31" t="inlineStr">
        <x:is>
          <x:t xml:space="preserve">ПЗ-00094</x:t>
        </x:is>
      </x:c>
      <x:c r="C795" s="31" t="inlineStr">
        <x:is>
          <x:t xml:space="preserve">ЗК-1049</x:t>
        </x:is>
      </x:c>
      <x:c r="D795" s="31" t="inlineStr">
        <x:is>
          <x:t xml:space="preserve">ПОЗ-0049-3</x:t>
        </x:is>
      </x:c>
      <x:c r="E795" s="31" t="inlineStr">
        <x:is>
          <x:t xml:space="preserve">ИЗД-017</x:t>
        </x:is>
      </x:c>
      <x:c r="F795" s="31" t="n">
        <x:v>80</x:v>
      </x:c>
      <x:c r="G795" s="31" t="inlineStr">
        <x:is>
          <x:t xml:space="preserve">ОТК</x:t>
        </x:is>
      </x:c>
      <x:c r="H795" s="31" t="inlineStr">
        <x:is>
          <x:t xml:space="preserve">ОТК</x:t>
        </x:is>
      </x:c>
      <x:c r="I795" s="31" t="inlineStr">
        <x:is>
          <x:t xml:space="preserve">ОБ-024</x:t>
        </x:is>
      </x:c>
      <x:c r="J795" s="31" t="inlineStr">
        <x:is>
          <x:t xml:space="preserve">СОТР-063</x:t>
        </x:is>
      </x:c>
      <x:c r="K795" s="31" t="n">
        <x:v>8.1</x:v>
      </x:c>
      <x:c r="L795" s="31" t="n">
        <x:v>9.800000000000001</x:v>
      </x:c>
      <x:c r="M795" s="31" t="n">
        <x:v>46063</x:v>
      </x:c>
      <x:c r="N795" s="31" t="n">
        <x:v>46064</x:v>
      </x:c>
      <x:c r="O795" s="31" t="n">
        <x:v>46063</x:v>
      </x:c>
      <x:c r="P795" s="31" t="n">
        <x:v>46066</x:v>
      </x:c>
      <x:c r="Q795" s="31" t="inlineStr">
        <x:is>
          <x:t xml:space="preserve">Завершено</x:t>
        </x:is>
      </x:c>
      <x:c r="R795" s="31" t="inlineStr">
        <x:is>
          <x:t xml:space="preserve">Нет</x:t>
        </x:is>
      </x:c>
      <x:c r="S795" s="31" t="inlineStr">
        <x:is>
          <x:t xml:space="preserve">Нет</x:t>
        </x:is>
      </x:c>
    </x:row>
    <x:row r="796">
      <x:c r="A796" s="31" t="inlineStr">
        <x:is>
          <x:t xml:space="preserve">ОП-000795</x:t>
        </x:is>
      </x:c>
      <x:c r="B796" s="31" t="inlineStr">
        <x:is>
          <x:t xml:space="preserve">ПЗ-00094</x:t>
        </x:is>
      </x:c>
      <x:c r="C796" s="31" t="inlineStr">
        <x:is>
          <x:t xml:space="preserve">ЗК-1049</x:t>
        </x:is>
      </x:c>
      <x:c r="D796" s="31" t="inlineStr">
        <x:is>
          <x:t xml:space="preserve">ПОЗ-0049-3</x:t>
        </x:is>
      </x:c>
      <x:c r="E796" s="31" t="inlineStr">
        <x:is>
          <x:t xml:space="preserve">ИЗД-017</x:t>
        </x:is>
      </x:c>
      <x:c r="F796" s="31" t="n">
        <x:v>90</x:v>
      </x:c>
      <x:c r="G796" s="31" t="inlineStr">
        <x:is>
          <x:t xml:space="preserve">Упаковка</x:t>
        </x:is>
      </x:c>
      <x:c r="H796" s="31" t="inlineStr">
        <x:is>
          <x:t xml:space="preserve">Логистика</x:t>
        </x:is>
      </x:c>
      <x:c r="I796" s="31" t="n"/>
      <x:c r="J796" s="31" t="inlineStr">
        <x:is>
          <x:t xml:space="preserve">СОТР-101</x:t>
        </x:is>
      </x:c>
      <x:c r="K796" s="31" t="n">
        <x:v>16.4</x:v>
      </x:c>
      <x:c r="L796" s="31" t="n">
        <x:v>20.8</x:v>
      </x:c>
      <x:c r="M796" s="31" t="n">
        <x:v>46064</x:v>
      </x:c>
      <x:c r="N796" s="31" t="n">
        <x:v>46066</x:v>
      </x:c>
      <x:c r="O796" s="31" t="n">
        <x:v>46064</x:v>
      </x:c>
      <x:c r="P796" s="31" t="n">
        <x:v>46065</x:v>
      </x:c>
      <x:c r="Q796" s="31" t="inlineStr">
        <x:is>
          <x:t xml:space="preserve">Завершено</x:t>
        </x:is>
      </x:c>
      <x:c r="R796" s="31" t="inlineStr">
        <x:is>
          <x:t xml:space="preserve">Нет</x:t>
        </x:is>
      </x:c>
      <x:c r="S796" s="31" t="inlineStr">
        <x:is>
          <x:t xml:space="preserve">Нет</x:t>
        </x:is>
      </x:c>
    </x:row>
    <x:row r="797">
      <x:c r="A797" s="31" t="inlineStr">
        <x:is>
          <x:t xml:space="preserve">ОП-000796</x:t>
        </x:is>
      </x:c>
      <x:c r="B797" s="31" t="inlineStr">
        <x:is>
          <x:t xml:space="preserve">ПЗ-00095</x:t>
        </x:is>
      </x:c>
      <x:c r="C797" s="31" t="inlineStr">
        <x:is>
          <x:t xml:space="preserve">ЗК-1049</x:t>
        </x:is>
      </x:c>
      <x:c r="D797" s="31" t="inlineStr">
        <x:is>
          <x:t xml:space="preserve">ПОЗ-0049-4</x:t>
        </x:is>
      </x:c>
      <x:c r="E797" s="31" t="inlineStr">
        <x:is>
          <x:t xml:space="preserve">ИЗД-006</x:t>
        </x:is>
      </x:c>
      <x:c r="F797" s="31" t="n">
        <x:v>10</x:v>
      </x:c>
      <x:c r="G797" s="31" t="inlineStr">
        <x:is>
          <x:t xml:space="preserve">КД</x:t>
        </x:is>
      </x:c>
      <x:c r="H797" s="31" t="inlineStr">
        <x:is>
          <x:t xml:space="preserve">Инженерный отдел</x:t>
        </x:is>
      </x:c>
      <x:c r="I797" s="31" t="n"/>
      <x:c r="J797" s="31" t="inlineStr">
        <x:is>
          <x:t xml:space="preserve">СОТР-020</x:t>
        </x:is>
      </x:c>
      <x:c r="K797" s="31" t="n">
        <x:v>15.3</x:v>
      </x:c>
      <x:c r="L797" s="31" t="n">
        <x:v>15.2</x:v>
      </x:c>
      <x:c r="M797" s="31" t="n">
        <x:v>46037</x:v>
      </x:c>
      <x:c r="N797" s="31" t="n">
        <x:v>46039</x:v>
      </x:c>
      <x:c r="O797" s="31" t="n">
        <x:v>46037</x:v>
      </x:c>
      <x:c r="P797" s="31" t="n">
        <x:v>46040</x:v>
      </x:c>
      <x:c r="Q797" s="31" t="inlineStr">
        <x:is>
          <x:t xml:space="preserve">Завершено</x:t>
        </x:is>
      </x:c>
      <x:c r="R797" s="31" t="inlineStr">
        <x:is>
          <x:t xml:space="preserve">Нет</x:t>
        </x:is>
      </x:c>
      <x:c r="S797" s="31" t="inlineStr">
        <x:is>
          <x:t xml:space="preserve">Нет</x:t>
        </x:is>
      </x:c>
    </x:row>
    <x:row r="798">
      <x:c r="A798" s="31" t="inlineStr">
        <x:is>
          <x:t xml:space="preserve">ОП-000797</x:t>
        </x:is>
      </x:c>
      <x:c r="B798" s="31" t="inlineStr">
        <x:is>
          <x:t xml:space="preserve">ПЗ-00095</x:t>
        </x:is>
      </x:c>
      <x:c r="C798" s="31" t="inlineStr">
        <x:is>
          <x:t xml:space="preserve">ЗК-1049</x:t>
        </x:is>
      </x:c>
      <x:c r="D798" s="31" t="inlineStr">
        <x:is>
          <x:t xml:space="preserve">ПОЗ-0049-4</x:t>
        </x:is>
      </x:c>
      <x:c r="E798" s="31" t="inlineStr">
        <x:is>
          <x:t xml:space="preserve">ИЗД-006</x:t>
        </x:is>
      </x:c>
      <x:c r="F798" s="31" t="n">
        <x:v>20</x:v>
      </x:c>
      <x:c r="G798" s="31" t="inlineStr">
        <x:is>
          <x:t xml:space="preserve">Резерв материалов</x:t>
        </x:is>
      </x:c>
      <x:c r="H798" s="31" t="inlineStr">
        <x:is>
          <x:t xml:space="preserve">Склад</x:t>
        </x:is>
      </x:c>
      <x:c r="I798" s="31" t="inlineStr">
        <x:is>
          <x:t xml:space="preserve">ОБ-025</x:t>
        </x:is>
      </x:c>
      <x:c r="J798" s="31" t="inlineStr">
        <x:is>
          <x:t xml:space="preserve">СОТР-024</x:t>
        </x:is>
      </x:c>
      <x:c r="K798" s="31" t="n">
        <x:v>2.3</x:v>
      </x:c>
      <x:c r="L798" s="31" t="n">
        <x:v>2.7</x:v>
      </x:c>
      <x:c r="M798" s="31" t="n">
        <x:v>46039</x:v>
      </x:c>
      <x:c r="N798" s="31" t="n">
        <x:v>46040</x:v>
      </x:c>
      <x:c r="O798" s="31" t="n">
        <x:v>46039</x:v>
      </x:c>
      <x:c r="P798" s="31" t="n">
        <x:v>46040</x:v>
      </x:c>
      <x:c r="Q798" s="31" t="inlineStr">
        <x:is>
          <x:t xml:space="preserve">Завершено</x:t>
        </x:is>
      </x:c>
      <x:c r="R798" s="31" t="inlineStr">
        <x:is>
          <x:t xml:space="preserve">Нет</x:t>
        </x:is>
      </x:c>
      <x:c r="S798" s="31" t="inlineStr">
        <x:is>
          <x:t xml:space="preserve">Нет</x:t>
        </x:is>
      </x:c>
    </x:row>
    <x:row r="799">
      <x:c r="A799" s="31" t="inlineStr">
        <x:is>
          <x:t xml:space="preserve">ОП-000798</x:t>
        </x:is>
      </x:c>
      <x:c r="B799" s="31" t="inlineStr">
        <x:is>
          <x:t xml:space="preserve">ПЗ-00095</x:t>
        </x:is>
      </x:c>
      <x:c r="C799" s="31" t="inlineStr">
        <x:is>
          <x:t xml:space="preserve">ЗК-1049</x:t>
        </x:is>
      </x:c>
      <x:c r="D799" s="31" t="inlineStr">
        <x:is>
          <x:t xml:space="preserve">ПОЗ-0049-4</x:t>
        </x:is>
      </x:c>
      <x:c r="E799" s="31" t="inlineStr">
        <x:is>
          <x:t xml:space="preserve">ИЗД-006</x:t>
        </x:is>
      </x:c>
      <x:c r="F799" s="31" t="n">
        <x:v>30</x:v>
      </x:c>
      <x:c r="G799" s="31" t="inlineStr">
        <x:is>
          <x:t xml:space="preserve">Резка металла</x:t>
        </x:is>
      </x:c>
      <x:c r="H799" s="31" t="inlineStr">
        <x:is>
          <x:t xml:space="preserve">Сварка</x:t>
        </x:is>
      </x:c>
      <x:c r="I799" s="31" t="inlineStr">
        <x:is>
          <x:t xml:space="preserve">ОБ-010</x:t>
        </x:is>
      </x:c>
      <x:c r="J799" s="31" t="inlineStr">
        <x:is>
          <x:t xml:space="preserve">СОТР-071</x:t>
        </x:is>
      </x:c>
      <x:c r="K799" s="31" t="n">
        <x:v>13.9</x:v>
      </x:c>
      <x:c r="L799" s="31" t="n">
        <x:v>15.2</x:v>
      </x:c>
      <x:c r="M799" s="31" t="n">
        <x:v>46040</x:v>
      </x:c>
      <x:c r="N799" s="31" t="n">
        <x:v>46042</x:v>
      </x:c>
      <x:c r="O799" s="31" t="n">
        <x:v>46040</x:v>
      </x:c>
      <x:c r="P799" s="31" t="n">
        <x:v>46044</x:v>
      </x:c>
      <x:c r="Q799" s="31" t="inlineStr">
        <x:is>
          <x:t xml:space="preserve">Завершено</x:t>
        </x:is>
      </x:c>
      <x:c r="R799" s="31" t="inlineStr">
        <x:is>
          <x:t xml:space="preserve">Нет</x:t>
        </x:is>
      </x:c>
      <x:c r="S799" s="31" t="inlineStr">
        <x:is>
          <x:t xml:space="preserve">Нет</x:t>
        </x:is>
      </x:c>
    </x:row>
    <x:row r="800">
      <x:c r="A800" s="31" t="inlineStr">
        <x:is>
          <x:t xml:space="preserve">ОП-000799</x:t>
        </x:is>
      </x:c>
      <x:c r="B800" s="31" t="inlineStr">
        <x:is>
          <x:t xml:space="preserve">ПЗ-00095</x:t>
        </x:is>
      </x:c>
      <x:c r="C800" s="31" t="inlineStr">
        <x:is>
          <x:t xml:space="preserve">ЗК-1049</x:t>
        </x:is>
      </x:c>
      <x:c r="D800" s="31" t="inlineStr">
        <x:is>
          <x:t xml:space="preserve">ПОЗ-0049-4</x:t>
        </x:is>
      </x:c>
      <x:c r="E800" s="31" t="inlineStr">
        <x:is>
          <x:t xml:space="preserve">ИЗД-006</x:t>
        </x:is>
      </x:c>
      <x:c r="F800" s="31" t="n">
        <x:v>40</x:v>
      </x:c>
      <x:c r="G800" s="31" t="inlineStr">
        <x:is>
          <x:t xml:space="preserve">Сварка рамы</x:t>
        </x:is>
      </x:c>
      <x:c r="H800" s="31" t="inlineStr">
        <x:is>
          <x:t xml:space="preserve">Сварка</x:t>
        </x:is>
      </x:c>
      <x:c r="I800" s="31" t="inlineStr">
        <x:is>
          <x:t xml:space="preserve">ОБ-035</x:t>
        </x:is>
      </x:c>
      <x:c r="J800" s="31" t="inlineStr">
        <x:is>
          <x:t xml:space="preserve">СОТР-061</x:t>
        </x:is>
      </x:c>
      <x:c r="K800" s="31" t="n">
        <x:v>8.5</x:v>
      </x:c>
      <x:c r="L800" s="31" t="n">
        <x:v>7.4</x:v>
      </x:c>
      <x:c r="M800" s="31" t="n">
        <x:v>46042</x:v>
      </x:c>
      <x:c r="N800" s="31" t="n">
        <x:v>46043</x:v>
      </x:c>
      <x:c r="O800" s="31" t="n">
        <x:v>46042</x:v>
      </x:c>
      <x:c r="P800" s="31" t="n">
        <x:v>46042</x:v>
      </x:c>
      <x:c r="Q800" s="31" t="inlineStr">
        <x:is>
          <x:t xml:space="preserve">Завершено</x:t>
        </x:is>
      </x:c>
      <x:c r="R800" s="31" t="inlineStr">
        <x:is>
          <x:t xml:space="preserve">Нет</x:t>
        </x:is>
      </x:c>
      <x:c r="S800" s="31" t="inlineStr">
        <x:is>
          <x:t xml:space="preserve">Нет</x:t>
        </x:is>
      </x:c>
    </x:row>
    <x:row r="801">
      <x:c r="A801" s="31" t="inlineStr">
        <x:is>
          <x:t xml:space="preserve">ОП-000800</x:t>
        </x:is>
      </x:c>
      <x:c r="B801" s="31" t="inlineStr">
        <x:is>
          <x:t xml:space="preserve">ПЗ-00095</x:t>
        </x:is>
      </x:c>
      <x:c r="C801" s="31" t="inlineStr">
        <x:is>
          <x:t xml:space="preserve">ЗК-1049</x:t>
        </x:is>
      </x:c>
      <x:c r="D801" s="31" t="inlineStr">
        <x:is>
          <x:t xml:space="preserve">ПОЗ-0049-4</x:t>
        </x:is>
      </x:c>
      <x:c r="E801" s="31" t="inlineStr">
        <x:is>
          <x:t xml:space="preserve">ИЗД-006</x:t>
        </x:is>
      </x:c>
      <x:c r="F801" s="31" t="n">
        <x:v>50</x:v>
      </x:c>
      <x:c r="G801" s="31" t="inlineStr">
        <x:is>
          <x:t xml:space="preserve">Механообработка</x:t>
        </x:is>
      </x:c>
      <x:c r="H801" s="31" t="inlineStr">
        <x:is>
          <x:t xml:space="preserve">Механообработка</x:t>
        </x:is>
      </x:c>
      <x:c r="I801" s="31" t="inlineStr">
        <x:is>
          <x:t xml:space="preserve">ОБ-030</x:t>
        </x:is>
      </x:c>
      <x:c r="J801" s="31" t="inlineStr">
        <x:is>
          <x:t xml:space="preserve">СОТР-055</x:t>
        </x:is>
      </x:c>
      <x:c r="K801" s="31" t="n">
        <x:v>3.2</x:v>
      </x:c>
      <x:c r="L801" s="31" t="n">
        <x:v>3.2</x:v>
      </x:c>
      <x:c r="M801" s="31" t="n">
        <x:v>46043</x:v>
      </x:c>
      <x:c r="N801" s="31" t="n">
        <x:v>46044</x:v>
      </x:c>
      <x:c r="O801" s="31" t="n">
        <x:v>46043</x:v>
      </x:c>
      <x:c r="P801" s="31" t="n">
        <x:v>46044</x:v>
      </x:c>
      <x:c r="Q801" s="31" t="inlineStr">
        <x:is>
          <x:t xml:space="preserve">Завершено</x:t>
        </x:is>
      </x:c>
      <x:c r="R801" s="31" t="inlineStr">
        <x:is>
          <x:t xml:space="preserve">Нет</x:t>
        </x:is>
      </x:c>
      <x:c r="S801" s="31" t="inlineStr">
        <x:is>
          <x:t xml:space="preserve">Нет</x:t>
        </x:is>
      </x:c>
    </x:row>
    <x:row r="802">
      <x:c r="A802" s="31" t="inlineStr">
        <x:is>
          <x:t xml:space="preserve">ОП-000801</x:t>
        </x:is>
      </x:c>
      <x:c r="B802" s="31" t="inlineStr">
        <x:is>
          <x:t xml:space="preserve">ПЗ-00095</x:t>
        </x:is>
      </x:c>
      <x:c r="C802" s="31" t="inlineStr">
        <x:is>
          <x:t xml:space="preserve">ЗК-1049</x:t>
        </x:is>
      </x:c>
      <x:c r="D802" s="31" t="inlineStr">
        <x:is>
          <x:t xml:space="preserve">ПОЗ-0049-4</x:t>
        </x:is>
      </x:c>
      <x:c r="E802" s="31" t="inlineStr">
        <x:is>
          <x:t xml:space="preserve">ИЗД-006</x:t>
        </x:is>
      </x:c>
      <x:c r="F802" s="31" t="n">
        <x:v>60</x:v>
      </x:c>
      <x:c r="G802" s="31" t="inlineStr">
        <x:is>
          <x:t xml:space="preserve">Сборка</x:t>
        </x:is>
      </x:c>
      <x:c r="H802" s="31" t="inlineStr">
        <x:is>
          <x:t xml:space="preserve">Сборка</x:t>
        </x:is>
      </x:c>
      <x:c r="I802" s="31" t="inlineStr">
        <x:is>
          <x:t xml:space="preserve">ОБ-005</x:t>
        </x:is>
      </x:c>
      <x:c r="J802" s="31" t="inlineStr">
        <x:is>
          <x:t xml:space="preserve">СОТР-087</x:t>
        </x:is>
      </x:c>
      <x:c r="K802" s="31" t="n">
        <x:v>3.9</x:v>
      </x:c>
      <x:c r="L802" s="31" t="n">
        <x:v>4.8</x:v>
      </x:c>
      <x:c r="M802" s="31" t="n">
        <x:v>46044</x:v>
      </x:c>
      <x:c r="N802" s="31" t="n">
        <x:v>46045</x:v>
      </x:c>
      <x:c r="O802" s="31" t="n">
        <x:v>46044</x:v>
      </x:c>
      <x:c r="P802" s="31" t="n">
        <x:v>46044</x:v>
      </x:c>
      <x:c r="Q802" s="31" t="inlineStr">
        <x:is>
          <x:t xml:space="preserve">Завершено</x:t>
        </x:is>
      </x:c>
      <x:c r="R802" s="31" t="inlineStr">
        <x:is>
          <x:t xml:space="preserve">Нет</x:t>
        </x:is>
      </x:c>
      <x:c r="S802" s="31" t="inlineStr">
        <x:is>
          <x:t xml:space="preserve">Да</x:t>
        </x:is>
      </x:c>
    </x:row>
    <x:row r="803">
      <x:c r="A803" s="31" t="inlineStr">
        <x:is>
          <x:t xml:space="preserve">ОП-000802</x:t>
        </x:is>
      </x:c>
      <x:c r="B803" s="31" t="inlineStr">
        <x:is>
          <x:t xml:space="preserve">ПЗ-00095</x:t>
        </x:is>
      </x:c>
      <x:c r="C803" s="31" t="inlineStr">
        <x:is>
          <x:t xml:space="preserve">ЗК-1049</x:t>
        </x:is>
      </x:c>
      <x:c r="D803" s="31" t="inlineStr">
        <x:is>
          <x:t xml:space="preserve">ПОЗ-0049-4</x:t>
        </x:is>
      </x:c>
      <x:c r="E803" s="31" t="inlineStr">
        <x:is>
          <x:t xml:space="preserve">ИЗД-006</x:t>
        </x:is>
      </x:c>
      <x:c r="F803" s="31" t="n">
        <x:v>70</x:v>
      </x:c>
      <x:c r="G803" s="31" t="inlineStr">
        <x:is>
          <x:t xml:space="preserve">Электромонтаж</x:t>
        </x:is>
      </x:c>
      <x:c r="H803" s="31" t="inlineStr">
        <x:is>
          <x:t xml:space="preserve">Сборка</x:t>
        </x:is>
      </x:c>
      <x:c r="I803" s="31" t="inlineStr">
        <x:is>
          <x:t xml:space="preserve">ОБ-016</x:t>
        </x:is>
      </x:c>
      <x:c r="J803" s="31" t="inlineStr">
        <x:is>
          <x:t xml:space="preserve">СОТР-032</x:t>
        </x:is>
      </x:c>
      <x:c r="K803" s="31" t="n">
        <x:v>11.2</x:v>
      </x:c>
      <x:c r="L803" s="31" t="n">
        <x:v>10.6</x:v>
      </x:c>
      <x:c r="M803" s="31" t="n">
        <x:v>46045</x:v>
      </x:c>
      <x:c r="N803" s="31" t="n">
        <x:v>46046</x:v>
      </x:c>
      <x:c r="O803" s="31" t="n">
        <x:v>46045</x:v>
      </x:c>
      <x:c r="P803" s="31" t="n">
        <x:v>46048</x:v>
      </x:c>
      <x:c r="Q803" s="31" t="inlineStr">
        <x:is>
          <x:t xml:space="preserve">Завершено</x:t>
        </x:is>
      </x:c>
      <x:c r="R803" s="31" t="inlineStr">
        <x:is>
          <x:t xml:space="preserve">Нет</x:t>
        </x:is>
      </x:c>
      <x:c r="S803" s="31" t="inlineStr">
        <x:is>
          <x:t xml:space="preserve">Нет</x:t>
        </x:is>
      </x:c>
    </x:row>
    <x:row r="804">
      <x:c r="A804" s="31" t="inlineStr">
        <x:is>
          <x:t xml:space="preserve">ОП-000803</x:t>
        </x:is>
      </x:c>
      <x:c r="B804" s="31" t="inlineStr">
        <x:is>
          <x:t xml:space="preserve">ПЗ-00095</x:t>
        </x:is>
      </x:c>
      <x:c r="C804" s="31" t="inlineStr">
        <x:is>
          <x:t xml:space="preserve">ЗК-1049</x:t>
        </x:is>
      </x:c>
      <x:c r="D804" s="31" t="inlineStr">
        <x:is>
          <x:t xml:space="preserve">ПОЗ-0049-4</x:t>
        </x:is>
      </x:c>
      <x:c r="E804" s="31" t="inlineStr">
        <x:is>
          <x:t xml:space="preserve">ИЗД-006</x:t>
        </x:is>
      </x:c>
      <x:c r="F804" s="31" t="n">
        <x:v>80</x:v>
      </x:c>
      <x:c r="G804" s="31" t="inlineStr">
        <x:is>
          <x:t xml:space="preserve">Гидроиспытания</x:t>
        </x:is>
      </x:c>
      <x:c r="H804" s="31" t="inlineStr">
        <x:is>
          <x:t xml:space="preserve">ОТК</x:t>
        </x:is>
      </x:c>
      <x:c r="I804" s="31" t="inlineStr">
        <x:is>
          <x:t xml:space="preserve">ОБ-007</x:t>
        </x:is>
      </x:c>
      <x:c r="J804" s="31" t="inlineStr">
        <x:is>
          <x:t xml:space="preserve">СОТР-098</x:t>
        </x:is>
      </x:c>
      <x:c r="K804" s="31" t="n">
        <x:v>15.2</x:v>
      </x:c>
      <x:c r="L804" s="31" t="n">
        <x:v>17.1</x:v>
      </x:c>
      <x:c r="M804" s="31" t="n">
        <x:v>46046</x:v>
      </x:c>
      <x:c r="N804" s="31" t="n">
        <x:v>46048</x:v>
      </x:c>
      <x:c r="O804" s="31" t="n">
        <x:v>46046</x:v>
      </x:c>
      <x:c r="P804" s="31" t="n">
        <x:v>46050</x:v>
      </x:c>
      <x:c r="Q804" s="31" t="inlineStr">
        <x:is>
          <x:t xml:space="preserve">Завершено</x:t>
        </x:is>
      </x:c>
      <x:c r="R804" s="31" t="inlineStr">
        <x:is>
          <x:t xml:space="preserve">КД</x:t>
        </x:is>
      </x:c>
      <x:c r="S804" s="31" t="inlineStr">
        <x:is>
          <x:t xml:space="preserve">Нет</x:t>
        </x:is>
      </x:c>
    </x:row>
    <x:row r="805">
      <x:c r="A805" s="31" t="inlineStr">
        <x:is>
          <x:t xml:space="preserve">ОП-000804</x:t>
        </x:is>
      </x:c>
      <x:c r="B805" s="31" t="inlineStr">
        <x:is>
          <x:t xml:space="preserve">ПЗ-00095</x:t>
        </x:is>
      </x:c>
      <x:c r="C805" s="31" t="inlineStr">
        <x:is>
          <x:t xml:space="preserve">ЗК-1049</x:t>
        </x:is>
      </x:c>
      <x:c r="D805" s="31" t="inlineStr">
        <x:is>
          <x:t xml:space="preserve">ПОЗ-0049-4</x:t>
        </x:is>
      </x:c>
      <x:c r="E805" s="31" t="inlineStr">
        <x:is>
          <x:t xml:space="preserve">ИЗД-006</x:t>
        </x:is>
      </x:c>
      <x:c r="F805" s="31" t="n">
        <x:v>90</x:v>
      </x:c>
      <x:c r="G805" s="31" t="inlineStr">
        <x:is>
          <x:t xml:space="preserve">ОТК</x:t>
        </x:is>
      </x:c>
      <x:c r="H805" s="31" t="inlineStr">
        <x:is>
          <x:t xml:space="preserve">ОТК</x:t>
        </x:is>
      </x:c>
      <x:c r="I805" s="31" t="inlineStr">
        <x:is>
          <x:t xml:space="preserve">ОБ-024</x:t>
        </x:is>
      </x:c>
      <x:c r="J805" s="31" t="inlineStr">
        <x:is>
          <x:t xml:space="preserve">СОТР-099</x:t>
        </x:is>
      </x:c>
      <x:c r="K805" s="31" t="n">
        <x:v>5.1</x:v>
      </x:c>
      <x:c r="L805" s="31" t="n">
        <x:v>5.4</x:v>
      </x:c>
      <x:c r="M805" s="31" t="n">
        <x:v>46048</x:v>
      </x:c>
      <x:c r="N805" s="31" t="n">
        <x:v>46049</x:v>
      </x:c>
      <x:c r="O805" s="31" t="n">
        <x:v>46048</x:v>
      </x:c>
      <x:c r="P805" s="31" t="n">
        <x:v>46051</x:v>
      </x:c>
      <x:c r="Q805" s="31" t="inlineStr">
        <x:is>
          <x:t xml:space="preserve">Завершено</x:t>
        </x:is>
      </x:c>
      <x:c r="R805" s="31" t="inlineStr">
        <x:is>
          <x:t xml:space="preserve">Нет</x:t>
        </x:is>
      </x:c>
      <x:c r="S805" s="31" t="inlineStr">
        <x:is>
          <x:t xml:space="preserve">Нет</x:t>
        </x:is>
      </x:c>
    </x:row>
    <x:row r="806">
      <x:c r="A806" s="31" t="inlineStr">
        <x:is>
          <x:t xml:space="preserve">ОП-000805</x:t>
        </x:is>
      </x:c>
      <x:c r="B806" s="31" t="inlineStr">
        <x:is>
          <x:t xml:space="preserve">ПЗ-00095</x:t>
        </x:is>
      </x:c>
      <x:c r="C806" s="31" t="inlineStr">
        <x:is>
          <x:t xml:space="preserve">ЗК-1049</x:t>
        </x:is>
      </x:c>
      <x:c r="D806" s="31" t="inlineStr">
        <x:is>
          <x:t xml:space="preserve">ПОЗ-0049-4</x:t>
        </x:is>
      </x:c>
      <x:c r="E806" s="31" t="inlineStr">
        <x:is>
          <x:t xml:space="preserve">ИЗД-006</x:t>
        </x:is>
      </x:c>
      <x:c r="F806" s="31" t="n">
        <x:v>100</x:v>
      </x:c>
      <x:c r="G806" s="31" t="inlineStr">
        <x:is>
          <x:t xml:space="preserve">Упаковка</x:t>
        </x:is>
      </x:c>
      <x:c r="H806" s="31" t="inlineStr">
        <x:is>
          <x:t xml:space="preserve">Логистика</x:t>
        </x:is>
      </x:c>
      <x:c r="I806" s="31" t="n"/>
      <x:c r="J806" s="31" t="inlineStr">
        <x:is>
          <x:t xml:space="preserve">СОТР-104</x:t>
        </x:is>
      </x:c>
      <x:c r="K806" s="31" t="n">
        <x:v>12.4</x:v>
      </x:c>
      <x:c r="L806" s="31" t="n">
        <x:v>14.6</x:v>
      </x:c>
      <x:c r="M806" s="31" t="n">
        <x:v>46049</x:v>
      </x:c>
      <x:c r="N806" s="31" t="n">
        <x:v>46051</x:v>
      </x:c>
      <x:c r="O806" s="31" t="n">
        <x:v>46049</x:v>
      </x:c>
      <x:c r="P806" s="31" t="n">
        <x:v>46052</x:v>
      </x:c>
      <x:c r="Q806" s="31" t="inlineStr">
        <x:is>
          <x:t xml:space="preserve">Завершено</x:t>
        </x:is>
      </x:c>
      <x:c r="R806" s="31" t="inlineStr">
        <x:is>
          <x:t xml:space="preserve">Нет</x:t>
        </x:is>
      </x:c>
      <x:c r="S806" s="31" t="inlineStr">
        <x:is>
          <x:t xml:space="preserve">Нет</x:t>
        </x:is>
      </x:c>
    </x:row>
    <x:row r="807">
      <x:c r="A807" s="31" t="inlineStr">
        <x:is>
          <x:t xml:space="preserve">ОП-000806</x:t>
        </x:is>
      </x:c>
      <x:c r="B807" s="31" t="inlineStr">
        <x:is>
          <x:t xml:space="preserve">ПЗ-00096</x:t>
        </x:is>
      </x:c>
      <x:c r="C807" s="31" t="inlineStr">
        <x:is>
          <x:t xml:space="preserve">ЗК-1050</x:t>
        </x:is>
      </x:c>
      <x:c r="D807" s="31" t="inlineStr">
        <x:is>
          <x:t xml:space="preserve">ПОЗ-0050-1</x:t>
        </x:is>
      </x:c>
      <x:c r="E807" s="31" t="inlineStr">
        <x:is>
          <x:t xml:space="preserve">ИЗД-041</x:t>
        </x:is>
      </x:c>
      <x:c r="F807" s="31" t="n">
        <x:v>10</x:v>
      </x:c>
      <x:c r="G807" s="31" t="inlineStr">
        <x:is>
          <x:t xml:space="preserve">КД</x:t>
        </x:is>
      </x:c>
      <x:c r="H807" s="31" t="inlineStr">
        <x:is>
          <x:t xml:space="preserve">Инженерный отдел</x:t>
        </x:is>
      </x:c>
      <x:c r="I807" s="31" t="n"/>
      <x:c r="J807" s="31" t="inlineStr">
        <x:is>
          <x:t xml:space="preserve">СОТР-015</x:t>
        </x:is>
      </x:c>
      <x:c r="K807" s="31" t="n">
        <x:v>30</x:v>
      </x:c>
      <x:c r="L807" s="31" t="n"/>
      <x:c r="M807" s="31" t="n">
        <x:v>46090</x:v>
      </x:c>
      <x:c r="N807" s="31" t="n">
        <x:v>46093</x:v>
      </x:c>
      <x:c r="O807" s="31" t="n"/>
      <x:c r="P807" s="31" t="n"/>
      <x:c r="Q807" s="31" t="inlineStr">
        <x:is>
          <x:t xml:space="preserve">Запланировано</x:t>
        </x:is>
      </x:c>
      <x:c r="R807" s="31" t="inlineStr">
        <x:is>
          <x:t xml:space="preserve">Нет</x:t>
        </x:is>
      </x:c>
      <x:c r="S807" s="31" t="inlineStr">
        <x:is>
          <x:t xml:space="preserve">Нет</x:t>
        </x:is>
      </x:c>
    </x:row>
    <x:row r="808">
      <x:c r="A808" s="31" t="inlineStr">
        <x:is>
          <x:t xml:space="preserve">ОП-000807</x:t>
        </x:is>
      </x:c>
      <x:c r="B808" s="31" t="inlineStr">
        <x:is>
          <x:t xml:space="preserve">ПЗ-00096</x:t>
        </x:is>
      </x:c>
      <x:c r="C808" s="31" t="inlineStr">
        <x:is>
          <x:t xml:space="preserve">ЗК-1050</x:t>
        </x:is>
      </x:c>
      <x:c r="D808" s="31" t="inlineStr">
        <x:is>
          <x:t xml:space="preserve">ПОЗ-0050-1</x:t>
        </x:is>
      </x:c>
      <x:c r="E808" s="31" t="inlineStr">
        <x:is>
          <x:t xml:space="preserve">ИЗД-041</x:t>
        </x:is>
      </x:c>
      <x:c r="F808" s="31" t="n">
        <x:v>20</x:v>
      </x:c>
      <x:c r="G808" s="31" t="inlineStr">
        <x:is>
          <x:t xml:space="preserve">Резка металла</x:t>
        </x:is>
      </x:c>
      <x:c r="H808" s="31" t="inlineStr">
        <x:is>
          <x:t xml:space="preserve">Сварка</x:t>
        </x:is>
      </x:c>
      <x:c r="I808" s="31" t="inlineStr">
        <x:is>
          <x:t xml:space="preserve">ОБ-003</x:t>
        </x:is>
      </x:c>
      <x:c r="J808" s="31" t="inlineStr">
        <x:is>
          <x:t xml:space="preserve">СОТР-059</x:t>
        </x:is>
      </x:c>
      <x:c r="K808" s="31" t="n">
        <x:v>4.4</x:v>
      </x:c>
      <x:c r="L808" s="31" t="n"/>
      <x:c r="M808" s="31" t="n">
        <x:v>46093</x:v>
      </x:c>
      <x:c r="N808" s="31" t="n">
        <x:v>46094</x:v>
      </x:c>
      <x:c r="O808" s="31" t="n"/>
      <x:c r="P808" s="31" t="n"/>
      <x:c r="Q808" s="31" t="inlineStr">
        <x:is>
          <x:t xml:space="preserve">Запланировано</x:t>
        </x:is>
      </x:c>
      <x:c r="R808" s="31" t="inlineStr">
        <x:is>
          <x:t xml:space="preserve">Нет</x:t>
        </x:is>
      </x:c>
      <x:c r="S808" s="31" t="inlineStr">
        <x:is>
          <x:t xml:space="preserve">Нет</x:t>
        </x:is>
      </x:c>
    </x:row>
    <x:row r="809">
      <x:c r="A809" s="31" t="inlineStr">
        <x:is>
          <x:t xml:space="preserve">ОП-000808</x:t>
        </x:is>
      </x:c>
      <x:c r="B809" s="31" t="inlineStr">
        <x:is>
          <x:t xml:space="preserve">ПЗ-00096</x:t>
        </x:is>
      </x:c>
      <x:c r="C809" s="31" t="inlineStr">
        <x:is>
          <x:t xml:space="preserve">ЗК-1050</x:t>
        </x:is>
      </x:c>
      <x:c r="D809" s="31" t="inlineStr">
        <x:is>
          <x:t xml:space="preserve">ПОЗ-0050-1</x:t>
        </x:is>
      </x:c>
      <x:c r="E809" s="31" t="inlineStr">
        <x:is>
          <x:t xml:space="preserve">ИЗД-041</x:t>
        </x:is>
      </x:c>
      <x:c r="F809" s="31" t="n">
        <x:v>30</x:v>
      </x:c>
      <x:c r="G809" s="31" t="inlineStr">
        <x:is>
          <x:t xml:space="preserve">Сварка рамы</x:t>
        </x:is>
      </x:c>
      <x:c r="H809" s="31" t="inlineStr">
        <x:is>
          <x:t xml:space="preserve">Сварка</x:t>
        </x:is>
      </x:c>
      <x:c r="I809" s="31" t="inlineStr">
        <x:is>
          <x:t xml:space="preserve">ОБ-003</x:t>
        </x:is>
      </x:c>
      <x:c r="J809" s="31" t="inlineStr">
        <x:is>
          <x:t xml:space="preserve">СОТР-069</x:t>
        </x:is>
      </x:c>
      <x:c r="K809" s="31" t="n">
        <x:v>38</x:v>
      </x:c>
      <x:c r="L809" s="31" t="n"/>
      <x:c r="M809" s="31" t="n">
        <x:v>46094</x:v>
      </x:c>
      <x:c r="N809" s="31" t="n">
        <x:v>46098</x:v>
      </x:c>
      <x:c r="O809" s="31" t="n"/>
      <x:c r="P809" s="31" t="n"/>
      <x:c r="Q809" s="31" t="inlineStr">
        <x:is>
          <x:t xml:space="preserve">Запланировано</x:t>
        </x:is>
      </x:c>
      <x:c r="R809" s="31" t="inlineStr">
        <x:is>
          <x:t xml:space="preserve">Нет</x:t>
        </x:is>
      </x:c>
      <x:c r="S809" s="31" t="inlineStr">
        <x:is>
          <x:t xml:space="preserve">Да</x:t>
        </x:is>
      </x:c>
    </x:row>
    <x:row r="810">
      <x:c r="A810" s="31" t="inlineStr">
        <x:is>
          <x:t xml:space="preserve">ОП-000809</x:t>
        </x:is>
      </x:c>
      <x:c r="B810" s="31" t="inlineStr">
        <x:is>
          <x:t xml:space="preserve">ПЗ-00096</x:t>
        </x:is>
      </x:c>
      <x:c r="C810" s="31" t="inlineStr">
        <x:is>
          <x:t xml:space="preserve">ЗК-1050</x:t>
        </x:is>
      </x:c>
      <x:c r="D810" s="31" t="inlineStr">
        <x:is>
          <x:t xml:space="preserve">ПОЗ-0050-1</x:t>
        </x:is>
      </x:c>
      <x:c r="E810" s="31" t="inlineStr">
        <x:is>
          <x:t xml:space="preserve">ИЗД-041</x:t>
        </x:is>
      </x:c>
      <x:c r="F810" s="31" t="n">
        <x:v>40</x:v>
      </x:c>
      <x:c r="G810" s="31" t="inlineStr">
        <x:is>
          <x:t xml:space="preserve">Пескоструй</x:t>
        </x:is>
      </x:c>
      <x:c r="H810" s="31" t="inlineStr">
        <x:is>
          <x:t xml:space="preserve">Сварка</x:t>
        </x:is>
      </x:c>
      <x:c r="I810" s="31" t="inlineStr">
        <x:is>
          <x:t xml:space="preserve">ОБ-004</x:t>
        </x:is>
      </x:c>
      <x:c r="J810" s="31" t="inlineStr">
        <x:is>
          <x:t xml:space="preserve">СОТР-060</x:t>
        </x:is>
      </x:c>
      <x:c r="K810" s="31" t="n">
        <x:v>39.6</x:v>
      </x:c>
      <x:c r="L810" s="31" t="n"/>
      <x:c r="M810" s="31" t="n">
        <x:v>46098</x:v>
      </x:c>
      <x:c r="N810" s="31" t="n">
        <x:v>46102</x:v>
      </x:c>
      <x:c r="O810" s="31" t="n"/>
      <x:c r="P810" s="31" t="n"/>
      <x:c r="Q810" s="31" t="inlineStr">
        <x:is>
          <x:t xml:space="preserve">Запланировано</x:t>
        </x:is>
      </x:c>
      <x:c r="R810" s="31" t="inlineStr">
        <x:is>
          <x:t xml:space="preserve">Нет</x:t>
        </x:is>
      </x:c>
      <x:c r="S810" s="31" t="inlineStr">
        <x:is>
          <x:t xml:space="preserve">Нет</x:t>
        </x:is>
      </x:c>
    </x:row>
    <x:row r="811">
      <x:c r="A811" s="31" t="inlineStr">
        <x:is>
          <x:t xml:space="preserve">ОП-000810</x:t>
        </x:is>
      </x:c>
      <x:c r="B811" s="31" t="inlineStr">
        <x:is>
          <x:t xml:space="preserve">ПЗ-00096</x:t>
        </x:is>
      </x:c>
      <x:c r="C811" s="31" t="inlineStr">
        <x:is>
          <x:t xml:space="preserve">ЗК-1050</x:t>
        </x:is>
      </x:c>
      <x:c r="D811" s="31" t="inlineStr">
        <x:is>
          <x:t xml:space="preserve">ПОЗ-0050-1</x:t>
        </x:is>
      </x:c>
      <x:c r="E811" s="31" t="inlineStr">
        <x:is>
          <x:t xml:space="preserve">ИЗД-041</x:t>
        </x:is>
      </x:c>
      <x:c r="F811" s="31" t="n">
        <x:v>50</x:v>
      </x:c>
      <x:c r="G811" s="31" t="inlineStr">
        <x:is>
          <x:t xml:space="preserve">Покраска</x:t>
        </x:is>
      </x:c>
      <x:c r="H811" s="31" t="inlineStr">
        <x:is>
          <x:t xml:space="preserve">Сварка</x:t>
        </x:is>
      </x:c>
      <x:c r="I811" s="31" t="inlineStr">
        <x:is>
          <x:t xml:space="preserve">ОБ-003</x:t>
        </x:is>
      </x:c>
      <x:c r="J811" s="31" t="inlineStr">
        <x:is>
          <x:t xml:space="preserve">СОТР-060</x:t>
        </x:is>
      </x:c>
      <x:c r="K811" s="31" t="n">
        <x:v>28.4</x:v>
      </x:c>
      <x:c r="L811" s="31" t="n"/>
      <x:c r="M811" s="31" t="n">
        <x:v>46102</x:v>
      </x:c>
      <x:c r="N811" s="31" t="n">
        <x:v>46105</x:v>
      </x:c>
      <x:c r="O811" s="31" t="n"/>
      <x:c r="P811" s="31" t="n"/>
      <x:c r="Q811" s="31" t="inlineStr">
        <x:is>
          <x:t xml:space="preserve">Запланировано</x:t>
        </x:is>
      </x:c>
      <x:c r="R811" s="31" t="inlineStr">
        <x:is>
          <x:t xml:space="preserve">Нет</x:t>
        </x:is>
      </x:c>
      <x:c r="S811" s="31" t="inlineStr">
        <x:is>
          <x:t xml:space="preserve">Нет</x:t>
        </x:is>
      </x:c>
    </x:row>
    <x:row r="812">
      <x:c r="A812" s="31" t="inlineStr">
        <x:is>
          <x:t xml:space="preserve">ОП-000811</x:t>
        </x:is>
      </x:c>
      <x:c r="B812" s="31" t="inlineStr">
        <x:is>
          <x:t xml:space="preserve">ПЗ-00096</x:t>
        </x:is>
      </x:c>
      <x:c r="C812" s="31" t="inlineStr">
        <x:is>
          <x:t xml:space="preserve">ЗК-1050</x:t>
        </x:is>
      </x:c>
      <x:c r="D812" s="31" t="inlineStr">
        <x:is>
          <x:t xml:space="preserve">ПОЗ-0050-1</x:t>
        </x:is>
      </x:c>
      <x:c r="E812" s="31" t="inlineStr">
        <x:is>
          <x:t xml:space="preserve">ИЗД-041</x:t>
        </x:is>
      </x:c>
      <x:c r="F812" s="31" t="n">
        <x:v>60</x:v>
      </x:c>
      <x:c r="G812" s="31" t="inlineStr">
        <x:is>
          <x:t xml:space="preserve">ОТК</x:t>
        </x:is>
      </x:c>
      <x:c r="H812" s="31" t="inlineStr">
        <x:is>
          <x:t xml:space="preserve">ОТК</x:t>
        </x:is>
      </x:c>
      <x:c r="I812" s="31" t="inlineStr">
        <x:is>
          <x:t xml:space="preserve">ОБ-022</x:t>
        </x:is>
      </x:c>
      <x:c r="J812" s="31" t="inlineStr">
        <x:is>
          <x:t xml:space="preserve">СОТР-093</x:t>
        </x:is>
      </x:c>
      <x:c r="K812" s="31" t="n">
        <x:v>13.6</x:v>
      </x:c>
      <x:c r="L812" s="31" t="n"/>
      <x:c r="M812" s="31" t="n">
        <x:v>46105</x:v>
      </x:c>
      <x:c r="N812" s="31" t="n">
        <x:v>46107</x:v>
      </x:c>
      <x:c r="O812" s="31" t="n"/>
      <x:c r="P812" s="31" t="n"/>
      <x:c r="Q812" s="31" t="inlineStr">
        <x:is>
          <x:t xml:space="preserve">Запланировано</x:t>
        </x:is>
      </x:c>
      <x:c r="R812" s="31" t="inlineStr">
        <x:is>
          <x:t xml:space="preserve">Нет</x:t>
        </x:is>
      </x:c>
      <x:c r="S812" s="31" t="inlineStr">
        <x:is>
          <x:t xml:space="preserve">Нет</x:t>
        </x:is>
      </x:c>
    </x:row>
    <x:row r="813">
      <x:c r="A813" s="31" t="inlineStr">
        <x:is>
          <x:t xml:space="preserve">ОП-000812</x:t>
        </x:is>
      </x:c>
      <x:c r="B813" s="31" t="inlineStr">
        <x:is>
          <x:t xml:space="preserve">ПЗ-00097</x:t>
        </x:is>
      </x:c>
      <x:c r="C813" s="31" t="inlineStr">
        <x:is>
          <x:t xml:space="preserve">ЗК-1050</x:t>
        </x:is>
      </x:c>
      <x:c r="D813" s="31" t="inlineStr">
        <x:is>
          <x:t xml:space="preserve">ПОЗ-0050-2</x:t>
        </x:is>
      </x:c>
      <x:c r="E813" s="31" t="inlineStr">
        <x:is>
          <x:t xml:space="preserve">ИЗД-038</x:t>
        </x:is>
      </x:c>
      <x:c r="F813" s="31" t="n">
        <x:v>10</x:v>
      </x:c>
      <x:c r="G813" s="31" t="inlineStr">
        <x:is>
          <x:t xml:space="preserve">КД</x:t>
        </x:is>
      </x:c>
      <x:c r="H813" s="31" t="inlineStr">
        <x:is>
          <x:t xml:space="preserve">Инженерный отдел</x:t>
        </x:is>
      </x:c>
      <x:c r="I813" s="31" t="n"/>
      <x:c r="J813" s="31" t="inlineStr">
        <x:is>
          <x:t xml:space="preserve">СОТР-017</x:t>
        </x:is>
      </x:c>
      <x:c r="K813" s="31" t="n">
        <x:v>22</x:v>
      </x:c>
      <x:c r="L813" s="31" t="n"/>
      <x:c r="M813" s="31" t="n">
        <x:v>46093</x:v>
      </x:c>
      <x:c r="N813" s="31" t="n">
        <x:v>46095</x:v>
      </x:c>
      <x:c r="O813" s="31" t="n">
        <x:v>46093</x:v>
      </x:c>
      <x:c r="P813" s="31" t="n"/>
      <x:c r="Q813" s="31" t="inlineStr">
        <x:is>
          <x:t xml:space="preserve">В работе</x:t>
        </x:is>
      </x:c>
      <x:c r="R813" s="31" t="inlineStr">
        <x:is>
          <x:t xml:space="preserve">Нет</x:t>
        </x:is>
      </x:c>
      <x:c r="S813" s="31" t="inlineStr">
        <x:is>
          <x:t xml:space="preserve">Нет</x:t>
        </x:is>
      </x:c>
    </x:row>
    <x:row r="814">
      <x:c r="A814" s="31" t="inlineStr">
        <x:is>
          <x:t xml:space="preserve">ОП-000813</x:t>
        </x:is>
      </x:c>
      <x:c r="B814" s="31" t="inlineStr">
        <x:is>
          <x:t xml:space="preserve">ПЗ-00097</x:t>
        </x:is>
      </x:c>
      <x:c r="C814" s="31" t="inlineStr">
        <x:is>
          <x:t xml:space="preserve">ЗК-1050</x:t>
        </x:is>
      </x:c>
      <x:c r="D814" s="31" t="inlineStr">
        <x:is>
          <x:t xml:space="preserve">ПОЗ-0050-2</x:t>
        </x:is>
      </x:c>
      <x:c r="E814" s="31" t="inlineStr">
        <x:is>
          <x:t xml:space="preserve">ИЗД-038</x:t>
        </x:is>
      </x:c>
      <x:c r="F814" s="31" t="n">
        <x:v>20</x:v>
      </x:c>
      <x:c r="G814" s="31" t="inlineStr">
        <x:is>
          <x:t xml:space="preserve">Резка труб</x:t>
        </x:is>
      </x:c>
      <x:c r="H814" s="31" t="inlineStr">
        <x:is>
          <x:t xml:space="preserve">Сварка</x:t>
        </x:is>
      </x:c>
      <x:c r="I814" s="31" t="inlineStr">
        <x:is>
          <x:t xml:space="preserve">ОБ-010</x:t>
        </x:is>
      </x:c>
      <x:c r="J814" s="31" t="inlineStr">
        <x:is>
          <x:t xml:space="preserve">СОТР-056</x:t>
        </x:is>
      </x:c>
      <x:c r="K814" s="31" t="n">
        <x:v>6.4</x:v>
      </x:c>
      <x:c r="L814" s="31" t="n"/>
      <x:c r="M814" s="31" t="n">
        <x:v>46095</x:v>
      </x:c>
      <x:c r="N814" s="31" t="n">
        <x:v>46096</x:v>
      </x:c>
      <x:c r="O814" s="31" t="n"/>
      <x:c r="P814" s="31" t="n"/>
      <x:c r="Q814" s="31" t="inlineStr">
        <x:is>
          <x:t xml:space="preserve">Запланировано</x:t>
        </x:is>
      </x:c>
      <x:c r="R814" s="31" t="inlineStr">
        <x:is>
          <x:t xml:space="preserve">Материал</x:t>
        </x:is>
      </x:c>
      <x:c r="S814" s="31" t="inlineStr">
        <x:is>
          <x:t xml:space="preserve">Нет</x:t>
        </x:is>
      </x:c>
    </x:row>
    <x:row r="815">
      <x:c r="A815" s="31" t="inlineStr">
        <x:is>
          <x:t xml:space="preserve">ОП-000814</x:t>
        </x:is>
      </x:c>
      <x:c r="B815" s="31" t="inlineStr">
        <x:is>
          <x:t xml:space="preserve">ПЗ-00097</x:t>
        </x:is>
      </x:c>
      <x:c r="C815" s="31" t="inlineStr">
        <x:is>
          <x:t xml:space="preserve">ЗК-1050</x:t>
        </x:is>
      </x:c>
      <x:c r="D815" s="31" t="inlineStr">
        <x:is>
          <x:t xml:space="preserve">ПОЗ-0050-2</x:t>
        </x:is>
      </x:c>
      <x:c r="E815" s="31" t="inlineStr">
        <x:is>
          <x:t xml:space="preserve">ИЗД-038</x:t>
        </x:is>
      </x:c>
      <x:c r="F815" s="31" t="n">
        <x:v>30</x:v>
      </x:c>
      <x:c r="G815" s="31" t="inlineStr">
        <x:is>
          <x:t xml:space="preserve">Сварка</x:t>
        </x:is>
      </x:c>
      <x:c r="H815" s="31" t="inlineStr">
        <x:is>
          <x:t xml:space="preserve">Сварка</x:t>
        </x:is>
      </x:c>
      <x:c r="I815" s="31" t="inlineStr">
        <x:is>
          <x:t xml:space="preserve">ОБ-010</x:t>
        </x:is>
      </x:c>
      <x:c r="J815" s="31" t="inlineStr">
        <x:is>
          <x:t xml:space="preserve">СОТР-071</x:t>
        </x:is>
      </x:c>
      <x:c r="K815" s="31" t="n">
        <x:v>17.6</x:v>
      </x:c>
      <x:c r="L815" s="31" t="n">
        <x:v>17.6</x:v>
      </x:c>
      <x:c r="M815" s="31" t="n">
        <x:v>46096</x:v>
      </x:c>
      <x:c r="N815" s="31" t="n">
        <x:v>46098</x:v>
      </x:c>
      <x:c r="O815" s="31" t="n">
        <x:v>46096</x:v>
      </x:c>
      <x:c r="P815" s="31" t="n">
        <x:v>46099</x:v>
      </x:c>
      <x:c r="Q815" s="31" t="inlineStr">
        <x:is>
          <x:t xml:space="preserve">Завершено</x:t>
        </x:is>
      </x:c>
      <x:c r="R815" s="31" t="inlineStr">
        <x:is>
          <x:t xml:space="preserve">Нет</x:t>
        </x:is>
      </x:c>
      <x:c r="S815" s="31" t="inlineStr">
        <x:is>
          <x:t xml:space="preserve">Нет</x:t>
        </x:is>
      </x:c>
    </x:row>
    <x:row r="816">
      <x:c r="A816" s="31" t="inlineStr">
        <x:is>
          <x:t xml:space="preserve">ОП-000815</x:t>
        </x:is>
      </x:c>
      <x:c r="B816" s="31" t="inlineStr">
        <x:is>
          <x:t xml:space="preserve">ПЗ-00097</x:t>
        </x:is>
      </x:c>
      <x:c r="C816" s="31" t="inlineStr">
        <x:is>
          <x:t xml:space="preserve">ЗК-1050</x:t>
        </x:is>
      </x:c>
      <x:c r="D816" s="31" t="inlineStr">
        <x:is>
          <x:t xml:space="preserve">ПОЗ-0050-2</x:t>
        </x:is>
      </x:c>
      <x:c r="E816" s="31" t="inlineStr">
        <x:is>
          <x:t xml:space="preserve">ИЗД-038</x:t>
        </x:is>
      </x:c>
      <x:c r="F816" s="31" t="n">
        <x:v>40</x:v>
      </x:c>
      <x:c r="G816" s="31" t="inlineStr">
        <x:is>
          <x:t xml:space="preserve">НК сварных швов</x:t>
        </x:is>
      </x:c>
      <x:c r="H816" s="31" t="inlineStr">
        <x:is>
          <x:t xml:space="preserve">ОТК</x:t>
        </x:is>
      </x:c>
      <x:c r="I816" s="31" t="inlineStr">
        <x:is>
          <x:t xml:space="preserve">ОБ-022</x:t>
        </x:is>
      </x:c>
      <x:c r="J816" s="31" t="inlineStr">
        <x:is>
          <x:t xml:space="preserve">СОТР-100</x:t>
        </x:is>
      </x:c>
      <x:c r="K816" s="31" t="n">
        <x:v>4.4</x:v>
      </x:c>
      <x:c r="L816" s="31" t="n">
        <x:v>5.6</x:v>
      </x:c>
      <x:c r="M816" s="31" t="n">
        <x:v>46098</x:v>
      </x:c>
      <x:c r="N816" s="31" t="n">
        <x:v>46099</x:v>
      </x:c>
      <x:c r="O816" s="31" t="n">
        <x:v>46098</x:v>
      </x:c>
      <x:c r="P816" s="31" t="n">
        <x:v>46099</x:v>
      </x:c>
      <x:c r="Q816" s="31" t="inlineStr">
        <x:is>
          <x:t xml:space="preserve">Завершено</x:t>
        </x:is>
      </x:c>
      <x:c r="R816" s="31" t="inlineStr">
        <x:is>
          <x:t xml:space="preserve">Нет</x:t>
        </x:is>
      </x:c>
      <x:c r="S816" s="31" t="inlineStr">
        <x:is>
          <x:t xml:space="preserve">Нет</x:t>
        </x:is>
      </x:c>
    </x:row>
    <x:row r="817">
      <x:c r="A817" s="31" t="inlineStr">
        <x:is>
          <x:t xml:space="preserve">ОП-000816</x:t>
        </x:is>
      </x:c>
      <x:c r="B817" s="31" t="inlineStr">
        <x:is>
          <x:t xml:space="preserve">ПЗ-00097</x:t>
        </x:is>
      </x:c>
      <x:c r="C817" s="31" t="inlineStr">
        <x:is>
          <x:t xml:space="preserve">ЗК-1050</x:t>
        </x:is>
      </x:c>
      <x:c r="D817" s="31" t="inlineStr">
        <x:is>
          <x:t xml:space="preserve">ПОЗ-0050-2</x:t>
        </x:is>
      </x:c>
      <x:c r="E817" s="31" t="inlineStr">
        <x:is>
          <x:t xml:space="preserve">ИЗД-038</x:t>
        </x:is>
      </x:c>
      <x:c r="F817" s="31" t="n">
        <x:v>50</x:v>
      </x:c>
      <x:c r="G817" s="31" t="inlineStr">
        <x:is>
          <x:t xml:space="preserve">Гидроиспытания</x:t>
        </x:is>
      </x:c>
      <x:c r="H817" s="31" t="inlineStr">
        <x:is>
          <x:t xml:space="preserve">ОТК</x:t>
        </x:is>
      </x:c>
      <x:c r="I817" s="31" t="inlineStr">
        <x:is>
          <x:t xml:space="preserve">ОБ-028</x:t>
        </x:is>
      </x:c>
      <x:c r="J817" s="31" t="inlineStr">
        <x:is>
          <x:t xml:space="preserve">СОТР-100</x:t>
        </x:is>
      </x:c>
      <x:c r="K817" s="31" t="n">
        <x:v>13.2</x:v>
      </x:c>
      <x:c r="L817" s="31" t="n"/>
      <x:c r="M817" s="31" t="n">
        <x:v>46099</x:v>
      </x:c>
      <x:c r="N817" s="31" t="n">
        <x:v>46101</x:v>
      </x:c>
      <x:c r="O817" s="31" t="n"/>
      <x:c r="P817" s="31" t="n"/>
      <x:c r="Q817" s="31" t="inlineStr">
        <x:is>
          <x:t xml:space="preserve">Запланировано</x:t>
        </x:is>
      </x:c>
      <x:c r="R817" s="31" t="inlineStr">
        <x:is>
          <x:t xml:space="preserve">Нет</x:t>
        </x:is>
      </x:c>
      <x:c r="S817" s="31" t="inlineStr">
        <x:is>
          <x:t xml:space="preserve">Нет</x:t>
        </x:is>
      </x:c>
    </x:row>
    <x:row r="818">
      <x:c r="A818" s="31" t="inlineStr">
        <x:is>
          <x:t xml:space="preserve">ОП-000817</x:t>
        </x:is>
      </x:c>
      <x:c r="B818" s="31" t="inlineStr">
        <x:is>
          <x:t xml:space="preserve">ПЗ-00097</x:t>
        </x:is>
      </x:c>
      <x:c r="C818" s="31" t="inlineStr">
        <x:is>
          <x:t xml:space="preserve">ЗК-1050</x:t>
        </x:is>
      </x:c>
      <x:c r="D818" s="31" t="inlineStr">
        <x:is>
          <x:t xml:space="preserve">ПОЗ-0050-2</x:t>
        </x:is>
      </x:c>
      <x:c r="E818" s="31" t="inlineStr">
        <x:is>
          <x:t xml:space="preserve">ИЗД-038</x:t>
        </x:is>
      </x:c>
      <x:c r="F818" s="31" t="n">
        <x:v>60</x:v>
      </x:c>
      <x:c r="G818" s="31" t="inlineStr">
        <x:is>
          <x:t xml:space="preserve">Покраска</x:t>
        </x:is>
      </x:c>
      <x:c r="H818" s="31" t="inlineStr">
        <x:is>
          <x:t xml:space="preserve">Сварка</x:t>
        </x:is>
      </x:c>
      <x:c r="I818" s="31" t="inlineStr">
        <x:is>
          <x:t xml:space="preserve">ОБ-010</x:t>
        </x:is>
      </x:c>
      <x:c r="J818" s="31" t="inlineStr">
        <x:is>
          <x:t xml:space="preserve">СОТР-064</x:t>
        </x:is>
      </x:c>
      <x:c r="K818" s="31" t="n">
        <x:v>31.2</x:v>
      </x:c>
      <x:c r="L818" s="31" t="n"/>
      <x:c r="M818" s="31" t="n">
        <x:v>46101</x:v>
      </x:c>
      <x:c r="N818" s="31" t="n">
        <x:v>46104</x:v>
      </x:c>
      <x:c r="O818" s="31" t="n">
        <x:v>46101</x:v>
      </x:c>
      <x:c r="P818" s="31" t="n"/>
      <x:c r="Q818" s="31" t="inlineStr">
        <x:is>
          <x:t xml:space="preserve">В работе</x:t>
        </x:is>
      </x:c>
      <x:c r="R818" s="31" t="inlineStr">
        <x:is>
          <x:t xml:space="preserve">Нет</x:t>
        </x:is>
      </x:c>
      <x:c r="S818" s="31" t="inlineStr">
        <x:is>
          <x:t xml:space="preserve">Да</x:t>
        </x:is>
      </x:c>
    </x:row>
    <x:row r="819">
      <x:c r="A819" s="31" t="inlineStr">
        <x:is>
          <x:t xml:space="preserve">ОП-000818</x:t>
        </x:is>
      </x:c>
      <x:c r="B819" s="31" t="inlineStr">
        <x:is>
          <x:t xml:space="preserve">ПЗ-00097</x:t>
        </x:is>
      </x:c>
      <x:c r="C819" s="31" t="inlineStr">
        <x:is>
          <x:t xml:space="preserve">ЗК-1050</x:t>
        </x:is>
      </x:c>
      <x:c r="D819" s="31" t="inlineStr">
        <x:is>
          <x:t xml:space="preserve">ПОЗ-0050-2</x:t>
        </x:is>
      </x:c>
      <x:c r="E819" s="31" t="inlineStr">
        <x:is>
          <x:t xml:space="preserve">ИЗД-038</x:t>
        </x:is>
      </x:c>
      <x:c r="F819" s="31" t="n">
        <x:v>70</x:v>
      </x:c>
      <x:c r="G819" s="31" t="inlineStr">
        <x:is>
          <x:t xml:space="preserve">ОТК</x:t>
        </x:is>
      </x:c>
      <x:c r="H819" s="31" t="inlineStr">
        <x:is>
          <x:t xml:space="preserve">ОТК</x:t>
        </x:is>
      </x:c>
      <x:c r="I819" s="31" t="inlineStr">
        <x:is>
          <x:t xml:space="preserve">ОБ-006</x:t>
        </x:is>
      </x:c>
      <x:c r="J819" s="31" t="inlineStr">
        <x:is>
          <x:t xml:space="preserve">СОТР-100</x:t>
        </x:is>
      </x:c>
      <x:c r="K819" s="31" t="n">
        <x:v>18.8</x:v>
      </x:c>
      <x:c r="L819" s="31" t="n"/>
      <x:c r="M819" s="31" t="n">
        <x:v>46104</x:v>
      </x:c>
      <x:c r="N819" s="31" t="n">
        <x:v>46106</x:v>
      </x:c>
      <x:c r="O819" s="31" t="n"/>
      <x:c r="P819" s="31" t="n"/>
      <x:c r="Q819" s="31" t="inlineStr">
        <x:is>
          <x:t xml:space="preserve">Запланировано</x:t>
        </x:is>
      </x:c>
      <x:c r="R819" s="31" t="inlineStr">
        <x:is>
          <x:t xml:space="preserve">Нет</x:t>
        </x:is>
      </x:c>
      <x:c r="S819" s="31" t="inlineStr">
        <x:is>
          <x:t xml:space="preserve">Да</x:t>
        </x:is>
      </x:c>
    </x:row>
    <x:row r="820">
      <x:c r="A820" s="31" t="inlineStr">
        <x:is>
          <x:t xml:space="preserve">ОП-000819</x:t>
        </x:is>
      </x:c>
      <x:c r="B820" s="31" t="inlineStr">
        <x:is>
          <x:t xml:space="preserve">ПЗ-00098</x:t>
        </x:is>
      </x:c>
      <x:c r="C820" s="31" t="inlineStr">
        <x:is>
          <x:t xml:space="preserve">ЗК-1050</x:t>
        </x:is>
      </x:c>
      <x:c r="D820" s="31" t="inlineStr">
        <x:is>
          <x:t xml:space="preserve">ПОЗ-0050-3</x:t>
        </x:is>
      </x:c>
      <x:c r="E820" s="31" t="inlineStr">
        <x:is>
          <x:t xml:space="preserve">ИЗД-016</x:t>
        </x:is>
      </x:c>
      <x:c r="F820" s="31" t="n">
        <x:v>10</x:v>
      </x:c>
      <x:c r="G820" s="31" t="inlineStr">
        <x:is>
          <x:t xml:space="preserve">КД</x:t>
        </x:is>
      </x:c>
      <x:c r="H820" s="31" t="inlineStr">
        <x:is>
          <x:t xml:space="preserve">Инженерный отдел</x:t>
        </x:is>
      </x:c>
      <x:c r="I820" s="31" t="n"/>
      <x:c r="J820" s="31" t="inlineStr">
        <x:is>
          <x:t xml:space="preserve">СОТР-016</x:t>
        </x:is>
      </x:c>
      <x:c r="K820" s="31" t="n">
        <x:v>51.2</x:v>
      </x:c>
      <x:c r="L820" s="31" t="n"/>
      <x:c r="M820" s="31" t="n">
        <x:v>46088</x:v>
      </x:c>
      <x:c r="N820" s="31" t="n">
        <x:v>46093</x:v>
      </x:c>
      <x:c r="O820" s="31" t="n"/>
      <x:c r="P820" s="31" t="n"/>
      <x:c r="Q820" s="31" t="inlineStr">
        <x:is>
          <x:t xml:space="preserve">Запланировано</x:t>
        </x:is>
      </x:c>
      <x:c r="R820" s="31" t="inlineStr">
        <x:is>
          <x:t xml:space="preserve">Нет</x:t>
        </x:is>
      </x:c>
      <x:c r="S820" s="31" t="inlineStr">
        <x:is>
          <x:t xml:space="preserve">Нет</x:t>
        </x:is>
      </x:c>
    </x:row>
    <x:row r="821">
      <x:c r="A821" s="31" t="inlineStr">
        <x:is>
          <x:t xml:space="preserve">ОП-000820</x:t>
        </x:is>
      </x:c>
      <x:c r="B821" s="31" t="inlineStr">
        <x:is>
          <x:t xml:space="preserve">ПЗ-00098</x:t>
        </x:is>
      </x:c>
      <x:c r="C821" s="31" t="inlineStr">
        <x:is>
          <x:t xml:space="preserve">ЗК-1050</x:t>
        </x:is>
      </x:c>
      <x:c r="D821" s="31" t="inlineStr">
        <x:is>
          <x:t xml:space="preserve">ПОЗ-0050-3</x:t>
        </x:is>
      </x:c>
      <x:c r="E821" s="31" t="inlineStr">
        <x:is>
          <x:t xml:space="preserve">ИЗД-016</x:t>
        </x:is>
      </x:c>
      <x:c r="F821" s="31" t="n">
        <x:v>20</x:v>
      </x:c>
      <x:c r="G821" s="31" t="inlineStr">
        <x:is>
          <x:t xml:space="preserve">Резерв материалов</x:t>
        </x:is>
      </x:c>
      <x:c r="H821" s="31" t="inlineStr">
        <x:is>
          <x:t xml:space="preserve">Склад</x:t>
        </x:is>
      </x:c>
      <x:c r="I821" s="31" t="inlineStr">
        <x:is>
          <x:t xml:space="preserve">ОБ-025</x:t>
        </x:is>
      </x:c>
      <x:c r="J821" s="31" t="inlineStr">
        <x:is>
          <x:t xml:space="preserve">СОТР-037</x:t>
        </x:is>
      </x:c>
      <x:c r="K821" s="31" t="n">
        <x:v>57.6</x:v>
      </x:c>
      <x:c r="L821" s="31" t="n"/>
      <x:c r="M821" s="31" t="n">
        <x:v>46093</x:v>
      </x:c>
      <x:c r="N821" s="31" t="n">
        <x:v>46098</x:v>
      </x:c>
      <x:c r="O821" s="31" t="n"/>
      <x:c r="P821" s="31" t="n"/>
      <x:c r="Q821" s="31" t="inlineStr">
        <x:is>
          <x:t xml:space="preserve">Блокировано</x:t>
        </x:is>
      </x:c>
      <x:c r="R821" s="31" t="inlineStr">
        <x:is>
          <x:t xml:space="preserve">Нет</x:t>
        </x:is>
      </x:c>
      <x:c r="S821" s="31" t="inlineStr">
        <x:is>
          <x:t xml:space="preserve">Нет</x:t>
        </x:is>
      </x:c>
    </x:row>
    <x:row r="822">
      <x:c r="A822" s="31" t="inlineStr">
        <x:is>
          <x:t xml:space="preserve">ОП-000821</x:t>
        </x:is>
      </x:c>
      <x:c r="B822" s="31" t="inlineStr">
        <x:is>
          <x:t xml:space="preserve">ПЗ-00098</x:t>
        </x:is>
      </x:c>
      <x:c r="C822" s="31" t="inlineStr">
        <x:is>
          <x:t xml:space="preserve">ЗК-1050</x:t>
        </x:is>
      </x:c>
      <x:c r="D822" s="31" t="inlineStr">
        <x:is>
          <x:t xml:space="preserve">ПОЗ-0050-3</x:t>
        </x:is>
      </x:c>
      <x:c r="E822" s="31" t="inlineStr">
        <x:is>
          <x:t xml:space="preserve">ИЗД-016</x:t>
        </x:is>
      </x:c>
      <x:c r="F822" s="31" t="n">
        <x:v>30</x:v>
      </x:c>
      <x:c r="G822" s="31" t="inlineStr">
        <x:is>
          <x:t xml:space="preserve">Резка металла</x:t>
        </x:is>
      </x:c>
      <x:c r="H822" s="31" t="inlineStr">
        <x:is>
          <x:t xml:space="preserve">Сварка</x:t>
        </x:is>
      </x:c>
      <x:c r="I822" s="31" t="inlineStr">
        <x:is>
          <x:t xml:space="preserve">ОБ-003</x:t>
        </x:is>
      </x:c>
      <x:c r="J822" s="31" t="inlineStr">
        <x:is>
          <x:t xml:space="preserve">СОТР-061</x:t>
        </x:is>
      </x:c>
      <x:c r="K822" s="31" t="n">
        <x:v>45.2</x:v>
      </x:c>
      <x:c r="L822" s="31" t="n"/>
      <x:c r="M822" s="31" t="n">
        <x:v>46098</x:v>
      </x:c>
      <x:c r="N822" s="31" t="n">
        <x:v>46102</x:v>
      </x:c>
      <x:c r="O822" s="31" t="n"/>
      <x:c r="P822" s="31" t="n"/>
      <x:c r="Q822" s="31" t="inlineStr">
        <x:is>
          <x:t xml:space="preserve">Запланировано</x:t>
        </x:is>
      </x:c>
      <x:c r="R822" s="31" t="inlineStr">
        <x:is>
          <x:t xml:space="preserve">Нет</x:t>
        </x:is>
      </x:c>
      <x:c r="S822" s="31" t="inlineStr">
        <x:is>
          <x:t xml:space="preserve">Нет</x:t>
        </x:is>
      </x:c>
    </x:row>
    <x:row r="823">
      <x:c r="A823" s="31" t="inlineStr">
        <x:is>
          <x:t xml:space="preserve">ОП-000822</x:t>
        </x:is>
      </x:c>
      <x:c r="B823" s="31" t="inlineStr">
        <x:is>
          <x:t xml:space="preserve">ПЗ-00098</x:t>
        </x:is>
      </x:c>
      <x:c r="C823" s="31" t="inlineStr">
        <x:is>
          <x:t xml:space="preserve">ЗК-1050</x:t>
        </x:is>
      </x:c>
      <x:c r="D823" s="31" t="inlineStr">
        <x:is>
          <x:t xml:space="preserve">ПОЗ-0050-3</x:t>
        </x:is>
      </x:c>
      <x:c r="E823" s="31" t="inlineStr">
        <x:is>
          <x:t xml:space="preserve">ИЗД-016</x:t>
        </x:is>
      </x:c>
      <x:c r="F823" s="31" t="n">
        <x:v>40</x:v>
      </x:c>
      <x:c r="G823" s="31" t="inlineStr">
        <x:is>
          <x:t xml:space="preserve">Сварка рамы</x:t>
        </x:is>
      </x:c>
      <x:c r="H823" s="31" t="inlineStr">
        <x:is>
          <x:t xml:space="preserve">Сварка</x:t>
        </x:is>
      </x:c>
      <x:c r="I823" s="31" t="inlineStr">
        <x:is>
          <x:t xml:space="preserve">ОБ-010</x:t>
        </x:is>
      </x:c>
      <x:c r="J823" s="31" t="inlineStr">
        <x:is>
          <x:t xml:space="preserve">СОТР-060</x:t>
        </x:is>
      </x:c>
      <x:c r="K823" s="31" t="n">
        <x:v>46.4</x:v>
      </x:c>
      <x:c r="L823" s="31" t="n"/>
      <x:c r="M823" s="31" t="n">
        <x:v>46102</x:v>
      </x:c>
      <x:c r="N823" s="31" t="n">
        <x:v>46106</x:v>
      </x:c>
      <x:c r="O823" s="31" t="n"/>
      <x:c r="P823" s="31" t="n"/>
      <x:c r="Q823" s="31" t="inlineStr">
        <x:is>
          <x:t xml:space="preserve">Запланировано</x:t>
        </x:is>
      </x:c>
      <x:c r="R823" s="31" t="inlineStr">
        <x:is>
          <x:t xml:space="preserve">Нет</x:t>
        </x:is>
      </x:c>
      <x:c r="S823" s="31" t="inlineStr">
        <x:is>
          <x:t xml:space="preserve">Нет</x:t>
        </x:is>
      </x:c>
    </x:row>
    <x:row r="824">
      <x:c r="A824" s="31" t="inlineStr">
        <x:is>
          <x:t xml:space="preserve">ОП-000823</x:t>
        </x:is>
      </x:c>
      <x:c r="B824" s="31" t="inlineStr">
        <x:is>
          <x:t xml:space="preserve">ПЗ-00098</x:t>
        </x:is>
      </x:c>
      <x:c r="C824" s="31" t="inlineStr">
        <x:is>
          <x:t xml:space="preserve">ЗК-1050</x:t>
        </x:is>
      </x:c>
      <x:c r="D824" s="31" t="inlineStr">
        <x:is>
          <x:t xml:space="preserve">ПОЗ-0050-3</x:t>
        </x:is>
      </x:c>
      <x:c r="E824" s="31" t="inlineStr">
        <x:is>
          <x:t xml:space="preserve">ИЗД-016</x:t>
        </x:is>
      </x:c>
      <x:c r="F824" s="31" t="n">
        <x:v>50</x:v>
      </x:c>
      <x:c r="G824" s="31" t="inlineStr">
        <x:is>
          <x:t xml:space="preserve">Механообработка</x:t>
        </x:is>
      </x:c>
      <x:c r="H824" s="31" t="inlineStr">
        <x:is>
          <x:t xml:space="preserve">Механообработка</x:t>
        </x:is>
      </x:c>
      <x:c r="I824" s="31" t="inlineStr">
        <x:is>
          <x:t xml:space="preserve">ОБ-029</x:t>
        </x:is>
      </x:c>
      <x:c r="J824" s="31" t="inlineStr">
        <x:is>
          <x:t xml:space="preserve">СОТР-053</x:t>
        </x:is>
      </x:c>
      <x:c r="K824" s="31" t="n">
        <x:v>60.4</x:v>
      </x:c>
      <x:c r="L824" s="31" t="n"/>
      <x:c r="M824" s="31" t="n">
        <x:v>46106</x:v>
      </x:c>
      <x:c r="N824" s="31" t="n">
        <x:v>46112</x:v>
      </x:c>
      <x:c r="O824" s="31" t="n"/>
      <x:c r="P824" s="31" t="n"/>
      <x:c r="Q824" s="31" t="inlineStr">
        <x:is>
          <x:t xml:space="preserve">Запланировано</x:t>
        </x:is>
      </x:c>
      <x:c r="R824" s="31" t="inlineStr">
        <x:is>
          <x:t xml:space="preserve">Ожидание ОТК</x:t>
        </x:is>
      </x:c>
      <x:c r="S824" s="31" t="inlineStr">
        <x:is>
          <x:t xml:space="preserve">Нет</x:t>
        </x:is>
      </x:c>
    </x:row>
    <x:row r="825">
      <x:c r="A825" s="31" t="inlineStr">
        <x:is>
          <x:t xml:space="preserve">ОП-000824</x:t>
        </x:is>
      </x:c>
      <x:c r="B825" s="31" t="inlineStr">
        <x:is>
          <x:t xml:space="preserve">ПЗ-00098</x:t>
        </x:is>
      </x:c>
      <x:c r="C825" s="31" t="inlineStr">
        <x:is>
          <x:t xml:space="preserve">ЗК-1050</x:t>
        </x:is>
      </x:c>
      <x:c r="D825" s="31" t="inlineStr">
        <x:is>
          <x:t xml:space="preserve">ПОЗ-0050-3</x:t>
        </x:is>
      </x:c>
      <x:c r="E825" s="31" t="inlineStr">
        <x:is>
          <x:t xml:space="preserve">ИЗД-016</x:t>
        </x:is>
      </x:c>
      <x:c r="F825" s="31" t="n">
        <x:v>60</x:v>
      </x:c>
      <x:c r="G825" s="31" t="inlineStr">
        <x:is>
          <x:t xml:space="preserve">Сборка</x:t>
        </x:is>
      </x:c>
      <x:c r="H825" s="31" t="inlineStr">
        <x:is>
          <x:t xml:space="preserve">Сборка</x:t>
        </x:is>
      </x:c>
      <x:c r="I825" s="31" t="inlineStr">
        <x:is>
          <x:t xml:space="preserve">ОБ-027</x:t>
        </x:is>
      </x:c>
      <x:c r="J825" s="31" t="inlineStr">
        <x:is>
          <x:t xml:space="preserve">СОТР-083</x:t>
        </x:is>
      </x:c>
      <x:c r="K825" s="31" t="n">
        <x:v>60.4</x:v>
      </x:c>
      <x:c r="L825" s="31" t="n"/>
      <x:c r="M825" s="31" t="n">
        <x:v>46112</x:v>
      </x:c>
      <x:c r="N825" s="31" t="n">
        <x:v>46118</x:v>
      </x:c>
      <x:c r="O825" s="31" t="n"/>
      <x:c r="P825" s="31" t="n"/>
      <x:c r="Q825" s="31" t="inlineStr">
        <x:is>
          <x:t xml:space="preserve">Запланировано</x:t>
        </x:is>
      </x:c>
      <x:c r="R825" s="31" t="inlineStr">
        <x:is>
          <x:t xml:space="preserve">Нет</x:t>
        </x:is>
      </x:c>
      <x:c r="S825" s="31" t="inlineStr">
        <x:is>
          <x:t xml:space="preserve">Нет</x:t>
        </x:is>
      </x:c>
    </x:row>
    <x:row r="826">
      <x:c r="A826" s="31" t="inlineStr">
        <x:is>
          <x:t xml:space="preserve">ОП-000825</x:t>
        </x:is>
      </x:c>
      <x:c r="B826" s="31" t="inlineStr">
        <x:is>
          <x:t xml:space="preserve">ПЗ-00098</x:t>
        </x:is>
      </x:c>
      <x:c r="C826" s="31" t="inlineStr">
        <x:is>
          <x:t xml:space="preserve">ЗК-1050</x:t>
        </x:is>
      </x:c>
      <x:c r="D826" s="31" t="inlineStr">
        <x:is>
          <x:t xml:space="preserve">ПОЗ-0050-3</x:t>
        </x:is>
      </x:c>
      <x:c r="E826" s="31" t="inlineStr">
        <x:is>
          <x:t xml:space="preserve">ИЗД-016</x:t>
        </x:is>
      </x:c>
      <x:c r="F826" s="31" t="n">
        <x:v>70</x:v>
      </x:c>
      <x:c r="G826" s="31" t="inlineStr">
        <x:is>
          <x:t xml:space="preserve">Электромонтаж</x:t>
        </x:is>
      </x:c>
      <x:c r="H826" s="31" t="inlineStr">
        <x:is>
          <x:t xml:space="preserve">Сборка</x:t>
        </x:is>
      </x:c>
      <x:c r="I826" s="31" t="inlineStr">
        <x:is>
          <x:t xml:space="preserve">ОБ-014</x:t>
        </x:is>
      </x:c>
      <x:c r="J826" s="31" t="inlineStr">
        <x:is>
          <x:t xml:space="preserve">СОТР-091</x:t>
        </x:is>
      </x:c>
      <x:c r="K826" s="31" t="n">
        <x:v>69.59999999999999</x:v>
      </x:c>
      <x:c r="L826" s="31" t="n"/>
      <x:c r="M826" s="31" t="n">
        <x:v>46118</x:v>
      </x:c>
      <x:c r="N826" s="31" t="n">
        <x:v>46124</x:v>
      </x:c>
      <x:c r="O826" s="31" t="n"/>
      <x:c r="P826" s="31" t="n"/>
      <x:c r="Q826" s="31" t="inlineStr">
        <x:is>
          <x:t xml:space="preserve">Запланировано</x:t>
        </x:is>
      </x:c>
      <x:c r="R826" s="31" t="inlineStr">
        <x:is>
          <x:t xml:space="preserve">Нет</x:t>
        </x:is>
      </x:c>
      <x:c r="S826" s="31" t="inlineStr">
        <x:is>
          <x:t xml:space="preserve">Да</x:t>
        </x:is>
      </x:c>
    </x:row>
    <x:row r="827">
      <x:c r="A827" s="31" t="inlineStr">
        <x:is>
          <x:t xml:space="preserve">ОП-000826</x:t>
        </x:is>
      </x:c>
      <x:c r="B827" s="31" t="inlineStr">
        <x:is>
          <x:t xml:space="preserve">ПЗ-00098</x:t>
        </x:is>
      </x:c>
      <x:c r="C827" s="31" t="inlineStr">
        <x:is>
          <x:t xml:space="preserve">ЗК-1050</x:t>
        </x:is>
      </x:c>
      <x:c r="D827" s="31" t="inlineStr">
        <x:is>
          <x:t xml:space="preserve">ПОЗ-0050-3</x:t>
        </x:is>
      </x:c>
      <x:c r="E827" s="31" t="inlineStr">
        <x:is>
          <x:t xml:space="preserve">ИЗД-016</x:t>
        </x:is>
      </x:c>
      <x:c r="F827" s="31" t="n">
        <x:v>80</x:v>
      </x:c>
      <x:c r="G827" s="31" t="inlineStr">
        <x:is>
          <x:t xml:space="preserve">Гидроиспытания</x:t>
        </x:is>
      </x:c>
      <x:c r="H827" s="31" t="inlineStr">
        <x:is>
          <x:t xml:space="preserve">ОТК</x:t>
        </x:is>
      </x:c>
      <x:c r="I827" s="31" t="inlineStr">
        <x:is>
          <x:t xml:space="preserve">ОБ-028</x:t>
        </x:is>
      </x:c>
      <x:c r="J827" s="31" t="inlineStr">
        <x:is>
          <x:t xml:space="preserve">СОТР-063</x:t>
        </x:is>
      </x:c>
      <x:c r="K827" s="31" t="n">
        <x:v>7.2</x:v>
      </x:c>
      <x:c r="L827" s="31" t="n"/>
      <x:c r="M827" s="31" t="n">
        <x:v>46124</x:v>
      </x:c>
      <x:c r="N827" s="31" t="n">
        <x:v>46125</x:v>
      </x:c>
      <x:c r="O827" s="31" t="n"/>
      <x:c r="P827" s="31" t="n"/>
      <x:c r="Q827" s="31" t="inlineStr">
        <x:is>
          <x:t xml:space="preserve">Запланировано</x:t>
        </x:is>
      </x:c>
      <x:c r="R827" s="31" t="inlineStr">
        <x:is>
          <x:t xml:space="preserve">Нет</x:t>
        </x:is>
      </x:c>
      <x:c r="S827" s="31" t="inlineStr">
        <x:is>
          <x:t xml:space="preserve">Нет</x:t>
        </x:is>
      </x:c>
    </x:row>
    <x:row r="828">
      <x:c r="A828" s="31" t="inlineStr">
        <x:is>
          <x:t xml:space="preserve">ОП-000827</x:t>
        </x:is>
      </x:c>
      <x:c r="B828" s="31" t="inlineStr">
        <x:is>
          <x:t xml:space="preserve">ПЗ-00098</x:t>
        </x:is>
      </x:c>
      <x:c r="C828" s="31" t="inlineStr">
        <x:is>
          <x:t xml:space="preserve">ЗК-1050</x:t>
        </x:is>
      </x:c>
      <x:c r="D828" s="31" t="inlineStr">
        <x:is>
          <x:t xml:space="preserve">ПОЗ-0050-3</x:t>
        </x:is>
      </x:c>
      <x:c r="E828" s="31" t="inlineStr">
        <x:is>
          <x:t xml:space="preserve">ИЗД-016</x:t>
        </x:is>
      </x:c>
      <x:c r="F828" s="31" t="n">
        <x:v>90</x:v>
      </x:c>
      <x:c r="G828" s="31" t="inlineStr">
        <x:is>
          <x:t xml:space="preserve">ОТК</x:t>
        </x:is>
      </x:c>
      <x:c r="H828" s="31" t="inlineStr">
        <x:is>
          <x:t xml:space="preserve">ОТК</x:t>
        </x:is>
      </x:c>
      <x:c r="I828" s="31" t="inlineStr">
        <x:is>
          <x:t xml:space="preserve">ОБ-028</x:t>
        </x:is>
      </x:c>
      <x:c r="J828" s="31" t="inlineStr">
        <x:is>
          <x:t xml:space="preserve">СОТР-093</x:t>
        </x:is>
      </x:c>
      <x:c r="K828" s="31" t="n">
        <x:v>6.8</x:v>
      </x:c>
      <x:c r="L828" s="31" t="n"/>
      <x:c r="M828" s="31" t="n">
        <x:v>46125</x:v>
      </x:c>
      <x:c r="N828" s="31" t="n">
        <x:v>46126</x:v>
      </x:c>
      <x:c r="O828" s="31" t="n"/>
      <x:c r="P828" s="31" t="n"/>
      <x:c r="Q828" s="31" t="inlineStr">
        <x:is>
          <x:t xml:space="preserve">Запланировано</x:t>
        </x:is>
      </x:c>
      <x:c r="R828" s="31" t="inlineStr">
        <x:is>
          <x:t xml:space="preserve">Нет</x:t>
        </x:is>
      </x:c>
      <x:c r="S828" s="31" t="inlineStr">
        <x:is>
          <x:t xml:space="preserve">Нет</x:t>
        </x:is>
      </x:c>
    </x:row>
    <x:row r="829">
      <x:c r="A829" s="31" t="inlineStr">
        <x:is>
          <x:t xml:space="preserve">ОП-000828</x:t>
        </x:is>
      </x:c>
      <x:c r="B829" s="31" t="inlineStr">
        <x:is>
          <x:t xml:space="preserve">ПЗ-00098</x:t>
        </x:is>
      </x:c>
      <x:c r="C829" s="31" t="inlineStr">
        <x:is>
          <x:t xml:space="preserve">ЗК-1050</x:t>
        </x:is>
      </x:c>
      <x:c r="D829" s="31" t="inlineStr">
        <x:is>
          <x:t xml:space="preserve">ПОЗ-0050-3</x:t>
        </x:is>
      </x:c>
      <x:c r="E829" s="31" t="inlineStr">
        <x:is>
          <x:t xml:space="preserve">ИЗД-016</x:t>
        </x:is>
      </x:c>
      <x:c r="F829" s="31" t="n">
        <x:v>100</x:v>
      </x:c>
      <x:c r="G829" s="31" t="inlineStr">
        <x:is>
          <x:t xml:space="preserve">Упаковка</x:t>
        </x:is>
      </x:c>
      <x:c r="H829" s="31" t="inlineStr">
        <x:is>
          <x:t xml:space="preserve">Логистика</x:t>
        </x:is>
      </x:c>
      <x:c r="I829" s="31" t="n"/>
      <x:c r="J829" s="31" t="inlineStr">
        <x:is>
          <x:t xml:space="preserve">СОТР-070</x:t>
        </x:is>
      </x:c>
      <x:c r="K829" s="31" t="n">
        <x:v>40</x:v>
      </x:c>
      <x:c r="L829" s="31" t="n"/>
      <x:c r="M829" s="31" t="n">
        <x:v>46126</x:v>
      </x:c>
      <x:c r="N829" s="31" t="n">
        <x:v>46130</x:v>
      </x:c>
      <x:c r="O829" s="31" t="n"/>
      <x:c r="P829" s="31" t="n"/>
      <x:c r="Q829" s="31" t="inlineStr">
        <x:is>
          <x:t xml:space="preserve">Запланировано</x:t>
        </x:is>
      </x:c>
      <x:c r="R829" s="31" t="inlineStr">
        <x:is>
          <x:t xml:space="preserve">Нет</x:t>
        </x:is>
      </x:c>
      <x:c r="S829" s="31" t="inlineStr">
        <x:is>
          <x:t xml:space="preserve">Нет</x:t>
        </x:is>
      </x:c>
    </x:row>
    <x:row r="830">
      <x:c r="A830" s="31" t="inlineStr">
        <x:is>
          <x:t xml:space="preserve">ОП-000829</x:t>
        </x:is>
      </x:c>
      <x:c r="B830" s="31" t="inlineStr">
        <x:is>
          <x:t xml:space="preserve">ПЗ-00099</x:t>
        </x:is>
      </x:c>
      <x:c r="C830" s="31" t="inlineStr">
        <x:is>
          <x:t xml:space="preserve">ЗК-1050</x:t>
        </x:is>
      </x:c>
      <x:c r="D830" s="31" t="inlineStr">
        <x:is>
          <x:t xml:space="preserve">ПОЗ-0050-4</x:t>
        </x:is>
      </x:c>
      <x:c r="E830" s="31" t="inlineStr">
        <x:is>
          <x:t xml:space="preserve">ИЗД-023</x:t>
        </x:is>
      </x:c>
      <x:c r="F830" s="31" t="n">
        <x:v>10</x:v>
      </x:c>
      <x:c r="G830" s="31" t="inlineStr">
        <x:is>
          <x:t xml:space="preserve">КД</x:t>
        </x:is>
      </x:c>
      <x:c r="H830" s="31" t="inlineStr">
        <x:is>
          <x:t xml:space="preserve">Инженерный отдел</x:t>
        </x:is>
      </x:c>
      <x:c r="I830" s="31" t="n"/>
      <x:c r="J830" s="31" t="inlineStr">
        <x:is>
          <x:t xml:space="preserve">СОТР-011</x:t>
        </x:is>
      </x:c>
      <x:c r="K830" s="31" t="n">
        <x:v>7.5</x:v>
      </x:c>
      <x:c r="L830" s="31" t="n">
        <x:v>7.1</x:v>
      </x:c>
      <x:c r="M830" s="31" t="n">
        <x:v>46094</x:v>
      </x:c>
      <x:c r="N830" s="31" t="n">
        <x:v>46095</x:v>
      </x:c>
      <x:c r="O830" s="31" t="n">
        <x:v>46094</x:v>
      </x:c>
      <x:c r="P830" s="31" t="n">
        <x:v>46097</x:v>
      </x:c>
      <x:c r="Q830" s="31" t="inlineStr">
        <x:is>
          <x:t xml:space="preserve">Завершено</x:t>
        </x:is>
      </x:c>
      <x:c r="R830" s="31" t="inlineStr">
        <x:is>
          <x:t xml:space="preserve">Нет</x:t>
        </x:is>
      </x:c>
      <x:c r="S830" s="31" t="inlineStr">
        <x:is>
          <x:t xml:space="preserve">Нет</x:t>
        </x:is>
      </x:c>
    </x:row>
    <x:row r="831">
      <x:c r="A831" s="31" t="inlineStr">
        <x:is>
          <x:t xml:space="preserve">ОП-000830</x:t>
        </x:is>
      </x:c>
      <x:c r="B831" s="31" t="inlineStr">
        <x:is>
          <x:t xml:space="preserve">ПЗ-00099</x:t>
        </x:is>
      </x:c>
      <x:c r="C831" s="31" t="inlineStr">
        <x:is>
          <x:t xml:space="preserve">ЗК-1050</x:t>
        </x:is>
      </x:c>
      <x:c r="D831" s="31" t="inlineStr">
        <x:is>
          <x:t xml:space="preserve">ПОЗ-0050-4</x:t>
        </x:is>
      </x:c>
      <x:c r="E831" s="31" t="inlineStr">
        <x:is>
          <x:t xml:space="preserve">ИЗД-023</x:t>
        </x:is>
      </x:c>
      <x:c r="F831" s="31" t="n">
        <x:v>20</x:v>
      </x:c>
      <x:c r="G831" s="31" t="inlineStr">
        <x:is>
          <x:t xml:space="preserve">Комплектация</x:t>
        </x:is>
      </x:c>
      <x:c r="H831" s="31" t="inlineStr">
        <x:is>
          <x:t xml:space="preserve">Склад</x:t>
        </x:is>
      </x:c>
      <x:c r="I831" s="31" t="inlineStr">
        <x:is>
          <x:t xml:space="preserve">ОБ-025</x:t>
        </x:is>
      </x:c>
      <x:c r="J831" s="31" t="inlineStr">
        <x:is>
          <x:t xml:space="preserve">СОТР-038</x:t>
        </x:is>
      </x:c>
      <x:c r="K831" s="31" t="n">
        <x:v>36.3</x:v>
      </x:c>
      <x:c r="L831" s="31" t="n">
        <x:v>32.3</x:v>
      </x:c>
      <x:c r="M831" s="31" t="n">
        <x:v>46095</x:v>
      </x:c>
      <x:c r="N831" s="31" t="n">
        <x:v>46099</x:v>
      </x:c>
      <x:c r="O831" s="31" t="n">
        <x:v>46095</x:v>
      </x:c>
      <x:c r="P831" s="31" t="n">
        <x:v>46100</x:v>
      </x:c>
      <x:c r="Q831" s="31" t="inlineStr">
        <x:is>
          <x:t xml:space="preserve">Завершено</x:t>
        </x:is>
      </x:c>
      <x:c r="R831" s="31" t="inlineStr">
        <x:is>
          <x:t xml:space="preserve">Оборудование</x:t>
        </x:is>
      </x:c>
      <x:c r="S831" s="31" t="inlineStr">
        <x:is>
          <x:t xml:space="preserve">Нет</x:t>
        </x:is>
      </x:c>
    </x:row>
    <x:row r="832">
      <x:c r="A832" s="31" t="inlineStr">
        <x:is>
          <x:t xml:space="preserve">ОП-000831</x:t>
        </x:is>
      </x:c>
      <x:c r="B832" s="31" t="inlineStr">
        <x:is>
          <x:t xml:space="preserve">ПЗ-00099</x:t>
        </x:is>
      </x:c>
      <x:c r="C832" s="31" t="inlineStr">
        <x:is>
          <x:t xml:space="preserve">ЗК-1050</x:t>
        </x:is>
      </x:c>
      <x:c r="D832" s="31" t="inlineStr">
        <x:is>
          <x:t xml:space="preserve">ПОЗ-0050-4</x:t>
        </x:is>
      </x:c>
      <x:c r="E832" s="31" t="inlineStr">
        <x:is>
          <x:t xml:space="preserve">ИЗД-023</x:t>
        </x:is>
      </x:c>
      <x:c r="F832" s="31" t="n">
        <x:v>30</x:v>
      </x:c>
      <x:c r="G832" s="31" t="inlineStr">
        <x:is>
          <x:t xml:space="preserve">Сборка шкафа</x:t>
        </x:is>
      </x:c>
      <x:c r="H832" s="31" t="inlineStr">
        <x:is>
          <x:t xml:space="preserve">Сборка</x:t>
        </x:is>
      </x:c>
      <x:c r="I832" s="31" t="inlineStr">
        <x:is>
          <x:t xml:space="preserve">ОБ-017</x:t>
        </x:is>
      </x:c>
      <x:c r="J832" s="31" t="inlineStr">
        <x:is>
          <x:t xml:space="preserve">СОТР-077</x:t>
        </x:is>
      </x:c>
      <x:c r="K832" s="31" t="n">
        <x:v>28.2</x:v>
      </x:c>
      <x:c r="L832" s="31" t="n">
        <x:v>27.6</x:v>
      </x:c>
      <x:c r="M832" s="31" t="n">
        <x:v>46099</x:v>
      </x:c>
      <x:c r="N832" s="31" t="n">
        <x:v>46102</x:v>
      </x:c>
      <x:c r="O832" s="31" t="n">
        <x:v>46099</x:v>
      </x:c>
      <x:c r="P832" s="31" t="n">
        <x:v>46101</x:v>
      </x:c>
      <x:c r="Q832" s="31" t="inlineStr">
        <x:is>
          <x:t xml:space="preserve">Завершено</x:t>
        </x:is>
      </x:c>
      <x:c r="R832" s="31" t="inlineStr">
        <x:is>
          <x:t xml:space="preserve">Нет</x:t>
        </x:is>
      </x:c>
      <x:c r="S832" s="31" t="inlineStr">
        <x:is>
          <x:t xml:space="preserve">Нет</x:t>
        </x:is>
      </x:c>
    </x:row>
    <x:row r="833">
      <x:c r="A833" s="31" t="inlineStr">
        <x:is>
          <x:t xml:space="preserve">ОП-000832</x:t>
        </x:is>
      </x:c>
      <x:c r="B833" s="31" t="inlineStr">
        <x:is>
          <x:t xml:space="preserve">ПЗ-00099</x:t>
        </x:is>
      </x:c>
      <x:c r="C833" s="31" t="inlineStr">
        <x:is>
          <x:t xml:space="preserve">ЗК-1050</x:t>
        </x:is>
      </x:c>
      <x:c r="D833" s="31" t="inlineStr">
        <x:is>
          <x:t xml:space="preserve">ПОЗ-0050-4</x:t>
        </x:is>
      </x:c>
      <x:c r="E833" s="31" t="inlineStr">
        <x:is>
          <x:t xml:space="preserve">ИЗД-023</x:t>
        </x:is>
      </x:c>
      <x:c r="F833" s="31" t="n">
        <x:v>40</x:v>
      </x:c>
      <x:c r="G833" s="31" t="inlineStr">
        <x:is>
          <x:t xml:space="preserve">Маркировка</x:t>
        </x:is>
      </x:c>
      <x:c r="H833" s="31" t="inlineStr">
        <x:is>
          <x:t xml:space="preserve">Сборка</x:t>
        </x:is>
      </x:c>
      <x:c r="I833" s="31" t="inlineStr">
        <x:is>
          <x:t xml:space="preserve">ОБ-034</x:t>
        </x:is>
      </x:c>
      <x:c r="J833" s="31" t="inlineStr">
        <x:is>
          <x:t xml:space="preserve">СОТР-090</x:t>
        </x:is>
      </x:c>
      <x:c r="K833" s="31" t="n">
        <x:v>42.3</x:v>
      </x:c>
      <x:c r="L833" s="31" t="n">
        <x:v>41.2</x:v>
      </x:c>
      <x:c r="M833" s="31" t="n">
        <x:v>46102</x:v>
      </x:c>
      <x:c r="N833" s="31" t="n">
        <x:v>46106</x:v>
      </x:c>
      <x:c r="O833" s="31" t="n">
        <x:v>46102</x:v>
      </x:c>
      <x:c r="P833" s="31" t="n">
        <x:v>46106</x:v>
      </x:c>
      <x:c r="Q833" s="31" t="inlineStr">
        <x:is>
          <x:t xml:space="preserve">Завершено</x:t>
        </x:is>
      </x:c>
      <x:c r="R833" s="31" t="inlineStr">
        <x:is>
          <x:t xml:space="preserve">Нет</x:t>
        </x:is>
      </x:c>
      <x:c r="S833" s="31" t="inlineStr">
        <x:is>
          <x:t xml:space="preserve">Нет</x:t>
        </x:is>
      </x:c>
    </x:row>
    <x:row r="834">
      <x:c r="A834" s="31" t="inlineStr">
        <x:is>
          <x:t xml:space="preserve">ОП-000833</x:t>
        </x:is>
      </x:c>
      <x:c r="B834" s="31" t="inlineStr">
        <x:is>
          <x:t xml:space="preserve">ПЗ-00099</x:t>
        </x:is>
      </x:c>
      <x:c r="C834" s="31" t="inlineStr">
        <x:is>
          <x:t xml:space="preserve">ЗК-1050</x:t>
        </x:is>
      </x:c>
      <x:c r="D834" s="31" t="inlineStr">
        <x:is>
          <x:t xml:space="preserve">ПОЗ-0050-4</x:t>
        </x:is>
      </x:c>
      <x:c r="E834" s="31" t="inlineStr">
        <x:is>
          <x:t xml:space="preserve">ИЗД-023</x:t>
        </x:is>
      </x:c>
      <x:c r="F834" s="31" t="n">
        <x:v>50</x:v>
      </x:c>
      <x:c r="G834" s="31" t="inlineStr">
        <x:is>
          <x:t xml:space="preserve">Электромонтаж</x:t>
        </x:is>
      </x:c>
      <x:c r="H834" s="31" t="inlineStr">
        <x:is>
          <x:t xml:space="preserve">Сборка</x:t>
        </x:is>
      </x:c>
      <x:c r="I834" s="31" t="inlineStr">
        <x:is>
          <x:t xml:space="preserve">ОБ-012</x:t>
        </x:is>
      </x:c>
      <x:c r="J834" s="31" t="inlineStr">
        <x:is>
          <x:t xml:space="preserve">СОТР-078</x:t>
        </x:is>
      </x:c>
      <x:c r="K834" s="31" t="n">
        <x:v>45.3</x:v>
      </x:c>
      <x:c r="L834" s="31" t="n">
        <x:v>51.4</x:v>
      </x:c>
      <x:c r="M834" s="31" t="n">
        <x:v>46106</x:v>
      </x:c>
      <x:c r="N834" s="31" t="n">
        <x:v>46110</x:v>
      </x:c>
      <x:c r="O834" s="31" t="n">
        <x:v>46106</x:v>
      </x:c>
      <x:c r="P834" s="31" t="n">
        <x:v>46109</x:v>
      </x:c>
      <x:c r="Q834" s="31" t="inlineStr">
        <x:is>
          <x:t xml:space="preserve">Завершено</x:t>
        </x:is>
      </x:c>
      <x:c r="R834" s="31" t="inlineStr">
        <x:is>
          <x:t xml:space="preserve">Нет</x:t>
        </x:is>
      </x:c>
      <x:c r="S834" s="31" t="inlineStr">
        <x:is>
          <x:t xml:space="preserve">Нет</x:t>
        </x:is>
      </x:c>
    </x:row>
    <x:row r="835">
      <x:c r="A835" s="31" t="inlineStr">
        <x:is>
          <x:t xml:space="preserve">ОП-000834</x:t>
        </x:is>
      </x:c>
      <x:c r="B835" s="31" t="inlineStr">
        <x:is>
          <x:t xml:space="preserve">ПЗ-00099</x:t>
        </x:is>
      </x:c>
      <x:c r="C835" s="31" t="inlineStr">
        <x:is>
          <x:t xml:space="preserve">ЗК-1050</x:t>
        </x:is>
      </x:c>
      <x:c r="D835" s="31" t="inlineStr">
        <x:is>
          <x:t xml:space="preserve">ПОЗ-0050-4</x:t>
        </x:is>
      </x:c>
      <x:c r="E835" s="31" t="inlineStr">
        <x:is>
          <x:t xml:space="preserve">ИЗД-023</x:t>
        </x:is>
      </x:c>
      <x:c r="F835" s="31" t="n">
        <x:v>60</x:v>
      </x:c>
      <x:c r="G835" s="31" t="inlineStr">
        <x:is>
          <x:t xml:space="preserve">Программирование ПЛК</x:t>
        </x:is>
      </x:c>
      <x:c r="H835" s="31" t="inlineStr">
        <x:is>
          <x:t xml:space="preserve">Инженерный отдел</x:t>
        </x:is>
      </x:c>
      <x:c r="I835" s="31" t="n"/>
      <x:c r="J835" s="31" t="inlineStr">
        <x:is>
          <x:t xml:space="preserve">СОТР-015</x:t>
        </x:is>
      </x:c>
      <x:c r="K835" s="31" t="n">
        <x:v>41.7</x:v>
      </x:c>
      <x:c r="L835" s="31" t="n">
        <x:v>39.3</x:v>
      </x:c>
      <x:c r="M835" s="31" t="n">
        <x:v>46110</x:v>
      </x:c>
      <x:c r="N835" s="31" t="n">
        <x:v>46114</x:v>
      </x:c>
      <x:c r="O835" s="31" t="n">
        <x:v>46110</x:v>
      </x:c>
      <x:c r="P835" s="31" t="n">
        <x:v>46113</x:v>
      </x:c>
      <x:c r="Q835" s="31" t="inlineStr">
        <x:is>
          <x:t xml:space="preserve">Завершено</x:t>
        </x:is>
      </x:c>
      <x:c r="R835" s="31" t="inlineStr">
        <x:is>
          <x:t xml:space="preserve">Нет</x:t>
        </x:is>
      </x:c>
      <x:c r="S835" s="31" t="inlineStr">
        <x:is>
          <x:t xml:space="preserve">Да</x:t>
        </x:is>
      </x:c>
    </x:row>
    <x:row r="836">
      <x:c r="A836" s="31" t="inlineStr">
        <x:is>
          <x:t xml:space="preserve">ОП-000835</x:t>
        </x:is>
      </x:c>
      <x:c r="B836" s="31" t="inlineStr">
        <x:is>
          <x:t xml:space="preserve">ПЗ-00099</x:t>
        </x:is>
      </x:c>
      <x:c r="C836" s="31" t="inlineStr">
        <x:is>
          <x:t xml:space="preserve">ЗК-1050</x:t>
        </x:is>
      </x:c>
      <x:c r="D836" s="31" t="inlineStr">
        <x:is>
          <x:t xml:space="preserve">ПОЗ-0050-4</x:t>
        </x:is>
      </x:c>
      <x:c r="E836" s="31" t="inlineStr">
        <x:is>
          <x:t xml:space="preserve">ИЗД-023</x:t>
        </x:is>
      </x:c>
      <x:c r="F836" s="31" t="n">
        <x:v>70</x:v>
      </x:c>
      <x:c r="G836" s="31" t="inlineStr">
        <x:is>
          <x:t xml:space="preserve">Приемочные испытания</x:t>
        </x:is>
      </x:c>
      <x:c r="H836" s="31" t="inlineStr">
        <x:is>
          <x:t xml:space="preserve">ОТК</x:t>
        </x:is>
      </x:c>
      <x:c r="I836" s="31" t="inlineStr">
        <x:is>
          <x:t xml:space="preserve">ОБ-028</x:t>
        </x:is>
      </x:c>
      <x:c r="J836" s="31" t="inlineStr">
        <x:is>
          <x:t xml:space="preserve">СОТР-096</x:t>
        </x:is>
      </x:c>
      <x:c r="K836" s="31" t="n">
        <x:v>38.7</x:v>
      </x:c>
      <x:c r="L836" s="31" t="n">
        <x:v>45.5</x:v>
      </x:c>
      <x:c r="M836" s="31" t="n">
        <x:v>46114</x:v>
      </x:c>
      <x:c r="N836" s="31" t="n">
        <x:v>46118</x:v>
      </x:c>
      <x:c r="O836" s="31" t="n">
        <x:v>46114</x:v>
      </x:c>
      <x:c r="P836" s="31" t="n">
        <x:v>46119</x:v>
      </x:c>
      <x:c r="Q836" s="31" t="inlineStr">
        <x:is>
          <x:t xml:space="preserve">Завершено</x:t>
        </x:is>
      </x:c>
      <x:c r="R836" s="31" t="inlineStr">
        <x:is>
          <x:t xml:space="preserve">Нет</x:t>
        </x:is>
      </x:c>
      <x:c r="S836" s="31" t="inlineStr">
        <x:is>
          <x:t xml:space="preserve">Нет</x:t>
        </x:is>
      </x:c>
    </x:row>
    <x:row r="837">
      <x:c r="A837" s="31" t="inlineStr">
        <x:is>
          <x:t xml:space="preserve">ОП-000836</x:t>
        </x:is>
      </x:c>
      <x:c r="B837" s="31" t="inlineStr">
        <x:is>
          <x:t xml:space="preserve">ПЗ-00099</x:t>
        </x:is>
      </x:c>
      <x:c r="C837" s="31" t="inlineStr">
        <x:is>
          <x:t xml:space="preserve">ЗК-1050</x:t>
        </x:is>
      </x:c>
      <x:c r="D837" s="31" t="inlineStr">
        <x:is>
          <x:t xml:space="preserve">ПОЗ-0050-4</x:t>
        </x:is>
      </x:c>
      <x:c r="E837" s="31" t="inlineStr">
        <x:is>
          <x:t xml:space="preserve">ИЗД-023</x:t>
        </x:is>
      </x:c>
      <x:c r="F837" s="31" t="n">
        <x:v>80</x:v>
      </x:c>
      <x:c r="G837" s="31" t="inlineStr">
        <x:is>
          <x:t xml:space="preserve">ОТК</x:t>
        </x:is>
      </x:c>
      <x:c r="H837" s="31" t="inlineStr">
        <x:is>
          <x:t xml:space="preserve">ОТК</x:t>
        </x:is>
      </x:c>
      <x:c r="I837" s="31" t="inlineStr">
        <x:is>
          <x:t xml:space="preserve">ОБ-033</x:t>
        </x:is>
      </x:c>
      <x:c r="J837" s="31" t="inlineStr">
        <x:is>
          <x:t xml:space="preserve">СОТР-098</x:t>
        </x:is>
      </x:c>
      <x:c r="K837" s="31" t="n">
        <x:v>12.3</x:v>
      </x:c>
      <x:c r="L837" s="31" t="n">
        <x:v>11</x:v>
      </x:c>
      <x:c r="M837" s="31" t="n">
        <x:v>46118</x:v>
      </x:c>
      <x:c r="N837" s="31" t="n">
        <x:v>46120</x:v>
      </x:c>
      <x:c r="O837" s="31" t="n">
        <x:v>46118</x:v>
      </x:c>
      <x:c r="P837" s="31" t="n">
        <x:v>46121</x:v>
      </x:c>
      <x:c r="Q837" s="31" t="inlineStr">
        <x:is>
          <x:t xml:space="preserve">Завершено</x:t>
        </x:is>
      </x:c>
      <x:c r="R837" s="31" t="inlineStr">
        <x:is>
          <x:t xml:space="preserve">Материал</x:t>
        </x:is>
      </x:c>
      <x:c r="S837" s="31" t="inlineStr">
        <x:is>
          <x:t xml:space="preserve">Нет</x:t>
        </x:is>
      </x:c>
    </x:row>
    <x:row r="838">
      <x:c r="A838" s="31" t="inlineStr">
        <x:is>
          <x:t xml:space="preserve">ОП-000837</x:t>
        </x:is>
      </x:c>
      <x:c r="B838" s="31" t="inlineStr">
        <x:is>
          <x:t xml:space="preserve">ПЗ-00099</x:t>
        </x:is>
      </x:c>
      <x:c r="C838" s="31" t="inlineStr">
        <x:is>
          <x:t xml:space="preserve">ЗК-1050</x:t>
        </x:is>
      </x:c>
      <x:c r="D838" s="31" t="inlineStr">
        <x:is>
          <x:t xml:space="preserve">ПОЗ-0050-4</x:t>
        </x:is>
      </x:c>
      <x:c r="E838" s="31" t="inlineStr">
        <x:is>
          <x:t xml:space="preserve">ИЗД-023</x:t>
        </x:is>
      </x:c>
      <x:c r="F838" s="31" t="n">
        <x:v>90</x:v>
      </x:c>
      <x:c r="G838" s="31" t="inlineStr">
        <x:is>
          <x:t xml:space="preserve">Упаковка</x:t>
        </x:is>
      </x:c>
      <x:c r="H838" s="31" t="inlineStr">
        <x:is>
          <x:t xml:space="preserve">Логистика</x:t>
        </x:is>
      </x:c>
      <x:c r="I838" s="31" t="n"/>
      <x:c r="J838" s="31" t="inlineStr">
        <x:is>
          <x:t xml:space="preserve">СОТР-104</x:t>
        </x:is>
      </x:c>
      <x:c r="K838" s="31" t="n">
        <x:v>14.4</x:v>
      </x:c>
      <x:c r="L838" s="31" t="n">
        <x:v>11.6</x:v>
      </x:c>
      <x:c r="M838" s="31" t="n">
        <x:v>46120</x:v>
      </x:c>
      <x:c r="N838" s="31" t="n">
        <x:v>46122</x:v>
      </x:c>
      <x:c r="O838" s="31" t="n">
        <x:v>46120</x:v>
      </x:c>
      <x:c r="P838" s="31" t="n">
        <x:v>46123</x:v>
      </x:c>
      <x:c r="Q838" s="31" t="inlineStr">
        <x:is>
          <x:t xml:space="preserve">Завершено</x:t>
        </x:is>
      </x:c>
      <x:c r="R838" s="31" t="inlineStr">
        <x:is>
          <x:t xml:space="preserve">Материал</x:t>
        </x:is>
      </x:c>
      <x:c r="S838" s="31" t="inlineStr">
        <x:is>
          <x:t xml:space="preserve">Да</x:t>
        </x:is>
      </x:c>
    </x:row>
    <x:row r="839">
      <x:c r="A839" s="31" t="inlineStr">
        <x:is>
          <x:t xml:space="preserve">ОП-000838</x:t>
        </x:is>
      </x:c>
      <x:c r="B839" s="31" t="inlineStr">
        <x:is>
          <x:t xml:space="preserve">ПЗ-00100</x:t>
        </x:is>
      </x:c>
      <x:c r="C839" s="31" t="inlineStr">
        <x:is>
          <x:t xml:space="preserve">ЗК-1051</x:t>
        </x:is>
      </x:c>
      <x:c r="D839" s="31" t="inlineStr">
        <x:is>
          <x:t xml:space="preserve">ПОЗ-0051-1</x:t>
        </x:is>
      </x:c>
      <x:c r="E839" s="31" t="inlineStr">
        <x:is>
          <x:t xml:space="preserve">ИЗД-032</x:t>
        </x:is>
      </x:c>
      <x:c r="F839" s="31" t="n">
        <x:v>10</x:v>
      </x:c>
      <x:c r="G839" s="31" t="inlineStr">
        <x:is>
          <x:t xml:space="preserve">Комплектация</x:t>
        </x:is>
      </x:c>
      <x:c r="H839" s="31" t="inlineStr">
        <x:is>
          <x:t xml:space="preserve">Склад</x:t>
        </x:is>
      </x:c>
      <x:c r="I839" s="31" t="inlineStr">
        <x:is>
          <x:t xml:space="preserve">ОБ-008</x:t>
        </x:is>
      </x:c>
      <x:c r="J839" s="31" t="inlineStr">
        <x:is>
          <x:t xml:space="preserve">СОТР-033</x:t>
        </x:is>
      </x:c>
      <x:c r="K839" s="31" t="n">
        <x:v>24.9</x:v>
      </x:c>
      <x:c r="L839" s="31" t="n">
        <x:v>32.6</x:v>
      </x:c>
      <x:c r="M839" s="31" t="n">
        <x:v>46103</x:v>
      </x:c>
      <x:c r="N839" s="31" t="n">
        <x:v>46106</x:v>
      </x:c>
      <x:c r="O839" s="31" t="n">
        <x:v>46103</x:v>
      </x:c>
      <x:c r="P839" s="31" t="n">
        <x:v>46105</x:v>
      </x:c>
      <x:c r="Q839" s="31" t="inlineStr">
        <x:is>
          <x:t xml:space="preserve">Завершено</x:t>
        </x:is>
      </x:c>
      <x:c r="R839" s="31" t="inlineStr">
        <x:is>
          <x:t xml:space="preserve">Нет</x:t>
        </x:is>
      </x:c>
      <x:c r="S839" s="31" t="inlineStr">
        <x:is>
          <x:t xml:space="preserve">Нет</x:t>
        </x:is>
      </x:c>
    </x:row>
    <x:row r="840">
      <x:c r="A840" s="31" t="inlineStr">
        <x:is>
          <x:t xml:space="preserve">ОП-000839</x:t>
        </x:is>
      </x:c>
      <x:c r="B840" s="31" t="inlineStr">
        <x:is>
          <x:t xml:space="preserve">ПЗ-00100</x:t>
        </x:is>
      </x:c>
      <x:c r="C840" s="31" t="inlineStr">
        <x:is>
          <x:t xml:space="preserve">ЗК-1051</x:t>
        </x:is>
      </x:c>
      <x:c r="D840" s="31" t="inlineStr">
        <x:is>
          <x:t xml:space="preserve">ПОЗ-0051-1</x:t>
        </x:is>
      </x:c>
      <x:c r="E840" s="31" t="inlineStr">
        <x:is>
          <x:t xml:space="preserve">ИЗД-032</x:t>
        </x:is>
      </x:c>
      <x:c r="F840" s="31" t="n">
        <x:v>20</x:v>
      </x:c>
      <x:c r="G840" s="31" t="inlineStr">
        <x:is>
          <x:t xml:space="preserve">Входной контроль</x:t>
        </x:is>
      </x:c>
      <x:c r="H840" s="31" t="inlineStr">
        <x:is>
          <x:t xml:space="preserve">ОТК</x:t>
        </x:is>
      </x:c>
      <x:c r="I840" s="31" t="inlineStr">
        <x:is>
          <x:t xml:space="preserve">ОБ-024</x:t>
        </x:is>
      </x:c>
      <x:c r="J840" s="31" t="inlineStr">
        <x:is>
          <x:t xml:space="preserve">СОТР-093</x:t>
        </x:is>
      </x:c>
      <x:c r="K840" s="31" t="n">
        <x:v>12</x:v>
      </x:c>
      <x:c r="L840" s="31" t="n">
        <x:v>12.9</x:v>
      </x:c>
      <x:c r="M840" s="31" t="n">
        <x:v>46106</x:v>
      </x:c>
      <x:c r="N840" s="31" t="n">
        <x:v>46107</x:v>
      </x:c>
      <x:c r="O840" s="31" t="n">
        <x:v>46106</x:v>
      </x:c>
      <x:c r="P840" s="31" t="n">
        <x:v>46109</x:v>
      </x:c>
      <x:c r="Q840" s="31" t="inlineStr">
        <x:is>
          <x:t xml:space="preserve">Завершено</x:t>
        </x:is>
      </x:c>
      <x:c r="R840" s="31" t="inlineStr">
        <x:is>
          <x:t xml:space="preserve">Нет</x:t>
        </x:is>
      </x:c>
      <x:c r="S840" s="31" t="inlineStr">
        <x:is>
          <x:t xml:space="preserve">Нет</x:t>
        </x:is>
      </x:c>
    </x:row>
    <x:row r="841">
      <x:c r="A841" s="31" t="inlineStr">
        <x:is>
          <x:t xml:space="preserve">ОП-000840</x:t>
        </x:is>
      </x:c>
      <x:c r="B841" s="31" t="inlineStr">
        <x:is>
          <x:t xml:space="preserve">ПЗ-00100</x:t>
        </x:is>
      </x:c>
      <x:c r="C841" s="31" t="inlineStr">
        <x:is>
          <x:t xml:space="preserve">ЗК-1051</x:t>
        </x:is>
      </x:c>
      <x:c r="D841" s="31" t="inlineStr">
        <x:is>
          <x:t xml:space="preserve">ПОЗ-0051-1</x:t>
        </x:is>
      </x:c>
      <x:c r="E841" s="31" t="inlineStr">
        <x:is>
          <x:t xml:space="preserve">ИЗД-032</x:t>
        </x:is>
      </x:c>
      <x:c r="F841" s="31" t="n">
        <x:v>30</x:v>
      </x:c>
      <x:c r="G841" s="31" t="inlineStr">
        <x:is>
          <x:t xml:space="preserve">Упаковка</x:t>
        </x:is>
      </x:c>
      <x:c r="H841" s="31" t="inlineStr">
        <x:is>
          <x:t xml:space="preserve">Логистика</x:t>
        </x:is>
      </x:c>
      <x:c r="I841" s="31" t="n"/>
      <x:c r="J841" s="31" t="inlineStr">
        <x:is>
          <x:t xml:space="preserve">СОТР-105</x:t>
        </x:is>
      </x:c>
      <x:c r="K841" s="31" t="n">
        <x:v>28.5</x:v>
      </x:c>
      <x:c r="L841" s="31" t="n">
        <x:v>31.5</x:v>
      </x:c>
      <x:c r="M841" s="31" t="n">
        <x:v>46107</x:v>
      </x:c>
      <x:c r="N841" s="31" t="n">
        <x:v>46110</x:v>
      </x:c>
      <x:c r="O841" s="31" t="n">
        <x:v>46107</x:v>
      </x:c>
      <x:c r="P841" s="31" t="n">
        <x:v>46111</x:v>
      </x:c>
      <x:c r="Q841" s="31" t="inlineStr">
        <x:is>
          <x:t xml:space="preserve">Завершено</x:t>
        </x:is>
      </x:c>
      <x:c r="R841" s="31" t="inlineStr">
        <x:is>
          <x:t xml:space="preserve">Нет</x:t>
        </x:is>
      </x:c>
      <x:c r="S841" s="31" t="inlineStr">
        <x:is>
          <x:t xml:space="preserve">Нет</x:t>
        </x:is>
      </x:c>
    </x:row>
    <x:row r="842">
      <x:c r="A842" s="31" t="inlineStr">
        <x:is>
          <x:t xml:space="preserve">ОП-000841</x:t>
        </x:is>
      </x:c>
      <x:c r="B842" s="31" t="inlineStr">
        <x:is>
          <x:t xml:space="preserve">ПЗ-00100</x:t>
        </x:is>
      </x:c>
      <x:c r="C842" s="31" t="inlineStr">
        <x:is>
          <x:t xml:space="preserve">ЗК-1051</x:t>
        </x:is>
      </x:c>
      <x:c r="D842" s="31" t="inlineStr">
        <x:is>
          <x:t xml:space="preserve">ПОЗ-0051-1</x:t>
        </x:is>
      </x:c>
      <x:c r="E842" s="31" t="inlineStr">
        <x:is>
          <x:t xml:space="preserve">ИЗД-032</x:t>
        </x:is>
      </x:c>
      <x:c r="F842" s="31" t="n">
        <x:v>40</x:v>
      </x:c>
      <x:c r="G842" s="31" t="inlineStr">
        <x:is>
          <x:t xml:space="preserve">ОТК</x:t>
        </x:is>
      </x:c>
      <x:c r="H842" s="31" t="inlineStr">
        <x:is>
          <x:t xml:space="preserve">ОТК</x:t>
        </x:is>
      </x:c>
      <x:c r="I842" s="31" t="inlineStr">
        <x:is>
          <x:t xml:space="preserve">ОБ-001</x:t>
        </x:is>
      </x:c>
      <x:c r="J842" s="31" t="inlineStr">
        <x:is>
          <x:t xml:space="preserve">СОТР-097</x:t>
        </x:is>
      </x:c>
      <x:c r="K842" s="31" t="n">
        <x:v>12.3</x:v>
      </x:c>
      <x:c r="L842" s="31" t="n">
        <x:v>11.1</x:v>
      </x:c>
      <x:c r="M842" s="31" t="n">
        <x:v>46110</x:v>
      </x:c>
      <x:c r="N842" s="31" t="n">
        <x:v>46112</x:v>
      </x:c>
      <x:c r="O842" s="31" t="n">
        <x:v>46110</x:v>
      </x:c>
      <x:c r="P842" s="31" t="n">
        <x:v>46112</x:v>
      </x:c>
      <x:c r="Q842" s="31" t="inlineStr">
        <x:is>
          <x:t xml:space="preserve">Завершено</x:t>
        </x:is>
      </x:c>
      <x:c r="R842" s="31" t="inlineStr">
        <x:is>
          <x:t xml:space="preserve">Нет</x:t>
        </x:is>
      </x:c>
      <x:c r="S842" s="31" t="inlineStr">
        <x:is>
          <x:t xml:space="preserve">Нет</x:t>
        </x:is>
      </x:c>
    </x:row>
    <x:row r="843">
      <x:c r="A843" s="31" t="inlineStr">
        <x:is>
          <x:t xml:space="preserve">ОП-000842</x:t>
        </x:is>
      </x:c>
      <x:c r="B843" s="31" t="inlineStr">
        <x:is>
          <x:t xml:space="preserve">ПЗ-00101</x:t>
        </x:is>
      </x:c>
      <x:c r="C843" s="31" t="inlineStr">
        <x:is>
          <x:t xml:space="preserve">ЗК-1051</x:t>
        </x:is>
      </x:c>
      <x:c r="D843" s="31" t="inlineStr">
        <x:is>
          <x:t xml:space="preserve">ПОЗ-0051-2</x:t>
        </x:is>
      </x:c>
      <x:c r="E843" s="31" t="inlineStr">
        <x:is>
          <x:t xml:space="preserve">ИЗД-015</x:t>
        </x:is>
      </x:c>
      <x:c r="F843" s="31" t="n">
        <x:v>10</x:v>
      </x:c>
      <x:c r="G843" s="31" t="inlineStr">
        <x:is>
          <x:t xml:space="preserve">Комплектация</x:t>
        </x:is>
      </x:c>
      <x:c r="H843" s="31" t="inlineStr">
        <x:is>
          <x:t xml:space="preserve">Склад</x:t>
        </x:is>
      </x:c>
      <x:c r="I843" s="31" t="inlineStr">
        <x:is>
          <x:t xml:space="preserve">ОБ-023</x:t>
        </x:is>
      </x:c>
      <x:c r="J843" s="31" t="inlineStr">
        <x:is>
          <x:t xml:space="preserve">СОТР-033</x:t>
        </x:is>
      </x:c>
      <x:c r="K843" s="31" t="n">
        <x:v>15</x:v>
      </x:c>
      <x:c r="L843" s="31" t="n">
        <x:v>14.8</x:v>
      </x:c>
      <x:c r="M843" s="31" t="n">
        <x:v>46105</x:v>
      </x:c>
      <x:c r="N843" s="31" t="n">
        <x:v>46107</x:v>
      </x:c>
      <x:c r="O843" s="31" t="n">
        <x:v>46105</x:v>
      </x:c>
      <x:c r="P843" s="31" t="n">
        <x:v>46106</x:v>
      </x:c>
      <x:c r="Q843" s="31" t="inlineStr">
        <x:is>
          <x:t xml:space="preserve">Завершено</x:t>
        </x:is>
      </x:c>
      <x:c r="R843" s="31" t="inlineStr">
        <x:is>
          <x:t xml:space="preserve">Нет</x:t>
        </x:is>
      </x:c>
      <x:c r="S843" s="31" t="inlineStr">
        <x:is>
          <x:t xml:space="preserve">Да</x:t>
        </x:is>
      </x:c>
    </x:row>
    <x:row r="844">
      <x:c r="A844" s="31" t="inlineStr">
        <x:is>
          <x:t xml:space="preserve">ОП-000843</x:t>
        </x:is>
      </x:c>
      <x:c r="B844" s="31" t="inlineStr">
        <x:is>
          <x:t xml:space="preserve">ПЗ-00101</x:t>
        </x:is>
      </x:c>
      <x:c r="C844" s="31" t="inlineStr">
        <x:is>
          <x:t xml:space="preserve">ЗК-1051</x:t>
        </x:is>
      </x:c>
      <x:c r="D844" s="31" t="inlineStr">
        <x:is>
          <x:t xml:space="preserve">ПОЗ-0051-2</x:t>
        </x:is>
      </x:c>
      <x:c r="E844" s="31" t="inlineStr">
        <x:is>
          <x:t xml:space="preserve">ИЗД-015</x:t>
        </x:is>
      </x:c>
      <x:c r="F844" s="31" t="n">
        <x:v>20</x:v>
      </x:c>
      <x:c r="G844" s="31" t="inlineStr">
        <x:is>
          <x:t xml:space="preserve">Проверка</x:t>
        </x:is>
      </x:c>
      <x:c r="H844" s="31" t="inlineStr">
        <x:is>
          <x:t xml:space="preserve">ОТК</x:t>
        </x:is>
      </x:c>
      <x:c r="I844" s="31" t="inlineStr">
        <x:is>
          <x:t xml:space="preserve">ОБ-013</x:t>
        </x:is>
      </x:c>
      <x:c r="J844" s="31" t="inlineStr">
        <x:is>
          <x:t xml:space="preserve">СОТР-063</x:t>
        </x:is>
      </x:c>
      <x:c r="K844" s="31" t="n">
        <x:v>36</x:v>
      </x:c>
      <x:c r="L844" s="31" t="n">
        <x:v>34.9</x:v>
      </x:c>
      <x:c r="M844" s="31" t="n">
        <x:v>46107</x:v>
      </x:c>
      <x:c r="N844" s="31" t="n">
        <x:v>46110</x:v>
      </x:c>
      <x:c r="O844" s="31" t="n">
        <x:v>46107</x:v>
      </x:c>
      <x:c r="P844" s="31" t="n">
        <x:v>46111</x:v>
      </x:c>
      <x:c r="Q844" s="31" t="inlineStr">
        <x:is>
          <x:t xml:space="preserve">Завершено</x:t>
        </x:is>
      </x:c>
      <x:c r="R844" s="31" t="inlineStr">
        <x:is>
          <x:t xml:space="preserve">Нет</x:t>
        </x:is>
      </x:c>
      <x:c r="S844" s="31" t="inlineStr">
        <x:is>
          <x:t xml:space="preserve">Нет</x:t>
        </x:is>
      </x:c>
    </x:row>
    <x:row r="845">
      <x:c r="A845" s="31" t="inlineStr">
        <x:is>
          <x:t xml:space="preserve">ОП-000844</x:t>
        </x:is>
      </x:c>
      <x:c r="B845" s="31" t="inlineStr">
        <x:is>
          <x:t xml:space="preserve">ПЗ-00101</x:t>
        </x:is>
      </x:c>
      <x:c r="C845" s="31" t="inlineStr">
        <x:is>
          <x:t xml:space="preserve">ЗК-1051</x:t>
        </x:is>
      </x:c>
      <x:c r="D845" s="31" t="inlineStr">
        <x:is>
          <x:t xml:space="preserve">ПОЗ-0051-2</x:t>
        </x:is>
      </x:c>
      <x:c r="E845" s="31" t="inlineStr">
        <x:is>
          <x:t xml:space="preserve">ИЗД-015</x:t>
        </x:is>
      </x:c>
      <x:c r="F845" s="31" t="n">
        <x:v>30</x:v>
      </x:c>
      <x:c r="G845" s="31" t="inlineStr">
        <x:is>
          <x:t xml:space="preserve">Упаковка</x:t>
        </x:is>
      </x:c>
      <x:c r="H845" s="31" t="inlineStr">
        <x:is>
          <x:t xml:space="preserve">Логистика</x:t>
        </x:is>
      </x:c>
      <x:c r="I845" s="31" t="n"/>
      <x:c r="J845" s="31" t="inlineStr">
        <x:is>
          <x:t xml:space="preserve">СОТР-102</x:t>
        </x:is>
      </x:c>
      <x:c r="K845" s="31" t="n">
        <x:v>27.6</x:v>
      </x:c>
      <x:c r="L845" s="31" t="n">
        <x:v>25.6</x:v>
      </x:c>
      <x:c r="M845" s="31" t="n">
        <x:v>46110</x:v>
      </x:c>
      <x:c r="N845" s="31" t="n">
        <x:v>46113</x:v>
      </x:c>
      <x:c r="O845" s="31" t="n">
        <x:v>46110</x:v>
      </x:c>
      <x:c r="P845" s="31" t="n">
        <x:v>46115</x:v>
      </x:c>
      <x:c r="Q845" s="31" t="inlineStr">
        <x:is>
          <x:t xml:space="preserve">Завершено</x:t>
        </x:is>
      </x:c>
      <x:c r="R845" s="31" t="inlineStr">
        <x:is>
          <x:t xml:space="preserve">Нет</x:t>
        </x:is>
      </x:c>
      <x:c r="S845" s="31" t="inlineStr">
        <x:is>
          <x:t xml:space="preserve">Нет</x:t>
        </x:is>
      </x:c>
    </x:row>
    <x:row r="846">
      <x:c r="A846" s="31" t="inlineStr">
        <x:is>
          <x:t xml:space="preserve">ОП-000845</x:t>
        </x:is>
      </x:c>
      <x:c r="B846" s="31" t="inlineStr">
        <x:is>
          <x:t xml:space="preserve">ПЗ-00101</x:t>
        </x:is>
      </x:c>
      <x:c r="C846" s="31" t="inlineStr">
        <x:is>
          <x:t xml:space="preserve">ЗК-1051</x:t>
        </x:is>
      </x:c>
      <x:c r="D846" s="31" t="inlineStr">
        <x:is>
          <x:t xml:space="preserve">ПОЗ-0051-2</x:t>
        </x:is>
      </x:c>
      <x:c r="E846" s="31" t="inlineStr">
        <x:is>
          <x:t xml:space="preserve">ИЗД-015</x:t>
        </x:is>
      </x:c>
      <x:c r="F846" s="31" t="n">
        <x:v>40</x:v>
      </x:c>
      <x:c r="G846" s="31" t="inlineStr">
        <x:is>
          <x:t xml:space="preserve">ОТК</x:t>
        </x:is>
      </x:c>
      <x:c r="H846" s="31" t="inlineStr">
        <x:is>
          <x:t xml:space="preserve">ОТК</x:t>
        </x:is>
      </x:c>
      <x:c r="I846" s="31" t="inlineStr">
        <x:is>
          <x:t xml:space="preserve">ОБ-006</x:t>
        </x:is>
      </x:c>
      <x:c r="J846" s="31" t="inlineStr">
        <x:is>
          <x:t xml:space="preserve">СОТР-093</x:t>
        </x:is>
      </x:c>
      <x:c r="K846" s="31" t="n">
        <x:v>16.8</x:v>
      </x:c>
      <x:c r="L846" s="31" t="n">
        <x:v>17.5</x:v>
      </x:c>
      <x:c r="M846" s="31" t="n">
        <x:v>46113</x:v>
      </x:c>
      <x:c r="N846" s="31" t="n">
        <x:v>46115</x:v>
      </x:c>
      <x:c r="O846" s="31" t="n">
        <x:v>46113</x:v>
      </x:c>
      <x:c r="P846" s="31" t="n">
        <x:v>46116</x:v>
      </x:c>
      <x:c r="Q846" s="31" t="inlineStr">
        <x:is>
          <x:t xml:space="preserve">Завершено</x:t>
        </x:is>
      </x:c>
      <x:c r="R846" s="31" t="inlineStr">
        <x:is>
          <x:t xml:space="preserve">Нет</x:t>
        </x:is>
      </x:c>
      <x:c r="S846" s="31" t="inlineStr">
        <x:is>
          <x:t xml:space="preserve">Нет</x:t>
        </x:is>
      </x:c>
    </x:row>
    <x:row r="847">
      <x:c r="A847" s="31" t="inlineStr">
        <x:is>
          <x:t xml:space="preserve">ОП-000846</x:t>
        </x:is>
      </x:c>
      <x:c r="B847" s="31" t="inlineStr">
        <x:is>
          <x:t xml:space="preserve">ПЗ-00102</x:t>
        </x:is>
      </x:c>
      <x:c r="C847" s="31" t="inlineStr">
        <x:is>
          <x:t xml:space="preserve">ЗК-1051</x:t>
        </x:is>
      </x:c>
      <x:c r="D847" s="31" t="inlineStr">
        <x:is>
          <x:t xml:space="preserve">ПОЗ-0051-3</x:t>
        </x:is>
      </x:c>
      <x:c r="E847" s="31" t="inlineStr">
        <x:is>
          <x:t xml:space="preserve">ИЗД-022</x:t>
        </x:is>
      </x:c>
      <x:c r="F847" s="31" t="n">
        <x:v>10</x:v>
      </x:c>
      <x:c r="G847" s="31" t="inlineStr">
        <x:is>
          <x:t xml:space="preserve">КД</x:t>
        </x:is>
      </x:c>
      <x:c r="H847" s="31" t="inlineStr">
        <x:is>
          <x:t xml:space="preserve">Инженерный отдел</x:t>
        </x:is>
      </x:c>
      <x:c r="I847" s="31" t="n"/>
      <x:c r="J847" s="31" t="inlineStr">
        <x:is>
          <x:t xml:space="preserve">СОТР-021</x:t>
        </x:is>
      </x:c>
      <x:c r="K847" s="31" t="n">
        <x:v>46</x:v>
      </x:c>
      <x:c r="L847" s="31" t="n">
        <x:v>45.2</x:v>
      </x:c>
      <x:c r="M847" s="31" t="n">
        <x:v>46103</x:v>
      </x:c>
      <x:c r="N847" s="31" t="n">
        <x:v>46107</x:v>
      </x:c>
      <x:c r="O847" s="31" t="n">
        <x:v>46103</x:v>
      </x:c>
      <x:c r="P847" s="31" t="n">
        <x:v>46106</x:v>
      </x:c>
      <x:c r="Q847" s="31" t="inlineStr">
        <x:is>
          <x:t xml:space="preserve">Завершено</x:t>
        </x:is>
      </x:c>
      <x:c r="R847" s="31" t="inlineStr">
        <x:is>
          <x:t xml:space="preserve">Нет</x:t>
        </x:is>
      </x:c>
      <x:c r="S847" s="31" t="inlineStr">
        <x:is>
          <x:t xml:space="preserve">Нет</x:t>
        </x:is>
      </x:c>
    </x:row>
    <x:row r="848">
      <x:c r="A848" s="31" t="inlineStr">
        <x:is>
          <x:t xml:space="preserve">ОП-000847</x:t>
        </x:is>
      </x:c>
      <x:c r="B848" s="31" t="inlineStr">
        <x:is>
          <x:t xml:space="preserve">ПЗ-00102</x:t>
        </x:is>
      </x:c>
      <x:c r="C848" s="31" t="inlineStr">
        <x:is>
          <x:t xml:space="preserve">ЗК-1051</x:t>
        </x:is>
      </x:c>
      <x:c r="D848" s="31" t="inlineStr">
        <x:is>
          <x:t xml:space="preserve">ПОЗ-0051-3</x:t>
        </x:is>
      </x:c>
      <x:c r="E848" s="31" t="inlineStr">
        <x:is>
          <x:t xml:space="preserve">ИЗД-022</x:t>
        </x:is>
      </x:c>
      <x:c r="F848" s="31" t="n">
        <x:v>20</x:v>
      </x:c>
      <x:c r="G848" s="31" t="inlineStr">
        <x:is>
          <x:t xml:space="preserve">Резерв материалов</x:t>
        </x:is>
      </x:c>
      <x:c r="H848" s="31" t="inlineStr">
        <x:is>
          <x:t xml:space="preserve">Склад</x:t>
        </x:is>
      </x:c>
      <x:c r="I848" s="31" t="inlineStr">
        <x:is>
          <x:t xml:space="preserve">ОБ-009</x:t>
        </x:is>
      </x:c>
      <x:c r="J848" s="31" t="inlineStr">
        <x:is>
          <x:t xml:space="preserve">СОТР-035</x:t>
        </x:is>
      </x:c>
      <x:c r="K848" s="31" t="n">
        <x:v>40</x:v>
      </x:c>
      <x:c r="L848" s="31" t="n">
        <x:v>34.7</x:v>
      </x:c>
      <x:c r="M848" s="31" t="n">
        <x:v>46107</x:v>
      </x:c>
      <x:c r="N848" s="31" t="n">
        <x:v>46111</x:v>
      </x:c>
      <x:c r="O848" s="31" t="n">
        <x:v>46107</x:v>
      </x:c>
      <x:c r="P848" s="31" t="n">
        <x:v>46111</x:v>
      </x:c>
      <x:c r="Q848" s="31" t="inlineStr">
        <x:is>
          <x:t xml:space="preserve">Завершено</x:t>
        </x:is>
      </x:c>
      <x:c r="R848" s="31" t="inlineStr">
        <x:is>
          <x:t xml:space="preserve">Нет</x:t>
        </x:is>
      </x:c>
      <x:c r="S848" s="31" t="inlineStr">
        <x:is>
          <x:t xml:space="preserve">Нет</x:t>
        </x:is>
      </x:c>
    </x:row>
    <x:row r="849">
      <x:c r="A849" s="31" t="inlineStr">
        <x:is>
          <x:t xml:space="preserve">ОП-000848</x:t>
        </x:is>
      </x:c>
      <x:c r="B849" s="31" t="inlineStr">
        <x:is>
          <x:t xml:space="preserve">ПЗ-00102</x:t>
        </x:is>
      </x:c>
      <x:c r="C849" s="31" t="inlineStr">
        <x:is>
          <x:t xml:space="preserve">ЗК-1051</x:t>
        </x:is>
      </x:c>
      <x:c r="D849" s="31" t="inlineStr">
        <x:is>
          <x:t xml:space="preserve">ПОЗ-0051-3</x:t>
        </x:is>
      </x:c>
      <x:c r="E849" s="31" t="inlineStr">
        <x:is>
          <x:t xml:space="preserve">ИЗД-022</x:t>
        </x:is>
      </x:c>
      <x:c r="F849" s="31" t="n">
        <x:v>30</x:v>
      </x:c>
      <x:c r="G849" s="31" t="inlineStr">
        <x:is>
          <x:t xml:space="preserve">Сварка рамы</x:t>
        </x:is>
      </x:c>
      <x:c r="H849" s="31" t="inlineStr">
        <x:is>
          <x:t xml:space="preserve">Сварка</x:t>
        </x:is>
      </x:c>
      <x:c r="I849" s="31" t="inlineStr">
        <x:is>
          <x:t xml:space="preserve">ОБ-021</x:t>
        </x:is>
      </x:c>
      <x:c r="J849" s="31" t="inlineStr">
        <x:is>
          <x:t xml:space="preserve">СОТР-069</x:t>
        </x:is>
      </x:c>
      <x:c r="K849" s="31" t="n">
        <x:v>20</x:v>
      </x:c>
      <x:c r="L849" s="31" t="n">
        <x:v>23.6</x:v>
      </x:c>
      <x:c r="M849" s="31" t="n">
        <x:v>46111</x:v>
      </x:c>
      <x:c r="N849" s="31" t="n">
        <x:v>46113</x:v>
      </x:c>
      <x:c r="O849" s="31" t="n">
        <x:v>46111</x:v>
      </x:c>
      <x:c r="P849" s="31" t="n">
        <x:v>46112</x:v>
      </x:c>
      <x:c r="Q849" s="31" t="inlineStr">
        <x:is>
          <x:t xml:space="preserve">Завершено</x:t>
        </x:is>
      </x:c>
      <x:c r="R849" s="31" t="inlineStr">
        <x:is>
          <x:t xml:space="preserve">Нет</x:t>
        </x:is>
      </x:c>
      <x:c r="S849" s="31" t="inlineStr">
        <x:is>
          <x:t xml:space="preserve">Нет</x:t>
        </x:is>
      </x:c>
    </x:row>
    <x:row r="850">
      <x:c r="A850" s="31" t="inlineStr">
        <x:is>
          <x:t xml:space="preserve">ОП-000849</x:t>
        </x:is>
      </x:c>
      <x:c r="B850" s="31" t="inlineStr">
        <x:is>
          <x:t xml:space="preserve">ПЗ-00102</x:t>
        </x:is>
      </x:c>
      <x:c r="C850" s="31" t="inlineStr">
        <x:is>
          <x:t xml:space="preserve">ЗК-1051</x:t>
        </x:is>
      </x:c>
      <x:c r="D850" s="31" t="inlineStr">
        <x:is>
          <x:t xml:space="preserve">ПОЗ-0051-3</x:t>
        </x:is>
      </x:c>
      <x:c r="E850" s="31" t="inlineStr">
        <x:is>
          <x:t xml:space="preserve">ИЗД-022</x:t>
        </x:is>
      </x:c>
      <x:c r="F850" s="31" t="n">
        <x:v>40</x:v>
      </x:c>
      <x:c r="G850" s="31" t="inlineStr">
        <x:is>
          <x:t xml:space="preserve">Сборка</x:t>
        </x:is>
      </x:c>
      <x:c r="H850" s="31" t="inlineStr">
        <x:is>
          <x:t xml:space="preserve">Сборка</x:t>
        </x:is>
      </x:c>
      <x:c r="I850" s="31" t="inlineStr">
        <x:is>
          <x:t xml:space="preserve">ОБ-012</x:t>
        </x:is>
      </x:c>
      <x:c r="J850" s="31" t="inlineStr">
        <x:is>
          <x:t xml:space="preserve">СОТР-078</x:t>
        </x:is>
      </x:c>
      <x:c r="K850" s="31" t="n">
        <x:v>20</x:v>
      </x:c>
      <x:c r="L850" s="31" t="n">
        <x:v>26.3</x:v>
      </x:c>
      <x:c r="M850" s="31" t="n">
        <x:v>46113</x:v>
      </x:c>
      <x:c r="N850" s="31" t="n">
        <x:v>46115</x:v>
      </x:c>
      <x:c r="O850" s="31" t="n">
        <x:v>46113</x:v>
      </x:c>
      <x:c r="P850" s="31" t="n">
        <x:v>46117</x:v>
      </x:c>
      <x:c r="Q850" s="31" t="inlineStr">
        <x:is>
          <x:t xml:space="preserve">Завершено</x:t>
        </x:is>
      </x:c>
      <x:c r="R850" s="31" t="inlineStr">
        <x:is>
          <x:t xml:space="preserve">Нет</x:t>
        </x:is>
      </x:c>
      <x:c r="S850" s="31" t="inlineStr">
        <x:is>
          <x:t xml:space="preserve">Нет</x:t>
        </x:is>
      </x:c>
    </x:row>
    <x:row r="851">
      <x:c r="A851" s="31" t="inlineStr">
        <x:is>
          <x:t xml:space="preserve">ОП-000850</x:t>
        </x:is>
      </x:c>
      <x:c r="B851" s="31" t="inlineStr">
        <x:is>
          <x:t xml:space="preserve">ПЗ-00102</x:t>
        </x:is>
      </x:c>
      <x:c r="C851" s="31" t="inlineStr">
        <x:is>
          <x:t xml:space="preserve">ЗК-1051</x:t>
        </x:is>
      </x:c>
      <x:c r="D851" s="31" t="inlineStr">
        <x:is>
          <x:t xml:space="preserve">ПОЗ-0051-3</x:t>
        </x:is>
      </x:c>
      <x:c r="E851" s="31" t="inlineStr">
        <x:is>
          <x:t xml:space="preserve">ИЗД-022</x:t>
        </x:is>
      </x:c>
      <x:c r="F851" s="31" t="n">
        <x:v>50</x:v>
      </x:c>
      <x:c r="G851" s="31" t="inlineStr">
        <x:is>
          <x:t xml:space="preserve">Обвязка труб</x:t>
        </x:is>
      </x:c>
      <x:c r="H851" s="31" t="inlineStr">
        <x:is>
          <x:t xml:space="preserve">Сборка</x:t>
        </x:is>
      </x:c>
      <x:c r="I851" s="31" t="inlineStr">
        <x:is>
          <x:t xml:space="preserve">ОБ-034</x:t>
        </x:is>
      </x:c>
      <x:c r="J851" s="31" t="inlineStr">
        <x:is>
          <x:t xml:space="preserve">СОТР-078</x:t>
        </x:is>
      </x:c>
      <x:c r="K851" s="31" t="n">
        <x:v>39.5</x:v>
      </x:c>
      <x:c r="L851" s="31" t="n">
        <x:v>39.3</x:v>
      </x:c>
      <x:c r="M851" s="31" t="n">
        <x:v>46115</x:v>
      </x:c>
      <x:c r="N851" s="31" t="n">
        <x:v>46119</x:v>
      </x:c>
      <x:c r="O851" s="31" t="n">
        <x:v>46115</x:v>
      </x:c>
      <x:c r="P851" s="31" t="n">
        <x:v>46118</x:v>
      </x:c>
      <x:c r="Q851" s="31" t="inlineStr">
        <x:is>
          <x:t xml:space="preserve">Завершено</x:t>
        </x:is>
      </x:c>
      <x:c r="R851" s="31" t="inlineStr">
        <x:is>
          <x:t xml:space="preserve">Нет</x:t>
        </x:is>
      </x:c>
      <x:c r="S851" s="31" t="inlineStr">
        <x:is>
          <x:t xml:space="preserve">Нет</x:t>
        </x:is>
      </x:c>
    </x:row>
    <x:row r="852">
      <x:c r="A852" s="31" t="inlineStr">
        <x:is>
          <x:t xml:space="preserve">ОП-000851</x:t>
        </x:is>
      </x:c>
      <x:c r="B852" s="31" t="inlineStr">
        <x:is>
          <x:t xml:space="preserve">ПЗ-00102</x:t>
        </x:is>
      </x:c>
      <x:c r="C852" s="31" t="inlineStr">
        <x:is>
          <x:t xml:space="preserve">ЗК-1051</x:t>
        </x:is>
      </x:c>
      <x:c r="D852" s="31" t="inlineStr">
        <x:is>
          <x:t xml:space="preserve">ПОЗ-0051-3</x:t>
        </x:is>
      </x:c>
      <x:c r="E852" s="31" t="inlineStr">
        <x:is>
          <x:t xml:space="preserve">ИЗД-022</x:t>
        </x:is>
      </x:c>
      <x:c r="F852" s="31" t="n">
        <x:v>60</x:v>
      </x:c>
      <x:c r="G852" s="31" t="inlineStr">
        <x:is>
          <x:t xml:space="preserve">Электромонтаж</x:t>
        </x:is>
      </x:c>
      <x:c r="H852" s="31" t="inlineStr">
        <x:is>
          <x:t xml:space="preserve">Сборка</x:t>
        </x:is>
      </x:c>
      <x:c r="I852" s="31" t="inlineStr">
        <x:is>
          <x:t xml:space="preserve">ОБ-016</x:t>
        </x:is>
      </x:c>
      <x:c r="J852" s="31" t="inlineStr">
        <x:is>
          <x:t xml:space="preserve">СОТР-079</x:t>
        </x:is>
      </x:c>
      <x:c r="K852" s="31" t="n">
        <x:v>35</x:v>
      </x:c>
      <x:c r="L852" s="31" t="n">
        <x:v>33.5</x:v>
      </x:c>
      <x:c r="M852" s="31" t="n">
        <x:v>46119</x:v>
      </x:c>
      <x:c r="N852" s="31" t="n">
        <x:v>46122</x:v>
      </x:c>
      <x:c r="O852" s="31" t="n">
        <x:v>46119</x:v>
      </x:c>
      <x:c r="P852" s="31" t="n">
        <x:v>46121</x:v>
      </x:c>
      <x:c r="Q852" s="31" t="inlineStr">
        <x:is>
          <x:t xml:space="preserve">Завершено</x:t>
        </x:is>
      </x:c>
      <x:c r="R852" s="31" t="inlineStr">
        <x:is>
          <x:t xml:space="preserve">Нет</x:t>
        </x:is>
      </x:c>
      <x:c r="S852" s="31" t="inlineStr">
        <x:is>
          <x:t xml:space="preserve">Нет</x:t>
        </x:is>
      </x:c>
    </x:row>
    <x:row r="853">
      <x:c r="A853" s="31" t="inlineStr">
        <x:is>
          <x:t xml:space="preserve">ОП-000852</x:t>
        </x:is>
      </x:c>
      <x:c r="B853" s="31" t="inlineStr">
        <x:is>
          <x:t xml:space="preserve">ПЗ-00102</x:t>
        </x:is>
      </x:c>
      <x:c r="C853" s="31" t="inlineStr">
        <x:is>
          <x:t xml:space="preserve">ЗК-1051</x:t>
        </x:is>
      </x:c>
      <x:c r="D853" s="31" t="inlineStr">
        <x:is>
          <x:t xml:space="preserve">ПОЗ-0051-3</x:t>
        </x:is>
      </x:c>
      <x:c r="E853" s="31" t="inlineStr">
        <x:is>
          <x:t xml:space="preserve">ИЗД-022</x:t>
        </x:is>
      </x:c>
      <x:c r="F853" s="31" t="n">
        <x:v>70</x:v>
      </x:c>
      <x:c r="G853" s="31" t="inlineStr">
        <x:is>
          <x:t xml:space="preserve">Гидроиспытания</x:t>
        </x:is>
      </x:c>
      <x:c r="H853" s="31" t="inlineStr">
        <x:is>
          <x:t xml:space="preserve">ОТК</x:t>
        </x:is>
      </x:c>
      <x:c r="I853" s="31" t="inlineStr">
        <x:is>
          <x:t xml:space="preserve">ОБ-013</x:t>
        </x:is>
      </x:c>
      <x:c r="J853" s="31" t="inlineStr">
        <x:is>
          <x:t xml:space="preserve">СОТР-092</x:t>
        </x:is>
      </x:c>
      <x:c r="K853" s="31" t="n">
        <x:v>20.5</x:v>
      </x:c>
      <x:c r="L853" s="31" t="n">
        <x:v>18.4</x:v>
      </x:c>
      <x:c r="M853" s="31" t="n">
        <x:v>46122</x:v>
      </x:c>
      <x:c r="N853" s="31" t="n">
        <x:v>46124</x:v>
      </x:c>
      <x:c r="O853" s="31" t="n">
        <x:v>46122</x:v>
      </x:c>
      <x:c r="P853" s="31" t="n">
        <x:v>46125</x:v>
      </x:c>
      <x:c r="Q853" s="31" t="inlineStr">
        <x:is>
          <x:t xml:space="preserve">Завершено</x:t>
        </x:is>
      </x:c>
      <x:c r="R853" s="31" t="inlineStr">
        <x:is>
          <x:t xml:space="preserve">Нет</x:t>
        </x:is>
      </x:c>
      <x:c r="S853" s="31" t="inlineStr">
        <x:is>
          <x:t xml:space="preserve">Нет</x:t>
        </x:is>
      </x:c>
    </x:row>
    <x:row r="854">
      <x:c r="A854" s="31" t="inlineStr">
        <x:is>
          <x:t xml:space="preserve">ОП-000853</x:t>
        </x:is>
      </x:c>
      <x:c r="B854" s="31" t="inlineStr">
        <x:is>
          <x:t xml:space="preserve">ПЗ-00102</x:t>
        </x:is>
      </x:c>
      <x:c r="C854" s="31" t="inlineStr">
        <x:is>
          <x:t xml:space="preserve">ЗК-1051</x:t>
        </x:is>
      </x:c>
      <x:c r="D854" s="31" t="inlineStr">
        <x:is>
          <x:t xml:space="preserve">ПОЗ-0051-3</x:t>
        </x:is>
      </x:c>
      <x:c r="E854" s="31" t="inlineStr">
        <x:is>
          <x:t xml:space="preserve">ИЗД-022</x:t>
        </x:is>
      </x:c>
      <x:c r="F854" s="31" t="n">
        <x:v>80</x:v>
      </x:c>
      <x:c r="G854" s="31" t="inlineStr">
        <x:is>
          <x:t xml:space="preserve">ОТК</x:t>
        </x:is>
      </x:c>
      <x:c r="H854" s="31" t="inlineStr">
        <x:is>
          <x:t xml:space="preserve">ОТК</x:t>
        </x:is>
      </x:c>
      <x:c r="I854" s="31" t="inlineStr">
        <x:is>
          <x:t xml:space="preserve">ОБ-032</x:t>
        </x:is>
      </x:c>
      <x:c r="J854" s="31" t="inlineStr">
        <x:is>
          <x:t xml:space="preserve">СОТР-097</x:t>
        </x:is>
      </x:c>
      <x:c r="K854" s="31" t="n">
        <x:v>54</x:v>
      </x:c>
      <x:c r="L854" s="31" t="n">
        <x:v>70.7</x:v>
      </x:c>
      <x:c r="M854" s="31" t="n">
        <x:v>46124</x:v>
      </x:c>
      <x:c r="N854" s="31" t="n">
        <x:v>46129</x:v>
      </x:c>
      <x:c r="O854" s="31" t="n">
        <x:v>46124</x:v>
      </x:c>
      <x:c r="P854" s="31" t="n">
        <x:v>46129</x:v>
      </x:c>
      <x:c r="Q854" s="31" t="inlineStr">
        <x:is>
          <x:t xml:space="preserve">Завершено</x:t>
        </x:is>
      </x:c>
      <x:c r="R854" s="31" t="inlineStr">
        <x:is>
          <x:t xml:space="preserve">Нет</x:t>
        </x:is>
      </x:c>
      <x:c r="S854" s="31" t="inlineStr">
        <x:is>
          <x:t xml:space="preserve">Нет</x:t>
        </x:is>
      </x:c>
    </x:row>
    <x:row r="855">
      <x:c r="A855" s="31" t="inlineStr">
        <x:is>
          <x:t xml:space="preserve">ОП-000854</x:t>
        </x:is>
      </x:c>
      <x:c r="B855" s="31" t="inlineStr">
        <x:is>
          <x:t xml:space="preserve">ПЗ-00102</x:t>
        </x:is>
      </x:c>
      <x:c r="C855" s="31" t="inlineStr">
        <x:is>
          <x:t xml:space="preserve">ЗК-1051</x:t>
        </x:is>
      </x:c>
      <x:c r="D855" s="31" t="inlineStr">
        <x:is>
          <x:t xml:space="preserve">ПОЗ-0051-3</x:t>
        </x:is>
      </x:c>
      <x:c r="E855" s="31" t="inlineStr">
        <x:is>
          <x:t xml:space="preserve">ИЗД-022</x:t>
        </x:is>
      </x:c>
      <x:c r="F855" s="31" t="n">
        <x:v>90</x:v>
      </x:c>
      <x:c r="G855" s="31" t="inlineStr">
        <x:is>
          <x:t xml:space="preserve">Упаковка</x:t>
        </x:is>
      </x:c>
      <x:c r="H855" s="31" t="inlineStr">
        <x:is>
          <x:t xml:space="preserve">Логистика</x:t>
        </x:is>
      </x:c>
      <x:c r="I855" s="31" t="n"/>
      <x:c r="J855" s="31" t="inlineStr">
        <x:is>
          <x:t xml:space="preserve">СОТР-104</x:t>
        </x:is>
      </x:c>
      <x:c r="K855" s="31" t="n">
        <x:v>31</x:v>
      </x:c>
      <x:c r="L855" s="31" t="n">
        <x:v>33.5</x:v>
      </x:c>
      <x:c r="M855" s="31" t="n">
        <x:v>46129</x:v>
      </x:c>
      <x:c r="N855" s="31" t="n">
        <x:v>46132</x:v>
      </x:c>
      <x:c r="O855" s="31" t="n">
        <x:v>46129</x:v>
      </x:c>
      <x:c r="P855" s="31" t="n">
        <x:v>46131</x:v>
      </x:c>
      <x:c r="Q855" s="31" t="inlineStr">
        <x:is>
          <x:t xml:space="preserve">Завершено</x:t>
        </x:is>
      </x:c>
      <x:c r="R855" s="31" t="inlineStr">
        <x:is>
          <x:t xml:space="preserve">Материал</x:t>
        </x:is>
      </x:c>
      <x:c r="S855" s="31" t="inlineStr">
        <x:is>
          <x:t xml:space="preserve">Нет</x:t>
        </x:is>
      </x:c>
    </x:row>
    <x:row r="856">
      <x:c r="A856" s="31" t="inlineStr">
        <x:is>
          <x:t xml:space="preserve">ОП-000855</x:t>
        </x:is>
      </x:c>
      <x:c r="B856" s="31" t="inlineStr">
        <x:is>
          <x:t xml:space="preserve">ПЗ-00103</x:t>
        </x:is>
      </x:c>
      <x:c r="C856" s="31" t="inlineStr">
        <x:is>
          <x:t xml:space="preserve">ЗК-1052</x:t>
        </x:is>
      </x:c>
      <x:c r="D856" s="31" t="inlineStr">
        <x:is>
          <x:t xml:space="preserve">ПОЗ-0052-1</x:t>
        </x:is>
      </x:c>
      <x:c r="E856" s="31" t="inlineStr">
        <x:is>
          <x:t xml:space="preserve">ИЗД-003</x:t>
        </x:is>
      </x:c>
      <x:c r="F856" s="31" t="n">
        <x:v>10</x:v>
      </x:c>
      <x:c r="G856" s="31" t="inlineStr">
        <x:is>
          <x:t xml:space="preserve">КД</x:t>
        </x:is>
      </x:c>
      <x:c r="H856" s="31" t="inlineStr">
        <x:is>
          <x:t xml:space="preserve">Инженерный отдел</x:t>
        </x:is>
      </x:c>
      <x:c r="I856" s="31" t="n"/>
      <x:c r="J856" s="31" t="inlineStr">
        <x:is>
          <x:t xml:space="preserve">СОТР-017</x:t>
        </x:is>
      </x:c>
      <x:c r="K856" s="31" t="n">
        <x:v>6.9</x:v>
      </x:c>
      <x:c r="L856" s="31" t="n">
        <x:v>6.4</x:v>
      </x:c>
      <x:c r="M856" s="31" t="n">
        <x:v>46107</x:v>
      </x:c>
      <x:c r="N856" s="31" t="n">
        <x:v>46108</x:v>
      </x:c>
      <x:c r="O856" s="31" t="n">
        <x:v>46107</x:v>
      </x:c>
      <x:c r="P856" s="31" t="n">
        <x:v>46109</x:v>
      </x:c>
      <x:c r="Q856" s="31" t="inlineStr">
        <x:is>
          <x:t xml:space="preserve">Завершено</x:t>
        </x:is>
      </x:c>
      <x:c r="R856" s="31" t="inlineStr">
        <x:is>
          <x:t xml:space="preserve">Нет</x:t>
        </x:is>
      </x:c>
      <x:c r="S856" s="31" t="inlineStr">
        <x:is>
          <x:t xml:space="preserve">Нет</x:t>
        </x:is>
      </x:c>
    </x:row>
    <x:row r="857">
      <x:c r="A857" s="31" t="inlineStr">
        <x:is>
          <x:t xml:space="preserve">ОП-000856</x:t>
        </x:is>
      </x:c>
      <x:c r="B857" s="31" t="inlineStr">
        <x:is>
          <x:t xml:space="preserve">ПЗ-00103</x:t>
        </x:is>
      </x:c>
      <x:c r="C857" s="31" t="inlineStr">
        <x:is>
          <x:t xml:space="preserve">ЗК-1052</x:t>
        </x:is>
      </x:c>
      <x:c r="D857" s="31" t="inlineStr">
        <x:is>
          <x:t xml:space="preserve">ПОЗ-0052-1</x:t>
        </x:is>
      </x:c>
      <x:c r="E857" s="31" t="inlineStr">
        <x:is>
          <x:t xml:space="preserve">ИЗД-003</x:t>
        </x:is>
      </x:c>
      <x:c r="F857" s="31" t="n">
        <x:v>20</x:v>
      </x:c>
      <x:c r="G857" s="31" t="inlineStr">
        <x:is>
          <x:t xml:space="preserve">Резерв материалов</x:t>
        </x:is>
      </x:c>
      <x:c r="H857" s="31" t="inlineStr">
        <x:is>
          <x:t xml:space="preserve">Склад</x:t>
        </x:is>
      </x:c>
      <x:c r="I857" s="31" t="inlineStr">
        <x:is>
          <x:t xml:space="preserve">ОБ-023</x:t>
        </x:is>
      </x:c>
      <x:c r="J857" s="31" t="inlineStr">
        <x:is>
          <x:t xml:space="preserve">СОТР-036</x:t>
        </x:is>
      </x:c>
      <x:c r="K857" s="31" t="n">
        <x:v>7.9</x:v>
      </x:c>
      <x:c r="L857" s="31" t="n">
        <x:v>9.1</x:v>
      </x:c>
      <x:c r="M857" s="31" t="n">
        <x:v>46108</x:v>
      </x:c>
      <x:c r="N857" s="31" t="n">
        <x:v>46109</x:v>
      </x:c>
      <x:c r="O857" s="31" t="n">
        <x:v>46108</x:v>
      </x:c>
      <x:c r="P857" s="31" t="n">
        <x:v>46111</x:v>
      </x:c>
      <x:c r="Q857" s="31" t="inlineStr">
        <x:is>
          <x:t xml:space="preserve">Завершено</x:t>
        </x:is>
      </x:c>
      <x:c r="R857" s="31" t="inlineStr">
        <x:is>
          <x:t xml:space="preserve">Нет</x:t>
        </x:is>
      </x:c>
      <x:c r="S857" s="31" t="inlineStr">
        <x:is>
          <x:t xml:space="preserve">Да</x:t>
        </x:is>
      </x:c>
    </x:row>
    <x:row r="858">
      <x:c r="A858" s="31" t="inlineStr">
        <x:is>
          <x:t xml:space="preserve">ОП-000857</x:t>
        </x:is>
      </x:c>
      <x:c r="B858" s="31" t="inlineStr">
        <x:is>
          <x:t xml:space="preserve">ПЗ-00103</x:t>
        </x:is>
      </x:c>
      <x:c r="C858" s="31" t="inlineStr">
        <x:is>
          <x:t xml:space="preserve">ЗК-1052</x:t>
        </x:is>
      </x:c>
      <x:c r="D858" s="31" t="inlineStr">
        <x:is>
          <x:t xml:space="preserve">ПОЗ-0052-1</x:t>
        </x:is>
      </x:c>
      <x:c r="E858" s="31" t="inlineStr">
        <x:is>
          <x:t xml:space="preserve">ИЗД-003</x:t>
        </x:is>
      </x:c>
      <x:c r="F858" s="31" t="n">
        <x:v>30</x:v>
      </x:c>
      <x:c r="G858" s="31" t="inlineStr">
        <x:is>
          <x:t xml:space="preserve">Резка металла</x:t>
        </x:is>
      </x:c>
      <x:c r="H858" s="31" t="inlineStr">
        <x:is>
          <x:t xml:space="preserve">Сварка</x:t>
        </x:is>
      </x:c>
      <x:c r="I858" s="31" t="inlineStr">
        <x:is>
          <x:t xml:space="preserve">ОБ-019</x:t>
        </x:is>
      </x:c>
      <x:c r="J858" s="31" t="inlineStr">
        <x:is>
          <x:t xml:space="preserve">СОТР-061</x:t>
        </x:is>
      </x:c>
      <x:c r="K858" s="31" t="n">
        <x:v>1.1</x:v>
      </x:c>
      <x:c r="L858" s="31" t="n">
        <x:v>1.2</x:v>
      </x:c>
      <x:c r="M858" s="31" t="n">
        <x:v>46109</x:v>
      </x:c>
      <x:c r="N858" s="31" t="n">
        <x:v>46110</x:v>
      </x:c>
      <x:c r="O858" s="31" t="n">
        <x:v>46109</x:v>
      </x:c>
      <x:c r="P858" s="31" t="n">
        <x:v>46109</x:v>
      </x:c>
      <x:c r="Q858" s="31" t="inlineStr">
        <x:is>
          <x:t xml:space="preserve">Завершено</x:t>
        </x:is>
      </x:c>
      <x:c r="R858" s="31" t="inlineStr">
        <x:is>
          <x:t xml:space="preserve">Нет</x:t>
        </x:is>
      </x:c>
      <x:c r="S858" s="31" t="inlineStr">
        <x:is>
          <x:t xml:space="preserve">Нет</x:t>
        </x:is>
      </x:c>
    </x:row>
    <x:row r="859">
      <x:c r="A859" s="31" t="inlineStr">
        <x:is>
          <x:t xml:space="preserve">ОП-000858</x:t>
        </x:is>
      </x:c>
      <x:c r="B859" s="31" t="inlineStr">
        <x:is>
          <x:t xml:space="preserve">ПЗ-00103</x:t>
        </x:is>
      </x:c>
      <x:c r="C859" s="31" t="inlineStr">
        <x:is>
          <x:t xml:space="preserve">ЗК-1052</x:t>
        </x:is>
      </x:c>
      <x:c r="D859" s="31" t="inlineStr">
        <x:is>
          <x:t xml:space="preserve">ПОЗ-0052-1</x:t>
        </x:is>
      </x:c>
      <x:c r="E859" s="31" t="inlineStr">
        <x:is>
          <x:t xml:space="preserve">ИЗД-003</x:t>
        </x:is>
      </x:c>
      <x:c r="F859" s="31" t="n">
        <x:v>40</x:v>
      </x:c>
      <x:c r="G859" s="31" t="inlineStr">
        <x:is>
          <x:t xml:space="preserve">Сварка рамы</x:t>
        </x:is>
      </x:c>
      <x:c r="H859" s="31" t="inlineStr">
        <x:is>
          <x:t xml:space="preserve">Сварка</x:t>
        </x:is>
      </x:c>
      <x:c r="I859" s="31" t="inlineStr">
        <x:is>
          <x:t xml:space="preserve">ОБ-004</x:t>
        </x:is>
      </x:c>
      <x:c r="J859" s="31" t="inlineStr">
        <x:is>
          <x:t xml:space="preserve">СОТР-068</x:t>
        </x:is>
      </x:c>
      <x:c r="K859" s="31" t="n">
        <x:v>7.1</x:v>
      </x:c>
      <x:c r="L859" s="31" t="n">
        <x:v>6.1</x:v>
      </x:c>
      <x:c r="M859" s="31" t="n">
        <x:v>46110</x:v>
      </x:c>
      <x:c r="N859" s="31" t="n">
        <x:v>46111</x:v>
      </x:c>
      <x:c r="O859" s="31" t="n">
        <x:v>46110</x:v>
      </x:c>
      <x:c r="P859" s="31" t="n">
        <x:v>46110</x:v>
      </x:c>
      <x:c r="Q859" s="31" t="inlineStr">
        <x:is>
          <x:t xml:space="preserve">Завершено</x:t>
        </x:is>
      </x:c>
      <x:c r="R859" s="31" t="inlineStr">
        <x:is>
          <x:t xml:space="preserve">Нет</x:t>
        </x:is>
      </x:c>
      <x:c r="S859" s="31" t="inlineStr">
        <x:is>
          <x:t xml:space="preserve">Нет</x:t>
        </x:is>
      </x:c>
    </x:row>
    <x:row r="860">
      <x:c r="A860" s="31" t="inlineStr">
        <x:is>
          <x:t xml:space="preserve">ОП-000859</x:t>
        </x:is>
      </x:c>
      <x:c r="B860" s="31" t="inlineStr">
        <x:is>
          <x:t xml:space="preserve">ПЗ-00103</x:t>
        </x:is>
      </x:c>
      <x:c r="C860" s="31" t="inlineStr">
        <x:is>
          <x:t xml:space="preserve">ЗК-1052</x:t>
        </x:is>
      </x:c>
      <x:c r="D860" s="31" t="inlineStr">
        <x:is>
          <x:t xml:space="preserve">ПОЗ-0052-1</x:t>
        </x:is>
      </x:c>
      <x:c r="E860" s="31" t="inlineStr">
        <x:is>
          <x:t xml:space="preserve">ИЗД-003</x:t>
        </x:is>
      </x:c>
      <x:c r="F860" s="31" t="n">
        <x:v>50</x:v>
      </x:c>
      <x:c r="G860" s="31" t="inlineStr">
        <x:is>
          <x:t xml:space="preserve">Механообработка</x:t>
        </x:is>
      </x:c>
      <x:c r="H860" s="31" t="inlineStr">
        <x:is>
          <x:t xml:space="preserve">Механообработка</x:t>
        </x:is>
      </x:c>
      <x:c r="I860" s="31" t="inlineStr">
        <x:is>
          <x:t xml:space="preserve">ОБ-031</x:t>
        </x:is>
      </x:c>
      <x:c r="J860" s="31" t="inlineStr">
        <x:is>
          <x:t xml:space="preserve">СОТР-054</x:t>
        </x:is>
      </x:c>
      <x:c r="K860" s="31" t="n">
        <x:v>1.4</x:v>
      </x:c>
      <x:c r="L860" s="31" t="n">
        <x:v>1.6</x:v>
      </x:c>
      <x:c r="M860" s="31" t="n">
        <x:v>46111</x:v>
      </x:c>
      <x:c r="N860" s="31" t="n">
        <x:v>46112</x:v>
      </x:c>
      <x:c r="O860" s="31" t="n">
        <x:v>46111</x:v>
      </x:c>
      <x:c r="P860" s="31" t="n">
        <x:v>46112</x:v>
      </x:c>
      <x:c r="Q860" s="31" t="inlineStr">
        <x:is>
          <x:t xml:space="preserve">Завершено</x:t>
        </x:is>
      </x:c>
      <x:c r="R860" s="31" t="inlineStr">
        <x:is>
          <x:t xml:space="preserve">Нет</x:t>
        </x:is>
      </x:c>
      <x:c r="S860" s="31" t="inlineStr">
        <x:is>
          <x:t xml:space="preserve">Нет</x:t>
        </x:is>
      </x:c>
    </x:row>
    <x:row r="861">
      <x:c r="A861" s="31" t="inlineStr">
        <x:is>
          <x:t xml:space="preserve">ОП-000860</x:t>
        </x:is>
      </x:c>
      <x:c r="B861" s="31" t="inlineStr">
        <x:is>
          <x:t xml:space="preserve">ПЗ-00103</x:t>
        </x:is>
      </x:c>
      <x:c r="C861" s="31" t="inlineStr">
        <x:is>
          <x:t xml:space="preserve">ЗК-1052</x:t>
        </x:is>
      </x:c>
      <x:c r="D861" s="31" t="inlineStr">
        <x:is>
          <x:t xml:space="preserve">ПОЗ-0052-1</x:t>
        </x:is>
      </x:c>
      <x:c r="E861" s="31" t="inlineStr">
        <x:is>
          <x:t xml:space="preserve">ИЗД-003</x:t>
        </x:is>
      </x:c>
      <x:c r="F861" s="31" t="n">
        <x:v>60</x:v>
      </x:c>
      <x:c r="G861" s="31" t="inlineStr">
        <x:is>
          <x:t xml:space="preserve">Сборка</x:t>
        </x:is>
      </x:c>
      <x:c r="H861" s="31" t="inlineStr">
        <x:is>
          <x:t xml:space="preserve">Сборка</x:t>
        </x:is>
      </x:c>
      <x:c r="I861" s="31" t="inlineStr">
        <x:is>
          <x:t xml:space="preserve">ОБ-014</x:t>
        </x:is>
      </x:c>
      <x:c r="J861" s="31" t="inlineStr">
        <x:is>
          <x:t xml:space="preserve">СОТР-084</x:t>
        </x:is>
      </x:c>
      <x:c r="K861" s="31" t="n">
        <x:v>2.2</x:v>
      </x:c>
      <x:c r="L861" s="31" t="n">
        <x:v>1.9</x:v>
      </x:c>
      <x:c r="M861" s="31" t="n">
        <x:v>46112</x:v>
      </x:c>
      <x:c r="N861" s="31" t="n">
        <x:v>46113</x:v>
      </x:c>
      <x:c r="O861" s="31" t="n">
        <x:v>46112</x:v>
      </x:c>
      <x:c r="P861" s="31" t="n">
        <x:v>46113</x:v>
      </x:c>
      <x:c r="Q861" s="31" t="inlineStr">
        <x:is>
          <x:t xml:space="preserve">Завершено</x:t>
        </x:is>
      </x:c>
      <x:c r="R861" s="31" t="inlineStr">
        <x:is>
          <x:t xml:space="preserve">Нет</x:t>
        </x:is>
      </x:c>
      <x:c r="S861" s="31" t="inlineStr">
        <x:is>
          <x:t xml:space="preserve">Нет</x:t>
        </x:is>
      </x:c>
    </x:row>
    <x:row r="862">
      <x:c r="A862" s="31" t="inlineStr">
        <x:is>
          <x:t xml:space="preserve">ОП-000861</x:t>
        </x:is>
      </x:c>
      <x:c r="B862" s="31" t="inlineStr">
        <x:is>
          <x:t xml:space="preserve">ПЗ-00103</x:t>
        </x:is>
      </x:c>
      <x:c r="C862" s="31" t="inlineStr">
        <x:is>
          <x:t xml:space="preserve">ЗК-1052</x:t>
        </x:is>
      </x:c>
      <x:c r="D862" s="31" t="inlineStr">
        <x:is>
          <x:t xml:space="preserve">ПОЗ-0052-1</x:t>
        </x:is>
      </x:c>
      <x:c r="E862" s="31" t="inlineStr">
        <x:is>
          <x:t xml:space="preserve">ИЗД-003</x:t>
        </x:is>
      </x:c>
      <x:c r="F862" s="31" t="n">
        <x:v>70</x:v>
      </x:c>
      <x:c r="G862" s="31" t="inlineStr">
        <x:is>
          <x:t xml:space="preserve">Электромонтаж</x:t>
        </x:is>
      </x:c>
      <x:c r="H862" s="31" t="inlineStr">
        <x:is>
          <x:t xml:space="preserve">Сборка</x:t>
        </x:is>
      </x:c>
      <x:c r="I862" s="31" t="inlineStr">
        <x:is>
          <x:t xml:space="preserve">ОБ-034</x:t>
        </x:is>
      </x:c>
      <x:c r="J862" s="31" t="inlineStr">
        <x:is>
          <x:t xml:space="preserve">СОТР-091</x:t>
        </x:is>
      </x:c>
      <x:c r="K862" s="31" t="n">
        <x:v>5</x:v>
      </x:c>
      <x:c r="L862" s="31" t="n">
        <x:v>6.5</x:v>
      </x:c>
      <x:c r="M862" s="31" t="n">
        <x:v>46113</x:v>
      </x:c>
      <x:c r="N862" s="31" t="n">
        <x:v>46114</x:v>
      </x:c>
      <x:c r="O862" s="31" t="n">
        <x:v>46113</x:v>
      </x:c>
      <x:c r="P862" s="31" t="n">
        <x:v>46115</x:v>
      </x:c>
      <x:c r="Q862" s="31" t="inlineStr">
        <x:is>
          <x:t xml:space="preserve">Завершено</x:t>
        </x:is>
      </x:c>
      <x:c r="R862" s="31" t="inlineStr">
        <x:is>
          <x:t xml:space="preserve">Нет</x:t>
        </x:is>
      </x:c>
      <x:c r="S862" s="31" t="inlineStr">
        <x:is>
          <x:t xml:space="preserve">Нет</x:t>
        </x:is>
      </x:c>
    </x:row>
    <x:row r="863">
      <x:c r="A863" s="31" t="inlineStr">
        <x:is>
          <x:t xml:space="preserve">ОП-000862</x:t>
        </x:is>
      </x:c>
      <x:c r="B863" s="31" t="inlineStr">
        <x:is>
          <x:t xml:space="preserve">ПЗ-00103</x:t>
        </x:is>
      </x:c>
      <x:c r="C863" s="31" t="inlineStr">
        <x:is>
          <x:t xml:space="preserve">ЗК-1052</x:t>
        </x:is>
      </x:c>
      <x:c r="D863" s="31" t="inlineStr">
        <x:is>
          <x:t xml:space="preserve">ПОЗ-0052-1</x:t>
        </x:is>
      </x:c>
      <x:c r="E863" s="31" t="inlineStr">
        <x:is>
          <x:t xml:space="preserve">ИЗД-003</x:t>
        </x:is>
      </x:c>
      <x:c r="F863" s="31" t="n">
        <x:v>80</x:v>
      </x:c>
      <x:c r="G863" s="31" t="inlineStr">
        <x:is>
          <x:t xml:space="preserve">Гидроиспытания</x:t>
        </x:is>
      </x:c>
      <x:c r="H863" s="31" t="inlineStr">
        <x:is>
          <x:t xml:space="preserve">ОТК</x:t>
        </x:is>
      </x:c>
      <x:c r="I863" s="31" t="inlineStr">
        <x:is>
          <x:t xml:space="preserve">ОБ-022</x:t>
        </x:is>
      </x:c>
      <x:c r="J863" s="31" t="inlineStr">
        <x:is>
          <x:t xml:space="preserve">СОТР-096</x:t>
        </x:is>
      </x:c>
      <x:c r="K863" s="31" t="n">
        <x:v>5.6</x:v>
      </x:c>
      <x:c r="L863" s="31" t="n">
        <x:v>6.4</x:v>
      </x:c>
      <x:c r="M863" s="31" t="n">
        <x:v>46114</x:v>
      </x:c>
      <x:c r="N863" s="31" t="n">
        <x:v>46115</x:v>
      </x:c>
      <x:c r="O863" s="31" t="n">
        <x:v>46114</x:v>
      </x:c>
      <x:c r="P863" s="31" t="n">
        <x:v>46116</x:v>
      </x:c>
      <x:c r="Q863" s="31" t="inlineStr">
        <x:is>
          <x:t xml:space="preserve">Завершено</x:t>
        </x:is>
      </x:c>
      <x:c r="R863" s="31" t="inlineStr">
        <x:is>
          <x:t xml:space="preserve">Оборудование</x:t>
        </x:is>
      </x:c>
      <x:c r="S863" s="31" t="inlineStr">
        <x:is>
          <x:t xml:space="preserve">Нет</x:t>
        </x:is>
      </x:c>
    </x:row>
    <x:row r="864">
      <x:c r="A864" s="31" t="inlineStr">
        <x:is>
          <x:t xml:space="preserve">ОП-000863</x:t>
        </x:is>
      </x:c>
      <x:c r="B864" s="31" t="inlineStr">
        <x:is>
          <x:t xml:space="preserve">ПЗ-00103</x:t>
        </x:is>
      </x:c>
      <x:c r="C864" s="31" t="inlineStr">
        <x:is>
          <x:t xml:space="preserve">ЗК-1052</x:t>
        </x:is>
      </x:c>
      <x:c r="D864" s="31" t="inlineStr">
        <x:is>
          <x:t xml:space="preserve">ПОЗ-0052-1</x:t>
        </x:is>
      </x:c>
      <x:c r="E864" s="31" t="inlineStr">
        <x:is>
          <x:t xml:space="preserve">ИЗД-003</x:t>
        </x:is>
      </x:c>
      <x:c r="F864" s="31" t="n">
        <x:v>90</x:v>
      </x:c>
      <x:c r="G864" s="31" t="inlineStr">
        <x:is>
          <x:t xml:space="preserve">ОТК</x:t>
        </x:is>
      </x:c>
      <x:c r="H864" s="31" t="inlineStr">
        <x:is>
          <x:t xml:space="preserve">ОТК</x:t>
        </x:is>
      </x:c>
      <x:c r="I864" s="31" t="inlineStr">
        <x:is>
          <x:t xml:space="preserve">ОБ-006</x:t>
        </x:is>
      </x:c>
      <x:c r="J864" s="31" t="inlineStr">
        <x:is>
          <x:t xml:space="preserve">СОТР-099</x:t>
        </x:is>
      </x:c>
      <x:c r="K864" s="31" t="n">
        <x:v>4</x:v>
      </x:c>
      <x:c r="L864" s="31" t="n">
        <x:v>4.2</x:v>
      </x:c>
      <x:c r="M864" s="31" t="n">
        <x:v>46115</x:v>
      </x:c>
      <x:c r="N864" s="31" t="n">
        <x:v>46116</x:v>
      </x:c>
      <x:c r="O864" s="31" t="n">
        <x:v>46115</x:v>
      </x:c>
      <x:c r="P864" s="31" t="n">
        <x:v>46117</x:v>
      </x:c>
      <x:c r="Q864" s="31" t="inlineStr">
        <x:is>
          <x:t xml:space="preserve">Завершено</x:t>
        </x:is>
      </x:c>
      <x:c r="R864" s="31" t="inlineStr">
        <x:is>
          <x:t xml:space="preserve">Нет</x:t>
        </x:is>
      </x:c>
      <x:c r="S864" s="31" t="inlineStr">
        <x:is>
          <x:t xml:space="preserve">Да</x:t>
        </x:is>
      </x:c>
    </x:row>
    <x:row r="865">
      <x:c r="A865" s="31" t="inlineStr">
        <x:is>
          <x:t xml:space="preserve">ОП-000864</x:t>
        </x:is>
      </x:c>
      <x:c r="B865" s="31" t="inlineStr">
        <x:is>
          <x:t xml:space="preserve">ПЗ-00103</x:t>
        </x:is>
      </x:c>
      <x:c r="C865" s="31" t="inlineStr">
        <x:is>
          <x:t xml:space="preserve">ЗК-1052</x:t>
        </x:is>
      </x:c>
      <x:c r="D865" s="31" t="inlineStr">
        <x:is>
          <x:t xml:space="preserve">ПОЗ-0052-1</x:t>
        </x:is>
      </x:c>
      <x:c r="E865" s="31" t="inlineStr">
        <x:is>
          <x:t xml:space="preserve">ИЗД-003</x:t>
        </x:is>
      </x:c>
      <x:c r="F865" s="31" t="n">
        <x:v>100</x:v>
      </x:c>
      <x:c r="G865" s="31" t="inlineStr">
        <x:is>
          <x:t xml:space="preserve">Упаковка</x:t>
        </x:is>
      </x:c>
      <x:c r="H865" s="31" t="inlineStr">
        <x:is>
          <x:t xml:space="preserve">Логистика</x:t>
        </x:is>
      </x:c>
      <x:c r="I865" s="31" t="n"/>
      <x:c r="J865" s="31" t="inlineStr">
        <x:is>
          <x:t xml:space="preserve">СОТР-103</x:t>
        </x:is>
      </x:c>
      <x:c r="K865" s="31" t="n">
        <x:v>3.8</x:v>
      </x:c>
      <x:c r="L865" s="31" t="n">
        <x:v>4.6</x:v>
      </x:c>
      <x:c r="M865" s="31" t="n">
        <x:v>46116</x:v>
      </x:c>
      <x:c r="N865" s="31" t="n">
        <x:v>46117</x:v>
      </x:c>
      <x:c r="O865" s="31" t="n">
        <x:v>46116</x:v>
      </x:c>
      <x:c r="P865" s="31" t="n">
        <x:v>46118</x:v>
      </x:c>
      <x:c r="Q865" s="31" t="inlineStr">
        <x:is>
          <x:t xml:space="preserve">Завершено</x:t>
        </x:is>
      </x:c>
      <x:c r="R865" s="31" t="inlineStr">
        <x:is>
          <x:t xml:space="preserve">Нет</x:t>
        </x:is>
      </x:c>
      <x:c r="S865" s="31" t="inlineStr">
        <x:is>
          <x:t xml:space="preserve">Нет</x:t>
        </x:is>
      </x:c>
    </x:row>
    <x:row r="866">
      <x:c r="A866" s="31" t="inlineStr">
        <x:is>
          <x:t xml:space="preserve">ОП-000865</x:t>
        </x:is>
      </x:c>
      <x:c r="B866" s="31" t="inlineStr">
        <x:is>
          <x:t xml:space="preserve">ПЗ-00104</x:t>
        </x:is>
      </x:c>
      <x:c r="C866" s="31" t="inlineStr">
        <x:is>
          <x:t xml:space="preserve">ЗК-1052</x:t>
        </x:is>
      </x:c>
      <x:c r="D866" s="31" t="inlineStr">
        <x:is>
          <x:t xml:space="preserve">ПОЗ-0052-2</x:t>
        </x:is>
      </x:c>
      <x:c r="E866" s="31" t="inlineStr">
        <x:is>
          <x:t xml:space="preserve">ИЗД-011</x:t>
        </x:is>
      </x:c>
      <x:c r="F866" s="31" t="n">
        <x:v>10</x:v>
      </x:c>
      <x:c r="G866" s="31" t="inlineStr">
        <x:is>
          <x:t xml:space="preserve">КД</x:t>
        </x:is>
      </x:c>
      <x:c r="H866" s="31" t="inlineStr">
        <x:is>
          <x:t xml:space="preserve">Инженерный отдел</x:t>
        </x:is>
      </x:c>
      <x:c r="I866" s="31" t="n"/>
      <x:c r="J866" s="31" t="inlineStr">
        <x:is>
          <x:t xml:space="preserve">СОТР-020</x:t>
        </x:is>
      </x:c>
      <x:c r="K866" s="31" t="n">
        <x:v>14</x:v>
      </x:c>
      <x:c r="L866" s="31" t="n">
        <x:v>18.1</x:v>
      </x:c>
      <x:c r="M866" s="31" t="n">
        <x:v>46095</x:v>
      </x:c>
      <x:c r="N866" s="31" t="n">
        <x:v>46097</x:v>
      </x:c>
      <x:c r="O866" s="31" t="n">
        <x:v>46095</x:v>
      </x:c>
      <x:c r="P866" s="31" t="n">
        <x:v>46099</x:v>
      </x:c>
      <x:c r="Q866" s="31" t="inlineStr">
        <x:is>
          <x:t xml:space="preserve">Завершено</x:t>
        </x:is>
      </x:c>
      <x:c r="R866" s="31" t="inlineStr">
        <x:is>
          <x:t xml:space="preserve">Нет</x:t>
        </x:is>
      </x:c>
      <x:c r="S866" s="31" t="inlineStr">
        <x:is>
          <x:t xml:space="preserve">Да</x:t>
        </x:is>
      </x:c>
    </x:row>
    <x:row r="867">
      <x:c r="A867" s="31" t="inlineStr">
        <x:is>
          <x:t xml:space="preserve">ОП-000866</x:t>
        </x:is>
      </x:c>
      <x:c r="B867" s="31" t="inlineStr">
        <x:is>
          <x:t xml:space="preserve">ПЗ-00104</x:t>
        </x:is>
      </x:c>
      <x:c r="C867" s="31" t="inlineStr">
        <x:is>
          <x:t xml:space="preserve">ЗК-1052</x:t>
        </x:is>
      </x:c>
      <x:c r="D867" s="31" t="inlineStr">
        <x:is>
          <x:t xml:space="preserve">ПОЗ-0052-2</x:t>
        </x:is>
      </x:c>
      <x:c r="E867" s="31" t="inlineStr">
        <x:is>
          <x:t xml:space="preserve">ИЗД-011</x:t>
        </x:is>
      </x:c>
      <x:c r="F867" s="31" t="n">
        <x:v>20</x:v>
      </x:c>
      <x:c r="G867" s="31" t="inlineStr">
        <x:is>
          <x:t xml:space="preserve">Комплектация</x:t>
        </x:is>
      </x:c>
      <x:c r="H867" s="31" t="inlineStr">
        <x:is>
          <x:t xml:space="preserve">Склад</x:t>
        </x:is>
      </x:c>
      <x:c r="I867" s="31" t="inlineStr">
        <x:is>
          <x:t xml:space="preserve">ОБ-025</x:t>
        </x:is>
      </x:c>
      <x:c r="J867" s="31" t="inlineStr">
        <x:is>
          <x:t xml:space="preserve">СОТР-036</x:t>
        </x:is>
      </x:c>
      <x:c r="K867" s="31" t="n">
        <x:v>8.800000000000001</x:v>
      </x:c>
      <x:c r="L867" s="31" t="n">
        <x:v>11.5</x:v>
      </x:c>
      <x:c r="M867" s="31" t="n">
        <x:v>46097</x:v>
      </x:c>
      <x:c r="N867" s="31" t="n">
        <x:v>46098</x:v>
      </x:c>
      <x:c r="O867" s="31" t="n">
        <x:v>46097</x:v>
      </x:c>
      <x:c r="P867" s="31" t="n">
        <x:v>46099</x:v>
      </x:c>
      <x:c r="Q867" s="31" t="inlineStr">
        <x:is>
          <x:t xml:space="preserve">Завершено</x:t>
        </x:is>
      </x:c>
      <x:c r="R867" s="31" t="inlineStr">
        <x:is>
          <x:t xml:space="preserve">Нет</x:t>
        </x:is>
      </x:c>
      <x:c r="S867" s="31" t="inlineStr">
        <x:is>
          <x:t xml:space="preserve">Нет</x:t>
        </x:is>
      </x:c>
    </x:row>
    <x:row r="868">
      <x:c r="A868" s="31" t="inlineStr">
        <x:is>
          <x:t xml:space="preserve">ОП-000867</x:t>
        </x:is>
      </x:c>
      <x:c r="B868" s="31" t="inlineStr">
        <x:is>
          <x:t xml:space="preserve">ПЗ-00104</x:t>
        </x:is>
      </x:c>
      <x:c r="C868" s="31" t="inlineStr">
        <x:is>
          <x:t xml:space="preserve">ЗК-1052</x:t>
        </x:is>
      </x:c>
      <x:c r="D868" s="31" t="inlineStr">
        <x:is>
          <x:t xml:space="preserve">ПОЗ-0052-2</x:t>
        </x:is>
      </x:c>
      <x:c r="E868" s="31" t="inlineStr">
        <x:is>
          <x:t xml:space="preserve">ИЗД-011</x:t>
        </x:is>
      </x:c>
      <x:c r="F868" s="31" t="n">
        <x:v>30</x:v>
      </x:c>
      <x:c r="G868" s="31" t="inlineStr">
        <x:is>
          <x:t xml:space="preserve">Сборка шкафа</x:t>
        </x:is>
      </x:c>
      <x:c r="H868" s="31" t="inlineStr">
        <x:is>
          <x:t xml:space="preserve">Сборка</x:t>
        </x:is>
      </x:c>
      <x:c r="I868" s="31" t="inlineStr">
        <x:is>
          <x:t xml:space="preserve">ОБ-012</x:t>
        </x:is>
      </x:c>
      <x:c r="J868" s="31" t="inlineStr">
        <x:is>
          <x:t xml:space="preserve">СОТР-079</x:t>
        </x:is>
      </x:c>
      <x:c r="K868" s="31" t="n">
        <x:v>22</x:v>
      </x:c>
      <x:c r="L868" s="31" t="n">
        <x:v>23.6</x:v>
      </x:c>
      <x:c r="M868" s="31" t="n">
        <x:v>46098</x:v>
      </x:c>
      <x:c r="N868" s="31" t="n">
        <x:v>46100</x:v>
      </x:c>
      <x:c r="O868" s="31" t="n">
        <x:v>46098</x:v>
      </x:c>
      <x:c r="P868" s="31" t="n">
        <x:v>46102</x:v>
      </x:c>
      <x:c r="Q868" s="31" t="inlineStr">
        <x:is>
          <x:t xml:space="preserve">Завершено</x:t>
        </x:is>
      </x:c>
      <x:c r="R868" s="31" t="inlineStr">
        <x:is>
          <x:t xml:space="preserve">Материал</x:t>
        </x:is>
      </x:c>
      <x:c r="S868" s="31" t="inlineStr">
        <x:is>
          <x:t xml:space="preserve">Нет</x:t>
        </x:is>
      </x:c>
    </x:row>
    <x:row r="869">
      <x:c r="A869" s="31" t="inlineStr">
        <x:is>
          <x:t xml:space="preserve">ОП-000868</x:t>
        </x:is>
      </x:c>
      <x:c r="B869" s="31" t="inlineStr">
        <x:is>
          <x:t xml:space="preserve">ПЗ-00104</x:t>
        </x:is>
      </x:c>
      <x:c r="C869" s="31" t="inlineStr">
        <x:is>
          <x:t xml:space="preserve">ЗК-1052</x:t>
        </x:is>
      </x:c>
      <x:c r="D869" s="31" t="inlineStr">
        <x:is>
          <x:t xml:space="preserve">ПОЗ-0052-2</x:t>
        </x:is>
      </x:c>
      <x:c r="E869" s="31" t="inlineStr">
        <x:is>
          <x:t xml:space="preserve">ИЗД-011</x:t>
        </x:is>
      </x:c>
      <x:c r="F869" s="31" t="n">
        <x:v>40</x:v>
      </x:c>
      <x:c r="G869" s="31" t="inlineStr">
        <x:is>
          <x:t xml:space="preserve">Маркировка</x:t>
        </x:is>
      </x:c>
      <x:c r="H869" s="31" t="inlineStr">
        <x:is>
          <x:t xml:space="preserve">Сборка</x:t>
        </x:is>
      </x:c>
      <x:c r="I869" s="31" t="inlineStr">
        <x:is>
          <x:t xml:space="preserve">ОБ-005</x:t>
        </x:is>
      </x:c>
      <x:c r="J869" s="31" t="inlineStr">
        <x:is>
          <x:t xml:space="preserve">СОТР-086</x:t>
        </x:is>
      </x:c>
      <x:c r="K869" s="31" t="n">
        <x:v>5.4</x:v>
      </x:c>
      <x:c r="L869" s="31" t="n">
        <x:v>4.6</x:v>
      </x:c>
      <x:c r="M869" s="31" t="n">
        <x:v>46100</x:v>
      </x:c>
      <x:c r="N869" s="31" t="n">
        <x:v>46101</x:v>
      </x:c>
      <x:c r="O869" s="31" t="n">
        <x:v>46100</x:v>
      </x:c>
      <x:c r="P869" s="31" t="n">
        <x:v>46100</x:v>
      </x:c>
      <x:c r="Q869" s="31" t="inlineStr">
        <x:is>
          <x:t xml:space="preserve">Завершено</x:t>
        </x:is>
      </x:c>
      <x:c r="R869" s="31" t="inlineStr">
        <x:is>
          <x:t xml:space="preserve">Нет</x:t>
        </x:is>
      </x:c>
      <x:c r="S869" s="31" t="inlineStr">
        <x:is>
          <x:t xml:space="preserve">Нет</x:t>
        </x:is>
      </x:c>
    </x:row>
    <x:row r="870">
      <x:c r="A870" s="31" t="inlineStr">
        <x:is>
          <x:t xml:space="preserve">ОП-000869</x:t>
        </x:is>
      </x:c>
      <x:c r="B870" s="31" t="inlineStr">
        <x:is>
          <x:t xml:space="preserve">ПЗ-00104</x:t>
        </x:is>
      </x:c>
      <x:c r="C870" s="31" t="inlineStr">
        <x:is>
          <x:t xml:space="preserve">ЗК-1052</x:t>
        </x:is>
      </x:c>
      <x:c r="D870" s="31" t="inlineStr">
        <x:is>
          <x:t xml:space="preserve">ПОЗ-0052-2</x:t>
        </x:is>
      </x:c>
      <x:c r="E870" s="31" t="inlineStr">
        <x:is>
          <x:t xml:space="preserve">ИЗД-011</x:t>
        </x:is>
      </x:c>
      <x:c r="F870" s="31" t="n">
        <x:v>50</x:v>
      </x:c>
      <x:c r="G870" s="31" t="inlineStr">
        <x:is>
          <x:t xml:space="preserve">Электромонтаж</x:t>
        </x:is>
      </x:c>
      <x:c r="H870" s="31" t="inlineStr">
        <x:is>
          <x:t xml:space="preserve">Сборка</x:t>
        </x:is>
      </x:c>
      <x:c r="I870" s="31" t="inlineStr">
        <x:is>
          <x:t xml:space="preserve">ОБ-017</x:t>
        </x:is>
      </x:c>
      <x:c r="J870" s="31" t="inlineStr">
        <x:is>
          <x:t xml:space="preserve">СОТР-079</x:t>
        </x:is>
      </x:c>
      <x:c r="K870" s="31" t="n">
        <x:v>4.6</x:v>
      </x:c>
      <x:c r="L870" s="31" t="n">
        <x:v>5.6</x:v>
      </x:c>
      <x:c r="M870" s="31" t="n">
        <x:v>46101</x:v>
      </x:c>
      <x:c r="N870" s="31" t="n">
        <x:v>46102</x:v>
      </x:c>
      <x:c r="O870" s="31" t="n">
        <x:v>46101</x:v>
      </x:c>
      <x:c r="P870" s="31" t="n">
        <x:v>46103</x:v>
      </x:c>
      <x:c r="Q870" s="31" t="inlineStr">
        <x:is>
          <x:t xml:space="preserve">Завершено</x:t>
        </x:is>
      </x:c>
      <x:c r="R870" s="31" t="inlineStr">
        <x:is>
          <x:t xml:space="preserve">Материал</x:t>
        </x:is>
      </x:c>
      <x:c r="S870" s="31" t="inlineStr">
        <x:is>
          <x:t xml:space="preserve">Нет</x:t>
        </x:is>
      </x:c>
    </x:row>
    <x:row r="871">
      <x:c r="A871" s="31" t="inlineStr">
        <x:is>
          <x:t xml:space="preserve">ОП-000870</x:t>
        </x:is>
      </x:c>
      <x:c r="B871" s="31" t="inlineStr">
        <x:is>
          <x:t xml:space="preserve">ПЗ-00104</x:t>
        </x:is>
      </x:c>
      <x:c r="C871" s="31" t="inlineStr">
        <x:is>
          <x:t xml:space="preserve">ЗК-1052</x:t>
        </x:is>
      </x:c>
      <x:c r="D871" s="31" t="inlineStr">
        <x:is>
          <x:t xml:space="preserve">ПОЗ-0052-2</x:t>
        </x:is>
      </x:c>
      <x:c r="E871" s="31" t="inlineStr">
        <x:is>
          <x:t xml:space="preserve">ИЗД-011</x:t>
        </x:is>
      </x:c>
      <x:c r="F871" s="31" t="n">
        <x:v>60</x:v>
      </x:c>
      <x:c r="G871" s="31" t="inlineStr">
        <x:is>
          <x:t xml:space="preserve">Программирование ПЛК</x:t>
        </x:is>
      </x:c>
      <x:c r="H871" s="31" t="inlineStr">
        <x:is>
          <x:t xml:space="preserve">Инженерный отдел</x:t>
        </x:is>
      </x:c>
      <x:c r="I871" s="31" t="n"/>
      <x:c r="J871" s="31" t="inlineStr">
        <x:is>
          <x:t xml:space="preserve">СОТР-012</x:t>
        </x:is>
      </x:c>
      <x:c r="K871" s="31" t="n">
        <x:v>2.6</x:v>
      </x:c>
      <x:c r="L871" s="31" t="n">
        <x:v>3.3</x:v>
      </x:c>
      <x:c r="M871" s="31" t="n">
        <x:v>46102</x:v>
      </x:c>
      <x:c r="N871" s="31" t="n">
        <x:v>46103</x:v>
      </x:c>
      <x:c r="O871" s="31" t="n">
        <x:v>46102</x:v>
      </x:c>
      <x:c r="P871" s="31" t="n">
        <x:v>46105</x:v>
      </x:c>
      <x:c r="Q871" s="31" t="inlineStr">
        <x:is>
          <x:t xml:space="preserve">Завершено</x:t>
        </x:is>
      </x:c>
      <x:c r="R871" s="31" t="inlineStr">
        <x:is>
          <x:t xml:space="preserve">Нет</x:t>
        </x:is>
      </x:c>
      <x:c r="S871" s="31" t="inlineStr">
        <x:is>
          <x:t xml:space="preserve">Да</x:t>
        </x:is>
      </x:c>
    </x:row>
    <x:row r="872">
      <x:c r="A872" s="31" t="inlineStr">
        <x:is>
          <x:t xml:space="preserve">ОП-000871</x:t>
        </x:is>
      </x:c>
      <x:c r="B872" s="31" t="inlineStr">
        <x:is>
          <x:t xml:space="preserve">ПЗ-00104</x:t>
        </x:is>
      </x:c>
      <x:c r="C872" s="31" t="inlineStr">
        <x:is>
          <x:t xml:space="preserve">ЗК-1052</x:t>
        </x:is>
      </x:c>
      <x:c r="D872" s="31" t="inlineStr">
        <x:is>
          <x:t xml:space="preserve">ПОЗ-0052-2</x:t>
        </x:is>
      </x:c>
      <x:c r="E872" s="31" t="inlineStr">
        <x:is>
          <x:t xml:space="preserve">ИЗД-011</x:t>
        </x:is>
      </x:c>
      <x:c r="F872" s="31" t="n">
        <x:v>70</x:v>
      </x:c>
      <x:c r="G872" s="31" t="inlineStr">
        <x:is>
          <x:t xml:space="preserve">Приемочные испытания</x:t>
        </x:is>
      </x:c>
      <x:c r="H872" s="31" t="inlineStr">
        <x:is>
          <x:t xml:space="preserve">ОТК</x:t>
        </x:is>
      </x:c>
      <x:c r="I872" s="31" t="inlineStr">
        <x:is>
          <x:t xml:space="preserve">ОБ-015</x:t>
        </x:is>
      </x:c>
      <x:c r="J872" s="31" t="inlineStr">
        <x:is>
          <x:t xml:space="preserve">СОТР-097</x:t>
        </x:is>
      </x:c>
      <x:c r="K872" s="31" t="n">
        <x:v>23.2</x:v>
      </x:c>
      <x:c r="L872" s="31" t="n">
        <x:v>29.9</x:v>
      </x:c>
      <x:c r="M872" s="31" t="n">
        <x:v>46103</x:v>
      </x:c>
      <x:c r="N872" s="31" t="n">
        <x:v>46105</x:v>
      </x:c>
      <x:c r="O872" s="31" t="n">
        <x:v>46103</x:v>
      </x:c>
      <x:c r="P872" s="31" t="n">
        <x:v>46104</x:v>
      </x:c>
      <x:c r="Q872" s="31" t="inlineStr">
        <x:is>
          <x:t xml:space="preserve">Завершено</x:t>
        </x:is>
      </x:c>
      <x:c r="R872" s="31" t="inlineStr">
        <x:is>
          <x:t xml:space="preserve">Нет</x:t>
        </x:is>
      </x:c>
      <x:c r="S872" s="31" t="inlineStr">
        <x:is>
          <x:t xml:space="preserve">Нет</x:t>
        </x:is>
      </x:c>
    </x:row>
    <x:row r="873">
      <x:c r="A873" s="31" t="inlineStr">
        <x:is>
          <x:t xml:space="preserve">ОП-000872</x:t>
        </x:is>
      </x:c>
      <x:c r="B873" s="31" t="inlineStr">
        <x:is>
          <x:t xml:space="preserve">ПЗ-00104</x:t>
        </x:is>
      </x:c>
      <x:c r="C873" s="31" t="inlineStr">
        <x:is>
          <x:t xml:space="preserve">ЗК-1052</x:t>
        </x:is>
      </x:c>
      <x:c r="D873" s="31" t="inlineStr">
        <x:is>
          <x:t xml:space="preserve">ПОЗ-0052-2</x:t>
        </x:is>
      </x:c>
      <x:c r="E873" s="31" t="inlineStr">
        <x:is>
          <x:t xml:space="preserve">ИЗД-011</x:t>
        </x:is>
      </x:c>
      <x:c r="F873" s="31" t="n">
        <x:v>80</x:v>
      </x:c>
      <x:c r="G873" s="31" t="inlineStr">
        <x:is>
          <x:t xml:space="preserve">ОТК</x:t>
        </x:is>
      </x:c>
      <x:c r="H873" s="31" t="inlineStr">
        <x:is>
          <x:t xml:space="preserve">ОТК</x:t>
        </x:is>
      </x:c>
      <x:c r="I873" s="31" t="inlineStr">
        <x:is>
          <x:t xml:space="preserve">ОБ-015</x:t>
        </x:is>
      </x:c>
      <x:c r="J873" s="31" t="inlineStr">
        <x:is>
          <x:t xml:space="preserve">СОТР-093</x:t>
        </x:is>
      </x:c>
      <x:c r="K873" s="31" t="n">
        <x:v>21.6</x:v>
      </x:c>
      <x:c r="L873" s="31" t="n">
        <x:v>22.6</x:v>
      </x:c>
      <x:c r="M873" s="31" t="n">
        <x:v>46105</x:v>
      </x:c>
      <x:c r="N873" s="31" t="n">
        <x:v>46107</x:v>
      </x:c>
      <x:c r="O873" s="31" t="n">
        <x:v>46105</x:v>
      </x:c>
      <x:c r="P873" s="31" t="n">
        <x:v>46106</x:v>
      </x:c>
      <x:c r="Q873" s="31" t="inlineStr">
        <x:is>
          <x:t xml:space="preserve">Завершено</x:t>
        </x:is>
      </x:c>
      <x:c r="R873" s="31" t="inlineStr">
        <x:is>
          <x:t xml:space="preserve">Нет</x:t>
        </x:is>
      </x:c>
      <x:c r="S873" s="31" t="inlineStr">
        <x:is>
          <x:t xml:space="preserve">Нет</x:t>
        </x:is>
      </x:c>
    </x:row>
    <x:row r="874">
      <x:c r="A874" s="31" t="inlineStr">
        <x:is>
          <x:t xml:space="preserve">ОП-000873</x:t>
        </x:is>
      </x:c>
      <x:c r="B874" s="31" t="inlineStr">
        <x:is>
          <x:t xml:space="preserve">ПЗ-00104</x:t>
        </x:is>
      </x:c>
      <x:c r="C874" s="31" t="inlineStr">
        <x:is>
          <x:t xml:space="preserve">ЗК-1052</x:t>
        </x:is>
      </x:c>
      <x:c r="D874" s="31" t="inlineStr">
        <x:is>
          <x:t xml:space="preserve">ПОЗ-0052-2</x:t>
        </x:is>
      </x:c>
      <x:c r="E874" s="31" t="inlineStr">
        <x:is>
          <x:t xml:space="preserve">ИЗД-011</x:t>
        </x:is>
      </x:c>
      <x:c r="F874" s="31" t="n">
        <x:v>90</x:v>
      </x:c>
      <x:c r="G874" s="31" t="inlineStr">
        <x:is>
          <x:t xml:space="preserve">Упаковка</x:t>
        </x:is>
      </x:c>
      <x:c r="H874" s="31" t="inlineStr">
        <x:is>
          <x:t xml:space="preserve">Логистика</x:t>
        </x:is>
      </x:c>
      <x:c r="I874" s="31" t="n"/>
      <x:c r="J874" s="31" t="inlineStr">
        <x:is>
          <x:t xml:space="preserve">СОТР-101</x:t>
        </x:is>
      </x:c>
      <x:c r="K874" s="31" t="n">
        <x:v>4.8</x:v>
      </x:c>
      <x:c r="L874" s="31" t="n">
        <x:v>5.4</x:v>
      </x:c>
      <x:c r="M874" s="31" t="n">
        <x:v>46107</x:v>
      </x:c>
      <x:c r="N874" s="31" t="n">
        <x:v>46108</x:v>
      </x:c>
      <x:c r="O874" s="31" t="n">
        <x:v>46107</x:v>
      </x:c>
      <x:c r="P874" s="31" t="n">
        <x:v>46110</x:v>
      </x:c>
      <x:c r="Q874" s="31" t="inlineStr">
        <x:is>
          <x:t xml:space="preserve">Завершено</x:t>
        </x:is>
      </x:c>
      <x:c r="R874" s="31" t="inlineStr">
        <x:is>
          <x:t xml:space="preserve">Нет</x:t>
        </x:is>
      </x:c>
      <x:c r="S874" s="31" t="inlineStr">
        <x:is>
          <x:t xml:space="preserve">Нет</x:t>
        </x:is>
      </x:c>
    </x:row>
    <x:row r="875">
      <x:c r="A875" s="31" t="inlineStr">
        <x:is>
          <x:t xml:space="preserve">ОП-000874</x:t>
        </x:is>
      </x:c>
      <x:c r="B875" s="31" t="inlineStr">
        <x:is>
          <x:t xml:space="preserve">ПЗ-00105</x:t>
        </x:is>
      </x:c>
      <x:c r="C875" s="31" t="inlineStr">
        <x:is>
          <x:t xml:space="preserve">ЗК-1052</x:t>
        </x:is>
      </x:c>
      <x:c r="D875" s="31" t="inlineStr">
        <x:is>
          <x:t xml:space="preserve">ПОЗ-0052-3</x:t>
        </x:is>
      </x:c>
      <x:c r="E875" s="31" t="inlineStr">
        <x:is>
          <x:t xml:space="preserve">ИЗД-019</x:t>
        </x:is>
      </x:c>
      <x:c r="F875" s="31" t="n">
        <x:v>10</x:v>
      </x:c>
      <x:c r="G875" s="31" t="inlineStr">
        <x:is>
          <x:t xml:space="preserve">КД</x:t>
        </x:is>
      </x:c>
      <x:c r="H875" s="31" t="inlineStr">
        <x:is>
          <x:t xml:space="preserve">Инженерный отдел</x:t>
        </x:is>
      </x:c>
      <x:c r="I875" s="31" t="n"/>
      <x:c r="J875" s="31" t="inlineStr">
        <x:is>
          <x:t xml:space="preserve">СОТР-011</x:t>
        </x:is>
      </x:c>
      <x:c r="K875" s="31" t="n">
        <x:v>8.4</x:v>
      </x:c>
      <x:c r="L875" s="31" t="n">
        <x:v>9.4</x:v>
      </x:c>
      <x:c r="M875" s="31" t="n">
        <x:v>46094</x:v>
      </x:c>
      <x:c r="N875" s="31" t="n">
        <x:v>46095</x:v>
      </x:c>
      <x:c r="O875" s="31" t="n">
        <x:v>46094</x:v>
      </x:c>
      <x:c r="P875" s="31" t="n">
        <x:v>46094</x:v>
      </x:c>
      <x:c r="Q875" s="31" t="inlineStr">
        <x:is>
          <x:t xml:space="preserve">Завершено</x:t>
        </x:is>
      </x:c>
      <x:c r="R875" s="31" t="inlineStr">
        <x:is>
          <x:t xml:space="preserve">Нет</x:t>
        </x:is>
      </x:c>
      <x:c r="S875" s="31" t="inlineStr">
        <x:is>
          <x:t xml:space="preserve">Нет</x:t>
        </x:is>
      </x:c>
    </x:row>
    <x:row r="876">
      <x:c r="A876" s="31" t="inlineStr">
        <x:is>
          <x:t xml:space="preserve">ОП-000875</x:t>
        </x:is>
      </x:c>
      <x:c r="B876" s="31" t="inlineStr">
        <x:is>
          <x:t xml:space="preserve">ПЗ-00105</x:t>
        </x:is>
      </x:c>
      <x:c r="C876" s="31" t="inlineStr">
        <x:is>
          <x:t xml:space="preserve">ЗК-1052</x:t>
        </x:is>
      </x:c>
      <x:c r="D876" s="31" t="inlineStr">
        <x:is>
          <x:t xml:space="preserve">ПОЗ-0052-3</x:t>
        </x:is>
      </x:c>
      <x:c r="E876" s="31" t="inlineStr">
        <x:is>
          <x:t xml:space="preserve">ИЗД-019</x:t>
        </x:is>
      </x:c>
      <x:c r="F876" s="31" t="n">
        <x:v>20</x:v>
      </x:c>
      <x:c r="G876" s="31" t="inlineStr">
        <x:is>
          <x:t xml:space="preserve">Резерв материалов</x:t>
        </x:is>
      </x:c>
      <x:c r="H876" s="31" t="inlineStr">
        <x:is>
          <x:t xml:space="preserve">Склад</x:t>
        </x:is>
      </x:c>
      <x:c r="I876" s="31" t="inlineStr">
        <x:is>
          <x:t xml:space="preserve">ОБ-009</x:t>
        </x:is>
      </x:c>
      <x:c r="J876" s="31" t="inlineStr">
        <x:is>
          <x:t xml:space="preserve">СОТР-035</x:t>
        </x:is>
      </x:c>
      <x:c r="K876" s="31" t="n">
        <x:v>5</x:v>
      </x:c>
      <x:c r="L876" s="31" t="n">
        <x:v>6.3</x:v>
      </x:c>
      <x:c r="M876" s="31" t="n">
        <x:v>46095</x:v>
      </x:c>
      <x:c r="N876" s="31" t="n">
        <x:v>46096</x:v>
      </x:c>
      <x:c r="O876" s="31" t="n">
        <x:v>46095</x:v>
      </x:c>
      <x:c r="P876" s="31" t="n">
        <x:v>46096</x:v>
      </x:c>
      <x:c r="Q876" s="31" t="inlineStr">
        <x:is>
          <x:t xml:space="preserve">Завершено</x:t>
        </x:is>
      </x:c>
      <x:c r="R876" s="31" t="inlineStr">
        <x:is>
          <x:t xml:space="preserve">КД</x:t>
        </x:is>
      </x:c>
      <x:c r="S876" s="31" t="inlineStr">
        <x:is>
          <x:t xml:space="preserve">Нет</x:t>
        </x:is>
      </x:c>
    </x:row>
    <x:row r="877">
      <x:c r="A877" s="31" t="inlineStr">
        <x:is>
          <x:t xml:space="preserve">ОП-000876</x:t>
        </x:is>
      </x:c>
      <x:c r="B877" s="31" t="inlineStr">
        <x:is>
          <x:t xml:space="preserve">ПЗ-00105</x:t>
        </x:is>
      </x:c>
      <x:c r="C877" s="31" t="inlineStr">
        <x:is>
          <x:t xml:space="preserve">ЗК-1052</x:t>
        </x:is>
      </x:c>
      <x:c r="D877" s="31" t="inlineStr">
        <x:is>
          <x:t xml:space="preserve">ПОЗ-0052-3</x:t>
        </x:is>
      </x:c>
      <x:c r="E877" s="31" t="inlineStr">
        <x:is>
          <x:t xml:space="preserve">ИЗД-019</x:t>
        </x:is>
      </x:c>
      <x:c r="F877" s="31" t="n">
        <x:v>30</x:v>
      </x:c>
      <x:c r="G877" s="31" t="inlineStr">
        <x:is>
          <x:t xml:space="preserve">Резка металла</x:t>
        </x:is>
      </x:c>
      <x:c r="H877" s="31" t="inlineStr">
        <x:is>
          <x:t xml:space="preserve">Сварка</x:t>
        </x:is>
      </x:c>
      <x:c r="I877" s="31" t="inlineStr">
        <x:is>
          <x:t xml:space="preserve">ОБ-004</x:t>
        </x:is>
      </x:c>
      <x:c r="J877" s="31" t="inlineStr">
        <x:is>
          <x:t xml:space="preserve">СОТР-067</x:t>
        </x:is>
      </x:c>
      <x:c r="K877" s="31" t="n">
        <x:v>2.9</x:v>
      </x:c>
      <x:c r="L877" s="31" t="n">
        <x:v>2.9</x:v>
      </x:c>
      <x:c r="M877" s="31" t="n">
        <x:v>46096</x:v>
      </x:c>
      <x:c r="N877" s="31" t="n">
        <x:v>46097</x:v>
      </x:c>
      <x:c r="O877" s="31" t="n">
        <x:v>46096</x:v>
      </x:c>
      <x:c r="P877" s="31" t="n">
        <x:v>46098</x:v>
      </x:c>
      <x:c r="Q877" s="31" t="inlineStr">
        <x:is>
          <x:t xml:space="preserve">Завершено</x:t>
        </x:is>
      </x:c>
      <x:c r="R877" s="31" t="inlineStr">
        <x:is>
          <x:t xml:space="preserve">Нет</x:t>
        </x:is>
      </x:c>
      <x:c r="S877" s="31" t="inlineStr">
        <x:is>
          <x:t xml:space="preserve">Нет</x:t>
        </x:is>
      </x:c>
    </x:row>
    <x:row r="878">
      <x:c r="A878" s="31" t="inlineStr">
        <x:is>
          <x:t xml:space="preserve">ОП-000877</x:t>
        </x:is>
      </x:c>
      <x:c r="B878" s="31" t="inlineStr">
        <x:is>
          <x:t xml:space="preserve">ПЗ-00105</x:t>
        </x:is>
      </x:c>
      <x:c r="C878" s="31" t="inlineStr">
        <x:is>
          <x:t xml:space="preserve">ЗК-1052</x:t>
        </x:is>
      </x:c>
      <x:c r="D878" s="31" t="inlineStr">
        <x:is>
          <x:t xml:space="preserve">ПОЗ-0052-3</x:t>
        </x:is>
      </x:c>
      <x:c r="E878" s="31" t="inlineStr">
        <x:is>
          <x:t xml:space="preserve">ИЗД-019</x:t>
        </x:is>
      </x:c>
      <x:c r="F878" s="31" t="n">
        <x:v>40</x:v>
      </x:c>
      <x:c r="G878" s="31" t="inlineStr">
        <x:is>
          <x:t xml:space="preserve">Сварка рамы</x:t>
        </x:is>
      </x:c>
      <x:c r="H878" s="31" t="inlineStr">
        <x:is>
          <x:t xml:space="preserve">Сварка</x:t>
        </x:is>
      </x:c>
      <x:c r="I878" s="31" t="inlineStr">
        <x:is>
          <x:t xml:space="preserve">ОБ-003</x:t>
        </x:is>
      </x:c>
      <x:c r="J878" s="31" t="inlineStr">
        <x:is>
          <x:t xml:space="preserve">СОТР-066</x:t>
        </x:is>
      </x:c>
      <x:c r="K878" s="31" t="n">
        <x:v>3.2</x:v>
      </x:c>
      <x:c r="L878" s="31" t="n">
        <x:v>3.8</x:v>
      </x:c>
      <x:c r="M878" s="31" t="n">
        <x:v>46097</x:v>
      </x:c>
      <x:c r="N878" s="31" t="n">
        <x:v>46098</x:v>
      </x:c>
      <x:c r="O878" s="31" t="n">
        <x:v>46097</x:v>
      </x:c>
      <x:c r="P878" s="31" t="n">
        <x:v>46097</x:v>
      </x:c>
      <x:c r="Q878" s="31" t="inlineStr">
        <x:is>
          <x:t xml:space="preserve">Завершено</x:t>
        </x:is>
      </x:c>
      <x:c r="R878" s="31" t="inlineStr">
        <x:is>
          <x:t xml:space="preserve">Нет</x:t>
        </x:is>
      </x:c>
      <x:c r="S878" s="31" t="inlineStr">
        <x:is>
          <x:t xml:space="preserve">Нет</x:t>
        </x:is>
      </x:c>
    </x:row>
    <x:row r="879">
      <x:c r="A879" s="31" t="inlineStr">
        <x:is>
          <x:t xml:space="preserve">ОП-000878</x:t>
        </x:is>
      </x:c>
      <x:c r="B879" s="31" t="inlineStr">
        <x:is>
          <x:t xml:space="preserve">ПЗ-00105</x:t>
        </x:is>
      </x:c>
      <x:c r="C879" s="31" t="inlineStr">
        <x:is>
          <x:t xml:space="preserve">ЗК-1052</x:t>
        </x:is>
      </x:c>
      <x:c r="D879" s="31" t="inlineStr">
        <x:is>
          <x:t xml:space="preserve">ПОЗ-0052-3</x:t>
        </x:is>
      </x:c>
      <x:c r="E879" s="31" t="inlineStr">
        <x:is>
          <x:t xml:space="preserve">ИЗД-019</x:t>
        </x:is>
      </x:c>
      <x:c r="F879" s="31" t="n">
        <x:v>50</x:v>
      </x:c>
      <x:c r="G879" s="31" t="inlineStr">
        <x:is>
          <x:t xml:space="preserve">Механообработка</x:t>
        </x:is>
      </x:c>
      <x:c r="H879" s="31" t="inlineStr">
        <x:is>
          <x:t xml:space="preserve">Механообработка</x:t>
        </x:is>
      </x:c>
      <x:c r="I879" s="31" t="inlineStr">
        <x:is>
          <x:t xml:space="preserve">ОБ-031</x:t>
        </x:is>
      </x:c>
      <x:c r="J879" s="31" t="inlineStr">
        <x:is>
          <x:t xml:space="preserve">СОТР-042</x:t>
        </x:is>
      </x:c>
      <x:c r="K879" s="31" t="n">
        <x:v>3.7</x:v>
      </x:c>
      <x:c r="L879" s="31" t="n">
        <x:v>3</x:v>
      </x:c>
      <x:c r="M879" s="31" t="n">
        <x:v>46098</x:v>
      </x:c>
      <x:c r="N879" s="31" t="n">
        <x:v>46099</x:v>
      </x:c>
      <x:c r="O879" s="31" t="n">
        <x:v>46098</x:v>
      </x:c>
      <x:c r="P879" s="31" t="n">
        <x:v>46098</x:v>
      </x:c>
      <x:c r="Q879" s="31" t="inlineStr">
        <x:is>
          <x:t xml:space="preserve">Завершено</x:t>
        </x:is>
      </x:c>
      <x:c r="R879" s="31" t="inlineStr">
        <x:is>
          <x:t xml:space="preserve">Нет</x:t>
        </x:is>
      </x:c>
      <x:c r="S879" s="31" t="inlineStr">
        <x:is>
          <x:t xml:space="preserve">Да</x:t>
        </x:is>
      </x:c>
    </x:row>
    <x:row r="880">
      <x:c r="A880" s="31" t="inlineStr">
        <x:is>
          <x:t xml:space="preserve">ОП-000879</x:t>
        </x:is>
      </x:c>
      <x:c r="B880" s="31" t="inlineStr">
        <x:is>
          <x:t xml:space="preserve">ПЗ-00105</x:t>
        </x:is>
      </x:c>
      <x:c r="C880" s="31" t="inlineStr">
        <x:is>
          <x:t xml:space="preserve">ЗК-1052</x:t>
        </x:is>
      </x:c>
      <x:c r="D880" s="31" t="inlineStr">
        <x:is>
          <x:t xml:space="preserve">ПОЗ-0052-3</x:t>
        </x:is>
      </x:c>
      <x:c r="E880" s="31" t="inlineStr">
        <x:is>
          <x:t xml:space="preserve">ИЗД-019</x:t>
        </x:is>
      </x:c>
      <x:c r="F880" s="31" t="n">
        <x:v>60</x:v>
      </x:c>
      <x:c r="G880" s="31" t="inlineStr">
        <x:is>
          <x:t xml:space="preserve">Сборка</x:t>
        </x:is>
      </x:c>
      <x:c r="H880" s="31" t="inlineStr">
        <x:is>
          <x:t xml:space="preserve">Сборка</x:t>
        </x:is>
      </x:c>
      <x:c r="I880" s="31" t="inlineStr">
        <x:is>
          <x:t xml:space="preserve">ОБ-017</x:t>
        </x:is>
      </x:c>
      <x:c r="J880" s="31" t="inlineStr">
        <x:is>
          <x:t xml:space="preserve">СОТР-083</x:t>
        </x:is>
      </x:c>
      <x:c r="K880" s="31" t="n">
        <x:v>2.1</x:v>
      </x:c>
      <x:c r="L880" s="31" t="n">
        <x:v>2.5</x:v>
      </x:c>
      <x:c r="M880" s="31" t="n">
        <x:v>46099</x:v>
      </x:c>
      <x:c r="N880" s="31" t="n">
        <x:v>46100</x:v>
      </x:c>
      <x:c r="O880" s="31" t="n">
        <x:v>46099</x:v>
      </x:c>
      <x:c r="P880" s="31" t="n">
        <x:v>46100</x:v>
      </x:c>
      <x:c r="Q880" s="31" t="inlineStr">
        <x:is>
          <x:t xml:space="preserve">Завершено</x:t>
        </x:is>
      </x:c>
      <x:c r="R880" s="31" t="inlineStr">
        <x:is>
          <x:t xml:space="preserve">Нет</x:t>
        </x:is>
      </x:c>
      <x:c r="S880" s="31" t="inlineStr">
        <x:is>
          <x:t xml:space="preserve">Нет</x:t>
        </x:is>
      </x:c>
    </x:row>
    <x:row r="881">
      <x:c r="A881" s="31" t="inlineStr">
        <x:is>
          <x:t xml:space="preserve">ОП-000880</x:t>
        </x:is>
      </x:c>
      <x:c r="B881" s="31" t="inlineStr">
        <x:is>
          <x:t xml:space="preserve">ПЗ-00105</x:t>
        </x:is>
      </x:c>
      <x:c r="C881" s="31" t="inlineStr">
        <x:is>
          <x:t xml:space="preserve">ЗК-1052</x:t>
        </x:is>
      </x:c>
      <x:c r="D881" s="31" t="inlineStr">
        <x:is>
          <x:t xml:space="preserve">ПОЗ-0052-3</x:t>
        </x:is>
      </x:c>
      <x:c r="E881" s="31" t="inlineStr">
        <x:is>
          <x:t xml:space="preserve">ИЗД-019</x:t>
        </x:is>
      </x:c>
      <x:c r="F881" s="31" t="n">
        <x:v>70</x:v>
      </x:c>
      <x:c r="G881" s="31" t="inlineStr">
        <x:is>
          <x:t xml:space="preserve">Электромонтаж</x:t>
        </x:is>
      </x:c>
      <x:c r="H881" s="31" t="inlineStr">
        <x:is>
          <x:t xml:space="preserve">Сборка</x:t>
        </x:is>
      </x:c>
      <x:c r="I881" s="31" t="inlineStr">
        <x:is>
          <x:t xml:space="preserve">ОБ-027</x:t>
        </x:is>
      </x:c>
      <x:c r="J881" s="31" t="inlineStr">
        <x:is>
          <x:t xml:space="preserve">СОТР-084</x:t>
        </x:is>
      </x:c>
      <x:c r="K881" s="31" t="n">
        <x:v>4.4</x:v>
      </x:c>
      <x:c r="L881" s="31" t="n">
        <x:v>4</x:v>
      </x:c>
      <x:c r="M881" s="31" t="n">
        <x:v>46100</x:v>
      </x:c>
      <x:c r="N881" s="31" t="n">
        <x:v>46101</x:v>
      </x:c>
      <x:c r="O881" s="31" t="n">
        <x:v>46100</x:v>
      </x:c>
      <x:c r="P881" s="31" t="n">
        <x:v>46103</x:v>
      </x:c>
      <x:c r="Q881" s="31" t="inlineStr">
        <x:is>
          <x:t xml:space="preserve">Завершено</x:t>
        </x:is>
      </x:c>
      <x:c r="R881" s="31" t="inlineStr">
        <x:is>
          <x:t xml:space="preserve">Нет</x:t>
        </x:is>
      </x:c>
      <x:c r="S881" s="31" t="inlineStr">
        <x:is>
          <x:t xml:space="preserve">Нет</x:t>
        </x:is>
      </x:c>
    </x:row>
    <x:row r="882">
      <x:c r="A882" s="31" t="inlineStr">
        <x:is>
          <x:t xml:space="preserve">ОП-000881</x:t>
        </x:is>
      </x:c>
      <x:c r="B882" s="31" t="inlineStr">
        <x:is>
          <x:t xml:space="preserve">ПЗ-00105</x:t>
        </x:is>
      </x:c>
      <x:c r="C882" s="31" t="inlineStr">
        <x:is>
          <x:t xml:space="preserve">ЗК-1052</x:t>
        </x:is>
      </x:c>
      <x:c r="D882" s="31" t="inlineStr">
        <x:is>
          <x:t xml:space="preserve">ПОЗ-0052-3</x:t>
        </x:is>
      </x:c>
      <x:c r="E882" s="31" t="inlineStr">
        <x:is>
          <x:t xml:space="preserve">ИЗД-019</x:t>
        </x:is>
      </x:c>
      <x:c r="F882" s="31" t="n">
        <x:v>80</x:v>
      </x:c>
      <x:c r="G882" s="31" t="inlineStr">
        <x:is>
          <x:t xml:space="preserve">Гидроиспытания</x:t>
        </x:is>
      </x:c>
      <x:c r="H882" s="31" t="inlineStr">
        <x:is>
          <x:t xml:space="preserve">ОТК</x:t>
        </x:is>
      </x:c>
      <x:c r="I882" s="31" t="inlineStr">
        <x:is>
          <x:t xml:space="preserve">ОБ-028</x:t>
        </x:is>
      </x:c>
      <x:c r="J882" s="31" t="inlineStr">
        <x:is>
          <x:t xml:space="preserve">СОТР-099</x:t>
        </x:is>
      </x:c>
      <x:c r="K882" s="31" t="n">
        <x:v>4.4</x:v>
      </x:c>
      <x:c r="L882" s="31" t="n">
        <x:v>4</x:v>
      </x:c>
      <x:c r="M882" s="31" t="n">
        <x:v>46101</x:v>
      </x:c>
      <x:c r="N882" s="31" t="n">
        <x:v>46102</x:v>
      </x:c>
      <x:c r="O882" s="31" t="n">
        <x:v>46101</x:v>
      </x:c>
      <x:c r="P882" s="31" t="n">
        <x:v>46101</x:v>
      </x:c>
      <x:c r="Q882" s="31" t="inlineStr">
        <x:is>
          <x:t xml:space="preserve">Завершено</x:t>
        </x:is>
      </x:c>
      <x:c r="R882" s="31" t="inlineStr">
        <x:is>
          <x:t xml:space="preserve">Нет</x:t>
        </x:is>
      </x:c>
      <x:c r="S882" s="31" t="inlineStr">
        <x:is>
          <x:t xml:space="preserve">Нет</x:t>
        </x:is>
      </x:c>
    </x:row>
    <x:row r="883">
      <x:c r="A883" s="31" t="inlineStr">
        <x:is>
          <x:t xml:space="preserve">ОП-000882</x:t>
        </x:is>
      </x:c>
      <x:c r="B883" s="31" t="inlineStr">
        <x:is>
          <x:t xml:space="preserve">ПЗ-00105</x:t>
        </x:is>
      </x:c>
      <x:c r="C883" s="31" t="inlineStr">
        <x:is>
          <x:t xml:space="preserve">ЗК-1052</x:t>
        </x:is>
      </x:c>
      <x:c r="D883" s="31" t="inlineStr">
        <x:is>
          <x:t xml:space="preserve">ПОЗ-0052-3</x:t>
        </x:is>
      </x:c>
      <x:c r="E883" s="31" t="inlineStr">
        <x:is>
          <x:t xml:space="preserve">ИЗД-019</x:t>
        </x:is>
      </x:c>
      <x:c r="F883" s="31" t="n">
        <x:v>90</x:v>
      </x:c>
      <x:c r="G883" s="31" t="inlineStr">
        <x:is>
          <x:t xml:space="preserve">ОТК</x:t>
        </x:is>
      </x:c>
      <x:c r="H883" s="31" t="inlineStr">
        <x:is>
          <x:t xml:space="preserve">ОТК</x:t>
        </x:is>
      </x:c>
      <x:c r="I883" s="31" t="inlineStr">
        <x:is>
          <x:t xml:space="preserve">ОБ-024</x:t>
        </x:is>
      </x:c>
      <x:c r="J883" s="31" t="inlineStr">
        <x:is>
          <x:t xml:space="preserve">СОТР-098</x:t>
        </x:is>
      </x:c>
      <x:c r="K883" s="31" t="n">
        <x:v>3.3</x:v>
      </x:c>
      <x:c r="L883" s="31" t="n">
        <x:v>3</x:v>
      </x:c>
      <x:c r="M883" s="31" t="n">
        <x:v>46102</x:v>
      </x:c>
      <x:c r="N883" s="31" t="n">
        <x:v>46103</x:v>
      </x:c>
      <x:c r="O883" s="31" t="n">
        <x:v>46102</x:v>
      </x:c>
      <x:c r="P883" s="31" t="n">
        <x:v>46103</x:v>
      </x:c>
      <x:c r="Q883" s="31" t="inlineStr">
        <x:is>
          <x:t xml:space="preserve">Завершено</x:t>
        </x:is>
      </x:c>
      <x:c r="R883" s="31" t="inlineStr">
        <x:is>
          <x:t xml:space="preserve">Нет</x:t>
        </x:is>
      </x:c>
      <x:c r="S883" s="31" t="inlineStr">
        <x:is>
          <x:t xml:space="preserve">Нет</x:t>
        </x:is>
      </x:c>
    </x:row>
    <x:row r="884">
      <x:c r="A884" s="31" t="inlineStr">
        <x:is>
          <x:t xml:space="preserve">ОП-000883</x:t>
        </x:is>
      </x:c>
      <x:c r="B884" s="31" t="inlineStr">
        <x:is>
          <x:t xml:space="preserve">ПЗ-00105</x:t>
        </x:is>
      </x:c>
      <x:c r="C884" s="31" t="inlineStr">
        <x:is>
          <x:t xml:space="preserve">ЗК-1052</x:t>
        </x:is>
      </x:c>
      <x:c r="D884" s="31" t="inlineStr">
        <x:is>
          <x:t xml:space="preserve">ПОЗ-0052-3</x:t>
        </x:is>
      </x:c>
      <x:c r="E884" s="31" t="inlineStr">
        <x:is>
          <x:t xml:space="preserve">ИЗД-019</x:t>
        </x:is>
      </x:c>
      <x:c r="F884" s="31" t="n">
        <x:v>100</x:v>
      </x:c>
      <x:c r="G884" s="31" t="inlineStr">
        <x:is>
          <x:t xml:space="preserve">Упаковка</x:t>
        </x:is>
      </x:c>
      <x:c r="H884" s="31" t="inlineStr">
        <x:is>
          <x:t xml:space="preserve">Логистика</x:t>
        </x:is>
      </x:c>
      <x:c r="I884" s="31" t="n"/>
      <x:c r="J884" s="31" t="inlineStr">
        <x:is>
          <x:t xml:space="preserve">СОТР-105</x:t>
        </x:is>
      </x:c>
      <x:c r="K884" s="31" t="n">
        <x:v>4.7</x:v>
      </x:c>
      <x:c r="L884" s="31" t="n">
        <x:v>5.2</x:v>
      </x:c>
      <x:c r="M884" s="31" t="n">
        <x:v>46103</x:v>
      </x:c>
      <x:c r="N884" s="31" t="n">
        <x:v>46104</x:v>
      </x:c>
      <x:c r="O884" s="31" t="n">
        <x:v>46103</x:v>
      </x:c>
      <x:c r="P884" s="31" t="n">
        <x:v>46105</x:v>
      </x:c>
      <x:c r="Q884" s="31" t="inlineStr">
        <x:is>
          <x:t xml:space="preserve">Завершено</x:t>
        </x:is>
      </x:c>
      <x:c r="R884" s="31" t="inlineStr">
        <x:is>
          <x:t xml:space="preserve">Ожидание ОТК</x:t>
        </x:is>
      </x:c>
      <x:c r="S884" s="31" t="inlineStr">
        <x:is>
          <x:t xml:space="preserve">Да</x:t>
        </x:is>
      </x:c>
    </x:row>
    <x:row r="885">
      <x:c r="A885" s="31" t="inlineStr">
        <x:is>
          <x:t xml:space="preserve">ОП-000884</x:t>
        </x:is>
      </x:c>
      <x:c r="B885" s="31" t="inlineStr">
        <x:is>
          <x:t xml:space="preserve">ПЗ-00106</x:t>
        </x:is>
      </x:c>
      <x:c r="C885" s="31" t="inlineStr">
        <x:is>
          <x:t xml:space="preserve">ЗК-1052</x:t>
        </x:is>
      </x:c>
      <x:c r="D885" s="31" t="inlineStr">
        <x:is>
          <x:t xml:space="preserve">ПОЗ-0052-4</x:t>
        </x:is>
      </x:c>
      <x:c r="E885" s="31" t="inlineStr">
        <x:is>
          <x:t xml:space="preserve">ИЗД-020</x:t>
        </x:is>
      </x:c>
      <x:c r="F885" s="31" t="n">
        <x:v>10</x:v>
      </x:c>
      <x:c r="G885" s="31" t="inlineStr">
        <x:is>
          <x:t xml:space="preserve">КД</x:t>
        </x:is>
      </x:c>
      <x:c r="H885" s="31" t="inlineStr">
        <x:is>
          <x:t xml:space="preserve">Инженерный отдел</x:t>
        </x:is>
      </x:c>
      <x:c r="I885" s="31" t="n"/>
      <x:c r="J885" s="31" t="inlineStr">
        <x:is>
          <x:t xml:space="preserve">СОТР-019</x:t>
        </x:is>
      </x:c>
      <x:c r="K885" s="31" t="n">
        <x:v>35.5</x:v>
      </x:c>
      <x:c r="L885" s="31" t="n">
        <x:v>35.2</x:v>
      </x:c>
      <x:c r="M885" s="31" t="n">
        <x:v>46105</x:v>
      </x:c>
      <x:c r="N885" s="31" t="n">
        <x:v>46108</x:v>
      </x:c>
      <x:c r="O885" s="31" t="n">
        <x:v>46105</x:v>
      </x:c>
      <x:c r="P885" s="31" t="n">
        <x:v>46109</x:v>
      </x:c>
      <x:c r="Q885" s="31" t="inlineStr">
        <x:is>
          <x:t xml:space="preserve">Завершено</x:t>
        </x:is>
      </x:c>
      <x:c r="R885" s="31" t="inlineStr">
        <x:is>
          <x:t xml:space="preserve">Материал</x:t>
        </x:is>
      </x:c>
      <x:c r="S885" s="31" t="inlineStr">
        <x:is>
          <x:t xml:space="preserve">Нет</x:t>
        </x:is>
      </x:c>
    </x:row>
    <x:row r="886">
      <x:c r="A886" s="31" t="inlineStr">
        <x:is>
          <x:t xml:space="preserve">ОП-000885</x:t>
        </x:is>
      </x:c>
      <x:c r="B886" s="31" t="inlineStr">
        <x:is>
          <x:t xml:space="preserve">ПЗ-00106</x:t>
        </x:is>
      </x:c>
      <x:c r="C886" s="31" t="inlineStr">
        <x:is>
          <x:t xml:space="preserve">ЗК-1052</x:t>
        </x:is>
      </x:c>
      <x:c r="D886" s="31" t="inlineStr">
        <x:is>
          <x:t xml:space="preserve">ПОЗ-0052-4</x:t>
        </x:is>
      </x:c>
      <x:c r="E886" s="31" t="inlineStr">
        <x:is>
          <x:t xml:space="preserve">ИЗД-020</x:t>
        </x:is>
      </x:c>
      <x:c r="F886" s="31" t="n">
        <x:v>20</x:v>
      </x:c>
      <x:c r="G886" s="31" t="inlineStr">
        <x:is>
          <x:t xml:space="preserve">Резка труб</x:t>
        </x:is>
      </x:c>
      <x:c r="H886" s="31" t="inlineStr">
        <x:is>
          <x:t xml:space="preserve">Сварка</x:t>
        </x:is>
      </x:c>
      <x:c r="I886" s="31" t="inlineStr">
        <x:is>
          <x:t xml:space="preserve">ОБ-021</x:t>
        </x:is>
      </x:c>
      <x:c r="J886" s="31" t="inlineStr">
        <x:is>
          <x:t xml:space="preserve">СОТР-060</x:t>
        </x:is>
      </x:c>
      <x:c r="K886" s="31" t="n">
        <x:v>23</x:v>
      </x:c>
      <x:c r="L886" s="31" t="n">
        <x:v>23.4</x:v>
      </x:c>
      <x:c r="M886" s="31" t="n">
        <x:v>46108</x:v>
      </x:c>
      <x:c r="N886" s="31" t="n">
        <x:v>46110</x:v>
      </x:c>
      <x:c r="O886" s="31" t="n">
        <x:v>46108</x:v>
      </x:c>
      <x:c r="P886" s="31" t="n">
        <x:v>46110</x:v>
      </x:c>
      <x:c r="Q886" s="31" t="inlineStr">
        <x:is>
          <x:t xml:space="preserve">Завершено</x:t>
        </x:is>
      </x:c>
      <x:c r="R886" s="31" t="inlineStr">
        <x:is>
          <x:t xml:space="preserve">Нет</x:t>
        </x:is>
      </x:c>
      <x:c r="S886" s="31" t="inlineStr">
        <x:is>
          <x:t xml:space="preserve">Нет</x:t>
        </x:is>
      </x:c>
    </x:row>
    <x:row r="887">
      <x:c r="A887" s="31" t="inlineStr">
        <x:is>
          <x:t xml:space="preserve">ОП-000886</x:t>
        </x:is>
      </x:c>
      <x:c r="B887" s="31" t="inlineStr">
        <x:is>
          <x:t xml:space="preserve">ПЗ-00106</x:t>
        </x:is>
      </x:c>
      <x:c r="C887" s="31" t="inlineStr">
        <x:is>
          <x:t xml:space="preserve">ЗК-1052</x:t>
        </x:is>
      </x:c>
      <x:c r="D887" s="31" t="inlineStr">
        <x:is>
          <x:t xml:space="preserve">ПОЗ-0052-4</x:t>
        </x:is>
      </x:c>
      <x:c r="E887" s="31" t="inlineStr">
        <x:is>
          <x:t xml:space="preserve">ИЗД-020</x:t>
        </x:is>
      </x:c>
      <x:c r="F887" s="31" t="n">
        <x:v>30</x:v>
      </x:c>
      <x:c r="G887" s="31" t="inlineStr">
        <x:is>
          <x:t xml:space="preserve">Сварка</x:t>
        </x:is>
      </x:c>
      <x:c r="H887" s="31" t="inlineStr">
        <x:is>
          <x:t xml:space="preserve">Сварка</x:t>
        </x:is>
      </x:c>
      <x:c r="I887" s="31" t="inlineStr">
        <x:is>
          <x:t xml:space="preserve">ОБ-021</x:t>
        </x:is>
      </x:c>
      <x:c r="J887" s="31" t="inlineStr">
        <x:is>
          <x:t xml:space="preserve">СОТР-058</x:t>
        </x:is>
      </x:c>
      <x:c r="K887" s="31" t="n">
        <x:v>51</x:v>
      </x:c>
      <x:c r="L887" s="31" t="n">
        <x:v>54</x:v>
      </x:c>
      <x:c r="M887" s="31" t="n">
        <x:v>46110</x:v>
      </x:c>
      <x:c r="N887" s="31" t="n">
        <x:v>46115</x:v>
      </x:c>
      <x:c r="O887" s="31" t="n">
        <x:v>46110</x:v>
      </x:c>
      <x:c r="P887" s="31" t="n">
        <x:v>46115</x:v>
      </x:c>
      <x:c r="Q887" s="31" t="inlineStr">
        <x:is>
          <x:t xml:space="preserve">Завершено</x:t>
        </x:is>
      </x:c>
      <x:c r="R887" s="31" t="inlineStr">
        <x:is>
          <x:t xml:space="preserve">Нет</x:t>
        </x:is>
      </x:c>
      <x:c r="S887" s="31" t="inlineStr">
        <x:is>
          <x:t xml:space="preserve">Нет</x:t>
        </x:is>
      </x:c>
    </x:row>
    <x:row r="888">
      <x:c r="A888" s="31" t="inlineStr">
        <x:is>
          <x:t xml:space="preserve">ОП-000887</x:t>
        </x:is>
      </x:c>
      <x:c r="B888" s="31" t="inlineStr">
        <x:is>
          <x:t xml:space="preserve">ПЗ-00106</x:t>
        </x:is>
      </x:c>
      <x:c r="C888" s="31" t="inlineStr">
        <x:is>
          <x:t xml:space="preserve">ЗК-1052</x:t>
        </x:is>
      </x:c>
      <x:c r="D888" s="31" t="inlineStr">
        <x:is>
          <x:t xml:space="preserve">ПОЗ-0052-4</x:t>
        </x:is>
      </x:c>
      <x:c r="E888" s="31" t="inlineStr">
        <x:is>
          <x:t xml:space="preserve">ИЗД-020</x:t>
        </x:is>
      </x:c>
      <x:c r="F888" s="31" t="n">
        <x:v>40</x:v>
      </x:c>
      <x:c r="G888" s="31" t="inlineStr">
        <x:is>
          <x:t xml:space="preserve">НК сварных швов</x:t>
        </x:is>
      </x:c>
      <x:c r="H888" s="31" t="inlineStr">
        <x:is>
          <x:t xml:space="preserve">ОТК</x:t>
        </x:is>
      </x:c>
      <x:c r="I888" s="31" t="inlineStr">
        <x:is>
          <x:t xml:space="preserve">ОБ-033</x:t>
        </x:is>
      </x:c>
      <x:c r="J888" s="31" t="inlineStr">
        <x:is>
          <x:t xml:space="preserve">СОТР-093</x:t>
        </x:is>
      </x:c>
      <x:c r="K888" s="31" t="n">
        <x:v>51.5</x:v>
      </x:c>
      <x:c r="L888" s="31" t="n">
        <x:v>69.40000000000001</x:v>
      </x:c>
      <x:c r="M888" s="31" t="n">
        <x:v>46115</x:v>
      </x:c>
      <x:c r="N888" s="31" t="n">
        <x:v>46120</x:v>
      </x:c>
      <x:c r="O888" s="31" t="n">
        <x:v>46115</x:v>
      </x:c>
      <x:c r="P888" s="31" t="n">
        <x:v>46122</x:v>
      </x:c>
      <x:c r="Q888" s="31" t="inlineStr">
        <x:is>
          <x:t xml:space="preserve">Завершено</x:t>
        </x:is>
      </x:c>
      <x:c r="R888" s="31" t="inlineStr">
        <x:is>
          <x:t xml:space="preserve">Нет</x:t>
        </x:is>
      </x:c>
      <x:c r="S888" s="31" t="inlineStr">
        <x:is>
          <x:t xml:space="preserve">Нет</x:t>
        </x:is>
      </x:c>
    </x:row>
    <x:row r="889">
      <x:c r="A889" s="31" t="inlineStr">
        <x:is>
          <x:t xml:space="preserve">ОП-000888</x:t>
        </x:is>
      </x:c>
      <x:c r="B889" s="31" t="inlineStr">
        <x:is>
          <x:t xml:space="preserve">ПЗ-00106</x:t>
        </x:is>
      </x:c>
      <x:c r="C889" s="31" t="inlineStr">
        <x:is>
          <x:t xml:space="preserve">ЗК-1052</x:t>
        </x:is>
      </x:c>
      <x:c r="D889" s="31" t="inlineStr">
        <x:is>
          <x:t xml:space="preserve">ПОЗ-0052-4</x:t>
        </x:is>
      </x:c>
      <x:c r="E889" s="31" t="inlineStr">
        <x:is>
          <x:t xml:space="preserve">ИЗД-020</x:t>
        </x:is>
      </x:c>
      <x:c r="F889" s="31" t="n">
        <x:v>50</x:v>
      </x:c>
      <x:c r="G889" s="31" t="inlineStr">
        <x:is>
          <x:t xml:space="preserve">Гидроиспытания</x:t>
        </x:is>
      </x:c>
      <x:c r="H889" s="31" t="inlineStr">
        <x:is>
          <x:t xml:space="preserve">ОТК</x:t>
        </x:is>
      </x:c>
      <x:c r="I889" s="31" t="inlineStr">
        <x:is>
          <x:t xml:space="preserve">ОБ-015</x:t>
        </x:is>
      </x:c>
      <x:c r="J889" s="31" t="inlineStr">
        <x:is>
          <x:t xml:space="preserve">СОТР-097</x:t>
        </x:is>
      </x:c>
      <x:c r="K889" s="31" t="n">
        <x:v>11.5</x:v>
      </x:c>
      <x:c r="L889" s="31" t="n">
        <x:v>11.1</x:v>
      </x:c>
      <x:c r="M889" s="31" t="n">
        <x:v>46120</x:v>
      </x:c>
      <x:c r="N889" s="31" t="n">
        <x:v>46121</x:v>
      </x:c>
      <x:c r="O889" s="31" t="n">
        <x:v>46120</x:v>
      </x:c>
      <x:c r="P889" s="31" t="n">
        <x:v>46121</x:v>
      </x:c>
      <x:c r="Q889" s="31" t="inlineStr">
        <x:is>
          <x:t xml:space="preserve">Завершено</x:t>
        </x:is>
      </x:c>
      <x:c r="R889" s="31" t="inlineStr">
        <x:is>
          <x:t xml:space="preserve">Нет</x:t>
        </x:is>
      </x:c>
      <x:c r="S889" s="31" t="inlineStr">
        <x:is>
          <x:t xml:space="preserve">Нет</x:t>
        </x:is>
      </x:c>
    </x:row>
    <x:row r="890">
      <x:c r="A890" s="31" t="inlineStr">
        <x:is>
          <x:t xml:space="preserve">ОП-000889</x:t>
        </x:is>
      </x:c>
      <x:c r="B890" s="31" t="inlineStr">
        <x:is>
          <x:t xml:space="preserve">ПЗ-00106</x:t>
        </x:is>
      </x:c>
      <x:c r="C890" s="31" t="inlineStr">
        <x:is>
          <x:t xml:space="preserve">ЗК-1052</x:t>
        </x:is>
      </x:c>
      <x:c r="D890" s="31" t="inlineStr">
        <x:is>
          <x:t xml:space="preserve">ПОЗ-0052-4</x:t>
        </x:is>
      </x:c>
      <x:c r="E890" s="31" t="inlineStr">
        <x:is>
          <x:t xml:space="preserve">ИЗД-020</x:t>
        </x:is>
      </x:c>
      <x:c r="F890" s="31" t="n">
        <x:v>60</x:v>
      </x:c>
      <x:c r="G890" s="31" t="inlineStr">
        <x:is>
          <x:t xml:space="preserve">Покраска</x:t>
        </x:is>
      </x:c>
      <x:c r="H890" s="31" t="inlineStr">
        <x:is>
          <x:t xml:space="preserve">Сварка</x:t>
        </x:is>
      </x:c>
      <x:c r="I890" s="31" t="inlineStr">
        <x:is>
          <x:t xml:space="preserve">ОБ-026</x:t>
        </x:is>
      </x:c>
      <x:c r="J890" s="31" t="inlineStr">
        <x:is>
          <x:t xml:space="preserve">СОТР-060</x:t>
        </x:is>
      </x:c>
      <x:c r="K890" s="31" t="n">
        <x:v>6.5</x:v>
      </x:c>
      <x:c r="L890" s="31" t="n">
        <x:v>5.4</x:v>
      </x:c>
      <x:c r="M890" s="31" t="n">
        <x:v>46121</x:v>
      </x:c>
      <x:c r="N890" s="31" t="n">
        <x:v>46122</x:v>
      </x:c>
      <x:c r="O890" s="31" t="n">
        <x:v>46121</x:v>
      </x:c>
      <x:c r="P890" s="31" t="n">
        <x:v>46123</x:v>
      </x:c>
      <x:c r="Q890" s="31" t="inlineStr">
        <x:is>
          <x:t xml:space="preserve">Завершено</x:t>
        </x:is>
      </x:c>
      <x:c r="R890" s="31" t="inlineStr">
        <x:is>
          <x:t xml:space="preserve">Нет</x:t>
        </x:is>
      </x:c>
      <x:c r="S890" s="31" t="inlineStr">
        <x:is>
          <x:t xml:space="preserve">Нет</x:t>
        </x:is>
      </x:c>
    </x:row>
    <x:row r="891">
      <x:c r="A891" s="31" t="inlineStr">
        <x:is>
          <x:t xml:space="preserve">ОП-000890</x:t>
        </x:is>
      </x:c>
      <x:c r="B891" s="31" t="inlineStr">
        <x:is>
          <x:t xml:space="preserve">ПЗ-00106</x:t>
        </x:is>
      </x:c>
      <x:c r="C891" s="31" t="inlineStr">
        <x:is>
          <x:t xml:space="preserve">ЗК-1052</x:t>
        </x:is>
      </x:c>
      <x:c r="D891" s="31" t="inlineStr">
        <x:is>
          <x:t xml:space="preserve">ПОЗ-0052-4</x:t>
        </x:is>
      </x:c>
      <x:c r="E891" s="31" t="inlineStr">
        <x:is>
          <x:t xml:space="preserve">ИЗД-020</x:t>
        </x:is>
      </x:c>
      <x:c r="F891" s="31" t="n">
        <x:v>70</x:v>
      </x:c>
      <x:c r="G891" s="31" t="inlineStr">
        <x:is>
          <x:t xml:space="preserve">ОТК</x:t>
        </x:is>
      </x:c>
      <x:c r="H891" s="31" t="inlineStr">
        <x:is>
          <x:t xml:space="preserve">ОТК</x:t>
        </x:is>
      </x:c>
      <x:c r="I891" s="31" t="inlineStr">
        <x:is>
          <x:t xml:space="preserve">ОБ-015</x:t>
        </x:is>
      </x:c>
      <x:c r="J891" s="31" t="inlineStr">
        <x:is>
          <x:t xml:space="preserve">СОТР-063</x:t>
        </x:is>
      </x:c>
      <x:c r="K891" s="31" t="n">
        <x:v>25.5</x:v>
      </x:c>
      <x:c r="L891" s="31" t="n">
        <x:v>29.1</x:v>
      </x:c>
      <x:c r="M891" s="31" t="n">
        <x:v>46122</x:v>
      </x:c>
      <x:c r="N891" s="31" t="n">
        <x:v>46125</x:v>
      </x:c>
      <x:c r="O891" s="31" t="n">
        <x:v>46122</x:v>
      </x:c>
      <x:c r="P891" s="31" t="n">
        <x:v>46124</x:v>
      </x:c>
      <x:c r="Q891" s="31" t="inlineStr">
        <x:is>
          <x:t xml:space="preserve">Завершено</x:t>
        </x:is>
      </x:c>
      <x:c r="R891" s="31" t="inlineStr">
        <x:is>
          <x:t xml:space="preserve">Нет</x:t>
        </x:is>
      </x:c>
      <x:c r="S891" s="31" t="inlineStr">
        <x:is>
          <x:t xml:space="preserve">Да</x:t>
        </x:is>
      </x:c>
    </x:row>
    <x:row r="892">
      <x:c r="A892" s="31" t="inlineStr">
        <x:is>
          <x:t xml:space="preserve">ОП-000891</x:t>
        </x:is>
      </x:c>
      <x:c r="B892" s="31" t="inlineStr">
        <x:is>
          <x:t xml:space="preserve">ПЗ-00107</x:t>
        </x:is>
      </x:c>
      <x:c r="C892" s="31" t="inlineStr">
        <x:is>
          <x:t xml:space="preserve">ЗК-1053</x:t>
        </x:is>
      </x:c>
      <x:c r="D892" s="31" t="inlineStr">
        <x:is>
          <x:t xml:space="preserve">ПОЗ-0053-1</x:t>
        </x:is>
      </x:c>
      <x:c r="E892" s="31" t="inlineStr">
        <x:is>
          <x:t xml:space="preserve">ИЗД-026</x:t>
        </x:is>
      </x:c>
      <x:c r="F892" s="31" t="n">
        <x:v>10</x:v>
      </x:c>
      <x:c r="G892" s="31" t="inlineStr">
        <x:is>
          <x:t xml:space="preserve">КД</x:t>
        </x:is>
      </x:c>
      <x:c r="H892" s="31" t="inlineStr">
        <x:is>
          <x:t xml:space="preserve">Инженерный отдел</x:t>
        </x:is>
      </x:c>
      <x:c r="I892" s="31" t="n"/>
      <x:c r="J892" s="31" t="inlineStr">
        <x:is>
          <x:t xml:space="preserve">СОТР-014</x:t>
        </x:is>
      </x:c>
      <x:c r="K892" s="31" t="n">
        <x:v>56.8</x:v>
      </x:c>
      <x:c r="L892" s="31" t="n"/>
      <x:c r="M892" s="31" t="n">
        <x:v>46111</x:v>
      </x:c>
      <x:c r="N892" s="31" t="n">
        <x:v>46116</x:v>
      </x:c>
      <x:c r="O892" s="31" t="n">
        <x:v>46111</x:v>
      </x:c>
      <x:c r="P892" s="31" t="n"/>
      <x:c r="Q892" s="31" t="inlineStr">
        <x:is>
          <x:t xml:space="preserve">В работе</x:t>
        </x:is>
      </x:c>
      <x:c r="R892" s="31" t="inlineStr">
        <x:is>
          <x:t xml:space="preserve">Нет</x:t>
        </x:is>
      </x:c>
      <x:c r="S892" s="31" t="inlineStr">
        <x:is>
          <x:t xml:space="preserve">Да</x:t>
        </x:is>
      </x:c>
    </x:row>
    <x:row r="893">
      <x:c r="A893" s="31" t="inlineStr">
        <x:is>
          <x:t xml:space="preserve">ОП-000892</x:t>
        </x:is>
      </x:c>
      <x:c r="B893" s="31" t="inlineStr">
        <x:is>
          <x:t xml:space="preserve">ПЗ-00107</x:t>
        </x:is>
      </x:c>
      <x:c r="C893" s="31" t="inlineStr">
        <x:is>
          <x:t xml:space="preserve">ЗК-1053</x:t>
        </x:is>
      </x:c>
      <x:c r="D893" s="31" t="inlineStr">
        <x:is>
          <x:t xml:space="preserve">ПОЗ-0053-1</x:t>
        </x:is>
      </x:c>
      <x:c r="E893" s="31" t="inlineStr">
        <x:is>
          <x:t xml:space="preserve">ИЗД-026</x:t>
        </x:is>
      </x:c>
      <x:c r="F893" s="31" t="n">
        <x:v>20</x:v>
      </x:c>
      <x:c r="G893" s="31" t="inlineStr">
        <x:is>
          <x:t xml:space="preserve">Комплектация</x:t>
        </x:is>
      </x:c>
      <x:c r="H893" s="31" t="inlineStr">
        <x:is>
          <x:t xml:space="preserve">Склад</x:t>
        </x:is>
      </x:c>
      <x:c r="I893" s="31" t="inlineStr">
        <x:is>
          <x:t xml:space="preserve">ОБ-025</x:t>
        </x:is>
      </x:c>
      <x:c r="J893" s="31" t="inlineStr">
        <x:is>
          <x:t xml:space="preserve">СОТР-036</x:t>
        </x:is>
      </x:c>
      <x:c r="K893" s="31" t="n">
        <x:v>47.6</x:v>
      </x:c>
      <x:c r="L893" s="31" t="n"/>
      <x:c r="M893" s="31" t="n">
        <x:v>46116</x:v>
      </x:c>
      <x:c r="N893" s="31" t="n">
        <x:v>46120</x:v>
      </x:c>
      <x:c r="O893" s="31" t="n"/>
      <x:c r="P893" s="31" t="n"/>
      <x:c r="Q893" s="31" t="inlineStr">
        <x:is>
          <x:t xml:space="preserve">Запланировано</x:t>
        </x:is>
      </x:c>
      <x:c r="R893" s="31" t="inlineStr">
        <x:is>
          <x:t xml:space="preserve">Нет</x:t>
        </x:is>
      </x:c>
      <x:c r="S893" s="31" t="inlineStr">
        <x:is>
          <x:t xml:space="preserve">Нет</x:t>
        </x:is>
      </x:c>
    </x:row>
    <x:row r="894">
      <x:c r="A894" s="31" t="inlineStr">
        <x:is>
          <x:t xml:space="preserve">ОП-000893</x:t>
        </x:is>
      </x:c>
      <x:c r="B894" s="31" t="inlineStr">
        <x:is>
          <x:t xml:space="preserve">ПЗ-00107</x:t>
        </x:is>
      </x:c>
      <x:c r="C894" s="31" t="inlineStr">
        <x:is>
          <x:t xml:space="preserve">ЗК-1053</x:t>
        </x:is>
      </x:c>
      <x:c r="D894" s="31" t="inlineStr">
        <x:is>
          <x:t xml:space="preserve">ПОЗ-0053-1</x:t>
        </x:is>
      </x:c>
      <x:c r="E894" s="31" t="inlineStr">
        <x:is>
          <x:t xml:space="preserve">ИЗД-026</x:t>
        </x:is>
      </x:c>
      <x:c r="F894" s="31" t="n">
        <x:v>30</x:v>
      </x:c>
      <x:c r="G894" s="31" t="inlineStr">
        <x:is>
          <x:t xml:space="preserve">Сборка шкафа</x:t>
        </x:is>
      </x:c>
      <x:c r="H894" s="31" t="inlineStr">
        <x:is>
          <x:t xml:space="preserve">Сборка</x:t>
        </x:is>
      </x:c>
      <x:c r="I894" s="31" t="inlineStr">
        <x:is>
          <x:t xml:space="preserve">ОБ-016</x:t>
        </x:is>
      </x:c>
      <x:c r="J894" s="31" t="inlineStr">
        <x:is>
          <x:t xml:space="preserve">СОТР-077</x:t>
        </x:is>
      </x:c>
      <x:c r="K894" s="31" t="n">
        <x:v>15.2</x:v>
      </x:c>
      <x:c r="L894" s="31" t="n">
        <x:v>14.4</x:v>
      </x:c>
      <x:c r="M894" s="31" t="n">
        <x:v>46120</x:v>
      </x:c>
      <x:c r="N894" s="31" t="n">
        <x:v>46122</x:v>
      </x:c>
      <x:c r="O894" s="31" t="n">
        <x:v>46120</x:v>
      </x:c>
      <x:c r="P894" s="31" t="n">
        <x:v>46121</x:v>
      </x:c>
      <x:c r="Q894" s="31" t="inlineStr">
        <x:is>
          <x:t xml:space="preserve">Завершено</x:t>
        </x:is>
      </x:c>
      <x:c r="R894" s="31" t="inlineStr">
        <x:is>
          <x:t xml:space="preserve">Нет</x:t>
        </x:is>
      </x:c>
      <x:c r="S894" s="31" t="inlineStr">
        <x:is>
          <x:t xml:space="preserve">Нет</x:t>
        </x:is>
      </x:c>
    </x:row>
    <x:row r="895">
      <x:c r="A895" s="31" t="inlineStr">
        <x:is>
          <x:t xml:space="preserve">ОП-000894</x:t>
        </x:is>
      </x:c>
      <x:c r="B895" s="31" t="inlineStr">
        <x:is>
          <x:t xml:space="preserve">ПЗ-00107</x:t>
        </x:is>
      </x:c>
      <x:c r="C895" s="31" t="inlineStr">
        <x:is>
          <x:t xml:space="preserve">ЗК-1053</x:t>
        </x:is>
      </x:c>
      <x:c r="D895" s="31" t="inlineStr">
        <x:is>
          <x:t xml:space="preserve">ПОЗ-0053-1</x:t>
        </x:is>
      </x:c>
      <x:c r="E895" s="31" t="inlineStr">
        <x:is>
          <x:t xml:space="preserve">ИЗД-026</x:t>
        </x:is>
      </x:c>
      <x:c r="F895" s="31" t="n">
        <x:v>40</x:v>
      </x:c>
      <x:c r="G895" s="31" t="inlineStr">
        <x:is>
          <x:t xml:space="preserve">Маркировка</x:t>
        </x:is>
      </x:c>
      <x:c r="H895" s="31" t="inlineStr">
        <x:is>
          <x:t xml:space="preserve">Сборка</x:t>
        </x:is>
      </x:c>
      <x:c r="I895" s="31" t="inlineStr">
        <x:is>
          <x:t xml:space="preserve">ОБ-002</x:t>
        </x:is>
      </x:c>
      <x:c r="J895" s="31" t="inlineStr">
        <x:is>
          <x:t xml:space="preserve">СОТР-091</x:t>
        </x:is>
      </x:c>
      <x:c r="K895" s="31" t="n">
        <x:v>74.40000000000001</x:v>
      </x:c>
      <x:c r="L895" s="31" t="n"/>
      <x:c r="M895" s="31" t="n">
        <x:v>46122</x:v>
      </x:c>
      <x:c r="N895" s="31" t="n">
        <x:v>46129</x:v>
      </x:c>
      <x:c r="O895" s="31" t="n"/>
      <x:c r="P895" s="31" t="n"/>
      <x:c r="Q895" s="31" t="inlineStr">
        <x:is>
          <x:t xml:space="preserve">Запланировано</x:t>
        </x:is>
      </x:c>
      <x:c r="R895" s="31" t="inlineStr">
        <x:is>
          <x:t xml:space="preserve">Нет</x:t>
        </x:is>
      </x:c>
      <x:c r="S895" s="31" t="inlineStr">
        <x:is>
          <x:t xml:space="preserve">Нет</x:t>
        </x:is>
      </x:c>
    </x:row>
    <x:row r="896">
      <x:c r="A896" s="31" t="inlineStr">
        <x:is>
          <x:t xml:space="preserve">ОП-000895</x:t>
        </x:is>
      </x:c>
      <x:c r="B896" s="31" t="inlineStr">
        <x:is>
          <x:t xml:space="preserve">ПЗ-00107</x:t>
        </x:is>
      </x:c>
      <x:c r="C896" s="31" t="inlineStr">
        <x:is>
          <x:t xml:space="preserve">ЗК-1053</x:t>
        </x:is>
      </x:c>
      <x:c r="D896" s="31" t="inlineStr">
        <x:is>
          <x:t xml:space="preserve">ПОЗ-0053-1</x:t>
        </x:is>
      </x:c>
      <x:c r="E896" s="31" t="inlineStr">
        <x:is>
          <x:t xml:space="preserve">ИЗД-026</x:t>
        </x:is>
      </x:c>
      <x:c r="F896" s="31" t="n">
        <x:v>50</x:v>
      </x:c>
      <x:c r="G896" s="31" t="inlineStr">
        <x:is>
          <x:t xml:space="preserve">Электромонтаж</x:t>
        </x:is>
      </x:c>
      <x:c r="H896" s="31" t="inlineStr">
        <x:is>
          <x:t xml:space="preserve">Сборка</x:t>
        </x:is>
      </x:c>
      <x:c r="I896" s="31" t="inlineStr">
        <x:is>
          <x:t xml:space="preserve">ОБ-016</x:t>
        </x:is>
      </x:c>
      <x:c r="J896" s="31" t="inlineStr">
        <x:is>
          <x:t xml:space="preserve">СОТР-079</x:t>
        </x:is>
      </x:c>
      <x:c r="K896" s="31" t="n">
        <x:v>31.6</x:v>
      </x:c>
      <x:c r="L896" s="31" t="n">
        <x:v>35.3</x:v>
      </x:c>
      <x:c r="M896" s="31" t="n">
        <x:v>46129</x:v>
      </x:c>
      <x:c r="N896" s="31" t="n">
        <x:v>46132</x:v>
      </x:c>
      <x:c r="O896" s="31" t="n">
        <x:v>46129</x:v>
      </x:c>
      <x:c r="P896" s="31" t="n">
        <x:v>46131</x:v>
      </x:c>
      <x:c r="Q896" s="31" t="inlineStr">
        <x:is>
          <x:t xml:space="preserve">Завершено</x:t>
        </x:is>
      </x:c>
      <x:c r="R896" s="31" t="inlineStr">
        <x:is>
          <x:t xml:space="preserve">Нет</x:t>
        </x:is>
      </x:c>
      <x:c r="S896" s="31" t="inlineStr">
        <x:is>
          <x:t xml:space="preserve">Нет</x:t>
        </x:is>
      </x:c>
    </x:row>
    <x:row r="897">
      <x:c r="A897" s="31" t="inlineStr">
        <x:is>
          <x:t xml:space="preserve">ОП-000896</x:t>
        </x:is>
      </x:c>
      <x:c r="B897" s="31" t="inlineStr">
        <x:is>
          <x:t xml:space="preserve">ПЗ-00107</x:t>
        </x:is>
      </x:c>
      <x:c r="C897" s="31" t="inlineStr">
        <x:is>
          <x:t xml:space="preserve">ЗК-1053</x:t>
        </x:is>
      </x:c>
      <x:c r="D897" s="31" t="inlineStr">
        <x:is>
          <x:t xml:space="preserve">ПОЗ-0053-1</x:t>
        </x:is>
      </x:c>
      <x:c r="E897" s="31" t="inlineStr">
        <x:is>
          <x:t xml:space="preserve">ИЗД-026</x:t>
        </x:is>
      </x:c>
      <x:c r="F897" s="31" t="n">
        <x:v>60</x:v>
      </x:c>
      <x:c r="G897" s="31" t="inlineStr">
        <x:is>
          <x:t xml:space="preserve">Программирование ПЛК</x:t>
        </x:is>
      </x:c>
      <x:c r="H897" s="31" t="inlineStr">
        <x:is>
          <x:t xml:space="preserve">Инженерный отдел</x:t>
        </x:is>
      </x:c>
      <x:c r="I897" s="31" t="n"/>
      <x:c r="J897" s="31" t="inlineStr">
        <x:is>
          <x:t xml:space="preserve">СОТР-017</x:t>
        </x:is>
      </x:c>
      <x:c r="K897" s="31" t="n">
        <x:v>56</x:v>
      </x:c>
      <x:c r="L897" s="31" t="n">
        <x:v>62.3</x:v>
      </x:c>
      <x:c r="M897" s="31" t="n">
        <x:v>46132</x:v>
      </x:c>
      <x:c r="N897" s="31" t="n">
        <x:v>46137</x:v>
      </x:c>
      <x:c r="O897" s="31" t="n">
        <x:v>46132</x:v>
      </x:c>
      <x:c r="P897" s="31" t="n">
        <x:v>46136</x:v>
      </x:c>
      <x:c r="Q897" s="31" t="inlineStr">
        <x:is>
          <x:t xml:space="preserve">Завершено</x:t>
        </x:is>
      </x:c>
      <x:c r="R897" s="31" t="inlineStr">
        <x:is>
          <x:t xml:space="preserve">Нет</x:t>
        </x:is>
      </x:c>
      <x:c r="S897" s="31" t="inlineStr">
        <x:is>
          <x:t xml:space="preserve">Нет</x:t>
        </x:is>
      </x:c>
    </x:row>
    <x:row r="898">
      <x:c r="A898" s="31" t="inlineStr">
        <x:is>
          <x:t xml:space="preserve">ОП-000897</x:t>
        </x:is>
      </x:c>
      <x:c r="B898" s="31" t="inlineStr">
        <x:is>
          <x:t xml:space="preserve">ПЗ-00107</x:t>
        </x:is>
      </x:c>
      <x:c r="C898" s="31" t="inlineStr">
        <x:is>
          <x:t xml:space="preserve">ЗК-1053</x:t>
        </x:is>
      </x:c>
      <x:c r="D898" s="31" t="inlineStr">
        <x:is>
          <x:t xml:space="preserve">ПОЗ-0053-1</x:t>
        </x:is>
      </x:c>
      <x:c r="E898" s="31" t="inlineStr">
        <x:is>
          <x:t xml:space="preserve">ИЗД-026</x:t>
        </x:is>
      </x:c>
      <x:c r="F898" s="31" t="n">
        <x:v>70</x:v>
      </x:c>
      <x:c r="G898" s="31" t="inlineStr">
        <x:is>
          <x:t xml:space="preserve">Приемочные испытания</x:t>
        </x:is>
      </x:c>
      <x:c r="H898" s="31" t="inlineStr">
        <x:is>
          <x:t xml:space="preserve">ОТК</x:t>
        </x:is>
      </x:c>
      <x:c r="I898" s="31" t="inlineStr">
        <x:is>
          <x:t xml:space="preserve">ОБ-024</x:t>
        </x:is>
      </x:c>
      <x:c r="J898" s="31" t="inlineStr">
        <x:is>
          <x:t xml:space="preserve">СОТР-100</x:t>
        </x:is>
      </x:c>
      <x:c r="K898" s="31" t="n">
        <x:v>33.2</x:v>
      </x:c>
      <x:c r="L898" s="31" t="n"/>
      <x:c r="M898" s="31" t="n">
        <x:v>46137</x:v>
      </x:c>
      <x:c r="N898" s="31" t="n">
        <x:v>46140</x:v>
      </x:c>
      <x:c r="O898" s="31" t="n"/>
      <x:c r="P898" s="31" t="n"/>
      <x:c r="Q898" s="31" t="inlineStr">
        <x:is>
          <x:t xml:space="preserve">Запланировано</x:t>
        </x:is>
      </x:c>
      <x:c r="R898" s="31" t="inlineStr">
        <x:is>
          <x:t xml:space="preserve">Нет</x:t>
        </x:is>
      </x:c>
      <x:c r="S898" s="31" t="inlineStr">
        <x:is>
          <x:t xml:space="preserve">Нет</x:t>
        </x:is>
      </x:c>
    </x:row>
    <x:row r="899">
      <x:c r="A899" s="31" t="inlineStr">
        <x:is>
          <x:t xml:space="preserve">ОП-000898</x:t>
        </x:is>
      </x:c>
      <x:c r="B899" s="31" t="inlineStr">
        <x:is>
          <x:t xml:space="preserve">ПЗ-00107</x:t>
        </x:is>
      </x:c>
      <x:c r="C899" s="31" t="inlineStr">
        <x:is>
          <x:t xml:space="preserve">ЗК-1053</x:t>
        </x:is>
      </x:c>
      <x:c r="D899" s="31" t="inlineStr">
        <x:is>
          <x:t xml:space="preserve">ПОЗ-0053-1</x:t>
        </x:is>
      </x:c>
      <x:c r="E899" s="31" t="inlineStr">
        <x:is>
          <x:t xml:space="preserve">ИЗД-026</x:t>
        </x:is>
      </x:c>
      <x:c r="F899" s="31" t="n">
        <x:v>80</x:v>
      </x:c>
      <x:c r="G899" s="31" t="inlineStr">
        <x:is>
          <x:t xml:space="preserve">ОТК</x:t>
        </x:is>
      </x:c>
      <x:c r="H899" s="31" t="inlineStr">
        <x:is>
          <x:t xml:space="preserve">ОТК</x:t>
        </x:is>
      </x:c>
      <x:c r="I899" s="31" t="inlineStr">
        <x:is>
          <x:t xml:space="preserve">ОБ-007</x:t>
        </x:is>
      </x:c>
      <x:c r="J899" s="31" t="inlineStr">
        <x:is>
          <x:t xml:space="preserve">СОТР-097</x:t>
        </x:is>
      </x:c>
      <x:c r="K899" s="31" t="n">
        <x:v>18.8</x:v>
      </x:c>
      <x:c r="L899" s="31" t="n"/>
      <x:c r="M899" s="31" t="n">
        <x:v>46140</x:v>
      </x:c>
      <x:c r="N899" s="31" t="n">
        <x:v>46142</x:v>
      </x:c>
      <x:c r="O899" s="31" t="n"/>
      <x:c r="P899" s="31" t="n"/>
      <x:c r="Q899" s="31" t="inlineStr">
        <x:is>
          <x:t xml:space="preserve">Запланировано</x:t>
        </x:is>
      </x:c>
      <x:c r="R899" s="31" t="inlineStr">
        <x:is>
          <x:t xml:space="preserve">Нет</x:t>
        </x:is>
      </x:c>
      <x:c r="S899" s="31" t="inlineStr">
        <x:is>
          <x:t xml:space="preserve">Нет</x:t>
        </x:is>
      </x:c>
    </x:row>
    <x:row r="900">
      <x:c r="A900" s="31" t="inlineStr">
        <x:is>
          <x:t xml:space="preserve">ОП-000899</x:t>
        </x:is>
      </x:c>
      <x:c r="B900" s="31" t="inlineStr">
        <x:is>
          <x:t xml:space="preserve">ПЗ-00107</x:t>
        </x:is>
      </x:c>
      <x:c r="C900" s="31" t="inlineStr">
        <x:is>
          <x:t xml:space="preserve">ЗК-1053</x:t>
        </x:is>
      </x:c>
      <x:c r="D900" s="31" t="inlineStr">
        <x:is>
          <x:t xml:space="preserve">ПОЗ-0053-1</x:t>
        </x:is>
      </x:c>
      <x:c r="E900" s="31" t="inlineStr">
        <x:is>
          <x:t xml:space="preserve">ИЗД-026</x:t>
        </x:is>
      </x:c>
      <x:c r="F900" s="31" t="n">
        <x:v>90</x:v>
      </x:c>
      <x:c r="G900" s="31" t="inlineStr">
        <x:is>
          <x:t xml:space="preserve">Упаковка</x:t>
        </x:is>
      </x:c>
      <x:c r="H900" s="31" t="inlineStr">
        <x:is>
          <x:t xml:space="preserve">Логистика</x:t>
        </x:is>
      </x:c>
      <x:c r="I900" s="31" t="n"/>
      <x:c r="J900" s="31" t="inlineStr">
        <x:is>
          <x:t xml:space="preserve">СОТР-104</x:t>
        </x:is>
      </x:c>
      <x:c r="K900" s="31" t="n">
        <x:v>71.59999999999999</x:v>
      </x:c>
      <x:c r="L900" s="31" t="n"/>
      <x:c r="M900" s="31" t="n">
        <x:v>46142</x:v>
      </x:c>
      <x:c r="N900" s="31" t="n">
        <x:v>46148</x:v>
      </x:c>
      <x:c r="O900" s="31" t="n"/>
      <x:c r="P900" s="31" t="n"/>
      <x:c r="Q900" s="31" t="inlineStr">
        <x:is>
          <x:t xml:space="preserve">Запланировано</x:t>
        </x:is>
      </x:c>
      <x:c r="R900" s="31" t="inlineStr">
        <x:is>
          <x:t xml:space="preserve">Нет</x:t>
        </x:is>
      </x:c>
      <x:c r="S900" s="31" t="inlineStr">
        <x:is>
          <x:t xml:space="preserve">Нет</x:t>
        </x:is>
      </x:c>
    </x:row>
    <x:row r="901">
      <x:c r="A901" s="31" t="inlineStr">
        <x:is>
          <x:t xml:space="preserve">ОП-000900</x:t>
        </x:is>
      </x:c>
      <x:c r="B901" s="31" t="inlineStr">
        <x:is>
          <x:t xml:space="preserve">ПЗ-00108</x:t>
        </x:is>
      </x:c>
      <x:c r="C901" s="31" t="inlineStr">
        <x:is>
          <x:t xml:space="preserve">ЗК-1053</x:t>
        </x:is>
      </x:c>
      <x:c r="D901" s="31" t="inlineStr">
        <x:is>
          <x:t xml:space="preserve">ПОЗ-0053-2</x:t>
        </x:is>
      </x:c>
      <x:c r="E901" s="31" t="inlineStr">
        <x:is>
          <x:t xml:space="preserve">ИЗД-024</x:t>
        </x:is>
      </x:c>
      <x:c r="F901" s="31" t="n">
        <x:v>10</x:v>
      </x:c>
      <x:c r="G901" s="31" t="inlineStr">
        <x:is>
          <x:t xml:space="preserve">КД</x:t>
        </x:is>
      </x:c>
      <x:c r="H901" s="31" t="inlineStr">
        <x:is>
          <x:t xml:space="preserve">Инженерный отдел</x:t>
        </x:is>
      </x:c>
      <x:c r="I901" s="31" t="n"/>
      <x:c r="J901" s="31" t="inlineStr">
        <x:is>
          <x:t xml:space="preserve">СОТР-015</x:t>
        </x:is>
      </x:c>
      <x:c r="K901" s="31" t="n">
        <x:v>31.5</x:v>
      </x:c>
      <x:c r="L901" s="31" t="n">
        <x:v>30.5</x:v>
      </x:c>
      <x:c r="M901" s="31" t="n">
        <x:v>46115</x:v>
      </x:c>
      <x:c r="N901" s="31" t="n">
        <x:v>46118</x:v>
      </x:c>
      <x:c r="O901" s="31" t="n">
        <x:v>46115</x:v>
      </x:c>
      <x:c r="P901" s="31" t="n">
        <x:v>46118</x:v>
      </x:c>
      <x:c r="Q901" s="31" t="inlineStr">
        <x:is>
          <x:t xml:space="preserve">Завершено</x:t>
        </x:is>
      </x:c>
      <x:c r="R901" s="31" t="inlineStr">
        <x:is>
          <x:t xml:space="preserve">Нет</x:t>
        </x:is>
      </x:c>
      <x:c r="S901" s="31" t="inlineStr">
        <x:is>
          <x:t xml:space="preserve">Нет</x:t>
        </x:is>
      </x:c>
    </x:row>
    <x:row r="902">
      <x:c r="A902" s="31" t="inlineStr">
        <x:is>
          <x:t xml:space="preserve">ОП-000901</x:t>
        </x:is>
      </x:c>
      <x:c r="B902" s="31" t="inlineStr">
        <x:is>
          <x:t xml:space="preserve">ПЗ-00108</x:t>
        </x:is>
      </x:c>
      <x:c r="C902" s="31" t="inlineStr">
        <x:is>
          <x:t xml:space="preserve">ЗК-1053</x:t>
        </x:is>
      </x:c>
      <x:c r="D902" s="31" t="inlineStr">
        <x:is>
          <x:t xml:space="preserve">ПОЗ-0053-2</x:t>
        </x:is>
      </x:c>
      <x:c r="E902" s="31" t="inlineStr">
        <x:is>
          <x:t xml:space="preserve">ИЗД-024</x:t>
        </x:is>
      </x:c>
      <x:c r="F902" s="31" t="n">
        <x:v>20</x:v>
      </x:c>
      <x:c r="G902" s="31" t="inlineStr">
        <x:is>
          <x:t xml:space="preserve">Резерв материалов</x:t>
        </x:is>
      </x:c>
      <x:c r="H902" s="31" t="inlineStr">
        <x:is>
          <x:t xml:space="preserve">Склад</x:t>
        </x:is>
      </x:c>
      <x:c r="I902" s="31" t="inlineStr">
        <x:is>
          <x:t xml:space="preserve">ОБ-008</x:t>
        </x:is>
      </x:c>
      <x:c r="J902" s="31" t="inlineStr">
        <x:is>
          <x:t xml:space="preserve">СОТР-033</x:t>
        </x:is>
      </x:c>
      <x:c r="K902" s="31" t="n">
        <x:v>5.1</x:v>
      </x:c>
      <x:c r="L902" s="31" t="n">
        <x:v>4.7</x:v>
      </x:c>
      <x:c r="M902" s="31" t="n">
        <x:v>46118</x:v>
      </x:c>
      <x:c r="N902" s="31" t="n">
        <x:v>46119</x:v>
      </x:c>
      <x:c r="O902" s="31" t="n">
        <x:v>46118</x:v>
      </x:c>
      <x:c r="P902" s="31" t="n">
        <x:v>46121</x:v>
      </x:c>
      <x:c r="Q902" s="31" t="inlineStr">
        <x:is>
          <x:t xml:space="preserve">Завершено</x:t>
        </x:is>
      </x:c>
      <x:c r="R902" s="31" t="inlineStr">
        <x:is>
          <x:t xml:space="preserve">Нет</x:t>
        </x:is>
      </x:c>
      <x:c r="S902" s="31" t="inlineStr">
        <x:is>
          <x:t xml:space="preserve">Нет</x:t>
        </x:is>
      </x:c>
    </x:row>
    <x:row r="903">
      <x:c r="A903" s="31" t="inlineStr">
        <x:is>
          <x:t xml:space="preserve">ОП-000902</x:t>
        </x:is>
      </x:c>
      <x:c r="B903" s="31" t="inlineStr">
        <x:is>
          <x:t xml:space="preserve">ПЗ-00108</x:t>
        </x:is>
      </x:c>
      <x:c r="C903" s="31" t="inlineStr">
        <x:is>
          <x:t xml:space="preserve">ЗК-1053</x:t>
        </x:is>
      </x:c>
      <x:c r="D903" s="31" t="inlineStr">
        <x:is>
          <x:t xml:space="preserve">ПОЗ-0053-2</x:t>
        </x:is>
      </x:c>
      <x:c r="E903" s="31" t="inlineStr">
        <x:is>
          <x:t xml:space="preserve">ИЗД-024</x:t>
        </x:is>
      </x:c>
      <x:c r="F903" s="31" t="n">
        <x:v>30</x:v>
      </x:c>
      <x:c r="G903" s="31" t="inlineStr">
        <x:is>
          <x:t xml:space="preserve">Сварка рамы</x:t>
        </x:is>
      </x:c>
      <x:c r="H903" s="31" t="inlineStr">
        <x:is>
          <x:t xml:space="preserve">Сварка</x:t>
        </x:is>
      </x:c>
      <x:c r="I903" s="31" t="inlineStr">
        <x:is>
          <x:t xml:space="preserve">ОБ-021</x:t>
        </x:is>
      </x:c>
      <x:c r="J903" s="31" t="inlineStr">
        <x:is>
          <x:t xml:space="preserve">СОТР-061</x:t>
        </x:is>
      </x:c>
      <x:c r="K903" s="31" t="n">
        <x:v>8.699999999999999</x:v>
      </x:c>
      <x:c r="L903" s="31" t="n">
        <x:v>10.5</x:v>
      </x:c>
      <x:c r="M903" s="31" t="n">
        <x:v>46119</x:v>
      </x:c>
      <x:c r="N903" s="31" t="n">
        <x:v>46120</x:v>
      </x:c>
      <x:c r="O903" s="31" t="n">
        <x:v>46119</x:v>
      </x:c>
      <x:c r="P903" s="31" t="n">
        <x:v>46120</x:v>
      </x:c>
      <x:c r="Q903" s="31" t="inlineStr">
        <x:is>
          <x:t xml:space="preserve">Завершено</x:t>
        </x:is>
      </x:c>
      <x:c r="R903" s="31" t="inlineStr">
        <x:is>
          <x:t xml:space="preserve">Нет</x:t>
        </x:is>
      </x:c>
      <x:c r="S903" s="31" t="inlineStr">
        <x:is>
          <x:t xml:space="preserve">Нет</x:t>
        </x:is>
      </x:c>
    </x:row>
    <x:row r="904">
      <x:c r="A904" s="31" t="inlineStr">
        <x:is>
          <x:t xml:space="preserve">ОП-000903</x:t>
        </x:is>
      </x:c>
      <x:c r="B904" s="31" t="inlineStr">
        <x:is>
          <x:t xml:space="preserve">ПЗ-00108</x:t>
        </x:is>
      </x:c>
      <x:c r="C904" s="31" t="inlineStr">
        <x:is>
          <x:t xml:space="preserve">ЗК-1053</x:t>
        </x:is>
      </x:c>
      <x:c r="D904" s="31" t="inlineStr">
        <x:is>
          <x:t xml:space="preserve">ПОЗ-0053-2</x:t>
        </x:is>
      </x:c>
      <x:c r="E904" s="31" t="inlineStr">
        <x:is>
          <x:t xml:space="preserve">ИЗД-024</x:t>
        </x:is>
      </x:c>
      <x:c r="F904" s="31" t="n">
        <x:v>40</x:v>
      </x:c>
      <x:c r="G904" s="31" t="inlineStr">
        <x:is>
          <x:t xml:space="preserve">Сборка</x:t>
        </x:is>
      </x:c>
      <x:c r="H904" s="31" t="inlineStr">
        <x:is>
          <x:t xml:space="preserve">Сборка</x:t>
        </x:is>
      </x:c>
      <x:c r="I904" s="31" t="inlineStr">
        <x:is>
          <x:t xml:space="preserve">ОБ-005</x:t>
        </x:is>
      </x:c>
      <x:c r="J904" s="31" t="inlineStr">
        <x:is>
          <x:t xml:space="preserve">СОТР-090</x:t>
        </x:is>
      </x:c>
      <x:c r="K904" s="31" t="n">
        <x:v>6.3</x:v>
      </x:c>
      <x:c r="L904" s="31" t="n">
        <x:v>5.1</x:v>
      </x:c>
      <x:c r="M904" s="31" t="n">
        <x:v>46120</x:v>
      </x:c>
      <x:c r="N904" s="31" t="n">
        <x:v>46121</x:v>
      </x:c>
      <x:c r="O904" s="31" t="n">
        <x:v>46120</x:v>
      </x:c>
      <x:c r="P904" s="31" t="n">
        <x:v>46123</x:v>
      </x:c>
      <x:c r="Q904" s="31" t="inlineStr">
        <x:is>
          <x:t xml:space="preserve">Завершено</x:t>
        </x:is>
      </x:c>
      <x:c r="R904" s="31" t="inlineStr">
        <x:is>
          <x:t xml:space="preserve">Нет</x:t>
        </x:is>
      </x:c>
      <x:c r="S904" s="31" t="inlineStr">
        <x:is>
          <x:t xml:space="preserve">Нет</x:t>
        </x:is>
      </x:c>
    </x:row>
    <x:row r="905">
      <x:c r="A905" s="31" t="inlineStr">
        <x:is>
          <x:t xml:space="preserve">ОП-000904</x:t>
        </x:is>
      </x:c>
      <x:c r="B905" s="31" t="inlineStr">
        <x:is>
          <x:t xml:space="preserve">ПЗ-00108</x:t>
        </x:is>
      </x:c>
      <x:c r="C905" s="31" t="inlineStr">
        <x:is>
          <x:t xml:space="preserve">ЗК-1053</x:t>
        </x:is>
      </x:c>
      <x:c r="D905" s="31" t="inlineStr">
        <x:is>
          <x:t xml:space="preserve">ПОЗ-0053-2</x:t>
        </x:is>
      </x:c>
      <x:c r="E905" s="31" t="inlineStr">
        <x:is>
          <x:t xml:space="preserve">ИЗД-024</x:t>
        </x:is>
      </x:c>
      <x:c r="F905" s="31" t="n">
        <x:v>50</x:v>
      </x:c>
      <x:c r="G905" s="31" t="inlineStr">
        <x:is>
          <x:t xml:space="preserve">Обвязка труб</x:t>
        </x:is>
      </x:c>
      <x:c r="H905" s="31" t="inlineStr">
        <x:is>
          <x:t xml:space="preserve">Сборка</x:t>
        </x:is>
      </x:c>
      <x:c r="I905" s="31" t="inlineStr">
        <x:is>
          <x:t xml:space="preserve">ОБ-034</x:t>
        </x:is>
      </x:c>
      <x:c r="J905" s="31" t="inlineStr">
        <x:is>
          <x:t xml:space="preserve">СОТР-032</x:t>
        </x:is>
      </x:c>
      <x:c r="K905" s="31" t="n">
        <x:v>29.1</x:v>
      </x:c>
      <x:c r="L905" s="31" t="n">
        <x:v>33.2</x:v>
      </x:c>
      <x:c r="M905" s="31" t="n">
        <x:v>46121</x:v>
      </x:c>
      <x:c r="N905" s="31" t="n">
        <x:v>46124</x:v>
      </x:c>
      <x:c r="O905" s="31" t="n">
        <x:v>46121</x:v>
      </x:c>
      <x:c r="P905" s="31" t="n">
        <x:v>46123</x:v>
      </x:c>
      <x:c r="Q905" s="31" t="inlineStr">
        <x:is>
          <x:t xml:space="preserve">Завершено</x:t>
        </x:is>
      </x:c>
      <x:c r="R905" s="31" t="inlineStr">
        <x:is>
          <x:t xml:space="preserve">Нет</x:t>
        </x:is>
      </x:c>
      <x:c r="S905" s="31" t="inlineStr">
        <x:is>
          <x:t xml:space="preserve">Да</x:t>
        </x:is>
      </x:c>
    </x:row>
    <x:row r="906">
      <x:c r="A906" s="31" t="inlineStr">
        <x:is>
          <x:t xml:space="preserve">ОП-000905</x:t>
        </x:is>
      </x:c>
      <x:c r="B906" s="31" t="inlineStr">
        <x:is>
          <x:t xml:space="preserve">ПЗ-00108</x:t>
        </x:is>
      </x:c>
      <x:c r="C906" s="31" t="inlineStr">
        <x:is>
          <x:t xml:space="preserve">ЗК-1053</x:t>
        </x:is>
      </x:c>
      <x:c r="D906" s="31" t="inlineStr">
        <x:is>
          <x:t xml:space="preserve">ПОЗ-0053-2</x:t>
        </x:is>
      </x:c>
      <x:c r="E906" s="31" t="inlineStr">
        <x:is>
          <x:t xml:space="preserve">ИЗД-024</x:t>
        </x:is>
      </x:c>
      <x:c r="F906" s="31" t="n">
        <x:v>60</x:v>
      </x:c>
      <x:c r="G906" s="31" t="inlineStr">
        <x:is>
          <x:t xml:space="preserve">Электромонтаж</x:t>
        </x:is>
      </x:c>
      <x:c r="H906" s="31" t="inlineStr">
        <x:is>
          <x:t xml:space="preserve">Сборка</x:t>
        </x:is>
      </x:c>
      <x:c r="I906" s="31" t="inlineStr">
        <x:is>
          <x:t xml:space="preserve">ОБ-014</x:t>
        </x:is>
      </x:c>
      <x:c r="J906" s="31" t="inlineStr">
        <x:is>
          <x:t xml:space="preserve">СОТР-079</x:t>
        </x:is>
      </x:c>
      <x:c r="K906" s="31" t="n">
        <x:v>10.8</x:v>
      </x:c>
      <x:c r="L906" s="31" t="n">
        <x:v>14.4</x:v>
      </x:c>
      <x:c r="M906" s="31" t="n">
        <x:v>46124</x:v>
      </x:c>
      <x:c r="N906" s="31" t="n">
        <x:v>46125</x:v>
      </x:c>
      <x:c r="O906" s="31" t="n">
        <x:v>46124</x:v>
      </x:c>
      <x:c r="P906" s="31" t="n">
        <x:v>46127</x:v>
      </x:c>
      <x:c r="Q906" s="31" t="inlineStr">
        <x:is>
          <x:t xml:space="preserve">Завершено</x:t>
        </x:is>
      </x:c>
      <x:c r="R906" s="31" t="inlineStr">
        <x:is>
          <x:t xml:space="preserve">Нет</x:t>
        </x:is>
      </x:c>
      <x:c r="S906" s="31" t="inlineStr">
        <x:is>
          <x:t xml:space="preserve">Нет</x:t>
        </x:is>
      </x:c>
    </x:row>
    <x:row r="907">
      <x:c r="A907" s="31" t="inlineStr">
        <x:is>
          <x:t xml:space="preserve">ОП-000906</x:t>
        </x:is>
      </x:c>
      <x:c r="B907" s="31" t="inlineStr">
        <x:is>
          <x:t xml:space="preserve">ПЗ-00108</x:t>
        </x:is>
      </x:c>
      <x:c r="C907" s="31" t="inlineStr">
        <x:is>
          <x:t xml:space="preserve">ЗК-1053</x:t>
        </x:is>
      </x:c>
      <x:c r="D907" s="31" t="inlineStr">
        <x:is>
          <x:t xml:space="preserve">ПОЗ-0053-2</x:t>
        </x:is>
      </x:c>
      <x:c r="E907" s="31" t="inlineStr">
        <x:is>
          <x:t xml:space="preserve">ИЗД-024</x:t>
        </x:is>
      </x:c>
      <x:c r="F907" s="31" t="n">
        <x:v>70</x:v>
      </x:c>
      <x:c r="G907" s="31" t="inlineStr">
        <x:is>
          <x:t xml:space="preserve">Гидроиспытания</x:t>
        </x:is>
      </x:c>
      <x:c r="H907" s="31" t="inlineStr">
        <x:is>
          <x:t xml:space="preserve">ОТК</x:t>
        </x:is>
      </x:c>
      <x:c r="I907" s="31" t="inlineStr">
        <x:is>
          <x:t xml:space="preserve">ОБ-022</x:t>
        </x:is>
      </x:c>
      <x:c r="J907" s="31" t="inlineStr">
        <x:is>
          <x:t xml:space="preserve">СОТР-093</x:t>
        </x:is>
      </x:c>
      <x:c r="K907" s="31" t="n">
        <x:v>15.6</x:v>
      </x:c>
      <x:c r="L907" s="31" t="n">
        <x:v>14.7</x:v>
      </x:c>
      <x:c r="M907" s="31" t="n">
        <x:v>46125</x:v>
      </x:c>
      <x:c r="N907" s="31" t="n">
        <x:v>46127</x:v>
      </x:c>
      <x:c r="O907" s="31" t="n">
        <x:v>46125</x:v>
      </x:c>
      <x:c r="P907" s="31" t="n">
        <x:v>46128</x:v>
      </x:c>
      <x:c r="Q907" s="31" t="inlineStr">
        <x:is>
          <x:t xml:space="preserve">Завершено</x:t>
        </x:is>
      </x:c>
      <x:c r="R907" s="31" t="inlineStr">
        <x:is>
          <x:t xml:space="preserve">Нет</x:t>
        </x:is>
      </x:c>
      <x:c r="S907" s="31" t="inlineStr">
        <x:is>
          <x:t xml:space="preserve">Нет</x:t>
        </x:is>
      </x:c>
    </x:row>
    <x:row r="908">
      <x:c r="A908" s="31" t="inlineStr">
        <x:is>
          <x:t xml:space="preserve">ОП-000907</x:t>
        </x:is>
      </x:c>
      <x:c r="B908" s="31" t="inlineStr">
        <x:is>
          <x:t xml:space="preserve">ПЗ-00108</x:t>
        </x:is>
      </x:c>
      <x:c r="C908" s="31" t="inlineStr">
        <x:is>
          <x:t xml:space="preserve">ЗК-1053</x:t>
        </x:is>
      </x:c>
      <x:c r="D908" s="31" t="inlineStr">
        <x:is>
          <x:t xml:space="preserve">ПОЗ-0053-2</x:t>
        </x:is>
      </x:c>
      <x:c r="E908" s="31" t="inlineStr">
        <x:is>
          <x:t xml:space="preserve">ИЗД-024</x:t>
        </x:is>
      </x:c>
      <x:c r="F908" s="31" t="n">
        <x:v>80</x:v>
      </x:c>
      <x:c r="G908" s="31" t="inlineStr">
        <x:is>
          <x:t xml:space="preserve">ОТК</x:t>
        </x:is>
      </x:c>
      <x:c r="H908" s="31" t="inlineStr">
        <x:is>
          <x:t xml:space="preserve">ОТК</x:t>
        </x:is>
      </x:c>
      <x:c r="I908" s="31" t="inlineStr">
        <x:is>
          <x:t xml:space="preserve">ОБ-024</x:t>
        </x:is>
      </x:c>
      <x:c r="J908" s="31" t="inlineStr">
        <x:is>
          <x:t xml:space="preserve">СОТР-096</x:t>
        </x:is>
      </x:c>
      <x:c r="K908" s="31" t="n">
        <x:v>17.1</x:v>
      </x:c>
      <x:c r="L908" s="31" t="n">
        <x:v>19.8</x:v>
      </x:c>
      <x:c r="M908" s="31" t="n">
        <x:v>46127</x:v>
      </x:c>
      <x:c r="N908" s="31" t="n">
        <x:v>46129</x:v>
      </x:c>
      <x:c r="O908" s="31" t="n">
        <x:v>46127</x:v>
      </x:c>
      <x:c r="P908" s="31" t="n">
        <x:v>46128</x:v>
      </x:c>
      <x:c r="Q908" s="31" t="inlineStr">
        <x:is>
          <x:t xml:space="preserve">Завершено</x:t>
        </x:is>
      </x:c>
      <x:c r="R908" s="31" t="inlineStr">
        <x:is>
          <x:t xml:space="preserve">Нет</x:t>
        </x:is>
      </x:c>
      <x:c r="S908" s="31" t="inlineStr">
        <x:is>
          <x:t xml:space="preserve">Да</x:t>
        </x:is>
      </x:c>
    </x:row>
    <x:row r="909">
      <x:c r="A909" s="31" t="inlineStr">
        <x:is>
          <x:t xml:space="preserve">ОП-000908</x:t>
        </x:is>
      </x:c>
      <x:c r="B909" s="31" t="inlineStr">
        <x:is>
          <x:t xml:space="preserve">ПЗ-00108</x:t>
        </x:is>
      </x:c>
      <x:c r="C909" s="31" t="inlineStr">
        <x:is>
          <x:t xml:space="preserve">ЗК-1053</x:t>
        </x:is>
      </x:c>
      <x:c r="D909" s="31" t="inlineStr">
        <x:is>
          <x:t xml:space="preserve">ПОЗ-0053-2</x:t>
        </x:is>
      </x:c>
      <x:c r="E909" s="31" t="inlineStr">
        <x:is>
          <x:t xml:space="preserve">ИЗД-024</x:t>
        </x:is>
      </x:c>
      <x:c r="F909" s="31" t="n">
        <x:v>90</x:v>
      </x:c>
      <x:c r="G909" s="31" t="inlineStr">
        <x:is>
          <x:t xml:space="preserve">Упаковка</x:t>
        </x:is>
      </x:c>
      <x:c r="H909" s="31" t="inlineStr">
        <x:is>
          <x:t xml:space="preserve">Логистика</x:t>
        </x:is>
      </x:c>
      <x:c r="I909" s="31" t="n"/>
      <x:c r="J909" s="31" t="inlineStr">
        <x:is>
          <x:t xml:space="preserve">СОТР-070</x:t>
        </x:is>
      </x:c>
      <x:c r="K909" s="31" t="n">
        <x:v>25.8</x:v>
      </x:c>
      <x:c r="L909" s="31" t="n">
        <x:v>27</x:v>
      </x:c>
      <x:c r="M909" s="31" t="n">
        <x:v>46129</x:v>
      </x:c>
      <x:c r="N909" s="31" t="n">
        <x:v>46132</x:v>
      </x:c>
      <x:c r="O909" s="31" t="n">
        <x:v>46129</x:v>
      </x:c>
      <x:c r="P909" s="31" t="n">
        <x:v>46133</x:v>
      </x:c>
      <x:c r="Q909" s="31" t="inlineStr">
        <x:is>
          <x:t xml:space="preserve">Завершено</x:t>
        </x:is>
      </x:c>
      <x:c r="R909" s="31" t="inlineStr">
        <x:is>
          <x:t xml:space="preserve">Нет</x:t>
        </x:is>
      </x:c>
      <x:c r="S909" s="31" t="inlineStr">
        <x:is>
          <x:t xml:space="preserve">Нет</x:t>
        </x:is>
      </x:c>
    </x:row>
    <x:row r="910">
      <x:c r="A910" s="31" t="inlineStr">
        <x:is>
          <x:t xml:space="preserve">ОП-000909</x:t>
        </x:is>
      </x:c>
      <x:c r="B910" s="31" t="inlineStr">
        <x:is>
          <x:t xml:space="preserve">ПЗ-00109</x:t>
        </x:is>
      </x:c>
      <x:c r="C910" s="31" t="inlineStr">
        <x:is>
          <x:t xml:space="preserve">ЗК-1053</x:t>
        </x:is>
      </x:c>
      <x:c r="D910" s="31" t="inlineStr">
        <x:is>
          <x:t xml:space="preserve">ПОЗ-0053-3</x:t>
        </x:is>
      </x:c>
      <x:c r="E910" s="31" t="inlineStr">
        <x:is>
          <x:t xml:space="preserve">ИЗД-035</x:t>
        </x:is>
      </x:c>
      <x:c r="F910" s="31" t="n">
        <x:v>10</x:v>
      </x:c>
      <x:c r="G910" s="31" t="inlineStr">
        <x:is>
          <x:t xml:space="preserve">КД</x:t>
        </x:is>
      </x:c>
      <x:c r="H910" s="31" t="inlineStr">
        <x:is>
          <x:t xml:space="preserve">Инженерный отдел</x:t>
        </x:is>
      </x:c>
      <x:c r="I910" s="31" t="n"/>
      <x:c r="J910" s="31" t="inlineStr">
        <x:is>
          <x:t xml:space="preserve">СОТР-021</x:t>
        </x:is>
      </x:c>
      <x:c r="K910" s="31" t="n">
        <x:v>6.9</x:v>
      </x:c>
      <x:c r="L910" s="31" t="n"/>
      <x:c r="M910" s="31" t="n">
        <x:v>46109</x:v>
      </x:c>
      <x:c r="N910" s="31" t="n">
        <x:v>46110</x:v>
      </x:c>
      <x:c r="O910" s="31" t="n"/>
      <x:c r="P910" s="31" t="n"/>
      <x:c r="Q910" s="31" t="inlineStr">
        <x:is>
          <x:t xml:space="preserve">Запланировано</x:t>
        </x:is>
      </x:c>
      <x:c r="R910" s="31" t="inlineStr">
        <x:is>
          <x:t xml:space="preserve">Нет</x:t>
        </x:is>
      </x:c>
      <x:c r="S910" s="31" t="inlineStr">
        <x:is>
          <x:t xml:space="preserve">Нет</x:t>
        </x:is>
      </x:c>
    </x:row>
    <x:row r="911">
      <x:c r="A911" s="31" t="inlineStr">
        <x:is>
          <x:t xml:space="preserve">ОП-000910</x:t>
        </x:is>
      </x:c>
      <x:c r="B911" s="31" t="inlineStr">
        <x:is>
          <x:t xml:space="preserve">ПЗ-00109</x:t>
        </x:is>
      </x:c>
      <x:c r="C911" s="31" t="inlineStr">
        <x:is>
          <x:t xml:space="preserve">ЗК-1053</x:t>
        </x:is>
      </x:c>
      <x:c r="D911" s="31" t="inlineStr">
        <x:is>
          <x:t xml:space="preserve">ПОЗ-0053-3</x:t>
        </x:is>
      </x:c>
      <x:c r="E911" s="31" t="inlineStr">
        <x:is>
          <x:t xml:space="preserve">ИЗД-035</x:t>
        </x:is>
      </x:c>
      <x:c r="F911" s="31" t="n">
        <x:v>20</x:v>
      </x:c>
      <x:c r="G911" s="31" t="inlineStr">
        <x:is>
          <x:t xml:space="preserve">Резерв материалов</x:t>
        </x:is>
      </x:c>
      <x:c r="H911" s="31" t="inlineStr">
        <x:is>
          <x:t xml:space="preserve">Склад</x:t>
        </x:is>
      </x:c>
      <x:c r="I911" s="31" t="inlineStr">
        <x:is>
          <x:t xml:space="preserve">ОБ-023</x:t>
        </x:is>
      </x:c>
      <x:c r="J911" s="31" t="inlineStr">
        <x:is>
          <x:t xml:space="preserve">СОТР-035</x:t>
        </x:is>
      </x:c>
      <x:c r="K911" s="31" t="n">
        <x:v>10.2</x:v>
      </x:c>
      <x:c r="L911" s="31" t="n"/>
      <x:c r="M911" s="31" t="n">
        <x:v>46110</x:v>
      </x:c>
      <x:c r="N911" s="31" t="n">
        <x:v>46111</x:v>
      </x:c>
      <x:c r="O911" s="31" t="n"/>
      <x:c r="P911" s="31" t="n"/>
      <x:c r="Q911" s="31" t="inlineStr">
        <x:is>
          <x:t xml:space="preserve">Запланировано</x:t>
        </x:is>
      </x:c>
      <x:c r="R911" s="31" t="inlineStr">
        <x:is>
          <x:t xml:space="preserve">Материал</x:t>
        </x:is>
      </x:c>
      <x:c r="S911" s="31" t="inlineStr">
        <x:is>
          <x:t xml:space="preserve">Нет</x:t>
        </x:is>
      </x:c>
    </x:row>
    <x:row r="912">
      <x:c r="A912" s="31" t="inlineStr">
        <x:is>
          <x:t xml:space="preserve">ОП-000911</x:t>
        </x:is>
      </x:c>
      <x:c r="B912" s="31" t="inlineStr">
        <x:is>
          <x:t xml:space="preserve">ПЗ-00109</x:t>
        </x:is>
      </x:c>
      <x:c r="C912" s="31" t="inlineStr">
        <x:is>
          <x:t xml:space="preserve">ЗК-1053</x:t>
        </x:is>
      </x:c>
      <x:c r="D912" s="31" t="inlineStr">
        <x:is>
          <x:t xml:space="preserve">ПОЗ-0053-3</x:t>
        </x:is>
      </x:c>
      <x:c r="E912" s="31" t="inlineStr">
        <x:is>
          <x:t xml:space="preserve">ИЗД-035</x:t>
        </x:is>
      </x:c>
      <x:c r="F912" s="31" t="n">
        <x:v>30</x:v>
      </x:c>
      <x:c r="G912" s="31" t="inlineStr">
        <x:is>
          <x:t xml:space="preserve">Резка металла</x:t>
        </x:is>
      </x:c>
      <x:c r="H912" s="31" t="inlineStr">
        <x:is>
          <x:t xml:space="preserve">Сварка</x:t>
        </x:is>
      </x:c>
      <x:c r="I912" s="31" t="inlineStr">
        <x:is>
          <x:t xml:space="preserve">ОБ-021</x:t>
        </x:is>
      </x:c>
      <x:c r="J912" s="31" t="inlineStr">
        <x:is>
          <x:t xml:space="preserve">СОТР-056</x:t>
        </x:is>
      </x:c>
      <x:c r="K912" s="31" t="n">
        <x:v>4.7</x:v>
      </x:c>
      <x:c r="L912" s="31" t="n"/>
      <x:c r="M912" s="31" t="n">
        <x:v>46111</x:v>
      </x:c>
      <x:c r="N912" s="31" t="n">
        <x:v>46112</x:v>
      </x:c>
      <x:c r="O912" s="31" t="n"/>
      <x:c r="P912" s="31" t="n"/>
      <x:c r="Q912" s="31" t="inlineStr">
        <x:is>
          <x:t xml:space="preserve">Запланировано</x:t>
        </x:is>
      </x:c>
      <x:c r="R912" s="31" t="inlineStr">
        <x:is>
          <x:t xml:space="preserve">Нет</x:t>
        </x:is>
      </x:c>
      <x:c r="S912" s="31" t="inlineStr">
        <x:is>
          <x:t xml:space="preserve">Нет</x:t>
        </x:is>
      </x:c>
    </x:row>
    <x:row r="913">
      <x:c r="A913" s="31" t="inlineStr">
        <x:is>
          <x:t xml:space="preserve">ОП-000912</x:t>
        </x:is>
      </x:c>
      <x:c r="B913" s="31" t="inlineStr">
        <x:is>
          <x:t xml:space="preserve">ПЗ-00109</x:t>
        </x:is>
      </x:c>
      <x:c r="C913" s="31" t="inlineStr">
        <x:is>
          <x:t xml:space="preserve">ЗК-1053</x:t>
        </x:is>
      </x:c>
      <x:c r="D913" s="31" t="inlineStr">
        <x:is>
          <x:t xml:space="preserve">ПОЗ-0053-3</x:t>
        </x:is>
      </x:c>
      <x:c r="E913" s="31" t="inlineStr">
        <x:is>
          <x:t xml:space="preserve">ИЗД-035</x:t>
        </x:is>
      </x:c>
      <x:c r="F913" s="31" t="n">
        <x:v>40</x:v>
      </x:c>
      <x:c r="G913" s="31" t="inlineStr">
        <x:is>
          <x:t xml:space="preserve">Сварка рамы</x:t>
        </x:is>
      </x:c>
      <x:c r="H913" s="31" t="inlineStr">
        <x:is>
          <x:t xml:space="preserve">Сварка</x:t>
        </x:is>
      </x:c>
      <x:c r="I913" s="31" t="inlineStr">
        <x:is>
          <x:t xml:space="preserve">ОБ-035</x:t>
        </x:is>
      </x:c>
      <x:c r="J913" s="31" t="inlineStr">
        <x:is>
          <x:t xml:space="preserve">СОТР-060</x:t>
        </x:is>
      </x:c>
      <x:c r="K913" s="31" t="n">
        <x:v>2.3</x:v>
      </x:c>
      <x:c r="L913" s="31" t="n"/>
      <x:c r="M913" s="31" t="n">
        <x:v>46112</x:v>
      </x:c>
      <x:c r="N913" s="31" t="n">
        <x:v>46113</x:v>
      </x:c>
      <x:c r="O913" s="31" t="n"/>
      <x:c r="P913" s="31" t="n"/>
      <x:c r="Q913" s="31" t="inlineStr">
        <x:is>
          <x:t xml:space="preserve">Запланировано</x:t>
        </x:is>
      </x:c>
      <x:c r="R913" s="31" t="inlineStr">
        <x:is>
          <x:t xml:space="preserve">Нет</x:t>
        </x:is>
      </x:c>
      <x:c r="S913" s="31" t="inlineStr">
        <x:is>
          <x:t xml:space="preserve">Нет</x:t>
        </x:is>
      </x:c>
    </x:row>
    <x:row r="914">
      <x:c r="A914" s="31" t="inlineStr">
        <x:is>
          <x:t xml:space="preserve">ОП-000913</x:t>
        </x:is>
      </x:c>
      <x:c r="B914" s="31" t="inlineStr">
        <x:is>
          <x:t xml:space="preserve">ПЗ-00109</x:t>
        </x:is>
      </x:c>
      <x:c r="C914" s="31" t="inlineStr">
        <x:is>
          <x:t xml:space="preserve">ЗК-1053</x:t>
        </x:is>
      </x:c>
      <x:c r="D914" s="31" t="inlineStr">
        <x:is>
          <x:t xml:space="preserve">ПОЗ-0053-3</x:t>
        </x:is>
      </x:c>
      <x:c r="E914" s="31" t="inlineStr">
        <x:is>
          <x:t xml:space="preserve">ИЗД-035</x:t>
        </x:is>
      </x:c>
      <x:c r="F914" s="31" t="n">
        <x:v>50</x:v>
      </x:c>
      <x:c r="G914" s="31" t="inlineStr">
        <x:is>
          <x:t xml:space="preserve">Механообработка</x:t>
        </x:is>
      </x:c>
      <x:c r="H914" s="31" t="inlineStr">
        <x:is>
          <x:t xml:space="preserve">Механообработка</x:t>
        </x:is>
      </x:c>
      <x:c r="I914" s="31" t="inlineStr">
        <x:is>
          <x:t xml:space="preserve">ОБ-031</x:t>
        </x:is>
      </x:c>
      <x:c r="J914" s="31" t="inlineStr">
        <x:is>
          <x:t xml:space="preserve">СОТР-043</x:t>
        </x:is>
      </x:c>
      <x:c r="K914" s="31" t="n">
        <x:v>6.9</x:v>
      </x:c>
      <x:c r="L914" s="31" t="n"/>
      <x:c r="M914" s="31" t="n">
        <x:v>46113</x:v>
      </x:c>
      <x:c r="N914" s="31" t="n">
        <x:v>46114</x:v>
      </x:c>
      <x:c r="O914" s="31" t="n"/>
      <x:c r="P914" s="31" t="n"/>
      <x:c r="Q914" s="31" t="inlineStr">
        <x:is>
          <x:t xml:space="preserve">Запланировано</x:t>
        </x:is>
      </x:c>
      <x:c r="R914" s="31" t="inlineStr">
        <x:is>
          <x:t xml:space="preserve">Нет</x:t>
        </x:is>
      </x:c>
      <x:c r="S914" s="31" t="inlineStr">
        <x:is>
          <x:t xml:space="preserve">Нет</x:t>
        </x:is>
      </x:c>
    </x:row>
    <x:row r="915">
      <x:c r="A915" s="31" t="inlineStr">
        <x:is>
          <x:t xml:space="preserve">ОП-000914</x:t>
        </x:is>
      </x:c>
      <x:c r="B915" s="31" t="inlineStr">
        <x:is>
          <x:t xml:space="preserve">ПЗ-00109</x:t>
        </x:is>
      </x:c>
      <x:c r="C915" s="31" t="inlineStr">
        <x:is>
          <x:t xml:space="preserve">ЗК-1053</x:t>
        </x:is>
      </x:c>
      <x:c r="D915" s="31" t="inlineStr">
        <x:is>
          <x:t xml:space="preserve">ПОЗ-0053-3</x:t>
        </x:is>
      </x:c>
      <x:c r="E915" s="31" t="inlineStr">
        <x:is>
          <x:t xml:space="preserve">ИЗД-035</x:t>
        </x:is>
      </x:c>
      <x:c r="F915" s="31" t="n">
        <x:v>60</x:v>
      </x:c>
      <x:c r="G915" s="31" t="inlineStr">
        <x:is>
          <x:t xml:space="preserve">Сборка</x:t>
        </x:is>
      </x:c>
      <x:c r="H915" s="31" t="inlineStr">
        <x:is>
          <x:t xml:space="preserve">Сборка</x:t>
        </x:is>
      </x:c>
      <x:c r="I915" s="31" t="inlineStr">
        <x:is>
          <x:t xml:space="preserve">ОБ-012</x:t>
        </x:is>
      </x:c>
      <x:c r="J915" s="31" t="inlineStr">
        <x:is>
          <x:t xml:space="preserve">СОТР-088</x:t>
        </x:is>
      </x:c>
      <x:c r="K915" s="31" t="n">
        <x:v>1.4</x:v>
      </x:c>
      <x:c r="L915" s="31" t="n"/>
      <x:c r="M915" s="31" t="n">
        <x:v>46114</x:v>
      </x:c>
      <x:c r="N915" s="31" t="n">
        <x:v>46115</x:v>
      </x:c>
      <x:c r="O915" s="31" t="n"/>
      <x:c r="P915" s="31" t="n"/>
      <x:c r="Q915" s="31" t="inlineStr">
        <x:is>
          <x:t xml:space="preserve">Запланировано</x:t>
        </x:is>
      </x:c>
      <x:c r="R915" s="31" t="inlineStr">
        <x:is>
          <x:t xml:space="preserve">Нет</x:t>
        </x:is>
      </x:c>
      <x:c r="S915" s="31" t="inlineStr">
        <x:is>
          <x:t xml:space="preserve">Нет</x:t>
        </x:is>
      </x:c>
    </x:row>
    <x:row r="916">
      <x:c r="A916" s="31" t="inlineStr">
        <x:is>
          <x:t xml:space="preserve">ОП-000915</x:t>
        </x:is>
      </x:c>
      <x:c r="B916" s="31" t="inlineStr">
        <x:is>
          <x:t xml:space="preserve">ПЗ-00109</x:t>
        </x:is>
      </x:c>
      <x:c r="C916" s="31" t="inlineStr">
        <x:is>
          <x:t xml:space="preserve">ЗК-1053</x:t>
        </x:is>
      </x:c>
      <x:c r="D916" s="31" t="inlineStr">
        <x:is>
          <x:t xml:space="preserve">ПОЗ-0053-3</x:t>
        </x:is>
      </x:c>
      <x:c r="E916" s="31" t="inlineStr">
        <x:is>
          <x:t xml:space="preserve">ИЗД-035</x:t>
        </x:is>
      </x:c>
      <x:c r="F916" s="31" t="n">
        <x:v>70</x:v>
      </x:c>
      <x:c r="G916" s="31" t="inlineStr">
        <x:is>
          <x:t xml:space="preserve">Обвязка труб</x:t>
        </x:is>
      </x:c>
      <x:c r="H916" s="31" t="inlineStr">
        <x:is>
          <x:t xml:space="preserve">Сборка</x:t>
        </x:is>
      </x:c>
      <x:c r="I916" s="31" t="inlineStr">
        <x:is>
          <x:t xml:space="preserve">ОБ-002</x:t>
        </x:is>
      </x:c>
      <x:c r="J916" s="31" t="inlineStr">
        <x:is>
          <x:t xml:space="preserve">СОТР-090</x:t>
        </x:is>
      </x:c>
      <x:c r="K916" s="31" t="n">
        <x:v>11</x:v>
      </x:c>
      <x:c r="L916" s="31" t="n"/>
      <x:c r="M916" s="31" t="n">
        <x:v>46115</x:v>
      </x:c>
      <x:c r="N916" s="31" t="n">
        <x:v>46116</x:v>
      </x:c>
      <x:c r="O916" s="31" t="n"/>
      <x:c r="P916" s="31" t="n"/>
      <x:c r="Q916" s="31" t="inlineStr">
        <x:is>
          <x:t xml:space="preserve">Запланировано</x:t>
        </x:is>
      </x:c>
      <x:c r="R916" s="31" t="inlineStr">
        <x:is>
          <x:t xml:space="preserve">Нет</x:t>
        </x:is>
      </x:c>
      <x:c r="S916" s="31" t="inlineStr">
        <x:is>
          <x:t xml:space="preserve">Нет</x:t>
        </x:is>
      </x:c>
    </x:row>
    <x:row r="917">
      <x:c r="A917" s="31" t="inlineStr">
        <x:is>
          <x:t xml:space="preserve">ОП-000916</x:t>
        </x:is>
      </x:c>
      <x:c r="B917" s="31" t="inlineStr">
        <x:is>
          <x:t xml:space="preserve">ПЗ-00109</x:t>
        </x:is>
      </x:c>
      <x:c r="C917" s="31" t="inlineStr">
        <x:is>
          <x:t xml:space="preserve">ЗК-1053</x:t>
        </x:is>
      </x:c>
      <x:c r="D917" s="31" t="inlineStr">
        <x:is>
          <x:t xml:space="preserve">ПОЗ-0053-3</x:t>
        </x:is>
      </x:c>
      <x:c r="E917" s="31" t="inlineStr">
        <x:is>
          <x:t xml:space="preserve">ИЗД-035</x:t>
        </x:is>
      </x:c>
      <x:c r="F917" s="31" t="n">
        <x:v>80</x:v>
      </x:c>
      <x:c r="G917" s="31" t="inlineStr">
        <x:is>
          <x:t xml:space="preserve">Электромонтаж</x:t>
        </x:is>
      </x:c>
      <x:c r="H917" s="31" t="inlineStr">
        <x:is>
          <x:t xml:space="preserve">Сборка</x:t>
        </x:is>
      </x:c>
      <x:c r="I917" s="31" t="inlineStr">
        <x:is>
          <x:t xml:space="preserve">ОБ-002</x:t>
        </x:is>
      </x:c>
      <x:c r="J917" s="31" t="inlineStr">
        <x:is>
          <x:t xml:space="preserve">СОТР-081</x:t>
        </x:is>
      </x:c>
      <x:c r="K917" s="31" t="n">
        <x:v>1.2</x:v>
      </x:c>
      <x:c r="L917" s="31" t="n"/>
      <x:c r="M917" s="31" t="n">
        <x:v>46116</x:v>
      </x:c>
      <x:c r="N917" s="31" t="n">
        <x:v>46117</x:v>
      </x:c>
      <x:c r="O917" s="31" t="n"/>
      <x:c r="P917" s="31" t="n"/>
      <x:c r="Q917" s="31" t="inlineStr">
        <x:is>
          <x:t xml:space="preserve">Запланировано</x:t>
        </x:is>
      </x:c>
      <x:c r="R917" s="31" t="inlineStr">
        <x:is>
          <x:t xml:space="preserve">Материал</x:t>
        </x:is>
      </x:c>
      <x:c r="S917" s="31" t="inlineStr">
        <x:is>
          <x:t xml:space="preserve">Нет</x:t>
        </x:is>
      </x:c>
    </x:row>
    <x:row r="918">
      <x:c r="A918" s="31" t="inlineStr">
        <x:is>
          <x:t xml:space="preserve">ОП-000917</x:t>
        </x:is>
      </x:c>
      <x:c r="B918" s="31" t="inlineStr">
        <x:is>
          <x:t xml:space="preserve">ПЗ-00109</x:t>
        </x:is>
      </x:c>
      <x:c r="C918" s="31" t="inlineStr">
        <x:is>
          <x:t xml:space="preserve">ЗК-1053</x:t>
        </x:is>
      </x:c>
      <x:c r="D918" s="31" t="inlineStr">
        <x:is>
          <x:t xml:space="preserve">ПОЗ-0053-3</x:t>
        </x:is>
      </x:c>
      <x:c r="E918" s="31" t="inlineStr">
        <x:is>
          <x:t xml:space="preserve">ИЗД-035</x:t>
        </x:is>
      </x:c>
      <x:c r="F918" s="31" t="n">
        <x:v>90</x:v>
      </x:c>
      <x:c r="G918" s="31" t="inlineStr">
        <x:is>
          <x:t xml:space="preserve">Приемочные испытания</x:t>
        </x:is>
      </x:c>
      <x:c r="H918" s="31" t="inlineStr">
        <x:is>
          <x:t xml:space="preserve">ОТК</x:t>
        </x:is>
      </x:c>
      <x:c r="I918" s="31" t="inlineStr">
        <x:is>
          <x:t xml:space="preserve">ОБ-033</x:t>
        </x:is>
      </x:c>
      <x:c r="J918" s="31" t="inlineStr">
        <x:is>
          <x:t xml:space="preserve">СОТР-095</x:t>
        </x:is>
      </x:c>
      <x:c r="K918" s="31" t="n">
        <x:v>2.1</x:v>
      </x:c>
      <x:c r="L918" s="31" t="n"/>
      <x:c r="M918" s="31" t="n">
        <x:v>46117</x:v>
      </x:c>
      <x:c r="N918" s="31" t="n">
        <x:v>46118</x:v>
      </x:c>
      <x:c r="O918" s="31" t="n"/>
      <x:c r="P918" s="31" t="n"/>
      <x:c r="Q918" s="31" t="inlineStr">
        <x:is>
          <x:t xml:space="preserve">Запланировано</x:t>
        </x:is>
      </x:c>
      <x:c r="R918" s="31" t="inlineStr">
        <x:is>
          <x:t xml:space="preserve">Нет</x:t>
        </x:is>
      </x:c>
      <x:c r="S918" s="31" t="inlineStr">
        <x:is>
          <x:t xml:space="preserve">Нет</x:t>
        </x:is>
      </x:c>
    </x:row>
    <x:row r="919">
      <x:c r="A919" s="31" t="inlineStr">
        <x:is>
          <x:t xml:space="preserve">ОП-000918</x:t>
        </x:is>
      </x:c>
      <x:c r="B919" s="31" t="inlineStr">
        <x:is>
          <x:t xml:space="preserve">ПЗ-00109</x:t>
        </x:is>
      </x:c>
      <x:c r="C919" s="31" t="inlineStr">
        <x:is>
          <x:t xml:space="preserve">ЗК-1053</x:t>
        </x:is>
      </x:c>
      <x:c r="D919" s="31" t="inlineStr">
        <x:is>
          <x:t xml:space="preserve">ПОЗ-0053-3</x:t>
        </x:is>
      </x:c>
      <x:c r="E919" s="31" t="inlineStr">
        <x:is>
          <x:t xml:space="preserve">ИЗД-035</x:t>
        </x:is>
      </x:c>
      <x:c r="F919" s="31" t="n">
        <x:v>100</x:v>
      </x:c>
      <x:c r="G919" s="31" t="inlineStr">
        <x:is>
          <x:t xml:space="preserve">ОТК</x:t>
        </x:is>
      </x:c>
      <x:c r="H919" s="31" t="inlineStr">
        <x:is>
          <x:t xml:space="preserve">ОТК</x:t>
        </x:is>
      </x:c>
      <x:c r="I919" s="31" t="inlineStr">
        <x:is>
          <x:t xml:space="preserve">ОБ-006</x:t>
        </x:is>
      </x:c>
      <x:c r="J919" s="31" t="inlineStr">
        <x:is>
          <x:t xml:space="preserve">СОТР-099</x:t>
        </x:is>
      </x:c>
      <x:c r="K919" s="31" t="n">
        <x:v>10</x:v>
      </x:c>
      <x:c r="L919" s="31" t="n"/>
      <x:c r="M919" s="31" t="n">
        <x:v>46118</x:v>
      </x:c>
      <x:c r="N919" s="31" t="n">
        <x:v>46119</x:v>
      </x:c>
      <x:c r="O919" s="31" t="n"/>
      <x:c r="P919" s="31" t="n"/>
      <x:c r="Q919" s="31" t="inlineStr">
        <x:is>
          <x:t xml:space="preserve">Запланировано</x:t>
        </x:is>
      </x:c>
      <x:c r="R919" s="31" t="inlineStr">
        <x:is>
          <x:t xml:space="preserve">Материал</x:t>
        </x:is>
      </x:c>
      <x:c r="S919" s="31" t="inlineStr">
        <x:is>
          <x:t xml:space="preserve">Нет</x:t>
        </x:is>
      </x:c>
    </x:row>
    <x:row r="920">
      <x:c r="A920" s="31" t="inlineStr">
        <x:is>
          <x:t xml:space="preserve">ОП-000919</x:t>
        </x:is>
      </x:c>
      <x:c r="B920" s="31" t="inlineStr">
        <x:is>
          <x:t xml:space="preserve">ПЗ-00109</x:t>
        </x:is>
      </x:c>
      <x:c r="C920" s="31" t="inlineStr">
        <x:is>
          <x:t xml:space="preserve">ЗК-1053</x:t>
        </x:is>
      </x:c>
      <x:c r="D920" s="31" t="inlineStr">
        <x:is>
          <x:t xml:space="preserve">ПОЗ-0053-3</x:t>
        </x:is>
      </x:c>
      <x:c r="E920" s="31" t="inlineStr">
        <x:is>
          <x:t xml:space="preserve">ИЗД-035</x:t>
        </x:is>
      </x:c>
      <x:c r="F920" s="31" t="n">
        <x:v>110</x:v>
      </x:c>
      <x:c r="G920" s="31" t="inlineStr">
        <x:is>
          <x:t xml:space="preserve">Упаковка</x:t>
        </x:is>
      </x:c>
      <x:c r="H920" s="31" t="inlineStr">
        <x:is>
          <x:t xml:space="preserve">Логистика</x:t>
        </x:is>
      </x:c>
      <x:c r="I920" s="31" t="n"/>
      <x:c r="J920" s="31" t="inlineStr">
        <x:is>
          <x:t xml:space="preserve">СОТР-101</x:t>
        </x:is>
      </x:c>
      <x:c r="K920" s="31" t="n">
        <x:v>7.8</x:v>
      </x:c>
      <x:c r="L920" s="31" t="n"/>
      <x:c r="M920" s="31" t="n">
        <x:v>46119</x:v>
      </x:c>
      <x:c r="N920" s="31" t="n">
        <x:v>46120</x:v>
      </x:c>
      <x:c r="O920" s="31" t="n"/>
      <x:c r="P920" s="31" t="n"/>
      <x:c r="Q920" s="31" t="inlineStr">
        <x:is>
          <x:t xml:space="preserve">Запланировано</x:t>
        </x:is>
      </x:c>
      <x:c r="R920" s="31" t="inlineStr">
        <x:is>
          <x:t xml:space="preserve">Нет</x:t>
        </x:is>
      </x:c>
      <x:c r="S920" s="31" t="inlineStr">
        <x:is>
          <x:t xml:space="preserve">Нет</x:t>
        </x:is>
      </x:c>
    </x:row>
    <x:row r="921">
      <x:c r="A921" s="31" t="inlineStr">
        <x:is>
          <x:t xml:space="preserve">ОП-000920</x:t>
        </x:is>
      </x:c>
      <x:c r="B921" s="31" t="inlineStr">
        <x:is>
          <x:t xml:space="preserve">ПЗ-00110</x:t>
        </x:is>
      </x:c>
      <x:c r="C921" s="31" t="inlineStr">
        <x:is>
          <x:t xml:space="preserve">ЗК-1053</x:t>
        </x:is>
      </x:c>
      <x:c r="D921" s="31" t="inlineStr">
        <x:is>
          <x:t xml:space="preserve">ПОЗ-0053-4</x:t>
        </x:is>
      </x:c>
      <x:c r="E921" s="31" t="inlineStr">
        <x:is>
          <x:t xml:space="preserve">ИЗД-007</x:t>
        </x:is>
      </x:c>
      <x:c r="F921" s="31" t="n">
        <x:v>10</x:v>
      </x:c>
      <x:c r="G921" s="31" t="inlineStr">
        <x:is>
          <x:t xml:space="preserve">КД</x:t>
        </x:is>
      </x:c>
      <x:c r="H921" s="31" t="inlineStr">
        <x:is>
          <x:t xml:space="preserve">Инженерный отдел</x:t>
        </x:is>
      </x:c>
      <x:c r="I921" s="31" t="n"/>
      <x:c r="J921" s="31" t="inlineStr">
        <x:is>
          <x:t xml:space="preserve">СОТР-012</x:t>
        </x:is>
      </x:c>
      <x:c r="K921" s="31" t="n">
        <x:v>5.4</x:v>
      </x:c>
      <x:c r="L921" s="31" t="n">
        <x:v>4.5</x:v>
      </x:c>
      <x:c r="M921" s="31" t="n">
        <x:v>46107</x:v>
      </x:c>
      <x:c r="N921" s="31" t="n">
        <x:v>46108</x:v>
      </x:c>
      <x:c r="O921" s="31" t="n">
        <x:v>46107</x:v>
      </x:c>
      <x:c r="P921" s="31" t="n">
        <x:v>46108</x:v>
      </x:c>
      <x:c r="Q921" s="31" t="inlineStr">
        <x:is>
          <x:t xml:space="preserve">Завершено</x:t>
        </x:is>
      </x:c>
      <x:c r="R921" s="31" t="inlineStr">
        <x:is>
          <x:t xml:space="preserve">Нет</x:t>
        </x:is>
      </x:c>
      <x:c r="S921" s="31" t="inlineStr">
        <x:is>
          <x:t xml:space="preserve">Нет</x:t>
        </x:is>
      </x:c>
    </x:row>
    <x:row r="922">
      <x:c r="A922" s="31" t="inlineStr">
        <x:is>
          <x:t xml:space="preserve">ОП-000921</x:t>
        </x:is>
      </x:c>
      <x:c r="B922" s="31" t="inlineStr">
        <x:is>
          <x:t xml:space="preserve">ПЗ-00110</x:t>
        </x:is>
      </x:c>
      <x:c r="C922" s="31" t="inlineStr">
        <x:is>
          <x:t xml:space="preserve">ЗК-1053</x:t>
        </x:is>
      </x:c>
      <x:c r="D922" s="31" t="inlineStr">
        <x:is>
          <x:t xml:space="preserve">ПОЗ-0053-4</x:t>
        </x:is>
      </x:c>
      <x:c r="E922" s="31" t="inlineStr">
        <x:is>
          <x:t xml:space="preserve">ИЗД-007</x:t>
        </x:is>
      </x:c>
      <x:c r="F922" s="31" t="n">
        <x:v>20</x:v>
      </x:c>
      <x:c r="G922" s="31" t="inlineStr">
        <x:is>
          <x:t xml:space="preserve">Резерв материалов</x:t>
        </x:is>
      </x:c>
      <x:c r="H922" s="31" t="inlineStr">
        <x:is>
          <x:t xml:space="preserve">Склад</x:t>
        </x:is>
      </x:c>
      <x:c r="I922" s="31" t="inlineStr">
        <x:is>
          <x:t xml:space="preserve">ОБ-008</x:t>
        </x:is>
      </x:c>
      <x:c r="J922" s="31" t="inlineStr">
        <x:is>
          <x:t xml:space="preserve">СОТР-034</x:t>
        </x:is>
      </x:c>
      <x:c r="K922" s="31" t="n">
        <x:v>33.6</x:v>
      </x:c>
      <x:c r="L922" s="31" t="n">
        <x:v>44.1</x:v>
      </x:c>
      <x:c r="M922" s="31" t="n">
        <x:v>46108</x:v>
      </x:c>
      <x:c r="N922" s="31" t="n">
        <x:v>46111</x:v>
      </x:c>
      <x:c r="O922" s="31" t="n">
        <x:v>46108</x:v>
      </x:c>
      <x:c r="P922" s="31" t="n">
        <x:v>46110</x:v>
      </x:c>
      <x:c r="Q922" s="31" t="inlineStr">
        <x:is>
          <x:t xml:space="preserve">Завершено</x:t>
        </x:is>
      </x:c>
      <x:c r="R922" s="31" t="inlineStr">
        <x:is>
          <x:t xml:space="preserve">Нет</x:t>
        </x:is>
      </x:c>
      <x:c r="S922" s="31" t="inlineStr">
        <x:is>
          <x:t xml:space="preserve">Нет</x:t>
        </x:is>
      </x:c>
    </x:row>
    <x:row r="923">
      <x:c r="A923" s="31" t="inlineStr">
        <x:is>
          <x:t xml:space="preserve">ОП-000922</x:t>
        </x:is>
      </x:c>
      <x:c r="B923" s="31" t="inlineStr">
        <x:is>
          <x:t xml:space="preserve">ПЗ-00110</x:t>
        </x:is>
      </x:c>
      <x:c r="C923" s="31" t="inlineStr">
        <x:is>
          <x:t xml:space="preserve">ЗК-1053</x:t>
        </x:is>
      </x:c>
      <x:c r="D923" s="31" t="inlineStr">
        <x:is>
          <x:t xml:space="preserve">ПОЗ-0053-4</x:t>
        </x:is>
      </x:c>
      <x:c r="E923" s="31" t="inlineStr">
        <x:is>
          <x:t xml:space="preserve">ИЗД-007</x:t>
        </x:is>
      </x:c>
      <x:c r="F923" s="31" t="n">
        <x:v>30</x:v>
      </x:c>
      <x:c r="G923" s="31" t="inlineStr">
        <x:is>
          <x:t xml:space="preserve">Резка металла</x:t>
        </x:is>
      </x:c>
      <x:c r="H923" s="31" t="inlineStr">
        <x:is>
          <x:t xml:space="preserve">Сварка</x:t>
        </x:is>
      </x:c>
      <x:c r="I923" s="31" t="inlineStr">
        <x:is>
          <x:t xml:space="preserve">ОБ-018</x:t>
        </x:is>
      </x:c>
      <x:c r="J923" s="31" t="inlineStr">
        <x:is>
          <x:t xml:space="preserve">СОТР-061</x:t>
        </x:is>
      </x:c>
      <x:c r="K923" s="31" t="n">
        <x:v>15</x:v>
      </x:c>
      <x:c r="L923" s="31" t="n">
        <x:v>15.2</x:v>
      </x:c>
      <x:c r="M923" s="31" t="n">
        <x:v>46111</x:v>
      </x:c>
      <x:c r="N923" s="31" t="n">
        <x:v>46113</x:v>
      </x:c>
      <x:c r="O923" s="31" t="n">
        <x:v>46111</x:v>
      </x:c>
      <x:c r="P923" s="31" t="n">
        <x:v>46113</x:v>
      </x:c>
      <x:c r="Q923" s="31" t="inlineStr">
        <x:is>
          <x:t xml:space="preserve">Завершено</x:t>
        </x:is>
      </x:c>
      <x:c r="R923" s="31" t="inlineStr">
        <x:is>
          <x:t xml:space="preserve">Нет</x:t>
        </x:is>
      </x:c>
      <x:c r="S923" s="31" t="inlineStr">
        <x:is>
          <x:t xml:space="preserve">Нет</x:t>
        </x:is>
      </x:c>
    </x:row>
    <x:row r="924">
      <x:c r="A924" s="31" t="inlineStr">
        <x:is>
          <x:t xml:space="preserve">ОП-000923</x:t>
        </x:is>
      </x:c>
      <x:c r="B924" s="31" t="inlineStr">
        <x:is>
          <x:t xml:space="preserve">ПЗ-00110</x:t>
        </x:is>
      </x:c>
      <x:c r="C924" s="31" t="inlineStr">
        <x:is>
          <x:t xml:space="preserve">ЗК-1053</x:t>
        </x:is>
      </x:c>
      <x:c r="D924" s="31" t="inlineStr">
        <x:is>
          <x:t xml:space="preserve">ПОЗ-0053-4</x:t>
        </x:is>
      </x:c>
      <x:c r="E924" s="31" t="inlineStr">
        <x:is>
          <x:t xml:space="preserve">ИЗД-007</x:t>
        </x:is>
      </x:c>
      <x:c r="F924" s="31" t="n">
        <x:v>40</x:v>
      </x:c>
      <x:c r="G924" s="31" t="inlineStr">
        <x:is>
          <x:t xml:space="preserve">Сварка рамы</x:t>
        </x:is>
      </x:c>
      <x:c r="H924" s="31" t="inlineStr">
        <x:is>
          <x:t xml:space="preserve">Сварка</x:t>
        </x:is>
      </x:c>
      <x:c r="I924" s="31" t="inlineStr">
        <x:is>
          <x:t xml:space="preserve">ОБ-019</x:t>
        </x:is>
      </x:c>
      <x:c r="J924" s="31" t="inlineStr">
        <x:is>
          <x:t xml:space="preserve">СОТР-066</x:t>
        </x:is>
      </x:c>
      <x:c r="K924" s="31" t="n">
        <x:v>3.9</x:v>
      </x:c>
      <x:c r="L924" s="31" t="n"/>
      <x:c r="M924" s="31" t="n">
        <x:v>46113</x:v>
      </x:c>
      <x:c r="N924" s="31" t="n">
        <x:v>46114</x:v>
      </x:c>
      <x:c r="O924" s="31" t="n"/>
      <x:c r="P924" s="31" t="n"/>
      <x:c r="Q924" s="31" t="inlineStr">
        <x:is>
          <x:t xml:space="preserve">Запланировано</x:t>
        </x:is>
      </x:c>
      <x:c r="R924" s="31" t="inlineStr">
        <x:is>
          <x:t xml:space="preserve">Нет</x:t>
        </x:is>
      </x:c>
      <x:c r="S924" s="31" t="inlineStr">
        <x:is>
          <x:t xml:space="preserve">Нет</x:t>
        </x:is>
      </x:c>
    </x:row>
    <x:row r="925">
      <x:c r="A925" s="31" t="inlineStr">
        <x:is>
          <x:t xml:space="preserve">ОП-000924</x:t>
        </x:is>
      </x:c>
      <x:c r="B925" s="31" t="inlineStr">
        <x:is>
          <x:t xml:space="preserve">ПЗ-00110</x:t>
        </x:is>
      </x:c>
      <x:c r="C925" s="31" t="inlineStr">
        <x:is>
          <x:t xml:space="preserve">ЗК-1053</x:t>
        </x:is>
      </x:c>
      <x:c r="D925" s="31" t="inlineStr">
        <x:is>
          <x:t xml:space="preserve">ПОЗ-0053-4</x:t>
        </x:is>
      </x:c>
      <x:c r="E925" s="31" t="inlineStr">
        <x:is>
          <x:t xml:space="preserve">ИЗД-007</x:t>
        </x:is>
      </x:c>
      <x:c r="F925" s="31" t="n">
        <x:v>50</x:v>
      </x:c>
      <x:c r="G925" s="31" t="inlineStr">
        <x:is>
          <x:t xml:space="preserve">Механообработка</x:t>
        </x:is>
      </x:c>
      <x:c r="H925" s="31" t="inlineStr">
        <x:is>
          <x:t xml:space="preserve">Механообработка</x:t>
        </x:is>
      </x:c>
      <x:c r="I925" s="31" t="inlineStr">
        <x:is>
          <x:t xml:space="preserve">ОБ-030</x:t>
        </x:is>
      </x:c>
      <x:c r="J925" s="31" t="inlineStr">
        <x:is>
          <x:t xml:space="preserve">СОТР-031</x:t>
        </x:is>
      </x:c>
      <x:c r="K925" s="31" t="n">
        <x:v>30</x:v>
      </x:c>
      <x:c r="L925" s="31" t="n">
        <x:v>29.6</x:v>
      </x:c>
      <x:c r="M925" s="31" t="n">
        <x:v>46114</x:v>
      </x:c>
      <x:c r="N925" s="31" t="n">
        <x:v>46117</x:v>
      </x:c>
      <x:c r="O925" s="31" t="n">
        <x:v>46114</x:v>
      </x:c>
      <x:c r="P925" s="31" t="n">
        <x:v>46116</x:v>
      </x:c>
      <x:c r="Q925" s="31" t="inlineStr">
        <x:is>
          <x:t xml:space="preserve">Завершено</x:t>
        </x:is>
      </x:c>
      <x:c r="R925" s="31" t="inlineStr">
        <x:is>
          <x:t xml:space="preserve">Нет</x:t>
        </x:is>
      </x:c>
      <x:c r="S925" s="31" t="inlineStr">
        <x:is>
          <x:t xml:space="preserve">Нет</x:t>
        </x:is>
      </x:c>
    </x:row>
    <x:row r="926">
      <x:c r="A926" s="31" t="inlineStr">
        <x:is>
          <x:t xml:space="preserve">ОП-000925</x:t>
        </x:is>
      </x:c>
      <x:c r="B926" s="31" t="inlineStr">
        <x:is>
          <x:t xml:space="preserve">ПЗ-00110</x:t>
        </x:is>
      </x:c>
      <x:c r="C926" s="31" t="inlineStr">
        <x:is>
          <x:t xml:space="preserve">ЗК-1053</x:t>
        </x:is>
      </x:c>
      <x:c r="D926" s="31" t="inlineStr">
        <x:is>
          <x:t xml:space="preserve">ПОЗ-0053-4</x:t>
        </x:is>
      </x:c>
      <x:c r="E926" s="31" t="inlineStr">
        <x:is>
          <x:t xml:space="preserve">ИЗД-007</x:t>
        </x:is>
      </x:c>
      <x:c r="F926" s="31" t="n">
        <x:v>60</x:v>
      </x:c>
      <x:c r="G926" s="31" t="inlineStr">
        <x:is>
          <x:t xml:space="preserve">Сборка</x:t>
        </x:is>
      </x:c>
      <x:c r="H926" s="31" t="inlineStr">
        <x:is>
          <x:t xml:space="preserve">Сборка</x:t>
        </x:is>
      </x:c>
      <x:c r="I926" s="31" t="inlineStr">
        <x:is>
          <x:t xml:space="preserve">ОБ-014</x:t>
        </x:is>
      </x:c>
      <x:c r="J926" s="31" t="inlineStr">
        <x:is>
          <x:t xml:space="preserve">СОТР-075</x:t>
        </x:is>
      </x:c>
      <x:c r="K926" s="31" t="n">
        <x:v>33.6</x:v>
      </x:c>
      <x:c r="L926" s="31" t="n"/>
      <x:c r="M926" s="31" t="n">
        <x:v>46117</x:v>
      </x:c>
      <x:c r="N926" s="31" t="n">
        <x:v>46120</x:v>
      </x:c>
      <x:c r="O926" s="31" t="n"/>
      <x:c r="P926" s="31" t="n"/>
      <x:c r="Q926" s="31" t="inlineStr">
        <x:is>
          <x:t xml:space="preserve">Запланировано</x:t>
        </x:is>
      </x:c>
      <x:c r="R926" s="31" t="inlineStr">
        <x:is>
          <x:t xml:space="preserve">Нет</x:t>
        </x:is>
      </x:c>
      <x:c r="S926" s="31" t="inlineStr">
        <x:is>
          <x:t xml:space="preserve">Нет</x:t>
        </x:is>
      </x:c>
    </x:row>
    <x:row r="927">
      <x:c r="A927" s="31" t="inlineStr">
        <x:is>
          <x:t xml:space="preserve">ОП-000926</x:t>
        </x:is>
      </x:c>
      <x:c r="B927" s="31" t="inlineStr">
        <x:is>
          <x:t xml:space="preserve">ПЗ-00110</x:t>
        </x:is>
      </x:c>
      <x:c r="C927" s="31" t="inlineStr">
        <x:is>
          <x:t xml:space="preserve">ЗК-1053</x:t>
        </x:is>
      </x:c>
      <x:c r="D927" s="31" t="inlineStr">
        <x:is>
          <x:t xml:space="preserve">ПОЗ-0053-4</x:t>
        </x:is>
      </x:c>
      <x:c r="E927" s="31" t="inlineStr">
        <x:is>
          <x:t xml:space="preserve">ИЗД-007</x:t>
        </x:is>
      </x:c>
      <x:c r="F927" s="31" t="n">
        <x:v>70</x:v>
      </x:c>
      <x:c r="G927" s="31" t="inlineStr">
        <x:is>
          <x:t xml:space="preserve">Электромонтаж</x:t>
        </x:is>
      </x:c>
      <x:c r="H927" s="31" t="inlineStr">
        <x:is>
          <x:t xml:space="preserve">Сборка</x:t>
        </x:is>
      </x:c>
      <x:c r="I927" s="31" t="inlineStr">
        <x:is>
          <x:t xml:space="preserve">ОБ-005</x:t>
        </x:is>
      </x:c>
      <x:c r="J927" s="31" t="inlineStr">
        <x:is>
          <x:t xml:space="preserve">СОТР-032</x:t>
        </x:is>
      </x:c>
      <x:c r="K927" s="31" t="n">
        <x:v>27.9</x:v>
      </x:c>
      <x:c r="L927" s="31" t="n">
        <x:v>34.6</x:v>
      </x:c>
      <x:c r="M927" s="31" t="n">
        <x:v>46120</x:v>
      </x:c>
      <x:c r="N927" s="31" t="n">
        <x:v>46123</x:v>
      </x:c>
      <x:c r="O927" s="31" t="n">
        <x:v>46120</x:v>
      </x:c>
      <x:c r="P927" s="31" t="n">
        <x:v>46122</x:v>
      </x:c>
      <x:c r="Q927" s="31" t="inlineStr">
        <x:is>
          <x:t xml:space="preserve">Завершено</x:t>
        </x:is>
      </x:c>
      <x:c r="R927" s="31" t="inlineStr">
        <x:is>
          <x:t xml:space="preserve">Нет</x:t>
        </x:is>
      </x:c>
      <x:c r="S927" s="31" t="inlineStr">
        <x:is>
          <x:t xml:space="preserve">Нет</x:t>
        </x:is>
      </x:c>
    </x:row>
    <x:row r="928">
      <x:c r="A928" s="31" t="inlineStr">
        <x:is>
          <x:t xml:space="preserve">ОП-000927</x:t>
        </x:is>
      </x:c>
      <x:c r="B928" s="31" t="inlineStr">
        <x:is>
          <x:t xml:space="preserve">ПЗ-00110</x:t>
        </x:is>
      </x:c>
      <x:c r="C928" s="31" t="inlineStr">
        <x:is>
          <x:t xml:space="preserve">ЗК-1053</x:t>
        </x:is>
      </x:c>
      <x:c r="D928" s="31" t="inlineStr">
        <x:is>
          <x:t xml:space="preserve">ПОЗ-0053-4</x:t>
        </x:is>
      </x:c>
      <x:c r="E928" s="31" t="inlineStr">
        <x:is>
          <x:t xml:space="preserve">ИЗД-007</x:t>
        </x:is>
      </x:c>
      <x:c r="F928" s="31" t="n">
        <x:v>80</x:v>
      </x:c>
      <x:c r="G928" s="31" t="inlineStr">
        <x:is>
          <x:t xml:space="preserve">Гидроиспытания</x:t>
        </x:is>
      </x:c>
      <x:c r="H928" s="31" t="inlineStr">
        <x:is>
          <x:t xml:space="preserve">ОТК</x:t>
        </x:is>
      </x:c>
      <x:c r="I928" s="31" t="inlineStr">
        <x:is>
          <x:t xml:space="preserve">ОБ-007</x:t>
        </x:is>
      </x:c>
      <x:c r="J928" s="31" t="inlineStr">
        <x:is>
          <x:t xml:space="preserve">СОТР-063</x:t>
        </x:is>
      </x:c>
      <x:c r="K928" s="31" t="n">
        <x:v>34.2</x:v>
      </x:c>
      <x:c r="L928" s="31" t="n"/>
      <x:c r="M928" s="31" t="n">
        <x:v>46123</x:v>
      </x:c>
      <x:c r="N928" s="31" t="n">
        <x:v>46126</x:v>
      </x:c>
      <x:c r="O928" s="31" t="n"/>
      <x:c r="P928" s="31" t="n"/>
      <x:c r="Q928" s="31" t="inlineStr">
        <x:is>
          <x:t xml:space="preserve">Запланировано</x:t>
        </x:is>
      </x:c>
      <x:c r="R928" s="31" t="inlineStr">
        <x:is>
          <x:t xml:space="preserve">Нет</x:t>
        </x:is>
      </x:c>
      <x:c r="S928" s="31" t="inlineStr">
        <x:is>
          <x:t xml:space="preserve">Нет</x:t>
        </x:is>
      </x:c>
    </x:row>
    <x:row r="929">
      <x:c r="A929" s="31" t="inlineStr">
        <x:is>
          <x:t xml:space="preserve">ОП-000928</x:t>
        </x:is>
      </x:c>
      <x:c r="B929" s="31" t="inlineStr">
        <x:is>
          <x:t xml:space="preserve">ПЗ-00110</x:t>
        </x:is>
      </x:c>
      <x:c r="C929" s="31" t="inlineStr">
        <x:is>
          <x:t xml:space="preserve">ЗК-1053</x:t>
        </x:is>
      </x:c>
      <x:c r="D929" s="31" t="inlineStr">
        <x:is>
          <x:t xml:space="preserve">ПОЗ-0053-4</x:t>
        </x:is>
      </x:c>
      <x:c r="E929" s="31" t="inlineStr">
        <x:is>
          <x:t xml:space="preserve">ИЗД-007</x:t>
        </x:is>
      </x:c>
      <x:c r="F929" s="31" t="n">
        <x:v>90</x:v>
      </x:c>
      <x:c r="G929" s="31" t="inlineStr">
        <x:is>
          <x:t xml:space="preserve">ОТК</x:t>
        </x:is>
      </x:c>
      <x:c r="H929" s="31" t="inlineStr">
        <x:is>
          <x:t xml:space="preserve">ОТК</x:t>
        </x:is>
      </x:c>
      <x:c r="I929" s="31" t="inlineStr">
        <x:is>
          <x:t xml:space="preserve">ОБ-006</x:t>
        </x:is>
      </x:c>
      <x:c r="J929" s="31" t="inlineStr">
        <x:is>
          <x:t xml:space="preserve">СОТР-092</x:t>
        </x:is>
      </x:c>
      <x:c r="K929" s="31" t="n">
        <x:v>3.6</x:v>
      </x:c>
      <x:c r="L929" s="31" t="n"/>
      <x:c r="M929" s="31" t="n">
        <x:v>46126</x:v>
      </x:c>
      <x:c r="N929" s="31" t="n">
        <x:v>46127</x:v>
      </x:c>
      <x:c r="O929" s="31" t="n"/>
      <x:c r="P929" s="31" t="n"/>
      <x:c r="Q929" s="31" t="inlineStr">
        <x:is>
          <x:t xml:space="preserve">Запланировано</x:t>
        </x:is>
      </x:c>
      <x:c r="R929" s="31" t="inlineStr">
        <x:is>
          <x:t xml:space="preserve">Нет</x:t>
        </x:is>
      </x:c>
      <x:c r="S929" s="31" t="inlineStr">
        <x:is>
          <x:t xml:space="preserve">Нет</x:t>
        </x:is>
      </x:c>
    </x:row>
    <x:row r="930">
      <x:c r="A930" s="31" t="inlineStr">
        <x:is>
          <x:t xml:space="preserve">ОП-000929</x:t>
        </x:is>
      </x:c>
      <x:c r="B930" s="31" t="inlineStr">
        <x:is>
          <x:t xml:space="preserve">ПЗ-00110</x:t>
        </x:is>
      </x:c>
      <x:c r="C930" s="31" t="inlineStr">
        <x:is>
          <x:t xml:space="preserve">ЗК-1053</x:t>
        </x:is>
      </x:c>
      <x:c r="D930" s="31" t="inlineStr">
        <x:is>
          <x:t xml:space="preserve">ПОЗ-0053-4</x:t>
        </x:is>
      </x:c>
      <x:c r="E930" s="31" t="inlineStr">
        <x:is>
          <x:t xml:space="preserve">ИЗД-007</x:t>
        </x:is>
      </x:c>
      <x:c r="F930" s="31" t="n">
        <x:v>100</x:v>
      </x:c>
      <x:c r="G930" s="31" t="inlineStr">
        <x:is>
          <x:t xml:space="preserve">Упаковка</x:t>
        </x:is>
      </x:c>
      <x:c r="H930" s="31" t="inlineStr">
        <x:is>
          <x:t xml:space="preserve">Логистика</x:t>
        </x:is>
      </x:c>
      <x:c r="I930" s="31" t="n"/>
      <x:c r="J930" s="31" t="inlineStr">
        <x:is>
          <x:t xml:space="preserve">СОТР-070</x:t>
        </x:is>
      </x:c>
      <x:c r="K930" s="31" t="n">
        <x:v>14.1</x:v>
      </x:c>
      <x:c r="L930" s="31" t="n"/>
      <x:c r="M930" s="31" t="n">
        <x:v>46127</x:v>
      </x:c>
      <x:c r="N930" s="31" t="n">
        <x:v>46129</x:v>
      </x:c>
      <x:c r="O930" s="31" t="n">
        <x:v>46127</x:v>
      </x:c>
      <x:c r="P930" s="31" t="n"/>
      <x:c r="Q930" s="31" t="inlineStr">
        <x:is>
          <x:t xml:space="preserve">В работе</x:t>
        </x:is>
      </x:c>
      <x:c r="R930" s="31" t="inlineStr">
        <x:is>
          <x:t xml:space="preserve">Материал</x:t>
        </x:is>
      </x:c>
      <x:c r="S930" s="31" t="inlineStr">
        <x:is>
          <x:t xml:space="preserve">Нет</x:t>
        </x:is>
      </x:c>
    </x:row>
    <x:row r="931">
      <x:c r="A931" s="31" t="inlineStr">
        <x:is>
          <x:t xml:space="preserve">ОП-000930</x:t>
        </x:is>
      </x:c>
      <x:c r="B931" s="31" t="inlineStr">
        <x:is>
          <x:t xml:space="preserve">ПЗ-00111</x:t>
        </x:is>
      </x:c>
      <x:c r="C931" s="31" t="inlineStr">
        <x:is>
          <x:t xml:space="preserve">ЗК-1054</x:t>
        </x:is>
      </x:c>
      <x:c r="D931" s="31" t="inlineStr">
        <x:is>
          <x:t xml:space="preserve">ПОЗ-0054-1</x:t>
        </x:is>
      </x:c>
      <x:c r="E931" s="31" t="inlineStr">
        <x:is>
          <x:t xml:space="preserve">ИЗД-028</x:t>
        </x:is>
      </x:c>
      <x:c r="F931" s="31" t="n">
        <x:v>10</x:v>
      </x:c>
      <x:c r="G931" s="31" t="inlineStr">
        <x:is>
          <x:t xml:space="preserve">КД</x:t>
        </x:is>
      </x:c>
      <x:c r="H931" s="31" t="inlineStr">
        <x:is>
          <x:t xml:space="preserve">Инженерный отдел</x:t>
        </x:is>
      </x:c>
      <x:c r="I931" s="31" t="n"/>
      <x:c r="J931" s="31" t="inlineStr">
        <x:is>
          <x:t xml:space="preserve">СОТР-019</x:t>
        </x:is>
      </x:c>
      <x:c r="K931" s="31" t="n">
        <x:v>14</x:v>
      </x:c>
      <x:c r="L931" s="31" t="n"/>
      <x:c r="M931" s="31" t="n">
        <x:v>46117</x:v>
      </x:c>
      <x:c r="N931" s="31" t="n">
        <x:v>46119</x:v>
      </x:c>
      <x:c r="O931" s="31" t="n"/>
      <x:c r="P931" s="31" t="n"/>
      <x:c r="Q931" s="31" t="inlineStr">
        <x:is>
          <x:t xml:space="preserve">Запланировано</x:t>
        </x:is>
      </x:c>
      <x:c r="R931" s="31" t="inlineStr">
        <x:is>
          <x:t xml:space="preserve">Нет</x:t>
        </x:is>
      </x:c>
      <x:c r="S931" s="31" t="inlineStr">
        <x:is>
          <x:t xml:space="preserve">Нет</x:t>
        </x:is>
      </x:c>
    </x:row>
    <x:row r="932">
      <x:c r="A932" s="31" t="inlineStr">
        <x:is>
          <x:t xml:space="preserve">ОП-000931</x:t>
        </x:is>
      </x:c>
      <x:c r="B932" s="31" t="inlineStr">
        <x:is>
          <x:t xml:space="preserve">ПЗ-00111</x:t>
        </x:is>
      </x:c>
      <x:c r="C932" s="31" t="inlineStr">
        <x:is>
          <x:t xml:space="preserve">ЗК-1054</x:t>
        </x:is>
      </x:c>
      <x:c r="D932" s="31" t="inlineStr">
        <x:is>
          <x:t xml:space="preserve">ПОЗ-0054-1</x:t>
        </x:is>
      </x:c>
      <x:c r="E932" s="31" t="inlineStr">
        <x:is>
          <x:t xml:space="preserve">ИЗД-028</x:t>
        </x:is>
      </x:c>
      <x:c r="F932" s="31" t="n">
        <x:v>20</x:v>
      </x:c>
      <x:c r="G932" s="31" t="inlineStr">
        <x:is>
          <x:t xml:space="preserve">Резерв материалов</x:t>
        </x:is>
      </x:c>
      <x:c r="H932" s="31" t="inlineStr">
        <x:is>
          <x:t xml:space="preserve">Склад</x:t>
        </x:is>
      </x:c>
      <x:c r="I932" s="31" t="inlineStr">
        <x:is>
          <x:t xml:space="preserve">ОБ-009</x:t>
        </x:is>
      </x:c>
      <x:c r="J932" s="31" t="inlineStr">
        <x:is>
          <x:t xml:space="preserve">СОТР-033</x:t>
        </x:is>
      </x:c>
      <x:c r="K932" s="31" t="n">
        <x:v>13.8</x:v>
      </x:c>
      <x:c r="L932" s="31" t="n"/>
      <x:c r="M932" s="31" t="n">
        <x:v>46119</x:v>
      </x:c>
      <x:c r="N932" s="31" t="n">
        <x:v>46121</x:v>
      </x:c>
      <x:c r="O932" s="31" t="n"/>
      <x:c r="P932" s="31" t="n"/>
      <x:c r="Q932" s="31" t="inlineStr">
        <x:is>
          <x:t xml:space="preserve">Блокировано</x:t>
        </x:is>
      </x:c>
      <x:c r="R932" s="31" t="inlineStr">
        <x:is>
          <x:t xml:space="preserve">Нет</x:t>
        </x:is>
      </x:c>
      <x:c r="S932" s="31" t="inlineStr">
        <x:is>
          <x:t xml:space="preserve">Нет</x:t>
        </x:is>
      </x:c>
    </x:row>
    <x:row r="933">
      <x:c r="A933" s="31" t="inlineStr">
        <x:is>
          <x:t xml:space="preserve">ОП-000932</x:t>
        </x:is>
      </x:c>
      <x:c r="B933" s="31" t="inlineStr">
        <x:is>
          <x:t xml:space="preserve">ПЗ-00111</x:t>
        </x:is>
      </x:c>
      <x:c r="C933" s="31" t="inlineStr">
        <x:is>
          <x:t xml:space="preserve">ЗК-1054</x:t>
        </x:is>
      </x:c>
      <x:c r="D933" s="31" t="inlineStr">
        <x:is>
          <x:t xml:space="preserve">ПОЗ-0054-1</x:t>
        </x:is>
      </x:c>
      <x:c r="E933" s="31" t="inlineStr">
        <x:is>
          <x:t xml:space="preserve">ИЗД-028</x:t>
        </x:is>
      </x:c>
      <x:c r="F933" s="31" t="n">
        <x:v>30</x:v>
      </x:c>
      <x:c r="G933" s="31" t="inlineStr">
        <x:is>
          <x:t xml:space="preserve">Сварка рамы</x:t>
        </x:is>
      </x:c>
      <x:c r="H933" s="31" t="inlineStr">
        <x:is>
          <x:t xml:space="preserve">Сварка</x:t>
        </x:is>
      </x:c>
      <x:c r="I933" s="31" t="inlineStr">
        <x:is>
          <x:t xml:space="preserve">ОБ-019</x:t>
        </x:is>
      </x:c>
      <x:c r="J933" s="31" t="inlineStr">
        <x:is>
          <x:t xml:space="preserve">СОТР-060</x:t>
        </x:is>
      </x:c>
      <x:c r="K933" s="31" t="n">
        <x:v>16.7</x:v>
      </x:c>
      <x:c r="L933" s="31" t="n"/>
      <x:c r="M933" s="31" t="n">
        <x:v>46121</x:v>
      </x:c>
      <x:c r="N933" s="31" t="n">
        <x:v>46123</x:v>
      </x:c>
      <x:c r="O933" s="31" t="n"/>
      <x:c r="P933" s="31" t="n"/>
      <x:c r="Q933" s="31" t="inlineStr">
        <x:is>
          <x:t xml:space="preserve">Запланировано</x:t>
        </x:is>
      </x:c>
      <x:c r="R933" s="31" t="inlineStr">
        <x:is>
          <x:t xml:space="preserve">Нет</x:t>
        </x:is>
      </x:c>
      <x:c r="S933" s="31" t="inlineStr">
        <x:is>
          <x:t xml:space="preserve">Нет</x:t>
        </x:is>
      </x:c>
    </x:row>
    <x:row r="934">
      <x:c r="A934" s="31" t="inlineStr">
        <x:is>
          <x:t xml:space="preserve">ОП-000933</x:t>
        </x:is>
      </x:c>
      <x:c r="B934" s="31" t="inlineStr">
        <x:is>
          <x:t xml:space="preserve">ПЗ-00111</x:t>
        </x:is>
      </x:c>
      <x:c r="C934" s="31" t="inlineStr">
        <x:is>
          <x:t xml:space="preserve">ЗК-1054</x:t>
        </x:is>
      </x:c>
      <x:c r="D934" s="31" t="inlineStr">
        <x:is>
          <x:t xml:space="preserve">ПОЗ-0054-1</x:t>
        </x:is>
      </x:c>
      <x:c r="E934" s="31" t="inlineStr">
        <x:is>
          <x:t xml:space="preserve">ИЗД-028</x:t>
        </x:is>
      </x:c>
      <x:c r="F934" s="31" t="n">
        <x:v>40</x:v>
      </x:c>
      <x:c r="G934" s="31" t="inlineStr">
        <x:is>
          <x:t xml:space="preserve">Сборка</x:t>
        </x:is>
      </x:c>
      <x:c r="H934" s="31" t="inlineStr">
        <x:is>
          <x:t xml:space="preserve">Сборка</x:t>
        </x:is>
      </x:c>
      <x:c r="I934" s="31" t="inlineStr">
        <x:is>
          <x:t xml:space="preserve">ОБ-005</x:t>
        </x:is>
      </x:c>
      <x:c r="J934" s="31" t="inlineStr">
        <x:is>
          <x:t xml:space="preserve">СОТР-077</x:t>
        </x:is>
      </x:c>
      <x:c r="K934" s="31" t="n">
        <x:v>17.3</x:v>
      </x:c>
      <x:c r="L934" s="31" t="n"/>
      <x:c r="M934" s="31" t="n">
        <x:v>46123</x:v>
      </x:c>
      <x:c r="N934" s="31" t="n">
        <x:v>46125</x:v>
      </x:c>
      <x:c r="O934" s="31" t="n"/>
      <x:c r="P934" s="31" t="n"/>
      <x:c r="Q934" s="31" t="inlineStr">
        <x:is>
          <x:t xml:space="preserve">Запланировано</x:t>
        </x:is>
      </x:c>
      <x:c r="R934" s="31" t="inlineStr">
        <x:is>
          <x:t xml:space="preserve">Материал</x:t>
        </x:is>
      </x:c>
      <x:c r="S934" s="31" t="inlineStr">
        <x:is>
          <x:t xml:space="preserve">Нет</x:t>
        </x:is>
      </x:c>
    </x:row>
    <x:row r="935">
      <x:c r="A935" s="31" t="inlineStr">
        <x:is>
          <x:t xml:space="preserve">ОП-000934</x:t>
        </x:is>
      </x:c>
      <x:c r="B935" s="31" t="inlineStr">
        <x:is>
          <x:t xml:space="preserve">ПЗ-00111</x:t>
        </x:is>
      </x:c>
      <x:c r="C935" s="31" t="inlineStr">
        <x:is>
          <x:t xml:space="preserve">ЗК-1054</x:t>
        </x:is>
      </x:c>
      <x:c r="D935" s="31" t="inlineStr">
        <x:is>
          <x:t xml:space="preserve">ПОЗ-0054-1</x:t>
        </x:is>
      </x:c>
      <x:c r="E935" s="31" t="inlineStr">
        <x:is>
          <x:t xml:space="preserve">ИЗД-028</x:t>
        </x:is>
      </x:c>
      <x:c r="F935" s="31" t="n">
        <x:v>50</x:v>
      </x:c>
      <x:c r="G935" s="31" t="inlineStr">
        <x:is>
          <x:t xml:space="preserve">Обвязка труб</x:t>
        </x:is>
      </x:c>
      <x:c r="H935" s="31" t="inlineStr">
        <x:is>
          <x:t xml:space="preserve">Сборка</x:t>
        </x:is>
      </x:c>
      <x:c r="I935" s="31" t="inlineStr">
        <x:is>
          <x:t xml:space="preserve">ОБ-005</x:t>
        </x:is>
      </x:c>
      <x:c r="J935" s="31" t="inlineStr">
        <x:is>
          <x:t xml:space="preserve">СОТР-083</x:t>
        </x:is>
      </x:c>
      <x:c r="K935" s="31" t="n">
        <x:v>13.3</x:v>
      </x:c>
      <x:c r="L935" s="31" t="n"/>
      <x:c r="M935" s="31" t="n">
        <x:v>46125</x:v>
      </x:c>
      <x:c r="N935" s="31" t="n">
        <x:v>46127</x:v>
      </x:c>
      <x:c r="O935" s="31" t="n"/>
      <x:c r="P935" s="31" t="n"/>
      <x:c r="Q935" s="31" t="inlineStr">
        <x:is>
          <x:t xml:space="preserve">Запланировано</x:t>
        </x:is>
      </x:c>
      <x:c r="R935" s="31" t="inlineStr">
        <x:is>
          <x:t xml:space="preserve">Материал</x:t>
        </x:is>
      </x:c>
      <x:c r="S935" s="31" t="inlineStr">
        <x:is>
          <x:t xml:space="preserve">Да</x:t>
        </x:is>
      </x:c>
    </x:row>
    <x:row r="936">
      <x:c r="A936" s="31" t="inlineStr">
        <x:is>
          <x:t xml:space="preserve">ОП-000935</x:t>
        </x:is>
      </x:c>
      <x:c r="B936" s="31" t="inlineStr">
        <x:is>
          <x:t xml:space="preserve">ПЗ-00111</x:t>
        </x:is>
      </x:c>
      <x:c r="C936" s="31" t="inlineStr">
        <x:is>
          <x:t xml:space="preserve">ЗК-1054</x:t>
        </x:is>
      </x:c>
      <x:c r="D936" s="31" t="inlineStr">
        <x:is>
          <x:t xml:space="preserve">ПОЗ-0054-1</x:t>
        </x:is>
      </x:c>
      <x:c r="E936" s="31" t="inlineStr">
        <x:is>
          <x:t xml:space="preserve">ИЗД-028</x:t>
        </x:is>
      </x:c>
      <x:c r="F936" s="31" t="n">
        <x:v>60</x:v>
      </x:c>
      <x:c r="G936" s="31" t="inlineStr">
        <x:is>
          <x:t xml:space="preserve">Электромонтаж</x:t>
        </x:is>
      </x:c>
      <x:c r="H936" s="31" t="inlineStr">
        <x:is>
          <x:t xml:space="preserve">Сборка</x:t>
        </x:is>
      </x:c>
      <x:c r="I936" s="31" t="inlineStr">
        <x:is>
          <x:t xml:space="preserve">ОБ-002</x:t>
        </x:is>
      </x:c>
      <x:c r="J936" s="31" t="inlineStr">
        <x:is>
          <x:t xml:space="preserve">СОТР-077</x:t>
        </x:is>
      </x:c>
      <x:c r="K936" s="31" t="n">
        <x:v>11.8</x:v>
      </x:c>
      <x:c r="L936" s="31" t="n"/>
      <x:c r="M936" s="31" t="n">
        <x:v>46127</x:v>
      </x:c>
      <x:c r="N936" s="31" t="n">
        <x:v>46128</x:v>
      </x:c>
      <x:c r="O936" s="31" t="n"/>
      <x:c r="P936" s="31" t="n"/>
      <x:c r="Q936" s="31" t="inlineStr">
        <x:is>
          <x:t xml:space="preserve">Запланировано</x:t>
        </x:is>
      </x:c>
      <x:c r="R936" s="31" t="inlineStr">
        <x:is>
          <x:t xml:space="preserve">Нет</x:t>
        </x:is>
      </x:c>
      <x:c r="S936" s="31" t="inlineStr">
        <x:is>
          <x:t xml:space="preserve">Нет</x:t>
        </x:is>
      </x:c>
    </x:row>
    <x:row r="937">
      <x:c r="A937" s="31" t="inlineStr">
        <x:is>
          <x:t xml:space="preserve">ОП-000936</x:t>
        </x:is>
      </x:c>
      <x:c r="B937" s="31" t="inlineStr">
        <x:is>
          <x:t xml:space="preserve">ПЗ-00111</x:t>
        </x:is>
      </x:c>
      <x:c r="C937" s="31" t="inlineStr">
        <x:is>
          <x:t xml:space="preserve">ЗК-1054</x:t>
        </x:is>
      </x:c>
      <x:c r="D937" s="31" t="inlineStr">
        <x:is>
          <x:t xml:space="preserve">ПОЗ-0054-1</x:t>
        </x:is>
      </x:c>
      <x:c r="E937" s="31" t="inlineStr">
        <x:is>
          <x:t xml:space="preserve">ИЗД-028</x:t>
        </x:is>
      </x:c>
      <x:c r="F937" s="31" t="n">
        <x:v>70</x:v>
      </x:c>
      <x:c r="G937" s="31" t="inlineStr">
        <x:is>
          <x:t xml:space="preserve">Гидроиспытания</x:t>
        </x:is>
      </x:c>
      <x:c r="H937" s="31" t="inlineStr">
        <x:is>
          <x:t xml:space="preserve">ОТК</x:t>
        </x:is>
      </x:c>
      <x:c r="I937" s="31" t="inlineStr">
        <x:is>
          <x:t xml:space="preserve">ОБ-028</x:t>
        </x:is>
      </x:c>
      <x:c r="J937" s="31" t="inlineStr">
        <x:is>
          <x:t xml:space="preserve">СОТР-098</x:t>
        </x:is>
      </x:c>
      <x:c r="K937" s="31" t="n">
        <x:v>1.8</x:v>
      </x:c>
      <x:c r="L937" s="31" t="n"/>
      <x:c r="M937" s="31" t="n">
        <x:v>46128</x:v>
      </x:c>
      <x:c r="N937" s="31" t="n">
        <x:v>46129</x:v>
      </x:c>
      <x:c r="O937" s="31" t="n"/>
      <x:c r="P937" s="31" t="n"/>
      <x:c r="Q937" s="31" t="inlineStr">
        <x:is>
          <x:t xml:space="preserve">Запланировано</x:t>
        </x:is>
      </x:c>
      <x:c r="R937" s="31" t="inlineStr">
        <x:is>
          <x:t xml:space="preserve">Нет</x:t>
        </x:is>
      </x:c>
      <x:c r="S937" s="31" t="inlineStr">
        <x:is>
          <x:t xml:space="preserve">Нет</x:t>
        </x:is>
      </x:c>
    </x:row>
    <x:row r="938">
      <x:c r="A938" s="31" t="inlineStr">
        <x:is>
          <x:t xml:space="preserve">ОП-000937</x:t>
        </x:is>
      </x:c>
      <x:c r="B938" s="31" t="inlineStr">
        <x:is>
          <x:t xml:space="preserve">ПЗ-00111</x:t>
        </x:is>
      </x:c>
      <x:c r="C938" s="31" t="inlineStr">
        <x:is>
          <x:t xml:space="preserve">ЗК-1054</x:t>
        </x:is>
      </x:c>
      <x:c r="D938" s="31" t="inlineStr">
        <x:is>
          <x:t xml:space="preserve">ПОЗ-0054-1</x:t>
        </x:is>
      </x:c>
      <x:c r="E938" s="31" t="inlineStr">
        <x:is>
          <x:t xml:space="preserve">ИЗД-028</x:t>
        </x:is>
      </x:c>
      <x:c r="F938" s="31" t="n">
        <x:v>80</x:v>
      </x:c>
      <x:c r="G938" s="31" t="inlineStr">
        <x:is>
          <x:t xml:space="preserve">ОТК</x:t>
        </x:is>
      </x:c>
      <x:c r="H938" s="31" t="inlineStr">
        <x:is>
          <x:t xml:space="preserve">ОТК</x:t>
        </x:is>
      </x:c>
      <x:c r="I938" s="31" t="inlineStr">
        <x:is>
          <x:t xml:space="preserve">ОБ-024</x:t>
        </x:is>
      </x:c>
      <x:c r="J938" s="31" t="inlineStr">
        <x:is>
          <x:t xml:space="preserve">СОТР-095</x:t>
        </x:is>
      </x:c>
      <x:c r="K938" s="31" t="n">
        <x:v>14.5</x:v>
      </x:c>
      <x:c r="L938" s="31" t="n"/>
      <x:c r="M938" s="31" t="n">
        <x:v>46129</x:v>
      </x:c>
      <x:c r="N938" s="31" t="n">
        <x:v>46131</x:v>
      </x:c>
      <x:c r="O938" s="31" t="n"/>
      <x:c r="P938" s="31" t="n"/>
      <x:c r="Q938" s="31" t="inlineStr">
        <x:is>
          <x:t xml:space="preserve">Запланировано</x:t>
        </x:is>
      </x:c>
      <x:c r="R938" s="31" t="inlineStr">
        <x:is>
          <x:t xml:space="preserve">Оборудование</x:t>
        </x:is>
      </x:c>
      <x:c r="S938" s="31" t="inlineStr">
        <x:is>
          <x:t xml:space="preserve">Нет</x:t>
        </x:is>
      </x:c>
    </x:row>
    <x:row r="939">
      <x:c r="A939" s="31" t="inlineStr">
        <x:is>
          <x:t xml:space="preserve">ОП-000938</x:t>
        </x:is>
      </x:c>
      <x:c r="B939" s="31" t="inlineStr">
        <x:is>
          <x:t xml:space="preserve">ПЗ-00111</x:t>
        </x:is>
      </x:c>
      <x:c r="C939" s="31" t="inlineStr">
        <x:is>
          <x:t xml:space="preserve">ЗК-1054</x:t>
        </x:is>
      </x:c>
      <x:c r="D939" s="31" t="inlineStr">
        <x:is>
          <x:t xml:space="preserve">ПОЗ-0054-1</x:t>
        </x:is>
      </x:c>
      <x:c r="E939" s="31" t="inlineStr">
        <x:is>
          <x:t xml:space="preserve">ИЗД-028</x:t>
        </x:is>
      </x:c>
      <x:c r="F939" s="31" t="n">
        <x:v>90</x:v>
      </x:c>
      <x:c r="G939" s="31" t="inlineStr">
        <x:is>
          <x:t xml:space="preserve">Упаковка</x:t>
        </x:is>
      </x:c>
      <x:c r="H939" s="31" t="inlineStr">
        <x:is>
          <x:t xml:space="preserve">Логистика</x:t>
        </x:is>
      </x:c>
      <x:c r="I939" s="31" t="n"/>
      <x:c r="J939" s="31" t="inlineStr">
        <x:is>
          <x:t xml:space="preserve">СОТР-070</x:t>
        </x:is>
      </x:c>
      <x:c r="K939" s="31" t="n">
        <x:v>6.8</x:v>
      </x:c>
      <x:c r="L939" s="31" t="n"/>
      <x:c r="M939" s="31" t="n">
        <x:v>46131</x:v>
      </x:c>
      <x:c r="N939" s="31" t="n">
        <x:v>46132</x:v>
      </x:c>
      <x:c r="O939" s="31" t="n"/>
      <x:c r="P939" s="31" t="n"/>
      <x:c r="Q939" s="31" t="inlineStr">
        <x:is>
          <x:t xml:space="preserve">Запланировано</x:t>
        </x:is>
      </x:c>
      <x:c r="R939" s="31" t="inlineStr">
        <x:is>
          <x:t xml:space="preserve">Ожидание ОТК</x:t>
        </x:is>
      </x:c>
      <x:c r="S939" s="31" t="inlineStr">
        <x:is>
          <x:t xml:space="preserve">Да</x:t>
        </x:is>
      </x:c>
    </x:row>
    <x:row r="940">
      <x:c r="A940" s="31" t="inlineStr">
        <x:is>
          <x:t xml:space="preserve">ОП-000939</x:t>
        </x:is>
      </x:c>
      <x:c r="B940" s="31" t="inlineStr">
        <x:is>
          <x:t xml:space="preserve">ПЗ-00112</x:t>
        </x:is>
      </x:c>
      <x:c r="C940" s="31" t="inlineStr">
        <x:is>
          <x:t xml:space="preserve">ЗК-1055</x:t>
        </x:is>
      </x:c>
      <x:c r="D940" s="31" t="inlineStr">
        <x:is>
          <x:t xml:space="preserve">ПОЗ-0055-1</x:t>
        </x:is>
      </x:c>
      <x:c r="E940" s="31" t="inlineStr">
        <x:is>
          <x:t xml:space="preserve">ИЗД-040</x:t>
        </x:is>
      </x:c>
      <x:c r="F940" s="31" t="n">
        <x:v>10</x:v>
      </x:c>
      <x:c r="G940" s="31" t="inlineStr">
        <x:is>
          <x:t xml:space="preserve">КД</x:t>
        </x:is>
      </x:c>
      <x:c r="H940" s="31" t="inlineStr">
        <x:is>
          <x:t xml:space="preserve">Инженерный отдел</x:t>
        </x:is>
      </x:c>
      <x:c r="I940" s="31" t="n"/>
      <x:c r="J940" s="31" t="inlineStr">
        <x:is>
          <x:t xml:space="preserve">СОТР-017</x:t>
        </x:is>
      </x:c>
      <x:c r="K940" s="31" t="n">
        <x:v>6.2</x:v>
      </x:c>
      <x:c r="L940" s="31" t="n">
        <x:v>5.3</x:v>
      </x:c>
      <x:c r="M940" s="31" t="n">
        <x:v>46043</x:v>
      </x:c>
      <x:c r="N940" s="31" t="n">
        <x:v>46044</x:v>
      </x:c>
      <x:c r="O940" s="31" t="n">
        <x:v>46043</x:v>
      </x:c>
      <x:c r="P940" s="31" t="n">
        <x:v>46045</x:v>
      </x:c>
      <x:c r="Q940" s="31" t="inlineStr">
        <x:is>
          <x:t xml:space="preserve">Завершено</x:t>
        </x:is>
      </x:c>
      <x:c r="R940" s="31" t="inlineStr">
        <x:is>
          <x:t xml:space="preserve">Оборудование</x:t>
        </x:is>
      </x:c>
      <x:c r="S940" s="31" t="inlineStr">
        <x:is>
          <x:t xml:space="preserve">Нет</x:t>
        </x:is>
      </x:c>
    </x:row>
    <x:row r="941">
      <x:c r="A941" s="31" t="inlineStr">
        <x:is>
          <x:t xml:space="preserve">ОП-000940</x:t>
        </x:is>
      </x:c>
      <x:c r="B941" s="31" t="inlineStr">
        <x:is>
          <x:t xml:space="preserve">ПЗ-00112</x:t>
        </x:is>
      </x:c>
      <x:c r="C941" s="31" t="inlineStr">
        <x:is>
          <x:t xml:space="preserve">ЗК-1055</x:t>
        </x:is>
      </x:c>
      <x:c r="D941" s="31" t="inlineStr">
        <x:is>
          <x:t xml:space="preserve">ПОЗ-0055-1</x:t>
        </x:is>
      </x:c>
      <x:c r="E941" s="31" t="inlineStr">
        <x:is>
          <x:t xml:space="preserve">ИЗД-040</x:t>
        </x:is>
      </x:c>
      <x:c r="F941" s="31" t="n">
        <x:v>20</x:v>
      </x:c>
      <x:c r="G941" s="31" t="inlineStr">
        <x:is>
          <x:t xml:space="preserve">Резерв материалов</x:t>
        </x:is>
      </x:c>
      <x:c r="H941" s="31" t="inlineStr">
        <x:is>
          <x:t xml:space="preserve">Склад</x:t>
        </x:is>
      </x:c>
      <x:c r="I941" s="31" t="inlineStr">
        <x:is>
          <x:t xml:space="preserve">ОБ-008</x:t>
        </x:is>
      </x:c>
      <x:c r="J941" s="31" t="inlineStr">
        <x:is>
          <x:t xml:space="preserve">СОТР-039</x:t>
        </x:is>
      </x:c>
      <x:c r="K941" s="31" t="n">
        <x:v>9.4</x:v>
      </x:c>
      <x:c r="L941" s="31" t="n"/>
      <x:c r="M941" s="31" t="n">
        <x:v>46044</x:v>
      </x:c>
      <x:c r="N941" s="31" t="n">
        <x:v>46045</x:v>
      </x:c>
      <x:c r="O941" s="31" t="n">
        <x:v>46044</x:v>
      </x:c>
      <x:c r="P941" s="31" t="n"/>
      <x:c r="Q941" s="31" t="inlineStr">
        <x:is>
          <x:t xml:space="preserve">В работе</x:t>
        </x:is>
      </x:c>
      <x:c r="R941" s="31" t="inlineStr">
        <x:is>
          <x:t xml:space="preserve">Нет</x:t>
        </x:is>
      </x:c>
      <x:c r="S941" s="31" t="inlineStr">
        <x:is>
          <x:t xml:space="preserve">Нет</x:t>
        </x:is>
      </x:c>
    </x:row>
    <x:row r="942">
      <x:c r="A942" s="31" t="inlineStr">
        <x:is>
          <x:t xml:space="preserve">ОП-000941</x:t>
        </x:is>
      </x:c>
      <x:c r="B942" s="31" t="inlineStr">
        <x:is>
          <x:t xml:space="preserve">ПЗ-00112</x:t>
        </x:is>
      </x:c>
      <x:c r="C942" s="31" t="inlineStr">
        <x:is>
          <x:t xml:space="preserve">ЗК-1055</x:t>
        </x:is>
      </x:c>
      <x:c r="D942" s="31" t="inlineStr">
        <x:is>
          <x:t xml:space="preserve">ПОЗ-0055-1</x:t>
        </x:is>
      </x:c>
      <x:c r="E942" s="31" t="inlineStr">
        <x:is>
          <x:t xml:space="preserve">ИЗД-040</x:t>
        </x:is>
      </x:c>
      <x:c r="F942" s="31" t="n">
        <x:v>30</x:v>
      </x:c>
      <x:c r="G942" s="31" t="inlineStr">
        <x:is>
          <x:t xml:space="preserve">Сварка рамы</x:t>
        </x:is>
      </x:c>
      <x:c r="H942" s="31" t="inlineStr">
        <x:is>
          <x:t xml:space="preserve">Сварка</x:t>
        </x:is>
      </x:c>
      <x:c r="I942" s="31" t="inlineStr">
        <x:is>
          <x:t xml:space="preserve">ОБ-035</x:t>
        </x:is>
      </x:c>
      <x:c r="J942" s="31" t="inlineStr">
        <x:is>
          <x:t xml:space="preserve">СОТР-056</x:t>
        </x:is>
      </x:c>
      <x:c r="K942" s="31" t="n">
        <x:v>5</x:v>
      </x:c>
      <x:c r="L942" s="31" t="n">
        <x:v>4.7</x:v>
      </x:c>
      <x:c r="M942" s="31" t="n">
        <x:v>46045</x:v>
      </x:c>
      <x:c r="N942" s="31" t="n">
        <x:v>46046</x:v>
      </x:c>
      <x:c r="O942" s="31" t="n">
        <x:v>46045</x:v>
      </x:c>
      <x:c r="P942" s="31" t="n">
        <x:v>46046</x:v>
      </x:c>
      <x:c r="Q942" s="31" t="inlineStr">
        <x:is>
          <x:t xml:space="preserve">Завершено</x:t>
        </x:is>
      </x:c>
      <x:c r="R942" s="31" t="inlineStr">
        <x:is>
          <x:t xml:space="preserve">Нет</x:t>
        </x:is>
      </x:c>
      <x:c r="S942" s="31" t="inlineStr">
        <x:is>
          <x:t xml:space="preserve">Нет</x:t>
        </x:is>
      </x:c>
    </x:row>
    <x:row r="943">
      <x:c r="A943" s="31" t="inlineStr">
        <x:is>
          <x:t xml:space="preserve">ОП-000942</x:t>
        </x:is>
      </x:c>
      <x:c r="B943" s="31" t="inlineStr">
        <x:is>
          <x:t xml:space="preserve">ПЗ-00112</x:t>
        </x:is>
      </x:c>
      <x:c r="C943" s="31" t="inlineStr">
        <x:is>
          <x:t xml:space="preserve">ЗК-1055</x:t>
        </x:is>
      </x:c>
      <x:c r="D943" s="31" t="inlineStr">
        <x:is>
          <x:t xml:space="preserve">ПОЗ-0055-1</x:t>
        </x:is>
      </x:c>
      <x:c r="E943" s="31" t="inlineStr">
        <x:is>
          <x:t xml:space="preserve">ИЗД-040</x:t>
        </x:is>
      </x:c>
      <x:c r="F943" s="31" t="n">
        <x:v>40</x:v>
      </x:c>
      <x:c r="G943" s="31" t="inlineStr">
        <x:is>
          <x:t xml:space="preserve">Сборка</x:t>
        </x:is>
      </x:c>
      <x:c r="H943" s="31" t="inlineStr">
        <x:is>
          <x:t xml:space="preserve">Сборка</x:t>
        </x:is>
      </x:c>
      <x:c r="I943" s="31" t="inlineStr">
        <x:is>
          <x:t xml:space="preserve">ОБ-016</x:t>
        </x:is>
      </x:c>
      <x:c r="J943" s="31" t="inlineStr">
        <x:is>
          <x:t xml:space="preserve">СОТР-085</x:t>
        </x:is>
      </x:c>
      <x:c r="K943" s="31" t="n">
        <x:v>9.6</x:v>
      </x:c>
      <x:c r="L943" s="31" t="n">
        <x:v>9.699999999999999</x:v>
      </x:c>
      <x:c r="M943" s="31" t="n">
        <x:v>46046</x:v>
      </x:c>
      <x:c r="N943" s="31" t="n">
        <x:v>46047</x:v>
      </x:c>
      <x:c r="O943" s="31" t="n">
        <x:v>46046</x:v>
      </x:c>
      <x:c r="P943" s="31" t="n">
        <x:v>46046</x:v>
      </x:c>
      <x:c r="Q943" s="31" t="inlineStr">
        <x:is>
          <x:t xml:space="preserve">Завершено</x:t>
        </x:is>
      </x:c>
      <x:c r="R943" s="31" t="inlineStr">
        <x:is>
          <x:t xml:space="preserve">Нет</x:t>
        </x:is>
      </x:c>
      <x:c r="S943" s="31" t="inlineStr">
        <x:is>
          <x:t xml:space="preserve">Нет</x:t>
        </x:is>
      </x:c>
    </x:row>
    <x:row r="944">
      <x:c r="A944" s="31" t="inlineStr">
        <x:is>
          <x:t xml:space="preserve">ОП-000943</x:t>
        </x:is>
      </x:c>
      <x:c r="B944" s="31" t="inlineStr">
        <x:is>
          <x:t xml:space="preserve">ПЗ-00112</x:t>
        </x:is>
      </x:c>
      <x:c r="C944" s="31" t="inlineStr">
        <x:is>
          <x:t xml:space="preserve">ЗК-1055</x:t>
        </x:is>
      </x:c>
      <x:c r="D944" s="31" t="inlineStr">
        <x:is>
          <x:t xml:space="preserve">ПОЗ-0055-1</x:t>
        </x:is>
      </x:c>
      <x:c r="E944" s="31" t="inlineStr">
        <x:is>
          <x:t xml:space="preserve">ИЗД-040</x:t>
        </x:is>
      </x:c>
      <x:c r="F944" s="31" t="n">
        <x:v>50</x:v>
      </x:c>
      <x:c r="G944" s="31" t="inlineStr">
        <x:is>
          <x:t xml:space="preserve">Обвязка труб</x:t>
        </x:is>
      </x:c>
      <x:c r="H944" s="31" t="inlineStr">
        <x:is>
          <x:t xml:space="preserve">Сборка</x:t>
        </x:is>
      </x:c>
      <x:c r="I944" s="31" t="inlineStr">
        <x:is>
          <x:t xml:space="preserve">ОБ-012</x:t>
        </x:is>
      </x:c>
      <x:c r="J944" s="31" t="inlineStr">
        <x:is>
          <x:t xml:space="preserve">СОТР-084</x:t>
        </x:is>
      </x:c>
      <x:c r="K944" s="31" t="n">
        <x:v>16</x:v>
      </x:c>
      <x:c r="L944" s="31" t="n"/>
      <x:c r="M944" s="31" t="n">
        <x:v>46047</x:v>
      </x:c>
      <x:c r="N944" s="31" t="n">
        <x:v>46049</x:v>
      </x:c>
      <x:c r="O944" s="31" t="n"/>
      <x:c r="P944" s="31" t="n"/>
      <x:c r="Q944" s="31" t="inlineStr">
        <x:is>
          <x:t xml:space="preserve">Запланировано</x:t>
        </x:is>
      </x:c>
      <x:c r="R944" s="31" t="inlineStr">
        <x:is>
          <x:t xml:space="preserve">Ожидание ОТК</x:t>
        </x:is>
      </x:c>
      <x:c r="S944" s="31" t="inlineStr">
        <x:is>
          <x:t xml:space="preserve">Нет</x:t>
        </x:is>
      </x:c>
    </x:row>
    <x:row r="945">
      <x:c r="A945" s="31" t="inlineStr">
        <x:is>
          <x:t xml:space="preserve">ОП-000944</x:t>
        </x:is>
      </x:c>
      <x:c r="B945" s="31" t="inlineStr">
        <x:is>
          <x:t xml:space="preserve">ПЗ-00112</x:t>
        </x:is>
      </x:c>
      <x:c r="C945" s="31" t="inlineStr">
        <x:is>
          <x:t xml:space="preserve">ЗК-1055</x:t>
        </x:is>
      </x:c>
      <x:c r="D945" s="31" t="inlineStr">
        <x:is>
          <x:t xml:space="preserve">ПОЗ-0055-1</x:t>
        </x:is>
      </x:c>
      <x:c r="E945" s="31" t="inlineStr">
        <x:is>
          <x:t xml:space="preserve">ИЗД-040</x:t>
        </x:is>
      </x:c>
      <x:c r="F945" s="31" t="n">
        <x:v>60</x:v>
      </x:c>
      <x:c r="G945" s="31" t="inlineStr">
        <x:is>
          <x:t xml:space="preserve">Электромонтаж</x:t>
        </x:is>
      </x:c>
      <x:c r="H945" s="31" t="inlineStr">
        <x:is>
          <x:t xml:space="preserve">Сборка</x:t>
        </x:is>
      </x:c>
      <x:c r="I945" s="31" t="inlineStr">
        <x:is>
          <x:t xml:space="preserve">ОБ-020</x:t>
        </x:is>
      </x:c>
      <x:c r="J945" s="31" t="inlineStr">
        <x:is>
          <x:t xml:space="preserve">СОТР-078</x:t>
        </x:is>
      </x:c>
      <x:c r="K945" s="31" t="n">
        <x:v>7</x:v>
      </x:c>
      <x:c r="L945" s="31" t="n"/>
      <x:c r="M945" s="31" t="n">
        <x:v>46049</x:v>
      </x:c>
      <x:c r="N945" s="31" t="n">
        <x:v>46050</x:v>
      </x:c>
      <x:c r="O945" s="31" t="n"/>
      <x:c r="P945" s="31" t="n"/>
      <x:c r="Q945" s="31" t="inlineStr">
        <x:is>
          <x:t xml:space="preserve">Запланировано</x:t>
        </x:is>
      </x:c>
      <x:c r="R945" s="31" t="inlineStr">
        <x:is>
          <x:t xml:space="preserve">Нет</x:t>
        </x:is>
      </x:c>
      <x:c r="S945" s="31" t="inlineStr">
        <x:is>
          <x:t xml:space="preserve">Нет</x:t>
        </x:is>
      </x:c>
    </x:row>
    <x:row r="946">
      <x:c r="A946" s="31" t="inlineStr">
        <x:is>
          <x:t xml:space="preserve">ОП-000945</x:t>
        </x:is>
      </x:c>
      <x:c r="B946" s="31" t="inlineStr">
        <x:is>
          <x:t xml:space="preserve">ПЗ-00112</x:t>
        </x:is>
      </x:c>
      <x:c r="C946" s="31" t="inlineStr">
        <x:is>
          <x:t xml:space="preserve">ЗК-1055</x:t>
        </x:is>
      </x:c>
      <x:c r="D946" s="31" t="inlineStr">
        <x:is>
          <x:t xml:space="preserve">ПОЗ-0055-1</x:t>
        </x:is>
      </x:c>
      <x:c r="E946" s="31" t="inlineStr">
        <x:is>
          <x:t xml:space="preserve">ИЗД-040</x:t>
        </x:is>
      </x:c>
      <x:c r="F946" s="31" t="n">
        <x:v>70</x:v>
      </x:c>
      <x:c r="G946" s="31" t="inlineStr">
        <x:is>
          <x:t xml:space="preserve">Гидроиспытания</x:t>
        </x:is>
      </x:c>
      <x:c r="H946" s="31" t="inlineStr">
        <x:is>
          <x:t xml:space="preserve">ОТК</x:t>
        </x:is>
      </x:c>
      <x:c r="I946" s="31" t="inlineStr">
        <x:is>
          <x:t xml:space="preserve">ОБ-033</x:t>
        </x:is>
      </x:c>
      <x:c r="J946" s="31" t="inlineStr">
        <x:is>
          <x:t xml:space="preserve">СОТР-096</x:t>
        </x:is>
      </x:c>
      <x:c r="K946" s="31" t="n">
        <x:v>24</x:v>
      </x:c>
      <x:c r="L946" s="31" t="n"/>
      <x:c r="M946" s="31" t="n">
        <x:v>46050</x:v>
      </x:c>
      <x:c r="N946" s="31" t="n">
        <x:v>46052</x:v>
      </x:c>
      <x:c r="O946" s="31" t="n">
        <x:v>46050</x:v>
      </x:c>
      <x:c r="P946" s="31" t="n"/>
      <x:c r="Q946" s="31" t="inlineStr">
        <x:is>
          <x:t xml:space="preserve">В работе</x:t>
        </x:is>
      </x:c>
      <x:c r="R946" s="31" t="inlineStr">
        <x:is>
          <x:t xml:space="preserve">Нет</x:t>
        </x:is>
      </x:c>
      <x:c r="S946" s="31" t="inlineStr">
        <x:is>
          <x:t xml:space="preserve">Нет</x:t>
        </x:is>
      </x:c>
    </x:row>
    <x:row r="947">
      <x:c r="A947" s="31" t="inlineStr">
        <x:is>
          <x:t xml:space="preserve">ОП-000946</x:t>
        </x:is>
      </x:c>
      <x:c r="B947" s="31" t="inlineStr">
        <x:is>
          <x:t xml:space="preserve">ПЗ-00112</x:t>
        </x:is>
      </x:c>
      <x:c r="C947" s="31" t="inlineStr">
        <x:is>
          <x:t xml:space="preserve">ЗК-1055</x:t>
        </x:is>
      </x:c>
      <x:c r="D947" s="31" t="inlineStr">
        <x:is>
          <x:t xml:space="preserve">ПОЗ-0055-1</x:t>
        </x:is>
      </x:c>
      <x:c r="E947" s="31" t="inlineStr">
        <x:is>
          <x:t xml:space="preserve">ИЗД-040</x:t>
        </x:is>
      </x:c>
      <x:c r="F947" s="31" t="n">
        <x:v>80</x:v>
      </x:c>
      <x:c r="G947" s="31" t="inlineStr">
        <x:is>
          <x:t xml:space="preserve">ОТК</x:t>
        </x:is>
      </x:c>
      <x:c r="H947" s="31" t="inlineStr">
        <x:is>
          <x:t xml:space="preserve">ОТК</x:t>
        </x:is>
      </x:c>
      <x:c r="I947" s="31" t="inlineStr">
        <x:is>
          <x:t xml:space="preserve">ОБ-024</x:t>
        </x:is>
      </x:c>
      <x:c r="J947" s="31" t="inlineStr">
        <x:is>
          <x:t xml:space="preserve">СОТР-096</x:t>
        </x:is>
      </x:c>
      <x:c r="K947" s="31" t="n">
        <x:v>2.4</x:v>
      </x:c>
      <x:c r="L947" s="31" t="n"/>
      <x:c r="M947" s="31" t="n">
        <x:v>46052</x:v>
      </x:c>
      <x:c r="N947" s="31" t="n">
        <x:v>46053</x:v>
      </x:c>
      <x:c r="O947" s="31" t="n"/>
      <x:c r="P947" s="31" t="n"/>
      <x:c r="Q947" s="31" t="inlineStr">
        <x:is>
          <x:t xml:space="preserve">Запланировано</x:t>
        </x:is>
      </x:c>
      <x:c r="R947" s="31" t="inlineStr">
        <x:is>
          <x:t xml:space="preserve">Нет</x:t>
        </x:is>
      </x:c>
      <x:c r="S947" s="31" t="inlineStr">
        <x:is>
          <x:t xml:space="preserve">Нет</x:t>
        </x:is>
      </x:c>
    </x:row>
    <x:row r="948">
      <x:c r="A948" s="31" t="inlineStr">
        <x:is>
          <x:t xml:space="preserve">ОП-000947</x:t>
        </x:is>
      </x:c>
      <x:c r="B948" s="31" t="inlineStr">
        <x:is>
          <x:t xml:space="preserve">ПЗ-00112</x:t>
        </x:is>
      </x:c>
      <x:c r="C948" s="31" t="inlineStr">
        <x:is>
          <x:t xml:space="preserve">ЗК-1055</x:t>
        </x:is>
      </x:c>
      <x:c r="D948" s="31" t="inlineStr">
        <x:is>
          <x:t xml:space="preserve">ПОЗ-0055-1</x:t>
        </x:is>
      </x:c>
      <x:c r="E948" s="31" t="inlineStr">
        <x:is>
          <x:t xml:space="preserve">ИЗД-040</x:t>
        </x:is>
      </x:c>
      <x:c r="F948" s="31" t="n">
        <x:v>90</x:v>
      </x:c>
      <x:c r="G948" s="31" t="inlineStr">
        <x:is>
          <x:t xml:space="preserve">Упаковка</x:t>
        </x:is>
      </x:c>
      <x:c r="H948" s="31" t="inlineStr">
        <x:is>
          <x:t xml:space="preserve">Логистика</x:t>
        </x:is>
      </x:c>
      <x:c r="I948" s="31" t="n"/>
      <x:c r="J948" s="31" t="inlineStr">
        <x:is>
          <x:t xml:space="preserve">СОТР-105</x:t>
        </x:is>
      </x:c>
      <x:c r="K948" s="31" t="n">
        <x:v>9.199999999999999</x:v>
      </x:c>
      <x:c r="L948" s="31" t="n"/>
      <x:c r="M948" s="31" t="n">
        <x:v>46053</x:v>
      </x:c>
      <x:c r="N948" s="31" t="n">
        <x:v>46054</x:v>
      </x:c>
      <x:c r="O948" s="31" t="n">
        <x:v>46053</x:v>
      </x:c>
      <x:c r="P948" s="31" t="n"/>
      <x:c r="Q948" s="31" t="inlineStr">
        <x:is>
          <x:t xml:space="preserve">В работе</x:t>
        </x:is>
      </x:c>
      <x:c r="R948" s="31" t="inlineStr">
        <x:is>
          <x:t xml:space="preserve">Нет</x:t>
        </x:is>
      </x:c>
      <x:c r="S948" s="31" t="inlineStr">
        <x:is>
          <x:t xml:space="preserve">Нет</x:t>
        </x:is>
      </x:c>
    </x:row>
    <x:row r="949">
      <x:c r="A949" s="31" t="inlineStr">
        <x:is>
          <x:t xml:space="preserve">ОП-000948</x:t>
        </x:is>
      </x:c>
      <x:c r="B949" s="31" t="inlineStr">
        <x:is>
          <x:t xml:space="preserve">ПЗ-00113</x:t>
        </x:is>
      </x:c>
      <x:c r="C949" s="31" t="inlineStr">
        <x:is>
          <x:t xml:space="preserve">ЗК-1055</x:t>
        </x:is>
      </x:c>
      <x:c r="D949" s="31" t="inlineStr">
        <x:is>
          <x:t xml:space="preserve">ПОЗ-0055-2</x:t>
        </x:is>
      </x:c>
      <x:c r="E949" s="31" t="inlineStr">
        <x:is>
          <x:t xml:space="preserve">ИЗД-024</x:t>
        </x:is>
      </x:c>
      <x:c r="F949" s="31" t="n">
        <x:v>10</x:v>
      </x:c>
      <x:c r="G949" s="31" t="inlineStr">
        <x:is>
          <x:t xml:space="preserve">КД</x:t>
        </x:is>
      </x:c>
      <x:c r="H949" s="31" t="inlineStr">
        <x:is>
          <x:t xml:space="preserve">Инженерный отдел</x:t>
        </x:is>
      </x:c>
      <x:c r="I949" s="31" t="n"/>
      <x:c r="J949" s="31" t="inlineStr">
        <x:is>
          <x:t xml:space="preserve">СОТР-012</x:t>
        </x:is>
      </x:c>
      <x:c r="K949" s="31" t="n">
        <x:v>42</x:v>
      </x:c>
      <x:c r="L949" s="31" t="n">
        <x:v>44.9</x:v>
      </x:c>
      <x:c r="M949" s="31" t="n">
        <x:v>46044</x:v>
      </x:c>
      <x:c r="N949" s="31" t="n">
        <x:v>46048</x:v>
      </x:c>
      <x:c r="O949" s="31" t="n">
        <x:v>46044</x:v>
      </x:c>
      <x:c r="P949" s="31" t="n">
        <x:v>46047</x:v>
      </x:c>
      <x:c r="Q949" s="31" t="inlineStr">
        <x:is>
          <x:t xml:space="preserve">Завершено</x:t>
        </x:is>
      </x:c>
      <x:c r="R949" s="31" t="inlineStr">
        <x:is>
          <x:t xml:space="preserve">Нет</x:t>
        </x:is>
      </x:c>
      <x:c r="S949" s="31" t="inlineStr">
        <x:is>
          <x:t xml:space="preserve">Нет</x:t>
        </x:is>
      </x:c>
    </x:row>
    <x:row r="950">
      <x:c r="A950" s="31" t="inlineStr">
        <x:is>
          <x:t xml:space="preserve">ОП-000949</x:t>
        </x:is>
      </x:c>
      <x:c r="B950" s="31" t="inlineStr">
        <x:is>
          <x:t xml:space="preserve">ПЗ-00113</x:t>
        </x:is>
      </x:c>
      <x:c r="C950" s="31" t="inlineStr">
        <x:is>
          <x:t xml:space="preserve">ЗК-1055</x:t>
        </x:is>
      </x:c>
      <x:c r="D950" s="31" t="inlineStr">
        <x:is>
          <x:t xml:space="preserve">ПОЗ-0055-2</x:t>
        </x:is>
      </x:c>
      <x:c r="E950" s="31" t="inlineStr">
        <x:is>
          <x:t xml:space="preserve">ИЗД-024</x:t>
        </x:is>
      </x:c>
      <x:c r="F950" s="31" t="n">
        <x:v>20</x:v>
      </x:c>
      <x:c r="G950" s="31" t="inlineStr">
        <x:is>
          <x:t xml:space="preserve">Резерв материалов</x:t>
        </x:is>
      </x:c>
      <x:c r="H950" s="31" t="inlineStr">
        <x:is>
          <x:t xml:space="preserve">Склад</x:t>
        </x:is>
      </x:c>
      <x:c r="I950" s="31" t="inlineStr">
        <x:is>
          <x:t xml:space="preserve">ОБ-008</x:t>
        </x:is>
      </x:c>
      <x:c r="J950" s="31" t="inlineStr">
        <x:is>
          <x:t xml:space="preserve">СОТР-038</x:t>
        </x:is>
      </x:c>
      <x:c r="K950" s="31" t="n">
        <x:v>6.8</x:v>
      </x:c>
      <x:c r="L950" s="31" t="n"/>
      <x:c r="M950" s="31" t="n">
        <x:v>46048</x:v>
      </x:c>
      <x:c r="N950" s="31" t="n">
        <x:v>46049</x:v>
      </x:c>
      <x:c r="O950" s="31" t="n">
        <x:v>46048</x:v>
      </x:c>
      <x:c r="P950" s="31" t="n"/>
      <x:c r="Q950" s="31" t="inlineStr">
        <x:is>
          <x:t xml:space="preserve">В работе</x:t>
        </x:is>
      </x:c>
      <x:c r="R950" s="31" t="inlineStr">
        <x:is>
          <x:t xml:space="preserve">Нет</x:t>
        </x:is>
      </x:c>
      <x:c r="S950" s="31" t="inlineStr">
        <x:is>
          <x:t xml:space="preserve">Нет</x:t>
        </x:is>
      </x:c>
    </x:row>
    <x:row r="951">
      <x:c r="A951" s="31" t="inlineStr">
        <x:is>
          <x:t xml:space="preserve">ОП-000950</x:t>
        </x:is>
      </x:c>
      <x:c r="B951" s="31" t="inlineStr">
        <x:is>
          <x:t xml:space="preserve">ПЗ-00113</x:t>
        </x:is>
      </x:c>
      <x:c r="C951" s="31" t="inlineStr">
        <x:is>
          <x:t xml:space="preserve">ЗК-1055</x:t>
        </x:is>
      </x:c>
      <x:c r="D951" s="31" t="inlineStr">
        <x:is>
          <x:t xml:space="preserve">ПОЗ-0055-2</x:t>
        </x:is>
      </x:c>
      <x:c r="E951" s="31" t="inlineStr">
        <x:is>
          <x:t xml:space="preserve">ИЗД-024</x:t>
        </x:is>
      </x:c>
      <x:c r="F951" s="31" t="n">
        <x:v>30</x:v>
      </x:c>
      <x:c r="G951" s="31" t="inlineStr">
        <x:is>
          <x:t xml:space="preserve">Сварка рамы</x:t>
        </x:is>
      </x:c>
      <x:c r="H951" s="31" t="inlineStr">
        <x:is>
          <x:t xml:space="preserve">Сварка</x:t>
        </x:is>
      </x:c>
      <x:c r="I951" s="31" t="inlineStr">
        <x:is>
          <x:t xml:space="preserve">ОБ-021</x:t>
        </x:is>
      </x:c>
      <x:c r="J951" s="31" t="inlineStr">
        <x:is>
          <x:t xml:space="preserve">СОТР-072</x:t>
        </x:is>
      </x:c>
      <x:c r="K951" s="31" t="n">
        <x:v>11.6</x:v>
      </x:c>
      <x:c r="L951" s="31" t="n">
        <x:v>11.8</x:v>
      </x:c>
      <x:c r="M951" s="31" t="n">
        <x:v>46049</x:v>
      </x:c>
      <x:c r="N951" s="31" t="n">
        <x:v>46050</x:v>
      </x:c>
      <x:c r="O951" s="31" t="n">
        <x:v>46049</x:v>
      </x:c>
      <x:c r="P951" s="31" t="n">
        <x:v>46050</x:v>
      </x:c>
      <x:c r="Q951" s="31" t="inlineStr">
        <x:is>
          <x:t xml:space="preserve">Завершено</x:t>
        </x:is>
      </x:c>
      <x:c r="R951" s="31" t="inlineStr">
        <x:is>
          <x:t xml:space="preserve">Ожидание ОТК</x:t>
        </x:is>
      </x:c>
      <x:c r="S951" s="31" t="inlineStr">
        <x:is>
          <x:t xml:space="preserve">Нет</x:t>
        </x:is>
      </x:c>
    </x:row>
    <x:row r="952">
      <x:c r="A952" s="31" t="inlineStr">
        <x:is>
          <x:t xml:space="preserve">ОП-000951</x:t>
        </x:is>
      </x:c>
      <x:c r="B952" s="31" t="inlineStr">
        <x:is>
          <x:t xml:space="preserve">ПЗ-00113</x:t>
        </x:is>
      </x:c>
      <x:c r="C952" s="31" t="inlineStr">
        <x:is>
          <x:t xml:space="preserve">ЗК-1055</x:t>
        </x:is>
      </x:c>
      <x:c r="D952" s="31" t="inlineStr">
        <x:is>
          <x:t xml:space="preserve">ПОЗ-0055-2</x:t>
        </x:is>
      </x:c>
      <x:c r="E952" s="31" t="inlineStr">
        <x:is>
          <x:t xml:space="preserve">ИЗД-024</x:t>
        </x:is>
      </x:c>
      <x:c r="F952" s="31" t="n">
        <x:v>40</x:v>
      </x:c>
      <x:c r="G952" s="31" t="inlineStr">
        <x:is>
          <x:t xml:space="preserve">Сборка</x:t>
        </x:is>
      </x:c>
      <x:c r="H952" s="31" t="inlineStr">
        <x:is>
          <x:t xml:space="preserve">Сборка</x:t>
        </x:is>
      </x:c>
      <x:c r="I952" s="31" t="inlineStr">
        <x:is>
          <x:t xml:space="preserve">ОБ-005</x:t>
        </x:is>
      </x:c>
      <x:c r="J952" s="31" t="inlineStr">
        <x:is>
          <x:t xml:space="preserve">СОТР-084</x:t>
        </x:is>
      </x:c>
      <x:c r="K952" s="31" t="n">
        <x:v>8.4</x:v>
      </x:c>
      <x:c r="L952" s="31" t="n"/>
      <x:c r="M952" s="31" t="n">
        <x:v>46050</x:v>
      </x:c>
      <x:c r="N952" s="31" t="n">
        <x:v>46051</x:v>
      </x:c>
      <x:c r="O952" s="31" t="n">
        <x:v>46050</x:v>
      </x:c>
      <x:c r="P952" s="31" t="n"/>
      <x:c r="Q952" s="31" t="inlineStr">
        <x:is>
          <x:t xml:space="preserve">В работе</x:t>
        </x:is>
      </x:c>
      <x:c r="R952" s="31" t="inlineStr">
        <x:is>
          <x:t xml:space="preserve">Ожидание ОТК</x:t>
        </x:is>
      </x:c>
      <x:c r="S952" s="31" t="inlineStr">
        <x:is>
          <x:t xml:space="preserve">Нет</x:t>
        </x:is>
      </x:c>
    </x:row>
    <x:row r="953">
      <x:c r="A953" s="31" t="inlineStr">
        <x:is>
          <x:t xml:space="preserve">ОП-000952</x:t>
        </x:is>
      </x:c>
      <x:c r="B953" s="31" t="inlineStr">
        <x:is>
          <x:t xml:space="preserve">ПЗ-00113</x:t>
        </x:is>
      </x:c>
      <x:c r="C953" s="31" t="inlineStr">
        <x:is>
          <x:t xml:space="preserve">ЗК-1055</x:t>
        </x:is>
      </x:c>
      <x:c r="D953" s="31" t="inlineStr">
        <x:is>
          <x:t xml:space="preserve">ПОЗ-0055-2</x:t>
        </x:is>
      </x:c>
      <x:c r="E953" s="31" t="inlineStr">
        <x:is>
          <x:t xml:space="preserve">ИЗД-024</x:t>
        </x:is>
      </x:c>
      <x:c r="F953" s="31" t="n">
        <x:v>50</x:v>
      </x:c>
      <x:c r="G953" s="31" t="inlineStr">
        <x:is>
          <x:t xml:space="preserve">Обвязка труб</x:t>
        </x:is>
      </x:c>
      <x:c r="H953" s="31" t="inlineStr">
        <x:is>
          <x:t xml:space="preserve">Сборка</x:t>
        </x:is>
      </x:c>
      <x:c r="I953" s="31" t="inlineStr">
        <x:is>
          <x:t xml:space="preserve">ОБ-034</x:t>
        </x:is>
      </x:c>
      <x:c r="J953" s="31" t="inlineStr">
        <x:is>
          <x:t xml:space="preserve">СОТР-091</x:t>
        </x:is>
      </x:c>
      <x:c r="K953" s="31" t="n">
        <x:v>38.8</x:v>
      </x:c>
      <x:c r="L953" s="31" t="n"/>
      <x:c r="M953" s="31" t="n">
        <x:v>46051</x:v>
      </x:c>
      <x:c r="N953" s="31" t="n">
        <x:v>46055</x:v>
      </x:c>
      <x:c r="O953" s="31" t="n">
        <x:v>46051</x:v>
      </x:c>
      <x:c r="P953" s="31" t="n"/>
      <x:c r="Q953" s="31" t="inlineStr">
        <x:is>
          <x:t xml:space="preserve">В работе</x:t>
        </x:is>
      </x:c>
      <x:c r="R953" s="31" t="inlineStr">
        <x:is>
          <x:t xml:space="preserve">Нет</x:t>
        </x:is>
      </x:c>
      <x:c r="S953" s="31" t="inlineStr">
        <x:is>
          <x:t xml:space="preserve">Нет</x:t>
        </x:is>
      </x:c>
    </x:row>
    <x:row r="954">
      <x:c r="A954" s="31" t="inlineStr">
        <x:is>
          <x:t xml:space="preserve">ОП-000953</x:t>
        </x:is>
      </x:c>
      <x:c r="B954" s="31" t="inlineStr">
        <x:is>
          <x:t xml:space="preserve">ПЗ-00113</x:t>
        </x:is>
      </x:c>
      <x:c r="C954" s="31" t="inlineStr">
        <x:is>
          <x:t xml:space="preserve">ЗК-1055</x:t>
        </x:is>
      </x:c>
      <x:c r="D954" s="31" t="inlineStr">
        <x:is>
          <x:t xml:space="preserve">ПОЗ-0055-2</x:t>
        </x:is>
      </x:c>
      <x:c r="E954" s="31" t="inlineStr">
        <x:is>
          <x:t xml:space="preserve">ИЗД-024</x:t>
        </x:is>
      </x:c>
      <x:c r="F954" s="31" t="n">
        <x:v>60</x:v>
      </x:c>
      <x:c r="G954" s="31" t="inlineStr">
        <x:is>
          <x:t xml:space="preserve">Электромонтаж</x:t>
        </x:is>
      </x:c>
      <x:c r="H954" s="31" t="inlineStr">
        <x:is>
          <x:t xml:space="preserve">Сборка</x:t>
        </x:is>
      </x:c>
      <x:c r="I954" s="31" t="inlineStr">
        <x:is>
          <x:t xml:space="preserve">ОБ-014</x:t>
        </x:is>
      </x:c>
      <x:c r="J954" s="31" t="inlineStr">
        <x:is>
          <x:t xml:space="preserve">СОТР-091</x:t>
        </x:is>
      </x:c>
      <x:c r="K954" s="31" t="n">
        <x:v>14.4</x:v>
      </x:c>
      <x:c r="L954" s="31" t="n"/>
      <x:c r="M954" s="31" t="n">
        <x:v>46055</x:v>
      </x:c>
      <x:c r="N954" s="31" t="n">
        <x:v>46057</x:v>
      </x:c>
      <x:c r="O954" s="31" t="n"/>
      <x:c r="P954" s="31" t="n"/>
      <x:c r="Q954" s="31" t="inlineStr">
        <x:is>
          <x:t xml:space="preserve">Запланировано</x:t>
        </x:is>
      </x:c>
      <x:c r="R954" s="31" t="inlineStr">
        <x:is>
          <x:t xml:space="preserve">Нет</x:t>
        </x:is>
      </x:c>
      <x:c r="S954" s="31" t="inlineStr">
        <x:is>
          <x:t xml:space="preserve">Нет</x:t>
        </x:is>
      </x:c>
    </x:row>
    <x:row r="955">
      <x:c r="A955" s="31" t="inlineStr">
        <x:is>
          <x:t xml:space="preserve">ОП-000954</x:t>
        </x:is>
      </x:c>
      <x:c r="B955" s="31" t="inlineStr">
        <x:is>
          <x:t xml:space="preserve">ПЗ-00113</x:t>
        </x:is>
      </x:c>
      <x:c r="C955" s="31" t="inlineStr">
        <x:is>
          <x:t xml:space="preserve">ЗК-1055</x:t>
        </x:is>
      </x:c>
      <x:c r="D955" s="31" t="inlineStr">
        <x:is>
          <x:t xml:space="preserve">ПОЗ-0055-2</x:t>
        </x:is>
      </x:c>
      <x:c r="E955" s="31" t="inlineStr">
        <x:is>
          <x:t xml:space="preserve">ИЗД-024</x:t>
        </x:is>
      </x:c>
      <x:c r="F955" s="31" t="n">
        <x:v>70</x:v>
      </x:c>
      <x:c r="G955" s="31" t="inlineStr">
        <x:is>
          <x:t xml:space="preserve">Гидроиспытания</x:t>
        </x:is>
      </x:c>
      <x:c r="H955" s="31" t="inlineStr">
        <x:is>
          <x:t xml:space="preserve">ОТК</x:t>
        </x:is>
      </x:c>
      <x:c r="I955" s="31" t="inlineStr">
        <x:is>
          <x:t xml:space="preserve">ОБ-022</x:t>
        </x:is>
      </x:c>
      <x:c r="J955" s="31" t="inlineStr">
        <x:is>
          <x:t xml:space="preserve">СОТР-098</x:t>
        </x:is>
      </x:c>
      <x:c r="K955" s="31" t="n">
        <x:v>20.8</x:v>
      </x:c>
      <x:c r="L955" s="31" t="n">
        <x:v>19.8</x:v>
      </x:c>
      <x:c r="M955" s="31" t="n">
        <x:v>46057</x:v>
      </x:c>
      <x:c r="N955" s="31" t="n">
        <x:v>46059</x:v>
      </x:c>
      <x:c r="O955" s="31" t="n">
        <x:v>46057</x:v>
      </x:c>
      <x:c r="P955" s="31" t="n">
        <x:v>46060</x:v>
      </x:c>
      <x:c r="Q955" s="31" t="inlineStr">
        <x:is>
          <x:t xml:space="preserve">Завершено</x:t>
        </x:is>
      </x:c>
      <x:c r="R955" s="31" t="inlineStr">
        <x:is>
          <x:t xml:space="preserve">Нет</x:t>
        </x:is>
      </x:c>
      <x:c r="S955" s="31" t="inlineStr">
        <x:is>
          <x:t xml:space="preserve">Нет</x:t>
        </x:is>
      </x:c>
    </x:row>
    <x:row r="956">
      <x:c r="A956" s="31" t="inlineStr">
        <x:is>
          <x:t xml:space="preserve">ОП-000955</x:t>
        </x:is>
      </x:c>
      <x:c r="B956" s="31" t="inlineStr">
        <x:is>
          <x:t xml:space="preserve">ПЗ-00113</x:t>
        </x:is>
      </x:c>
      <x:c r="C956" s="31" t="inlineStr">
        <x:is>
          <x:t xml:space="preserve">ЗК-1055</x:t>
        </x:is>
      </x:c>
      <x:c r="D956" s="31" t="inlineStr">
        <x:is>
          <x:t xml:space="preserve">ПОЗ-0055-2</x:t>
        </x:is>
      </x:c>
      <x:c r="E956" s="31" t="inlineStr">
        <x:is>
          <x:t xml:space="preserve">ИЗД-024</x:t>
        </x:is>
      </x:c>
      <x:c r="F956" s="31" t="n">
        <x:v>80</x:v>
      </x:c>
      <x:c r="G956" s="31" t="inlineStr">
        <x:is>
          <x:t xml:space="preserve">ОТК</x:t>
        </x:is>
      </x:c>
      <x:c r="H956" s="31" t="inlineStr">
        <x:is>
          <x:t xml:space="preserve">ОТК</x:t>
        </x:is>
      </x:c>
      <x:c r="I956" s="31" t="inlineStr">
        <x:is>
          <x:t xml:space="preserve">ОБ-024</x:t>
        </x:is>
      </x:c>
      <x:c r="J956" s="31" t="inlineStr">
        <x:is>
          <x:t xml:space="preserve">СОТР-093</x:t>
        </x:is>
      </x:c>
      <x:c r="K956" s="31" t="n">
        <x:v>22.8</x:v>
      </x:c>
      <x:c r="L956" s="31" t="n"/>
      <x:c r="M956" s="31" t="n">
        <x:v>46059</x:v>
      </x:c>
      <x:c r="N956" s="31" t="n">
        <x:v>46061</x:v>
      </x:c>
      <x:c r="O956" s="31" t="n"/>
      <x:c r="P956" s="31" t="n"/>
      <x:c r="Q956" s="31" t="inlineStr">
        <x:is>
          <x:t xml:space="preserve">Запланировано</x:t>
        </x:is>
      </x:c>
      <x:c r="R956" s="31" t="inlineStr">
        <x:is>
          <x:t xml:space="preserve">Нет</x:t>
        </x:is>
      </x:c>
      <x:c r="S956" s="31" t="inlineStr">
        <x:is>
          <x:t xml:space="preserve">Нет</x:t>
        </x:is>
      </x:c>
    </x:row>
    <x:row r="957">
      <x:c r="A957" s="31" t="inlineStr">
        <x:is>
          <x:t xml:space="preserve">ОП-000956</x:t>
        </x:is>
      </x:c>
      <x:c r="B957" s="31" t="inlineStr">
        <x:is>
          <x:t xml:space="preserve">ПЗ-00113</x:t>
        </x:is>
      </x:c>
      <x:c r="C957" s="31" t="inlineStr">
        <x:is>
          <x:t xml:space="preserve">ЗК-1055</x:t>
        </x:is>
      </x:c>
      <x:c r="D957" s="31" t="inlineStr">
        <x:is>
          <x:t xml:space="preserve">ПОЗ-0055-2</x:t>
        </x:is>
      </x:c>
      <x:c r="E957" s="31" t="inlineStr">
        <x:is>
          <x:t xml:space="preserve">ИЗД-024</x:t>
        </x:is>
      </x:c>
      <x:c r="F957" s="31" t="n">
        <x:v>90</x:v>
      </x:c>
      <x:c r="G957" s="31" t="inlineStr">
        <x:is>
          <x:t xml:space="preserve">Упаковка</x:t>
        </x:is>
      </x:c>
      <x:c r="H957" s="31" t="inlineStr">
        <x:is>
          <x:t xml:space="preserve">Логистика</x:t>
        </x:is>
      </x:c>
      <x:c r="I957" s="31" t="n"/>
      <x:c r="J957" s="31" t="inlineStr">
        <x:is>
          <x:t xml:space="preserve">СОТР-105</x:t>
        </x:is>
      </x:c>
      <x:c r="K957" s="31" t="n">
        <x:v>34.4</x:v>
      </x:c>
      <x:c r="L957" s="31" t="n"/>
      <x:c r="M957" s="31" t="n">
        <x:v>46061</x:v>
      </x:c>
      <x:c r="N957" s="31" t="n">
        <x:v>46064</x:v>
      </x:c>
      <x:c r="O957" s="31" t="n"/>
      <x:c r="P957" s="31" t="n"/>
      <x:c r="Q957" s="31" t="inlineStr">
        <x:is>
          <x:t xml:space="preserve">Запланировано</x:t>
        </x:is>
      </x:c>
      <x:c r="R957" s="31" t="inlineStr">
        <x:is>
          <x:t xml:space="preserve">Материал</x:t>
        </x:is>
      </x:c>
      <x:c r="S957" s="31" t="inlineStr">
        <x:is>
          <x:t xml:space="preserve">Нет</x:t>
        </x:is>
      </x:c>
    </x:row>
    <x:row r="958">
      <x:c r="A958" s="31" t="inlineStr">
        <x:is>
          <x:t xml:space="preserve">ОП-000957</x:t>
        </x:is>
      </x:c>
      <x:c r="B958" s="31" t="inlineStr">
        <x:is>
          <x:t xml:space="preserve">ПЗ-00114</x:t>
        </x:is>
      </x:c>
      <x:c r="C958" s="31" t="inlineStr">
        <x:is>
          <x:t xml:space="preserve">ЗК-1055</x:t>
        </x:is>
      </x:c>
      <x:c r="D958" s="31" t="inlineStr">
        <x:is>
          <x:t xml:space="preserve">ПОЗ-0055-3</x:t>
        </x:is>
      </x:c>
      <x:c r="E958" s="31" t="inlineStr">
        <x:is>
          <x:t xml:space="preserve">ИЗД-037</x:t>
        </x:is>
      </x:c>
      <x:c r="F958" s="31" t="n">
        <x:v>10</x:v>
      </x:c>
      <x:c r="G958" s="31" t="inlineStr">
        <x:is>
          <x:t xml:space="preserve">КД</x:t>
        </x:is>
      </x:c>
      <x:c r="H958" s="31" t="inlineStr">
        <x:is>
          <x:t xml:space="preserve">Инженерный отдел</x:t>
        </x:is>
      </x:c>
      <x:c r="I958" s="31" t="n"/>
      <x:c r="J958" s="31" t="inlineStr">
        <x:is>
          <x:t xml:space="preserve">СОТР-017</x:t>
        </x:is>
      </x:c>
      <x:c r="K958" s="31" t="n">
        <x:v>13.4</x:v>
      </x:c>
      <x:c r="L958" s="31" t="n">
        <x:v>15.1</x:v>
      </x:c>
      <x:c r="M958" s="31" t="n">
        <x:v>46053</x:v>
      </x:c>
      <x:c r="N958" s="31" t="n">
        <x:v>46055</x:v>
      </x:c>
      <x:c r="O958" s="31" t="n">
        <x:v>46053</x:v>
      </x:c>
      <x:c r="P958" s="31" t="n">
        <x:v>46055</x:v>
      </x:c>
      <x:c r="Q958" s="31" t="inlineStr">
        <x:is>
          <x:t xml:space="preserve">Завершено</x:t>
        </x:is>
      </x:c>
      <x:c r="R958" s="31" t="inlineStr">
        <x:is>
          <x:t xml:space="preserve">Нет</x:t>
        </x:is>
      </x:c>
      <x:c r="S958" s="31" t="inlineStr">
        <x:is>
          <x:t xml:space="preserve">Нет</x:t>
        </x:is>
      </x:c>
    </x:row>
    <x:row r="959">
      <x:c r="A959" s="31" t="inlineStr">
        <x:is>
          <x:t xml:space="preserve">ОП-000958</x:t>
        </x:is>
      </x:c>
      <x:c r="B959" s="31" t="inlineStr">
        <x:is>
          <x:t xml:space="preserve">ПЗ-00114</x:t>
        </x:is>
      </x:c>
      <x:c r="C959" s="31" t="inlineStr">
        <x:is>
          <x:t xml:space="preserve">ЗК-1055</x:t>
        </x:is>
      </x:c>
      <x:c r="D959" s="31" t="inlineStr">
        <x:is>
          <x:t xml:space="preserve">ПОЗ-0055-3</x:t>
        </x:is>
      </x:c>
      <x:c r="E959" s="31" t="inlineStr">
        <x:is>
          <x:t xml:space="preserve">ИЗД-037</x:t>
        </x:is>
      </x:c>
      <x:c r="F959" s="31" t="n">
        <x:v>20</x:v>
      </x:c>
      <x:c r="G959" s="31" t="inlineStr">
        <x:is>
          <x:t xml:space="preserve">Резка труб</x:t>
        </x:is>
      </x:c>
      <x:c r="H959" s="31" t="inlineStr">
        <x:is>
          <x:t xml:space="preserve">Сварка</x:t>
        </x:is>
      </x:c>
      <x:c r="I959" s="31" t="inlineStr">
        <x:is>
          <x:t xml:space="preserve">ОБ-018</x:t>
        </x:is>
      </x:c>
      <x:c r="J959" s="31" t="inlineStr">
        <x:is>
          <x:t xml:space="preserve">СОТР-065</x:t>
        </x:is>
      </x:c>
      <x:c r="K959" s="31" t="n">
        <x:v>20.7</x:v>
      </x:c>
      <x:c r="L959" s="31" t="n">
        <x:v>17.9</x:v>
      </x:c>
      <x:c r="M959" s="31" t="n">
        <x:v>46055</x:v>
      </x:c>
      <x:c r="N959" s="31" t="n">
        <x:v>46057</x:v>
      </x:c>
      <x:c r="O959" s="31" t="n">
        <x:v>46055</x:v>
      </x:c>
      <x:c r="P959" s="31" t="n">
        <x:v>46056</x:v>
      </x:c>
      <x:c r="Q959" s="31" t="inlineStr">
        <x:is>
          <x:t xml:space="preserve">Завершено</x:t>
        </x:is>
      </x:c>
      <x:c r="R959" s="31" t="inlineStr">
        <x:is>
          <x:t xml:space="preserve">Нет</x:t>
        </x:is>
      </x:c>
      <x:c r="S959" s="31" t="inlineStr">
        <x:is>
          <x:t xml:space="preserve">Нет</x:t>
        </x:is>
      </x:c>
    </x:row>
    <x:row r="960">
      <x:c r="A960" s="31" t="inlineStr">
        <x:is>
          <x:t xml:space="preserve">ОП-000959</x:t>
        </x:is>
      </x:c>
      <x:c r="B960" s="31" t="inlineStr">
        <x:is>
          <x:t xml:space="preserve">ПЗ-00114</x:t>
        </x:is>
      </x:c>
      <x:c r="C960" s="31" t="inlineStr">
        <x:is>
          <x:t xml:space="preserve">ЗК-1055</x:t>
        </x:is>
      </x:c>
      <x:c r="D960" s="31" t="inlineStr">
        <x:is>
          <x:t xml:space="preserve">ПОЗ-0055-3</x:t>
        </x:is>
      </x:c>
      <x:c r="E960" s="31" t="inlineStr">
        <x:is>
          <x:t xml:space="preserve">ИЗД-037</x:t>
        </x:is>
      </x:c>
      <x:c r="F960" s="31" t="n">
        <x:v>30</x:v>
      </x:c>
      <x:c r="G960" s="31" t="inlineStr">
        <x:is>
          <x:t xml:space="preserve">Сварка</x:t>
        </x:is>
      </x:c>
      <x:c r="H960" s="31" t="inlineStr">
        <x:is>
          <x:t xml:space="preserve">Сварка</x:t>
        </x:is>
      </x:c>
      <x:c r="I960" s="31" t="inlineStr">
        <x:is>
          <x:t xml:space="preserve">ОБ-018</x:t>
        </x:is>
      </x:c>
      <x:c r="J960" s="31" t="inlineStr">
        <x:is>
          <x:t xml:space="preserve">СОТР-056</x:t>
        </x:is>
      </x:c>
      <x:c r="K960" s="31" t="n">
        <x:v>14.3</x:v>
      </x:c>
      <x:c r="L960" s="31" t="n">
        <x:v>14.5</x:v>
      </x:c>
      <x:c r="M960" s="31" t="n">
        <x:v>46057</x:v>
      </x:c>
      <x:c r="N960" s="31" t="n">
        <x:v>46059</x:v>
      </x:c>
      <x:c r="O960" s="31" t="n">
        <x:v>46057</x:v>
      </x:c>
      <x:c r="P960" s="31" t="n">
        <x:v>46058</x:v>
      </x:c>
      <x:c r="Q960" s="31" t="inlineStr">
        <x:is>
          <x:t xml:space="preserve">Завершено</x:t>
        </x:is>
      </x:c>
      <x:c r="R960" s="31" t="inlineStr">
        <x:is>
          <x:t xml:space="preserve">Нет</x:t>
        </x:is>
      </x:c>
      <x:c r="S960" s="31" t="inlineStr">
        <x:is>
          <x:t xml:space="preserve">Нет</x:t>
        </x:is>
      </x:c>
    </x:row>
    <x:row r="961">
      <x:c r="A961" s="31" t="inlineStr">
        <x:is>
          <x:t xml:space="preserve">ОП-000960</x:t>
        </x:is>
      </x:c>
      <x:c r="B961" s="31" t="inlineStr">
        <x:is>
          <x:t xml:space="preserve">ПЗ-00114</x:t>
        </x:is>
      </x:c>
      <x:c r="C961" s="31" t="inlineStr">
        <x:is>
          <x:t xml:space="preserve">ЗК-1055</x:t>
        </x:is>
      </x:c>
      <x:c r="D961" s="31" t="inlineStr">
        <x:is>
          <x:t xml:space="preserve">ПОЗ-0055-3</x:t>
        </x:is>
      </x:c>
      <x:c r="E961" s="31" t="inlineStr">
        <x:is>
          <x:t xml:space="preserve">ИЗД-037</x:t>
        </x:is>
      </x:c>
      <x:c r="F961" s="31" t="n">
        <x:v>40</x:v>
      </x:c>
      <x:c r="G961" s="31" t="inlineStr">
        <x:is>
          <x:t xml:space="preserve">НК сварных швов</x:t>
        </x:is>
      </x:c>
      <x:c r="H961" s="31" t="inlineStr">
        <x:is>
          <x:t xml:space="preserve">ОТК</x:t>
        </x:is>
      </x:c>
      <x:c r="I961" s="31" t="inlineStr">
        <x:is>
          <x:t xml:space="preserve">ОБ-007</x:t>
        </x:is>
      </x:c>
      <x:c r="J961" s="31" t="inlineStr">
        <x:is>
          <x:t xml:space="preserve">СОТР-095</x:t>
        </x:is>
      </x:c>
      <x:c r="K961" s="31" t="n">
        <x:v>3.4</x:v>
      </x:c>
      <x:c r="L961" s="31" t="n">
        <x:v>4</x:v>
      </x:c>
      <x:c r="M961" s="31" t="n">
        <x:v>46059</x:v>
      </x:c>
      <x:c r="N961" s="31" t="n">
        <x:v>46060</x:v>
      </x:c>
      <x:c r="O961" s="31" t="n">
        <x:v>46059</x:v>
      </x:c>
      <x:c r="P961" s="31" t="n">
        <x:v>46060</x:v>
      </x:c>
      <x:c r="Q961" s="31" t="inlineStr">
        <x:is>
          <x:t xml:space="preserve">Завершено</x:t>
        </x:is>
      </x:c>
      <x:c r="R961" s="31" t="inlineStr">
        <x:is>
          <x:t xml:space="preserve">Нет</x:t>
        </x:is>
      </x:c>
      <x:c r="S961" s="31" t="inlineStr">
        <x:is>
          <x:t xml:space="preserve">Нет</x:t>
        </x:is>
      </x:c>
    </x:row>
    <x:row r="962">
      <x:c r="A962" s="31" t="inlineStr">
        <x:is>
          <x:t xml:space="preserve">ОП-000961</x:t>
        </x:is>
      </x:c>
      <x:c r="B962" s="31" t="inlineStr">
        <x:is>
          <x:t xml:space="preserve">ПЗ-00114</x:t>
        </x:is>
      </x:c>
      <x:c r="C962" s="31" t="inlineStr">
        <x:is>
          <x:t xml:space="preserve">ЗК-1055</x:t>
        </x:is>
      </x:c>
      <x:c r="D962" s="31" t="inlineStr">
        <x:is>
          <x:t xml:space="preserve">ПОЗ-0055-3</x:t>
        </x:is>
      </x:c>
      <x:c r="E962" s="31" t="inlineStr">
        <x:is>
          <x:t xml:space="preserve">ИЗД-037</x:t>
        </x:is>
      </x:c>
      <x:c r="F962" s="31" t="n">
        <x:v>50</x:v>
      </x:c>
      <x:c r="G962" s="31" t="inlineStr">
        <x:is>
          <x:t xml:space="preserve">Гидроиспытания</x:t>
        </x:is>
      </x:c>
      <x:c r="H962" s="31" t="inlineStr">
        <x:is>
          <x:t xml:space="preserve">ОТК</x:t>
        </x:is>
      </x:c>
      <x:c r="I962" s="31" t="inlineStr">
        <x:is>
          <x:t xml:space="preserve">ОБ-015</x:t>
        </x:is>
      </x:c>
      <x:c r="J962" s="31" t="inlineStr">
        <x:is>
          <x:t xml:space="preserve">СОТР-100</x:t>
        </x:is>
      </x:c>
      <x:c r="K962" s="31" t="n">
        <x:v>4.7</x:v>
      </x:c>
      <x:c r="L962" s="31" t="n">
        <x:v>5.7</x:v>
      </x:c>
      <x:c r="M962" s="31" t="n">
        <x:v>46060</x:v>
      </x:c>
      <x:c r="N962" s="31" t="n">
        <x:v>46061</x:v>
      </x:c>
      <x:c r="O962" s="31" t="n">
        <x:v>46060</x:v>
      </x:c>
      <x:c r="P962" s="31" t="n">
        <x:v>46063</x:v>
      </x:c>
      <x:c r="Q962" s="31" t="inlineStr">
        <x:is>
          <x:t xml:space="preserve">Завершено</x:t>
        </x:is>
      </x:c>
      <x:c r="R962" s="31" t="inlineStr">
        <x:is>
          <x:t xml:space="preserve">Нет</x:t>
        </x:is>
      </x:c>
      <x:c r="S962" s="31" t="inlineStr">
        <x:is>
          <x:t xml:space="preserve">Нет</x:t>
        </x:is>
      </x:c>
    </x:row>
    <x:row r="963">
      <x:c r="A963" s="31" t="inlineStr">
        <x:is>
          <x:t xml:space="preserve">ОП-000962</x:t>
        </x:is>
      </x:c>
      <x:c r="B963" s="31" t="inlineStr">
        <x:is>
          <x:t xml:space="preserve">ПЗ-00114</x:t>
        </x:is>
      </x:c>
      <x:c r="C963" s="31" t="inlineStr">
        <x:is>
          <x:t xml:space="preserve">ЗК-1055</x:t>
        </x:is>
      </x:c>
      <x:c r="D963" s="31" t="inlineStr">
        <x:is>
          <x:t xml:space="preserve">ПОЗ-0055-3</x:t>
        </x:is>
      </x:c>
      <x:c r="E963" s="31" t="inlineStr">
        <x:is>
          <x:t xml:space="preserve">ИЗД-037</x:t>
        </x:is>
      </x:c>
      <x:c r="F963" s="31" t="n">
        <x:v>60</x:v>
      </x:c>
      <x:c r="G963" s="31" t="inlineStr">
        <x:is>
          <x:t xml:space="preserve">Покраска</x:t>
        </x:is>
      </x:c>
      <x:c r="H963" s="31" t="inlineStr">
        <x:is>
          <x:t xml:space="preserve">Сварка</x:t>
        </x:is>
      </x:c>
      <x:c r="I963" s="31" t="inlineStr">
        <x:is>
          <x:t xml:space="preserve">ОБ-004</x:t>
        </x:is>
      </x:c>
      <x:c r="J963" s="31" t="inlineStr">
        <x:is>
          <x:t xml:space="preserve">СОТР-065</x:t>
        </x:is>
      </x:c>
      <x:c r="K963" s="31" t="n">
        <x:v>8.6</x:v>
      </x:c>
      <x:c r="L963" s="31" t="n">
        <x:v>8.300000000000001</x:v>
      </x:c>
      <x:c r="M963" s="31" t="n">
        <x:v>46061</x:v>
      </x:c>
      <x:c r="N963" s="31" t="n">
        <x:v>46062</x:v>
      </x:c>
      <x:c r="O963" s="31" t="n">
        <x:v>46061</x:v>
      </x:c>
      <x:c r="P963" s="31" t="n">
        <x:v>46063</x:v>
      </x:c>
      <x:c r="Q963" s="31" t="inlineStr">
        <x:is>
          <x:t xml:space="preserve">Завершено</x:t>
        </x:is>
      </x:c>
      <x:c r="R963" s="31" t="inlineStr">
        <x:is>
          <x:t xml:space="preserve">КД</x:t>
        </x:is>
      </x:c>
      <x:c r="S963" s="31" t="inlineStr">
        <x:is>
          <x:t xml:space="preserve">Да</x:t>
        </x:is>
      </x:c>
    </x:row>
    <x:row r="964">
      <x:c r="A964" s="31" t="inlineStr">
        <x:is>
          <x:t xml:space="preserve">ОП-000963</x:t>
        </x:is>
      </x:c>
      <x:c r="B964" s="31" t="inlineStr">
        <x:is>
          <x:t xml:space="preserve">ПЗ-00114</x:t>
        </x:is>
      </x:c>
      <x:c r="C964" s="31" t="inlineStr">
        <x:is>
          <x:t xml:space="preserve">ЗК-1055</x:t>
        </x:is>
      </x:c>
      <x:c r="D964" s="31" t="inlineStr">
        <x:is>
          <x:t xml:space="preserve">ПОЗ-0055-3</x:t>
        </x:is>
      </x:c>
      <x:c r="E964" s="31" t="inlineStr">
        <x:is>
          <x:t xml:space="preserve">ИЗД-037</x:t>
        </x:is>
      </x:c>
      <x:c r="F964" s="31" t="n">
        <x:v>70</x:v>
      </x:c>
      <x:c r="G964" s="31" t="inlineStr">
        <x:is>
          <x:t xml:space="preserve">ОТК</x:t>
        </x:is>
      </x:c>
      <x:c r="H964" s="31" t="inlineStr">
        <x:is>
          <x:t xml:space="preserve">ОТК</x:t>
        </x:is>
      </x:c>
      <x:c r="I964" s="31" t="inlineStr">
        <x:is>
          <x:t xml:space="preserve">ОБ-032</x:t>
        </x:is>
      </x:c>
      <x:c r="J964" s="31" t="inlineStr">
        <x:is>
          <x:t xml:space="preserve">СОТР-100</x:t>
        </x:is>
      </x:c>
      <x:c r="K964" s="31" t="n">
        <x:v>18.7</x:v>
      </x:c>
      <x:c r="L964" s="31" t="n">
        <x:v>19.9</x:v>
      </x:c>
      <x:c r="M964" s="31" t="n">
        <x:v>46062</x:v>
      </x:c>
      <x:c r="N964" s="31" t="n">
        <x:v>46064</x:v>
      </x:c>
      <x:c r="O964" s="31" t="n">
        <x:v>46062</x:v>
      </x:c>
      <x:c r="P964" s="31" t="n">
        <x:v>46066</x:v>
      </x:c>
      <x:c r="Q964" s="31" t="inlineStr">
        <x:is>
          <x:t xml:space="preserve">Завершено</x:t>
        </x:is>
      </x:c>
      <x:c r="R964" s="31" t="inlineStr">
        <x:is>
          <x:t xml:space="preserve">Нет</x:t>
        </x:is>
      </x:c>
      <x:c r="S964" s="31" t="inlineStr">
        <x:is>
          <x:t xml:space="preserve">Нет</x:t>
        </x:is>
      </x:c>
    </x:row>
    <x:row r="965">
      <x:c r="A965" s="31" t="inlineStr">
        <x:is>
          <x:t xml:space="preserve">ОП-000964</x:t>
        </x:is>
      </x:c>
      <x:c r="B965" s="31" t="inlineStr">
        <x:is>
          <x:t xml:space="preserve">ПЗ-00115</x:t>
        </x:is>
      </x:c>
      <x:c r="C965" s="31" t="inlineStr">
        <x:is>
          <x:t xml:space="preserve">ЗК-1056</x:t>
        </x:is>
      </x:c>
      <x:c r="D965" s="31" t="inlineStr">
        <x:is>
          <x:t xml:space="preserve">ПОЗ-0056-1</x:t>
        </x:is>
      </x:c>
      <x:c r="E965" s="31" t="inlineStr">
        <x:is>
          <x:t xml:space="preserve">ИЗД-038</x:t>
        </x:is>
      </x:c>
      <x:c r="F965" s="31" t="n">
        <x:v>10</x:v>
      </x:c>
      <x:c r="G965" s="31" t="inlineStr">
        <x:is>
          <x:t xml:space="preserve">КД</x:t>
        </x:is>
      </x:c>
      <x:c r="H965" s="31" t="inlineStr">
        <x:is>
          <x:t xml:space="preserve">Инженерный отдел</x:t>
        </x:is>
      </x:c>
      <x:c r="I965" s="31" t="n"/>
      <x:c r="J965" s="31" t="inlineStr">
        <x:is>
          <x:t xml:space="preserve">СОТР-014</x:t>
        </x:is>
      </x:c>
      <x:c r="K965" s="31" t="n">
        <x:v>22</x:v>
      </x:c>
      <x:c r="L965" s="31" t="n">
        <x:v>28.8</x:v>
      </x:c>
      <x:c r="M965" s="31" t="n">
        <x:v>46059</x:v>
      </x:c>
      <x:c r="N965" s="31" t="n">
        <x:v>46061</x:v>
      </x:c>
      <x:c r="O965" s="31" t="n">
        <x:v>46059</x:v>
      </x:c>
      <x:c r="P965" s="31" t="n">
        <x:v>46060</x:v>
      </x:c>
      <x:c r="Q965" s="31" t="inlineStr">
        <x:is>
          <x:t xml:space="preserve">Завершено</x:t>
        </x:is>
      </x:c>
      <x:c r="R965" s="31" t="inlineStr">
        <x:is>
          <x:t xml:space="preserve">Нет</x:t>
        </x:is>
      </x:c>
      <x:c r="S965" s="31" t="inlineStr">
        <x:is>
          <x:t xml:space="preserve">Нет</x:t>
        </x:is>
      </x:c>
    </x:row>
    <x:row r="966">
      <x:c r="A966" s="31" t="inlineStr">
        <x:is>
          <x:t xml:space="preserve">ОП-000965</x:t>
        </x:is>
      </x:c>
      <x:c r="B966" s="31" t="inlineStr">
        <x:is>
          <x:t xml:space="preserve">ПЗ-00115</x:t>
        </x:is>
      </x:c>
      <x:c r="C966" s="31" t="inlineStr">
        <x:is>
          <x:t xml:space="preserve">ЗК-1056</x:t>
        </x:is>
      </x:c>
      <x:c r="D966" s="31" t="inlineStr">
        <x:is>
          <x:t xml:space="preserve">ПОЗ-0056-1</x:t>
        </x:is>
      </x:c>
      <x:c r="E966" s="31" t="inlineStr">
        <x:is>
          <x:t xml:space="preserve">ИЗД-038</x:t>
        </x:is>
      </x:c>
      <x:c r="F966" s="31" t="n">
        <x:v>20</x:v>
      </x:c>
      <x:c r="G966" s="31" t="inlineStr">
        <x:is>
          <x:t xml:space="preserve">Резка труб</x:t>
        </x:is>
      </x:c>
      <x:c r="H966" s="31" t="inlineStr">
        <x:is>
          <x:t xml:space="preserve">Сварка</x:t>
        </x:is>
      </x:c>
      <x:c r="I966" s="31" t="inlineStr">
        <x:is>
          <x:t xml:space="preserve">ОБ-010</x:t>
        </x:is>
      </x:c>
      <x:c r="J966" s="31" t="inlineStr">
        <x:is>
          <x:t xml:space="preserve">СОТР-057</x:t>
        </x:is>
      </x:c>
      <x:c r="K966" s="31" t="n">
        <x:v>6.4</x:v>
      </x:c>
      <x:c r="L966" s="31" t="n">
        <x:v>7.6</x:v>
      </x:c>
      <x:c r="M966" s="31" t="n">
        <x:v>46061</x:v>
      </x:c>
      <x:c r="N966" s="31" t="n">
        <x:v>46062</x:v>
      </x:c>
      <x:c r="O966" s="31" t="n">
        <x:v>46061</x:v>
      </x:c>
      <x:c r="P966" s="31" t="n">
        <x:v>46063</x:v>
      </x:c>
      <x:c r="Q966" s="31" t="inlineStr">
        <x:is>
          <x:t xml:space="preserve">Завершено</x:t>
        </x:is>
      </x:c>
      <x:c r="R966" s="31" t="inlineStr">
        <x:is>
          <x:t xml:space="preserve">Нет</x:t>
        </x:is>
      </x:c>
      <x:c r="S966" s="31" t="inlineStr">
        <x:is>
          <x:t xml:space="preserve">Нет</x:t>
        </x:is>
      </x:c>
    </x:row>
    <x:row r="967">
      <x:c r="A967" s="31" t="inlineStr">
        <x:is>
          <x:t xml:space="preserve">ОП-000966</x:t>
        </x:is>
      </x:c>
      <x:c r="B967" s="31" t="inlineStr">
        <x:is>
          <x:t xml:space="preserve">ПЗ-00115</x:t>
        </x:is>
      </x:c>
      <x:c r="C967" s="31" t="inlineStr">
        <x:is>
          <x:t xml:space="preserve">ЗК-1056</x:t>
        </x:is>
      </x:c>
      <x:c r="D967" s="31" t="inlineStr">
        <x:is>
          <x:t xml:space="preserve">ПОЗ-0056-1</x:t>
        </x:is>
      </x:c>
      <x:c r="E967" s="31" t="inlineStr">
        <x:is>
          <x:t xml:space="preserve">ИЗД-038</x:t>
        </x:is>
      </x:c>
      <x:c r="F967" s="31" t="n">
        <x:v>30</x:v>
      </x:c>
      <x:c r="G967" s="31" t="inlineStr">
        <x:is>
          <x:t xml:space="preserve">Сварка</x:t>
        </x:is>
      </x:c>
      <x:c r="H967" s="31" t="inlineStr">
        <x:is>
          <x:t xml:space="preserve">Сварка</x:t>
        </x:is>
      </x:c>
      <x:c r="I967" s="31" t="inlineStr">
        <x:is>
          <x:t xml:space="preserve">ОБ-010</x:t>
        </x:is>
      </x:c>
      <x:c r="J967" s="31" t="inlineStr">
        <x:is>
          <x:t xml:space="preserve">СОТР-066</x:t>
        </x:is>
      </x:c>
      <x:c r="K967" s="31" t="n">
        <x:v>17.6</x:v>
      </x:c>
      <x:c r="L967" s="31" t="n">
        <x:v>15.5</x:v>
      </x:c>
      <x:c r="M967" s="31" t="n">
        <x:v>46062</x:v>
      </x:c>
      <x:c r="N967" s="31" t="n">
        <x:v>46064</x:v>
      </x:c>
      <x:c r="O967" s="31" t="n">
        <x:v>46062</x:v>
      </x:c>
      <x:c r="P967" s="31" t="n">
        <x:v>46065</x:v>
      </x:c>
      <x:c r="Q967" s="31" t="inlineStr">
        <x:is>
          <x:t xml:space="preserve">Завершено</x:t>
        </x:is>
      </x:c>
      <x:c r="R967" s="31" t="inlineStr">
        <x:is>
          <x:t xml:space="preserve">Нет</x:t>
        </x:is>
      </x:c>
      <x:c r="S967" s="31" t="inlineStr">
        <x:is>
          <x:t xml:space="preserve">Нет</x:t>
        </x:is>
      </x:c>
    </x:row>
    <x:row r="968">
      <x:c r="A968" s="31" t="inlineStr">
        <x:is>
          <x:t xml:space="preserve">ОП-000967</x:t>
        </x:is>
      </x:c>
      <x:c r="B968" s="31" t="inlineStr">
        <x:is>
          <x:t xml:space="preserve">ПЗ-00115</x:t>
        </x:is>
      </x:c>
      <x:c r="C968" s="31" t="inlineStr">
        <x:is>
          <x:t xml:space="preserve">ЗК-1056</x:t>
        </x:is>
      </x:c>
      <x:c r="D968" s="31" t="inlineStr">
        <x:is>
          <x:t xml:space="preserve">ПОЗ-0056-1</x:t>
        </x:is>
      </x:c>
      <x:c r="E968" s="31" t="inlineStr">
        <x:is>
          <x:t xml:space="preserve">ИЗД-038</x:t>
        </x:is>
      </x:c>
      <x:c r="F968" s="31" t="n">
        <x:v>40</x:v>
      </x:c>
      <x:c r="G968" s="31" t="inlineStr">
        <x:is>
          <x:t xml:space="preserve">НК сварных швов</x:t>
        </x:is>
      </x:c>
      <x:c r="H968" s="31" t="inlineStr">
        <x:is>
          <x:t xml:space="preserve">ОТК</x:t>
        </x:is>
      </x:c>
      <x:c r="I968" s="31" t="inlineStr">
        <x:is>
          <x:t xml:space="preserve">ОБ-022</x:t>
        </x:is>
      </x:c>
      <x:c r="J968" s="31" t="inlineStr">
        <x:is>
          <x:t xml:space="preserve">СОТР-063</x:t>
        </x:is>
      </x:c>
      <x:c r="K968" s="31" t="n">
        <x:v>4.4</x:v>
      </x:c>
      <x:c r="L968" s="31" t="n">
        <x:v>4.4</x:v>
      </x:c>
      <x:c r="M968" s="31" t="n">
        <x:v>46064</x:v>
      </x:c>
      <x:c r="N968" s="31" t="n">
        <x:v>46065</x:v>
      </x:c>
      <x:c r="O968" s="31" t="n">
        <x:v>46064</x:v>
      </x:c>
      <x:c r="P968" s="31" t="n">
        <x:v>46064</x:v>
      </x:c>
      <x:c r="Q968" s="31" t="inlineStr">
        <x:is>
          <x:t xml:space="preserve">Завершено</x:t>
        </x:is>
      </x:c>
      <x:c r="R968" s="31" t="inlineStr">
        <x:is>
          <x:t xml:space="preserve">Нет</x:t>
        </x:is>
      </x:c>
      <x:c r="S968" s="31" t="inlineStr">
        <x:is>
          <x:t xml:space="preserve">Нет</x:t>
        </x:is>
      </x:c>
    </x:row>
    <x:row r="969">
      <x:c r="A969" s="31" t="inlineStr">
        <x:is>
          <x:t xml:space="preserve">ОП-000968</x:t>
        </x:is>
      </x:c>
      <x:c r="B969" s="31" t="inlineStr">
        <x:is>
          <x:t xml:space="preserve">ПЗ-00115</x:t>
        </x:is>
      </x:c>
      <x:c r="C969" s="31" t="inlineStr">
        <x:is>
          <x:t xml:space="preserve">ЗК-1056</x:t>
        </x:is>
      </x:c>
      <x:c r="D969" s="31" t="inlineStr">
        <x:is>
          <x:t xml:space="preserve">ПОЗ-0056-1</x:t>
        </x:is>
      </x:c>
      <x:c r="E969" s="31" t="inlineStr">
        <x:is>
          <x:t xml:space="preserve">ИЗД-038</x:t>
        </x:is>
      </x:c>
      <x:c r="F969" s="31" t="n">
        <x:v>50</x:v>
      </x:c>
      <x:c r="G969" s="31" t="inlineStr">
        <x:is>
          <x:t xml:space="preserve">Гидроиспытания</x:t>
        </x:is>
      </x:c>
      <x:c r="H969" s="31" t="inlineStr">
        <x:is>
          <x:t xml:space="preserve">ОТК</x:t>
        </x:is>
      </x:c>
      <x:c r="I969" s="31" t="inlineStr">
        <x:is>
          <x:t xml:space="preserve">ОБ-028</x:t>
        </x:is>
      </x:c>
      <x:c r="J969" s="31" t="inlineStr">
        <x:is>
          <x:t xml:space="preserve">СОТР-098</x:t>
        </x:is>
      </x:c>
      <x:c r="K969" s="31" t="n">
        <x:v>13.2</x:v>
      </x:c>
      <x:c r="L969" s="31" t="n">
        <x:v>10.8</x:v>
      </x:c>
      <x:c r="M969" s="31" t="n">
        <x:v>46065</x:v>
      </x:c>
      <x:c r="N969" s="31" t="n">
        <x:v>46067</x:v>
      </x:c>
      <x:c r="O969" s="31" t="n">
        <x:v>46065</x:v>
      </x:c>
      <x:c r="P969" s="31" t="n">
        <x:v>46069</x:v>
      </x:c>
      <x:c r="Q969" s="31" t="inlineStr">
        <x:is>
          <x:t xml:space="preserve">Завершено</x:t>
        </x:is>
      </x:c>
      <x:c r="R969" s="31" t="inlineStr">
        <x:is>
          <x:t xml:space="preserve">Нет</x:t>
        </x:is>
      </x:c>
      <x:c r="S969" s="31" t="inlineStr">
        <x:is>
          <x:t xml:space="preserve">Да</x:t>
        </x:is>
      </x:c>
    </x:row>
    <x:row r="970">
      <x:c r="A970" s="31" t="inlineStr">
        <x:is>
          <x:t xml:space="preserve">ОП-000969</x:t>
        </x:is>
      </x:c>
      <x:c r="B970" s="31" t="inlineStr">
        <x:is>
          <x:t xml:space="preserve">ПЗ-00115</x:t>
        </x:is>
      </x:c>
      <x:c r="C970" s="31" t="inlineStr">
        <x:is>
          <x:t xml:space="preserve">ЗК-1056</x:t>
        </x:is>
      </x:c>
      <x:c r="D970" s="31" t="inlineStr">
        <x:is>
          <x:t xml:space="preserve">ПОЗ-0056-1</x:t>
        </x:is>
      </x:c>
      <x:c r="E970" s="31" t="inlineStr">
        <x:is>
          <x:t xml:space="preserve">ИЗД-038</x:t>
        </x:is>
      </x:c>
      <x:c r="F970" s="31" t="n">
        <x:v>60</x:v>
      </x:c>
      <x:c r="G970" s="31" t="inlineStr">
        <x:is>
          <x:t xml:space="preserve">Покраска</x:t>
        </x:is>
      </x:c>
      <x:c r="H970" s="31" t="inlineStr">
        <x:is>
          <x:t xml:space="preserve">Сварка</x:t>
        </x:is>
      </x:c>
      <x:c r="I970" s="31" t="inlineStr">
        <x:is>
          <x:t xml:space="preserve">ОБ-010</x:t>
        </x:is>
      </x:c>
      <x:c r="J970" s="31" t="inlineStr">
        <x:is>
          <x:t xml:space="preserve">СОТР-066</x:t>
        </x:is>
      </x:c>
      <x:c r="K970" s="31" t="n">
        <x:v>31.2</x:v>
      </x:c>
      <x:c r="L970" s="31" t="n">
        <x:v>29.8</x:v>
      </x:c>
      <x:c r="M970" s="31" t="n">
        <x:v>46067</x:v>
      </x:c>
      <x:c r="N970" s="31" t="n">
        <x:v>46070</x:v>
      </x:c>
      <x:c r="O970" s="31" t="n">
        <x:v>46067</x:v>
      </x:c>
      <x:c r="P970" s="31" t="n">
        <x:v>46071</x:v>
      </x:c>
      <x:c r="Q970" s="31" t="inlineStr">
        <x:is>
          <x:t xml:space="preserve">Завершено</x:t>
        </x:is>
      </x:c>
      <x:c r="R970" s="31" t="inlineStr">
        <x:is>
          <x:t xml:space="preserve">Оборудование</x:t>
        </x:is>
      </x:c>
      <x:c r="S970" s="31" t="inlineStr">
        <x:is>
          <x:t xml:space="preserve">Нет</x:t>
        </x:is>
      </x:c>
    </x:row>
    <x:row r="971">
      <x:c r="A971" s="31" t="inlineStr">
        <x:is>
          <x:t xml:space="preserve">ОП-000970</x:t>
        </x:is>
      </x:c>
      <x:c r="B971" s="31" t="inlineStr">
        <x:is>
          <x:t xml:space="preserve">ПЗ-00115</x:t>
        </x:is>
      </x:c>
      <x:c r="C971" s="31" t="inlineStr">
        <x:is>
          <x:t xml:space="preserve">ЗК-1056</x:t>
        </x:is>
      </x:c>
      <x:c r="D971" s="31" t="inlineStr">
        <x:is>
          <x:t xml:space="preserve">ПОЗ-0056-1</x:t>
        </x:is>
      </x:c>
      <x:c r="E971" s="31" t="inlineStr">
        <x:is>
          <x:t xml:space="preserve">ИЗД-038</x:t>
        </x:is>
      </x:c>
      <x:c r="F971" s="31" t="n">
        <x:v>70</x:v>
      </x:c>
      <x:c r="G971" s="31" t="inlineStr">
        <x:is>
          <x:t xml:space="preserve">ОТК</x:t>
        </x:is>
      </x:c>
      <x:c r="H971" s="31" t="inlineStr">
        <x:is>
          <x:t xml:space="preserve">ОТК</x:t>
        </x:is>
      </x:c>
      <x:c r="I971" s="31" t="inlineStr">
        <x:is>
          <x:t xml:space="preserve">ОБ-006</x:t>
        </x:is>
      </x:c>
      <x:c r="J971" s="31" t="inlineStr">
        <x:is>
          <x:t xml:space="preserve">СОТР-098</x:t>
        </x:is>
      </x:c>
      <x:c r="K971" s="31" t="n">
        <x:v>18.8</x:v>
      </x:c>
      <x:c r="L971" s="31" t="n">
        <x:v>19.6</x:v>
      </x:c>
      <x:c r="M971" s="31" t="n">
        <x:v>46070</x:v>
      </x:c>
      <x:c r="N971" s="31" t="n">
        <x:v>46072</x:v>
      </x:c>
      <x:c r="O971" s="31" t="n">
        <x:v>46070</x:v>
      </x:c>
      <x:c r="P971" s="31" t="n">
        <x:v>46074</x:v>
      </x:c>
      <x:c r="Q971" s="31" t="inlineStr">
        <x:is>
          <x:t xml:space="preserve">Завершено</x:t>
        </x:is>
      </x:c>
      <x:c r="R971" s="31" t="inlineStr">
        <x:is>
          <x:t xml:space="preserve">Нет</x:t>
        </x:is>
      </x:c>
      <x:c r="S971" s="31" t="inlineStr">
        <x:is>
          <x:t xml:space="preserve">Нет</x:t>
        </x:is>
      </x:c>
    </x:row>
    <x:row r="972">
      <x:c r="A972" s="31" t="inlineStr">
        <x:is>
          <x:t xml:space="preserve">ОП-000971</x:t>
        </x:is>
      </x:c>
      <x:c r="B972" s="31" t="inlineStr">
        <x:is>
          <x:t xml:space="preserve">ПЗ-00116</x:t>
        </x:is>
      </x:c>
      <x:c r="C972" s="31" t="inlineStr">
        <x:is>
          <x:t xml:space="preserve">ЗК-1056</x:t>
        </x:is>
      </x:c>
      <x:c r="D972" s="31" t="inlineStr">
        <x:is>
          <x:t xml:space="preserve">ПОЗ-0056-2</x:t>
        </x:is>
      </x:c>
      <x:c r="E972" s="31" t="inlineStr">
        <x:is>
          <x:t xml:space="preserve">ИЗД-020</x:t>
        </x:is>
      </x:c>
      <x:c r="F972" s="31" t="n">
        <x:v>10</x:v>
      </x:c>
      <x:c r="G972" s="31" t="inlineStr">
        <x:is>
          <x:t xml:space="preserve">КД</x:t>
        </x:is>
      </x:c>
      <x:c r="H972" s="31" t="inlineStr">
        <x:is>
          <x:t xml:space="preserve">Инженерный отдел</x:t>
        </x:is>
      </x:c>
      <x:c r="I972" s="31" t="n"/>
      <x:c r="J972" s="31" t="inlineStr">
        <x:is>
          <x:t xml:space="preserve">СОТР-012</x:t>
        </x:is>
      </x:c>
      <x:c r="K972" s="31" t="n">
        <x:v>21.3</x:v>
      </x:c>
      <x:c r="L972" s="31" t="n"/>
      <x:c r="M972" s="31" t="n">
        <x:v>46075</x:v>
      </x:c>
      <x:c r="N972" s="31" t="n">
        <x:v>46077</x:v>
      </x:c>
      <x:c r="O972" s="31" t="n"/>
      <x:c r="P972" s="31" t="n"/>
      <x:c r="Q972" s="31" t="inlineStr">
        <x:is>
          <x:t xml:space="preserve">Запланировано</x:t>
        </x:is>
      </x:c>
      <x:c r="R972" s="31" t="inlineStr">
        <x:is>
          <x:t xml:space="preserve">Оборудование</x:t>
        </x:is>
      </x:c>
      <x:c r="S972" s="31" t="inlineStr">
        <x:is>
          <x:t xml:space="preserve">Нет</x:t>
        </x:is>
      </x:c>
    </x:row>
    <x:row r="973">
      <x:c r="A973" s="31" t="inlineStr">
        <x:is>
          <x:t xml:space="preserve">ОП-000972</x:t>
        </x:is>
      </x:c>
      <x:c r="B973" s="31" t="inlineStr">
        <x:is>
          <x:t xml:space="preserve">ПЗ-00116</x:t>
        </x:is>
      </x:c>
      <x:c r="C973" s="31" t="inlineStr">
        <x:is>
          <x:t xml:space="preserve">ЗК-1056</x:t>
        </x:is>
      </x:c>
      <x:c r="D973" s="31" t="inlineStr">
        <x:is>
          <x:t xml:space="preserve">ПОЗ-0056-2</x:t>
        </x:is>
      </x:c>
      <x:c r="E973" s="31" t="inlineStr">
        <x:is>
          <x:t xml:space="preserve">ИЗД-020</x:t>
        </x:is>
      </x:c>
      <x:c r="F973" s="31" t="n">
        <x:v>20</x:v>
      </x:c>
      <x:c r="G973" s="31" t="inlineStr">
        <x:is>
          <x:t xml:space="preserve">Резка труб</x:t>
        </x:is>
      </x:c>
      <x:c r="H973" s="31" t="inlineStr">
        <x:is>
          <x:t xml:space="preserve">Сварка</x:t>
        </x:is>
      </x:c>
      <x:c r="I973" s="31" t="inlineStr">
        <x:is>
          <x:t xml:space="preserve">ОБ-021</x:t>
        </x:is>
      </x:c>
      <x:c r="J973" s="31" t="inlineStr">
        <x:is>
          <x:t xml:space="preserve">СОТР-065</x:t>
        </x:is>
      </x:c>
      <x:c r="K973" s="31" t="n">
        <x:v>13.8</x:v>
      </x:c>
      <x:c r="L973" s="31" t="n"/>
      <x:c r="M973" s="31" t="n">
        <x:v>46077</x:v>
      </x:c>
      <x:c r="N973" s="31" t="n">
        <x:v>46079</x:v>
      </x:c>
      <x:c r="O973" s="31" t="n"/>
      <x:c r="P973" s="31" t="n"/>
      <x:c r="Q973" s="31" t="inlineStr">
        <x:is>
          <x:t xml:space="preserve">Запланировано</x:t>
        </x:is>
      </x:c>
      <x:c r="R973" s="31" t="inlineStr">
        <x:is>
          <x:t xml:space="preserve">Нет</x:t>
        </x:is>
      </x:c>
      <x:c r="S973" s="31" t="inlineStr">
        <x:is>
          <x:t xml:space="preserve">Да</x:t>
        </x:is>
      </x:c>
    </x:row>
    <x:row r="974">
      <x:c r="A974" s="31" t="inlineStr">
        <x:is>
          <x:t xml:space="preserve">ОП-000973</x:t>
        </x:is>
      </x:c>
      <x:c r="B974" s="31" t="inlineStr">
        <x:is>
          <x:t xml:space="preserve">ПЗ-00116</x:t>
        </x:is>
      </x:c>
      <x:c r="C974" s="31" t="inlineStr">
        <x:is>
          <x:t xml:space="preserve">ЗК-1056</x:t>
        </x:is>
      </x:c>
      <x:c r="D974" s="31" t="inlineStr">
        <x:is>
          <x:t xml:space="preserve">ПОЗ-0056-2</x:t>
        </x:is>
      </x:c>
      <x:c r="E974" s="31" t="inlineStr">
        <x:is>
          <x:t xml:space="preserve">ИЗД-020</x:t>
        </x:is>
      </x:c>
      <x:c r="F974" s="31" t="n">
        <x:v>30</x:v>
      </x:c>
      <x:c r="G974" s="31" t="inlineStr">
        <x:is>
          <x:t xml:space="preserve">Сварка</x:t>
        </x:is>
      </x:c>
      <x:c r="H974" s="31" t="inlineStr">
        <x:is>
          <x:t xml:space="preserve">Сварка</x:t>
        </x:is>
      </x:c>
      <x:c r="I974" s="31" t="inlineStr">
        <x:is>
          <x:t xml:space="preserve">ОБ-021</x:t>
        </x:is>
      </x:c>
      <x:c r="J974" s="31" t="inlineStr">
        <x:is>
          <x:t xml:space="preserve">СОТР-060</x:t>
        </x:is>
      </x:c>
      <x:c r="K974" s="31" t="n">
        <x:v>30.6</x:v>
      </x:c>
      <x:c r="L974" s="31" t="n"/>
      <x:c r="M974" s="31" t="n">
        <x:v>46079</x:v>
      </x:c>
      <x:c r="N974" s="31" t="n">
        <x:v>46082</x:v>
      </x:c>
      <x:c r="O974" s="31" t="n"/>
      <x:c r="P974" s="31" t="n"/>
      <x:c r="Q974" s="31" t="inlineStr">
        <x:is>
          <x:t xml:space="preserve">Запланировано</x:t>
        </x:is>
      </x:c>
      <x:c r="R974" s="31" t="inlineStr">
        <x:is>
          <x:t xml:space="preserve">Ожидание ОТК</x:t>
        </x:is>
      </x:c>
      <x:c r="S974" s="31" t="inlineStr">
        <x:is>
          <x:t xml:space="preserve">Нет</x:t>
        </x:is>
      </x:c>
    </x:row>
    <x:row r="975">
      <x:c r="A975" s="31" t="inlineStr">
        <x:is>
          <x:t xml:space="preserve">ОП-000974</x:t>
        </x:is>
      </x:c>
      <x:c r="B975" s="31" t="inlineStr">
        <x:is>
          <x:t xml:space="preserve">ПЗ-00116</x:t>
        </x:is>
      </x:c>
      <x:c r="C975" s="31" t="inlineStr">
        <x:is>
          <x:t xml:space="preserve">ЗК-1056</x:t>
        </x:is>
      </x:c>
      <x:c r="D975" s="31" t="inlineStr">
        <x:is>
          <x:t xml:space="preserve">ПОЗ-0056-2</x:t>
        </x:is>
      </x:c>
      <x:c r="E975" s="31" t="inlineStr">
        <x:is>
          <x:t xml:space="preserve">ИЗД-020</x:t>
        </x:is>
      </x:c>
      <x:c r="F975" s="31" t="n">
        <x:v>40</x:v>
      </x:c>
      <x:c r="G975" s="31" t="inlineStr">
        <x:is>
          <x:t xml:space="preserve">НК сварных швов</x:t>
        </x:is>
      </x:c>
      <x:c r="H975" s="31" t="inlineStr">
        <x:is>
          <x:t xml:space="preserve">ОТК</x:t>
        </x:is>
      </x:c>
      <x:c r="I975" s="31" t="inlineStr">
        <x:is>
          <x:t xml:space="preserve">ОБ-033</x:t>
        </x:is>
      </x:c>
      <x:c r="J975" s="31" t="inlineStr">
        <x:is>
          <x:t xml:space="preserve">СОТР-098</x:t>
        </x:is>
      </x:c>
      <x:c r="K975" s="31" t="n">
        <x:v>30.9</x:v>
      </x:c>
      <x:c r="L975" s="31" t="n"/>
      <x:c r="M975" s="31" t="n">
        <x:v>46082</x:v>
      </x:c>
      <x:c r="N975" s="31" t="n">
        <x:v>46085</x:v>
      </x:c>
      <x:c r="O975" s="31" t="n"/>
      <x:c r="P975" s="31" t="n"/>
      <x:c r="Q975" s="31" t="inlineStr">
        <x:is>
          <x:t xml:space="preserve">Запланировано</x:t>
        </x:is>
      </x:c>
      <x:c r="R975" s="31" t="inlineStr">
        <x:is>
          <x:t xml:space="preserve">Нет</x:t>
        </x:is>
      </x:c>
      <x:c r="S975" s="31" t="inlineStr">
        <x:is>
          <x:t xml:space="preserve">Нет</x:t>
        </x:is>
      </x:c>
    </x:row>
    <x:row r="976">
      <x:c r="A976" s="31" t="inlineStr">
        <x:is>
          <x:t xml:space="preserve">ОП-000975</x:t>
        </x:is>
      </x:c>
      <x:c r="B976" s="31" t="inlineStr">
        <x:is>
          <x:t xml:space="preserve">ПЗ-00116</x:t>
        </x:is>
      </x:c>
      <x:c r="C976" s="31" t="inlineStr">
        <x:is>
          <x:t xml:space="preserve">ЗК-1056</x:t>
        </x:is>
      </x:c>
      <x:c r="D976" s="31" t="inlineStr">
        <x:is>
          <x:t xml:space="preserve">ПОЗ-0056-2</x:t>
        </x:is>
      </x:c>
      <x:c r="E976" s="31" t="inlineStr">
        <x:is>
          <x:t xml:space="preserve">ИЗД-020</x:t>
        </x:is>
      </x:c>
      <x:c r="F976" s="31" t="n">
        <x:v>50</x:v>
      </x:c>
      <x:c r="G976" s="31" t="inlineStr">
        <x:is>
          <x:t xml:space="preserve">Гидроиспытания</x:t>
        </x:is>
      </x:c>
      <x:c r="H976" s="31" t="inlineStr">
        <x:is>
          <x:t xml:space="preserve">ОТК</x:t>
        </x:is>
      </x:c>
      <x:c r="I976" s="31" t="inlineStr">
        <x:is>
          <x:t xml:space="preserve">ОБ-015</x:t>
        </x:is>
      </x:c>
      <x:c r="J976" s="31" t="inlineStr">
        <x:is>
          <x:t xml:space="preserve">СОТР-100</x:t>
        </x:is>
      </x:c>
      <x:c r="K976" s="31" t="n">
        <x:v>6.9</x:v>
      </x:c>
      <x:c r="L976" s="31" t="n"/>
      <x:c r="M976" s="31" t="n">
        <x:v>46085</x:v>
      </x:c>
      <x:c r="N976" s="31" t="n">
        <x:v>46086</x:v>
      </x:c>
      <x:c r="O976" s="31" t="n"/>
      <x:c r="P976" s="31" t="n"/>
      <x:c r="Q976" s="31" t="inlineStr">
        <x:is>
          <x:t xml:space="preserve">Запланировано</x:t>
        </x:is>
      </x:c>
      <x:c r="R976" s="31" t="inlineStr">
        <x:is>
          <x:t xml:space="preserve">Материал</x:t>
        </x:is>
      </x:c>
      <x:c r="S976" s="31" t="inlineStr">
        <x:is>
          <x:t xml:space="preserve">Нет</x:t>
        </x:is>
      </x:c>
    </x:row>
    <x:row r="977">
      <x:c r="A977" s="31" t="inlineStr">
        <x:is>
          <x:t xml:space="preserve">ОП-000976</x:t>
        </x:is>
      </x:c>
      <x:c r="B977" s="31" t="inlineStr">
        <x:is>
          <x:t xml:space="preserve">ПЗ-00116</x:t>
        </x:is>
      </x:c>
      <x:c r="C977" s="31" t="inlineStr">
        <x:is>
          <x:t xml:space="preserve">ЗК-1056</x:t>
        </x:is>
      </x:c>
      <x:c r="D977" s="31" t="inlineStr">
        <x:is>
          <x:t xml:space="preserve">ПОЗ-0056-2</x:t>
        </x:is>
      </x:c>
      <x:c r="E977" s="31" t="inlineStr">
        <x:is>
          <x:t xml:space="preserve">ИЗД-020</x:t>
        </x:is>
      </x:c>
      <x:c r="F977" s="31" t="n">
        <x:v>60</x:v>
      </x:c>
      <x:c r="G977" s="31" t="inlineStr">
        <x:is>
          <x:t xml:space="preserve">Покраска</x:t>
        </x:is>
      </x:c>
      <x:c r="H977" s="31" t="inlineStr">
        <x:is>
          <x:t xml:space="preserve">Сварка</x:t>
        </x:is>
      </x:c>
      <x:c r="I977" s="31" t="inlineStr">
        <x:is>
          <x:t xml:space="preserve">ОБ-026</x:t>
        </x:is>
      </x:c>
      <x:c r="J977" s="31" t="inlineStr">
        <x:is>
          <x:t xml:space="preserve">СОТР-068</x:t>
        </x:is>
      </x:c>
      <x:c r="K977" s="31" t="n">
        <x:v>3.9</x:v>
      </x:c>
      <x:c r="L977" s="31" t="n"/>
      <x:c r="M977" s="31" t="n">
        <x:v>46086</x:v>
      </x:c>
      <x:c r="N977" s="31" t="n">
        <x:v>46087</x:v>
      </x:c>
      <x:c r="O977" s="31" t="n"/>
      <x:c r="P977" s="31" t="n"/>
      <x:c r="Q977" s="31" t="inlineStr">
        <x:is>
          <x:t xml:space="preserve">Запланировано</x:t>
        </x:is>
      </x:c>
      <x:c r="R977" s="31" t="inlineStr">
        <x:is>
          <x:t xml:space="preserve">Нет</x:t>
        </x:is>
      </x:c>
      <x:c r="S977" s="31" t="inlineStr">
        <x:is>
          <x:t xml:space="preserve">Нет</x:t>
        </x:is>
      </x:c>
    </x:row>
    <x:row r="978">
      <x:c r="A978" s="31" t="inlineStr">
        <x:is>
          <x:t xml:space="preserve">ОП-000977</x:t>
        </x:is>
      </x:c>
      <x:c r="B978" s="31" t="inlineStr">
        <x:is>
          <x:t xml:space="preserve">ПЗ-00116</x:t>
        </x:is>
      </x:c>
      <x:c r="C978" s="31" t="inlineStr">
        <x:is>
          <x:t xml:space="preserve">ЗК-1056</x:t>
        </x:is>
      </x:c>
      <x:c r="D978" s="31" t="inlineStr">
        <x:is>
          <x:t xml:space="preserve">ПОЗ-0056-2</x:t>
        </x:is>
      </x:c>
      <x:c r="E978" s="31" t="inlineStr">
        <x:is>
          <x:t xml:space="preserve">ИЗД-020</x:t>
        </x:is>
      </x:c>
      <x:c r="F978" s="31" t="n">
        <x:v>70</x:v>
      </x:c>
      <x:c r="G978" s="31" t="inlineStr">
        <x:is>
          <x:t xml:space="preserve">ОТК</x:t>
        </x:is>
      </x:c>
      <x:c r="H978" s="31" t="inlineStr">
        <x:is>
          <x:t xml:space="preserve">ОТК</x:t>
        </x:is>
      </x:c>
      <x:c r="I978" s="31" t="inlineStr">
        <x:is>
          <x:t xml:space="preserve">ОБ-015</x:t>
        </x:is>
      </x:c>
      <x:c r="J978" s="31" t="inlineStr">
        <x:is>
          <x:t xml:space="preserve">СОТР-095</x:t>
        </x:is>
      </x:c>
      <x:c r="K978" s="31" t="n">
        <x:v>15.3</x:v>
      </x:c>
      <x:c r="L978" s="31" t="n"/>
      <x:c r="M978" s="31" t="n">
        <x:v>46087</x:v>
      </x:c>
      <x:c r="N978" s="31" t="n">
        <x:v>46089</x:v>
      </x:c>
      <x:c r="O978" s="31" t="n"/>
      <x:c r="P978" s="31" t="n"/>
      <x:c r="Q978" s="31" t="inlineStr">
        <x:is>
          <x:t xml:space="preserve">Запланировано</x:t>
        </x:is>
      </x:c>
      <x:c r="R978" s="31" t="inlineStr">
        <x:is>
          <x:t xml:space="preserve">Нет</x:t>
        </x:is>
      </x:c>
      <x:c r="S978" s="31" t="inlineStr">
        <x:is>
          <x:t xml:space="preserve">Нет</x:t>
        </x:is>
      </x:c>
    </x:row>
    <x:row r="979">
      <x:c r="A979" s="31" t="inlineStr">
        <x:is>
          <x:t xml:space="preserve">ОП-000978</x:t>
        </x:is>
      </x:c>
      <x:c r="B979" s="31" t="inlineStr">
        <x:is>
          <x:t xml:space="preserve">ПЗ-00117</x:t>
        </x:is>
      </x:c>
      <x:c r="C979" s="31" t="inlineStr">
        <x:is>
          <x:t xml:space="preserve">ЗК-1056</x:t>
        </x:is>
      </x:c>
      <x:c r="D979" s="31" t="inlineStr">
        <x:is>
          <x:t xml:space="preserve">ПОЗ-0056-3</x:t>
        </x:is>
      </x:c>
      <x:c r="E979" s="31" t="inlineStr">
        <x:is>
          <x:t xml:space="preserve">ИЗД-024</x:t>
        </x:is>
      </x:c>
      <x:c r="F979" s="31" t="n">
        <x:v>10</x:v>
      </x:c>
      <x:c r="G979" s="31" t="inlineStr">
        <x:is>
          <x:t xml:space="preserve">КД</x:t>
        </x:is>
      </x:c>
      <x:c r="H979" s="31" t="inlineStr">
        <x:is>
          <x:t xml:space="preserve">Инженерный отдел</x:t>
        </x:is>
      </x:c>
      <x:c r="I979" s="31" t="n"/>
      <x:c r="J979" s="31" t="inlineStr">
        <x:is>
          <x:t xml:space="preserve">СОТР-020</x:t>
        </x:is>
      </x:c>
      <x:c r="K979" s="31" t="n">
        <x:v>52.5</x:v>
      </x:c>
      <x:c r="L979" s="31" t="n">
        <x:v>45.1</x:v>
      </x:c>
      <x:c r="M979" s="31" t="n">
        <x:v>46064</x:v>
      </x:c>
      <x:c r="N979" s="31" t="n">
        <x:v>46069</x:v>
      </x:c>
      <x:c r="O979" s="31" t="n">
        <x:v>46064</x:v>
      </x:c>
      <x:c r="P979" s="31" t="n">
        <x:v>46070</x:v>
      </x:c>
      <x:c r="Q979" s="31" t="inlineStr">
        <x:is>
          <x:t xml:space="preserve">Завершено</x:t>
        </x:is>
      </x:c>
      <x:c r="R979" s="31" t="inlineStr">
        <x:is>
          <x:t xml:space="preserve">Нет</x:t>
        </x:is>
      </x:c>
      <x:c r="S979" s="31" t="inlineStr">
        <x:is>
          <x:t xml:space="preserve">Нет</x:t>
        </x:is>
      </x:c>
    </x:row>
    <x:row r="980">
      <x:c r="A980" s="31" t="inlineStr">
        <x:is>
          <x:t xml:space="preserve">ОП-000979</x:t>
        </x:is>
      </x:c>
      <x:c r="B980" s="31" t="inlineStr">
        <x:is>
          <x:t xml:space="preserve">ПЗ-00117</x:t>
        </x:is>
      </x:c>
      <x:c r="C980" s="31" t="inlineStr">
        <x:is>
          <x:t xml:space="preserve">ЗК-1056</x:t>
        </x:is>
      </x:c>
      <x:c r="D980" s="31" t="inlineStr">
        <x:is>
          <x:t xml:space="preserve">ПОЗ-0056-3</x:t>
        </x:is>
      </x:c>
      <x:c r="E980" s="31" t="inlineStr">
        <x:is>
          <x:t xml:space="preserve">ИЗД-024</x:t>
        </x:is>
      </x:c>
      <x:c r="F980" s="31" t="n">
        <x:v>20</x:v>
      </x:c>
      <x:c r="G980" s="31" t="inlineStr">
        <x:is>
          <x:t xml:space="preserve">Резерв материалов</x:t>
        </x:is>
      </x:c>
      <x:c r="H980" s="31" t="inlineStr">
        <x:is>
          <x:t xml:space="preserve">Склад</x:t>
        </x:is>
      </x:c>
      <x:c r="I980" s="31" t="inlineStr">
        <x:is>
          <x:t xml:space="preserve">ОБ-008</x:t>
        </x:is>
      </x:c>
      <x:c r="J980" s="31" t="inlineStr">
        <x:is>
          <x:t xml:space="preserve">СОТР-034</x:t>
        </x:is>
      </x:c>
      <x:c r="K980" s="31" t="n">
        <x:v>8.5</x:v>
      </x:c>
      <x:c r="L980" s="31" t="n"/>
      <x:c r="M980" s="31" t="n">
        <x:v>46069</x:v>
      </x:c>
      <x:c r="N980" s="31" t="n">
        <x:v>46070</x:v>
      </x:c>
      <x:c r="O980" s="31" t="n">
        <x:v>46069</x:v>
      </x:c>
      <x:c r="P980" s="31" t="n"/>
      <x:c r="Q980" s="31" t="inlineStr">
        <x:is>
          <x:t xml:space="preserve">В работе</x:t>
        </x:is>
      </x:c>
      <x:c r="R980" s="31" t="inlineStr">
        <x:is>
          <x:t xml:space="preserve">Нет</x:t>
        </x:is>
      </x:c>
      <x:c r="S980" s="31" t="inlineStr">
        <x:is>
          <x:t xml:space="preserve">Да</x:t>
        </x:is>
      </x:c>
    </x:row>
    <x:row r="981">
      <x:c r="A981" s="31" t="inlineStr">
        <x:is>
          <x:t xml:space="preserve">ОП-000980</x:t>
        </x:is>
      </x:c>
      <x:c r="B981" s="31" t="inlineStr">
        <x:is>
          <x:t xml:space="preserve">ПЗ-00117</x:t>
        </x:is>
      </x:c>
      <x:c r="C981" s="31" t="inlineStr">
        <x:is>
          <x:t xml:space="preserve">ЗК-1056</x:t>
        </x:is>
      </x:c>
      <x:c r="D981" s="31" t="inlineStr">
        <x:is>
          <x:t xml:space="preserve">ПОЗ-0056-3</x:t>
        </x:is>
      </x:c>
      <x:c r="E981" s="31" t="inlineStr">
        <x:is>
          <x:t xml:space="preserve">ИЗД-024</x:t>
        </x:is>
      </x:c>
      <x:c r="F981" s="31" t="n">
        <x:v>30</x:v>
      </x:c>
      <x:c r="G981" s="31" t="inlineStr">
        <x:is>
          <x:t xml:space="preserve">Сварка рамы</x:t>
        </x:is>
      </x:c>
      <x:c r="H981" s="31" t="inlineStr">
        <x:is>
          <x:t xml:space="preserve">Сварка</x:t>
        </x:is>
      </x:c>
      <x:c r="I981" s="31" t="inlineStr">
        <x:is>
          <x:t xml:space="preserve">ОБ-021</x:t>
        </x:is>
      </x:c>
      <x:c r="J981" s="31" t="inlineStr">
        <x:is>
          <x:t xml:space="preserve">СОТР-066</x:t>
        </x:is>
      </x:c>
      <x:c r="K981" s="31" t="n">
        <x:v>14.5</x:v>
      </x:c>
      <x:c r="L981" s="31" t="n">
        <x:v>13.9</x:v>
      </x:c>
      <x:c r="M981" s="31" t="n">
        <x:v>46070</x:v>
      </x:c>
      <x:c r="N981" s="31" t="n">
        <x:v>46072</x:v>
      </x:c>
      <x:c r="O981" s="31" t="n">
        <x:v>46070</x:v>
      </x:c>
      <x:c r="P981" s="31" t="n">
        <x:v>46071</x:v>
      </x:c>
      <x:c r="Q981" s="31" t="inlineStr">
        <x:is>
          <x:t xml:space="preserve">Завершено</x:t>
        </x:is>
      </x:c>
      <x:c r="R981" s="31" t="inlineStr">
        <x:is>
          <x:t xml:space="preserve">Материал</x:t>
        </x:is>
      </x:c>
      <x:c r="S981" s="31" t="inlineStr">
        <x:is>
          <x:t xml:space="preserve">Нет</x:t>
        </x:is>
      </x:c>
    </x:row>
    <x:row r="982">
      <x:c r="A982" s="31" t="inlineStr">
        <x:is>
          <x:t xml:space="preserve">ОП-000981</x:t>
        </x:is>
      </x:c>
      <x:c r="B982" s="31" t="inlineStr">
        <x:is>
          <x:t xml:space="preserve">ПЗ-00117</x:t>
        </x:is>
      </x:c>
      <x:c r="C982" s="31" t="inlineStr">
        <x:is>
          <x:t xml:space="preserve">ЗК-1056</x:t>
        </x:is>
      </x:c>
      <x:c r="D982" s="31" t="inlineStr">
        <x:is>
          <x:t xml:space="preserve">ПОЗ-0056-3</x:t>
        </x:is>
      </x:c>
      <x:c r="E982" s="31" t="inlineStr">
        <x:is>
          <x:t xml:space="preserve">ИЗД-024</x:t>
        </x:is>
      </x:c>
      <x:c r="F982" s="31" t="n">
        <x:v>40</x:v>
      </x:c>
      <x:c r="G982" s="31" t="inlineStr">
        <x:is>
          <x:t xml:space="preserve">Сборка</x:t>
        </x:is>
      </x:c>
      <x:c r="H982" s="31" t="inlineStr">
        <x:is>
          <x:t xml:space="preserve">Сборка</x:t>
        </x:is>
      </x:c>
      <x:c r="I982" s="31" t="inlineStr">
        <x:is>
          <x:t xml:space="preserve">ОБ-005</x:t>
        </x:is>
      </x:c>
      <x:c r="J982" s="31" t="inlineStr">
        <x:is>
          <x:t xml:space="preserve">СОТР-073</x:t>
        </x:is>
      </x:c>
      <x:c r="K982" s="31" t="n">
        <x:v>10.5</x:v>
      </x:c>
      <x:c r="L982" s="31" t="n"/>
      <x:c r="M982" s="31" t="n">
        <x:v>46072</x:v>
      </x:c>
      <x:c r="N982" s="31" t="n">
        <x:v>46073</x:v>
      </x:c>
      <x:c r="O982" s="31" t="n"/>
      <x:c r="P982" s="31" t="n"/>
      <x:c r="Q982" s="31" t="inlineStr">
        <x:is>
          <x:t xml:space="preserve">Запланировано</x:t>
        </x:is>
      </x:c>
      <x:c r="R982" s="31" t="inlineStr">
        <x:is>
          <x:t xml:space="preserve">Нет</x:t>
        </x:is>
      </x:c>
      <x:c r="S982" s="31" t="inlineStr">
        <x:is>
          <x:t xml:space="preserve">Нет</x:t>
        </x:is>
      </x:c>
    </x:row>
    <x:row r="983">
      <x:c r="A983" s="31" t="inlineStr">
        <x:is>
          <x:t xml:space="preserve">ОП-000982</x:t>
        </x:is>
      </x:c>
      <x:c r="B983" s="31" t="inlineStr">
        <x:is>
          <x:t xml:space="preserve">ПЗ-00117</x:t>
        </x:is>
      </x:c>
      <x:c r="C983" s="31" t="inlineStr">
        <x:is>
          <x:t xml:space="preserve">ЗК-1056</x:t>
        </x:is>
      </x:c>
      <x:c r="D983" s="31" t="inlineStr">
        <x:is>
          <x:t xml:space="preserve">ПОЗ-0056-3</x:t>
        </x:is>
      </x:c>
      <x:c r="E983" s="31" t="inlineStr">
        <x:is>
          <x:t xml:space="preserve">ИЗД-024</x:t>
        </x:is>
      </x:c>
      <x:c r="F983" s="31" t="n">
        <x:v>50</x:v>
      </x:c>
      <x:c r="G983" s="31" t="inlineStr">
        <x:is>
          <x:t xml:space="preserve">Обвязка труб</x:t>
        </x:is>
      </x:c>
      <x:c r="H983" s="31" t="inlineStr">
        <x:is>
          <x:t xml:space="preserve">Сборка</x:t>
        </x:is>
      </x:c>
      <x:c r="I983" s="31" t="inlineStr">
        <x:is>
          <x:t xml:space="preserve">ОБ-034</x:t>
        </x:is>
      </x:c>
      <x:c r="J983" s="31" t="inlineStr">
        <x:is>
          <x:t xml:space="preserve">СОТР-081</x:t>
        </x:is>
      </x:c>
      <x:c r="K983" s="31" t="n">
        <x:v>48.5</x:v>
      </x:c>
      <x:c r="L983" s="31" t="n"/>
      <x:c r="M983" s="31" t="n">
        <x:v>46073</x:v>
      </x:c>
      <x:c r="N983" s="31" t="n">
        <x:v>46078</x:v>
      </x:c>
      <x:c r="O983" s="31" t="n"/>
      <x:c r="P983" s="31" t="n"/>
      <x:c r="Q983" s="31" t="inlineStr">
        <x:is>
          <x:t xml:space="preserve">Запланировано</x:t>
        </x:is>
      </x:c>
      <x:c r="R983" s="31" t="inlineStr">
        <x:is>
          <x:t xml:space="preserve">Нет</x:t>
        </x:is>
      </x:c>
      <x:c r="S983" s="31" t="inlineStr">
        <x:is>
          <x:t xml:space="preserve">Нет</x:t>
        </x:is>
      </x:c>
    </x:row>
    <x:row r="984">
      <x:c r="A984" s="31" t="inlineStr">
        <x:is>
          <x:t xml:space="preserve">ОП-000983</x:t>
        </x:is>
      </x:c>
      <x:c r="B984" s="31" t="inlineStr">
        <x:is>
          <x:t xml:space="preserve">ПЗ-00117</x:t>
        </x:is>
      </x:c>
      <x:c r="C984" s="31" t="inlineStr">
        <x:is>
          <x:t xml:space="preserve">ЗК-1056</x:t>
        </x:is>
      </x:c>
      <x:c r="D984" s="31" t="inlineStr">
        <x:is>
          <x:t xml:space="preserve">ПОЗ-0056-3</x:t>
        </x:is>
      </x:c>
      <x:c r="E984" s="31" t="inlineStr">
        <x:is>
          <x:t xml:space="preserve">ИЗД-024</x:t>
        </x:is>
      </x:c>
      <x:c r="F984" s="31" t="n">
        <x:v>60</x:v>
      </x:c>
      <x:c r="G984" s="31" t="inlineStr">
        <x:is>
          <x:t xml:space="preserve">Электромонтаж</x:t>
        </x:is>
      </x:c>
      <x:c r="H984" s="31" t="inlineStr">
        <x:is>
          <x:t xml:space="preserve">Сборка</x:t>
        </x:is>
      </x:c>
      <x:c r="I984" s="31" t="inlineStr">
        <x:is>
          <x:t xml:space="preserve">ОБ-014</x:t>
        </x:is>
      </x:c>
      <x:c r="J984" s="31" t="inlineStr">
        <x:is>
          <x:t xml:space="preserve">СОТР-077</x:t>
        </x:is>
      </x:c>
      <x:c r="K984" s="31" t="n">
        <x:v>18</x:v>
      </x:c>
      <x:c r="L984" s="31" t="n"/>
      <x:c r="M984" s="31" t="n">
        <x:v>46078</x:v>
      </x:c>
      <x:c r="N984" s="31" t="n">
        <x:v>46080</x:v>
      </x:c>
      <x:c r="O984" s="31" t="n"/>
      <x:c r="P984" s="31" t="n"/>
      <x:c r="Q984" s="31" t="inlineStr">
        <x:is>
          <x:t xml:space="preserve">Запланировано</x:t>
        </x:is>
      </x:c>
      <x:c r="R984" s="31" t="inlineStr">
        <x:is>
          <x:t xml:space="preserve">Нет</x:t>
        </x:is>
      </x:c>
      <x:c r="S984" s="31" t="inlineStr">
        <x:is>
          <x:t xml:space="preserve">Нет</x:t>
        </x:is>
      </x:c>
    </x:row>
    <x:row r="985">
      <x:c r="A985" s="31" t="inlineStr">
        <x:is>
          <x:t xml:space="preserve">ОП-000984</x:t>
        </x:is>
      </x:c>
      <x:c r="B985" s="31" t="inlineStr">
        <x:is>
          <x:t xml:space="preserve">ПЗ-00117</x:t>
        </x:is>
      </x:c>
      <x:c r="C985" s="31" t="inlineStr">
        <x:is>
          <x:t xml:space="preserve">ЗК-1056</x:t>
        </x:is>
      </x:c>
      <x:c r="D985" s="31" t="inlineStr">
        <x:is>
          <x:t xml:space="preserve">ПОЗ-0056-3</x:t>
        </x:is>
      </x:c>
      <x:c r="E985" s="31" t="inlineStr">
        <x:is>
          <x:t xml:space="preserve">ИЗД-024</x:t>
        </x:is>
      </x:c>
      <x:c r="F985" s="31" t="n">
        <x:v>70</x:v>
      </x:c>
      <x:c r="G985" s="31" t="inlineStr">
        <x:is>
          <x:t xml:space="preserve">Гидроиспытания</x:t>
        </x:is>
      </x:c>
      <x:c r="H985" s="31" t="inlineStr">
        <x:is>
          <x:t xml:space="preserve">ОТК</x:t>
        </x:is>
      </x:c>
      <x:c r="I985" s="31" t="inlineStr">
        <x:is>
          <x:t xml:space="preserve">ОБ-022</x:t>
        </x:is>
      </x:c>
      <x:c r="J985" s="31" t="inlineStr">
        <x:is>
          <x:t xml:space="preserve">СОТР-092</x:t>
        </x:is>
      </x:c>
      <x:c r="K985" s="31" t="n">
        <x:v>26</x:v>
      </x:c>
      <x:c r="L985" s="31" t="n">
        <x:v>22.1</x:v>
      </x:c>
      <x:c r="M985" s="31" t="n">
        <x:v>46080</x:v>
      </x:c>
      <x:c r="N985" s="31" t="n">
        <x:v>46083</x:v>
      </x:c>
      <x:c r="O985" s="31" t="n">
        <x:v>46080</x:v>
      </x:c>
      <x:c r="P985" s="31" t="n">
        <x:v>46082</x:v>
      </x:c>
      <x:c r="Q985" s="31" t="inlineStr">
        <x:is>
          <x:t xml:space="preserve">Завершено</x:t>
        </x:is>
      </x:c>
      <x:c r="R985" s="31" t="inlineStr">
        <x:is>
          <x:t xml:space="preserve">Материал</x:t>
        </x:is>
      </x:c>
      <x:c r="S985" s="31" t="inlineStr">
        <x:is>
          <x:t xml:space="preserve">Да</x:t>
        </x:is>
      </x:c>
    </x:row>
    <x:row r="986">
      <x:c r="A986" s="31" t="inlineStr">
        <x:is>
          <x:t xml:space="preserve">ОП-000985</x:t>
        </x:is>
      </x:c>
      <x:c r="B986" s="31" t="inlineStr">
        <x:is>
          <x:t xml:space="preserve">ПЗ-00117</x:t>
        </x:is>
      </x:c>
      <x:c r="C986" s="31" t="inlineStr">
        <x:is>
          <x:t xml:space="preserve">ЗК-1056</x:t>
        </x:is>
      </x:c>
      <x:c r="D986" s="31" t="inlineStr">
        <x:is>
          <x:t xml:space="preserve">ПОЗ-0056-3</x:t>
        </x:is>
      </x:c>
      <x:c r="E986" s="31" t="inlineStr">
        <x:is>
          <x:t xml:space="preserve">ИЗД-024</x:t>
        </x:is>
      </x:c>
      <x:c r="F986" s="31" t="n">
        <x:v>80</x:v>
      </x:c>
      <x:c r="G986" s="31" t="inlineStr">
        <x:is>
          <x:t xml:space="preserve">ОТК</x:t>
        </x:is>
      </x:c>
      <x:c r="H986" s="31" t="inlineStr">
        <x:is>
          <x:t xml:space="preserve">ОТК</x:t>
        </x:is>
      </x:c>
      <x:c r="I986" s="31" t="inlineStr">
        <x:is>
          <x:t xml:space="preserve">ОБ-024</x:t>
        </x:is>
      </x:c>
      <x:c r="J986" s="31" t="inlineStr">
        <x:is>
          <x:t xml:space="preserve">СОТР-093</x:t>
        </x:is>
      </x:c>
      <x:c r="K986" s="31" t="n">
        <x:v>28.5</x:v>
      </x:c>
      <x:c r="L986" s="31" t="n"/>
      <x:c r="M986" s="31" t="n">
        <x:v>46083</x:v>
      </x:c>
      <x:c r="N986" s="31" t="n">
        <x:v>46086</x:v>
      </x:c>
      <x:c r="O986" s="31" t="n"/>
      <x:c r="P986" s="31" t="n"/>
      <x:c r="Q986" s="31" t="inlineStr">
        <x:is>
          <x:t xml:space="preserve">Запланировано</x:t>
        </x:is>
      </x:c>
      <x:c r="R986" s="31" t="inlineStr">
        <x:is>
          <x:t xml:space="preserve">Нет</x:t>
        </x:is>
      </x:c>
      <x:c r="S986" s="31" t="inlineStr">
        <x:is>
          <x:t xml:space="preserve">Да</x:t>
        </x:is>
      </x:c>
    </x:row>
    <x:row r="987">
      <x:c r="A987" s="31" t="inlineStr">
        <x:is>
          <x:t xml:space="preserve">ОП-000986</x:t>
        </x:is>
      </x:c>
      <x:c r="B987" s="31" t="inlineStr">
        <x:is>
          <x:t xml:space="preserve">ПЗ-00117</x:t>
        </x:is>
      </x:c>
      <x:c r="C987" s="31" t="inlineStr">
        <x:is>
          <x:t xml:space="preserve">ЗК-1056</x:t>
        </x:is>
      </x:c>
      <x:c r="D987" s="31" t="inlineStr">
        <x:is>
          <x:t xml:space="preserve">ПОЗ-0056-3</x:t>
        </x:is>
      </x:c>
      <x:c r="E987" s="31" t="inlineStr">
        <x:is>
          <x:t xml:space="preserve">ИЗД-024</x:t>
        </x:is>
      </x:c>
      <x:c r="F987" s="31" t="n">
        <x:v>90</x:v>
      </x:c>
      <x:c r="G987" s="31" t="inlineStr">
        <x:is>
          <x:t xml:space="preserve">Упаковка</x:t>
        </x:is>
      </x:c>
      <x:c r="H987" s="31" t="inlineStr">
        <x:is>
          <x:t xml:space="preserve">Логистика</x:t>
        </x:is>
      </x:c>
      <x:c r="I987" s="31" t="n"/>
      <x:c r="J987" s="31" t="inlineStr">
        <x:is>
          <x:t xml:space="preserve">СОТР-070</x:t>
        </x:is>
      </x:c>
      <x:c r="K987" s="31" t="n">
        <x:v>43</x:v>
      </x:c>
      <x:c r="L987" s="31" t="n"/>
      <x:c r="M987" s="31" t="n">
        <x:v>46086</x:v>
      </x:c>
      <x:c r="N987" s="31" t="n">
        <x:v>46090</x:v>
      </x:c>
      <x:c r="O987" s="31" t="n"/>
      <x:c r="P987" s="31" t="n"/>
      <x:c r="Q987" s="31" t="inlineStr">
        <x:is>
          <x:t xml:space="preserve">Запланировано</x:t>
        </x:is>
      </x:c>
      <x:c r="R987" s="31" t="inlineStr">
        <x:is>
          <x:t xml:space="preserve">Нет</x:t>
        </x:is>
      </x:c>
      <x:c r="S987" s="31" t="inlineStr">
        <x:is>
          <x:t xml:space="preserve">Нет</x:t>
        </x:is>
      </x:c>
    </x:row>
    <x:row r="988">
      <x:c r="A988" s="31" t="inlineStr">
        <x:is>
          <x:t xml:space="preserve">ОП-000987</x:t>
        </x:is>
      </x:c>
      <x:c r="B988" s="31" t="inlineStr">
        <x:is>
          <x:t xml:space="preserve">ПЗ-00118</x:t>
        </x:is>
      </x:c>
      <x:c r="C988" s="31" t="inlineStr">
        <x:is>
          <x:t xml:space="preserve">ЗК-1056</x:t>
        </x:is>
      </x:c>
      <x:c r="D988" s="31" t="inlineStr">
        <x:is>
          <x:t xml:space="preserve">ПОЗ-0056-4</x:t>
        </x:is>
      </x:c>
      <x:c r="E988" s="31" t="inlineStr">
        <x:is>
          <x:t xml:space="preserve">ИЗД-040</x:t>
        </x:is>
      </x:c>
      <x:c r="F988" s="31" t="n">
        <x:v>10</x:v>
      </x:c>
      <x:c r="G988" s="31" t="inlineStr">
        <x:is>
          <x:t xml:space="preserve">КД</x:t>
        </x:is>
      </x:c>
      <x:c r="H988" s="31" t="inlineStr">
        <x:is>
          <x:t xml:space="preserve">Инженерный отдел</x:t>
        </x:is>
      </x:c>
      <x:c r="I988" s="31" t="n"/>
      <x:c r="J988" s="31" t="inlineStr">
        <x:is>
          <x:t xml:space="preserve">СОТР-015</x:t>
        </x:is>
      </x:c>
      <x:c r="K988" s="31" t="n">
        <x:v>6.2</x:v>
      </x:c>
      <x:c r="L988" s="31" t="n"/>
      <x:c r="M988" s="31" t="n">
        <x:v>46066</x:v>
      </x:c>
      <x:c r="N988" s="31" t="n">
        <x:v>46067</x:v>
      </x:c>
      <x:c r="O988" s="31" t="n"/>
      <x:c r="P988" s="31" t="n"/>
      <x:c r="Q988" s="31" t="inlineStr">
        <x:is>
          <x:t xml:space="preserve">Запланировано</x:t>
        </x:is>
      </x:c>
      <x:c r="R988" s="31" t="inlineStr">
        <x:is>
          <x:t xml:space="preserve">Нет</x:t>
        </x:is>
      </x:c>
      <x:c r="S988" s="31" t="inlineStr">
        <x:is>
          <x:t xml:space="preserve">Нет</x:t>
        </x:is>
      </x:c>
    </x:row>
    <x:row r="989">
      <x:c r="A989" s="31" t="inlineStr">
        <x:is>
          <x:t xml:space="preserve">ОП-000988</x:t>
        </x:is>
      </x:c>
      <x:c r="B989" s="31" t="inlineStr">
        <x:is>
          <x:t xml:space="preserve">ПЗ-00118</x:t>
        </x:is>
      </x:c>
      <x:c r="C989" s="31" t="inlineStr">
        <x:is>
          <x:t xml:space="preserve">ЗК-1056</x:t>
        </x:is>
      </x:c>
      <x:c r="D989" s="31" t="inlineStr">
        <x:is>
          <x:t xml:space="preserve">ПОЗ-0056-4</x:t>
        </x:is>
      </x:c>
      <x:c r="E989" s="31" t="inlineStr">
        <x:is>
          <x:t xml:space="preserve">ИЗД-040</x:t>
        </x:is>
      </x:c>
      <x:c r="F989" s="31" t="n">
        <x:v>20</x:v>
      </x:c>
      <x:c r="G989" s="31" t="inlineStr">
        <x:is>
          <x:t xml:space="preserve">Резерв материалов</x:t>
        </x:is>
      </x:c>
      <x:c r="H989" s="31" t="inlineStr">
        <x:is>
          <x:t xml:space="preserve">Склад</x:t>
        </x:is>
      </x:c>
      <x:c r="I989" s="31" t="inlineStr">
        <x:is>
          <x:t xml:space="preserve">ОБ-008</x:t>
        </x:is>
      </x:c>
      <x:c r="J989" s="31" t="inlineStr">
        <x:is>
          <x:t xml:space="preserve">СОТР-036</x:t>
        </x:is>
      </x:c>
      <x:c r="K989" s="31" t="n">
        <x:v>9.4</x:v>
      </x:c>
      <x:c r="L989" s="31" t="n"/>
      <x:c r="M989" s="31" t="n">
        <x:v>46067</x:v>
      </x:c>
      <x:c r="N989" s="31" t="n">
        <x:v>46068</x:v>
      </x:c>
      <x:c r="O989" s="31" t="n"/>
      <x:c r="P989" s="31" t="n"/>
      <x:c r="Q989" s="31" t="inlineStr">
        <x:is>
          <x:t xml:space="preserve">Запланировано</x:t>
        </x:is>
      </x:c>
      <x:c r="R989" s="31" t="inlineStr">
        <x:is>
          <x:t xml:space="preserve">Нет</x:t>
        </x:is>
      </x:c>
      <x:c r="S989" s="31" t="inlineStr">
        <x:is>
          <x:t xml:space="preserve">Да</x:t>
        </x:is>
      </x:c>
    </x:row>
    <x:row r="990">
      <x:c r="A990" s="31" t="inlineStr">
        <x:is>
          <x:t xml:space="preserve">ОП-000989</x:t>
        </x:is>
      </x:c>
      <x:c r="B990" s="31" t="inlineStr">
        <x:is>
          <x:t xml:space="preserve">ПЗ-00118</x:t>
        </x:is>
      </x:c>
      <x:c r="C990" s="31" t="inlineStr">
        <x:is>
          <x:t xml:space="preserve">ЗК-1056</x:t>
        </x:is>
      </x:c>
      <x:c r="D990" s="31" t="inlineStr">
        <x:is>
          <x:t xml:space="preserve">ПОЗ-0056-4</x:t>
        </x:is>
      </x:c>
      <x:c r="E990" s="31" t="inlineStr">
        <x:is>
          <x:t xml:space="preserve">ИЗД-040</x:t>
        </x:is>
      </x:c>
      <x:c r="F990" s="31" t="n">
        <x:v>30</x:v>
      </x:c>
      <x:c r="G990" s="31" t="inlineStr">
        <x:is>
          <x:t xml:space="preserve">Сварка рамы</x:t>
        </x:is>
      </x:c>
      <x:c r="H990" s="31" t="inlineStr">
        <x:is>
          <x:t xml:space="preserve">Сварка</x:t>
        </x:is>
      </x:c>
      <x:c r="I990" s="31" t="inlineStr">
        <x:is>
          <x:t xml:space="preserve">ОБ-035</x:t>
        </x:is>
      </x:c>
      <x:c r="J990" s="31" t="inlineStr">
        <x:is>
          <x:t xml:space="preserve">СОТР-064</x:t>
        </x:is>
      </x:c>
      <x:c r="K990" s="31" t="n">
        <x:v>5</x:v>
      </x:c>
      <x:c r="L990" s="31" t="n"/>
      <x:c r="M990" s="31" t="n">
        <x:v>46068</x:v>
      </x:c>
      <x:c r="N990" s="31" t="n">
        <x:v>46069</x:v>
      </x:c>
      <x:c r="O990" s="31" t="n"/>
      <x:c r="P990" s="31" t="n"/>
      <x:c r="Q990" s="31" t="inlineStr">
        <x:is>
          <x:t xml:space="preserve">Запланировано</x:t>
        </x:is>
      </x:c>
      <x:c r="R990" s="31" t="inlineStr">
        <x:is>
          <x:t xml:space="preserve">Нет</x:t>
        </x:is>
      </x:c>
      <x:c r="S990" s="31" t="inlineStr">
        <x:is>
          <x:t xml:space="preserve">Нет</x:t>
        </x:is>
      </x:c>
    </x:row>
    <x:row r="991">
      <x:c r="A991" s="31" t="inlineStr">
        <x:is>
          <x:t xml:space="preserve">ОП-000990</x:t>
        </x:is>
      </x:c>
      <x:c r="B991" s="31" t="inlineStr">
        <x:is>
          <x:t xml:space="preserve">ПЗ-00118</x:t>
        </x:is>
      </x:c>
      <x:c r="C991" s="31" t="inlineStr">
        <x:is>
          <x:t xml:space="preserve">ЗК-1056</x:t>
        </x:is>
      </x:c>
      <x:c r="D991" s="31" t="inlineStr">
        <x:is>
          <x:t xml:space="preserve">ПОЗ-0056-4</x:t>
        </x:is>
      </x:c>
      <x:c r="E991" s="31" t="inlineStr">
        <x:is>
          <x:t xml:space="preserve">ИЗД-040</x:t>
        </x:is>
      </x:c>
      <x:c r="F991" s="31" t="n">
        <x:v>40</x:v>
      </x:c>
      <x:c r="G991" s="31" t="inlineStr">
        <x:is>
          <x:t xml:space="preserve">Сборка</x:t>
        </x:is>
      </x:c>
      <x:c r="H991" s="31" t="inlineStr">
        <x:is>
          <x:t xml:space="preserve">Сборка</x:t>
        </x:is>
      </x:c>
      <x:c r="I991" s="31" t="inlineStr">
        <x:is>
          <x:t xml:space="preserve">ОБ-016</x:t>
        </x:is>
      </x:c>
      <x:c r="J991" s="31" t="inlineStr">
        <x:is>
          <x:t xml:space="preserve">СОТР-083</x:t>
        </x:is>
      </x:c>
      <x:c r="K991" s="31" t="n">
        <x:v>9.6</x:v>
      </x:c>
      <x:c r="L991" s="31" t="n"/>
      <x:c r="M991" s="31" t="n">
        <x:v>46069</x:v>
      </x:c>
      <x:c r="N991" s="31" t="n">
        <x:v>46070</x:v>
      </x:c>
      <x:c r="O991" s="31" t="n"/>
      <x:c r="P991" s="31" t="n"/>
      <x:c r="Q991" s="31" t="inlineStr">
        <x:is>
          <x:t xml:space="preserve">Запланировано</x:t>
        </x:is>
      </x:c>
      <x:c r="R991" s="31" t="inlineStr">
        <x:is>
          <x:t xml:space="preserve">Нет</x:t>
        </x:is>
      </x:c>
      <x:c r="S991" s="31" t="inlineStr">
        <x:is>
          <x:t xml:space="preserve">Да</x:t>
        </x:is>
      </x:c>
    </x:row>
    <x:row r="992">
      <x:c r="A992" s="31" t="inlineStr">
        <x:is>
          <x:t xml:space="preserve">ОП-000991</x:t>
        </x:is>
      </x:c>
      <x:c r="B992" s="31" t="inlineStr">
        <x:is>
          <x:t xml:space="preserve">ПЗ-00118</x:t>
        </x:is>
      </x:c>
      <x:c r="C992" s="31" t="inlineStr">
        <x:is>
          <x:t xml:space="preserve">ЗК-1056</x:t>
        </x:is>
      </x:c>
      <x:c r="D992" s="31" t="inlineStr">
        <x:is>
          <x:t xml:space="preserve">ПОЗ-0056-4</x:t>
        </x:is>
      </x:c>
      <x:c r="E992" s="31" t="inlineStr">
        <x:is>
          <x:t xml:space="preserve">ИЗД-040</x:t>
        </x:is>
      </x:c>
      <x:c r="F992" s="31" t="n">
        <x:v>50</x:v>
      </x:c>
      <x:c r="G992" s="31" t="inlineStr">
        <x:is>
          <x:t xml:space="preserve">Обвязка труб</x:t>
        </x:is>
      </x:c>
      <x:c r="H992" s="31" t="inlineStr">
        <x:is>
          <x:t xml:space="preserve">Сборка</x:t>
        </x:is>
      </x:c>
      <x:c r="I992" s="31" t="inlineStr">
        <x:is>
          <x:t xml:space="preserve">ОБ-012</x:t>
        </x:is>
      </x:c>
      <x:c r="J992" s="31" t="inlineStr">
        <x:is>
          <x:t xml:space="preserve">СОТР-075</x:t>
        </x:is>
      </x:c>
      <x:c r="K992" s="31" t="n">
        <x:v>16</x:v>
      </x:c>
      <x:c r="L992" s="31" t="n"/>
      <x:c r="M992" s="31" t="n">
        <x:v>46070</x:v>
      </x:c>
      <x:c r="N992" s="31" t="n">
        <x:v>46072</x:v>
      </x:c>
      <x:c r="O992" s="31" t="n"/>
      <x:c r="P992" s="31" t="n"/>
      <x:c r="Q992" s="31" t="inlineStr">
        <x:is>
          <x:t xml:space="preserve">Запланировано</x:t>
        </x:is>
      </x:c>
      <x:c r="R992" s="31" t="inlineStr">
        <x:is>
          <x:t xml:space="preserve">Нет</x:t>
        </x:is>
      </x:c>
      <x:c r="S992" s="31" t="inlineStr">
        <x:is>
          <x:t xml:space="preserve">Нет</x:t>
        </x:is>
      </x:c>
    </x:row>
    <x:row r="993">
      <x:c r="A993" s="31" t="inlineStr">
        <x:is>
          <x:t xml:space="preserve">ОП-000992</x:t>
        </x:is>
      </x:c>
      <x:c r="B993" s="31" t="inlineStr">
        <x:is>
          <x:t xml:space="preserve">ПЗ-00118</x:t>
        </x:is>
      </x:c>
      <x:c r="C993" s="31" t="inlineStr">
        <x:is>
          <x:t xml:space="preserve">ЗК-1056</x:t>
        </x:is>
      </x:c>
      <x:c r="D993" s="31" t="inlineStr">
        <x:is>
          <x:t xml:space="preserve">ПОЗ-0056-4</x:t>
        </x:is>
      </x:c>
      <x:c r="E993" s="31" t="inlineStr">
        <x:is>
          <x:t xml:space="preserve">ИЗД-040</x:t>
        </x:is>
      </x:c>
      <x:c r="F993" s="31" t="n">
        <x:v>60</x:v>
      </x:c>
      <x:c r="G993" s="31" t="inlineStr">
        <x:is>
          <x:t xml:space="preserve">Электромонтаж</x:t>
        </x:is>
      </x:c>
      <x:c r="H993" s="31" t="inlineStr">
        <x:is>
          <x:t xml:space="preserve">Сборка</x:t>
        </x:is>
      </x:c>
      <x:c r="I993" s="31" t="inlineStr">
        <x:is>
          <x:t xml:space="preserve">ОБ-020</x:t>
        </x:is>
      </x:c>
      <x:c r="J993" s="31" t="inlineStr">
        <x:is>
          <x:t xml:space="preserve">СОТР-032</x:t>
        </x:is>
      </x:c>
      <x:c r="K993" s="31" t="n">
        <x:v>7</x:v>
      </x:c>
      <x:c r="L993" s="31" t="n"/>
      <x:c r="M993" s="31" t="n">
        <x:v>46072</x:v>
      </x:c>
      <x:c r="N993" s="31" t="n">
        <x:v>46073</x:v>
      </x:c>
      <x:c r="O993" s="31" t="n"/>
      <x:c r="P993" s="31" t="n"/>
      <x:c r="Q993" s="31" t="inlineStr">
        <x:is>
          <x:t xml:space="preserve">Запланировано</x:t>
        </x:is>
      </x:c>
      <x:c r="R993" s="31" t="inlineStr">
        <x:is>
          <x:t xml:space="preserve">Нет</x:t>
        </x:is>
      </x:c>
      <x:c r="S993" s="31" t="inlineStr">
        <x:is>
          <x:t xml:space="preserve">Нет</x:t>
        </x:is>
      </x:c>
    </x:row>
    <x:row r="994">
      <x:c r="A994" s="31" t="inlineStr">
        <x:is>
          <x:t xml:space="preserve">ОП-000993</x:t>
        </x:is>
      </x:c>
      <x:c r="B994" s="31" t="inlineStr">
        <x:is>
          <x:t xml:space="preserve">ПЗ-00118</x:t>
        </x:is>
      </x:c>
      <x:c r="C994" s="31" t="inlineStr">
        <x:is>
          <x:t xml:space="preserve">ЗК-1056</x:t>
        </x:is>
      </x:c>
      <x:c r="D994" s="31" t="inlineStr">
        <x:is>
          <x:t xml:space="preserve">ПОЗ-0056-4</x:t>
        </x:is>
      </x:c>
      <x:c r="E994" s="31" t="inlineStr">
        <x:is>
          <x:t xml:space="preserve">ИЗД-040</x:t>
        </x:is>
      </x:c>
      <x:c r="F994" s="31" t="n">
        <x:v>70</x:v>
      </x:c>
      <x:c r="G994" s="31" t="inlineStr">
        <x:is>
          <x:t xml:space="preserve">Гидроиспытания</x:t>
        </x:is>
      </x:c>
      <x:c r="H994" s="31" t="inlineStr">
        <x:is>
          <x:t xml:space="preserve">ОТК</x:t>
        </x:is>
      </x:c>
      <x:c r="I994" s="31" t="inlineStr">
        <x:is>
          <x:t xml:space="preserve">ОБ-033</x:t>
        </x:is>
      </x:c>
      <x:c r="J994" s="31" t="inlineStr">
        <x:is>
          <x:t xml:space="preserve">СОТР-095</x:t>
        </x:is>
      </x:c>
      <x:c r="K994" s="31" t="n">
        <x:v>24</x:v>
      </x:c>
      <x:c r="L994" s="31" t="n"/>
      <x:c r="M994" s="31" t="n">
        <x:v>46073</x:v>
      </x:c>
      <x:c r="N994" s="31" t="n">
        <x:v>46075</x:v>
      </x:c>
      <x:c r="O994" s="31" t="n"/>
      <x:c r="P994" s="31" t="n"/>
      <x:c r="Q994" s="31" t="inlineStr">
        <x:is>
          <x:t xml:space="preserve">Запланировано</x:t>
        </x:is>
      </x:c>
      <x:c r="R994" s="31" t="inlineStr">
        <x:is>
          <x:t xml:space="preserve">Ожидание ОТК</x:t>
        </x:is>
      </x:c>
      <x:c r="S994" s="31" t="inlineStr">
        <x:is>
          <x:t xml:space="preserve">Нет</x:t>
        </x:is>
      </x:c>
    </x:row>
    <x:row r="995">
      <x:c r="A995" s="31" t="inlineStr">
        <x:is>
          <x:t xml:space="preserve">ОП-000994</x:t>
        </x:is>
      </x:c>
      <x:c r="B995" s="31" t="inlineStr">
        <x:is>
          <x:t xml:space="preserve">ПЗ-00118</x:t>
        </x:is>
      </x:c>
      <x:c r="C995" s="31" t="inlineStr">
        <x:is>
          <x:t xml:space="preserve">ЗК-1056</x:t>
        </x:is>
      </x:c>
      <x:c r="D995" s="31" t="inlineStr">
        <x:is>
          <x:t xml:space="preserve">ПОЗ-0056-4</x:t>
        </x:is>
      </x:c>
      <x:c r="E995" s="31" t="inlineStr">
        <x:is>
          <x:t xml:space="preserve">ИЗД-040</x:t>
        </x:is>
      </x:c>
      <x:c r="F995" s="31" t="n">
        <x:v>80</x:v>
      </x:c>
      <x:c r="G995" s="31" t="inlineStr">
        <x:is>
          <x:t xml:space="preserve">ОТК</x:t>
        </x:is>
      </x:c>
      <x:c r="H995" s="31" t="inlineStr">
        <x:is>
          <x:t xml:space="preserve">ОТК</x:t>
        </x:is>
      </x:c>
      <x:c r="I995" s="31" t="inlineStr">
        <x:is>
          <x:t xml:space="preserve">ОБ-024</x:t>
        </x:is>
      </x:c>
      <x:c r="J995" s="31" t="inlineStr">
        <x:is>
          <x:t xml:space="preserve">СОТР-093</x:t>
        </x:is>
      </x:c>
      <x:c r="K995" s="31" t="n">
        <x:v>2.4</x:v>
      </x:c>
      <x:c r="L995" s="31" t="n"/>
      <x:c r="M995" s="31" t="n">
        <x:v>46075</x:v>
      </x:c>
      <x:c r="N995" s="31" t="n">
        <x:v>46076</x:v>
      </x:c>
      <x:c r="O995" s="31" t="n"/>
      <x:c r="P995" s="31" t="n"/>
      <x:c r="Q995" s="31" t="inlineStr">
        <x:is>
          <x:t xml:space="preserve">Запланировано</x:t>
        </x:is>
      </x:c>
      <x:c r="R995" s="31" t="inlineStr">
        <x:is>
          <x:t xml:space="preserve">Нет</x:t>
        </x:is>
      </x:c>
      <x:c r="S995" s="31" t="inlineStr">
        <x:is>
          <x:t xml:space="preserve">Нет</x:t>
        </x:is>
      </x:c>
    </x:row>
    <x:row r="996">
      <x:c r="A996" s="31" t="inlineStr">
        <x:is>
          <x:t xml:space="preserve">ОП-000995</x:t>
        </x:is>
      </x:c>
      <x:c r="B996" s="31" t="inlineStr">
        <x:is>
          <x:t xml:space="preserve">ПЗ-00118</x:t>
        </x:is>
      </x:c>
      <x:c r="C996" s="31" t="inlineStr">
        <x:is>
          <x:t xml:space="preserve">ЗК-1056</x:t>
        </x:is>
      </x:c>
      <x:c r="D996" s="31" t="inlineStr">
        <x:is>
          <x:t xml:space="preserve">ПОЗ-0056-4</x:t>
        </x:is>
      </x:c>
      <x:c r="E996" s="31" t="inlineStr">
        <x:is>
          <x:t xml:space="preserve">ИЗД-040</x:t>
        </x:is>
      </x:c>
      <x:c r="F996" s="31" t="n">
        <x:v>90</x:v>
      </x:c>
      <x:c r="G996" s="31" t="inlineStr">
        <x:is>
          <x:t xml:space="preserve">Упаковка</x:t>
        </x:is>
      </x:c>
      <x:c r="H996" s="31" t="inlineStr">
        <x:is>
          <x:t xml:space="preserve">Логистика</x:t>
        </x:is>
      </x:c>
      <x:c r="I996" s="31" t="n"/>
      <x:c r="J996" s="31" t="inlineStr">
        <x:is>
          <x:t xml:space="preserve">СОТР-103</x:t>
        </x:is>
      </x:c>
      <x:c r="K996" s="31" t="n">
        <x:v>9.199999999999999</x:v>
      </x:c>
      <x:c r="L996" s="31" t="n"/>
      <x:c r="M996" s="31" t="n">
        <x:v>46076</x:v>
      </x:c>
      <x:c r="N996" s="31" t="n">
        <x:v>46077</x:v>
      </x:c>
      <x:c r="O996" s="31" t="n"/>
      <x:c r="P996" s="31" t="n"/>
      <x:c r="Q996" s="31" t="inlineStr">
        <x:is>
          <x:t xml:space="preserve">Запланировано</x:t>
        </x:is>
      </x:c>
      <x:c r="R996" s="31" t="inlineStr">
        <x:is>
          <x:t xml:space="preserve">Нет</x:t>
        </x:is>
      </x:c>
      <x:c r="S996" s="31" t="inlineStr">
        <x:is>
          <x:t xml:space="preserve">Нет</x:t>
        </x:is>
      </x:c>
    </x:row>
    <x:row r="997">
      <x:c r="A997" s="31" t="inlineStr">
        <x:is>
          <x:t xml:space="preserve">ОП-000996</x:t>
        </x:is>
      </x:c>
      <x:c r="B997" s="31" t="inlineStr">
        <x:is>
          <x:t xml:space="preserve">ПЗ-00119</x:t>
        </x:is>
      </x:c>
      <x:c r="C997" s="31" t="inlineStr">
        <x:is>
          <x:t xml:space="preserve">ЗК-1057</x:t>
        </x:is>
      </x:c>
      <x:c r="D997" s="31" t="inlineStr">
        <x:is>
          <x:t xml:space="preserve">ПОЗ-0057-1</x:t>
        </x:is>
      </x:c>
      <x:c r="E997" s="31" t="inlineStr">
        <x:is>
          <x:t xml:space="preserve">ИЗД-041</x:t>
        </x:is>
      </x:c>
      <x:c r="F997" s="31" t="n">
        <x:v>10</x:v>
      </x:c>
      <x:c r="G997" s="31" t="inlineStr">
        <x:is>
          <x:t xml:space="preserve">КД</x:t>
        </x:is>
      </x:c>
      <x:c r="H997" s="31" t="inlineStr">
        <x:is>
          <x:t xml:space="preserve">Инженерный отдел</x:t>
        </x:is>
      </x:c>
      <x:c r="I997" s="31" t="n"/>
      <x:c r="J997" s="31" t="inlineStr">
        <x:is>
          <x:t xml:space="preserve">СОТР-020</x:t>
        </x:is>
      </x:c>
      <x:c r="K997" s="31" t="n">
        <x:v>15</x:v>
      </x:c>
      <x:c r="L997" s="31" t="n">
        <x:v>17.8</x:v>
      </x:c>
      <x:c r="M997" s="31" t="n">
        <x:v>46147</x:v>
      </x:c>
      <x:c r="N997" s="31" t="n">
        <x:v>46149</x:v>
      </x:c>
      <x:c r="O997" s="31" t="n">
        <x:v>46147</x:v>
      </x:c>
      <x:c r="P997" s="31" t="n">
        <x:v>46151</x:v>
      </x:c>
      <x:c r="Q997" s="31" t="inlineStr">
        <x:is>
          <x:t xml:space="preserve">Завершено</x:t>
        </x:is>
      </x:c>
      <x:c r="R997" s="31" t="inlineStr">
        <x:is>
          <x:t xml:space="preserve">Нет</x:t>
        </x:is>
      </x:c>
      <x:c r="S997" s="31" t="inlineStr">
        <x:is>
          <x:t xml:space="preserve">Нет</x:t>
        </x:is>
      </x:c>
    </x:row>
    <x:row r="998">
      <x:c r="A998" s="31" t="inlineStr">
        <x:is>
          <x:t xml:space="preserve">ОП-000997</x:t>
        </x:is>
      </x:c>
      <x:c r="B998" s="31" t="inlineStr">
        <x:is>
          <x:t xml:space="preserve">ПЗ-00119</x:t>
        </x:is>
      </x:c>
      <x:c r="C998" s="31" t="inlineStr">
        <x:is>
          <x:t xml:space="preserve">ЗК-1057</x:t>
        </x:is>
      </x:c>
      <x:c r="D998" s="31" t="inlineStr">
        <x:is>
          <x:t xml:space="preserve">ПОЗ-0057-1</x:t>
        </x:is>
      </x:c>
      <x:c r="E998" s="31" t="inlineStr">
        <x:is>
          <x:t xml:space="preserve">ИЗД-041</x:t>
        </x:is>
      </x:c>
      <x:c r="F998" s="31" t="n">
        <x:v>20</x:v>
      </x:c>
      <x:c r="G998" s="31" t="inlineStr">
        <x:is>
          <x:t xml:space="preserve">Резка металла</x:t>
        </x:is>
      </x:c>
      <x:c r="H998" s="31" t="inlineStr">
        <x:is>
          <x:t xml:space="preserve">Сварка</x:t>
        </x:is>
      </x:c>
      <x:c r="I998" s="31" t="inlineStr">
        <x:is>
          <x:t xml:space="preserve">ОБ-003</x:t>
        </x:is>
      </x:c>
      <x:c r="J998" s="31" t="inlineStr">
        <x:is>
          <x:t xml:space="preserve">СОТР-068</x:t>
        </x:is>
      </x:c>
      <x:c r="K998" s="31" t="n">
        <x:v>2.2</x:v>
      </x:c>
      <x:c r="L998" s="31" t="n">
        <x:v>2.9</x:v>
      </x:c>
      <x:c r="M998" s="31" t="n">
        <x:v>46149</x:v>
      </x:c>
      <x:c r="N998" s="31" t="n">
        <x:v>46150</x:v>
      </x:c>
      <x:c r="O998" s="31" t="n">
        <x:v>46149</x:v>
      </x:c>
      <x:c r="P998" s="31" t="n">
        <x:v>46152</x:v>
      </x:c>
      <x:c r="Q998" s="31" t="inlineStr">
        <x:is>
          <x:t xml:space="preserve">Завершено</x:t>
        </x:is>
      </x:c>
      <x:c r="R998" s="31" t="inlineStr">
        <x:is>
          <x:t xml:space="preserve">Материал</x:t>
        </x:is>
      </x:c>
      <x:c r="S998" s="31" t="inlineStr">
        <x:is>
          <x:t xml:space="preserve">Нет</x:t>
        </x:is>
      </x:c>
    </x:row>
    <x:row r="999">
      <x:c r="A999" s="31" t="inlineStr">
        <x:is>
          <x:t xml:space="preserve">ОП-000998</x:t>
        </x:is>
      </x:c>
      <x:c r="B999" s="31" t="inlineStr">
        <x:is>
          <x:t xml:space="preserve">ПЗ-00119</x:t>
        </x:is>
      </x:c>
      <x:c r="C999" s="31" t="inlineStr">
        <x:is>
          <x:t xml:space="preserve">ЗК-1057</x:t>
        </x:is>
      </x:c>
      <x:c r="D999" s="31" t="inlineStr">
        <x:is>
          <x:t xml:space="preserve">ПОЗ-0057-1</x:t>
        </x:is>
      </x:c>
      <x:c r="E999" s="31" t="inlineStr">
        <x:is>
          <x:t xml:space="preserve">ИЗД-041</x:t>
        </x:is>
      </x:c>
      <x:c r="F999" s="31" t="n">
        <x:v>30</x:v>
      </x:c>
      <x:c r="G999" s="31" t="inlineStr">
        <x:is>
          <x:t xml:space="preserve">Сварка рамы</x:t>
        </x:is>
      </x:c>
      <x:c r="H999" s="31" t="inlineStr">
        <x:is>
          <x:t xml:space="preserve">Сварка</x:t>
        </x:is>
      </x:c>
      <x:c r="I999" s="31" t="inlineStr">
        <x:is>
          <x:t xml:space="preserve">ОБ-003</x:t>
        </x:is>
      </x:c>
      <x:c r="J999" s="31" t="inlineStr">
        <x:is>
          <x:t xml:space="preserve">СОТР-057</x:t>
        </x:is>
      </x:c>
      <x:c r="K999" s="31" t="n">
        <x:v>19</x:v>
      </x:c>
      <x:c r="L999" s="31" t="n">
        <x:v>24.4</x:v>
      </x:c>
      <x:c r="M999" s="31" t="n">
        <x:v>46150</x:v>
      </x:c>
      <x:c r="N999" s="31" t="n">
        <x:v>46152</x:v>
      </x:c>
      <x:c r="O999" s="31" t="n">
        <x:v>46150</x:v>
      </x:c>
      <x:c r="P999" s="31" t="n">
        <x:v>46154</x:v>
      </x:c>
      <x:c r="Q999" s="31" t="inlineStr">
        <x:is>
          <x:t xml:space="preserve">Завершено</x:t>
        </x:is>
      </x:c>
      <x:c r="R999" s="31" t="inlineStr">
        <x:is>
          <x:t xml:space="preserve">Нет</x:t>
        </x:is>
      </x:c>
      <x:c r="S999" s="31" t="inlineStr">
        <x:is>
          <x:t xml:space="preserve">Нет</x:t>
        </x:is>
      </x:c>
    </x:row>
    <x:row r="1000">
      <x:c r="A1000" s="31" t="inlineStr">
        <x:is>
          <x:t xml:space="preserve">ОП-000999</x:t>
        </x:is>
      </x:c>
      <x:c r="B1000" s="31" t="inlineStr">
        <x:is>
          <x:t xml:space="preserve">ПЗ-00119</x:t>
        </x:is>
      </x:c>
      <x:c r="C1000" s="31" t="inlineStr">
        <x:is>
          <x:t xml:space="preserve">ЗК-1057</x:t>
        </x:is>
      </x:c>
      <x:c r="D1000" s="31" t="inlineStr">
        <x:is>
          <x:t xml:space="preserve">ПОЗ-0057-1</x:t>
        </x:is>
      </x:c>
      <x:c r="E1000" s="31" t="inlineStr">
        <x:is>
          <x:t xml:space="preserve">ИЗД-041</x:t>
        </x:is>
      </x:c>
      <x:c r="F1000" s="31" t="n">
        <x:v>40</x:v>
      </x:c>
      <x:c r="G1000" s="31" t="inlineStr">
        <x:is>
          <x:t xml:space="preserve">Пескоструй</x:t>
        </x:is>
      </x:c>
      <x:c r="H1000" s="31" t="inlineStr">
        <x:is>
          <x:t xml:space="preserve">Сварка</x:t>
        </x:is>
      </x:c>
      <x:c r="I1000" s="31" t="inlineStr">
        <x:is>
          <x:t xml:space="preserve">ОБ-004</x:t>
        </x:is>
      </x:c>
      <x:c r="J1000" s="31" t="inlineStr">
        <x:is>
          <x:t xml:space="preserve">СОТР-065</x:t>
        </x:is>
      </x:c>
      <x:c r="K1000" s="31" t="n">
        <x:v>19.8</x:v>
      </x:c>
      <x:c r="L1000" s="31" t="n">
        <x:v>24.4</x:v>
      </x:c>
      <x:c r="M1000" s="31" t="n">
        <x:v>46152</x:v>
      </x:c>
      <x:c r="N1000" s="31" t="n">
        <x:v>46154</x:v>
      </x:c>
      <x:c r="O1000" s="31" t="n">
        <x:v>46152</x:v>
      </x:c>
      <x:c r="P1000" s="31" t="n">
        <x:v>46155</x:v>
      </x:c>
      <x:c r="Q1000" s="31" t="inlineStr">
        <x:is>
          <x:t xml:space="preserve">Завершено</x:t>
        </x:is>
      </x:c>
      <x:c r="R1000" s="31" t="inlineStr">
        <x:is>
          <x:t xml:space="preserve">Нет</x:t>
        </x:is>
      </x:c>
      <x:c r="S1000" s="31" t="inlineStr">
        <x:is>
          <x:t xml:space="preserve">Нет</x:t>
        </x:is>
      </x:c>
    </x:row>
    <x:row r="1001">
      <x:c r="A1001" s="31" t="inlineStr">
        <x:is>
          <x:t xml:space="preserve">ОП-001000</x:t>
        </x:is>
      </x:c>
      <x:c r="B1001" s="31" t="inlineStr">
        <x:is>
          <x:t xml:space="preserve">ПЗ-00119</x:t>
        </x:is>
      </x:c>
      <x:c r="C1001" s="31" t="inlineStr">
        <x:is>
          <x:t xml:space="preserve">ЗК-1057</x:t>
        </x:is>
      </x:c>
      <x:c r="D1001" s="31" t="inlineStr">
        <x:is>
          <x:t xml:space="preserve">ПОЗ-0057-1</x:t>
        </x:is>
      </x:c>
      <x:c r="E1001" s="31" t="inlineStr">
        <x:is>
          <x:t xml:space="preserve">ИЗД-041</x:t>
        </x:is>
      </x:c>
      <x:c r="F1001" s="31" t="n">
        <x:v>50</x:v>
      </x:c>
      <x:c r="G1001" s="31" t="inlineStr">
        <x:is>
          <x:t xml:space="preserve">Покраска</x:t>
        </x:is>
      </x:c>
      <x:c r="H1001" s="31" t="inlineStr">
        <x:is>
          <x:t xml:space="preserve">Сварка</x:t>
        </x:is>
      </x:c>
      <x:c r="I1001" s="31" t="inlineStr">
        <x:is>
          <x:t xml:space="preserve">ОБ-003</x:t>
        </x:is>
      </x:c>
      <x:c r="J1001" s="31" t="inlineStr">
        <x:is>
          <x:t xml:space="preserve">СОТР-057</x:t>
        </x:is>
      </x:c>
      <x:c r="K1001" s="31" t="n">
        <x:v>14.2</x:v>
      </x:c>
      <x:c r="L1001" s="31" t="n">
        <x:v>15.9</x:v>
      </x:c>
      <x:c r="M1001" s="31" t="n">
        <x:v>46154</x:v>
      </x:c>
      <x:c r="N1001" s="31" t="n">
        <x:v>46156</x:v>
      </x:c>
      <x:c r="O1001" s="31" t="n">
        <x:v>46154</x:v>
      </x:c>
      <x:c r="P1001" s="31" t="n">
        <x:v>46156</x:v>
      </x:c>
      <x:c r="Q1001" s="31" t="inlineStr">
        <x:is>
          <x:t xml:space="preserve">Завершено</x:t>
        </x:is>
      </x:c>
      <x:c r="R1001" s="31" t="inlineStr">
        <x:is>
          <x:t xml:space="preserve">Нет</x:t>
        </x:is>
      </x:c>
      <x:c r="S1001" s="31" t="inlineStr">
        <x:is>
          <x:t xml:space="preserve">Нет</x:t>
        </x:is>
      </x:c>
    </x:row>
    <x:row r="1002">
      <x:c r="A1002" s="31" t="inlineStr">
        <x:is>
          <x:t xml:space="preserve">ОП-001001</x:t>
        </x:is>
      </x:c>
      <x:c r="B1002" s="31" t="inlineStr">
        <x:is>
          <x:t xml:space="preserve">ПЗ-00119</x:t>
        </x:is>
      </x:c>
      <x:c r="C1002" s="31" t="inlineStr">
        <x:is>
          <x:t xml:space="preserve">ЗК-1057</x:t>
        </x:is>
      </x:c>
      <x:c r="D1002" s="31" t="inlineStr">
        <x:is>
          <x:t xml:space="preserve">ПОЗ-0057-1</x:t>
        </x:is>
      </x:c>
      <x:c r="E1002" s="31" t="inlineStr">
        <x:is>
          <x:t xml:space="preserve">ИЗД-041</x:t>
        </x:is>
      </x:c>
      <x:c r="F1002" s="31" t="n">
        <x:v>60</x:v>
      </x:c>
      <x:c r="G1002" s="31" t="inlineStr">
        <x:is>
          <x:t xml:space="preserve">ОТК</x:t>
        </x:is>
      </x:c>
      <x:c r="H1002" s="31" t="inlineStr">
        <x:is>
          <x:t xml:space="preserve">ОТК</x:t>
        </x:is>
      </x:c>
      <x:c r="I1002" s="31" t="inlineStr">
        <x:is>
          <x:t xml:space="preserve">ОБ-022</x:t>
        </x:is>
      </x:c>
      <x:c r="J1002" s="31" t="inlineStr">
        <x:is>
          <x:t xml:space="preserve">СОТР-063</x:t>
        </x:is>
      </x:c>
      <x:c r="K1002" s="31" t="n">
        <x:v>6.8</x:v>
      </x:c>
      <x:c r="L1002" s="31" t="n">
        <x:v>9.1</x:v>
      </x:c>
      <x:c r="M1002" s="31" t="n">
        <x:v>46156</x:v>
      </x:c>
      <x:c r="N1002" s="31" t="n">
        <x:v>46157</x:v>
      </x:c>
      <x:c r="O1002" s="31" t="n">
        <x:v>46156</x:v>
      </x:c>
      <x:c r="P1002" s="31" t="n">
        <x:v>46159</x:v>
      </x:c>
      <x:c r="Q1002" s="31" t="inlineStr">
        <x:is>
          <x:t xml:space="preserve">Завершено</x:t>
        </x:is>
      </x:c>
      <x:c r="R1002" s="31" t="inlineStr">
        <x:is>
          <x:t xml:space="preserve">Нет</x:t>
        </x:is>
      </x:c>
      <x:c r="S1002" s="31" t="inlineStr">
        <x:is>
          <x:t xml:space="preserve">Нет</x:t>
        </x:is>
      </x:c>
    </x:row>
    <x:row r="1003">
      <x:c r="A1003" s="31" t="inlineStr">
        <x:is>
          <x:t xml:space="preserve">ОП-001002</x:t>
        </x:is>
      </x:c>
      <x:c r="B1003" s="31" t="inlineStr">
        <x:is>
          <x:t xml:space="preserve">ПЗ-00120</x:t>
        </x:is>
      </x:c>
      <x:c r="C1003" s="31" t="inlineStr">
        <x:is>
          <x:t xml:space="preserve">ЗК-1057</x:t>
        </x:is>
      </x:c>
      <x:c r="D1003" s="31" t="inlineStr">
        <x:is>
          <x:t xml:space="preserve">ПОЗ-0057-2</x:t>
        </x:is>
      </x:c>
      <x:c r="E1003" s="31" t="inlineStr">
        <x:is>
          <x:t xml:space="preserve">ИЗД-018</x:t>
        </x:is>
      </x:c>
      <x:c r="F1003" s="31" t="n">
        <x:v>10</x:v>
      </x:c>
      <x:c r="G1003" s="31" t="inlineStr">
        <x:is>
          <x:t xml:space="preserve">КД</x:t>
        </x:is>
      </x:c>
      <x:c r="H1003" s="31" t="inlineStr">
        <x:is>
          <x:t xml:space="preserve">Инженерный отдел</x:t>
        </x:is>
      </x:c>
      <x:c r="I1003" s="31" t="n"/>
      <x:c r="J1003" s="31" t="inlineStr">
        <x:is>
          <x:t xml:space="preserve">СОТР-017</x:t>
        </x:is>
      </x:c>
      <x:c r="K1003" s="31" t="n">
        <x:v>6.9</x:v>
      </x:c>
      <x:c r="L1003" s="31" t="n">
        <x:v>6.1</x:v>
      </x:c>
      <x:c r="M1003" s="31" t="n">
        <x:v>46158</x:v>
      </x:c>
      <x:c r="N1003" s="31" t="n">
        <x:v>46159</x:v>
      </x:c>
      <x:c r="O1003" s="31" t="n">
        <x:v>46158</x:v>
      </x:c>
      <x:c r="P1003" s="31" t="n">
        <x:v>46158</x:v>
      </x:c>
      <x:c r="Q1003" s="31" t="inlineStr">
        <x:is>
          <x:t xml:space="preserve">Завершено</x:t>
        </x:is>
      </x:c>
      <x:c r="R1003" s="31" t="inlineStr">
        <x:is>
          <x:t xml:space="preserve">Нет</x:t>
        </x:is>
      </x:c>
      <x:c r="S1003" s="31" t="inlineStr">
        <x:is>
          <x:t xml:space="preserve">Нет</x:t>
        </x:is>
      </x:c>
    </x:row>
    <x:row r="1004">
      <x:c r="A1004" s="31" t="inlineStr">
        <x:is>
          <x:t xml:space="preserve">ОП-001003</x:t>
        </x:is>
      </x:c>
      <x:c r="B1004" s="31" t="inlineStr">
        <x:is>
          <x:t xml:space="preserve">ПЗ-00120</x:t>
        </x:is>
      </x:c>
      <x:c r="C1004" s="31" t="inlineStr">
        <x:is>
          <x:t xml:space="preserve">ЗК-1057</x:t>
        </x:is>
      </x:c>
      <x:c r="D1004" s="31" t="inlineStr">
        <x:is>
          <x:t xml:space="preserve">ПОЗ-0057-2</x:t>
        </x:is>
      </x:c>
      <x:c r="E1004" s="31" t="inlineStr">
        <x:is>
          <x:t xml:space="preserve">ИЗД-018</x:t>
        </x:is>
      </x:c>
      <x:c r="F1004" s="31" t="n">
        <x:v>20</x:v>
      </x:c>
      <x:c r="G1004" s="31" t="inlineStr">
        <x:is>
          <x:t xml:space="preserve">Комплектация</x:t>
        </x:is>
      </x:c>
      <x:c r="H1004" s="31" t="inlineStr">
        <x:is>
          <x:t xml:space="preserve">Склад</x:t>
        </x:is>
      </x:c>
      <x:c r="I1004" s="31" t="inlineStr">
        <x:is>
          <x:t xml:space="preserve">ОБ-009</x:t>
        </x:is>
      </x:c>
      <x:c r="J1004" s="31" t="inlineStr">
        <x:is>
          <x:t xml:space="preserve">СОТР-036</x:t>
        </x:is>
      </x:c>
      <x:c r="K1004" s="31" t="n">
        <x:v>16.8</x:v>
      </x:c>
      <x:c r="L1004" s="31" t="n">
        <x:v>15</x:v>
      </x:c>
      <x:c r="M1004" s="31" t="n">
        <x:v>46159</x:v>
      </x:c>
      <x:c r="N1004" s="31" t="n">
        <x:v>46161</x:v>
      </x:c>
      <x:c r="O1004" s="31" t="n">
        <x:v>46159</x:v>
      </x:c>
      <x:c r="P1004" s="31" t="n">
        <x:v>46162</x:v>
      </x:c>
      <x:c r="Q1004" s="31" t="inlineStr">
        <x:is>
          <x:t xml:space="preserve">Завершено</x:t>
        </x:is>
      </x:c>
      <x:c r="R1004" s="31" t="inlineStr">
        <x:is>
          <x:t xml:space="preserve">Нет</x:t>
        </x:is>
      </x:c>
      <x:c r="S1004" s="31" t="inlineStr">
        <x:is>
          <x:t xml:space="preserve">Нет</x:t>
        </x:is>
      </x:c>
    </x:row>
    <x:row r="1005">
      <x:c r="A1005" s="31" t="inlineStr">
        <x:is>
          <x:t xml:space="preserve">ОП-001004</x:t>
        </x:is>
      </x:c>
      <x:c r="B1005" s="31" t="inlineStr">
        <x:is>
          <x:t xml:space="preserve">ПЗ-00120</x:t>
        </x:is>
      </x:c>
      <x:c r="C1005" s="31" t="inlineStr">
        <x:is>
          <x:t xml:space="preserve">ЗК-1057</x:t>
        </x:is>
      </x:c>
      <x:c r="D1005" s="31" t="inlineStr">
        <x:is>
          <x:t xml:space="preserve">ПОЗ-0057-2</x:t>
        </x:is>
      </x:c>
      <x:c r="E1005" s="31" t="inlineStr">
        <x:is>
          <x:t xml:space="preserve">ИЗД-018</x:t>
        </x:is>
      </x:c>
      <x:c r="F1005" s="31" t="n">
        <x:v>30</x:v>
      </x:c>
      <x:c r="G1005" s="31" t="inlineStr">
        <x:is>
          <x:t xml:space="preserve">Сборка шкафа</x:t>
        </x:is>
      </x:c>
      <x:c r="H1005" s="31" t="inlineStr">
        <x:is>
          <x:t xml:space="preserve">Сборка</x:t>
        </x:is>
      </x:c>
      <x:c r="I1005" s="31" t="inlineStr">
        <x:is>
          <x:t xml:space="preserve">ОБ-034</x:t>
        </x:is>
      </x:c>
      <x:c r="J1005" s="31" t="inlineStr">
        <x:is>
          <x:t xml:space="preserve">СОТР-032</x:t>
        </x:is>
      </x:c>
      <x:c r="K1005" s="31" t="n">
        <x:v>6.6</x:v>
      </x:c>
      <x:c r="L1005" s="31" t="n">
        <x:v>7.7</x:v>
      </x:c>
      <x:c r="M1005" s="31" t="n">
        <x:v>46161</x:v>
      </x:c>
      <x:c r="N1005" s="31" t="n">
        <x:v>46162</x:v>
      </x:c>
      <x:c r="O1005" s="31" t="n">
        <x:v>46161</x:v>
      </x:c>
      <x:c r="P1005" s="31" t="n">
        <x:v>46164</x:v>
      </x:c>
      <x:c r="Q1005" s="31" t="inlineStr">
        <x:is>
          <x:t xml:space="preserve">Завершено</x:t>
        </x:is>
      </x:c>
      <x:c r="R1005" s="31" t="inlineStr">
        <x:is>
          <x:t xml:space="preserve">Нет</x:t>
        </x:is>
      </x:c>
      <x:c r="S1005" s="31" t="inlineStr">
        <x:is>
          <x:t xml:space="preserve">Нет</x:t>
        </x:is>
      </x:c>
    </x:row>
    <x:row r="1006">
      <x:c r="A1006" s="31" t="inlineStr">
        <x:is>
          <x:t xml:space="preserve">ОП-001005</x:t>
        </x:is>
      </x:c>
      <x:c r="B1006" s="31" t="inlineStr">
        <x:is>
          <x:t xml:space="preserve">ПЗ-00120</x:t>
        </x:is>
      </x:c>
      <x:c r="C1006" s="31" t="inlineStr">
        <x:is>
          <x:t xml:space="preserve">ЗК-1057</x:t>
        </x:is>
      </x:c>
      <x:c r="D1006" s="31" t="inlineStr">
        <x:is>
          <x:t xml:space="preserve">ПОЗ-0057-2</x:t>
        </x:is>
      </x:c>
      <x:c r="E1006" s="31" t="inlineStr">
        <x:is>
          <x:t xml:space="preserve">ИЗД-018</x:t>
        </x:is>
      </x:c>
      <x:c r="F1006" s="31" t="n">
        <x:v>40</x:v>
      </x:c>
      <x:c r="G1006" s="31" t="inlineStr">
        <x:is>
          <x:t xml:space="preserve">Маркировка</x:t>
        </x:is>
      </x:c>
      <x:c r="H1006" s="31" t="inlineStr">
        <x:is>
          <x:t xml:space="preserve">Сборка</x:t>
        </x:is>
      </x:c>
      <x:c r="I1006" s="31" t="inlineStr">
        <x:is>
          <x:t xml:space="preserve">ОБ-016</x:t>
        </x:is>
      </x:c>
      <x:c r="J1006" s="31" t="inlineStr">
        <x:is>
          <x:t xml:space="preserve">СОТР-074</x:t>
        </x:is>
      </x:c>
      <x:c r="K1006" s="31" t="n">
        <x:v>25.8</x:v>
      </x:c>
      <x:c r="L1006" s="31" t="n">
        <x:v>22.1</x:v>
      </x:c>
      <x:c r="M1006" s="31" t="n">
        <x:v>46162</x:v>
      </x:c>
      <x:c r="N1006" s="31" t="n">
        <x:v>46165</x:v>
      </x:c>
      <x:c r="O1006" s="31" t="n">
        <x:v>46162</x:v>
      </x:c>
      <x:c r="P1006" s="31" t="n">
        <x:v>46164</x:v>
      </x:c>
      <x:c r="Q1006" s="31" t="inlineStr">
        <x:is>
          <x:t xml:space="preserve">Завершено</x:t>
        </x:is>
      </x:c>
      <x:c r="R1006" s="31" t="inlineStr">
        <x:is>
          <x:t xml:space="preserve">Нет</x:t>
        </x:is>
      </x:c>
      <x:c r="S1006" s="31" t="inlineStr">
        <x:is>
          <x:t xml:space="preserve">Нет</x:t>
        </x:is>
      </x:c>
    </x:row>
    <x:row r="1007">
      <x:c r="A1007" s="31" t="inlineStr">
        <x:is>
          <x:t xml:space="preserve">ОП-001006</x:t>
        </x:is>
      </x:c>
      <x:c r="B1007" s="31" t="inlineStr">
        <x:is>
          <x:t xml:space="preserve">ПЗ-00120</x:t>
        </x:is>
      </x:c>
      <x:c r="C1007" s="31" t="inlineStr">
        <x:is>
          <x:t xml:space="preserve">ЗК-1057</x:t>
        </x:is>
      </x:c>
      <x:c r="D1007" s="31" t="inlineStr">
        <x:is>
          <x:t xml:space="preserve">ПОЗ-0057-2</x:t>
        </x:is>
      </x:c>
      <x:c r="E1007" s="31" t="inlineStr">
        <x:is>
          <x:t xml:space="preserve">ИЗД-018</x:t>
        </x:is>
      </x:c>
      <x:c r="F1007" s="31" t="n">
        <x:v>50</x:v>
      </x:c>
      <x:c r="G1007" s="31" t="inlineStr">
        <x:is>
          <x:t xml:space="preserve">Электромонтаж</x:t>
        </x:is>
      </x:c>
      <x:c r="H1007" s="31" t="inlineStr">
        <x:is>
          <x:t xml:space="preserve">Сборка</x:t>
        </x:is>
      </x:c>
      <x:c r="I1007" s="31" t="inlineStr">
        <x:is>
          <x:t xml:space="preserve">ОБ-017</x:t>
        </x:is>
      </x:c>
      <x:c r="J1007" s="31" t="inlineStr">
        <x:is>
          <x:t xml:space="preserve">СОТР-079</x:t>
        </x:is>
      </x:c>
      <x:c r="K1007" s="31" t="n">
        <x:v>11.7</x:v>
      </x:c>
      <x:c r="L1007" s="31" t="n">
        <x:v>12.8</x:v>
      </x:c>
      <x:c r="M1007" s="31" t="n">
        <x:v>46165</x:v>
      </x:c>
      <x:c r="N1007" s="31" t="n">
        <x:v>46166</x:v>
      </x:c>
      <x:c r="O1007" s="31" t="n">
        <x:v>46165</x:v>
      </x:c>
      <x:c r="P1007" s="31" t="n">
        <x:v>46165</x:v>
      </x:c>
      <x:c r="Q1007" s="31" t="inlineStr">
        <x:is>
          <x:t xml:space="preserve">Завершено</x:t>
        </x:is>
      </x:c>
      <x:c r="R1007" s="31" t="inlineStr">
        <x:is>
          <x:t xml:space="preserve">Нет</x:t>
        </x:is>
      </x:c>
      <x:c r="S1007" s="31" t="inlineStr">
        <x:is>
          <x:t xml:space="preserve">Нет</x:t>
        </x:is>
      </x:c>
    </x:row>
    <x:row r="1008">
      <x:c r="A1008" s="31" t="inlineStr">
        <x:is>
          <x:t xml:space="preserve">ОП-001007</x:t>
        </x:is>
      </x:c>
      <x:c r="B1008" s="31" t="inlineStr">
        <x:is>
          <x:t xml:space="preserve">ПЗ-00120</x:t>
        </x:is>
      </x:c>
      <x:c r="C1008" s="31" t="inlineStr">
        <x:is>
          <x:t xml:space="preserve">ЗК-1057</x:t>
        </x:is>
      </x:c>
      <x:c r="D1008" s="31" t="inlineStr">
        <x:is>
          <x:t xml:space="preserve">ПОЗ-0057-2</x:t>
        </x:is>
      </x:c>
      <x:c r="E1008" s="31" t="inlineStr">
        <x:is>
          <x:t xml:space="preserve">ИЗД-018</x:t>
        </x:is>
      </x:c>
      <x:c r="F1008" s="31" t="n">
        <x:v>60</x:v>
      </x:c>
      <x:c r="G1008" s="31" t="inlineStr">
        <x:is>
          <x:t xml:space="preserve">Программирование ПЛК</x:t>
        </x:is>
      </x:c>
      <x:c r="H1008" s="31" t="inlineStr">
        <x:is>
          <x:t xml:space="preserve">Инженерный отдел</x:t>
        </x:is>
      </x:c>
      <x:c r="I1008" s="31" t="n"/>
      <x:c r="J1008" s="31" t="inlineStr">
        <x:is>
          <x:t xml:space="preserve">СОТР-017</x:t>
        </x:is>
      </x:c>
      <x:c r="K1008" s="31" t="n">
        <x:v>19.5</x:v>
      </x:c>
      <x:c r="L1008" s="31" t="n">
        <x:v>18</x:v>
      </x:c>
      <x:c r="M1008" s="31" t="n">
        <x:v>46166</x:v>
      </x:c>
      <x:c r="N1008" s="31" t="n">
        <x:v>46168</x:v>
      </x:c>
      <x:c r="O1008" s="31" t="n">
        <x:v>46166</x:v>
      </x:c>
      <x:c r="P1008" s="31" t="n">
        <x:v>46169</x:v>
      </x:c>
      <x:c r="Q1008" s="31" t="inlineStr">
        <x:is>
          <x:t xml:space="preserve">Завершено</x:t>
        </x:is>
      </x:c>
      <x:c r="R1008" s="31" t="inlineStr">
        <x:is>
          <x:t xml:space="preserve">Нет</x:t>
        </x:is>
      </x:c>
      <x:c r="S1008" s="31" t="inlineStr">
        <x:is>
          <x:t xml:space="preserve">Нет</x:t>
        </x:is>
      </x:c>
    </x:row>
    <x:row r="1009">
      <x:c r="A1009" s="31" t="inlineStr">
        <x:is>
          <x:t xml:space="preserve">ОП-001008</x:t>
        </x:is>
      </x:c>
      <x:c r="B1009" s="31" t="inlineStr">
        <x:is>
          <x:t xml:space="preserve">ПЗ-00120</x:t>
        </x:is>
      </x:c>
      <x:c r="C1009" s="31" t="inlineStr">
        <x:is>
          <x:t xml:space="preserve">ЗК-1057</x:t>
        </x:is>
      </x:c>
      <x:c r="D1009" s="31" t="inlineStr">
        <x:is>
          <x:t xml:space="preserve">ПОЗ-0057-2</x:t>
        </x:is>
      </x:c>
      <x:c r="E1009" s="31" t="inlineStr">
        <x:is>
          <x:t xml:space="preserve">ИЗД-018</x:t>
        </x:is>
      </x:c>
      <x:c r="F1009" s="31" t="n">
        <x:v>70</x:v>
      </x:c>
      <x:c r="G1009" s="31" t="inlineStr">
        <x:is>
          <x:t xml:space="preserve">Приемочные испытания</x:t>
        </x:is>
      </x:c>
      <x:c r="H1009" s="31" t="inlineStr">
        <x:is>
          <x:t xml:space="preserve">ОТК</x:t>
        </x:is>
      </x:c>
      <x:c r="I1009" s="31" t="inlineStr">
        <x:is>
          <x:t xml:space="preserve">ОБ-033</x:t>
        </x:is>
      </x:c>
      <x:c r="J1009" s="31" t="inlineStr">
        <x:is>
          <x:t xml:space="preserve">СОТР-100</x:t>
        </x:is>
      </x:c>
      <x:c r="K1009" s="31" t="n">
        <x:v>29.7</x:v>
      </x:c>
      <x:c r="L1009" s="31" t="n">
        <x:v>35.6</x:v>
      </x:c>
      <x:c r="M1009" s="31" t="n">
        <x:v>46168</x:v>
      </x:c>
      <x:c r="N1009" s="31" t="n">
        <x:v>46171</x:v>
      </x:c>
      <x:c r="O1009" s="31" t="n">
        <x:v>46168</x:v>
      </x:c>
      <x:c r="P1009" s="31" t="n">
        <x:v>46171</x:v>
      </x:c>
      <x:c r="Q1009" s="31" t="inlineStr">
        <x:is>
          <x:t xml:space="preserve">Завершено</x:t>
        </x:is>
      </x:c>
      <x:c r="R1009" s="31" t="inlineStr">
        <x:is>
          <x:t xml:space="preserve">Нет</x:t>
        </x:is>
      </x:c>
      <x:c r="S1009" s="31" t="inlineStr">
        <x:is>
          <x:t xml:space="preserve">Нет</x:t>
        </x:is>
      </x:c>
    </x:row>
    <x:row r="1010">
      <x:c r="A1010" s="31" t="inlineStr">
        <x:is>
          <x:t xml:space="preserve">ОП-001009</x:t>
        </x:is>
      </x:c>
      <x:c r="B1010" s="31" t="inlineStr">
        <x:is>
          <x:t xml:space="preserve">ПЗ-00120</x:t>
        </x:is>
      </x:c>
      <x:c r="C1010" s="31" t="inlineStr">
        <x:is>
          <x:t xml:space="preserve">ЗК-1057</x:t>
        </x:is>
      </x:c>
      <x:c r="D1010" s="31" t="inlineStr">
        <x:is>
          <x:t xml:space="preserve">ПОЗ-0057-2</x:t>
        </x:is>
      </x:c>
      <x:c r="E1010" s="31" t="inlineStr">
        <x:is>
          <x:t xml:space="preserve">ИЗД-018</x:t>
        </x:is>
      </x:c>
      <x:c r="F1010" s="31" t="n">
        <x:v>80</x:v>
      </x:c>
      <x:c r="G1010" s="31" t="inlineStr">
        <x:is>
          <x:t xml:space="preserve">ОТК</x:t>
        </x:is>
      </x:c>
      <x:c r="H1010" s="31" t="inlineStr">
        <x:is>
          <x:t xml:space="preserve">ОТК</x:t>
        </x:is>
      </x:c>
      <x:c r="I1010" s="31" t="inlineStr">
        <x:is>
          <x:t xml:space="preserve">ОБ-006</x:t>
        </x:is>
      </x:c>
      <x:c r="J1010" s="31" t="inlineStr">
        <x:is>
          <x:t xml:space="preserve">СОТР-098</x:t>
        </x:is>
      </x:c>
      <x:c r="K1010" s="31" t="n">
        <x:v>9.300000000000001</x:v>
      </x:c>
      <x:c r="L1010" s="31" t="n">
        <x:v>12.5</x:v>
      </x:c>
      <x:c r="M1010" s="31" t="n">
        <x:v>46171</x:v>
      </x:c>
      <x:c r="N1010" s="31" t="n">
        <x:v>46172</x:v>
      </x:c>
      <x:c r="O1010" s="31" t="n">
        <x:v>46171</x:v>
      </x:c>
      <x:c r="P1010" s="31" t="n">
        <x:v>46171</x:v>
      </x:c>
      <x:c r="Q1010" s="31" t="inlineStr">
        <x:is>
          <x:t xml:space="preserve">Завершено</x:t>
        </x:is>
      </x:c>
      <x:c r="R1010" s="31" t="inlineStr">
        <x:is>
          <x:t xml:space="preserve">Нет</x:t>
        </x:is>
      </x:c>
      <x:c r="S1010" s="31" t="inlineStr">
        <x:is>
          <x:t xml:space="preserve">Да</x:t>
        </x:is>
      </x:c>
    </x:row>
    <x:row r="1011">
      <x:c r="A1011" s="31" t="inlineStr">
        <x:is>
          <x:t xml:space="preserve">ОП-001010</x:t>
        </x:is>
      </x:c>
      <x:c r="B1011" s="31" t="inlineStr">
        <x:is>
          <x:t xml:space="preserve">ПЗ-00120</x:t>
        </x:is>
      </x:c>
      <x:c r="C1011" s="31" t="inlineStr">
        <x:is>
          <x:t xml:space="preserve">ЗК-1057</x:t>
        </x:is>
      </x:c>
      <x:c r="D1011" s="31" t="inlineStr">
        <x:is>
          <x:t xml:space="preserve">ПОЗ-0057-2</x:t>
        </x:is>
      </x:c>
      <x:c r="E1011" s="31" t="inlineStr">
        <x:is>
          <x:t xml:space="preserve">ИЗД-018</x:t>
        </x:is>
      </x:c>
      <x:c r="F1011" s="31" t="n">
        <x:v>90</x:v>
      </x:c>
      <x:c r="G1011" s="31" t="inlineStr">
        <x:is>
          <x:t xml:space="preserve">Упаковка</x:t>
        </x:is>
      </x:c>
      <x:c r="H1011" s="31" t="inlineStr">
        <x:is>
          <x:t xml:space="preserve">Логистика</x:t>
        </x:is>
      </x:c>
      <x:c r="I1011" s="31" t="n"/>
      <x:c r="J1011" s="31" t="inlineStr">
        <x:is>
          <x:t xml:space="preserve">СОТР-070</x:t>
        </x:is>
      </x:c>
      <x:c r="K1011" s="31" t="n">
        <x:v>6.9</x:v>
      </x:c>
      <x:c r="L1011" s="31" t="n">
        <x:v>8.6</x:v>
      </x:c>
      <x:c r="M1011" s="31" t="n">
        <x:v>46172</x:v>
      </x:c>
      <x:c r="N1011" s="31" t="n">
        <x:v>46173</x:v>
      </x:c>
      <x:c r="O1011" s="31" t="n">
        <x:v>46172</x:v>
      </x:c>
      <x:c r="P1011" s="31" t="n">
        <x:v>46172</x:v>
      </x:c>
      <x:c r="Q1011" s="31" t="inlineStr">
        <x:is>
          <x:t xml:space="preserve">Завершено</x:t>
        </x:is>
      </x:c>
      <x:c r="R1011" s="31" t="inlineStr">
        <x:is>
          <x:t xml:space="preserve">КД</x:t>
        </x:is>
      </x:c>
      <x:c r="S1011" s="31" t="inlineStr">
        <x:is>
          <x:t xml:space="preserve">Нет</x:t>
        </x:is>
      </x:c>
    </x:row>
    <x:row r="1012">
      <x:c r="A1012" s="31" t="inlineStr">
        <x:is>
          <x:t xml:space="preserve">ОП-001011</x:t>
        </x:is>
      </x:c>
      <x:c r="B1012" s="31" t="inlineStr">
        <x:is>
          <x:t xml:space="preserve">ПЗ-00121</x:t>
        </x:is>
      </x:c>
      <x:c r="C1012" s="31" t="inlineStr">
        <x:is>
          <x:t xml:space="preserve">ЗК-1059</x:t>
        </x:is>
      </x:c>
      <x:c r="D1012" s="31" t="inlineStr">
        <x:is>
          <x:t xml:space="preserve">ПОЗ-0059-1</x:t>
        </x:is>
      </x:c>
      <x:c r="E1012" s="31" t="inlineStr">
        <x:is>
          <x:t xml:space="preserve">ИЗД-009</x:t>
        </x:is>
      </x:c>
      <x:c r="F1012" s="31" t="n">
        <x:v>10</x:v>
      </x:c>
      <x:c r="G1012" s="31" t="inlineStr">
        <x:is>
          <x:t xml:space="preserve">КД</x:t>
        </x:is>
      </x:c>
      <x:c r="H1012" s="31" t="inlineStr">
        <x:is>
          <x:t xml:space="preserve">Инженерный отдел</x:t>
        </x:is>
      </x:c>
      <x:c r="I1012" s="31" t="n"/>
      <x:c r="J1012" s="31" t="inlineStr">
        <x:is>
          <x:t xml:space="preserve">СОТР-015</x:t>
        </x:is>
      </x:c>
      <x:c r="K1012" s="31" t="n">
        <x:v>72.8</x:v>
      </x:c>
      <x:c r="L1012" s="31" t="n">
        <x:v>91.2</x:v>
      </x:c>
      <x:c r="M1012" s="31" t="n">
        <x:v>46185</x:v>
      </x:c>
      <x:c r="N1012" s="31" t="n">
        <x:v>46192</x:v>
      </x:c>
      <x:c r="O1012" s="31" t="n">
        <x:v>46185</x:v>
      </x:c>
      <x:c r="P1012" s="31" t="n">
        <x:v>46191</x:v>
      </x:c>
      <x:c r="Q1012" s="31" t="inlineStr">
        <x:is>
          <x:t xml:space="preserve">Завершено</x:t>
        </x:is>
      </x:c>
      <x:c r="R1012" s="31" t="inlineStr">
        <x:is>
          <x:t xml:space="preserve">Нет</x:t>
        </x:is>
      </x:c>
      <x:c r="S1012" s="31" t="inlineStr">
        <x:is>
          <x:t xml:space="preserve">Нет</x:t>
        </x:is>
      </x:c>
    </x:row>
    <x:row r="1013">
      <x:c r="A1013" s="31" t="inlineStr">
        <x:is>
          <x:t xml:space="preserve">ОП-001012</x:t>
        </x:is>
      </x:c>
      <x:c r="B1013" s="31" t="inlineStr">
        <x:is>
          <x:t xml:space="preserve">ПЗ-00121</x:t>
        </x:is>
      </x:c>
      <x:c r="C1013" s="31" t="inlineStr">
        <x:is>
          <x:t xml:space="preserve">ЗК-1059</x:t>
        </x:is>
      </x:c>
      <x:c r="D1013" s="31" t="inlineStr">
        <x:is>
          <x:t xml:space="preserve">ПОЗ-0059-1</x:t>
        </x:is>
      </x:c>
      <x:c r="E1013" s="31" t="inlineStr">
        <x:is>
          <x:t xml:space="preserve">ИЗД-009</x:t>
        </x:is>
      </x:c>
      <x:c r="F1013" s="31" t="n">
        <x:v>20</x:v>
      </x:c>
      <x:c r="G1013" s="31" t="inlineStr">
        <x:is>
          <x:t xml:space="preserve">Резка труб</x:t>
        </x:is>
      </x:c>
      <x:c r="H1013" s="31" t="inlineStr">
        <x:is>
          <x:t xml:space="preserve">Сварка</x:t>
        </x:is>
      </x:c>
      <x:c r="I1013" s="31" t="inlineStr">
        <x:is>
          <x:t xml:space="preserve">ОБ-021</x:t>
        </x:is>
      </x:c>
      <x:c r="J1013" s="31" t="inlineStr">
        <x:is>
          <x:t xml:space="preserve">СОТР-068</x:t>
        </x:is>
      </x:c>
      <x:c r="K1013" s="31" t="n">
        <x:v>53.2</x:v>
      </x:c>
      <x:c r="L1013" s="31" t="n">
        <x:v>44.1</x:v>
      </x:c>
      <x:c r="M1013" s="31" t="n">
        <x:v>46192</x:v>
      </x:c>
      <x:c r="N1013" s="31" t="n">
        <x:v>46197</x:v>
      </x:c>
      <x:c r="O1013" s="31" t="n">
        <x:v>46192</x:v>
      </x:c>
      <x:c r="P1013" s="31" t="n">
        <x:v>46199</x:v>
      </x:c>
      <x:c r="Q1013" s="31" t="inlineStr">
        <x:is>
          <x:t xml:space="preserve">Завершено</x:t>
        </x:is>
      </x:c>
      <x:c r="R1013" s="31" t="inlineStr">
        <x:is>
          <x:t xml:space="preserve">Нет</x:t>
        </x:is>
      </x:c>
      <x:c r="S1013" s="31" t="inlineStr">
        <x:is>
          <x:t xml:space="preserve">Нет</x:t>
        </x:is>
      </x:c>
    </x:row>
    <x:row r="1014">
      <x:c r="A1014" s="31" t="inlineStr">
        <x:is>
          <x:t xml:space="preserve">ОП-001013</x:t>
        </x:is>
      </x:c>
      <x:c r="B1014" s="31" t="inlineStr">
        <x:is>
          <x:t xml:space="preserve">ПЗ-00121</x:t>
        </x:is>
      </x:c>
      <x:c r="C1014" s="31" t="inlineStr">
        <x:is>
          <x:t xml:space="preserve">ЗК-1059</x:t>
        </x:is>
      </x:c>
      <x:c r="D1014" s="31" t="inlineStr">
        <x:is>
          <x:t xml:space="preserve">ПОЗ-0059-1</x:t>
        </x:is>
      </x:c>
      <x:c r="E1014" s="31" t="inlineStr">
        <x:is>
          <x:t xml:space="preserve">ИЗД-009</x:t>
        </x:is>
      </x:c>
      <x:c r="F1014" s="31" t="n">
        <x:v>30</x:v>
      </x:c>
      <x:c r="G1014" s="31" t="inlineStr">
        <x:is>
          <x:t xml:space="preserve">Сварка</x:t>
        </x:is>
      </x:c>
      <x:c r="H1014" s="31" t="inlineStr">
        <x:is>
          <x:t xml:space="preserve">Сварка</x:t>
        </x:is>
      </x:c>
      <x:c r="I1014" s="31" t="inlineStr">
        <x:is>
          <x:t xml:space="preserve">ОБ-026</x:t>
        </x:is>
      </x:c>
      <x:c r="J1014" s="31" t="inlineStr">
        <x:is>
          <x:t xml:space="preserve">СОТР-068</x:t>
        </x:is>
      </x:c>
      <x:c r="K1014" s="31" t="n">
        <x:v>67.59999999999999</x:v>
      </x:c>
      <x:c r="L1014" s="31" t="n">
        <x:v>58</x:v>
      </x:c>
      <x:c r="M1014" s="31" t="n">
        <x:v>46197</x:v>
      </x:c>
      <x:c r="N1014" s="31" t="n">
        <x:v>46203</x:v>
      </x:c>
      <x:c r="O1014" s="31" t="n">
        <x:v>46197</x:v>
      </x:c>
      <x:c r="P1014" s="31" t="n">
        <x:v>46203</x:v>
      </x:c>
      <x:c r="Q1014" s="31" t="inlineStr">
        <x:is>
          <x:t xml:space="preserve">Завершено</x:t>
        </x:is>
      </x:c>
      <x:c r="R1014" s="31" t="inlineStr">
        <x:is>
          <x:t xml:space="preserve">Нет</x:t>
        </x:is>
      </x:c>
      <x:c r="S1014" s="31" t="inlineStr">
        <x:is>
          <x:t xml:space="preserve">Нет</x:t>
        </x:is>
      </x:c>
    </x:row>
    <x:row r="1015">
      <x:c r="A1015" s="31" t="inlineStr">
        <x:is>
          <x:t xml:space="preserve">ОП-001014</x:t>
        </x:is>
      </x:c>
      <x:c r="B1015" s="31" t="inlineStr">
        <x:is>
          <x:t xml:space="preserve">ПЗ-00121</x:t>
        </x:is>
      </x:c>
      <x:c r="C1015" s="31" t="inlineStr">
        <x:is>
          <x:t xml:space="preserve">ЗК-1059</x:t>
        </x:is>
      </x:c>
      <x:c r="D1015" s="31" t="inlineStr">
        <x:is>
          <x:t xml:space="preserve">ПОЗ-0059-1</x:t>
        </x:is>
      </x:c>
      <x:c r="E1015" s="31" t="inlineStr">
        <x:is>
          <x:t xml:space="preserve">ИЗД-009</x:t>
        </x:is>
      </x:c>
      <x:c r="F1015" s="31" t="n">
        <x:v>40</x:v>
      </x:c>
      <x:c r="G1015" s="31" t="inlineStr">
        <x:is>
          <x:t xml:space="preserve">НК сварных швов</x:t>
        </x:is>
      </x:c>
      <x:c r="H1015" s="31" t="inlineStr">
        <x:is>
          <x:t xml:space="preserve">ОТК</x:t>
        </x:is>
      </x:c>
      <x:c r="I1015" s="31" t="inlineStr">
        <x:is>
          <x:t xml:space="preserve">ОБ-006</x:t>
        </x:is>
      </x:c>
      <x:c r="J1015" s="31" t="inlineStr">
        <x:is>
          <x:t xml:space="preserve">СОТР-063</x:t>
        </x:is>
      </x:c>
      <x:c r="K1015" s="31" t="n">
        <x:v>75.2</x:v>
      </x:c>
      <x:c r="L1015" s="31" t="n">
        <x:v>63.9</x:v>
      </x:c>
      <x:c r="M1015" s="31" t="n">
        <x:v>46203</x:v>
      </x:c>
      <x:c r="N1015" s="31" t="n">
        <x:v>46210</x:v>
      </x:c>
      <x:c r="O1015" s="31" t="n">
        <x:v>46203</x:v>
      </x:c>
      <x:c r="P1015" s="31" t="n">
        <x:v>46209</x:v>
      </x:c>
      <x:c r="Q1015" s="31" t="inlineStr">
        <x:is>
          <x:t xml:space="preserve">Завершено</x:t>
        </x:is>
      </x:c>
      <x:c r="R1015" s="31" t="inlineStr">
        <x:is>
          <x:t xml:space="preserve">Нет</x:t>
        </x:is>
      </x:c>
      <x:c r="S1015" s="31" t="inlineStr">
        <x:is>
          <x:t xml:space="preserve">Да</x:t>
        </x:is>
      </x:c>
    </x:row>
    <x:row r="1016">
      <x:c r="A1016" s="31" t="inlineStr">
        <x:is>
          <x:t xml:space="preserve">ОП-001015</x:t>
        </x:is>
      </x:c>
      <x:c r="B1016" s="31" t="inlineStr">
        <x:is>
          <x:t xml:space="preserve">ПЗ-00121</x:t>
        </x:is>
      </x:c>
      <x:c r="C1016" s="31" t="inlineStr">
        <x:is>
          <x:t xml:space="preserve">ЗК-1059</x:t>
        </x:is>
      </x:c>
      <x:c r="D1016" s="31" t="inlineStr">
        <x:is>
          <x:t xml:space="preserve">ПОЗ-0059-1</x:t>
        </x:is>
      </x:c>
      <x:c r="E1016" s="31" t="inlineStr">
        <x:is>
          <x:t xml:space="preserve">ИЗД-009</x:t>
        </x:is>
      </x:c>
      <x:c r="F1016" s="31" t="n">
        <x:v>50</x:v>
      </x:c>
      <x:c r="G1016" s="31" t="inlineStr">
        <x:is>
          <x:t xml:space="preserve">Гидроиспытания</x:t>
        </x:is>
      </x:c>
      <x:c r="H1016" s="31" t="inlineStr">
        <x:is>
          <x:t xml:space="preserve">ОТК</x:t>
        </x:is>
      </x:c>
      <x:c r="I1016" s="31" t="inlineStr">
        <x:is>
          <x:t xml:space="preserve">ОБ-006</x:t>
        </x:is>
      </x:c>
      <x:c r="J1016" s="31" t="inlineStr">
        <x:is>
          <x:t xml:space="preserve">СОТР-095</x:t>
        </x:is>
      </x:c>
      <x:c r="K1016" s="31" t="n">
        <x:v>48.4</x:v>
      </x:c>
      <x:c r="L1016" s="31" t="n">
        <x:v>63.2</x:v>
      </x:c>
      <x:c r="M1016" s="31" t="n">
        <x:v>46210</x:v>
      </x:c>
      <x:c r="N1016" s="31" t="n">
        <x:v>46215</x:v>
      </x:c>
      <x:c r="O1016" s="31" t="n">
        <x:v>46210</x:v>
      </x:c>
      <x:c r="P1016" s="31" t="n">
        <x:v>46216</x:v>
      </x:c>
      <x:c r="Q1016" s="31" t="inlineStr">
        <x:is>
          <x:t xml:space="preserve">Завершено</x:t>
        </x:is>
      </x:c>
      <x:c r="R1016" s="31" t="inlineStr">
        <x:is>
          <x:t xml:space="preserve">Нет</x:t>
        </x:is>
      </x:c>
      <x:c r="S1016" s="31" t="inlineStr">
        <x:is>
          <x:t xml:space="preserve">Нет</x:t>
        </x:is>
      </x:c>
    </x:row>
    <x:row r="1017">
      <x:c r="A1017" s="31" t="inlineStr">
        <x:is>
          <x:t xml:space="preserve">ОП-001016</x:t>
        </x:is>
      </x:c>
      <x:c r="B1017" s="31" t="inlineStr">
        <x:is>
          <x:t xml:space="preserve">ПЗ-00121</x:t>
        </x:is>
      </x:c>
      <x:c r="C1017" s="31" t="inlineStr">
        <x:is>
          <x:t xml:space="preserve">ЗК-1059</x:t>
        </x:is>
      </x:c>
      <x:c r="D1017" s="31" t="inlineStr">
        <x:is>
          <x:t xml:space="preserve">ПОЗ-0059-1</x:t>
        </x:is>
      </x:c>
      <x:c r="E1017" s="31" t="inlineStr">
        <x:is>
          <x:t xml:space="preserve">ИЗД-009</x:t>
        </x:is>
      </x:c>
      <x:c r="F1017" s="31" t="n">
        <x:v>60</x:v>
      </x:c>
      <x:c r="G1017" s="31" t="inlineStr">
        <x:is>
          <x:t xml:space="preserve">Покраска</x:t>
        </x:is>
      </x:c>
      <x:c r="H1017" s="31" t="inlineStr">
        <x:is>
          <x:t xml:space="preserve">Сварка</x:t>
        </x:is>
      </x:c>
      <x:c r="I1017" s="31" t="inlineStr">
        <x:is>
          <x:t xml:space="preserve">ОБ-003</x:t>
        </x:is>
      </x:c>
      <x:c r="J1017" s="31" t="inlineStr">
        <x:is>
          <x:t xml:space="preserve">СОТР-057</x:t>
        </x:is>
      </x:c>
      <x:c r="K1017" s="31" t="n">
        <x:v>38.8</x:v>
      </x:c>
      <x:c r="L1017" s="31" t="n">
        <x:v>47</x:v>
      </x:c>
      <x:c r="M1017" s="31" t="n">
        <x:v>46215</x:v>
      </x:c>
      <x:c r="N1017" s="31" t="n">
        <x:v>46219</x:v>
      </x:c>
      <x:c r="O1017" s="31" t="n">
        <x:v>46215</x:v>
      </x:c>
      <x:c r="P1017" s="31" t="n">
        <x:v>46221</x:v>
      </x:c>
      <x:c r="Q1017" s="31" t="inlineStr">
        <x:is>
          <x:t xml:space="preserve">Завершено</x:t>
        </x:is>
      </x:c>
      <x:c r="R1017" s="31" t="inlineStr">
        <x:is>
          <x:t xml:space="preserve">Нет</x:t>
        </x:is>
      </x:c>
      <x:c r="S1017" s="31" t="inlineStr">
        <x:is>
          <x:t xml:space="preserve">Нет</x:t>
        </x:is>
      </x:c>
    </x:row>
    <x:row r="1018">
      <x:c r="A1018" s="31" t="inlineStr">
        <x:is>
          <x:t xml:space="preserve">ОП-001017</x:t>
        </x:is>
      </x:c>
      <x:c r="B1018" s="31" t="inlineStr">
        <x:is>
          <x:t xml:space="preserve">ПЗ-00121</x:t>
        </x:is>
      </x:c>
      <x:c r="C1018" s="31" t="inlineStr">
        <x:is>
          <x:t xml:space="preserve">ЗК-1059</x:t>
        </x:is>
      </x:c>
      <x:c r="D1018" s="31" t="inlineStr">
        <x:is>
          <x:t xml:space="preserve">ПОЗ-0059-1</x:t>
        </x:is>
      </x:c>
      <x:c r="E1018" s="31" t="inlineStr">
        <x:is>
          <x:t xml:space="preserve">ИЗД-009</x:t>
        </x:is>
      </x:c>
      <x:c r="F1018" s="31" t="n">
        <x:v>70</x:v>
      </x:c>
      <x:c r="G1018" s="31" t="inlineStr">
        <x:is>
          <x:t xml:space="preserve">ОТК</x:t>
        </x:is>
      </x:c>
      <x:c r="H1018" s="31" t="inlineStr">
        <x:is>
          <x:t xml:space="preserve">ОТК</x:t>
        </x:is>
      </x:c>
      <x:c r="I1018" s="31" t="inlineStr">
        <x:is>
          <x:t xml:space="preserve">ОБ-028</x:t>
        </x:is>
      </x:c>
      <x:c r="J1018" s="31" t="inlineStr">
        <x:is>
          <x:t xml:space="preserve">СОТР-100</x:t>
        </x:is>
      </x:c>
      <x:c r="K1018" s="31" t="n">
        <x:v>28</x:v>
      </x:c>
      <x:c r="L1018" s="31" t="n">
        <x:v>23.1</x:v>
      </x:c>
      <x:c r="M1018" s="31" t="n">
        <x:v>46219</x:v>
      </x:c>
      <x:c r="N1018" s="31" t="n">
        <x:v>46222</x:v>
      </x:c>
      <x:c r="O1018" s="31" t="n">
        <x:v>46219</x:v>
      </x:c>
      <x:c r="P1018" s="31" t="n">
        <x:v>46224</x:v>
      </x:c>
      <x:c r="Q1018" s="31" t="inlineStr">
        <x:is>
          <x:t xml:space="preserve">Завершено</x:t>
        </x:is>
      </x:c>
      <x:c r="R1018" s="31" t="inlineStr">
        <x:is>
          <x:t xml:space="preserve">Нет</x:t>
        </x:is>
      </x:c>
      <x:c r="S1018" s="31" t="inlineStr">
        <x:is>
          <x:t xml:space="preserve">Да</x:t>
        </x:is>
      </x:c>
    </x:row>
    <x:row r="1019">
      <x:c r="A1019" s="31" t="inlineStr">
        <x:is>
          <x:t xml:space="preserve">ОП-001018</x:t>
        </x:is>
      </x:c>
      <x:c r="B1019" s="31" t="inlineStr">
        <x:is>
          <x:t xml:space="preserve">ПЗ-00122</x:t>
        </x:is>
      </x:c>
      <x:c r="C1019" s="31" t="inlineStr">
        <x:is>
          <x:t xml:space="preserve">ЗК-1059</x:t>
        </x:is>
      </x:c>
      <x:c r="D1019" s="31" t="inlineStr">
        <x:is>
          <x:t xml:space="preserve">ПОЗ-0059-2</x:t>
        </x:is>
      </x:c>
      <x:c r="E1019" s="31" t="inlineStr">
        <x:is>
          <x:t xml:space="preserve">ИЗД-006</x:t>
        </x:is>
      </x:c>
      <x:c r="F1019" s="31" t="n">
        <x:v>10</x:v>
      </x:c>
      <x:c r="G1019" s="31" t="inlineStr">
        <x:is>
          <x:t xml:space="preserve">КД</x:t>
        </x:is>
      </x:c>
      <x:c r="H1019" s="31" t="inlineStr">
        <x:is>
          <x:t xml:space="preserve">Инженерный отдел</x:t>
        </x:is>
      </x:c>
      <x:c r="I1019" s="31" t="n"/>
      <x:c r="J1019" s="31" t="inlineStr">
        <x:is>
          <x:t xml:space="preserve">СОТР-019</x:t>
        </x:is>
      </x:c>
      <x:c r="K1019" s="31" t="n">
        <x:v>30.6</x:v>
      </x:c>
      <x:c r="L1019" s="31" t="n">
        <x:v>40</x:v>
      </x:c>
      <x:c r="M1019" s="31" t="n">
        <x:v>46192</x:v>
      </x:c>
      <x:c r="N1019" s="31" t="n">
        <x:v>46195</x:v>
      </x:c>
      <x:c r="O1019" s="31" t="n">
        <x:v>46192</x:v>
      </x:c>
      <x:c r="P1019" s="31" t="n">
        <x:v>46196</x:v>
      </x:c>
      <x:c r="Q1019" s="31" t="inlineStr">
        <x:is>
          <x:t xml:space="preserve">Завершено</x:t>
        </x:is>
      </x:c>
      <x:c r="R1019" s="31" t="inlineStr">
        <x:is>
          <x:t xml:space="preserve">Нет</x:t>
        </x:is>
      </x:c>
      <x:c r="S1019" s="31" t="inlineStr">
        <x:is>
          <x:t xml:space="preserve">Нет</x:t>
        </x:is>
      </x:c>
    </x:row>
    <x:row r="1020">
      <x:c r="A1020" s="31" t="inlineStr">
        <x:is>
          <x:t xml:space="preserve">ОП-001019</x:t>
        </x:is>
      </x:c>
      <x:c r="B1020" s="31" t="inlineStr">
        <x:is>
          <x:t xml:space="preserve">ПЗ-00122</x:t>
        </x:is>
      </x:c>
      <x:c r="C1020" s="31" t="inlineStr">
        <x:is>
          <x:t xml:space="preserve">ЗК-1059</x:t>
        </x:is>
      </x:c>
      <x:c r="D1020" s="31" t="inlineStr">
        <x:is>
          <x:t xml:space="preserve">ПОЗ-0059-2</x:t>
        </x:is>
      </x:c>
      <x:c r="E1020" s="31" t="inlineStr">
        <x:is>
          <x:t xml:space="preserve">ИЗД-006</x:t>
        </x:is>
      </x:c>
      <x:c r="F1020" s="31" t="n">
        <x:v>20</x:v>
      </x:c>
      <x:c r="G1020" s="31" t="inlineStr">
        <x:is>
          <x:t xml:space="preserve">Резерв материалов</x:t>
        </x:is>
      </x:c>
      <x:c r="H1020" s="31" t="inlineStr">
        <x:is>
          <x:t xml:space="preserve">Склад</x:t>
        </x:is>
      </x:c>
      <x:c r="I1020" s="31" t="inlineStr">
        <x:is>
          <x:t xml:space="preserve">ОБ-025</x:t>
        </x:is>
      </x:c>
      <x:c r="J1020" s="31" t="inlineStr">
        <x:is>
          <x:t xml:space="preserve">СОТР-039</x:t>
        </x:is>
      </x:c>
      <x:c r="K1020" s="31" t="n">
        <x:v>4.6</x:v>
      </x:c>
      <x:c r="L1020" s="31" t="n">
        <x:v>4.2</x:v>
      </x:c>
      <x:c r="M1020" s="31" t="n">
        <x:v>46195</x:v>
      </x:c>
      <x:c r="N1020" s="31" t="n">
        <x:v>46196</x:v>
      </x:c>
      <x:c r="O1020" s="31" t="n">
        <x:v>46195</x:v>
      </x:c>
      <x:c r="P1020" s="31" t="n">
        <x:v>46197</x:v>
      </x:c>
      <x:c r="Q1020" s="31" t="inlineStr">
        <x:is>
          <x:t xml:space="preserve">Завершено</x:t>
        </x:is>
      </x:c>
      <x:c r="R1020" s="31" t="inlineStr">
        <x:is>
          <x:t xml:space="preserve">Нет</x:t>
        </x:is>
      </x:c>
      <x:c r="S1020" s="31" t="inlineStr">
        <x:is>
          <x:t xml:space="preserve">Нет</x:t>
        </x:is>
      </x:c>
    </x:row>
    <x:row r="1021">
      <x:c r="A1021" s="31" t="inlineStr">
        <x:is>
          <x:t xml:space="preserve">ОП-001020</x:t>
        </x:is>
      </x:c>
      <x:c r="B1021" s="31" t="inlineStr">
        <x:is>
          <x:t xml:space="preserve">ПЗ-00122</x:t>
        </x:is>
      </x:c>
      <x:c r="C1021" s="31" t="inlineStr">
        <x:is>
          <x:t xml:space="preserve">ЗК-1059</x:t>
        </x:is>
      </x:c>
      <x:c r="D1021" s="31" t="inlineStr">
        <x:is>
          <x:t xml:space="preserve">ПОЗ-0059-2</x:t>
        </x:is>
      </x:c>
      <x:c r="E1021" s="31" t="inlineStr">
        <x:is>
          <x:t xml:space="preserve">ИЗД-006</x:t>
        </x:is>
      </x:c>
      <x:c r="F1021" s="31" t="n">
        <x:v>30</x:v>
      </x:c>
      <x:c r="G1021" s="31" t="inlineStr">
        <x:is>
          <x:t xml:space="preserve">Резка металла</x:t>
        </x:is>
      </x:c>
      <x:c r="H1021" s="31" t="inlineStr">
        <x:is>
          <x:t xml:space="preserve">Сварка</x:t>
        </x:is>
      </x:c>
      <x:c r="I1021" s="31" t="inlineStr">
        <x:is>
          <x:t xml:space="preserve">ОБ-010</x:t>
        </x:is>
      </x:c>
      <x:c r="J1021" s="31" t="inlineStr">
        <x:is>
          <x:t xml:space="preserve">СОТР-056</x:t>
        </x:is>
      </x:c>
      <x:c r="K1021" s="31" t="n">
        <x:v>27.8</x:v>
      </x:c>
      <x:c r="L1021" s="31" t="n">
        <x:v>36.3</x:v>
      </x:c>
      <x:c r="M1021" s="31" t="n">
        <x:v>46196</x:v>
      </x:c>
      <x:c r="N1021" s="31" t="n">
        <x:v>46199</x:v>
      </x:c>
      <x:c r="O1021" s="31" t="n">
        <x:v>46196</x:v>
      </x:c>
      <x:c r="P1021" s="31" t="n">
        <x:v>46201</x:v>
      </x:c>
      <x:c r="Q1021" s="31" t="inlineStr">
        <x:is>
          <x:t xml:space="preserve">Завершено</x:t>
        </x:is>
      </x:c>
      <x:c r="R1021" s="31" t="inlineStr">
        <x:is>
          <x:t xml:space="preserve">Нет</x:t>
        </x:is>
      </x:c>
      <x:c r="S1021" s="31" t="inlineStr">
        <x:is>
          <x:t xml:space="preserve">Нет</x:t>
        </x:is>
      </x:c>
    </x:row>
    <x:row r="1022">
      <x:c r="A1022" s="31" t="inlineStr">
        <x:is>
          <x:t xml:space="preserve">ОП-001021</x:t>
        </x:is>
      </x:c>
      <x:c r="B1022" s="31" t="inlineStr">
        <x:is>
          <x:t xml:space="preserve">ПЗ-00122</x:t>
        </x:is>
      </x:c>
      <x:c r="C1022" s="31" t="inlineStr">
        <x:is>
          <x:t xml:space="preserve">ЗК-1059</x:t>
        </x:is>
      </x:c>
      <x:c r="D1022" s="31" t="inlineStr">
        <x:is>
          <x:t xml:space="preserve">ПОЗ-0059-2</x:t>
        </x:is>
      </x:c>
      <x:c r="E1022" s="31" t="inlineStr">
        <x:is>
          <x:t xml:space="preserve">ИЗД-006</x:t>
        </x:is>
      </x:c>
      <x:c r="F1022" s="31" t="n">
        <x:v>40</x:v>
      </x:c>
      <x:c r="G1022" s="31" t="inlineStr">
        <x:is>
          <x:t xml:space="preserve">Сварка рамы</x:t>
        </x:is>
      </x:c>
      <x:c r="H1022" s="31" t="inlineStr">
        <x:is>
          <x:t xml:space="preserve">Сварка</x:t>
        </x:is>
      </x:c>
      <x:c r="I1022" s="31" t="inlineStr">
        <x:is>
          <x:t xml:space="preserve">ОБ-035</x:t>
        </x:is>
      </x:c>
      <x:c r="J1022" s="31" t="inlineStr">
        <x:is>
          <x:t xml:space="preserve">СОТР-071</x:t>
        </x:is>
      </x:c>
      <x:c r="K1022" s="31" t="n">
        <x:v>17</x:v>
      </x:c>
      <x:c r="L1022" s="31" t="n">
        <x:v>18.5</x:v>
      </x:c>
      <x:c r="M1022" s="31" t="n">
        <x:v>46199</x:v>
      </x:c>
      <x:c r="N1022" s="31" t="n">
        <x:v>46201</x:v>
      </x:c>
      <x:c r="O1022" s="31" t="n">
        <x:v>46199</x:v>
      </x:c>
      <x:c r="P1022" s="31" t="n">
        <x:v>46203</x:v>
      </x:c>
      <x:c r="Q1022" s="31" t="inlineStr">
        <x:is>
          <x:t xml:space="preserve">Завершено</x:t>
        </x:is>
      </x:c>
      <x:c r="R1022" s="31" t="inlineStr">
        <x:is>
          <x:t xml:space="preserve">Нет</x:t>
        </x:is>
      </x:c>
      <x:c r="S1022" s="31" t="inlineStr">
        <x:is>
          <x:t xml:space="preserve">Нет</x:t>
        </x:is>
      </x:c>
    </x:row>
    <x:row r="1023">
      <x:c r="A1023" s="31" t="inlineStr">
        <x:is>
          <x:t xml:space="preserve">ОП-001022</x:t>
        </x:is>
      </x:c>
      <x:c r="B1023" s="31" t="inlineStr">
        <x:is>
          <x:t xml:space="preserve">ПЗ-00122</x:t>
        </x:is>
      </x:c>
      <x:c r="C1023" s="31" t="inlineStr">
        <x:is>
          <x:t xml:space="preserve">ЗК-1059</x:t>
        </x:is>
      </x:c>
      <x:c r="D1023" s="31" t="inlineStr">
        <x:is>
          <x:t xml:space="preserve">ПОЗ-0059-2</x:t>
        </x:is>
      </x:c>
      <x:c r="E1023" s="31" t="inlineStr">
        <x:is>
          <x:t xml:space="preserve">ИЗД-006</x:t>
        </x:is>
      </x:c>
      <x:c r="F1023" s="31" t="n">
        <x:v>50</x:v>
      </x:c>
      <x:c r="G1023" s="31" t="inlineStr">
        <x:is>
          <x:t xml:space="preserve">Механообработка</x:t>
        </x:is>
      </x:c>
      <x:c r="H1023" s="31" t="inlineStr">
        <x:is>
          <x:t xml:space="preserve">Механообработка</x:t>
        </x:is>
      </x:c>
      <x:c r="I1023" s="31" t="inlineStr">
        <x:is>
          <x:t xml:space="preserve">ОБ-030</x:t>
        </x:is>
      </x:c>
      <x:c r="J1023" s="31" t="inlineStr">
        <x:is>
          <x:t xml:space="preserve">СОТР-053</x:t>
        </x:is>
      </x:c>
      <x:c r="K1023" s="31" t="n">
        <x:v>6.4</x:v>
      </x:c>
      <x:c r="L1023" s="31" t="n">
        <x:v>7.6</x:v>
      </x:c>
      <x:c r="M1023" s="31" t="n">
        <x:v>46201</x:v>
      </x:c>
      <x:c r="N1023" s="31" t="n">
        <x:v>46202</x:v>
      </x:c>
      <x:c r="O1023" s="31" t="n">
        <x:v>46201</x:v>
      </x:c>
      <x:c r="P1023" s="31" t="n">
        <x:v>46201</x:v>
      </x:c>
      <x:c r="Q1023" s="31" t="inlineStr">
        <x:is>
          <x:t xml:space="preserve">Завершено</x:t>
        </x:is>
      </x:c>
      <x:c r="R1023" s="31" t="inlineStr">
        <x:is>
          <x:t xml:space="preserve">Нет</x:t>
        </x:is>
      </x:c>
      <x:c r="S1023" s="31" t="inlineStr">
        <x:is>
          <x:t xml:space="preserve">Да</x:t>
        </x:is>
      </x:c>
    </x:row>
    <x:row r="1024">
      <x:c r="A1024" s="31" t="inlineStr">
        <x:is>
          <x:t xml:space="preserve">ОП-001023</x:t>
        </x:is>
      </x:c>
      <x:c r="B1024" s="31" t="inlineStr">
        <x:is>
          <x:t xml:space="preserve">ПЗ-00122</x:t>
        </x:is>
      </x:c>
      <x:c r="C1024" s="31" t="inlineStr">
        <x:is>
          <x:t xml:space="preserve">ЗК-1059</x:t>
        </x:is>
      </x:c>
      <x:c r="D1024" s="31" t="inlineStr">
        <x:is>
          <x:t xml:space="preserve">ПОЗ-0059-2</x:t>
        </x:is>
      </x:c>
      <x:c r="E1024" s="31" t="inlineStr">
        <x:is>
          <x:t xml:space="preserve">ИЗД-006</x:t>
        </x:is>
      </x:c>
      <x:c r="F1024" s="31" t="n">
        <x:v>60</x:v>
      </x:c>
      <x:c r="G1024" s="31" t="inlineStr">
        <x:is>
          <x:t xml:space="preserve">Сборка</x:t>
        </x:is>
      </x:c>
      <x:c r="H1024" s="31" t="inlineStr">
        <x:is>
          <x:t xml:space="preserve">Сборка</x:t>
        </x:is>
      </x:c>
      <x:c r="I1024" s="31" t="inlineStr">
        <x:is>
          <x:t xml:space="preserve">ОБ-005</x:t>
        </x:is>
      </x:c>
      <x:c r="J1024" s="31" t="inlineStr">
        <x:is>
          <x:t xml:space="preserve">СОТР-075</x:t>
        </x:is>
      </x:c>
      <x:c r="K1024" s="31" t="n">
        <x:v>7.8</x:v>
      </x:c>
      <x:c r="L1024" s="31" t="n">
        <x:v>6.4</x:v>
      </x:c>
      <x:c r="M1024" s="31" t="n">
        <x:v>46202</x:v>
      </x:c>
      <x:c r="N1024" s="31" t="n">
        <x:v>46203</x:v>
      </x:c>
      <x:c r="O1024" s="31" t="n">
        <x:v>46202</x:v>
      </x:c>
      <x:c r="P1024" s="31" t="n">
        <x:v>46205</x:v>
      </x:c>
      <x:c r="Q1024" s="31" t="inlineStr">
        <x:is>
          <x:t xml:space="preserve">Завершено</x:t>
        </x:is>
      </x:c>
      <x:c r="R1024" s="31" t="inlineStr">
        <x:is>
          <x:t xml:space="preserve">Нет</x:t>
        </x:is>
      </x:c>
      <x:c r="S1024" s="31" t="inlineStr">
        <x:is>
          <x:t xml:space="preserve">Нет</x:t>
        </x:is>
      </x:c>
    </x:row>
    <x:row r="1025">
      <x:c r="A1025" s="31" t="inlineStr">
        <x:is>
          <x:t xml:space="preserve">ОП-001024</x:t>
        </x:is>
      </x:c>
      <x:c r="B1025" s="31" t="inlineStr">
        <x:is>
          <x:t xml:space="preserve">ПЗ-00122</x:t>
        </x:is>
      </x:c>
      <x:c r="C1025" s="31" t="inlineStr">
        <x:is>
          <x:t xml:space="preserve">ЗК-1059</x:t>
        </x:is>
      </x:c>
      <x:c r="D1025" s="31" t="inlineStr">
        <x:is>
          <x:t xml:space="preserve">ПОЗ-0059-2</x:t>
        </x:is>
      </x:c>
      <x:c r="E1025" s="31" t="inlineStr">
        <x:is>
          <x:t xml:space="preserve">ИЗД-006</x:t>
        </x:is>
      </x:c>
      <x:c r="F1025" s="31" t="n">
        <x:v>70</x:v>
      </x:c>
      <x:c r="G1025" s="31" t="inlineStr">
        <x:is>
          <x:t xml:space="preserve">Электромонтаж</x:t>
        </x:is>
      </x:c>
      <x:c r="H1025" s="31" t="inlineStr">
        <x:is>
          <x:t xml:space="preserve">Сборка</x:t>
        </x:is>
      </x:c>
      <x:c r="I1025" s="31" t="inlineStr">
        <x:is>
          <x:t xml:space="preserve">ОБ-016</x:t>
        </x:is>
      </x:c>
      <x:c r="J1025" s="31" t="inlineStr">
        <x:is>
          <x:t xml:space="preserve">СОТР-090</x:t>
        </x:is>
      </x:c>
      <x:c r="K1025" s="31" t="n">
        <x:v>22.4</x:v>
      </x:c>
      <x:c r="L1025" s="31" t="n">
        <x:v>19.5</x:v>
      </x:c>
      <x:c r="M1025" s="31" t="n">
        <x:v>46203</x:v>
      </x:c>
      <x:c r="N1025" s="31" t="n">
        <x:v>46205</x:v>
      </x:c>
      <x:c r="O1025" s="31" t="n">
        <x:v>46203</x:v>
      </x:c>
      <x:c r="P1025" s="31" t="n">
        <x:v>46205</x:v>
      </x:c>
      <x:c r="Q1025" s="31" t="inlineStr">
        <x:is>
          <x:t xml:space="preserve">Завершено</x:t>
        </x:is>
      </x:c>
      <x:c r="R1025" s="31" t="inlineStr">
        <x:is>
          <x:t xml:space="preserve">Нет</x:t>
        </x:is>
      </x:c>
      <x:c r="S1025" s="31" t="inlineStr">
        <x:is>
          <x:t xml:space="preserve">Нет</x:t>
        </x:is>
      </x:c>
    </x:row>
    <x:row r="1026">
      <x:c r="A1026" s="31" t="inlineStr">
        <x:is>
          <x:t xml:space="preserve">ОП-001025</x:t>
        </x:is>
      </x:c>
      <x:c r="B1026" s="31" t="inlineStr">
        <x:is>
          <x:t xml:space="preserve">ПЗ-00122</x:t>
        </x:is>
      </x:c>
      <x:c r="C1026" s="31" t="inlineStr">
        <x:is>
          <x:t xml:space="preserve">ЗК-1059</x:t>
        </x:is>
      </x:c>
      <x:c r="D1026" s="31" t="inlineStr">
        <x:is>
          <x:t xml:space="preserve">ПОЗ-0059-2</x:t>
        </x:is>
      </x:c>
      <x:c r="E1026" s="31" t="inlineStr">
        <x:is>
          <x:t xml:space="preserve">ИЗД-006</x:t>
        </x:is>
      </x:c>
      <x:c r="F1026" s="31" t="n">
        <x:v>80</x:v>
      </x:c>
      <x:c r="G1026" s="31" t="inlineStr">
        <x:is>
          <x:t xml:space="preserve">Гидроиспытания</x:t>
        </x:is>
      </x:c>
      <x:c r="H1026" s="31" t="inlineStr">
        <x:is>
          <x:t xml:space="preserve">ОТК</x:t>
        </x:is>
      </x:c>
      <x:c r="I1026" s="31" t="inlineStr">
        <x:is>
          <x:t xml:space="preserve">ОБ-007</x:t>
        </x:is>
      </x:c>
      <x:c r="J1026" s="31" t="inlineStr">
        <x:is>
          <x:t xml:space="preserve">СОТР-098</x:t>
        </x:is>
      </x:c>
      <x:c r="K1026" s="31" t="n">
        <x:v>30.4</x:v>
      </x:c>
      <x:c r="L1026" s="31" t="n">
        <x:v>32.4</x:v>
      </x:c>
      <x:c r="M1026" s="31" t="n">
        <x:v>46205</x:v>
      </x:c>
      <x:c r="N1026" s="31" t="n">
        <x:v>46208</x:v>
      </x:c>
      <x:c r="O1026" s="31" t="n">
        <x:v>46205</x:v>
      </x:c>
      <x:c r="P1026" s="31" t="n">
        <x:v>46209</x:v>
      </x:c>
      <x:c r="Q1026" s="31" t="inlineStr">
        <x:is>
          <x:t xml:space="preserve">Завершено</x:t>
        </x:is>
      </x:c>
      <x:c r="R1026" s="31" t="inlineStr">
        <x:is>
          <x:t xml:space="preserve">Нет</x:t>
        </x:is>
      </x:c>
      <x:c r="S1026" s="31" t="inlineStr">
        <x:is>
          <x:t xml:space="preserve">Нет</x:t>
        </x:is>
      </x:c>
    </x:row>
    <x:row r="1027">
      <x:c r="A1027" s="31" t="inlineStr">
        <x:is>
          <x:t xml:space="preserve">ОП-001026</x:t>
        </x:is>
      </x:c>
      <x:c r="B1027" s="31" t="inlineStr">
        <x:is>
          <x:t xml:space="preserve">ПЗ-00122</x:t>
        </x:is>
      </x:c>
      <x:c r="C1027" s="31" t="inlineStr">
        <x:is>
          <x:t xml:space="preserve">ЗК-1059</x:t>
        </x:is>
      </x:c>
      <x:c r="D1027" s="31" t="inlineStr">
        <x:is>
          <x:t xml:space="preserve">ПОЗ-0059-2</x:t>
        </x:is>
      </x:c>
      <x:c r="E1027" s="31" t="inlineStr">
        <x:is>
          <x:t xml:space="preserve">ИЗД-006</x:t>
        </x:is>
      </x:c>
      <x:c r="F1027" s="31" t="n">
        <x:v>90</x:v>
      </x:c>
      <x:c r="G1027" s="31" t="inlineStr">
        <x:is>
          <x:t xml:space="preserve">ОТК</x:t>
        </x:is>
      </x:c>
      <x:c r="H1027" s="31" t="inlineStr">
        <x:is>
          <x:t xml:space="preserve">ОТК</x:t>
        </x:is>
      </x:c>
      <x:c r="I1027" s="31" t="inlineStr">
        <x:is>
          <x:t xml:space="preserve">ОБ-024</x:t>
        </x:is>
      </x:c>
      <x:c r="J1027" s="31" t="inlineStr">
        <x:is>
          <x:t xml:space="preserve">СОТР-099</x:t>
        </x:is>
      </x:c>
      <x:c r="K1027" s="31" t="n">
        <x:v>10.2</x:v>
      </x:c>
      <x:c r="L1027" s="31" t="n">
        <x:v>12.9</x:v>
      </x:c>
      <x:c r="M1027" s="31" t="n">
        <x:v>46208</x:v>
      </x:c>
      <x:c r="N1027" s="31" t="n">
        <x:v>46209</x:v>
      </x:c>
      <x:c r="O1027" s="31" t="n">
        <x:v>46208</x:v>
      </x:c>
      <x:c r="P1027" s="31" t="n">
        <x:v>46210</x:v>
      </x:c>
      <x:c r="Q1027" s="31" t="inlineStr">
        <x:is>
          <x:t xml:space="preserve">Завершено</x:t>
        </x:is>
      </x:c>
      <x:c r="R1027" s="31" t="inlineStr">
        <x:is>
          <x:t xml:space="preserve">Нет</x:t>
        </x:is>
      </x:c>
      <x:c r="S1027" s="31" t="inlineStr">
        <x:is>
          <x:t xml:space="preserve">Да</x:t>
        </x:is>
      </x:c>
    </x:row>
    <x:row r="1028">
      <x:c r="A1028" s="31" t="inlineStr">
        <x:is>
          <x:t xml:space="preserve">ОП-001027</x:t>
        </x:is>
      </x:c>
      <x:c r="B1028" s="31" t="inlineStr">
        <x:is>
          <x:t xml:space="preserve">ПЗ-00122</x:t>
        </x:is>
      </x:c>
      <x:c r="C1028" s="31" t="inlineStr">
        <x:is>
          <x:t xml:space="preserve">ЗК-1059</x:t>
        </x:is>
      </x:c>
      <x:c r="D1028" s="31" t="inlineStr">
        <x:is>
          <x:t xml:space="preserve">ПОЗ-0059-2</x:t>
        </x:is>
      </x:c>
      <x:c r="E1028" s="31" t="inlineStr">
        <x:is>
          <x:t xml:space="preserve">ИЗД-006</x:t>
        </x:is>
      </x:c>
      <x:c r="F1028" s="31" t="n">
        <x:v>100</x:v>
      </x:c>
      <x:c r="G1028" s="31" t="inlineStr">
        <x:is>
          <x:t xml:space="preserve">Упаковка</x:t>
        </x:is>
      </x:c>
      <x:c r="H1028" s="31" t="inlineStr">
        <x:is>
          <x:t xml:space="preserve">Логистика</x:t>
        </x:is>
      </x:c>
      <x:c r="I1028" s="31" t="n"/>
      <x:c r="J1028" s="31" t="inlineStr">
        <x:is>
          <x:t xml:space="preserve">СОТР-104</x:t>
        </x:is>
      </x:c>
      <x:c r="K1028" s="31" t="n">
        <x:v>24.8</x:v>
      </x:c>
      <x:c r="L1028" s="31" t="n">
        <x:v>22.3</x:v>
      </x:c>
      <x:c r="M1028" s="31" t="n">
        <x:v>46209</x:v>
      </x:c>
      <x:c r="N1028" s="31" t="n">
        <x:v>46212</x:v>
      </x:c>
      <x:c r="O1028" s="31" t="n">
        <x:v>46209</x:v>
      </x:c>
      <x:c r="P1028" s="31" t="n">
        <x:v>46211</x:v>
      </x:c>
      <x:c r="Q1028" s="31" t="inlineStr">
        <x:is>
          <x:t xml:space="preserve">Завершено</x:t>
        </x:is>
      </x:c>
      <x:c r="R1028" s="31" t="inlineStr">
        <x:is>
          <x:t xml:space="preserve">Нет</x:t>
        </x:is>
      </x:c>
      <x:c r="S1028" s="31" t="inlineStr">
        <x:is>
          <x:t xml:space="preserve">Нет</x:t>
        </x:is>
      </x:c>
    </x:row>
    <x:row r="1029">
      <x:c r="A1029" s="31" t="inlineStr">
        <x:is>
          <x:t xml:space="preserve">ОП-001028</x:t>
        </x:is>
      </x:c>
      <x:c r="B1029" s="31" t="inlineStr">
        <x:is>
          <x:t xml:space="preserve">ПЗ-00123</x:t>
        </x:is>
      </x:c>
      <x:c r="C1029" s="31" t="inlineStr">
        <x:is>
          <x:t xml:space="preserve">ЗК-1060</x:t>
        </x:is>
      </x:c>
      <x:c r="D1029" s="31" t="inlineStr">
        <x:is>
          <x:t xml:space="preserve">ПОЗ-0060-1</x:t>
        </x:is>
      </x:c>
      <x:c r="E1029" s="31" t="inlineStr">
        <x:is>
          <x:t xml:space="preserve">ИЗД-039</x:t>
        </x:is>
      </x:c>
      <x:c r="F1029" s="31" t="n">
        <x:v>10</x:v>
      </x:c>
      <x:c r="G1029" s="31" t="inlineStr">
        <x:is>
          <x:t xml:space="preserve">КД</x:t>
        </x:is>
      </x:c>
      <x:c r="H1029" s="31" t="inlineStr">
        <x:is>
          <x:t xml:space="preserve">Инженерный отдел</x:t>
        </x:is>
      </x:c>
      <x:c r="I1029" s="31" t="n"/>
      <x:c r="J1029" s="31" t="inlineStr">
        <x:is>
          <x:t xml:space="preserve">СОТР-014</x:t>
        </x:is>
      </x:c>
      <x:c r="K1029" s="31" t="n">
        <x:v>90</x:v>
      </x:c>
      <x:c r="L1029" s="31" t="n">
        <x:v>80</x:v>
      </x:c>
      <x:c r="M1029" s="31" t="n">
        <x:v>46201</x:v>
      </x:c>
      <x:c r="N1029" s="31" t="n">
        <x:v>46209</x:v>
      </x:c>
      <x:c r="O1029" s="31" t="n">
        <x:v>46201</x:v>
      </x:c>
      <x:c r="P1029" s="31" t="n">
        <x:v>46209</x:v>
      </x:c>
      <x:c r="Q1029" s="31" t="inlineStr">
        <x:is>
          <x:t xml:space="preserve">Завершено</x:t>
        </x:is>
      </x:c>
      <x:c r="R1029" s="31" t="inlineStr">
        <x:is>
          <x:t xml:space="preserve">Материал</x:t>
        </x:is>
      </x:c>
      <x:c r="S1029" s="31" t="inlineStr">
        <x:is>
          <x:t xml:space="preserve">Нет</x:t>
        </x:is>
      </x:c>
    </x:row>
    <x:row r="1030">
      <x:c r="A1030" s="31" t="inlineStr">
        <x:is>
          <x:t xml:space="preserve">ОП-001029</x:t>
        </x:is>
      </x:c>
      <x:c r="B1030" s="31" t="inlineStr">
        <x:is>
          <x:t xml:space="preserve">ПЗ-00123</x:t>
        </x:is>
      </x:c>
      <x:c r="C1030" s="31" t="inlineStr">
        <x:is>
          <x:t xml:space="preserve">ЗК-1060</x:t>
        </x:is>
      </x:c>
      <x:c r="D1030" s="31" t="inlineStr">
        <x:is>
          <x:t xml:space="preserve">ПОЗ-0060-1</x:t>
        </x:is>
      </x:c>
      <x:c r="E1030" s="31" t="inlineStr">
        <x:is>
          <x:t xml:space="preserve">ИЗД-039</x:t>
        </x:is>
      </x:c>
      <x:c r="F1030" s="31" t="n">
        <x:v>20</x:v>
      </x:c>
      <x:c r="G1030" s="31" t="inlineStr">
        <x:is>
          <x:t xml:space="preserve">Резка металла</x:t>
        </x:is>
      </x:c>
      <x:c r="H1030" s="31" t="inlineStr">
        <x:is>
          <x:t xml:space="preserve">Сварка</x:t>
        </x:is>
      </x:c>
      <x:c r="I1030" s="31" t="inlineStr">
        <x:is>
          <x:t xml:space="preserve">ОБ-021</x:t>
        </x:is>
      </x:c>
      <x:c r="J1030" s="31" t="inlineStr">
        <x:is>
          <x:t xml:space="preserve">СОТР-056</x:t>
        </x:is>
      </x:c>
      <x:c r="K1030" s="31" t="n">
        <x:v>101.5</x:v>
      </x:c>
      <x:c r="L1030" s="31" t="n">
        <x:v>114.8</x:v>
      </x:c>
      <x:c r="M1030" s="31" t="n">
        <x:v>46209</x:v>
      </x:c>
      <x:c r="N1030" s="31" t="n">
        <x:v>46218</x:v>
      </x:c>
      <x:c r="O1030" s="31" t="n">
        <x:v>46209</x:v>
      </x:c>
      <x:c r="P1030" s="31" t="n">
        <x:v>46220</x:v>
      </x:c>
      <x:c r="Q1030" s="31" t="inlineStr">
        <x:is>
          <x:t xml:space="preserve">Завершено</x:t>
        </x:is>
      </x:c>
      <x:c r="R1030" s="31" t="inlineStr">
        <x:is>
          <x:t xml:space="preserve">Нет</x:t>
        </x:is>
      </x:c>
      <x:c r="S1030" s="31" t="inlineStr">
        <x:is>
          <x:t xml:space="preserve">Нет</x:t>
        </x:is>
      </x:c>
    </x:row>
    <x:row r="1031">
      <x:c r="A1031" s="31" t="inlineStr">
        <x:is>
          <x:t xml:space="preserve">ОП-001030</x:t>
        </x:is>
      </x:c>
      <x:c r="B1031" s="31" t="inlineStr">
        <x:is>
          <x:t xml:space="preserve">ПЗ-00123</x:t>
        </x:is>
      </x:c>
      <x:c r="C1031" s="31" t="inlineStr">
        <x:is>
          <x:t xml:space="preserve">ЗК-1060</x:t>
        </x:is>
      </x:c>
      <x:c r="D1031" s="31" t="inlineStr">
        <x:is>
          <x:t xml:space="preserve">ПОЗ-0060-1</x:t>
        </x:is>
      </x:c>
      <x:c r="E1031" s="31" t="inlineStr">
        <x:is>
          <x:t xml:space="preserve">ИЗД-039</x:t>
        </x:is>
      </x:c>
      <x:c r="F1031" s="31" t="n">
        <x:v>30</x:v>
      </x:c>
      <x:c r="G1031" s="31" t="inlineStr">
        <x:is>
          <x:t xml:space="preserve">Сварка рамы</x:t>
        </x:is>
      </x:c>
      <x:c r="H1031" s="31" t="inlineStr">
        <x:is>
          <x:t xml:space="preserve">Сварка</x:t>
        </x:is>
      </x:c>
      <x:c r="I1031" s="31" t="inlineStr">
        <x:is>
          <x:t xml:space="preserve">ОБ-018</x:t>
        </x:is>
      </x:c>
      <x:c r="J1031" s="31" t="inlineStr">
        <x:is>
          <x:t xml:space="preserve">СОТР-071</x:t>
        </x:is>
      </x:c>
      <x:c r="K1031" s="31" t="n">
        <x:v>42</x:v>
      </x:c>
      <x:c r="L1031" s="31" t="n">
        <x:v>39.6</x:v>
      </x:c>
      <x:c r="M1031" s="31" t="n">
        <x:v>46218</x:v>
      </x:c>
      <x:c r="N1031" s="31" t="n">
        <x:v>46222</x:v>
      </x:c>
      <x:c r="O1031" s="31" t="n">
        <x:v>46218</x:v>
      </x:c>
      <x:c r="P1031" s="31" t="n">
        <x:v>46224</x:v>
      </x:c>
      <x:c r="Q1031" s="31" t="inlineStr">
        <x:is>
          <x:t xml:space="preserve">Завершено</x:t>
        </x:is>
      </x:c>
      <x:c r="R1031" s="31" t="inlineStr">
        <x:is>
          <x:t xml:space="preserve">Нет</x:t>
        </x:is>
      </x:c>
      <x:c r="S1031" s="31" t="inlineStr">
        <x:is>
          <x:t xml:space="preserve">Нет</x:t>
        </x:is>
      </x:c>
    </x:row>
    <x:row r="1032">
      <x:c r="A1032" s="31" t="inlineStr">
        <x:is>
          <x:t xml:space="preserve">ОП-001031</x:t>
        </x:is>
      </x:c>
      <x:c r="B1032" s="31" t="inlineStr">
        <x:is>
          <x:t xml:space="preserve">ПЗ-00123</x:t>
        </x:is>
      </x:c>
      <x:c r="C1032" s="31" t="inlineStr">
        <x:is>
          <x:t xml:space="preserve">ЗК-1060</x:t>
        </x:is>
      </x:c>
      <x:c r="D1032" s="31" t="inlineStr">
        <x:is>
          <x:t xml:space="preserve">ПОЗ-0060-1</x:t>
        </x:is>
      </x:c>
      <x:c r="E1032" s="31" t="inlineStr">
        <x:is>
          <x:t xml:space="preserve">ИЗД-039</x:t>
        </x:is>
      </x:c>
      <x:c r="F1032" s="31" t="n">
        <x:v>40</x:v>
      </x:c>
      <x:c r="G1032" s="31" t="inlineStr">
        <x:is>
          <x:t xml:space="preserve">Пескоструй</x:t>
        </x:is>
      </x:c>
      <x:c r="H1032" s="31" t="inlineStr">
        <x:is>
          <x:t xml:space="preserve">Сварка</x:t>
        </x:is>
      </x:c>
      <x:c r="I1032" s="31" t="inlineStr">
        <x:is>
          <x:t xml:space="preserve">ОБ-018</x:t>
        </x:is>
      </x:c>
      <x:c r="J1032" s="31" t="inlineStr">
        <x:is>
          <x:t xml:space="preserve">СОТР-069</x:t>
        </x:is>
      </x:c>
      <x:c r="K1032" s="31" t="n">
        <x:v>61.5</x:v>
      </x:c>
      <x:c r="L1032" s="31" t="n">
        <x:v>72.3</x:v>
      </x:c>
      <x:c r="M1032" s="31" t="n">
        <x:v>46222</x:v>
      </x:c>
      <x:c r="N1032" s="31" t="n">
        <x:v>46228</x:v>
      </x:c>
      <x:c r="O1032" s="31" t="n">
        <x:v>46222</x:v>
      </x:c>
      <x:c r="P1032" s="31" t="n">
        <x:v>46230</x:v>
      </x:c>
      <x:c r="Q1032" s="31" t="inlineStr">
        <x:is>
          <x:t xml:space="preserve">Завершено</x:t>
        </x:is>
      </x:c>
      <x:c r="R1032" s="31" t="inlineStr">
        <x:is>
          <x:t xml:space="preserve">Нет</x:t>
        </x:is>
      </x:c>
      <x:c r="S1032" s="31" t="inlineStr">
        <x:is>
          <x:t xml:space="preserve">Нет</x:t>
        </x:is>
      </x:c>
    </x:row>
    <x:row r="1033">
      <x:c r="A1033" s="31" t="inlineStr">
        <x:is>
          <x:t xml:space="preserve">ОП-001032</x:t>
        </x:is>
      </x:c>
      <x:c r="B1033" s="31" t="inlineStr">
        <x:is>
          <x:t xml:space="preserve">ПЗ-00123</x:t>
        </x:is>
      </x:c>
      <x:c r="C1033" s="31" t="inlineStr">
        <x:is>
          <x:t xml:space="preserve">ЗК-1060</x:t>
        </x:is>
      </x:c>
      <x:c r="D1033" s="31" t="inlineStr">
        <x:is>
          <x:t xml:space="preserve">ПОЗ-0060-1</x:t>
        </x:is>
      </x:c>
      <x:c r="E1033" s="31" t="inlineStr">
        <x:is>
          <x:t xml:space="preserve">ИЗД-039</x:t>
        </x:is>
      </x:c>
      <x:c r="F1033" s="31" t="n">
        <x:v>50</x:v>
      </x:c>
      <x:c r="G1033" s="31" t="inlineStr">
        <x:is>
          <x:t xml:space="preserve">Покраска</x:t>
        </x:is>
      </x:c>
      <x:c r="H1033" s="31" t="inlineStr">
        <x:is>
          <x:t xml:space="preserve">Сварка</x:t>
        </x:is>
      </x:c>
      <x:c r="I1033" s="31" t="inlineStr">
        <x:is>
          <x:t xml:space="preserve">ОБ-026</x:t>
        </x:is>
      </x:c>
      <x:c r="J1033" s="31" t="inlineStr">
        <x:is>
          <x:t xml:space="preserve">СОТР-068</x:t>
        </x:is>
      </x:c>
      <x:c r="K1033" s="31" t="n">
        <x:v>19</x:v>
      </x:c>
      <x:c r="L1033" s="31" t="n">
        <x:v>17.8</x:v>
      </x:c>
      <x:c r="M1033" s="31" t="n">
        <x:v>46228</x:v>
      </x:c>
      <x:c r="N1033" s="31" t="n">
        <x:v>46230</x:v>
      </x:c>
      <x:c r="O1033" s="31" t="n">
        <x:v>46228</x:v>
      </x:c>
      <x:c r="P1033" s="31" t="n">
        <x:v>46229</x:v>
      </x:c>
      <x:c r="Q1033" s="31" t="inlineStr">
        <x:is>
          <x:t xml:space="preserve">Завершено</x:t>
        </x:is>
      </x:c>
      <x:c r="R1033" s="31" t="inlineStr">
        <x:is>
          <x:t xml:space="preserve">Материал</x:t>
        </x:is>
      </x:c>
      <x:c r="S1033" s="31" t="inlineStr">
        <x:is>
          <x:t xml:space="preserve">Да</x:t>
        </x:is>
      </x:c>
    </x:row>
    <x:row r="1034">
      <x:c r="A1034" s="31" t="inlineStr">
        <x:is>
          <x:t xml:space="preserve">ОП-001033</x:t>
        </x:is>
      </x:c>
      <x:c r="B1034" s="31" t="inlineStr">
        <x:is>
          <x:t xml:space="preserve">ПЗ-00123</x:t>
        </x:is>
      </x:c>
      <x:c r="C1034" s="31" t="inlineStr">
        <x:is>
          <x:t xml:space="preserve">ЗК-1060</x:t>
        </x:is>
      </x:c>
      <x:c r="D1034" s="31" t="inlineStr">
        <x:is>
          <x:t xml:space="preserve">ПОЗ-0060-1</x:t>
        </x:is>
      </x:c>
      <x:c r="E1034" s="31" t="inlineStr">
        <x:is>
          <x:t xml:space="preserve">ИЗД-039</x:t>
        </x:is>
      </x:c>
      <x:c r="F1034" s="31" t="n">
        <x:v>60</x:v>
      </x:c>
      <x:c r="G1034" s="31" t="inlineStr">
        <x:is>
          <x:t xml:space="preserve">ОТК</x:t>
        </x:is>
      </x:c>
      <x:c r="H1034" s="31" t="inlineStr">
        <x:is>
          <x:t xml:space="preserve">ОТК</x:t>
        </x:is>
      </x:c>
      <x:c r="I1034" s="31" t="inlineStr">
        <x:is>
          <x:t xml:space="preserve">ОБ-024</x:t>
        </x:is>
      </x:c>
      <x:c r="J1034" s="31" t="inlineStr">
        <x:is>
          <x:t xml:space="preserve">СОТР-097</x:t>
        </x:is>
      </x:c>
      <x:c r="K1034" s="31" t="n">
        <x:v>72</x:v>
      </x:c>
      <x:c r="L1034" s="31" t="n">
        <x:v>61.1</x:v>
      </x:c>
      <x:c r="M1034" s="31" t="n">
        <x:v>46230</x:v>
      </x:c>
      <x:c r="N1034" s="31" t="n">
        <x:v>46236</x:v>
      </x:c>
      <x:c r="O1034" s="31" t="n">
        <x:v>46230</x:v>
      </x:c>
      <x:c r="P1034" s="31" t="n">
        <x:v>46236</x:v>
      </x:c>
      <x:c r="Q1034" s="31" t="inlineStr">
        <x:is>
          <x:t xml:space="preserve">Завершено</x:t>
        </x:is>
      </x:c>
      <x:c r="R1034" s="31" t="inlineStr">
        <x:is>
          <x:t xml:space="preserve">Нет</x:t>
        </x:is>
      </x:c>
      <x:c r="S1034" s="31" t="inlineStr">
        <x:is>
          <x:t xml:space="preserve">Нет</x:t>
        </x:is>
      </x:c>
    </x:row>
    <x:row r="1035">
      <x:c r="A1035" s="31" t="inlineStr">
        <x:is>
          <x:t xml:space="preserve">ОП-001034</x:t>
        </x:is>
      </x:c>
      <x:c r="B1035" s="31" t="inlineStr">
        <x:is>
          <x:t xml:space="preserve">ПЗ-00124</x:t>
        </x:is>
      </x:c>
      <x:c r="C1035" s="31" t="inlineStr">
        <x:is>
          <x:t xml:space="preserve">ЗК-1060</x:t>
        </x:is>
      </x:c>
      <x:c r="D1035" s="31" t="inlineStr">
        <x:is>
          <x:t xml:space="preserve">ПОЗ-0060-2</x:t>
        </x:is>
      </x:c>
      <x:c r="E1035" s="31" t="inlineStr">
        <x:is>
          <x:t xml:space="preserve">ИЗД-013</x:t>
        </x:is>
      </x:c>
      <x:c r="F1035" s="31" t="n">
        <x:v>10</x:v>
      </x:c>
      <x:c r="G1035" s="31" t="inlineStr">
        <x:is>
          <x:t xml:space="preserve">КД</x:t>
        </x:is>
      </x:c>
      <x:c r="H1035" s="31" t="inlineStr">
        <x:is>
          <x:t xml:space="preserve">Инженерный отдел</x:t>
        </x:is>
      </x:c>
      <x:c r="I1035" s="31" t="n"/>
      <x:c r="J1035" s="31" t="inlineStr">
        <x:is>
          <x:t xml:space="preserve">СОТР-020</x:t>
        </x:is>
      </x:c>
      <x:c r="K1035" s="31" t="n">
        <x:v>53.7</x:v>
      </x:c>
      <x:c r="L1035" s="31" t="n">
        <x:v>51.3</x:v>
      </x:c>
      <x:c r="M1035" s="31" t="n">
        <x:v>46197</x:v>
      </x:c>
      <x:c r="N1035" s="31" t="n">
        <x:v>46202</x:v>
      </x:c>
      <x:c r="O1035" s="31" t="n">
        <x:v>46197</x:v>
      </x:c>
      <x:c r="P1035" s="31" t="n">
        <x:v>46202</x:v>
      </x:c>
      <x:c r="Q1035" s="31" t="inlineStr">
        <x:is>
          <x:t xml:space="preserve">Завершено</x:t>
        </x:is>
      </x:c>
      <x:c r="R1035" s="31" t="inlineStr">
        <x:is>
          <x:t xml:space="preserve">Нет</x:t>
        </x:is>
      </x:c>
      <x:c r="S1035" s="31" t="inlineStr">
        <x:is>
          <x:t xml:space="preserve">Нет</x:t>
        </x:is>
      </x:c>
    </x:row>
    <x:row r="1036">
      <x:c r="A1036" s="31" t="inlineStr">
        <x:is>
          <x:t xml:space="preserve">ОП-001035</x:t>
        </x:is>
      </x:c>
      <x:c r="B1036" s="31" t="inlineStr">
        <x:is>
          <x:t xml:space="preserve">ПЗ-00124</x:t>
        </x:is>
      </x:c>
      <x:c r="C1036" s="31" t="inlineStr">
        <x:is>
          <x:t xml:space="preserve">ЗК-1060</x:t>
        </x:is>
      </x:c>
      <x:c r="D1036" s="31" t="inlineStr">
        <x:is>
          <x:t xml:space="preserve">ПОЗ-0060-2</x:t>
        </x:is>
      </x:c>
      <x:c r="E1036" s="31" t="inlineStr">
        <x:is>
          <x:t xml:space="preserve">ИЗД-013</x:t>
        </x:is>
      </x:c>
      <x:c r="F1036" s="31" t="n">
        <x:v>20</x:v>
      </x:c>
      <x:c r="G1036" s="31" t="inlineStr">
        <x:is>
          <x:t xml:space="preserve">Резка металла</x:t>
        </x:is>
      </x:c>
      <x:c r="H1036" s="31" t="inlineStr">
        <x:is>
          <x:t xml:space="preserve">Сварка</x:t>
        </x:is>
      </x:c>
      <x:c r="I1036" s="31" t="inlineStr">
        <x:is>
          <x:t xml:space="preserve">ОБ-021</x:t>
        </x:is>
      </x:c>
      <x:c r="J1036" s="31" t="inlineStr">
        <x:is>
          <x:t xml:space="preserve">СОТР-057</x:t>
        </x:is>
      </x:c>
      <x:c r="K1036" s="31" t="n">
        <x:v>30.6</x:v>
      </x:c>
      <x:c r="L1036" s="31" t="n">
        <x:v>34.2</x:v>
      </x:c>
      <x:c r="M1036" s="31" t="n">
        <x:v>46202</x:v>
      </x:c>
      <x:c r="N1036" s="31" t="n">
        <x:v>46205</x:v>
      </x:c>
      <x:c r="O1036" s="31" t="n">
        <x:v>46202</x:v>
      </x:c>
      <x:c r="P1036" s="31" t="n">
        <x:v>46205</x:v>
      </x:c>
      <x:c r="Q1036" s="31" t="inlineStr">
        <x:is>
          <x:t xml:space="preserve">Завершено</x:t>
        </x:is>
      </x:c>
      <x:c r="R1036" s="31" t="inlineStr">
        <x:is>
          <x:t xml:space="preserve">Нет</x:t>
        </x:is>
      </x:c>
      <x:c r="S1036" s="31" t="inlineStr">
        <x:is>
          <x:t xml:space="preserve">Да</x:t>
        </x:is>
      </x:c>
    </x:row>
    <x:row r="1037">
      <x:c r="A1037" s="31" t="inlineStr">
        <x:is>
          <x:t xml:space="preserve">ОП-001036</x:t>
        </x:is>
      </x:c>
      <x:c r="B1037" s="31" t="inlineStr">
        <x:is>
          <x:t xml:space="preserve">ПЗ-00124</x:t>
        </x:is>
      </x:c>
      <x:c r="C1037" s="31" t="inlineStr">
        <x:is>
          <x:t xml:space="preserve">ЗК-1060</x:t>
        </x:is>
      </x:c>
      <x:c r="D1037" s="31" t="inlineStr">
        <x:is>
          <x:t xml:space="preserve">ПОЗ-0060-2</x:t>
        </x:is>
      </x:c>
      <x:c r="E1037" s="31" t="inlineStr">
        <x:is>
          <x:t xml:space="preserve">ИЗД-013</x:t>
        </x:is>
      </x:c>
      <x:c r="F1037" s="31" t="n">
        <x:v>30</x:v>
      </x:c>
      <x:c r="G1037" s="31" t="inlineStr">
        <x:is>
          <x:t xml:space="preserve">Сварка рамы</x:t>
        </x:is>
      </x:c>
      <x:c r="H1037" s="31" t="inlineStr">
        <x:is>
          <x:t xml:space="preserve">Сварка</x:t>
        </x:is>
      </x:c>
      <x:c r="I1037" s="31" t="inlineStr">
        <x:is>
          <x:t xml:space="preserve">ОБ-003</x:t>
        </x:is>
      </x:c>
      <x:c r="J1037" s="31" t="inlineStr">
        <x:is>
          <x:t xml:space="preserve">СОТР-065</x:t>
        </x:is>
      </x:c>
      <x:c r="K1037" s="31" t="n">
        <x:v>27.3</x:v>
      </x:c>
      <x:c r="L1037" s="31" t="n">
        <x:v>25.1</x:v>
      </x:c>
      <x:c r="M1037" s="31" t="n">
        <x:v>46205</x:v>
      </x:c>
      <x:c r="N1037" s="31" t="n">
        <x:v>46208</x:v>
      </x:c>
      <x:c r="O1037" s="31" t="n">
        <x:v>46205</x:v>
      </x:c>
      <x:c r="P1037" s="31" t="n">
        <x:v>46207</x:v>
      </x:c>
      <x:c r="Q1037" s="31" t="inlineStr">
        <x:is>
          <x:t xml:space="preserve">Завершено</x:t>
        </x:is>
      </x:c>
      <x:c r="R1037" s="31" t="inlineStr">
        <x:is>
          <x:t xml:space="preserve">Нет</x:t>
        </x:is>
      </x:c>
      <x:c r="S1037" s="31" t="inlineStr">
        <x:is>
          <x:t xml:space="preserve">Да</x:t>
        </x:is>
      </x:c>
    </x:row>
    <x:row r="1038">
      <x:c r="A1038" s="31" t="inlineStr">
        <x:is>
          <x:t xml:space="preserve">ОП-001037</x:t>
        </x:is>
      </x:c>
      <x:c r="B1038" s="31" t="inlineStr">
        <x:is>
          <x:t xml:space="preserve">ПЗ-00124</x:t>
        </x:is>
      </x:c>
      <x:c r="C1038" s="31" t="inlineStr">
        <x:is>
          <x:t xml:space="preserve">ЗК-1060</x:t>
        </x:is>
      </x:c>
      <x:c r="D1038" s="31" t="inlineStr">
        <x:is>
          <x:t xml:space="preserve">ПОЗ-0060-2</x:t>
        </x:is>
      </x:c>
      <x:c r="E1038" s="31" t="inlineStr">
        <x:is>
          <x:t xml:space="preserve">ИЗД-013</x:t>
        </x:is>
      </x:c>
      <x:c r="F1038" s="31" t="n">
        <x:v>40</x:v>
      </x:c>
      <x:c r="G1038" s="31" t="inlineStr">
        <x:is>
          <x:t xml:space="preserve">Пескоструй</x:t>
        </x:is>
      </x:c>
      <x:c r="H1038" s="31" t="inlineStr">
        <x:is>
          <x:t xml:space="preserve">Сварка</x:t>
        </x:is>
      </x:c>
      <x:c r="I1038" s="31" t="inlineStr">
        <x:is>
          <x:t xml:space="preserve">ОБ-026</x:t>
        </x:is>
      </x:c>
      <x:c r="J1038" s="31" t="inlineStr">
        <x:is>
          <x:t xml:space="preserve">СОТР-068</x:t>
        </x:is>
      </x:c>
      <x:c r="K1038" s="31" t="n">
        <x:v>42.9</x:v>
      </x:c>
      <x:c r="L1038" s="31" t="n">
        <x:v>48.5</x:v>
      </x:c>
      <x:c r="M1038" s="31" t="n">
        <x:v>46208</x:v>
      </x:c>
      <x:c r="N1038" s="31" t="n">
        <x:v>46212</x:v>
      </x:c>
      <x:c r="O1038" s="31" t="n">
        <x:v>46208</x:v>
      </x:c>
      <x:c r="P1038" s="31" t="n">
        <x:v>46214</x:v>
      </x:c>
      <x:c r="Q1038" s="31" t="inlineStr">
        <x:is>
          <x:t xml:space="preserve">Завершено</x:t>
        </x:is>
      </x:c>
      <x:c r="R1038" s="31" t="inlineStr">
        <x:is>
          <x:t xml:space="preserve">Нет</x:t>
        </x:is>
      </x:c>
      <x:c r="S1038" s="31" t="inlineStr">
        <x:is>
          <x:t xml:space="preserve">Нет</x:t>
        </x:is>
      </x:c>
    </x:row>
    <x:row r="1039">
      <x:c r="A1039" s="31" t="inlineStr">
        <x:is>
          <x:t xml:space="preserve">ОП-001038</x:t>
        </x:is>
      </x:c>
      <x:c r="B1039" s="31" t="inlineStr">
        <x:is>
          <x:t xml:space="preserve">ПЗ-00124</x:t>
        </x:is>
      </x:c>
      <x:c r="C1039" s="31" t="inlineStr">
        <x:is>
          <x:t xml:space="preserve">ЗК-1060</x:t>
        </x:is>
      </x:c>
      <x:c r="D1039" s="31" t="inlineStr">
        <x:is>
          <x:t xml:space="preserve">ПОЗ-0060-2</x:t>
        </x:is>
      </x:c>
      <x:c r="E1039" s="31" t="inlineStr">
        <x:is>
          <x:t xml:space="preserve">ИЗД-013</x:t>
        </x:is>
      </x:c>
      <x:c r="F1039" s="31" t="n">
        <x:v>50</x:v>
      </x:c>
      <x:c r="G1039" s="31" t="inlineStr">
        <x:is>
          <x:t xml:space="preserve">Покраска</x:t>
        </x:is>
      </x:c>
      <x:c r="H1039" s="31" t="inlineStr">
        <x:is>
          <x:t xml:space="preserve">Сварка</x:t>
        </x:is>
      </x:c>
      <x:c r="I1039" s="31" t="inlineStr">
        <x:is>
          <x:t xml:space="preserve">ОБ-003</x:t>
        </x:is>
      </x:c>
      <x:c r="J1039" s="31" t="inlineStr">
        <x:is>
          <x:t xml:space="preserve">СОТР-061</x:t>
        </x:is>
      </x:c>
      <x:c r="K1039" s="31" t="n">
        <x:v>36.3</x:v>
      </x:c>
      <x:c r="L1039" s="31" t="n">
        <x:v>30</x:v>
      </x:c>
      <x:c r="M1039" s="31" t="n">
        <x:v>46212</x:v>
      </x:c>
      <x:c r="N1039" s="31" t="n">
        <x:v>46216</x:v>
      </x:c>
      <x:c r="O1039" s="31" t="n">
        <x:v>46212</x:v>
      </x:c>
      <x:c r="P1039" s="31" t="n">
        <x:v>46216</x:v>
      </x:c>
      <x:c r="Q1039" s="31" t="inlineStr">
        <x:is>
          <x:t xml:space="preserve">Завершено</x:t>
        </x:is>
      </x:c>
      <x:c r="R1039" s="31" t="inlineStr">
        <x:is>
          <x:t xml:space="preserve">Нет</x:t>
        </x:is>
      </x:c>
      <x:c r="S1039" s="31" t="inlineStr">
        <x:is>
          <x:t xml:space="preserve">Да</x:t>
        </x:is>
      </x:c>
    </x:row>
    <x:row r="1040">
      <x:c r="A1040" s="31" t="inlineStr">
        <x:is>
          <x:t xml:space="preserve">ОП-001039</x:t>
        </x:is>
      </x:c>
      <x:c r="B1040" s="31" t="inlineStr">
        <x:is>
          <x:t xml:space="preserve">ПЗ-00124</x:t>
        </x:is>
      </x:c>
      <x:c r="C1040" s="31" t="inlineStr">
        <x:is>
          <x:t xml:space="preserve">ЗК-1060</x:t>
        </x:is>
      </x:c>
      <x:c r="D1040" s="31" t="inlineStr">
        <x:is>
          <x:t xml:space="preserve">ПОЗ-0060-2</x:t>
        </x:is>
      </x:c>
      <x:c r="E1040" s="31" t="inlineStr">
        <x:is>
          <x:t xml:space="preserve">ИЗД-013</x:t>
        </x:is>
      </x:c>
      <x:c r="F1040" s="31" t="n">
        <x:v>60</x:v>
      </x:c>
      <x:c r="G1040" s="31" t="inlineStr">
        <x:is>
          <x:t xml:space="preserve">ОТК</x:t>
        </x:is>
      </x:c>
      <x:c r="H1040" s="31" t="inlineStr">
        <x:is>
          <x:t xml:space="preserve">ОТК</x:t>
        </x:is>
      </x:c>
      <x:c r="I1040" s="31" t="inlineStr">
        <x:is>
          <x:t xml:space="preserve">ОБ-001</x:t>
        </x:is>
      </x:c>
      <x:c r="J1040" s="31" t="inlineStr">
        <x:is>
          <x:t xml:space="preserve">СОТР-098</x:t>
        </x:is>
      </x:c>
      <x:c r="K1040" s="31" t="n">
        <x:v>48.6</x:v>
      </x:c>
      <x:c r="L1040" s="31" t="n">
        <x:v>58.1</x:v>
      </x:c>
      <x:c r="M1040" s="31" t="n">
        <x:v>46216</x:v>
      </x:c>
      <x:c r="N1040" s="31" t="n">
        <x:v>46221</x:v>
      </x:c>
      <x:c r="O1040" s="31" t="n">
        <x:v>46216</x:v>
      </x:c>
      <x:c r="P1040" s="31" t="n">
        <x:v>46223</x:v>
      </x:c>
      <x:c r="Q1040" s="31" t="inlineStr">
        <x:is>
          <x:t xml:space="preserve">Завершено</x:t>
        </x:is>
      </x:c>
      <x:c r="R1040" s="31" t="inlineStr">
        <x:is>
          <x:t xml:space="preserve">Нет</x:t>
        </x:is>
      </x:c>
      <x:c r="S1040" s="31" t="inlineStr">
        <x:is>
          <x:t xml:space="preserve">Нет</x:t>
        </x:is>
      </x:c>
    </x:row>
    <x:row r="1041">
      <x:c r="A1041" s="31" t="inlineStr">
        <x:is>
          <x:t xml:space="preserve">ОП-001040</x:t>
        </x:is>
      </x:c>
      <x:c r="B1041" s="31" t="inlineStr">
        <x:is>
          <x:t xml:space="preserve">ПЗ-00125</x:t>
        </x:is>
      </x:c>
      <x:c r="C1041" s="31" t="inlineStr">
        <x:is>
          <x:t xml:space="preserve">ЗК-1060</x:t>
        </x:is>
      </x:c>
      <x:c r="D1041" s="31" t="inlineStr">
        <x:is>
          <x:t xml:space="preserve">ПОЗ-0060-3</x:t>
        </x:is>
      </x:c>
      <x:c r="E1041" s="31" t="inlineStr">
        <x:is>
          <x:t xml:space="preserve">ИЗД-045</x:t>
        </x:is>
      </x:c>
      <x:c r="F1041" s="31" t="n">
        <x:v>10</x:v>
      </x:c>
      <x:c r="G1041" s="31" t="inlineStr">
        <x:is>
          <x:t xml:space="preserve">КД</x:t>
        </x:is>
      </x:c>
      <x:c r="H1041" s="31" t="inlineStr">
        <x:is>
          <x:t xml:space="preserve">Инженерный отдел</x:t>
        </x:is>
      </x:c>
      <x:c r="I1041" s="31" t="n"/>
      <x:c r="J1041" s="31" t="inlineStr">
        <x:is>
          <x:t xml:space="preserve">СОТР-016</x:t>
        </x:is>
      </x:c>
      <x:c r="K1041" s="31" t="n">
        <x:v>9.699999999999999</x:v>
      </x:c>
      <x:c r="L1041" s="31" t="n">
        <x:v>12.5</x:v>
      </x:c>
      <x:c r="M1041" s="31" t="n">
        <x:v>46196</x:v>
      </x:c>
      <x:c r="N1041" s="31" t="n">
        <x:v>46197</x:v>
      </x:c>
      <x:c r="O1041" s="31" t="n">
        <x:v>46196</x:v>
      </x:c>
      <x:c r="P1041" s="31" t="n">
        <x:v>46196</x:v>
      </x:c>
      <x:c r="Q1041" s="31" t="inlineStr">
        <x:is>
          <x:t xml:space="preserve">Завершено</x:t>
        </x:is>
      </x:c>
      <x:c r="R1041" s="31" t="inlineStr">
        <x:is>
          <x:t xml:space="preserve">Нет</x:t>
        </x:is>
      </x:c>
      <x:c r="S1041" s="31" t="inlineStr">
        <x:is>
          <x:t xml:space="preserve">Нет</x:t>
        </x:is>
      </x:c>
    </x:row>
    <x:row r="1042">
      <x:c r="A1042" s="31" t="inlineStr">
        <x:is>
          <x:t xml:space="preserve">ОП-001041</x:t>
        </x:is>
      </x:c>
      <x:c r="B1042" s="31" t="inlineStr">
        <x:is>
          <x:t xml:space="preserve">ПЗ-00125</x:t>
        </x:is>
      </x:c>
      <x:c r="C1042" s="31" t="inlineStr">
        <x:is>
          <x:t xml:space="preserve">ЗК-1060</x:t>
        </x:is>
      </x:c>
      <x:c r="D1042" s="31" t="inlineStr">
        <x:is>
          <x:t xml:space="preserve">ПОЗ-0060-3</x:t>
        </x:is>
      </x:c>
      <x:c r="E1042" s="31" t="inlineStr">
        <x:is>
          <x:t xml:space="preserve">ИЗД-045</x:t>
        </x:is>
      </x:c>
      <x:c r="F1042" s="31" t="n">
        <x:v>20</x:v>
      </x:c>
      <x:c r="G1042" s="31" t="inlineStr">
        <x:is>
          <x:t xml:space="preserve">Комплектация</x:t>
        </x:is>
      </x:c>
      <x:c r="H1042" s="31" t="inlineStr">
        <x:is>
          <x:t xml:space="preserve">Склад</x:t>
        </x:is>
      </x:c>
      <x:c r="I1042" s="31" t="inlineStr">
        <x:is>
          <x:t xml:space="preserve">ОБ-025</x:t>
        </x:is>
      </x:c>
      <x:c r="J1042" s="31" t="inlineStr">
        <x:is>
          <x:t xml:space="preserve">СОТР-036</x:t>
        </x:is>
      </x:c>
      <x:c r="K1042" s="31" t="n">
        <x:v>6.8</x:v>
      </x:c>
      <x:c r="L1042" s="31" t="n">
        <x:v>7.3</x:v>
      </x:c>
      <x:c r="M1042" s="31" t="n">
        <x:v>46197</x:v>
      </x:c>
      <x:c r="N1042" s="31" t="n">
        <x:v>46198</x:v>
      </x:c>
      <x:c r="O1042" s="31" t="n">
        <x:v>46197</x:v>
      </x:c>
      <x:c r="P1042" s="31" t="n">
        <x:v>46198</x:v>
      </x:c>
      <x:c r="Q1042" s="31" t="inlineStr">
        <x:is>
          <x:t xml:space="preserve">Завершено</x:t>
        </x:is>
      </x:c>
      <x:c r="R1042" s="31" t="inlineStr">
        <x:is>
          <x:t xml:space="preserve">Материал</x:t>
        </x:is>
      </x:c>
      <x:c r="S1042" s="31" t="inlineStr">
        <x:is>
          <x:t xml:space="preserve">Нет</x:t>
        </x:is>
      </x:c>
    </x:row>
    <x:row r="1043">
      <x:c r="A1043" s="31" t="inlineStr">
        <x:is>
          <x:t xml:space="preserve">ОП-001042</x:t>
        </x:is>
      </x:c>
      <x:c r="B1043" s="31" t="inlineStr">
        <x:is>
          <x:t xml:space="preserve">ПЗ-00125</x:t>
        </x:is>
      </x:c>
      <x:c r="C1043" s="31" t="inlineStr">
        <x:is>
          <x:t xml:space="preserve">ЗК-1060</x:t>
        </x:is>
      </x:c>
      <x:c r="D1043" s="31" t="inlineStr">
        <x:is>
          <x:t xml:space="preserve">ПОЗ-0060-3</x:t>
        </x:is>
      </x:c>
      <x:c r="E1043" s="31" t="inlineStr">
        <x:is>
          <x:t xml:space="preserve">ИЗД-045</x:t>
        </x:is>
      </x:c>
      <x:c r="F1043" s="31" t="n">
        <x:v>30</x:v>
      </x:c>
      <x:c r="G1043" s="31" t="inlineStr">
        <x:is>
          <x:t xml:space="preserve">Сборка шкафа</x:t>
        </x:is>
      </x:c>
      <x:c r="H1043" s="31" t="inlineStr">
        <x:is>
          <x:t xml:space="preserve">Сборка</x:t>
        </x:is>
      </x:c>
      <x:c r="I1043" s="31" t="inlineStr">
        <x:is>
          <x:t xml:space="preserve">ОБ-016</x:t>
        </x:is>
      </x:c>
      <x:c r="J1043" s="31" t="inlineStr">
        <x:is>
          <x:t xml:space="preserve">СОТР-087</x:t>
        </x:is>
      </x:c>
      <x:c r="K1043" s="31" t="n">
        <x:v>2.5</x:v>
      </x:c>
      <x:c r="L1043" s="31" t="n">
        <x:v>2.4</x:v>
      </x:c>
      <x:c r="M1043" s="31" t="n">
        <x:v>46198</x:v>
      </x:c>
      <x:c r="N1043" s="31" t="n">
        <x:v>46199</x:v>
      </x:c>
      <x:c r="O1043" s="31" t="n">
        <x:v>46198</x:v>
      </x:c>
      <x:c r="P1043" s="31" t="n">
        <x:v>46198</x:v>
      </x:c>
      <x:c r="Q1043" s="31" t="inlineStr">
        <x:is>
          <x:t xml:space="preserve">Завершено</x:t>
        </x:is>
      </x:c>
      <x:c r="R1043" s="31" t="inlineStr">
        <x:is>
          <x:t xml:space="preserve">Нет</x:t>
        </x:is>
      </x:c>
      <x:c r="S1043" s="31" t="inlineStr">
        <x:is>
          <x:t xml:space="preserve">Нет</x:t>
        </x:is>
      </x:c>
    </x:row>
    <x:row r="1044">
      <x:c r="A1044" s="31" t="inlineStr">
        <x:is>
          <x:t xml:space="preserve">ОП-001043</x:t>
        </x:is>
      </x:c>
      <x:c r="B1044" s="31" t="inlineStr">
        <x:is>
          <x:t xml:space="preserve">ПЗ-00125</x:t>
        </x:is>
      </x:c>
      <x:c r="C1044" s="31" t="inlineStr">
        <x:is>
          <x:t xml:space="preserve">ЗК-1060</x:t>
        </x:is>
      </x:c>
      <x:c r="D1044" s="31" t="inlineStr">
        <x:is>
          <x:t xml:space="preserve">ПОЗ-0060-3</x:t>
        </x:is>
      </x:c>
      <x:c r="E1044" s="31" t="inlineStr">
        <x:is>
          <x:t xml:space="preserve">ИЗД-045</x:t>
        </x:is>
      </x:c>
      <x:c r="F1044" s="31" t="n">
        <x:v>40</x:v>
      </x:c>
      <x:c r="G1044" s="31" t="inlineStr">
        <x:is>
          <x:t xml:space="preserve">Маркировка</x:t>
        </x:is>
      </x:c>
      <x:c r="H1044" s="31" t="inlineStr">
        <x:is>
          <x:t xml:space="preserve">Сборка</x:t>
        </x:is>
      </x:c>
      <x:c r="I1044" s="31" t="inlineStr">
        <x:is>
          <x:t xml:space="preserve">ОБ-016</x:t>
        </x:is>
      </x:c>
      <x:c r="J1044" s="31" t="inlineStr">
        <x:is>
          <x:t xml:space="preserve">СОТР-075</x:t>
        </x:is>
      </x:c>
      <x:c r="K1044" s="31" t="n">
        <x:v>6.3</x:v>
      </x:c>
      <x:c r="L1044" s="31" t="n">
        <x:v>6.9</x:v>
      </x:c>
      <x:c r="M1044" s="31" t="n">
        <x:v>46199</x:v>
      </x:c>
      <x:c r="N1044" s="31" t="n">
        <x:v>46200</x:v>
      </x:c>
      <x:c r="O1044" s="31" t="n">
        <x:v>46199</x:v>
      </x:c>
      <x:c r="P1044" s="31" t="n">
        <x:v>46200</x:v>
      </x:c>
      <x:c r="Q1044" s="31" t="inlineStr">
        <x:is>
          <x:t xml:space="preserve">Завершено</x:t>
        </x:is>
      </x:c>
      <x:c r="R1044" s="31" t="inlineStr">
        <x:is>
          <x:t xml:space="preserve">Нет</x:t>
        </x:is>
      </x:c>
      <x:c r="S1044" s="31" t="inlineStr">
        <x:is>
          <x:t xml:space="preserve">Нет</x:t>
        </x:is>
      </x:c>
    </x:row>
    <x:row r="1045">
      <x:c r="A1045" s="31" t="inlineStr">
        <x:is>
          <x:t xml:space="preserve">ОП-001044</x:t>
        </x:is>
      </x:c>
      <x:c r="B1045" s="31" t="inlineStr">
        <x:is>
          <x:t xml:space="preserve">ПЗ-00125</x:t>
        </x:is>
      </x:c>
      <x:c r="C1045" s="31" t="inlineStr">
        <x:is>
          <x:t xml:space="preserve">ЗК-1060</x:t>
        </x:is>
      </x:c>
      <x:c r="D1045" s="31" t="inlineStr">
        <x:is>
          <x:t xml:space="preserve">ПОЗ-0060-3</x:t>
        </x:is>
      </x:c>
      <x:c r="E1045" s="31" t="inlineStr">
        <x:is>
          <x:t xml:space="preserve">ИЗД-045</x:t>
        </x:is>
      </x:c>
      <x:c r="F1045" s="31" t="n">
        <x:v>50</x:v>
      </x:c>
      <x:c r="G1045" s="31" t="inlineStr">
        <x:is>
          <x:t xml:space="preserve">Электромонтаж</x:t>
        </x:is>
      </x:c>
      <x:c r="H1045" s="31" t="inlineStr">
        <x:is>
          <x:t xml:space="preserve">Сборка</x:t>
        </x:is>
      </x:c>
      <x:c r="I1045" s="31" t="inlineStr">
        <x:is>
          <x:t xml:space="preserve">ОБ-027</x:t>
        </x:is>
      </x:c>
      <x:c r="J1045" s="31" t="inlineStr">
        <x:is>
          <x:t xml:space="preserve">СОТР-090</x:t>
        </x:is>
      </x:c>
      <x:c r="K1045" s="31" t="n">
        <x:v>4.9</x:v>
      </x:c>
      <x:c r="L1045" s="31" t="n">
        <x:v>6.1</x:v>
      </x:c>
      <x:c r="M1045" s="31" t="n">
        <x:v>46200</x:v>
      </x:c>
      <x:c r="N1045" s="31" t="n">
        <x:v>46201</x:v>
      </x:c>
      <x:c r="O1045" s="31" t="n">
        <x:v>46200</x:v>
      </x:c>
      <x:c r="P1045" s="31" t="n">
        <x:v>46202</x:v>
      </x:c>
      <x:c r="Q1045" s="31" t="inlineStr">
        <x:is>
          <x:t xml:space="preserve">Завершено</x:t>
        </x:is>
      </x:c>
      <x:c r="R1045" s="31" t="inlineStr">
        <x:is>
          <x:t xml:space="preserve">Нет</x:t>
        </x:is>
      </x:c>
      <x:c r="S1045" s="31" t="inlineStr">
        <x:is>
          <x:t xml:space="preserve">Нет</x:t>
        </x:is>
      </x:c>
    </x:row>
    <x:row r="1046">
      <x:c r="A1046" s="31" t="inlineStr">
        <x:is>
          <x:t xml:space="preserve">ОП-001045</x:t>
        </x:is>
      </x:c>
      <x:c r="B1046" s="31" t="inlineStr">
        <x:is>
          <x:t xml:space="preserve">ПЗ-00125</x:t>
        </x:is>
      </x:c>
      <x:c r="C1046" s="31" t="inlineStr">
        <x:is>
          <x:t xml:space="preserve">ЗК-1060</x:t>
        </x:is>
      </x:c>
      <x:c r="D1046" s="31" t="inlineStr">
        <x:is>
          <x:t xml:space="preserve">ПОЗ-0060-3</x:t>
        </x:is>
      </x:c>
      <x:c r="E1046" s="31" t="inlineStr">
        <x:is>
          <x:t xml:space="preserve">ИЗД-045</x:t>
        </x:is>
      </x:c>
      <x:c r="F1046" s="31" t="n">
        <x:v>60</x:v>
      </x:c>
      <x:c r="G1046" s="31" t="inlineStr">
        <x:is>
          <x:t xml:space="preserve">Программирование ПЛК</x:t>
        </x:is>
      </x:c>
      <x:c r="H1046" s="31" t="inlineStr">
        <x:is>
          <x:t xml:space="preserve">Инженерный отдел</x:t>
        </x:is>
      </x:c>
      <x:c r="I1046" s="31" t="n"/>
      <x:c r="J1046" s="31" t="inlineStr">
        <x:is>
          <x:t xml:space="preserve">СОТР-021</x:t>
        </x:is>
      </x:c>
      <x:c r="K1046" s="31" t="n">
        <x:v>2.8</x:v>
      </x:c>
      <x:c r="L1046" s="31" t="n">
        <x:v>2.8</x:v>
      </x:c>
      <x:c r="M1046" s="31" t="n">
        <x:v>46201</x:v>
      </x:c>
      <x:c r="N1046" s="31" t="n">
        <x:v>46202</x:v>
      </x:c>
      <x:c r="O1046" s="31" t="n">
        <x:v>46201</x:v>
      </x:c>
      <x:c r="P1046" s="31" t="n">
        <x:v>46201</x:v>
      </x:c>
      <x:c r="Q1046" s="31" t="inlineStr">
        <x:is>
          <x:t xml:space="preserve">Завершено</x:t>
        </x:is>
      </x:c>
      <x:c r="R1046" s="31" t="inlineStr">
        <x:is>
          <x:t xml:space="preserve">Нет</x:t>
        </x:is>
      </x:c>
      <x:c r="S1046" s="31" t="inlineStr">
        <x:is>
          <x:t xml:space="preserve">Нет</x:t>
        </x:is>
      </x:c>
    </x:row>
    <x:row r="1047">
      <x:c r="A1047" s="31" t="inlineStr">
        <x:is>
          <x:t xml:space="preserve">ОП-001046</x:t>
        </x:is>
      </x:c>
      <x:c r="B1047" s="31" t="inlineStr">
        <x:is>
          <x:t xml:space="preserve">ПЗ-00125</x:t>
        </x:is>
      </x:c>
      <x:c r="C1047" s="31" t="inlineStr">
        <x:is>
          <x:t xml:space="preserve">ЗК-1060</x:t>
        </x:is>
      </x:c>
      <x:c r="D1047" s="31" t="inlineStr">
        <x:is>
          <x:t xml:space="preserve">ПОЗ-0060-3</x:t>
        </x:is>
      </x:c>
      <x:c r="E1047" s="31" t="inlineStr">
        <x:is>
          <x:t xml:space="preserve">ИЗД-045</x:t>
        </x:is>
      </x:c>
      <x:c r="F1047" s="31" t="n">
        <x:v>70</x:v>
      </x:c>
      <x:c r="G1047" s="31" t="inlineStr">
        <x:is>
          <x:t xml:space="preserve">Приемочные испытания</x:t>
        </x:is>
      </x:c>
      <x:c r="H1047" s="31" t="inlineStr">
        <x:is>
          <x:t xml:space="preserve">ОТК</x:t>
        </x:is>
      </x:c>
      <x:c r="I1047" s="31" t="inlineStr">
        <x:is>
          <x:t xml:space="preserve">ОБ-007</x:t>
        </x:is>
      </x:c>
      <x:c r="J1047" s="31" t="inlineStr">
        <x:is>
          <x:t xml:space="preserve">СОТР-063</x:t>
        </x:is>
      </x:c>
      <x:c r="K1047" s="31" t="n">
        <x:v>2.9</x:v>
      </x:c>
      <x:c r="L1047" s="31" t="n">
        <x:v>2.6</x:v>
      </x:c>
      <x:c r="M1047" s="31" t="n">
        <x:v>46202</x:v>
      </x:c>
      <x:c r="N1047" s="31" t="n">
        <x:v>46203</x:v>
      </x:c>
      <x:c r="O1047" s="31" t="n">
        <x:v>46202</x:v>
      </x:c>
      <x:c r="P1047" s="31" t="n">
        <x:v>46205</x:v>
      </x:c>
      <x:c r="Q1047" s="31" t="inlineStr">
        <x:is>
          <x:t xml:space="preserve">Завершено</x:t>
        </x:is>
      </x:c>
      <x:c r="R1047" s="31" t="inlineStr">
        <x:is>
          <x:t xml:space="preserve">Нет</x:t>
        </x:is>
      </x:c>
      <x:c r="S1047" s="31" t="inlineStr">
        <x:is>
          <x:t xml:space="preserve">Нет</x:t>
        </x:is>
      </x:c>
    </x:row>
    <x:row r="1048">
      <x:c r="A1048" s="31" t="inlineStr">
        <x:is>
          <x:t xml:space="preserve">ОП-001047</x:t>
        </x:is>
      </x:c>
      <x:c r="B1048" s="31" t="inlineStr">
        <x:is>
          <x:t xml:space="preserve">ПЗ-00125</x:t>
        </x:is>
      </x:c>
      <x:c r="C1048" s="31" t="inlineStr">
        <x:is>
          <x:t xml:space="preserve">ЗК-1060</x:t>
        </x:is>
      </x:c>
      <x:c r="D1048" s="31" t="inlineStr">
        <x:is>
          <x:t xml:space="preserve">ПОЗ-0060-3</x:t>
        </x:is>
      </x:c>
      <x:c r="E1048" s="31" t="inlineStr">
        <x:is>
          <x:t xml:space="preserve">ИЗД-045</x:t>
        </x:is>
      </x:c>
      <x:c r="F1048" s="31" t="n">
        <x:v>80</x:v>
      </x:c>
      <x:c r="G1048" s="31" t="inlineStr">
        <x:is>
          <x:t xml:space="preserve">ОТК</x:t>
        </x:is>
      </x:c>
      <x:c r="H1048" s="31" t="inlineStr">
        <x:is>
          <x:t xml:space="preserve">ОТК</x:t>
        </x:is>
      </x:c>
      <x:c r="I1048" s="31" t="inlineStr">
        <x:is>
          <x:t xml:space="preserve">ОБ-033</x:t>
        </x:is>
      </x:c>
      <x:c r="J1048" s="31" t="inlineStr">
        <x:is>
          <x:t xml:space="preserve">СОТР-096</x:t>
        </x:is>
      </x:c>
      <x:c r="K1048" s="31" t="n">
        <x:v>11.9</x:v>
      </x:c>
      <x:c r="L1048" s="31" t="n">
        <x:v>12.4</x:v>
      </x:c>
      <x:c r="M1048" s="31" t="n">
        <x:v>46203</x:v>
      </x:c>
      <x:c r="N1048" s="31" t="n">
        <x:v>46204</x:v>
      </x:c>
      <x:c r="O1048" s="31" t="n">
        <x:v>46203</x:v>
      </x:c>
      <x:c r="P1048" s="31" t="n">
        <x:v>46205</x:v>
      </x:c>
      <x:c r="Q1048" s="31" t="inlineStr">
        <x:is>
          <x:t xml:space="preserve">Завершено</x:t>
        </x:is>
      </x:c>
      <x:c r="R1048" s="31" t="inlineStr">
        <x:is>
          <x:t xml:space="preserve">Нет</x:t>
        </x:is>
      </x:c>
      <x:c r="S1048" s="31" t="inlineStr">
        <x:is>
          <x:t xml:space="preserve">Да</x:t>
        </x:is>
      </x:c>
    </x:row>
    <x:row r="1049">
      <x:c r="A1049" s="31" t="inlineStr">
        <x:is>
          <x:t xml:space="preserve">ОП-001048</x:t>
        </x:is>
      </x:c>
      <x:c r="B1049" s="31" t="inlineStr">
        <x:is>
          <x:t xml:space="preserve">ПЗ-00125</x:t>
        </x:is>
      </x:c>
      <x:c r="C1049" s="31" t="inlineStr">
        <x:is>
          <x:t xml:space="preserve">ЗК-1060</x:t>
        </x:is>
      </x:c>
      <x:c r="D1049" s="31" t="inlineStr">
        <x:is>
          <x:t xml:space="preserve">ПОЗ-0060-3</x:t>
        </x:is>
      </x:c>
      <x:c r="E1049" s="31" t="inlineStr">
        <x:is>
          <x:t xml:space="preserve">ИЗД-045</x:t>
        </x:is>
      </x:c>
      <x:c r="F1049" s="31" t="n">
        <x:v>90</x:v>
      </x:c>
      <x:c r="G1049" s="31" t="inlineStr">
        <x:is>
          <x:t xml:space="preserve">Упаковка</x:t>
        </x:is>
      </x:c>
      <x:c r="H1049" s="31" t="inlineStr">
        <x:is>
          <x:t xml:space="preserve">Логистика</x:t>
        </x:is>
      </x:c>
      <x:c r="I1049" s="31" t="n"/>
      <x:c r="J1049" s="31" t="inlineStr">
        <x:is>
          <x:t xml:space="preserve">СОТР-102</x:t>
        </x:is>
      </x:c>
      <x:c r="K1049" s="31" t="n">
        <x:v>3</x:v>
      </x:c>
      <x:c r="L1049" s="31" t="n">
        <x:v>3.2</x:v>
      </x:c>
      <x:c r="M1049" s="31" t="n">
        <x:v>46204</x:v>
      </x:c>
      <x:c r="N1049" s="31" t="n">
        <x:v>46205</x:v>
      </x:c>
      <x:c r="O1049" s="31" t="n">
        <x:v>46204</x:v>
      </x:c>
      <x:c r="P1049" s="31" t="n">
        <x:v>46207</x:v>
      </x:c>
      <x:c r="Q1049" s="31" t="inlineStr">
        <x:is>
          <x:t xml:space="preserve">Завершено</x:t>
        </x:is>
      </x:c>
      <x:c r="R1049" s="31" t="inlineStr">
        <x:is>
          <x:t xml:space="preserve">Нет</x:t>
        </x:is>
      </x:c>
      <x:c r="S1049" s="31" t="inlineStr">
        <x:is>
          <x:t xml:space="preserve">Нет</x:t>
        </x:is>
      </x:c>
    </x:row>
    <x:row r="1050">
      <x:c r="A1050" s="31" t="inlineStr">
        <x:is>
          <x:t xml:space="preserve">ОП-001049</x:t>
        </x:is>
      </x:c>
      <x:c r="B1050" s="31" t="inlineStr">
        <x:is>
          <x:t xml:space="preserve">ПЗ-00126</x:t>
        </x:is>
      </x:c>
      <x:c r="C1050" s="31" t="inlineStr">
        <x:is>
          <x:t xml:space="preserve">ЗК-1061</x:t>
        </x:is>
      </x:c>
      <x:c r="D1050" s="31" t="inlineStr">
        <x:is>
          <x:t xml:space="preserve">ПОЗ-0061-1</x:t>
        </x:is>
      </x:c>
      <x:c r="E1050" s="31" t="inlineStr">
        <x:is>
          <x:t xml:space="preserve">ИЗД-018</x:t>
        </x:is>
      </x:c>
      <x:c r="F1050" s="31" t="n">
        <x:v>10</x:v>
      </x:c>
      <x:c r="G1050" s="31" t="inlineStr">
        <x:is>
          <x:t xml:space="preserve">КД</x:t>
        </x:is>
      </x:c>
      <x:c r="H1050" s="31" t="inlineStr">
        <x:is>
          <x:t xml:space="preserve">Инженерный отдел</x:t>
        </x:is>
      </x:c>
      <x:c r="I1050" s="31" t="n"/>
      <x:c r="J1050" s="31" t="inlineStr">
        <x:is>
          <x:t xml:space="preserve">СОТР-014</x:t>
        </x:is>
      </x:c>
      <x:c r="K1050" s="31" t="n">
        <x:v>4.6</x:v>
      </x:c>
      <x:c r="L1050" s="31" t="n">
        <x:v>4.2</x:v>
      </x:c>
      <x:c r="M1050" s="31" t="n">
        <x:v>46154</x:v>
      </x:c>
      <x:c r="N1050" s="31" t="n">
        <x:v>46155</x:v>
      </x:c>
      <x:c r="O1050" s="31" t="n">
        <x:v>46154</x:v>
      </x:c>
      <x:c r="P1050" s="31" t="n">
        <x:v>46154</x:v>
      </x:c>
      <x:c r="Q1050" s="31" t="inlineStr">
        <x:is>
          <x:t xml:space="preserve">Завершено</x:t>
        </x:is>
      </x:c>
      <x:c r="R1050" s="31" t="inlineStr">
        <x:is>
          <x:t xml:space="preserve">Нет</x:t>
        </x:is>
      </x:c>
      <x:c r="S1050" s="31" t="inlineStr">
        <x:is>
          <x:t xml:space="preserve">Нет</x:t>
        </x:is>
      </x:c>
    </x:row>
    <x:row r="1051">
      <x:c r="A1051" s="31" t="inlineStr">
        <x:is>
          <x:t xml:space="preserve">ОП-001050</x:t>
        </x:is>
      </x:c>
      <x:c r="B1051" s="31" t="inlineStr">
        <x:is>
          <x:t xml:space="preserve">ПЗ-00126</x:t>
        </x:is>
      </x:c>
      <x:c r="C1051" s="31" t="inlineStr">
        <x:is>
          <x:t xml:space="preserve">ЗК-1061</x:t>
        </x:is>
      </x:c>
      <x:c r="D1051" s="31" t="inlineStr">
        <x:is>
          <x:t xml:space="preserve">ПОЗ-0061-1</x:t>
        </x:is>
      </x:c>
      <x:c r="E1051" s="31" t="inlineStr">
        <x:is>
          <x:t xml:space="preserve">ИЗД-018</x:t>
        </x:is>
      </x:c>
      <x:c r="F1051" s="31" t="n">
        <x:v>20</x:v>
      </x:c>
      <x:c r="G1051" s="31" t="inlineStr">
        <x:is>
          <x:t xml:space="preserve">Комплектация</x:t>
        </x:is>
      </x:c>
      <x:c r="H1051" s="31" t="inlineStr">
        <x:is>
          <x:t xml:space="preserve">Склад</x:t>
        </x:is>
      </x:c>
      <x:c r="I1051" s="31" t="inlineStr">
        <x:is>
          <x:t xml:space="preserve">ОБ-009</x:t>
        </x:is>
      </x:c>
      <x:c r="J1051" s="31" t="inlineStr">
        <x:is>
          <x:t xml:space="preserve">СОТР-035</x:t>
        </x:is>
      </x:c>
      <x:c r="K1051" s="31" t="n">
        <x:v>11.2</x:v>
      </x:c>
      <x:c r="L1051" s="31" t="n">
        <x:v>13.7</x:v>
      </x:c>
      <x:c r="M1051" s="31" t="n">
        <x:v>46155</x:v>
      </x:c>
      <x:c r="N1051" s="31" t="n">
        <x:v>46156</x:v>
      </x:c>
      <x:c r="O1051" s="31" t="n">
        <x:v>46155</x:v>
      </x:c>
      <x:c r="P1051" s="31" t="n">
        <x:v>46155</x:v>
      </x:c>
      <x:c r="Q1051" s="31" t="inlineStr">
        <x:is>
          <x:t xml:space="preserve">Завершено</x:t>
        </x:is>
      </x:c>
      <x:c r="R1051" s="31" t="inlineStr">
        <x:is>
          <x:t xml:space="preserve">Материал</x:t>
        </x:is>
      </x:c>
      <x:c r="S1051" s="31" t="inlineStr">
        <x:is>
          <x:t xml:space="preserve">Нет</x:t>
        </x:is>
      </x:c>
    </x:row>
    <x:row r="1052">
      <x:c r="A1052" s="31" t="inlineStr">
        <x:is>
          <x:t xml:space="preserve">ОП-001051</x:t>
        </x:is>
      </x:c>
      <x:c r="B1052" s="31" t="inlineStr">
        <x:is>
          <x:t xml:space="preserve">ПЗ-00126</x:t>
        </x:is>
      </x:c>
      <x:c r="C1052" s="31" t="inlineStr">
        <x:is>
          <x:t xml:space="preserve">ЗК-1061</x:t>
        </x:is>
      </x:c>
      <x:c r="D1052" s="31" t="inlineStr">
        <x:is>
          <x:t xml:space="preserve">ПОЗ-0061-1</x:t>
        </x:is>
      </x:c>
      <x:c r="E1052" s="31" t="inlineStr">
        <x:is>
          <x:t xml:space="preserve">ИЗД-018</x:t>
        </x:is>
      </x:c>
      <x:c r="F1052" s="31" t="n">
        <x:v>30</x:v>
      </x:c>
      <x:c r="G1052" s="31" t="inlineStr">
        <x:is>
          <x:t xml:space="preserve">Сборка шкафа</x:t>
        </x:is>
      </x:c>
      <x:c r="H1052" s="31" t="inlineStr">
        <x:is>
          <x:t xml:space="preserve">Сборка</x:t>
        </x:is>
      </x:c>
      <x:c r="I1052" s="31" t="inlineStr">
        <x:is>
          <x:t xml:space="preserve">ОБ-034</x:t>
        </x:is>
      </x:c>
      <x:c r="J1052" s="31" t="inlineStr">
        <x:is>
          <x:t xml:space="preserve">СОТР-074</x:t>
        </x:is>
      </x:c>
      <x:c r="K1052" s="31" t="n">
        <x:v>4.4</x:v>
      </x:c>
      <x:c r="L1052" s="31" t="n">
        <x:v>4.7</x:v>
      </x:c>
      <x:c r="M1052" s="31" t="n">
        <x:v>46156</x:v>
      </x:c>
      <x:c r="N1052" s="31" t="n">
        <x:v>46157</x:v>
      </x:c>
      <x:c r="O1052" s="31" t="n">
        <x:v>46156</x:v>
      </x:c>
      <x:c r="P1052" s="31" t="n">
        <x:v>46158</x:v>
      </x:c>
      <x:c r="Q1052" s="31" t="inlineStr">
        <x:is>
          <x:t xml:space="preserve">Завершено</x:t>
        </x:is>
      </x:c>
      <x:c r="R1052" s="31" t="inlineStr">
        <x:is>
          <x:t xml:space="preserve">Нет</x:t>
        </x:is>
      </x:c>
      <x:c r="S1052" s="31" t="inlineStr">
        <x:is>
          <x:t xml:space="preserve">Нет</x:t>
        </x:is>
      </x:c>
    </x:row>
    <x:row r="1053">
      <x:c r="A1053" s="31" t="inlineStr">
        <x:is>
          <x:t xml:space="preserve">ОП-001052</x:t>
        </x:is>
      </x:c>
      <x:c r="B1053" s="31" t="inlineStr">
        <x:is>
          <x:t xml:space="preserve">ПЗ-00126</x:t>
        </x:is>
      </x:c>
      <x:c r="C1053" s="31" t="inlineStr">
        <x:is>
          <x:t xml:space="preserve">ЗК-1061</x:t>
        </x:is>
      </x:c>
      <x:c r="D1053" s="31" t="inlineStr">
        <x:is>
          <x:t xml:space="preserve">ПОЗ-0061-1</x:t>
        </x:is>
      </x:c>
      <x:c r="E1053" s="31" t="inlineStr">
        <x:is>
          <x:t xml:space="preserve">ИЗД-018</x:t>
        </x:is>
      </x:c>
      <x:c r="F1053" s="31" t="n">
        <x:v>40</x:v>
      </x:c>
      <x:c r="G1053" s="31" t="inlineStr">
        <x:is>
          <x:t xml:space="preserve">Маркировка</x:t>
        </x:is>
      </x:c>
      <x:c r="H1053" s="31" t="inlineStr">
        <x:is>
          <x:t xml:space="preserve">Сборка</x:t>
        </x:is>
      </x:c>
      <x:c r="I1053" s="31" t="inlineStr">
        <x:is>
          <x:t xml:space="preserve">ОБ-016</x:t>
        </x:is>
      </x:c>
      <x:c r="J1053" s="31" t="inlineStr">
        <x:is>
          <x:t xml:space="preserve">СОТР-078</x:t>
        </x:is>
      </x:c>
      <x:c r="K1053" s="31" t="n">
        <x:v>17.2</x:v>
      </x:c>
      <x:c r="L1053" s="31" t="n">
        <x:v>14.2</x:v>
      </x:c>
      <x:c r="M1053" s="31" t="n">
        <x:v>46157</x:v>
      </x:c>
      <x:c r="N1053" s="31" t="n">
        <x:v>46159</x:v>
      </x:c>
      <x:c r="O1053" s="31" t="n">
        <x:v>46157</x:v>
      </x:c>
      <x:c r="P1053" s="31" t="n">
        <x:v>46161</x:v>
      </x:c>
      <x:c r="Q1053" s="31" t="inlineStr">
        <x:is>
          <x:t xml:space="preserve">Завершено</x:t>
        </x:is>
      </x:c>
      <x:c r="R1053" s="31" t="inlineStr">
        <x:is>
          <x:t xml:space="preserve">Нет</x:t>
        </x:is>
      </x:c>
      <x:c r="S1053" s="31" t="inlineStr">
        <x:is>
          <x:t xml:space="preserve">Нет</x:t>
        </x:is>
      </x:c>
    </x:row>
    <x:row r="1054">
      <x:c r="A1054" s="31" t="inlineStr">
        <x:is>
          <x:t xml:space="preserve">ОП-001053</x:t>
        </x:is>
      </x:c>
      <x:c r="B1054" s="31" t="inlineStr">
        <x:is>
          <x:t xml:space="preserve">ПЗ-00126</x:t>
        </x:is>
      </x:c>
      <x:c r="C1054" s="31" t="inlineStr">
        <x:is>
          <x:t xml:space="preserve">ЗК-1061</x:t>
        </x:is>
      </x:c>
      <x:c r="D1054" s="31" t="inlineStr">
        <x:is>
          <x:t xml:space="preserve">ПОЗ-0061-1</x:t>
        </x:is>
      </x:c>
      <x:c r="E1054" s="31" t="inlineStr">
        <x:is>
          <x:t xml:space="preserve">ИЗД-018</x:t>
        </x:is>
      </x:c>
      <x:c r="F1054" s="31" t="n">
        <x:v>50</x:v>
      </x:c>
      <x:c r="G1054" s="31" t="inlineStr">
        <x:is>
          <x:t xml:space="preserve">Электромонтаж</x:t>
        </x:is>
      </x:c>
      <x:c r="H1054" s="31" t="inlineStr">
        <x:is>
          <x:t xml:space="preserve">Сборка</x:t>
        </x:is>
      </x:c>
      <x:c r="I1054" s="31" t="inlineStr">
        <x:is>
          <x:t xml:space="preserve">ОБ-017</x:t>
        </x:is>
      </x:c>
      <x:c r="J1054" s="31" t="inlineStr">
        <x:is>
          <x:t xml:space="preserve">СОТР-086</x:t>
        </x:is>
      </x:c>
      <x:c r="K1054" s="31" t="n">
        <x:v>7.8</x:v>
      </x:c>
      <x:c r="L1054" s="31" t="n">
        <x:v>10.4</x:v>
      </x:c>
      <x:c r="M1054" s="31" t="n">
        <x:v>46159</x:v>
      </x:c>
      <x:c r="N1054" s="31" t="n">
        <x:v>46160</x:v>
      </x:c>
      <x:c r="O1054" s="31" t="n">
        <x:v>46159</x:v>
      </x:c>
      <x:c r="P1054" s="31" t="n">
        <x:v>46162</x:v>
      </x:c>
      <x:c r="Q1054" s="31" t="inlineStr">
        <x:is>
          <x:t xml:space="preserve">Завершено</x:t>
        </x:is>
      </x:c>
      <x:c r="R1054" s="31" t="inlineStr">
        <x:is>
          <x:t xml:space="preserve">Оборудование</x:t>
        </x:is>
      </x:c>
      <x:c r="S1054" s="31" t="inlineStr">
        <x:is>
          <x:t xml:space="preserve">Нет</x:t>
        </x:is>
      </x:c>
    </x:row>
    <x:row r="1055">
      <x:c r="A1055" s="31" t="inlineStr">
        <x:is>
          <x:t xml:space="preserve">ОП-001054</x:t>
        </x:is>
      </x:c>
      <x:c r="B1055" s="31" t="inlineStr">
        <x:is>
          <x:t xml:space="preserve">ПЗ-00126</x:t>
        </x:is>
      </x:c>
      <x:c r="C1055" s="31" t="inlineStr">
        <x:is>
          <x:t xml:space="preserve">ЗК-1061</x:t>
        </x:is>
      </x:c>
      <x:c r="D1055" s="31" t="inlineStr">
        <x:is>
          <x:t xml:space="preserve">ПОЗ-0061-1</x:t>
        </x:is>
      </x:c>
      <x:c r="E1055" s="31" t="inlineStr">
        <x:is>
          <x:t xml:space="preserve">ИЗД-018</x:t>
        </x:is>
      </x:c>
      <x:c r="F1055" s="31" t="n">
        <x:v>60</x:v>
      </x:c>
      <x:c r="G1055" s="31" t="inlineStr">
        <x:is>
          <x:t xml:space="preserve">Программирование ПЛК</x:t>
        </x:is>
      </x:c>
      <x:c r="H1055" s="31" t="inlineStr">
        <x:is>
          <x:t xml:space="preserve">Инженерный отдел</x:t>
        </x:is>
      </x:c>
      <x:c r="I1055" s="31" t="n"/>
      <x:c r="J1055" s="31" t="inlineStr">
        <x:is>
          <x:t xml:space="preserve">СОТР-020</x:t>
        </x:is>
      </x:c>
      <x:c r="K1055" s="31" t="n">
        <x:v>13</x:v>
      </x:c>
      <x:c r="L1055" s="31" t="n">
        <x:v>13.6</x:v>
      </x:c>
      <x:c r="M1055" s="31" t="n">
        <x:v>46160</x:v>
      </x:c>
      <x:c r="N1055" s="31" t="n">
        <x:v>46162</x:v>
      </x:c>
      <x:c r="O1055" s="31" t="n">
        <x:v>46160</x:v>
      </x:c>
      <x:c r="P1055" s="31" t="n">
        <x:v>46161</x:v>
      </x:c>
      <x:c r="Q1055" s="31" t="inlineStr">
        <x:is>
          <x:t xml:space="preserve">Завершено</x:t>
        </x:is>
      </x:c>
      <x:c r="R1055" s="31" t="inlineStr">
        <x:is>
          <x:t xml:space="preserve">Нет</x:t>
        </x:is>
      </x:c>
      <x:c r="S1055" s="31" t="inlineStr">
        <x:is>
          <x:t xml:space="preserve">Нет</x:t>
        </x:is>
      </x:c>
    </x:row>
    <x:row r="1056">
      <x:c r="A1056" s="31" t="inlineStr">
        <x:is>
          <x:t xml:space="preserve">ОП-001055</x:t>
        </x:is>
      </x:c>
      <x:c r="B1056" s="31" t="inlineStr">
        <x:is>
          <x:t xml:space="preserve">ПЗ-00126</x:t>
        </x:is>
      </x:c>
      <x:c r="C1056" s="31" t="inlineStr">
        <x:is>
          <x:t xml:space="preserve">ЗК-1061</x:t>
        </x:is>
      </x:c>
      <x:c r="D1056" s="31" t="inlineStr">
        <x:is>
          <x:t xml:space="preserve">ПОЗ-0061-1</x:t>
        </x:is>
      </x:c>
      <x:c r="E1056" s="31" t="inlineStr">
        <x:is>
          <x:t xml:space="preserve">ИЗД-018</x:t>
        </x:is>
      </x:c>
      <x:c r="F1056" s="31" t="n">
        <x:v>70</x:v>
      </x:c>
      <x:c r="G1056" s="31" t="inlineStr">
        <x:is>
          <x:t xml:space="preserve">Приемочные испытания</x:t>
        </x:is>
      </x:c>
      <x:c r="H1056" s="31" t="inlineStr">
        <x:is>
          <x:t xml:space="preserve">ОТК</x:t>
        </x:is>
      </x:c>
      <x:c r="I1056" s="31" t="inlineStr">
        <x:is>
          <x:t xml:space="preserve">ОБ-033</x:t>
        </x:is>
      </x:c>
      <x:c r="J1056" s="31" t="inlineStr">
        <x:is>
          <x:t xml:space="preserve">СОТР-099</x:t>
        </x:is>
      </x:c>
      <x:c r="K1056" s="31" t="n">
        <x:v>19.8</x:v>
      </x:c>
      <x:c r="L1056" s="31" t="n">
        <x:v>23.3</x:v>
      </x:c>
      <x:c r="M1056" s="31" t="n">
        <x:v>46162</x:v>
      </x:c>
      <x:c r="N1056" s="31" t="n">
        <x:v>46164</x:v>
      </x:c>
      <x:c r="O1056" s="31" t="n">
        <x:v>46162</x:v>
      </x:c>
      <x:c r="P1056" s="31" t="n">
        <x:v>46166</x:v>
      </x:c>
      <x:c r="Q1056" s="31" t="inlineStr">
        <x:is>
          <x:t xml:space="preserve">Завершено</x:t>
        </x:is>
      </x:c>
      <x:c r="R1056" s="31" t="inlineStr">
        <x:is>
          <x:t xml:space="preserve">Нет</x:t>
        </x:is>
      </x:c>
      <x:c r="S1056" s="31" t="inlineStr">
        <x:is>
          <x:t xml:space="preserve">Да</x:t>
        </x:is>
      </x:c>
    </x:row>
    <x:row r="1057">
      <x:c r="A1057" s="31" t="inlineStr">
        <x:is>
          <x:t xml:space="preserve">ОП-001056</x:t>
        </x:is>
      </x:c>
      <x:c r="B1057" s="31" t="inlineStr">
        <x:is>
          <x:t xml:space="preserve">ПЗ-00126</x:t>
        </x:is>
      </x:c>
      <x:c r="C1057" s="31" t="inlineStr">
        <x:is>
          <x:t xml:space="preserve">ЗК-1061</x:t>
        </x:is>
      </x:c>
      <x:c r="D1057" s="31" t="inlineStr">
        <x:is>
          <x:t xml:space="preserve">ПОЗ-0061-1</x:t>
        </x:is>
      </x:c>
      <x:c r="E1057" s="31" t="inlineStr">
        <x:is>
          <x:t xml:space="preserve">ИЗД-018</x:t>
        </x:is>
      </x:c>
      <x:c r="F1057" s="31" t="n">
        <x:v>80</x:v>
      </x:c>
      <x:c r="G1057" s="31" t="inlineStr">
        <x:is>
          <x:t xml:space="preserve">ОТК</x:t>
        </x:is>
      </x:c>
      <x:c r="H1057" s="31" t="inlineStr">
        <x:is>
          <x:t xml:space="preserve">ОТК</x:t>
        </x:is>
      </x:c>
      <x:c r="I1057" s="31" t="inlineStr">
        <x:is>
          <x:t xml:space="preserve">ОБ-006</x:t>
        </x:is>
      </x:c>
      <x:c r="J1057" s="31" t="inlineStr">
        <x:is>
          <x:t xml:space="preserve">СОТР-095</x:t>
        </x:is>
      </x:c>
      <x:c r="K1057" s="31" t="n">
        <x:v>6.2</x:v>
      </x:c>
      <x:c r="L1057" s="31" t="n">
        <x:v>5.7</x:v>
      </x:c>
      <x:c r="M1057" s="31" t="n">
        <x:v>46164</x:v>
      </x:c>
      <x:c r="N1057" s="31" t="n">
        <x:v>46165</x:v>
      </x:c>
      <x:c r="O1057" s="31" t="n">
        <x:v>46164</x:v>
      </x:c>
      <x:c r="P1057" s="31" t="n">
        <x:v>46166</x:v>
      </x:c>
      <x:c r="Q1057" s="31" t="inlineStr">
        <x:is>
          <x:t xml:space="preserve">Завершено</x:t>
        </x:is>
      </x:c>
      <x:c r="R1057" s="31" t="inlineStr">
        <x:is>
          <x:t xml:space="preserve">Нет</x:t>
        </x:is>
      </x:c>
      <x:c r="S1057" s="31" t="inlineStr">
        <x:is>
          <x:t xml:space="preserve">Да</x:t>
        </x:is>
      </x:c>
    </x:row>
    <x:row r="1058">
      <x:c r="A1058" s="31" t="inlineStr">
        <x:is>
          <x:t xml:space="preserve">ОП-001057</x:t>
        </x:is>
      </x:c>
      <x:c r="B1058" s="31" t="inlineStr">
        <x:is>
          <x:t xml:space="preserve">ПЗ-00126</x:t>
        </x:is>
      </x:c>
      <x:c r="C1058" s="31" t="inlineStr">
        <x:is>
          <x:t xml:space="preserve">ЗК-1061</x:t>
        </x:is>
      </x:c>
      <x:c r="D1058" s="31" t="inlineStr">
        <x:is>
          <x:t xml:space="preserve">ПОЗ-0061-1</x:t>
        </x:is>
      </x:c>
      <x:c r="E1058" s="31" t="inlineStr">
        <x:is>
          <x:t xml:space="preserve">ИЗД-018</x:t>
        </x:is>
      </x:c>
      <x:c r="F1058" s="31" t="n">
        <x:v>90</x:v>
      </x:c>
      <x:c r="G1058" s="31" t="inlineStr">
        <x:is>
          <x:t xml:space="preserve">Упаковка</x:t>
        </x:is>
      </x:c>
      <x:c r="H1058" s="31" t="inlineStr">
        <x:is>
          <x:t xml:space="preserve">Логистика</x:t>
        </x:is>
      </x:c>
      <x:c r="I1058" s="31" t="n"/>
      <x:c r="J1058" s="31" t="inlineStr">
        <x:is>
          <x:t xml:space="preserve">СОТР-103</x:t>
        </x:is>
      </x:c>
      <x:c r="K1058" s="31" t="n">
        <x:v>4.6</x:v>
      </x:c>
      <x:c r="L1058" s="31" t="n">
        <x:v>4.6</x:v>
      </x:c>
      <x:c r="M1058" s="31" t="n">
        <x:v>46165</x:v>
      </x:c>
      <x:c r="N1058" s="31" t="n">
        <x:v>46166</x:v>
      </x:c>
      <x:c r="O1058" s="31" t="n">
        <x:v>46165</x:v>
      </x:c>
      <x:c r="P1058" s="31" t="n">
        <x:v>46166</x:v>
      </x:c>
      <x:c r="Q1058" s="31" t="inlineStr">
        <x:is>
          <x:t xml:space="preserve">Завершено</x:t>
        </x:is>
      </x:c>
      <x:c r="R1058" s="31" t="inlineStr">
        <x:is>
          <x:t xml:space="preserve">Нет</x:t>
        </x:is>
      </x:c>
      <x:c r="S1058" s="31" t="inlineStr">
        <x:is>
          <x:t xml:space="preserve">Да</x:t>
        </x:is>
      </x:c>
    </x:row>
    <x:row r="1059">
      <x:c r="A1059" s="31" t="inlineStr">
        <x:is>
          <x:t xml:space="preserve">ОП-001058</x:t>
        </x:is>
      </x:c>
      <x:c r="B1059" s="31" t="inlineStr">
        <x:is>
          <x:t xml:space="preserve">ПЗ-00127</x:t>
        </x:is>
      </x:c>
      <x:c r="C1059" s="31" t="inlineStr">
        <x:is>
          <x:t xml:space="preserve">ЗК-1061</x:t>
        </x:is>
      </x:c>
      <x:c r="D1059" s="31" t="inlineStr">
        <x:is>
          <x:t xml:space="preserve">ПОЗ-0061-2</x:t>
        </x:is>
      </x:c>
      <x:c r="E1059" s="31" t="inlineStr">
        <x:is>
          <x:t xml:space="preserve">ИЗД-013</x:t>
        </x:is>
      </x:c>
      <x:c r="F1059" s="31" t="n">
        <x:v>10</x:v>
      </x:c>
      <x:c r="G1059" s="31" t="inlineStr">
        <x:is>
          <x:t xml:space="preserve">КД</x:t>
        </x:is>
      </x:c>
      <x:c r="H1059" s="31" t="inlineStr">
        <x:is>
          <x:t xml:space="preserve">Инженерный отдел</x:t>
        </x:is>
      </x:c>
      <x:c r="I1059" s="31" t="n"/>
      <x:c r="J1059" s="31" t="inlineStr">
        <x:is>
          <x:t xml:space="preserve">СОТР-011</x:t>
        </x:is>
      </x:c>
      <x:c r="K1059" s="31" t="n">
        <x:v>35.8</x:v>
      </x:c>
      <x:c r="L1059" s="31" t="n">
        <x:v>43.9</x:v>
      </x:c>
      <x:c r="M1059" s="31" t="n">
        <x:v>46164</x:v>
      </x:c>
      <x:c r="N1059" s="31" t="n">
        <x:v>46167</x:v>
      </x:c>
      <x:c r="O1059" s="31" t="n">
        <x:v>46164</x:v>
      </x:c>
      <x:c r="P1059" s="31" t="n">
        <x:v>46168</x:v>
      </x:c>
      <x:c r="Q1059" s="31" t="inlineStr">
        <x:is>
          <x:t xml:space="preserve">Завершено</x:t>
        </x:is>
      </x:c>
      <x:c r="R1059" s="31" t="inlineStr">
        <x:is>
          <x:t xml:space="preserve">Нет</x:t>
        </x:is>
      </x:c>
      <x:c r="S1059" s="31" t="inlineStr">
        <x:is>
          <x:t xml:space="preserve">Нет</x:t>
        </x:is>
      </x:c>
    </x:row>
    <x:row r="1060">
      <x:c r="A1060" s="31" t="inlineStr">
        <x:is>
          <x:t xml:space="preserve">ОП-001059</x:t>
        </x:is>
      </x:c>
      <x:c r="B1060" s="31" t="inlineStr">
        <x:is>
          <x:t xml:space="preserve">ПЗ-00127</x:t>
        </x:is>
      </x:c>
      <x:c r="C1060" s="31" t="inlineStr">
        <x:is>
          <x:t xml:space="preserve">ЗК-1061</x:t>
        </x:is>
      </x:c>
      <x:c r="D1060" s="31" t="inlineStr">
        <x:is>
          <x:t xml:space="preserve">ПОЗ-0061-2</x:t>
        </x:is>
      </x:c>
      <x:c r="E1060" s="31" t="inlineStr">
        <x:is>
          <x:t xml:space="preserve">ИЗД-013</x:t>
        </x:is>
      </x:c>
      <x:c r="F1060" s="31" t="n">
        <x:v>20</x:v>
      </x:c>
      <x:c r="G1060" s="31" t="inlineStr">
        <x:is>
          <x:t xml:space="preserve">Резка металла</x:t>
        </x:is>
      </x:c>
      <x:c r="H1060" s="31" t="inlineStr">
        <x:is>
          <x:t xml:space="preserve">Сварка</x:t>
        </x:is>
      </x:c>
      <x:c r="I1060" s="31" t="inlineStr">
        <x:is>
          <x:t xml:space="preserve">ОБ-021</x:t>
        </x:is>
      </x:c>
      <x:c r="J1060" s="31" t="inlineStr">
        <x:is>
          <x:t xml:space="preserve">СОТР-056</x:t>
        </x:is>
      </x:c>
      <x:c r="K1060" s="31" t="n">
        <x:v>20.4</x:v>
      </x:c>
      <x:c r="L1060" s="31" t="n">
        <x:v>21.6</x:v>
      </x:c>
      <x:c r="M1060" s="31" t="n">
        <x:v>46167</x:v>
      </x:c>
      <x:c r="N1060" s="31" t="n">
        <x:v>46169</x:v>
      </x:c>
      <x:c r="O1060" s="31" t="n">
        <x:v>46167</x:v>
      </x:c>
      <x:c r="P1060" s="31" t="n">
        <x:v>46169</x:v>
      </x:c>
      <x:c r="Q1060" s="31" t="inlineStr">
        <x:is>
          <x:t xml:space="preserve">Завершено</x:t>
        </x:is>
      </x:c>
      <x:c r="R1060" s="31" t="inlineStr">
        <x:is>
          <x:t xml:space="preserve">Нет</x:t>
        </x:is>
      </x:c>
      <x:c r="S1060" s="31" t="inlineStr">
        <x:is>
          <x:t xml:space="preserve">Нет</x:t>
        </x:is>
      </x:c>
    </x:row>
    <x:row r="1061">
      <x:c r="A1061" s="31" t="inlineStr">
        <x:is>
          <x:t xml:space="preserve">ОП-001060</x:t>
        </x:is>
      </x:c>
      <x:c r="B1061" s="31" t="inlineStr">
        <x:is>
          <x:t xml:space="preserve">ПЗ-00127</x:t>
        </x:is>
      </x:c>
      <x:c r="C1061" s="31" t="inlineStr">
        <x:is>
          <x:t xml:space="preserve">ЗК-1061</x:t>
        </x:is>
      </x:c>
      <x:c r="D1061" s="31" t="inlineStr">
        <x:is>
          <x:t xml:space="preserve">ПОЗ-0061-2</x:t>
        </x:is>
      </x:c>
      <x:c r="E1061" s="31" t="inlineStr">
        <x:is>
          <x:t xml:space="preserve">ИЗД-013</x:t>
        </x:is>
      </x:c>
      <x:c r="F1061" s="31" t="n">
        <x:v>30</x:v>
      </x:c>
      <x:c r="G1061" s="31" t="inlineStr">
        <x:is>
          <x:t xml:space="preserve">Сварка рамы</x:t>
        </x:is>
      </x:c>
      <x:c r="H1061" s="31" t="inlineStr">
        <x:is>
          <x:t xml:space="preserve">Сварка</x:t>
        </x:is>
      </x:c>
      <x:c r="I1061" s="31" t="inlineStr">
        <x:is>
          <x:t xml:space="preserve">ОБ-003</x:t>
        </x:is>
      </x:c>
      <x:c r="J1061" s="31" t="inlineStr">
        <x:is>
          <x:t xml:space="preserve">СОТР-072</x:t>
        </x:is>
      </x:c>
      <x:c r="K1061" s="31" t="n">
        <x:v>18.2</x:v>
      </x:c>
      <x:c r="L1061" s="31" t="n">
        <x:v>20.5</x:v>
      </x:c>
      <x:c r="M1061" s="31" t="n">
        <x:v>46169</x:v>
      </x:c>
      <x:c r="N1061" s="31" t="n">
        <x:v>46171</x:v>
      </x:c>
      <x:c r="O1061" s="31" t="n">
        <x:v>46169</x:v>
      </x:c>
      <x:c r="P1061" s="31" t="n">
        <x:v>46172</x:v>
      </x:c>
      <x:c r="Q1061" s="31" t="inlineStr">
        <x:is>
          <x:t xml:space="preserve">Завершено</x:t>
        </x:is>
      </x:c>
      <x:c r="R1061" s="31" t="inlineStr">
        <x:is>
          <x:t xml:space="preserve">Нет</x:t>
        </x:is>
      </x:c>
      <x:c r="S1061" s="31" t="inlineStr">
        <x:is>
          <x:t xml:space="preserve">Да</x:t>
        </x:is>
      </x:c>
    </x:row>
    <x:row r="1062">
      <x:c r="A1062" s="31" t="inlineStr">
        <x:is>
          <x:t xml:space="preserve">ОП-001061</x:t>
        </x:is>
      </x:c>
      <x:c r="B1062" s="31" t="inlineStr">
        <x:is>
          <x:t xml:space="preserve">ПЗ-00127</x:t>
        </x:is>
      </x:c>
      <x:c r="C1062" s="31" t="inlineStr">
        <x:is>
          <x:t xml:space="preserve">ЗК-1061</x:t>
        </x:is>
      </x:c>
      <x:c r="D1062" s="31" t="inlineStr">
        <x:is>
          <x:t xml:space="preserve">ПОЗ-0061-2</x:t>
        </x:is>
      </x:c>
      <x:c r="E1062" s="31" t="inlineStr">
        <x:is>
          <x:t xml:space="preserve">ИЗД-013</x:t>
        </x:is>
      </x:c>
      <x:c r="F1062" s="31" t="n">
        <x:v>40</x:v>
      </x:c>
      <x:c r="G1062" s="31" t="inlineStr">
        <x:is>
          <x:t xml:space="preserve">Пескоструй</x:t>
        </x:is>
      </x:c>
      <x:c r="H1062" s="31" t="inlineStr">
        <x:is>
          <x:t xml:space="preserve">Сварка</x:t>
        </x:is>
      </x:c>
      <x:c r="I1062" s="31" t="inlineStr">
        <x:is>
          <x:t xml:space="preserve">ОБ-026</x:t>
        </x:is>
      </x:c>
      <x:c r="J1062" s="31" t="inlineStr">
        <x:is>
          <x:t xml:space="preserve">СОТР-069</x:t>
        </x:is>
      </x:c>
      <x:c r="K1062" s="31" t="n">
        <x:v>28.6</x:v>
      </x:c>
      <x:c r="L1062" s="31" t="n">
        <x:v>27.8</x:v>
      </x:c>
      <x:c r="M1062" s="31" t="n">
        <x:v>46171</x:v>
      </x:c>
      <x:c r="N1062" s="31" t="n">
        <x:v>46174</x:v>
      </x:c>
      <x:c r="O1062" s="31" t="n">
        <x:v>46171</x:v>
      </x:c>
      <x:c r="P1062" s="31" t="n">
        <x:v>46173</x:v>
      </x:c>
      <x:c r="Q1062" s="31" t="inlineStr">
        <x:is>
          <x:t xml:space="preserve">Завершено</x:t>
        </x:is>
      </x:c>
      <x:c r="R1062" s="31" t="inlineStr">
        <x:is>
          <x:t xml:space="preserve">Нет</x:t>
        </x:is>
      </x:c>
      <x:c r="S1062" s="31" t="inlineStr">
        <x:is>
          <x:t xml:space="preserve">Нет</x:t>
        </x:is>
      </x:c>
    </x:row>
    <x:row r="1063">
      <x:c r="A1063" s="31" t="inlineStr">
        <x:is>
          <x:t xml:space="preserve">ОП-001062</x:t>
        </x:is>
      </x:c>
      <x:c r="B1063" s="31" t="inlineStr">
        <x:is>
          <x:t xml:space="preserve">ПЗ-00127</x:t>
        </x:is>
      </x:c>
      <x:c r="C1063" s="31" t="inlineStr">
        <x:is>
          <x:t xml:space="preserve">ЗК-1061</x:t>
        </x:is>
      </x:c>
      <x:c r="D1063" s="31" t="inlineStr">
        <x:is>
          <x:t xml:space="preserve">ПОЗ-0061-2</x:t>
        </x:is>
      </x:c>
      <x:c r="E1063" s="31" t="inlineStr">
        <x:is>
          <x:t xml:space="preserve">ИЗД-013</x:t>
        </x:is>
      </x:c>
      <x:c r="F1063" s="31" t="n">
        <x:v>50</x:v>
      </x:c>
      <x:c r="G1063" s="31" t="inlineStr">
        <x:is>
          <x:t xml:space="preserve">Покраска</x:t>
        </x:is>
      </x:c>
      <x:c r="H1063" s="31" t="inlineStr">
        <x:is>
          <x:t xml:space="preserve">Сварка</x:t>
        </x:is>
      </x:c>
      <x:c r="I1063" s="31" t="inlineStr">
        <x:is>
          <x:t xml:space="preserve">ОБ-003</x:t>
        </x:is>
      </x:c>
      <x:c r="J1063" s="31" t="inlineStr">
        <x:is>
          <x:t xml:space="preserve">СОТР-062</x:t>
        </x:is>
      </x:c>
      <x:c r="K1063" s="31" t="n">
        <x:v>24.2</x:v>
      </x:c>
      <x:c r="L1063" s="31" t="n">
        <x:v>20.1</x:v>
      </x:c>
      <x:c r="M1063" s="31" t="n">
        <x:v>46174</x:v>
      </x:c>
      <x:c r="N1063" s="31" t="n">
        <x:v>46177</x:v>
      </x:c>
      <x:c r="O1063" s="31" t="n">
        <x:v>46174</x:v>
      </x:c>
      <x:c r="P1063" s="31" t="n">
        <x:v>46179</x:v>
      </x:c>
      <x:c r="Q1063" s="31" t="inlineStr">
        <x:is>
          <x:t xml:space="preserve">Завершено</x:t>
        </x:is>
      </x:c>
      <x:c r="R1063" s="31" t="inlineStr">
        <x:is>
          <x:t xml:space="preserve">Нет</x:t>
        </x:is>
      </x:c>
      <x:c r="S1063" s="31" t="inlineStr">
        <x:is>
          <x:t xml:space="preserve">Нет</x:t>
        </x:is>
      </x:c>
    </x:row>
    <x:row r="1064">
      <x:c r="A1064" s="31" t="inlineStr">
        <x:is>
          <x:t xml:space="preserve">ОП-001063</x:t>
        </x:is>
      </x:c>
      <x:c r="B1064" s="31" t="inlineStr">
        <x:is>
          <x:t xml:space="preserve">ПЗ-00127</x:t>
        </x:is>
      </x:c>
      <x:c r="C1064" s="31" t="inlineStr">
        <x:is>
          <x:t xml:space="preserve">ЗК-1061</x:t>
        </x:is>
      </x:c>
      <x:c r="D1064" s="31" t="inlineStr">
        <x:is>
          <x:t xml:space="preserve">ПОЗ-0061-2</x:t>
        </x:is>
      </x:c>
      <x:c r="E1064" s="31" t="inlineStr">
        <x:is>
          <x:t xml:space="preserve">ИЗД-013</x:t>
        </x:is>
      </x:c>
      <x:c r="F1064" s="31" t="n">
        <x:v>60</x:v>
      </x:c>
      <x:c r="G1064" s="31" t="inlineStr">
        <x:is>
          <x:t xml:space="preserve">ОТК</x:t>
        </x:is>
      </x:c>
      <x:c r="H1064" s="31" t="inlineStr">
        <x:is>
          <x:t xml:space="preserve">ОТК</x:t>
        </x:is>
      </x:c>
      <x:c r="I1064" s="31" t="inlineStr">
        <x:is>
          <x:t xml:space="preserve">ОБ-001</x:t>
        </x:is>
      </x:c>
      <x:c r="J1064" s="31" t="inlineStr">
        <x:is>
          <x:t xml:space="preserve">СОТР-099</x:t>
        </x:is>
      </x:c>
      <x:c r="K1064" s="31" t="n">
        <x:v>32.4</x:v>
      </x:c>
      <x:c r="L1064" s="31" t="n">
        <x:v>38.6</x:v>
      </x:c>
      <x:c r="M1064" s="31" t="n">
        <x:v>46177</x:v>
      </x:c>
      <x:c r="N1064" s="31" t="n">
        <x:v>46180</x:v>
      </x:c>
      <x:c r="O1064" s="31" t="n">
        <x:v>46177</x:v>
      </x:c>
      <x:c r="P1064" s="31" t="n">
        <x:v>46182</x:v>
      </x:c>
      <x:c r="Q1064" s="31" t="inlineStr">
        <x:is>
          <x:t xml:space="preserve">Завершено</x:t>
        </x:is>
      </x:c>
      <x:c r="R1064" s="31" t="inlineStr">
        <x:is>
          <x:t xml:space="preserve">Нет</x:t>
        </x:is>
      </x:c>
      <x:c r="S1064" s="31" t="inlineStr">
        <x:is>
          <x:t xml:space="preserve">Нет</x:t>
        </x:is>
      </x:c>
    </x:row>
    <x:row r="1065">
      <x:c r="A1065" s="31" t="inlineStr">
        <x:is>
          <x:t xml:space="preserve">ОП-001064</x:t>
        </x:is>
      </x:c>
      <x:c r="B1065" s="31" t="inlineStr">
        <x:is>
          <x:t xml:space="preserve">ПЗ-00128</x:t>
        </x:is>
      </x:c>
      <x:c r="C1065" s="31" t="inlineStr">
        <x:is>
          <x:t xml:space="preserve">ЗК-1062</x:t>
        </x:is>
      </x:c>
      <x:c r="D1065" s="31" t="inlineStr">
        <x:is>
          <x:t xml:space="preserve">ПОЗ-0062-1</x:t>
        </x:is>
      </x:c>
      <x:c r="E1065" s="31" t="inlineStr">
        <x:is>
          <x:t xml:space="preserve">ИЗД-030</x:t>
        </x:is>
      </x:c>
      <x:c r="F1065" s="31" t="n">
        <x:v>10</x:v>
      </x:c>
      <x:c r="G1065" s="31" t="inlineStr">
        <x:is>
          <x:t xml:space="preserve">КД</x:t>
        </x:is>
      </x:c>
      <x:c r="H1065" s="31" t="inlineStr">
        <x:is>
          <x:t xml:space="preserve">Инженерный отдел</x:t>
        </x:is>
      </x:c>
      <x:c r="I1065" s="31" t="n"/>
      <x:c r="J1065" s="31" t="inlineStr">
        <x:is>
          <x:t xml:space="preserve">СОТР-017</x:t>
        </x:is>
      </x:c>
      <x:c r="K1065" s="31" t="n">
        <x:v>27</x:v>
      </x:c>
      <x:c r="L1065" s="31" t="n"/>
      <x:c r="M1065" s="31" t="n">
        <x:v>46109</x:v>
      </x:c>
      <x:c r="N1065" s="31" t="n">
        <x:v>46112</x:v>
      </x:c>
      <x:c r="O1065" s="31" t="n"/>
      <x:c r="P1065" s="31" t="n"/>
      <x:c r="Q1065" s="31" t="inlineStr">
        <x:is>
          <x:t xml:space="preserve">Запланировано</x:t>
        </x:is>
      </x:c>
      <x:c r="R1065" s="31" t="inlineStr">
        <x:is>
          <x:t xml:space="preserve">Нет</x:t>
        </x:is>
      </x:c>
      <x:c r="S1065" s="31" t="inlineStr">
        <x:is>
          <x:t xml:space="preserve">Нет</x:t>
        </x:is>
      </x:c>
    </x:row>
    <x:row r="1066">
      <x:c r="A1066" s="31" t="inlineStr">
        <x:is>
          <x:t xml:space="preserve">ОП-001065</x:t>
        </x:is>
      </x:c>
      <x:c r="B1066" s="31" t="inlineStr">
        <x:is>
          <x:t xml:space="preserve">ПЗ-00128</x:t>
        </x:is>
      </x:c>
      <x:c r="C1066" s="31" t="inlineStr">
        <x:is>
          <x:t xml:space="preserve">ЗК-1062</x:t>
        </x:is>
      </x:c>
      <x:c r="D1066" s="31" t="inlineStr">
        <x:is>
          <x:t xml:space="preserve">ПОЗ-0062-1</x:t>
        </x:is>
      </x:c>
      <x:c r="E1066" s="31" t="inlineStr">
        <x:is>
          <x:t xml:space="preserve">ИЗД-030</x:t>
        </x:is>
      </x:c>
      <x:c r="F1066" s="31" t="n">
        <x:v>20</x:v>
      </x:c>
      <x:c r="G1066" s="31" t="inlineStr">
        <x:is>
          <x:t xml:space="preserve">Резерв материалов</x:t>
        </x:is>
      </x:c>
      <x:c r="H1066" s="31" t="inlineStr">
        <x:is>
          <x:t xml:space="preserve">Склад</x:t>
        </x:is>
      </x:c>
      <x:c r="I1066" s="31" t="inlineStr">
        <x:is>
          <x:t xml:space="preserve">ОБ-008</x:t>
        </x:is>
      </x:c>
      <x:c r="J1066" s="31" t="inlineStr">
        <x:is>
          <x:t xml:space="preserve">СОТР-024</x:t>
        </x:is>
      </x:c>
      <x:c r="K1066" s="31" t="n">
        <x:v>30.9</x:v>
      </x:c>
      <x:c r="L1066" s="31" t="n"/>
      <x:c r="M1066" s="31" t="n">
        <x:v>46112</x:v>
      </x:c>
      <x:c r="N1066" s="31" t="n">
        <x:v>46115</x:v>
      </x:c>
      <x:c r="O1066" s="31" t="n"/>
      <x:c r="P1066" s="31" t="n"/>
      <x:c r="Q1066" s="31" t="inlineStr">
        <x:is>
          <x:t xml:space="preserve">Блокировано</x:t>
        </x:is>
      </x:c>
      <x:c r="R1066" s="31" t="inlineStr">
        <x:is>
          <x:t xml:space="preserve">Нет</x:t>
        </x:is>
      </x:c>
      <x:c r="S1066" s="31" t="inlineStr">
        <x:is>
          <x:t xml:space="preserve">Нет</x:t>
        </x:is>
      </x:c>
    </x:row>
    <x:row r="1067">
      <x:c r="A1067" s="31" t="inlineStr">
        <x:is>
          <x:t xml:space="preserve">ОП-001066</x:t>
        </x:is>
      </x:c>
      <x:c r="B1067" s="31" t="inlineStr">
        <x:is>
          <x:t xml:space="preserve">ПЗ-00128</x:t>
        </x:is>
      </x:c>
      <x:c r="C1067" s="31" t="inlineStr">
        <x:is>
          <x:t xml:space="preserve">ЗК-1062</x:t>
        </x:is>
      </x:c>
      <x:c r="D1067" s="31" t="inlineStr">
        <x:is>
          <x:t xml:space="preserve">ПОЗ-0062-1</x:t>
        </x:is>
      </x:c>
      <x:c r="E1067" s="31" t="inlineStr">
        <x:is>
          <x:t xml:space="preserve">ИЗД-030</x:t>
        </x:is>
      </x:c>
      <x:c r="F1067" s="31" t="n">
        <x:v>30</x:v>
      </x:c>
      <x:c r="G1067" s="31" t="inlineStr">
        <x:is>
          <x:t xml:space="preserve">Резка металла</x:t>
        </x:is>
      </x:c>
      <x:c r="H1067" s="31" t="inlineStr">
        <x:is>
          <x:t xml:space="preserve">Сварка</x:t>
        </x:is>
      </x:c>
      <x:c r="I1067" s="31" t="inlineStr">
        <x:is>
          <x:t xml:space="preserve">ОБ-010</x:t>
        </x:is>
      </x:c>
      <x:c r="J1067" s="31" t="inlineStr">
        <x:is>
          <x:t xml:space="preserve">СОТР-067</x:t>
        </x:is>
      </x:c>
      <x:c r="K1067" s="31" t="n">
        <x:v>6.9</x:v>
      </x:c>
      <x:c r="L1067" s="31" t="n"/>
      <x:c r="M1067" s="31" t="n">
        <x:v>46115</x:v>
      </x:c>
      <x:c r="N1067" s="31" t="n">
        <x:v>46116</x:v>
      </x:c>
      <x:c r="O1067" s="31" t="n"/>
      <x:c r="P1067" s="31" t="n"/>
      <x:c r="Q1067" s="31" t="inlineStr">
        <x:is>
          <x:t xml:space="preserve">Запланировано</x:t>
        </x:is>
      </x:c>
      <x:c r="R1067" s="31" t="inlineStr">
        <x:is>
          <x:t xml:space="preserve">Нет</x:t>
        </x:is>
      </x:c>
      <x:c r="S1067" s="31" t="inlineStr">
        <x:is>
          <x:t xml:space="preserve">Нет</x:t>
        </x:is>
      </x:c>
    </x:row>
    <x:row r="1068">
      <x:c r="A1068" s="31" t="inlineStr">
        <x:is>
          <x:t xml:space="preserve">ОП-001067</x:t>
        </x:is>
      </x:c>
      <x:c r="B1068" s="31" t="inlineStr">
        <x:is>
          <x:t xml:space="preserve">ПЗ-00128</x:t>
        </x:is>
      </x:c>
      <x:c r="C1068" s="31" t="inlineStr">
        <x:is>
          <x:t xml:space="preserve">ЗК-1062</x:t>
        </x:is>
      </x:c>
      <x:c r="D1068" s="31" t="inlineStr">
        <x:is>
          <x:t xml:space="preserve">ПОЗ-0062-1</x:t>
        </x:is>
      </x:c>
      <x:c r="E1068" s="31" t="inlineStr">
        <x:is>
          <x:t xml:space="preserve">ИЗД-030</x:t>
        </x:is>
      </x:c>
      <x:c r="F1068" s="31" t="n">
        <x:v>40</x:v>
      </x:c>
      <x:c r="G1068" s="31" t="inlineStr">
        <x:is>
          <x:t xml:space="preserve">Сварка рамы</x:t>
        </x:is>
      </x:c>
      <x:c r="H1068" s="31" t="inlineStr">
        <x:is>
          <x:t xml:space="preserve">Сварка</x:t>
        </x:is>
      </x:c>
      <x:c r="I1068" s="31" t="inlineStr">
        <x:is>
          <x:t xml:space="preserve">ОБ-018</x:t>
        </x:is>
      </x:c>
      <x:c r="J1068" s="31" t="inlineStr">
        <x:is>
          <x:t xml:space="preserve">СОТР-069</x:t>
        </x:is>
      </x:c>
      <x:c r="K1068" s="31" t="n">
        <x:v>18.6</x:v>
      </x:c>
      <x:c r="L1068" s="31" t="n"/>
      <x:c r="M1068" s="31" t="n">
        <x:v>46116</x:v>
      </x:c>
      <x:c r="N1068" s="31" t="n">
        <x:v>46118</x:v>
      </x:c>
      <x:c r="O1068" s="31" t="n"/>
      <x:c r="P1068" s="31" t="n"/>
      <x:c r="Q1068" s="31" t="inlineStr">
        <x:is>
          <x:t xml:space="preserve">Запланировано</x:t>
        </x:is>
      </x:c>
      <x:c r="R1068" s="31" t="inlineStr">
        <x:is>
          <x:t xml:space="preserve">Нет</x:t>
        </x:is>
      </x:c>
      <x:c r="S1068" s="31" t="inlineStr">
        <x:is>
          <x:t xml:space="preserve">Нет</x:t>
        </x:is>
      </x:c>
    </x:row>
    <x:row r="1069">
      <x:c r="A1069" s="31" t="inlineStr">
        <x:is>
          <x:t xml:space="preserve">ОП-001068</x:t>
        </x:is>
      </x:c>
      <x:c r="B1069" s="31" t="inlineStr">
        <x:is>
          <x:t xml:space="preserve">ПЗ-00128</x:t>
        </x:is>
      </x:c>
      <x:c r="C1069" s="31" t="inlineStr">
        <x:is>
          <x:t xml:space="preserve">ЗК-1062</x:t>
        </x:is>
      </x:c>
      <x:c r="D1069" s="31" t="inlineStr">
        <x:is>
          <x:t xml:space="preserve">ПОЗ-0062-1</x:t>
        </x:is>
      </x:c>
      <x:c r="E1069" s="31" t="inlineStr">
        <x:is>
          <x:t xml:space="preserve">ИЗД-030</x:t>
        </x:is>
      </x:c>
      <x:c r="F1069" s="31" t="n">
        <x:v>50</x:v>
      </x:c>
      <x:c r="G1069" s="31" t="inlineStr">
        <x:is>
          <x:t xml:space="preserve">Механообработка</x:t>
        </x:is>
      </x:c>
      <x:c r="H1069" s="31" t="inlineStr">
        <x:is>
          <x:t xml:space="preserve">Механообработка</x:t>
        </x:is>
      </x:c>
      <x:c r="I1069" s="31" t="inlineStr">
        <x:is>
          <x:t xml:space="preserve">ОБ-029</x:t>
        </x:is>
      </x:c>
      <x:c r="J1069" s="31" t="inlineStr">
        <x:is>
          <x:t xml:space="preserve">СОТР-050</x:t>
        </x:is>
      </x:c>
      <x:c r="K1069" s="31" t="n">
        <x:v>18.6</x:v>
      </x:c>
      <x:c r="L1069" s="31" t="n"/>
      <x:c r="M1069" s="31" t="n">
        <x:v>46118</x:v>
      </x:c>
      <x:c r="N1069" s="31" t="n">
        <x:v>46120</x:v>
      </x:c>
      <x:c r="O1069" s="31" t="n"/>
      <x:c r="P1069" s="31" t="n"/>
      <x:c r="Q1069" s="31" t="inlineStr">
        <x:is>
          <x:t xml:space="preserve">Запланировано</x:t>
        </x:is>
      </x:c>
      <x:c r="R1069" s="31" t="inlineStr">
        <x:is>
          <x:t xml:space="preserve">Нет</x:t>
        </x:is>
      </x:c>
      <x:c r="S1069" s="31" t="inlineStr">
        <x:is>
          <x:t xml:space="preserve">Нет</x:t>
        </x:is>
      </x:c>
    </x:row>
    <x:row r="1070">
      <x:c r="A1070" s="31" t="inlineStr">
        <x:is>
          <x:t xml:space="preserve">ОП-001069</x:t>
        </x:is>
      </x:c>
      <x:c r="B1070" s="31" t="inlineStr">
        <x:is>
          <x:t xml:space="preserve">ПЗ-00128</x:t>
        </x:is>
      </x:c>
      <x:c r="C1070" s="31" t="inlineStr">
        <x:is>
          <x:t xml:space="preserve">ЗК-1062</x:t>
        </x:is>
      </x:c>
      <x:c r="D1070" s="31" t="inlineStr">
        <x:is>
          <x:t xml:space="preserve">ПОЗ-0062-1</x:t>
        </x:is>
      </x:c>
      <x:c r="E1070" s="31" t="inlineStr">
        <x:is>
          <x:t xml:space="preserve">ИЗД-030</x:t>
        </x:is>
      </x:c>
      <x:c r="F1070" s="31" t="n">
        <x:v>60</x:v>
      </x:c>
      <x:c r="G1070" s="31" t="inlineStr">
        <x:is>
          <x:t xml:space="preserve">Сборка</x:t>
        </x:is>
      </x:c>
      <x:c r="H1070" s="31" t="inlineStr">
        <x:is>
          <x:t xml:space="preserve">Сборка</x:t>
        </x:is>
      </x:c>
      <x:c r="I1070" s="31" t="inlineStr">
        <x:is>
          <x:t xml:space="preserve">ОБ-027</x:t>
        </x:is>
      </x:c>
      <x:c r="J1070" s="31" t="inlineStr">
        <x:is>
          <x:t xml:space="preserve">СОТР-075</x:t>
        </x:is>
      </x:c>
      <x:c r="K1070" s="31" t="n">
        <x:v>12.6</x:v>
      </x:c>
      <x:c r="L1070" s="31" t="n"/>
      <x:c r="M1070" s="31" t="n">
        <x:v>46120</x:v>
      </x:c>
      <x:c r="N1070" s="31" t="n">
        <x:v>46122</x:v>
      </x:c>
      <x:c r="O1070" s="31" t="n"/>
      <x:c r="P1070" s="31" t="n"/>
      <x:c r="Q1070" s="31" t="inlineStr">
        <x:is>
          <x:t xml:space="preserve">Запланировано</x:t>
        </x:is>
      </x:c>
      <x:c r="R1070" s="31" t="inlineStr">
        <x:is>
          <x:t xml:space="preserve">Ожидание ОТК</x:t>
        </x:is>
      </x:c>
      <x:c r="S1070" s="31" t="inlineStr">
        <x:is>
          <x:t xml:space="preserve">Нет</x:t>
        </x:is>
      </x:c>
    </x:row>
    <x:row r="1071">
      <x:c r="A1071" s="31" t="inlineStr">
        <x:is>
          <x:t xml:space="preserve">ОП-001070</x:t>
        </x:is>
      </x:c>
      <x:c r="B1071" s="31" t="inlineStr">
        <x:is>
          <x:t xml:space="preserve">ПЗ-00128</x:t>
        </x:is>
      </x:c>
      <x:c r="C1071" s="31" t="inlineStr">
        <x:is>
          <x:t xml:space="preserve">ЗК-1062</x:t>
        </x:is>
      </x:c>
      <x:c r="D1071" s="31" t="inlineStr">
        <x:is>
          <x:t xml:space="preserve">ПОЗ-0062-1</x:t>
        </x:is>
      </x:c>
      <x:c r="E1071" s="31" t="inlineStr">
        <x:is>
          <x:t xml:space="preserve">ИЗД-030</x:t>
        </x:is>
      </x:c>
      <x:c r="F1071" s="31" t="n">
        <x:v>70</x:v>
      </x:c>
      <x:c r="G1071" s="31" t="inlineStr">
        <x:is>
          <x:t xml:space="preserve">Электромонтаж</x:t>
        </x:is>
      </x:c>
      <x:c r="H1071" s="31" t="inlineStr">
        <x:is>
          <x:t xml:space="preserve">Сборка</x:t>
        </x:is>
      </x:c>
      <x:c r="I1071" s="31" t="inlineStr">
        <x:is>
          <x:t xml:space="preserve">ОБ-002</x:t>
        </x:is>
      </x:c>
      <x:c r="J1071" s="31" t="inlineStr">
        <x:is>
          <x:t xml:space="preserve">СОТР-078</x:t>
        </x:is>
      </x:c>
      <x:c r="K1071" s="31" t="n">
        <x:v>20.4</x:v>
      </x:c>
      <x:c r="L1071" s="31" t="n"/>
      <x:c r="M1071" s="31" t="n">
        <x:v>46122</x:v>
      </x:c>
      <x:c r="N1071" s="31" t="n">
        <x:v>46124</x:v>
      </x:c>
      <x:c r="O1071" s="31" t="n"/>
      <x:c r="P1071" s="31" t="n"/>
      <x:c r="Q1071" s="31" t="inlineStr">
        <x:is>
          <x:t xml:space="preserve">Запланировано</x:t>
        </x:is>
      </x:c>
      <x:c r="R1071" s="31" t="inlineStr">
        <x:is>
          <x:t xml:space="preserve">Нет</x:t>
        </x:is>
      </x:c>
      <x:c r="S1071" s="31" t="inlineStr">
        <x:is>
          <x:t xml:space="preserve">Нет</x:t>
        </x:is>
      </x:c>
    </x:row>
    <x:row r="1072">
      <x:c r="A1072" s="31" t="inlineStr">
        <x:is>
          <x:t xml:space="preserve">ОП-001071</x:t>
        </x:is>
      </x:c>
      <x:c r="B1072" s="31" t="inlineStr">
        <x:is>
          <x:t xml:space="preserve">ПЗ-00128</x:t>
        </x:is>
      </x:c>
      <x:c r="C1072" s="31" t="inlineStr">
        <x:is>
          <x:t xml:space="preserve">ЗК-1062</x:t>
        </x:is>
      </x:c>
      <x:c r="D1072" s="31" t="inlineStr">
        <x:is>
          <x:t xml:space="preserve">ПОЗ-0062-1</x:t>
        </x:is>
      </x:c>
      <x:c r="E1072" s="31" t="inlineStr">
        <x:is>
          <x:t xml:space="preserve">ИЗД-030</x:t>
        </x:is>
      </x:c>
      <x:c r="F1072" s="31" t="n">
        <x:v>80</x:v>
      </x:c>
      <x:c r="G1072" s="31" t="inlineStr">
        <x:is>
          <x:t xml:space="preserve">Гидроиспытания</x:t>
        </x:is>
      </x:c>
      <x:c r="H1072" s="31" t="inlineStr">
        <x:is>
          <x:t xml:space="preserve">ОТК</x:t>
        </x:is>
      </x:c>
      <x:c r="I1072" s="31" t="inlineStr">
        <x:is>
          <x:t xml:space="preserve">ОБ-024</x:t>
        </x:is>
      </x:c>
      <x:c r="J1072" s="31" t="inlineStr">
        <x:is>
          <x:t xml:space="preserve">СОТР-100</x:t>
        </x:is>
      </x:c>
      <x:c r="K1072" s="31" t="n">
        <x:v>14.7</x:v>
      </x:c>
      <x:c r="L1072" s="31" t="n"/>
      <x:c r="M1072" s="31" t="n">
        <x:v>46124</x:v>
      </x:c>
      <x:c r="N1072" s="31" t="n">
        <x:v>46126</x:v>
      </x:c>
      <x:c r="O1072" s="31" t="n"/>
      <x:c r="P1072" s="31" t="n"/>
      <x:c r="Q1072" s="31" t="inlineStr">
        <x:is>
          <x:t xml:space="preserve">Запланировано</x:t>
        </x:is>
      </x:c>
      <x:c r="R1072" s="31" t="inlineStr">
        <x:is>
          <x:t xml:space="preserve">Нет</x:t>
        </x:is>
      </x:c>
      <x:c r="S1072" s="31" t="inlineStr">
        <x:is>
          <x:t xml:space="preserve">Нет</x:t>
        </x:is>
      </x:c>
    </x:row>
    <x:row r="1073">
      <x:c r="A1073" s="31" t="inlineStr">
        <x:is>
          <x:t xml:space="preserve">ОП-001072</x:t>
        </x:is>
      </x:c>
      <x:c r="B1073" s="31" t="inlineStr">
        <x:is>
          <x:t xml:space="preserve">ПЗ-00128</x:t>
        </x:is>
      </x:c>
      <x:c r="C1073" s="31" t="inlineStr">
        <x:is>
          <x:t xml:space="preserve">ЗК-1062</x:t>
        </x:is>
      </x:c>
      <x:c r="D1073" s="31" t="inlineStr">
        <x:is>
          <x:t xml:space="preserve">ПОЗ-0062-1</x:t>
        </x:is>
      </x:c>
      <x:c r="E1073" s="31" t="inlineStr">
        <x:is>
          <x:t xml:space="preserve">ИЗД-030</x:t>
        </x:is>
      </x:c>
      <x:c r="F1073" s="31" t="n">
        <x:v>90</x:v>
      </x:c>
      <x:c r="G1073" s="31" t="inlineStr">
        <x:is>
          <x:t xml:space="preserve">ОТК</x:t>
        </x:is>
      </x:c>
      <x:c r="H1073" s="31" t="inlineStr">
        <x:is>
          <x:t xml:space="preserve">ОТК</x:t>
        </x:is>
      </x:c>
      <x:c r="I1073" s="31" t="inlineStr">
        <x:is>
          <x:t xml:space="preserve">ОБ-015</x:t>
        </x:is>
      </x:c>
      <x:c r="J1073" s="31" t="inlineStr">
        <x:is>
          <x:t xml:space="preserve">СОТР-100</x:t>
        </x:is>
      </x:c>
      <x:c r="K1073" s="31" t="n">
        <x:v>12</x:v>
      </x:c>
      <x:c r="L1073" s="31" t="n"/>
      <x:c r="M1073" s="31" t="n">
        <x:v>46126</x:v>
      </x:c>
      <x:c r="N1073" s="31" t="n">
        <x:v>46127</x:v>
      </x:c>
      <x:c r="O1073" s="31" t="n"/>
      <x:c r="P1073" s="31" t="n"/>
      <x:c r="Q1073" s="31" t="inlineStr">
        <x:is>
          <x:t xml:space="preserve">Запланировано</x:t>
        </x:is>
      </x:c>
      <x:c r="R1073" s="31" t="inlineStr">
        <x:is>
          <x:t xml:space="preserve">Нет</x:t>
        </x:is>
      </x:c>
      <x:c r="S1073" s="31" t="inlineStr">
        <x:is>
          <x:t xml:space="preserve">Нет</x:t>
        </x:is>
      </x:c>
    </x:row>
    <x:row r="1074">
      <x:c r="A1074" s="31" t="inlineStr">
        <x:is>
          <x:t xml:space="preserve">ОП-001073</x:t>
        </x:is>
      </x:c>
      <x:c r="B1074" s="31" t="inlineStr">
        <x:is>
          <x:t xml:space="preserve">ПЗ-00128</x:t>
        </x:is>
      </x:c>
      <x:c r="C1074" s="31" t="inlineStr">
        <x:is>
          <x:t xml:space="preserve">ЗК-1062</x:t>
        </x:is>
      </x:c>
      <x:c r="D1074" s="31" t="inlineStr">
        <x:is>
          <x:t xml:space="preserve">ПОЗ-0062-1</x:t>
        </x:is>
      </x:c>
      <x:c r="E1074" s="31" t="inlineStr">
        <x:is>
          <x:t xml:space="preserve">ИЗД-030</x:t>
        </x:is>
      </x:c>
      <x:c r="F1074" s="31" t="n">
        <x:v>100</x:v>
      </x:c>
      <x:c r="G1074" s="31" t="inlineStr">
        <x:is>
          <x:t xml:space="preserve">Упаковка</x:t>
        </x:is>
      </x:c>
      <x:c r="H1074" s="31" t="inlineStr">
        <x:is>
          <x:t xml:space="preserve">Логистика</x:t>
        </x:is>
      </x:c>
      <x:c r="I1074" s="31" t="n"/>
      <x:c r="J1074" s="31" t="inlineStr">
        <x:is>
          <x:t xml:space="preserve">СОТР-070</x:t>
        </x:is>
      </x:c>
      <x:c r="K1074" s="31" t="n">
        <x:v>24.6</x:v>
      </x:c>
      <x:c r="L1074" s="31" t="n"/>
      <x:c r="M1074" s="31" t="n">
        <x:v>46127</x:v>
      </x:c>
      <x:c r="N1074" s="31" t="n">
        <x:v>46130</x:v>
      </x:c>
      <x:c r="O1074" s="31" t="n"/>
      <x:c r="P1074" s="31" t="n"/>
      <x:c r="Q1074" s="31" t="inlineStr">
        <x:is>
          <x:t xml:space="preserve">Запланировано</x:t>
        </x:is>
      </x:c>
      <x:c r="R1074" s="31" t="inlineStr">
        <x:is>
          <x:t xml:space="preserve">Нет</x:t>
        </x:is>
      </x:c>
      <x:c r="S1074" s="31" t="inlineStr">
        <x:is>
          <x:t xml:space="preserve">Нет</x:t>
        </x:is>
      </x:c>
    </x:row>
    <x:row r="1075">
      <x:c r="A1075" s="31" t="inlineStr">
        <x:is>
          <x:t xml:space="preserve">ОП-001074</x:t>
        </x:is>
      </x:c>
      <x:c r="B1075" s="31" t="inlineStr">
        <x:is>
          <x:t xml:space="preserve">ПЗ-00129</x:t>
        </x:is>
      </x:c>
      <x:c r="C1075" s="31" t="inlineStr">
        <x:is>
          <x:t xml:space="preserve">ЗК-1062</x:t>
        </x:is>
      </x:c>
      <x:c r="D1075" s="31" t="inlineStr">
        <x:is>
          <x:t xml:space="preserve">ПОЗ-0062-2</x:t>
        </x:is>
      </x:c>
      <x:c r="E1075" s="31" t="inlineStr">
        <x:is>
          <x:t xml:space="preserve">ИЗД-038</x:t>
        </x:is>
      </x:c>
      <x:c r="F1075" s="31" t="n">
        <x:v>10</x:v>
      </x:c>
      <x:c r="G1075" s="31" t="inlineStr">
        <x:is>
          <x:t xml:space="preserve">КД</x:t>
        </x:is>
      </x:c>
      <x:c r="H1075" s="31" t="inlineStr">
        <x:is>
          <x:t xml:space="preserve">Инженерный отдел</x:t>
        </x:is>
      </x:c>
      <x:c r="I1075" s="31" t="n"/>
      <x:c r="J1075" s="31" t="inlineStr">
        <x:is>
          <x:t xml:space="preserve">СОТР-021</x:t>
        </x:is>
      </x:c>
      <x:c r="K1075" s="31" t="n">
        <x:v>11</x:v>
      </x:c>
      <x:c r="L1075" s="31" t="n"/>
      <x:c r="M1075" s="31" t="n">
        <x:v>46120</x:v>
      </x:c>
      <x:c r="N1075" s="31" t="n">
        <x:v>46121</x:v>
      </x:c>
      <x:c r="O1075" s="31" t="n"/>
      <x:c r="P1075" s="31" t="n"/>
      <x:c r="Q1075" s="31" t="inlineStr">
        <x:is>
          <x:t xml:space="preserve">Запланировано</x:t>
        </x:is>
      </x:c>
      <x:c r="R1075" s="31" t="inlineStr">
        <x:is>
          <x:t xml:space="preserve">Нет</x:t>
        </x:is>
      </x:c>
      <x:c r="S1075" s="31" t="inlineStr">
        <x:is>
          <x:t xml:space="preserve">Да</x:t>
        </x:is>
      </x:c>
    </x:row>
    <x:row r="1076">
      <x:c r="A1076" s="31" t="inlineStr">
        <x:is>
          <x:t xml:space="preserve">ОП-001075</x:t>
        </x:is>
      </x:c>
      <x:c r="B1076" s="31" t="inlineStr">
        <x:is>
          <x:t xml:space="preserve">ПЗ-00129</x:t>
        </x:is>
      </x:c>
      <x:c r="C1076" s="31" t="inlineStr">
        <x:is>
          <x:t xml:space="preserve">ЗК-1062</x:t>
        </x:is>
      </x:c>
      <x:c r="D1076" s="31" t="inlineStr">
        <x:is>
          <x:t xml:space="preserve">ПОЗ-0062-2</x:t>
        </x:is>
      </x:c>
      <x:c r="E1076" s="31" t="inlineStr">
        <x:is>
          <x:t xml:space="preserve">ИЗД-038</x:t>
        </x:is>
      </x:c>
      <x:c r="F1076" s="31" t="n">
        <x:v>20</x:v>
      </x:c>
      <x:c r="G1076" s="31" t="inlineStr">
        <x:is>
          <x:t xml:space="preserve">Резка труб</x:t>
        </x:is>
      </x:c>
      <x:c r="H1076" s="31" t="inlineStr">
        <x:is>
          <x:t xml:space="preserve">Сварка</x:t>
        </x:is>
      </x:c>
      <x:c r="I1076" s="31" t="inlineStr">
        <x:is>
          <x:t xml:space="preserve">ОБ-010</x:t>
        </x:is>
      </x:c>
      <x:c r="J1076" s="31" t="inlineStr">
        <x:is>
          <x:t xml:space="preserve">СОТР-060</x:t>
        </x:is>
      </x:c>
      <x:c r="K1076" s="31" t="n">
        <x:v>3.2</x:v>
      </x:c>
      <x:c r="L1076" s="31" t="n"/>
      <x:c r="M1076" s="31" t="n">
        <x:v>46121</x:v>
      </x:c>
      <x:c r="N1076" s="31" t="n">
        <x:v>46122</x:v>
      </x:c>
      <x:c r="O1076" s="31" t="n"/>
      <x:c r="P1076" s="31" t="n"/>
      <x:c r="Q1076" s="31" t="inlineStr">
        <x:is>
          <x:t xml:space="preserve">Запланировано</x:t>
        </x:is>
      </x:c>
      <x:c r="R1076" s="31" t="inlineStr">
        <x:is>
          <x:t xml:space="preserve">Нет</x:t>
        </x:is>
      </x:c>
      <x:c r="S1076" s="31" t="inlineStr">
        <x:is>
          <x:t xml:space="preserve">Нет</x:t>
        </x:is>
      </x:c>
    </x:row>
    <x:row r="1077">
      <x:c r="A1077" s="31" t="inlineStr">
        <x:is>
          <x:t xml:space="preserve">ОП-001076</x:t>
        </x:is>
      </x:c>
      <x:c r="B1077" s="31" t="inlineStr">
        <x:is>
          <x:t xml:space="preserve">ПЗ-00129</x:t>
        </x:is>
      </x:c>
      <x:c r="C1077" s="31" t="inlineStr">
        <x:is>
          <x:t xml:space="preserve">ЗК-1062</x:t>
        </x:is>
      </x:c>
      <x:c r="D1077" s="31" t="inlineStr">
        <x:is>
          <x:t xml:space="preserve">ПОЗ-0062-2</x:t>
        </x:is>
      </x:c>
      <x:c r="E1077" s="31" t="inlineStr">
        <x:is>
          <x:t xml:space="preserve">ИЗД-038</x:t>
        </x:is>
      </x:c>
      <x:c r="F1077" s="31" t="n">
        <x:v>30</x:v>
      </x:c>
      <x:c r="G1077" s="31" t="inlineStr">
        <x:is>
          <x:t xml:space="preserve">Сварка</x:t>
        </x:is>
      </x:c>
      <x:c r="H1077" s="31" t="inlineStr">
        <x:is>
          <x:t xml:space="preserve">Сварка</x:t>
        </x:is>
      </x:c>
      <x:c r="I1077" s="31" t="inlineStr">
        <x:is>
          <x:t xml:space="preserve">ОБ-010</x:t>
        </x:is>
      </x:c>
      <x:c r="J1077" s="31" t="inlineStr">
        <x:is>
          <x:t xml:space="preserve">СОТР-064</x:t>
        </x:is>
      </x:c>
      <x:c r="K1077" s="31" t="n">
        <x:v>8.800000000000001</x:v>
      </x:c>
      <x:c r="L1077" s="31" t="n"/>
      <x:c r="M1077" s="31" t="n">
        <x:v>46122</x:v>
      </x:c>
      <x:c r="N1077" s="31" t="n">
        <x:v>46123</x:v>
      </x:c>
      <x:c r="O1077" s="31" t="n"/>
      <x:c r="P1077" s="31" t="n"/>
      <x:c r="Q1077" s="31" t="inlineStr">
        <x:is>
          <x:t xml:space="preserve">Запланировано</x:t>
        </x:is>
      </x:c>
      <x:c r="R1077" s="31" t="inlineStr">
        <x:is>
          <x:t xml:space="preserve">Материал</x:t>
        </x:is>
      </x:c>
      <x:c r="S1077" s="31" t="inlineStr">
        <x:is>
          <x:t xml:space="preserve">Нет</x:t>
        </x:is>
      </x:c>
    </x:row>
    <x:row r="1078">
      <x:c r="A1078" s="31" t="inlineStr">
        <x:is>
          <x:t xml:space="preserve">ОП-001077</x:t>
        </x:is>
      </x:c>
      <x:c r="B1078" s="31" t="inlineStr">
        <x:is>
          <x:t xml:space="preserve">ПЗ-00129</x:t>
        </x:is>
      </x:c>
      <x:c r="C1078" s="31" t="inlineStr">
        <x:is>
          <x:t xml:space="preserve">ЗК-1062</x:t>
        </x:is>
      </x:c>
      <x:c r="D1078" s="31" t="inlineStr">
        <x:is>
          <x:t xml:space="preserve">ПОЗ-0062-2</x:t>
        </x:is>
      </x:c>
      <x:c r="E1078" s="31" t="inlineStr">
        <x:is>
          <x:t xml:space="preserve">ИЗД-038</x:t>
        </x:is>
      </x:c>
      <x:c r="F1078" s="31" t="n">
        <x:v>40</x:v>
      </x:c>
      <x:c r="G1078" s="31" t="inlineStr">
        <x:is>
          <x:t xml:space="preserve">НК сварных швов</x:t>
        </x:is>
      </x:c>
      <x:c r="H1078" s="31" t="inlineStr">
        <x:is>
          <x:t xml:space="preserve">ОТК</x:t>
        </x:is>
      </x:c>
      <x:c r="I1078" s="31" t="inlineStr">
        <x:is>
          <x:t xml:space="preserve">ОБ-022</x:t>
        </x:is>
      </x:c>
      <x:c r="J1078" s="31" t="inlineStr">
        <x:is>
          <x:t xml:space="preserve">СОТР-100</x:t>
        </x:is>
      </x:c>
      <x:c r="K1078" s="31" t="n">
        <x:v>2.2</x:v>
      </x:c>
      <x:c r="L1078" s="31" t="n"/>
      <x:c r="M1078" s="31" t="n">
        <x:v>46123</x:v>
      </x:c>
      <x:c r="N1078" s="31" t="n">
        <x:v>46124</x:v>
      </x:c>
      <x:c r="O1078" s="31" t="n"/>
      <x:c r="P1078" s="31" t="n"/>
      <x:c r="Q1078" s="31" t="inlineStr">
        <x:is>
          <x:t xml:space="preserve">Запланировано</x:t>
        </x:is>
      </x:c>
      <x:c r="R1078" s="31" t="inlineStr">
        <x:is>
          <x:t xml:space="preserve">Нет</x:t>
        </x:is>
      </x:c>
      <x:c r="S1078" s="31" t="inlineStr">
        <x:is>
          <x:t xml:space="preserve">Нет</x:t>
        </x:is>
      </x:c>
    </x:row>
    <x:row r="1079">
      <x:c r="A1079" s="31" t="inlineStr">
        <x:is>
          <x:t xml:space="preserve">ОП-001078</x:t>
        </x:is>
      </x:c>
      <x:c r="B1079" s="31" t="inlineStr">
        <x:is>
          <x:t xml:space="preserve">ПЗ-00129</x:t>
        </x:is>
      </x:c>
      <x:c r="C1079" s="31" t="inlineStr">
        <x:is>
          <x:t xml:space="preserve">ЗК-1062</x:t>
        </x:is>
      </x:c>
      <x:c r="D1079" s="31" t="inlineStr">
        <x:is>
          <x:t xml:space="preserve">ПОЗ-0062-2</x:t>
        </x:is>
      </x:c>
      <x:c r="E1079" s="31" t="inlineStr">
        <x:is>
          <x:t xml:space="preserve">ИЗД-038</x:t>
        </x:is>
      </x:c>
      <x:c r="F1079" s="31" t="n">
        <x:v>50</x:v>
      </x:c>
      <x:c r="G1079" s="31" t="inlineStr">
        <x:is>
          <x:t xml:space="preserve">Гидроиспытания</x:t>
        </x:is>
      </x:c>
      <x:c r="H1079" s="31" t="inlineStr">
        <x:is>
          <x:t xml:space="preserve">ОТК</x:t>
        </x:is>
      </x:c>
      <x:c r="I1079" s="31" t="inlineStr">
        <x:is>
          <x:t xml:space="preserve">ОБ-028</x:t>
        </x:is>
      </x:c>
      <x:c r="J1079" s="31" t="inlineStr">
        <x:is>
          <x:t xml:space="preserve">СОТР-099</x:t>
        </x:is>
      </x:c>
      <x:c r="K1079" s="31" t="n">
        <x:v>6.6</x:v>
      </x:c>
      <x:c r="L1079" s="31" t="n"/>
      <x:c r="M1079" s="31" t="n">
        <x:v>46124</x:v>
      </x:c>
      <x:c r="N1079" s="31" t="n">
        <x:v>46125</x:v>
      </x:c>
      <x:c r="O1079" s="31" t="n"/>
      <x:c r="P1079" s="31" t="n"/>
      <x:c r="Q1079" s="31" t="inlineStr">
        <x:is>
          <x:t xml:space="preserve">Запланировано</x:t>
        </x:is>
      </x:c>
      <x:c r="R1079" s="31" t="inlineStr">
        <x:is>
          <x:t xml:space="preserve">Материал</x:t>
        </x:is>
      </x:c>
      <x:c r="S1079" s="31" t="inlineStr">
        <x:is>
          <x:t xml:space="preserve">Нет</x:t>
        </x:is>
      </x:c>
    </x:row>
    <x:row r="1080">
      <x:c r="A1080" s="31" t="inlineStr">
        <x:is>
          <x:t xml:space="preserve">ОП-001079</x:t>
        </x:is>
      </x:c>
      <x:c r="B1080" s="31" t="inlineStr">
        <x:is>
          <x:t xml:space="preserve">ПЗ-00129</x:t>
        </x:is>
      </x:c>
      <x:c r="C1080" s="31" t="inlineStr">
        <x:is>
          <x:t xml:space="preserve">ЗК-1062</x:t>
        </x:is>
      </x:c>
      <x:c r="D1080" s="31" t="inlineStr">
        <x:is>
          <x:t xml:space="preserve">ПОЗ-0062-2</x:t>
        </x:is>
      </x:c>
      <x:c r="E1080" s="31" t="inlineStr">
        <x:is>
          <x:t xml:space="preserve">ИЗД-038</x:t>
        </x:is>
      </x:c>
      <x:c r="F1080" s="31" t="n">
        <x:v>60</x:v>
      </x:c>
      <x:c r="G1080" s="31" t="inlineStr">
        <x:is>
          <x:t xml:space="preserve">Покраска</x:t>
        </x:is>
      </x:c>
      <x:c r="H1080" s="31" t="inlineStr">
        <x:is>
          <x:t xml:space="preserve">Сварка</x:t>
        </x:is>
      </x:c>
      <x:c r="I1080" s="31" t="inlineStr">
        <x:is>
          <x:t xml:space="preserve">ОБ-010</x:t>
        </x:is>
      </x:c>
      <x:c r="J1080" s="31" t="inlineStr">
        <x:is>
          <x:t xml:space="preserve">СОТР-072</x:t>
        </x:is>
      </x:c>
      <x:c r="K1080" s="31" t="n">
        <x:v>15.6</x:v>
      </x:c>
      <x:c r="L1080" s="31" t="n"/>
      <x:c r="M1080" s="31" t="n">
        <x:v>46125</x:v>
      </x:c>
      <x:c r="N1080" s="31" t="n">
        <x:v>46127</x:v>
      </x:c>
      <x:c r="O1080" s="31" t="n"/>
      <x:c r="P1080" s="31" t="n"/>
      <x:c r="Q1080" s="31" t="inlineStr">
        <x:is>
          <x:t xml:space="preserve">Запланировано</x:t>
        </x:is>
      </x:c>
      <x:c r="R1080" s="31" t="inlineStr">
        <x:is>
          <x:t xml:space="preserve">Нет</x:t>
        </x:is>
      </x:c>
      <x:c r="S1080" s="31" t="inlineStr">
        <x:is>
          <x:t xml:space="preserve">Да</x:t>
        </x:is>
      </x:c>
    </x:row>
    <x:row r="1081">
      <x:c r="A1081" s="31" t="inlineStr">
        <x:is>
          <x:t xml:space="preserve">ОП-001080</x:t>
        </x:is>
      </x:c>
      <x:c r="B1081" s="31" t="inlineStr">
        <x:is>
          <x:t xml:space="preserve">ПЗ-00129</x:t>
        </x:is>
      </x:c>
      <x:c r="C1081" s="31" t="inlineStr">
        <x:is>
          <x:t xml:space="preserve">ЗК-1062</x:t>
        </x:is>
      </x:c>
      <x:c r="D1081" s="31" t="inlineStr">
        <x:is>
          <x:t xml:space="preserve">ПОЗ-0062-2</x:t>
        </x:is>
      </x:c>
      <x:c r="E1081" s="31" t="inlineStr">
        <x:is>
          <x:t xml:space="preserve">ИЗД-038</x:t>
        </x:is>
      </x:c>
      <x:c r="F1081" s="31" t="n">
        <x:v>70</x:v>
      </x:c>
      <x:c r="G1081" s="31" t="inlineStr">
        <x:is>
          <x:t xml:space="preserve">ОТК</x:t>
        </x:is>
      </x:c>
      <x:c r="H1081" s="31" t="inlineStr">
        <x:is>
          <x:t xml:space="preserve">ОТК</x:t>
        </x:is>
      </x:c>
      <x:c r="I1081" s="31" t="inlineStr">
        <x:is>
          <x:t xml:space="preserve">ОБ-006</x:t>
        </x:is>
      </x:c>
      <x:c r="J1081" s="31" t="inlineStr">
        <x:is>
          <x:t xml:space="preserve">СОТР-098</x:t>
        </x:is>
      </x:c>
      <x:c r="K1081" s="31" t="n">
        <x:v>9.4</x:v>
      </x:c>
      <x:c r="L1081" s="31" t="n"/>
      <x:c r="M1081" s="31" t="n">
        <x:v>46127</x:v>
      </x:c>
      <x:c r="N1081" s="31" t="n">
        <x:v>46128</x:v>
      </x:c>
      <x:c r="O1081" s="31" t="n"/>
      <x:c r="P1081" s="31" t="n"/>
      <x:c r="Q1081" s="31" t="inlineStr">
        <x:is>
          <x:t xml:space="preserve">Запланировано</x:t>
        </x:is>
      </x:c>
      <x:c r="R1081" s="31" t="inlineStr">
        <x:is>
          <x:t xml:space="preserve">Оборудование</x:t>
        </x:is>
      </x:c>
      <x:c r="S1081" s="31" t="inlineStr">
        <x:is>
          <x:t xml:space="preserve">Нет</x:t>
        </x:is>
      </x:c>
    </x:row>
    <x:row r="1082">
      <x:c r="A1082" s="31" t="inlineStr">
        <x:is>
          <x:t xml:space="preserve">ОП-001081</x:t>
        </x:is>
      </x:c>
      <x:c r="B1082" s="31" t="inlineStr">
        <x:is>
          <x:t xml:space="preserve">ПЗ-00130</x:t>
        </x:is>
      </x:c>
      <x:c r="C1082" s="31" t="inlineStr">
        <x:is>
          <x:t xml:space="preserve">ЗК-1063</x:t>
        </x:is>
      </x:c>
      <x:c r="D1082" s="31" t="inlineStr">
        <x:is>
          <x:t xml:space="preserve">ПОЗ-0063-1</x:t>
        </x:is>
      </x:c>
      <x:c r="E1082" s="31" t="inlineStr">
        <x:is>
          <x:t xml:space="preserve">ИЗД-033</x:t>
        </x:is>
      </x:c>
      <x:c r="F1082" s="31" t="n">
        <x:v>10</x:v>
      </x:c>
      <x:c r="G1082" s="31" t="inlineStr">
        <x:is>
          <x:t xml:space="preserve">КД</x:t>
        </x:is>
      </x:c>
      <x:c r="H1082" s="31" t="inlineStr">
        <x:is>
          <x:t xml:space="preserve">Инженерный отдел</x:t>
        </x:is>
      </x:c>
      <x:c r="I1082" s="31" t="n"/>
      <x:c r="J1082" s="31" t="inlineStr">
        <x:is>
          <x:t xml:space="preserve">СОТР-015</x:t>
        </x:is>
      </x:c>
      <x:c r="K1082" s="31" t="n">
        <x:v>10.8</x:v>
      </x:c>
      <x:c r="L1082" s="31" t="n">
        <x:v>13.7</x:v>
      </x:c>
      <x:c r="M1082" s="31" t="n">
        <x:v>46174</x:v>
      </x:c>
      <x:c r="N1082" s="31" t="n">
        <x:v>46175</x:v>
      </x:c>
      <x:c r="O1082" s="31" t="n">
        <x:v>46174</x:v>
      </x:c>
      <x:c r="P1082" s="31" t="n">
        <x:v>46175</x:v>
      </x:c>
      <x:c r="Q1082" s="31" t="inlineStr">
        <x:is>
          <x:t xml:space="preserve">Завершено</x:t>
        </x:is>
      </x:c>
      <x:c r="R1082" s="31" t="inlineStr">
        <x:is>
          <x:t xml:space="preserve">Материал</x:t>
        </x:is>
      </x:c>
      <x:c r="S1082" s="31" t="inlineStr">
        <x:is>
          <x:t xml:space="preserve">Нет</x:t>
        </x:is>
      </x:c>
    </x:row>
    <x:row r="1083">
      <x:c r="A1083" s="31" t="inlineStr">
        <x:is>
          <x:t xml:space="preserve">ОП-001082</x:t>
        </x:is>
      </x:c>
      <x:c r="B1083" s="31" t="inlineStr">
        <x:is>
          <x:t xml:space="preserve">ПЗ-00130</x:t>
        </x:is>
      </x:c>
      <x:c r="C1083" s="31" t="inlineStr">
        <x:is>
          <x:t xml:space="preserve">ЗК-1063</x:t>
        </x:is>
      </x:c>
      <x:c r="D1083" s="31" t="inlineStr">
        <x:is>
          <x:t xml:space="preserve">ПОЗ-0063-1</x:t>
        </x:is>
      </x:c>
      <x:c r="E1083" s="31" t="inlineStr">
        <x:is>
          <x:t xml:space="preserve">ИЗД-033</x:t>
        </x:is>
      </x:c>
      <x:c r="F1083" s="31" t="n">
        <x:v>20</x:v>
      </x:c>
      <x:c r="G1083" s="31" t="inlineStr">
        <x:is>
          <x:t xml:space="preserve">Резерв материалов</x:t>
        </x:is>
      </x:c>
      <x:c r="H1083" s="31" t="inlineStr">
        <x:is>
          <x:t xml:space="preserve">Склад</x:t>
        </x:is>
      </x:c>
      <x:c r="I1083" s="31" t="inlineStr">
        <x:is>
          <x:t xml:space="preserve">ОБ-023</x:t>
        </x:is>
      </x:c>
      <x:c r="J1083" s="31" t="inlineStr">
        <x:is>
          <x:t xml:space="preserve">СОТР-036</x:t>
        </x:is>
      </x:c>
      <x:c r="K1083" s="31" t="n">
        <x:v>37.6</x:v>
      </x:c>
      <x:c r="L1083" s="31" t="n">
        <x:v>39</x:v>
      </x:c>
      <x:c r="M1083" s="31" t="n">
        <x:v>46175</x:v>
      </x:c>
      <x:c r="N1083" s="31" t="n">
        <x:v>46179</x:v>
      </x:c>
      <x:c r="O1083" s="31" t="n">
        <x:v>46175</x:v>
      </x:c>
      <x:c r="P1083" s="31" t="n">
        <x:v>46181</x:v>
      </x:c>
      <x:c r="Q1083" s="31" t="inlineStr">
        <x:is>
          <x:t xml:space="preserve">Завершено</x:t>
        </x:is>
      </x:c>
      <x:c r="R1083" s="31" t="inlineStr">
        <x:is>
          <x:t xml:space="preserve">Нет</x:t>
        </x:is>
      </x:c>
      <x:c r="S1083" s="31" t="inlineStr">
        <x:is>
          <x:t xml:space="preserve">Нет</x:t>
        </x:is>
      </x:c>
    </x:row>
    <x:row r="1084">
      <x:c r="A1084" s="31" t="inlineStr">
        <x:is>
          <x:t xml:space="preserve">ОП-001083</x:t>
        </x:is>
      </x:c>
      <x:c r="B1084" s="31" t="inlineStr">
        <x:is>
          <x:t xml:space="preserve">ПЗ-00130</x:t>
        </x:is>
      </x:c>
      <x:c r="C1084" s="31" t="inlineStr">
        <x:is>
          <x:t xml:space="preserve">ЗК-1063</x:t>
        </x:is>
      </x:c>
      <x:c r="D1084" s="31" t="inlineStr">
        <x:is>
          <x:t xml:space="preserve">ПОЗ-0063-1</x:t>
        </x:is>
      </x:c>
      <x:c r="E1084" s="31" t="inlineStr">
        <x:is>
          <x:t xml:space="preserve">ИЗД-033</x:t>
        </x:is>
      </x:c>
      <x:c r="F1084" s="31" t="n">
        <x:v>30</x:v>
      </x:c>
      <x:c r="G1084" s="31" t="inlineStr">
        <x:is>
          <x:t xml:space="preserve">Сварка рамы</x:t>
        </x:is>
      </x:c>
      <x:c r="H1084" s="31" t="inlineStr">
        <x:is>
          <x:t xml:space="preserve">Сварка</x:t>
        </x:is>
      </x:c>
      <x:c r="I1084" s="31" t="inlineStr">
        <x:is>
          <x:t xml:space="preserve">ОБ-035</x:t>
        </x:is>
      </x:c>
      <x:c r="J1084" s="31" t="inlineStr">
        <x:is>
          <x:t xml:space="preserve">СОТР-065</x:t>
        </x:is>
      </x:c>
      <x:c r="K1084" s="31" t="n">
        <x:v>34</x:v>
      </x:c>
      <x:c r="L1084" s="31" t="n">
        <x:v>45.1</x:v>
      </x:c>
      <x:c r="M1084" s="31" t="n">
        <x:v>46179</x:v>
      </x:c>
      <x:c r="N1084" s="31" t="n">
        <x:v>46182</x:v>
      </x:c>
      <x:c r="O1084" s="31" t="n">
        <x:v>46179</x:v>
      </x:c>
      <x:c r="P1084" s="31" t="n">
        <x:v>46182</x:v>
      </x:c>
      <x:c r="Q1084" s="31" t="inlineStr">
        <x:is>
          <x:t xml:space="preserve">Завершено</x:t>
        </x:is>
      </x:c>
      <x:c r="R1084" s="31" t="inlineStr">
        <x:is>
          <x:t xml:space="preserve">Нет</x:t>
        </x:is>
      </x:c>
      <x:c r="S1084" s="31" t="inlineStr">
        <x:is>
          <x:t xml:space="preserve">Нет</x:t>
        </x:is>
      </x:c>
    </x:row>
    <x:row r="1085">
      <x:c r="A1085" s="31" t="inlineStr">
        <x:is>
          <x:t xml:space="preserve">ОП-001084</x:t>
        </x:is>
      </x:c>
      <x:c r="B1085" s="31" t="inlineStr">
        <x:is>
          <x:t xml:space="preserve">ПЗ-00130</x:t>
        </x:is>
      </x:c>
      <x:c r="C1085" s="31" t="inlineStr">
        <x:is>
          <x:t xml:space="preserve">ЗК-1063</x:t>
        </x:is>
      </x:c>
      <x:c r="D1085" s="31" t="inlineStr">
        <x:is>
          <x:t xml:space="preserve">ПОЗ-0063-1</x:t>
        </x:is>
      </x:c>
      <x:c r="E1085" s="31" t="inlineStr">
        <x:is>
          <x:t xml:space="preserve">ИЗД-033</x:t>
        </x:is>
      </x:c>
      <x:c r="F1085" s="31" t="n">
        <x:v>40</x:v>
      </x:c>
      <x:c r="G1085" s="31" t="inlineStr">
        <x:is>
          <x:t xml:space="preserve">Сборка</x:t>
        </x:is>
      </x:c>
      <x:c r="H1085" s="31" t="inlineStr">
        <x:is>
          <x:t xml:space="preserve">Сборка</x:t>
        </x:is>
      </x:c>
      <x:c r="I1085" s="31" t="inlineStr">
        <x:is>
          <x:t xml:space="preserve">ОБ-005</x:t>
        </x:is>
      </x:c>
      <x:c r="J1085" s="31" t="inlineStr">
        <x:is>
          <x:t xml:space="preserve">СОТР-084</x:t>
        </x:is>
      </x:c>
      <x:c r="K1085" s="31" t="n">
        <x:v>36.8</x:v>
      </x:c>
      <x:c r="L1085" s="31" t="n">
        <x:v>30.7</x:v>
      </x:c>
      <x:c r="M1085" s="31" t="n">
        <x:v>46182</x:v>
      </x:c>
      <x:c r="N1085" s="31" t="n">
        <x:v>46186</x:v>
      </x:c>
      <x:c r="O1085" s="31" t="n">
        <x:v>46182</x:v>
      </x:c>
      <x:c r="P1085" s="31" t="n">
        <x:v>46187</x:v>
      </x:c>
      <x:c r="Q1085" s="31" t="inlineStr">
        <x:is>
          <x:t xml:space="preserve">Завершено</x:t>
        </x:is>
      </x:c>
      <x:c r="R1085" s="31" t="inlineStr">
        <x:is>
          <x:t xml:space="preserve">Материал</x:t>
        </x:is>
      </x:c>
      <x:c r="S1085" s="31" t="inlineStr">
        <x:is>
          <x:t xml:space="preserve">Нет</x:t>
        </x:is>
      </x:c>
    </x:row>
    <x:row r="1086">
      <x:c r="A1086" s="31" t="inlineStr">
        <x:is>
          <x:t xml:space="preserve">ОП-001085</x:t>
        </x:is>
      </x:c>
      <x:c r="B1086" s="31" t="inlineStr">
        <x:is>
          <x:t xml:space="preserve">ПЗ-00130</x:t>
        </x:is>
      </x:c>
      <x:c r="C1086" s="31" t="inlineStr">
        <x:is>
          <x:t xml:space="preserve">ЗК-1063</x:t>
        </x:is>
      </x:c>
      <x:c r="D1086" s="31" t="inlineStr">
        <x:is>
          <x:t xml:space="preserve">ПОЗ-0063-1</x:t>
        </x:is>
      </x:c>
      <x:c r="E1086" s="31" t="inlineStr">
        <x:is>
          <x:t xml:space="preserve">ИЗД-033</x:t>
        </x:is>
      </x:c>
      <x:c r="F1086" s="31" t="n">
        <x:v>50</x:v>
      </x:c>
      <x:c r="G1086" s="31" t="inlineStr">
        <x:is>
          <x:t xml:space="preserve">Обвязка труб</x:t>
        </x:is>
      </x:c>
      <x:c r="H1086" s="31" t="inlineStr">
        <x:is>
          <x:t xml:space="preserve">Сборка</x:t>
        </x:is>
      </x:c>
      <x:c r="I1086" s="31" t="inlineStr">
        <x:is>
          <x:t xml:space="preserve">ОБ-005</x:t>
        </x:is>
      </x:c>
      <x:c r="J1086" s="31" t="inlineStr">
        <x:is>
          <x:t xml:space="preserve">СОТР-084</x:t>
        </x:is>
      </x:c>
      <x:c r="K1086" s="31" t="n">
        <x:v>13.6</x:v>
      </x:c>
      <x:c r="L1086" s="31" t="n">
        <x:v>16.1</x:v>
      </x:c>
      <x:c r="M1086" s="31" t="n">
        <x:v>46186</x:v>
      </x:c>
      <x:c r="N1086" s="31" t="n">
        <x:v>46188</x:v>
      </x:c>
      <x:c r="O1086" s="31" t="n">
        <x:v>46186</x:v>
      </x:c>
      <x:c r="P1086" s="31" t="n">
        <x:v>46187</x:v>
      </x:c>
      <x:c r="Q1086" s="31" t="inlineStr">
        <x:is>
          <x:t xml:space="preserve">Завершено</x:t>
        </x:is>
      </x:c>
      <x:c r="R1086" s="31" t="inlineStr">
        <x:is>
          <x:t xml:space="preserve">Нет</x:t>
        </x:is>
      </x:c>
      <x:c r="S1086" s="31" t="inlineStr">
        <x:is>
          <x:t xml:space="preserve">Нет</x:t>
        </x:is>
      </x:c>
    </x:row>
    <x:row r="1087">
      <x:c r="A1087" s="31" t="inlineStr">
        <x:is>
          <x:t xml:space="preserve">ОП-001086</x:t>
        </x:is>
      </x:c>
      <x:c r="B1087" s="31" t="inlineStr">
        <x:is>
          <x:t xml:space="preserve">ПЗ-00130</x:t>
        </x:is>
      </x:c>
      <x:c r="C1087" s="31" t="inlineStr">
        <x:is>
          <x:t xml:space="preserve">ЗК-1063</x:t>
        </x:is>
      </x:c>
      <x:c r="D1087" s="31" t="inlineStr">
        <x:is>
          <x:t xml:space="preserve">ПОЗ-0063-1</x:t>
        </x:is>
      </x:c>
      <x:c r="E1087" s="31" t="inlineStr">
        <x:is>
          <x:t xml:space="preserve">ИЗД-033</x:t>
        </x:is>
      </x:c>
      <x:c r="F1087" s="31" t="n">
        <x:v>60</x:v>
      </x:c>
      <x:c r="G1087" s="31" t="inlineStr">
        <x:is>
          <x:t xml:space="preserve">Электромонтаж</x:t>
        </x:is>
      </x:c>
      <x:c r="H1087" s="31" t="inlineStr">
        <x:is>
          <x:t xml:space="preserve">Сборка</x:t>
        </x:is>
      </x:c>
      <x:c r="I1087" s="31" t="inlineStr">
        <x:is>
          <x:t xml:space="preserve">ОБ-002</x:t>
        </x:is>
      </x:c>
      <x:c r="J1087" s="31" t="inlineStr">
        <x:is>
          <x:t xml:space="preserve">СОТР-077</x:t>
        </x:is>
      </x:c>
      <x:c r="K1087" s="31" t="n">
        <x:v>61.2</x:v>
      </x:c>
      <x:c r="L1087" s="31" t="n">
        <x:v>72.5</x:v>
      </x:c>
      <x:c r="M1087" s="31" t="n">
        <x:v>46188</x:v>
      </x:c>
      <x:c r="N1087" s="31" t="n">
        <x:v>46194</x:v>
      </x:c>
      <x:c r="O1087" s="31" t="n">
        <x:v>46188</x:v>
      </x:c>
      <x:c r="P1087" s="31" t="n">
        <x:v>46196</x:v>
      </x:c>
      <x:c r="Q1087" s="31" t="inlineStr">
        <x:is>
          <x:t xml:space="preserve">Завершено</x:t>
        </x:is>
      </x:c>
      <x:c r="R1087" s="31" t="inlineStr">
        <x:is>
          <x:t xml:space="preserve">КД</x:t>
        </x:is>
      </x:c>
      <x:c r="S1087" s="31" t="inlineStr">
        <x:is>
          <x:t xml:space="preserve">Нет</x:t>
        </x:is>
      </x:c>
    </x:row>
    <x:row r="1088">
      <x:c r="A1088" s="31" t="inlineStr">
        <x:is>
          <x:t xml:space="preserve">ОП-001087</x:t>
        </x:is>
      </x:c>
      <x:c r="B1088" s="31" t="inlineStr">
        <x:is>
          <x:t xml:space="preserve">ПЗ-00130</x:t>
        </x:is>
      </x:c>
      <x:c r="C1088" s="31" t="inlineStr">
        <x:is>
          <x:t xml:space="preserve">ЗК-1063</x:t>
        </x:is>
      </x:c>
      <x:c r="D1088" s="31" t="inlineStr">
        <x:is>
          <x:t xml:space="preserve">ПОЗ-0063-1</x:t>
        </x:is>
      </x:c>
      <x:c r="E1088" s="31" t="inlineStr">
        <x:is>
          <x:t xml:space="preserve">ИЗД-033</x:t>
        </x:is>
      </x:c>
      <x:c r="F1088" s="31" t="n">
        <x:v>70</x:v>
      </x:c>
      <x:c r="G1088" s="31" t="inlineStr">
        <x:is>
          <x:t xml:space="preserve">Гидроиспытания</x:t>
        </x:is>
      </x:c>
      <x:c r="H1088" s="31" t="inlineStr">
        <x:is>
          <x:t xml:space="preserve">ОТК</x:t>
        </x:is>
      </x:c>
      <x:c r="I1088" s="31" t="inlineStr">
        <x:is>
          <x:t xml:space="preserve">ОБ-001</x:t>
        </x:is>
      </x:c>
      <x:c r="J1088" s="31" t="inlineStr">
        <x:is>
          <x:t xml:space="preserve">СОТР-100</x:t>
        </x:is>
      </x:c>
      <x:c r="K1088" s="31" t="n">
        <x:v>51.6</x:v>
      </x:c>
      <x:c r="L1088" s="31" t="n">
        <x:v>45.8</x:v>
      </x:c>
      <x:c r="M1088" s="31" t="n">
        <x:v>46194</x:v>
      </x:c>
      <x:c r="N1088" s="31" t="n">
        <x:v>46199</x:v>
      </x:c>
      <x:c r="O1088" s="31" t="n">
        <x:v>46194</x:v>
      </x:c>
      <x:c r="P1088" s="31" t="n">
        <x:v>46198</x:v>
      </x:c>
      <x:c r="Q1088" s="31" t="inlineStr">
        <x:is>
          <x:t xml:space="preserve">Завершено</x:t>
        </x:is>
      </x:c>
      <x:c r="R1088" s="31" t="inlineStr">
        <x:is>
          <x:t xml:space="preserve">Нет</x:t>
        </x:is>
      </x:c>
      <x:c r="S1088" s="31" t="inlineStr">
        <x:is>
          <x:t xml:space="preserve">Нет</x:t>
        </x:is>
      </x:c>
    </x:row>
    <x:row r="1089">
      <x:c r="A1089" s="31" t="inlineStr">
        <x:is>
          <x:t xml:space="preserve">ОП-001088</x:t>
        </x:is>
      </x:c>
      <x:c r="B1089" s="31" t="inlineStr">
        <x:is>
          <x:t xml:space="preserve">ПЗ-00130</x:t>
        </x:is>
      </x:c>
      <x:c r="C1089" s="31" t="inlineStr">
        <x:is>
          <x:t xml:space="preserve">ЗК-1063</x:t>
        </x:is>
      </x:c>
      <x:c r="D1089" s="31" t="inlineStr">
        <x:is>
          <x:t xml:space="preserve">ПОЗ-0063-1</x:t>
        </x:is>
      </x:c>
      <x:c r="E1089" s="31" t="inlineStr">
        <x:is>
          <x:t xml:space="preserve">ИЗД-033</x:t>
        </x:is>
      </x:c>
      <x:c r="F1089" s="31" t="n">
        <x:v>80</x:v>
      </x:c>
      <x:c r="G1089" s="31" t="inlineStr">
        <x:is>
          <x:t xml:space="preserve">ОТК</x:t>
        </x:is>
      </x:c>
      <x:c r="H1089" s="31" t="inlineStr">
        <x:is>
          <x:t xml:space="preserve">ОТК</x:t>
        </x:is>
      </x:c>
      <x:c r="I1089" s="31" t="inlineStr">
        <x:is>
          <x:t xml:space="preserve">ОБ-024</x:t>
        </x:is>
      </x:c>
      <x:c r="J1089" s="31" t="inlineStr">
        <x:is>
          <x:t xml:space="preserve">СОТР-095</x:t>
        </x:is>
      </x:c>
      <x:c r="K1089" s="31" t="n">
        <x:v>55.6</x:v>
      </x:c>
      <x:c r="L1089" s="31" t="n">
        <x:v>64.40000000000001</x:v>
      </x:c>
      <x:c r="M1089" s="31" t="n">
        <x:v>46199</x:v>
      </x:c>
      <x:c r="N1089" s="31" t="n">
        <x:v>46204</x:v>
      </x:c>
      <x:c r="O1089" s="31" t="n">
        <x:v>46199</x:v>
      </x:c>
      <x:c r="P1089" s="31" t="n">
        <x:v>46205</x:v>
      </x:c>
      <x:c r="Q1089" s="31" t="inlineStr">
        <x:is>
          <x:t xml:space="preserve">Завершено</x:t>
        </x:is>
      </x:c>
      <x:c r="R1089" s="31" t="inlineStr">
        <x:is>
          <x:t xml:space="preserve">Нет</x:t>
        </x:is>
      </x:c>
      <x:c r="S1089" s="31" t="inlineStr">
        <x:is>
          <x:t xml:space="preserve">Нет</x:t>
        </x:is>
      </x:c>
    </x:row>
    <x:row r="1090">
      <x:c r="A1090" s="31" t="inlineStr">
        <x:is>
          <x:t xml:space="preserve">ОП-001089</x:t>
        </x:is>
      </x:c>
      <x:c r="B1090" s="31" t="inlineStr">
        <x:is>
          <x:t xml:space="preserve">ПЗ-00130</x:t>
        </x:is>
      </x:c>
      <x:c r="C1090" s="31" t="inlineStr">
        <x:is>
          <x:t xml:space="preserve">ЗК-1063</x:t>
        </x:is>
      </x:c>
      <x:c r="D1090" s="31" t="inlineStr">
        <x:is>
          <x:t xml:space="preserve">ПОЗ-0063-1</x:t>
        </x:is>
      </x:c>
      <x:c r="E1090" s="31" t="inlineStr">
        <x:is>
          <x:t xml:space="preserve">ИЗД-033</x:t>
        </x:is>
      </x:c>
      <x:c r="F1090" s="31" t="n">
        <x:v>90</x:v>
      </x:c>
      <x:c r="G1090" s="31" t="inlineStr">
        <x:is>
          <x:t xml:space="preserve">Упаковка</x:t>
        </x:is>
      </x:c>
      <x:c r="H1090" s="31" t="inlineStr">
        <x:is>
          <x:t xml:space="preserve">Логистика</x:t>
        </x:is>
      </x:c>
      <x:c r="I1090" s="31" t="n"/>
      <x:c r="J1090" s="31" t="inlineStr">
        <x:is>
          <x:t xml:space="preserve">СОТР-103</x:t>
        </x:is>
      </x:c>
      <x:c r="K1090" s="31" t="n">
        <x:v>72.40000000000001</x:v>
      </x:c>
      <x:c r="L1090" s="31" t="n">
        <x:v>91</x:v>
      </x:c>
      <x:c r="M1090" s="31" t="n">
        <x:v>46204</x:v>
      </x:c>
      <x:c r="N1090" s="31" t="n">
        <x:v>46211</x:v>
      </x:c>
      <x:c r="O1090" s="31" t="n">
        <x:v>46204</x:v>
      </x:c>
      <x:c r="P1090" s="31" t="n">
        <x:v>46211</x:v>
      </x:c>
      <x:c r="Q1090" s="31" t="inlineStr">
        <x:is>
          <x:t xml:space="preserve">Завершено</x:t>
        </x:is>
      </x:c>
      <x:c r="R1090" s="31" t="inlineStr">
        <x:is>
          <x:t xml:space="preserve">Нет</x:t>
        </x:is>
      </x:c>
      <x:c r="S1090" s="31" t="inlineStr">
        <x:is>
          <x:t xml:space="preserve">Нет</x:t>
        </x:is>
      </x:c>
    </x:row>
    <x:row r="1091">
      <x:c r="A1091" s="31" t="inlineStr">
        <x:is>
          <x:t xml:space="preserve">ОП-001090</x:t>
        </x:is>
      </x:c>
      <x:c r="B1091" s="31" t="inlineStr">
        <x:is>
          <x:t xml:space="preserve">ПЗ-00131</x:t>
        </x:is>
      </x:c>
      <x:c r="C1091" s="31" t="inlineStr">
        <x:is>
          <x:t xml:space="preserve">ЗК-1063</x:t>
        </x:is>
      </x:c>
      <x:c r="D1091" s="31" t="inlineStr">
        <x:is>
          <x:t xml:space="preserve">ПОЗ-0063-2</x:t>
        </x:is>
      </x:c>
      <x:c r="E1091" s="31" t="inlineStr">
        <x:is>
          <x:t xml:space="preserve">ИЗД-007</x:t>
        </x:is>
      </x:c>
      <x:c r="F1091" s="31" t="n">
        <x:v>10</x:v>
      </x:c>
      <x:c r="G1091" s="31" t="inlineStr">
        <x:is>
          <x:t xml:space="preserve">КД</x:t>
        </x:is>
      </x:c>
      <x:c r="H1091" s="31" t="inlineStr">
        <x:is>
          <x:t xml:space="preserve">Инженерный отдел</x:t>
        </x:is>
      </x:c>
      <x:c r="I1091" s="31" t="n"/>
      <x:c r="J1091" s="31" t="inlineStr">
        <x:is>
          <x:t xml:space="preserve">СОТР-021</x:t>
        </x:is>
      </x:c>
      <x:c r="K1091" s="31" t="n">
        <x:v>9</x:v>
      </x:c>
      <x:c r="L1091" s="31" t="n">
        <x:v>9.4</x:v>
      </x:c>
      <x:c r="M1091" s="31" t="n">
        <x:v>46183</x:v>
      </x:c>
      <x:c r="N1091" s="31" t="n">
        <x:v>46184</x:v>
      </x:c>
      <x:c r="O1091" s="31" t="n">
        <x:v>46183</x:v>
      </x:c>
      <x:c r="P1091" s="31" t="n">
        <x:v>46183</x:v>
      </x:c>
      <x:c r="Q1091" s="31" t="inlineStr">
        <x:is>
          <x:t xml:space="preserve">Завершено</x:t>
        </x:is>
      </x:c>
      <x:c r="R1091" s="31" t="inlineStr">
        <x:is>
          <x:t xml:space="preserve">Нет</x:t>
        </x:is>
      </x:c>
      <x:c r="S1091" s="31" t="inlineStr">
        <x:is>
          <x:t xml:space="preserve">Да</x:t>
        </x:is>
      </x:c>
    </x:row>
    <x:row r="1092">
      <x:c r="A1092" s="31" t="inlineStr">
        <x:is>
          <x:t xml:space="preserve">ОП-001091</x:t>
        </x:is>
      </x:c>
      <x:c r="B1092" s="31" t="inlineStr">
        <x:is>
          <x:t xml:space="preserve">ПЗ-00131</x:t>
        </x:is>
      </x:c>
      <x:c r="C1092" s="31" t="inlineStr">
        <x:is>
          <x:t xml:space="preserve">ЗК-1063</x:t>
        </x:is>
      </x:c>
      <x:c r="D1092" s="31" t="inlineStr">
        <x:is>
          <x:t xml:space="preserve">ПОЗ-0063-2</x:t>
        </x:is>
      </x:c>
      <x:c r="E1092" s="31" t="inlineStr">
        <x:is>
          <x:t xml:space="preserve">ИЗД-007</x:t>
        </x:is>
      </x:c>
      <x:c r="F1092" s="31" t="n">
        <x:v>20</x:v>
      </x:c>
      <x:c r="G1092" s="31" t="inlineStr">
        <x:is>
          <x:t xml:space="preserve">Резерв материалов</x:t>
        </x:is>
      </x:c>
      <x:c r="H1092" s="31" t="inlineStr">
        <x:is>
          <x:t xml:space="preserve">Склад</x:t>
        </x:is>
      </x:c>
      <x:c r="I1092" s="31" t="inlineStr">
        <x:is>
          <x:t xml:space="preserve">ОБ-008</x:t>
        </x:is>
      </x:c>
      <x:c r="J1092" s="31" t="inlineStr">
        <x:is>
          <x:t xml:space="preserve">СОТР-038</x:t>
        </x:is>
      </x:c>
      <x:c r="K1092" s="31" t="n">
        <x:v>56</x:v>
      </x:c>
      <x:c r="L1092" s="31" t="n">
        <x:v>69.90000000000001</x:v>
      </x:c>
      <x:c r="M1092" s="31" t="n">
        <x:v>46184</x:v>
      </x:c>
      <x:c r="N1092" s="31" t="n">
        <x:v>46189</x:v>
      </x:c>
      <x:c r="O1092" s="31" t="n">
        <x:v>46184</x:v>
      </x:c>
      <x:c r="P1092" s="31" t="n">
        <x:v>46190</x:v>
      </x:c>
      <x:c r="Q1092" s="31" t="inlineStr">
        <x:is>
          <x:t xml:space="preserve">Завершено</x:t>
        </x:is>
      </x:c>
      <x:c r="R1092" s="31" t="inlineStr">
        <x:is>
          <x:t xml:space="preserve">Нет</x:t>
        </x:is>
      </x:c>
      <x:c r="S1092" s="31" t="inlineStr">
        <x:is>
          <x:t xml:space="preserve">Нет</x:t>
        </x:is>
      </x:c>
    </x:row>
    <x:row r="1093">
      <x:c r="A1093" s="31" t="inlineStr">
        <x:is>
          <x:t xml:space="preserve">ОП-001092</x:t>
        </x:is>
      </x:c>
      <x:c r="B1093" s="31" t="inlineStr">
        <x:is>
          <x:t xml:space="preserve">ПЗ-00131</x:t>
        </x:is>
      </x:c>
      <x:c r="C1093" s="31" t="inlineStr">
        <x:is>
          <x:t xml:space="preserve">ЗК-1063</x:t>
        </x:is>
      </x:c>
      <x:c r="D1093" s="31" t="inlineStr">
        <x:is>
          <x:t xml:space="preserve">ПОЗ-0063-2</x:t>
        </x:is>
      </x:c>
      <x:c r="E1093" s="31" t="inlineStr">
        <x:is>
          <x:t xml:space="preserve">ИЗД-007</x:t>
        </x:is>
      </x:c>
      <x:c r="F1093" s="31" t="n">
        <x:v>30</x:v>
      </x:c>
      <x:c r="G1093" s="31" t="inlineStr">
        <x:is>
          <x:t xml:space="preserve">Резка металла</x:t>
        </x:is>
      </x:c>
      <x:c r="H1093" s="31" t="inlineStr">
        <x:is>
          <x:t xml:space="preserve">Сварка</x:t>
        </x:is>
      </x:c>
      <x:c r="I1093" s="31" t="inlineStr">
        <x:is>
          <x:t xml:space="preserve">ОБ-018</x:t>
        </x:is>
      </x:c>
      <x:c r="J1093" s="31" t="inlineStr">
        <x:is>
          <x:t xml:space="preserve">СОТР-061</x:t>
        </x:is>
      </x:c>
      <x:c r="K1093" s="31" t="n">
        <x:v>25</x:v>
      </x:c>
      <x:c r="L1093" s="31" t="n">
        <x:v>31.6</x:v>
      </x:c>
      <x:c r="M1093" s="31" t="n">
        <x:v>46189</x:v>
      </x:c>
      <x:c r="N1093" s="31" t="n">
        <x:v>46192</x:v>
      </x:c>
      <x:c r="O1093" s="31" t="n">
        <x:v>46189</x:v>
      </x:c>
      <x:c r="P1093" s="31" t="n">
        <x:v>46194</x:v>
      </x:c>
      <x:c r="Q1093" s="31" t="inlineStr">
        <x:is>
          <x:t xml:space="preserve">Завершено</x:t>
        </x:is>
      </x:c>
      <x:c r="R1093" s="31" t="inlineStr">
        <x:is>
          <x:t xml:space="preserve">Нет</x:t>
        </x:is>
      </x:c>
      <x:c r="S1093" s="31" t="inlineStr">
        <x:is>
          <x:t xml:space="preserve">Нет</x:t>
        </x:is>
      </x:c>
    </x:row>
    <x:row r="1094">
      <x:c r="A1094" s="31" t="inlineStr">
        <x:is>
          <x:t xml:space="preserve">ОП-001093</x:t>
        </x:is>
      </x:c>
      <x:c r="B1094" s="31" t="inlineStr">
        <x:is>
          <x:t xml:space="preserve">ПЗ-00131</x:t>
        </x:is>
      </x:c>
      <x:c r="C1094" s="31" t="inlineStr">
        <x:is>
          <x:t xml:space="preserve">ЗК-1063</x:t>
        </x:is>
      </x:c>
      <x:c r="D1094" s="31" t="inlineStr">
        <x:is>
          <x:t xml:space="preserve">ПОЗ-0063-2</x:t>
        </x:is>
      </x:c>
      <x:c r="E1094" s="31" t="inlineStr">
        <x:is>
          <x:t xml:space="preserve">ИЗД-007</x:t>
        </x:is>
      </x:c>
      <x:c r="F1094" s="31" t="n">
        <x:v>40</x:v>
      </x:c>
      <x:c r="G1094" s="31" t="inlineStr">
        <x:is>
          <x:t xml:space="preserve">Сварка рамы</x:t>
        </x:is>
      </x:c>
      <x:c r="H1094" s="31" t="inlineStr">
        <x:is>
          <x:t xml:space="preserve">Сварка</x:t>
        </x:is>
      </x:c>
      <x:c r="I1094" s="31" t="inlineStr">
        <x:is>
          <x:t xml:space="preserve">ОБ-019</x:t>
        </x:is>
      </x:c>
      <x:c r="J1094" s="31" t="inlineStr">
        <x:is>
          <x:t xml:space="preserve">СОТР-056</x:t>
        </x:is>
      </x:c>
      <x:c r="K1094" s="31" t="n">
        <x:v>6.5</x:v>
      </x:c>
      <x:c r="L1094" s="31" t="n">
        <x:v>7.2</x:v>
      </x:c>
      <x:c r="M1094" s="31" t="n">
        <x:v>46192</x:v>
      </x:c>
      <x:c r="N1094" s="31" t="n">
        <x:v>46193</x:v>
      </x:c>
      <x:c r="O1094" s="31" t="n">
        <x:v>46192</x:v>
      </x:c>
      <x:c r="P1094" s="31" t="n">
        <x:v>46192</x:v>
      </x:c>
      <x:c r="Q1094" s="31" t="inlineStr">
        <x:is>
          <x:t xml:space="preserve">Завершено</x:t>
        </x:is>
      </x:c>
      <x:c r="R1094" s="31" t="inlineStr">
        <x:is>
          <x:t xml:space="preserve">Материал</x:t>
        </x:is>
      </x:c>
      <x:c r="S1094" s="31" t="inlineStr">
        <x:is>
          <x:t xml:space="preserve">Нет</x:t>
        </x:is>
      </x:c>
    </x:row>
    <x:row r="1095">
      <x:c r="A1095" s="31" t="inlineStr">
        <x:is>
          <x:t xml:space="preserve">ОП-001094</x:t>
        </x:is>
      </x:c>
      <x:c r="B1095" s="31" t="inlineStr">
        <x:is>
          <x:t xml:space="preserve">ПЗ-00131</x:t>
        </x:is>
      </x:c>
      <x:c r="C1095" s="31" t="inlineStr">
        <x:is>
          <x:t xml:space="preserve">ЗК-1063</x:t>
        </x:is>
      </x:c>
      <x:c r="D1095" s="31" t="inlineStr">
        <x:is>
          <x:t xml:space="preserve">ПОЗ-0063-2</x:t>
        </x:is>
      </x:c>
      <x:c r="E1095" s="31" t="inlineStr">
        <x:is>
          <x:t xml:space="preserve">ИЗД-007</x:t>
        </x:is>
      </x:c>
      <x:c r="F1095" s="31" t="n">
        <x:v>50</x:v>
      </x:c>
      <x:c r="G1095" s="31" t="inlineStr">
        <x:is>
          <x:t xml:space="preserve">Механообработка</x:t>
        </x:is>
      </x:c>
      <x:c r="H1095" s="31" t="inlineStr">
        <x:is>
          <x:t xml:space="preserve">Механообработка</x:t>
        </x:is>
      </x:c>
      <x:c r="I1095" s="31" t="inlineStr">
        <x:is>
          <x:t xml:space="preserve">ОБ-030</x:t>
        </x:is>
      </x:c>
      <x:c r="J1095" s="31" t="inlineStr">
        <x:is>
          <x:t xml:space="preserve">СОТР-040</x:t>
        </x:is>
      </x:c>
      <x:c r="K1095" s="31" t="n">
        <x:v>50</x:v>
      </x:c>
      <x:c r="L1095" s="31" t="n">
        <x:v>45.1</x:v>
      </x:c>
      <x:c r="M1095" s="31" t="n">
        <x:v>46193</x:v>
      </x:c>
      <x:c r="N1095" s="31" t="n">
        <x:v>46198</x:v>
      </x:c>
      <x:c r="O1095" s="31" t="n">
        <x:v>46193</x:v>
      </x:c>
      <x:c r="P1095" s="31" t="n">
        <x:v>46198</x:v>
      </x:c>
      <x:c r="Q1095" s="31" t="inlineStr">
        <x:is>
          <x:t xml:space="preserve">Завершено</x:t>
        </x:is>
      </x:c>
      <x:c r="R1095" s="31" t="inlineStr">
        <x:is>
          <x:t xml:space="preserve">Нет</x:t>
        </x:is>
      </x:c>
      <x:c r="S1095" s="31" t="inlineStr">
        <x:is>
          <x:t xml:space="preserve">Нет</x:t>
        </x:is>
      </x:c>
    </x:row>
    <x:row r="1096">
      <x:c r="A1096" s="31" t="inlineStr">
        <x:is>
          <x:t xml:space="preserve">ОП-001095</x:t>
        </x:is>
      </x:c>
      <x:c r="B1096" s="31" t="inlineStr">
        <x:is>
          <x:t xml:space="preserve">ПЗ-00131</x:t>
        </x:is>
      </x:c>
      <x:c r="C1096" s="31" t="inlineStr">
        <x:is>
          <x:t xml:space="preserve">ЗК-1063</x:t>
        </x:is>
      </x:c>
      <x:c r="D1096" s="31" t="inlineStr">
        <x:is>
          <x:t xml:space="preserve">ПОЗ-0063-2</x:t>
        </x:is>
      </x:c>
      <x:c r="E1096" s="31" t="inlineStr">
        <x:is>
          <x:t xml:space="preserve">ИЗД-007</x:t>
        </x:is>
      </x:c>
      <x:c r="F1096" s="31" t="n">
        <x:v>60</x:v>
      </x:c>
      <x:c r="G1096" s="31" t="inlineStr">
        <x:is>
          <x:t xml:space="preserve">Сборка</x:t>
        </x:is>
      </x:c>
      <x:c r="H1096" s="31" t="inlineStr">
        <x:is>
          <x:t xml:space="preserve">Сборка</x:t>
        </x:is>
      </x:c>
      <x:c r="I1096" s="31" t="inlineStr">
        <x:is>
          <x:t xml:space="preserve">ОБ-014</x:t>
        </x:is>
      </x:c>
      <x:c r="J1096" s="31" t="inlineStr">
        <x:is>
          <x:t xml:space="preserve">СОТР-083</x:t>
        </x:is>
      </x:c>
      <x:c r="K1096" s="31" t="n">
        <x:v>56</x:v>
      </x:c>
      <x:c r="L1096" s="31" t="n">
        <x:v>63.9</x:v>
      </x:c>
      <x:c r="M1096" s="31" t="n">
        <x:v>46198</x:v>
      </x:c>
      <x:c r="N1096" s="31" t="n">
        <x:v>46203</x:v>
      </x:c>
      <x:c r="O1096" s="31" t="n">
        <x:v>46198</x:v>
      </x:c>
      <x:c r="P1096" s="31" t="n">
        <x:v>46203</x:v>
      </x:c>
      <x:c r="Q1096" s="31" t="inlineStr">
        <x:is>
          <x:t xml:space="preserve">Завершено</x:t>
        </x:is>
      </x:c>
      <x:c r="R1096" s="31" t="inlineStr">
        <x:is>
          <x:t xml:space="preserve">Нет</x:t>
        </x:is>
      </x:c>
      <x:c r="S1096" s="31" t="inlineStr">
        <x:is>
          <x:t xml:space="preserve">Нет</x:t>
        </x:is>
      </x:c>
    </x:row>
    <x:row r="1097">
      <x:c r="A1097" s="31" t="inlineStr">
        <x:is>
          <x:t xml:space="preserve">ОП-001096</x:t>
        </x:is>
      </x:c>
      <x:c r="B1097" s="31" t="inlineStr">
        <x:is>
          <x:t xml:space="preserve">ПЗ-00131</x:t>
        </x:is>
      </x:c>
      <x:c r="C1097" s="31" t="inlineStr">
        <x:is>
          <x:t xml:space="preserve">ЗК-1063</x:t>
        </x:is>
      </x:c>
      <x:c r="D1097" s="31" t="inlineStr">
        <x:is>
          <x:t xml:space="preserve">ПОЗ-0063-2</x:t>
        </x:is>
      </x:c>
      <x:c r="E1097" s="31" t="inlineStr">
        <x:is>
          <x:t xml:space="preserve">ИЗД-007</x:t>
        </x:is>
      </x:c>
      <x:c r="F1097" s="31" t="n">
        <x:v>70</x:v>
      </x:c>
      <x:c r="G1097" s="31" t="inlineStr">
        <x:is>
          <x:t xml:space="preserve">Электромонтаж</x:t>
        </x:is>
      </x:c>
      <x:c r="H1097" s="31" t="inlineStr">
        <x:is>
          <x:t xml:space="preserve">Сборка</x:t>
        </x:is>
      </x:c>
      <x:c r="I1097" s="31" t="inlineStr">
        <x:is>
          <x:t xml:space="preserve">ОБ-005</x:t>
        </x:is>
      </x:c>
      <x:c r="J1097" s="31" t="inlineStr">
        <x:is>
          <x:t xml:space="preserve">СОТР-073</x:t>
        </x:is>
      </x:c>
      <x:c r="K1097" s="31" t="n">
        <x:v>46.5</x:v>
      </x:c>
      <x:c r="L1097" s="31" t="n">
        <x:v>41.6</x:v>
      </x:c>
      <x:c r="M1097" s="31" t="n">
        <x:v>46203</x:v>
      </x:c>
      <x:c r="N1097" s="31" t="n">
        <x:v>46207</x:v>
      </x:c>
      <x:c r="O1097" s="31" t="n">
        <x:v>46203</x:v>
      </x:c>
      <x:c r="P1097" s="31" t="n">
        <x:v>46207</x:v>
      </x:c>
      <x:c r="Q1097" s="31" t="inlineStr">
        <x:is>
          <x:t xml:space="preserve">Завершено</x:t>
        </x:is>
      </x:c>
      <x:c r="R1097" s="31" t="inlineStr">
        <x:is>
          <x:t xml:space="preserve">Нет</x:t>
        </x:is>
      </x:c>
      <x:c r="S1097" s="31" t="inlineStr">
        <x:is>
          <x:t xml:space="preserve">Да</x:t>
        </x:is>
      </x:c>
    </x:row>
    <x:row r="1098">
      <x:c r="A1098" s="31" t="inlineStr">
        <x:is>
          <x:t xml:space="preserve">ОП-001097</x:t>
        </x:is>
      </x:c>
      <x:c r="B1098" s="31" t="inlineStr">
        <x:is>
          <x:t xml:space="preserve">ПЗ-00131</x:t>
        </x:is>
      </x:c>
      <x:c r="C1098" s="31" t="inlineStr">
        <x:is>
          <x:t xml:space="preserve">ЗК-1063</x:t>
        </x:is>
      </x:c>
      <x:c r="D1098" s="31" t="inlineStr">
        <x:is>
          <x:t xml:space="preserve">ПОЗ-0063-2</x:t>
        </x:is>
      </x:c>
      <x:c r="E1098" s="31" t="inlineStr">
        <x:is>
          <x:t xml:space="preserve">ИЗД-007</x:t>
        </x:is>
      </x:c>
      <x:c r="F1098" s="31" t="n">
        <x:v>80</x:v>
      </x:c>
      <x:c r="G1098" s="31" t="inlineStr">
        <x:is>
          <x:t xml:space="preserve">Гидроиспытания</x:t>
        </x:is>
      </x:c>
      <x:c r="H1098" s="31" t="inlineStr">
        <x:is>
          <x:t xml:space="preserve">ОТК</x:t>
        </x:is>
      </x:c>
      <x:c r="I1098" s="31" t="inlineStr">
        <x:is>
          <x:t xml:space="preserve">ОБ-007</x:t>
        </x:is>
      </x:c>
      <x:c r="J1098" s="31" t="inlineStr">
        <x:is>
          <x:t xml:space="preserve">СОТР-095</x:t>
        </x:is>
      </x:c>
      <x:c r="K1098" s="31" t="n">
        <x:v>57</x:v>
      </x:c>
      <x:c r="L1098" s="31" t="n">
        <x:v>51</x:v>
      </x:c>
      <x:c r="M1098" s="31" t="n">
        <x:v>46207</x:v>
      </x:c>
      <x:c r="N1098" s="31" t="n">
        <x:v>46212</x:v>
      </x:c>
      <x:c r="O1098" s="31" t="n">
        <x:v>46207</x:v>
      </x:c>
      <x:c r="P1098" s="31" t="n">
        <x:v>46212</x:v>
      </x:c>
      <x:c r="Q1098" s="31" t="inlineStr">
        <x:is>
          <x:t xml:space="preserve">Завершено</x:t>
        </x:is>
      </x:c>
      <x:c r="R1098" s="31" t="inlineStr">
        <x:is>
          <x:t xml:space="preserve">Ожидание ОТК</x:t>
        </x:is>
      </x:c>
      <x:c r="S1098" s="31" t="inlineStr">
        <x:is>
          <x:t xml:space="preserve">Нет</x:t>
        </x:is>
      </x:c>
    </x:row>
    <x:row r="1099">
      <x:c r="A1099" s="31" t="inlineStr">
        <x:is>
          <x:t xml:space="preserve">ОП-001098</x:t>
        </x:is>
      </x:c>
      <x:c r="B1099" s="31" t="inlineStr">
        <x:is>
          <x:t xml:space="preserve">ПЗ-00131</x:t>
        </x:is>
      </x:c>
      <x:c r="C1099" s="31" t="inlineStr">
        <x:is>
          <x:t xml:space="preserve">ЗК-1063</x:t>
        </x:is>
      </x:c>
      <x:c r="D1099" s="31" t="inlineStr">
        <x:is>
          <x:t xml:space="preserve">ПОЗ-0063-2</x:t>
        </x:is>
      </x:c>
      <x:c r="E1099" s="31" t="inlineStr">
        <x:is>
          <x:t xml:space="preserve">ИЗД-007</x:t>
        </x:is>
      </x:c>
      <x:c r="F1099" s="31" t="n">
        <x:v>90</x:v>
      </x:c>
      <x:c r="G1099" s="31" t="inlineStr">
        <x:is>
          <x:t xml:space="preserve">ОТК</x:t>
        </x:is>
      </x:c>
      <x:c r="H1099" s="31" t="inlineStr">
        <x:is>
          <x:t xml:space="preserve">ОТК</x:t>
        </x:is>
      </x:c>
      <x:c r="I1099" s="31" t="inlineStr">
        <x:is>
          <x:t xml:space="preserve">ОБ-006</x:t>
        </x:is>
      </x:c>
      <x:c r="J1099" s="31" t="inlineStr">
        <x:is>
          <x:t xml:space="preserve">СОТР-092</x:t>
        </x:is>
      </x:c>
      <x:c r="K1099" s="31" t="n">
        <x:v>6</x:v>
      </x:c>
      <x:c r="L1099" s="31" t="n">
        <x:v>5.3</x:v>
      </x:c>
      <x:c r="M1099" s="31" t="n">
        <x:v>46212</x:v>
      </x:c>
      <x:c r="N1099" s="31" t="n">
        <x:v>46213</x:v>
      </x:c>
      <x:c r="O1099" s="31" t="n">
        <x:v>46212</x:v>
      </x:c>
      <x:c r="P1099" s="31" t="n">
        <x:v>46212</x:v>
      </x:c>
      <x:c r="Q1099" s="31" t="inlineStr">
        <x:is>
          <x:t xml:space="preserve">Завершено</x:t>
        </x:is>
      </x:c>
      <x:c r="R1099" s="31" t="inlineStr">
        <x:is>
          <x:t xml:space="preserve">Нет</x:t>
        </x:is>
      </x:c>
      <x:c r="S1099" s="31" t="inlineStr">
        <x:is>
          <x:t xml:space="preserve">Нет</x:t>
        </x:is>
      </x:c>
    </x:row>
    <x:row r="1100">
      <x:c r="A1100" s="31" t="inlineStr">
        <x:is>
          <x:t xml:space="preserve">ОП-001099</x:t>
        </x:is>
      </x:c>
      <x:c r="B1100" s="31" t="inlineStr">
        <x:is>
          <x:t xml:space="preserve">ПЗ-00131</x:t>
        </x:is>
      </x:c>
      <x:c r="C1100" s="31" t="inlineStr">
        <x:is>
          <x:t xml:space="preserve">ЗК-1063</x:t>
        </x:is>
      </x:c>
      <x:c r="D1100" s="31" t="inlineStr">
        <x:is>
          <x:t xml:space="preserve">ПОЗ-0063-2</x:t>
        </x:is>
      </x:c>
      <x:c r="E1100" s="31" t="inlineStr">
        <x:is>
          <x:t xml:space="preserve">ИЗД-007</x:t>
        </x:is>
      </x:c>
      <x:c r="F1100" s="31" t="n">
        <x:v>100</x:v>
      </x:c>
      <x:c r="G1100" s="31" t="inlineStr">
        <x:is>
          <x:t xml:space="preserve">Упаковка</x:t>
        </x:is>
      </x:c>
      <x:c r="H1100" s="31" t="inlineStr">
        <x:is>
          <x:t xml:space="preserve">Логистика</x:t>
        </x:is>
      </x:c>
      <x:c r="I1100" s="31" t="n"/>
      <x:c r="J1100" s="31" t="inlineStr">
        <x:is>
          <x:t xml:space="preserve">СОТР-102</x:t>
        </x:is>
      </x:c>
      <x:c r="K1100" s="31" t="n">
        <x:v>23.5</x:v>
      </x:c>
      <x:c r="L1100" s="31" t="n">
        <x:v>20.3</x:v>
      </x:c>
      <x:c r="M1100" s="31" t="n">
        <x:v>46213</x:v>
      </x:c>
      <x:c r="N1100" s="31" t="n">
        <x:v>46215</x:v>
      </x:c>
      <x:c r="O1100" s="31" t="n">
        <x:v>46213</x:v>
      </x:c>
      <x:c r="P1100" s="31" t="n">
        <x:v>46214</x:v>
      </x:c>
      <x:c r="Q1100" s="31" t="inlineStr">
        <x:is>
          <x:t xml:space="preserve">Завершено</x:t>
        </x:is>
      </x:c>
      <x:c r="R1100" s="31" t="inlineStr">
        <x:is>
          <x:t xml:space="preserve">Материал</x:t>
        </x:is>
      </x:c>
      <x:c r="S1100" s="31" t="inlineStr">
        <x:is>
          <x:t xml:space="preserve">Нет</x:t>
        </x:is>
      </x:c>
    </x:row>
    <x:row r="1101">
      <x:c r="A1101" s="31" t="inlineStr">
        <x:is>
          <x:t xml:space="preserve">ОП-001100</x:t>
        </x:is>
      </x:c>
      <x:c r="B1101" s="31" t="inlineStr">
        <x:is>
          <x:t xml:space="preserve">ПЗ-00132</x:t>
        </x:is>
      </x:c>
      <x:c r="C1101" s="31" t="inlineStr">
        <x:is>
          <x:t xml:space="preserve">ЗК-1064</x:t>
        </x:is>
      </x:c>
      <x:c r="D1101" s="31" t="inlineStr">
        <x:is>
          <x:t xml:space="preserve">ПОЗ-0064-1</x:t>
        </x:is>
      </x:c>
      <x:c r="E1101" s="31" t="inlineStr">
        <x:is>
          <x:t xml:space="preserve">ИЗД-028</x:t>
        </x:is>
      </x:c>
      <x:c r="F1101" s="31" t="n">
        <x:v>10</x:v>
      </x:c>
      <x:c r="G1101" s="31" t="inlineStr">
        <x:is>
          <x:t xml:space="preserve">КД</x:t>
        </x:is>
      </x:c>
      <x:c r="H1101" s="31" t="inlineStr">
        <x:is>
          <x:t xml:space="preserve">Инженерный отдел</x:t>
        </x:is>
      </x:c>
      <x:c r="I1101" s="31" t="n"/>
      <x:c r="J1101" s="31" t="inlineStr">
        <x:is>
          <x:t xml:space="preserve">СОТР-014</x:t>
        </x:is>
      </x:c>
      <x:c r="K1101" s="31" t="n">
        <x:v>28</x:v>
      </x:c>
      <x:c r="L1101" s="31" t="n">
        <x:v>26.9</x:v>
      </x:c>
      <x:c r="M1101" s="31" t="n">
        <x:v>46057</x:v>
      </x:c>
      <x:c r="N1101" s="31" t="n">
        <x:v>46060</x:v>
      </x:c>
      <x:c r="O1101" s="31" t="n">
        <x:v>46057</x:v>
      </x:c>
      <x:c r="P1101" s="31" t="n">
        <x:v>46060</x:v>
      </x:c>
      <x:c r="Q1101" s="31" t="inlineStr">
        <x:is>
          <x:t xml:space="preserve">Завершено</x:t>
        </x:is>
      </x:c>
      <x:c r="R1101" s="31" t="inlineStr">
        <x:is>
          <x:t xml:space="preserve">Нет</x:t>
        </x:is>
      </x:c>
      <x:c r="S1101" s="31" t="inlineStr">
        <x:is>
          <x:t xml:space="preserve">Да</x:t>
        </x:is>
      </x:c>
    </x:row>
    <x:row r="1102">
      <x:c r="A1102" s="31" t="inlineStr">
        <x:is>
          <x:t xml:space="preserve">ОП-001101</x:t>
        </x:is>
      </x:c>
      <x:c r="B1102" s="31" t="inlineStr">
        <x:is>
          <x:t xml:space="preserve">ПЗ-00132</x:t>
        </x:is>
      </x:c>
      <x:c r="C1102" s="31" t="inlineStr">
        <x:is>
          <x:t xml:space="preserve">ЗК-1064</x:t>
        </x:is>
      </x:c>
      <x:c r="D1102" s="31" t="inlineStr">
        <x:is>
          <x:t xml:space="preserve">ПОЗ-0064-1</x:t>
        </x:is>
      </x:c>
      <x:c r="E1102" s="31" t="inlineStr">
        <x:is>
          <x:t xml:space="preserve">ИЗД-028</x:t>
        </x:is>
      </x:c>
      <x:c r="F1102" s="31" t="n">
        <x:v>20</x:v>
      </x:c>
      <x:c r="G1102" s="31" t="inlineStr">
        <x:is>
          <x:t xml:space="preserve">Резерв материалов</x:t>
        </x:is>
      </x:c>
      <x:c r="H1102" s="31" t="inlineStr">
        <x:is>
          <x:t xml:space="preserve">Склад</x:t>
        </x:is>
      </x:c>
      <x:c r="I1102" s="31" t="inlineStr">
        <x:is>
          <x:t xml:space="preserve">ОБ-009</x:t>
        </x:is>
      </x:c>
      <x:c r="J1102" s="31" t="inlineStr">
        <x:is>
          <x:t xml:space="preserve">СОТР-034</x:t>
        </x:is>
      </x:c>
      <x:c r="K1102" s="31" t="n">
        <x:v>27.6</x:v>
      </x:c>
      <x:c r="L1102" s="31" t="n">
        <x:v>34.4</x:v>
      </x:c>
      <x:c r="M1102" s="31" t="n">
        <x:v>46060</x:v>
      </x:c>
      <x:c r="N1102" s="31" t="n">
        <x:v>46063</x:v>
      </x:c>
      <x:c r="O1102" s="31" t="n">
        <x:v>46060</x:v>
      </x:c>
      <x:c r="P1102" s="31" t="n">
        <x:v>46062</x:v>
      </x:c>
      <x:c r="Q1102" s="31" t="inlineStr">
        <x:is>
          <x:t xml:space="preserve">Завершено</x:t>
        </x:is>
      </x:c>
      <x:c r="R1102" s="31" t="inlineStr">
        <x:is>
          <x:t xml:space="preserve">Нет</x:t>
        </x:is>
      </x:c>
      <x:c r="S1102" s="31" t="inlineStr">
        <x:is>
          <x:t xml:space="preserve">Нет</x:t>
        </x:is>
      </x:c>
    </x:row>
    <x:row r="1103">
      <x:c r="A1103" s="31" t="inlineStr">
        <x:is>
          <x:t xml:space="preserve">ОП-001102</x:t>
        </x:is>
      </x:c>
      <x:c r="B1103" s="31" t="inlineStr">
        <x:is>
          <x:t xml:space="preserve">ПЗ-00132</x:t>
        </x:is>
      </x:c>
      <x:c r="C1103" s="31" t="inlineStr">
        <x:is>
          <x:t xml:space="preserve">ЗК-1064</x:t>
        </x:is>
      </x:c>
      <x:c r="D1103" s="31" t="inlineStr">
        <x:is>
          <x:t xml:space="preserve">ПОЗ-0064-1</x:t>
        </x:is>
      </x:c>
      <x:c r="E1103" s="31" t="inlineStr">
        <x:is>
          <x:t xml:space="preserve">ИЗД-028</x:t>
        </x:is>
      </x:c>
      <x:c r="F1103" s="31" t="n">
        <x:v>30</x:v>
      </x:c>
      <x:c r="G1103" s="31" t="inlineStr">
        <x:is>
          <x:t xml:space="preserve">Сварка рамы</x:t>
        </x:is>
      </x:c>
      <x:c r="H1103" s="31" t="inlineStr">
        <x:is>
          <x:t xml:space="preserve">Сварка</x:t>
        </x:is>
      </x:c>
      <x:c r="I1103" s="31" t="inlineStr">
        <x:is>
          <x:t xml:space="preserve">ОБ-019</x:t>
        </x:is>
      </x:c>
      <x:c r="J1103" s="31" t="inlineStr">
        <x:is>
          <x:t xml:space="preserve">СОТР-067</x:t>
        </x:is>
      </x:c>
      <x:c r="K1103" s="31" t="n">
        <x:v>33.4</x:v>
      </x:c>
      <x:c r="L1103" s="31" t="n">
        <x:v>29</x:v>
      </x:c>
      <x:c r="M1103" s="31" t="n">
        <x:v>46063</x:v>
      </x:c>
      <x:c r="N1103" s="31" t="n">
        <x:v>46066</x:v>
      </x:c>
      <x:c r="O1103" s="31" t="n">
        <x:v>46063</x:v>
      </x:c>
      <x:c r="P1103" s="31" t="n">
        <x:v>46066</x:v>
      </x:c>
      <x:c r="Q1103" s="31" t="inlineStr">
        <x:is>
          <x:t xml:space="preserve">Завершено</x:t>
        </x:is>
      </x:c>
      <x:c r="R1103" s="31" t="inlineStr">
        <x:is>
          <x:t xml:space="preserve">Материал</x:t>
        </x:is>
      </x:c>
      <x:c r="S1103" s="31" t="inlineStr">
        <x:is>
          <x:t xml:space="preserve">Нет</x:t>
        </x:is>
      </x:c>
    </x:row>
    <x:row r="1104">
      <x:c r="A1104" s="31" t="inlineStr">
        <x:is>
          <x:t xml:space="preserve">ОП-001103</x:t>
        </x:is>
      </x:c>
      <x:c r="B1104" s="31" t="inlineStr">
        <x:is>
          <x:t xml:space="preserve">ПЗ-00132</x:t>
        </x:is>
      </x:c>
      <x:c r="C1104" s="31" t="inlineStr">
        <x:is>
          <x:t xml:space="preserve">ЗК-1064</x:t>
        </x:is>
      </x:c>
      <x:c r="D1104" s="31" t="inlineStr">
        <x:is>
          <x:t xml:space="preserve">ПОЗ-0064-1</x:t>
        </x:is>
      </x:c>
      <x:c r="E1104" s="31" t="inlineStr">
        <x:is>
          <x:t xml:space="preserve">ИЗД-028</x:t>
        </x:is>
      </x:c>
      <x:c r="F1104" s="31" t="n">
        <x:v>40</x:v>
      </x:c>
      <x:c r="G1104" s="31" t="inlineStr">
        <x:is>
          <x:t xml:space="preserve">Сборка</x:t>
        </x:is>
      </x:c>
      <x:c r="H1104" s="31" t="inlineStr">
        <x:is>
          <x:t xml:space="preserve">Сборка</x:t>
        </x:is>
      </x:c>
      <x:c r="I1104" s="31" t="inlineStr">
        <x:is>
          <x:t xml:space="preserve">ОБ-005</x:t>
        </x:is>
      </x:c>
      <x:c r="J1104" s="31" t="inlineStr">
        <x:is>
          <x:t xml:space="preserve">СОТР-074</x:t>
        </x:is>
      </x:c>
      <x:c r="K1104" s="31" t="n">
        <x:v>34.6</x:v>
      </x:c>
      <x:c r="L1104" s="31" t="n">
        <x:v>44.4</x:v>
      </x:c>
      <x:c r="M1104" s="31" t="n">
        <x:v>46066</x:v>
      </x:c>
      <x:c r="N1104" s="31" t="n">
        <x:v>46069</x:v>
      </x:c>
      <x:c r="O1104" s="31" t="n">
        <x:v>46066</x:v>
      </x:c>
      <x:c r="P1104" s="31" t="n">
        <x:v>46069</x:v>
      </x:c>
      <x:c r="Q1104" s="31" t="inlineStr">
        <x:is>
          <x:t xml:space="preserve">Завершено</x:t>
        </x:is>
      </x:c>
      <x:c r="R1104" s="31" t="inlineStr">
        <x:is>
          <x:t xml:space="preserve">Нет</x:t>
        </x:is>
      </x:c>
      <x:c r="S1104" s="31" t="inlineStr">
        <x:is>
          <x:t xml:space="preserve">Нет</x:t>
        </x:is>
      </x:c>
    </x:row>
    <x:row r="1105">
      <x:c r="A1105" s="31" t="inlineStr">
        <x:is>
          <x:t xml:space="preserve">ОП-001104</x:t>
        </x:is>
      </x:c>
      <x:c r="B1105" s="31" t="inlineStr">
        <x:is>
          <x:t xml:space="preserve">ПЗ-00132</x:t>
        </x:is>
      </x:c>
      <x:c r="C1105" s="31" t="inlineStr">
        <x:is>
          <x:t xml:space="preserve">ЗК-1064</x:t>
        </x:is>
      </x:c>
      <x:c r="D1105" s="31" t="inlineStr">
        <x:is>
          <x:t xml:space="preserve">ПОЗ-0064-1</x:t>
        </x:is>
      </x:c>
      <x:c r="E1105" s="31" t="inlineStr">
        <x:is>
          <x:t xml:space="preserve">ИЗД-028</x:t>
        </x:is>
      </x:c>
      <x:c r="F1105" s="31" t="n">
        <x:v>50</x:v>
      </x:c>
      <x:c r="G1105" s="31" t="inlineStr">
        <x:is>
          <x:t xml:space="preserve">Обвязка труб</x:t>
        </x:is>
      </x:c>
      <x:c r="H1105" s="31" t="inlineStr">
        <x:is>
          <x:t xml:space="preserve">Сборка</x:t>
        </x:is>
      </x:c>
      <x:c r="I1105" s="31" t="inlineStr">
        <x:is>
          <x:t xml:space="preserve">ОБ-005</x:t>
        </x:is>
      </x:c>
      <x:c r="J1105" s="31" t="inlineStr">
        <x:is>
          <x:t xml:space="preserve">СОТР-084</x:t>
        </x:is>
      </x:c>
      <x:c r="K1105" s="31" t="n">
        <x:v>26.6</x:v>
      </x:c>
      <x:c r="L1105" s="31" t="n">
        <x:v>35.2</x:v>
      </x:c>
      <x:c r="M1105" s="31" t="n">
        <x:v>46069</x:v>
      </x:c>
      <x:c r="N1105" s="31" t="n">
        <x:v>46072</x:v>
      </x:c>
      <x:c r="O1105" s="31" t="n">
        <x:v>46069</x:v>
      </x:c>
      <x:c r="P1105" s="31" t="n">
        <x:v>46072</x:v>
      </x:c>
      <x:c r="Q1105" s="31" t="inlineStr">
        <x:is>
          <x:t xml:space="preserve">Завершено</x:t>
        </x:is>
      </x:c>
      <x:c r="R1105" s="31" t="inlineStr">
        <x:is>
          <x:t xml:space="preserve">Нет</x:t>
        </x:is>
      </x:c>
      <x:c r="S1105" s="31" t="inlineStr">
        <x:is>
          <x:t xml:space="preserve">Нет</x:t>
        </x:is>
      </x:c>
    </x:row>
    <x:row r="1106">
      <x:c r="A1106" s="31" t="inlineStr">
        <x:is>
          <x:t xml:space="preserve">ОП-001105</x:t>
        </x:is>
      </x:c>
      <x:c r="B1106" s="31" t="inlineStr">
        <x:is>
          <x:t xml:space="preserve">ПЗ-00132</x:t>
        </x:is>
      </x:c>
      <x:c r="C1106" s="31" t="inlineStr">
        <x:is>
          <x:t xml:space="preserve">ЗК-1064</x:t>
        </x:is>
      </x:c>
      <x:c r="D1106" s="31" t="inlineStr">
        <x:is>
          <x:t xml:space="preserve">ПОЗ-0064-1</x:t>
        </x:is>
      </x:c>
      <x:c r="E1106" s="31" t="inlineStr">
        <x:is>
          <x:t xml:space="preserve">ИЗД-028</x:t>
        </x:is>
      </x:c>
      <x:c r="F1106" s="31" t="n">
        <x:v>60</x:v>
      </x:c>
      <x:c r="G1106" s="31" t="inlineStr">
        <x:is>
          <x:t xml:space="preserve">Электромонтаж</x:t>
        </x:is>
      </x:c>
      <x:c r="H1106" s="31" t="inlineStr">
        <x:is>
          <x:t xml:space="preserve">Сборка</x:t>
        </x:is>
      </x:c>
      <x:c r="I1106" s="31" t="inlineStr">
        <x:is>
          <x:t xml:space="preserve">ОБ-002</x:t>
        </x:is>
      </x:c>
      <x:c r="J1106" s="31" t="inlineStr">
        <x:is>
          <x:t xml:space="preserve">СОТР-086</x:t>
        </x:is>
      </x:c>
      <x:c r="K1106" s="31" t="n">
        <x:v>23.6</x:v>
      </x:c>
      <x:c r="L1106" s="31" t="n">
        <x:v>19.9</x:v>
      </x:c>
      <x:c r="M1106" s="31" t="n">
        <x:v>46072</x:v>
      </x:c>
      <x:c r="N1106" s="31" t="n">
        <x:v>46074</x:v>
      </x:c>
      <x:c r="O1106" s="31" t="n">
        <x:v>46072</x:v>
      </x:c>
      <x:c r="P1106" s="31" t="n">
        <x:v>46074</x:v>
      </x:c>
      <x:c r="Q1106" s="31" t="inlineStr">
        <x:is>
          <x:t xml:space="preserve">Завершено</x:t>
        </x:is>
      </x:c>
      <x:c r="R1106" s="31" t="inlineStr">
        <x:is>
          <x:t xml:space="preserve">Нет</x:t>
        </x:is>
      </x:c>
      <x:c r="S1106" s="31" t="inlineStr">
        <x:is>
          <x:t xml:space="preserve">Нет</x:t>
        </x:is>
      </x:c>
    </x:row>
    <x:row r="1107">
      <x:c r="A1107" s="31" t="inlineStr">
        <x:is>
          <x:t xml:space="preserve">ОП-001106</x:t>
        </x:is>
      </x:c>
      <x:c r="B1107" s="31" t="inlineStr">
        <x:is>
          <x:t xml:space="preserve">ПЗ-00132</x:t>
        </x:is>
      </x:c>
      <x:c r="C1107" s="31" t="inlineStr">
        <x:is>
          <x:t xml:space="preserve">ЗК-1064</x:t>
        </x:is>
      </x:c>
      <x:c r="D1107" s="31" t="inlineStr">
        <x:is>
          <x:t xml:space="preserve">ПОЗ-0064-1</x:t>
        </x:is>
      </x:c>
      <x:c r="E1107" s="31" t="inlineStr">
        <x:is>
          <x:t xml:space="preserve">ИЗД-028</x:t>
        </x:is>
      </x:c>
      <x:c r="F1107" s="31" t="n">
        <x:v>70</x:v>
      </x:c>
      <x:c r="G1107" s="31" t="inlineStr">
        <x:is>
          <x:t xml:space="preserve">Гидроиспытания</x:t>
        </x:is>
      </x:c>
      <x:c r="H1107" s="31" t="inlineStr">
        <x:is>
          <x:t xml:space="preserve">ОТК</x:t>
        </x:is>
      </x:c>
      <x:c r="I1107" s="31" t="inlineStr">
        <x:is>
          <x:t xml:space="preserve">ОБ-028</x:t>
        </x:is>
      </x:c>
      <x:c r="J1107" s="31" t="inlineStr">
        <x:is>
          <x:t xml:space="preserve">СОТР-093</x:t>
        </x:is>
      </x:c>
      <x:c r="K1107" s="31" t="n">
        <x:v>3.6</x:v>
      </x:c>
      <x:c r="L1107" s="31" t="n"/>
      <x:c r="M1107" s="31" t="n">
        <x:v>46074</x:v>
      </x:c>
      <x:c r="N1107" s="31" t="n">
        <x:v>46075</x:v>
      </x:c>
      <x:c r="O1107" s="31" t="n"/>
      <x:c r="P1107" s="31" t="n"/>
      <x:c r="Q1107" s="31" t="inlineStr">
        <x:is>
          <x:t xml:space="preserve">Запланировано</x:t>
        </x:is>
      </x:c>
      <x:c r="R1107" s="31" t="inlineStr">
        <x:is>
          <x:t xml:space="preserve">Нет</x:t>
        </x:is>
      </x:c>
      <x:c r="S1107" s="31" t="inlineStr">
        <x:is>
          <x:t xml:space="preserve">Нет</x:t>
        </x:is>
      </x:c>
    </x:row>
    <x:row r="1108">
      <x:c r="A1108" s="31" t="inlineStr">
        <x:is>
          <x:t xml:space="preserve">ОП-001107</x:t>
        </x:is>
      </x:c>
      <x:c r="B1108" s="31" t="inlineStr">
        <x:is>
          <x:t xml:space="preserve">ПЗ-00132</x:t>
        </x:is>
      </x:c>
      <x:c r="C1108" s="31" t="inlineStr">
        <x:is>
          <x:t xml:space="preserve">ЗК-1064</x:t>
        </x:is>
      </x:c>
      <x:c r="D1108" s="31" t="inlineStr">
        <x:is>
          <x:t xml:space="preserve">ПОЗ-0064-1</x:t>
        </x:is>
      </x:c>
      <x:c r="E1108" s="31" t="inlineStr">
        <x:is>
          <x:t xml:space="preserve">ИЗД-028</x:t>
        </x:is>
      </x:c>
      <x:c r="F1108" s="31" t="n">
        <x:v>80</x:v>
      </x:c>
      <x:c r="G1108" s="31" t="inlineStr">
        <x:is>
          <x:t xml:space="preserve">ОТК</x:t>
        </x:is>
      </x:c>
      <x:c r="H1108" s="31" t="inlineStr">
        <x:is>
          <x:t xml:space="preserve">ОТК</x:t>
        </x:is>
      </x:c>
      <x:c r="I1108" s="31" t="inlineStr">
        <x:is>
          <x:t xml:space="preserve">ОБ-024</x:t>
        </x:is>
      </x:c>
      <x:c r="J1108" s="31" t="inlineStr">
        <x:is>
          <x:t xml:space="preserve">СОТР-096</x:t>
        </x:is>
      </x:c>
      <x:c r="K1108" s="31" t="n">
        <x:v>29</x:v>
      </x:c>
      <x:c r="L1108" s="31" t="n"/>
      <x:c r="M1108" s="31" t="n">
        <x:v>46075</x:v>
      </x:c>
      <x:c r="N1108" s="31" t="n">
        <x:v>46078</x:v>
      </x:c>
      <x:c r="O1108" s="31" t="n"/>
      <x:c r="P1108" s="31" t="n"/>
      <x:c r="Q1108" s="31" t="inlineStr">
        <x:is>
          <x:t xml:space="preserve">Запланировано</x:t>
        </x:is>
      </x:c>
      <x:c r="R1108" s="31" t="inlineStr">
        <x:is>
          <x:t xml:space="preserve">Нет</x:t>
        </x:is>
      </x:c>
      <x:c r="S1108" s="31" t="inlineStr">
        <x:is>
          <x:t xml:space="preserve">Нет</x:t>
        </x:is>
      </x:c>
    </x:row>
    <x:row r="1109">
      <x:c r="A1109" s="31" t="inlineStr">
        <x:is>
          <x:t xml:space="preserve">ОП-001108</x:t>
        </x:is>
      </x:c>
      <x:c r="B1109" s="31" t="inlineStr">
        <x:is>
          <x:t xml:space="preserve">ПЗ-00132</x:t>
        </x:is>
      </x:c>
      <x:c r="C1109" s="31" t="inlineStr">
        <x:is>
          <x:t xml:space="preserve">ЗК-1064</x:t>
        </x:is>
      </x:c>
      <x:c r="D1109" s="31" t="inlineStr">
        <x:is>
          <x:t xml:space="preserve">ПОЗ-0064-1</x:t>
        </x:is>
      </x:c>
      <x:c r="E1109" s="31" t="inlineStr">
        <x:is>
          <x:t xml:space="preserve">ИЗД-028</x:t>
        </x:is>
      </x:c>
      <x:c r="F1109" s="31" t="n">
        <x:v>90</x:v>
      </x:c>
      <x:c r="G1109" s="31" t="inlineStr">
        <x:is>
          <x:t xml:space="preserve">Упаковка</x:t>
        </x:is>
      </x:c>
      <x:c r="H1109" s="31" t="inlineStr">
        <x:is>
          <x:t xml:space="preserve">Логистика</x:t>
        </x:is>
      </x:c>
      <x:c r="I1109" s="31" t="n"/>
      <x:c r="J1109" s="31" t="inlineStr">
        <x:is>
          <x:t xml:space="preserve">СОТР-102</x:t>
        </x:is>
      </x:c>
      <x:c r="K1109" s="31" t="n">
        <x:v>13.6</x:v>
      </x:c>
      <x:c r="L1109" s="31" t="n"/>
      <x:c r="M1109" s="31" t="n">
        <x:v>46078</x:v>
      </x:c>
      <x:c r="N1109" s="31" t="n">
        <x:v>46080</x:v>
      </x:c>
      <x:c r="O1109" s="31" t="n"/>
      <x:c r="P1109" s="31" t="n"/>
      <x:c r="Q1109" s="31" t="inlineStr">
        <x:is>
          <x:t xml:space="preserve">Запланировано</x:t>
        </x:is>
      </x:c>
      <x:c r="R1109" s="31" t="inlineStr">
        <x:is>
          <x:t xml:space="preserve">Нет</x:t>
        </x:is>
      </x:c>
      <x:c r="S1109" s="31" t="inlineStr">
        <x:is>
          <x:t xml:space="preserve">Нет</x:t>
        </x:is>
      </x:c>
    </x:row>
    <x:row r="1110">
      <x:c r="A1110" s="31" t="inlineStr">
        <x:is>
          <x:t xml:space="preserve">ОП-001109</x:t>
        </x:is>
      </x:c>
      <x:c r="B1110" s="31" t="inlineStr">
        <x:is>
          <x:t xml:space="preserve">ПЗ-00133</x:t>
        </x:is>
      </x:c>
      <x:c r="C1110" s="31" t="inlineStr">
        <x:is>
          <x:t xml:space="preserve">ЗК-1064</x:t>
        </x:is>
      </x:c>
      <x:c r="D1110" s="31" t="inlineStr">
        <x:is>
          <x:t xml:space="preserve">ПОЗ-0064-2</x:t>
        </x:is>
      </x:c>
      <x:c r="E1110" s="31" t="inlineStr">
        <x:is>
          <x:t xml:space="preserve">ИЗД-006</x:t>
        </x:is>
      </x:c>
      <x:c r="F1110" s="31" t="n">
        <x:v>10</x:v>
      </x:c>
      <x:c r="G1110" s="31" t="inlineStr">
        <x:is>
          <x:t xml:space="preserve">КД</x:t>
        </x:is>
      </x:c>
      <x:c r="H1110" s="31" t="inlineStr">
        <x:is>
          <x:t xml:space="preserve">Инженерный отдел</x:t>
        </x:is>
      </x:c>
      <x:c r="I1110" s="31" t="n"/>
      <x:c r="J1110" s="31" t="inlineStr">
        <x:is>
          <x:t xml:space="preserve">СОТР-016</x:t>
        </x:is>
      </x:c>
      <x:c r="K1110" s="31" t="n">
        <x:v>30.6</x:v>
      </x:c>
      <x:c r="L1110" s="31" t="n">
        <x:v>28.7</x:v>
      </x:c>
      <x:c r="M1110" s="31" t="n">
        <x:v>46061</x:v>
      </x:c>
      <x:c r="N1110" s="31" t="n">
        <x:v>46064</x:v>
      </x:c>
      <x:c r="O1110" s="31" t="n">
        <x:v>46061</x:v>
      </x:c>
      <x:c r="P1110" s="31" t="n">
        <x:v>46066</x:v>
      </x:c>
      <x:c r="Q1110" s="31" t="inlineStr">
        <x:is>
          <x:t xml:space="preserve">Завершено</x:t>
        </x:is>
      </x:c>
      <x:c r="R1110" s="31" t="inlineStr">
        <x:is>
          <x:t xml:space="preserve">Нет</x:t>
        </x:is>
      </x:c>
      <x:c r="S1110" s="31" t="inlineStr">
        <x:is>
          <x:t xml:space="preserve">Да</x:t>
        </x:is>
      </x:c>
    </x:row>
    <x:row r="1111">
      <x:c r="A1111" s="31" t="inlineStr">
        <x:is>
          <x:t xml:space="preserve">ОП-001110</x:t>
        </x:is>
      </x:c>
      <x:c r="B1111" s="31" t="inlineStr">
        <x:is>
          <x:t xml:space="preserve">ПЗ-00133</x:t>
        </x:is>
      </x:c>
      <x:c r="C1111" s="31" t="inlineStr">
        <x:is>
          <x:t xml:space="preserve">ЗК-1064</x:t>
        </x:is>
      </x:c>
      <x:c r="D1111" s="31" t="inlineStr">
        <x:is>
          <x:t xml:space="preserve">ПОЗ-0064-2</x:t>
        </x:is>
      </x:c>
      <x:c r="E1111" s="31" t="inlineStr">
        <x:is>
          <x:t xml:space="preserve">ИЗД-006</x:t>
        </x:is>
      </x:c>
      <x:c r="F1111" s="31" t="n">
        <x:v>20</x:v>
      </x:c>
      <x:c r="G1111" s="31" t="inlineStr">
        <x:is>
          <x:t xml:space="preserve">Резерв материалов</x:t>
        </x:is>
      </x:c>
      <x:c r="H1111" s="31" t="inlineStr">
        <x:is>
          <x:t xml:space="preserve">Склад</x:t>
        </x:is>
      </x:c>
      <x:c r="I1111" s="31" t="inlineStr">
        <x:is>
          <x:t xml:space="preserve">ОБ-025</x:t>
        </x:is>
      </x:c>
      <x:c r="J1111" s="31" t="inlineStr">
        <x:is>
          <x:t xml:space="preserve">СОТР-024</x:t>
        </x:is>
      </x:c>
      <x:c r="K1111" s="31" t="n">
        <x:v>4.6</x:v>
      </x:c>
      <x:c r="L1111" s="31" t="n">
        <x:v>4</x:v>
      </x:c>
      <x:c r="M1111" s="31" t="n">
        <x:v>46064</x:v>
      </x:c>
      <x:c r="N1111" s="31" t="n">
        <x:v>46065</x:v>
      </x:c>
      <x:c r="O1111" s="31" t="n">
        <x:v>46064</x:v>
      </x:c>
      <x:c r="P1111" s="31" t="n">
        <x:v>46067</x:v>
      </x:c>
      <x:c r="Q1111" s="31" t="inlineStr">
        <x:is>
          <x:t xml:space="preserve">Завершено</x:t>
        </x:is>
      </x:c>
      <x:c r="R1111" s="31" t="inlineStr">
        <x:is>
          <x:t xml:space="preserve">Нет</x:t>
        </x:is>
      </x:c>
      <x:c r="S1111" s="31" t="inlineStr">
        <x:is>
          <x:t xml:space="preserve">Нет</x:t>
        </x:is>
      </x:c>
    </x:row>
    <x:row r="1112">
      <x:c r="A1112" s="31" t="inlineStr">
        <x:is>
          <x:t xml:space="preserve">ОП-001111</x:t>
        </x:is>
      </x:c>
      <x:c r="B1112" s="31" t="inlineStr">
        <x:is>
          <x:t xml:space="preserve">ПЗ-00133</x:t>
        </x:is>
      </x:c>
      <x:c r="C1112" s="31" t="inlineStr">
        <x:is>
          <x:t xml:space="preserve">ЗК-1064</x:t>
        </x:is>
      </x:c>
      <x:c r="D1112" s="31" t="inlineStr">
        <x:is>
          <x:t xml:space="preserve">ПОЗ-0064-2</x:t>
        </x:is>
      </x:c>
      <x:c r="E1112" s="31" t="inlineStr">
        <x:is>
          <x:t xml:space="preserve">ИЗД-006</x:t>
        </x:is>
      </x:c>
      <x:c r="F1112" s="31" t="n">
        <x:v>30</x:v>
      </x:c>
      <x:c r="G1112" s="31" t="inlineStr">
        <x:is>
          <x:t xml:space="preserve">Резка металла</x:t>
        </x:is>
      </x:c>
      <x:c r="H1112" s="31" t="inlineStr">
        <x:is>
          <x:t xml:space="preserve">Сварка</x:t>
        </x:is>
      </x:c>
      <x:c r="I1112" s="31" t="inlineStr">
        <x:is>
          <x:t xml:space="preserve">ОБ-010</x:t>
        </x:is>
      </x:c>
      <x:c r="J1112" s="31" t="inlineStr">
        <x:is>
          <x:t xml:space="preserve">СОТР-056</x:t>
        </x:is>
      </x:c>
      <x:c r="K1112" s="31" t="n">
        <x:v>27.8</x:v>
      </x:c>
      <x:c r="L1112" s="31" t="n">
        <x:v>32.3</x:v>
      </x:c>
      <x:c r="M1112" s="31" t="n">
        <x:v>46065</x:v>
      </x:c>
      <x:c r="N1112" s="31" t="n">
        <x:v>46068</x:v>
      </x:c>
      <x:c r="O1112" s="31" t="n">
        <x:v>46065</x:v>
      </x:c>
      <x:c r="P1112" s="31" t="n">
        <x:v>46068</x:v>
      </x:c>
      <x:c r="Q1112" s="31" t="inlineStr">
        <x:is>
          <x:t xml:space="preserve">Завершено</x:t>
        </x:is>
      </x:c>
      <x:c r="R1112" s="31" t="inlineStr">
        <x:is>
          <x:t xml:space="preserve">Материал</x:t>
        </x:is>
      </x:c>
      <x:c r="S1112" s="31" t="inlineStr">
        <x:is>
          <x:t xml:space="preserve">Да</x:t>
        </x:is>
      </x:c>
    </x:row>
    <x:row r="1113">
      <x:c r="A1113" s="31" t="inlineStr">
        <x:is>
          <x:t xml:space="preserve">ОП-001112</x:t>
        </x:is>
      </x:c>
      <x:c r="B1113" s="31" t="inlineStr">
        <x:is>
          <x:t xml:space="preserve">ПЗ-00133</x:t>
        </x:is>
      </x:c>
      <x:c r="C1113" s="31" t="inlineStr">
        <x:is>
          <x:t xml:space="preserve">ЗК-1064</x:t>
        </x:is>
      </x:c>
      <x:c r="D1113" s="31" t="inlineStr">
        <x:is>
          <x:t xml:space="preserve">ПОЗ-0064-2</x:t>
        </x:is>
      </x:c>
      <x:c r="E1113" s="31" t="inlineStr">
        <x:is>
          <x:t xml:space="preserve">ИЗД-006</x:t>
        </x:is>
      </x:c>
      <x:c r="F1113" s="31" t="n">
        <x:v>40</x:v>
      </x:c>
      <x:c r="G1113" s="31" t="inlineStr">
        <x:is>
          <x:t xml:space="preserve">Сварка рамы</x:t>
        </x:is>
      </x:c>
      <x:c r="H1113" s="31" t="inlineStr">
        <x:is>
          <x:t xml:space="preserve">Сварка</x:t>
        </x:is>
      </x:c>
      <x:c r="I1113" s="31" t="inlineStr">
        <x:is>
          <x:t xml:space="preserve">ОБ-035</x:t>
        </x:is>
      </x:c>
      <x:c r="J1113" s="31" t="inlineStr">
        <x:is>
          <x:t xml:space="preserve">СОТР-061</x:t>
        </x:is>
      </x:c>
      <x:c r="K1113" s="31" t="n">
        <x:v>17</x:v>
      </x:c>
      <x:c r="L1113" s="31" t="n">
        <x:v>16.1</x:v>
      </x:c>
      <x:c r="M1113" s="31" t="n">
        <x:v>46068</x:v>
      </x:c>
      <x:c r="N1113" s="31" t="n">
        <x:v>46070</x:v>
      </x:c>
      <x:c r="O1113" s="31" t="n">
        <x:v>46068</x:v>
      </x:c>
      <x:c r="P1113" s="31" t="n">
        <x:v>46070</x:v>
      </x:c>
      <x:c r="Q1113" s="31" t="inlineStr">
        <x:is>
          <x:t xml:space="preserve">Завершено</x:t>
        </x:is>
      </x:c>
      <x:c r="R1113" s="31" t="inlineStr">
        <x:is>
          <x:t xml:space="preserve">Нет</x:t>
        </x:is>
      </x:c>
      <x:c r="S1113" s="31" t="inlineStr">
        <x:is>
          <x:t xml:space="preserve">Нет</x:t>
        </x:is>
      </x:c>
    </x:row>
    <x:row r="1114">
      <x:c r="A1114" s="31" t="inlineStr">
        <x:is>
          <x:t xml:space="preserve">ОП-001113</x:t>
        </x:is>
      </x:c>
      <x:c r="B1114" s="31" t="inlineStr">
        <x:is>
          <x:t xml:space="preserve">ПЗ-00133</x:t>
        </x:is>
      </x:c>
      <x:c r="C1114" s="31" t="inlineStr">
        <x:is>
          <x:t xml:space="preserve">ЗК-1064</x:t>
        </x:is>
      </x:c>
      <x:c r="D1114" s="31" t="inlineStr">
        <x:is>
          <x:t xml:space="preserve">ПОЗ-0064-2</x:t>
        </x:is>
      </x:c>
      <x:c r="E1114" s="31" t="inlineStr">
        <x:is>
          <x:t xml:space="preserve">ИЗД-006</x:t>
        </x:is>
      </x:c>
      <x:c r="F1114" s="31" t="n">
        <x:v>50</x:v>
      </x:c>
      <x:c r="G1114" s="31" t="inlineStr">
        <x:is>
          <x:t xml:space="preserve">Механообработка</x:t>
        </x:is>
      </x:c>
      <x:c r="H1114" s="31" t="inlineStr">
        <x:is>
          <x:t xml:space="preserve">Механообработка</x:t>
        </x:is>
      </x:c>
      <x:c r="I1114" s="31" t="inlineStr">
        <x:is>
          <x:t xml:space="preserve">ОБ-030</x:t>
        </x:is>
      </x:c>
      <x:c r="J1114" s="31" t="inlineStr">
        <x:is>
          <x:t xml:space="preserve">СОТР-041</x:t>
        </x:is>
      </x:c>
      <x:c r="K1114" s="31" t="n">
        <x:v>6.4</x:v>
      </x:c>
      <x:c r="L1114" s="31" t="n">
        <x:v>7.6</x:v>
      </x:c>
      <x:c r="M1114" s="31" t="n">
        <x:v>46070</x:v>
      </x:c>
      <x:c r="N1114" s="31" t="n">
        <x:v>46071</x:v>
      </x:c>
      <x:c r="O1114" s="31" t="n">
        <x:v>46070</x:v>
      </x:c>
      <x:c r="P1114" s="31" t="n">
        <x:v>46072</x:v>
      </x:c>
      <x:c r="Q1114" s="31" t="inlineStr">
        <x:is>
          <x:t xml:space="preserve">Завершено</x:t>
        </x:is>
      </x:c>
      <x:c r="R1114" s="31" t="inlineStr">
        <x:is>
          <x:t xml:space="preserve">Материал</x:t>
        </x:is>
      </x:c>
      <x:c r="S1114" s="31" t="inlineStr">
        <x:is>
          <x:t xml:space="preserve">Нет</x:t>
        </x:is>
      </x:c>
    </x:row>
    <x:row r="1115">
      <x:c r="A1115" s="31" t="inlineStr">
        <x:is>
          <x:t xml:space="preserve">ОП-001114</x:t>
        </x:is>
      </x:c>
      <x:c r="B1115" s="31" t="inlineStr">
        <x:is>
          <x:t xml:space="preserve">ПЗ-00133</x:t>
        </x:is>
      </x:c>
      <x:c r="C1115" s="31" t="inlineStr">
        <x:is>
          <x:t xml:space="preserve">ЗК-1064</x:t>
        </x:is>
      </x:c>
      <x:c r="D1115" s="31" t="inlineStr">
        <x:is>
          <x:t xml:space="preserve">ПОЗ-0064-2</x:t>
        </x:is>
      </x:c>
      <x:c r="E1115" s="31" t="inlineStr">
        <x:is>
          <x:t xml:space="preserve">ИЗД-006</x:t>
        </x:is>
      </x:c>
      <x:c r="F1115" s="31" t="n">
        <x:v>60</x:v>
      </x:c>
      <x:c r="G1115" s="31" t="inlineStr">
        <x:is>
          <x:t xml:space="preserve">Сборка</x:t>
        </x:is>
      </x:c>
      <x:c r="H1115" s="31" t="inlineStr">
        <x:is>
          <x:t xml:space="preserve">Сборка</x:t>
        </x:is>
      </x:c>
      <x:c r="I1115" s="31" t="inlineStr">
        <x:is>
          <x:t xml:space="preserve">ОБ-005</x:t>
        </x:is>
      </x:c>
      <x:c r="J1115" s="31" t="inlineStr">
        <x:is>
          <x:t xml:space="preserve">СОТР-084</x:t>
        </x:is>
      </x:c>
      <x:c r="K1115" s="31" t="n">
        <x:v>7.8</x:v>
      </x:c>
      <x:c r="L1115" s="31" t="n">
        <x:v>7.4</x:v>
      </x:c>
      <x:c r="M1115" s="31" t="n">
        <x:v>46071</x:v>
      </x:c>
      <x:c r="N1115" s="31" t="n">
        <x:v>46072</x:v>
      </x:c>
      <x:c r="O1115" s="31" t="n">
        <x:v>46071</x:v>
      </x:c>
      <x:c r="P1115" s="31" t="n">
        <x:v>46071</x:v>
      </x:c>
      <x:c r="Q1115" s="31" t="inlineStr">
        <x:is>
          <x:t xml:space="preserve">Завершено</x:t>
        </x:is>
      </x:c>
      <x:c r="R1115" s="31" t="inlineStr">
        <x:is>
          <x:t xml:space="preserve">Нет</x:t>
        </x:is>
      </x:c>
      <x:c r="S1115" s="31" t="inlineStr">
        <x:is>
          <x:t xml:space="preserve">Нет</x:t>
        </x:is>
      </x:c>
    </x:row>
    <x:row r="1116">
      <x:c r="A1116" s="31" t="inlineStr">
        <x:is>
          <x:t xml:space="preserve">ОП-001115</x:t>
        </x:is>
      </x:c>
      <x:c r="B1116" s="31" t="inlineStr">
        <x:is>
          <x:t xml:space="preserve">ПЗ-00133</x:t>
        </x:is>
      </x:c>
      <x:c r="C1116" s="31" t="inlineStr">
        <x:is>
          <x:t xml:space="preserve">ЗК-1064</x:t>
        </x:is>
      </x:c>
      <x:c r="D1116" s="31" t="inlineStr">
        <x:is>
          <x:t xml:space="preserve">ПОЗ-0064-2</x:t>
        </x:is>
      </x:c>
      <x:c r="E1116" s="31" t="inlineStr">
        <x:is>
          <x:t xml:space="preserve">ИЗД-006</x:t>
        </x:is>
      </x:c>
      <x:c r="F1116" s="31" t="n">
        <x:v>70</x:v>
      </x:c>
      <x:c r="G1116" s="31" t="inlineStr">
        <x:is>
          <x:t xml:space="preserve">Электромонтаж</x:t>
        </x:is>
      </x:c>
      <x:c r="H1116" s="31" t="inlineStr">
        <x:is>
          <x:t xml:space="preserve">Сборка</x:t>
        </x:is>
      </x:c>
      <x:c r="I1116" s="31" t="inlineStr">
        <x:is>
          <x:t xml:space="preserve">ОБ-016</x:t>
        </x:is>
      </x:c>
      <x:c r="J1116" s="31" t="inlineStr">
        <x:is>
          <x:t xml:space="preserve">СОТР-075</x:t>
        </x:is>
      </x:c>
      <x:c r="K1116" s="31" t="n">
        <x:v>22.4</x:v>
      </x:c>
      <x:c r="L1116" s="31" t="n">
        <x:v>20.8</x:v>
      </x:c>
      <x:c r="M1116" s="31" t="n">
        <x:v>46072</x:v>
      </x:c>
      <x:c r="N1116" s="31" t="n">
        <x:v>46074</x:v>
      </x:c>
      <x:c r="O1116" s="31" t="n">
        <x:v>46072</x:v>
      </x:c>
      <x:c r="P1116" s="31" t="n">
        <x:v>46075</x:v>
      </x:c>
      <x:c r="Q1116" s="31" t="inlineStr">
        <x:is>
          <x:t xml:space="preserve">Завершено</x:t>
        </x:is>
      </x:c>
      <x:c r="R1116" s="31" t="inlineStr">
        <x:is>
          <x:t xml:space="preserve">Материал</x:t>
        </x:is>
      </x:c>
      <x:c r="S1116" s="31" t="inlineStr">
        <x:is>
          <x:t xml:space="preserve">Нет</x:t>
        </x:is>
      </x:c>
    </x:row>
    <x:row r="1117">
      <x:c r="A1117" s="31" t="inlineStr">
        <x:is>
          <x:t xml:space="preserve">ОП-001116</x:t>
        </x:is>
      </x:c>
      <x:c r="B1117" s="31" t="inlineStr">
        <x:is>
          <x:t xml:space="preserve">ПЗ-00133</x:t>
        </x:is>
      </x:c>
      <x:c r="C1117" s="31" t="inlineStr">
        <x:is>
          <x:t xml:space="preserve">ЗК-1064</x:t>
        </x:is>
      </x:c>
      <x:c r="D1117" s="31" t="inlineStr">
        <x:is>
          <x:t xml:space="preserve">ПОЗ-0064-2</x:t>
        </x:is>
      </x:c>
      <x:c r="E1117" s="31" t="inlineStr">
        <x:is>
          <x:t xml:space="preserve">ИЗД-006</x:t>
        </x:is>
      </x:c>
      <x:c r="F1117" s="31" t="n">
        <x:v>80</x:v>
      </x:c>
      <x:c r="G1117" s="31" t="inlineStr">
        <x:is>
          <x:t xml:space="preserve">Гидроиспытания</x:t>
        </x:is>
      </x:c>
      <x:c r="H1117" s="31" t="inlineStr">
        <x:is>
          <x:t xml:space="preserve">ОТК</x:t>
        </x:is>
      </x:c>
      <x:c r="I1117" s="31" t="inlineStr">
        <x:is>
          <x:t xml:space="preserve">ОБ-007</x:t>
        </x:is>
      </x:c>
      <x:c r="J1117" s="31" t="inlineStr">
        <x:is>
          <x:t xml:space="preserve">СОТР-099</x:t>
        </x:is>
      </x:c>
      <x:c r="K1117" s="31" t="n">
        <x:v>30.4</x:v>
      </x:c>
      <x:c r="L1117" s="31" t="n">
        <x:v>39.7</x:v>
      </x:c>
      <x:c r="M1117" s="31" t="n">
        <x:v>46074</x:v>
      </x:c>
      <x:c r="N1117" s="31" t="n">
        <x:v>46077</x:v>
      </x:c>
      <x:c r="O1117" s="31" t="n">
        <x:v>46074</x:v>
      </x:c>
      <x:c r="P1117" s="31" t="n">
        <x:v>46079</x:v>
      </x:c>
      <x:c r="Q1117" s="31" t="inlineStr">
        <x:is>
          <x:t xml:space="preserve">Завершено</x:t>
        </x:is>
      </x:c>
      <x:c r="R1117" s="31" t="inlineStr">
        <x:is>
          <x:t xml:space="preserve">Нет</x:t>
        </x:is>
      </x:c>
      <x:c r="S1117" s="31" t="inlineStr">
        <x:is>
          <x:t xml:space="preserve">Нет</x:t>
        </x:is>
      </x:c>
    </x:row>
    <x:row r="1118">
      <x:c r="A1118" s="31" t="inlineStr">
        <x:is>
          <x:t xml:space="preserve">ОП-001117</x:t>
        </x:is>
      </x:c>
      <x:c r="B1118" s="31" t="inlineStr">
        <x:is>
          <x:t xml:space="preserve">ПЗ-00133</x:t>
        </x:is>
      </x:c>
      <x:c r="C1118" s="31" t="inlineStr">
        <x:is>
          <x:t xml:space="preserve">ЗК-1064</x:t>
        </x:is>
      </x:c>
      <x:c r="D1118" s="31" t="inlineStr">
        <x:is>
          <x:t xml:space="preserve">ПОЗ-0064-2</x:t>
        </x:is>
      </x:c>
      <x:c r="E1118" s="31" t="inlineStr">
        <x:is>
          <x:t xml:space="preserve">ИЗД-006</x:t>
        </x:is>
      </x:c>
      <x:c r="F1118" s="31" t="n">
        <x:v>90</x:v>
      </x:c>
      <x:c r="G1118" s="31" t="inlineStr">
        <x:is>
          <x:t xml:space="preserve">ОТК</x:t>
        </x:is>
      </x:c>
      <x:c r="H1118" s="31" t="inlineStr">
        <x:is>
          <x:t xml:space="preserve">ОТК</x:t>
        </x:is>
      </x:c>
      <x:c r="I1118" s="31" t="inlineStr">
        <x:is>
          <x:t xml:space="preserve">ОБ-024</x:t>
        </x:is>
      </x:c>
      <x:c r="J1118" s="31" t="inlineStr">
        <x:is>
          <x:t xml:space="preserve">СОТР-099</x:t>
        </x:is>
      </x:c>
      <x:c r="K1118" s="31" t="n">
        <x:v>10.2</x:v>
      </x:c>
      <x:c r="L1118" s="31" t="n">
        <x:v>10.3</x:v>
      </x:c>
      <x:c r="M1118" s="31" t="n">
        <x:v>46077</x:v>
      </x:c>
      <x:c r="N1118" s="31" t="n">
        <x:v>46078</x:v>
      </x:c>
      <x:c r="O1118" s="31" t="n">
        <x:v>46077</x:v>
      </x:c>
      <x:c r="P1118" s="31" t="n">
        <x:v>46078</x:v>
      </x:c>
      <x:c r="Q1118" s="31" t="inlineStr">
        <x:is>
          <x:t xml:space="preserve">Завершено</x:t>
        </x:is>
      </x:c>
      <x:c r="R1118" s="31" t="inlineStr">
        <x:is>
          <x:t xml:space="preserve">Нет</x:t>
        </x:is>
      </x:c>
      <x:c r="S1118" s="31" t="inlineStr">
        <x:is>
          <x:t xml:space="preserve">Да</x:t>
        </x:is>
      </x:c>
    </x:row>
    <x:row r="1119">
      <x:c r="A1119" s="31" t="inlineStr">
        <x:is>
          <x:t xml:space="preserve">ОП-001118</x:t>
        </x:is>
      </x:c>
      <x:c r="B1119" s="31" t="inlineStr">
        <x:is>
          <x:t xml:space="preserve">ПЗ-00133</x:t>
        </x:is>
      </x:c>
      <x:c r="C1119" s="31" t="inlineStr">
        <x:is>
          <x:t xml:space="preserve">ЗК-1064</x:t>
        </x:is>
      </x:c>
      <x:c r="D1119" s="31" t="inlineStr">
        <x:is>
          <x:t xml:space="preserve">ПОЗ-0064-2</x:t>
        </x:is>
      </x:c>
      <x:c r="E1119" s="31" t="inlineStr">
        <x:is>
          <x:t xml:space="preserve">ИЗД-006</x:t>
        </x:is>
      </x:c>
      <x:c r="F1119" s="31" t="n">
        <x:v>100</x:v>
      </x:c>
      <x:c r="G1119" s="31" t="inlineStr">
        <x:is>
          <x:t xml:space="preserve">Упаковка</x:t>
        </x:is>
      </x:c>
      <x:c r="H1119" s="31" t="inlineStr">
        <x:is>
          <x:t xml:space="preserve">Логистика</x:t>
        </x:is>
      </x:c>
      <x:c r="I1119" s="31" t="n"/>
      <x:c r="J1119" s="31" t="inlineStr">
        <x:is>
          <x:t xml:space="preserve">СОТР-101</x:t>
        </x:is>
      </x:c>
      <x:c r="K1119" s="31" t="n">
        <x:v>24.8</x:v>
      </x:c>
      <x:c r="L1119" s="31" t="n">
        <x:v>29.5</x:v>
      </x:c>
      <x:c r="M1119" s="31" t="n">
        <x:v>46078</x:v>
      </x:c>
      <x:c r="N1119" s="31" t="n">
        <x:v>46081</x:v>
      </x:c>
      <x:c r="O1119" s="31" t="n">
        <x:v>46078</x:v>
      </x:c>
      <x:c r="P1119" s="31" t="n">
        <x:v>46081</x:v>
      </x:c>
      <x:c r="Q1119" s="31" t="inlineStr">
        <x:is>
          <x:t xml:space="preserve">Завершено</x:t>
        </x:is>
      </x:c>
      <x:c r="R1119" s="31" t="inlineStr">
        <x:is>
          <x:t xml:space="preserve">Нет</x:t>
        </x:is>
      </x:c>
      <x:c r="S1119" s="31" t="inlineStr">
        <x:is>
          <x:t xml:space="preserve">Нет</x:t>
        </x:is>
      </x:c>
    </x:row>
    <x:row r="1120">
      <x:c r="A1120" s="31" t="inlineStr">
        <x:is>
          <x:t xml:space="preserve">ОП-001119</x:t>
        </x:is>
      </x:c>
      <x:c r="B1120" s="31" t="inlineStr">
        <x:is>
          <x:t xml:space="preserve">ПЗ-00134</x:t>
        </x:is>
      </x:c>
      <x:c r="C1120" s="31" t="inlineStr">
        <x:is>
          <x:t xml:space="preserve">ЗК-1065</x:t>
        </x:is>
      </x:c>
      <x:c r="D1120" s="31" t="inlineStr">
        <x:is>
          <x:t xml:space="preserve">ПОЗ-0065-1</x:t>
        </x:is>
      </x:c>
      <x:c r="E1120" s="31" t="inlineStr">
        <x:is>
          <x:t xml:space="preserve">ИЗД-016</x:t>
        </x:is>
      </x:c>
      <x:c r="F1120" s="31" t="n">
        <x:v>10</x:v>
      </x:c>
      <x:c r="G1120" s="31" t="inlineStr">
        <x:is>
          <x:t xml:space="preserve">КД</x:t>
        </x:is>
      </x:c>
      <x:c r="H1120" s="31" t="inlineStr">
        <x:is>
          <x:t xml:space="preserve">Инженерный отдел</x:t>
        </x:is>
      </x:c>
      <x:c r="I1120" s="31" t="n"/>
      <x:c r="J1120" s="31" t="inlineStr">
        <x:is>
          <x:t xml:space="preserve">СОТР-017</x:t>
        </x:is>
      </x:c>
      <x:c r="K1120" s="31" t="n">
        <x:v>38.4</x:v>
      </x:c>
      <x:c r="L1120" s="31" t="n">
        <x:v>49.3</x:v>
      </x:c>
      <x:c r="M1120" s="31" t="n">
        <x:v>46125</x:v>
      </x:c>
      <x:c r="N1120" s="31" t="n">
        <x:v>46129</x:v>
      </x:c>
      <x:c r="O1120" s="31" t="n">
        <x:v>46125</x:v>
      </x:c>
      <x:c r="P1120" s="31" t="n">
        <x:v>46129</x:v>
      </x:c>
      <x:c r="Q1120" s="31" t="inlineStr">
        <x:is>
          <x:t xml:space="preserve">Завершено</x:t>
        </x:is>
      </x:c>
      <x:c r="R1120" s="31" t="inlineStr">
        <x:is>
          <x:t xml:space="preserve">Нет</x:t>
        </x:is>
      </x:c>
      <x:c r="S1120" s="31" t="inlineStr">
        <x:is>
          <x:t xml:space="preserve">Нет</x:t>
        </x:is>
      </x:c>
    </x:row>
    <x:row r="1121">
      <x:c r="A1121" s="31" t="inlineStr">
        <x:is>
          <x:t xml:space="preserve">ОП-001120</x:t>
        </x:is>
      </x:c>
      <x:c r="B1121" s="31" t="inlineStr">
        <x:is>
          <x:t xml:space="preserve">ПЗ-00134</x:t>
        </x:is>
      </x:c>
      <x:c r="C1121" s="31" t="inlineStr">
        <x:is>
          <x:t xml:space="preserve">ЗК-1065</x:t>
        </x:is>
      </x:c>
      <x:c r="D1121" s="31" t="inlineStr">
        <x:is>
          <x:t xml:space="preserve">ПОЗ-0065-1</x:t>
        </x:is>
      </x:c>
      <x:c r="E1121" s="31" t="inlineStr">
        <x:is>
          <x:t xml:space="preserve">ИЗД-016</x:t>
        </x:is>
      </x:c>
      <x:c r="F1121" s="31" t="n">
        <x:v>20</x:v>
      </x:c>
      <x:c r="G1121" s="31" t="inlineStr">
        <x:is>
          <x:t xml:space="preserve">Резерв материалов</x:t>
        </x:is>
      </x:c>
      <x:c r="H1121" s="31" t="inlineStr">
        <x:is>
          <x:t xml:space="preserve">Склад</x:t>
        </x:is>
      </x:c>
      <x:c r="I1121" s="31" t="inlineStr">
        <x:is>
          <x:t xml:space="preserve">ОБ-025</x:t>
        </x:is>
      </x:c>
      <x:c r="J1121" s="31" t="inlineStr">
        <x:is>
          <x:t xml:space="preserve">СОТР-038</x:t>
        </x:is>
      </x:c>
      <x:c r="K1121" s="31" t="n">
        <x:v>43.2</x:v>
      </x:c>
      <x:c r="L1121" s="31" t="n">
        <x:v>36.8</x:v>
      </x:c>
      <x:c r="M1121" s="31" t="n">
        <x:v>46129</x:v>
      </x:c>
      <x:c r="N1121" s="31" t="n">
        <x:v>46133</x:v>
      </x:c>
      <x:c r="O1121" s="31" t="n">
        <x:v>46129</x:v>
      </x:c>
      <x:c r="P1121" s="31" t="n">
        <x:v>46134</x:v>
      </x:c>
      <x:c r="Q1121" s="31" t="inlineStr">
        <x:is>
          <x:t xml:space="preserve">Завершено</x:t>
        </x:is>
      </x:c>
      <x:c r="R1121" s="31" t="inlineStr">
        <x:is>
          <x:t xml:space="preserve">Материал</x:t>
        </x:is>
      </x:c>
      <x:c r="S1121" s="31" t="inlineStr">
        <x:is>
          <x:t xml:space="preserve">Да</x:t>
        </x:is>
      </x:c>
    </x:row>
    <x:row r="1122">
      <x:c r="A1122" s="31" t="inlineStr">
        <x:is>
          <x:t xml:space="preserve">ОП-001121</x:t>
        </x:is>
      </x:c>
      <x:c r="B1122" s="31" t="inlineStr">
        <x:is>
          <x:t xml:space="preserve">ПЗ-00134</x:t>
        </x:is>
      </x:c>
      <x:c r="C1122" s="31" t="inlineStr">
        <x:is>
          <x:t xml:space="preserve">ЗК-1065</x:t>
        </x:is>
      </x:c>
      <x:c r="D1122" s="31" t="inlineStr">
        <x:is>
          <x:t xml:space="preserve">ПОЗ-0065-1</x:t>
        </x:is>
      </x:c>
      <x:c r="E1122" s="31" t="inlineStr">
        <x:is>
          <x:t xml:space="preserve">ИЗД-016</x:t>
        </x:is>
      </x:c>
      <x:c r="F1122" s="31" t="n">
        <x:v>30</x:v>
      </x:c>
      <x:c r="G1122" s="31" t="inlineStr">
        <x:is>
          <x:t xml:space="preserve">Резка металла</x:t>
        </x:is>
      </x:c>
      <x:c r="H1122" s="31" t="inlineStr">
        <x:is>
          <x:t xml:space="preserve">Сварка</x:t>
        </x:is>
      </x:c>
      <x:c r="I1122" s="31" t="inlineStr">
        <x:is>
          <x:t xml:space="preserve">ОБ-003</x:t>
        </x:is>
      </x:c>
      <x:c r="J1122" s="31" t="inlineStr">
        <x:is>
          <x:t xml:space="preserve">СОТР-058</x:t>
        </x:is>
      </x:c>
      <x:c r="K1122" s="31" t="n">
        <x:v>33.9</x:v>
      </x:c>
      <x:c r="L1122" s="31" t="n">
        <x:v>35.8</x:v>
      </x:c>
      <x:c r="M1122" s="31" t="n">
        <x:v>46133</x:v>
      </x:c>
      <x:c r="N1122" s="31" t="n">
        <x:v>46136</x:v>
      </x:c>
      <x:c r="O1122" s="31" t="n">
        <x:v>46133</x:v>
      </x:c>
      <x:c r="P1122" s="31" t="n">
        <x:v>46137</x:v>
      </x:c>
      <x:c r="Q1122" s="31" t="inlineStr">
        <x:is>
          <x:t xml:space="preserve">Завершено</x:t>
        </x:is>
      </x:c>
      <x:c r="R1122" s="31" t="inlineStr">
        <x:is>
          <x:t xml:space="preserve">Нет</x:t>
        </x:is>
      </x:c>
      <x:c r="S1122" s="31" t="inlineStr">
        <x:is>
          <x:t xml:space="preserve">Нет</x:t>
        </x:is>
      </x:c>
    </x:row>
    <x:row r="1123">
      <x:c r="A1123" s="31" t="inlineStr">
        <x:is>
          <x:t xml:space="preserve">ОП-001122</x:t>
        </x:is>
      </x:c>
      <x:c r="B1123" s="31" t="inlineStr">
        <x:is>
          <x:t xml:space="preserve">ПЗ-00134</x:t>
        </x:is>
      </x:c>
      <x:c r="C1123" s="31" t="inlineStr">
        <x:is>
          <x:t xml:space="preserve">ЗК-1065</x:t>
        </x:is>
      </x:c>
      <x:c r="D1123" s="31" t="inlineStr">
        <x:is>
          <x:t xml:space="preserve">ПОЗ-0065-1</x:t>
        </x:is>
      </x:c>
      <x:c r="E1123" s="31" t="inlineStr">
        <x:is>
          <x:t xml:space="preserve">ИЗД-016</x:t>
        </x:is>
      </x:c>
      <x:c r="F1123" s="31" t="n">
        <x:v>40</x:v>
      </x:c>
      <x:c r="G1123" s="31" t="inlineStr">
        <x:is>
          <x:t xml:space="preserve">Сварка рамы</x:t>
        </x:is>
      </x:c>
      <x:c r="H1123" s="31" t="inlineStr">
        <x:is>
          <x:t xml:space="preserve">Сварка</x:t>
        </x:is>
      </x:c>
      <x:c r="I1123" s="31" t="inlineStr">
        <x:is>
          <x:t xml:space="preserve">ОБ-010</x:t>
        </x:is>
      </x:c>
      <x:c r="J1123" s="31" t="inlineStr">
        <x:is>
          <x:t xml:space="preserve">СОТР-062</x:t>
        </x:is>
      </x:c>
      <x:c r="K1123" s="31" t="n">
        <x:v>34.8</x:v>
      </x:c>
      <x:c r="L1123" s="31" t="n">
        <x:v>28.9</x:v>
      </x:c>
      <x:c r="M1123" s="31" t="n">
        <x:v>46136</x:v>
      </x:c>
      <x:c r="N1123" s="31" t="n">
        <x:v>46139</x:v>
      </x:c>
      <x:c r="O1123" s="31" t="n">
        <x:v>46136</x:v>
      </x:c>
      <x:c r="P1123" s="31" t="n">
        <x:v>46140</x:v>
      </x:c>
      <x:c r="Q1123" s="31" t="inlineStr">
        <x:is>
          <x:t xml:space="preserve">Завершено</x:t>
        </x:is>
      </x:c>
      <x:c r="R1123" s="31" t="inlineStr">
        <x:is>
          <x:t xml:space="preserve">Нет</x:t>
        </x:is>
      </x:c>
      <x:c r="S1123" s="31" t="inlineStr">
        <x:is>
          <x:t xml:space="preserve">Нет</x:t>
        </x:is>
      </x:c>
    </x:row>
    <x:row r="1124">
      <x:c r="A1124" s="31" t="inlineStr">
        <x:is>
          <x:t xml:space="preserve">ОП-001123</x:t>
        </x:is>
      </x:c>
      <x:c r="B1124" s="31" t="inlineStr">
        <x:is>
          <x:t xml:space="preserve">ПЗ-00134</x:t>
        </x:is>
      </x:c>
      <x:c r="C1124" s="31" t="inlineStr">
        <x:is>
          <x:t xml:space="preserve">ЗК-1065</x:t>
        </x:is>
      </x:c>
      <x:c r="D1124" s="31" t="inlineStr">
        <x:is>
          <x:t xml:space="preserve">ПОЗ-0065-1</x:t>
        </x:is>
      </x:c>
      <x:c r="E1124" s="31" t="inlineStr">
        <x:is>
          <x:t xml:space="preserve">ИЗД-016</x:t>
        </x:is>
      </x:c>
      <x:c r="F1124" s="31" t="n">
        <x:v>50</x:v>
      </x:c>
      <x:c r="G1124" s="31" t="inlineStr">
        <x:is>
          <x:t xml:space="preserve">Механообработка</x:t>
        </x:is>
      </x:c>
      <x:c r="H1124" s="31" t="inlineStr">
        <x:is>
          <x:t xml:space="preserve">Механообработка</x:t>
        </x:is>
      </x:c>
      <x:c r="I1124" s="31" t="inlineStr">
        <x:is>
          <x:t xml:space="preserve">ОБ-029</x:t>
        </x:is>
      </x:c>
      <x:c r="J1124" s="31" t="inlineStr">
        <x:is>
          <x:t xml:space="preserve">СОТР-050</x:t>
        </x:is>
      </x:c>
      <x:c r="K1124" s="31" t="n">
        <x:v>45.3</x:v>
      </x:c>
      <x:c r="L1124" s="31" t="n">
        <x:v>56.9</x:v>
      </x:c>
      <x:c r="M1124" s="31" t="n">
        <x:v>46139</x:v>
      </x:c>
      <x:c r="N1124" s="31" t="n">
        <x:v>46143</x:v>
      </x:c>
      <x:c r="O1124" s="31" t="n">
        <x:v>46139</x:v>
      </x:c>
      <x:c r="P1124" s="31" t="n">
        <x:v>46143</x:v>
      </x:c>
      <x:c r="Q1124" s="31" t="inlineStr">
        <x:is>
          <x:t xml:space="preserve">Завершено</x:t>
        </x:is>
      </x:c>
      <x:c r="R1124" s="31" t="inlineStr">
        <x:is>
          <x:t xml:space="preserve">Нет</x:t>
        </x:is>
      </x:c>
      <x:c r="S1124" s="31" t="inlineStr">
        <x:is>
          <x:t xml:space="preserve">Да</x:t>
        </x:is>
      </x:c>
    </x:row>
    <x:row r="1125">
      <x:c r="A1125" s="31" t="inlineStr">
        <x:is>
          <x:t xml:space="preserve">ОП-001124</x:t>
        </x:is>
      </x:c>
      <x:c r="B1125" s="31" t="inlineStr">
        <x:is>
          <x:t xml:space="preserve">ПЗ-00134</x:t>
        </x:is>
      </x:c>
      <x:c r="C1125" s="31" t="inlineStr">
        <x:is>
          <x:t xml:space="preserve">ЗК-1065</x:t>
        </x:is>
      </x:c>
      <x:c r="D1125" s="31" t="inlineStr">
        <x:is>
          <x:t xml:space="preserve">ПОЗ-0065-1</x:t>
        </x:is>
      </x:c>
      <x:c r="E1125" s="31" t="inlineStr">
        <x:is>
          <x:t xml:space="preserve">ИЗД-016</x:t>
        </x:is>
      </x:c>
      <x:c r="F1125" s="31" t="n">
        <x:v>60</x:v>
      </x:c>
      <x:c r="G1125" s="31" t="inlineStr">
        <x:is>
          <x:t xml:space="preserve">Сборка</x:t>
        </x:is>
      </x:c>
      <x:c r="H1125" s="31" t="inlineStr">
        <x:is>
          <x:t xml:space="preserve">Сборка</x:t>
        </x:is>
      </x:c>
      <x:c r="I1125" s="31" t="inlineStr">
        <x:is>
          <x:t xml:space="preserve">ОБ-027</x:t>
        </x:is>
      </x:c>
      <x:c r="J1125" s="31" t="inlineStr">
        <x:is>
          <x:t xml:space="preserve">СОТР-084</x:t>
        </x:is>
      </x:c>
      <x:c r="K1125" s="31" t="n">
        <x:v>45.3</x:v>
      </x:c>
      <x:c r="L1125" s="31" t="n">
        <x:v>53.9</x:v>
      </x:c>
      <x:c r="M1125" s="31" t="n">
        <x:v>46143</x:v>
      </x:c>
      <x:c r="N1125" s="31" t="n">
        <x:v>46147</x:v>
      </x:c>
      <x:c r="O1125" s="31" t="n">
        <x:v>46143</x:v>
      </x:c>
      <x:c r="P1125" s="31" t="n">
        <x:v>46149</x:v>
      </x:c>
      <x:c r="Q1125" s="31" t="inlineStr">
        <x:is>
          <x:t xml:space="preserve">Завершено</x:t>
        </x:is>
      </x:c>
      <x:c r="R1125" s="31" t="inlineStr">
        <x:is>
          <x:t xml:space="preserve">Нет</x:t>
        </x:is>
      </x:c>
      <x:c r="S1125" s="31" t="inlineStr">
        <x:is>
          <x:t xml:space="preserve">Нет</x:t>
        </x:is>
      </x:c>
    </x:row>
    <x:row r="1126">
      <x:c r="A1126" s="31" t="inlineStr">
        <x:is>
          <x:t xml:space="preserve">ОП-001125</x:t>
        </x:is>
      </x:c>
      <x:c r="B1126" s="31" t="inlineStr">
        <x:is>
          <x:t xml:space="preserve">ПЗ-00134</x:t>
        </x:is>
      </x:c>
      <x:c r="C1126" s="31" t="inlineStr">
        <x:is>
          <x:t xml:space="preserve">ЗК-1065</x:t>
        </x:is>
      </x:c>
      <x:c r="D1126" s="31" t="inlineStr">
        <x:is>
          <x:t xml:space="preserve">ПОЗ-0065-1</x:t>
        </x:is>
      </x:c>
      <x:c r="E1126" s="31" t="inlineStr">
        <x:is>
          <x:t xml:space="preserve">ИЗД-016</x:t>
        </x:is>
      </x:c>
      <x:c r="F1126" s="31" t="n">
        <x:v>70</x:v>
      </x:c>
      <x:c r="G1126" s="31" t="inlineStr">
        <x:is>
          <x:t xml:space="preserve">Электромонтаж</x:t>
        </x:is>
      </x:c>
      <x:c r="H1126" s="31" t="inlineStr">
        <x:is>
          <x:t xml:space="preserve">Сборка</x:t>
        </x:is>
      </x:c>
      <x:c r="I1126" s="31" t="inlineStr">
        <x:is>
          <x:t xml:space="preserve">ОБ-014</x:t>
        </x:is>
      </x:c>
      <x:c r="J1126" s="31" t="inlineStr">
        <x:is>
          <x:t xml:space="preserve">СОТР-078</x:t>
        </x:is>
      </x:c>
      <x:c r="K1126" s="31" t="n">
        <x:v>52.2</x:v>
      </x:c>
      <x:c r="L1126" s="31" t="n">
        <x:v>63</x:v>
      </x:c>
      <x:c r="M1126" s="31" t="n">
        <x:v>46147</x:v>
      </x:c>
      <x:c r="N1126" s="31" t="n">
        <x:v>46152</x:v>
      </x:c>
      <x:c r="O1126" s="31" t="n">
        <x:v>46147</x:v>
      </x:c>
      <x:c r="P1126" s="31" t="n">
        <x:v>46151</x:v>
      </x:c>
      <x:c r="Q1126" s="31" t="inlineStr">
        <x:is>
          <x:t xml:space="preserve">Завершено</x:t>
        </x:is>
      </x:c>
      <x:c r="R1126" s="31" t="inlineStr">
        <x:is>
          <x:t xml:space="preserve">Нет</x:t>
        </x:is>
      </x:c>
      <x:c r="S1126" s="31" t="inlineStr">
        <x:is>
          <x:t xml:space="preserve">Нет</x:t>
        </x:is>
      </x:c>
    </x:row>
    <x:row r="1127">
      <x:c r="A1127" s="31" t="inlineStr">
        <x:is>
          <x:t xml:space="preserve">ОП-001126</x:t>
        </x:is>
      </x:c>
      <x:c r="B1127" s="31" t="inlineStr">
        <x:is>
          <x:t xml:space="preserve">ПЗ-00134</x:t>
        </x:is>
      </x:c>
      <x:c r="C1127" s="31" t="inlineStr">
        <x:is>
          <x:t xml:space="preserve">ЗК-1065</x:t>
        </x:is>
      </x:c>
      <x:c r="D1127" s="31" t="inlineStr">
        <x:is>
          <x:t xml:space="preserve">ПОЗ-0065-1</x:t>
        </x:is>
      </x:c>
      <x:c r="E1127" s="31" t="inlineStr">
        <x:is>
          <x:t xml:space="preserve">ИЗД-016</x:t>
        </x:is>
      </x:c>
      <x:c r="F1127" s="31" t="n">
        <x:v>80</x:v>
      </x:c>
      <x:c r="G1127" s="31" t="inlineStr">
        <x:is>
          <x:t xml:space="preserve">Гидроиспытания</x:t>
        </x:is>
      </x:c>
      <x:c r="H1127" s="31" t="inlineStr">
        <x:is>
          <x:t xml:space="preserve">ОТК</x:t>
        </x:is>
      </x:c>
      <x:c r="I1127" s="31" t="inlineStr">
        <x:is>
          <x:t xml:space="preserve">ОБ-028</x:t>
        </x:is>
      </x:c>
      <x:c r="J1127" s="31" t="inlineStr">
        <x:is>
          <x:t xml:space="preserve">СОТР-093</x:t>
        </x:is>
      </x:c>
      <x:c r="K1127" s="31" t="n">
        <x:v>5.4</x:v>
      </x:c>
      <x:c r="L1127" s="31" t="n">
        <x:v>5.2</x:v>
      </x:c>
      <x:c r="M1127" s="31" t="n">
        <x:v>46152</x:v>
      </x:c>
      <x:c r="N1127" s="31" t="n">
        <x:v>46153</x:v>
      </x:c>
      <x:c r="O1127" s="31" t="n">
        <x:v>46152</x:v>
      </x:c>
      <x:c r="P1127" s="31" t="n">
        <x:v>46154</x:v>
      </x:c>
      <x:c r="Q1127" s="31" t="inlineStr">
        <x:is>
          <x:t xml:space="preserve">Завершено</x:t>
        </x:is>
      </x:c>
      <x:c r="R1127" s="31" t="inlineStr">
        <x:is>
          <x:t xml:space="preserve">Нет</x:t>
        </x:is>
      </x:c>
      <x:c r="S1127" s="31" t="inlineStr">
        <x:is>
          <x:t xml:space="preserve">Нет</x:t>
        </x:is>
      </x:c>
    </x:row>
    <x:row r="1128">
      <x:c r="A1128" s="31" t="inlineStr">
        <x:is>
          <x:t xml:space="preserve">ОП-001127</x:t>
        </x:is>
      </x:c>
      <x:c r="B1128" s="31" t="inlineStr">
        <x:is>
          <x:t xml:space="preserve">ПЗ-00134</x:t>
        </x:is>
      </x:c>
      <x:c r="C1128" s="31" t="inlineStr">
        <x:is>
          <x:t xml:space="preserve">ЗК-1065</x:t>
        </x:is>
      </x:c>
      <x:c r="D1128" s="31" t="inlineStr">
        <x:is>
          <x:t xml:space="preserve">ПОЗ-0065-1</x:t>
        </x:is>
      </x:c>
      <x:c r="E1128" s="31" t="inlineStr">
        <x:is>
          <x:t xml:space="preserve">ИЗД-016</x:t>
        </x:is>
      </x:c>
      <x:c r="F1128" s="31" t="n">
        <x:v>90</x:v>
      </x:c>
      <x:c r="G1128" s="31" t="inlineStr">
        <x:is>
          <x:t xml:space="preserve">ОТК</x:t>
        </x:is>
      </x:c>
      <x:c r="H1128" s="31" t="inlineStr">
        <x:is>
          <x:t xml:space="preserve">ОТК</x:t>
        </x:is>
      </x:c>
      <x:c r="I1128" s="31" t="inlineStr">
        <x:is>
          <x:t xml:space="preserve">ОБ-028</x:t>
        </x:is>
      </x:c>
      <x:c r="J1128" s="31" t="inlineStr">
        <x:is>
          <x:t xml:space="preserve">СОТР-097</x:t>
        </x:is>
      </x:c>
      <x:c r="K1128" s="31" t="n">
        <x:v>5.1</x:v>
      </x:c>
      <x:c r="L1128" s="31" t="n">
        <x:v>4.3</x:v>
      </x:c>
      <x:c r="M1128" s="31" t="n">
        <x:v>46153</x:v>
      </x:c>
      <x:c r="N1128" s="31" t="n">
        <x:v>46154</x:v>
      </x:c>
      <x:c r="O1128" s="31" t="n">
        <x:v>46153</x:v>
      </x:c>
      <x:c r="P1128" s="31" t="n">
        <x:v>46155</x:v>
      </x:c>
      <x:c r="Q1128" s="31" t="inlineStr">
        <x:is>
          <x:t xml:space="preserve">Завершено</x:t>
        </x:is>
      </x:c>
      <x:c r="R1128" s="31" t="inlineStr">
        <x:is>
          <x:t xml:space="preserve">Нет</x:t>
        </x:is>
      </x:c>
      <x:c r="S1128" s="31" t="inlineStr">
        <x:is>
          <x:t xml:space="preserve">Нет</x:t>
        </x:is>
      </x:c>
    </x:row>
    <x:row r="1129">
      <x:c r="A1129" s="31" t="inlineStr">
        <x:is>
          <x:t xml:space="preserve">ОП-001128</x:t>
        </x:is>
      </x:c>
      <x:c r="B1129" s="31" t="inlineStr">
        <x:is>
          <x:t xml:space="preserve">ПЗ-00134</x:t>
        </x:is>
      </x:c>
      <x:c r="C1129" s="31" t="inlineStr">
        <x:is>
          <x:t xml:space="preserve">ЗК-1065</x:t>
        </x:is>
      </x:c>
      <x:c r="D1129" s="31" t="inlineStr">
        <x:is>
          <x:t xml:space="preserve">ПОЗ-0065-1</x:t>
        </x:is>
      </x:c>
      <x:c r="E1129" s="31" t="inlineStr">
        <x:is>
          <x:t xml:space="preserve">ИЗД-016</x:t>
        </x:is>
      </x:c>
      <x:c r="F1129" s="31" t="n">
        <x:v>100</x:v>
      </x:c>
      <x:c r="G1129" s="31" t="inlineStr">
        <x:is>
          <x:t xml:space="preserve">Упаковка</x:t>
        </x:is>
      </x:c>
      <x:c r="H1129" s="31" t="inlineStr">
        <x:is>
          <x:t xml:space="preserve">Логистика</x:t>
        </x:is>
      </x:c>
      <x:c r="I1129" s="31" t="n"/>
      <x:c r="J1129" s="31" t="inlineStr">
        <x:is>
          <x:t xml:space="preserve">СОТР-101</x:t>
        </x:is>
      </x:c>
      <x:c r="K1129" s="31" t="n">
        <x:v>30</x:v>
      </x:c>
      <x:c r="L1129" s="31" t="n">
        <x:v>38.3</x:v>
      </x:c>
      <x:c r="M1129" s="31" t="n">
        <x:v>46154</x:v>
      </x:c>
      <x:c r="N1129" s="31" t="n">
        <x:v>46157</x:v>
      </x:c>
      <x:c r="O1129" s="31" t="n">
        <x:v>46154</x:v>
      </x:c>
      <x:c r="P1129" s="31" t="n">
        <x:v>46157</x:v>
      </x:c>
      <x:c r="Q1129" s="31" t="inlineStr">
        <x:is>
          <x:t xml:space="preserve">Завершено</x:t>
        </x:is>
      </x:c>
      <x:c r="R1129" s="31" t="inlineStr">
        <x:is>
          <x:t xml:space="preserve">Нет</x:t>
        </x:is>
      </x:c>
      <x:c r="S1129" s="31" t="inlineStr">
        <x:is>
          <x:t xml:space="preserve">Нет</x:t>
        </x:is>
      </x:c>
    </x:row>
    <x:row r="1130">
      <x:c r="A1130" s="31" t="inlineStr">
        <x:is>
          <x:t xml:space="preserve">ОП-001129</x:t>
        </x:is>
      </x:c>
      <x:c r="B1130" s="31" t="inlineStr">
        <x:is>
          <x:t xml:space="preserve">ПЗ-00135</x:t>
        </x:is>
      </x:c>
      <x:c r="C1130" s="31" t="inlineStr">
        <x:is>
          <x:t xml:space="preserve">ЗК-1065</x:t>
        </x:is>
      </x:c>
      <x:c r="D1130" s="31" t="inlineStr">
        <x:is>
          <x:t xml:space="preserve">ПОЗ-0065-2</x:t>
        </x:is>
      </x:c>
      <x:c r="E1130" s="31" t="inlineStr">
        <x:is>
          <x:t xml:space="preserve">ИЗД-024</x:t>
        </x:is>
      </x:c>
      <x:c r="F1130" s="31" t="n">
        <x:v>10</x:v>
      </x:c>
      <x:c r="G1130" s="31" t="inlineStr">
        <x:is>
          <x:t xml:space="preserve">КД</x:t>
        </x:is>
      </x:c>
      <x:c r="H1130" s="31" t="inlineStr">
        <x:is>
          <x:t xml:space="preserve">Инженерный отдел</x:t>
        </x:is>
      </x:c>
      <x:c r="I1130" s="31" t="n"/>
      <x:c r="J1130" s="31" t="inlineStr">
        <x:is>
          <x:t xml:space="preserve">СОТР-015</x:t>
        </x:is>
      </x:c>
      <x:c r="K1130" s="31" t="n">
        <x:v>42</x:v>
      </x:c>
      <x:c r="L1130" s="31" t="n">
        <x:v>35.7</x:v>
      </x:c>
      <x:c r="M1130" s="31" t="n">
        <x:v>46120</x:v>
      </x:c>
      <x:c r="N1130" s="31" t="n">
        <x:v>46124</x:v>
      </x:c>
      <x:c r="O1130" s="31" t="n">
        <x:v>46120</x:v>
      </x:c>
      <x:c r="P1130" s="31" t="n">
        <x:v>46123</x:v>
      </x:c>
      <x:c r="Q1130" s="31" t="inlineStr">
        <x:is>
          <x:t xml:space="preserve">Завершено</x:t>
        </x:is>
      </x:c>
      <x:c r="R1130" s="31" t="inlineStr">
        <x:is>
          <x:t xml:space="preserve">Ожидание ОТК</x:t>
        </x:is>
      </x:c>
      <x:c r="S1130" s="31" t="inlineStr">
        <x:is>
          <x:t xml:space="preserve">Нет</x:t>
        </x:is>
      </x:c>
    </x:row>
    <x:row r="1131">
      <x:c r="A1131" s="31" t="inlineStr">
        <x:is>
          <x:t xml:space="preserve">ОП-001130</x:t>
        </x:is>
      </x:c>
      <x:c r="B1131" s="31" t="inlineStr">
        <x:is>
          <x:t xml:space="preserve">ПЗ-00135</x:t>
        </x:is>
      </x:c>
      <x:c r="C1131" s="31" t="inlineStr">
        <x:is>
          <x:t xml:space="preserve">ЗК-1065</x:t>
        </x:is>
      </x:c>
      <x:c r="D1131" s="31" t="inlineStr">
        <x:is>
          <x:t xml:space="preserve">ПОЗ-0065-2</x:t>
        </x:is>
      </x:c>
      <x:c r="E1131" s="31" t="inlineStr">
        <x:is>
          <x:t xml:space="preserve">ИЗД-024</x:t>
        </x:is>
      </x:c>
      <x:c r="F1131" s="31" t="n">
        <x:v>20</x:v>
      </x:c>
      <x:c r="G1131" s="31" t="inlineStr">
        <x:is>
          <x:t xml:space="preserve">Резерв материалов</x:t>
        </x:is>
      </x:c>
      <x:c r="H1131" s="31" t="inlineStr">
        <x:is>
          <x:t xml:space="preserve">Склад</x:t>
        </x:is>
      </x:c>
      <x:c r="I1131" s="31" t="inlineStr">
        <x:is>
          <x:t xml:space="preserve">ОБ-008</x:t>
        </x:is>
      </x:c>
      <x:c r="J1131" s="31" t="inlineStr">
        <x:is>
          <x:t xml:space="preserve">СОТР-035</x:t>
        </x:is>
      </x:c>
      <x:c r="K1131" s="31" t="n">
        <x:v>6.8</x:v>
      </x:c>
      <x:c r="L1131" s="31" t="n">
        <x:v>5.8</x:v>
      </x:c>
      <x:c r="M1131" s="31" t="n">
        <x:v>46124</x:v>
      </x:c>
      <x:c r="N1131" s="31" t="n">
        <x:v>46125</x:v>
      </x:c>
      <x:c r="O1131" s="31" t="n">
        <x:v>46124</x:v>
      </x:c>
      <x:c r="P1131" s="31" t="n">
        <x:v>46126</x:v>
      </x:c>
      <x:c r="Q1131" s="31" t="inlineStr">
        <x:is>
          <x:t xml:space="preserve">Завершено</x:t>
        </x:is>
      </x:c>
      <x:c r="R1131" s="31" t="inlineStr">
        <x:is>
          <x:t xml:space="preserve">Нет</x:t>
        </x:is>
      </x:c>
      <x:c r="S1131" s="31" t="inlineStr">
        <x:is>
          <x:t xml:space="preserve">Нет</x:t>
        </x:is>
      </x:c>
    </x:row>
    <x:row r="1132">
      <x:c r="A1132" s="31" t="inlineStr">
        <x:is>
          <x:t xml:space="preserve">ОП-001131</x:t>
        </x:is>
      </x:c>
      <x:c r="B1132" s="31" t="inlineStr">
        <x:is>
          <x:t xml:space="preserve">ПЗ-00135</x:t>
        </x:is>
      </x:c>
      <x:c r="C1132" s="31" t="inlineStr">
        <x:is>
          <x:t xml:space="preserve">ЗК-1065</x:t>
        </x:is>
      </x:c>
      <x:c r="D1132" s="31" t="inlineStr">
        <x:is>
          <x:t xml:space="preserve">ПОЗ-0065-2</x:t>
        </x:is>
      </x:c>
      <x:c r="E1132" s="31" t="inlineStr">
        <x:is>
          <x:t xml:space="preserve">ИЗД-024</x:t>
        </x:is>
      </x:c>
      <x:c r="F1132" s="31" t="n">
        <x:v>30</x:v>
      </x:c>
      <x:c r="G1132" s="31" t="inlineStr">
        <x:is>
          <x:t xml:space="preserve">Сварка рамы</x:t>
        </x:is>
      </x:c>
      <x:c r="H1132" s="31" t="inlineStr">
        <x:is>
          <x:t xml:space="preserve">Сварка</x:t>
        </x:is>
      </x:c>
      <x:c r="I1132" s="31" t="inlineStr">
        <x:is>
          <x:t xml:space="preserve">ОБ-021</x:t>
        </x:is>
      </x:c>
      <x:c r="J1132" s="31" t="inlineStr">
        <x:is>
          <x:t xml:space="preserve">СОТР-056</x:t>
        </x:is>
      </x:c>
      <x:c r="K1132" s="31" t="n">
        <x:v>11.6</x:v>
      </x:c>
      <x:c r="L1132" s="31" t="n">
        <x:v>13.1</x:v>
      </x:c>
      <x:c r="M1132" s="31" t="n">
        <x:v>46125</x:v>
      </x:c>
      <x:c r="N1132" s="31" t="n">
        <x:v>46126</x:v>
      </x:c>
      <x:c r="O1132" s="31" t="n">
        <x:v>46125</x:v>
      </x:c>
      <x:c r="P1132" s="31" t="n">
        <x:v>46125</x:v>
      </x:c>
      <x:c r="Q1132" s="31" t="inlineStr">
        <x:is>
          <x:t xml:space="preserve">Завершено</x:t>
        </x:is>
      </x:c>
      <x:c r="R1132" s="31" t="inlineStr">
        <x:is>
          <x:t xml:space="preserve">Нет</x:t>
        </x:is>
      </x:c>
      <x:c r="S1132" s="31" t="inlineStr">
        <x:is>
          <x:t xml:space="preserve">Нет</x:t>
        </x:is>
      </x:c>
    </x:row>
    <x:row r="1133">
      <x:c r="A1133" s="31" t="inlineStr">
        <x:is>
          <x:t xml:space="preserve">ОП-001132</x:t>
        </x:is>
      </x:c>
      <x:c r="B1133" s="31" t="inlineStr">
        <x:is>
          <x:t xml:space="preserve">ПЗ-00135</x:t>
        </x:is>
      </x:c>
      <x:c r="C1133" s="31" t="inlineStr">
        <x:is>
          <x:t xml:space="preserve">ЗК-1065</x:t>
        </x:is>
      </x:c>
      <x:c r="D1133" s="31" t="inlineStr">
        <x:is>
          <x:t xml:space="preserve">ПОЗ-0065-2</x:t>
        </x:is>
      </x:c>
      <x:c r="E1133" s="31" t="inlineStr">
        <x:is>
          <x:t xml:space="preserve">ИЗД-024</x:t>
        </x:is>
      </x:c>
      <x:c r="F1133" s="31" t="n">
        <x:v>40</x:v>
      </x:c>
      <x:c r="G1133" s="31" t="inlineStr">
        <x:is>
          <x:t xml:space="preserve">Сборка</x:t>
        </x:is>
      </x:c>
      <x:c r="H1133" s="31" t="inlineStr">
        <x:is>
          <x:t xml:space="preserve">Сборка</x:t>
        </x:is>
      </x:c>
      <x:c r="I1133" s="31" t="inlineStr">
        <x:is>
          <x:t xml:space="preserve">ОБ-005</x:t>
        </x:is>
      </x:c>
      <x:c r="J1133" s="31" t="inlineStr">
        <x:is>
          <x:t xml:space="preserve">СОТР-088</x:t>
        </x:is>
      </x:c>
      <x:c r="K1133" s="31" t="n">
        <x:v>8.4</x:v>
      </x:c>
      <x:c r="L1133" s="31" t="n">
        <x:v>7.3</x:v>
      </x:c>
      <x:c r="M1133" s="31" t="n">
        <x:v>46126</x:v>
      </x:c>
      <x:c r="N1133" s="31" t="n">
        <x:v>46127</x:v>
      </x:c>
      <x:c r="O1133" s="31" t="n">
        <x:v>46126</x:v>
      </x:c>
      <x:c r="P1133" s="31" t="n">
        <x:v>46126</x:v>
      </x:c>
      <x:c r="Q1133" s="31" t="inlineStr">
        <x:is>
          <x:t xml:space="preserve">Завершено</x:t>
        </x:is>
      </x:c>
      <x:c r="R1133" s="31" t="inlineStr">
        <x:is>
          <x:t xml:space="preserve">Нет</x:t>
        </x:is>
      </x:c>
      <x:c r="S1133" s="31" t="inlineStr">
        <x:is>
          <x:t xml:space="preserve">Нет</x:t>
        </x:is>
      </x:c>
    </x:row>
    <x:row r="1134">
      <x:c r="A1134" s="31" t="inlineStr">
        <x:is>
          <x:t xml:space="preserve">ОП-001133</x:t>
        </x:is>
      </x:c>
      <x:c r="B1134" s="31" t="inlineStr">
        <x:is>
          <x:t xml:space="preserve">ПЗ-00135</x:t>
        </x:is>
      </x:c>
      <x:c r="C1134" s="31" t="inlineStr">
        <x:is>
          <x:t xml:space="preserve">ЗК-1065</x:t>
        </x:is>
      </x:c>
      <x:c r="D1134" s="31" t="inlineStr">
        <x:is>
          <x:t xml:space="preserve">ПОЗ-0065-2</x:t>
        </x:is>
      </x:c>
      <x:c r="E1134" s="31" t="inlineStr">
        <x:is>
          <x:t xml:space="preserve">ИЗД-024</x:t>
        </x:is>
      </x:c>
      <x:c r="F1134" s="31" t="n">
        <x:v>50</x:v>
      </x:c>
      <x:c r="G1134" s="31" t="inlineStr">
        <x:is>
          <x:t xml:space="preserve">Обвязка труб</x:t>
        </x:is>
      </x:c>
      <x:c r="H1134" s="31" t="inlineStr">
        <x:is>
          <x:t xml:space="preserve">Сборка</x:t>
        </x:is>
      </x:c>
      <x:c r="I1134" s="31" t="inlineStr">
        <x:is>
          <x:t xml:space="preserve">ОБ-034</x:t>
        </x:is>
      </x:c>
      <x:c r="J1134" s="31" t="inlineStr">
        <x:is>
          <x:t xml:space="preserve">СОТР-084</x:t>
        </x:is>
      </x:c>
      <x:c r="K1134" s="31" t="n">
        <x:v>38.8</x:v>
      </x:c>
      <x:c r="L1134" s="31" t="n">
        <x:v>51.6</x:v>
      </x:c>
      <x:c r="M1134" s="31" t="n">
        <x:v>46127</x:v>
      </x:c>
      <x:c r="N1134" s="31" t="n">
        <x:v>46131</x:v>
      </x:c>
      <x:c r="O1134" s="31" t="n">
        <x:v>46127</x:v>
      </x:c>
      <x:c r="P1134" s="31" t="n">
        <x:v>46130</x:v>
      </x:c>
      <x:c r="Q1134" s="31" t="inlineStr">
        <x:is>
          <x:t xml:space="preserve">Завершено</x:t>
        </x:is>
      </x:c>
      <x:c r="R1134" s="31" t="inlineStr">
        <x:is>
          <x:t xml:space="preserve">Нет</x:t>
        </x:is>
      </x:c>
      <x:c r="S1134" s="31" t="inlineStr">
        <x:is>
          <x:t xml:space="preserve">Нет</x:t>
        </x:is>
      </x:c>
    </x:row>
    <x:row r="1135">
      <x:c r="A1135" s="31" t="inlineStr">
        <x:is>
          <x:t xml:space="preserve">ОП-001134</x:t>
        </x:is>
      </x:c>
      <x:c r="B1135" s="31" t="inlineStr">
        <x:is>
          <x:t xml:space="preserve">ПЗ-00135</x:t>
        </x:is>
      </x:c>
      <x:c r="C1135" s="31" t="inlineStr">
        <x:is>
          <x:t xml:space="preserve">ЗК-1065</x:t>
        </x:is>
      </x:c>
      <x:c r="D1135" s="31" t="inlineStr">
        <x:is>
          <x:t xml:space="preserve">ПОЗ-0065-2</x:t>
        </x:is>
      </x:c>
      <x:c r="E1135" s="31" t="inlineStr">
        <x:is>
          <x:t xml:space="preserve">ИЗД-024</x:t>
        </x:is>
      </x:c>
      <x:c r="F1135" s="31" t="n">
        <x:v>60</x:v>
      </x:c>
      <x:c r="G1135" s="31" t="inlineStr">
        <x:is>
          <x:t xml:space="preserve">Электромонтаж</x:t>
        </x:is>
      </x:c>
      <x:c r="H1135" s="31" t="inlineStr">
        <x:is>
          <x:t xml:space="preserve">Сборка</x:t>
        </x:is>
      </x:c>
      <x:c r="I1135" s="31" t="inlineStr">
        <x:is>
          <x:t xml:space="preserve">ОБ-014</x:t>
        </x:is>
      </x:c>
      <x:c r="J1135" s="31" t="inlineStr">
        <x:is>
          <x:t xml:space="preserve">СОТР-074</x:t>
        </x:is>
      </x:c>
      <x:c r="K1135" s="31" t="n">
        <x:v>14.4</x:v>
      </x:c>
      <x:c r="L1135" s="31" t="n">
        <x:v>18.1</x:v>
      </x:c>
      <x:c r="M1135" s="31" t="n">
        <x:v>46131</x:v>
      </x:c>
      <x:c r="N1135" s="31" t="n">
        <x:v>46133</x:v>
      </x:c>
      <x:c r="O1135" s="31" t="n">
        <x:v>46131</x:v>
      </x:c>
      <x:c r="P1135" s="31" t="n">
        <x:v>46135</x:v>
      </x:c>
      <x:c r="Q1135" s="31" t="inlineStr">
        <x:is>
          <x:t xml:space="preserve">Завершено</x:t>
        </x:is>
      </x:c>
      <x:c r="R1135" s="31" t="inlineStr">
        <x:is>
          <x:t xml:space="preserve">Нет</x:t>
        </x:is>
      </x:c>
      <x:c r="S1135" s="31" t="inlineStr">
        <x:is>
          <x:t xml:space="preserve">Нет</x:t>
        </x:is>
      </x:c>
    </x:row>
    <x:row r="1136">
      <x:c r="A1136" s="31" t="inlineStr">
        <x:is>
          <x:t xml:space="preserve">ОП-001135</x:t>
        </x:is>
      </x:c>
      <x:c r="B1136" s="31" t="inlineStr">
        <x:is>
          <x:t xml:space="preserve">ПЗ-00135</x:t>
        </x:is>
      </x:c>
      <x:c r="C1136" s="31" t="inlineStr">
        <x:is>
          <x:t xml:space="preserve">ЗК-1065</x:t>
        </x:is>
      </x:c>
      <x:c r="D1136" s="31" t="inlineStr">
        <x:is>
          <x:t xml:space="preserve">ПОЗ-0065-2</x:t>
        </x:is>
      </x:c>
      <x:c r="E1136" s="31" t="inlineStr">
        <x:is>
          <x:t xml:space="preserve">ИЗД-024</x:t>
        </x:is>
      </x:c>
      <x:c r="F1136" s="31" t="n">
        <x:v>70</x:v>
      </x:c>
      <x:c r="G1136" s="31" t="inlineStr">
        <x:is>
          <x:t xml:space="preserve">Гидроиспытания</x:t>
        </x:is>
      </x:c>
      <x:c r="H1136" s="31" t="inlineStr">
        <x:is>
          <x:t xml:space="preserve">ОТК</x:t>
        </x:is>
      </x:c>
      <x:c r="I1136" s="31" t="inlineStr">
        <x:is>
          <x:t xml:space="preserve">ОБ-022</x:t>
        </x:is>
      </x:c>
      <x:c r="J1136" s="31" t="inlineStr">
        <x:is>
          <x:t xml:space="preserve">СОТР-095</x:t>
        </x:is>
      </x:c>
      <x:c r="K1136" s="31" t="n">
        <x:v>20.8</x:v>
      </x:c>
      <x:c r="L1136" s="31" t="n">
        <x:v>17.2</x:v>
      </x:c>
      <x:c r="M1136" s="31" t="n">
        <x:v>46133</x:v>
      </x:c>
      <x:c r="N1136" s="31" t="n">
        <x:v>46135</x:v>
      </x:c>
      <x:c r="O1136" s="31" t="n">
        <x:v>46133</x:v>
      </x:c>
      <x:c r="P1136" s="31" t="n">
        <x:v>46134</x:v>
      </x:c>
      <x:c r="Q1136" s="31" t="inlineStr">
        <x:is>
          <x:t xml:space="preserve">Завершено</x:t>
        </x:is>
      </x:c>
      <x:c r="R1136" s="31" t="inlineStr">
        <x:is>
          <x:t xml:space="preserve">Нет</x:t>
        </x:is>
      </x:c>
      <x:c r="S1136" s="31" t="inlineStr">
        <x:is>
          <x:t xml:space="preserve">Нет</x:t>
        </x:is>
      </x:c>
    </x:row>
    <x:row r="1137">
      <x:c r="A1137" s="31" t="inlineStr">
        <x:is>
          <x:t xml:space="preserve">ОП-001136</x:t>
        </x:is>
      </x:c>
      <x:c r="B1137" s="31" t="inlineStr">
        <x:is>
          <x:t xml:space="preserve">ПЗ-00135</x:t>
        </x:is>
      </x:c>
      <x:c r="C1137" s="31" t="inlineStr">
        <x:is>
          <x:t xml:space="preserve">ЗК-1065</x:t>
        </x:is>
      </x:c>
      <x:c r="D1137" s="31" t="inlineStr">
        <x:is>
          <x:t xml:space="preserve">ПОЗ-0065-2</x:t>
        </x:is>
      </x:c>
      <x:c r="E1137" s="31" t="inlineStr">
        <x:is>
          <x:t xml:space="preserve">ИЗД-024</x:t>
        </x:is>
      </x:c>
      <x:c r="F1137" s="31" t="n">
        <x:v>80</x:v>
      </x:c>
      <x:c r="G1137" s="31" t="inlineStr">
        <x:is>
          <x:t xml:space="preserve">ОТК</x:t>
        </x:is>
      </x:c>
      <x:c r="H1137" s="31" t="inlineStr">
        <x:is>
          <x:t xml:space="preserve">ОТК</x:t>
        </x:is>
      </x:c>
      <x:c r="I1137" s="31" t="inlineStr">
        <x:is>
          <x:t xml:space="preserve">ОБ-024</x:t>
        </x:is>
      </x:c>
      <x:c r="J1137" s="31" t="inlineStr">
        <x:is>
          <x:t xml:space="preserve">СОТР-095</x:t>
        </x:is>
      </x:c>
      <x:c r="K1137" s="31" t="n">
        <x:v>22.8</x:v>
      </x:c>
      <x:c r="L1137" s="31" t="n">
        <x:v>27.8</x:v>
      </x:c>
      <x:c r="M1137" s="31" t="n">
        <x:v>46135</x:v>
      </x:c>
      <x:c r="N1137" s="31" t="n">
        <x:v>46137</x:v>
      </x:c>
      <x:c r="O1137" s="31" t="n">
        <x:v>46135</x:v>
      </x:c>
      <x:c r="P1137" s="31" t="n">
        <x:v>46138</x:v>
      </x:c>
      <x:c r="Q1137" s="31" t="inlineStr">
        <x:is>
          <x:t xml:space="preserve">Завершено</x:t>
        </x:is>
      </x:c>
      <x:c r="R1137" s="31" t="inlineStr">
        <x:is>
          <x:t xml:space="preserve">Нет</x:t>
        </x:is>
      </x:c>
      <x:c r="S1137" s="31" t="inlineStr">
        <x:is>
          <x:t xml:space="preserve">Нет</x:t>
        </x:is>
      </x:c>
    </x:row>
    <x:row r="1138">
      <x:c r="A1138" s="31" t="inlineStr">
        <x:is>
          <x:t xml:space="preserve">ОП-001137</x:t>
        </x:is>
      </x:c>
      <x:c r="B1138" s="31" t="inlineStr">
        <x:is>
          <x:t xml:space="preserve">ПЗ-00135</x:t>
        </x:is>
      </x:c>
      <x:c r="C1138" s="31" t="inlineStr">
        <x:is>
          <x:t xml:space="preserve">ЗК-1065</x:t>
        </x:is>
      </x:c>
      <x:c r="D1138" s="31" t="inlineStr">
        <x:is>
          <x:t xml:space="preserve">ПОЗ-0065-2</x:t>
        </x:is>
      </x:c>
      <x:c r="E1138" s="31" t="inlineStr">
        <x:is>
          <x:t xml:space="preserve">ИЗД-024</x:t>
        </x:is>
      </x:c>
      <x:c r="F1138" s="31" t="n">
        <x:v>90</x:v>
      </x:c>
      <x:c r="G1138" s="31" t="inlineStr">
        <x:is>
          <x:t xml:space="preserve">Упаковка</x:t>
        </x:is>
      </x:c>
      <x:c r="H1138" s="31" t="inlineStr">
        <x:is>
          <x:t xml:space="preserve">Логистика</x:t>
        </x:is>
      </x:c>
      <x:c r="I1138" s="31" t="n"/>
      <x:c r="J1138" s="31" t="inlineStr">
        <x:is>
          <x:t xml:space="preserve">СОТР-101</x:t>
        </x:is>
      </x:c>
      <x:c r="K1138" s="31" t="n">
        <x:v>34.4</x:v>
      </x:c>
      <x:c r="L1138" s="31" t="n">
        <x:v>29.3</x:v>
      </x:c>
      <x:c r="M1138" s="31" t="n">
        <x:v>46137</x:v>
      </x:c>
      <x:c r="N1138" s="31" t="n">
        <x:v>46140</x:v>
      </x:c>
      <x:c r="O1138" s="31" t="n">
        <x:v>46137</x:v>
      </x:c>
      <x:c r="P1138" s="31" t="n">
        <x:v>46142</x:v>
      </x:c>
      <x:c r="Q1138" s="31" t="inlineStr">
        <x:is>
          <x:t xml:space="preserve">Завершено</x:t>
        </x:is>
      </x:c>
      <x:c r="R1138" s="31" t="inlineStr">
        <x:is>
          <x:t xml:space="preserve">Ожидание ОТК</x:t>
        </x:is>
      </x:c>
      <x:c r="S1138" s="31" t="inlineStr">
        <x:is>
          <x:t xml:space="preserve">Нет</x:t>
        </x:is>
      </x:c>
    </x:row>
    <x:row r="1139">
      <x:c r="A1139" s="31" t="inlineStr">
        <x:is>
          <x:t xml:space="preserve">ОП-001138</x:t>
        </x:is>
      </x:c>
      <x:c r="B1139" s="31" t="inlineStr">
        <x:is>
          <x:t xml:space="preserve">ПЗ-00136</x:t>
        </x:is>
      </x:c>
      <x:c r="C1139" s="31" t="inlineStr">
        <x:is>
          <x:t xml:space="preserve">ЗК-1066</x:t>
        </x:is>
      </x:c>
      <x:c r="D1139" s="31" t="inlineStr">
        <x:is>
          <x:t xml:space="preserve">ПОЗ-0066-1</x:t>
        </x:is>
      </x:c>
      <x:c r="E1139" s="31" t="inlineStr">
        <x:is>
          <x:t xml:space="preserve">ИЗД-001</x:t>
        </x:is>
      </x:c>
      <x:c r="F1139" s="31" t="n">
        <x:v>10</x:v>
      </x:c>
      <x:c r="G1139" s="31" t="inlineStr">
        <x:is>
          <x:t xml:space="preserve">Комплектация</x:t>
        </x:is>
      </x:c>
      <x:c r="H1139" s="31" t="inlineStr">
        <x:is>
          <x:t xml:space="preserve">Склад</x:t>
        </x:is>
      </x:c>
      <x:c r="I1139" s="31" t="inlineStr">
        <x:is>
          <x:t xml:space="preserve">ОБ-011</x:t>
        </x:is>
      </x:c>
      <x:c r="J1139" s="31" t="inlineStr">
        <x:is>
          <x:t xml:space="preserve">СОТР-038</x:t>
        </x:is>
      </x:c>
      <x:c r="K1139" s="31" t="n">
        <x:v>75.59999999999999</x:v>
      </x:c>
      <x:c r="L1139" s="31" t="n">
        <x:v>80.2</x:v>
      </x:c>
      <x:c r="M1139" s="31" t="n">
        <x:v>46113</x:v>
      </x:c>
      <x:c r="N1139" s="31" t="n">
        <x:v>46120</x:v>
      </x:c>
      <x:c r="O1139" s="31" t="n">
        <x:v>46113</x:v>
      </x:c>
      <x:c r="P1139" s="31" t="n">
        <x:v>46119</x:v>
      </x:c>
      <x:c r="Q1139" s="31" t="inlineStr">
        <x:is>
          <x:t xml:space="preserve">Завершено</x:t>
        </x:is>
      </x:c>
      <x:c r="R1139" s="31" t="inlineStr">
        <x:is>
          <x:t xml:space="preserve">Нет</x:t>
        </x:is>
      </x:c>
      <x:c r="S1139" s="31" t="inlineStr">
        <x:is>
          <x:t xml:space="preserve">Нет</x:t>
        </x:is>
      </x:c>
    </x:row>
    <x:row r="1140">
      <x:c r="A1140" s="31" t="inlineStr">
        <x:is>
          <x:t xml:space="preserve">ОП-001139</x:t>
        </x:is>
      </x:c>
      <x:c r="B1140" s="31" t="inlineStr">
        <x:is>
          <x:t xml:space="preserve">ПЗ-00136</x:t>
        </x:is>
      </x:c>
      <x:c r="C1140" s="31" t="inlineStr">
        <x:is>
          <x:t xml:space="preserve">ЗК-1066</x:t>
        </x:is>
      </x:c>
      <x:c r="D1140" s="31" t="inlineStr">
        <x:is>
          <x:t xml:space="preserve">ПОЗ-0066-1</x:t>
        </x:is>
      </x:c>
      <x:c r="E1140" s="31" t="inlineStr">
        <x:is>
          <x:t xml:space="preserve">ИЗД-001</x:t>
        </x:is>
      </x:c>
      <x:c r="F1140" s="31" t="n">
        <x:v>20</x:v>
      </x:c>
      <x:c r="G1140" s="31" t="inlineStr">
        <x:is>
          <x:t xml:space="preserve">Входной контроль</x:t>
        </x:is>
      </x:c>
      <x:c r="H1140" s="31" t="inlineStr">
        <x:is>
          <x:t xml:space="preserve">ОТК</x:t>
        </x:is>
      </x:c>
      <x:c r="I1140" s="31" t="inlineStr">
        <x:is>
          <x:t xml:space="preserve">ОБ-032</x:t>
        </x:is>
      </x:c>
      <x:c r="J1140" s="31" t="inlineStr">
        <x:is>
          <x:t xml:space="preserve">СОТР-096</x:t>
        </x:is>
      </x:c>
      <x:c r="K1140" s="31" t="n">
        <x:v>120.6</x:v>
      </x:c>
      <x:c r="L1140" s="31" t="n">
        <x:v>143.5</x:v>
      </x:c>
      <x:c r="M1140" s="31" t="n">
        <x:v>46120</x:v>
      </x:c>
      <x:c r="N1140" s="31" t="n">
        <x:v>46131</x:v>
      </x:c>
      <x:c r="O1140" s="31" t="n">
        <x:v>46120</x:v>
      </x:c>
      <x:c r="P1140" s="31" t="n">
        <x:v>46131</x:v>
      </x:c>
      <x:c r="Q1140" s="31" t="inlineStr">
        <x:is>
          <x:t xml:space="preserve">Завершено</x:t>
        </x:is>
      </x:c>
      <x:c r="R1140" s="31" t="inlineStr">
        <x:is>
          <x:t xml:space="preserve">Нет</x:t>
        </x:is>
      </x:c>
      <x:c r="S1140" s="31" t="inlineStr">
        <x:is>
          <x:t xml:space="preserve">Нет</x:t>
        </x:is>
      </x:c>
    </x:row>
    <x:row r="1141">
      <x:c r="A1141" s="31" t="inlineStr">
        <x:is>
          <x:t xml:space="preserve">ОП-001140</x:t>
        </x:is>
      </x:c>
      <x:c r="B1141" s="31" t="inlineStr">
        <x:is>
          <x:t xml:space="preserve">ПЗ-00136</x:t>
        </x:is>
      </x:c>
      <x:c r="C1141" s="31" t="inlineStr">
        <x:is>
          <x:t xml:space="preserve">ЗК-1066</x:t>
        </x:is>
      </x:c>
      <x:c r="D1141" s="31" t="inlineStr">
        <x:is>
          <x:t xml:space="preserve">ПОЗ-0066-1</x:t>
        </x:is>
      </x:c>
      <x:c r="E1141" s="31" t="inlineStr">
        <x:is>
          <x:t xml:space="preserve">ИЗД-001</x:t>
        </x:is>
      </x:c>
      <x:c r="F1141" s="31" t="n">
        <x:v>30</x:v>
      </x:c>
      <x:c r="G1141" s="31" t="inlineStr">
        <x:is>
          <x:t xml:space="preserve">Упаковка</x:t>
        </x:is>
      </x:c>
      <x:c r="H1141" s="31" t="inlineStr">
        <x:is>
          <x:t xml:space="preserve">Логистика</x:t>
        </x:is>
      </x:c>
      <x:c r="I1141" s="31" t="n"/>
      <x:c r="J1141" s="31" t="inlineStr">
        <x:is>
          <x:t xml:space="preserve">СОТР-102</x:t>
        </x:is>
      </x:c>
      <x:c r="K1141" s="31" t="n">
        <x:v>14.4</x:v>
      </x:c>
      <x:c r="L1141" s="31" t="n"/>
      <x:c r="M1141" s="31" t="n">
        <x:v>46131</x:v>
      </x:c>
      <x:c r="N1141" s="31" t="n">
        <x:v>46133</x:v>
      </x:c>
      <x:c r="O1141" s="31" t="n">
        <x:v>46131</x:v>
      </x:c>
      <x:c r="P1141" s="31" t="n"/>
      <x:c r="Q1141" s="31" t="inlineStr">
        <x:is>
          <x:t xml:space="preserve">В работе</x:t>
        </x:is>
      </x:c>
      <x:c r="R1141" s="31" t="inlineStr">
        <x:is>
          <x:t xml:space="preserve">Нет</x:t>
        </x:is>
      </x:c>
      <x:c r="S1141" s="31" t="inlineStr">
        <x:is>
          <x:t xml:space="preserve">Нет</x:t>
        </x:is>
      </x:c>
    </x:row>
    <x:row r="1142">
      <x:c r="A1142" s="31" t="inlineStr">
        <x:is>
          <x:t xml:space="preserve">ОП-001141</x:t>
        </x:is>
      </x:c>
      <x:c r="B1142" s="31" t="inlineStr">
        <x:is>
          <x:t xml:space="preserve">ПЗ-00136</x:t>
        </x:is>
      </x:c>
      <x:c r="C1142" s="31" t="inlineStr">
        <x:is>
          <x:t xml:space="preserve">ЗК-1066</x:t>
        </x:is>
      </x:c>
      <x:c r="D1142" s="31" t="inlineStr">
        <x:is>
          <x:t xml:space="preserve">ПОЗ-0066-1</x:t>
        </x:is>
      </x:c>
      <x:c r="E1142" s="31" t="inlineStr">
        <x:is>
          <x:t xml:space="preserve">ИЗД-001</x:t>
        </x:is>
      </x:c>
      <x:c r="F1142" s="31" t="n">
        <x:v>40</x:v>
      </x:c>
      <x:c r="G1142" s="31" t="inlineStr">
        <x:is>
          <x:t xml:space="preserve">ОТК</x:t>
        </x:is>
      </x:c>
      <x:c r="H1142" s="31" t="inlineStr">
        <x:is>
          <x:t xml:space="preserve">ОТК</x:t>
        </x:is>
      </x:c>
      <x:c r="I1142" s="31" t="inlineStr">
        <x:is>
          <x:t xml:space="preserve">ОБ-006</x:t>
        </x:is>
      </x:c>
      <x:c r="J1142" s="31" t="inlineStr">
        <x:is>
          <x:t xml:space="preserve">СОТР-099</x:t>
        </x:is>
      </x:c>
      <x:c r="K1142" s="31" t="n">
        <x:v>45</x:v>
      </x:c>
      <x:c r="L1142" s="31" t="n"/>
      <x:c r="M1142" s="31" t="n">
        <x:v>46133</x:v>
      </x:c>
      <x:c r="N1142" s="31" t="n">
        <x:v>46137</x:v>
      </x:c>
      <x:c r="O1142" s="31" t="n"/>
      <x:c r="P1142" s="31" t="n"/>
      <x:c r="Q1142" s="31" t="inlineStr">
        <x:is>
          <x:t xml:space="preserve">Запланировано</x:t>
        </x:is>
      </x:c>
      <x:c r="R1142" s="31" t="inlineStr">
        <x:is>
          <x:t xml:space="preserve">Материал</x:t>
        </x:is>
      </x:c>
      <x:c r="S1142" s="31" t="inlineStr">
        <x:is>
          <x:t xml:space="preserve">Нет</x:t>
        </x:is>
      </x:c>
    </x:row>
    <x:row r="1143">
      <x:c r="A1143" s="31" t="inlineStr">
        <x:is>
          <x:t xml:space="preserve">ОП-001142</x:t>
        </x:is>
      </x:c>
      <x:c r="B1143" s="31" t="inlineStr">
        <x:is>
          <x:t xml:space="preserve">ПЗ-00137</x:t>
        </x:is>
      </x:c>
      <x:c r="C1143" s="31" t="inlineStr">
        <x:is>
          <x:t xml:space="preserve">ЗК-1066</x:t>
        </x:is>
      </x:c>
      <x:c r="D1143" s="31" t="inlineStr">
        <x:is>
          <x:t xml:space="preserve">ПОЗ-0066-2</x:t>
        </x:is>
      </x:c>
      <x:c r="E1143" s="31" t="inlineStr">
        <x:is>
          <x:t xml:space="preserve">ИЗД-011</x:t>
        </x:is>
      </x:c>
      <x:c r="F1143" s="31" t="n">
        <x:v>10</x:v>
      </x:c>
      <x:c r="G1143" s="31" t="inlineStr">
        <x:is>
          <x:t xml:space="preserve">КД</x:t>
        </x:is>
      </x:c>
      <x:c r="H1143" s="31" t="inlineStr">
        <x:is>
          <x:t xml:space="preserve">Инженерный отдел</x:t>
        </x:is>
      </x:c>
      <x:c r="I1143" s="31" t="n"/>
      <x:c r="J1143" s="31" t="inlineStr">
        <x:is>
          <x:t xml:space="preserve">СОТР-017</x:t>
        </x:is>
      </x:c>
      <x:c r="K1143" s="31" t="n">
        <x:v>28</x:v>
      </x:c>
      <x:c r="L1143" s="31" t="n">
        <x:v>36.9</x:v>
      </x:c>
      <x:c r="M1143" s="31" t="n">
        <x:v>46120</x:v>
      </x:c>
      <x:c r="N1143" s="31" t="n">
        <x:v>46123</x:v>
      </x:c>
      <x:c r="O1143" s="31" t="n">
        <x:v>46120</x:v>
      </x:c>
      <x:c r="P1143" s="31" t="n">
        <x:v>46123</x:v>
      </x:c>
      <x:c r="Q1143" s="31" t="inlineStr">
        <x:is>
          <x:t xml:space="preserve">Завершено</x:t>
        </x:is>
      </x:c>
      <x:c r="R1143" s="31" t="inlineStr">
        <x:is>
          <x:t xml:space="preserve">Нет</x:t>
        </x:is>
      </x:c>
      <x:c r="S1143" s="31" t="inlineStr">
        <x:is>
          <x:t xml:space="preserve">Нет</x:t>
        </x:is>
      </x:c>
    </x:row>
    <x:row r="1144">
      <x:c r="A1144" s="31" t="inlineStr">
        <x:is>
          <x:t xml:space="preserve">ОП-001143</x:t>
        </x:is>
      </x:c>
      <x:c r="B1144" s="31" t="inlineStr">
        <x:is>
          <x:t xml:space="preserve">ПЗ-00137</x:t>
        </x:is>
      </x:c>
      <x:c r="C1144" s="31" t="inlineStr">
        <x:is>
          <x:t xml:space="preserve">ЗК-1066</x:t>
        </x:is>
      </x:c>
      <x:c r="D1144" s="31" t="inlineStr">
        <x:is>
          <x:t xml:space="preserve">ПОЗ-0066-2</x:t>
        </x:is>
      </x:c>
      <x:c r="E1144" s="31" t="inlineStr">
        <x:is>
          <x:t xml:space="preserve">ИЗД-011</x:t>
        </x:is>
      </x:c>
      <x:c r="F1144" s="31" t="n">
        <x:v>20</x:v>
      </x:c>
      <x:c r="G1144" s="31" t="inlineStr">
        <x:is>
          <x:t xml:space="preserve">Комплектация</x:t>
        </x:is>
      </x:c>
      <x:c r="H1144" s="31" t="inlineStr">
        <x:is>
          <x:t xml:space="preserve">Склад</x:t>
        </x:is>
      </x:c>
      <x:c r="I1144" s="31" t="inlineStr">
        <x:is>
          <x:t xml:space="preserve">ОБ-025</x:t>
        </x:is>
      </x:c>
      <x:c r="J1144" s="31" t="inlineStr">
        <x:is>
          <x:t xml:space="preserve">СОТР-036</x:t>
        </x:is>
      </x:c>
      <x:c r="K1144" s="31" t="n">
        <x:v>17.6</x:v>
      </x:c>
      <x:c r="L1144" s="31" t="n">
        <x:v>15.2</x:v>
      </x:c>
      <x:c r="M1144" s="31" t="n">
        <x:v>46123</x:v>
      </x:c>
      <x:c r="N1144" s="31" t="n">
        <x:v>46125</x:v>
      </x:c>
      <x:c r="O1144" s="31" t="n">
        <x:v>46123</x:v>
      </x:c>
      <x:c r="P1144" s="31" t="n">
        <x:v>46126</x:v>
      </x:c>
      <x:c r="Q1144" s="31" t="inlineStr">
        <x:is>
          <x:t xml:space="preserve">Завершено</x:t>
        </x:is>
      </x:c>
      <x:c r="R1144" s="31" t="inlineStr">
        <x:is>
          <x:t xml:space="preserve">Нет</x:t>
        </x:is>
      </x:c>
      <x:c r="S1144" s="31" t="inlineStr">
        <x:is>
          <x:t xml:space="preserve">Нет</x:t>
        </x:is>
      </x:c>
    </x:row>
    <x:row r="1145">
      <x:c r="A1145" s="31" t="inlineStr">
        <x:is>
          <x:t xml:space="preserve">ОП-001144</x:t>
        </x:is>
      </x:c>
      <x:c r="B1145" s="31" t="inlineStr">
        <x:is>
          <x:t xml:space="preserve">ПЗ-00137</x:t>
        </x:is>
      </x:c>
      <x:c r="C1145" s="31" t="inlineStr">
        <x:is>
          <x:t xml:space="preserve">ЗК-1066</x:t>
        </x:is>
      </x:c>
      <x:c r="D1145" s="31" t="inlineStr">
        <x:is>
          <x:t xml:space="preserve">ПОЗ-0066-2</x:t>
        </x:is>
      </x:c>
      <x:c r="E1145" s="31" t="inlineStr">
        <x:is>
          <x:t xml:space="preserve">ИЗД-011</x:t>
        </x:is>
      </x:c>
      <x:c r="F1145" s="31" t="n">
        <x:v>30</x:v>
      </x:c>
      <x:c r="G1145" s="31" t="inlineStr">
        <x:is>
          <x:t xml:space="preserve">Сборка шкафа</x:t>
        </x:is>
      </x:c>
      <x:c r="H1145" s="31" t="inlineStr">
        <x:is>
          <x:t xml:space="preserve">Сборка</x:t>
        </x:is>
      </x:c>
      <x:c r="I1145" s="31" t="inlineStr">
        <x:is>
          <x:t xml:space="preserve">ОБ-012</x:t>
        </x:is>
      </x:c>
      <x:c r="J1145" s="31" t="inlineStr">
        <x:is>
          <x:t xml:space="preserve">СОТР-088</x:t>
        </x:is>
      </x:c>
      <x:c r="K1145" s="31" t="n">
        <x:v>44</x:v>
      </x:c>
      <x:c r="L1145" s="31" t="n">
        <x:v>51.1</x:v>
      </x:c>
      <x:c r="M1145" s="31" t="n">
        <x:v>46125</x:v>
      </x:c>
      <x:c r="N1145" s="31" t="n">
        <x:v>46129</x:v>
      </x:c>
      <x:c r="O1145" s="31" t="n">
        <x:v>46125</x:v>
      </x:c>
      <x:c r="P1145" s="31" t="n">
        <x:v>46131</x:v>
      </x:c>
      <x:c r="Q1145" s="31" t="inlineStr">
        <x:is>
          <x:t xml:space="preserve">Завершено</x:t>
        </x:is>
      </x:c>
      <x:c r="R1145" s="31" t="inlineStr">
        <x:is>
          <x:t xml:space="preserve">Нет</x:t>
        </x:is>
      </x:c>
      <x:c r="S1145" s="31" t="inlineStr">
        <x:is>
          <x:t xml:space="preserve">Нет</x:t>
        </x:is>
      </x:c>
    </x:row>
    <x:row r="1146">
      <x:c r="A1146" s="31" t="inlineStr">
        <x:is>
          <x:t xml:space="preserve">ОП-001145</x:t>
        </x:is>
      </x:c>
      <x:c r="B1146" s="31" t="inlineStr">
        <x:is>
          <x:t xml:space="preserve">ПЗ-00137</x:t>
        </x:is>
      </x:c>
      <x:c r="C1146" s="31" t="inlineStr">
        <x:is>
          <x:t xml:space="preserve">ЗК-1066</x:t>
        </x:is>
      </x:c>
      <x:c r="D1146" s="31" t="inlineStr">
        <x:is>
          <x:t xml:space="preserve">ПОЗ-0066-2</x:t>
        </x:is>
      </x:c>
      <x:c r="E1146" s="31" t="inlineStr">
        <x:is>
          <x:t xml:space="preserve">ИЗД-011</x:t>
        </x:is>
      </x:c>
      <x:c r="F1146" s="31" t="n">
        <x:v>40</x:v>
      </x:c>
      <x:c r="G1146" s="31" t="inlineStr">
        <x:is>
          <x:t xml:space="preserve">Маркировка</x:t>
        </x:is>
      </x:c>
      <x:c r="H1146" s="31" t="inlineStr">
        <x:is>
          <x:t xml:space="preserve">Сборка</x:t>
        </x:is>
      </x:c>
      <x:c r="I1146" s="31" t="inlineStr">
        <x:is>
          <x:t xml:space="preserve">ОБ-005</x:t>
        </x:is>
      </x:c>
      <x:c r="J1146" s="31" t="inlineStr">
        <x:is>
          <x:t xml:space="preserve">СОТР-087</x:t>
        </x:is>
      </x:c>
      <x:c r="K1146" s="31" t="n">
        <x:v>10.8</x:v>
      </x:c>
      <x:c r="L1146" s="31" t="n">
        <x:v>11.1</x:v>
      </x:c>
      <x:c r="M1146" s="31" t="n">
        <x:v>46129</x:v>
      </x:c>
      <x:c r="N1146" s="31" t="n">
        <x:v>46130</x:v>
      </x:c>
      <x:c r="O1146" s="31" t="n">
        <x:v>46129</x:v>
      </x:c>
      <x:c r="P1146" s="31" t="n">
        <x:v>46129</x:v>
      </x:c>
      <x:c r="Q1146" s="31" t="inlineStr">
        <x:is>
          <x:t xml:space="preserve">Завершено</x:t>
        </x:is>
      </x:c>
      <x:c r="R1146" s="31" t="inlineStr">
        <x:is>
          <x:t xml:space="preserve">Нет</x:t>
        </x:is>
      </x:c>
      <x:c r="S1146" s="31" t="inlineStr">
        <x:is>
          <x:t xml:space="preserve">Нет</x:t>
        </x:is>
      </x:c>
    </x:row>
    <x:row r="1147">
      <x:c r="A1147" s="31" t="inlineStr">
        <x:is>
          <x:t xml:space="preserve">ОП-001146</x:t>
        </x:is>
      </x:c>
      <x:c r="B1147" s="31" t="inlineStr">
        <x:is>
          <x:t xml:space="preserve">ПЗ-00137</x:t>
        </x:is>
      </x:c>
      <x:c r="C1147" s="31" t="inlineStr">
        <x:is>
          <x:t xml:space="preserve">ЗК-1066</x:t>
        </x:is>
      </x:c>
      <x:c r="D1147" s="31" t="inlineStr">
        <x:is>
          <x:t xml:space="preserve">ПОЗ-0066-2</x:t>
        </x:is>
      </x:c>
      <x:c r="E1147" s="31" t="inlineStr">
        <x:is>
          <x:t xml:space="preserve">ИЗД-011</x:t>
        </x:is>
      </x:c>
      <x:c r="F1147" s="31" t="n">
        <x:v>50</x:v>
      </x:c>
      <x:c r="G1147" s="31" t="inlineStr">
        <x:is>
          <x:t xml:space="preserve">Электромонтаж</x:t>
        </x:is>
      </x:c>
      <x:c r="H1147" s="31" t="inlineStr">
        <x:is>
          <x:t xml:space="preserve">Сборка</x:t>
        </x:is>
      </x:c>
      <x:c r="I1147" s="31" t="inlineStr">
        <x:is>
          <x:t xml:space="preserve">ОБ-017</x:t>
        </x:is>
      </x:c>
      <x:c r="J1147" s="31" t="inlineStr">
        <x:is>
          <x:t xml:space="preserve">СОТР-083</x:t>
        </x:is>
      </x:c>
      <x:c r="K1147" s="31" t="n">
        <x:v>9.199999999999999</x:v>
      </x:c>
      <x:c r="L1147" s="31" t="n">
        <x:v>10.5</x:v>
      </x:c>
      <x:c r="M1147" s="31" t="n">
        <x:v>46130</x:v>
      </x:c>
      <x:c r="N1147" s="31" t="n">
        <x:v>46131</x:v>
      </x:c>
      <x:c r="O1147" s="31" t="n">
        <x:v>46130</x:v>
      </x:c>
      <x:c r="P1147" s="31" t="n">
        <x:v>46131</x:v>
      </x:c>
      <x:c r="Q1147" s="31" t="inlineStr">
        <x:is>
          <x:t xml:space="preserve">Завершено</x:t>
        </x:is>
      </x:c>
      <x:c r="R1147" s="31" t="inlineStr">
        <x:is>
          <x:t xml:space="preserve">Нет</x:t>
        </x:is>
      </x:c>
      <x:c r="S1147" s="31" t="inlineStr">
        <x:is>
          <x:t xml:space="preserve">Нет</x:t>
        </x:is>
      </x:c>
    </x:row>
    <x:row r="1148">
      <x:c r="A1148" s="31" t="inlineStr">
        <x:is>
          <x:t xml:space="preserve">ОП-001147</x:t>
        </x:is>
      </x:c>
      <x:c r="B1148" s="31" t="inlineStr">
        <x:is>
          <x:t xml:space="preserve">ПЗ-00137</x:t>
        </x:is>
      </x:c>
      <x:c r="C1148" s="31" t="inlineStr">
        <x:is>
          <x:t xml:space="preserve">ЗК-1066</x:t>
        </x:is>
      </x:c>
      <x:c r="D1148" s="31" t="inlineStr">
        <x:is>
          <x:t xml:space="preserve">ПОЗ-0066-2</x:t>
        </x:is>
      </x:c>
      <x:c r="E1148" s="31" t="inlineStr">
        <x:is>
          <x:t xml:space="preserve">ИЗД-011</x:t>
        </x:is>
      </x:c>
      <x:c r="F1148" s="31" t="n">
        <x:v>60</x:v>
      </x:c>
      <x:c r="G1148" s="31" t="inlineStr">
        <x:is>
          <x:t xml:space="preserve">Программирование ПЛК</x:t>
        </x:is>
      </x:c>
      <x:c r="H1148" s="31" t="inlineStr">
        <x:is>
          <x:t xml:space="preserve">Инженерный отдел</x:t>
        </x:is>
      </x:c>
      <x:c r="I1148" s="31" t="n"/>
      <x:c r="J1148" s="31" t="inlineStr">
        <x:is>
          <x:t xml:space="preserve">СОТР-017</x:t>
        </x:is>
      </x:c>
      <x:c r="K1148" s="31" t="n">
        <x:v>5.2</x:v>
      </x:c>
      <x:c r="L1148" s="31" t="n">
        <x:v>5.1</x:v>
      </x:c>
      <x:c r="M1148" s="31" t="n">
        <x:v>46131</x:v>
      </x:c>
      <x:c r="N1148" s="31" t="n">
        <x:v>46132</x:v>
      </x:c>
      <x:c r="O1148" s="31" t="n">
        <x:v>46131</x:v>
      </x:c>
      <x:c r="P1148" s="31" t="n">
        <x:v>46134</x:v>
      </x:c>
      <x:c r="Q1148" s="31" t="inlineStr">
        <x:is>
          <x:t xml:space="preserve">Завершено</x:t>
        </x:is>
      </x:c>
      <x:c r="R1148" s="31" t="inlineStr">
        <x:is>
          <x:t xml:space="preserve">Нет</x:t>
        </x:is>
      </x:c>
      <x:c r="S1148" s="31" t="inlineStr">
        <x:is>
          <x:t xml:space="preserve">Нет</x:t>
        </x:is>
      </x:c>
    </x:row>
    <x:row r="1149">
      <x:c r="A1149" s="31" t="inlineStr">
        <x:is>
          <x:t xml:space="preserve">ОП-001148</x:t>
        </x:is>
      </x:c>
      <x:c r="B1149" s="31" t="inlineStr">
        <x:is>
          <x:t xml:space="preserve">ПЗ-00137</x:t>
        </x:is>
      </x:c>
      <x:c r="C1149" s="31" t="inlineStr">
        <x:is>
          <x:t xml:space="preserve">ЗК-1066</x:t>
        </x:is>
      </x:c>
      <x:c r="D1149" s="31" t="inlineStr">
        <x:is>
          <x:t xml:space="preserve">ПОЗ-0066-2</x:t>
        </x:is>
      </x:c>
      <x:c r="E1149" s="31" t="inlineStr">
        <x:is>
          <x:t xml:space="preserve">ИЗД-011</x:t>
        </x:is>
      </x:c>
      <x:c r="F1149" s="31" t="n">
        <x:v>70</x:v>
      </x:c>
      <x:c r="G1149" s="31" t="inlineStr">
        <x:is>
          <x:t xml:space="preserve">Приемочные испытания</x:t>
        </x:is>
      </x:c>
      <x:c r="H1149" s="31" t="inlineStr">
        <x:is>
          <x:t xml:space="preserve">ОТК</x:t>
        </x:is>
      </x:c>
      <x:c r="I1149" s="31" t="inlineStr">
        <x:is>
          <x:t xml:space="preserve">ОБ-015</x:t>
        </x:is>
      </x:c>
      <x:c r="J1149" s="31" t="inlineStr">
        <x:is>
          <x:t xml:space="preserve">СОТР-099</x:t>
        </x:is>
      </x:c>
      <x:c r="K1149" s="31" t="n">
        <x:v>46.4</x:v>
      </x:c>
      <x:c r="L1149" s="31" t="n">
        <x:v>62.6</x:v>
      </x:c>
      <x:c r="M1149" s="31" t="n">
        <x:v>46132</x:v>
      </x:c>
      <x:c r="N1149" s="31" t="n">
        <x:v>46136</x:v>
      </x:c>
      <x:c r="O1149" s="31" t="n">
        <x:v>46132</x:v>
      </x:c>
      <x:c r="P1149" s="31" t="n">
        <x:v>46135</x:v>
      </x:c>
      <x:c r="Q1149" s="31" t="inlineStr">
        <x:is>
          <x:t xml:space="preserve">Завершено</x:t>
        </x:is>
      </x:c>
      <x:c r="R1149" s="31" t="inlineStr">
        <x:is>
          <x:t xml:space="preserve">Материал</x:t>
        </x:is>
      </x:c>
      <x:c r="S1149" s="31" t="inlineStr">
        <x:is>
          <x:t xml:space="preserve">Нет</x:t>
        </x:is>
      </x:c>
    </x:row>
    <x:row r="1150">
      <x:c r="A1150" s="31" t="inlineStr">
        <x:is>
          <x:t xml:space="preserve">ОП-001149</x:t>
        </x:is>
      </x:c>
      <x:c r="B1150" s="31" t="inlineStr">
        <x:is>
          <x:t xml:space="preserve">ПЗ-00137</x:t>
        </x:is>
      </x:c>
      <x:c r="C1150" s="31" t="inlineStr">
        <x:is>
          <x:t xml:space="preserve">ЗК-1066</x:t>
        </x:is>
      </x:c>
      <x:c r="D1150" s="31" t="inlineStr">
        <x:is>
          <x:t xml:space="preserve">ПОЗ-0066-2</x:t>
        </x:is>
      </x:c>
      <x:c r="E1150" s="31" t="inlineStr">
        <x:is>
          <x:t xml:space="preserve">ИЗД-011</x:t>
        </x:is>
      </x:c>
      <x:c r="F1150" s="31" t="n">
        <x:v>80</x:v>
      </x:c>
      <x:c r="G1150" s="31" t="inlineStr">
        <x:is>
          <x:t xml:space="preserve">ОТК</x:t>
        </x:is>
      </x:c>
      <x:c r="H1150" s="31" t="inlineStr">
        <x:is>
          <x:t xml:space="preserve">ОТК</x:t>
        </x:is>
      </x:c>
      <x:c r="I1150" s="31" t="inlineStr">
        <x:is>
          <x:t xml:space="preserve">ОБ-015</x:t>
        </x:is>
      </x:c>
      <x:c r="J1150" s="31" t="inlineStr">
        <x:is>
          <x:t xml:space="preserve">СОТР-095</x:t>
        </x:is>
      </x:c>
      <x:c r="K1150" s="31" t="n">
        <x:v>43.2</x:v>
      </x:c>
      <x:c r="L1150" s="31" t="n">
        <x:v>41.7</x:v>
      </x:c>
      <x:c r="M1150" s="31" t="n">
        <x:v>46136</x:v>
      </x:c>
      <x:c r="N1150" s="31" t="n">
        <x:v>46140</x:v>
      </x:c>
      <x:c r="O1150" s="31" t="n">
        <x:v>46136</x:v>
      </x:c>
      <x:c r="P1150" s="31" t="n">
        <x:v>46140</x:v>
      </x:c>
      <x:c r="Q1150" s="31" t="inlineStr">
        <x:is>
          <x:t xml:space="preserve">Завершено</x:t>
        </x:is>
      </x:c>
      <x:c r="R1150" s="31" t="inlineStr">
        <x:is>
          <x:t xml:space="preserve">Нет</x:t>
        </x:is>
      </x:c>
      <x:c r="S1150" s="31" t="inlineStr">
        <x:is>
          <x:t xml:space="preserve">Да</x:t>
        </x:is>
      </x:c>
    </x:row>
    <x:row r="1151">
      <x:c r="A1151" s="31" t="inlineStr">
        <x:is>
          <x:t xml:space="preserve">ОП-001150</x:t>
        </x:is>
      </x:c>
      <x:c r="B1151" s="31" t="inlineStr">
        <x:is>
          <x:t xml:space="preserve">ПЗ-00137</x:t>
        </x:is>
      </x:c>
      <x:c r="C1151" s="31" t="inlineStr">
        <x:is>
          <x:t xml:space="preserve">ЗК-1066</x:t>
        </x:is>
      </x:c>
      <x:c r="D1151" s="31" t="inlineStr">
        <x:is>
          <x:t xml:space="preserve">ПОЗ-0066-2</x:t>
        </x:is>
      </x:c>
      <x:c r="E1151" s="31" t="inlineStr">
        <x:is>
          <x:t xml:space="preserve">ИЗД-011</x:t>
        </x:is>
      </x:c>
      <x:c r="F1151" s="31" t="n">
        <x:v>90</x:v>
      </x:c>
      <x:c r="G1151" s="31" t="inlineStr">
        <x:is>
          <x:t xml:space="preserve">Упаковка</x:t>
        </x:is>
      </x:c>
      <x:c r="H1151" s="31" t="inlineStr">
        <x:is>
          <x:t xml:space="preserve">Логистика</x:t>
        </x:is>
      </x:c>
      <x:c r="I1151" s="31" t="n"/>
      <x:c r="J1151" s="31" t="inlineStr">
        <x:is>
          <x:t xml:space="preserve">СОТР-102</x:t>
        </x:is>
      </x:c>
      <x:c r="K1151" s="31" t="n">
        <x:v>9.6</x:v>
      </x:c>
      <x:c r="L1151" s="31" t="n">
        <x:v>9.300000000000001</x:v>
      </x:c>
      <x:c r="M1151" s="31" t="n">
        <x:v>46140</x:v>
      </x:c>
      <x:c r="N1151" s="31" t="n">
        <x:v>46141</x:v>
      </x:c>
      <x:c r="O1151" s="31" t="n">
        <x:v>46140</x:v>
      </x:c>
      <x:c r="P1151" s="31" t="n">
        <x:v>46143</x:v>
      </x:c>
      <x:c r="Q1151" s="31" t="inlineStr">
        <x:is>
          <x:t xml:space="preserve">Завершено</x:t>
        </x:is>
      </x:c>
      <x:c r="R1151" s="31" t="inlineStr">
        <x:is>
          <x:t xml:space="preserve">Нет</x:t>
        </x:is>
      </x:c>
      <x:c r="S1151" s="31" t="inlineStr">
        <x:is>
          <x:t xml:space="preserve">Нет</x:t>
        </x:is>
      </x:c>
    </x:row>
    <x:row r="1152">
      <x:c r="A1152" s="31" t="inlineStr">
        <x:is>
          <x:t xml:space="preserve">ОП-001151</x:t>
        </x:is>
      </x:c>
      <x:c r="B1152" s="31" t="inlineStr">
        <x:is>
          <x:t xml:space="preserve">ПЗ-00138</x:t>
        </x:is>
      </x:c>
      <x:c r="C1152" s="31" t="inlineStr">
        <x:is>
          <x:t xml:space="preserve">ЗК-1066</x:t>
        </x:is>
      </x:c>
      <x:c r="D1152" s="31" t="inlineStr">
        <x:is>
          <x:t xml:space="preserve">ПОЗ-0066-3</x:t>
        </x:is>
      </x:c>
      <x:c r="E1152" s="31" t="inlineStr">
        <x:is>
          <x:t xml:space="preserve">ИЗД-021</x:t>
        </x:is>
      </x:c>
      <x:c r="F1152" s="31" t="n">
        <x:v>10</x:v>
      </x:c>
      <x:c r="G1152" s="31" t="inlineStr">
        <x:is>
          <x:t xml:space="preserve">КД</x:t>
        </x:is>
      </x:c>
      <x:c r="H1152" s="31" t="inlineStr">
        <x:is>
          <x:t xml:space="preserve">Инженерный отдел</x:t>
        </x:is>
      </x:c>
      <x:c r="I1152" s="31" t="n"/>
      <x:c r="J1152" s="31" t="inlineStr">
        <x:is>
          <x:t xml:space="preserve">СОТР-011</x:t>
        </x:is>
      </x:c>
      <x:c r="K1152" s="31" t="n">
        <x:v>10.8</x:v>
      </x:c>
      <x:c r="L1152" s="31" t="n">
        <x:v>13.8</x:v>
      </x:c>
      <x:c r="M1152" s="31" t="n">
        <x:v>46128</x:v>
      </x:c>
      <x:c r="N1152" s="31" t="n">
        <x:v>46129</x:v>
      </x:c>
      <x:c r="O1152" s="31" t="n">
        <x:v>46128</x:v>
      </x:c>
      <x:c r="P1152" s="31" t="n">
        <x:v>46130</x:v>
      </x:c>
      <x:c r="Q1152" s="31" t="inlineStr">
        <x:is>
          <x:t xml:space="preserve">Завершено</x:t>
        </x:is>
      </x:c>
      <x:c r="R1152" s="31" t="inlineStr">
        <x:is>
          <x:t xml:space="preserve">Нет</x:t>
        </x:is>
      </x:c>
      <x:c r="S1152" s="31" t="inlineStr">
        <x:is>
          <x:t xml:space="preserve">Нет</x:t>
        </x:is>
      </x:c>
    </x:row>
    <x:row r="1153">
      <x:c r="A1153" s="31" t="inlineStr">
        <x:is>
          <x:t xml:space="preserve">ОП-001152</x:t>
        </x:is>
      </x:c>
      <x:c r="B1153" s="31" t="inlineStr">
        <x:is>
          <x:t xml:space="preserve">ПЗ-00138</x:t>
        </x:is>
      </x:c>
      <x:c r="C1153" s="31" t="inlineStr">
        <x:is>
          <x:t xml:space="preserve">ЗК-1066</x:t>
        </x:is>
      </x:c>
      <x:c r="D1153" s="31" t="inlineStr">
        <x:is>
          <x:t xml:space="preserve">ПОЗ-0066-3</x:t>
        </x:is>
      </x:c>
      <x:c r="E1153" s="31" t="inlineStr">
        <x:is>
          <x:t xml:space="preserve">ИЗД-021</x:t>
        </x:is>
      </x:c>
      <x:c r="F1153" s="31" t="n">
        <x:v>20</x:v>
      </x:c>
      <x:c r="G1153" s="31" t="inlineStr">
        <x:is>
          <x:t xml:space="preserve">Резерв материалов</x:t>
        </x:is>
      </x:c>
      <x:c r="H1153" s="31" t="inlineStr">
        <x:is>
          <x:t xml:space="preserve">Склад</x:t>
        </x:is>
      </x:c>
      <x:c r="I1153" s="31" t="inlineStr">
        <x:is>
          <x:t xml:space="preserve">ОБ-023</x:t>
        </x:is>
      </x:c>
      <x:c r="J1153" s="31" t="inlineStr">
        <x:is>
          <x:t xml:space="preserve">СОТР-035</x:t>
        </x:is>
      </x:c>
      <x:c r="K1153" s="31" t="n">
        <x:v>53.1</x:v>
      </x:c>
      <x:c r="L1153" s="31" t="n">
        <x:v>67.09999999999999</x:v>
      </x:c>
      <x:c r="M1153" s="31" t="n">
        <x:v>46129</x:v>
      </x:c>
      <x:c r="N1153" s="31" t="n">
        <x:v>46134</x:v>
      </x:c>
      <x:c r="O1153" s="31" t="n">
        <x:v>46129</x:v>
      </x:c>
      <x:c r="P1153" s="31" t="n">
        <x:v>46136</x:v>
      </x:c>
      <x:c r="Q1153" s="31" t="inlineStr">
        <x:is>
          <x:t xml:space="preserve">Завершено</x:t>
        </x:is>
      </x:c>
      <x:c r="R1153" s="31" t="inlineStr">
        <x:is>
          <x:t xml:space="preserve">Нет</x:t>
        </x:is>
      </x:c>
      <x:c r="S1153" s="31" t="inlineStr">
        <x:is>
          <x:t xml:space="preserve">Нет</x:t>
        </x:is>
      </x:c>
    </x:row>
    <x:row r="1154">
      <x:c r="A1154" s="31" t="inlineStr">
        <x:is>
          <x:t xml:space="preserve">ОП-001153</x:t>
        </x:is>
      </x:c>
      <x:c r="B1154" s="31" t="inlineStr">
        <x:is>
          <x:t xml:space="preserve">ПЗ-00138</x:t>
        </x:is>
      </x:c>
      <x:c r="C1154" s="31" t="inlineStr">
        <x:is>
          <x:t xml:space="preserve">ЗК-1066</x:t>
        </x:is>
      </x:c>
      <x:c r="D1154" s="31" t="inlineStr">
        <x:is>
          <x:t xml:space="preserve">ПОЗ-0066-3</x:t>
        </x:is>
      </x:c>
      <x:c r="E1154" s="31" t="inlineStr">
        <x:is>
          <x:t xml:space="preserve">ИЗД-021</x:t>
        </x:is>
      </x:c>
      <x:c r="F1154" s="31" t="n">
        <x:v>30</x:v>
      </x:c>
      <x:c r="G1154" s="31" t="inlineStr">
        <x:is>
          <x:t xml:space="preserve">Сварка рамы</x:t>
        </x:is>
      </x:c>
      <x:c r="H1154" s="31" t="inlineStr">
        <x:is>
          <x:t xml:space="preserve">Сварка</x:t>
        </x:is>
      </x:c>
      <x:c r="I1154" s="31" t="inlineStr">
        <x:is>
          <x:t xml:space="preserve">ОБ-010</x:t>
        </x:is>
      </x:c>
      <x:c r="J1154" s="31" t="inlineStr">
        <x:is>
          <x:t xml:space="preserve">СОТР-056</x:t>
        </x:is>
      </x:c>
      <x:c r="K1154" s="31" t="n">
        <x:v>52.5</x:v>
      </x:c>
      <x:c r="L1154" s="31" t="n">
        <x:v>61.9</x:v>
      </x:c>
      <x:c r="M1154" s="31" t="n">
        <x:v>46134</x:v>
      </x:c>
      <x:c r="N1154" s="31" t="n">
        <x:v>46139</x:v>
      </x:c>
      <x:c r="O1154" s="31" t="n">
        <x:v>46134</x:v>
      </x:c>
      <x:c r="P1154" s="31" t="n">
        <x:v>46140</x:v>
      </x:c>
      <x:c r="Q1154" s="31" t="inlineStr">
        <x:is>
          <x:t xml:space="preserve">Завершено</x:t>
        </x:is>
      </x:c>
      <x:c r="R1154" s="31" t="inlineStr">
        <x:is>
          <x:t xml:space="preserve">Нет</x:t>
        </x:is>
      </x:c>
      <x:c r="S1154" s="31" t="inlineStr">
        <x:is>
          <x:t xml:space="preserve">Нет</x:t>
        </x:is>
      </x:c>
    </x:row>
    <x:row r="1155">
      <x:c r="A1155" s="31" t="inlineStr">
        <x:is>
          <x:t xml:space="preserve">ОП-001154</x:t>
        </x:is>
      </x:c>
      <x:c r="B1155" s="31" t="inlineStr">
        <x:is>
          <x:t xml:space="preserve">ПЗ-00138</x:t>
        </x:is>
      </x:c>
      <x:c r="C1155" s="31" t="inlineStr">
        <x:is>
          <x:t xml:space="preserve">ЗК-1066</x:t>
        </x:is>
      </x:c>
      <x:c r="D1155" s="31" t="inlineStr">
        <x:is>
          <x:t xml:space="preserve">ПОЗ-0066-3</x:t>
        </x:is>
      </x:c>
      <x:c r="E1155" s="31" t="inlineStr">
        <x:is>
          <x:t xml:space="preserve">ИЗД-021</x:t>
        </x:is>
      </x:c>
      <x:c r="F1155" s="31" t="n">
        <x:v>40</x:v>
      </x:c>
      <x:c r="G1155" s="31" t="inlineStr">
        <x:is>
          <x:t xml:space="preserve">Сборка</x:t>
        </x:is>
      </x:c>
      <x:c r="H1155" s="31" t="inlineStr">
        <x:is>
          <x:t xml:space="preserve">Сборка</x:t>
        </x:is>
      </x:c>
      <x:c r="I1155" s="31" t="inlineStr">
        <x:is>
          <x:t xml:space="preserve">ОБ-034</x:t>
        </x:is>
      </x:c>
      <x:c r="J1155" s="31" t="inlineStr">
        <x:is>
          <x:t xml:space="preserve">СОТР-081</x:t>
        </x:is>
      </x:c>
      <x:c r="K1155" s="31" t="n">
        <x:v>43.5</x:v>
      </x:c>
      <x:c r="L1155" s="31" t="n">
        <x:v>50.4</x:v>
      </x:c>
      <x:c r="M1155" s="31" t="n">
        <x:v>46139</x:v>
      </x:c>
      <x:c r="N1155" s="31" t="n">
        <x:v>46143</x:v>
      </x:c>
      <x:c r="O1155" s="31" t="n">
        <x:v>46139</x:v>
      </x:c>
      <x:c r="P1155" s="31" t="n">
        <x:v>46142</x:v>
      </x:c>
      <x:c r="Q1155" s="31" t="inlineStr">
        <x:is>
          <x:t xml:space="preserve">Завершено</x:t>
        </x:is>
      </x:c>
      <x:c r="R1155" s="31" t="inlineStr">
        <x:is>
          <x:t xml:space="preserve">Ожидание ОТК</x:t>
        </x:is>
      </x:c>
      <x:c r="S1155" s="31" t="inlineStr">
        <x:is>
          <x:t xml:space="preserve">Нет</x:t>
        </x:is>
      </x:c>
    </x:row>
    <x:row r="1156">
      <x:c r="A1156" s="31" t="inlineStr">
        <x:is>
          <x:t xml:space="preserve">ОП-001155</x:t>
        </x:is>
      </x:c>
      <x:c r="B1156" s="31" t="inlineStr">
        <x:is>
          <x:t xml:space="preserve">ПЗ-00138</x:t>
        </x:is>
      </x:c>
      <x:c r="C1156" s="31" t="inlineStr">
        <x:is>
          <x:t xml:space="preserve">ЗК-1066</x:t>
        </x:is>
      </x:c>
      <x:c r="D1156" s="31" t="inlineStr">
        <x:is>
          <x:t xml:space="preserve">ПОЗ-0066-3</x:t>
        </x:is>
      </x:c>
      <x:c r="E1156" s="31" t="inlineStr">
        <x:is>
          <x:t xml:space="preserve">ИЗД-021</x:t>
        </x:is>
      </x:c>
      <x:c r="F1156" s="31" t="n">
        <x:v>50</x:v>
      </x:c>
      <x:c r="G1156" s="31" t="inlineStr">
        <x:is>
          <x:t xml:space="preserve">Обвязка труб</x:t>
        </x:is>
      </x:c>
      <x:c r="H1156" s="31" t="inlineStr">
        <x:is>
          <x:t xml:space="preserve">Сборка</x:t>
        </x:is>
      </x:c>
      <x:c r="I1156" s="31" t="inlineStr">
        <x:is>
          <x:t xml:space="preserve">ОБ-005</x:t>
        </x:is>
      </x:c>
      <x:c r="J1156" s="31" t="inlineStr">
        <x:is>
          <x:t xml:space="preserve">СОТР-084</x:t>
        </x:is>
      </x:c>
      <x:c r="K1156" s="31" t="n">
        <x:v>45.3</x:v>
      </x:c>
      <x:c r="L1156" s="31" t="n">
        <x:v>48.7</x:v>
      </x:c>
      <x:c r="M1156" s="31" t="n">
        <x:v>46143</x:v>
      </x:c>
      <x:c r="N1156" s="31" t="n">
        <x:v>46147</x:v>
      </x:c>
      <x:c r="O1156" s="31" t="n">
        <x:v>46143</x:v>
      </x:c>
      <x:c r="P1156" s="31" t="n">
        <x:v>46147</x:v>
      </x:c>
      <x:c r="Q1156" s="31" t="inlineStr">
        <x:is>
          <x:t xml:space="preserve">Завершено</x:t>
        </x:is>
      </x:c>
      <x:c r="R1156" s="31" t="inlineStr">
        <x:is>
          <x:t xml:space="preserve">Нет</x:t>
        </x:is>
      </x:c>
      <x:c r="S1156" s="31" t="inlineStr">
        <x:is>
          <x:t xml:space="preserve">Да</x:t>
        </x:is>
      </x:c>
    </x:row>
    <x:row r="1157">
      <x:c r="A1157" s="31" t="inlineStr">
        <x:is>
          <x:t xml:space="preserve">ОП-001156</x:t>
        </x:is>
      </x:c>
      <x:c r="B1157" s="31" t="inlineStr">
        <x:is>
          <x:t xml:space="preserve">ПЗ-00138</x:t>
        </x:is>
      </x:c>
      <x:c r="C1157" s="31" t="inlineStr">
        <x:is>
          <x:t xml:space="preserve">ЗК-1066</x:t>
        </x:is>
      </x:c>
      <x:c r="D1157" s="31" t="inlineStr">
        <x:is>
          <x:t xml:space="preserve">ПОЗ-0066-3</x:t>
        </x:is>
      </x:c>
      <x:c r="E1157" s="31" t="inlineStr">
        <x:is>
          <x:t xml:space="preserve">ИЗД-021</x:t>
        </x:is>
      </x:c>
      <x:c r="F1157" s="31" t="n">
        <x:v>60</x:v>
      </x:c>
      <x:c r="G1157" s="31" t="inlineStr">
        <x:is>
          <x:t xml:space="preserve">Электромонтаж</x:t>
        </x:is>
      </x:c>
      <x:c r="H1157" s="31" t="inlineStr">
        <x:is>
          <x:t xml:space="preserve">Сборка</x:t>
        </x:is>
      </x:c>
      <x:c r="I1157" s="31" t="inlineStr">
        <x:is>
          <x:t xml:space="preserve">ОБ-012</x:t>
        </x:is>
      </x:c>
      <x:c r="J1157" s="31" t="inlineStr">
        <x:is>
          <x:t xml:space="preserve">СОТР-090</x:t>
        </x:is>
      </x:c>
      <x:c r="K1157" s="31" t="n">
        <x:v>40.5</x:v>
      </x:c>
      <x:c r="L1157" s="31" t="n">
        <x:v>36.3</x:v>
      </x:c>
      <x:c r="M1157" s="31" t="n">
        <x:v>46147</x:v>
      </x:c>
      <x:c r="N1157" s="31" t="n">
        <x:v>46151</x:v>
      </x:c>
      <x:c r="O1157" s="31" t="n">
        <x:v>46147</x:v>
      </x:c>
      <x:c r="P1157" s="31" t="n">
        <x:v>46152</x:v>
      </x:c>
      <x:c r="Q1157" s="31" t="inlineStr">
        <x:is>
          <x:t xml:space="preserve">Завершено</x:t>
        </x:is>
      </x:c>
      <x:c r="R1157" s="31" t="inlineStr">
        <x:is>
          <x:t xml:space="preserve">Нет</x:t>
        </x:is>
      </x:c>
      <x:c r="S1157" s="31" t="inlineStr">
        <x:is>
          <x:t xml:space="preserve">Нет</x:t>
        </x:is>
      </x:c>
    </x:row>
    <x:row r="1158">
      <x:c r="A1158" s="31" t="inlineStr">
        <x:is>
          <x:t xml:space="preserve">ОП-001157</x:t>
        </x:is>
      </x:c>
      <x:c r="B1158" s="31" t="inlineStr">
        <x:is>
          <x:t xml:space="preserve">ПЗ-00138</x:t>
        </x:is>
      </x:c>
      <x:c r="C1158" s="31" t="inlineStr">
        <x:is>
          <x:t xml:space="preserve">ЗК-1066</x:t>
        </x:is>
      </x:c>
      <x:c r="D1158" s="31" t="inlineStr">
        <x:is>
          <x:t xml:space="preserve">ПОЗ-0066-3</x:t>
        </x:is>
      </x:c>
      <x:c r="E1158" s="31" t="inlineStr">
        <x:is>
          <x:t xml:space="preserve">ИЗД-021</x:t>
        </x:is>
      </x:c>
      <x:c r="F1158" s="31" t="n">
        <x:v>70</x:v>
      </x:c>
      <x:c r="G1158" s="31" t="inlineStr">
        <x:is>
          <x:t xml:space="preserve">Гидроиспытания</x:t>
        </x:is>
      </x:c>
      <x:c r="H1158" s="31" t="inlineStr">
        <x:is>
          <x:t xml:space="preserve">ОТК</x:t>
        </x:is>
      </x:c>
      <x:c r="I1158" s="31" t="inlineStr">
        <x:is>
          <x:t xml:space="preserve">ОБ-032</x:t>
        </x:is>
      </x:c>
      <x:c r="J1158" s="31" t="inlineStr">
        <x:is>
          <x:t xml:space="preserve">СОТР-097</x:t>
        </x:is>
      </x:c>
      <x:c r="K1158" s="31" t="n">
        <x:v>25.2</x:v>
      </x:c>
      <x:c r="L1158" s="31" t="n">
        <x:v>31.7</x:v>
      </x:c>
      <x:c r="M1158" s="31" t="n">
        <x:v>46151</x:v>
      </x:c>
      <x:c r="N1158" s="31" t="n">
        <x:v>46154</x:v>
      </x:c>
      <x:c r="O1158" s="31" t="n">
        <x:v>46151</x:v>
      </x:c>
      <x:c r="P1158" s="31" t="n">
        <x:v>46153</x:v>
      </x:c>
      <x:c r="Q1158" s="31" t="inlineStr">
        <x:is>
          <x:t xml:space="preserve">Завершено</x:t>
        </x:is>
      </x:c>
      <x:c r="R1158" s="31" t="inlineStr">
        <x:is>
          <x:t xml:space="preserve">Нет</x:t>
        </x:is>
      </x:c>
      <x:c r="S1158" s="31" t="inlineStr">
        <x:is>
          <x:t xml:space="preserve">Нет</x:t>
        </x:is>
      </x:c>
    </x:row>
    <x:row r="1159">
      <x:c r="A1159" s="31" t="inlineStr">
        <x:is>
          <x:t xml:space="preserve">ОП-001158</x:t>
        </x:is>
      </x:c>
      <x:c r="B1159" s="31" t="inlineStr">
        <x:is>
          <x:t xml:space="preserve">ПЗ-00138</x:t>
        </x:is>
      </x:c>
      <x:c r="C1159" s="31" t="inlineStr">
        <x:is>
          <x:t xml:space="preserve">ЗК-1066</x:t>
        </x:is>
      </x:c>
      <x:c r="D1159" s="31" t="inlineStr">
        <x:is>
          <x:t xml:space="preserve">ПОЗ-0066-3</x:t>
        </x:is>
      </x:c>
      <x:c r="E1159" s="31" t="inlineStr">
        <x:is>
          <x:t xml:space="preserve">ИЗД-021</x:t>
        </x:is>
      </x:c>
      <x:c r="F1159" s="31" t="n">
        <x:v>80</x:v>
      </x:c>
      <x:c r="G1159" s="31" t="inlineStr">
        <x:is>
          <x:t xml:space="preserve">ОТК</x:t>
        </x:is>
      </x:c>
      <x:c r="H1159" s="31" t="inlineStr">
        <x:is>
          <x:t xml:space="preserve">ОТК</x:t>
        </x:is>
      </x:c>
      <x:c r="I1159" s="31" t="inlineStr">
        <x:is>
          <x:t xml:space="preserve">ОБ-033</x:t>
        </x:is>
      </x:c>
      <x:c r="J1159" s="31" t="inlineStr">
        <x:is>
          <x:t xml:space="preserve">СОТР-092</x:t>
        </x:is>
      </x:c>
      <x:c r="K1159" s="31" t="n">
        <x:v>7.2</x:v>
      </x:c>
      <x:c r="L1159" s="31" t="n"/>
      <x:c r="M1159" s="31" t="n">
        <x:v>46154</x:v>
      </x:c>
      <x:c r="N1159" s="31" t="n">
        <x:v>46155</x:v>
      </x:c>
      <x:c r="O1159" s="31" t="n"/>
      <x:c r="P1159" s="31" t="n"/>
      <x:c r="Q1159" s="31" t="inlineStr">
        <x:is>
          <x:t xml:space="preserve">Запланировано</x:t>
        </x:is>
      </x:c>
      <x:c r="R1159" s="31" t="inlineStr">
        <x:is>
          <x:t xml:space="preserve">Нет</x:t>
        </x:is>
      </x:c>
      <x:c r="S1159" s="31" t="inlineStr">
        <x:is>
          <x:t xml:space="preserve">Нет</x:t>
        </x:is>
      </x:c>
    </x:row>
    <x:row r="1160">
      <x:c r="A1160" s="31" t="inlineStr">
        <x:is>
          <x:t xml:space="preserve">ОП-001159</x:t>
        </x:is>
      </x:c>
      <x:c r="B1160" s="31" t="inlineStr">
        <x:is>
          <x:t xml:space="preserve">ПЗ-00138</x:t>
        </x:is>
      </x:c>
      <x:c r="C1160" s="31" t="inlineStr">
        <x:is>
          <x:t xml:space="preserve">ЗК-1066</x:t>
        </x:is>
      </x:c>
      <x:c r="D1160" s="31" t="inlineStr">
        <x:is>
          <x:t xml:space="preserve">ПОЗ-0066-3</x:t>
        </x:is>
      </x:c>
      <x:c r="E1160" s="31" t="inlineStr">
        <x:is>
          <x:t xml:space="preserve">ИЗД-021</x:t>
        </x:is>
      </x:c>
      <x:c r="F1160" s="31" t="n">
        <x:v>90</x:v>
      </x:c>
      <x:c r="G1160" s="31" t="inlineStr">
        <x:is>
          <x:t xml:space="preserve">Упаковка</x:t>
        </x:is>
      </x:c>
      <x:c r="H1160" s="31" t="inlineStr">
        <x:is>
          <x:t xml:space="preserve">Логистика</x:t>
        </x:is>
      </x:c>
      <x:c r="I1160" s="31" t="n"/>
      <x:c r="J1160" s="31" t="inlineStr">
        <x:is>
          <x:t xml:space="preserve">СОТР-105</x:t>
        </x:is>
      </x:c>
      <x:c r="K1160" s="31" t="n">
        <x:v>51.6</x:v>
      </x:c>
      <x:c r="L1160" s="31" t="n"/>
      <x:c r="M1160" s="31" t="n">
        <x:v>46155</x:v>
      </x:c>
      <x:c r="N1160" s="31" t="n">
        <x:v>46160</x:v>
      </x:c>
      <x:c r="O1160" s="31" t="n"/>
      <x:c r="P1160" s="31" t="n"/>
      <x:c r="Q1160" s="31" t="inlineStr">
        <x:is>
          <x:t xml:space="preserve">Запланировано</x:t>
        </x:is>
      </x:c>
      <x:c r="R1160" s="31" t="inlineStr">
        <x:is>
          <x:t xml:space="preserve">Нет</x:t>
        </x:is>
      </x:c>
      <x:c r="S1160" s="31" t="inlineStr">
        <x:is>
          <x:t xml:space="preserve">Нет</x:t>
        </x:is>
      </x:c>
    </x:row>
    <x:row r="1161">
      <x:c r="A1161" s="31" t="inlineStr">
        <x:is>
          <x:t xml:space="preserve">ОП-001160</x:t>
        </x:is>
      </x:c>
      <x:c r="B1161" s="31" t="inlineStr">
        <x:is>
          <x:t xml:space="preserve">ПЗ-00139</x:t>
        </x:is>
      </x:c>
      <x:c r="C1161" s="31" t="inlineStr">
        <x:is>
          <x:t xml:space="preserve">ЗК-1066</x:t>
        </x:is>
      </x:c>
      <x:c r="D1161" s="31" t="inlineStr">
        <x:is>
          <x:t xml:space="preserve">ПОЗ-0066-4</x:t>
        </x:is>
      </x:c>
      <x:c r="E1161" s="31" t="inlineStr">
        <x:is>
          <x:t xml:space="preserve">ИЗД-009</x:t>
        </x:is>
      </x:c>
      <x:c r="F1161" s="31" t="n">
        <x:v>10</x:v>
      </x:c>
      <x:c r="G1161" s="31" t="inlineStr">
        <x:is>
          <x:t xml:space="preserve">КД</x:t>
        </x:is>
      </x:c>
      <x:c r="H1161" s="31" t="inlineStr">
        <x:is>
          <x:t xml:space="preserve">Инженерный отдел</x:t>
        </x:is>
      </x:c>
      <x:c r="I1161" s="31" t="n"/>
      <x:c r="J1161" s="31" t="inlineStr">
        <x:is>
          <x:t xml:space="preserve">СОТР-017</x:t>
        </x:is>
      </x:c>
      <x:c r="K1161" s="31" t="n">
        <x:v>36.4</x:v>
      </x:c>
      <x:c r="L1161" s="31" t="n">
        <x:v>42.7</x:v>
      </x:c>
      <x:c r="M1161" s="31" t="n">
        <x:v>46127</x:v>
      </x:c>
      <x:c r="N1161" s="31" t="n">
        <x:v>46131</x:v>
      </x:c>
      <x:c r="O1161" s="31" t="n">
        <x:v>46127</x:v>
      </x:c>
      <x:c r="P1161" s="31" t="n">
        <x:v>46131</x:v>
      </x:c>
      <x:c r="Q1161" s="31" t="inlineStr">
        <x:is>
          <x:t xml:space="preserve">Завершено</x:t>
        </x:is>
      </x:c>
      <x:c r="R1161" s="31" t="inlineStr">
        <x:is>
          <x:t xml:space="preserve">Нет</x:t>
        </x:is>
      </x:c>
      <x:c r="S1161" s="31" t="inlineStr">
        <x:is>
          <x:t xml:space="preserve">Нет</x:t>
        </x:is>
      </x:c>
    </x:row>
    <x:row r="1162">
      <x:c r="A1162" s="31" t="inlineStr">
        <x:is>
          <x:t xml:space="preserve">ОП-001161</x:t>
        </x:is>
      </x:c>
      <x:c r="B1162" s="31" t="inlineStr">
        <x:is>
          <x:t xml:space="preserve">ПЗ-00139</x:t>
        </x:is>
      </x:c>
      <x:c r="C1162" s="31" t="inlineStr">
        <x:is>
          <x:t xml:space="preserve">ЗК-1066</x:t>
        </x:is>
      </x:c>
      <x:c r="D1162" s="31" t="inlineStr">
        <x:is>
          <x:t xml:space="preserve">ПОЗ-0066-4</x:t>
        </x:is>
      </x:c>
      <x:c r="E1162" s="31" t="inlineStr">
        <x:is>
          <x:t xml:space="preserve">ИЗД-009</x:t>
        </x:is>
      </x:c>
      <x:c r="F1162" s="31" t="n">
        <x:v>20</x:v>
      </x:c>
      <x:c r="G1162" s="31" t="inlineStr">
        <x:is>
          <x:t xml:space="preserve">Резка труб</x:t>
        </x:is>
      </x:c>
      <x:c r="H1162" s="31" t="inlineStr">
        <x:is>
          <x:t xml:space="preserve">Сварка</x:t>
        </x:is>
      </x:c>
      <x:c r="I1162" s="31" t="inlineStr">
        <x:is>
          <x:t xml:space="preserve">ОБ-021</x:t>
        </x:is>
      </x:c>
      <x:c r="J1162" s="31" t="inlineStr">
        <x:is>
          <x:t xml:space="preserve">СОТР-065</x:t>
        </x:is>
      </x:c>
      <x:c r="K1162" s="31" t="n">
        <x:v>26.6</x:v>
      </x:c>
      <x:c r="L1162" s="31" t="n">
        <x:v>26.7</x:v>
      </x:c>
      <x:c r="M1162" s="31" t="n">
        <x:v>46131</x:v>
      </x:c>
      <x:c r="N1162" s="31" t="n">
        <x:v>46134</x:v>
      </x:c>
      <x:c r="O1162" s="31" t="n">
        <x:v>46131</x:v>
      </x:c>
      <x:c r="P1162" s="31" t="n">
        <x:v>46133</x:v>
      </x:c>
      <x:c r="Q1162" s="31" t="inlineStr">
        <x:is>
          <x:t xml:space="preserve">Завершено</x:t>
        </x:is>
      </x:c>
      <x:c r="R1162" s="31" t="inlineStr">
        <x:is>
          <x:t xml:space="preserve">Нет</x:t>
        </x:is>
      </x:c>
      <x:c r="S1162" s="31" t="inlineStr">
        <x:is>
          <x:t xml:space="preserve">Нет</x:t>
        </x:is>
      </x:c>
    </x:row>
    <x:row r="1163">
      <x:c r="A1163" s="31" t="inlineStr">
        <x:is>
          <x:t xml:space="preserve">ОП-001162</x:t>
        </x:is>
      </x:c>
      <x:c r="B1163" s="31" t="inlineStr">
        <x:is>
          <x:t xml:space="preserve">ПЗ-00139</x:t>
        </x:is>
      </x:c>
      <x:c r="C1163" s="31" t="inlineStr">
        <x:is>
          <x:t xml:space="preserve">ЗК-1066</x:t>
        </x:is>
      </x:c>
      <x:c r="D1163" s="31" t="inlineStr">
        <x:is>
          <x:t xml:space="preserve">ПОЗ-0066-4</x:t>
        </x:is>
      </x:c>
      <x:c r="E1163" s="31" t="inlineStr">
        <x:is>
          <x:t xml:space="preserve">ИЗД-009</x:t>
        </x:is>
      </x:c>
      <x:c r="F1163" s="31" t="n">
        <x:v>30</x:v>
      </x:c>
      <x:c r="G1163" s="31" t="inlineStr">
        <x:is>
          <x:t xml:space="preserve">Сварка</x:t>
        </x:is>
      </x:c>
      <x:c r="H1163" s="31" t="inlineStr">
        <x:is>
          <x:t xml:space="preserve">Сварка</x:t>
        </x:is>
      </x:c>
      <x:c r="I1163" s="31" t="inlineStr">
        <x:is>
          <x:t xml:space="preserve">ОБ-026</x:t>
        </x:is>
      </x:c>
      <x:c r="J1163" s="31" t="inlineStr">
        <x:is>
          <x:t xml:space="preserve">СОТР-065</x:t>
        </x:is>
      </x:c>
      <x:c r="K1163" s="31" t="n">
        <x:v>33.8</x:v>
      </x:c>
      <x:c r="L1163" s="31" t="n">
        <x:v>42.2</x:v>
      </x:c>
      <x:c r="M1163" s="31" t="n">
        <x:v>46134</x:v>
      </x:c>
      <x:c r="N1163" s="31" t="n">
        <x:v>46137</x:v>
      </x:c>
      <x:c r="O1163" s="31" t="n">
        <x:v>46134</x:v>
      </x:c>
      <x:c r="P1163" s="31" t="n">
        <x:v>46138</x:v>
      </x:c>
      <x:c r="Q1163" s="31" t="inlineStr">
        <x:is>
          <x:t xml:space="preserve">Завершено</x:t>
        </x:is>
      </x:c>
      <x:c r="R1163" s="31" t="inlineStr">
        <x:is>
          <x:t xml:space="preserve">Нет</x:t>
        </x:is>
      </x:c>
      <x:c r="S1163" s="31" t="inlineStr">
        <x:is>
          <x:t xml:space="preserve">Нет</x:t>
        </x:is>
      </x:c>
    </x:row>
    <x:row r="1164">
      <x:c r="A1164" s="31" t="inlineStr">
        <x:is>
          <x:t xml:space="preserve">ОП-001163</x:t>
        </x:is>
      </x:c>
      <x:c r="B1164" s="31" t="inlineStr">
        <x:is>
          <x:t xml:space="preserve">ПЗ-00139</x:t>
        </x:is>
      </x:c>
      <x:c r="C1164" s="31" t="inlineStr">
        <x:is>
          <x:t xml:space="preserve">ЗК-1066</x:t>
        </x:is>
      </x:c>
      <x:c r="D1164" s="31" t="inlineStr">
        <x:is>
          <x:t xml:space="preserve">ПОЗ-0066-4</x:t>
        </x:is>
      </x:c>
      <x:c r="E1164" s="31" t="inlineStr">
        <x:is>
          <x:t xml:space="preserve">ИЗД-009</x:t>
        </x:is>
      </x:c>
      <x:c r="F1164" s="31" t="n">
        <x:v>40</x:v>
      </x:c>
      <x:c r="G1164" s="31" t="inlineStr">
        <x:is>
          <x:t xml:space="preserve">НК сварных швов</x:t>
        </x:is>
      </x:c>
      <x:c r="H1164" s="31" t="inlineStr">
        <x:is>
          <x:t xml:space="preserve">ОТК</x:t>
        </x:is>
      </x:c>
      <x:c r="I1164" s="31" t="inlineStr">
        <x:is>
          <x:t xml:space="preserve">ОБ-006</x:t>
        </x:is>
      </x:c>
      <x:c r="J1164" s="31" t="inlineStr">
        <x:is>
          <x:t xml:space="preserve">СОТР-063</x:t>
        </x:is>
      </x:c>
      <x:c r="K1164" s="31" t="n">
        <x:v>37.6</x:v>
      </x:c>
      <x:c r="L1164" s="31" t="n">
        <x:v>39.4</x:v>
      </x:c>
      <x:c r="M1164" s="31" t="n">
        <x:v>46137</x:v>
      </x:c>
      <x:c r="N1164" s="31" t="n">
        <x:v>46141</x:v>
      </x:c>
      <x:c r="O1164" s="31" t="n">
        <x:v>46137</x:v>
      </x:c>
      <x:c r="P1164" s="31" t="n">
        <x:v>46141</x:v>
      </x:c>
      <x:c r="Q1164" s="31" t="inlineStr">
        <x:is>
          <x:t xml:space="preserve">Завершено</x:t>
        </x:is>
      </x:c>
      <x:c r="R1164" s="31" t="inlineStr">
        <x:is>
          <x:t xml:space="preserve">Оборудование</x:t>
        </x:is>
      </x:c>
      <x:c r="S1164" s="31" t="inlineStr">
        <x:is>
          <x:t xml:space="preserve">Нет</x:t>
        </x:is>
      </x:c>
    </x:row>
    <x:row r="1165">
      <x:c r="A1165" s="31" t="inlineStr">
        <x:is>
          <x:t xml:space="preserve">ОП-001164</x:t>
        </x:is>
      </x:c>
      <x:c r="B1165" s="31" t="inlineStr">
        <x:is>
          <x:t xml:space="preserve">ПЗ-00139</x:t>
        </x:is>
      </x:c>
      <x:c r="C1165" s="31" t="inlineStr">
        <x:is>
          <x:t xml:space="preserve">ЗК-1066</x:t>
        </x:is>
      </x:c>
      <x:c r="D1165" s="31" t="inlineStr">
        <x:is>
          <x:t xml:space="preserve">ПОЗ-0066-4</x:t>
        </x:is>
      </x:c>
      <x:c r="E1165" s="31" t="inlineStr">
        <x:is>
          <x:t xml:space="preserve">ИЗД-009</x:t>
        </x:is>
      </x:c>
      <x:c r="F1165" s="31" t="n">
        <x:v>50</x:v>
      </x:c>
      <x:c r="G1165" s="31" t="inlineStr">
        <x:is>
          <x:t xml:space="preserve">Гидроиспытания</x:t>
        </x:is>
      </x:c>
      <x:c r="H1165" s="31" t="inlineStr">
        <x:is>
          <x:t xml:space="preserve">ОТК</x:t>
        </x:is>
      </x:c>
      <x:c r="I1165" s="31" t="inlineStr">
        <x:is>
          <x:t xml:space="preserve">ОБ-006</x:t>
        </x:is>
      </x:c>
      <x:c r="J1165" s="31" t="inlineStr">
        <x:is>
          <x:t xml:space="preserve">СОТР-092</x:t>
        </x:is>
      </x:c>
      <x:c r="K1165" s="31" t="n">
        <x:v>24.2</x:v>
      </x:c>
      <x:c r="L1165" s="31" t="n">
        <x:v>29.7</x:v>
      </x:c>
      <x:c r="M1165" s="31" t="n">
        <x:v>46141</x:v>
      </x:c>
      <x:c r="N1165" s="31" t="n">
        <x:v>46144</x:v>
      </x:c>
      <x:c r="O1165" s="31" t="n">
        <x:v>46141</x:v>
      </x:c>
      <x:c r="P1165" s="31" t="n">
        <x:v>46143</x:v>
      </x:c>
      <x:c r="Q1165" s="31" t="inlineStr">
        <x:is>
          <x:t xml:space="preserve">Завершено</x:t>
        </x:is>
      </x:c>
      <x:c r="R1165" s="31" t="inlineStr">
        <x:is>
          <x:t xml:space="preserve">Нет</x:t>
        </x:is>
      </x:c>
      <x:c r="S1165" s="31" t="inlineStr">
        <x:is>
          <x:t xml:space="preserve">Нет</x:t>
        </x:is>
      </x:c>
    </x:row>
    <x:row r="1166">
      <x:c r="A1166" s="31" t="inlineStr">
        <x:is>
          <x:t xml:space="preserve">ОП-001165</x:t>
        </x:is>
      </x:c>
      <x:c r="B1166" s="31" t="inlineStr">
        <x:is>
          <x:t xml:space="preserve">ПЗ-00139</x:t>
        </x:is>
      </x:c>
      <x:c r="C1166" s="31" t="inlineStr">
        <x:is>
          <x:t xml:space="preserve">ЗК-1066</x:t>
        </x:is>
      </x:c>
      <x:c r="D1166" s="31" t="inlineStr">
        <x:is>
          <x:t xml:space="preserve">ПОЗ-0066-4</x:t>
        </x:is>
      </x:c>
      <x:c r="E1166" s="31" t="inlineStr">
        <x:is>
          <x:t xml:space="preserve">ИЗД-009</x:t>
        </x:is>
      </x:c>
      <x:c r="F1166" s="31" t="n">
        <x:v>60</x:v>
      </x:c>
      <x:c r="G1166" s="31" t="inlineStr">
        <x:is>
          <x:t xml:space="preserve">Покраска</x:t>
        </x:is>
      </x:c>
      <x:c r="H1166" s="31" t="inlineStr">
        <x:is>
          <x:t xml:space="preserve">Сварка</x:t>
        </x:is>
      </x:c>
      <x:c r="I1166" s="31" t="inlineStr">
        <x:is>
          <x:t xml:space="preserve">ОБ-003</x:t>
        </x:is>
      </x:c>
      <x:c r="J1166" s="31" t="inlineStr">
        <x:is>
          <x:t xml:space="preserve">СОТР-071</x:t>
        </x:is>
      </x:c>
      <x:c r="K1166" s="31" t="n">
        <x:v>19.4</x:v>
      </x:c>
      <x:c r="L1166" s="31" t="n"/>
      <x:c r="M1166" s="31" t="n">
        <x:v>46144</x:v>
      </x:c>
      <x:c r="N1166" s="31" t="n">
        <x:v>46146</x:v>
      </x:c>
      <x:c r="O1166" s="31" t="n"/>
      <x:c r="P1166" s="31" t="n"/>
      <x:c r="Q1166" s="31" t="inlineStr">
        <x:is>
          <x:t xml:space="preserve">Запланировано</x:t>
        </x:is>
      </x:c>
      <x:c r="R1166" s="31" t="inlineStr">
        <x:is>
          <x:t xml:space="preserve">Материал</x:t>
        </x:is>
      </x:c>
      <x:c r="S1166" s="31" t="inlineStr">
        <x:is>
          <x:t xml:space="preserve">Нет</x:t>
        </x:is>
      </x:c>
    </x:row>
    <x:row r="1167">
      <x:c r="A1167" s="31" t="inlineStr">
        <x:is>
          <x:t xml:space="preserve">ОП-001166</x:t>
        </x:is>
      </x:c>
      <x:c r="B1167" s="31" t="inlineStr">
        <x:is>
          <x:t xml:space="preserve">ПЗ-00139</x:t>
        </x:is>
      </x:c>
      <x:c r="C1167" s="31" t="inlineStr">
        <x:is>
          <x:t xml:space="preserve">ЗК-1066</x:t>
        </x:is>
      </x:c>
      <x:c r="D1167" s="31" t="inlineStr">
        <x:is>
          <x:t xml:space="preserve">ПОЗ-0066-4</x:t>
        </x:is>
      </x:c>
      <x:c r="E1167" s="31" t="inlineStr">
        <x:is>
          <x:t xml:space="preserve">ИЗД-009</x:t>
        </x:is>
      </x:c>
      <x:c r="F1167" s="31" t="n">
        <x:v>70</x:v>
      </x:c>
      <x:c r="G1167" s="31" t="inlineStr">
        <x:is>
          <x:t xml:space="preserve">ОТК</x:t>
        </x:is>
      </x:c>
      <x:c r="H1167" s="31" t="inlineStr">
        <x:is>
          <x:t xml:space="preserve">ОТК</x:t>
        </x:is>
      </x:c>
      <x:c r="I1167" s="31" t="inlineStr">
        <x:is>
          <x:t xml:space="preserve">ОБ-028</x:t>
        </x:is>
      </x:c>
      <x:c r="J1167" s="31" t="inlineStr">
        <x:is>
          <x:t xml:space="preserve">СОТР-095</x:t>
        </x:is>
      </x:c>
      <x:c r="K1167" s="31" t="n">
        <x:v>14</x:v>
      </x:c>
      <x:c r="L1167" s="31" t="n"/>
      <x:c r="M1167" s="31" t="n">
        <x:v>46146</x:v>
      </x:c>
      <x:c r="N1167" s="31" t="n">
        <x:v>46148</x:v>
      </x:c>
      <x:c r="O1167" s="31" t="n">
        <x:v>46146</x:v>
      </x:c>
      <x:c r="P1167" s="31" t="n"/>
      <x:c r="Q1167" s="31" t="inlineStr">
        <x:is>
          <x:t xml:space="preserve">В работе</x:t>
        </x:is>
      </x:c>
      <x:c r="R1167" s="31" t="inlineStr">
        <x:is>
          <x:t xml:space="preserve">Нет</x:t>
        </x:is>
      </x:c>
      <x:c r="S1167" s="31" t="inlineStr">
        <x:is>
          <x:t xml:space="preserve">Нет</x:t>
        </x:is>
      </x:c>
    </x:row>
    <x:row r="1168">
      <x:c r="A1168" s="31" t="inlineStr">
        <x:is>
          <x:t xml:space="preserve">ОП-001167</x:t>
        </x:is>
      </x:c>
      <x:c r="B1168" s="31" t="inlineStr">
        <x:is>
          <x:t xml:space="preserve">ПЗ-00140</x:t>
        </x:is>
      </x:c>
      <x:c r="C1168" s="31" t="inlineStr">
        <x:is>
          <x:t xml:space="preserve">ЗК-1067</x:t>
        </x:is>
      </x:c>
      <x:c r="D1168" s="31" t="inlineStr">
        <x:is>
          <x:t xml:space="preserve">ПОЗ-0067-1</x:t>
        </x:is>
      </x:c>
      <x:c r="E1168" s="31" t="inlineStr">
        <x:is>
          <x:t xml:space="preserve">ИЗД-012</x:t>
        </x:is>
      </x:c>
      <x:c r="F1168" s="31" t="n">
        <x:v>10</x:v>
      </x:c>
      <x:c r="G1168" s="31" t="inlineStr">
        <x:is>
          <x:t xml:space="preserve">КД</x:t>
        </x:is>
      </x:c>
      <x:c r="H1168" s="31" t="inlineStr">
        <x:is>
          <x:t xml:space="preserve">Инженерный отдел</x:t>
        </x:is>
      </x:c>
      <x:c r="I1168" s="31" t="n"/>
      <x:c r="J1168" s="31" t="inlineStr">
        <x:is>
          <x:t xml:space="preserve">СОТР-014</x:t>
        </x:is>
      </x:c>
      <x:c r="K1168" s="31" t="n">
        <x:v>22</x:v>
      </x:c>
      <x:c r="L1168" s="31" t="n">
        <x:v>23.4</x:v>
      </x:c>
      <x:c r="M1168" s="31" t="n">
        <x:v>46158</x:v>
      </x:c>
      <x:c r="N1168" s="31" t="n">
        <x:v>46160</x:v>
      </x:c>
      <x:c r="O1168" s="31" t="n">
        <x:v>46158</x:v>
      </x:c>
      <x:c r="P1168" s="31" t="n">
        <x:v>46162</x:v>
      </x:c>
      <x:c r="Q1168" s="31" t="inlineStr">
        <x:is>
          <x:t xml:space="preserve">Завершено</x:t>
        </x:is>
      </x:c>
      <x:c r="R1168" s="31" t="inlineStr">
        <x:is>
          <x:t xml:space="preserve">Нет</x:t>
        </x:is>
      </x:c>
      <x:c r="S1168" s="31" t="inlineStr">
        <x:is>
          <x:t xml:space="preserve">Нет</x:t>
        </x:is>
      </x:c>
    </x:row>
    <x:row r="1169">
      <x:c r="A1169" s="31" t="inlineStr">
        <x:is>
          <x:t xml:space="preserve">ОП-001168</x:t>
        </x:is>
      </x:c>
      <x:c r="B1169" s="31" t="inlineStr">
        <x:is>
          <x:t xml:space="preserve">ПЗ-00140</x:t>
        </x:is>
      </x:c>
      <x:c r="C1169" s="31" t="inlineStr">
        <x:is>
          <x:t xml:space="preserve">ЗК-1067</x:t>
        </x:is>
      </x:c>
      <x:c r="D1169" s="31" t="inlineStr">
        <x:is>
          <x:t xml:space="preserve">ПОЗ-0067-1</x:t>
        </x:is>
      </x:c>
      <x:c r="E1169" s="31" t="inlineStr">
        <x:is>
          <x:t xml:space="preserve">ИЗД-012</x:t>
        </x:is>
      </x:c>
      <x:c r="F1169" s="31" t="n">
        <x:v>20</x:v>
      </x:c>
      <x:c r="G1169" s="31" t="inlineStr">
        <x:is>
          <x:t xml:space="preserve">Резка труб</x:t>
        </x:is>
      </x:c>
      <x:c r="H1169" s="31" t="inlineStr">
        <x:is>
          <x:t xml:space="preserve">Сварка</x:t>
        </x:is>
      </x:c>
      <x:c r="I1169" s="31" t="inlineStr">
        <x:is>
          <x:t xml:space="preserve">ОБ-018</x:t>
        </x:is>
      </x:c>
      <x:c r="J1169" s="31" t="inlineStr">
        <x:is>
          <x:t xml:space="preserve">СОТР-062</x:t>
        </x:is>
      </x:c>
      <x:c r="K1169" s="31" t="n">
        <x:v>21.2</x:v>
      </x:c>
      <x:c r="L1169" s="31" t="n">
        <x:v>25.1</x:v>
      </x:c>
      <x:c r="M1169" s="31" t="n">
        <x:v>46160</x:v>
      </x:c>
      <x:c r="N1169" s="31" t="n">
        <x:v>46162</x:v>
      </x:c>
      <x:c r="O1169" s="31" t="n">
        <x:v>46160</x:v>
      </x:c>
      <x:c r="P1169" s="31" t="n">
        <x:v>46164</x:v>
      </x:c>
      <x:c r="Q1169" s="31" t="inlineStr">
        <x:is>
          <x:t xml:space="preserve">Завершено</x:t>
        </x:is>
      </x:c>
      <x:c r="R1169" s="31" t="inlineStr">
        <x:is>
          <x:t xml:space="preserve">Материал</x:t>
        </x:is>
      </x:c>
      <x:c r="S1169" s="31" t="inlineStr">
        <x:is>
          <x:t xml:space="preserve">Нет</x:t>
        </x:is>
      </x:c>
    </x:row>
    <x:row r="1170">
      <x:c r="A1170" s="31" t="inlineStr">
        <x:is>
          <x:t xml:space="preserve">ОП-001169</x:t>
        </x:is>
      </x:c>
      <x:c r="B1170" s="31" t="inlineStr">
        <x:is>
          <x:t xml:space="preserve">ПЗ-00140</x:t>
        </x:is>
      </x:c>
      <x:c r="C1170" s="31" t="inlineStr">
        <x:is>
          <x:t xml:space="preserve">ЗК-1067</x:t>
        </x:is>
      </x:c>
      <x:c r="D1170" s="31" t="inlineStr">
        <x:is>
          <x:t xml:space="preserve">ПОЗ-0067-1</x:t>
        </x:is>
      </x:c>
      <x:c r="E1170" s="31" t="inlineStr">
        <x:is>
          <x:t xml:space="preserve">ИЗД-012</x:t>
        </x:is>
      </x:c>
      <x:c r="F1170" s="31" t="n">
        <x:v>30</x:v>
      </x:c>
      <x:c r="G1170" s="31" t="inlineStr">
        <x:is>
          <x:t xml:space="preserve">Сварка</x:t>
        </x:is>
      </x:c>
      <x:c r="H1170" s="31" t="inlineStr">
        <x:is>
          <x:t xml:space="preserve">Сварка</x:t>
        </x:is>
      </x:c>
      <x:c r="I1170" s="31" t="inlineStr">
        <x:is>
          <x:t xml:space="preserve">ОБ-035</x:t>
        </x:is>
      </x:c>
      <x:c r="J1170" s="31" t="inlineStr">
        <x:is>
          <x:t xml:space="preserve">СОТР-058</x:t>
        </x:is>
      </x:c>
      <x:c r="K1170" s="31" t="n">
        <x:v>24</x:v>
      </x:c>
      <x:c r="L1170" s="31" t="n"/>
      <x:c r="M1170" s="31" t="n">
        <x:v>46162</x:v>
      </x:c>
      <x:c r="N1170" s="31" t="n">
        <x:v>46164</x:v>
      </x:c>
      <x:c r="O1170" s="31" t="n"/>
      <x:c r="P1170" s="31" t="n"/>
      <x:c r="Q1170" s="31" t="inlineStr">
        <x:is>
          <x:t xml:space="preserve">Запланировано</x:t>
        </x:is>
      </x:c>
      <x:c r="R1170" s="31" t="inlineStr">
        <x:is>
          <x:t xml:space="preserve">Нет</x:t>
        </x:is>
      </x:c>
      <x:c r="S1170" s="31" t="inlineStr">
        <x:is>
          <x:t xml:space="preserve">Нет</x:t>
        </x:is>
      </x:c>
    </x:row>
    <x:row r="1171">
      <x:c r="A1171" s="31" t="inlineStr">
        <x:is>
          <x:t xml:space="preserve">ОП-001170</x:t>
        </x:is>
      </x:c>
      <x:c r="B1171" s="31" t="inlineStr">
        <x:is>
          <x:t xml:space="preserve">ПЗ-00140</x:t>
        </x:is>
      </x:c>
      <x:c r="C1171" s="31" t="inlineStr">
        <x:is>
          <x:t xml:space="preserve">ЗК-1067</x:t>
        </x:is>
      </x:c>
      <x:c r="D1171" s="31" t="inlineStr">
        <x:is>
          <x:t xml:space="preserve">ПОЗ-0067-1</x:t>
        </x:is>
      </x:c>
      <x:c r="E1171" s="31" t="inlineStr">
        <x:is>
          <x:t xml:space="preserve">ИЗД-012</x:t>
        </x:is>
      </x:c>
      <x:c r="F1171" s="31" t="n">
        <x:v>40</x:v>
      </x:c>
      <x:c r="G1171" s="31" t="inlineStr">
        <x:is>
          <x:t xml:space="preserve">НК сварных швов</x:t>
        </x:is>
      </x:c>
      <x:c r="H1171" s="31" t="inlineStr">
        <x:is>
          <x:t xml:space="preserve">ОТК</x:t>
        </x:is>
      </x:c>
      <x:c r="I1171" s="31" t="inlineStr">
        <x:is>
          <x:t xml:space="preserve">ОБ-022</x:t>
        </x:is>
      </x:c>
      <x:c r="J1171" s="31" t="inlineStr">
        <x:is>
          <x:t xml:space="preserve">СОТР-099</x:t>
        </x:is>
      </x:c>
      <x:c r="K1171" s="31" t="n">
        <x:v>17.2</x:v>
      </x:c>
      <x:c r="L1171" s="31" t="n">
        <x:v>21.1</x:v>
      </x:c>
      <x:c r="M1171" s="31" t="n">
        <x:v>46164</x:v>
      </x:c>
      <x:c r="N1171" s="31" t="n">
        <x:v>46166</x:v>
      </x:c>
      <x:c r="O1171" s="31" t="n">
        <x:v>46164</x:v>
      </x:c>
      <x:c r="P1171" s="31" t="n">
        <x:v>46167</x:v>
      </x:c>
      <x:c r="Q1171" s="31" t="inlineStr">
        <x:is>
          <x:t xml:space="preserve">Завершено</x:t>
        </x:is>
      </x:c>
      <x:c r="R1171" s="31" t="inlineStr">
        <x:is>
          <x:t xml:space="preserve">Нет</x:t>
        </x:is>
      </x:c>
      <x:c r="S1171" s="31" t="inlineStr">
        <x:is>
          <x:t xml:space="preserve">Нет</x:t>
        </x:is>
      </x:c>
    </x:row>
    <x:row r="1172">
      <x:c r="A1172" s="31" t="inlineStr">
        <x:is>
          <x:t xml:space="preserve">ОП-001171</x:t>
        </x:is>
      </x:c>
      <x:c r="B1172" s="31" t="inlineStr">
        <x:is>
          <x:t xml:space="preserve">ПЗ-00140</x:t>
        </x:is>
      </x:c>
      <x:c r="C1172" s="31" t="inlineStr">
        <x:is>
          <x:t xml:space="preserve">ЗК-1067</x:t>
        </x:is>
      </x:c>
      <x:c r="D1172" s="31" t="inlineStr">
        <x:is>
          <x:t xml:space="preserve">ПОЗ-0067-1</x:t>
        </x:is>
      </x:c>
      <x:c r="E1172" s="31" t="inlineStr">
        <x:is>
          <x:t xml:space="preserve">ИЗД-012</x:t>
        </x:is>
      </x:c>
      <x:c r="F1172" s="31" t="n">
        <x:v>50</x:v>
      </x:c>
      <x:c r="G1172" s="31" t="inlineStr">
        <x:is>
          <x:t xml:space="preserve">Гидроиспытания</x:t>
        </x:is>
      </x:c>
      <x:c r="H1172" s="31" t="inlineStr">
        <x:is>
          <x:t xml:space="preserve">ОТК</x:t>
        </x:is>
      </x:c>
      <x:c r="I1172" s="31" t="inlineStr">
        <x:is>
          <x:t xml:space="preserve">ОБ-007</x:t>
        </x:is>
      </x:c>
      <x:c r="J1172" s="31" t="inlineStr">
        <x:is>
          <x:t xml:space="preserve">СОТР-100</x:t>
        </x:is>
      </x:c>
      <x:c r="K1172" s="31" t="n">
        <x:v>17.2</x:v>
      </x:c>
      <x:c r="L1172" s="31" t="n"/>
      <x:c r="M1172" s="31" t="n">
        <x:v>46166</x:v>
      </x:c>
      <x:c r="N1172" s="31" t="n">
        <x:v>46168</x:v>
      </x:c>
      <x:c r="O1172" s="31" t="n"/>
      <x:c r="P1172" s="31" t="n"/>
      <x:c r="Q1172" s="31" t="inlineStr">
        <x:is>
          <x:t xml:space="preserve">Запланировано</x:t>
        </x:is>
      </x:c>
      <x:c r="R1172" s="31" t="inlineStr">
        <x:is>
          <x:t xml:space="preserve">Нет</x:t>
        </x:is>
      </x:c>
      <x:c r="S1172" s="31" t="inlineStr">
        <x:is>
          <x:t xml:space="preserve">Нет</x:t>
        </x:is>
      </x:c>
    </x:row>
    <x:row r="1173">
      <x:c r="A1173" s="31" t="inlineStr">
        <x:is>
          <x:t xml:space="preserve">ОП-001172</x:t>
        </x:is>
      </x:c>
      <x:c r="B1173" s="31" t="inlineStr">
        <x:is>
          <x:t xml:space="preserve">ПЗ-00140</x:t>
        </x:is>
      </x:c>
      <x:c r="C1173" s="31" t="inlineStr">
        <x:is>
          <x:t xml:space="preserve">ЗК-1067</x:t>
        </x:is>
      </x:c>
      <x:c r="D1173" s="31" t="inlineStr">
        <x:is>
          <x:t xml:space="preserve">ПОЗ-0067-1</x:t>
        </x:is>
      </x:c>
      <x:c r="E1173" s="31" t="inlineStr">
        <x:is>
          <x:t xml:space="preserve">ИЗД-012</x:t>
        </x:is>
      </x:c>
      <x:c r="F1173" s="31" t="n">
        <x:v>60</x:v>
      </x:c>
      <x:c r="G1173" s="31" t="inlineStr">
        <x:is>
          <x:t xml:space="preserve">Покраска</x:t>
        </x:is>
      </x:c>
      <x:c r="H1173" s="31" t="inlineStr">
        <x:is>
          <x:t xml:space="preserve">Сварка</x:t>
        </x:is>
      </x:c>
      <x:c r="I1173" s="31" t="inlineStr">
        <x:is>
          <x:t xml:space="preserve">ОБ-003</x:t>
        </x:is>
      </x:c>
      <x:c r="J1173" s="31" t="inlineStr">
        <x:is>
          <x:t xml:space="preserve">СОТР-065</x:t>
        </x:is>
      </x:c>
      <x:c r="K1173" s="31" t="n">
        <x:v>26.4</x:v>
      </x:c>
      <x:c r="L1173" s="31" t="n"/>
      <x:c r="M1173" s="31" t="n">
        <x:v>46168</x:v>
      </x:c>
      <x:c r="N1173" s="31" t="n">
        <x:v>46171</x:v>
      </x:c>
      <x:c r="O1173" s="31" t="n"/>
      <x:c r="P1173" s="31" t="n"/>
      <x:c r="Q1173" s="31" t="inlineStr">
        <x:is>
          <x:t xml:space="preserve">Запланировано</x:t>
        </x:is>
      </x:c>
      <x:c r="R1173" s="31" t="inlineStr">
        <x:is>
          <x:t xml:space="preserve">Нет</x:t>
        </x:is>
      </x:c>
      <x:c r="S1173" s="31" t="inlineStr">
        <x:is>
          <x:t xml:space="preserve">Нет</x:t>
        </x:is>
      </x:c>
    </x:row>
    <x:row r="1174">
      <x:c r="A1174" s="31" t="inlineStr">
        <x:is>
          <x:t xml:space="preserve">ОП-001173</x:t>
        </x:is>
      </x:c>
      <x:c r="B1174" s="31" t="inlineStr">
        <x:is>
          <x:t xml:space="preserve">ПЗ-00140</x:t>
        </x:is>
      </x:c>
      <x:c r="C1174" s="31" t="inlineStr">
        <x:is>
          <x:t xml:space="preserve">ЗК-1067</x:t>
        </x:is>
      </x:c>
      <x:c r="D1174" s="31" t="inlineStr">
        <x:is>
          <x:t xml:space="preserve">ПОЗ-0067-1</x:t>
        </x:is>
      </x:c>
      <x:c r="E1174" s="31" t="inlineStr">
        <x:is>
          <x:t xml:space="preserve">ИЗД-012</x:t>
        </x:is>
      </x:c>
      <x:c r="F1174" s="31" t="n">
        <x:v>70</x:v>
      </x:c>
      <x:c r="G1174" s="31" t="inlineStr">
        <x:is>
          <x:t xml:space="preserve">ОТК</x:t>
        </x:is>
      </x:c>
      <x:c r="H1174" s="31" t="inlineStr">
        <x:is>
          <x:t xml:space="preserve">ОТК</x:t>
        </x:is>
      </x:c>
      <x:c r="I1174" s="31" t="inlineStr">
        <x:is>
          <x:t xml:space="preserve">ОБ-013</x:t>
        </x:is>
      </x:c>
      <x:c r="J1174" s="31" t="inlineStr">
        <x:is>
          <x:t xml:space="preserve">СОТР-063</x:t>
        </x:is>
      </x:c>
      <x:c r="K1174" s="31" t="n">
        <x:v>9.6</x:v>
      </x:c>
      <x:c r="L1174" s="31" t="n"/>
      <x:c r="M1174" s="31" t="n">
        <x:v>46171</x:v>
      </x:c>
      <x:c r="N1174" s="31" t="n">
        <x:v>46172</x:v>
      </x:c>
      <x:c r="O1174" s="31" t="n">
        <x:v>46171</x:v>
      </x:c>
      <x:c r="P1174" s="31" t="n"/>
      <x:c r="Q1174" s="31" t="inlineStr">
        <x:is>
          <x:t xml:space="preserve">В работе</x:t>
        </x:is>
      </x:c>
      <x:c r="R1174" s="31" t="inlineStr">
        <x:is>
          <x:t xml:space="preserve">Нет</x:t>
        </x:is>
      </x:c>
      <x:c r="S1174" s="31" t="inlineStr">
        <x:is>
          <x:t xml:space="preserve">Нет</x:t>
        </x:is>
      </x:c>
    </x:row>
    <x:row r="1175">
      <x:c r="A1175" s="31" t="inlineStr">
        <x:is>
          <x:t xml:space="preserve">ОП-001174</x:t>
        </x:is>
      </x:c>
      <x:c r="B1175" s="31" t="inlineStr">
        <x:is>
          <x:t xml:space="preserve">ПЗ-00141</x:t>
        </x:is>
      </x:c>
      <x:c r="C1175" s="31" t="inlineStr">
        <x:is>
          <x:t xml:space="preserve">ЗК-1067</x:t>
        </x:is>
      </x:c>
      <x:c r="D1175" s="31" t="inlineStr">
        <x:is>
          <x:t xml:space="preserve">ПОЗ-0067-2</x:t>
        </x:is>
      </x:c>
      <x:c r="E1175" s="31" t="inlineStr">
        <x:is>
          <x:t xml:space="preserve">ИЗД-019</x:t>
        </x:is>
      </x:c>
      <x:c r="F1175" s="31" t="n">
        <x:v>10</x:v>
      </x:c>
      <x:c r="G1175" s="31" t="inlineStr">
        <x:is>
          <x:t xml:space="preserve">КД</x:t>
        </x:is>
      </x:c>
      <x:c r="H1175" s="31" t="inlineStr">
        <x:is>
          <x:t xml:space="preserve">Инженерный отдел</x:t>
        </x:is>
      </x:c>
      <x:c r="I1175" s="31" t="n"/>
      <x:c r="J1175" s="31" t="inlineStr">
        <x:is>
          <x:t xml:space="preserve">СОТР-011</x:t>
        </x:is>
      </x:c>
      <x:c r="K1175" s="31" t="n">
        <x:v>16.8</x:v>
      </x:c>
      <x:c r="L1175" s="31" t="n">
        <x:v>14.7</x:v>
      </x:c>
      <x:c r="M1175" s="31" t="n">
        <x:v>46158</x:v>
      </x:c>
      <x:c r="N1175" s="31" t="n">
        <x:v>46160</x:v>
      </x:c>
      <x:c r="O1175" s="31" t="n">
        <x:v>46158</x:v>
      </x:c>
      <x:c r="P1175" s="31" t="n">
        <x:v>46160</x:v>
      </x:c>
      <x:c r="Q1175" s="31" t="inlineStr">
        <x:is>
          <x:t xml:space="preserve">Завершено</x:t>
        </x:is>
      </x:c>
      <x:c r="R1175" s="31" t="inlineStr">
        <x:is>
          <x:t xml:space="preserve">Нет</x:t>
        </x:is>
      </x:c>
      <x:c r="S1175" s="31" t="inlineStr">
        <x:is>
          <x:t xml:space="preserve">Нет</x:t>
        </x:is>
      </x:c>
    </x:row>
    <x:row r="1176">
      <x:c r="A1176" s="31" t="inlineStr">
        <x:is>
          <x:t xml:space="preserve">ОП-001175</x:t>
        </x:is>
      </x:c>
      <x:c r="B1176" s="31" t="inlineStr">
        <x:is>
          <x:t xml:space="preserve">ПЗ-00141</x:t>
        </x:is>
      </x:c>
      <x:c r="C1176" s="31" t="inlineStr">
        <x:is>
          <x:t xml:space="preserve">ЗК-1067</x:t>
        </x:is>
      </x:c>
      <x:c r="D1176" s="31" t="inlineStr">
        <x:is>
          <x:t xml:space="preserve">ПОЗ-0067-2</x:t>
        </x:is>
      </x:c>
      <x:c r="E1176" s="31" t="inlineStr">
        <x:is>
          <x:t xml:space="preserve">ИЗД-019</x:t>
        </x:is>
      </x:c>
      <x:c r="F1176" s="31" t="n">
        <x:v>20</x:v>
      </x:c>
      <x:c r="G1176" s="31" t="inlineStr">
        <x:is>
          <x:t xml:space="preserve">Резерв материалов</x:t>
        </x:is>
      </x:c>
      <x:c r="H1176" s="31" t="inlineStr">
        <x:is>
          <x:t xml:space="preserve">Склад</x:t>
        </x:is>
      </x:c>
      <x:c r="I1176" s="31" t="inlineStr">
        <x:is>
          <x:t xml:space="preserve">ОБ-009</x:t>
        </x:is>
      </x:c>
      <x:c r="J1176" s="31" t="inlineStr">
        <x:is>
          <x:t xml:space="preserve">СОТР-038</x:t>
        </x:is>
      </x:c>
      <x:c r="K1176" s="31" t="n">
        <x:v>10</x:v>
      </x:c>
      <x:c r="L1176" s="31" t="n">
        <x:v>11</x:v>
      </x:c>
      <x:c r="M1176" s="31" t="n">
        <x:v>46160</x:v>
      </x:c>
      <x:c r="N1176" s="31" t="n">
        <x:v>46161</x:v>
      </x:c>
      <x:c r="O1176" s="31" t="n">
        <x:v>46160</x:v>
      </x:c>
      <x:c r="P1176" s="31" t="n">
        <x:v>46160</x:v>
      </x:c>
      <x:c r="Q1176" s="31" t="inlineStr">
        <x:is>
          <x:t xml:space="preserve">Завершено</x:t>
        </x:is>
      </x:c>
      <x:c r="R1176" s="31" t="inlineStr">
        <x:is>
          <x:t xml:space="preserve">Нет</x:t>
        </x:is>
      </x:c>
      <x:c r="S1176" s="31" t="inlineStr">
        <x:is>
          <x:t xml:space="preserve">Нет</x:t>
        </x:is>
      </x:c>
    </x:row>
    <x:row r="1177">
      <x:c r="A1177" s="31" t="inlineStr">
        <x:is>
          <x:t xml:space="preserve">ОП-001176</x:t>
        </x:is>
      </x:c>
      <x:c r="B1177" s="31" t="inlineStr">
        <x:is>
          <x:t xml:space="preserve">ПЗ-00141</x:t>
        </x:is>
      </x:c>
      <x:c r="C1177" s="31" t="inlineStr">
        <x:is>
          <x:t xml:space="preserve">ЗК-1067</x:t>
        </x:is>
      </x:c>
      <x:c r="D1177" s="31" t="inlineStr">
        <x:is>
          <x:t xml:space="preserve">ПОЗ-0067-2</x:t>
        </x:is>
      </x:c>
      <x:c r="E1177" s="31" t="inlineStr">
        <x:is>
          <x:t xml:space="preserve">ИЗД-019</x:t>
        </x:is>
      </x:c>
      <x:c r="F1177" s="31" t="n">
        <x:v>30</x:v>
      </x:c>
      <x:c r="G1177" s="31" t="inlineStr">
        <x:is>
          <x:t xml:space="preserve">Резка металла</x:t>
        </x:is>
      </x:c>
      <x:c r="H1177" s="31" t="inlineStr">
        <x:is>
          <x:t xml:space="preserve">Сварка</x:t>
        </x:is>
      </x:c>
      <x:c r="I1177" s="31" t="inlineStr">
        <x:is>
          <x:t xml:space="preserve">ОБ-004</x:t>
        </x:is>
      </x:c>
      <x:c r="J1177" s="31" t="inlineStr">
        <x:is>
          <x:t xml:space="preserve">СОТР-062</x:t>
        </x:is>
      </x:c>
      <x:c r="K1177" s="31" t="n">
        <x:v>5.8</x:v>
      </x:c>
      <x:c r="L1177" s="31" t="n"/>
      <x:c r="M1177" s="31" t="n">
        <x:v>46161</x:v>
      </x:c>
      <x:c r="N1177" s="31" t="n">
        <x:v>46162</x:v>
      </x:c>
      <x:c r="O1177" s="31" t="n"/>
      <x:c r="P1177" s="31" t="n"/>
      <x:c r="Q1177" s="31" t="inlineStr">
        <x:is>
          <x:t xml:space="preserve">Запланировано</x:t>
        </x:is>
      </x:c>
      <x:c r="R1177" s="31" t="inlineStr">
        <x:is>
          <x:t xml:space="preserve">Нет</x:t>
        </x:is>
      </x:c>
      <x:c r="S1177" s="31" t="inlineStr">
        <x:is>
          <x:t xml:space="preserve">Нет</x:t>
        </x:is>
      </x:c>
    </x:row>
    <x:row r="1178">
      <x:c r="A1178" s="31" t="inlineStr">
        <x:is>
          <x:t xml:space="preserve">ОП-001177</x:t>
        </x:is>
      </x:c>
      <x:c r="B1178" s="31" t="inlineStr">
        <x:is>
          <x:t xml:space="preserve">ПЗ-00141</x:t>
        </x:is>
      </x:c>
      <x:c r="C1178" s="31" t="inlineStr">
        <x:is>
          <x:t xml:space="preserve">ЗК-1067</x:t>
        </x:is>
      </x:c>
      <x:c r="D1178" s="31" t="inlineStr">
        <x:is>
          <x:t xml:space="preserve">ПОЗ-0067-2</x:t>
        </x:is>
      </x:c>
      <x:c r="E1178" s="31" t="inlineStr">
        <x:is>
          <x:t xml:space="preserve">ИЗД-019</x:t>
        </x:is>
      </x:c>
      <x:c r="F1178" s="31" t="n">
        <x:v>40</x:v>
      </x:c>
      <x:c r="G1178" s="31" t="inlineStr">
        <x:is>
          <x:t xml:space="preserve">Сварка рамы</x:t>
        </x:is>
      </x:c>
      <x:c r="H1178" s="31" t="inlineStr">
        <x:is>
          <x:t xml:space="preserve">Сварка</x:t>
        </x:is>
      </x:c>
      <x:c r="I1178" s="31" t="inlineStr">
        <x:is>
          <x:t xml:space="preserve">ОБ-003</x:t>
        </x:is>
      </x:c>
      <x:c r="J1178" s="31" t="inlineStr">
        <x:is>
          <x:t xml:space="preserve">СОТР-069</x:t>
        </x:is>
      </x:c>
      <x:c r="K1178" s="31" t="n">
        <x:v>6.4</x:v>
      </x:c>
      <x:c r="L1178" s="31" t="n"/>
      <x:c r="M1178" s="31" t="n">
        <x:v>46162</x:v>
      </x:c>
      <x:c r="N1178" s="31" t="n">
        <x:v>46163</x:v>
      </x:c>
      <x:c r="O1178" s="31" t="n"/>
      <x:c r="P1178" s="31" t="n"/>
      <x:c r="Q1178" s="31" t="inlineStr">
        <x:is>
          <x:t xml:space="preserve">Запланировано</x:t>
        </x:is>
      </x:c>
      <x:c r="R1178" s="31" t="inlineStr">
        <x:is>
          <x:t xml:space="preserve">Нет</x:t>
        </x:is>
      </x:c>
      <x:c r="S1178" s="31" t="inlineStr">
        <x:is>
          <x:t xml:space="preserve">Нет</x:t>
        </x:is>
      </x:c>
    </x:row>
    <x:row r="1179">
      <x:c r="A1179" s="31" t="inlineStr">
        <x:is>
          <x:t xml:space="preserve">ОП-001178</x:t>
        </x:is>
      </x:c>
      <x:c r="B1179" s="31" t="inlineStr">
        <x:is>
          <x:t xml:space="preserve">ПЗ-00141</x:t>
        </x:is>
      </x:c>
      <x:c r="C1179" s="31" t="inlineStr">
        <x:is>
          <x:t xml:space="preserve">ЗК-1067</x:t>
        </x:is>
      </x:c>
      <x:c r="D1179" s="31" t="inlineStr">
        <x:is>
          <x:t xml:space="preserve">ПОЗ-0067-2</x:t>
        </x:is>
      </x:c>
      <x:c r="E1179" s="31" t="inlineStr">
        <x:is>
          <x:t xml:space="preserve">ИЗД-019</x:t>
        </x:is>
      </x:c>
      <x:c r="F1179" s="31" t="n">
        <x:v>50</x:v>
      </x:c>
      <x:c r="G1179" s="31" t="inlineStr">
        <x:is>
          <x:t xml:space="preserve">Механообработка</x:t>
        </x:is>
      </x:c>
      <x:c r="H1179" s="31" t="inlineStr">
        <x:is>
          <x:t xml:space="preserve">Механообработка</x:t>
        </x:is>
      </x:c>
      <x:c r="I1179" s="31" t="inlineStr">
        <x:is>
          <x:t xml:space="preserve">ОБ-031</x:t>
        </x:is>
      </x:c>
      <x:c r="J1179" s="31" t="inlineStr">
        <x:is>
          <x:t xml:space="preserve">СОТР-031</x:t>
        </x:is>
      </x:c>
      <x:c r="K1179" s="31" t="n">
        <x:v>7.4</x:v>
      </x:c>
      <x:c r="L1179" s="31" t="n">
        <x:v>6.7</x:v>
      </x:c>
      <x:c r="M1179" s="31" t="n">
        <x:v>46163</x:v>
      </x:c>
      <x:c r="N1179" s="31" t="n">
        <x:v>46164</x:v>
      </x:c>
      <x:c r="O1179" s="31" t="n">
        <x:v>46163</x:v>
      </x:c>
      <x:c r="P1179" s="31" t="n">
        <x:v>46166</x:v>
      </x:c>
      <x:c r="Q1179" s="31" t="inlineStr">
        <x:is>
          <x:t xml:space="preserve">Завершено</x:t>
        </x:is>
      </x:c>
      <x:c r="R1179" s="31" t="inlineStr">
        <x:is>
          <x:t xml:space="preserve">Нет</x:t>
        </x:is>
      </x:c>
      <x:c r="S1179" s="31" t="inlineStr">
        <x:is>
          <x:t xml:space="preserve">Нет</x:t>
        </x:is>
      </x:c>
    </x:row>
    <x:row r="1180">
      <x:c r="A1180" s="31" t="inlineStr">
        <x:is>
          <x:t xml:space="preserve">ОП-001179</x:t>
        </x:is>
      </x:c>
      <x:c r="B1180" s="31" t="inlineStr">
        <x:is>
          <x:t xml:space="preserve">ПЗ-00141</x:t>
        </x:is>
      </x:c>
      <x:c r="C1180" s="31" t="inlineStr">
        <x:is>
          <x:t xml:space="preserve">ЗК-1067</x:t>
        </x:is>
      </x:c>
      <x:c r="D1180" s="31" t="inlineStr">
        <x:is>
          <x:t xml:space="preserve">ПОЗ-0067-2</x:t>
        </x:is>
      </x:c>
      <x:c r="E1180" s="31" t="inlineStr">
        <x:is>
          <x:t xml:space="preserve">ИЗД-019</x:t>
        </x:is>
      </x:c>
      <x:c r="F1180" s="31" t="n">
        <x:v>60</x:v>
      </x:c>
      <x:c r="G1180" s="31" t="inlineStr">
        <x:is>
          <x:t xml:space="preserve">Сборка</x:t>
        </x:is>
      </x:c>
      <x:c r="H1180" s="31" t="inlineStr">
        <x:is>
          <x:t xml:space="preserve">Сборка</x:t>
        </x:is>
      </x:c>
      <x:c r="I1180" s="31" t="inlineStr">
        <x:is>
          <x:t xml:space="preserve">ОБ-017</x:t>
        </x:is>
      </x:c>
      <x:c r="J1180" s="31" t="inlineStr">
        <x:is>
          <x:t xml:space="preserve">СОТР-074</x:t>
        </x:is>
      </x:c>
      <x:c r="K1180" s="31" t="n">
        <x:v>4.2</x:v>
      </x:c>
      <x:c r="L1180" s="31" t="n">
        <x:v>4.5</x:v>
      </x:c>
      <x:c r="M1180" s="31" t="n">
        <x:v>46164</x:v>
      </x:c>
      <x:c r="N1180" s="31" t="n">
        <x:v>46165</x:v>
      </x:c>
      <x:c r="O1180" s="31" t="n">
        <x:v>46164</x:v>
      </x:c>
      <x:c r="P1180" s="31" t="n">
        <x:v>46165</x:v>
      </x:c>
      <x:c r="Q1180" s="31" t="inlineStr">
        <x:is>
          <x:t xml:space="preserve">Завершено</x:t>
        </x:is>
      </x:c>
      <x:c r="R1180" s="31" t="inlineStr">
        <x:is>
          <x:t xml:space="preserve">Нет</x:t>
        </x:is>
      </x:c>
      <x:c r="S1180" s="31" t="inlineStr">
        <x:is>
          <x:t xml:space="preserve">Нет</x:t>
        </x:is>
      </x:c>
    </x:row>
    <x:row r="1181">
      <x:c r="A1181" s="31" t="inlineStr">
        <x:is>
          <x:t xml:space="preserve">ОП-001180</x:t>
        </x:is>
      </x:c>
      <x:c r="B1181" s="31" t="inlineStr">
        <x:is>
          <x:t xml:space="preserve">ПЗ-00141</x:t>
        </x:is>
      </x:c>
      <x:c r="C1181" s="31" t="inlineStr">
        <x:is>
          <x:t xml:space="preserve">ЗК-1067</x:t>
        </x:is>
      </x:c>
      <x:c r="D1181" s="31" t="inlineStr">
        <x:is>
          <x:t xml:space="preserve">ПОЗ-0067-2</x:t>
        </x:is>
      </x:c>
      <x:c r="E1181" s="31" t="inlineStr">
        <x:is>
          <x:t xml:space="preserve">ИЗД-019</x:t>
        </x:is>
      </x:c>
      <x:c r="F1181" s="31" t="n">
        <x:v>70</x:v>
      </x:c>
      <x:c r="G1181" s="31" t="inlineStr">
        <x:is>
          <x:t xml:space="preserve">Электромонтаж</x:t>
        </x:is>
      </x:c>
      <x:c r="H1181" s="31" t="inlineStr">
        <x:is>
          <x:t xml:space="preserve">Сборка</x:t>
        </x:is>
      </x:c>
      <x:c r="I1181" s="31" t="inlineStr">
        <x:is>
          <x:t xml:space="preserve">ОБ-027</x:t>
        </x:is>
      </x:c>
      <x:c r="J1181" s="31" t="inlineStr">
        <x:is>
          <x:t xml:space="preserve">СОТР-079</x:t>
        </x:is>
      </x:c>
      <x:c r="K1181" s="31" t="n">
        <x:v>8.800000000000001</x:v>
      </x:c>
      <x:c r="L1181" s="31" t="n"/>
      <x:c r="M1181" s="31" t="n">
        <x:v>46165</x:v>
      </x:c>
      <x:c r="N1181" s="31" t="n">
        <x:v>46166</x:v>
      </x:c>
      <x:c r="O1181" s="31" t="n"/>
      <x:c r="P1181" s="31" t="n"/>
      <x:c r="Q1181" s="31" t="inlineStr">
        <x:is>
          <x:t xml:space="preserve">Запланировано</x:t>
        </x:is>
      </x:c>
      <x:c r="R1181" s="31" t="inlineStr">
        <x:is>
          <x:t xml:space="preserve">Нет</x:t>
        </x:is>
      </x:c>
      <x:c r="S1181" s="31" t="inlineStr">
        <x:is>
          <x:t xml:space="preserve">Нет</x:t>
        </x:is>
      </x:c>
    </x:row>
    <x:row r="1182">
      <x:c r="A1182" s="31" t="inlineStr">
        <x:is>
          <x:t xml:space="preserve">ОП-001181</x:t>
        </x:is>
      </x:c>
      <x:c r="B1182" s="31" t="inlineStr">
        <x:is>
          <x:t xml:space="preserve">ПЗ-00141</x:t>
        </x:is>
      </x:c>
      <x:c r="C1182" s="31" t="inlineStr">
        <x:is>
          <x:t xml:space="preserve">ЗК-1067</x:t>
        </x:is>
      </x:c>
      <x:c r="D1182" s="31" t="inlineStr">
        <x:is>
          <x:t xml:space="preserve">ПОЗ-0067-2</x:t>
        </x:is>
      </x:c>
      <x:c r="E1182" s="31" t="inlineStr">
        <x:is>
          <x:t xml:space="preserve">ИЗД-019</x:t>
        </x:is>
      </x:c>
      <x:c r="F1182" s="31" t="n">
        <x:v>80</x:v>
      </x:c>
      <x:c r="G1182" s="31" t="inlineStr">
        <x:is>
          <x:t xml:space="preserve">Гидроиспытания</x:t>
        </x:is>
      </x:c>
      <x:c r="H1182" s="31" t="inlineStr">
        <x:is>
          <x:t xml:space="preserve">ОТК</x:t>
        </x:is>
      </x:c>
      <x:c r="I1182" s="31" t="inlineStr">
        <x:is>
          <x:t xml:space="preserve">ОБ-028</x:t>
        </x:is>
      </x:c>
      <x:c r="J1182" s="31" t="inlineStr">
        <x:is>
          <x:t xml:space="preserve">СОТР-099</x:t>
        </x:is>
      </x:c>
      <x:c r="K1182" s="31" t="n">
        <x:v>8.800000000000001</x:v>
      </x:c>
      <x:c r="L1182" s="31" t="n"/>
      <x:c r="M1182" s="31" t="n">
        <x:v>46166</x:v>
      </x:c>
      <x:c r="N1182" s="31" t="n">
        <x:v>46167</x:v>
      </x:c>
      <x:c r="O1182" s="31" t="n"/>
      <x:c r="P1182" s="31" t="n"/>
      <x:c r="Q1182" s="31" t="inlineStr">
        <x:is>
          <x:t xml:space="preserve">Запланировано</x:t>
        </x:is>
      </x:c>
      <x:c r="R1182" s="31" t="inlineStr">
        <x:is>
          <x:t xml:space="preserve">Нет</x:t>
        </x:is>
      </x:c>
      <x:c r="S1182" s="31" t="inlineStr">
        <x:is>
          <x:t xml:space="preserve">Да</x:t>
        </x:is>
      </x:c>
    </x:row>
    <x:row r="1183">
      <x:c r="A1183" s="31" t="inlineStr">
        <x:is>
          <x:t xml:space="preserve">ОП-001182</x:t>
        </x:is>
      </x:c>
      <x:c r="B1183" s="31" t="inlineStr">
        <x:is>
          <x:t xml:space="preserve">ПЗ-00141</x:t>
        </x:is>
      </x:c>
      <x:c r="C1183" s="31" t="inlineStr">
        <x:is>
          <x:t xml:space="preserve">ЗК-1067</x:t>
        </x:is>
      </x:c>
      <x:c r="D1183" s="31" t="inlineStr">
        <x:is>
          <x:t xml:space="preserve">ПОЗ-0067-2</x:t>
        </x:is>
      </x:c>
      <x:c r="E1183" s="31" t="inlineStr">
        <x:is>
          <x:t xml:space="preserve">ИЗД-019</x:t>
        </x:is>
      </x:c>
      <x:c r="F1183" s="31" t="n">
        <x:v>90</x:v>
      </x:c>
      <x:c r="G1183" s="31" t="inlineStr">
        <x:is>
          <x:t xml:space="preserve">ОТК</x:t>
        </x:is>
      </x:c>
      <x:c r="H1183" s="31" t="inlineStr">
        <x:is>
          <x:t xml:space="preserve">ОТК</x:t>
        </x:is>
      </x:c>
      <x:c r="I1183" s="31" t="inlineStr">
        <x:is>
          <x:t xml:space="preserve">ОБ-024</x:t>
        </x:is>
      </x:c>
      <x:c r="J1183" s="31" t="inlineStr">
        <x:is>
          <x:t xml:space="preserve">СОТР-098</x:t>
        </x:is>
      </x:c>
      <x:c r="K1183" s="31" t="n">
        <x:v>6.6</x:v>
      </x:c>
      <x:c r="L1183" s="31" t="n"/>
      <x:c r="M1183" s="31" t="n">
        <x:v>46167</x:v>
      </x:c>
      <x:c r="N1183" s="31" t="n">
        <x:v>46168</x:v>
      </x:c>
      <x:c r="O1183" s="31" t="n">
        <x:v>46167</x:v>
      </x:c>
      <x:c r="P1183" s="31" t="n"/>
      <x:c r="Q1183" s="31" t="inlineStr">
        <x:is>
          <x:t xml:space="preserve">В работе</x:t>
        </x:is>
      </x:c>
      <x:c r="R1183" s="31" t="inlineStr">
        <x:is>
          <x:t xml:space="preserve">Материал</x:t>
        </x:is>
      </x:c>
      <x:c r="S1183" s="31" t="inlineStr">
        <x:is>
          <x:t xml:space="preserve">Нет</x:t>
        </x:is>
      </x:c>
    </x:row>
    <x:row r="1184">
      <x:c r="A1184" s="31" t="inlineStr">
        <x:is>
          <x:t xml:space="preserve">ОП-001183</x:t>
        </x:is>
      </x:c>
      <x:c r="B1184" s="31" t="inlineStr">
        <x:is>
          <x:t xml:space="preserve">ПЗ-00141</x:t>
        </x:is>
      </x:c>
      <x:c r="C1184" s="31" t="inlineStr">
        <x:is>
          <x:t xml:space="preserve">ЗК-1067</x:t>
        </x:is>
      </x:c>
      <x:c r="D1184" s="31" t="inlineStr">
        <x:is>
          <x:t xml:space="preserve">ПОЗ-0067-2</x:t>
        </x:is>
      </x:c>
      <x:c r="E1184" s="31" t="inlineStr">
        <x:is>
          <x:t xml:space="preserve">ИЗД-019</x:t>
        </x:is>
      </x:c>
      <x:c r="F1184" s="31" t="n">
        <x:v>100</x:v>
      </x:c>
      <x:c r="G1184" s="31" t="inlineStr">
        <x:is>
          <x:t xml:space="preserve">Упаковка</x:t>
        </x:is>
      </x:c>
      <x:c r="H1184" s="31" t="inlineStr">
        <x:is>
          <x:t xml:space="preserve">Логистика</x:t>
        </x:is>
      </x:c>
      <x:c r="I1184" s="31" t="n"/>
      <x:c r="J1184" s="31" t="inlineStr">
        <x:is>
          <x:t xml:space="preserve">СОТР-101</x:t>
        </x:is>
      </x:c>
      <x:c r="K1184" s="31" t="n">
        <x:v>9.4</x:v>
      </x:c>
      <x:c r="L1184" s="31" t="n"/>
      <x:c r="M1184" s="31" t="n">
        <x:v>46168</x:v>
      </x:c>
      <x:c r="N1184" s="31" t="n">
        <x:v>46169</x:v>
      </x:c>
      <x:c r="O1184" s="31" t="n"/>
      <x:c r="P1184" s="31" t="n"/>
      <x:c r="Q1184" s="31" t="inlineStr">
        <x:is>
          <x:t xml:space="preserve">Запланировано</x:t>
        </x:is>
      </x:c>
      <x:c r="R1184" s="31" t="inlineStr">
        <x:is>
          <x:t xml:space="preserve">Нет</x:t>
        </x:is>
      </x:c>
      <x:c r="S1184" s="31" t="inlineStr">
        <x:is>
          <x:t xml:space="preserve">Нет</x:t>
        </x:is>
      </x:c>
    </x:row>
    <x:row r="1185">
      <x:c r="A1185" s="31" t="inlineStr">
        <x:is>
          <x:t xml:space="preserve">ОП-001184</x:t>
        </x:is>
      </x:c>
      <x:c r="B1185" s="31" t="inlineStr">
        <x:is>
          <x:t xml:space="preserve">ПЗ-00142</x:t>
        </x:is>
      </x:c>
      <x:c r="C1185" s="31" t="inlineStr">
        <x:is>
          <x:t xml:space="preserve">ЗК-1067</x:t>
        </x:is>
      </x:c>
      <x:c r="D1185" s="31" t="inlineStr">
        <x:is>
          <x:t xml:space="preserve">ПОЗ-0067-3</x:t>
        </x:is>
      </x:c>
      <x:c r="E1185" s="31" t="inlineStr">
        <x:is>
          <x:t xml:space="preserve">ИЗД-023</x:t>
        </x:is>
      </x:c>
      <x:c r="F1185" s="31" t="n">
        <x:v>10</x:v>
      </x:c>
      <x:c r="G1185" s="31" t="inlineStr">
        <x:is>
          <x:t xml:space="preserve">КД</x:t>
        </x:is>
      </x:c>
      <x:c r="H1185" s="31" t="inlineStr">
        <x:is>
          <x:t xml:space="preserve">Инженерный отдел</x:t>
        </x:is>
      </x:c>
      <x:c r="I1185" s="31" t="n"/>
      <x:c r="J1185" s="31" t="inlineStr">
        <x:is>
          <x:t xml:space="preserve">СОТР-021</x:t>
        </x:is>
      </x:c>
      <x:c r="K1185" s="31" t="n">
        <x:v>10</x:v>
      </x:c>
      <x:c r="L1185" s="31" t="n">
        <x:v>8.1</x:v>
      </x:c>
      <x:c r="M1185" s="31" t="n">
        <x:v>46151</x:v>
      </x:c>
      <x:c r="N1185" s="31" t="n">
        <x:v>46152</x:v>
      </x:c>
      <x:c r="O1185" s="31" t="n">
        <x:v>46151</x:v>
      </x:c>
      <x:c r="P1185" s="31" t="n">
        <x:v>46154</x:v>
      </x:c>
      <x:c r="Q1185" s="31" t="inlineStr">
        <x:is>
          <x:t xml:space="preserve">Завершено</x:t>
        </x:is>
      </x:c>
      <x:c r="R1185" s="31" t="inlineStr">
        <x:is>
          <x:t xml:space="preserve">Нет</x:t>
        </x:is>
      </x:c>
      <x:c r="S1185" s="31" t="inlineStr">
        <x:is>
          <x:t xml:space="preserve">Нет</x:t>
        </x:is>
      </x:c>
    </x:row>
    <x:row r="1186">
      <x:c r="A1186" s="31" t="inlineStr">
        <x:is>
          <x:t xml:space="preserve">ОП-001185</x:t>
        </x:is>
      </x:c>
      <x:c r="B1186" s="31" t="inlineStr">
        <x:is>
          <x:t xml:space="preserve">ПЗ-00142</x:t>
        </x:is>
      </x:c>
      <x:c r="C1186" s="31" t="inlineStr">
        <x:is>
          <x:t xml:space="preserve">ЗК-1067</x:t>
        </x:is>
      </x:c>
      <x:c r="D1186" s="31" t="inlineStr">
        <x:is>
          <x:t xml:space="preserve">ПОЗ-0067-3</x:t>
        </x:is>
      </x:c>
      <x:c r="E1186" s="31" t="inlineStr">
        <x:is>
          <x:t xml:space="preserve">ИЗД-023</x:t>
        </x:is>
      </x:c>
      <x:c r="F1186" s="31" t="n">
        <x:v>20</x:v>
      </x:c>
      <x:c r="G1186" s="31" t="inlineStr">
        <x:is>
          <x:t xml:space="preserve">Комплектация</x:t>
        </x:is>
      </x:c>
      <x:c r="H1186" s="31" t="inlineStr">
        <x:is>
          <x:t xml:space="preserve">Склад</x:t>
        </x:is>
      </x:c>
      <x:c r="I1186" s="31" t="inlineStr">
        <x:is>
          <x:t xml:space="preserve">ОБ-025</x:t>
        </x:is>
      </x:c>
      <x:c r="J1186" s="31" t="inlineStr">
        <x:is>
          <x:t xml:space="preserve">СОТР-037</x:t>
        </x:is>
      </x:c>
      <x:c r="K1186" s="31" t="n">
        <x:v>48.4</x:v>
      </x:c>
      <x:c r="L1186" s="31" t="n">
        <x:v>43.8</x:v>
      </x:c>
      <x:c r="M1186" s="31" t="n">
        <x:v>46152</x:v>
      </x:c>
      <x:c r="N1186" s="31" t="n">
        <x:v>46157</x:v>
      </x:c>
      <x:c r="O1186" s="31" t="n">
        <x:v>46152</x:v>
      </x:c>
      <x:c r="P1186" s="31" t="n">
        <x:v>46159</x:v>
      </x:c>
      <x:c r="Q1186" s="31" t="inlineStr">
        <x:is>
          <x:t xml:space="preserve">Завершено</x:t>
        </x:is>
      </x:c>
      <x:c r="R1186" s="31" t="inlineStr">
        <x:is>
          <x:t xml:space="preserve">Нет</x:t>
        </x:is>
      </x:c>
      <x:c r="S1186" s="31" t="inlineStr">
        <x:is>
          <x:t xml:space="preserve">Да</x:t>
        </x:is>
      </x:c>
    </x:row>
    <x:row r="1187">
      <x:c r="A1187" s="31" t="inlineStr">
        <x:is>
          <x:t xml:space="preserve">ОП-001186</x:t>
        </x:is>
      </x:c>
      <x:c r="B1187" s="31" t="inlineStr">
        <x:is>
          <x:t xml:space="preserve">ПЗ-00142</x:t>
        </x:is>
      </x:c>
      <x:c r="C1187" s="31" t="inlineStr">
        <x:is>
          <x:t xml:space="preserve">ЗК-1067</x:t>
        </x:is>
      </x:c>
      <x:c r="D1187" s="31" t="inlineStr">
        <x:is>
          <x:t xml:space="preserve">ПОЗ-0067-3</x:t>
        </x:is>
      </x:c>
      <x:c r="E1187" s="31" t="inlineStr">
        <x:is>
          <x:t xml:space="preserve">ИЗД-023</x:t>
        </x:is>
      </x:c>
      <x:c r="F1187" s="31" t="n">
        <x:v>30</x:v>
      </x:c>
      <x:c r="G1187" s="31" t="inlineStr">
        <x:is>
          <x:t xml:space="preserve">Сборка шкафа</x:t>
        </x:is>
      </x:c>
      <x:c r="H1187" s="31" t="inlineStr">
        <x:is>
          <x:t xml:space="preserve">Сборка</x:t>
        </x:is>
      </x:c>
      <x:c r="I1187" s="31" t="inlineStr">
        <x:is>
          <x:t xml:space="preserve">ОБ-017</x:t>
        </x:is>
      </x:c>
      <x:c r="J1187" s="31" t="inlineStr">
        <x:is>
          <x:t xml:space="preserve">СОТР-091</x:t>
        </x:is>
      </x:c>
      <x:c r="K1187" s="31" t="n">
        <x:v>37.6</x:v>
      </x:c>
      <x:c r="L1187" s="31" t="n">
        <x:v>49.9</x:v>
      </x:c>
      <x:c r="M1187" s="31" t="n">
        <x:v>46157</x:v>
      </x:c>
      <x:c r="N1187" s="31" t="n">
        <x:v>46161</x:v>
      </x:c>
      <x:c r="O1187" s="31" t="n">
        <x:v>46157</x:v>
      </x:c>
      <x:c r="P1187" s="31" t="n">
        <x:v>46161</x:v>
      </x:c>
      <x:c r="Q1187" s="31" t="inlineStr">
        <x:is>
          <x:t xml:space="preserve">Завершено</x:t>
        </x:is>
      </x:c>
      <x:c r="R1187" s="31" t="inlineStr">
        <x:is>
          <x:t xml:space="preserve">Нет</x:t>
        </x:is>
      </x:c>
      <x:c r="S1187" s="31" t="inlineStr">
        <x:is>
          <x:t xml:space="preserve">Нет</x:t>
        </x:is>
      </x:c>
    </x:row>
    <x:row r="1188">
      <x:c r="A1188" s="31" t="inlineStr">
        <x:is>
          <x:t xml:space="preserve">ОП-001187</x:t>
        </x:is>
      </x:c>
      <x:c r="B1188" s="31" t="inlineStr">
        <x:is>
          <x:t xml:space="preserve">ПЗ-00142</x:t>
        </x:is>
      </x:c>
      <x:c r="C1188" s="31" t="inlineStr">
        <x:is>
          <x:t xml:space="preserve">ЗК-1067</x:t>
        </x:is>
      </x:c>
      <x:c r="D1188" s="31" t="inlineStr">
        <x:is>
          <x:t xml:space="preserve">ПОЗ-0067-3</x:t>
        </x:is>
      </x:c>
      <x:c r="E1188" s="31" t="inlineStr">
        <x:is>
          <x:t xml:space="preserve">ИЗД-023</x:t>
        </x:is>
      </x:c>
      <x:c r="F1188" s="31" t="n">
        <x:v>40</x:v>
      </x:c>
      <x:c r="G1188" s="31" t="inlineStr">
        <x:is>
          <x:t xml:space="preserve">Маркировка</x:t>
        </x:is>
      </x:c>
      <x:c r="H1188" s="31" t="inlineStr">
        <x:is>
          <x:t xml:space="preserve">Сборка</x:t>
        </x:is>
      </x:c>
      <x:c r="I1188" s="31" t="inlineStr">
        <x:is>
          <x:t xml:space="preserve">ОБ-034</x:t>
        </x:is>
      </x:c>
      <x:c r="J1188" s="31" t="inlineStr">
        <x:is>
          <x:t xml:space="preserve">СОТР-091</x:t>
        </x:is>
      </x:c>
      <x:c r="K1188" s="31" t="n">
        <x:v>56.4</x:v>
      </x:c>
      <x:c r="L1188" s="31" t="n">
        <x:v>65.59999999999999</x:v>
      </x:c>
      <x:c r="M1188" s="31" t="n">
        <x:v>46161</x:v>
      </x:c>
      <x:c r="N1188" s="31" t="n">
        <x:v>46166</x:v>
      </x:c>
      <x:c r="O1188" s="31" t="n">
        <x:v>46161</x:v>
      </x:c>
      <x:c r="P1188" s="31" t="n">
        <x:v>46167</x:v>
      </x:c>
      <x:c r="Q1188" s="31" t="inlineStr">
        <x:is>
          <x:t xml:space="preserve">Завершено</x:t>
        </x:is>
      </x:c>
      <x:c r="R1188" s="31" t="inlineStr">
        <x:is>
          <x:t xml:space="preserve">Нет</x:t>
        </x:is>
      </x:c>
      <x:c r="S1188" s="31" t="inlineStr">
        <x:is>
          <x:t xml:space="preserve">Нет</x:t>
        </x:is>
      </x:c>
    </x:row>
    <x:row r="1189">
      <x:c r="A1189" s="31" t="inlineStr">
        <x:is>
          <x:t xml:space="preserve">ОП-001188</x:t>
        </x:is>
      </x:c>
      <x:c r="B1189" s="31" t="inlineStr">
        <x:is>
          <x:t xml:space="preserve">ПЗ-00142</x:t>
        </x:is>
      </x:c>
      <x:c r="C1189" s="31" t="inlineStr">
        <x:is>
          <x:t xml:space="preserve">ЗК-1067</x:t>
        </x:is>
      </x:c>
      <x:c r="D1189" s="31" t="inlineStr">
        <x:is>
          <x:t xml:space="preserve">ПОЗ-0067-3</x:t>
        </x:is>
      </x:c>
      <x:c r="E1189" s="31" t="inlineStr">
        <x:is>
          <x:t xml:space="preserve">ИЗД-023</x:t>
        </x:is>
      </x:c>
      <x:c r="F1189" s="31" t="n">
        <x:v>50</x:v>
      </x:c>
      <x:c r="G1189" s="31" t="inlineStr">
        <x:is>
          <x:t xml:space="preserve">Электромонтаж</x:t>
        </x:is>
      </x:c>
      <x:c r="H1189" s="31" t="inlineStr">
        <x:is>
          <x:t xml:space="preserve">Сборка</x:t>
        </x:is>
      </x:c>
      <x:c r="I1189" s="31" t="inlineStr">
        <x:is>
          <x:t xml:space="preserve">ОБ-012</x:t>
        </x:is>
      </x:c>
      <x:c r="J1189" s="31" t="inlineStr">
        <x:is>
          <x:t xml:space="preserve">СОТР-077</x:t>
        </x:is>
      </x:c>
      <x:c r="K1189" s="31" t="n">
        <x:v>60.4</x:v>
      </x:c>
      <x:c r="L1189" s="31" t="n">
        <x:v>63.8</x:v>
      </x:c>
      <x:c r="M1189" s="31" t="n">
        <x:v>46166</x:v>
      </x:c>
      <x:c r="N1189" s="31" t="n">
        <x:v>46172</x:v>
      </x:c>
      <x:c r="O1189" s="31" t="n">
        <x:v>46166</x:v>
      </x:c>
      <x:c r="P1189" s="31" t="n">
        <x:v>46171</x:v>
      </x:c>
      <x:c r="Q1189" s="31" t="inlineStr">
        <x:is>
          <x:t xml:space="preserve">Завершено</x:t>
        </x:is>
      </x:c>
      <x:c r="R1189" s="31" t="inlineStr">
        <x:is>
          <x:t xml:space="preserve">Нет</x:t>
        </x:is>
      </x:c>
      <x:c r="S1189" s="31" t="inlineStr">
        <x:is>
          <x:t xml:space="preserve">Нет</x:t>
        </x:is>
      </x:c>
    </x:row>
    <x:row r="1190">
      <x:c r="A1190" s="31" t="inlineStr">
        <x:is>
          <x:t xml:space="preserve">ОП-001189</x:t>
        </x:is>
      </x:c>
      <x:c r="B1190" s="31" t="inlineStr">
        <x:is>
          <x:t xml:space="preserve">ПЗ-00142</x:t>
        </x:is>
      </x:c>
      <x:c r="C1190" s="31" t="inlineStr">
        <x:is>
          <x:t xml:space="preserve">ЗК-1067</x:t>
        </x:is>
      </x:c>
      <x:c r="D1190" s="31" t="inlineStr">
        <x:is>
          <x:t xml:space="preserve">ПОЗ-0067-3</x:t>
        </x:is>
      </x:c>
      <x:c r="E1190" s="31" t="inlineStr">
        <x:is>
          <x:t xml:space="preserve">ИЗД-023</x:t>
        </x:is>
      </x:c>
      <x:c r="F1190" s="31" t="n">
        <x:v>60</x:v>
      </x:c>
      <x:c r="G1190" s="31" t="inlineStr">
        <x:is>
          <x:t xml:space="preserve">Программирование ПЛК</x:t>
        </x:is>
      </x:c>
      <x:c r="H1190" s="31" t="inlineStr">
        <x:is>
          <x:t xml:space="preserve">Инженерный отдел</x:t>
        </x:is>
      </x:c>
      <x:c r="I1190" s="31" t="n"/>
      <x:c r="J1190" s="31" t="inlineStr">
        <x:is>
          <x:t xml:space="preserve">СОТР-020</x:t>
        </x:is>
      </x:c>
      <x:c r="K1190" s="31" t="n">
        <x:v>55.6</x:v>
      </x:c>
      <x:c r="L1190" s="31" t="n">
        <x:v>63.9</x:v>
      </x:c>
      <x:c r="M1190" s="31" t="n">
        <x:v>46172</x:v>
      </x:c>
      <x:c r="N1190" s="31" t="n">
        <x:v>46177</x:v>
      </x:c>
      <x:c r="O1190" s="31" t="n">
        <x:v>46172</x:v>
      </x:c>
      <x:c r="P1190" s="31" t="n">
        <x:v>46179</x:v>
      </x:c>
      <x:c r="Q1190" s="31" t="inlineStr">
        <x:is>
          <x:t xml:space="preserve">Завершено</x:t>
        </x:is>
      </x:c>
      <x:c r="R1190" s="31" t="inlineStr">
        <x:is>
          <x:t xml:space="preserve">Ожидание ОТК</x:t>
        </x:is>
      </x:c>
      <x:c r="S1190" s="31" t="inlineStr">
        <x:is>
          <x:t xml:space="preserve">Нет</x:t>
        </x:is>
      </x:c>
    </x:row>
    <x:row r="1191">
      <x:c r="A1191" s="31" t="inlineStr">
        <x:is>
          <x:t xml:space="preserve">ОП-001190</x:t>
        </x:is>
      </x:c>
      <x:c r="B1191" s="31" t="inlineStr">
        <x:is>
          <x:t xml:space="preserve">ПЗ-00142</x:t>
        </x:is>
      </x:c>
      <x:c r="C1191" s="31" t="inlineStr">
        <x:is>
          <x:t xml:space="preserve">ЗК-1067</x:t>
        </x:is>
      </x:c>
      <x:c r="D1191" s="31" t="inlineStr">
        <x:is>
          <x:t xml:space="preserve">ПОЗ-0067-3</x:t>
        </x:is>
      </x:c>
      <x:c r="E1191" s="31" t="inlineStr">
        <x:is>
          <x:t xml:space="preserve">ИЗД-023</x:t>
        </x:is>
      </x:c>
      <x:c r="F1191" s="31" t="n">
        <x:v>70</x:v>
      </x:c>
      <x:c r="G1191" s="31" t="inlineStr">
        <x:is>
          <x:t xml:space="preserve">Приемочные испытания</x:t>
        </x:is>
      </x:c>
      <x:c r="H1191" s="31" t="inlineStr">
        <x:is>
          <x:t xml:space="preserve">ОТК</x:t>
        </x:is>
      </x:c>
      <x:c r="I1191" s="31" t="inlineStr">
        <x:is>
          <x:t xml:space="preserve">ОБ-028</x:t>
        </x:is>
      </x:c>
      <x:c r="J1191" s="31" t="inlineStr">
        <x:is>
          <x:t xml:space="preserve">СОТР-095</x:t>
        </x:is>
      </x:c>
      <x:c r="K1191" s="31" t="n">
        <x:v>51.6</x:v>
      </x:c>
      <x:c r="L1191" s="31" t="n">
        <x:v>51</x:v>
      </x:c>
      <x:c r="M1191" s="31" t="n">
        <x:v>46177</x:v>
      </x:c>
      <x:c r="N1191" s="31" t="n">
        <x:v>46182</x:v>
      </x:c>
      <x:c r="O1191" s="31" t="n">
        <x:v>46177</x:v>
      </x:c>
      <x:c r="P1191" s="31" t="n">
        <x:v>46181</x:v>
      </x:c>
      <x:c r="Q1191" s="31" t="inlineStr">
        <x:is>
          <x:t xml:space="preserve">Завершено</x:t>
        </x:is>
      </x:c>
      <x:c r="R1191" s="31" t="inlineStr">
        <x:is>
          <x:t xml:space="preserve">Нет</x:t>
        </x:is>
      </x:c>
      <x:c r="S1191" s="31" t="inlineStr">
        <x:is>
          <x:t xml:space="preserve">Нет</x:t>
        </x:is>
      </x:c>
    </x:row>
    <x:row r="1192">
      <x:c r="A1192" s="31" t="inlineStr">
        <x:is>
          <x:t xml:space="preserve">ОП-001191</x:t>
        </x:is>
      </x:c>
      <x:c r="B1192" s="31" t="inlineStr">
        <x:is>
          <x:t xml:space="preserve">ПЗ-00142</x:t>
        </x:is>
      </x:c>
      <x:c r="C1192" s="31" t="inlineStr">
        <x:is>
          <x:t xml:space="preserve">ЗК-1067</x:t>
        </x:is>
      </x:c>
      <x:c r="D1192" s="31" t="inlineStr">
        <x:is>
          <x:t xml:space="preserve">ПОЗ-0067-3</x:t>
        </x:is>
      </x:c>
      <x:c r="E1192" s="31" t="inlineStr">
        <x:is>
          <x:t xml:space="preserve">ИЗД-023</x:t>
        </x:is>
      </x:c>
      <x:c r="F1192" s="31" t="n">
        <x:v>80</x:v>
      </x:c>
      <x:c r="G1192" s="31" t="inlineStr">
        <x:is>
          <x:t xml:space="preserve">ОТК</x:t>
        </x:is>
      </x:c>
      <x:c r="H1192" s="31" t="inlineStr">
        <x:is>
          <x:t xml:space="preserve">ОТК</x:t>
        </x:is>
      </x:c>
      <x:c r="I1192" s="31" t="inlineStr">
        <x:is>
          <x:t xml:space="preserve">ОБ-033</x:t>
        </x:is>
      </x:c>
      <x:c r="J1192" s="31" t="inlineStr">
        <x:is>
          <x:t xml:space="preserve">СОТР-063</x:t>
        </x:is>
      </x:c>
      <x:c r="K1192" s="31" t="n">
        <x:v>16.4</x:v>
      </x:c>
      <x:c r="L1192" s="31" t="n">
        <x:v>16.5</x:v>
      </x:c>
      <x:c r="M1192" s="31" t="n">
        <x:v>46182</x:v>
      </x:c>
      <x:c r="N1192" s="31" t="n">
        <x:v>46184</x:v>
      </x:c>
      <x:c r="O1192" s="31" t="n">
        <x:v>46182</x:v>
      </x:c>
      <x:c r="P1192" s="31" t="n">
        <x:v>46183</x:v>
      </x:c>
      <x:c r="Q1192" s="31" t="inlineStr">
        <x:is>
          <x:t xml:space="preserve">Завершено</x:t>
        </x:is>
      </x:c>
      <x:c r="R1192" s="31" t="inlineStr">
        <x:is>
          <x:t xml:space="preserve">Материал</x:t>
        </x:is>
      </x:c>
      <x:c r="S1192" s="31" t="inlineStr">
        <x:is>
          <x:t xml:space="preserve">Да</x:t>
        </x:is>
      </x:c>
    </x:row>
    <x:row r="1193">
      <x:c r="A1193" s="31" t="inlineStr">
        <x:is>
          <x:t xml:space="preserve">ОП-001192</x:t>
        </x:is>
      </x:c>
      <x:c r="B1193" s="31" t="inlineStr">
        <x:is>
          <x:t xml:space="preserve">ПЗ-00142</x:t>
        </x:is>
      </x:c>
      <x:c r="C1193" s="31" t="inlineStr">
        <x:is>
          <x:t xml:space="preserve">ЗК-1067</x:t>
        </x:is>
      </x:c>
      <x:c r="D1193" s="31" t="inlineStr">
        <x:is>
          <x:t xml:space="preserve">ПОЗ-0067-3</x:t>
        </x:is>
      </x:c>
      <x:c r="E1193" s="31" t="inlineStr">
        <x:is>
          <x:t xml:space="preserve">ИЗД-023</x:t>
        </x:is>
      </x:c>
      <x:c r="F1193" s="31" t="n">
        <x:v>90</x:v>
      </x:c>
      <x:c r="G1193" s="31" t="inlineStr">
        <x:is>
          <x:t xml:space="preserve">Упаковка</x:t>
        </x:is>
      </x:c>
      <x:c r="H1193" s="31" t="inlineStr">
        <x:is>
          <x:t xml:space="preserve">Логистика</x:t>
        </x:is>
      </x:c>
      <x:c r="I1193" s="31" t="n"/>
      <x:c r="J1193" s="31" t="inlineStr">
        <x:is>
          <x:t xml:space="preserve">СОТР-104</x:t>
        </x:is>
      </x:c>
      <x:c r="K1193" s="31" t="n">
        <x:v>19.2</x:v>
      </x:c>
      <x:c r="L1193" s="31" t="n">
        <x:v>18.8</x:v>
      </x:c>
      <x:c r="M1193" s="31" t="n">
        <x:v>46184</x:v>
      </x:c>
      <x:c r="N1193" s="31" t="n">
        <x:v>46186</x:v>
      </x:c>
      <x:c r="O1193" s="31" t="n">
        <x:v>46184</x:v>
      </x:c>
      <x:c r="P1193" s="31" t="n">
        <x:v>46185</x:v>
      </x:c>
      <x:c r="Q1193" s="31" t="inlineStr">
        <x:is>
          <x:t xml:space="preserve">Завершено</x:t>
        </x:is>
      </x:c>
      <x:c r="R1193" s="31" t="inlineStr">
        <x:is>
          <x:t xml:space="preserve">Нет</x:t>
        </x:is>
      </x:c>
      <x:c r="S1193" s="31" t="inlineStr">
        <x:is>
          <x:t xml:space="preserve">Нет</x:t>
        </x:is>
      </x:c>
    </x:row>
    <x:row r="1194">
      <x:c r="A1194" s="31" t="inlineStr">
        <x:is>
          <x:t xml:space="preserve">ОП-001193</x:t>
        </x:is>
      </x:c>
      <x:c r="B1194" s="31" t="inlineStr">
        <x:is>
          <x:t xml:space="preserve">ПЗ-00143</x:t>
        </x:is>
      </x:c>
      <x:c r="C1194" s="31" t="inlineStr">
        <x:is>
          <x:t xml:space="preserve">ЗК-1068</x:t>
        </x:is>
      </x:c>
      <x:c r="D1194" s="31" t="inlineStr">
        <x:is>
          <x:t xml:space="preserve">ПОЗ-0068-1</x:t>
        </x:is>
      </x:c>
      <x:c r="E1194" s="31" t="inlineStr">
        <x:is>
          <x:t xml:space="preserve">ИЗД-008</x:t>
        </x:is>
      </x:c>
      <x:c r="F1194" s="31" t="n">
        <x:v>10</x:v>
      </x:c>
      <x:c r="G1194" s="31" t="inlineStr">
        <x:is>
          <x:t xml:space="preserve">Комплектация</x:t>
        </x:is>
      </x:c>
      <x:c r="H1194" s="31" t="inlineStr">
        <x:is>
          <x:t xml:space="preserve">Склад</x:t>
        </x:is>
      </x:c>
      <x:c r="I1194" s="31" t="inlineStr">
        <x:is>
          <x:t xml:space="preserve">ОБ-011</x:t>
        </x:is>
      </x:c>
      <x:c r="J1194" s="31" t="inlineStr">
        <x:is>
          <x:t xml:space="preserve">СОТР-033</x:t>
        </x:is>
      </x:c>
      <x:c r="K1194" s="31" t="n">
        <x:v>53.9</x:v>
      </x:c>
      <x:c r="L1194" s="31" t="n"/>
      <x:c r="M1194" s="31" t="n">
        <x:v>46045</x:v>
      </x:c>
      <x:c r="N1194" s="31" t="n">
        <x:v>46050</x:v>
      </x:c>
      <x:c r="O1194" s="31" t="n">
        <x:v>46045</x:v>
      </x:c>
      <x:c r="P1194" s="31" t="n"/>
      <x:c r="Q1194" s="31" t="inlineStr">
        <x:is>
          <x:t xml:space="preserve">В работе</x:t>
        </x:is>
      </x:c>
      <x:c r="R1194" s="31" t="inlineStr">
        <x:is>
          <x:t xml:space="preserve">Нет</x:t>
        </x:is>
      </x:c>
      <x:c r="S1194" s="31" t="inlineStr">
        <x:is>
          <x:t xml:space="preserve">Нет</x:t>
        </x:is>
      </x:c>
    </x:row>
    <x:row r="1195">
      <x:c r="A1195" s="31" t="inlineStr">
        <x:is>
          <x:t xml:space="preserve">ОП-001194</x:t>
        </x:is>
      </x:c>
      <x:c r="B1195" s="31" t="inlineStr">
        <x:is>
          <x:t xml:space="preserve">ПЗ-00143</x:t>
        </x:is>
      </x:c>
      <x:c r="C1195" s="31" t="inlineStr">
        <x:is>
          <x:t xml:space="preserve">ЗК-1068</x:t>
        </x:is>
      </x:c>
      <x:c r="D1195" s="31" t="inlineStr">
        <x:is>
          <x:t xml:space="preserve">ПОЗ-0068-1</x:t>
        </x:is>
      </x:c>
      <x:c r="E1195" s="31" t="inlineStr">
        <x:is>
          <x:t xml:space="preserve">ИЗД-008</x:t>
        </x:is>
      </x:c>
      <x:c r="F1195" s="31" t="n">
        <x:v>20</x:v>
      </x:c>
      <x:c r="G1195" s="31" t="inlineStr">
        <x:is>
          <x:t xml:space="preserve">Входной контроль</x:t>
        </x:is>
      </x:c>
      <x:c r="H1195" s="31" t="inlineStr">
        <x:is>
          <x:t xml:space="preserve">ОТК</x:t>
        </x:is>
      </x:c>
      <x:c r="I1195" s="31" t="inlineStr">
        <x:is>
          <x:t xml:space="preserve">ОБ-001</x:t>
        </x:is>
      </x:c>
      <x:c r="J1195" s="31" t="inlineStr">
        <x:is>
          <x:t xml:space="preserve">СОТР-098</x:t>
        </x:is>
      </x:c>
      <x:c r="K1195" s="31" t="n">
        <x:v>91.3</x:v>
      </x:c>
      <x:c r="L1195" s="31" t="n"/>
      <x:c r="M1195" s="31" t="n">
        <x:v>46050</x:v>
      </x:c>
      <x:c r="N1195" s="31" t="n">
        <x:v>46058</x:v>
      </x:c>
      <x:c r="O1195" s="31" t="n">
        <x:v>46050</x:v>
      </x:c>
      <x:c r="P1195" s="31" t="n"/>
      <x:c r="Q1195" s="31" t="inlineStr">
        <x:is>
          <x:t xml:space="preserve">В работе</x:t>
        </x:is>
      </x:c>
      <x:c r="R1195" s="31" t="inlineStr">
        <x:is>
          <x:t xml:space="preserve">Нет</x:t>
        </x:is>
      </x:c>
      <x:c r="S1195" s="31" t="inlineStr">
        <x:is>
          <x:t xml:space="preserve">Нет</x:t>
        </x:is>
      </x:c>
    </x:row>
    <x:row r="1196">
      <x:c r="A1196" s="31" t="inlineStr">
        <x:is>
          <x:t xml:space="preserve">ОП-001195</x:t>
        </x:is>
      </x:c>
      <x:c r="B1196" s="31" t="inlineStr">
        <x:is>
          <x:t xml:space="preserve">ПЗ-00143</x:t>
        </x:is>
      </x:c>
      <x:c r="C1196" s="31" t="inlineStr">
        <x:is>
          <x:t xml:space="preserve">ЗК-1068</x:t>
        </x:is>
      </x:c>
      <x:c r="D1196" s="31" t="inlineStr">
        <x:is>
          <x:t xml:space="preserve">ПОЗ-0068-1</x:t>
        </x:is>
      </x:c>
      <x:c r="E1196" s="31" t="inlineStr">
        <x:is>
          <x:t xml:space="preserve">ИЗД-008</x:t>
        </x:is>
      </x:c>
      <x:c r="F1196" s="31" t="n">
        <x:v>30</x:v>
      </x:c>
      <x:c r="G1196" s="31" t="inlineStr">
        <x:is>
          <x:t xml:space="preserve">Упаковка</x:t>
        </x:is>
      </x:c>
      <x:c r="H1196" s="31" t="inlineStr">
        <x:is>
          <x:t xml:space="preserve">Логистика</x:t>
        </x:is>
      </x:c>
      <x:c r="I1196" s="31" t="n"/>
      <x:c r="J1196" s="31" t="inlineStr">
        <x:is>
          <x:t xml:space="preserve">СОТР-102</x:t>
        </x:is>
      </x:c>
      <x:c r="K1196" s="31" t="n">
        <x:v>52.8</x:v>
      </x:c>
      <x:c r="L1196" s="31" t="n"/>
      <x:c r="M1196" s="31" t="n">
        <x:v>46058</x:v>
      </x:c>
      <x:c r="N1196" s="31" t="n">
        <x:v>46063</x:v>
      </x:c>
      <x:c r="O1196" s="31" t="n">
        <x:v>46058</x:v>
      </x:c>
      <x:c r="P1196" s="31" t="n"/>
      <x:c r="Q1196" s="31" t="inlineStr">
        <x:is>
          <x:t xml:space="preserve">В работе</x:t>
        </x:is>
      </x:c>
      <x:c r="R1196" s="31" t="inlineStr">
        <x:is>
          <x:t xml:space="preserve">Нет</x:t>
        </x:is>
      </x:c>
      <x:c r="S1196" s="31" t="inlineStr">
        <x:is>
          <x:t xml:space="preserve">Нет</x:t>
        </x:is>
      </x:c>
    </x:row>
    <x:row r="1197">
      <x:c r="A1197" s="31" t="inlineStr">
        <x:is>
          <x:t xml:space="preserve">ОП-001196</x:t>
        </x:is>
      </x:c>
      <x:c r="B1197" s="31" t="inlineStr">
        <x:is>
          <x:t xml:space="preserve">ПЗ-00143</x:t>
        </x:is>
      </x:c>
      <x:c r="C1197" s="31" t="inlineStr">
        <x:is>
          <x:t xml:space="preserve">ЗК-1068</x:t>
        </x:is>
      </x:c>
      <x:c r="D1197" s="31" t="inlineStr">
        <x:is>
          <x:t xml:space="preserve">ПОЗ-0068-1</x:t>
        </x:is>
      </x:c>
      <x:c r="E1197" s="31" t="inlineStr">
        <x:is>
          <x:t xml:space="preserve">ИЗД-008</x:t>
        </x:is>
      </x:c>
      <x:c r="F1197" s="31" t="n">
        <x:v>40</x:v>
      </x:c>
      <x:c r="G1197" s="31" t="inlineStr">
        <x:is>
          <x:t xml:space="preserve">ОТК</x:t>
        </x:is>
      </x:c>
      <x:c r="H1197" s="31" t="inlineStr">
        <x:is>
          <x:t xml:space="preserve">ОТК</x:t>
        </x:is>
      </x:c>
      <x:c r="I1197" s="31" t="inlineStr">
        <x:is>
          <x:t xml:space="preserve">ОБ-033</x:t>
        </x:is>
      </x:c>
      <x:c r="J1197" s="31" t="inlineStr">
        <x:is>
          <x:t xml:space="preserve">СОТР-099</x:t>
        </x:is>
      </x:c>
      <x:c r="K1197" s="31" t="n">
        <x:v>24.2</x:v>
      </x:c>
      <x:c r="L1197" s="31" t="n"/>
      <x:c r="M1197" s="31" t="n">
        <x:v>46063</x:v>
      </x:c>
      <x:c r="N1197" s="31" t="n">
        <x:v>46066</x:v>
      </x:c>
      <x:c r="O1197" s="31" t="n"/>
      <x:c r="P1197" s="31" t="n"/>
      <x:c r="Q1197" s="31" t="inlineStr">
        <x:is>
          <x:t xml:space="preserve">Запланировано</x:t>
        </x:is>
      </x:c>
      <x:c r="R1197" s="31" t="inlineStr">
        <x:is>
          <x:t xml:space="preserve">Нет</x:t>
        </x:is>
      </x:c>
      <x:c r="S1197" s="31" t="inlineStr">
        <x:is>
          <x:t xml:space="preserve">Нет</x:t>
        </x:is>
      </x:c>
    </x:row>
    <x:row r="1198">
      <x:c r="A1198" s="31" t="inlineStr">
        <x:is>
          <x:t xml:space="preserve">ОП-001197</x:t>
        </x:is>
      </x:c>
      <x:c r="B1198" s="31" t="inlineStr">
        <x:is>
          <x:t xml:space="preserve">ПЗ-00144</x:t>
        </x:is>
      </x:c>
      <x:c r="C1198" s="31" t="inlineStr">
        <x:is>
          <x:t xml:space="preserve">ЗК-1068</x:t>
        </x:is>
      </x:c>
      <x:c r="D1198" s="31" t="inlineStr">
        <x:is>
          <x:t xml:space="preserve">ПОЗ-0068-2</x:t>
        </x:is>
      </x:c>
      <x:c r="E1198" s="31" t="inlineStr">
        <x:is>
          <x:t xml:space="preserve">ИЗД-013</x:t>
        </x:is>
      </x:c>
      <x:c r="F1198" s="31" t="n">
        <x:v>10</x:v>
      </x:c>
      <x:c r="G1198" s="31" t="inlineStr">
        <x:is>
          <x:t xml:space="preserve">КД</x:t>
        </x:is>
      </x:c>
      <x:c r="H1198" s="31" t="inlineStr">
        <x:is>
          <x:t xml:space="preserve">Инженерный отдел</x:t>
        </x:is>
      </x:c>
      <x:c r="I1198" s="31" t="n"/>
      <x:c r="J1198" s="31" t="inlineStr">
        <x:is>
          <x:t xml:space="preserve">СОТР-012</x:t>
        </x:is>
      </x:c>
      <x:c r="K1198" s="31" t="n">
        <x:v>71.59999999999999</x:v>
      </x:c>
      <x:c r="L1198" s="31" t="n">
        <x:v>64</x:v>
      </x:c>
      <x:c r="M1198" s="31" t="n">
        <x:v>46054</x:v>
      </x:c>
      <x:c r="N1198" s="31" t="n">
        <x:v>46060</x:v>
      </x:c>
      <x:c r="O1198" s="31" t="n">
        <x:v>46054</x:v>
      </x:c>
      <x:c r="P1198" s="31" t="n">
        <x:v>46059</x:v>
      </x:c>
      <x:c r="Q1198" s="31" t="inlineStr">
        <x:is>
          <x:t xml:space="preserve">Завершено</x:t>
        </x:is>
      </x:c>
      <x:c r="R1198" s="31" t="inlineStr">
        <x:is>
          <x:t xml:space="preserve">Нет</x:t>
        </x:is>
      </x:c>
      <x:c r="S1198" s="31" t="inlineStr">
        <x:is>
          <x:t xml:space="preserve">Нет</x:t>
        </x:is>
      </x:c>
    </x:row>
    <x:row r="1199">
      <x:c r="A1199" s="31" t="inlineStr">
        <x:is>
          <x:t xml:space="preserve">ОП-001198</x:t>
        </x:is>
      </x:c>
      <x:c r="B1199" s="31" t="inlineStr">
        <x:is>
          <x:t xml:space="preserve">ПЗ-00144</x:t>
        </x:is>
      </x:c>
      <x:c r="C1199" s="31" t="inlineStr">
        <x:is>
          <x:t xml:space="preserve">ЗК-1068</x:t>
        </x:is>
      </x:c>
      <x:c r="D1199" s="31" t="inlineStr">
        <x:is>
          <x:t xml:space="preserve">ПОЗ-0068-2</x:t>
        </x:is>
      </x:c>
      <x:c r="E1199" s="31" t="inlineStr">
        <x:is>
          <x:t xml:space="preserve">ИЗД-013</x:t>
        </x:is>
      </x:c>
      <x:c r="F1199" s="31" t="n">
        <x:v>20</x:v>
      </x:c>
      <x:c r="G1199" s="31" t="inlineStr">
        <x:is>
          <x:t xml:space="preserve">Резка металла</x:t>
        </x:is>
      </x:c>
      <x:c r="H1199" s="31" t="inlineStr">
        <x:is>
          <x:t xml:space="preserve">Сварка</x:t>
        </x:is>
      </x:c>
      <x:c r="I1199" s="31" t="inlineStr">
        <x:is>
          <x:t xml:space="preserve">ОБ-021</x:t>
        </x:is>
      </x:c>
      <x:c r="J1199" s="31" t="inlineStr">
        <x:is>
          <x:t xml:space="preserve">СОТР-056</x:t>
        </x:is>
      </x:c>
      <x:c r="K1199" s="31" t="n">
        <x:v>40.8</x:v>
      </x:c>
      <x:c r="L1199" s="31" t="n">
        <x:v>44.5</x:v>
      </x:c>
      <x:c r="M1199" s="31" t="n">
        <x:v>46060</x:v>
      </x:c>
      <x:c r="N1199" s="31" t="n">
        <x:v>46064</x:v>
      </x:c>
      <x:c r="O1199" s="31" t="n">
        <x:v>46060</x:v>
      </x:c>
      <x:c r="P1199" s="31" t="n">
        <x:v>46063</x:v>
      </x:c>
      <x:c r="Q1199" s="31" t="inlineStr">
        <x:is>
          <x:t xml:space="preserve">Завершено</x:t>
        </x:is>
      </x:c>
      <x:c r="R1199" s="31" t="inlineStr">
        <x:is>
          <x:t xml:space="preserve">Материал</x:t>
        </x:is>
      </x:c>
      <x:c r="S1199" s="31" t="inlineStr">
        <x:is>
          <x:t xml:space="preserve">Нет</x:t>
        </x:is>
      </x:c>
    </x:row>
    <x:row r="1200">
      <x:c r="A1200" s="31" t="inlineStr">
        <x:is>
          <x:t xml:space="preserve">ОП-001199</x:t>
        </x:is>
      </x:c>
      <x:c r="B1200" s="31" t="inlineStr">
        <x:is>
          <x:t xml:space="preserve">ПЗ-00144</x:t>
        </x:is>
      </x:c>
      <x:c r="C1200" s="31" t="inlineStr">
        <x:is>
          <x:t xml:space="preserve">ЗК-1068</x:t>
        </x:is>
      </x:c>
      <x:c r="D1200" s="31" t="inlineStr">
        <x:is>
          <x:t xml:space="preserve">ПОЗ-0068-2</x:t>
        </x:is>
      </x:c>
      <x:c r="E1200" s="31" t="inlineStr">
        <x:is>
          <x:t xml:space="preserve">ИЗД-013</x:t>
        </x:is>
      </x:c>
      <x:c r="F1200" s="31" t="n">
        <x:v>30</x:v>
      </x:c>
      <x:c r="G1200" s="31" t="inlineStr">
        <x:is>
          <x:t xml:space="preserve">Сварка рамы</x:t>
        </x:is>
      </x:c>
      <x:c r="H1200" s="31" t="inlineStr">
        <x:is>
          <x:t xml:space="preserve">Сварка</x:t>
        </x:is>
      </x:c>
      <x:c r="I1200" s="31" t="inlineStr">
        <x:is>
          <x:t xml:space="preserve">ОБ-003</x:t>
        </x:is>
      </x:c>
      <x:c r="J1200" s="31" t="inlineStr">
        <x:is>
          <x:t xml:space="preserve">СОТР-057</x:t>
        </x:is>
      </x:c>
      <x:c r="K1200" s="31" t="n">
        <x:v>36.4</x:v>
      </x:c>
      <x:c r="L1200" s="31" t="n">
        <x:v>30.3</x:v>
      </x:c>
      <x:c r="M1200" s="31" t="n">
        <x:v>46064</x:v>
      </x:c>
      <x:c r="N1200" s="31" t="n">
        <x:v>46068</x:v>
      </x:c>
      <x:c r="O1200" s="31" t="n">
        <x:v>46064</x:v>
      </x:c>
      <x:c r="P1200" s="31" t="n">
        <x:v>46070</x:v>
      </x:c>
      <x:c r="Q1200" s="31" t="inlineStr">
        <x:is>
          <x:t xml:space="preserve">Завершено</x:t>
        </x:is>
      </x:c>
      <x:c r="R1200" s="31" t="inlineStr">
        <x:is>
          <x:t xml:space="preserve">Нет</x:t>
        </x:is>
      </x:c>
      <x:c r="S1200" s="31" t="inlineStr">
        <x:is>
          <x:t xml:space="preserve">Нет</x:t>
        </x:is>
      </x:c>
    </x:row>
    <x:row r="1201">
      <x:c r="A1201" s="31" t="inlineStr">
        <x:is>
          <x:t xml:space="preserve">ОП-001200</x:t>
        </x:is>
      </x:c>
      <x:c r="B1201" s="31" t="inlineStr">
        <x:is>
          <x:t xml:space="preserve">ПЗ-00144</x:t>
        </x:is>
      </x:c>
      <x:c r="C1201" s="31" t="inlineStr">
        <x:is>
          <x:t xml:space="preserve">ЗК-1068</x:t>
        </x:is>
      </x:c>
      <x:c r="D1201" s="31" t="inlineStr">
        <x:is>
          <x:t xml:space="preserve">ПОЗ-0068-2</x:t>
        </x:is>
      </x:c>
      <x:c r="E1201" s="31" t="inlineStr">
        <x:is>
          <x:t xml:space="preserve">ИЗД-013</x:t>
        </x:is>
      </x:c>
      <x:c r="F1201" s="31" t="n">
        <x:v>40</x:v>
      </x:c>
      <x:c r="G1201" s="31" t="inlineStr">
        <x:is>
          <x:t xml:space="preserve">Пескоструй</x:t>
        </x:is>
      </x:c>
      <x:c r="H1201" s="31" t="inlineStr">
        <x:is>
          <x:t xml:space="preserve">Сварка</x:t>
        </x:is>
      </x:c>
      <x:c r="I1201" s="31" t="inlineStr">
        <x:is>
          <x:t xml:space="preserve">ОБ-026</x:t>
        </x:is>
      </x:c>
      <x:c r="J1201" s="31" t="inlineStr">
        <x:is>
          <x:t xml:space="preserve">СОТР-072</x:t>
        </x:is>
      </x:c>
      <x:c r="K1201" s="31" t="n">
        <x:v>57.2</x:v>
      </x:c>
      <x:c r="L1201" s="31" t="n">
        <x:v>51.9</x:v>
      </x:c>
      <x:c r="M1201" s="31" t="n">
        <x:v>46068</x:v>
      </x:c>
      <x:c r="N1201" s="31" t="n">
        <x:v>46073</x:v>
      </x:c>
      <x:c r="O1201" s="31" t="n">
        <x:v>46068</x:v>
      </x:c>
      <x:c r="P1201" s="31" t="n">
        <x:v>46075</x:v>
      </x:c>
      <x:c r="Q1201" s="31" t="inlineStr">
        <x:is>
          <x:t xml:space="preserve">Завершено</x:t>
        </x:is>
      </x:c>
      <x:c r="R1201" s="31" t="inlineStr">
        <x:is>
          <x:t xml:space="preserve">Оборудование</x:t>
        </x:is>
      </x:c>
      <x:c r="S1201" s="31" t="inlineStr">
        <x:is>
          <x:t xml:space="preserve">Нет</x:t>
        </x:is>
      </x:c>
    </x:row>
    <x:row r="1202">
      <x:c r="A1202" s="31" t="inlineStr">
        <x:is>
          <x:t xml:space="preserve">ОП-001201</x:t>
        </x:is>
      </x:c>
      <x:c r="B1202" s="31" t="inlineStr">
        <x:is>
          <x:t xml:space="preserve">ПЗ-00144</x:t>
        </x:is>
      </x:c>
      <x:c r="C1202" s="31" t="inlineStr">
        <x:is>
          <x:t xml:space="preserve">ЗК-1068</x:t>
        </x:is>
      </x:c>
      <x:c r="D1202" s="31" t="inlineStr">
        <x:is>
          <x:t xml:space="preserve">ПОЗ-0068-2</x:t>
        </x:is>
      </x:c>
      <x:c r="E1202" s="31" t="inlineStr">
        <x:is>
          <x:t xml:space="preserve">ИЗД-013</x:t>
        </x:is>
      </x:c>
      <x:c r="F1202" s="31" t="n">
        <x:v>50</x:v>
      </x:c>
      <x:c r="G1202" s="31" t="inlineStr">
        <x:is>
          <x:t xml:space="preserve">Покраска</x:t>
        </x:is>
      </x:c>
      <x:c r="H1202" s="31" t="inlineStr">
        <x:is>
          <x:t xml:space="preserve">Сварка</x:t>
        </x:is>
      </x:c>
      <x:c r="I1202" s="31" t="inlineStr">
        <x:is>
          <x:t xml:space="preserve">ОБ-003</x:t>
        </x:is>
      </x:c>
      <x:c r="J1202" s="31" t="inlineStr">
        <x:is>
          <x:t xml:space="preserve">СОТР-061</x:t>
        </x:is>
      </x:c>
      <x:c r="K1202" s="31" t="n">
        <x:v>48.4</x:v>
      </x:c>
      <x:c r="L1202" s="31" t="n"/>
      <x:c r="M1202" s="31" t="n">
        <x:v>46073</x:v>
      </x:c>
      <x:c r="N1202" s="31" t="n">
        <x:v>46078</x:v>
      </x:c>
      <x:c r="O1202" s="31" t="n">
        <x:v>46073</x:v>
      </x:c>
      <x:c r="P1202" s="31" t="n"/>
      <x:c r="Q1202" s="31" t="inlineStr">
        <x:is>
          <x:t xml:space="preserve">В работе</x:t>
        </x:is>
      </x:c>
      <x:c r="R1202" s="31" t="inlineStr">
        <x:is>
          <x:t xml:space="preserve">Нет</x:t>
        </x:is>
      </x:c>
      <x:c r="S1202" s="31" t="inlineStr">
        <x:is>
          <x:t xml:space="preserve">Нет</x:t>
        </x:is>
      </x:c>
    </x:row>
    <x:row r="1203">
      <x:c r="A1203" s="31" t="inlineStr">
        <x:is>
          <x:t xml:space="preserve">ОП-001202</x:t>
        </x:is>
      </x:c>
      <x:c r="B1203" s="31" t="inlineStr">
        <x:is>
          <x:t xml:space="preserve">ПЗ-00144</x:t>
        </x:is>
      </x:c>
      <x:c r="C1203" s="31" t="inlineStr">
        <x:is>
          <x:t xml:space="preserve">ЗК-1068</x:t>
        </x:is>
      </x:c>
      <x:c r="D1203" s="31" t="inlineStr">
        <x:is>
          <x:t xml:space="preserve">ПОЗ-0068-2</x:t>
        </x:is>
      </x:c>
      <x:c r="E1203" s="31" t="inlineStr">
        <x:is>
          <x:t xml:space="preserve">ИЗД-013</x:t>
        </x:is>
      </x:c>
      <x:c r="F1203" s="31" t="n">
        <x:v>60</x:v>
      </x:c>
      <x:c r="G1203" s="31" t="inlineStr">
        <x:is>
          <x:t xml:space="preserve">ОТК</x:t>
        </x:is>
      </x:c>
      <x:c r="H1203" s="31" t="inlineStr">
        <x:is>
          <x:t xml:space="preserve">ОТК</x:t>
        </x:is>
      </x:c>
      <x:c r="I1203" s="31" t="inlineStr">
        <x:is>
          <x:t xml:space="preserve">ОБ-001</x:t>
        </x:is>
      </x:c>
      <x:c r="J1203" s="31" t="inlineStr">
        <x:is>
          <x:t xml:space="preserve">СОТР-096</x:t>
        </x:is>
      </x:c>
      <x:c r="K1203" s="31" t="n">
        <x:v>64.8</x:v>
      </x:c>
      <x:c r="L1203" s="31" t="n"/>
      <x:c r="M1203" s="31" t="n">
        <x:v>46078</x:v>
      </x:c>
      <x:c r="N1203" s="31" t="n">
        <x:v>46084</x:v>
      </x:c>
      <x:c r="O1203" s="31" t="n"/>
      <x:c r="P1203" s="31" t="n"/>
      <x:c r="Q1203" s="31" t="inlineStr">
        <x:is>
          <x:t xml:space="preserve">Запланировано</x:t>
        </x:is>
      </x:c>
      <x:c r="R1203" s="31" t="inlineStr">
        <x:is>
          <x:t xml:space="preserve">Нет</x:t>
        </x:is>
      </x:c>
      <x:c r="S1203" s="31" t="inlineStr">
        <x:is>
          <x:t xml:space="preserve">Нет</x:t>
        </x:is>
      </x:c>
    </x:row>
    <x:row r="1204">
      <x:c r="A1204" s="31" t="inlineStr">
        <x:is>
          <x:t xml:space="preserve">ОП-001203</x:t>
        </x:is>
      </x:c>
      <x:c r="B1204" s="31" t="inlineStr">
        <x:is>
          <x:t xml:space="preserve">ПЗ-00145</x:t>
        </x:is>
      </x:c>
      <x:c r="C1204" s="31" t="inlineStr">
        <x:is>
          <x:t xml:space="preserve">ЗК-1068</x:t>
        </x:is>
      </x:c>
      <x:c r="D1204" s="31" t="inlineStr">
        <x:is>
          <x:t xml:space="preserve">ПОЗ-0068-3</x:t>
        </x:is>
      </x:c>
      <x:c r="E1204" s="31" t="inlineStr">
        <x:is>
          <x:t xml:space="preserve">ИЗД-037</x:t>
        </x:is>
      </x:c>
      <x:c r="F1204" s="31" t="n">
        <x:v>10</x:v>
      </x:c>
      <x:c r="G1204" s="31" t="inlineStr">
        <x:is>
          <x:t xml:space="preserve">КД</x:t>
        </x:is>
      </x:c>
      <x:c r="H1204" s="31" t="inlineStr">
        <x:is>
          <x:t xml:space="preserve">Инженерный отдел</x:t>
        </x:is>
      </x:c>
      <x:c r="I1204" s="31" t="n"/>
      <x:c r="J1204" s="31" t="inlineStr">
        <x:is>
          <x:t xml:space="preserve">СОТР-016</x:t>
        </x:is>
      </x:c>
      <x:c r="K1204" s="31" t="n">
        <x:v>40.2</x:v>
      </x:c>
      <x:c r="L1204" s="31" t="n"/>
      <x:c r="M1204" s="31" t="n">
        <x:v>46059</x:v>
      </x:c>
      <x:c r="N1204" s="31" t="n">
        <x:v>46063</x:v>
      </x:c>
      <x:c r="O1204" s="31" t="n"/>
      <x:c r="P1204" s="31" t="n"/>
      <x:c r="Q1204" s="31" t="inlineStr">
        <x:is>
          <x:t xml:space="preserve">Запланировано</x:t>
        </x:is>
      </x:c>
      <x:c r="R1204" s="31" t="inlineStr">
        <x:is>
          <x:t xml:space="preserve">Нет</x:t>
        </x:is>
      </x:c>
      <x:c r="S1204" s="31" t="inlineStr">
        <x:is>
          <x:t xml:space="preserve">Нет</x:t>
        </x:is>
      </x:c>
    </x:row>
    <x:row r="1205">
      <x:c r="A1205" s="31" t="inlineStr">
        <x:is>
          <x:t xml:space="preserve">ОП-001204</x:t>
        </x:is>
      </x:c>
      <x:c r="B1205" s="31" t="inlineStr">
        <x:is>
          <x:t xml:space="preserve">ПЗ-00145</x:t>
        </x:is>
      </x:c>
      <x:c r="C1205" s="31" t="inlineStr">
        <x:is>
          <x:t xml:space="preserve">ЗК-1068</x:t>
        </x:is>
      </x:c>
      <x:c r="D1205" s="31" t="inlineStr">
        <x:is>
          <x:t xml:space="preserve">ПОЗ-0068-3</x:t>
        </x:is>
      </x:c>
      <x:c r="E1205" s="31" t="inlineStr">
        <x:is>
          <x:t xml:space="preserve">ИЗД-037</x:t>
        </x:is>
      </x:c>
      <x:c r="F1205" s="31" t="n">
        <x:v>20</x:v>
      </x:c>
      <x:c r="G1205" s="31" t="inlineStr">
        <x:is>
          <x:t xml:space="preserve">Резка труб</x:t>
        </x:is>
      </x:c>
      <x:c r="H1205" s="31" t="inlineStr">
        <x:is>
          <x:t xml:space="preserve">Сварка</x:t>
        </x:is>
      </x:c>
      <x:c r="I1205" s="31" t="inlineStr">
        <x:is>
          <x:t xml:space="preserve">ОБ-018</x:t>
        </x:is>
      </x:c>
      <x:c r="J1205" s="31" t="inlineStr">
        <x:is>
          <x:t xml:space="preserve">СОТР-057</x:t>
        </x:is>
      </x:c>
      <x:c r="K1205" s="31" t="n">
        <x:v>62.1</x:v>
      </x:c>
      <x:c r="L1205" s="31" t="n"/>
      <x:c r="M1205" s="31" t="n">
        <x:v>46063</x:v>
      </x:c>
      <x:c r="N1205" s="31" t="n">
        <x:v>46069</x:v>
      </x:c>
      <x:c r="O1205" s="31" t="n"/>
      <x:c r="P1205" s="31" t="n"/>
      <x:c r="Q1205" s="31" t="inlineStr">
        <x:is>
          <x:t xml:space="preserve">Запланировано</x:t>
        </x:is>
      </x:c>
      <x:c r="R1205" s="31" t="inlineStr">
        <x:is>
          <x:t xml:space="preserve">Оборудование</x:t>
        </x:is>
      </x:c>
      <x:c r="S1205" s="31" t="inlineStr">
        <x:is>
          <x:t xml:space="preserve">Нет</x:t>
        </x:is>
      </x:c>
    </x:row>
    <x:row r="1206">
      <x:c r="A1206" s="31" t="inlineStr">
        <x:is>
          <x:t xml:space="preserve">ОП-001205</x:t>
        </x:is>
      </x:c>
      <x:c r="B1206" s="31" t="inlineStr">
        <x:is>
          <x:t xml:space="preserve">ПЗ-00145</x:t>
        </x:is>
      </x:c>
      <x:c r="C1206" s="31" t="inlineStr">
        <x:is>
          <x:t xml:space="preserve">ЗК-1068</x:t>
        </x:is>
      </x:c>
      <x:c r="D1206" s="31" t="inlineStr">
        <x:is>
          <x:t xml:space="preserve">ПОЗ-0068-3</x:t>
        </x:is>
      </x:c>
      <x:c r="E1206" s="31" t="inlineStr">
        <x:is>
          <x:t xml:space="preserve">ИЗД-037</x:t>
        </x:is>
      </x:c>
      <x:c r="F1206" s="31" t="n">
        <x:v>30</x:v>
      </x:c>
      <x:c r="G1206" s="31" t="inlineStr">
        <x:is>
          <x:t xml:space="preserve">Сварка</x:t>
        </x:is>
      </x:c>
      <x:c r="H1206" s="31" t="inlineStr">
        <x:is>
          <x:t xml:space="preserve">Сварка</x:t>
        </x:is>
      </x:c>
      <x:c r="I1206" s="31" t="inlineStr">
        <x:is>
          <x:t xml:space="preserve">ОБ-018</x:t>
        </x:is>
      </x:c>
      <x:c r="J1206" s="31" t="inlineStr">
        <x:is>
          <x:t xml:space="preserve">СОТР-059</x:t>
        </x:is>
      </x:c>
      <x:c r="K1206" s="31" t="n">
        <x:v>42.9</x:v>
      </x:c>
      <x:c r="L1206" s="31" t="n"/>
      <x:c r="M1206" s="31" t="n">
        <x:v>46069</x:v>
      </x:c>
      <x:c r="N1206" s="31" t="n">
        <x:v>46073</x:v>
      </x:c>
      <x:c r="O1206" s="31" t="n"/>
      <x:c r="P1206" s="31" t="n"/>
      <x:c r="Q1206" s="31" t="inlineStr">
        <x:is>
          <x:t xml:space="preserve">Запланировано</x:t>
        </x:is>
      </x:c>
      <x:c r="R1206" s="31" t="inlineStr">
        <x:is>
          <x:t xml:space="preserve">Нет</x:t>
        </x:is>
      </x:c>
      <x:c r="S1206" s="31" t="inlineStr">
        <x:is>
          <x:t xml:space="preserve">Нет</x:t>
        </x:is>
      </x:c>
    </x:row>
    <x:row r="1207">
      <x:c r="A1207" s="31" t="inlineStr">
        <x:is>
          <x:t xml:space="preserve">ОП-001206</x:t>
        </x:is>
      </x:c>
      <x:c r="B1207" s="31" t="inlineStr">
        <x:is>
          <x:t xml:space="preserve">ПЗ-00145</x:t>
        </x:is>
      </x:c>
      <x:c r="C1207" s="31" t="inlineStr">
        <x:is>
          <x:t xml:space="preserve">ЗК-1068</x:t>
        </x:is>
      </x:c>
      <x:c r="D1207" s="31" t="inlineStr">
        <x:is>
          <x:t xml:space="preserve">ПОЗ-0068-3</x:t>
        </x:is>
      </x:c>
      <x:c r="E1207" s="31" t="inlineStr">
        <x:is>
          <x:t xml:space="preserve">ИЗД-037</x:t>
        </x:is>
      </x:c>
      <x:c r="F1207" s="31" t="n">
        <x:v>40</x:v>
      </x:c>
      <x:c r="G1207" s="31" t="inlineStr">
        <x:is>
          <x:t xml:space="preserve">НК сварных швов</x:t>
        </x:is>
      </x:c>
      <x:c r="H1207" s="31" t="inlineStr">
        <x:is>
          <x:t xml:space="preserve">ОТК</x:t>
        </x:is>
      </x:c>
      <x:c r="I1207" s="31" t="inlineStr">
        <x:is>
          <x:t xml:space="preserve">ОБ-007</x:t>
        </x:is>
      </x:c>
      <x:c r="J1207" s="31" t="inlineStr">
        <x:is>
          <x:t xml:space="preserve">СОТР-093</x:t>
        </x:is>
      </x:c>
      <x:c r="K1207" s="31" t="n">
        <x:v>10.2</x:v>
      </x:c>
      <x:c r="L1207" s="31" t="n"/>
      <x:c r="M1207" s="31" t="n">
        <x:v>46073</x:v>
      </x:c>
      <x:c r="N1207" s="31" t="n">
        <x:v>46074</x:v>
      </x:c>
      <x:c r="O1207" s="31" t="n"/>
      <x:c r="P1207" s="31" t="n"/>
      <x:c r="Q1207" s="31" t="inlineStr">
        <x:is>
          <x:t xml:space="preserve">Запланировано</x:t>
        </x:is>
      </x:c>
      <x:c r="R1207" s="31" t="inlineStr">
        <x:is>
          <x:t xml:space="preserve">Нет</x:t>
        </x:is>
      </x:c>
      <x:c r="S1207" s="31" t="inlineStr">
        <x:is>
          <x:t xml:space="preserve">Нет</x:t>
        </x:is>
      </x:c>
    </x:row>
    <x:row r="1208">
      <x:c r="A1208" s="31" t="inlineStr">
        <x:is>
          <x:t xml:space="preserve">ОП-001207</x:t>
        </x:is>
      </x:c>
      <x:c r="B1208" s="31" t="inlineStr">
        <x:is>
          <x:t xml:space="preserve">ПЗ-00145</x:t>
        </x:is>
      </x:c>
      <x:c r="C1208" s="31" t="inlineStr">
        <x:is>
          <x:t xml:space="preserve">ЗК-1068</x:t>
        </x:is>
      </x:c>
      <x:c r="D1208" s="31" t="inlineStr">
        <x:is>
          <x:t xml:space="preserve">ПОЗ-0068-3</x:t>
        </x:is>
      </x:c>
      <x:c r="E1208" s="31" t="inlineStr">
        <x:is>
          <x:t xml:space="preserve">ИЗД-037</x:t>
        </x:is>
      </x:c>
      <x:c r="F1208" s="31" t="n">
        <x:v>50</x:v>
      </x:c>
      <x:c r="G1208" s="31" t="inlineStr">
        <x:is>
          <x:t xml:space="preserve">Гидроиспытания</x:t>
        </x:is>
      </x:c>
      <x:c r="H1208" s="31" t="inlineStr">
        <x:is>
          <x:t xml:space="preserve">ОТК</x:t>
        </x:is>
      </x:c>
      <x:c r="I1208" s="31" t="inlineStr">
        <x:is>
          <x:t xml:space="preserve">ОБ-015</x:t>
        </x:is>
      </x:c>
      <x:c r="J1208" s="31" t="inlineStr">
        <x:is>
          <x:t xml:space="preserve">СОТР-099</x:t>
        </x:is>
      </x:c>
      <x:c r="K1208" s="31" t="n">
        <x:v>14.1</x:v>
      </x:c>
      <x:c r="L1208" s="31" t="n"/>
      <x:c r="M1208" s="31" t="n">
        <x:v>46074</x:v>
      </x:c>
      <x:c r="N1208" s="31" t="n">
        <x:v>46076</x:v>
      </x:c>
      <x:c r="O1208" s="31" t="n"/>
      <x:c r="P1208" s="31" t="n"/>
      <x:c r="Q1208" s="31" t="inlineStr">
        <x:is>
          <x:t xml:space="preserve">Запланировано</x:t>
        </x:is>
      </x:c>
      <x:c r="R1208" s="31" t="inlineStr">
        <x:is>
          <x:t xml:space="preserve">Нет</x:t>
        </x:is>
      </x:c>
      <x:c r="S1208" s="31" t="inlineStr">
        <x:is>
          <x:t xml:space="preserve">Нет</x:t>
        </x:is>
      </x:c>
    </x:row>
    <x:row r="1209">
      <x:c r="A1209" s="31" t="inlineStr">
        <x:is>
          <x:t xml:space="preserve">ОП-001208</x:t>
        </x:is>
      </x:c>
      <x:c r="B1209" s="31" t="inlineStr">
        <x:is>
          <x:t xml:space="preserve">ПЗ-00145</x:t>
        </x:is>
      </x:c>
      <x:c r="C1209" s="31" t="inlineStr">
        <x:is>
          <x:t xml:space="preserve">ЗК-1068</x:t>
        </x:is>
      </x:c>
      <x:c r="D1209" s="31" t="inlineStr">
        <x:is>
          <x:t xml:space="preserve">ПОЗ-0068-3</x:t>
        </x:is>
      </x:c>
      <x:c r="E1209" s="31" t="inlineStr">
        <x:is>
          <x:t xml:space="preserve">ИЗД-037</x:t>
        </x:is>
      </x:c>
      <x:c r="F1209" s="31" t="n">
        <x:v>60</x:v>
      </x:c>
      <x:c r="G1209" s="31" t="inlineStr">
        <x:is>
          <x:t xml:space="preserve">Покраска</x:t>
        </x:is>
      </x:c>
      <x:c r="H1209" s="31" t="inlineStr">
        <x:is>
          <x:t xml:space="preserve">Сварка</x:t>
        </x:is>
      </x:c>
      <x:c r="I1209" s="31" t="inlineStr">
        <x:is>
          <x:t xml:space="preserve">ОБ-004</x:t>
        </x:is>
      </x:c>
      <x:c r="J1209" s="31" t="inlineStr">
        <x:is>
          <x:t xml:space="preserve">СОТР-068</x:t>
        </x:is>
      </x:c>
      <x:c r="K1209" s="31" t="n">
        <x:v>25.8</x:v>
      </x:c>
      <x:c r="L1209" s="31" t="n"/>
      <x:c r="M1209" s="31" t="n">
        <x:v>46076</x:v>
      </x:c>
      <x:c r="N1209" s="31" t="n">
        <x:v>46079</x:v>
      </x:c>
      <x:c r="O1209" s="31" t="n"/>
      <x:c r="P1209" s="31" t="n"/>
      <x:c r="Q1209" s="31" t="inlineStr">
        <x:is>
          <x:t xml:space="preserve">Запланировано</x:t>
        </x:is>
      </x:c>
      <x:c r="R1209" s="31" t="inlineStr">
        <x:is>
          <x:t xml:space="preserve">Нет</x:t>
        </x:is>
      </x:c>
      <x:c r="S1209" s="31" t="inlineStr">
        <x:is>
          <x:t xml:space="preserve">Нет</x:t>
        </x:is>
      </x:c>
    </x:row>
    <x:row r="1210">
      <x:c r="A1210" s="31" t="inlineStr">
        <x:is>
          <x:t xml:space="preserve">ОП-001209</x:t>
        </x:is>
      </x:c>
      <x:c r="B1210" s="31" t="inlineStr">
        <x:is>
          <x:t xml:space="preserve">ПЗ-00145</x:t>
        </x:is>
      </x:c>
      <x:c r="C1210" s="31" t="inlineStr">
        <x:is>
          <x:t xml:space="preserve">ЗК-1068</x:t>
        </x:is>
      </x:c>
      <x:c r="D1210" s="31" t="inlineStr">
        <x:is>
          <x:t xml:space="preserve">ПОЗ-0068-3</x:t>
        </x:is>
      </x:c>
      <x:c r="E1210" s="31" t="inlineStr">
        <x:is>
          <x:t xml:space="preserve">ИЗД-037</x:t>
        </x:is>
      </x:c>
      <x:c r="F1210" s="31" t="n">
        <x:v>70</x:v>
      </x:c>
      <x:c r="G1210" s="31" t="inlineStr">
        <x:is>
          <x:t xml:space="preserve">ОТК</x:t>
        </x:is>
      </x:c>
      <x:c r="H1210" s="31" t="inlineStr">
        <x:is>
          <x:t xml:space="preserve">ОТК</x:t>
        </x:is>
      </x:c>
      <x:c r="I1210" s="31" t="inlineStr">
        <x:is>
          <x:t xml:space="preserve">ОБ-032</x:t>
        </x:is>
      </x:c>
      <x:c r="J1210" s="31" t="inlineStr">
        <x:is>
          <x:t xml:space="preserve">СОТР-099</x:t>
        </x:is>
      </x:c>
      <x:c r="K1210" s="31" t="n">
        <x:v>56.1</x:v>
      </x:c>
      <x:c r="L1210" s="31" t="n"/>
      <x:c r="M1210" s="31" t="n">
        <x:v>46079</x:v>
      </x:c>
      <x:c r="N1210" s="31" t="n">
        <x:v>46084</x:v>
      </x:c>
      <x:c r="O1210" s="31" t="n"/>
      <x:c r="P1210" s="31" t="n"/>
      <x:c r="Q1210" s="31" t="inlineStr">
        <x:is>
          <x:t xml:space="preserve">Запланировано</x:t>
        </x:is>
      </x:c>
      <x:c r="R1210" s="31" t="inlineStr">
        <x:is>
          <x:t xml:space="preserve">Нет</x:t>
        </x:is>
      </x:c>
      <x:c r="S1210" s="31" t="inlineStr">
        <x:is>
          <x:t xml:space="preserve">Да</x:t>
        </x:is>
      </x:c>
    </x:row>
    <x:row r="1211">
      <x:c r="A1211" s="31" t="inlineStr">
        <x:is>
          <x:t xml:space="preserve">ОП-001210</x:t>
        </x:is>
      </x:c>
      <x:c r="B1211" s="31" t="inlineStr">
        <x:is>
          <x:t xml:space="preserve">ПЗ-00146</x:t>
        </x:is>
      </x:c>
      <x:c r="C1211" s="31" t="inlineStr">
        <x:is>
          <x:t xml:space="preserve">ЗК-1068</x:t>
        </x:is>
      </x:c>
      <x:c r="D1211" s="31" t="inlineStr">
        <x:is>
          <x:t xml:space="preserve">ПОЗ-0068-4</x:t>
        </x:is>
      </x:c>
      <x:c r="E1211" s="31" t="inlineStr">
        <x:is>
          <x:t xml:space="preserve">ИЗД-017</x:t>
        </x:is>
      </x:c>
      <x:c r="F1211" s="31" t="n">
        <x:v>10</x:v>
      </x:c>
      <x:c r="G1211" s="31" t="inlineStr">
        <x:is>
          <x:t xml:space="preserve">КД</x:t>
        </x:is>
      </x:c>
      <x:c r="H1211" s="31" t="inlineStr">
        <x:is>
          <x:t xml:space="preserve">Инженерный отдел</x:t>
        </x:is>
      </x:c>
      <x:c r="I1211" s="31" t="n"/>
      <x:c r="J1211" s="31" t="inlineStr">
        <x:is>
          <x:t xml:space="preserve">СОТР-015</x:t>
        </x:is>
      </x:c>
      <x:c r="K1211" s="31" t="n">
        <x:v>12.2</x:v>
      </x:c>
      <x:c r="L1211" s="31" t="n">
        <x:v>15.1</x:v>
      </x:c>
      <x:c r="M1211" s="31" t="n">
        <x:v>46053</x:v>
      </x:c>
      <x:c r="N1211" s="31" t="n">
        <x:v>46055</x:v>
      </x:c>
      <x:c r="O1211" s="31" t="n">
        <x:v>46053</x:v>
      </x:c>
      <x:c r="P1211" s="31" t="n">
        <x:v>46057</x:v>
      </x:c>
      <x:c r="Q1211" s="31" t="inlineStr">
        <x:is>
          <x:t xml:space="preserve">Завершено</x:t>
        </x:is>
      </x:c>
      <x:c r="R1211" s="31" t="inlineStr">
        <x:is>
          <x:t xml:space="preserve">Нет</x:t>
        </x:is>
      </x:c>
      <x:c r="S1211" s="31" t="inlineStr">
        <x:is>
          <x:t xml:space="preserve">Нет</x:t>
        </x:is>
      </x:c>
    </x:row>
    <x:row r="1212">
      <x:c r="A1212" s="31" t="inlineStr">
        <x:is>
          <x:t xml:space="preserve">ОП-001211</x:t>
        </x:is>
      </x:c>
      <x:c r="B1212" s="31" t="inlineStr">
        <x:is>
          <x:t xml:space="preserve">ПЗ-00146</x:t>
        </x:is>
      </x:c>
      <x:c r="C1212" s="31" t="inlineStr">
        <x:is>
          <x:t xml:space="preserve">ЗК-1068</x:t>
        </x:is>
      </x:c>
      <x:c r="D1212" s="31" t="inlineStr">
        <x:is>
          <x:t xml:space="preserve">ПОЗ-0068-4</x:t>
        </x:is>
      </x:c>
      <x:c r="E1212" s="31" t="inlineStr">
        <x:is>
          <x:t xml:space="preserve">ИЗД-017</x:t>
        </x:is>
      </x:c>
      <x:c r="F1212" s="31" t="n">
        <x:v>20</x:v>
      </x:c>
      <x:c r="G1212" s="31" t="inlineStr">
        <x:is>
          <x:t xml:space="preserve">Резерв материалов</x:t>
        </x:is>
      </x:c>
      <x:c r="H1212" s="31" t="inlineStr">
        <x:is>
          <x:t xml:space="preserve">Склад</x:t>
        </x:is>
      </x:c>
      <x:c r="I1212" s="31" t="inlineStr">
        <x:is>
          <x:t xml:space="preserve">ОБ-025</x:t>
        </x:is>
      </x:c>
      <x:c r="J1212" s="31" t="inlineStr">
        <x:is>
          <x:t xml:space="preserve">СОТР-035</x:t>
        </x:is>
      </x:c>
      <x:c r="K1212" s="31" t="n">
        <x:v>12.5</x:v>
      </x:c>
      <x:c r="L1212" s="31" t="n"/>
      <x:c r="M1212" s="31" t="n">
        <x:v>46055</x:v>
      </x:c>
      <x:c r="N1212" s="31" t="n">
        <x:v>46057</x:v>
      </x:c>
      <x:c r="O1212" s="31" t="n"/>
      <x:c r="P1212" s="31" t="n"/>
      <x:c r="Q1212" s="31" t="inlineStr">
        <x:is>
          <x:t xml:space="preserve">Запланировано</x:t>
        </x:is>
      </x:c>
      <x:c r="R1212" s="31" t="inlineStr">
        <x:is>
          <x:t xml:space="preserve">Материал</x:t>
        </x:is>
      </x:c>
      <x:c r="S1212" s="31" t="inlineStr">
        <x:is>
          <x:t xml:space="preserve">Нет</x:t>
        </x:is>
      </x:c>
    </x:row>
    <x:row r="1213">
      <x:c r="A1213" s="31" t="inlineStr">
        <x:is>
          <x:t xml:space="preserve">ОП-001212</x:t>
        </x:is>
      </x:c>
      <x:c r="B1213" s="31" t="inlineStr">
        <x:is>
          <x:t xml:space="preserve">ПЗ-00146</x:t>
        </x:is>
      </x:c>
      <x:c r="C1213" s="31" t="inlineStr">
        <x:is>
          <x:t xml:space="preserve">ЗК-1068</x:t>
        </x:is>
      </x:c>
      <x:c r="D1213" s="31" t="inlineStr">
        <x:is>
          <x:t xml:space="preserve">ПОЗ-0068-4</x:t>
        </x:is>
      </x:c>
      <x:c r="E1213" s="31" t="inlineStr">
        <x:is>
          <x:t xml:space="preserve">ИЗД-017</x:t>
        </x:is>
      </x:c>
      <x:c r="F1213" s="31" t="n">
        <x:v>30</x:v>
      </x:c>
      <x:c r="G1213" s="31" t="inlineStr">
        <x:is>
          <x:t xml:space="preserve">Сварка рамы</x:t>
        </x:is>
      </x:c>
      <x:c r="H1213" s="31" t="inlineStr">
        <x:is>
          <x:t xml:space="preserve">Сварка</x:t>
        </x:is>
      </x:c>
      <x:c r="I1213" s="31" t="inlineStr">
        <x:is>
          <x:t xml:space="preserve">ОБ-003</x:t>
        </x:is>
      </x:c>
      <x:c r="J1213" s="31" t="inlineStr">
        <x:is>
          <x:t xml:space="preserve">СОТР-071</x:t>
        </x:is>
      </x:c>
      <x:c r="K1213" s="31" t="n">
        <x:v>4.9</x:v>
      </x:c>
      <x:c r="L1213" s="31" t="n">
        <x:v>4.2</x:v>
      </x:c>
      <x:c r="M1213" s="31" t="n">
        <x:v>46057</x:v>
      </x:c>
      <x:c r="N1213" s="31" t="n">
        <x:v>46058</x:v>
      </x:c>
      <x:c r="O1213" s="31" t="n">
        <x:v>46057</x:v>
      </x:c>
      <x:c r="P1213" s="31" t="n">
        <x:v>46058</x:v>
      </x:c>
      <x:c r="Q1213" s="31" t="inlineStr">
        <x:is>
          <x:t xml:space="preserve">Завершено</x:t>
        </x:is>
      </x:c>
      <x:c r="R1213" s="31" t="inlineStr">
        <x:is>
          <x:t xml:space="preserve">Материал</x:t>
        </x:is>
      </x:c>
      <x:c r="S1213" s="31" t="inlineStr">
        <x:is>
          <x:t xml:space="preserve">Нет</x:t>
        </x:is>
      </x:c>
    </x:row>
    <x:row r="1214">
      <x:c r="A1214" s="31" t="inlineStr">
        <x:is>
          <x:t xml:space="preserve">ОП-001213</x:t>
        </x:is>
      </x:c>
      <x:c r="B1214" s="31" t="inlineStr">
        <x:is>
          <x:t xml:space="preserve">ПЗ-00146</x:t>
        </x:is>
      </x:c>
      <x:c r="C1214" s="31" t="inlineStr">
        <x:is>
          <x:t xml:space="preserve">ЗК-1068</x:t>
        </x:is>
      </x:c>
      <x:c r="D1214" s="31" t="inlineStr">
        <x:is>
          <x:t xml:space="preserve">ПОЗ-0068-4</x:t>
        </x:is>
      </x:c>
      <x:c r="E1214" s="31" t="inlineStr">
        <x:is>
          <x:t xml:space="preserve">ИЗД-017</x:t>
        </x:is>
      </x:c>
      <x:c r="F1214" s="31" t="n">
        <x:v>40</x:v>
      </x:c>
      <x:c r="G1214" s="31" t="inlineStr">
        <x:is>
          <x:t xml:space="preserve">Сборка</x:t>
        </x:is>
      </x:c>
      <x:c r="H1214" s="31" t="inlineStr">
        <x:is>
          <x:t xml:space="preserve">Сборка</x:t>
        </x:is>
      </x:c>
      <x:c r="I1214" s="31" t="inlineStr">
        <x:is>
          <x:t xml:space="preserve">ОБ-016</x:t>
        </x:is>
      </x:c>
      <x:c r="J1214" s="31" t="inlineStr">
        <x:is>
          <x:t xml:space="preserve">СОТР-080</x:t>
        </x:is>
      </x:c>
      <x:c r="K1214" s="31" t="n">
        <x:v>16.6</x:v>
      </x:c>
      <x:c r="L1214" s="31" t="n">
        <x:v>15.8</x:v>
      </x:c>
      <x:c r="M1214" s="31" t="n">
        <x:v>46058</x:v>
      </x:c>
      <x:c r="N1214" s="31" t="n">
        <x:v>46060</x:v>
      </x:c>
      <x:c r="O1214" s="31" t="n">
        <x:v>46058</x:v>
      </x:c>
      <x:c r="P1214" s="31" t="n">
        <x:v>46061</x:v>
      </x:c>
      <x:c r="Q1214" s="31" t="inlineStr">
        <x:is>
          <x:t xml:space="preserve">Завершено</x:t>
        </x:is>
      </x:c>
      <x:c r="R1214" s="31" t="inlineStr">
        <x:is>
          <x:t xml:space="preserve">Нет</x:t>
        </x:is>
      </x:c>
      <x:c r="S1214" s="31" t="inlineStr">
        <x:is>
          <x:t xml:space="preserve">Нет</x:t>
        </x:is>
      </x:c>
    </x:row>
    <x:row r="1215">
      <x:c r="A1215" s="31" t="inlineStr">
        <x:is>
          <x:t xml:space="preserve">ОП-001214</x:t>
        </x:is>
      </x:c>
      <x:c r="B1215" s="31" t="inlineStr">
        <x:is>
          <x:t xml:space="preserve">ПЗ-00146</x:t>
        </x:is>
      </x:c>
      <x:c r="C1215" s="31" t="inlineStr">
        <x:is>
          <x:t xml:space="preserve">ЗК-1068</x:t>
        </x:is>
      </x:c>
      <x:c r="D1215" s="31" t="inlineStr">
        <x:is>
          <x:t xml:space="preserve">ПОЗ-0068-4</x:t>
        </x:is>
      </x:c>
      <x:c r="E1215" s="31" t="inlineStr">
        <x:is>
          <x:t xml:space="preserve">ИЗД-017</x:t>
        </x:is>
      </x:c>
      <x:c r="F1215" s="31" t="n">
        <x:v>50</x:v>
      </x:c>
      <x:c r="G1215" s="31" t="inlineStr">
        <x:is>
          <x:t xml:space="preserve">Обвязка труб</x:t>
        </x:is>
      </x:c>
      <x:c r="H1215" s="31" t="inlineStr">
        <x:is>
          <x:t xml:space="preserve">Сборка</x:t>
        </x:is>
      </x:c>
      <x:c r="I1215" s="31" t="inlineStr">
        <x:is>
          <x:t xml:space="preserve">ОБ-012</x:t>
        </x:is>
      </x:c>
      <x:c r="J1215" s="31" t="inlineStr">
        <x:is>
          <x:t xml:space="preserve">СОТР-077</x:t>
        </x:is>
      </x:c>
      <x:c r="K1215" s="31" t="n">
        <x:v>3.5</x:v>
      </x:c>
      <x:c r="L1215" s="31" t="n"/>
      <x:c r="M1215" s="31" t="n">
        <x:v>46060</x:v>
      </x:c>
      <x:c r="N1215" s="31" t="n">
        <x:v>46061</x:v>
      </x:c>
      <x:c r="O1215" s="31" t="n"/>
      <x:c r="P1215" s="31" t="n"/>
      <x:c r="Q1215" s="31" t="inlineStr">
        <x:is>
          <x:t xml:space="preserve">Запланировано</x:t>
        </x:is>
      </x:c>
      <x:c r="R1215" s="31" t="inlineStr">
        <x:is>
          <x:t xml:space="preserve">Нет</x:t>
        </x:is>
      </x:c>
      <x:c r="S1215" s="31" t="inlineStr">
        <x:is>
          <x:t xml:space="preserve">Нет</x:t>
        </x:is>
      </x:c>
    </x:row>
    <x:row r="1216">
      <x:c r="A1216" s="31" t="inlineStr">
        <x:is>
          <x:t xml:space="preserve">ОП-001215</x:t>
        </x:is>
      </x:c>
      <x:c r="B1216" s="31" t="inlineStr">
        <x:is>
          <x:t xml:space="preserve">ПЗ-00146</x:t>
        </x:is>
      </x:c>
      <x:c r="C1216" s="31" t="inlineStr">
        <x:is>
          <x:t xml:space="preserve">ЗК-1068</x:t>
        </x:is>
      </x:c>
      <x:c r="D1216" s="31" t="inlineStr">
        <x:is>
          <x:t xml:space="preserve">ПОЗ-0068-4</x:t>
        </x:is>
      </x:c>
      <x:c r="E1216" s="31" t="inlineStr">
        <x:is>
          <x:t xml:space="preserve">ИЗД-017</x:t>
        </x:is>
      </x:c>
      <x:c r="F1216" s="31" t="n">
        <x:v>60</x:v>
      </x:c>
      <x:c r="G1216" s="31" t="inlineStr">
        <x:is>
          <x:t xml:space="preserve">Электромонтаж</x:t>
        </x:is>
      </x:c>
      <x:c r="H1216" s="31" t="inlineStr">
        <x:is>
          <x:t xml:space="preserve">Сборка</x:t>
        </x:is>
      </x:c>
      <x:c r="I1216" s="31" t="inlineStr">
        <x:is>
          <x:t xml:space="preserve">ОБ-034</x:t>
        </x:is>
      </x:c>
      <x:c r="J1216" s="31" t="inlineStr">
        <x:is>
          <x:t xml:space="preserve">СОТР-088</x:t>
        </x:is>
      </x:c>
      <x:c r="K1216" s="31" t="n">
        <x:v>13.2</x:v>
      </x:c>
      <x:c r="L1216" s="31" t="n">
        <x:v>12.6</x:v>
      </x:c>
      <x:c r="M1216" s="31" t="n">
        <x:v>46061</x:v>
      </x:c>
      <x:c r="N1216" s="31" t="n">
        <x:v>46063</x:v>
      </x:c>
      <x:c r="O1216" s="31" t="n">
        <x:v>46061</x:v>
      </x:c>
      <x:c r="P1216" s="31" t="n">
        <x:v>46065</x:v>
      </x:c>
      <x:c r="Q1216" s="31" t="inlineStr">
        <x:is>
          <x:t xml:space="preserve">Завершено</x:t>
        </x:is>
      </x:c>
      <x:c r="R1216" s="31" t="inlineStr">
        <x:is>
          <x:t xml:space="preserve">Нет</x:t>
        </x:is>
      </x:c>
      <x:c r="S1216" s="31" t="inlineStr">
        <x:is>
          <x:t xml:space="preserve">Нет</x:t>
        </x:is>
      </x:c>
    </x:row>
    <x:row r="1217">
      <x:c r="A1217" s="31" t="inlineStr">
        <x:is>
          <x:t xml:space="preserve">ОП-001216</x:t>
        </x:is>
      </x:c>
      <x:c r="B1217" s="31" t="inlineStr">
        <x:is>
          <x:t xml:space="preserve">ПЗ-00146</x:t>
        </x:is>
      </x:c>
      <x:c r="C1217" s="31" t="inlineStr">
        <x:is>
          <x:t xml:space="preserve">ЗК-1068</x:t>
        </x:is>
      </x:c>
      <x:c r="D1217" s="31" t="inlineStr">
        <x:is>
          <x:t xml:space="preserve">ПОЗ-0068-4</x:t>
        </x:is>
      </x:c>
      <x:c r="E1217" s="31" t="inlineStr">
        <x:is>
          <x:t xml:space="preserve">ИЗД-017</x:t>
        </x:is>
      </x:c>
      <x:c r="F1217" s="31" t="n">
        <x:v>70</x:v>
      </x:c>
      <x:c r="G1217" s="31" t="inlineStr">
        <x:is>
          <x:t xml:space="preserve">Гидроиспытания</x:t>
        </x:is>
      </x:c>
      <x:c r="H1217" s="31" t="inlineStr">
        <x:is>
          <x:t xml:space="preserve">ОТК</x:t>
        </x:is>
      </x:c>
      <x:c r="I1217" s="31" t="inlineStr">
        <x:is>
          <x:t xml:space="preserve">ОБ-001</x:t>
        </x:is>
      </x:c>
      <x:c r="J1217" s="31" t="inlineStr">
        <x:is>
          <x:t xml:space="preserve">СОТР-099</x:t>
        </x:is>
      </x:c>
      <x:c r="K1217" s="31" t="n">
        <x:v>11.8</x:v>
      </x:c>
      <x:c r="L1217" s="31" t="n"/>
      <x:c r="M1217" s="31" t="n">
        <x:v>46063</x:v>
      </x:c>
      <x:c r="N1217" s="31" t="n">
        <x:v>46064</x:v>
      </x:c>
      <x:c r="O1217" s="31" t="n"/>
      <x:c r="P1217" s="31" t="n"/>
      <x:c r="Q1217" s="31" t="inlineStr">
        <x:is>
          <x:t xml:space="preserve">Запланировано</x:t>
        </x:is>
      </x:c>
      <x:c r="R1217" s="31" t="inlineStr">
        <x:is>
          <x:t xml:space="preserve">Ожидание ОТК</x:t>
        </x:is>
      </x:c>
      <x:c r="S1217" s="31" t="inlineStr">
        <x:is>
          <x:t xml:space="preserve">Да</x:t>
        </x:is>
      </x:c>
    </x:row>
    <x:row r="1218">
      <x:c r="A1218" s="31" t="inlineStr">
        <x:is>
          <x:t xml:space="preserve">ОП-001217</x:t>
        </x:is>
      </x:c>
      <x:c r="B1218" s="31" t="inlineStr">
        <x:is>
          <x:t xml:space="preserve">ПЗ-00146</x:t>
        </x:is>
      </x:c>
      <x:c r="C1218" s="31" t="inlineStr">
        <x:is>
          <x:t xml:space="preserve">ЗК-1068</x:t>
        </x:is>
      </x:c>
      <x:c r="D1218" s="31" t="inlineStr">
        <x:is>
          <x:t xml:space="preserve">ПОЗ-0068-4</x:t>
        </x:is>
      </x:c>
      <x:c r="E1218" s="31" t="inlineStr">
        <x:is>
          <x:t xml:space="preserve">ИЗД-017</x:t>
        </x:is>
      </x:c>
      <x:c r="F1218" s="31" t="n">
        <x:v>80</x:v>
      </x:c>
      <x:c r="G1218" s="31" t="inlineStr">
        <x:is>
          <x:t xml:space="preserve">ОТК</x:t>
        </x:is>
      </x:c>
      <x:c r="H1218" s="31" t="inlineStr">
        <x:is>
          <x:t xml:space="preserve">ОТК</x:t>
        </x:is>
      </x:c>
      <x:c r="I1218" s="31" t="inlineStr">
        <x:is>
          <x:t xml:space="preserve">ОБ-024</x:t>
        </x:is>
      </x:c>
      <x:c r="J1218" s="31" t="inlineStr">
        <x:is>
          <x:t xml:space="preserve">СОТР-093</x:t>
        </x:is>
      </x:c>
      <x:c r="K1218" s="31" t="n">
        <x:v>8.1</x:v>
      </x:c>
      <x:c r="L1218" s="31" t="n"/>
      <x:c r="M1218" s="31" t="n">
        <x:v>46064</x:v>
      </x:c>
      <x:c r="N1218" s="31" t="n">
        <x:v>46065</x:v>
      </x:c>
      <x:c r="O1218" s="31" t="n"/>
      <x:c r="P1218" s="31" t="n"/>
      <x:c r="Q1218" s="31" t="inlineStr">
        <x:is>
          <x:t xml:space="preserve">Запланировано</x:t>
        </x:is>
      </x:c>
      <x:c r="R1218" s="31" t="inlineStr">
        <x:is>
          <x:t xml:space="preserve">Нет</x:t>
        </x:is>
      </x:c>
      <x:c r="S1218" s="31" t="inlineStr">
        <x:is>
          <x:t xml:space="preserve">Да</x:t>
        </x:is>
      </x:c>
    </x:row>
    <x:row r="1219">
      <x:c r="A1219" s="31" t="inlineStr">
        <x:is>
          <x:t xml:space="preserve">ОП-001218</x:t>
        </x:is>
      </x:c>
      <x:c r="B1219" s="31" t="inlineStr">
        <x:is>
          <x:t xml:space="preserve">ПЗ-00146</x:t>
        </x:is>
      </x:c>
      <x:c r="C1219" s="31" t="inlineStr">
        <x:is>
          <x:t xml:space="preserve">ЗК-1068</x:t>
        </x:is>
      </x:c>
      <x:c r="D1219" s="31" t="inlineStr">
        <x:is>
          <x:t xml:space="preserve">ПОЗ-0068-4</x:t>
        </x:is>
      </x:c>
      <x:c r="E1219" s="31" t="inlineStr">
        <x:is>
          <x:t xml:space="preserve">ИЗД-017</x:t>
        </x:is>
      </x:c>
      <x:c r="F1219" s="31" t="n">
        <x:v>90</x:v>
      </x:c>
      <x:c r="G1219" s="31" t="inlineStr">
        <x:is>
          <x:t xml:space="preserve">Упаковка</x:t>
        </x:is>
      </x:c>
      <x:c r="H1219" s="31" t="inlineStr">
        <x:is>
          <x:t xml:space="preserve">Логистика</x:t>
        </x:is>
      </x:c>
      <x:c r="I1219" s="31" t="n"/>
      <x:c r="J1219" s="31" t="inlineStr">
        <x:is>
          <x:t xml:space="preserve">СОТР-104</x:t>
        </x:is>
      </x:c>
      <x:c r="K1219" s="31" t="n">
        <x:v>16.4</x:v>
      </x:c>
      <x:c r="L1219" s="31" t="n"/>
      <x:c r="M1219" s="31" t="n">
        <x:v>46065</x:v>
      </x:c>
      <x:c r="N1219" s="31" t="n">
        <x:v>46067</x:v>
      </x:c>
      <x:c r="O1219" s="31" t="n"/>
      <x:c r="P1219" s="31" t="n"/>
      <x:c r="Q1219" s="31" t="inlineStr">
        <x:is>
          <x:t xml:space="preserve">Запланировано</x:t>
        </x:is>
      </x:c>
      <x:c r="R1219" s="31" t="inlineStr">
        <x:is>
          <x:t xml:space="preserve">Нет</x:t>
        </x:is>
      </x:c>
      <x:c r="S1219" s="31" t="inlineStr">
        <x:is>
          <x:t xml:space="preserve">Да</x:t>
        </x:is>
      </x:c>
    </x:row>
    <x:row r="1220">
      <x:c r="A1220" s="31" t="inlineStr">
        <x:is>
          <x:t xml:space="preserve">ОП-001219</x:t>
        </x:is>
      </x:c>
      <x:c r="B1220" s="31" t="inlineStr">
        <x:is>
          <x:t xml:space="preserve">ПЗ-00147</x:t>
        </x:is>
      </x:c>
      <x:c r="C1220" s="31" t="inlineStr">
        <x:is>
          <x:t xml:space="preserve">ЗК-1069</x:t>
        </x:is>
      </x:c>
      <x:c r="D1220" s="31" t="inlineStr">
        <x:is>
          <x:t xml:space="preserve">ПОЗ-0069-1</x:t>
        </x:is>
      </x:c>
      <x:c r="E1220" s="31" t="inlineStr">
        <x:is>
          <x:t xml:space="preserve">ИЗД-044</x:t>
        </x:is>
      </x:c>
      <x:c r="F1220" s="31" t="n">
        <x:v>10</x:v>
      </x:c>
      <x:c r="G1220" s="31" t="inlineStr">
        <x:is>
          <x:t xml:space="preserve">КД</x:t>
        </x:is>
      </x:c>
      <x:c r="H1220" s="31" t="inlineStr">
        <x:is>
          <x:t xml:space="preserve">Инженерный отдел</x:t>
        </x:is>
      </x:c>
      <x:c r="I1220" s="31" t="n"/>
      <x:c r="J1220" s="31" t="inlineStr">
        <x:is>
          <x:t xml:space="preserve">СОТР-021</x:t>
        </x:is>
      </x:c>
      <x:c r="K1220" s="31" t="n">
        <x:v>82.2</x:v>
      </x:c>
      <x:c r="L1220" s="31" t="n">
        <x:v>80.3</x:v>
      </x:c>
      <x:c r="M1220" s="31" t="n">
        <x:v>46188</x:v>
      </x:c>
      <x:c r="N1220" s="31" t="n">
        <x:v>46195</x:v>
      </x:c>
      <x:c r="O1220" s="31" t="n">
        <x:v>46188</x:v>
      </x:c>
      <x:c r="P1220" s="31" t="n">
        <x:v>46195</x:v>
      </x:c>
      <x:c r="Q1220" s="31" t="inlineStr">
        <x:is>
          <x:t xml:space="preserve">Завершено</x:t>
        </x:is>
      </x:c>
      <x:c r="R1220" s="31" t="inlineStr">
        <x:is>
          <x:t xml:space="preserve">Нет</x:t>
        </x:is>
      </x:c>
      <x:c r="S1220" s="31" t="inlineStr">
        <x:is>
          <x:t xml:space="preserve">Нет</x:t>
        </x:is>
      </x:c>
    </x:row>
    <x:row r="1221">
      <x:c r="A1221" s="31" t="inlineStr">
        <x:is>
          <x:t xml:space="preserve">ОП-001220</x:t>
        </x:is>
      </x:c>
      <x:c r="B1221" s="31" t="inlineStr">
        <x:is>
          <x:t xml:space="preserve">ПЗ-00147</x:t>
        </x:is>
      </x:c>
      <x:c r="C1221" s="31" t="inlineStr">
        <x:is>
          <x:t xml:space="preserve">ЗК-1069</x:t>
        </x:is>
      </x:c>
      <x:c r="D1221" s="31" t="inlineStr">
        <x:is>
          <x:t xml:space="preserve">ПОЗ-0069-1</x:t>
        </x:is>
      </x:c>
      <x:c r="E1221" s="31" t="inlineStr">
        <x:is>
          <x:t xml:space="preserve">ИЗД-044</x:t>
        </x:is>
      </x:c>
      <x:c r="F1221" s="31" t="n">
        <x:v>20</x:v>
      </x:c>
      <x:c r="G1221" s="31" t="inlineStr">
        <x:is>
          <x:t xml:space="preserve">Резерв материалов</x:t>
        </x:is>
      </x:c>
      <x:c r="H1221" s="31" t="inlineStr">
        <x:is>
          <x:t xml:space="preserve">Склад</x:t>
        </x:is>
      </x:c>
      <x:c r="I1221" s="31" t="inlineStr">
        <x:is>
          <x:t xml:space="preserve">ОБ-023</x:t>
        </x:is>
      </x:c>
      <x:c r="J1221" s="31" t="inlineStr">
        <x:is>
          <x:t xml:space="preserve">СОТР-039</x:t>
        </x:is>
      </x:c>
      <x:c r="K1221" s="31" t="n">
        <x:v>12.3</x:v>
      </x:c>
      <x:c r="L1221" s="31" t="n">
        <x:v>12.9</x:v>
      </x:c>
      <x:c r="M1221" s="31" t="n">
        <x:v>46195</x:v>
      </x:c>
      <x:c r="N1221" s="31" t="n">
        <x:v>46197</x:v>
      </x:c>
      <x:c r="O1221" s="31" t="n">
        <x:v>46195</x:v>
      </x:c>
      <x:c r="P1221" s="31" t="n">
        <x:v>46199</x:v>
      </x:c>
      <x:c r="Q1221" s="31" t="inlineStr">
        <x:is>
          <x:t xml:space="preserve">Завершено</x:t>
        </x:is>
      </x:c>
      <x:c r="R1221" s="31" t="inlineStr">
        <x:is>
          <x:t xml:space="preserve">Нет</x:t>
        </x:is>
      </x:c>
      <x:c r="S1221" s="31" t="inlineStr">
        <x:is>
          <x:t xml:space="preserve">Да</x:t>
        </x:is>
      </x:c>
    </x:row>
    <x:row r="1222">
      <x:c r="A1222" s="31" t="inlineStr">
        <x:is>
          <x:t xml:space="preserve">ОП-001221</x:t>
        </x:is>
      </x:c>
      <x:c r="B1222" s="31" t="inlineStr">
        <x:is>
          <x:t xml:space="preserve">ПЗ-00147</x:t>
        </x:is>
      </x:c>
      <x:c r="C1222" s="31" t="inlineStr">
        <x:is>
          <x:t xml:space="preserve">ЗК-1069</x:t>
        </x:is>
      </x:c>
      <x:c r="D1222" s="31" t="inlineStr">
        <x:is>
          <x:t xml:space="preserve">ПОЗ-0069-1</x:t>
        </x:is>
      </x:c>
      <x:c r="E1222" s="31" t="inlineStr">
        <x:is>
          <x:t xml:space="preserve">ИЗД-044</x:t>
        </x:is>
      </x:c>
      <x:c r="F1222" s="31" t="n">
        <x:v>30</x:v>
      </x:c>
      <x:c r="G1222" s="31" t="inlineStr">
        <x:is>
          <x:t xml:space="preserve">Сварка рамы</x:t>
        </x:is>
      </x:c>
      <x:c r="H1222" s="31" t="inlineStr">
        <x:is>
          <x:t xml:space="preserve">Сварка</x:t>
        </x:is>
      </x:c>
      <x:c r="I1222" s="31" t="inlineStr">
        <x:is>
          <x:t xml:space="preserve">ОБ-004</x:t>
        </x:is>
      </x:c>
      <x:c r="J1222" s="31" t="inlineStr">
        <x:is>
          <x:t xml:space="preserve">СОТР-056</x:t>
        </x:is>
      </x:c>
      <x:c r="K1222" s="31" t="n">
        <x:v>21.3</x:v>
      </x:c>
      <x:c r="L1222" s="31" t="n">
        <x:v>18.5</x:v>
      </x:c>
      <x:c r="M1222" s="31" t="n">
        <x:v>46197</x:v>
      </x:c>
      <x:c r="N1222" s="31" t="n">
        <x:v>46199</x:v>
      </x:c>
      <x:c r="O1222" s="31" t="n">
        <x:v>46197</x:v>
      </x:c>
      <x:c r="P1222" s="31" t="n">
        <x:v>46200</x:v>
      </x:c>
      <x:c r="Q1222" s="31" t="inlineStr">
        <x:is>
          <x:t xml:space="preserve">Завершено</x:t>
        </x:is>
      </x:c>
      <x:c r="R1222" s="31" t="inlineStr">
        <x:is>
          <x:t xml:space="preserve">Нет</x:t>
        </x:is>
      </x:c>
      <x:c r="S1222" s="31" t="inlineStr">
        <x:is>
          <x:t xml:space="preserve">Нет</x:t>
        </x:is>
      </x:c>
    </x:row>
    <x:row r="1223">
      <x:c r="A1223" s="31" t="inlineStr">
        <x:is>
          <x:t xml:space="preserve">ОП-001222</x:t>
        </x:is>
      </x:c>
      <x:c r="B1223" s="31" t="inlineStr">
        <x:is>
          <x:t xml:space="preserve">ПЗ-00147</x:t>
        </x:is>
      </x:c>
      <x:c r="C1223" s="31" t="inlineStr">
        <x:is>
          <x:t xml:space="preserve">ЗК-1069</x:t>
        </x:is>
      </x:c>
      <x:c r="D1223" s="31" t="inlineStr">
        <x:is>
          <x:t xml:space="preserve">ПОЗ-0069-1</x:t>
        </x:is>
      </x:c>
      <x:c r="E1223" s="31" t="inlineStr">
        <x:is>
          <x:t xml:space="preserve">ИЗД-044</x:t>
        </x:is>
      </x:c>
      <x:c r="F1223" s="31" t="n">
        <x:v>40</x:v>
      </x:c>
      <x:c r="G1223" s="31" t="inlineStr">
        <x:is>
          <x:t xml:space="preserve">Сборка</x:t>
        </x:is>
      </x:c>
      <x:c r="H1223" s="31" t="inlineStr">
        <x:is>
          <x:t xml:space="preserve">Сборка</x:t>
        </x:is>
      </x:c>
      <x:c r="I1223" s="31" t="inlineStr">
        <x:is>
          <x:t xml:space="preserve">ОБ-027</x:t>
        </x:is>
      </x:c>
      <x:c r="J1223" s="31" t="inlineStr">
        <x:is>
          <x:t xml:space="preserve">СОТР-081</x:t>
        </x:is>
      </x:c>
      <x:c r="K1223" s="31" t="n">
        <x:v>62.4</x:v>
      </x:c>
      <x:c r="L1223" s="31" t="n">
        <x:v>53.2</x:v>
      </x:c>
      <x:c r="M1223" s="31" t="n">
        <x:v>46199</x:v>
      </x:c>
      <x:c r="N1223" s="31" t="n">
        <x:v>46205</x:v>
      </x:c>
      <x:c r="O1223" s="31" t="n">
        <x:v>46199</x:v>
      </x:c>
      <x:c r="P1223" s="31" t="n">
        <x:v>46205</x:v>
      </x:c>
      <x:c r="Q1223" s="31" t="inlineStr">
        <x:is>
          <x:t xml:space="preserve">Завершено</x:t>
        </x:is>
      </x:c>
      <x:c r="R1223" s="31" t="inlineStr">
        <x:is>
          <x:t xml:space="preserve">Нет</x:t>
        </x:is>
      </x:c>
      <x:c r="S1223" s="31" t="inlineStr">
        <x:is>
          <x:t xml:space="preserve">Нет</x:t>
        </x:is>
      </x:c>
    </x:row>
    <x:row r="1224">
      <x:c r="A1224" s="31" t="inlineStr">
        <x:is>
          <x:t xml:space="preserve">ОП-001223</x:t>
        </x:is>
      </x:c>
      <x:c r="B1224" s="31" t="inlineStr">
        <x:is>
          <x:t xml:space="preserve">ПЗ-00147</x:t>
        </x:is>
      </x:c>
      <x:c r="C1224" s="31" t="inlineStr">
        <x:is>
          <x:t xml:space="preserve">ЗК-1069</x:t>
        </x:is>
      </x:c>
      <x:c r="D1224" s="31" t="inlineStr">
        <x:is>
          <x:t xml:space="preserve">ПОЗ-0069-1</x:t>
        </x:is>
      </x:c>
      <x:c r="E1224" s="31" t="inlineStr">
        <x:is>
          <x:t xml:space="preserve">ИЗД-044</x:t>
        </x:is>
      </x:c>
      <x:c r="F1224" s="31" t="n">
        <x:v>50</x:v>
      </x:c>
      <x:c r="G1224" s="31" t="inlineStr">
        <x:is>
          <x:t xml:space="preserve">Обвязка труб</x:t>
        </x:is>
      </x:c>
      <x:c r="H1224" s="31" t="inlineStr">
        <x:is>
          <x:t xml:space="preserve">Сборка</x:t>
        </x:is>
      </x:c>
      <x:c r="I1224" s="31" t="inlineStr">
        <x:is>
          <x:t xml:space="preserve">ОБ-002</x:t>
        </x:is>
      </x:c>
      <x:c r="J1224" s="31" t="inlineStr">
        <x:is>
          <x:t xml:space="preserve">СОТР-074</x:t>
        </x:is>
      </x:c>
      <x:c r="K1224" s="31" t="n">
        <x:v>82.5</x:v>
      </x:c>
      <x:c r="L1224" s="31" t="n"/>
      <x:c r="M1224" s="31" t="n">
        <x:v>46205</x:v>
      </x:c>
      <x:c r="N1224" s="31" t="n">
        <x:v>46212</x:v>
      </x:c>
      <x:c r="O1224" s="31" t="n"/>
      <x:c r="P1224" s="31" t="n"/>
      <x:c r="Q1224" s="31" t="inlineStr">
        <x:is>
          <x:t xml:space="preserve">Запланировано</x:t>
        </x:is>
      </x:c>
      <x:c r="R1224" s="31" t="inlineStr">
        <x:is>
          <x:t xml:space="preserve">Нет</x:t>
        </x:is>
      </x:c>
      <x:c r="S1224" s="31" t="inlineStr">
        <x:is>
          <x:t xml:space="preserve">Нет</x:t>
        </x:is>
      </x:c>
    </x:row>
    <x:row r="1225">
      <x:c r="A1225" s="31" t="inlineStr">
        <x:is>
          <x:t xml:space="preserve">ОП-001224</x:t>
        </x:is>
      </x:c>
      <x:c r="B1225" s="31" t="inlineStr">
        <x:is>
          <x:t xml:space="preserve">ПЗ-00147</x:t>
        </x:is>
      </x:c>
      <x:c r="C1225" s="31" t="inlineStr">
        <x:is>
          <x:t xml:space="preserve">ЗК-1069</x:t>
        </x:is>
      </x:c>
      <x:c r="D1225" s="31" t="inlineStr">
        <x:is>
          <x:t xml:space="preserve">ПОЗ-0069-1</x:t>
        </x:is>
      </x:c>
      <x:c r="E1225" s="31" t="inlineStr">
        <x:is>
          <x:t xml:space="preserve">ИЗД-044</x:t>
        </x:is>
      </x:c>
      <x:c r="F1225" s="31" t="n">
        <x:v>60</x:v>
      </x:c>
      <x:c r="G1225" s="31" t="inlineStr">
        <x:is>
          <x:t xml:space="preserve">Электромонтаж</x:t>
        </x:is>
      </x:c>
      <x:c r="H1225" s="31" t="inlineStr">
        <x:is>
          <x:t xml:space="preserve">Сборка</x:t>
        </x:is>
      </x:c>
      <x:c r="I1225" s="31" t="inlineStr">
        <x:is>
          <x:t xml:space="preserve">ОБ-012</x:t>
        </x:is>
      </x:c>
      <x:c r="J1225" s="31" t="inlineStr">
        <x:is>
          <x:t xml:space="preserve">СОТР-032</x:t>
        </x:is>
      </x:c>
      <x:c r="K1225" s="31" t="n">
        <x:v>50.1</x:v>
      </x:c>
      <x:c r="L1225" s="31" t="n"/>
      <x:c r="M1225" s="31" t="n">
        <x:v>46212</x:v>
      </x:c>
      <x:c r="N1225" s="31" t="n">
        <x:v>46217</x:v>
      </x:c>
      <x:c r="O1225" s="31" t="n"/>
      <x:c r="P1225" s="31" t="n"/>
      <x:c r="Q1225" s="31" t="inlineStr">
        <x:is>
          <x:t xml:space="preserve">Запланировано</x:t>
        </x:is>
      </x:c>
      <x:c r="R1225" s="31" t="inlineStr">
        <x:is>
          <x:t xml:space="preserve">Нет</x:t>
        </x:is>
      </x:c>
      <x:c r="S1225" s="31" t="inlineStr">
        <x:is>
          <x:t xml:space="preserve">Нет</x:t>
        </x:is>
      </x:c>
    </x:row>
    <x:row r="1226">
      <x:c r="A1226" s="31" t="inlineStr">
        <x:is>
          <x:t xml:space="preserve">ОП-001225</x:t>
        </x:is>
      </x:c>
      <x:c r="B1226" s="31" t="inlineStr">
        <x:is>
          <x:t xml:space="preserve">ПЗ-00147</x:t>
        </x:is>
      </x:c>
      <x:c r="C1226" s="31" t="inlineStr">
        <x:is>
          <x:t xml:space="preserve">ЗК-1069</x:t>
        </x:is>
      </x:c>
      <x:c r="D1226" s="31" t="inlineStr">
        <x:is>
          <x:t xml:space="preserve">ПОЗ-0069-1</x:t>
        </x:is>
      </x:c>
      <x:c r="E1226" s="31" t="inlineStr">
        <x:is>
          <x:t xml:space="preserve">ИЗД-044</x:t>
        </x:is>
      </x:c>
      <x:c r="F1226" s="31" t="n">
        <x:v>70</x:v>
      </x:c>
      <x:c r="G1226" s="31" t="inlineStr">
        <x:is>
          <x:t xml:space="preserve">Гидроиспытания</x:t>
        </x:is>
      </x:c>
      <x:c r="H1226" s="31" t="inlineStr">
        <x:is>
          <x:t xml:space="preserve">ОТК</x:t>
        </x:is>
      </x:c>
      <x:c r="I1226" s="31" t="inlineStr">
        <x:is>
          <x:t xml:space="preserve">ОБ-001</x:t>
        </x:is>
      </x:c>
      <x:c r="J1226" s="31" t="inlineStr">
        <x:is>
          <x:t xml:space="preserve">СОТР-063</x:t>
        </x:is>
      </x:c>
      <x:c r="K1226" s="31" t="n">
        <x:v>65.7</x:v>
      </x:c>
      <x:c r="L1226" s="31" t="n"/>
      <x:c r="M1226" s="31" t="n">
        <x:v>46217</x:v>
      </x:c>
      <x:c r="N1226" s="31" t="n">
        <x:v>46223</x:v>
      </x:c>
      <x:c r="O1226" s="31" t="n"/>
      <x:c r="P1226" s="31" t="n"/>
      <x:c r="Q1226" s="31" t="inlineStr">
        <x:is>
          <x:t xml:space="preserve">Запланировано</x:t>
        </x:is>
      </x:c>
      <x:c r="R1226" s="31" t="inlineStr">
        <x:is>
          <x:t xml:space="preserve">Нет</x:t>
        </x:is>
      </x:c>
      <x:c r="S1226" s="31" t="inlineStr">
        <x:is>
          <x:t xml:space="preserve">Нет</x:t>
        </x:is>
      </x:c>
    </x:row>
    <x:row r="1227">
      <x:c r="A1227" s="31" t="inlineStr">
        <x:is>
          <x:t xml:space="preserve">ОП-001226</x:t>
        </x:is>
      </x:c>
      <x:c r="B1227" s="31" t="inlineStr">
        <x:is>
          <x:t xml:space="preserve">ПЗ-00147</x:t>
        </x:is>
      </x:c>
      <x:c r="C1227" s="31" t="inlineStr">
        <x:is>
          <x:t xml:space="preserve">ЗК-1069</x:t>
        </x:is>
      </x:c>
      <x:c r="D1227" s="31" t="inlineStr">
        <x:is>
          <x:t xml:space="preserve">ПОЗ-0069-1</x:t>
        </x:is>
      </x:c>
      <x:c r="E1227" s="31" t="inlineStr">
        <x:is>
          <x:t xml:space="preserve">ИЗД-044</x:t>
        </x:is>
      </x:c>
      <x:c r="F1227" s="31" t="n">
        <x:v>80</x:v>
      </x:c>
      <x:c r="G1227" s="31" t="inlineStr">
        <x:is>
          <x:t xml:space="preserve">ОТК</x:t>
        </x:is>
      </x:c>
      <x:c r="H1227" s="31" t="inlineStr">
        <x:is>
          <x:t xml:space="preserve">ОТК</x:t>
        </x:is>
      </x:c>
      <x:c r="I1227" s="31" t="inlineStr">
        <x:is>
          <x:t xml:space="preserve">ОБ-013</x:t>
        </x:is>
      </x:c>
      <x:c r="J1227" s="31" t="inlineStr">
        <x:is>
          <x:t xml:space="preserve">СОТР-098</x:t>
        </x:is>
      </x:c>
      <x:c r="K1227" s="31" t="n">
        <x:v>76.2</x:v>
      </x:c>
      <x:c r="L1227" s="31" t="n"/>
      <x:c r="M1227" s="31" t="n">
        <x:v>46223</x:v>
      </x:c>
      <x:c r="N1227" s="31" t="n">
        <x:v>46230</x:v>
      </x:c>
      <x:c r="O1227" s="31" t="n">
        <x:v>46223</x:v>
      </x:c>
      <x:c r="P1227" s="31" t="n"/>
      <x:c r="Q1227" s="31" t="inlineStr">
        <x:is>
          <x:t xml:space="preserve">В работе</x:t>
        </x:is>
      </x:c>
      <x:c r="R1227" s="31" t="inlineStr">
        <x:is>
          <x:t xml:space="preserve">Нет</x:t>
        </x:is>
      </x:c>
      <x:c r="S1227" s="31" t="inlineStr">
        <x:is>
          <x:t xml:space="preserve">Нет</x:t>
        </x:is>
      </x:c>
    </x:row>
    <x:row r="1228">
      <x:c r="A1228" s="31" t="inlineStr">
        <x:is>
          <x:t xml:space="preserve">ОП-001227</x:t>
        </x:is>
      </x:c>
      <x:c r="B1228" s="31" t="inlineStr">
        <x:is>
          <x:t xml:space="preserve">ПЗ-00147</x:t>
        </x:is>
      </x:c>
      <x:c r="C1228" s="31" t="inlineStr">
        <x:is>
          <x:t xml:space="preserve">ЗК-1069</x:t>
        </x:is>
      </x:c>
      <x:c r="D1228" s="31" t="inlineStr">
        <x:is>
          <x:t xml:space="preserve">ПОЗ-0069-1</x:t>
        </x:is>
      </x:c>
      <x:c r="E1228" s="31" t="inlineStr">
        <x:is>
          <x:t xml:space="preserve">ИЗД-044</x:t>
        </x:is>
      </x:c>
      <x:c r="F1228" s="31" t="n">
        <x:v>90</x:v>
      </x:c>
      <x:c r="G1228" s="31" t="inlineStr">
        <x:is>
          <x:t xml:space="preserve">Упаковка</x:t>
        </x:is>
      </x:c>
      <x:c r="H1228" s="31" t="inlineStr">
        <x:is>
          <x:t xml:space="preserve">Логистика</x:t>
        </x:is>
      </x:c>
      <x:c r="I1228" s="31" t="n"/>
      <x:c r="J1228" s="31" t="inlineStr">
        <x:is>
          <x:t xml:space="preserve">СОТР-102</x:t>
        </x:is>
      </x:c>
      <x:c r="K1228" s="31" t="n">
        <x:v>33.9</x:v>
      </x:c>
      <x:c r="L1228" s="31" t="n"/>
      <x:c r="M1228" s="31" t="n">
        <x:v>46230</x:v>
      </x:c>
      <x:c r="N1228" s="31" t="n">
        <x:v>46233</x:v>
      </x:c>
      <x:c r="O1228" s="31" t="n"/>
      <x:c r="P1228" s="31" t="n"/>
      <x:c r="Q1228" s="31" t="inlineStr">
        <x:is>
          <x:t xml:space="preserve">Запланировано</x:t>
        </x:is>
      </x:c>
      <x:c r="R1228" s="31" t="inlineStr">
        <x:is>
          <x:t xml:space="preserve">Материал</x:t>
        </x:is>
      </x:c>
      <x:c r="S1228" s="31" t="inlineStr">
        <x:is>
          <x:t xml:space="preserve">Да</x:t>
        </x:is>
      </x:c>
    </x:row>
    <x:row r="1229">
      <x:c r="A1229" s="31" t="inlineStr">
        <x:is>
          <x:t xml:space="preserve">ОП-001228</x:t>
        </x:is>
      </x:c>
      <x:c r="B1229" s="31" t="inlineStr">
        <x:is>
          <x:t xml:space="preserve">ПЗ-00148</x:t>
        </x:is>
      </x:c>
      <x:c r="C1229" s="31" t="inlineStr">
        <x:is>
          <x:t xml:space="preserve">ЗК-1069</x:t>
        </x:is>
      </x:c>
      <x:c r="D1229" s="31" t="inlineStr">
        <x:is>
          <x:t xml:space="preserve">ПОЗ-0069-2</x:t>
        </x:is>
      </x:c>
      <x:c r="E1229" s="31" t="inlineStr">
        <x:is>
          <x:t xml:space="preserve">ИЗД-025</x:t>
        </x:is>
      </x:c>
      <x:c r="F1229" s="31" t="n">
        <x:v>10</x:v>
      </x:c>
      <x:c r="G1229" s="31" t="inlineStr">
        <x:is>
          <x:t xml:space="preserve">КД</x:t>
        </x:is>
      </x:c>
      <x:c r="H1229" s="31" t="inlineStr">
        <x:is>
          <x:t xml:space="preserve">Инженерный отдел</x:t>
        </x:is>
      </x:c>
      <x:c r="I1229" s="31" t="n"/>
      <x:c r="J1229" s="31" t="inlineStr">
        <x:is>
          <x:t xml:space="preserve">СОТР-019</x:t>
        </x:is>
      </x:c>
      <x:c r="K1229" s="31" t="n">
        <x:v>18.2</x:v>
      </x:c>
      <x:c r="L1229" s="31" t="n">
        <x:v>20.5</x:v>
      </x:c>
      <x:c r="M1229" s="31" t="n">
        <x:v>46186</x:v>
      </x:c>
      <x:c r="N1229" s="31" t="n">
        <x:v>46188</x:v>
      </x:c>
      <x:c r="O1229" s="31" t="n">
        <x:v>46186</x:v>
      </x:c>
      <x:c r="P1229" s="31" t="n">
        <x:v>46187</x:v>
      </x:c>
      <x:c r="Q1229" s="31" t="inlineStr">
        <x:is>
          <x:t xml:space="preserve">Завершено</x:t>
        </x:is>
      </x:c>
      <x:c r="R1229" s="31" t="inlineStr">
        <x:is>
          <x:t xml:space="preserve">Нет</x:t>
        </x:is>
      </x:c>
      <x:c r="S1229" s="31" t="inlineStr">
        <x:is>
          <x:t xml:space="preserve">Нет</x:t>
        </x:is>
      </x:c>
    </x:row>
    <x:row r="1230">
      <x:c r="A1230" s="31" t="inlineStr">
        <x:is>
          <x:t xml:space="preserve">ОП-001229</x:t>
        </x:is>
      </x:c>
      <x:c r="B1230" s="31" t="inlineStr">
        <x:is>
          <x:t xml:space="preserve">ПЗ-00148</x:t>
        </x:is>
      </x:c>
      <x:c r="C1230" s="31" t="inlineStr">
        <x:is>
          <x:t xml:space="preserve">ЗК-1069</x:t>
        </x:is>
      </x:c>
      <x:c r="D1230" s="31" t="inlineStr">
        <x:is>
          <x:t xml:space="preserve">ПОЗ-0069-2</x:t>
        </x:is>
      </x:c>
      <x:c r="E1230" s="31" t="inlineStr">
        <x:is>
          <x:t xml:space="preserve">ИЗД-025</x:t>
        </x:is>
      </x:c>
      <x:c r="F1230" s="31" t="n">
        <x:v>20</x:v>
      </x:c>
      <x:c r="G1230" s="31" t="inlineStr">
        <x:is>
          <x:t xml:space="preserve">Резерв материалов</x:t>
        </x:is>
      </x:c>
      <x:c r="H1230" s="31" t="inlineStr">
        <x:is>
          <x:t xml:space="preserve">Склад</x:t>
        </x:is>
      </x:c>
      <x:c r="I1230" s="31" t="inlineStr">
        <x:is>
          <x:t xml:space="preserve">ОБ-025</x:t>
        </x:is>
      </x:c>
      <x:c r="J1230" s="31" t="inlineStr">
        <x:is>
          <x:t xml:space="preserve">СОТР-036</x:t>
        </x:is>
      </x:c>
      <x:c r="K1230" s="31" t="n">
        <x:v>4.6</x:v>
      </x:c>
      <x:c r="L1230" s="31" t="n">
        <x:v>5.6</x:v>
      </x:c>
      <x:c r="M1230" s="31" t="n">
        <x:v>46188</x:v>
      </x:c>
      <x:c r="N1230" s="31" t="n">
        <x:v>46189</x:v>
      </x:c>
      <x:c r="O1230" s="31" t="n">
        <x:v>46188</x:v>
      </x:c>
      <x:c r="P1230" s="31" t="n">
        <x:v>46189</x:v>
      </x:c>
      <x:c r="Q1230" s="31" t="inlineStr">
        <x:is>
          <x:t xml:space="preserve">Завершено</x:t>
        </x:is>
      </x:c>
      <x:c r="R1230" s="31" t="inlineStr">
        <x:is>
          <x:t xml:space="preserve">Нет</x:t>
        </x:is>
      </x:c>
      <x:c r="S1230" s="31" t="inlineStr">
        <x:is>
          <x:t xml:space="preserve">Нет</x:t>
        </x:is>
      </x:c>
    </x:row>
    <x:row r="1231">
      <x:c r="A1231" s="31" t="inlineStr">
        <x:is>
          <x:t xml:space="preserve">ОП-001230</x:t>
        </x:is>
      </x:c>
      <x:c r="B1231" s="31" t="inlineStr">
        <x:is>
          <x:t xml:space="preserve">ПЗ-00148</x:t>
        </x:is>
      </x:c>
      <x:c r="C1231" s="31" t="inlineStr">
        <x:is>
          <x:t xml:space="preserve">ЗК-1069</x:t>
        </x:is>
      </x:c>
      <x:c r="D1231" s="31" t="inlineStr">
        <x:is>
          <x:t xml:space="preserve">ПОЗ-0069-2</x:t>
        </x:is>
      </x:c>
      <x:c r="E1231" s="31" t="inlineStr">
        <x:is>
          <x:t xml:space="preserve">ИЗД-025</x:t>
        </x:is>
      </x:c>
      <x:c r="F1231" s="31" t="n">
        <x:v>30</x:v>
      </x:c>
      <x:c r="G1231" s="31" t="inlineStr">
        <x:is>
          <x:t xml:space="preserve">Сварка рамы</x:t>
        </x:is>
      </x:c>
      <x:c r="H1231" s="31" t="inlineStr">
        <x:is>
          <x:t xml:space="preserve">Сварка</x:t>
        </x:is>
      </x:c>
      <x:c r="I1231" s="31" t="inlineStr">
        <x:is>
          <x:t xml:space="preserve">ОБ-010</x:t>
        </x:is>
      </x:c>
      <x:c r="J1231" s="31" t="inlineStr">
        <x:is>
          <x:t xml:space="preserve">СОТР-072</x:t>
        </x:is>
      </x:c>
      <x:c r="K1231" s="31" t="n">
        <x:v>20</x:v>
      </x:c>
      <x:c r="L1231" s="31" t="n">
        <x:v>19.6</x:v>
      </x:c>
      <x:c r="M1231" s="31" t="n">
        <x:v>46189</x:v>
      </x:c>
      <x:c r="N1231" s="31" t="n">
        <x:v>46191</x:v>
      </x:c>
      <x:c r="O1231" s="31" t="n">
        <x:v>46189</x:v>
      </x:c>
      <x:c r="P1231" s="31" t="n">
        <x:v>46190</x:v>
      </x:c>
      <x:c r="Q1231" s="31" t="inlineStr">
        <x:is>
          <x:t xml:space="preserve">Завершено</x:t>
        </x:is>
      </x:c>
      <x:c r="R1231" s="31" t="inlineStr">
        <x:is>
          <x:t xml:space="preserve">Ожидание ОТК</x:t>
        </x:is>
      </x:c>
      <x:c r="S1231" s="31" t="inlineStr">
        <x:is>
          <x:t xml:space="preserve">Нет</x:t>
        </x:is>
      </x:c>
    </x:row>
    <x:row r="1232">
      <x:c r="A1232" s="31" t="inlineStr">
        <x:is>
          <x:t xml:space="preserve">ОП-001231</x:t>
        </x:is>
      </x:c>
      <x:c r="B1232" s="31" t="inlineStr">
        <x:is>
          <x:t xml:space="preserve">ПЗ-00148</x:t>
        </x:is>
      </x:c>
      <x:c r="C1232" s="31" t="inlineStr">
        <x:is>
          <x:t xml:space="preserve">ЗК-1069</x:t>
        </x:is>
      </x:c>
      <x:c r="D1232" s="31" t="inlineStr">
        <x:is>
          <x:t xml:space="preserve">ПОЗ-0069-2</x:t>
        </x:is>
      </x:c>
      <x:c r="E1232" s="31" t="inlineStr">
        <x:is>
          <x:t xml:space="preserve">ИЗД-025</x:t>
        </x:is>
      </x:c>
      <x:c r="F1232" s="31" t="n">
        <x:v>40</x:v>
      </x:c>
      <x:c r="G1232" s="31" t="inlineStr">
        <x:is>
          <x:t xml:space="preserve">Сборка</x:t>
        </x:is>
      </x:c>
      <x:c r="H1232" s="31" t="inlineStr">
        <x:is>
          <x:t xml:space="preserve">Сборка</x:t>
        </x:is>
      </x:c>
      <x:c r="I1232" s="31" t="inlineStr">
        <x:is>
          <x:t xml:space="preserve">ОБ-020</x:t>
        </x:is>
      </x:c>
      <x:c r="J1232" s="31" t="inlineStr">
        <x:is>
          <x:t xml:space="preserve">СОТР-091</x:t>
        </x:is>
      </x:c>
      <x:c r="K1232" s="31" t="n">
        <x:v>15.2</x:v>
      </x:c>
      <x:c r="L1232" s="31" t="n"/>
      <x:c r="M1232" s="31" t="n">
        <x:v>46191</x:v>
      </x:c>
      <x:c r="N1232" s="31" t="n">
        <x:v>46193</x:v>
      </x:c>
      <x:c r="O1232" s="31" t="n"/>
      <x:c r="P1232" s="31" t="n"/>
      <x:c r="Q1232" s="31" t="inlineStr">
        <x:is>
          <x:t xml:space="preserve">Запланировано</x:t>
        </x:is>
      </x:c>
      <x:c r="R1232" s="31" t="inlineStr">
        <x:is>
          <x:t xml:space="preserve">Нет</x:t>
        </x:is>
      </x:c>
      <x:c r="S1232" s="31" t="inlineStr">
        <x:is>
          <x:t xml:space="preserve">Нет</x:t>
        </x:is>
      </x:c>
    </x:row>
    <x:row r="1233">
      <x:c r="A1233" s="31" t="inlineStr">
        <x:is>
          <x:t xml:space="preserve">ОП-001232</x:t>
        </x:is>
      </x:c>
      <x:c r="B1233" s="31" t="inlineStr">
        <x:is>
          <x:t xml:space="preserve">ПЗ-00148</x:t>
        </x:is>
      </x:c>
      <x:c r="C1233" s="31" t="inlineStr">
        <x:is>
          <x:t xml:space="preserve">ЗК-1069</x:t>
        </x:is>
      </x:c>
      <x:c r="D1233" s="31" t="inlineStr">
        <x:is>
          <x:t xml:space="preserve">ПОЗ-0069-2</x:t>
        </x:is>
      </x:c>
      <x:c r="E1233" s="31" t="inlineStr">
        <x:is>
          <x:t xml:space="preserve">ИЗД-025</x:t>
        </x:is>
      </x:c>
      <x:c r="F1233" s="31" t="n">
        <x:v>50</x:v>
      </x:c>
      <x:c r="G1233" s="31" t="inlineStr">
        <x:is>
          <x:t xml:space="preserve">Обвязка труб</x:t>
        </x:is>
      </x:c>
      <x:c r="H1233" s="31" t="inlineStr">
        <x:is>
          <x:t xml:space="preserve">Сборка</x:t>
        </x:is>
      </x:c>
      <x:c r="I1233" s="31" t="inlineStr">
        <x:is>
          <x:t xml:space="preserve">ОБ-014</x:t>
        </x:is>
      </x:c>
      <x:c r="J1233" s="31" t="inlineStr">
        <x:is>
          <x:t xml:space="preserve">СОТР-032</x:t>
        </x:is>
      </x:c>
      <x:c r="K1233" s="31" t="n">
        <x:v>3.4</x:v>
      </x:c>
      <x:c r="L1233" s="31" t="n"/>
      <x:c r="M1233" s="31" t="n">
        <x:v>46193</x:v>
      </x:c>
      <x:c r="N1233" s="31" t="n">
        <x:v>46194</x:v>
      </x:c>
      <x:c r="O1233" s="31" t="n"/>
      <x:c r="P1233" s="31" t="n"/>
      <x:c r="Q1233" s="31" t="inlineStr">
        <x:is>
          <x:t xml:space="preserve">Запланировано</x:t>
        </x:is>
      </x:c>
      <x:c r="R1233" s="31" t="inlineStr">
        <x:is>
          <x:t xml:space="preserve">Нет</x:t>
        </x:is>
      </x:c>
      <x:c r="S1233" s="31" t="inlineStr">
        <x:is>
          <x:t xml:space="preserve">Нет</x:t>
        </x:is>
      </x:c>
    </x:row>
    <x:row r="1234">
      <x:c r="A1234" s="31" t="inlineStr">
        <x:is>
          <x:t xml:space="preserve">ОП-001233</x:t>
        </x:is>
      </x:c>
      <x:c r="B1234" s="31" t="inlineStr">
        <x:is>
          <x:t xml:space="preserve">ПЗ-00148</x:t>
        </x:is>
      </x:c>
      <x:c r="C1234" s="31" t="inlineStr">
        <x:is>
          <x:t xml:space="preserve">ЗК-1069</x:t>
        </x:is>
      </x:c>
      <x:c r="D1234" s="31" t="inlineStr">
        <x:is>
          <x:t xml:space="preserve">ПОЗ-0069-2</x:t>
        </x:is>
      </x:c>
      <x:c r="E1234" s="31" t="inlineStr">
        <x:is>
          <x:t xml:space="preserve">ИЗД-025</x:t>
        </x:is>
      </x:c>
      <x:c r="F1234" s="31" t="n">
        <x:v>60</x:v>
      </x:c>
      <x:c r="G1234" s="31" t="inlineStr">
        <x:is>
          <x:t xml:space="preserve">Электромонтаж</x:t>
        </x:is>
      </x:c>
      <x:c r="H1234" s="31" t="inlineStr">
        <x:is>
          <x:t xml:space="preserve">Сборка</x:t>
        </x:is>
      </x:c>
      <x:c r="I1234" s="31" t="inlineStr">
        <x:is>
          <x:t xml:space="preserve">ОБ-002</x:t>
        </x:is>
      </x:c>
      <x:c r="J1234" s="31" t="inlineStr">
        <x:is>
          <x:t xml:space="preserve">СОТР-087</x:t>
        </x:is>
      </x:c>
      <x:c r="K1234" s="31" t="n">
        <x:v>21.8</x:v>
      </x:c>
      <x:c r="L1234" s="31" t="n">
        <x:v>24.9</x:v>
      </x:c>
      <x:c r="M1234" s="31" t="n">
        <x:v>46194</x:v>
      </x:c>
      <x:c r="N1234" s="31" t="n">
        <x:v>46196</x:v>
      </x:c>
      <x:c r="O1234" s="31" t="n">
        <x:v>46194</x:v>
      </x:c>
      <x:c r="P1234" s="31" t="n">
        <x:v>46195</x:v>
      </x:c>
      <x:c r="Q1234" s="31" t="inlineStr">
        <x:is>
          <x:t xml:space="preserve">Завершено</x:t>
        </x:is>
      </x:c>
      <x:c r="R1234" s="31" t="inlineStr">
        <x:is>
          <x:t xml:space="preserve">Нет</x:t>
        </x:is>
      </x:c>
      <x:c r="S1234" s="31" t="inlineStr">
        <x:is>
          <x:t xml:space="preserve">Да</x:t>
        </x:is>
      </x:c>
    </x:row>
    <x:row r="1235">
      <x:c r="A1235" s="31" t="inlineStr">
        <x:is>
          <x:t xml:space="preserve">ОП-001234</x:t>
        </x:is>
      </x:c>
      <x:c r="B1235" s="31" t="inlineStr">
        <x:is>
          <x:t xml:space="preserve">ПЗ-00148</x:t>
        </x:is>
      </x:c>
      <x:c r="C1235" s="31" t="inlineStr">
        <x:is>
          <x:t xml:space="preserve">ЗК-1069</x:t>
        </x:is>
      </x:c>
      <x:c r="D1235" s="31" t="inlineStr">
        <x:is>
          <x:t xml:space="preserve">ПОЗ-0069-2</x:t>
        </x:is>
      </x:c>
      <x:c r="E1235" s="31" t="inlineStr">
        <x:is>
          <x:t xml:space="preserve">ИЗД-025</x:t>
        </x:is>
      </x:c>
      <x:c r="F1235" s="31" t="n">
        <x:v>70</x:v>
      </x:c>
      <x:c r="G1235" s="31" t="inlineStr">
        <x:is>
          <x:t xml:space="preserve">Гидроиспытания</x:t>
        </x:is>
      </x:c>
      <x:c r="H1235" s="31" t="inlineStr">
        <x:is>
          <x:t xml:space="preserve">ОТК</x:t>
        </x:is>
      </x:c>
      <x:c r="I1235" s="31" t="inlineStr">
        <x:is>
          <x:t xml:space="preserve">ОБ-015</x:t>
        </x:is>
      </x:c>
      <x:c r="J1235" s="31" t="inlineStr">
        <x:is>
          <x:t xml:space="preserve">СОТР-093</x:t>
        </x:is>
      </x:c>
      <x:c r="K1235" s="31" t="n">
        <x:v>12</x:v>
      </x:c>
      <x:c r="L1235" s="31" t="n"/>
      <x:c r="M1235" s="31" t="n">
        <x:v>46196</x:v>
      </x:c>
      <x:c r="N1235" s="31" t="n">
        <x:v>46197</x:v>
      </x:c>
      <x:c r="O1235" s="31" t="n">
        <x:v>46196</x:v>
      </x:c>
      <x:c r="P1235" s="31" t="n"/>
      <x:c r="Q1235" s="31" t="inlineStr">
        <x:is>
          <x:t xml:space="preserve">В работе</x:t>
        </x:is>
      </x:c>
      <x:c r="R1235" s="31" t="inlineStr">
        <x:is>
          <x:t xml:space="preserve">Оборудование</x:t>
        </x:is>
      </x:c>
      <x:c r="S1235" s="31" t="inlineStr">
        <x:is>
          <x:t xml:space="preserve">Нет</x:t>
        </x:is>
      </x:c>
    </x:row>
    <x:row r="1236">
      <x:c r="A1236" s="31" t="inlineStr">
        <x:is>
          <x:t xml:space="preserve">ОП-001235</x:t>
        </x:is>
      </x:c>
      <x:c r="B1236" s="31" t="inlineStr">
        <x:is>
          <x:t xml:space="preserve">ПЗ-00148</x:t>
        </x:is>
      </x:c>
      <x:c r="C1236" s="31" t="inlineStr">
        <x:is>
          <x:t xml:space="preserve">ЗК-1069</x:t>
        </x:is>
      </x:c>
      <x:c r="D1236" s="31" t="inlineStr">
        <x:is>
          <x:t xml:space="preserve">ПОЗ-0069-2</x:t>
        </x:is>
      </x:c>
      <x:c r="E1236" s="31" t="inlineStr">
        <x:is>
          <x:t xml:space="preserve">ИЗД-025</x:t>
        </x:is>
      </x:c>
      <x:c r="F1236" s="31" t="n">
        <x:v>80</x:v>
      </x:c>
      <x:c r="G1236" s="31" t="inlineStr">
        <x:is>
          <x:t xml:space="preserve">ОТК</x:t>
        </x:is>
      </x:c>
      <x:c r="H1236" s="31" t="inlineStr">
        <x:is>
          <x:t xml:space="preserve">ОТК</x:t>
        </x:is>
      </x:c>
      <x:c r="I1236" s="31" t="inlineStr">
        <x:is>
          <x:t xml:space="preserve">ОБ-022</x:t>
        </x:is>
      </x:c>
      <x:c r="J1236" s="31" t="inlineStr">
        <x:is>
          <x:t xml:space="preserve">СОТР-063</x:t>
        </x:is>
      </x:c>
      <x:c r="K1236" s="31" t="n">
        <x:v>6.4</x:v>
      </x:c>
      <x:c r="L1236" s="31" t="n">
        <x:v>6.5</x:v>
      </x:c>
      <x:c r="M1236" s="31" t="n">
        <x:v>46197</x:v>
      </x:c>
      <x:c r="N1236" s="31" t="n">
        <x:v>46198</x:v>
      </x:c>
      <x:c r="O1236" s="31" t="n">
        <x:v>46197</x:v>
      </x:c>
      <x:c r="P1236" s="31" t="n">
        <x:v>46199</x:v>
      </x:c>
      <x:c r="Q1236" s="31" t="inlineStr">
        <x:is>
          <x:t xml:space="preserve">Завершено</x:t>
        </x:is>
      </x:c>
      <x:c r="R1236" s="31" t="inlineStr">
        <x:is>
          <x:t xml:space="preserve">Нет</x:t>
        </x:is>
      </x:c>
      <x:c r="S1236" s="31" t="inlineStr">
        <x:is>
          <x:t xml:space="preserve">Нет</x:t>
        </x:is>
      </x:c>
    </x:row>
    <x:row r="1237">
      <x:c r="A1237" s="31" t="inlineStr">
        <x:is>
          <x:t xml:space="preserve">ОП-001236</x:t>
        </x:is>
      </x:c>
      <x:c r="B1237" s="31" t="inlineStr">
        <x:is>
          <x:t xml:space="preserve">ПЗ-00148</x:t>
        </x:is>
      </x:c>
      <x:c r="C1237" s="31" t="inlineStr">
        <x:is>
          <x:t xml:space="preserve">ЗК-1069</x:t>
        </x:is>
      </x:c>
      <x:c r="D1237" s="31" t="inlineStr">
        <x:is>
          <x:t xml:space="preserve">ПОЗ-0069-2</x:t>
        </x:is>
      </x:c>
      <x:c r="E1237" s="31" t="inlineStr">
        <x:is>
          <x:t xml:space="preserve">ИЗД-025</x:t>
        </x:is>
      </x:c>
      <x:c r="F1237" s="31" t="n">
        <x:v>90</x:v>
      </x:c>
      <x:c r="G1237" s="31" t="inlineStr">
        <x:is>
          <x:t xml:space="preserve">Упаковка</x:t>
        </x:is>
      </x:c>
      <x:c r="H1237" s="31" t="inlineStr">
        <x:is>
          <x:t xml:space="preserve">Логистика</x:t>
        </x:is>
      </x:c>
      <x:c r="I1237" s="31" t="n"/>
      <x:c r="J1237" s="31" t="inlineStr">
        <x:is>
          <x:t xml:space="preserve">СОТР-105</x:t>
        </x:is>
      </x:c>
      <x:c r="K1237" s="31" t="n">
        <x:v>17</x:v>
      </x:c>
      <x:c r="L1237" s="31" t="n"/>
      <x:c r="M1237" s="31" t="n">
        <x:v>46198</x:v>
      </x:c>
      <x:c r="N1237" s="31" t="n">
        <x:v>46200</x:v>
      </x:c>
      <x:c r="O1237" s="31" t="n"/>
      <x:c r="P1237" s="31" t="n"/>
      <x:c r="Q1237" s="31" t="inlineStr">
        <x:is>
          <x:t xml:space="preserve">Запланировано</x:t>
        </x:is>
      </x:c>
      <x:c r="R1237" s="31" t="inlineStr">
        <x:is>
          <x:t xml:space="preserve">Нет</x:t>
        </x:is>
      </x:c>
      <x:c r="S1237" s="31" t="inlineStr">
        <x:is>
          <x:t xml:space="preserve">Да</x:t>
        </x:is>
      </x:c>
    </x:row>
    <x:row r="1238">
      <x:c r="A1238" s="31" t="inlineStr">
        <x:is>
          <x:t xml:space="preserve">ОП-001237</x:t>
        </x:is>
      </x:c>
      <x:c r="B1238" s="31" t="inlineStr">
        <x:is>
          <x:t xml:space="preserve">ПЗ-00149</x:t>
        </x:is>
      </x:c>
      <x:c r="C1238" s="31" t="inlineStr">
        <x:is>
          <x:t xml:space="preserve">ЗК-1071</x:t>
        </x:is>
      </x:c>
      <x:c r="D1238" s="31" t="inlineStr">
        <x:is>
          <x:t xml:space="preserve">ПОЗ-0071-1</x:t>
        </x:is>
      </x:c>
      <x:c r="E1238" s="31" t="inlineStr">
        <x:is>
          <x:t xml:space="preserve">ИЗД-026</x:t>
        </x:is>
      </x:c>
      <x:c r="F1238" s="31" t="n">
        <x:v>10</x:v>
      </x:c>
      <x:c r="G1238" s="31" t="inlineStr">
        <x:is>
          <x:t xml:space="preserve">КД</x:t>
        </x:is>
      </x:c>
      <x:c r="H1238" s="31" t="inlineStr">
        <x:is>
          <x:t xml:space="preserve">Инженерный отдел</x:t>
        </x:is>
      </x:c>
      <x:c r="I1238" s="31" t="n"/>
      <x:c r="J1238" s="31" t="inlineStr">
        <x:is>
          <x:t xml:space="preserve">СОТР-015</x:t>
        </x:is>
      </x:c>
      <x:c r="K1238" s="31" t="n">
        <x:v>56.8</x:v>
      </x:c>
      <x:c r="L1238" s="31" t="n">
        <x:v>49.2</x:v>
      </x:c>
      <x:c r="M1238" s="31" t="n">
        <x:v>46188</x:v>
      </x:c>
      <x:c r="N1238" s="31" t="n">
        <x:v>46193</x:v>
      </x:c>
      <x:c r="O1238" s="31" t="n">
        <x:v>46188</x:v>
      </x:c>
      <x:c r="P1238" s="31" t="n">
        <x:v>46194</x:v>
      </x:c>
      <x:c r="Q1238" s="31" t="inlineStr">
        <x:is>
          <x:t xml:space="preserve">Завершено</x:t>
        </x:is>
      </x:c>
      <x:c r="R1238" s="31" t="inlineStr">
        <x:is>
          <x:t xml:space="preserve">Нет</x:t>
        </x:is>
      </x:c>
      <x:c r="S1238" s="31" t="inlineStr">
        <x:is>
          <x:t xml:space="preserve">Нет</x:t>
        </x:is>
      </x:c>
    </x:row>
    <x:row r="1239">
      <x:c r="A1239" s="31" t="inlineStr">
        <x:is>
          <x:t xml:space="preserve">ОП-001238</x:t>
        </x:is>
      </x:c>
      <x:c r="B1239" s="31" t="inlineStr">
        <x:is>
          <x:t xml:space="preserve">ПЗ-00149</x:t>
        </x:is>
      </x:c>
      <x:c r="C1239" s="31" t="inlineStr">
        <x:is>
          <x:t xml:space="preserve">ЗК-1071</x:t>
        </x:is>
      </x:c>
      <x:c r="D1239" s="31" t="inlineStr">
        <x:is>
          <x:t xml:space="preserve">ПОЗ-0071-1</x:t>
        </x:is>
      </x:c>
      <x:c r="E1239" s="31" t="inlineStr">
        <x:is>
          <x:t xml:space="preserve">ИЗД-026</x:t>
        </x:is>
      </x:c>
      <x:c r="F1239" s="31" t="n">
        <x:v>20</x:v>
      </x:c>
      <x:c r="G1239" s="31" t="inlineStr">
        <x:is>
          <x:t xml:space="preserve">Комплектация</x:t>
        </x:is>
      </x:c>
      <x:c r="H1239" s="31" t="inlineStr">
        <x:is>
          <x:t xml:space="preserve">Склад</x:t>
        </x:is>
      </x:c>
      <x:c r="I1239" s="31" t="inlineStr">
        <x:is>
          <x:t xml:space="preserve">ОБ-025</x:t>
        </x:is>
      </x:c>
      <x:c r="J1239" s="31" t="inlineStr">
        <x:is>
          <x:t xml:space="preserve">СОТР-035</x:t>
        </x:is>
      </x:c>
      <x:c r="K1239" s="31" t="n">
        <x:v>47.6</x:v>
      </x:c>
      <x:c r="L1239" s="31" t="n"/>
      <x:c r="M1239" s="31" t="n">
        <x:v>46193</x:v>
      </x:c>
      <x:c r="N1239" s="31" t="n">
        <x:v>46197</x:v>
      </x:c>
      <x:c r="O1239" s="31" t="n">
        <x:v>46193</x:v>
      </x:c>
      <x:c r="P1239" s="31" t="n"/>
      <x:c r="Q1239" s="31" t="inlineStr">
        <x:is>
          <x:t xml:space="preserve">В работе</x:t>
        </x:is>
      </x:c>
      <x:c r="R1239" s="31" t="inlineStr">
        <x:is>
          <x:t xml:space="preserve">Нет</x:t>
        </x:is>
      </x:c>
      <x:c r="S1239" s="31" t="inlineStr">
        <x:is>
          <x:t xml:space="preserve">Нет</x:t>
        </x:is>
      </x:c>
    </x:row>
    <x:row r="1240">
      <x:c r="A1240" s="31" t="inlineStr">
        <x:is>
          <x:t xml:space="preserve">ОП-001239</x:t>
        </x:is>
      </x:c>
      <x:c r="B1240" s="31" t="inlineStr">
        <x:is>
          <x:t xml:space="preserve">ПЗ-00149</x:t>
        </x:is>
      </x:c>
      <x:c r="C1240" s="31" t="inlineStr">
        <x:is>
          <x:t xml:space="preserve">ЗК-1071</x:t>
        </x:is>
      </x:c>
      <x:c r="D1240" s="31" t="inlineStr">
        <x:is>
          <x:t xml:space="preserve">ПОЗ-0071-1</x:t>
        </x:is>
      </x:c>
      <x:c r="E1240" s="31" t="inlineStr">
        <x:is>
          <x:t xml:space="preserve">ИЗД-026</x:t>
        </x:is>
      </x:c>
      <x:c r="F1240" s="31" t="n">
        <x:v>30</x:v>
      </x:c>
      <x:c r="G1240" s="31" t="inlineStr">
        <x:is>
          <x:t xml:space="preserve">Сборка шкафа</x:t>
        </x:is>
      </x:c>
      <x:c r="H1240" s="31" t="inlineStr">
        <x:is>
          <x:t xml:space="preserve">Сборка</x:t>
        </x:is>
      </x:c>
      <x:c r="I1240" s="31" t="inlineStr">
        <x:is>
          <x:t xml:space="preserve">ОБ-016</x:t>
        </x:is>
      </x:c>
      <x:c r="J1240" s="31" t="inlineStr">
        <x:is>
          <x:t xml:space="preserve">СОТР-075</x:t>
        </x:is>
      </x:c>
      <x:c r="K1240" s="31" t="n">
        <x:v>15.2</x:v>
      </x:c>
      <x:c r="L1240" s="31" t="n">
        <x:v>12.6</x:v>
      </x:c>
      <x:c r="M1240" s="31" t="n">
        <x:v>46197</x:v>
      </x:c>
      <x:c r="N1240" s="31" t="n">
        <x:v>46199</x:v>
      </x:c>
      <x:c r="O1240" s="31" t="n">
        <x:v>46197</x:v>
      </x:c>
      <x:c r="P1240" s="31" t="n">
        <x:v>46198</x:v>
      </x:c>
      <x:c r="Q1240" s="31" t="inlineStr">
        <x:is>
          <x:t xml:space="preserve">Завершено</x:t>
        </x:is>
      </x:c>
      <x:c r="R1240" s="31" t="inlineStr">
        <x:is>
          <x:t xml:space="preserve">Нет</x:t>
        </x:is>
      </x:c>
      <x:c r="S1240" s="31" t="inlineStr">
        <x:is>
          <x:t xml:space="preserve">Нет</x:t>
        </x:is>
      </x:c>
    </x:row>
    <x:row r="1241">
      <x:c r="A1241" s="31" t="inlineStr">
        <x:is>
          <x:t xml:space="preserve">ОП-001240</x:t>
        </x:is>
      </x:c>
      <x:c r="B1241" s="31" t="inlineStr">
        <x:is>
          <x:t xml:space="preserve">ПЗ-00149</x:t>
        </x:is>
      </x:c>
      <x:c r="C1241" s="31" t="inlineStr">
        <x:is>
          <x:t xml:space="preserve">ЗК-1071</x:t>
        </x:is>
      </x:c>
      <x:c r="D1241" s="31" t="inlineStr">
        <x:is>
          <x:t xml:space="preserve">ПОЗ-0071-1</x:t>
        </x:is>
      </x:c>
      <x:c r="E1241" s="31" t="inlineStr">
        <x:is>
          <x:t xml:space="preserve">ИЗД-026</x:t>
        </x:is>
      </x:c>
      <x:c r="F1241" s="31" t="n">
        <x:v>40</x:v>
      </x:c>
      <x:c r="G1241" s="31" t="inlineStr">
        <x:is>
          <x:t xml:space="preserve">Маркировка</x:t>
        </x:is>
      </x:c>
      <x:c r="H1241" s="31" t="inlineStr">
        <x:is>
          <x:t xml:space="preserve">Сборка</x:t>
        </x:is>
      </x:c>
      <x:c r="I1241" s="31" t="inlineStr">
        <x:is>
          <x:t xml:space="preserve">ОБ-002</x:t>
        </x:is>
      </x:c>
      <x:c r="J1241" s="31" t="inlineStr">
        <x:is>
          <x:t xml:space="preserve">СОТР-074</x:t>
        </x:is>
      </x:c>
      <x:c r="K1241" s="31" t="n">
        <x:v>74.40000000000001</x:v>
      </x:c>
      <x:c r="L1241" s="31" t="n"/>
      <x:c r="M1241" s="31" t="n">
        <x:v>46199</x:v>
      </x:c>
      <x:c r="N1241" s="31" t="n">
        <x:v>46206</x:v>
      </x:c>
      <x:c r="O1241" s="31" t="n"/>
      <x:c r="P1241" s="31" t="n"/>
      <x:c r="Q1241" s="31" t="inlineStr">
        <x:is>
          <x:t xml:space="preserve">Запланировано</x:t>
        </x:is>
      </x:c>
      <x:c r="R1241" s="31" t="inlineStr">
        <x:is>
          <x:t xml:space="preserve">Нет</x:t>
        </x:is>
      </x:c>
      <x:c r="S1241" s="31" t="inlineStr">
        <x:is>
          <x:t xml:space="preserve">Да</x:t>
        </x:is>
      </x:c>
    </x:row>
    <x:row r="1242">
      <x:c r="A1242" s="31" t="inlineStr">
        <x:is>
          <x:t xml:space="preserve">ОП-001241</x:t>
        </x:is>
      </x:c>
      <x:c r="B1242" s="31" t="inlineStr">
        <x:is>
          <x:t xml:space="preserve">ПЗ-00149</x:t>
        </x:is>
      </x:c>
      <x:c r="C1242" s="31" t="inlineStr">
        <x:is>
          <x:t xml:space="preserve">ЗК-1071</x:t>
        </x:is>
      </x:c>
      <x:c r="D1242" s="31" t="inlineStr">
        <x:is>
          <x:t xml:space="preserve">ПОЗ-0071-1</x:t>
        </x:is>
      </x:c>
      <x:c r="E1242" s="31" t="inlineStr">
        <x:is>
          <x:t xml:space="preserve">ИЗД-026</x:t>
        </x:is>
      </x:c>
      <x:c r="F1242" s="31" t="n">
        <x:v>50</x:v>
      </x:c>
      <x:c r="G1242" s="31" t="inlineStr">
        <x:is>
          <x:t xml:space="preserve">Электромонтаж</x:t>
        </x:is>
      </x:c>
      <x:c r="H1242" s="31" t="inlineStr">
        <x:is>
          <x:t xml:space="preserve">Сборка</x:t>
        </x:is>
      </x:c>
      <x:c r="I1242" s="31" t="inlineStr">
        <x:is>
          <x:t xml:space="preserve">ОБ-016</x:t>
        </x:is>
      </x:c>
      <x:c r="J1242" s="31" t="inlineStr">
        <x:is>
          <x:t xml:space="preserve">СОТР-080</x:t>
        </x:is>
      </x:c>
      <x:c r="K1242" s="31" t="n">
        <x:v>31.6</x:v>
      </x:c>
      <x:c r="L1242" s="31" t="n"/>
      <x:c r="M1242" s="31" t="n">
        <x:v>46206</x:v>
      </x:c>
      <x:c r="N1242" s="31" t="n">
        <x:v>46209</x:v>
      </x:c>
      <x:c r="O1242" s="31" t="n"/>
      <x:c r="P1242" s="31" t="n"/>
      <x:c r="Q1242" s="31" t="inlineStr">
        <x:is>
          <x:t xml:space="preserve">Запланировано</x:t>
        </x:is>
      </x:c>
      <x:c r="R1242" s="31" t="inlineStr">
        <x:is>
          <x:t xml:space="preserve">Нет</x:t>
        </x:is>
      </x:c>
      <x:c r="S1242" s="31" t="inlineStr">
        <x:is>
          <x:t xml:space="preserve">Нет</x:t>
        </x:is>
      </x:c>
    </x:row>
    <x:row r="1243">
      <x:c r="A1243" s="31" t="inlineStr">
        <x:is>
          <x:t xml:space="preserve">ОП-001242</x:t>
        </x:is>
      </x:c>
      <x:c r="B1243" s="31" t="inlineStr">
        <x:is>
          <x:t xml:space="preserve">ПЗ-00149</x:t>
        </x:is>
      </x:c>
      <x:c r="C1243" s="31" t="inlineStr">
        <x:is>
          <x:t xml:space="preserve">ЗК-1071</x:t>
        </x:is>
      </x:c>
      <x:c r="D1243" s="31" t="inlineStr">
        <x:is>
          <x:t xml:space="preserve">ПОЗ-0071-1</x:t>
        </x:is>
      </x:c>
      <x:c r="E1243" s="31" t="inlineStr">
        <x:is>
          <x:t xml:space="preserve">ИЗД-026</x:t>
        </x:is>
      </x:c>
      <x:c r="F1243" s="31" t="n">
        <x:v>60</x:v>
      </x:c>
      <x:c r="G1243" s="31" t="inlineStr">
        <x:is>
          <x:t xml:space="preserve">Программирование ПЛК</x:t>
        </x:is>
      </x:c>
      <x:c r="H1243" s="31" t="inlineStr">
        <x:is>
          <x:t xml:space="preserve">Инженерный отдел</x:t>
        </x:is>
      </x:c>
      <x:c r="I1243" s="31" t="n"/>
      <x:c r="J1243" s="31" t="inlineStr">
        <x:is>
          <x:t xml:space="preserve">СОТР-011</x:t>
        </x:is>
      </x:c>
      <x:c r="K1243" s="31" t="n">
        <x:v>56</x:v>
      </x:c>
      <x:c r="L1243" s="31" t="n"/>
      <x:c r="M1243" s="31" t="n">
        <x:v>46209</x:v>
      </x:c>
      <x:c r="N1243" s="31" t="n">
        <x:v>46214</x:v>
      </x:c>
      <x:c r="O1243" s="31" t="n"/>
      <x:c r="P1243" s="31" t="n"/>
      <x:c r="Q1243" s="31" t="inlineStr">
        <x:is>
          <x:t xml:space="preserve">Запланировано</x:t>
        </x:is>
      </x:c>
      <x:c r="R1243" s="31" t="inlineStr">
        <x:is>
          <x:t xml:space="preserve">Нет</x:t>
        </x:is>
      </x:c>
      <x:c r="S1243" s="31" t="inlineStr">
        <x:is>
          <x:t xml:space="preserve">Нет</x:t>
        </x:is>
      </x:c>
    </x:row>
    <x:row r="1244">
      <x:c r="A1244" s="31" t="inlineStr">
        <x:is>
          <x:t xml:space="preserve">ОП-001243</x:t>
        </x:is>
      </x:c>
      <x:c r="B1244" s="31" t="inlineStr">
        <x:is>
          <x:t xml:space="preserve">ПЗ-00149</x:t>
        </x:is>
      </x:c>
      <x:c r="C1244" s="31" t="inlineStr">
        <x:is>
          <x:t xml:space="preserve">ЗК-1071</x:t>
        </x:is>
      </x:c>
      <x:c r="D1244" s="31" t="inlineStr">
        <x:is>
          <x:t xml:space="preserve">ПОЗ-0071-1</x:t>
        </x:is>
      </x:c>
      <x:c r="E1244" s="31" t="inlineStr">
        <x:is>
          <x:t xml:space="preserve">ИЗД-026</x:t>
        </x:is>
      </x:c>
      <x:c r="F1244" s="31" t="n">
        <x:v>70</x:v>
      </x:c>
      <x:c r="G1244" s="31" t="inlineStr">
        <x:is>
          <x:t xml:space="preserve">Приемочные испытания</x:t>
        </x:is>
      </x:c>
      <x:c r="H1244" s="31" t="inlineStr">
        <x:is>
          <x:t xml:space="preserve">ОТК</x:t>
        </x:is>
      </x:c>
      <x:c r="I1244" s="31" t="inlineStr">
        <x:is>
          <x:t xml:space="preserve">ОБ-024</x:t>
        </x:is>
      </x:c>
      <x:c r="J1244" s="31" t="inlineStr">
        <x:is>
          <x:t xml:space="preserve">СОТР-095</x:t>
        </x:is>
      </x:c>
      <x:c r="K1244" s="31" t="n">
        <x:v>33.2</x:v>
      </x:c>
      <x:c r="L1244" s="31" t="n"/>
      <x:c r="M1244" s="31" t="n">
        <x:v>46214</x:v>
      </x:c>
      <x:c r="N1244" s="31" t="n">
        <x:v>46217</x:v>
      </x:c>
      <x:c r="O1244" s="31" t="n"/>
      <x:c r="P1244" s="31" t="n"/>
      <x:c r="Q1244" s="31" t="inlineStr">
        <x:is>
          <x:t xml:space="preserve">Запланировано</x:t>
        </x:is>
      </x:c>
      <x:c r="R1244" s="31" t="inlineStr">
        <x:is>
          <x:t xml:space="preserve">Нет</x:t>
        </x:is>
      </x:c>
      <x:c r="S1244" s="31" t="inlineStr">
        <x:is>
          <x:t xml:space="preserve">Нет</x:t>
        </x:is>
      </x:c>
    </x:row>
    <x:row r="1245">
      <x:c r="A1245" s="31" t="inlineStr">
        <x:is>
          <x:t xml:space="preserve">ОП-001244</x:t>
        </x:is>
      </x:c>
      <x:c r="B1245" s="31" t="inlineStr">
        <x:is>
          <x:t xml:space="preserve">ПЗ-00149</x:t>
        </x:is>
      </x:c>
      <x:c r="C1245" s="31" t="inlineStr">
        <x:is>
          <x:t xml:space="preserve">ЗК-1071</x:t>
        </x:is>
      </x:c>
      <x:c r="D1245" s="31" t="inlineStr">
        <x:is>
          <x:t xml:space="preserve">ПОЗ-0071-1</x:t>
        </x:is>
      </x:c>
      <x:c r="E1245" s="31" t="inlineStr">
        <x:is>
          <x:t xml:space="preserve">ИЗД-026</x:t>
        </x:is>
      </x:c>
      <x:c r="F1245" s="31" t="n">
        <x:v>80</x:v>
      </x:c>
      <x:c r="G1245" s="31" t="inlineStr">
        <x:is>
          <x:t xml:space="preserve">ОТК</x:t>
        </x:is>
      </x:c>
      <x:c r="H1245" s="31" t="inlineStr">
        <x:is>
          <x:t xml:space="preserve">ОТК</x:t>
        </x:is>
      </x:c>
      <x:c r="I1245" s="31" t="inlineStr">
        <x:is>
          <x:t xml:space="preserve">ОБ-007</x:t>
        </x:is>
      </x:c>
      <x:c r="J1245" s="31" t="inlineStr">
        <x:is>
          <x:t xml:space="preserve">СОТР-063</x:t>
        </x:is>
      </x:c>
      <x:c r="K1245" s="31" t="n">
        <x:v>18.8</x:v>
      </x:c>
      <x:c r="L1245" s="31" t="n"/>
      <x:c r="M1245" s="31" t="n">
        <x:v>46217</x:v>
      </x:c>
      <x:c r="N1245" s="31" t="n">
        <x:v>46219</x:v>
      </x:c>
      <x:c r="O1245" s="31" t="n">
        <x:v>46217</x:v>
      </x:c>
      <x:c r="P1245" s="31" t="n"/>
      <x:c r="Q1245" s="31" t="inlineStr">
        <x:is>
          <x:t xml:space="preserve">В работе</x:t>
        </x:is>
      </x:c>
      <x:c r="R1245" s="31" t="inlineStr">
        <x:is>
          <x:t xml:space="preserve">Нет</x:t>
        </x:is>
      </x:c>
      <x:c r="S1245" s="31" t="inlineStr">
        <x:is>
          <x:t xml:space="preserve">Нет</x:t>
        </x:is>
      </x:c>
    </x:row>
    <x:row r="1246">
      <x:c r="A1246" s="31" t="inlineStr">
        <x:is>
          <x:t xml:space="preserve">ОП-001245</x:t>
        </x:is>
      </x:c>
      <x:c r="B1246" s="31" t="inlineStr">
        <x:is>
          <x:t xml:space="preserve">ПЗ-00149</x:t>
        </x:is>
      </x:c>
      <x:c r="C1246" s="31" t="inlineStr">
        <x:is>
          <x:t xml:space="preserve">ЗК-1071</x:t>
        </x:is>
      </x:c>
      <x:c r="D1246" s="31" t="inlineStr">
        <x:is>
          <x:t xml:space="preserve">ПОЗ-0071-1</x:t>
        </x:is>
      </x:c>
      <x:c r="E1246" s="31" t="inlineStr">
        <x:is>
          <x:t xml:space="preserve">ИЗД-026</x:t>
        </x:is>
      </x:c>
      <x:c r="F1246" s="31" t="n">
        <x:v>90</x:v>
      </x:c>
      <x:c r="G1246" s="31" t="inlineStr">
        <x:is>
          <x:t xml:space="preserve">Упаковка</x:t>
        </x:is>
      </x:c>
      <x:c r="H1246" s="31" t="inlineStr">
        <x:is>
          <x:t xml:space="preserve">Логистика</x:t>
        </x:is>
      </x:c>
      <x:c r="I1246" s="31" t="n"/>
      <x:c r="J1246" s="31" t="inlineStr">
        <x:is>
          <x:t xml:space="preserve">СОТР-102</x:t>
        </x:is>
      </x:c>
      <x:c r="K1246" s="31" t="n">
        <x:v>71.59999999999999</x:v>
      </x:c>
      <x:c r="L1246" s="31" t="n"/>
      <x:c r="M1246" s="31" t="n">
        <x:v>46219</x:v>
      </x:c>
      <x:c r="N1246" s="31" t="n">
        <x:v>46225</x:v>
      </x:c>
      <x:c r="O1246" s="31" t="n"/>
      <x:c r="P1246" s="31" t="n"/>
      <x:c r="Q1246" s="31" t="inlineStr">
        <x:is>
          <x:t xml:space="preserve">Запланировано</x:t>
        </x:is>
      </x:c>
      <x:c r="R1246" s="31" t="inlineStr">
        <x:is>
          <x:t xml:space="preserve">Материал</x:t>
        </x:is>
      </x:c>
      <x:c r="S1246" s="31" t="inlineStr">
        <x:is>
          <x:t xml:space="preserve">Нет</x:t>
        </x:is>
      </x:c>
    </x:row>
    <x:row r="1247">
      <x:c r="A1247" s="31" t="inlineStr">
        <x:is>
          <x:t xml:space="preserve">ОП-001246</x:t>
        </x:is>
      </x:c>
      <x:c r="B1247" s="31" t="inlineStr">
        <x:is>
          <x:t xml:space="preserve">ПЗ-00150</x:t>
        </x:is>
      </x:c>
      <x:c r="C1247" s="31" t="inlineStr">
        <x:is>
          <x:t xml:space="preserve">ЗК-1071</x:t>
        </x:is>
      </x:c>
      <x:c r="D1247" s="31" t="inlineStr">
        <x:is>
          <x:t xml:space="preserve">ПОЗ-0071-2</x:t>
        </x:is>
      </x:c>
      <x:c r="E1247" s="31" t="inlineStr">
        <x:is>
          <x:t xml:space="preserve">ИЗД-032</x:t>
        </x:is>
      </x:c>
      <x:c r="F1247" s="31" t="n">
        <x:v>10</x:v>
      </x:c>
      <x:c r="G1247" s="31" t="inlineStr">
        <x:is>
          <x:t xml:space="preserve">Комплектация</x:t>
        </x:is>
      </x:c>
      <x:c r="H1247" s="31" t="inlineStr">
        <x:is>
          <x:t xml:space="preserve">Склад</x:t>
        </x:is>
      </x:c>
      <x:c r="I1247" s="31" t="inlineStr">
        <x:is>
          <x:t xml:space="preserve">ОБ-008</x:t>
        </x:is>
      </x:c>
      <x:c r="J1247" s="31" t="inlineStr">
        <x:is>
          <x:t xml:space="preserve">СОТР-033</x:t>
        </x:is>
      </x:c>
      <x:c r="K1247" s="31" t="n">
        <x:v>132.8</x:v>
      </x:c>
      <x:c r="L1247" s="31" t="n">
        <x:v>156.8</x:v>
      </x:c>
      <x:c r="M1247" s="31" t="n">
        <x:v>46174</x:v>
      </x:c>
      <x:c r="N1247" s="31" t="n">
        <x:v>46186</x:v>
      </x:c>
      <x:c r="O1247" s="31" t="n">
        <x:v>46174</x:v>
      </x:c>
      <x:c r="P1247" s="31" t="n">
        <x:v>46185</x:v>
      </x:c>
      <x:c r="Q1247" s="31" t="inlineStr">
        <x:is>
          <x:t xml:space="preserve">Завершено</x:t>
        </x:is>
      </x:c>
      <x:c r="R1247" s="31" t="inlineStr">
        <x:is>
          <x:t xml:space="preserve">Нет</x:t>
        </x:is>
      </x:c>
      <x:c r="S1247" s="31" t="inlineStr">
        <x:is>
          <x:t xml:space="preserve">Нет</x:t>
        </x:is>
      </x:c>
    </x:row>
    <x:row r="1248">
      <x:c r="A1248" s="31" t="inlineStr">
        <x:is>
          <x:t xml:space="preserve">ОП-001247</x:t>
        </x:is>
      </x:c>
      <x:c r="B1248" s="31" t="inlineStr">
        <x:is>
          <x:t xml:space="preserve">ПЗ-00150</x:t>
        </x:is>
      </x:c>
      <x:c r="C1248" s="31" t="inlineStr">
        <x:is>
          <x:t xml:space="preserve">ЗК-1071</x:t>
        </x:is>
      </x:c>
      <x:c r="D1248" s="31" t="inlineStr">
        <x:is>
          <x:t xml:space="preserve">ПОЗ-0071-2</x:t>
        </x:is>
      </x:c>
      <x:c r="E1248" s="31" t="inlineStr">
        <x:is>
          <x:t xml:space="preserve">ИЗД-032</x:t>
        </x:is>
      </x:c>
      <x:c r="F1248" s="31" t="n">
        <x:v>20</x:v>
      </x:c>
      <x:c r="G1248" s="31" t="inlineStr">
        <x:is>
          <x:t xml:space="preserve">Входной контроль</x:t>
        </x:is>
      </x:c>
      <x:c r="H1248" s="31" t="inlineStr">
        <x:is>
          <x:t xml:space="preserve">ОТК</x:t>
        </x:is>
      </x:c>
      <x:c r="I1248" s="31" t="inlineStr">
        <x:is>
          <x:t xml:space="preserve">ОБ-024</x:t>
        </x:is>
      </x:c>
      <x:c r="J1248" s="31" t="inlineStr">
        <x:is>
          <x:t xml:space="preserve">СОТР-099</x:t>
        </x:is>
      </x:c>
      <x:c r="K1248" s="31" t="n">
        <x:v>64</x:v>
      </x:c>
      <x:c r="L1248" s="31" t="n"/>
      <x:c r="M1248" s="31" t="n">
        <x:v>46186</x:v>
      </x:c>
      <x:c r="N1248" s="31" t="n">
        <x:v>46192</x:v>
      </x:c>
      <x:c r="O1248" s="31" t="n"/>
      <x:c r="P1248" s="31" t="n"/>
      <x:c r="Q1248" s="31" t="inlineStr">
        <x:is>
          <x:t xml:space="preserve">Запланировано</x:t>
        </x:is>
      </x:c>
      <x:c r="R1248" s="31" t="inlineStr">
        <x:is>
          <x:t xml:space="preserve">Нет</x:t>
        </x:is>
      </x:c>
      <x:c r="S1248" s="31" t="inlineStr">
        <x:is>
          <x:t xml:space="preserve">Да</x:t>
        </x:is>
      </x:c>
    </x:row>
    <x:row r="1249">
      <x:c r="A1249" s="31" t="inlineStr">
        <x:is>
          <x:t xml:space="preserve">ОП-001248</x:t>
        </x:is>
      </x:c>
      <x:c r="B1249" s="31" t="inlineStr">
        <x:is>
          <x:t xml:space="preserve">ПЗ-00150</x:t>
        </x:is>
      </x:c>
      <x:c r="C1249" s="31" t="inlineStr">
        <x:is>
          <x:t xml:space="preserve">ЗК-1071</x:t>
        </x:is>
      </x:c>
      <x:c r="D1249" s="31" t="inlineStr">
        <x:is>
          <x:t xml:space="preserve">ПОЗ-0071-2</x:t>
        </x:is>
      </x:c>
      <x:c r="E1249" s="31" t="inlineStr">
        <x:is>
          <x:t xml:space="preserve">ИЗД-032</x:t>
        </x:is>
      </x:c>
      <x:c r="F1249" s="31" t="n">
        <x:v>30</x:v>
      </x:c>
      <x:c r="G1249" s="31" t="inlineStr">
        <x:is>
          <x:t xml:space="preserve">Упаковка</x:t>
        </x:is>
      </x:c>
      <x:c r="H1249" s="31" t="inlineStr">
        <x:is>
          <x:t xml:space="preserve">Логистика</x:t>
        </x:is>
      </x:c>
      <x:c r="I1249" s="31" t="n"/>
      <x:c r="J1249" s="31" t="inlineStr">
        <x:is>
          <x:t xml:space="preserve">СОТР-070</x:t>
        </x:is>
      </x:c>
      <x:c r="K1249" s="31" t="n">
        <x:v>152</x:v>
      </x:c>
      <x:c r="L1249" s="31" t="n"/>
      <x:c r="M1249" s="31" t="n">
        <x:v>46192</x:v>
      </x:c>
      <x:c r="N1249" s="31" t="n">
        <x:v>46205</x:v>
      </x:c>
      <x:c r="O1249" s="31" t="n">
        <x:v>46192</x:v>
      </x:c>
      <x:c r="P1249" s="31" t="n"/>
      <x:c r="Q1249" s="31" t="inlineStr">
        <x:is>
          <x:t xml:space="preserve">В работе</x:t>
        </x:is>
      </x:c>
      <x:c r="R1249" s="31" t="inlineStr">
        <x:is>
          <x:t xml:space="preserve">Нет</x:t>
        </x:is>
      </x:c>
      <x:c r="S1249" s="31" t="inlineStr">
        <x:is>
          <x:t xml:space="preserve">Да</x:t>
        </x:is>
      </x:c>
    </x:row>
    <x:row r="1250">
      <x:c r="A1250" s="31" t="inlineStr">
        <x:is>
          <x:t xml:space="preserve">ОП-001249</x:t>
        </x:is>
      </x:c>
      <x:c r="B1250" s="31" t="inlineStr">
        <x:is>
          <x:t xml:space="preserve">ПЗ-00150</x:t>
        </x:is>
      </x:c>
      <x:c r="C1250" s="31" t="inlineStr">
        <x:is>
          <x:t xml:space="preserve">ЗК-1071</x:t>
        </x:is>
      </x:c>
      <x:c r="D1250" s="31" t="inlineStr">
        <x:is>
          <x:t xml:space="preserve">ПОЗ-0071-2</x:t>
        </x:is>
      </x:c>
      <x:c r="E1250" s="31" t="inlineStr">
        <x:is>
          <x:t xml:space="preserve">ИЗД-032</x:t>
        </x:is>
      </x:c>
      <x:c r="F1250" s="31" t="n">
        <x:v>40</x:v>
      </x:c>
      <x:c r="G1250" s="31" t="inlineStr">
        <x:is>
          <x:t xml:space="preserve">ОТК</x:t>
        </x:is>
      </x:c>
      <x:c r="H1250" s="31" t="inlineStr">
        <x:is>
          <x:t xml:space="preserve">ОТК</x:t>
        </x:is>
      </x:c>
      <x:c r="I1250" s="31" t="inlineStr">
        <x:is>
          <x:t xml:space="preserve">ОБ-001</x:t>
        </x:is>
      </x:c>
      <x:c r="J1250" s="31" t="inlineStr">
        <x:is>
          <x:t xml:space="preserve">СОТР-100</x:t>
        </x:is>
      </x:c>
      <x:c r="K1250" s="31" t="n">
        <x:v>65.59999999999999</x:v>
      </x:c>
      <x:c r="L1250" s="31" t="n"/>
      <x:c r="M1250" s="31" t="n">
        <x:v>46205</x:v>
      </x:c>
      <x:c r="N1250" s="31" t="n">
        <x:v>46211</x:v>
      </x:c>
      <x:c r="O1250" s="31" t="n"/>
      <x:c r="P1250" s="31" t="n"/>
      <x:c r="Q1250" s="31" t="inlineStr">
        <x:is>
          <x:t xml:space="preserve">Запланировано</x:t>
        </x:is>
      </x:c>
      <x:c r="R1250" s="31" t="inlineStr">
        <x:is>
          <x:t xml:space="preserve">Нет</x:t>
        </x:is>
      </x:c>
      <x:c r="S1250" s="31" t="inlineStr">
        <x:is>
          <x:t xml:space="preserve">Нет</x:t>
        </x:is>
      </x:c>
    </x:row>
    <x:row r="1251">
      <x:c r="A1251" s="31" t="inlineStr">
        <x:is>
          <x:t xml:space="preserve">ОП-001250</x:t>
        </x:is>
      </x:c>
      <x:c r="B1251" s="31" t="inlineStr">
        <x:is>
          <x:t xml:space="preserve">ПЗ-00151</x:t>
        </x:is>
      </x:c>
      <x:c r="C1251" s="31" t="inlineStr">
        <x:is>
          <x:t xml:space="preserve">ЗК-1072</x:t>
        </x:is>
      </x:c>
      <x:c r="D1251" s="31" t="inlineStr">
        <x:is>
          <x:t xml:space="preserve">ПОЗ-0072-1</x:t>
        </x:is>
      </x:c>
      <x:c r="E1251" s="31" t="inlineStr">
        <x:is>
          <x:t xml:space="preserve">ИЗД-039</x:t>
        </x:is>
      </x:c>
      <x:c r="F1251" s="31" t="n">
        <x:v>10</x:v>
      </x:c>
      <x:c r="G1251" s="31" t="inlineStr">
        <x:is>
          <x:t xml:space="preserve">КД</x:t>
        </x:is>
      </x:c>
      <x:c r="H1251" s="31" t="inlineStr">
        <x:is>
          <x:t xml:space="preserve">Инженерный отдел</x:t>
        </x:is>
      </x:c>
      <x:c r="I1251" s="31" t="n"/>
      <x:c r="J1251" s="31" t="inlineStr">
        <x:is>
          <x:t xml:space="preserve">СОТР-011</x:t>
        </x:is>
      </x:c>
      <x:c r="K1251" s="31" t="n">
        <x:v>72</x:v>
      </x:c>
      <x:c r="L1251" s="31" t="n"/>
      <x:c r="M1251" s="31" t="n">
        <x:v>46052</x:v>
      </x:c>
      <x:c r="N1251" s="31" t="n">
        <x:v>46058</x:v>
      </x:c>
      <x:c r="O1251" s="31" t="n"/>
      <x:c r="P1251" s="31" t="n"/>
      <x:c r="Q1251" s="31" t="inlineStr">
        <x:is>
          <x:t xml:space="preserve">Запланировано</x:t>
        </x:is>
      </x:c>
      <x:c r="R1251" s="31" t="inlineStr">
        <x:is>
          <x:t xml:space="preserve">Нет</x:t>
        </x:is>
      </x:c>
      <x:c r="S1251" s="31" t="inlineStr">
        <x:is>
          <x:t xml:space="preserve">Нет</x:t>
        </x:is>
      </x:c>
    </x:row>
    <x:row r="1252">
      <x:c r="A1252" s="31" t="inlineStr">
        <x:is>
          <x:t xml:space="preserve">ОП-001251</x:t>
        </x:is>
      </x:c>
      <x:c r="B1252" s="31" t="inlineStr">
        <x:is>
          <x:t xml:space="preserve">ПЗ-00151</x:t>
        </x:is>
      </x:c>
      <x:c r="C1252" s="31" t="inlineStr">
        <x:is>
          <x:t xml:space="preserve">ЗК-1072</x:t>
        </x:is>
      </x:c>
      <x:c r="D1252" s="31" t="inlineStr">
        <x:is>
          <x:t xml:space="preserve">ПОЗ-0072-1</x:t>
        </x:is>
      </x:c>
      <x:c r="E1252" s="31" t="inlineStr">
        <x:is>
          <x:t xml:space="preserve">ИЗД-039</x:t>
        </x:is>
      </x:c>
      <x:c r="F1252" s="31" t="n">
        <x:v>20</x:v>
      </x:c>
      <x:c r="G1252" s="31" t="inlineStr">
        <x:is>
          <x:t xml:space="preserve">Резка металла</x:t>
        </x:is>
      </x:c>
      <x:c r="H1252" s="31" t="inlineStr">
        <x:is>
          <x:t xml:space="preserve">Сварка</x:t>
        </x:is>
      </x:c>
      <x:c r="I1252" s="31" t="inlineStr">
        <x:is>
          <x:t xml:space="preserve">ОБ-021</x:t>
        </x:is>
      </x:c>
      <x:c r="J1252" s="31" t="inlineStr">
        <x:is>
          <x:t xml:space="preserve">СОТР-068</x:t>
        </x:is>
      </x:c>
      <x:c r="K1252" s="31" t="n">
        <x:v>81.2</x:v>
      </x:c>
      <x:c r="L1252" s="31" t="n"/>
      <x:c r="M1252" s="31" t="n">
        <x:v>46058</x:v>
      </x:c>
      <x:c r="N1252" s="31" t="n">
        <x:v>46065</x:v>
      </x:c>
      <x:c r="O1252" s="31" t="n"/>
      <x:c r="P1252" s="31" t="n"/>
      <x:c r="Q1252" s="31" t="inlineStr">
        <x:is>
          <x:t xml:space="preserve">Запланировано</x:t>
        </x:is>
      </x:c>
      <x:c r="R1252" s="31" t="inlineStr">
        <x:is>
          <x:t xml:space="preserve">Нет</x:t>
        </x:is>
      </x:c>
      <x:c r="S1252" s="31" t="inlineStr">
        <x:is>
          <x:t xml:space="preserve">Нет</x:t>
        </x:is>
      </x:c>
    </x:row>
    <x:row r="1253">
      <x:c r="A1253" s="31" t="inlineStr">
        <x:is>
          <x:t xml:space="preserve">ОП-001252</x:t>
        </x:is>
      </x:c>
      <x:c r="B1253" s="31" t="inlineStr">
        <x:is>
          <x:t xml:space="preserve">ПЗ-00151</x:t>
        </x:is>
      </x:c>
      <x:c r="C1253" s="31" t="inlineStr">
        <x:is>
          <x:t xml:space="preserve">ЗК-1072</x:t>
        </x:is>
      </x:c>
      <x:c r="D1253" s="31" t="inlineStr">
        <x:is>
          <x:t xml:space="preserve">ПОЗ-0072-1</x:t>
        </x:is>
      </x:c>
      <x:c r="E1253" s="31" t="inlineStr">
        <x:is>
          <x:t xml:space="preserve">ИЗД-039</x:t>
        </x:is>
      </x:c>
      <x:c r="F1253" s="31" t="n">
        <x:v>30</x:v>
      </x:c>
      <x:c r="G1253" s="31" t="inlineStr">
        <x:is>
          <x:t xml:space="preserve">Сварка рамы</x:t>
        </x:is>
      </x:c>
      <x:c r="H1253" s="31" t="inlineStr">
        <x:is>
          <x:t xml:space="preserve">Сварка</x:t>
        </x:is>
      </x:c>
      <x:c r="I1253" s="31" t="inlineStr">
        <x:is>
          <x:t xml:space="preserve">ОБ-018</x:t>
        </x:is>
      </x:c>
      <x:c r="J1253" s="31" t="inlineStr">
        <x:is>
          <x:t xml:space="preserve">СОТР-072</x:t>
        </x:is>
      </x:c>
      <x:c r="K1253" s="31" t="n">
        <x:v>33.6</x:v>
      </x:c>
      <x:c r="L1253" s="31" t="n"/>
      <x:c r="M1253" s="31" t="n">
        <x:v>46065</x:v>
      </x:c>
      <x:c r="N1253" s="31" t="n">
        <x:v>46068</x:v>
      </x:c>
      <x:c r="O1253" s="31" t="n"/>
      <x:c r="P1253" s="31" t="n"/>
      <x:c r="Q1253" s="31" t="inlineStr">
        <x:is>
          <x:t xml:space="preserve">Запланировано</x:t>
        </x:is>
      </x:c>
      <x:c r="R1253" s="31" t="inlineStr">
        <x:is>
          <x:t xml:space="preserve">Материал</x:t>
        </x:is>
      </x:c>
      <x:c r="S1253" s="31" t="inlineStr">
        <x:is>
          <x:t xml:space="preserve">Нет</x:t>
        </x:is>
      </x:c>
    </x:row>
    <x:row r="1254">
      <x:c r="A1254" s="31" t="inlineStr">
        <x:is>
          <x:t xml:space="preserve">ОП-001253</x:t>
        </x:is>
      </x:c>
      <x:c r="B1254" s="31" t="inlineStr">
        <x:is>
          <x:t xml:space="preserve">ПЗ-00151</x:t>
        </x:is>
      </x:c>
      <x:c r="C1254" s="31" t="inlineStr">
        <x:is>
          <x:t xml:space="preserve">ЗК-1072</x:t>
        </x:is>
      </x:c>
      <x:c r="D1254" s="31" t="inlineStr">
        <x:is>
          <x:t xml:space="preserve">ПОЗ-0072-1</x:t>
        </x:is>
      </x:c>
      <x:c r="E1254" s="31" t="inlineStr">
        <x:is>
          <x:t xml:space="preserve">ИЗД-039</x:t>
        </x:is>
      </x:c>
      <x:c r="F1254" s="31" t="n">
        <x:v>40</x:v>
      </x:c>
      <x:c r="G1254" s="31" t="inlineStr">
        <x:is>
          <x:t xml:space="preserve">Пескоструй</x:t>
        </x:is>
      </x:c>
      <x:c r="H1254" s="31" t="inlineStr">
        <x:is>
          <x:t xml:space="preserve">Сварка</x:t>
        </x:is>
      </x:c>
      <x:c r="I1254" s="31" t="inlineStr">
        <x:is>
          <x:t xml:space="preserve">ОБ-018</x:t>
        </x:is>
      </x:c>
      <x:c r="J1254" s="31" t="inlineStr">
        <x:is>
          <x:t xml:space="preserve">СОТР-068</x:t>
        </x:is>
      </x:c>
      <x:c r="K1254" s="31" t="n">
        <x:v>49.2</x:v>
      </x:c>
      <x:c r="L1254" s="31" t="n"/>
      <x:c r="M1254" s="31" t="n">
        <x:v>46068</x:v>
      </x:c>
      <x:c r="N1254" s="31" t="n">
        <x:v>46073</x:v>
      </x:c>
      <x:c r="O1254" s="31" t="n"/>
      <x:c r="P1254" s="31" t="n"/>
      <x:c r="Q1254" s="31" t="inlineStr">
        <x:is>
          <x:t xml:space="preserve">Запланировано</x:t>
        </x:is>
      </x:c>
      <x:c r="R1254" s="31" t="inlineStr">
        <x:is>
          <x:t xml:space="preserve">Нет</x:t>
        </x:is>
      </x:c>
      <x:c r="S1254" s="31" t="inlineStr">
        <x:is>
          <x:t xml:space="preserve">Нет</x:t>
        </x:is>
      </x:c>
    </x:row>
    <x:row r="1255">
      <x:c r="A1255" s="31" t="inlineStr">
        <x:is>
          <x:t xml:space="preserve">ОП-001254</x:t>
        </x:is>
      </x:c>
      <x:c r="B1255" s="31" t="inlineStr">
        <x:is>
          <x:t xml:space="preserve">ПЗ-00151</x:t>
        </x:is>
      </x:c>
      <x:c r="C1255" s="31" t="inlineStr">
        <x:is>
          <x:t xml:space="preserve">ЗК-1072</x:t>
        </x:is>
      </x:c>
      <x:c r="D1255" s="31" t="inlineStr">
        <x:is>
          <x:t xml:space="preserve">ПОЗ-0072-1</x:t>
        </x:is>
      </x:c>
      <x:c r="E1255" s="31" t="inlineStr">
        <x:is>
          <x:t xml:space="preserve">ИЗД-039</x:t>
        </x:is>
      </x:c>
      <x:c r="F1255" s="31" t="n">
        <x:v>50</x:v>
      </x:c>
      <x:c r="G1255" s="31" t="inlineStr">
        <x:is>
          <x:t xml:space="preserve">Покраска</x:t>
        </x:is>
      </x:c>
      <x:c r="H1255" s="31" t="inlineStr">
        <x:is>
          <x:t xml:space="preserve">Сварка</x:t>
        </x:is>
      </x:c>
      <x:c r="I1255" s="31" t="inlineStr">
        <x:is>
          <x:t xml:space="preserve">ОБ-026</x:t>
        </x:is>
      </x:c>
      <x:c r="J1255" s="31" t="inlineStr">
        <x:is>
          <x:t xml:space="preserve">СОТР-061</x:t>
        </x:is>
      </x:c>
      <x:c r="K1255" s="31" t="n">
        <x:v>15.2</x:v>
      </x:c>
      <x:c r="L1255" s="31" t="n"/>
      <x:c r="M1255" s="31" t="n">
        <x:v>46073</x:v>
      </x:c>
      <x:c r="N1255" s="31" t="n">
        <x:v>46075</x:v>
      </x:c>
      <x:c r="O1255" s="31" t="n"/>
      <x:c r="P1255" s="31" t="n"/>
      <x:c r="Q1255" s="31" t="inlineStr">
        <x:is>
          <x:t xml:space="preserve">Запланировано</x:t>
        </x:is>
      </x:c>
      <x:c r="R1255" s="31" t="inlineStr">
        <x:is>
          <x:t xml:space="preserve">Нет</x:t>
        </x:is>
      </x:c>
      <x:c r="S1255" s="31" t="inlineStr">
        <x:is>
          <x:t xml:space="preserve">Нет</x:t>
        </x:is>
      </x:c>
    </x:row>
    <x:row r="1256">
      <x:c r="A1256" s="31" t="inlineStr">
        <x:is>
          <x:t xml:space="preserve">ОП-001255</x:t>
        </x:is>
      </x:c>
      <x:c r="B1256" s="31" t="inlineStr">
        <x:is>
          <x:t xml:space="preserve">ПЗ-00151</x:t>
        </x:is>
      </x:c>
      <x:c r="C1256" s="31" t="inlineStr">
        <x:is>
          <x:t xml:space="preserve">ЗК-1072</x:t>
        </x:is>
      </x:c>
      <x:c r="D1256" s="31" t="inlineStr">
        <x:is>
          <x:t xml:space="preserve">ПОЗ-0072-1</x:t>
        </x:is>
      </x:c>
      <x:c r="E1256" s="31" t="inlineStr">
        <x:is>
          <x:t xml:space="preserve">ИЗД-039</x:t>
        </x:is>
      </x:c>
      <x:c r="F1256" s="31" t="n">
        <x:v>60</x:v>
      </x:c>
      <x:c r="G1256" s="31" t="inlineStr">
        <x:is>
          <x:t xml:space="preserve">ОТК</x:t>
        </x:is>
      </x:c>
      <x:c r="H1256" s="31" t="inlineStr">
        <x:is>
          <x:t xml:space="preserve">ОТК</x:t>
        </x:is>
      </x:c>
      <x:c r="I1256" s="31" t="inlineStr">
        <x:is>
          <x:t xml:space="preserve">ОБ-024</x:t>
        </x:is>
      </x:c>
      <x:c r="J1256" s="31" t="inlineStr">
        <x:is>
          <x:t xml:space="preserve">СОТР-098</x:t>
        </x:is>
      </x:c>
      <x:c r="K1256" s="31" t="n">
        <x:v>57.6</x:v>
      </x:c>
      <x:c r="L1256" s="31" t="n"/>
      <x:c r="M1256" s="31" t="n">
        <x:v>46075</x:v>
      </x:c>
      <x:c r="N1256" s="31" t="n">
        <x:v>46080</x:v>
      </x:c>
      <x:c r="O1256" s="31" t="n"/>
      <x:c r="P1256" s="31" t="n"/>
      <x:c r="Q1256" s="31" t="inlineStr">
        <x:is>
          <x:t xml:space="preserve">Запланировано</x:t>
        </x:is>
      </x:c>
      <x:c r="R1256" s="31" t="inlineStr">
        <x:is>
          <x:t xml:space="preserve">Нет</x:t>
        </x:is>
      </x:c>
      <x:c r="S1256" s="31" t="inlineStr">
        <x:is>
          <x:t xml:space="preserve">Нет</x:t>
        </x:is>
      </x:c>
    </x:row>
    <x:row r="1257">
      <x:c r="A1257" s="31" t="inlineStr">
        <x:is>
          <x:t xml:space="preserve">ОП-001256</x:t>
        </x:is>
      </x:c>
      <x:c r="B1257" s="31" t="inlineStr">
        <x:is>
          <x:t xml:space="preserve">ПЗ-00152</x:t>
        </x:is>
      </x:c>
      <x:c r="C1257" s="31" t="inlineStr">
        <x:is>
          <x:t xml:space="preserve">ЗК-1073</x:t>
        </x:is>
      </x:c>
      <x:c r="D1257" s="31" t="inlineStr">
        <x:is>
          <x:t xml:space="preserve">ПОЗ-0073-1</x:t>
        </x:is>
      </x:c>
      <x:c r="E1257" s="31" t="inlineStr">
        <x:is>
          <x:t xml:space="preserve">ИЗД-033</x:t>
        </x:is>
      </x:c>
      <x:c r="F1257" s="31" t="n">
        <x:v>10</x:v>
      </x:c>
      <x:c r="G1257" s="31" t="inlineStr">
        <x:is>
          <x:t xml:space="preserve">КД</x:t>
        </x:is>
      </x:c>
      <x:c r="H1257" s="31" t="inlineStr">
        <x:is>
          <x:t xml:space="preserve">Инженерный отдел</x:t>
        </x:is>
      </x:c>
      <x:c r="I1257" s="31" t="n"/>
      <x:c r="J1257" s="31" t="inlineStr">
        <x:is>
          <x:t xml:space="preserve">СОТР-015</x:t>
        </x:is>
      </x:c>
      <x:c r="K1257" s="31" t="n">
        <x:v>8.1</x:v>
      </x:c>
      <x:c r="L1257" s="31" t="n">
        <x:v>9.199999999999999</x:v>
      </x:c>
      <x:c r="M1257" s="31" t="n">
        <x:v>46169</x:v>
      </x:c>
      <x:c r="N1257" s="31" t="n">
        <x:v>46170</x:v>
      </x:c>
      <x:c r="O1257" s="31" t="n">
        <x:v>46169</x:v>
      </x:c>
      <x:c r="P1257" s="31" t="n">
        <x:v>46170</x:v>
      </x:c>
      <x:c r="Q1257" s="31" t="inlineStr">
        <x:is>
          <x:t xml:space="preserve">Завершено</x:t>
        </x:is>
      </x:c>
      <x:c r="R1257" s="31" t="inlineStr">
        <x:is>
          <x:t xml:space="preserve">Нет</x:t>
        </x:is>
      </x:c>
      <x:c r="S1257" s="31" t="inlineStr">
        <x:is>
          <x:t xml:space="preserve">Нет</x:t>
        </x:is>
      </x:c>
    </x:row>
    <x:row r="1258">
      <x:c r="A1258" s="31" t="inlineStr">
        <x:is>
          <x:t xml:space="preserve">ОП-001257</x:t>
        </x:is>
      </x:c>
      <x:c r="B1258" s="31" t="inlineStr">
        <x:is>
          <x:t xml:space="preserve">ПЗ-00152</x:t>
        </x:is>
      </x:c>
      <x:c r="C1258" s="31" t="inlineStr">
        <x:is>
          <x:t xml:space="preserve">ЗК-1073</x:t>
        </x:is>
      </x:c>
      <x:c r="D1258" s="31" t="inlineStr">
        <x:is>
          <x:t xml:space="preserve">ПОЗ-0073-1</x:t>
        </x:is>
      </x:c>
      <x:c r="E1258" s="31" t="inlineStr">
        <x:is>
          <x:t xml:space="preserve">ИЗД-033</x:t>
        </x:is>
      </x:c>
      <x:c r="F1258" s="31" t="n">
        <x:v>20</x:v>
      </x:c>
      <x:c r="G1258" s="31" t="inlineStr">
        <x:is>
          <x:t xml:space="preserve">Резерв материалов</x:t>
        </x:is>
      </x:c>
      <x:c r="H1258" s="31" t="inlineStr">
        <x:is>
          <x:t xml:space="preserve">Склад</x:t>
        </x:is>
      </x:c>
      <x:c r="I1258" s="31" t="inlineStr">
        <x:is>
          <x:t xml:space="preserve">ОБ-023</x:t>
        </x:is>
      </x:c>
      <x:c r="J1258" s="31" t="inlineStr">
        <x:is>
          <x:t xml:space="preserve">СОТР-034</x:t>
        </x:is>
      </x:c>
      <x:c r="K1258" s="31" t="n">
        <x:v>28.2</x:v>
      </x:c>
      <x:c r="L1258" s="31" t="n">
        <x:v>35</x:v>
      </x:c>
      <x:c r="M1258" s="31" t="n">
        <x:v>46170</x:v>
      </x:c>
      <x:c r="N1258" s="31" t="n">
        <x:v>46173</x:v>
      </x:c>
      <x:c r="O1258" s="31" t="n">
        <x:v>46170</x:v>
      </x:c>
      <x:c r="P1258" s="31" t="n">
        <x:v>46172</x:v>
      </x:c>
      <x:c r="Q1258" s="31" t="inlineStr">
        <x:is>
          <x:t xml:space="preserve">Завершено</x:t>
        </x:is>
      </x:c>
      <x:c r="R1258" s="31" t="inlineStr">
        <x:is>
          <x:t xml:space="preserve">Нет</x:t>
        </x:is>
      </x:c>
      <x:c r="S1258" s="31" t="inlineStr">
        <x:is>
          <x:t xml:space="preserve">Нет</x:t>
        </x:is>
      </x:c>
    </x:row>
    <x:row r="1259">
      <x:c r="A1259" s="31" t="inlineStr">
        <x:is>
          <x:t xml:space="preserve">ОП-001258</x:t>
        </x:is>
      </x:c>
      <x:c r="B1259" s="31" t="inlineStr">
        <x:is>
          <x:t xml:space="preserve">ПЗ-00152</x:t>
        </x:is>
      </x:c>
      <x:c r="C1259" s="31" t="inlineStr">
        <x:is>
          <x:t xml:space="preserve">ЗК-1073</x:t>
        </x:is>
      </x:c>
      <x:c r="D1259" s="31" t="inlineStr">
        <x:is>
          <x:t xml:space="preserve">ПОЗ-0073-1</x:t>
        </x:is>
      </x:c>
      <x:c r="E1259" s="31" t="inlineStr">
        <x:is>
          <x:t xml:space="preserve">ИЗД-033</x:t>
        </x:is>
      </x:c>
      <x:c r="F1259" s="31" t="n">
        <x:v>30</x:v>
      </x:c>
      <x:c r="G1259" s="31" t="inlineStr">
        <x:is>
          <x:t xml:space="preserve">Сварка рамы</x:t>
        </x:is>
      </x:c>
      <x:c r="H1259" s="31" t="inlineStr">
        <x:is>
          <x:t xml:space="preserve">Сварка</x:t>
        </x:is>
      </x:c>
      <x:c r="I1259" s="31" t="inlineStr">
        <x:is>
          <x:t xml:space="preserve">ОБ-035</x:t>
        </x:is>
      </x:c>
      <x:c r="J1259" s="31" t="inlineStr">
        <x:is>
          <x:t xml:space="preserve">СОТР-062</x:t>
        </x:is>
      </x:c>
      <x:c r="K1259" s="31" t="n">
        <x:v>25.5</x:v>
      </x:c>
      <x:c r="L1259" s="31" t="n">
        <x:v>31.2</x:v>
      </x:c>
      <x:c r="M1259" s="31" t="n">
        <x:v>46173</x:v>
      </x:c>
      <x:c r="N1259" s="31" t="n">
        <x:v>46176</x:v>
      </x:c>
      <x:c r="O1259" s="31" t="n">
        <x:v>46173</x:v>
      </x:c>
      <x:c r="P1259" s="31" t="n">
        <x:v>46178</x:v>
      </x:c>
      <x:c r="Q1259" s="31" t="inlineStr">
        <x:is>
          <x:t xml:space="preserve">Завершено</x:t>
        </x:is>
      </x:c>
      <x:c r="R1259" s="31" t="inlineStr">
        <x:is>
          <x:t xml:space="preserve">Нет</x:t>
        </x:is>
      </x:c>
      <x:c r="S1259" s="31" t="inlineStr">
        <x:is>
          <x:t xml:space="preserve">Нет</x:t>
        </x:is>
      </x:c>
    </x:row>
    <x:row r="1260">
      <x:c r="A1260" s="31" t="inlineStr">
        <x:is>
          <x:t xml:space="preserve">ОП-001259</x:t>
        </x:is>
      </x:c>
      <x:c r="B1260" s="31" t="inlineStr">
        <x:is>
          <x:t xml:space="preserve">ПЗ-00152</x:t>
        </x:is>
      </x:c>
      <x:c r="C1260" s="31" t="inlineStr">
        <x:is>
          <x:t xml:space="preserve">ЗК-1073</x:t>
        </x:is>
      </x:c>
      <x:c r="D1260" s="31" t="inlineStr">
        <x:is>
          <x:t xml:space="preserve">ПОЗ-0073-1</x:t>
        </x:is>
      </x:c>
      <x:c r="E1260" s="31" t="inlineStr">
        <x:is>
          <x:t xml:space="preserve">ИЗД-033</x:t>
        </x:is>
      </x:c>
      <x:c r="F1260" s="31" t="n">
        <x:v>40</x:v>
      </x:c>
      <x:c r="G1260" s="31" t="inlineStr">
        <x:is>
          <x:t xml:space="preserve">Сборка</x:t>
        </x:is>
      </x:c>
      <x:c r="H1260" s="31" t="inlineStr">
        <x:is>
          <x:t xml:space="preserve">Сборка</x:t>
        </x:is>
      </x:c>
      <x:c r="I1260" s="31" t="inlineStr">
        <x:is>
          <x:t xml:space="preserve">ОБ-005</x:t>
        </x:is>
      </x:c>
      <x:c r="J1260" s="31" t="inlineStr">
        <x:is>
          <x:t xml:space="preserve">СОТР-073</x:t>
        </x:is>
      </x:c>
      <x:c r="K1260" s="31" t="n">
        <x:v>27.6</x:v>
      </x:c>
      <x:c r="L1260" s="31" t="n">
        <x:v>29.9</x:v>
      </x:c>
      <x:c r="M1260" s="31" t="n">
        <x:v>46176</x:v>
      </x:c>
      <x:c r="N1260" s="31" t="n">
        <x:v>46179</x:v>
      </x:c>
      <x:c r="O1260" s="31" t="n">
        <x:v>46176</x:v>
      </x:c>
      <x:c r="P1260" s="31" t="n">
        <x:v>46179</x:v>
      </x:c>
      <x:c r="Q1260" s="31" t="inlineStr">
        <x:is>
          <x:t xml:space="preserve">Завершено</x:t>
        </x:is>
      </x:c>
      <x:c r="R1260" s="31" t="inlineStr">
        <x:is>
          <x:t xml:space="preserve">Оборудование</x:t>
        </x:is>
      </x:c>
      <x:c r="S1260" s="31" t="inlineStr">
        <x:is>
          <x:t xml:space="preserve">Нет</x:t>
        </x:is>
      </x:c>
    </x:row>
    <x:row r="1261">
      <x:c r="A1261" s="31" t="inlineStr">
        <x:is>
          <x:t xml:space="preserve">ОП-001260</x:t>
        </x:is>
      </x:c>
      <x:c r="B1261" s="31" t="inlineStr">
        <x:is>
          <x:t xml:space="preserve">ПЗ-00152</x:t>
        </x:is>
      </x:c>
      <x:c r="C1261" s="31" t="inlineStr">
        <x:is>
          <x:t xml:space="preserve">ЗК-1073</x:t>
        </x:is>
      </x:c>
      <x:c r="D1261" s="31" t="inlineStr">
        <x:is>
          <x:t xml:space="preserve">ПОЗ-0073-1</x:t>
        </x:is>
      </x:c>
      <x:c r="E1261" s="31" t="inlineStr">
        <x:is>
          <x:t xml:space="preserve">ИЗД-033</x:t>
        </x:is>
      </x:c>
      <x:c r="F1261" s="31" t="n">
        <x:v>50</x:v>
      </x:c>
      <x:c r="G1261" s="31" t="inlineStr">
        <x:is>
          <x:t xml:space="preserve">Обвязка труб</x:t>
        </x:is>
      </x:c>
      <x:c r="H1261" s="31" t="inlineStr">
        <x:is>
          <x:t xml:space="preserve">Сборка</x:t>
        </x:is>
      </x:c>
      <x:c r="I1261" s="31" t="inlineStr">
        <x:is>
          <x:t xml:space="preserve">ОБ-005</x:t>
        </x:is>
      </x:c>
      <x:c r="J1261" s="31" t="inlineStr">
        <x:is>
          <x:t xml:space="preserve">СОТР-086</x:t>
        </x:is>
      </x:c>
      <x:c r="K1261" s="31" t="n">
        <x:v>10.2</x:v>
      </x:c>
      <x:c r="L1261" s="31" t="n">
        <x:v>11.7</x:v>
      </x:c>
      <x:c r="M1261" s="31" t="n">
        <x:v>46179</x:v>
      </x:c>
      <x:c r="N1261" s="31" t="n">
        <x:v>46180</x:v>
      </x:c>
      <x:c r="O1261" s="31" t="n">
        <x:v>46179</x:v>
      </x:c>
      <x:c r="P1261" s="31" t="n">
        <x:v>46181</x:v>
      </x:c>
      <x:c r="Q1261" s="31" t="inlineStr">
        <x:is>
          <x:t xml:space="preserve">Завершено</x:t>
        </x:is>
      </x:c>
      <x:c r="R1261" s="31" t="inlineStr">
        <x:is>
          <x:t xml:space="preserve">Нет</x:t>
        </x:is>
      </x:c>
      <x:c r="S1261" s="31" t="inlineStr">
        <x:is>
          <x:t xml:space="preserve">Нет</x:t>
        </x:is>
      </x:c>
    </x:row>
    <x:row r="1262">
      <x:c r="A1262" s="31" t="inlineStr">
        <x:is>
          <x:t xml:space="preserve">ОП-001261</x:t>
        </x:is>
      </x:c>
      <x:c r="B1262" s="31" t="inlineStr">
        <x:is>
          <x:t xml:space="preserve">ПЗ-00152</x:t>
        </x:is>
      </x:c>
      <x:c r="C1262" s="31" t="inlineStr">
        <x:is>
          <x:t xml:space="preserve">ЗК-1073</x:t>
        </x:is>
      </x:c>
      <x:c r="D1262" s="31" t="inlineStr">
        <x:is>
          <x:t xml:space="preserve">ПОЗ-0073-1</x:t>
        </x:is>
      </x:c>
      <x:c r="E1262" s="31" t="inlineStr">
        <x:is>
          <x:t xml:space="preserve">ИЗД-033</x:t>
        </x:is>
      </x:c>
      <x:c r="F1262" s="31" t="n">
        <x:v>60</x:v>
      </x:c>
      <x:c r="G1262" s="31" t="inlineStr">
        <x:is>
          <x:t xml:space="preserve">Электромонтаж</x:t>
        </x:is>
      </x:c>
      <x:c r="H1262" s="31" t="inlineStr">
        <x:is>
          <x:t xml:space="preserve">Сборка</x:t>
        </x:is>
      </x:c>
      <x:c r="I1262" s="31" t="inlineStr">
        <x:is>
          <x:t xml:space="preserve">ОБ-002</x:t>
        </x:is>
      </x:c>
      <x:c r="J1262" s="31" t="inlineStr">
        <x:is>
          <x:t xml:space="preserve">СОТР-088</x:t>
        </x:is>
      </x:c>
      <x:c r="K1262" s="31" t="n">
        <x:v>45.9</x:v>
      </x:c>
      <x:c r="L1262" s="31" t="n">
        <x:v>40.5</x:v>
      </x:c>
      <x:c r="M1262" s="31" t="n">
        <x:v>46180</x:v>
      </x:c>
      <x:c r="N1262" s="31" t="n">
        <x:v>46184</x:v>
      </x:c>
      <x:c r="O1262" s="31" t="n">
        <x:v>46180</x:v>
      </x:c>
      <x:c r="P1262" s="31" t="n">
        <x:v>46183</x:v>
      </x:c>
      <x:c r="Q1262" s="31" t="inlineStr">
        <x:is>
          <x:t xml:space="preserve">Завершено</x:t>
        </x:is>
      </x:c>
      <x:c r="R1262" s="31" t="inlineStr">
        <x:is>
          <x:t xml:space="preserve">Нет</x:t>
        </x:is>
      </x:c>
      <x:c r="S1262" s="31" t="inlineStr">
        <x:is>
          <x:t xml:space="preserve">Нет</x:t>
        </x:is>
      </x:c>
    </x:row>
    <x:row r="1263">
      <x:c r="A1263" s="31" t="inlineStr">
        <x:is>
          <x:t xml:space="preserve">ОП-001262</x:t>
        </x:is>
      </x:c>
      <x:c r="B1263" s="31" t="inlineStr">
        <x:is>
          <x:t xml:space="preserve">ПЗ-00152</x:t>
        </x:is>
      </x:c>
      <x:c r="C1263" s="31" t="inlineStr">
        <x:is>
          <x:t xml:space="preserve">ЗК-1073</x:t>
        </x:is>
      </x:c>
      <x:c r="D1263" s="31" t="inlineStr">
        <x:is>
          <x:t xml:space="preserve">ПОЗ-0073-1</x:t>
        </x:is>
      </x:c>
      <x:c r="E1263" s="31" t="inlineStr">
        <x:is>
          <x:t xml:space="preserve">ИЗД-033</x:t>
        </x:is>
      </x:c>
      <x:c r="F1263" s="31" t="n">
        <x:v>70</x:v>
      </x:c>
      <x:c r="G1263" s="31" t="inlineStr">
        <x:is>
          <x:t xml:space="preserve">Гидроиспытания</x:t>
        </x:is>
      </x:c>
      <x:c r="H1263" s="31" t="inlineStr">
        <x:is>
          <x:t xml:space="preserve">ОТК</x:t>
        </x:is>
      </x:c>
      <x:c r="I1263" s="31" t="inlineStr">
        <x:is>
          <x:t xml:space="preserve">ОБ-001</x:t>
        </x:is>
      </x:c>
      <x:c r="J1263" s="31" t="inlineStr">
        <x:is>
          <x:t xml:space="preserve">СОТР-097</x:t>
        </x:is>
      </x:c>
      <x:c r="K1263" s="31" t="n">
        <x:v>38.7</x:v>
      </x:c>
      <x:c r="L1263" s="31" t="n">
        <x:v>51.6</x:v>
      </x:c>
      <x:c r="M1263" s="31" t="n">
        <x:v>46184</x:v>
      </x:c>
      <x:c r="N1263" s="31" t="n">
        <x:v>46188</x:v>
      </x:c>
      <x:c r="O1263" s="31" t="n">
        <x:v>46184</x:v>
      </x:c>
      <x:c r="P1263" s="31" t="n">
        <x:v>46187</x:v>
      </x:c>
      <x:c r="Q1263" s="31" t="inlineStr">
        <x:is>
          <x:t xml:space="preserve">Завершено</x:t>
        </x:is>
      </x:c>
      <x:c r="R1263" s="31" t="inlineStr">
        <x:is>
          <x:t xml:space="preserve">Нет</x:t>
        </x:is>
      </x:c>
      <x:c r="S1263" s="31" t="inlineStr">
        <x:is>
          <x:t xml:space="preserve">Нет</x:t>
        </x:is>
      </x:c>
    </x:row>
    <x:row r="1264">
      <x:c r="A1264" s="31" t="inlineStr">
        <x:is>
          <x:t xml:space="preserve">ОП-001263</x:t>
        </x:is>
      </x:c>
      <x:c r="B1264" s="31" t="inlineStr">
        <x:is>
          <x:t xml:space="preserve">ПЗ-00152</x:t>
        </x:is>
      </x:c>
      <x:c r="C1264" s="31" t="inlineStr">
        <x:is>
          <x:t xml:space="preserve">ЗК-1073</x:t>
        </x:is>
      </x:c>
      <x:c r="D1264" s="31" t="inlineStr">
        <x:is>
          <x:t xml:space="preserve">ПОЗ-0073-1</x:t>
        </x:is>
      </x:c>
      <x:c r="E1264" s="31" t="inlineStr">
        <x:is>
          <x:t xml:space="preserve">ИЗД-033</x:t>
        </x:is>
      </x:c>
      <x:c r="F1264" s="31" t="n">
        <x:v>80</x:v>
      </x:c>
      <x:c r="G1264" s="31" t="inlineStr">
        <x:is>
          <x:t xml:space="preserve">ОТК</x:t>
        </x:is>
      </x:c>
      <x:c r="H1264" s="31" t="inlineStr">
        <x:is>
          <x:t xml:space="preserve">ОТК</x:t>
        </x:is>
      </x:c>
      <x:c r="I1264" s="31" t="inlineStr">
        <x:is>
          <x:t xml:space="preserve">ОБ-024</x:t>
        </x:is>
      </x:c>
      <x:c r="J1264" s="31" t="inlineStr">
        <x:is>
          <x:t xml:space="preserve">СОТР-095</x:t>
        </x:is>
      </x:c>
      <x:c r="K1264" s="31" t="n">
        <x:v>41.7</x:v>
      </x:c>
      <x:c r="L1264" s="31" t="n">
        <x:v>49.9</x:v>
      </x:c>
      <x:c r="M1264" s="31" t="n">
        <x:v>46188</x:v>
      </x:c>
      <x:c r="N1264" s="31" t="n">
        <x:v>46192</x:v>
      </x:c>
      <x:c r="O1264" s="31" t="n">
        <x:v>46188</x:v>
      </x:c>
      <x:c r="P1264" s="31" t="n">
        <x:v>46192</x:v>
      </x:c>
      <x:c r="Q1264" s="31" t="inlineStr">
        <x:is>
          <x:t xml:space="preserve">Завершено</x:t>
        </x:is>
      </x:c>
      <x:c r="R1264" s="31" t="inlineStr">
        <x:is>
          <x:t xml:space="preserve">Нет</x:t>
        </x:is>
      </x:c>
      <x:c r="S1264" s="31" t="inlineStr">
        <x:is>
          <x:t xml:space="preserve">Нет</x:t>
        </x:is>
      </x:c>
    </x:row>
    <x:row r="1265">
      <x:c r="A1265" s="31" t="inlineStr">
        <x:is>
          <x:t xml:space="preserve">ОП-001264</x:t>
        </x:is>
      </x:c>
      <x:c r="B1265" s="31" t="inlineStr">
        <x:is>
          <x:t xml:space="preserve">ПЗ-00152</x:t>
        </x:is>
      </x:c>
      <x:c r="C1265" s="31" t="inlineStr">
        <x:is>
          <x:t xml:space="preserve">ЗК-1073</x:t>
        </x:is>
      </x:c>
      <x:c r="D1265" s="31" t="inlineStr">
        <x:is>
          <x:t xml:space="preserve">ПОЗ-0073-1</x:t>
        </x:is>
      </x:c>
      <x:c r="E1265" s="31" t="inlineStr">
        <x:is>
          <x:t xml:space="preserve">ИЗД-033</x:t>
        </x:is>
      </x:c>
      <x:c r="F1265" s="31" t="n">
        <x:v>90</x:v>
      </x:c>
      <x:c r="G1265" s="31" t="inlineStr">
        <x:is>
          <x:t xml:space="preserve">Упаковка</x:t>
        </x:is>
      </x:c>
      <x:c r="H1265" s="31" t="inlineStr">
        <x:is>
          <x:t xml:space="preserve">Логистика</x:t>
        </x:is>
      </x:c>
      <x:c r="I1265" s="31" t="n"/>
      <x:c r="J1265" s="31" t="inlineStr">
        <x:is>
          <x:t xml:space="preserve">СОТР-101</x:t>
        </x:is>
      </x:c>
      <x:c r="K1265" s="31" t="n">
        <x:v>54.3</x:v>
      </x:c>
      <x:c r="L1265" s="31" t="n">
        <x:v>61.5</x:v>
      </x:c>
      <x:c r="M1265" s="31" t="n">
        <x:v>46192</x:v>
      </x:c>
      <x:c r="N1265" s="31" t="n">
        <x:v>46197</x:v>
      </x:c>
      <x:c r="O1265" s="31" t="n">
        <x:v>46192</x:v>
      </x:c>
      <x:c r="P1265" s="31" t="n">
        <x:v>46197</x:v>
      </x:c>
      <x:c r="Q1265" s="31" t="inlineStr">
        <x:is>
          <x:t xml:space="preserve">Завершено</x:t>
        </x:is>
      </x:c>
      <x:c r="R1265" s="31" t="inlineStr">
        <x:is>
          <x:t xml:space="preserve">Нет</x:t>
        </x:is>
      </x:c>
      <x:c r="S1265" s="31" t="inlineStr">
        <x:is>
          <x:t xml:space="preserve">Нет</x:t>
        </x:is>
      </x:c>
    </x:row>
    <x:row r="1266">
      <x:c r="A1266" s="31" t="inlineStr">
        <x:is>
          <x:t xml:space="preserve">ОП-001265</x:t>
        </x:is>
      </x:c>
      <x:c r="B1266" s="31" t="inlineStr">
        <x:is>
          <x:t xml:space="preserve">ПЗ-00153</x:t>
        </x:is>
      </x:c>
      <x:c r="C1266" s="31" t="inlineStr">
        <x:is>
          <x:t xml:space="preserve">ЗК-1073</x:t>
        </x:is>
      </x:c>
      <x:c r="D1266" s="31" t="inlineStr">
        <x:is>
          <x:t xml:space="preserve">ПОЗ-0073-2</x:t>
        </x:is>
      </x:c>
      <x:c r="E1266" s="31" t="inlineStr">
        <x:is>
          <x:t xml:space="preserve">ИЗД-042</x:t>
        </x:is>
      </x:c>
      <x:c r="F1266" s="31" t="n">
        <x:v>10</x:v>
      </x:c>
      <x:c r="G1266" s="31" t="inlineStr">
        <x:is>
          <x:t xml:space="preserve">КД</x:t>
        </x:is>
      </x:c>
      <x:c r="H1266" s="31" t="inlineStr">
        <x:is>
          <x:t xml:space="preserve">Инженерный отдел</x:t>
        </x:is>
      </x:c>
      <x:c r="I1266" s="31" t="n"/>
      <x:c r="J1266" s="31" t="inlineStr">
        <x:is>
          <x:t xml:space="preserve">СОТР-013</x:t>
        </x:is>
      </x:c>
      <x:c r="K1266" s="31" t="n">
        <x:v>24</x:v>
      </x:c>
      <x:c r="L1266" s="31" t="n">
        <x:v>27.1</x:v>
      </x:c>
      <x:c r="M1266" s="31" t="n">
        <x:v>46154</x:v>
      </x:c>
      <x:c r="N1266" s="31" t="n">
        <x:v>46156</x:v>
      </x:c>
      <x:c r="O1266" s="31" t="n">
        <x:v>46154</x:v>
      </x:c>
      <x:c r="P1266" s="31" t="n">
        <x:v>46155</x:v>
      </x:c>
      <x:c r="Q1266" s="31" t="inlineStr">
        <x:is>
          <x:t xml:space="preserve">Завершено</x:t>
        </x:is>
      </x:c>
      <x:c r="R1266" s="31" t="inlineStr">
        <x:is>
          <x:t xml:space="preserve">Нет</x:t>
        </x:is>
      </x:c>
      <x:c r="S1266" s="31" t="inlineStr">
        <x:is>
          <x:t xml:space="preserve">Нет</x:t>
        </x:is>
      </x:c>
    </x:row>
    <x:row r="1267">
      <x:c r="A1267" s="31" t="inlineStr">
        <x:is>
          <x:t xml:space="preserve">ОП-001266</x:t>
        </x:is>
      </x:c>
      <x:c r="B1267" s="31" t="inlineStr">
        <x:is>
          <x:t xml:space="preserve">ПЗ-00153</x:t>
        </x:is>
      </x:c>
      <x:c r="C1267" s="31" t="inlineStr">
        <x:is>
          <x:t xml:space="preserve">ЗК-1073</x:t>
        </x:is>
      </x:c>
      <x:c r="D1267" s="31" t="inlineStr">
        <x:is>
          <x:t xml:space="preserve">ПОЗ-0073-2</x:t>
        </x:is>
      </x:c>
      <x:c r="E1267" s="31" t="inlineStr">
        <x:is>
          <x:t xml:space="preserve">ИЗД-042</x:t>
        </x:is>
      </x:c>
      <x:c r="F1267" s="31" t="n">
        <x:v>20</x:v>
      </x:c>
      <x:c r="G1267" s="31" t="inlineStr">
        <x:is>
          <x:t xml:space="preserve">Комплектация</x:t>
        </x:is>
      </x:c>
      <x:c r="H1267" s="31" t="inlineStr">
        <x:is>
          <x:t xml:space="preserve">Склад</x:t>
        </x:is>
      </x:c>
      <x:c r="I1267" s="31" t="inlineStr">
        <x:is>
          <x:t xml:space="preserve">ОБ-025</x:t>
        </x:is>
      </x:c>
      <x:c r="J1267" s="31" t="inlineStr">
        <x:is>
          <x:t xml:space="preserve">СОТР-036</x:t>
        </x:is>
      </x:c>
      <x:c r="K1267" s="31" t="n">
        <x:v>105</x:v>
      </x:c>
      <x:c r="L1267" s="31" t="n">
        <x:v>88.59999999999999</x:v>
      </x:c>
      <x:c r="M1267" s="31" t="n">
        <x:v>46156</x:v>
      </x:c>
      <x:c r="N1267" s="31" t="n">
        <x:v>46165</x:v>
      </x:c>
      <x:c r="O1267" s="31" t="n">
        <x:v>46156</x:v>
      </x:c>
      <x:c r="P1267" s="31" t="n">
        <x:v>46165</x:v>
      </x:c>
      <x:c r="Q1267" s="31" t="inlineStr">
        <x:is>
          <x:t xml:space="preserve">Завершено</x:t>
        </x:is>
      </x:c>
      <x:c r="R1267" s="31" t="inlineStr">
        <x:is>
          <x:t xml:space="preserve">Нет</x:t>
        </x:is>
      </x:c>
      <x:c r="S1267" s="31" t="inlineStr">
        <x:is>
          <x:t xml:space="preserve">Да</x:t>
        </x:is>
      </x:c>
    </x:row>
    <x:row r="1268">
      <x:c r="A1268" s="31" t="inlineStr">
        <x:is>
          <x:t xml:space="preserve">ОП-001267</x:t>
        </x:is>
      </x:c>
      <x:c r="B1268" s="31" t="inlineStr">
        <x:is>
          <x:t xml:space="preserve">ПЗ-00153</x:t>
        </x:is>
      </x:c>
      <x:c r="C1268" s="31" t="inlineStr">
        <x:is>
          <x:t xml:space="preserve">ЗК-1073</x:t>
        </x:is>
      </x:c>
      <x:c r="D1268" s="31" t="inlineStr">
        <x:is>
          <x:t xml:space="preserve">ПОЗ-0073-2</x:t>
        </x:is>
      </x:c>
      <x:c r="E1268" s="31" t="inlineStr">
        <x:is>
          <x:t xml:space="preserve">ИЗД-042</x:t>
        </x:is>
      </x:c>
      <x:c r="F1268" s="31" t="n">
        <x:v>30</x:v>
      </x:c>
      <x:c r="G1268" s="31" t="inlineStr">
        <x:is>
          <x:t xml:space="preserve">Сборка шкафа</x:t>
        </x:is>
      </x:c>
      <x:c r="H1268" s="31" t="inlineStr">
        <x:is>
          <x:t xml:space="preserve">Сборка</x:t>
        </x:is>
      </x:c>
      <x:c r="I1268" s="31" t="inlineStr">
        <x:is>
          <x:t xml:space="preserve">ОБ-012</x:t>
        </x:is>
      </x:c>
      <x:c r="J1268" s="31" t="inlineStr">
        <x:is>
          <x:t xml:space="preserve">СОТР-077</x:t>
        </x:is>
      </x:c>
      <x:c r="K1268" s="31" t="n">
        <x:v>72</x:v>
      </x:c>
      <x:c r="L1268" s="31" t="n">
        <x:v>72.59999999999999</x:v>
      </x:c>
      <x:c r="M1268" s="31" t="n">
        <x:v>46165</x:v>
      </x:c>
      <x:c r="N1268" s="31" t="n">
        <x:v>46171</x:v>
      </x:c>
      <x:c r="O1268" s="31" t="n">
        <x:v>46165</x:v>
      </x:c>
      <x:c r="P1268" s="31" t="n">
        <x:v>46173</x:v>
      </x:c>
      <x:c r="Q1268" s="31" t="inlineStr">
        <x:is>
          <x:t xml:space="preserve">Завершено</x:t>
        </x:is>
      </x:c>
      <x:c r="R1268" s="31" t="inlineStr">
        <x:is>
          <x:t xml:space="preserve">Нет</x:t>
        </x:is>
      </x:c>
      <x:c r="S1268" s="31" t="inlineStr">
        <x:is>
          <x:t xml:space="preserve">Нет</x:t>
        </x:is>
      </x:c>
    </x:row>
    <x:row r="1269">
      <x:c r="A1269" s="31" t="inlineStr">
        <x:is>
          <x:t xml:space="preserve">ОП-001268</x:t>
        </x:is>
      </x:c>
      <x:c r="B1269" s="31" t="inlineStr">
        <x:is>
          <x:t xml:space="preserve">ПЗ-00153</x:t>
        </x:is>
      </x:c>
      <x:c r="C1269" s="31" t="inlineStr">
        <x:is>
          <x:t xml:space="preserve">ЗК-1073</x:t>
        </x:is>
      </x:c>
      <x:c r="D1269" s="31" t="inlineStr">
        <x:is>
          <x:t xml:space="preserve">ПОЗ-0073-2</x:t>
        </x:is>
      </x:c>
      <x:c r="E1269" s="31" t="inlineStr">
        <x:is>
          <x:t xml:space="preserve">ИЗД-042</x:t>
        </x:is>
      </x:c>
      <x:c r="F1269" s="31" t="n">
        <x:v>40</x:v>
      </x:c>
      <x:c r="G1269" s="31" t="inlineStr">
        <x:is>
          <x:t xml:space="preserve">Маркировка</x:t>
        </x:is>
      </x:c>
      <x:c r="H1269" s="31" t="inlineStr">
        <x:is>
          <x:t xml:space="preserve">Сборка</x:t>
        </x:is>
      </x:c>
      <x:c r="I1269" s="31" t="inlineStr">
        <x:is>
          <x:t xml:space="preserve">ОБ-017</x:t>
        </x:is>
      </x:c>
      <x:c r="J1269" s="31" t="inlineStr">
        <x:is>
          <x:t xml:space="preserve">СОТР-084</x:t>
        </x:is>
      </x:c>
      <x:c r="K1269" s="31" t="n">
        <x:v>116.5</x:v>
      </x:c>
      <x:c r="L1269" s="31" t="n">
        <x:v>115.2</x:v>
      </x:c>
      <x:c r="M1269" s="31" t="n">
        <x:v>46171</x:v>
      </x:c>
      <x:c r="N1269" s="31" t="n">
        <x:v>46181</x:v>
      </x:c>
      <x:c r="O1269" s="31" t="n">
        <x:v>46171</x:v>
      </x:c>
      <x:c r="P1269" s="31" t="n">
        <x:v>46180</x:v>
      </x:c>
      <x:c r="Q1269" s="31" t="inlineStr">
        <x:is>
          <x:t xml:space="preserve">Завершено</x:t>
        </x:is>
      </x:c>
      <x:c r="R1269" s="31" t="inlineStr">
        <x:is>
          <x:t xml:space="preserve">Нет</x:t>
        </x:is>
      </x:c>
      <x:c r="S1269" s="31" t="inlineStr">
        <x:is>
          <x:t xml:space="preserve">Нет</x:t>
        </x:is>
      </x:c>
    </x:row>
    <x:row r="1270">
      <x:c r="A1270" s="31" t="inlineStr">
        <x:is>
          <x:t xml:space="preserve">ОП-001269</x:t>
        </x:is>
      </x:c>
      <x:c r="B1270" s="31" t="inlineStr">
        <x:is>
          <x:t xml:space="preserve">ПЗ-00153</x:t>
        </x:is>
      </x:c>
      <x:c r="C1270" s="31" t="inlineStr">
        <x:is>
          <x:t xml:space="preserve">ЗК-1073</x:t>
        </x:is>
      </x:c>
      <x:c r="D1270" s="31" t="inlineStr">
        <x:is>
          <x:t xml:space="preserve">ПОЗ-0073-2</x:t>
        </x:is>
      </x:c>
      <x:c r="E1270" s="31" t="inlineStr">
        <x:is>
          <x:t xml:space="preserve">ИЗД-042</x:t>
        </x:is>
      </x:c>
      <x:c r="F1270" s="31" t="n">
        <x:v>50</x:v>
      </x:c>
      <x:c r="G1270" s="31" t="inlineStr">
        <x:is>
          <x:t xml:space="preserve">Электромонтаж</x:t>
        </x:is>
      </x:c>
      <x:c r="H1270" s="31" t="inlineStr">
        <x:is>
          <x:t xml:space="preserve">Сборка</x:t>
        </x:is>
      </x:c>
      <x:c r="I1270" s="31" t="inlineStr">
        <x:is>
          <x:t xml:space="preserve">ОБ-005</x:t>
        </x:is>
      </x:c>
      <x:c r="J1270" s="31" t="inlineStr">
        <x:is>
          <x:t xml:space="preserve">СОТР-075</x:t>
        </x:is>
      </x:c>
      <x:c r="K1270" s="31" t="n">
        <x:v>12</x:v>
      </x:c>
      <x:c r="L1270" s="31" t="n">
        <x:v>13.5</x:v>
      </x:c>
      <x:c r="M1270" s="31" t="n">
        <x:v>46181</x:v>
      </x:c>
      <x:c r="N1270" s="31" t="n">
        <x:v>46182</x:v>
      </x:c>
      <x:c r="O1270" s="31" t="n">
        <x:v>46181</x:v>
      </x:c>
      <x:c r="P1270" s="31" t="n">
        <x:v>46181</x:v>
      </x:c>
      <x:c r="Q1270" s="31" t="inlineStr">
        <x:is>
          <x:t xml:space="preserve">Завершено</x:t>
        </x:is>
      </x:c>
      <x:c r="R1270" s="31" t="inlineStr">
        <x:is>
          <x:t xml:space="preserve">Нет</x:t>
        </x:is>
      </x:c>
      <x:c r="S1270" s="31" t="inlineStr">
        <x:is>
          <x:t xml:space="preserve">Нет</x:t>
        </x:is>
      </x:c>
    </x:row>
    <x:row r="1271">
      <x:c r="A1271" s="31" t="inlineStr">
        <x:is>
          <x:t xml:space="preserve">ОП-001270</x:t>
        </x:is>
      </x:c>
      <x:c r="B1271" s="31" t="inlineStr">
        <x:is>
          <x:t xml:space="preserve">ПЗ-00153</x:t>
        </x:is>
      </x:c>
      <x:c r="C1271" s="31" t="inlineStr">
        <x:is>
          <x:t xml:space="preserve">ЗК-1073</x:t>
        </x:is>
      </x:c>
      <x:c r="D1271" s="31" t="inlineStr">
        <x:is>
          <x:t xml:space="preserve">ПОЗ-0073-2</x:t>
        </x:is>
      </x:c>
      <x:c r="E1271" s="31" t="inlineStr">
        <x:is>
          <x:t xml:space="preserve">ИЗД-042</x:t>
        </x:is>
      </x:c>
      <x:c r="F1271" s="31" t="n">
        <x:v>60</x:v>
      </x:c>
      <x:c r="G1271" s="31" t="inlineStr">
        <x:is>
          <x:t xml:space="preserve">Программирование ПЛК</x:t>
        </x:is>
      </x:c>
      <x:c r="H1271" s="31" t="inlineStr">
        <x:is>
          <x:t xml:space="preserve">Инженерный отдел</x:t>
        </x:is>
      </x:c>
      <x:c r="I1271" s="31" t="n"/>
      <x:c r="J1271" s="31" t="inlineStr">
        <x:is>
          <x:t xml:space="preserve">СОТР-019</x:t>
        </x:is>
      </x:c>
      <x:c r="K1271" s="31" t="n">
        <x:v>82</x:v>
      </x:c>
      <x:c r="L1271" s="31" t="n">
        <x:v>66.40000000000001</x:v>
      </x:c>
      <x:c r="M1271" s="31" t="n">
        <x:v>46182</x:v>
      </x:c>
      <x:c r="N1271" s="31" t="n">
        <x:v>46189</x:v>
      </x:c>
      <x:c r="O1271" s="31" t="n">
        <x:v>46182</x:v>
      </x:c>
      <x:c r="P1271" s="31" t="n">
        <x:v>46189</x:v>
      </x:c>
      <x:c r="Q1271" s="31" t="inlineStr">
        <x:is>
          <x:t xml:space="preserve">Завершено</x:t>
        </x:is>
      </x:c>
      <x:c r="R1271" s="31" t="inlineStr">
        <x:is>
          <x:t xml:space="preserve">Нет</x:t>
        </x:is>
      </x:c>
      <x:c r="S1271" s="31" t="inlineStr">
        <x:is>
          <x:t xml:space="preserve">Да</x:t>
        </x:is>
      </x:c>
    </x:row>
    <x:row r="1272">
      <x:c r="A1272" s="31" t="inlineStr">
        <x:is>
          <x:t xml:space="preserve">ОП-001271</x:t>
        </x:is>
      </x:c>
      <x:c r="B1272" s="31" t="inlineStr">
        <x:is>
          <x:t xml:space="preserve">ПЗ-00153</x:t>
        </x:is>
      </x:c>
      <x:c r="C1272" s="31" t="inlineStr">
        <x:is>
          <x:t xml:space="preserve">ЗК-1073</x:t>
        </x:is>
      </x:c>
      <x:c r="D1272" s="31" t="inlineStr">
        <x:is>
          <x:t xml:space="preserve">ПОЗ-0073-2</x:t>
        </x:is>
      </x:c>
      <x:c r="E1272" s="31" t="inlineStr">
        <x:is>
          <x:t xml:space="preserve">ИЗД-042</x:t>
        </x:is>
      </x:c>
      <x:c r="F1272" s="31" t="n">
        <x:v>70</x:v>
      </x:c>
      <x:c r="G1272" s="31" t="inlineStr">
        <x:is>
          <x:t xml:space="preserve">Приемочные испытания</x:t>
        </x:is>
      </x:c>
      <x:c r="H1272" s="31" t="inlineStr">
        <x:is>
          <x:t xml:space="preserve">ОТК</x:t>
        </x:is>
      </x:c>
      <x:c r="I1272" s="31" t="inlineStr">
        <x:is>
          <x:t xml:space="preserve">ОБ-033</x:t>
        </x:is>
      </x:c>
      <x:c r="J1272" s="31" t="inlineStr">
        <x:is>
          <x:t xml:space="preserve">СОТР-063</x:t>
        </x:is>
      </x:c>
      <x:c r="K1272" s="31" t="n">
        <x:v>104</x:v>
      </x:c>
      <x:c r="L1272" s="31" t="n">
        <x:v>110.5</x:v>
      </x:c>
      <x:c r="M1272" s="31" t="n">
        <x:v>46189</x:v>
      </x:c>
      <x:c r="N1272" s="31" t="n">
        <x:v>46198</x:v>
      </x:c>
      <x:c r="O1272" s="31" t="n">
        <x:v>46189</x:v>
      </x:c>
      <x:c r="P1272" s="31" t="n">
        <x:v>46200</x:v>
      </x:c>
      <x:c r="Q1272" s="31" t="inlineStr">
        <x:is>
          <x:t xml:space="preserve">Завершено</x:t>
        </x:is>
      </x:c>
      <x:c r="R1272" s="31" t="inlineStr">
        <x:is>
          <x:t xml:space="preserve">Нет</x:t>
        </x:is>
      </x:c>
      <x:c r="S1272" s="31" t="inlineStr">
        <x:is>
          <x:t xml:space="preserve">Нет</x:t>
        </x:is>
      </x:c>
    </x:row>
    <x:row r="1273">
      <x:c r="A1273" s="31" t="inlineStr">
        <x:is>
          <x:t xml:space="preserve">ОП-001272</x:t>
        </x:is>
      </x:c>
      <x:c r="B1273" s="31" t="inlineStr">
        <x:is>
          <x:t xml:space="preserve">ПЗ-00153</x:t>
        </x:is>
      </x:c>
      <x:c r="C1273" s="31" t="inlineStr">
        <x:is>
          <x:t xml:space="preserve">ЗК-1073</x:t>
        </x:is>
      </x:c>
      <x:c r="D1273" s="31" t="inlineStr">
        <x:is>
          <x:t xml:space="preserve">ПОЗ-0073-2</x:t>
        </x:is>
      </x:c>
      <x:c r="E1273" s="31" t="inlineStr">
        <x:is>
          <x:t xml:space="preserve">ИЗД-042</x:t>
        </x:is>
      </x:c>
      <x:c r="F1273" s="31" t="n">
        <x:v>80</x:v>
      </x:c>
      <x:c r="G1273" s="31" t="inlineStr">
        <x:is>
          <x:t xml:space="preserve">ОТК</x:t>
        </x:is>
      </x:c>
      <x:c r="H1273" s="31" t="inlineStr">
        <x:is>
          <x:t xml:space="preserve">ОТК</x:t>
        </x:is>
      </x:c>
      <x:c r="I1273" s="31" t="inlineStr">
        <x:is>
          <x:t xml:space="preserve">ОБ-006</x:t>
        </x:is>
      </x:c>
      <x:c r="J1273" s="31" t="inlineStr">
        <x:is>
          <x:t xml:space="preserve">СОТР-096</x:t>
        </x:is>
      </x:c>
      <x:c r="K1273" s="31" t="n">
        <x:v>116</x:v>
      </x:c>
      <x:c r="L1273" s="31" t="n">
        <x:v>139.1</x:v>
      </x:c>
      <x:c r="M1273" s="31" t="n">
        <x:v>46198</x:v>
      </x:c>
      <x:c r="N1273" s="31" t="n">
        <x:v>46208</x:v>
      </x:c>
      <x:c r="O1273" s="31" t="n">
        <x:v>46198</x:v>
      </x:c>
      <x:c r="P1273" s="31" t="n">
        <x:v>46210</x:v>
      </x:c>
      <x:c r="Q1273" s="31" t="inlineStr">
        <x:is>
          <x:t xml:space="preserve">Завершено</x:t>
        </x:is>
      </x:c>
      <x:c r="R1273" s="31" t="inlineStr">
        <x:is>
          <x:t xml:space="preserve">Ожидание ОТК</x:t>
        </x:is>
      </x:c>
      <x:c r="S1273" s="31" t="inlineStr">
        <x:is>
          <x:t xml:space="preserve">Нет</x:t>
        </x:is>
      </x:c>
    </x:row>
    <x:row r="1274">
      <x:c r="A1274" s="31" t="inlineStr">
        <x:is>
          <x:t xml:space="preserve">ОП-001273</x:t>
        </x:is>
      </x:c>
      <x:c r="B1274" s="31" t="inlineStr">
        <x:is>
          <x:t xml:space="preserve">ПЗ-00153</x:t>
        </x:is>
      </x:c>
      <x:c r="C1274" s="31" t="inlineStr">
        <x:is>
          <x:t xml:space="preserve">ЗК-1073</x:t>
        </x:is>
      </x:c>
      <x:c r="D1274" s="31" t="inlineStr">
        <x:is>
          <x:t xml:space="preserve">ПОЗ-0073-2</x:t>
        </x:is>
      </x:c>
      <x:c r="E1274" s="31" t="inlineStr">
        <x:is>
          <x:t xml:space="preserve">ИЗД-042</x:t>
        </x:is>
      </x:c>
      <x:c r="F1274" s="31" t="n">
        <x:v>90</x:v>
      </x:c>
      <x:c r="G1274" s="31" t="inlineStr">
        <x:is>
          <x:t xml:space="preserve">Упаковка</x:t>
        </x:is>
      </x:c>
      <x:c r="H1274" s="31" t="inlineStr">
        <x:is>
          <x:t xml:space="preserve">Логистика</x:t>
        </x:is>
      </x:c>
      <x:c r="I1274" s="31" t="n"/>
      <x:c r="J1274" s="31" t="inlineStr">
        <x:is>
          <x:t xml:space="preserve">СОТР-104</x:t>
        </x:is>
      </x:c>
      <x:c r="K1274" s="31" t="n">
        <x:v>135</x:v>
      </x:c>
      <x:c r="L1274" s="31" t="n">
        <x:v>113.9</x:v>
      </x:c>
      <x:c r="M1274" s="31" t="n">
        <x:v>46208</x:v>
      </x:c>
      <x:c r="N1274" s="31" t="n">
        <x:v>46220</x:v>
      </x:c>
      <x:c r="O1274" s="31" t="n">
        <x:v>46208</x:v>
      </x:c>
      <x:c r="P1274" s="31" t="n">
        <x:v>46220</x:v>
      </x:c>
      <x:c r="Q1274" s="31" t="inlineStr">
        <x:is>
          <x:t xml:space="preserve">Завершено</x:t>
        </x:is>
      </x:c>
      <x:c r="R1274" s="31" t="inlineStr">
        <x:is>
          <x:t xml:space="preserve">Нет</x:t>
        </x:is>
      </x:c>
      <x:c r="S1274" s="31" t="inlineStr">
        <x:is>
          <x:t xml:space="preserve">Нет</x:t>
        </x:is>
      </x:c>
    </x:row>
    <x:row r="1275">
      <x:c r="A1275" s="31" t="inlineStr">
        <x:is>
          <x:t xml:space="preserve">ОП-001274</x:t>
        </x:is>
      </x:c>
      <x:c r="B1275" s="31" t="inlineStr">
        <x:is>
          <x:t xml:space="preserve">ПЗ-00154</x:t>
        </x:is>
      </x:c>
      <x:c r="C1275" s="31" t="inlineStr">
        <x:is>
          <x:t xml:space="preserve">ЗК-1073</x:t>
        </x:is>
      </x:c>
      <x:c r="D1275" s="31" t="inlineStr">
        <x:is>
          <x:t xml:space="preserve">ПОЗ-0073-3</x:t>
        </x:is>
      </x:c>
      <x:c r="E1275" s="31" t="inlineStr">
        <x:is>
          <x:t xml:space="preserve">ИЗД-008</x:t>
        </x:is>
      </x:c>
      <x:c r="F1275" s="31" t="n">
        <x:v>10</x:v>
      </x:c>
      <x:c r="G1275" s="31" t="inlineStr">
        <x:is>
          <x:t xml:space="preserve">Комплектация</x:t>
        </x:is>
      </x:c>
      <x:c r="H1275" s="31" t="inlineStr">
        <x:is>
          <x:t xml:space="preserve">Склад</x:t>
        </x:is>
      </x:c>
      <x:c r="I1275" s="31" t="inlineStr">
        <x:is>
          <x:t xml:space="preserve">ОБ-011</x:t>
        </x:is>
      </x:c>
      <x:c r="J1275" s="31" t="inlineStr">
        <x:is>
          <x:t xml:space="preserve">СОТР-035</x:t>
        </x:is>
      </x:c>
      <x:c r="K1275" s="31" t="n">
        <x:v>9.800000000000001</x:v>
      </x:c>
      <x:c r="L1275" s="31" t="n">
        <x:v>11.6</x:v>
      </x:c>
      <x:c r="M1275" s="31" t="n">
        <x:v>46156</x:v>
      </x:c>
      <x:c r="N1275" s="31" t="n">
        <x:v>46157</x:v>
      </x:c>
      <x:c r="O1275" s="31" t="n">
        <x:v>46156</x:v>
      </x:c>
      <x:c r="P1275" s="31" t="n">
        <x:v>46158</x:v>
      </x:c>
      <x:c r="Q1275" s="31" t="inlineStr">
        <x:is>
          <x:t xml:space="preserve">Завершено</x:t>
        </x:is>
      </x:c>
      <x:c r="R1275" s="31" t="inlineStr">
        <x:is>
          <x:t xml:space="preserve">Нет</x:t>
        </x:is>
      </x:c>
      <x:c r="S1275" s="31" t="inlineStr">
        <x:is>
          <x:t xml:space="preserve">Да</x:t>
        </x:is>
      </x:c>
    </x:row>
    <x:row r="1276">
      <x:c r="A1276" s="31" t="inlineStr">
        <x:is>
          <x:t xml:space="preserve">ОП-001275</x:t>
        </x:is>
      </x:c>
      <x:c r="B1276" s="31" t="inlineStr">
        <x:is>
          <x:t xml:space="preserve">ПЗ-00154</x:t>
        </x:is>
      </x:c>
      <x:c r="C1276" s="31" t="inlineStr">
        <x:is>
          <x:t xml:space="preserve">ЗК-1073</x:t>
        </x:is>
      </x:c>
      <x:c r="D1276" s="31" t="inlineStr">
        <x:is>
          <x:t xml:space="preserve">ПОЗ-0073-3</x:t>
        </x:is>
      </x:c>
      <x:c r="E1276" s="31" t="inlineStr">
        <x:is>
          <x:t xml:space="preserve">ИЗД-008</x:t>
        </x:is>
      </x:c>
      <x:c r="F1276" s="31" t="n">
        <x:v>20</x:v>
      </x:c>
      <x:c r="G1276" s="31" t="inlineStr">
        <x:is>
          <x:t xml:space="preserve">Входной контроль</x:t>
        </x:is>
      </x:c>
      <x:c r="H1276" s="31" t="inlineStr">
        <x:is>
          <x:t xml:space="preserve">ОТК</x:t>
        </x:is>
      </x:c>
      <x:c r="I1276" s="31" t="inlineStr">
        <x:is>
          <x:t xml:space="preserve">ОБ-001</x:t>
        </x:is>
      </x:c>
      <x:c r="J1276" s="31" t="inlineStr">
        <x:is>
          <x:t xml:space="preserve">СОТР-097</x:t>
        </x:is>
      </x:c>
      <x:c r="K1276" s="31" t="n">
        <x:v>16.6</x:v>
      </x:c>
      <x:c r="L1276" s="31" t="n">
        <x:v>22.2</x:v>
      </x:c>
      <x:c r="M1276" s="31" t="n">
        <x:v>46157</x:v>
      </x:c>
      <x:c r="N1276" s="31" t="n">
        <x:v>46159</x:v>
      </x:c>
      <x:c r="O1276" s="31" t="n">
        <x:v>46157</x:v>
      </x:c>
      <x:c r="P1276" s="31" t="n">
        <x:v>46159</x:v>
      </x:c>
      <x:c r="Q1276" s="31" t="inlineStr">
        <x:is>
          <x:t xml:space="preserve">Завершено</x:t>
        </x:is>
      </x:c>
      <x:c r="R1276" s="31" t="inlineStr">
        <x:is>
          <x:t xml:space="preserve">Нет</x:t>
        </x:is>
      </x:c>
      <x:c r="S1276" s="31" t="inlineStr">
        <x:is>
          <x:t xml:space="preserve">Нет</x:t>
        </x:is>
      </x:c>
    </x:row>
    <x:row r="1277">
      <x:c r="A1277" s="31" t="inlineStr">
        <x:is>
          <x:t xml:space="preserve">ОП-001276</x:t>
        </x:is>
      </x:c>
      <x:c r="B1277" s="31" t="inlineStr">
        <x:is>
          <x:t xml:space="preserve">ПЗ-00154</x:t>
        </x:is>
      </x:c>
      <x:c r="C1277" s="31" t="inlineStr">
        <x:is>
          <x:t xml:space="preserve">ЗК-1073</x:t>
        </x:is>
      </x:c>
      <x:c r="D1277" s="31" t="inlineStr">
        <x:is>
          <x:t xml:space="preserve">ПОЗ-0073-3</x:t>
        </x:is>
      </x:c>
      <x:c r="E1277" s="31" t="inlineStr">
        <x:is>
          <x:t xml:space="preserve">ИЗД-008</x:t>
        </x:is>
      </x:c>
      <x:c r="F1277" s="31" t="n">
        <x:v>30</x:v>
      </x:c>
      <x:c r="G1277" s="31" t="inlineStr">
        <x:is>
          <x:t xml:space="preserve">Упаковка</x:t>
        </x:is>
      </x:c>
      <x:c r="H1277" s="31" t="inlineStr">
        <x:is>
          <x:t xml:space="preserve">Логистика</x:t>
        </x:is>
      </x:c>
      <x:c r="I1277" s="31" t="n"/>
      <x:c r="J1277" s="31" t="inlineStr">
        <x:is>
          <x:t xml:space="preserve">СОТР-105</x:t>
        </x:is>
      </x:c>
      <x:c r="K1277" s="31" t="n">
        <x:v>9.6</x:v>
      </x:c>
      <x:c r="L1277" s="31" t="n">
        <x:v>8.4</x:v>
      </x:c>
      <x:c r="M1277" s="31" t="n">
        <x:v>46159</x:v>
      </x:c>
      <x:c r="N1277" s="31" t="n">
        <x:v>46160</x:v>
      </x:c>
      <x:c r="O1277" s="31" t="n">
        <x:v>46159</x:v>
      </x:c>
      <x:c r="P1277" s="31" t="n">
        <x:v>46159</x:v>
      </x:c>
      <x:c r="Q1277" s="31" t="inlineStr">
        <x:is>
          <x:t xml:space="preserve">Завершено</x:t>
        </x:is>
      </x:c>
      <x:c r="R1277" s="31" t="inlineStr">
        <x:is>
          <x:t xml:space="preserve">Нет</x:t>
        </x:is>
      </x:c>
      <x:c r="S1277" s="31" t="inlineStr">
        <x:is>
          <x:t xml:space="preserve">Нет</x:t>
        </x:is>
      </x:c>
    </x:row>
    <x:row r="1278">
      <x:c r="A1278" s="31" t="inlineStr">
        <x:is>
          <x:t xml:space="preserve">ОП-001277</x:t>
        </x:is>
      </x:c>
      <x:c r="B1278" s="31" t="inlineStr">
        <x:is>
          <x:t xml:space="preserve">ПЗ-00154</x:t>
        </x:is>
      </x:c>
      <x:c r="C1278" s="31" t="inlineStr">
        <x:is>
          <x:t xml:space="preserve">ЗК-1073</x:t>
        </x:is>
      </x:c>
      <x:c r="D1278" s="31" t="inlineStr">
        <x:is>
          <x:t xml:space="preserve">ПОЗ-0073-3</x:t>
        </x:is>
      </x:c>
      <x:c r="E1278" s="31" t="inlineStr">
        <x:is>
          <x:t xml:space="preserve">ИЗД-008</x:t>
        </x:is>
      </x:c>
      <x:c r="F1278" s="31" t="n">
        <x:v>40</x:v>
      </x:c>
      <x:c r="G1278" s="31" t="inlineStr">
        <x:is>
          <x:t xml:space="preserve">ОТК</x:t>
        </x:is>
      </x:c>
      <x:c r="H1278" s="31" t="inlineStr">
        <x:is>
          <x:t xml:space="preserve">ОТК</x:t>
        </x:is>
      </x:c>
      <x:c r="I1278" s="31" t="inlineStr">
        <x:is>
          <x:t xml:space="preserve">ОБ-033</x:t>
        </x:is>
      </x:c>
      <x:c r="J1278" s="31" t="inlineStr">
        <x:is>
          <x:t xml:space="preserve">СОТР-099</x:t>
        </x:is>
      </x:c>
      <x:c r="K1278" s="31" t="n">
        <x:v>4.4</x:v>
      </x:c>
      <x:c r="L1278" s="31" t="n">
        <x:v>4</x:v>
      </x:c>
      <x:c r="M1278" s="31" t="n">
        <x:v>46160</x:v>
      </x:c>
      <x:c r="N1278" s="31" t="n">
        <x:v>46161</x:v>
      </x:c>
      <x:c r="O1278" s="31" t="n">
        <x:v>46160</x:v>
      </x:c>
      <x:c r="P1278" s="31" t="n">
        <x:v>46160</x:v>
      </x:c>
      <x:c r="Q1278" s="31" t="inlineStr">
        <x:is>
          <x:t xml:space="preserve">Завершено</x:t>
        </x:is>
      </x:c>
      <x:c r="R1278" s="31" t="inlineStr">
        <x:is>
          <x:t xml:space="preserve">Нет</x:t>
        </x:is>
      </x:c>
      <x:c r="S1278" s="31" t="inlineStr">
        <x:is>
          <x:t xml:space="preserve">Нет</x:t>
        </x:is>
      </x:c>
    </x:row>
    <x:row r="1279">
      <x:c r="A1279" s="31" t="inlineStr">
        <x:is>
          <x:t xml:space="preserve">ОП-001278</x:t>
        </x:is>
      </x:c>
      <x:c r="B1279" s="31" t="inlineStr">
        <x:is>
          <x:t xml:space="preserve">ПЗ-00155</x:t>
        </x:is>
      </x:c>
      <x:c r="C1279" s="31" t="inlineStr">
        <x:is>
          <x:t xml:space="preserve">ЗК-1073</x:t>
        </x:is>
      </x:c>
      <x:c r="D1279" s="31" t="inlineStr">
        <x:is>
          <x:t xml:space="preserve">ПОЗ-0073-4</x:t>
        </x:is>
      </x:c>
      <x:c r="E1279" s="31" t="inlineStr">
        <x:is>
          <x:t xml:space="preserve">ИЗД-039</x:t>
        </x:is>
      </x:c>
      <x:c r="F1279" s="31" t="n">
        <x:v>10</x:v>
      </x:c>
      <x:c r="G1279" s="31" t="inlineStr">
        <x:is>
          <x:t xml:space="preserve">КД</x:t>
        </x:is>
      </x:c>
      <x:c r="H1279" s="31" t="inlineStr">
        <x:is>
          <x:t xml:space="preserve">Инженерный отдел</x:t>
        </x:is>
      </x:c>
      <x:c r="I1279" s="31" t="n"/>
      <x:c r="J1279" s="31" t="inlineStr">
        <x:is>
          <x:t xml:space="preserve">СОТР-012</x:t>
        </x:is>
      </x:c>
      <x:c r="K1279" s="31" t="n">
        <x:v>54</x:v>
      </x:c>
      <x:c r="L1279" s="31" t="n">
        <x:v>68.09999999999999</x:v>
      </x:c>
      <x:c r="M1279" s="31" t="n">
        <x:v>46164</x:v>
      </x:c>
      <x:c r="N1279" s="31" t="n">
        <x:v>46169</x:v>
      </x:c>
      <x:c r="O1279" s="31" t="n">
        <x:v>46164</x:v>
      </x:c>
      <x:c r="P1279" s="31" t="n">
        <x:v>46170</x:v>
      </x:c>
      <x:c r="Q1279" s="31" t="inlineStr">
        <x:is>
          <x:t xml:space="preserve">Завершено</x:t>
        </x:is>
      </x:c>
      <x:c r="R1279" s="31" t="inlineStr">
        <x:is>
          <x:t xml:space="preserve">Нет</x:t>
        </x:is>
      </x:c>
      <x:c r="S1279" s="31" t="inlineStr">
        <x:is>
          <x:t xml:space="preserve">Нет</x:t>
        </x:is>
      </x:c>
    </x:row>
    <x:row r="1280">
      <x:c r="A1280" s="31" t="inlineStr">
        <x:is>
          <x:t xml:space="preserve">ОП-001279</x:t>
        </x:is>
      </x:c>
      <x:c r="B1280" s="31" t="inlineStr">
        <x:is>
          <x:t xml:space="preserve">ПЗ-00155</x:t>
        </x:is>
      </x:c>
      <x:c r="C1280" s="31" t="inlineStr">
        <x:is>
          <x:t xml:space="preserve">ЗК-1073</x:t>
        </x:is>
      </x:c>
      <x:c r="D1280" s="31" t="inlineStr">
        <x:is>
          <x:t xml:space="preserve">ПОЗ-0073-4</x:t>
        </x:is>
      </x:c>
      <x:c r="E1280" s="31" t="inlineStr">
        <x:is>
          <x:t xml:space="preserve">ИЗД-039</x:t>
        </x:is>
      </x:c>
      <x:c r="F1280" s="31" t="n">
        <x:v>20</x:v>
      </x:c>
      <x:c r="G1280" s="31" t="inlineStr">
        <x:is>
          <x:t xml:space="preserve">Резка металла</x:t>
        </x:is>
      </x:c>
      <x:c r="H1280" s="31" t="inlineStr">
        <x:is>
          <x:t xml:space="preserve">Сварка</x:t>
        </x:is>
      </x:c>
      <x:c r="I1280" s="31" t="inlineStr">
        <x:is>
          <x:t xml:space="preserve">ОБ-021</x:t>
        </x:is>
      </x:c>
      <x:c r="J1280" s="31" t="inlineStr">
        <x:is>
          <x:t xml:space="preserve">СОТР-056</x:t>
        </x:is>
      </x:c>
      <x:c r="K1280" s="31" t="n">
        <x:v>60.9</x:v>
      </x:c>
      <x:c r="L1280" s="31" t="n">
        <x:v>68.40000000000001</x:v>
      </x:c>
      <x:c r="M1280" s="31" t="n">
        <x:v>46169</x:v>
      </x:c>
      <x:c r="N1280" s="31" t="n">
        <x:v>46175</x:v>
      </x:c>
      <x:c r="O1280" s="31" t="n">
        <x:v>46169</x:v>
      </x:c>
      <x:c r="P1280" s="31" t="n">
        <x:v>46175</x:v>
      </x:c>
      <x:c r="Q1280" s="31" t="inlineStr">
        <x:is>
          <x:t xml:space="preserve">Завершено</x:t>
        </x:is>
      </x:c>
      <x:c r="R1280" s="31" t="inlineStr">
        <x:is>
          <x:t xml:space="preserve">Нет</x:t>
        </x:is>
      </x:c>
      <x:c r="S1280" s="31" t="inlineStr">
        <x:is>
          <x:t xml:space="preserve">Да</x:t>
        </x:is>
      </x:c>
    </x:row>
    <x:row r="1281">
      <x:c r="A1281" s="31" t="inlineStr">
        <x:is>
          <x:t xml:space="preserve">ОП-001280</x:t>
        </x:is>
      </x:c>
      <x:c r="B1281" s="31" t="inlineStr">
        <x:is>
          <x:t xml:space="preserve">ПЗ-00155</x:t>
        </x:is>
      </x:c>
      <x:c r="C1281" s="31" t="inlineStr">
        <x:is>
          <x:t xml:space="preserve">ЗК-1073</x:t>
        </x:is>
      </x:c>
      <x:c r="D1281" s="31" t="inlineStr">
        <x:is>
          <x:t xml:space="preserve">ПОЗ-0073-4</x:t>
        </x:is>
      </x:c>
      <x:c r="E1281" s="31" t="inlineStr">
        <x:is>
          <x:t xml:space="preserve">ИЗД-039</x:t>
        </x:is>
      </x:c>
      <x:c r="F1281" s="31" t="n">
        <x:v>30</x:v>
      </x:c>
      <x:c r="G1281" s="31" t="inlineStr">
        <x:is>
          <x:t xml:space="preserve">Сварка рамы</x:t>
        </x:is>
      </x:c>
      <x:c r="H1281" s="31" t="inlineStr">
        <x:is>
          <x:t xml:space="preserve">Сварка</x:t>
        </x:is>
      </x:c>
      <x:c r="I1281" s="31" t="inlineStr">
        <x:is>
          <x:t xml:space="preserve">ОБ-018</x:t>
        </x:is>
      </x:c>
      <x:c r="J1281" s="31" t="inlineStr">
        <x:is>
          <x:t xml:space="preserve">СОТР-056</x:t>
        </x:is>
      </x:c>
      <x:c r="K1281" s="31" t="n">
        <x:v>25.2</x:v>
      </x:c>
      <x:c r="L1281" s="31" t="n">
        <x:v>29</x:v>
      </x:c>
      <x:c r="M1281" s="31" t="n">
        <x:v>46175</x:v>
      </x:c>
      <x:c r="N1281" s="31" t="n">
        <x:v>46178</x:v>
      </x:c>
      <x:c r="O1281" s="31" t="n">
        <x:v>46175</x:v>
      </x:c>
      <x:c r="P1281" s="31" t="n">
        <x:v>46178</x:v>
      </x:c>
      <x:c r="Q1281" s="31" t="inlineStr">
        <x:is>
          <x:t xml:space="preserve">Завершено</x:t>
        </x:is>
      </x:c>
      <x:c r="R1281" s="31" t="inlineStr">
        <x:is>
          <x:t xml:space="preserve">Нет</x:t>
        </x:is>
      </x:c>
      <x:c r="S1281" s="31" t="inlineStr">
        <x:is>
          <x:t xml:space="preserve">Нет</x:t>
        </x:is>
      </x:c>
    </x:row>
    <x:row r="1282">
      <x:c r="A1282" s="31" t="inlineStr">
        <x:is>
          <x:t xml:space="preserve">ОП-001281</x:t>
        </x:is>
      </x:c>
      <x:c r="B1282" s="31" t="inlineStr">
        <x:is>
          <x:t xml:space="preserve">ПЗ-00155</x:t>
        </x:is>
      </x:c>
      <x:c r="C1282" s="31" t="inlineStr">
        <x:is>
          <x:t xml:space="preserve">ЗК-1073</x:t>
        </x:is>
      </x:c>
      <x:c r="D1282" s="31" t="inlineStr">
        <x:is>
          <x:t xml:space="preserve">ПОЗ-0073-4</x:t>
        </x:is>
      </x:c>
      <x:c r="E1282" s="31" t="inlineStr">
        <x:is>
          <x:t xml:space="preserve">ИЗД-039</x:t>
        </x:is>
      </x:c>
      <x:c r="F1282" s="31" t="n">
        <x:v>40</x:v>
      </x:c>
      <x:c r="G1282" s="31" t="inlineStr">
        <x:is>
          <x:t xml:space="preserve">Пескоструй</x:t>
        </x:is>
      </x:c>
      <x:c r="H1282" s="31" t="inlineStr">
        <x:is>
          <x:t xml:space="preserve">Сварка</x:t>
        </x:is>
      </x:c>
      <x:c r="I1282" s="31" t="inlineStr">
        <x:is>
          <x:t xml:space="preserve">ОБ-018</x:t>
        </x:is>
      </x:c>
      <x:c r="J1282" s="31" t="inlineStr">
        <x:is>
          <x:t xml:space="preserve">СОТР-066</x:t>
        </x:is>
      </x:c>
      <x:c r="K1282" s="31" t="n">
        <x:v>36.9</x:v>
      </x:c>
      <x:c r="L1282" s="31" t="n">
        <x:v>36.4</x:v>
      </x:c>
      <x:c r="M1282" s="31" t="n">
        <x:v>46178</x:v>
      </x:c>
      <x:c r="N1282" s="31" t="n">
        <x:v>46182</x:v>
      </x:c>
      <x:c r="O1282" s="31" t="n">
        <x:v>46178</x:v>
      </x:c>
      <x:c r="P1282" s="31" t="n">
        <x:v>46183</x:v>
      </x:c>
      <x:c r="Q1282" s="31" t="inlineStr">
        <x:is>
          <x:t xml:space="preserve">Завершено</x:t>
        </x:is>
      </x:c>
      <x:c r="R1282" s="31" t="inlineStr">
        <x:is>
          <x:t xml:space="preserve">Нет</x:t>
        </x:is>
      </x:c>
      <x:c r="S1282" s="31" t="inlineStr">
        <x:is>
          <x:t xml:space="preserve">Нет</x:t>
        </x:is>
      </x:c>
    </x:row>
    <x:row r="1283">
      <x:c r="A1283" s="31" t="inlineStr">
        <x:is>
          <x:t xml:space="preserve">ОП-001282</x:t>
        </x:is>
      </x:c>
      <x:c r="B1283" s="31" t="inlineStr">
        <x:is>
          <x:t xml:space="preserve">ПЗ-00155</x:t>
        </x:is>
      </x:c>
      <x:c r="C1283" s="31" t="inlineStr">
        <x:is>
          <x:t xml:space="preserve">ЗК-1073</x:t>
        </x:is>
      </x:c>
      <x:c r="D1283" s="31" t="inlineStr">
        <x:is>
          <x:t xml:space="preserve">ПОЗ-0073-4</x:t>
        </x:is>
      </x:c>
      <x:c r="E1283" s="31" t="inlineStr">
        <x:is>
          <x:t xml:space="preserve">ИЗД-039</x:t>
        </x:is>
      </x:c>
      <x:c r="F1283" s="31" t="n">
        <x:v>50</x:v>
      </x:c>
      <x:c r="G1283" s="31" t="inlineStr">
        <x:is>
          <x:t xml:space="preserve">Покраска</x:t>
        </x:is>
      </x:c>
      <x:c r="H1283" s="31" t="inlineStr">
        <x:is>
          <x:t xml:space="preserve">Сварка</x:t>
        </x:is>
      </x:c>
      <x:c r="I1283" s="31" t="inlineStr">
        <x:is>
          <x:t xml:space="preserve">ОБ-026</x:t>
        </x:is>
      </x:c>
      <x:c r="J1283" s="31" t="inlineStr">
        <x:is>
          <x:t xml:space="preserve">СОТР-064</x:t>
        </x:is>
      </x:c>
      <x:c r="K1283" s="31" t="n">
        <x:v>11.4</x:v>
      </x:c>
      <x:c r="L1283" s="31" t="n">
        <x:v>12.7</x:v>
      </x:c>
      <x:c r="M1283" s="31" t="n">
        <x:v>46182</x:v>
      </x:c>
      <x:c r="N1283" s="31" t="n">
        <x:v>46183</x:v>
      </x:c>
      <x:c r="O1283" s="31" t="n">
        <x:v>46182</x:v>
      </x:c>
      <x:c r="P1283" s="31" t="n">
        <x:v>46184</x:v>
      </x:c>
      <x:c r="Q1283" s="31" t="inlineStr">
        <x:is>
          <x:t xml:space="preserve">Завершено</x:t>
        </x:is>
      </x:c>
      <x:c r="R1283" s="31" t="inlineStr">
        <x:is>
          <x:t xml:space="preserve">Нет</x:t>
        </x:is>
      </x:c>
      <x:c r="S1283" s="31" t="inlineStr">
        <x:is>
          <x:t xml:space="preserve">Нет</x:t>
        </x:is>
      </x:c>
    </x:row>
    <x:row r="1284">
      <x:c r="A1284" s="31" t="inlineStr">
        <x:is>
          <x:t xml:space="preserve">ОП-001283</x:t>
        </x:is>
      </x:c>
      <x:c r="B1284" s="31" t="inlineStr">
        <x:is>
          <x:t xml:space="preserve">ПЗ-00155</x:t>
        </x:is>
      </x:c>
      <x:c r="C1284" s="31" t="inlineStr">
        <x:is>
          <x:t xml:space="preserve">ЗК-1073</x:t>
        </x:is>
      </x:c>
      <x:c r="D1284" s="31" t="inlineStr">
        <x:is>
          <x:t xml:space="preserve">ПОЗ-0073-4</x:t>
        </x:is>
      </x:c>
      <x:c r="E1284" s="31" t="inlineStr">
        <x:is>
          <x:t xml:space="preserve">ИЗД-039</x:t>
        </x:is>
      </x:c>
      <x:c r="F1284" s="31" t="n">
        <x:v>60</x:v>
      </x:c>
      <x:c r="G1284" s="31" t="inlineStr">
        <x:is>
          <x:t xml:space="preserve">ОТК</x:t>
        </x:is>
      </x:c>
      <x:c r="H1284" s="31" t="inlineStr">
        <x:is>
          <x:t xml:space="preserve">ОТК</x:t>
        </x:is>
      </x:c>
      <x:c r="I1284" s="31" t="inlineStr">
        <x:is>
          <x:t xml:space="preserve">ОБ-024</x:t>
        </x:is>
      </x:c>
      <x:c r="J1284" s="31" t="inlineStr">
        <x:is>
          <x:t xml:space="preserve">СОТР-092</x:t>
        </x:is>
      </x:c>
      <x:c r="K1284" s="31" t="n">
        <x:v>43.2</x:v>
      </x:c>
      <x:c r="L1284" s="31" t="n">
        <x:v>57.6</x:v>
      </x:c>
      <x:c r="M1284" s="31" t="n">
        <x:v>46183</x:v>
      </x:c>
      <x:c r="N1284" s="31" t="n">
        <x:v>46187</x:v>
      </x:c>
      <x:c r="O1284" s="31" t="n">
        <x:v>46183</x:v>
      </x:c>
      <x:c r="P1284" s="31" t="n">
        <x:v>46187</x:v>
      </x:c>
      <x:c r="Q1284" s="31" t="inlineStr">
        <x:is>
          <x:t xml:space="preserve">Завершено</x:t>
        </x:is>
      </x:c>
      <x:c r="R1284" s="31" t="inlineStr">
        <x:is>
          <x:t xml:space="preserve">Нет</x:t>
        </x:is>
      </x:c>
      <x:c r="S1284" s="31" t="inlineStr">
        <x:is>
          <x:t xml:space="preserve">Нет</x:t>
        </x:is>
      </x:c>
    </x:row>
    <x:row r="1285">
      <x:c r="A1285" s="31" t="inlineStr">
        <x:is>
          <x:t xml:space="preserve">ОП-001284</x:t>
        </x:is>
      </x:c>
      <x:c r="B1285" s="31" t="inlineStr">
        <x:is>
          <x:t xml:space="preserve">ПЗ-00156</x:t>
        </x:is>
      </x:c>
      <x:c r="C1285" s="31" t="inlineStr">
        <x:is>
          <x:t xml:space="preserve">ЗК-1074</x:t>
        </x:is>
      </x:c>
      <x:c r="D1285" s="31" t="inlineStr">
        <x:is>
          <x:t xml:space="preserve">ПОЗ-0074-1</x:t>
        </x:is>
      </x:c>
      <x:c r="E1285" s="31" t="inlineStr">
        <x:is>
          <x:t xml:space="preserve">ИЗД-016</x:t>
        </x:is>
      </x:c>
      <x:c r="F1285" s="31" t="n">
        <x:v>10</x:v>
      </x:c>
      <x:c r="G1285" s="31" t="inlineStr">
        <x:is>
          <x:t xml:space="preserve">КД</x:t>
        </x:is>
      </x:c>
      <x:c r="H1285" s="31" t="inlineStr">
        <x:is>
          <x:t xml:space="preserve">Инженерный отдел</x:t>
        </x:is>
      </x:c>
      <x:c r="I1285" s="31" t="n"/>
      <x:c r="J1285" s="31" t="inlineStr">
        <x:is>
          <x:t xml:space="preserve">СОТР-021</x:t>
        </x:is>
      </x:c>
      <x:c r="K1285" s="31" t="n">
        <x:v>51.2</x:v>
      </x:c>
      <x:c r="L1285" s="31" t="n">
        <x:v>49.9</x:v>
      </x:c>
      <x:c r="M1285" s="31" t="n">
        <x:v>46199</x:v>
      </x:c>
      <x:c r="N1285" s="31" t="n">
        <x:v>46204</x:v>
      </x:c>
      <x:c r="O1285" s="31" t="n">
        <x:v>46199</x:v>
      </x:c>
      <x:c r="P1285" s="31" t="n">
        <x:v>46203</x:v>
      </x:c>
      <x:c r="Q1285" s="31" t="inlineStr">
        <x:is>
          <x:t xml:space="preserve">Завершено</x:t>
        </x:is>
      </x:c>
      <x:c r="R1285" s="31" t="inlineStr">
        <x:is>
          <x:t xml:space="preserve">Нет</x:t>
        </x:is>
      </x:c>
      <x:c r="S1285" s="31" t="inlineStr">
        <x:is>
          <x:t xml:space="preserve">Да</x:t>
        </x:is>
      </x:c>
    </x:row>
    <x:row r="1286">
      <x:c r="A1286" s="31" t="inlineStr">
        <x:is>
          <x:t xml:space="preserve">ОП-001285</x:t>
        </x:is>
      </x:c>
      <x:c r="B1286" s="31" t="inlineStr">
        <x:is>
          <x:t xml:space="preserve">ПЗ-00156</x:t>
        </x:is>
      </x:c>
      <x:c r="C1286" s="31" t="inlineStr">
        <x:is>
          <x:t xml:space="preserve">ЗК-1074</x:t>
        </x:is>
      </x:c>
      <x:c r="D1286" s="31" t="inlineStr">
        <x:is>
          <x:t xml:space="preserve">ПОЗ-0074-1</x:t>
        </x:is>
      </x:c>
      <x:c r="E1286" s="31" t="inlineStr">
        <x:is>
          <x:t xml:space="preserve">ИЗД-016</x:t>
        </x:is>
      </x:c>
      <x:c r="F1286" s="31" t="n">
        <x:v>20</x:v>
      </x:c>
      <x:c r="G1286" s="31" t="inlineStr">
        <x:is>
          <x:t xml:space="preserve">Резерв материалов</x:t>
        </x:is>
      </x:c>
      <x:c r="H1286" s="31" t="inlineStr">
        <x:is>
          <x:t xml:space="preserve">Склад</x:t>
        </x:is>
      </x:c>
      <x:c r="I1286" s="31" t="inlineStr">
        <x:is>
          <x:t xml:space="preserve">ОБ-025</x:t>
        </x:is>
      </x:c>
      <x:c r="J1286" s="31" t="inlineStr">
        <x:is>
          <x:t xml:space="preserve">СОТР-036</x:t>
        </x:is>
      </x:c>
      <x:c r="K1286" s="31" t="n">
        <x:v>57.6</x:v>
      </x:c>
      <x:c r="L1286" s="31" t="n">
        <x:v>75.40000000000001</x:v>
      </x:c>
      <x:c r="M1286" s="31" t="n">
        <x:v>46204</x:v>
      </x:c>
      <x:c r="N1286" s="31" t="n">
        <x:v>46209</x:v>
      </x:c>
      <x:c r="O1286" s="31" t="n">
        <x:v>46204</x:v>
      </x:c>
      <x:c r="P1286" s="31" t="n">
        <x:v>46210</x:v>
      </x:c>
      <x:c r="Q1286" s="31" t="inlineStr">
        <x:is>
          <x:t xml:space="preserve">Завершено</x:t>
        </x:is>
      </x:c>
      <x:c r="R1286" s="31" t="inlineStr">
        <x:is>
          <x:t xml:space="preserve">Нет</x:t>
        </x:is>
      </x:c>
      <x:c r="S1286" s="31" t="inlineStr">
        <x:is>
          <x:t xml:space="preserve">Нет</x:t>
        </x:is>
      </x:c>
    </x:row>
    <x:row r="1287">
      <x:c r="A1287" s="31" t="inlineStr">
        <x:is>
          <x:t xml:space="preserve">ОП-001286</x:t>
        </x:is>
      </x:c>
      <x:c r="B1287" s="31" t="inlineStr">
        <x:is>
          <x:t xml:space="preserve">ПЗ-00156</x:t>
        </x:is>
      </x:c>
      <x:c r="C1287" s="31" t="inlineStr">
        <x:is>
          <x:t xml:space="preserve">ЗК-1074</x:t>
        </x:is>
      </x:c>
      <x:c r="D1287" s="31" t="inlineStr">
        <x:is>
          <x:t xml:space="preserve">ПОЗ-0074-1</x:t>
        </x:is>
      </x:c>
      <x:c r="E1287" s="31" t="inlineStr">
        <x:is>
          <x:t xml:space="preserve">ИЗД-016</x:t>
        </x:is>
      </x:c>
      <x:c r="F1287" s="31" t="n">
        <x:v>30</x:v>
      </x:c>
      <x:c r="G1287" s="31" t="inlineStr">
        <x:is>
          <x:t xml:space="preserve">Резка металла</x:t>
        </x:is>
      </x:c>
      <x:c r="H1287" s="31" t="inlineStr">
        <x:is>
          <x:t xml:space="preserve">Сварка</x:t>
        </x:is>
      </x:c>
      <x:c r="I1287" s="31" t="inlineStr">
        <x:is>
          <x:t xml:space="preserve">ОБ-003</x:t>
        </x:is>
      </x:c>
      <x:c r="J1287" s="31" t="inlineStr">
        <x:is>
          <x:t xml:space="preserve">СОТР-065</x:t>
        </x:is>
      </x:c>
      <x:c r="K1287" s="31" t="n">
        <x:v>45.2</x:v>
      </x:c>
      <x:c r="L1287" s="31" t="n">
        <x:v>51.8</x:v>
      </x:c>
      <x:c r="M1287" s="31" t="n">
        <x:v>46209</x:v>
      </x:c>
      <x:c r="N1287" s="31" t="n">
        <x:v>46213</x:v>
      </x:c>
      <x:c r="O1287" s="31" t="n">
        <x:v>46209</x:v>
      </x:c>
      <x:c r="P1287" s="31" t="n">
        <x:v>46212</x:v>
      </x:c>
      <x:c r="Q1287" s="31" t="inlineStr">
        <x:is>
          <x:t xml:space="preserve">Завершено</x:t>
        </x:is>
      </x:c>
      <x:c r="R1287" s="31" t="inlineStr">
        <x:is>
          <x:t xml:space="preserve">Нет</x:t>
        </x:is>
      </x:c>
      <x:c r="S1287" s="31" t="inlineStr">
        <x:is>
          <x:t xml:space="preserve">Нет</x:t>
        </x:is>
      </x:c>
    </x:row>
    <x:row r="1288">
      <x:c r="A1288" s="31" t="inlineStr">
        <x:is>
          <x:t xml:space="preserve">ОП-001287</x:t>
        </x:is>
      </x:c>
      <x:c r="B1288" s="31" t="inlineStr">
        <x:is>
          <x:t xml:space="preserve">ПЗ-00156</x:t>
        </x:is>
      </x:c>
      <x:c r="C1288" s="31" t="inlineStr">
        <x:is>
          <x:t xml:space="preserve">ЗК-1074</x:t>
        </x:is>
      </x:c>
      <x:c r="D1288" s="31" t="inlineStr">
        <x:is>
          <x:t xml:space="preserve">ПОЗ-0074-1</x:t>
        </x:is>
      </x:c>
      <x:c r="E1288" s="31" t="inlineStr">
        <x:is>
          <x:t xml:space="preserve">ИЗД-016</x:t>
        </x:is>
      </x:c>
      <x:c r="F1288" s="31" t="n">
        <x:v>40</x:v>
      </x:c>
      <x:c r="G1288" s="31" t="inlineStr">
        <x:is>
          <x:t xml:space="preserve">Сварка рамы</x:t>
        </x:is>
      </x:c>
      <x:c r="H1288" s="31" t="inlineStr">
        <x:is>
          <x:t xml:space="preserve">Сварка</x:t>
        </x:is>
      </x:c>
      <x:c r="I1288" s="31" t="inlineStr">
        <x:is>
          <x:t xml:space="preserve">ОБ-010</x:t>
        </x:is>
      </x:c>
      <x:c r="J1288" s="31" t="inlineStr">
        <x:is>
          <x:t xml:space="preserve">СОТР-062</x:t>
        </x:is>
      </x:c>
      <x:c r="K1288" s="31" t="n">
        <x:v>46.4</x:v>
      </x:c>
      <x:c r="L1288" s="31" t="n">
        <x:v>53.2</x:v>
      </x:c>
      <x:c r="M1288" s="31" t="n">
        <x:v>46213</x:v>
      </x:c>
      <x:c r="N1288" s="31" t="n">
        <x:v>46217</x:v>
      </x:c>
      <x:c r="O1288" s="31" t="n">
        <x:v>46213</x:v>
      </x:c>
      <x:c r="P1288" s="31" t="n">
        <x:v>46218</x:v>
      </x:c>
      <x:c r="Q1288" s="31" t="inlineStr">
        <x:is>
          <x:t xml:space="preserve">Завершено</x:t>
        </x:is>
      </x:c>
      <x:c r="R1288" s="31" t="inlineStr">
        <x:is>
          <x:t xml:space="preserve">Нет</x:t>
        </x:is>
      </x:c>
      <x:c r="S1288" s="31" t="inlineStr">
        <x:is>
          <x:t xml:space="preserve">Нет</x:t>
        </x:is>
      </x:c>
    </x:row>
    <x:row r="1289">
      <x:c r="A1289" s="31" t="inlineStr">
        <x:is>
          <x:t xml:space="preserve">ОП-001288</x:t>
        </x:is>
      </x:c>
      <x:c r="B1289" s="31" t="inlineStr">
        <x:is>
          <x:t xml:space="preserve">ПЗ-00156</x:t>
        </x:is>
      </x:c>
      <x:c r="C1289" s="31" t="inlineStr">
        <x:is>
          <x:t xml:space="preserve">ЗК-1074</x:t>
        </x:is>
      </x:c>
      <x:c r="D1289" s="31" t="inlineStr">
        <x:is>
          <x:t xml:space="preserve">ПОЗ-0074-1</x:t>
        </x:is>
      </x:c>
      <x:c r="E1289" s="31" t="inlineStr">
        <x:is>
          <x:t xml:space="preserve">ИЗД-016</x:t>
        </x:is>
      </x:c>
      <x:c r="F1289" s="31" t="n">
        <x:v>50</x:v>
      </x:c>
      <x:c r="G1289" s="31" t="inlineStr">
        <x:is>
          <x:t xml:space="preserve">Механообработка</x:t>
        </x:is>
      </x:c>
      <x:c r="H1289" s="31" t="inlineStr">
        <x:is>
          <x:t xml:space="preserve">Механообработка</x:t>
        </x:is>
      </x:c>
      <x:c r="I1289" s="31" t="inlineStr">
        <x:is>
          <x:t xml:space="preserve">ОБ-029</x:t>
        </x:is>
      </x:c>
      <x:c r="J1289" s="31" t="inlineStr">
        <x:is>
          <x:t xml:space="preserve">СОТР-048</x:t>
        </x:is>
      </x:c>
      <x:c r="K1289" s="31" t="n">
        <x:v>60.4</x:v>
      </x:c>
      <x:c r="L1289" s="31" t="n">
        <x:v>61.5</x:v>
      </x:c>
      <x:c r="M1289" s="31" t="n">
        <x:v>46217</x:v>
      </x:c>
      <x:c r="N1289" s="31" t="n">
        <x:v>46223</x:v>
      </x:c>
      <x:c r="O1289" s="31" t="n">
        <x:v>46217</x:v>
      </x:c>
      <x:c r="P1289" s="31" t="n">
        <x:v>46224</x:v>
      </x:c>
      <x:c r="Q1289" s="31" t="inlineStr">
        <x:is>
          <x:t xml:space="preserve">Завершено</x:t>
        </x:is>
      </x:c>
      <x:c r="R1289" s="31" t="inlineStr">
        <x:is>
          <x:t xml:space="preserve">Нет</x:t>
        </x:is>
      </x:c>
      <x:c r="S1289" s="31" t="inlineStr">
        <x:is>
          <x:t xml:space="preserve">Да</x:t>
        </x:is>
      </x:c>
    </x:row>
    <x:row r="1290">
      <x:c r="A1290" s="31" t="inlineStr">
        <x:is>
          <x:t xml:space="preserve">ОП-001289</x:t>
        </x:is>
      </x:c>
      <x:c r="B1290" s="31" t="inlineStr">
        <x:is>
          <x:t xml:space="preserve">ПЗ-00156</x:t>
        </x:is>
      </x:c>
      <x:c r="C1290" s="31" t="inlineStr">
        <x:is>
          <x:t xml:space="preserve">ЗК-1074</x:t>
        </x:is>
      </x:c>
      <x:c r="D1290" s="31" t="inlineStr">
        <x:is>
          <x:t xml:space="preserve">ПОЗ-0074-1</x:t>
        </x:is>
      </x:c>
      <x:c r="E1290" s="31" t="inlineStr">
        <x:is>
          <x:t xml:space="preserve">ИЗД-016</x:t>
        </x:is>
      </x:c>
      <x:c r="F1290" s="31" t="n">
        <x:v>60</x:v>
      </x:c>
      <x:c r="G1290" s="31" t="inlineStr">
        <x:is>
          <x:t xml:space="preserve">Сборка</x:t>
        </x:is>
      </x:c>
      <x:c r="H1290" s="31" t="inlineStr">
        <x:is>
          <x:t xml:space="preserve">Сборка</x:t>
        </x:is>
      </x:c>
      <x:c r="I1290" s="31" t="inlineStr">
        <x:is>
          <x:t xml:space="preserve">ОБ-027</x:t>
        </x:is>
      </x:c>
      <x:c r="J1290" s="31" t="inlineStr">
        <x:is>
          <x:t xml:space="preserve">СОТР-085</x:t>
        </x:is>
      </x:c>
      <x:c r="K1290" s="31" t="n">
        <x:v>60.4</x:v>
      </x:c>
      <x:c r="L1290" s="31" t="n">
        <x:v>52.4</x:v>
      </x:c>
      <x:c r="M1290" s="31" t="n">
        <x:v>46223</x:v>
      </x:c>
      <x:c r="N1290" s="31" t="n">
        <x:v>46229</x:v>
      </x:c>
      <x:c r="O1290" s="31" t="n">
        <x:v>46223</x:v>
      </x:c>
      <x:c r="P1290" s="31" t="n">
        <x:v>46229</x:v>
      </x:c>
      <x:c r="Q1290" s="31" t="inlineStr">
        <x:is>
          <x:t xml:space="preserve">Завершено</x:t>
        </x:is>
      </x:c>
      <x:c r="R1290" s="31" t="inlineStr">
        <x:is>
          <x:t xml:space="preserve">Нет</x:t>
        </x:is>
      </x:c>
      <x:c r="S1290" s="31" t="inlineStr">
        <x:is>
          <x:t xml:space="preserve">Нет</x:t>
        </x:is>
      </x:c>
    </x:row>
    <x:row r="1291">
      <x:c r="A1291" s="31" t="inlineStr">
        <x:is>
          <x:t xml:space="preserve">ОП-001290</x:t>
        </x:is>
      </x:c>
      <x:c r="B1291" s="31" t="inlineStr">
        <x:is>
          <x:t xml:space="preserve">ПЗ-00156</x:t>
        </x:is>
      </x:c>
      <x:c r="C1291" s="31" t="inlineStr">
        <x:is>
          <x:t xml:space="preserve">ЗК-1074</x:t>
        </x:is>
      </x:c>
      <x:c r="D1291" s="31" t="inlineStr">
        <x:is>
          <x:t xml:space="preserve">ПОЗ-0074-1</x:t>
        </x:is>
      </x:c>
      <x:c r="E1291" s="31" t="inlineStr">
        <x:is>
          <x:t xml:space="preserve">ИЗД-016</x:t>
        </x:is>
      </x:c>
      <x:c r="F1291" s="31" t="n">
        <x:v>70</x:v>
      </x:c>
      <x:c r="G1291" s="31" t="inlineStr">
        <x:is>
          <x:t xml:space="preserve">Электромонтаж</x:t>
        </x:is>
      </x:c>
      <x:c r="H1291" s="31" t="inlineStr">
        <x:is>
          <x:t xml:space="preserve">Сборка</x:t>
        </x:is>
      </x:c>
      <x:c r="I1291" s="31" t="inlineStr">
        <x:is>
          <x:t xml:space="preserve">ОБ-014</x:t>
        </x:is>
      </x:c>
      <x:c r="J1291" s="31" t="inlineStr">
        <x:is>
          <x:t xml:space="preserve">СОТР-087</x:t>
        </x:is>
      </x:c>
      <x:c r="K1291" s="31" t="n">
        <x:v>69.59999999999999</x:v>
      </x:c>
      <x:c r="L1291" s="31" t="n">
        <x:v>56.1</x:v>
      </x:c>
      <x:c r="M1291" s="31" t="n">
        <x:v>46229</x:v>
      </x:c>
      <x:c r="N1291" s="31" t="n">
        <x:v>46235</x:v>
      </x:c>
      <x:c r="O1291" s="31" t="n">
        <x:v>46229</x:v>
      </x:c>
      <x:c r="P1291" s="31" t="n">
        <x:v>46237</x:v>
      </x:c>
      <x:c r="Q1291" s="31" t="inlineStr">
        <x:is>
          <x:t xml:space="preserve">Завершено</x:t>
        </x:is>
      </x:c>
      <x:c r="R1291" s="31" t="inlineStr">
        <x:is>
          <x:t xml:space="preserve">Ожидание ОТК</x:t>
        </x:is>
      </x:c>
      <x:c r="S1291" s="31" t="inlineStr">
        <x:is>
          <x:t xml:space="preserve">Нет</x:t>
        </x:is>
      </x:c>
    </x:row>
    <x:row r="1292">
      <x:c r="A1292" s="31" t="inlineStr">
        <x:is>
          <x:t xml:space="preserve">ОП-001291</x:t>
        </x:is>
      </x:c>
      <x:c r="B1292" s="31" t="inlineStr">
        <x:is>
          <x:t xml:space="preserve">ПЗ-00156</x:t>
        </x:is>
      </x:c>
      <x:c r="C1292" s="31" t="inlineStr">
        <x:is>
          <x:t xml:space="preserve">ЗК-1074</x:t>
        </x:is>
      </x:c>
      <x:c r="D1292" s="31" t="inlineStr">
        <x:is>
          <x:t xml:space="preserve">ПОЗ-0074-1</x:t>
        </x:is>
      </x:c>
      <x:c r="E1292" s="31" t="inlineStr">
        <x:is>
          <x:t xml:space="preserve">ИЗД-016</x:t>
        </x:is>
      </x:c>
      <x:c r="F1292" s="31" t="n">
        <x:v>80</x:v>
      </x:c>
      <x:c r="G1292" s="31" t="inlineStr">
        <x:is>
          <x:t xml:space="preserve">Гидроиспытания</x:t>
        </x:is>
      </x:c>
      <x:c r="H1292" s="31" t="inlineStr">
        <x:is>
          <x:t xml:space="preserve">ОТК</x:t>
        </x:is>
      </x:c>
      <x:c r="I1292" s="31" t="inlineStr">
        <x:is>
          <x:t xml:space="preserve">ОБ-028</x:t>
        </x:is>
      </x:c>
      <x:c r="J1292" s="31" t="inlineStr">
        <x:is>
          <x:t xml:space="preserve">СОТР-098</x:t>
        </x:is>
      </x:c>
      <x:c r="K1292" s="31" t="n">
        <x:v>7.2</x:v>
      </x:c>
      <x:c r="L1292" s="31" t="n">
        <x:v>7</x:v>
      </x:c>
      <x:c r="M1292" s="31" t="n">
        <x:v>46235</x:v>
      </x:c>
      <x:c r="N1292" s="31" t="n">
        <x:v>46236</x:v>
      </x:c>
      <x:c r="O1292" s="31" t="n">
        <x:v>46235</x:v>
      </x:c>
      <x:c r="P1292" s="31" t="n">
        <x:v>46236</x:v>
      </x:c>
      <x:c r="Q1292" s="31" t="inlineStr">
        <x:is>
          <x:t xml:space="preserve">Завершено</x:t>
        </x:is>
      </x:c>
      <x:c r="R1292" s="31" t="inlineStr">
        <x:is>
          <x:t xml:space="preserve">Нет</x:t>
        </x:is>
      </x:c>
      <x:c r="S1292" s="31" t="inlineStr">
        <x:is>
          <x:t xml:space="preserve">Нет</x:t>
        </x:is>
      </x:c>
    </x:row>
    <x:row r="1293">
      <x:c r="A1293" s="31" t="inlineStr">
        <x:is>
          <x:t xml:space="preserve">ОП-001292</x:t>
        </x:is>
      </x:c>
      <x:c r="B1293" s="31" t="inlineStr">
        <x:is>
          <x:t xml:space="preserve">ПЗ-00156</x:t>
        </x:is>
      </x:c>
      <x:c r="C1293" s="31" t="inlineStr">
        <x:is>
          <x:t xml:space="preserve">ЗК-1074</x:t>
        </x:is>
      </x:c>
      <x:c r="D1293" s="31" t="inlineStr">
        <x:is>
          <x:t xml:space="preserve">ПОЗ-0074-1</x:t>
        </x:is>
      </x:c>
      <x:c r="E1293" s="31" t="inlineStr">
        <x:is>
          <x:t xml:space="preserve">ИЗД-016</x:t>
        </x:is>
      </x:c>
      <x:c r="F1293" s="31" t="n">
        <x:v>90</x:v>
      </x:c>
      <x:c r="G1293" s="31" t="inlineStr">
        <x:is>
          <x:t xml:space="preserve">ОТК</x:t>
        </x:is>
      </x:c>
      <x:c r="H1293" s="31" t="inlineStr">
        <x:is>
          <x:t xml:space="preserve">ОТК</x:t>
        </x:is>
      </x:c>
      <x:c r="I1293" s="31" t="inlineStr">
        <x:is>
          <x:t xml:space="preserve">ОБ-028</x:t>
        </x:is>
      </x:c>
      <x:c r="J1293" s="31" t="inlineStr">
        <x:is>
          <x:t xml:space="preserve">СОТР-096</x:t>
        </x:is>
      </x:c>
      <x:c r="K1293" s="31" t="n">
        <x:v>6.8</x:v>
      </x:c>
      <x:c r="L1293" s="31" t="n">
        <x:v>8.699999999999999</x:v>
      </x:c>
      <x:c r="M1293" s="31" t="n">
        <x:v>46236</x:v>
      </x:c>
      <x:c r="N1293" s="31" t="n">
        <x:v>46237</x:v>
      </x:c>
      <x:c r="O1293" s="31" t="n">
        <x:v>46236</x:v>
      </x:c>
      <x:c r="P1293" s="31" t="n">
        <x:v>46239</x:v>
      </x:c>
      <x:c r="Q1293" s="31" t="inlineStr">
        <x:is>
          <x:t xml:space="preserve">Завершено</x:t>
        </x:is>
      </x:c>
      <x:c r="R1293" s="31" t="inlineStr">
        <x:is>
          <x:t xml:space="preserve">Нет</x:t>
        </x:is>
      </x:c>
      <x:c r="S1293" s="31" t="inlineStr">
        <x:is>
          <x:t xml:space="preserve">Нет</x:t>
        </x:is>
      </x:c>
    </x:row>
    <x:row r="1294">
      <x:c r="A1294" s="31" t="inlineStr">
        <x:is>
          <x:t xml:space="preserve">ОП-001293</x:t>
        </x:is>
      </x:c>
      <x:c r="B1294" s="31" t="inlineStr">
        <x:is>
          <x:t xml:space="preserve">ПЗ-00156</x:t>
        </x:is>
      </x:c>
      <x:c r="C1294" s="31" t="inlineStr">
        <x:is>
          <x:t xml:space="preserve">ЗК-1074</x:t>
        </x:is>
      </x:c>
      <x:c r="D1294" s="31" t="inlineStr">
        <x:is>
          <x:t xml:space="preserve">ПОЗ-0074-1</x:t>
        </x:is>
      </x:c>
      <x:c r="E1294" s="31" t="inlineStr">
        <x:is>
          <x:t xml:space="preserve">ИЗД-016</x:t>
        </x:is>
      </x:c>
      <x:c r="F1294" s="31" t="n">
        <x:v>100</x:v>
      </x:c>
      <x:c r="G1294" s="31" t="inlineStr">
        <x:is>
          <x:t xml:space="preserve">Упаковка</x:t>
        </x:is>
      </x:c>
      <x:c r="H1294" s="31" t="inlineStr">
        <x:is>
          <x:t xml:space="preserve">Логистика</x:t>
        </x:is>
      </x:c>
      <x:c r="I1294" s="31" t="n"/>
      <x:c r="J1294" s="31" t="inlineStr">
        <x:is>
          <x:t xml:space="preserve">СОТР-103</x:t>
        </x:is>
      </x:c>
      <x:c r="K1294" s="31" t="n">
        <x:v>40</x:v>
      </x:c>
      <x:c r="L1294" s="31" t="n">
        <x:v>36.3</x:v>
      </x:c>
      <x:c r="M1294" s="31" t="n">
        <x:v>46237</x:v>
      </x:c>
      <x:c r="N1294" s="31" t="n">
        <x:v>46241</x:v>
      </x:c>
      <x:c r="O1294" s="31" t="n">
        <x:v>46237</x:v>
      </x:c>
      <x:c r="P1294" s="31" t="n">
        <x:v>46241</x:v>
      </x:c>
      <x:c r="Q1294" s="31" t="inlineStr">
        <x:is>
          <x:t xml:space="preserve">Завершено</x:t>
        </x:is>
      </x:c>
      <x:c r="R1294" s="31" t="inlineStr">
        <x:is>
          <x:t xml:space="preserve">Нет</x:t>
        </x:is>
      </x:c>
      <x:c r="S1294" s="31" t="inlineStr">
        <x:is>
          <x:t xml:space="preserve">Нет</x:t>
        </x:is>
      </x:c>
    </x:row>
    <x:row r="1295">
      <x:c r="A1295" s="31" t="inlineStr">
        <x:is>
          <x:t xml:space="preserve">ОП-001294</x:t>
        </x:is>
      </x:c>
      <x:c r="B1295" s="31" t="inlineStr">
        <x:is>
          <x:t xml:space="preserve">ПЗ-00157</x:t>
        </x:is>
      </x:c>
      <x:c r="C1295" s="31" t="inlineStr">
        <x:is>
          <x:t xml:space="preserve">ЗК-1074</x:t>
        </x:is>
      </x:c>
      <x:c r="D1295" s="31" t="inlineStr">
        <x:is>
          <x:t xml:space="preserve">ПОЗ-0074-2</x:t>
        </x:is>
      </x:c>
      <x:c r="E1295" s="31" t="inlineStr">
        <x:is>
          <x:t xml:space="preserve">ИЗД-017</x:t>
        </x:is>
      </x:c>
      <x:c r="F1295" s="31" t="n">
        <x:v>10</x:v>
      </x:c>
      <x:c r="G1295" s="31" t="inlineStr">
        <x:is>
          <x:t xml:space="preserve">КД</x:t>
        </x:is>
      </x:c>
      <x:c r="H1295" s="31" t="inlineStr">
        <x:is>
          <x:t xml:space="preserve">Инженерный отдел</x:t>
        </x:is>
      </x:c>
      <x:c r="I1295" s="31" t="n"/>
      <x:c r="J1295" s="31" t="inlineStr">
        <x:is>
          <x:t xml:space="preserve">СОТР-012</x:t>
        </x:is>
      </x:c>
      <x:c r="K1295" s="31" t="n">
        <x:v>12.2</x:v>
      </x:c>
      <x:c r="L1295" s="31" t="n">
        <x:v>15.2</x:v>
      </x:c>
      <x:c r="M1295" s="31" t="n">
        <x:v>46198</x:v>
      </x:c>
      <x:c r="N1295" s="31" t="n">
        <x:v>46200</x:v>
      </x:c>
      <x:c r="O1295" s="31" t="n">
        <x:v>46198</x:v>
      </x:c>
      <x:c r="P1295" s="31" t="n">
        <x:v>46202</x:v>
      </x:c>
      <x:c r="Q1295" s="31" t="inlineStr">
        <x:is>
          <x:t xml:space="preserve">Завершено</x:t>
        </x:is>
      </x:c>
      <x:c r="R1295" s="31" t="inlineStr">
        <x:is>
          <x:t xml:space="preserve">Нет</x:t>
        </x:is>
      </x:c>
      <x:c r="S1295" s="31" t="inlineStr">
        <x:is>
          <x:t xml:space="preserve">Нет</x:t>
        </x:is>
      </x:c>
    </x:row>
    <x:row r="1296">
      <x:c r="A1296" s="31" t="inlineStr">
        <x:is>
          <x:t xml:space="preserve">ОП-001295</x:t>
        </x:is>
      </x:c>
      <x:c r="B1296" s="31" t="inlineStr">
        <x:is>
          <x:t xml:space="preserve">ПЗ-00157</x:t>
        </x:is>
      </x:c>
      <x:c r="C1296" s="31" t="inlineStr">
        <x:is>
          <x:t xml:space="preserve">ЗК-1074</x:t>
        </x:is>
      </x:c>
      <x:c r="D1296" s="31" t="inlineStr">
        <x:is>
          <x:t xml:space="preserve">ПОЗ-0074-2</x:t>
        </x:is>
      </x:c>
      <x:c r="E1296" s="31" t="inlineStr">
        <x:is>
          <x:t xml:space="preserve">ИЗД-017</x:t>
        </x:is>
      </x:c>
      <x:c r="F1296" s="31" t="n">
        <x:v>20</x:v>
      </x:c>
      <x:c r="G1296" s="31" t="inlineStr">
        <x:is>
          <x:t xml:space="preserve">Резерв материалов</x:t>
        </x:is>
      </x:c>
      <x:c r="H1296" s="31" t="inlineStr">
        <x:is>
          <x:t xml:space="preserve">Склад</x:t>
        </x:is>
      </x:c>
      <x:c r="I1296" s="31" t="inlineStr">
        <x:is>
          <x:t xml:space="preserve">ОБ-025</x:t>
        </x:is>
      </x:c>
      <x:c r="J1296" s="31" t="inlineStr">
        <x:is>
          <x:t xml:space="preserve">СОТР-039</x:t>
        </x:is>
      </x:c>
      <x:c r="K1296" s="31" t="n">
        <x:v>12.5</x:v>
      </x:c>
      <x:c r="L1296" s="31" t="n">
        <x:v>12.6</x:v>
      </x:c>
      <x:c r="M1296" s="31" t="n">
        <x:v>46200</x:v>
      </x:c>
      <x:c r="N1296" s="31" t="n">
        <x:v>46202</x:v>
      </x:c>
      <x:c r="O1296" s="31" t="n">
        <x:v>46200</x:v>
      </x:c>
      <x:c r="P1296" s="31" t="n">
        <x:v>46201</x:v>
      </x:c>
      <x:c r="Q1296" s="31" t="inlineStr">
        <x:is>
          <x:t xml:space="preserve">Завершено</x:t>
        </x:is>
      </x:c>
      <x:c r="R1296" s="31" t="inlineStr">
        <x:is>
          <x:t xml:space="preserve">Нет</x:t>
        </x:is>
      </x:c>
      <x:c r="S1296" s="31" t="inlineStr">
        <x:is>
          <x:t xml:space="preserve">Нет</x:t>
        </x:is>
      </x:c>
    </x:row>
    <x:row r="1297">
      <x:c r="A1297" s="31" t="inlineStr">
        <x:is>
          <x:t xml:space="preserve">ОП-001296</x:t>
        </x:is>
      </x:c>
      <x:c r="B1297" s="31" t="inlineStr">
        <x:is>
          <x:t xml:space="preserve">ПЗ-00157</x:t>
        </x:is>
      </x:c>
      <x:c r="C1297" s="31" t="inlineStr">
        <x:is>
          <x:t xml:space="preserve">ЗК-1074</x:t>
        </x:is>
      </x:c>
      <x:c r="D1297" s="31" t="inlineStr">
        <x:is>
          <x:t xml:space="preserve">ПОЗ-0074-2</x:t>
        </x:is>
      </x:c>
      <x:c r="E1297" s="31" t="inlineStr">
        <x:is>
          <x:t xml:space="preserve">ИЗД-017</x:t>
        </x:is>
      </x:c>
      <x:c r="F1297" s="31" t="n">
        <x:v>30</x:v>
      </x:c>
      <x:c r="G1297" s="31" t="inlineStr">
        <x:is>
          <x:t xml:space="preserve">Сварка рамы</x:t>
        </x:is>
      </x:c>
      <x:c r="H1297" s="31" t="inlineStr">
        <x:is>
          <x:t xml:space="preserve">Сварка</x:t>
        </x:is>
      </x:c>
      <x:c r="I1297" s="31" t="inlineStr">
        <x:is>
          <x:t xml:space="preserve">ОБ-003</x:t>
        </x:is>
      </x:c>
      <x:c r="J1297" s="31" t="inlineStr">
        <x:is>
          <x:t xml:space="preserve">СОТР-059</x:t>
        </x:is>
      </x:c>
      <x:c r="K1297" s="31" t="n">
        <x:v>4.9</x:v>
      </x:c>
      <x:c r="L1297" s="31" t="n">
        <x:v>5.5</x:v>
      </x:c>
      <x:c r="M1297" s="31" t="n">
        <x:v>46202</x:v>
      </x:c>
      <x:c r="N1297" s="31" t="n">
        <x:v>46203</x:v>
      </x:c>
      <x:c r="O1297" s="31" t="n">
        <x:v>46202</x:v>
      </x:c>
      <x:c r="P1297" s="31" t="n">
        <x:v>46203</x:v>
      </x:c>
      <x:c r="Q1297" s="31" t="inlineStr">
        <x:is>
          <x:t xml:space="preserve">Завершено</x:t>
        </x:is>
      </x:c>
      <x:c r="R1297" s="31" t="inlineStr">
        <x:is>
          <x:t xml:space="preserve">Нет</x:t>
        </x:is>
      </x:c>
      <x:c r="S1297" s="31" t="inlineStr">
        <x:is>
          <x:t xml:space="preserve">Нет</x:t>
        </x:is>
      </x:c>
    </x:row>
    <x:row r="1298">
      <x:c r="A1298" s="31" t="inlineStr">
        <x:is>
          <x:t xml:space="preserve">ОП-001297</x:t>
        </x:is>
      </x:c>
      <x:c r="B1298" s="31" t="inlineStr">
        <x:is>
          <x:t xml:space="preserve">ПЗ-00157</x:t>
        </x:is>
      </x:c>
      <x:c r="C1298" s="31" t="inlineStr">
        <x:is>
          <x:t xml:space="preserve">ЗК-1074</x:t>
        </x:is>
      </x:c>
      <x:c r="D1298" s="31" t="inlineStr">
        <x:is>
          <x:t xml:space="preserve">ПОЗ-0074-2</x:t>
        </x:is>
      </x:c>
      <x:c r="E1298" s="31" t="inlineStr">
        <x:is>
          <x:t xml:space="preserve">ИЗД-017</x:t>
        </x:is>
      </x:c>
      <x:c r="F1298" s="31" t="n">
        <x:v>40</x:v>
      </x:c>
      <x:c r="G1298" s="31" t="inlineStr">
        <x:is>
          <x:t xml:space="preserve">Сборка</x:t>
        </x:is>
      </x:c>
      <x:c r="H1298" s="31" t="inlineStr">
        <x:is>
          <x:t xml:space="preserve">Сборка</x:t>
        </x:is>
      </x:c>
      <x:c r="I1298" s="31" t="inlineStr">
        <x:is>
          <x:t xml:space="preserve">ОБ-016</x:t>
        </x:is>
      </x:c>
      <x:c r="J1298" s="31" t="inlineStr">
        <x:is>
          <x:t xml:space="preserve">СОТР-073</x:t>
        </x:is>
      </x:c>
      <x:c r="K1298" s="31" t="n">
        <x:v>16.6</x:v>
      </x:c>
      <x:c r="L1298" s="31" t="n">
        <x:v>22.1</x:v>
      </x:c>
      <x:c r="M1298" s="31" t="n">
        <x:v>46203</x:v>
      </x:c>
      <x:c r="N1298" s="31" t="n">
        <x:v>46205</x:v>
      </x:c>
      <x:c r="O1298" s="31" t="n">
        <x:v>46203</x:v>
      </x:c>
      <x:c r="P1298" s="31" t="n">
        <x:v>46207</x:v>
      </x:c>
      <x:c r="Q1298" s="31" t="inlineStr">
        <x:is>
          <x:t xml:space="preserve">Завершено</x:t>
        </x:is>
      </x:c>
      <x:c r="R1298" s="31" t="inlineStr">
        <x:is>
          <x:t xml:space="preserve">Нет</x:t>
        </x:is>
      </x:c>
      <x:c r="S1298" s="31" t="inlineStr">
        <x:is>
          <x:t xml:space="preserve">Нет</x:t>
        </x:is>
      </x:c>
    </x:row>
    <x:row r="1299">
      <x:c r="A1299" s="31" t="inlineStr">
        <x:is>
          <x:t xml:space="preserve">ОП-001298</x:t>
        </x:is>
      </x:c>
      <x:c r="B1299" s="31" t="inlineStr">
        <x:is>
          <x:t xml:space="preserve">ПЗ-00157</x:t>
        </x:is>
      </x:c>
      <x:c r="C1299" s="31" t="inlineStr">
        <x:is>
          <x:t xml:space="preserve">ЗК-1074</x:t>
        </x:is>
      </x:c>
      <x:c r="D1299" s="31" t="inlineStr">
        <x:is>
          <x:t xml:space="preserve">ПОЗ-0074-2</x:t>
        </x:is>
      </x:c>
      <x:c r="E1299" s="31" t="inlineStr">
        <x:is>
          <x:t xml:space="preserve">ИЗД-017</x:t>
        </x:is>
      </x:c>
      <x:c r="F1299" s="31" t="n">
        <x:v>50</x:v>
      </x:c>
      <x:c r="G1299" s="31" t="inlineStr">
        <x:is>
          <x:t xml:space="preserve">Обвязка труб</x:t>
        </x:is>
      </x:c>
      <x:c r="H1299" s="31" t="inlineStr">
        <x:is>
          <x:t xml:space="preserve">Сборка</x:t>
        </x:is>
      </x:c>
      <x:c r="I1299" s="31" t="inlineStr">
        <x:is>
          <x:t xml:space="preserve">ОБ-012</x:t>
        </x:is>
      </x:c>
      <x:c r="J1299" s="31" t="inlineStr">
        <x:is>
          <x:t xml:space="preserve">СОТР-075</x:t>
        </x:is>
      </x:c>
      <x:c r="K1299" s="31" t="n">
        <x:v>3.5</x:v>
      </x:c>
      <x:c r="L1299" s="31" t="n">
        <x:v>4.1</x:v>
      </x:c>
      <x:c r="M1299" s="31" t="n">
        <x:v>46205</x:v>
      </x:c>
      <x:c r="N1299" s="31" t="n">
        <x:v>46206</x:v>
      </x:c>
      <x:c r="O1299" s="31" t="n">
        <x:v>46205</x:v>
      </x:c>
      <x:c r="P1299" s="31" t="n">
        <x:v>46207</x:v>
      </x:c>
      <x:c r="Q1299" s="31" t="inlineStr">
        <x:is>
          <x:t xml:space="preserve">Завершено</x:t>
        </x:is>
      </x:c>
      <x:c r="R1299" s="31" t="inlineStr">
        <x:is>
          <x:t xml:space="preserve">КД</x:t>
        </x:is>
      </x:c>
      <x:c r="S1299" s="31" t="inlineStr">
        <x:is>
          <x:t xml:space="preserve">Нет</x:t>
        </x:is>
      </x:c>
    </x:row>
    <x:row r="1300">
      <x:c r="A1300" s="31" t="inlineStr">
        <x:is>
          <x:t xml:space="preserve">ОП-001299</x:t>
        </x:is>
      </x:c>
      <x:c r="B1300" s="31" t="inlineStr">
        <x:is>
          <x:t xml:space="preserve">ПЗ-00157</x:t>
        </x:is>
      </x:c>
      <x:c r="C1300" s="31" t="inlineStr">
        <x:is>
          <x:t xml:space="preserve">ЗК-1074</x:t>
        </x:is>
      </x:c>
      <x:c r="D1300" s="31" t="inlineStr">
        <x:is>
          <x:t xml:space="preserve">ПОЗ-0074-2</x:t>
        </x:is>
      </x:c>
      <x:c r="E1300" s="31" t="inlineStr">
        <x:is>
          <x:t xml:space="preserve">ИЗД-017</x:t>
        </x:is>
      </x:c>
      <x:c r="F1300" s="31" t="n">
        <x:v>60</x:v>
      </x:c>
      <x:c r="G1300" s="31" t="inlineStr">
        <x:is>
          <x:t xml:space="preserve">Электромонтаж</x:t>
        </x:is>
      </x:c>
      <x:c r="H1300" s="31" t="inlineStr">
        <x:is>
          <x:t xml:space="preserve">Сборка</x:t>
        </x:is>
      </x:c>
      <x:c r="I1300" s="31" t="inlineStr">
        <x:is>
          <x:t xml:space="preserve">ОБ-034</x:t>
        </x:is>
      </x:c>
      <x:c r="J1300" s="31" t="inlineStr">
        <x:is>
          <x:t xml:space="preserve">СОТР-073</x:t>
        </x:is>
      </x:c>
      <x:c r="K1300" s="31" t="n">
        <x:v>13.2</x:v>
      </x:c>
      <x:c r="L1300" s="31" t="n">
        <x:v>15.8</x:v>
      </x:c>
      <x:c r="M1300" s="31" t="n">
        <x:v>46206</x:v>
      </x:c>
      <x:c r="N1300" s="31" t="n">
        <x:v>46208</x:v>
      </x:c>
      <x:c r="O1300" s="31" t="n">
        <x:v>46206</x:v>
      </x:c>
      <x:c r="P1300" s="31" t="n">
        <x:v>46209</x:v>
      </x:c>
      <x:c r="Q1300" s="31" t="inlineStr">
        <x:is>
          <x:t xml:space="preserve">Завершено</x:t>
        </x:is>
      </x:c>
      <x:c r="R1300" s="31" t="inlineStr">
        <x:is>
          <x:t xml:space="preserve">Нет</x:t>
        </x:is>
      </x:c>
      <x:c r="S1300" s="31" t="inlineStr">
        <x:is>
          <x:t xml:space="preserve">Да</x:t>
        </x:is>
      </x:c>
    </x:row>
    <x:row r="1301">
      <x:c r="A1301" s="31" t="inlineStr">
        <x:is>
          <x:t xml:space="preserve">ОП-001300</x:t>
        </x:is>
      </x:c>
      <x:c r="B1301" s="31" t="inlineStr">
        <x:is>
          <x:t xml:space="preserve">ПЗ-00157</x:t>
        </x:is>
      </x:c>
      <x:c r="C1301" s="31" t="inlineStr">
        <x:is>
          <x:t xml:space="preserve">ЗК-1074</x:t>
        </x:is>
      </x:c>
      <x:c r="D1301" s="31" t="inlineStr">
        <x:is>
          <x:t xml:space="preserve">ПОЗ-0074-2</x:t>
        </x:is>
      </x:c>
      <x:c r="E1301" s="31" t="inlineStr">
        <x:is>
          <x:t xml:space="preserve">ИЗД-017</x:t>
        </x:is>
      </x:c>
      <x:c r="F1301" s="31" t="n">
        <x:v>70</x:v>
      </x:c>
      <x:c r="G1301" s="31" t="inlineStr">
        <x:is>
          <x:t xml:space="preserve">Гидроиспытания</x:t>
        </x:is>
      </x:c>
      <x:c r="H1301" s="31" t="inlineStr">
        <x:is>
          <x:t xml:space="preserve">ОТК</x:t>
        </x:is>
      </x:c>
      <x:c r="I1301" s="31" t="inlineStr">
        <x:is>
          <x:t xml:space="preserve">ОБ-001</x:t>
        </x:is>
      </x:c>
      <x:c r="J1301" s="31" t="inlineStr">
        <x:is>
          <x:t xml:space="preserve">СОТР-092</x:t>
        </x:is>
      </x:c>
      <x:c r="K1301" s="31" t="n">
        <x:v>11.8</x:v>
      </x:c>
      <x:c r="L1301" s="31" t="n">
        <x:v>12.3</x:v>
      </x:c>
      <x:c r="M1301" s="31" t="n">
        <x:v>46208</x:v>
      </x:c>
      <x:c r="N1301" s="31" t="n">
        <x:v>46209</x:v>
      </x:c>
      <x:c r="O1301" s="31" t="n">
        <x:v>46208</x:v>
      </x:c>
      <x:c r="P1301" s="31" t="n">
        <x:v>46211</x:v>
      </x:c>
      <x:c r="Q1301" s="31" t="inlineStr">
        <x:is>
          <x:t xml:space="preserve">Завершено</x:t>
        </x:is>
      </x:c>
      <x:c r="R1301" s="31" t="inlineStr">
        <x:is>
          <x:t xml:space="preserve">Нет</x:t>
        </x:is>
      </x:c>
      <x:c r="S1301" s="31" t="inlineStr">
        <x:is>
          <x:t xml:space="preserve">Нет</x:t>
        </x:is>
      </x:c>
    </x:row>
    <x:row r="1302">
      <x:c r="A1302" s="31" t="inlineStr">
        <x:is>
          <x:t xml:space="preserve">ОП-001301</x:t>
        </x:is>
      </x:c>
      <x:c r="B1302" s="31" t="inlineStr">
        <x:is>
          <x:t xml:space="preserve">ПЗ-00157</x:t>
        </x:is>
      </x:c>
      <x:c r="C1302" s="31" t="inlineStr">
        <x:is>
          <x:t xml:space="preserve">ЗК-1074</x:t>
        </x:is>
      </x:c>
      <x:c r="D1302" s="31" t="inlineStr">
        <x:is>
          <x:t xml:space="preserve">ПОЗ-0074-2</x:t>
        </x:is>
      </x:c>
      <x:c r="E1302" s="31" t="inlineStr">
        <x:is>
          <x:t xml:space="preserve">ИЗД-017</x:t>
        </x:is>
      </x:c>
      <x:c r="F1302" s="31" t="n">
        <x:v>80</x:v>
      </x:c>
      <x:c r="G1302" s="31" t="inlineStr">
        <x:is>
          <x:t xml:space="preserve">ОТК</x:t>
        </x:is>
      </x:c>
      <x:c r="H1302" s="31" t="inlineStr">
        <x:is>
          <x:t xml:space="preserve">ОТК</x:t>
        </x:is>
      </x:c>
      <x:c r="I1302" s="31" t="inlineStr">
        <x:is>
          <x:t xml:space="preserve">ОБ-024</x:t>
        </x:is>
      </x:c>
      <x:c r="J1302" s="31" t="inlineStr">
        <x:is>
          <x:t xml:space="preserve">СОТР-098</x:t>
        </x:is>
      </x:c>
      <x:c r="K1302" s="31" t="n">
        <x:v>8.1</x:v>
      </x:c>
      <x:c r="L1302" s="31" t="n">
        <x:v>8.4</x:v>
      </x:c>
      <x:c r="M1302" s="31" t="n">
        <x:v>46209</x:v>
      </x:c>
      <x:c r="N1302" s="31" t="n">
        <x:v>46210</x:v>
      </x:c>
      <x:c r="O1302" s="31" t="n">
        <x:v>46209</x:v>
      </x:c>
      <x:c r="P1302" s="31" t="n">
        <x:v>46210</x:v>
      </x:c>
      <x:c r="Q1302" s="31" t="inlineStr">
        <x:is>
          <x:t xml:space="preserve">Завершено</x:t>
        </x:is>
      </x:c>
      <x:c r="R1302" s="31" t="inlineStr">
        <x:is>
          <x:t xml:space="preserve">Нет</x:t>
        </x:is>
      </x:c>
      <x:c r="S1302" s="31" t="inlineStr">
        <x:is>
          <x:t xml:space="preserve">Нет</x:t>
        </x:is>
      </x:c>
    </x:row>
    <x:row r="1303">
      <x:c r="A1303" s="31" t="inlineStr">
        <x:is>
          <x:t xml:space="preserve">ОП-001302</x:t>
        </x:is>
      </x:c>
      <x:c r="B1303" s="31" t="inlineStr">
        <x:is>
          <x:t xml:space="preserve">ПЗ-00157</x:t>
        </x:is>
      </x:c>
      <x:c r="C1303" s="31" t="inlineStr">
        <x:is>
          <x:t xml:space="preserve">ЗК-1074</x:t>
        </x:is>
      </x:c>
      <x:c r="D1303" s="31" t="inlineStr">
        <x:is>
          <x:t xml:space="preserve">ПОЗ-0074-2</x:t>
        </x:is>
      </x:c>
      <x:c r="E1303" s="31" t="inlineStr">
        <x:is>
          <x:t xml:space="preserve">ИЗД-017</x:t>
        </x:is>
      </x:c>
      <x:c r="F1303" s="31" t="n">
        <x:v>90</x:v>
      </x:c>
      <x:c r="G1303" s="31" t="inlineStr">
        <x:is>
          <x:t xml:space="preserve">Упаковка</x:t>
        </x:is>
      </x:c>
      <x:c r="H1303" s="31" t="inlineStr">
        <x:is>
          <x:t xml:space="preserve">Логистика</x:t>
        </x:is>
      </x:c>
      <x:c r="I1303" s="31" t="n"/>
      <x:c r="J1303" s="31" t="inlineStr">
        <x:is>
          <x:t xml:space="preserve">СОТР-101</x:t>
        </x:is>
      </x:c>
      <x:c r="K1303" s="31" t="n">
        <x:v>16.4</x:v>
      </x:c>
      <x:c r="L1303" s="31" t="n">
        <x:v>19.6</x:v>
      </x:c>
      <x:c r="M1303" s="31" t="n">
        <x:v>46210</x:v>
      </x:c>
      <x:c r="N1303" s="31" t="n">
        <x:v>46212</x:v>
      </x:c>
      <x:c r="O1303" s="31" t="n">
        <x:v>46210</x:v>
      </x:c>
      <x:c r="P1303" s="31" t="n">
        <x:v>46213</x:v>
      </x:c>
      <x:c r="Q1303" s="31" t="inlineStr">
        <x:is>
          <x:t xml:space="preserve">Завершено</x:t>
        </x:is>
      </x:c>
      <x:c r="R1303" s="31" t="inlineStr">
        <x:is>
          <x:t xml:space="preserve">Нет</x:t>
        </x:is>
      </x:c>
      <x:c r="S1303" s="31" t="inlineStr">
        <x:is>
          <x:t xml:space="preserve">Нет</x:t>
        </x:is>
      </x:c>
    </x:row>
    <x:row r="1304">
      <x:c r="A1304" s="31" t="inlineStr">
        <x:is>
          <x:t xml:space="preserve">ОП-001303</x:t>
        </x:is>
      </x:c>
      <x:c r="B1304" s="31" t="inlineStr">
        <x:is>
          <x:t xml:space="preserve">ПЗ-00158</x:t>
        </x:is>
      </x:c>
      <x:c r="C1304" s="31" t="inlineStr">
        <x:is>
          <x:t xml:space="preserve">ЗК-1074</x:t>
        </x:is>
      </x:c>
      <x:c r="D1304" s="31" t="inlineStr">
        <x:is>
          <x:t xml:space="preserve">ПОЗ-0074-3</x:t>
        </x:is>
      </x:c>
      <x:c r="E1304" s="31" t="inlineStr">
        <x:is>
          <x:t xml:space="preserve">ИЗД-022</x:t>
        </x:is>
      </x:c>
      <x:c r="F1304" s="31" t="n">
        <x:v>10</x:v>
      </x:c>
      <x:c r="G1304" s="31" t="inlineStr">
        <x:is>
          <x:t xml:space="preserve">КД</x:t>
        </x:is>
      </x:c>
      <x:c r="H1304" s="31" t="inlineStr">
        <x:is>
          <x:t xml:space="preserve">Инженерный отдел</x:t>
        </x:is>
      </x:c>
      <x:c r="I1304" s="31" t="n"/>
      <x:c r="J1304" s="31" t="inlineStr">
        <x:is>
          <x:t xml:space="preserve">СОТР-019</x:t>
        </x:is>
      </x:c>
      <x:c r="K1304" s="31" t="n">
        <x:v>36.8</x:v>
      </x:c>
      <x:c r="L1304" s="31" t="n">
        <x:v>34.4</x:v>
      </x:c>
      <x:c r="M1304" s="31" t="n">
        <x:v>46199</x:v>
      </x:c>
      <x:c r="N1304" s="31" t="n">
        <x:v>46203</x:v>
      </x:c>
      <x:c r="O1304" s="31" t="n">
        <x:v>46199</x:v>
      </x:c>
      <x:c r="P1304" s="31" t="n">
        <x:v>46204</x:v>
      </x:c>
      <x:c r="Q1304" s="31" t="inlineStr">
        <x:is>
          <x:t xml:space="preserve">Завершено</x:t>
        </x:is>
      </x:c>
      <x:c r="R1304" s="31" t="inlineStr">
        <x:is>
          <x:t xml:space="preserve">Нет</x:t>
        </x:is>
      </x:c>
      <x:c r="S1304" s="31" t="inlineStr">
        <x:is>
          <x:t xml:space="preserve">Нет</x:t>
        </x:is>
      </x:c>
    </x:row>
    <x:row r="1305">
      <x:c r="A1305" s="31" t="inlineStr">
        <x:is>
          <x:t xml:space="preserve">ОП-001304</x:t>
        </x:is>
      </x:c>
      <x:c r="B1305" s="31" t="inlineStr">
        <x:is>
          <x:t xml:space="preserve">ПЗ-00158</x:t>
        </x:is>
      </x:c>
      <x:c r="C1305" s="31" t="inlineStr">
        <x:is>
          <x:t xml:space="preserve">ЗК-1074</x:t>
        </x:is>
      </x:c>
      <x:c r="D1305" s="31" t="inlineStr">
        <x:is>
          <x:t xml:space="preserve">ПОЗ-0074-3</x:t>
        </x:is>
      </x:c>
      <x:c r="E1305" s="31" t="inlineStr">
        <x:is>
          <x:t xml:space="preserve">ИЗД-022</x:t>
        </x:is>
      </x:c>
      <x:c r="F1305" s="31" t="n">
        <x:v>20</x:v>
      </x:c>
      <x:c r="G1305" s="31" t="inlineStr">
        <x:is>
          <x:t xml:space="preserve">Резерв материалов</x:t>
        </x:is>
      </x:c>
      <x:c r="H1305" s="31" t="inlineStr">
        <x:is>
          <x:t xml:space="preserve">Склад</x:t>
        </x:is>
      </x:c>
      <x:c r="I1305" s="31" t="inlineStr">
        <x:is>
          <x:t xml:space="preserve">ОБ-009</x:t>
        </x:is>
      </x:c>
      <x:c r="J1305" s="31" t="inlineStr">
        <x:is>
          <x:t xml:space="preserve">СОТР-034</x:t>
        </x:is>
      </x:c>
      <x:c r="K1305" s="31" t="n">
        <x:v>32</x:v>
      </x:c>
      <x:c r="L1305" s="31" t="n">
        <x:v>26</x:v>
      </x:c>
      <x:c r="M1305" s="31" t="n">
        <x:v>46203</x:v>
      </x:c>
      <x:c r="N1305" s="31" t="n">
        <x:v>46206</x:v>
      </x:c>
      <x:c r="O1305" s="31" t="n">
        <x:v>46203</x:v>
      </x:c>
      <x:c r="P1305" s="31" t="n">
        <x:v>46206</x:v>
      </x:c>
      <x:c r="Q1305" s="31" t="inlineStr">
        <x:is>
          <x:t xml:space="preserve">Завершено</x:t>
        </x:is>
      </x:c>
      <x:c r="R1305" s="31" t="inlineStr">
        <x:is>
          <x:t xml:space="preserve">Нет</x:t>
        </x:is>
      </x:c>
      <x:c r="S1305" s="31" t="inlineStr">
        <x:is>
          <x:t xml:space="preserve">Нет</x:t>
        </x:is>
      </x:c>
    </x:row>
    <x:row r="1306">
      <x:c r="A1306" s="31" t="inlineStr">
        <x:is>
          <x:t xml:space="preserve">ОП-001305</x:t>
        </x:is>
      </x:c>
      <x:c r="B1306" s="31" t="inlineStr">
        <x:is>
          <x:t xml:space="preserve">ПЗ-00158</x:t>
        </x:is>
      </x:c>
      <x:c r="C1306" s="31" t="inlineStr">
        <x:is>
          <x:t xml:space="preserve">ЗК-1074</x:t>
        </x:is>
      </x:c>
      <x:c r="D1306" s="31" t="inlineStr">
        <x:is>
          <x:t xml:space="preserve">ПОЗ-0074-3</x:t>
        </x:is>
      </x:c>
      <x:c r="E1306" s="31" t="inlineStr">
        <x:is>
          <x:t xml:space="preserve">ИЗД-022</x:t>
        </x:is>
      </x:c>
      <x:c r="F1306" s="31" t="n">
        <x:v>30</x:v>
      </x:c>
      <x:c r="G1306" s="31" t="inlineStr">
        <x:is>
          <x:t xml:space="preserve">Сварка рамы</x:t>
        </x:is>
      </x:c>
      <x:c r="H1306" s="31" t="inlineStr">
        <x:is>
          <x:t xml:space="preserve">Сварка</x:t>
        </x:is>
      </x:c>
      <x:c r="I1306" s="31" t="inlineStr">
        <x:is>
          <x:t xml:space="preserve">ОБ-021</x:t>
        </x:is>
      </x:c>
      <x:c r="J1306" s="31" t="inlineStr">
        <x:is>
          <x:t xml:space="preserve">СОТР-059</x:t>
        </x:is>
      </x:c>
      <x:c r="K1306" s="31" t="n">
        <x:v>16</x:v>
      </x:c>
      <x:c r="L1306" s="31" t="n">
        <x:v>20.3</x:v>
      </x:c>
      <x:c r="M1306" s="31" t="n">
        <x:v>46206</x:v>
      </x:c>
      <x:c r="N1306" s="31" t="n">
        <x:v>46208</x:v>
      </x:c>
      <x:c r="O1306" s="31" t="n">
        <x:v>46206</x:v>
      </x:c>
      <x:c r="P1306" s="31" t="n">
        <x:v>46208</x:v>
      </x:c>
      <x:c r="Q1306" s="31" t="inlineStr">
        <x:is>
          <x:t xml:space="preserve">Завершено</x:t>
        </x:is>
      </x:c>
      <x:c r="R1306" s="31" t="inlineStr">
        <x:is>
          <x:t xml:space="preserve">Нет</x:t>
        </x:is>
      </x:c>
      <x:c r="S1306" s="31" t="inlineStr">
        <x:is>
          <x:t xml:space="preserve">Нет</x:t>
        </x:is>
      </x:c>
    </x:row>
    <x:row r="1307">
      <x:c r="A1307" s="31" t="inlineStr">
        <x:is>
          <x:t xml:space="preserve">ОП-001306</x:t>
        </x:is>
      </x:c>
      <x:c r="B1307" s="31" t="inlineStr">
        <x:is>
          <x:t xml:space="preserve">ПЗ-00158</x:t>
        </x:is>
      </x:c>
      <x:c r="C1307" s="31" t="inlineStr">
        <x:is>
          <x:t xml:space="preserve">ЗК-1074</x:t>
        </x:is>
      </x:c>
      <x:c r="D1307" s="31" t="inlineStr">
        <x:is>
          <x:t xml:space="preserve">ПОЗ-0074-3</x:t>
        </x:is>
      </x:c>
      <x:c r="E1307" s="31" t="inlineStr">
        <x:is>
          <x:t xml:space="preserve">ИЗД-022</x:t>
        </x:is>
      </x:c>
      <x:c r="F1307" s="31" t="n">
        <x:v>40</x:v>
      </x:c>
      <x:c r="G1307" s="31" t="inlineStr">
        <x:is>
          <x:t xml:space="preserve">Сборка</x:t>
        </x:is>
      </x:c>
      <x:c r="H1307" s="31" t="inlineStr">
        <x:is>
          <x:t xml:space="preserve">Сборка</x:t>
        </x:is>
      </x:c>
      <x:c r="I1307" s="31" t="inlineStr">
        <x:is>
          <x:t xml:space="preserve">ОБ-012</x:t>
        </x:is>
      </x:c>
      <x:c r="J1307" s="31" t="inlineStr">
        <x:is>
          <x:t xml:space="preserve">СОТР-090</x:t>
        </x:is>
      </x:c>
      <x:c r="K1307" s="31" t="n">
        <x:v>16</x:v>
      </x:c>
      <x:c r="L1307" s="31" t="n">
        <x:v>19.7</x:v>
      </x:c>
      <x:c r="M1307" s="31" t="n">
        <x:v>46208</x:v>
      </x:c>
      <x:c r="N1307" s="31" t="n">
        <x:v>46210</x:v>
      </x:c>
      <x:c r="O1307" s="31" t="n">
        <x:v>46208</x:v>
      </x:c>
      <x:c r="P1307" s="31" t="n">
        <x:v>46210</x:v>
      </x:c>
      <x:c r="Q1307" s="31" t="inlineStr">
        <x:is>
          <x:t xml:space="preserve">Завершено</x:t>
        </x:is>
      </x:c>
      <x:c r="R1307" s="31" t="inlineStr">
        <x:is>
          <x:t xml:space="preserve">Нет</x:t>
        </x:is>
      </x:c>
      <x:c r="S1307" s="31" t="inlineStr">
        <x:is>
          <x:t xml:space="preserve">Нет</x:t>
        </x:is>
      </x:c>
    </x:row>
    <x:row r="1308">
      <x:c r="A1308" s="31" t="inlineStr">
        <x:is>
          <x:t xml:space="preserve">ОП-001307</x:t>
        </x:is>
      </x:c>
      <x:c r="B1308" s="31" t="inlineStr">
        <x:is>
          <x:t xml:space="preserve">ПЗ-00158</x:t>
        </x:is>
      </x:c>
      <x:c r="C1308" s="31" t="inlineStr">
        <x:is>
          <x:t xml:space="preserve">ЗК-1074</x:t>
        </x:is>
      </x:c>
      <x:c r="D1308" s="31" t="inlineStr">
        <x:is>
          <x:t xml:space="preserve">ПОЗ-0074-3</x:t>
        </x:is>
      </x:c>
      <x:c r="E1308" s="31" t="inlineStr">
        <x:is>
          <x:t xml:space="preserve">ИЗД-022</x:t>
        </x:is>
      </x:c>
      <x:c r="F1308" s="31" t="n">
        <x:v>50</x:v>
      </x:c>
      <x:c r="G1308" s="31" t="inlineStr">
        <x:is>
          <x:t xml:space="preserve">Обвязка труб</x:t>
        </x:is>
      </x:c>
      <x:c r="H1308" s="31" t="inlineStr">
        <x:is>
          <x:t xml:space="preserve">Сборка</x:t>
        </x:is>
      </x:c>
      <x:c r="I1308" s="31" t="inlineStr">
        <x:is>
          <x:t xml:space="preserve">ОБ-034</x:t>
        </x:is>
      </x:c>
      <x:c r="J1308" s="31" t="inlineStr">
        <x:is>
          <x:t xml:space="preserve">СОТР-086</x:t>
        </x:is>
      </x:c>
      <x:c r="K1308" s="31" t="n">
        <x:v>31.6</x:v>
      </x:c>
      <x:c r="L1308" s="31" t="n">
        <x:v>29.8</x:v>
      </x:c>
      <x:c r="M1308" s="31" t="n">
        <x:v>46210</x:v>
      </x:c>
      <x:c r="N1308" s="31" t="n">
        <x:v>46213</x:v>
      </x:c>
      <x:c r="O1308" s="31" t="n">
        <x:v>46210</x:v>
      </x:c>
      <x:c r="P1308" s="31" t="n">
        <x:v>46214</x:v>
      </x:c>
      <x:c r="Q1308" s="31" t="inlineStr">
        <x:is>
          <x:t xml:space="preserve">Завершено</x:t>
        </x:is>
      </x:c>
      <x:c r="R1308" s="31" t="inlineStr">
        <x:is>
          <x:t xml:space="preserve">Нет</x:t>
        </x:is>
      </x:c>
      <x:c r="S1308" s="31" t="inlineStr">
        <x:is>
          <x:t xml:space="preserve">Нет</x:t>
        </x:is>
      </x:c>
    </x:row>
    <x:row r="1309">
      <x:c r="A1309" s="31" t="inlineStr">
        <x:is>
          <x:t xml:space="preserve">ОП-001308</x:t>
        </x:is>
      </x:c>
      <x:c r="B1309" s="31" t="inlineStr">
        <x:is>
          <x:t xml:space="preserve">ПЗ-00158</x:t>
        </x:is>
      </x:c>
      <x:c r="C1309" s="31" t="inlineStr">
        <x:is>
          <x:t xml:space="preserve">ЗК-1074</x:t>
        </x:is>
      </x:c>
      <x:c r="D1309" s="31" t="inlineStr">
        <x:is>
          <x:t xml:space="preserve">ПОЗ-0074-3</x:t>
        </x:is>
      </x:c>
      <x:c r="E1309" s="31" t="inlineStr">
        <x:is>
          <x:t xml:space="preserve">ИЗД-022</x:t>
        </x:is>
      </x:c>
      <x:c r="F1309" s="31" t="n">
        <x:v>60</x:v>
      </x:c>
      <x:c r="G1309" s="31" t="inlineStr">
        <x:is>
          <x:t xml:space="preserve">Электромонтаж</x:t>
        </x:is>
      </x:c>
      <x:c r="H1309" s="31" t="inlineStr">
        <x:is>
          <x:t xml:space="preserve">Сборка</x:t>
        </x:is>
      </x:c>
      <x:c r="I1309" s="31" t="inlineStr">
        <x:is>
          <x:t xml:space="preserve">ОБ-016</x:t>
        </x:is>
      </x:c>
      <x:c r="J1309" s="31" t="inlineStr">
        <x:is>
          <x:t xml:space="preserve">СОТР-077</x:t>
        </x:is>
      </x:c>
      <x:c r="K1309" s="31" t="n">
        <x:v>28</x:v>
      </x:c>
      <x:c r="L1309" s="31" t="n">
        <x:v>26.1</x:v>
      </x:c>
      <x:c r="M1309" s="31" t="n">
        <x:v>46213</x:v>
      </x:c>
      <x:c r="N1309" s="31" t="n">
        <x:v>46216</x:v>
      </x:c>
      <x:c r="O1309" s="31" t="n">
        <x:v>46213</x:v>
      </x:c>
      <x:c r="P1309" s="31" t="n">
        <x:v>46217</x:v>
      </x:c>
      <x:c r="Q1309" s="31" t="inlineStr">
        <x:is>
          <x:t xml:space="preserve">Завершено</x:t>
        </x:is>
      </x:c>
      <x:c r="R1309" s="31" t="inlineStr">
        <x:is>
          <x:t xml:space="preserve">Нет</x:t>
        </x:is>
      </x:c>
      <x:c r="S1309" s="31" t="inlineStr">
        <x:is>
          <x:t xml:space="preserve">Нет</x:t>
        </x:is>
      </x:c>
    </x:row>
    <x:row r="1310">
      <x:c r="A1310" s="31" t="inlineStr">
        <x:is>
          <x:t xml:space="preserve">ОП-001309</x:t>
        </x:is>
      </x:c>
      <x:c r="B1310" s="31" t="inlineStr">
        <x:is>
          <x:t xml:space="preserve">ПЗ-00158</x:t>
        </x:is>
      </x:c>
      <x:c r="C1310" s="31" t="inlineStr">
        <x:is>
          <x:t xml:space="preserve">ЗК-1074</x:t>
        </x:is>
      </x:c>
      <x:c r="D1310" s="31" t="inlineStr">
        <x:is>
          <x:t xml:space="preserve">ПОЗ-0074-3</x:t>
        </x:is>
      </x:c>
      <x:c r="E1310" s="31" t="inlineStr">
        <x:is>
          <x:t xml:space="preserve">ИЗД-022</x:t>
        </x:is>
      </x:c>
      <x:c r="F1310" s="31" t="n">
        <x:v>70</x:v>
      </x:c>
      <x:c r="G1310" s="31" t="inlineStr">
        <x:is>
          <x:t xml:space="preserve">Гидроиспытания</x:t>
        </x:is>
      </x:c>
      <x:c r="H1310" s="31" t="inlineStr">
        <x:is>
          <x:t xml:space="preserve">ОТК</x:t>
        </x:is>
      </x:c>
      <x:c r="I1310" s="31" t="inlineStr">
        <x:is>
          <x:t xml:space="preserve">ОБ-013</x:t>
        </x:is>
      </x:c>
      <x:c r="J1310" s="31" t="inlineStr">
        <x:is>
          <x:t xml:space="preserve">СОТР-099</x:t>
        </x:is>
      </x:c>
      <x:c r="K1310" s="31" t="n">
        <x:v>16.4</x:v>
      </x:c>
      <x:c r="L1310" s="31" t="n">
        <x:v>18.7</x:v>
      </x:c>
      <x:c r="M1310" s="31" t="n">
        <x:v>46216</x:v>
      </x:c>
      <x:c r="N1310" s="31" t="n">
        <x:v>46218</x:v>
      </x:c>
      <x:c r="O1310" s="31" t="n">
        <x:v>46216</x:v>
      </x:c>
      <x:c r="P1310" s="31" t="n">
        <x:v>46220</x:v>
      </x:c>
      <x:c r="Q1310" s="31" t="inlineStr">
        <x:is>
          <x:t xml:space="preserve">Завершено</x:t>
        </x:is>
      </x:c>
      <x:c r="R1310" s="31" t="inlineStr">
        <x:is>
          <x:t xml:space="preserve">Нет</x:t>
        </x:is>
      </x:c>
      <x:c r="S1310" s="31" t="inlineStr">
        <x:is>
          <x:t xml:space="preserve">Нет</x:t>
        </x:is>
      </x:c>
    </x:row>
    <x:row r="1311">
      <x:c r="A1311" s="31" t="inlineStr">
        <x:is>
          <x:t xml:space="preserve">ОП-001310</x:t>
        </x:is>
      </x:c>
      <x:c r="B1311" s="31" t="inlineStr">
        <x:is>
          <x:t xml:space="preserve">ПЗ-00158</x:t>
        </x:is>
      </x:c>
      <x:c r="C1311" s="31" t="inlineStr">
        <x:is>
          <x:t xml:space="preserve">ЗК-1074</x:t>
        </x:is>
      </x:c>
      <x:c r="D1311" s="31" t="inlineStr">
        <x:is>
          <x:t xml:space="preserve">ПОЗ-0074-3</x:t>
        </x:is>
      </x:c>
      <x:c r="E1311" s="31" t="inlineStr">
        <x:is>
          <x:t xml:space="preserve">ИЗД-022</x:t>
        </x:is>
      </x:c>
      <x:c r="F1311" s="31" t="n">
        <x:v>80</x:v>
      </x:c>
      <x:c r="G1311" s="31" t="inlineStr">
        <x:is>
          <x:t xml:space="preserve">ОТК</x:t>
        </x:is>
      </x:c>
      <x:c r="H1311" s="31" t="inlineStr">
        <x:is>
          <x:t xml:space="preserve">ОТК</x:t>
        </x:is>
      </x:c>
      <x:c r="I1311" s="31" t="inlineStr">
        <x:is>
          <x:t xml:space="preserve">ОБ-032</x:t>
        </x:is>
      </x:c>
      <x:c r="J1311" s="31" t="inlineStr">
        <x:is>
          <x:t xml:space="preserve">СОТР-093</x:t>
        </x:is>
      </x:c>
      <x:c r="K1311" s="31" t="n">
        <x:v>43.2</x:v>
      </x:c>
      <x:c r="L1311" s="31" t="n">
        <x:v>45.8</x:v>
      </x:c>
      <x:c r="M1311" s="31" t="n">
        <x:v>46218</x:v>
      </x:c>
      <x:c r="N1311" s="31" t="n">
        <x:v>46222</x:v>
      </x:c>
      <x:c r="O1311" s="31" t="n">
        <x:v>46218</x:v>
      </x:c>
      <x:c r="P1311" s="31" t="n">
        <x:v>46224</x:v>
      </x:c>
      <x:c r="Q1311" s="31" t="inlineStr">
        <x:is>
          <x:t xml:space="preserve">Завершено</x:t>
        </x:is>
      </x:c>
      <x:c r="R1311" s="31" t="inlineStr">
        <x:is>
          <x:t xml:space="preserve">Нет</x:t>
        </x:is>
      </x:c>
      <x:c r="S1311" s="31" t="inlineStr">
        <x:is>
          <x:t xml:space="preserve">Да</x:t>
        </x:is>
      </x:c>
    </x:row>
    <x:row r="1312">
      <x:c r="A1312" s="31" t="inlineStr">
        <x:is>
          <x:t xml:space="preserve">ОП-001311</x:t>
        </x:is>
      </x:c>
      <x:c r="B1312" s="31" t="inlineStr">
        <x:is>
          <x:t xml:space="preserve">ПЗ-00158</x:t>
        </x:is>
      </x:c>
      <x:c r="C1312" s="31" t="inlineStr">
        <x:is>
          <x:t xml:space="preserve">ЗК-1074</x:t>
        </x:is>
      </x:c>
      <x:c r="D1312" s="31" t="inlineStr">
        <x:is>
          <x:t xml:space="preserve">ПОЗ-0074-3</x:t>
        </x:is>
      </x:c>
      <x:c r="E1312" s="31" t="inlineStr">
        <x:is>
          <x:t xml:space="preserve">ИЗД-022</x:t>
        </x:is>
      </x:c>
      <x:c r="F1312" s="31" t="n">
        <x:v>90</x:v>
      </x:c>
      <x:c r="G1312" s="31" t="inlineStr">
        <x:is>
          <x:t xml:space="preserve">Упаковка</x:t>
        </x:is>
      </x:c>
      <x:c r="H1312" s="31" t="inlineStr">
        <x:is>
          <x:t xml:space="preserve">Логистика</x:t>
        </x:is>
      </x:c>
      <x:c r="I1312" s="31" t="n"/>
      <x:c r="J1312" s="31" t="inlineStr">
        <x:is>
          <x:t xml:space="preserve">СОТР-101</x:t>
        </x:is>
      </x:c>
      <x:c r="K1312" s="31" t="n">
        <x:v>24.8</x:v>
      </x:c>
      <x:c r="L1312" s="31" t="n">
        <x:v>28.7</x:v>
      </x:c>
      <x:c r="M1312" s="31" t="n">
        <x:v>46222</x:v>
      </x:c>
      <x:c r="N1312" s="31" t="n">
        <x:v>46225</x:v>
      </x:c>
      <x:c r="O1312" s="31" t="n">
        <x:v>46222</x:v>
      </x:c>
      <x:c r="P1312" s="31" t="n">
        <x:v>46226</x:v>
      </x:c>
      <x:c r="Q1312" s="31" t="inlineStr">
        <x:is>
          <x:t xml:space="preserve">Завершено</x:t>
        </x:is>
      </x:c>
      <x:c r="R1312" s="31" t="inlineStr">
        <x:is>
          <x:t xml:space="preserve">Нет</x:t>
        </x:is>
      </x:c>
      <x:c r="S1312" s="31" t="inlineStr">
        <x:is>
          <x:t xml:space="preserve">Нет</x:t>
        </x:is>
      </x:c>
    </x:row>
    <x:row r="1313">
      <x:c r="A1313" s="31" t="inlineStr">
        <x:is>
          <x:t xml:space="preserve">ОП-001312</x:t>
        </x:is>
      </x:c>
      <x:c r="B1313" s="31" t="inlineStr">
        <x:is>
          <x:t xml:space="preserve">ПЗ-00159</x:t>
        </x:is>
      </x:c>
      <x:c r="C1313" s="31" t="inlineStr">
        <x:is>
          <x:t xml:space="preserve">ЗК-1074</x:t>
        </x:is>
      </x:c>
      <x:c r="D1313" s="31" t="inlineStr">
        <x:is>
          <x:t xml:space="preserve">ПОЗ-0074-4</x:t>
        </x:is>
      </x:c>
      <x:c r="E1313" s="31" t="inlineStr">
        <x:is>
          <x:t xml:space="preserve">ИЗД-019</x:t>
        </x:is>
      </x:c>
      <x:c r="F1313" s="31" t="n">
        <x:v>10</x:v>
      </x:c>
      <x:c r="G1313" s="31" t="inlineStr">
        <x:is>
          <x:t xml:space="preserve">КД</x:t>
        </x:is>
      </x:c>
      <x:c r="H1313" s="31" t="inlineStr">
        <x:is>
          <x:t xml:space="preserve">Инженерный отдел</x:t>
        </x:is>
      </x:c>
      <x:c r="I1313" s="31" t="n"/>
      <x:c r="J1313" s="31" t="inlineStr">
        <x:is>
          <x:t xml:space="preserve">СОТР-020</x:t>
        </x:is>
      </x:c>
      <x:c r="K1313" s="31" t="n">
        <x:v>25.2</x:v>
      </x:c>
      <x:c r="L1313" s="31" t="n">
        <x:v>22.1</x:v>
      </x:c>
      <x:c r="M1313" s="31" t="n">
        <x:v>46187</x:v>
      </x:c>
      <x:c r="N1313" s="31" t="n">
        <x:v>46190</x:v>
      </x:c>
      <x:c r="O1313" s="31" t="n">
        <x:v>46187</x:v>
      </x:c>
      <x:c r="P1313" s="31" t="n">
        <x:v>46191</x:v>
      </x:c>
      <x:c r="Q1313" s="31" t="inlineStr">
        <x:is>
          <x:t xml:space="preserve">Завершено</x:t>
        </x:is>
      </x:c>
      <x:c r="R1313" s="31" t="inlineStr">
        <x:is>
          <x:t xml:space="preserve">Ожидание ОТК</x:t>
        </x:is>
      </x:c>
      <x:c r="S1313" s="31" t="inlineStr">
        <x:is>
          <x:t xml:space="preserve">Нет</x:t>
        </x:is>
      </x:c>
    </x:row>
    <x:row r="1314">
      <x:c r="A1314" s="31" t="inlineStr">
        <x:is>
          <x:t xml:space="preserve">ОП-001313</x:t>
        </x:is>
      </x:c>
      <x:c r="B1314" s="31" t="inlineStr">
        <x:is>
          <x:t xml:space="preserve">ПЗ-00159</x:t>
        </x:is>
      </x:c>
      <x:c r="C1314" s="31" t="inlineStr">
        <x:is>
          <x:t xml:space="preserve">ЗК-1074</x:t>
        </x:is>
      </x:c>
      <x:c r="D1314" s="31" t="inlineStr">
        <x:is>
          <x:t xml:space="preserve">ПОЗ-0074-4</x:t>
        </x:is>
      </x:c>
      <x:c r="E1314" s="31" t="inlineStr">
        <x:is>
          <x:t xml:space="preserve">ИЗД-019</x:t>
        </x:is>
      </x:c>
      <x:c r="F1314" s="31" t="n">
        <x:v>20</x:v>
      </x:c>
      <x:c r="G1314" s="31" t="inlineStr">
        <x:is>
          <x:t xml:space="preserve">Резерв материалов</x:t>
        </x:is>
      </x:c>
      <x:c r="H1314" s="31" t="inlineStr">
        <x:is>
          <x:t xml:space="preserve">Склад</x:t>
        </x:is>
      </x:c>
      <x:c r="I1314" s="31" t="inlineStr">
        <x:is>
          <x:t xml:space="preserve">ОБ-009</x:t>
        </x:is>
      </x:c>
      <x:c r="J1314" s="31" t="inlineStr">
        <x:is>
          <x:t xml:space="preserve">СОТР-033</x:t>
        </x:is>
      </x:c>
      <x:c r="K1314" s="31" t="n">
        <x:v>15</x:v>
      </x:c>
      <x:c r="L1314" s="31" t="n">
        <x:v>19.3</x:v>
      </x:c>
      <x:c r="M1314" s="31" t="n">
        <x:v>46190</x:v>
      </x:c>
      <x:c r="N1314" s="31" t="n">
        <x:v>46192</x:v>
      </x:c>
      <x:c r="O1314" s="31" t="n">
        <x:v>46190</x:v>
      </x:c>
      <x:c r="P1314" s="31" t="n">
        <x:v>46192</x:v>
      </x:c>
      <x:c r="Q1314" s="31" t="inlineStr">
        <x:is>
          <x:t xml:space="preserve">Завершено</x:t>
        </x:is>
      </x:c>
      <x:c r="R1314" s="31" t="inlineStr">
        <x:is>
          <x:t xml:space="preserve">Нет</x:t>
        </x:is>
      </x:c>
      <x:c r="S1314" s="31" t="inlineStr">
        <x:is>
          <x:t xml:space="preserve">Нет</x:t>
        </x:is>
      </x:c>
    </x:row>
    <x:row r="1315">
      <x:c r="A1315" s="31" t="inlineStr">
        <x:is>
          <x:t xml:space="preserve">ОП-001314</x:t>
        </x:is>
      </x:c>
      <x:c r="B1315" s="31" t="inlineStr">
        <x:is>
          <x:t xml:space="preserve">ПЗ-00159</x:t>
        </x:is>
      </x:c>
      <x:c r="C1315" s="31" t="inlineStr">
        <x:is>
          <x:t xml:space="preserve">ЗК-1074</x:t>
        </x:is>
      </x:c>
      <x:c r="D1315" s="31" t="inlineStr">
        <x:is>
          <x:t xml:space="preserve">ПОЗ-0074-4</x:t>
        </x:is>
      </x:c>
      <x:c r="E1315" s="31" t="inlineStr">
        <x:is>
          <x:t xml:space="preserve">ИЗД-019</x:t>
        </x:is>
      </x:c>
      <x:c r="F1315" s="31" t="n">
        <x:v>30</x:v>
      </x:c>
      <x:c r="G1315" s="31" t="inlineStr">
        <x:is>
          <x:t xml:space="preserve">Резка металла</x:t>
        </x:is>
      </x:c>
      <x:c r="H1315" s="31" t="inlineStr">
        <x:is>
          <x:t xml:space="preserve">Сварка</x:t>
        </x:is>
      </x:c>
      <x:c r="I1315" s="31" t="inlineStr">
        <x:is>
          <x:t xml:space="preserve">ОБ-004</x:t>
        </x:is>
      </x:c>
      <x:c r="J1315" s="31" t="inlineStr">
        <x:is>
          <x:t xml:space="preserve">СОТР-061</x:t>
        </x:is>
      </x:c>
      <x:c r="K1315" s="31" t="n">
        <x:v>8.699999999999999</x:v>
      </x:c>
      <x:c r="L1315" s="31" t="n">
        <x:v>11.1</x:v>
      </x:c>
      <x:c r="M1315" s="31" t="n">
        <x:v>46192</x:v>
      </x:c>
      <x:c r="N1315" s="31" t="n">
        <x:v>46193</x:v>
      </x:c>
      <x:c r="O1315" s="31" t="n">
        <x:v>46192</x:v>
      </x:c>
      <x:c r="P1315" s="31" t="n">
        <x:v>46194</x:v>
      </x:c>
      <x:c r="Q1315" s="31" t="inlineStr">
        <x:is>
          <x:t xml:space="preserve">Завершено</x:t>
        </x:is>
      </x:c>
      <x:c r="R1315" s="31" t="inlineStr">
        <x:is>
          <x:t xml:space="preserve">Нет</x:t>
        </x:is>
      </x:c>
      <x:c r="S1315" s="31" t="inlineStr">
        <x:is>
          <x:t xml:space="preserve">Нет</x:t>
        </x:is>
      </x:c>
    </x:row>
    <x:row r="1316">
      <x:c r="A1316" s="31" t="inlineStr">
        <x:is>
          <x:t xml:space="preserve">ОП-001315</x:t>
        </x:is>
      </x:c>
      <x:c r="B1316" s="31" t="inlineStr">
        <x:is>
          <x:t xml:space="preserve">ПЗ-00159</x:t>
        </x:is>
      </x:c>
      <x:c r="C1316" s="31" t="inlineStr">
        <x:is>
          <x:t xml:space="preserve">ЗК-1074</x:t>
        </x:is>
      </x:c>
      <x:c r="D1316" s="31" t="inlineStr">
        <x:is>
          <x:t xml:space="preserve">ПОЗ-0074-4</x:t>
        </x:is>
      </x:c>
      <x:c r="E1316" s="31" t="inlineStr">
        <x:is>
          <x:t xml:space="preserve">ИЗД-019</x:t>
        </x:is>
      </x:c>
      <x:c r="F1316" s="31" t="n">
        <x:v>40</x:v>
      </x:c>
      <x:c r="G1316" s="31" t="inlineStr">
        <x:is>
          <x:t xml:space="preserve">Сварка рамы</x:t>
        </x:is>
      </x:c>
      <x:c r="H1316" s="31" t="inlineStr">
        <x:is>
          <x:t xml:space="preserve">Сварка</x:t>
        </x:is>
      </x:c>
      <x:c r="I1316" s="31" t="inlineStr">
        <x:is>
          <x:t xml:space="preserve">ОБ-003</x:t>
        </x:is>
      </x:c>
      <x:c r="J1316" s="31" t="inlineStr">
        <x:is>
          <x:t xml:space="preserve">СОТР-061</x:t>
        </x:is>
      </x:c>
      <x:c r="K1316" s="31" t="n">
        <x:v>9.6</x:v>
      </x:c>
      <x:c r="L1316" s="31" t="n">
        <x:v>12.4</x:v>
      </x:c>
      <x:c r="M1316" s="31" t="n">
        <x:v>46193</x:v>
      </x:c>
      <x:c r="N1316" s="31" t="n">
        <x:v>46194</x:v>
      </x:c>
      <x:c r="O1316" s="31" t="n">
        <x:v>46193</x:v>
      </x:c>
      <x:c r="P1316" s="31" t="n">
        <x:v>46194</x:v>
      </x:c>
      <x:c r="Q1316" s="31" t="inlineStr">
        <x:is>
          <x:t xml:space="preserve">Завершено</x:t>
        </x:is>
      </x:c>
      <x:c r="R1316" s="31" t="inlineStr">
        <x:is>
          <x:t xml:space="preserve">Нет</x:t>
        </x:is>
      </x:c>
      <x:c r="S1316" s="31" t="inlineStr">
        <x:is>
          <x:t xml:space="preserve">Да</x:t>
        </x:is>
      </x:c>
    </x:row>
    <x:row r="1317">
      <x:c r="A1317" s="31" t="inlineStr">
        <x:is>
          <x:t xml:space="preserve">ОП-001316</x:t>
        </x:is>
      </x:c>
      <x:c r="B1317" s="31" t="inlineStr">
        <x:is>
          <x:t xml:space="preserve">ПЗ-00159</x:t>
        </x:is>
      </x:c>
      <x:c r="C1317" s="31" t="inlineStr">
        <x:is>
          <x:t xml:space="preserve">ЗК-1074</x:t>
        </x:is>
      </x:c>
      <x:c r="D1317" s="31" t="inlineStr">
        <x:is>
          <x:t xml:space="preserve">ПОЗ-0074-4</x:t>
        </x:is>
      </x:c>
      <x:c r="E1317" s="31" t="inlineStr">
        <x:is>
          <x:t xml:space="preserve">ИЗД-019</x:t>
        </x:is>
      </x:c>
      <x:c r="F1317" s="31" t="n">
        <x:v>50</x:v>
      </x:c>
      <x:c r="G1317" s="31" t="inlineStr">
        <x:is>
          <x:t xml:space="preserve">Механообработка</x:t>
        </x:is>
      </x:c>
      <x:c r="H1317" s="31" t="inlineStr">
        <x:is>
          <x:t xml:space="preserve">Механообработка</x:t>
        </x:is>
      </x:c>
      <x:c r="I1317" s="31" t="inlineStr">
        <x:is>
          <x:t xml:space="preserve">ОБ-031</x:t>
        </x:is>
      </x:c>
      <x:c r="J1317" s="31" t="inlineStr">
        <x:is>
          <x:t xml:space="preserve">СОТР-049</x:t>
        </x:is>
      </x:c>
      <x:c r="K1317" s="31" t="n">
        <x:v>11.1</x:v>
      </x:c>
      <x:c r="L1317" s="31" t="n">
        <x:v>12.4</x:v>
      </x:c>
      <x:c r="M1317" s="31" t="n">
        <x:v>46194</x:v>
      </x:c>
      <x:c r="N1317" s="31" t="n">
        <x:v>46195</x:v>
      </x:c>
      <x:c r="O1317" s="31" t="n">
        <x:v>46194</x:v>
      </x:c>
      <x:c r="P1317" s="31" t="n">
        <x:v>46197</x:v>
      </x:c>
      <x:c r="Q1317" s="31" t="inlineStr">
        <x:is>
          <x:t xml:space="preserve">Завершено</x:t>
        </x:is>
      </x:c>
      <x:c r="R1317" s="31" t="inlineStr">
        <x:is>
          <x:t xml:space="preserve">Нет</x:t>
        </x:is>
      </x:c>
      <x:c r="S1317" s="31" t="inlineStr">
        <x:is>
          <x:t xml:space="preserve">Нет</x:t>
        </x:is>
      </x:c>
    </x:row>
    <x:row r="1318">
      <x:c r="A1318" s="31" t="inlineStr">
        <x:is>
          <x:t xml:space="preserve">ОП-001317</x:t>
        </x:is>
      </x:c>
      <x:c r="B1318" s="31" t="inlineStr">
        <x:is>
          <x:t xml:space="preserve">ПЗ-00159</x:t>
        </x:is>
      </x:c>
      <x:c r="C1318" s="31" t="inlineStr">
        <x:is>
          <x:t xml:space="preserve">ЗК-1074</x:t>
        </x:is>
      </x:c>
      <x:c r="D1318" s="31" t="inlineStr">
        <x:is>
          <x:t xml:space="preserve">ПОЗ-0074-4</x:t>
        </x:is>
      </x:c>
      <x:c r="E1318" s="31" t="inlineStr">
        <x:is>
          <x:t xml:space="preserve">ИЗД-019</x:t>
        </x:is>
      </x:c>
      <x:c r="F1318" s="31" t="n">
        <x:v>60</x:v>
      </x:c>
      <x:c r="G1318" s="31" t="inlineStr">
        <x:is>
          <x:t xml:space="preserve">Сборка</x:t>
        </x:is>
      </x:c>
      <x:c r="H1318" s="31" t="inlineStr">
        <x:is>
          <x:t xml:space="preserve">Сборка</x:t>
        </x:is>
      </x:c>
      <x:c r="I1318" s="31" t="inlineStr">
        <x:is>
          <x:t xml:space="preserve">ОБ-017</x:t>
        </x:is>
      </x:c>
      <x:c r="J1318" s="31" t="inlineStr">
        <x:is>
          <x:t xml:space="preserve">СОТР-080</x:t>
        </x:is>
      </x:c>
      <x:c r="K1318" s="31" t="n">
        <x:v>6.3</x:v>
      </x:c>
      <x:c r="L1318" s="31" t="n">
        <x:v>5.1</x:v>
      </x:c>
      <x:c r="M1318" s="31" t="n">
        <x:v>46195</x:v>
      </x:c>
      <x:c r="N1318" s="31" t="n">
        <x:v>46196</x:v>
      </x:c>
      <x:c r="O1318" s="31" t="n">
        <x:v>46195</x:v>
      </x:c>
      <x:c r="P1318" s="31" t="n">
        <x:v>46195</x:v>
      </x:c>
      <x:c r="Q1318" s="31" t="inlineStr">
        <x:is>
          <x:t xml:space="preserve">Завершено</x:t>
        </x:is>
      </x:c>
      <x:c r="R1318" s="31" t="inlineStr">
        <x:is>
          <x:t xml:space="preserve">Нет</x:t>
        </x:is>
      </x:c>
      <x:c r="S1318" s="31" t="inlineStr">
        <x:is>
          <x:t xml:space="preserve">Нет</x:t>
        </x:is>
      </x:c>
    </x:row>
    <x:row r="1319">
      <x:c r="A1319" s="31" t="inlineStr">
        <x:is>
          <x:t xml:space="preserve">ОП-001318</x:t>
        </x:is>
      </x:c>
      <x:c r="B1319" s="31" t="inlineStr">
        <x:is>
          <x:t xml:space="preserve">ПЗ-00159</x:t>
        </x:is>
      </x:c>
      <x:c r="C1319" s="31" t="inlineStr">
        <x:is>
          <x:t xml:space="preserve">ЗК-1074</x:t>
        </x:is>
      </x:c>
      <x:c r="D1319" s="31" t="inlineStr">
        <x:is>
          <x:t xml:space="preserve">ПОЗ-0074-4</x:t>
        </x:is>
      </x:c>
      <x:c r="E1319" s="31" t="inlineStr">
        <x:is>
          <x:t xml:space="preserve">ИЗД-019</x:t>
        </x:is>
      </x:c>
      <x:c r="F1319" s="31" t="n">
        <x:v>70</x:v>
      </x:c>
      <x:c r="G1319" s="31" t="inlineStr">
        <x:is>
          <x:t xml:space="preserve">Электромонтаж</x:t>
        </x:is>
      </x:c>
      <x:c r="H1319" s="31" t="inlineStr">
        <x:is>
          <x:t xml:space="preserve">Сборка</x:t>
        </x:is>
      </x:c>
      <x:c r="I1319" s="31" t="inlineStr">
        <x:is>
          <x:t xml:space="preserve">ОБ-027</x:t>
        </x:is>
      </x:c>
      <x:c r="J1319" s="31" t="inlineStr">
        <x:is>
          <x:t xml:space="preserve">СОТР-083</x:t>
        </x:is>
      </x:c>
      <x:c r="K1319" s="31" t="n">
        <x:v>13.2</x:v>
      </x:c>
      <x:c r="L1319" s="31" t="n">
        <x:v>12.1</x:v>
      </x:c>
      <x:c r="M1319" s="31" t="n">
        <x:v>46196</x:v>
      </x:c>
      <x:c r="N1319" s="31" t="n">
        <x:v>46198</x:v>
      </x:c>
      <x:c r="O1319" s="31" t="n">
        <x:v>46196</x:v>
      </x:c>
      <x:c r="P1319" s="31" t="n">
        <x:v>46198</x:v>
      </x:c>
      <x:c r="Q1319" s="31" t="inlineStr">
        <x:is>
          <x:t xml:space="preserve">Завершено</x:t>
        </x:is>
      </x:c>
      <x:c r="R1319" s="31" t="inlineStr">
        <x:is>
          <x:t xml:space="preserve">Нет</x:t>
        </x:is>
      </x:c>
      <x:c r="S1319" s="31" t="inlineStr">
        <x:is>
          <x:t xml:space="preserve">Нет</x:t>
        </x:is>
      </x:c>
    </x:row>
    <x:row r="1320">
      <x:c r="A1320" s="31" t="inlineStr">
        <x:is>
          <x:t xml:space="preserve">ОП-001319</x:t>
        </x:is>
      </x:c>
      <x:c r="B1320" s="31" t="inlineStr">
        <x:is>
          <x:t xml:space="preserve">ПЗ-00159</x:t>
        </x:is>
      </x:c>
      <x:c r="C1320" s="31" t="inlineStr">
        <x:is>
          <x:t xml:space="preserve">ЗК-1074</x:t>
        </x:is>
      </x:c>
      <x:c r="D1320" s="31" t="inlineStr">
        <x:is>
          <x:t xml:space="preserve">ПОЗ-0074-4</x:t>
        </x:is>
      </x:c>
      <x:c r="E1320" s="31" t="inlineStr">
        <x:is>
          <x:t xml:space="preserve">ИЗД-019</x:t>
        </x:is>
      </x:c>
      <x:c r="F1320" s="31" t="n">
        <x:v>80</x:v>
      </x:c>
      <x:c r="G1320" s="31" t="inlineStr">
        <x:is>
          <x:t xml:space="preserve">Гидроиспытания</x:t>
        </x:is>
      </x:c>
      <x:c r="H1320" s="31" t="inlineStr">
        <x:is>
          <x:t xml:space="preserve">ОТК</x:t>
        </x:is>
      </x:c>
      <x:c r="I1320" s="31" t="inlineStr">
        <x:is>
          <x:t xml:space="preserve">ОБ-028</x:t>
        </x:is>
      </x:c>
      <x:c r="J1320" s="31" t="inlineStr">
        <x:is>
          <x:t xml:space="preserve">СОТР-098</x:t>
        </x:is>
      </x:c>
      <x:c r="K1320" s="31" t="n">
        <x:v>13.2</x:v>
      </x:c>
      <x:c r="L1320" s="31" t="n">
        <x:v>17.2</x:v>
      </x:c>
      <x:c r="M1320" s="31" t="n">
        <x:v>46198</x:v>
      </x:c>
      <x:c r="N1320" s="31" t="n">
        <x:v>46200</x:v>
      </x:c>
      <x:c r="O1320" s="31" t="n">
        <x:v>46198</x:v>
      </x:c>
      <x:c r="P1320" s="31" t="n">
        <x:v>46200</x:v>
      </x:c>
      <x:c r="Q1320" s="31" t="inlineStr">
        <x:is>
          <x:t xml:space="preserve">Завершено</x:t>
        </x:is>
      </x:c>
      <x:c r="R1320" s="31" t="inlineStr">
        <x:is>
          <x:t xml:space="preserve">Нет</x:t>
        </x:is>
      </x:c>
      <x:c r="S1320" s="31" t="inlineStr">
        <x:is>
          <x:t xml:space="preserve">Нет</x:t>
        </x:is>
      </x:c>
    </x:row>
    <x:row r="1321">
      <x:c r="A1321" s="31" t="inlineStr">
        <x:is>
          <x:t xml:space="preserve">ОП-001320</x:t>
        </x:is>
      </x:c>
      <x:c r="B1321" s="31" t="inlineStr">
        <x:is>
          <x:t xml:space="preserve">ПЗ-00159</x:t>
        </x:is>
      </x:c>
      <x:c r="C1321" s="31" t="inlineStr">
        <x:is>
          <x:t xml:space="preserve">ЗК-1074</x:t>
        </x:is>
      </x:c>
      <x:c r="D1321" s="31" t="inlineStr">
        <x:is>
          <x:t xml:space="preserve">ПОЗ-0074-4</x:t>
        </x:is>
      </x:c>
      <x:c r="E1321" s="31" t="inlineStr">
        <x:is>
          <x:t xml:space="preserve">ИЗД-019</x:t>
        </x:is>
      </x:c>
      <x:c r="F1321" s="31" t="n">
        <x:v>90</x:v>
      </x:c>
      <x:c r="G1321" s="31" t="inlineStr">
        <x:is>
          <x:t xml:space="preserve">ОТК</x:t>
        </x:is>
      </x:c>
      <x:c r="H1321" s="31" t="inlineStr">
        <x:is>
          <x:t xml:space="preserve">ОТК</x:t>
        </x:is>
      </x:c>
      <x:c r="I1321" s="31" t="inlineStr">
        <x:is>
          <x:t xml:space="preserve">ОБ-024</x:t>
        </x:is>
      </x:c>
      <x:c r="J1321" s="31" t="inlineStr">
        <x:is>
          <x:t xml:space="preserve">СОТР-095</x:t>
        </x:is>
      </x:c>
      <x:c r="K1321" s="31" t="n">
        <x:v>9.9</x:v>
      </x:c>
      <x:c r="L1321" s="31" t="n">
        <x:v>13</x:v>
      </x:c>
      <x:c r="M1321" s="31" t="n">
        <x:v>46200</x:v>
      </x:c>
      <x:c r="N1321" s="31" t="n">
        <x:v>46201</x:v>
      </x:c>
      <x:c r="O1321" s="31" t="n">
        <x:v>46200</x:v>
      </x:c>
      <x:c r="P1321" s="31" t="n">
        <x:v>46201</x:v>
      </x:c>
      <x:c r="Q1321" s="31" t="inlineStr">
        <x:is>
          <x:t xml:space="preserve">Завершено</x:t>
        </x:is>
      </x:c>
      <x:c r="R1321" s="31" t="inlineStr">
        <x:is>
          <x:t xml:space="preserve">Нет</x:t>
        </x:is>
      </x:c>
      <x:c r="S1321" s="31" t="inlineStr">
        <x:is>
          <x:t xml:space="preserve">Нет</x:t>
        </x:is>
      </x:c>
    </x:row>
    <x:row r="1322">
      <x:c r="A1322" s="31" t="inlineStr">
        <x:is>
          <x:t xml:space="preserve">ОП-001321</x:t>
        </x:is>
      </x:c>
      <x:c r="B1322" s="31" t="inlineStr">
        <x:is>
          <x:t xml:space="preserve">ПЗ-00159</x:t>
        </x:is>
      </x:c>
      <x:c r="C1322" s="31" t="inlineStr">
        <x:is>
          <x:t xml:space="preserve">ЗК-1074</x:t>
        </x:is>
      </x:c>
      <x:c r="D1322" s="31" t="inlineStr">
        <x:is>
          <x:t xml:space="preserve">ПОЗ-0074-4</x:t>
        </x:is>
      </x:c>
      <x:c r="E1322" s="31" t="inlineStr">
        <x:is>
          <x:t xml:space="preserve">ИЗД-019</x:t>
        </x:is>
      </x:c>
      <x:c r="F1322" s="31" t="n">
        <x:v>100</x:v>
      </x:c>
      <x:c r="G1322" s="31" t="inlineStr">
        <x:is>
          <x:t xml:space="preserve">Упаковка</x:t>
        </x:is>
      </x:c>
      <x:c r="H1322" s="31" t="inlineStr">
        <x:is>
          <x:t xml:space="preserve">Логистика</x:t>
        </x:is>
      </x:c>
      <x:c r="I1322" s="31" t="n"/>
      <x:c r="J1322" s="31" t="inlineStr">
        <x:is>
          <x:t xml:space="preserve">СОТР-105</x:t>
        </x:is>
      </x:c>
      <x:c r="K1322" s="31" t="n">
        <x:v>14.1</x:v>
      </x:c>
      <x:c r="L1322" s="31" t="n">
        <x:v>14.4</x:v>
      </x:c>
      <x:c r="M1322" s="31" t="n">
        <x:v>46201</x:v>
      </x:c>
      <x:c r="N1322" s="31" t="n">
        <x:v>46203</x:v>
      </x:c>
      <x:c r="O1322" s="31" t="n">
        <x:v>46201</x:v>
      </x:c>
      <x:c r="P1322" s="31" t="n">
        <x:v>46205</x:v>
      </x:c>
      <x:c r="Q1322" s="31" t="inlineStr">
        <x:is>
          <x:t xml:space="preserve">Завершено</x:t>
        </x:is>
      </x:c>
      <x:c r="R1322" s="31" t="inlineStr">
        <x:is>
          <x:t xml:space="preserve">Нет</x:t>
        </x:is>
      </x:c>
      <x:c r="S1322" s="31" t="inlineStr">
        <x:is>
          <x:t xml:space="preserve">Нет</x:t>
        </x:is>
      </x:c>
    </x:row>
    <x:row r="1323">
      <x:c r="A1323" s="31" t="inlineStr">
        <x:is>
          <x:t xml:space="preserve">ОП-001322</x:t>
        </x:is>
      </x:c>
      <x:c r="B1323" s="31" t="inlineStr">
        <x:is>
          <x:t xml:space="preserve">ПЗ-00160</x:t>
        </x:is>
      </x:c>
      <x:c r="C1323" s="31" t="inlineStr">
        <x:is>
          <x:t xml:space="preserve">ЗК-1075</x:t>
        </x:is>
      </x:c>
      <x:c r="D1323" s="31" t="inlineStr">
        <x:is>
          <x:t xml:space="preserve">ПОЗ-0075-1</x:t>
        </x:is>
      </x:c>
      <x:c r="E1323" s="31" t="inlineStr">
        <x:is>
          <x:t xml:space="preserve">ИЗД-022</x:t>
        </x:is>
      </x:c>
      <x:c r="F1323" s="31" t="n">
        <x:v>10</x:v>
      </x:c>
      <x:c r="G1323" s="31" t="inlineStr">
        <x:is>
          <x:t xml:space="preserve">КД</x:t>
        </x:is>
      </x:c>
      <x:c r="H1323" s="31" t="inlineStr">
        <x:is>
          <x:t xml:space="preserve">Инженерный отдел</x:t>
        </x:is>
      </x:c>
      <x:c r="I1323" s="31" t="n"/>
      <x:c r="J1323" s="31" t="inlineStr">
        <x:is>
          <x:t xml:space="preserve">СОТР-015</x:t>
        </x:is>
      </x:c>
      <x:c r="K1323" s="31" t="n">
        <x:v>18.4</x:v>
      </x:c>
      <x:c r="L1323" s="31" t="n">
        <x:v>15.6</x:v>
      </x:c>
      <x:c r="M1323" s="31" t="n">
        <x:v>46170</x:v>
      </x:c>
      <x:c r="N1323" s="31" t="n">
        <x:v>46172</x:v>
      </x:c>
      <x:c r="O1323" s="31" t="n">
        <x:v>46170</x:v>
      </x:c>
      <x:c r="P1323" s="31" t="n">
        <x:v>46173</x:v>
      </x:c>
      <x:c r="Q1323" s="31" t="inlineStr">
        <x:is>
          <x:t xml:space="preserve">Завершено</x:t>
        </x:is>
      </x:c>
      <x:c r="R1323" s="31" t="inlineStr">
        <x:is>
          <x:t xml:space="preserve">Материал</x:t>
        </x:is>
      </x:c>
      <x:c r="S1323" s="31" t="inlineStr">
        <x:is>
          <x:t xml:space="preserve">Нет</x:t>
        </x:is>
      </x:c>
    </x:row>
    <x:row r="1324">
      <x:c r="A1324" s="31" t="inlineStr">
        <x:is>
          <x:t xml:space="preserve">ОП-001323</x:t>
        </x:is>
      </x:c>
      <x:c r="B1324" s="31" t="inlineStr">
        <x:is>
          <x:t xml:space="preserve">ПЗ-00160</x:t>
        </x:is>
      </x:c>
      <x:c r="C1324" s="31" t="inlineStr">
        <x:is>
          <x:t xml:space="preserve">ЗК-1075</x:t>
        </x:is>
      </x:c>
      <x:c r="D1324" s="31" t="inlineStr">
        <x:is>
          <x:t xml:space="preserve">ПОЗ-0075-1</x:t>
        </x:is>
      </x:c>
      <x:c r="E1324" s="31" t="inlineStr">
        <x:is>
          <x:t xml:space="preserve">ИЗД-022</x:t>
        </x:is>
      </x:c>
      <x:c r="F1324" s="31" t="n">
        <x:v>20</x:v>
      </x:c>
      <x:c r="G1324" s="31" t="inlineStr">
        <x:is>
          <x:t xml:space="preserve">Резерв материалов</x:t>
        </x:is>
      </x:c>
      <x:c r="H1324" s="31" t="inlineStr">
        <x:is>
          <x:t xml:space="preserve">Склад</x:t>
        </x:is>
      </x:c>
      <x:c r="I1324" s="31" t="inlineStr">
        <x:is>
          <x:t xml:space="preserve">ОБ-009</x:t>
        </x:is>
      </x:c>
      <x:c r="J1324" s="31" t="inlineStr">
        <x:is>
          <x:t xml:space="preserve">СОТР-036</x:t>
        </x:is>
      </x:c>
      <x:c r="K1324" s="31" t="n">
        <x:v>16</x:v>
      </x:c>
      <x:c r="L1324" s="31" t="n">
        <x:v>14</x:v>
      </x:c>
      <x:c r="M1324" s="31" t="n">
        <x:v>46172</x:v>
      </x:c>
      <x:c r="N1324" s="31" t="n">
        <x:v>46174</x:v>
      </x:c>
      <x:c r="O1324" s="31" t="n">
        <x:v>46172</x:v>
      </x:c>
      <x:c r="P1324" s="31" t="n">
        <x:v>46173</x:v>
      </x:c>
      <x:c r="Q1324" s="31" t="inlineStr">
        <x:is>
          <x:t xml:space="preserve">Завершено</x:t>
        </x:is>
      </x:c>
      <x:c r="R1324" s="31" t="inlineStr">
        <x:is>
          <x:t xml:space="preserve">Нет</x:t>
        </x:is>
      </x:c>
      <x:c r="S1324" s="31" t="inlineStr">
        <x:is>
          <x:t xml:space="preserve">Нет</x:t>
        </x:is>
      </x:c>
    </x:row>
    <x:row r="1325">
      <x:c r="A1325" s="31" t="inlineStr">
        <x:is>
          <x:t xml:space="preserve">ОП-001324</x:t>
        </x:is>
      </x:c>
      <x:c r="B1325" s="31" t="inlineStr">
        <x:is>
          <x:t xml:space="preserve">ПЗ-00160</x:t>
        </x:is>
      </x:c>
      <x:c r="C1325" s="31" t="inlineStr">
        <x:is>
          <x:t xml:space="preserve">ЗК-1075</x:t>
        </x:is>
      </x:c>
      <x:c r="D1325" s="31" t="inlineStr">
        <x:is>
          <x:t xml:space="preserve">ПОЗ-0075-1</x:t>
        </x:is>
      </x:c>
      <x:c r="E1325" s="31" t="inlineStr">
        <x:is>
          <x:t xml:space="preserve">ИЗД-022</x:t>
        </x:is>
      </x:c>
      <x:c r="F1325" s="31" t="n">
        <x:v>30</x:v>
      </x:c>
      <x:c r="G1325" s="31" t="inlineStr">
        <x:is>
          <x:t xml:space="preserve">Сварка рамы</x:t>
        </x:is>
      </x:c>
      <x:c r="H1325" s="31" t="inlineStr">
        <x:is>
          <x:t xml:space="preserve">Сварка</x:t>
        </x:is>
      </x:c>
      <x:c r="I1325" s="31" t="inlineStr">
        <x:is>
          <x:t xml:space="preserve">ОБ-021</x:t>
        </x:is>
      </x:c>
      <x:c r="J1325" s="31" t="inlineStr">
        <x:is>
          <x:t xml:space="preserve">СОТР-067</x:t>
        </x:is>
      </x:c>
      <x:c r="K1325" s="31" t="n">
        <x:v>8</x:v>
      </x:c>
      <x:c r="L1325" s="31" t="n">
        <x:v>8.5</x:v>
      </x:c>
      <x:c r="M1325" s="31" t="n">
        <x:v>46174</x:v>
      </x:c>
      <x:c r="N1325" s="31" t="n">
        <x:v>46175</x:v>
      </x:c>
      <x:c r="O1325" s="31" t="n">
        <x:v>46174</x:v>
      </x:c>
      <x:c r="P1325" s="31" t="n">
        <x:v>46177</x:v>
      </x:c>
      <x:c r="Q1325" s="31" t="inlineStr">
        <x:is>
          <x:t xml:space="preserve">Завершено</x:t>
        </x:is>
      </x:c>
      <x:c r="R1325" s="31" t="inlineStr">
        <x:is>
          <x:t xml:space="preserve">Нет</x:t>
        </x:is>
      </x:c>
      <x:c r="S1325" s="31" t="inlineStr">
        <x:is>
          <x:t xml:space="preserve">Нет</x:t>
        </x:is>
      </x:c>
    </x:row>
    <x:row r="1326">
      <x:c r="A1326" s="31" t="inlineStr">
        <x:is>
          <x:t xml:space="preserve">ОП-001325</x:t>
        </x:is>
      </x:c>
      <x:c r="B1326" s="31" t="inlineStr">
        <x:is>
          <x:t xml:space="preserve">ПЗ-00160</x:t>
        </x:is>
      </x:c>
      <x:c r="C1326" s="31" t="inlineStr">
        <x:is>
          <x:t xml:space="preserve">ЗК-1075</x:t>
        </x:is>
      </x:c>
      <x:c r="D1326" s="31" t="inlineStr">
        <x:is>
          <x:t xml:space="preserve">ПОЗ-0075-1</x:t>
        </x:is>
      </x:c>
      <x:c r="E1326" s="31" t="inlineStr">
        <x:is>
          <x:t xml:space="preserve">ИЗД-022</x:t>
        </x:is>
      </x:c>
      <x:c r="F1326" s="31" t="n">
        <x:v>40</x:v>
      </x:c>
      <x:c r="G1326" s="31" t="inlineStr">
        <x:is>
          <x:t xml:space="preserve">Сборка</x:t>
        </x:is>
      </x:c>
      <x:c r="H1326" s="31" t="inlineStr">
        <x:is>
          <x:t xml:space="preserve">Сборка</x:t>
        </x:is>
      </x:c>
      <x:c r="I1326" s="31" t="inlineStr">
        <x:is>
          <x:t xml:space="preserve">ОБ-012</x:t>
        </x:is>
      </x:c>
      <x:c r="J1326" s="31" t="inlineStr">
        <x:is>
          <x:t xml:space="preserve">СОТР-087</x:t>
        </x:is>
      </x:c>
      <x:c r="K1326" s="31" t="n">
        <x:v>8</x:v>
      </x:c>
      <x:c r="L1326" s="31" t="n">
        <x:v>8.199999999999999</x:v>
      </x:c>
      <x:c r="M1326" s="31" t="n">
        <x:v>46175</x:v>
      </x:c>
      <x:c r="N1326" s="31" t="n">
        <x:v>46176</x:v>
      </x:c>
      <x:c r="O1326" s="31" t="n">
        <x:v>46175</x:v>
      </x:c>
      <x:c r="P1326" s="31" t="n">
        <x:v>46178</x:v>
      </x:c>
      <x:c r="Q1326" s="31" t="inlineStr">
        <x:is>
          <x:t xml:space="preserve">Завершено</x:t>
        </x:is>
      </x:c>
      <x:c r="R1326" s="31" t="inlineStr">
        <x:is>
          <x:t xml:space="preserve">Нет</x:t>
        </x:is>
      </x:c>
      <x:c r="S1326" s="31" t="inlineStr">
        <x:is>
          <x:t xml:space="preserve">Да</x:t>
        </x:is>
      </x:c>
    </x:row>
    <x:row r="1327">
      <x:c r="A1327" s="31" t="inlineStr">
        <x:is>
          <x:t xml:space="preserve">ОП-001326</x:t>
        </x:is>
      </x:c>
      <x:c r="B1327" s="31" t="inlineStr">
        <x:is>
          <x:t xml:space="preserve">ПЗ-00160</x:t>
        </x:is>
      </x:c>
      <x:c r="C1327" s="31" t="inlineStr">
        <x:is>
          <x:t xml:space="preserve">ЗК-1075</x:t>
        </x:is>
      </x:c>
      <x:c r="D1327" s="31" t="inlineStr">
        <x:is>
          <x:t xml:space="preserve">ПОЗ-0075-1</x:t>
        </x:is>
      </x:c>
      <x:c r="E1327" s="31" t="inlineStr">
        <x:is>
          <x:t xml:space="preserve">ИЗД-022</x:t>
        </x:is>
      </x:c>
      <x:c r="F1327" s="31" t="n">
        <x:v>50</x:v>
      </x:c>
      <x:c r="G1327" s="31" t="inlineStr">
        <x:is>
          <x:t xml:space="preserve">Обвязка труб</x:t>
        </x:is>
      </x:c>
      <x:c r="H1327" s="31" t="inlineStr">
        <x:is>
          <x:t xml:space="preserve">Сборка</x:t>
        </x:is>
      </x:c>
      <x:c r="I1327" s="31" t="inlineStr">
        <x:is>
          <x:t xml:space="preserve">ОБ-034</x:t>
        </x:is>
      </x:c>
      <x:c r="J1327" s="31" t="inlineStr">
        <x:is>
          <x:t xml:space="preserve">СОТР-087</x:t>
        </x:is>
      </x:c>
      <x:c r="K1327" s="31" t="n">
        <x:v>15.8</x:v>
      </x:c>
      <x:c r="L1327" s="31" t="n">
        <x:v>12.8</x:v>
      </x:c>
      <x:c r="M1327" s="31" t="n">
        <x:v>46176</x:v>
      </x:c>
      <x:c r="N1327" s="31" t="n">
        <x:v>46178</x:v>
      </x:c>
      <x:c r="O1327" s="31" t="n">
        <x:v>46176</x:v>
      </x:c>
      <x:c r="P1327" s="31" t="n">
        <x:v>46178</x:v>
      </x:c>
      <x:c r="Q1327" s="31" t="inlineStr">
        <x:is>
          <x:t xml:space="preserve">Завершено</x:t>
        </x:is>
      </x:c>
      <x:c r="R1327" s="31" t="inlineStr">
        <x:is>
          <x:t xml:space="preserve">Нет</x:t>
        </x:is>
      </x:c>
      <x:c r="S1327" s="31" t="inlineStr">
        <x:is>
          <x:t xml:space="preserve">Нет</x:t>
        </x:is>
      </x:c>
    </x:row>
    <x:row r="1328">
      <x:c r="A1328" s="31" t="inlineStr">
        <x:is>
          <x:t xml:space="preserve">ОП-001327</x:t>
        </x:is>
      </x:c>
      <x:c r="B1328" s="31" t="inlineStr">
        <x:is>
          <x:t xml:space="preserve">ПЗ-00160</x:t>
        </x:is>
      </x:c>
      <x:c r="C1328" s="31" t="inlineStr">
        <x:is>
          <x:t xml:space="preserve">ЗК-1075</x:t>
        </x:is>
      </x:c>
      <x:c r="D1328" s="31" t="inlineStr">
        <x:is>
          <x:t xml:space="preserve">ПОЗ-0075-1</x:t>
        </x:is>
      </x:c>
      <x:c r="E1328" s="31" t="inlineStr">
        <x:is>
          <x:t xml:space="preserve">ИЗД-022</x:t>
        </x:is>
      </x:c>
      <x:c r="F1328" s="31" t="n">
        <x:v>60</x:v>
      </x:c>
      <x:c r="G1328" s="31" t="inlineStr">
        <x:is>
          <x:t xml:space="preserve">Электромонтаж</x:t>
        </x:is>
      </x:c>
      <x:c r="H1328" s="31" t="inlineStr">
        <x:is>
          <x:t xml:space="preserve">Сборка</x:t>
        </x:is>
      </x:c>
      <x:c r="I1328" s="31" t="inlineStr">
        <x:is>
          <x:t xml:space="preserve">ОБ-016</x:t>
        </x:is>
      </x:c>
      <x:c r="J1328" s="31" t="inlineStr">
        <x:is>
          <x:t xml:space="preserve">СОТР-079</x:t>
        </x:is>
      </x:c>
      <x:c r="K1328" s="31" t="n">
        <x:v>14</x:v>
      </x:c>
      <x:c r="L1328" s="31" t="n">
        <x:v>16.1</x:v>
      </x:c>
      <x:c r="M1328" s="31" t="n">
        <x:v>46178</x:v>
      </x:c>
      <x:c r="N1328" s="31" t="n">
        <x:v>46180</x:v>
      </x:c>
      <x:c r="O1328" s="31" t="n">
        <x:v>46178</x:v>
      </x:c>
      <x:c r="P1328" s="31" t="n">
        <x:v>46181</x:v>
      </x:c>
      <x:c r="Q1328" s="31" t="inlineStr">
        <x:is>
          <x:t xml:space="preserve">Завершено</x:t>
        </x:is>
      </x:c>
      <x:c r="R1328" s="31" t="inlineStr">
        <x:is>
          <x:t xml:space="preserve">Нет</x:t>
        </x:is>
      </x:c>
      <x:c r="S1328" s="31" t="inlineStr">
        <x:is>
          <x:t xml:space="preserve">Да</x:t>
        </x:is>
      </x:c>
    </x:row>
    <x:row r="1329">
      <x:c r="A1329" s="31" t="inlineStr">
        <x:is>
          <x:t xml:space="preserve">ОП-001328</x:t>
        </x:is>
      </x:c>
      <x:c r="B1329" s="31" t="inlineStr">
        <x:is>
          <x:t xml:space="preserve">ПЗ-00160</x:t>
        </x:is>
      </x:c>
      <x:c r="C1329" s="31" t="inlineStr">
        <x:is>
          <x:t xml:space="preserve">ЗК-1075</x:t>
        </x:is>
      </x:c>
      <x:c r="D1329" s="31" t="inlineStr">
        <x:is>
          <x:t xml:space="preserve">ПОЗ-0075-1</x:t>
        </x:is>
      </x:c>
      <x:c r="E1329" s="31" t="inlineStr">
        <x:is>
          <x:t xml:space="preserve">ИЗД-022</x:t>
        </x:is>
      </x:c>
      <x:c r="F1329" s="31" t="n">
        <x:v>70</x:v>
      </x:c>
      <x:c r="G1329" s="31" t="inlineStr">
        <x:is>
          <x:t xml:space="preserve">Гидроиспытания</x:t>
        </x:is>
      </x:c>
      <x:c r="H1329" s="31" t="inlineStr">
        <x:is>
          <x:t xml:space="preserve">ОТК</x:t>
        </x:is>
      </x:c>
      <x:c r="I1329" s="31" t="inlineStr">
        <x:is>
          <x:t xml:space="preserve">ОБ-013</x:t>
        </x:is>
      </x:c>
      <x:c r="J1329" s="31" t="inlineStr">
        <x:is>
          <x:t xml:space="preserve">СОТР-096</x:t>
        </x:is>
      </x:c>
      <x:c r="K1329" s="31" t="n">
        <x:v>8.199999999999999</x:v>
      </x:c>
      <x:c r="L1329" s="31" t="n">
        <x:v>9.800000000000001</x:v>
      </x:c>
      <x:c r="M1329" s="31" t="n">
        <x:v>46180</x:v>
      </x:c>
      <x:c r="N1329" s="31" t="n">
        <x:v>46181</x:v>
      </x:c>
      <x:c r="O1329" s="31" t="n">
        <x:v>46180</x:v>
      </x:c>
      <x:c r="P1329" s="31" t="n">
        <x:v>46183</x:v>
      </x:c>
      <x:c r="Q1329" s="31" t="inlineStr">
        <x:is>
          <x:t xml:space="preserve">Завершено</x:t>
        </x:is>
      </x:c>
      <x:c r="R1329" s="31" t="inlineStr">
        <x:is>
          <x:t xml:space="preserve">Нет</x:t>
        </x:is>
      </x:c>
      <x:c r="S1329" s="31" t="inlineStr">
        <x:is>
          <x:t xml:space="preserve">Нет</x:t>
        </x:is>
      </x:c>
    </x:row>
    <x:row r="1330">
      <x:c r="A1330" s="31" t="inlineStr">
        <x:is>
          <x:t xml:space="preserve">ОП-001329</x:t>
        </x:is>
      </x:c>
      <x:c r="B1330" s="31" t="inlineStr">
        <x:is>
          <x:t xml:space="preserve">ПЗ-00160</x:t>
        </x:is>
      </x:c>
      <x:c r="C1330" s="31" t="inlineStr">
        <x:is>
          <x:t xml:space="preserve">ЗК-1075</x:t>
        </x:is>
      </x:c>
      <x:c r="D1330" s="31" t="inlineStr">
        <x:is>
          <x:t xml:space="preserve">ПОЗ-0075-1</x:t>
        </x:is>
      </x:c>
      <x:c r="E1330" s="31" t="inlineStr">
        <x:is>
          <x:t xml:space="preserve">ИЗД-022</x:t>
        </x:is>
      </x:c>
      <x:c r="F1330" s="31" t="n">
        <x:v>80</x:v>
      </x:c>
      <x:c r="G1330" s="31" t="inlineStr">
        <x:is>
          <x:t xml:space="preserve">ОТК</x:t>
        </x:is>
      </x:c>
      <x:c r="H1330" s="31" t="inlineStr">
        <x:is>
          <x:t xml:space="preserve">ОТК</x:t>
        </x:is>
      </x:c>
      <x:c r="I1330" s="31" t="inlineStr">
        <x:is>
          <x:t xml:space="preserve">ОБ-032</x:t>
        </x:is>
      </x:c>
      <x:c r="J1330" s="31" t="inlineStr">
        <x:is>
          <x:t xml:space="preserve">СОТР-097</x:t>
        </x:is>
      </x:c>
      <x:c r="K1330" s="31" t="n">
        <x:v>21.6</x:v>
      </x:c>
      <x:c r="L1330" s="31" t="n">
        <x:v>25</x:v>
      </x:c>
      <x:c r="M1330" s="31" t="n">
        <x:v>46181</x:v>
      </x:c>
      <x:c r="N1330" s="31" t="n">
        <x:v>46183</x:v>
      </x:c>
      <x:c r="O1330" s="31" t="n">
        <x:v>46181</x:v>
      </x:c>
      <x:c r="P1330" s="31" t="n">
        <x:v>46185</x:v>
      </x:c>
      <x:c r="Q1330" s="31" t="inlineStr">
        <x:is>
          <x:t xml:space="preserve">Завершено</x:t>
        </x:is>
      </x:c>
      <x:c r="R1330" s="31" t="inlineStr">
        <x:is>
          <x:t xml:space="preserve">Нет</x:t>
        </x:is>
      </x:c>
      <x:c r="S1330" s="31" t="inlineStr">
        <x:is>
          <x:t xml:space="preserve">Нет</x:t>
        </x:is>
      </x:c>
    </x:row>
    <x:row r="1331">
      <x:c r="A1331" s="31" t="inlineStr">
        <x:is>
          <x:t xml:space="preserve">ОП-001330</x:t>
        </x:is>
      </x:c>
      <x:c r="B1331" s="31" t="inlineStr">
        <x:is>
          <x:t xml:space="preserve">ПЗ-00160</x:t>
        </x:is>
      </x:c>
      <x:c r="C1331" s="31" t="inlineStr">
        <x:is>
          <x:t xml:space="preserve">ЗК-1075</x:t>
        </x:is>
      </x:c>
      <x:c r="D1331" s="31" t="inlineStr">
        <x:is>
          <x:t xml:space="preserve">ПОЗ-0075-1</x:t>
        </x:is>
      </x:c>
      <x:c r="E1331" s="31" t="inlineStr">
        <x:is>
          <x:t xml:space="preserve">ИЗД-022</x:t>
        </x:is>
      </x:c>
      <x:c r="F1331" s="31" t="n">
        <x:v>90</x:v>
      </x:c>
      <x:c r="G1331" s="31" t="inlineStr">
        <x:is>
          <x:t xml:space="preserve">Упаковка</x:t>
        </x:is>
      </x:c>
      <x:c r="H1331" s="31" t="inlineStr">
        <x:is>
          <x:t xml:space="preserve">Логистика</x:t>
        </x:is>
      </x:c>
      <x:c r="I1331" s="31" t="n"/>
      <x:c r="J1331" s="31" t="inlineStr">
        <x:is>
          <x:t xml:space="preserve">СОТР-101</x:t>
        </x:is>
      </x:c>
      <x:c r="K1331" s="31" t="n">
        <x:v>12.4</x:v>
      </x:c>
      <x:c r="L1331" s="31" t="n">
        <x:v>15.7</x:v>
      </x:c>
      <x:c r="M1331" s="31" t="n">
        <x:v>46183</x:v>
      </x:c>
      <x:c r="N1331" s="31" t="n">
        <x:v>46185</x:v>
      </x:c>
      <x:c r="O1331" s="31" t="n">
        <x:v>46183</x:v>
      </x:c>
      <x:c r="P1331" s="31" t="n">
        <x:v>46186</x:v>
      </x:c>
      <x:c r="Q1331" s="31" t="inlineStr">
        <x:is>
          <x:t xml:space="preserve">Завершено</x:t>
        </x:is>
      </x:c>
      <x:c r="R1331" s="31" t="inlineStr">
        <x:is>
          <x:t xml:space="preserve">Нет</x:t>
        </x:is>
      </x:c>
      <x:c r="S1331" s="31" t="inlineStr">
        <x:is>
          <x:t xml:space="preserve">Нет</x:t>
        </x:is>
      </x:c>
    </x:row>
    <x:row r="1332">
      <x:c r="A1332" s="31" t="inlineStr">
        <x:is>
          <x:t xml:space="preserve">ОП-001331</x:t>
        </x:is>
      </x:c>
      <x:c r="B1332" s="31" t="inlineStr">
        <x:is>
          <x:t xml:space="preserve">ПЗ-00161</x:t>
        </x:is>
      </x:c>
      <x:c r="C1332" s="31" t="inlineStr">
        <x:is>
          <x:t xml:space="preserve">ЗК-1076</x:t>
        </x:is>
      </x:c>
      <x:c r="D1332" s="31" t="inlineStr">
        <x:is>
          <x:t xml:space="preserve">ПОЗ-0076-1</x:t>
        </x:is>
      </x:c>
      <x:c r="E1332" s="31" t="inlineStr">
        <x:is>
          <x:t xml:space="preserve">ИЗД-029</x:t>
        </x:is>
      </x:c>
      <x:c r="F1332" s="31" t="n">
        <x:v>10</x:v>
      </x:c>
      <x:c r="G1332" s="31" t="inlineStr">
        <x:is>
          <x:t xml:space="preserve">КД</x:t>
        </x:is>
      </x:c>
      <x:c r="H1332" s="31" t="inlineStr">
        <x:is>
          <x:t xml:space="preserve">Инженерный отдел</x:t>
        </x:is>
      </x:c>
      <x:c r="I1332" s="31" t="n"/>
      <x:c r="J1332" s="31" t="inlineStr">
        <x:is>
          <x:t xml:space="preserve">СОТР-013</x:t>
        </x:is>
      </x:c>
      <x:c r="K1332" s="31" t="n">
        <x:v>60.5</x:v>
      </x:c>
      <x:c r="L1332" s="31" t="n">
        <x:v>58.3</x:v>
      </x:c>
      <x:c r="M1332" s="31" t="n">
        <x:v>46177</x:v>
      </x:c>
      <x:c r="N1332" s="31" t="n">
        <x:v>46183</x:v>
      </x:c>
      <x:c r="O1332" s="31" t="n">
        <x:v>46177</x:v>
      </x:c>
      <x:c r="P1332" s="31" t="n">
        <x:v>46185</x:v>
      </x:c>
      <x:c r="Q1332" s="31" t="inlineStr">
        <x:is>
          <x:t xml:space="preserve">Завершено</x:t>
        </x:is>
      </x:c>
      <x:c r="R1332" s="31" t="inlineStr">
        <x:is>
          <x:t xml:space="preserve">Нет</x:t>
        </x:is>
      </x:c>
      <x:c r="S1332" s="31" t="inlineStr">
        <x:is>
          <x:t xml:space="preserve">Нет</x:t>
        </x:is>
      </x:c>
    </x:row>
    <x:row r="1333">
      <x:c r="A1333" s="31" t="inlineStr">
        <x:is>
          <x:t xml:space="preserve">ОП-001332</x:t>
        </x:is>
      </x:c>
      <x:c r="B1333" s="31" t="inlineStr">
        <x:is>
          <x:t xml:space="preserve">ПЗ-00161</x:t>
        </x:is>
      </x:c>
      <x:c r="C1333" s="31" t="inlineStr">
        <x:is>
          <x:t xml:space="preserve">ЗК-1076</x:t>
        </x:is>
      </x:c>
      <x:c r="D1333" s="31" t="inlineStr">
        <x:is>
          <x:t xml:space="preserve">ПОЗ-0076-1</x:t>
        </x:is>
      </x:c>
      <x:c r="E1333" s="31" t="inlineStr">
        <x:is>
          <x:t xml:space="preserve">ИЗД-029</x:t>
        </x:is>
      </x:c>
      <x:c r="F1333" s="31" t="n">
        <x:v>20</x:v>
      </x:c>
      <x:c r="G1333" s="31" t="inlineStr">
        <x:is>
          <x:t xml:space="preserve">Резерв материалов</x:t>
        </x:is>
      </x:c>
      <x:c r="H1333" s="31" t="inlineStr">
        <x:is>
          <x:t xml:space="preserve">Склад</x:t>
        </x:is>
      </x:c>
      <x:c r="I1333" s="31" t="inlineStr">
        <x:is>
          <x:t xml:space="preserve">ОБ-023</x:t>
        </x:is>
      </x:c>
      <x:c r="J1333" s="31" t="inlineStr">
        <x:is>
          <x:t xml:space="preserve">СОТР-036</x:t>
        </x:is>
      </x:c>
      <x:c r="K1333" s="31" t="n">
        <x:v>31</x:v>
      </x:c>
      <x:c r="L1333" s="31" t="n">
        <x:v>26.5</x:v>
      </x:c>
      <x:c r="M1333" s="31" t="n">
        <x:v>46183</x:v>
      </x:c>
      <x:c r="N1333" s="31" t="n">
        <x:v>46186</x:v>
      </x:c>
      <x:c r="O1333" s="31" t="n">
        <x:v>46183</x:v>
      </x:c>
      <x:c r="P1333" s="31" t="n">
        <x:v>46188</x:v>
      </x:c>
      <x:c r="Q1333" s="31" t="inlineStr">
        <x:is>
          <x:t xml:space="preserve">Завершено</x:t>
        </x:is>
      </x:c>
      <x:c r="R1333" s="31" t="inlineStr">
        <x:is>
          <x:t xml:space="preserve">Нет</x:t>
        </x:is>
      </x:c>
      <x:c r="S1333" s="31" t="inlineStr">
        <x:is>
          <x:t xml:space="preserve">Нет</x:t>
        </x:is>
      </x:c>
    </x:row>
    <x:row r="1334">
      <x:c r="A1334" s="31" t="inlineStr">
        <x:is>
          <x:t xml:space="preserve">ОП-001333</x:t>
        </x:is>
      </x:c>
      <x:c r="B1334" s="31" t="inlineStr">
        <x:is>
          <x:t xml:space="preserve">ПЗ-00161</x:t>
        </x:is>
      </x:c>
      <x:c r="C1334" s="31" t="inlineStr">
        <x:is>
          <x:t xml:space="preserve">ЗК-1076</x:t>
        </x:is>
      </x:c>
      <x:c r="D1334" s="31" t="inlineStr">
        <x:is>
          <x:t xml:space="preserve">ПОЗ-0076-1</x:t>
        </x:is>
      </x:c>
      <x:c r="E1334" s="31" t="inlineStr">
        <x:is>
          <x:t xml:space="preserve">ИЗД-029</x:t>
        </x:is>
      </x:c>
      <x:c r="F1334" s="31" t="n">
        <x:v>30</x:v>
      </x:c>
      <x:c r="G1334" s="31" t="inlineStr">
        <x:is>
          <x:t xml:space="preserve">Резка металла</x:t>
        </x:is>
      </x:c>
      <x:c r="H1334" s="31" t="inlineStr">
        <x:is>
          <x:t xml:space="preserve">Сварка</x:t>
        </x:is>
      </x:c>
      <x:c r="I1334" s="31" t="inlineStr">
        <x:is>
          <x:t xml:space="preserve">ОБ-019</x:t>
        </x:is>
      </x:c>
      <x:c r="J1334" s="31" t="inlineStr">
        <x:is>
          <x:t xml:space="preserve">СОТР-068</x:t>
        </x:is>
      </x:c>
      <x:c r="K1334" s="31" t="n">
        <x:v>66</x:v>
      </x:c>
      <x:c r="L1334" s="31" t="n">
        <x:v>76.8</x:v>
      </x:c>
      <x:c r="M1334" s="31" t="n">
        <x:v>46186</x:v>
      </x:c>
      <x:c r="N1334" s="31" t="n">
        <x:v>46192</x:v>
      </x:c>
      <x:c r="O1334" s="31" t="n">
        <x:v>46186</x:v>
      </x:c>
      <x:c r="P1334" s="31" t="n">
        <x:v>46191</x:v>
      </x:c>
      <x:c r="Q1334" s="31" t="inlineStr">
        <x:is>
          <x:t xml:space="preserve">Завершено</x:t>
        </x:is>
      </x:c>
      <x:c r="R1334" s="31" t="inlineStr">
        <x:is>
          <x:t xml:space="preserve">Оборудование</x:t>
        </x:is>
      </x:c>
      <x:c r="S1334" s="31" t="inlineStr">
        <x:is>
          <x:t xml:space="preserve">Нет</x:t>
        </x:is>
      </x:c>
    </x:row>
    <x:row r="1335">
      <x:c r="A1335" s="31" t="inlineStr">
        <x:is>
          <x:t xml:space="preserve">ОП-001334</x:t>
        </x:is>
      </x:c>
      <x:c r="B1335" s="31" t="inlineStr">
        <x:is>
          <x:t xml:space="preserve">ПЗ-00161</x:t>
        </x:is>
      </x:c>
      <x:c r="C1335" s="31" t="inlineStr">
        <x:is>
          <x:t xml:space="preserve">ЗК-1076</x:t>
        </x:is>
      </x:c>
      <x:c r="D1335" s="31" t="inlineStr">
        <x:is>
          <x:t xml:space="preserve">ПОЗ-0076-1</x:t>
        </x:is>
      </x:c>
      <x:c r="E1335" s="31" t="inlineStr">
        <x:is>
          <x:t xml:space="preserve">ИЗД-029</x:t>
        </x:is>
      </x:c>
      <x:c r="F1335" s="31" t="n">
        <x:v>40</x:v>
      </x:c>
      <x:c r="G1335" s="31" t="inlineStr">
        <x:is>
          <x:t xml:space="preserve">Сварка рамы</x:t>
        </x:is>
      </x:c>
      <x:c r="H1335" s="31" t="inlineStr">
        <x:is>
          <x:t xml:space="preserve">Сварка</x:t>
        </x:is>
      </x:c>
      <x:c r="I1335" s="31" t="inlineStr">
        <x:is>
          <x:t xml:space="preserve">ОБ-004</x:t>
        </x:is>
      </x:c>
      <x:c r="J1335" s="31" t="inlineStr">
        <x:is>
          <x:t xml:space="preserve">СОТР-065</x:t>
        </x:is>
      </x:c>
      <x:c r="K1335" s="31" t="n">
        <x:v>33</x:v>
      </x:c>
      <x:c r="L1335" s="31" t="n">
        <x:v>30.5</x:v>
      </x:c>
      <x:c r="M1335" s="31" t="n">
        <x:v>46192</x:v>
      </x:c>
      <x:c r="N1335" s="31" t="n">
        <x:v>46195</x:v>
      </x:c>
      <x:c r="O1335" s="31" t="n">
        <x:v>46192</x:v>
      </x:c>
      <x:c r="P1335" s="31" t="n">
        <x:v>46196</x:v>
      </x:c>
      <x:c r="Q1335" s="31" t="inlineStr">
        <x:is>
          <x:t xml:space="preserve">Завершено</x:t>
        </x:is>
      </x:c>
      <x:c r="R1335" s="31" t="inlineStr">
        <x:is>
          <x:t xml:space="preserve">Нет</x:t>
        </x:is>
      </x:c>
      <x:c r="S1335" s="31" t="inlineStr">
        <x:is>
          <x:t xml:space="preserve">Нет</x:t>
        </x:is>
      </x:c>
    </x:row>
    <x:row r="1336">
      <x:c r="A1336" s="31" t="inlineStr">
        <x:is>
          <x:t xml:space="preserve">ОП-001335</x:t>
        </x:is>
      </x:c>
      <x:c r="B1336" s="31" t="inlineStr">
        <x:is>
          <x:t xml:space="preserve">ПЗ-00161</x:t>
        </x:is>
      </x:c>
      <x:c r="C1336" s="31" t="inlineStr">
        <x:is>
          <x:t xml:space="preserve">ЗК-1076</x:t>
        </x:is>
      </x:c>
      <x:c r="D1336" s="31" t="inlineStr">
        <x:is>
          <x:t xml:space="preserve">ПОЗ-0076-1</x:t>
        </x:is>
      </x:c>
      <x:c r="E1336" s="31" t="inlineStr">
        <x:is>
          <x:t xml:space="preserve">ИЗД-029</x:t>
        </x:is>
      </x:c>
      <x:c r="F1336" s="31" t="n">
        <x:v>50</x:v>
      </x:c>
      <x:c r="G1336" s="31" t="inlineStr">
        <x:is>
          <x:t xml:space="preserve">Механообработка</x:t>
        </x:is>
      </x:c>
      <x:c r="H1336" s="31" t="inlineStr">
        <x:is>
          <x:t xml:space="preserve">Механообработка</x:t>
        </x:is>
      </x:c>
      <x:c r="I1336" s="31" t="inlineStr">
        <x:is>
          <x:t xml:space="preserve">ОБ-030</x:t>
        </x:is>
      </x:c>
      <x:c r="J1336" s="31" t="inlineStr">
        <x:is>
          <x:t xml:space="preserve">СОТР-053</x:t>
        </x:is>
      </x:c>
      <x:c r="K1336" s="31" t="n">
        <x:v>77</x:v>
      </x:c>
      <x:c r="L1336" s="31" t="n"/>
      <x:c r="M1336" s="31" t="n">
        <x:v>46195</x:v>
      </x:c>
      <x:c r="N1336" s="31" t="n">
        <x:v>46202</x:v>
      </x:c>
      <x:c r="O1336" s="31" t="n"/>
      <x:c r="P1336" s="31" t="n"/>
      <x:c r="Q1336" s="31" t="inlineStr">
        <x:is>
          <x:t xml:space="preserve">Запланировано</x:t>
        </x:is>
      </x:c>
      <x:c r="R1336" s="31" t="inlineStr">
        <x:is>
          <x:t xml:space="preserve">Нет</x:t>
        </x:is>
      </x:c>
      <x:c r="S1336" s="31" t="inlineStr">
        <x:is>
          <x:t xml:space="preserve">Нет</x:t>
        </x:is>
      </x:c>
    </x:row>
    <x:row r="1337">
      <x:c r="A1337" s="31" t="inlineStr">
        <x:is>
          <x:t xml:space="preserve">ОП-001336</x:t>
        </x:is>
      </x:c>
      <x:c r="B1337" s="31" t="inlineStr">
        <x:is>
          <x:t xml:space="preserve">ПЗ-00161</x:t>
        </x:is>
      </x:c>
      <x:c r="C1337" s="31" t="inlineStr">
        <x:is>
          <x:t xml:space="preserve">ЗК-1076</x:t>
        </x:is>
      </x:c>
      <x:c r="D1337" s="31" t="inlineStr">
        <x:is>
          <x:t xml:space="preserve">ПОЗ-0076-1</x:t>
        </x:is>
      </x:c>
      <x:c r="E1337" s="31" t="inlineStr">
        <x:is>
          <x:t xml:space="preserve">ИЗД-029</x:t>
        </x:is>
      </x:c>
      <x:c r="F1337" s="31" t="n">
        <x:v>60</x:v>
      </x:c>
      <x:c r="G1337" s="31" t="inlineStr">
        <x:is>
          <x:t xml:space="preserve">Сборка</x:t>
        </x:is>
      </x:c>
      <x:c r="H1337" s="31" t="inlineStr">
        <x:is>
          <x:t xml:space="preserve">Сборка</x:t>
        </x:is>
      </x:c>
      <x:c r="I1337" s="31" t="inlineStr">
        <x:is>
          <x:t xml:space="preserve">ОБ-002</x:t>
        </x:is>
      </x:c>
      <x:c r="J1337" s="31" t="inlineStr">
        <x:is>
          <x:t xml:space="preserve">СОТР-077</x:t>
        </x:is>
      </x:c>
      <x:c r="K1337" s="31" t="n">
        <x:v>83.5</x:v>
      </x:c>
      <x:c r="L1337" s="31" t="n"/>
      <x:c r="M1337" s="31" t="n">
        <x:v>46202</x:v>
      </x:c>
      <x:c r="N1337" s="31" t="n">
        <x:v>46209</x:v>
      </x:c>
      <x:c r="O1337" s="31" t="n"/>
      <x:c r="P1337" s="31" t="n"/>
      <x:c r="Q1337" s="31" t="inlineStr">
        <x:is>
          <x:t xml:space="preserve">Запланировано</x:t>
        </x:is>
      </x:c>
      <x:c r="R1337" s="31" t="inlineStr">
        <x:is>
          <x:t xml:space="preserve">Оборудование</x:t>
        </x:is>
      </x:c>
      <x:c r="S1337" s="31" t="inlineStr">
        <x:is>
          <x:t xml:space="preserve">Нет</x:t>
        </x:is>
      </x:c>
    </x:row>
    <x:row r="1338">
      <x:c r="A1338" s="31" t="inlineStr">
        <x:is>
          <x:t xml:space="preserve">ОП-001337</x:t>
        </x:is>
      </x:c>
      <x:c r="B1338" s="31" t="inlineStr">
        <x:is>
          <x:t xml:space="preserve">ПЗ-00161</x:t>
        </x:is>
      </x:c>
      <x:c r="C1338" s="31" t="inlineStr">
        <x:is>
          <x:t xml:space="preserve">ЗК-1076</x:t>
        </x:is>
      </x:c>
      <x:c r="D1338" s="31" t="inlineStr">
        <x:is>
          <x:t xml:space="preserve">ПОЗ-0076-1</x:t>
        </x:is>
      </x:c>
      <x:c r="E1338" s="31" t="inlineStr">
        <x:is>
          <x:t xml:space="preserve">ИЗД-029</x:t>
        </x:is>
      </x:c>
      <x:c r="F1338" s="31" t="n">
        <x:v>70</x:v>
      </x:c>
      <x:c r="G1338" s="31" t="inlineStr">
        <x:is>
          <x:t xml:space="preserve">Обвязка труб</x:t>
        </x:is>
      </x:c>
      <x:c r="H1338" s="31" t="inlineStr">
        <x:is>
          <x:t xml:space="preserve">Сборка</x:t>
        </x:is>
      </x:c>
      <x:c r="I1338" s="31" t="inlineStr">
        <x:is>
          <x:t xml:space="preserve">ОБ-012</x:t>
        </x:is>
      </x:c>
      <x:c r="J1338" s="31" t="inlineStr">
        <x:is>
          <x:t xml:space="preserve">СОТР-083</x:t>
        </x:is>
      </x:c>
      <x:c r="K1338" s="31" t="n">
        <x:v>88</x:v>
      </x:c>
      <x:c r="L1338" s="31" t="n">
        <x:v>84.90000000000001</x:v>
      </x:c>
      <x:c r="M1338" s="31" t="n">
        <x:v>46209</x:v>
      </x:c>
      <x:c r="N1338" s="31" t="n">
        <x:v>46217</x:v>
      </x:c>
      <x:c r="O1338" s="31" t="n">
        <x:v>46209</x:v>
      </x:c>
      <x:c r="P1338" s="31" t="n">
        <x:v>46219</x:v>
      </x:c>
      <x:c r="Q1338" s="31" t="inlineStr">
        <x:is>
          <x:t xml:space="preserve">Завершено</x:t>
        </x:is>
      </x:c>
      <x:c r="R1338" s="31" t="inlineStr">
        <x:is>
          <x:t xml:space="preserve">Материал</x:t>
        </x:is>
      </x:c>
      <x:c r="S1338" s="31" t="inlineStr">
        <x:is>
          <x:t xml:space="preserve">Да</x:t>
        </x:is>
      </x:c>
    </x:row>
    <x:row r="1339">
      <x:c r="A1339" s="31" t="inlineStr">
        <x:is>
          <x:t xml:space="preserve">ОП-001338</x:t>
        </x:is>
      </x:c>
      <x:c r="B1339" s="31" t="inlineStr">
        <x:is>
          <x:t xml:space="preserve">ПЗ-00161</x:t>
        </x:is>
      </x:c>
      <x:c r="C1339" s="31" t="inlineStr">
        <x:is>
          <x:t xml:space="preserve">ЗК-1076</x:t>
        </x:is>
      </x:c>
      <x:c r="D1339" s="31" t="inlineStr">
        <x:is>
          <x:t xml:space="preserve">ПОЗ-0076-1</x:t>
        </x:is>
      </x:c>
      <x:c r="E1339" s="31" t="inlineStr">
        <x:is>
          <x:t xml:space="preserve">ИЗД-029</x:t>
        </x:is>
      </x:c>
      <x:c r="F1339" s="31" t="n">
        <x:v>80</x:v>
      </x:c>
      <x:c r="G1339" s="31" t="inlineStr">
        <x:is>
          <x:t xml:space="preserve">Электромонтаж</x:t>
        </x:is>
      </x:c>
      <x:c r="H1339" s="31" t="inlineStr">
        <x:is>
          <x:t xml:space="preserve">Сборка</x:t>
        </x:is>
      </x:c>
      <x:c r="I1339" s="31" t="inlineStr">
        <x:is>
          <x:t xml:space="preserve">ОБ-014</x:t>
        </x:is>
      </x:c>
      <x:c r="J1339" s="31" t="inlineStr">
        <x:is>
          <x:t xml:space="preserve">СОТР-084</x:t>
        </x:is>
      </x:c>
      <x:c r="K1339" s="31" t="n">
        <x:v>23.5</x:v>
      </x:c>
      <x:c r="L1339" s="31" t="n"/>
      <x:c r="M1339" s="31" t="n">
        <x:v>46217</x:v>
      </x:c>
      <x:c r="N1339" s="31" t="n">
        <x:v>46219</x:v>
      </x:c>
      <x:c r="O1339" s="31" t="n"/>
      <x:c r="P1339" s="31" t="n"/>
      <x:c r="Q1339" s="31" t="inlineStr">
        <x:is>
          <x:t xml:space="preserve">Запланировано</x:t>
        </x:is>
      </x:c>
      <x:c r="R1339" s="31" t="inlineStr">
        <x:is>
          <x:t xml:space="preserve">Нет</x:t>
        </x:is>
      </x:c>
      <x:c r="S1339" s="31" t="inlineStr">
        <x:is>
          <x:t xml:space="preserve">Нет</x:t>
        </x:is>
      </x:c>
    </x:row>
    <x:row r="1340">
      <x:c r="A1340" s="31" t="inlineStr">
        <x:is>
          <x:t xml:space="preserve">ОП-001339</x:t>
        </x:is>
      </x:c>
      <x:c r="B1340" s="31" t="inlineStr">
        <x:is>
          <x:t xml:space="preserve">ПЗ-00161</x:t>
        </x:is>
      </x:c>
      <x:c r="C1340" s="31" t="inlineStr">
        <x:is>
          <x:t xml:space="preserve">ЗК-1076</x:t>
        </x:is>
      </x:c>
      <x:c r="D1340" s="31" t="inlineStr">
        <x:is>
          <x:t xml:space="preserve">ПОЗ-0076-1</x:t>
        </x:is>
      </x:c>
      <x:c r="E1340" s="31" t="inlineStr">
        <x:is>
          <x:t xml:space="preserve">ИЗД-029</x:t>
        </x:is>
      </x:c>
      <x:c r="F1340" s="31" t="n">
        <x:v>90</x:v>
      </x:c>
      <x:c r="G1340" s="31" t="inlineStr">
        <x:is>
          <x:t xml:space="preserve">Приемочные испытания</x:t>
        </x:is>
      </x:c>
      <x:c r="H1340" s="31" t="inlineStr">
        <x:is>
          <x:t xml:space="preserve">ОТК</x:t>
        </x:is>
      </x:c>
      <x:c r="I1340" s="31" t="inlineStr">
        <x:is>
          <x:t xml:space="preserve">ОБ-022</x:t>
        </x:is>
      </x:c>
      <x:c r="J1340" s="31" t="inlineStr">
        <x:is>
          <x:t xml:space="preserve">СОТР-099</x:t>
        </x:is>
      </x:c>
      <x:c r="K1340" s="31" t="n">
        <x:v>84</x:v>
      </x:c>
      <x:c r="L1340" s="31" t="n"/>
      <x:c r="M1340" s="31" t="n">
        <x:v>46219</x:v>
      </x:c>
      <x:c r="N1340" s="31" t="n">
        <x:v>46226</x:v>
      </x:c>
      <x:c r="O1340" s="31" t="n">
        <x:v>46219</x:v>
      </x:c>
      <x:c r="P1340" s="31" t="n"/>
      <x:c r="Q1340" s="31" t="inlineStr">
        <x:is>
          <x:t xml:space="preserve">В работе</x:t>
        </x:is>
      </x:c>
      <x:c r="R1340" s="31" t="inlineStr">
        <x:is>
          <x:t xml:space="preserve">Нет</x:t>
        </x:is>
      </x:c>
      <x:c r="S1340" s="31" t="inlineStr">
        <x:is>
          <x:t xml:space="preserve">Нет</x:t>
        </x:is>
      </x:c>
    </x:row>
    <x:row r="1341">
      <x:c r="A1341" s="31" t="inlineStr">
        <x:is>
          <x:t xml:space="preserve">ОП-001340</x:t>
        </x:is>
      </x:c>
      <x:c r="B1341" s="31" t="inlineStr">
        <x:is>
          <x:t xml:space="preserve">ПЗ-00161</x:t>
        </x:is>
      </x:c>
      <x:c r="C1341" s="31" t="inlineStr">
        <x:is>
          <x:t xml:space="preserve">ЗК-1076</x:t>
        </x:is>
      </x:c>
      <x:c r="D1341" s="31" t="inlineStr">
        <x:is>
          <x:t xml:space="preserve">ПОЗ-0076-1</x:t>
        </x:is>
      </x:c>
      <x:c r="E1341" s="31" t="inlineStr">
        <x:is>
          <x:t xml:space="preserve">ИЗД-029</x:t>
        </x:is>
      </x:c>
      <x:c r="F1341" s="31" t="n">
        <x:v>100</x:v>
      </x:c>
      <x:c r="G1341" s="31" t="inlineStr">
        <x:is>
          <x:t xml:space="preserve">ОТК</x:t>
        </x:is>
      </x:c>
      <x:c r="H1341" s="31" t="inlineStr">
        <x:is>
          <x:t xml:space="preserve">ОТК</x:t>
        </x:is>
      </x:c>
      <x:c r="I1341" s="31" t="inlineStr">
        <x:is>
          <x:t xml:space="preserve">ОБ-007</x:t>
        </x:is>
      </x:c>
      <x:c r="J1341" s="31" t="inlineStr">
        <x:is>
          <x:t xml:space="preserve">СОТР-100</x:t>
        </x:is>
      </x:c>
      <x:c r="K1341" s="31" t="n">
        <x:v>60.5</x:v>
      </x:c>
      <x:c r="L1341" s="31" t="n"/>
      <x:c r="M1341" s="31" t="n">
        <x:v>46226</x:v>
      </x:c>
      <x:c r="N1341" s="31" t="n">
        <x:v>46232</x:v>
      </x:c>
      <x:c r="O1341" s="31" t="n"/>
      <x:c r="P1341" s="31" t="n"/>
      <x:c r="Q1341" s="31" t="inlineStr">
        <x:is>
          <x:t xml:space="preserve">Запланировано</x:t>
        </x:is>
      </x:c>
      <x:c r="R1341" s="31" t="inlineStr">
        <x:is>
          <x:t xml:space="preserve">Нет</x:t>
        </x:is>
      </x:c>
      <x:c r="S1341" s="31" t="inlineStr">
        <x:is>
          <x:t xml:space="preserve">Да</x:t>
        </x:is>
      </x:c>
    </x:row>
    <x:row r="1342">
      <x:c r="A1342" s="31" t="inlineStr">
        <x:is>
          <x:t xml:space="preserve">ОП-001341</x:t>
        </x:is>
      </x:c>
      <x:c r="B1342" s="31" t="inlineStr">
        <x:is>
          <x:t xml:space="preserve">ПЗ-00161</x:t>
        </x:is>
      </x:c>
      <x:c r="C1342" s="31" t="inlineStr">
        <x:is>
          <x:t xml:space="preserve">ЗК-1076</x:t>
        </x:is>
      </x:c>
      <x:c r="D1342" s="31" t="inlineStr">
        <x:is>
          <x:t xml:space="preserve">ПОЗ-0076-1</x:t>
        </x:is>
      </x:c>
      <x:c r="E1342" s="31" t="inlineStr">
        <x:is>
          <x:t xml:space="preserve">ИЗД-029</x:t>
        </x:is>
      </x:c>
      <x:c r="F1342" s="31" t="n">
        <x:v>110</x:v>
      </x:c>
      <x:c r="G1342" s="31" t="inlineStr">
        <x:is>
          <x:t xml:space="preserve">Упаковка</x:t>
        </x:is>
      </x:c>
      <x:c r="H1342" s="31" t="inlineStr">
        <x:is>
          <x:t xml:space="preserve">Логистика</x:t>
        </x:is>
      </x:c>
      <x:c r="I1342" s="31" t="n"/>
      <x:c r="J1342" s="31" t="inlineStr">
        <x:is>
          <x:t xml:space="preserve">СОТР-103</x:t>
        </x:is>
      </x:c>
      <x:c r="K1342" s="31" t="n">
        <x:v>44.5</x:v>
      </x:c>
      <x:c r="L1342" s="31" t="n"/>
      <x:c r="M1342" s="31" t="n">
        <x:v>46232</x:v>
      </x:c>
      <x:c r="N1342" s="31" t="n">
        <x:v>46236</x:v>
      </x:c>
      <x:c r="O1342" s="31" t="n"/>
      <x:c r="P1342" s="31" t="n"/>
      <x:c r="Q1342" s="31" t="inlineStr">
        <x:is>
          <x:t xml:space="preserve">Запланировано</x:t>
        </x:is>
      </x:c>
      <x:c r="R1342" s="31" t="inlineStr">
        <x:is>
          <x:t xml:space="preserve">Нет</x:t>
        </x:is>
      </x:c>
      <x:c r="S1342" s="31" t="inlineStr">
        <x:is>
          <x:t xml:space="preserve">Нет</x:t>
        </x:is>
      </x:c>
    </x:row>
    <x:row r="1343">
      <x:c r="A1343" s="31" t="inlineStr">
        <x:is>
          <x:t xml:space="preserve">ОП-001342</x:t>
        </x:is>
      </x:c>
      <x:c r="B1343" s="31" t="inlineStr">
        <x:is>
          <x:t xml:space="preserve">ПЗ-00162</x:t>
        </x:is>
      </x:c>
      <x:c r="C1343" s="31" t="inlineStr">
        <x:is>
          <x:t xml:space="preserve">ЗК-1078</x:t>
        </x:is>
      </x:c>
      <x:c r="D1343" s="31" t="inlineStr">
        <x:is>
          <x:t xml:space="preserve">ПОЗ-0078-1</x:t>
        </x:is>
      </x:c>
      <x:c r="E1343" s="31" t="inlineStr">
        <x:is>
          <x:t xml:space="preserve">ИЗД-007</x:t>
        </x:is>
      </x:c>
      <x:c r="F1343" s="31" t="n">
        <x:v>10</x:v>
      </x:c>
      <x:c r="G1343" s="31" t="inlineStr">
        <x:is>
          <x:t xml:space="preserve">КД</x:t>
        </x:is>
      </x:c>
      <x:c r="H1343" s="31" t="inlineStr">
        <x:is>
          <x:t xml:space="preserve">Инженерный отдел</x:t>
        </x:is>
      </x:c>
      <x:c r="I1343" s="31" t="n"/>
      <x:c r="J1343" s="31" t="inlineStr">
        <x:is>
          <x:t xml:space="preserve">СОТР-019</x:t>
        </x:is>
      </x:c>
      <x:c r="K1343" s="31" t="n">
        <x:v>9</x:v>
      </x:c>
      <x:c r="L1343" s="31" t="n">
        <x:v>7.3</x:v>
      </x:c>
      <x:c r="M1343" s="31" t="n">
        <x:v>46113</x:v>
      </x:c>
      <x:c r="N1343" s="31" t="n">
        <x:v>46114</x:v>
      </x:c>
      <x:c r="O1343" s="31" t="n">
        <x:v>46113</x:v>
      </x:c>
      <x:c r="P1343" s="31" t="n">
        <x:v>46116</x:v>
      </x:c>
      <x:c r="Q1343" s="31" t="inlineStr">
        <x:is>
          <x:t xml:space="preserve">Завершено</x:t>
        </x:is>
      </x:c>
      <x:c r="R1343" s="31" t="inlineStr">
        <x:is>
          <x:t xml:space="preserve">Нет</x:t>
        </x:is>
      </x:c>
      <x:c r="S1343" s="31" t="inlineStr">
        <x:is>
          <x:t xml:space="preserve">Нет</x:t>
        </x:is>
      </x:c>
    </x:row>
    <x:row r="1344">
      <x:c r="A1344" s="31" t="inlineStr">
        <x:is>
          <x:t xml:space="preserve">ОП-001343</x:t>
        </x:is>
      </x:c>
      <x:c r="B1344" s="31" t="inlineStr">
        <x:is>
          <x:t xml:space="preserve">ПЗ-00162</x:t>
        </x:is>
      </x:c>
      <x:c r="C1344" s="31" t="inlineStr">
        <x:is>
          <x:t xml:space="preserve">ЗК-1078</x:t>
        </x:is>
      </x:c>
      <x:c r="D1344" s="31" t="inlineStr">
        <x:is>
          <x:t xml:space="preserve">ПОЗ-0078-1</x:t>
        </x:is>
      </x:c>
      <x:c r="E1344" s="31" t="inlineStr">
        <x:is>
          <x:t xml:space="preserve">ИЗД-007</x:t>
        </x:is>
      </x:c>
      <x:c r="F1344" s="31" t="n">
        <x:v>20</x:v>
      </x:c>
      <x:c r="G1344" s="31" t="inlineStr">
        <x:is>
          <x:t xml:space="preserve">Резерв материалов</x:t>
        </x:is>
      </x:c>
      <x:c r="H1344" s="31" t="inlineStr">
        <x:is>
          <x:t xml:space="preserve">Склад</x:t>
        </x:is>
      </x:c>
      <x:c r="I1344" s="31" t="inlineStr">
        <x:is>
          <x:t xml:space="preserve">ОБ-008</x:t>
        </x:is>
      </x:c>
      <x:c r="J1344" s="31" t="inlineStr">
        <x:is>
          <x:t xml:space="preserve">СОТР-036</x:t>
        </x:is>
      </x:c>
      <x:c r="K1344" s="31" t="n">
        <x:v>56</x:v>
      </x:c>
      <x:c r="L1344" s="31" t="n">
        <x:v>50.7</x:v>
      </x:c>
      <x:c r="M1344" s="31" t="n">
        <x:v>46114</x:v>
      </x:c>
      <x:c r="N1344" s="31" t="n">
        <x:v>46119</x:v>
      </x:c>
      <x:c r="O1344" s="31" t="n">
        <x:v>46114</x:v>
      </x:c>
      <x:c r="P1344" s="31" t="n">
        <x:v>46121</x:v>
      </x:c>
      <x:c r="Q1344" s="31" t="inlineStr">
        <x:is>
          <x:t xml:space="preserve">Завершено</x:t>
        </x:is>
      </x:c>
      <x:c r="R1344" s="31" t="inlineStr">
        <x:is>
          <x:t xml:space="preserve">Нет</x:t>
        </x:is>
      </x:c>
      <x:c r="S1344" s="31" t="inlineStr">
        <x:is>
          <x:t xml:space="preserve">Нет</x:t>
        </x:is>
      </x:c>
    </x:row>
    <x:row r="1345">
      <x:c r="A1345" s="31" t="inlineStr">
        <x:is>
          <x:t xml:space="preserve">ОП-001344</x:t>
        </x:is>
      </x:c>
      <x:c r="B1345" s="31" t="inlineStr">
        <x:is>
          <x:t xml:space="preserve">ПЗ-00162</x:t>
        </x:is>
      </x:c>
      <x:c r="C1345" s="31" t="inlineStr">
        <x:is>
          <x:t xml:space="preserve">ЗК-1078</x:t>
        </x:is>
      </x:c>
      <x:c r="D1345" s="31" t="inlineStr">
        <x:is>
          <x:t xml:space="preserve">ПОЗ-0078-1</x:t>
        </x:is>
      </x:c>
      <x:c r="E1345" s="31" t="inlineStr">
        <x:is>
          <x:t xml:space="preserve">ИЗД-007</x:t>
        </x:is>
      </x:c>
      <x:c r="F1345" s="31" t="n">
        <x:v>30</x:v>
      </x:c>
      <x:c r="G1345" s="31" t="inlineStr">
        <x:is>
          <x:t xml:space="preserve">Резка металла</x:t>
        </x:is>
      </x:c>
      <x:c r="H1345" s="31" t="inlineStr">
        <x:is>
          <x:t xml:space="preserve">Сварка</x:t>
        </x:is>
      </x:c>
      <x:c r="I1345" s="31" t="inlineStr">
        <x:is>
          <x:t xml:space="preserve">ОБ-018</x:t>
        </x:is>
      </x:c>
      <x:c r="J1345" s="31" t="inlineStr">
        <x:is>
          <x:t xml:space="preserve">СОТР-071</x:t>
        </x:is>
      </x:c>
      <x:c r="K1345" s="31" t="n">
        <x:v>25</x:v>
      </x:c>
      <x:c r="L1345" s="31" t="n"/>
      <x:c r="M1345" s="31" t="n">
        <x:v>46119</x:v>
      </x:c>
      <x:c r="N1345" s="31" t="n">
        <x:v>46122</x:v>
      </x:c>
      <x:c r="O1345" s="31" t="n"/>
      <x:c r="P1345" s="31" t="n"/>
      <x:c r="Q1345" s="31" t="inlineStr">
        <x:is>
          <x:t xml:space="preserve">Запланировано</x:t>
        </x:is>
      </x:c>
      <x:c r="R1345" s="31" t="inlineStr">
        <x:is>
          <x:t xml:space="preserve">Нет</x:t>
        </x:is>
      </x:c>
      <x:c r="S1345" s="31" t="inlineStr">
        <x:is>
          <x:t xml:space="preserve">Да</x:t>
        </x:is>
      </x:c>
    </x:row>
    <x:row r="1346">
      <x:c r="A1346" s="31" t="inlineStr">
        <x:is>
          <x:t xml:space="preserve">ОП-001345</x:t>
        </x:is>
      </x:c>
      <x:c r="B1346" s="31" t="inlineStr">
        <x:is>
          <x:t xml:space="preserve">ПЗ-00162</x:t>
        </x:is>
      </x:c>
      <x:c r="C1346" s="31" t="inlineStr">
        <x:is>
          <x:t xml:space="preserve">ЗК-1078</x:t>
        </x:is>
      </x:c>
      <x:c r="D1346" s="31" t="inlineStr">
        <x:is>
          <x:t xml:space="preserve">ПОЗ-0078-1</x:t>
        </x:is>
      </x:c>
      <x:c r="E1346" s="31" t="inlineStr">
        <x:is>
          <x:t xml:space="preserve">ИЗД-007</x:t>
        </x:is>
      </x:c>
      <x:c r="F1346" s="31" t="n">
        <x:v>40</x:v>
      </x:c>
      <x:c r="G1346" s="31" t="inlineStr">
        <x:is>
          <x:t xml:space="preserve">Сварка рамы</x:t>
        </x:is>
      </x:c>
      <x:c r="H1346" s="31" t="inlineStr">
        <x:is>
          <x:t xml:space="preserve">Сварка</x:t>
        </x:is>
      </x:c>
      <x:c r="I1346" s="31" t="inlineStr">
        <x:is>
          <x:t xml:space="preserve">ОБ-019</x:t>
        </x:is>
      </x:c>
      <x:c r="J1346" s="31" t="inlineStr">
        <x:is>
          <x:t xml:space="preserve">СОТР-059</x:t>
        </x:is>
      </x:c>
      <x:c r="K1346" s="31" t="n">
        <x:v>6.5</x:v>
      </x:c>
      <x:c r="L1346" s="31" t="n"/>
      <x:c r="M1346" s="31" t="n">
        <x:v>46122</x:v>
      </x:c>
      <x:c r="N1346" s="31" t="n">
        <x:v>46123</x:v>
      </x:c>
      <x:c r="O1346" s="31" t="n"/>
      <x:c r="P1346" s="31" t="n"/>
      <x:c r="Q1346" s="31" t="inlineStr">
        <x:is>
          <x:t xml:space="preserve">Запланировано</x:t>
        </x:is>
      </x:c>
      <x:c r="R1346" s="31" t="inlineStr">
        <x:is>
          <x:t xml:space="preserve">Нет</x:t>
        </x:is>
      </x:c>
      <x:c r="S1346" s="31" t="inlineStr">
        <x:is>
          <x:t xml:space="preserve">Нет</x:t>
        </x:is>
      </x:c>
    </x:row>
    <x:row r="1347">
      <x:c r="A1347" s="31" t="inlineStr">
        <x:is>
          <x:t xml:space="preserve">ОП-001346</x:t>
        </x:is>
      </x:c>
      <x:c r="B1347" s="31" t="inlineStr">
        <x:is>
          <x:t xml:space="preserve">ПЗ-00162</x:t>
        </x:is>
      </x:c>
      <x:c r="C1347" s="31" t="inlineStr">
        <x:is>
          <x:t xml:space="preserve">ЗК-1078</x:t>
        </x:is>
      </x:c>
      <x:c r="D1347" s="31" t="inlineStr">
        <x:is>
          <x:t xml:space="preserve">ПОЗ-0078-1</x:t>
        </x:is>
      </x:c>
      <x:c r="E1347" s="31" t="inlineStr">
        <x:is>
          <x:t xml:space="preserve">ИЗД-007</x:t>
        </x:is>
      </x:c>
      <x:c r="F1347" s="31" t="n">
        <x:v>50</x:v>
      </x:c>
      <x:c r="G1347" s="31" t="inlineStr">
        <x:is>
          <x:t xml:space="preserve">Механообработка</x:t>
        </x:is>
      </x:c>
      <x:c r="H1347" s="31" t="inlineStr">
        <x:is>
          <x:t xml:space="preserve">Механообработка</x:t>
        </x:is>
      </x:c>
      <x:c r="I1347" s="31" t="inlineStr">
        <x:is>
          <x:t xml:space="preserve">ОБ-030</x:t>
        </x:is>
      </x:c>
      <x:c r="J1347" s="31" t="inlineStr">
        <x:is>
          <x:t xml:space="preserve">СОТР-040</x:t>
        </x:is>
      </x:c>
      <x:c r="K1347" s="31" t="n">
        <x:v>50</x:v>
      </x:c>
      <x:c r="L1347" s="31" t="n">
        <x:v>51.5</x:v>
      </x:c>
      <x:c r="M1347" s="31" t="n">
        <x:v>46123</x:v>
      </x:c>
      <x:c r="N1347" s="31" t="n">
        <x:v>46128</x:v>
      </x:c>
      <x:c r="O1347" s="31" t="n">
        <x:v>46123</x:v>
      </x:c>
      <x:c r="P1347" s="31" t="n">
        <x:v>46128</x:v>
      </x:c>
      <x:c r="Q1347" s="31" t="inlineStr">
        <x:is>
          <x:t xml:space="preserve">Завершено</x:t>
        </x:is>
      </x:c>
      <x:c r="R1347" s="31" t="inlineStr">
        <x:is>
          <x:t xml:space="preserve">Нет</x:t>
        </x:is>
      </x:c>
      <x:c r="S1347" s="31" t="inlineStr">
        <x:is>
          <x:t xml:space="preserve">Нет</x:t>
        </x:is>
      </x:c>
    </x:row>
    <x:row r="1348">
      <x:c r="A1348" s="31" t="inlineStr">
        <x:is>
          <x:t xml:space="preserve">ОП-001347</x:t>
        </x:is>
      </x:c>
      <x:c r="B1348" s="31" t="inlineStr">
        <x:is>
          <x:t xml:space="preserve">ПЗ-00162</x:t>
        </x:is>
      </x:c>
      <x:c r="C1348" s="31" t="inlineStr">
        <x:is>
          <x:t xml:space="preserve">ЗК-1078</x:t>
        </x:is>
      </x:c>
      <x:c r="D1348" s="31" t="inlineStr">
        <x:is>
          <x:t xml:space="preserve">ПОЗ-0078-1</x:t>
        </x:is>
      </x:c>
      <x:c r="E1348" s="31" t="inlineStr">
        <x:is>
          <x:t xml:space="preserve">ИЗД-007</x:t>
        </x:is>
      </x:c>
      <x:c r="F1348" s="31" t="n">
        <x:v>60</x:v>
      </x:c>
      <x:c r="G1348" s="31" t="inlineStr">
        <x:is>
          <x:t xml:space="preserve">Сборка</x:t>
        </x:is>
      </x:c>
      <x:c r="H1348" s="31" t="inlineStr">
        <x:is>
          <x:t xml:space="preserve">Сборка</x:t>
        </x:is>
      </x:c>
      <x:c r="I1348" s="31" t="inlineStr">
        <x:is>
          <x:t xml:space="preserve">ОБ-014</x:t>
        </x:is>
      </x:c>
      <x:c r="J1348" s="31" t="inlineStr">
        <x:is>
          <x:t xml:space="preserve">СОТР-087</x:t>
        </x:is>
      </x:c>
      <x:c r="K1348" s="31" t="n">
        <x:v>56</x:v>
      </x:c>
      <x:c r="L1348" s="31" t="n"/>
      <x:c r="M1348" s="31" t="n">
        <x:v>46128</x:v>
      </x:c>
      <x:c r="N1348" s="31" t="n">
        <x:v>46133</x:v>
      </x:c>
      <x:c r="O1348" s="31" t="n"/>
      <x:c r="P1348" s="31" t="n"/>
      <x:c r="Q1348" s="31" t="inlineStr">
        <x:is>
          <x:t xml:space="preserve">Запланировано</x:t>
        </x:is>
      </x:c>
      <x:c r="R1348" s="31" t="inlineStr">
        <x:is>
          <x:t xml:space="preserve">Нет</x:t>
        </x:is>
      </x:c>
      <x:c r="S1348" s="31" t="inlineStr">
        <x:is>
          <x:t xml:space="preserve">Да</x:t>
        </x:is>
      </x:c>
    </x:row>
    <x:row r="1349">
      <x:c r="A1349" s="31" t="inlineStr">
        <x:is>
          <x:t xml:space="preserve">ОП-001348</x:t>
        </x:is>
      </x:c>
      <x:c r="B1349" s="31" t="inlineStr">
        <x:is>
          <x:t xml:space="preserve">ПЗ-00162</x:t>
        </x:is>
      </x:c>
      <x:c r="C1349" s="31" t="inlineStr">
        <x:is>
          <x:t xml:space="preserve">ЗК-1078</x:t>
        </x:is>
      </x:c>
      <x:c r="D1349" s="31" t="inlineStr">
        <x:is>
          <x:t xml:space="preserve">ПОЗ-0078-1</x:t>
        </x:is>
      </x:c>
      <x:c r="E1349" s="31" t="inlineStr">
        <x:is>
          <x:t xml:space="preserve">ИЗД-007</x:t>
        </x:is>
      </x:c>
      <x:c r="F1349" s="31" t="n">
        <x:v>70</x:v>
      </x:c>
      <x:c r="G1349" s="31" t="inlineStr">
        <x:is>
          <x:t xml:space="preserve">Электромонтаж</x:t>
        </x:is>
      </x:c>
      <x:c r="H1349" s="31" t="inlineStr">
        <x:is>
          <x:t xml:space="preserve">Сборка</x:t>
        </x:is>
      </x:c>
      <x:c r="I1349" s="31" t="inlineStr">
        <x:is>
          <x:t xml:space="preserve">ОБ-005</x:t>
        </x:is>
      </x:c>
      <x:c r="J1349" s="31" t="inlineStr">
        <x:is>
          <x:t xml:space="preserve">СОТР-091</x:t>
        </x:is>
      </x:c>
      <x:c r="K1349" s="31" t="n">
        <x:v>46.5</x:v>
      </x:c>
      <x:c r="L1349" s="31" t="n">
        <x:v>61.5</x:v>
      </x:c>
      <x:c r="M1349" s="31" t="n">
        <x:v>46133</x:v>
      </x:c>
      <x:c r="N1349" s="31" t="n">
        <x:v>46137</x:v>
      </x:c>
      <x:c r="O1349" s="31" t="n">
        <x:v>46133</x:v>
      </x:c>
      <x:c r="P1349" s="31" t="n">
        <x:v>46139</x:v>
      </x:c>
      <x:c r="Q1349" s="31" t="inlineStr">
        <x:is>
          <x:t xml:space="preserve">Завершено</x:t>
        </x:is>
      </x:c>
      <x:c r="R1349" s="31" t="inlineStr">
        <x:is>
          <x:t xml:space="preserve">Нет</x:t>
        </x:is>
      </x:c>
      <x:c r="S1349" s="31" t="inlineStr">
        <x:is>
          <x:t xml:space="preserve">Нет</x:t>
        </x:is>
      </x:c>
    </x:row>
    <x:row r="1350">
      <x:c r="A1350" s="31" t="inlineStr">
        <x:is>
          <x:t xml:space="preserve">ОП-001349</x:t>
        </x:is>
      </x:c>
      <x:c r="B1350" s="31" t="inlineStr">
        <x:is>
          <x:t xml:space="preserve">ПЗ-00162</x:t>
        </x:is>
      </x:c>
      <x:c r="C1350" s="31" t="inlineStr">
        <x:is>
          <x:t xml:space="preserve">ЗК-1078</x:t>
        </x:is>
      </x:c>
      <x:c r="D1350" s="31" t="inlineStr">
        <x:is>
          <x:t xml:space="preserve">ПОЗ-0078-1</x:t>
        </x:is>
      </x:c>
      <x:c r="E1350" s="31" t="inlineStr">
        <x:is>
          <x:t xml:space="preserve">ИЗД-007</x:t>
        </x:is>
      </x:c>
      <x:c r="F1350" s="31" t="n">
        <x:v>80</x:v>
      </x:c>
      <x:c r="G1350" s="31" t="inlineStr">
        <x:is>
          <x:t xml:space="preserve">Гидроиспытания</x:t>
        </x:is>
      </x:c>
      <x:c r="H1350" s="31" t="inlineStr">
        <x:is>
          <x:t xml:space="preserve">ОТК</x:t>
        </x:is>
      </x:c>
      <x:c r="I1350" s="31" t="inlineStr">
        <x:is>
          <x:t xml:space="preserve">ОБ-007</x:t>
        </x:is>
      </x:c>
      <x:c r="J1350" s="31" t="inlineStr">
        <x:is>
          <x:t xml:space="preserve">СОТР-098</x:t>
        </x:is>
      </x:c>
      <x:c r="K1350" s="31" t="n">
        <x:v>57</x:v>
      </x:c>
      <x:c r="L1350" s="31" t="n">
        <x:v>55.9</x:v>
      </x:c>
      <x:c r="M1350" s="31" t="n">
        <x:v>46137</x:v>
      </x:c>
      <x:c r="N1350" s="31" t="n">
        <x:v>46142</x:v>
      </x:c>
      <x:c r="O1350" s="31" t="n">
        <x:v>46137</x:v>
      </x:c>
      <x:c r="P1350" s="31" t="n">
        <x:v>46143</x:v>
      </x:c>
      <x:c r="Q1350" s="31" t="inlineStr">
        <x:is>
          <x:t xml:space="preserve">Завершено</x:t>
        </x:is>
      </x:c>
      <x:c r="R1350" s="31" t="inlineStr">
        <x:is>
          <x:t xml:space="preserve">Нет</x:t>
        </x:is>
      </x:c>
      <x:c r="S1350" s="31" t="inlineStr">
        <x:is>
          <x:t xml:space="preserve">Да</x:t>
        </x:is>
      </x:c>
    </x:row>
    <x:row r="1351">
      <x:c r="A1351" s="31" t="inlineStr">
        <x:is>
          <x:t xml:space="preserve">ОП-001350</x:t>
        </x:is>
      </x:c>
      <x:c r="B1351" s="31" t="inlineStr">
        <x:is>
          <x:t xml:space="preserve">ПЗ-00162</x:t>
        </x:is>
      </x:c>
      <x:c r="C1351" s="31" t="inlineStr">
        <x:is>
          <x:t xml:space="preserve">ЗК-1078</x:t>
        </x:is>
      </x:c>
      <x:c r="D1351" s="31" t="inlineStr">
        <x:is>
          <x:t xml:space="preserve">ПОЗ-0078-1</x:t>
        </x:is>
      </x:c>
      <x:c r="E1351" s="31" t="inlineStr">
        <x:is>
          <x:t xml:space="preserve">ИЗД-007</x:t>
        </x:is>
      </x:c>
      <x:c r="F1351" s="31" t="n">
        <x:v>90</x:v>
      </x:c>
      <x:c r="G1351" s="31" t="inlineStr">
        <x:is>
          <x:t xml:space="preserve">ОТК</x:t>
        </x:is>
      </x:c>
      <x:c r="H1351" s="31" t="inlineStr">
        <x:is>
          <x:t xml:space="preserve">ОТК</x:t>
        </x:is>
      </x:c>
      <x:c r="I1351" s="31" t="inlineStr">
        <x:is>
          <x:t xml:space="preserve">ОБ-006</x:t>
        </x:is>
      </x:c>
      <x:c r="J1351" s="31" t="inlineStr">
        <x:is>
          <x:t xml:space="preserve">СОТР-092</x:t>
        </x:is>
      </x:c>
      <x:c r="K1351" s="31" t="n">
        <x:v>6</x:v>
      </x:c>
      <x:c r="L1351" s="31" t="n"/>
      <x:c r="M1351" s="31" t="n">
        <x:v>46142</x:v>
      </x:c>
      <x:c r="N1351" s="31" t="n">
        <x:v>46143</x:v>
      </x:c>
      <x:c r="O1351" s="31" t="n"/>
      <x:c r="P1351" s="31" t="n"/>
      <x:c r="Q1351" s="31" t="inlineStr">
        <x:is>
          <x:t xml:space="preserve">Запланировано</x:t>
        </x:is>
      </x:c>
      <x:c r="R1351" s="31" t="inlineStr">
        <x:is>
          <x:t xml:space="preserve">КД</x:t>
        </x:is>
      </x:c>
      <x:c r="S1351" s="31" t="inlineStr">
        <x:is>
          <x:t xml:space="preserve">Нет</x:t>
        </x:is>
      </x:c>
    </x:row>
    <x:row r="1352">
      <x:c r="A1352" s="31" t="inlineStr">
        <x:is>
          <x:t xml:space="preserve">ОП-001351</x:t>
        </x:is>
      </x:c>
      <x:c r="B1352" s="31" t="inlineStr">
        <x:is>
          <x:t xml:space="preserve">ПЗ-00162</x:t>
        </x:is>
      </x:c>
      <x:c r="C1352" s="31" t="inlineStr">
        <x:is>
          <x:t xml:space="preserve">ЗК-1078</x:t>
        </x:is>
      </x:c>
      <x:c r="D1352" s="31" t="inlineStr">
        <x:is>
          <x:t xml:space="preserve">ПОЗ-0078-1</x:t>
        </x:is>
      </x:c>
      <x:c r="E1352" s="31" t="inlineStr">
        <x:is>
          <x:t xml:space="preserve">ИЗД-007</x:t>
        </x:is>
      </x:c>
      <x:c r="F1352" s="31" t="n">
        <x:v>100</x:v>
      </x:c>
      <x:c r="G1352" s="31" t="inlineStr">
        <x:is>
          <x:t xml:space="preserve">Упаковка</x:t>
        </x:is>
      </x:c>
      <x:c r="H1352" s="31" t="inlineStr">
        <x:is>
          <x:t xml:space="preserve">Логистика</x:t>
        </x:is>
      </x:c>
      <x:c r="I1352" s="31" t="n"/>
      <x:c r="J1352" s="31" t="inlineStr">
        <x:is>
          <x:t xml:space="preserve">СОТР-103</x:t>
        </x:is>
      </x:c>
      <x:c r="K1352" s="31" t="n">
        <x:v>23.5</x:v>
      </x:c>
      <x:c r="L1352" s="31" t="n"/>
      <x:c r="M1352" s="31" t="n">
        <x:v>46143</x:v>
      </x:c>
      <x:c r="N1352" s="31" t="n">
        <x:v>46145</x:v>
      </x:c>
      <x:c r="O1352" s="31" t="n"/>
      <x:c r="P1352" s="31" t="n"/>
      <x:c r="Q1352" s="31" t="inlineStr">
        <x:is>
          <x:t xml:space="preserve">Запланировано</x:t>
        </x:is>
      </x:c>
      <x:c r="R1352" s="31" t="inlineStr">
        <x:is>
          <x:t xml:space="preserve">Нет</x:t>
        </x:is>
      </x:c>
      <x:c r="S1352" s="31" t="inlineStr">
        <x:is>
          <x:t xml:space="preserve">Нет</x:t>
        </x:is>
      </x:c>
    </x:row>
    <x:row r="1353">
      <x:c r="A1353" s="31" t="inlineStr">
        <x:is>
          <x:t xml:space="preserve">ОП-001352</x:t>
        </x:is>
      </x:c>
      <x:c r="B1353" s="31" t="inlineStr">
        <x:is>
          <x:t xml:space="preserve">ПЗ-00163</x:t>
        </x:is>
      </x:c>
      <x:c r="C1353" s="31" t="inlineStr">
        <x:is>
          <x:t xml:space="preserve">ЗК-1078</x:t>
        </x:is>
      </x:c>
      <x:c r="D1353" s="31" t="inlineStr">
        <x:is>
          <x:t xml:space="preserve">ПОЗ-0078-2</x:t>
        </x:is>
      </x:c>
      <x:c r="E1353" s="31" t="inlineStr">
        <x:is>
          <x:t xml:space="preserve">ИЗД-029</x:t>
        </x:is>
      </x:c>
      <x:c r="F1353" s="31" t="n">
        <x:v>10</x:v>
      </x:c>
      <x:c r="G1353" s="31" t="inlineStr">
        <x:is>
          <x:t xml:space="preserve">КД</x:t>
        </x:is>
      </x:c>
      <x:c r="H1353" s="31" t="inlineStr">
        <x:is>
          <x:t xml:space="preserve">Инженерный отдел</x:t>
        </x:is>
      </x:c>
      <x:c r="I1353" s="31" t="n"/>
      <x:c r="J1353" s="31" t="inlineStr">
        <x:is>
          <x:t xml:space="preserve">СОТР-015</x:t>
        </x:is>
      </x:c>
      <x:c r="K1353" s="31" t="n">
        <x:v>12.1</x:v>
      </x:c>
      <x:c r="L1353" s="31" t="n">
        <x:v>10.7</x:v>
      </x:c>
      <x:c r="M1353" s="31" t="n">
        <x:v>46120</x:v>
      </x:c>
      <x:c r="N1353" s="31" t="n">
        <x:v>46122</x:v>
      </x:c>
      <x:c r="O1353" s="31" t="n">
        <x:v>46120</x:v>
      </x:c>
      <x:c r="P1353" s="31" t="n">
        <x:v>46121</x:v>
      </x:c>
      <x:c r="Q1353" s="31" t="inlineStr">
        <x:is>
          <x:t xml:space="preserve">Завершено</x:t>
        </x:is>
      </x:c>
      <x:c r="R1353" s="31" t="inlineStr">
        <x:is>
          <x:t xml:space="preserve">Оборудование</x:t>
        </x:is>
      </x:c>
      <x:c r="S1353" s="31" t="inlineStr">
        <x:is>
          <x:t xml:space="preserve">Да</x:t>
        </x:is>
      </x:c>
    </x:row>
    <x:row r="1354">
      <x:c r="A1354" s="31" t="inlineStr">
        <x:is>
          <x:t xml:space="preserve">ОП-001353</x:t>
        </x:is>
      </x:c>
      <x:c r="B1354" s="31" t="inlineStr">
        <x:is>
          <x:t xml:space="preserve">ПЗ-00163</x:t>
        </x:is>
      </x:c>
      <x:c r="C1354" s="31" t="inlineStr">
        <x:is>
          <x:t xml:space="preserve">ЗК-1078</x:t>
        </x:is>
      </x:c>
      <x:c r="D1354" s="31" t="inlineStr">
        <x:is>
          <x:t xml:space="preserve">ПОЗ-0078-2</x:t>
        </x:is>
      </x:c>
      <x:c r="E1354" s="31" t="inlineStr">
        <x:is>
          <x:t xml:space="preserve">ИЗД-029</x:t>
        </x:is>
      </x:c>
      <x:c r="F1354" s="31" t="n">
        <x:v>20</x:v>
      </x:c>
      <x:c r="G1354" s="31" t="inlineStr">
        <x:is>
          <x:t xml:space="preserve">Резерв материалов</x:t>
        </x:is>
      </x:c>
      <x:c r="H1354" s="31" t="inlineStr">
        <x:is>
          <x:t xml:space="preserve">Склад</x:t>
        </x:is>
      </x:c>
      <x:c r="I1354" s="31" t="inlineStr">
        <x:is>
          <x:t xml:space="preserve">ОБ-023</x:t>
        </x:is>
      </x:c>
      <x:c r="J1354" s="31" t="inlineStr">
        <x:is>
          <x:t xml:space="preserve">СОТР-033</x:t>
        </x:is>
      </x:c>
      <x:c r="K1354" s="31" t="n">
        <x:v>6.2</x:v>
      </x:c>
      <x:c r="L1354" s="31" t="n">
        <x:v>8.1</x:v>
      </x:c>
      <x:c r="M1354" s="31" t="n">
        <x:v>46122</x:v>
      </x:c>
      <x:c r="N1354" s="31" t="n">
        <x:v>46123</x:v>
      </x:c>
      <x:c r="O1354" s="31" t="n">
        <x:v>46122</x:v>
      </x:c>
      <x:c r="P1354" s="31" t="n">
        <x:v>46125</x:v>
      </x:c>
      <x:c r="Q1354" s="31" t="inlineStr">
        <x:is>
          <x:t xml:space="preserve">Завершено</x:t>
        </x:is>
      </x:c>
      <x:c r="R1354" s="31" t="inlineStr">
        <x:is>
          <x:t xml:space="preserve">Нет</x:t>
        </x:is>
      </x:c>
      <x:c r="S1354" s="31" t="inlineStr">
        <x:is>
          <x:t xml:space="preserve">Нет</x:t>
        </x:is>
      </x:c>
    </x:row>
    <x:row r="1355">
      <x:c r="A1355" s="31" t="inlineStr">
        <x:is>
          <x:t xml:space="preserve">ОП-001354</x:t>
        </x:is>
      </x:c>
      <x:c r="B1355" s="31" t="inlineStr">
        <x:is>
          <x:t xml:space="preserve">ПЗ-00163</x:t>
        </x:is>
      </x:c>
      <x:c r="C1355" s="31" t="inlineStr">
        <x:is>
          <x:t xml:space="preserve">ЗК-1078</x:t>
        </x:is>
      </x:c>
      <x:c r="D1355" s="31" t="inlineStr">
        <x:is>
          <x:t xml:space="preserve">ПОЗ-0078-2</x:t>
        </x:is>
      </x:c>
      <x:c r="E1355" s="31" t="inlineStr">
        <x:is>
          <x:t xml:space="preserve">ИЗД-029</x:t>
        </x:is>
      </x:c>
      <x:c r="F1355" s="31" t="n">
        <x:v>30</x:v>
      </x:c>
      <x:c r="G1355" s="31" t="inlineStr">
        <x:is>
          <x:t xml:space="preserve">Резка металла</x:t>
        </x:is>
      </x:c>
      <x:c r="H1355" s="31" t="inlineStr">
        <x:is>
          <x:t xml:space="preserve">Сварка</x:t>
        </x:is>
      </x:c>
      <x:c r="I1355" s="31" t="inlineStr">
        <x:is>
          <x:t xml:space="preserve">ОБ-019</x:t>
        </x:is>
      </x:c>
      <x:c r="J1355" s="31" t="inlineStr">
        <x:is>
          <x:t xml:space="preserve">СОТР-059</x:t>
        </x:is>
      </x:c>
      <x:c r="K1355" s="31" t="n">
        <x:v>13.2</x:v>
      </x:c>
      <x:c r="L1355" s="31" t="n">
        <x:v>17.2</x:v>
      </x:c>
      <x:c r="M1355" s="31" t="n">
        <x:v>46123</x:v>
      </x:c>
      <x:c r="N1355" s="31" t="n">
        <x:v>46125</x:v>
      </x:c>
      <x:c r="O1355" s="31" t="n">
        <x:v>46123</x:v>
      </x:c>
      <x:c r="P1355" s="31" t="n">
        <x:v>46127</x:v>
      </x:c>
      <x:c r="Q1355" s="31" t="inlineStr">
        <x:is>
          <x:t xml:space="preserve">Завершено</x:t>
        </x:is>
      </x:c>
      <x:c r="R1355" s="31" t="inlineStr">
        <x:is>
          <x:t xml:space="preserve">КД</x:t>
        </x:is>
      </x:c>
      <x:c r="S1355" s="31" t="inlineStr">
        <x:is>
          <x:t xml:space="preserve">Нет</x:t>
        </x:is>
      </x:c>
    </x:row>
    <x:row r="1356">
      <x:c r="A1356" s="31" t="inlineStr">
        <x:is>
          <x:t xml:space="preserve">ОП-001355</x:t>
        </x:is>
      </x:c>
      <x:c r="B1356" s="31" t="inlineStr">
        <x:is>
          <x:t xml:space="preserve">ПЗ-00163</x:t>
        </x:is>
      </x:c>
      <x:c r="C1356" s="31" t="inlineStr">
        <x:is>
          <x:t xml:space="preserve">ЗК-1078</x:t>
        </x:is>
      </x:c>
      <x:c r="D1356" s="31" t="inlineStr">
        <x:is>
          <x:t xml:space="preserve">ПОЗ-0078-2</x:t>
        </x:is>
      </x:c>
      <x:c r="E1356" s="31" t="inlineStr">
        <x:is>
          <x:t xml:space="preserve">ИЗД-029</x:t>
        </x:is>
      </x:c>
      <x:c r="F1356" s="31" t="n">
        <x:v>40</x:v>
      </x:c>
      <x:c r="G1356" s="31" t="inlineStr">
        <x:is>
          <x:t xml:space="preserve">Сварка рамы</x:t>
        </x:is>
      </x:c>
      <x:c r="H1356" s="31" t="inlineStr">
        <x:is>
          <x:t xml:space="preserve">Сварка</x:t>
        </x:is>
      </x:c>
      <x:c r="I1356" s="31" t="inlineStr">
        <x:is>
          <x:t xml:space="preserve">ОБ-004</x:t>
        </x:is>
      </x:c>
      <x:c r="J1356" s="31" t="inlineStr">
        <x:is>
          <x:t xml:space="preserve">СОТР-071</x:t>
        </x:is>
      </x:c>
      <x:c r="K1356" s="31" t="n">
        <x:v>6.6</x:v>
      </x:c>
      <x:c r="L1356" s="31" t="n"/>
      <x:c r="M1356" s="31" t="n">
        <x:v>46125</x:v>
      </x:c>
      <x:c r="N1356" s="31" t="n">
        <x:v>46126</x:v>
      </x:c>
      <x:c r="O1356" s="31" t="n">
        <x:v>46125</x:v>
      </x:c>
      <x:c r="P1356" s="31" t="n"/>
      <x:c r="Q1356" s="31" t="inlineStr">
        <x:is>
          <x:t xml:space="preserve">В работе</x:t>
        </x:is>
      </x:c>
      <x:c r="R1356" s="31" t="inlineStr">
        <x:is>
          <x:t xml:space="preserve">Нет</x:t>
        </x:is>
      </x:c>
      <x:c r="S1356" s="31" t="inlineStr">
        <x:is>
          <x:t xml:space="preserve">Нет</x:t>
        </x:is>
      </x:c>
    </x:row>
    <x:row r="1357">
      <x:c r="A1357" s="31" t="inlineStr">
        <x:is>
          <x:t xml:space="preserve">ОП-001356</x:t>
        </x:is>
      </x:c>
      <x:c r="B1357" s="31" t="inlineStr">
        <x:is>
          <x:t xml:space="preserve">ПЗ-00163</x:t>
        </x:is>
      </x:c>
      <x:c r="C1357" s="31" t="inlineStr">
        <x:is>
          <x:t xml:space="preserve">ЗК-1078</x:t>
        </x:is>
      </x:c>
      <x:c r="D1357" s="31" t="inlineStr">
        <x:is>
          <x:t xml:space="preserve">ПОЗ-0078-2</x:t>
        </x:is>
      </x:c>
      <x:c r="E1357" s="31" t="inlineStr">
        <x:is>
          <x:t xml:space="preserve">ИЗД-029</x:t>
        </x:is>
      </x:c>
      <x:c r="F1357" s="31" t="n">
        <x:v>50</x:v>
      </x:c>
      <x:c r="G1357" s="31" t="inlineStr">
        <x:is>
          <x:t xml:space="preserve">Механообработка</x:t>
        </x:is>
      </x:c>
      <x:c r="H1357" s="31" t="inlineStr">
        <x:is>
          <x:t xml:space="preserve">Механообработка</x:t>
        </x:is>
      </x:c>
      <x:c r="I1357" s="31" t="inlineStr">
        <x:is>
          <x:t xml:space="preserve">ОБ-030</x:t>
        </x:is>
      </x:c>
      <x:c r="J1357" s="31" t="inlineStr">
        <x:is>
          <x:t xml:space="preserve">СОТР-041</x:t>
        </x:is>
      </x:c>
      <x:c r="K1357" s="31" t="n">
        <x:v>15.4</x:v>
      </x:c>
      <x:c r="L1357" s="31" t="n"/>
      <x:c r="M1357" s="31" t="n">
        <x:v>46126</x:v>
      </x:c>
      <x:c r="N1357" s="31" t="n">
        <x:v>46128</x:v>
      </x:c>
      <x:c r="O1357" s="31" t="n"/>
      <x:c r="P1357" s="31" t="n"/>
      <x:c r="Q1357" s="31" t="inlineStr">
        <x:is>
          <x:t xml:space="preserve">Запланировано</x:t>
        </x:is>
      </x:c>
      <x:c r="R1357" s="31" t="inlineStr">
        <x:is>
          <x:t xml:space="preserve">Нет</x:t>
        </x:is>
      </x:c>
      <x:c r="S1357" s="31" t="inlineStr">
        <x:is>
          <x:t xml:space="preserve">Да</x:t>
        </x:is>
      </x:c>
    </x:row>
    <x:row r="1358">
      <x:c r="A1358" s="31" t="inlineStr">
        <x:is>
          <x:t xml:space="preserve">ОП-001357</x:t>
        </x:is>
      </x:c>
      <x:c r="B1358" s="31" t="inlineStr">
        <x:is>
          <x:t xml:space="preserve">ПЗ-00163</x:t>
        </x:is>
      </x:c>
      <x:c r="C1358" s="31" t="inlineStr">
        <x:is>
          <x:t xml:space="preserve">ЗК-1078</x:t>
        </x:is>
      </x:c>
      <x:c r="D1358" s="31" t="inlineStr">
        <x:is>
          <x:t xml:space="preserve">ПОЗ-0078-2</x:t>
        </x:is>
      </x:c>
      <x:c r="E1358" s="31" t="inlineStr">
        <x:is>
          <x:t xml:space="preserve">ИЗД-029</x:t>
        </x:is>
      </x:c>
      <x:c r="F1358" s="31" t="n">
        <x:v>60</x:v>
      </x:c>
      <x:c r="G1358" s="31" t="inlineStr">
        <x:is>
          <x:t xml:space="preserve">Сборка</x:t>
        </x:is>
      </x:c>
      <x:c r="H1358" s="31" t="inlineStr">
        <x:is>
          <x:t xml:space="preserve">Сборка</x:t>
        </x:is>
      </x:c>
      <x:c r="I1358" s="31" t="inlineStr">
        <x:is>
          <x:t xml:space="preserve">ОБ-002</x:t>
        </x:is>
      </x:c>
      <x:c r="J1358" s="31" t="inlineStr">
        <x:is>
          <x:t xml:space="preserve">СОТР-079</x:t>
        </x:is>
      </x:c>
      <x:c r="K1358" s="31" t="n">
        <x:v>16.7</x:v>
      </x:c>
      <x:c r="L1358" s="31" t="n">
        <x:v>21.5</x:v>
      </x:c>
      <x:c r="M1358" s="31" t="n">
        <x:v>46128</x:v>
      </x:c>
      <x:c r="N1358" s="31" t="n">
        <x:v>46130</x:v>
      </x:c>
      <x:c r="O1358" s="31" t="n">
        <x:v>46128</x:v>
      </x:c>
      <x:c r="P1358" s="31" t="n">
        <x:v>46129</x:v>
      </x:c>
      <x:c r="Q1358" s="31" t="inlineStr">
        <x:is>
          <x:t xml:space="preserve">Завершено</x:t>
        </x:is>
      </x:c>
      <x:c r="R1358" s="31" t="inlineStr">
        <x:is>
          <x:t xml:space="preserve">Нет</x:t>
        </x:is>
      </x:c>
      <x:c r="S1358" s="31" t="inlineStr">
        <x:is>
          <x:t xml:space="preserve">Да</x:t>
        </x:is>
      </x:c>
    </x:row>
    <x:row r="1359">
      <x:c r="A1359" s="31" t="inlineStr">
        <x:is>
          <x:t xml:space="preserve">ОП-001358</x:t>
        </x:is>
      </x:c>
      <x:c r="B1359" s="31" t="inlineStr">
        <x:is>
          <x:t xml:space="preserve">ПЗ-00163</x:t>
        </x:is>
      </x:c>
      <x:c r="C1359" s="31" t="inlineStr">
        <x:is>
          <x:t xml:space="preserve">ЗК-1078</x:t>
        </x:is>
      </x:c>
      <x:c r="D1359" s="31" t="inlineStr">
        <x:is>
          <x:t xml:space="preserve">ПОЗ-0078-2</x:t>
        </x:is>
      </x:c>
      <x:c r="E1359" s="31" t="inlineStr">
        <x:is>
          <x:t xml:space="preserve">ИЗД-029</x:t>
        </x:is>
      </x:c>
      <x:c r="F1359" s="31" t="n">
        <x:v>70</x:v>
      </x:c>
      <x:c r="G1359" s="31" t="inlineStr">
        <x:is>
          <x:t xml:space="preserve">Обвязка труб</x:t>
        </x:is>
      </x:c>
      <x:c r="H1359" s="31" t="inlineStr">
        <x:is>
          <x:t xml:space="preserve">Сборка</x:t>
        </x:is>
      </x:c>
      <x:c r="I1359" s="31" t="inlineStr">
        <x:is>
          <x:t xml:space="preserve">ОБ-012</x:t>
        </x:is>
      </x:c>
      <x:c r="J1359" s="31" t="inlineStr">
        <x:is>
          <x:t xml:space="preserve">СОТР-079</x:t>
        </x:is>
      </x:c>
      <x:c r="K1359" s="31" t="n">
        <x:v>17.6</x:v>
      </x:c>
      <x:c r="L1359" s="31" t="n"/>
      <x:c r="M1359" s="31" t="n">
        <x:v>46130</x:v>
      </x:c>
      <x:c r="N1359" s="31" t="n">
        <x:v>46132</x:v>
      </x:c>
      <x:c r="O1359" s="31" t="n"/>
      <x:c r="P1359" s="31" t="n"/>
      <x:c r="Q1359" s="31" t="inlineStr">
        <x:is>
          <x:t xml:space="preserve">Запланировано</x:t>
        </x:is>
      </x:c>
      <x:c r="R1359" s="31" t="inlineStr">
        <x:is>
          <x:t xml:space="preserve">Нет</x:t>
        </x:is>
      </x:c>
      <x:c r="S1359" s="31" t="inlineStr">
        <x:is>
          <x:t xml:space="preserve">Нет</x:t>
        </x:is>
      </x:c>
    </x:row>
    <x:row r="1360">
      <x:c r="A1360" s="31" t="inlineStr">
        <x:is>
          <x:t xml:space="preserve">ОП-001359</x:t>
        </x:is>
      </x:c>
      <x:c r="B1360" s="31" t="inlineStr">
        <x:is>
          <x:t xml:space="preserve">ПЗ-00163</x:t>
        </x:is>
      </x:c>
      <x:c r="C1360" s="31" t="inlineStr">
        <x:is>
          <x:t xml:space="preserve">ЗК-1078</x:t>
        </x:is>
      </x:c>
      <x:c r="D1360" s="31" t="inlineStr">
        <x:is>
          <x:t xml:space="preserve">ПОЗ-0078-2</x:t>
        </x:is>
      </x:c>
      <x:c r="E1360" s="31" t="inlineStr">
        <x:is>
          <x:t xml:space="preserve">ИЗД-029</x:t>
        </x:is>
      </x:c>
      <x:c r="F1360" s="31" t="n">
        <x:v>80</x:v>
      </x:c>
      <x:c r="G1360" s="31" t="inlineStr">
        <x:is>
          <x:t xml:space="preserve">Электромонтаж</x:t>
        </x:is>
      </x:c>
      <x:c r="H1360" s="31" t="inlineStr">
        <x:is>
          <x:t xml:space="preserve">Сборка</x:t>
        </x:is>
      </x:c>
      <x:c r="I1360" s="31" t="inlineStr">
        <x:is>
          <x:t xml:space="preserve">ОБ-014</x:t>
        </x:is>
      </x:c>
      <x:c r="J1360" s="31" t="inlineStr">
        <x:is>
          <x:t xml:space="preserve">СОТР-073</x:t>
        </x:is>
      </x:c>
      <x:c r="K1360" s="31" t="n">
        <x:v>4.7</x:v>
      </x:c>
      <x:c r="L1360" s="31" t="n"/>
      <x:c r="M1360" s="31" t="n">
        <x:v>46132</x:v>
      </x:c>
      <x:c r="N1360" s="31" t="n">
        <x:v>46133</x:v>
      </x:c>
      <x:c r="O1360" s="31" t="n"/>
      <x:c r="P1360" s="31" t="n"/>
      <x:c r="Q1360" s="31" t="inlineStr">
        <x:is>
          <x:t xml:space="preserve">Запланировано</x:t>
        </x:is>
      </x:c>
      <x:c r="R1360" s="31" t="inlineStr">
        <x:is>
          <x:t xml:space="preserve">Нет</x:t>
        </x:is>
      </x:c>
      <x:c r="S1360" s="31" t="inlineStr">
        <x:is>
          <x:t xml:space="preserve">Нет</x:t>
        </x:is>
      </x:c>
    </x:row>
    <x:row r="1361">
      <x:c r="A1361" s="31" t="inlineStr">
        <x:is>
          <x:t xml:space="preserve">ОП-001360</x:t>
        </x:is>
      </x:c>
      <x:c r="B1361" s="31" t="inlineStr">
        <x:is>
          <x:t xml:space="preserve">ПЗ-00163</x:t>
        </x:is>
      </x:c>
      <x:c r="C1361" s="31" t="inlineStr">
        <x:is>
          <x:t xml:space="preserve">ЗК-1078</x:t>
        </x:is>
      </x:c>
      <x:c r="D1361" s="31" t="inlineStr">
        <x:is>
          <x:t xml:space="preserve">ПОЗ-0078-2</x:t>
        </x:is>
      </x:c>
      <x:c r="E1361" s="31" t="inlineStr">
        <x:is>
          <x:t xml:space="preserve">ИЗД-029</x:t>
        </x:is>
      </x:c>
      <x:c r="F1361" s="31" t="n">
        <x:v>90</x:v>
      </x:c>
      <x:c r="G1361" s="31" t="inlineStr">
        <x:is>
          <x:t xml:space="preserve">Приемочные испытания</x:t>
        </x:is>
      </x:c>
      <x:c r="H1361" s="31" t="inlineStr">
        <x:is>
          <x:t xml:space="preserve">ОТК</x:t>
        </x:is>
      </x:c>
      <x:c r="I1361" s="31" t="inlineStr">
        <x:is>
          <x:t xml:space="preserve">ОБ-022</x:t>
        </x:is>
      </x:c>
      <x:c r="J1361" s="31" t="inlineStr">
        <x:is>
          <x:t xml:space="preserve">СОТР-100</x:t>
        </x:is>
      </x:c>
      <x:c r="K1361" s="31" t="n">
        <x:v>16.8</x:v>
      </x:c>
      <x:c r="L1361" s="31" t="n"/>
      <x:c r="M1361" s="31" t="n">
        <x:v>46133</x:v>
      </x:c>
      <x:c r="N1361" s="31" t="n">
        <x:v>46135</x:v>
      </x:c>
      <x:c r="O1361" s="31" t="n"/>
      <x:c r="P1361" s="31" t="n"/>
      <x:c r="Q1361" s="31" t="inlineStr">
        <x:is>
          <x:t xml:space="preserve">Запланировано</x:t>
        </x:is>
      </x:c>
      <x:c r="R1361" s="31" t="inlineStr">
        <x:is>
          <x:t xml:space="preserve">Нет</x:t>
        </x:is>
      </x:c>
      <x:c r="S1361" s="31" t="inlineStr">
        <x:is>
          <x:t xml:space="preserve">Нет</x:t>
        </x:is>
      </x:c>
    </x:row>
    <x:row r="1362">
      <x:c r="A1362" s="31" t="inlineStr">
        <x:is>
          <x:t xml:space="preserve">ОП-001361</x:t>
        </x:is>
      </x:c>
      <x:c r="B1362" s="31" t="inlineStr">
        <x:is>
          <x:t xml:space="preserve">ПЗ-00163</x:t>
        </x:is>
      </x:c>
      <x:c r="C1362" s="31" t="inlineStr">
        <x:is>
          <x:t xml:space="preserve">ЗК-1078</x:t>
        </x:is>
      </x:c>
      <x:c r="D1362" s="31" t="inlineStr">
        <x:is>
          <x:t xml:space="preserve">ПОЗ-0078-2</x:t>
        </x:is>
      </x:c>
      <x:c r="E1362" s="31" t="inlineStr">
        <x:is>
          <x:t xml:space="preserve">ИЗД-029</x:t>
        </x:is>
      </x:c>
      <x:c r="F1362" s="31" t="n">
        <x:v>100</x:v>
      </x:c>
      <x:c r="G1362" s="31" t="inlineStr">
        <x:is>
          <x:t xml:space="preserve">ОТК</x:t>
        </x:is>
      </x:c>
      <x:c r="H1362" s="31" t="inlineStr">
        <x:is>
          <x:t xml:space="preserve">ОТК</x:t>
        </x:is>
      </x:c>
      <x:c r="I1362" s="31" t="inlineStr">
        <x:is>
          <x:t xml:space="preserve">ОБ-007</x:t>
        </x:is>
      </x:c>
      <x:c r="J1362" s="31" t="inlineStr">
        <x:is>
          <x:t xml:space="preserve">СОТР-096</x:t>
        </x:is>
      </x:c>
      <x:c r="K1362" s="31" t="n">
        <x:v>12.1</x:v>
      </x:c>
      <x:c r="L1362" s="31" t="n"/>
      <x:c r="M1362" s="31" t="n">
        <x:v>46135</x:v>
      </x:c>
      <x:c r="N1362" s="31" t="n">
        <x:v>46137</x:v>
      </x:c>
      <x:c r="O1362" s="31" t="n"/>
      <x:c r="P1362" s="31" t="n"/>
      <x:c r="Q1362" s="31" t="inlineStr">
        <x:is>
          <x:t xml:space="preserve">Запланировано</x:t>
        </x:is>
      </x:c>
      <x:c r="R1362" s="31" t="inlineStr">
        <x:is>
          <x:t xml:space="preserve">Нет</x:t>
        </x:is>
      </x:c>
      <x:c r="S1362" s="31" t="inlineStr">
        <x:is>
          <x:t xml:space="preserve">Нет</x:t>
        </x:is>
      </x:c>
    </x:row>
    <x:row r="1363">
      <x:c r="A1363" s="31" t="inlineStr">
        <x:is>
          <x:t xml:space="preserve">ОП-001362</x:t>
        </x:is>
      </x:c>
      <x:c r="B1363" s="31" t="inlineStr">
        <x:is>
          <x:t xml:space="preserve">ПЗ-00163</x:t>
        </x:is>
      </x:c>
      <x:c r="C1363" s="31" t="inlineStr">
        <x:is>
          <x:t xml:space="preserve">ЗК-1078</x:t>
        </x:is>
      </x:c>
      <x:c r="D1363" s="31" t="inlineStr">
        <x:is>
          <x:t xml:space="preserve">ПОЗ-0078-2</x:t>
        </x:is>
      </x:c>
      <x:c r="E1363" s="31" t="inlineStr">
        <x:is>
          <x:t xml:space="preserve">ИЗД-029</x:t>
        </x:is>
      </x:c>
      <x:c r="F1363" s="31" t="n">
        <x:v>110</x:v>
      </x:c>
      <x:c r="G1363" s="31" t="inlineStr">
        <x:is>
          <x:t xml:space="preserve">Упаковка</x:t>
        </x:is>
      </x:c>
      <x:c r="H1363" s="31" t="inlineStr">
        <x:is>
          <x:t xml:space="preserve">Логистика</x:t>
        </x:is>
      </x:c>
      <x:c r="I1363" s="31" t="n"/>
      <x:c r="J1363" s="31" t="inlineStr">
        <x:is>
          <x:t xml:space="preserve">СОТР-104</x:t>
        </x:is>
      </x:c>
      <x:c r="K1363" s="31" t="n">
        <x:v>8.9</x:v>
      </x:c>
      <x:c r="L1363" s="31" t="n"/>
      <x:c r="M1363" s="31" t="n">
        <x:v>46137</x:v>
      </x:c>
      <x:c r="N1363" s="31" t="n">
        <x:v>46138</x:v>
      </x:c>
      <x:c r="O1363" s="31" t="n">
        <x:v>46137</x:v>
      </x:c>
      <x:c r="P1363" s="31" t="n"/>
      <x:c r="Q1363" s="31" t="inlineStr">
        <x:is>
          <x:t xml:space="preserve">В работе</x:t>
        </x:is>
      </x:c>
      <x:c r="R1363" s="31" t="inlineStr">
        <x:is>
          <x:t xml:space="preserve">Нет</x:t>
        </x:is>
      </x:c>
      <x:c r="S1363" s="31" t="inlineStr">
        <x:is>
          <x:t xml:space="preserve">Нет</x:t>
        </x:is>
      </x:c>
    </x:row>
    <x:row r="1364">
      <x:c r="A1364" s="31" t="inlineStr">
        <x:is>
          <x:t xml:space="preserve">ОП-001363</x:t>
        </x:is>
      </x:c>
      <x:c r="B1364" s="31" t="inlineStr">
        <x:is>
          <x:t xml:space="preserve">ПЗ-00164</x:t>
        </x:is>
      </x:c>
      <x:c r="C1364" s="31" t="inlineStr">
        <x:is>
          <x:t xml:space="preserve">ЗК-1078</x:t>
        </x:is>
      </x:c>
      <x:c r="D1364" s="31" t="inlineStr">
        <x:is>
          <x:t xml:space="preserve">ПОЗ-0078-3</x:t>
        </x:is>
      </x:c>
      <x:c r="E1364" s="31" t="inlineStr">
        <x:is>
          <x:t xml:space="preserve">ИЗД-022</x:t>
        </x:is>
      </x:c>
      <x:c r="F1364" s="31" t="n">
        <x:v>10</x:v>
      </x:c>
      <x:c r="G1364" s="31" t="inlineStr">
        <x:is>
          <x:t xml:space="preserve">КД</x:t>
        </x:is>
      </x:c>
      <x:c r="H1364" s="31" t="inlineStr">
        <x:is>
          <x:t xml:space="preserve">Инженерный отдел</x:t>
        </x:is>
      </x:c>
      <x:c r="I1364" s="31" t="n"/>
      <x:c r="J1364" s="31" t="inlineStr">
        <x:is>
          <x:t xml:space="preserve">СОТР-012</x:t>
        </x:is>
      </x:c>
      <x:c r="K1364" s="31" t="n">
        <x:v>18.4</x:v>
      </x:c>
      <x:c r="L1364" s="31" t="n">
        <x:v>18.7</x:v>
      </x:c>
      <x:c r="M1364" s="31" t="n">
        <x:v>46106</x:v>
      </x:c>
      <x:c r="N1364" s="31" t="n">
        <x:v>46108</x:v>
      </x:c>
      <x:c r="O1364" s="31" t="n">
        <x:v>46106</x:v>
      </x:c>
      <x:c r="P1364" s="31" t="n">
        <x:v>46109</x:v>
      </x:c>
      <x:c r="Q1364" s="31" t="inlineStr">
        <x:is>
          <x:t xml:space="preserve">Завершено</x:t>
        </x:is>
      </x:c>
      <x:c r="R1364" s="31" t="inlineStr">
        <x:is>
          <x:t xml:space="preserve">Нет</x:t>
        </x:is>
      </x:c>
      <x:c r="S1364" s="31" t="inlineStr">
        <x:is>
          <x:t xml:space="preserve">Нет</x:t>
        </x:is>
      </x:c>
    </x:row>
    <x:row r="1365">
      <x:c r="A1365" s="31" t="inlineStr">
        <x:is>
          <x:t xml:space="preserve">ОП-001364</x:t>
        </x:is>
      </x:c>
      <x:c r="B1365" s="31" t="inlineStr">
        <x:is>
          <x:t xml:space="preserve">ПЗ-00164</x:t>
        </x:is>
      </x:c>
      <x:c r="C1365" s="31" t="inlineStr">
        <x:is>
          <x:t xml:space="preserve">ЗК-1078</x:t>
        </x:is>
      </x:c>
      <x:c r="D1365" s="31" t="inlineStr">
        <x:is>
          <x:t xml:space="preserve">ПОЗ-0078-3</x:t>
        </x:is>
      </x:c>
      <x:c r="E1365" s="31" t="inlineStr">
        <x:is>
          <x:t xml:space="preserve">ИЗД-022</x:t>
        </x:is>
      </x:c>
      <x:c r="F1365" s="31" t="n">
        <x:v>20</x:v>
      </x:c>
      <x:c r="G1365" s="31" t="inlineStr">
        <x:is>
          <x:t xml:space="preserve">Резерв материалов</x:t>
        </x:is>
      </x:c>
      <x:c r="H1365" s="31" t="inlineStr">
        <x:is>
          <x:t xml:space="preserve">Склад</x:t>
        </x:is>
      </x:c>
      <x:c r="I1365" s="31" t="inlineStr">
        <x:is>
          <x:t xml:space="preserve">ОБ-009</x:t>
        </x:is>
      </x:c>
      <x:c r="J1365" s="31" t="inlineStr">
        <x:is>
          <x:t xml:space="preserve">СОТР-037</x:t>
        </x:is>
      </x:c>
      <x:c r="K1365" s="31" t="n">
        <x:v>16</x:v>
      </x:c>
      <x:c r="L1365" s="31" t="n">
        <x:v>16.9</x:v>
      </x:c>
      <x:c r="M1365" s="31" t="n">
        <x:v>46108</x:v>
      </x:c>
      <x:c r="N1365" s="31" t="n">
        <x:v>46110</x:v>
      </x:c>
      <x:c r="O1365" s="31" t="n">
        <x:v>46108</x:v>
      </x:c>
      <x:c r="P1365" s="31" t="n">
        <x:v>46109</x:v>
      </x:c>
      <x:c r="Q1365" s="31" t="inlineStr">
        <x:is>
          <x:t xml:space="preserve">Завершено</x:t>
        </x:is>
      </x:c>
      <x:c r="R1365" s="31" t="inlineStr">
        <x:is>
          <x:t xml:space="preserve">Нет</x:t>
        </x:is>
      </x:c>
      <x:c r="S1365" s="31" t="inlineStr">
        <x:is>
          <x:t xml:space="preserve">Нет</x:t>
        </x:is>
      </x:c>
    </x:row>
    <x:row r="1366">
      <x:c r="A1366" s="31" t="inlineStr">
        <x:is>
          <x:t xml:space="preserve">ОП-001365</x:t>
        </x:is>
      </x:c>
      <x:c r="B1366" s="31" t="inlineStr">
        <x:is>
          <x:t xml:space="preserve">ПЗ-00164</x:t>
        </x:is>
      </x:c>
      <x:c r="C1366" s="31" t="inlineStr">
        <x:is>
          <x:t xml:space="preserve">ЗК-1078</x:t>
        </x:is>
      </x:c>
      <x:c r="D1366" s="31" t="inlineStr">
        <x:is>
          <x:t xml:space="preserve">ПОЗ-0078-3</x:t>
        </x:is>
      </x:c>
      <x:c r="E1366" s="31" t="inlineStr">
        <x:is>
          <x:t xml:space="preserve">ИЗД-022</x:t>
        </x:is>
      </x:c>
      <x:c r="F1366" s="31" t="n">
        <x:v>30</x:v>
      </x:c>
      <x:c r="G1366" s="31" t="inlineStr">
        <x:is>
          <x:t xml:space="preserve">Сварка рамы</x:t>
        </x:is>
      </x:c>
      <x:c r="H1366" s="31" t="inlineStr">
        <x:is>
          <x:t xml:space="preserve">Сварка</x:t>
        </x:is>
      </x:c>
      <x:c r="I1366" s="31" t="inlineStr">
        <x:is>
          <x:t xml:space="preserve">ОБ-021</x:t>
        </x:is>
      </x:c>
      <x:c r="J1366" s="31" t="inlineStr">
        <x:is>
          <x:t xml:space="preserve">СОТР-069</x:t>
        </x:is>
      </x:c>
      <x:c r="K1366" s="31" t="n">
        <x:v>8</x:v>
      </x:c>
      <x:c r="L1366" s="31" t="n">
        <x:v>7.7</x:v>
      </x:c>
      <x:c r="M1366" s="31" t="n">
        <x:v>46110</x:v>
      </x:c>
      <x:c r="N1366" s="31" t="n">
        <x:v>46111</x:v>
      </x:c>
      <x:c r="O1366" s="31" t="n">
        <x:v>46110</x:v>
      </x:c>
      <x:c r="P1366" s="31" t="n">
        <x:v>46113</x:v>
      </x:c>
      <x:c r="Q1366" s="31" t="inlineStr">
        <x:is>
          <x:t xml:space="preserve">Завершено</x:t>
        </x:is>
      </x:c>
      <x:c r="R1366" s="31" t="inlineStr">
        <x:is>
          <x:t xml:space="preserve">Нет</x:t>
        </x:is>
      </x:c>
      <x:c r="S1366" s="31" t="inlineStr">
        <x:is>
          <x:t xml:space="preserve">Да</x:t>
        </x:is>
      </x:c>
    </x:row>
    <x:row r="1367">
      <x:c r="A1367" s="31" t="inlineStr">
        <x:is>
          <x:t xml:space="preserve">ОП-001366</x:t>
        </x:is>
      </x:c>
      <x:c r="B1367" s="31" t="inlineStr">
        <x:is>
          <x:t xml:space="preserve">ПЗ-00164</x:t>
        </x:is>
      </x:c>
      <x:c r="C1367" s="31" t="inlineStr">
        <x:is>
          <x:t xml:space="preserve">ЗК-1078</x:t>
        </x:is>
      </x:c>
      <x:c r="D1367" s="31" t="inlineStr">
        <x:is>
          <x:t xml:space="preserve">ПОЗ-0078-3</x:t>
        </x:is>
      </x:c>
      <x:c r="E1367" s="31" t="inlineStr">
        <x:is>
          <x:t xml:space="preserve">ИЗД-022</x:t>
        </x:is>
      </x:c>
      <x:c r="F1367" s="31" t="n">
        <x:v>40</x:v>
      </x:c>
      <x:c r="G1367" s="31" t="inlineStr">
        <x:is>
          <x:t xml:space="preserve">Сборка</x:t>
        </x:is>
      </x:c>
      <x:c r="H1367" s="31" t="inlineStr">
        <x:is>
          <x:t xml:space="preserve">Сборка</x:t>
        </x:is>
      </x:c>
      <x:c r="I1367" s="31" t="inlineStr">
        <x:is>
          <x:t xml:space="preserve">ОБ-012</x:t>
        </x:is>
      </x:c>
      <x:c r="J1367" s="31" t="inlineStr">
        <x:is>
          <x:t xml:space="preserve">СОТР-084</x:t>
        </x:is>
      </x:c>
      <x:c r="K1367" s="31" t="n">
        <x:v>8</x:v>
      </x:c>
      <x:c r="L1367" s="31" t="n">
        <x:v>9.199999999999999</x:v>
      </x:c>
      <x:c r="M1367" s="31" t="n">
        <x:v>46111</x:v>
      </x:c>
      <x:c r="N1367" s="31" t="n">
        <x:v>46112</x:v>
      </x:c>
      <x:c r="O1367" s="31" t="n">
        <x:v>46111</x:v>
      </x:c>
      <x:c r="P1367" s="31" t="n">
        <x:v>46114</x:v>
      </x:c>
      <x:c r="Q1367" s="31" t="inlineStr">
        <x:is>
          <x:t xml:space="preserve">Завершено</x:t>
        </x:is>
      </x:c>
      <x:c r="R1367" s="31" t="inlineStr">
        <x:is>
          <x:t xml:space="preserve">Ожидание ОТК</x:t>
        </x:is>
      </x:c>
      <x:c r="S1367" s="31" t="inlineStr">
        <x:is>
          <x:t xml:space="preserve">Нет</x:t>
        </x:is>
      </x:c>
    </x:row>
    <x:row r="1368">
      <x:c r="A1368" s="31" t="inlineStr">
        <x:is>
          <x:t xml:space="preserve">ОП-001367</x:t>
        </x:is>
      </x:c>
      <x:c r="B1368" s="31" t="inlineStr">
        <x:is>
          <x:t xml:space="preserve">ПЗ-00164</x:t>
        </x:is>
      </x:c>
      <x:c r="C1368" s="31" t="inlineStr">
        <x:is>
          <x:t xml:space="preserve">ЗК-1078</x:t>
        </x:is>
      </x:c>
      <x:c r="D1368" s="31" t="inlineStr">
        <x:is>
          <x:t xml:space="preserve">ПОЗ-0078-3</x:t>
        </x:is>
      </x:c>
      <x:c r="E1368" s="31" t="inlineStr">
        <x:is>
          <x:t xml:space="preserve">ИЗД-022</x:t>
        </x:is>
      </x:c>
      <x:c r="F1368" s="31" t="n">
        <x:v>50</x:v>
      </x:c>
      <x:c r="G1368" s="31" t="inlineStr">
        <x:is>
          <x:t xml:space="preserve">Обвязка труб</x:t>
        </x:is>
      </x:c>
      <x:c r="H1368" s="31" t="inlineStr">
        <x:is>
          <x:t xml:space="preserve">Сборка</x:t>
        </x:is>
      </x:c>
      <x:c r="I1368" s="31" t="inlineStr">
        <x:is>
          <x:t xml:space="preserve">ОБ-034</x:t>
        </x:is>
      </x:c>
      <x:c r="J1368" s="31" t="inlineStr">
        <x:is>
          <x:t xml:space="preserve">СОТР-032</x:t>
        </x:is>
      </x:c>
      <x:c r="K1368" s="31" t="n">
        <x:v>15.8</x:v>
      </x:c>
      <x:c r="L1368" s="31" t="n">
        <x:v>17.7</x:v>
      </x:c>
      <x:c r="M1368" s="31" t="n">
        <x:v>46112</x:v>
      </x:c>
      <x:c r="N1368" s="31" t="n">
        <x:v>46114</x:v>
      </x:c>
      <x:c r="O1368" s="31" t="n">
        <x:v>46112</x:v>
      </x:c>
      <x:c r="P1368" s="31" t="n">
        <x:v>46115</x:v>
      </x:c>
      <x:c r="Q1368" s="31" t="inlineStr">
        <x:is>
          <x:t xml:space="preserve">Завершено</x:t>
        </x:is>
      </x:c>
      <x:c r="R1368" s="31" t="inlineStr">
        <x:is>
          <x:t xml:space="preserve">Нет</x:t>
        </x:is>
      </x:c>
      <x:c r="S1368" s="31" t="inlineStr">
        <x:is>
          <x:t xml:space="preserve">Нет</x:t>
        </x:is>
      </x:c>
    </x:row>
    <x:row r="1369">
      <x:c r="A1369" s="31" t="inlineStr">
        <x:is>
          <x:t xml:space="preserve">ОП-001368</x:t>
        </x:is>
      </x:c>
      <x:c r="B1369" s="31" t="inlineStr">
        <x:is>
          <x:t xml:space="preserve">ПЗ-00164</x:t>
        </x:is>
      </x:c>
      <x:c r="C1369" s="31" t="inlineStr">
        <x:is>
          <x:t xml:space="preserve">ЗК-1078</x:t>
        </x:is>
      </x:c>
      <x:c r="D1369" s="31" t="inlineStr">
        <x:is>
          <x:t xml:space="preserve">ПОЗ-0078-3</x:t>
        </x:is>
      </x:c>
      <x:c r="E1369" s="31" t="inlineStr">
        <x:is>
          <x:t xml:space="preserve">ИЗД-022</x:t>
        </x:is>
      </x:c>
      <x:c r="F1369" s="31" t="n">
        <x:v>60</x:v>
      </x:c>
      <x:c r="G1369" s="31" t="inlineStr">
        <x:is>
          <x:t xml:space="preserve">Электромонтаж</x:t>
        </x:is>
      </x:c>
      <x:c r="H1369" s="31" t="inlineStr">
        <x:is>
          <x:t xml:space="preserve">Сборка</x:t>
        </x:is>
      </x:c>
      <x:c r="I1369" s="31" t="inlineStr">
        <x:is>
          <x:t xml:space="preserve">ОБ-016</x:t>
        </x:is>
      </x:c>
      <x:c r="J1369" s="31" t="inlineStr">
        <x:is>
          <x:t xml:space="preserve">СОТР-077</x:t>
        </x:is>
      </x:c>
      <x:c r="K1369" s="31" t="n">
        <x:v>14</x:v>
      </x:c>
      <x:c r="L1369" s="31" t="n">
        <x:v>11.2</x:v>
      </x:c>
      <x:c r="M1369" s="31" t="n">
        <x:v>46114</x:v>
      </x:c>
      <x:c r="N1369" s="31" t="n">
        <x:v>46116</x:v>
      </x:c>
      <x:c r="O1369" s="31" t="n">
        <x:v>46114</x:v>
      </x:c>
      <x:c r="P1369" s="31" t="n">
        <x:v>46118</x:v>
      </x:c>
      <x:c r="Q1369" s="31" t="inlineStr">
        <x:is>
          <x:t xml:space="preserve">Завершено</x:t>
        </x:is>
      </x:c>
      <x:c r="R1369" s="31" t="inlineStr">
        <x:is>
          <x:t xml:space="preserve">Нет</x:t>
        </x:is>
      </x:c>
      <x:c r="S1369" s="31" t="inlineStr">
        <x:is>
          <x:t xml:space="preserve">Нет</x:t>
        </x:is>
      </x:c>
    </x:row>
    <x:row r="1370">
      <x:c r="A1370" s="31" t="inlineStr">
        <x:is>
          <x:t xml:space="preserve">ОП-001369</x:t>
        </x:is>
      </x:c>
      <x:c r="B1370" s="31" t="inlineStr">
        <x:is>
          <x:t xml:space="preserve">ПЗ-00164</x:t>
        </x:is>
      </x:c>
      <x:c r="C1370" s="31" t="inlineStr">
        <x:is>
          <x:t xml:space="preserve">ЗК-1078</x:t>
        </x:is>
      </x:c>
      <x:c r="D1370" s="31" t="inlineStr">
        <x:is>
          <x:t xml:space="preserve">ПОЗ-0078-3</x:t>
        </x:is>
      </x:c>
      <x:c r="E1370" s="31" t="inlineStr">
        <x:is>
          <x:t xml:space="preserve">ИЗД-022</x:t>
        </x:is>
      </x:c>
      <x:c r="F1370" s="31" t="n">
        <x:v>70</x:v>
      </x:c>
      <x:c r="G1370" s="31" t="inlineStr">
        <x:is>
          <x:t xml:space="preserve">Гидроиспытания</x:t>
        </x:is>
      </x:c>
      <x:c r="H1370" s="31" t="inlineStr">
        <x:is>
          <x:t xml:space="preserve">ОТК</x:t>
        </x:is>
      </x:c>
      <x:c r="I1370" s="31" t="inlineStr">
        <x:is>
          <x:t xml:space="preserve">ОБ-013</x:t>
        </x:is>
      </x:c>
      <x:c r="J1370" s="31" t="inlineStr">
        <x:is>
          <x:t xml:space="preserve">СОТР-093</x:t>
        </x:is>
      </x:c>
      <x:c r="K1370" s="31" t="n">
        <x:v>8.199999999999999</x:v>
      </x:c>
      <x:c r="L1370" s="31" t="n">
        <x:v>10.2</x:v>
      </x:c>
      <x:c r="M1370" s="31" t="n">
        <x:v>46116</x:v>
      </x:c>
      <x:c r="N1370" s="31" t="n">
        <x:v>46117</x:v>
      </x:c>
      <x:c r="O1370" s="31" t="n">
        <x:v>46116</x:v>
      </x:c>
      <x:c r="P1370" s="31" t="n">
        <x:v>46116</x:v>
      </x:c>
      <x:c r="Q1370" s="31" t="inlineStr">
        <x:is>
          <x:t xml:space="preserve">Завершено</x:t>
        </x:is>
      </x:c>
      <x:c r="R1370" s="31" t="inlineStr">
        <x:is>
          <x:t xml:space="preserve">Ожидание ОТК</x:t>
        </x:is>
      </x:c>
      <x:c r="S1370" s="31" t="inlineStr">
        <x:is>
          <x:t xml:space="preserve">Нет</x:t>
        </x:is>
      </x:c>
    </x:row>
    <x:row r="1371">
      <x:c r="A1371" s="31" t="inlineStr">
        <x:is>
          <x:t xml:space="preserve">ОП-001370</x:t>
        </x:is>
      </x:c>
      <x:c r="B1371" s="31" t="inlineStr">
        <x:is>
          <x:t xml:space="preserve">ПЗ-00164</x:t>
        </x:is>
      </x:c>
      <x:c r="C1371" s="31" t="inlineStr">
        <x:is>
          <x:t xml:space="preserve">ЗК-1078</x:t>
        </x:is>
      </x:c>
      <x:c r="D1371" s="31" t="inlineStr">
        <x:is>
          <x:t xml:space="preserve">ПОЗ-0078-3</x:t>
        </x:is>
      </x:c>
      <x:c r="E1371" s="31" t="inlineStr">
        <x:is>
          <x:t xml:space="preserve">ИЗД-022</x:t>
        </x:is>
      </x:c>
      <x:c r="F1371" s="31" t="n">
        <x:v>80</x:v>
      </x:c>
      <x:c r="G1371" s="31" t="inlineStr">
        <x:is>
          <x:t xml:space="preserve">ОТК</x:t>
        </x:is>
      </x:c>
      <x:c r="H1371" s="31" t="inlineStr">
        <x:is>
          <x:t xml:space="preserve">ОТК</x:t>
        </x:is>
      </x:c>
      <x:c r="I1371" s="31" t="inlineStr">
        <x:is>
          <x:t xml:space="preserve">ОБ-032</x:t>
        </x:is>
      </x:c>
      <x:c r="J1371" s="31" t="inlineStr">
        <x:is>
          <x:t xml:space="preserve">СОТР-093</x:t>
        </x:is>
      </x:c>
      <x:c r="K1371" s="31" t="n">
        <x:v>21.6</x:v>
      </x:c>
      <x:c r="L1371" s="31" t="n"/>
      <x:c r="M1371" s="31" t="n">
        <x:v>46117</x:v>
      </x:c>
      <x:c r="N1371" s="31" t="n">
        <x:v>46119</x:v>
      </x:c>
      <x:c r="O1371" s="31" t="n"/>
      <x:c r="P1371" s="31" t="n"/>
      <x:c r="Q1371" s="31" t="inlineStr">
        <x:is>
          <x:t xml:space="preserve">Запланировано</x:t>
        </x:is>
      </x:c>
      <x:c r="R1371" s="31" t="inlineStr">
        <x:is>
          <x:t xml:space="preserve">Нет</x:t>
        </x:is>
      </x:c>
      <x:c r="S1371" s="31" t="inlineStr">
        <x:is>
          <x:t xml:space="preserve">Нет</x:t>
        </x:is>
      </x:c>
    </x:row>
    <x:row r="1372">
      <x:c r="A1372" s="31" t="inlineStr">
        <x:is>
          <x:t xml:space="preserve">ОП-001371</x:t>
        </x:is>
      </x:c>
      <x:c r="B1372" s="31" t="inlineStr">
        <x:is>
          <x:t xml:space="preserve">ПЗ-00164</x:t>
        </x:is>
      </x:c>
      <x:c r="C1372" s="31" t="inlineStr">
        <x:is>
          <x:t xml:space="preserve">ЗК-1078</x:t>
        </x:is>
      </x:c>
      <x:c r="D1372" s="31" t="inlineStr">
        <x:is>
          <x:t xml:space="preserve">ПОЗ-0078-3</x:t>
        </x:is>
      </x:c>
      <x:c r="E1372" s="31" t="inlineStr">
        <x:is>
          <x:t xml:space="preserve">ИЗД-022</x:t>
        </x:is>
      </x:c>
      <x:c r="F1372" s="31" t="n">
        <x:v>90</x:v>
      </x:c>
      <x:c r="G1372" s="31" t="inlineStr">
        <x:is>
          <x:t xml:space="preserve">Упаковка</x:t>
        </x:is>
      </x:c>
      <x:c r="H1372" s="31" t="inlineStr">
        <x:is>
          <x:t xml:space="preserve">Логистика</x:t>
        </x:is>
      </x:c>
      <x:c r="I1372" s="31" t="n"/>
      <x:c r="J1372" s="31" t="inlineStr">
        <x:is>
          <x:t xml:space="preserve">СОТР-070</x:t>
        </x:is>
      </x:c>
      <x:c r="K1372" s="31" t="n">
        <x:v>12.4</x:v>
      </x:c>
      <x:c r="L1372" s="31" t="n">
        <x:v>15.7</x:v>
      </x:c>
      <x:c r="M1372" s="31" t="n">
        <x:v>46119</x:v>
      </x:c>
      <x:c r="N1372" s="31" t="n">
        <x:v>46121</x:v>
      </x:c>
      <x:c r="O1372" s="31" t="n">
        <x:v>46119</x:v>
      </x:c>
      <x:c r="P1372" s="31" t="n">
        <x:v>46121</x:v>
      </x:c>
      <x:c r="Q1372" s="31" t="inlineStr">
        <x:is>
          <x:t xml:space="preserve">Завершено</x:t>
        </x:is>
      </x:c>
      <x:c r="R1372" s="31" t="inlineStr">
        <x:is>
          <x:t xml:space="preserve">Нет</x:t>
        </x:is>
      </x:c>
      <x:c r="S1372" s="31" t="inlineStr">
        <x:is>
          <x:t xml:space="preserve">Нет</x:t>
        </x:is>
      </x:c>
    </x:row>
    <x:row r="1373">
      <x:c r="A1373" s="31" t="inlineStr">
        <x:is>
          <x:t xml:space="preserve">ОП-001372</x:t>
        </x:is>
      </x:c>
      <x:c r="B1373" s="31" t="inlineStr">
        <x:is>
          <x:t xml:space="preserve">ПЗ-00165</x:t>
        </x:is>
      </x:c>
      <x:c r="C1373" s="31" t="inlineStr">
        <x:is>
          <x:t xml:space="preserve">ЗК-1079</x:t>
        </x:is>
      </x:c>
      <x:c r="D1373" s="31" t="inlineStr">
        <x:is>
          <x:t xml:space="preserve">ПОЗ-0079-1</x:t>
        </x:is>
      </x:c>
      <x:c r="E1373" s="31" t="inlineStr">
        <x:is>
          <x:t xml:space="preserve">ИЗД-001</x:t>
        </x:is>
      </x:c>
      <x:c r="F1373" s="31" t="n">
        <x:v>10</x:v>
      </x:c>
      <x:c r="G1373" s="31" t="inlineStr">
        <x:is>
          <x:t xml:space="preserve">Комплектация</x:t>
        </x:is>
      </x:c>
      <x:c r="H1373" s="31" t="inlineStr">
        <x:is>
          <x:t xml:space="preserve">Склад</x:t>
        </x:is>
      </x:c>
      <x:c r="I1373" s="31" t="inlineStr">
        <x:is>
          <x:t xml:space="preserve">ОБ-011</x:t>
        </x:is>
      </x:c>
      <x:c r="J1373" s="31" t="inlineStr">
        <x:is>
          <x:t xml:space="preserve">СОТР-036</x:t>
        </x:is>
      </x:c>
      <x:c r="K1373" s="31" t="n">
        <x:v>54.6</x:v>
      </x:c>
      <x:c r="L1373" s="31" t="n">
        <x:v>49.7</x:v>
      </x:c>
      <x:c r="M1373" s="31" t="n">
        <x:v>46116</x:v>
      </x:c>
      <x:c r="N1373" s="31" t="n">
        <x:v>46121</x:v>
      </x:c>
      <x:c r="O1373" s="31" t="n">
        <x:v>46116</x:v>
      </x:c>
      <x:c r="P1373" s="31" t="n">
        <x:v>46121</x:v>
      </x:c>
      <x:c r="Q1373" s="31" t="inlineStr">
        <x:is>
          <x:t xml:space="preserve">Завершено</x:t>
        </x:is>
      </x:c>
      <x:c r="R1373" s="31" t="inlineStr">
        <x:is>
          <x:t xml:space="preserve">Нет</x:t>
        </x:is>
      </x:c>
      <x:c r="S1373" s="31" t="inlineStr">
        <x:is>
          <x:t xml:space="preserve">Нет</x:t>
        </x:is>
      </x:c>
    </x:row>
    <x:row r="1374">
      <x:c r="A1374" s="31" t="inlineStr">
        <x:is>
          <x:t xml:space="preserve">ОП-001373</x:t>
        </x:is>
      </x:c>
      <x:c r="B1374" s="31" t="inlineStr">
        <x:is>
          <x:t xml:space="preserve">ПЗ-00165</x:t>
        </x:is>
      </x:c>
      <x:c r="C1374" s="31" t="inlineStr">
        <x:is>
          <x:t xml:space="preserve">ЗК-1079</x:t>
        </x:is>
      </x:c>
      <x:c r="D1374" s="31" t="inlineStr">
        <x:is>
          <x:t xml:space="preserve">ПОЗ-0079-1</x:t>
        </x:is>
      </x:c>
      <x:c r="E1374" s="31" t="inlineStr">
        <x:is>
          <x:t xml:space="preserve">ИЗД-001</x:t>
        </x:is>
      </x:c>
      <x:c r="F1374" s="31" t="n">
        <x:v>20</x:v>
      </x:c>
      <x:c r="G1374" s="31" t="inlineStr">
        <x:is>
          <x:t xml:space="preserve">Входной контроль</x:t>
        </x:is>
      </x:c>
      <x:c r="H1374" s="31" t="inlineStr">
        <x:is>
          <x:t xml:space="preserve">ОТК</x:t>
        </x:is>
      </x:c>
      <x:c r="I1374" s="31" t="inlineStr">
        <x:is>
          <x:t xml:space="preserve">ОБ-032</x:t>
        </x:is>
      </x:c>
      <x:c r="J1374" s="31" t="inlineStr">
        <x:is>
          <x:t xml:space="preserve">СОТР-093</x:t>
        </x:is>
      </x:c>
      <x:c r="K1374" s="31" t="n">
        <x:v>87.09999999999999</x:v>
      </x:c>
      <x:c r="L1374" s="31" t="n">
        <x:v>107.4</x:v>
      </x:c>
      <x:c r="M1374" s="31" t="n">
        <x:v>46121</x:v>
      </x:c>
      <x:c r="N1374" s="31" t="n">
        <x:v>46129</x:v>
      </x:c>
      <x:c r="O1374" s="31" t="n">
        <x:v>46121</x:v>
      </x:c>
      <x:c r="P1374" s="31" t="n">
        <x:v>46130</x:v>
      </x:c>
      <x:c r="Q1374" s="31" t="inlineStr">
        <x:is>
          <x:t xml:space="preserve">Завершено</x:t>
        </x:is>
      </x:c>
      <x:c r="R1374" s="31" t="inlineStr">
        <x:is>
          <x:t xml:space="preserve">Нет</x:t>
        </x:is>
      </x:c>
      <x:c r="S1374" s="31" t="inlineStr">
        <x:is>
          <x:t xml:space="preserve">Нет</x:t>
        </x:is>
      </x:c>
    </x:row>
    <x:row r="1375">
      <x:c r="A1375" s="31" t="inlineStr">
        <x:is>
          <x:t xml:space="preserve">ОП-001374</x:t>
        </x:is>
      </x:c>
      <x:c r="B1375" s="31" t="inlineStr">
        <x:is>
          <x:t xml:space="preserve">ПЗ-00165</x:t>
        </x:is>
      </x:c>
      <x:c r="C1375" s="31" t="inlineStr">
        <x:is>
          <x:t xml:space="preserve">ЗК-1079</x:t>
        </x:is>
      </x:c>
      <x:c r="D1375" s="31" t="inlineStr">
        <x:is>
          <x:t xml:space="preserve">ПОЗ-0079-1</x:t>
        </x:is>
      </x:c>
      <x:c r="E1375" s="31" t="inlineStr">
        <x:is>
          <x:t xml:space="preserve">ИЗД-001</x:t>
        </x:is>
      </x:c>
      <x:c r="F1375" s="31" t="n">
        <x:v>30</x:v>
      </x:c>
      <x:c r="G1375" s="31" t="inlineStr">
        <x:is>
          <x:t xml:space="preserve">Упаковка</x:t>
        </x:is>
      </x:c>
      <x:c r="H1375" s="31" t="inlineStr">
        <x:is>
          <x:t xml:space="preserve">Логистика</x:t>
        </x:is>
      </x:c>
      <x:c r="I1375" s="31" t="n"/>
      <x:c r="J1375" s="31" t="inlineStr">
        <x:is>
          <x:t xml:space="preserve">СОТР-104</x:t>
        </x:is>
      </x:c>
      <x:c r="K1375" s="31" t="n">
        <x:v>10.4</x:v>
      </x:c>
      <x:c r="L1375" s="31" t="n">
        <x:v>11.6</x:v>
      </x:c>
      <x:c r="M1375" s="31" t="n">
        <x:v>46129</x:v>
      </x:c>
      <x:c r="N1375" s="31" t="n">
        <x:v>46130</x:v>
      </x:c>
      <x:c r="O1375" s="31" t="n">
        <x:v>46129</x:v>
      </x:c>
      <x:c r="P1375" s="31" t="n">
        <x:v>46129</x:v>
      </x:c>
      <x:c r="Q1375" s="31" t="inlineStr">
        <x:is>
          <x:t xml:space="preserve">Завершено</x:t>
        </x:is>
      </x:c>
      <x:c r="R1375" s="31" t="inlineStr">
        <x:is>
          <x:t xml:space="preserve">Нет</x:t>
        </x:is>
      </x:c>
      <x:c r="S1375" s="31" t="inlineStr">
        <x:is>
          <x:t xml:space="preserve">Нет</x:t>
        </x:is>
      </x:c>
    </x:row>
    <x:row r="1376">
      <x:c r="A1376" s="31" t="inlineStr">
        <x:is>
          <x:t xml:space="preserve">ОП-001375</x:t>
        </x:is>
      </x:c>
      <x:c r="B1376" s="31" t="inlineStr">
        <x:is>
          <x:t xml:space="preserve">ПЗ-00165</x:t>
        </x:is>
      </x:c>
      <x:c r="C1376" s="31" t="inlineStr">
        <x:is>
          <x:t xml:space="preserve">ЗК-1079</x:t>
        </x:is>
      </x:c>
      <x:c r="D1376" s="31" t="inlineStr">
        <x:is>
          <x:t xml:space="preserve">ПОЗ-0079-1</x:t>
        </x:is>
      </x:c>
      <x:c r="E1376" s="31" t="inlineStr">
        <x:is>
          <x:t xml:space="preserve">ИЗД-001</x:t>
        </x:is>
      </x:c>
      <x:c r="F1376" s="31" t="n">
        <x:v>40</x:v>
      </x:c>
      <x:c r="G1376" s="31" t="inlineStr">
        <x:is>
          <x:t xml:space="preserve">ОТК</x:t>
        </x:is>
      </x:c>
      <x:c r="H1376" s="31" t="inlineStr">
        <x:is>
          <x:t xml:space="preserve">ОТК</x:t>
        </x:is>
      </x:c>
      <x:c r="I1376" s="31" t="inlineStr">
        <x:is>
          <x:t xml:space="preserve">ОБ-006</x:t>
        </x:is>
      </x:c>
      <x:c r="J1376" s="31" t="inlineStr">
        <x:is>
          <x:t xml:space="preserve">СОТР-095</x:t>
        </x:is>
      </x:c>
      <x:c r="K1376" s="31" t="n">
        <x:v>32.5</x:v>
      </x:c>
      <x:c r="L1376" s="31" t="n">
        <x:v>43.4</x:v>
      </x:c>
      <x:c r="M1376" s="31" t="n">
        <x:v>46130</x:v>
      </x:c>
      <x:c r="N1376" s="31" t="n">
        <x:v>46133</x:v>
      </x:c>
      <x:c r="O1376" s="31" t="n">
        <x:v>46130</x:v>
      </x:c>
      <x:c r="P1376" s="31" t="n">
        <x:v>46133</x:v>
      </x:c>
      <x:c r="Q1376" s="31" t="inlineStr">
        <x:is>
          <x:t xml:space="preserve">Завершено</x:t>
        </x:is>
      </x:c>
      <x:c r="R1376" s="31" t="inlineStr">
        <x:is>
          <x:t xml:space="preserve">Нет</x:t>
        </x:is>
      </x:c>
      <x:c r="S1376" s="31" t="inlineStr">
        <x:is>
          <x:t xml:space="preserve">Нет</x:t>
        </x:is>
      </x:c>
    </x:row>
    <x:row r="1377">
      <x:c r="A1377" s="31" t="inlineStr">
        <x:is>
          <x:t xml:space="preserve">ОП-001376</x:t>
        </x:is>
      </x:c>
      <x:c r="B1377" s="31" t="inlineStr">
        <x:is>
          <x:t xml:space="preserve">ПЗ-00166</x:t>
        </x:is>
      </x:c>
      <x:c r="C1377" s="31" t="inlineStr">
        <x:is>
          <x:t xml:space="preserve">ЗК-1079</x:t>
        </x:is>
      </x:c>
      <x:c r="D1377" s="31" t="inlineStr">
        <x:is>
          <x:t xml:space="preserve">ПОЗ-0079-2</x:t>
        </x:is>
      </x:c>
      <x:c r="E1377" s="31" t="inlineStr">
        <x:is>
          <x:t xml:space="preserve">ИЗД-026</x:t>
        </x:is>
      </x:c>
      <x:c r="F1377" s="31" t="n">
        <x:v>10</x:v>
      </x:c>
      <x:c r="G1377" s="31" t="inlineStr">
        <x:is>
          <x:t xml:space="preserve">КД</x:t>
        </x:is>
      </x:c>
      <x:c r="H1377" s="31" t="inlineStr">
        <x:is>
          <x:t xml:space="preserve">Инженерный отдел</x:t>
        </x:is>
      </x:c>
      <x:c r="I1377" s="31" t="n"/>
      <x:c r="J1377" s="31" t="inlineStr">
        <x:is>
          <x:t xml:space="preserve">СОТР-019</x:t>
        </x:is>
      </x:c>
      <x:c r="K1377" s="31" t="n">
        <x:v>42.6</x:v>
      </x:c>
      <x:c r="L1377" s="31" t="n">
        <x:v>43.1</x:v>
      </x:c>
      <x:c r="M1377" s="31" t="n">
        <x:v>46113</x:v>
      </x:c>
      <x:c r="N1377" s="31" t="n">
        <x:v>46117</x:v>
      </x:c>
      <x:c r="O1377" s="31" t="n">
        <x:v>46113</x:v>
      </x:c>
      <x:c r="P1377" s="31" t="n">
        <x:v>46116</x:v>
      </x:c>
      <x:c r="Q1377" s="31" t="inlineStr">
        <x:is>
          <x:t xml:space="preserve">Завершено</x:t>
        </x:is>
      </x:c>
      <x:c r="R1377" s="31" t="inlineStr">
        <x:is>
          <x:t xml:space="preserve">Нет</x:t>
        </x:is>
      </x:c>
      <x:c r="S1377" s="31" t="inlineStr">
        <x:is>
          <x:t xml:space="preserve">Нет</x:t>
        </x:is>
      </x:c>
    </x:row>
    <x:row r="1378">
      <x:c r="A1378" s="31" t="inlineStr">
        <x:is>
          <x:t xml:space="preserve">ОП-001377</x:t>
        </x:is>
      </x:c>
      <x:c r="B1378" s="31" t="inlineStr">
        <x:is>
          <x:t xml:space="preserve">ПЗ-00166</x:t>
        </x:is>
      </x:c>
      <x:c r="C1378" s="31" t="inlineStr">
        <x:is>
          <x:t xml:space="preserve">ЗК-1079</x:t>
        </x:is>
      </x:c>
      <x:c r="D1378" s="31" t="inlineStr">
        <x:is>
          <x:t xml:space="preserve">ПОЗ-0079-2</x:t>
        </x:is>
      </x:c>
      <x:c r="E1378" s="31" t="inlineStr">
        <x:is>
          <x:t xml:space="preserve">ИЗД-026</x:t>
        </x:is>
      </x:c>
      <x:c r="F1378" s="31" t="n">
        <x:v>20</x:v>
      </x:c>
      <x:c r="G1378" s="31" t="inlineStr">
        <x:is>
          <x:t xml:space="preserve">Комплектация</x:t>
        </x:is>
      </x:c>
      <x:c r="H1378" s="31" t="inlineStr">
        <x:is>
          <x:t xml:space="preserve">Склад</x:t>
        </x:is>
      </x:c>
      <x:c r="I1378" s="31" t="inlineStr">
        <x:is>
          <x:t xml:space="preserve">ОБ-025</x:t>
        </x:is>
      </x:c>
      <x:c r="J1378" s="31" t="inlineStr">
        <x:is>
          <x:t xml:space="preserve">СОТР-033</x:t>
        </x:is>
      </x:c>
      <x:c r="K1378" s="31" t="n">
        <x:v>35.7</x:v>
      </x:c>
      <x:c r="L1378" s="31" t="n">
        <x:v>30.4</x:v>
      </x:c>
      <x:c r="M1378" s="31" t="n">
        <x:v>46117</x:v>
      </x:c>
      <x:c r="N1378" s="31" t="n">
        <x:v>46120</x:v>
      </x:c>
      <x:c r="O1378" s="31" t="n">
        <x:v>46117</x:v>
      </x:c>
      <x:c r="P1378" s="31" t="n">
        <x:v>46121</x:v>
      </x:c>
      <x:c r="Q1378" s="31" t="inlineStr">
        <x:is>
          <x:t xml:space="preserve">Завершено</x:t>
        </x:is>
      </x:c>
      <x:c r="R1378" s="31" t="inlineStr">
        <x:is>
          <x:t xml:space="preserve">Нет</x:t>
        </x:is>
      </x:c>
      <x:c r="S1378" s="31" t="inlineStr">
        <x:is>
          <x:t xml:space="preserve">Да</x:t>
        </x:is>
      </x:c>
    </x:row>
    <x:row r="1379">
      <x:c r="A1379" s="31" t="inlineStr">
        <x:is>
          <x:t xml:space="preserve">ОП-001378</x:t>
        </x:is>
      </x:c>
      <x:c r="B1379" s="31" t="inlineStr">
        <x:is>
          <x:t xml:space="preserve">ПЗ-00166</x:t>
        </x:is>
      </x:c>
      <x:c r="C1379" s="31" t="inlineStr">
        <x:is>
          <x:t xml:space="preserve">ЗК-1079</x:t>
        </x:is>
      </x:c>
      <x:c r="D1379" s="31" t="inlineStr">
        <x:is>
          <x:t xml:space="preserve">ПОЗ-0079-2</x:t>
        </x:is>
      </x:c>
      <x:c r="E1379" s="31" t="inlineStr">
        <x:is>
          <x:t xml:space="preserve">ИЗД-026</x:t>
        </x:is>
      </x:c>
      <x:c r="F1379" s="31" t="n">
        <x:v>30</x:v>
      </x:c>
      <x:c r="G1379" s="31" t="inlineStr">
        <x:is>
          <x:t xml:space="preserve">Сборка шкафа</x:t>
        </x:is>
      </x:c>
      <x:c r="H1379" s="31" t="inlineStr">
        <x:is>
          <x:t xml:space="preserve">Сборка</x:t>
        </x:is>
      </x:c>
      <x:c r="I1379" s="31" t="inlineStr">
        <x:is>
          <x:t xml:space="preserve">ОБ-016</x:t>
        </x:is>
      </x:c>
      <x:c r="J1379" s="31" t="inlineStr">
        <x:is>
          <x:t xml:space="preserve">СОТР-074</x:t>
        </x:is>
      </x:c>
      <x:c r="K1379" s="31" t="n">
        <x:v>11.4</x:v>
      </x:c>
      <x:c r="L1379" s="31" t="n">
        <x:v>12.5</x:v>
      </x:c>
      <x:c r="M1379" s="31" t="n">
        <x:v>46120</x:v>
      </x:c>
      <x:c r="N1379" s="31" t="n">
        <x:v>46121</x:v>
      </x:c>
      <x:c r="O1379" s="31" t="n">
        <x:v>46120</x:v>
      </x:c>
      <x:c r="P1379" s="31" t="n">
        <x:v>46123</x:v>
      </x:c>
      <x:c r="Q1379" s="31" t="inlineStr">
        <x:is>
          <x:t xml:space="preserve">Завершено</x:t>
        </x:is>
      </x:c>
      <x:c r="R1379" s="31" t="inlineStr">
        <x:is>
          <x:t xml:space="preserve">Нет</x:t>
        </x:is>
      </x:c>
      <x:c r="S1379" s="31" t="inlineStr">
        <x:is>
          <x:t xml:space="preserve">Нет</x:t>
        </x:is>
      </x:c>
    </x:row>
    <x:row r="1380">
      <x:c r="A1380" s="31" t="inlineStr">
        <x:is>
          <x:t xml:space="preserve">ОП-001379</x:t>
        </x:is>
      </x:c>
      <x:c r="B1380" s="31" t="inlineStr">
        <x:is>
          <x:t xml:space="preserve">ПЗ-00166</x:t>
        </x:is>
      </x:c>
      <x:c r="C1380" s="31" t="inlineStr">
        <x:is>
          <x:t xml:space="preserve">ЗК-1079</x:t>
        </x:is>
      </x:c>
      <x:c r="D1380" s="31" t="inlineStr">
        <x:is>
          <x:t xml:space="preserve">ПОЗ-0079-2</x:t>
        </x:is>
      </x:c>
      <x:c r="E1380" s="31" t="inlineStr">
        <x:is>
          <x:t xml:space="preserve">ИЗД-026</x:t>
        </x:is>
      </x:c>
      <x:c r="F1380" s="31" t="n">
        <x:v>40</x:v>
      </x:c>
      <x:c r="G1380" s="31" t="inlineStr">
        <x:is>
          <x:t xml:space="preserve">Маркировка</x:t>
        </x:is>
      </x:c>
      <x:c r="H1380" s="31" t="inlineStr">
        <x:is>
          <x:t xml:space="preserve">Сборка</x:t>
        </x:is>
      </x:c>
      <x:c r="I1380" s="31" t="inlineStr">
        <x:is>
          <x:t xml:space="preserve">ОБ-002</x:t>
        </x:is>
      </x:c>
      <x:c r="J1380" s="31" t="inlineStr">
        <x:is>
          <x:t xml:space="preserve">СОТР-086</x:t>
        </x:is>
      </x:c>
      <x:c r="K1380" s="31" t="n">
        <x:v>55.8</x:v>
      </x:c>
      <x:c r="L1380" s="31" t="n">
        <x:v>69.90000000000001</x:v>
      </x:c>
      <x:c r="M1380" s="31" t="n">
        <x:v>46121</x:v>
      </x:c>
      <x:c r="N1380" s="31" t="n">
        <x:v>46126</x:v>
      </x:c>
      <x:c r="O1380" s="31" t="n">
        <x:v>46121</x:v>
      </x:c>
      <x:c r="P1380" s="31" t="n">
        <x:v>46127</x:v>
      </x:c>
      <x:c r="Q1380" s="31" t="inlineStr">
        <x:is>
          <x:t xml:space="preserve">Завершено</x:t>
        </x:is>
      </x:c>
      <x:c r="R1380" s="31" t="inlineStr">
        <x:is>
          <x:t xml:space="preserve">Нет</x:t>
        </x:is>
      </x:c>
      <x:c r="S1380" s="31" t="inlineStr">
        <x:is>
          <x:t xml:space="preserve">Нет</x:t>
        </x:is>
      </x:c>
    </x:row>
    <x:row r="1381">
      <x:c r="A1381" s="31" t="inlineStr">
        <x:is>
          <x:t xml:space="preserve">ОП-001380</x:t>
        </x:is>
      </x:c>
      <x:c r="B1381" s="31" t="inlineStr">
        <x:is>
          <x:t xml:space="preserve">ПЗ-00166</x:t>
        </x:is>
      </x:c>
      <x:c r="C1381" s="31" t="inlineStr">
        <x:is>
          <x:t xml:space="preserve">ЗК-1079</x:t>
        </x:is>
      </x:c>
      <x:c r="D1381" s="31" t="inlineStr">
        <x:is>
          <x:t xml:space="preserve">ПОЗ-0079-2</x:t>
        </x:is>
      </x:c>
      <x:c r="E1381" s="31" t="inlineStr">
        <x:is>
          <x:t xml:space="preserve">ИЗД-026</x:t>
        </x:is>
      </x:c>
      <x:c r="F1381" s="31" t="n">
        <x:v>50</x:v>
      </x:c>
      <x:c r="G1381" s="31" t="inlineStr">
        <x:is>
          <x:t xml:space="preserve">Электромонтаж</x:t>
        </x:is>
      </x:c>
      <x:c r="H1381" s="31" t="inlineStr">
        <x:is>
          <x:t xml:space="preserve">Сборка</x:t>
        </x:is>
      </x:c>
      <x:c r="I1381" s="31" t="inlineStr">
        <x:is>
          <x:t xml:space="preserve">ОБ-016</x:t>
        </x:is>
      </x:c>
      <x:c r="J1381" s="31" t="inlineStr">
        <x:is>
          <x:t xml:space="preserve">СОТР-032</x:t>
        </x:is>
      </x:c>
      <x:c r="K1381" s="31" t="n">
        <x:v>23.7</x:v>
      </x:c>
      <x:c r="L1381" s="31" t="n">
        <x:v>31.1</x:v>
      </x:c>
      <x:c r="M1381" s="31" t="n">
        <x:v>46126</x:v>
      </x:c>
      <x:c r="N1381" s="31" t="n">
        <x:v>46128</x:v>
      </x:c>
      <x:c r="O1381" s="31" t="n">
        <x:v>46126</x:v>
      </x:c>
      <x:c r="P1381" s="31" t="n">
        <x:v>46130</x:v>
      </x:c>
      <x:c r="Q1381" s="31" t="inlineStr">
        <x:is>
          <x:t xml:space="preserve">Завершено</x:t>
        </x:is>
      </x:c>
      <x:c r="R1381" s="31" t="inlineStr">
        <x:is>
          <x:t xml:space="preserve">Нет</x:t>
        </x:is>
      </x:c>
      <x:c r="S1381" s="31" t="inlineStr">
        <x:is>
          <x:t xml:space="preserve">Нет</x:t>
        </x:is>
      </x:c>
    </x:row>
    <x:row r="1382">
      <x:c r="A1382" s="31" t="inlineStr">
        <x:is>
          <x:t xml:space="preserve">ОП-001381</x:t>
        </x:is>
      </x:c>
      <x:c r="B1382" s="31" t="inlineStr">
        <x:is>
          <x:t xml:space="preserve">ПЗ-00166</x:t>
        </x:is>
      </x:c>
      <x:c r="C1382" s="31" t="inlineStr">
        <x:is>
          <x:t xml:space="preserve">ЗК-1079</x:t>
        </x:is>
      </x:c>
      <x:c r="D1382" s="31" t="inlineStr">
        <x:is>
          <x:t xml:space="preserve">ПОЗ-0079-2</x:t>
        </x:is>
      </x:c>
      <x:c r="E1382" s="31" t="inlineStr">
        <x:is>
          <x:t xml:space="preserve">ИЗД-026</x:t>
        </x:is>
      </x:c>
      <x:c r="F1382" s="31" t="n">
        <x:v>60</x:v>
      </x:c>
      <x:c r="G1382" s="31" t="inlineStr">
        <x:is>
          <x:t xml:space="preserve">Программирование ПЛК</x:t>
        </x:is>
      </x:c>
      <x:c r="H1382" s="31" t="inlineStr">
        <x:is>
          <x:t xml:space="preserve">Инженерный отдел</x:t>
        </x:is>
      </x:c>
      <x:c r="I1382" s="31" t="n"/>
      <x:c r="J1382" s="31" t="inlineStr">
        <x:is>
          <x:t xml:space="preserve">СОТР-013</x:t>
        </x:is>
      </x:c>
      <x:c r="K1382" s="31" t="n">
        <x:v>42</x:v>
      </x:c>
      <x:c r="L1382" s="31" t="n">
        <x:v>36.3</x:v>
      </x:c>
      <x:c r="M1382" s="31" t="n">
        <x:v>46128</x:v>
      </x:c>
      <x:c r="N1382" s="31" t="n">
        <x:v>46132</x:v>
      </x:c>
      <x:c r="O1382" s="31" t="n">
        <x:v>46128</x:v>
      </x:c>
      <x:c r="P1382" s="31" t="n">
        <x:v>46134</x:v>
      </x:c>
      <x:c r="Q1382" s="31" t="inlineStr">
        <x:is>
          <x:t xml:space="preserve">Завершено</x:t>
        </x:is>
      </x:c>
      <x:c r="R1382" s="31" t="inlineStr">
        <x:is>
          <x:t xml:space="preserve">Нет</x:t>
        </x:is>
      </x:c>
      <x:c r="S1382" s="31" t="inlineStr">
        <x:is>
          <x:t xml:space="preserve">Да</x:t>
        </x:is>
      </x:c>
    </x:row>
    <x:row r="1383">
      <x:c r="A1383" s="31" t="inlineStr">
        <x:is>
          <x:t xml:space="preserve">ОП-001382</x:t>
        </x:is>
      </x:c>
      <x:c r="B1383" s="31" t="inlineStr">
        <x:is>
          <x:t xml:space="preserve">ПЗ-00166</x:t>
        </x:is>
      </x:c>
      <x:c r="C1383" s="31" t="inlineStr">
        <x:is>
          <x:t xml:space="preserve">ЗК-1079</x:t>
        </x:is>
      </x:c>
      <x:c r="D1383" s="31" t="inlineStr">
        <x:is>
          <x:t xml:space="preserve">ПОЗ-0079-2</x:t>
        </x:is>
      </x:c>
      <x:c r="E1383" s="31" t="inlineStr">
        <x:is>
          <x:t xml:space="preserve">ИЗД-026</x:t>
        </x:is>
      </x:c>
      <x:c r="F1383" s="31" t="n">
        <x:v>70</x:v>
      </x:c>
      <x:c r="G1383" s="31" t="inlineStr">
        <x:is>
          <x:t xml:space="preserve">Приемочные испытания</x:t>
        </x:is>
      </x:c>
      <x:c r="H1383" s="31" t="inlineStr">
        <x:is>
          <x:t xml:space="preserve">ОТК</x:t>
        </x:is>
      </x:c>
      <x:c r="I1383" s="31" t="inlineStr">
        <x:is>
          <x:t xml:space="preserve">ОБ-024</x:t>
        </x:is>
      </x:c>
      <x:c r="J1383" s="31" t="inlineStr">
        <x:is>
          <x:t xml:space="preserve">СОТР-063</x:t>
        </x:is>
      </x:c>
      <x:c r="K1383" s="31" t="n">
        <x:v>24.9</x:v>
      </x:c>
      <x:c r="L1383" s="31" t="n">
        <x:v>32</x:v>
      </x:c>
      <x:c r="M1383" s="31" t="n">
        <x:v>46132</x:v>
      </x:c>
      <x:c r="N1383" s="31" t="n">
        <x:v>46135</x:v>
      </x:c>
      <x:c r="O1383" s="31" t="n">
        <x:v>46132</x:v>
      </x:c>
      <x:c r="P1383" s="31" t="n">
        <x:v>46135</x:v>
      </x:c>
      <x:c r="Q1383" s="31" t="inlineStr">
        <x:is>
          <x:t xml:space="preserve">Завершено</x:t>
        </x:is>
      </x:c>
      <x:c r="R1383" s="31" t="inlineStr">
        <x:is>
          <x:t xml:space="preserve">Нет</x:t>
        </x:is>
      </x:c>
      <x:c r="S1383" s="31" t="inlineStr">
        <x:is>
          <x:t xml:space="preserve">Нет</x:t>
        </x:is>
      </x:c>
    </x:row>
    <x:row r="1384">
      <x:c r="A1384" s="31" t="inlineStr">
        <x:is>
          <x:t xml:space="preserve">ОП-001383</x:t>
        </x:is>
      </x:c>
      <x:c r="B1384" s="31" t="inlineStr">
        <x:is>
          <x:t xml:space="preserve">ПЗ-00166</x:t>
        </x:is>
      </x:c>
      <x:c r="C1384" s="31" t="inlineStr">
        <x:is>
          <x:t xml:space="preserve">ЗК-1079</x:t>
        </x:is>
      </x:c>
      <x:c r="D1384" s="31" t="inlineStr">
        <x:is>
          <x:t xml:space="preserve">ПОЗ-0079-2</x:t>
        </x:is>
      </x:c>
      <x:c r="E1384" s="31" t="inlineStr">
        <x:is>
          <x:t xml:space="preserve">ИЗД-026</x:t>
        </x:is>
      </x:c>
      <x:c r="F1384" s="31" t="n">
        <x:v>80</x:v>
      </x:c>
      <x:c r="G1384" s="31" t="inlineStr">
        <x:is>
          <x:t xml:space="preserve">ОТК</x:t>
        </x:is>
      </x:c>
      <x:c r="H1384" s="31" t="inlineStr">
        <x:is>
          <x:t xml:space="preserve">ОТК</x:t>
        </x:is>
      </x:c>
      <x:c r="I1384" s="31" t="inlineStr">
        <x:is>
          <x:t xml:space="preserve">ОБ-007</x:t>
        </x:is>
      </x:c>
      <x:c r="J1384" s="31" t="inlineStr">
        <x:is>
          <x:t xml:space="preserve">СОТР-063</x:t>
        </x:is>
      </x:c>
      <x:c r="K1384" s="31" t="n">
        <x:v>14.1</x:v>
      </x:c>
      <x:c r="L1384" s="31" t="n">
        <x:v>16.8</x:v>
      </x:c>
      <x:c r="M1384" s="31" t="n">
        <x:v>46135</x:v>
      </x:c>
      <x:c r="N1384" s="31" t="n">
        <x:v>46137</x:v>
      </x:c>
      <x:c r="O1384" s="31" t="n">
        <x:v>46135</x:v>
      </x:c>
      <x:c r="P1384" s="31" t="n">
        <x:v>46136</x:v>
      </x:c>
      <x:c r="Q1384" s="31" t="inlineStr">
        <x:is>
          <x:t xml:space="preserve">Завершено</x:t>
        </x:is>
      </x:c>
      <x:c r="R1384" s="31" t="inlineStr">
        <x:is>
          <x:t xml:space="preserve">Нет</x:t>
        </x:is>
      </x:c>
      <x:c r="S1384" s="31" t="inlineStr">
        <x:is>
          <x:t xml:space="preserve">Да</x:t>
        </x:is>
      </x:c>
    </x:row>
    <x:row r="1385">
      <x:c r="A1385" s="31" t="inlineStr">
        <x:is>
          <x:t xml:space="preserve">ОП-001384</x:t>
        </x:is>
      </x:c>
      <x:c r="B1385" s="31" t="inlineStr">
        <x:is>
          <x:t xml:space="preserve">ПЗ-00166</x:t>
        </x:is>
      </x:c>
      <x:c r="C1385" s="31" t="inlineStr">
        <x:is>
          <x:t xml:space="preserve">ЗК-1079</x:t>
        </x:is>
      </x:c>
      <x:c r="D1385" s="31" t="inlineStr">
        <x:is>
          <x:t xml:space="preserve">ПОЗ-0079-2</x:t>
        </x:is>
      </x:c>
      <x:c r="E1385" s="31" t="inlineStr">
        <x:is>
          <x:t xml:space="preserve">ИЗД-026</x:t>
        </x:is>
      </x:c>
      <x:c r="F1385" s="31" t="n">
        <x:v>90</x:v>
      </x:c>
      <x:c r="G1385" s="31" t="inlineStr">
        <x:is>
          <x:t xml:space="preserve">Упаковка</x:t>
        </x:is>
      </x:c>
      <x:c r="H1385" s="31" t="inlineStr">
        <x:is>
          <x:t xml:space="preserve">Логистика</x:t>
        </x:is>
      </x:c>
      <x:c r="I1385" s="31" t="n"/>
      <x:c r="J1385" s="31" t="inlineStr">
        <x:is>
          <x:t xml:space="preserve">СОТР-102</x:t>
        </x:is>
      </x:c>
      <x:c r="K1385" s="31" t="n">
        <x:v>53.7</x:v>
      </x:c>
      <x:c r="L1385" s="31" t="n">
        <x:v>44.6</x:v>
      </x:c>
      <x:c r="M1385" s="31" t="n">
        <x:v>46137</x:v>
      </x:c>
      <x:c r="N1385" s="31" t="n">
        <x:v>46142</x:v>
      </x:c>
      <x:c r="O1385" s="31" t="n">
        <x:v>46137</x:v>
      </x:c>
      <x:c r="P1385" s="31" t="n">
        <x:v>46144</x:v>
      </x:c>
      <x:c r="Q1385" s="31" t="inlineStr">
        <x:is>
          <x:t xml:space="preserve">Завершено</x:t>
        </x:is>
      </x:c>
      <x:c r="R1385" s="31" t="inlineStr">
        <x:is>
          <x:t xml:space="preserve">Материал</x:t>
        </x:is>
      </x:c>
      <x:c r="S1385" s="31" t="inlineStr">
        <x:is>
          <x:t xml:space="preserve">Нет</x:t>
        </x:is>
      </x:c>
    </x:row>
    <x:row r="1386">
      <x:c r="A1386" s="31" t="inlineStr">
        <x:is>
          <x:t xml:space="preserve">ОП-001385</x:t>
        </x:is>
      </x:c>
      <x:c r="B1386" s="31" t="inlineStr">
        <x:is>
          <x:t xml:space="preserve">ПЗ-00167</x:t>
        </x:is>
      </x:c>
      <x:c r="C1386" s="31" t="inlineStr">
        <x:is>
          <x:t xml:space="preserve">ЗК-1079</x:t>
        </x:is>
      </x:c>
      <x:c r="D1386" s="31" t="inlineStr">
        <x:is>
          <x:t xml:space="preserve">ПОЗ-0079-3</x:t>
        </x:is>
      </x:c>
      <x:c r="E1386" s="31" t="inlineStr">
        <x:is>
          <x:t xml:space="preserve">ИЗД-004</x:t>
        </x:is>
      </x:c>
      <x:c r="F1386" s="31" t="n">
        <x:v>10</x:v>
      </x:c>
      <x:c r="G1386" s="31" t="inlineStr">
        <x:is>
          <x:t xml:space="preserve">КД</x:t>
        </x:is>
      </x:c>
      <x:c r="H1386" s="31" t="inlineStr">
        <x:is>
          <x:t xml:space="preserve">Инженерный отдел</x:t>
        </x:is>
      </x:c>
      <x:c r="I1386" s="31" t="n"/>
      <x:c r="J1386" s="31" t="inlineStr">
        <x:is>
          <x:t xml:space="preserve">СОТР-020</x:t>
        </x:is>
      </x:c>
      <x:c r="K1386" s="31" t="n">
        <x:v>96</x:v>
      </x:c>
      <x:c r="L1386" s="31" t="n">
        <x:v>121.3</x:v>
      </x:c>
      <x:c r="M1386" s="31" t="n">
        <x:v>46116</x:v>
      </x:c>
      <x:c r="N1386" s="31" t="n">
        <x:v>46124</x:v>
      </x:c>
      <x:c r="O1386" s="31" t="n">
        <x:v>46116</x:v>
      </x:c>
      <x:c r="P1386" s="31" t="n">
        <x:v>46123</x:v>
      </x:c>
      <x:c r="Q1386" s="31" t="inlineStr">
        <x:is>
          <x:t xml:space="preserve">Завершено</x:t>
        </x:is>
      </x:c>
      <x:c r="R1386" s="31" t="inlineStr">
        <x:is>
          <x:t xml:space="preserve">Нет</x:t>
        </x:is>
      </x:c>
      <x:c r="S1386" s="31" t="inlineStr">
        <x:is>
          <x:t xml:space="preserve">Нет</x:t>
        </x:is>
      </x:c>
    </x:row>
    <x:row r="1387">
      <x:c r="A1387" s="31" t="inlineStr">
        <x:is>
          <x:t xml:space="preserve">ОП-001386</x:t>
        </x:is>
      </x:c>
      <x:c r="B1387" s="31" t="inlineStr">
        <x:is>
          <x:t xml:space="preserve">ПЗ-00167</x:t>
        </x:is>
      </x:c>
      <x:c r="C1387" s="31" t="inlineStr">
        <x:is>
          <x:t xml:space="preserve">ЗК-1079</x:t>
        </x:is>
      </x:c>
      <x:c r="D1387" s="31" t="inlineStr">
        <x:is>
          <x:t xml:space="preserve">ПОЗ-0079-3</x:t>
        </x:is>
      </x:c>
      <x:c r="E1387" s="31" t="inlineStr">
        <x:is>
          <x:t xml:space="preserve">ИЗД-004</x:t>
        </x:is>
      </x:c>
      <x:c r="F1387" s="31" t="n">
        <x:v>20</x:v>
      </x:c>
      <x:c r="G1387" s="31" t="inlineStr">
        <x:is>
          <x:t xml:space="preserve">Резерв материалов</x:t>
        </x:is>
      </x:c>
      <x:c r="H1387" s="31" t="inlineStr">
        <x:is>
          <x:t xml:space="preserve">Склад</x:t>
        </x:is>
      </x:c>
      <x:c r="I1387" s="31" t="inlineStr">
        <x:is>
          <x:t xml:space="preserve">ОБ-011</x:t>
        </x:is>
      </x:c>
      <x:c r="J1387" s="31" t="inlineStr">
        <x:is>
          <x:t xml:space="preserve">СОТР-033</x:t>
        </x:is>
      </x:c>
      <x:c r="K1387" s="31" t="n">
        <x:v>35.5</x:v>
      </x:c>
      <x:c r="L1387" s="31" t="n">
        <x:v>39.8</x:v>
      </x:c>
      <x:c r="M1387" s="31" t="n">
        <x:v>46124</x:v>
      </x:c>
      <x:c r="N1387" s="31" t="n">
        <x:v>46127</x:v>
      </x:c>
      <x:c r="O1387" s="31" t="n">
        <x:v>46124</x:v>
      </x:c>
      <x:c r="P1387" s="31" t="n">
        <x:v>46128</x:v>
      </x:c>
      <x:c r="Q1387" s="31" t="inlineStr">
        <x:is>
          <x:t xml:space="preserve">Завершено</x:t>
        </x:is>
      </x:c>
      <x:c r="R1387" s="31" t="inlineStr">
        <x:is>
          <x:t xml:space="preserve">Нет</x:t>
        </x:is>
      </x:c>
      <x:c r="S1387" s="31" t="inlineStr">
        <x:is>
          <x:t xml:space="preserve">Нет</x:t>
        </x:is>
      </x:c>
    </x:row>
    <x:row r="1388">
      <x:c r="A1388" s="31" t="inlineStr">
        <x:is>
          <x:t xml:space="preserve">ОП-001387</x:t>
        </x:is>
      </x:c>
      <x:c r="B1388" s="31" t="inlineStr">
        <x:is>
          <x:t xml:space="preserve">ПЗ-00167</x:t>
        </x:is>
      </x:c>
      <x:c r="C1388" s="31" t="inlineStr">
        <x:is>
          <x:t xml:space="preserve">ЗК-1079</x:t>
        </x:is>
      </x:c>
      <x:c r="D1388" s="31" t="inlineStr">
        <x:is>
          <x:t xml:space="preserve">ПОЗ-0079-3</x:t>
        </x:is>
      </x:c>
      <x:c r="E1388" s="31" t="inlineStr">
        <x:is>
          <x:t xml:space="preserve">ИЗД-004</x:t>
        </x:is>
      </x:c>
      <x:c r="F1388" s="31" t="n">
        <x:v>30</x:v>
      </x:c>
      <x:c r="G1388" s="31" t="inlineStr">
        <x:is>
          <x:t xml:space="preserve">Сварка рамы</x:t>
        </x:is>
      </x:c>
      <x:c r="H1388" s="31" t="inlineStr">
        <x:is>
          <x:t xml:space="preserve">Сварка</x:t>
        </x:is>
      </x:c>
      <x:c r="I1388" s="31" t="inlineStr">
        <x:is>
          <x:t xml:space="preserve">ОБ-021</x:t>
        </x:is>
      </x:c>
      <x:c r="J1388" s="31" t="inlineStr">
        <x:is>
          <x:t xml:space="preserve">СОТР-065</x:t>
        </x:is>
      </x:c>
      <x:c r="K1388" s="31" t="n">
        <x:v>63.5</x:v>
      </x:c>
      <x:c r="L1388" s="31" t="n">
        <x:v>63.7</x:v>
      </x:c>
      <x:c r="M1388" s="31" t="n">
        <x:v>46127</x:v>
      </x:c>
      <x:c r="N1388" s="31" t="n">
        <x:v>46133</x:v>
      </x:c>
      <x:c r="O1388" s="31" t="n">
        <x:v>46127</x:v>
      </x:c>
      <x:c r="P1388" s="31" t="n">
        <x:v>46134</x:v>
      </x:c>
      <x:c r="Q1388" s="31" t="inlineStr">
        <x:is>
          <x:t xml:space="preserve">Завершено</x:t>
        </x:is>
      </x:c>
      <x:c r="R1388" s="31" t="inlineStr">
        <x:is>
          <x:t xml:space="preserve">КД</x:t>
        </x:is>
      </x:c>
      <x:c r="S1388" s="31" t="inlineStr">
        <x:is>
          <x:t xml:space="preserve">Нет</x:t>
        </x:is>
      </x:c>
    </x:row>
    <x:row r="1389">
      <x:c r="A1389" s="31" t="inlineStr">
        <x:is>
          <x:t xml:space="preserve">ОП-001388</x:t>
        </x:is>
      </x:c>
      <x:c r="B1389" s="31" t="inlineStr">
        <x:is>
          <x:t xml:space="preserve">ПЗ-00167</x:t>
        </x:is>
      </x:c>
      <x:c r="C1389" s="31" t="inlineStr">
        <x:is>
          <x:t xml:space="preserve">ЗК-1079</x:t>
        </x:is>
      </x:c>
      <x:c r="D1389" s="31" t="inlineStr">
        <x:is>
          <x:t xml:space="preserve">ПОЗ-0079-3</x:t>
        </x:is>
      </x:c>
      <x:c r="E1389" s="31" t="inlineStr">
        <x:is>
          <x:t xml:space="preserve">ИЗД-004</x:t>
        </x:is>
      </x:c>
      <x:c r="F1389" s="31" t="n">
        <x:v>40</x:v>
      </x:c>
      <x:c r="G1389" s="31" t="inlineStr">
        <x:is>
          <x:t xml:space="preserve">Сборка</x:t>
        </x:is>
      </x:c>
      <x:c r="H1389" s="31" t="inlineStr">
        <x:is>
          <x:t xml:space="preserve">Сборка</x:t>
        </x:is>
      </x:c>
      <x:c r="I1389" s="31" t="inlineStr">
        <x:is>
          <x:t xml:space="preserve">ОБ-034</x:t>
        </x:is>
      </x:c>
      <x:c r="J1389" s="31" t="inlineStr">
        <x:is>
          <x:t xml:space="preserve">СОТР-086</x:t>
        </x:is>
      </x:c>
      <x:c r="K1389" s="31" t="n">
        <x:v>27</x:v>
      </x:c>
      <x:c r="L1389" s="31" t="n">
        <x:v>27.6</x:v>
      </x:c>
      <x:c r="M1389" s="31" t="n">
        <x:v>46133</x:v>
      </x:c>
      <x:c r="N1389" s="31" t="n">
        <x:v>46136</x:v>
      </x:c>
      <x:c r="O1389" s="31" t="n">
        <x:v>46133</x:v>
      </x:c>
      <x:c r="P1389" s="31" t="n">
        <x:v>46136</x:v>
      </x:c>
      <x:c r="Q1389" s="31" t="inlineStr">
        <x:is>
          <x:t xml:space="preserve">Завершено</x:t>
        </x:is>
      </x:c>
      <x:c r="R1389" s="31" t="inlineStr">
        <x:is>
          <x:t xml:space="preserve">Нет</x:t>
        </x:is>
      </x:c>
      <x:c r="S1389" s="31" t="inlineStr">
        <x:is>
          <x:t xml:space="preserve">Нет</x:t>
        </x:is>
      </x:c>
    </x:row>
    <x:row r="1390">
      <x:c r="A1390" s="31" t="inlineStr">
        <x:is>
          <x:t xml:space="preserve">ОП-001389</x:t>
        </x:is>
      </x:c>
      <x:c r="B1390" s="31" t="inlineStr">
        <x:is>
          <x:t xml:space="preserve">ПЗ-00167</x:t>
        </x:is>
      </x:c>
      <x:c r="C1390" s="31" t="inlineStr">
        <x:is>
          <x:t xml:space="preserve">ЗК-1079</x:t>
        </x:is>
      </x:c>
      <x:c r="D1390" s="31" t="inlineStr">
        <x:is>
          <x:t xml:space="preserve">ПОЗ-0079-3</x:t>
        </x:is>
      </x:c>
      <x:c r="E1390" s="31" t="inlineStr">
        <x:is>
          <x:t xml:space="preserve">ИЗД-004</x:t>
        </x:is>
      </x:c>
      <x:c r="F1390" s="31" t="n">
        <x:v>50</x:v>
      </x:c>
      <x:c r="G1390" s="31" t="inlineStr">
        <x:is>
          <x:t xml:space="preserve">Обвязка труб</x:t>
        </x:is>
      </x:c>
      <x:c r="H1390" s="31" t="inlineStr">
        <x:is>
          <x:t xml:space="preserve">Сборка</x:t>
        </x:is>
      </x:c>
      <x:c r="I1390" s="31" t="inlineStr">
        <x:is>
          <x:t xml:space="preserve">ОБ-027</x:t>
        </x:is>
      </x:c>
      <x:c r="J1390" s="31" t="inlineStr">
        <x:is>
          <x:t xml:space="preserve">СОТР-091</x:t>
        </x:is>
      </x:c>
      <x:c r="K1390" s="31" t="n">
        <x:v>92.5</x:v>
      </x:c>
      <x:c r="L1390" s="31" t="n">
        <x:v>94.90000000000001</x:v>
      </x:c>
      <x:c r="M1390" s="31" t="n">
        <x:v>46136</x:v>
      </x:c>
      <x:c r="N1390" s="31" t="n">
        <x:v>46144</x:v>
      </x:c>
      <x:c r="O1390" s="31" t="n">
        <x:v>46136</x:v>
      </x:c>
      <x:c r="P1390" s="31" t="n">
        <x:v>46146</x:v>
      </x:c>
      <x:c r="Q1390" s="31" t="inlineStr">
        <x:is>
          <x:t xml:space="preserve">Завершено</x:t>
        </x:is>
      </x:c>
      <x:c r="R1390" s="31" t="inlineStr">
        <x:is>
          <x:t xml:space="preserve">Нет</x:t>
        </x:is>
      </x:c>
      <x:c r="S1390" s="31" t="inlineStr">
        <x:is>
          <x:t xml:space="preserve">Да</x:t>
        </x:is>
      </x:c>
    </x:row>
    <x:row r="1391">
      <x:c r="A1391" s="31" t="inlineStr">
        <x:is>
          <x:t xml:space="preserve">ОП-001390</x:t>
        </x:is>
      </x:c>
      <x:c r="B1391" s="31" t="inlineStr">
        <x:is>
          <x:t xml:space="preserve">ПЗ-00167</x:t>
        </x:is>
      </x:c>
      <x:c r="C1391" s="31" t="inlineStr">
        <x:is>
          <x:t xml:space="preserve">ЗК-1079</x:t>
        </x:is>
      </x:c>
      <x:c r="D1391" s="31" t="inlineStr">
        <x:is>
          <x:t xml:space="preserve">ПОЗ-0079-3</x:t>
        </x:is>
      </x:c>
      <x:c r="E1391" s="31" t="inlineStr">
        <x:is>
          <x:t xml:space="preserve">ИЗД-004</x:t>
        </x:is>
      </x:c>
      <x:c r="F1391" s="31" t="n">
        <x:v>60</x:v>
      </x:c>
      <x:c r="G1391" s="31" t="inlineStr">
        <x:is>
          <x:t xml:space="preserve">Электромонтаж</x:t>
        </x:is>
      </x:c>
      <x:c r="H1391" s="31" t="inlineStr">
        <x:is>
          <x:t xml:space="preserve">Сборка</x:t>
        </x:is>
      </x:c>
      <x:c r="I1391" s="31" t="inlineStr">
        <x:is>
          <x:t xml:space="preserve">ОБ-016</x:t>
        </x:is>
      </x:c>
      <x:c r="J1391" s="31" t="inlineStr">
        <x:is>
          <x:t xml:space="preserve">СОТР-032</x:t>
        </x:is>
      </x:c>
      <x:c r="K1391" s="31" t="n">
        <x:v>11</x:v>
      </x:c>
      <x:c r="L1391" s="31" t="n">
        <x:v>11.2</x:v>
      </x:c>
      <x:c r="M1391" s="31" t="n">
        <x:v>46144</x:v>
      </x:c>
      <x:c r="N1391" s="31" t="n">
        <x:v>46145</x:v>
      </x:c>
      <x:c r="O1391" s="31" t="n">
        <x:v>46144</x:v>
      </x:c>
      <x:c r="P1391" s="31" t="n">
        <x:v>46147</x:v>
      </x:c>
      <x:c r="Q1391" s="31" t="inlineStr">
        <x:is>
          <x:t xml:space="preserve">Завершено</x:t>
        </x:is>
      </x:c>
      <x:c r="R1391" s="31" t="inlineStr">
        <x:is>
          <x:t xml:space="preserve">Нет</x:t>
        </x:is>
      </x:c>
      <x:c r="S1391" s="31" t="inlineStr">
        <x:is>
          <x:t xml:space="preserve">Нет</x:t>
        </x:is>
      </x:c>
    </x:row>
    <x:row r="1392">
      <x:c r="A1392" s="31" t="inlineStr">
        <x:is>
          <x:t xml:space="preserve">ОП-001391</x:t>
        </x:is>
      </x:c>
      <x:c r="B1392" s="31" t="inlineStr">
        <x:is>
          <x:t xml:space="preserve">ПЗ-00167</x:t>
        </x:is>
      </x:c>
      <x:c r="C1392" s="31" t="inlineStr">
        <x:is>
          <x:t xml:space="preserve">ЗК-1079</x:t>
        </x:is>
      </x:c>
      <x:c r="D1392" s="31" t="inlineStr">
        <x:is>
          <x:t xml:space="preserve">ПОЗ-0079-3</x:t>
        </x:is>
      </x:c>
      <x:c r="E1392" s="31" t="inlineStr">
        <x:is>
          <x:t xml:space="preserve">ИЗД-004</x:t>
        </x:is>
      </x:c>
      <x:c r="F1392" s="31" t="n">
        <x:v>70</x:v>
      </x:c>
      <x:c r="G1392" s="31" t="inlineStr">
        <x:is>
          <x:t xml:space="preserve">Гидроиспытания</x:t>
        </x:is>
      </x:c>
      <x:c r="H1392" s="31" t="inlineStr">
        <x:is>
          <x:t xml:space="preserve">ОТК</x:t>
        </x:is>
      </x:c>
      <x:c r="I1392" s="31" t="inlineStr">
        <x:is>
          <x:t xml:space="preserve">ОБ-015</x:t>
        </x:is>
      </x:c>
      <x:c r="J1392" s="31" t="inlineStr">
        <x:is>
          <x:t xml:space="preserve">СОТР-092</x:t>
        </x:is>
      </x:c>
      <x:c r="K1392" s="31" t="n">
        <x:v>95.5</x:v>
      </x:c>
      <x:c r="L1392" s="31" t="n">
        <x:v>82.40000000000001</x:v>
      </x:c>
      <x:c r="M1392" s="31" t="n">
        <x:v>46145</x:v>
      </x:c>
      <x:c r="N1392" s="31" t="n">
        <x:v>46153</x:v>
      </x:c>
      <x:c r="O1392" s="31" t="n">
        <x:v>46145</x:v>
      </x:c>
      <x:c r="P1392" s="31" t="n">
        <x:v>46153</x:v>
      </x:c>
      <x:c r="Q1392" s="31" t="inlineStr">
        <x:is>
          <x:t xml:space="preserve">Завершено</x:t>
        </x:is>
      </x:c>
      <x:c r="R1392" s="31" t="inlineStr">
        <x:is>
          <x:t xml:space="preserve">Нет</x:t>
        </x:is>
      </x:c>
      <x:c r="S1392" s="31" t="inlineStr">
        <x:is>
          <x:t xml:space="preserve">Нет</x:t>
        </x:is>
      </x:c>
    </x:row>
    <x:row r="1393">
      <x:c r="A1393" s="31" t="inlineStr">
        <x:is>
          <x:t xml:space="preserve">ОП-001392</x:t>
        </x:is>
      </x:c>
      <x:c r="B1393" s="31" t="inlineStr">
        <x:is>
          <x:t xml:space="preserve">ПЗ-00167</x:t>
        </x:is>
      </x:c>
      <x:c r="C1393" s="31" t="inlineStr">
        <x:is>
          <x:t xml:space="preserve">ЗК-1079</x:t>
        </x:is>
      </x:c>
      <x:c r="D1393" s="31" t="inlineStr">
        <x:is>
          <x:t xml:space="preserve">ПОЗ-0079-3</x:t>
        </x:is>
      </x:c>
      <x:c r="E1393" s="31" t="inlineStr">
        <x:is>
          <x:t xml:space="preserve">ИЗД-004</x:t>
        </x:is>
      </x:c>
      <x:c r="F1393" s="31" t="n">
        <x:v>80</x:v>
      </x:c>
      <x:c r="G1393" s="31" t="inlineStr">
        <x:is>
          <x:t xml:space="preserve">ОТК</x:t>
        </x:is>
      </x:c>
      <x:c r="H1393" s="31" t="inlineStr">
        <x:is>
          <x:t xml:space="preserve">ОТК</x:t>
        </x:is>
      </x:c>
      <x:c r="I1393" s="31" t="inlineStr">
        <x:is>
          <x:t xml:space="preserve">ОБ-022</x:t>
        </x:is>
      </x:c>
      <x:c r="J1393" s="31" t="inlineStr">
        <x:is>
          <x:t xml:space="preserve">СОТР-063</x:t>
        </x:is>
      </x:c>
      <x:c r="K1393" s="31" t="n">
        <x:v>27</x:v>
      </x:c>
      <x:c r="L1393" s="31" t="n">
        <x:v>32.6</x:v>
      </x:c>
      <x:c r="M1393" s="31" t="n">
        <x:v>46153</x:v>
      </x:c>
      <x:c r="N1393" s="31" t="n">
        <x:v>46156</x:v>
      </x:c>
      <x:c r="O1393" s="31" t="n">
        <x:v>46153</x:v>
      </x:c>
      <x:c r="P1393" s="31" t="n">
        <x:v>46157</x:v>
      </x:c>
      <x:c r="Q1393" s="31" t="inlineStr">
        <x:is>
          <x:t xml:space="preserve">Завершено</x:t>
        </x:is>
      </x:c>
      <x:c r="R1393" s="31" t="inlineStr">
        <x:is>
          <x:t xml:space="preserve">Нет</x:t>
        </x:is>
      </x:c>
      <x:c r="S1393" s="31" t="inlineStr">
        <x:is>
          <x:t xml:space="preserve">Нет</x:t>
        </x:is>
      </x:c>
    </x:row>
    <x:row r="1394">
      <x:c r="A1394" s="31" t="inlineStr">
        <x:is>
          <x:t xml:space="preserve">ОП-001393</x:t>
        </x:is>
      </x:c>
      <x:c r="B1394" s="31" t="inlineStr">
        <x:is>
          <x:t xml:space="preserve">ПЗ-00167</x:t>
        </x:is>
      </x:c>
      <x:c r="C1394" s="31" t="inlineStr">
        <x:is>
          <x:t xml:space="preserve">ЗК-1079</x:t>
        </x:is>
      </x:c>
      <x:c r="D1394" s="31" t="inlineStr">
        <x:is>
          <x:t xml:space="preserve">ПОЗ-0079-3</x:t>
        </x:is>
      </x:c>
      <x:c r="E1394" s="31" t="inlineStr">
        <x:is>
          <x:t xml:space="preserve">ИЗД-004</x:t>
        </x:is>
      </x:c>
      <x:c r="F1394" s="31" t="n">
        <x:v>90</x:v>
      </x:c>
      <x:c r="G1394" s="31" t="inlineStr">
        <x:is>
          <x:t xml:space="preserve">Упаковка</x:t>
        </x:is>
      </x:c>
      <x:c r="H1394" s="31" t="inlineStr">
        <x:is>
          <x:t xml:space="preserve">Логистика</x:t>
        </x:is>
      </x:c>
      <x:c r="I1394" s="31" t="n"/>
      <x:c r="J1394" s="31" t="inlineStr">
        <x:is>
          <x:t xml:space="preserve">СОТР-070</x:t>
        </x:is>
      </x:c>
      <x:c r="K1394" s="31" t="n">
        <x:v>68.5</x:v>
      </x:c>
      <x:c r="L1394" s="31" t="n">
        <x:v>86.7</x:v>
      </x:c>
      <x:c r="M1394" s="31" t="n">
        <x:v>46156</x:v>
      </x:c>
      <x:c r="N1394" s="31" t="n">
        <x:v>46162</x:v>
      </x:c>
      <x:c r="O1394" s="31" t="n">
        <x:v>46156</x:v>
      </x:c>
      <x:c r="P1394" s="31" t="n">
        <x:v>46164</x:v>
      </x:c>
      <x:c r="Q1394" s="31" t="inlineStr">
        <x:is>
          <x:t xml:space="preserve">Завершено</x:t>
        </x:is>
      </x:c>
      <x:c r="R1394" s="31" t="inlineStr">
        <x:is>
          <x:t xml:space="preserve">Нет</x:t>
        </x:is>
      </x:c>
      <x:c r="S1394" s="31" t="inlineStr">
        <x:is>
          <x:t xml:space="preserve">Нет</x:t>
        </x:is>
      </x:c>
    </x:row>
    <x:row r="1395">
      <x:c r="A1395" s="31" t="inlineStr">
        <x:is>
          <x:t xml:space="preserve">ОП-001394</x:t>
        </x:is>
      </x:c>
      <x:c r="B1395" s="31" t="inlineStr">
        <x:is>
          <x:t xml:space="preserve">ПЗ-00168</x:t>
        </x:is>
      </x:c>
      <x:c r="C1395" s="31" t="inlineStr">
        <x:is>
          <x:t xml:space="preserve">ЗК-1079</x:t>
        </x:is>
      </x:c>
      <x:c r="D1395" s="31" t="inlineStr">
        <x:is>
          <x:t xml:space="preserve">ПОЗ-0079-4</x:t>
        </x:is>
      </x:c>
      <x:c r="E1395" s="31" t="inlineStr">
        <x:is>
          <x:t xml:space="preserve">ИЗД-027</x:t>
        </x:is>
      </x:c>
      <x:c r="F1395" s="31" t="n">
        <x:v>10</x:v>
      </x:c>
      <x:c r="G1395" s="31" t="inlineStr">
        <x:is>
          <x:t xml:space="preserve">КД</x:t>
        </x:is>
      </x:c>
      <x:c r="H1395" s="31" t="inlineStr">
        <x:is>
          <x:t xml:space="preserve">Инженерный отдел</x:t>
        </x:is>
      </x:c>
      <x:c r="I1395" s="31" t="n"/>
      <x:c r="J1395" s="31" t="inlineStr">
        <x:is>
          <x:t xml:space="preserve">СОТР-021</x:t>
        </x:is>
      </x:c>
      <x:c r="K1395" s="31" t="n">
        <x:v>19.2</x:v>
      </x:c>
      <x:c r="L1395" s="31" t="n">
        <x:v>20.4</x:v>
      </x:c>
      <x:c r="M1395" s="31" t="n">
        <x:v>46106</x:v>
      </x:c>
      <x:c r="N1395" s="31" t="n">
        <x:v>46108</x:v>
      </x:c>
      <x:c r="O1395" s="31" t="n">
        <x:v>46106</x:v>
      </x:c>
      <x:c r="P1395" s="31" t="n">
        <x:v>46108</x:v>
      </x:c>
      <x:c r="Q1395" s="31" t="inlineStr">
        <x:is>
          <x:t xml:space="preserve">Завершено</x:t>
        </x:is>
      </x:c>
      <x:c r="R1395" s="31" t="inlineStr">
        <x:is>
          <x:t xml:space="preserve">Нет</x:t>
        </x:is>
      </x:c>
      <x:c r="S1395" s="31" t="inlineStr">
        <x:is>
          <x:t xml:space="preserve">Нет</x:t>
        </x:is>
      </x:c>
    </x:row>
    <x:row r="1396">
      <x:c r="A1396" s="31" t="inlineStr">
        <x:is>
          <x:t xml:space="preserve">ОП-001395</x:t>
        </x:is>
      </x:c>
      <x:c r="B1396" s="31" t="inlineStr">
        <x:is>
          <x:t xml:space="preserve">ПЗ-00168</x:t>
        </x:is>
      </x:c>
      <x:c r="C1396" s="31" t="inlineStr">
        <x:is>
          <x:t xml:space="preserve">ЗК-1079</x:t>
        </x:is>
      </x:c>
      <x:c r="D1396" s="31" t="inlineStr">
        <x:is>
          <x:t xml:space="preserve">ПОЗ-0079-4</x:t>
        </x:is>
      </x:c>
      <x:c r="E1396" s="31" t="inlineStr">
        <x:is>
          <x:t xml:space="preserve">ИЗД-027</x:t>
        </x:is>
      </x:c>
      <x:c r="F1396" s="31" t="n">
        <x:v>20</x:v>
      </x:c>
      <x:c r="G1396" s="31" t="inlineStr">
        <x:is>
          <x:t xml:space="preserve">Резерв материалов</x:t>
        </x:is>
      </x:c>
      <x:c r="H1396" s="31" t="inlineStr">
        <x:is>
          <x:t xml:space="preserve">Склад</x:t>
        </x:is>
      </x:c>
      <x:c r="I1396" s="31" t="inlineStr">
        <x:is>
          <x:t xml:space="preserve">ОБ-008</x:t>
        </x:is>
      </x:c>
      <x:c r="J1396" s="31" t="inlineStr">
        <x:is>
          <x:t xml:space="preserve">СОТР-038</x:t>
        </x:is>
      </x:c>
      <x:c r="K1396" s="31" t="n">
        <x:v>2.9</x:v>
      </x:c>
      <x:c r="L1396" s="31" t="n">
        <x:v>2.7</x:v>
      </x:c>
      <x:c r="M1396" s="31" t="n">
        <x:v>46108</x:v>
      </x:c>
      <x:c r="N1396" s="31" t="n">
        <x:v>46109</x:v>
      </x:c>
      <x:c r="O1396" s="31" t="n">
        <x:v>46108</x:v>
      </x:c>
      <x:c r="P1396" s="31" t="n">
        <x:v>46109</x:v>
      </x:c>
      <x:c r="Q1396" s="31" t="inlineStr">
        <x:is>
          <x:t xml:space="preserve">Завершено</x:t>
        </x:is>
      </x:c>
      <x:c r="R1396" s="31" t="inlineStr">
        <x:is>
          <x:t xml:space="preserve">Оборудование</x:t>
        </x:is>
      </x:c>
      <x:c r="S1396" s="31" t="inlineStr">
        <x:is>
          <x:t xml:space="preserve">Нет</x:t>
        </x:is>
      </x:c>
    </x:row>
    <x:row r="1397">
      <x:c r="A1397" s="31" t="inlineStr">
        <x:is>
          <x:t xml:space="preserve">ОП-001396</x:t>
        </x:is>
      </x:c>
      <x:c r="B1397" s="31" t="inlineStr">
        <x:is>
          <x:t xml:space="preserve">ПЗ-00168</x:t>
        </x:is>
      </x:c>
      <x:c r="C1397" s="31" t="inlineStr">
        <x:is>
          <x:t xml:space="preserve">ЗК-1079</x:t>
        </x:is>
      </x:c>
      <x:c r="D1397" s="31" t="inlineStr">
        <x:is>
          <x:t xml:space="preserve">ПОЗ-0079-4</x:t>
        </x:is>
      </x:c>
      <x:c r="E1397" s="31" t="inlineStr">
        <x:is>
          <x:t xml:space="preserve">ИЗД-027</x:t>
        </x:is>
      </x:c>
      <x:c r="F1397" s="31" t="n">
        <x:v>30</x:v>
      </x:c>
      <x:c r="G1397" s="31" t="inlineStr">
        <x:is>
          <x:t xml:space="preserve">Сварка рамы</x:t>
        </x:is>
      </x:c>
      <x:c r="H1397" s="31" t="inlineStr">
        <x:is>
          <x:t xml:space="preserve">Сварка</x:t>
        </x:is>
      </x:c>
      <x:c r="I1397" s="31" t="inlineStr">
        <x:is>
          <x:t xml:space="preserve">ОБ-010</x:t>
        </x:is>
      </x:c>
      <x:c r="J1397" s="31" t="inlineStr">
        <x:is>
          <x:t xml:space="preserve">СОТР-072</x:t>
        </x:is>
      </x:c>
      <x:c r="K1397" s="31" t="n">
        <x:v>13.2</x:v>
      </x:c>
      <x:c r="L1397" s="31" t="n">
        <x:v>15.4</x:v>
      </x:c>
      <x:c r="M1397" s="31" t="n">
        <x:v>46109</x:v>
      </x:c>
      <x:c r="N1397" s="31" t="n">
        <x:v>46111</x:v>
      </x:c>
      <x:c r="O1397" s="31" t="n">
        <x:v>46109</x:v>
      </x:c>
      <x:c r="P1397" s="31" t="n">
        <x:v>46113</x:v>
      </x:c>
      <x:c r="Q1397" s="31" t="inlineStr">
        <x:is>
          <x:t xml:space="preserve">Завершено</x:t>
        </x:is>
      </x:c>
      <x:c r="R1397" s="31" t="inlineStr">
        <x:is>
          <x:t xml:space="preserve">Нет</x:t>
        </x:is>
      </x:c>
      <x:c r="S1397" s="31" t="inlineStr">
        <x:is>
          <x:t xml:space="preserve">Нет</x:t>
        </x:is>
      </x:c>
    </x:row>
    <x:row r="1398">
      <x:c r="A1398" s="31" t="inlineStr">
        <x:is>
          <x:t xml:space="preserve">ОП-001397</x:t>
        </x:is>
      </x:c>
      <x:c r="B1398" s="31" t="inlineStr">
        <x:is>
          <x:t xml:space="preserve">ПЗ-00168</x:t>
        </x:is>
      </x:c>
      <x:c r="C1398" s="31" t="inlineStr">
        <x:is>
          <x:t xml:space="preserve">ЗК-1079</x:t>
        </x:is>
      </x:c>
      <x:c r="D1398" s="31" t="inlineStr">
        <x:is>
          <x:t xml:space="preserve">ПОЗ-0079-4</x:t>
        </x:is>
      </x:c>
      <x:c r="E1398" s="31" t="inlineStr">
        <x:is>
          <x:t xml:space="preserve">ИЗД-027</x:t>
        </x:is>
      </x:c>
      <x:c r="F1398" s="31" t="n">
        <x:v>40</x:v>
      </x:c>
      <x:c r="G1398" s="31" t="inlineStr">
        <x:is>
          <x:t xml:space="preserve">Сборка</x:t>
        </x:is>
      </x:c>
      <x:c r="H1398" s="31" t="inlineStr">
        <x:is>
          <x:t xml:space="preserve">Сборка</x:t>
        </x:is>
      </x:c>
      <x:c r="I1398" s="31" t="inlineStr">
        <x:is>
          <x:t xml:space="preserve">ОБ-027</x:t>
        </x:is>
      </x:c>
      <x:c r="J1398" s="31" t="inlineStr">
        <x:is>
          <x:t xml:space="preserve">СОТР-073</x:t>
        </x:is>
      </x:c>
      <x:c r="K1398" s="31" t="n">
        <x:v>8.9</x:v>
      </x:c>
      <x:c r="L1398" s="31" t="n">
        <x:v>10.6</x:v>
      </x:c>
      <x:c r="M1398" s="31" t="n">
        <x:v>46111</x:v>
      </x:c>
      <x:c r="N1398" s="31" t="n">
        <x:v>46112</x:v>
      </x:c>
      <x:c r="O1398" s="31" t="n">
        <x:v>46111</x:v>
      </x:c>
      <x:c r="P1398" s="31" t="n">
        <x:v>46112</x:v>
      </x:c>
      <x:c r="Q1398" s="31" t="inlineStr">
        <x:is>
          <x:t xml:space="preserve">Завершено</x:t>
        </x:is>
      </x:c>
      <x:c r="R1398" s="31" t="inlineStr">
        <x:is>
          <x:t xml:space="preserve">Нет</x:t>
        </x:is>
      </x:c>
      <x:c r="S1398" s="31" t="inlineStr">
        <x:is>
          <x:t xml:space="preserve">Нет</x:t>
        </x:is>
      </x:c>
    </x:row>
    <x:row r="1399">
      <x:c r="A1399" s="31" t="inlineStr">
        <x:is>
          <x:t xml:space="preserve">ОП-001398</x:t>
        </x:is>
      </x:c>
      <x:c r="B1399" s="31" t="inlineStr">
        <x:is>
          <x:t xml:space="preserve">ПЗ-00168</x:t>
        </x:is>
      </x:c>
      <x:c r="C1399" s="31" t="inlineStr">
        <x:is>
          <x:t xml:space="preserve">ЗК-1079</x:t>
        </x:is>
      </x:c>
      <x:c r="D1399" s="31" t="inlineStr">
        <x:is>
          <x:t xml:space="preserve">ПОЗ-0079-4</x:t>
        </x:is>
      </x:c>
      <x:c r="E1399" s="31" t="inlineStr">
        <x:is>
          <x:t xml:space="preserve">ИЗД-027</x:t>
        </x:is>
      </x:c>
      <x:c r="F1399" s="31" t="n">
        <x:v>50</x:v>
      </x:c>
      <x:c r="G1399" s="31" t="inlineStr">
        <x:is>
          <x:t xml:space="preserve">Обвязка труб</x:t>
        </x:is>
      </x:c>
      <x:c r="H1399" s="31" t="inlineStr">
        <x:is>
          <x:t xml:space="preserve">Сборка</x:t>
        </x:is>
      </x:c>
      <x:c r="I1399" s="31" t="inlineStr">
        <x:is>
          <x:t xml:space="preserve">ОБ-012</x:t>
        </x:is>
      </x:c>
      <x:c r="J1399" s="31" t="inlineStr">
        <x:is>
          <x:t xml:space="preserve">СОТР-088</x:t>
        </x:is>
      </x:c>
      <x:c r="K1399" s="31" t="n">
        <x:v>18</x:v>
      </x:c>
      <x:c r="L1399" s="31" t="n">
        <x:v>22.9</x:v>
      </x:c>
      <x:c r="M1399" s="31" t="n">
        <x:v>46112</x:v>
      </x:c>
      <x:c r="N1399" s="31" t="n">
        <x:v>46114</x:v>
      </x:c>
      <x:c r="O1399" s="31" t="n">
        <x:v>46112</x:v>
      </x:c>
      <x:c r="P1399" s="31" t="n">
        <x:v>46116</x:v>
      </x:c>
      <x:c r="Q1399" s="31" t="inlineStr">
        <x:is>
          <x:t xml:space="preserve">Завершено</x:t>
        </x:is>
      </x:c>
      <x:c r="R1399" s="31" t="inlineStr">
        <x:is>
          <x:t xml:space="preserve">Нет</x:t>
        </x:is>
      </x:c>
      <x:c r="S1399" s="31" t="inlineStr">
        <x:is>
          <x:t xml:space="preserve">Да</x:t>
        </x:is>
      </x:c>
    </x:row>
    <x:row r="1400">
      <x:c r="A1400" s="31" t="inlineStr">
        <x:is>
          <x:t xml:space="preserve">ОП-001399</x:t>
        </x:is>
      </x:c>
      <x:c r="B1400" s="31" t="inlineStr">
        <x:is>
          <x:t xml:space="preserve">ПЗ-00168</x:t>
        </x:is>
      </x:c>
      <x:c r="C1400" s="31" t="inlineStr">
        <x:is>
          <x:t xml:space="preserve">ЗК-1079</x:t>
        </x:is>
      </x:c>
      <x:c r="D1400" s="31" t="inlineStr">
        <x:is>
          <x:t xml:space="preserve">ПОЗ-0079-4</x:t>
        </x:is>
      </x:c>
      <x:c r="E1400" s="31" t="inlineStr">
        <x:is>
          <x:t xml:space="preserve">ИЗД-027</x:t>
        </x:is>
      </x:c>
      <x:c r="F1400" s="31" t="n">
        <x:v>60</x:v>
      </x:c>
      <x:c r="G1400" s="31" t="inlineStr">
        <x:is>
          <x:t xml:space="preserve">Электромонтаж</x:t>
        </x:is>
      </x:c>
      <x:c r="H1400" s="31" t="inlineStr">
        <x:is>
          <x:t xml:space="preserve">Сборка</x:t>
        </x:is>
      </x:c>
      <x:c r="I1400" s="31" t="inlineStr">
        <x:is>
          <x:t xml:space="preserve">ОБ-020</x:t>
        </x:is>
      </x:c>
      <x:c r="J1400" s="31" t="inlineStr">
        <x:is>
          <x:t xml:space="preserve">СОТР-079</x:t>
        </x:is>
      </x:c>
      <x:c r="K1400" s="31" t="n">
        <x:v>16</x:v>
      </x:c>
      <x:c r="L1400" s="31" t="n">
        <x:v>15.9</x:v>
      </x:c>
      <x:c r="M1400" s="31" t="n">
        <x:v>46114</x:v>
      </x:c>
      <x:c r="N1400" s="31" t="n">
        <x:v>46116</x:v>
      </x:c>
      <x:c r="O1400" s="31" t="n">
        <x:v>46114</x:v>
      </x:c>
      <x:c r="P1400" s="31" t="n">
        <x:v>46117</x:v>
      </x:c>
      <x:c r="Q1400" s="31" t="inlineStr">
        <x:is>
          <x:t xml:space="preserve">Завершено</x:t>
        </x:is>
      </x:c>
      <x:c r="R1400" s="31" t="inlineStr">
        <x:is>
          <x:t xml:space="preserve">Нет</x:t>
        </x:is>
      </x:c>
      <x:c r="S1400" s="31" t="inlineStr">
        <x:is>
          <x:t xml:space="preserve">Нет</x:t>
        </x:is>
      </x:c>
    </x:row>
    <x:row r="1401">
      <x:c r="A1401" s="31" t="inlineStr">
        <x:is>
          <x:t xml:space="preserve">ОП-001400</x:t>
        </x:is>
      </x:c>
      <x:c r="B1401" s="31" t="inlineStr">
        <x:is>
          <x:t xml:space="preserve">ПЗ-00168</x:t>
        </x:is>
      </x:c>
      <x:c r="C1401" s="31" t="inlineStr">
        <x:is>
          <x:t xml:space="preserve">ЗК-1079</x:t>
        </x:is>
      </x:c>
      <x:c r="D1401" s="31" t="inlineStr">
        <x:is>
          <x:t xml:space="preserve">ПОЗ-0079-4</x:t>
        </x:is>
      </x:c>
      <x:c r="E1401" s="31" t="inlineStr">
        <x:is>
          <x:t xml:space="preserve">ИЗД-027</x:t>
        </x:is>
      </x:c>
      <x:c r="F1401" s="31" t="n">
        <x:v>70</x:v>
      </x:c>
      <x:c r="G1401" s="31" t="inlineStr">
        <x:is>
          <x:t xml:space="preserve">Гидроиспытания</x:t>
        </x:is>
      </x:c>
      <x:c r="H1401" s="31" t="inlineStr">
        <x:is>
          <x:t xml:space="preserve">ОТК</x:t>
        </x:is>
      </x:c>
      <x:c r="I1401" s="31" t="inlineStr">
        <x:is>
          <x:t xml:space="preserve">ОБ-033</x:t>
        </x:is>
      </x:c>
      <x:c r="J1401" s="31" t="inlineStr">
        <x:is>
          <x:t xml:space="preserve">СОТР-099</x:t>
        </x:is>
      </x:c>
      <x:c r="K1401" s="31" t="n">
        <x:v>12.2</x:v>
      </x:c>
      <x:c r="L1401" s="31" t="n">
        <x:v>14.7</x:v>
      </x:c>
      <x:c r="M1401" s="31" t="n">
        <x:v>46116</x:v>
      </x:c>
      <x:c r="N1401" s="31" t="n">
        <x:v>46118</x:v>
      </x:c>
      <x:c r="O1401" s="31" t="n">
        <x:v>46116</x:v>
      </x:c>
      <x:c r="P1401" s="31" t="n">
        <x:v>46118</x:v>
      </x:c>
      <x:c r="Q1401" s="31" t="inlineStr">
        <x:is>
          <x:t xml:space="preserve">Завершено</x:t>
        </x:is>
      </x:c>
      <x:c r="R1401" s="31" t="inlineStr">
        <x:is>
          <x:t xml:space="preserve">Нет</x:t>
        </x:is>
      </x:c>
      <x:c r="S1401" s="31" t="inlineStr">
        <x:is>
          <x:t xml:space="preserve">Нет</x:t>
        </x:is>
      </x:c>
    </x:row>
    <x:row r="1402">
      <x:c r="A1402" s="31" t="inlineStr">
        <x:is>
          <x:t xml:space="preserve">ОП-001401</x:t>
        </x:is>
      </x:c>
      <x:c r="B1402" s="31" t="inlineStr">
        <x:is>
          <x:t xml:space="preserve">ПЗ-00168</x:t>
        </x:is>
      </x:c>
      <x:c r="C1402" s="31" t="inlineStr">
        <x:is>
          <x:t xml:space="preserve">ЗК-1079</x:t>
        </x:is>
      </x:c>
      <x:c r="D1402" s="31" t="inlineStr">
        <x:is>
          <x:t xml:space="preserve">ПОЗ-0079-4</x:t>
        </x:is>
      </x:c>
      <x:c r="E1402" s="31" t="inlineStr">
        <x:is>
          <x:t xml:space="preserve">ИЗД-027</x:t>
        </x:is>
      </x:c>
      <x:c r="F1402" s="31" t="n">
        <x:v>80</x:v>
      </x:c>
      <x:c r="G1402" s="31" t="inlineStr">
        <x:is>
          <x:t xml:space="preserve">ОТК</x:t>
        </x:is>
      </x:c>
      <x:c r="H1402" s="31" t="inlineStr">
        <x:is>
          <x:t xml:space="preserve">ОТК</x:t>
        </x:is>
      </x:c>
      <x:c r="I1402" s="31" t="inlineStr">
        <x:is>
          <x:t xml:space="preserve">ОБ-015</x:t>
        </x:is>
      </x:c>
      <x:c r="J1402" s="31" t="inlineStr">
        <x:is>
          <x:t xml:space="preserve">СОТР-095</x:t>
        </x:is>
      </x:c>
      <x:c r="K1402" s="31" t="n">
        <x:v>14.1</x:v>
      </x:c>
      <x:c r="L1402" s="31" t="n">
        <x:v>13.8</x:v>
      </x:c>
      <x:c r="M1402" s="31" t="n">
        <x:v>46118</x:v>
      </x:c>
      <x:c r="N1402" s="31" t="n">
        <x:v>46120</x:v>
      </x:c>
      <x:c r="O1402" s="31" t="n">
        <x:v>46118</x:v>
      </x:c>
      <x:c r="P1402" s="31" t="n">
        <x:v>46119</x:v>
      </x:c>
      <x:c r="Q1402" s="31" t="inlineStr">
        <x:is>
          <x:t xml:space="preserve">Завершено</x:t>
        </x:is>
      </x:c>
      <x:c r="R1402" s="31" t="inlineStr">
        <x:is>
          <x:t xml:space="preserve">Нет</x:t>
        </x:is>
      </x:c>
      <x:c r="S1402" s="31" t="inlineStr">
        <x:is>
          <x:t xml:space="preserve">Нет</x:t>
        </x:is>
      </x:c>
    </x:row>
    <x:row r="1403">
      <x:c r="A1403" s="31" t="inlineStr">
        <x:is>
          <x:t xml:space="preserve">ОП-001402</x:t>
        </x:is>
      </x:c>
      <x:c r="B1403" s="31" t="inlineStr">
        <x:is>
          <x:t xml:space="preserve">ПЗ-00168</x:t>
        </x:is>
      </x:c>
      <x:c r="C1403" s="31" t="inlineStr">
        <x:is>
          <x:t xml:space="preserve">ЗК-1079</x:t>
        </x:is>
      </x:c>
      <x:c r="D1403" s="31" t="inlineStr">
        <x:is>
          <x:t xml:space="preserve">ПОЗ-0079-4</x:t>
        </x:is>
      </x:c>
      <x:c r="E1403" s="31" t="inlineStr">
        <x:is>
          <x:t xml:space="preserve">ИЗД-027</x:t>
        </x:is>
      </x:c>
      <x:c r="F1403" s="31" t="n">
        <x:v>90</x:v>
      </x:c>
      <x:c r="G1403" s="31" t="inlineStr">
        <x:is>
          <x:t xml:space="preserve">Упаковка</x:t>
        </x:is>
      </x:c>
      <x:c r="H1403" s="31" t="inlineStr">
        <x:is>
          <x:t xml:space="preserve">Логистика</x:t>
        </x:is>
      </x:c>
      <x:c r="I1403" s="31" t="n"/>
      <x:c r="J1403" s="31" t="inlineStr">
        <x:is>
          <x:t xml:space="preserve">СОТР-102</x:t>
        </x:is>
      </x:c>
      <x:c r="K1403" s="31" t="n">
        <x:v>8.1</x:v>
      </x:c>
      <x:c r="L1403" s="31" t="n">
        <x:v>8.1</x:v>
      </x:c>
      <x:c r="M1403" s="31" t="n">
        <x:v>46120</x:v>
      </x:c>
      <x:c r="N1403" s="31" t="n">
        <x:v>46121</x:v>
      </x:c>
      <x:c r="O1403" s="31" t="n">
        <x:v>46120</x:v>
      </x:c>
      <x:c r="P1403" s="31" t="n">
        <x:v>46120</x:v>
      </x:c>
      <x:c r="Q1403" s="31" t="inlineStr">
        <x:is>
          <x:t xml:space="preserve">Завершено</x:t>
        </x:is>
      </x:c>
      <x:c r="R1403" s="31" t="inlineStr">
        <x:is>
          <x:t xml:space="preserve">Нет</x:t>
        </x:is>
      </x:c>
      <x:c r="S1403" s="31" t="inlineStr">
        <x:is>
          <x:t xml:space="preserve">Нет</x:t>
        </x:is>
      </x:c>
    </x:row>
    <x:row r="1404">
      <x:c r="A1404" s="31" t="inlineStr">
        <x:is>
          <x:t xml:space="preserve">ОП-001403</x:t>
        </x:is>
      </x:c>
      <x:c r="B1404" s="31" t="inlineStr">
        <x:is>
          <x:t xml:space="preserve">ПЗ-00169</x:t>
        </x:is>
      </x:c>
      <x:c r="C1404" s="31" t="inlineStr">
        <x:is>
          <x:t xml:space="preserve">ЗК-1081</x:t>
        </x:is>
      </x:c>
      <x:c r="D1404" s="31" t="inlineStr">
        <x:is>
          <x:t xml:space="preserve">ПОЗ-0081-1</x:t>
        </x:is>
      </x:c>
      <x:c r="E1404" s="31" t="inlineStr">
        <x:is>
          <x:t xml:space="preserve">ИЗД-008</x:t>
        </x:is>
      </x:c>
      <x:c r="F1404" s="31" t="n">
        <x:v>10</x:v>
      </x:c>
      <x:c r="G1404" s="31" t="inlineStr">
        <x:is>
          <x:t xml:space="preserve">Комплектация</x:t>
        </x:is>
      </x:c>
      <x:c r="H1404" s="31" t="inlineStr">
        <x:is>
          <x:t xml:space="preserve">Склад</x:t>
        </x:is>
      </x:c>
      <x:c r="I1404" s="31" t="inlineStr">
        <x:is>
          <x:t xml:space="preserve">ОБ-011</x:t>
        </x:is>
      </x:c>
      <x:c r="J1404" s="31" t="inlineStr">
        <x:is>
          <x:t xml:space="preserve">СОТР-033</x:t>
        </x:is>
      </x:c>
      <x:c r="K1404" s="31" t="n">
        <x:v>73.5</x:v>
      </x:c>
      <x:c r="L1404" s="31" t="n">
        <x:v>94.7</x:v>
      </x:c>
      <x:c r="M1404" s="31" t="n">
        <x:v>46155</x:v>
      </x:c>
      <x:c r="N1404" s="31" t="n">
        <x:v>46162</x:v>
      </x:c>
      <x:c r="O1404" s="31" t="n">
        <x:v>46155</x:v>
      </x:c>
      <x:c r="P1404" s="31" t="n">
        <x:v>46163</x:v>
      </x:c>
      <x:c r="Q1404" s="31" t="inlineStr">
        <x:is>
          <x:t xml:space="preserve">Завершено</x:t>
        </x:is>
      </x:c>
      <x:c r="R1404" s="31" t="inlineStr">
        <x:is>
          <x:t xml:space="preserve">Ожидание ОТК</x:t>
        </x:is>
      </x:c>
      <x:c r="S1404" s="31" t="inlineStr">
        <x:is>
          <x:t xml:space="preserve">Нет</x:t>
        </x:is>
      </x:c>
    </x:row>
    <x:row r="1405">
      <x:c r="A1405" s="31" t="inlineStr">
        <x:is>
          <x:t xml:space="preserve">ОП-001404</x:t>
        </x:is>
      </x:c>
      <x:c r="B1405" s="31" t="inlineStr">
        <x:is>
          <x:t xml:space="preserve">ПЗ-00169</x:t>
        </x:is>
      </x:c>
      <x:c r="C1405" s="31" t="inlineStr">
        <x:is>
          <x:t xml:space="preserve">ЗК-1081</x:t>
        </x:is>
      </x:c>
      <x:c r="D1405" s="31" t="inlineStr">
        <x:is>
          <x:t xml:space="preserve">ПОЗ-0081-1</x:t>
        </x:is>
      </x:c>
      <x:c r="E1405" s="31" t="inlineStr">
        <x:is>
          <x:t xml:space="preserve">ИЗД-008</x:t>
        </x:is>
      </x:c>
      <x:c r="F1405" s="31" t="n">
        <x:v>20</x:v>
      </x:c>
      <x:c r="G1405" s="31" t="inlineStr">
        <x:is>
          <x:t xml:space="preserve">Входной контроль</x:t>
        </x:is>
      </x:c>
      <x:c r="H1405" s="31" t="inlineStr">
        <x:is>
          <x:t xml:space="preserve">ОТК</x:t>
        </x:is>
      </x:c>
      <x:c r="I1405" s="31" t="inlineStr">
        <x:is>
          <x:t xml:space="preserve">ОБ-001</x:t>
        </x:is>
      </x:c>
      <x:c r="J1405" s="31" t="inlineStr">
        <x:is>
          <x:t xml:space="preserve">СОТР-092</x:t>
        </x:is>
      </x:c>
      <x:c r="K1405" s="31" t="n">
        <x:v>124.5</x:v>
      </x:c>
      <x:c r="L1405" s="31" t="n">
        <x:v>163.7</x:v>
      </x:c>
      <x:c r="M1405" s="31" t="n">
        <x:v>46162</x:v>
      </x:c>
      <x:c r="N1405" s="31" t="n">
        <x:v>46173</x:v>
      </x:c>
      <x:c r="O1405" s="31" t="n">
        <x:v>46162</x:v>
      </x:c>
      <x:c r="P1405" s="31" t="n">
        <x:v>46173</x:v>
      </x:c>
      <x:c r="Q1405" s="31" t="inlineStr">
        <x:is>
          <x:t xml:space="preserve">Завершено</x:t>
        </x:is>
      </x:c>
      <x:c r="R1405" s="31" t="inlineStr">
        <x:is>
          <x:t xml:space="preserve">Ожидание ОТК</x:t>
        </x:is>
      </x:c>
      <x:c r="S1405" s="31" t="inlineStr">
        <x:is>
          <x:t xml:space="preserve">Нет</x:t>
        </x:is>
      </x:c>
    </x:row>
    <x:row r="1406">
      <x:c r="A1406" s="31" t="inlineStr">
        <x:is>
          <x:t xml:space="preserve">ОП-001405</x:t>
        </x:is>
      </x:c>
      <x:c r="B1406" s="31" t="inlineStr">
        <x:is>
          <x:t xml:space="preserve">ПЗ-00169</x:t>
        </x:is>
      </x:c>
      <x:c r="C1406" s="31" t="inlineStr">
        <x:is>
          <x:t xml:space="preserve">ЗК-1081</x:t>
        </x:is>
      </x:c>
      <x:c r="D1406" s="31" t="inlineStr">
        <x:is>
          <x:t xml:space="preserve">ПОЗ-0081-1</x:t>
        </x:is>
      </x:c>
      <x:c r="E1406" s="31" t="inlineStr">
        <x:is>
          <x:t xml:space="preserve">ИЗД-008</x:t>
        </x:is>
      </x:c>
      <x:c r="F1406" s="31" t="n">
        <x:v>30</x:v>
      </x:c>
      <x:c r="G1406" s="31" t="inlineStr">
        <x:is>
          <x:t xml:space="preserve">Упаковка</x:t>
        </x:is>
      </x:c>
      <x:c r="H1406" s="31" t="inlineStr">
        <x:is>
          <x:t xml:space="preserve">Логистика</x:t>
        </x:is>
      </x:c>
      <x:c r="I1406" s="31" t="n"/>
      <x:c r="J1406" s="31" t="inlineStr">
        <x:is>
          <x:t xml:space="preserve">СОТР-070</x:t>
        </x:is>
      </x:c>
      <x:c r="K1406" s="31" t="n">
        <x:v>72</x:v>
      </x:c>
      <x:c r="L1406" s="31" t="n">
        <x:v>78.8</x:v>
      </x:c>
      <x:c r="M1406" s="31" t="n">
        <x:v>46173</x:v>
      </x:c>
      <x:c r="N1406" s="31" t="n">
        <x:v>46179</x:v>
      </x:c>
      <x:c r="O1406" s="31" t="n">
        <x:v>46173</x:v>
      </x:c>
      <x:c r="P1406" s="31" t="n">
        <x:v>46181</x:v>
      </x:c>
      <x:c r="Q1406" s="31" t="inlineStr">
        <x:is>
          <x:t xml:space="preserve">Завершено</x:t>
        </x:is>
      </x:c>
      <x:c r="R1406" s="31" t="inlineStr">
        <x:is>
          <x:t xml:space="preserve">Нет</x:t>
        </x:is>
      </x:c>
      <x:c r="S1406" s="31" t="inlineStr">
        <x:is>
          <x:t xml:space="preserve">Нет</x:t>
        </x:is>
      </x:c>
    </x:row>
    <x:row r="1407">
      <x:c r="A1407" s="31" t="inlineStr">
        <x:is>
          <x:t xml:space="preserve">ОП-001406</x:t>
        </x:is>
      </x:c>
      <x:c r="B1407" s="31" t="inlineStr">
        <x:is>
          <x:t xml:space="preserve">ПЗ-00169</x:t>
        </x:is>
      </x:c>
      <x:c r="C1407" s="31" t="inlineStr">
        <x:is>
          <x:t xml:space="preserve">ЗК-1081</x:t>
        </x:is>
      </x:c>
      <x:c r="D1407" s="31" t="inlineStr">
        <x:is>
          <x:t xml:space="preserve">ПОЗ-0081-1</x:t>
        </x:is>
      </x:c>
      <x:c r="E1407" s="31" t="inlineStr">
        <x:is>
          <x:t xml:space="preserve">ИЗД-008</x:t>
        </x:is>
      </x:c>
      <x:c r="F1407" s="31" t="n">
        <x:v>40</x:v>
      </x:c>
      <x:c r="G1407" s="31" t="inlineStr">
        <x:is>
          <x:t xml:space="preserve">ОТК</x:t>
        </x:is>
      </x:c>
      <x:c r="H1407" s="31" t="inlineStr">
        <x:is>
          <x:t xml:space="preserve">ОТК</x:t>
        </x:is>
      </x:c>
      <x:c r="I1407" s="31" t="inlineStr">
        <x:is>
          <x:t xml:space="preserve">ОБ-033</x:t>
        </x:is>
      </x:c>
      <x:c r="J1407" s="31" t="inlineStr">
        <x:is>
          <x:t xml:space="preserve">СОТР-098</x:t>
        </x:is>
      </x:c>
      <x:c r="K1407" s="31" t="n">
        <x:v>33</x:v>
      </x:c>
      <x:c r="L1407" s="31" t="n">
        <x:v>39.9</x:v>
      </x:c>
      <x:c r="M1407" s="31" t="n">
        <x:v>46179</x:v>
      </x:c>
      <x:c r="N1407" s="31" t="n">
        <x:v>46182</x:v>
      </x:c>
      <x:c r="O1407" s="31" t="n">
        <x:v>46179</x:v>
      </x:c>
      <x:c r="P1407" s="31" t="n">
        <x:v>46181</x:v>
      </x:c>
      <x:c r="Q1407" s="31" t="inlineStr">
        <x:is>
          <x:t xml:space="preserve">Завершено</x:t>
        </x:is>
      </x:c>
      <x:c r="R1407" s="31" t="inlineStr">
        <x:is>
          <x:t xml:space="preserve">Нет</x:t>
        </x:is>
      </x:c>
      <x:c r="S1407" s="31" t="inlineStr">
        <x:is>
          <x:t xml:space="preserve">Нет</x:t>
        </x:is>
      </x:c>
    </x:row>
    <x:row r="1408">
      <x:c r="A1408" s="31" t="inlineStr">
        <x:is>
          <x:t xml:space="preserve">ОП-001407</x:t>
        </x:is>
      </x:c>
      <x:c r="B1408" s="31" t="inlineStr">
        <x:is>
          <x:t xml:space="preserve">ПЗ-00170</x:t>
        </x:is>
      </x:c>
      <x:c r="C1408" s="31" t="inlineStr">
        <x:is>
          <x:t xml:space="preserve">ЗК-1081</x:t>
        </x:is>
      </x:c>
      <x:c r="D1408" s="31" t="inlineStr">
        <x:is>
          <x:t xml:space="preserve">ПОЗ-0081-2</x:t>
        </x:is>
      </x:c>
      <x:c r="E1408" s="31" t="inlineStr">
        <x:is>
          <x:t xml:space="preserve">ИЗД-042</x:t>
        </x:is>
      </x:c>
      <x:c r="F1408" s="31" t="n">
        <x:v>10</x:v>
      </x:c>
      <x:c r="G1408" s="31" t="inlineStr">
        <x:is>
          <x:t xml:space="preserve">КД</x:t>
        </x:is>
      </x:c>
      <x:c r="H1408" s="31" t="inlineStr">
        <x:is>
          <x:t xml:space="preserve">Инженерный отдел</x:t>
        </x:is>
      </x:c>
      <x:c r="I1408" s="31" t="n"/>
      <x:c r="J1408" s="31" t="inlineStr">
        <x:is>
          <x:t xml:space="preserve">СОТР-017</x:t>
        </x:is>
      </x:c>
      <x:c r="K1408" s="31" t="n">
        <x:v>4.8</x:v>
      </x:c>
      <x:c r="L1408" s="31" t="n">
        <x:v>3.9</x:v>
      </x:c>
      <x:c r="M1408" s="31" t="n">
        <x:v>46162</x:v>
      </x:c>
      <x:c r="N1408" s="31" t="n">
        <x:v>46163</x:v>
      </x:c>
      <x:c r="O1408" s="31" t="n">
        <x:v>46162</x:v>
      </x:c>
      <x:c r="P1408" s="31" t="n">
        <x:v>46164</x:v>
      </x:c>
      <x:c r="Q1408" s="31" t="inlineStr">
        <x:is>
          <x:t xml:space="preserve">Завершено</x:t>
        </x:is>
      </x:c>
      <x:c r="R1408" s="31" t="inlineStr">
        <x:is>
          <x:t xml:space="preserve">Нет</x:t>
        </x:is>
      </x:c>
      <x:c r="S1408" s="31" t="inlineStr">
        <x:is>
          <x:t xml:space="preserve">Нет</x:t>
        </x:is>
      </x:c>
    </x:row>
    <x:row r="1409">
      <x:c r="A1409" s="31" t="inlineStr">
        <x:is>
          <x:t xml:space="preserve">ОП-001408</x:t>
        </x:is>
      </x:c>
      <x:c r="B1409" s="31" t="inlineStr">
        <x:is>
          <x:t xml:space="preserve">ПЗ-00170</x:t>
        </x:is>
      </x:c>
      <x:c r="C1409" s="31" t="inlineStr">
        <x:is>
          <x:t xml:space="preserve">ЗК-1081</x:t>
        </x:is>
      </x:c>
      <x:c r="D1409" s="31" t="inlineStr">
        <x:is>
          <x:t xml:space="preserve">ПОЗ-0081-2</x:t>
        </x:is>
      </x:c>
      <x:c r="E1409" s="31" t="inlineStr">
        <x:is>
          <x:t xml:space="preserve">ИЗД-042</x:t>
        </x:is>
      </x:c>
      <x:c r="F1409" s="31" t="n">
        <x:v>20</x:v>
      </x:c>
      <x:c r="G1409" s="31" t="inlineStr">
        <x:is>
          <x:t xml:space="preserve">Комплектация</x:t>
        </x:is>
      </x:c>
      <x:c r="H1409" s="31" t="inlineStr">
        <x:is>
          <x:t xml:space="preserve">Склад</x:t>
        </x:is>
      </x:c>
      <x:c r="I1409" s="31" t="inlineStr">
        <x:is>
          <x:t xml:space="preserve">ОБ-025</x:t>
        </x:is>
      </x:c>
      <x:c r="J1409" s="31" t="inlineStr">
        <x:is>
          <x:t xml:space="preserve">СОТР-038</x:t>
        </x:is>
      </x:c>
      <x:c r="K1409" s="31" t="n">
        <x:v>21</x:v>
      </x:c>
      <x:c r="L1409" s="31" t="n">
        <x:v>27.8</x:v>
      </x:c>
      <x:c r="M1409" s="31" t="n">
        <x:v>46163</x:v>
      </x:c>
      <x:c r="N1409" s="31" t="n">
        <x:v>46165</x:v>
      </x:c>
      <x:c r="O1409" s="31" t="n">
        <x:v>46163</x:v>
      </x:c>
      <x:c r="P1409" s="31" t="n">
        <x:v>46167</x:v>
      </x:c>
      <x:c r="Q1409" s="31" t="inlineStr">
        <x:is>
          <x:t xml:space="preserve">Завершено</x:t>
        </x:is>
      </x:c>
      <x:c r="R1409" s="31" t="inlineStr">
        <x:is>
          <x:t xml:space="preserve">Нет</x:t>
        </x:is>
      </x:c>
      <x:c r="S1409" s="31" t="inlineStr">
        <x:is>
          <x:t xml:space="preserve">Нет</x:t>
        </x:is>
      </x:c>
    </x:row>
    <x:row r="1410">
      <x:c r="A1410" s="31" t="inlineStr">
        <x:is>
          <x:t xml:space="preserve">ОП-001409</x:t>
        </x:is>
      </x:c>
      <x:c r="B1410" s="31" t="inlineStr">
        <x:is>
          <x:t xml:space="preserve">ПЗ-00170</x:t>
        </x:is>
      </x:c>
      <x:c r="C1410" s="31" t="inlineStr">
        <x:is>
          <x:t xml:space="preserve">ЗК-1081</x:t>
        </x:is>
      </x:c>
      <x:c r="D1410" s="31" t="inlineStr">
        <x:is>
          <x:t xml:space="preserve">ПОЗ-0081-2</x:t>
        </x:is>
      </x:c>
      <x:c r="E1410" s="31" t="inlineStr">
        <x:is>
          <x:t xml:space="preserve">ИЗД-042</x:t>
        </x:is>
      </x:c>
      <x:c r="F1410" s="31" t="n">
        <x:v>30</x:v>
      </x:c>
      <x:c r="G1410" s="31" t="inlineStr">
        <x:is>
          <x:t xml:space="preserve">Сборка шкафа</x:t>
        </x:is>
      </x:c>
      <x:c r="H1410" s="31" t="inlineStr">
        <x:is>
          <x:t xml:space="preserve">Сборка</x:t>
        </x:is>
      </x:c>
      <x:c r="I1410" s="31" t="inlineStr">
        <x:is>
          <x:t xml:space="preserve">ОБ-012</x:t>
        </x:is>
      </x:c>
      <x:c r="J1410" s="31" t="inlineStr">
        <x:is>
          <x:t xml:space="preserve">СОТР-079</x:t>
        </x:is>
      </x:c>
      <x:c r="K1410" s="31" t="n">
        <x:v>14.4</x:v>
      </x:c>
      <x:c r="L1410" s="31" t="n">
        <x:v>16.4</x:v>
      </x:c>
      <x:c r="M1410" s="31" t="n">
        <x:v>46165</x:v>
      </x:c>
      <x:c r="N1410" s="31" t="n">
        <x:v>46167</x:v>
      </x:c>
      <x:c r="O1410" s="31" t="n">
        <x:v>46165</x:v>
      </x:c>
      <x:c r="P1410" s="31" t="n">
        <x:v>46167</x:v>
      </x:c>
      <x:c r="Q1410" s="31" t="inlineStr">
        <x:is>
          <x:t xml:space="preserve">Завершено</x:t>
        </x:is>
      </x:c>
      <x:c r="R1410" s="31" t="inlineStr">
        <x:is>
          <x:t xml:space="preserve">Нет</x:t>
        </x:is>
      </x:c>
      <x:c r="S1410" s="31" t="inlineStr">
        <x:is>
          <x:t xml:space="preserve">Нет</x:t>
        </x:is>
      </x:c>
    </x:row>
    <x:row r="1411">
      <x:c r="A1411" s="31" t="inlineStr">
        <x:is>
          <x:t xml:space="preserve">ОП-001410</x:t>
        </x:is>
      </x:c>
      <x:c r="B1411" s="31" t="inlineStr">
        <x:is>
          <x:t xml:space="preserve">ПЗ-00170</x:t>
        </x:is>
      </x:c>
      <x:c r="C1411" s="31" t="inlineStr">
        <x:is>
          <x:t xml:space="preserve">ЗК-1081</x:t>
        </x:is>
      </x:c>
      <x:c r="D1411" s="31" t="inlineStr">
        <x:is>
          <x:t xml:space="preserve">ПОЗ-0081-2</x:t>
        </x:is>
      </x:c>
      <x:c r="E1411" s="31" t="inlineStr">
        <x:is>
          <x:t xml:space="preserve">ИЗД-042</x:t>
        </x:is>
      </x:c>
      <x:c r="F1411" s="31" t="n">
        <x:v>40</x:v>
      </x:c>
      <x:c r="G1411" s="31" t="inlineStr">
        <x:is>
          <x:t xml:space="preserve">Маркировка</x:t>
        </x:is>
      </x:c>
      <x:c r="H1411" s="31" t="inlineStr">
        <x:is>
          <x:t xml:space="preserve">Сборка</x:t>
        </x:is>
      </x:c>
      <x:c r="I1411" s="31" t="inlineStr">
        <x:is>
          <x:t xml:space="preserve">ОБ-017</x:t>
        </x:is>
      </x:c>
      <x:c r="J1411" s="31" t="inlineStr">
        <x:is>
          <x:t xml:space="preserve">СОТР-091</x:t>
        </x:is>
      </x:c>
      <x:c r="K1411" s="31" t="n">
        <x:v>23.3</x:v>
      </x:c>
      <x:c r="L1411" s="31" t="n">
        <x:v>29.8</x:v>
      </x:c>
      <x:c r="M1411" s="31" t="n">
        <x:v>46167</x:v>
      </x:c>
      <x:c r="N1411" s="31" t="n">
        <x:v>46169</x:v>
      </x:c>
      <x:c r="O1411" s="31" t="n">
        <x:v>46167</x:v>
      </x:c>
      <x:c r="P1411" s="31" t="n">
        <x:v>46169</x:v>
      </x:c>
      <x:c r="Q1411" s="31" t="inlineStr">
        <x:is>
          <x:t xml:space="preserve">Завершено</x:t>
        </x:is>
      </x:c>
      <x:c r="R1411" s="31" t="inlineStr">
        <x:is>
          <x:t xml:space="preserve">Нет</x:t>
        </x:is>
      </x:c>
      <x:c r="S1411" s="31" t="inlineStr">
        <x:is>
          <x:t xml:space="preserve">Да</x:t>
        </x:is>
      </x:c>
    </x:row>
    <x:row r="1412">
      <x:c r="A1412" s="31" t="inlineStr">
        <x:is>
          <x:t xml:space="preserve">ОП-001411</x:t>
        </x:is>
      </x:c>
      <x:c r="B1412" s="31" t="inlineStr">
        <x:is>
          <x:t xml:space="preserve">ПЗ-00170</x:t>
        </x:is>
      </x:c>
      <x:c r="C1412" s="31" t="inlineStr">
        <x:is>
          <x:t xml:space="preserve">ЗК-1081</x:t>
        </x:is>
      </x:c>
      <x:c r="D1412" s="31" t="inlineStr">
        <x:is>
          <x:t xml:space="preserve">ПОЗ-0081-2</x:t>
        </x:is>
      </x:c>
      <x:c r="E1412" s="31" t="inlineStr">
        <x:is>
          <x:t xml:space="preserve">ИЗД-042</x:t>
        </x:is>
      </x:c>
      <x:c r="F1412" s="31" t="n">
        <x:v>50</x:v>
      </x:c>
      <x:c r="G1412" s="31" t="inlineStr">
        <x:is>
          <x:t xml:space="preserve">Электромонтаж</x:t>
        </x:is>
      </x:c>
      <x:c r="H1412" s="31" t="inlineStr">
        <x:is>
          <x:t xml:space="preserve">Сборка</x:t>
        </x:is>
      </x:c>
      <x:c r="I1412" s="31" t="inlineStr">
        <x:is>
          <x:t xml:space="preserve">ОБ-005</x:t>
        </x:is>
      </x:c>
      <x:c r="J1412" s="31" t="inlineStr">
        <x:is>
          <x:t xml:space="preserve">СОТР-085</x:t>
        </x:is>
      </x:c>
      <x:c r="K1412" s="31" t="n">
        <x:v>2.4</x:v>
      </x:c>
      <x:c r="L1412" s="31" t="n">
        <x:v>2.9</x:v>
      </x:c>
      <x:c r="M1412" s="31" t="n">
        <x:v>46169</x:v>
      </x:c>
      <x:c r="N1412" s="31" t="n">
        <x:v>46170</x:v>
      </x:c>
      <x:c r="O1412" s="31" t="n">
        <x:v>46169</x:v>
      </x:c>
      <x:c r="P1412" s="31" t="n">
        <x:v>46172</x:v>
      </x:c>
      <x:c r="Q1412" s="31" t="inlineStr">
        <x:is>
          <x:t xml:space="preserve">Завершено</x:t>
        </x:is>
      </x:c>
      <x:c r="R1412" s="31" t="inlineStr">
        <x:is>
          <x:t xml:space="preserve">Нет</x:t>
        </x:is>
      </x:c>
      <x:c r="S1412" s="31" t="inlineStr">
        <x:is>
          <x:t xml:space="preserve">Да</x:t>
        </x:is>
      </x:c>
    </x:row>
    <x:row r="1413">
      <x:c r="A1413" s="31" t="inlineStr">
        <x:is>
          <x:t xml:space="preserve">ОП-001412</x:t>
        </x:is>
      </x:c>
      <x:c r="B1413" s="31" t="inlineStr">
        <x:is>
          <x:t xml:space="preserve">ПЗ-00170</x:t>
        </x:is>
      </x:c>
      <x:c r="C1413" s="31" t="inlineStr">
        <x:is>
          <x:t xml:space="preserve">ЗК-1081</x:t>
        </x:is>
      </x:c>
      <x:c r="D1413" s="31" t="inlineStr">
        <x:is>
          <x:t xml:space="preserve">ПОЗ-0081-2</x:t>
        </x:is>
      </x:c>
      <x:c r="E1413" s="31" t="inlineStr">
        <x:is>
          <x:t xml:space="preserve">ИЗД-042</x:t>
        </x:is>
      </x:c>
      <x:c r="F1413" s="31" t="n">
        <x:v>60</x:v>
      </x:c>
      <x:c r="G1413" s="31" t="inlineStr">
        <x:is>
          <x:t xml:space="preserve">Программирование ПЛК</x:t>
        </x:is>
      </x:c>
      <x:c r="H1413" s="31" t="inlineStr">
        <x:is>
          <x:t xml:space="preserve">Инженерный отдел</x:t>
        </x:is>
      </x:c>
      <x:c r="I1413" s="31" t="n"/>
      <x:c r="J1413" s="31" t="inlineStr">
        <x:is>
          <x:t xml:space="preserve">СОТР-013</x:t>
        </x:is>
      </x:c>
      <x:c r="K1413" s="31" t="n">
        <x:v>16.4</x:v>
      </x:c>
      <x:c r="L1413" s="31" t="n">
        <x:v>14.1</x:v>
      </x:c>
      <x:c r="M1413" s="31" t="n">
        <x:v>46170</x:v>
      </x:c>
      <x:c r="N1413" s="31" t="n">
        <x:v>46172</x:v>
      </x:c>
      <x:c r="O1413" s="31" t="n">
        <x:v>46170</x:v>
      </x:c>
      <x:c r="P1413" s="31" t="n">
        <x:v>46172</x:v>
      </x:c>
      <x:c r="Q1413" s="31" t="inlineStr">
        <x:is>
          <x:t xml:space="preserve">Завершено</x:t>
        </x:is>
      </x:c>
      <x:c r="R1413" s="31" t="inlineStr">
        <x:is>
          <x:t xml:space="preserve">Нет</x:t>
        </x:is>
      </x:c>
      <x:c r="S1413" s="31" t="inlineStr">
        <x:is>
          <x:t xml:space="preserve">Нет</x:t>
        </x:is>
      </x:c>
    </x:row>
    <x:row r="1414">
      <x:c r="A1414" s="31" t="inlineStr">
        <x:is>
          <x:t xml:space="preserve">ОП-001413</x:t>
        </x:is>
      </x:c>
      <x:c r="B1414" s="31" t="inlineStr">
        <x:is>
          <x:t xml:space="preserve">ПЗ-00170</x:t>
        </x:is>
      </x:c>
      <x:c r="C1414" s="31" t="inlineStr">
        <x:is>
          <x:t xml:space="preserve">ЗК-1081</x:t>
        </x:is>
      </x:c>
      <x:c r="D1414" s="31" t="inlineStr">
        <x:is>
          <x:t xml:space="preserve">ПОЗ-0081-2</x:t>
        </x:is>
      </x:c>
      <x:c r="E1414" s="31" t="inlineStr">
        <x:is>
          <x:t xml:space="preserve">ИЗД-042</x:t>
        </x:is>
      </x:c>
      <x:c r="F1414" s="31" t="n">
        <x:v>70</x:v>
      </x:c>
      <x:c r="G1414" s="31" t="inlineStr">
        <x:is>
          <x:t xml:space="preserve">Приемочные испытания</x:t>
        </x:is>
      </x:c>
      <x:c r="H1414" s="31" t="inlineStr">
        <x:is>
          <x:t xml:space="preserve">ОТК</x:t>
        </x:is>
      </x:c>
      <x:c r="I1414" s="31" t="inlineStr">
        <x:is>
          <x:t xml:space="preserve">ОБ-033</x:t>
        </x:is>
      </x:c>
      <x:c r="J1414" s="31" t="inlineStr">
        <x:is>
          <x:t xml:space="preserve">СОТР-095</x:t>
        </x:is>
      </x:c>
      <x:c r="K1414" s="31" t="n">
        <x:v>20.8</x:v>
      </x:c>
      <x:c r="L1414" s="31" t="n">
        <x:v>18.2</x:v>
      </x:c>
      <x:c r="M1414" s="31" t="n">
        <x:v>46172</x:v>
      </x:c>
      <x:c r="N1414" s="31" t="n">
        <x:v>46174</x:v>
      </x:c>
      <x:c r="O1414" s="31" t="n">
        <x:v>46172</x:v>
      </x:c>
      <x:c r="P1414" s="31" t="n">
        <x:v>46173</x:v>
      </x:c>
      <x:c r="Q1414" s="31" t="inlineStr">
        <x:is>
          <x:t xml:space="preserve">Завершено</x:t>
        </x:is>
      </x:c>
      <x:c r="R1414" s="31" t="inlineStr">
        <x:is>
          <x:t xml:space="preserve">Материал</x:t>
        </x:is>
      </x:c>
      <x:c r="S1414" s="31" t="inlineStr">
        <x:is>
          <x:t xml:space="preserve">Нет</x:t>
        </x:is>
      </x:c>
    </x:row>
    <x:row r="1415">
      <x:c r="A1415" s="31" t="inlineStr">
        <x:is>
          <x:t xml:space="preserve">ОП-001414</x:t>
        </x:is>
      </x:c>
      <x:c r="B1415" s="31" t="inlineStr">
        <x:is>
          <x:t xml:space="preserve">ПЗ-00170</x:t>
        </x:is>
      </x:c>
      <x:c r="C1415" s="31" t="inlineStr">
        <x:is>
          <x:t xml:space="preserve">ЗК-1081</x:t>
        </x:is>
      </x:c>
      <x:c r="D1415" s="31" t="inlineStr">
        <x:is>
          <x:t xml:space="preserve">ПОЗ-0081-2</x:t>
        </x:is>
      </x:c>
      <x:c r="E1415" s="31" t="inlineStr">
        <x:is>
          <x:t xml:space="preserve">ИЗД-042</x:t>
        </x:is>
      </x:c>
      <x:c r="F1415" s="31" t="n">
        <x:v>80</x:v>
      </x:c>
      <x:c r="G1415" s="31" t="inlineStr">
        <x:is>
          <x:t xml:space="preserve">ОТК</x:t>
        </x:is>
      </x:c>
      <x:c r="H1415" s="31" t="inlineStr">
        <x:is>
          <x:t xml:space="preserve">ОТК</x:t>
        </x:is>
      </x:c>
      <x:c r="I1415" s="31" t="inlineStr">
        <x:is>
          <x:t xml:space="preserve">ОБ-006</x:t>
        </x:is>
      </x:c>
      <x:c r="J1415" s="31" t="inlineStr">
        <x:is>
          <x:t xml:space="preserve">СОТР-097</x:t>
        </x:is>
      </x:c>
      <x:c r="K1415" s="31" t="n">
        <x:v>23.2</x:v>
      </x:c>
      <x:c r="L1415" s="31" t="n">
        <x:v>26.8</x:v>
      </x:c>
      <x:c r="M1415" s="31" t="n">
        <x:v>46174</x:v>
      </x:c>
      <x:c r="N1415" s="31" t="n">
        <x:v>46176</x:v>
      </x:c>
      <x:c r="O1415" s="31" t="n">
        <x:v>46174</x:v>
      </x:c>
      <x:c r="P1415" s="31" t="n">
        <x:v>46177</x:v>
      </x:c>
      <x:c r="Q1415" s="31" t="inlineStr">
        <x:is>
          <x:t xml:space="preserve">Завершено</x:t>
        </x:is>
      </x:c>
      <x:c r="R1415" s="31" t="inlineStr">
        <x:is>
          <x:t xml:space="preserve">КД</x:t>
        </x:is>
      </x:c>
      <x:c r="S1415" s="31" t="inlineStr">
        <x:is>
          <x:t xml:space="preserve">Нет</x:t>
        </x:is>
      </x:c>
    </x:row>
    <x:row r="1416">
      <x:c r="A1416" s="31" t="inlineStr">
        <x:is>
          <x:t xml:space="preserve">ОП-001415</x:t>
        </x:is>
      </x:c>
      <x:c r="B1416" s="31" t="inlineStr">
        <x:is>
          <x:t xml:space="preserve">ПЗ-00170</x:t>
        </x:is>
      </x:c>
      <x:c r="C1416" s="31" t="inlineStr">
        <x:is>
          <x:t xml:space="preserve">ЗК-1081</x:t>
        </x:is>
      </x:c>
      <x:c r="D1416" s="31" t="inlineStr">
        <x:is>
          <x:t xml:space="preserve">ПОЗ-0081-2</x:t>
        </x:is>
      </x:c>
      <x:c r="E1416" s="31" t="inlineStr">
        <x:is>
          <x:t xml:space="preserve">ИЗД-042</x:t>
        </x:is>
      </x:c>
      <x:c r="F1416" s="31" t="n">
        <x:v>90</x:v>
      </x:c>
      <x:c r="G1416" s="31" t="inlineStr">
        <x:is>
          <x:t xml:space="preserve">Упаковка</x:t>
        </x:is>
      </x:c>
      <x:c r="H1416" s="31" t="inlineStr">
        <x:is>
          <x:t xml:space="preserve">Логистика</x:t>
        </x:is>
      </x:c>
      <x:c r="I1416" s="31" t="n"/>
      <x:c r="J1416" s="31" t="inlineStr">
        <x:is>
          <x:t xml:space="preserve">СОТР-101</x:t>
        </x:is>
      </x:c>
      <x:c r="K1416" s="31" t="n">
        <x:v>27</x:v>
      </x:c>
      <x:c r="L1416" s="31" t="n">
        <x:v>27.2</x:v>
      </x:c>
      <x:c r="M1416" s="31" t="n">
        <x:v>46176</x:v>
      </x:c>
      <x:c r="N1416" s="31" t="n">
        <x:v>46179</x:v>
      </x:c>
      <x:c r="O1416" s="31" t="n">
        <x:v>46176</x:v>
      </x:c>
      <x:c r="P1416" s="31" t="n">
        <x:v>46178</x:v>
      </x:c>
      <x:c r="Q1416" s="31" t="inlineStr">
        <x:is>
          <x:t xml:space="preserve">Завершено</x:t>
        </x:is>
      </x:c>
      <x:c r="R1416" s="31" t="inlineStr">
        <x:is>
          <x:t xml:space="preserve">КД</x:t>
        </x:is>
      </x:c>
      <x:c r="S1416" s="31" t="inlineStr">
        <x:is>
          <x:t xml:space="preserve">Нет</x:t>
        </x:is>
      </x:c>
    </x:row>
    <x:row r="1417">
      <x:c r="A1417" s="31" t="inlineStr">
        <x:is>
          <x:t xml:space="preserve">ОП-001416</x:t>
        </x:is>
      </x:c>
      <x:c r="B1417" s="31" t="inlineStr">
        <x:is>
          <x:t xml:space="preserve">ПЗ-00171</x:t>
        </x:is>
      </x:c>
      <x:c r="C1417" s="31" t="inlineStr">
        <x:is>
          <x:t xml:space="preserve">ЗК-1082</x:t>
        </x:is>
      </x:c>
      <x:c r="D1417" s="31" t="inlineStr">
        <x:is>
          <x:t xml:space="preserve">ПОЗ-0082-1</x:t>
        </x:is>
      </x:c>
      <x:c r="E1417" s="31" t="inlineStr">
        <x:is>
          <x:t xml:space="preserve">ИЗД-030</x:t>
        </x:is>
      </x:c>
      <x:c r="F1417" s="31" t="n">
        <x:v>10</x:v>
      </x:c>
      <x:c r="G1417" s="31" t="inlineStr">
        <x:is>
          <x:t xml:space="preserve">КД</x:t>
        </x:is>
      </x:c>
      <x:c r="H1417" s="31" t="inlineStr">
        <x:is>
          <x:t xml:space="preserve">Инженерный отдел</x:t>
        </x:is>
      </x:c>
      <x:c r="I1417" s="31" t="n"/>
      <x:c r="J1417" s="31" t="inlineStr">
        <x:is>
          <x:t xml:space="preserve">СОТР-015</x:t>
        </x:is>
      </x:c>
      <x:c r="K1417" s="31" t="n">
        <x:v>27</x:v>
      </x:c>
      <x:c r="L1417" s="31" t="n">
        <x:v>34.2</x:v>
      </x:c>
      <x:c r="M1417" s="31" t="n">
        <x:v>46198</x:v>
      </x:c>
      <x:c r="N1417" s="31" t="n">
        <x:v>46201</x:v>
      </x:c>
      <x:c r="O1417" s="31" t="n">
        <x:v>46198</x:v>
      </x:c>
      <x:c r="P1417" s="31" t="n">
        <x:v>46203</x:v>
      </x:c>
      <x:c r="Q1417" s="31" t="inlineStr">
        <x:is>
          <x:t xml:space="preserve">Завершено</x:t>
        </x:is>
      </x:c>
      <x:c r="R1417" s="31" t="inlineStr">
        <x:is>
          <x:t xml:space="preserve">Нет</x:t>
        </x:is>
      </x:c>
      <x:c r="S1417" s="31" t="inlineStr">
        <x:is>
          <x:t xml:space="preserve">Нет</x:t>
        </x:is>
      </x:c>
    </x:row>
    <x:row r="1418">
      <x:c r="A1418" s="31" t="inlineStr">
        <x:is>
          <x:t xml:space="preserve">ОП-001417</x:t>
        </x:is>
      </x:c>
      <x:c r="B1418" s="31" t="inlineStr">
        <x:is>
          <x:t xml:space="preserve">ПЗ-00171</x:t>
        </x:is>
      </x:c>
      <x:c r="C1418" s="31" t="inlineStr">
        <x:is>
          <x:t xml:space="preserve">ЗК-1082</x:t>
        </x:is>
      </x:c>
      <x:c r="D1418" s="31" t="inlineStr">
        <x:is>
          <x:t xml:space="preserve">ПОЗ-0082-1</x:t>
        </x:is>
      </x:c>
      <x:c r="E1418" s="31" t="inlineStr">
        <x:is>
          <x:t xml:space="preserve">ИЗД-030</x:t>
        </x:is>
      </x:c>
      <x:c r="F1418" s="31" t="n">
        <x:v>20</x:v>
      </x:c>
      <x:c r="G1418" s="31" t="inlineStr">
        <x:is>
          <x:t xml:space="preserve">Резерв материалов</x:t>
        </x:is>
      </x:c>
      <x:c r="H1418" s="31" t="inlineStr">
        <x:is>
          <x:t xml:space="preserve">Склад</x:t>
        </x:is>
      </x:c>
      <x:c r="I1418" s="31" t="inlineStr">
        <x:is>
          <x:t xml:space="preserve">ОБ-008</x:t>
        </x:is>
      </x:c>
      <x:c r="J1418" s="31" t="inlineStr">
        <x:is>
          <x:t xml:space="preserve">СОТР-033</x:t>
        </x:is>
      </x:c>
      <x:c r="K1418" s="31" t="n">
        <x:v>30.9</x:v>
      </x:c>
      <x:c r="L1418" s="31" t="n">
        <x:v>37.3</x:v>
      </x:c>
      <x:c r="M1418" s="31" t="n">
        <x:v>46201</x:v>
      </x:c>
      <x:c r="N1418" s="31" t="n">
        <x:v>46204</x:v>
      </x:c>
      <x:c r="O1418" s="31" t="n">
        <x:v>46201</x:v>
      </x:c>
      <x:c r="P1418" s="31" t="n">
        <x:v>46205</x:v>
      </x:c>
      <x:c r="Q1418" s="31" t="inlineStr">
        <x:is>
          <x:t xml:space="preserve">Завершено</x:t>
        </x:is>
      </x:c>
      <x:c r="R1418" s="31" t="inlineStr">
        <x:is>
          <x:t xml:space="preserve">Нет</x:t>
        </x:is>
      </x:c>
      <x:c r="S1418" s="31" t="inlineStr">
        <x:is>
          <x:t xml:space="preserve">Нет</x:t>
        </x:is>
      </x:c>
    </x:row>
    <x:row r="1419">
      <x:c r="A1419" s="31" t="inlineStr">
        <x:is>
          <x:t xml:space="preserve">ОП-001418</x:t>
        </x:is>
      </x:c>
      <x:c r="B1419" s="31" t="inlineStr">
        <x:is>
          <x:t xml:space="preserve">ПЗ-00171</x:t>
        </x:is>
      </x:c>
      <x:c r="C1419" s="31" t="inlineStr">
        <x:is>
          <x:t xml:space="preserve">ЗК-1082</x:t>
        </x:is>
      </x:c>
      <x:c r="D1419" s="31" t="inlineStr">
        <x:is>
          <x:t xml:space="preserve">ПОЗ-0082-1</x:t>
        </x:is>
      </x:c>
      <x:c r="E1419" s="31" t="inlineStr">
        <x:is>
          <x:t xml:space="preserve">ИЗД-030</x:t>
        </x:is>
      </x:c>
      <x:c r="F1419" s="31" t="n">
        <x:v>30</x:v>
      </x:c>
      <x:c r="G1419" s="31" t="inlineStr">
        <x:is>
          <x:t xml:space="preserve">Резка металла</x:t>
        </x:is>
      </x:c>
      <x:c r="H1419" s="31" t="inlineStr">
        <x:is>
          <x:t xml:space="preserve">Сварка</x:t>
        </x:is>
      </x:c>
      <x:c r="I1419" s="31" t="inlineStr">
        <x:is>
          <x:t xml:space="preserve">ОБ-010</x:t>
        </x:is>
      </x:c>
      <x:c r="J1419" s="31" t="inlineStr">
        <x:is>
          <x:t xml:space="preserve">СОТР-067</x:t>
        </x:is>
      </x:c>
      <x:c r="K1419" s="31" t="n">
        <x:v>6.9</x:v>
      </x:c>
      <x:c r="L1419" s="31" t="n">
        <x:v>9</x:v>
      </x:c>
      <x:c r="M1419" s="31" t="n">
        <x:v>46204</x:v>
      </x:c>
      <x:c r="N1419" s="31" t="n">
        <x:v>46205</x:v>
      </x:c>
      <x:c r="O1419" s="31" t="n">
        <x:v>46204</x:v>
      </x:c>
      <x:c r="P1419" s="31" t="n">
        <x:v>46204</x:v>
      </x:c>
      <x:c r="Q1419" s="31" t="inlineStr">
        <x:is>
          <x:t xml:space="preserve">Завершено</x:t>
        </x:is>
      </x:c>
      <x:c r="R1419" s="31" t="inlineStr">
        <x:is>
          <x:t xml:space="preserve">Нет</x:t>
        </x:is>
      </x:c>
      <x:c r="S1419" s="31" t="inlineStr">
        <x:is>
          <x:t xml:space="preserve">Нет</x:t>
        </x:is>
      </x:c>
    </x:row>
    <x:row r="1420">
      <x:c r="A1420" s="31" t="inlineStr">
        <x:is>
          <x:t xml:space="preserve">ОП-001419</x:t>
        </x:is>
      </x:c>
      <x:c r="B1420" s="31" t="inlineStr">
        <x:is>
          <x:t xml:space="preserve">ПЗ-00171</x:t>
        </x:is>
      </x:c>
      <x:c r="C1420" s="31" t="inlineStr">
        <x:is>
          <x:t xml:space="preserve">ЗК-1082</x:t>
        </x:is>
      </x:c>
      <x:c r="D1420" s="31" t="inlineStr">
        <x:is>
          <x:t xml:space="preserve">ПОЗ-0082-1</x:t>
        </x:is>
      </x:c>
      <x:c r="E1420" s="31" t="inlineStr">
        <x:is>
          <x:t xml:space="preserve">ИЗД-030</x:t>
        </x:is>
      </x:c>
      <x:c r="F1420" s="31" t="n">
        <x:v>40</x:v>
      </x:c>
      <x:c r="G1420" s="31" t="inlineStr">
        <x:is>
          <x:t xml:space="preserve">Сварка рамы</x:t>
        </x:is>
      </x:c>
      <x:c r="H1420" s="31" t="inlineStr">
        <x:is>
          <x:t xml:space="preserve">Сварка</x:t>
        </x:is>
      </x:c>
      <x:c r="I1420" s="31" t="inlineStr">
        <x:is>
          <x:t xml:space="preserve">ОБ-018</x:t>
        </x:is>
      </x:c>
      <x:c r="J1420" s="31" t="inlineStr">
        <x:is>
          <x:t xml:space="preserve">СОТР-072</x:t>
        </x:is>
      </x:c>
      <x:c r="K1420" s="31" t="n">
        <x:v>18.6</x:v>
      </x:c>
      <x:c r="L1420" s="31" t="n">
        <x:v>19.2</x:v>
      </x:c>
      <x:c r="M1420" s="31" t="n">
        <x:v>46205</x:v>
      </x:c>
      <x:c r="N1420" s="31" t="n">
        <x:v>46207</x:v>
      </x:c>
      <x:c r="O1420" s="31" t="n">
        <x:v>46205</x:v>
      </x:c>
      <x:c r="P1420" s="31" t="n">
        <x:v>46206</x:v>
      </x:c>
      <x:c r="Q1420" s="31" t="inlineStr">
        <x:is>
          <x:t xml:space="preserve">Завершено</x:t>
        </x:is>
      </x:c>
      <x:c r="R1420" s="31" t="inlineStr">
        <x:is>
          <x:t xml:space="preserve">Нет</x:t>
        </x:is>
      </x:c>
      <x:c r="S1420" s="31" t="inlineStr">
        <x:is>
          <x:t xml:space="preserve">Нет</x:t>
        </x:is>
      </x:c>
    </x:row>
    <x:row r="1421">
      <x:c r="A1421" s="31" t="inlineStr">
        <x:is>
          <x:t xml:space="preserve">ОП-001420</x:t>
        </x:is>
      </x:c>
      <x:c r="B1421" s="31" t="inlineStr">
        <x:is>
          <x:t xml:space="preserve">ПЗ-00171</x:t>
        </x:is>
      </x:c>
      <x:c r="C1421" s="31" t="inlineStr">
        <x:is>
          <x:t xml:space="preserve">ЗК-1082</x:t>
        </x:is>
      </x:c>
      <x:c r="D1421" s="31" t="inlineStr">
        <x:is>
          <x:t xml:space="preserve">ПОЗ-0082-1</x:t>
        </x:is>
      </x:c>
      <x:c r="E1421" s="31" t="inlineStr">
        <x:is>
          <x:t xml:space="preserve">ИЗД-030</x:t>
        </x:is>
      </x:c>
      <x:c r="F1421" s="31" t="n">
        <x:v>50</x:v>
      </x:c>
      <x:c r="G1421" s="31" t="inlineStr">
        <x:is>
          <x:t xml:space="preserve">Механообработка</x:t>
        </x:is>
      </x:c>
      <x:c r="H1421" s="31" t="inlineStr">
        <x:is>
          <x:t xml:space="preserve">Механообработка</x:t>
        </x:is>
      </x:c>
      <x:c r="I1421" s="31" t="inlineStr">
        <x:is>
          <x:t xml:space="preserve">ОБ-029</x:t>
        </x:is>
      </x:c>
      <x:c r="J1421" s="31" t="inlineStr">
        <x:is>
          <x:t xml:space="preserve">СОТР-044</x:t>
        </x:is>
      </x:c>
      <x:c r="K1421" s="31" t="n">
        <x:v>18.6</x:v>
      </x:c>
      <x:c r="L1421" s="31" t="n">
        <x:v>15.7</x:v>
      </x:c>
      <x:c r="M1421" s="31" t="n">
        <x:v>46207</x:v>
      </x:c>
      <x:c r="N1421" s="31" t="n">
        <x:v>46209</x:v>
      </x:c>
      <x:c r="O1421" s="31" t="n">
        <x:v>46207</x:v>
      </x:c>
      <x:c r="P1421" s="31" t="n">
        <x:v>46209</x:v>
      </x:c>
      <x:c r="Q1421" s="31" t="inlineStr">
        <x:is>
          <x:t xml:space="preserve">Завершено</x:t>
        </x:is>
      </x:c>
      <x:c r="R1421" s="31" t="inlineStr">
        <x:is>
          <x:t xml:space="preserve">Нет</x:t>
        </x:is>
      </x:c>
      <x:c r="S1421" s="31" t="inlineStr">
        <x:is>
          <x:t xml:space="preserve">Нет</x:t>
        </x:is>
      </x:c>
    </x:row>
    <x:row r="1422">
      <x:c r="A1422" s="31" t="inlineStr">
        <x:is>
          <x:t xml:space="preserve">ОП-001421</x:t>
        </x:is>
      </x:c>
      <x:c r="B1422" s="31" t="inlineStr">
        <x:is>
          <x:t xml:space="preserve">ПЗ-00171</x:t>
        </x:is>
      </x:c>
      <x:c r="C1422" s="31" t="inlineStr">
        <x:is>
          <x:t xml:space="preserve">ЗК-1082</x:t>
        </x:is>
      </x:c>
      <x:c r="D1422" s="31" t="inlineStr">
        <x:is>
          <x:t xml:space="preserve">ПОЗ-0082-1</x:t>
        </x:is>
      </x:c>
      <x:c r="E1422" s="31" t="inlineStr">
        <x:is>
          <x:t xml:space="preserve">ИЗД-030</x:t>
        </x:is>
      </x:c>
      <x:c r="F1422" s="31" t="n">
        <x:v>60</x:v>
      </x:c>
      <x:c r="G1422" s="31" t="inlineStr">
        <x:is>
          <x:t xml:space="preserve">Сборка</x:t>
        </x:is>
      </x:c>
      <x:c r="H1422" s="31" t="inlineStr">
        <x:is>
          <x:t xml:space="preserve">Сборка</x:t>
        </x:is>
      </x:c>
      <x:c r="I1422" s="31" t="inlineStr">
        <x:is>
          <x:t xml:space="preserve">ОБ-027</x:t>
        </x:is>
      </x:c>
      <x:c r="J1422" s="31" t="inlineStr">
        <x:is>
          <x:t xml:space="preserve">СОТР-074</x:t>
        </x:is>
      </x:c>
      <x:c r="K1422" s="31" t="n">
        <x:v>12.6</x:v>
      </x:c>
      <x:c r="L1422" s="31" t="n">
        <x:v>16.3</x:v>
      </x:c>
      <x:c r="M1422" s="31" t="n">
        <x:v>46209</x:v>
      </x:c>
      <x:c r="N1422" s="31" t="n">
        <x:v>46211</x:v>
      </x:c>
      <x:c r="O1422" s="31" t="n">
        <x:v>46209</x:v>
      </x:c>
      <x:c r="P1422" s="31" t="n">
        <x:v>46212</x:v>
      </x:c>
      <x:c r="Q1422" s="31" t="inlineStr">
        <x:is>
          <x:t xml:space="preserve">Завершено</x:t>
        </x:is>
      </x:c>
      <x:c r="R1422" s="31" t="inlineStr">
        <x:is>
          <x:t xml:space="preserve">Нет</x:t>
        </x:is>
      </x:c>
      <x:c r="S1422" s="31" t="inlineStr">
        <x:is>
          <x:t xml:space="preserve">Нет</x:t>
        </x:is>
      </x:c>
    </x:row>
    <x:row r="1423">
      <x:c r="A1423" s="31" t="inlineStr">
        <x:is>
          <x:t xml:space="preserve">ОП-001422</x:t>
        </x:is>
      </x:c>
      <x:c r="B1423" s="31" t="inlineStr">
        <x:is>
          <x:t xml:space="preserve">ПЗ-00171</x:t>
        </x:is>
      </x:c>
      <x:c r="C1423" s="31" t="inlineStr">
        <x:is>
          <x:t xml:space="preserve">ЗК-1082</x:t>
        </x:is>
      </x:c>
      <x:c r="D1423" s="31" t="inlineStr">
        <x:is>
          <x:t xml:space="preserve">ПОЗ-0082-1</x:t>
        </x:is>
      </x:c>
      <x:c r="E1423" s="31" t="inlineStr">
        <x:is>
          <x:t xml:space="preserve">ИЗД-030</x:t>
        </x:is>
      </x:c>
      <x:c r="F1423" s="31" t="n">
        <x:v>70</x:v>
      </x:c>
      <x:c r="G1423" s="31" t="inlineStr">
        <x:is>
          <x:t xml:space="preserve">Электромонтаж</x:t>
        </x:is>
      </x:c>
      <x:c r="H1423" s="31" t="inlineStr">
        <x:is>
          <x:t xml:space="preserve">Сборка</x:t>
        </x:is>
      </x:c>
      <x:c r="I1423" s="31" t="inlineStr">
        <x:is>
          <x:t xml:space="preserve">ОБ-002</x:t>
        </x:is>
      </x:c>
      <x:c r="J1423" s="31" t="inlineStr">
        <x:is>
          <x:t xml:space="preserve">СОТР-083</x:t>
        </x:is>
      </x:c>
      <x:c r="K1423" s="31" t="n">
        <x:v>20.4</x:v>
      </x:c>
      <x:c r="L1423" s="31" t="n">
        <x:v>23.8</x:v>
      </x:c>
      <x:c r="M1423" s="31" t="n">
        <x:v>46211</x:v>
      </x:c>
      <x:c r="N1423" s="31" t="n">
        <x:v>46213</x:v>
      </x:c>
      <x:c r="O1423" s="31" t="n">
        <x:v>46211</x:v>
      </x:c>
      <x:c r="P1423" s="31" t="n">
        <x:v>46214</x:v>
      </x:c>
      <x:c r="Q1423" s="31" t="inlineStr">
        <x:is>
          <x:t xml:space="preserve">Завершено</x:t>
        </x:is>
      </x:c>
      <x:c r="R1423" s="31" t="inlineStr">
        <x:is>
          <x:t xml:space="preserve">Нет</x:t>
        </x:is>
      </x:c>
      <x:c r="S1423" s="31" t="inlineStr">
        <x:is>
          <x:t xml:space="preserve">Да</x:t>
        </x:is>
      </x:c>
    </x:row>
    <x:row r="1424">
      <x:c r="A1424" s="31" t="inlineStr">
        <x:is>
          <x:t xml:space="preserve">ОП-001423</x:t>
        </x:is>
      </x:c>
      <x:c r="B1424" s="31" t="inlineStr">
        <x:is>
          <x:t xml:space="preserve">ПЗ-00171</x:t>
        </x:is>
      </x:c>
      <x:c r="C1424" s="31" t="inlineStr">
        <x:is>
          <x:t xml:space="preserve">ЗК-1082</x:t>
        </x:is>
      </x:c>
      <x:c r="D1424" s="31" t="inlineStr">
        <x:is>
          <x:t xml:space="preserve">ПОЗ-0082-1</x:t>
        </x:is>
      </x:c>
      <x:c r="E1424" s="31" t="inlineStr">
        <x:is>
          <x:t xml:space="preserve">ИЗД-030</x:t>
        </x:is>
      </x:c>
      <x:c r="F1424" s="31" t="n">
        <x:v>80</x:v>
      </x:c>
      <x:c r="G1424" s="31" t="inlineStr">
        <x:is>
          <x:t xml:space="preserve">Гидроиспытания</x:t>
        </x:is>
      </x:c>
      <x:c r="H1424" s="31" t="inlineStr">
        <x:is>
          <x:t xml:space="preserve">ОТК</x:t>
        </x:is>
      </x:c>
      <x:c r="I1424" s="31" t="inlineStr">
        <x:is>
          <x:t xml:space="preserve">ОБ-024</x:t>
        </x:is>
      </x:c>
      <x:c r="J1424" s="31" t="inlineStr">
        <x:is>
          <x:t xml:space="preserve">СОТР-096</x:t>
        </x:is>
      </x:c>
      <x:c r="K1424" s="31" t="n">
        <x:v>14.7</x:v>
      </x:c>
      <x:c r="L1424" s="31" t="n">
        <x:v>17.4</x:v>
      </x:c>
      <x:c r="M1424" s="31" t="n">
        <x:v>46213</x:v>
      </x:c>
      <x:c r="N1424" s="31" t="n">
        <x:v>46215</x:v>
      </x:c>
      <x:c r="O1424" s="31" t="n">
        <x:v>46213</x:v>
      </x:c>
      <x:c r="P1424" s="31" t="n">
        <x:v>46215</x:v>
      </x:c>
      <x:c r="Q1424" s="31" t="inlineStr">
        <x:is>
          <x:t xml:space="preserve">Завершено</x:t>
        </x:is>
      </x:c>
      <x:c r="R1424" s="31" t="inlineStr">
        <x:is>
          <x:t xml:space="preserve">Нет</x:t>
        </x:is>
      </x:c>
      <x:c r="S1424" s="31" t="inlineStr">
        <x:is>
          <x:t xml:space="preserve">Нет</x:t>
        </x:is>
      </x:c>
    </x:row>
    <x:row r="1425">
      <x:c r="A1425" s="31" t="inlineStr">
        <x:is>
          <x:t xml:space="preserve">ОП-001424</x:t>
        </x:is>
      </x:c>
      <x:c r="B1425" s="31" t="inlineStr">
        <x:is>
          <x:t xml:space="preserve">ПЗ-00171</x:t>
        </x:is>
      </x:c>
      <x:c r="C1425" s="31" t="inlineStr">
        <x:is>
          <x:t xml:space="preserve">ЗК-1082</x:t>
        </x:is>
      </x:c>
      <x:c r="D1425" s="31" t="inlineStr">
        <x:is>
          <x:t xml:space="preserve">ПОЗ-0082-1</x:t>
        </x:is>
      </x:c>
      <x:c r="E1425" s="31" t="inlineStr">
        <x:is>
          <x:t xml:space="preserve">ИЗД-030</x:t>
        </x:is>
      </x:c>
      <x:c r="F1425" s="31" t="n">
        <x:v>90</x:v>
      </x:c>
      <x:c r="G1425" s="31" t="inlineStr">
        <x:is>
          <x:t xml:space="preserve">ОТК</x:t>
        </x:is>
      </x:c>
      <x:c r="H1425" s="31" t="inlineStr">
        <x:is>
          <x:t xml:space="preserve">ОТК</x:t>
        </x:is>
      </x:c>
      <x:c r="I1425" s="31" t="inlineStr">
        <x:is>
          <x:t xml:space="preserve">ОБ-015</x:t>
        </x:is>
      </x:c>
      <x:c r="J1425" s="31" t="inlineStr">
        <x:is>
          <x:t xml:space="preserve">СОТР-093</x:t>
        </x:is>
      </x:c>
      <x:c r="K1425" s="31" t="n">
        <x:v>12</x:v>
      </x:c>
      <x:c r="L1425" s="31" t="n">
        <x:v>13.1</x:v>
      </x:c>
      <x:c r="M1425" s="31" t="n">
        <x:v>46215</x:v>
      </x:c>
      <x:c r="N1425" s="31" t="n">
        <x:v>46216</x:v>
      </x:c>
      <x:c r="O1425" s="31" t="n">
        <x:v>46215</x:v>
      </x:c>
      <x:c r="P1425" s="31" t="n">
        <x:v>46216</x:v>
      </x:c>
      <x:c r="Q1425" s="31" t="inlineStr">
        <x:is>
          <x:t xml:space="preserve">Завершено</x:t>
        </x:is>
      </x:c>
      <x:c r="R1425" s="31" t="inlineStr">
        <x:is>
          <x:t xml:space="preserve">Нет</x:t>
        </x:is>
      </x:c>
      <x:c r="S1425" s="31" t="inlineStr">
        <x:is>
          <x:t xml:space="preserve">Нет</x:t>
        </x:is>
      </x:c>
    </x:row>
    <x:row r="1426">
      <x:c r="A1426" s="31" t="inlineStr">
        <x:is>
          <x:t xml:space="preserve">ОП-001425</x:t>
        </x:is>
      </x:c>
      <x:c r="B1426" s="31" t="inlineStr">
        <x:is>
          <x:t xml:space="preserve">ПЗ-00171</x:t>
        </x:is>
      </x:c>
      <x:c r="C1426" s="31" t="inlineStr">
        <x:is>
          <x:t xml:space="preserve">ЗК-1082</x:t>
        </x:is>
      </x:c>
      <x:c r="D1426" s="31" t="inlineStr">
        <x:is>
          <x:t xml:space="preserve">ПОЗ-0082-1</x:t>
        </x:is>
      </x:c>
      <x:c r="E1426" s="31" t="inlineStr">
        <x:is>
          <x:t xml:space="preserve">ИЗД-030</x:t>
        </x:is>
      </x:c>
      <x:c r="F1426" s="31" t="n">
        <x:v>100</x:v>
      </x:c>
      <x:c r="G1426" s="31" t="inlineStr">
        <x:is>
          <x:t xml:space="preserve">Упаковка</x:t>
        </x:is>
      </x:c>
      <x:c r="H1426" s="31" t="inlineStr">
        <x:is>
          <x:t xml:space="preserve">Логистика</x:t>
        </x:is>
      </x:c>
      <x:c r="I1426" s="31" t="n"/>
      <x:c r="J1426" s="31" t="inlineStr">
        <x:is>
          <x:t xml:space="preserve">СОТР-101</x:t>
        </x:is>
      </x:c>
      <x:c r="K1426" s="31" t="n">
        <x:v>24.6</x:v>
      </x:c>
      <x:c r="L1426" s="31" t="n"/>
      <x:c r="M1426" s="31" t="n">
        <x:v>46216</x:v>
      </x:c>
      <x:c r="N1426" s="31" t="n">
        <x:v>46219</x:v>
      </x:c>
      <x:c r="O1426" s="31" t="n">
        <x:v>46216</x:v>
      </x:c>
      <x:c r="P1426" s="31" t="n"/>
      <x:c r="Q1426" s="31" t="inlineStr">
        <x:is>
          <x:t xml:space="preserve">В работе</x:t>
        </x:is>
      </x:c>
      <x:c r="R1426" s="31" t="inlineStr">
        <x:is>
          <x:t xml:space="preserve">Нет</x:t>
        </x:is>
      </x:c>
      <x:c r="S1426" s="31" t="inlineStr">
        <x:is>
          <x:t xml:space="preserve">Нет</x:t>
        </x:is>
      </x:c>
    </x:row>
    <x:row r="1427">
      <x:c r="A1427" s="31" t="inlineStr">
        <x:is>
          <x:t xml:space="preserve">ОП-001426</x:t>
        </x:is>
      </x:c>
      <x:c r="B1427" s="31" t="inlineStr">
        <x:is>
          <x:t xml:space="preserve">ПЗ-00172</x:t>
        </x:is>
      </x:c>
      <x:c r="C1427" s="31" t="inlineStr">
        <x:is>
          <x:t xml:space="preserve">ЗК-1082</x:t>
        </x:is>
      </x:c>
      <x:c r="D1427" s="31" t="inlineStr">
        <x:is>
          <x:t xml:space="preserve">ПОЗ-0082-2</x:t>
        </x:is>
      </x:c>
      <x:c r="E1427" s="31" t="inlineStr">
        <x:is>
          <x:t xml:space="preserve">ИЗД-029</x:t>
        </x:is>
      </x:c>
      <x:c r="F1427" s="31" t="n">
        <x:v>10</x:v>
      </x:c>
      <x:c r="G1427" s="31" t="inlineStr">
        <x:is>
          <x:t xml:space="preserve">КД</x:t>
        </x:is>
      </x:c>
      <x:c r="H1427" s="31" t="inlineStr">
        <x:is>
          <x:t xml:space="preserve">Инженерный отдел</x:t>
        </x:is>
      </x:c>
      <x:c r="I1427" s="31" t="n"/>
      <x:c r="J1427" s="31" t="inlineStr">
        <x:is>
          <x:t xml:space="preserve">СОТР-021</x:t>
        </x:is>
      </x:c>
      <x:c r="K1427" s="31" t="n">
        <x:v>12.1</x:v>
      </x:c>
      <x:c r="L1427" s="31" t="n">
        <x:v>12.4</x:v>
      </x:c>
      <x:c r="M1427" s="31" t="n">
        <x:v>46192</x:v>
      </x:c>
      <x:c r="N1427" s="31" t="n">
        <x:v>46194</x:v>
      </x:c>
      <x:c r="O1427" s="31" t="n">
        <x:v>46192</x:v>
      </x:c>
      <x:c r="P1427" s="31" t="n">
        <x:v>46196</x:v>
      </x:c>
      <x:c r="Q1427" s="31" t="inlineStr">
        <x:is>
          <x:t xml:space="preserve">Завершено</x:t>
        </x:is>
      </x:c>
      <x:c r="R1427" s="31" t="inlineStr">
        <x:is>
          <x:t xml:space="preserve">Ожидание ОТК</x:t>
        </x:is>
      </x:c>
      <x:c r="S1427" s="31" t="inlineStr">
        <x:is>
          <x:t xml:space="preserve">Нет</x:t>
        </x:is>
      </x:c>
    </x:row>
    <x:row r="1428">
      <x:c r="A1428" s="31" t="inlineStr">
        <x:is>
          <x:t xml:space="preserve">ОП-001427</x:t>
        </x:is>
      </x:c>
      <x:c r="B1428" s="31" t="inlineStr">
        <x:is>
          <x:t xml:space="preserve">ПЗ-00172</x:t>
        </x:is>
      </x:c>
      <x:c r="C1428" s="31" t="inlineStr">
        <x:is>
          <x:t xml:space="preserve">ЗК-1082</x:t>
        </x:is>
      </x:c>
      <x:c r="D1428" s="31" t="inlineStr">
        <x:is>
          <x:t xml:space="preserve">ПОЗ-0082-2</x:t>
        </x:is>
      </x:c>
      <x:c r="E1428" s="31" t="inlineStr">
        <x:is>
          <x:t xml:space="preserve">ИЗД-029</x:t>
        </x:is>
      </x:c>
      <x:c r="F1428" s="31" t="n">
        <x:v>20</x:v>
      </x:c>
      <x:c r="G1428" s="31" t="inlineStr">
        <x:is>
          <x:t xml:space="preserve">Резерв материалов</x:t>
        </x:is>
      </x:c>
      <x:c r="H1428" s="31" t="inlineStr">
        <x:is>
          <x:t xml:space="preserve">Склад</x:t>
        </x:is>
      </x:c>
      <x:c r="I1428" s="31" t="inlineStr">
        <x:is>
          <x:t xml:space="preserve">ОБ-023</x:t>
        </x:is>
      </x:c>
      <x:c r="J1428" s="31" t="inlineStr">
        <x:is>
          <x:t xml:space="preserve">СОТР-038</x:t>
        </x:is>
      </x:c>
      <x:c r="K1428" s="31" t="n">
        <x:v>6.2</x:v>
      </x:c>
      <x:c r="L1428" s="31" t="n">
        <x:v>5.9</x:v>
      </x:c>
      <x:c r="M1428" s="31" t="n">
        <x:v>46194</x:v>
      </x:c>
      <x:c r="N1428" s="31" t="n">
        <x:v>46195</x:v>
      </x:c>
      <x:c r="O1428" s="31" t="n">
        <x:v>46194</x:v>
      </x:c>
      <x:c r="P1428" s="31" t="n">
        <x:v>46195</x:v>
      </x:c>
      <x:c r="Q1428" s="31" t="inlineStr">
        <x:is>
          <x:t xml:space="preserve">Завершено</x:t>
        </x:is>
      </x:c>
      <x:c r="R1428" s="31" t="inlineStr">
        <x:is>
          <x:t xml:space="preserve">Нет</x:t>
        </x:is>
      </x:c>
      <x:c r="S1428" s="31" t="inlineStr">
        <x:is>
          <x:t xml:space="preserve">Да</x:t>
        </x:is>
      </x:c>
    </x:row>
    <x:row r="1429">
      <x:c r="A1429" s="31" t="inlineStr">
        <x:is>
          <x:t xml:space="preserve">ОП-001428</x:t>
        </x:is>
      </x:c>
      <x:c r="B1429" s="31" t="inlineStr">
        <x:is>
          <x:t xml:space="preserve">ПЗ-00172</x:t>
        </x:is>
      </x:c>
      <x:c r="C1429" s="31" t="inlineStr">
        <x:is>
          <x:t xml:space="preserve">ЗК-1082</x:t>
        </x:is>
      </x:c>
      <x:c r="D1429" s="31" t="inlineStr">
        <x:is>
          <x:t xml:space="preserve">ПОЗ-0082-2</x:t>
        </x:is>
      </x:c>
      <x:c r="E1429" s="31" t="inlineStr">
        <x:is>
          <x:t xml:space="preserve">ИЗД-029</x:t>
        </x:is>
      </x:c>
      <x:c r="F1429" s="31" t="n">
        <x:v>30</x:v>
      </x:c>
      <x:c r="G1429" s="31" t="inlineStr">
        <x:is>
          <x:t xml:space="preserve">Резка металла</x:t>
        </x:is>
      </x:c>
      <x:c r="H1429" s="31" t="inlineStr">
        <x:is>
          <x:t xml:space="preserve">Сварка</x:t>
        </x:is>
      </x:c>
      <x:c r="I1429" s="31" t="inlineStr">
        <x:is>
          <x:t xml:space="preserve">ОБ-019</x:t>
        </x:is>
      </x:c>
      <x:c r="J1429" s="31" t="inlineStr">
        <x:is>
          <x:t xml:space="preserve">СОТР-069</x:t>
        </x:is>
      </x:c>
      <x:c r="K1429" s="31" t="n">
        <x:v>13.2</x:v>
      </x:c>
      <x:c r="L1429" s="31" t="n"/>
      <x:c r="M1429" s="31" t="n">
        <x:v>46195</x:v>
      </x:c>
      <x:c r="N1429" s="31" t="n">
        <x:v>46197</x:v>
      </x:c>
      <x:c r="O1429" s="31" t="n">
        <x:v>46195</x:v>
      </x:c>
      <x:c r="P1429" s="31" t="n"/>
      <x:c r="Q1429" s="31" t="inlineStr">
        <x:is>
          <x:t xml:space="preserve">В работе</x:t>
        </x:is>
      </x:c>
      <x:c r="R1429" s="31" t="inlineStr">
        <x:is>
          <x:t xml:space="preserve">Материал</x:t>
        </x:is>
      </x:c>
      <x:c r="S1429" s="31" t="inlineStr">
        <x:is>
          <x:t xml:space="preserve">Нет</x:t>
        </x:is>
      </x:c>
    </x:row>
    <x:row r="1430">
      <x:c r="A1430" s="31" t="inlineStr">
        <x:is>
          <x:t xml:space="preserve">ОП-001429</x:t>
        </x:is>
      </x:c>
      <x:c r="B1430" s="31" t="inlineStr">
        <x:is>
          <x:t xml:space="preserve">ПЗ-00172</x:t>
        </x:is>
      </x:c>
      <x:c r="C1430" s="31" t="inlineStr">
        <x:is>
          <x:t xml:space="preserve">ЗК-1082</x:t>
        </x:is>
      </x:c>
      <x:c r="D1430" s="31" t="inlineStr">
        <x:is>
          <x:t xml:space="preserve">ПОЗ-0082-2</x:t>
        </x:is>
      </x:c>
      <x:c r="E1430" s="31" t="inlineStr">
        <x:is>
          <x:t xml:space="preserve">ИЗД-029</x:t>
        </x:is>
      </x:c>
      <x:c r="F1430" s="31" t="n">
        <x:v>40</x:v>
      </x:c>
      <x:c r="G1430" s="31" t="inlineStr">
        <x:is>
          <x:t xml:space="preserve">Сварка рамы</x:t>
        </x:is>
      </x:c>
      <x:c r="H1430" s="31" t="inlineStr">
        <x:is>
          <x:t xml:space="preserve">Сварка</x:t>
        </x:is>
      </x:c>
      <x:c r="I1430" s="31" t="inlineStr">
        <x:is>
          <x:t xml:space="preserve">ОБ-004</x:t>
        </x:is>
      </x:c>
      <x:c r="J1430" s="31" t="inlineStr">
        <x:is>
          <x:t xml:space="preserve">СОТР-068</x:t>
        </x:is>
      </x:c>
      <x:c r="K1430" s="31" t="n">
        <x:v>6.6</x:v>
      </x:c>
      <x:c r="L1430" s="31" t="n">
        <x:v>6.3</x:v>
      </x:c>
      <x:c r="M1430" s="31" t="n">
        <x:v>46197</x:v>
      </x:c>
      <x:c r="N1430" s="31" t="n">
        <x:v>46198</x:v>
      </x:c>
      <x:c r="O1430" s="31" t="n">
        <x:v>46197</x:v>
      </x:c>
      <x:c r="P1430" s="31" t="n">
        <x:v>46198</x:v>
      </x:c>
      <x:c r="Q1430" s="31" t="inlineStr">
        <x:is>
          <x:t xml:space="preserve">Завершено</x:t>
        </x:is>
      </x:c>
      <x:c r="R1430" s="31" t="inlineStr">
        <x:is>
          <x:t xml:space="preserve">Нет</x:t>
        </x:is>
      </x:c>
      <x:c r="S1430" s="31" t="inlineStr">
        <x:is>
          <x:t xml:space="preserve">Нет</x:t>
        </x:is>
      </x:c>
    </x:row>
    <x:row r="1431">
      <x:c r="A1431" s="31" t="inlineStr">
        <x:is>
          <x:t xml:space="preserve">ОП-001430</x:t>
        </x:is>
      </x:c>
      <x:c r="B1431" s="31" t="inlineStr">
        <x:is>
          <x:t xml:space="preserve">ПЗ-00172</x:t>
        </x:is>
      </x:c>
      <x:c r="C1431" s="31" t="inlineStr">
        <x:is>
          <x:t xml:space="preserve">ЗК-1082</x:t>
        </x:is>
      </x:c>
      <x:c r="D1431" s="31" t="inlineStr">
        <x:is>
          <x:t xml:space="preserve">ПОЗ-0082-2</x:t>
        </x:is>
      </x:c>
      <x:c r="E1431" s="31" t="inlineStr">
        <x:is>
          <x:t xml:space="preserve">ИЗД-029</x:t>
        </x:is>
      </x:c>
      <x:c r="F1431" s="31" t="n">
        <x:v>50</x:v>
      </x:c>
      <x:c r="G1431" s="31" t="inlineStr">
        <x:is>
          <x:t xml:space="preserve">Механообработка</x:t>
        </x:is>
      </x:c>
      <x:c r="H1431" s="31" t="inlineStr">
        <x:is>
          <x:t xml:space="preserve">Механообработка</x:t>
        </x:is>
      </x:c>
      <x:c r="I1431" s="31" t="inlineStr">
        <x:is>
          <x:t xml:space="preserve">ОБ-030</x:t>
        </x:is>
      </x:c>
      <x:c r="J1431" s="31" t="inlineStr">
        <x:is>
          <x:t xml:space="preserve">СОТР-053</x:t>
        </x:is>
      </x:c>
      <x:c r="K1431" s="31" t="n">
        <x:v>15.4</x:v>
      </x:c>
      <x:c r="L1431" s="31" t="n"/>
      <x:c r="M1431" s="31" t="n">
        <x:v>46198</x:v>
      </x:c>
      <x:c r="N1431" s="31" t="n">
        <x:v>46200</x:v>
      </x:c>
      <x:c r="O1431" s="31" t="n"/>
      <x:c r="P1431" s="31" t="n"/>
      <x:c r="Q1431" s="31" t="inlineStr">
        <x:is>
          <x:t xml:space="preserve">Запланировано</x:t>
        </x:is>
      </x:c>
      <x:c r="R1431" s="31" t="inlineStr">
        <x:is>
          <x:t xml:space="preserve">Ожидание ОТК</x:t>
        </x:is>
      </x:c>
      <x:c r="S1431" s="31" t="inlineStr">
        <x:is>
          <x:t xml:space="preserve">Нет</x:t>
        </x:is>
      </x:c>
    </x:row>
    <x:row r="1432">
      <x:c r="A1432" s="31" t="inlineStr">
        <x:is>
          <x:t xml:space="preserve">ОП-001431</x:t>
        </x:is>
      </x:c>
      <x:c r="B1432" s="31" t="inlineStr">
        <x:is>
          <x:t xml:space="preserve">ПЗ-00172</x:t>
        </x:is>
      </x:c>
      <x:c r="C1432" s="31" t="inlineStr">
        <x:is>
          <x:t xml:space="preserve">ЗК-1082</x:t>
        </x:is>
      </x:c>
      <x:c r="D1432" s="31" t="inlineStr">
        <x:is>
          <x:t xml:space="preserve">ПОЗ-0082-2</x:t>
        </x:is>
      </x:c>
      <x:c r="E1432" s="31" t="inlineStr">
        <x:is>
          <x:t xml:space="preserve">ИЗД-029</x:t>
        </x:is>
      </x:c>
      <x:c r="F1432" s="31" t="n">
        <x:v>60</x:v>
      </x:c>
      <x:c r="G1432" s="31" t="inlineStr">
        <x:is>
          <x:t xml:space="preserve">Сборка</x:t>
        </x:is>
      </x:c>
      <x:c r="H1432" s="31" t="inlineStr">
        <x:is>
          <x:t xml:space="preserve">Сборка</x:t>
        </x:is>
      </x:c>
      <x:c r="I1432" s="31" t="inlineStr">
        <x:is>
          <x:t xml:space="preserve">ОБ-002</x:t>
        </x:is>
      </x:c>
      <x:c r="J1432" s="31" t="inlineStr">
        <x:is>
          <x:t xml:space="preserve">СОТР-090</x:t>
        </x:is>
      </x:c>
      <x:c r="K1432" s="31" t="n">
        <x:v>16.7</x:v>
      </x:c>
      <x:c r="L1432" s="31" t="n">
        <x:v>19</x:v>
      </x:c>
      <x:c r="M1432" s="31" t="n">
        <x:v>46200</x:v>
      </x:c>
      <x:c r="N1432" s="31" t="n">
        <x:v>46202</x:v>
      </x:c>
      <x:c r="O1432" s="31" t="n">
        <x:v>46200</x:v>
      </x:c>
      <x:c r="P1432" s="31" t="n">
        <x:v>46203</x:v>
      </x:c>
      <x:c r="Q1432" s="31" t="inlineStr">
        <x:is>
          <x:t xml:space="preserve">Завершено</x:t>
        </x:is>
      </x:c>
      <x:c r="R1432" s="31" t="inlineStr">
        <x:is>
          <x:t xml:space="preserve">Нет</x:t>
        </x:is>
      </x:c>
      <x:c r="S1432" s="31" t="inlineStr">
        <x:is>
          <x:t xml:space="preserve">Нет</x:t>
        </x:is>
      </x:c>
    </x:row>
    <x:row r="1433">
      <x:c r="A1433" s="31" t="inlineStr">
        <x:is>
          <x:t xml:space="preserve">ОП-001432</x:t>
        </x:is>
      </x:c>
      <x:c r="B1433" s="31" t="inlineStr">
        <x:is>
          <x:t xml:space="preserve">ПЗ-00172</x:t>
        </x:is>
      </x:c>
      <x:c r="C1433" s="31" t="inlineStr">
        <x:is>
          <x:t xml:space="preserve">ЗК-1082</x:t>
        </x:is>
      </x:c>
      <x:c r="D1433" s="31" t="inlineStr">
        <x:is>
          <x:t xml:space="preserve">ПОЗ-0082-2</x:t>
        </x:is>
      </x:c>
      <x:c r="E1433" s="31" t="inlineStr">
        <x:is>
          <x:t xml:space="preserve">ИЗД-029</x:t>
        </x:is>
      </x:c>
      <x:c r="F1433" s="31" t="n">
        <x:v>70</x:v>
      </x:c>
      <x:c r="G1433" s="31" t="inlineStr">
        <x:is>
          <x:t xml:space="preserve">Обвязка труб</x:t>
        </x:is>
      </x:c>
      <x:c r="H1433" s="31" t="inlineStr">
        <x:is>
          <x:t xml:space="preserve">Сборка</x:t>
        </x:is>
      </x:c>
      <x:c r="I1433" s="31" t="inlineStr">
        <x:is>
          <x:t xml:space="preserve">ОБ-012</x:t>
        </x:is>
      </x:c>
      <x:c r="J1433" s="31" t="inlineStr">
        <x:is>
          <x:t xml:space="preserve">СОТР-074</x:t>
        </x:is>
      </x:c>
      <x:c r="K1433" s="31" t="n">
        <x:v>17.6</x:v>
      </x:c>
      <x:c r="L1433" s="31" t="n">
        <x:v>15.5</x:v>
      </x:c>
      <x:c r="M1433" s="31" t="n">
        <x:v>46202</x:v>
      </x:c>
      <x:c r="N1433" s="31" t="n">
        <x:v>46204</x:v>
      </x:c>
      <x:c r="O1433" s="31" t="n">
        <x:v>46202</x:v>
      </x:c>
      <x:c r="P1433" s="31" t="n">
        <x:v>46205</x:v>
      </x:c>
      <x:c r="Q1433" s="31" t="inlineStr">
        <x:is>
          <x:t xml:space="preserve">Завершено</x:t>
        </x:is>
      </x:c>
      <x:c r="R1433" s="31" t="inlineStr">
        <x:is>
          <x:t xml:space="preserve">Нет</x:t>
        </x:is>
      </x:c>
      <x:c r="S1433" s="31" t="inlineStr">
        <x:is>
          <x:t xml:space="preserve">Нет</x:t>
        </x:is>
      </x:c>
    </x:row>
    <x:row r="1434">
      <x:c r="A1434" s="31" t="inlineStr">
        <x:is>
          <x:t xml:space="preserve">ОП-001433</x:t>
        </x:is>
      </x:c>
      <x:c r="B1434" s="31" t="inlineStr">
        <x:is>
          <x:t xml:space="preserve">ПЗ-00172</x:t>
        </x:is>
      </x:c>
      <x:c r="C1434" s="31" t="inlineStr">
        <x:is>
          <x:t xml:space="preserve">ЗК-1082</x:t>
        </x:is>
      </x:c>
      <x:c r="D1434" s="31" t="inlineStr">
        <x:is>
          <x:t xml:space="preserve">ПОЗ-0082-2</x:t>
        </x:is>
      </x:c>
      <x:c r="E1434" s="31" t="inlineStr">
        <x:is>
          <x:t xml:space="preserve">ИЗД-029</x:t>
        </x:is>
      </x:c>
      <x:c r="F1434" s="31" t="n">
        <x:v>80</x:v>
      </x:c>
      <x:c r="G1434" s="31" t="inlineStr">
        <x:is>
          <x:t xml:space="preserve">Электромонтаж</x:t>
        </x:is>
      </x:c>
      <x:c r="H1434" s="31" t="inlineStr">
        <x:is>
          <x:t xml:space="preserve">Сборка</x:t>
        </x:is>
      </x:c>
      <x:c r="I1434" s="31" t="inlineStr">
        <x:is>
          <x:t xml:space="preserve">ОБ-014</x:t>
        </x:is>
      </x:c>
      <x:c r="J1434" s="31" t="inlineStr">
        <x:is>
          <x:t xml:space="preserve">СОТР-081</x:t>
        </x:is>
      </x:c>
      <x:c r="K1434" s="31" t="n">
        <x:v>4.7</x:v>
      </x:c>
      <x:c r="L1434" s="31" t="n"/>
      <x:c r="M1434" s="31" t="n">
        <x:v>46204</x:v>
      </x:c>
      <x:c r="N1434" s="31" t="n">
        <x:v>46205</x:v>
      </x:c>
      <x:c r="O1434" s="31" t="n"/>
      <x:c r="P1434" s="31" t="n"/>
      <x:c r="Q1434" s="31" t="inlineStr">
        <x:is>
          <x:t xml:space="preserve">Запланировано</x:t>
        </x:is>
      </x:c>
      <x:c r="R1434" s="31" t="inlineStr">
        <x:is>
          <x:t xml:space="preserve">Нет</x:t>
        </x:is>
      </x:c>
      <x:c r="S1434" s="31" t="inlineStr">
        <x:is>
          <x:t xml:space="preserve">Нет</x:t>
        </x:is>
      </x:c>
    </x:row>
    <x:row r="1435">
      <x:c r="A1435" s="31" t="inlineStr">
        <x:is>
          <x:t xml:space="preserve">ОП-001434</x:t>
        </x:is>
      </x:c>
      <x:c r="B1435" s="31" t="inlineStr">
        <x:is>
          <x:t xml:space="preserve">ПЗ-00172</x:t>
        </x:is>
      </x:c>
      <x:c r="C1435" s="31" t="inlineStr">
        <x:is>
          <x:t xml:space="preserve">ЗК-1082</x:t>
        </x:is>
      </x:c>
      <x:c r="D1435" s="31" t="inlineStr">
        <x:is>
          <x:t xml:space="preserve">ПОЗ-0082-2</x:t>
        </x:is>
      </x:c>
      <x:c r="E1435" s="31" t="inlineStr">
        <x:is>
          <x:t xml:space="preserve">ИЗД-029</x:t>
        </x:is>
      </x:c>
      <x:c r="F1435" s="31" t="n">
        <x:v>90</x:v>
      </x:c>
      <x:c r="G1435" s="31" t="inlineStr">
        <x:is>
          <x:t xml:space="preserve">Приемочные испытания</x:t>
        </x:is>
      </x:c>
      <x:c r="H1435" s="31" t="inlineStr">
        <x:is>
          <x:t xml:space="preserve">ОТК</x:t>
        </x:is>
      </x:c>
      <x:c r="I1435" s="31" t="inlineStr">
        <x:is>
          <x:t xml:space="preserve">ОБ-022</x:t>
        </x:is>
      </x:c>
      <x:c r="J1435" s="31" t="inlineStr">
        <x:is>
          <x:t xml:space="preserve">СОТР-095</x:t>
        </x:is>
      </x:c>
      <x:c r="K1435" s="31" t="n">
        <x:v>16.8</x:v>
      </x:c>
      <x:c r="L1435" s="31" t="n"/>
      <x:c r="M1435" s="31" t="n">
        <x:v>46205</x:v>
      </x:c>
      <x:c r="N1435" s="31" t="n">
        <x:v>46207</x:v>
      </x:c>
      <x:c r="O1435" s="31" t="n"/>
      <x:c r="P1435" s="31" t="n"/>
      <x:c r="Q1435" s="31" t="inlineStr">
        <x:is>
          <x:t xml:space="preserve">Запланировано</x:t>
        </x:is>
      </x:c>
      <x:c r="R1435" s="31" t="inlineStr">
        <x:is>
          <x:t xml:space="preserve">Нет</x:t>
        </x:is>
      </x:c>
      <x:c r="S1435" s="31" t="inlineStr">
        <x:is>
          <x:t xml:space="preserve">Нет</x:t>
        </x:is>
      </x:c>
    </x:row>
    <x:row r="1436">
      <x:c r="A1436" s="31" t="inlineStr">
        <x:is>
          <x:t xml:space="preserve">ОП-001435</x:t>
        </x:is>
      </x:c>
      <x:c r="B1436" s="31" t="inlineStr">
        <x:is>
          <x:t xml:space="preserve">ПЗ-00172</x:t>
        </x:is>
      </x:c>
      <x:c r="C1436" s="31" t="inlineStr">
        <x:is>
          <x:t xml:space="preserve">ЗК-1082</x:t>
        </x:is>
      </x:c>
      <x:c r="D1436" s="31" t="inlineStr">
        <x:is>
          <x:t xml:space="preserve">ПОЗ-0082-2</x:t>
        </x:is>
      </x:c>
      <x:c r="E1436" s="31" t="inlineStr">
        <x:is>
          <x:t xml:space="preserve">ИЗД-029</x:t>
        </x:is>
      </x:c>
      <x:c r="F1436" s="31" t="n">
        <x:v>100</x:v>
      </x:c>
      <x:c r="G1436" s="31" t="inlineStr">
        <x:is>
          <x:t xml:space="preserve">ОТК</x:t>
        </x:is>
      </x:c>
      <x:c r="H1436" s="31" t="inlineStr">
        <x:is>
          <x:t xml:space="preserve">ОТК</x:t>
        </x:is>
      </x:c>
      <x:c r="I1436" s="31" t="inlineStr">
        <x:is>
          <x:t xml:space="preserve">ОБ-007</x:t>
        </x:is>
      </x:c>
      <x:c r="J1436" s="31" t="inlineStr">
        <x:is>
          <x:t xml:space="preserve">СОТР-096</x:t>
        </x:is>
      </x:c>
      <x:c r="K1436" s="31" t="n">
        <x:v>12.1</x:v>
      </x:c>
      <x:c r="L1436" s="31" t="n"/>
      <x:c r="M1436" s="31" t="n">
        <x:v>46207</x:v>
      </x:c>
      <x:c r="N1436" s="31" t="n">
        <x:v>46209</x:v>
      </x:c>
      <x:c r="O1436" s="31" t="n"/>
      <x:c r="P1436" s="31" t="n"/>
      <x:c r="Q1436" s="31" t="inlineStr">
        <x:is>
          <x:t xml:space="preserve">Запланировано</x:t>
        </x:is>
      </x:c>
      <x:c r="R1436" s="31" t="inlineStr">
        <x:is>
          <x:t xml:space="preserve">Материал</x:t>
        </x:is>
      </x:c>
      <x:c r="S1436" s="31" t="inlineStr">
        <x:is>
          <x:t xml:space="preserve">Да</x:t>
        </x:is>
      </x:c>
    </x:row>
    <x:row r="1437">
      <x:c r="A1437" s="31" t="inlineStr">
        <x:is>
          <x:t xml:space="preserve">ОП-001436</x:t>
        </x:is>
      </x:c>
      <x:c r="B1437" s="31" t="inlineStr">
        <x:is>
          <x:t xml:space="preserve">ПЗ-00172</x:t>
        </x:is>
      </x:c>
      <x:c r="C1437" s="31" t="inlineStr">
        <x:is>
          <x:t xml:space="preserve">ЗК-1082</x:t>
        </x:is>
      </x:c>
      <x:c r="D1437" s="31" t="inlineStr">
        <x:is>
          <x:t xml:space="preserve">ПОЗ-0082-2</x:t>
        </x:is>
      </x:c>
      <x:c r="E1437" s="31" t="inlineStr">
        <x:is>
          <x:t xml:space="preserve">ИЗД-029</x:t>
        </x:is>
      </x:c>
      <x:c r="F1437" s="31" t="n">
        <x:v>110</x:v>
      </x:c>
      <x:c r="G1437" s="31" t="inlineStr">
        <x:is>
          <x:t xml:space="preserve">Упаковка</x:t>
        </x:is>
      </x:c>
      <x:c r="H1437" s="31" t="inlineStr">
        <x:is>
          <x:t xml:space="preserve">Логистика</x:t>
        </x:is>
      </x:c>
      <x:c r="I1437" s="31" t="n"/>
      <x:c r="J1437" s="31" t="inlineStr">
        <x:is>
          <x:t xml:space="preserve">СОТР-102</x:t>
        </x:is>
      </x:c>
      <x:c r="K1437" s="31" t="n">
        <x:v>8.9</x:v>
      </x:c>
      <x:c r="L1437" s="31" t="n"/>
      <x:c r="M1437" s="31" t="n">
        <x:v>46209</x:v>
      </x:c>
      <x:c r="N1437" s="31" t="n">
        <x:v>46210</x:v>
      </x:c>
      <x:c r="O1437" s="31" t="n"/>
      <x:c r="P1437" s="31" t="n"/>
      <x:c r="Q1437" s="31" t="inlineStr">
        <x:is>
          <x:t xml:space="preserve">Запланировано</x:t>
        </x:is>
      </x:c>
      <x:c r="R1437" s="31" t="inlineStr">
        <x:is>
          <x:t xml:space="preserve">Материал</x:t>
        </x:is>
      </x:c>
      <x:c r="S1437" s="31" t="inlineStr">
        <x:is>
          <x:t xml:space="preserve">Нет</x:t>
        </x:is>
      </x:c>
    </x:row>
    <x:row r="1438">
      <x:c r="A1438" s="31" t="inlineStr">
        <x:is>
          <x:t xml:space="preserve">ОП-001437</x:t>
        </x:is>
      </x:c>
      <x:c r="B1438" s="31" t="inlineStr">
        <x:is>
          <x:t xml:space="preserve">ПЗ-00173</x:t>
        </x:is>
      </x:c>
      <x:c r="C1438" s="31" t="inlineStr">
        <x:is>
          <x:t xml:space="preserve">ЗК-1082</x:t>
        </x:is>
      </x:c>
      <x:c r="D1438" s="31" t="inlineStr">
        <x:is>
          <x:t xml:space="preserve">ПОЗ-0082-3</x:t>
        </x:is>
      </x:c>
      <x:c r="E1438" s="31" t="inlineStr">
        <x:is>
          <x:t xml:space="preserve">ИЗД-010</x:t>
        </x:is>
      </x:c>
      <x:c r="F1438" s="31" t="n">
        <x:v>10</x:v>
      </x:c>
      <x:c r="G1438" s="31" t="inlineStr">
        <x:is>
          <x:t xml:space="preserve">КД</x:t>
        </x:is>
      </x:c>
      <x:c r="H1438" s="31" t="inlineStr">
        <x:is>
          <x:t xml:space="preserve">Инженерный отдел</x:t>
        </x:is>
      </x:c>
      <x:c r="I1438" s="31" t="n"/>
      <x:c r="J1438" s="31" t="inlineStr">
        <x:is>
          <x:t xml:space="preserve">СОТР-017</x:t>
        </x:is>
      </x:c>
      <x:c r="K1438" s="31" t="n">
        <x:v>23.1</x:v>
      </x:c>
      <x:c r="L1438" s="31" t="n">
        <x:v>25.9</x:v>
      </x:c>
      <x:c r="M1438" s="31" t="n">
        <x:v>46182</x:v>
      </x:c>
      <x:c r="N1438" s="31" t="n">
        <x:v>46184</x:v>
      </x:c>
      <x:c r="O1438" s="31" t="n">
        <x:v>46182</x:v>
      </x:c>
      <x:c r="P1438" s="31" t="n">
        <x:v>46185</x:v>
      </x:c>
      <x:c r="Q1438" s="31" t="inlineStr">
        <x:is>
          <x:t xml:space="preserve">Завершено</x:t>
        </x:is>
      </x:c>
      <x:c r="R1438" s="31" t="inlineStr">
        <x:is>
          <x:t xml:space="preserve">Нет</x:t>
        </x:is>
      </x:c>
      <x:c r="S1438" s="31" t="inlineStr">
        <x:is>
          <x:t xml:space="preserve">Нет</x:t>
        </x:is>
      </x:c>
    </x:row>
    <x:row r="1439">
      <x:c r="A1439" s="31" t="inlineStr">
        <x:is>
          <x:t xml:space="preserve">ОП-001438</x:t>
        </x:is>
      </x:c>
      <x:c r="B1439" s="31" t="inlineStr">
        <x:is>
          <x:t xml:space="preserve">ПЗ-00173</x:t>
        </x:is>
      </x:c>
      <x:c r="C1439" s="31" t="inlineStr">
        <x:is>
          <x:t xml:space="preserve">ЗК-1082</x:t>
        </x:is>
      </x:c>
      <x:c r="D1439" s="31" t="inlineStr">
        <x:is>
          <x:t xml:space="preserve">ПОЗ-0082-3</x:t>
        </x:is>
      </x:c>
      <x:c r="E1439" s="31" t="inlineStr">
        <x:is>
          <x:t xml:space="preserve">ИЗД-010</x:t>
        </x:is>
      </x:c>
      <x:c r="F1439" s="31" t="n">
        <x:v>20</x:v>
      </x:c>
      <x:c r="G1439" s="31" t="inlineStr">
        <x:is>
          <x:t xml:space="preserve">Комплектация</x:t>
        </x:is>
      </x:c>
      <x:c r="H1439" s="31" t="inlineStr">
        <x:is>
          <x:t xml:space="preserve">Склад</x:t>
        </x:is>
      </x:c>
      <x:c r="I1439" s="31" t="inlineStr">
        <x:is>
          <x:t xml:space="preserve">ОБ-025</x:t>
        </x:is>
      </x:c>
      <x:c r="J1439" s="31" t="inlineStr">
        <x:is>
          <x:t xml:space="preserve">СОТР-038</x:t>
        </x:is>
      </x:c>
      <x:c r="K1439" s="31" t="n">
        <x:v>17.4</x:v>
      </x:c>
      <x:c r="L1439" s="31" t="n">
        <x:v>21.7</x:v>
      </x:c>
      <x:c r="M1439" s="31" t="n">
        <x:v>46184</x:v>
      </x:c>
      <x:c r="N1439" s="31" t="n">
        <x:v>46186</x:v>
      </x:c>
      <x:c r="O1439" s="31" t="n">
        <x:v>46184</x:v>
      </x:c>
      <x:c r="P1439" s="31" t="n">
        <x:v>46187</x:v>
      </x:c>
      <x:c r="Q1439" s="31" t="inlineStr">
        <x:is>
          <x:t xml:space="preserve">Завершено</x:t>
        </x:is>
      </x:c>
      <x:c r="R1439" s="31" t="inlineStr">
        <x:is>
          <x:t xml:space="preserve">Нет</x:t>
        </x:is>
      </x:c>
      <x:c r="S1439" s="31" t="inlineStr">
        <x:is>
          <x:t xml:space="preserve">Нет</x:t>
        </x:is>
      </x:c>
    </x:row>
    <x:row r="1440">
      <x:c r="A1440" s="31" t="inlineStr">
        <x:is>
          <x:t xml:space="preserve">ОП-001439</x:t>
        </x:is>
      </x:c>
      <x:c r="B1440" s="31" t="inlineStr">
        <x:is>
          <x:t xml:space="preserve">ПЗ-00173</x:t>
        </x:is>
      </x:c>
      <x:c r="C1440" s="31" t="inlineStr">
        <x:is>
          <x:t xml:space="preserve">ЗК-1082</x:t>
        </x:is>
      </x:c>
      <x:c r="D1440" s="31" t="inlineStr">
        <x:is>
          <x:t xml:space="preserve">ПОЗ-0082-3</x:t>
        </x:is>
      </x:c>
      <x:c r="E1440" s="31" t="inlineStr">
        <x:is>
          <x:t xml:space="preserve">ИЗД-010</x:t>
        </x:is>
      </x:c>
      <x:c r="F1440" s="31" t="n">
        <x:v>30</x:v>
      </x:c>
      <x:c r="G1440" s="31" t="inlineStr">
        <x:is>
          <x:t xml:space="preserve">Сборка шкафа</x:t>
        </x:is>
      </x:c>
      <x:c r="H1440" s="31" t="inlineStr">
        <x:is>
          <x:t xml:space="preserve">Сборка</x:t>
        </x:is>
      </x:c>
      <x:c r="I1440" s="31" t="inlineStr">
        <x:is>
          <x:t xml:space="preserve">ОБ-020</x:t>
        </x:is>
      </x:c>
      <x:c r="J1440" s="31" t="inlineStr">
        <x:is>
          <x:t xml:space="preserve">СОТР-084</x:t>
        </x:is>
      </x:c>
      <x:c r="K1440" s="31" t="n">
        <x:v>18.3</x:v>
      </x:c>
      <x:c r="L1440" s="31" t="n">
        <x:v>24.4</x:v>
      </x:c>
      <x:c r="M1440" s="31" t="n">
        <x:v>46186</x:v>
      </x:c>
      <x:c r="N1440" s="31" t="n">
        <x:v>46188</x:v>
      </x:c>
      <x:c r="O1440" s="31" t="n">
        <x:v>46186</x:v>
      </x:c>
      <x:c r="P1440" s="31" t="n">
        <x:v>46187</x:v>
      </x:c>
      <x:c r="Q1440" s="31" t="inlineStr">
        <x:is>
          <x:t xml:space="preserve">Завершено</x:t>
        </x:is>
      </x:c>
      <x:c r="R1440" s="31" t="inlineStr">
        <x:is>
          <x:t xml:space="preserve">Нет</x:t>
        </x:is>
      </x:c>
      <x:c r="S1440" s="31" t="inlineStr">
        <x:is>
          <x:t xml:space="preserve">Нет</x:t>
        </x:is>
      </x:c>
    </x:row>
    <x:row r="1441">
      <x:c r="A1441" s="31" t="inlineStr">
        <x:is>
          <x:t xml:space="preserve">ОП-001440</x:t>
        </x:is>
      </x:c>
      <x:c r="B1441" s="31" t="inlineStr">
        <x:is>
          <x:t xml:space="preserve">ПЗ-00173</x:t>
        </x:is>
      </x:c>
      <x:c r="C1441" s="31" t="inlineStr">
        <x:is>
          <x:t xml:space="preserve">ЗК-1082</x:t>
        </x:is>
      </x:c>
      <x:c r="D1441" s="31" t="inlineStr">
        <x:is>
          <x:t xml:space="preserve">ПОЗ-0082-3</x:t>
        </x:is>
      </x:c>
      <x:c r="E1441" s="31" t="inlineStr">
        <x:is>
          <x:t xml:space="preserve">ИЗД-010</x:t>
        </x:is>
      </x:c>
      <x:c r="F1441" s="31" t="n">
        <x:v>40</x:v>
      </x:c>
      <x:c r="G1441" s="31" t="inlineStr">
        <x:is>
          <x:t xml:space="preserve">Маркировка</x:t>
        </x:is>
      </x:c>
      <x:c r="H1441" s="31" t="inlineStr">
        <x:is>
          <x:t xml:space="preserve">Сборка</x:t>
        </x:is>
      </x:c>
      <x:c r="I1441" s="31" t="inlineStr">
        <x:is>
          <x:t xml:space="preserve">ОБ-034</x:t>
        </x:is>
      </x:c>
      <x:c r="J1441" s="31" t="inlineStr">
        <x:is>
          <x:t xml:space="preserve">СОТР-079</x:t>
        </x:is>
      </x:c>
      <x:c r="K1441" s="31" t="n">
        <x:v>6.3</x:v>
      </x:c>
      <x:c r="L1441" s="31" t="n"/>
      <x:c r="M1441" s="31" t="n">
        <x:v>46188</x:v>
      </x:c>
      <x:c r="N1441" s="31" t="n">
        <x:v>46189</x:v>
      </x:c>
      <x:c r="O1441" s="31" t="n"/>
      <x:c r="P1441" s="31" t="n"/>
      <x:c r="Q1441" s="31" t="inlineStr">
        <x:is>
          <x:t xml:space="preserve">Запланировано</x:t>
        </x:is>
      </x:c>
      <x:c r="R1441" s="31" t="inlineStr">
        <x:is>
          <x:t xml:space="preserve">Материал</x:t>
        </x:is>
      </x:c>
      <x:c r="S1441" s="31" t="inlineStr">
        <x:is>
          <x:t xml:space="preserve">Нет</x:t>
        </x:is>
      </x:c>
    </x:row>
    <x:row r="1442">
      <x:c r="A1442" s="31" t="inlineStr">
        <x:is>
          <x:t xml:space="preserve">ОП-001441</x:t>
        </x:is>
      </x:c>
      <x:c r="B1442" s="31" t="inlineStr">
        <x:is>
          <x:t xml:space="preserve">ПЗ-00173</x:t>
        </x:is>
      </x:c>
      <x:c r="C1442" s="31" t="inlineStr">
        <x:is>
          <x:t xml:space="preserve">ЗК-1082</x:t>
        </x:is>
      </x:c>
      <x:c r="D1442" s="31" t="inlineStr">
        <x:is>
          <x:t xml:space="preserve">ПОЗ-0082-3</x:t>
        </x:is>
      </x:c>
      <x:c r="E1442" s="31" t="inlineStr">
        <x:is>
          <x:t xml:space="preserve">ИЗД-010</x:t>
        </x:is>
      </x:c>
      <x:c r="F1442" s="31" t="n">
        <x:v>50</x:v>
      </x:c>
      <x:c r="G1442" s="31" t="inlineStr">
        <x:is>
          <x:t xml:space="preserve">Электромонтаж</x:t>
        </x:is>
      </x:c>
      <x:c r="H1442" s="31" t="inlineStr">
        <x:is>
          <x:t xml:space="preserve">Сборка</x:t>
        </x:is>
      </x:c>
      <x:c r="I1442" s="31" t="inlineStr">
        <x:is>
          <x:t xml:space="preserve">ОБ-020</x:t>
        </x:is>
      </x:c>
      <x:c r="J1442" s="31" t="inlineStr">
        <x:is>
          <x:t xml:space="preserve">СОТР-083</x:t>
        </x:is>
      </x:c>
      <x:c r="K1442" s="31" t="n">
        <x:v>22.8</x:v>
      </x:c>
      <x:c r="L1442" s="31" t="n"/>
      <x:c r="M1442" s="31" t="n">
        <x:v>46189</x:v>
      </x:c>
      <x:c r="N1442" s="31" t="n">
        <x:v>46191</x:v>
      </x:c>
      <x:c r="O1442" s="31" t="n">
        <x:v>46189</x:v>
      </x:c>
      <x:c r="P1442" s="31" t="n"/>
      <x:c r="Q1442" s="31" t="inlineStr">
        <x:is>
          <x:t xml:space="preserve">В работе</x:t>
        </x:is>
      </x:c>
      <x:c r="R1442" s="31" t="inlineStr">
        <x:is>
          <x:t xml:space="preserve">Оборудование</x:t>
        </x:is>
      </x:c>
      <x:c r="S1442" s="31" t="inlineStr">
        <x:is>
          <x:t xml:space="preserve">Нет</x:t>
        </x:is>
      </x:c>
    </x:row>
    <x:row r="1443">
      <x:c r="A1443" s="31" t="inlineStr">
        <x:is>
          <x:t xml:space="preserve">ОП-001442</x:t>
        </x:is>
      </x:c>
      <x:c r="B1443" s="31" t="inlineStr">
        <x:is>
          <x:t xml:space="preserve">ПЗ-00173</x:t>
        </x:is>
      </x:c>
      <x:c r="C1443" s="31" t="inlineStr">
        <x:is>
          <x:t xml:space="preserve">ЗК-1082</x:t>
        </x:is>
      </x:c>
      <x:c r="D1443" s="31" t="inlineStr">
        <x:is>
          <x:t xml:space="preserve">ПОЗ-0082-3</x:t>
        </x:is>
      </x:c>
      <x:c r="E1443" s="31" t="inlineStr">
        <x:is>
          <x:t xml:space="preserve">ИЗД-010</x:t>
        </x:is>
      </x:c>
      <x:c r="F1443" s="31" t="n">
        <x:v>60</x:v>
      </x:c>
      <x:c r="G1443" s="31" t="inlineStr">
        <x:is>
          <x:t xml:space="preserve">Программирование ПЛК</x:t>
        </x:is>
      </x:c>
      <x:c r="H1443" s="31" t="inlineStr">
        <x:is>
          <x:t xml:space="preserve">Инженерный отдел</x:t>
        </x:is>
      </x:c>
      <x:c r="I1443" s="31" t="n"/>
      <x:c r="J1443" s="31" t="inlineStr">
        <x:is>
          <x:t xml:space="preserve">СОТР-017</x:t>
        </x:is>
      </x:c>
      <x:c r="K1443" s="31" t="n">
        <x:v>24.9</x:v>
      </x:c>
      <x:c r="L1443" s="31" t="n">
        <x:v>22.4</x:v>
      </x:c>
      <x:c r="M1443" s="31" t="n">
        <x:v>46191</x:v>
      </x:c>
      <x:c r="N1443" s="31" t="n">
        <x:v>46194</x:v>
      </x:c>
      <x:c r="O1443" s="31" t="n">
        <x:v>46191</x:v>
      </x:c>
      <x:c r="P1443" s="31" t="n">
        <x:v>46194</x:v>
      </x:c>
      <x:c r="Q1443" s="31" t="inlineStr">
        <x:is>
          <x:t xml:space="preserve">Завершено</x:t>
        </x:is>
      </x:c>
      <x:c r="R1443" s="31" t="inlineStr">
        <x:is>
          <x:t xml:space="preserve">Оборудование</x:t>
        </x:is>
      </x:c>
      <x:c r="S1443" s="31" t="inlineStr">
        <x:is>
          <x:t xml:space="preserve">Нет</x:t>
        </x:is>
      </x:c>
    </x:row>
    <x:row r="1444">
      <x:c r="A1444" s="31" t="inlineStr">
        <x:is>
          <x:t xml:space="preserve">ОП-001443</x:t>
        </x:is>
      </x:c>
      <x:c r="B1444" s="31" t="inlineStr">
        <x:is>
          <x:t xml:space="preserve">ПЗ-00173</x:t>
        </x:is>
      </x:c>
      <x:c r="C1444" s="31" t="inlineStr">
        <x:is>
          <x:t xml:space="preserve">ЗК-1082</x:t>
        </x:is>
      </x:c>
      <x:c r="D1444" s="31" t="inlineStr">
        <x:is>
          <x:t xml:space="preserve">ПОЗ-0082-3</x:t>
        </x:is>
      </x:c>
      <x:c r="E1444" s="31" t="inlineStr">
        <x:is>
          <x:t xml:space="preserve">ИЗД-010</x:t>
        </x:is>
      </x:c>
      <x:c r="F1444" s="31" t="n">
        <x:v>70</x:v>
      </x:c>
      <x:c r="G1444" s="31" t="inlineStr">
        <x:is>
          <x:t xml:space="preserve">Приемочные испытания</x:t>
        </x:is>
      </x:c>
      <x:c r="H1444" s="31" t="inlineStr">
        <x:is>
          <x:t xml:space="preserve">ОТК</x:t>
        </x:is>
      </x:c>
      <x:c r="I1444" s="31" t="inlineStr">
        <x:is>
          <x:t xml:space="preserve">ОБ-013</x:t>
        </x:is>
      </x:c>
      <x:c r="J1444" s="31" t="inlineStr">
        <x:is>
          <x:t xml:space="preserve">СОТР-096</x:t>
        </x:is>
      </x:c>
      <x:c r="K1444" s="31" t="n">
        <x:v>37.8</x:v>
      </x:c>
      <x:c r="L1444" s="31" t="n"/>
      <x:c r="M1444" s="31" t="n">
        <x:v>46194</x:v>
      </x:c>
      <x:c r="N1444" s="31" t="n">
        <x:v>46198</x:v>
      </x:c>
      <x:c r="O1444" s="31" t="n"/>
      <x:c r="P1444" s="31" t="n"/>
      <x:c r="Q1444" s="31" t="inlineStr">
        <x:is>
          <x:t xml:space="preserve">Запланировано</x:t>
        </x:is>
      </x:c>
      <x:c r="R1444" s="31" t="inlineStr">
        <x:is>
          <x:t xml:space="preserve">Нет</x:t>
        </x:is>
      </x:c>
      <x:c r="S1444" s="31" t="inlineStr">
        <x:is>
          <x:t xml:space="preserve">Нет</x:t>
        </x:is>
      </x:c>
    </x:row>
    <x:row r="1445">
      <x:c r="A1445" s="31" t="inlineStr">
        <x:is>
          <x:t xml:space="preserve">ОП-001444</x:t>
        </x:is>
      </x:c>
      <x:c r="B1445" s="31" t="inlineStr">
        <x:is>
          <x:t xml:space="preserve">ПЗ-00173</x:t>
        </x:is>
      </x:c>
      <x:c r="C1445" s="31" t="inlineStr">
        <x:is>
          <x:t xml:space="preserve">ЗК-1082</x:t>
        </x:is>
      </x:c>
      <x:c r="D1445" s="31" t="inlineStr">
        <x:is>
          <x:t xml:space="preserve">ПОЗ-0082-3</x:t>
        </x:is>
      </x:c>
      <x:c r="E1445" s="31" t="inlineStr">
        <x:is>
          <x:t xml:space="preserve">ИЗД-010</x:t>
        </x:is>
      </x:c>
      <x:c r="F1445" s="31" t="n">
        <x:v>80</x:v>
      </x:c>
      <x:c r="G1445" s="31" t="inlineStr">
        <x:is>
          <x:t xml:space="preserve">ОТК</x:t>
        </x:is>
      </x:c>
      <x:c r="H1445" s="31" t="inlineStr">
        <x:is>
          <x:t xml:space="preserve">ОТК</x:t>
        </x:is>
      </x:c>
      <x:c r="I1445" s="31" t="inlineStr">
        <x:is>
          <x:t xml:space="preserve">ОБ-015</x:t>
        </x:is>
      </x:c>
      <x:c r="J1445" s="31" t="inlineStr">
        <x:is>
          <x:t xml:space="preserve">СОТР-092</x:t>
        </x:is>
      </x:c>
      <x:c r="K1445" s="31" t="n">
        <x:v>27.3</x:v>
      </x:c>
      <x:c r="L1445" s="31" t="n"/>
      <x:c r="M1445" s="31" t="n">
        <x:v>46198</x:v>
      </x:c>
      <x:c r="N1445" s="31" t="n">
        <x:v>46201</x:v>
      </x:c>
      <x:c r="O1445" s="31" t="n"/>
      <x:c r="P1445" s="31" t="n"/>
      <x:c r="Q1445" s="31" t="inlineStr">
        <x:is>
          <x:t xml:space="preserve">Запланировано</x:t>
        </x:is>
      </x:c>
      <x:c r="R1445" s="31" t="inlineStr">
        <x:is>
          <x:t xml:space="preserve">Нет</x:t>
        </x:is>
      </x:c>
      <x:c r="S1445" s="31" t="inlineStr">
        <x:is>
          <x:t xml:space="preserve">Нет</x:t>
        </x:is>
      </x:c>
    </x:row>
    <x:row r="1446">
      <x:c r="A1446" s="31" t="inlineStr">
        <x:is>
          <x:t xml:space="preserve">ОП-001445</x:t>
        </x:is>
      </x:c>
      <x:c r="B1446" s="31" t="inlineStr">
        <x:is>
          <x:t xml:space="preserve">ПЗ-00173</x:t>
        </x:is>
      </x:c>
      <x:c r="C1446" s="31" t="inlineStr">
        <x:is>
          <x:t xml:space="preserve">ЗК-1082</x:t>
        </x:is>
      </x:c>
      <x:c r="D1446" s="31" t="inlineStr">
        <x:is>
          <x:t xml:space="preserve">ПОЗ-0082-3</x:t>
        </x:is>
      </x:c>
      <x:c r="E1446" s="31" t="inlineStr">
        <x:is>
          <x:t xml:space="preserve">ИЗД-010</x:t>
        </x:is>
      </x:c>
      <x:c r="F1446" s="31" t="n">
        <x:v>90</x:v>
      </x:c>
      <x:c r="G1446" s="31" t="inlineStr">
        <x:is>
          <x:t xml:space="preserve">Упаковка</x:t>
        </x:is>
      </x:c>
      <x:c r="H1446" s="31" t="inlineStr">
        <x:is>
          <x:t xml:space="preserve">Логистика</x:t>
        </x:is>
      </x:c>
      <x:c r="I1446" s="31" t="n"/>
      <x:c r="J1446" s="31" t="inlineStr">
        <x:is>
          <x:t xml:space="preserve">СОТР-105</x:t>
        </x:is>
      </x:c>
      <x:c r="K1446" s="31" t="n">
        <x:v>33.3</x:v>
      </x:c>
      <x:c r="L1446" s="31" t="n"/>
      <x:c r="M1446" s="31" t="n">
        <x:v>46201</x:v>
      </x:c>
      <x:c r="N1446" s="31" t="n">
        <x:v>46204</x:v>
      </x:c>
      <x:c r="O1446" s="31" t="n"/>
      <x:c r="P1446" s="31" t="n"/>
      <x:c r="Q1446" s="31" t="inlineStr">
        <x:is>
          <x:t xml:space="preserve">Запланировано</x:t>
        </x:is>
      </x:c>
      <x:c r="R1446" s="31" t="inlineStr">
        <x:is>
          <x:t xml:space="preserve">Нет</x:t>
        </x:is>
      </x:c>
      <x:c r="S1446" s="31" t="inlineStr">
        <x:is>
          <x:t xml:space="preserve">Нет</x:t>
        </x:is>
      </x:c>
    </x:row>
    <x:row r="1447">
      <x:c r="A1447" s="31" t="inlineStr">
        <x:is>
          <x:t xml:space="preserve">ОП-001446</x:t>
        </x:is>
      </x:c>
      <x:c r="B1447" s="31" t="inlineStr">
        <x:is>
          <x:t xml:space="preserve">ПЗ-00174</x:t>
        </x:is>
      </x:c>
      <x:c r="C1447" s="31" t="inlineStr">
        <x:is>
          <x:t xml:space="preserve">ЗК-1083</x:t>
        </x:is>
      </x:c>
      <x:c r="D1447" s="31" t="inlineStr">
        <x:is>
          <x:t xml:space="preserve">ПОЗ-0083-1</x:t>
        </x:is>
      </x:c>
      <x:c r="E1447" s="31" t="inlineStr">
        <x:is>
          <x:t xml:space="preserve">ИЗД-015</x:t>
        </x:is>
      </x:c>
      <x:c r="F1447" s="31" t="n">
        <x:v>10</x:v>
      </x:c>
      <x:c r="G1447" s="31" t="inlineStr">
        <x:is>
          <x:t xml:space="preserve">Комплектация</x:t>
        </x:is>
      </x:c>
      <x:c r="H1447" s="31" t="inlineStr">
        <x:is>
          <x:t xml:space="preserve">Склад</x:t>
        </x:is>
      </x:c>
      <x:c r="I1447" s="31" t="inlineStr">
        <x:is>
          <x:t xml:space="preserve">ОБ-023</x:t>
        </x:is>
      </x:c>
      <x:c r="J1447" s="31" t="inlineStr">
        <x:is>
          <x:t xml:space="preserve">СОТР-035</x:t>
        </x:is>
      </x:c>
      <x:c r="K1447" s="31" t="n">
        <x:v>20</x:v>
      </x:c>
      <x:c r="L1447" s="31" t="n">
        <x:v>17.5</x:v>
      </x:c>
      <x:c r="M1447" s="31" t="n">
        <x:v>46187</x:v>
      </x:c>
      <x:c r="N1447" s="31" t="n">
        <x:v>46189</x:v>
      </x:c>
      <x:c r="O1447" s="31" t="n">
        <x:v>46187</x:v>
      </x:c>
      <x:c r="P1447" s="31" t="n">
        <x:v>46188</x:v>
      </x:c>
      <x:c r="Q1447" s="31" t="inlineStr">
        <x:is>
          <x:t xml:space="preserve">Завершено</x:t>
        </x:is>
      </x:c>
      <x:c r="R1447" s="31" t="inlineStr">
        <x:is>
          <x:t xml:space="preserve">Нет</x:t>
        </x:is>
      </x:c>
      <x:c r="S1447" s="31" t="inlineStr">
        <x:is>
          <x:t xml:space="preserve">Нет</x:t>
        </x:is>
      </x:c>
    </x:row>
    <x:row r="1448">
      <x:c r="A1448" s="31" t="inlineStr">
        <x:is>
          <x:t xml:space="preserve">ОП-001447</x:t>
        </x:is>
      </x:c>
      <x:c r="B1448" s="31" t="inlineStr">
        <x:is>
          <x:t xml:space="preserve">ПЗ-00174</x:t>
        </x:is>
      </x:c>
      <x:c r="C1448" s="31" t="inlineStr">
        <x:is>
          <x:t xml:space="preserve">ЗК-1083</x:t>
        </x:is>
      </x:c>
      <x:c r="D1448" s="31" t="inlineStr">
        <x:is>
          <x:t xml:space="preserve">ПОЗ-0083-1</x:t>
        </x:is>
      </x:c>
      <x:c r="E1448" s="31" t="inlineStr">
        <x:is>
          <x:t xml:space="preserve">ИЗД-015</x:t>
        </x:is>
      </x:c>
      <x:c r="F1448" s="31" t="n">
        <x:v>20</x:v>
      </x:c>
      <x:c r="G1448" s="31" t="inlineStr">
        <x:is>
          <x:t xml:space="preserve">Проверка</x:t>
        </x:is>
      </x:c>
      <x:c r="H1448" s="31" t="inlineStr">
        <x:is>
          <x:t xml:space="preserve">ОТК</x:t>
        </x:is>
      </x:c>
      <x:c r="I1448" s="31" t="inlineStr">
        <x:is>
          <x:t xml:space="preserve">ОБ-013</x:t>
        </x:is>
      </x:c>
      <x:c r="J1448" s="31" t="inlineStr">
        <x:is>
          <x:t xml:space="preserve">СОТР-096</x:t>
        </x:is>
      </x:c>
      <x:c r="K1448" s="31" t="n">
        <x:v>48</x:v>
      </x:c>
      <x:c r="L1448" s="31" t="n">
        <x:v>50</x:v>
      </x:c>
      <x:c r="M1448" s="31" t="n">
        <x:v>46189</x:v>
      </x:c>
      <x:c r="N1448" s="31" t="n">
        <x:v>46193</x:v>
      </x:c>
      <x:c r="O1448" s="31" t="n">
        <x:v>46189</x:v>
      </x:c>
      <x:c r="P1448" s="31" t="n">
        <x:v>46193</x:v>
      </x:c>
      <x:c r="Q1448" s="31" t="inlineStr">
        <x:is>
          <x:t xml:space="preserve">Завершено</x:t>
        </x:is>
      </x:c>
      <x:c r="R1448" s="31" t="inlineStr">
        <x:is>
          <x:t xml:space="preserve">Нет</x:t>
        </x:is>
      </x:c>
      <x:c r="S1448" s="31" t="inlineStr">
        <x:is>
          <x:t xml:space="preserve">Нет</x:t>
        </x:is>
      </x:c>
    </x:row>
    <x:row r="1449">
      <x:c r="A1449" s="31" t="inlineStr">
        <x:is>
          <x:t xml:space="preserve">ОП-001448</x:t>
        </x:is>
      </x:c>
      <x:c r="B1449" s="31" t="inlineStr">
        <x:is>
          <x:t xml:space="preserve">ПЗ-00174</x:t>
        </x:is>
      </x:c>
      <x:c r="C1449" s="31" t="inlineStr">
        <x:is>
          <x:t xml:space="preserve">ЗК-1083</x:t>
        </x:is>
      </x:c>
      <x:c r="D1449" s="31" t="inlineStr">
        <x:is>
          <x:t xml:space="preserve">ПОЗ-0083-1</x:t>
        </x:is>
      </x:c>
      <x:c r="E1449" s="31" t="inlineStr">
        <x:is>
          <x:t xml:space="preserve">ИЗД-015</x:t>
        </x:is>
      </x:c>
      <x:c r="F1449" s="31" t="n">
        <x:v>30</x:v>
      </x:c>
      <x:c r="G1449" s="31" t="inlineStr">
        <x:is>
          <x:t xml:space="preserve">Упаковка</x:t>
        </x:is>
      </x:c>
      <x:c r="H1449" s="31" t="inlineStr">
        <x:is>
          <x:t xml:space="preserve">Логистика</x:t>
        </x:is>
      </x:c>
      <x:c r="I1449" s="31" t="n"/>
      <x:c r="J1449" s="31" t="inlineStr">
        <x:is>
          <x:t xml:space="preserve">СОТР-070</x:t>
        </x:is>
      </x:c>
      <x:c r="K1449" s="31" t="n">
        <x:v>36.8</x:v>
      </x:c>
      <x:c r="L1449" s="31" t="n"/>
      <x:c r="M1449" s="31" t="n">
        <x:v>46193</x:v>
      </x:c>
      <x:c r="N1449" s="31" t="n">
        <x:v>46197</x:v>
      </x:c>
      <x:c r="O1449" s="31" t="n"/>
      <x:c r="P1449" s="31" t="n"/>
      <x:c r="Q1449" s="31" t="inlineStr">
        <x:is>
          <x:t xml:space="preserve">Запланировано</x:t>
        </x:is>
      </x:c>
      <x:c r="R1449" s="31" t="inlineStr">
        <x:is>
          <x:t xml:space="preserve">Нет</x:t>
        </x:is>
      </x:c>
      <x:c r="S1449" s="31" t="inlineStr">
        <x:is>
          <x:t xml:space="preserve">Нет</x:t>
        </x:is>
      </x:c>
    </x:row>
    <x:row r="1450">
      <x:c r="A1450" s="31" t="inlineStr">
        <x:is>
          <x:t xml:space="preserve">ОП-001449</x:t>
        </x:is>
      </x:c>
      <x:c r="B1450" s="31" t="inlineStr">
        <x:is>
          <x:t xml:space="preserve">ПЗ-00174</x:t>
        </x:is>
      </x:c>
      <x:c r="C1450" s="31" t="inlineStr">
        <x:is>
          <x:t xml:space="preserve">ЗК-1083</x:t>
        </x:is>
      </x:c>
      <x:c r="D1450" s="31" t="inlineStr">
        <x:is>
          <x:t xml:space="preserve">ПОЗ-0083-1</x:t>
        </x:is>
      </x:c>
      <x:c r="E1450" s="31" t="inlineStr">
        <x:is>
          <x:t xml:space="preserve">ИЗД-015</x:t>
        </x:is>
      </x:c>
      <x:c r="F1450" s="31" t="n">
        <x:v>40</x:v>
      </x:c>
      <x:c r="G1450" s="31" t="inlineStr">
        <x:is>
          <x:t xml:space="preserve">ОТК</x:t>
        </x:is>
      </x:c>
      <x:c r="H1450" s="31" t="inlineStr">
        <x:is>
          <x:t xml:space="preserve">ОТК</x:t>
        </x:is>
      </x:c>
      <x:c r="I1450" s="31" t="inlineStr">
        <x:is>
          <x:t xml:space="preserve">ОБ-006</x:t>
        </x:is>
      </x:c>
      <x:c r="J1450" s="31" t="inlineStr">
        <x:is>
          <x:t xml:space="preserve">СОТР-095</x:t>
        </x:is>
      </x:c>
      <x:c r="K1450" s="31" t="n">
        <x:v>22.4</x:v>
      </x:c>
      <x:c r="L1450" s="31" t="n"/>
      <x:c r="M1450" s="31" t="n">
        <x:v>46197</x:v>
      </x:c>
      <x:c r="N1450" s="31" t="n">
        <x:v>46199</x:v>
      </x:c>
      <x:c r="O1450" s="31" t="n">
        <x:v>46197</x:v>
      </x:c>
      <x:c r="P1450" s="31" t="n"/>
      <x:c r="Q1450" s="31" t="inlineStr">
        <x:is>
          <x:t xml:space="preserve">В работе</x:t>
        </x:is>
      </x:c>
      <x:c r="R1450" s="31" t="inlineStr">
        <x:is>
          <x:t xml:space="preserve">Нет</x:t>
        </x:is>
      </x:c>
      <x:c r="S1450" s="31" t="inlineStr">
        <x:is>
          <x:t xml:space="preserve">Нет</x:t>
        </x:is>
      </x:c>
    </x:row>
    <x:row r="1451">
      <x:c r="A1451" s="31" t="inlineStr">
        <x:is>
          <x:t xml:space="preserve">ОП-001450</x:t>
        </x:is>
      </x:c>
      <x:c r="B1451" s="31" t="inlineStr">
        <x:is>
          <x:t xml:space="preserve">ПЗ-00175</x:t>
        </x:is>
      </x:c>
      <x:c r="C1451" s="31" t="inlineStr">
        <x:is>
          <x:t xml:space="preserve">ЗК-1083</x:t>
        </x:is>
      </x:c>
      <x:c r="D1451" s="31" t="inlineStr">
        <x:is>
          <x:t xml:space="preserve">ПОЗ-0083-2</x:t>
        </x:is>
      </x:c>
      <x:c r="E1451" s="31" t="inlineStr">
        <x:is>
          <x:t xml:space="preserve">ИЗД-043</x:t>
        </x:is>
      </x:c>
      <x:c r="F1451" s="31" t="n">
        <x:v>10</x:v>
      </x:c>
      <x:c r="G1451" s="31" t="inlineStr">
        <x:is>
          <x:t xml:space="preserve">КД</x:t>
        </x:is>
      </x:c>
      <x:c r="H1451" s="31" t="inlineStr">
        <x:is>
          <x:t xml:space="preserve">Инженерный отдел</x:t>
        </x:is>
      </x:c>
      <x:c r="I1451" s="31" t="n"/>
      <x:c r="J1451" s="31" t="inlineStr">
        <x:is>
          <x:t xml:space="preserve">СОТР-012</x:t>
        </x:is>
      </x:c>
      <x:c r="K1451" s="31" t="n">
        <x:v>32</x:v>
      </x:c>
      <x:c r="L1451" s="31" t="n"/>
      <x:c r="M1451" s="31" t="n">
        <x:v>46183</x:v>
      </x:c>
      <x:c r="N1451" s="31" t="n">
        <x:v>46186</x:v>
      </x:c>
      <x:c r="O1451" s="31" t="n"/>
      <x:c r="P1451" s="31" t="n"/>
      <x:c r="Q1451" s="31" t="inlineStr">
        <x:is>
          <x:t xml:space="preserve">Запланировано</x:t>
        </x:is>
      </x:c>
      <x:c r="R1451" s="31" t="inlineStr">
        <x:is>
          <x:t xml:space="preserve">Нет</x:t>
        </x:is>
      </x:c>
      <x:c r="S1451" s="31" t="inlineStr">
        <x:is>
          <x:t xml:space="preserve">Нет</x:t>
        </x:is>
      </x:c>
    </x:row>
    <x:row r="1452">
      <x:c r="A1452" s="31" t="inlineStr">
        <x:is>
          <x:t xml:space="preserve">ОП-001451</x:t>
        </x:is>
      </x:c>
      <x:c r="B1452" s="31" t="inlineStr">
        <x:is>
          <x:t xml:space="preserve">ПЗ-00175</x:t>
        </x:is>
      </x:c>
      <x:c r="C1452" s="31" t="inlineStr">
        <x:is>
          <x:t xml:space="preserve">ЗК-1083</x:t>
        </x:is>
      </x:c>
      <x:c r="D1452" s="31" t="inlineStr">
        <x:is>
          <x:t xml:space="preserve">ПОЗ-0083-2</x:t>
        </x:is>
      </x:c>
      <x:c r="E1452" s="31" t="inlineStr">
        <x:is>
          <x:t xml:space="preserve">ИЗД-043</x:t>
        </x:is>
      </x:c>
      <x:c r="F1452" s="31" t="n">
        <x:v>20</x:v>
      </x:c>
      <x:c r="G1452" s="31" t="inlineStr">
        <x:is>
          <x:t xml:space="preserve">Резерв материалов</x:t>
        </x:is>
      </x:c>
      <x:c r="H1452" s="31" t="inlineStr">
        <x:is>
          <x:t xml:space="preserve">Склад</x:t>
        </x:is>
      </x:c>
      <x:c r="I1452" s="31" t="inlineStr">
        <x:is>
          <x:t xml:space="preserve">ОБ-008</x:t>
        </x:is>
      </x:c>
      <x:c r="J1452" s="31" t="inlineStr">
        <x:is>
          <x:t xml:space="preserve">СОТР-039</x:t>
        </x:is>
      </x:c>
      <x:c r="K1452" s="31" t="n">
        <x:v>39.2</x:v>
      </x:c>
      <x:c r="L1452" s="31" t="n"/>
      <x:c r="M1452" s="31" t="n">
        <x:v>46186</x:v>
      </x:c>
      <x:c r="N1452" s="31" t="n">
        <x:v>46190</x:v>
      </x:c>
      <x:c r="O1452" s="31" t="n"/>
      <x:c r="P1452" s="31" t="n"/>
      <x:c r="Q1452" s="31" t="inlineStr">
        <x:is>
          <x:t xml:space="preserve">Запланировано</x:t>
        </x:is>
      </x:c>
      <x:c r="R1452" s="31" t="inlineStr">
        <x:is>
          <x:t xml:space="preserve">Нет</x:t>
        </x:is>
      </x:c>
      <x:c r="S1452" s="31" t="inlineStr">
        <x:is>
          <x:t xml:space="preserve">Нет</x:t>
        </x:is>
      </x:c>
    </x:row>
    <x:row r="1453">
      <x:c r="A1453" s="31" t="inlineStr">
        <x:is>
          <x:t xml:space="preserve">ОП-001452</x:t>
        </x:is>
      </x:c>
      <x:c r="B1453" s="31" t="inlineStr">
        <x:is>
          <x:t xml:space="preserve">ПЗ-00175</x:t>
        </x:is>
      </x:c>
      <x:c r="C1453" s="31" t="inlineStr">
        <x:is>
          <x:t xml:space="preserve">ЗК-1083</x:t>
        </x:is>
      </x:c>
      <x:c r="D1453" s="31" t="inlineStr">
        <x:is>
          <x:t xml:space="preserve">ПОЗ-0083-2</x:t>
        </x:is>
      </x:c>
      <x:c r="E1453" s="31" t="inlineStr">
        <x:is>
          <x:t xml:space="preserve">ИЗД-043</x:t>
        </x:is>
      </x:c>
      <x:c r="F1453" s="31" t="n">
        <x:v>30</x:v>
      </x:c>
      <x:c r="G1453" s="31" t="inlineStr">
        <x:is>
          <x:t xml:space="preserve">Резка металла</x:t>
        </x:is>
      </x:c>
      <x:c r="H1453" s="31" t="inlineStr">
        <x:is>
          <x:t xml:space="preserve">Сварка</x:t>
        </x:is>
      </x:c>
      <x:c r="I1453" s="31" t="inlineStr">
        <x:is>
          <x:t xml:space="preserve">ОБ-004</x:t>
        </x:is>
      </x:c>
      <x:c r="J1453" s="31" t="inlineStr">
        <x:is>
          <x:t xml:space="preserve">СОТР-062</x:t>
        </x:is>
      </x:c>
      <x:c r="K1453" s="31" t="n">
        <x:v>45.6</x:v>
      </x:c>
      <x:c r="L1453" s="31" t="n"/>
      <x:c r="M1453" s="31" t="n">
        <x:v>46190</x:v>
      </x:c>
      <x:c r="N1453" s="31" t="n">
        <x:v>46194</x:v>
      </x:c>
      <x:c r="O1453" s="31" t="n"/>
      <x:c r="P1453" s="31" t="n"/>
      <x:c r="Q1453" s="31" t="inlineStr">
        <x:is>
          <x:t xml:space="preserve">Запланировано</x:t>
        </x:is>
      </x:c>
      <x:c r="R1453" s="31" t="inlineStr">
        <x:is>
          <x:t xml:space="preserve">Нет</x:t>
        </x:is>
      </x:c>
      <x:c r="S1453" s="31" t="inlineStr">
        <x:is>
          <x:t xml:space="preserve">Нет</x:t>
        </x:is>
      </x:c>
    </x:row>
    <x:row r="1454">
      <x:c r="A1454" s="31" t="inlineStr">
        <x:is>
          <x:t xml:space="preserve">ОП-001453</x:t>
        </x:is>
      </x:c>
      <x:c r="B1454" s="31" t="inlineStr">
        <x:is>
          <x:t xml:space="preserve">ПЗ-00175</x:t>
        </x:is>
      </x:c>
      <x:c r="C1454" s="31" t="inlineStr">
        <x:is>
          <x:t xml:space="preserve">ЗК-1083</x:t>
        </x:is>
      </x:c>
      <x:c r="D1454" s="31" t="inlineStr">
        <x:is>
          <x:t xml:space="preserve">ПОЗ-0083-2</x:t>
        </x:is>
      </x:c>
      <x:c r="E1454" s="31" t="inlineStr">
        <x:is>
          <x:t xml:space="preserve">ИЗД-043</x:t>
        </x:is>
      </x:c>
      <x:c r="F1454" s="31" t="n">
        <x:v>40</x:v>
      </x:c>
      <x:c r="G1454" s="31" t="inlineStr">
        <x:is>
          <x:t xml:space="preserve">Сварка рамы</x:t>
        </x:is>
      </x:c>
      <x:c r="H1454" s="31" t="inlineStr">
        <x:is>
          <x:t xml:space="preserve">Сварка</x:t>
        </x:is>
      </x:c>
      <x:c r="I1454" s="31" t="inlineStr">
        <x:is>
          <x:t xml:space="preserve">ОБ-021</x:t>
        </x:is>
      </x:c>
      <x:c r="J1454" s="31" t="inlineStr">
        <x:is>
          <x:t xml:space="preserve">СОТР-060</x:t>
        </x:is>
      </x:c>
      <x:c r="K1454" s="31" t="n">
        <x:v>16</x:v>
      </x:c>
      <x:c r="L1454" s="31" t="n"/>
      <x:c r="M1454" s="31" t="n">
        <x:v>46194</x:v>
      </x:c>
      <x:c r="N1454" s="31" t="n">
        <x:v>46196</x:v>
      </x:c>
      <x:c r="O1454" s="31" t="n"/>
      <x:c r="P1454" s="31" t="n"/>
      <x:c r="Q1454" s="31" t="inlineStr">
        <x:is>
          <x:t xml:space="preserve">Запланировано</x:t>
        </x:is>
      </x:c>
      <x:c r="R1454" s="31" t="inlineStr">
        <x:is>
          <x:t xml:space="preserve">Нет</x:t>
        </x:is>
      </x:c>
      <x:c r="S1454" s="31" t="inlineStr">
        <x:is>
          <x:t xml:space="preserve">Нет</x:t>
        </x:is>
      </x:c>
    </x:row>
    <x:row r="1455">
      <x:c r="A1455" s="31" t="inlineStr">
        <x:is>
          <x:t xml:space="preserve">ОП-001454</x:t>
        </x:is>
      </x:c>
      <x:c r="B1455" s="31" t="inlineStr">
        <x:is>
          <x:t xml:space="preserve">ПЗ-00175</x:t>
        </x:is>
      </x:c>
      <x:c r="C1455" s="31" t="inlineStr">
        <x:is>
          <x:t xml:space="preserve">ЗК-1083</x:t>
        </x:is>
      </x:c>
      <x:c r="D1455" s="31" t="inlineStr">
        <x:is>
          <x:t xml:space="preserve">ПОЗ-0083-2</x:t>
        </x:is>
      </x:c>
      <x:c r="E1455" s="31" t="inlineStr">
        <x:is>
          <x:t xml:space="preserve">ИЗД-043</x:t>
        </x:is>
      </x:c>
      <x:c r="F1455" s="31" t="n">
        <x:v>50</x:v>
      </x:c>
      <x:c r="G1455" s="31" t="inlineStr">
        <x:is>
          <x:t xml:space="preserve">Механообработка</x:t>
        </x:is>
      </x:c>
      <x:c r="H1455" s="31" t="inlineStr">
        <x:is>
          <x:t xml:space="preserve">Механообработка</x:t>
        </x:is>
      </x:c>
      <x:c r="I1455" s="31" t="inlineStr">
        <x:is>
          <x:t xml:space="preserve">ОБ-031</x:t>
        </x:is>
      </x:c>
      <x:c r="J1455" s="31" t="inlineStr">
        <x:is>
          <x:t xml:space="preserve">СОТР-040</x:t>
        </x:is>
      </x:c>
      <x:c r="K1455" s="31" t="n">
        <x:v>40</x:v>
      </x:c>
      <x:c r="L1455" s="31" t="n"/>
      <x:c r="M1455" s="31" t="n">
        <x:v>46196</x:v>
      </x:c>
      <x:c r="N1455" s="31" t="n">
        <x:v>46200</x:v>
      </x:c>
      <x:c r="O1455" s="31" t="n"/>
      <x:c r="P1455" s="31" t="n"/>
      <x:c r="Q1455" s="31" t="inlineStr">
        <x:is>
          <x:t xml:space="preserve">Запланировано</x:t>
        </x:is>
      </x:c>
      <x:c r="R1455" s="31" t="inlineStr">
        <x:is>
          <x:t xml:space="preserve">Нет</x:t>
        </x:is>
      </x:c>
      <x:c r="S1455" s="31" t="inlineStr">
        <x:is>
          <x:t xml:space="preserve">Нет</x:t>
        </x:is>
      </x:c>
    </x:row>
    <x:row r="1456">
      <x:c r="A1456" s="31" t="inlineStr">
        <x:is>
          <x:t xml:space="preserve">ОП-001455</x:t>
        </x:is>
      </x:c>
      <x:c r="B1456" s="31" t="inlineStr">
        <x:is>
          <x:t xml:space="preserve">ПЗ-00175</x:t>
        </x:is>
      </x:c>
      <x:c r="C1456" s="31" t="inlineStr">
        <x:is>
          <x:t xml:space="preserve">ЗК-1083</x:t>
        </x:is>
      </x:c>
      <x:c r="D1456" s="31" t="inlineStr">
        <x:is>
          <x:t xml:space="preserve">ПОЗ-0083-2</x:t>
        </x:is>
      </x:c>
      <x:c r="E1456" s="31" t="inlineStr">
        <x:is>
          <x:t xml:space="preserve">ИЗД-043</x:t>
        </x:is>
      </x:c>
      <x:c r="F1456" s="31" t="n">
        <x:v>60</x:v>
      </x:c>
      <x:c r="G1456" s="31" t="inlineStr">
        <x:is>
          <x:t xml:space="preserve">Сборка</x:t>
        </x:is>
      </x:c>
      <x:c r="H1456" s="31" t="inlineStr">
        <x:is>
          <x:t xml:space="preserve">Сборка</x:t>
        </x:is>
      </x:c>
      <x:c r="I1456" s="31" t="inlineStr">
        <x:is>
          <x:t xml:space="preserve">ОБ-014</x:t>
        </x:is>
      </x:c>
      <x:c r="J1456" s="31" t="inlineStr">
        <x:is>
          <x:t xml:space="preserve">СОТР-032</x:t>
        </x:is>
      </x:c>
      <x:c r="K1456" s="31" t="n">
        <x:v>59.6</x:v>
      </x:c>
      <x:c r="L1456" s="31" t="n"/>
      <x:c r="M1456" s="31" t="n">
        <x:v>46200</x:v>
      </x:c>
      <x:c r="N1456" s="31" t="n">
        <x:v>46205</x:v>
      </x:c>
      <x:c r="O1456" s="31" t="n"/>
      <x:c r="P1456" s="31" t="n"/>
      <x:c r="Q1456" s="31" t="inlineStr">
        <x:is>
          <x:t xml:space="preserve">Запланировано</x:t>
        </x:is>
      </x:c>
      <x:c r="R1456" s="31" t="inlineStr">
        <x:is>
          <x:t xml:space="preserve">Нет</x:t>
        </x:is>
      </x:c>
      <x:c r="S1456" s="31" t="inlineStr">
        <x:is>
          <x:t xml:space="preserve">Нет</x:t>
        </x:is>
      </x:c>
    </x:row>
    <x:row r="1457">
      <x:c r="A1457" s="31" t="inlineStr">
        <x:is>
          <x:t xml:space="preserve">ОП-001456</x:t>
        </x:is>
      </x:c>
      <x:c r="B1457" s="31" t="inlineStr">
        <x:is>
          <x:t xml:space="preserve">ПЗ-00175</x:t>
        </x:is>
      </x:c>
      <x:c r="C1457" s="31" t="inlineStr">
        <x:is>
          <x:t xml:space="preserve">ЗК-1083</x:t>
        </x:is>
      </x:c>
      <x:c r="D1457" s="31" t="inlineStr">
        <x:is>
          <x:t xml:space="preserve">ПОЗ-0083-2</x:t>
        </x:is>
      </x:c>
      <x:c r="E1457" s="31" t="inlineStr">
        <x:is>
          <x:t xml:space="preserve">ИЗД-043</x:t>
        </x:is>
      </x:c>
      <x:c r="F1457" s="31" t="n">
        <x:v>70</x:v>
      </x:c>
      <x:c r="G1457" s="31" t="inlineStr">
        <x:is>
          <x:t xml:space="preserve">Электромонтаж</x:t>
        </x:is>
      </x:c>
      <x:c r="H1457" s="31" t="inlineStr">
        <x:is>
          <x:t xml:space="preserve">Сборка</x:t>
        </x:is>
      </x:c>
      <x:c r="I1457" s="31" t="inlineStr">
        <x:is>
          <x:t xml:space="preserve">ОБ-020</x:t>
        </x:is>
      </x:c>
      <x:c r="J1457" s="31" t="inlineStr">
        <x:is>
          <x:t xml:space="preserve">СОТР-079</x:t>
        </x:is>
      </x:c>
      <x:c r="K1457" s="31" t="n">
        <x:v>42</x:v>
      </x:c>
      <x:c r="L1457" s="31" t="n"/>
      <x:c r="M1457" s="31" t="n">
        <x:v>46205</x:v>
      </x:c>
      <x:c r="N1457" s="31" t="n">
        <x:v>46209</x:v>
      </x:c>
      <x:c r="O1457" s="31" t="n"/>
      <x:c r="P1457" s="31" t="n"/>
      <x:c r="Q1457" s="31" t="inlineStr">
        <x:is>
          <x:t xml:space="preserve">Запланировано</x:t>
        </x:is>
      </x:c>
      <x:c r="R1457" s="31" t="inlineStr">
        <x:is>
          <x:t xml:space="preserve">Нет</x:t>
        </x:is>
      </x:c>
      <x:c r="S1457" s="31" t="inlineStr">
        <x:is>
          <x:t xml:space="preserve">Нет</x:t>
        </x:is>
      </x:c>
    </x:row>
    <x:row r="1458">
      <x:c r="A1458" s="31" t="inlineStr">
        <x:is>
          <x:t xml:space="preserve">ОП-001457</x:t>
        </x:is>
      </x:c>
      <x:c r="B1458" s="31" t="inlineStr">
        <x:is>
          <x:t xml:space="preserve">ПЗ-00175</x:t>
        </x:is>
      </x:c>
      <x:c r="C1458" s="31" t="inlineStr">
        <x:is>
          <x:t xml:space="preserve">ЗК-1083</x:t>
        </x:is>
      </x:c>
      <x:c r="D1458" s="31" t="inlineStr">
        <x:is>
          <x:t xml:space="preserve">ПОЗ-0083-2</x:t>
        </x:is>
      </x:c>
      <x:c r="E1458" s="31" t="inlineStr">
        <x:is>
          <x:t xml:space="preserve">ИЗД-043</x:t>
        </x:is>
      </x:c>
      <x:c r="F1458" s="31" t="n">
        <x:v>80</x:v>
      </x:c>
      <x:c r="G1458" s="31" t="inlineStr">
        <x:is>
          <x:t xml:space="preserve">Гидроиспытания</x:t>
        </x:is>
      </x:c>
      <x:c r="H1458" s="31" t="inlineStr">
        <x:is>
          <x:t xml:space="preserve">ОТК</x:t>
        </x:is>
      </x:c>
      <x:c r="I1458" s="31" t="inlineStr">
        <x:is>
          <x:t xml:space="preserve">ОБ-028</x:t>
        </x:is>
      </x:c>
      <x:c r="J1458" s="31" t="inlineStr">
        <x:is>
          <x:t xml:space="preserve">СОТР-092</x:t>
        </x:is>
      </x:c>
      <x:c r="K1458" s="31" t="n">
        <x:v>30.8</x:v>
      </x:c>
      <x:c r="L1458" s="31" t="n"/>
      <x:c r="M1458" s="31" t="n">
        <x:v>46209</x:v>
      </x:c>
      <x:c r="N1458" s="31" t="n">
        <x:v>46212</x:v>
      </x:c>
      <x:c r="O1458" s="31" t="n"/>
      <x:c r="P1458" s="31" t="n"/>
      <x:c r="Q1458" s="31" t="inlineStr">
        <x:is>
          <x:t xml:space="preserve">Запланировано</x:t>
        </x:is>
      </x:c>
      <x:c r="R1458" s="31" t="inlineStr">
        <x:is>
          <x:t xml:space="preserve">Нет</x:t>
        </x:is>
      </x:c>
      <x:c r="S1458" s="31" t="inlineStr">
        <x:is>
          <x:t xml:space="preserve">Нет</x:t>
        </x:is>
      </x:c>
    </x:row>
    <x:row r="1459">
      <x:c r="A1459" s="31" t="inlineStr">
        <x:is>
          <x:t xml:space="preserve">ОП-001458</x:t>
        </x:is>
      </x:c>
      <x:c r="B1459" s="31" t="inlineStr">
        <x:is>
          <x:t xml:space="preserve">ПЗ-00175</x:t>
        </x:is>
      </x:c>
      <x:c r="C1459" s="31" t="inlineStr">
        <x:is>
          <x:t xml:space="preserve">ЗК-1083</x:t>
        </x:is>
      </x:c>
      <x:c r="D1459" s="31" t="inlineStr">
        <x:is>
          <x:t xml:space="preserve">ПОЗ-0083-2</x:t>
        </x:is>
      </x:c>
      <x:c r="E1459" s="31" t="inlineStr">
        <x:is>
          <x:t xml:space="preserve">ИЗД-043</x:t>
        </x:is>
      </x:c>
      <x:c r="F1459" s="31" t="n">
        <x:v>90</x:v>
      </x:c>
      <x:c r="G1459" s="31" t="inlineStr">
        <x:is>
          <x:t xml:space="preserve">ОТК</x:t>
        </x:is>
      </x:c>
      <x:c r="H1459" s="31" t="inlineStr">
        <x:is>
          <x:t xml:space="preserve">ОТК</x:t>
        </x:is>
      </x:c>
      <x:c r="I1459" s="31" t="inlineStr">
        <x:is>
          <x:t xml:space="preserve">ОБ-032</x:t>
        </x:is>
      </x:c>
      <x:c r="J1459" s="31" t="inlineStr">
        <x:is>
          <x:t xml:space="preserve">СОТР-095</x:t>
        </x:is>
      </x:c>
      <x:c r="K1459" s="31" t="n">
        <x:v>39.6</x:v>
      </x:c>
      <x:c r="L1459" s="31" t="n"/>
      <x:c r="M1459" s="31" t="n">
        <x:v>46212</x:v>
      </x:c>
      <x:c r="N1459" s="31" t="n">
        <x:v>46216</x:v>
      </x:c>
      <x:c r="O1459" s="31" t="n"/>
      <x:c r="P1459" s="31" t="n"/>
      <x:c r="Q1459" s="31" t="inlineStr">
        <x:is>
          <x:t xml:space="preserve">Запланировано</x:t>
        </x:is>
      </x:c>
      <x:c r="R1459" s="31" t="inlineStr">
        <x:is>
          <x:t xml:space="preserve">Нет</x:t>
        </x:is>
      </x:c>
      <x:c r="S1459" s="31" t="inlineStr">
        <x:is>
          <x:t xml:space="preserve">Нет</x:t>
        </x:is>
      </x:c>
    </x:row>
    <x:row r="1460">
      <x:c r="A1460" s="31" t="inlineStr">
        <x:is>
          <x:t xml:space="preserve">ОП-001459</x:t>
        </x:is>
      </x:c>
      <x:c r="B1460" s="31" t="inlineStr">
        <x:is>
          <x:t xml:space="preserve">ПЗ-00175</x:t>
        </x:is>
      </x:c>
      <x:c r="C1460" s="31" t="inlineStr">
        <x:is>
          <x:t xml:space="preserve">ЗК-1083</x:t>
        </x:is>
      </x:c>
      <x:c r="D1460" s="31" t="inlineStr">
        <x:is>
          <x:t xml:space="preserve">ПОЗ-0083-2</x:t>
        </x:is>
      </x:c>
      <x:c r="E1460" s="31" t="inlineStr">
        <x:is>
          <x:t xml:space="preserve">ИЗД-043</x:t>
        </x:is>
      </x:c>
      <x:c r="F1460" s="31" t="n">
        <x:v>100</x:v>
      </x:c>
      <x:c r="G1460" s="31" t="inlineStr">
        <x:is>
          <x:t xml:space="preserve">Упаковка</x:t>
        </x:is>
      </x:c>
      <x:c r="H1460" s="31" t="inlineStr">
        <x:is>
          <x:t xml:space="preserve">Логистика</x:t>
        </x:is>
      </x:c>
      <x:c r="I1460" s="31" t="n"/>
      <x:c r="J1460" s="31" t="inlineStr">
        <x:is>
          <x:t xml:space="preserve">СОТР-101</x:t>
        </x:is>
      </x:c>
      <x:c r="K1460" s="31" t="n">
        <x:v>26.8</x:v>
      </x:c>
      <x:c r="L1460" s="31" t="n"/>
      <x:c r="M1460" s="31" t="n">
        <x:v>46216</x:v>
      </x:c>
      <x:c r="N1460" s="31" t="n">
        <x:v>46219</x:v>
      </x:c>
      <x:c r="O1460" s="31" t="n"/>
      <x:c r="P1460" s="31" t="n"/>
      <x:c r="Q1460" s="31" t="inlineStr">
        <x:is>
          <x:t xml:space="preserve">Запланировано</x:t>
        </x:is>
      </x:c>
      <x:c r="R1460" s="31" t="inlineStr">
        <x:is>
          <x:t xml:space="preserve">Нет</x:t>
        </x:is>
      </x:c>
      <x:c r="S1460" s="31" t="inlineStr">
        <x:is>
          <x:t xml:space="preserve">Да</x:t>
        </x:is>
      </x:c>
    </x:row>
    <x:row r="1461">
      <x:c r="A1461" s="31" t="inlineStr">
        <x:is>
          <x:t xml:space="preserve">ОП-001460</x:t>
        </x:is>
      </x:c>
      <x:c r="B1461" s="31" t="inlineStr">
        <x:is>
          <x:t xml:space="preserve">ПЗ-00176</x:t>
        </x:is>
      </x:c>
      <x:c r="C1461" s="31" t="inlineStr">
        <x:is>
          <x:t xml:space="preserve">ЗК-1083</x:t>
        </x:is>
      </x:c>
      <x:c r="D1461" s="31" t="inlineStr">
        <x:is>
          <x:t xml:space="preserve">ПОЗ-0083-3</x:t>
        </x:is>
      </x:c>
      <x:c r="E1461" s="31" t="inlineStr">
        <x:is>
          <x:t xml:space="preserve">ИЗД-014</x:t>
        </x:is>
      </x:c>
      <x:c r="F1461" s="31" t="n">
        <x:v>10</x:v>
      </x:c>
      <x:c r="G1461" s="31" t="inlineStr">
        <x:is>
          <x:t xml:space="preserve">КД</x:t>
        </x:is>
      </x:c>
      <x:c r="H1461" s="31" t="inlineStr">
        <x:is>
          <x:t xml:space="preserve">Инженерный отдел</x:t>
        </x:is>
      </x:c>
      <x:c r="I1461" s="31" t="n"/>
      <x:c r="J1461" s="31" t="inlineStr">
        <x:is>
          <x:t xml:space="preserve">СОТР-012</x:t>
        </x:is>
      </x:c>
      <x:c r="K1461" s="31" t="n">
        <x:v>44.4</x:v>
      </x:c>
      <x:c r="L1461" s="31" t="n">
        <x:v>36.2</x:v>
      </x:c>
      <x:c r="M1461" s="31" t="n">
        <x:v>46194</x:v>
      </x:c>
      <x:c r="N1461" s="31" t="n">
        <x:v>46198</x:v>
      </x:c>
      <x:c r="O1461" s="31" t="n">
        <x:v>46194</x:v>
      </x:c>
      <x:c r="P1461" s="31" t="n">
        <x:v>46198</x:v>
      </x:c>
      <x:c r="Q1461" s="31" t="inlineStr">
        <x:is>
          <x:t xml:space="preserve">Завершено</x:t>
        </x:is>
      </x:c>
      <x:c r="R1461" s="31" t="inlineStr">
        <x:is>
          <x:t xml:space="preserve">Нет</x:t>
        </x:is>
      </x:c>
      <x:c r="S1461" s="31" t="inlineStr">
        <x:is>
          <x:t xml:space="preserve">Нет</x:t>
        </x:is>
      </x:c>
    </x:row>
    <x:row r="1462">
      <x:c r="A1462" s="31" t="inlineStr">
        <x:is>
          <x:t xml:space="preserve">ОП-001461</x:t>
        </x:is>
      </x:c>
      <x:c r="B1462" s="31" t="inlineStr">
        <x:is>
          <x:t xml:space="preserve">ПЗ-00176</x:t>
        </x:is>
      </x:c>
      <x:c r="C1462" s="31" t="inlineStr">
        <x:is>
          <x:t xml:space="preserve">ЗК-1083</x:t>
        </x:is>
      </x:c>
      <x:c r="D1462" s="31" t="inlineStr">
        <x:is>
          <x:t xml:space="preserve">ПОЗ-0083-3</x:t>
        </x:is>
      </x:c>
      <x:c r="E1462" s="31" t="inlineStr">
        <x:is>
          <x:t xml:space="preserve">ИЗД-014</x:t>
        </x:is>
      </x:c>
      <x:c r="F1462" s="31" t="n">
        <x:v>20</x:v>
      </x:c>
      <x:c r="G1462" s="31" t="inlineStr">
        <x:is>
          <x:t xml:space="preserve">Резка металла</x:t>
        </x:is>
      </x:c>
      <x:c r="H1462" s="31" t="inlineStr">
        <x:is>
          <x:t xml:space="preserve">Сварка</x:t>
        </x:is>
      </x:c>
      <x:c r="I1462" s="31" t="inlineStr">
        <x:is>
          <x:t xml:space="preserve">ОБ-003</x:t>
        </x:is>
      </x:c>
      <x:c r="J1462" s="31" t="inlineStr">
        <x:is>
          <x:t xml:space="preserve">СОТР-061</x:t>
        </x:is>
      </x:c>
      <x:c r="K1462" s="31" t="n">
        <x:v>33.6</x:v>
      </x:c>
      <x:c r="L1462" s="31" t="n">
        <x:v>31.6</x:v>
      </x:c>
      <x:c r="M1462" s="31" t="n">
        <x:v>46198</x:v>
      </x:c>
      <x:c r="N1462" s="31" t="n">
        <x:v>46201</x:v>
      </x:c>
      <x:c r="O1462" s="31" t="n">
        <x:v>46198</x:v>
      </x:c>
      <x:c r="P1462" s="31" t="n">
        <x:v>46200</x:v>
      </x:c>
      <x:c r="Q1462" s="31" t="inlineStr">
        <x:is>
          <x:t xml:space="preserve">Завершено</x:t>
        </x:is>
      </x:c>
      <x:c r="R1462" s="31" t="inlineStr">
        <x:is>
          <x:t xml:space="preserve">Нет</x:t>
        </x:is>
      </x:c>
      <x:c r="S1462" s="31" t="inlineStr">
        <x:is>
          <x:t xml:space="preserve">Нет</x:t>
        </x:is>
      </x:c>
    </x:row>
    <x:row r="1463">
      <x:c r="A1463" s="31" t="inlineStr">
        <x:is>
          <x:t xml:space="preserve">ОП-001462</x:t>
        </x:is>
      </x:c>
      <x:c r="B1463" s="31" t="inlineStr">
        <x:is>
          <x:t xml:space="preserve">ПЗ-00176</x:t>
        </x:is>
      </x:c>
      <x:c r="C1463" s="31" t="inlineStr">
        <x:is>
          <x:t xml:space="preserve">ЗК-1083</x:t>
        </x:is>
      </x:c>
      <x:c r="D1463" s="31" t="inlineStr">
        <x:is>
          <x:t xml:space="preserve">ПОЗ-0083-3</x:t>
        </x:is>
      </x:c>
      <x:c r="E1463" s="31" t="inlineStr">
        <x:is>
          <x:t xml:space="preserve">ИЗД-014</x:t>
        </x:is>
      </x:c>
      <x:c r="F1463" s="31" t="n">
        <x:v>30</x:v>
      </x:c>
      <x:c r="G1463" s="31" t="inlineStr">
        <x:is>
          <x:t xml:space="preserve">Сварка рамы</x:t>
        </x:is>
      </x:c>
      <x:c r="H1463" s="31" t="inlineStr">
        <x:is>
          <x:t xml:space="preserve">Сварка</x:t>
        </x:is>
      </x:c>
      <x:c r="I1463" s="31" t="inlineStr">
        <x:is>
          <x:t xml:space="preserve">ОБ-019</x:t>
        </x:is>
      </x:c>
      <x:c r="J1463" s="31" t="inlineStr">
        <x:is>
          <x:t xml:space="preserve">СОТР-056</x:t>
        </x:is>
      </x:c>
      <x:c r="K1463" s="31" t="n">
        <x:v>68.8</x:v>
      </x:c>
      <x:c r="L1463" s="31" t="n">
        <x:v>92.2</x:v>
      </x:c>
      <x:c r="M1463" s="31" t="n">
        <x:v>46201</x:v>
      </x:c>
      <x:c r="N1463" s="31" t="n">
        <x:v>46207</x:v>
      </x:c>
      <x:c r="O1463" s="31" t="n">
        <x:v>46201</x:v>
      </x:c>
      <x:c r="P1463" s="31" t="n">
        <x:v>46206</x:v>
      </x:c>
      <x:c r="Q1463" s="31" t="inlineStr">
        <x:is>
          <x:t xml:space="preserve">Завершено</x:t>
        </x:is>
      </x:c>
      <x:c r="R1463" s="31" t="inlineStr">
        <x:is>
          <x:t xml:space="preserve">Нет</x:t>
        </x:is>
      </x:c>
      <x:c r="S1463" s="31" t="inlineStr">
        <x:is>
          <x:t xml:space="preserve">Да</x:t>
        </x:is>
      </x:c>
    </x:row>
    <x:row r="1464">
      <x:c r="A1464" s="31" t="inlineStr">
        <x:is>
          <x:t xml:space="preserve">ОП-001463</x:t>
        </x:is>
      </x:c>
      <x:c r="B1464" s="31" t="inlineStr">
        <x:is>
          <x:t xml:space="preserve">ПЗ-00176</x:t>
        </x:is>
      </x:c>
      <x:c r="C1464" s="31" t="inlineStr">
        <x:is>
          <x:t xml:space="preserve">ЗК-1083</x:t>
        </x:is>
      </x:c>
      <x:c r="D1464" s="31" t="inlineStr">
        <x:is>
          <x:t xml:space="preserve">ПОЗ-0083-3</x:t>
        </x:is>
      </x:c>
      <x:c r="E1464" s="31" t="inlineStr">
        <x:is>
          <x:t xml:space="preserve">ИЗД-014</x:t>
        </x:is>
      </x:c>
      <x:c r="F1464" s="31" t="n">
        <x:v>40</x:v>
      </x:c>
      <x:c r="G1464" s="31" t="inlineStr">
        <x:is>
          <x:t xml:space="preserve">Пескоструй</x:t>
        </x:is>
      </x:c>
      <x:c r="H1464" s="31" t="inlineStr">
        <x:is>
          <x:t xml:space="preserve">Сварка</x:t>
        </x:is>
      </x:c>
      <x:c r="I1464" s="31" t="inlineStr">
        <x:is>
          <x:t xml:space="preserve">ОБ-003</x:t>
        </x:is>
      </x:c>
      <x:c r="J1464" s="31" t="inlineStr">
        <x:is>
          <x:t xml:space="preserve">СОТР-059</x:t>
        </x:is>
      </x:c>
      <x:c r="K1464" s="31" t="n">
        <x:v>49.6</x:v>
      </x:c>
      <x:c r="L1464" s="31" t="n">
        <x:v>43.2</x:v>
      </x:c>
      <x:c r="M1464" s="31" t="n">
        <x:v>46207</x:v>
      </x:c>
      <x:c r="N1464" s="31" t="n">
        <x:v>46212</x:v>
      </x:c>
      <x:c r="O1464" s="31" t="n">
        <x:v>46207</x:v>
      </x:c>
      <x:c r="P1464" s="31" t="n">
        <x:v>46212</x:v>
      </x:c>
      <x:c r="Q1464" s="31" t="inlineStr">
        <x:is>
          <x:t xml:space="preserve">Завершено</x:t>
        </x:is>
      </x:c>
      <x:c r="R1464" s="31" t="inlineStr">
        <x:is>
          <x:t xml:space="preserve">Материал</x:t>
        </x:is>
      </x:c>
      <x:c r="S1464" s="31" t="inlineStr">
        <x:is>
          <x:t xml:space="preserve">Нет</x:t>
        </x:is>
      </x:c>
    </x:row>
    <x:row r="1465">
      <x:c r="A1465" s="31" t="inlineStr">
        <x:is>
          <x:t xml:space="preserve">ОП-001464</x:t>
        </x:is>
      </x:c>
      <x:c r="B1465" s="31" t="inlineStr">
        <x:is>
          <x:t xml:space="preserve">ПЗ-00176</x:t>
        </x:is>
      </x:c>
      <x:c r="C1465" s="31" t="inlineStr">
        <x:is>
          <x:t xml:space="preserve">ЗК-1083</x:t>
        </x:is>
      </x:c>
      <x:c r="D1465" s="31" t="inlineStr">
        <x:is>
          <x:t xml:space="preserve">ПОЗ-0083-3</x:t>
        </x:is>
      </x:c>
      <x:c r="E1465" s="31" t="inlineStr">
        <x:is>
          <x:t xml:space="preserve">ИЗД-014</x:t>
        </x:is>
      </x:c>
      <x:c r="F1465" s="31" t="n">
        <x:v>50</x:v>
      </x:c>
      <x:c r="G1465" s="31" t="inlineStr">
        <x:is>
          <x:t xml:space="preserve">Покраска</x:t>
        </x:is>
      </x:c>
      <x:c r="H1465" s="31" t="inlineStr">
        <x:is>
          <x:t xml:space="preserve">Сварка</x:t>
        </x:is>
      </x:c>
      <x:c r="I1465" s="31" t="inlineStr">
        <x:is>
          <x:t xml:space="preserve">ОБ-035</x:t>
        </x:is>
      </x:c>
      <x:c r="J1465" s="31" t="inlineStr">
        <x:is>
          <x:t xml:space="preserve">СОТР-056</x:t>
        </x:is>
      </x:c>
      <x:c r="K1465" s="31" t="n">
        <x:v>39.2</x:v>
      </x:c>
      <x:c r="L1465" s="31" t="n">
        <x:v>36.4</x:v>
      </x:c>
      <x:c r="M1465" s="31" t="n">
        <x:v>46212</x:v>
      </x:c>
      <x:c r="N1465" s="31" t="n">
        <x:v>46216</x:v>
      </x:c>
      <x:c r="O1465" s="31" t="n">
        <x:v>46212</x:v>
      </x:c>
      <x:c r="P1465" s="31" t="n">
        <x:v>46217</x:v>
      </x:c>
      <x:c r="Q1465" s="31" t="inlineStr">
        <x:is>
          <x:t xml:space="preserve">Завершено</x:t>
        </x:is>
      </x:c>
      <x:c r="R1465" s="31" t="inlineStr">
        <x:is>
          <x:t xml:space="preserve">Ожидание ОТК</x:t>
        </x:is>
      </x:c>
      <x:c r="S1465" s="31" t="inlineStr">
        <x:is>
          <x:t xml:space="preserve">Нет</x:t>
        </x:is>
      </x:c>
    </x:row>
    <x:row r="1466">
      <x:c r="A1466" s="31" t="inlineStr">
        <x:is>
          <x:t xml:space="preserve">ОП-001465</x:t>
        </x:is>
      </x:c>
      <x:c r="B1466" s="31" t="inlineStr">
        <x:is>
          <x:t xml:space="preserve">ПЗ-00176</x:t>
        </x:is>
      </x:c>
      <x:c r="C1466" s="31" t="inlineStr">
        <x:is>
          <x:t xml:space="preserve">ЗК-1083</x:t>
        </x:is>
      </x:c>
      <x:c r="D1466" s="31" t="inlineStr">
        <x:is>
          <x:t xml:space="preserve">ПОЗ-0083-3</x:t>
        </x:is>
      </x:c>
      <x:c r="E1466" s="31" t="inlineStr">
        <x:is>
          <x:t xml:space="preserve">ИЗД-014</x:t>
        </x:is>
      </x:c>
      <x:c r="F1466" s="31" t="n">
        <x:v>60</x:v>
      </x:c>
      <x:c r="G1466" s="31" t="inlineStr">
        <x:is>
          <x:t xml:space="preserve">ОТК</x:t>
        </x:is>
      </x:c>
      <x:c r="H1466" s="31" t="inlineStr">
        <x:is>
          <x:t xml:space="preserve">ОТК</x:t>
        </x:is>
      </x:c>
      <x:c r="I1466" s="31" t="inlineStr">
        <x:is>
          <x:t xml:space="preserve">ОБ-033</x:t>
        </x:is>
      </x:c>
      <x:c r="J1466" s="31" t="inlineStr">
        <x:is>
          <x:t xml:space="preserve">СОТР-093</x:t>
        </x:is>
      </x:c>
      <x:c r="K1466" s="31" t="n">
        <x:v>19.2</x:v>
      </x:c>
      <x:c r="L1466" s="31" t="n">
        <x:v>19.3</x:v>
      </x:c>
      <x:c r="M1466" s="31" t="n">
        <x:v>46216</x:v>
      </x:c>
      <x:c r="N1466" s="31" t="n">
        <x:v>46218</x:v>
      </x:c>
      <x:c r="O1466" s="31" t="n">
        <x:v>46216</x:v>
      </x:c>
      <x:c r="P1466" s="31" t="n">
        <x:v>46217</x:v>
      </x:c>
      <x:c r="Q1466" s="31" t="inlineStr">
        <x:is>
          <x:t xml:space="preserve">Завершено</x:t>
        </x:is>
      </x:c>
      <x:c r="R1466" s="31" t="inlineStr">
        <x:is>
          <x:t xml:space="preserve">Нет</x:t>
        </x:is>
      </x:c>
      <x:c r="S1466" s="31" t="inlineStr">
        <x:is>
          <x:t xml:space="preserve">Нет</x:t>
        </x:is>
      </x:c>
    </x:row>
    <x:row r="1467">
      <x:c r="A1467" s="31" t="inlineStr">
        <x:is>
          <x:t xml:space="preserve">ОП-001466</x:t>
        </x:is>
      </x:c>
      <x:c r="B1467" s="31" t="inlineStr">
        <x:is>
          <x:t xml:space="preserve">ПЗ-00177</x:t>
        </x:is>
      </x:c>
      <x:c r="C1467" s="31" t="inlineStr">
        <x:is>
          <x:t xml:space="preserve">ЗК-1084</x:t>
        </x:is>
      </x:c>
      <x:c r="D1467" s="31" t="inlineStr">
        <x:is>
          <x:t xml:space="preserve">ПОЗ-0084-1</x:t>
        </x:is>
      </x:c>
      <x:c r="E1467" s="31" t="inlineStr">
        <x:is>
          <x:t xml:space="preserve">ИЗД-001</x:t>
        </x:is>
      </x:c>
      <x:c r="F1467" s="31" t="n">
        <x:v>10</x:v>
      </x:c>
      <x:c r="G1467" s="31" t="inlineStr">
        <x:is>
          <x:t xml:space="preserve">Комплектация</x:t>
        </x:is>
      </x:c>
      <x:c r="H1467" s="31" t="inlineStr">
        <x:is>
          <x:t xml:space="preserve">Склад</x:t>
        </x:is>
      </x:c>
      <x:c r="I1467" s="31" t="inlineStr">
        <x:is>
          <x:t xml:space="preserve">ОБ-011</x:t>
        </x:is>
      </x:c>
      <x:c r="J1467" s="31" t="inlineStr">
        <x:is>
          <x:t xml:space="preserve">СОТР-035</x:t>
        </x:is>
      </x:c>
      <x:c r="K1467" s="31" t="n">
        <x:v>58.8</x:v>
      </x:c>
      <x:c r="L1467" s="31" t="n"/>
      <x:c r="M1467" s="31" t="n">
        <x:v>46076</x:v>
      </x:c>
      <x:c r="N1467" s="31" t="n">
        <x:v>46081</x:v>
      </x:c>
      <x:c r="O1467" s="31" t="n"/>
      <x:c r="P1467" s="31" t="n"/>
      <x:c r="Q1467" s="31" t="inlineStr">
        <x:is>
          <x:t xml:space="preserve">Запланировано</x:t>
        </x:is>
      </x:c>
      <x:c r="R1467" s="31" t="inlineStr">
        <x:is>
          <x:t xml:space="preserve">Нет</x:t>
        </x:is>
      </x:c>
      <x:c r="S1467" s="31" t="inlineStr">
        <x:is>
          <x:t xml:space="preserve">Нет</x:t>
        </x:is>
      </x:c>
    </x:row>
    <x:row r="1468">
      <x:c r="A1468" s="31" t="inlineStr">
        <x:is>
          <x:t xml:space="preserve">ОП-001467</x:t>
        </x:is>
      </x:c>
      <x:c r="B1468" s="31" t="inlineStr">
        <x:is>
          <x:t xml:space="preserve">ПЗ-00177</x:t>
        </x:is>
      </x:c>
      <x:c r="C1468" s="31" t="inlineStr">
        <x:is>
          <x:t xml:space="preserve">ЗК-1084</x:t>
        </x:is>
      </x:c>
      <x:c r="D1468" s="31" t="inlineStr">
        <x:is>
          <x:t xml:space="preserve">ПОЗ-0084-1</x:t>
        </x:is>
      </x:c>
      <x:c r="E1468" s="31" t="inlineStr">
        <x:is>
          <x:t xml:space="preserve">ИЗД-001</x:t>
        </x:is>
      </x:c>
      <x:c r="F1468" s="31" t="n">
        <x:v>20</x:v>
      </x:c>
      <x:c r="G1468" s="31" t="inlineStr">
        <x:is>
          <x:t xml:space="preserve">Входной контроль</x:t>
        </x:is>
      </x:c>
      <x:c r="H1468" s="31" t="inlineStr">
        <x:is>
          <x:t xml:space="preserve">ОТК</x:t>
        </x:is>
      </x:c>
      <x:c r="I1468" s="31" t="inlineStr">
        <x:is>
          <x:t xml:space="preserve">ОБ-032</x:t>
        </x:is>
      </x:c>
      <x:c r="J1468" s="31" t="inlineStr">
        <x:is>
          <x:t xml:space="preserve">СОТР-093</x:t>
        </x:is>
      </x:c>
      <x:c r="K1468" s="31" t="n">
        <x:v>93.8</x:v>
      </x:c>
      <x:c r="L1468" s="31" t="n"/>
      <x:c r="M1468" s="31" t="n">
        <x:v>46081</x:v>
      </x:c>
      <x:c r="N1468" s="31" t="n">
        <x:v>46089</x:v>
      </x:c>
      <x:c r="O1468" s="31" t="n"/>
      <x:c r="P1468" s="31" t="n"/>
      <x:c r="Q1468" s="31" t="inlineStr">
        <x:is>
          <x:t xml:space="preserve">Запланировано</x:t>
        </x:is>
      </x:c>
      <x:c r="R1468" s="31" t="inlineStr">
        <x:is>
          <x:t xml:space="preserve">Нет</x:t>
        </x:is>
      </x:c>
      <x:c r="S1468" s="31" t="inlineStr">
        <x:is>
          <x:t xml:space="preserve">Да</x:t>
        </x:is>
      </x:c>
    </x:row>
    <x:row r="1469">
      <x:c r="A1469" s="31" t="inlineStr">
        <x:is>
          <x:t xml:space="preserve">ОП-001468</x:t>
        </x:is>
      </x:c>
      <x:c r="B1469" s="31" t="inlineStr">
        <x:is>
          <x:t xml:space="preserve">ПЗ-00177</x:t>
        </x:is>
      </x:c>
      <x:c r="C1469" s="31" t="inlineStr">
        <x:is>
          <x:t xml:space="preserve">ЗК-1084</x:t>
        </x:is>
      </x:c>
      <x:c r="D1469" s="31" t="inlineStr">
        <x:is>
          <x:t xml:space="preserve">ПОЗ-0084-1</x:t>
        </x:is>
      </x:c>
      <x:c r="E1469" s="31" t="inlineStr">
        <x:is>
          <x:t xml:space="preserve">ИЗД-001</x:t>
        </x:is>
      </x:c>
      <x:c r="F1469" s="31" t="n">
        <x:v>30</x:v>
      </x:c>
      <x:c r="G1469" s="31" t="inlineStr">
        <x:is>
          <x:t xml:space="preserve">Упаковка</x:t>
        </x:is>
      </x:c>
      <x:c r="H1469" s="31" t="inlineStr">
        <x:is>
          <x:t xml:space="preserve">Логистика</x:t>
        </x:is>
      </x:c>
      <x:c r="I1469" s="31" t="n"/>
      <x:c r="J1469" s="31" t="inlineStr">
        <x:is>
          <x:t xml:space="preserve">СОТР-070</x:t>
        </x:is>
      </x:c>
      <x:c r="K1469" s="31" t="n">
        <x:v>11.2</x:v>
      </x:c>
      <x:c r="L1469" s="31" t="n"/>
      <x:c r="M1469" s="31" t="n">
        <x:v>46089</x:v>
      </x:c>
      <x:c r="N1469" s="31" t="n">
        <x:v>46090</x:v>
      </x:c>
      <x:c r="O1469" s="31" t="n"/>
      <x:c r="P1469" s="31" t="n"/>
      <x:c r="Q1469" s="31" t="inlineStr">
        <x:is>
          <x:t xml:space="preserve">Запланировано</x:t>
        </x:is>
      </x:c>
      <x:c r="R1469" s="31" t="inlineStr">
        <x:is>
          <x:t xml:space="preserve">Нет</x:t>
        </x:is>
      </x:c>
      <x:c r="S1469" s="31" t="inlineStr">
        <x:is>
          <x:t xml:space="preserve">Нет</x:t>
        </x:is>
      </x:c>
    </x:row>
    <x:row r="1470">
      <x:c r="A1470" s="31" t="inlineStr">
        <x:is>
          <x:t xml:space="preserve">ОП-001469</x:t>
        </x:is>
      </x:c>
      <x:c r="B1470" s="31" t="inlineStr">
        <x:is>
          <x:t xml:space="preserve">ПЗ-00177</x:t>
        </x:is>
      </x:c>
      <x:c r="C1470" s="31" t="inlineStr">
        <x:is>
          <x:t xml:space="preserve">ЗК-1084</x:t>
        </x:is>
      </x:c>
      <x:c r="D1470" s="31" t="inlineStr">
        <x:is>
          <x:t xml:space="preserve">ПОЗ-0084-1</x:t>
        </x:is>
      </x:c>
      <x:c r="E1470" s="31" t="inlineStr">
        <x:is>
          <x:t xml:space="preserve">ИЗД-001</x:t>
        </x:is>
      </x:c>
      <x:c r="F1470" s="31" t="n">
        <x:v>40</x:v>
      </x:c>
      <x:c r="G1470" s="31" t="inlineStr">
        <x:is>
          <x:t xml:space="preserve">ОТК</x:t>
        </x:is>
      </x:c>
      <x:c r="H1470" s="31" t="inlineStr">
        <x:is>
          <x:t xml:space="preserve">ОТК</x:t>
        </x:is>
      </x:c>
      <x:c r="I1470" s="31" t="inlineStr">
        <x:is>
          <x:t xml:space="preserve">ОБ-006</x:t>
        </x:is>
      </x:c>
      <x:c r="J1470" s="31" t="inlineStr">
        <x:is>
          <x:t xml:space="preserve">СОТР-096</x:t>
        </x:is>
      </x:c>
      <x:c r="K1470" s="31" t="n">
        <x:v>35</x:v>
      </x:c>
      <x:c r="L1470" s="31" t="n"/>
      <x:c r="M1470" s="31" t="n">
        <x:v>46090</x:v>
      </x:c>
      <x:c r="N1470" s="31" t="n">
        <x:v>46093</x:v>
      </x:c>
      <x:c r="O1470" s="31" t="n"/>
      <x:c r="P1470" s="31" t="n"/>
      <x:c r="Q1470" s="31" t="inlineStr">
        <x:is>
          <x:t xml:space="preserve">Запланировано</x:t>
        </x:is>
      </x:c>
      <x:c r="R1470" s="31" t="inlineStr">
        <x:is>
          <x:t xml:space="preserve">Нет</x:t>
        </x:is>
      </x:c>
      <x:c r="S1470" s="31" t="inlineStr">
        <x:is>
          <x:t xml:space="preserve">Да</x:t>
        </x:is>
      </x:c>
    </x:row>
    <x:row r="1471">
      <x:c r="A1471" s="31" t="inlineStr">
        <x:is>
          <x:t xml:space="preserve">ОП-001470</x:t>
        </x:is>
      </x:c>
      <x:c r="B1471" s="31" t="inlineStr">
        <x:is>
          <x:t xml:space="preserve">ПЗ-00178</x:t>
        </x:is>
      </x:c>
      <x:c r="C1471" s="31" t="inlineStr">
        <x:is>
          <x:t xml:space="preserve">ЗК-1085</x:t>
        </x:is>
      </x:c>
      <x:c r="D1471" s="31" t="inlineStr">
        <x:is>
          <x:t xml:space="preserve">ПОЗ-0085-1</x:t>
        </x:is>
      </x:c>
      <x:c r="E1471" s="31" t="inlineStr">
        <x:is>
          <x:t xml:space="preserve">ИЗД-045</x:t>
        </x:is>
      </x:c>
      <x:c r="F1471" s="31" t="n">
        <x:v>10</x:v>
      </x:c>
      <x:c r="G1471" s="31" t="inlineStr">
        <x:is>
          <x:t xml:space="preserve">КД</x:t>
        </x:is>
      </x:c>
      <x:c r="H1471" s="31" t="inlineStr">
        <x:is>
          <x:t xml:space="preserve">Инженерный отдел</x:t>
        </x:is>
      </x:c>
      <x:c r="I1471" s="31" t="n"/>
      <x:c r="J1471" s="31" t="inlineStr">
        <x:is>
          <x:t xml:space="preserve">СОТР-015</x:t>
        </x:is>
      </x:c>
      <x:c r="K1471" s="31" t="n">
        <x:v>9.699999999999999</x:v>
      </x:c>
      <x:c r="L1471" s="31" t="n">
        <x:v>8.800000000000001</x:v>
      </x:c>
      <x:c r="M1471" s="31" t="n">
        <x:v>46119</x:v>
      </x:c>
      <x:c r="N1471" s="31" t="n">
        <x:v>46120</x:v>
      </x:c>
      <x:c r="O1471" s="31" t="n">
        <x:v>46119</x:v>
      </x:c>
      <x:c r="P1471" s="31" t="n">
        <x:v>46122</x:v>
      </x:c>
      <x:c r="Q1471" s="31" t="inlineStr">
        <x:is>
          <x:t xml:space="preserve">Завершено</x:t>
        </x:is>
      </x:c>
      <x:c r="R1471" s="31" t="inlineStr">
        <x:is>
          <x:t xml:space="preserve">Нет</x:t>
        </x:is>
      </x:c>
      <x:c r="S1471" s="31" t="inlineStr">
        <x:is>
          <x:t xml:space="preserve">Нет</x:t>
        </x:is>
      </x:c>
    </x:row>
    <x:row r="1472">
      <x:c r="A1472" s="31" t="inlineStr">
        <x:is>
          <x:t xml:space="preserve">ОП-001471</x:t>
        </x:is>
      </x:c>
      <x:c r="B1472" s="31" t="inlineStr">
        <x:is>
          <x:t xml:space="preserve">ПЗ-00178</x:t>
        </x:is>
      </x:c>
      <x:c r="C1472" s="31" t="inlineStr">
        <x:is>
          <x:t xml:space="preserve">ЗК-1085</x:t>
        </x:is>
      </x:c>
      <x:c r="D1472" s="31" t="inlineStr">
        <x:is>
          <x:t xml:space="preserve">ПОЗ-0085-1</x:t>
        </x:is>
      </x:c>
      <x:c r="E1472" s="31" t="inlineStr">
        <x:is>
          <x:t xml:space="preserve">ИЗД-045</x:t>
        </x:is>
      </x:c>
      <x:c r="F1472" s="31" t="n">
        <x:v>20</x:v>
      </x:c>
      <x:c r="G1472" s="31" t="inlineStr">
        <x:is>
          <x:t xml:space="preserve">Комплектация</x:t>
        </x:is>
      </x:c>
      <x:c r="H1472" s="31" t="inlineStr">
        <x:is>
          <x:t xml:space="preserve">Склад</x:t>
        </x:is>
      </x:c>
      <x:c r="I1472" s="31" t="inlineStr">
        <x:is>
          <x:t xml:space="preserve">ОБ-025</x:t>
        </x:is>
      </x:c>
      <x:c r="J1472" s="31" t="inlineStr">
        <x:is>
          <x:t xml:space="preserve">СОТР-037</x:t>
        </x:is>
      </x:c>
      <x:c r="K1472" s="31" t="n">
        <x:v>6.8</x:v>
      </x:c>
      <x:c r="L1472" s="31" t="n">
        <x:v>7.1</x:v>
      </x:c>
      <x:c r="M1472" s="31" t="n">
        <x:v>46120</x:v>
      </x:c>
      <x:c r="N1472" s="31" t="n">
        <x:v>46121</x:v>
      </x:c>
      <x:c r="O1472" s="31" t="n">
        <x:v>46120</x:v>
      </x:c>
      <x:c r="P1472" s="31" t="n">
        <x:v>46121</x:v>
      </x:c>
      <x:c r="Q1472" s="31" t="inlineStr">
        <x:is>
          <x:t xml:space="preserve">Завершено</x:t>
        </x:is>
      </x:c>
      <x:c r="R1472" s="31" t="inlineStr">
        <x:is>
          <x:t xml:space="preserve">Нет</x:t>
        </x:is>
      </x:c>
      <x:c r="S1472" s="31" t="inlineStr">
        <x:is>
          <x:t xml:space="preserve">Нет</x:t>
        </x:is>
      </x:c>
    </x:row>
    <x:row r="1473">
      <x:c r="A1473" s="31" t="inlineStr">
        <x:is>
          <x:t xml:space="preserve">ОП-001472</x:t>
        </x:is>
      </x:c>
      <x:c r="B1473" s="31" t="inlineStr">
        <x:is>
          <x:t xml:space="preserve">ПЗ-00178</x:t>
        </x:is>
      </x:c>
      <x:c r="C1473" s="31" t="inlineStr">
        <x:is>
          <x:t xml:space="preserve">ЗК-1085</x:t>
        </x:is>
      </x:c>
      <x:c r="D1473" s="31" t="inlineStr">
        <x:is>
          <x:t xml:space="preserve">ПОЗ-0085-1</x:t>
        </x:is>
      </x:c>
      <x:c r="E1473" s="31" t="inlineStr">
        <x:is>
          <x:t xml:space="preserve">ИЗД-045</x:t>
        </x:is>
      </x:c>
      <x:c r="F1473" s="31" t="n">
        <x:v>30</x:v>
      </x:c>
      <x:c r="G1473" s="31" t="inlineStr">
        <x:is>
          <x:t xml:space="preserve">Сборка шкафа</x:t>
        </x:is>
      </x:c>
      <x:c r="H1473" s="31" t="inlineStr">
        <x:is>
          <x:t xml:space="preserve">Сборка</x:t>
        </x:is>
      </x:c>
      <x:c r="I1473" s="31" t="inlineStr">
        <x:is>
          <x:t xml:space="preserve">ОБ-016</x:t>
        </x:is>
      </x:c>
      <x:c r="J1473" s="31" t="inlineStr">
        <x:is>
          <x:t xml:space="preserve">СОТР-080</x:t>
        </x:is>
      </x:c>
      <x:c r="K1473" s="31" t="n">
        <x:v>2.5</x:v>
      </x:c>
      <x:c r="L1473" s="31" t="n">
        <x:v>2.9</x:v>
      </x:c>
      <x:c r="M1473" s="31" t="n">
        <x:v>46121</x:v>
      </x:c>
      <x:c r="N1473" s="31" t="n">
        <x:v>46122</x:v>
      </x:c>
      <x:c r="O1473" s="31" t="n">
        <x:v>46121</x:v>
      </x:c>
      <x:c r="P1473" s="31" t="n">
        <x:v>46123</x:v>
      </x:c>
      <x:c r="Q1473" s="31" t="inlineStr">
        <x:is>
          <x:t xml:space="preserve">Завершено</x:t>
        </x:is>
      </x:c>
      <x:c r="R1473" s="31" t="inlineStr">
        <x:is>
          <x:t xml:space="preserve">Нет</x:t>
        </x:is>
      </x:c>
      <x:c r="S1473" s="31" t="inlineStr">
        <x:is>
          <x:t xml:space="preserve">Нет</x:t>
        </x:is>
      </x:c>
    </x:row>
    <x:row r="1474">
      <x:c r="A1474" s="31" t="inlineStr">
        <x:is>
          <x:t xml:space="preserve">ОП-001473</x:t>
        </x:is>
      </x:c>
      <x:c r="B1474" s="31" t="inlineStr">
        <x:is>
          <x:t xml:space="preserve">ПЗ-00178</x:t>
        </x:is>
      </x:c>
      <x:c r="C1474" s="31" t="inlineStr">
        <x:is>
          <x:t xml:space="preserve">ЗК-1085</x:t>
        </x:is>
      </x:c>
      <x:c r="D1474" s="31" t="inlineStr">
        <x:is>
          <x:t xml:space="preserve">ПОЗ-0085-1</x:t>
        </x:is>
      </x:c>
      <x:c r="E1474" s="31" t="inlineStr">
        <x:is>
          <x:t xml:space="preserve">ИЗД-045</x:t>
        </x:is>
      </x:c>
      <x:c r="F1474" s="31" t="n">
        <x:v>40</x:v>
      </x:c>
      <x:c r="G1474" s="31" t="inlineStr">
        <x:is>
          <x:t xml:space="preserve">Маркировка</x:t>
        </x:is>
      </x:c>
      <x:c r="H1474" s="31" t="inlineStr">
        <x:is>
          <x:t xml:space="preserve">Сборка</x:t>
        </x:is>
      </x:c>
      <x:c r="I1474" s="31" t="inlineStr">
        <x:is>
          <x:t xml:space="preserve">ОБ-016</x:t>
        </x:is>
      </x:c>
      <x:c r="J1474" s="31" t="inlineStr">
        <x:is>
          <x:t xml:space="preserve">СОТР-078</x:t>
        </x:is>
      </x:c>
      <x:c r="K1474" s="31" t="n">
        <x:v>6.3</x:v>
      </x:c>
      <x:c r="L1474" s="31" t="n">
        <x:v>7.9</x:v>
      </x:c>
      <x:c r="M1474" s="31" t="n">
        <x:v>46122</x:v>
      </x:c>
      <x:c r="N1474" s="31" t="n">
        <x:v>46123</x:v>
      </x:c>
      <x:c r="O1474" s="31" t="n">
        <x:v>46122</x:v>
      </x:c>
      <x:c r="P1474" s="31" t="n">
        <x:v>46125</x:v>
      </x:c>
      <x:c r="Q1474" s="31" t="inlineStr">
        <x:is>
          <x:t xml:space="preserve">Завершено</x:t>
        </x:is>
      </x:c>
      <x:c r="R1474" s="31" t="inlineStr">
        <x:is>
          <x:t xml:space="preserve">Нет</x:t>
        </x:is>
      </x:c>
      <x:c r="S1474" s="31" t="inlineStr">
        <x:is>
          <x:t xml:space="preserve">Нет</x:t>
        </x:is>
      </x:c>
    </x:row>
    <x:row r="1475">
      <x:c r="A1475" s="31" t="inlineStr">
        <x:is>
          <x:t xml:space="preserve">ОП-001474</x:t>
        </x:is>
      </x:c>
      <x:c r="B1475" s="31" t="inlineStr">
        <x:is>
          <x:t xml:space="preserve">ПЗ-00178</x:t>
        </x:is>
      </x:c>
      <x:c r="C1475" s="31" t="inlineStr">
        <x:is>
          <x:t xml:space="preserve">ЗК-1085</x:t>
        </x:is>
      </x:c>
      <x:c r="D1475" s="31" t="inlineStr">
        <x:is>
          <x:t xml:space="preserve">ПОЗ-0085-1</x:t>
        </x:is>
      </x:c>
      <x:c r="E1475" s="31" t="inlineStr">
        <x:is>
          <x:t xml:space="preserve">ИЗД-045</x:t>
        </x:is>
      </x:c>
      <x:c r="F1475" s="31" t="n">
        <x:v>50</x:v>
      </x:c>
      <x:c r="G1475" s="31" t="inlineStr">
        <x:is>
          <x:t xml:space="preserve">Электромонтаж</x:t>
        </x:is>
      </x:c>
      <x:c r="H1475" s="31" t="inlineStr">
        <x:is>
          <x:t xml:space="preserve">Сборка</x:t>
        </x:is>
      </x:c>
      <x:c r="I1475" s="31" t="inlineStr">
        <x:is>
          <x:t xml:space="preserve">ОБ-027</x:t>
        </x:is>
      </x:c>
      <x:c r="J1475" s="31" t="inlineStr">
        <x:is>
          <x:t xml:space="preserve">СОТР-074</x:t>
        </x:is>
      </x:c>
      <x:c r="K1475" s="31" t="n">
        <x:v>4.9</x:v>
      </x:c>
      <x:c r="L1475" s="31" t="n">
        <x:v>5.8</x:v>
      </x:c>
      <x:c r="M1475" s="31" t="n">
        <x:v>46123</x:v>
      </x:c>
      <x:c r="N1475" s="31" t="n">
        <x:v>46124</x:v>
      </x:c>
      <x:c r="O1475" s="31" t="n">
        <x:v>46123</x:v>
      </x:c>
      <x:c r="P1475" s="31" t="n">
        <x:v>46125</x:v>
      </x:c>
      <x:c r="Q1475" s="31" t="inlineStr">
        <x:is>
          <x:t xml:space="preserve">Завершено</x:t>
        </x:is>
      </x:c>
      <x:c r="R1475" s="31" t="inlineStr">
        <x:is>
          <x:t xml:space="preserve">КД</x:t>
        </x:is>
      </x:c>
      <x:c r="S1475" s="31" t="inlineStr">
        <x:is>
          <x:t xml:space="preserve">Да</x:t>
        </x:is>
      </x:c>
    </x:row>
    <x:row r="1476">
      <x:c r="A1476" s="31" t="inlineStr">
        <x:is>
          <x:t xml:space="preserve">ОП-001475</x:t>
        </x:is>
      </x:c>
      <x:c r="B1476" s="31" t="inlineStr">
        <x:is>
          <x:t xml:space="preserve">ПЗ-00178</x:t>
        </x:is>
      </x:c>
      <x:c r="C1476" s="31" t="inlineStr">
        <x:is>
          <x:t xml:space="preserve">ЗК-1085</x:t>
        </x:is>
      </x:c>
      <x:c r="D1476" s="31" t="inlineStr">
        <x:is>
          <x:t xml:space="preserve">ПОЗ-0085-1</x:t>
        </x:is>
      </x:c>
      <x:c r="E1476" s="31" t="inlineStr">
        <x:is>
          <x:t xml:space="preserve">ИЗД-045</x:t>
        </x:is>
      </x:c>
      <x:c r="F1476" s="31" t="n">
        <x:v>60</x:v>
      </x:c>
      <x:c r="G1476" s="31" t="inlineStr">
        <x:is>
          <x:t xml:space="preserve">Программирование ПЛК</x:t>
        </x:is>
      </x:c>
      <x:c r="H1476" s="31" t="inlineStr">
        <x:is>
          <x:t xml:space="preserve">Инженерный отдел</x:t>
        </x:is>
      </x:c>
      <x:c r="I1476" s="31" t="n"/>
      <x:c r="J1476" s="31" t="inlineStr">
        <x:is>
          <x:t xml:space="preserve">СОТР-017</x:t>
        </x:is>
      </x:c>
      <x:c r="K1476" s="31" t="n">
        <x:v>2.8</x:v>
      </x:c>
      <x:c r="L1476" s="31" t="n">
        <x:v>3.1</x:v>
      </x:c>
      <x:c r="M1476" s="31" t="n">
        <x:v>46124</x:v>
      </x:c>
      <x:c r="N1476" s="31" t="n">
        <x:v>46125</x:v>
      </x:c>
      <x:c r="O1476" s="31" t="n">
        <x:v>46124</x:v>
      </x:c>
      <x:c r="P1476" s="31" t="n">
        <x:v>46126</x:v>
      </x:c>
      <x:c r="Q1476" s="31" t="inlineStr">
        <x:is>
          <x:t xml:space="preserve">Завершено</x:t>
        </x:is>
      </x:c>
      <x:c r="R1476" s="31" t="inlineStr">
        <x:is>
          <x:t xml:space="preserve">Нет</x:t>
        </x:is>
      </x:c>
      <x:c r="S1476" s="31" t="inlineStr">
        <x:is>
          <x:t xml:space="preserve">Нет</x:t>
        </x:is>
      </x:c>
    </x:row>
    <x:row r="1477">
      <x:c r="A1477" s="31" t="inlineStr">
        <x:is>
          <x:t xml:space="preserve">ОП-001476</x:t>
        </x:is>
      </x:c>
      <x:c r="B1477" s="31" t="inlineStr">
        <x:is>
          <x:t xml:space="preserve">ПЗ-00178</x:t>
        </x:is>
      </x:c>
      <x:c r="C1477" s="31" t="inlineStr">
        <x:is>
          <x:t xml:space="preserve">ЗК-1085</x:t>
        </x:is>
      </x:c>
      <x:c r="D1477" s="31" t="inlineStr">
        <x:is>
          <x:t xml:space="preserve">ПОЗ-0085-1</x:t>
        </x:is>
      </x:c>
      <x:c r="E1477" s="31" t="inlineStr">
        <x:is>
          <x:t xml:space="preserve">ИЗД-045</x:t>
        </x:is>
      </x:c>
      <x:c r="F1477" s="31" t="n">
        <x:v>70</x:v>
      </x:c>
      <x:c r="G1477" s="31" t="inlineStr">
        <x:is>
          <x:t xml:space="preserve">Приемочные испытания</x:t>
        </x:is>
      </x:c>
      <x:c r="H1477" s="31" t="inlineStr">
        <x:is>
          <x:t xml:space="preserve">ОТК</x:t>
        </x:is>
      </x:c>
      <x:c r="I1477" s="31" t="inlineStr">
        <x:is>
          <x:t xml:space="preserve">ОБ-007</x:t>
        </x:is>
      </x:c>
      <x:c r="J1477" s="31" t="inlineStr">
        <x:is>
          <x:t xml:space="preserve">СОТР-098</x:t>
        </x:is>
      </x:c>
      <x:c r="K1477" s="31" t="n">
        <x:v>2.9</x:v>
      </x:c>
      <x:c r="L1477" s="31" t="n">
        <x:v>2.9</x:v>
      </x:c>
      <x:c r="M1477" s="31" t="n">
        <x:v>46125</x:v>
      </x:c>
      <x:c r="N1477" s="31" t="n">
        <x:v>46126</x:v>
      </x:c>
      <x:c r="O1477" s="31" t="n">
        <x:v>46125</x:v>
      </x:c>
      <x:c r="P1477" s="31" t="n">
        <x:v>46126</x:v>
      </x:c>
      <x:c r="Q1477" s="31" t="inlineStr">
        <x:is>
          <x:t xml:space="preserve">Завершено</x:t>
        </x:is>
      </x:c>
      <x:c r="R1477" s="31" t="inlineStr">
        <x:is>
          <x:t xml:space="preserve">Нет</x:t>
        </x:is>
      </x:c>
      <x:c r="S1477" s="31" t="inlineStr">
        <x:is>
          <x:t xml:space="preserve">Нет</x:t>
        </x:is>
      </x:c>
    </x:row>
    <x:row r="1478">
      <x:c r="A1478" s="31" t="inlineStr">
        <x:is>
          <x:t xml:space="preserve">ОП-001477</x:t>
        </x:is>
      </x:c>
      <x:c r="B1478" s="31" t="inlineStr">
        <x:is>
          <x:t xml:space="preserve">ПЗ-00178</x:t>
        </x:is>
      </x:c>
      <x:c r="C1478" s="31" t="inlineStr">
        <x:is>
          <x:t xml:space="preserve">ЗК-1085</x:t>
        </x:is>
      </x:c>
      <x:c r="D1478" s="31" t="inlineStr">
        <x:is>
          <x:t xml:space="preserve">ПОЗ-0085-1</x:t>
        </x:is>
      </x:c>
      <x:c r="E1478" s="31" t="inlineStr">
        <x:is>
          <x:t xml:space="preserve">ИЗД-045</x:t>
        </x:is>
      </x:c>
      <x:c r="F1478" s="31" t="n">
        <x:v>80</x:v>
      </x:c>
      <x:c r="G1478" s="31" t="inlineStr">
        <x:is>
          <x:t xml:space="preserve">ОТК</x:t>
        </x:is>
      </x:c>
      <x:c r="H1478" s="31" t="inlineStr">
        <x:is>
          <x:t xml:space="preserve">ОТК</x:t>
        </x:is>
      </x:c>
      <x:c r="I1478" s="31" t="inlineStr">
        <x:is>
          <x:t xml:space="preserve">ОБ-033</x:t>
        </x:is>
      </x:c>
      <x:c r="J1478" s="31" t="inlineStr">
        <x:is>
          <x:t xml:space="preserve">СОТР-063</x:t>
        </x:is>
      </x:c>
      <x:c r="K1478" s="31" t="n">
        <x:v>11.9</x:v>
      </x:c>
      <x:c r="L1478" s="31" t="n">
        <x:v>12.2</x:v>
      </x:c>
      <x:c r="M1478" s="31" t="n">
        <x:v>46126</x:v>
      </x:c>
      <x:c r="N1478" s="31" t="n">
        <x:v>46127</x:v>
      </x:c>
      <x:c r="O1478" s="31" t="n">
        <x:v>46126</x:v>
      </x:c>
      <x:c r="P1478" s="31" t="n">
        <x:v>46129</x:v>
      </x:c>
      <x:c r="Q1478" s="31" t="inlineStr">
        <x:is>
          <x:t xml:space="preserve">Завершено</x:t>
        </x:is>
      </x:c>
      <x:c r="R1478" s="31" t="inlineStr">
        <x:is>
          <x:t xml:space="preserve">Нет</x:t>
        </x:is>
      </x:c>
      <x:c r="S1478" s="31" t="inlineStr">
        <x:is>
          <x:t xml:space="preserve">Нет</x:t>
        </x:is>
      </x:c>
    </x:row>
    <x:row r="1479">
      <x:c r="A1479" s="31" t="inlineStr">
        <x:is>
          <x:t xml:space="preserve">ОП-001478</x:t>
        </x:is>
      </x:c>
      <x:c r="B1479" s="31" t="inlineStr">
        <x:is>
          <x:t xml:space="preserve">ПЗ-00178</x:t>
        </x:is>
      </x:c>
      <x:c r="C1479" s="31" t="inlineStr">
        <x:is>
          <x:t xml:space="preserve">ЗК-1085</x:t>
        </x:is>
      </x:c>
      <x:c r="D1479" s="31" t="inlineStr">
        <x:is>
          <x:t xml:space="preserve">ПОЗ-0085-1</x:t>
        </x:is>
      </x:c>
      <x:c r="E1479" s="31" t="inlineStr">
        <x:is>
          <x:t xml:space="preserve">ИЗД-045</x:t>
        </x:is>
      </x:c>
      <x:c r="F1479" s="31" t="n">
        <x:v>90</x:v>
      </x:c>
      <x:c r="G1479" s="31" t="inlineStr">
        <x:is>
          <x:t xml:space="preserve">Упаковка</x:t>
        </x:is>
      </x:c>
      <x:c r="H1479" s="31" t="inlineStr">
        <x:is>
          <x:t xml:space="preserve">Логистика</x:t>
        </x:is>
      </x:c>
      <x:c r="I1479" s="31" t="n"/>
      <x:c r="J1479" s="31" t="inlineStr">
        <x:is>
          <x:t xml:space="preserve">СОТР-102</x:t>
        </x:is>
      </x:c>
      <x:c r="K1479" s="31" t="n">
        <x:v>3</x:v>
      </x:c>
      <x:c r="L1479" s="31" t="n">
        <x:v>3.1</x:v>
      </x:c>
      <x:c r="M1479" s="31" t="n">
        <x:v>46127</x:v>
      </x:c>
      <x:c r="N1479" s="31" t="n">
        <x:v>46128</x:v>
      </x:c>
      <x:c r="O1479" s="31" t="n">
        <x:v>46127</x:v>
      </x:c>
      <x:c r="P1479" s="31" t="n">
        <x:v>46128</x:v>
      </x:c>
      <x:c r="Q1479" s="31" t="inlineStr">
        <x:is>
          <x:t xml:space="preserve">Завершено</x:t>
        </x:is>
      </x:c>
      <x:c r="R1479" s="31" t="inlineStr">
        <x:is>
          <x:t xml:space="preserve">Нет</x:t>
        </x:is>
      </x:c>
      <x:c r="S1479" s="31" t="inlineStr">
        <x:is>
          <x:t xml:space="preserve">Нет</x:t>
        </x:is>
      </x:c>
    </x:row>
    <x:row r="1480">
      <x:c r="A1480" s="31" t="inlineStr">
        <x:is>
          <x:t xml:space="preserve">ОП-001479</x:t>
        </x:is>
      </x:c>
      <x:c r="B1480" s="31" t="inlineStr">
        <x:is>
          <x:t xml:space="preserve">ПЗ-00179</x:t>
        </x:is>
      </x:c>
      <x:c r="C1480" s="31" t="inlineStr">
        <x:is>
          <x:t xml:space="preserve">ЗК-1085</x:t>
        </x:is>
      </x:c>
      <x:c r="D1480" s="31" t="inlineStr">
        <x:is>
          <x:t xml:space="preserve">ПОЗ-0085-2</x:t>
        </x:is>
      </x:c>
      <x:c r="E1480" s="31" t="inlineStr">
        <x:is>
          <x:t xml:space="preserve">ИЗД-031</x:t>
        </x:is>
      </x:c>
      <x:c r="F1480" s="31" t="n">
        <x:v>10</x:v>
      </x:c>
      <x:c r="G1480" s="31" t="inlineStr">
        <x:is>
          <x:t xml:space="preserve">КД</x:t>
        </x:is>
      </x:c>
      <x:c r="H1480" s="31" t="inlineStr">
        <x:is>
          <x:t xml:space="preserve">Инженерный отдел</x:t>
        </x:is>
      </x:c>
      <x:c r="I1480" s="31" t="n"/>
      <x:c r="J1480" s="31" t="inlineStr">
        <x:is>
          <x:t xml:space="preserve">СОТР-017</x:t>
        </x:is>
      </x:c>
      <x:c r="K1480" s="31" t="n">
        <x:v>36.8</x:v>
      </x:c>
      <x:c r="L1480" s="31" t="n">
        <x:v>44.6</x:v>
      </x:c>
      <x:c r="M1480" s="31" t="n">
        <x:v>46119</x:v>
      </x:c>
      <x:c r="N1480" s="31" t="n">
        <x:v>46123</x:v>
      </x:c>
      <x:c r="O1480" s="31" t="n">
        <x:v>46119</x:v>
      </x:c>
      <x:c r="P1480" s="31" t="n">
        <x:v>46124</x:v>
      </x:c>
      <x:c r="Q1480" s="31" t="inlineStr">
        <x:is>
          <x:t xml:space="preserve">Завершено</x:t>
        </x:is>
      </x:c>
      <x:c r="R1480" s="31" t="inlineStr">
        <x:is>
          <x:t xml:space="preserve">Нет</x:t>
        </x:is>
      </x:c>
      <x:c r="S1480" s="31" t="inlineStr">
        <x:is>
          <x:t xml:space="preserve">Нет</x:t>
        </x:is>
      </x:c>
    </x:row>
    <x:row r="1481">
      <x:c r="A1481" s="31" t="inlineStr">
        <x:is>
          <x:t xml:space="preserve">ОП-001480</x:t>
        </x:is>
      </x:c>
      <x:c r="B1481" s="31" t="inlineStr">
        <x:is>
          <x:t xml:space="preserve">ПЗ-00179</x:t>
        </x:is>
      </x:c>
      <x:c r="C1481" s="31" t="inlineStr">
        <x:is>
          <x:t xml:space="preserve">ЗК-1085</x:t>
        </x:is>
      </x:c>
      <x:c r="D1481" s="31" t="inlineStr">
        <x:is>
          <x:t xml:space="preserve">ПОЗ-0085-2</x:t>
        </x:is>
      </x:c>
      <x:c r="E1481" s="31" t="inlineStr">
        <x:is>
          <x:t xml:space="preserve">ИЗД-031</x:t>
        </x:is>
      </x:c>
      <x:c r="F1481" s="31" t="n">
        <x:v>20</x:v>
      </x:c>
      <x:c r="G1481" s="31" t="inlineStr">
        <x:is>
          <x:t xml:space="preserve">Резерв материалов</x:t>
        </x:is>
      </x:c>
      <x:c r="H1481" s="31" t="inlineStr">
        <x:is>
          <x:t xml:space="preserve">Склад</x:t>
        </x:is>
      </x:c>
      <x:c r="I1481" s="31" t="inlineStr">
        <x:is>
          <x:t xml:space="preserve">ОБ-011</x:t>
        </x:is>
      </x:c>
      <x:c r="J1481" s="31" t="inlineStr">
        <x:is>
          <x:t xml:space="preserve">СОТР-038</x:t>
        </x:is>
      </x:c>
      <x:c r="K1481" s="31" t="n">
        <x:v>12.4</x:v>
      </x:c>
      <x:c r="L1481" s="31" t="n">
        <x:v>16.2</x:v>
      </x:c>
      <x:c r="M1481" s="31" t="n">
        <x:v>46123</x:v>
      </x:c>
      <x:c r="N1481" s="31" t="n">
        <x:v>46125</x:v>
      </x:c>
      <x:c r="O1481" s="31" t="n">
        <x:v>46123</x:v>
      </x:c>
      <x:c r="P1481" s="31" t="n">
        <x:v>46127</x:v>
      </x:c>
      <x:c r="Q1481" s="31" t="inlineStr">
        <x:is>
          <x:t xml:space="preserve">Завершено</x:t>
        </x:is>
      </x:c>
      <x:c r="R1481" s="31" t="inlineStr">
        <x:is>
          <x:t xml:space="preserve">Нет</x:t>
        </x:is>
      </x:c>
      <x:c r="S1481" s="31" t="inlineStr">
        <x:is>
          <x:t xml:space="preserve">Нет</x:t>
        </x:is>
      </x:c>
    </x:row>
    <x:row r="1482">
      <x:c r="A1482" s="31" t="inlineStr">
        <x:is>
          <x:t xml:space="preserve">ОП-001481</x:t>
        </x:is>
      </x:c>
      <x:c r="B1482" s="31" t="inlineStr">
        <x:is>
          <x:t xml:space="preserve">ПЗ-00179</x:t>
        </x:is>
      </x:c>
      <x:c r="C1482" s="31" t="inlineStr">
        <x:is>
          <x:t xml:space="preserve">ЗК-1085</x:t>
        </x:is>
      </x:c>
      <x:c r="D1482" s="31" t="inlineStr">
        <x:is>
          <x:t xml:space="preserve">ПОЗ-0085-2</x:t>
        </x:is>
      </x:c>
      <x:c r="E1482" s="31" t="inlineStr">
        <x:is>
          <x:t xml:space="preserve">ИЗД-031</x:t>
        </x:is>
      </x:c>
      <x:c r="F1482" s="31" t="n">
        <x:v>30</x:v>
      </x:c>
      <x:c r="G1482" s="31" t="inlineStr">
        <x:is>
          <x:t xml:space="preserve">Резка металла</x:t>
        </x:is>
      </x:c>
      <x:c r="H1482" s="31" t="inlineStr">
        <x:is>
          <x:t xml:space="preserve">Сварка</x:t>
        </x:is>
      </x:c>
      <x:c r="I1482" s="31" t="inlineStr">
        <x:is>
          <x:t xml:space="preserve">ОБ-003</x:t>
        </x:is>
      </x:c>
      <x:c r="J1482" s="31" t="inlineStr">
        <x:is>
          <x:t xml:space="preserve">СОТР-064</x:t>
        </x:is>
      </x:c>
      <x:c r="K1482" s="31" t="n">
        <x:v>17.6</x:v>
      </x:c>
      <x:c r="L1482" s="31" t="n">
        <x:v>15.6</x:v>
      </x:c>
      <x:c r="M1482" s="31" t="n">
        <x:v>46125</x:v>
      </x:c>
      <x:c r="N1482" s="31" t="n">
        <x:v>46127</x:v>
      </x:c>
      <x:c r="O1482" s="31" t="n">
        <x:v>46125</x:v>
      </x:c>
      <x:c r="P1482" s="31" t="n">
        <x:v>46126</x:v>
      </x:c>
      <x:c r="Q1482" s="31" t="inlineStr">
        <x:is>
          <x:t xml:space="preserve">Завершено</x:t>
        </x:is>
      </x:c>
      <x:c r="R1482" s="31" t="inlineStr">
        <x:is>
          <x:t xml:space="preserve">Нет</x:t>
        </x:is>
      </x:c>
      <x:c r="S1482" s="31" t="inlineStr">
        <x:is>
          <x:t xml:space="preserve">Нет</x:t>
        </x:is>
      </x:c>
    </x:row>
    <x:row r="1483">
      <x:c r="A1483" s="31" t="inlineStr">
        <x:is>
          <x:t xml:space="preserve">ОП-001482</x:t>
        </x:is>
      </x:c>
      <x:c r="B1483" s="31" t="inlineStr">
        <x:is>
          <x:t xml:space="preserve">ПЗ-00179</x:t>
        </x:is>
      </x:c>
      <x:c r="C1483" s="31" t="inlineStr">
        <x:is>
          <x:t xml:space="preserve">ЗК-1085</x:t>
        </x:is>
      </x:c>
      <x:c r="D1483" s="31" t="inlineStr">
        <x:is>
          <x:t xml:space="preserve">ПОЗ-0085-2</x:t>
        </x:is>
      </x:c>
      <x:c r="E1483" s="31" t="inlineStr">
        <x:is>
          <x:t xml:space="preserve">ИЗД-031</x:t>
        </x:is>
      </x:c>
      <x:c r="F1483" s="31" t="n">
        <x:v>40</x:v>
      </x:c>
      <x:c r="G1483" s="31" t="inlineStr">
        <x:is>
          <x:t xml:space="preserve">Сварка рамы</x:t>
        </x:is>
      </x:c>
      <x:c r="H1483" s="31" t="inlineStr">
        <x:is>
          <x:t xml:space="preserve">Сварка</x:t>
        </x:is>
      </x:c>
      <x:c r="I1483" s="31" t="inlineStr">
        <x:is>
          <x:t xml:space="preserve">ОБ-004</x:t>
        </x:is>
      </x:c>
      <x:c r="J1483" s="31" t="inlineStr">
        <x:is>
          <x:t xml:space="preserve">СОТР-072</x:t>
        </x:is>
      </x:c>
      <x:c r="K1483" s="31" t="n">
        <x:v>4.4</x:v>
      </x:c>
      <x:c r="L1483" s="31" t="n">
        <x:v>5.8</x:v>
      </x:c>
      <x:c r="M1483" s="31" t="n">
        <x:v>46127</x:v>
      </x:c>
      <x:c r="N1483" s="31" t="n">
        <x:v>46128</x:v>
      </x:c>
      <x:c r="O1483" s="31" t="n">
        <x:v>46127</x:v>
      </x:c>
      <x:c r="P1483" s="31" t="n">
        <x:v>46130</x:v>
      </x:c>
      <x:c r="Q1483" s="31" t="inlineStr">
        <x:is>
          <x:t xml:space="preserve">Завершено</x:t>
        </x:is>
      </x:c>
      <x:c r="R1483" s="31" t="inlineStr">
        <x:is>
          <x:t xml:space="preserve">Нет</x:t>
        </x:is>
      </x:c>
      <x:c r="S1483" s="31" t="inlineStr">
        <x:is>
          <x:t xml:space="preserve">Нет</x:t>
        </x:is>
      </x:c>
    </x:row>
    <x:row r="1484">
      <x:c r="A1484" s="31" t="inlineStr">
        <x:is>
          <x:t xml:space="preserve">ОП-001483</x:t>
        </x:is>
      </x:c>
      <x:c r="B1484" s="31" t="inlineStr">
        <x:is>
          <x:t xml:space="preserve">ПЗ-00179</x:t>
        </x:is>
      </x:c>
      <x:c r="C1484" s="31" t="inlineStr">
        <x:is>
          <x:t xml:space="preserve">ЗК-1085</x:t>
        </x:is>
      </x:c>
      <x:c r="D1484" s="31" t="inlineStr">
        <x:is>
          <x:t xml:space="preserve">ПОЗ-0085-2</x:t>
        </x:is>
      </x:c>
      <x:c r="E1484" s="31" t="inlineStr">
        <x:is>
          <x:t xml:space="preserve">ИЗД-031</x:t>
        </x:is>
      </x:c>
      <x:c r="F1484" s="31" t="n">
        <x:v>50</x:v>
      </x:c>
      <x:c r="G1484" s="31" t="inlineStr">
        <x:is>
          <x:t xml:space="preserve">Механообработка</x:t>
        </x:is>
      </x:c>
      <x:c r="H1484" s="31" t="inlineStr">
        <x:is>
          <x:t xml:space="preserve">Механообработка</x:t>
        </x:is>
      </x:c>
      <x:c r="I1484" s="31" t="inlineStr">
        <x:is>
          <x:t xml:space="preserve">ОБ-031</x:t>
        </x:is>
      </x:c>
      <x:c r="J1484" s="31" t="inlineStr">
        <x:is>
          <x:t xml:space="preserve">СОТР-046</x:t>
        </x:is>
      </x:c>
      <x:c r="K1484" s="31" t="n">
        <x:v>19.6</x:v>
      </x:c>
      <x:c r="L1484" s="31" t="n">
        <x:v>18.6</x:v>
      </x:c>
      <x:c r="M1484" s="31" t="n">
        <x:v>46128</x:v>
      </x:c>
      <x:c r="N1484" s="31" t="n">
        <x:v>46130</x:v>
      </x:c>
      <x:c r="O1484" s="31" t="n">
        <x:v>46128</x:v>
      </x:c>
      <x:c r="P1484" s="31" t="n">
        <x:v>46131</x:v>
      </x:c>
      <x:c r="Q1484" s="31" t="inlineStr">
        <x:is>
          <x:t xml:space="preserve">Завершено</x:t>
        </x:is>
      </x:c>
      <x:c r="R1484" s="31" t="inlineStr">
        <x:is>
          <x:t xml:space="preserve">Ожидание ОТК</x:t>
        </x:is>
      </x:c>
      <x:c r="S1484" s="31" t="inlineStr">
        <x:is>
          <x:t xml:space="preserve">Нет</x:t>
        </x:is>
      </x:c>
    </x:row>
    <x:row r="1485">
      <x:c r="A1485" s="31" t="inlineStr">
        <x:is>
          <x:t xml:space="preserve">ОП-001484</x:t>
        </x:is>
      </x:c>
      <x:c r="B1485" s="31" t="inlineStr">
        <x:is>
          <x:t xml:space="preserve">ПЗ-00179</x:t>
        </x:is>
      </x:c>
      <x:c r="C1485" s="31" t="inlineStr">
        <x:is>
          <x:t xml:space="preserve">ЗК-1085</x:t>
        </x:is>
      </x:c>
      <x:c r="D1485" s="31" t="inlineStr">
        <x:is>
          <x:t xml:space="preserve">ПОЗ-0085-2</x:t>
        </x:is>
      </x:c>
      <x:c r="E1485" s="31" t="inlineStr">
        <x:is>
          <x:t xml:space="preserve">ИЗД-031</x:t>
        </x:is>
      </x:c>
      <x:c r="F1485" s="31" t="n">
        <x:v>60</x:v>
      </x:c>
      <x:c r="G1485" s="31" t="inlineStr">
        <x:is>
          <x:t xml:space="preserve">Сборка</x:t>
        </x:is>
      </x:c>
      <x:c r="H1485" s="31" t="inlineStr">
        <x:is>
          <x:t xml:space="preserve">Сборка</x:t>
        </x:is>
      </x:c>
      <x:c r="I1485" s="31" t="inlineStr">
        <x:is>
          <x:t xml:space="preserve">ОБ-005</x:t>
        </x:is>
      </x:c>
      <x:c r="J1485" s="31" t="inlineStr">
        <x:is>
          <x:t xml:space="preserve">СОТР-084</x:t>
        </x:is>
      </x:c>
      <x:c r="K1485" s="31" t="n">
        <x:v>5.2</x:v>
      </x:c>
      <x:c r="L1485" s="31" t="n">
        <x:v>4.9</x:v>
      </x:c>
      <x:c r="M1485" s="31" t="n">
        <x:v>46130</x:v>
      </x:c>
      <x:c r="N1485" s="31" t="n">
        <x:v>46131</x:v>
      </x:c>
      <x:c r="O1485" s="31" t="n">
        <x:v>46130</x:v>
      </x:c>
      <x:c r="P1485" s="31" t="n">
        <x:v>46133</x:v>
      </x:c>
      <x:c r="Q1485" s="31" t="inlineStr">
        <x:is>
          <x:t xml:space="preserve">Завершено</x:t>
        </x:is>
      </x:c>
      <x:c r="R1485" s="31" t="inlineStr">
        <x:is>
          <x:t xml:space="preserve">Нет</x:t>
        </x:is>
      </x:c>
      <x:c r="S1485" s="31" t="inlineStr">
        <x:is>
          <x:t xml:space="preserve">Нет</x:t>
        </x:is>
      </x:c>
    </x:row>
    <x:row r="1486">
      <x:c r="A1486" s="31" t="inlineStr">
        <x:is>
          <x:t xml:space="preserve">ОП-001485</x:t>
        </x:is>
      </x:c>
      <x:c r="B1486" s="31" t="inlineStr">
        <x:is>
          <x:t xml:space="preserve">ПЗ-00179</x:t>
        </x:is>
      </x:c>
      <x:c r="C1486" s="31" t="inlineStr">
        <x:is>
          <x:t xml:space="preserve">ЗК-1085</x:t>
        </x:is>
      </x:c>
      <x:c r="D1486" s="31" t="inlineStr">
        <x:is>
          <x:t xml:space="preserve">ПОЗ-0085-2</x:t>
        </x:is>
      </x:c>
      <x:c r="E1486" s="31" t="inlineStr">
        <x:is>
          <x:t xml:space="preserve">ИЗД-031</x:t>
        </x:is>
      </x:c>
      <x:c r="F1486" s="31" t="n">
        <x:v>70</x:v>
      </x:c>
      <x:c r="G1486" s="31" t="inlineStr">
        <x:is>
          <x:t xml:space="preserve">Электромонтаж</x:t>
        </x:is>
      </x:c>
      <x:c r="H1486" s="31" t="inlineStr">
        <x:is>
          <x:t xml:space="preserve">Сборка</x:t>
        </x:is>
      </x:c>
      <x:c r="I1486" s="31" t="inlineStr">
        <x:is>
          <x:t xml:space="preserve">ОБ-014</x:t>
        </x:is>
      </x:c>
      <x:c r="J1486" s="31" t="inlineStr">
        <x:is>
          <x:t xml:space="preserve">СОТР-075</x:t>
        </x:is>
      </x:c>
      <x:c r="K1486" s="31" t="n">
        <x:v>43.2</x:v>
      </x:c>
      <x:c r="L1486" s="31" t="n">
        <x:v>51.9</x:v>
      </x:c>
      <x:c r="M1486" s="31" t="n">
        <x:v>46131</x:v>
      </x:c>
      <x:c r="N1486" s="31" t="n">
        <x:v>46135</x:v>
      </x:c>
      <x:c r="O1486" s="31" t="n">
        <x:v>46131</x:v>
      </x:c>
      <x:c r="P1486" s="31" t="n">
        <x:v>46137</x:v>
      </x:c>
      <x:c r="Q1486" s="31" t="inlineStr">
        <x:is>
          <x:t xml:space="preserve">Завершено</x:t>
        </x:is>
      </x:c>
      <x:c r="R1486" s="31" t="inlineStr">
        <x:is>
          <x:t xml:space="preserve">Нет</x:t>
        </x:is>
      </x:c>
      <x:c r="S1486" s="31" t="inlineStr">
        <x:is>
          <x:t xml:space="preserve">Нет</x:t>
        </x:is>
      </x:c>
    </x:row>
    <x:row r="1487">
      <x:c r="A1487" s="31" t="inlineStr">
        <x:is>
          <x:t xml:space="preserve">ОП-001486</x:t>
        </x:is>
      </x:c>
      <x:c r="B1487" s="31" t="inlineStr">
        <x:is>
          <x:t xml:space="preserve">ПЗ-00179</x:t>
        </x:is>
      </x:c>
      <x:c r="C1487" s="31" t="inlineStr">
        <x:is>
          <x:t xml:space="preserve">ЗК-1085</x:t>
        </x:is>
      </x:c>
      <x:c r="D1487" s="31" t="inlineStr">
        <x:is>
          <x:t xml:space="preserve">ПОЗ-0085-2</x:t>
        </x:is>
      </x:c>
      <x:c r="E1487" s="31" t="inlineStr">
        <x:is>
          <x:t xml:space="preserve">ИЗД-031</x:t>
        </x:is>
      </x:c>
      <x:c r="F1487" s="31" t="n">
        <x:v>80</x:v>
      </x:c>
      <x:c r="G1487" s="31" t="inlineStr">
        <x:is>
          <x:t xml:space="preserve">Гидроиспытания</x:t>
        </x:is>
      </x:c>
      <x:c r="H1487" s="31" t="inlineStr">
        <x:is>
          <x:t xml:space="preserve">ОТК</x:t>
        </x:is>
      </x:c>
      <x:c r="I1487" s="31" t="inlineStr">
        <x:is>
          <x:t xml:space="preserve">ОБ-006</x:t>
        </x:is>
      </x:c>
      <x:c r="J1487" s="31" t="inlineStr">
        <x:is>
          <x:t xml:space="preserve">СОТР-095</x:t>
        </x:is>
      </x:c>
      <x:c r="K1487" s="31" t="n">
        <x:v>35.2</x:v>
      </x:c>
      <x:c r="L1487" s="31" t="n">
        <x:v>36.2</x:v>
      </x:c>
      <x:c r="M1487" s="31" t="n">
        <x:v>46135</x:v>
      </x:c>
      <x:c r="N1487" s="31" t="n">
        <x:v>46138</x:v>
      </x:c>
      <x:c r="O1487" s="31" t="n">
        <x:v>46135</x:v>
      </x:c>
      <x:c r="P1487" s="31" t="n">
        <x:v>46137</x:v>
      </x:c>
      <x:c r="Q1487" s="31" t="inlineStr">
        <x:is>
          <x:t xml:space="preserve">Завершено</x:t>
        </x:is>
      </x:c>
      <x:c r="R1487" s="31" t="inlineStr">
        <x:is>
          <x:t xml:space="preserve">Нет</x:t>
        </x:is>
      </x:c>
      <x:c r="S1487" s="31" t="inlineStr">
        <x:is>
          <x:t xml:space="preserve">Нет</x:t>
        </x:is>
      </x:c>
    </x:row>
    <x:row r="1488">
      <x:c r="A1488" s="31" t="inlineStr">
        <x:is>
          <x:t xml:space="preserve">ОП-001487</x:t>
        </x:is>
      </x:c>
      <x:c r="B1488" s="31" t="inlineStr">
        <x:is>
          <x:t xml:space="preserve">ПЗ-00179</x:t>
        </x:is>
      </x:c>
      <x:c r="C1488" s="31" t="inlineStr">
        <x:is>
          <x:t xml:space="preserve">ЗК-1085</x:t>
        </x:is>
      </x:c>
      <x:c r="D1488" s="31" t="inlineStr">
        <x:is>
          <x:t xml:space="preserve">ПОЗ-0085-2</x:t>
        </x:is>
      </x:c>
      <x:c r="E1488" s="31" t="inlineStr">
        <x:is>
          <x:t xml:space="preserve">ИЗД-031</x:t>
        </x:is>
      </x:c>
      <x:c r="F1488" s="31" t="n">
        <x:v>90</x:v>
      </x:c>
      <x:c r="G1488" s="31" t="inlineStr">
        <x:is>
          <x:t xml:space="preserve">ОТК</x:t>
        </x:is>
      </x:c>
      <x:c r="H1488" s="31" t="inlineStr">
        <x:is>
          <x:t xml:space="preserve">ОТК</x:t>
        </x:is>
      </x:c>
      <x:c r="I1488" s="31" t="inlineStr">
        <x:is>
          <x:t xml:space="preserve">ОБ-033</x:t>
        </x:is>
      </x:c>
      <x:c r="J1488" s="31" t="inlineStr">
        <x:is>
          <x:t xml:space="preserve">СОТР-100</x:t>
        </x:is>
      </x:c>
      <x:c r="K1488" s="31" t="n">
        <x:v>20.4</x:v>
      </x:c>
      <x:c r="L1488" s="31" t="n">
        <x:v>17.5</x:v>
      </x:c>
      <x:c r="M1488" s="31" t="n">
        <x:v>46138</x:v>
      </x:c>
      <x:c r="N1488" s="31" t="n">
        <x:v>46140</x:v>
      </x:c>
      <x:c r="O1488" s="31" t="n">
        <x:v>46138</x:v>
      </x:c>
      <x:c r="P1488" s="31" t="n">
        <x:v>46139</x:v>
      </x:c>
      <x:c r="Q1488" s="31" t="inlineStr">
        <x:is>
          <x:t xml:space="preserve">Завершено</x:t>
        </x:is>
      </x:c>
      <x:c r="R1488" s="31" t="inlineStr">
        <x:is>
          <x:t xml:space="preserve">Оборудование</x:t>
        </x:is>
      </x:c>
      <x:c r="S1488" s="31" t="inlineStr">
        <x:is>
          <x:t xml:space="preserve">Нет</x:t>
        </x:is>
      </x:c>
    </x:row>
    <x:row r="1489">
      <x:c r="A1489" s="31" t="inlineStr">
        <x:is>
          <x:t xml:space="preserve">ОП-001488</x:t>
        </x:is>
      </x:c>
      <x:c r="B1489" s="31" t="inlineStr">
        <x:is>
          <x:t xml:space="preserve">ПЗ-00179</x:t>
        </x:is>
      </x:c>
      <x:c r="C1489" s="31" t="inlineStr">
        <x:is>
          <x:t xml:space="preserve">ЗК-1085</x:t>
        </x:is>
      </x:c>
      <x:c r="D1489" s="31" t="inlineStr">
        <x:is>
          <x:t xml:space="preserve">ПОЗ-0085-2</x:t>
        </x:is>
      </x:c>
      <x:c r="E1489" s="31" t="inlineStr">
        <x:is>
          <x:t xml:space="preserve">ИЗД-031</x:t>
        </x:is>
      </x:c>
      <x:c r="F1489" s="31" t="n">
        <x:v>100</x:v>
      </x:c>
      <x:c r="G1489" s="31" t="inlineStr">
        <x:is>
          <x:t xml:space="preserve">Упаковка</x:t>
        </x:is>
      </x:c>
      <x:c r="H1489" s="31" t="inlineStr">
        <x:is>
          <x:t xml:space="preserve">Логистика</x:t>
        </x:is>
      </x:c>
      <x:c r="I1489" s="31" t="n"/>
      <x:c r="J1489" s="31" t="inlineStr">
        <x:is>
          <x:t xml:space="preserve">СОТР-101</x:t>
        </x:is>
      </x:c>
      <x:c r="K1489" s="31" t="n">
        <x:v>8.800000000000001</x:v>
      </x:c>
      <x:c r="L1489" s="31" t="n">
        <x:v>7.2</x:v>
      </x:c>
      <x:c r="M1489" s="31" t="n">
        <x:v>46140</x:v>
      </x:c>
      <x:c r="N1489" s="31" t="n">
        <x:v>46141</x:v>
      </x:c>
      <x:c r="O1489" s="31" t="n">
        <x:v>46140</x:v>
      </x:c>
      <x:c r="P1489" s="31" t="n">
        <x:v>46140</x:v>
      </x:c>
      <x:c r="Q1489" s="31" t="inlineStr">
        <x:is>
          <x:t xml:space="preserve">Завершено</x:t>
        </x:is>
      </x:c>
      <x:c r="R1489" s="31" t="inlineStr">
        <x:is>
          <x:t xml:space="preserve">Нет</x:t>
        </x:is>
      </x:c>
      <x:c r="S1489" s="31" t="inlineStr">
        <x:is>
          <x:t xml:space="preserve">Нет</x:t>
        </x:is>
      </x:c>
    </x:row>
    <x:row r="1490">
      <x:c r="A1490" s="31" t="inlineStr">
        <x:is>
          <x:t xml:space="preserve">ОП-001489</x:t>
        </x:is>
      </x:c>
      <x:c r="B1490" s="31" t="inlineStr">
        <x:is>
          <x:t xml:space="preserve">ПЗ-00180</x:t>
        </x:is>
      </x:c>
      <x:c r="C1490" s="31" t="inlineStr">
        <x:is>
          <x:t xml:space="preserve">ЗК-1086</x:t>
        </x:is>
      </x:c>
      <x:c r="D1490" s="31" t="inlineStr">
        <x:is>
          <x:t xml:space="preserve">ПОЗ-0086-1</x:t>
        </x:is>
      </x:c>
      <x:c r="E1490" s="31" t="inlineStr">
        <x:is>
          <x:t xml:space="preserve">ИЗД-035</x:t>
        </x:is>
      </x:c>
      <x:c r="F1490" s="31" t="n">
        <x:v>10</x:v>
      </x:c>
      <x:c r="G1490" s="31" t="inlineStr">
        <x:is>
          <x:t xml:space="preserve">КД</x:t>
        </x:is>
      </x:c>
      <x:c r="H1490" s="31" t="inlineStr">
        <x:is>
          <x:t xml:space="preserve">Инженерный отдел</x:t>
        </x:is>
      </x:c>
      <x:c r="I1490" s="31" t="n"/>
      <x:c r="J1490" s="31" t="inlineStr">
        <x:is>
          <x:t xml:space="preserve">СОТР-020</x:t>
        </x:is>
      </x:c>
      <x:c r="K1490" s="31" t="n">
        <x:v>27.6</x:v>
      </x:c>
      <x:c r="L1490" s="31" t="n">
        <x:v>27.9</x:v>
      </x:c>
      <x:c r="M1490" s="31" t="n">
        <x:v>46090</x:v>
      </x:c>
      <x:c r="N1490" s="31" t="n">
        <x:v>46093</x:v>
      </x:c>
      <x:c r="O1490" s="31" t="n">
        <x:v>46090</x:v>
      </x:c>
      <x:c r="P1490" s="31" t="n">
        <x:v>46093</x:v>
      </x:c>
      <x:c r="Q1490" s="31" t="inlineStr">
        <x:is>
          <x:t xml:space="preserve">Завершено</x:t>
        </x:is>
      </x:c>
      <x:c r="R1490" s="31" t="inlineStr">
        <x:is>
          <x:t xml:space="preserve">Нет</x:t>
        </x:is>
      </x:c>
      <x:c r="S1490" s="31" t="inlineStr">
        <x:is>
          <x:t xml:space="preserve">Нет</x:t>
        </x:is>
      </x:c>
    </x:row>
    <x:row r="1491">
      <x:c r="A1491" s="31" t="inlineStr">
        <x:is>
          <x:t xml:space="preserve">ОП-001490</x:t>
        </x:is>
      </x:c>
      <x:c r="B1491" s="31" t="inlineStr">
        <x:is>
          <x:t xml:space="preserve">ПЗ-00180</x:t>
        </x:is>
      </x:c>
      <x:c r="C1491" s="31" t="inlineStr">
        <x:is>
          <x:t xml:space="preserve">ЗК-1086</x:t>
        </x:is>
      </x:c>
      <x:c r="D1491" s="31" t="inlineStr">
        <x:is>
          <x:t xml:space="preserve">ПОЗ-0086-1</x:t>
        </x:is>
      </x:c>
      <x:c r="E1491" s="31" t="inlineStr">
        <x:is>
          <x:t xml:space="preserve">ИЗД-035</x:t>
        </x:is>
      </x:c>
      <x:c r="F1491" s="31" t="n">
        <x:v>20</x:v>
      </x:c>
      <x:c r="G1491" s="31" t="inlineStr">
        <x:is>
          <x:t xml:space="preserve">Резерв материалов</x:t>
        </x:is>
      </x:c>
      <x:c r="H1491" s="31" t="inlineStr">
        <x:is>
          <x:t xml:space="preserve">Склад</x:t>
        </x:is>
      </x:c>
      <x:c r="I1491" s="31" t="inlineStr">
        <x:is>
          <x:t xml:space="preserve">ОБ-023</x:t>
        </x:is>
      </x:c>
      <x:c r="J1491" s="31" t="inlineStr">
        <x:is>
          <x:t xml:space="preserve">СОТР-033</x:t>
        </x:is>
      </x:c>
      <x:c r="K1491" s="31" t="n">
        <x:v>40.8</x:v>
      </x:c>
      <x:c r="L1491" s="31" t="n">
        <x:v>41.6</x:v>
      </x:c>
      <x:c r="M1491" s="31" t="n">
        <x:v>46093</x:v>
      </x:c>
      <x:c r="N1491" s="31" t="n">
        <x:v>46097</x:v>
      </x:c>
      <x:c r="O1491" s="31" t="n">
        <x:v>46093</x:v>
      </x:c>
      <x:c r="P1491" s="31" t="n">
        <x:v>46098</x:v>
      </x:c>
      <x:c r="Q1491" s="31" t="inlineStr">
        <x:is>
          <x:t xml:space="preserve">Завершено</x:t>
        </x:is>
      </x:c>
      <x:c r="R1491" s="31" t="inlineStr">
        <x:is>
          <x:t xml:space="preserve">Нет</x:t>
        </x:is>
      </x:c>
      <x:c r="S1491" s="31" t="inlineStr">
        <x:is>
          <x:t xml:space="preserve">Нет</x:t>
        </x:is>
      </x:c>
    </x:row>
    <x:row r="1492">
      <x:c r="A1492" s="31" t="inlineStr">
        <x:is>
          <x:t xml:space="preserve">ОП-001491</x:t>
        </x:is>
      </x:c>
      <x:c r="B1492" s="31" t="inlineStr">
        <x:is>
          <x:t xml:space="preserve">ПЗ-00180</x:t>
        </x:is>
      </x:c>
      <x:c r="C1492" s="31" t="inlineStr">
        <x:is>
          <x:t xml:space="preserve">ЗК-1086</x:t>
        </x:is>
      </x:c>
      <x:c r="D1492" s="31" t="inlineStr">
        <x:is>
          <x:t xml:space="preserve">ПОЗ-0086-1</x:t>
        </x:is>
      </x:c>
      <x:c r="E1492" s="31" t="inlineStr">
        <x:is>
          <x:t xml:space="preserve">ИЗД-035</x:t>
        </x:is>
      </x:c>
      <x:c r="F1492" s="31" t="n">
        <x:v>30</x:v>
      </x:c>
      <x:c r="G1492" s="31" t="inlineStr">
        <x:is>
          <x:t xml:space="preserve">Резка металла</x:t>
        </x:is>
      </x:c>
      <x:c r="H1492" s="31" t="inlineStr">
        <x:is>
          <x:t xml:space="preserve">Сварка</x:t>
        </x:is>
      </x:c>
      <x:c r="I1492" s="31" t="inlineStr">
        <x:is>
          <x:t xml:space="preserve">ОБ-021</x:t>
        </x:is>
      </x:c>
      <x:c r="J1492" s="31" t="inlineStr">
        <x:is>
          <x:t xml:space="preserve">СОТР-062</x:t>
        </x:is>
      </x:c>
      <x:c r="K1492" s="31" t="n">
        <x:v>18.8</x:v>
      </x:c>
      <x:c r="L1492" s="31" t="n">
        <x:v>18.4</x:v>
      </x:c>
      <x:c r="M1492" s="31" t="n">
        <x:v>46097</x:v>
      </x:c>
      <x:c r="N1492" s="31" t="n">
        <x:v>46099</x:v>
      </x:c>
      <x:c r="O1492" s="31" t="n">
        <x:v>46097</x:v>
      </x:c>
      <x:c r="P1492" s="31" t="n">
        <x:v>46099</x:v>
      </x:c>
      <x:c r="Q1492" s="31" t="inlineStr">
        <x:is>
          <x:t xml:space="preserve">Завершено</x:t>
        </x:is>
      </x:c>
      <x:c r="R1492" s="31" t="inlineStr">
        <x:is>
          <x:t xml:space="preserve">Нет</x:t>
        </x:is>
      </x:c>
      <x:c r="S1492" s="31" t="inlineStr">
        <x:is>
          <x:t xml:space="preserve">Нет</x:t>
        </x:is>
      </x:c>
    </x:row>
    <x:row r="1493">
      <x:c r="A1493" s="31" t="inlineStr">
        <x:is>
          <x:t xml:space="preserve">ОП-001492</x:t>
        </x:is>
      </x:c>
      <x:c r="B1493" s="31" t="inlineStr">
        <x:is>
          <x:t xml:space="preserve">ПЗ-00180</x:t>
        </x:is>
      </x:c>
      <x:c r="C1493" s="31" t="inlineStr">
        <x:is>
          <x:t xml:space="preserve">ЗК-1086</x:t>
        </x:is>
      </x:c>
      <x:c r="D1493" s="31" t="inlineStr">
        <x:is>
          <x:t xml:space="preserve">ПОЗ-0086-1</x:t>
        </x:is>
      </x:c>
      <x:c r="E1493" s="31" t="inlineStr">
        <x:is>
          <x:t xml:space="preserve">ИЗД-035</x:t>
        </x:is>
      </x:c>
      <x:c r="F1493" s="31" t="n">
        <x:v>40</x:v>
      </x:c>
      <x:c r="G1493" s="31" t="inlineStr">
        <x:is>
          <x:t xml:space="preserve">Сварка рамы</x:t>
        </x:is>
      </x:c>
      <x:c r="H1493" s="31" t="inlineStr">
        <x:is>
          <x:t xml:space="preserve">Сварка</x:t>
        </x:is>
      </x:c>
      <x:c r="I1493" s="31" t="inlineStr">
        <x:is>
          <x:t xml:space="preserve">ОБ-035</x:t>
        </x:is>
      </x:c>
      <x:c r="J1493" s="31" t="inlineStr">
        <x:is>
          <x:t xml:space="preserve">СОТР-071</x:t>
        </x:is>
      </x:c>
      <x:c r="K1493" s="31" t="n">
        <x:v>9.199999999999999</x:v>
      </x:c>
      <x:c r="L1493" s="31" t="n">
        <x:v>9.300000000000001</x:v>
      </x:c>
      <x:c r="M1493" s="31" t="n">
        <x:v>46099</x:v>
      </x:c>
      <x:c r="N1493" s="31" t="n">
        <x:v>46100</x:v>
      </x:c>
      <x:c r="O1493" s="31" t="n">
        <x:v>46099</x:v>
      </x:c>
      <x:c r="P1493" s="31" t="n">
        <x:v>46100</x:v>
      </x:c>
      <x:c r="Q1493" s="31" t="inlineStr">
        <x:is>
          <x:t xml:space="preserve">Завершено</x:t>
        </x:is>
      </x:c>
      <x:c r="R1493" s="31" t="inlineStr">
        <x:is>
          <x:t xml:space="preserve">Нет</x:t>
        </x:is>
      </x:c>
      <x:c r="S1493" s="31" t="inlineStr">
        <x:is>
          <x:t xml:space="preserve">Нет</x:t>
        </x:is>
      </x:c>
    </x:row>
    <x:row r="1494">
      <x:c r="A1494" s="31" t="inlineStr">
        <x:is>
          <x:t xml:space="preserve">ОП-001493</x:t>
        </x:is>
      </x:c>
      <x:c r="B1494" s="31" t="inlineStr">
        <x:is>
          <x:t xml:space="preserve">ПЗ-00180</x:t>
        </x:is>
      </x:c>
      <x:c r="C1494" s="31" t="inlineStr">
        <x:is>
          <x:t xml:space="preserve">ЗК-1086</x:t>
        </x:is>
      </x:c>
      <x:c r="D1494" s="31" t="inlineStr">
        <x:is>
          <x:t xml:space="preserve">ПОЗ-0086-1</x:t>
        </x:is>
      </x:c>
      <x:c r="E1494" s="31" t="inlineStr">
        <x:is>
          <x:t xml:space="preserve">ИЗД-035</x:t>
        </x:is>
      </x:c>
      <x:c r="F1494" s="31" t="n">
        <x:v>50</x:v>
      </x:c>
      <x:c r="G1494" s="31" t="inlineStr">
        <x:is>
          <x:t xml:space="preserve">Механообработка</x:t>
        </x:is>
      </x:c>
      <x:c r="H1494" s="31" t="inlineStr">
        <x:is>
          <x:t xml:space="preserve">Механообработка</x:t>
        </x:is>
      </x:c>
      <x:c r="I1494" s="31" t="inlineStr">
        <x:is>
          <x:t xml:space="preserve">ОБ-031</x:t>
        </x:is>
      </x:c>
      <x:c r="J1494" s="31" t="inlineStr">
        <x:is>
          <x:t xml:space="preserve">СОТР-045</x:t>
        </x:is>
      </x:c>
      <x:c r="K1494" s="31" t="n">
        <x:v>27.6</x:v>
      </x:c>
      <x:c r="L1494" s="31" t="n">
        <x:v>31.2</x:v>
      </x:c>
      <x:c r="M1494" s="31" t="n">
        <x:v>46100</x:v>
      </x:c>
      <x:c r="N1494" s="31" t="n">
        <x:v>46103</x:v>
      </x:c>
      <x:c r="O1494" s="31" t="n">
        <x:v>46100</x:v>
      </x:c>
      <x:c r="P1494" s="31" t="n">
        <x:v>46103</x:v>
      </x:c>
      <x:c r="Q1494" s="31" t="inlineStr">
        <x:is>
          <x:t xml:space="preserve">Завершено</x:t>
        </x:is>
      </x:c>
      <x:c r="R1494" s="31" t="inlineStr">
        <x:is>
          <x:t xml:space="preserve">Нет</x:t>
        </x:is>
      </x:c>
      <x:c r="S1494" s="31" t="inlineStr">
        <x:is>
          <x:t xml:space="preserve">Нет</x:t>
        </x:is>
      </x:c>
    </x:row>
    <x:row r="1495">
      <x:c r="A1495" s="31" t="inlineStr">
        <x:is>
          <x:t xml:space="preserve">ОП-001494</x:t>
        </x:is>
      </x:c>
      <x:c r="B1495" s="31" t="inlineStr">
        <x:is>
          <x:t xml:space="preserve">ПЗ-00180</x:t>
        </x:is>
      </x:c>
      <x:c r="C1495" s="31" t="inlineStr">
        <x:is>
          <x:t xml:space="preserve">ЗК-1086</x:t>
        </x:is>
      </x:c>
      <x:c r="D1495" s="31" t="inlineStr">
        <x:is>
          <x:t xml:space="preserve">ПОЗ-0086-1</x:t>
        </x:is>
      </x:c>
      <x:c r="E1495" s="31" t="inlineStr">
        <x:is>
          <x:t xml:space="preserve">ИЗД-035</x:t>
        </x:is>
      </x:c>
      <x:c r="F1495" s="31" t="n">
        <x:v>60</x:v>
      </x:c>
      <x:c r="G1495" s="31" t="inlineStr">
        <x:is>
          <x:t xml:space="preserve">Сборка</x:t>
        </x:is>
      </x:c>
      <x:c r="H1495" s="31" t="inlineStr">
        <x:is>
          <x:t xml:space="preserve">Сборка</x:t>
        </x:is>
      </x:c>
      <x:c r="I1495" s="31" t="inlineStr">
        <x:is>
          <x:t xml:space="preserve">ОБ-012</x:t>
        </x:is>
      </x:c>
      <x:c r="J1495" s="31" t="inlineStr">
        <x:is>
          <x:t xml:space="preserve">СОТР-083</x:t>
        </x:is>
      </x:c>
      <x:c r="K1495" s="31" t="n">
        <x:v>5.6</x:v>
      </x:c>
      <x:c r="L1495" s="31" t="n">
        <x:v>5.1</x:v>
      </x:c>
      <x:c r="M1495" s="31" t="n">
        <x:v>46103</x:v>
      </x:c>
      <x:c r="N1495" s="31" t="n">
        <x:v>46104</x:v>
      </x:c>
      <x:c r="O1495" s="31" t="n">
        <x:v>46103</x:v>
      </x:c>
      <x:c r="P1495" s="31" t="n">
        <x:v>46103</x:v>
      </x:c>
      <x:c r="Q1495" s="31" t="inlineStr">
        <x:is>
          <x:t xml:space="preserve">Завершено</x:t>
        </x:is>
      </x:c>
      <x:c r="R1495" s="31" t="inlineStr">
        <x:is>
          <x:t xml:space="preserve">Материал</x:t>
        </x:is>
      </x:c>
      <x:c r="S1495" s="31" t="inlineStr">
        <x:is>
          <x:t xml:space="preserve">Нет</x:t>
        </x:is>
      </x:c>
    </x:row>
    <x:row r="1496">
      <x:c r="A1496" s="31" t="inlineStr">
        <x:is>
          <x:t xml:space="preserve">ОП-001495</x:t>
        </x:is>
      </x:c>
      <x:c r="B1496" s="31" t="inlineStr">
        <x:is>
          <x:t xml:space="preserve">ПЗ-00180</x:t>
        </x:is>
      </x:c>
      <x:c r="C1496" s="31" t="inlineStr">
        <x:is>
          <x:t xml:space="preserve">ЗК-1086</x:t>
        </x:is>
      </x:c>
      <x:c r="D1496" s="31" t="inlineStr">
        <x:is>
          <x:t xml:space="preserve">ПОЗ-0086-1</x:t>
        </x:is>
      </x:c>
      <x:c r="E1496" s="31" t="inlineStr">
        <x:is>
          <x:t xml:space="preserve">ИЗД-035</x:t>
        </x:is>
      </x:c>
      <x:c r="F1496" s="31" t="n">
        <x:v>70</x:v>
      </x:c>
      <x:c r="G1496" s="31" t="inlineStr">
        <x:is>
          <x:t xml:space="preserve">Обвязка труб</x:t>
        </x:is>
      </x:c>
      <x:c r="H1496" s="31" t="inlineStr">
        <x:is>
          <x:t xml:space="preserve">Сборка</x:t>
        </x:is>
      </x:c>
      <x:c r="I1496" s="31" t="inlineStr">
        <x:is>
          <x:t xml:space="preserve">ОБ-002</x:t>
        </x:is>
      </x:c>
      <x:c r="J1496" s="31" t="inlineStr">
        <x:is>
          <x:t xml:space="preserve">СОТР-074</x:t>
        </x:is>
      </x:c>
      <x:c r="K1496" s="31" t="n">
        <x:v>44</x:v>
      </x:c>
      <x:c r="L1496" s="31" t="n">
        <x:v>39.6</x:v>
      </x:c>
      <x:c r="M1496" s="31" t="n">
        <x:v>46104</x:v>
      </x:c>
      <x:c r="N1496" s="31" t="n">
        <x:v>46108</x:v>
      </x:c>
      <x:c r="O1496" s="31" t="n">
        <x:v>46104</x:v>
      </x:c>
      <x:c r="P1496" s="31" t="n">
        <x:v>46107</x:v>
      </x:c>
      <x:c r="Q1496" s="31" t="inlineStr">
        <x:is>
          <x:t xml:space="preserve">Завершено</x:t>
        </x:is>
      </x:c>
      <x:c r="R1496" s="31" t="inlineStr">
        <x:is>
          <x:t xml:space="preserve">Нет</x:t>
        </x:is>
      </x:c>
      <x:c r="S1496" s="31" t="inlineStr">
        <x:is>
          <x:t xml:space="preserve">Да</x:t>
        </x:is>
      </x:c>
    </x:row>
    <x:row r="1497">
      <x:c r="A1497" s="31" t="inlineStr">
        <x:is>
          <x:t xml:space="preserve">ОП-001496</x:t>
        </x:is>
      </x:c>
      <x:c r="B1497" s="31" t="inlineStr">
        <x:is>
          <x:t xml:space="preserve">ПЗ-00180</x:t>
        </x:is>
      </x:c>
      <x:c r="C1497" s="31" t="inlineStr">
        <x:is>
          <x:t xml:space="preserve">ЗК-1086</x:t>
        </x:is>
      </x:c>
      <x:c r="D1497" s="31" t="inlineStr">
        <x:is>
          <x:t xml:space="preserve">ПОЗ-0086-1</x:t>
        </x:is>
      </x:c>
      <x:c r="E1497" s="31" t="inlineStr">
        <x:is>
          <x:t xml:space="preserve">ИЗД-035</x:t>
        </x:is>
      </x:c>
      <x:c r="F1497" s="31" t="n">
        <x:v>80</x:v>
      </x:c>
      <x:c r="G1497" s="31" t="inlineStr">
        <x:is>
          <x:t xml:space="preserve">Электромонтаж</x:t>
        </x:is>
      </x:c>
      <x:c r="H1497" s="31" t="inlineStr">
        <x:is>
          <x:t xml:space="preserve">Сборка</x:t>
        </x:is>
      </x:c>
      <x:c r="I1497" s="31" t="inlineStr">
        <x:is>
          <x:t xml:space="preserve">ОБ-002</x:t>
        </x:is>
      </x:c>
      <x:c r="J1497" s="31" t="inlineStr">
        <x:is>
          <x:t xml:space="preserve">СОТР-088</x:t>
        </x:is>
      </x:c>
      <x:c r="K1497" s="31" t="n">
        <x:v>4.8</x:v>
      </x:c>
      <x:c r="L1497" s="31" t="n"/>
      <x:c r="M1497" s="31" t="n">
        <x:v>46108</x:v>
      </x:c>
      <x:c r="N1497" s="31" t="n">
        <x:v>46109</x:v>
      </x:c>
      <x:c r="O1497" s="31" t="n"/>
      <x:c r="P1497" s="31" t="n"/>
      <x:c r="Q1497" s="31" t="inlineStr">
        <x:is>
          <x:t xml:space="preserve">Запланировано</x:t>
        </x:is>
      </x:c>
      <x:c r="R1497" s="31" t="inlineStr">
        <x:is>
          <x:t xml:space="preserve">Нет</x:t>
        </x:is>
      </x:c>
      <x:c r="S1497" s="31" t="inlineStr">
        <x:is>
          <x:t xml:space="preserve">Нет</x:t>
        </x:is>
      </x:c>
    </x:row>
    <x:row r="1498">
      <x:c r="A1498" s="31" t="inlineStr">
        <x:is>
          <x:t xml:space="preserve">ОП-001497</x:t>
        </x:is>
      </x:c>
      <x:c r="B1498" s="31" t="inlineStr">
        <x:is>
          <x:t xml:space="preserve">ПЗ-00180</x:t>
        </x:is>
      </x:c>
      <x:c r="C1498" s="31" t="inlineStr">
        <x:is>
          <x:t xml:space="preserve">ЗК-1086</x:t>
        </x:is>
      </x:c>
      <x:c r="D1498" s="31" t="inlineStr">
        <x:is>
          <x:t xml:space="preserve">ПОЗ-0086-1</x:t>
        </x:is>
      </x:c>
      <x:c r="E1498" s="31" t="inlineStr">
        <x:is>
          <x:t xml:space="preserve">ИЗД-035</x:t>
        </x:is>
      </x:c>
      <x:c r="F1498" s="31" t="n">
        <x:v>90</x:v>
      </x:c>
      <x:c r="G1498" s="31" t="inlineStr">
        <x:is>
          <x:t xml:space="preserve">Приемочные испытания</x:t>
        </x:is>
      </x:c>
      <x:c r="H1498" s="31" t="inlineStr">
        <x:is>
          <x:t xml:space="preserve">ОТК</x:t>
        </x:is>
      </x:c>
      <x:c r="I1498" s="31" t="inlineStr">
        <x:is>
          <x:t xml:space="preserve">ОБ-033</x:t>
        </x:is>
      </x:c>
      <x:c r="J1498" s="31" t="inlineStr">
        <x:is>
          <x:t xml:space="preserve">СОТР-063</x:t>
        </x:is>
      </x:c>
      <x:c r="K1498" s="31" t="n">
        <x:v>8.4</x:v>
      </x:c>
      <x:c r="L1498" s="31" t="n">
        <x:v>9.9</x:v>
      </x:c>
      <x:c r="M1498" s="31" t="n">
        <x:v>46109</x:v>
      </x:c>
      <x:c r="N1498" s="31" t="n">
        <x:v>46110</x:v>
      </x:c>
      <x:c r="O1498" s="31" t="n">
        <x:v>46109</x:v>
      </x:c>
      <x:c r="P1498" s="31" t="n">
        <x:v>46112</x:v>
      </x:c>
      <x:c r="Q1498" s="31" t="inlineStr">
        <x:is>
          <x:t xml:space="preserve">Завершено</x:t>
        </x:is>
      </x:c>
      <x:c r="R1498" s="31" t="inlineStr">
        <x:is>
          <x:t xml:space="preserve">Нет</x:t>
        </x:is>
      </x:c>
      <x:c r="S1498" s="31" t="inlineStr">
        <x:is>
          <x:t xml:space="preserve">Нет</x:t>
        </x:is>
      </x:c>
    </x:row>
    <x:row r="1499">
      <x:c r="A1499" s="31" t="inlineStr">
        <x:is>
          <x:t xml:space="preserve">ОП-001498</x:t>
        </x:is>
      </x:c>
      <x:c r="B1499" s="31" t="inlineStr">
        <x:is>
          <x:t xml:space="preserve">ПЗ-00180</x:t>
        </x:is>
      </x:c>
      <x:c r="C1499" s="31" t="inlineStr">
        <x:is>
          <x:t xml:space="preserve">ЗК-1086</x:t>
        </x:is>
      </x:c>
      <x:c r="D1499" s="31" t="inlineStr">
        <x:is>
          <x:t xml:space="preserve">ПОЗ-0086-1</x:t>
        </x:is>
      </x:c>
      <x:c r="E1499" s="31" t="inlineStr">
        <x:is>
          <x:t xml:space="preserve">ИЗД-035</x:t>
        </x:is>
      </x:c>
      <x:c r="F1499" s="31" t="n">
        <x:v>100</x:v>
      </x:c>
      <x:c r="G1499" s="31" t="inlineStr">
        <x:is>
          <x:t xml:space="preserve">ОТК</x:t>
        </x:is>
      </x:c>
      <x:c r="H1499" s="31" t="inlineStr">
        <x:is>
          <x:t xml:space="preserve">ОТК</x:t>
        </x:is>
      </x:c>
      <x:c r="I1499" s="31" t="inlineStr">
        <x:is>
          <x:t xml:space="preserve">ОБ-006</x:t>
        </x:is>
      </x:c>
      <x:c r="J1499" s="31" t="inlineStr">
        <x:is>
          <x:t xml:space="preserve">СОТР-092</x:t>
        </x:is>
      </x:c>
      <x:c r="K1499" s="31" t="n">
        <x:v>40</x:v>
      </x:c>
      <x:c r="L1499" s="31" t="n"/>
      <x:c r="M1499" s="31" t="n">
        <x:v>46110</x:v>
      </x:c>
      <x:c r="N1499" s="31" t="n">
        <x:v>46114</x:v>
      </x:c>
      <x:c r="O1499" s="31" t="n"/>
      <x:c r="P1499" s="31" t="n"/>
      <x:c r="Q1499" s="31" t="inlineStr">
        <x:is>
          <x:t xml:space="preserve">Запланировано</x:t>
        </x:is>
      </x:c>
      <x:c r="R1499" s="31" t="inlineStr">
        <x:is>
          <x:t xml:space="preserve">Нет</x:t>
        </x:is>
      </x:c>
      <x:c r="S1499" s="31" t="inlineStr">
        <x:is>
          <x:t xml:space="preserve">Да</x:t>
        </x:is>
      </x:c>
    </x:row>
    <x:row r="1500">
      <x:c r="A1500" s="31" t="inlineStr">
        <x:is>
          <x:t xml:space="preserve">ОП-001499</x:t>
        </x:is>
      </x:c>
      <x:c r="B1500" s="31" t="inlineStr">
        <x:is>
          <x:t xml:space="preserve">ПЗ-00180</x:t>
        </x:is>
      </x:c>
      <x:c r="C1500" s="31" t="inlineStr">
        <x:is>
          <x:t xml:space="preserve">ЗК-1086</x:t>
        </x:is>
      </x:c>
      <x:c r="D1500" s="31" t="inlineStr">
        <x:is>
          <x:t xml:space="preserve">ПОЗ-0086-1</x:t>
        </x:is>
      </x:c>
      <x:c r="E1500" s="31" t="inlineStr">
        <x:is>
          <x:t xml:space="preserve">ИЗД-035</x:t>
        </x:is>
      </x:c>
      <x:c r="F1500" s="31" t="n">
        <x:v>110</x:v>
      </x:c>
      <x:c r="G1500" s="31" t="inlineStr">
        <x:is>
          <x:t xml:space="preserve">Упаковка</x:t>
        </x:is>
      </x:c>
      <x:c r="H1500" s="31" t="inlineStr">
        <x:is>
          <x:t xml:space="preserve">Логистика</x:t>
        </x:is>
      </x:c>
      <x:c r="I1500" s="31" t="n"/>
      <x:c r="J1500" s="31" t="inlineStr">
        <x:is>
          <x:t xml:space="preserve">СОТР-101</x:t>
        </x:is>
      </x:c>
      <x:c r="K1500" s="31" t="n">
        <x:v>31.2</x:v>
      </x:c>
      <x:c r="L1500" s="31" t="n"/>
      <x:c r="M1500" s="31" t="n">
        <x:v>46114</x:v>
      </x:c>
      <x:c r="N1500" s="31" t="n">
        <x:v>46117</x:v>
      </x:c>
      <x:c r="O1500" s="31" t="n"/>
      <x:c r="P1500" s="31" t="n"/>
      <x:c r="Q1500" s="31" t="inlineStr">
        <x:is>
          <x:t xml:space="preserve">Запланировано</x:t>
        </x:is>
      </x:c>
      <x:c r="R1500" s="31" t="inlineStr">
        <x:is>
          <x:t xml:space="preserve">Нет</x:t>
        </x:is>
      </x:c>
      <x:c r="S1500" s="31" t="inlineStr">
        <x:is>
          <x:t xml:space="preserve">Нет</x:t>
        </x:is>
      </x:c>
    </x:row>
    <x:row r="1501">
      <x:c r="A1501" s="31" t="inlineStr">
        <x:is>
          <x:t xml:space="preserve">ОП-001500</x:t>
        </x:is>
      </x:c>
      <x:c r="B1501" s="31" t="inlineStr">
        <x:is>
          <x:t xml:space="preserve">ПЗ-00181</x:t>
        </x:is>
      </x:c>
      <x:c r="C1501" s="31" t="inlineStr">
        <x:is>
          <x:t xml:space="preserve">ЗК-1087</x:t>
        </x:is>
      </x:c>
      <x:c r="D1501" s="31" t="inlineStr">
        <x:is>
          <x:t xml:space="preserve">ПОЗ-0087-1</x:t>
        </x:is>
      </x:c>
      <x:c r="E1501" s="31" t="inlineStr">
        <x:is>
          <x:t xml:space="preserve">ИЗД-031</x:t>
        </x:is>
      </x:c>
      <x:c r="F1501" s="31" t="n">
        <x:v>10</x:v>
      </x:c>
      <x:c r="G1501" s="31" t="inlineStr">
        <x:is>
          <x:t xml:space="preserve">КД</x:t>
        </x:is>
      </x:c>
      <x:c r="H1501" s="31" t="inlineStr">
        <x:is>
          <x:t xml:space="preserve">Инженерный отдел</x:t>
        </x:is>
      </x:c>
      <x:c r="I1501" s="31" t="n"/>
      <x:c r="J1501" s="31" t="inlineStr">
        <x:is>
          <x:t xml:space="preserve">СОТР-015</x:t>
        </x:is>
      </x:c>
      <x:c r="K1501" s="31" t="n">
        <x:v>36.8</x:v>
      </x:c>
      <x:c r="L1501" s="31" t="n">
        <x:v>48</x:v>
      </x:c>
      <x:c r="M1501" s="31" t="n">
        <x:v>46053</x:v>
      </x:c>
      <x:c r="N1501" s="31" t="n">
        <x:v>46057</x:v>
      </x:c>
      <x:c r="O1501" s="31" t="n">
        <x:v>46053</x:v>
      </x:c>
      <x:c r="P1501" s="31" t="n">
        <x:v>46059</x:v>
      </x:c>
      <x:c r="Q1501" s="31" t="inlineStr">
        <x:is>
          <x:t xml:space="preserve">Завершено</x:t>
        </x:is>
      </x:c>
      <x:c r="R1501" s="31" t="inlineStr">
        <x:is>
          <x:t xml:space="preserve">Нет</x:t>
        </x:is>
      </x:c>
      <x:c r="S1501" s="31" t="inlineStr">
        <x:is>
          <x:t xml:space="preserve">Нет</x:t>
        </x:is>
      </x:c>
    </x:row>
    <x:row r="1502">
      <x:c r="A1502" s="31" t="inlineStr">
        <x:is>
          <x:t xml:space="preserve">ОП-001501</x:t>
        </x:is>
      </x:c>
      <x:c r="B1502" s="31" t="inlineStr">
        <x:is>
          <x:t xml:space="preserve">ПЗ-00181</x:t>
        </x:is>
      </x:c>
      <x:c r="C1502" s="31" t="inlineStr">
        <x:is>
          <x:t xml:space="preserve">ЗК-1087</x:t>
        </x:is>
      </x:c>
      <x:c r="D1502" s="31" t="inlineStr">
        <x:is>
          <x:t xml:space="preserve">ПОЗ-0087-1</x:t>
        </x:is>
      </x:c>
      <x:c r="E1502" s="31" t="inlineStr">
        <x:is>
          <x:t xml:space="preserve">ИЗД-031</x:t>
        </x:is>
      </x:c>
      <x:c r="F1502" s="31" t="n">
        <x:v>20</x:v>
      </x:c>
      <x:c r="G1502" s="31" t="inlineStr">
        <x:is>
          <x:t xml:space="preserve">Резерв материалов</x:t>
        </x:is>
      </x:c>
      <x:c r="H1502" s="31" t="inlineStr">
        <x:is>
          <x:t xml:space="preserve">Склад</x:t>
        </x:is>
      </x:c>
      <x:c r="I1502" s="31" t="inlineStr">
        <x:is>
          <x:t xml:space="preserve">ОБ-011</x:t>
        </x:is>
      </x:c>
      <x:c r="J1502" s="31" t="inlineStr">
        <x:is>
          <x:t xml:space="preserve">СОТР-035</x:t>
        </x:is>
      </x:c>
      <x:c r="K1502" s="31" t="n">
        <x:v>12.4</x:v>
      </x:c>
      <x:c r="L1502" s="31" t="n">
        <x:v>13.6</x:v>
      </x:c>
      <x:c r="M1502" s="31" t="n">
        <x:v>46057</x:v>
      </x:c>
      <x:c r="N1502" s="31" t="n">
        <x:v>46059</x:v>
      </x:c>
      <x:c r="O1502" s="31" t="n">
        <x:v>46057</x:v>
      </x:c>
      <x:c r="P1502" s="31" t="n">
        <x:v>46060</x:v>
      </x:c>
      <x:c r="Q1502" s="31" t="inlineStr">
        <x:is>
          <x:t xml:space="preserve">Завершено</x:t>
        </x:is>
      </x:c>
      <x:c r="R1502" s="31" t="inlineStr">
        <x:is>
          <x:t xml:space="preserve">Нет</x:t>
        </x:is>
      </x:c>
      <x:c r="S1502" s="31" t="inlineStr">
        <x:is>
          <x:t xml:space="preserve">Нет</x:t>
        </x:is>
      </x:c>
    </x:row>
    <x:row r="1503">
      <x:c r="A1503" s="31" t="inlineStr">
        <x:is>
          <x:t xml:space="preserve">ОП-001502</x:t>
        </x:is>
      </x:c>
      <x:c r="B1503" s="31" t="inlineStr">
        <x:is>
          <x:t xml:space="preserve">ПЗ-00181</x:t>
        </x:is>
      </x:c>
      <x:c r="C1503" s="31" t="inlineStr">
        <x:is>
          <x:t xml:space="preserve">ЗК-1087</x:t>
        </x:is>
      </x:c>
      <x:c r="D1503" s="31" t="inlineStr">
        <x:is>
          <x:t xml:space="preserve">ПОЗ-0087-1</x:t>
        </x:is>
      </x:c>
      <x:c r="E1503" s="31" t="inlineStr">
        <x:is>
          <x:t xml:space="preserve">ИЗД-031</x:t>
        </x:is>
      </x:c>
      <x:c r="F1503" s="31" t="n">
        <x:v>30</x:v>
      </x:c>
      <x:c r="G1503" s="31" t="inlineStr">
        <x:is>
          <x:t xml:space="preserve">Резка металла</x:t>
        </x:is>
      </x:c>
      <x:c r="H1503" s="31" t="inlineStr">
        <x:is>
          <x:t xml:space="preserve">Сварка</x:t>
        </x:is>
      </x:c>
      <x:c r="I1503" s="31" t="inlineStr">
        <x:is>
          <x:t xml:space="preserve">ОБ-003</x:t>
        </x:is>
      </x:c>
      <x:c r="J1503" s="31" t="inlineStr">
        <x:is>
          <x:t xml:space="preserve">СОТР-066</x:t>
        </x:is>
      </x:c>
      <x:c r="K1503" s="31" t="n">
        <x:v>17.6</x:v>
      </x:c>
      <x:c r="L1503" s="31" t="n">
        <x:v>14.9</x:v>
      </x:c>
      <x:c r="M1503" s="31" t="n">
        <x:v>46059</x:v>
      </x:c>
      <x:c r="N1503" s="31" t="n">
        <x:v>46061</x:v>
      </x:c>
      <x:c r="O1503" s="31" t="n">
        <x:v>46059</x:v>
      </x:c>
      <x:c r="P1503" s="31" t="n">
        <x:v>46062</x:v>
      </x:c>
      <x:c r="Q1503" s="31" t="inlineStr">
        <x:is>
          <x:t xml:space="preserve">Завершено</x:t>
        </x:is>
      </x:c>
      <x:c r="R1503" s="31" t="inlineStr">
        <x:is>
          <x:t xml:space="preserve">Нет</x:t>
        </x:is>
      </x:c>
      <x:c r="S1503" s="31" t="inlineStr">
        <x:is>
          <x:t xml:space="preserve">Нет</x:t>
        </x:is>
      </x:c>
    </x:row>
    <x:row r="1504">
      <x:c r="A1504" s="31" t="inlineStr">
        <x:is>
          <x:t xml:space="preserve">ОП-001503</x:t>
        </x:is>
      </x:c>
      <x:c r="B1504" s="31" t="inlineStr">
        <x:is>
          <x:t xml:space="preserve">ПЗ-00181</x:t>
        </x:is>
      </x:c>
      <x:c r="C1504" s="31" t="inlineStr">
        <x:is>
          <x:t xml:space="preserve">ЗК-1087</x:t>
        </x:is>
      </x:c>
      <x:c r="D1504" s="31" t="inlineStr">
        <x:is>
          <x:t xml:space="preserve">ПОЗ-0087-1</x:t>
        </x:is>
      </x:c>
      <x:c r="E1504" s="31" t="inlineStr">
        <x:is>
          <x:t xml:space="preserve">ИЗД-031</x:t>
        </x:is>
      </x:c>
      <x:c r="F1504" s="31" t="n">
        <x:v>40</x:v>
      </x:c>
      <x:c r="G1504" s="31" t="inlineStr">
        <x:is>
          <x:t xml:space="preserve">Сварка рамы</x:t>
        </x:is>
      </x:c>
      <x:c r="H1504" s="31" t="inlineStr">
        <x:is>
          <x:t xml:space="preserve">Сварка</x:t>
        </x:is>
      </x:c>
      <x:c r="I1504" s="31" t="inlineStr">
        <x:is>
          <x:t xml:space="preserve">ОБ-004</x:t>
        </x:is>
      </x:c>
      <x:c r="J1504" s="31" t="inlineStr">
        <x:is>
          <x:t xml:space="preserve">СОТР-062</x:t>
        </x:is>
      </x:c>
      <x:c r="K1504" s="31" t="n">
        <x:v>4.4</x:v>
      </x:c>
      <x:c r="L1504" s="31" t="n">
        <x:v>5</x:v>
      </x:c>
      <x:c r="M1504" s="31" t="n">
        <x:v>46061</x:v>
      </x:c>
      <x:c r="N1504" s="31" t="n">
        <x:v>46062</x:v>
      </x:c>
      <x:c r="O1504" s="31" t="n">
        <x:v>46061</x:v>
      </x:c>
      <x:c r="P1504" s="31" t="n">
        <x:v>46064</x:v>
      </x:c>
      <x:c r="Q1504" s="31" t="inlineStr">
        <x:is>
          <x:t xml:space="preserve">Завершено</x:t>
        </x:is>
      </x:c>
      <x:c r="R1504" s="31" t="inlineStr">
        <x:is>
          <x:t xml:space="preserve">Нет</x:t>
        </x:is>
      </x:c>
      <x:c r="S1504" s="31" t="inlineStr">
        <x:is>
          <x:t xml:space="preserve">Да</x:t>
        </x:is>
      </x:c>
    </x:row>
    <x:row r="1505">
      <x:c r="A1505" s="31" t="inlineStr">
        <x:is>
          <x:t xml:space="preserve">ОП-001504</x:t>
        </x:is>
      </x:c>
      <x:c r="B1505" s="31" t="inlineStr">
        <x:is>
          <x:t xml:space="preserve">ПЗ-00181</x:t>
        </x:is>
      </x:c>
      <x:c r="C1505" s="31" t="inlineStr">
        <x:is>
          <x:t xml:space="preserve">ЗК-1087</x:t>
        </x:is>
      </x:c>
      <x:c r="D1505" s="31" t="inlineStr">
        <x:is>
          <x:t xml:space="preserve">ПОЗ-0087-1</x:t>
        </x:is>
      </x:c>
      <x:c r="E1505" s="31" t="inlineStr">
        <x:is>
          <x:t xml:space="preserve">ИЗД-031</x:t>
        </x:is>
      </x:c>
      <x:c r="F1505" s="31" t="n">
        <x:v>50</x:v>
      </x:c>
      <x:c r="G1505" s="31" t="inlineStr">
        <x:is>
          <x:t xml:space="preserve">Механообработка</x:t>
        </x:is>
      </x:c>
      <x:c r="H1505" s="31" t="inlineStr">
        <x:is>
          <x:t xml:space="preserve">Механообработка</x:t>
        </x:is>
      </x:c>
      <x:c r="I1505" s="31" t="inlineStr">
        <x:is>
          <x:t xml:space="preserve">ОБ-031</x:t>
        </x:is>
      </x:c>
      <x:c r="J1505" s="31" t="inlineStr">
        <x:is>
          <x:t xml:space="preserve">СОТР-041</x:t>
        </x:is>
      </x:c>
      <x:c r="K1505" s="31" t="n">
        <x:v>19.6</x:v>
      </x:c>
      <x:c r="L1505" s="31" t="n">
        <x:v>20</x:v>
      </x:c>
      <x:c r="M1505" s="31" t="n">
        <x:v>46062</x:v>
      </x:c>
      <x:c r="N1505" s="31" t="n">
        <x:v>46064</x:v>
      </x:c>
      <x:c r="O1505" s="31" t="n">
        <x:v>46062</x:v>
      </x:c>
      <x:c r="P1505" s="31" t="n">
        <x:v>46063</x:v>
      </x:c>
      <x:c r="Q1505" s="31" t="inlineStr">
        <x:is>
          <x:t xml:space="preserve">Завершено</x:t>
        </x:is>
      </x:c>
      <x:c r="R1505" s="31" t="inlineStr">
        <x:is>
          <x:t xml:space="preserve">Ожидание ОТК</x:t>
        </x:is>
      </x:c>
      <x:c r="S1505" s="31" t="inlineStr">
        <x:is>
          <x:t xml:space="preserve">Нет</x:t>
        </x:is>
      </x:c>
    </x:row>
    <x:row r="1506">
      <x:c r="A1506" s="31" t="inlineStr">
        <x:is>
          <x:t xml:space="preserve">ОП-001505</x:t>
        </x:is>
      </x:c>
      <x:c r="B1506" s="31" t="inlineStr">
        <x:is>
          <x:t xml:space="preserve">ПЗ-00181</x:t>
        </x:is>
      </x:c>
      <x:c r="C1506" s="31" t="inlineStr">
        <x:is>
          <x:t xml:space="preserve">ЗК-1087</x:t>
        </x:is>
      </x:c>
      <x:c r="D1506" s="31" t="inlineStr">
        <x:is>
          <x:t xml:space="preserve">ПОЗ-0087-1</x:t>
        </x:is>
      </x:c>
      <x:c r="E1506" s="31" t="inlineStr">
        <x:is>
          <x:t xml:space="preserve">ИЗД-031</x:t>
        </x:is>
      </x:c>
      <x:c r="F1506" s="31" t="n">
        <x:v>60</x:v>
      </x:c>
      <x:c r="G1506" s="31" t="inlineStr">
        <x:is>
          <x:t xml:space="preserve">Сборка</x:t>
        </x:is>
      </x:c>
      <x:c r="H1506" s="31" t="inlineStr">
        <x:is>
          <x:t xml:space="preserve">Сборка</x:t>
        </x:is>
      </x:c>
      <x:c r="I1506" s="31" t="inlineStr">
        <x:is>
          <x:t xml:space="preserve">ОБ-005</x:t>
        </x:is>
      </x:c>
      <x:c r="J1506" s="31" t="inlineStr">
        <x:is>
          <x:t xml:space="preserve">СОТР-074</x:t>
        </x:is>
      </x:c>
      <x:c r="K1506" s="31" t="n">
        <x:v>5.2</x:v>
      </x:c>
      <x:c r="L1506" s="31" t="n">
        <x:v>4.3</x:v>
      </x:c>
      <x:c r="M1506" s="31" t="n">
        <x:v>46064</x:v>
      </x:c>
      <x:c r="N1506" s="31" t="n">
        <x:v>46065</x:v>
      </x:c>
      <x:c r="O1506" s="31" t="n">
        <x:v>46064</x:v>
      </x:c>
      <x:c r="P1506" s="31" t="n">
        <x:v>46064</x:v>
      </x:c>
      <x:c r="Q1506" s="31" t="inlineStr">
        <x:is>
          <x:t xml:space="preserve">Завершено</x:t>
        </x:is>
      </x:c>
      <x:c r="R1506" s="31" t="inlineStr">
        <x:is>
          <x:t xml:space="preserve">Нет</x:t>
        </x:is>
      </x:c>
      <x:c r="S1506" s="31" t="inlineStr">
        <x:is>
          <x:t xml:space="preserve">Да</x:t>
        </x:is>
      </x:c>
    </x:row>
    <x:row r="1507">
      <x:c r="A1507" s="31" t="inlineStr">
        <x:is>
          <x:t xml:space="preserve">ОП-001506</x:t>
        </x:is>
      </x:c>
      <x:c r="B1507" s="31" t="inlineStr">
        <x:is>
          <x:t xml:space="preserve">ПЗ-00181</x:t>
        </x:is>
      </x:c>
      <x:c r="C1507" s="31" t="inlineStr">
        <x:is>
          <x:t xml:space="preserve">ЗК-1087</x:t>
        </x:is>
      </x:c>
      <x:c r="D1507" s="31" t="inlineStr">
        <x:is>
          <x:t xml:space="preserve">ПОЗ-0087-1</x:t>
        </x:is>
      </x:c>
      <x:c r="E1507" s="31" t="inlineStr">
        <x:is>
          <x:t xml:space="preserve">ИЗД-031</x:t>
        </x:is>
      </x:c>
      <x:c r="F1507" s="31" t="n">
        <x:v>70</x:v>
      </x:c>
      <x:c r="G1507" s="31" t="inlineStr">
        <x:is>
          <x:t xml:space="preserve">Электромонтаж</x:t>
        </x:is>
      </x:c>
      <x:c r="H1507" s="31" t="inlineStr">
        <x:is>
          <x:t xml:space="preserve">Сборка</x:t>
        </x:is>
      </x:c>
      <x:c r="I1507" s="31" t="inlineStr">
        <x:is>
          <x:t xml:space="preserve">ОБ-014</x:t>
        </x:is>
      </x:c>
      <x:c r="J1507" s="31" t="inlineStr">
        <x:is>
          <x:t xml:space="preserve">СОТР-078</x:t>
        </x:is>
      </x:c>
      <x:c r="K1507" s="31" t="n">
        <x:v>43.2</x:v>
      </x:c>
      <x:c r="L1507" s="31" t="n">
        <x:v>38.1</x:v>
      </x:c>
      <x:c r="M1507" s="31" t="n">
        <x:v>46065</x:v>
      </x:c>
      <x:c r="N1507" s="31" t="n">
        <x:v>46069</x:v>
      </x:c>
      <x:c r="O1507" s="31" t="n">
        <x:v>46065</x:v>
      </x:c>
      <x:c r="P1507" s="31" t="n">
        <x:v>46068</x:v>
      </x:c>
      <x:c r="Q1507" s="31" t="inlineStr">
        <x:is>
          <x:t xml:space="preserve">Завершено</x:t>
        </x:is>
      </x:c>
      <x:c r="R1507" s="31" t="inlineStr">
        <x:is>
          <x:t xml:space="preserve">Нет</x:t>
        </x:is>
      </x:c>
      <x:c r="S1507" s="31" t="inlineStr">
        <x:is>
          <x:t xml:space="preserve">Да</x:t>
        </x:is>
      </x:c>
    </x:row>
    <x:row r="1508">
      <x:c r="A1508" s="31" t="inlineStr">
        <x:is>
          <x:t xml:space="preserve">ОП-001507</x:t>
        </x:is>
      </x:c>
      <x:c r="B1508" s="31" t="inlineStr">
        <x:is>
          <x:t xml:space="preserve">ПЗ-00181</x:t>
        </x:is>
      </x:c>
      <x:c r="C1508" s="31" t="inlineStr">
        <x:is>
          <x:t xml:space="preserve">ЗК-1087</x:t>
        </x:is>
      </x:c>
      <x:c r="D1508" s="31" t="inlineStr">
        <x:is>
          <x:t xml:space="preserve">ПОЗ-0087-1</x:t>
        </x:is>
      </x:c>
      <x:c r="E1508" s="31" t="inlineStr">
        <x:is>
          <x:t xml:space="preserve">ИЗД-031</x:t>
        </x:is>
      </x:c>
      <x:c r="F1508" s="31" t="n">
        <x:v>80</x:v>
      </x:c>
      <x:c r="G1508" s="31" t="inlineStr">
        <x:is>
          <x:t xml:space="preserve">Гидроиспытания</x:t>
        </x:is>
      </x:c>
      <x:c r="H1508" s="31" t="inlineStr">
        <x:is>
          <x:t xml:space="preserve">ОТК</x:t>
        </x:is>
      </x:c>
      <x:c r="I1508" s="31" t="inlineStr">
        <x:is>
          <x:t xml:space="preserve">ОБ-006</x:t>
        </x:is>
      </x:c>
      <x:c r="J1508" s="31" t="inlineStr">
        <x:is>
          <x:t xml:space="preserve">СОТР-098</x:t>
        </x:is>
      </x:c>
      <x:c r="K1508" s="31" t="n">
        <x:v>35.2</x:v>
      </x:c>
      <x:c r="L1508" s="31" t="n">
        <x:v>36</x:v>
      </x:c>
      <x:c r="M1508" s="31" t="n">
        <x:v>46069</x:v>
      </x:c>
      <x:c r="N1508" s="31" t="n">
        <x:v>46072</x:v>
      </x:c>
      <x:c r="O1508" s="31" t="n">
        <x:v>46069</x:v>
      </x:c>
      <x:c r="P1508" s="31" t="n">
        <x:v>46071</x:v>
      </x:c>
      <x:c r="Q1508" s="31" t="inlineStr">
        <x:is>
          <x:t xml:space="preserve">Завершено</x:t>
        </x:is>
      </x:c>
      <x:c r="R1508" s="31" t="inlineStr">
        <x:is>
          <x:t xml:space="preserve">Нет</x:t>
        </x:is>
      </x:c>
      <x:c r="S1508" s="31" t="inlineStr">
        <x:is>
          <x:t xml:space="preserve">Нет</x:t>
        </x:is>
      </x:c>
    </x:row>
    <x:row r="1509">
      <x:c r="A1509" s="31" t="inlineStr">
        <x:is>
          <x:t xml:space="preserve">ОП-001508</x:t>
        </x:is>
      </x:c>
      <x:c r="B1509" s="31" t="inlineStr">
        <x:is>
          <x:t xml:space="preserve">ПЗ-00181</x:t>
        </x:is>
      </x:c>
      <x:c r="C1509" s="31" t="inlineStr">
        <x:is>
          <x:t xml:space="preserve">ЗК-1087</x:t>
        </x:is>
      </x:c>
      <x:c r="D1509" s="31" t="inlineStr">
        <x:is>
          <x:t xml:space="preserve">ПОЗ-0087-1</x:t>
        </x:is>
      </x:c>
      <x:c r="E1509" s="31" t="inlineStr">
        <x:is>
          <x:t xml:space="preserve">ИЗД-031</x:t>
        </x:is>
      </x:c>
      <x:c r="F1509" s="31" t="n">
        <x:v>90</x:v>
      </x:c>
      <x:c r="G1509" s="31" t="inlineStr">
        <x:is>
          <x:t xml:space="preserve">ОТК</x:t>
        </x:is>
      </x:c>
      <x:c r="H1509" s="31" t="inlineStr">
        <x:is>
          <x:t xml:space="preserve">ОТК</x:t>
        </x:is>
      </x:c>
      <x:c r="I1509" s="31" t="inlineStr">
        <x:is>
          <x:t xml:space="preserve">ОБ-033</x:t>
        </x:is>
      </x:c>
      <x:c r="J1509" s="31" t="inlineStr">
        <x:is>
          <x:t xml:space="preserve">СОТР-092</x:t>
        </x:is>
      </x:c>
      <x:c r="K1509" s="31" t="n">
        <x:v>20.4</x:v>
      </x:c>
      <x:c r="L1509" s="31" t="n">
        <x:v>19.1</x:v>
      </x:c>
      <x:c r="M1509" s="31" t="n">
        <x:v>46072</x:v>
      </x:c>
      <x:c r="N1509" s="31" t="n">
        <x:v>46074</x:v>
      </x:c>
      <x:c r="O1509" s="31" t="n">
        <x:v>46072</x:v>
      </x:c>
      <x:c r="P1509" s="31" t="n">
        <x:v>46073</x:v>
      </x:c>
      <x:c r="Q1509" s="31" t="inlineStr">
        <x:is>
          <x:t xml:space="preserve">Завершено</x:t>
        </x:is>
      </x:c>
      <x:c r="R1509" s="31" t="inlineStr">
        <x:is>
          <x:t xml:space="preserve">Нет</x:t>
        </x:is>
      </x:c>
      <x:c r="S1509" s="31" t="inlineStr">
        <x:is>
          <x:t xml:space="preserve">Да</x:t>
        </x:is>
      </x:c>
    </x:row>
    <x:row r="1510">
      <x:c r="A1510" s="31" t="inlineStr">
        <x:is>
          <x:t xml:space="preserve">ОП-001509</x:t>
        </x:is>
      </x:c>
      <x:c r="B1510" s="31" t="inlineStr">
        <x:is>
          <x:t xml:space="preserve">ПЗ-00181</x:t>
        </x:is>
      </x:c>
      <x:c r="C1510" s="31" t="inlineStr">
        <x:is>
          <x:t xml:space="preserve">ЗК-1087</x:t>
        </x:is>
      </x:c>
      <x:c r="D1510" s="31" t="inlineStr">
        <x:is>
          <x:t xml:space="preserve">ПОЗ-0087-1</x:t>
        </x:is>
      </x:c>
      <x:c r="E1510" s="31" t="inlineStr">
        <x:is>
          <x:t xml:space="preserve">ИЗД-031</x:t>
        </x:is>
      </x:c>
      <x:c r="F1510" s="31" t="n">
        <x:v>100</x:v>
      </x:c>
      <x:c r="G1510" s="31" t="inlineStr">
        <x:is>
          <x:t xml:space="preserve">Упаковка</x:t>
        </x:is>
      </x:c>
      <x:c r="H1510" s="31" t="inlineStr">
        <x:is>
          <x:t xml:space="preserve">Логистика</x:t>
        </x:is>
      </x:c>
      <x:c r="I1510" s="31" t="n"/>
      <x:c r="J1510" s="31" t="inlineStr">
        <x:is>
          <x:t xml:space="preserve">СОТР-101</x:t>
        </x:is>
      </x:c>
      <x:c r="K1510" s="31" t="n">
        <x:v>8.800000000000001</x:v>
      </x:c>
      <x:c r="L1510" s="31" t="n">
        <x:v>8.5</x:v>
      </x:c>
      <x:c r="M1510" s="31" t="n">
        <x:v>46074</x:v>
      </x:c>
      <x:c r="N1510" s="31" t="n">
        <x:v>46075</x:v>
      </x:c>
      <x:c r="O1510" s="31" t="n">
        <x:v>46074</x:v>
      </x:c>
      <x:c r="P1510" s="31" t="n">
        <x:v>46076</x:v>
      </x:c>
      <x:c r="Q1510" s="31" t="inlineStr">
        <x:is>
          <x:t xml:space="preserve">Завершено</x:t>
        </x:is>
      </x:c>
      <x:c r="R1510" s="31" t="inlineStr">
        <x:is>
          <x:t xml:space="preserve">Нет</x:t>
        </x:is>
      </x:c>
      <x:c r="S1510" s="31" t="inlineStr">
        <x:is>
          <x:t xml:space="preserve">Нет</x:t>
        </x:is>
      </x:c>
    </x:row>
    <x:row r="1511">
      <x:c r="A1511" s="31" t="inlineStr">
        <x:is>
          <x:t xml:space="preserve">ОП-001510</x:t>
        </x:is>
      </x:c>
      <x:c r="B1511" s="31" t="inlineStr">
        <x:is>
          <x:t xml:space="preserve">ПЗ-00182</x:t>
        </x:is>
      </x:c>
      <x:c r="C1511" s="31" t="inlineStr">
        <x:is>
          <x:t xml:space="preserve">ЗК-1089</x:t>
        </x:is>
      </x:c>
      <x:c r="D1511" s="31" t="inlineStr">
        <x:is>
          <x:t xml:space="preserve">ПОЗ-0089-1</x:t>
        </x:is>
      </x:c>
      <x:c r="E1511" s="31" t="inlineStr">
        <x:is>
          <x:t xml:space="preserve">ИЗД-012</x:t>
        </x:is>
      </x:c>
      <x:c r="F1511" s="31" t="n">
        <x:v>10</x:v>
      </x:c>
      <x:c r="G1511" s="31" t="inlineStr">
        <x:is>
          <x:t xml:space="preserve">КД</x:t>
        </x:is>
      </x:c>
      <x:c r="H1511" s="31" t="inlineStr">
        <x:is>
          <x:t xml:space="preserve">Инженерный отдел</x:t>
        </x:is>
      </x:c>
      <x:c r="I1511" s="31" t="n"/>
      <x:c r="J1511" s="31" t="inlineStr">
        <x:is>
          <x:t xml:space="preserve">СОТР-021</x:t>
        </x:is>
      </x:c>
      <x:c r="K1511" s="31" t="n">
        <x:v>22</x:v>
      </x:c>
      <x:c r="L1511" s="31" t="n">
        <x:v>28.7</x:v>
      </x:c>
      <x:c r="M1511" s="31" t="n">
        <x:v>46181</x:v>
      </x:c>
      <x:c r="N1511" s="31" t="n">
        <x:v>46183</x:v>
      </x:c>
      <x:c r="O1511" s="31" t="n">
        <x:v>46181</x:v>
      </x:c>
      <x:c r="P1511" s="31" t="n">
        <x:v>46183</x:v>
      </x:c>
      <x:c r="Q1511" s="31" t="inlineStr">
        <x:is>
          <x:t xml:space="preserve">Завершено</x:t>
        </x:is>
      </x:c>
      <x:c r="R1511" s="31" t="inlineStr">
        <x:is>
          <x:t xml:space="preserve">Нет</x:t>
        </x:is>
      </x:c>
      <x:c r="S1511" s="31" t="inlineStr">
        <x:is>
          <x:t xml:space="preserve">Нет</x:t>
        </x:is>
      </x:c>
    </x:row>
    <x:row r="1512">
      <x:c r="A1512" s="31" t="inlineStr">
        <x:is>
          <x:t xml:space="preserve">ОП-001511</x:t>
        </x:is>
      </x:c>
      <x:c r="B1512" s="31" t="inlineStr">
        <x:is>
          <x:t xml:space="preserve">ПЗ-00182</x:t>
        </x:is>
      </x:c>
      <x:c r="C1512" s="31" t="inlineStr">
        <x:is>
          <x:t xml:space="preserve">ЗК-1089</x:t>
        </x:is>
      </x:c>
      <x:c r="D1512" s="31" t="inlineStr">
        <x:is>
          <x:t xml:space="preserve">ПОЗ-0089-1</x:t>
        </x:is>
      </x:c>
      <x:c r="E1512" s="31" t="inlineStr">
        <x:is>
          <x:t xml:space="preserve">ИЗД-012</x:t>
        </x:is>
      </x:c>
      <x:c r="F1512" s="31" t="n">
        <x:v>20</x:v>
      </x:c>
      <x:c r="G1512" s="31" t="inlineStr">
        <x:is>
          <x:t xml:space="preserve">Резка труб</x:t>
        </x:is>
      </x:c>
      <x:c r="H1512" s="31" t="inlineStr">
        <x:is>
          <x:t xml:space="preserve">Сварка</x:t>
        </x:is>
      </x:c>
      <x:c r="I1512" s="31" t="inlineStr">
        <x:is>
          <x:t xml:space="preserve">ОБ-018</x:t>
        </x:is>
      </x:c>
      <x:c r="J1512" s="31" t="inlineStr">
        <x:is>
          <x:t xml:space="preserve">СОТР-064</x:t>
        </x:is>
      </x:c>
      <x:c r="K1512" s="31" t="n">
        <x:v>21.2</x:v>
      </x:c>
      <x:c r="L1512" s="31" t="n">
        <x:v>26.9</x:v>
      </x:c>
      <x:c r="M1512" s="31" t="n">
        <x:v>46183</x:v>
      </x:c>
      <x:c r="N1512" s="31" t="n">
        <x:v>46185</x:v>
      </x:c>
      <x:c r="O1512" s="31" t="n">
        <x:v>46183</x:v>
      </x:c>
      <x:c r="P1512" s="31" t="n">
        <x:v>46184</x:v>
      </x:c>
      <x:c r="Q1512" s="31" t="inlineStr">
        <x:is>
          <x:t xml:space="preserve">Завершено</x:t>
        </x:is>
      </x:c>
      <x:c r="R1512" s="31" t="inlineStr">
        <x:is>
          <x:t xml:space="preserve">Материал</x:t>
        </x:is>
      </x:c>
      <x:c r="S1512" s="31" t="inlineStr">
        <x:is>
          <x:t xml:space="preserve">Нет</x:t>
        </x:is>
      </x:c>
    </x:row>
    <x:row r="1513">
      <x:c r="A1513" s="31" t="inlineStr">
        <x:is>
          <x:t xml:space="preserve">ОП-001512</x:t>
        </x:is>
      </x:c>
      <x:c r="B1513" s="31" t="inlineStr">
        <x:is>
          <x:t xml:space="preserve">ПЗ-00182</x:t>
        </x:is>
      </x:c>
      <x:c r="C1513" s="31" t="inlineStr">
        <x:is>
          <x:t xml:space="preserve">ЗК-1089</x:t>
        </x:is>
      </x:c>
      <x:c r="D1513" s="31" t="inlineStr">
        <x:is>
          <x:t xml:space="preserve">ПОЗ-0089-1</x:t>
        </x:is>
      </x:c>
      <x:c r="E1513" s="31" t="inlineStr">
        <x:is>
          <x:t xml:space="preserve">ИЗД-012</x:t>
        </x:is>
      </x:c>
      <x:c r="F1513" s="31" t="n">
        <x:v>30</x:v>
      </x:c>
      <x:c r="G1513" s="31" t="inlineStr">
        <x:is>
          <x:t xml:space="preserve">Сварка</x:t>
        </x:is>
      </x:c>
      <x:c r="H1513" s="31" t="inlineStr">
        <x:is>
          <x:t xml:space="preserve">Сварка</x:t>
        </x:is>
      </x:c>
      <x:c r="I1513" s="31" t="inlineStr">
        <x:is>
          <x:t xml:space="preserve">ОБ-035</x:t>
        </x:is>
      </x:c>
      <x:c r="J1513" s="31" t="inlineStr">
        <x:is>
          <x:t xml:space="preserve">СОТР-059</x:t>
        </x:is>
      </x:c>
      <x:c r="K1513" s="31" t="n">
        <x:v>24</x:v>
      </x:c>
      <x:c r="L1513" s="31" t="n"/>
      <x:c r="M1513" s="31" t="n">
        <x:v>46185</x:v>
      </x:c>
      <x:c r="N1513" s="31" t="n">
        <x:v>46187</x:v>
      </x:c>
      <x:c r="O1513" s="31" t="n"/>
      <x:c r="P1513" s="31" t="n"/>
      <x:c r="Q1513" s="31" t="inlineStr">
        <x:is>
          <x:t xml:space="preserve">Запланировано</x:t>
        </x:is>
      </x:c>
      <x:c r="R1513" s="31" t="inlineStr">
        <x:is>
          <x:t xml:space="preserve">Материал</x:t>
        </x:is>
      </x:c>
      <x:c r="S1513" s="31" t="inlineStr">
        <x:is>
          <x:t xml:space="preserve">Нет</x:t>
        </x:is>
      </x:c>
    </x:row>
    <x:row r="1514">
      <x:c r="A1514" s="31" t="inlineStr">
        <x:is>
          <x:t xml:space="preserve">ОП-001513</x:t>
        </x:is>
      </x:c>
      <x:c r="B1514" s="31" t="inlineStr">
        <x:is>
          <x:t xml:space="preserve">ПЗ-00182</x:t>
        </x:is>
      </x:c>
      <x:c r="C1514" s="31" t="inlineStr">
        <x:is>
          <x:t xml:space="preserve">ЗК-1089</x:t>
        </x:is>
      </x:c>
      <x:c r="D1514" s="31" t="inlineStr">
        <x:is>
          <x:t xml:space="preserve">ПОЗ-0089-1</x:t>
        </x:is>
      </x:c>
      <x:c r="E1514" s="31" t="inlineStr">
        <x:is>
          <x:t xml:space="preserve">ИЗД-012</x:t>
        </x:is>
      </x:c>
      <x:c r="F1514" s="31" t="n">
        <x:v>40</x:v>
      </x:c>
      <x:c r="G1514" s="31" t="inlineStr">
        <x:is>
          <x:t xml:space="preserve">НК сварных швов</x:t>
        </x:is>
      </x:c>
      <x:c r="H1514" s="31" t="inlineStr">
        <x:is>
          <x:t xml:space="preserve">ОТК</x:t>
        </x:is>
      </x:c>
      <x:c r="I1514" s="31" t="inlineStr">
        <x:is>
          <x:t xml:space="preserve">ОБ-022</x:t>
        </x:is>
      </x:c>
      <x:c r="J1514" s="31" t="inlineStr">
        <x:is>
          <x:t xml:space="preserve">СОТР-096</x:t>
        </x:is>
      </x:c>
      <x:c r="K1514" s="31" t="n">
        <x:v>17.2</x:v>
      </x:c>
      <x:c r="L1514" s="31" t="n"/>
      <x:c r="M1514" s="31" t="n">
        <x:v>46187</x:v>
      </x:c>
      <x:c r="N1514" s="31" t="n">
        <x:v>46189</x:v>
      </x:c>
      <x:c r="O1514" s="31" t="n"/>
      <x:c r="P1514" s="31" t="n"/>
      <x:c r="Q1514" s="31" t="inlineStr">
        <x:is>
          <x:t xml:space="preserve">Запланировано</x:t>
        </x:is>
      </x:c>
      <x:c r="R1514" s="31" t="inlineStr">
        <x:is>
          <x:t xml:space="preserve">Оборудование</x:t>
        </x:is>
      </x:c>
      <x:c r="S1514" s="31" t="inlineStr">
        <x:is>
          <x:t xml:space="preserve">Нет</x:t>
        </x:is>
      </x:c>
    </x:row>
    <x:row r="1515">
      <x:c r="A1515" s="31" t="inlineStr">
        <x:is>
          <x:t xml:space="preserve">ОП-001514</x:t>
        </x:is>
      </x:c>
      <x:c r="B1515" s="31" t="inlineStr">
        <x:is>
          <x:t xml:space="preserve">ПЗ-00182</x:t>
        </x:is>
      </x:c>
      <x:c r="C1515" s="31" t="inlineStr">
        <x:is>
          <x:t xml:space="preserve">ЗК-1089</x:t>
        </x:is>
      </x:c>
      <x:c r="D1515" s="31" t="inlineStr">
        <x:is>
          <x:t xml:space="preserve">ПОЗ-0089-1</x:t>
        </x:is>
      </x:c>
      <x:c r="E1515" s="31" t="inlineStr">
        <x:is>
          <x:t xml:space="preserve">ИЗД-012</x:t>
        </x:is>
      </x:c>
      <x:c r="F1515" s="31" t="n">
        <x:v>50</x:v>
      </x:c>
      <x:c r="G1515" s="31" t="inlineStr">
        <x:is>
          <x:t xml:space="preserve">Гидроиспытания</x:t>
        </x:is>
      </x:c>
      <x:c r="H1515" s="31" t="inlineStr">
        <x:is>
          <x:t xml:space="preserve">ОТК</x:t>
        </x:is>
      </x:c>
      <x:c r="I1515" s="31" t="inlineStr">
        <x:is>
          <x:t xml:space="preserve">ОБ-007</x:t>
        </x:is>
      </x:c>
      <x:c r="J1515" s="31" t="inlineStr">
        <x:is>
          <x:t xml:space="preserve">СОТР-096</x:t>
        </x:is>
      </x:c>
      <x:c r="K1515" s="31" t="n">
        <x:v>17.2</x:v>
      </x:c>
      <x:c r="L1515" s="31" t="n"/>
      <x:c r="M1515" s="31" t="n">
        <x:v>46189</x:v>
      </x:c>
      <x:c r="N1515" s="31" t="n">
        <x:v>46191</x:v>
      </x:c>
      <x:c r="O1515" s="31" t="n"/>
      <x:c r="P1515" s="31" t="n"/>
      <x:c r="Q1515" s="31" t="inlineStr">
        <x:is>
          <x:t xml:space="preserve">Запланировано</x:t>
        </x:is>
      </x:c>
      <x:c r="R1515" s="31" t="inlineStr">
        <x:is>
          <x:t xml:space="preserve">Оборудование</x:t>
        </x:is>
      </x:c>
      <x:c r="S1515" s="31" t="inlineStr">
        <x:is>
          <x:t xml:space="preserve">Нет</x:t>
        </x:is>
      </x:c>
    </x:row>
    <x:row r="1516">
      <x:c r="A1516" s="31" t="inlineStr">
        <x:is>
          <x:t xml:space="preserve">ОП-001515</x:t>
        </x:is>
      </x:c>
      <x:c r="B1516" s="31" t="inlineStr">
        <x:is>
          <x:t xml:space="preserve">ПЗ-00182</x:t>
        </x:is>
      </x:c>
      <x:c r="C1516" s="31" t="inlineStr">
        <x:is>
          <x:t xml:space="preserve">ЗК-1089</x:t>
        </x:is>
      </x:c>
      <x:c r="D1516" s="31" t="inlineStr">
        <x:is>
          <x:t xml:space="preserve">ПОЗ-0089-1</x:t>
        </x:is>
      </x:c>
      <x:c r="E1516" s="31" t="inlineStr">
        <x:is>
          <x:t xml:space="preserve">ИЗД-012</x:t>
        </x:is>
      </x:c>
      <x:c r="F1516" s="31" t="n">
        <x:v>60</x:v>
      </x:c>
      <x:c r="G1516" s="31" t="inlineStr">
        <x:is>
          <x:t xml:space="preserve">Покраска</x:t>
        </x:is>
      </x:c>
      <x:c r="H1516" s="31" t="inlineStr">
        <x:is>
          <x:t xml:space="preserve">Сварка</x:t>
        </x:is>
      </x:c>
      <x:c r="I1516" s="31" t="inlineStr">
        <x:is>
          <x:t xml:space="preserve">ОБ-003</x:t>
        </x:is>
      </x:c>
      <x:c r="J1516" s="31" t="inlineStr">
        <x:is>
          <x:t xml:space="preserve">СОТР-058</x:t>
        </x:is>
      </x:c>
      <x:c r="K1516" s="31" t="n">
        <x:v>26.4</x:v>
      </x:c>
      <x:c r="L1516" s="31" t="n"/>
      <x:c r="M1516" s="31" t="n">
        <x:v>46191</x:v>
      </x:c>
      <x:c r="N1516" s="31" t="n">
        <x:v>46194</x:v>
      </x:c>
      <x:c r="O1516" s="31" t="n"/>
      <x:c r="P1516" s="31" t="n"/>
      <x:c r="Q1516" s="31" t="inlineStr">
        <x:is>
          <x:t xml:space="preserve">Запланировано</x:t>
        </x:is>
      </x:c>
      <x:c r="R1516" s="31" t="inlineStr">
        <x:is>
          <x:t xml:space="preserve">Ожидание ОТК</x:t>
        </x:is>
      </x:c>
      <x:c r="S1516" s="31" t="inlineStr">
        <x:is>
          <x:t xml:space="preserve">Нет</x:t>
        </x:is>
      </x:c>
    </x:row>
    <x:row r="1517">
      <x:c r="A1517" s="31" t="inlineStr">
        <x:is>
          <x:t xml:space="preserve">ОП-001516</x:t>
        </x:is>
      </x:c>
      <x:c r="B1517" s="31" t="inlineStr">
        <x:is>
          <x:t xml:space="preserve">ПЗ-00182</x:t>
        </x:is>
      </x:c>
      <x:c r="C1517" s="31" t="inlineStr">
        <x:is>
          <x:t xml:space="preserve">ЗК-1089</x:t>
        </x:is>
      </x:c>
      <x:c r="D1517" s="31" t="inlineStr">
        <x:is>
          <x:t xml:space="preserve">ПОЗ-0089-1</x:t>
        </x:is>
      </x:c>
      <x:c r="E1517" s="31" t="inlineStr">
        <x:is>
          <x:t xml:space="preserve">ИЗД-012</x:t>
        </x:is>
      </x:c>
      <x:c r="F1517" s="31" t="n">
        <x:v>70</x:v>
      </x:c>
      <x:c r="G1517" s="31" t="inlineStr">
        <x:is>
          <x:t xml:space="preserve">ОТК</x:t>
        </x:is>
      </x:c>
      <x:c r="H1517" s="31" t="inlineStr">
        <x:is>
          <x:t xml:space="preserve">ОТК</x:t>
        </x:is>
      </x:c>
      <x:c r="I1517" s="31" t="inlineStr">
        <x:is>
          <x:t xml:space="preserve">ОБ-013</x:t>
        </x:is>
      </x:c>
      <x:c r="J1517" s="31" t="inlineStr">
        <x:is>
          <x:t xml:space="preserve">СОТР-092</x:t>
        </x:is>
      </x:c>
      <x:c r="K1517" s="31" t="n">
        <x:v>9.6</x:v>
      </x:c>
      <x:c r="L1517" s="31" t="n"/>
      <x:c r="M1517" s="31" t="n">
        <x:v>46194</x:v>
      </x:c>
      <x:c r="N1517" s="31" t="n">
        <x:v>46195</x:v>
      </x:c>
      <x:c r="O1517" s="31" t="n">
        <x:v>46194</x:v>
      </x:c>
      <x:c r="P1517" s="31" t="n"/>
      <x:c r="Q1517" s="31" t="inlineStr">
        <x:is>
          <x:t xml:space="preserve">В работе</x:t>
        </x:is>
      </x:c>
      <x:c r="R1517" s="31" t="inlineStr">
        <x:is>
          <x:t xml:space="preserve">Нет</x:t>
        </x:is>
      </x:c>
      <x:c r="S1517" s="31" t="inlineStr">
        <x:is>
          <x:t xml:space="preserve">Нет</x:t>
        </x:is>
      </x:c>
    </x:row>
    <x:row r="1518">
      <x:c r="A1518" s="31" t="inlineStr">
        <x:is>
          <x:t xml:space="preserve">ОП-001517</x:t>
        </x:is>
      </x:c>
      <x:c r="B1518" s="31" t="inlineStr">
        <x:is>
          <x:t xml:space="preserve">ПЗ-00183</x:t>
        </x:is>
      </x:c>
      <x:c r="C1518" s="31" t="inlineStr">
        <x:is>
          <x:t xml:space="preserve">ЗК-1089</x:t>
        </x:is>
      </x:c>
      <x:c r="D1518" s="31" t="inlineStr">
        <x:is>
          <x:t xml:space="preserve">ПОЗ-0089-2</x:t>
        </x:is>
      </x:c>
      <x:c r="E1518" s="31" t="inlineStr">
        <x:is>
          <x:t xml:space="preserve">ИЗД-017</x:t>
        </x:is>
      </x:c>
      <x:c r="F1518" s="31" t="n">
        <x:v>10</x:v>
      </x:c>
      <x:c r="G1518" s="31" t="inlineStr">
        <x:is>
          <x:t xml:space="preserve">КД</x:t>
        </x:is>
      </x:c>
      <x:c r="H1518" s="31" t="inlineStr">
        <x:is>
          <x:t xml:space="preserve">Инженерный отдел</x:t>
        </x:is>
      </x:c>
      <x:c r="I1518" s="31" t="n"/>
      <x:c r="J1518" s="31" t="inlineStr">
        <x:is>
          <x:t xml:space="preserve">СОТР-020</x:t>
        </x:is>
      </x:c>
      <x:c r="K1518" s="31" t="n">
        <x:v>48.8</x:v>
      </x:c>
      <x:c r="L1518" s="31" t="n">
        <x:v>49.3</x:v>
      </x:c>
      <x:c r="M1518" s="31" t="n">
        <x:v>46197</x:v>
      </x:c>
      <x:c r="N1518" s="31" t="n">
        <x:v>46202</x:v>
      </x:c>
      <x:c r="O1518" s="31" t="n">
        <x:v>46197</x:v>
      </x:c>
      <x:c r="P1518" s="31" t="n">
        <x:v>46204</x:v>
      </x:c>
      <x:c r="Q1518" s="31" t="inlineStr">
        <x:is>
          <x:t xml:space="preserve">Завершено</x:t>
        </x:is>
      </x:c>
      <x:c r="R1518" s="31" t="inlineStr">
        <x:is>
          <x:t xml:space="preserve">Материал</x:t>
        </x:is>
      </x:c>
      <x:c r="S1518" s="31" t="inlineStr">
        <x:is>
          <x:t xml:space="preserve">Нет</x:t>
        </x:is>
      </x:c>
    </x:row>
    <x:row r="1519">
      <x:c r="A1519" s="31" t="inlineStr">
        <x:is>
          <x:t xml:space="preserve">ОП-001518</x:t>
        </x:is>
      </x:c>
      <x:c r="B1519" s="31" t="inlineStr">
        <x:is>
          <x:t xml:space="preserve">ПЗ-00183</x:t>
        </x:is>
      </x:c>
      <x:c r="C1519" s="31" t="inlineStr">
        <x:is>
          <x:t xml:space="preserve">ЗК-1089</x:t>
        </x:is>
      </x:c>
      <x:c r="D1519" s="31" t="inlineStr">
        <x:is>
          <x:t xml:space="preserve">ПОЗ-0089-2</x:t>
        </x:is>
      </x:c>
      <x:c r="E1519" s="31" t="inlineStr">
        <x:is>
          <x:t xml:space="preserve">ИЗД-017</x:t>
        </x:is>
      </x:c>
      <x:c r="F1519" s="31" t="n">
        <x:v>20</x:v>
      </x:c>
      <x:c r="G1519" s="31" t="inlineStr">
        <x:is>
          <x:t xml:space="preserve">Резерв материалов</x:t>
        </x:is>
      </x:c>
      <x:c r="H1519" s="31" t="inlineStr">
        <x:is>
          <x:t xml:space="preserve">Склад</x:t>
        </x:is>
      </x:c>
      <x:c r="I1519" s="31" t="inlineStr">
        <x:is>
          <x:t xml:space="preserve">ОБ-025</x:t>
        </x:is>
      </x:c>
      <x:c r="J1519" s="31" t="inlineStr">
        <x:is>
          <x:t xml:space="preserve">СОТР-033</x:t>
        </x:is>
      </x:c>
      <x:c r="K1519" s="31" t="n">
        <x:v>50</x:v>
      </x:c>
      <x:c r="L1519" s="31" t="n">
        <x:v>55.2</x:v>
      </x:c>
      <x:c r="M1519" s="31" t="n">
        <x:v>46202</x:v>
      </x:c>
      <x:c r="N1519" s="31" t="n">
        <x:v>46207</x:v>
      </x:c>
      <x:c r="O1519" s="31" t="n">
        <x:v>46202</x:v>
      </x:c>
      <x:c r="P1519" s="31" t="n">
        <x:v>46207</x:v>
      </x:c>
      <x:c r="Q1519" s="31" t="inlineStr">
        <x:is>
          <x:t xml:space="preserve">Завершено</x:t>
        </x:is>
      </x:c>
      <x:c r="R1519" s="31" t="inlineStr">
        <x:is>
          <x:t xml:space="preserve">Ожидание ОТК</x:t>
        </x:is>
      </x:c>
      <x:c r="S1519" s="31" t="inlineStr">
        <x:is>
          <x:t xml:space="preserve">Нет</x:t>
        </x:is>
      </x:c>
    </x:row>
    <x:row r="1520">
      <x:c r="A1520" s="31" t="inlineStr">
        <x:is>
          <x:t xml:space="preserve">ОП-001519</x:t>
        </x:is>
      </x:c>
      <x:c r="B1520" s="31" t="inlineStr">
        <x:is>
          <x:t xml:space="preserve">ПЗ-00183</x:t>
        </x:is>
      </x:c>
      <x:c r="C1520" s="31" t="inlineStr">
        <x:is>
          <x:t xml:space="preserve">ЗК-1089</x:t>
        </x:is>
      </x:c>
      <x:c r="D1520" s="31" t="inlineStr">
        <x:is>
          <x:t xml:space="preserve">ПОЗ-0089-2</x:t>
        </x:is>
      </x:c>
      <x:c r="E1520" s="31" t="inlineStr">
        <x:is>
          <x:t xml:space="preserve">ИЗД-017</x:t>
        </x:is>
      </x:c>
      <x:c r="F1520" s="31" t="n">
        <x:v>30</x:v>
      </x:c>
      <x:c r="G1520" s="31" t="inlineStr">
        <x:is>
          <x:t xml:space="preserve">Сварка рамы</x:t>
        </x:is>
      </x:c>
      <x:c r="H1520" s="31" t="inlineStr">
        <x:is>
          <x:t xml:space="preserve">Сварка</x:t>
        </x:is>
      </x:c>
      <x:c r="I1520" s="31" t="inlineStr">
        <x:is>
          <x:t xml:space="preserve">ОБ-003</x:t>
        </x:is>
      </x:c>
      <x:c r="J1520" s="31" t="inlineStr">
        <x:is>
          <x:t xml:space="preserve">СОТР-067</x:t>
        </x:is>
      </x:c>
      <x:c r="K1520" s="31" t="n">
        <x:v>19.6</x:v>
      </x:c>
      <x:c r="L1520" s="31" t="n">
        <x:v>18.9</x:v>
      </x:c>
      <x:c r="M1520" s="31" t="n">
        <x:v>46207</x:v>
      </x:c>
      <x:c r="N1520" s="31" t="n">
        <x:v>46209</x:v>
      </x:c>
      <x:c r="O1520" s="31" t="n">
        <x:v>46207</x:v>
      </x:c>
      <x:c r="P1520" s="31" t="n">
        <x:v>46211</x:v>
      </x:c>
      <x:c r="Q1520" s="31" t="inlineStr">
        <x:is>
          <x:t xml:space="preserve">Завершено</x:t>
        </x:is>
      </x:c>
      <x:c r="R1520" s="31" t="inlineStr">
        <x:is>
          <x:t xml:space="preserve">Ожидание ОТК</x:t>
        </x:is>
      </x:c>
      <x:c r="S1520" s="31" t="inlineStr">
        <x:is>
          <x:t xml:space="preserve">Нет</x:t>
        </x:is>
      </x:c>
    </x:row>
    <x:row r="1521">
      <x:c r="A1521" s="31" t="inlineStr">
        <x:is>
          <x:t xml:space="preserve">ОП-001520</x:t>
        </x:is>
      </x:c>
      <x:c r="B1521" s="31" t="inlineStr">
        <x:is>
          <x:t xml:space="preserve">ПЗ-00183</x:t>
        </x:is>
      </x:c>
      <x:c r="C1521" s="31" t="inlineStr">
        <x:is>
          <x:t xml:space="preserve">ЗК-1089</x:t>
        </x:is>
      </x:c>
      <x:c r="D1521" s="31" t="inlineStr">
        <x:is>
          <x:t xml:space="preserve">ПОЗ-0089-2</x:t>
        </x:is>
      </x:c>
      <x:c r="E1521" s="31" t="inlineStr">
        <x:is>
          <x:t xml:space="preserve">ИЗД-017</x:t>
        </x:is>
      </x:c>
      <x:c r="F1521" s="31" t="n">
        <x:v>40</x:v>
      </x:c>
      <x:c r="G1521" s="31" t="inlineStr">
        <x:is>
          <x:t xml:space="preserve">Сборка</x:t>
        </x:is>
      </x:c>
      <x:c r="H1521" s="31" t="inlineStr">
        <x:is>
          <x:t xml:space="preserve">Сборка</x:t>
        </x:is>
      </x:c>
      <x:c r="I1521" s="31" t="inlineStr">
        <x:is>
          <x:t xml:space="preserve">ОБ-016</x:t>
        </x:is>
      </x:c>
      <x:c r="J1521" s="31" t="inlineStr">
        <x:is>
          <x:t xml:space="preserve">СОТР-086</x:t>
        </x:is>
      </x:c>
      <x:c r="K1521" s="31" t="n">
        <x:v>66.40000000000001</x:v>
      </x:c>
      <x:c r="L1521" s="31" t="n">
        <x:v>81.7</x:v>
      </x:c>
      <x:c r="M1521" s="31" t="n">
        <x:v>46209</x:v>
      </x:c>
      <x:c r="N1521" s="31" t="n">
        <x:v>46215</x:v>
      </x:c>
      <x:c r="O1521" s="31" t="n">
        <x:v>46209</x:v>
      </x:c>
      <x:c r="P1521" s="31" t="n">
        <x:v>46214</x:v>
      </x:c>
      <x:c r="Q1521" s="31" t="inlineStr">
        <x:is>
          <x:t xml:space="preserve">Завершено</x:t>
        </x:is>
      </x:c>
      <x:c r="R1521" s="31" t="inlineStr">
        <x:is>
          <x:t xml:space="preserve">КД</x:t>
        </x:is>
      </x:c>
      <x:c r="S1521" s="31" t="inlineStr">
        <x:is>
          <x:t xml:space="preserve">Нет</x:t>
        </x:is>
      </x:c>
    </x:row>
    <x:row r="1522">
      <x:c r="A1522" s="31" t="inlineStr">
        <x:is>
          <x:t xml:space="preserve">ОП-001521</x:t>
        </x:is>
      </x:c>
      <x:c r="B1522" s="31" t="inlineStr">
        <x:is>
          <x:t xml:space="preserve">ПЗ-00183</x:t>
        </x:is>
      </x:c>
      <x:c r="C1522" s="31" t="inlineStr">
        <x:is>
          <x:t xml:space="preserve">ЗК-1089</x:t>
        </x:is>
      </x:c>
      <x:c r="D1522" s="31" t="inlineStr">
        <x:is>
          <x:t xml:space="preserve">ПОЗ-0089-2</x:t>
        </x:is>
      </x:c>
      <x:c r="E1522" s="31" t="inlineStr">
        <x:is>
          <x:t xml:space="preserve">ИЗД-017</x:t>
        </x:is>
      </x:c>
      <x:c r="F1522" s="31" t="n">
        <x:v>50</x:v>
      </x:c>
      <x:c r="G1522" s="31" t="inlineStr">
        <x:is>
          <x:t xml:space="preserve">Обвязка труб</x:t>
        </x:is>
      </x:c>
      <x:c r="H1522" s="31" t="inlineStr">
        <x:is>
          <x:t xml:space="preserve">Сборка</x:t>
        </x:is>
      </x:c>
      <x:c r="I1522" s="31" t="inlineStr">
        <x:is>
          <x:t xml:space="preserve">ОБ-012</x:t>
        </x:is>
      </x:c>
      <x:c r="J1522" s="31" t="inlineStr">
        <x:is>
          <x:t xml:space="preserve">СОТР-077</x:t>
        </x:is>
      </x:c>
      <x:c r="K1522" s="31" t="n">
        <x:v>14</x:v>
      </x:c>
      <x:c r="L1522" s="31" t="n">
        <x:v>13.9</x:v>
      </x:c>
      <x:c r="M1522" s="31" t="n">
        <x:v>46215</x:v>
      </x:c>
      <x:c r="N1522" s="31" t="n">
        <x:v>46217</x:v>
      </x:c>
      <x:c r="O1522" s="31" t="n">
        <x:v>46215</x:v>
      </x:c>
      <x:c r="P1522" s="31" t="n">
        <x:v>46216</x:v>
      </x:c>
      <x:c r="Q1522" s="31" t="inlineStr">
        <x:is>
          <x:t xml:space="preserve">Завершено</x:t>
        </x:is>
      </x:c>
      <x:c r="R1522" s="31" t="inlineStr">
        <x:is>
          <x:t xml:space="preserve">Материал</x:t>
        </x:is>
      </x:c>
      <x:c r="S1522" s="31" t="inlineStr">
        <x:is>
          <x:t xml:space="preserve">Нет</x:t>
        </x:is>
      </x:c>
    </x:row>
    <x:row r="1523">
      <x:c r="A1523" s="31" t="inlineStr">
        <x:is>
          <x:t xml:space="preserve">ОП-001522</x:t>
        </x:is>
      </x:c>
      <x:c r="B1523" s="31" t="inlineStr">
        <x:is>
          <x:t xml:space="preserve">ПЗ-00183</x:t>
        </x:is>
      </x:c>
      <x:c r="C1523" s="31" t="inlineStr">
        <x:is>
          <x:t xml:space="preserve">ЗК-1089</x:t>
        </x:is>
      </x:c>
      <x:c r="D1523" s="31" t="inlineStr">
        <x:is>
          <x:t xml:space="preserve">ПОЗ-0089-2</x:t>
        </x:is>
      </x:c>
      <x:c r="E1523" s="31" t="inlineStr">
        <x:is>
          <x:t xml:space="preserve">ИЗД-017</x:t>
        </x:is>
      </x:c>
      <x:c r="F1523" s="31" t="n">
        <x:v>60</x:v>
      </x:c>
      <x:c r="G1523" s="31" t="inlineStr">
        <x:is>
          <x:t xml:space="preserve">Электромонтаж</x:t>
        </x:is>
      </x:c>
      <x:c r="H1523" s="31" t="inlineStr">
        <x:is>
          <x:t xml:space="preserve">Сборка</x:t>
        </x:is>
      </x:c>
      <x:c r="I1523" s="31" t="inlineStr">
        <x:is>
          <x:t xml:space="preserve">ОБ-034</x:t>
        </x:is>
      </x:c>
      <x:c r="J1523" s="31" t="inlineStr">
        <x:is>
          <x:t xml:space="preserve">СОТР-080</x:t>
        </x:is>
      </x:c>
      <x:c r="K1523" s="31" t="n">
        <x:v>52.8</x:v>
      </x:c>
      <x:c r="L1523" s="31" t="n">
        <x:v>69</x:v>
      </x:c>
      <x:c r="M1523" s="31" t="n">
        <x:v>46217</x:v>
      </x:c>
      <x:c r="N1523" s="31" t="n">
        <x:v>46222</x:v>
      </x:c>
      <x:c r="O1523" s="31" t="n">
        <x:v>46217</x:v>
      </x:c>
      <x:c r="P1523" s="31" t="n">
        <x:v>46221</x:v>
      </x:c>
      <x:c r="Q1523" s="31" t="inlineStr">
        <x:is>
          <x:t xml:space="preserve">Завершено</x:t>
        </x:is>
      </x:c>
      <x:c r="R1523" s="31" t="inlineStr">
        <x:is>
          <x:t xml:space="preserve">Нет</x:t>
        </x:is>
      </x:c>
      <x:c r="S1523" s="31" t="inlineStr">
        <x:is>
          <x:t xml:space="preserve">Нет</x:t>
        </x:is>
      </x:c>
    </x:row>
    <x:row r="1524">
      <x:c r="A1524" s="31" t="inlineStr">
        <x:is>
          <x:t xml:space="preserve">ОП-001523</x:t>
        </x:is>
      </x:c>
      <x:c r="B1524" s="31" t="inlineStr">
        <x:is>
          <x:t xml:space="preserve">ПЗ-00183</x:t>
        </x:is>
      </x:c>
      <x:c r="C1524" s="31" t="inlineStr">
        <x:is>
          <x:t xml:space="preserve">ЗК-1089</x:t>
        </x:is>
      </x:c>
      <x:c r="D1524" s="31" t="inlineStr">
        <x:is>
          <x:t xml:space="preserve">ПОЗ-0089-2</x:t>
        </x:is>
      </x:c>
      <x:c r="E1524" s="31" t="inlineStr">
        <x:is>
          <x:t xml:space="preserve">ИЗД-017</x:t>
        </x:is>
      </x:c>
      <x:c r="F1524" s="31" t="n">
        <x:v>70</x:v>
      </x:c>
      <x:c r="G1524" s="31" t="inlineStr">
        <x:is>
          <x:t xml:space="preserve">Гидроиспытания</x:t>
        </x:is>
      </x:c>
      <x:c r="H1524" s="31" t="inlineStr">
        <x:is>
          <x:t xml:space="preserve">ОТК</x:t>
        </x:is>
      </x:c>
      <x:c r="I1524" s="31" t="inlineStr">
        <x:is>
          <x:t xml:space="preserve">ОБ-001</x:t>
        </x:is>
      </x:c>
      <x:c r="J1524" s="31" t="inlineStr">
        <x:is>
          <x:t xml:space="preserve">СОТР-098</x:t>
        </x:is>
      </x:c>
      <x:c r="K1524" s="31" t="n">
        <x:v>47.2</x:v>
      </x:c>
      <x:c r="L1524" s="31" t="n">
        <x:v>47.8</x:v>
      </x:c>
      <x:c r="M1524" s="31" t="n">
        <x:v>46222</x:v>
      </x:c>
      <x:c r="N1524" s="31" t="n">
        <x:v>46226</x:v>
      </x:c>
      <x:c r="O1524" s="31" t="n">
        <x:v>46222</x:v>
      </x:c>
      <x:c r="P1524" s="31" t="n">
        <x:v>46226</x:v>
      </x:c>
      <x:c r="Q1524" s="31" t="inlineStr">
        <x:is>
          <x:t xml:space="preserve">Завершено</x:t>
        </x:is>
      </x:c>
      <x:c r="R1524" s="31" t="inlineStr">
        <x:is>
          <x:t xml:space="preserve">Нет</x:t>
        </x:is>
      </x:c>
      <x:c r="S1524" s="31" t="inlineStr">
        <x:is>
          <x:t xml:space="preserve">Нет</x:t>
        </x:is>
      </x:c>
    </x:row>
    <x:row r="1525">
      <x:c r="A1525" s="31" t="inlineStr">
        <x:is>
          <x:t xml:space="preserve">ОП-001524</x:t>
        </x:is>
      </x:c>
      <x:c r="B1525" s="31" t="inlineStr">
        <x:is>
          <x:t xml:space="preserve">ПЗ-00183</x:t>
        </x:is>
      </x:c>
      <x:c r="C1525" s="31" t="inlineStr">
        <x:is>
          <x:t xml:space="preserve">ЗК-1089</x:t>
        </x:is>
      </x:c>
      <x:c r="D1525" s="31" t="inlineStr">
        <x:is>
          <x:t xml:space="preserve">ПОЗ-0089-2</x:t>
        </x:is>
      </x:c>
      <x:c r="E1525" s="31" t="inlineStr">
        <x:is>
          <x:t xml:space="preserve">ИЗД-017</x:t>
        </x:is>
      </x:c>
      <x:c r="F1525" s="31" t="n">
        <x:v>80</x:v>
      </x:c>
      <x:c r="G1525" s="31" t="inlineStr">
        <x:is>
          <x:t xml:space="preserve">ОТК</x:t>
        </x:is>
      </x:c>
      <x:c r="H1525" s="31" t="inlineStr">
        <x:is>
          <x:t xml:space="preserve">ОТК</x:t>
        </x:is>
      </x:c>
      <x:c r="I1525" s="31" t="inlineStr">
        <x:is>
          <x:t xml:space="preserve">ОБ-024</x:t>
        </x:is>
      </x:c>
      <x:c r="J1525" s="31" t="inlineStr">
        <x:is>
          <x:t xml:space="preserve">СОТР-097</x:t>
        </x:is>
      </x:c>
      <x:c r="K1525" s="31" t="n">
        <x:v>32.4</x:v>
      </x:c>
      <x:c r="L1525" s="31" t="n">
        <x:v>28.9</x:v>
      </x:c>
      <x:c r="M1525" s="31" t="n">
        <x:v>46226</x:v>
      </x:c>
      <x:c r="N1525" s="31" t="n">
        <x:v>46229</x:v>
      </x:c>
      <x:c r="O1525" s="31" t="n">
        <x:v>46226</x:v>
      </x:c>
      <x:c r="P1525" s="31" t="n">
        <x:v>46230</x:v>
      </x:c>
      <x:c r="Q1525" s="31" t="inlineStr">
        <x:is>
          <x:t xml:space="preserve">Завершено</x:t>
        </x:is>
      </x:c>
      <x:c r="R1525" s="31" t="inlineStr">
        <x:is>
          <x:t xml:space="preserve">Нет</x:t>
        </x:is>
      </x:c>
      <x:c r="S1525" s="31" t="inlineStr">
        <x:is>
          <x:t xml:space="preserve">Нет</x:t>
        </x:is>
      </x:c>
    </x:row>
    <x:row r="1526">
      <x:c r="A1526" s="31" t="inlineStr">
        <x:is>
          <x:t xml:space="preserve">ОП-001525</x:t>
        </x:is>
      </x:c>
      <x:c r="B1526" s="31" t="inlineStr">
        <x:is>
          <x:t xml:space="preserve">ПЗ-00183</x:t>
        </x:is>
      </x:c>
      <x:c r="C1526" s="31" t="inlineStr">
        <x:is>
          <x:t xml:space="preserve">ЗК-1089</x:t>
        </x:is>
      </x:c>
      <x:c r="D1526" s="31" t="inlineStr">
        <x:is>
          <x:t xml:space="preserve">ПОЗ-0089-2</x:t>
        </x:is>
      </x:c>
      <x:c r="E1526" s="31" t="inlineStr">
        <x:is>
          <x:t xml:space="preserve">ИЗД-017</x:t>
        </x:is>
      </x:c>
      <x:c r="F1526" s="31" t="n">
        <x:v>90</x:v>
      </x:c>
      <x:c r="G1526" s="31" t="inlineStr">
        <x:is>
          <x:t xml:space="preserve">Упаковка</x:t>
        </x:is>
      </x:c>
      <x:c r="H1526" s="31" t="inlineStr">
        <x:is>
          <x:t xml:space="preserve">Логистика</x:t>
        </x:is>
      </x:c>
      <x:c r="I1526" s="31" t="n"/>
      <x:c r="J1526" s="31" t="inlineStr">
        <x:is>
          <x:t xml:space="preserve">СОТР-103</x:t>
        </x:is>
      </x:c>
      <x:c r="K1526" s="31" t="n">
        <x:v>65.59999999999999</x:v>
      </x:c>
      <x:c r="L1526" s="31" t="n">
        <x:v>52.6</x:v>
      </x:c>
      <x:c r="M1526" s="31" t="n">
        <x:v>46229</x:v>
      </x:c>
      <x:c r="N1526" s="31" t="n">
        <x:v>46235</x:v>
      </x:c>
      <x:c r="O1526" s="31" t="n">
        <x:v>46229</x:v>
      </x:c>
      <x:c r="P1526" s="31" t="n">
        <x:v>46234</x:v>
      </x:c>
      <x:c r="Q1526" s="31" t="inlineStr">
        <x:is>
          <x:t xml:space="preserve">Завершено</x:t>
        </x:is>
      </x:c>
      <x:c r="R1526" s="31" t="inlineStr">
        <x:is>
          <x:t xml:space="preserve">Нет</x:t>
        </x:is>
      </x:c>
      <x:c r="S1526" s="31" t="inlineStr">
        <x:is>
          <x:t xml:space="preserve">Нет</x:t>
        </x:is>
      </x:c>
    </x:row>
    <x:row r="1527">
      <x:c r="A1527" s="31" t="inlineStr">
        <x:is>
          <x:t xml:space="preserve">ОП-001526</x:t>
        </x:is>
      </x:c>
      <x:c r="B1527" s="31" t="inlineStr">
        <x:is>
          <x:t xml:space="preserve">ПЗ-00184</x:t>
        </x:is>
      </x:c>
      <x:c r="C1527" s="31" t="inlineStr">
        <x:is>
          <x:t xml:space="preserve">ЗК-1089</x:t>
        </x:is>
      </x:c>
      <x:c r="D1527" s="31" t="inlineStr">
        <x:is>
          <x:t xml:space="preserve">ПОЗ-0089-3</x:t>
        </x:is>
      </x:c>
      <x:c r="E1527" s="31" t="inlineStr">
        <x:is>
          <x:t xml:space="preserve">ИЗД-022</x:t>
        </x:is>
      </x:c>
      <x:c r="F1527" s="31" t="n">
        <x:v>10</x:v>
      </x:c>
      <x:c r="G1527" s="31" t="inlineStr">
        <x:is>
          <x:t xml:space="preserve">КД</x:t>
        </x:is>
      </x:c>
      <x:c r="H1527" s="31" t="inlineStr">
        <x:is>
          <x:t xml:space="preserve">Инженерный отдел</x:t>
        </x:is>
      </x:c>
      <x:c r="I1527" s="31" t="n"/>
      <x:c r="J1527" s="31" t="inlineStr">
        <x:is>
          <x:t xml:space="preserve">СОТР-021</x:t>
        </x:is>
      </x:c>
      <x:c r="K1527" s="31" t="n">
        <x:v>18.4</x:v>
      </x:c>
      <x:c r="L1527" s="31" t="n">
        <x:v>15</x:v>
      </x:c>
      <x:c r="M1527" s="31" t="n">
        <x:v>46182</x:v>
      </x:c>
      <x:c r="N1527" s="31" t="n">
        <x:v>46184</x:v>
      </x:c>
      <x:c r="O1527" s="31" t="n">
        <x:v>46182</x:v>
      </x:c>
      <x:c r="P1527" s="31" t="n">
        <x:v>46183</x:v>
      </x:c>
      <x:c r="Q1527" s="31" t="inlineStr">
        <x:is>
          <x:t xml:space="preserve">Завершено</x:t>
        </x:is>
      </x:c>
      <x:c r="R1527" s="31" t="inlineStr">
        <x:is>
          <x:t xml:space="preserve">Нет</x:t>
        </x:is>
      </x:c>
      <x:c r="S1527" s="31" t="inlineStr">
        <x:is>
          <x:t xml:space="preserve">Да</x:t>
        </x:is>
      </x:c>
    </x:row>
    <x:row r="1528">
      <x:c r="A1528" s="31" t="inlineStr">
        <x:is>
          <x:t xml:space="preserve">ОП-001527</x:t>
        </x:is>
      </x:c>
      <x:c r="B1528" s="31" t="inlineStr">
        <x:is>
          <x:t xml:space="preserve">ПЗ-00184</x:t>
        </x:is>
      </x:c>
      <x:c r="C1528" s="31" t="inlineStr">
        <x:is>
          <x:t xml:space="preserve">ЗК-1089</x:t>
        </x:is>
      </x:c>
      <x:c r="D1528" s="31" t="inlineStr">
        <x:is>
          <x:t xml:space="preserve">ПОЗ-0089-3</x:t>
        </x:is>
      </x:c>
      <x:c r="E1528" s="31" t="inlineStr">
        <x:is>
          <x:t xml:space="preserve">ИЗД-022</x:t>
        </x:is>
      </x:c>
      <x:c r="F1528" s="31" t="n">
        <x:v>20</x:v>
      </x:c>
      <x:c r="G1528" s="31" t="inlineStr">
        <x:is>
          <x:t xml:space="preserve">Резерв материалов</x:t>
        </x:is>
      </x:c>
      <x:c r="H1528" s="31" t="inlineStr">
        <x:is>
          <x:t xml:space="preserve">Склад</x:t>
        </x:is>
      </x:c>
      <x:c r="I1528" s="31" t="inlineStr">
        <x:is>
          <x:t xml:space="preserve">ОБ-009</x:t>
        </x:is>
      </x:c>
      <x:c r="J1528" s="31" t="inlineStr">
        <x:is>
          <x:t xml:space="preserve">СОТР-038</x:t>
        </x:is>
      </x:c>
      <x:c r="K1528" s="31" t="n">
        <x:v>16</x:v>
      </x:c>
      <x:c r="L1528" s="31" t="n">
        <x:v>15.9</x:v>
      </x:c>
      <x:c r="M1528" s="31" t="n">
        <x:v>46184</x:v>
      </x:c>
      <x:c r="N1528" s="31" t="n">
        <x:v>46186</x:v>
      </x:c>
      <x:c r="O1528" s="31" t="n">
        <x:v>46184</x:v>
      </x:c>
      <x:c r="P1528" s="31" t="n">
        <x:v>46188</x:v>
      </x:c>
      <x:c r="Q1528" s="31" t="inlineStr">
        <x:is>
          <x:t xml:space="preserve">Завершено</x:t>
        </x:is>
      </x:c>
      <x:c r="R1528" s="31" t="inlineStr">
        <x:is>
          <x:t xml:space="preserve">Нет</x:t>
        </x:is>
      </x:c>
      <x:c r="S1528" s="31" t="inlineStr">
        <x:is>
          <x:t xml:space="preserve">Нет</x:t>
        </x:is>
      </x:c>
    </x:row>
    <x:row r="1529">
      <x:c r="A1529" s="31" t="inlineStr">
        <x:is>
          <x:t xml:space="preserve">ОП-001528</x:t>
        </x:is>
      </x:c>
      <x:c r="B1529" s="31" t="inlineStr">
        <x:is>
          <x:t xml:space="preserve">ПЗ-00184</x:t>
        </x:is>
      </x:c>
      <x:c r="C1529" s="31" t="inlineStr">
        <x:is>
          <x:t xml:space="preserve">ЗК-1089</x:t>
        </x:is>
      </x:c>
      <x:c r="D1529" s="31" t="inlineStr">
        <x:is>
          <x:t xml:space="preserve">ПОЗ-0089-3</x:t>
        </x:is>
      </x:c>
      <x:c r="E1529" s="31" t="inlineStr">
        <x:is>
          <x:t xml:space="preserve">ИЗД-022</x:t>
        </x:is>
      </x:c>
      <x:c r="F1529" s="31" t="n">
        <x:v>30</x:v>
      </x:c>
      <x:c r="G1529" s="31" t="inlineStr">
        <x:is>
          <x:t xml:space="preserve">Сварка рамы</x:t>
        </x:is>
      </x:c>
      <x:c r="H1529" s="31" t="inlineStr">
        <x:is>
          <x:t xml:space="preserve">Сварка</x:t>
        </x:is>
      </x:c>
      <x:c r="I1529" s="31" t="inlineStr">
        <x:is>
          <x:t xml:space="preserve">ОБ-021</x:t>
        </x:is>
      </x:c>
      <x:c r="J1529" s="31" t="inlineStr">
        <x:is>
          <x:t xml:space="preserve">СОТР-061</x:t>
        </x:is>
      </x:c>
      <x:c r="K1529" s="31" t="n">
        <x:v>8</x:v>
      </x:c>
      <x:c r="L1529" s="31" t="n">
        <x:v>10.3</x:v>
      </x:c>
      <x:c r="M1529" s="31" t="n">
        <x:v>46186</x:v>
      </x:c>
      <x:c r="N1529" s="31" t="n">
        <x:v>46187</x:v>
      </x:c>
      <x:c r="O1529" s="31" t="n">
        <x:v>46186</x:v>
      </x:c>
      <x:c r="P1529" s="31" t="n">
        <x:v>46188</x:v>
      </x:c>
      <x:c r="Q1529" s="31" t="inlineStr">
        <x:is>
          <x:t xml:space="preserve">Завершено</x:t>
        </x:is>
      </x:c>
      <x:c r="R1529" s="31" t="inlineStr">
        <x:is>
          <x:t xml:space="preserve">Материал</x:t>
        </x:is>
      </x:c>
      <x:c r="S1529" s="31" t="inlineStr">
        <x:is>
          <x:t xml:space="preserve">Нет</x:t>
        </x:is>
      </x:c>
    </x:row>
    <x:row r="1530">
      <x:c r="A1530" s="31" t="inlineStr">
        <x:is>
          <x:t xml:space="preserve">ОП-001529</x:t>
        </x:is>
      </x:c>
      <x:c r="B1530" s="31" t="inlineStr">
        <x:is>
          <x:t xml:space="preserve">ПЗ-00184</x:t>
        </x:is>
      </x:c>
      <x:c r="C1530" s="31" t="inlineStr">
        <x:is>
          <x:t xml:space="preserve">ЗК-1089</x:t>
        </x:is>
      </x:c>
      <x:c r="D1530" s="31" t="inlineStr">
        <x:is>
          <x:t xml:space="preserve">ПОЗ-0089-3</x:t>
        </x:is>
      </x:c>
      <x:c r="E1530" s="31" t="inlineStr">
        <x:is>
          <x:t xml:space="preserve">ИЗД-022</x:t>
        </x:is>
      </x:c>
      <x:c r="F1530" s="31" t="n">
        <x:v>40</x:v>
      </x:c>
      <x:c r="G1530" s="31" t="inlineStr">
        <x:is>
          <x:t xml:space="preserve">Сборка</x:t>
        </x:is>
      </x:c>
      <x:c r="H1530" s="31" t="inlineStr">
        <x:is>
          <x:t xml:space="preserve">Сборка</x:t>
        </x:is>
      </x:c>
      <x:c r="I1530" s="31" t="inlineStr">
        <x:is>
          <x:t xml:space="preserve">ОБ-012</x:t>
        </x:is>
      </x:c>
      <x:c r="J1530" s="31" t="inlineStr">
        <x:is>
          <x:t xml:space="preserve">СОТР-088</x:t>
        </x:is>
      </x:c>
      <x:c r="K1530" s="31" t="n">
        <x:v>8</x:v>
      </x:c>
      <x:c r="L1530" s="31" t="n"/>
      <x:c r="M1530" s="31" t="n">
        <x:v>46187</x:v>
      </x:c>
      <x:c r="N1530" s="31" t="n">
        <x:v>46188</x:v>
      </x:c>
      <x:c r="O1530" s="31" t="n"/>
      <x:c r="P1530" s="31" t="n"/>
      <x:c r="Q1530" s="31" t="inlineStr">
        <x:is>
          <x:t xml:space="preserve">Запланировано</x:t>
        </x:is>
      </x:c>
      <x:c r="R1530" s="31" t="inlineStr">
        <x:is>
          <x:t xml:space="preserve">Нет</x:t>
        </x:is>
      </x:c>
      <x:c r="S1530" s="31" t="inlineStr">
        <x:is>
          <x:t xml:space="preserve">Нет</x:t>
        </x:is>
      </x:c>
    </x:row>
    <x:row r="1531">
      <x:c r="A1531" s="31" t="inlineStr">
        <x:is>
          <x:t xml:space="preserve">ОП-001530</x:t>
        </x:is>
      </x:c>
      <x:c r="B1531" s="31" t="inlineStr">
        <x:is>
          <x:t xml:space="preserve">ПЗ-00184</x:t>
        </x:is>
      </x:c>
      <x:c r="C1531" s="31" t="inlineStr">
        <x:is>
          <x:t xml:space="preserve">ЗК-1089</x:t>
        </x:is>
      </x:c>
      <x:c r="D1531" s="31" t="inlineStr">
        <x:is>
          <x:t xml:space="preserve">ПОЗ-0089-3</x:t>
        </x:is>
      </x:c>
      <x:c r="E1531" s="31" t="inlineStr">
        <x:is>
          <x:t xml:space="preserve">ИЗД-022</x:t>
        </x:is>
      </x:c>
      <x:c r="F1531" s="31" t="n">
        <x:v>50</x:v>
      </x:c>
      <x:c r="G1531" s="31" t="inlineStr">
        <x:is>
          <x:t xml:space="preserve">Обвязка труб</x:t>
        </x:is>
      </x:c>
      <x:c r="H1531" s="31" t="inlineStr">
        <x:is>
          <x:t xml:space="preserve">Сборка</x:t>
        </x:is>
      </x:c>
      <x:c r="I1531" s="31" t="inlineStr">
        <x:is>
          <x:t xml:space="preserve">ОБ-034</x:t>
        </x:is>
      </x:c>
      <x:c r="J1531" s="31" t="inlineStr">
        <x:is>
          <x:t xml:space="preserve">СОТР-086</x:t>
        </x:is>
      </x:c>
      <x:c r="K1531" s="31" t="n">
        <x:v>15.8</x:v>
      </x:c>
      <x:c r="L1531" s="31" t="n">
        <x:v>12.9</x:v>
      </x:c>
      <x:c r="M1531" s="31" t="n">
        <x:v>46188</x:v>
      </x:c>
      <x:c r="N1531" s="31" t="n">
        <x:v>46190</x:v>
      </x:c>
      <x:c r="O1531" s="31" t="n">
        <x:v>46188</x:v>
      </x:c>
      <x:c r="P1531" s="31" t="n">
        <x:v>46191</x:v>
      </x:c>
      <x:c r="Q1531" s="31" t="inlineStr">
        <x:is>
          <x:t xml:space="preserve">Завершено</x:t>
        </x:is>
      </x:c>
      <x:c r="R1531" s="31" t="inlineStr">
        <x:is>
          <x:t xml:space="preserve">Нет</x:t>
        </x:is>
      </x:c>
      <x:c r="S1531" s="31" t="inlineStr">
        <x:is>
          <x:t xml:space="preserve">Нет</x:t>
        </x:is>
      </x:c>
    </x:row>
    <x:row r="1532">
      <x:c r="A1532" s="31" t="inlineStr">
        <x:is>
          <x:t xml:space="preserve">ОП-001531</x:t>
        </x:is>
      </x:c>
      <x:c r="B1532" s="31" t="inlineStr">
        <x:is>
          <x:t xml:space="preserve">ПЗ-00184</x:t>
        </x:is>
      </x:c>
      <x:c r="C1532" s="31" t="inlineStr">
        <x:is>
          <x:t xml:space="preserve">ЗК-1089</x:t>
        </x:is>
      </x:c>
      <x:c r="D1532" s="31" t="inlineStr">
        <x:is>
          <x:t xml:space="preserve">ПОЗ-0089-3</x:t>
        </x:is>
      </x:c>
      <x:c r="E1532" s="31" t="inlineStr">
        <x:is>
          <x:t xml:space="preserve">ИЗД-022</x:t>
        </x:is>
      </x:c>
      <x:c r="F1532" s="31" t="n">
        <x:v>60</x:v>
      </x:c>
      <x:c r="G1532" s="31" t="inlineStr">
        <x:is>
          <x:t xml:space="preserve">Электромонтаж</x:t>
        </x:is>
      </x:c>
      <x:c r="H1532" s="31" t="inlineStr">
        <x:is>
          <x:t xml:space="preserve">Сборка</x:t>
        </x:is>
      </x:c>
      <x:c r="I1532" s="31" t="inlineStr">
        <x:is>
          <x:t xml:space="preserve">ОБ-016</x:t>
        </x:is>
      </x:c>
      <x:c r="J1532" s="31" t="inlineStr">
        <x:is>
          <x:t xml:space="preserve">СОТР-073</x:t>
        </x:is>
      </x:c>
      <x:c r="K1532" s="31" t="n">
        <x:v>14</x:v>
      </x:c>
      <x:c r="L1532" s="31" t="n"/>
      <x:c r="M1532" s="31" t="n">
        <x:v>46190</x:v>
      </x:c>
      <x:c r="N1532" s="31" t="n">
        <x:v>46192</x:v>
      </x:c>
      <x:c r="O1532" s="31" t="n"/>
      <x:c r="P1532" s="31" t="n"/>
      <x:c r="Q1532" s="31" t="inlineStr">
        <x:is>
          <x:t xml:space="preserve">Запланировано</x:t>
        </x:is>
      </x:c>
      <x:c r="R1532" s="31" t="inlineStr">
        <x:is>
          <x:t xml:space="preserve">Нет</x:t>
        </x:is>
      </x:c>
      <x:c r="S1532" s="31" t="inlineStr">
        <x:is>
          <x:t xml:space="preserve">Да</x:t>
        </x:is>
      </x:c>
    </x:row>
    <x:row r="1533">
      <x:c r="A1533" s="31" t="inlineStr">
        <x:is>
          <x:t xml:space="preserve">ОП-001532</x:t>
        </x:is>
      </x:c>
      <x:c r="B1533" s="31" t="inlineStr">
        <x:is>
          <x:t xml:space="preserve">ПЗ-00184</x:t>
        </x:is>
      </x:c>
      <x:c r="C1533" s="31" t="inlineStr">
        <x:is>
          <x:t xml:space="preserve">ЗК-1089</x:t>
        </x:is>
      </x:c>
      <x:c r="D1533" s="31" t="inlineStr">
        <x:is>
          <x:t xml:space="preserve">ПОЗ-0089-3</x:t>
        </x:is>
      </x:c>
      <x:c r="E1533" s="31" t="inlineStr">
        <x:is>
          <x:t xml:space="preserve">ИЗД-022</x:t>
        </x:is>
      </x:c>
      <x:c r="F1533" s="31" t="n">
        <x:v>70</x:v>
      </x:c>
      <x:c r="G1533" s="31" t="inlineStr">
        <x:is>
          <x:t xml:space="preserve">Гидроиспытания</x:t>
        </x:is>
      </x:c>
      <x:c r="H1533" s="31" t="inlineStr">
        <x:is>
          <x:t xml:space="preserve">ОТК</x:t>
        </x:is>
      </x:c>
      <x:c r="I1533" s="31" t="inlineStr">
        <x:is>
          <x:t xml:space="preserve">ОБ-013</x:t>
        </x:is>
      </x:c>
      <x:c r="J1533" s="31" t="inlineStr">
        <x:is>
          <x:t xml:space="preserve">СОТР-092</x:t>
        </x:is>
      </x:c>
      <x:c r="K1533" s="31" t="n">
        <x:v>8.199999999999999</x:v>
      </x:c>
      <x:c r="L1533" s="31" t="n"/>
      <x:c r="M1533" s="31" t="n">
        <x:v>46192</x:v>
      </x:c>
      <x:c r="N1533" s="31" t="n">
        <x:v>46193</x:v>
      </x:c>
      <x:c r="O1533" s="31" t="n"/>
      <x:c r="P1533" s="31" t="n"/>
      <x:c r="Q1533" s="31" t="inlineStr">
        <x:is>
          <x:t xml:space="preserve">Запланировано</x:t>
        </x:is>
      </x:c>
      <x:c r="R1533" s="31" t="inlineStr">
        <x:is>
          <x:t xml:space="preserve">Материал</x:t>
        </x:is>
      </x:c>
      <x:c r="S1533" s="31" t="inlineStr">
        <x:is>
          <x:t xml:space="preserve">Нет</x:t>
        </x:is>
      </x:c>
    </x:row>
    <x:row r="1534">
      <x:c r="A1534" s="31" t="inlineStr">
        <x:is>
          <x:t xml:space="preserve">ОП-001533</x:t>
        </x:is>
      </x:c>
      <x:c r="B1534" s="31" t="inlineStr">
        <x:is>
          <x:t xml:space="preserve">ПЗ-00184</x:t>
        </x:is>
      </x:c>
      <x:c r="C1534" s="31" t="inlineStr">
        <x:is>
          <x:t xml:space="preserve">ЗК-1089</x:t>
        </x:is>
      </x:c>
      <x:c r="D1534" s="31" t="inlineStr">
        <x:is>
          <x:t xml:space="preserve">ПОЗ-0089-3</x:t>
        </x:is>
      </x:c>
      <x:c r="E1534" s="31" t="inlineStr">
        <x:is>
          <x:t xml:space="preserve">ИЗД-022</x:t>
        </x:is>
      </x:c>
      <x:c r="F1534" s="31" t="n">
        <x:v>80</x:v>
      </x:c>
      <x:c r="G1534" s="31" t="inlineStr">
        <x:is>
          <x:t xml:space="preserve">ОТК</x:t>
        </x:is>
      </x:c>
      <x:c r="H1534" s="31" t="inlineStr">
        <x:is>
          <x:t xml:space="preserve">ОТК</x:t>
        </x:is>
      </x:c>
      <x:c r="I1534" s="31" t="inlineStr">
        <x:is>
          <x:t xml:space="preserve">ОБ-032</x:t>
        </x:is>
      </x:c>
      <x:c r="J1534" s="31" t="inlineStr">
        <x:is>
          <x:t xml:space="preserve">СОТР-100</x:t>
        </x:is>
      </x:c>
      <x:c r="K1534" s="31" t="n">
        <x:v>21.6</x:v>
      </x:c>
      <x:c r="L1534" s="31" t="n"/>
      <x:c r="M1534" s="31" t="n">
        <x:v>46193</x:v>
      </x:c>
      <x:c r="N1534" s="31" t="n">
        <x:v>46195</x:v>
      </x:c>
      <x:c r="O1534" s="31" t="n"/>
      <x:c r="P1534" s="31" t="n"/>
      <x:c r="Q1534" s="31" t="inlineStr">
        <x:is>
          <x:t xml:space="preserve">Запланировано</x:t>
        </x:is>
      </x:c>
      <x:c r="R1534" s="31" t="inlineStr">
        <x:is>
          <x:t xml:space="preserve">Нет</x:t>
        </x:is>
      </x:c>
      <x:c r="S1534" s="31" t="inlineStr">
        <x:is>
          <x:t xml:space="preserve">Да</x:t>
        </x:is>
      </x:c>
    </x:row>
    <x:row r="1535">
      <x:c r="A1535" s="31" t="inlineStr">
        <x:is>
          <x:t xml:space="preserve">ОП-001534</x:t>
        </x:is>
      </x:c>
      <x:c r="B1535" s="31" t="inlineStr">
        <x:is>
          <x:t xml:space="preserve">ПЗ-00184</x:t>
        </x:is>
      </x:c>
      <x:c r="C1535" s="31" t="inlineStr">
        <x:is>
          <x:t xml:space="preserve">ЗК-1089</x:t>
        </x:is>
      </x:c>
      <x:c r="D1535" s="31" t="inlineStr">
        <x:is>
          <x:t xml:space="preserve">ПОЗ-0089-3</x:t>
        </x:is>
      </x:c>
      <x:c r="E1535" s="31" t="inlineStr">
        <x:is>
          <x:t xml:space="preserve">ИЗД-022</x:t>
        </x:is>
      </x:c>
      <x:c r="F1535" s="31" t="n">
        <x:v>90</x:v>
      </x:c>
      <x:c r="G1535" s="31" t="inlineStr">
        <x:is>
          <x:t xml:space="preserve">Упаковка</x:t>
        </x:is>
      </x:c>
      <x:c r="H1535" s="31" t="inlineStr">
        <x:is>
          <x:t xml:space="preserve">Логистика</x:t>
        </x:is>
      </x:c>
      <x:c r="I1535" s="31" t="n"/>
      <x:c r="J1535" s="31" t="inlineStr">
        <x:is>
          <x:t xml:space="preserve">СОТР-102</x:t>
        </x:is>
      </x:c>
      <x:c r="K1535" s="31" t="n">
        <x:v>12.4</x:v>
      </x:c>
      <x:c r="L1535" s="31" t="n"/>
      <x:c r="M1535" s="31" t="n">
        <x:v>46195</x:v>
      </x:c>
      <x:c r="N1535" s="31" t="n">
        <x:v>46197</x:v>
      </x:c>
      <x:c r="O1535" s="31" t="n"/>
      <x:c r="P1535" s="31" t="n"/>
      <x:c r="Q1535" s="31" t="inlineStr">
        <x:is>
          <x:t xml:space="preserve">Запланировано</x:t>
        </x:is>
      </x:c>
      <x:c r="R1535" s="31" t="inlineStr">
        <x:is>
          <x:t xml:space="preserve">Нет</x:t>
        </x:is>
      </x:c>
      <x:c r="S1535" s="31" t="inlineStr">
        <x:is>
          <x:t xml:space="preserve">Нет</x:t>
        </x:is>
      </x:c>
    </x:row>
    <x:row r="1536">
      <x:c r="A1536" s="31" t="inlineStr">
        <x:is>
          <x:t xml:space="preserve">ОП-001535</x:t>
        </x:is>
      </x:c>
      <x:c r="B1536" s="31" t="inlineStr">
        <x:is>
          <x:t xml:space="preserve">ПЗ-00185</x:t>
        </x:is>
      </x:c>
      <x:c r="C1536" s="31" t="inlineStr">
        <x:is>
          <x:t xml:space="preserve">ЗК-1090</x:t>
        </x:is>
      </x:c>
      <x:c r="D1536" s="31" t="inlineStr">
        <x:is>
          <x:t xml:space="preserve">ПОЗ-0090-1</x:t>
        </x:is>
      </x:c>
      <x:c r="E1536" s="31" t="inlineStr">
        <x:is>
          <x:t xml:space="preserve">ИЗД-045</x:t>
        </x:is>
      </x:c>
      <x:c r="F1536" s="31" t="n">
        <x:v>10</x:v>
      </x:c>
      <x:c r="G1536" s="31" t="inlineStr">
        <x:is>
          <x:t xml:space="preserve">КД</x:t>
        </x:is>
      </x:c>
      <x:c r="H1536" s="31" t="inlineStr">
        <x:is>
          <x:t xml:space="preserve">Инженерный отдел</x:t>
        </x:is>
      </x:c>
      <x:c r="I1536" s="31" t="n"/>
      <x:c r="J1536" s="31" t="inlineStr">
        <x:is>
          <x:t xml:space="preserve">СОТР-012</x:t>
        </x:is>
      </x:c>
      <x:c r="K1536" s="31" t="n">
        <x:v>19.4</x:v>
      </x:c>
      <x:c r="L1536" s="31" t="n"/>
      <x:c r="M1536" s="31" t="n">
        <x:v>46138</x:v>
      </x:c>
      <x:c r="N1536" s="31" t="n">
        <x:v>46140</x:v>
      </x:c>
      <x:c r="O1536" s="31" t="n"/>
      <x:c r="P1536" s="31" t="n"/>
      <x:c r="Q1536" s="31" t="inlineStr">
        <x:is>
          <x:t xml:space="preserve">Запланировано</x:t>
        </x:is>
      </x:c>
      <x:c r="R1536" s="31" t="inlineStr">
        <x:is>
          <x:t xml:space="preserve">Нет</x:t>
        </x:is>
      </x:c>
      <x:c r="S1536" s="31" t="inlineStr">
        <x:is>
          <x:t xml:space="preserve">Нет</x:t>
        </x:is>
      </x:c>
    </x:row>
    <x:row r="1537">
      <x:c r="A1537" s="31" t="inlineStr">
        <x:is>
          <x:t xml:space="preserve">ОП-001536</x:t>
        </x:is>
      </x:c>
      <x:c r="B1537" s="31" t="inlineStr">
        <x:is>
          <x:t xml:space="preserve">ПЗ-00185</x:t>
        </x:is>
      </x:c>
      <x:c r="C1537" s="31" t="inlineStr">
        <x:is>
          <x:t xml:space="preserve">ЗК-1090</x:t>
        </x:is>
      </x:c>
      <x:c r="D1537" s="31" t="inlineStr">
        <x:is>
          <x:t xml:space="preserve">ПОЗ-0090-1</x:t>
        </x:is>
      </x:c>
      <x:c r="E1537" s="31" t="inlineStr">
        <x:is>
          <x:t xml:space="preserve">ИЗД-045</x:t>
        </x:is>
      </x:c>
      <x:c r="F1537" s="31" t="n">
        <x:v>20</x:v>
      </x:c>
      <x:c r="G1537" s="31" t="inlineStr">
        <x:is>
          <x:t xml:space="preserve">Комплектация</x:t>
        </x:is>
      </x:c>
      <x:c r="H1537" s="31" t="inlineStr">
        <x:is>
          <x:t xml:space="preserve">Склад</x:t>
        </x:is>
      </x:c>
      <x:c r="I1537" s="31" t="inlineStr">
        <x:is>
          <x:t xml:space="preserve">ОБ-025</x:t>
        </x:is>
      </x:c>
      <x:c r="J1537" s="31" t="inlineStr">
        <x:is>
          <x:t xml:space="preserve">СОТР-039</x:t>
        </x:is>
      </x:c>
      <x:c r="K1537" s="31" t="n">
        <x:v>13.6</x:v>
      </x:c>
      <x:c r="L1537" s="31" t="n"/>
      <x:c r="M1537" s="31" t="n">
        <x:v>46140</x:v>
      </x:c>
      <x:c r="N1537" s="31" t="n">
        <x:v>46142</x:v>
      </x:c>
      <x:c r="O1537" s="31" t="n"/>
      <x:c r="P1537" s="31" t="n"/>
      <x:c r="Q1537" s="31" t="inlineStr">
        <x:is>
          <x:t xml:space="preserve">Запланировано</x:t>
        </x:is>
      </x:c>
      <x:c r="R1537" s="31" t="inlineStr">
        <x:is>
          <x:t xml:space="preserve">Нет</x:t>
        </x:is>
      </x:c>
      <x:c r="S1537" s="31" t="inlineStr">
        <x:is>
          <x:t xml:space="preserve">Нет</x:t>
        </x:is>
      </x:c>
    </x:row>
    <x:row r="1538">
      <x:c r="A1538" s="31" t="inlineStr">
        <x:is>
          <x:t xml:space="preserve">ОП-001537</x:t>
        </x:is>
      </x:c>
      <x:c r="B1538" s="31" t="inlineStr">
        <x:is>
          <x:t xml:space="preserve">ПЗ-00185</x:t>
        </x:is>
      </x:c>
      <x:c r="C1538" s="31" t="inlineStr">
        <x:is>
          <x:t xml:space="preserve">ЗК-1090</x:t>
        </x:is>
      </x:c>
      <x:c r="D1538" s="31" t="inlineStr">
        <x:is>
          <x:t xml:space="preserve">ПОЗ-0090-1</x:t>
        </x:is>
      </x:c>
      <x:c r="E1538" s="31" t="inlineStr">
        <x:is>
          <x:t xml:space="preserve">ИЗД-045</x:t>
        </x:is>
      </x:c>
      <x:c r="F1538" s="31" t="n">
        <x:v>30</x:v>
      </x:c>
      <x:c r="G1538" s="31" t="inlineStr">
        <x:is>
          <x:t xml:space="preserve">Сборка шкафа</x:t>
        </x:is>
      </x:c>
      <x:c r="H1538" s="31" t="inlineStr">
        <x:is>
          <x:t xml:space="preserve">Сборка</x:t>
        </x:is>
      </x:c>
      <x:c r="I1538" s="31" t="inlineStr">
        <x:is>
          <x:t xml:space="preserve">ОБ-016</x:t>
        </x:is>
      </x:c>
      <x:c r="J1538" s="31" t="inlineStr">
        <x:is>
          <x:t xml:space="preserve">СОТР-075</x:t>
        </x:is>
      </x:c>
      <x:c r="K1538" s="31" t="n">
        <x:v>5</x:v>
      </x:c>
      <x:c r="L1538" s="31" t="n"/>
      <x:c r="M1538" s="31" t="n">
        <x:v>46142</x:v>
      </x:c>
      <x:c r="N1538" s="31" t="n">
        <x:v>46143</x:v>
      </x:c>
      <x:c r="O1538" s="31" t="n"/>
      <x:c r="P1538" s="31" t="n"/>
      <x:c r="Q1538" s="31" t="inlineStr">
        <x:is>
          <x:t xml:space="preserve">Запланировано</x:t>
        </x:is>
      </x:c>
      <x:c r="R1538" s="31" t="inlineStr">
        <x:is>
          <x:t xml:space="preserve">Нет</x:t>
        </x:is>
      </x:c>
      <x:c r="S1538" s="31" t="inlineStr">
        <x:is>
          <x:t xml:space="preserve">Да</x:t>
        </x:is>
      </x:c>
    </x:row>
    <x:row r="1539">
      <x:c r="A1539" s="31" t="inlineStr">
        <x:is>
          <x:t xml:space="preserve">ОП-001538</x:t>
        </x:is>
      </x:c>
      <x:c r="B1539" s="31" t="inlineStr">
        <x:is>
          <x:t xml:space="preserve">ПЗ-00185</x:t>
        </x:is>
      </x:c>
      <x:c r="C1539" s="31" t="inlineStr">
        <x:is>
          <x:t xml:space="preserve">ЗК-1090</x:t>
        </x:is>
      </x:c>
      <x:c r="D1539" s="31" t="inlineStr">
        <x:is>
          <x:t xml:space="preserve">ПОЗ-0090-1</x:t>
        </x:is>
      </x:c>
      <x:c r="E1539" s="31" t="inlineStr">
        <x:is>
          <x:t xml:space="preserve">ИЗД-045</x:t>
        </x:is>
      </x:c>
      <x:c r="F1539" s="31" t="n">
        <x:v>40</x:v>
      </x:c>
      <x:c r="G1539" s="31" t="inlineStr">
        <x:is>
          <x:t xml:space="preserve">Маркировка</x:t>
        </x:is>
      </x:c>
      <x:c r="H1539" s="31" t="inlineStr">
        <x:is>
          <x:t xml:space="preserve">Сборка</x:t>
        </x:is>
      </x:c>
      <x:c r="I1539" s="31" t="inlineStr">
        <x:is>
          <x:t xml:space="preserve">ОБ-016</x:t>
        </x:is>
      </x:c>
      <x:c r="J1539" s="31" t="inlineStr">
        <x:is>
          <x:t xml:space="preserve">СОТР-078</x:t>
        </x:is>
      </x:c>
      <x:c r="K1539" s="31" t="n">
        <x:v>12.6</x:v>
      </x:c>
      <x:c r="L1539" s="31" t="n"/>
      <x:c r="M1539" s="31" t="n">
        <x:v>46143</x:v>
      </x:c>
      <x:c r="N1539" s="31" t="n">
        <x:v>46145</x:v>
      </x:c>
      <x:c r="O1539" s="31" t="n"/>
      <x:c r="P1539" s="31" t="n"/>
      <x:c r="Q1539" s="31" t="inlineStr">
        <x:is>
          <x:t xml:space="preserve">Запланировано</x:t>
        </x:is>
      </x:c>
      <x:c r="R1539" s="31" t="inlineStr">
        <x:is>
          <x:t xml:space="preserve">Нет</x:t>
        </x:is>
      </x:c>
      <x:c r="S1539" s="31" t="inlineStr">
        <x:is>
          <x:t xml:space="preserve">Нет</x:t>
        </x:is>
      </x:c>
    </x:row>
    <x:row r="1540">
      <x:c r="A1540" s="31" t="inlineStr">
        <x:is>
          <x:t xml:space="preserve">ОП-001539</x:t>
        </x:is>
      </x:c>
      <x:c r="B1540" s="31" t="inlineStr">
        <x:is>
          <x:t xml:space="preserve">ПЗ-00185</x:t>
        </x:is>
      </x:c>
      <x:c r="C1540" s="31" t="inlineStr">
        <x:is>
          <x:t xml:space="preserve">ЗК-1090</x:t>
        </x:is>
      </x:c>
      <x:c r="D1540" s="31" t="inlineStr">
        <x:is>
          <x:t xml:space="preserve">ПОЗ-0090-1</x:t>
        </x:is>
      </x:c>
      <x:c r="E1540" s="31" t="inlineStr">
        <x:is>
          <x:t xml:space="preserve">ИЗД-045</x:t>
        </x:is>
      </x:c>
      <x:c r="F1540" s="31" t="n">
        <x:v>50</x:v>
      </x:c>
      <x:c r="G1540" s="31" t="inlineStr">
        <x:is>
          <x:t xml:space="preserve">Электромонтаж</x:t>
        </x:is>
      </x:c>
      <x:c r="H1540" s="31" t="inlineStr">
        <x:is>
          <x:t xml:space="preserve">Сборка</x:t>
        </x:is>
      </x:c>
      <x:c r="I1540" s="31" t="inlineStr">
        <x:is>
          <x:t xml:space="preserve">ОБ-027</x:t>
        </x:is>
      </x:c>
      <x:c r="J1540" s="31" t="inlineStr">
        <x:is>
          <x:t xml:space="preserve">СОТР-077</x:t>
        </x:is>
      </x:c>
      <x:c r="K1540" s="31" t="n">
        <x:v>9.800000000000001</x:v>
      </x:c>
      <x:c r="L1540" s="31" t="n"/>
      <x:c r="M1540" s="31" t="n">
        <x:v>46145</x:v>
      </x:c>
      <x:c r="N1540" s="31" t="n">
        <x:v>46146</x:v>
      </x:c>
      <x:c r="O1540" s="31" t="n"/>
      <x:c r="P1540" s="31" t="n"/>
      <x:c r="Q1540" s="31" t="inlineStr">
        <x:is>
          <x:t xml:space="preserve">Запланировано</x:t>
        </x:is>
      </x:c>
      <x:c r="R1540" s="31" t="inlineStr">
        <x:is>
          <x:t xml:space="preserve">Нет</x:t>
        </x:is>
      </x:c>
      <x:c r="S1540" s="31" t="inlineStr">
        <x:is>
          <x:t xml:space="preserve">Нет</x:t>
        </x:is>
      </x:c>
    </x:row>
    <x:row r="1541">
      <x:c r="A1541" s="31" t="inlineStr">
        <x:is>
          <x:t xml:space="preserve">ОП-001540</x:t>
        </x:is>
      </x:c>
      <x:c r="B1541" s="31" t="inlineStr">
        <x:is>
          <x:t xml:space="preserve">ПЗ-00185</x:t>
        </x:is>
      </x:c>
      <x:c r="C1541" s="31" t="inlineStr">
        <x:is>
          <x:t xml:space="preserve">ЗК-1090</x:t>
        </x:is>
      </x:c>
      <x:c r="D1541" s="31" t="inlineStr">
        <x:is>
          <x:t xml:space="preserve">ПОЗ-0090-1</x:t>
        </x:is>
      </x:c>
      <x:c r="E1541" s="31" t="inlineStr">
        <x:is>
          <x:t xml:space="preserve">ИЗД-045</x:t>
        </x:is>
      </x:c>
      <x:c r="F1541" s="31" t="n">
        <x:v>60</x:v>
      </x:c>
      <x:c r="G1541" s="31" t="inlineStr">
        <x:is>
          <x:t xml:space="preserve">Программирование ПЛК</x:t>
        </x:is>
      </x:c>
      <x:c r="H1541" s="31" t="inlineStr">
        <x:is>
          <x:t xml:space="preserve">Инженерный отдел</x:t>
        </x:is>
      </x:c>
      <x:c r="I1541" s="31" t="n"/>
      <x:c r="J1541" s="31" t="inlineStr">
        <x:is>
          <x:t xml:space="preserve">СОТР-015</x:t>
        </x:is>
      </x:c>
      <x:c r="K1541" s="31" t="n">
        <x:v>5.6</x:v>
      </x:c>
      <x:c r="L1541" s="31" t="n"/>
      <x:c r="M1541" s="31" t="n">
        <x:v>46146</x:v>
      </x:c>
      <x:c r="N1541" s="31" t="n">
        <x:v>46147</x:v>
      </x:c>
      <x:c r="O1541" s="31" t="n"/>
      <x:c r="P1541" s="31" t="n"/>
      <x:c r="Q1541" s="31" t="inlineStr">
        <x:is>
          <x:t xml:space="preserve">Запланировано</x:t>
        </x:is>
      </x:c>
      <x:c r="R1541" s="31" t="inlineStr">
        <x:is>
          <x:t xml:space="preserve">Нет</x:t>
        </x:is>
      </x:c>
      <x:c r="S1541" s="31" t="inlineStr">
        <x:is>
          <x:t xml:space="preserve">Нет</x:t>
        </x:is>
      </x:c>
    </x:row>
    <x:row r="1542">
      <x:c r="A1542" s="31" t="inlineStr">
        <x:is>
          <x:t xml:space="preserve">ОП-001541</x:t>
        </x:is>
      </x:c>
      <x:c r="B1542" s="31" t="inlineStr">
        <x:is>
          <x:t xml:space="preserve">ПЗ-00185</x:t>
        </x:is>
      </x:c>
      <x:c r="C1542" s="31" t="inlineStr">
        <x:is>
          <x:t xml:space="preserve">ЗК-1090</x:t>
        </x:is>
      </x:c>
      <x:c r="D1542" s="31" t="inlineStr">
        <x:is>
          <x:t xml:space="preserve">ПОЗ-0090-1</x:t>
        </x:is>
      </x:c>
      <x:c r="E1542" s="31" t="inlineStr">
        <x:is>
          <x:t xml:space="preserve">ИЗД-045</x:t>
        </x:is>
      </x:c>
      <x:c r="F1542" s="31" t="n">
        <x:v>70</x:v>
      </x:c>
      <x:c r="G1542" s="31" t="inlineStr">
        <x:is>
          <x:t xml:space="preserve">Приемочные испытания</x:t>
        </x:is>
      </x:c>
      <x:c r="H1542" s="31" t="inlineStr">
        <x:is>
          <x:t xml:space="preserve">ОТК</x:t>
        </x:is>
      </x:c>
      <x:c r="I1542" s="31" t="inlineStr">
        <x:is>
          <x:t xml:space="preserve">ОБ-007</x:t>
        </x:is>
      </x:c>
      <x:c r="J1542" s="31" t="inlineStr">
        <x:is>
          <x:t xml:space="preserve">СОТР-093</x:t>
        </x:is>
      </x:c>
      <x:c r="K1542" s="31" t="n">
        <x:v>5.8</x:v>
      </x:c>
      <x:c r="L1542" s="31" t="n"/>
      <x:c r="M1542" s="31" t="n">
        <x:v>46147</x:v>
      </x:c>
      <x:c r="N1542" s="31" t="n">
        <x:v>46148</x:v>
      </x:c>
      <x:c r="O1542" s="31" t="n"/>
      <x:c r="P1542" s="31" t="n"/>
      <x:c r="Q1542" s="31" t="inlineStr">
        <x:is>
          <x:t xml:space="preserve">Запланировано</x:t>
        </x:is>
      </x:c>
      <x:c r="R1542" s="31" t="inlineStr">
        <x:is>
          <x:t xml:space="preserve">Нет</x:t>
        </x:is>
      </x:c>
      <x:c r="S1542" s="31" t="inlineStr">
        <x:is>
          <x:t xml:space="preserve">Нет</x:t>
        </x:is>
      </x:c>
    </x:row>
    <x:row r="1543">
      <x:c r="A1543" s="31" t="inlineStr">
        <x:is>
          <x:t xml:space="preserve">ОП-001542</x:t>
        </x:is>
      </x:c>
      <x:c r="B1543" s="31" t="inlineStr">
        <x:is>
          <x:t xml:space="preserve">ПЗ-00185</x:t>
        </x:is>
      </x:c>
      <x:c r="C1543" s="31" t="inlineStr">
        <x:is>
          <x:t xml:space="preserve">ЗК-1090</x:t>
        </x:is>
      </x:c>
      <x:c r="D1543" s="31" t="inlineStr">
        <x:is>
          <x:t xml:space="preserve">ПОЗ-0090-1</x:t>
        </x:is>
      </x:c>
      <x:c r="E1543" s="31" t="inlineStr">
        <x:is>
          <x:t xml:space="preserve">ИЗД-045</x:t>
        </x:is>
      </x:c>
      <x:c r="F1543" s="31" t="n">
        <x:v>80</x:v>
      </x:c>
      <x:c r="G1543" s="31" t="inlineStr">
        <x:is>
          <x:t xml:space="preserve">ОТК</x:t>
        </x:is>
      </x:c>
      <x:c r="H1543" s="31" t="inlineStr">
        <x:is>
          <x:t xml:space="preserve">ОТК</x:t>
        </x:is>
      </x:c>
      <x:c r="I1543" s="31" t="inlineStr">
        <x:is>
          <x:t xml:space="preserve">ОБ-033</x:t>
        </x:is>
      </x:c>
      <x:c r="J1543" s="31" t="inlineStr">
        <x:is>
          <x:t xml:space="preserve">СОТР-096</x:t>
        </x:is>
      </x:c>
      <x:c r="K1543" s="31" t="n">
        <x:v>23.8</x:v>
      </x:c>
      <x:c r="L1543" s="31" t="n"/>
      <x:c r="M1543" s="31" t="n">
        <x:v>46148</x:v>
      </x:c>
      <x:c r="N1543" s="31" t="n">
        <x:v>46150</x:v>
      </x:c>
      <x:c r="O1543" s="31" t="n"/>
      <x:c r="P1543" s="31" t="n"/>
      <x:c r="Q1543" s="31" t="inlineStr">
        <x:is>
          <x:t xml:space="preserve">Запланировано</x:t>
        </x:is>
      </x:c>
      <x:c r="R1543" s="31" t="inlineStr">
        <x:is>
          <x:t xml:space="preserve">Нет</x:t>
        </x:is>
      </x:c>
      <x:c r="S1543" s="31" t="inlineStr">
        <x:is>
          <x:t xml:space="preserve">Нет</x:t>
        </x:is>
      </x:c>
    </x:row>
    <x:row r="1544">
      <x:c r="A1544" s="31" t="inlineStr">
        <x:is>
          <x:t xml:space="preserve">ОП-001543</x:t>
        </x:is>
      </x:c>
      <x:c r="B1544" s="31" t="inlineStr">
        <x:is>
          <x:t xml:space="preserve">ПЗ-00185</x:t>
        </x:is>
      </x:c>
      <x:c r="C1544" s="31" t="inlineStr">
        <x:is>
          <x:t xml:space="preserve">ЗК-1090</x:t>
        </x:is>
      </x:c>
      <x:c r="D1544" s="31" t="inlineStr">
        <x:is>
          <x:t xml:space="preserve">ПОЗ-0090-1</x:t>
        </x:is>
      </x:c>
      <x:c r="E1544" s="31" t="inlineStr">
        <x:is>
          <x:t xml:space="preserve">ИЗД-045</x:t>
        </x:is>
      </x:c>
      <x:c r="F1544" s="31" t="n">
        <x:v>90</x:v>
      </x:c>
      <x:c r="G1544" s="31" t="inlineStr">
        <x:is>
          <x:t xml:space="preserve">Упаковка</x:t>
        </x:is>
      </x:c>
      <x:c r="H1544" s="31" t="inlineStr">
        <x:is>
          <x:t xml:space="preserve">Логистика</x:t>
        </x:is>
      </x:c>
      <x:c r="I1544" s="31" t="n"/>
      <x:c r="J1544" s="31" t="inlineStr">
        <x:is>
          <x:t xml:space="preserve">СОТР-070</x:t>
        </x:is>
      </x:c>
      <x:c r="K1544" s="31" t="n">
        <x:v>6</x:v>
      </x:c>
      <x:c r="L1544" s="31" t="n"/>
      <x:c r="M1544" s="31" t="n">
        <x:v>46150</x:v>
      </x:c>
      <x:c r="N1544" s="31" t="n">
        <x:v>46151</x:v>
      </x:c>
      <x:c r="O1544" s="31" t="n"/>
      <x:c r="P1544" s="31" t="n"/>
      <x:c r="Q1544" s="31" t="inlineStr">
        <x:is>
          <x:t xml:space="preserve">Запланировано</x:t>
        </x:is>
      </x:c>
      <x:c r="R1544" s="31" t="inlineStr">
        <x:is>
          <x:t xml:space="preserve">Нет</x:t>
        </x:is>
      </x:c>
      <x:c r="S1544" s="31" t="inlineStr">
        <x:is>
          <x:t xml:space="preserve">Нет</x:t>
        </x:is>
      </x:c>
    </x:row>
    <x:row r="1545">
      <x:c r="A1545" s="31" t="inlineStr">
        <x:is>
          <x:t xml:space="preserve">ОП-001544</x:t>
        </x:is>
      </x:c>
      <x:c r="B1545" s="31" t="inlineStr">
        <x:is>
          <x:t xml:space="preserve">ПЗ-00186</x:t>
        </x:is>
      </x:c>
      <x:c r="C1545" s="31" t="inlineStr">
        <x:is>
          <x:t xml:space="preserve">ЗК-1090</x:t>
        </x:is>
      </x:c>
      <x:c r="D1545" s="31" t="inlineStr">
        <x:is>
          <x:t xml:space="preserve">ПОЗ-0090-2</x:t>
        </x:is>
      </x:c>
      <x:c r="E1545" s="31" t="inlineStr">
        <x:is>
          <x:t xml:space="preserve">ИЗД-034</x:t>
        </x:is>
      </x:c>
      <x:c r="F1545" s="31" t="n">
        <x:v>10</x:v>
      </x:c>
      <x:c r="G1545" s="31" t="inlineStr">
        <x:is>
          <x:t xml:space="preserve">КД</x:t>
        </x:is>
      </x:c>
      <x:c r="H1545" s="31" t="inlineStr">
        <x:is>
          <x:t xml:space="preserve">Инженерный отдел</x:t>
        </x:is>
      </x:c>
      <x:c r="I1545" s="31" t="n"/>
      <x:c r="J1545" s="31" t="inlineStr">
        <x:is>
          <x:t xml:space="preserve">СОТР-016</x:t>
        </x:is>
      </x:c>
      <x:c r="K1545" s="31" t="n">
        <x:v>36</x:v>
      </x:c>
      <x:c r="L1545" s="31" t="n">
        <x:v>48</x:v>
      </x:c>
      <x:c r="M1545" s="31" t="n">
        <x:v>46142</x:v>
      </x:c>
      <x:c r="N1545" s="31" t="n">
        <x:v>46145</x:v>
      </x:c>
      <x:c r="O1545" s="31" t="n">
        <x:v>46142</x:v>
      </x:c>
      <x:c r="P1545" s="31" t="n">
        <x:v>46146</x:v>
      </x:c>
      <x:c r="Q1545" s="31" t="inlineStr">
        <x:is>
          <x:t xml:space="preserve">Завершено</x:t>
        </x:is>
      </x:c>
      <x:c r="R1545" s="31" t="inlineStr">
        <x:is>
          <x:t xml:space="preserve">Ожидание ОТК</x:t>
        </x:is>
      </x:c>
      <x:c r="S1545" s="31" t="inlineStr">
        <x:is>
          <x:t xml:space="preserve">Да</x:t>
        </x:is>
      </x:c>
    </x:row>
    <x:row r="1546">
      <x:c r="A1546" s="31" t="inlineStr">
        <x:is>
          <x:t xml:space="preserve">ОП-001545</x:t>
        </x:is>
      </x:c>
      <x:c r="B1546" s="31" t="inlineStr">
        <x:is>
          <x:t xml:space="preserve">ПЗ-00186</x:t>
        </x:is>
      </x:c>
      <x:c r="C1546" s="31" t="inlineStr">
        <x:is>
          <x:t xml:space="preserve">ЗК-1090</x:t>
        </x:is>
      </x:c>
      <x:c r="D1546" s="31" t="inlineStr">
        <x:is>
          <x:t xml:space="preserve">ПОЗ-0090-2</x:t>
        </x:is>
      </x:c>
      <x:c r="E1546" s="31" t="inlineStr">
        <x:is>
          <x:t xml:space="preserve">ИЗД-034</x:t>
        </x:is>
      </x:c>
      <x:c r="F1546" s="31" t="n">
        <x:v>20</x:v>
      </x:c>
      <x:c r="G1546" s="31" t="inlineStr">
        <x:is>
          <x:t xml:space="preserve">Резерв материалов</x:t>
        </x:is>
      </x:c>
      <x:c r="H1546" s="31" t="inlineStr">
        <x:is>
          <x:t xml:space="preserve">Склад</x:t>
        </x:is>
      </x:c>
      <x:c r="I1546" s="31" t="inlineStr">
        <x:is>
          <x:t xml:space="preserve">ОБ-008</x:t>
        </x:is>
      </x:c>
      <x:c r="J1546" s="31" t="inlineStr">
        <x:is>
          <x:t xml:space="preserve">СОТР-034</x:t>
        </x:is>
      </x:c>
      <x:c r="K1546" s="31" t="n">
        <x:v>24.5</x:v>
      </x:c>
      <x:c r="L1546" s="31" t="n">
        <x:v>32</x:v>
      </x:c>
      <x:c r="M1546" s="31" t="n">
        <x:v>46145</x:v>
      </x:c>
      <x:c r="N1546" s="31" t="n">
        <x:v>46148</x:v>
      </x:c>
      <x:c r="O1546" s="31" t="n">
        <x:v>46145</x:v>
      </x:c>
      <x:c r="P1546" s="31" t="n">
        <x:v>46148</x:v>
      </x:c>
      <x:c r="Q1546" s="31" t="inlineStr">
        <x:is>
          <x:t xml:space="preserve">Завершено</x:t>
        </x:is>
      </x:c>
      <x:c r="R1546" s="31" t="inlineStr">
        <x:is>
          <x:t xml:space="preserve">Нет</x:t>
        </x:is>
      </x:c>
      <x:c r="S1546" s="31" t="inlineStr">
        <x:is>
          <x:t xml:space="preserve">Да</x:t>
        </x:is>
      </x:c>
    </x:row>
    <x:row r="1547">
      <x:c r="A1547" s="31" t="inlineStr">
        <x:is>
          <x:t xml:space="preserve">ОП-001546</x:t>
        </x:is>
      </x:c>
      <x:c r="B1547" s="31" t="inlineStr">
        <x:is>
          <x:t xml:space="preserve">ПЗ-00186</x:t>
        </x:is>
      </x:c>
      <x:c r="C1547" s="31" t="inlineStr">
        <x:is>
          <x:t xml:space="preserve">ЗК-1090</x:t>
        </x:is>
      </x:c>
      <x:c r="D1547" s="31" t="inlineStr">
        <x:is>
          <x:t xml:space="preserve">ПОЗ-0090-2</x:t>
        </x:is>
      </x:c>
      <x:c r="E1547" s="31" t="inlineStr">
        <x:is>
          <x:t xml:space="preserve">ИЗД-034</x:t>
        </x:is>
      </x:c>
      <x:c r="F1547" s="31" t="n">
        <x:v>30</x:v>
      </x:c>
      <x:c r="G1547" s="31" t="inlineStr">
        <x:is>
          <x:t xml:space="preserve">Резка металла</x:t>
        </x:is>
      </x:c>
      <x:c r="H1547" s="31" t="inlineStr">
        <x:is>
          <x:t xml:space="preserve">Сварка</x:t>
        </x:is>
      </x:c>
      <x:c r="I1547" s="31" t="inlineStr">
        <x:is>
          <x:t xml:space="preserve">ОБ-004</x:t>
        </x:is>
      </x:c>
      <x:c r="J1547" s="31" t="inlineStr">
        <x:is>
          <x:t xml:space="preserve">СОТР-060</x:t>
        </x:is>
      </x:c>
      <x:c r="K1547" s="31" t="n">
        <x:v>33.5</x:v>
      </x:c>
      <x:c r="L1547" s="31" t="n">
        <x:v>38.6</x:v>
      </x:c>
      <x:c r="M1547" s="31" t="n">
        <x:v>46148</x:v>
      </x:c>
      <x:c r="N1547" s="31" t="n">
        <x:v>46151</x:v>
      </x:c>
      <x:c r="O1547" s="31" t="n">
        <x:v>46148</x:v>
      </x:c>
      <x:c r="P1547" s="31" t="n">
        <x:v>46150</x:v>
      </x:c>
      <x:c r="Q1547" s="31" t="inlineStr">
        <x:is>
          <x:t xml:space="preserve">Завершено</x:t>
        </x:is>
      </x:c>
      <x:c r="R1547" s="31" t="inlineStr">
        <x:is>
          <x:t xml:space="preserve">Оборудование</x:t>
        </x:is>
      </x:c>
      <x:c r="S1547" s="31" t="inlineStr">
        <x:is>
          <x:t xml:space="preserve">Нет</x:t>
        </x:is>
      </x:c>
    </x:row>
    <x:row r="1548">
      <x:c r="A1548" s="31" t="inlineStr">
        <x:is>
          <x:t xml:space="preserve">ОП-001547</x:t>
        </x:is>
      </x:c>
      <x:c r="B1548" s="31" t="inlineStr">
        <x:is>
          <x:t xml:space="preserve">ПЗ-00186</x:t>
        </x:is>
      </x:c>
      <x:c r="C1548" s="31" t="inlineStr">
        <x:is>
          <x:t xml:space="preserve">ЗК-1090</x:t>
        </x:is>
      </x:c>
      <x:c r="D1548" s="31" t="inlineStr">
        <x:is>
          <x:t xml:space="preserve">ПОЗ-0090-2</x:t>
        </x:is>
      </x:c>
      <x:c r="E1548" s="31" t="inlineStr">
        <x:is>
          <x:t xml:space="preserve">ИЗД-034</x:t>
        </x:is>
      </x:c>
      <x:c r="F1548" s="31" t="n">
        <x:v>40</x:v>
      </x:c>
      <x:c r="G1548" s="31" t="inlineStr">
        <x:is>
          <x:t xml:space="preserve">Сварка рамы</x:t>
        </x:is>
      </x:c>
      <x:c r="H1548" s="31" t="inlineStr">
        <x:is>
          <x:t xml:space="preserve">Сварка</x:t>
        </x:is>
      </x:c>
      <x:c r="I1548" s="31" t="inlineStr">
        <x:is>
          <x:t xml:space="preserve">ОБ-019</x:t>
        </x:is>
      </x:c>
      <x:c r="J1548" s="31" t="inlineStr">
        <x:is>
          <x:t xml:space="preserve">СОТР-064</x:t>
        </x:is>
      </x:c>
      <x:c r="K1548" s="31" t="n">
        <x:v>17.5</x:v>
      </x:c>
      <x:c r="L1548" s="31" t="n">
        <x:v>19.8</x:v>
      </x:c>
      <x:c r="M1548" s="31" t="n">
        <x:v>46151</x:v>
      </x:c>
      <x:c r="N1548" s="31" t="n">
        <x:v>46153</x:v>
      </x:c>
      <x:c r="O1548" s="31" t="n">
        <x:v>46151</x:v>
      </x:c>
      <x:c r="P1548" s="31" t="n">
        <x:v>46152</x:v>
      </x:c>
      <x:c r="Q1548" s="31" t="inlineStr">
        <x:is>
          <x:t xml:space="preserve">Завершено</x:t>
        </x:is>
      </x:c>
      <x:c r="R1548" s="31" t="inlineStr">
        <x:is>
          <x:t xml:space="preserve">Нет</x:t>
        </x:is>
      </x:c>
      <x:c r="S1548" s="31" t="inlineStr">
        <x:is>
          <x:t xml:space="preserve">Нет</x:t>
        </x:is>
      </x:c>
    </x:row>
    <x:row r="1549">
      <x:c r="A1549" s="31" t="inlineStr">
        <x:is>
          <x:t xml:space="preserve">ОП-001548</x:t>
        </x:is>
      </x:c>
      <x:c r="B1549" s="31" t="inlineStr">
        <x:is>
          <x:t xml:space="preserve">ПЗ-00186</x:t>
        </x:is>
      </x:c>
      <x:c r="C1549" s="31" t="inlineStr">
        <x:is>
          <x:t xml:space="preserve">ЗК-1090</x:t>
        </x:is>
      </x:c>
      <x:c r="D1549" s="31" t="inlineStr">
        <x:is>
          <x:t xml:space="preserve">ПОЗ-0090-2</x:t>
        </x:is>
      </x:c>
      <x:c r="E1549" s="31" t="inlineStr">
        <x:is>
          <x:t xml:space="preserve">ИЗД-034</x:t>
        </x:is>
      </x:c>
      <x:c r="F1549" s="31" t="n">
        <x:v>50</x:v>
      </x:c>
      <x:c r="G1549" s="31" t="inlineStr">
        <x:is>
          <x:t xml:space="preserve">Механообработка</x:t>
        </x:is>
      </x:c>
      <x:c r="H1549" s="31" t="inlineStr">
        <x:is>
          <x:t xml:space="preserve">Механообработка</x:t>
        </x:is>
      </x:c>
      <x:c r="I1549" s="31" t="inlineStr">
        <x:is>
          <x:t xml:space="preserve">ОБ-029</x:t>
        </x:is>
      </x:c>
      <x:c r="J1549" s="31" t="inlineStr">
        <x:is>
          <x:t xml:space="preserve">СОТР-043</x:t>
        </x:is>
      </x:c>
      <x:c r="K1549" s="31" t="n">
        <x:v>40.5</x:v>
      </x:c>
      <x:c r="L1549" s="31" t="n">
        <x:v>51.4</x:v>
      </x:c>
      <x:c r="M1549" s="31" t="n">
        <x:v>46153</x:v>
      </x:c>
      <x:c r="N1549" s="31" t="n">
        <x:v>46157</x:v>
      </x:c>
      <x:c r="O1549" s="31" t="n">
        <x:v>46153</x:v>
      </x:c>
      <x:c r="P1549" s="31" t="n">
        <x:v>46156</x:v>
      </x:c>
      <x:c r="Q1549" s="31" t="inlineStr">
        <x:is>
          <x:t xml:space="preserve">Завершено</x:t>
        </x:is>
      </x:c>
      <x:c r="R1549" s="31" t="inlineStr">
        <x:is>
          <x:t xml:space="preserve">Нет</x:t>
        </x:is>
      </x:c>
      <x:c r="S1549" s="31" t="inlineStr">
        <x:is>
          <x:t xml:space="preserve">Нет</x:t>
        </x:is>
      </x:c>
    </x:row>
    <x:row r="1550">
      <x:c r="A1550" s="31" t="inlineStr">
        <x:is>
          <x:t xml:space="preserve">ОП-001549</x:t>
        </x:is>
      </x:c>
      <x:c r="B1550" s="31" t="inlineStr">
        <x:is>
          <x:t xml:space="preserve">ПЗ-00186</x:t>
        </x:is>
      </x:c>
      <x:c r="C1550" s="31" t="inlineStr">
        <x:is>
          <x:t xml:space="preserve">ЗК-1090</x:t>
        </x:is>
      </x:c>
      <x:c r="D1550" s="31" t="inlineStr">
        <x:is>
          <x:t xml:space="preserve">ПОЗ-0090-2</x:t>
        </x:is>
      </x:c>
      <x:c r="E1550" s="31" t="inlineStr">
        <x:is>
          <x:t xml:space="preserve">ИЗД-034</x:t>
        </x:is>
      </x:c>
      <x:c r="F1550" s="31" t="n">
        <x:v>60</x:v>
      </x:c>
      <x:c r="G1550" s="31" t="inlineStr">
        <x:is>
          <x:t xml:space="preserve">Сборка</x:t>
        </x:is>
      </x:c>
      <x:c r="H1550" s="31" t="inlineStr">
        <x:is>
          <x:t xml:space="preserve">Сборка</x:t>
        </x:is>
      </x:c>
      <x:c r="I1550" s="31" t="inlineStr">
        <x:is>
          <x:t xml:space="preserve">ОБ-027</x:t>
        </x:is>
      </x:c>
      <x:c r="J1550" s="31" t="inlineStr">
        <x:is>
          <x:t xml:space="preserve">СОТР-083</x:t>
        </x:is>
      </x:c>
      <x:c r="K1550" s="31" t="n">
        <x:v>16.5</x:v>
      </x:c>
      <x:c r="L1550" s="31" t="n">
        <x:v>15.4</x:v>
      </x:c>
      <x:c r="M1550" s="31" t="n">
        <x:v>46157</x:v>
      </x:c>
      <x:c r="N1550" s="31" t="n">
        <x:v>46159</x:v>
      </x:c>
      <x:c r="O1550" s="31" t="n">
        <x:v>46157</x:v>
      </x:c>
      <x:c r="P1550" s="31" t="n">
        <x:v>46160</x:v>
      </x:c>
      <x:c r="Q1550" s="31" t="inlineStr">
        <x:is>
          <x:t xml:space="preserve">Завершено</x:t>
        </x:is>
      </x:c>
      <x:c r="R1550" s="31" t="inlineStr">
        <x:is>
          <x:t xml:space="preserve">Нет</x:t>
        </x:is>
      </x:c>
      <x:c r="S1550" s="31" t="inlineStr">
        <x:is>
          <x:t xml:space="preserve">Нет</x:t>
        </x:is>
      </x:c>
    </x:row>
    <x:row r="1551">
      <x:c r="A1551" s="31" t="inlineStr">
        <x:is>
          <x:t xml:space="preserve">ОП-001550</x:t>
        </x:is>
      </x:c>
      <x:c r="B1551" s="31" t="inlineStr">
        <x:is>
          <x:t xml:space="preserve">ПЗ-00186</x:t>
        </x:is>
      </x:c>
      <x:c r="C1551" s="31" t="inlineStr">
        <x:is>
          <x:t xml:space="preserve">ЗК-1090</x:t>
        </x:is>
      </x:c>
      <x:c r="D1551" s="31" t="inlineStr">
        <x:is>
          <x:t xml:space="preserve">ПОЗ-0090-2</x:t>
        </x:is>
      </x:c>
      <x:c r="E1551" s="31" t="inlineStr">
        <x:is>
          <x:t xml:space="preserve">ИЗД-034</x:t>
        </x:is>
      </x:c>
      <x:c r="F1551" s="31" t="n">
        <x:v>70</x:v>
      </x:c>
      <x:c r="G1551" s="31" t="inlineStr">
        <x:is>
          <x:t xml:space="preserve">Обвязка труб</x:t>
        </x:is>
      </x:c>
      <x:c r="H1551" s="31" t="inlineStr">
        <x:is>
          <x:t xml:space="preserve">Сборка</x:t>
        </x:is>
      </x:c>
      <x:c r="I1551" s="31" t="inlineStr">
        <x:is>
          <x:t xml:space="preserve">ОБ-034</x:t>
        </x:is>
      </x:c>
      <x:c r="J1551" s="31" t="inlineStr">
        <x:is>
          <x:t xml:space="preserve">СОТР-077</x:t>
        </x:is>
      </x:c>
      <x:c r="K1551" s="31" t="n">
        <x:v>11.5</x:v>
      </x:c>
      <x:c r="L1551" s="31" t="n">
        <x:v>15.1</x:v>
      </x:c>
      <x:c r="M1551" s="31" t="n">
        <x:v>46159</x:v>
      </x:c>
      <x:c r="N1551" s="31" t="n">
        <x:v>46160</x:v>
      </x:c>
      <x:c r="O1551" s="31" t="n">
        <x:v>46159</x:v>
      </x:c>
      <x:c r="P1551" s="31" t="n">
        <x:v>46159</x:v>
      </x:c>
      <x:c r="Q1551" s="31" t="inlineStr">
        <x:is>
          <x:t xml:space="preserve">Завершено</x:t>
        </x:is>
      </x:c>
      <x:c r="R1551" s="31" t="inlineStr">
        <x:is>
          <x:t xml:space="preserve">Нет</x:t>
        </x:is>
      </x:c>
      <x:c r="S1551" s="31" t="inlineStr">
        <x:is>
          <x:t xml:space="preserve">Нет</x:t>
        </x:is>
      </x:c>
    </x:row>
    <x:row r="1552">
      <x:c r="A1552" s="31" t="inlineStr">
        <x:is>
          <x:t xml:space="preserve">ОП-001551</x:t>
        </x:is>
      </x:c>
      <x:c r="B1552" s="31" t="inlineStr">
        <x:is>
          <x:t xml:space="preserve">ПЗ-00186</x:t>
        </x:is>
      </x:c>
      <x:c r="C1552" s="31" t="inlineStr">
        <x:is>
          <x:t xml:space="preserve">ЗК-1090</x:t>
        </x:is>
      </x:c>
      <x:c r="D1552" s="31" t="inlineStr">
        <x:is>
          <x:t xml:space="preserve">ПОЗ-0090-2</x:t>
        </x:is>
      </x:c>
      <x:c r="E1552" s="31" t="inlineStr">
        <x:is>
          <x:t xml:space="preserve">ИЗД-034</x:t>
        </x:is>
      </x:c>
      <x:c r="F1552" s="31" t="n">
        <x:v>80</x:v>
      </x:c>
      <x:c r="G1552" s="31" t="inlineStr">
        <x:is>
          <x:t xml:space="preserve">Электромонтаж</x:t>
        </x:is>
      </x:c>
      <x:c r="H1552" s="31" t="inlineStr">
        <x:is>
          <x:t xml:space="preserve">Сборка</x:t>
        </x:is>
      </x:c>
      <x:c r="I1552" s="31" t="inlineStr">
        <x:is>
          <x:t xml:space="preserve">ОБ-020</x:t>
        </x:is>
      </x:c>
      <x:c r="J1552" s="31" t="inlineStr">
        <x:is>
          <x:t xml:space="preserve">СОТР-087</x:t>
        </x:is>
      </x:c>
      <x:c r="K1552" s="31" t="n">
        <x:v>11</x:v>
      </x:c>
      <x:c r="L1552" s="31" t="n">
        <x:v>10.5</x:v>
      </x:c>
      <x:c r="M1552" s="31" t="n">
        <x:v>46160</x:v>
      </x:c>
      <x:c r="N1552" s="31" t="n">
        <x:v>46161</x:v>
      </x:c>
      <x:c r="O1552" s="31" t="n">
        <x:v>46160</x:v>
      </x:c>
      <x:c r="P1552" s="31" t="n">
        <x:v>46163</x:v>
      </x:c>
      <x:c r="Q1552" s="31" t="inlineStr">
        <x:is>
          <x:t xml:space="preserve">Завершено</x:t>
        </x:is>
      </x:c>
      <x:c r="R1552" s="31" t="inlineStr">
        <x:is>
          <x:t xml:space="preserve">Материал</x:t>
        </x:is>
      </x:c>
      <x:c r="S1552" s="31" t="inlineStr">
        <x:is>
          <x:t xml:space="preserve">Нет</x:t>
        </x:is>
      </x:c>
    </x:row>
    <x:row r="1553">
      <x:c r="A1553" s="31" t="inlineStr">
        <x:is>
          <x:t xml:space="preserve">ОП-001552</x:t>
        </x:is>
      </x:c>
      <x:c r="B1553" s="31" t="inlineStr">
        <x:is>
          <x:t xml:space="preserve">ПЗ-00186</x:t>
        </x:is>
      </x:c>
      <x:c r="C1553" s="31" t="inlineStr">
        <x:is>
          <x:t xml:space="preserve">ЗК-1090</x:t>
        </x:is>
      </x:c>
      <x:c r="D1553" s="31" t="inlineStr">
        <x:is>
          <x:t xml:space="preserve">ПОЗ-0090-2</x:t>
        </x:is>
      </x:c>
      <x:c r="E1553" s="31" t="inlineStr">
        <x:is>
          <x:t xml:space="preserve">ИЗД-034</x:t>
        </x:is>
      </x:c>
      <x:c r="F1553" s="31" t="n">
        <x:v>90</x:v>
      </x:c>
      <x:c r="G1553" s="31" t="inlineStr">
        <x:is>
          <x:t xml:space="preserve">Приемочные испытания</x:t>
        </x:is>
      </x:c>
      <x:c r="H1553" s="31" t="inlineStr">
        <x:is>
          <x:t xml:space="preserve">ОТК</x:t>
        </x:is>
      </x:c>
      <x:c r="I1553" s="31" t="inlineStr">
        <x:is>
          <x:t xml:space="preserve">ОБ-006</x:t>
        </x:is>
      </x:c>
      <x:c r="J1553" s="31" t="inlineStr">
        <x:is>
          <x:t xml:space="preserve">СОТР-063</x:t>
        </x:is>
      </x:c>
      <x:c r="K1553" s="31" t="n">
        <x:v>17.5</x:v>
      </x:c>
      <x:c r="L1553" s="31" t="n">
        <x:v>14.8</x:v>
      </x:c>
      <x:c r="M1553" s="31" t="n">
        <x:v>46161</x:v>
      </x:c>
      <x:c r="N1553" s="31" t="n">
        <x:v>46163</x:v>
      </x:c>
      <x:c r="O1553" s="31" t="n">
        <x:v>46161</x:v>
      </x:c>
      <x:c r="P1553" s="31" t="n">
        <x:v>46163</x:v>
      </x:c>
      <x:c r="Q1553" s="31" t="inlineStr">
        <x:is>
          <x:t xml:space="preserve">Завершено</x:t>
        </x:is>
      </x:c>
      <x:c r="R1553" s="31" t="inlineStr">
        <x:is>
          <x:t xml:space="preserve">Нет</x:t>
        </x:is>
      </x:c>
      <x:c r="S1553" s="31" t="inlineStr">
        <x:is>
          <x:t xml:space="preserve">Нет</x:t>
        </x:is>
      </x:c>
    </x:row>
    <x:row r="1554">
      <x:c r="A1554" s="31" t="inlineStr">
        <x:is>
          <x:t xml:space="preserve">ОП-001553</x:t>
        </x:is>
      </x:c>
      <x:c r="B1554" s="31" t="inlineStr">
        <x:is>
          <x:t xml:space="preserve">ПЗ-00186</x:t>
        </x:is>
      </x:c>
      <x:c r="C1554" s="31" t="inlineStr">
        <x:is>
          <x:t xml:space="preserve">ЗК-1090</x:t>
        </x:is>
      </x:c>
      <x:c r="D1554" s="31" t="inlineStr">
        <x:is>
          <x:t xml:space="preserve">ПОЗ-0090-2</x:t>
        </x:is>
      </x:c>
      <x:c r="E1554" s="31" t="inlineStr">
        <x:is>
          <x:t xml:space="preserve">ИЗД-034</x:t>
        </x:is>
      </x:c>
      <x:c r="F1554" s="31" t="n">
        <x:v>100</x:v>
      </x:c>
      <x:c r="G1554" s="31" t="inlineStr">
        <x:is>
          <x:t xml:space="preserve">ОТК</x:t>
        </x:is>
      </x:c>
      <x:c r="H1554" s="31" t="inlineStr">
        <x:is>
          <x:t xml:space="preserve">ОТК</x:t>
        </x:is>
      </x:c>
      <x:c r="I1554" s="31" t="inlineStr">
        <x:is>
          <x:t xml:space="preserve">ОБ-001</x:t>
        </x:is>
      </x:c>
      <x:c r="J1554" s="31" t="inlineStr">
        <x:is>
          <x:t xml:space="preserve">СОТР-095</x:t>
        </x:is>
      </x:c>
      <x:c r="K1554" s="31" t="n">
        <x:v>11</x:v>
      </x:c>
      <x:c r="L1554" s="31" t="n">
        <x:v>11.1</x:v>
      </x:c>
      <x:c r="M1554" s="31" t="n">
        <x:v>46163</x:v>
      </x:c>
      <x:c r="N1554" s="31" t="n">
        <x:v>46164</x:v>
      </x:c>
      <x:c r="O1554" s="31" t="n">
        <x:v>46163</x:v>
      </x:c>
      <x:c r="P1554" s="31" t="n">
        <x:v>46163</x:v>
      </x:c>
      <x:c r="Q1554" s="31" t="inlineStr">
        <x:is>
          <x:t xml:space="preserve">Завершено</x:t>
        </x:is>
      </x:c>
      <x:c r="R1554" s="31" t="inlineStr">
        <x:is>
          <x:t xml:space="preserve">Нет</x:t>
        </x:is>
      </x:c>
      <x:c r="S1554" s="31" t="inlineStr">
        <x:is>
          <x:t xml:space="preserve">Нет</x:t>
        </x:is>
      </x:c>
    </x:row>
    <x:row r="1555">
      <x:c r="A1555" s="31" t="inlineStr">
        <x:is>
          <x:t xml:space="preserve">ОП-001554</x:t>
        </x:is>
      </x:c>
      <x:c r="B1555" s="31" t="inlineStr">
        <x:is>
          <x:t xml:space="preserve">ПЗ-00186</x:t>
        </x:is>
      </x:c>
      <x:c r="C1555" s="31" t="inlineStr">
        <x:is>
          <x:t xml:space="preserve">ЗК-1090</x:t>
        </x:is>
      </x:c>
      <x:c r="D1555" s="31" t="inlineStr">
        <x:is>
          <x:t xml:space="preserve">ПОЗ-0090-2</x:t>
        </x:is>
      </x:c>
      <x:c r="E1555" s="31" t="inlineStr">
        <x:is>
          <x:t xml:space="preserve">ИЗД-034</x:t>
        </x:is>
      </x:c>
      <x:c r="F1555" s="31" t="n">
        <x:v>110</x:v>
      </x:c>
      <x:c r="G1555" s="31" t="inlineStr">
        <x:is>
          <x:t xml:space="preserve">Упаковка</x:t>
        </x:is>
      </x:c>
      <x:c r="H1555" s="31" t="inlineStr">
        <x:is>
          <x:t xml:space="preserve">Логистика</x:t>
        </x:is>
      </x:c>
      <x:c r="I1555" s="31" t="n"/>
      <x:c r="J1555" s="31" t="inlineStr">
        <x:is>
          <x:t xml:space="preserve">СОТР-104</x:t>
        </x:is>
      </x:c>
      <x:c r="K1555" s="31" t="n">
        <x:v>26.5</x:v>
      </x:c>
      <x:c r="L1555" s="31" t="n">
        <x:v>28</x:v>
      </x:c>
      <x:c r="M1555" s="31" t="n">
        <x:v>46164</x:v>
      </x:c>
      <x:c r="N1555" s="31" t="n">
        <x:v>46167</x:v>
      </x:c>
      <x:c r="O1555" s="31" t="n">
        <x:v>46164</x:v>
      </x:c>
      <x:c r="P1555" s="31" t="n">
        <x:v>46167</x:v>
      </x:c>
      <x:c r="Q1555" s="31" t="inlineStr">
        <x:is>
          <x:t xml:space="preserve">Завершено</x:t>
        </x:is>
      </x:c>
      <x:c r="R1555" s="31" t="inlineStr">
        <x:is>
          <x:t xml:space="preserve">Нет</x:t>
        </x:is>
      </x:c>
      <x:c r="S1555" s="31" t="inlineStr">
        <x:is>
          <x:t xml:space="preserve">Нет</x:t>
        </x:is>
      </x:c>
    </x:row>
    <x:row r="1556">
      <x:c r="A1556" s="31" t="inlineStr">
        <x:is>
          <x:t xml:space="preserve">ОП-001555</x:t>
        </x:is>
      </x:c>
      <x:c r="B1556" s="31" t="inlineStr">
        <x:is>
          <x:t xml:space="preserve">ПЗ-00187</x:t>
        </x:is>
      </x:c>
      <x:c r="C1556" s="31" t="inlineStr">
        <x:is>
          <x:t xml:space="preserve">ЗК-1091</x:t>
        </x:is>
      </x:c>
      <x:c r="D1556" s="31" t="inlineStr">
        <x:is>
          <x:t xml:space="preserve">ПОЗ-0091-1</x:t>
        </x:is>
      </x:c>
      <x:c r="E1556" s="31" t="inlineStr">
        <x:is>
          <x:t xml:space="preserve">ИЗД-027</x:t>
        </x:is>
      </x:c>
      <x:c r="F1556" s="31" t="n">
        <x:v>10</x:v>
      </x:c>
      <x:c r="G1556" s="31" t="inlineStr">
        <x:is>
          <x:t xml:space="preserve">КД</x:t>
        </x:is>
      </x:c>
      <x:c r="H1556" s="31" t="inlineStr">
        <x:is>
          <x:t xml:space="preserve">Инженерный отдел</x:t>
        </x:is>
      </x:c>
      <x:c r="I1556" s="31" t="n"/>
      <x:c r="J1556" s="31" t="inlineStr">
        <x:is>
          <x:t xml:space="preserve">СОТР-021</x:t>
        </x:is>
      </x:c>
      <x:c r="K1556" s="31" t="n">
        <x:v>38.4</x:v>
      </x:c>
      <x:c r="L1556" s="31" t="n">
        <x:v>47.9</x:v>
      </x:c>
      <x:c r="M1556" s="31" t="n">
        <x:v>46137</x:v>
      </x:c>
      <x:c r="N1556" s="31" t="n">
        <x:v>46141</x:v>
      </x:c>
      <x:c r="O1556" s="31" t="n">
        <x:v>46137</x:v>
      </x:c>
      <x:c r="P1556" s="31" t="n">
        <x:v>46142</x:v>
      </x:c>
      <x:c r="Q1556" s="31" t="inlineStr">
        <x:is>
          <x:t xml:space="preserve">Завершено</x:t>
        </x:is>
      </x:c>
      <x:c r="R1556" s="31" t="inlineStr">
        <x:is>
          <x:t xml:space="preserve">Нет</x:t>
        </x:is>
      </x:c>
      <x:c r="S1556" s="31" t="inlineStr">
        <x:is>
          <x:t xml:space="preserve">Да</x:t>
        </x:is>
      </x:c>
    </x:row>
    <x:row r="1557">
      <x:c r="A1557" s="31" t="inlineStr">
        <x:is>
          <x:t xml:space="preserve">ОП-001556</x:t>
        </x:is>
      </x:c>
      <x:c r="B1557" s="31" t="inlineStr">
        <x:is>
          <x:t xml:space="preserve">ПЗ-00187</x:t>
        </x:is>
      </x:c>
      <x:c r="C1557" s="31" t="inlineStr">
        <x:is>
          <x:t xml:space="preserve">ЗК-1091</x:t>
        </x:is>
      </x:c>
      <x:c r="D1557" s="31" t="inlineStr">
        <x:is>
          <x:t xml:space="preserve">ПОЗ-0091-1</x:t>
        </x:is>
      </x:c>
      <x:c r="E1557" s="31" t="inlineStr">
        <x:is>
          <x:t xml:space="preserve">ИЗД-027</x:t>
        </x:is>
      </x:c>
      <x:c r="F1557" s="31" t="n">
        <x:v>20</x:v>
      </x:c>
      <x:c r="G1557" s="31" t="inlineStr">
        <x:is>
          <x:t xml:space="preserve">Резерв материалов</x:t>
        </x:is>
      </x:c>
      <x:c r="H1557" s="31" t="inlineStr">
        <x:is>
          <x:t xml:space="preserve">Склад</x:t>
        </x:is>
      </x:c>
      <x:c r="I1557" s="31" t="inlineStr">
        <x:is>
          <x:t xml:space="preserve">ОБ-008</x:t>
        </x:is>
      </x:c>
      <x:c r="J1557" s="31" t="inlineStr">
        <x:is>
          <x:t xml:space="preserve">СОТР-039</x:t>
        </x:is>
      </x:c>
      <x:c r="K1557" s="31" t="n">
        <x:v>5.8</x:v>
      </x:c>
      <x:c r="L1557" s="31" t="n">
        <x:v>6.5</x:v>
      </x:c>
      <x:c r="M1557" s="31" t="n">
        <x:v>46141</x:v>
      </x:c>
      <x:c r="N1557" s="31" t="n">
        <x:v>46142</x:v>
      </x:c>
      <x:c r="O1557" s="31" t="n">
        <x:v>46141</x:v>
      </x:c>
      <x:c r="P1557" s="31" t="n">
        <x:v>46143</x:v>
      </x:c>
      <x:c r="Q1557" s="31" t="inlineStr">
        <x:is>
          <x:t xml:space="preserve">Завершено</x:t>
        </x:is>
      </x:c>
      <x:c r="R1557" s="31" t="inlineStr">
        <x:is>
          <x:t xml:space="preserve">Нет</x:t>
        </x:is>
      </x:c>
      <x:c r="S1557" s="31" t="inlineStr">
        <x:is>
          <x:t xml:space="preserve">Нет</x:t>
        </x:is>
      </x:c>
    </x:row>
    <x:row r="1558">
      <x:c r="A1558" s="31" t="inlineStr">
        <x:is>
          <x:t xml:space="preserve">ОП-001557</x:t>
        </x:is>
      </x:c>
      <x:c r="B1558" s="31" t="inlineStr">
        <x:is>
          <x:t xml:space="preserve">ПЗ-00187</x:t>
        </x:is>
      </x:c>
      <x:c r="C1558" s="31" t="inlineStr">
        <x:is>
          <x:t xml:space="preserve">ЗК-1091</x:t>
        </x:is>
      </x:c>
      <x:c r="D1558" s="31" t="inlineStr">
        <x:is>
          <x:t xml:space="preserve">ПОЗ-0091-1</x:t>
        </x:is>
      </x:c>
      <x:c r="E1558" s="31" t="inlineStr">
        <x:is>
          <x:t xml:space="preserve">ИЗД-027</x:t>
        </x:is>
      </x:c>
      <x:c r="F1558" s="31" t="n">
        <x:v>30</x:v>
      </x:c>
      <x:c r="G1558" s="31" t="inlineStr">
        <x:is>
          <x:t xml:space="preserve">Сварка рамы</x:t>
        </x:is>
      </x:c>
      <x:c r="H1558" s="31" t="inlineStr">
        <x:is>
          <x:t xml:space="preserve">Сварка</x:t>
        </x:is>
      </x:c>
      <x:c r="I1558" s="31" t="inlineStr">
        <x:is>
          <x:t xml:space="preserve">ОБ-010</x:t>
        </x:is>
      </x:c>
      <x:c r="J1558" s="31" t="inlineStr">
        <x:is>
          <x:t xml:space="preserve">СОТР-065</x:t>
        </x:is>
      </x:c>
      <x:c r="K1558" s="31" t="n">
        <x:v>26.4</x:v>
      </x:c>
      <x:c r="L1558" s="31" t="n">
        <x:v>23.8</x:v>
      </x:c>
      <x:c r="M1558" s="31" t="n">
        <x:v>46142</x:v>
      </x:c>
      <x:c r="N1558" s="31" t="n">
        <x:v>46145</x:v>
      </x:c>
      <x:c r="O1558" s="31" t="n">
        <x:v>46142</x:v>
      </x:c>
      <x:c r="P1558" s="31" t="n">
        <x:v>46146</x:v>
      </x:c>
      <x:c r="Q1558" s="31" t="inlineStr">
        <x:is>
          <x:t xml:space="preserve">Завершено</x:t>
        </x:is>
      </x:c>
      <x:c r="R1558" s="31" t="inlineStr">
        <x:is>
          <x:t xml:space="preserve">Оборудование</x:t>
        </x:is>
      </x:c>
      <x:c r="S1558" s="31" t="inlineStr">
        <x:is>
          <x:t xml:space="preserve">Нет</x:t>
        </x:is>
      </x:c>
    </x:row>
    <x:row r="1559">
      <x:c r="A1559" s="31" t="inlineStr">
        <x:is>
          <x:t xml:space="preserve">ОП-001558</x:t>
        </x:is>
      </x:c>
      <x:c r="B1559" s="31" t="inlineStr">
        <x:is>
          <x:t xml:space="preserve">ПЗ-00187</x:t>
        </x:is>
      </x:c>
      <x:c r="C1559" s="31" t="inlineStr">
        <x:is>
          <x:t xml:space="preserve">ЗК-1091</x:t>
        </x:is>
      </x:c>
      <x:c r="D1559" s="31" t="inlineStr">
        <x:is>
          <x:t xml:space="preserve">ПОЗ-0091-1</x:t>
        </x:is>
      </x:c>
      <x:c r="E1559" s="31" t="inlineStr">
        <x:is>
          <x:t xml:space="preserve">ИЗД-027</x:t>
        </x:is>
      </x:c>
      <x:c r="F1559" s="31" t="n">
        <x:v>40</x:v>
      </x:c>
      <x:c r="G1559" s="31" t="inlineStr">
        <x:is>
          <x:t xml:space="preserve">Сборка</x:t>
        </x:is>
      </x:c>
      <x:c r="H1559" s="31" t="inlineStr">
        <x:is>
          <x:t xml:space="preserve">Сборка</x:t>
        </x:is>
      </x:c>
      <x:c r="I1559" s="31" t="inlineStr">
        <x:is>
          <x:t xml:space="preserve">ОБ-027</x:t>
        </x:is>
      </x:c>
      <x:c r="J1559" s="31" t="inlineStr">
        <x:is>
          <x:t xml:space="preserve">СОТР-087</x:t>
        </x:is>
      </x:c>
      <x:c r="K1559" s="31" t="n">
        <x:v>17.8</x:v>
      </x:c>
      <x:c r="L1559" s="31" t="n">
        <x:v>19.8</x:v>
      </x:c>
      <x:c r="M1559" s="31" t="n">
        <x:v>46145</x:v>
      </x:c>
      <x:c r="N1559" s="31" t="n">
        <x:v>46147</x:v>
      </x:c>
      <x:c r="O1559" s="31" t="n">
        <x:v>46145</x:v>
      </x:c>
      <x:c r="P1559" s="31" t="n">
        <x:v>46149</x:v>
      </x:c>
      <x:c r="Q1559" s="31" t="inlineStr">
        <x:is>
          <x:t xml:space="preserve">Завершено</x:t>
        </x:is>
      </x:c>
      <x:c r="R1559" s="31" t="inlineStr">
        <x:is>
          <x:t xml:space="preserve">Нет</x:t>
        </x:is>
      </x:c>
      <x:c r="S1559" s="31" t="inlineStr">
        <x:is>
          <x:t xml:space="preserve">Нет</x:t>
        </x:is>
      </x:c>
    </x:row>
    <x:row r="1560">
      <x:c r="A1560" s="31" t="inlineStr">
        <x:is>
          <x:t xml:space="preserve">ОП-001559</x:t>
        </x:is>
      </x:c>
      <x:c r="B1560" s="31" t="inlineStr">
        <x:is>
          <x:t xml:space="preserve">ПЗ-00187</x:t>
        </x:is>
      </x:c>
      <x:c r="C1560" s="31" t="inlineStr">
        <x:is>
          <x:t xml:space="preserve">ЗК-1091</x:t>
        </x:is>
      </x:c>
      <x:c r="D1560" s="31" t="inlineStr">
        <x:is>
          <x:t xml:space="preserve">ПОЗ-0091-1</x:t>
        </x:is>
      </x:c>
      <x:c r="E1560" s="31" t="inlineStr">
        <x:is>
          <x:t xml:space="preserve">ИЗД-027</x:t>
        </x:is>
      </x:c>
      <x:c r="F1560" s="31" t="n">
        <x:v>50</x:v>
      </x:c>
      <x:c r="G1560" s="31" t="inlineStr">
        <x:is>
          <x:t xml:space="preserve">Обвязка труб</x:t>
        </x:is>
      </x:c>
      <x:c r="H1560" s="31" t="inlineStr">
        <x:is>
          <x:t xml:space="preserve">Сборка</x:t>
        </x:is>
      </x:c>
      <x:c r="I1560" s="31" t="inlineStr">
        <x:is>
          <x:t xml:space="preserve">ОБ-012</x:t>
        </x:is>
      </x:c>
      <x:c r="J1560" s="31" t="inlineStr">
        <x:is>
          <x:t xml:space="preserve">СОТР-077</x:t>
        </x:is>
      </x:c>
      <x:c r="K1560" s="31" t="n">
        <x:v>36</x:v>
      </x:c>
      <x:c r="L1560" s="31" t="n">
        <x:v>29.1</x:v>
      </x:c>
      <x:c r="M1560" s="31" t="n">
        <x:v>46147</x:v>
      </x:c>
      <x:c r="N1560" s="31" t="n">
        <x:v>46150</x:v>
      </x:c>
      <x:c r="O1560" s="31" t="n">
        <x:v>46147</x:v>
      </x:c>
      <x:c r="P1560" s="31" t="n">
        <x:v>46152</x:v>
      </x:c>
      <x:c r="Q1560" s="31" t="inlineStr">
        <x:is>
          <x:t xml:space="preserve">Завершено</x:t>
        </x:is>
      </x:c>
      <x:c r="R1560" s="31" t="inlineStr">
        <x:is>
          <x:t xml:space="preserve">Нет</x:t>
        </x:is>
      </x:c>
      <x:c r="S1560" s="31" t="inlineStr">
        <x:is>
          <x:t xml:space="preserve">Нет</x:t>
        </x:is>
      </x:c>
    </x:row>
    <x:row r="1561">
      <x:c r="A1561" s="31" t="inlineStr">
        <x:is>
          <x:t xml:space="preserve">ОП-001560</x:t>
        </x:is>
      </x:c>
      <x:c r="B1561" s="31" t="inlineStr">
        <x:is>
          <x:t xml:space="preserve">ПЗ-00187</x:t>
        </x:is>
      </x:c>
      <x:c r="C1561" s="31" t="inlineStr">
        <x:is>
          <x:t xml:space="preserve">ЗК-1091</x:t>
        </x:is>
      </x:c>
      <x:c r="D1561" s="31" t="inlineStr">
        <x:is>
          <x:t xml:space="preserve">ПОЗ-0091-1</x:t>
        </x:is>
      </x:c>
      <x:c r="E1561" s="31" t="inlineStr">
        <x:is>
          <x:t xml:space="preserve">ИЗД-027</x:t>
        </x:is>
      </x:c>
      <x:c r="F1561" s="31" t="n">
        <x:v>60</x:v>
      </x:c>
      <x:c r="G1561" s="31" t="inlineStr">
        <x:is>
          <x:t xml:space="preserve">Электромонтаж</x:t>
        </x:is>
      </x:c>
      <x:c r="H1561" s="31" t="inlineStr">
        <x:is>
          <x:t xml:space="preserve">Сборка</x:t>
        </x:is>
      </x:c>
      <x:c r="I1561" s="31" t="inlineStr">
        <x:is>
          <x:t xml:space="preserve">ОБ-020</x:t>
        </x:is>
      </x:c>
      <x:c r="J1561" s="31" t="inlineStr">
        <x:is>
          <x:t xml:space="preserve">СОТР-084</x:t>
        </x:is>
      </x:c>
      <x:c r="K1561" s="31" t="n">
        <x:v>32</x:v>
      </x:c>
      <x:c r="L1561" s="31" t="n">
        <x:v>33.7</x:v>
      </x:c>
      <x:c r="M1561" s="31" t="n">
        <x:v>46150</x:v>
      </x:c>
      <x:c r="N1561" s="31" t="n">
        <x:v>46153</x:v>
      </x:c>
      <x:c r="O1561" s="31" t="n">
        <x:v>46150</x:v>
      </x:c>
      <x:c r="P1561" s="31" t="n">
        <x:v>46155</x:v>
      </x:c>
      <x:c r="Q1561" s="31" t="inlineStr">
        <x:is>
          <x:t xml:space="preserve">Завершено</x:t>
        </x:is>
      </x:c>
      <x:c r="R1561" s="31" t="inlineStr">
        <x:is>
          <x:t xml:space="preserve">Нет</x:t>
        </x:is>
      </x:c>
      <x:c r="S1561" s="31" t="inlineStr">
        <x:is>
          <x:t xml:space="preserve">Нет</x:t>
        </x:is>
      </x:c>
    </x:row>
    <x:row r="1562">
      <x:c r="A1562" s="31" t="inlineStr">
        <x:is>
          <x:t xml:space="preserve">ОП-001561</x:t>
        </x:is>
      </x:c>
      <x:c r="B1562" s="31" t="inlineStr">
        <x:is>
          <x:t xml:space="preserve">ПЗ-00187</x:t>
        </x:is>
      </x:c>
      <x:c r="C1562" s="31" t="inlineStr">
        <x:is>
          <x:t xml:space="preserve">ЗК-1091</x:t>
        </x:is>
      </x:c>
      <x:c r="D1562" s="31" t="inlineStr">
        <x:is>
          <x:t xml:space="preserve">ПОЗ-0091-1</x:t>
        </x:is>
      </x:c>
      <x:c r="E1562" s="31" t="inlineStr">
        <x:is>
          <x:t xml:space="preserve">ИЗД-027</x:t>
        </x:is>
      </x:c>
      <x:c r="F1562" s="31" t="n">
        <x:v>70</x:v>
      </x:c>
      <x:c r="G1562" s="31" t="inlineStr">
        <x:is>
          <x:t xml:space="preserve">Гидроиспытания</x:t>
        </x:is>
      </x:c>
      <x:c r="H1562" s="31" t="inlineStr">
        <x:is>
          <x:t xml:space="preserve">ОТК</x:t>
        </x:is>
      </x:c>
      <x:c r="I1562" s="31" t="inlineStr">
        <x:is>
          <x:t xml:space="preserve">ОБ-033</x:t>
        </x:is>
      </x:c>
      <x:c r="J1562" s="31" t="inlineStr">
        <x:is>
          <x:t xml:space="preserve">СОТР-097</x:t>
        </x:is>
      </x:c>
      <x:c r="K1562" s="31" t="n">
        <x:v>24.4</x:v>
      </x:c>
      <x:c r="L1562" s="31" t="n">
        <x:v>31.5</x:v>
      </x:c>
      <x:c r="M1562" s="31" t="n">
        <x:v>46153</x:v>
      </x:c>
      <x:c r="N1562" s="31" t="n">
        <x:v>46156</x:v>
      </x:c>
      <x:c r="O1562" s="31" t="n">
        <x:v>46153</x:v>
      </x:c>
      <x:c r="P1562" s="31" t="n">
        <x:v>46158</x:v>
      </x:c>
      <x:c r="Q1562" s="31" t="inlineStr">
        <x:is>
          <x:t xml:space="preserve">Завершено</x:t>
        </x:is>
      </x:c>
      <x:c r="R1562" s="31" t="inlineStr">
        <x:is>
          <x:t xml:space="preserve">Нет</x:t>
        </x:is>
      </x:c>
      <x:c r="S1562" s="31" t="inlineStr">
        <x:is>
          <x:t xml:space="preserve">Нет</x:t>
        </x:is>
      </x:c>
    </x:row>
    <x:row r="1563">
      <x:c r="A1563" s="31" t="inlineStr">
        <x:is>
          <x:t xml:space="preserve">ОП-001562</x:t>
        </x:is>
      </x:c>
      <x:c r="B1563" s="31" t="inlineStr">
        <x:is>
          <x:t xml:space="preserve">ПЗ-00187</x:t>
        </x:is>
      </x:c>
      <x:c r="C1563" s="31" t="inlineStr">
        <x:is>
          <x:t xml:space="preserve">ЗК-1091</x:t>
        </x:is>
      </x:c>
      <x:c r="D1563" s="31" t="inlineStr">
        <x:is>
          <x:t xml:space="preserve">ПОЗ-0091-1</x:t>
        </x:is>
      </x:c>
      <x:c r="E1563" s="31" t="inlineStr">
        <x:is>
          <x:t xml:space="preserve">ИЗД-027</x:t>
        </x:is>
      </x:c>
      <x:c r="F1563" s="31" t="n">
        <x:v>80</x:v>
      </x:c>
      <x:c r="G1563" s="31" t="inlineStr">
        <x:is>
          <x:t xml:space="preserve">ОТК</x:t>
        </x:is>
      </x:c>
      <x:c r="H1563" s="31" t="inlineStr">
        <x:is>
          <x:t xml:space="preserve">ОТК</x:t>
        </x:is>
      </x:c>
      <x:c r="I1563" s="31" t="inlineStr">
        <x:is>
          <x:t xml:space="preserve">ОБ-015</x:t>
        </x:is>
      </x:c>
      <x:c r="J1563" s="31" t="inlineStr">
        <x:is>
          <x:t xml:space="preserve">СОТР-099</x:t>
        </x:is>
      </x:c>
      <x:c r="K1563" s="31" t="n">
        <x:v>28.2</x:v>
      </x:c>
      <x:c r="L1563" s="31" t="n">
        <x:v>24</x:v>
      </x:c>
      <x:c r="M1563" s="31" t="n">
        <x:v>46156</x:v>
      </x:c>
      <x:c r="N1563" s="31" t="n">
        <x:v>46159</x:v>
      </x:c>
      <x:c r="O1563" s="31" t="n">
        <x:v>46156</x:v>
      </x:c>
      <x:c r="P1563" s="31" t="n">
        <x:v>46161</x:v>
      </x:c>
      <x:c r="Q1563" s="31" t="inlineStr">
        <x:is>
          <x:t xml:space="preserve">Завершено</x:t>
        </x:is>
      </x:c>
      <x:c r="R1563" s="31" t="inlineStr">
        <x:is>
          <x:t xml:space="preserve">Нет</x:t>
        </x:is>
      </x:c>
      <x:c r="S1563" s="31" t="inlineStr">
        <x:is>
          <x:t xml:space="preserve">Нет</x:t>
        </x:is>
      </x:c>
    </x:row>
    <x:row r="1564">
      <x:c r="A1564" s="31" t="inlineStr">
        <x:is>
          <x:t xml:space="preserve">ОП-001563</x:t>
        </x:is>
      </x:c>
      <x:c r="B1564" s="31" t="inlineStr">
        <x:is>
          <x:t xml:space="preserve">ПЗ-00187</x:t>
        </x:is>
      </x:c>
      <x:c r="C1564" s="31" t="inlineStr">
        <x:is>
          <x:t xml:space="preserve">ЗК-1091</x:t>
        </x:is>
      </x:c>
      <x:c r="D1564" s="31" t="inlineStr">
        <x:is>
          <x:t xml:space="preserve">ПОЗ-0091-1</x:t>
        </x:is>
      </x:c>
      <x:c r="E1564" s="31" t="inlineStr">
        <x:is>
          <x:t xml:space="preserve">ИЗД-027</x:t>
        </x:is>
      </x:c>
      <x:c r="F1564" s="31" t="n">
        <x:v>90</x:v>
      </x:c>
      <x:c r="G1564" s="31" t="inlineStr">
        <x:is>
          <x:t xml:space="preserve">Упаковка</x:t>
        </x:is>
      </x:c>
      <x:c r="H1564" s="31" t="inlineStr">
        <x:is>
          <x:t xml:space="preserve">Логистика</x:t>
        </x:is>
      </x:c>
      <x:c r="I1564" s="31" t="n"/>
      <x:c r="J1564" s="31" t="inlineStr">
        <x:is>
          <x:t xml:space="preserve">СОТР-070</x:t>
        </x:is>
      </x:c>
      <x:c r="K1564" s="31" t="n">
        <x:v>16.2</x:v>
      </x:c>
      <x:c r="L1564" s="31" t="n">
        <x:v>14.2</x:v>
      </x:c>
      <x:c r="M1564" s="31" t="n">
        <x:v>46159</x:v>
      </x:c>
      <x:c r="N1564" s="31" t="n">
        <x:v>46161</x:v>
      </x:c>
      <x:c r="O1564" s="31" t="n">
        <x:v>46159</x:v>
      </x:c>
      <x:c r="P1564" s="31" t="n">
        <x:v>46160</x:v>
      </x:c>
      <x:c r="Q1564" s="31" t="inlineStr">
        <x:is>
          <x:t xml:space="preserve">Завершено</x:t>
        </x:is>
      </x:c>
      <x:c r="R1564" s="31" t="inlineStr">
        <x:is>
          <x:t xml:space="preserve">Нет</x:t>
        </x:is>
      </x:c>
      <x:c r="S1564" s="31" t="inlineStr">
        <x:is>
          <x:t xml:space="preserve">Нет</x:t>
        </x:is>
      </x:c>
    </x:row>
    <x:row r="1565">
      <x:c r="A1565" s="31" t="inlineStr">
        <x:is>
          <x:t xml:space="preserve">ОП-001564</x:t>
        </x:is>
      </x:c>
      <x:c r="B1565" s="31" t="inlineStr">
        <x:is>
          <x:t xml:space="preserve">ПЗ-00188</x:t>
        </x:is>
      </x:c>
      <x:c r="C1565" s="31" t="inlineStr">
        <x:is>
          <x:t xml:space="preserve">ЗК-1092</x:t>
        </x:is>
      </x:c>
      <x:c r="D1565" s="31" t="inlineStr">
        <x:is>
          <x:t xml:space="preserve">ПОЗ-0092-1</x:t>
        </x:is>
      </x:c>
      <x:c r="E1565" s="31" t="inlineStr">
        <x:is>
          <x:t xml:space="preserve">ИЗД-010</x:t>
        </x:is>
      </x:c>
      <x:c r="F1565" s="31" t="n">
        <x:v>10</x:v>
      </x:c>
      <x:c r="G1565" s="31" t="inlineStr">
        <x:is>
          <x:t xml:space="preserve">КД</x:t>
        </x:is>
      </x:c>
      <x:c r="H1565" s="31" t="inlineStr">
        <x:is>
          <x:t xml:space="preserve">Инженерный отдел</x:t>
        </x:is>
      </x:c>
      <x:c r="I1565" s="31" t="n"/>
      <x:c r="J1565" s="31" t="inlineStr">
        <x:is>
          <x:t xml:space="preserve">СОТР-013</x:t>
        </x:is>
      </x:c>
      <x:c r="K1565" s="31" t="n">
        <x:v>7.7</x:v>
      </x:c>
      <x:c r="L1565" s="31" t="n">
        <x:v>8.4</x:v>
      </x:c>
      <x:c r="M1565" s="31" t="n">
        <x:v>46149</x:v>
      </x:c>
      <x:c r="N1565" s="31" t="n">
        <x:v>46150</x:v>
      </x:c>
      <x:c r="O1565" s="31" t="n">
        <x:v>46149</x:v>
      </x:c>
      <x:c r="P1565" s="31" t="n">
        <x:v>46149</x:v>
      </x:c>
      <x:c r="Q1565" s="31" t="inlineStr">
        <x:is>
          <x:t xml:space="preserve">Завершено</x:t>
        </x:is>
      </x:c>
      <x:c r="R1565" s="31" t="inlineStr">
        <x:is>
          <x:t xml:space="preserve">Нет</x:t>
        </x:is>
      </x:c>
      <x:c r="S1565" s="31" t="inlineStr">
        <x:is>
          <x:t xml:space="preserve">Нет</x:t>
        </x:is>
      </x:c>
    </x:row>
    <x:row r="1566">
      <x:c r="A1566" s="31" t="inlineStr">
        <x:is>
          <x:t xml:space="preserve">ОП-001565</x:t>
        </x:is>
      </x:c>
      <x:c r="B1566" s="31" t="inlineStr">
        <x:is>
          <x:t xml:space="preserve">ПЗ-00188</x:t>
        </x:is>
      </x:c>
      <x:c r="C1566" s="31" t="inlineStr">
        <x:is>
          <x:t xml:space="preserve">ЗК-1092</x:t>
        </x:is>
      </x:c>
      <x:c r="D1566" s="31" t="inlineStr">
        <x:is>
          <x:t xml:space="preserve">ПОЗ-0092-1</x:t>
        </x:is>
      </x:c>
      <x:c r="E1566" s="31" t="inlineStr">
        <x:is>
          <x:t xml:space="preserve">ИЗД-010</x:t>
        </x:is>
      </x:c>
      <x:c r="F1566" s="31" t="n">
        <x:v>20</x:v>
      </x:c>
      <x:c r="G1566" s="31" t="inlineStr">
        <x:is>
          <x:t xml:space="preserve">Комплектация</x:t>
        </x:is>
      </x:c>
      <x:c r="H1566" s="31" t="inlineStr">
        <x:is>
          <x:t xml:space="preserve">Склад</x:t>
        </x:is>
      </x:c>
      <x:c r="I1566" s="31" t="inlineStr">
        <x:is>
          <x:t xml:space="preserve">ОБ-025</x:t>
        </x:is>
      </x:c>
      <x:c r="J1566" s="31" t="inlineStr">
        <x:is>
          <x:t xml:space="preserve">СОТР-036</x:t>
        </x:is>
      </x:c>
      <x:c r="K1566" s="31" t="n">
        <x:v>5.8</x:v>
      </x:c>
      <x:c r="L1566" s="31" t="n">
        <x:v>5.3</x:v>
      </x:c>
      <x:c r="M1566" s="31" t="n">
        <x:v>46150</x:v>
      </x:c>
      <x:c r="N1566" s="31" t="n">
        <x:v>46151</x:v>
      </x:c>
      <x:c r="O1566" s="31" t="n">
        <x:v>46150</x:v>
      </x:c>
      <x:c r="P1566" s="31" t="n">
        <x:v>46151</x:v>
      </x:c>
      <x:c r="Q1566" s="31" t="inlineStr">
        <x:is>
          <x:t xml:space="preserve">Завершено</x:t>
        </x:is>
      </x:c>
      <x:c r="R1566" s="31" t="inlineStr">
        <x:is>
          <x:t xml:space="preserve">Нет</x:t>
        </x:is>
      </x:c>
      <x:c r="S1566" s="31" t="inlineStr">
        <x:is>
          <x:t xml:space="preserve">Нет</x:t>
        </x:is>
      </x:c>
    </x:row>
    <x:row r="1567">
      <x:c r="A1567" s="31" t="inlineStr">
        <x:is>
          <x:t xml:space="preserve">ОП-001566</x:t>
        </x:is>
      </x:c>
      <x:c r="B1567" s="31" t="inlineStr">
        <x:is>
          <x:t xml:space="preserve">ПЗ-00188</x:t>
        </x:is>
      </x:c>
      <x:c r="C1567" s="31" t="inlineStr">
        <x:is>
          <x:t xml:space="preserve">ЗК-1092</x:t>
        </x:is>
      </x:c>
      <x:c r="D1567" s="31" t="inlineStr">
        <x:is>
          <x:t xml:space="preserve">ПОЗ-0092-1</x:t>
        </x:is>
      </x:c>
      <x:c r="E1567" s="31" t="inlineStr">
        <x:is>
          <x:t xml:space="preserve">ИЗД-010</x:t>
        </x:is>
      </x:c>
      <x:c r="F1567" s="31" t="n">
        <x:v>30</x:v>
      </x:c>
      <x:c r="G1567" s="31" t="inlineStr">
        <x:is>
          <x:t xml:space="preserve">Сборка шкафа</x:t>
        </x:is>
      </x:c>
      <x:c r="H1567" s="31" t="inlineStr">
        <x:is>
          <x:t xml:space="preserve">Сборка</x:t>
        </x:is>
      </x:c>
      <x:c r="I1567" s="31" t="inlineStr">
        <x:is>
          <x:t xml:space="preserve">ОБ-020</x:t>
        </x:is>
      </x:c>
      <x:c r="J1567" s="31" t="inlineStr">
        <x:is>
          <x:t xml:space="preserve">СОТР-074</x:t>
        </x:is>
      </x:c>
      <x:c r="K1567" s="31" t="n">
        <x:v>6.1</x:v>
      </x:c>
      <x:c r="L1567" s="31" t="n">
        <x:v>7.3</x:v>
      </x:c>
      <x:c r="M1567" s="31" t="n">
        <x:v>46151</x:v>
      </x:c>
      <x:c r="N1567" s="31" t="n">
        <x:v>46152</x:v>
      </x:c>
      <x:c r="O1567" s="31" t="n">
        <x:v>46151</x:v>
      </x:c>
      <x:c r="P1567" s="31" t="n">
        <x:v>46154</x:v>
      </x:c>
      <x:c r="Q1567" s="31" t="inlineStr">
        <x:is>
          <x:t xml:space="preserve">Завершено</x:t>
        </x:is>
      </x:c>
      <x:c r="R1567" s="31" t="inlineStr">
        <x:is>
          <x:t xml:space="preserve">Нет</x:t>
        </x:is>
      </x:c>
      <x:c r="S1567" s="31" t="inlineStr">
        <x:is>
          <x:t xml:space="preserve">Нет</x:t>
        </x:is>
      </x:c>
    </x:row>
    <x:row r="1568">
      <x:c r="A1568" s="31" t="inlineStr">
        <x:is>
          <x:t xml:space="preserve">ОП-001567</x:t>
        </x:is>
      </x:c>
      <x:c r="B1568" s="31" t="inlineStr">
        <x:is>
          <x:t xml:space="preserve">ПЗ-00188</x:t>
        </x:is>
      </x:c>
      <x:c r="C1568" s="31" t="inlineStr">
        <x:is>
          <x:t xml:space="preserve">ЗК-1092</x:t>
        </x:is>
      </x:c>
      <x:c r="D1568" s="31" t="inlineStr">
        <x:is>
          <x:t xml:space="preserve">ПОЗ-0092-1</x:t>
        </x:is>
      </x:c>
      <x:c r="E1568" s="31" t="inlineStr">
        <x:is>
          <x:t xml:space="preserve">ИЗД-010</x:t>
        </x:is>
      </x:c>
      <x:c r="F1568" s="31" t="n">
        <x:v>40</x:v>
      </x:c>
      <x:c r="G1568" s="31" t="inlineStr">
        <x:is>
          <x:t xml:space="preserve">Маркировка</x:t>
        </x:is>
      </x:c>
      <x:c r="H1568" s="31" t="inlineStr">
        <x:is>
          <x:t xml:space="preserve">Сборка</x:t>
        </x:is>
      </x:c>
      <x:c r="I1568" s="31" t="inlineStr">
        <x:is>
          <x:t xml:space="preserve">ОБ-034</x:t>
        </x:is>
      </x:c>
      <x:c r="J1568" s="31" t="inlineStr">
        <x:is>
          <x:t xml:space="preserve">СОТР-080</x:t>
        </x:is>
      </x:c>
      <x:c r="K1568" s="31" t="n">
        <x:v>2.1</x:v>
      </x:c>
      <x:c r="L1568" s="31" t="n">
        <x:v>2.4</x:v>
      </x:c>
      <x:c r="M1568" s="31" t="n">
        <x:v>46152</x:v>
      </x:c>
      <x:c r="N1568" s="31" t="n">
        <x:v>46153</x:v>
      </x:c>
      <x:c r="O1568" s="31" t="n">
        <x:v>46152</x:v>
      </x:c>
      <x:c r="P1568" s="31" t="n">
        <x:v>46155</x:v>
      </x:c>
      <x:c r="Q1568" s="31" t="inlineStr">
        <x:is>
          <x:t xml:space="preserve">Завершено</x:t>
        </x:is>
      </x:c>
      <x:c r="R1568" s="31" t="inlineStr">
        <x:is>
          <x:t xml:space="preserve">Нет</x:t>
        </x:is>
      </x:c>
      <x:c r="S1568" s="31" t="inlineStr">
        <x:is>
          <x:t xml:space="preserve">Нет</x:t>
        </x:is>
      </x:c>
    </x:row>
    <x:row r="1569">
      <x:c r="A1569" s="31" t="inlineStr">
        <x:is>
          <x:t xml:space="preserve">ОП-001568</x:t>
        </x:is>
      </x:c>
      <x:c r="B1569" s="31" t="inlineStr">
        <x:is>
          <x:t xml:space="preserve">ПЗ-00188</x:t>
        </x:is>
      </x:c>
      <x:c r="C1569" s="31" t="inlineStr">
        <x:is>
          <x:t xml:space="preserve">ЗК-1092</x:t>
        </x:is>
      </x:c>
      <x:c r="D1569" s="31" t="inlineStr">
        <x:is>
          <x:t xml:space="preserve">ПОЗ-0092-1</x:t>
        </x:is>
      </x:c>
      <x:c r="E1569" s="31" t="inlineStr">
        <x:is>
          <x:t xml:space="preserve">ИЗД-010</x:t>
        </x:is>
      </x:c>
      <x:c r="F1569" s="31" t="n">
        <x:v>50</x:v>
      </x:c>
      <x:c r="G1569" s="31" t="inlineStr">
        <x:is>
          <x:t xml:space="preserve">Электромонтаж</x:t>
        </x:is>
      </x:c>
      <x:c r="H1569" s="31" t="inlineStr">
        <x:is>
          <x:t xml:space="preserve">Сборка</x:t>
        </x:is>
      </x:c>
      <x:c r="I1569" s="31" t="inlineStr">
        <x:is>
          <x:t xml:space="preserve">ОБ-020</x:t>
        </x:is>
      </x:c>
      <x:c r="J1569" s="31" t="inlineStr">
        <x:is>
          <x:t xml:space="preserve">СОТР-083</x:t>
        </x:is>
      </x:c>
      <x:c r="K1569" s="31" t="n">
        <x:v>7.6</x:v>
      </x:c>
      <x:c r="L1569" s="31" t="n">
        <x:v>7.7</x:v>
      </x:c>
      <x:c r="M1569" s="31" t="n">
        <x:v>46153</x:v>
      </x:c>
      <x:c r="N1569" s="31" t="n">
        <x:v>46154</x:v>
      </x:c>
      <x:c r="O1569" s="31" t="n">
        <x:v>46153</x:v>
      </x:c>
      <x:c r="P1569" s="31" t="n">
        <x:v>46153</x:v>
      </x:c>
      <x:c r="Q1569" s="31" t="inlineStr">
        <x:is>
          <x:t xml:space="preserve">Завершено</x:t>
        </x:is>
      </x:c>
      <x:c r="R1569" s="31" t="inlineStr">
        <x:is>
          <x:t xml:space="preserve">Материал</x:t>
        </x:is>
      </x:c>
      <x:c r="S1569" s="31" t="inlineStr">
        <x:is>
          <x:t xml:space="preserve">Нет</x:t>
        </x:is>
      </x:c>
    </x:row>
    <x:row r="1570">
      <x:c r="A1570" s="31" t="inlineStr">
        <x:is>
          <x:t xml:space="preserve">ОП-001569</x:t>
        </x:is>
      </x:c>
      <x:c r="B1570" s="31" t="inlineStr">
        <x:is>
          <x:t xml:space="preserve">ПЗ-00188</x:t>
        </x:is>
      </x:c>
      <x:c r="C1570" s="31" t="inlineStr">
        <x:is>
          <x:t xml:space="preserve">ЗК-1092</x:t>
        </x:is>
      </x:c>
      <x:c r="D1570" s="31" t="inlineStr">
        <x:is>
          <x:t xml:space="preserve">ПОЗ-0092-1</x:t>
        </x:is>
      </x:c>
      <x:c r="E1570" s="31" t="inlineStr">
        <x:is>
          <x:t xml:space="preserve">ИЗД-010</x:t>
        </x:is>
      </x:c>
      <x:c r="F1570" s="31" t="n">
        <x:v>60</x:v>
      </x:c>
      <x:c r="G1570" s="31" t="inlineStr">
        <x:is>
          <x:t xml:space="preserve">Программирование ПЛК</x:t>
        </x:is>
      </x:c>
      <x:c r="H1570" s="31" t="inlineStr">
        <x:is>
          <x:t xml:space="preserve">Инженерный отдел</x:t>
        </x:is>
      </x:c>
      <x:c r="I1570" s="31" t="n"/>
      <x:c r="J1570" s="31" t="inlineStr">
        <x:is>
          <x:t xml:space="preserve">СОТР-011</x:t>
        </x:is>
      </x:c>
      <x:c r="K1570" s="31" t="n">
        <x:v>8.300000000000001</x:v>
      </x:c>
      <x:c r="L1570" s="31" t="n">
        <x:v>7.4</x:v>
      </x:c>
      <x:c r="M1570" s="31" t="n">
        <x:v>46154</x:v>
      </x:c>
      <x:c r="N1570" s="31" t="n">
        <x:v>46155</x:v>
      </x:c>
      <x:c r="O1570" s="31" t="n">
        <x:v>46154</x:v>
      </x:c>
      <x:c r="P1570" s="31" t="n">
        <x:v>46156</x:v>
      </x:c>
      <x:c r="Q1570" s="31" t="inlineStr">
        <x:is>
          <x:t xml:space="preserve">Завершено</x:t>
        </x:is>
      </x:c>
      <x:c r="R1570" s="31" t="inlineStr">
        <x:is>
          <x:t xml:space="preserve">Нет</x:t>
        </x:is>
      </x:c>
      <x:c r="S1570" s="31" t="inlineStr">
        <x:is>
          <x:t xml:space="preserve">Нет</x:t>
        </x:is>
      </x:c>
    </x:row>
    <x:row r="1571">
      <x:c r="A1571" s="31" t="inlineStr">
        <x:is>
          <x:t xml:space="preserve">ОП-001570</x:t>
        </x:is>
      </x:c>
      <x:c r="B1571" s="31" t="inlineStr">
        <x:is>
          <x:t xml:space="preserve">ПЗ-00188</x:t>
        </x:is>
      </x:c>
      <x:c r="C1571" s="31" t="inlineStr">
        <x:is>
          <x:t xml:space="preserve">ЗК-1092</x:t>
        </x:is>
      </x:c>
      <x:c r="D1571" s="31" t="inlineStr">
        <x:is>
          <x:t xml:space="preserve">ПОЗ-0092-1</x:t>
        </x:is>
      </x:c>
      <x:c r="E1571" s="31" t="inlineStr">
        <x:is>
          <x:t xml:space="preserve">ИЗД-010</x:t>
        </x:is>
      </x:c>
      <x:c r="F1571" s="31" t="n">
        <x:v>70</x:v>
      </x:c>
      <x:c r="G1571" s="31" t="inlineStr">
        <x:is>
          <x:t xml:space="preserve">Приемочные испытания</x:t>
        </x:is>
      </x:c>
      <x:c r="H1571" s="31" t="inlineStr">
        <x:is>
          <x:t xml:space="preserve">ОТК</x:t>
        </x:is>
      </x:c>
      <x:c r="I1571" s="31" t="inlineStr">
        <x:is>
          <x:t xml:space="preserve">ОБ-013</x:t>
        </x:is>
      </x:c>
      <x:c r="J1571" s="31" t="inlineStr">
        <x:is>
          <x:t xml:space="preserve">СОТР-095</x:t>
        </x:is>
      </x:c>
      <x:c r="K1571" s="31" t="n">
        <x:v>12.6</x:v>
      </x:c>
      <x:c r="L1571" s="31" t="n"/>
      <x:c r="M1571" s="31" t="n">
        <x:v>46155</x:v>
      </x:c>
      <x:c r="N1571" s="31" t="n">
        <x:v>46157</x:v>
      </x:c>
      <x:c r="O1571" s="31" t="n"/>
      <x:c r="P1571" s="31" t="n"/>
      <x:c r="Q1571" s="31" t="inlineStr">
        <x:is>
          <x:t xml:space="preserve">Запланировано</x:t>
        </x:is>
      </x:c>
      <x:c r="R1571" s="31" t="inlineStr">
        <x:is>
          <x:t xml:space="preserve">Нет</x:t>
        </x:is>
      </x:c>
      <x:c r="S1571" s="31" t="inlineStr">
        <x:is>
          <x:t xml:space="preserve">Нет</x:t>
        </x:is>
      </x:c>
    </x:row>
    <x:row r="1572">
      <x:c r="A1572" s="31" t="inlineStr">
        <x:is>
          <x:t xml:space="preserve">ОП-001571</x:t>
        </x:is>
      </x:c>
      <x:c r="B1572" s="31" t="inlineStr">
        <x:is>
          <x:t xml:space="preserve">ПЗ-00188</x:t>
        </x:is>
      </x:c>
      <x:c r="C1572" s="31" t="inlineStr">
        <x:is>
          <x:t xml:space="preserve">ЗК-1092</x:t>
        </x:is>
      </x:c>
      <x:c r="D1572" s="31" t="inlineStr">
        <x:is>
          <x:t xml:space="preserve">ПОЗ-0092-1</x:t>
        </x:is>
      </x:c>
      <x:c r="E1572" s="31" t="inlineStr">
        <x:is>
          <x:t xml:space="preserve">ИЗД-010</x:t>
        </x:is>
      </x:c>
      <x:c r="F1572" s="31" t="n">
        <x:v>80</x:v>
      </x:c>
      <x:c r="G1572" s="31" t="inlineStr">
        <x:is>
          <x:t xml:space="preserve">ОТК</x:t>
        </x:is>
      </x:c>
      <x:c r="H1572" s="31" t="inlineStr">
        <x:is>
          <x:t xml:space="preserve">ОТК</x:t>
        </x:is>
      </x:c>
      <x:c r="I1572" s="31" t="inlineStr">
        <x:is>
          <x:t xml:space="preserve">ОБ-015</x:t>
        </x:is>
      </x:c>
      <x:c r="J1572" s="31" t="inlineStr">
        <x:is>
          <x:t xml:space="preserve">СОТР-096</x:t>
        </x:is>
      </x:c>
      <x:c r="K1572" s="31" t="n">
        <x:v>9.1</x:v>
      </x:c>
      <x:c r="L1572" s="31" t="n"/>
      <x:c r="M1572" s="31" t="n">
        <x:v>46157</x:v>
      </x:c>
      <x:c r="N1572" s="31" t="n">
        <x:v>46158</x:v>
      </x:c>
      <x:c r="O1572" s="31" t="n"/>
      <x:c r="P1572" s="31" t="n"/>
      <x:c r="Q1572" s="31" t="inlineStr">
        <x:is>
          <x:t xml:space="preserve">Запланировано</x:t>
        </x:is>
      </x:c>
      <x:c r="R1572" s="31" t="inlineStr">
        <x:is>
          <x:t xml:space="preserve">Нет</x:t>
        </x:is>
      </x:c>
      <x:c r="S1572" s="31" t="inlineStr">
        <x:is>
          <x:t xml:space="preserve">Да</x:t>
        </x:is>
      </x:c>
    </x:row>
    <x:row r="1573">
      <x:c r="A1573" s="31" t="inlineStr">
        <x:is>
          <x:t xml:space="preserve">ОП-001572</x:t>
        </x:is>
      </x:c>
      <x:c r="B1573" s="31" t="inlineStr">
        <x:is>
          <x:t xml:space="preserve">ПЗ-00188</x:t>
        </x:is>
      </x:c>
      <x:c r="C1573" s="31" t="inlineStr">
        <x:is>
          <x:t xml:space="preserve">ЗК-1092</x:t>
        </x:is>
      </x:c>
      <x:c r="D1573" s="31" t="inlineStr">
        <x:is>
          <x:t xml:space="preserve">ПОЗ-0092-1</x:t>
        </x:is>
      </x:c>
      <x:c r="E1573" s="31" t="inlineStr">
        <x:is>
          <x:t xml:space="preserve">ИЗД-010</x:t>
        </x:is>
      </x:c>
      <x:c r="F1573" s="31" t="n">
        <x:v>90</x:v>
      </x:c>
      <x:c r="G1573" s="31" t="inlineStr">
        <x:is>
          <x:t xml:space="preserve">Упаковка</x:t>
        </x:is>
      </x:c>
      <x:c r="H1573" s="31" t="inlineStr">
        <x:is>
          <x:t xml:space="preserve">Логистика</x:t>
        </x:is>
      </x:c>
      <x:c r="I1573" s="31" t="n"/>
      <x:c r="J1573" s="31" t="inlineStr">
        <x:is>
          <x:t xml:space="preserve">СОТР-102</x:t>
        </x:is>
      </x:c>
      <x:c r="K1573" s="31" t="n">
        <x:v>11.1</x:v>
      </x:c>
      <x:c r="L1573" s="31" t="n"/>
      <x:c r="M1573" s="31" t="n">
        <x:v>46158</x:v>
      </x:c>
      <x:c r="N1573" s="31" t="n">
        <x:v>46159</x:v>
      </x:c>
      <x:c r="O1573" s="31" t="n"/>
      <x:c r="P1573" s="31" t="n"/>
      <x:c r="Q1573" s="31" t="inlineStr">
        <x:is>
          <x:t xml:space="preserve">Запланировано</x:t>
        </x:is>
      </x:c>
      <x:c r="R1573" s="31" t="inlineStr">
        <x:is>
          <x:t xml:space="preserve">Нет</x:t>
        </x:is>
      </x:c>
      <x:c r="S1573" s="31" t="inlineStr">
        <x:is>
          <x:t xml:space="preserve">Нет</x:t>
        </x:is>
      </x:c>
    </x:row>
    <x:row r="1574">
      <x:c r="A1574" s="31" t="inlineStr">
        <x:is>
          <x:t xml:space="preserve">ОП-001573</x:t>
        </x:is>
      </x:c>
      <x:c r="B1574" s="31" t="inlineStr">
        <x:is>
          <x:t xml:space="preserve">ПЗ-00189</x:t>
        </x:is>
      </x:c>
      <x:c r="C1574" s="31" t="inlineStr">
        <x:is>
          <x:t xml:space="preserve">ЗК-1092</x:t>
        </x:is>
      </x:c>
      <x:c r="D1574" s="31" t="inlineStr">
        <x:is>
          <x:t xml:space="preserve">ПОЗ-0092-2</x:t>
        </x:is>
      </x:c>
      <x:c r="E1574" s="31" t="inlineStr">
        <x:is>
          <x:t xml:space="preserve">ИЗД-044</x:t>
        </x:is>
      </x:c>
      <x:c r="F1574" s="31" t="n">
        <x:v>10</x:v>
      </x:c>
      <x:c r="G1574" s="31" t="inlineStr">
        <x:is>
          <x:t xml:space="preserve">КД</x:t>
        </x:is>
      </x:c>
      <x:c r="H1574" s="31" t="inlineStr">
        <x:is>
          <x:t xml:space="preserve">Инженерный отдел</x:t>
        </x:is>
      </x:c>
      <x:c r="I1574" s="31" t="n"/>
      <x:c r="J1574" s="31" t="inlineStr">
        <x:is>
          <x:t xml:space="preserve">СОТР-015</x:t>
        </x:is>
      </x:c>
      <x:c r="K1574" s="31" t="n">
        <x:v>82.2</x:v>
      </x:c>
      <x:c r="L1574" s="31" t="n">
        <x:v>103.2</x:v>
      </x:c>
      <x:c r="M1574" s="31" t="n">
        <x:v>46149</x:v>
      </x:c>
      <x:c r="N1574" s="31" t="n">
        <x:v>46156</x:v>
      </x:c>
      <x:c r="O1574" s="31" t="n">
        <x:v>46149</x:v>
      </x:c>
      <x:c r="P1574" s="31" t="n">
        <x:v>46156</x:v>
      </x:c>
      <x:c r="Q1574" s="31" t="inlineStr">
        <x:is>
          <x:t xml:space="preserve">Завершено</x:t>
        </x:is>
      </x:c>
      <x:c r="R1574" s="31" t="inlineStr">
        <x:is>
          <x:t xml:space="preserve">Нет</x:t>
        </x:is>
      </x:c>
      <x:c r="S1574" s="31" t="inlineStr">
        <x:is>
          <x:t xml:space="preserve">Нет</x:t>
        </x:is>
      </x:c>
    </x:row>
    <x:row r="1575">
      <x:c r="A1575" s="31" t="inlineStr">
        <x:is>
          <x:t xml:space="preserve">ОП-001574</x:t>
        </x:is>
      </x:c>
      <x:c r="B1575" s="31" t="inlineStr">
        <x:is>
          <x:t xml:space="preserve">ПЗ-00189</x:t>
        </x:is>
      </x:c>
      <x:c r="C1575" s="31" t="inlineStr">
        <x:is>
          <x:t xml:space="preserve">ЗК-1092</x:t>
        </x:is>
      </x:c>
      <x:c r="D1575" s="31" t="inlineStr">
        <x:is>
          <x:t xml:space="preserve">ПОЗ-0092-2</x:t>
        </x:is>
      </x:c>
      <x:c r="E1575" s="31" t="inlineStr">
        <x:is>
          <x:t xml:space="preserve">ИЗД-044</x:t>
        </x:is>
      </x:c>
      <x:c r="F1575" s="31" t="n">
        <x:v>20</x:v>
      </x:c>
      <x:c r="G1575" s="31" t="inlineStr">
        <x:is>
          <x:t xml:space="preserve">Резерв материалов</x:t>
        </x:is>
      </x:c>
      <x:c r="H1575" s="31" t="inlineStr">
        <x:is>
          <x:t xml:space="preserve">Склад</x:t>
        </x:is>
      </x:c>
      <x:c r="I1575" s="31" t="inlineStr">
        <x:is>
          <x:t xml:space="preserve">ОБ-023</x:t>
        </x:is>
      </x:c>
      <x:c r="J1575" s="31" t="inlineStr">
        <x:is>
          <x:t xml:space="preserve">СОТР-039</x:t>
        </x:is>
      </x:c>
      <x:c r="K1575" s="31" t="n">
        <x:v>12.3</x:v>
      </x:c>
      <x:c r="L1575" s="31" t="n">
        <x:v>16</x:v>
      </x:c>
      <x:c r="M1575" s="31" t="n">
        <x:v>46156</x:v>
      </x:c>
      <x:c r="N1575" s="31" t="n">
        <x:v>46158</x:v>
      </x:c>
      <x:c r="O1575" s="31" t="n">
        <x:v>46156</x:v>
      </x:c>
      <x:c r="P1575" s="31" t="n">
        <x:v>46158</x:v>
      </x:c>
      <x:c r="Q1575" s="31" t="inlineStr">
        <x:is>
          <x:t xml:space="preserve">Завершено</x:t>
        </x:is>
      </x:c>
      <x:c r="R1575" s="31" t="inlineStr">
        <x:is>
          <x:t xml:space="preserve">Нет</x:t>
        </x:is>
      </x:c>
      <x:c r="S1575" s="31" t="inlineStr">
        <x:is>
          <x:t xml:space="preserve">Нет</x:t>
        </x:is>
      </x:c>
    </x:row>
    <x:row r="1576">
      <x:c r="A1576" s="31" t="inlineStr">
        <x:is>
          <x:t xml:space="preserve">ОП-001575</x:t>
        </x:is>
      </x:c>
      <x:c r="B1576" s="31" t="inlineStr">
        <x:is>
          <x:t xml:space="preserve">ПЗ-00189</x:t>
        </x:is>
      </x:c>
      <x:c r="C1576" s="31" t="inlineStr">
        <x:is>
          <x:t xml:space="preserve">ЗК-1092</x:t>
        </x:is>
      </x:c>
      <x:c r="D1576" s="31" t="inlineStr">
        <x:is>
          <x:t xml:space="preserve">ПОЗ-0092-2</x:t>
        </x:is>
      </x:c>
      <x:c r="E1576" s="31" t="inlineStr">
        <x:is>
          <x:t xml:space="preserve">ИЗД-044</x:t>
        </x:is>
      </x:c>
      <x:c r="F1576" s="31" t="n">
        <x:v>30</x:v>
      </x:c>
      <x:c r="G1576" s="31" t="inlineStr">
        <x:is>
          <x:t xml:space="preserve">Сварка рамы</x:t>
        </x:is>
      </x:c>
      <x:c r="H1576" s="31" t="inlineStr">
        <x:is>
          <x:t xml:space="preserve">Сварка</x:t>
        </x:is>
      </x:c>
      <x:c r="I1576" s="31" t="inlineStr">
        <x:is>
          <x:t xml:space="preserve">ОБ-004</x:t>
        </x:is>
      </x:c>
      <x:c r="J1576" s="31" t="inlineStr">
        <x:is>
          <x:t xml:space="preserve">СОТР-058</x:t>
        </x:is>
      </x:c>
      <x:c r="K1576" s="31" t="n">
        <x:v>21.3</x:v>
      </x:c>
      <x:c r="L1576" s="31" t="n">
        <x:v>21.5</x:v>
      </x:c>
      <x:c r="M1576" s="31" t="n">
        <x:v>46158</x:v>
      </x:c>
      <x:c r="N1576" s="31" t="n">
        <x:v>46160</x:v>
      </x:c>
      <x:c r="O1576" s="31" t="n">
        <x:v>46158</x:v>
      </x:c>
      <x:c r="P1576" s="31" t="n">
        <x:v>46162</x:v>
      </x:c>
      <x:c r="Q1576" s="31" t="inlineStr">
        <x:is>
          <x:t xml:space="preserve">Завершено</x:t>
        </x:is>
      </x:c>
      <x:c r="R1576" s="31" t="inlineStr">
        <x:is>
          <x:t xml:space="preserve">Нет</x:t>
        </x:is>
      </x:c>
      <x:c r="S1576" s="31" t="inlineStr">
        <x:is>
          <x:t xml:space="preserve">Да</x:t>
        </x:is>
      </x:c>
    </x:row>
    <x:row r="1577">
      <x:c r="A1577" s="31" t="inlineStr">
        <x:is>
          <x:t xml:space="preserve">ОП-001576</x:t>
        </x:is>
      </x:c>
      <x:c r="B1577" s="31" t="inlineStr">
        <x:is>
          <x:t xml:space="preserve">ПЗ-00189</x:t>
        </x:is>
      </x:c>
      <x:c r="C1577" s="31" t="inlineStr">
        <x:is>
          <x:t xml:space="preserve">ЗК-1092</x:t>
        </x:is>
      </x:c>
      <x:c r="D1577" s="31" t="inlineStr">
        <x:is>
          <x:t xml:space="preserve">ПОЗ-0092-2</x:t>
        </x:is>
      </x:c>
      <x:c r="E1577" s="31" t="inlineStr">
        <x:is>
          <x:t xml:space="preserve">ИЗД-044</x:t>
        </x:is>
      </x:c>
      <x:c r="F1577" s="31" t="n">
        <x:v>40</x:v>
      </x:c>
      <x:c r="G1577" s="31" t="inlineStr">
        <x:is>
          <x:t xml:space="preserve">Сборка</x:t>
        </x:is>
      </x:c>
      <x:c r="H1577" s="31" t="inlineStr">
        <x:is>
          <x:t xml:space="preserve">Сборка</x:t>
        </x:is>
      </x:c>
      <x:c r="I1577" s="31" t="inlineStr">
        <x:is>
          <x:t xml:space="preserve">ОБ-027</x:t>
        </x:is>
      </x:c>
      <x:c r="J1577" s="31" t="inlineStr">
        <x:is>
          <x:t xml:space="preserve">СОТР-032</x:t>
        </x:is>
      </x:c>
      <x:c r="K1577" s="31" t="n">
        <x:v>62.4</x:v>
      </x:c>
      <x:c r="L1577" s="31" t="n">
        <x:v>57.5</x:v>
      </x:c>
      <x:c r="M1577" s="31" t="n">
        <x:v>46160</x:v>
      </x:c>
      <x:c r="N1577" s="31" t="n">
        <x:v>46166</x:v>
      </x:c>
      <x:c r="O1577" s="31" t="n">
        <x:v>46160</x:v>
      </x:c>
      <x:c r="P1577" s="31" t="n">
        <x:v>46168</x:v>
      </x:c>
      <x:c r="Q1577" s="31" t="inlineStr">
        <x:is>
          <x:t xml:space="preserve">Завершено</x:t>
        </x:is>
      </x:c>
      <x:c r="R1577" s="31" t="inlineStr">
        <x:is>
          <x:t xml:space="preserve">Нет</x:t>
        </x:is>
      </x:c>
      <x:c r="S1577" s="31" t="inlineStr">
        <x:is>
          <x:t xml:space="preserve">Нет</x:t>
        </x:is>
      </x:c>
    </x:row>
    <x:row r="1578">
      <x:c r="A1578" s="31" t="inlineStr">
        <x:is>
          <x:t xml:space="preserve">ОП-001577</x:t>
        </x:is>
      </x:c>
      <x:c r="B1578" s="31" t="inlineStr">
        <x:is>
          <x:t xml:space="preserve">ПЗ-00189</x:t>
        </x:is>
      </x:c>
      <x:c r="C1578" s="31" t="inlineStr">
        <x:is>
          <x:t xml:space="preserve">ЗК-1092</x:t>
        </x:is>
      </x:c>
      <x:c r="D1578" s="31" t="inlineStr">
        <x:is>
          <x:t xml:space="preserve">ПОЗ-0092-2</x:t>
        </x:is>
      </x:c>
      <x:c r="E1578" s="31" t="inlineStr">
        <x:is>
          <x:t xml:space="preserve">ИЗД-044</x:t>
        </x:is>
      </x:c>
      <x:c r="F1578" s="31" t="n">
        <x:v>50</x:v>
      </x:c>
      <x:c r="G1578" s="31" t="inlineStr">
        <x:is>
          <x:t xml:space="preserve">Обвязка труб</x:t>
        </x:is>
      </x:c>
      <x:c r="H1578" s="31" t="inlineStr">
        <x:is>
          <x:t xml:space="preserve">Сборка</x:t>
        </x:is>
      </x:c>
      <x:c r="I1578" s="31" t="inlineStr">
        <x:is>
          <x:t xml:space="preserve">ОБ-002</x:t>
        </x:is>
      </x:c>
      <x:c r="J1578" s="31" t="inlineStr">
        <x:is>
          <x:t xml:space="preserve">СОТР-073</x:t>
        </x:is>
      </x:c>
      <x:c r="K1578" s="31" t="n">
        <x:v>82.5</x:v>
      </x:c>
      <x:c r="L1578" s="31" t="n">
        <x:v>71.5</x:v>
      </x:c>
      <x:c r="M1578" s="31" t="n">
        <x:v>46166</x:v>
      </x:c>
      <x:c r="N1578" s="31" t="n">
        <x:v>46173</x:v>
      </x:c>
      <x:c r="O1578" s="31" t="n">
        <x:v>46166</x:v>
      </x:c>
      <x:c r="P1578" s="31" t="n">
        <x:v>46173</x:v>
      </x:c>
      <x:c r="Q1578" s="31" t="inlineStr">
        <x:is>
          <x:t xml:space="preserve">Завершено</x:t>
        </x:is>
      </x:c>
      <x:c r="R1578" s="31" t="inlineStr">
        <x:is>
          <x:t xml:space="preserve">Нет</x:t>
        </x:is>
      </x:c>
      <x:c r="S1578" s="31" t="inlineStr">
        <x:is>
          <x:t xml:space="preserve">Нет</x:t>
        </x:is>
      </x:c>
    </x:row>
    <x:row r="1579">
      <x:c r="A1579" s="31" t="inlineStr">
        <x:is>
          <x:t xml:space="preserve">ОП-001578</x:t>
        </x:is>
      </x:c>
      <x:c r="B1579" s="31" t="inlineStr">
        <x:is>
          <x:t xml:space="preserve">ПЗ-00189</x:t>
        </x:is>
      </x:c>
      <x:c r="C1579" s="31" t="inlineStr">
        <x:is>
          <x:t xml:space="preserve">ЗК-1092</x:t>
        </x:is>
      </x:c>
      <x:c r="D1579" s="31" t="inlineStr">
        <x:is>
          <x:t xml:space="preserve">ПОЗ-0092-2</x:t>
        </x:is>
      </x:c>
      <x:c r="E1579" s="31" t="inlineStr">
        <x:is>
          <x:t xml:space="preserve">ИЗД-044</x:t>
        </x:is>
      </x:c>
      <x:c r="F1579" s="31" t="n">
        <x:v>60</x:v>
      </x:c>
      <x:c r="G1579" s="31" t="inlineStr">
        <x:is>
          <x:t xml:space="preserve">Электромонтаж</x:t>
        </x:is>
      </x:c>
      <x:c r="H1579" s="31" t="inlineStr">
        <x:is>
          <x:t xml:space="preserve">Сборка</x:t>
        </x:is>
      </x:c>
      <x:c r="I1579" s="31" t="inlineStr">
        <x:is>
          <x:t xml:space="preserve">ОБ-012</x:t>
        </x:is>
      </x:c>
      <x:c r="J1579" s="31" t="inlineStr">
        <x:is>
          <x:t xml:space="preserve">СОТР-073</x:t>
        </x:is>
      </x:c>
      <x:c r="K1579" s="31" t="n">
        <x:v>50.1</x:v>
      </x:c>
      <x:c r="L1579" s="31" t="n">
        <x:v>54.7</x:v>
      </x:c>
      <x:c r="M1579" s="31" t="n">
        <x:v>46173</x:v>
      </x:c>
      <x:c r="N1579" s="31" t="n">
        <x:v>46178</x:v>
      </x:c>
      <x:c r="O1579" s="31" t="n">
        <x:v>46173</x:v>
      </x:c>
      <x:c r="P1579" s="31" t="n">
        <x:v>46179</x:v>
      </x:c>
      <x:c r="Q1579" s="31" t="inlineStr">
        <x:is>
          <x:t xml:space="preserve">Завершено</x:t>
        </x:is>
      </x:c>
      <x:c r="R1579" s="31" t="inlineStr">
        <x:is>
          <x:t xml:space="preserve">Оборудование</x:t>
        </x:is>
      </x:c>
      <x:c r="S1579" s="31" t="inlineStr">
        <x:is>
          <x:t xml:space="preserve">Нет</x:t>
        </x:is>
      </x:c>
    </x:row>
    <x:row r="1580">
      <x:c r="A1580" s="31" t="inlineStr">
        <x:is>
          <x:t xml:space="preserve">ОП-001579</x:t>
        </x:is>
      </x:c>
      <x:c r="B1580" s="31" t="inlineStr">
        <x:is>
          <x:t xml:space="preserve">ПЗ-00189</x:t>
        </x:is>
      </x:c>
      <x:c r="C1580" s="31" t="inlineStr">
        <x:is>
          <x:t xml:space="preserve">ЗК-1092</x:t>
        </x:is>
      </x:c>
      <x:c r="D1580" s="31" t="inlineStr">
        <x:is>
          <x:t xml:space="preserve">ПОЗ-0092-2</x:t>
        </x:is>
      </x:c>
      <x:c r="E1580" s="31" t="inlineStr">
        <x:is>
          <x:t xml:space="preserve">ИЗД-044</x:t>
        </x:is>
      </x:c>
      <x:c r="F1580" s="31" t="n">
        <x:v>70</x:v>
      </x:c>
      <x:c r="G1580" s="31" t="inlineStr">
        <x:is>
          <x:t xml:space="preserve">Гидроиспытания</x:t>
        </x:is>
      </x:c>
      <x:c r="H1580" s="31" t="inlineStr">
        <x:is>
          <x:t xml:space="preserve">ОТК</x:t>
        </x:is>
      </x:c>
      <x:c r="I1580" s="31" t="inlineStr">
        <x:is>
          <x:t xml:space="preserve">ОБ-001</x:t>
        </x:is>
      </x:c>
      <x:c r="J1580" s="31" t="inlineStr">
        <x:is>
          <x:t xml:space="preserve">СОТР-093</x:t>
        </x:is>
      </x:c>
      <x:c r="K1580" s="31" t="n">
        <x:v>65.7</x:v>
      </x:c>
      <x:c r="L1580" s="31" t="n">
        <x:v>54.2</x:v>
      </x:c>
      <x:c r="M1580" s="31" t="n">
        <x:v>46178</x:v>
      </x:c>
      <x:c r="N1580" s="31" t="n">
        <x:v>46184</x:v>
      </x:c>
      <x:c r="O1580" s="31" t="n">
        <x:v>46178</x:v>
      </x:c>
      <x:c r="P1580" s="31" t="n">
        <x:v>46184</x:v>
      </x:c>
      <x:c r="Q1580" s="31" t="inlineStr">
        <x:is>
          <x:t xml:space="preserve">Завершено</x:t>
        </x:is>
      </x:c>
      <x:c r="R1580" s="31" t="inlineStr">
        <x:is>
          <x:t xml:space="preserve">Нет</x:t>
        </x:is>
      </x:c>
      <x:c r="S1580" s="31" t="inlineStr">
        <x:is>
          <x:t xml:space="preserve">Нет</x:t>
        </x:is>
      </x:c>
    </x:row>
    <x:row r="1581">
      <x:c r="A1581" s="31" t="inlineStr">
        <x:is>
          <x:t xml:space="preserve">ОП-001580</x:t>
        </x:is>
      </x:c>
      <x:c r="B1581" s="31" t="inlineStr">
        <x:is>
          <x:t xml:space="preserve">ПЗ-00189</x:t>
        </x:is>
      </x:c>
      <x:c r="C1581" s="31" t="inlineStr">
        <x:is>
          <x:t xml:space="preserve">ЗК-1092</x:t>
        </x:is>
      </x:c>
      <x:c r="D1581" s="31" t="inlineStr">
        <x:is>
          <x:t xml:space="preserve">ПОЗ-0092-2</x:t>
        </x:is>
      </x:c>
      <x:c r="E1581" s="31" t="inlineStr">
        <x:is>
          <x:t xml:space="preserve">ИЗД-044</x:t>
        </x:is>
      </x:c>
      <x:c r="F1581" s="31" t="n">
        <x:v>80</x:v>
      </x:c>
      <x:c r="G1581" s="31" t="inlineStr">
        <x:is>
          <x:t xml:space="preserve">ОТК</x:t>
        </x:is>
      </x:c>
      <x:c r="H1581" s="31" t="inlineStr">
        <x:is>
          <x:t xml:space="preserve">ОТК</x:t>
        </x:is>
      </x:c>
      <x:c r="I1581" s="31" t="inlineStr">
        <x:is>
          <x:t xml:space="preserve">ОБ-013</x:t>
        </x:is>
      </x:c>
      <x:c r="J1581" s="31" t="inlineStr">
        <x:is>
          <x:t xml:space="preserve">СОТР-092</x:t>
        </x:is>
      </x:c>
      <x:c r="K1581" s="31" t="n">
        <x:v>76.2</x:v>
      </x:c>
      <x:c r="L1581" s="31" t="n">
        <x:v>87.90000000000001</x:v>
      </x:c>
      <x:c r="M1581" s="31" t="n">
        <x:v>46184</x:v>
      </x:c>
      <x:c r="N1581" s="31" t="n">
        <x:v>46191</x:v>
      </x:c>
      <x:c r="O1581" s="31" t="n">
        <x:v>46184</x:v>
      </x:c>
      <x:c r="P1581" s="31" t="n">
        <x:v>46191</x:v>
      </x:c>
      <x:c r="Q1581" s="31" t="inlineStr">
        <x:is>
          <x:t xml:space="preserve">Завершено</x:t>
        </x:is>
      </x:c>
      <x:c r="R1581" s="31" t="inlineStr">
        <x:is>
          <x:t xml:space="preserve">Нет</x:t>
        </x:is>
      </x:c>
      <x:c r="S1581" s="31" t="inlineStr">
        <x:is>
          <x:t xml:space="preserve">Нет</x:t>
        </x:is>
      </x:c>
    </x:row>
    <x:row r="1582">
      <x:c r="A1582" s="31" t="inlineStr">
        <x:is>
          <x:t xml:space="preserve">ОП-001581</x:t>
        </x:is>
      </x:c>
      <x:c r="B1582" s="31" t="inlineStr">
        <x:is>
          <x:t xml:space="preserve">ПЗ-00189</x:t>
        </x:is>
      </x:c>
      <x:c r="C1582" s="31" t="inlineStr">
        <x:is>
          <x:t xml:space="preserve">ЗК-1092</x:t>
        </x:is>
      </x:c>
      <x:c r="D1582" s="31" t="inlineStr">
        <x:is>
          <x:t xml:space="preserve">ПОЗ-0092-2</x:t>
        </x:is>
      </x:c>
      <x:c r="E1582" s="31" t="inlineStr">
        <x:is>
          <x:t xml:space="preserve">ИЗД-044</x:t>
        </x:is>
      </x:c>
      <x:c r="F1582" s="31" t="n">
        <x:v>90</x:v>
      </x:c>
      <x:c r="G1582" s="31" t="inlineStr">
        <x:is>
          <x:t xml:space="preserve">Упаковка</x:t>
        </x:is>
      </x:c>
      <x:c r="H1582" s="31" t="inlineStr">
        <x:is>
          <x:t xml:space="preserve">Логистика</x:t>
        </x:is>
      </x:c>
      <x:c r="I1582" s="31" t="n"/>
      <x:c r="J1582" s="31" t="inlineStr">
        <x:is>
          <x:t xml:space="preserve">СОТР-103</x:t>
        </x:is>
      </x:c>
      <x:c r="K1582" s="31" t="n">
        <x:v>33.9</x:v>
      </x:c>
      <x:c r="L1582" s="31" t="n">
        <x:v>38.4</x:v>
      </x:c>
      <x:c r="M1582" s="31" t="n">
        <x:v>46191</x:v>
      </x:c>
      <x:c r="N1582" s="31" t="n">
        <x:v>46194</x:v>
      </x:c>
      <x:c r="O1582" s="31" t="n">
        <x:v>46191</x:v>
      </x:c>
      <x:c r="P1582" s="31" t="n">
        <x:v>46193</x:v>
      </x:c>
      <x:c r="Q1582" s="31" t="inlineStr">
        <x:is>
          <x:t xml:space="preserve">Завершено</x:t>
        </x:is>
      </x:c>
      <x:c r="R1582" s="31" t="inlineStr">
        <x:is>
          <x:t xml:space="preserve">Нет</x:t>
        </x:is>
      </x:c>
      <x:c r="S1582" s="31" t="inlineStr">
        <x:is>
          <x:t xml:space="preserve">Нет</x:t>
        </x:is>
      </x:c>
    </x:row>
    <x:row r="1583">
      <x:c r="A1583" s="31" t="inlineStr">
        <x:is>
          <x:t xml:space="preserve">ОП-001582</x:t>
        </x:is>
      </x:c>
      <x:c r="B1583" s="31" t="inlineStr">
        <x:is>
          <x:t xml:space="preserve">ПЗ-00190</x:t>
        </x:is>
      </x:c>
      <x:c r="C1583" s="31" t="inlineStr">
        <x:is>
          <x:t xml:space="preserve">ЗК-1092</x:t>
        </x:is>
      </x:c>
      <x:c r="D1583" s="31" t="inlineStr">
        <x:is>
          <x:t xml:space="preserve">ПОЗ-0092-3</x:t>
        </x:is>
      </x:c>
      <x:c r="E1583" s="31" t="inlineStr">
        <x:is>
          <x:t xml:space="preserve">ИЗД-018</x:t>
        </x:is>
      </x:c>
      <x:c r="F1583" s="31" t="n">
        <x:v>10</x:v>
      </x:c>
      <x:c r="G1583" s="31" t="inlineStr">
        <x:is>
          <x:t xml:space="preserve">КД</x:t>
        </x:is>
      </x:c>
      <x:c r="H1583" s="31" t="inlineStr">
        <x:is>
          <x:t xml:space="preserve">Инженерный отдел</x:t>
        </x:is>
      </x:c>
      <x:c r="I1583" s="31" t="n"/>
      <x:c r="J1583" s="31" t="inlineStr">
        <x:is>
          <x:t xml:space="preserve">СОТР-012</x:t>
        </x:is>
      </x:c>
      <x:c r="K1583" s="31" t="n">
        <x:v>6.9</x:v>
      </x:c>
      <x:c r="L1583" s="31" t="n">
        <x:v>9.199999999999999</x:v>
      </x:c>
      <x:c r="M1583" s="31" t="n">
        <x:v>46146</x:v>
      </x:c>
      <x:c r="N1583" s="31" t="n">
        <x:v>46147</x:v>
      </x:c>
      <x:c r="O1583" s="31" t="n">
        <x:v>46146</x:v>
      </x:c>
      <x:c r="P1583" s="31" t="n">
        <x:v>46148</x:v>
      </x:c>
      <x:c r="Q1583" s="31" t="inlineStr">
        <x:is>
          <x:t xml:space="preserve">Завершено</x:t>
        </x:is>
      </x:c>
      <x:c r="R1583" s="31" t="inlineStr">
        <x:is>
          <x:t xml:space="preserve">Нет</x:t>
        </x:is>
      </x:c>
      <x:c r="S1583" s="31" t="inlineStr">
        <x:is>
          <x:t xml:space="preserve">Нет</x:t>
        </x:is>
      </x:c>
    </x:row>
    <x:row r="1584">
      <x:c r="A1584" s="31" t="inlineStr">
        <x:is>
          <x:t xml:space="preserve">ОП-001583</x:t>
        </x:is>
      </x:c>
      <x:c r="B1584" s="31" t="inlineStr">
        <x:is>
          <x:t xml:space="preserve">ПЗ-00190</x:t>
        </x:is>
      </x:c>
      <x:c r="C1584" s="31" t="inlineStr">
        <x:is>
          <x:t xml:space="preserve">ЗК-1092</x:t>
        </x:is>
      </x:c>
      <x:c r="D1584" s="31" t="inlineStr">
        <x:is>
          <x:t xml:space="preserve">ПОЗ-0092-3</x:t>
        </x:is>
      </x:c>
      <x:c r="E1584" s="31" t="inlineStr">
        <x:is>
          <x:t xml:space="preserve">ИЗД-018</x:t>
        </x:is>
      </x:c>
      <x:c r="F1584" s="31" t="n">
        <x:v>20</x:v>
      </x:c>
      <x:c r="G1584" s="31" t="inlineStr">
        <x:is>
          <x:t xml:space="preserve">Комплектация</x:t>
        </x:is>
      </x:c>
      <x:c r="H1584" s="31" t="inlineStr">
        <x:is>
          <x:t xml:space="preserve">Склад</x:t>
        </x:is>
      </x:c>
      <x:c r="I1584" s="31" t="inlineStr">
        <x:is>
          <x:t xml:space="preserve">ОБ-009</x:t>
        </x:is>
      </x:c>
      <x:c r="J1584" s="31" t="inlineStr">
        <x:is>
          <x:t xml:space="preserve">СОТР-035</x:t>
        </x:is>
      </x:c>
      <x:c r="K1584" s="31" t="n">
        <x:v>16.8</x:v>
      </x:c>
      <x:c r="L1584" s="31" t="n">
        <x:v>16.1</x:v>
      </x:c>
      <x:c r="M1584" s="31" t="n">
        <x:v>46147</x:v>
      </x:c>
      <x:c r="N1584" s="31" t="n">
        <x:v>46149</x:v>
      </x:c>
      <x:c r="O1584" s="31" t="n">
        <x:v>46147</x:v>
      </x:c>
      <x:c r="P1584" s="31" t="n">
        <x:v>46148</x:v>
      </x:c>
      <x:c r="Q1584" s="31" t="inlineStr">
        <x:is>
          <x:t xml:space="preserve">Завершено</x:t>
        </x:is>
      </x:c>
      <x:c r="R1584" s="31" t="inlineStr">
        <x:is>
          <x:t xml:space="preserve">Нет</x:t>
        </x:is>
      </x:c>
      <x:c r="S1584" s="31" t="inlineStr">
        <x:is>
          <x:t xml:space="preserve">Нет</x:t>
        </x:is>
      </x:c>
    </x:row>
    <x:row r="1585">
      <x:c r="A1585" s="31" t="inlineStr">
        <x:is>
          <x:t xml:space="preserve">ОП-001584</x:t>
        </x:is>
      </x:c>
      <x:c r="B1585" s="31" t="inlineStr">
        <x:is>
          <x:t xml:space="preserve">ПЗ-00190</x:t>
        </x:is>
      </x:c>
      <x:c r="C1585" s="31" t="inlineStr">
        <x:is>
          <x:t xml:space="preserve">ЗК-1092</x:t>
        </x:is>
      </x:c>
      <x:c r="D1585" s="31" t="inlineStr">
        <x:is>
          <x:t xml:space="preserve">ПОЗ-0092-3</x:t>
        </x:is>
      </x:c>
      <x:c r="E1585" s="31" t="inlineStr">
        <x:is>
          <x:t xml:space="preserve">ИЗД-018</x:t>
        </x:is>
      </x:c>
      <x:c r="F1585" s="31" t="n">
        <x:v>30</x:v>
      </x:c>
      <x:c r="G1585" s="31" t="inlineStr">
        <x:is>
          <x:t xml:space="preserve">Сборка шкафа</x:t>
        </x:is>
      </x:c>
      <x:c r="H1585" s="31" t="inlineStr">
        <x:is>
          <x:t xml:space="preserve">Сборка</x:t>
        </x:is>
      </x:c>
      <x:c r="I1585" s="31" t="inlineStr">
        <x:is>
          <x:t xml:space="preserve">ОБ-034</x:t>
        </x:is>
      </x:c>
      <x:c r="J1585" s="31" t="inlineStr">
        <x:is>
          <x:t xml:space="preserve">СОТР-077</x:t>
        </x:is>
      </x:c>
      <x:c r="K1585" s="31" t="n">
        <x:v>6.6</x:v>
      </x:c>
      <x:c r="L1585" s="31" t="n">
        <x:v>5.6</x:v>
      </x:c>
      <x:c r="M1585" s="31" t="n">
        <x:v>46149</x:v>
      </x:c>
      <x:c r="N1585" s="31" t="n">
        <x:v>46150</x:v>
      </x:c>
      <x:c r="O1585" s="31" t="n">
        <x:v>46149</x:v>
      </x:c>
      <x:c r="P1585" s="31" t="n">
        <x:v>46150</x:v>
      </x:c>
      <x:c r="Q1585" s="31" t="inlineStr">
        <x:is>
          <x:t xml:space="preserve">Завершено</x:t>
        </x:is>
      </x:c>
      <x:c r="R1585" s="31" t="inlineStr">
        <x:is>
          <x:t xml:space="preserve">Нет</x:t>
        </x:is>
      </x:c>
      <x:c r="S1585" s="31" t="inlineStr">
        <x:is>
          <x:t xml:space="preserve">Нет</x:t>
        </x:is>
      </x:c>
    </x:row>
    <x:row r="1586">
      <x:c r="A1586" s="31" t="inlineStr">
        <x:is>
          <x:t xml:space="preserve">ОП-001585</x:t>
        </x:is>
      </x:c>
      <x:c r="B1586" s="31" t="inlineStr">
        <x:is>
          <x:t xml:space="preserve">ПЗ-00190</x:t>
        </x:is>
      </x:c>
      <x:c r="C1586" s="31" t="inlineStr">
        <x:is>
          <x:t xml:space="preserve">ЗК-1092</x:t>
        </x:is>
      </x:c>
      <x:c r="D1586" s="31" t="inlineStr">
        <x:is>
          <x:t xml:space="preserve">ПОЗ-0092-3</x:t>
        </x:is>
      </x:c>
      <x:c r="E1586" s="31" t="inlineStr">
        <x:is>
          <x:t xml:space="preserve">ИЗД-018</x:t>
        </x:is>
      </x:c>
      <x:c r="F1586" s="31" t="n">
        <x:v>40</x:v>
      </x:c>
      <x:c r="G1586" s="31" t="inlineStr">
        <x:is>
          <x:t xml:space="preserve">Маркировка</x:t>
        </x:is>
      </x:c>
      <x:c r="H1586" s="31" t="inlineStr">
        <x:is>
          <x:t xml:space="preserve">Сборка</x:t>
        </x:is>
      </x:c>
      <x:c r="I1586" s="31" t="inlineStr">
        <x:is>
          <x:t xml:space="preserve">ОБ-016</x:t>
        </x:is>
      </x:c>
      <x:c r="J1586" s="31" t="inlineStr">
        <x:is>
          <x:t xml:space="preserve">СОТР-074</x:t>
        </x:is>
      </x:c>
      <x:c r="K1586" s="31" t="n">
        <x:v>25.8</x:v>
      </x:c>
      <x:c r="L1586" s="31" t="n">
        <x:v>25.3</x:v>
      </x:c>
      <x:c r="M1586" s="31" t="n">
        <x:v>46150</x:v>
      </x:c>
      <x:c r="N1586" s="31" t="n">
        <x:v>46153</x:v>
      </x:c>
      <x:c r="O1586" s="31" t="n">
        <x:v>46150</x:v>
      </x:c>
      <x:c r="P1586" s="31" t="n">
        <x:v>46154</x:v>
      </x:c>
      <x:c r="Q1586" s="31" t="inlineStr">
        <x:is>
          <x:t xml:space="preserve">Завершено</x:t>
        </x:is>
      </x:c>
      <x:c r="R1586" s="31" t="inlineStr">
        <x:is>
          <x:t xml:space="preserve">Нет</x:t>
        </x:is>
      </x:c>
      <x:c r="S1586" s="31" t="inlineStr">
        <x:is>
          <x:t xml:space="preserve">Нет</x:t>
        </x:is>
      </x:c>
    </x:row>
    <x:row r="1587">
      <x:c r="A1587" s="31" t="inlineStr">
        <x:is>
          <x:t xml:space="preserve">ОП-001586</x:t>
        </x:is>
      </x:c>
      <x:c r="B1587" s="31" t="inlineStr">
        <x:is>
          <x:t xml:space="preserve">ПЗ-00190</x:t>
        </x:is>
      </x:c>
      <x:c r="C1587" s="31" t="inlineStr">
        <x:is>
          <x:t xml:space="preserve">ЗК-1092</x:t>
        </x:is>
      </x:c>
      <x:c r="D1587" s="31" t="inlineStr">
        <x:is>
          <x:t xml:space="preserve">ПОЗ-0092-3</x:t>
        </x:is>
      </x:c>
      <x:c r="E1587" s="31" t="inlineStr">
        <x:is>
          <x:t xml:space="preserve">ИЗД-018</x:t>
        </x:is>
      </x:c>
      <x:c r="F1587" s="31" t="n">
        <x:v>50</x:v>
      </x:c>
      <x:c r="G1587" s="31" t="inlineStr">
        <x:is>
          <x:t xml:space="preserve">Электромонтаж</x:t>
        </x:is>
      </x:c>
      <x:c r="H1587" s="31" t="inlineStr">
        <x:is>
          <x:t xml:space="preserve">Сборка</x:t>
        </x:is>
      </x:c>
      <x:c r="I1587" s="31" t="inlineStr">
        <x:is>
          <x:t xml:space="preserve">ОБ-017</x:t>
        </x:is>
      </x:c>
      <x:c r="J1587" s="31" t="inlineStr">
        <x:is>
          <x:t xml:space="preserve">СОТР-088</x:t>
        </x:is>
      </x:c>
      <x:c r="K1587" s="31" t="n">
        <x:v>11.7</x:v>
      </x:c>
      <x:c r="L1587" s="31" t="n"/>
      <x:c r="M1587" s="31" t="n">
        <x:v>46153</x:v>
      </x:c>
      <x:c r="N1587" s="31" t="n">
        <x:v>46154</x:v>
      </x:c>
      <x:c r="O1587" s="31" t="n"/>
      <x:c r="P1587" s="31" t="n"/>
      <x:c r="Q1587" s="31" t="inlineStr">
        <x:is>
          <x:t xml:space="preserve">Запланировано</x:t>
        </x:is>
      </x:c>
      <x:c r="R1587" s="31" t="inlineStr">
        <x:is>
          <x:t xml:space="preserve">Нет</x:t>
        </x:is>
      </x:c>
      <x:c r="S1587" s="31" t="inlineStr">
        <x:is>
          <x:t xml:space="preserve">Нет</x:t>
        </x:is>
      </x:c>
    </x:row>
    <x:row r="1588">
      <x:c r="A1588" s="31" t="inlineStr">
        <x:is>
          <x:t xml:space="preserve">ОП-001587</x:t>
        </x:is>
      </x:c>
      <x:c r="B1588" s="31" t="inlineStr">
        <x:is>
          <x:t xml:space="preserve">ПЗ-00190</x:t>
        </x:is>
      </x:c>
      <x:c r="C1588" s="31" t="inlineStr">
        <x:is>
          <x:t xml:space="preserve">ЗК-1092</x:t>
        </x:is>
      </x:c>
      <x:c r="D1588" s="31" t="inlineStr">
        <x:is>
          <x:t xml:space="preserve">ПОЗ-0092-3</x:t>
        </x:is>
      </x:c>
      <x:c r="E1588" s="31" t="inlineStr">
        <x:is>
          <x:t xml:space="preserve">ИЗД-018</x:t>
        </x:is>
      </x:c>
      <x:c r="F1588" s="31" t="n">
        <x:v>60</x:v>
      </x:c>
      <x:c r="G1588" s="31" t="inlineStr">
        <x:is>
          <x:t xml:space="preserve">Программирование ПЛК</x:t>
        </x:is>
      </x:c>
      <x:c r="H1588" s="31" t="inlineStr">
        <x:is>
          <x:t xml:space="preserve">Инженерный отдел</x:t>
        </x:is>
      </x:c>
      <x:c r="I1588" s="31" t="n"/>
      <x:c r="J1588" s="31" t="inlineStr">
        <x:is>
          <x:t xml:space="preserve">СОТР-016</x:t>
        </x:is>
      </x:c>
      <x:c r="K1588" s="31" t="n">
        <x:v>19.5</x:v>
      </x:c>
      <x:c r="L1588" s="31" t="n"/>
      <x:c r="M1588" s="31" t="n">
        <x:v>46154</x:v>
      </x:c>
      <x:c r="N1588" s="31" t="n">
        <x:v>46156</x:v>
      </x:c>
      <x:c r="O1588" s="31" t="n"/>
      <x:c r="P1588" s="31" t="n"/>
      <x:c r="Q1588" s="31" t="inlineStr">
        <x:is>
          <x:t xml:space="preserve">Запланировано</x:t>
        </x:is>
      </x:c>
      <x:c r="R1588" s="31" t="inlineStr">
        <x:is>
          <x:t xml:space="preserve">Нет</x:t>
        </x:is>
      </x:c>
      <x:c r="S1588" s="31" t="inlineStr">
        <x:is>
          <x:t xml:space="preserve">Нет</x:t>
        </x:is>
      </x:c>
    </x:row>
    <x:row r="1589">
      <x:c r="A1589" s="31" t="inlineStr">
        <x:is>
          <x:t xml:space="preserve">ОП-001588</x:t>
        </x:is>
      </x:c>
      <x:c r="B1589" s="31" t="inlineStr">
        <x:is>
          <x:t xml:space="preserve">ПЗ-00190</x:t>
        </x:is>
      </x:c>
      <x:c r="C1589" s="31" t="inlineStr">
        <x:is>
          <x:t xml:space="preserve">ЗК-1092</x:t>
        </x:is>
      </x:c>
      <x:c r="D1589" s="31" t="inlineStr">
        <x:is>
          <x:t xml:space="preserve">ПОЗ-0092-3</x:t>
        </x:is>
      </x:c>
      <x:c r="E1589" s="31" t="inlineStr">
        <x:is>
          <x:t xml:space="preserve">ИЗД-018</x:t>
        </x:is>
      </x:c>
      <x:c r="F1589" s="31" t="n">
        <x:v>70</x:v>
      </x:c>
      <x:c r="G1589" s="31" t="inlineStr">
        <x:is>
          <x:t xml:space="preserve">Приемочные испытания</x:t>
        </x:is>
      </x:c>
      <x:c r="H1589" s="31" t="inlineStr">
        <x:is>
          <x:t xml:space="preserve">ОТК</x:t>
        </x:is>
      </x:c>
      <x:c r="I1589" s="31" t="inlineStr">
        <x:is>
          <x:t xml:space="preserve">ОБ-033</x:t>
        </x:is>
      </x:c>
      <x:c r="J1589" s="31" t="inlineStr">
        <x:is>
          <x:t xml:space="preserve">СОТР-092</x:t>
        </x:is>
      </x:c>
      <x:c r="K1589" s="31" t="n">
        <x:v>29.7</x:v>
      </x:c>
      <x:c r="L1589" s="31" t="n"/>
      <x:c r="M1589" s="31" t="n">
        <x:v>46156</x:v>
      </x:c>
      <x:c r="N1589" s="31" t="n">
        <x:v>46159</x:v>
      </x:c>
      <x:c r="O1589" s="31" t="n"/>
      <x:c r="P1589" s="31" t="n"/>
      <x:c r="Q1589" s="31" t="inlineStr">
        <x:is>
          <x:t xml:space="preserve">Запланировано</x:t>
        </x:is>
      </x:c>
      <x:c r="R1589" s="31" t="inlineStr">
        <x:is>
          <x:t xml:space="preserve">Нет</x:t>
        </x:is>
      </x:c>
      <x:c r="S1589" s="31" t="inlineStr">
        <x:is>
          <x:t xml:space="preserve">Да</x:t>
        </x:is>
      </x:c>
    </x:row>
    <x:row r="1590">
      <x:c r="A1590" s="31" t="inlineStr">
        <x:is>
          <x:t xml:space="preserve">ОП-001589</x:t>
        </x:is>
      </x:c>
      <x:c r="B1590" s="31" t="inlineStr">
        <x:is>
          <x:t xml:space="preserve">ПЗ-00190</x:t>
        </x:is>
      </x:c>
      <x:c r="C1590" s="31" t="inlineStr">
        <x:is>
          <x:t xml:space="preserve">ЗК-1092</x:t>
        </x:is>
      </x:c>
      <x:c r="D1590" s="31" t="inlineStr">
        <x:is>
          <x:t xml:space="preserve">ПОЗ-0092-3</x:t>
        </x:is>
      </x:c>
      <x:c r="E1590" s="31" t="inlineStr">
        <x:is>
          <x:t xml:space="preserve">ИЗД-018</x:t>
        </x:is>
      </x:c>
      <x:c r="F1590" s="31" t="n">
        <x:v>80</x:v>
      </x:c>
      <x:c r="G1590" s="31" t="inlineStr">
        <x:is>
          <x:t xml:space="preserve">ОТК</x:t>
        </x:is>
      </x:c>
      <x:c r="H1590" s="31" t="inlineStr">
        <x:is>
          <x:t xml:space="preserve">ОТК</x:t>
        </x:is>
      </x:c>
      <x:c r="I1590" s="31" t="inlineStr">
        <x:is>
          <x:t xml:space="preserve">ОБ-006</x:t>
        </x:is>
      </x:c>
      <x:c r="J1590" s="31" t="inlineStr">
        <x:is>
          <x:t xml:space="preserve">СОТР-098</x:t>
        </x:is>
      </x:c>
      <x:c r="K1590" s="31" t="n">
        <x:v>9.300000000000001</x:v>
      </x:c>
      <x:c r="L1590" s="31" t="n"/>
      <x:c r="M1590" s="31" t="n">
        <x:v>46159</x:v>
      </x:c>
      <x:c r="N1590" s="31" t="n">
        <x:v>46160</x:v>
      </x:c>
      <x:c r="O1590" s="31" t="n"/>
      <x:c r="P1590" s="31" t="n"/>
      <x:c r="Q1590" s="31" t="inlineStr">
        <x:is>
          <x:t xml:space="preserve">Запланировано</x:t>
        </x:is>
      </x:c>
      <x:c r="R1590" s="31" t="inlineStr">
        <x:is>
          <x:t xml:space="preserve">Нет</x:t>
        </x:is>
      </x:c>
      <x:c r="S1590" s="31" t="inlineStr">
        <x:is>
          <x:t xml:space="preserve">Нет</x:t>
        </x:is>
      </x:c>
    </x:row>
    <x:row r="1591">
      <x:c r="A1591" s="31" t="inlineStr">
        <x:is>
          <x:t xml:space="preserve">ОП-001590</x:t>
        </x:is>
      </x:c>
      <x:c r="B1591" s="31" t="inlineStr">
        <x:is>
          <x:t xml:space="preserve">ПЗ-00190</x:t>
        </x:is>
      </x:c>
      <x:c r="C1591" s="31" t="inlineStr">
        <x:is>
          <x:t xml:space="preserve">ЗК-1092</x:t>
        </x:is>
      </x:c>
      <x:c r="D1591" s="31" t="inlineStr">
        <x:is>
          <x:t xml:space="preserve">ПОЗ-0092-3</x:t>
        </x:is>
      </x:c>
      <x:c r="E1591" s="31" t="inlineStr">
        <x:is>
          <x:t xml:space="preserve">ИЗД-018</x:t>
        </x:is>
      </x:c>
      <x:c r="F1591" s="31" t="n">
        <x:v>90</x:v>
      </x:c>
      <x:c r="G1591" s="31" t="inlineStr">
        <x:is>
          <x:t xml:space="preserve">Упаковка</x:t>
        </x:is>
      </x:c>
      <x:c r="H1591" s="31" t="inlineStr">
        <x:is>
          <x:t xml:space="preserve">Логистика</x:t>
        </x:is>
      </x:c>
      <x:c r="I1591" s="31" t="n"/>
      <x:c r="J1591" s="31" t="inlineStr">
        <x:is>
          <x:t xml:space="preserve">СОТР-101</x:t>
        </x:is>
      </x:c>
      <x:c r="K1591" s="31" t="n">
        <x:v>6.9</x:v>
      </x:c>
      <x:c r="L1591" s="31" t="n"/>
      <x:c r="M1591" s="31" t="n">
        <x:v>46160</x:v>
      </x:c>
      <x:c r="N1591" s="31" t="n">
        <x:v>46161</x:v>
      </x:c>
      <x:c r="O1591" s="31" t="n"/>
      <x:c r="P1591" s="31" t="n"/>
      <x:c r="Q1591" s="31" t="inlineStr">
        <x:is>
          <x:t xml:space="preserve">Запланировано</x:t>
        </x:is>
      </x:c>
      <x:c r="R1591" s="31" t="inlineStr">
        <x:is>
          <x:t xml:space="preserve">Нет</x:t>
        </x:is>
      </x:c>
      <x:c r="S1591" s="31" t="inlineStr">
        <x:is>
          <x:t xml:space="preserve">Нет</x:t>
        </x:is>
      </x:c>
    </x:row>
    <x:row r="1592">
      <x:c r="A1592" s="31" t="inlineStr">
        <x:is>
          <x:t xml:space="preserve">ОП-001591</x:t>
        </x:is>
      </x:c>
      <x:c r="B1592" s="31" t="inlineStr">
        <x:is>
          <x:t xml:space="preserve">ПЗ-00191</x:t>
        </x:is>
      </x:c>
      <x:c r="C1592" s="31" t="inlineStr">
        <x:is>
          <x:t xml:space="preserve">ЗК-1092</x:t>
        </x:is>
      </x:c>
      <x:c r="D1592" s="31" t="inlineStr">
        <x:is>
          <x:t xml:space="preserve">ПОЗ-0092-4</x:t>
        </x:is>
      </x:c>
      <x:c r="E1592" s="31" t="inlineStr">
        <x:is>
          <x:t xml:space="preserve">ИЗД-021</x:t>
        </x:is>
      </x:c>
      <x:c r="F1592" s="31" t="n">
        <x:v>10</x:v>
      </x:c>
      <x:c r="G1592" s="31" t="inlineStr">
        <x:is>
          <x:t xml:space="preserve">КД</x:t>
        </x:is>
      </x:c>
      <x:c r="H1592" s="31" t="inlineStr">
        <x:is>
          <x:t xml:space="preserve">Инженерный отдел</x:t>
        </x:is>
      </x:c>
      <x:c r="I1592" s="31" t="n"/>
      <x:c r="J1592" s="31" t="inlineStr">
        <x:is>
          <x:t xml:space="preserve">СОТР-019</x:t>
        </x:is>
      </x:c>
      <x:c r="K1592" s="31" t="n">
        <x:v>14.4</x:v>
      </x:c>
      <x:c r="L1592" s="31" t="n"/>
      <x:c r="M1592" s="31" t="n">
        <x:v>46143</x:v>
      </x:c>
      <x:c r="N1592" s="31" t="n">
        <x:v>46145</x:v>
      </x:c>
      <x:c r="O1592" s="31" t="n"/>
      <x:c r="P1592" s="31" t="n"/>
      <x:c r="Q1592" s="31" t="inlineStr">
        <x:is>
          <x:t xml:space="preserve">Запланировано</x:t>
        </x:is>
      </x:c>
      <x:c r="R1592" s="31" t="inlineStr">
        <x:is>
          <x:t xml:space="preserve">Нет</x:t>
        </x:is>
      </x:c>
      <x:c r="S1592" s="31" t="inlineStr">
        <x:is>
          <x:t xml:space="preserve">Нет</x:t>
        </x:is>
      </x:c>
    </x:row>
    <x:row r="1593">
      <x:c r="A1593" s="31" t="inlineStr">
        <x:is>
          <x:t xml:space="preserve">ОП-001592</x:t>
        </x:is>
      </x:c>
      <x:c r="B1593" s="31" t="inlineStr">
        <x:is>
          <x:t xml:space="preserve">ПЗ-00191</x:t>
        </x:is>
      </x:c>
      <x:c r="C1593" s="31" t="inlineStr">
        <x:is>
          <x:t xml:space="preserve">ЗК-1092</x:t>
        </x:is>
      </x:c>
      <x:c r="D1593" s="31" t="inlineStr">
        <x:is>
          <x:t xml:space="preserve">ПОЗ-0092-4</x:t>
        </x:is>
      </x:c>
      <x:c r="E1593" s="31" t="inlineStr">
        <x:is>
          <x:t xml:space="preserve">ИЗД-021</x:t>
        </x:is>
      </x:c>
      <x:c r="F1593" s="31" t="n">
        <x:v>20</x:v>
      </x:c>
      <x:c r="G1593" s="31" t="inlineStr">
        <x:is>
          <x:t xml:space="preserve">Резерв материалов</x:t>
        </x:is>
      </x:c>
      <x:c r="H1593" s="31" t="inlineStr">
        <x:is>
          <x:t xml:space="preserve">Склад</x:t>
        </x:is>
      </x:c>
      <x:c r="I1593" s="31" t="inlineStr">
        <x:is>
          <x:t xml:space="preserve">ОБ-023</x:t>
        </x:is>
      </x:c>
      <x:c r="J1593" s="31" t="inlineStr">
        <x:is>
          <x:t xml:space="preserve">СОТР-024</x:t>
        </x:is>
      </x:c>
      <x:c r="K1593" s="31" t="n">
        <x:v>70.8</x:v>
      </x:c>
      <x:c r="L1593" s="31" t="n"/>
      <x:c r="M1593" s="31" t="n">
        <x:v>46145</x:v>
      </x:c>
      <x:c r="N1593" s="31" t="n">
        <x:v>46151</x:v>
      </x:c>
      <x:c r="O1593" s="31" t="n"/>
      <x:c r="P1593" s="31" t="n"/>
      <x:c r="Q1593" s="31" t="inlineStr">
        <x:is>
          <x:t xml:space="preserve">Запланировано</x:t>
        </x:is>
      </x:c>
      <x:c r="R1593" s="31" t="inlineStr">
        <x:is>
          <x:t xml:space="preserve">Нет</x:t>
        </x:is>
      </x:c>
      <x:c r="S1593" s="31" t="inlineStr">
        <x:is>
          <x:t xml:space="preserve">Нет</x:t>
        </x:is>
      </x:c>
    </x:row>
    <x:row r="1594">
      <x:c r="A1594" s="31" t="inlineStr">
        <x:is>
          <x:t xml:space="preserve">ОП-001593</x:t>
        </x:is>
      </x:c>
      <x:c r="B1594" s="31" t="inlineStr">
        <x:is>
          <x:t xml:space="preserve">ПЗ-00191</x:t>
        </x:is>
      </x:c>
      <x:c r="C1594" s="31" t="inlineStr">
        <x:is>
          <x:t xml:space="preserve">ЗК-1092</x:t>
        </x:is>
      </x:c>
      <x:c r="D1594" s="31" t="inlineStr">
        <x:is>
          <x:t xml:space="preserve">ПОЗ-0092-4</x:t>
        </x:is>
      </x:c>
      <x:c r="E1594" s="31" t="inlineStr">
        <x:is>
          <x:t xml:space="preserve">ИЗД-021</x:t>
        </x:is>
      </x:c>
      <x:c r="F1594" s="31" t="n">
        <x:v>30</x:v>
      </x:c>
      <x:c r="G1594" s="31" t="inlineStr">
        <x:is>
          <x:t xml:space="preserve">Сварка рамы</x:t>
        </x:is>
      </x:c>
      <x:c r="H1594" s="31" t="inlineStr">
        <x:is>
          <x:t xml:space="preserve">Сварка</x:t>
        </x:is>
      </x:c>
      <x:c r="I1594" s="31" t="inlineStr">
        <x:is>
          <x:t xml:space="preserve">ОБ-010</x:t>
        </x:is>
      </x:c>
      <x:c r="J1594" s="31" t="inlineStr">
        <x:is>
          <x:t xml:space="preserve">СОТР-067</x:t>
        </x:is>
      </x:c>
      <x:c r="K1594" s="31" t="n">
        <x:v>70</x:v>
      </x:c>
      <x:c r="L1594" s="31" t="n"/>
      <x:c r="M1594" s="31" t="n">
        <x:v>46151</x:v>
      </x:c>
      <x:c r="N1594" s="31" t="n">
        <x:v>46157</x:v>
      </x:c>
      <x:c r="O1594" s="31" t="n"/>
      <x:c r="P1594" s="31" t="n"/>
      <x:c r="Q1594" s="31" t="inlineStr">
        <x:is>
          <x:t xml:space="preserve">Запланировано</x:t>
        </x:is>
      </x:c>
      <x:c r="R1594" s="31" t="inlineStr">
        <x:is>
          <x:t xml:space="preserve">Нет</x:t>
        </x:is>
      </x:c>
      <x:c r="S1594" s="31" t="inlineStr">
        <x:is>
          <x:t xml:space="preserve">Нет</x:t>
        </x:is>
      </x:c>
    </x:row>
    <x:row r="1595">
      <x:c r="A1595" s="31" t="inlineStr">
        <x:is>
          <x:t xml:space="preserve">ОП-001594</x:t>
        </x:is>
      </x:c>
      <x:c r="B1595" s="31" t="inlineStr">
        <x:is>
          <x:t xml:space="preserve">ПЗ-00191</x:t>
        </x:is>
      </x:c>
      <x:c r="C1595" s="31" t="inlineStr">
        <x:is>
          <x:t xml:space="preserve">ЗК-1092</x:t>
        </x:is>
      </x:c>
      <x:c r="D1595" s="31" t="inlineStr">
        <x:is>
          <x:t xml:space="preserve">ПОЗ-0092-4</x:t>
        </x:is>
      </x:c>
      <x:c r="E1595" s="31" t="inlineStr">
        <x:is>
          <x:t xml:space="preserve">ИЗД-021</x:t>
        </x:is>
      </x:c>
      <x:c r="F1595" s="31" t="n">
        <x:v>40</x:v>
      </x:c>
      <x:c r="G1595" s="31" t="inlineStr">
        <x:is>
          <x:t xml:space="preserve">Сборка</x:t>
        </x:is>
      </x:c>
      <x:c r="H1595" s="31" t="inlineStr">
        <x:is>
          <x:t xml:space="preserve">Сборка</x:t>
        </x:is>
      </x:c>
      <x:c r="I1595" s="31" t="inlineStr">
        <x:is>
          <x:t xml:space="preserve">ОБ-034</x:t>
        </x:is>
      </x:c>
      <x:c r="J1595" s="31" t="inlineStr">
        <x:is>
          <x:t xml:space="preserve">СОТР-088</x:t>
        </x:is>
      </x:c>
      <x:c r="K1595" s="31" t="n">
        <x:v>58</x:v>
      </x:c>
      <x:c r="L1595" s="31" t="n"/>
      <x:c r="M1595" s="31" t="n">
        <x:v>46157</x:v>
      </x:c>
      <x:c r="N1595" s="31" t="n">
        <x:v>46162</x:v>
      </x:c>
      <x:c r="O1595" s="31" t="n"/>
      <x:c r="P1595" s="31" t="n"/>
      <x:c r="Q1595" s="31" t="inlineStr">
        <x:is>
          <x:t xml:space="preserve">Запланировано</x:t>
        </x:is>
      </x:c>
      <x:c r="R1595" s="31" t="inlineStr">
        <x:is>
          <x:t xml:space="preserve">Нет</x:t>
        </x:is>
      </x:c>
      <x:c r="S1595" s="31" t="inlineStr">
        <x:is>
          <x:t xml:space="preserve">Нет</x:t>
        </x:is>
      </x:c>
    </x:row>
    <x:row r="1596">
      <x:c r="A1596" s="31" t="inlineStr">
        <x:is>
          <x:t xml:space="preserve">ОП-001595</x:t>
        </x:is>
      </x:c>
      <x:c r="B1596" s="31" t="inlineStr">
        <x:is>
          <x:t xml:space="preserve">ПЗ-00191</x:t>
        </x:is>
      </x:c>
      <x:c r="C1596" s="31" t="inlineStr">
        <x:is>
          <x:t xml:space="preserve">ЗК-1092</x:t>
        </x:is>
      </x:c>
      <x:c r="D1596" s="31" t="inlineStr">
        <x:is>
          <x:t xml:space="preserve">ПОЗ-0092-4</x:t>
        </x:is>
      </x:c>
      <x:c r="E1596" s="31" t="inlineStr">
        <x:is>
          <x:t xml:space="preserve">ИЗД-021</x:t>
        </x:is>
      </x:c>
      <x:c r="F1596" s="31" t="n">
        <x:v>50</x:v>
      </x:c>
      <x:c r="G1596" s="31" t="inlineStr">
        <x:is>
          <x:t xml:space="preserve">Обвязка труб</x:t>
        </x:is>
      </x:c>
      <x:c r="H1596" s="31" t="inlineStr">
        <x:is>
          <x:t xml:space="preserve">Сборка</x:t>
        </x:is>
      </x:c>
      <x:c r="I1596" s="31" t="inlineStr">
        <x:is>
          <x:t xml:space="preserve">ОБ-005</x:t>
        </x:is>
      </x:c>
      <x:c r="J1596" s="31" t="inlineStr">
        <x:is>
          <x:t xml:space="preserve">СОТР-090</x:t>
        </x:is>
      </x:c>
      <x:c r="K1596" s="31" t="n">
        <x:v>60.4</x:v>
      </x:c>
      <x:c r="L1596" s="31" t="n"/>
      <x:c r="M1596" s="31" t="n">
        <x:v>46162</x:v>
      </x:c>
      <x:c r="N1596" s="31" t="n">
        <x:v>46168</x:v>
      </x:c>
      <x:c r="O1596" s="31" t="n"/>
      <x:c r="P1596" s="31" t="n"/>
      <x:c r="Q1596" s="31" t="inlineStr">
        <x:is>
          <x:t xml:space="preserve">Запланировано</x:t>
        </x:is>
      </x:c>
      <x:c r="R1596" s="31" t="inlineStr">
        <x:is>
          <x:t xml:space="preserve">Нет</x:t>
        </x:is>
      </x:c>
      <x:c r="S1596" s="31" t="inlineStr">
        <x:is>
          <x:t xml:space="preserve">Нет</x:t>
        </x:is>
      </x:c>
    </x:row>
    <x:row r="1597">
      <x:c r="A1597" s="31" t="inlineStr">
        <x:is>
          <x:t xml:space="preserve">ОП-001596</x:t>
        </x:is>
      </x:c>
      <x:c r="B1597" s="31" t="inlineStr">
        <x:is>
          <x:t xml:space="preserve">ПЗ-00191</x:t>
        </x:is>
      </x:c>
      <x:c r="C1597" s="31" t="inlineStr">
        <x:is>
          <x:t xml:space="preserve">ЗК-1092</x:t>
        </x:is>
      </x:c>
      <x:c r="D1597" s="31" t="inlineStr">
        <x:is>
          <x:t xml:space="preserve">ПОЗ-0092-4</x:t>
        </x:is>
      </x:c>
      <x:c r="E1597" s="31" t="inlineStr">
        <x:is>
          <x:t xml:space="preserve">ИЗД-021</x:t>
        </x:is>
      </x:c>
      <x:c r="F1597" s="31" t="n">
        <x:v>60</x:v>
      </x:c>
      <x:c r="G1597" s="31" t="inlineStr">
        <x:is>
          <x:t xml:space="preserve">Электромонтаж</x:t>
        </x:is>
      </x:c>
      <x:c r="H1597" s="31" t="inlineStr">
        <x:is>
          <x:t xml:space="preserve">Сборка</x:t>
        </x:is>
      </x:c>
      <x:c r="I1597" s="31" t="inlineStr">
        <x:is>
          <x:t xml:space="preserve">ОБ-012</x:t>
        </x:is>
      </x:c>
      <x:c r="J1597" s="31" t="inlineStr">
        <x:is>
          <x:t xml:space="preserve">СОТР-080</x:t>
        </x:is>
      </x:c>
      <x:c r="K1597" s="31" t="n">
        <x:v>54</x:v>
      </x:c>
      <x:c r="L1597" s="31" t="n"/>
      <x:c r="M1597" s="31" t="n">
        <x:v>46168</x:v>
      </x:c>
      <x:c r="N1597" s="31" t="n">
        <x:v>46173</x:v>
      </x:c>
      <x:c r="O1597" s="31" t="n"/>
      <x:c r="P1597" s="31" t="n"/>
      <x:c r="Q1597" s="31" t="inlineStr">
        <x:is>
          <x:t xml:space="preserve">Запланировано</x:t>
        </x:is>
      </x:c>
      <x:c r="R1597" s="31" t="inlineStr">
        <x:is>
          <x:t xml:space="preserve">Нет</x:t>
        </x:is>
      </x:c>
      <x:c r="S1597" s="31" t="inlineStr">
        <x:is>
          <x:t xml:space="preserve">Нет</x:t>
        </x:is>
      </x:c>
    </x:row>
    <x:row r="1598">
      <x:c r="A1598" s="31" t="inlineStr">
        <x:is>
          <x:t xml:space="preserve">ОП-001597</x:t>
        </x:is>
      </x:c>
      <x:c r="B1598" s="31" t="inlineStr">
        <x:is>
          <x:t xml:space="preserve">ПЗ-00191</x:t>
        </x:is>
      </x:c>
      <x:c r="C1598" s="31" t="inlineStr">
        <x:is>
          <x:t xml:space="preserve">ЗК-1092</x:t>
        </x:is>
      </x:c>
      <x:c r="D1598" s="31" t="inlineStr">
        <x:is>
          <x:t xml:space="preserve">ПОЗ-0092-4</x:t>
        </x:is>
      </x:c>
      <x:c r="E1598" s="31" t="inlineStr">
        <x:is>
          <x:t xml:space="preserve">ИЗД-021</x:t>
        </x:is>
      </x:c>
      <x:c r="F1598" s="31" t="n">
        <x:v>70</x:v>
      </x:c>
      <x:c r="G1598" s="31" t="inlineStr">
        <x:is>
          <x:t xml:space="preserve">Гидроиспытания</x:t>
        </x:is>
      </x:c>
      <x:c r="H1598" s="31" t="inlineStr">
        <x:is>
          <x:t xml:space="preserve">ОТК</x:t>
        </x:is>
      </x:c>
      <x:c r="I1598" s="31" t="inlineStr">
        <x:is>
          <x:t xml:space="preserve">ОБ-032</x:t>
        </x:is>
      </x:c>
      <x:c r="J1598" s="31" t="inlineStr">
        <x:is>
          <x:t xml:space="preserve">СОТР-099</x:t>
        </x:is>
      </x:c>
      <x:c r="K1598" s="31" t="n">
        <x:v>33.6</x:v>
      </x:c>
      <x:c r="L1598" s="31" t="n"/>
      <x:c r="M1598" s="31" t="n">
        <x:v>46173</x:v>
      </x:c>
      <x:c r="N1598" s="31" t="n">
        <x:v>46176</x:v>
      </x:c>
      <x:c r="O1598" s="31" t="n"/>
      <x:c r="P1598" s="31" t="n"/>
      <x:c r="Q1598" s="31" t="inlineStr">
        <x:is>
          <x:t xml:space="preserve">Запланировано</x:t>
        </x:is>
      </x:c>
      <x:c r="R1598" s="31" t="inlineStr">
        <x:is>
          <x:t xml:space="preserve">Нет</x:t>
        </x:is>
      </x:c>
      <x:c r="S1598" s="31" t="inlineStr">
        <x:is>
          <x:t xml:space="preserve">Нет</x:t>
        </x:is>
      </x:c>
    </x:row>
    <x:row r="1599">
      <x:c r="A1599" s="31" t="inlineStr">
        <x:is>
          <x:t xml:space="preserve">ОП-001598</x:t>
        </x:is>
      </x:c>
      <x:c r="B1599" s="31" t="inlineStr">
        <x:is>
          <x:t xml:space="preserve">ПЗ-00191</x:t>
        </x:is>
      </x:c>
      <x:c r="C1599" s="31" t="inlineStr">
        <x:is>
          <x:t xml:space="preserve">ЗК-1092</x:t>
        </x:is>
      </x:c>
      <x:c r="D1599" s="31" t="inlineStr">
        <x:is>
          <x:t xml:space="preserve">ПОЗ-0092-4</x:t>
        </x:is>
      </x:c>
      <x:c r="E1599" s="31" t="inlineStr">
        <x:is>
          <x:t xml:space="preserve">ИЗД-021</x:t>
        </x:is>
      </x:c>
      <x:c r="F1599" s="31" t="n">
        <x:v>80</x:v>
      </x:c>
      <x:c r="G1599" s="31" t="inlineStr">
        <x:is>
          <x:t xml:space="preserve">ОТК</x:t>
        </x:is>
      </x:c>
      <x:c r="H1599" s="31" t="inlineStr">
        <x:is>
          <x:t xml:space="preserve">ОТК</x:t>
        </x:is>
      </x:c>
      <x:c r="I1599" s="31" t="inlineStr">
        <x:is>
          <x:t xml:space="preserve">ОБ-033</x:t>
        </x:is>
      </x:c>
      <x:c r="J1599" s="31" t="inlineStr">
        <x:is>
          <x:t xml:space="preserve">СОТР-093</x:t>
        </x:is>
      </x:c>
      <x:c r="K1599" s="31" t="n">
        <x:v>9.6</x:v>
      </x:c>
      <x:c r="L1599" s="31" t="n"/>
      <x:c r="M1599" s="31" t="n">
        <x:v>46176</x:v>
      </x:c>
      <x:c r="N1599" s="31" t="n">
        <x:v>46177</x:v>
      </x:c>
      <x:c r="O1599" s="31" t="n"/>
      <x:c r="P1599" s="31" t="n"/>
      <x:c r="Q1599" s="31" t="inlineStr">
        <x:is>
          <x:t xml:space="preserve">Запланировано</x:t>
        </x:is>
      </x:c>
      <x:c r="R1599" s="31" t="inlineStr">
        <x:is>
          <x:t xml:space="preserve">Нет</x:t>
        </x:is>
      </x:c>
      <x:c r="S1599" s="31" t="inlineStr">
        <x:is>
          <x:t xml:space="preserve">Нет</x:t>
        </x:is>
      </x:c>
    </x:row>
    <x:row r="1600">
      <x:c r="A1600" s="31" t="inlineStr">
        <x:is>
          <x:t xml:space="preserve">ОП-001599</x:t>
        </x:is>
      </x:c>
      <x:c r="B1600" s="31" t="inlineStr">
        <x:is>
          <x:t xml:space="preserve">ПЗ-00191</x:t>
        </x:is>
      </x:c>
      <x:c r="C1600" s="31" t="inlineStr">
        <x:is>
          <x:t xml:space="preserve">ЗК-1092</x:t>
        </x:is>
      </x:c>
      <x:c r="D1600" s="31" t="inlineStr">
        <x:is>
          <x:t xml:space="preserve">ПОЗ-0092-4</x:t>
        </x:is>
      </x:c>
      <x:c r="E1600" s="31" t="inlineStr">
        <x:is>
          <x:t xml:space="preserve">ИЗД-021</x:t>
        </x:is>
      </x:c>
      <x:c r="F1600" s="31" t="n">
        <x:v>90</x:v>
      </x:c>
      <x:c r="G1600" s="31" t="inlineStr">
        <x:is>
          <x:t xml:space="preserve">Упаковка</x:t>
        </x:is>
      </x:c>
      <x:c r="H1600" s="31" t="inlineStr">
        <x:is>
          <x:t xml:space="preserve">Логистика</x:t>
        </x:is>
      </x:c>
      <x:c r="I1600" s="31" t="n"/>
      <x:c r="J1600" s="31" t="inlineStr">
        <x:is>
          <x:t xml:space="preserve">СОТР-105</x:t>
        </x:is>
      </x:c>
      <x:c r="K1600" s="31" t="n">
        <x:v>68.8</x:v>
      </x:c>
      <x:c r="L1600" s="31" t="n"/>
      <x:c r="M1600" s="31" t="n">
        <x:v>46177</x:v>
      </x:c>
      <x:c r="N1600" s="31" t="n">
        <x:v>46183</x:v>
      </x:c>
      <x:c r="O1600" s="31" t="n"/>
      <x:c r="P1600" s="31" t="n"/>
      <x:c r="Q1600" s="31" t="inlineStr">
        <x:is>
          <x:t xml:space="preserve">Запланировано</x:t>
        </x:is>
      </x:c>
      <x:c r="R1600" s="31" t="inlineStr">
        <x:is>
          <x:t xml:space="preserve">Нет</x:t>
        </x:is>
      </x:c>
      <x:c r="S1600" s="31" t="inlineStr">
        <x:is>
          <x:t xml:space="preserve">Нет</x:t>
        </x:is>
      </x:c>
    </x:row>
    <x:row r="1601">
      <x:c r="A1601" s="31" t="inlineStr">
        <x:is>
          <x:t xml:space="preserve">ОП-001600</x:t>
        </x:is>
      </x:c>
      <x:c r="B1601" s="31" t="inlineStr">
        <x:is>
          <x:t xml:space="preserve">ПЗ-00192</x:t>
        </x:is>
      </x:c>
      <x:c r="C1601" s="31" t="inlineStr">
        <x:is>
          <x:t xml:space="preserve">ЗК-1093</x:t>
        </x:is>
      </x:c>
      <x:c r="D1601" s="31" t="inlineStr">
        <x:is>
          <x:t xml:space="preserve">ПОЗ-0093-1</x:t>
        </x:is>
      </x:c>
      <x:c r="E1601" s="31" t="inlineStr">
        <x:is>
          <x:t xml:space="preserve">ИЗД-043</x:t>
        </x:is>
      </x:c>
      <x:c r="F1601" s="31" t="n">
        <x:v>10</x:v>
      </x:c>
      <x:c r="G1601" s="31" t="inlineStr">
        <x:is>
          <x:t xml:space="preserve">КД</x:t>
        </x:is>
      </x:c>
      <x:c r="H1601" s="31" t="inlineStr">
        <x:is>
          <x:t xml:space="preserve">Инженерный отдел</x:t>
        </x:is>
      </x:c>
      <x:c r="I1601" s="31" t="n"/>
      <x:c r="J1601" s="31" t="inlineStr">
        <x:is>
          <x:t xml:space="preserve">СОТР-014</x:t>
        </x:is>
      </x:c>
      <x:c r="K1601" s="31" t="n">
        <x:v>8</x:v>
      </x:c>
      <x:c r="L1601" s="31" t="n"/>
      <x:c r="M1601" s="31" t="n">
        <x:v>46102</x:v>
      </x:c>
      <x:c r="N1601" s="31" t="n">
        <x:v>46103</x:v>
      </x:c>
      <x:c r="O1601" s="31" t="n"/>
      <x:c r="P1601" s="31" t="n"/>
      <x:c r="Q1601" s="31" t="inlineStr">
        <x:is>
          <x:t xml:space="preserve">Запланировано</x:t>
        </x:is>
      </x:c>
      <x:c r="R1601" s="31" t="inlineStr">
        <x:is>
          <x:t xml:space="preserve">Материал</x:t>
        </x:is>
      </x:c>
      <x:c r="S1601" s="31" t="inlineStr">
        <x:is>
          <x:t xml:space="preserve">Нет</x:t>
        </x:is>
      </x:c>
    </x:row>
    <x:row r="1602">
      <x:c r="A1602" s="31" t="inlineStr">
        <x:is>
          <x:t xml:space="preserve">ОП-001601</x:t>
        </x:is>
      </x:c>
      <x:c r="B1602" s="31" t="inlineStr">
        <x:is>
          <x:t xml:space="preserve">ПЗ-00192</x:t>
        </x:is>
      </x:c>
      <x:c r="C1602" s="31" t="inlineStr">
        <x:is>
          <x:t xml:space="preserve">ЗК-1093</x:t>
        </x:is>
      </x:c>
      <x:c r="D1602" s="31" t="inlineStr">
        <x:is>
          <x:t xml:space="preserve">ПОЗ-0093-1</x:t>
        </x:is>
      </x:c>
      <x:c r="E1602" s="31" t="inlineStr">
        <x:is>
          <x:t xml:space="preserve">ИЗД-043</x:t>
        </x:is>
      </x:c>
      <x:c r="F1602" s="31" t="n">
        <x:v>20</x:v>
      </x:c>
      <x:c r="G1602" s="31" t="inlineStr">
        <x:is>
          <x:t xml:space="preserve">Резерв материалов</x:t>
        </x:is>
      </x:c>
      <x:c r="H1602" s="31" t="inlineStr">
        <x:is>
          <x:t xml:space="preserve">Склад</x:t>
        </x:is>
      </x:c>
      <x:c r="I1602" s="31" t="inlineStr">
        <x:is>
          <x:t xml:space="preserve">ОБ-008</x:t>
        </x:is>
      </x:c>
      <x:c r="J1602" s="31" t="inlineStr">
        <x:is>
          <x:t xml:space="preserve">СОТР-035</x:t>
        </x:is>
      </x:c>
      <x:c r="K1602" s="31" t="n">
        <x:v>9.800000000000001</x:v>
      </x:c>
      <x:c r="L1602" s="31" t="n"/>
      <x:c r="M1602" s="31" t="n">
        <x:v>46103</x:v>
      </x:c>
      <x:c r="N1602" s="31" t="n">
        <x:v>46104</x:v>
      </x:c>
      <x:c r="O1602" s="31" t="n"/>
      <x:c r="P1602" s="31" t="n"/>
      <x:c r="Q1602" s="31" t="inlineStr">
        <x:is>
          <x:t xml:space="preserve">Запланировано</x:t>
        </x:is>
      </x:c>
      <x:c r="R1602" s="31" t="inlineStr">
        <x:is>
          <x:t xml:space="preserve">Нет</x:t>
        </x:is>
      </x:c>
      <x:c r="S1602" s="31" t="inlineStr">
        <x:is>
          <x:t xml:space="preserve">Нет</x:t>
        </x:is>
      </x:c>
    </x:row>
    <x:row r="1603">
      <x:c r="A1603" s="31" t="inlineStr">
        <x:is>
          <x:t xml:space="preserve">ОП-001602</x:t>
        </x:is>
      </x:c>
      <x:c r="B1603" s="31" t="inlineStr">
        <x:is>
          <x:t xml:space="preserve">ПЗ-00192</x:t>
        </x:is>
      </x:c>
      <x:c r="C1603" s="31" t="inlineStr">
        <x:is>
          <x:t xml:space="preserve">ЗК-1093</x:t>
        </x:is>
      </x:c>
      <x:c r="D1603" s="31" t="inlineStr">
        <x:is>
          <x:t xml:space="preserve">ПОЗ-0093-1</x:t>
        </x:is>
      </x:c>
      <x:c r="E1603" s="31" t="inlineStr">
        <x:is>
          <x:t xml:space="preserve">ИЗД-043</x:t>
        </x:is>
      </x:c>
      <x:c r="F1603" s="31" t="n">
        <x:v>30</x:v>
      </x:c>
      <x:c r="G1603" s="31" t="inlineStr">
        <x:is>
          <x:t xml:space="preserve">Резка металла</x:t>
        </x:is>
      </x:c>
      <x:c r="H1603" s="31" t="inlineStr">
        <x:is>
          <x:t xml:space="preserve">Сварка</x:t>
        </x:is>
      </x:c>
      <x:c r="I1603" s="31" t="inlineStr">
        <x:is>
          <x:t xml:space="preserve">ОБ-004</x:t>
        </x:is>
      </x:c>
      <x:c r="J1603" s="31" t="inlineStr">
        <x:is>
          <x:t xml:space="preserve">СОТР-072</x:t>
        </x:is>
      </x:c>
      <x:c r="K1603" s="31" t="n">
        <x:v>11.4</x:v>
      </x:c>
      <x:c r="L1603" s="31" t="n"/>
      <x:c r="M1603" s="31" t="n">
        <x:v>46104</x:v>
      </x:c>
      <x:c r="N1603" s="31" t="n">
        <x:v>46105</x:v>
      </x:c>
      <x:c r="O1603" s="31" t="n"/>
      <x:c r="P1603" s="31" t="n"/>
      <x:c r="Q1603" s="31" t="inlineStr">
        <x:is>
          <x:t xml:space="preserve">Запланировано</x:t>
        </x:is>
      </x:c>
      <x:c r="R1603" s="31" t="inlineStr">
        <x:is>
          <x:t xml:space="preserve">Нет</x:t>
        </x:is>
      </x:c>
      <x:c r="S1603" s="31" t="inlineStr">
        <x:is>
          <x:t xml:space="preserve">Да</x:t>
        </x:is>
      </x:c>
    </x:row>
    <x:row r="1604">
      <x:c r="A1604" s="31" t="inlineStr">
        <x:is>
          <x:t xml:space="preserve">ОП-001603</x:t>
        </x:is>
      </x:c>
      <x:c r="B1604" s="31" t="inlineStr">
        <x:is>
          <x:t xml:space="preserve">ПЗ-00192</x:t>
        </x:is>
      </x:c>
      <x:c r="C1604" s="31" t="inlineStr">
        <x:is>
          <x:t xml:space="preserve">ЗК-1093</x:t>
        </x:is>
      </x:c>
      <x:c r="D1604" s="31" t="inlineStr">
        <x:is>
          <x:t xml:space="preserve">ПОЗ-0093-1</x:t>
        </x:is>
      </x:c>
      <x:c r="E1604" s="31" t="inlineStr">
        <x:is>
          <x:t xml:space="preserve">ИЗД-043</x:t>
        </x:is>
      </x:c>
      <x:c r="F1604" s="31" t="n">
        <x:v>40</x:v>
      </x:c>
      <x:c r="G1604" s="31" t="inlineStr">
        <x:is>
          <x:t xml:space="preserve">Сварка рамы</x:t>
        </x:is>
      </x:c>
      <x:c r="H1604" s="31" t="inlineStr">
        <x:is>
          <x:t xml:space="preserve">Сварка</x:t>
        </x:is>
      </x:c>
      <x:c r="I1604" s="31" t="inlineStr">
        <x:is>
          <x:t xml:space="preserve">ОБ-021</x:t>
        </x:is>
      </x:c>
      <x:c r="J1604" s="31" t="inlineStr">
        <x:is>
          <x:t xml:space="preserve">СОТР-068</x:t>
        </x:is>
      </x:c>
      <x:c r="K1604" s="31" t="n">
        <x:v>4</x:v>
      </x:c>
      <x:c r="L1604" s="31" t="n"/>
      <x:c r="M1604" s="31" t="n">
        <x:v>46105</x:v>
      </x:c>
      <x:c r="N1604" s="31" t="n">
        <x:v>46106</x:v>
      </x:c>
      <x:c r="O1604" s="31" t="n"/>
      <x:c r="P1604" s="31" t="n"/>
      <x:c r="Q1604" s="31" t="inlineStr">
        <x:is>
          <x:t xml:space="preserve">Запланировано</x:t>
        </x:is>
      </x:c>
      <x:c r="R1604" s="31" t="inlineStr">
        <x:is>
          <x:t xml:space="preserve">Нет</x:t>
        </x:is>
      </x:c>
      <x:c r="S1604" s="31" t="inlineStr">
        <x:is>
          <x:t xml:space="preserve">Нет</x:t>
        </x:is>
      </x:c>
    </x:row>
    <x:row r="1605">
      <x:c r="A1605" s="31" t="inlineStr">
        <x:is>
          <x:t xml:space="preserve">ОП-001604</x:t>
        </x:is>
      </x:c>
      <x:c r="B1605" s="31" t="inlineStr">
        <x:is>
          <x:t xml:space="preserve">ПЗ-00192</x:t>
        </x:is>
      </x:c>
      <x:c r="C1605" s="31" t="inlineStr">
        <x:is>
          <x:t xml:space="preserve">ЗК-1093</x:t>
        </x:is>
      </x:c>
      <x:c r="D1605" s="31" t="inlineStr">
        <x:is>
          <x:t xml:space="preserve">ПОЗ-0093-1</x:t>
        </x:is>
      </x:c>
      <x:c r="E1605" s="31" t="inlineStr">
        <x:is>
          <x:t xml:space="preserve">ИЗД-043</x:t>
        </x:is>
      </x:c>
      <x:c r="F1605" s="31" t="n">
        <x:v>50</x:v>
      </x:c>
      <x:c r="G1605" s="31" t="inlineStr">
        <x:is>
          <x:t xml:space="preserve">Механообработка</x:t>
        </x:is>
      </x:c>
      <x:c r="H1605" s="31" t="inlineStr">
        <x:is>
          <x:t xml:space="preserve">Механообработка</x:t>
        </x:is>
      </x:c>
      <x:c r="I1605" s="31" t="inlineStr">
        <x:is>
          <x:t xml:space="preserve">ОБ-031</x:t>
        </x:is>
      </x:c>
      <x:c r="J1605" s="31" t="inlineStr">
        <x:is>
          <x:t xml:space="preserve">СОТР-047</x:t>
        </x:is>
      </x:c>
      <x:c r="K1605" s="31" t="n">
        <x:v>10</x:v>
      </x:c>
      <x:c r="L1605" s="31" t="n"/>
      <x:c r="M1605" s="31" t="n">
        <x:v>46106</x:v>
      </x:c>
      <x:c r="N1605" s="31" t="n">
        <x:v>46107</x:v>
      </x:c>
      <x:c r="O1605" s="31" t="n"/>
      <x:c r="P1605" s="31" t="n"/>
      <x:c r="Q1605" s="31" t="inlineStr">
        <x:is>
          <x:t xml:space="preserve">Запланировано</x:t>
        </x:is>
      </x:c>
      <x:c r="R1605" s="31" t="inlineStr">
        <x:is>
          <x:t xml:space="preserve">Нет</x:t>
        </x:is>
      </x:c>
      <x:c r="S1605" s="31" t="inlineStr">
        <x:is>
          <x:t xml:space="preserve">Нет</x:t>
        </x:is>
      </x:c>
    </x:row>
    <x:row r="1606">
      <x:c r="A1606" s="31" t="inlineStr">
        <x:is>
          <x:t xml:space="preserve">ОП-001605</x:t>
        </x:is>
      </x:c>
      <x:c r="B1606" s="31" t="inlineStr">
        <x:is>
          <x:t xml:space="preserve">ПЗ-00192</x:t>
        </x:is>
      </x:c>
      <x:c r="C1606" s="31" t="inlineStr">
        <x:is>
          <x:t xml:space="preserve">ЗК-1093</x:t>
        </x:is>
      </x:c>
      <x:c r="D1606" s="31" t="inlineStr">
        <x:is>
          <x:t xml:space="preserve">ПОЗ-0093-1</x:t>
        </x:is>
      </x:c>
      <x:c r="E1606" s="31" t="inlineStr">
        <x:is>
          <x:t xml:space="preserve">ИЗД-043</x:t>
        </x:is>
      </x:c>
      <x:c r="F1606" s="31" t="n">
        <x:v>60</x:v>
      </x:c>
      <x:c r="G1606" s="31" t="inlineStr">
        <x:is>
          <x:t xml:space="preserve">Сборка</x:t>
        </x:is>
      </x:c>
      <x:c r="H1606" s="31" t="inlineStr">
        <x:is>
          <x:t xml:space="preserve">Сборка</x:t>
        </x:is>
      </x:c>
      <x:c r="I1606" s="31" t="inlineStr">
        <x:is>
          <x:t xml:space="preserve">ОБ-014</x:t>
        </x:is>
      </x:c>
      <x:c r="J1606" s="31" t="inlineStr">
        <x:is>
          <x:t xml:space="preserve">СОТР-091</x:t>
        </x:is>
      </x:c>
      <x:c r="K1606" s="31" t="n">
        <x:v>14.9</x:v>
      </x:c>
      <x:c r="L1606" s="31" t="n"/>
      <x:c r="M1606" s="31" t="n">
        <x:v>46107</x:v>
      </x:c>
      <x:c r="N1606" s="31" t="n">
        <x:v>46109</x:v>
      </x:c>
      <x:c r="O1606" s="31" t="n"/>
      <x:c r="P1606" s="31" t="n"/>
      <x:c r="Q1606" s="31" t="inlineStr">
        <x:is>
          <x:t xml:space="preserve">Запланировано</x:t>
        </x:is>
      </x:c>
      <x:c r="R1606" s="31" t="inlineStr">
        <x:is>
          <x:t xml:space="preserve">Материал</x:t>
        </x:is>
      </x:c>
      <x:c r="S1606" s="31" t="inlineStr">
        <x:is>
          <x:t xml:space="preserve">Нет</x:t>
        </x:is>
      </x:c>
    </x:row>
    <x:row r="1607">
      <x:c r="A1607" s="31" t="inlineStr">
        <x:is>
          <x:t xml:space="preserve">ОП-001606</x:t>
        </x:is>
      </x:c>
      <x:c r="B1607" s="31" t="inlineStr">
        <x:is>
          <x:t xml:space="preserve">ПЗ-00192</x:t>
        </x:is>
      </x:c>
      <x:c r="C1607" s="31" t="inlineStr">
        <x:is>
          <x:t xml:space="preserve">ЗК-1093</x:t>
        </x:is>
      </x:c>
      <x:c r="D1607" s="31" t="inlineStr">
        <x:is>
          <x:t xml:space="preserve">ПОЗ-0093-1</x:t>
        </x:is>
      </x:c>
      <x:c r="E1607" s="31" t="inlineStr">
        <x:is>
          <x:t xml:space="preserve">ИЗД-043</x:t>
        </x:is>
      </x:c>
      <x:c r="F1607" s="31" t="n">
        <x:v>70</x:v>
      </x:c>
      <x:c r="G1607" s="31" t="inlineStr">
        <x:is>
          <x:t xml:space="preserve">Электромонтаж</x:t>
        </x:is>
      </x:c>
      <x:c r="H1607" s="31" t="inlineStr">
        <x:is>
          <x:t xml:space="preserve">Сборка</x:t>
        </x:is>
      </x:c>
      <x:c r="I1607" s="31" t="inlineStr">
        <x:is>
          <x:t xml:space="preserve">ОБ-020</x:t>
        </x:is>
      </x:c>
      <x:c r="J1607" s="31" t="inlineStr">
        <x:is>
          <x:t xml:space="preserve">СОТР-079</x:t>
        </x:is>
      </x:c>
      <x:c r="K1607" s="31" t="n">
        <x:v>10.5</x:v>
      </x:c>
      <x:c r="L1607" s="31" t="n"/>
      <x:c r="M1607" s="31" t="n">
        <x:v>46109</x:v>
      </x:c>
      <x:c r="N1607" s="31" t="n">
        <x:v>46110</x:v>
      </x:c>
      <x:c r="O1607" s="31" t="n"/>
      <x:c r="P1607" s="31" t="n"/>
      <x:c r="Q1607" s="31" t="inlineStr">
        <x:is>
          <x:t xml:space="preserve">Запланировано</x:t>
        </x:is>
      </x:c>
      <x:c r="R1607" s="31" t="inlineStr">
        <x:is>
          <x:t xml:space="preserve">Нет</x:t>
        </x:is>
      </x:c>
      <x:c r="S1607" s="31" t="inlineStr">
        <x:is>
          <x:t xml:space="preserve">Нет</x:t>
        </x:is>
      </x:c>
    </x:row>
    <x:row r="1608">
      <x:c r="A1608" s="31" t="inlineStr">
        <x:is>
          <x:t xml:space="preserve">ОП-001607</x:t>
        </x:is>
      </x:c>
      <x:c r="B1608" s="31" t="inlineStr">
        <x:is>
          <x:t xml:space="preserve">ПЗ-00192</x:t>
        </x:is>
      </x:c>
      <x:c r="C1608" s="31" t="inlineStr">
        <x:is>
          <x:t xml:space="preserve">ЗК-1093</x:t>
        </x:is>
      </x:c>
      <x:c r="D1608" s="31" t="inlineStr">
        <x:is>
          <x:t xml:space="preserve">ПОЗ-0093-1</x:t>
        </x:is>
      </x:c>
      <x:c r="E1608" s="31" t="inlineStr">
        <x:is>
          <x:t xml:space="preserve">ИЗД-043</x:t>
        </x:is>
      </x:c>
      <x:c r="F1608" s="31" t="n">
        <x:v>80</x:v>
      </x:c>
      <x:c r="G1608" s="31" t="inlineStr">
        <x:is>
          <x:t xml:space="preserve">Гидроиспытания</x:t>
        </x:is>
      </x:c>
      <x:c r="H1608" s="31" t="inlineStr">
        <x:is>
          <x:t xml:space="preserve">ОТК</x:t>
        </x:is>
      </x:c>
      <x:c r="I1608" s="31" t="inlineStr">
        <x:is>
          <x:t xml:space="preserve">ОБ-028</x:t>
        </x:is>
      </x:c>
      <x:c r="J1608" s="31" t="inlineStr">
        <x:is>
          <x:t xml:space="preserve">СОТР-100</x:t>
        </x:is>
      </x:c>
      <x:c r="K1608" s="31" t="n">
        <x:v>7.7</x:v>
      </x:c>
      <x:c r="L1608" s="31" t="n"/>
      <x:c r="M1608" s="31" t="n">
        <x:v>46110</x:v>
      </x:c>
      <x:c r="N1608" s="31" t="n">
        <x:v>46111</x:v>
      </x:c>
      <x:c r="O1608" s="31" t="n"/>
      <x:c r="P1608" s="31" t="n"/>
      <x:c r="Q1608" s="31" t="inlineStr">
        <x:is>
          <x:t xml:space="preserve">Запланировано</x:t>
        </x:is>
      </x:c>
      <x:c r="R1608" s="31" t="inlineStr">
        <x:is>
          <x:t xml:space="preserve">Нет</x:t>
        </x:is>
      </x:c>
      <x:c r="S1608" s="31" t="inlineStr">
        <x:is>
          <x:t xml:space="preserve">Нет</x:t>
        </x:is>
      </x:c>
    </x:row>
    <x:row r="1609">
      <x:c r="A1609" s="31" t="inlineStr">
        <x:is>
          <x:t xml:space="preserve">ОП-001608</x:t>
        </x:is>
      </x:c>
      <x:c r="B1609" s="31" t="inlineStr">
        <x:is>
          <x:t xml:space="preserve">ПЗ-00192</x:t>
        </x:is>
      </x:c>
      <x:c r="C1609" s="31" t="inlineStr">
        <x:is>
          <x:t xml:space="preserve">ЗК-1093</x:t>
        </x:is>
      </x:c>
      <x:c r="D1609" s="31" t="inlineStr">
        <x:is>
          <x:t xml:space="preserve">ПОЗ-0093-1</x:t>
        </x:is>
      </x:c>
      <x:c r="E1609" s="31" t="inlineStr">
        <x:is>
          <x:t xml:space="preserve">ИЗД-043</x:t>
        </x:is>
      </x:c>
      <x:c r="F1609" s="31" t="n">
        <x:v>90</x:v>
      </x:c>
      <x:c r="G1609" s="31" t="inlineStr">
        <x:is>
          <x:t xml:space="preserve">ОТК</x:t>
        </x:is>
      </x:c>
      <x:c r="H1609" s="31" t="inlineStr">
        <x:is>
          <x:t xml:space="preserve">ОТК</x:t>
        </x:is>
      </x:c>
      <x:c r="I1609" s="31" t="inlineStr">
        <x:is>
          <x:t xml:space="preserve">ОБ-032</x:t>
        </x:is>
      </x:c>
      <x:c r="J1609" s="31" t="inlineStr">
        <x:is>
          <x:t xml:space="preserve">СОТР-100</x:t>
        </x:is>
      </x:c>
      <x:c r="K1609" s="31" t="n">
        <x:v>9.9</x:v>
      </x:c>
      <x:c r="L1609" s="31" t="n"/>
      <x:c r="M1609" s="31" t="n">
        <x:v>46111</x:v>
      </x:c>
      <x:c r="N1609" s="31" t="n">
        <x:v>46112</x:v>
      </x:c>
      <x:c r="O1609" s="31" t="n"/>
      <x:c r="P1609" s="31" t="n"/>
      <x:c r="Q1609" s="31" t="inlineStr">
        <x:is>
          <x:t xml:space="preserve">Запланировано</x:t>
        </x:is>
      </x:c>
      <x:c r="R1609" s="31" t="inlineStr">
        <x:is>
          <x:t xml:space="preserve">Нет</x:t>
        </x:is>
      </x:c>
      <x:c r="S1609" s="31" t="inlineStr">
        <x:is>
          <x:t xml:space="preserve">Нет</x:t>
        </x:is>
      </x:c>
    </x:row>
    <x:row r="1610">
      <x:c r="A1610" s="31" t="inlineStr">
        <x:is>
          <x:t xml:space="preserve">ОП-001609</x:t>
        </x:is>
      </x:c>
      <x:c r="B1610" s="31" t="inlineStr">
        <x:is>
          <x:t xml:space="preserve">ПЗ-00192</x:t>
        </x:is>
      </x:c>
      <x:c r="C1610" s="31" t="inlineStr">
        <x:is>
          <x:t xml:space="preserve">ЗК-1093</x:t>
        </x:is>
      </x:c>
      <x:c r="D1610" s="31" t="inlineStr">
        <x:is>
          <x:t xml:space="preserve">ПОЗ-0093-1</x:t>
        </x:is>
      </x:c>
      <x:c r="E1610" s="31" t="inlineStr">
        <x:is>
          <x:t xml:space="preserve">ИЗД-043</x:t>
        </x:is>
      </x:c>
      <x:c r="F1610" s="31" t="n">
        <x:v>100</x:v>
      </x:c>
      <x:c r="G1610" s="31" t="inlineStr">
        <x:is>
          <x:t xml:space="preserve">Упаковка</x:t>
        </x:is>
      </x:c>
      <x:c r="H1610" s="31" t="inlineStr">
        <x:is>
          <x:t xml:space="preserve">Логистика</x:t>
        </x:is>
      </x:c>
      <x:c r="I1610" s="31" t="n"/>
      <x:c r="J1610" s="31" t="inlineStr">
        <x:is>
          <x:t xml:space="preserve">СОТР-103</x:t>
        </x:is>
      </x:c>
      <x:c r="K1610" s="31" t="n">
        <x:v>6.7</x:v>
      </x:c>
      <x:c r="L1610" s="31" t="n"/>
      <x:c r="M1610" s="31" t="n">
        <x:v>46112</x:v>
      </x:c>
      <x:c r="N1610" s="31" t="n">
        <x:v>46113</x:v>
      </x:c>
      <x:c r="O1610" s="31" t="n"/>
      <x:c r="P1610" s="31" t="n"/>
      <x:c r="Q1610" s="31" t="inlineStr">
        <x:is>
          <x:t xml:space="preserve">Запланировано</x:t>
        </x:is>
      </x:c>
      <x:c r="R1610" s="31" t="inlineStr">
        <x:is>
          <x:t xml:space="preserve">Нет</x:t>
        </x:is>
      </x:c>
      <x:c r="S1610" s="31" t="inlineStr">
        <x:is>
          <x:t xml:space="preserve">Да</x:t>
        </x:is>
      </x:c>
    </x:row>
    <x:row r="1611">
      <x:c r="A1611" s="31" t="inlineStr">
        <x:is>
          <x:t xml:space="preserve">ОП-001610</x:t>
        </x:is>
      </x:c>
      <x:c r="B1611" s="31" t="inlineStr">
        <x:is>
          <x:t xml:space="preserve">ПЗ-00193</x:t>
        </x:is>
      </x:c>
      <x:c r="C1611" s="31" t="inlineStr">
        <x:is>
          <x:t xml:space="preserve">ЗК-1093</x:t>
        </x:is>
      </x:c>
      <x:c r="D1611" s="31" t="inlineStr">
        <x:is>
          <x:t xml:space="preserve">ПОЗ-0093-2</x:t>
        </x:is>
      </x:c>
      <x:c r="E1611" s="31" t="inlineStr">
        <x:is>
          <x:t xml:space="preserve">ИЗД-017</x:t>
        </x:is>
      </x:c>
      <x:c r="F1611" s="31" t="n">
        <x:v>10</x:v>
      </x:c>
      <x:c r="G1611" s="31" t="inlineStr">
        <x:is>
          <x:t xml:space="preserve">КД</x:t>
        </x:is>
      </x:c>
      <x:c r="H1611" s="31" t="inlineStr">
        <x:is>
          <x:t xml:space="preserve">Инженерный отдел</x:t>
        </x:is>
      </x:c>
      <x:c r="I1611" s="31" t="n"/>
      <x:c r="J1611" s="31" t="inlineStr">
        <x:is>
          <x:t xml:space="preserve">СОТР-017</x:t>
        </x:is>
      </x:c>
      <x:c r="K1611" s="31" t="n">
        <x:v>48.8</x:v>
      </x:c>
      <x:c r="L1611" s="31" t="n">
        <x:v>44</x:v>
      </x:c>
      <x:c r="M1611" s="31" t="n">
        <x:v>46105</x:v>
      </x:c>
      <x:c r="N1611" s="31" t="n">
        <x:v>46110</x:v>
      </x:c>
      <x:c r="O1611" s="31" t="n">
        <x:v>46105</x:v>
      </x:c>
      <x:c r="P1611" s="31" t="n">
        <x:v>46111</x:v>
      </x:c>
      <x:c r="Q1611" s="31" t="inlineStr">
        <x:is>
          <x:t xml:space="preserve">Завершено</x:t>
        </x:is>
      </x:c>
      <x:c r="R1611" s="31" t="inlineStr">
        <x:is>
          <x:t xml:space="preserve">Нет</x:t>
        </x:is>
      </x:c>
      <x:c r="S1611" s="31" t="inlineStr">
        <x:is>
          <x:t xml:space="preserve">Нет</x:t>
        </x:is>
      </x:c>
    </x:row>
    <x:row r="1612">
      <x:c r="A1612" s="31" t="inlineStr">
        <x:is>
          <x:t xml:space="preserve">ОП-001611</x:t>
        </x:is>
      </x:c>
      <x:c r="B1612" s="31" t="inlineStr">
        <x:is>
          <x:t xml:space="preserve">ПЗ-00193</x:t>
        </x:is>
      </x:c>
      <x:c r="C1612" s="31" t="inlineStr">
        <x:is>
          <x:t xml:space="preserve">ЗК-1093</x:t>
        </x:is>
      </x:c>
      <x:c r="D1612" s="31" t="inlineStr">
        <x:is>
          <x:t xml:space="preserve">ПОЗ-0093-2</x:t>
        </x:is>
      </x:c>
      <x:c r="E1612" s="31" t="inlineStr">
        <x:is>
          <x:t xml:space="preserve">ИЗД-017</x:t>
        </x:is>
      </x:c>
      <x:c r="F1612" s="31" t="n">
        <x:v>20</x:v>
      </x:c>
      <x:c r="G1612" s="31" t="inlineStr">
        <x:is>
          <x:t xml:space="preserve">Резерв материалов</x:t>
        </x:is>
      </x:c>
      <x:c r="H1612" s="31" t="inlineStr">
        <x:is>
          <x:t xml:space="preserve">Склад</x:t>
        </x:is>
      </x:c>
      <x:c r="I1612" s="31" t="inlineStr">
        <x:is>
          <x:t xml:space="preserve">ОБ-025</x:t>
        </x:is>
      </x:c>
      <x:c r="J1612" s="31" t="inlineStr">
        <x:is>
          <x:t xml:space="preserve">СОТР-035</x:t>
        </x:is>
      </x:c>
      <x:c r="K1612" s="31" t="n">
        <x:v>50</x:v>
      </x:c>
      <x:c r="L1612" s="31" t="n">
        <x:v>41.7</x:v>
      </x:c>
      <x:c r="M1612" s="31" t="n">
        <x:v>46110</x:v>
      </x:c>
      <x:c r="N1612" s="31" t="n">
        <x:v>46115</x:v>
      </x:c>
      <x:c r="O1612" s="31" t="n">
        <x:v>46110</x:v>
      </x:c>
      <x:c r="P1612" s="31" t="n">
        <x:v>46116</x:v>
      </x:c>
      <x:c r="Q1612" s="31" t="inlineStr">
        <x:is>
          <x:t xml:space="preserve">Завершено</x:t>
        </x:is>
      </x:c>
      <x:c r="R1612" s="31" t="inlineStr">
        <x:is>
          <x:t xml:space="preserve">Нет</x:t>
        </x:is>
      </x:c>
      <x:c r="S1612" s="31" t="inlineStr">
        <x:is>
          <x:t xml:space="preserve">Нет</x:t>
        </x:is>
      </x:c>
    </x:row>
    <x:row r="1613">
      <x:c r="A1613" s="31" t="inlineStr">
        <x:is>
          <x:t xml:space="preserve">ОП-001612</x:t>
        </x:is>
      </x:c>
      <x:c r="B1613" s="31" t="inlineStr">
        <x:is>
          <x:t xml:space="preserve">ПЗ-00193</x:t>
        </x:is>
      </x:c>
      <x:c r="C1613" s="31" t="inlineStr">
        <x:is>
          <x:t xml:space="preserve">ЗК-1093</x:t>
        </x:is>
      </x:c>
      <x:c r="D1613" s="31" t="inlineStr">
        <x:is>
          <x:t xml:space="preserve">ПОЗ-0093-2</x:t>
        </x:is>
      </x:c>
      <x:c r="E1613" s="31" t="inlineStr">
        <x:is>
          <x:t xml:space="preserve">ИЗД-017</x:t>
        </x:is>
      </x:c>
      <x:c r="F1613" s="31" t="n">
        <x:v>30</x:v>
      </x:c>
      <x:c r="G1613" s="31" t="inlineStr">
        <x:is>
          <x:t xml:space="preserve">Сварка рамы</x:t>
        </x:is>
      </x:c>
      <x:c r="H1613" s="31" t="inlineStr">
        <x:is>
          <x:t xml:space="preserve">Сварка</x:t>
        </x:is>
      </x:c>
      <x:c r="I1613" s="31" t="inlineStr">
        <x:is>
          <x:t xml:space="preserve">ОБ-003</x:t>
        </x:is>
      </x:c>
      <x:c r="J1613" s="31" t="inlineStr">
        <x:is>
          <x:t xml:space="preserve">СОТР-060</x:t>
        </x:is>
      </x:c>
      <x:c r="K1613" s="31" t="n">
        <x:v>19.6</x:v>
      </x:c>
      <x:c r="L1613" s="31" t="n">
        <x:v>25.8</x:v>
      </x:c>
      <x:c r="M1613" s="31" t="n">
        <x:v>46115</x:v>
      </x:c>
      <x:c r="N1613" s="31" t="n">
        <x:v>46117</x:v>
      </x:c>
      <x:c r="O1613" s="31" t="n">
        <x:v>46115</x:v>
      </x:c>
      <x:c r="P1613" s="31" t="n">
        <x:v>46118</x:v>
      </x:c>
      <x:c r="Q1613" s="31" t="inlineStr">
        <x:is>
          <x:t xml:space="preserve">Завершено</x:t>
        </x:is>
      </x:c>
      <x:c r="R1613" s="31" t="inlineStr">
        <x:is>
          <x:t xml:space="preserve">Нет</x:t>
        </x:is>
      </x:c>
      <x:c r="S1613" s="31" t="inlineStr">
        <x:is>
          <x:t xml:space="preserve">Нет</x:t>
        </x:is>
      </x:c>
    </x:row>
    <x:row r="1614">
      <x:c r="A1614" s="31" t="inlineStr">
        <x:is>
          <x:t xml:space="preserve">ОП-001613</x:t>
        </x:is>
      </x:c>
      <x:c r="B1614" s="31" t="inlineStr">
        <x:is>
          <x:t xml:space="preserve">ПЗ-00193</x:t>
        </x:is>
      </x:c>
      <x:c r="C1614" s="31" t="inlineStr">
        <x:is>
          <x:t xml:space="preserve">ЗК-1093</x:t>
        </x:is>
      </x:c>
      <x:c r="D1614" s="31" t="inlineStr">
        <x:is>
          <x:t xml:space="preserve">ПОЗ-0093-2</x:t>
        </x:is>
      </x:c>
      <x:c r="E1614" s="31" t="inlineStr">
        <x:is>
          <x:t xml:space="preserve">ИЗД-017</x:t>
        </x:is>
      </x:c>
      <x:c r="F1614" s="31" t="n">
        <x:v>40</x:v>
      </x:c>
      <x:c r="G1614" s="31" t="inlineStr">
        <x:is>
          <x:t xml:space="preserve">Сборка</x:t>
        </x:is>
      </x:c>
      <x:c r="H1614" s="31" t="inlineStr">
        <x:is>
          <x:t xml:space="preserve">Сборка</x:t>
        </x:is>
      </x:c>
      <x:c r="I1614" s="31" t="inlineStr">
        <x:is>
          <x:t xml:space="preserve">ОБ-016</x:t>
        </x:is>
      </x:c>
      <x:c r="J1614" s="31" t="inlineStr">
        <x:is>
          <x:t xml:space="preserve">СОТР-080</x:t>
        </x:is>
      </x:c>
      <x:c r="K1614" s="31" t="n">
        <x:v>66.40000000000001</x:v>
      </x:c>
      <x:c r="L1614" s="31" t="n">
        <x:v>87.8</x:v>
      </x:c>
      <x:c r="M1614" s="31" t="n">
        <x:v>46117</x:v>
      </x:c>
      <x:c r="N1614" s="31" t="n">
        <x:v>46123</x:v>
      </x:c>
      <x:c r="O1614" s="31" t="n">
        <x:v>46117</x:v>
      </x:c>
      <x:c r="P1614" s="31" t="n">
        <x:v>46125</x:v>
      </x:c>
      <x:c r="Q1614" s="31" t="inlineStr">
        <x:is>
          <x:t xml:space="preserve">Завершено</x:t>
        </x:is>
      </x:c>
      <x:c r="R1614" s="31" t="inlineStr">
        <x:is>
          <x:t xml:space="preserve">Нет</x:t>
        </x:is>
      </x:c>
      <x:c r="S1614" s="31" t="inlineStr">
        <x:is>
          <x:t xml:space="preserve">Нет</x:t>
        </x:is>
      </x:c>
    </x:row>
    <x:row r="1615">
      <x:c r="A1615" s="31" t="inlineStr">
        <x:is>
          <x:t xml:space="preserve">ОП-001614</x:t>
        </x:is>
      </x:c>
      <x:c r="B1615" s="31" t="inlineStr">
        <x:is>
          <x:t xml:space="preserve">ПЗ-00193</x:t>
        </x:is>
      </x:c>
      <x:c r="C1615" s="31" t="inlineStr">
        <x:is>
          <x:t xml:space="preserve">ЗК-1093</x:t>
        </x:is>
      </x:c>
      <x:c r="D1615" s="31" t="inlineStr">
        <x:is>
          <x:t xml:space="preserve">ПОЗ-0093-2</x:t>
        </x:is>
      </x:c>
      <x:c r="E1615" s="31" t="inlineStr">
        <x:is>
          <x:t xml:space="preserve">ИЗД-017</x:t>
        </x:is>
      </x:c>
      <x:c r="F1615" s="31" t="n">
        <x:v>50</x:v>
      </x:c>
      <x:c r="G1615" s="31" t="inlineStr">
        <x:is>
          <x:t xml:space="preserve">Обвязка труб</x:t>
        </x:is>
      </x:c>
      <x:c r="H1615" s="31" t="inlineStr">
        <x:is>
          <x:t xml:space="preserve">Сборка</x:t>
        </x:is>
      </x:c>
      <x:c r="I1615" s="31" t="inlineStr">
        <x:is>
          <x:t xml:space="preserve">ОБ-012</x:t>
        </x:is>
      </x:c>
      <x:c r="J1615" s="31" t="inlineStr">
        <x:is>
          <x:t xml:space="preserve">СОТР-086</x:t>
        </x:is>
      </x:c>
      <x:c r="K1615" s="31" t="n">
        <x:v>14</x:v>
      </x:c>
      <x:c r="L1615" s="31" t="n">
        <x:v>18.7</x:v>
      </x:c>
      <x:c r="M1615" s="31" t="n">
        <x:v>46123</x:v>
      </x:c>
      <x:c r="N1615" s="31" t="n">
        <x:v>46125</x:v>
      </x:c>
      <x:c r="O1615" s="31" t="n">
        <x:v>46123</x:v>
      </x:c>
      <x:c r="P1615" s="31" t="n">
        <x:v>46127</x:v>
      </x:c>
      <x:c r="Q1615" s="31" t="inlineStr">
        <x:is>
          <x:t xml:space="preserve">Завершено</x:t>
        </x:is>
      </x:c>
      <x:c r="R1615" s="31" t="inlineStr">
        <x:is>
          <x:t xml:space="preserve">Нет</x:t>
        </x:is>
      </x:c>
      <x:c r="S1615" s="31" t="inlineStr">
        <x:is>
          <x:t xml:space="preserve">Нет</x:t>
        </x:is>
      </x:c>
    </x:row>
    <x:row r="1616">
      <x:c r="A1616" s="31" t="inlineStr">
        <x:is>
          <x:t xml:space="preserve">ОП-001615</x:t>
        </x:is>
      </x:c>
      <x:c r="B1616" s="31" t="inlineStr">
        <x:is>
          <x:t xml:space="preserve">ПЗ-00193</x:t>
        </x:is>
      </x:c>
      <x:c r="C1616" s="31" t="inlineStr">
        <x:is>
          <x:t xml:space="preserve">ЗК-1093</x:t>
        </x:is>
      </x:c>
      <x:c r="D1616" s="31" t="inlineStr">
        <x:is>
          <x:t xml:space="preserve">ПОЗ-0093-2</x:t>
        </x:is>
      </x:c>
      <x:c r="E1616" s="31" t="inlineStr">
        <x:is>
          <x:t xml:space="preserve">ИЗД-017</x:t>
        </x:is>
      </x:c>
      <x:c r="F1616" s="31" t="n">
        <x:v>60</x:v>
      </x:c>
      <x:c r="G1616" s="31" t="inlineStr">
        <x:is>
          <x:t xml:space="preserve">Электромонтаж</x:t>
        </x:is>
      </x:c>
      <x:c r="H1616" s="31" t="inlineStr">
        <x:is>
          <x:t xml:space="preserve">Сборка</x:t>
        </x:is>
      </x:c>
      <x:c r="I1616" s="31" t="inlineStr">
        <x:is>
          <x:t xml:space="preserve">ОБ-034</x:t>
        </x:is>
      </x:c>
      <x:c r="J1616" s="31" t="inlineStr">
        <x:is>
          <x:t xml:space="preserve">СОТР-083</x:t>
        </x:is>
      </x:c>
      <x:c r="K1616" s="31" t="n">
        <x:v>52.8</x:v>
      </x:c>
      <x:c r="L1616" s="31" t="n">
        <x:v>46.9</x:v>
      </x:c>
      <x:c r="M1616" s="31" t="n">
        <x:v>46125</x:v>
      </x:c>
      <x:c r="N1616" s="31" t="n">
        <x:v>46130</x:v>
      </x:c>
      <x:c r="O1616" s="31" t="n">
        <x:v>46125</x:v>
      </x:c>
      <x:c r="P1616" s="31" t="n">
        <x:v>46132</x:v>
      </x:c>
      <x:c r="Q1616" s="31" t="inlineStr">
        <x:is>
          <x:t xml:space="preserve">Завершено</x:t>
        </x:is>
      </x:c>
      <x:c r="R1616" s="31" t="inlineStr">
        <x:is>
          <x:t xml:space="preserve">Нет</x:t>
        </x:is>
      </x:c>
      <x:c r="S1616" s="31" t="inlineStr">
        <x:is>
          <x:t xml:space="preserve">Нет</x:t>
        </x:is>
      </x:c>
    </x:row>
    <x:row r="1617">
      <x:c r="A1617" s="31" t="inlineStr">
        <x:is>
          <x:t xml:space="preserve">ОП-001616</x:t>
        </x:is>
      </x:c>
      <x:c r="B1617" s="31" t="inlineStr">
        <x:is>
          <x:t xml:space="preserve">ПЗ-00193</x:t>
        </x:is>
      </x:c>
      <x:c r="C1617" s="31" t="inlineStr">
        <x:is>
          <x:t xml:space="preserve">ЗК-1093</x:t>
        </x:is>
      </x:c>
      <x:c r="D1617" s="31" t="inlineStr">
        <x:is>
          <x:t xml:space="preserve">ПОЗ-0093-2</x:t>
        </x:is>
      </x:c>
      <x:c r="E1617" s="31" t="inlineStr">
        <x:is>
          <x:t xml:space="preserve">ИЗД-017</x:t>
        </x:is>
      </x:c>
      <x:c r="F1617" s="31" t="n">
        <x:v>70</x:v>
      </x:c>
      <x:c r="G1617" s="31" t="inlineStr">
        <x:is>
          <x:t xml:space="preserve">Гидроиспытания</x:t>
        </x:is>
      </x:c>
      <x:c r="H1617" s="31" t="inlineStr">
        <x:is>
          <x:t xml:space="preserve">ОТК</x:t>
        </x:is>
      </x:c>
      <x:c r="I1617" s="31" t="inlineStr">
        <x:is>
          <x:t xml:space="preserve">ОБ-001</x:t>
        </x:is>
      </x:c>
      <x:c r="J1617" s="31" t="inlineStr">
        <x:is>
          <x:t xml:space="preserve">СОТР-096</x:t>
        </x:is>
      </x:c>
      <x:c r="K1617" s="31" t="n">
        <x:v>47.2</x:v>
      </x:c>
      <x:c r="L1617" s="31" t="n">
        <x:v>59.3</x:v>
      </x:c>
      <x:c r="M1617" s="31" t="n">
        <x:v>46130</x:v>
      </x:c>
      <x:c r="N1617" s="31" t="n">
        <x:v>46134</x:v>
      </x:c>
      <x:c r="O1617" s="31" t="n">
        <x:v>46130</x:v>
      </x:c>
      <x:c r="P1617" s="31" t="n">
        <x:v>46135</x:v>
      </x:c>
      <x:c r="Q1617" s="31" t="inlineStr">
        <x:is>
          <x:t xml:space="preserve">Завершено</x:t>
        </x:is>
      </x:c>
      <x:c r="R1617" s="31" t="inlineStr">
        <x:is>
          <x:t xml:space="preserve">Нет</x:t>
        </x:is>
      </x:c>
      <x:c r="S1617" s="31" t="inlineStr">
        <x:is>
          <x:t xml:space="preserve">Нет</x:t>
        </x:is>
      </x:c>
    </x:row>
    <x:row r="1618">
      <x:c r="A1618" s="31" t="inlineStr">
        <x:is>
          <x:t xml:space="preserve">ОП-001617</x:t>
        </x:is>
      </x:c>
      <x:c r="B1618" s="31" t="inlineStr">
        <x:is>
          <x:t xml:space="preserve">ПЗ-00193</x:t>
        </x:is>
      </x:c>
      <x:c r="C1618" s="31" t="inlineStr">
        <x:is>
          <x:t xml:space="preserve">ЗК-1093</x:t>
        </x:is>
      </x:c>
      <x:c r="D1618" s="31" t="inlineStr">
        <x:is>
          <x:t xml:space="preserve">ПОЗ-0093-2</x:t>
        </x:is>
      </x:c>
      <x:c r="E1618" s="31" t="inlineStr">
        <x:is>
          <x:t xml:space="preserve">ИЗД-017</x:t>
        </x:is>
      </x:c>
      <x:c r="F1618" s="31" t="n">
        <x:v>80</x:v>
      </x:c>
      <x:c r="G1618" s="31" t="inlineStr">
        <x:is>
          <x:t xml:space="preserve">ОТК</x:t>
        </x:is>
      </x:c>
      <x:c r="H1618" s="31" t="inlineStr">
        <x:is>
          <x:t xml:space="preserve">ОТК</x:t>
        </x:is>
      </x:c>
      <x:c r="I1618" s="31" t="inlineStr">
        <x:is>
          <x:t xml:space="preserve">ОБ-024</x:t>
        </x:is>
      </x:c>
      <x:c r="J1618" s="31" t="inlineStr">
        <x:is>
          <x:t xml:space="preserve">СОТР-093</x:t>
        </x:is>
      </x:c>
      <x:c r="K1618" s="31" t="n">
        <x:v>32.4</x:v>
      </x:c>
      <x:c r="L1618" s="31" t="n">
        <x:v>26</x:v>
      </x:c>
      <x:c r="M1618" s="31" t="n">
        <x:v>46134</x:v>
      </x:c>
      <x:c r="N1618" s="31" t="n">
        <x:v>46137</x:v>
      </x:c>
      <x:c r="O1618" s="31" t="n">
        <x:v>46134</x:v>
      </x:c>
      <x:c r="P1618" s="31" t="n">
        <x:v>46138</x:v>
      </x:c>
      <x:c r="Q1618" s="31" t="inlineStr">
        <x:is>
          <x:t xml:space="preserve">Завершено</x:t>
        </x:is>
      </x:c>
      <x:c r="R1618" s="31" t="inlineStr">
        <x:is>
          <x:t xml:space="preserve">Нет</x:t>
        </x:is>
      </x:c>
      <x:c r="S1618" s="31" t="inlineStr">
        <x:is>
          <x:t xml:space="preserve">Нет</x:t>
        </x:is>
      </x:c>
    </x:row>
    <x:row r="1619">
      <x:c r="A1619" s="31" t="inlineStr">
        <x:is>
          <x:t xml:space="preserve">ОП-001618</x:t>
        </x:is>
      </x:c>
      <x:c r="B1619" s="31" t="inlineStr">
        <x:is>
          <x:t xml:space="preserve">ПЗ-00193</x:t>
        </x:is>
      </x:c>
      <x:c r="C1619" s="31" t="inlineStr">
        <x:is>
          <x:t xml:space="preserve">ЗК-1093</x:t>
        </x:is>
      </x:c>
      <x:c r="D1619" s="31" t="inlineStr">
        <x:is>
          <x:t xml:space="preserve">ПОЗ-0093-2</x:t>
        </x:is>
      </x:c>
      <x:c r="E1619" s="31" t="inlineStr">
        <x:is>
          <x:t xml:space="preserve">ИЗД-017</x:t>
        </x:is>
      </x:c>
      <x:c r="F1619" s="31" t="n">
        <x:v>90</x:v>
      </x:c>
      <x:c r="G1619" s="31" t="inlineStr">
        <x:is>
          <x:t xml:space="preserve">Упаковка</x:t>
        </x:is>
      </x:c>
      <x:c r="H1619" s="31" t="inlineStr">
        <x:is>
          <x:t xml:space="preserve">Логистика</x:t>
        </x:is>
      </x:c>
      <x:c r="I1619" s="31" t="n"/>
      <x:c r="J1619" s="31" t="inlineStr">
        <x:is>
          <x:t xml:space="preserve">СОТР-104</x:t>
        </x:is>
      </x:c>
      <x:c r="K1619" s="31" t="n">
        <x:v>65.59999999999999</x:v>
      </x:c>
      <x:c r="L1619" s="31" t="n">
        <x:v>66.3</x:v>
      </x:c>
      <x:c r="M1619" s="31" t="n">
        <x:v>46137</x:v>
      </x:c>
      <x:c r="N1619" s="31" t="n">
        <x:v>46143</x:v>
      </x:c>
      <x:c r="O1619" s="31" t="n">
        <x:v>46137</x:v>
      </x:c>
      <x:c r="P1619" s="31" t="n">
        <x:v>46144</x:v>
      </x:c>
      <x:c r="Q1619" s="31" t="inlineStr">
        <x:is>
          <x:t xml:space="preserve">Завершено</x:t>
        </x:is>
      </x:c>
      <x:c r="R1619" s="31" t="inlineStr">
        <x:is>
          <x:t xml:space="preserve">Оборудование</x:t>
        </x:is>
      </x:c>
      <x:c r="S1619" s="31" t="inlineStr">
        <x:is>
          <x:t xml:space="preserve">Да</x:t>
        </x:is>
      </x:c>
    </x:row>
    <x:row r="1620">
      <x:c r="A1620" s="31" t="inlineStr">
        <x:is>
          <x:t xml:space="preserve">ОП-001619</x:t>
        </x:is>
      </x:c>
      <x:c r="B1620" s="31" t="inlineStr">
        <x:is>
          <x:t xml:space="preserve">ПЗ-00194</x:t>
        </x:is>
      </x:c>
      <x:c r="C1620" s="31" t="inlineStr">
        <x:is>
          <x:t xml:space="preserve">ЗК-1093</x:t>
        </x:is>
      </x:c>
      <x:c r="D1620" s="31" t="inlineStr">
        <x:is>
          <x:t xml:space="preserve">ПОЗ-0093-3</x:t>
        </x:is>
      </x:c>
      <x:c r="E1620" s="31" t="inlineStr">
        <x:is>
          <x:t xml:space="preserve">ИЗД-023</x:t>
        </x:is>
      </x:c>
      <x:c r="F1620" s="31" t="n">
        <x:v>10</x:v>
      </x:c>
      <x:c r="G1620" s="31" t="inlineStr">
        <x:is>
          <x:t xml:space="preserve">КД</x:t>
        </x:is>
      </x:c>
      <x:c r="H1620" s="31" t="inlineStr">
        <x:is>
          <x:t xml:space="preserve">Инженерный отдел</x:t>
        </x:is>
      </x:c>
      <x:c r="I1620" s="31" t="n"/>
      <x:c r="J1620" s="31" t="inlineStr">
        <x:is>
          <x:t xml:space="preserve">СОТР-016</x:t>
        </x:is>
      </x:c>
      <x:c r="K1620" s="31" t="n">
        <x:v>12.5</x:v>
      </x:c>
      <x:c r="L1620" s="31" t="n">
        <x:v>14</x:v>
      </x:c>
      <x:c r="M1620" s="31" t="n">
        <x:v>46099</x:v>
      </x:c>
      <x:c r="N1620" s="31" t="n">
        <x:v>46101</x:v>
      </x:c>
      <x:c r="O1620" s="31" t="n">
        <x:v>46099</x:v>
      </x:c>
      <x:c r="P1620" s="31" t="n">
        <x:v>46103</x:v>
      </x:c>
      <x:c r="Q1620" s="31" t="inlineStr">
        <x:is>
          <x:t xml:space="preserve">Завершено</x:t>
        </x:is>
      </x:c>
      <x:c r="R1620" s="31" t="inlineStr">
        <x:is>
          <x:t xml:space="preserve">Нет</x:t>
        </x:is>
      </x:c>
      <x:c r="S1620" s="31" t="inlineStr">
        <x:is>
          <x:t xml:space="preserve">Нет</x:t>
        </x:is>
      </x:c>
    </x:row>
    <x:row r="1621">
      <x:c r="A1621" s="31" t="inlineStr">
        <x:is>
          <x:t xml:space="preserve">ОП-001620</x:t>
        </x:is>
      </x:c>
      <x:c r="B1621" s="31" t="inlineStr">
        <x:is>
          <x:t xml:space="preserve">ПЗ-00194</x:t>
        </x:is>
      </x:c>
      <x:c r="C1621" s="31" t="inlineStr">
        <x:is>
          <x:t xml:space="preserve">ЗК-1093</x:t>
        </x:is>
      </x:c>
      <x:c r="D1621" s="31" t="inlineStr">
        <x:is>
          <x:t xml:space="preserve">ПОЗ-0093-3</x:t>
        </x:is>
      </x:c>
      <x:c r="E1621" s="31" t="inlineStr">
        <x:is>
          <x:t xml:space="preserve">ИЗД-023</x:t>
        </x:is>
      </x:c>
      <x:c r="F1621" s="31" t="n">
        <x:v>20</x:v>
      </x:c>
      <x:c r="G1621" s="31" t="inlineStr">
        <x:is>
          <x:t xml:space="preserve">Комплектация</x:t>
        </x:is>
      </x:c>
      <x:c r="H1621" s="31" t="inlineStr">
        <x:is>
          <x:t xml:space="preserve">Склад</x:t>
        </x:is>
      </x:c>
      <x:c r="I1621" s="31" t="inlineStr">
        <x:is>
          <x:t xml:space="preserve">ОБ-025</x:t>
        </x:is>
      </x:c>
      <x:c r="J1621" s="31" t="inlineStr">
        <x:is>
          <x:t xml:space="preserve">СОТР-036</x:t>
        </x:is>
      </x:c>
      <x:c r="K1621" s="31" t="n">
        <x:v>60.5</x:v>
      </x:c>
      <x:c r="L1621" s="31" t="n">
        <x:v>50.8</x:v>
      </x:c>
      <x:c r="M1621" s="31" t="n">
        <x:v>46101</x:v>
      </x:c>
      <x:c r="N1621" s="31" t="n">
        <x:v>46107</x:v>
      </x:c>
      <x:c r="O1621" s="31" t="n">
        <x:v>46101</x:v>
      </x:c>
      <x:c r="P1621" s="31" t="n">
        <x:v>46107</x:v>
      </x:c>
      <x:c r="Q1621" s="31" t="inlineStr">
        <x:is>
          <x:t xml:space="preserve">Завершено</x:t>
        </x:is>
      </x:c>
      <x:c r="R1621" s="31" t="inlineStr">
        <x:is>
          <x:t xml:space="preserve">Нет</x:t>
        </x:is>
      </x:c>
      <x:c r="S1621" s="31" t="inlineStr">
        <x:is>
          <x:t xml:space="preserve">Нет</x:t>
        </x:is>
      </x:c>
    </x:row>
    <x:row r="1622">
      <x:c r="A1622" s="31" t="inlineStr">
        <x:is>
          <x:t xml:space="preserve">ОП-001621</x:t>
        </x:is>
      </x:c>
      <x:c r="B1622" s="31" t="inlineStr">
        <x:is>
          <x:t xml:space="preserve">ПЗ-00194</x:t>
        </x:is>
      </x:c>
      <x:c r="C1622" s="31" t="inlineStr">
        <x:is>
          <x:t xml:space="preserve">ЗК-1093</x:t>
        </x:is>
      </x:c>
      <x:c r="D1622" s="31" t="inlineStr">
        <x:is>
          <x:t xml:space="preserve">ПОЗ-0093-3</x:t>
        </x:is>
      </x:c>
      <x:c r="E1622" s="31" t="inlineStr">
        <x:is>
          <x:t xml:space="preserve">ИЗД-023</x:t>
        </x:is>
      </x:c>
      <x:c r="F1622" s="31" t="n">
        <x:v>30</x:v>
      </x:c>
      <x:c r="G1622" s="31" t="inlineStr">
        <x:is>
          <x:t xml:space="preserve">Сборка шкафа</x:t>
        </x:is>
      </x:c>
      <x:c r="H1622" s="31" t="inlineStr">
        <x:is>
          <x:t xml:space="preserve">Сборка</x:t>
        </x:is>
      </x:c>
      <x:c r="I1622" s="31" t="inlineStr">
        <x:is>
          <x:t xml:space="preserve">ОБ-017</x:t>
        </x:is>
      </x:c>
      <x:c r="J1622" s="31" t="inlineStr">
        <x:is>
          <x:t xml:space="preserve">СОТР-085</x:t>
        </x:is>
      </x:c>
      <x:c r="K1622" s="31" t="n">
        <x:v>47</x:v>
      </x:c>
      <x:c r="L1622" s="31" t="n">
        <x:v>42.4</x:v>
      </x:c>
      <x:c r="M1622" s="31" t="n">
        <x:v>46107</x:v>
      </x:c>
      <x:c r="N1622" s="31" t="n">
        <x:v>46111</x:v>
      </x:c>
      <x:c r="O1622" s="31" t="n">
        <x:v>46107</x:v>
      </x:c>
      <x:c r="P1622" s="31" t="n">
        <x:v>46110</x:v>
      </x:c>
      <x:c r="Q1622" s="31" t="inlineStr">
        <x:is>
          <x:t xml:space="preserve">Завершено</x:t>
        </x:is>
      </x:c>
      <x:c r="R1622" s="31" t="inlineStr">
        <x:is>
          <x:t xml:space="preserve">Нет</x:t>
        </x:is>
      </x:c>
      <x:c r="S1622" s="31" t="inlineStr">
        <x:is>
          <x:t xml:space="preserve">Нет</x:t>
        </x:is>
      </x:c>
    </x:row>
    <x:row r="1623">
      <x:c r="A1623" s="31" t="inlineStr">
        <x:is>
          <x:t xml:space="preserve">ОП-001622</x:t>
        </x:is>
      </x:c>
      <x:c r="B1623" s="31" t="inlineStr">
        <x:is>
          <x:t xml:space="preserve">ПЗ-00194</x:t>
        </x:is>
      </x:c>
      <x:c r="C1623" s="31" t="inlineStr">
        <x:is>
          <x:t xml:space="preserve">ЗК-1093</x:t>
        </x:is>
      </x:c>
      <x:c r="D1623" s="31" t="inlineStr">
        <x:is>
          <x:t xml:space="preserve">ПОЗ-0093-3</x:t>
        </x:is>
      </x:c>
      <x:c r="E1623" s="31" t="inlineStr">
        <x:is>
          <x:t xml:space="preserve">ИЗД-023</x:t>
        </x:is>
      </x:c>
      <x:c r="F1623" s="31" t="n">
        <x:v>40</x:v>
      </x:c>
      <x:c r="G1623" s="31" t="inlineStr">
        <x:is>
          <x:t xml:space="preserve">Маркировка</x:t>
        </x:is>
      </x:c>
      <x:c r="H1623" s="31" t="inlineStr">
        <x:is>
          <x:t xml:space="preserve">Сборка</x:t>
        </x:is>
      </x:c>
      <x:c r="I1623" s="31" t="inlineStr">
        <x:is>
          <x:t xml:space="preserve">ОБ-034</x:t>
        </x:is>
      </x:c>
      <x:c r="J1623" s="31" t="inlineStr">
        <x:is>
          <x:t xml:space="preserve">СОТР-090</x:t>
        </x:is>
      </x:c>
      <x:c r="K1623" s="31" t="n">
        <x:v>70.5</x:v>
      </x:c>
      <x:c r="L1623" s="31" t="n">
        <x:v>77.7</x:v>
      </x:c>
      <x:c r="M1623" s="31" t="n">
        <x:v>46111</x:v>
      </x:c>
      <x:c r="N1623" s="31" t="n">
        <x:v>46117</x:v>
      </x:c>
      <x:c r="O1623" s="31" t="n">
        <x:v>46111</x:v>
      </x:c>
      <x:c r="P1623" s="31" t="n">
        <x:v>46119</x:v>
      </x:c>
      <x:c r="Q1623" s="31" t="inlineStr">
        <x:is>
          <x:t xml:space="preserve">Завершено</x:t>
        </x:is>
      </x:c>
      <x:c r="R1623" s="31" t="inlineStr">
        <x:is>
          <x:t xml:space="preserve">Материал</x:t>
        </x:is>
      </x:c>
      <x:c r="S1623" s="31" t="inlineStr">
        <x:is>
          <x:t xml:space="preserve">Да</x:t>
        </x:is>
      </x:c>
    </x:row>
    <x:row r="1624">
      <x:c r="A1624" s="31" t="inlineStr">
        <x:is>
          <x:t xml:space="preserve">ОП-001623</x:t>
        </x:is>
      </x:c>
      <x:c r="B1624" s="31" t="inlineStr">
        <x:is>
          <x:t xml:space="preserve">ПЗ-00194</x:t>
        </x:is>
      </x:c>
      <x:c r="C1624" s="31" t="inlineStr">
        <x:is>
          <x:t xml:space="preserve">ЗК-1093</x:t>
        </x:is>
      </x:c>
      <x:c r="D1624" s="31" t="inlineStr">
        <x:is>
          <x:t xml:space="preserve">ПОЗ-0093-3</x:t>
        </x:is>
      </x:c>
      <x:c r="E1624" s="31" t="inlineStr">
        <x:is>
          <x:t xml:space="preserve">ИЗД-023</x:t>
        </x:is>
      </x:c>
      <x:c r="F1624" s="31" t="n">
        <x:v>50</x:v>
      </x:c>
      <x:c r="G1624" s="31" t="inlineStr">
        <x:is>
          <x:t xml:space="preserve">Электромонтаж</x:t>
        </x:is>
      </x:c>
      <x:c r="H1624" s="31" t="inlineStr">
        <x:is>
          <x:t xml:space="preserve">Сборка</x:t>
        </x:is>
      </x:c>
      <x:c r="I1624" s="31" t="inlineStr">
        <x:is>
          <x:t xml:space="preserve">ОБ-012</x:t>
        </x:is>
      </x:c>
      <x:c r="J1624" s="31" t="inlineStr">
        <x:is>
          <x:t xml:space="preserve">СОТР-032</x:t>
        </x:is>
      </x:c>
      <x:c r="K1624" s="31" t="n">
        <x:v>75.5</x:v>
      </x:c>
      <x:c r="L1624" s="31" t="n">
        <x:v>98.2</x:v>
      </x:c>
      <x:c r="M1624" s="31" t="n">
        <x:v>46117</x:v>
      </x:c>
      <x:c r="N1624" s="31" t="n">
        <x:v>46124</x:v>
      </x:c>
      <x:c r="O1624" s="31" t="n">
        <x:v>46117</x:v>
      </x:c>
      <x:c r="P1624" s="31" t="n">
        <x:v>46125</x:v>
      </x:c>
      <x:c r="Q1624" s="31" t="inlineStr">
        <x:is>
          <x:t xml:space="preserve">Завершено</x:t>
        </x:is>
      </x:c>
      <x:c r="R1624" s="31" t="inlineStr">
        <x:is>
          <x:t xml:space="preserve">Ожидание ОТК</x:t>
        </x:is>
      </x:c>
      <x:c r="S1624" s="31" t="inlineStr">
        <x:is>
          <x:t xml:space="preserve">Нет</x:t>
        </x:is>
      </x:c>
    </x:row>
    <x:row r="1625">
      <x:c r="A1625" s="31" t="inlineStr">
        <x:is>
          <x:t xml:space="preserve">ОП-001624</x:t>
        </x:is>
      </x:c>
      <x:c r="B1625" s="31" t="inlineStr">
        <x:is>
          <x:t xml:space="preserve">ПЗ-00194</x:t>
        </x:is>
      </x:c>
      <x:c r="C1625" s="31" t="inlineStr">
        <x:is>
          <x:t xml:space="preserve">ЗК-1093</x:t>
        </x:is>
      </x:c>
      <x:c r="D1625" s="31" t="inlineStr">
        <x:is>
          <x:t xml:space="preserve">ПОЗ-0093-3</x:t>
        </x:is>
      </x:c>
      <x:c r="E1625" s="31" t="inlineStr">
        <x:is>
          <x:t xml:space="preserve">ИЗД-023</x:t>
        </x:is>
      </x:c>
      <x:c r="F1625" s="31" t="n">
        <x:v>60</x:v>
      </x:c>
      <x:c r="G1625" s="31" t="inlineStr">
        <x:is>
          <x:t xml:space="preserve">Программирование ПЛК</x:t>
        </x:is>
      </x:c>
      <x:c r="H1625" s="31" t="inlineStr">
        <x:is>
          <x:t xml:space="preserve">Инженерный отдел</x:t>
        </x:is>
      </x:c>
      <x:c r="I1625" s="31" t="n"/>
      <x:c r="J1625" s="31" t="inlineStr">
        <x:is>
          <x:t xml:space="preserve">СОТР-019</x:t>
        </x:is>
      </x:c>
      <x:c r="K1625" s="31" t="n">
        <x:v>69.5</x:v>
      </x:c>
      <x:c r="L1625" s="31" t="n">
        <x:v>60</x:v>
      </x:c>
      <x:c r="M1625" s="31" t="n">
        <x:v>46124</x:v>
      </x:c>
      <x:c r="N1625" s="31" t="n">
        <x:v>46130</x:v>
      </x:c>
      <x:c r="O1625" s="31" t="n">
        <x:v>46124</x:v>
      </x:c>
      <x:c r="P1625" s="31" t="n">
        <x:v>46131</x:v>
      </x:c>
      <x:c r="Q1625" s="31" t="inlineStr">
        <x:is>
          <x:t xml:space="preserve">Завершено</x:t>
        </x:is>
      </x:c>
      <x:c r="R1625" s="31" t="inlineStr">
        <x:is>
          <x:t xml:space="preserve">Нет</x:t>
        </x:is>
      </x:c>
      <x:c r="S1625" s="31" t="inlineStr">
        <x:is>
          <x:t xml:space="preserve">Нет</x:t>
        </x:is>
      </x:c>
    </x:row>
    <x:row r="1626">
      <x:c r="A1626" s="31" t="inlineStr">
        <x:is>
          <x:t xml:space="preserve">ОП-001625</x:t>
        </x:is>
      </x:c>
      <x:c r="B1626" s="31" t="inlineStr">
        <x:is>
          <x:t xml:space="preserve">ПЗ-00194</x:t>
        </x:is>
      </x:c>
      <x:c r="C1626" s="31" t="inlineStr">
        <x:is>
          <x:t xml:space="preserve">ЗК-1093</x:t>
        </x:is>
      </x:c>
      <x:c r="D1626" s="31" t="inlineStr">
        <x:is>
          <x:t xml:space="preserve">ПОЗ-0093-3</x:t>
        </x:is>
      </x:c>
      <x:c r="E1626" s="31" t="inlineStr">
        <x:is>
          <x:t xml:space="preserve">ИЗД-023</x:t>
        </x:is>
      </x:c>
      <x:c r="F1626" s="31" t="n">
        <x:v>70</x:v>
      </x:c>
      <x:c r="G1626" s="31" t="inlineStr">
        <x:is>
          <x:t xml:space="preserve">Приемочные испытания</x:t>
        </x:is>
      </x:c>
      <x:c r="H1626" s="31" t="inlineStr">
        <x:is>
          <x:t xml:space="preserve">ОТК</x:t>
        </x:is>
      </x:c>
      <x:c r="I1626" s="31" t="inlineStr">
        <x:is>
          <x:t xml:space="preserve">ОБ-028</x:t>
        </x:is>
      </x:c>
      <x:c r="J1626" s="31" t="inlineStr">
        <x:is>
          <x:t xml:space="preserve">СОТР-063</x:t>
        </x:is>
      </x:c>
      <x:c r="K1626" s="31" t="n">
        <x:v>64.5</x:v>
      </x:c>
      <x:c r="L1626" s="31" t="n">
        <x:v>52.5</x:v>
      </x:c>
      <x:c r="M1626" s="31" t="n">
        <x:v>46130</x:v>
      </x:c>
      <x:c r="N1626" s="31" t="n">
        <x:v>46136</x:v>
      </x:c>
      <x:c r="O1626" s="31" t="n">
        <x:v>46130</x:v>
      </x:c>
      <x:c r="P1626" s="31" t="n">
        <x:v>46138</x:v>
      </x:c>
      <x:c r="Q1626" s="31" t="inlineStr">
        <x:is>
          <x:t xml:space="preserve">Завершено</x:t>
        </x:is>
      </x:c>
      <x:c r="R1626" s="31" t="inlineStr">
        <x:is>
          <x:t xml:space="preserve">Нет</x:t>
        </x:is>
      </x:c>
      <x:c r="S1626" s="31" t="inlineStr">
        <x:is>
          <x:t xml:space="preserve">Нет</x:t>
        </x:is>
      </x:c>
    </x:row>
    <x:row r="1627">
      <x:c r="A1627" s="31" t="inlineStr">
        <x:is>
          <x:t xml:space="preserve">ОП-001626</x:t>
        </x:is>
      </x:c>
      <x:c r="B1627" s="31" t="inlineStr">
        <x:is>
          <x:t xml:space="preserve">ПЗ-00194</x:t>
        </x:is>
      </x:c>
      <x:c r="C1627" s="31" t="inlineStr">
        <x:is>
          <x:t xml:space="preserve">ЗК-1093</x:t>
        </x:is>
      </x:c>
      <x:c r="D1627" s="31" t="inlineStr">
        <x:is>
          <x:t xml:space="preserve">ПОЗ-0093-3</x:t>
        </x:is>
      </x:c>
      <x:c r="E1627" s="31" t="inlineStr">
        <x:is>
          <x:t xml:space="preserve">ИЗД-023</x:t>
        </x:is>
      </x:c>
      <x:c r="F1627" s="31" t="n">
        <x:v>80</x:v>
      </x:c>
      <x:c r="G1627" s="31" t="inlineStr">
        <x:is>
          <x:t xml:space="preserve">ОТК</x:t>
        </x:is>
      </x:c>
      <x:c r="H1627" s="31" t="inlineStr">
        <x:is>
          <x:t xml:space="preserve">ОТК</x:t>
        </x:is>
      </x:c>
      <x:c r="I1627" s="31" t="inlineStr">
        <x:is>
          <x:t xml:space="preserve">ОБ-033</x:t>
        </x:is>
      </x:c>
      <x:c r="J1627" s="31" t="inlineStr">
        <x:is>
          <x:t xml:space="preserve">СОТР-093</x:t>
        </x:is>
      </x:c>
      <x:c r="K1627" s="31" t="n">
        <x:v>20.5</x:v>
      </x:c>
      <x:c r="L1627" s="31" t="n">
        <x:v>19.7</x:v>
      </x:c>
      <x:c r="M1627" s="31" t="n">
        <x:v>46136</x:v>
      </x:c>
      <x:c r="N1627" s="31" t="n">
        <x:v>46138</x:v>
      </x:c>
      <x:c r="O1627" s="31" t="n">
        <x:v>46136</x:v>
      </x:c>
      <x:c r="P1627" s="31" t="n">
        <x:v>46137</x:v>
      </x:c>
      <x:c r="Q1627" s="31" t="inlineStr">
        <x:is>
          <x:t xml:space="preserve">Завершено</x:t>
        </x:is>
      </x:c>
      <x:c r="R1627" s="31" t="inlineStr">
        <x:is>
          <x:t xml:space="preserve">Нет</x:t>
        </x:is>
      </x:c>
      <x:c r="S1627" s="31" t="inlineStr">
        <x:is>
          <x:t xml:space="preserve">Нет</x:t>
        </x:is>
      </x:c>
    </x:row>
    <x:row r="1628">
      <x:c r="A1628" s="31" t="inlineStr">
        <x:is>
          <x:t xml:space="preserve">ОП-001627</x:t>
        </x:is>
      </x:c>
      <x:c r="B1628" s="31" t="inlineStr">
        <x:is>
          <x:t xml:space="preserve">ПЗ-00194</x:t>
        </x:is>
      </x:c>
      <x:c r="C1628" s="31" t="inlineStr">
        <x:is>
          <x:t xml:space="preserve">ЗК-1093</x:t>
        </x:is>
      </x:c>
      <x:c r="D1628" s="31" t="inlineStr">
        <x:is>
          <x:t xml:space="preserve">ПОЗ-0093-3</x:t>
        </x:is>
      </x:c>
      <x:c r="E1628" s="31" t="inlineStr">
        <x:is>
          <x:t xml:space="preserve">ИЗД-023</x:t>
        </x:is>
      </x:c>
      <x:c r="F1628" s="31" t="n">
        <x:v>90</x:v>
      </x:c>
      <x:c r="G1628" s="31" t="inlineStr">
        <x:is>
          <x:t xml:space="preserve">Упаковка</x:t>
        </x:is>
      </x:c>
      <x:c r="H1628" s="31" t="inlineStr">
        <x:is>
          <x:t xml:space="preserve">Логистика</x:t>
        </x:is>
      </x:c>
      <x:c r="I1628" s="31" t="n"/>
      <x:c r="J1628" s="31" t="inlineStr">
        <x:is>
          <x:t xml:space="preserve">СОТР-101</x:t>
        </x:is>
      </x:c>
      <x:c r="K1628" s="31" t="n">
        <x:v>24</x:v>
      </x:c>
      <x:c r="L1628" s="31" t="n">
        <x:v>25.1</x:v>
      </x:c>
      <x:c r="M1628" s="31" t="n">
        <x:v>46138</x:v>
      </x:c>
      <x:c r="N1628" s="31" t="n">
        <x:v>46140</x:v>
      </x:c>
      <x:c r="O1628" s="31" t="n">
        <x:v>46138</x:v>
      </x:c>
      <x:c r="P1628" s="31" t="n">
        <x:v>46140</x:v>
      </x:c>
      <x:c r="Q1628" s="31" t="inlineStr">
        <x:is>
          <x:t xml:space="preserve">Завершено</x:t>
        </x:is>
      </x:c>
      <x:c r="R1628" s="31" t="inlineStr">
        <x:is>
          <x:t xml:space="preserve">Нет</x:t>
        </x:is>
      </x:c>
      <x:c r="S1628" s="31" t="inlineStr">
        <x:is>
          <x:t xml:space="preserve">Нет</x:t>
        </x:is>
      </x:c>
    </x:row>
    <x:row r="1629">
      <x:c r="A1629" s="31" t="inlineStr">
        <x:is>
          <x:t xml:space="preserve">ОП-001628</x:t>
        </x:is>
      </x:c>
      <x:c r="B1629" s="31" t="inlineStr">
        <x:is>
          <x:t xml:space="preserve">ПЗ-00195</x:t>
        </x:is>
      </x:c>
      <x:c r="C1629" s="31" t="inlineStr">
        <x:is>
          <x:t xml:space="preserve">ЗК-1093</x:t>
        </x:is>
      </x:c>
      <x:c r="D1629" s="31" t="inlineStr">
        <x:is>
          <x:t xml:space="preserve">ПОЗ-0093-4</x:t>
        </x:is>
      </x:c>
      <x:c r="E1629" s="31" t="inlineStr">
        <x:is>
          <x:t xml:space="preserve">ИЗД-006</x:t>
        </x:is>
      </x:c>
      <x:c r="F1629" s="31" t="n">
        <x:v>10</x:v>
      </x:c>
      <x:c r="G1629" s="31" t="inlineStr">
        <x:is>
          <x:t xml:space="preserve">КД</x:t>
        </x:is>
      </x:c>
      <x:c r="H1629" s="31" t="inlineStr">
        <x:is>
          <x:t xml:space="preserve">Инженерный отдел</x:t>
        </x:is>
      </x:c>
      <x:c r="I1629" s="31" t="n"/>
      <x:c r="J1629" s="31" t="inlineStr">
        <x:is>
          <x:t xml:space="preserve">СОТР-020</x:t>
        </x:is>
      </x:c>
      <x:c r="K1629" s="31" t="n">
        <x:v>61.2</x:v>
      </x:c>
      <x:c r="L1629" s="31" t="n">
        <x:v>49.1</x:v>
      </x:c>
      <x:c r="M1629" s="31" t="n">
        <x:v>46096</x:v>
      </x:c>
      <x:c r="N1629" s="31" t="n">
        <x:v>46102</x:v>
      </x:c>
      <x:c r="O1629" s="31" t="n">
        <x:v>46096</x:v>
      </x:c>
      <x:c r="P1629" s="31" t="n">
        <x:v>46102</x:v>
      </x:c>
      <x:c r="Q1629" s="31" t="inlineStr">
        <x:is>
          <x:t xml:space="preserve">Завершено</x:t>
        </x:is>
      </x:c>
      <x:c r="R1629" s="31" t="inlineStr">
        <x:is>
          <x:t xml:space="preserve">Нет</x:t>
        </x:is>
      </x:c>
      <x:c r="S1629" s="31" t="inlineStr">
        <x:is>
          <x:t xml:space="preserve">Нет</x:t>
        </x:is>
      </x:c>
    </x:row>
    <x:row r="1630">
      <x:c r="A1630" s="31" t="inlineStr">
        <x:is>
          <x:t xml:space="preserve">ОП-001629</x:t>
        </x:is>
      </x:c>
      <x:c r="B1630" s="31" t="inlineStr">
        <x:is>
          <x:t xml:space="preserve">ПЗ-00195</x:t>
        </x:is>
      </x:c>
      <x:c r="C1630" s="31" t="inlineStr">
        <x:is>
          <x:t xml:space="preserve">ЗК-1093</x:t>
        </x:is>
      </x:c>
      <x:c r="D1630" s="31" t="inlineStr">
        <x:is>
          <x:t xml:space="preserve">ПОЗ-0093-4</x:t>
        </x:is>
      </x:c>
      <x:c r="E1630" s="31" t="inlineStr">
        <x:is>
          <x:t xml:space="preserve">ИЗД-006</x:t>
        </x:is>
      </x:c>
      <x:c r="F1630" s="31" t="n">
        <x:v>20</x:v>
      </x:c>
      <x:c r="G1630" s="31" t="inlineStr">
        <x:is>
          <x:t xml:space="preserve">Резерв материалов</x:t>
        </x:is>
      </x:c>
      <x:c r="H1630" s="31" t="inlineStr">
        <x:is>
          <x:t xml:space="preserve">Склад</x:t>
        </x:is>
      </x:c>
      <x:c r="I1630" s="31" t="inlineStr">
        <x:is>
          <x:t xml:space="preserve">ОБ-025</x:t>
        </x:is>
      </x:c>
      <x:c r="J1630" s="31" t="inlineStr">
        <x:is>
          <x:t xml:space="preserve">СОТР-024</x:t>
        </x:is>
      </x:c>
      <x:c r="K1630" s="31" t="n">
        <x:v>9.199999999999999</x:v>
      </x:c>
      <x:c r="L1630" s="31" t="n">
        <x:v>11.9</x:v>
      </x:c>
      <x:c r="M1630" s="31" t="n">
        <x:v>46102</x:v>
      </x:c>
      <x:c r="N1630" s="31" t="n">
        <x:v>46103</x:v>
      </x:c>
      <x:c r="O1630" s="31" t="n">
        <x:v>46102</x:v>
      </x:c>
      <x:c r="P1630" s="31" t="n">
        <x:v>46102</x:v>
      </x:c>
      <x:c r="Q1630" s="31" t="inlineStr">
        <x:is>
          <x:t xml:space="preserve">Завершено</x:t>
        </x:is>
      </x:c>
      <x:c r="R1630" s="31" t="inlineStr">
        <x:is>
          <x:t xml:space="preserve">Нет</x:t>
        </x:is>
      </x:c>
      <x:c r="S1630" s="31" t="inlineStr">
        <x:is>
          <x:t xml:space="preserve">Нет</x:t>
        </x:is>
      </x:c>
    </x:row>
    <x:row r="1631">
      <x:c r="A1631" s="31" t="inlineStr">
        <x:is>
          <x:t xml:space="preserve">ОП-001630</x:t>
        </x:is>
      </x:c>
      <x:c r="B1631" s="31" t="inlineStr">
        <x:is>
          <x:t xml:space="preserve">ПЗ-00195</x:t>
        </x:is>
      </x:c>
      <x:c r="C1631" s="31" t="inlineStr">
        <x:is>
          <x:t xml:space="preserve">ЗК-1093</x:t>
        </x:is>
      </x:c>
      <x:c r="D1631" s="31" t="inlineStr">
        <x:is>
          <x:t xml:space="preserve">ПОЗ-0093-4</x:t>
        </x:is>
      </x:c>
      <x:c r="E1631" s="31" t="inlineStr">
        <x:is>
          <x:t xml:space="preserve">ИЗД-006</x:t>
        </x:is>
      </x:c>
      <x:c r="F1631" s="31" t="n">
        <x:v>30</x:v>
      </x:c>
      <x:c r="G1631" s="31" t="inlineStr">
        <x:is>
          <x:t xml:space="preserve">Резка металла</x:t>
        </x:is>
      </x:c>
      <x:c r="H1631" s="31" t="inlineStr">
        <x:is>
          <x:t xml:space="preserve">Сварка</x:t>
        </x:is>
      </x:c>
      <x:c r="I1631" s="31" t="inlineStr">
        <x:is>
          <x:t xml:space="preserve">ОБ-010</x:t>
        </x:is>
      </x:c>
      <x:c r="J1631" s="31" t="inlineStr">
        <x:is>
          <x:t xml:space="preserve">СОТР-072</x:t>
        </x:is>
      </x:c>
      <x:c r="K1631" s="31" t="n">
        <x:v>55.6</x:v>
      </x:c>
      <x:c r="L1631" s="31" t="n">
        <x:v>48.3</x:v>
      </x:c>
      <x:c r="M1631" s="31" t="n">
        <x:v>46103</x:v>
      </x:c>
      <x:c r="N1631" s="31" t="n">
        <x:v>46108</x:v>
      </x:c>
      <x:c r="O1631" s="31" t="n">
        <x:v>46103</x:v>
      </x:c>
      <x:c r="P1631" s="31" t="n">
        <x:v>46109</x:v>
      </x:c>
      <x:c r="Q1631" s="31" t="inlineStr">
        <x:is>
          <x:t xml:space="preserve">Завершено</x:t>
        </x:is>
      </x:c>
      <x:c r="R1631" s="31" t="inlineStr">
        <x:is>
          <x:t xml:space="preserve">Нет</x:t>
        </x:is>
      </x:c>
      <x:c r="S1631" s="31" t="inlineStr">
        <x:is>
          <x:t xml:space="preserve">Нет</x:t>
        </x:is>
      </x:c>
    </x:row>
    <x:row r="1632">
      <x:c r="A1632" s="31" t="inlineStr">
        <x:is>
          <x:t xml:space="preserve">ОП-001631</x:t>
        </x:is>
      </x:c>
      <x:c r="B1632" s="31" t="inlineStr">
        <x:is>
          <x:t xml:space="preserve">ПЗ-00195</x:t>
        </x:is>
      </x:c>
      <x:c r="C1632" s="31" t="inlineStr">
        <x:is>
          <x:t xml:space="preserve">ЗК-1093</x:t>
        </x:is>
      </x:c>
      <x:c r="D1632" s="31" t="inlineStr">
        <x:is>
          <x:t xml:space="preserve">ПОЗ-0093-4</x:t>
        </x:is>
      </x:c>
      <x:c r="E1632" s="31" t="inlineStr">
        <x:is>
          <x:t xml:space="preserve">ИЗД-006</x:t>
        </x:is>
      </x:c>
      <x:c r="F1632" s="31" t="n">
        <x:v>40</x:v>
      </x:c>
      <x:c r="G1632" s="31" t="inlineStr">
        <x:is>
          <x:t xml:space="preserve">Сварка рамы</x:t>
        </x:is>
      </x:c>
      <x:c r="H1632" s="31" t="inlineStr">
        <x:is>
          <x:t xml:space="preserve">Сварка</x:t>
        </x:is>
      </x:c>
      <x:c r="I1632" s="31" t="inlineStr">
        <x:is>
          <x:t xml:space="preserve">ОБ-035</x:t>
        </x:is>
      </x:c>
      <x:c r="J1632" s="31" t="inlineStr">
        <x:is>
          <x:t xml:space="preserve">СОТР-059</x:t>
        </x:is>
      </x:c>
      <x:c r="K1632" s="31" t="n">
        <x:v>34</x:v>
      </x:c>
      <x:c r="L1632" s="31" t="n">
        <x:v>45.8</x:v>
      </x:c>
      <x:c r="M1632" s="31" t="n">
        <x:v>46108</x:v>
      </x:c>
      <x:c r="N1632" s="31" t="n">
        <x:v>46111</x:v>
      </x:c>
      <x:c r="O1632" s="31" t="n">
        <x:v>46108</x:v>
      </x:c>
      <x:c r="P1632" s="31" t="n">
        <x:v>46111</x:v>
      </x:c>
      <x:c r="Q1632" s="31" t="inlineStr">
        <x:is>
          <x:t xml:space="preserve">Завершено</x:t>
        </x:is>
      </x:c>
      <x:c r="R1632" s="31" t="inlineStr">
        <x:is>
          <x:t xml:space="preserve">Нет</x:t>
        </x:is>
      </x:c>
      <x:c r="S1632" s="31" t="inlineStr">
        <x:is>
          <x:t xml:space="preserve">Нет</x:t>
        </x:is>
      </x:c>
    </x:row>
    <x:row r="1633">
      <x:c r="A1633" s="31" t="inlineStr">
        <x:is>
          <x:t xml:space="preserve">ОП-001632</x:t>
        </x:is>
      </x:c>
      <x:c r="B1633" s="31" t="inlineStr">
        <x:is>
          <x:t xml:space="preserve">ПЗ-00195</x:t>
        </x:is>
      </x:c>
      <x:c r="C1633" s="31" t="inlineStr">
        <x:is>
          <x:t xml:space="preserve">ЗК-1093</x:t>
        </x:is>
      </x:c>
      <x:c r="D1633" s="31" t="inlineStr">
        <x:is>
          <x:t xml:space="preserve">ПОЗ-0093-4</x:t>
        </x:is>
      </x:c>
      <x:c r="E1633" s="31" t="inlineStr">
        <x:is>
          <x:t xml:space="preserve">ИЗД-006</x:t>
        </x:is>
      </x:c>
      <x:c r="F1633" s="31" t="n">
        <x:v>50</x:v>
      </x:c>
      <x:c r="G1633" s="31" t="inlineStr">
        <x:is>
          <x:t xml:space="preserve">Механообработка</x:t>
        </x:is>
      </x:c>
      <x:c r="H1633" s="31" t="inlineStr">
        <x:is>
          <x:t xml:space="preserve">Механообработка</x:t>
        </x:is>
      </x:c>
      <x:c r="I1633" s="31" t="inlineStr">
        <x:is>
          <x:t xml:space="preserve">ОБ-030</x:t>
        </x:is>
      </x:c>
      <x:c r="J1633" s="31" t="inlineStr">
        <x:is>
          <x:t xml:space="preserve">СОТР-051</x:t>
        </x:is>
      </x:c>
      <x:c r="K1633" s="31" t="n">
        <x:v>12.8</x:v>
      </x:c>
      <x:c r="L1633" s="31" t="n">
        <x:v>16.9</x:v>
      </x:c>
      <x:c r="M1633" s="31" t="n">
        <x:v>46111</x:v>
      </x:c>
      <x:c r="N1633" s="31" t="n">
        <x:v>46113</x:v>
      </x:c>
      <x:c r="O1633" s="31" t="n">
        <x:v>46111</x:v>
      </x:c>
      <x:c r="P1633" s="31" t="n">
        <x:v>46112</x:v>
      </x:c>
      <x:c r="Q1633" s="31" t="inlineStr">
        <x:is>
          <x:t xml:space="preserve">Завершено</x:t>
        </x:is>
      </x:c>
      <x:c r="R1633" s="31" t="inlineStr">
        <x:is>
          <x:t xml:space="preserve">Нет</x:t>
        </x:is>
      </x:c>
      <x:c r="S1633" s="31" t="inlineStr">
        <x:is>
          <x:t xml:space="preserve">Да</x:t>
        </x:is>
      </x:c>
    </x:row>
    <x:row r="1634">
      <x:c r="A1634" s="31" t="inlineStr">
        <x:is>
          <x:t xml:space="preserve">ОП-001633</x:t>
        </x:is>
      </x:c>
      <x:c r="B1634" s="31" t="inlineStr">
        <x:is>
          <x:t xml:space="preserve">ПЗ-00195</x:t>
        </x:is>
      </x:c>
      <x:c r="C1634" s="31" t="inlineStr">
        <x:is>
          <x:t xml:space="preserve">ЗК-1093</x:t>
        </x:is>
      </x:c>
      <x:c r="D1634" s="31" t="inlineStr">
        <x:is>
          <x:t xml:space="preserve">ПОЗ-0093-4</x:t>
        </x:is>
      </x:c>
      <x:c r="E1634" s="31" t="inlineStr">
        <x:is>
          <x:t xml:space="preserve">ИЗД-006</x:t>
        </x:is>
      </x:c>
      <x:c r="F1634" s="31" t="n">
        <x:v>60</x:v>
      </x:c>
      <x:c r="G1634" s="31" t="inlineStr">
        <x:is>
          <x:t xml:space="preserve">Сборка</x:t>
        </x:is>
      </x:c>
      <x:c r="H1634" s="31" t="inlineStr">
        <x:is>
          <x:t xml:space="preserve">Сборка</x:t>
        </x:is>
      </x:c>
      <x:c r="I1634" s="31" t="inlineStr">
        <x:is>
          <x:t xml:space="preserve">ОБ-005</x:t>
        </x:is>
      </x:c>
      <x:c r="J1634" s="31" t="inlineStr">
        <x:is>
          <x:t xml:space="preserve">СОТР-086</x:t>
        </x:is>
      </x:c>
      <x:c r="K1634" s="31" t="n">
        <x:v>15.6</x:v>
      </x:c>
      <x:c r="L1634" s="31" t="n">
        <x:v>18.7</x:v>
      </x:c>
      <x:c r="M1634" s="31" t="n">
        <x:v>46113</x:v>
      </x:c>
      <x:c r="N1634" s="31" t="n">
        <x:v>46115</x:v>
      </x:c>
      <x:c r="O1634" s="31" t="n">
        <x:v>46113</x:v>
      </x:c>
      <x:c r="P1634" s="31" t="n">
        <x:v>46117</x:v>
      </x:c>
      <x:c r="Q1634" s="31" t="inlineStr">
        <x:is>
          <x:t xml:space="preserve">Завершено</x:t>
        </x:is>
      </x:c>
      <x:c r="R1634" s="31" t="inlineStr">
        <x:is>
          <x:t xml:space="preserve">Нет</x:t>
        </x:is>
      </x:c>
      <x:c r="S1634" s="31" t="inlineStr">
        <x:is>
          <x:t xml:space="preserve">Нет</x:t>
        </x:is>
      </x:c>
    </x:row>
    <x:row r="1635">
      <x:c r="A1635" s="31" t="inlineStr">
        <x:is>
          <x:t xml:space="preserve">ОП-001634</x:t>
        </x:is>
      </x:c>
      <x:c r="B1635" s="31" t="inlineStr">
        <x:is>
          <x:t xml:space="preserve">ПЗ-00195</x:t>
        </x:is>
      </x:c>
      <x:c r="C1635" s="31" t="inlineStr">
        <x:is>
          <x:t xml:space="preserve">ЗК-1093</x:t>
        </x:is>
      </x:c>
      <x:c r="D1635" s="31" t="inlineStr">
        <x:is>
          <x:t xml:space="preserve">ПОЗ-0093-4</x:t>
        </x:is>
      </x:c>
      <x:c r="E1635" s="31" t="inlineStr">
        <x:is>
          <x:t xml:space="preserve">ИЗД-006</x:t>
        </x:is>
      </x:c>
      <x:c r="F1635" s="31" t="n">
        <x:v>70</x:v>
      </x:c>
      <x:c r="G1635" s="31" t="inlineStr">
        <x:is>
          <x:t xml:space="preserve">Электромонтаж</x:t>
        </x:is>
      </x:c>
      <x:c r="H1635" s="31" t="inlineStr">
        <x:is>
          <x:t xml:space="preserve">Сборка</x:t>
        </x:is>
      </x:c>
      <x:c r="I1635" s="31" t="inlineStr">
        <x:is>
          <x:t xml:space="preserve">ОБ-016</x:t>
        </x:is>
      </x:c>
      <x:c r="J1635" s="31" t="inlineStr">
        <x:is>
          <x:t xml:space="preserve">СОТР-032</x:t>
        </x:is>
      </x:c>
      <x:c r="K1635" s="31" t="n">
        <x:v>44.8</x:v>
      </x:c>
      <x:c r="L1635" s="31" t="n"/>
      <x:c r="M1635" s="31" t="n">
        <x:v>46115</x:v>
      </x:c>
      <x:c r="N1635" s="31" t="n">
        <x:v>46119</x:v>
      </x:c>
      <x:c r="O1635" s="31" t="n">
        <x:v>46115</x:v>
      </x:c>
      <x:c r="P1635" s="31" t="n"/>
      <x:c r="Q1635" s="31" t="inlineStr">
        <x:is>
          <x:t xml:space="preserve">В работе</x:t>
        </x:is>
      </x:c>
      <x:c r="R1635" s="31" t="inlineStr">
        <x:is>
          <x:t xml:space="preserve">Материал</x:t>
        </x:is>
      </x:c>
      <x:c r="S1635" s="31" t="inlineStr">
        <x:is>
          <x:t xml:space="preserve">Нет</x:t>
        </x:is>
      </x:c>
    </x:row>
    <x:row r="1636">
      <x:c r="A1636" s="31" t="inlineStr">
        <x:is>
          <x:t xml:space="preserve">ОП-001635</x:t>
        </x:is>
      </x:c>
      <x:c r="B1636" s="31" t="inlineStr">
        <x:is>
          <x:t xml:space="preserve">ПЗ-00195</x:t>
        </x:is>
      </x:c>
      <x:c r="C1636" s="31" t="inlineStr">
        <x:is>
          <x:t xml:space="preserve">ЗК-1093</x:t>
        </x:is>
      </x:c>
      <x:c r="D1636" s="31" t="inlineStr">
        <x:is>
          <x:t xml:space="preserve">ПОЗ-0093-4</x:t>
        </x:is>
      </x:c>
      <x:c r="E1636" s="31" t="inlineStr">
        <x:is>
          <x:t xml:space="preserve">ИЗД-006</x:t>
        </x:is>
      </x:c>
      <x:c r="F1636" s="31" t="n">
        <x:v>80</x:v>
      </x:c>
      <x:c r="G1636" s="31" t="inlineStr">
        <x:is>
          <x:t xml:space="preserve">Гидроиспытания</x:t>
        </x:is>
      </x:c>
      <x:c r="H1636" s="31" t="inlineStr">
        <x:is>
          <x:t xml:space="preserve">ОТК</x:t>
        </x:is>
      </x:c>
      <x:c r="I1636" s="31" t="inlineStr">
        <x:is>
          <x:t xml:space="preserve">ОБ-007</x:t>
        </x:is>
      </x:c>
      <x:c r="J1636" s="31" t="inlineStr">
        <x:is>
          <x:t xml:space="preserve">СОТР-096</x:t>
        </x:is>
      </x:c>
      <x:c r="K1636" s="31" t="n">
        <x:v>60.8</x:v>
      </x:c>
      <x:c r="L1636" s="31" t="n"/>
      <x:c r="M1636" s="31" t="n">
        <x:v>46119</x:v>
      </x:c>
      <x:c r="N1636" s="31" t="n">
        <x:v>46125</x:v>
      </x:c>
      <x:c r="O1636" s="31" t="n"/>
      <x:c r="P1636" s="31" t="n"/>
      <x:c r="Q1636" s="31" t="inlineStr">
        <x:is>
          <x:t xml:space="preserve">Запланировано</x:t>
        </x:is>
      </x:c>
      <x:c r="R1636" s="31" t="inlineStr">
        <x:is>
          <x:t xml:space="preserve">Оборудование</x:t>
        </x:is>
      </x:c>
      <x:c r="S1636" s="31" t="inlineStr">
        <x:is>
          <x:t xml:space="preserve">Да</x:t>
        </x:is>
      </x:c>
    </x:row>
    <x:row r="1637">
      <x:c r="A1637" s="31" t="inlineStr">
        <x:is>
          <x:t xml:space="preserve">ОП-001636</x:t>
        </x:is>
      </x:c>
      <x:c r="B1637" s="31" t="inlineStr">
        <x:is>
          <x:t xml:space="preserve">ПЗ-00195</x:t>
        </x:is>
      </x:c>
      <x:c r="C1637" s="31" t="inlineStr">
        <x:is>
          <x:t xml:space="preserve">ЗК-1093</x:t>
        </x:is>
      </x:c>
      <x:c r="D1637" s="31" t="inlineStr">
        <x:is>
          <x:t xml:space="preserve">ПОЗ-0093-4</x:t>
        </x:is>
      </x:c>
      <x:c r="E1637" s="31" t="inlineStr">
        <x:is>
          <x:t xml:space="preserve">ИЗД-006</x:t>
        </x:is>
      </x:c>
      <x:c r="F1637" s="31" t="n">
        <x:v>90</x:v>
      </x:c>
      <x:c r="G1637" s="31" t="inlineStr">
        <x:is>
          <x:t xml:space="preserve">ОТК</x:t>
        </x:is>
      </x:c>
      <x:c r="H1637" s="31" t="inlineStr">
        <x:is>
          <x:t xml:space="preserve">ОТК</x:t>
        </x:is>
      </x:c>
      <x:c r="I1637" s="31" t="inlineStr">
        <x:is>
          <x:t xml:space="preserve">ОБ-024</x:t>
        </x:is>
      </x:c>
      <x:c r="J1637" s="31" t="inlineStr">
        <x:is>
          <x:t xml:space="preserve">СОТР-093</x:t>
        </x:is>
      </x:c>
      <x:c r="K1637" s="31" t="n">
        <x:v>20.4</x:v>
      </x:c>
      <x:c r="L1637" s="31" t="n">
        <x:v>22.6</x:v>
      </x:c>
      <x:c r="M1637" s="31" t="n">
        <x:v>46125</x:v>
      </x:c>
      <x:c r="N1637" s="31" t="n">
        <x:v>46127</x:v>
      </x:c>
      <x:c r="O1637" s="31" t="n">
        <x:v>46125</x:v>
      </x:c>
      <x:c r="P1637" s="31" t="n">
        <x:v>46126</x:v>
      </x:c>
      <x:c r="Q1637" s="31" t="inlineStr">
        <x:is>
          <x:t xml:space="preserve">Завершено</x:t>
        </x:is>
      </x:c>
      <x:c r="R1637" s="31" t="inlineStr">
        <x:is>
          <x:t xml:space="preserve">Нет</x:t>
        </x:is>
      </x:c>
      <x:c r="S1637" s="31" t="inlineStr">
        <x:is>
          <x:t xml:space="preserve">Нет</x:t>
        </x:is>
      </x:c>
    </x:row>
    <x:row r="1638">
      <x:c r="A1638" s="31" t="inlineStr">
        <x:is>
          <x:t xml:space="preserve">ОП-001637</x:t>
        </x:is>
      </x:c>
      <x:c r="B1638" s="31" t="inlineStr">
        <x:is>
          <x:t xml:space="preserve">ПЗ-00195</x:t>
        </x:is>
      </x:c>
      <x:c r="C1638" s="31" t="inlineStr">
        <x:is>
          <x:t xml:space="preserve">ЗК-1093</x:t>
        </x:is>
      </x:c>
      <x:c r="D1638" s="31" t="inlineStr">
        <x:is>
          <x:t xml:space="preserve">ПОЗ-0093-4</x:t>
        </x:is>
      </x:c>
      <x:c r="E1638" s="31" t="inlineStr">
        <x:is>
          <x:t xml:space="preserve">ИЗД-006</x:t>
        </x:is>
      </x:c>
      <x:c r="F1638" s="31" t="n">
        <x:v>100</x:v>
      </x:c>
      <x:c r="G1638" s="31" t="inlineStr">
        <x:is>
          <x:t xml:space="preserve">Упаковка</x:t>
        </x:is>
      </x:c>
      <x:c r="H1638" s="31" t="inlineStr">
        <x:is>
          <x:t xml:space="preserve">Логистика</x:t>
        </x:is>
      </x:c>
      <x:c r="I1638" s="31" t="n"/>
      <x:c r="J1638" s="31" t="inlineStr">
        <x:is>
          <x:t xml:space="preserve">СОТР-105</x:t>
        </x:is>
      </x:c>
      <x:c r="K1638" s="31" t="n">
        <x:v>49.6</x:v>
      </x:c>
      <x:c r="L1638" s="31" t="n"/>
      <x:c r="M1638" s="31" t="n">
        <x:v>46127</x:v>
      </x:c>
      <x:c r="N1638" s="31" t="n">
        <x:v>46132</x:v>
      </x:c>
      <x:c r="O1638" s="31" t="n">
        <x:v>46127</x:v>
      </x:c>
      <x:c r="P1638" s="31" t="n"/>
      <x:c r="Q1638" s="31" t="inlineStr">
        <x:is>
          <x:t xml:space="preserve">В работе</x:t>
        </x:is>
      </x:c>
      <x:c r="R1638" s="31" t="inlineStr">
        <x:is>
          <x:t xml:space="preserve">Нет</x:t>
        </x:is>
      </x:c>
      <x:c r="S1638" s="31" t="inlineStr">
        <x:is>
          <x:t xml:space="preserve">Нет</x:t>
        </x:is>
      </x:c>
    </x:row>
    <x:row r="1639">
      <x:c r="A1639" s="31" t="inlineStr">
        <x:is>
          <x:t xml:space="preserve">ОП-001638</x:t>
        </x:is>
      </x:c>
      <x:c r="B1639" s="31" t="inlineStr">
        <x:is>
          <x:t xml:space="preserve">ПЗ-00196</x:t>
        </x:is>
      </x:c>
      <x:c r="C1639" s="31" t="inlineStr">
        <x:is>
          <x:t xml:space="preserve">ЗК-1094</x:t>
        </x:is>
      </x:c>
      <x:c r="D1639" s="31" t="inlineStr">
        <x:is>
          <x:t xml:space="preserve">ПОЗ-0094-1</x:t>
        </x:is>
      </x:c>
      <x:c r="E1639" s="31" t="inlineStr">
        <x:is>
          <x:t xml:space="preserve">ИЗД-044</x:t>
        </x:is>
      </x:c>
      <x:c r="F1639" s="31" t="n">
        <x:v>10</x:v>
      </x:c>
      <x:c r="G1639" s="31" t="inlineStr">
        <x:is>
          <x:t xml:space="preserve">КД</x:t>
        </x:is>
      </x:c>
      <x:c r="H1639" s="31" t="inlineStr">
        <x:is>
          <x:t xml:space="preserve">Инженерный отдел</x:t>
        </x:is>
      </x:c>
      <x:c r="I1639" s="31" t="n"/>
      <x:c r="J1639" s="31" t="inlineStr">
        <x:is>
          <x:t xml:space="preserve">СОТР-015</x:t>
        </x:is>
      </x:c>
      <x:c r="K1639" s="31" t="n">
        <x:v>82.2</x:v>
      </x:c>
      <x:c r="L1639" s="31" t="n">
        <x:v>87.2</x:v>
      </x:c>
      <x:c r="M1639" s="31" t="n">
        <x:v>46144</x:v>
      </x:c>
      <x:c r="N1639" s="31" t="n">
        <x:v>46151</x:v>
      </x:c>
      <x:c r="O1639" s="31" t="n">
        <x:v>46144</x:v>
      </x:c>
      <x:c r="P1639" s="31" t="n">
        <x:v>46150</x:v>
      </x:c>
      <x:c r="Q1639" s="31" t="inlineStr">
        <x:is>
          <x:t xml:space="preserve">Завершено</x:t>
        </x:is>
      </x:c>
      <x:c r="R1639" s="31" t="inlineStr">
        <x:is>
          <x:t xml:space="preserve">Нет</x:t>
        </x:is>
      </x:c>
      <x:c r="S1639" s="31" t="inlineStr">
        <x:is>
          <x:t xml:space="preserve">Нет</x:t>
        </x:is>
      </x:c>
    </x:row>
    <x:row r="1640">
      <x:c r="A1640" s="31" t="inlineStr">
        <x:is>
          <x:t xml:space="preserve">ОП-001639</x:t>
        </x:is>
      </x:c>
      <x:c r="B1640" s="31" t="inlineStr">
        <x:is>
          <x:t xml:space="preserve">ПЗ-00196</x:t>
        </x:is>
      </x:c>
      <x:c r="C1640" s="31" t="inlineStr">
        <x:is>
          <x:t xml:space="preserve">ЗК-1094</x:t>
        </x:is>
      </x:c>
      <x:c r="D1640" s="31" t="inlineStr">
        <x:is>
          <x:t xml:space="preserve">ПОЗ-0094-1</x:t>
        </x:is>
      </x:c>
      <x:c r="E1640" s="31" t="inlineStr">
        <x:is>
          <x:t xml:space="preserve">ИЗД-044</x:t>
        </x:is>
      </x:c>
      <x:c r="F1640" s="31" t="n">
        <x:v>20</x:v>
      </x:c>
      <x:c r="G1640" s="31" t="inlineStr">
        <x:is>
          <x:t xml:space="preserve">Резерв материалов</x:t>
        </x:is>
      </x:c>
      <x:c r="H1640" s="31" t="inlineStr">
        <x:is>
          <x:t xml:space="preserve">Склад</x:t>
        </x:is>
      </x:c>
      <x:c r="I1640" s="31" t="inlineStr">
        <x:is>
          <x:t xml:space="preserve">ОБ-023</x:t>
        </x:is>
      </x:c>
      <x:c r="J1640" s="31" t="inlineStr">
        <x:is>
          <x:t xml:space="preserve">СОТР-024</x:t>
        </x:is>
      </x:c>
      <x:c r="K1640" s="31" t="n">
        <x:v>12.3</x:v>
      </x:c>
      <x:c r="L1640" s="31" t="n">
        <x:v>11.3</x:v>
      </x:c>
      <x:c r="M1640" s="31" t="n">
        <x:v>46151</x:v>
      </x:c>
      <x:c r="N1640" s="31" t="n">
        <x:v>46153</x:v>
      </x:c>
      <x:c r="O1640" s="31" t="n">
        <x:v>46151</x:v>
      </x:c>
      <x:c r="P1640" s="31" t="n">
        <x:v>46152</x:v>
      </x:c>
      <x:c r="Q1640" s="31" t="inlineStr">
        <x:is>
          <x:t xml:space="preserve">Завершено</x:t>
        </x:is>
      </x:c>
      <x:c r="R1640" s="31" t="inlineStr">
        <x:is>
          <x:t xml:space="preserve">Нет</x:t>
        </x:is>
      </x:c>
      <x:c r="S1640" s="31" t="inlineStr">
        <x:is>
          <x:t xml:space="preserve">Нет</x:t>
        </x:is>
      </x:c>
    </x:row>
    <x:row r="1641">
      <x:c r="A1641" s="31" t="inlineStr">
        <x:is>
          <x:t xml:space="preserve">ОП-001640</x:t>
        </x:is>
      </x:c>
      <x:c r="B1641" s="31" t="inlineStr">
        <x:is>
          <x:t xml:space="preserve">ПЗ-00196</x:t>
        </x:is>
      </x:c>
      <x:c r="C1641" s="31" t="inlineStr">
        <x:is>
          <x:t xml:space="preserve">ЗК-1094</x:t>
        </x:is>
      </x:c>
      <x:c r="D1641" s="31" t="inlineStr">
        <x:is>
          <x:t xml:space="preserve">ПОЗ-0094-1</x:t>
        </x:is>
      </x:c>
      <x:c r="E1641" s="31" t="inlineStr">
        <x:is>
          <x:t xml:space="preserve">ИЗД-044</x:t>
        </x:is>
      </x:c>
      <x:c r="F1641" s="31" t="n">
        <x:v>30</x:v>
      </x:c>
      <x:c r="G1641" s="31" t="inlineStr">
        <x:is>
          <x:t xml:space="preserve">Сварка рамы</x:t>
        </x:is>
      </x:c>
      <x:c r="H1641" s="31" t="inlineStr">
        <x:is>
          <x:t xml:space="preserve">Сварка</x:t>
        </x:is>
      </x:c>
      <x:c r="I1641" s="31" t="inlineStr">
        <x:is>
          <x:t xml:space="preserve">ОБ-004</x:t>
        </x:is>
      </x:c>
      <x:c r="J1641" s="31" t="inlineStr">
        <x:is>
          <x:t xml:space="preserve">СОТР-067</x:t>
        </x:is>
      </x:c>
      <x:c r="K1641" s="31" t="n">
        <x:v>21.3</x:v>
      </x:c>
      <x:c r="L1641" s="31" t="n">
        <x:v>20.4</x:v>
      </x:c>
      <x:c r="M1641" s="31" t="n">
        <x:v>46153</x:v>
      </x:c>
      <x:c r="N1641" s="31" t="n">
        <x:v>46155</x:v>
      </x:c>
      <x:c r="O1641" s="31" t="n">
        <x:v>46153</x:v>
      </x:c>
      <x:c r="P1641" s="31" t="n">
        <x:v>46154</x:v>
      </x:c>
      <x:c r="Q1641" s="31" t="inlineStr">
        <x:is>
          <x:t xml:space="preserve">Завершено</x:t>
        </x:is>
      </x:c>
      <x:c r="R1641" s="31" t="inlineStr">
        <x:is>
          <x:t xml:space="preserve">Нет</x:t>
        </x:is>
      </x:c>
      <x:c r="S1641" s="31" t="inlineStr">
        <x:is>
          <x:t xml:space="preserve">Нет</x:t>
        </x:is>
      </x:c>
    </x:row>
    <x:row r="1642">
      <x:c r="A1642" s="31" t="inlineStr">
        <x:is>
          <x:t xml:space="preserve">ОП-001641</x:t>
        </x:is>
      </x:c>
      <x:c r="B1642" s="31" t="inlineStr">
        <x:is>
          <x:t xml:space="preserve">ПЗ-00196</x:t>
        </x:is>
      </x:c>
      <x:c r="C1642" s="31" t="inlineStr">
        <x:is>
          <x:t xml:space="preserve">ЗК-1094</x:t>
        </x:is>
      </x:c>
      <x:c r="D1642" s="31" t="inlineStr">
        <x:is>
          <x:t xml:space="preserve">ПОЗ-0094-1</x:t>
        </x:is>
      </x:c>
      <x:c r="E1642" s="31" t="inlineStr">
        <x:is>
          <x:t xml:space="preserve">ИЗД-044</x:t>
        </x:is>
      </x:c>
      <x:c r="F1642" s="31" t="n">
        <x:v>40</x:v>
      </x:c>
      <x:c r="G1642" s="31" t="inlineStr">
        <x:is>
          <x:t xml:space="preserve">Сборка</x:t>
        </x:is>
      </x:c>
      <x:c r="H1642" s="31" t="inlineStr">
        <x:is>
          <x:t xml:space="preserve">Сборка</x:t>
        </x:is>
      </x:c>
      <x:c r="I1642" s="31" t="inlineStr">
        <x:is>
          <x:t xml:space="preserve">ОБ-027</x:t>
        </x:is>
      </x:c>
      <x:c r="J1642" s="31" t="inlineStr">
        <x:is>
          <x:t xml:space="preserve">СОТР-073</x:t>
        </x:is>
      </x:c>
      <x:c r="K1642" s="31" t="n">
        <x:v>62.4</x:v>
      </x:c>
      <x:c r="L1642" s="31" t="n">
        <x:v>58.2</x:v>
      </x:c>
      <x:c r="M1642" s="31" t="n">
        <x:v>46155</x:v>
      </x:c>
      <x:c r="N1642" s="31" t="n">
        <x:v>46161</x:v>
      </x:c>
      <x:c r="O1642" s="31" t="n">
        <x:v>46155</x:v>
      </x:c>
      <x:c r="P1642" s="31" t="n">
        <x:v>46162</x:v>
      </x:c>
      <x:c r="Q1642" s="31" t="inlineStr">
        <x:is>
          <x:t xml:space="preserve">Завершено</x:t>
        </x:is>
      </x:c>
      <x:c r="R1642" s="31" t="inlineStr">
        <x:is>
          <x:t xml:space="preserve">Нет</x:t>
        </x:is>
      </x:c>
      <x:c r="S1642" s="31" t="inlineStr">
        <x:is>
          <x:t xml:space="preserve">Нет</x:t>
        </x:is>
      </x:c>
    </x:row>
    <x:row r="1643">
      <x:c r="A1643" s="31" t="inlineStr">
        <x:is>
          <x:t xml:space="preserve">ОП-001642</x:t>
        </x:is>
      </x:c>
      <x:c r="B1643" s="31" t="inlineStr">
        <x:is>
          <x:t xml:space="preserve">ПЗ-00196</x:t>
        </x:is>
      </x:c>
      <x:c r="C1643" s="31" t="inlineStr">
        <x:is>
          <x:t xml:space="preserve">ЗК-1094</x:t>
        </x:is>
      </x:c>
      <x:c r="D1643" s="31" t="inlineStr">
        <x:is>
          <x:t xml:space="preserve">ПОЗ-0094-1</x:t>
        </x:is>
      </x:c>
      <x:c r="E1643" s="31" t="inlineStr">
        <x:is>
          <x:t xml:space="preserve">ИЗД-044</x:t>
        </x:is>
      </x:c>
      <x:c r="F1643" s="31" t="n">
        <x:v>50</x:v>
      </x:c>
      <x:c r="G1643" s="31" t="inlineStr">
        <x:is>
          <x:t xml:space="preserve">Обвязка труб</x:t>
        </x:is>
      </x:c>
      <x:c r="H1643" s="31" t="inlineStr">
        <x:is>
          <x:t xml:space="preserve">Сборка</x:t>
        </x:is>
      </x:c>
      <x:c r="I1643" s="31" t="inlineStr">
        <x:is>
          <x:t xml:space="preserve">ОБ-002</x:t>
        </x:is>
      </x:c>
      <x:c r="J1643" s="31" t="inlineStr">
        <x:is>
          <x:t xml:space="preserve">СОТР-091</x:t>
        </x:is>
      </x:c>
      <x:c r="K1643" s="31" t="n">
        <x:v>82.5</x:v>
      </x:c>
      <x:c r="L1643" s="31" t="n">
        <x:v>69.40000000000001</x:v>
      </x:c>
      <x:c r="M1643" s="31" t="n">
        <x:v>46161</x:v>
      </x:c>
      <x:c r="N1643" s="31" t="n">
        <x:v>46168</x:v>
      </x:c>
      <x:c r="O1643" s="31" t="n">
        <x:v>46161</x:v>
      </x:c>
      <x:c r="P1643" s="31" t="n">
        <x:v>46169</x:v>
      </x:c>
      <x:c r="Q1643" s="31" t="inlineStr">
        <x:is>
          <x:t xml:space="preserve">Завершено</x:t>
        </x:is>
      </x:c>
      <x:c r="R1643" s="31" t="inlineStr">
        <x:is>
          <x:t xml:space="preserve">Нет</x:t>
        </x:is>
      </x:c>
      <x:c r="S1643" s="31" t="inlineStr">
        <x:is>
          <x:t xml:space="preserve">Нет</x:t>
        </x:is>
      </x:c>
    </x:row>
    <x:row r="1644">
      <x:c r="A1644" s="31" t="inlineStr">
        <x:is>
          <x:t xml:space="preserve">ОП-001643</x:t>
        </x:is>
      </x:c>
      <x:c r="B1644" s="31" t="inlineStr">
        <x:is>
          <x:t xml:space="preserve">ПЗ-00196</x:t>
        </x:is>
      </x:c>
      <x:c r="C1644" s="31" t="inlineStr">
        <x:is>
          <x:t xml:space="preserve">ЗК-1094</x:t>
        </x:is>
      </x:c>
      <x:c r="D1644" s="31" t="inlineStr">
        <x:is>
          <x:t xml:space="preserve">ПОЗ-0094-1</x:t>
        </x:is>
      </x:c>
      <x:c r="E1644" s="31" t="inlineStr">
        <x:is>
          <x:t xml:space="preserve">ИЗД-044</x:t>
        </x:is>
      </x:c>
      <x:c r="F1644" s="31" t="n">
        <x:v>60</x:v>
      </x:c>
      <x:c r="G1644" s="31" t="inlineStr">
        <x:is>
          <x:t xml:space="preserve">Электромонтаж</x:t>
        </x:is>
      </x:c>
      <x:c r="H1644" s="31" t="inlineStr">
        <x:is>
          <x:t xml:space="preserve">Сборка</x:t>
        </x:is>
      </x:c>
      <x:c r="I1644" s="31" t="inlineStr">
        <x:is>
          <x:t xml:space="preserve">ОБ-012</x:t>
        </x:is>
      </x:c>
      <x:c r="J1644" s="31" t="inlineStr">
        <x:is>
          <x:t xml:space="preserve">СОТР-091</x:t>
        </x:is>
      </x:c>
      <x:c r="K1644" s="31" t="n">
        <x:v>50.1</x:v>
      </x:c>
      <x:c r="L1644" s="31" t="n">
        <x:v>47.6</x:v>
      </x:c>
      <x:c r="M1644" s="31" t="n">
        <x:v>46168</x:v>
      </x:c>
      <x:c r="N1644" s="31" t="n">
        <x:v>46173</x:v>
      </x:c>
      <x:c r="O1644" s="31" t="n">
        <x:v>46168</x:v>
      </x:c>
      <x:c r="P1644" s="31" t="n">
        <x:v>46172</x:v>
      </x:c>
      <x:c r="Q1644" s="31" t="inlineStr">
        <x:is>
          <x:t xml:space="preserve">Завершено</x:t>
        </x:is>
      </x:c>
      <x:c r="R1644" s="31" t="inlineStr">
        <x:is>
          <x:t xml:space="preserve">Нет</x:t>
        </x:is>
      </x:c>
      <x:c r="S1644" s="31" t="inlineStr">
        <x:is>
          <x:t xml:space="preserve">Нет</x:t>
        </x:is>
      </x:c>
    </x:row>
    <x:row r="1645">
      <x:c r="A1645" s="31" t="inlineStr">
        <x:is>
          <x:t xml:space="preserve">ОП-001644</x:t>
        </x:is>
      </x:c>
      <x:c r="B1645" s="31" t="inlineStr">
        <x:is>
          <x:t xml:space="preserve">ПЗ-00196</x:t>
        </x:is>
      </x:c>
      <x:c r="C1645" s="31" t="inlineStr">
        <x:is>
          <x:t xml:space="preserve">ЗК-1094</x:t>
        </x:is>
      </x:c>
      <x:c r="D1645" s="31" t="inlineStr">
        <x:is>
          <x:t xml:space="preserve">ПОЗ-0094-1</x:t>
        </x:is>
      </x:c>
      <x:c r="E1645" s="31" t="inlineStr">
        <x:is>
          <x:t xml:space="preserve">ИЗД-044</x:t>
        </x:is>
      </x:c>
      <x:c r="F1645" s="31" t="n">
        <x:v>70</x:v>
      </x:c>
      <x:c r="G1645" s="31" t="inlineStr">
        <x:is>
          <x:t xml:space="preserve">Гидроиспытания</x:t>
        </x:is>
      </x:c>
      <x:c r="H1645" s="31" t="inlineStr">
        <x:is>
          <x:t xml:space="preserve">ОТК</x:t>
        </x:is>
      </x:c>
      <x:c r="I1645" s="31" t="inlineStr">
        <x:is>
          <x:t xml:space="preserve">ОБ-001</x:t>
        </x:is>
      </x:c>
      <x:c r="J1645" s="31" t="inlineStr">
        <x:is>
          <x:t xml:space="preserve">СОТР-099</x:t>
        </x:is>
      </x:c>
      <x:c r="K1645" s="31" t="n">
        <x:v>65.7</x:v>
      </x:c>
      <x:c r="L1645" s="31" t="n">
        <x:v>65.3</x:v>
      </x:c>
      <x:c r="M1645" s="31" t="n">
        <x:v>46173</x:v>
      </x:c>
      <x:c r="N1645" s="31" t="n">
        <x:v>46179</x:v>
      </x:c>
      <x:c r="O1645" s="31" t="n">
        <x:v>46173</x:v>
      </x:c>
      <x:c r="P1645" s="31" t="n">
        <x:v>46180</x:v>
      </x:c>
      <x:c r="Q1645" s="31" t="inlineStr">
        <x:is>
          <x:t xml:space="preserve">Завершено</x:t>
        </x:is>
      </x:c>
      <x:c r="R1645" s="31" t="inlineStr">
        <x:is>
          <x:t xml:space="preserve">Нет</x:t>
        </x:is>
      </x:c>
      <x:c r="S1645" s="31" t="inlineStr">
        <x:is>
          <x:t xml:space="preserve">Нет</x:t>
        </x:is>
      </x:c>
    </x:row>
    <x:row r="1646">
      <x:c r="A1646" s="31" t="inlineStr">
        <x:is>
          <x:t xml:space="preserve">ОП-001645</x:t>
        </x:is>
      </x:c>
      <x:c r="B1646" s="31" t="inlineStr">
        <x:is>
          <x:t xml:space="preserve">ПЗ-00196</x:t>
        </x:is>
      </x:c>
      <x:c r="C1646" s="31" t="inlineStr">
        <x:is>
          <x:t xml:space="preserve">ЗК-1094</x:t>
        </x:is>
      </x:c>
      <x:c r="D1646" s="31" t="inlineStr">
        <x:is>
          <x:t xml:space="preserve">ПОЗ-0094-1</x:t>
        </x:is>
      </x:c>
      <x:c r="E1646" s="31" t="inlineStr">
        <x:is>
          <x:t xml:space="preserve">ИЗД-044</x:t>
        </x:is>
      </x:c>
      <x:c r="F1646" s="31" t="n">
        <x:v>80</x:v>
      </x:c>
      <x:c r="G1646" s="31" t="inlineStr">
        <x:is>
          <x:t xml:space="preserve">ОТК</x:t>
        </x:is>
      </x:c>
      <x:c r="H1646" s="31" t="inlineStr">
        <x:is>
          <x:t xml:space="preserve">ОТК</x:t>
        </x:is>
      </x:c>
      <x:c r="I1646" s="31" t="inlineStr">
        <x:is>
          <x:t xml:space="preserve">ОБ-013</x:t>
        </x:is>
      </x:c>
      <x:c r="J1646" s="31" t="inlineStr">
        <x:is>
          <x:t xml:space="preserve">СОТР-063</x:t>
        </x:is>
      </x:c>
      <x:c r="K1646" s="31" t="n">
        <x:v>76.2</x:v>
      </x:c>
      <x:c r="L1646" s="31" t="n">
        <x:v>99.59999999999999</x:v>
      </x:c>
      <x:c r="M1646" s="31" t="n">
        <x:v>46179</x:v>
      </x:c>
      <x:c r="N1646" s="31" t="n">
        <x:v>46186</x:v>
      </x:c>
      <x:c r="O1646" s="31" t="n">
        <x:v>46179</x:v>
      </x:c>
      <x:c r="P1646" s="31" t="n">
        <x:v>46185</x:v>
      </x:c>
      <x:c r="Q1646" s="31" t="inlineStr">
        <x:is>
          <x:t xml:space="preserve">Завершено</x:t>
        </x:is>
      </x:c>
      <x:c r="R1646" s="31" t="inlineStr">
        <x:is>
          <x:t xml:space="preserve">Нет</x:t>
        </x:is>
      </x:c>
      <x:c r="S1646" s="31" t="inlineStr">
        <x:is>
          <x:t xml:space="preserve">Нет</x:t>
        </x:is>
      </x:c>
    </x:row>
    <x:row r="1647">
      <x:c r="A1647" s="31" t="inlineStr">
        <x:is>
          <x:t xml:space="preserve">ОП-001646</x:t>
        </x:is>
      </x:c>
      <x:c r="B1647" s="31" t="inlineStr">
        <x:is>
          <x:t xml:space="preserve">ПЗ-00196</x:t>
        </x:is>
      </x:c>
      <x:c r="C1647" s="31" t="inlineStr">
        <x:is>
          <x:t xml:space="preserve">ЗК-1094</x:t>
        </x:is>
      </x:c>
      <x:c r="D1647" s="31" t="inlineStr">
        <x:is>
          <x:t xml:space="preserve">ПОЗ-0094-1</x:t>
        </x:is>
      </x:c>
      <x:c r="E1647" s="31" t="inlineStr">
        <x:is>
          <x:t xml:space="preserve">ИЗД-044</x:t>
        </x:is>
      </x:c>
      <x:c r="F1647" s="31" t="n">
        <x:v>90</x:v>
      </x:c>
      <x:c r="G1647" s="31" t="inlineStr">
        <x:is>
          <x:t xml:space="preserve">Упаковка</x:t>
        </x:is>
      </x:c>
      <x:c r="H1647" s="31" t="inlineStr">
        <x:is>
          <x:t xml:space="preserve">Логистика</x:t>
        </x:is>
      </x:c>
      <x:c r="I1647" s="31" t="n"/>
      <x:c r="J1647" s="31" t="inlineStr">
        <x:is>
          <x:t xml:space="preserve">СОТР-102</x:t>
        </x:is>
      </x:c>
      <x:c r="K1647" s="31" t="n">
        <x:v>33.9</x:v>
      </x:c>
      <x:c r="L1647" s="31" t="n">
        <x:v>36.2</x:v>
      </x:c>
      <x:c r="M1647" s="31" t="n">
        <x:v>46186</x:v>
      </x:c>
      <x:c r="N1647" s="31" t="n">
        <x:v>46189</x:v>
      </x:c>
      <x:c r="O1647" s="31" t="n">
        <x:v>46186</x:v>
      </x:c>
      <x:c r="P1647" s="31" t="n">
        <x:v>46188</x:v>
      </x:c>
      <x:c r="Q1647" s="31" t="inlineStr">
        <x:is>
          <x:t xml:space="preserve">Завершено</x:t>
        </x:is>
      </x:c>
      <x:c r="R1647" s="31" t="inlineStr">
        <x:is>
          <x:t xml:space="preserve">Нет</x:t>
        </x:is>
      </x:c>
      <x:c r="S1647" s="31" t="inlineStr">
        <x:is>
          <x:t xml:space="preserve">Нет</x:t>
        </x:is>
      </x:c>
    </x:row>
    <x:row r="1648">
      <x:c r="A1648" s="31" t="inlineStr">
        <x:is>
          <x:t xml:space="preserve">ОП-001647</x:t>
        </x:is>
      </x:c>
      <x:c r="B1648" s="31" t="inlineStr">
        <x:is>
          <x:t xml:space="preserve">ПЗ-00197</x:t>
        </x:is>
      </x:c>
      <x:c r="C1648" s="31" t="inlineStr">
        <x:is>
          <x:t xml:space="preserve">ЗК-1094</x:t>
        </x:is>
      </x:c>
      <x:c r="D1648" s="31" t="inlineStr">
        <x:is>
          <x:t xml:space="preserve">ПОЗ-0094-2</x:t>
        </x:is>
      </x:c>
      <x:c r="E1648" s="31" t="inlineStr">
        <x:is>
          <x:t xml:space="preserve">ИЗД-023</x:t>
        </x:is>
      </x:c>
      <x:c r="F1648" s="31" t="n">
        <x:v>10</x:v>
      </x:c>
      <x:c r="G1648" s="31" t="inlineStr">
        <x:is>
          <x:t xml:space="preserve">КД</x:t>
        </x:is>
      </x:c>
      <x:c r="H1648" s="31" t="inlineStr">
        <x:is>
          <x:t xml:space="preserve">Инженерный отдел</x:t>
        </x:is>
      </x:c>
      <x:c r="I1648" s="31" t="n"/>
      <x:c r="J1648" s="31" t="inlineStr">
        <x:is>
          <x:t xml:space="preserve">СОТР-020</x:t>
        </x:is>
      </x:c>
      <x:c r="K1648" s="31" t="n">
        <x:v>12.5</x:v>
      </x:c>
      <x:c r="L1648" s="31" t="n">
        <x:v>14.8</x:v>
      </x:c>
      <x:c r="M1648" s="31" t="n">
        <x:v>46137</x:v>
      </x:c>
      <x:c r="N1648" s="31" t="n">
        <x:v>46139</x:v>
      </x:c>
      <x:c r="O1648" s="31" t="n">
        <x:v>46137</x:v>
      </x:c>
      <x:c r="P1648" s="31" t="n">
        <x:v>46141</x:v>
      </x:c>
      <x:c r="Q1648" s="31" t="inlineStr">
        <x:is>
          <x:t xml:space="preserve">Завершено</x:t>
        </x:is>
      </x:c>
      <x:c r="R1648" s="31" t="inlineStr">
        <x:is>
          <x:t xml:space="preserve">Нет</x:t>
        </x:is>
      </x:c>
      <x:c r="S1648" s="31" t="inlineStr">
        <x:is>
          <x:t xml:space="preserve">Нет</x:t>
        </x:is>
      </x:c>
    </x:row>
    <x:row r="1649">
      <x:c r="A1649" s="31" t="inlineStr">
        <x:is>
          <x:t xml:space="preserve">ОП-001648</x:t>
        </x:is>
      </x:c>
      <x:c r="B1649" s="31" t="inlineStr">
        <x:is>
          <x:t xml:space="preserve">ПЗ-00197</x:t>
        </x:is>
      </x:c>
      <x:c r="C1649" s="31" t="inlineStr">
        <x:is>
          <x:t xml:space="preserve">ЗК-1094</x:t>
        </x:is>
      </x:c>
      <x:c r="D1649" s="31" t="inlineStr">
        <x:is>
          <x:t xml:space="preserve">ПОЗ-0094-2</x:t>
        </x:is>
      </x:c>
      <x:c r="E1649" s="31" t="inlineStr">
        <x:is>
          <x:t xml:space="preserve">ИЗД-023</x:t>
        </x:is>
      </x:c>
      <x:c r="F1649" s="31" t="n">
        <x:v>20</x:v>
      </x:c>
      <x:c r="G1649" s="31" t="inlineStr">
        <x:is>
          <x:t xml:space="preserve">Комплектация</x:t>
        </x:is>
      </x:c>
      <x:c r="H1649" s="31" t="inlineStr">
        <x:is>
          <x:t xml:space="preserve">Склад</x:t>
        </x:is>
      </x:c>
      <x:c r="I1649" s="31" t="inlineStr">
        <x:is>
          <x:t xml:space="preserve">ОБ-025</x:t>
        </x:is>
      </x:c>
      <x:c r="J1649" s="31" t="inlineStr">
        <x:is>
          <x:t xml:space="preserve">СОТР-038</x:t>
        </x:is>
      </x:c>
      <x:c r="K1649" s="31" t="n">
        <x:v>60.5</x:v>
      </x:c>
      <x:c r="L1649" s="31" t="n">
        <x:v>81</x:v>
      </x:c>
      <x:c r="M1649" s="31" t="n">
        <x:v>46139</x:v>
      </x:c>
      <x:c r="N1649" s="31" t="n">
        <x:v>46145</x:v>
      </x:c>
      <x:c r="O1649" s="31" t="n">
        <x:v>46139</x:v>
      </x:c>
      <x:c r="P1649" s="31" t="n">
        <x:v>46147</x:v>
      </x:c>
      <x:c r="Q1649" s="31" t="inlineStr">
        <x:is>
          <x:t xml:space="preserve">Завершено</x:t>
        </x:is>
      </x:c>
      <x:c r="R1649" s="31" t="inlineStr">
        <x:is>
          <x:t xml:space="preserve">Нет</x:t>
        </x:is>
      </x:c>
      <x:c r="S1649" s="31" t="inlineStr">
        <x:is>
          <x:t xml:space="preserve">Нет</x:t>
        </x:is>
      </x:c>
    </x:row>
    <x:row r="1650">
      <x:c r="A1650" s="31" t="inlineStr">
        <x:is>
          <x:t xml:space="preserve">ОП-001649</x:t>
        </x:is>
      </x:c>
      <x:c r="B1650" s="31" t="inlineStr">
        <x:is>
          <x:t xml:space="preserve">ПЗ-00197</x:t>
        </x:is>
      </x:c>
      <x:c r="C1650" s="31" t="inlineStr">
        <x:is>
          <x:t xml:space="preserve">ЗК-1094</x:t>
        </x:is>
      </x:c>
      <x:c r="D1650" s="31" t="inlineStr">
        <x:is>
          <x:t xml:space="preserve">ПОЗ-0094-2</x:t>
        </x:is>
      </x:c>
      <x:c r="E1650" s="31" t="inlineStr">
        <x:is>
          <x:t xml:space="preserve">ИЗД-023</x:t>
        </x:is>
      </x:c>
      <x:c r="F1650" s="31" t="n">
        <x:v>30</x:v>
      </x:c>
      <x:c r="G1650" s="31" t="inlineStr">
        <x:is>
          <x:t xml:space="preserve">Сборка шкафа</x:t>
        </x:is>
      </x:c>
      <x:c r="H1650" s="31" t="inlineStr">
        <x:is>
          <x:t xml:space="preserve">Сборка</x:t>
        </x:is>
      </x:c>
      <x:c r="I1650" s="31" t="inlineStr">
        <x:is>
          <x:t xml:space="preserve">ОБ-017</x:t>
        </x:is>
      </x:c>
      <x:c r="J1650" s="31" t="inlineStr">
        <x:is>
          <x:t xml:space="preserve">СОТР-074</x:t>
        </x:is>
      </x:c>
      <x:c r="K1650" s="31" t="n">
        <x:v>47</x:v>
      </x:c>
      <x:c r="L1650" s="31" t="n">
        <x:v>59</x:v>
      </x:c>
      <x:c r="M1650" s="31" t="n">
        <x:v>46145</x:v>
      </x:c>
      <x:c r="N1650" s="31" t="n">
        <x:v>46149</x:v>
      </x:c>
      <x:c r="O1650" s="31" t="n">
        <x:v>46145</x:v>
      </x:c>
      <x:c r="P1650" s="31" t="n">
        <x:v>46151</x:v>
      </x:c>
      <x:c r="Q1650" s="31" t="inlineStr">
        <x:is>
          <x:t xml:space="preserve">Завершено</x:t>
        </x:is>
      </x:c>
      <x:c r="R1650" s="31" t="inlineStr">
        <x:is>
          <x:t xml:space="preserve">Нет</x:t>
        </x:is>
      </x:c>
      <x:c r="S1650" s="31" t="inlineStr">
        <x:is>
          <x:t xml:space="preserve">Нет</x:t>
        </x:is>
      </x:c>
    </x:row>
    <x:row r="1651">
      <x:c r="A1651" s="31" t="inlineStr">
        <x:is>
          <x:t xml:space="preserve">ОП-001650</x:t>
        </x:is>
      </x:c>
      <x:c r="B1651" s="31" t="inlineStr">
        <x:is>
          <x:t xml:space="preserve">ПЗ-00197</x:t>
        </x:is>
      </x:c>
      <x:c r="C1651" s="31" t="inlineStr">
        <x:is>
          <x:t xml:space="preserve">ЗК-1094</x:t>
        </x:is>
      </x:c>
      <x:c r="D1651" s="31" t="inlineStr">
        <x:is>
          <x:t xml:space="preserve">ПОЗ-0094-2</x:t>
        </x:is>
      </x:c>
      <x:c r="E1651" s="31" t="inlineStr">
        <x:is>
          <x:t xml:space="preserve">ИЗД-023</x:t>
        </x:is>
      </x:c>
      <x:c r="F1651" s="31" t="n">
        <x:v>40</x:v>
      </x:c>
      <x:c r="G1651" s="31" t="inlineStr">
        <x:is>
          <x:t xml:space="preserve">Маркировка</x:t>
        </x:is>
      </x:c>
      <x:c r="H1651" s="31" t="inlineStr">
        <x:is>
          <x:t xml:space="preserve">Сборка</x:t>
        </x:is>
      </x:c>
      <x:c r="I1651" s="31" t="inlineStr">
        <x:is>
          <x:t xml:space="preserve">ОБ-034</x:t>
        </x:is>
      </x:c>
      <x:c r="J1651" s="31" t="inlineStr">
        <x:is>
          <x:t xml:space="preserve">СОТР-091</x:t>
        </x:is>
      </x:c>
      <x:c r="K1651" s="31" t="n">
        <x:v>70.5</x:v>
      </x:c>
      <x:c r="L1651" s="31" t="n">
        <x:v>82.09999999999999</x:v>
      </x:c>
      <x:c r="M1651" s="31" t="n">
        <x:v>46149</x:v>
      </x:c>
      <x:c r="N1651" s="31" t="n">
        <x:v>46155</x:v>
      </x:c>
      <x:c r="O1651" s="31" t="n">
        <x:v>46149</x:v>
      </x:c>
      <x:c r="P1651" s="31" t="n">
        <x:v>46155</x:v>
      </x:c>
      <x:c r="Q1651" s="31" t="inlineStr">
        <x:is>
          <x:t xml:space="preserve">Завершено</x:t>
        </x:is>
      </x:c>
      <x:c r="R1651" s="31" t="inlineStr">
        <x:is>
          <x:t xml:space="preserve">Нет</x:t>
        </x:is>
      </x:c>
      <x:c r="S1651" s="31" t="inlineStr">
        <x:is>
          <x:t xml:space="preserve">Нет</x:t>
        </x:is>
      </x:c>
    </x:row>
    <x:row r="1652">
      <x:c r="A1652" s="31" t="inlineStr">
        <x:is>
          <x:t xml:space="preserve">ОП-001651</x:t>
        </x:is>
      </x:c>
      <x:c r="B1652" s="31" t="inlineStr">
        <x:is>
          <x:t xml:space="preserve">ПЗ-00197</x:t>
        </x:is>
      </x:c>
      <x:c r="C1652" s="31" t="inlineStr">
        <x:is>
          <x:t xml:space="preserve">ЗК-1094</x:t>
        </x:is>
      </x:c>
      <x:c r="D1652" s="31" t="inlineStr">
        <x:is>
          <x:t xml:space="preserve">ПОЗ-0094-2</x:t>
        </x:is>
      </x:c>
      <x:c r="E1652" s="31" t="inlineStr">
        <x:is>
          <x:t xml:space="preserve">ИЗД-023</x:t>
        </x:is>
      </x:c>
      <x:c r="F1652" s="31" t="n">
        <x:v>50</x:v>
      </x:c>
      <x:c r="G1652" s="31" t="inlineStr">
        <x:is>
          <x:t xml:space="preserve">Электромонтаж</x:t>
        </x:is>
      </x:c>
      <x:c r="H1652" s="31" t="inlineStr">
        <x:is>
          <x:t xml:space="preserve">Сборка</x:t>
        </x:is>
      </x:c>
      <x:c r="I1652" s="31" t="inlineStr">
        <x:is>
          <x:t xml:space="preserve">ОБ-012</x:t>
        </x:is>
      </x:c>
      <x:c r="J1652" s="31" t="inlineStr">
        <x:is>
          <x:t xml:space="preserve">СОТР-073</x:t>
        </x:is>
      </x:c>
      <x:c r="K1652" s="31" t="n">
        <x:v>75.5</x:v>
      </x:c>
      <x:c r="L1652" s="31" t="n">
        <x:v>96.3</x:v>
      </x:c>
      <x:c r="M1652" s="31" t="n">
        <x:v>46155</x:v>
      </x:c>
      <x:c r="N1652" s="31" t="n">
        <x:v>46162</x:v>
      </x:c>
      <x:c r="O1652" s="31" t="n">
        <x:v>46155</x:v>
      </x:c>
      <x:c r="P1652" s="31" t="n">
        <x:v>46163</x:v>
      </x:c>
      <x:c r="Q1652" s="31" t="inlineStr">
        <x:is>
          <x:t xml:space="preserve">Завершено</x:t>
        </x:is>
      </x:c>
      <x:c r="R1652" s="31" t="inlineStr">
        <x:is>
          <x:t xml:space="preserve">Нет</x:t>
        </x:is>
      </x:c>
      <x:c r="S1652" s="31" t="inlineStr">
        <x:is>
          <x:t xml:space="preserve">Да</x:t>
        </x:is>
      </x:c>
    </x:row>
    <x:row r="1653">
      <x:c r="A1653" s="31" t="inlineStr">
        <x:is>
          <x:t xml:space="preserve">ОП-001652</x:t>
        </x:is>
      </x:c>
      <x:c r="B1653" s="31" t="inlineStr">
        <x:is>
          <x:t xml:space="preserve">ПЗ-00197</x:t>
        </x:is>
      </x:c>
      <x:c r="C1653" s="31" t="inlineStr">
        <x:is>
          <x:t xml:space="preserve">ЗК-1094</x:t>
        </x:is>
      </x:c>
      <x:c r="D1653" s="31" t="inlineStr">
        <x:is>
          <x:t xml:space="preserve">ПОЗ-0094-2</x:t>
        </x:is>
      </x:c>
      <x:c r="E1653" s="31" t="inlineStr">
        <x:is>
          <x:t xml:space="preserve">ИЗД-023</x:t>
        </x:is>
      </x:c>
      <x:c r="F1653" s="31" t="n">
        <x:v>60</x:v>
      </x:c>
      <x:c r="G1653" s="31" t="inlineStr">
        <x:is>
          <x:t xml:space="preserve">Программирование ПЛК</x:t>
        </x:is>
      </x:c>
      <x:c r="H1653" s="31" t="inlineStr">
        <x:is>
          <x:t xml:space="preserve">Инженерный отдел</x:t>
        </x:is>
      </x:c>
      <x:c r="I1653" s="31" t="n"/>
      <x:c r="J1653" s="31" t="inlineStr">
        <x:is>
          <x:t xml:space="preserve">СОТР-014</x:t>
        </x:is>
      </x:c>
      <x:c r="K1653" s="31" t="n">
        <x:v>69.5</x:v>
      </x:c>
      <x:c r="L1653" s="31" t="n">
        <x:v>65.40000000000001</x:v>
      </x:c>
      <x:c r="M1653" s="31" t="n">
        <x:v>46162</x:v>
      </x:c>
      <x:c r="N1653" s="31" t="n">
        <x:v>46168</x:v>
      </x:c>
      <x:c r="O1653" s="31" t="n">
        <x:v>46162</x:v>
      </x:c>
      <x:c r="P1653" s="31" t="n">
        <x:v>46168</x:v>
      </x:c>
      <x:c r="Q1653" s="31" t="inlineStr">
        <x:is>
          <x:t xml:space="preserve">Завершено</x:t>
        </x:is>
      </x:c>
      <x:c r="R1653" s="31" t="inlineStr">
        <x:is>
          <x:t xml:space="preserve">Нет</x:t>
        </x:is>
      </x:c>
      <x:c r="S1653" s="31" t="inlineStr">
        <x:is>
          <x:t xml:space="preserve">Нет</x:t>
        </x:is>
      </x:c>
    </x:row>
    <x:row r="1654">
      <x:c r="A1654" s="31" t="inlineStr">
        <x:is>
          <x:t xml:space="preserve">ОП-001653</x:t>
        </x:is>
      </x:c>
      <x:c r="B1654" s="31" t="inlineStr">
        <x:is>
          <x:t xml:space="preserve">ПЗ-00197</x:t>
        </x:is>
      </x:c>
      <x:c r="C1654" s="31" t="inlineStr">
        <x:is>
          <x:t xml:space="preserve">ЗК-1094</x:t>
        </x:is>
      </x:c>
      <x:c r="D1654" s="31" t="inlineStr">
        <x:is>
          <x:t xml:space="preserve">ПОЗ-0094-2</x:t>
        </x:is>
      </x:c>
      <x:c r="E1654" s="31" t="inlineStr">
        <x:is>
          <x:t xml:space="preserve">ИЗД-023</x:t>
        </x:is>
      </x:c>
      <x:c r="F1654" s="31" t="n">
        <x:v>70</x:v>
      </x:c>
      <x:c r="G1654" s="31" t="inlineStr">
        <x:is>
          <x:t xml:space="preserve">Приемочные испытания</x:t>
        </x:is>
      </x:c>
      <x:c r="H1654" s="31" t="inlineStr">
        <x:is>
          <x:t xml:space="preserve">ОТК</x:t>
        </x:is>
      </x:c>
      <x:c r="I1654" s="31" t="inlineStr">
        <x:is>
          <x:t xml:space="preserve">ОБ-028</x:t>
        </x:is>
      </x:c>
      <x:c r="J1654" s="31" t="inlineStr">
        <x:is>
          <x:t xml:space="preserve">СОТР-097</x:t>
        </x:is>
      </x:c>
      <x:c r="K1654" s="31" t="n">
        <x:v>64.5</x:v>
      </x:c>
      <x:c r="L1654" s="31" t="n">
        <x:v>63.2</x:v>
      </x:c>
      <x:c r="M1654" s="31" t="n">
        <x:v>46168</x:v>
      </x:c>
      <x:c r="N1654" s="31" t="n">
        <x:v>46174</x:v>
      </x:c>
      <x:c r="O1654" s="31" t="n">
        <x:v>46168</x:v>
      </x:c>
      <x:c r="P1654" s="31" t="n">
        <x:v>46176</x:v>
      </x:c>
      <x:c r="Q1654" s="31" t="inlineStr">
        <x:is>
          <x:t xml:space="preserve">Завершено</x:t>
        </x:is>
      </x:c>
      <x:c r="R1654" s="31" t="inlineStr">
        <x:is>
          <x:t xml:space="preserve">Нет</x:t>
        </x:is>
      </x:c>
      <x:c r="S1654" s="31" t="inlineStr">
        <x:is>
          <x:t xml:space="preserve">Нет</x:t>
        </x:is>
      </x:c>
    </x:row>
    <x:row r="1655">
      <x:c r="A1655" s="31" t="inlineStr">
        <x:is>
          <x:t xml:space="preserve">ОП-001654</x:t>
        </x:is>
      </x:c>
      <x:c r="B1655" s="31" t="inlineStr">
        <x:is>
          <x:t xml:space="preserve">ПЗ-00197</x:t>
        </x:is>
      </x:c>
      <x:c r="C1655" s="31" t="inlineStr">
        <x:is>
          <x:t xml:space="preserve">ЗК-1094</x:t>
        </x:is>
      </x:c>
      <x:c r="D1655" s="31" t="inlineStr">
        <x:is>
          <x:t xml:space="preserve">ПОЗ-0094-2</x:t>
        </x:is>
      </x:c>
      <x:c r="E1655" s="31" t="inlineStr">
        <x:is>
          <x:t xml:space="preserve">ИЗД-023</x:t>
        </x:is>
      </x:c>
      <x:c r="F1655" s="31" t="n">
        <x:v>80</x:v>
      </x:c>
      <x:c r="G1655" s="31" t="inlineStr">
        <x:is>
          <x:t xml:space="preserve">ОТК</x:t>
        </x:is>
      </x:c>
      <x:c r="H1655" s="31" t="inlineStr">
        <x:is>
          <x:t xml:space="preserve">ОТК</x:t>
        </x:is>
      </x:c>
      <x:c r="I1655" s="31" t="inlineStr">
        <x:is>
          <x:t xml:space="preserve">ОБ-033</x:t>
        </x:is>
      </x:c>
      <x:c r="J1655" s="31" t="inlineStr">
        <x:is>
          <x:t xml:space="preserve">СОТР-095</x:t>
        </x:is>
      </x:c>
      <x:c r="K1655" s="31" t="n">
        <x:v>20.5</x:v>
      </x:c>
      <x:c r="L1655" s="31" t="n">
        <x:v>27.1</x:v>
      </x:c>
      <x:c r="M1655" s="31" t="n">
        <x:v>46174</x:v>
      </x:c>
      <x:c r="N1655" s="31" t="n">
        <x:v>46176</x:v>
      </x:c>
      <x:c r="O1655" s="31" t="n">
        <x:v>46174</x:v>
      </x:c>
      <x:c r="P1655" s="31" t="n">
        <x:v>46177</x:v>
      </x:c>
      <x:c r="Q1655" s="31" t="inlineStr">
        <x:is>
          <x:t xml:space="preserve">Завершено</x:t>
        </x:is>
      </x:c>
      <x:c r="R1655" s="31" t="inlineStr">
        <x:is>
          <x:t xml:space="preserve">КД</x:t>
        </x:is>
      </x:c>
      <x:c r="S1655" s="31" t="inlineStr">
        <x:is>
          <x:t xml:space="preserve">Нет</x:t>
        </x:is>
      </x:c>
    </x:row>
    <x:row r="1656">
      <x:c r="A1656" s="31" t="inlineStr">
        <x:is>
          <x:t xml:space="preserve">ОП-001655</x:t>
        </x:is>
      </x:c>
      <x:c r="B1656" s="31" t="inlineStr">
        <x:is>
          <x:t xml:space="preserve">ПЗ-00197</x:t>
        </x:is>
      </x:c>
      <x:c r="C1656" s="31" t="inlineStr">
        <x:is>
          <x:t xml:space="preserve">ЗК-1094</x:t>
        </x:is>
      </x:c>
      <x:c r="D1656" s="31" t="inlineStr">
        <x:is>
          <x:t xml:space="preserve">ПОЗ-0094-2</x:t>
        </x:is>
      </x:c>
      <x:c r="E1656" s="31" t="inlineStr">
        <x:is>
          <x:t xml:space="preserve">ИЗД-023</x:t>
        </x:is>
      </x:c>
      <x:c r="F1656" s="31" t="n">
        <x:v>90</x:v>
      </x:c>
      <x:c r="G1656" s="31" t="inlineStr">
        <x:is>
          <x:t xml:space="preserve">Упаковка</x:t>
        </x:is>
      </x:c>
      <x:c r="H1656" s="31" t="inlineStr">
        <x:is>
          <x:t xml:space="preserve">Логистика</x:t>
        </x:is>
      </x:c>
      <x:c r="I1656" s="31" t="n"/>
      <x:c r="J1656" s="31" t="inlineStr">
        <x:is>
          <x:t xml:space="preserve">СОТР-104</x:t>
        </x:is>
      </x:c>
      <x:c r="K1656" s="31" t="n">
        <x:v>24</x:v>
      </x:c>
      <x:c r="L1656" s="31" t="n">
        <x:v>21.3</x:v>
      </x:c>
      <x:c r="M1656" s="31" t="n">
        <x:v>46176</x:v>
      </x:c>
      <x:c r="N1656" s="31" t="n">
        <x:v>46178</x:v>
      </x:c>
      <x:c r="O1656" s="31" t="n">
        <x:v>46176</x:v>
      </x:c>
      <x:c r="P1656" s="31" t="n">
        <x:v>46179</x:v>
      </x:c>
      <x:c r="Q1656" s="31" t="inlineStr">
        <x:is>
          <x:t xml:space="preserve">Завершено</x:t>
        </x:is>
      </x:c>
      <x:c r="R1656" s="31" t="inlineStr">
        <x:is>
          <x:t xml:space="preserve">Нет</x:t>
        </x:is>
      </x:c>
      <x:c r="S1656" s="31" t="inlineStr">
        <x:is>
          <x:t xml:space="preserve">Нет</x:t>
        </x:is>
      </x:c>
    </x:row>
    <x:row r="1657">
      <x:c r="A1657" s="31" t="inlineStr">
        <x:is>
          <x:t xml:space="preserve">ОП-001656</x:t>
        </x:is>
      </x:c>
      <x:c r="B1657" s="31" t="inlineStr">
        <x:is>
          <x:t xml:space="preserve">ПЗ-00198</x:t>
        </x:is>
      </x:c>
      <x:c r="C1657" s="31" t="inlineStr">
        <x:is>
          <x:t xml:space="preserve">ЗК-1094</x:t>
        </x:is>
      </x:c>
      <x:c r="D1657" s="31" t="inlineStr">
        <x:is>
          <x:t xml:space="preserve">ПОЗ-0094-3</x:t>
        </x:is>
      </x:c>
      <x:c r="E1657" s="31" t="inlineStr">
        <x:is>
          <x:t xml:space="preserve">ИЗД-016</x:t>
        </x:is>
      </x:c>
      <x:c r="F1657" s="31" t="n">
        <x:v>10</x:v>
      </x:c>
      <x:c r="G1657" s="31" t="inlineStr">
        <x:is>
          <x:t xml:space="preserve">КД</x:t>
        </x:is>
      </x:c>
      <x:c r="H1657" s="31" t="inlineStr">
        <x:is>
          <x:t xml:space="preserve">Инженерный отдел</x:t>
        </x:is>
      </x:c>
      <x:c r="I1657" s="31" t="n"/>
      <x:c r="J1657" s="31" t="inlineStr">
        <x:is>
          <x:t xml:space="preserve">СОТР-014</x:t>
        </x:is>
      </x:c>
      <x:c r="K1657" s="31" t="n">
        <x:v>12.8</x:v>
      </x:c>
      <x:c r="L1657" s="31" t="n">
        <x:v>10.3</x:v>
      </x:c>
      <x:c r="M1657" s="31" t="n">
        <x:v>46150</x:v>
      </x:c>
      <x:c r="N1657" s="31" t="n">
        <x:v>46152</x:v>
      </x:c>
      <x:c r="O1657" s="31" t="n">
        <x:v>46150</x:v>
      </x:c>
      <x:c r="P1657" s="31" t="n">
        <x:v>46152</x:v>
      </x:c>
      <x:c r="Q1657" s="31" t="inlineStr">
        <x:is>
          <x:t xml:space="preserve">Завершено</x:t>
        </x:is>
      </x:c>
      <x:c r="R1657" s="31" t="inlineStr">
        <x:is>
          <x:t xml:space="preserve">Нет</x:t>
        </x:is>
      </x:c>
      <x:c r="S1657" s="31" t="inlineStr">
        <x:is>
          <x:t xml:space="preserve">Нет</x:t>
        </x:is>
      </x:c>
    </x:row>
    <x:row r="1658">
      <x:c r="A1658" s="31" t="inlineStr">
        <x:is>
          <x:t xml:space="preserve">ОП-001657</x:t>
        </x:is>
      </x:c>
      <x:c r="B1658" s="31" t="inlineStr">
        <x:is>
          <x:t xml:space="preserve">ПЗ-00198</x:t>
        </x:is>
      </x:c>
      <x:c r="C1658" s="31" t="inlineStr">
        <x:is>
          <x:t xml:space="preserve">ЗК-1094</x:t>
        </x:is>
      </x:c>
      <x:c r="D1658" s="31" t="inlineStr">
        <x:is>
          <x:t xml:space="preserve">ПОЗ-0094-3</x:t>
        </x:is>
      </x:c>
      <x:c r="E1658" s="31" t="inlineStr">
        <x:is>
          <x:t xml:space="preserve">ИЗД-016</x:t>
        </x:is>
      </x:c>
      <x:c r="F1658" s="31" t="n">
        <x:v>20</x:v>
      </x:c>
      <x:c r="G1658" s="31" t="inlineStr">
        <x:is>
          <x:t xml:space="preserve">Резерв материалов</x:t>
        </x:is>
      </x:c>
      <x:c r="H1658" s="31" t="inlineStr">
        <x:is>
          <x:t xml:space="preserve">Склад</x:t>
        </x:is>
      </x:c>
      <x:c r="I1658" s="31" t="inlineStr">
        <x:is>
          <x:t xml:space="preserve">ОБ-025</x:t>
        </x:is>
      </x:c>
      <x:c r="J1658" s="31" t="inlineStr">
        <x:is>
          <x:t xml:space="preserve">СОТР-034</x:t>
        </x:is>
      </x:c>
      <x:c r="K1658" s="31" t="n">
        <x:v>14.4</x:v>
      </x:c>
      <x:c r="L1658" s="31" t="n">
        <x:v>12.9</x:v>
      </x:c>
      <x:c r="M1658" s="31" t="n">
        <x:v>46152</x:v>
      </x:c>
      <x:c r="N1658" s="31" t="n">
        <x:v>46154</x:v>
      </x:c>
      <x:c r="O1658" s="31" t="n">
        <x:v>46152</x:v>
      </x:c>
      <x:c r="P1658" s="31" t="n">
        <x:v>46156</x:v>
      </x:c>
      <x:c r="Q1658" s="31" t="inlineStr">
        <x:is>
          <x:t xml:space="preserve">Завершено</x:t>
        </x:is>
      </x:c>
      <x:c r="R1658" s="31" t="inlineStr">
        <x:is>
          <x:t xml:space="preserve">Нет</x:t>
        </x:is>
      </x:c>
      <x:c r="S1658" s="31" t="inlineStr">
        <x:is>
          <x:t xml:space="preserve">Нет</x:t>
        </x:is>
      </x:c>
    </x:row>
    <x:row r="1659">
      <x:c r="A1659" s="31" t="inlineStr">
        <x:is>
          <x:t xml:space="preserve">ОП-001658</x:t>
        </x:is>
      </x:c>
      <x:c r="B1659" s="31" t="inlineStr">
        <x:is>
          <x:t xml:space="preserve">ПЗ-00198</x:t>
        </x:is>
      </x:c>
      <x:c r="C1659" s="31" t="inlineStr">
        <x:is>
          <x:t xml:space="preserve">ЗК-1094</x:t>
        </x:is>
      </x:c>
      <x:c r="D1659" s="31" t="inlineStr">
        <x:is>
          <x:t xml:space="preserve">ПОЗ-0094-3</x:t>
        </x:is>
      </x:c>
      <x:c r="E1659" s="31" t="inlineStr">
        <x:is>
          <x:t xml:space="preserve">ИЗД-016</x:t>
        </x:is>
      </x:c>
      <x:c r="F1659" s="31" t="n">
        <x:v>30</x:v>
      </x:c>
      <x:c r="G1659" s="31" t="inlineStr">
        <x:is>
          <x:t xml:space="preserve">Резка металла</x:t>
        </x:is>
      </x:c>
      <x:c r="H1659" s="31" t="inlineStr">
        <x:is>
          <x:t xml:space="preserve">Сварка</x:t>
        </x:is>
      </x:c>
      <x:c r="I1659" s="31" t="inlineStr">
        <x:is>
          <x:t xml:space="preserve">ОБ-003</x:t>
        </x:is>
      </x:c>
      <x:c r="J1659" s="31" t="inlineStr">
        <x:is>
          <x:t xml:space="preserve">СОТР-065</x:t>
        </x:is>
      </x:c>
      <x:c r="K1659" s="31" t="n">
        <x:v>11.3</x:v>
      </x:c>
      <x:c r="L1659" s="31" t="n">
        <x:v>10.6</x:v>
      </x:c>
      <x:c r="M1659" s="31" t="n">
        <x:v>46154</x:v>
      </x:c>
      <x:c r="N1659" s="31" t="n">
        <x:v>46155</x:v>
      </x:c>
      <x:c r="O1659" s="31" t="n">
        <x:v>46154</x:v>
      </x:c>
      <x:c r="P1659" s="31" t="n">
        <x:v>46155</x:v>
      </x:c>
      <x:c r="Q1659" s="31" t="inlineStr">
        <x:is>
          <x:t xml:space="preserve">Завершено</x:t>
        </x:is>
      </x:c>
      <x:c r="R1659" s="31" t="inlineStr">
        <x:is>
          <x:t xml:space="preserve">Нет</x:t>
        </x:is>
      </x:c>
      <x:c r="S1659" s="31" t="inlineStr">
        <x:is>
          <x:t xml:space="preserve">Нет</x:t>
        </x:is>
      </x:c>
    </x:row>
    <x:row r="1660">
      <x:c r="A1660" s="31" t="inlineStr">
        <x:is>
          <x:t xml:space="preserve">ОП-001659</x:t>
        </x:is>
      </x:c>
      <x:c r="B1660" s="31" t="inlineStr">
        <x:is>
          <x:t xml:space="preserve">ПЗ-00198</x:t>
        </x:is>
      </x:c>
      <x:c r="C1660" s="31" t="inlineStr">
        <x:is>
          <x:t xml:space="preserve">ЗК-1094</x:t>
        </x:is>
      </x:c>
      <x:c r="D1660" s="31" t="inlineStr">
        <x:is>
          <x:t xml:space="preserve">ПОЗ-0094-3</x:t>
        </x:is>
      </x:c>
      <x:c r="E1660" s="31" t="inlineStr">
        <x:is>
          <x:t xml:space="preserve">ИЗД-016</x:t>
        </x:is>
      </x:c>
      <x:c r="F1660" s="31" t="n">
        <x:v>40</x:v>
      </x:c>
      <x:c r="G1660" s="31" t="inlineStr">
        <x:is>
          <x:t xml:space="preserve">Сварка рамы</x:t>
        </x:is>
      </x:c>
      <x:c r="H1660" s="31" t="inlineStr">
        <x:is>
          <x:t xml:space="preserve">Сварка</x:t>
        </x:is>
      </x:c>
      <x:c r="I1660" s="31" t="inlineStr">
        <x:is>
          <x:t xml:space="preserve">ОБ-010</x:t>
        </x:is>
      </x:c>
      <x:c r="J1660" s="31" t="inlineStr">
        <x:is>
          <x:t xml:space="preserve">СОТР-068</x:t>
        </x:is>
      </x:c>
      <x:c r="K1660" s="31" t="n">
        <x:v>11.6</x:v>
      </x:c>
      <x:c r="L1660" s="31" t="n">
        <x:v>10.3</x:v>
      </x:c>
      <x:c r="M1660" s="31" t="n">
        <x:v>46155</x:v>
      </x:c>
      <x:c r="N1660" s="31" t="n">
        <x:v>46156</x:v>
      </x:c>
      <x:c r="O1660" s="31" t="n">
        <x:v>46155</x:v>
      </x:c>
      <x:c r="P1660" s="31" t="n">
        <x:v>46155</x:v>
      </x:c>
      <x:c r="Q1660" s="31" t="inlineStr">
        <x:is>
          <x:t xml:space="preserve">Завершено</x:t>
        </x:is>
      </x:c>
      <x:c r="R1660" s="31" t="inlineStr">
        <x:is>
          <x:t xml:space="preserve">Нет</x:t>
        </x:is>
      </x:c>
      <x:c r="S1660" s="31" t="inlineStr">
        <x:is>
          <x:t xml:space="preserve">Нет</x:t>
        </x:is>
      </x:c>
    </x:row>
    <x:row r="1661">
      <x:c r="A1661" s="31" t="inlineStr">
        <x:is>
          <x:t xml:space="preserve">ОП-001660</x:t>
        </x:is>
      </x:c>
      <x:c r="B1661" s="31" t="inlineStr">
        <x:is>
          <x:t xml:space="preserve">ПЗ-00198</x:t>
        </x:is>
      </x:c>
      <x:c r="C1661" s="31" t="inlineStr">
        <x:is>
          <x:t xml:space="preserve">ЗК-1094</x:t>
        </x:is>
      </x:c>
      <x:c r="D1661" s="31" t="inlineStr">
        <x:is>
          <x:t xml:space="preserve">ПОЗ-0094-3</x:t>
        </x:is>
      </x:c>
      <x:c r="E1661" s="31" t="inlineStr">
        <x:is>
          <x:t xml:space="preserve">ИЗД-016</x:t>
        </x:is>
      </x:c>
      <x:c r="F1661" s="31" t="n">
        <x:v>50</x:v>
      </x:c>
      <x:c r="G1661" s="31" t="inlineStr">
        <x:is>
          <x:t xml:space="preserve">Механообработка</x:t>
        </x:is>
      </x:c>
      <x:c r="H1661" s="31" t="inlineStr">
        <x:is>
          <x:t xml:space="preserve">Механообработка</x:t>
        </x:is>
      </x:c>
      <x:c r="I1661" s="31" t="inlineStr">
        <x:is>
          <x:t xml:space="preserve">ОБ-029</x:t>
        </x:is>
      </x:c>
      <x:c r="J1661" s="31" t="inlineStr">
        <x:is>
          <x:t xml:space="preserve">СОТР-048</x:t>
        </x:is>
      </x:c>
      <x:c r="K1661" s="31" t="n">
        <x:v>15.1</x:v>
      </x:c>
      <x:c r="L1661" s="31" t="n">
        <x:v>13</x:v>
      </x:c>
      <x:c r="M1661" s="31" t="n">
        <x:v>46156</x:v>
      </x:c>
      <x:c r="N1661" s="31" t="n">
        <x:v>46158</x:v>
      </x:c>
      <x:c r="O1661" s="31" t="n">
        <x:v>46156</x:v>
      </x:c>
      <x:c r="P1661" s="31" t="n">
        <x:v>46160</x:v>
      </x:c>
      <x:c r="Q1661" s="31" t="inlineStr">
        <x:is>
          <x:t xml:space="preserve">Завершено</x:t>
        </x:is>
      </x:c>
      <x:c r="R1661" s="31" t="inlineStr">
        <x:is>
          <x:t xml:space="preserve">Нет</x:t>
        </x:is>
      </x:c>
      <x:c r="S1661" s="31" t="inlineStr">
        <x:is>
          <x:t xml:space="preserve">Нет</x:t>
        </x:is>
      </x:c>
    </x:row>
    <x:row r="1662">
      <x:c r="A1662" s="31" t="inlineStr">
        <x:is>
          <x:t xml:space="preserve">ОП-001661</x:t>
        </x:is>
      </x:c>
      <x:c r="B1662" s="31" t="inlineStr">
        <x:is>
          <x:t xml:space="preserve">ПЗ-00198</x:t>
        </x:is>
      </x:c>
      <x:c r="C1662" s="31" t="inlineStr">
        <x:is>
          <x:t xml:space="preserve">ЗК-1094</x:t>
        </x:is>
      </x:c>
      <x:c r="D1662" s="31" t="inlineStr">
        <x:is>
          <x:t xml:space="preserve">ПОЗ-0094-3</x:t>
        </x:is>
      </x:c>
      <x:c r="E1662" s="31" t="inlineStr">
        <x:is>
          <x:t xml:space="preserve">ИЗД-016</x:t>
        </x:is>
      </x:c>
      <x:c r="F1662" s="31" t="n">
        <x:v>60</x:v>
      </x:c>
      <x:c r="G1662" s="31" t="inlineStr">
        <x:is>
          <x:t xml:space="preserve">Сборка</x:t>
        </x:is>
      </x:c>
      <x:c r="H1662" s="31" t="inlineStr">
        <x:is>
          <x:t xml:space="preserve">Сборка</x:t>
        </x:is>
      </x:c>
      <x:c r="I1662" s="31" t="inlineStr">
        <x:is>
          <x:t xml:space="preserve">ОБ-027</x:t>
        </x:is>
      </x:c>
      <x:c r="J1662" s="31" t="inlineStr">
        <x:is>
          <x:t xml:space="preserve">СОТР-088</x:t>
        </x:is>
      </x:c>
      <x:c r="K1662" s="31" t="n">
        <x:v>15.1</x:v>
      </x:c>
      <x:c r="L1662" s="31" t="n">
        <x:v>19.9</x:v>
      </x:c>
      <x:c r="M1662" s="31" t="n">
        <x:v>46158</x:v>
      </x:c>
      <x:c r="N1662" s="31" t="n">
        <x:v>46160</x:v>
      </x:c>
      <x:c r="O1662" s="31" t="n">
        <x:v>46158</x:v>
      </x:c>
      <x:c r="P1662" s="31" t="n">
        <x:v>46160</x:v>
      </x:c>
      <x:c r="Q1662" s="31" t="inlineStr">
        <x:is>
          <x:t xml:space="preserve">Завершено</x:t>
        </x:is>
      </x:c>
      <x:c r="R1662" s="31" t="inlineStr">
        <x:is>
          <x:t xml:space="preserve">Нет</x:t>
        </x:is>
      </x:c>
      <x:c r="S1662" s="31" t="inlineStr">
        <x:is>
          <x:t xml:space="preserve">Да</x:t>
        </x:is>
      </x:c>
    </x:row>
    <x:row r="1663">
      <x:c r="A1663" s="31" t="inlineStr">
        <x:is>
          <x:t xml:space="preserve">ОП-001662</x:t>
        </x:is>
      </x:c>
      <x:c r="B1663" s="31" t="inlineStr">
        <x:is>
          <x:t xml:space="preserve">ПЗ-00198</x:t>
        </x:is>
      </x:c>
      <x:c r="C1663" s="31" t="inlineStr">
        <x:is>
          <x:t xml:space="preserve">ЗК-1094</x:t>
        </x:is>
      </x:c>
      <x:c r="D1663" s="31" t="inlineStr">
        <x:is>
          <x:t xml:space="preserve">ПОЗ-0094-3</x:t>
        </x:is>
      </x:c>
      <x:c r="E1663" s="31" t="inlineStr">
        <x:is>
          <x:t xml:space="preserve">ИЗД-016</x:t>
        </x:is>
      </x:c>
      <x:c r="F1663" s="31" t="n">
        <x:v>70</x:v>
      </x:c>
      <x:c r="G1663" s="31" t="inlineStr">
        <x:is>
          <x:t xml:space="preserve">Электромонтаж</x:t>
        </x:is>
      </x:c>
      <x:c r="H1663" s="31" t="inlineStr">
        <x:is>
          <x:t xml:space="preserve">Сборка</x:t>
        </x:is>
      </x:c>
      <x:c r="I1663" s="31" t="inlineStr">
        <x:is>
          <x:t xml:space="preserve">ОБ-014</x:t>
        </x:is>
      </x:c>
      <x:c r="J1663" s="31" t="inlineStr">
        <x:is>
          <x:t xml:space="preserve">СОТР-090</x:t>
        </x:is>
      </x:c>
      <x:c r="K1663" s="31" t="n">
        <x:v>17.4</x:v>
      </x:c>
      <x:c r="L1663" s="31" t="n">
        <x:v>22.4</x:v>
      </x:c>
      <x:c r="M1663" s="31" t="n">
        <x:v>46160</x:v>
      </x:c>
      <x:c r="N1663" s="31" t="n">
        <x:v>46162</x:v>
      </x:c>
      <x:c r="O1663" s="31" t="n">
        <x:v>46160</x:v>
      </x:c>
      <x:c r="P1663" s="31" t="n">
        <x:v>46162</x:v>
      </x:c>
      <x:c r="Q1663" s="31" t="inlineStr">
        <x:is>
          <x:t xml:space="preserve">Завершено</x:t>
        </x:is>
      </x:c>
      <x:c r="R1663" s="31" t="inlineStr">
        <x:is>
          <x:t xml:space="preserve">Материал</x:t>
        </x:is>
      </x:c>
      <x:c r="S1663" s="31" t="inlineStr">
        <x:is>
          <x:t xml:space="preserve">Нет</x:t>
        </x:is>
      </x:c>
    </x:row>
    <x:row r="1664">
      <x:c r="A1664" s="31" t="inlineStr">
        <x:is>
          <x:t xml:space="preserve">ОП-001663</x:t>
        </x:is>
      </x:c>
      <x:c r="B1664" s="31" t="inlineStr">
        <x:is>
          <x:t xml:space="preserve">ПЗ-00198</x:t>
        </x:is>
      </x:c>
      <x:c r="C1664" s="31" t="inlineStr">
        <x:is>
          <x:t xml:space="preserve">ЗК-1094</x:t>
        </x:is>
      </x:c>
      <x:c r="D1664" s="31" t="inlineStr">
        <x:is>
          <x:t xml:space="preserve">ПОЗ-0094-3</x:t>
        </x:is>
      </x:c>
      <x:c r="E1664" s="31" t="inlineStr">
        <x:is>
          <x:t xml:space="preserve">ИЗД-016</x:t>
        </x:is>
      </x:c>
      <x:c r="F1664" s="31" t="n">
        <x:v>80</x:v>
      </x:c>
      <x:c r="G1664" s="31" t="inlineStr">
        <x:is>
          <x:t xml:space="preserve">Гидроиспытания</x:t>
        </x:is>
      </x:c>
      <x:c r="H1664" s="31" t="inlineStr">
        <x:is>
          <x:t xml:space="preserve">ОТК</x:t>
        </x:is>
      </x:c>
      <x:c r="I1664" s="31" t="inlineStr">
        <x:is>
          <x:t xml:space="preserve">ОБ-028</x:t>
        </x:is>
      </x:c>
      <x:c r="J1664" s="31" t="inlineStr">
        <x:is>
          <x:t xml:space="preserve">СОТР-095</x:t>
        </x:is>
      </x:c>
      <x:c r="K1664" s="31" t="n">
        <x:v>1.8</x:v>
      </x:c>
      <x:c r="L1664" s="31" t="n">
        <x:v>2.4</x:v>
      </x:c>
      <x:c r="M1664" s="31" t="n">
        <x:v>46162</x:v>
      </x:c>
      <x:c r="N1664" s="31" t="n">
        <x:v>46163</x:v>
      </x:c>
      <x:c r="O1664" s="31" t="n">
        <x:v>46162</x:v>
      </x:c>
      <x:c r="P1664" s="31" t="n">
        <x:v>46163</x:v>
      </x:c>
      <x:c r="Q1664" s="31" t="inlineStr">
        <x:is>
          <x:t xml:space="preserve">Завершено</x:t>
        </x:is>
      </x:c>
      <x:c r="R1664" s="31" t="inlineStr">
        <x:is>
          <x:t xml:space="preserve">Нет</x:t>
        </x:is>
      </x:c>
      <x:c r="S1664" s="31" t="inlineStr">
        <x:is>
          <x:t xml:space="preserve">Нет</x:t>
        </x:is>
      </x:c>
    </x:row>
    <x:row r="1665">
      <x:c r="A1665" s="31" t="inlineStr">
        <x:is>
          <x:t xml:space="preserve">ОП-001664</x:t>
        </x:is>
      </x:c>
      <x:c r="B1665" s="31" t="inlineStr">
        <x:is>
          <x:t xml:space="preserve">ПЗ-00198</x:t>
        </x:is>
      </x:c>
      <x:c r="C1665" s="31" t="inlineStr">
        <x:is>
          <x:t xml:space="preserve">ЗК-1094</x:t>
        </x:is>
      </x:c>
      <x:c r="D1665" s="31" t="inlineStr">
        <x:is>
          <x:t xml:space="preserve">ПОЗ-0094-3</x:t>
        </x:is>
      </x:c>
      <x:c r="E1665" s="31" t="inlineStr">
        <x:is>
          <x:t xml:space="preserve">ИЗД-016</x:t>
        </x:is>
      </x:c>
      <x:c r="F1665" s="31" t="n">
        <x:v>90</x:v>
      </x:c>
      <x:c r="G1665" s="31" t="inlineStr">
        <x:is>
          <x:t xml:space="preserve">ОТК</x:t>
        </x:is>
      </x:c>
      <x:c r="H1665" s="31" t="inlineStr">
        <x:is>
          <x:t xml:space="preserve">ОТК</x:t>
        </x:is>
      </x:c>
      <x:c r="I1665" s="31" t="inlineStr">
        <x:is>
          <x:t xml:space="preserve">ОБ-028</x:t>
        </x:is>
      </x:c>
      <x:c r="J1665" s="31" t="inlineStr">
        <x:is>
          <x:t xml:space="preserve">СОТР-092</x:t>
        </x:is>
      </x:c>
      <x:c r="K1665" s="31" t="n">
        <x:v>1.7</x:v>
      </x:c>
      <x:c r="L1665" s="31" t="n">
        <x:v>2.2</x:v>
      </x:c>
      <x:c r="M1665" s="31" t="n">
        <x:v>46163</x:v>
      </x:c>
      <x:c r="N1665" s="31" t="n">
        <x:v>46164</x:v>
      </x:c>
      <x:c r="O1665" s="31" t="n">
        <x:v>46163</x:v>
      </x:c>
      <x:c r="P1665" s="31" t="n">
        <x:v>46163</x:v>
      </x:c>
      <x:c r="Q1665" s="31" t="inlineStr">
        <x:is>
          <x:t xml:space="preserve">Завершено</x:t>
        </x:is>
      </x:c>
      <x:c r="R1665" s="31" t="inlineStr">
        <x:is>
          <x:t xml:space="preserve">Нет</x:t>
        </x:is>
      </x:c>
      <x:c r="S1665" s="31" t="inlineStr">
        <x:is>
          <x:t xml:space="preserve">Нет</x:t>
        </x:is>
      </x:c>
    </x:row>
    <x:row r="1666">
      <x:c r="A1666" s="31" t="inlineStr">
        <x:is>
          <x:t xml:space="preserve">ОП-001665</x:t>
        </x:is>
      </x:c>
      <x:c r="B1666" s="31" t="inlineStr">
        <x:is>
          <x:t xml:space="preserve">ПЗ-00198</x:t>
        </x:is>
      </x:c>
      <x:c r="C1666" s="31" t="inlineStr">
        <x:is>
          <x:t xml:space="preserve">ЗК-1094</x:t>
        </x:is>
      </x:c>
      <x:c r="D1666" s="31" t="inlineStr">
        <x:is>
          <x:t xml:space="preserve">ПОЗ-0094-3</x:t>
        </x:is>
      </x:c>
      <x:c r="E1666" s="31" t="inlineStr">
        <x:is>
          <x:t xml:space="preserve">ИЗД-016</x:t>
        </x:is>
      </x:c>
      <x:c r="F1666" s="31" t="n">
        <x:v>100</x:v>
      </x:c>
      <x:c r="G1666" s="31" t="inlineStr">
        <x:is>
          <x:t xml:space="preserve">Упаковка</x:t>
        </x:is>
      </x:c>
      <x:c r="H1666" s="31" t="inlineStr">
        <x:is>
          <x:t xml:space="preserve">Логистика</x:t>
        </x:is>
      </x:c>
      <x:c r="I1666" s="31" t="n"/>
      <x:c r="J1666" s="31" t="inlineStr">
        <x:is>
          <x:t xml:space="preserve">СОТР-101</x:t>
        </x:is>
      </x:c>
      <x:c r="K1666" s="31" t="n">
        <x:v>10</x:v>
      </x:c>
      <x:c r="L1666" s="31" t="n">
        <x:v>9.1</x:v>
      </x:c>
      <x:c r="M1666" s="31" t="n">
        <x:v>46164</x:v>
      </x:c>
      <x:c r="N1666" s="31" t="n">
        <x:v>46165</x:v>
      </x:c>
      <x:c r="O1666" s="31" t="n">
        <x:v>46164</x:v>
      </x:c>
      <x:c r="P1666" s="31" t="n">
        <x:v>46167</x:v>
      </x:c>
      <x:c r="Q1666" s="31" t="inlineStr">
        <x:is>
          <x:t xml:space="preserve">Завершено</x:t>
        </x:is>
      </x:c>
      <x:c r="R1666" s="31" t="inlineStr">
        <x:is>
          <x:t xml:space="preserve">Нет</x:t>
        </x:is>
      </x:c>
      <x:c r="S1666" s="31" t="inlineStr">
        <x:is>
          <x:t xml:space="preserve">Нет</x:t>
        </x:is>
      </x:c>
    </x:row>
    <x:row r="1667">
      <x:c r="A1667" s="31" t="inlineStr">
        <x:is>
          <x:t xml:space="preserve">ОП-001666</x:t>
        </x:is>
      </x:c>
      <x:c r="B1667" s="31" t="inlineStr">
        <x:is>
          <x:t xml:space="preserve">ПЗ-00199</x:t>
        </x:is>
      </x:c>
      <x:c r="C1667" s="31" t="inlineStr">
        <x:is>
          <x:t xml:space="preserve">ЗК-1095</x:t>
        </x:is>
      </x:c>
      <x:c r="D1667" s="31" t="inlineStr">
        <x:is>
          <x:t xml:space="preserve">ПОЗ-0095-1</x:t>
        </x:is>
      </x:c>
      <x:c r="E1667" s="31" t="inlineStr">
        <x:is>
          <x:t xml:space="preserve">ИЗД-008</x:t>
        </x:is>
      </x:c>
      <x:c r="F1667" s="31" t="n">
        <x:v>10</x:v>
      </x:c>
      <x:c r="G1667" s="31" t="inlineStr">
        <x:is>
          <x:t xml:space="preserve">Комплектация</x:t>
        </x:is>
      </x:c>
      <x:c r="H1667" s="31" t="inlineStr">
        <x:is>
          <x:t xml:space="preserve">Склад</x:t>
        </x:is>
      </x:c>
      <x:c r="I1667" s="31" t="inlineStr">
        <x:is>
          <x:t xml:space="preserve">ОБ-011</x:t>
        </x:is>
      </x:c>
      <x:c r="J1667" s="31" t="inlineStr">
        <x:is>
          <x:t xml:space="preserve">СОТР-039</x:t>
        </x:is>
      </x:c>
      <x:c r="K1667" s="31" t="n">
        <x:v>39.2</x:v>
      </x:c>
      <x:c r="L1667" s="31" t="n"/>
      <x:c r="M1667" s="31" t="n">
        <x:v>46071</x:v>
      </x:c>
      <x:c r="N1667" s="31" t="n">
        <x:v>46075</x:v>
      </x:c>
      <x:c r="O1667" s="31" t="n"/>
      <x:c r="P1667" s="31" t="n"/>
      <x:c r="Q1667" s="31" t="inlineStr">
        <x:is>
          <x:t xml:space="preserve">Блокировано</x:t>
        </x:is>
      </x:c>
      <x:c r="R1667" s="31" t="inlineStr">
        <x:is>
          <x:t xml:space="preserve">Нет</x:t>
        </x:is>
      </x:c>
      <x:c r="S1667" s="31" t="inlineStr">
        <x:is>
          <x:t xml:space="preserve">Нет</x:t>
        </x:is>
      </x:c>
    </x:row>
    <x:row r="1668">
      <x:c r="A1668" s="31" t="inlineStr">
        <x:is>
          <x:t xml:space="preserve">ОП-001667</x:t>
        </x:is>
      </x:c>
      <x:c r="B1668" s="31" t="inlineStr">
        <x:is>
          <x:t xml:space="preserve">ПЗ-00199</x:t>
        </x:is>
      </x:c>
      <x:c r="C1668" s="31" t="inlineStr">
        <x:is>
          <x:t xml:space="preserve">ЗК-1095</x:t>
        </x:is>
      </x:c>
      <x:c r="D1668" s="31" t="inlineStr">
        <x:is>
          <x:t xml:space="preserve">ПОЗ-0095-1</x:t>
        </x:is>
      </x:c>
      <x:c r="E1668" s="31" t="inlineStr">
        <x:is>
          <x:t xml:space="preserve">ИЗД-008</x:t>
        </x:is>
      </x:c>
      <x:c r="F1668" s="31" t="n">
        <x:v>20</x:v>
      </x:c>
      <x:c r="G1668" s="31" t="inlineStr">
        <x:is>
          <x:t xml:space="preserve">Входной контроль</x:t>
        </x:is>
      </x:c>
      <x:c r="H1668" s="31" t="inlineStr">
        <x:is>
          <x:t xml:space="preserve">ОТК</x:t>
        </x:is>
      </x:c>
      <x:c r="I1668" s="31" t="inlineStr">
        <x:is>
          <x:t xml:space="preserve">ОБ-001</x:t>
        </x:is>
      </x:c>
      <x:c r="J1668" s="31" t="inlineStr">
        <x:is>
          <x:t xml:space="preserve">СОТР-063</x:t>
        </x:is>
      </x:c>
      <x:c r="K1668" s="31" t="n">
        <x:v>66.40000000000001</x:v>
      </x:c>
      <x:c r="L1668" s="31" t="n"/>
      <x:c r="M1668" s="31" t="n">
        <x:v>46075</x:v>
      </x:c>
      <x:c r="N1668" s="31" t="n">
        <x:v>46081</x:v>
      </x:c>
      <x:c r="O1668" s="31" t="n"/>
      <x:c r="P1668" s="31" t="n"/>
      <x:c r="Q1668" s="31" t="inlineStr">
        <x:is>
          <x:t xml:space="preserve">Запланировано</x:t>
        </x:is>
      </x:c>
      <x:c r="R1668" s="31" t="inlineStr">
        <x:is>
          <x:t xml:space="preserve">Нет</x:t>
        </x:is>
      </x:c>
      <x:c r="S1668" s="31" t="inlineStr">
        <x:is>
          <x:t xml:space="preserve">Нет</x:t>
        </x:is>
      </x:c>
    </x:row>
    <x:row r="1669">
      <x:c r="A1669" s="31" t="inlineStr">
        <x:is>
          <x:t xml:space="preserve">ОП-001668</x:t>
        </x:is>
      </x:c>
      <x:c r="B1669" s="31" t="inlineStr">
        <x:is>
          <x:t xml:space="preserve">ПЗ-00199</x:t>
        </x:is>
      </x:c>
      <x:c r="C1669" s="31" t="inlineStr">
        <x:is>
          <x:t xml:space="preserve">ЗК-1095</x:t>
        </x:is>
      </x:c>
      <x:c r="D1669" s="31" t="inlineStr">
        <x:is>
          <x:t xml:space="preserve">ПОЗ-0095-1</x:t>
        </x:is>
      </x:c>
      <x:c r="E1669" s="31" t="inlineStr">
        <x:is>
          <x:t xml:space="preserve">ИЗД-008</x:t>
        </x:is>
      </x:c>
      <x:c r="F1669" s="31" t="n">
        <x:v>30</x:v>
      </x:c>
      <x:c r="G1669" s="31" t="inlineStr">
        <x:is>
          <x:t xml:space="preserve">Упаковка</x:t>
        </x:is>
      </x:c>
      <x:c r="H1669" s="31" t="inlineStr">
        <x:is>
          <x:t xml:space="preserve">Логистика</x:t>
        </x:is>
      </x:c>
      <x:c r="I1669" s="31" t="n"/>
      <x:c r="J1669" s="31" t="inlineStr">
        <x:is>
          <x:t xml:space="preserve">СОТР-105</x:t>
        </x:is>
      </x:c>
      <x:c r="K1669" s="31" t="n">
        <x:v>38.4</x:v>
      </x:c>
      <x:c r="L1669" s="31" t="n"/>
      <x:c r="M1669" s="31" t="n">
        <x:v>46081</x:v>
      </x:c>
      <x:c r="N1669" s="31" t="n">
        <x:v>46085</x:v>
      </x:c>
      <x:c r="O1669" s="31" t="n"/>
      <x:c r="P1669" s="31" t="n"/>
      <x:c r="Q1669" s="31" t="inlineStr">
        <x:is>
          <x:t xml:space="preserve">Запланировано</x:t>
        </x:is>
      </x:c>
      <x:c r="R1669" s="31" t="inlineStr">
        <x:is>
          <x:t xml:space="preserve">КД</x:t>
        </x:is>
      </x:c>
      <x:c r="S1669" s="31" t="inlineStr">
        <x:is>
          <x:t xml:space="preserve">Нет</x:t>
        </x:is>
      </x:c>
    </x:row>
    <x:row r="1670">
      <x:c r="A1670" s="31" t="inlineStr">
        <x:is>
          <x:t xml:space="preserve">ОП-001669</x:t>
        </x:is>
      </x:c>
      <x:c r="B1670" s="31" t="inlineStr">
        <x:is>
          <x:t xml:space="preserve">ПЗ-00199</x:t>
        </x:is>
      </x:c>
      <x:c r="C1670" s="31" t="inlineStr">
        <x:is>
          <x:t xml:space="preserve">ЗК-1095</x:t>
        </x:is>
      </x:c>
      <x:c r="D1670" s="31" t="inlineStr">
        <x:is>
          <x:t xml:space="preserve">ПОЗ-0095-1</x:t>
        </x:is>
      </x:c>
      <x:c r="E1670" s="31" t="inlineStr">
        <x:is>
          <x:t xml:space="preserve">ИЗД-008</x:t>
        </x:is>
      </x:c>
      <x:c r="F1670" s="31" t="n">
        <x:v>40</x:v>
      </x:c>
      <x:c r="G1670" s="31" t="inlineStr">
        <x:is>
          <x:t xml:space="preserve">ОТК</x:t>
        </x:is>
      </x:c>
      <x:c r="H1670" s="31" t="inlineStr">
        <x:is>
          <x:t xml:space="preserve">ОТК</x:t>
        </x:is>
      </x:c>
      <x:c r="I1670" s="31" t="inlineStr">
        <x:is>
          <x:t xml:space="preserve">ОБ-033</x:t>
        </x:is>
      </x:c>
      <x:c r="J1670" s="31" t="inlineStr">
        <x:is>
          <x:t xml:space="preserve">СОТР-098</x:t>
        </x:is>
      </x:c>
      <x:c r="K1670" s="31" t="n">
        <x:v>17.6</x:v>
      </x:c>
      <x:c r="L1670" s="31" t="n"/>
      <x:c r="M1670" s="31" t="n">
        <x:v>46085</x:v>
      </x:c>
      <x:c r="N1670" s="31" t="n">
        <x:v>46087</x:v>
      </x:c>
      <x:c r="O1670" s="31" t="n"/>
      <x:c r="P1670" s="31" t="n"/>
      <x:c r="Q1670" s="31" t="inlineStr">
        <x:is>
          <x:t xml:space="preserve">Запланировано</x:t>
        </x:is>
      </x:c>
      <x:c r="R1670" s="31" t="inlineStr">
        <x:is>
          <x:t xml:space="preserve">Оборудование</x:t>
        </x:is>
      </x:c>
      <x:c r="S1670" s="31" t="inlineStr">
        <x:is>
          <x:t xml:space="preserve">Нет</x:t>
        </x:is>
      </x:c>
    </x:row>
    <x:row r="1671">
      <x:c r="A1671" s="31" t="inlineStr">
        <x:is>
          <x:t xml:space="preserve">ОП-001670</x:t>
        </x:is>
      </x:c>
      <x:c r="B1671" s="31" t="inlineStr">
        <x:is>
          <x:t xml:space="preserve">ПЗ-00200</x:t>
        </x:is>
      </x:c>
      <x:c r="C1671" s="31" t="inlineStr">
        <x:is>
          <x:t xml:space="preserve">ЗК-1097</x:t>
        </x:is>
      </x:c>
      <x:c r="D1671" s="31" t="inlineStr">
        <x:is>
          <x:t xml:space="preserve">ПОЗ-0097-1</x:t>
        </x:is>
      </x:c>
      <x:c r="E1671" s="31" t="inlineStr">
        <x:is>
          <x:t xml:space="preserve">ИЗД-012</x:t>
        </x:is>
      </x:c>
      <x:c r="F1671" s="31" t="n">
        <x:v>10</x:v>
      </x:c>
      <x:c r="G1671" s="31" t="inlineStr">
        <x:is>
          <x:t xml:space="preserve">КД</x:t>
        </x:is>
      </x:c>
      <x:c r="H1671" s="31" t="inlineStr">
        <x:is>
          <x:t xml:space="preserve">Инженерный отдел</x:t>
        </x:is>
      </x:c>
      <x:c r="I1671" s="31" t="n"/>
      <x:c r="J1671" s="31" t="inlineStr">
        <x:is>
          <x:t xml:space="preserve">СОТР-017</x:t>
        </x:is>
      </x:c>
      <x:c r="K1671" s="31" t="n">
        <x:v>27.5</x:v>
      </x:c>
      <x:c r="L1671" s="31" t="n">
        <x:v>26.3</x:v>
      </x:c>
      <x:c r="M1671" s="31" t="n">
        <x:v>46111</x:v>
      </x:c>
      <x:c r="N1671" s="31" t="n">
        <x:v>46114</x:v>
      </x:c>
      <x:c r="O1671" s="31" t="n">
        <x:v>46111</x:v>
      </x:c>
      <x:c r="P1671" s="31" t="n">
        <x:v>46114</x:v>
      </x:c>
      <x:c r="Q1671" s="31" t="inlineStr">
        <x:is>
          <x:t xml:space="preserve">Завершено</x:t>
        </x:is>
      </x:c>
      <x:c r="R1671" s="31" t="inlineStr">
        <x:is>
          <x:t xml:space="preserve">Нет</x:t>
        </x:is>
      </x:c>
      <x:c r="S1671" s="31" t="inlineStr">
        <x:is>
          <x:t xml:space="preserve">Нет</x:t>
        </x:is>
      </x:c>
    </x:row>
    <x:row r="1672">
      <x:c r="A1672" s="31" t="inlineStr">
        <x:is>
          <x:t xml:space="preserve">ОП-001671</x:t>
        </x:is>
      </x:c>
      <x:c r="B1672" s="31" t="inlineStr">
        <x:is>
          <x:t xml:space="preserve">ПЗ-00200</x:t>
        </x:is>
      </x:c>
      <x:c r="C1672" s="31" t="inlineStr">
        <x:is>
          <x:t xml:space="preserve">ЗК-1097</x:t>
        </x:is>
      </x:c>
      <x:c r="D1672" s="31" t="inlineStr">
        <x:is>
          <x:t xml:space="preserve">ПОЗ-0097-1</x:t>
        </x:is>
      </x:c>
      <x:c r="E1672" s="31" t="inlineStr">
        <x:is>
          <x:t xml:space="preserve">ИЗД-012</x:t>
        </x:is>
      </x:c>
      <x:c r="F1672" s="31" t="n">
        <x:v>20</x:v>
      </x:c>
      <x:c r="G1672" s="31" t="inlineStr">
        <x:is>
          <x:t xml:space="preserve">Резка труб</x:t>
        </x:is>
      </x:c>
      <x:c r="H1672" s="31" t="inlineStr">
        <x:is>
          <x:t xml:space="preserve">Сварка</x:t>
        </x:is>
      </x:c>
      <x:c r="I1672" s="31" t="inlineStr">
        <x:is>
          <x:t xml:space="preserve">ОБ-018</x:t>
        </x:is>
      </x:c>
      <x:c r="J1672" s="31" t="inlineStr">
        <x:is>
          <x:t xml:space="preserve">СОТР-061</x:t>
        </x:is>
      </x:c>
      <x:c r="K1672" s="31" t="n">
        <x:v>26.5</x:v>
      </x:c>
      <x:c r="L1672" s="31" t="n">
        <x:v>23.6</x:v>
      </x:c>
      <x:c r="M1672" s="31" t="n">
        <x:v>46114</x:v>
      </x:c>
      <x:c r="N1672" s="31" t="n">
        <x:v>46117</x:v>
      </x:c>
      <x:c r="O1672" s="31" t="n">
        <x:v>46114</x:v>
      </x:c>
      <x:c r="P1672" s="31" t="n">
        <x:v>46117</x:v>
      </x:c>
      <x:c r="Q1672" s="31" t="inlineStr">
        <x:is>
          <x:t xml:space="preserve">Завершено</x:t>
        </x:is>
      </x:c>
      <x:c r="R1672" s="31" t="inlineStr">
        <x:is>
          <x:t xml:space="preserve">Материал</x:t>
        </x:is>
      </x:c>
      <x:c r="S1672" s="31" t="inlineStr">
        <x:is>
          <x:t xml:space="preserve">Нет</x:t>
        </x:is>
      </x:c>
    </x:row>
    <x:row r="1673">
      <x:c r="A1673" s="31" t="inlineStr">
        <x:is>
          <x:t xml:space="preserve">ОП-001672</x:t>
        </x:is>
      </x:c>
      <x:c r="B1673" s="31" t="inlineStr">
        <x:is>
          <x:t xml:space="preserve">ПЗ-00200</x:t>
        </x:is>
      </x:c>
      <x:c r="C1673" s="31" t="inlineStr">
        <x:is>
          <x:t xml:space="preserve">ЗК-1097</x:t>
        </x:is>
      </x:c>
      <x:c r="D1673" s="31" t="inlineStr">
        <x:is>
          <x:t xml:space="preserve">ПОЗ-0097-1</x:t>
        </x:is>
      </x:c>
      <x:c r="E1673" s="31" t="inlineStr">
        <x:is>
          <x:t xml:space="preserve">ИЗД-012</x:t>
        </x:is>
      </x:c>
      <x:c r="F1673" s="31" t="n">
        <x:v>30</x:v>
      </x:c>
      <x:c r="G1673" s="31" t="inlineStr">
        <x:is>
          <x:t xml:space="preserve">Сварка</x:t>
        </x:is>
      </x:c>
      <x:c r="H1673" s="31" t="inlineStr">
        <x:is>
          <x:t xml:space="preserve">Сварка</x:t>
        </x:is>
      </x:c>
      <x:c r="I1673" s="31" t="inlineStr">
        <x:is>
          <x:t xml:space="preserve">ОБ-035</x:t>
        </x:is>
      </x:c>
      <x:c r="J1673" s="31" t="inlineStr">
        <x:is>
          <x:t xml:space="preserve">СОТР-067</x:t>
        </x:is>
      </x:c>
      <x:c r="K1673" s="31" t="n">
        <x:v>30</x:v>
      </x:c>
      <x:c r="L1673" s="31" t="n"/>
      <x:c r="M1673" s="31" t="n">
        <x:v>46117</x:v>
      </x:c>
      <x:c r="N1673" s="31" t="n">
        <x:v>46120</x:v>
      </x:c>
      <x:c r="O1673" s="31" t="n"/>
      <x:c r="P1673" s="31" t="n"/>
      <x:c r="Q1673" s="31" t="inlineStr">
        <x:is>
          <x:t xml:space="preserve">Запланировано</x:t>
        </x:is>
      </x:c>
      <x:c r="R1673" s="31" t="inlineStr">
        <x:is>
          <x:t xml:space="preserve">Нет</x:t>
        </x:is>
      </x:c>
      <x:c r="S1673" s="31" t="inlineStr">
        <x:is>
          <x:t xml:space="preserve">Нет</x:t>
        </x:is>
      </x:c>
    </x:row>
    <x:row r="1674">
      <x:c r="A1674" s="31" t="inlineStr">
        <x:is>
          <x:t xml:space="preserve">ОП-001673</x:t>
        </x:is>
      </x:c>
      <x:c r="B1674" s="31" t="inlineStr">
        <x:is>
          <x:t xml:space="preserve">ПЗ-00200</x:t>
        </x:is>
      </x:c>
      <x:c r="C1674" s="31" t="inlineStr">
        <x:is>
          <x:t xml:space="preserve">ЗК-1097</x:t>
        </x:is>
      </x:c>
      <x:c r="D1674" s="31" t="inlineStr">
        <x:is>
          <x:t xml:space="preserve">ПОЗ-0097-1</x:t>
        </x:is>
      </x:c>
      <x:c r="E1674" s="31" t="inlineStr">
        <x:is>
          <x:t xml:space="preserve">ИЗД-012</x:t>
        </x:is>
      </x:c>
      <x:c r="F1674" s="31" t="n">
        <x:v>40</x:v>
      </x:c>
      <x:c r="G1674" s="31" t="inlineStr">
        <x:is>
          <x:t xml:space="preserve">НК сварных швов</x:t>
        </x:is>
      </x:c>
      <x:c r="H1674" s="31" t="inlineStr">
        <x:is>
          <x:t xml:space="preserve">ОТК</x:t>
        </x:is>
      </x:c>
      <x:c r="I1674" s="31" t="inlineStr">
        <x:is>
          <x:t xml:space="preserve">ОБ-022</x:t>
        </x:is>
      </x:c>
      <x:c r="J1674" s="31" t="inlineStr">
        <x:is>
          <x:t xml:space="preserve">СОТР-099</x:t>
        </x:is>
      </x:c>
      <x:c r="K1674" s="31" t="n">
        <x:v>21.5</x:v>
      </x:c>
      <x:c r="L1674" s="31" t="n"/>
      <x:c r="M1674" s="31" t="n">
        <x:v>46120</x:v>
      </x:c>
      <x:c r="N1674" s="31" t="n">
        <x:v>46122</x:v>
      </x:c>
      <x:c r="O1674" s="31" t="n"/>
      <x:c r="P1674" s="31" t="n"/>
      <x:c r="Q1674" s="31" t="inlineStr">
        <x:is>
          <x:t xml:space="preserve">Запланировано</x:t>
        </x:is>
      </x:c>
      <x:c r="R1674" s="31" t="inlineStr">
        <x:is>
          <x:t xml:space="preserve">Нет</x:t>
        </x:is>
      </x:c>
      <x:c r="S1674" s="31" t="inlineStr">
        <x:is>
          <x:t xml:space="preserve">Да</x:t>
        </x:is>
      </x:c>
    </x:row>
    <x:row r="1675">
      <x:c r="A1675" s="31" t="inlineStr">
        <x:is>
          <x:t xml:space="preserve">ОП-001674</x:t>
        </x:is>
      </x:c>
      <x:c r="B1675" s="31" t="inlineStr">
        <x:is>
          <x:t xml:space="preserve">ПЗ-00200</x:t>
        </x:is>
      </x:c>
      <x:c r="C1675" s="31" t="inlineStr">
        <x:is>
          <x:t xml:space="preserve">ЗК-1097</x:t>
        </x:is>
      </x:c>
      <x:c r="D1675" s="31" t="inlineStr">
        <x:is>
          <x:t xml:space="preserve">ПОЗ-0097-1</x:t>
        </x:is>
      </x:c>
      <x:c r="E1675" s="31" t="inlineStr">
        <x:is>
          <x:t xml:space="preserve">ИЗД-012</x:t>
        </x:is>
      </x:c>
      <x:c r="F1675" s="31" t="n">
        <x:v>50</x:v>
      </x:c>
      <x:c r="G1675" s="31" t="inlineStr">
        <x:is>
          <x:t xml:space="preserve">Гидроиспытания</x:t>
        </x:is>
      </x:c>
      <x:c r="H1675" s="31" t="inlineStr">
        <x:is>
          <x:t xml:space="preserve">ОТК</x:t>
        </x:is>
      </x:c>
      <x:c r="I1675" s="31" t="inlineStr">
        <x:is>
          <x:t xml:space="preserve">ОБ-007</x:t>
        </x:is>
      </x:c>
      <x:c r="J1675" s="31" t="inlineStr">
        <x:is>
          <x:t xml:space="preserve">СОТР-093</x:t>
        </x:is>
      </x:c>
      <x:c r="K1675" s="31" t="n">
        <x:v>21.5</x:v>
      </x:c>
      <x:c r="L1675" s="31" t="n"/>
      <x:c r="M1675" s="31" t="n">
        <x:v>46122</x:v>
      </x:c>
      <x:c r="N1675" s="31" t="n">
        <x:v>46124</x:v>
      </x:c>
      <x:c r="O1675" s="31" t="n"/>
      <x:c r="P1675" s="31" t="n"/>
      <x:c r="Q1675" s="31" t="inlineStr">
        <x:is>
          <x:t xml:space="preserve">Запланировано</x:t>
        </x:is>
      </x:c>
      <x:c r="R1675" s="31" t="inlineStr">
        <x:is>
          <x:t xml:space="preserve">Материал</x:t>
        </x:is>
      </x:c>
      <x:c r="S1675" s="31" t="inlineStr">
        <x:is>
          <x:t xml:space="preserve">Нет</x:t>
        </x:is>
      </x:c>
    </x:row>
    <x:row r="1676">
      <x:c r="A1676" s="31" t="inlineStr">
        <x:is>
          <x:t xml:space="preserve">ОП-001675</x:t>
        </x:is>
      </x:c>
      <x:c r="B1676" s="31" t="inlineStr">
        <x:is>
          <x:t xml:space="preserve">ПЗ-00200</x:t>
        </x:is>
      </x:c>
      <x:c r="C1676" s="31" t="inlineStr">
        <x:is>
          <x:t xml:space="preserve">ЗК-1097</x:t>
        </x:is>
      </x:c>
      <x:c r="D1676" s="31" t="inlineStr">
        <x:is>
          <x:t xml:space="preserve">ПОЗ-0097-1</x:t>
        </x:is>
      </x:c>
      <x:c r="E1676" s="31" t="inlineStr">
        <x:is>
          <x:t xml:space="preserve">ИЗД-012</x:t>
        </x:is>
      </x:c>
      <x:c r="F1676" s="31" t="n">
        <x:v>60</x:v>
      </x:c>
      <x:c r="G1676" s="31" t="inlineStr">
        <x:is>
          <x:t xml:space="preserve">Покраска</x:t>
        </x:is>
      </x:c>
      <x:c r="H1676" s="31" t="inlineStr">
        <x:is>
          <x:t xml:space="preserve">Сварка</x:t>
        </x:is>
      </x:c>
      <x:c r="I1676" s="31" t="inlineStr">
        <x:is>
          <x:t xml:space="preserve">ОБ-003</x:t>
        </x:is>
      </x:c>
      <x:c r="J1676" s="31" t="inlineStr">
        <x:is>
          <x:t xml:space="preserve">СОТР-060</x:t>
        </x:is>
      </x:c>
      <x:c r="K1676" s="31" t="n">
        <x:v>33</x:v>
      </x:c>
      <x:c r="L1676" s="31" t="n">
        <x:v>44.3</x:v>
      </x:c>
      <x:c r="M1676" s="31" t="n">
        <x:v>46124</x:v>
      </x:c>
      <x:c r="N1676" s="31" t="n">
        <x:v>46127</x:v>
      </x:c>
      <x:c r="O1676" s="31" t="n">
        <x:v>46124</x:v>
      </x:c>
      <x:c r="P1676" s="31" t="n">
        <x:v>46127</x:v>
      </x:c>
      <x:c r="Q1676" s="31" t="inlineStr">
        <x:is>
          <x:t xml:space="preserve">Завершено</x:t>
        </x:is>
      </x:c>
      <x:c r="R1676" s="31" t="inlineStr">
        <x:is>
          <x:t xml:space="preserve">Нет</x:t>
        </x:is>
      </x:c>
      <x:c r="S1676" s="31" t="inlineStr">
        <x:is>
          <x:t xml:space="preserve">Нет</x:t>
        </x:is>
      </x:c>
    </x:row>
    <x:row r="1677">
      <x:c r="A1677" s="31" t="inlineStr">
        <x:is>
          <x:t xml:space="preserve">ОП-001676</x:t>
        </x:is>
      </x:c>
      <x:c r="B1677" s="31" t="inlineStr">
        <x:is>
          <x:t xml:space="preserve">ПЗ-00200</x:t>
        </x:is>
      </x:c>
      <x:c r="C1677" s="31" t="inlineStr">
        <x:is>
          <x:t xml:space="preserve">ЗК-1097</x:t>
        </x:is>
      </x:c>
      <x:c r="D1677" s="31" t="inlineStr">
        <x:is>
          <x:t xml:space="preserve">ПОЗ-0097-1</x:t>
        </x:is>
      </x:c>
      <x:c r="E1677" s="31" t="inlineStr">
        <x:is>
          <x:t xml:space="preserve">ИЗД-012</x:t>
        </x:is>
      </x:c>
      <x:c r="F1677" s="31" t="n">
        <x:v>70</x:v>
      </x:c>
      <x:c r="G1677" s="31" t="inlineStr">
        <x:is>
          <x:t xml:space="preserve">ОТК</x:t>
        </x:is>
      </x:c>
      <x:c r="H1677" s="31" t="inlineStr">
        <x:is>
          <x:t xml:space="preserve">ОТК</x:t>
        </x:is>
      </x:c>
      <x:c r="I1677" s="31" t="inlineStr">
        <x:is>
          <x:t xml:space="preserve">ОБ-013</x:t>
        </x:is>
      </x:c>
      <x:c r="J1677" s="31" t="inlineStr">
        <x:is>
          <x:t xml:space="preserve">СОТР-096</x:t>
        </x:is>
      </x:c>
      <x:c r="K1677" s="31" t="n">
        <x:v>12</x:v>
      </x:c>
      <x:c r="L1677" s="31" t="n"/>
      <x:c r="M1677" s="31" t="n">
        <x:v>46127</x:v>
      </x:c>
      <x:c r="N1677" s="31" t="n">
        <x:v>46128</x:v>
      </x:c>
      <x:c r="O1677" s="31" t="n"/>
      <x:c r="P1677" s="31" t="n"/>
      <x:c r="Q1677" s="31" t="inlineStr">
        <x:is>
          <x:t xml:space="preserve">Запланировано</x:t>
        </x:is>
      </x:c>
      <x:c r="R1677" s="31" t="inlineStr">
        <x:is>
          <x:t xml:space="preserve">Нет</x:t>
        </x:is>
      </x:c>
      <x:c r="S1677" s="31" t="inlineStr">
        <x:is>
          <x:t xml:space="preserve">Нет</x:t>
        </x:is>
      </x:c>
    </x:row>
    <x:row r="1678">
      <x:c r="A1678" s="31" t="inlineStr">
        <x:is>
          <x:t xml:space="preserve">ОП-001677</x:t>
        </x:is>
      </x:c>
      <x:c r="B1678" s="31" t="inlineStr">
        <x:is>
          <x:t xml:space="preserve">ПЗ-00201</x:t>
        </x:is>
      </x:c>
      <x:c r="C1678" s="31" t="inlineStr">
        <x:is>
          <x:t xml:space="preserve">ЗК-1097</x:t>
        </x:is>
      </x:c>
      <x:c r="D1678" s="31" t="inlineStr">
        <x:is>
          <x:t xml:space="preserve">ПОЗ-0097-2</x:t>
        </x:is>
      </x:c>
      <x:c r="E1678" s="31" t="inlineStr">
        <x:is>
          <x:t xml:space="preserve">ИЗД-034</x:t>
        </x:is>
      </x:c>
      <x:c r="F1678" s="31" t="n">
        <x:v>10</x:v>
      </x:c>
      <x:c r="G1678" s="31" t="inlineStr">
        <x:is>
          <x:t xml:space="preserve">КД</x:t>
        </x:is>
      </x:c>
      <x:c r="H1678" s="31" t="inlineStr">
        <x:is>
          <x:t xml:space="preserve">Инженерный отдел</x:t>
        </x:is>
      </x:c>
      <x:c r="I1678" s="31" t="n"/>
      <x:c r="J1678" s="31" t="inlineStr">
        <x:is>
          <x:t xml:space="preserve">СОТР-017</x:t>
        </x:is>
      </x:c>
      <x:c r="K1678" s="31" t="n">
        <x:v>28.8</x:v>
      </x:c>
      <x:c r="L1678" s="31" t="n">
        <x:v>23.2</x:v>
      </x:c>
      <x:c r="M1678" s="31" t="n">
        <x:v>46097</x:v>
      </x:c>
      <x:c r="N1678" s="31" t="n">
        <x:v>46100</x:v>
      </x:c>
      <x:c r="O1678" s="31" t="n">
        <x:v>46097</x:v>
      </x:c>
      <x:c r="P1678" s="31" t="n">
        <x:v>46102</x:v>
      </x:c>
      <x:c r="Q1678" s="31" t="inlineStr">
        <x:is>
          <x:t xml:space="preserve">Завершено</x:t>
        </x:is>
      </x:c>
      <x:c r="R1678" s="31" t="inlineStr">
        <x:is>
          <x:t xml:space="preserve">Нет</x:t>
        </x:is>
      </x:c>
      <x:c r="S1678" s="31" t="inlineStr">
        <x:is>
          <x:t xml:space="preserve">Нет</x:t>
        </x:is>
      </x:c>
    </x:row>
    <x:row r="1679">
      <x:c r="A1679" s="31" t="inlineStr">
        <x:is>
          <x:t xml:space="preserve">ОП-001678</x:t>
        </x:is>
      </x:c>
      <x:c r="B1679" s="31" t="inlineStr">
        <x:is>
          <x:t xml:space="preserve">ПЗ-00201</x:t>
        </x:is>
      </x:c>
      <x:c r="C1679" s="31" t="inlineStr">
        <x:is>
          <x:t xml:space="preserve">ЗК-1097</x:t>
        </x:is>
      </x:c>
      <x:c r="D1679" s="31" t="inlineStr">
        <x:is>
          <x:t xml:space="preserve">ПОЗ-0097-2</x:t>
        </x:is>
      </x:c>
      <x:c r="E1679" s="31" t="inlineStr">
        <x:is>
          <x:t xml:space="preserve">ИЗД-034</x:t>
        </x:is>
      </x:c>
      <x:c r="F1679" s="31" t="n">
        <x:v>20</x:v>
      </x:c>
      <x:c r="G1679" s="31" t="inlineStr">
        <x:is>
          <x:t xml:space="preserve">Резерв материалов</x:t>
        </x:is>
      </x:c>
      <x:c r="H1679" s="31" t="inlineStr">
        <x:is>
          <x:t xml:space="preserve">Склад</x:t>
        </x:is>
      </x:c>
      <x:c r="I1679" s="31" t="inlineStr">
        <x:is>
          <x:t xml:space="preserve">ОБ-008</x:t>
        </x:is>
      </x:c>
      <x:c r="J1679" s="31" t="inlineStr">
        <x:is>
          <x:t xml:space="preserve">СОТР-035</x:t>
        </x:is>
      </x:c>
      <x:c r="K1679" s="31" t="n">
        <x:v>19.6</x:v>
      </x:c>
      <x:c r="L1679" s="31" t="n">
        <x:v>24.8</x:v>
      </x:c>
      <x:c r="M1679" s="31" t="n">
        <x:v>46100</x:v>
      </x:c>
      <x:c r="N1679" s="31" t="n">
        <x:v>46102</x:v>
      </x:c>
      <x:c r="O1679" s="31" t="n">
        <x:v>46100</x:v>
      </x:c>
      <x:c r="P1679" s="31" t="n">
        <x:v>46103</x:v>
      </x:c>
      <x:c r="Q1679" s="31" t="inlineStr">
        <x:is>
          <x:t xml:space="preserve">Завершено</x:t>
        </x:is>
      </x:c>
      <x:c r="R1679" s="31" t="inlineStr">
        <x:is>
          <x:t xml:space="preserve">Оборудование</x:t>
        </x:is>
      </x:c>
      <x:c r="S1679" s="31" t="inlineStr">
        <x:is>
          <x:t xml:space="preserve">Нет</x:t>
        </x:is>
      </x:c>
    </x:row>
    <x:row r="1680">
      <x:c r="A1680" s="31" t="inlineStr">
        <x:is>
          <x:t xml:space="preserve">ОП-001679</x:t>
        </x:is>
      </x:c>
      <x:c r="B1680" s="31" t="inlineStr">
        <x:is>
          <x:t xml:space="preserve">ПЗ-00201</x:t>
        </x:is>
      </x:c>
      <x:c r="C1680" s="31" t="inlineStr">
        <x:is>
          <x:t xml:space="preserve">ЗК-1097</x:t>
        </x:is>
      </x:c>
      <x:c r="D1680" s="31" t="inlineStr">
        <x:is>
          <x:t xml:space="preserve">ПОЗ-0097-2</x:t>
        </x:is>
      </x:c>
      <x:c r="E1680" s="31" t="inlineStr">
        <x:is>
          <x:t xml:space="preserve">ИЗД-034</x:t>
        </x:is>
      </x:c>
      <x:c r="F1680" s="31" t="n">
        <x:v>30</x:v>
      </x:c>
      <x:c r="G1680" s="31" t="inlineStr">
        <x:is>
          <x:t xml:space="preserve">Резка металла</x:t>
        </x:is>
      </x:c>
      <x:c r="H1680" s="31" t="inlineStr">
        <x:is>
          <x:t xml:space="preserve">Сварка</x:t>
        </x:is>
      </x:c>
      <x:c r="I1680" s="31" t="inlineStr">
        <x:is>
          <x:t xml:space="preserve">ОБ-004</x:t>
        </x:is>
      </x:c>
      <x:c r="J1680" s="31" t="inlineStr">
        <x:is>
          <x:t xml:space="preserve">СОТР-072</x:t>
        </x:is>
      </x:c>
      <x:c r="K1680" s="31" t="n">
        <x:v>26.8</x:v>
      </x:c>
      <x:c r="L1680" s="31" t="n">
        <x:v>24.7</x:v>
      </x:c>
      <x:c r="M1680" s="31" t="n">
        <x:v>46102</x:v>
      </x:c>
      <x:c r="N1680" s="31" t="n">
        <x:v>46105</x:v>
      </x:c>
      <x:c r="O1680" s="31" t="n">
        <x:v>46102</x:v>
      </x:c>
      <x:c r="P1680" s="31" t="n">
        <x:v>46105</x:v>
      </x:c>
      <x:c r="Q1680" s="31" t="inlineStr">
        <x:is>
          <x:t xml:space="preserve">Завершено</x:t>
        </x:is>
      </x:c>
      <x:c r="R1680" s="31" t="inlineStr">
        <x:is>
          <x:t xml:space="preserve">Нет</x:t>
        </x:is>
      </x:c>
      <x:c r="S1680" s="31" t="inlineStr">
        <x:is>
          <x:t xml:space="preserve">Нет</x:t>
        </x:is>
      </x:c>
    </x:row>
    <x:row r="1681">
      <x:c r="A1681" s="31" t="inlineStr">
        <x:is>
          <x:t xml:space="preserve">ОП-001680</x:t>
        </x:is>
      </x:c>
      <x:c r="B1681" s="31" t="inlineStr">
        <x:is>
          <x:t xml:space="preserve">ПЗ-00201</x:t>
        </x:is>
      </x:c>
      <x:c r="C1681" s="31" t="inlineStr">
        <x:is>
          <x:t xml:space="preserve">ЗК-1097</x:t>
        </x:is>
      </x:c>
      <x:c r="D1681" s="31" t="inlineStr">
        <x:is>
          <x:t xml:space="preserve">ПОЗ-0097-2</x:t>
        </x:is>
      </x:c>
      <x:c r="E1681" s="31" t="inlineStr">
        <x:is>
          <x:t xml:space="preserve">ИЗД-034</x:t>
        </x:is>
      </x:c>
      <x:c r="F1681" s="31" t="n">
        <x:v>40</x:v>
      </x:c>
      <x:c r="G1681" s="31" t="inlineStr">
        <x:is>
          <x:t xml:space="preserve">Сварка рамы</x:t>
        </x:is>
      </x:c>
      <x:c r="H1681" s="31" t="inlineStr">
        <x:is>
          <x:t xml:space="preserve">Сварка</x:t>
        </x:is>
      </x:c>
      <x:c r="I1681" s="31" t="inlineStr">
        <x:is>
          <x:t xml:space="preserve">ОБ-019</x:t>
        </x:is>
      </x:c>
      <x:c r="J1681" s="31" t="inlineStr">
        <x:is>
          <x:t xml:space="preserve">СОТР-061</x:t>
        </x:is>
      </x:c>
      <x:c r="K1681" s="31" t="n">
        <x:v>14</x:v>
      </x:c>
      <x:c r="L1681" s="31" t="n"/>
      <x:c r="M1681" s="31" t="n">
        <x:v>46105</x:v>
      </x:c>
      <x:c r="N1681" s="31" t="n">
        <x:v>46107</x:v>
      </x:c>
      <x:c r="O1681" s="31" t="n">
        <x:v>46105</x:v>
      </x:c>
      <x:c r="P1681" s="31" t="n"/>
      <x:c r="Q1681" s="31" t="inlineStr">
        <x:is>
          <x:t xml:space="preserve">В работе</x:t>
        </x:is>
      </x:c>
      <x:c r="R1681" s="31" t="inlineStr">
        <x:is>
          <x:t xml:space="preserve">Нет</x:t>
        </x:is>
      </x:c>
      <x:c r="S1681" s="31" t="inlineStr">
        <x:is>
          <x:t xml:space="preserve">Нет</x:t>
        </x:is>
      </x:c>
    </x:row>
    <x:row r="1682">
      <x:c r="A1682" s="31" t="inlineStr">
        <x:is>
          <x:t xml:space="preserve">ОП-001681</x:t>
        </x:is>
      </x:c>
      <x:c r="B1682" s="31" t="inlineStr">
        <x:is>
          <x:t xml:space="preserve">ПЗ-00201</x:t>
        </x:is>
      </x:c>
      <x:c r="C1682" s="31" t="inlineStr">
        <x:is>
          <x:t xml:space="preserve">ЗК-1097</x:t>
        </x:is>
      </x:c>
      <x:c r="D1682" s="31" t="inlineStr">
        <x:is>
          <x:t xml:space="preserve">ПОЗ-0097-2</x:t>
        </x:is>
      </x:c>
      <x:c r="E1682" s="31" t="inlineStr">
        <x:is>
          <x:t xml:space="preserve">ИЗД-034</x:t>
        </x:is>
      </x:c>
      <x:c r="F1682" s="31" t="n">
        <x:v>50</x:v>
      </x:c>
      <x:c r="G1682" s="31" t="inlineStr">
        <x:is>
          <x:t xml:space="preserve">Механообработка</x:t>
        </x:is>
      </x:c>
      <x:c r="H1682" s="31" t="inlineStr">
        <x:is>
          <x:t xml:space="preserve">Механообработка</x:t>
        </x:is>
      </x:c>
      <x:c r="I1682" s="31" t="inlineStr">
        <x:is>
          <x:t xml:space="preserve">ОБ-029</x:t>
        </x:is>
      </x:c>
      <x:c r="J1682" s="31" t="inlineStr">
        <x:is>
          <x:t xml:space="preserve">СОТР-042</x:t>
        </x:is>
      </x:c>
      <x:c r="K1682" s="31" t="n">
        <x:v>32.4</x:v>
      </x:c>
      <x:c r="L1682" s="31" t="n"/>
      <x:c r="M1682" s="31" t="n">
        <x:v>46107</x:v>
      </x:c>
      <x:c r="N1682" s="31" t="n">
        <x:v>46110</x:v>
      </x:c>
      <x:c r="O1682" s="31" t="n"/>
      <x:c r="P1682" s="31" t="n"/>
      <x:c r="Q1682" s="31" t="inlineStr">
        <x:is>
          <x:t xml:space="preserve">Запланировано</x:t>
        </x:is>
      </x:c>
      <x:c r="R1682" s="31" t="inlineStr">
        <x:is>
          <x:t xml:space="preserve">Нет</x:t>
        </x:is>
      </x:c>
      <x:c r="S1682" s="31" t="inlineStr">
        <x:is>
          <x:t xml:space="preserve">Нет</x:t>
        </x:is>
      </x:c>
    </x:row>
    <x:row r="1683">
      <x:c r="A1683" s="31" t="inlineStr">
        <x:is>
          <x:t xml:space="preserve">ОП-001682</x:t>
        </x:is>
      </x:c>
      <x:c r="B1683" s="31" t="inlineStr">
        <x:is>
          <x:t xml:space="preserve">ПЗ-00201</x:t>
        </x:is>
      </x:c>
      <x:c r="C1683" s="31" t="inlineStr">
        <x:is>
          <x:t xml:space="preserve">ЗК-1097</x:t>
        </x:is>
      </x:c>
      <x:c r="D1683" s="31" t="inlineStr">
        <x:is>
          <x:t xml:space="preserve">ПОЗ-0097-2</x:t>
        </x:is>
      </x:c>
      <x:c r="E1683" s="31" t="inlineStr">
        <x:is>
          <x:t xml:space="preserve">ИЗД-034</x:t>
        </x:is>
      </x:c>
      <x:c r="F1683" s="31" t="n">
        <x:v>60</x:v>
      </x:c>
      <x:c r="G1683" s="31" t="inlineStr">
        <x:is>
          <x:t xml:space="preserve">Сборка</x:t>
        </x:is>
      </x:c>
      <x:c r="H1683" s="31" t="inlineStr">
        <x:is>
          <x:t xml:space="preserve">Сборка</x:t>
        </x:is>
      </x:c>
      <x:c r="I1683" s="31" t="inlineStr">
        <x:is>
          <x:t xml:space="preserve">ОБ-027</x:t>
        </x:is>
      </x:c>
      <x:c r="J1683" s="31" t="inlineStr">
        <x:is>
          <x:t xml:space="preserve">СОТР-074</x:t>
        </x:is>
      </x:c>
      <x:c r="K1683" s="31" t="n">
        <x:v>13.2</x:v>
      </x:c>
      <x:c r="L1683" s="31" t="n">
        <x:v>13.4</x:v>
      </x:c>
      <x:c r="M1683" s="31" t="n">
        <x:v>46110</x:v>
      </x:c>
      <x:c r="N1683" s="31" t="n">
        <x:v>46112</x:v>
      </x:c>
      <x:c r="O1683" s="31" t="n">
        <x:v>46110</x:v>
      </x:c>
      <x:c r="P1683" s="31" t="n">
        <x:v>46113</x:v>
      </x:c>
      <x:c r="Q1683" s="31" t="inlineStr">
        <x:is>
          <x:t xml:space="preserve">Завершено</x:t>
        </x:is>
      </x:c>
      <x:c r="R1683" s="31" t="inlineStr">
        <x:is>
          <x:t xml:space="preserve">Ожидание ОТК</x:t>
        </x:is>
      </x:c>
      <x:c r="S1683" s="31" t="inlineStr">
        <x:is>
          <x:t xml:space="preserve">Нет</x:t>
        </x:is>
      </x:c>
    </x:row>
    <x:row r="1684">
      <x:c r="A1684" s="31" t="inlineStr">
        <x:is>
          <x:t xml:space="preserve">ОП-001683</x:t>
        </x:is>
      </x:c>
      <x:c r="B1684" s="31" t="inlineStr">
        <x:is>
          <x:t xml:space="preserve">ПЗ-00201</x:t>
        </x:is>
      </x:c>
      <x:c r="C1684" s="31" t="inlineStr">
        <x:is>
          <x:t xml:space="preserve">ЗК-1097</x:t>
        </x:is>
      </x:c>
      <x:c r="D1684" s="31" t="inlineStr">
        <x:is>
          <x:t xml:space="preserve">ПОЗ-0097-2</x:t>
        </x:is>
      </x:c>
      <x:c r="E1684" s="31" t="inlineStr">
        <x:is>
          <x:t xml:space="preserve">ИЗД-034</x:t>
        </x:is>
      </x:c>
      <x:c r="F1684" s="31" t="n">
        <x:v>70</x:v>
      </x:c>
      <x:c r="G1684" s="31" t="inlineStr">
        <x:is>
          <x:t xml:space="preserve">Обвязка труб</x:t>
        </x:is>
      </x:c>
      <x:c r="H1684" s="31" t="inlineStr">
        <x:is>
          <x:t xml:space="preserve">Сборка</x:t>
        </x:is>
      </x:c>
      <x:c r="I1684" s="31" t="inlineStr">
        <x:is>
          <x:t xml:space="preserve">ОБ-034</x:t>
        </x:is>
      </x:c>
      <x:c r="J1684" s="31" t="inlineStr">
        <x:is>
          <x:t xml:space="preserve">СОТР-086</x:t>
        </x:is>
      </x:c>
      <x:c r="K1684" s="31" t="n">
        <x:v>9.199999999999999</x:v>
      </x:c>
      <x:c r="L1684" s="31" t="n"/>
      <x:c r="M1684" s="31" t="n">
        <x:v>46112</x:v>
      </x:c>
      <x:c r="N1684" s="31" t="n">
        <x:v>46113</x:v>
      </x:c>
      <x:c r="O1684" s="31" t="n">
        <x:v>46112</x:v>
      </x:c>
      <x:c r="P1684" s="31" t="n"/>
      <x:c r="Q1684" s="31" t="inlineStr">
        <x:is>
          <x:t xml:space="preserve">В работе</x:t>
        </x:is>
      </x:c>
      <x:c r="R1684" s="31" t="inlineStr">
        <x:is>
          <x:t xml:space="preserve">Материал</x:t>
        </x:is>
      </x:c>
      <x:c r="S1684" s="31" t="inlineStr">
        <x:is>
          <x:t xml:space="preserve">Нет</x:t>
        </x:is>
      </x:c>
    </x:row>
    <x:row r="1685">
      <x:c r="A1685" s="31" t="inlineStr">
        <x:is>
          <x:t xml:space="preserve">ОП-001684</x:t>
        </x:is>
      </x:c>
      <x:c r="B1685" s="31" t="inlineStr">
        <x:is>
          <x:t xml:space="preserve">ПЗ-00201</x:t>
        </x:is>
      </x:c>
      <x:c r="C1685" s="31" t="inlineStr">
        <x:is>
          <x:t xml:space="preserve">ЗК-1097</x:t>
        </x:is>
      </x:c>
      <x:c r="D1685" s="31" t="inlineStr">
        <x:is>
          <x:t xml:space="preserve">ПОЗ-0097-2</x:t>
        </x:is>
      </x:c>
      <x:c r="E1685" s="31" t="inlineStr">
        <x:is>
          <x:t xml:space="preserve">ИЗД-034</x:t>
        </x:is>
      </x:c>
      <x:c r="F1685" s="31" t="n">
        <x:v>80</x:v>
      </x:c>
      <x:c r="G1685" s="31" t="inlineStr">
        <x:is>
          <x:t xml:space="preserve">Электромонтаж</x:t>
        </x:is>
      </x:c>
      <x:c r="H1685" s="31" t="inlineStr">
        <x:is>
          <x:t xml:space="preserve">Сборка</x:t>
        </x:is>
      </x:c>
      <x:c r="I1685" s="31" t="inlineStr">
        <x:is>
          <x:t xml:space="preserve">ОБ-020</x:t>
        </x:is>
      </x:c>
      <x:c r="J1685" s="31" t="inlineStr">
        <x:is>
          <x:t xml:space="preserve">СОТР-077</x:t>
        </x:is>
      </x:c>
      <x:c r="K1685" s="31" t="n">
        <x:v>8.800000000000001</x:v>
      </x:c>
      <x:c r="L1685" s="31" t="n"/>
      <x:c r="M1685" s="31" t="n">
        <x:v>46113</x:v>
      </x:c>
      <x:c r="N1685" s="31" t="n">
        <x:v>46114</x:v>
      </x:c>
      <x:c r="O1685" s="31" t="n"/>
      <x:c r="P1685" s="31" t="n"/>
      <x:c r="Q1685" s="31" t="inlineStr">
        <x:is>
          <x:t xml:space="preserve">Запланировано</x:t>
        </x:is>
      </x:c>
      <x:c r="R1685" s="31" t="inlineStr">
        <x:is>
          <x:t xml:space="preserve">Нет</x:t>
        </x:is>
      </x:c>
      <x:c r="S1685" s="31" t="inlineStr">
        <x:is>
          <x:t xml:space="preserve">Нет</x:t>
        </x:is>
      </x:c>
    </x:row>
    <x:row r="1686">
      <x:c r="A1686" s="31" t="inlineStr">
        <x:is>
          <x:t xml:space="preserve">ОП-001685</x:t>
        </x:is>
      </x:c>
      <x:c r="B1686" s="31" t="inlineStr">
        <x:is>
          <x:t xml:space="preserve">ПЗ-00201</x:t>
        </x:is>
      </x:c>
      <x:c r="C1686" s="31" t="inlineStr">
        <x:is>
          <x:t xml:space="preserve">ЗК-1097</x:t>
        </x:is>
      </x:c>
      <x:c r="D1686" s="31" t="inlineStr">
        <x:is>
          <x:t xml:space="preserve">ПОЗ-0097-2</x:t>
        </x:is>
      </x:c>
      <x:c r="E1686" s="31" t="inlineStr">
        <x:is>
          <x:t xml:space="preserve">ИЗД-034</x:t>
        </x:is>
      </x:c>
      <x:c r="F1686" s="31" t="n">
        <x:v>90</x:v>
      </x:c>
      <x:c r="G1686" s="31" t="inlineStr">
        <x:is>
          <x:t xml:space="preserve">Приемочные испытания</x:t>
        </x:is>
      </x:c>
      <x:c r="H1686" s="31" t="inlineStr">
        <x:is>
          <x:t xml:space="preserve">ОТК</x:t>
        </x:is>
      </x:c>
      <x:c r="I1686" s="31" t="inlineStr">
        <x:is>
          <x:t xml:space="preserve">ОБ-006</x:t>
        </x:is>
      </x:c>
      <x:c r="J1686" s="31" t="inlineStr">
        <x:is>
          <x:t xml:space="preserve">СОТР-093</x:t>
        </x:is>
      </x:c>
      <x:c r="K1686" s="31" t="n">
        <x:v>14</x:v>
      </x:c>
      <x:c r="L1686" s="31" t="n"/>
      <x:c r="M1686" s="31" t="n">
        <x:v>46114</x:v>
      </x:c>
      <x:c r="N1686" s="31" t="n">
        <x:v>46116</x:v>
      </x:c>
      <x:c r="O1686" s="31" t="n"/>
      <x:c r="P1686" s="31" t="n"/>
      <x:c r="Q1686" s="31" t="inlineStr">
        <x:is>
          <x:t xml:space="preserve">Запланировано</x:t>
        </x:is>
      </x:c>
      <x:c r="R1686" s="31" t="inlineStr">
        <x:is>
          <x:t xml:space="preserve">Нет</x:t>
        </x:is>
      </x:c>
      <x:c r="S1686" s="31" t="inlineStr">
        <x:is>
          <x:t xml:space="preserve">Нет</x:t>
        </x:is>
      </x:c>
    </x:row>
    <x:row r="1687">
      <x:c r="A1687" s="31" t="inlineStr">
        <x:is>
          <x:t xml:space="preserve">ОП-001686</x:t>
        </x:is>
      </x:c>
      <x:c r="B1687" s="31" t="inlineStr">
        <x:is>
          <x:t xml:space="preserve">ПЗ-00201</x:t>
        </x:is>
      </x:c>
      <x:c r="C1687" s="31" t="inlineStr">
        <x:is>
          <x:t xml:space="preserve">ЗК-1097</x:t>
        </x:is>
      </x:c>
      <x:c r="D1687" s="31" t="inlineStr">
        <x:is>
          <x:t xml:space="preserve">ПОЗ-0097-2</x:t>
        </x:is>
      </x:c>
      <x:c r="E1687" s="31" t="inlineStr">
        <x:is>
          <x:t xml:space="preserve">ИЗД-034</x:t>
        </x:is>
      </x:c>
      <x:c r="F1687" s="31" t="n">
        <x:v>100</x:v>
      </x:c>
      <x:c r="G1687" s="31" t="inlineStr">
        <x:is>
          <x:t xml:space="preserve">ОТК</x:t>
        </x:is>
      </x:c>
      <x:c r="H1687" s="31" t="inlineStr">
        <x:is>
          <x:t xml:space="preserve">ОТК</x:t>
        </x:is>
      </x:c>
      <x:c r="I1687" s="31" t="inlineStr">
        <x:is>
          <x:t xml:space="preserve">ОБ-001</x:t>
        </x:is>
      </x:c>
      <x:c r="J1687" s="31" t="inlineStr">
        <x:is>
          <x:t xml:space="preserve">СОТР-093</x:t>
        </x:is>
      </x:c>
      <x:c r="K1687" s="31" t="n">
        <x:v>8.800000000000001</x:v>
      </x:c>
      <x:c r="L1687" s="31" t="n"/>
      <x:c r="M1687" s="31" t="n">
        <x:v>46116</x:v>
      </x:c>
      <x:c r="N1687" s="31" t="n">
        <x:v>46117</x:v>
      </x:c>
      <x:c r="O1687" s="31" t="n"/>
      <x:c r="P1687" s="31" t="n"/>
      <x:c r="Q1687" s="31" t="inlineStr">
        <x:is>
          <x:t xml:space="preserve">Запланировано</x:t>
        </x:is>
      </x:c>
      <x:c r="R1687" s="31" t="inlineStr">
        <x:is>
          <x:t xml:space="preserve">Нет</x:t>
        </x:is>
      </x:c>
      <x:c r="S1687" s="31" t="inlineStr">
        <x:is>
          <x:t xml:space="preserve">Нет</x:t>
        </x:is>
      </x:c>
    </x:row>
    <x:row r="1688">
      <x:c r="A1688" s="31" t="inlineStr">
        <x:is>
          <x:t xml:space="preserve">ОП-001687</x:t>
        </x:is>
      </x:c>
      <x:c r="B1688" s="31" t="inlineStr">
        <x:is>
          <x:t xml:space="preserve">ПЗ-00201</x:t>
        </x:is>
      </x:c>
      <x:c r="C1688" s="31" t="inlineStr">
        <x:is>
          <x:t xml:space="preserve">ЗК-1097</x:t>
        </x:is>
      </x:c>
      <x:c r="D1688" s="31" t="inlineStr">
        <x:is>
          <x:t xml:space="preserve">ПОЗ-0097-2</x:t>
        </x:is>
      </x:c>
      <x:c r="E1688" s="31" t="inlineStr">
        <x:is>
          <x:t xml:space="preserve">ИЗД-034</x:t>
        </x:is>
      </x:c>
      <x:c r="F1688" s="31" t="n">
        <x:v>110</x:v>
      </x:c>
      <x:c r="G1688" s="31" t="inlineStr">
        <x:is>
          <x:t xml:space="preserve">Упаковка</x:t>
        </x:is>
      </x:c>
      <x:c r="H1688" s="31" t="inlineStr">
        <x:is>
          <x:t xml:space="preserve">Логистика</x:t>
        </x:is>
      </x:c>
      <x:c r="I1688" s="31" t="n"/>
      <x:c r="J1688" s="31" t="inlineStr">
        <x:is>
          <x:t xml:space="preserve">СОТР-104</x:t>
        </x:is>
      </x:c>
      <x:c r="K1688" s="31" t="n">
        <x:v>21.2</x:v>
      </x:c>
      <x:c r="L1688" s="31" t="n"/>
      <x:c r="M1688" s="31" t="n">
        <x:v>46117</x:v>
      </x:c>
      <x:c r="N1688" s="31" t="n">
        <x:v>46119</x:v>
      </x:c>
      <x:c r="O1688" s="31" t="n"/>
      <x:c r="P1688" s="31" t="n"/>
      <x:c r="Q1688" s="31" t="inlineStr">
        <x:is>
          <x:t xml:space="preserve">Запланировано</x:t>
        </x:is>
      </x:c>
      <x:c r="R1688" s="31" t="inlineStr">
        <x:is>
          <x:t xml:space="preserve">Нет</x:t>
        </x:is>
      </x:c>
      <x:c r="S1688" s="31" t="inlineStr">
        <x:is>
          <x:t xml:space="preserve">Да</x:t>
        </x:is>
      </x:c>
    </x:row>
    <x:row r="1689">
      <x:c r="A1689" s="31" t="inlineStr">
        <x:is>
          <x:t xml:space="preserve">ОП-001688</x:t>
        </x:is>
      </x:c>
      <x:c r="B1689" s="31" t="inlineStr">
        <x:is>
          <x:t xml:space="preserve">ПЗ-00202</x:t>
        </x:is>
      </x:c>
      <x:c r="C1689" s="31" t="inlineStr">
        <x:is>
          <x:t xml:space="preserve">ЗК-1097</x:t>
        </x:is>
      </x:c>
      <x:c r="D1689" s="31" t="inlineStr">
        <x:is>
          <x:t xml:space="preserve">ПОЗ-0097-3</x:t>
        </x:is>
      </x:c>
      <x:c r="E1689" s="31" t="inlineStr">
        <x:is>
          <x:t xml:space="preserve">ИЗД-038</x:t>
        </x:is>
      </x:c>
      <x:c r="F1689" s="31" t="n">
        <x:v>10</x:v>
      </x:c>
      <x:c r="G1689" s="31" t="inlineStr">
        <x:is>
          <x:t xml:space="preserve">КД</x:t>
        </x:is>
      </x:c>
      <x:c r="H1689" s="31" t="inlineStr">
        <x:is>
          <x:t xml:space="preserve">Инженерный отдел</x:t>
        </x:is>
      </x:c>
      <x:c r="I1689" s="31" t="n"/>
      <x:c r="J1689" s="31" t="inlineStr">
        <x:is>
          <x:t xml:space="preserve">СОТР-012</x:t>
        </x:is>
      </x:c>
      <x:c r="K1689" s="31" t="n">
        <x:v>16.5</x:v>
      </x:c>
      <x:c r="L1689" s="31" t="n">
        <x:v>20.4</x:v>
      </x:c>
      <x:c r="M1689" s="31" t="n">
        <x:v>46101</x:v>
      </x:c>
      <x:c r="N1689" s="31" t="n">
        <x:v>46103</x:v>
      </x:c>
      <x:c r="O1689" s="31" t="n">
        <x:v>46101</x:v>
      </x:c>
      <x:c r="P1689" s="31" t="n">
        <x:v>46105</x:v>
      </x:c>
      <x:c r="Q1689" s="31" t="inlineStr">
        <x:is>
          <x:t xml:space="preserve">Завершено</x:t>
        </x:is>
      </x:c>
      <x:c r="R1689" s="31" t="inlineStr">
        <x:is>
          <x:t xml:space="preserve">Нет</x:t>
        </x:is>
      </x:c>
      <x:c r="S1689" s="31" t="inlineStr">
        <x:is>
          <x:t xml:space="preserve">Нет</x:t>
        </x:is>
      </x:c>
    </x:row>
    <x:row r="1690">
      <x:c r="A1690" s="31" t="inlineStr">
        <x:is>
          <x:t xml:space="preserve">ОП-001689</x:t>
        </x:is>
      </x:c>
      <x:c r="B1690" s="31" t="inlineStr">
        <x:is>
          <x:t xml:space="preserve">ПЗ-00202</x:t>
        </x:is>
      </x:c>
      <x:c r="C1690" s="31" t="inlineStr">
        <x:is>
          <x:t xml:space="preserve">ЗК-1097</x:t>
        </x:is>
      </x:c>
      <x:c r="D1690" s="31" t="inlineStr">
        <x:is>
          <x:t xml:space="preserve">ПОЗ-0097-3</x:t>
        </x:is>
      </x:c>
      <x:c r="E1690" s="31" t="inlineStr">
        <x:is>
          <x:t xml:space="preserve">ИЗД-038</x:t>
        </x:is>
      </x:c>
      <x:c r="F1690" s="31" t="n">
        <x:v>20</x:v>
      </x:c>
      <x:c r="G1690" s="31" t="inlineStr">
        <x:is>
          <x:t xml:space="preserve">Резка труб</x:t>
        </x:is>
      </x:c>
      <x:c r="H1690" s="31" t="inlineStr">
        <x:is>
          <x:t xml:space="preserve">Сварка</x:t>
        </x:is>
      </x:c>
      <x:c r="I1690" s="31" t="inlineStr">
        <x:is>
          <x:t xml:space="preserve">ОБ-010</x:t>
        </x:is>
      </x:c>
      <x:c r="J1690" s="31" t="inlineStr">
        <x:is>
          <x:t xml:space="preserve">СОТР-065</x:t>
        </x:is>
      </x:c>
      <x:c r="K1690" s="31" t="n">
        <x:v>4.8</x:v>
      </x:c>
      <x:c r="L1690" s="31" t="n">
        <x:v>4.6</x:v>
      </x:c>
      <x:c r="M1690" s="31" t="n">
        <x:v>46103</x:v>
      </x:c>
      <x:c r="N1690" s="31" t="n">
        <x:v>46104</x:v>
      </x:c>
      <x:c r="O1690" s="31" t="n">
        <x:v>46103</x:v>
      </x:c>
      <x:c r="P1690" s="31" t="n">
        <x:v>46105</x:v>
      </x:c>
      <x:c r="Q1690" s="31" t="inlineStr">
        <x:is>
          <x:t xml:space="preserve">Завершено</x:t>
        </x:is>
      </x:c>
      <x:c r="R1690" s="31" t="inlineStr">
        <x:is>
          <x:t xml:space="preserve">Материал</x:t>
        </x:is>
      </x:c>
      <x:c r="S1690" s="31" t="inlineStr">
        <x:is>
          <x:t xml:space="preserve">Нет</x:t>
        </x:is>
      </x:c>
    </x:row>
    <x:row r="1691">
      <x:c r="A1691" s="31" t="inlineStr">
        <x:is>
          <x:t xml:space="preserve">ОП-001690</x:t>
        </x:is>
      </x:c>
      <x:c r="B1691" s="31" t="inlineStr">
        <x:is>
          <x:t xml:space="preserve">ПЗ-00202</x:t>
        </x:is>
      </x:c>
      <x:c r="C1691" s="31" t="inlineStr">
        <x:is>
          <x:t xml:space="preserve">ЗК-1097</x:t>
        </x:is>
      </x:c>
      <x:c r="D1691" s="31" t="inlineStr">
        <x:is>
          <x:t xml:space="preserve">ПОЗ-0097-3</x:t>
        </x:is>
      </x:c>
      <x:c r="E1691" s="31" t="inlineStr">
        <x:is>
          <x:t xml:space="preserve">ИЗД-038</x:t>
        </x:is>
      </x:c>
      <x:c r="F1691" s="31" t="n">
        <x:v>30</x:v>
      </x:c>
      <x:c r="G1691" s="31" t="inlineStr">
        <x:is>
          <x:t xml:space="preserve">Сварка</x:t>
        </x:is>
      </x:c>
      <x:c r="H1691" s="31" t="inlineStr">
        <x:is>
          <x:t xml:space="preserve">Сварка</x:t>
        </x:is>
      </x:c>
      <x:c r="I1691" s="31" t="inlineStr">
        <x:is>
          <x:t xml:space="preserve">ОБ-010</x:t>
        </x:is>
      </x:c>
      <x:c r="J1691" s="31" t="inlineStr">
        <x:is>
          <x:t xml:space="preserve">СОТР-057</x:t>
        </x:is>
      </x:c>
      <x:c r="K1691" s="31" t="n">
        <x:v>13.2</x:v>
      </x:c>
      <x:c r="L1691" s="31" t="n">
        <x:v>17.5</x:v>
      </x:c>
      <x:c r="M1691" s="31" t="n">
        <x:v>46104</x:v>
      </x:c>
      <x:c r="N1691" s="31" t="n">
        <x:v>46106</x:v>
      </x:c>
      <x:c r="O1691" s="31" t="n">
        <x:v>46104</x:v>
      </x:c>
      <x:c r="P1691" s="31" t="n">
        <x:v>46108</x:v>
      </x:c>
      <x:c r="Q1691" s="31" t="inlineStr">
        <x:is>
          <x:t xml:space="preserve">Завершено</x:t>
        </x:is>
      </x:c>
      <x:c r="R1691" s="31" t="inlineStr">
        <x:is>
          <x:t xml:space="preserve">Нет</x:t>
        </x:is>
      </x:c>
      <x:c r="S1691" s="31" t="inlineStr">
        <x:is>
          <x:t xml:space="preserve">Нет</x:t>
        </x:is>
      </x:c>
    </x:row>
    <x:row r="1692">
      <x:c r="A1692" s="31" t="inlineStr">
        <x:is>
          <x:t xml:space="preserve">ОП-001691</x:t>
        </x:is>
      </x:c>
      <x:c r="B1692" s="31" t="inlineStr">
        <x:is>
          <x:t xml:space="preserve">ПЗ-00202</x:t>
        </x:is>
      </x:c>
      <x:c r="C1692" s="31" t="inlineStr">
        <x:is>
          <x:t xml:space="preserve">ЗК-1097</x:t>
        </x:is>
      </x:c>
      <x:c r="D1692" s="31" t="inlineStr">
        <x:is>
          <x:t xml:space="preserve">ПОЗ-0097-3</x:t>
        </x:is>
      </x:c>
      <x:c r="E1692" s="31" t="inlineStr">
        <x:is>
          <x:t xml:space="preserve">ИЗД-038</x:t>
        </x:is>
      </x:c>
      <x:c r="F1692" s="31" t="n">
        <x:v>40</x:v>
      </x:c>
      <x:c r="G1692" s="31" t="inlineStr">
        <x:is>
          <x:t xml:space="preserve">НК сварных швов</x:t>
        </x:is>
      </x:c>
      <x:c r="H1692" s="31" t="inlineStr">
        <x:is>
          <x:t xml:space="preserve">ОТК</x:t>
        </x:is>
      </x:c>
      <x:c r="I1692" s="31" t="inlineStr">
        <x:is>
          <x:t xml:space="preserve">ОБ-022</x:t>
        </x:is>
      </x:c>
      <x:c r="J1692" s="31" t="inlineStr">
        <x:is>
          <x:t xml:space="preserve">СОТР-095</x:t>
        </x:is>
      </x:c>
      <x:c r="K1692" s="31" t="n">
        <x:v>3.3</x:v>
      </x:c>
      <x:c r="L1692" s="31" t="n">
        <x:v>3.2</x:v>
      </x:c>
      <x:c r="M1692" s="31" t="n">
        <x:v>46106</x:v>
      </x:c>
      <x:c r="N1692" s="31" t="n">
        <x:v>46107</x:v>
      </x:c>
      <x:c r="O1692" s="31" t="n">
        <x:v>46106</x:v>
      </x:c>
      <x:c r="P1692" s="31" t="n">
        <x:v>46107</x:v>
      </x:c>
      <x:c r="Q1692" s="31" t="inlineStr">
        <x:is>
          <x:t xml:space="preserve">Завершено</x:t>
        </x:is>
      </x:c>
      <x:c r="R1692" s="31" t="inlineStr">
        <x:is>
          <x:t xml:space="preserve">Нет</x:t>
        </x:is>
      </x:c>
      <x:c r="S1692" s="31" t="inlineStr">
        <x:is>
          <x:t xml:space="preserve">Нет</x:t>
        </x:is>
      </x:c>
    </x:row>
    <x:row r="1693">
      <x:c r="A1693" s="31" t="inlineStr">
        <x:is>
          <x:t xml:space="preserve">ОП-001692</x:t>
        </x:is>
      </x:c>
      <x:c r="B1693" s="31" t="inlineStr">
        <x:is>
          <x:t xml:space="preserve">ПЗ-00202</x:t>
        </x:is>
      </x:c>
      <x:c r="C1693" s="31" t="inlineStr">
        <x:is>
          <x:t xml:space="preserve">ЗК-1097</x:t>
        </x:is>
      </x:c>
      <x:c r="D1693" s="31" t="inlineStr">
        <x:is>
          <x:t xml:space="preserve">ПОЗ-0097-3</x:t>
        </x:is>
      </x:c>
      <x:c r="E1693" s="31" t="inlineStr">
        <x:is>
          <x:t xml:space="preserve">ИЗД-038</x:t>
        </x:is>
      </x:c>
      <x:c r="F1693" s="31" t="n">
        <x:v>50</x:v>
      </x:c>
      <x:c r="G1693" s="31" t="inlineStr">
        <x:is>
          <x:t xml:space="preserve">Гидроиспытания</x:t>
        </x:is>
      </x:c>
      <x:c r="H1693" s="31" t="inlineStr">
        <x:is>
          <x:t xml:space="preserve">ОТК</x:t>
        </x:is>
      </x:c>
      <x:c r="I1693" s="31" t="inlineStr">
        <x:is>
          <x:t xml:space="preserve">ОБ-028</x:t>
        </x:is>
      </x:c>
      <x:c r="J1693" s="31" t="inlineStr">
        <x:is>
          <x:t xml:space="preserve">СОТР-095</x:t>
        </x:is>
      </x:c>
      <x:c r="K1693" s="31" t="n">
        <x:v>9.9</x:v>
      </x:c>
      <x:c r="L1693" s="31" t="n">
        <x:v>11.2</x:v>
      </x:c>
      <x:c r="M1693" s="31" t="n">
        <x:v>46107</x:v>
      </x:c>
      <x:c r="N1693" s="31" t="n">
        <x:v>46108</x:v>
      </x:c>
      <x:c r="O1693" s="31" t="n">
        <x:v>46107</x:v>
      </x:c>
      <x:c r="P1693" s="31" t="n">
        <x:v>46110</x:v>
      </x:c>
      <x:c r="Q1693" s="31" t="inlineStr">
        <x:is>
          <x:t xml:space="preserve">Завершено</x:t>
        </x:is>
      </x:c>
      <x:c r="R1693" s="31" t="inlineStr">
        <x:is>
          <x:t xml:space="preserve">Нет</x:t>
        </x:is>
      </x:c>
      <x:c r="S1693" s="31" t="inlineStr">
        <x:is>
          <x:t xml:space="preserve">Да</x:t>
        </x:is>
      </x:c>
    </x:row>
    <x:row r="1694">
      <x:c r="A1694" s="31" t="inlineStr">
        <x:is>
          <x:t xml:space="preserve">ОП-001693</x:t>
        </x:is>
      </x:c>
      <x:c r="B1694" s="31" t="inlineStr">
        <x:is>
          <x:t xml:space="preserve">ПЗ-00202</x:t>
        </x:is>
      </x:c>
      <x:c r="C1694" s="31" t="inlineStr">
        <x:is>
          <x:t xml:space="preserve">ЗК-1097</x:t>
        </x:is>
      </x:c>
      <x:c r="D1694" s="31" t="inlineStr">
        <x:is>
          <x:t xml:space="preserve">ПОЗ-0097-3</x:t>
        </x:is>
      </x:c>
      <x:c r="E1694" s="31" t="inlineStr">
        <x:is>
          <x:t xml:space="preserve">ИЗД-038</x:t>
        </x:is>
      </x:c>
      <x:c r="F1694" s="31" t="n">
        <x:v>60</x:v>
      </x:c>
      <x:c r="G1694" s="31" t="inlineStr">
        <x:is>
          <x:t xml:space="preserve">Покраска</x:t>
        </x:is>
      </x:c>
      <x:c r="H1694" s="31" t="inlineStr">
        <x:is>
          <x:t xml:space="preserve">Сварка</x:t>
        </x:is>
      </x:c>
      <x:c r="I1694" s="31" t="inlineStr">
        <x:is>
          <x:t xml:space="preserve">ОБ-010</x:t>
        </x:is>
      </x:c>
      <x:c r="J1694" s="31" t="inlineStr">
        <x:is>
          <x:t xml:space="preserve">СОТР-057</x:t>
        </x:is>
      </x:c>
      <x:c r="K1694" s="31" t="n">
        <x:v>23.4</x:v>
      </x:c>
      <x:c r="L1694" s="31" t="n">
        <x:v>19.5</x:v>
      </x:c>
      <x:c r="M1694" s="31" t="n">
        <x:v>46108</x:v>
      </x:c>
      <x:c r="N1694" s="31" t="n">
        <x:v>46110</x:v>
      </x:c>
      <x:c r="O1694" s="31" t="n">
        <x:v>46108</x:v>
      </x:c>
      <x:c r="P1694" s="31" t="n">
        <x:v>46109</x:v>
      </x:c>
      <x:c r="Q1694" s="31" t="inlineStr">
        <x:is>
          <x:t xml:space="preserve">Завершено</x:t>
        </x:is>
      </x:c>
      <x:c r="R1694" s="31" t="inlineStr">
        <x:is>
          <x:t xml:space="preserve">Нет</x:t>
        </x:is>
      </x:c>
      <x:c r="S1694" s="31" t="inlineStr">
        <x:is>
          <x:t xml:space="preserve">Нет</x:t>
        </x:is>
      </x:c>
    </x:row>
    <x:row r="1695">
      <x:c r="A1695" s="31" t="inlineStr">
        <x:is>
          <x:t xml:space="preserve">ОП-001694</x:t>
        </x:is>
      </x:c>
      <x:c r="B1695" s="31" t="inlineStr">
        <x:is>
          <x:t xml:space="preserve">ПЗ-00202</x:t>
        </x:is>
      </x:c>
      <x:c r="C1695" s="31" t="inlineStr">
        <x:is>
          <x:t xml:space="preserve">ЗК-1097</x:t>
        </x:is>
      </x:c>
      <x:c r="D1695" s="31" t="inlineStr">
        <x:is>
          <x:t xml:space="preserve">ПОЗ-0097-3</x:t>
        </x:is>
      </x:c>
      <x:c r="E1695" s="31" t="inlineStr">
        <x:is>
          <x:t xml:space="preserve">ИЗД-038</x:t>
        </x:is>
      </x:c>
      <x:c r="F1695" s="31" t="n">
        <x:v>70</x:v>
      </x:c>
      <x:c r="G1695" s="31" t="inlineStr">
        <x:is>
          <x:t xml:space="preserve">ОТК</x:t>
        </x:is>
      </x:c>
      <x:c r="H1695" s="31" t="inlineStr">
        <x:is>
          <x:t xml:space="preserve">ОТК</x:t>
        </x:is>
      </x:c>
      <x:c r="I1695" s="31" t="inlineStr">
        <x:is>
          <x:t xml:space="preserve">ОБ-006</x:t>
        </x:is>
      </x:c>
      <x:c r="J1695" s="31" t="inlineStr">
        <x:is>
          <x:t xml:space="preserve">СОТР-095</x:t>
        </x:is>
      </x:c>
      <x:c r="K1695" s="31" t="n">
        <x:v>14.1</x:v>
      </x:c>
      <x:c r="L1695" s="31" t="n">
        <x:v>15.6</x:v>
      </x:c>
      <x:c r="M1695" s="31" t="n">
        <x:v>46110</x:v>
      </x:c>
      <x:c r="N1695" s="31" t="n">
        <x:v>46112</x:v>
      </x:c>
      <x:c r="O1695" s="31" t="n">
        <x:v>46110</x:v>
      </x:c>
      <x:c r="P1695" s="31" t="n">
        <x:v>46111</x:v>
      </x:c>
      <x:c r="Q1695" s="31" t="inlineStr">
        <x:is>
          <x:t xml:space="preserve">Завершено</x:t>
        </x:is>
      </x:c>
      <x:c r="R1695" s="31" t="inlineStr">
        <x:is>
          <x:t xml:space="preserve">Нет</x:t>
        </x:is>
      </x:c>
      <x:c r="S1695" s="31" t="inlineStr">
        <x:is>
          <x:t xml:space="preserve">Нет</x:t>
        </x:is>
      </x:c>
    </x:row>
    <x:row r="1696">
      <x:c r="A1696" s="31" t="inlineStr">
        <x:is>
          <x:t xml:space="preserve">ОП-001695</x:t>
        </x:is>
      </x:c>
      <x:c r="B1696" s="31" t="inlineStr">
        <x:is>
          <x:t xml:space="preserve">ПЗ-00203</x:t>
        </x:is>
      </x:c>
      <x:c r="C1696" s="31" t="inlineStr">
        <x:is>
          <x:t xml:space="preserve">ЗК-1097</x:t>
        </x:is>
      </x:c>
      <x:c r="D1696" s="31" t="inlineStr">
        <x:is>
          <x:t xml:space="preserve">ПОЗ-0097-4</x:t>
        </x:is>
      </x:c>
      <x:c r="E1696" s="31" t="inlineStr">
        <x:is>
          <x:t xml:space="preserve">ИЗД-026</x:t>
        </x:is>
      </x:c>
      <x:c r="F1696" s="31" t="n">
        <x:v>10</x:v>
      </x:c>
      <x:c r="G1696" s="31" t="inlineStr">
        <x:is>
          <x:t xml:space="preserve">КД</x:t>
        </x:is>
      </x:c>
      <x:c r="H1696" s="31" t="inlineStr">
        <x:is>
          <x:t xml:space="preserve">Инженерный отдел</x:t>
        </x:is>
      </x:c>
      <x:c r="I1696" s="31" t="n"/>
      <x:c r="J1696" s="31" t="inlineStr">
        <x:is>
          <x:t xml:space="preserve">СОТР-021</x:t>
        </x:is>
      </x:c>
      <x:c r="K1696" s="31" t="n">
        <x:v>71</x:v>
      </x:c>
      <x:c r="L1696" s="31" t="n"/>
      <x:c r="M1696" s="31" t="n">
        <x:v>46105</x:v>
      </x:c>
      <x:c r="N1696" s="31" t="n">
        <x:v>46111</x:v>
      </x:c>
      <x:c r="O1696" s="31" t="n"/>
      <x:c r="P1696" s="31" t="n"/>
      <x:c r="Q1696" s="31" t="inlineStr">
        <x:is>
          <x:t xml:space="preserve">Запланировано</x:t>
        </x:is>
      </x:c>
      <x:c r="R1696" s="31" t="inlineStr">
        <x:is>
          <x:t xml:space="preserve">Нет</x:t>
        </x:is>
      </x:c>
      <x:c r="S1696" s="31" t="inlineStr">
        <x:is>
          <x:t xml:space="preserve">Нет</x:t>
        </x:is>
      </x:c>
    </x:row>
    <x:row r="1697">
      <x:c r="A1697" s="31" t="inlineStr">
        <x:is>
          <x:t xml:space="preserve">ОП-001696</x:t>
        </x:is>
      </x:c>
      <x:c r="B1697" s="31" t="inlineStr">
        <x:is>
          <x:t xml:space="preserve">ПЗ-00203</x:t>
        </x:is>
      </x:c>
      <x:c r="C1697" s="31" t="inlineStr">
        <x:is>
          <x:t xml:space="preserve">ЗК-1097</x:t>
        </x:is>
      </x:c>
      <x:c r="D1697" s="31" t="inlineStr">
        <x:is>
          <x:t xml:space="preserve">ПОЗ-0097-4</x:t>
        </x:is>
      </x:c>
      <x:c r="E1697" s="31" t="inlineStr">
        <x:is>
          <x:t xml:space="preserve">ИЗД-026</x:t>
        </x:is>
      </x:c>
      <x:c r="F1697" s="31" t="n">
        <x:v>20</x:v>
      </x:c>
      <x:c r="G1697" s="31" t="inlineStr">
        <x:is>
          <x:t xml:space="preserve">Комплектация</x:t>
        </x:is>
      </x:c>
      <x:c r="H1697" s="31" t="inlineStr">
        <x:is>
          <x:t xml:space="preserve">Склад</x:t>
        </x:is>
      </x:c>
      <x:c r="I1697" s="31" t="inlineStr">
        <x:is>
          <x:t xml:space="preserve">ОБ-025</x:t>
        </x:is>
      </x:c>
      <x:c r="J1697" s="31" t="inlineStr">
        <x:is>
          <x:t xml:space="preserve">СОТР-035</x:t>
        </x:is>
      </x:c>
      <x:c r="K1697" s="31" t="n">
        <x:v>59.5</x:v>
      </x:c>
      <x:c r="L1697" s="31" t="n"/>
      <x:c r="M1697" s="31" t="n">
        <x:v>46111</x:v>
      </x:c>
      <x:c r="N1697" s="31" t="n">
        <x:v>46116</x:v>
      </x:c>
      <x:c r="O1697" s="31" t="n"/>
      <x:c r="P1697" s="31" t="n"/>
      <x:c r="Q1697" s="31" t="inlineStr">
        <x:is>
          <x:t xml:space="preserve">Блокировано</x:t>
        </x:is>
      </x:c>
      <x:c r="R1697" s="31" t="inlineStr">
        <x:is>
          <x:t xml:space="preserve">Нет</x:t>
        </x:is>
      </x:c>
      <x:c r="S1697" s="31" t="inlineStr">
        <x:is>
          <x:t xml:space="preserve">Нет</x:t>
        </x:is>
      </x:c>
    </x:row>
    <x:row r="1698">
      <x:c r="A1698" s="31" t="inlineStr">
        <x:is>
          <x:t xml:space="preserve">ОП-001697</x:t>
        </x:is>
      </x:c>
      <x:c r="B1698" s="31" t="inlineStr">
        <x:is>
          <x:t xml:space="preserve">ПЗ-00203</x:t>
        </x:is>
      </x:c>
      <x:c r="C1698" s="31" t="inlineStr">
        <x:is>
          <x:t xml:space="preserve">ЗК-1097</x:t>
        </x:is>
      </x:c>
      <x:c r="D1698" s="31" t="inlineStr">
        <x:is>
          <x:t xml:space="preserve">ПОЗ-0097-4</x:t>
        </x:is>
      </x:c>
      <x:c r="E1698" s="31" t="inlineStr">
        <x:is>
          <x:t xml:space="preserve">ИЗД-026</x:t>
        </x:is>
      </x:c>
      <x:c r="F1698" s="31" t="n">
        <x:v>30</x:v>
      </x:c>
      <x:c r="G1698" s="31" t="inlineStr">
        <x:is>
          <x:t xml:space="preserve">Сборка шкафа</x:t>
        </x:is>
      </x:c>
      <x:c r="H1698" s="31" t="inlineStr">
        <x:is>
          <x:t xml:space="preserve">Сборка</x:t>
        </x:is>
      </x:c>
      <x:c r="I1698" s="31" t="inlineStr">
        <x:is>
          <x:t xml:space="preserve">ОБ-016</x:t>
        </x:is>
      </x:c>
      <x:c r="J1698" s="31" t="inlineStr">
        <x:is>
          <x:t xml:space="preserve">СОТР-080</x:t>
        </x:is>
      </x:c>
      <x:c r="K1698" s="31" t="n">
        <x:v>19</x:v>
      </x:c>
      <x:c r="L1698" s="31" t="n"/>
      <x:c r="M1698" s="31" t="n">
        <x:v>46116</x:v>
      </x:c>
      <x:c r="N1698" s="31" t="n">
        <x:v>46118</x:v>
      </x:c>
      <x:c r="O1698" s="31" t="n"/>
      <x:c r="P1698" s="31" t="n"/>
      <x:c r="Q1698" s="31" t="inlineStr">
        <x:is>
          <x:t xml:space="preserve">Запланировано</x:t>
        </x:is>
      </x:c>
      <x:c r="R1698" s="31" t="inlineStr">
        <x:is>
          <x:t xml:space="preserve">Нет</x:t>
        </x:is>
      </x:c>
      <x:c r="S1698" s="31" t="inlineStr">
        <x:is>
          <x:t xml:space="preserve">Нет</x:t>
        </x:is>
      </x:c>
    </x:row>
    <x:row r="1699">
      <x:c r="A1699" s="31" t="inlineStr">
        <x:is>
          <x:t xml:space="preserve">ОП-001698</x:t>
        </x:is>
      </x:c>
      <x:c r="B1699" s="31" t="inlineStr">
        <x:is>
          <x:t xml:space="preserve">ПЗ-00203</x:t>
        </x:is>
      </x:c>
      <x:c r="C1699" s="31" t="inlineStr">
        <x:is>
          <x:t xml:space="preserve">ЗК-1097</x:t>
        </x:is>
      </x:c>
      <x:c r="D1699" s="31" t="inlineStr">
        <x:is>
          <x:t xml:space="preserve">ПОЗ-0097-4</x:t>
        </x:is>
      </x:c>
      <x:c r="E1699" s="31" t="inlineStr">
        <x:is>
          <x:t xml:space="preserve">ИЗД-026</x:t>
        </x:is>
      </x:c>
      <x:c r="F1699" s="31" t="n">
        <x:v>40</x:v>
      </x:c>
      <x:c r="G1699" s="31" t="inlineStr">
        <x:is>
          <x:t xml:space="preserve">Маркировка</x:t>
        </x:is>
      </x:c>
      <x:c r="H1699" s="31" t="inlineStr">
        <x:is>
          <x:t xml:space="preserve">Сборка</x:t>
        </x:is>
      </x:c>
      <x:c r="I1699" s="31" t="inlineStr">
        <x:is>
          <x:t xml:space="preserve">ОБ-002</x:t>
        </x:is>
      </x:c>
      <x:c r="J1699" s="31" t="inlineStr">
        <x:is>
          <x:t xml:space="preserve">СОТР-074</x:t>
        </x:is>
      </x:c>
      <x:c r="K1699" s="31" t="n">
        <x:v>93</x:v>
      </x:c>
      <x:c r="L1699" s="31" t="n"/>
      <x:c r="M1699" s="31" t="n">
        <x:v>46118</x:v>
      </x:c>
      <x:c r="N1699" s="31" t="n">
        <x:v>46126</x:v>
      </x:c>
      <x:c r="O1699" s="31" t="n"/>
      <x:c r="P1699" s="31" t="n"/>
      <x:c r="Q1699" s="31" t="inlineStr">
        <x:is>
          <x:t xml:space="preserve">Запланировано</x:t>
        </x:is>
      </x:c>
      <x:c r="R1699" s="31" t="inlineStr">
        <x:is>
          <x:t xml:space="preserve">Нет</x:t>
        </x:is>
      </x:c>
      <x:c r="S1699" s="31" t="inlineStr">
        <x:is>
          <x:t xml:space="preserve">Нет</x:t>
        </x:is>
      </x:c>
    </x:row>
    <x:row r="1700">
      <x:c r="A1700" s="31" t="inlineStr">
        <x:is>
          <x:t xml:space="preserve">ОП-001699</x:t>
        </x:is>
      </x:c>
      <x:c r="B1700" s="31" t="inlineStr">
        <x:is>
          <x:t xml:space="preserve">ПЗ-00203</x:t>
        </x:is>
      </x:c>
      <x:c r="C1700" s="31" t="inlineStr">
        <x:is>
          <x:t xml:space="preserve">ЗК-1097</x:t>
        </x:is>
      </x:c>
      <x:c r="D1700" s="31" t="inlineStr">
        <x:is>
          <x:t xml:space="preserve">ПОЗ-0097-4</x:t>
        </x:is>
      </x:c>
      <x:c r="E1700" s="31" t="inlineStr">
        <x:is>
          <x:t xml:space="preserve">ИЗД-026</x:t>
        </x:is>
      </x:c>
      <x:c r="F1700" s="31" t="n">
        <x:v>50</x:v>
      </x:c>
      <x:c r="G1700" s="31" t="inlineStr">
        <x:is>
          <x:t xml:space="preserve">Электромонтаж</x:t>
        </x:is>
      </x:c>
      <x:c r="H1700" s="31" t="inlineStr">
        <x:is>
          <x:t xml:space="preserve">Сборка</x:t>
        </x:is>
      </x:c>
      <x:c r="I1700" s="31" t="inlineStr">
        <x:is>
          <x:t xml:space="preserve">ОБ-016</x:t>
        </x:is>
      </x:c>
      <x:c r="J1700" s="31" t="inlineStr">
        <x:is>
          <x:t xml:space="preserve">СОТР-078</x:t>
        </x:is>
      </x:c>
      <x:c r="K1700" s="31" t="n">
        <x:v>39.5</x:v>
      </x:c>
      <x:c r="L1700" s="31" t="n"/>
      <x:c r="M1700" s="31" t="n">
        <x:v>46126</x:v>
      </x:c>
      <x:c r="N1700" s="31" t="n">
        <x:v>46130</x:v>
      </x:c>
      <x:c r="O1700" s="31" t="n"/>
      <x:c r="P1700" s="31" t="n"/>
      <x:c r="Q1700" s="31" t="inlineStr">
        <x:is>
          <x:t xml:space="preserve">Запланировано</x:t>
        </x:is>
      </x:c>
      <x:c r="R1700" s="31" t="inlineStr">
        <x:is>
          <x:t xml:space="preserve">Нет</x:t>
        </x:is>
      </x:c>
      <x:c r="S1700" s="31" t="inlineStr">
        <x:is>
          <x:t xml:space="preserve">Нет</x:t>
        </x:is>
      </x:c>
    </x:row>
    <x:row r="1701">
      <x:c r="A1701" s="31" t="inlineStr">
        <x:is>
          <x:t xml:space="preserve">ОП-001700</x:t>
        </x:is>
      </x:c>
      <x:c r="B1701" s="31" t="inlineStr">
        <x:is>
          <x:t xml:space="preserve">ПЗ-00203</x:t>
        </x:is>
      </x:c>
      <x:c r="C1701" s="31" t="inlineStr">
        <x:is>
          <x:t xml:space="preserve">ЗК-1097</x:t>
        </x:is>
      </x:c>
      <x:c r="D1701" s="31" t="inlineStr">
        <x:is>
          <x:t xml:space="preserve">ПОЗ-0097-4</x:t>
        </x:is>
      </x:c>
      <x:c r="E1701" s="31" t="inlineStr">
        <x:is>
          <x:t xml:space="preserve">ИЗД-026</x:t>
        </x:is>
      </x:c>
      <x:c r="F1701" s="31" t="n">
        <x:v>60</x:v>
      </x:c>
      <x:c r="G1701" s="31" t="inlineStr">
        <x:is>
          <x:t xml:space="preserve">Программирование ПЛК</x:t>
        </x:is>
      </x:c>
      <x:c r="H1701" s="31" t="inlineStr">
        <x:is>
          <x:t xml:space="preserve">Инженерный отдел</x:t>
        </x:is>
      </x:c>
      <x:c r="I1701" s="31" t="n"/>
      <x:c r="J1701" s="31" t="inlineStr">
        <x:is>
          <x:t xml:space="preserve">СОТР-020</x:t>
        </x:is>
      </x:c>
      <x:c r="K1701" s="31" t="n">
        <x:v>70</x:v>
      </x:c>
      <x:c r="L1701" s="31" t="n"/>
      <x:c r="M1701" s="31" t="n">
        <x:v>46130</x:v>
      </x:c>
      <x:c r="N1701" s="31" t="n">
        <x:v>46136</x:v>
      </x:c>
      <x:c r="O1701" s="31" t="n"/>
      <x:c r="P1701" s="31" t="n"/>
      <x:c r="Q1701" s="31" t="inlineStr">
        <x:is>
          <x:t xml:space="preserve">Запланировано</x:t>
        </x:is>
      </x:c>
      <x:c r="R1701" s="31" t="inlineStr">
        <x:is>
          <x:t xml:space="preserve">Нет</x:t>
        </x:is>
      </x:c>
      <x:c r="S1701" s="31" t="inlineStr">
        <x:is>
          <x:t xml:space="preserve">Нет</x:t>
        </x:is>
      </x:c>
    </x:row>
    <x:row r="1702">
      <x:c r="A1702" s="31" t="inlineStr">
        <x:is>
          <x:t xml:space="preserve">ОП-001701</x:t>
        </x:is>
      </x:c>
      <x:c r="B1702" s="31" t="inlineStr">
        <x:is>
          <x:t xml:space="preserve">ПЗ-00203</x:t>
        </x:is>
      </x:c>
      <x:c r="C1702" s="31" t="inlineStr">
        <x:is>
          <x:t xml:space="preserve">ЗК-1097</x:t>
        </x:is>
      </x:c>
      <x:c r="D1702" s="31" t="inlineStr">
        <x:is>
          <x:t xml:space="preserve">ПОЗ-0097-4</x:t>
        </x:is>
      </x:c>
      <x:c r="E1702" s="31" t="inlineStr">
        <x:is>
          <x:t xml:space="preserve">ИЗД-026</x:t>
        </x:is>
      </x:c>
      <x:c r="F1702" s="31" t="n">
        <x:v>70</x:v>
      </x:c>
      <x:c r="G1702" s="31" t="inlineStr">
        <x:is>
          <x:t xml:space="preserve">Приемочные испытания</x:t>
        </x:is>
      </x:c>
      <x:c r="H1702" s="31" t="inlineStr">
        <x:is>
          <x:t xml:space="preserve">ОТК</x:t>
        </x:is>
      </x:c>
      <x:c r="I1702" s="31" t="inlineStr">
        <x:is>
          <x:t xml:space="preserve">ОБ-024</x:t>
        </x:is>
      </x:c>
      <x:c r="J1702" s="31" t="inlineStr">
        <x:is>
          <x:t xml:space="preserve">СОТР-098</x:t>
        </x:is>
      </x:c>
      <x:c r="K1702" s="31" t="n">
        <x:v>41.5</x:v>
      </x:c>
      <x:c r="L1702" s="31" t="n"/>
      <x:c r="M1702" s="31" t="n">
        <x:v>46136</x:v>
      </x:c>
      <x:c r="N1702" s="31" t="n">
        <x:v>46140</x:v>
      </x:c>
      <x:c r="O1702" s="31" t="n"/>
      <x:c r="P1702" s="31" t="n"/>
      <x:c r="Q1702" s="31" t="inlineStr">
        <x:is>
          <x:t xml:space="preserve">Запланировано</x:t>
        </x:is>
      </x:c>
      <x:c r="R1702" s="31" t="inlineStr">
        <x:is>
          <x:t xml:space="preserve">Нет</x:t>
        </x:is>
      </x:c>
      <x:c r="S1702" s="31" t="inlineStr">
        <x:is>
          <x:t xml:space="preserve">Нет</x:t>
        </x:is>
      </x:c>
    </x:row>
    <x:row r="1703">
      <x:c r="A1703" s="31" t="inlineStr">
        <x:is>
          <x:t xml:space="preserve">ОП-001702</x:t>
        </x:is>
      </x:c>
      <x:c r="B1703" s="31" t="inlineStr">
        <x:is>
          <x:t xml:space="preserve">ПЗ-00203</x:t>
        </x:is>
      </x:c>
      <x:c r="C1703" s="31" t="inlineStr">
        <x:is>
          <x:t xml:space="preserve">ЗК-1097</x:t>
        </x:is>
      </x:c>
      <x:c r="D1703" s="31" t="inlineStr">
        <x:is>
          <x:t xml:space="preserve">ПОЗ-0097-4</x:t>
        </x:is>
      </x:c>
      <x:c r="E1703" s="31" t="inlineStr">
        <x:is>
          <x:t xml:space="preserve">ИЗД-026</x:t>
        </x:is>
      </x:c>
      <x:c r="F1703" s="31" t="n">
        <x:v>80</x:v>
      </x:c>
      <x:c r="G1703" s="31" t="inlineStr">
        <x:is>
          <x:t xml:space="preserve">ОТК</x:t>
        </x:is>
      </x:c>
      <x:c r="H1703" s="31" t="inlineStr">
        <x:is>
          <x:t xml:space="preserve">ОТК</x:t>
        </x:is>
      </x:c>
      <x:c r="I1703" s="31" t="inlineStr">
        <x:is>
          <x:t xml:space="preserve">ОБ-007</x:t>
        </x:is>
      </x:c>
      <x:c r="J1703" s="31" t="inlineStr">
        <x:is>
          <x:t xml:space="preserve">СОТР-096</x:t>
        </x:is>
      </x:c>
      <x:c r="K1703" s="31" t="n">
        <x:v>23.5</x:v>
      </x:c>
      <x:c r="L1703" s="31" t="n"/>
      <x:c r="M1703" s="31" t="n">
        <x:v>46140</x:v>
      </x:c>
      <x:c r="N1703" s="31" t="n">
        <x:v>46142</x:v>
      </x:c>
      <x:c r="O1703" s="31" t="n"/>
      <x:c r="P1703" s="31" t="n"/>
      <x:c r="Q1703" s="31" t="inlineStr">
        <x:is>
          <x:t xml:space="preserve">Запланировано</x:t>
        </x:is>
      </x:c>
      <x:c r="R1703" s="31" t="inlineStr">
        <x:is>
          <x:t xml:space="preserve">Нет</x:t>
        </x:is>
      </x:c>
      <x:c r="S1703" s="31" t="inlineStr">
        <x:is>
          <x:t xml:space="preserve">Да</x:t>
        </x:is>
      </x:c>
    </x:row>
    <x:row r="1704">
      <x:c r="A1704" s="31" t="inlineStr">
        <x:is>
          <x:t xml:space="preserve">ОП-001703</x:t>
        </x:is>
      </x:c>
      <x:c r="B1704" s="31" t="inlineStr">
        <x:is>
          <x:t xml:space="preserve">ПЗ-00203</x:t>
        </x:is>
      </x:c>
      <x:c r="C1704" s="31" t="inlineStr">
        <x:is>
          <x:t xml:space="preserve">ЗК-1097</x:t>
        </x:is>
      </x:c>
      <x:c r="D1704" s="31" t="inlineStr">
        <x:is>
          <x:t xml:space="preserve">ПОЗ-0097-4</x:t>
        </x:is>
      </x:c>
      <x:c r="E1704" s="31" t="inlineStr">
        <x:is>
          <x:t xml:space="preserve">ИЗД-026</x:t>
        </x:is>
      </x:c>
      <x:c r="F1704" s="31" t="n">
        <x:v>90</x:v>
      </x:c>
      <x:c r="G1704" s="31" t="inlineStr">
        <x:is>
          <x:t xml:space="preserve">Упаковка</x:t>
        </x:is>
      </x:c>
      <x:c r="H1704" s="31" t="inlineStr">
        <x:is>
          <x:t xml:space="preserve">Логистика</x:t>
        </x:is>
      </x:c>
      <x:c r="I1704" s="31" t="n"/>
      <x:c r="J1704" s="31" t="inlineStr">
        <x:is>
          <x:t xml:space="preserve">СОТР-102</x:t>
        </x:is>
      </x:c>
      <x:c r="K1704" s="31" t="n">
        <x:v>89.5</x:v>
      </x:c>
      <x:c r="L1704" s="31" t="n"/>
      <x:c r="M1704" s="31" t="n">
        <x:v>46142</x:v>
      </x:c>
      <x:c r="N1704" s="31" t="n">
        <x:v>46150</x:v>
      </x:c>
      <x:c r="O1704" s="31" t="n"/>
      <x:c r="P1704" s="31" t="n"/>
      <x:c r="Q1704" s="31" t="inlineStr">
        <x:is>
          <x:t xml:space="preserve">Запланировано</x:t>
        </x:is>
      </x:c>
      <x:c r="R1704" s="31" t="inlineStr">
        <x:is>
          <x:t xml:space="preserve">Материал</x:t>
        </x:is>
      </x:c>
      <x:c r="S1704" s="31" t="inlineStr">
        <x:is>
          <x:t xml:space="preserve">Да</x:t>
        </x:is>
      </x:c>
    </x:row>
    <x:row r="1705">
      <x:c r="A1705" s="31" t="inlineStr">
        <x:is>
          <x:t xml:space="preserve">ОП-001704</x:t>
        </x:is>
      </x:c>
      <x:c r="B1705" s="31" t="inlineStr">
        <x:is>
          <x:t xml:space="preserve">ПЗ-00204</x:t>
        </x:is>
      </x:c>
      <x:c r="C1705" s="31" t="inlineStr">
        <x:is>
          <x:t xml:space="preserve">ЗК-1098</x:t>
        </x:is>
      </x:c>
      <x:c r="D1705" s="31" t="inlineStr">
        <x:is>
          <x:t xml:space="preserve">ПОЗ-0098-1</x:t>
        </x:is>
      </x:c>
      <x:c r="E1705" s="31" t="inlineStr">
        <x:is>
          <x:t xml:space="preserve">ИЗД-044</x:t>
        </x:is>
      </x:c>
      <x:c r="F1705" s="31" t="n">
        <x:v>10</x:v>
      </x:c>
      <x:c r="G1705" s="31" t="inlineStr">
        <x:is>
          <x:t xml:space="preserve">КД</x:t>
        </x:is>
      </x:c>
      <x:c r="H1705" s="31" t="inlineStr">
        <x:is>
          <x:t xml:space="preserve">Инженерный отдел</x:t>
        </x:is>
      </x:c>
      <x:c r="I1705" s="31" t="n"/>
      <x:c r="J1705" s="31" t="inlineStr">
        <x:is>
          <x:t xml:space="preserve">СОТР-011</x:t>
        </x:is>
      </x:c>
      <x:c r="K1705" s="31" t="n">
        <x:v>82.2</x:v>
      </x:c>
      <x:c r="L1705" s="31" t="n">
        <x:v>107.8</x:v>
      </x:c>
      <x:c r="M1705" s="31" t="n">
        <x:v>46160</x:v>
      </x:c>
      <x:c r="N1705" s="31" t="n">
        <x:v>46167</x:v>
      </x:c>
      <x:c r="O1705" s="31" t="n">
        <x:v>46160</x:v>
      </x:c>
      <x:c r="P1705" s="31" t="n">
        <x:v>46169</x:v>
      </x:c>
      <x:c r="Q1705" s="31" t="inlineStr">
        <x:is>
          <x:t xml:space="preserve">Завершено</x:t>
        </x:is>
      </x:c>
      <x:c r="R1705" s="31" t="inlineStr">
        <x:is>
          <x:t xml:space="preserve">Нет</x:t>
        </x:is>
      </x:c>
      <x:c r="S1705" s="31" t="inlineStr">
        <x:is>
          <x:t xml:space="preserve">Нет</x:t>
        </x:is>
      </x:c>
    </x:row>
    <x:row r="1706">
      <x:c r="A1706" s="31" t="inlineStr">
        <x:is>
          <x:t xml:space="preserve">ОП-001705</x:t>
        </x:is>
      </x:c>
      <x:c r="B1706" s="31" t="inlineStr">
        <x:is>
          <x:t xml:space="preserve">ПЗ-00204</x:t>
        </x:is>
      </x:c>
      <x:c r="C1706" s="31" t="inlineStr">
        <x:is>
          <x:t xml:space="preserve">ЗК-1098</x:t>
        </x:is>
      </x:c>
      <x:c r="D1706" s="31" t="inlineStr">
        <x:is>
          <x:t xml:space="preserve">ПОЗ-0098-1</x:t>
        </x:is>
      </x:c>
      <x:c r="E1706" s="31" t="inlineStr">
        <x:is>
          <x:t xml:space="preserve">ИЗД-044</x:t>
        </x:is>
      </x:c>
      <x:c r="F1706" s="31" t="n">
        <x:v>20</x:v>
      </x:c>
      <x:c r="G1706" s="31" t="inlineStr">
        <x:is>
          <x:t xml:space="preserve">Резерв материалов</x:t>
        </x:is>
      </x:c>
      <x:c r="H1706" s="31" t="inlineStr">
        <x:is>
          <x:t xml:space="preserve">Склад</x:t>
        </x:is>
      </x:c>
      <x:c r="I1706" s="31" t="inlineStr">
        <x:is>
          <x:t xml:space="preserve">ОБ-023</x:t>
        </x:is>
      </x:c>
      <x:c r="J1706" s="31" t="inlineStr">
        <x:is>
          <x:t xml:space="preserve">СОТР-036</x:t>
        </x:is>
      </x:c>
      <x:c r="K1706" s="31" t="n">
        <x:v>12.3</x:v>
      </x:c>
      <x:c r="L1706" s="31" t="n">
        <x:v>10.5</x:v>
      </x:c>
      <x:c r="M1706" s="31" t="n">
        <x:v>46167</x:v>
      </x:c>
      <x:c r="N1706" s="31" t="n">
        <x:v>46169</x:v>
      </x:c>
      <x:c r="O1706" s="31" t="n">
        <x:v>46167</x:v>
      </x:c>
      <x:c r="P1706" s="31" t="n">
        <x:v>46169</x:v>
      </x:c>
      <x:c r="Q1706" s="31" t="inlineStr">
        <x:is>
          <x:t xml:space="preserve">Завершено</x:t>
        </x:is>
      </x:c>
      <x:c r="R1706" s="31" t="inlineStr">
        <x:is>
          <x:t xml:space="preserve">Нет</x:t>
        </x:is>
      </x:c>
      <x:c r="S1706" s="31" t="inlineStr">
        <x:is>
          <x:t xml:space="preserve">Нет</x:t>
        </x:is>
      </x:c>
    </x:row>
    <x:row r="1707">
      <x:c r="A1707" s="31" t="inlineStr">
        <x:is>
          <x:t xml:space="preserve">ОП-001706</x:t>
        </x:is>
      </x:c>
      <x:c r="B1707" s="31" t="inlineStr">
        <x:is>
          <x:t xml:space="preserve">ПЗ-00204</x:t>
        </x:is>
      </x:c>
      <x:c r="C1707" s="31" t="inlineStr">
        <x:is>
          <x:t xml:space="preserve">ЗК-1098</x:t>
        </x:is>
      </x:c>
      <x:c r="D1707" s="31" t="inlineStr">
        <x:is>
          <x:t xml:space="preserve">ПОЗ-0098-1</x:t>
        </x:is>
      </x:c>
      <x:c r="E1707" s="31" t="inlineStr">
        <x:is>
          <x:t xml:space="preserve">ИЗД-044</x:t>
        </x:is>
      </x:c>
      <x:c r="F1707" s="31" t="n">
        <x:v>30</x:v>
      </x:c>
      <x:c r="G1707" s="31" t="inlineStr">
        <x:is>
          <x:t xml:space="preserve">Сварка рамы</x:t>
        </x:is>
      </x:c>
      <x:c r="H1707" s="31" t="inlineStr">
        <x:is>
          <x:t xml:space="preserve">Сварка</x:t>
        </x:is>
      </x:c>
      <x:c r="I1707" s="31" t="inlineStr">
        <x:is>
          <x:t xml:space="preserve">ОБ-004</x:t>
        </x:is>
      </x:c>
      <x:c r="J1707" s="31" t="inlineStr">
        <x:is>
          <x:t xml:space="preserve">СОТР-060</x:t>
        </x:is>
      </x:c>
      <x:c r="K1707" s="31" t="n">
        <x:v>21.3</x:v>
      </x:c>
      <x:c r="L1707" s="31" t="n">
        <x:v>24.9</x:v>
      </x:c>
      <x:c r="M1707" s="31" t="n">
        <x:v>46169</x:v>
      </x:c>
      <x:c r="N1707" s="31" t="n">
        <x:v>46171</x:v>
      </x:c>
      <x:c r="O1707" s="31" t="n">
        <x:v>46169</x:v>
      </x:c>
      <x:c r="P1707" s="31" t="n">
        <x:v>46171</x:v>
      </x:c>
      <x:c r="Q1707" s="31" t="inlineStr">
        <x:is>
          <x:t xml:space="preserve">Завершено</x:t>
        </x:is>
      </x:c>
      <x:c r="R1707" s="31" t="inlineStr">
        <x:is>
          <x:t xml:space="preserve">Нет</x:t>
        </x:is>
      </x:c>
      <x:c r="S1707" s="31" t="inlineStr">
        <x:is>
          <x:t xml:space="preserve">Нет</x:t>
        </x:is>
      </x:c>
    </x:row>
    <x:row r="1708">
      <x:c r="A1708" s="31" t="inlineStr">
        <x:is>
          <x:t xml:space="preserve">ОП-001707</x:t>
        </x:is>
      </x:c>
      <x:c r="B1708" s="31" t="inlineStr">
        <x:is>
          <x:t xml:space="preserve">ПЗ-00204</x:t>
        </x:is>
      </x:c>
      <x:c r="C1708" s="31" t="inlineStr">
        <x:is>
          <x:t xml:space="preserve">ЗК-1098</x:t>
        </x:is>
      </x:c>
      <x:c r="D1708" s="31" t="inlineStr">
        <x:is>
          <x:t xml:space="preserve">ПОЗ-0098-1</x:t>
        </x:is>
      </x:c>
      <x:c r="E1708" s="31" t="inlineStr">
        <x:is>
          <x:t xml:space="preserve">ИЗД-044</x:t>
        </x:is>
      </x:c>
      <x:c r="F1708" s="31" t="n">
        <x:v>40</x:v>
      </x:c>
      <x:c r="G1708" s="31" t="inlineStr">
        <x:is>
          <x:t xml:space="preserve">Сборка</x:t>
        </x:is>
      </x:c>
      <x:c r="H1708" s="31" t="inlineStr">
        <x:is>
          <x:t xml:space="preserve">Сборка</x:t>
        </x:is>
      </x:c>
      <x:c r="I1708" s="31" t="inlineStr">
        <x:is>
          <x:t xml:space="preserve">ОБ-027</x:t>
        </x:is>
      </x:c>
      <x:c r="J1708" s="31" t="inlineStr">
        <x:is>
          <x:t xml:space="preserve">СОТР-087</x:t>
        </x:is>
      </x:c>
      <x:c r="K1708" s="31" t="n">
        <x:v>62.4</x:v>
      </x:c>
      <x:c r="L1708" s="31" t="n">
        <x:v>72.09999999999999</x:v>
      </x:c>
      <x:c r="M1708" s="31" t="n">
        <x:v>46171</x:v>
      </x:c>
      <x:c r="N1708" s="31" t="n">
        <x:v>46177</x:v>
      </x:c>
      <x:c r="O1708" s="31" t="n">
        <x:v>46171</x:v>
      </x:c>
      <x:c r="P1708" s="31" t="n">
        <x:v>46178</x:v>
      </x:c>
      <x:c r="Q1708" s="31" t="inlineStr">
        <x:is>
          <x:t xml:space="preserve">Завершено</x:t>
        </x:is>
      </x:c>
      <x:c r="R1708" s="31" t="inlineStr">
        <x:is>
          <x:t xml:space="preserve">Нет</x:t>
        </x:is>
      </x:c>
      <x:c r="S1708" s="31" t="inlineStr">
        <x:is>
          <x:t xml:space="preserve">Нет</x:t>
        </x:is>
      </x:c>
    </x:row>
    <x:row r="1709">
      <x:c r="A1709" s="31" t="inlineStr">
        <x:is>
          <x:t xml:space="preserve">ОП-001708</x:t>
        </x:is>
      </x:c>
      <x:c r="B1709" s="31" t="inlineStr">
        <x:is>
          <x:t xml:space="preserve">ПЗ-00204</x:t>
        </x:is>
      </x:c>
      <x:c r="C1709" s="31" t="inlineStr">
        <x:is>
          <x:t xml:space="preserve">ЗК-1098</x:t>
        </x:is>
      </x:c>
      <x:c r="D1709" s="31" t="inlineStr">
        <x:is>
          <x:t xml:space="preserve">ПОЗ-0098-1</x:t>
        </x:is>
      </x:c>
      <x:c r="E1709" s="31" t="inlineStr">
        <x:is>
          <x:t xml:space="preserve">ИЗД-044</x:t>
        </x:is>
      </x:c>
      <x:c r="F1709" s="31" t="n">
        <x:v>50</x:v>
      </x:c>
      <x:c r="G1709" s="31" t="inlineStr">
        <x:is>
          <x:t xml:space="preserve">Обвязка труб</x:t>
        </x:is>
      </x:c>
      <x:c r="H1709" s="31" t="inlineStr">
        <x:is>
          <x:t xml:space="preserve">Сборка</x:t>
        </x:is>
      </x:c>
      <x:c r="I1709" s="31" t="inlineStr">
        <x:is>
          <x:t xml:space="preserve">ОБ-002</x:t>
        </x:is>
      </x:c>
      <x:c r="J1709" s="31" t="inlineStr">
        <x:is>
          <x:t xml:space="preserve">СОТР-090</x:t>
        </x:is>
      </x:c>
      <x:c r="K1709" s="31" t="n">
        <x:v>82.5</x:v>
      </x:c>
      <x:c r="L1709" s="31" t="n">
        <x:v>87.7</x:v>
      </x:c>
      <x:c r="M1709" s="31" t="n">
        <x:v>46177</x:v>
      </x:c>
      <x:c r="N1709" s="31" t="n">
        <x:v>46184</x:v>
      </x:c>
      <x:c r="O1709" s="31" t="n">
        <x:v>46177</x:v>
      </x:c>
      <x:c r="P1709" s="31" t="n">
        <x:v>46186</x:v>
      </x:c>
      <x:c r="Q1709" s="31" t="inlineStr">
        <x:is>
          <x:t xml:space="preserve">Завершено</x:t>
        </x:is>
      </x:c>
      <x:c r="R1709" s="31" t="inlineStr">
        <x:is>
          <x:t xml:space="preserve">Материал</x:t>
        </x:is>
      </x:c>
      <x:c r="S1709" s="31" t="inlineStr">
        <x:is>
          <x:t xml:space="preserve">Нет</x:t>
        </x:is>
      </x:c>
    </x:row>
    <x:row r="1710">
      <x:c r="A1710" s="31" t="inlineStr">
        <x:is>
          <x:t xml:space="preserve">ОП-001709</x:t>
        </x:is>
      </x:c>
      <x:c r="B1710" s="31" t="inlineStr">
        <x:is>
          <x:t xml:space="preserve">ПЗ-00204</x:t>
        </x:is>
      </x:c>
      <x:c r="C1710" s="31" t="inlineStr">
        <x:is>
          <x:t xml:space="preserve">ЗК-1098</x:t>
        </x:is>
      </x:c>
      <x:c r="D1710" s="31" t="inlineStr">
        <x:is>
          <x:t xml:space="preserve">ПОЗ-0098-1</x:t>
        </x:is>
      </x:c>
      <x:c r="E1710" s="31" t="inlineStr">
        <x:is>
          <x:t xml:space="preserve">ИЗД-044</x:t>
        </x:is>
      </x:c>
      <x:c r="F1710" s="31" t="n">
        <x:v>60</x:v>
      </x:c>
      <x:c r="G1710" s="31" t="inlineStr">
        <x:is>
          <x:t xml:space="preserve">Электромонтаж</x:t>
        </x:is>
      </x:c>
      <x:c r="H1710" s="31" t="inlineStr">
        <x:is>
          <x:t xml:space="preserve">Сборка</x:t>
        </x:is>
      </x:c>
      <x:c r="I1710" s="31" t="inlineStr">
        <x:is>
          <x:t xml:space="preserve">ОБ-012</x:t>
        </x:is>
      </x:c>
      <x:c r="J1710" s="31" t="inlineStr">
        <x:is>
          <x:t xml:space="preserve">СОТР-090</x:t>
        </x:is>
      </x:c>
      <x:c r="K1710" s="31" t="n">
        <x:v>50.1</x:v>
      </x:c>
      <x:c r="L1710" s="31" t="n">
        <x:v>64</x:v>
      </x:c>
      <x:c r="M1710" s="31" t="n">
        <x:v>46184</x:v>
      </x:c>
      <x:c r="N1710" s="31" t="n">
        <x:v>46189</x:v>
      </x:c>
      <x:c r="O1710" s="31" t="n">
        <x:v>46184</x:v>
      </x:c>
      <x:c r="P1710" s="31" t="n">
        <x:v>46191</x:v>
      </x:c>
      <x:c r="Q1710" s="31" t="inlineStr">
        <x:is>
          <x:t xml:space="preserve">Завершено</x:t>
        </x:is>
      </x:c>
      <x:c r="R1710" s="31" t="inlineStr">
        <x:is>
          <x:t xml:space="preserve">Нет</x:t>
        </x:is>
      </x:c>
      <x:c r="S1710" s="31" t="inlineStr">
        <x:is>
          <x:t xml:space="preserve">Нет</x:t>
        </x:is>
      </x:c>
    </x:row>
    <x:row r="1711">
      <x:c r="A1711" s="31" t="inlineStr">
        <x:is>
          <x:t xml:space="preserve">ОП-001710</x:t>
        </x:is>
      </x:c>
      <x:c r="B1711" s="31" t="inlineStr">
        <x:is>
          <x:t xml:space="preserve">ПЗ-00204</x:t>
        </x:is>
      </x:c>
      <x:c r="C1711" s="31" t="inlineStr">
        <x:is>
          <x:t xml:space="preserve">ЗК-1098</x:t>
        </x:is>
      </x:c>
      <x:c r="D1711" s="31" t="inlineStr">
        <x:is>
          <x:t xml:space="preserve">ПОЗ-0098-1</x:t>
        </x:is>
      </x:c>
      <x:c r="E1711" s="31" t="inlineStr">
        <x:is>
          <x:t xml:space="preserve">ИЗД-044</x:t>
        </x:is>
      </x:c>
      <x:c r="F1711" s="31" t="n">
        <x:v>70</x:v>
      </x:c>
      <x:c r="G1711" s="31" t="inlineStr">
        <x:is>
          <x:t xml:space="preserve">Гидроиспытания</x:t>
        </x:is>
      </x:c>
      <x:c r="H1711" s="31" t="inlineStr">
        <x:is>
          <x:t xml:space="preserve">ОТК</x:t>
        </x:is>
      </x:c>
      <x:c r="I1711" s="31" t="inlineStr">
        <x:is>
          <x:t xml:space="preserve">ОБ-001</x:t>
        </x:is>
      </x:c>
      <x:c r="J1711" s="31" t="inlineStr">
        <x:is>
          <x:t xml:space="preserve">СОТР-095</x:t>
        </x:is>
      </x:c>
      <x:c r="K1711" s="31" t="n">
        <x:v>65.7</x:v>
      </x:c>
      <x:c r="L1711" s="31" t="n">
        <x:v>86.09999999999999</x:v>
      </x:c>
      <x:c r="M1711" s="31" t="n">
        <x:v>46189</x:v>
      </x:c>
      <x:c r="N1711" s="31" t="n">
        <x:v>46195</x:v>
      </x:c>
      <x:c r="O1711" s="31" t="n">
        <x:v>46189</x:v>
      </x:c>
      <x:c r="P1711" s="31" t="n">
        <x:v>46197</x:v>
      </x:c>
      <x:c r="Q1711" s="31" t="inlineStr">
        <x:is>
          <x:t xml:space="preserve">Завершено</x:t>
        </x:is>
      </x:c>
      <x:c r="R1711" s="31" t="inlineStr">
        <x:is>
          <x:t xml:space="preserve">Нет</x:t>
        </x:is>
      </x:c>
      <x:c r="S1711" s="31" t="inlineStr">
        <x:is>
          <x:t xml:space="preserve">Нет</x:t>
        </x:is>
      </x:c>
    </x:row>
    <x:row r="1712">
      <x:c r="A1712" s="31" t="inlineStr">
        <x:is>
          <x:t xml:space="preserve">ОП-001711</x:t>
        </x:is>
      </x:c>
      <x:c r="B1712" s="31" t="inlineStr">
        <x:is>
          <x:t xml:space="preserve">ПЗ-00204</x:t>
        </x:is>
      </x:c>
      <x:c r="C1712" s="31" t="inlineStr">
        <x:is>
          <x:t xml:space="preserve">ЗК-1098</x:t>
        </x:is>
      </x:c>
      <x:c r="D1712" s="31" t="inlineStr">
        <x:is>
          <x:t xml:space="preserve">ПОЗ-0098-1</x:t>
        </x:is>
      </x:c>
      <x:c r="E1712" s="31" t="inlineStr">
        <x:is>
          <x:t xml:space="preserve">ИЗД-044</x:t>
        </x:is>
      </x:c>
      <x:c r="F1712" s="31" t="n">
        <x:v>80</x:v>
      </x:c>
      <x:c r="G1712" s="31" t="inlineStr">
        <x:is>
          <x:t xml:space="preserve">ОТК</x:t>
        </x:is>
      </x:c>
      <x:c r="H1712" s="31" t="inlineStr">
        <x:is>
          <x:t xml:space="preserve">ОТК</x:t>
        </x:is>
      </x:c>
      <x:c r="I1712" s="31" t="inlineStr">
        <x:is>
          <x:t xml:space="preserve">ОБ-013</x:t>
        </x:is>
      </x:c>
      <x:c r="J1712" s="31" t="inlineStr">
        <x:is>
          <x:t xml:space="preserve">СОТР-097</x:t>
        </x:is>
      </x:c>
      <x:c r="K1712" s="31" t="n">
        <x:v>76.2</x:v>
      </x:c>
      <x:c r="L1712" s="31" t="n">
        <x:v>64.59999999999999</x:v>
      </x:c>
      <x:c r="M1712" s="31" t="n">
        <x:v>46195</x:v>
      </x:c>
      <x:c r="N1712" s="31" t="n">
        <x:v>46202</x:v>
      </x:c>
      <x:c r="O1712" s="31" t="n">
        <x:v>46195</x:v>
      </x:c>
      <x:c r="P1712" s="31" t="n">
        <x:v>46201</x:v>
      </x:c>
      <x:c r="Q1712" s="31" t="inlineStr">
        <x:is>
          <x:t xml:space="preserve">Завершено</x:t>
        </x:is>
      </x:c>
      <x:c r="R1712" s="31" t="inlineStr">
        <x:is>
          <x:t xml:space="preserve">Нет</x:t>
        </x:is>
      </x:c>
      <x:c r="S1712" s="31" t="inlineStr">
        <x:is>
          <x:t xml:space="preserve">Да</x:t>
        </x:is>
      </x:c>
    </x:row>
    <x:row r="1713">
      <x:c r="A1713" s="31" t="inlineStr">
        <x:is>
          <x:t xml:space="preserve">ОП-001712</x:t>
        </x:is>
      </x:c>
      <x:c r="B1713" s="31" t="inlineStr">
        <x:is>
          <x:t xml:space="preserve">ПЗ-00204</x:t>
        </x:is>
      </x:c>
      <x:c r="C1713" s="31" t="inlineStr">
        <x:is>
          <x:t xml:space="preserve">ЗК-1098</x:t>
        </x:is>
      </x:c>
      <x:c r="D1713" s="31" t="inlineStr">
        <x:is>
          <x:t xml:space="preserve">ПОЗ-0098-1</x:t>
        </x:is>
      </x:c>
      <x:c r="E1713" s="31" t="inlineStr">
        <x:is>
          <x:t xml:space="preserve">ИЗД-044</x:t>
        </x:is>
      </x:c>
      <x:c r="F1713" s="31" t="n">
        <x:v>90</x:v>
      </x:c>
      <x:c r="G1713" s="31" t="inlineStr">
        <x:is>
          <x:t xml:space="preserve">Упаковка</x:t>
        </x:is>
      </x:c>
      <x:c r="H1713" s="31" t="inlineStr">
        <x:is>
          <x:t xml:space="preserve">Логистика</x:t>
        </x:is>
      </x:c>
      <x:c r="I1713" s="31" t="n"/>
      <x:c r="J1713" s="31" t="inlineStr">
        <x:is>
          <x:t xml:space="preserve">СОТР-105</x:t>
        </x:is>
      </x:c>
      <x:c r="K1713" s="31" t="n">
        <x:v>33.9</x:v>
      </x:c>
      <x:c r="L1713" s="31" t="n">
        <x:v>44.4</x:v>
      </x:c>
      <x:c r="M1713" s="31" t="n">
        <x:v>46202</x:v>
      </x:c>
      <x:c r="N1713" s="31" t="n">
        <x:v>46205</x:v>
      </x:c>
      <x:c r="O1713" s="31" t="n">
        <x:v>46202</x:v>
      </x:c>
      <x:c r="P1713" s="31" t="n">
        <x:v>46207</x:v>
      </x:c>
      <x:c r="Q1713" s="31" t="inlineStr">
        <x:is>
          <x:t xml:space="preserve">Завершено</x:t>
        </x:is>
      </x:c>
      <x:c r="R1713" s="31" t="inlineStr">
        <x:is>
          <x:t xml:space="preserve">Нет</x:t>
        </x:is>
      </x:c>
      <x:c r="S1713" s="31" t="inlineStr">
        <x:is>
          <x:t xml:space="preserve">Нет</x:t>
        </x:is>
      </x:c>
    </x:row>
    <x:row r="1714">
      <x:c r="A1714" s="31" t="inlineStr">
        <x:is>
          <x:t xml:space="preserve">ОП-001713</x:t>
        </x:is>
      </x:c>
      <x:c r="B1714" s="31" t="inlineStr">
        <x:is>
          <x:t xml:space="preserve">ПЗ-00205</x:t>
        </x:is>
      </x:c>
      <x:c r="C1714" s="31" t="inlineStr">
        <x:is>
          <x:t xml:space="preserve">ЗК-1099</x:t>
        </x:is>
      </x:c>
      <x:c r="D1714" s="31" t="inlineStr">
        <x:is>
          <x:t xml:space="preserve">ПОЗ-0099-1</x:t>
        </x:is>
      </x:c>
      <x:c r="E1714" s="31" t="inlineStr">
        <x:is>
          <x:t xml:space="preserve">ИЗД-035</x:t>
        </x:is>
      </x:c>
      <x:c r="F1714" s="31" t="n">
        <x:v>10</x:v>
      </x:c>
      <x:c r="G1714" s="31" t="inlineStr">
        <x:is>
          <x:t xml:space="preserve">КД</x:t>
        </x:is>
      </x:c>
      <x:c r="H1714" s="31" t="inlineStr">
        <x:is>
          <x:t xml:space="preserve">Инженерный отдел</x:t>
        </x:is>
      </x:c>
      <x:c r="I1714" s="31" t="n"/>
      <x:c r="J1714" s="31" t="inlineStr">
        <x:is>
          <x:t xml:space="preserve">СОТР-016</x:t>
        </x:is>
      </x:c>
      <x:c r="K1714" s="31" t="n">
        <x:v>34.5</x:v>
      </x:c>
      <x:c r="L1714" s="31" t="n">
        <x:v>38</x:v>
      </x:c>
      <x:c r="M1714" s="31" t="n">
        <x:v>46157</x:v>
      </x:c>
      <x:c r="N1714" s="31" t="n">
        <x:v>46160</x:v>
      </x:c>
      <x:c r="O1714" s="31" t="n">
        <x:v>46157</x:v>
      </x:c>
      <x:c r="P1714" s="31" t="n">
        <x:v>46160</x:v>
      </x:c>
      <x:c r="Q1714" s="31" t="inlineStr">
        <x:is>
          <x:t xml:space="preserve">Завершено</x:t>
        </x:is>
      </x:c>
      <x:c r="R1714" s="31" t="inlineStr">
        <x:is>
          <x:t xml:space="preserve">Нет</x:t>
        </x:is>
      </x:c>
      <x:c r="S1714" s="31" t="inlineStr">
        <x:is>
          <x:t xml:space="preserve">Нет</x:t>
        </x:is>
      </x:c>
    </x:row>
    <x:row r="1715">
      <x:c r="A1715" s="31" t="inlineStr">
        <x:is>
          <x:t xml:space="preserve">ОП-001714</x:t>
        </x:is>
      </x:c>
      <x:c r="B1715" s="31" t="inlineStr">
        <x:is>
          <x:t xml:space="preserve">ПЗ-00205</x:t>
        </x:is>
      </x:c>
      <x:c r="C1715" s="31" t="inlineStr">
        <x:is>
          <x:t xml:space="preserve">ЗК-1099</x:t>
        </x:is>
      </x:c>
      <x:c r="D1715" s="31" t="inlineStr">
        <x:is>
          <x:t xml:space="preserve">ПОЗ-0099-1</x:t>
        </x:is>
      </x:c>
      <x:c r="E1715" s="31" t="inlineStr">
        <x:is>
          <x:t xml:space="preserve">ИЗД-035</x:t>
        </x:is>
      </x:c>
      <x:c r="F1715" s="31" t="n">
        <x:v>20</x:v>
      </x:c>
      <x:c r="G1715" s="31" t="inlineStr">
        <x:is>
          <x:t xml:space="preserve">Резерв материалов</x:t>
        </x:is>
      </x:c>
      <x:c r="H1715" s="31" t="inlineStr">
        <x:is>
          <x:t xml:space="preserve">Склад</x:t>
        </x:is>
      </x:c>
      <x:c r="I1715" s="31" t="inlineStr">
        <x:is>
          <x:t xml:space="preserve">ОБ-023</x:t>
        </x:is>
      </x:c>
      <x:c r="J1715" s="31" t="inlineStr">
        <x:is>
          <x:t xml:space="preserve">СОТР-024</x:t>
        </x:is>
      </x:c>
      <x:c r="K1715" s="31" t="n">
        <x:v>51</x:v>
      </x:c>
      <x:c r="L1715" s="31" t="n">
        <x:v>49</x:v>
      </x:c>
      <x:c r="M1715" s="31" t="n">
        <x:v>46160</x:v>
      </x:c>
      <x:c r="N1715" s="31" t="n">
        <x:v>46165</x:v>
      </x:c>
      <x:c r="O1715" s="31" t="n">
        <x:v>46160</x:v>
      </x:c>
      <x:c r="P1715" s="31" t="n">
        <x:v>46167</x:v>
      </x:c>
      <x:c r="Q1715" s="31" t="inlineStr">
        <x:is>
          <x:t xml:space="preserve">Завершено</x:t>
        </x:is>
      </x:c>
      <x:c r="R1715" s="31" t="inlineStr">
        <x:is>
          <x:t xml:space="preserve">Нет</x:t>
        </x:is>
      </x:c>
      <x:c r="S1715" s="31" t="inlineStr">
        <x:is>
          <x:t xml:space="preserve">Нет</x:t>
        </x:is>
      </x:c>
    </x:row>
    <x:row r="1716">
      <x:c r="A1716" s="31" t="inlineStr">
        <x:is>
          <x:t xml:space="preserve">ОП-001715</x:t>
        </x:is>
      </x:c>
      <x:c r="B1716" s="31" t="inlineStr">
        <x:is>
          <x:t xml:space="preserve">ПЗ-00205</x:t>
        </x:is>
      </x:c>
      <x:c r="C1716" s="31" t="inlineStr">
        <x:is>
          <x:t xml:space="preserve">ЗК-1099</x:t>
        </x:is>
      </x:c>
      <x:c r="D1716" s="31" t="inlineStr">
        <x:is>
          <x:t xml:space="preserve">ПОЗ-0099-1</x:t>
        </x:is>
      </x:c>
      <x:c r="E1716" s="31" t="inlineStr">
        <x:is>
          <x:t xml:space="preserve">ИЗД-035</x:t>
        </x:is>
      </x:c>
      <x:c r="F1716" s="31" t="n">
        <x:v>30</x:v>
      </x:c>
      <x:c r="G1716" s="31" t="inlineStr">
        <x:is>
          <x:t xml:space="preserve">Резка металла</x:t>
        </x:is>
      </x:c>
      <x:c r="H1716" s="31" t="inlineStr">
        <x:is>
          <x:t xml:space="preserve">Сварка</x:t>
        </x:is>
      </x:c>
      <x:c r="I1716" s="31" t="inlineStr">
        <x:is>
          <x:t xml:space="preserve">ОБ-021</x:t>
        </x:is>
      </x:c>
      <x:c r="J1716" s="31" t="inlineStr">
        <x:is>
          <x:t xml:space="preserve">СОТР-066</x:t>
        </x:is>
      </x:c>
      <x:c r="K1716" s="31" t="n">
        <x:v>23.5</x:v>
      </x:c>
      <x:c r="L1716" s="31" t="n">
        <x:v>20.6</x:v>
      </x:c>
      <x:c r="M1716" s="31" t="n">
        <x:v>46165</x:v>
      </x:c>
      <x:c r="N1716" s="31" t="n">
        <x:v>46167</x:v>
      </x:c>
      <x:c r="O1716" s="31" t="n">
        <x:v>46165</x:v>
      </x:c>
      <x:c r="P1716" s="31" t="n">
        <x:v>46166</x:v>
      </x:c>
      <x:c r="Q1716" s="31" t="inlineStr">
        <x:is>
          <x:t xml:space="preserve">Завершено</x:t>
        </x:is>
      </x:c>
      <x:c r="R1716" s="31" t="inlineStr">
        <x:is>
          <x:t xml:space="preserve">Нет</x:t>
        </x:is>
      </x:c>
      <x:c r="S1716" s="31" t="inlineStr">
        <x:is>
          <x:t xml:space="preserve">Нет</x:t>
        </x:is>
      </x:c>
    </x:row>
    <x:row r="1717">
      <x:c r="A1717" s="31" t="inlineStr">
        <x:is>
          <x:t xml:space="preserve">ОП-001716</x:t>
        </x:is>
      </x:c>
      <x:c r="B1717" s="31" t="inlineStr">
        <x:is>
          <x:t xml:space="preserve">ПЗ-00205</x:t>
        </x:is>
      </x:c>
      <x:c r="C1717" s="31" t="inlineStr">
        <x:is>
          <x:t xml:space="preserve">ЗК-1099</x:t>
        </x:is>
      </x:c>
      <x:c r="D1717" s="31" t="inlineStr">
        <x:is>
          <x:t xml:space="preserve">ПОЗ-0099-1</x:t>
        </x:is>
      </x:c>
      <x:c r="E1717" s="31" t="inlineStr">
        <x:is>
          <x:t xml:space="preserve">ИЗД-035</x:t>
        </x:is>
      </x:c>
      <x:c r="F1717" s="31" t="n">
        <x:v>40</x:v>
      </x:c>
      <x:c r="G1717" s="31" t="inlineStr">
        <x:is>
          <x:t xml:space="preserve">Сварка рамы</x:t>
        </x:is>
      </x:c>
      <x:c r="H1717" s="31" t="inlineStr">
        <x:is>
          <x:t xml:space="preserve">Сварка</x:t>
        </x:is>
      </x:c>
      <x:c r="I1717" s="31" t="inlineStr">
        <x:is>
          <x:t xml:space="preserve">ОБ-035</x:t>
        </x:is>
      </x:c>
      <x:c r="J1717" s="31" t="inlineStr">
        <x:is>
          <x:t xml:space="preserve">СОТР-064</x:t>
        </x:is>
      </x:c>
      <x:c r="K1717" s="31" t="n">
        <x:v>11.5</x:v>
      </x:c>
      <x:c r="L1717" s="31" t="n">
        <x:v>11.9</x:v>
      </x:c>
      <x:c r="M1717" s="31" t="n">
        <x:v>46167</x:v>
      </x:c>
      <x:c r="N1717" s="31" t="n">
        <x:v>46168</x:v>
      </x:c>
      <x:c r="O1717" s="31" t="n">
        <x:v>46167</x:v>
      </x:c>
      <x:c r="P1717" s="31" t="n">
        <x:v>46168</x:v>
      </x:c>
      <x:c r="Q1717" s="31" t="inlineStr">
        <x:is>
          <x:t xml:space="preserve">Завершено</x:t>
        </x:is>
      </x:c>
      <x:c r="R1717" s="31" t="inlineStr">
        <x:is>
          <x:t xml:space="preserve">Ожидание ОТК</x:t>
        </x:is>
      </x:c>
      <x:c r="S1717" s="31" t="inlineStr">
        <x:is>
          <x:t xml:space="preserve">Нет</x:t>
        </x:is>
      </x:c>
    </x:row>
    <x:row r="1718">
      <x:c r="A1718" s="31" t="inlineStr">
        <x:is>
          <x:t xml:space="preserve">ОП-001717</x:t>
        </x:is>
      </x:c>
      <x:c r="B1718" s="31" t="inlineStr">
        <x:is>
          <x:t xml:space="preserve">ПЗ-00205</x:t>
        </x:is>
      </x:c>
      <x:c r="C1718" s="31" t="inlineStr">
        <x:is>
          <x:t xml:space="preserve">ЗК-1099</x:t>
        </x:is>
      </x:c>
      <x:c r="D1718" s="31" t="inlineStr">
        <x:is>
          <x:t xml:space="preserve">ПОЗ-0099-1</x:t>
        </x:is>
      </x:c>
      <x:c r="E1718" s="31" t="inlineStr">
        <x:is>
          <x:t xml:space="preserve">ИЗД-035</x:t>
        </x:is>
      </x:c>
      <x:c r="F1718" s="31" t="n">
        <x:v>50</x:v>
      </x:c>
      <x:c r="G1718" s="31" t="inlineStr">
        <x:is>
          <x:t xml:space="preserve">Механообработка</x:t>
        </x:is>
      </x:c>
      <x:c r="H1718" s="31" t="inlineStr">
        <x:is>
          <x:t xml:space="preserve">Механообработка</x:t>
        </x:is>
      </x:c>
      <x:c r="I1718" s="31" t="inlineStr">
        <x:is>
          <x:t xml:space="preserve">ОБ-031</x:t>
        </x:is>
      </x:c>
      <x:c r="J1718" s="31" t="inlineStr">
        <x:is>
          <x:t xml:space="preserve">СОТР-051</x:t>
        </x:is>
      </x:c>
      <x:c r="K1718" s="31" t="n">
        <x:v>34.5</x:v>
      </x:c>
      <x:c r="L1718" s="31" t="n">
        <x:v>28.1</x:v>
      </x:c>
      <x:c r="M1718" s="31" t="n">
        <x:v>46168</x:v>
      </x:c>
      <x:c r="N1718" s="31" t="n">
        <x:v>46171</x:v>
      </x:c>
      <x:c r="O1718" s="31" t="n">
        <x:v>46168</x:v>
      </x:c>
      <x:c r="P1718" s="31" t="n">
        <x:v>46172</x:v>
      </x:c>
      <x:c r="Q1718" s="31" t="inlineStr">
        <x:is>
          <x:t xml:space="preserve">Завершено</x:t>
        </x:is>
      </x:c>
      <x:c r="R1718" s="31" t="inlineStr">
        <x:is>
          <x:t xml:space="preserve">Материал</x:t>
        </x:is>
      </x:c>
      <x:c r="S1718" s="31" t="inlineStr">
        <x:is>
          <x:t xml:space="preserve">Да</x:t>
        </x:is>
      </x:c>
    </x:row>
    <x:row r="1719">
      <x:c r="A1719" s="31" t="inlineStr">
        <x:is>
          <x:t xml:space="preserve">ОП-001718</x:t>
        </x:is>
      </x:c>
      <x:c r="B1719" s="31" t="inlineStr">
        <x:is>
          <x:t xml:space="preserve">ПЗ-00205</x:t>
        </x:is>
      </x:c>
      <x:c r="C1719" s="31" t="inlineStr">
        <x:is>
          <x:t xml:space="preserve">ЗК-1099</x:t>
        </x:is>
      </x:c>
      <x:c r="D1719" s="31" t="inlineStr">
        <x:is>
          <x:t xml:space="preserve">ПОЗ-0099-1</x:t>
        </x:is>
      </x:c>
      <x:c r="E1719" s="31" t="inlineStr">
        <x:is>
          <x:t xml:space="preserve">ИЗД-035</x:t>
        </x:is>
      </x:c>
      <x:c r="F1719" s="31" t="n">
        <x:v>60</x:v>
      </x:c>
      <x:c r="G1719" s="31" t="inlineStr">
        <x:is>
          <x:t xml:space="preserve">Сборка</x:t>
        </x:is>
      </x:c>
      <x:c r="H1719" s="31" t="inlineStr">
        <x:is>
          <x:t xml:space="preserve">Сборка</x:t>
        </x:is>
      </x:c>
      <x:c r="I1719" s="31" t="inlineStr">
        <x:is>
          <x:t xml:space="preserve">ОБ-012</x:t>
        </x:is>
      </x:c>
      <x:c r="J1719" s="31" t="inlineStr">
        <x:is>
          <x:t xml:space="preserve">СОТР-085</x:t>
        </x:is>
      </x:c>
      <x:c r="K1719" s="31" t="n">
        <x:v>7</x:v>
      </x:c>
      <x:c r="L1719" s="31" t="n">
        <x:v>6.8</x:v>
      </x:c>
      <x:c r="M1719" s="31" t="n">
        <x:v>46171</x:v>
      </x:c>
      <x:c r="N1719" s="31" t="n">
        <x:v>46172</x:v>
      </x:c>
      <x:c r="O1719" s="31" t="n">
        <x:v>46171</x:v>
      </x:c>
      <x:c r="P1719" s="31" t="n">
        <x:v>46171</x:v>
      </x:c>
      <x:c r="Q1719" s="31" t="inlineStr">
        <x:is>
          <x:t xml:space="preserve">Завершено</x:t>
        </x:is>
      </x:c>
      <x:c r="R1719" s="31" t="inlineStr">
        <x:is>
          <x:t xml:space="preserve">Оборудование</x:t>
        </x:is>
      </x:c>
      <x:c r="S1719" s="31" t="inlineStr">
        <x:is>
          <x:t xml:space="preserve">Да</x:t>
        </x:is>
      </x:c>
    </x:row>
    <x:row r="1720">
      <x:c r="A1720" s="31" t="inlineStr">
        <x:is>
          <x:t xml:space="preserve">ОП-001719</x:t>
        </x:is>
      </x:c>
      <x:c r="B1720" s="31" t="inlineStr">
        <x:is>
          <x:t xml:space="preserve">ПЗ-00205</x:t>
        </x:is>
      </x:c>
      <x:c r="C1720" s="31" t="inlineStr">
        <x:is>
          <x:t xml:space="preserve">ЗК-1099</x:t>
        </x:is>
      </x:c>
      <x:c r="D1720" s="31" t="inlineStr">
        <x:is>
          <x:t xml:space="preserve">ПОЗ-0099-1</x:t>
        </x:is>
      </x:c>
      <x:c r="E1720" s="31" t="inlineStr">
        <x:is>
          <x:t xml:space="preserve">ИЗД-035</x:t>
        </x:is>
      </x:c>
      <x:c r="F1720" s="31" t="n">
        <x:v>70</x:v>
      </x:c>
      <x:c r="G1720" s="31" t="inlineStr">
        <x:is>
          <x:t xml:space="preserve">Обвязка труб</x:t>
        </x:is>
      </x:c>
      <x:c r="H1720" s="31" t="inlineStr">
        <x:is>
          <x:t xml:space="preserve">Сборка</x:t>
        </x:is>
      </x:c>
      <x:c r="I1720" s="31" t="inlineStr">
        <x:is>
          <x:t xml:space="preserve">ОБ-002</x:t>
        </x:is>
      </x:c>
      <x:c r="J1720" s="31" t="inlineStr">
        <x:is>
          <x:t xml:space="preserve">СОТР-083</x:t>
        </x:is>
      </x:c>
      <x:c r="K1720" s="31" t="n">
        <x:v>55</x:v>
      </x:c>
      <x:c r="L1720" s="31" t="n">
        <x:v>67.40000000000001</x:v>
      </x:c>
      <x:c r="M1720" s="31" t="n">
        <x:v>46172</x:v>
      </x:c>
      <x:c r="N1720" s="31" t="n">
        <x:v>46177</x:v>
      </x:c>
      <x:c r="O1720" s="31" t="n">
        <x:v>46172</x:v>
      </x:c>
      <x:c r="P1720" s="31" t="n">
        <x:v>46176</x:v>
      </x:c>
      <x:c r="Q1720" s="31" t="inlineStr">
        <x:is>
          <x:t xml:space="preserve">Завершено</x:t>
        </x:is>
      </x:c>
      <x:c r="R1720" s="31" t="inlineStr">
        <x:is>
          <x:t xml:space="preserve">Нет</x:t>
        </x:is>
      </x:c>
      <x:c r="S1720" s="31" t="inlineStr">
        <x:is>
          <x:t xml:space="preserve">Да</x:t>
        </x:is>
      </x:c>
    </x:row>
    <x:row r="1721">
      <x:c r="A1721" s="31" t="inlineStr">
        <x:is>
          <x:t xml:space="preserve">ОП-001720</x:t>
        </x:is>
      </x:c>
      <x:c r="B1721" s="31" t="inlineStr">
        <x:is>
          <x:t xml:space="preserve">ПЗ-00205</x:t>
        </x:is>
      </x:c>
      <x:c r="C1721" s="31" t="inlineStr">
        <x:is>
          <x:t xml:space="preserve">ЗК-1099</x:t>
        </x:is>
      </x:c>
      <x:c r="D1721" s="31" t="inlineStr">
        <x:is>
          <x:t xml:space="preserve">ПОЗ-0099-1</x:t>
        </x:is>
      </x:c>
      <x:c r="E1721" s="31" t="inlineStr">
        <x:is>
          <x:t xml:space="preserve">ИЗД-035</x:t>
        </x:is>
      </x:c>
      <x:c r="F1721" s="31" t="n">
        <x:v>80</x:v>
      </x:c>
      <x:c r="G1721" s="31" t="inlineStr">
        <x:is>
          <x:t xml:space="preserve">Электромонтаж</x:t>
        </x:is>
      </x:c>
      <x:c r="H1721" s="31" t="inlineStr">
        <x:is>
          <x:t xml:space="preserve">Сборка</x:t>
        </x:is>
      </x:c>
      <x:c r="I1721" s="31" t="inlineStr">
        <x:is>
          <x:t xml:space="preserve">ОБ-002</x:t>
        </x:is>
      </x:c>
      <x:c r="J1721" s="31" t="inlineStr">
        <x:is>
          <x:t xml:space="preserve">СОТР-086</x:t>
        </x:is>
      </x:c>
      <x:c r="K1721" s="31" t="n">
        <x:v>6</x:v>
      </x:c>
      <x:c r="L1721" s="31" t="n">
        <x:v>6.4</x:v>
      </x:c>
      <x:c r="M1721" s="31" t="n">
        <x:v>46177</x:v>
      </x:c>
      <x:c r="N1721" s="31" t="n">
        <x:v>46178</x:v>
      </x:c>
      <x:c r="O1721" s="31" t="n">
        <x:v>46177</x:v>
      </x:c>
      <x:c r="P1721" s="31" t="n">
        <x:v>46179</x:v>
      </x:c>
      <x:c r="Q1721" s="31" t="inlineStr">
        <x:is>
          <x:t xml:space="preserve">Завершено</x:t>
        </x:is>
      </x:c>
      <x:c r="R1721" s="31" t="inlineStr">
        <x:is>
          <x:t xml:space="preserve">Нет</x:t>
        </x:is>
      </x:c>
      <x:c r="S1721" s="31" t="inlineStr">
        <x:is>
          <x:t xml:space="preserve">Нет</x:t>
        </x:is>
      </x:c>
    </x:row>
    <x:row r="1722">
      <x:c r="A1722" s="31" t="inlineStr">
        <x:is>
          <x:t xml:space="preserve">ОП-001721</x:t>
        </x:is>
      </x:c>
      <x:c r="B1722" s="31" t="inlineStr">
        <x:is>
          <x:t xml:space="preserve">ПЗ-00205</x:t>
        </x:is>
      </x:c>
      <x:c r="C1722" s="31" t="inlineStr">
        <x:is>
          <x:t xml:space="preserve">ЗК-1099</x:t>
        </x:is>
      </x:c>
      <x:c r="D1722" s="31" t="inlineStr">
        <x:is>
          <x:t xml:space="preserve">ПОЗ-0099-1</x:t>
        </x:is>
      </x:c>
      <x:c r="E1722" s="31" t="inlineStr">
        <x:is>
          <x:t xml:space="preserve">ИЗД-035</x:t>
        </x:is>
      </x:c>
      <x:c r="F1722" s="31" t="n">
        <x:v>90</x:v>
      </x:c>
      <x:c r="G1722" s="31" t="inlineStr">
        <x:is>
          <x:t xml:space="preserve">Приемочные испытания</x:t>
        </x:is>
      </x:c>
      <x:c r="H1722" s="31" t="inlineStr">
        <x:is>
          <x:t xml:space="preserve">ОТК</x:t>
        </x:is>
      </x:c>
      <x:c r="I1722" s="31" t="inlineStr">
        <x:is>
          <x:t xml:space="preserve">ОБ-033</x:t>
        </x:is>
      </x:c>
      <x:c r="J1722" s="31" t="inlineStr">
        <x:is>
          <x:t xml:space="preserve">СОТР-093</x:t>
        </x:is>
      </x:c>
      <x:c r="K1722" s="31" t="n">
        <x:v>10.5</x:v>
      </x:c>
      <x:c r="L1722" s="31" t="n">
        <x:v>13.4</x:v>
      </x:c>
      <x:c r="M1722" s="31" t="n">
        <x:v>46178</x:v>
      </x:c>
      <x:c r="N1722" s="31" t="n">
        <x:v>46179</x:v>
      </x:c>
      <x:c r="O1722" s="31" t="n">
        <x:v>46178</x:v>
      </x:c>
      <x:c r="P1722" s="31" t="n">
        <x:v>46180</x:v>
      </x:c>
      <x:c r="Q1722" s="31" t="inlineStr">
        <x:is>
          <x:t xml:space="preserve">Завершено</x:t>
        </x:is>
      </x:c>
      <x:c r="R1722" s="31" t="inlineStr">
        <x:is>
          <x:t xml:space="preserve">Нет</x:t>
        </x:is>
      </x:c>
      <x:c r="S1722" s="31" t="inlineStr">
        <x:is>
          <x:t xml:space="preserve">Нет</x:t>
        </x:is>
      </x:c>
    </x:row>
    <x:row r="1723">
      <x:c r="A1723" s="31" t="inlineStr">
        <x:is>
          <x:t xml:space="preserve">ОП-001722</x:t>
        </x:is>
      </x:c>
      <x:c r="B1723" s="31" t="inlineStr">
        <x:is>
          <x:t xml:space="preserve">ПЗ-00205</x:t>
        </x:is>
      </x:c>
      <x:c r="C1723" s="31" t="inlineStr">
        <x:is>
          <x:t xml:space="preserve">ЗК-1099</x:t>
        </x:is>
      </x:c>
      <x:c r="D1723" s="31" t="inlineStr">
        <x:is>
          <x:t xml:space="preserve">ПОЗ-0099-1</x:t>
        </x:is>
      </x:c>
      <x:c r="E1723" s="31" t="inlineStr">
        <x:is>
          <x:t xml:space="preserve">ИЗД-035</x:t>
        </x:is>
      </x:c>
      <x:c r="F1723" s="31" t="n">
        <x:v>100</x:v>
      </x:c>
      <x:c r="G1723" s="31" t="inlineStr">
        <x:is>
          <x:t xml:space="preserve">ОТК</x:t>
        </x:is>
      </x:c>
      <x:c r="H1723" s="31" t="inlineStr">
        <x:is>
          <x:t xml:space="preserve">ОТК</x:t>
        </x:is>
      </x:c>
      <x:c r="I1723" s="31" t="inlineStr">
        <x:is>
          <x:t xml:space="preserve">ОБ-006</x:t>
        </x:is>
      </x:c>
      <x:c r="J1723" s="31" t="inlineStr">
        <x:is>
          <x:t xml:space="preserve">СОТР-100</x:t>
        </x:is>
      </x:c>
      <x:c r="K1723" s="31" t="n">
        <x:v>50</x:v>
      </x:c>
      <x:c r="L1723" s="31" t="n">
        <x:v>42.2</x:v>
      </x:c>
      <x:c r="M1723" s="31" t="n">
        <x:v>46179</x:v>
      </x:c>
      <x:c r="N1723" s="31" t="n">
        <x:v>46184</x:v>
      </x:c>
      <x:c r="O1723" s="31" t="n">
        <x:v>46179</x:v>
      </x:c>
      <x:c r="P1723" s="31" t="n">
        <x:v>46186</x:v>
      </x:c>
      <x:c r="Q1723" s="31" t="inlineStr">
        <x:is>
          <x:t xml:space="preserve">Завершено</x:t>
        </x:is>
      </x:c>
      <x:c r="R1723" s="31" t="inlineStr">
        <x:is>
          <x:t xml:space="preserve">Нет</x:t>
        </x:is>
      </x:c>
      <x:c r="S1723" s="31" t="inlineStr">
        <x:is>
          <x:t xml:space="preserve">Да</x:t>
        </x:is>
      </x:c>
    </x:row>
    <x:row r="1724">
      <x:c r="A1724" s="31" t="inlineStr">
        <x:is>
          <x:t xml:space="preserve">ОП-001723</x:t>
        </x:is>
      </x:c>
      <x:c r="B1724" s="31" t="inlineStr">
        <x:is>
          <x:t xml:space="preserve">ПЗ-00205</x:t>
        </x:is>
      </x:c>
      <x:c r="C1724" s="31" t="inlineStr">
        <x:is>
          <x:t xml:space="preserve">ЗК-1099</x:t>
        </x:is>
      </x:c>
      <x:c r="D1724" s="31" t="inlineStr">
        <x:is>
          <x:t xml:space="preserve">ПОЗ-0099-1</x:t>
        </x:is>
      </x:c>
      <x:c r="E1724" s="31" t="inlineStr">
        <x:is>
          <x:t xml:space="preserve">ИЗД-035</x:t>
        </x:is>
      </x:c>
      <x:c r="F1724" s="31" t="n">
        <x:v>110</x:v>
      </x:c>
      <x:c r="G1724" s="31" t="inlineStr">
        <x:is>
          <x:t xml:space="preserve">Упаковка</x:t>
        </x:is>
      </x:c>
      <x:c r="H1724" s="31" t="inlineStr">
        <x:is>
          <x:t xml:space="preserve">Логистика</x:t>
        </x:is>
      </x:c>
      <x:c r="I1724" s="31" t="n"/>
      <x:c r="J1724" s="31" t="inlineStr">
        <x:is>
          <x:t xml:space="preserve">СОТР-104</x:t>
        </x:is>
      </x:c>
      <x:c r="K1724" s="31" t="n">
        <x:v>39</x:v>
      </x:c>
      <x:c r="L1724" s="31" t="n">
        <x:v>32.4</x:v>
      </x:c>
      <x:c r="M1724" s="31" t="n">
        <x:v>46184</x:v>
      </x:c>
      <x:c r="N1724" s="31" t="n">
        <x:v>46188</x:v>
      </x:c>
      <x:c r="O1724" s="31" t="n">
        <x:v>46184</x:v>
      </x:c>
      <x:c r="P1724" s="31" t="n">
        <x:v>46187</x:v>
      </x:c>
      <x:c r="Q1724" s="31" t="inlineStr">
        <x:is>
          <x:t xml:space="preserve">Завершено</x:t>
        </x:is>
      </x:c>
      <x:c r="R1724" s="31" t="inlineStr">
        <x:is>
          <x:t xml:space="preserve">Нет</x:t>
        </x:is>
      </x:c>
      <x:c r="S1724" s="31" t="inlineStr">
        <x:is>
          <x:t xml:space="preserve">Нет</x:t>
        </x:is>
      </x:c>
    </x:row>
    <x:row r="1725">
      <x:c r="A1725" s="31" t="inlineStr">
        <x:is>
          <x:t xml:space="preserve">ОП-001724</x:t>
        </x:is>
      </x:c>
      <x:c r="B1725" s="31" t="inlineStr">
        <x:is>
          <x:t xml:space="preserve">ПЗ-00206</x:t>
        </x:is>
      </x:c>
      <x:c r="C1725" s="31" t="inlineStr">
        <x:is>
          <x:t xml:space="preserve">ЗК-1099</x:t>
        </x:is>
      </x:c>
      <x:c r="D1725" s="31" t="inlineStr">
        <x:is>
          <x:t xml:space="preserve">ПОЗ-0099-2</x:t>
        </x:is>
      </x:c>
      <x:c r="E1725" s="31" t="inlineStr">
        <x:is>
          <x:t xml:space="preserve">ИЗД-044</x:t>
        </x:is>
      </x:c>
      <x:c r="F1725" s="31" t="n">
        <x:v>10</x:v>
      </x:c>
      <x:c r="G1725" s="31" t="inlineStr">
        <x:is>
          <x:t xml:space="preserve">КД</x:t>
        </x:is>
      </x:c>
      <x:c r="H1725" s="31" t="inlineStr">
        <x:is>
          <x:t xml:space="preserve">Инженерный отдел</x:t>
        </x:is>
      </x:c>
      <x:c r="I1725" s="31" t="n"/>
      <x:c r="J1725" s="31" t="inlineStr">
        <x:is>
          <x:t xml:space="preserve">СОТР-011</x:t>
        </x:is>
      </x:c>
      <x:c r="K1725" s="31" t="n">
        <x:v>137</x:v>
      </x:c>
      <x:c r="L1725" s="31" t="n">
        <x:v>167.9</x:v>
      </x:c>
      <x:c r="M1725" s="31" t="n">
        <x:v>46144</x:v>
      </x:c>
      <x:c r="N1725" s="31" t="n">
        <x:v>46156</x:v>
      </x:c>
      <x:c r="O1725" s="31" t="n">
        <x:v>46144</x:v>
      </x:c>
      <x:c r="P1725" s="31" t="n">
        <x:v>46155</x:v>
      </x:c>
      <x:c r="Q1725" s="31" t="inlineStr">
        <x:is>
          <x:t xml:space="preserve">Завершено</x:t>
        </x:is>
      </x:c>
      <x:c r="R1725" s="31" t="inlineStr">
        <x:is>
          <x:t xml:space="preserve">Нет</x:t>
        </x:is>
      </x:c>
      <x:c r="S1725" s="31" t="inlineStr">
        <x:is>
          <x:t xml:space="preserve">Нет</x:t>
        </x:is>
      </x:c>
    </x:row>
    <x:row r="1726">
      <x:c r="A1726" s="31" t="inlineStr">
        <x:is>
          <x:t xml:space="preserve">ОП-001725</x:t>
        </x:is>
      </x:c>
      <x:c r="B1726" s="31" t="inlineStr">
        <x:is>
          <x:t xml:space="preserve">ПЗ-00206</x:t>
        </x:is>
      </x:c>
      <x:c r="C1726" s="31" t="inlineStr">
        <x:is>
          <x:t xml:space="preserve">ЗК-1099</x:t>
        </x:is>
      </x:c>
      <x:c r="D1726" s="31" t="inlineStr">
        <x:is>
          <x:t xml:space="preserve">ПОЗ-0099-2</x:t>
        </x:is>
      </x:c>
      <x:c r="E1726" s="31" t="inlineStr">
        <x:is>
          <x:t xml:space="preserve">ИЗД-044</x:t>
        </x:is>
      </x:c>
      <x:c r="F1726" s="31" t="n">
        <x:v>20</x:v>
      </x:c>
      <x:c r="G1726" s="31" t="inlineStr">
        <x:is>
          <x:t xml:space="preserve">Резерв материалов</x:t>
        </x:is>
      </x:c>
      <x:c r="H1726" s="31" t="inlineStr">
        <x:is>
          <x:t xml:space="preserve">Склад</x:t>
        </x:is>
      </x:c>
      <x:c r="I1726" s="31" t="inlineStr">
        <x:is>
          <x:t xml:space="preserve">ОБ-023</x:t>
        </x:is>
      </x:c>
      <x:c r="J1726" s="31" t="inlineStr">
        <x:is>
          <x:t xml:space="preserve">СОТР-033</x:t>
        </x:is>
      </x:c>
      <x:c r="K1726" s="31" t="n">
        <x:v>20.5</x:v>
      </x:c>
      <x:c r="L1726" s="31" t="n">
        <x:v>20.2</x:v>
      </x:c>
      <x:c r="M1726" s="31" t="n">
        <x:v>46156</x:v>
      </x:c>
      <x:c r="N1726" s="31" t="n">
        <x:v>46158</x:v>
      </x:c>
      <x:c r="O1726" s="31" t="n">
        <x:v>46156</x:v>
      </x:c>
      <x:c r="P1726" s="31" t="n">
        <x:v>46158</x:v>
      </x:c>
      <x:c r="Q1726" s="31" t="inlineStr">
        <x:is>
          <x:t xml:space="preserve">Завершено</x:t>
        </x:is>
      </x:c>
      <x:c r="R1726" s="31" t="inlineStr">
        <x:is>
          <x:t xml:space="preserve">Нет</x:t>
        </x:is>
      </x:c>
      <x:c r="S1726" s="31" t="inlineStr">
        <x:is>
          <x:t xml:space="preserve">Нет</x:t>
        </x:is>
      </x:c>
    </x:row>
    <x:row r="1727">
      <x:c r="A1727" s="31" t="inlineStr">
        <x:is>
          <x:t xml:space="preserve">ОП-001726</x:t>
        </x:is>
      </x:c>
      <x:c r="B1727" s="31" t="inlineStr">
        <x:is>
          <x:t xml:space="preserve">ПЗ-00206</x:t>
        </x:is>
      </x:c>
      <x:c r="C1727" s="31" t="inlineStr">
        <x:is>
          <x:t xml:space="preserve">ЗК-1099</x:t>
        </x:is>
      </x:c>
      <x:c r="D1727" s="31" t="inlineStr">
        <x:is>
          <x:t xml:space="preserve">ПОЗ-0099-2</x:t>
        </x:is>
      </x:c>
      <x:c r="E1727" s="31" t="inlineStr">
        <x:is>
          <x:t xml:space="preserve">ИЗД-044</x:t>
        </x:is>
      </x:c>
      <x:c r="F1727" s="31" t="n">
        <x:v>30</x:v>
      </x:c>
      <x:c r="G1727" s="31" t="inlineStr">
        <x:is>
          <x:t xml:space="preserve">Сварка рамы</x:t>
        </x:is>
      </x:c>
      <x:c r="H1727" s="31" t="inlineStr">
        <x:is>
          <x:t xml:space="preserve">Сварка</x:t>
        </x:is>
      </x:c>
      <x:c r="I1727" s="31" t="inlineStr">
        <x:is>
          <x:t xml:space="preserve">ОБ-004</x:t>
        </x:is>
      </x:c>
      <x:c r="J1727" s="31" t="inlineStr">
        <x:is>
          <x:t xml:space="preserve">СОТР-062</x:t>
        </x:is>
      </x:c>
      <x:c r="K1727" s="31" t="n">
        <x:v>35.5</x:v>
      </x:c>
      <x:c r="L1727" s="31" t="n">
        <x:v>38</x:v>
      </x:c>
      <x:c r="M1727" s="31" t="n">
        <x:v>46158</x:v>
      </x:c>
      <x:c r="N1727" s="31" t="n">
        <x:v>46161</x:v>
      </x:c>
      <x:c r="O1727" s="31" t="n">
        <x:v>46158</x:v>
      </x:c>
      <x:c r="P1727" s="31" t="n">
        <x:v>46160</x:v>
      </x:c>
      <x:c r="Q1727" s="31" t="inlineStr">
        <x:is>
          <x:t xml:space="preserve">Завершено</x:t>
        </x:is>
      </x:c>
      <x:c r="R1727" s="31" t="inlineStr">
        <x:is>
          <x:t xml:space="preserve">Нет</x:t>
        </x:is>
      </x:c>
      <x:c r="S1727" s="31" t="inlineStr">
        <x:is>
          <x:t xml:space="preserve">Нет</x:t>
        </x:is>
      </x:c>
    </x:row>
    <x:row r="1728">
      <x:c r="A1728" s="31" t="inlineStr">
        <x:is>
          <x:t xml:space="preserve">ОП-001727</x:t>
        </x:is>
      </x:c>
      <x:c r="B1728" s="31" t="inlineStr">
        <x:is>
          <x:t xml:space="preserve">ПЗ-00206</x:t>
        </x:is>
      </x:c>
      <x:c r="C1728" s="31" t="inlineStr">
        <x:is>
          <x:t xml:space="preserve">ЗК-1099</x:t>
        </x:is>
      </x:c>
      <x:c r="D1728" s="31" t="inlineStr">
        <x:is>
          <x:t xml:space="preserve">ПОЗ-0099-2</x:t>
        </x:is>
      </x:c>
      <x:c r="E1728" s="31" t="inlineStr">
        <x:is>
          <x:t xml:space="preserve">ИЗД-044</x:t>
        </x:is>
      </x:c>
      <x:c r="F1728" s="31" t="n">
        <x:v>40</x:v>
      </x:c>
      <x:c r="G1728" s="31" t="inlineStr">
        <x:is>
          <x:t xml:space="preserve">Сборка</x:t>
        </x:is>
      </x:c>
      <x:c r="H1728" s="31" t="inlineStr">
        <x:is>
          <x:t xml:space="preserve">Сборка</x:t>
        </x:is>
      </x:c>
      <x:c r="I1728" s="31" t="inlineStr">
        <x:is>
          <x:t xml:space="preserve">ОБ-027</x:t>
        </x:is>
      </x:c>
      <x:c r="J1728" s="31" t="inlineStr">
        <x:is>
          <x:t xml:space="preserve">СОТР-032</x:t>
        </x:is>
      </x:c>
      <x:c r="K1728" s="31" t="n">
        <x:v>104</x:v>
      </x:c>
      <x:c r="L1728" s="31" t="n">
        <x:v>121</x:v>
      </x:c>
      <x:c r="M1728" s="31" t="n">
        <x:v>46161</x:v>
      </x:c>
      <x:c r="N1728" s="31" t="n">
        <x:v>46170</x:v>
      </x:c>
      <x:c r="O1728" s="31" t="n">
        <x:v>46161</x:v>
      </x:c>
      <x:c r="P1728" s="31" t="n">
        <x:v>46172</x:v>
      </x:c>
      <x:c r="Q1728" s="31" t="inlineStr">
        <x:is>
          <x:t xml:space="preserve">Завершено</x:t>
        </x:is>
      </x:c>
      <x:c r="R1728" s="31" t="inlineStr">
        <x:is>
          <x:t xml:space="preserve">Нет</x:t>
        </x:is>
      </x:c>
      <x:c r="S1728" s="31" t="inlineStr">
        <x:is>
          <x:t xml:space="preserve">Нет</x:t>
        </x:is>
      </x:c>
    </x:row>
    <x:row r="1729">
      <x:c r="A1729" s="31" t="inlineStr">
        <x:is>
          <x:t xml:space="preserve">ОП-001728</x:t>
        </x:is>
      </x:c>
      <x:c r="B1729" s="31" t="inlineStr">
        <x:is>
          <x:t xml:space="preserve">ПЗ-00206</x:t>
        </x:is>
      </x:c>
      <x:c r="C1729" s="31" t="inlineStr">
        <x:is>
          <x:t xml:space="preserve">ЗК-1099</x:t>
        </x:is>
      </x:c>
      <x:c r="D1729" s="31" t="inlineStr">
        <x:is>
          <x:t xml:space="preserve">ПОЗ-0099-2</x:t>
        </x:is>
      </x:c>
      <x:c r="E1729" s="31" t="inlineStr">
        <x:is>
          <x:t xml:space="preserve">ИЗД-044</x:t>
        </x:is>
      </x:c>
      <x:c r="F1729" s="31" t="n">
        <x:v>50</x:v>
      </x:c>
      <x:c r="G1729" s="31" t="inlineStr">
        <x:is>
          <x:t xml:space="preserve">Обвязка труб</x:t>
        </x:is>
      </x:c>
      <x:c r="H1729" s="31" t="inlineStr">
        <x:is>
          <x:t xml:space="preserve">Сборка</x:t>
        </x:is>
      </x:c>
      <x:c r="I1729" s="31" t="inlineStr">
        <x:is>
          <x:t xml:space="preserve">ОБ-002</x:t>
        </x:is>
      </x:c>
      <x:c r="J1729" s="31" t="inlineStr">
        <x:is>
          <x:t xml:space="preserve">СОТР-078</x:t>
        </x:is>
      </x:c>
      <x:c r="K1729" s="31" t="n">
        <x:v>137.5</x:v>
      </x:c>
      <x:c r="L1729" s="31" t="n">
        <x:v>127.2</x:v>
      </x:c>
      <x:c r="M1729" s="31" t="n">
        <x:v>46170</x:v>
      </x:c>
      <x:c r="N1729" s="31" t="n">
        <x:v>46182</x:v>
      </x:c>
      <x:c r="O1729" s="31" t="n">
        <x:v>46170</x:v>
      </x:c>
      <x:c r="P1729" s="31" t="n">
        <x:v>46182</x:v>
      </x:c>
      <x:c r="Q1729" s="31" t="inlineStr">
        <x:is>
          <x:t xml:space="preserve">Завершено</x:t>
        </x:is>
      </x:c>
      <x:c r="R1729" s="31" t="inlineStr">
        <x:is>
          <x:t xml:space="preserve">Нет</x:t>
        </x:is>
      </x:c>
      <x:c r="S1729" s="31" t="inlineStr">
        <x:is>
          <x:t xml:space="preserve">Нет</x:t>
        </x:is>
      </x:c>
    </x:row>
    <x:row r="1730">
      <x:c r="A1730" s="31" t="inlineStr">
        <x:is>
          <x:t xml:space="preserve">ОП-001729</x:t>
        </x:is>
      </x:c>
      <x:c r="B1730" s="31" t="inlineStr">
        <x:is>
          <x:t xml:space="preserve">ПЗ-00206</x:t>
        </x:is>
      </x:c>
      <x:c r="C1730" s="31" t="inlineStr">
        <x:is>
          <x:t xml:space="preserve">ЗК-1099</x:t>
        </x:is>
      </x:c>
      <x:c r="D1730" s="31" t="inlineStr">
        <x:is>
          <x:t xml:space="preserve">ПОЗ-0099-2</x:t>
        </x:is>
      </x:c>
      <x:c r="E1730" s="31" t="inlineStr">
        <x:is>
          <x:t xml:space="preserve">ИЗД-044</x:t>
        </x:is>
      </x:c>
      <x:c r="F1730" s="31" t="n">
        <x:v>60</x:v>
      </x:c>
      <x:c r="G1730" s="31" t="inlineStr">
        <x:is>
          <x:t xml:space="preserve">Электромонтаж</x:t>
        </x:is>
      </x:c>
      <x:c r="H1730" s="31" t="inlineStr">
        <x:is>
          <x:t xml:space="preserve">Сборка</x:t>
        </x:is>
      </x:c>
      <x:c r="I1730" s="31" t="inlineStr">
        <x:is>
          <x:t xml:space="preserve">ОБ-012</x:t>
        </x:is>
      </x:c>
      <x:c r="J1730" s="31" t="inlineStr">
        <x:is>
          <x:t xml:space="preserve">СОТР-075</x:t>
        </x:is>
      </x:c>
      <x:c r="K1730" s="31" t="n">
        <x:v>83.5</x:v>
      </x:c>
      <x:c r="L1730" s="31" t="n">
        <x:v>84.5</x:v>
      </x:c>
      <x:c r="M1730" s="31" t="n">
        <x:v>46182</x:v>
      </x:c>
      <x:c r="N1730" s="31" t="n">
        <x:v>46189</x:v>
      </x:c>
      <x:c r="O1730" s="31" t="n">
        <x:v>46182</x:v>
      </x:c>
      <x:c r="P1730" s="31" t="n">
        <x:v>46188</x:v>
      </x:c>
      <x:c r="Q1730" s="31" t="inlineStr">
        <x:is>
          <x:t xml:space="preserve">Завершено</x:t>
        </x:is>
      </x:c>
      <x:c r="R1730" s="31" t="inlineStr">
        <x:is>
          <x:t xml:space="preserve">Материал</x:t>
        </x:is>
      </x:c>
      <x:c r="S1730" s="31" t="inlineStr">
        <x:is>
          <x:t xml:space="preserve">Нет</x:t>
        </x:is>
      </x:c>
    </x:row>
    <x:row r="1731">
      <x:c r="A1731" s="31" t="inlineStr">
        <x:is>
          <x:t xml:space="preserve">ОП-001730</x:t>
        </x:is>
      </x:c>
      <x:c r="B1731" s="31" t="inlineStr">
        <x:is>
          <x:t xml:space="preserve">ПЗ-00206</x:t>
        </x:is>
      </x:c>
      <x:c r="C1731" s="31" t="inlineStr">
        <x:is>
          <x:t xml:space="preserve">ЗК-1099</x:t>
        </x:is>
      </x:c>
      <x:c r="D1731" s="31" t="inlineStr">
        <x:is>
          <x:t xml:space="preserve">ПОЗ-0099-2</x:t>
        </x:is>
      </x:c>
      <x:c r="E1731" s="31" t="inlineStr">
        <x:is>
          <x:t xml:space="preserve">ИЗД-044</x:t>
        </x:is>
      </x:c>
      <x:c r="F1731" s="31" t="n">
        <x:v>70</x:v>
      </x:c>
      <x:c r="G1731" s="31" t="inlineStr">
        <x:is>
          <x:t xml:space="preserve">Гидроиспытания</x:t>
        </x:is>
      </x:c>
      <x:c r="H1731" s="31" t="inlineStr">
        <x:is>
          <x:t xml:space="preserve">ОТК</x:t>
        </x:is>
      </x:c>
      <x:c r="I1731" s="31" t="inlineStr">
        <x:is>
          <x:t xml:space="preserve">ОБ-001</x:t>
        </x:is>
      </x:c>
      <x:c r="J1731" s="31" t="inlineStr">
        <x:is>
          <x:t xml:space="preserve">СОТР-099</x:t>
        </x:is>
      </x:c>
      <x:c r="K1731" s="31" t="n">
        <x:v>109.5</x:v>
      </x:c>
      <x:c r="L1731" s="31" t="n">
        <x:v>88.8</x:v>
      </x:c>
      <x:c r="M1731" s="31" t="n">
        <x:v>46189</x:v>
      </x:c>
      <x:c r="N1731" s="31" t="n">
        <x:v>46199</x:v>
      </x:c>
      <x:c r="O1731" s="31" t="n">
        <x:v>46189</x:v>
      </x:c>
      <x:c r="P1731" s="31" t="n">
        <x:v>46199</x:v>
      </x:c>
      <x:c r="Q1731" s="31" t="inlineStr">
        <x:is>
          <x:t xml:space="preserve">Завершено</x:t>
        </x:is>
      </x:c>
      <x:c r="R1731" s="31" t="inlineStr">
        <x:is>
          <x:t xml:space="preserve">Нет</x:t>
        </x:is>
      </x:c>
      <x:c r="S1731" s="31" t="inlineStr">
        <x:is>
          <x:t xml:space="preserve">Нет</x:t>
        </x:is>
      </x:c>
    </x:row>
    <x:row r="1732">
      <x:c r="A1732" s="31" t="inlineStr">
        <x:is>
          <x:t xml:space="preserve">ОП-001731</x:t>
        </x:is>
      </x:c>
      <x:c r="B1732" s="31" t="inlineStr">
        <x:is>
          <x:t xml:space="preserve">ПЗ-00206</x:t>
        </x:is>
      </x:c>
      <x:c r="C1732" s="31" t="inlineStr">
        <x:is>
          <x:t xml:space="preserve">ЗК-1099</x:t>
        </x:is>
      </x:c>
      <x:c r="D1732" s="31" t="inlineStr">
        <x:is>
          <x:t xml:space="preserve">ПОЗ-0099-2</x:t>
        </x:is>
      </x:c>
      <x:c r="E1732" s="31" t="inlineStr">
        <x:is>
          <x:t xml:space="preserve">ИЗД-044</x:t>
        </x:is>
      </x:c>
      <x:c r="F1732" s="31" t="n">
        <x:v>80</x:v>
      </x:c>
      <x:c r="G1732" s="31" t="inlineStr">
        <x:is>
          <x:t xml:space="preserve">ОТК</x:t>
        </x:is>
      </x:c>
      <x:c r="H1732" s="31" t="inlineStr">
        <x:is>
          <x:t xml:space="preserve">ОТК</x:t>
        </x:is>
      </x:c>
      <x:c r="I1732" s="31" t="inlineStr">
        <x:is>
          <x:t xml:space="preserve">ОБ-013</x:t>
        </x:is>
      </x:c>
      <x:c r="J1732" s="31" t="inlineStr">
        <x:is>
          <x:t xml:space="preserve">СОТР-093</x:t>
        </x:is>
      </x:c>
      <x:c r="K1732" s="31" t="n">
        <x:v>127</x:v>
      </x:c>
      <x:c r="L1732" s="31" t="n">
        <x:v>147.1</x:v>
      </x:c>
      <x:c r="M1732" s="31" t="n">
        <x:v>46199</x:v>
      </x:c>
      <x:c r="N1732" s="31" t="n">
        <x:v>46210</x:v>
      </x:c>
      <x:c r="O1732" s="31" t="n">
        <x:v>46199</x:v>
      </x:c>
      <x:c r="P1732" s="31" t="n">
        <x:v>46212</x:v>
      </x:c>
      <x:c r="Q1732" s="31" t="inlineStr">
        <x:is>
          <x:t xml:space="preserve">Завершено</x:t>
        </x:is>
      </x:c>
      <x:c r="R1732" s="31" t="inlineStr">
        <x:is>
          <x:t xml:space="preserve">Нет</x:t>
        </x:is>
      </x:c>
      <x:c r="S1732" s="31" t="inlineStr">
        <x:is>
          <x:t xml:space="preserve">Нет</x:t>
        </x:is>
      </x:c>
    </x:row>
    <x:row r="1733">
      <x:c r="A1733" s="31" t="inlineStr">
        <x:is>
          <x:t xml:space="preserve">ОП-001732</x:t>
        </x:is>
      </x:c>
      <x:c r="B1733" s="31" t="inlineStr">
        <x:is>
          <x:t xml:space="preserve">ПЗ-00206</x:t>
        </x:is>
      </x:c>
      <x:c r="C1733" s="31" t="inlineStr">
        <x:is>
          <x:t xml:space="preserve">ЗК-1099</x:t>
        </x:is>
      </x:c>
      <x:c r="D1733" s="31" t="inlineStr">
        <x:is>
          <x:t xml:space="preserve">ПОЗ-0099-2</x:t>
        </x:is>
      </x:c>
      <x:c r="E1733" s="31" t="inlineStr">
        <x:is>
          <x:t xml:space="preserve">ИЗД-044</x:t>
        </x:is>
      </x:c>
      <x:c r="F1733" s="31" t="n">
        <x:v>90</x:v>
      </x:c>
      <x:c r="G1733" s="31" t="inlineStr">
        <x:is>
          <x:t xml:space="preserve">Упаковка</x:t>
        </x:is>
      </x:c>
      <x:c r="H1733" s="31" t="inlineStr">
        <x:is>
          <x:t xml:space="preserve">Логистика</x:t>
        </x:is>
      </x:c>
      <x:c r="I1733" s="31" t="n"/>
      <x:c r="J1733" s="31" t="inlineStr">
        <x:is>
          <x:t xml:space="preserve">СОТР-104</x:t>
        </x:is>
      </x:c>
      <x:c r="K1733" s="31" t="n">
        <x:v>56.5</x:v>
      </x:c>
      <x:c r="L1733" s="31" t="n">
        <x:v>52.6</x:v>
      </x:c>
      <x:c r="M1733" s="31" t="n">
        <x:v>46210</x:v>
      </x:c>
      <x:c r="N1733" s="31" t="n">
        <x:v>46215</x:v>
      </x:c>
      <x:c r="O1733" s="31" t="n">
        <x:v>46210</x:v>
      </x:c>
      <x:c r="P1733" s="31" t="n">
        <x:v>46216</x:v>
      </x:c>
      <x:c r="Q1733" s="31" t="inlineStr">
        <x:is>
          <x:t xml:space="preserve">Завершено</x:t>
        </x:is>
      </x:c>
      <x:c r="R1733" s="31" t="inlineStr">
        <x:is>
          <x:t xml:space="preserve">Ожидание ОТК</x:t>
        </x:is>
      </x:c>
      <x:c r="S1733" s="31" t="inlineStr">
        <x:is>
          <x:t xml:space="preserve">Нет</x:t>
        </x:is>
      </x:c>
    </x:row>
    <x:row r="1734">
      <x:c r="A1734" s="31" t="inlineStr">
        <x:is>
          <x:t xml:space="preserve">ОП-001733</x:t>
        </x:is>
      </x:c>
      <x:c r="B1734" s="31" t="inlineStr">
        <x:is>
          <x:t xml:space="preserve">ПЗ-00207</x:t>
        </x:is>
      </x:c>
      <x:c r="C1734" s="31" t="inlineStr">
        <x:is>
          <x:t xml:space="preserve">ЗК-1100</x:t>
        </x:is>
      </x:c>
      <x:c r="D1734" s="31" t="inlineStr">
        <x:is>
          <x:t xml:space="preserve">ПОЗ-0100-1</x:t>
        </x:is>
      </x:c>
      <x:c r="E1734" s="31" t="inlineStr">
        <x:is>
          <x:t xml:space="preserve">ИЗД-022</x:t>
        </x:is>
      </x:c>
      <x:c r="F1734" s="31" t="n">
        <x:v>10</x:v>
      </x:c>
      <x:c r="G1734" s="31" t="inlineStr">
        <x:is>
          <x:t xml:space="preserve">КД</x:t>
        </x:is>
      </x:c>
      <x:c r="H1734" s="31" t="inlineStr">
        <x:is>
          <x:t xml:space="preserve">Инженерный отдел</x:t>
        </x:is>
      </x:c>
      <x:c r="I1734" s="31" t="n"/>
      <x:c r="J1734" s="31" t="inlineStr">
        <x:is>
          <x:t xml:space="preserve">СОТР-016</x:t>
        </x:is>
      </x:c>
      <x:c r="K1734" s="31" t="n">
        <x:v>9.199999999999999</x:v>
      </x:c>
      <x:c r="L1734" s="31" t="n">
        <x:v>8.699999999999999</x:v>
      </x:c>
      <x:c r="M1734" s="31" t="n">
        <x:v>46089</x:v>
      </x:c>
      <x:c r="N1734" s="31" t="n">
        <x:v>46090</x:v>
      </x:c>
      <x:c r="O1734" s="31" t="n">
        <x:v>46089</x:v>
      </x:c>
      <x:c r="P1734" s="31" t="n">
        <x:v>46092</x:v>
      </x:c>
      <x:c r="Q1734" s="31" t="inlineStr">
        <x:is>
          <x:t xml:space="preserve">Завершено</x:t>
        </x:is>
      </x:c>
      <x:c r="R1734" s="31" t="inlineStr">
        <x:is>
          <x:t xml:space="preserve">Нет</x:t>
        </x:is>
      </x:c>
      <x:c r="S1734" s="31" t="inlineStr">
        <x:is>
          <x:t xml:space="preserve">Нет</x:t>
        </x:is>
      </x:c>
    </x:row>
    <x:row r="1735">
      <x:c r="A1735" s="31" t="inlineStr">
        <x:is>
          <x:t xml:space="preserve">ОП-001734</x:t>
        </x:is>
      </x:c>
      <x:c r="B1735" s="31" t="inlineStr">
        <x:is>
          <x:t xml:space="preserve">ПЗ-00207</x:t>
        </x:is>
      </x:c>
      <x:c r="C1735" s="31" t="inlineStr">
        <x:is>
          <x:t xml:space="preserve">ЗК-1100</x:t>
        </x:is>
      </x:c>
      <x:c r="D1735" s="31" t="inlineStr">
        <x:is>
          <x:t xml:space="preserve">ПОЗ-0100-1</x:t>
        </x:is>
      </x:c>
      <x:c r="E1735" s="31" t="inlineStr">
        <x:is>
          <x:t xml:space="preserve">ИЗД-022</x:t>
        </x:is>
      </x:c>
      <x:c r="F1735" s="31" t="n">
        <x:v>20</x:v>
      </x:c>
      <x:c r="G1735" s="31" t="inlineStr">
        <x:is>
          <x:t xml:space="preserve">Резерв материалов</x:t>
        </x:is>
      </x:c>
      <x:c r="H1735" s="31" t="inlineStr">
        <x:is>
          <x:t xml:space="preserve">Склад</x:t>
        </x:is>
      </x:c>
      <x:c r="I1735" s="31" t="inlineStr">
        <x:is>
          <x:t xml:space="preserve">ОБ-009</x:t>
        </x:is>
      </x:c>
      <x:c r="J1735" s="31" t="inlineStr">
        <x:is>
          <x:t xml:space="preserve">СОТР-039</x:t>
        </x:is>
      </x:c>
      <x:c r="K1735" s="31" t="n">
        <x:v>8</x:v>
      </x:c>
      <x:c r="L1735" s="31" t="n">
        <x:v>8</x:v>
      </x:c>
      <x:c r="M1735" s="31" t="n">
        <x:v>46090</x:v>
      </x:c>
      <x:c r="N1735" s="31" t="n">
        <x:v>46091</x:v>
      </x:c>
      <x:c r="O1735" s="31" t="n">
        <x:v>46090</x:v>
      </x:c>
      <x:c r="P1735" s="31" t="n">
        <x:v>46091</x:v>
      </x:c>
      <x:c r="Q1735" s="31" t="inlineStr">
        <x:is>
          <x:t xml:space="preserve">Завершено</x:t>
        </x:is>
      </x:c>
      <x:c r="R1735" s="31" t="inlineStr">
        <x:is>
          <x:t xml:space="preserve">Нет</x:t>
        </x:is>
      </x:c>
      <x:c r="S1735" s="31" t="inlineStr">
        <x:is>
          <x:t xml:space="preserve">Да</x:t>
        </x:is>
      </x:c>
    </x:row>
    <x:row r="1736">
      <x:c r="A1736" s="31" t="inlineStr">
        <x:is>
          <x:t xml:space="preserve">ОП-001735</x:t>
        </x:is>
      </x:c>
      <x:c r="B1736" s="31" t="inlineStr">
        <x:is>
          <x:t xml:space="preserve">ПЗ-00207</x:t>
        </x:is>
      </x:c>
      <x:c r="C1736" s="31" t="inlineStr">
        <x:is>
          <x:t xml:space="preserve">ЗК-1100</x:t>
        </x:is>
      </x:c>
      <x:c r="D1736" s="31" t="inlineStr">
        <x:is>
          <x:t xml:space="preserve">ПОЗ-0100-1</x:t>
        </x:is>
      </x:c>
      <x:c r="E1736" s="31" t="inlineStr">
        <x:is>
          <x:t xml:space="preserve">ИЗД-022</x:t>
        </x:is>
      </x:c>
      <x:c r="F1736" s="31" t="n">
        <x:v>30</x:v>
      </x:c>
      <x:c r="G1736" s="31" t="inlineStr">
        <x:is>
          <x:t xml:space="preserve">Сварка рамы</x:t>
        </x:is>
      </x:c>
      <x:c r="H1736" s="31" t="inlineStr">
        <x:is>
          <x:t xml:space="preserve">Сварка</x:t>
        </x:is>
      </x:c>
      <x:c r="I1736" s="31" t="inlineStr">
        <x:is>
          <x:t xml:space="preserve">ОБ-021</x:t>
        </x:is>
      </x:c>
      <x:c r="J1736" s="31" t="inlineStr">
        <x:is>
          <x:t xml:space="preserve">СОТР-059</x:t>
        </x:is>
      </x:c>
      <x:c r="K1736" s="31" t="n">
        <x:v>4</x:v>
      </x:c>
      <x:c r="L1736" s="31" t="n">
        <x:v>3.9</x:v>
      </x:c>
      <x:c r="M1736" s="31" t="n">
        <x:v>46091</x:v>
      </x:c>
      <x:c r="N1736" s="31" t="n">
        <x:v>46092</x:v>
      </x:c>
      <x:c r="O1736" s="31" t="n">
        <x:v>46091</x:v>
      </x:c>
      <x:c r="P1736" s="31" t="n">
        <x:v>46093</x:v>
      </x:c>
      <x:c r="Q1736" s="31" t="inlineStr">
        <x:is>
          <x:t xml:space="preserve">Завершено</x:t>
        </x:is>
      </x:c>
      <x:c r="R1736" s="31" t="inlineStr">
        <x:is>
          <x:t xml:space="preserve">Нет</x:t>
        </x:is>
      </x:c>
      <x:c r="S1736" s="31" t="inlineStr">
        <x:is>
          <x:t xml:space="preserve">Нет</x:t>
        </x:is>
      </x:c>
    </x:row>
    <x:row r="1737">
      <x:c r="A1737" s="31" t="inlineStr">
        <x:is>
          <x:t xml:space="preserve">ОП-001736</x:t>
        </x:is>
      </x:c>
      <x:c r="B1737" s="31" t="inlineStr">
        <x:is>
          <x:t xml:space="preserve">ПЗ-00207</x:t>
        </x:is>
      </x:c>
      <x:c r="C1737" s="31" t="inlineStr">
        <x:is>
          <x:t xml:space="preserve">ЗК-1100</x:t>
        </x:is>
      </x:c>
      <x:c r="D1737" s="31" t="inlineStr">
        <x:is>
          <x:t xml:space="preserve">ПОЗ-0100-1</x:t>
        </x:is>
      </x:c>
      <x:c r="E1737" s="31" t="inlineStr">
        <x:is>
          <x:t xml:space="preserve">ИЗД-022</x:t>
        </x:is>
      </x:c>
      <x:c r="F1737" s="31" t="n">
        <x:v>40</x:v>
      </x:c>
      <x:c r="G1737" s="31" t="inlineStr">
        <x:is>
          <x:t xml:space="preserve">Сборка</x:t>
        </x:is>
      </x:c>
      <x:c r="H1737" s="31" t="inlineStr">
        <x:is>
          <x:t xml:space="preserve">Сборка</x:t>
        </x:is>
      </x:c>
      <x:c r="I1737" s="31" t="inlineStr">
        <x:is>
          <x:t xml:space="preserve">ОБ-012</x:t>
        </x:is>
      </x:c>
      <x:c r="J1737" s="31" t="inlineStr">
        <x:is>
          <x:t xml:space="preserve">СОТР-087</x:t>
        </x:is>
      </x:c>
      <x:c r="K1737" s="31" t="n">
        <x:v>4</x:v>
      </x:c>
      <x:c r="L1737" s="31" t="n">
        <x:v>4</x:v>
      </x:c>
      <x:c r="M1737" s="31" t="n">
        <x:v>46092</x:v>
      </x:c>
      <x:c r="N1737" s="31" t="n">
        <x:v>46093</x:v>
      </x:c>
      <x:c r="O1737" s="31" t="n">
        <x:v>46092</x:v>
      </x:c>
      <x:c r="P1737" s="31" t="n">
        <x:v>46095</x:v>
      </x:c>
      <x:c r="Q1737" s="31" t="inlineStr">
        <x:is>
          <x:t xml:space="preserve">Завершено</x:t>
        </x:is>
      </x:c>
      <x:c r="R1737" s="31" t="inlineStr">
        <x:is>
          <x:t xml:space="preserve">Материал</x:t>
        </x:is>
      </x:c>
      <x:c r="S1737" s="31" t="inlineStr">
        <x:is>
          <x:t xml:space="preserve">Нет</x:t>
        </x:is>
      </x:c>
    </x:row>
    <x:row r="1738">
      <x:c r="A1738" s="31" t="inlineStr">
        <x:is>
          <x:t xml:space="preserve">ОП-001737</x:t>
        </x:is>
      </x:c>
      <x:c r="B1738" s="31" t="inlineStr">
        <x:is>
          <x:t xml:space="preserve">ПЗ-00207</x:t>
        </x:is>
      </x:c>
      <x:c r="C1738" s="31" t="inlineStr">
        <x:is>
          <x:t xml:space="preserve">ЗК-1100</x:t>
        </x:is>
      </x:c>
      <x:c r="D1738" s="31" t="inlineStr">
        <x:is>
          <x:t xml:space="preserve">ПОЗ-0100-1</x:t>
        </x:is>
      </x:c>
      <x:c r="E1738" s="31" t="inlineStr">
        <x:is>
          <x:t xml:space="preserve">ИЗД-022</x:t>
        </x:is>
      </x:c>
      <x:c r="F1738" s="31" t="n">
        <x:v>50</x:v>
      </x:c>
      <x:c r="G1738" s="31" t="inlineStr">
        <x:is>
          <x:t xml:space="preserve">Обвязка труб</x:t>
        </x:is>
      </x:c>
      <x:c r="H1738" s="31" t="inlineStr">
        <x:is>
          <x:t xml:space="preserve">Сборка</x:t>
        </x:is>
      </x:c>
      <x:c r="I1738" s="31" t="inlineStr">
        <x:is>
          <x:t xml:space="preserve">ОБ-034</x:t>
        </x:is>
      </x:c>
      <x:c r="J1738" s="31" t="inlineStr">
        <x:is>
          <x:t xml:space="preserve">СОТР-081</x:t>
        </x:is>
      </x:c>
      <x:c r="K1738" s="31" t="n">
        <x:v>7.9</x:v>
      </x:c>
      <x:c r="L1738" s="31" t="n">
        <x:v>9.699999999999999</x:v>
      </x:c>
      <x:c r="M1738" s="31" t="n">
        <x:v>46093</x:v>
      </x:c>
      <x:c r="N1738" s="31" t="n">
        <x:v>46094</x:v>
      </x:c>
      <x:c r="O1738" s="31" t="n">
        <x:v>46093</x:v>
      </x:c>
      <x:c r="P1738" s="31" t="n">
        <x:v>46094</x:v>
      </x:c>
      <x:c r="Q1738" s="31" t="inlineStr">
        <x:is>
          <x:t xml:space="preserve">Завершено</x:t>
        </x:is>
      </x:c>
      <x:c r="R1738" s="31" t="inlineStr">
        <x:is>
          <x:t xml:space="preserve">Нет</x:t>
        </x:is>
      </x:c>
      <x:c r="S1738" s="31" t="inlineStr">
        <x:is>
          <x:t xml:space="preserve">Да</x:t>
        </x:is>
      </x:c>
    </x:row>
    <x:row r="1739">
      <x:c r="A1739" s="31" t="inlineStr">
        <x:is>
          <x:t xml:space="preserve">ОП-001738</x:t>
        </x:is>
      </x:c>
      <x:c r="B1739" s="31" t="inlineStr">
        <x:is>
          <x:t xml:space="preserve">ПЗ-00207</x:t>
        </x:is>
      </x:c>
      <x:c r="C1739" s="31" t="inlineStr">
        <x:is>
          <x:t xml:space="preserve">ЗК-1100</x:t>
        </x:is>
      </x:c>
      <x:c r="D1739" s="31" t="inlineStr">
        <x:is>
          <x:t xml:space="preserve">ПОЗ-0100-1</x:t>
        </x:is>
      </x:c>
      <x:c r="E1739" s="31" t="inlineStr">
        <x:is>
          <x:t xml:space="preserve">ИЗД-022</x:t>
        </x:is>
      </x:c>
      <x:c r="F1739" s="31" t="n">
        <x:v>60</x:v>
      </x:c>
      <x:c r="G1739" s="31" t="inlineStr">
        <x:is>
          <x:t xml:space="preserve">Электромонтаж</x:t>
        </x:is>
      </x:c>
      <x:c r="H1739" s="31" t="inlineStr">
        <x:is>
          <x:t xml:space="preserve">Сборка</x:t>
        </x:is>
      </x:c>
      <x:c r="I1739" s="31" t="inlineStr">
        <x:is>
          <x:t xml:space="preserve">ОБ-016</x:t>
        </x:is>
      </x:c>
      <x:c r="J1739" s="31" t="inlineStr">
        <x:is>
          <x:t xml:space="preserve">СОТР-085</x:t>
        </x:is>
      </x:c>
      <x:c r="K1739" s="31" t="n">
        <x:v>7</x:v>
      </x:c>
      <x:c r="L1739" s="31" t="n">
        <x:v>8</x:v>
      </x:c>
      <x:c r="M1739" s="31" t="n">
        <x:v>46094</x:v>
      </x:c>
      <x:c r="N1739" s="31" t="n">
        <x:v>46095</x:v>
      </x:c>
      <x:c r="O1739" s="31" t="n">
        <x:v>46094</x:v>
      </x:c>
      <x:c r="P1739" s="31" t="n">
        <x:v>46097</x:v>
      </x:c>
      <x:c r="Q1739" s="31" t="inlineStr">
        <x:is>
          <x:t xml:space="preserve">Завершено</x:t>
        </x:is>
      </x:c>
      <x:c r="R1739" s="31" t="inlineStr">
        <x:is>
          <x:t xml:space="preserve">Материал</x:t>
        </x:is>
      </x:c>
      <x:c r="S1739" s="31" t="inlineStr">
        <x:is>
          <x:t xml:space="preserve">Нет</x:t>
        </x:is>
      </x:c>
    </x:row>
    <x:row r="1740">
      <x:c r="A1740" s="31" t="inlineStr">
        <x:is>
          <x:t xml:space="preserve">ОП-001739</x:t>
        </x:is>
      </x:c>
      <x:c r="B1740" s="31" t="inlineStr">
        <x:is>
          <x:t xml:space="preserve">ПЗ-00207</x:t>
        </x:is>
      </x:c>
      <x:c r="C1740" s="31" t="inlineStr">
        <x:is>
          <x:t xml:space="preserve">ЗК-1100</x:t>
        </x:is>
      </x:c>
      <x:c r="D1740" s="31" t="inlineStr">
        <x:is>
          <x:t xml:space="preserve">ПОЗ-0100-1</x:t>
        </x:is>
      </x:c>
      <x:c r="E1740" s="31" t="inlineStr">
        <x:is>
          <x:t xml:space="preserve">ИЗД-022</x:t>
        </x:is>
      </x:c>
      <x:c r="F1740" s="31" t="n">
        <x:v>70</x:v>
      </x:c>
      <x:c r="G1740" s="31" t="inlineStr">
        <x:is>
          <x:t xml:space="preserve">Гидроиспытания</x:t>
        </x:is>
      </x:c>
      <x:c r="H1740" s="31" t="inlineStr">
        <x:is>
          <x:t xml:space="preserve">ОТК</x:t>
        </x:is>
      </x:c>
      <x:c r="I1740" s="31" t="inlineStr">
        <x:is>
          <x:t xml:space="preserve">ОБ-013</x:t>
        </x:is>
      </x:c>
      <x:c r="J1740" s="31" t="inlineStr">
        <x:is>
          <x:t xml:space="preserve">СОТР-095</x:t>
        </x:is>
      </x:c>
      <x:c r="K1740" s="31" t="n">
        <x:v>4.1</x:v>
      </x:c>
      <x:c r="L1740" s="31" t="n">
        <x:v>5.5</x:v>
      </x:c>
      <x:c r="M1740" s="31" t="n">
        <x:v>46095</x:v>
      </x:c>
      <x:c r="N1740" s="31" t="n">
        <x:v>46096</x:v>
      </x:c>
      <x:c r="O1740" s="31" t="n">
        <x:v>46095</x:v>
      </x:c>
      <x:c r="P1740" s="31" t="n">
        <x:v>46098</x:v>
      </x:c>
      <x:c r="Q1740" s="31" t="inlineStr">
        <x:is>
          <x:t xml:space="preserve">Завершено</x:t>
        </x:is>
      </x:c>
      <x:c r="R1740" s="31" t="inlineStr">
        <x:is>
          <x:t xml:space="preserve">Материал</x:t>
        </x:is>
      </x:c>
      <x:c r="S1740" s="31" t="inlineStr">
        <x:is>
          <x:t xml:space="preserve">Нет</x:t>
        </x:is>
      </x:c>
    </x:row>
    <x:row r="1741">
      <x:c r="A1741" s="31" t="inlineStr">
        <x:is>
          <x:t xml:space="preserve">ОП-001740</x:t>
        </x:is>
      </x:c>
      <x:c r="B1741" s="31" t="inlineStr">
        <x:is>
          <x:t xml:space="preserve">ПЗ-00207</x:t>
        </x:is>
      </x:c>
      <x:c r="C1741" s="31" t="inlineStr">
        <x:is>
          <x:t xml:space="preserve">ЗК-1100</x:t>
        </x:is>
      </x:c>
      <x:c r="D1741" s="31" t="inlineStr">
        <x:is>
          <x:t xml:space="preserve">ПОЗ-0100-1</x:t>
        </x:is>
      </x:c>
      <x:c r="E1741" s="31" t="inlineStr">
        <x:is>
          <x:t xml:space="preserve">ИЗД-022</x:t>
        </x:is>
      </x:c>
      <x:c r="F1741" s="31" t="n">
        <x:v>80</x:v>
      </x:c>
      <x:c r="G1741" s="31" t="inlineStr">
        <x:is>
          <x:t xml:space="preserve">ОТК</x:t>
        </x:is>
      </x:c>
      <x:c r="H1741" s="31" t="inlineStr">
        <x:is>
          <x:t xml:space="preserve">ОТК</x:t>
        </x:is>
      </x:c>
      <x:c r="I1741" s="31" t="inlineStr">
        <x:is>
          <x:t xml:space="preserve">ОБ-032</x:t>
        </x:is>
      </x:c>
      <x:c r="J1741" s="31" t="inlineStr">
        <x:is>
          <x:t xml:space="preserve">СОТР-063</x:t>
        </x:is>
      </x:c>
      <x:c r="K1741" s="31" t="n">
        <x:v>10.8</x:v>
      </x:c>
      <x:c r="L1741" s="31" t="n"/>
      <x:c r="M1741" s="31" t="n">
        <x:v>46096</x:v>
      </x:c>
      <x:c r="N1741" s="31" t="n">
        <x:v>46097</x:v>
      </x:c>
      <x:c r="O1741" s="31" t="n">
        <x:v>46096</x:v>
      </x:c>
      <x:c r="P1741" s="31" t="n"/>
      <x:c r="Q1741" s="31" t="inlineStr">
        <x:is>
          <x:t xml:space="preserve">В работе</x:t>
        </x:is>
      </x:c>
      <x:c r="R1741" s="31" t="inlineStr">
        <x:is>
          <x:t xml:space="preserve">Материал</x:t>
        </x:is>
      </x:c>
      <x:c r="S1741" s="31" t="inlineStr">
        <x:is>
          <x:t xml:space="preserve">Нет</x:t>
        </x:is>
      </x:c>
    </x:row>
    <x:row r="1742">
      <x:c r="A1742" s="31" t="inlineStr">
        <x:is>
          <x:t xml:space="preserve">ОП-001741</x:t>
        </x:is>
      </x:c>
      <x:c r="B1742" s="31" t="inlineStr">
        <x:is>
          <x:t xml:space="preserve">ПЗ-00207</x:t>
        </x:is>
      </x:c>
      <x:c r="C1742" s="31" t="inlineStr">
        <x:is>
          <x:t xml:space="preserve">ЗК-1100</x:t>
        </x:is>
      </x:c>
      <x:c r="D1742" s="31" t="inlineStr">
        <x:is>
          <x:t xml:space="preserve">ПОЗ-0100-1</x:t>
        </x:is>
      </x:c>
      <x:c r="E1742" s="31" t="inlineStr">
        <x:is>
          <x:t xml:space="preserve">ИЗД-022</x:t>
        </x:is>
      </x:c>
      <x:c r="F1742" s="31" t="n">
        <x:v>90</x:v>
      </x:c>
      <x:c r="G1742" s="31" t="inlineStr">
        <x:is>
          <x:t xml:space="preserve">Упаковка</x:t>
        </x:is>
      </x:c>
      <x:c r="H1742" s="31" t="inlineStr">
        <x:is>
          <x:t xml:space="preserve">Логистика</x:t>
        </x:is>
      </x:c>
      <x:c r="I1742" s="31" t="n"/>
      <x:c r="J1742" s="31" t="inlineStr">
        <x:is>
          <x:t xml:space="preserve">СОТР-104</x:t>
        </x:is>
      </x:c>
      <x:c r="K1742" s="31" t="n">
        <x:v>6.2</x:v>
      </x:c>
      <x:c r="L1742" s="31" t="n"/>
      <x:c r="M1742" s="31" t="n">
        <x:v>46097</x:v>
      </x:c>
      <x:c r="N1742" s="31" t="n">
        <x:v>46098</x:v>
      </x:c>
      <x:c r="O1742" s="31" t="n"/>
      <x:c r="P1742" s="31" t="n"/>
      <x:c r="Q1742" s="31" t="inlineStr">
        <x:is>
          <x:t xml:space="preserve">Запланировано</x:t>
        </x:is>
      </x:c>
      <x:c r="R1742" s="31" t="inlineStr">
        <x:is>
          <x:t xml:space="preserve">Нет</x:t>
        </x:is>
      </x:c>
      <x:c r="S1742" s="31" t="inlineStr">
        <x:is>
          <x:t xml:space="preserve">Нет</x:t>
        </x:is>
      </x:c>
    </x:row>
    <x:row r="1743">
      <x:c r="A1743" s="31" t="inlineStr">
        <x:is>
          <x:t xml:space="preserve">ОП-001742</x:t>
        </x:is>
      </x:c>
      <x:c r="B1743" s="31" t="inlineStr">
        <x:is>
          <x:t xml:space="preserve">ПЗ-00208</x:t>
        </x:is>
      </x:c>
      <x:c r="C1743" s="31" t="inlineStr">
        <x:is>
          <x:t xml:space="preserve">ЗК-1100</x:t>
        </x:is>
      </x:c>
      <x:c r="D1743" s="31" t="inlineStr">
        <x:is>
          <x:t xml:space="preserve">ПОЗ-0100-2</x:t>
        </x:is>
      </x:c>
      <x:c r="E1743" s="31" t="inlineStr">
        <x:is>
          <x:t xml:space="preserve">ИЗД-012</x:t>
        </x:is>
      </x:c>
      <x:c r="F1743" s="31" t="n">
        <x:v>10</x:v>
      </x:c>
      <x:c r="G1743" s="31" t="inlineStr">
        <x:is>
          <x:t xml:space="preserve">КД</x:t>
        </x:is>
      </x:c>
      <x:c r="H1743" s="31" t="inlineStr">
        <x:is>
          <x:t xml:space="preserve">Инженерный отдел</x:t>
        </x:is>
      </x:c>
      <x:c r="I1743" s="31" t="n"/>
      <x:c r="J1743" s="31" t="inlineStr">
        <x:is>
          <x:t xml:space="preserve">СОТР-017</x:t>
        </x:is>
      </x:c>
      <x:c r="K1743" s="31" t="n">
        <x:v>11</x:v>
      </x:c>
      <x:c r="L1743" s="31" t="n">
        <x:v>11</x:v>
      </x:c>
      <x:c r="M1743" s="31" t="n">
        <x:v>46089</x:v>
      </x:c>
      <x:c r="N1743" s="31" t="n">
        <x:v>46090</x:v>
      </x:c>
      <x:c r="O1743" s="31" t="n">
        <x:v>46089</x:v>
      </x:c>
      <x:c r="P1743" s="31" t="n">
        <x:v>46089</x:v>
      </x:c>
      <x:c r="Q1743" s="31" t="inlineStr">
        <x:is>
          <x:t xml:space="preserve">Завершено</x:t>
        </x:is>
      </x:c>
      <x:c r="R1743" s="31" t="inlineStr">
        <x:is>
          <x:t xml:space="preserve">Нет</x:t>
        </x:is>
      </x:c>
      <x:c r="S1743" s="31" t="inlineStr">
        <x:is>
          <x:t xml:space="preserve">Нет</x:t>
        </x:is>
      </x:c>
    </x:row>
    <x:row r="1744">
      <x:c r="A1744" s="31" t="inlineStr">
        <x:is>
          <x:t xml:space="preserve">ОП-001743</x:t>
        </x:is>
      </x:c>
      <x:c r="B1744" s="31" t="inlineStr">
        <x:is>
          <x:t xml:space="preserve">ПЗ-00208</x:t>
        </x:is>
      </x:c>
      <x:c r="C1744" s="31" t="inlineStr">
        <x:is>
          <x:t xml:space="preserve">ЗК-1100</x:t>
        </x:is>
      </x:c>
      <x:c r="D1744" s="31" t="inlineStr">
        <x:is>
          <x:t xml:space="preserve">ПОЗ-0100-2</x:t>
        </x:is>
      </x:c>
      <x:c r="E1744" s="31" t="inlineStr">
        <x:is>
          <x:t xml:space="preserve">ИЗД-012</x:t>
        </x:is>
      </x:c>
      <x:c r="F1744" s="31" t="n">
        <x:v>20</x:v>
      </x:c>
      <x:c r="G1744" s="31" t="inlineStr">
        <x:is>
          <x:t xml:space="preserve">Резка труб</x:t>
        </x:is>
      </x:c>
      <x:c r="H1744" s="31" t="inlineStr">
        <x:is>
          <x:t xml:space="preserve">Сварка</x:t>
        </x:is>
      </x:c>
      <x:c r="I1744" s="31" t="inlineStr">
        <x:is>
          <x:t xml:space="preserve">ОБ-018</x:t>
        </x:is>
      </x:c>
      <x:c r="J1744" s="31" t="inlineStr">
        <x:is>
          <x:t xml:space="preserve">СОТР-061</x:t>
        </x:is>
      </x:c>
      <x:c r="K1744" s="31" t="n">
        <x:v>10.6</x:v>
      </x:c>
      <x:c r="L1744" s="31" t="n">
        <x:v>10.6</x:v>
      </x:c>
      <x:c r="M1744" s="31" t="n">
        <x:v>46090</x:v>
      </x:c>
      <x:c r="N1744" s="31" t="n">
        <x:v>46091</x:v>
      </x:c>
      <x:c r="O1744" s="31" t="n">
        <x:v>46090</x:v>
      </x:c>
      <x:c r="P1744" s="31" t="n">
        <x:v>46090</x:v>
      </x:c>
      <x:c r="Q1744" s="31" t="inlineStr">
        <x:is>
          <x:t xml:space="preserve">Завершено</x:t>
        </x:is>
      </x:c>
      <x:c r="R1744" s="31" t="inlineStr">
        <x:is>
          <x:t xml:space="preserve">Нет</x:t>
        </x:is>
      </x:c>
      <x:c r="S1744" s="31" t="inlineStr">
        <x:is>
          <x:t xml:space="preserve">Нет</x:t>
        </x:is>
      </x:c>
    </x:row>
    <x:row r="1745">
      <x:c r="A1745" s="31" t="inlineStr">
        <x:is>
          <x:t xml:space="preserve">ОП-001744</x:t>
        </x:is>
      </x:c>
      <x:c r="B1745" s="31" t="inlineStr">
        <x:is>
          <x:t xml:space="preserve">ПЗ-00208</x:t>
        </x:is>
      </x:c>
      <x:c r="C1745" s="31" t="inlineStr">
        <x:is>
          <x:t xml:space="preserve">ЗК-1100</x:t>
        </x:is>
      </x:c>
      <x:c r="D1745" s="31" t="inlineStr">
        <x:is>
          <x:t xml:space="preserve">ПОЗ-0100-2</x:t>
        </x:is>
      </x:c>
      <x:c r="E1745" s="31" t="inlineStr">
        <x:is>
          <x:t xml:space="preserve">ИЗД-012</x:t>
        </x:is>
      </x:c>
      <x:c r="F1745" s="31" t="n">
        <x:v>30</x:v>
      </x:c>
      <x:c r="G1745" s="31" t="inlineStr">
        <x:is>
          <x:t xml:space="preserve">Сварка</x:t>
        </x:is>
      </x:c>
      <x:c r="H1745" s="31" t="inlineStr">
        <x:is>
          <x:t xml:space="preserve">Сварка</x:t>
        </x:is>
      </x:c>
      <x:c r="I1745" s="31" t="inlineStr">
        <x:is>
          <x:t xml:space="preserve">ОБ-035</x:t>
        </x:is>
      </x:c>
      <x:c r="J1745" s="31" t="inlineStr">
        <x:is>
          <x:t xml:space="preserve">СОТР-065</x:t>
        </x:is>
      </x:c>
      <x:c r="K1745" s="31" t="n">
        <x:v>12</x:v>
      </x:c>
      <x:c r="L1745" s="31" t="n">
        <x:v>12.2</x:v>
      </x:c>
      <x:c r="M1745" s="31" t="n">
        <x:v>46091</x:v>
      </x:c>
      <x:c r="N1745" s="31" t="n">
        <x:v>46092</x:v>
      </x:c>
      <x:c r="O1745" s="31" t="n">
        <x:v>46091</x:v>
      </x:c>
      <x:c r="P1745" s="31" t="n">
        <x:v>46093</x:v>
      </x:c>
      <x:c r="Q1745" s="31" t="inlineStr">
        <x:is>
          <x:t xml:space="preserve">Завершено</x:t>
        </x:is>
      </x:c>
      <x:c r="R1745" s="31" t="inlineStr">
        <x:is>
          <x:t xml:space="preserve">Нет</x:t>
        </x:is>
      </x:c>
      <x:c r="S1745" s="31" t="inlineStr">
        <x:is>
          <x:t xml:space="preserve">Нет</x:t>
        </x:is>
      </x:c>
    </x:row>
    <x:row r="1746">
      <x:c r="A1746" s="31" t="inlineStr">
        <x:is>
          <x:t xml:space="preserve">ОП-001745</x:t>
        </x:is>
      </x:c>
      <x:c r="B1746" s="31" t="inlineStr">
        <x:is>
          <x:t xml:space="preserve">ПЗ-00208</x:t>
        </x:is>
      </x:c>
      <x:c r="C1746" s="31" t="inlineStr">
        <x:is>
          <x:t xml:space="preserve">ЗК-1100</x:t>
        </x:is>
      </x:c>
      <x:c r="D1746" s="31" t="inlineStr">
        <x:is>
          <x:t xml:space="preserve">ПОЗ-0100-2</x:t>
        </x:is>
      </x:c>
      <x:c r="E1746" s="31" t="inlineStr">
        <x:is>
          <x:t xml:space="preserve">ИЗД-012</x:t>
        </x:is>
      </x:c>
      <x:c r="F1746" s="31" t="n">
        <x:v>40</x:v>
      </x:c>
      <x:c r="G1746" s="31" t="inlineStr">
        <x:is>
          <x:t xml:space="preserve">НК сварных швов</x:t>
        </x:is>
      </x:c>
      <x:c r="H1746" s="31" t="inlineStr">
        <x:is>
          <x:t xml:space="preserve">ОТК</x:t>
        </x:is>
      </x:c>
      <x:c r="I1746" s="31" t="inlineStr">
        <x:is>
          <x:t xml:space="preserve">ОБ-022</x:t>
        </x:is>
      </x:c>
      <x:c r="J1746" s="31" t="inlineStr">
        <x:is>
          <x:t xml:space="preserve">СОТР-063</x:t>
        </x:is>
      </x:c>
      <x:c r="K1746" s="31" t="n">
        <x:v>8.6</x:v>
      </x:c>
      <x:c r="L1746" s="31" t="n">
        <x:v>7.8</x:v>
      </x:c>
      <x:c r="M1746" s="31" t="n">
        <x:v>46092</x:v>
      </x:c>
      <x:c r="N1746" s="31" t="n">
        <x:v>46093</x:v>
      </x:c>
      <x:c r="O1746" s="31" t="n">
        <x:v>46092</x:v>
      </x:c>
      <x:c r="P1746" s="31" t="n">
        <x:v>46095</x:v>
      </x:c>
      <x:c r="Q1746" s="31" t="inlineStr">
        <x:is>
          <x:t xml:space="preserve">Завершено</x:t>
        </x:is>
      </x:c>
      <x:c r="R1746" s="31" t="inlineStr">
        <x:is>
          <x:t xml:space="preserve">Нет</x:t>
        </x:is>
      </x:c>
      <x:c r="S1746" s="31" t="inlineStr">
        <x:is>
          <x:t xml:space="preserve">Да</x:t>
        </x:is>
      </x:c>
    </x:row>
    <x:row r="1747">
      <x:c r="A1747" s="31" t="inlineStr">
        <x:is>
          <x:t xml:space="preserve">ОП-001746</x:t>
        </x:is>
      </x:c>
      <x:c r="B1747" s="31" t="inlineStr">
        <x:is>
          <x:t xml:space="preserve">ПЗ-00208</x:t>
        </x:is>
      </x:c>
      <x:c r="C1747" s="31" t="inlineStr">
        <x:is>
          <x:t xml:space="preserve">ЗК-1100</x:t>
        </x:is>
      </x:c>
      <x:c r="D1747" s="31" t="inlineStr">
        <x:is>
          <x:t xml:space="preserve">ПОЗ-0100-2</x:t>
        </x:is>
      </x:c>
      <x:c r="E1747" s="31" t="inlineStr">
        <x:is>
          <x:t xml:space="preserve">ИЗД-012</x:t>
        </x:is>
      </x:c>
      <x:c r="F1747" s="31" t="n">
        <x:v>50</x:v>
      </x:c>
      <x:c r="G1747" s="31" t="inlineStr">
        <x:is>
          <x:t xml:space="preserve">Гидроиспытания</x:t>
        </x:is>
      </x:c>
      <x:c r="H1747" s="31" t="inlineStr">
        <x:is>
          <x:t xml:space="preserve">ОТК</x:t>
        </x:is>
      </x:c>
      <x:c r="I1747" s="31" t="inlineStr">
        <x:is>
          <x:t xml:space="preserve">ОБ-007</x:t>
        </x:is>
      </x:c>
      <x:c r="J1747" s="31" t="inlineStr">
        <x:is>
          <x:t xml:space="preserve">СОТР-095</x:t>
        </x:is>
      </x:c>
      <x:c r="K1747" s="31" t="n">
        <x:v>8.6</x:v>
      </x:c>
      <x:c r="L1747" s="31" t="n">
        <x:v>10.2</x:v>
      </x:c>
      <x:c r="M1747" s="31" t="n">
        <x:v>46093</x:v>
      </x:c>
      <x:c r="N1747" s="31" t="n">
        <x:v>46094</x:v>
      </x:c>
      <x:c r="O1747" s="31" t="n">
        <x:v>46093</x:v>
      </x:c>
      <x:c r="P1747" s="31" t="n">
        <x:v>46093</x:v>
      </x:c>
      <x:c r="Q1747" s="31" t="inlineStr">
        <x:is>
          <x:t xml:space="preserve">Завершено</x:t>
        </x:is>
      </x:c>
      <x:c r="R1747" s="31" t="inlineStr">
        <x:is>
          <x:t xml:space="preserve">Нет</x:t>
        </x:is>
      </x:c>
      <x:c r="S1747" s="31" t="inlineStr">
        <x:is>
          <x:t xml:space="preserve">Да</x:t>
        </x:is>
      </x:c>
    </x:row>
    <x:row r="1748">
      <x:c r="A1748" s="31" t="inlineStr">
        <x:is>
          <x:t xml:space="preserve">ОП-001747</x:t>
        </x:is>
      </x:c>
      <x:c r="B1748" s="31" t="inlineStr">
        <x:is>
          <x:t xml:space="preserve">ПЗ-00208</x:t>
        </x:is>
      </x:c>
      <x:c r="C1748" s="31" t="inlineStr">
        <x:is>
          <x:t xml:space="preserve">ЗК-1100</x:t>
        </x:is>
      </x:c>
      <x:c r="D1748" s="31" t="inlineStr">
        <x:is>
          <x:t xml:space="preserve">ПОЗ-0100-2</x:t>
        </x:is>
      </x:c>
      <x:c r="E1748" s="31" t="inlineStr">
        <x:is>
          <x:t xml:space="preserve">ИЗД-012</x:t>
        </x:is>
      </x:c>
      <x:c r="F1748" s="31" t="n">
        <x:v>60</x:v>
      </x:c>
      <x:c r="G1748" s="31" t="inlineStr">
        <x:is>
          <x:t xml:space="preserve">Покраска</x:t>
        </x:is>
      </x:c>
      <x:c r="H1748" s="31" t="inlineStr">
        <x:is>
          <x:t xml:space="preserve">Сварка</x:t>
        </x:is>
      </x:c>
      <x:c r="I1748" s="31" t="inlineStr">
        <x:is>
          <x:t xml:space="preserve">ОБ-003</x:t>
        </x:is>
      </x:c>
      <x:c r="J1748" s="31" t="inlineStr">
        <x:is>
          <x:t xml:space="preserve">СОТР-064</x:t>
        </x:is>
      </x:c>
      <x:c r="K1748" s="31" t="n">
        <x:v>13.2</x:v>
      </x:c>
      <x:c r="L1748" s="31" t="n">
        <x:v>16.7</x:v>
      </x:c>
      <x:c r="M1748" s="31" t="n">
        <x:v>46094</x:v>
      </x:c>
      <x:c r="N1748" s="31" t="n">
        <x:v>46096</x:v>
      </x:c>
      <x:c r="O1748" s="31" t="n">
        <x:v>46094</x:v>
      </x:c>
      <x:c r="P1748" s="31" t="n">
        <x:v>46096</x:v>
      </x:c>
      <x:c r="Q1748" s="31" t="inlineStr">
        <x:is>
          <x:t xml:space="preserve">Завершено</x:t>
        </x:is>
      </x:c>
      <x:c r="R1748" s="31" t="inlineStr">
        <x:is>
          <x:t xml:space="preserve">Нет</x:t>
        </x:is>
      </x:c>
      <x:c r="S1748" s="31" t="inlineStr">
        <x:is>
          <x:t xml:space="preserve">Нет</x:t>
        </x:is>
      </x:c>
    </x:row>
    <x:row r="1749">
      <x:c r="A1749" s="31" t="inlineStr">
        <x:is>
          <x:t xml:space="preserve">ОП-001748</x:t>
        </x:is>
      </x:c>
      <x:c r="B1749" s="31" t="inlineStr">
        <x:is>
          <x:t xml:space="preserve">ПЗ-00208</x:t>
        </x:is>
      </x:c>
      <x:c r="C1749" s="31" t="inlineStr">
        <x:is>
          <x:t xml:space="preserve">ЗК-1100</x:t>
        </x:is>
      </x:c>
      <x:c r="D1749" s="31" t="inlineStr">
        <x:is>
          <x:t xml:space="preserve">ПОЗ-0100-2</x:t>
        </x:is>
      </x:c>
      <x:c r="E1749" s="31" t="inlineStr">
        <x:is>
          <x:t xml:space="preserve">ИЗД-012</x:t>
        </x:is>
      </x:c>
      <x:c r="F1749" s="31" t="n">
        <x:v>70</x:v>
      </x:c>
      <x:c r="G1749" s="31" t="inlineStr">
        <x:is>
          <x:t xml:space="preserve">ОТК</x:t>
        </x:is>
      </x:c>
      <x:c r="H1749" s="31" t="inlineStr">
        <x:is>
          <x:t xml:space="preserve">ОТК</x:t>
        </x:is>
      </x:c>
      <x:c r="I1749" s="31" t="inlineStr">
        <x:is>
          <x:t xml:space="preserve">ОБ-013</x:t>
        </x:is>
      </x:c>
      <x:c r="J1749" s="31" t="inlineStr">
        <x:is>
          <x:t xml:space="preserve">СОТР-097</x:t>
        </x:is>
      </x:c>
      <x:c r="K1749" s="31" t="n">
        <x:v>4.8</x:v>
      </x:c>
      <x:c r="L1749" s="31" t="n">
        <x:v>4.5</x:v>
      </x:c>
      <x:c r="M1749" s="31" t="n">
        <x:v>46096</x:v>
      </x:c>
      <x:c r="N1749" s="31" t="n">
        <x:v>46097</x:v>
      </x:c>
      <x:c r="O1749" s="31" t="n">
        <x:v>46096</x:v>
      </x:c>
      <x:c r="P1749" s="31" t="n">
        <x:v>46096</x:v>
      </x:c>
      <x:c r="Q1749" s="31" t="inlineStr">
        <x:is>
          <x:t xml:space="preserve">Завершено</x:t>
        </x:is>
      </x:c>
      <x:c r="R1749" s="31" t="inlineStr">
        <x:is>
          <x:t xml:space="preserve">Оборудование</x:t>
        </x:is>
      </x:c>
      <x:c r="S1749" s="31" t="inlineStr">
        <x:is>
          <x:t xml:space="preserve">Нет</x:t>
        </x:is>
      </x:c>
    </x:row>
    <x:row r="1750">
      <x:c r="A1750" s="31" t="inlineStr">
        <x:is>
          <x:t xml:space="preserve">ОП-001749</x:t>
        </x:is>
      </x:c>
      <x:c r="B1750" s="31" t="inlineStr">
        <x:is>
          <x:t xml:space="preserve">ПЗ-00209</x:t>
        </x:is>
      </x:c>
      <x:c r="C1750" s="31" t="inlineStr">
        <x:is>
          <x:t xml:space="preserve">ЗК-1101</x:t>
        </x:is>
      </x:c>
      <x:c r="D1750" s="31" t="inlineStr">
        <x:is>
          <x:t xml:space="preserve">ПОЗ-0101-1</x:t>
        </x:is>
      </x:c>
      <x:c r="E1750" s="31" t="inlineStr">
        <x:is>
          <x:t xml:space="preserve">ИЗД-041</x:t>
        </x:is>
      </x:c>
      <x:c r="F1750" s="31" t="n">
        <x:v>10</x:v>
      </x:c>
      <x:c r="G1750" s="31" t="inlineStr">
        <x:is>
          <x:t xml:space="preserve">КД</x:t>
        </x:is>
      </x:c>
      <x:c r="H1750" s="31" t="inlineStr">
        <x:is>
          <x:t xml:space="preserve">Инженерный отдел</x:t>
        </x:is>
      </x:c>
      <x:c r="I1750" s="31" t="n"/>
      <x:c r="J1750" s="31" t="inlineStr">
        <x:is>
          <x:t xml:space="preserve">СОТР-013</x:t>
        </x:is>
      </x:c>
      <x:c r="K1750" s="31" t="n">
        <x:v>30</x:v>
      </x:c>
      <x:c r="L1750" s="31" t="n">
        <x:v>27.5</x:v>
      </x:c>
      <x:c r="M1750" s="31" t="n">
        <x:v>46180</x:v>
      </x:c>
      <x:c r="N1750" s="31" t="n">
        <x:v>46183</x:v>
      </x:c>
      <x:c r="O1750" s="31" t="n">
        <x:v>46180</x:v>
      </x:c>
      <x:c r="P1750" s="31" t="n">
        <x:v>46184</x:v>
      </x:c>
      <x:c r="Q1750" s="31" t="inlineStr">
        <x:is>
          <x:t xml:space="preserve">Завершено</x:t>
        </x:is>
      </x:c>
      <x:c r="R1750" s="31" t="inlineStr">
        <x:is>
          <x:t xml:space="preserve">Нет</x:t>
        </x:is>
      </x:c>
      <x:c r="S1750" s="31" t="inlineStr">
        <x:is>
          <x:t xml:space="preserve">Нет</x:t>
        </x:is>
      </x:c>
    </x:row>
    <x:row r="1751">
      <x:c r="A1751" s="31" t="inlineStr">
        <x:is>
          <x:t xml:space="preserve">ОП-001750</x:t>
        </x:is>
      </x:c>
      <x:c r="B1751" s="31" t="inlineStr">
        <x:is>
          <x:t xml:space="preserve">ПЗ-00209</x:t>
        </x:is>
      </x:c>
      <x:c r="C1751" s="31" t="inlineStr">
        <x:is>
          <x:t xml:space="preserve">ЗК-1101</x:t>
        </x:is>
      </x:c>
      <x:c r="D1751" s="31" t="inlineStr">
        <x:is>
          <x:t xml:space="preserve">ПОЗ-0101-1</x:t>
        </x:is>
      </x:c>
      <x:c r="E1751" s="31" t="inlineStr">
        <x:is>
          <x:t xml:space="preserve">ИЗД-041</x:t>
        </x:is>
      </x:c>
      <x:c r="F1751" s="31" t="n">
        <x:v>20</x:v>
      </x:c>
      <x:c r="G1751" s="31" t="inlineStr">
        <x:is>
          <x:t xml:space="preserve">Резка металла</x:t>
        </x:is>
      </x:c>
      <x:c r="H1751" s="31" t="inlineStr">
        <x:is>
          <x:t xml:space="preserve">Сварка</x:t>
        </x:is>
      </x:c>
      <x:c r="I1751" s="31" t="inlineStr">
        <x:is>
          <x:t xml:space="preserve">ОБ-003</x:t>
        </x:is>
      </x:c>
      <x:c r="J1751" s="31" t="inlineStr">
        <x:is>
          <x:t xml:space="preserve">СОТР-072</x:t>
        </x:is>
      </x:c>
      <x:c r="K1751" s="31" t="n">
        <x:v>4.4</x:v>
      </x:c>
      <x:c r="L1751" s="31" t="n">
        <x:v>5</x:v>
      </x:c>
      <x:c r="M1751" s="31" t="n">
        <x:v>46183</x:v>
      </x:c>
      <x:c r="N1751" s="31" t="n">
        <x:v>46184</x:v>
      </x:c>
      <x:c r="O1751" s="31" t="n">
        <x:v>46183</x:v>
      </x:c>
      <x:c r="P1751" s="31" t="n">
        <x:v>46186</x:v>
      </x:c>
      <x:c r="Q1751" s="31" t="inlineStr">
        <x:is>
          <x:t xml:space="preserve">Завершено</x:t>
        </x:is>
      </x:c>
      <x:c r="R1751" s="31" t="inlineStr">
        <x:is>
          <x:t xml:space="preserve">Нет</x:t>
        </x:is>
      </x:c>
      <x:c r="S1751" s="31" t="inlineStr">
        <x:is>
          <x:t xml:space="preserve">Нет</x:t>
        </x:is>
      </x:c>
    </x:row>
    <x:row r="1752">
      <x:c r="A1752" s="31" t="inlineStr">
        <x:is>
          <x:t xml:space="preserve">ОП-001751</x:t>
        </x:is>
      </x:c>
      <x:c r="B1752" s="31" t="inlineStr">
        <x:is>
          <x:t xml:space="preserve">ПЗ-00209</x:t>
        </x:is>
      </x:c>
      <x:c r="C1752" s="31" t="inlineStr">
        <x:is>
          <x:t xml:space="preserve">ЗК-1101</x:t>
        </x:is>
      </x:c>
      <x:c r="D1752" s="31" t="inlineStr">
        <x:is>
          <x:t xml:space="preserve">ПОЗ-0101-1</x:t>
        </x:is>
      </x:c>
      <x:c r="E1752" s="31" t="inlineStr">
        <x:is>
          <x:t xml:space="preserve">ИЗД-041</x:t>
        </x:is>
      </x:c>
      <x:c r="F1752" s="31" t="n">
        <x:v>30</x:v>
      </x:c>
      <x:c r="G1752" s="31" t="inlineStr">
        <x:is>
          <x:t xml:space="preserve">Сварка рамы</x:t>
        </x:is>
      </x:c>
      <x:c r="H1752" s="31" t="inlineStr">
        <x:is>
          <x:t xml:space="preserve">Сварка</x:t>
        </x:is>
      </x:c>
      <x:c r="I1752" s="31" t="inlineStr">
        <x:is>
          <x:t xml:space="preserve">ОБ-003</x:t>
        </x:is>
      </x:c>
      <x:c r="J1752" s="31" t="inlineStr">
        <x:is>
          <x:t xml:space="preserve">СОТР-067</x:t>
        </x:is>
      </x:c>
      <x:c r="K1752" s="31" t="n">
        <x:v>38</x:v>
      </x:c>
      <x:c r="L1752" s="31" t="n">
        <x:v>47.6</x:v>
      </x:c>
      <x:c r="M1752" s="31" t="n">
        <x:v>46184</x:v>
      </x:c>
      <x:c r="N1752" s="31" t="n">
        <x:v>46188</x:v>
      </x:c>
      <x:c r="O1752" s="31" t="n">
        <x:v>46184</x:v>
      </x:c>
      <x:c r="P1752" s="31" t="n">
        <x:v>46188</x:v>
      </x:c>
      <x:c r="Q1752" s="31" t="inlineStr">
        <x:is>
          <x:t xml:space="preserve">Завершено</x:t>
        </x:is>
      </x:c>
      <x:c r="R1752" s="31" t="inlineStr">
        <x:is>
          <x:t xml:space="preserve">Нет</x:t>
        </x:is>
      </x:c>
      <x:c r="S1752" s="31" t="inlineStr">
        <x:is>
          <x:t xml:space="preserve">Нет</x:t>
        </x:is>
      </x:c>
    </x:row>
    <x:row r="1753">
      <x:c r="A1753" s="31" t="inlineStr">
        <x:is>
          <x:t xml:space="preserve">ОП-001752</x:t>
        </x:is>
      </x:c>
      <x:c r="B1753" s="31" t="inlineStr">
        <x:is>
          <x:t xml:space="preserve">ПЗ-00209</x:t>
        </x:is>
      </x:c>
      <x:c r="C1753" s="31" t="inlineStr">
        <x:is>
          <x:t xml:space="preserve">ЗК-1101</x:t>
        </x:is>
      </x:c>
      <x:c r="D1753" s="31" t="inlineStr">
        <x:is>
          <x:t xml:space="preserve">ПОЗ-0101-1</x:t>
        </x:is>
      </x:c>
      <x:c r="E1753" s="31" t="inlineStr">
        <x:is>
          <x:t xml:space="preserve">ИЗД-041</x:t>
        </x:is>
      </x:c>
      <x:c r="F1753" s="31" t="n">
        <x:v>40</x:v>
      </x:c>
      <x:c r="G1753" s="31" t="inlineStr">
        <x:is>
          <x:t xml:space="preserve">Пескоструй</x:t>
        </x:is>
      </x:c>
      <x:c r="H1753" s="31" t="inlineStr">
        <x:is>
          <x:t xml:space="preserve">Сварка</x:t>
        </x:is>
      </x:c>
      <x:c r="I1753" s="31" t="inlineStr">
        <x:is>
          <x:t xml:space="preserve">ОБ-004</x:t>
        </x:is>
      </x:c>
      <x:c r="J1753" s="31" t="inlineStr">
        <x:is>
          <x:t xml:space="preserve">СОТР-071</x:t>
        </x:is>
      </x:c>
      <x:c r="K1753" s="31" t="n">
        <x:v>39.6</x:v>
      </x:c>
      <x:c r="L1753" s="31" t="n">
        <x:v>35.8</x:v>
      </x:c>
      <x:c r="M1753" s="31" t="n">
        <x:v>46188</x:v>
      </x:c>
      <x:c r="N1753" s="31" t="n">
        <x:v>46192</x:v>
      </x:c>
      <x:c r="O1753" s="31" t="n">
        <x:v>46188</x:v>
      </x:c>
      <x:c r="P1753" s="31" t="n">
        <x:v>46193</x:v>
      </x:c>
      <x:c r="Q1753" s="31" t="inlineStr">
        <x:is>
          <x:t xml:space="preserve">Завершено</x:t>
        </x:is>
      </x:c>
      <x:c r="R1753" s="31" t="inlineStr">
        <x:is>
          <x:t xml:space="preserve">Нет</x:t>
        </x:is>
      </x:c>
      <x:c r="S1753" s="31" t="inlineStr">
        <x:is>
          <x:t xml:space="preserve">Нет</x:t>
        </x:is>
      </x:c>
    </x:row>
    <x:row r="1754">
      <x:c r="A1754" s="31" t="inlineStr">
        <x:is>
          <x:t xml:space="preserve">ОП-001753</x:t>
        </x:is>
      </x:c>
      <x:c r="B1754" s="31" t="inlineStr">
        <x:is>
          <x:t xml:space="preserve">ПЗ-00209</x:t>
        </x:is>
      </x:c>
      <x:c r="C1754" s="31" t="inlineStr">
        <x:is>
          <x:t xml:space="preserve">ЗК-1101</x:t>
        </x:is>
      </x:c>
      <x:c r="D1754" s="31" t="inlineStr">
        <x:is>
          <x:t xml:space="preserve">ПОЗ-0101-1</x:t>
        </x:is>
      </x:c>
      <x:c r="E1754" s="31" t="inlineStr">
        <x:is>
          <x:t xml:space="preserve">ИЗД-041</x:t>
        </x:is>
      </x:c>
      <x:c r="F1754" s="31" t="n">
        <x:v>50</x:v>
      </x:c>
      <x:c r="G1754" s="31" t="inlineStr">
        <x:is>
          <x:t xml:space="preserve">Покраска</x:t>
        </x:is>
      </x:c>
      <x:c r="H1754" s="31" t="inlineStr">
        <x:is>
          <x:t xml:space="preserve">Сварка</x:t>
        </x:is>
      </x:c>
      <x:c r="I1754" s="31" t="inlineStr">
        <x:is>
          <x:t xml:space="preserve">ОБ-003</x:t>
        </x:is>
      </x:c>
      <x:c r="J1754" s="31" t="inlineStr">
        <x:is>
          <x:t xml:space="preserve">СОТР-058</x:t>
        </x:is>
      </x:c>
      <x:c r="K1754" s="31" t="n">
        <x:v>28.4</x:v>
      </x:c>
      <x:c r="L1754" s="31" t="n"/>
      <x:c r="M1754" s="31" t="n">
        <x:v>46192</x:v>
      </x:c>
      <x:c r="N1754" s="31" t="n">
        <x:v>46195</x:v>
      </x:c>
      <x:c r="O1754" s="31" t="n">
        <x:v>46192</x:v>
      </x:c>
      <x:c r="P1754" s="31" t="n"/>
      <x:c r="Q1754" s="31" t="inlineStr">
        <x:is>
          <x:t xml:space="preserve">В работе</x:t>
        </x:is>
      </x:c>
      <x:c r="R1754" s="31" t="inlineStr">
        <x:is>
          <x:t xml:space="preserve">Нет</x:t>
        </x:is>
      </x:c>
      <x:c r="S1754" s="31" t="inlineStr">
        <x:is>
          <x:t xml:space="preserve">Нет</x:t>
        </x:is>
      </x:c>
    </x:row>
    <x:row r="1755">
      <x:c r="A1755" s="31" t="inlineStr">
        <x:is>
          <x:t xml:space="preserve">ОП-001754</x:t>
        </x:is>
      </x:c>
      <x:c r="B1755" s="31" t="inlineStr">
        <x:is>
          <x:t xml:space="preserve">ПЗ-00209</x:t>
        </x:is>
      </x:c>
      <x:c r="C1755" s="31" t="inlineStr">
        <x:is>
          <x:t xml:space="preserve">ЗК-1101</x:t>
        </x:is>
      </x:c>
      <x:c r="D1755" s="31" t="inlineStr">
        <x:is>
          <x:t xml:space="preserve">ПОЗ-0101-1</x:t>
        </x:is>
      </x:c>
      <x:c r="E1755" s="31" t="inlineStr">
        <x:is>
          <x:t xml:space="preserve">ИЗД-041</x:t>
        </x:is>
      </x:c>
      <x:c r="F1755" s="31" t="n">
        <x:v>60</x:v>
      </x:c>
      <x:c r="G1755" s="31" t="inlineStr">
        <x:is>
          <x:t xml:space="preserve">ОТК</x:t>
        </x:is>
      </x:c>
      <x:c r="H1755" s="31" t="inlineStr">
        <x:is>
          <x:t xml:space="preserve">ОТК</x:t>
        </x:is>
      </x:c>
      <x:c r="I1755" s="31" t="inlineStr">
        <x:is>
          <x:t xml:space="preserve">ОБ-022</x:t>
        </x:is>
      </x:c>
      <x:c r="J1755" s="31" t="inlineStr">
        <x:is>
          <x:t xml:space="preserve">СОТР-093</x:t>
        </x:is>
      </x:c>
      <x:c r="K1755" s="31" t="n">
        <x:v>13.6</x:v>
      </x:c>
      <x:c r="L1755" s="31" t="n"/>
      <x:c r="M1755" s="31" t="n">
        <x:v>46195</x:v>
      </x:c>
      <x:c r="N1755" s="31" t="n">
        <x:v>46197</x:v>
      </x:c>
      <x:c r="O1755" s="31" t="n">
        <x:v>46195</x:v>
      </x:c>
      <x:c r="P1755" s="31" t="n"/>
      <x:c r="Q1755" s="31" t="inlineStr">
        <x:is>
          <x:t xml:space="preserve">В работе</x:t>
        </x:is>
      </x:c>
      <x:c r="R1755" s="31" t="inlineStr">
        <x:is>
          <x:t xml:space="preserve">Нет</x:t>
        </x:is>
      </x:c>
      <x:c r="S1755" s="31" t="inlineStr">
        <x:is>
          <x:t xml:space="preserve">Нет</x:t>
        </x:is>
      </x:c>
    </x:row>
    <x:row r="1756">
      <x:c r="A1756" s="31" t="inlineStr">
        <x:is>
          <x:t xml:space="preserve">ОП-001755</x:t>
        </x:is>
      </x:c>
      <x:c r="B1756" s="31" t="inlineStr">
        <x:is>
          <x:t xml:space="preserve">ПЗ-00210</x:t>
        </x:is>
      </x:c>
      <x:c r="C1756" s="31" t="inlineStr">
        <x:is>
          <x:t xml:space="preserve">ЗК-1101</x:t>
        </x:is>
      </x:c>
      <x:c r="D1756" s="31" t="inlineStr">
        <x:is>
          <x:t xml:space="preserve">ПОЗ-0101-2</x:t>
        </x:is>
      </x:c>
      <x:c r="E1756" s="31" t="inlineStr">
        <x:is>
          <x:t xml:space="preserve">ИЗД-040</x:t>
        </x:is>
      </x:c>
      <x:c r="F1756" s="31" t="n">
        <x:v>10</x:v>
      </x:c>
      <x:c r="G1756" s="31" t="inlineStr">
        <x:is>
          <x:t xml:space="preserve">КД</x:t>
        </x:is>
      </x:c>
      <x:c r="H1756" s="31" t="inlineStr">
        <x:is>
          <x:t xml:space="preserve">Инженерный отдел</x:t>
        </x:is>
      </x:c>
      <x:c r="I1756" s="31" t="n"/>
      <x:c r="J1756" s="31" t="inlineStr">
        <x:is>
          <x:t xml:space="preserve">СОТР-020</x:t>
        </x:is>
      </x:c>
      <x:c r="K1756" s="31" t="n">
        <x:v>12.4</x:v>
      </x:c>
      <x:c r="L1756" s="31" t="n">
        <x:v>12.3</x:v>
      </x:c>
      <x:c r="M1756" s="31" t="n">
        <x:v>46190</x:v>
      </x:c>
      <x:c r="N1756" s="31" t="n">
        <x:v>46192</x:v>
      </x:c>
      <x:c r="O1756" s="31" t="n">
        <x:v>46190</x:v>
      </x:c>
      <x:c r="P1756" s="31" t="n">
        <x:v>46193</x:v>
      </x:c>
      <x:c r="Q1756" s="31" t="inlineStr">
        <x:is>
          <x:t xml:space="preserve">Завершено</x:t>
        </x:is>
      </x:c>
      <x:c r="R1756" s="31" t="inlineStr">
        <x:is>
          <x:t xml:space="preserve">Нет</x:t>
        </x:is>
      </x:c>
      <x:c r="S1756" s="31" t="inlineStr">
        <x:is>
          <x:t xml:space="preserve">Нет</x:t>
        </x:is>
      </x:c>
    </x:row>
    <x:row r="1757">
      <x:c r="A1757" s="31" t="inlineStr">
        <x:is>
          <x:t xml:space="preserve">ОП-001756</x:t>
        </x:is>
      </x:c>
      <x:c r="B1757" s="31" t="inlineStr">
        <x:is>
          <x:t xml:space="preserve">ПЗ-00210</x:t>
        </x:is>
      </x:c>
      <x:c r="C1757" s="31" t="inlineStr">
        <x:is>
          <x:t xml:space="preserve">ЗК-1101</x:t>
        </x:is>
      </x:c>
      <x:c r="D1757" s="31" t="inlineStr">
        <x:is>
          <x:t xml:space="preserve">ПОЗ-0101-2</x:t>
        </x:is>
      </x:c>
      <x:c r="E1757" s="31" t="inlineStr">
        <x:is>
          <x:t xml:space="preserve">ИЗД-040</x:t>
        </x:is>
      </x:c>
      <x:c r="F1757" s="31" t="n">
        <x:v>20</x:v>
      </x:c>
      <x:c r="G1757" s="31" t="inlineStr">
        <x:is>
          <x:t xml:space="preserve">Резерв материалов</x:t>
        </x:is>
      </x:c>
      <x:c r="H1757" s="31" t="inlineStr">
        <x:is>
          <x:t xml:space="preserve">Склад</x:t>
        </x:is>
      </x:c>
      <x:c r="I1757" s="31" t="inlineStr">
        <x:is>
          <x:t xml:space="preserve">ОБ-008</x:t>
        </x:is>
      </x:c>
      <x:c r="J1757" s="31" t="inlineStr">
        <x:is>
          <x:t xml:space="preserve">СОТР-038</x:t>
        </x:is>
      </x:c>
      <x:c r="K1757" s="31" t="n">
        <x:v>18.8</x:v>
      </x:c>
      <x:c r="L1757" s="31" t="n">
        <x:v>23.3</x:v>
      </x:c>
      <x:c r="M1757" s="31" t="n">
        <x:v>46192</x:v>
      </x:c>
      <x:c r="N1757" s="31" t="n">
        <x:v>46194</x:v>
      </x:c>
      <x:c r="O1757" s="31" t="n">
        <x:v>46192</x:v>
      </x:c>
      <x:c r="P1757" s="31" t="n">
        <x:v>46193</x:v>
      </x:c>
      <x:c r="Q1757" s="31" t="inlineStr">
        <x:is>
          <x:t xml:space="preserve">Завершено</x:t>
        </x:is>
      </x:c>
      <x:c r="R1757" s="31" t="inlineStr">
        <x:is>
          <x:t xml:space="preserve">Материал</x:t>
        </x:is>
      </x:c>
      <x:c r="S1757" s="31" t="inlineStr">
        <x:is>
          <x:t xml:space="preserve">Нет</x:t>
        </x:is>
      </x:c>
    </x:row>
    <x:row r="1758">
      <x:c r="A1758" s="31" t="inlineStr">
        <x:is>
          <x:t xml:space="preserve">ОП-001757</x:t>
        </x:is>
      </x:c>
      <x:c r="B1758" s="31" t="inlineStr">
        <x:is>
          <x:t xml:space="preserve">ПЗ-00210</x:t>
        </x:is>
      </x:c>
      <x:c r="C1758" s="31" t="inlineStr">
        <x:is>
          <x:t xml:space="preserve">ЗК-1101</x:t>
        </x:is>
      </x:c>
      <x:c r="D1758" s="31" t="inlineStr">
        <x:is>
          <x:t xml:space="preserve">ПОЗ-0101-2</x:t>
        </x:is>
      </x:c>
      <x:c r="E1758" s="31" t="inlineStr">
        <x:is>
          <x:t xml:space="preserve">ИЗД-040</x:t>
        </x:is>
      </x:c>
      <x:c r="F1758" s="31" t="n">
        <x:v>30</x:v>
      </x:c>
      <x:c r="G1758" s="31" t="inlineStr">
        <x:is>
          <x:t xml:space="preserve">Сварка рамы</x:t>
        </x:is>
      </x:c>
      <x:c r="H1758" s="31" t="inlineStr">
        <x:is>
          <x:t xml:space="preserve">Сварка</x:t>
        </x:is>
      </x:c>
      <x:c r="I1758" s="31" t="inlineStr">
        <x:is>
          <x:t xml:space="preserve">ОБ-035</x:t>
        </x:is>
      </x:c>
      <x:c r="J1758" s="31" t="inlineStr">
        <x:is>
          <x:t xml:space="preserve">СОТР-066</x:t>
        </x:is>
      </x:c>
      <x:c r="K1758" s="31" t="n">
        <x:v>10</x:v>
      </x:c>
      <x:c r="L1758" s="31" t="n">
        <x:v>9.800000000000001</x:v>
      </x:c>
      <x:c r="M1758" s="31" t="n">
        <x:v>46194</x:v>
      </x:c>
      <x:c r="N1758" s="31" t="n">
        <x:v>46195</x:v>
      </x:c>
      <x:c r="O1758" s="31" t="n">
        <x:v>46194</x:v>
      </x:c>
      <x:c r="P1758" s="31" t="n">
        <x:v>46195</x:v>
      </x:c>
      <x:c r="Q1758" s="31" t="inlineStr">
        <x:is>
          <x:t xml:space="preserve">Завершено</x:t>
        </x:is>
      </x:c>
      <x:c r="R1758" s="31" t="inlineStr">
        <x:is>
          <x:t xml:space="preserve">Нет</x:t>
        </x:is>
      </x:c>
      <x:c r="S1758" s="31" t="inlineStr">
        <x:is>
          <x:t xml:space="preserve">Нет</x:t>
        </x:is>
      </x:c>
    </x:row>
    <x:row r="1759">
      <x:c r="A1759" s="31" t="inlineStr">
        <x:is>
          <x:t xml:space="preserve">ОП-001758</x:t>
        </x:is>
      </x:c>
      <x:c r="B1759" s="31" t="inlineStr">
        <x:is>
          <x:t xml:space="preserve">ПЗ-00210</x:t>
        </x:is>
      </x:c>
      <x:c r="C1759" s="31" t="inlineStr">
        <x:is>
          <x:t xml:space="preserve">ЗК-1101</x:t>
        </x:is>
      </x:c>
      <x:c r="D1759" s="31" t="inlineStr">
        <x:is>
          <x:t xml:space="preserve">ПОЗ-0101-2</x:t>
        </x:is>
      </x:c>
      <x:c r="E1759" s="31" t="inlineStr">
        <x:is>
          <x:t xml:space="preserve">ИЗД-040</x:t>
        </x:is>
      </x:c>
      <x:c r="F1759" s="31" t="n">
        <x:v>40</x:v>
      </x:c>
      <x:c r="G1759" s="31" t="inlineStr">
        <x:is>
          <x:t xml:space="preserve">Сборка</x:t>
        </x:is>
      </x:c>
      <x:c r="H1759" s="31" t="inlineStr">
        <x:is>
          <x:t xml:space="preserve">Сборка</x:t>
        </x:is>
      </x:c>
      <x:c r="I1759" s="31" t="inlineStr">
        <x:is>
          <x:t xml:space="preserve">ОБ-016</x:t>
        </x:is>
      </x:c>
      <x:c r="J1759" s="31" t="inlineStr">
        <x:is>
          <x:t xml:space="preserve">СОТР-083</x:t>
        </x:is>
      </x:c>
      <x:c r="K1759" s="31" t="n">
        <x:v>19.2</x:v>
      </x:c>
      <x:c r="L1759" s="31" t="n">
        <x:v>24.1</x:v>
      </x:c>
      <x:c r="M1759" s="31" t="n">
        <x:v>46195</x:v>
      </x:c>
      <x:c r="N1759" s="31" t="n">
        <x:v>46197</x:v>
      </x:c>
      <x:c r="O1759" s="31" t="n">
        <x:v>46195</x:v>
      </x:c>
      <x:c r="P1759" s="31" t="n">
        <x:v>46198</x:v>
      </x:c>
      <x:c r="Q1759" s="31" t="inlineStr">
        <x:is>
          <x:t xml:space="preserve">Завершено</x:t>
        </x:is>
      </x:c>
      <x:c r="R1759" s="31" t="inlineStr">
        <x:is>
          <x:t xml:space="preserve">Нет</x:t>
        </x:is>
      </x:c>
      <x:c r="S1759" s="31" t="inlineStr">
        <x:is>
          <x:t xml:space="preserve">Нет</x:t>
        </x:is>
      </x:c>
    </x:row>
    <x:row r="1760">
      <x:c r="A1760" s="31" t="inlineStr">
        <x:is>
          <x:t xml:space="preserve">ОП-001759</x:t>
        </x:is>
      </x:c>
      <x:c r="B1760" s="31" t="inlineStr">
        <x:is>
          <x:t xml:space="preserve">ПЗ-00210</x:t>
        </x:is>
      </x:c>
      <x:c r="C1760" s="31" t="inlineStr">
        <x:is>
          <x:t xml:space="preserve">ЗК-1101</x:t>
        </x:is>
      </x:c>
      <x:c r="D1760" s="31" t="inlineStr">
        <x:is>
          <x:t xml:space="preserve">ПОЗ-0101-2</x:t>
        </x:is>
      </x:c>
      <x:c r="E1760" s="31" t="inlineStr">
        <x:is>
          <x:t xml:space="preserve">ИЗД-040</x:t>
        </x:is>
      </x:c>
      <x:c r="F1760" s="31" t="n">
        <x:v>50</x:v>
      </x:c>
      <x:c r="G1760" s="31" t="inlineStr">
        <x:is>
          <x:t xml:space="preserve">Обвязка труб</x:t>
        </x:is>
      </x:c>
      <x:c r="H1760" s="31" t="inlineStr">
        <x:is>
          <x:t xml:space="preserve">Сборка</x:t>
        </x:is>
      </x:c>
      <x:c r="I1760" s="31" t="inlineStr">
        <x:is>
          <x:t xml:space="preserve">ОБ-012</x:t>
        </x:is>
      </x:c>
      <x:c r="J1760" s="31" t="inlineStr">
        <x:is>
          <x:t xml:space="preserve">СОТР-088</x:t>
        </x:is>
      </x:c>
      <x:c r="K1760" s="31" t="n">
        <x:v>32</x:v>
      </x:c>
      <x:c r="L1760" s="31" t="n">
        <x:v>41.9</x:v>
      </x:c>
      <x:c r="M1760" s="31" t="n">
        <x:v>46197</x:v>
      </x:c>
      <x:c r="N1760" s="31" t="n">
        <x:v>46200</x:v>
      </x:c>
      <x:c r="O1760" s="31" t="n">
        <x:v>46197</x:v>
      </x:c>
      <x:c r="P1760" s="31" t="n">
        <x:v>46199</x:v>
      </x:c>
      <x:c r="Q1760" s="31" t="inlineStr">
        <x:is>
          <x:t xml:space="preserve">Завершено</x:t>
        </x:is>
      </x:c>
      <x:c r="R1760" s="31" t="inlineStr">
        <x:is>
          <x:t xml:space="preserve">Нет</x:t>
        </x:is>
      </x:c>
      <x:c r="S1760" s="31" t="inlineStr">
        <x:is>
          <x:t xml:space="preserve">Нет</x:t>
        </x:is>
      </x:c>
    </x:row>
    <x:row r="1761">
      <x:c r="A1761" s="31" t="inlineStr">
        <x:is>
          <x:t xml:space="preserve">ОП-001760</x:t>
        </x:is>
      </x:c>
      <x:c r="B1761" s="31" t="inlineStr">
        <x:is>
          <x:t xml:space="preserve">ПЗ-00210</x:t>
        </x:is>
      </x:c>
      <x:c r="C1761" s="31" t="inlineStr">
        <x:is>
          <x:t xml:space="preserve">ЗК-1101</x:t>
        </x:is>
      </x:c>
      <x:c r="D1761" s="31" t="inlineStr">
        <x:is>
          <x:t xml:space="preserve">ПОЗ-0101-2</x:t>
        </x:is>
      </x:c>
      <x:c r="E1761" s="31" t="inlineStr">
        <x:is>
          <x:t xml:space="preserve">ИЗД-040</x:t>
        </x:is>
      </x:c>
      <x:c r="F1761" s="31" t="n">
        <x:v>60</x:v>
      </x:c>
      <x:c r="G1761" s="31" t="inlineStr">
        <x:is>
          <x:t xml:space="preserve">Электромонтаж</x:t>
        </x:is>
      </x:c>
      <x:c r="H1761" s="31" t="inlineStr">
        <x:is>
          <x:t xml:space="preserve">Сборка</x:t>
        </x:is>
      </x:c>
      <x:c r="I1761" s="31" t="inlineStr">
        <x:is>
          <x:t xml:space="preserve">ОБ-020</x:t>
        </x:is>
      </x:c>
      <x:c r="J1761" s="31" t="inlineStr">
        <x:is>
          <x:t xml:space="preserve">СОТР-075</x:t>
        </x:is>
      </x:c>
      <x:c r="K1761" s="31" t="n">
        <x:v>14</x:v>
      </x:c>
      <x:c r="L1761" s="31" t="n">
        <x:v>14.7</x:v>
      </x:c>
      <x:c r="M1761" s="31" t="n">
        <x:v>46200</x:v>
      </x:c>
      <x:c r="N1761" s="31" t="n">
        <x:v>46202</x:v>
      </x:c>
      <x:c r="O1761" s="31" t="n">
        <x:v>46200</x:v>
      </x:c>
      <x:c r="P1761" s="31" t="n">
        <x:v>46204</x:v>
      </x:c>
      <x:c r="Q1761" s="31" t="inlineStr">
        <x:is>
          <x:t xml:space="preserve">Завершено</x:t>
        </x:is>
      </x:c>
      <x:c r="R1761" s="31" t="inlineStr">
        <x:is>
          <x:t xml:space="preserve">Нет</x:t>
        </x:is>
      </x:c>
      <x:c r="S1761" s="31" t="inlineStr">
        <x:is>
          <x:t xml:space="preserve">Нет</x:t>
        </x:is>
      </x:c>
    </x:row>
    <x:row r="1762">
      <x:c r="A1762" s="31" t="inlineStr">
        <x:is>
          <x:t xml:space="preserve">ОП-001761</x:t>
        </x:is>
      </x:c>
      <x:c r="B1762" s="31" t="inlineStr">
        <x:is>
          <x:t xml:space="preserve">ПЗ-00210</x:t>
        </x:is>
      </x:c>
      <x:c r="C1762" s="31" t="inlineStr">
        <x:is>
          <x:t xml:space="preserve">ЗК-1101</x:t>
        </x:is>
      </x:c>
      <x:c r="D1762" s="31" t="inlineStr">
        <x:is>
          <x:t xml:space="preserve">ПОЗ-0101-2</x:t>
        </x:is>
      </x:c>
      <x:c r="E1762" s="31" t="inlineStr">
        <x:is>
          <x:t xml:space="preserve">ИЗД-040</x:t>
        </x:is>
      </x:c>
      <x:c r="F1762" s="31" t="n">
        <x:v>70</x:v>
      </x:c>
      <x:c r="G1762" s="31" t="inlineStr">
        <x:is>
          <x:t xml:space="preserve">Гидроиспытания</x:t>
        </x:is>
      </x:c>
      <x:c r="H1762" s="31" t="inlineStr">
        <x:is>
          <x:t xml:space="preserve">ОТК</x:t>
        </x:is>
      </x:c>
      <x:c r="I1762" s="31" t="inlineStr">
        <x:is>
          <x:t xml:space="preserve">ОБ-033</x:t>
        </x:is>
      </x:c>
      <x:c r="J1762" s="31" t="inlineStr">
        <x:is>
          <x:t xml:space="preserve">СОТР-092</x:t>
        </x:is>
      </x:c>
      <x:c r="K1762" s="31" t="n">
        <x:v>48</x:v>
      </x:c>
      <x:c r="L1762" s="31" t="n">
        <x:v>60.7</x:v>
      </x:c>
      <x:c r="M1762" s="31" t="n">
        <x:v>46202</x:v>
      </x:c>
      <x:c r="N1762" s="31" t="n">
        <x:v>46206</x:v>
      </x:c>
      <x:c r="O1762" s="31" t="n">
        <x:v>46202</x:v>
      </x:c>
      <x:c r="P1762" s="31" t="n">
        <x:v>46206</x:v>
      </x:c>
      <x:c r="Q1762" s="31" t="inlineStr">
        <x:is>
          <x:t xml:space="preserve">Завершено</x:t>
        </x:is>
      </x:c>
      <x:c r="R1762" s="31" t="inlineStr">
        <x:is>
          <x:t xml:space="preserve">Нет</x:t>
        </x:is>
      </x:c>
      <x:c r="S1762" s="31" t="inlineStr">
        <x:is>
          <x:t xml:space="preserve">Нет</x:t>
        </x:is>
      </x:c>
    </x:row>
    <x:row r="1763">
      <x:c r="A1763" s="31" t="inlineStr">
        <x:is>
          <x:t xml:space="preserve">ОП-001762</x:t>
        </x:is>
      </x:c>
      <x:c r="B1763" s="31" t="inlineStr">
        <x:is>
          <x:t xml:space="preserve">ПЗ-00210</x:t>
        </x:is>
      </x:c>
      <x:c r="C1763" s="31" t="inlineStr">
        <x:is>
          <x:t xml:space="preserve">ЗК-1101</x:t>
        </x:is>
      </x:c>
      <x:c r="D1763" s="31" t="inlineStr">
        <x:is>
          <x:t xml:space="preserve">ПОЗ-0101-2</x:t>
        </x:is>
      </x:c>
      <x:c r="E1763" s="31" t="inlineStr">
        <x:is>
          <x:t xml:space="preserve">ИЗД-040</x:t>
        </x:is>
      </x:c>
      <x:c r="F1763" s="31" t="n">
        <x:v>80</x:v>
      </x:c>
      <x:c r="G1763" s="31" t="inlineStr">
        <x:is>
          <x:t xml:space="preserve">ОТК</x:t>
        </x:is>
      </x:c>
      <x:c r="H1763" s="31" t="inlineStr">
        <x:is>
          <x:t xml:space="preserve">ОТК</x:t>
        </x:is>
      </x:c>
      <x:c r="I1763" s="31" t="inlineStr">
        <x:is>
          <x:t xml:space="preserve">ОБ-024</x:t>
        </x:is>
      </x:c>
      <x:c r="J1763" s="31" t="inlineStr">
        <x:is>
          <x:t xml:space="preserve">СОТР-097</x:t>
        </x:is>
      </x:c>
      <x:c r="K1763" s="31" t="n">
        <x:v>4.8</x:v>
      </x:c>
      <x:c r="L1763" s="31" t="n">
        <x:v>5.7</x:v>
      </x:c>
      <x:c r="M1763" s="31" t="n">
        <x:v>46206</x:v>
      </x:c>
      <x:c r="N1763" s="31" t="n">
        <x:v>46207</x:v>
      </x:c>
      <x:c r="O1763" s="31" t="n">
        <x:v>46206</x:v>
      </x:c>
      <x:c r="P1763" s="31" t="n">
        <x:v>46209</x:v>
      </x:c>
      <x:c r="Q1763" s="31" t="inlineStr">
        <x:is>
          <x:t xml:space="preserve">Завершено</x:t>
        </x:is>
      </x:c>
      <x:c r="R1763" s="31" t="inlineStr">
        <x:is>
          <x:t xml:space="preserve">Нет</x:t>
        </x:is>
      </x:c>
      <x:c r="S1763" s="31" t="inlineStr">
        <x:is>
          <x:t xml:space="preserve">Нет</x:t>
        </x:is>
      </x:c>
    </x:row>
    <x:row r="1764">
      <x:c r="A1764" s="31" t="inlineStr">
        <x:is>
          <x:t xml:space="preserve">ОП-001763</x:t>
        </x:is>
      </x:c>
      <x:c r="B1764" s="31" t="inlineStr">
        <x:is>
          <x:t xml:space="preserve">ПЗ-00210</x:t>
        </x:is>
      </x:c>
      <x:c r="C1764" s="31" t="inlineStr">
        <x:is>
          <x:t xml:space="preserve">ЗК-1101</x:t>
        </x:is>
      </x:c>
      <x:c r="D1764" s="31" t="inlineStr">
        <x:is>
          <x:t xml:space="preserve">ПОЗ-0101-2</x:t>
        </x:is>
      </x:c>
      <x:c r="E1764" s="31" t="inlineStr">
        <x:is>
          <x:t xml:space="preserve">ИЗД-040</x:t>
        </x:is>
      </x:c>
      <x:c r="F1764" s="31" t="n">
        <x:v>90</x:v>
      </x:c>
      <x:c r="G1764" s="31" t="inlineStr">
        <x:is>
          <x:t xml:space="preserve">Упаковка</x:t>
        </x:is>
      </x:c>
      <x:c r="H1764" s="31" t="inlineStr">
        <x:is>
          <x:t xml:space="preserve">Логистика</x:t>
        </x:is>
      </x:c>
      <x:c r="I1764" s="31" t="n"/>
      <x:c r="J1764" s="31" t="inlineStr">
        <x:is>
          <x:t xml:space="preserve">СОТР-103</x:t>
        </x:is>
      </x:c>
      <x:c r="K1764" s="31" t="n">
        <x:v>18.4</x:v>
      </x:c>
      <x:c r="L1764" s="31" t="n">
        <x:v>16.5</x:v>
      </x:c>
      <x:c r="M1764" s="31" t="n">
        <x:v>46207</x:v>
      </x:c>
      <x:c r="N1764" s="31" t="n">
        <x:v>46209</x:v>
      </x:c>
      <x:c r="O1764" s="31" t="n">
        <x:v>46207</x:v>
      </x:c>
      <x:c r="P1764" s="31" t="n">
        <x:v>46208</x:v>
      </x:c>
      <x:c r="Q1764" s="31" t="inlineStr">
        <x:is>
          <x:t xml:space="preserve">Завершено</x:t>
        </x:is>
      </x:c>
      <x:c r="R1764" s="31" t="inlineStr">
        <x:is>
          <x:t xml:space="preserve">Нет</x:t>
        </x:is>
      </x:c>
      <x:c r="S1764" s="31" t="inlineStr">
        <x:is>
          <x:t xml:space="preserve">Нет</x:t>
        </x:is>
      </x:c>
    </x:row>
    <x:row r="1765">
      <x:c r="A1765" s="31" t="inlineStr">
        <x:is>
          <x:t xml:space="preserve">ОП-001764</x:t>
        </x:is>
      </x:c>
      <x:c r="B1765" s="31" t="inlineStr">
        <x:is>
          <x:t xml:space="preserve">ПЗ-00211</x:t>
        </x:is>
      </x:c>
      <x:c r="C1765" s="31" t="inlineStr">
        <x:is>
          <x:t xml:space="preserve">ЗК-1102</x:t>
        </x:is>
      </x:c>
      <x:c r="D1765" s="31" t="inlineStr">
        <x:is>
          <x:t xml:space="preserve">ПОЗ-0102-1</x:t>
        </x:is>
      </x:c>
      <x:c r="E1765" s="31" t="inlineStr">
        <x:is>
          <x:t xml:space="preserve">ИЗД-043</x:t>
        </x:is>
      </x:c>
      <x:c r="F1765" s="31" t="n">
        <x:v>10</x:v>
      </x:c>
      <x:c r="G1765" s="31" t="inlineStr">
        <x:is>
          <x:t xml:space="preserve">КД</x:t>
        </x:is>
      </x:c>
      <x:c r="H1765" s="31" t="inlineStr">
        <x:is>
          <x:t xml:space="preserve">Инженерный отдел</x:t>
        </x:is>
      </x:c>
      <x:c r="I1765" s="31" t="n"/>
      <x:c r="J1765" s="31" t="inlineStr">
        <x:is>
          <x:t xml:space="preserve">СОТР-021</x:t>
        </x:is>
      </x:c>
      <x:c r="K1765" s="31" t="n">
        <x:v>8</x:v>
      </x:c>
      <x:c r="L1765" s="31" t="n">
        <x:v>6.5</x:v>
      </x:c>
      <x:c r="M1765" s="31" t="n">
        <x:v>46187</x:v>
      </x:c>
      <x:c r="N1765" s="31" t="n">
        <x:v>46188</x:v>
      </x:c>
      <x:c r="O1765" s="31" t="n">
        <x:v>46187</x:v>
      </x:c>
      <x:c r="P1765" s="31" t="n">
        <x:v>46188</x:v>
      </x:c>
      <x:c r="Q1765" s="31" t="inlineStr">
        <x:is>
          <x:t xml:space="preserve">Завершено</x:t>
        </x:is>
      </x:c>
      <x:c r="R1765" s="31" t="inlineStr">
        <x:is>
          <x:t xml:space="preserve">Материал</x:t>
        </x:is>
      </x:c>
      <x:c r="S1765" s="31" t="inlineStr">
        <x:is>
          <x:t xml:space="preserve">Да</x:t>
        </x:is>
      </x:c>
    </x:row>
    <x:row r="1766">
      <x:c r="A1766" s="31" t="inlineStr">
        <x:is>
          <x:t xml:space="preserve">ОП-001765</x:t>
        </x:is>
      </x:c>
      <x:c r="B1766" s="31" t="inlineStr">
        <x:is>
          <x:t xml:space="preserve">ПЗ-00211</x:t>
        </x:is>
      </x:c>
      <x:c r="C1766" s="31" t="inlineStr">
        <x:is>
          <x:t xml:space="preserve">ЗК-1102</x:t>
        </x:is>
      </x:c>
      <x:c r="D1766" s="31" t="inlineStr">
        <x:is>
          <x:t xml:space="preserve">ПОЗ-0102-1</x:t>
        </x:is>
      </x:c>
      <x:c r="E1766" s="31" t="inlineStr">
        <x:is>
          <x:t xml:space="preserve">ИЗД-043</x:t>
        </x:is>
      </x:c>
      <x:c r="F1766" s="31" t="n">
        <x:v>20</x:v>
      </x:c>
      <x:c r="G1766" s="31" t="inlineStr">
        <x:is>
          <x:t xml:space="preserve">Резерв материалов</x:t>
        </x:is>
      </x:c>
      <x:c r="H1766" s="31" t="inlineStr">
        <x:is>
          <x:t xml:space="preserve">Склад</x:t>
        </x:is>
      </x:c>
      <x:c r="I1766" s="31" t="inlineStr">
        <x:is>
          <x:t xml:space="preserve">ОБ-008</x:t>
        </x:is>
      </x:c>
      <x:c r="J1766" s="31" t="inlineStr">
        <x:is>
          <x:t xml:space="preserve">СОТР-037</x:t>
        </x:is>
      </x:c>
      <x:c r="K1766" s="31" t="n">
        <x:v>9.800000000000001</x:v>
      </x:c>
      <x:c r="L1766" s="31" t="n">
        <x:v>10.2</x:v>
      </x:c>
      <x:c r="M1766" s="31" t="n">
        <x:v>46188</x:v>
      </x:c>
      <x:c r="N1766" s="31" t="n">
        <x:v>46189</x:v>
      </x:c>
      <x:c r="O1766" s="31" t="n">
        <x:v>46188</x:v>
      </x:c>
      <x:c r="P1766" s="31" t="n">
        <x:v>46188</x:v>
      </x:c>
      <x:c r="Q1766" s="31" t="inlineStr">
        <x:is>
          <x:t xml:space="preserve">Завершено</x:t>
        </x:is>
      </x:c>
      <x:c r="R1766" s="31" t="inlineStr">
        <x:is>
          <x:t xml:space="preserve">Нет</x:t>
        </x:is>
      </x:c>
      <x:c r="S1766" s="31" t="inlineStr">
        <x:is>
          <x:t xml:space="preserve">Нет</x:t>
        </x:is>
      </x:c>
    </x:row>
    <x:row r="1767">
      <x:c r="A1767" s="31" t="inlineStr">
        <x:is>
          <x:t xml:space="preserve">ОП-001766</x:t>
        </x:is>
      </x:c>
      <x:c r="B1767" s="31" t="inlineStr">
        <x:is>
          <x:t xml:space="preserve">ПЗ-00211</x:t>
        </x:is>
      </x:c>
      <x:c r="C1767" s="31" t="inlineStr">
        <x:is>
          <x:t xml:space="preserve">ЗК-1102</x:t>
        </x:is>
      </x:c>
      <x:c r="D1767" s="31" t="inlineStr">
        <x:is>
          <x:t xml:space="preserve">ПОЗ-0102-1</x:t>
        </x:is>
      </x:c>
      <x:c r="E1767" s="31" t="inlineStr">
        <x:is>
          <x:t xml:space="preserve">ИЗД-043</x:t>
        </x:is>
      </x:c>
      <x:c r="F1767" s="31" t="n">
        <x:v>30</x:v>
      </x:c>
      <x:c r="G1767" s="31" t="inlineStr">
        <x:is>
          <x:t xml:space="preserve">Резка металла</x:t>
        </x:is>
      </x:c>
      <x:c r="H1767" s="31" t="inlineStr">
        <x:is>
          <x:t xml:space="preserve">Сварка</x:t>
        </x:is>
      </x:c>
      <x:c r="I1767" s="31" t="inlineStr">
        <x:is>
          <x:t xml:space="preserve">ОБ-004</x:t>
        </x:is>
      </x:c>
      <x:c r="J1767" s="31" t="inlineStr">
        <x:is>
          <x:t xml:space="preserve">СОТР-061</x:t>
        </x:is>
      </x:c>
      <x:c r="K1767" s="31" t="n">
        <x:v>11.4</x:v>
      </x:c>
      <x:c r="L1767" s="31" t="n">
        <x:v>13.6</x:v>
      </x:c>
      <x:c r="M1767" s="31" t="n">
        <x:v>46189</x:v>
      </x:c>
      <x:c r="N1767" s="31" t="n">
        <x:v>46190</x:v>
      </x:c>
      <x:c r="O1767" s="31" t="n">
        <x:v>46189</x:v>
      </x:c>
      <x:c r="P1767" s="31" t="n">
        <x:v>46189</x:v>
      </x:c>
      <x:c r="Q1767" s="31" t="inlineStr">
        <x:is>
          <x:t xml:space="preserve">Завершено</x:t>
        </x:is>
      </x:c>
      <x:c r="R1767" s="31" t="inlineStr">
        <x:is>
          <x:t xml:space="preserve">Нет</x:t>
        </x:is>
      </x:c>
      <x:c r="S1767" s="31" t="inlineStr">
        <x:is>
          <x:t xml:space="preserve">Нет</x:t>
        </x:is>
      </x:c>
    </x:row>
    <x:row r="1768">
      <x:c r="A1768" s="31" t="inlineStr">
        <x:is>
          <x:t xml:space="preserve">ОП-001767</x:t>
        </x:is>
      </x:c>
      <x:c r="B1768" s="31" t="inlineStr">
        <x:is>
          <x:t xml:space="preserve">ПЗ-00211</x:t>
        </x:is>
      </x:c>
      <x:c r="C1768" s="31" t="inlineStr">
        <x:is>
          <x:t xml:space="preserve">ЗК-1102</x:t>
        </x:is>
      </x:c>
      <x:c r="D1768" s="31" t="inlineStr">
        <x:is>
          <x:t xml:space="preserve">ПОЗ-0102-1</x:t>
        </x:is>
      </x:c>
      <x:c r="E1768" s="31" t="inlineStr">
        <x:is>
          <x:t xml:space="preserve">ИЗД-043</x:t>
        </x:is>
      </x:c>
      <x:c r="F1768" s="31" t="n">
        <x:v>40</x:v>
      </x:c>
      <x:c r="G1768" s="31" t="inlineStr">
        <x:is>
          <x:t xml:space="preserve">Сварка рамы</x:t>
        </x:is>
      </x:c>
      <x:c r="H1768" s="31" t="inlineStr">
        <x:is>
          <x:t xml:space="preserve">Сварка</x:t>
        </x:is>
      </x:c>
      <x:c r="I1768" s="31" t="inlineStr">
        <x:is>
          <x:t xml:space="preserve">ОБ-021</x:t>
        </x:is>
      </x:c>
      <x:c r="J1768" s="31" t="inlineStr">
        <x:is>
          <x:t xml:space="preserve">СОТР-065</x:t>
        </x:is>
      </x:c>
      <x:c r="K1768" s="31" t="n">
        <x:v>4</x:v>
      </x:c>
      <x:c r="L1768" s="31" t="n">
        <x:v>5.2</x:v>
      </x:c>
      <x:c r="M1768" s="31" t="n">
        <x:v>46190</x:v>
      </x:c>
      <x:c r="N1768" s="31" t="n">
        <x:v>46191</x:v>
      </x:c>
      <x:c r="O1768" s="31" t="n">
        <x:v>46190</x:v>
      </x:c>
      <x:c r="P1768" s="31" t="n">
        <x:v>46191</x:v>
      </x:c>
      <x:c r="Q1768" s="31" t="inlineStr">
        <x:is>
          <x:t xml:space="preserve">Завершено</x:t>
        </x:is>
      </x:c>
      <x:c r="R1768" s="31" t="inlineStr">
        <x:is>
          <x:t xml:space="preserve">Нет</x:t>
        </x:is>
      </x:c>
      <x:c r="S1768" s="31" t="inlineStr">
        <x:is>
          <x:t xml:space="preserve">Нет</x:t>
        </x:is>
      </x:c>
    </x:row>
    <x:row r="1769">
      <x:c r="A1769" s="31" t="inlineStr">
        <x:is>
          <x:t xml:space="preserve">ОП-001768</x:t>
        </x:is>
      </x:c>
      <x:c r="B1769" s="31" t="inlineStr">
        <x:is>
          <x:t xml:space="preserve">ПЗ-00211</x:t>
        </x:is>
      </x:c>
      <x:c r="C1769" s="31" t="inlineStr">
        <x:is>
          <x:t xml:space="preserve">ЗК-1102</x:t>
        </x:is>
      </x:c>
      <x:c r="D1769" s="31" t="inlineStr">
        <x:is>
          <x:t xml:space="preserve">ПОЗ-0102-1</x:t>
        </x:is>
      </x:c>
      <x:c r="E1769" s="31" t="inlineStr">
        <x:is>
          <x:t xml:space="preserve">ИЗД-043</x:t>
        </x:is>
      </x:c>
      <x:c r="F1769" s="31" t="n">
        <x:v>50</x:v>
      </x:c>
      <x:c r="G1769" s="31" t="inlineStr">
        <x:is>
          <x:t xml:space="preserve">Механообработка</x:t>
        </x:is>
      </x:c>
      <x:c r="H1769" s="31" t="inlineStr">
        <x:is>
          <x:t xml:space="preserve">Механообработка</x:t>
        </x:is>
      </x:c>
      <x:c r="I1769" s="31" t="inlineStr">
        <x:is>
          <x:t xml:space="preserve">ОБ-031</x:t>
        </x:is>
      </x:c>
      <x:c r="J1769" s="31" t="inlineStr">
        <x:is>
          <x:t xml:space="preserve">СОТР-052</x:t>
        </x:is>
      </x:c>
      <x:c r="K1769" s="31" t="n">
        <x:v>10</x:v>
      </x:c>
      <x:c r="L1769" s="31" t="n">
        <x:v>9.300000000000001</x:v>
      </x:c>
      <x:c r="M1769" s="31" t="n">
        <x:v>46191</x:v>
      </x:c>
      <x:c r="N1769" s="31" t="n">
        <x:v>46192</x:v>
      </x:c>
      <x:c r="O1769" s="31" t="n">
        <x:v>46191</x:v>
      </x:c>
      <x:c r="P1769" s="31" t="n">
        <x:v>46194</x:v>
      </x:c>
      <x:c r="Q1769" s="31" t="inlineStr">
        <x:is>
          <x:t xml:space="preserve">Завершено</x:t>
        </x:is>
      </x:c>
      <x:c r="R1769" s="31" t="inlineStr">
        <x:is>
          <x:t xml:space="preserve">Нет</x:t>
        </x:is>
      </x:c>
      <x:c r="S1769" s="31" t="inlineStr">
        <x:is>
          <x:t xml:space="preserve">Да</x:t>
        </x:is>
      </x:c>
    </x:row>
    <x:row r="1770">
      <x:c r="A1770" s="31" t="inlineStr">
        <x:is>
          <x:t xml:space="preserve">ОП-001769</x:t>
        </x:is>
      </x:c>
      <x:c r="B1770" s="31" t="inlineStr">
        <x:is>
          <x:t xml:space="preserve">ПЗ-00211</x:t>
        </x:is>
      </x:c>
      <x:c r="C1770" s="31" t="inlineStr">
        <x:is>
          <x:t xml:space="preserve">ЗК-1102</x:t>
        </x:is>
      </x:c>
      <x:c r="D1770" s="31" t="inlineStr">
        <x:is>
          <x:t xml:space="preserve">ПОЗ-0102-1</x:t>
        </x:is>
      </x:c>
      <x:c r="E1770" s="31" t="inlineStr">
        <x:is>
          <x:t xml:space="preserve">ИЗД-043</x:t>
        </x:is>
      </x:c>
      <x:c r="F1770" s="31" t="n">
        <x:v>60</x:v>
      </x:c>
      <x:c r="G1770" s="31" t="inlineStr">
        <x:is>
          <x:t xml:space="preserve">Сборка</x:t>
        </x:is>
      </x:c>
      <x:c r="H1770" s="31" t="inlineStr">
        <x:is>
          <x:t xml:space="preserve">Сборка</x:t>
        </x:is>
      </x:c>
      <x:c r="I1770" s="31" t="inlineStr">
        <x:is>
          <x:t xml:space="preserve">ОБ-014</x:t>
        </x:is>
      </x:c>
      <x:c r="J1770" s="31" t="inlineStr">
        <x:is>
          <x:t xml:space="preserve">СОТР-079</x:t>
        </x:is>
      </x:c>
      <x:c r="K1770" s="31" t="n">
        <x:v>14.9</x:v>
      </x:c>
      <x:c r="L1770" s="31" t="n">
        <x:v>18.3</x:v>
      </x:c>
      <x:c r="M1770" s="31" t="n">
        <x:v>46192</x:v>
      </x:c>
      <x:c r="N1770" s="31" t="n">
        <x:v>46194</x:v>
      </x:c>
      <x:c r="O1770" s="31" t="n">
        <x:v>46192</x:v>
      </x:c>
      <x:c r="P1770" s="31" t="n">
        <x:v>46195</x:v>
      </x:c>
      <x:c r="Q1770" s="31" t="inlineStr">
        <x:is>
          <x:t xml:space="preserve">Завершено</x:t>
        </x:is>
      </x:c>
      <x:c r="R1770" s="31" t="inlineStr">
        <x:is>
          <x:t xml:space="preserve">Материал</x:t>
        </x:is>
      </x:c>
      <x:c r="S1770" s="31" t="inlineStr">
        <x:is>
          <x:t xml:space="preserve">Нет</x:t>
        </x:is>
      </x:c>
    </x:row>
    <x:row r="1771">
      <x:c r="A1771" s="31" t="inlineStr">
        <x:is>
          <x:t xml:space="preserve">ОП-001770</x:t>
        </x:is>
      </x:c>
      <x:c r="B1771" s="31" t="inlineStr">
        <x:is>
          <x:t xml:space="preserve">ПЗ-00211</x:t>
        </x:is>
      </x:c>
      <x:c r="C1771" s="31" t="inlineStr">
        <x:is>
          <x:t xml:space="preserve">ЗК-1102</x:t>
        </x:is>
      </x:c>
      <x:c r="D1771" s="31" t="inlineStr">
        <x:is>
          <x:t xml:space="preserve">ПОЗ-0102-1</x:t>
        </x:is>
      </x:c>
      <x:c r="E1771" s="31" t="inlineStr">
        <x:is>
          <x:t xml:space="preserve">ИЗД-043</x:t>
        </x:is>
      </x:c>
      <x:c r="F1771" s="31" t="n">
        <x:v>70</x:v>
      </x:c>
      <x:c r="G1771" s="31" t="inlineStr">
        <x:is>
          <x:t xml:space="preserve">Электромонтаж</x:t>
        </x:is>
      </x:c>
      <x:c r="H1771" s="31" t="inlineStr">
        <x:is>
          <x:t xml:space="preserve">Сборка</x:t>
        </x:is>
      </x:c>
      <x:c r="I1771" s="31" t="inlineStr">
        <x:is>
          <x:t xml:space="preserve">ОБ-020</x:t>
        </x:is>
      </x:c>
      <x:c r="J1771" s="31" t="inlineStr">
        <x:is>
          <x:t xml:space="preserve">СОТР-091</x:t>
        </x:is>
      </x:c>
      <x:c r="K1771" s="31" t="n">
        <x:v>10.5</x:v>
      </x:c>
      <x:c r="L1771" s="31" t="n">
        <x:v>10.2</x:v>
      </x:c>
      <x:c r="M1771" s="31" t="n">
        <x:v>46194</x:v>
      </x:c>
      <x:c r="N1771" s="31" t="n">
        <x:v>46195</x:v>
      </x:c>
      <x:c r="O1771" s="31" t="n">
        <x:v>46194</x:v>
      </x:c>
      <x:c r="P1771" s="31" t="n">
        <x:v>46194</x:v>
      </x:c>
      <x:c r="Q1771" s="31" t="inlineStr">
        <x:is>
          <x:t xml:space="preserve">Завершено</x:t>
        </x:is>
      </x:c>
      <x:c r="R1771" s="31" t="inlineStr">
        <x:is>
          <x:t xml:space="preserve">Нет</x:t>
        </x:is>
      </x:c>
      <x:c r="S1771" s="31" t="inlineStr">
        <x:is>
          <x:t xml:space="preserve">Да</x:t>
        </x:is>
      </x:c>
    </x:row>
    <x:row r="1772">
      <x:c r="A1772" s="31" t="inlineStr">
        <x:is>
          <x:t xml:space="preserve">ОП-001771</x:t>
        </x:is>
      </x:c>
      <x:c r="B1772" s="31" t="inlineStr">
        <x:is>
          <x:t xml:space="preserve">ПЗ-00211</x:t>
        </x:is>
      </x:c>
      <x:c r="C1772" s="31" t="inlineStr">
        <x:is>
          <x:t xml:space="preserve">ЗК-1102</x:t>
        </x:is>
      </x:c>
      <x:c r="D1772" s="31" t="inlineStr">
        <x:is>
          <x:t xml:space="preserve">ПОЗ-0102-1</x:t>
        </x:is>
      </x:c>
      <x:c r="E1772" s="31" t="inlineStr">
        <x:is>
          <x:t xml:space="preserve">ИЗД-043</x:t>
        </x:is>
      </x:c>
      <x:c r="F1772" s="31" t="n">
        <x:v>80</x:v>
      </x:c>
      <x:c r="G1772" s="31" t="inlineStr">
        <x:is>
          <x:t xml:space="preserve">Гидроиспытания</x:t>
        </x:is>
      </x:c>
      <x:c r="H1772" s="31" t="inlineStr">
        <x:is>
          <x:t xml:space="preserve">ОТК</x:t>
        </x:is>
      </x:c>
      <x:c r="I1772" s="31" t="inlineStr">
        <x:is>
          <x:t xml:space="preserve">ОБ-028</x:t>
        </x:is>
      </x:c>
      <x:c r="J1772" s="31" t="inlineStr">
        <x:is>
          <x:t xml:space="preserve">СОТР-096</x:t>
        </x:is>
      </x:c>
      <x:c r="K1772" s="31" t="n">
        <x:v>7.7</x:v>
      </x:c>
      <x:c r="L1772" s="31" t="n">
        <x:v>6.4</x:v>
      </x:c>
      <x:c r="M1772" s="31" t="n">
        <x:v>46195</x:v>
      </x:c>
      <x:c r="N1772" s="31" t="n">
        <x:v>46196</x:v>
      </x:c>
      <x:c r="O1772" s="31" t="n">
        <x:v>46195</x:v>
      </x:c>
      <x:c r="P1772" s="31" t="n">
        <x:v>46196</x:v>
      </x:c>
      <x:c r="Q1772" s="31" t="inlineStr">
        <x:is>
          <x:t xml:space="preserve">Завершено</x:t>
        </x:is>
      </x:c>
      <x:c r="R1772" s="31" t="inlineStr">
        <x:is>
          <x:t xml:space="preserve">Нет</x:t>
        </x:is>
      </x:c>
      <x:c r="S1772" s="31" t="inlineStr">
        <x:is>
          <x:t xml:space="preserve">Нет</x:t>
        </x:is>
      </x:c>
    </x:row>
    <x:row r="1773">
      <x:c r="A1773" s="31" t="inlineStr">
        <x:is>
          <x:t xml:space="preserve">ОП-001772</x:t>
        </x:is>
      </x:c>
      <x:c r="B1773" s="31" t="inlineStr">
        <x:is>
          <x:t xml:space="preserve">ПЗ-00211</x:t>
        </x:is>
      </x:c>
      <x:c r="C1773" s="31" t="inlineStr">
        <x:is>
          <x:t xml:space="preserve">ЗК-1102</x:t>
        </x:is>
      </x:c>
      <x:c r="D1773" s="31" t="inlineStr">
        <x:is>
          <x:t xml:space="preserve">ПОЗ-0102-1</x:t>
        </x:is>
      </x:c>
      <x:c r="E1773" s="31" t="inlineStr">
        <x:is>
          <x:t xml:space="preserve">ИЗД-043</x:t>
        </x:is>
      </x:c>
      <x:c r="F1773" s="31" t="n">
        <x:v>90</x:v>
      </x:c>
      <x:c r="G1773" s="31" t="inlineStr">
        <x:is>
          <x:t xml:space="preserve">ОТК</x:t>
        </x:is>
      </x:c>
      <x:c r="H1773" s="31" t="inlineStr">
        <x:is>
          <x:t xml:space="preserve">ОТК</x:t>
        </x:is>
      </x:c>
      <x:c r="I1773" s="31" t="inlineStr">
        <x:is>
          <x:t xml:space="preserve">ОБ-032</x:t>
        </x:is>
      </x:c>
      <x:c r="J1773" s="31" t="inlineStr">
        <x:is>
          <x:t xml:space="preserve">СОТР-098</x:t>
        </x:is>
      </x:c>
      <x:c r="K1773" s="31" t="n">
        <x:v>9.9</x:v>
      </x:c>
      <x:c r="L1773" s="31" t="n">
        <x:v>9.9</x:v>
      </x:c>
      <x:c r="M1773" s="31" t="n">
        <x:v>46196</x:v>
      </x:c>
      <x:c r="N1773" s="31" t="n">
        <x:v>46197</x:v>
      </x:c>
      <x:c r="O1773" s="31" t="n">
        <x:v>46196</x:v>
      </x:c>
      <x:c r="P1773" s="31" t="n">
        <x:v>46198</x:v>
      </x:c>
      <x:c r="Q1773" s="31" t="inlineStr">
        <x:is>
          <x:t xml:space="preserve">Завершено</x:t>
        </x:is>
      </x:c>
      <x:c r="R1773" s="31" t="inlineStr">
        <x:is>
          <x:t xml:space="preserve">Материал</x:t>
        </x:is>
      </x:c>
      <x:c r="S1773" s="31" t="inlineStr">
        <x:is>
          <x:t xml:space="preserve">Нет</x:t>
        </x:is>
      </x:c>
    </x:row>
    <x:row r="1774">
      <x:c r="A1774" s="31" t="inlineStr">
        <x:is>
          <x:t xml:space="preserve">ОП-001773</x:t>
        </x:is>
      </x:c>
      <x:c r="B1774" s="31" t="inlineStr">
        <x:is>
          <x:t xml:space="preserve">ПЗ-00211</x:t>
        </x:is>
      </x:c>
      <x:c r="C1774" s="31" t="inlineStr">
        <x:is>
          <x:t xml:space="preserve">ЗК-1102</x:t>
        </x:is>
      </x:c>
      <x:c r="D1774" s="31" t="inlineStr">
        <x:is>
          <x:t xml:space="preserve">ПОЗ-0102-1</x:t>
        </x:is>
      </x:c>
      <x:c r="E1774" s="31" t="inlineStr">
        <x:is>
          <x:t xml:space="preserve">ИЗД-043</x:t>
        </x:is>
      </x:c>
      <x:c r="F1774" s="31" t="n">
        <x:v>100</x:v>
      </x:c>
      <x:c r="G1774" s="31" t="inlineStr">
        <x:is>
          <x:t xml:space="preserve">Упаковка</x:t>
        </x:is>
      </x:c>
      <x:c r="H1774" s="31" t="inlineStr">
        <x:is>
          <x:t xml:space="preserve">Логистика</x:t>
        </x:is>
      </x:c>
      <x:c r="I1774" s="31" t="n"/>
      <x:c r="J1774" s="31" t="inlineStr">
        <x:is>
          <x:t xml:space="preserve">СОТР-101</x:t>
        </x:is>
      </x:c>
      <x:c r="K1774" s="31" t="n">
        <x:v>6.7</x:v>
      </x:c>
      <x:c r="L1774" s="31" t="n">
        <x:v>6.3</x:v>
      </x:c>
      <x:c r="M1774" s="31" t="n">
        <x:v>46197</x:v>
      </x:c>
      <x:c r="N1774" s="31" t="n">
        <x:v>46198</x:v>
      </x:c>
      <x:c r="O1774" s="31" t="n">
        <x:v>46197</x:v>
      </x:c>
      <x:c r="P1774" s="31" t="n">
        <x:v>46197</x:v>
      </x:c>
      <x:c r="Q1774" s="31" t="inlineStr">
        <x:is>
          <x:t xml:space="preserve">Завершено</x:t>
        </x:is>
      </x:c>
      <x:c r="R1774" s="31" t="inlineStr">
        <x:is>
          <x:t xml:space="preserve">Нет</x:t>
        </x:is>
      </x:c>
      <x:c r="S1774" s="31" t="inlineStr">
        <x:is>
          <x:t xml:space="preserve">Нет</x:t>
        </x:is>
      </x:c>
    </x:row>
    <x:row r="1775">
      <x:c r="A1775" s="31" t="inlineStr">
        <x:is>
          <x:t xml:space="preserve">ОП-001774</x:t>
        </x:is>
      </x:c>
      <x:c r="B1775" s="31" t="inlineStr">
        <x:is>
          <x:t xml:space="preserve">ПЗ-00212</x:t>
        </x:is>
      </x:c>
      <x:c r="C1775" s="31" t="inlineStr">
        <x:is>
          <x:t xml:space="preserve">ЗК-1102</x:t>
        </x:is>
      </x:c>
      <x:c r="D1775" s="31" t="inlineStr">
        <x:is>
          <x:t xml:space="preserve">ПОЗ-0102-2</x:t>
        </x:is>
      </x:c>
      <x:c r="E1775" s="31" t="inlineStr">
        <x:is>
          <x:t xml:space="preserve">ИЗД-036</x:t>
        </x:is>
      </x:c>
      <x:c r="F1775" s="31" t="n">
        <x:v>10</x:v>
      </x:c>
      <x:c r="G1775" s="31" t="inlineStr">
        <x:is>
          <x:t xml:space="preserve">КД</x:t>
        </x:is>
      </x:c>
      <x:c r="H1775" s="31" t="inlineStr">
        <x:is>
          <x:t xml:space="preserve">Инженерный отдел</x:t>
        </x:is>
      </x:c>
      <x:c r="I1775" s="31" t="n"/>
      <x:c r="J1775" s="31" t="inlineStr">
        <x:is>
          <x:t xml:space="preserve">СОТР-015</x:t>
        </x:is>
      </x:c>
      <x:c r="K1775" s="31" t="n">
        <x:v>7.5</x:v>
      </x:c>
      <x:c r="L1775" s="31" t="n">
        <x:v>8.199999999999999</x:v>
      </x:c>
      <x:c r="M1775" s="31" t="n">
        <x:v>46182</x:v>
      </x:c>
      <x:c r="N1775" s="31" t="n">
        <x:v>46183</x:v>
      </x:c>
      <x:c r="O1775" s="31" t="n">
        <x:v>46182</x:v>
      </x:c>
      <x:c r="P1775" s="31" t="n">
        <x:v>46182</x:v>
      </x:c>
      <x:c r="Q1775" s="31" t="inlineStr">
        <x:is>
          <x:t xml:space="preserve">Завершено</x:t>
        </x:is>
      </x:c>
      <x:c r="R1775" s="31" t="inlineStr">
        <x:is>
          <x:t xml:space="preserve">Нет</x:t>
        </x:is>
      </x:c>
      <x:c r="S1775" s="31" t="inlineStr">
        <x:is>
          <x:t xml:space="preserve">Нет</x:t>
        </x:is>
      </x:c>
    </x:row>
    <x:row r="1776">
      <x:c r="A1776" s="31" t="inlineStr">
        <x:is>
          <x:t xml:space="preserve">ОП-001775</x:t>
        </x:is>
      </x:c>
      <x:c r="B1776" s="31" t="inlineStr">
        <x:is>
          <x:t xml:space="preserve">ПЗ-00212</x:t>
        </x:is>
      </x:c>
      <x:c r="C1776" s="31" t="inlineStr">
        <x:is>
          <x:t xml:space="preserve">ЗК-1102</x:t>
        </x:is>
      </x:c>
      <x:c r="D1776" s="31" t="inlineStr">
        <x:is>
          <x:t xml:space="preserve">ПОЗ-0102-2</x:t>
        </x:is>
      </x:c>
      <x:c r="E1776" s="31" t="inlineStr">
        <x:is>
          <x:t xml:space="preserve">ИЗД-036</x:t>
        </x:is>
      </x:c>
      <x:c r="F1776" s="31" t="n">
        <x:v>20</x:v>
      </x:c>
      <x:c r="G1776" s="31" t="inlineStr">
        <x:is>
          <x:t xml:space="preserve">Комплектация</x:t>
        </x:is>
      </x:c>
      <x:c r="H1776" s="31" t="inlineStr">
        <x:is>
          <x:t xml:space="preserve">Склад</x:t>
        </x:is>
      </x:c>
      <x:c r="I1776" s="31" t="inlineStr">
        <x:is>
          <x:t xml:space="preserve">ОБ-008</x:t>
        </x:is>
      </x:c>
      <x:c r="J1776" s="31" t="inlineStr">
        <x:is>
          <x:t xml:space="preserve">СОТР-035</x:t>
        </x:is>
      </x:c>
      <x:c r="K1776" s="31" t="n">
        <x:v>8.699999999999999</x:v>
      </x:c>
      <x:c r="L1776" s="31" t="n">
        <x:v>11.2</x:v>
      </x:c>
      <x:c r="M1776" s="31" t="n">
        <x:v>46183</x:v>
      </x:c>
      <x:c r="N1776" s="31" t="n">
        <x:v>46184</x:v>
      </x:c>
      <x:c r="O1776" s="31" t="n">
        <x:v>46183</x:v>
      </x:c>
      <x:c r="P1776" s="31" t="n">
        <x:v>46186</x:v>
      </x:c>
      <x:c r="Q1776" s="31" t="inlineStr">
        <x:is>
          <x:t xml:space="preserve">Завершено</x:t>
        </x:is>
      </x:c>
      <x:c r="R1776" s="31" t="inlineStr">
        <x:is>
          <x:t xml:space="preserve">Нет</x:t>
        </x:is>
      </x:c>
      <x:c r="S1776" s="31" t="inlineStr">
        <x:is>
          <x:t xml:space="preserve">Да</x:t>
        </x:is>
      </x:c>
    </x:row>
    <x:row r="1777">
      <x:c r="A1777" s="31" t="inlineStr">
        <x:is>
          <x:t xml:space="preserve">ОП-001776</x:t>
        </x:is>
      </x:c>
      <x:c r="B1777" s="31" t="inlineStr">
        <x:is>
          <x:t xml:space="preserve">ПЗ-00212</x:t>
        </x:is>
      </x:c>
      <x:c r="C1777" s="31" t="inlineStr">
        <x:is>
          <x:t xml:space="preserve">ЗК-1102</x:t>
        </x:is>
      </x:c>
      <x:c r="D1777" s="31" t="inlineStr">
        <x:is>
          <x:t xml:space="preserve">ПОЗ-0102-2</x:t>
        </x:is>
      </x:c>
      <x:c r="E1777" s="31" t="inlineStr">
        <x:is>
          <x:t xml:space="preserve">ИЗД-036</x:t>
        </x:is>
      </x:c>
      <x:c r="F1777" s="31" t="n">
        <x:v>30</x:v>
      </x:c>
      <x:c r="G1777" s="31" t="inlineStr">
        <x:is>
          <x:t xml:space="preserve">Сборка шкафа</x:t>
        </x:is>
      </x:c>
      <x:c r="H1777" s="31" t="inlineStr">
        <x:is>
          <x:t xml:space="preserve">Сборка</x:t>
        </x:is>
      </x:c>
      <x:c r="I1777" s="31" t="inlineStr">
        <x:is>
          <x:t xml:space="preserve">ОБ-014</x:t>
        </x:is>
      </x:c>
      <x:c r="J1777" s="31" t="inlineStr">
        <x:is>
          <x:t xml:space="preserve">СОТР-074</x:t>
        </x:is>
      </x:c>
      <x:c r="K1777" s="31" t="n">
        <x:v>4</x:v>
      </x:c>
      <x:c r="L1777" s="31" t="n">
        <x:v>4.7</x:v>
      </x:c>
      <x:c r="M1777" s="31" t="n">
        <x:v>46184</x:v>
      </x:c>
      <x:c r="N1777" s="31" t="n">
        <x:v>46185</x:v>
      </x:c>
      <x:c r="O1777" s="31" t="n">
        <x:v>46184</x:v>
      </x:c>
      <x:c r="P1777" s="31" t="n">
        <x:v>46184</x:v>
      </x:c>
      <x:c r="Q1777" s="31" t="inlineStr">
        <x:is>
          <x:t xml:space="preserve">Завершено</x:t>
        </x:is>
      </x:c>
      <x:c r="R1777" s="31" t="inlineStr">
        <x:is>
          <x:t xml:space="preserve">Материал</x:t>
        </x:is>
      </x:c>
      <x:c r="S1777" s="31" t="inlineStr">
        <x:is>
          <x:t xml:space="preserve">Нет</x:t>
        </x:is>
      </x:c>
    </x:row>
    <x:row r="1778">
      <x:c r="A1778" s="31" t="inlineStr">
        <x:is>
          <x:t xml:space="preserve">ОП-001777</x:t>
        </x:is>
      </x:c>
      <x:c r="B1778" s="31" t="inlineStr">
        <x:is>
          <x:t xml:space="preserve">ПЗ-00212</x:t>
        </x:is>
      </x:c>
      <x:c r="C1778" s="31" t="inlineStr">
        <x:is>
          <x:t xml:space="preserve">ЗК-1102</x:t>
        </x:is>
      </x:c>
      <x:c r="D1778" s="31" t="inlineStr">
        <x:is>
          <x:t xml:space="preserve">ПОЗ-0102-2</x:t>
        </x:is>
      </x:c>
      <x:c r="E1778" s="31" t="inlineStr">
        <x:is>
          <x:t xml:space="preserve">ИЗД-036</x:t>
        </x:is>
      </x:c>
      <x:c r="F1778" s="31" t="n">
        <x:v>40</x:v>
      </x:c>
      <x:c r="G1778" s="31" t="inlineStr">
        <x:is>
          <x:t xml:space="preserve">Маркировка</x:t>
        </x:is>
      </x:c>
      <x:c r="H1778" s="31" t="inlineStr">
        <x:is>
          <x:t xml:space="preserve">Сборка</x:t>
        </x:is>
      </x:c>
      <x:c r="I1778" s="31" t="inlineStr">
        <x:is>
          <x:t xml:space="preserve">ОБ-005</x:t>
        </x:is>
      </x:c>
      <x:c r="J1778" s="31" t="inlineStr">
        <x:is>
          <x:t xml:space="preserve">СОТР-090</x:t>
        </x:is>
      </x:c>
      <x:c r="K1778" s="31" t="n">
        <x:v>7.5</x:v>
      </x:c>
      <x:c r="L1778" s="31" t="n">
        <x:v>6.5</x:v>
      </x:c>
      <x:c r="M1778" s="31" t="n">
        <x:v>46185</x:v>
      </x:c>
      <x:c r="N1778" s="31" t="n">
        <x:v>46186</x:v>
      </x:c>
      <x:c r="O1778" s="31" t="n">
        <x:v>46185</x:v>
      </x:c>
      <x:c r="P1778" s="31" t="n">
        <x:v>46188</x:v>
      </x:c>
      <x:c r="Q1778" s="31" t="inlineStr">
        <x:is>
          <x:t xml:space="preserve">Завершено</x:t>
        </x:is>
      </x:c>
      <x:c r="R1778" s="31" t="inlineStr">
        <x:is>
          <x:t xml:space="preserve">Нет</x:t>
        </x:is>
      </x:c>
      <x:c r="S1778" s="31" t="inlineStr">
        <x:is>
          <x:t xml:space="preserve">Нет</x:t>
        </x:is>
      </x:c>
    </x:row>
    <x:row r="1779">
      <x:c r="A1779" s="31" t="inlineStr">
        <x:is>
          <x:t xml:space="preserve">ОП-001778</x:t>
        </x:is>
      </x:c>
      <x:c r="B1779" s="31" t="inlineStr">
        <x:is>
          <x:t xml:space="preserve">ПЗ-00212</x:t>
        </x:is>
      </x:c>
      <x:c r="C1779" s="31" t="inlineStr">
        <x:is>
          <x:t xml:space="preserve">ЗК-1102</x:t>
        </x:is>
      </x:c>
      <x:c r="D1779" s="31" t="inlineStr">
        <x:is>
          <x:t xml:space="preserve">ПОЗ-0102-2</x:t>
        </x:is>
      </x:c>
      <x:c r="E1779" s="31" t="inlineStr">
        <x:is>
          <x:t xml:space="preserve">ИЗД-036</x:t>
        </x:is>
      </x:c>
      <x:c r="F1779" s="31" t="n">
        <x:v>50</x:v>
      </x:c>
      <x:c r="G1779" s="31" t="inlineStr">
        <x:is>
          <x:t xml:space="preserve">Электромонтаж</x:t>
        </x:is>
      </x:c>
      <x:c r="H1779" s="31" t="inlineStr">
        <x:is>
          <x:t xml:space="preserve">Сборка</x:t>
        </x:is>
      </x:c>
      <x:c r="I1779" s="31" t="inlineStr">
        <x:is>
          <x:t xml:space="preserve">ОБ-017</x:t>
        </x:is>
      </x:c>
      <x:c r="J1779" s="31" t="inlineStr">
        <x:is>
          <x:t xml:space="preserve">СОТР-087</x:t>
        </x:is>
      </x:c>
      <x:c r="K1779" s="31" t="n">
        <x:v>4.6</x:v>
      </x:c>
      <x:c r="L1779" s="31" t="n">
        <x:v>5.4</x:v>
      </x:c>
      <x:c r="M1779" s="31" t="n">
        <x:v>46186</x:v>
      </x:c>
      <x:c r="N1779" s="31" t="n">
        <x:v>46187</x:v>
      </x:c>
      <x:c r="O1779" s="31" t="n">
        <x:v>46186</x:v>
      </x:c>
      <x:c r="P1779" s="31" t="n">
        <x:v>46187</x:v>
      </x:c>
      <x:c r="Q1779" s="31" t="inlineStr">
        <x:is>
          <x:t xml:space="preserve">Завершено</x:t>
        </x:is>
      </x:c>
      <x:c r="R1779" s="31" t="inlineStr">
        <x:is>
          <x:t xml:space="preserve">Нет</x:t>
        </x:is>
      </x:c>
      <x:c r="S1779" s="31" t="inlineStr">
        <x:is>
          <x:t xml:space="preserve">Нет</x:t>
        </x:is>
      </x:c>
    </x:row>
    <x:row r="1780">
      <x:c r="A1780" s="31" t="inlineStr">
        <x:is>
          <x:t xml:space="preserve">ОП-001779</x:t>
        </x:is>
      </x:c>
      <x:c r="B1780" s="31" t="inlineStr">
        <x:is>
          <x:t xml:space="preserve">ПЗ-00212</x:t>
        </x:is>
      </x:c>
      <x:c r="C1780" s="31" t="inlineStr">
        <x:is>
          <x:t xml:space="preserve">ЗК-1102</x:t>
        </x:is>
      </x:c>
      <x:c r="D1780" s="31" t="inlineStr">
        <x:is>
          <x:t xml:space="preserve">ПОЗ-0102-2</x:t>
        </x:is>
      </x:c>
      <x:c r="E1780" s="31" t="inlineStr">
        <x:is>
          <x:t xml:space="preserve">ИЗД-036</x:t>
        </x:is>
      </x:c>
      <x:c r="F1780" s="31" t="n">
        <x:v>60</x:v>
      </x:c>
      <x:c r="G1780" s="31" t="inlineStr">
        <x:is>
          <x:t xml:space="preserve">Программирование ПЛК</x:t>
        </x:is>
      </x:c>
      <x:c r="H1780" s="31" t="inlineStr">
        <x:is>
          <x:t xml:space="preserve">Инженерный отдел</x:t>
        </x:is>
      </x:c>
      <x:c r="I1780" s="31" t="n"/>
      <x:c r="J1780" s="31" t="inlineStr">
        <x:is>
          <x:t xml:space="preserve">СОТР-019</x:t>
        </x:is>
      </x:c>
      <x:c r="K1780" s="31" t="n">
        <x:v>17.9</x:v>
      </x:c>
      <x:c r="L1780" s="31" t="n">
        <x:v>23.2</x:v>
      </x:c>
      <x:c r="M1780" s="31" t="n">
        <x:v>46187</x:v>
      </x:c>
      <x:c r="N1780" s="31" t="n">
        <x:v>46189</x:v>
      </x:c>
      <x:c r="O1780" s="31" t="n">
        <x:v>46187</x:v>
      </x:c>
      <x:c r="P1780" s="31" t="n">
        <x:v>46191</x:v>
      </x:c>
      <x:c r="Q1780" s="31" t="inlineStr">
        <x:is>
          <x:t xml:space="preserve">Завершено</x:t>
        </x:is>
      </x:c>
      <x:c r="R1780" s="31" t="inlineStr">
        <x:is>
          <x:t xml:space="preserve">Ожидание ОТК</x:t>
        </x:is>
      </x:c>
      <x:c r="S1780" s="31" t="inlineStr">
        <x:is>
          <x:t xml:space="preserve">Нет</x:t>
        </x:is>
      </x:c>
    </x:row>
    <x:row r="1781">
      <x:c r="A1781" s="31" t="inlineStr">
        <x:is>
          <x:t xml:space="preserve">ОП-001780</x:t>
        </x:is>
      </x:c>
      <x:c r="B1781" s="31" t="inlineStr">
        <x:is>
          <x:t xml:space="preserve">ПЗ-00212</x:t>
        </x:is>
      </x:c>
      <x:c r="C1781" s="31" t="inlineStr">
        <x:is>
          <x:t xml:space="preserve">ЗК-1102</x:t>
        </x:is>
      </x:c>
      <x:c r="D1781" s="31" t="inlineStr">
        <x:is>
          <x:t xml:space="preserve">ПОЗ-0102-2</x:t>
        </x:is>
      </x:c>
      <x:c r="E1781" s="31" t="inlineStr">
        <x:is>
          <x:t xml:space="preserve">ИЗД-036</x:t>
        </x:is>
      </x:c>
      <x:c r="F1781" s="31" t="n">
        <x:v>70</x:v>
      </x:c>
      <x:c r="G1781" s="31" t="inlineStr">
        <x:is>
          <x:t xml:space="preserve">Приемочные испытания</x:t>
        </x:is>
      </x:c>
      <x:c r="H1781" s="31" t="inlineStr">
        <x:is>
          <x:t xml:space="preserve">ОТК</x:t>
        </x:is>
      </x:c>
      <x:c r="I1781" s="31" t="inlineStr">
        <x:is>
          <x:t xml:space="preserve">ОБ-033</x:t>
        </x:is>
      </x:c>
      <x:c r="J1781" s="31" t="inlineStr">
        <x:is>
          <x:t xml:space="preserve">СОТР-099</x:t>
        </x:is>
      </x:c>
      <x:c r="K1781" s="31" t="n">
        <x:v>16.5</x:v>
      </x:c>
      <x:c r="L1781" s="31" t="n">
        <x:v>21</x:v>
      </x:c>
      <x:c r="M1781" s="31" t="n">
        <x:v>46189</x:v>
      </x:c>
      <x:c r="N1781" s="31" t="n">
        <x:v>46191</x:v>
      </x:c>
      <x:c r="O1781" s="31" t="n">
        <x:v>46189</x:v>
      </x:c>
      <x:c r="P1781" s="31" t="n">
        <x:v>46191</x:v>
      </x:c>
      <x:c r="Q1781" s="31" t="inlineStr">
        <x:is>
          <x:t xml:space="preserve">Завершено</x:t>
        </x:is>
      </x:c>
      <x:c r="R1781" s="31" t="inlineStr">
        <x:is>
          <x:t xml:space="preserve">Нет</x:t>
        </x:is>
      </x:c>
      <x:c r="S1781" s="31" t="inlineStr">
        <x:is>
          <x:t xml:space="preserve">Нет</x:t>
        </x:is>
      </x:c>
    </x:row>
    <x:row r="1782">
      <x:c r="A1782" s="31" t="inlineStr">
        <x:is>
          <x:t xml:space="preserve">ОП-001781</x:t>
        </x:is>
      </x:c>
      <x:c r="B1782" s="31" t="inlineStr">
        <x:is>
          <x:t xml:space="preserve">ПЗ-00212</x:t>
        </x:is>
      </x:c>
      <x:c r="C1782" s="31" t="inlineStr">
        <x:is>
          <x:t xml:space="preserve">ЗК-1102</x:t>
        </x:is>
      </x:c>
      <x:c r="D1782" s="31" t="inlineStr">
        <x:is>
          <x:t xml:space="preserve">ПОЗ-0102-2</x:t>
        </x:is>
      </x:c>
      <x:c r="E1782" s="31" t="inlineStr">
        <x:is>
          <x:t xml:space="preserve">ИЗД-036</x:t>
        </x:is>
      </x:c>
      <x:c r="F1782" s="31" t="n">
        <x:v>80</x:v>
      </x:c>
      <x:c r="G1782" s="31" t="inlineStr">
        <x:is>
          <x:t xml:space="preserve">ОТК</x:t>
        </x:is>
      </x:c>
      <x:c r="H1782" s="31" t="inlineStr">
        <x:is>
          <x:t xml:space="preserve">ОТК</x:t>
        </x:is>
      </x:c>
      <x:c r="I1782" s="31" t="inlineStr">
        <x:is>
          <x:t xml:space="preserve">ОБ-006</x:t>
        </x:is>
      </x:c>
      <x:c r="J1782" s="31" t="inlineStr">
        <x:is>
          <x:t xml:space="preserve">СОТР-093</x:t>
        </x:is>
      </x:c>
      <x:c r="K1782" s="31" t="n">
        <x:v>17.1</x:v>
      </x:c>
      <x:c r="L1782" s="31" t="n">
        <x:v>20.7</x:v>
      </x:c>
      <x:c r="M1782" s="31" t="n">
        <x:v>46191</x:v>
      </x:c>
      <x:c r="N1782" s="31" t="n">
        <x:v>46193</x:v>
      </x:c>
      <x:c r="O1782" s="31" t="n">
        <x:v>46191</x:v>
      </x:c>
      <x:c r="P1782" s="31" t="n">
        <x:v>46192</x:v>
      </x:c>
      <x:c r="Q1782" s="31" t="inlineStr">
        <x:is>
          <x:t xml:space="preserve">Завершено</x:t>
        </x:is>
      </x:c>
      <x:c r="R1782" s="31" t="inlineStr">
        <x:is>
          <x:t xml:space="preserve">Нет</x:t>
        </x:is>
      </x:c>
      <x:c r="S1782" s="31" t="inlineStr">
        <x:is>
          <x:t xml:space="preserve">Нет</x:t>
        </x:is>
      </x:c>
    </x:row>
    <x:row r="1783">
      <x:c r="A1783" s="31" t="inlineStr">
        <x:is>
          <x:t xml:space="preserve">ОП-001782</x:t>
        </x:is>
      </x:c>
      <x:c r="B1783" s="31" t="inlineStr">
        <x:is>
          <x:t xml:space="preserve">ПЗ-00212</x:t>
        </x:is>
      </x:c>
      <x:c r="C1783" s="31" t="inlineStr">
        <x:is>
          <x:t xml:space="preserve">ЗК-1102</x:t>
        </x:is>
      </x:c>
      <x:c r="D1783" s="31" t="inlineStr">
        <x:is>
          <x:t xml:space="preserve">ПОЗ-0102-2</x:t>
        </x:is>
      </x:c>
      <x:c r="E1783" s="31" t="inlineStr">
        <x:is>
          <x:t xml:space="preserve">ИЗД-036</x:t>
        </x:is>
      </x:c>
      <x:c r="F1783" s="31" t="n">
        <x:v>90</x:v>
      </x:c>
      <x:c r="G1783" s="31" t="inlineStr">
        <x:is>
          <x:t xml:space="preserve">Упаковка</x:t>
        </x:is>
      </x:c>
      <x:c r="H1783" s="31" t="inlineStr">
        <x:is>
          <x:t xml:space="preserve">Логистика</x:t>
        </x:is>
      </x:c>
      <x:c r="I1783" s="31" t="n"/>
      <x:c r="J1783" s="31" t="inlineStr">
        <x:is>
          <x:t xml:space="preserve">СОТР-104</x:t>
        </x:is>
      </x:c>
      <x:c r="K1783" s="31" t="n">
        <x:v>3.2</x:v>
      </x:c>
      <x:c r="L1783" s="31" t="n">
        <x:v>2.7</x:v>
      </x:c>
      <x:c r="M1783" s="31" t="n">
        <x:v>46193</x:v>
      </x:c>
      <x:c r="N1783" s="31" t="n">
        <x:v>46194</x:v>
      </x:c>
      <x:c r="O1783" s="31" t="n">
        <x:v>46193</x:v>
      </x:c>
      <x:c r="P1783" s="31" t="n">
        <x:v>46194</x:v>
      </x:c>
      <x:c r="Q1783" s="31" t="inlineStr">
        <x:is>
          <x:t xml:space="preserve">Завершено</x:t>
        </x:is>
      </x:c>
      <x:c r="R1783" s="31" t="inlineStr">
        <x:is>
          <x:t xml:space="preserve">Нет</x:t>
        </x:is>
      </x:c>
      <x:c r="S1783" s="31" t="inlineStr">
        <x:is>
          <x:t xml:space="preserve">Нет</x:t>
        </x:is>
      </x:c>
    </x:row>
    <x:row r="1784">
      <x:c r="A1784" s="31" t="inlineStr">
        <x:is>
          <x:t xml:space="preserve">ОП-001783</x:t>
        </x:is>
      </x:c>
      <x:c r="B1784" s="31" t="inlineStr">
        <x:is>
          <x:t xml:space="preserve">ПЗ-00213</x:t>
        </x:is>
      </x:c>
      <x:c r="C1784" s="31" t="inlineStr">
        <x:is>
          <x:t xml:space="preserve">ЗК-1102</x:t>
        </x:is>
      </x:c>
      <x:c r="D1784" s="31" t="inlineStr">
        <x:is>
          <x:t xml:space="preserve">ПОЗ-0102-3</x:t>
        </x:is>
      </x:c>
      <x:c r="E1784" s="31" t="inlineStr">
        <x:is>
          <x:t xml:space="preserve">ИЗД-025</x:t>
        </x:is>
      </x:c>
      <x:c r="F1784" s="31" t="n">
        <x:v>10</x:v>
      </x:c>
      <x:c r="G1784" s="31" t="inlineStr">
        <x:is>
          <x:t xml:space="preserve">КД</x:t>
        </x:is>
      </x:c>
      <x:c r="H1784" s="31" t="inlineStr">
        <x:is>
          <x:t xml:space="preserve">Инженерный отдел</x:t>
        </x:is>
      </x:c>
      <x:c r="I1784" s="31" t="n"/>
      <x:c r="J1784" s="31" t="inlineStr">
        <x:is>
          <x:t xml:space="preserve">СОТР-019</x:t>
        </x:is>
      </x:c>
      <x:c r="K1784" s="31" t="n">
        <x:v>45.5</x:v>
      </x:c>
      <x:c r="L1784" s="31" t="n">
        <x:v>47.5</x:v>
      </x:c>
      <x:c r="M1784" s="31" t="n">
        <x:v>46173</x:v>
      </x:c>
      <x:c r="N1784" s="31" t="n">
        <x:v>46177</x:v>
      </x:c>
      <x:c r="O1784" s="31" t="n">
        <x:v>46173</x:v>
      </x:c>
      <x:c r="P1784" s="31" t="n">
        <x:v>46176</x:v>
      </x:c>
      <x:c r="Q1784" s="31" t="inlineStr">
        <x:is>
          <x:t xml:space="preserve">Завершено</x:t>
        </x:is>
      </x:c>
      <x:c r="R1784" s="31" t="inlineStr">
        <x:is>
          <x:t xml:space="preserve">Нет</x:t>
        </x:is>
      </x:c>
      <x:c r="S1784" s="31" t="inlineStr">
        <x:is>
          <x:t xml:space="preserve">Да</x:t>
        </x:is>
      </x:c>
    </x:row>
    <x:row r="1785">
      <x:c r="A1785" s="31" t="inlineStr">
        <x:is>
          <x:t xml:space="preserve">ОП-001784</x:t>
        </x:is>
      </x:c>
      <x:c r="B1785" s="31" t="inlineStr">
        <x:is>
          <x:t xml:space="preserve">ПЗ-00213</x:t>
        </x:is>
      </x:c>
      <x:c r="C1785" s="31" t="inlineStr">
        <x:is>
          <x:t xml:space="preserve">ЗК-1102</x:t>
        </x:is>
      </x:c>
      <x:c r="D1785" s="31" t="inlineStr">
        <x:is>
          <x:t xml:space="preserve">ПОЗ-0102-3</x:t>
        </x:is>
      </x:c>
      <x:c r="E1785" s="31" t="inlineStr">
        <x:is>
          <x:t xml:space="preserve">ИЗД-025</x:t>
        </x:is>
      </x:c>
      <x:c r="F1785" s="31" t="n">
        <x:v>20</x:v>
      </x:c>
      <x:c r="G1785" s="31" t="inlineStr">
        <x:is>
          <x:t xml:space="preserve">Резерв материалов</x:t>
        </x:is>
      </x:c>
      <x:c r="H1785" s="31" t="inlineStr">
        <x:is>
          <x:t xml:space="preserve">Склад</x:t>
        </x:is>
      </x:c>
      <x:c r="I1785" s="31" t="inlineStr">
        <x:is>
          <x:t xml:space="preserve">ОБ-025</x:t>
        </x:is>
      </x:c>
      <x:c r="J1785" s="31" t="inlineStr">
        <x:is>
          <x:t xml:space="preserve">СОТР-033</x:t>
        </x:is>
      </x:c>
      <x:c r="K1785" s="31" t="n">
        <x:v>11.5</x:v>
      </x:c>
      <x:c r="L1785" s="31" t="n">
        <x:v>14.7</x:v>
      </x:c>
      <x:c r="M1785" s="31" t="n">
        <x:v>46177</x:v>
      </x:c>
      <x:c r="N1785" s="31" t="n">
        <x:v>46178</x:v>
      </x:c>
      <x:c r="O1785" s="31" t="n">
        <x:v>46177</x:v>
      </x:c>
      <x:c r="P1785" s="31" t="n">
        <x:v>46179</x:v>
      </x:c>
      <x:c r="Q1785" s="31" t="inlineStr">
        <x:is>
          <x:t xml:space="preserve">Завершено</x:t>
        </x:is>
      </x:c>
      <x:c r="R1785" s="31" t="inlineStr">
        <x:is>
          <x:t xml:space="preserve">Нет</x:t>
        </x:is>
      </x:c>
      <x:c r="S1785" s="31" t="inlineStr">
        <x:is>
          <x:t xml:space="preserve">Нет</x:t>
        </x:is>
      </x:c>
    </x:row>
    <x:row r="1786">
      <x:c r="A1786" s="31" t="inlineStr">
        <x:is>
          <x:t xml:space="preserve">ОП-001785</x:t>
        </x:is>
      </x:c>
      <x:c r="B1786" s="31" t="inlineStr">
        <x:is>
          <x:t xml:space="preserve">ПЗ-00213</x:t>
        </x:is>
      </x:c>
      <x:c r="C1786" s="31" t="inlineStr">
        <x:is>
          <x:t xml:space="preserve">ЗК-1102</x:t>
        </x:is>
      </x:c>
      <x:c r="D1786" s="31" t="inlineStr">
        <x:is>
          <x:t xml:space="preserve">ПОЗ-0102-3</x:t>
        </x:is>
      </x:c>
      <x:c r="E1786" s="31" t="inlineStr">
        <x:is>
          <x:t xml:space="preserve">ИЗД-025</x:t>
        </x:is>
      </x:c>
      <x:c r="F1786" s="31" t="n">
        <x:v>30</x:v>
      </x:c>
      <x:c r="G1786" s="31" t="inlineStr">
        <x:is>
          <x:t xml:space="preserve">Сварка рамы</x:t>
        </x:is>
      </x:c>
      <x:c r="H1786" s="31" t="inlineStr">
        <x:is>
          <x:t xml:space="preserve">Сварка</x:t>
        </x:is>
      </x:c>
      <x:c r="I1786" s="31" t="inlineStr">
        <x:is>
          <x:t xml:space="preserve">ОБ-010</x:t>
        </x:is>
      </x:c>
      <x:c r="J1786" s="31" t="inlineStr">
        <x:is>
          <x:t xml:space="preserve">СОТР-056</x:t>
        </x:is>
      </x:c>
      <x:c r="K1786" s="31" t="n">
        <x:v>50</x:v>
      </x:c>
      <x:c r="L1786" s="31" t="n">
        <x:v>62.2</x:v>
      </x:c>
      <x:c r="M1786" s="31" t="n">
        <x:v>46178</x:v>
      </x:c>
      <x:c r="N1786" s="31" t="n">
        <x:v>46183</x:v>
      </x:c>
      <x:c r="O1786" s="31" t="n">
        <x:v>46178</x:v>
      </x:c>
      <x:c r="P1786" s="31" t="n">
        <x:v>46182</x:v>
      </x:c>
      <x:c r="Q1786" s="31" t="inlineStr">
        <x:is>
          <x:t xml:space="preserve">Завершено</x:t>
        </x:is>
      </x:c>
      <x:c r="R1786" s="31" t="inlineStr">
        <x:is>
          <x:t xml:space="preserve">Нет</x:t>
        </x:is>
      </x:c>
      <x:c r="S1786" s="31" t="inlineStr">
        <x:is>
          <x:t xml:space="preserve">Нет</x:t>
        </x:is>
      </x:c>
    </x:row>
    <x:row r="1787">
      <x:c r="A1787" s="31" t="inlineStr">
        <x:is>
          <x:t xml:space="preserve">ОП-001786</x:t>
        </x:is>
      </x:c>
      <x:c r="B1787" s="31" t="inlineStr">
        <x:is>
          <x:t xml:space="preserve">ПЗ-00213</x:t>
        </x:is>
      </x:c>
      <x:c r="C1787" s="31" t="inlineStr">
        <x:is>
          <x:t xml:space="preserve">ЗК-1102</x:t>
        </x:is>
      </x:c>
      <x:c r="D1787" s="31" t="inlineStr">
        <x:is>
          <x:t xml:space="preserve">ПОЗ-0102-3</x:t>
        </x:is>
      </x:c>
      <x:c r="E1787" s="31" t="inlineStr">
        <x:is>
          <x:t xml:space="preserve">ИЗД-025</x:t>
        </x:is>
      </x:c>
      <x:c r="F1787" s="31" t="n">
        <x:v>40</x:v>
      </x:c>
      <x:c r="G1787" s="31" t="inlineStr">
        <x:is>
          <x:t xml:space="preserve">Сборка</x:t>
        </x:is>
      </x:c>
      <x:c r="H1787" s="31" t="inlineStr">
        <x:is>
          <x:t xml:space="preserve">Сборка</x:t>
        </x:is>
      </x:c>
      <x:c r="I1787" s="31" t="inlineStr">
        <x:is>
          <x:t xml:space="preserve">ОБ-020</x:t>
        </x:is>
      </x:c>
      <x:c r="J1787" s="31" t="inlineStr">
        <x:is>
          <x:t xml:space="preserve">СОТР-086</x:t>
        </x:is>
      </x:c>
      <x:c r="K1787" s="31" t="n">
        <x:v>38</x:v>
      </x:c>
      <x:c r="L1787" s="31" t="n">
        <x:v>42.1</x:v>
      </x:c>
      <x:c r="M1787" s="31" t="n">
        <x:v>46183</x:v>
      </x:c>
      <x:c r="N1787" s="31" t="n">
        <x:v>46187</x:v>
      </x:c>
      <x:c r="O1787" s="31" t="n">
        <x:v>46183</x:v>
      </x:c>
      <x:c r="P1787" s="31" t="n">
        <x:v>46187</x:v>
      </x:c>
      <x:c r="Q1787" s="31" t="inlineStr">
        <x:is>
          <x:t xml:space="preserve">Завершено</x:t>
        </x:is>
      </x:c>
      <x:c r="R1787" s="31" t="inlineStr">
        <x:is>
          <x:t xml:space="preserve">Нет</x:t>
        </x:is>
      </x:c>
      <x:c r="S1787" s="31" t="inlineStr">
        <x:is>
          <x:t xml:space="preserve">Нет</x:t>
        </x:is>
      </x:c>
    </x:row>
    <x:row r="1788">
      <x:c r="A1788" s="31" t="inlineStr">
        <x:is>
          <x:t xml:space="preserve">ОП-001787</x:t>
        </x:is>
      </x:c>
      <x:c r="B1788" s="31" t="inlineStr">
        <x:is>
          <x:t xml:space="preserve">ПЗ-00213</x:t>
        </x:is>
      </x:c>
      <x:c r="C1788" s="31" t="inlineStr">
        <x:is>
          <x:t xml:space="preserve">ЗК-1102</x:t>
        </x:is>
      </x:c>
      <x:c r="D1788" s="31" t="inlineStr">
        <x:is>
          <x:t xml:space="preserve">ПОЗ-0102-3</x:t>
        </x:is>
      </x:c>
      <x:c r="E1788" s="31" t="inlineStr">
        <x:is>
          <x:t xml:space="preserve">ИЗД-025</x:t>
        </x:is>
      </x:c>
      <x:c r="F1788" s="31" t="n">
        <x:v>50</x:v>
      </x:c>
      <x:c r="G1788" s="31" t="inlineStr">
        <x:is>
          <x:t xml:space="preserve">Обвязка труб</x:t>
        </x:is>
      </x:c>
      <x:c r="H1788" s="31" t="inlineStr">
        <x:is>
          <x:t xml:space="preserve">Сборка</x:t>
        </x:is>
      </x:c>
      <x:c r="I1788" s="31" t="inlineStr">
        <x:is>
          <x:t xml:space="preserve">ОБ-014</x:t>
        </x:is>
      </x:c>
      <x:c r="J1788" s="31" t="inlineStr">
        <x:is>
          <x:t xml:space="preserve">СОТР-079</x:t>
        </x:is>
      </x:c>
      <x:c r="K1788" s="31" t="n">
        <x:v>8.5</x:v>
      </x:c>
      <x:c r="L1788" s="31" t="n">
        <x:v>9.800000000000001</x:v>
      </x:c>
      <x:c r="M1788" s="31" t="n">
        <x:v>46187</x:v>
      </x:c>
      <x:c r="N1788" s="31" t="n">
        <x:v>46188</x:v>
      </x:c>
      <x:c r="O1788" s="31" t="n">
        <x:v>46187</x:v>
      </x:c>
      <x:c r="P1788" s="31" t="n">
        <x:v>46189</x:v>
      </x:c>
      <x:c r="Q1788" s="31" t="inlineStr">
        <x:is>
          <x:t xml:space="preserve">Завершено</x:t>
        </x:is>
      </x:c>
      <x:c r="R1788" s="31" t="inlineStr">
        <x:is>
          <x:t xml:space="preserve">Материал</x:t>
        </x:is>
      </x:c>
      <x:c r="S1788" s="31" t="inlineStr">
        <x:is>
          <x:t xml:space="preserve">Нет</x:t>
        </x:is>
      </x:c>
    </x:row>
    <x:row r="1789">
      <x:c r="A1789" s="31" t="inlineStr">
        <x:is>
          <x:t xml:space="preserve">ОП-001788</x:t>
        </x:is>
      </x:c>
      <x:c r="B1789" s="31" t="inlineStr">
        <x:is>
          <x:t xml:space="preserve">ПЗ-00213</x:t>
        </x:is>
      </x:c>
      <x:c r="C1789" s="31" t="inlineStr">
        <x:is>
          <x:t xml:space="preserve">ЗК-1102</x:t>
        </x:is>
      </x:c>
      <x:c r="D1789" s="31" t="inlineStr">
        <x:is>
          <x:t xml:space="preserve">ПОЗ-0102-3</x:t>
        </x:is>
      </x:c>
      <x:c r="E1789" s="31" t="inlineStr">
        <x:is>
          <x:t xml:space="preserve">ИЗД-025</x:t>
        </x:is>
      </x:c>
      <x:c r="F1789" s="31" t="n">
        <x:v>60</x:v>
      </x:c>
      <x:c r="G1789" s="31" t="inlineStr">
        <x:is>
          <x:t xml:space="preserve">Электромонтаж</x:t>
        </x:is>
      </x:c>
      <x:c r="H1789" s="31" t="inlineStr">
        <x:is>
          <x:t xml:space="preserve">Сборка</x:t>
        </x:is>
      </x:c>
      <x:c r="I1789" s="31" t="inlineStr">
        <x:is>
          <x:t xml:space="preserve">ОБ-002</x:t>
        </x:is>
      </x:c>
      <x:c r="J1789" s="31" t="inlineStr">
        <x:is>
          <x:t xml:space="preserve">СОТР-084</x:t>
        </x:is>
      </x:c>
      <x:c r="K1789" s="31" t="n">
        <x:v>54.5</x:v>
      </x:c>
      <x:c r="L1789" s="31" t="n">
        <x:v>57.2</x:v>
      </x:c>
      <x:c r="M1789" s="31" t="n">
        <x:v>46188</x:v>
      </x:c>
      <x:c r="N1789" s="31" t="n">
        <x:v>46193</x:v>
      </x:c>
      <x:c r="O1789" s="31" t="n">
        <x:v>46188</x:v>
      </x:c>
      <x:c r="P1789" s="31" t="n">
        <x:v>46195</x:v>
      </x:c>
      <x:c r="Q1789" s="31" t="inlineStr">
        <x:is>
          <x:t xml:space="preserve">Завершено</x:t>
        </x:is>
      </x:c>
      <x:c r="R1789" s="31" t="inlineStr">
        <x:is>
          <x:t xml:space="preserve">Нет</x:t>
        </x:is>
      </x:c>
      <x:c r="S1789" s="31" t="inlineStr">
        <x:is>
          <x:t xml:space="preserve">Нет</x:t>
        </x:is>
      </x:c>
    </x:row>
    <x:row r="1790">
      <x:c r="A1790" s="31" t="inlineStr">
        <x:is>
          <x:t xml:space="preserve">ОП-001789</x:t>
        </x:is>
      </x:c>
      <x:c r="B1790" s="31" t="inlineStr">
        <x:is>
          <x:t xml:space="preserve">ПЗ-00213</x:t>
        </x:is>
      </x:c>
      <x:c r="C1790" s="31" t="inlineStr">
        <x:is>
          <x:t xml:space="preserve">ЗК-1102</x:t>
        </x:is>
      </x:c>
      <x:c r="D1790" s="31" t="inlineStr">
        <x:is>
          <x:t xml:space="preserve">ПОЗ-0102-3</x:t>
        </x:is>
      </x:c>
      <x:c r="E1790" s="31" t="inlineStr">
        <x:is>
          <x:t xml:space="preserve">ИЗД-025</x:t>
        </x:is>
      </x:c>
      <x:c r="F1790" s="31" t="n">
        <x:v>70</x:v>
      </x:c>
      <x:c r="G1790" s="31" t="inlineStr">
        <x:is>
          <x:t xml:space="preserve">Гидроиспытания</x:t>
        </x:is>
      </x:c>
      <x:c r="H1790" s="31" t="inlineStr">
        <x:is>
          <x:t xml:space="preserve">ОТК</x:t>
        </x:is>
      </x:c>
      <x:c r="I1790" s="31" t="inlineStr">
        <x:is>
          <x:t xml:space="preserve">ОБ-015</x:t>
        </x:is>
      </x:c>
      <x:c r="J1790" s="31" t="inlineStr">
        <x:is>
          <x:t xml:space="preserve">СОТР-063</x:t>
        </x:is>
      </x:c>
      <x:c r="K1790" s="31" t="n">
        <x:v>30</x:v>
      </x:c>
      <x:c r="L1790" s="31" t="n">
        <x:v>24.1</x:v>
      </x:c>
      <x:c r="M1790" s="31" t="n">
        <x:v>46193</x:v>
      </x:c>
      <x:c r="N1790" s="31" t="n">
        <x:v>46196</x:v>
      </x:c>
      <x:c r="O1790" s="31" t="n">
        <x:v>46193</x:v>
      </x:c>
      <x:c r="P1790" s="31" t="n">
        <x:v>46197</x:v>
      </x:c>
      <x:c r="Q1790" s="31" t="inlineStr">
        <x:is>
          <x:t xml:space="preserve">Завершено</x:t>
        </x:is>
      </x:c>
      <x:c r="R1790" s="31" t="inlineStr">
        <x:is>
          <x:t xml:space="preserve">Нет</x:t>
        </x:is>
      </x:c>
      <x:c r="S1790" s="31" t="inlineStr">
        <x:is>
          <x:t xml:space="preserve">Нет</x:t>
        </x:is>
      </x:c>
    </x:row>
    <x:row r="1791">
      <x:c r="A1791" s="31" t="inlineStr">
        <x:is>
          <x:t xml:space="preserve">ОП-001790</x:t>
        </x:is>
      </x:c>
      <x:c r="B1791" s="31" t="inlineStr">
        <x:is>
          <x:t xml:space="preserve">ПЗ-00213</x:t>
        </x:is>
      </x:c>
      <x:c r="C1791" s="31" t="inlineStr">
        <x:is>
          <x:t xml:space="preserve">ЗК-1102</x:t>
        </x:is>
      </x:c>
      <x:c r="D1791" s="31" t="inlineStr">
        <x:is>
          <x:t xml:space="preserve">ПОЗ-0102-3</x:t>
        </x:is>
      </x:c>
      <x:c r="E1791" s="31" t="inlineStr">
        <x:is>
          <x:t xml:space="preserve">ИЗД-025</x:t>
        </x:is>
      </x:c>
      <x:c r="F1791" s="31" t="n">
        <x:v>80</x:v>
      </x:c>
      <x:c r="G1791" s="31" t="inlineStr">
        <x:is>
          <x:t xml:space="preserve">ОТК</x:t>
        </x:is>
      </x:c>
      <x:c r="H1791" s="31" t="inlineStr">
        <x:is>
          <x:t xml:space="preserve">ОТК</x:t>
        </x:is>
      </x:c>
      <x:c r="I1791" s="31" t="inlineStr">
        <x:is>
          <x:t xml:space="preserve">ОБ-022</x:t>
        </x:is>
      </x:c>
      <x:c r="J1791" s="31" t="inlineStr">
        <x:is>
          <x:t xml:space="preserve">СОТР-096</x:t>
        </x:is>
      </x:c>
      <x:c r="K1791" s="31" t="n">
        <x:v>16</x:v>
      </x:c>
      <x:c r="L1791" s="31" t="n">
        <x:v>18.8</x:v>
      </x:c>
      <x:c r="M1791" s="31" t="n">
        <x:v>46196</x:v>
      </x:c>
      <x:c r="N1791" s="31" t="n">
        <x:v>46198</x:v>
      </x:c>
      <x:c r="O1791" s="31" t="n">
        <x:v>46196</x:v>
      </x:c>
      <x:c r="P1791" s="31" t="n">
        <x:v>46200</x:v>
      </x:c>
      <x:c r="Q1791" s="31" t="inlineStr">
        <x:is>
          <x:t xml:space="preserve">Завершено</x:t>
        </x:is>
      </x:c>
      <x:c r="R1791" s="31" t="inlineStr">
        <x:is>
          <x:t xml:space="preserve">Нет</x:t>
        </x:is>
      </x:c>
      <x:c r="S1791" s="31" t="inlineStr">
        <x:is>
          <x:t xml:space="preserve">Нет</x:t>
        </x:is>
      </x:c>
    </x:row>
    <x:row r="1792">
      <x:c r="A1792" s="31" t="inlineStr">
        <x:is>
          <x:t xml:space="preserve">ОП-001791</x:t>
        </x:is>
      </x:c>
      <x:c r="B1792" s="31" t="inlineStr">
        <x:is>
          <x:t xml:space="preserve">ПЗ-00213</x:t>
        </x:is>
      </x:c>
      <x:c r="C1792" s="31" t="inlineStr">
        <x:is>
          <x:t xml:space="preserve">ЗК-1102</x:t>
        </x:is>
      </x:c>
      <x:c r="D1792" s="31" t="inlineStr">
        <x:is>
          <x:t xml:space="preserve">ПОЗ-0102-3</x:t>
        </x:is>
      </x:c>
      <x:c r="E1792" s="31" t="inlineStr">
        <x:is>
          <x:t xml:space="preserve">ИЗД-025</x:t>
        </x:is>
      </x:c>
      <x:c r="F1792" s="31" t="n">
        <x:v>90</x:v>
      </x:c>
      <x:c r="G1792" s="31" t="inlineStr">
        <x:is>
          <x:t xml:space="preserve">Упаковка</x:t>
        </x:is>
      </x:c>
      <x:c r="H1792" s="31" t="inlineStr">
        <x:is>
          <x:t xml:space="preserve">Логистика</x:t>
        </x:is>
      </x:c>
      <x:c r="I1792" s="31" t="n"/>
      <x:c r="J1792" s="31" t="inlineStr">
        <x:is>
          <x:t xml:space="preserve">СОТР-105</x:t>
        </x:is>
      </x:c>
      <x:c r="K1792" s="31" t="n">
        <x:v>42.5</x:v>
      </x:c>
      <x:c r="L1792" s="31" t="n">
        <x:v>39.6</x:v>
      </x:c>
      <x:c r="M1792" s="31" t="n">
        <x:v>46198</x:v>
      </x:c>
      <x:c r="N1792" s="31" t="n">
        <x:v>46202</x:v>
      </x:c>
      <x:c r="O1792" s="31" t="n">
        <x:v>46198</x:v>
      </x:c>
      <x:c r="P1792" s="31" t="n">
        <x:v>46202</x:v>
      </x:c>
      <x:c r="Q1792" s="31" t="inlineStr">
        <x:is>
          <x:t xml:space="preserve">Завершено</x:t>
        </x:is>
      </x:c>
      <x:c r="R1792" s="31" t="inlineStr">
        <x:is>
          <x:t xml:space="preserve">Нет</x:t>
        </x:is>
      </x:c>
      <x:c r="S1792" s="31" t="inlineStr">
        <x:is>
          <x:t xml:space="preserve">Нет</x:t>
        </x:is>
      </x:c>
    </x:row>
    <x:row r="1793">
      <x:c r="A1793" s="31" t="inlineStr">
        <x:is>
          <x:t xml:space="preserve">ОП-001792</x:t>
        </x:is>
      </x:c>
      <x:c r="B1793" s="31" t="inlineStr">
        <x:is>
          <x:t xml:space="preserve">ПЗ-00214</x:t>
        </x:is>
      </x:c>
      <x:c r="C1793" s="31" t="inlineStr">
        <x:is>
          <x:t xml:space="preserve">ЗК-1102</x:t>
        </x:is>
      </x:c>
      <x:c r="D1793" s="31" t="inlineStr">
        <x:is>
          <x:t xml:space="preserve">ПОЗ-0102-4</x:t>
        </x:is>
      </x:c>
      <x:c r="E1793" s="31" t="inlineStr">
        <x:is>
          <x:t xml:space="preserve">ИЗД-029</x:t>
        </x:is>
      </x:c>
      <x:c r="F1793" s="31" t="n">
        <x:v>10</x:v>
      </x:c>
      <x:c r="G1793" s="31" t="inlineStr">
        <x:is>
          <x:t xml:space="preserve">КД</x:t>
        </x:is>
      </x:c>
      <x:c r="H1793" s="31" t="inlineStr">
        <x:is>
          <x:t xml:space="preserve">Инженерный отдел</x:t>
        </x:is>
      </x:c>
      <x:c r="I1793" s="31" t="n"/>
      <x:c r="J1793" s="31" t="inlineStr">
        <x:is>
          <x:t xml:space="preserve">СОТР-012</x:t>
        </x:is>
      </x:c>
      <x:c r="K1793" s="31" t="n">
        <x:v>36.3</x:v>
      </x:c>
      <x:c r="L1793" s="31" t="n">
        <x:v>34.6</x:v>
      </x:c>
      <x:c r="M1793" s="31" t="n">
        <x:v>46172</x:v>
      </x:c>
      <x:c r="N1793" s="31" t="n">
        <x:v>46176</x:v>
      </x:c>
      <x:c r="O1793" s="31" t="n">
        <x:v>46172</x:v>
      </x:c>
      <x:c r="P1793" s="31" t="n">
        <x:v>46176</x:v>
      </x:c>
      <x:c r="Q1793" s="31" t="inlineStr">
        <x:is>
          <x:t xml:space="preserve">Завершено</x:t>
        </x:is>
      </x:c>
      <x:c r="R1793" s="31" t="inlineStr">
        <x:is>
          <x:t xml:space="preserve">Нет</x:t>
        </x:is>
      </x:c>
      <x:c r="S1793" s="31" t="inlineStr">
        <x:is>
          <x:t xml:space="preserve">Нет</x:t>
        </x:is>
      </x:c>
    </x:row>
    <x:row r="1794">
      <x:c r="A1794" s="31" t="inlineStr">
        <x:is>
          <x:t xml:space="preserve">ОП-001793</x:t>
        </x:is>
      </x:c>
      <x:c r="B1794" s="31" t="inlineStr">
        <x:is>
          <x:t xml:space="preserve">ПЗ-00214</x:t>
        </x:is>
      </x:c>
      <x:c r="C1794" s="31" t="inlineStr">
        <x:is>
          <x:t xml:space="preserve">ЗК-1102</x:t>
        </x:is>
      </x:c>
      <x:c r="D1794" s="31" t="inlineStr">
        <x:is>
          <x:t xml:space="preserve">ПОЗ-0102-4</x:t>
        </x:is>
      </x:c>
      <x:c r="E1794" s="31" t="inlineStr">
        <x:is>
          <x:t xml:space="preserve">ИЗД-029</x:t>
        </x:is>
      </x:c>
      <x:c r="F1794" s="31" t="n">
        <x:v>20</x:v>
      </x:c>
      <x:c r="G1794" s="31" t="inlineStr">
        <x:is>
          <x:t xml:space="preserve">Резерв материалов</x:t>
        </x:is>
      </x:c>
      <x:c r="H1794" s="31" t="inlineStr">
        <x:is>
          <x:t xml:space="preserve">Склад</x:t>
        </x:is>
      </x:c>
      <x:c r="I1794" s="31" t="inlineStr">
        <x:is>
          <x:t xml:space="preserve">ОБ-023</x:t>
        </x:is>
      </x:c>
      <x:c r="J1794" s="31" t="inlineStr">
        <x:is>
          <x:t xml:space="preserve">СОТР-034</x:t>
        </x:is>
      </x:c>
      <x:c r="K1794" s="31" t="n">
        <x:v>18.6</x:v>
      </x:c>
      <x:c r="L1794" s="31" t="n">
        <x:v>14.9</x:v>
      </x:c>
      <x:c r="M1794" s="31" t="n">
        <x:v>46176</x:v>
      </x:c>
      <x:c r="N1794" s="31" t="n">
        <x:v>46178</x:v>
      </x:c>
      <x:c r="O1794" s="31" t="n">
        <x:v>46176</x:v>
      </x:c>
      <x:c r="P1794" s="31" t="n">
        <x:v>46178</x:v>
      </x:c>
      <x:c r="Q1794" s="31" t="inlineStr">
        <x:is>
          <x:t xml:space="preserve">Завершено</x:t>
        </x:is>
      </x:c>
      <x:c r="R1794" s="31" t="inlineStr">
        <x:is>
          <x:t xml:space="preserve">Нет</x:t>
        </x:is>
      </x:c>
      <x:c r="S1794" s="31" t="inlineStr">
        <x:is>
          <x:t xml:space="preserve">Нет</x:t>
        </x:is>
      </x:c>
    </x:row>
    <x:row r="1795">
      <x:c r="A1795" s="31" t="inlineStr">
        <x:is>
          <x:t xml:space="preserve">ОП-001794</x:t>
        </x:is>
      </x:c>
      <x:c r="B1795" s="31" t="inlineStr">
        <x:is>
          <x:t xml:space="preserve">ПЗ-00214</x:t>
        </x:is>
      </x:c>
      <x:c r="C1795" s="31" t="inlineStr">
        <x:is>
          <x:t xml:space="preserve">ЗК-1102</x:t>
        </x:is>
      </x:c>
      <x:c r="D1795" s="31" t="inlineStr">
        <x:is>
          <x:t xml:space="preserve">ПОЗ-0102-4</x:t>
        </x:is>
      </x:c>
      <x:c r="E1795" s="31" t="inlineStr">
        <x:is>
          <x:t xml:space="preserve">ИЗД-029</x:t>
        </x:is>
      </x:c>
      <x:c r="F1795" s="31" t="n">
        <x:v>30</x:v>
      </x:c>
      <x:c r="G1795" s="31" t="inlineStr">
        <x:is>
          <x:t xml:space="preserve">Резка металла</x:t>
        </x:is>
      </x:c>
      <x:c r="H1795" s="31" t="inlineStr">
        <x:is>
          <x:t xml:space="preserve">Сварка</x:t>
        </x:is>
      </x:c>
      <x:c r="I1795" s="31" t="inlineStr">
        <x:is>
          <x:t xml:space="preserve">ОБ-019</x:t>
        </x:is>
      </x:c>
      <x:c r="J1795" s="31" t="inlineStr">
        <x:is>
          <x:t xml:space="preserve">СОТР-058</x:t>
        </x:is>
      </x:c>
      <x:c r="K1795" s="31" t="n">
        <x:v>39.6</x:v>
      </x:c>
      <x:c r="L1795" s="31" t="n">
        <x:v>49</x:v>
      </x:c>
      <x:c r="M1795" s="31" t="n">
        <x:v>46178</x:v>
      </x:c>
      <x:c r="N1795" s="31" t="n">
        <x:v>46182</x:v>
      </x:c>
      <x:c r="O1795" s="31" t="n">
        <x:v>46178</x:v>
      </x:c>
      <x:c r="P1795" s="31" t="n">
        <x:v>46183</x:v>
      </x:c>
      <x:c r="Q1795" s="31" t="inlineStr">
        <x:is>
          <x:t xml:space="preserve">Завершено</x:t>
        </x:is>
      </x:c>
      <x:c r="R1795" s="31" t="inlineStr">
        <x:is>
          <x:t xml:space="preserve">Нет</x:t>
        </x:is>
      </x:c>
      <x:c r="S1795" s="31" t="inlineStr">
        <x:is>
          <x:t xml:space="preserve">Нет</x:t>
        </x:is>
      </x:c>
    </x:row>
    <x:row r="1796">
      <x:c r="A1796" s="31" t="inlineStr">
        <x:is>
          <x:t xml:space="preserve">ОП-001795</x:t>
        </x:is>
      </x:c>
      <x:c r="B1796" s="31" t="inlineStr">
        <x:is>
          <x:t xml:space="preserve">ПЗ-00214</x:t>
        </x:is>
      </x:c>
      <x:c r="C1796" s="31" t="inlineStr">
        <x:is>
          <x:t xml:space="preserve">ЗК-1102</x:t>
        </x:is>
      </x:c>
      <x:c r="D1796" s="31" t="inlineStr">
        <x:is>
          <x:t xml:space="preserve">ПОЗ-0102-4</x:t>
        </x:is>
      </x:c>
      <x:c r="E1796" s="31" t="inlineStr">
        <x:is>
          <x:t xml:space="preserve">ИЗД-029</x:t>
        </x:is>
      </x:c>
      <x:c r="F1796" s="31" t="n">
        <x:v>40</x:v>
      </x:c>
      <x:c r="G1796" s="31" t="inlineStr">
        <x:is>
          <x:t xml:space="preserve">Сварка рамы</x:t>
        </x:is>
      </x:c>
      <x:c r="H1796" s="31" t="inlineStr">
        <x:is>
          <x:t xml:space="preserve">Сварка</x:t>
        </x:is>
      </x:c>
      <x:c r="I1796" s="31" t="inlineStr">
        <x:is>
          <x:t xml:space="preserve">ОБ-004</x:t>
        </x:is>
      </x:c>
      <x:c r="J1796" s="31" t="inlineStr">
        <x:is>
          <x:t xml:space="preserve">СОТР-068</x:t>
        </x:is>
      </x:c>
      <x:c r="K1796" s="31" t="n">
        <x:v>19.8</x:v>
      </x:c>
      <x:c r="L1796" s="31" t="n">
        <x:v>23.3</x:v>
      </x:c>
      <x:c r="M1796" s="31" t="n">
        <x:v>46182</x:v>
      </x:c>
      <x:c r="N1796" s="31" t="n">
        <x:v>46184</x:v>
      </x:c>
      <x:c r="O1796" s="31" t="n">
        <x:v>46182</x:v>
      </x:c>
      <x:c r="P1796" s="31" t="n">
        <x:v>46184</x:v>
      </x:c>
      <x:c r="Q1796" s="31" t="inlineStr">
        <x:is>
          <x:t xml:space="preserve">Завершено</x:t>
        </x:is>
      </x:c>
      <x:c r="R1796" s="31" t="inlineStr">
        <x:is>
          <x:t xml:space="preserve">Нет</x:t>
        </x:is>
      </x:c>
      <x:c r="S1796" s="31" t="inlineStr">
        <x:is>
          <x:t xml:space="preserve">Нет</x:t>
        </x:is>
      </x:c>
    </x:row>
    <x:row r="1797">
      <x:c r="A1797" s="31" t="inlineStr">
        <x:is>
          <x:t xml:space="preserve">ОП-001796</x:t>
        </x:is>
      </x:c>
      <x:c r="B1797" s="31" t="inlineStr">
        <x:is>
          <x:t xml:space="preserve">ПЗ-00214</x:t>
        </x:is>
      </x:c>
      <x:c r="C1797" s="31" t="inlineStr">
        <x:is>
          <x:t xml:space="preserve">ЗК-1102</x:t>
        </x:is>
      </x:c>
      <x:c r="D1797" s="31" t="inlineStr">
        <x:is>
          <x:t xml:space="preserve">ПОЗ-0102-4</x:t>
        </x:is>
      </x:c>
      <x:c r="E1797" s="31" t="inlineStr">
        <x:is>
          <x:t xml:space="preserve">ИЗД-029</x:t>
        </x:is>
      </x:c>
      <x:c r="F1797" s="31" t="n">
        <x:v>50</x:v>
      </x:c>
      <x:c r="G1797" s="31" t="inlineStr">
        <x:is>
          <x:t xml:space="preserve">Механообработка</x:t>
        </x:is>
      </x:c>
      <x:c r="H1797" s="31" t="inlineStr">
        <x:is>
          <x:t xml:space="preserve">Механообработка</x:t>
        </x:is>
      </x:c>
      <x:c r="I1797" s="31" t="inlineStr">
        <x:is>
          <x:t xml:space="preserve">ОБ-030</x:t>
        </x:is>
      </x:c>
      <x:c r="J1797" s="31" t="inlineStr">
        <x:is>
          <x:t xml:space="preserve">СОТР-051</x:t>
        </x:is>
      </x:c>
      <x:c r="K1797" s="31" t="n">
        <x:v>46.2</x:v>
      </x:c>
      <x:c r="L1797" s="31" t="n">
        <x:v>55.3</x:v>
      </x:c>
      <x:c r="M1797" s="31" t="n">
        <x:v>46184</x:v>
      </x:c>
      <x:c r="N1797" s="31" t="n">
        <x:v>46188</x:v>
      </x:c>
      <x:c r="O1797" s="31" t="n">
        <x:v>46184</x:v>
      </x:c>
      <x:c r="P1797" s="31" t="n">
        <x:v>46187</x:v>
      </x:c>
      <x:c r="Q1797" s="31" t="inlineStr">
        <x:is>
          <x:t xml:space="preserve">Завершено</x:t>
        </x:is>
      </x:c>
      <x:c r="R1797" s="31" t="inlineStr">
        <x:is>
          <x:t xml:space="preserve">Нет</x:t>
        </x:is>
      </x:c>
      <x:c r="S1797" s="31" t="inlineStr">
        <x:is>
          <x:t xml:space="preserve">Нет</x:t>
        </x:is>
      </x:c>
    </x:row>
    <x:row r="1798">
      <x:c r="A1798" s="31" t="inlineStr">
        <x:is>
          <x:t xml:space="preserve">ОП-001797</x:t>
        </x:is>
      </x:c>
      <x:c r="B1798" s="31" t="inlineStr">
        <x:is>
          <x:t xml:space="preserve">ПЗ-00214</x:t>
        </x:is>
      </x:c>
      <x:c r="C1798" s="31" t="inlineStr">
        <x:is>
          <x:t xml:space="preserve">ЗК-1102</x:t>
        </x:is>
      </x:c>
      <x:c r="D1798" s="31" t="inlineStr">
        <x:is>
          <x:t xml:space="preserve">ПОЗ-0102-4</x:t>
        </x:is>
      </x:c>
      <x:c r="E1798" s="31" t="inlineStr">
        <x:is>
          <x:t xml:space="preserve">ИЗД-029</x:t>
        </x:is>
      </x:c>
      <x:c r="F1798" s="31" t="n">
        <x:v>60</x:v>
      </x:c>
      <x:c r="G1798" s="31" t="inlineStr">
        <x:is>
          <x:t xml:space="preserve">Сборка</x:t>
        </x:is>
      </x:c>
      <x:c r="H1798" s="31" t="inlineStr">
        <x:is>
          <x:t xml:space="preserve">Сборка</x:t>
        </x:is>
      </x:c>
      <x:c r="I1798" s="31" t="inlineStr">
        <x:is>
          <x:t xml:space="preserve">ОБ-002</x:t>
        </x:is>
      </x:c>
      <x:c r="J1798" s="31" t="inlineStr">
        <x:is>
          <x:t xml:space="preserve">СОТР-032</x:t>
        </x:is>
      </x:c>
      <x:c r="K1798" s="31" t="n">
        <x:v>50.1</x:v>
      </x:c>
      <x:c r="L1798" s="31" t="n">
        <x:v>54.9</x:v>
      </x:c>
      <x:c r="M1798" s="31" t="n">
        <x:v>46188</x:v>
      </x:c>
      <x:c r="N1798" s="31" t="n">
        <x:v>46193</x:v>
      </x:c>
      <x:c r="O1798" s="31" t="n">
        <x:v>46188</x:v>
      </x:c>
      <x:c r="P1798" s="31" t="n">
        <x:v>46193</x:v>
      </x:c>
      <x:c r="Q1798" s="31" t="inlineStr">
        <x:is>
          <x:t xml:space="preserve">Завершено</x:t>
        </x:is>
      </x:c>
      <x:c r="R1798" s="31" t="inlineStr">
        <x:is>
          <x:t xml:space="preserve">Нет</x:t>
        </x:is>
      </x:c>
      <x:c r="S1798" s="31" t="inlineStr">
        <x:is>
          <x:t xml:space="preserve">Нет</x:t>
        </x:is>
      </x:c>
    </x:row>
    <x:row r="1799">
      <x:c r="A1799" s="31" t="inlineStr">
        <x:is>
          <x:t xml:space="preserve">ОП-001798</x:t>
        </x:is>
      </x:c>
      <x:c r="B1799" s="31" t="inlineStr">
        <x:is>
          <x:t xml:space="preserve">ПЗ-00214</x:t>
        </x:is>
      </x:c>
      <x:c r="C1799" s="31" t="inlineStr">
        <x:is>
          <x:t xml:space="preserve">ЗК-1102</x:t>
        </x:is>
      </x:c>
      <x:c r="D1799" s="31" t="inlineStr">
        <x:is>
          <x:t xml:space="preserve">ПОЗ-0102-4</x:t>
        </x:is>
      </x:c>
      <x:c r="E1799" s="31" t="inlineStr">
        <x:is>
          <x:t xml:space="preserve">ИЗД-029</x:t>
        </x:is>
      </x:c>
      <x:c r="F1799" s="31" t="n">
        <x:v>70</x:v>
      </x:c>
      <x:c r="G1799" s="31" t="inlineStr">
        <x:is>
          <x:t xml:space="preserve">Обвязка труб</x:t>
        </x:is>
      </x:c>
      <x:c r="H1799" s="31" t="inlineStr">
        <x:is>
          <x:t xml:space="preserve">Сборка</x:t>
        </x:is>
      </x:c>
      <x:c r="I1799" s="31" t="inlineStr">
        <x:is>
          <x:t xml:space="preserve">ОБ-012</x:t>
        </x:is>
      </x:c>
      <x:c r="J1799" s="31" t="inlineStr">
        <x:is>
          <x:t xml:space="preserve">СОТР-090</x:t>
        </x:is>
      </x:c>
      <x:c r="K1799" s="31" t="n">
        <x:v>52.8</x:v>
      </x:c>
      <x:c r="L1799" s="31" t="n">
        <x:v>63.7</x:v>
      </x:c>
      <x:c r="M1799" s="31" t="n">
        <x:v>46193</x:v>
      </x:c>
      <x:c r="N1799" s="31" t="n">
        <x:v>46198</x:v>
      </x:c>
      <x:c r="O1799" s="31" t="n">
        <x:v>46193</x:v>
      </x:c>
      <x:c r="P1799" s="31" t="n">
        <x:v>46198</x:v>
      </x:c>
      <x:c r="Q1799" s="31" t="inlineStr">
        <x:is>
          <x:t xml:space="preserve">Завершено</x:t>
        </x:is>
      </x:c>
      <x:c r="R1799" s="31" t="inlineStr">
        <x:is>
          <x:t xml:space="preserve">Нет</x:t>
        </x:is>
      </x:c>
      <x:c r="S1799" s="31" t="inlineStr">
        <x:is>
          <x:t xml:space="preserve">Нет</x:t>
        </x:is>
      </x:c>
    </x:row>
    <x:row r="1800">
      <x:c r="A1800" s="31" t="inlineStr">
        <x:is>
          <x:t xml:space="preserve">ОП-001799</x:t>
        </x:is>
      </x:c>
      <x:c r="B1800" s="31" t="inlineStr">
        <x:is>
          <x:t xml:space="preserve">ПЗ-00214</x:t>
        </x:is>
      </x:c>
      <x:c r="C1800" s="31" t="inlineStr">
        <x:is>
          <x:t xml:space="preserve">ЗК-1102</x:t>
        </x:is>
      </x:c>
      <x:c r="D1800" s="31" t="inlineStr">
        <x:is>
          <x:t xml:space="preserve">ПОЗ-0102-4</x:t>
        </x:is>
      </x:c>
      <x:c r="E1800" s="31" t="inlineStr">
        <x:is>
          <x:t xml:space="preserve">ИЗД-029</x:t>
        </x:is>
      </x:c>
      <x:c r="F1800" s="31" t="n">
        <x:v>80</x:v>
      </x:c>
      <x:c r="G1800" s="31" t="inlineStr">
        <x:is>
          <x:t xml:space="preserve">Электромонтаж</x:t>
        </x:is>
      </x:c>
      <x:c r="H1800" s="31" t="inlineStr">
        <x:is>
          <x:t xml:space="preserve">Сборка</x:t>
        </x:is>
      </x:c>
      <x:c r="I1800" s="31" t="inlineStr">
        <x:is>
          <x:t xml:space="preserve">ОБ-014</x:t>
        </x:is>
      </x:c>
      <x:c r="J1800" s="31" t="inlineStr">
        <x:is>
          <x:t xml:space="preserve">СОТР-091</x:t>
        </x:is>
      </x:c>
      <x:c r="K1800" s="31" t="n">
        <x:v>14.1</x:v>
      </x:c>
      <x:c r="L1800" s="31" t="n">
        <x:v>16.3</x:v>
      </x:c>
      <x:c r="M1800" s="31" t="n">
        <x:v>46198</x:v>
      </x:c>
      <x:c r="N1800" s="31" t="n">
        <x:v>46200</x:v>
      </x:c>
      <x:c r="O1800" s="31" t="n">
        <x:v>46198</x:v>
      </x:c>
      <x:c r="P1800" s="31" t="n">
        <x:v>46201</x:v>
      </x:c>
      <x:c r="Q1800" s="31" t="inlineStr">
        <x:is>
          <x:t xml:space="preserve">Завершено</x:t>
        </x:is>
      </x:c>
      <x:c r="R1800" s="31" t="inlineStr">
        <x:is>
          <x:t xml:space="preserve">Нет</x:t>
        </x:is>
      </x:c>
      <x:c r="S1800" s="31" t="inlineStr">
        <x:is>
          <x:t xml:space="preserve">Нет</x:t>
        </x:is>
      </x:c>
    </x:row>
    <x:row r="1801">
      <x:c r="A1801" s="31" t="inlineStr">
        <x:is>
          <x:t xml:space="preserve">ОП-001800</x:t>
        </x:is>
      </x:c>
      <x:c r="B1801" s="31" t="inlineStr">
        <x:is>
          <x:t xml:space="preserve">ПЗ-00214</x:t>
        </x:is>
      </x:c>
      <x:c r="C1801" s="31" t="inlineStr">
        <x:is>
          <x:t xml:space="preserve">ЗК-1102</x:t>
        </x:is>
      </x:c>
      <x:c r="D1801" s="31" t="inlineStr">
        <x:is>
          <x:t xml:space="preserve">ПОЗ-0102-4</x:t>
        </x:is>
      </x:c>
      <x:c r="E1801" s="31" t="inlineStr">
        <x:is>
          <x:t xml:space="preserve">ИЗД-029</x:t>
        </x:is>
      </x:c>
      <x:c r="F1801" s="31" t="n">
        <x:v>90</x:v>
      </x:c>
      <x:c r="G1801" s="31" t="inlineStr">
        <x:is>
          <x:t xml:space="preserve">Приемочные испытания</x:t>
        </x:is>
      </x:c>
      <x:c r="H1801" s="31" t="inlineStr">
        <x:is>
          <x:t xml:space="preserve">ОТК</x:t>
        </x:is>
      </x:c>
      <x:c r="I1801" s="31" t="inlineStr">
        <x:is>
          <x:t xml:space="preserve">ОБ-022</x:t>
        </x:is>
      </x:c>
      <x:c r="J1801" s="31" t="inlineStr">
        <x:is>
          <x:t xml:space="preserve">СОТР-063</x:t>
        </x:is>
      </x:c>
      <x:c r="K1801" s="31" t="n">
        <x:v>50.4</x:v>
      </x:c>
      <x:c r="L1801" s="31" t="n">
        <x:v>50.1</x:v>
      </x:c>
      <x:c r="M1801" s="31" t="n">
        <x:v>46200</x:v>
      </x:c>
      <x:c r="N1801" s="31" t="n">
        <x:v>46205</x:v>
      </x:c>
      <x:c r="O1801" s="31" t="n">
        <x:v>46200</x:v>
      </x:c>
      <x:c r="P1801" s="31" t="n">
        <x:v>46204</x:v>
      </x:c>
      <x:c r="Q1801" s="31" t="inlineStr">
        <x:is>
          <x:t xml:space="preserve">Завершено</x:t>
        </x:is>
      </x:c>
      <x:c r="R1801" s="31" t="inlineStr">
        <x:is>
          <x:t xml:space="preserve">Нет</x:t>
        </x:is>
      </x:c>
      <x:c r="S1801" s="31" t="inlineStr">
        <x:is>
          <x:t xml:space="preserve">Нет</x:t>
        </x:is>
      </x:c>
    </x:row>
    <x:row r="1802">
      <x:c r="A1802" s="31" t="inlineStr">
        <x:is>
          <x:t xml:space="preserve">ОП-001801</x:t>
        </x:is>
      </x:c>
      <x:c r="B1802" s="31" t="inlineStr">
        <x:is>
          <x:t xml:space="preserve">ПЗ-00214</x:t>
        </x:is>
      </x:c>
      <x:c r="C1802" s="31" t="inlineStr">
        <x:is>
          <x:t xml:space="preserve">ЗК-1102</x:t>
        </x:is>
      </x:c>
      <x:c r="D1802" s="31" t="inlineStr">
        <x:is>
          <x:t xml:space="preserve">ПОЗ-0102-4</x:t>
        </x:is>
      </x:c>
      <x:c r="E1802" s="31" t="inlineStr">
        <x:is>
          <x:t xml:space="preserve">ИЗД-029</x:t>
        </x:is>
      </x:c>
      <x:c r="F1802" s="31" t="n">
        <x:v>100</x:v>
      </x:c>
      <x:c r="G1802" s="31" t="inlineStr">
        <x:is>
          <x:t xml:space="preserve">ОТК</x:t>
        </x:is>
      </x:c>
      <x:c r="H1802" s="31" t="inlineStr">
        <x:is>
          <x:t xml:space="preserve">ОТК</x:t>
        </x:is>
      </x:c>
      <x:c r="I1802" s="31" t="inlineStr">
        <x:is>
          <x:t xml:space="preserve">ОБ-007</x:t>
        </x:is>
      </x:c>
      <x:c r="J1802" s="31" t="inlineStr">
        <x:is>
          <x:t xml:space="preserve">СОТР-092</x:t>
        </x:is>
      </x:c>
      <x:c r="K1802" s="31" t="n">
        <x:v>36.3</x:v>
      </x:c>
      <x:c r="L1802" s="31" t="n">
        <x:v>48.3</x:v>
      </x:c>
      <x:c r="M1802" s="31" t="n">
        <x:v>46205</x:v>
      </x:c>
      <x:c r="N1802" s="31" t="n">
        <x:v>46209</x:v>
      </x:c>
      <x:c r="O1802" s="31" t="n">
        <x:v>46205</x:v>
      </x:c>
      <x:c r="P1802" s="31" t="n">
        <x:v>46208</x:v>
      </x:c>
      <x:c r="Q1802" s="31" t="inlineStr">
        <x:is>
          <x:t xml:space="preserve">Завершено</x:t>
        </x:is>
      </x:c>
      <x:c r="R1802" s="31" t="inlineStr">
        <x:is>
          <x:t xml:space="preserve">Оборудование</x:t>
        </x:is>
      </x:c>
      <x:c r="S1802" s="31" t="inlineStr">
        <x:is>
          <x:t xml:space="preserve">Нет</x:t>
        </x:is>
      </x:c>
    </x:row>
    <x:row r="1803">
      <x:c r="A1803" s="31" t="inlineStr">
        <x:is>
          <x:t xml:space="preserve">ОП-001802</x:t>
        </x:is>
      </x:c>
      <x:c r="B1803" s="31" t="inlineStr">
        <x:is>
          <x:t xml:space="preserve">ПЗ-00214</x:t>
        </x:is>
      </x:c>
      <x:c r="C1803" s="31" t="inlineStr">
        <x:is>
          <x:t xml:space="preserve">ЗК-1102</x:t>
        </x:is>
      </x:c>
      <x:c r="D1803" s="31" t="inlineStr">
        <x:is>
          <x:t xml:space="preserve">ПОЗ-0102-4</x:t>
        </x:is>
      </x:c>
      <x:c r="E1803" s="31" t="inlineStr">
        <x:is>
          <x:t xml:space="preserve">ИЗД-029</x:t>
        </x:is>
      </x:c>
      <x:c r="F1803" s="31" t="n">
        <x:v>110</x:v>
      </x:c>
      <x:c r="G1803" s="31" t="inlineStr">
        <x:is>
          <x:t xml:space="preserve">Упаковка</x:t>
        </x:is>
      </x:c>
      <x:c r="H1803" s="31" t="inlineStr">
        <x:is>
          <x:t xml:space="preserve">Логистика</x:t>
        </x:is>
      </x:c>
      <x:c r="I1803" s="31" t="n"/>
      <x:c r="J1803" s="31" t="inlineStr">
        <x:is>
          <x:t xml:space="preserve">СОТР-103</x:t>
        </x:is>
      </x:c>
      <x:c r="K1803" s="31" t="n">
        <x:v>26.7</x:v>
      </x:c>
      <x:c r="L1803" s="31" t="n">
        <x:v>29.6</x:v>
      </x:c>
      <x:c r="M1803" s="31" t="n">
        <x:v>46209</x:v>
      </x:c>
      <x:c r="N1803" s="31" t="n">
        <x:v>46212</x:v>
      </x:c>
      <x:c r="O1803" s="31" t="n">
        <x:v>46209</x:v>
      </x:c>
      <x:c r="P1803" s="31" t="n">
        <x:v>46213</x:v>
      </x:c>
      <x:c r="Q1803" s="31" t="inlineStr">
        <x:is>
          <x:t xml:space="preserve">Завершено</x:t>
        </x:is>
      </x:c>
      <x:c r="R1803" s="31" t="inlineStr">
        <x:is>
          <x:t xml:space="preserve">Материал</x:t>
        </x:is>
      </x:c>
      <x:c r="S1803" s="31" t="inlineStr">
        <x:is>
          <x:t xml:space="preserve">Нет</x:t>
        </x:is>
      </x:c>
    </x:row>
    <x:row r="1804">
      <x:c r="A1804" s="31" t="inlineStr">
        <x:is>
          <x:t xml:space="preserve">ОП-001803</x:t>
        </x:is>
      </x:c>
      <x:c r="B1804" s="31" t="inlineStr">
        <x:is>
          <x:t xml:space="preserve">ПЗ-00215</x:t>
        </x:is>
      </x:c>
      <x:c r="C1804" s="31" t="inlineStr">
        <x:is>
          <x:t xml:space="preserve">ЗК-1103</x:t>
        </x:is>
      </x:c>
      <x:c r="D1804" s="31" t="inlineStr">
        <x:is>
          <x:t xml:space="preserve">ПОЗ-0103-1</x:t>
        </x:is>
      </x:c>
      <x:c r="E1804" s="31" t="inlineStr">
        <x:is>
          <x:t xml:space="preserve">ИЗД-038</x:t>
        </x:is>
      </x:c>
      <x:c r="F1804" s="31" t="n">
        <x:v>10</x:v>
      </x:c>
      <x:c r="G1804" s="31" t="inlineStr">
        <x:is>
          <x:t xml:space="preserve">КД</x:t>
        </x:is>
      </x:c>
      <x:c r="H1804" s="31" t="inlineStr">
        <x:is>
          <x:t xml:space="preserve">Инженерный отдел</x:t>
        </x:is>
      </x:c>
      <x:c r="I1804" s="31" t="n"/>
      <x:c r="J1804" s="31" t="inlineStr">
        <x:is>
          <x:t xml:space="preserve">СОТР-021</x:t>
        </x:is>
      </x:c>
      <x:c r="K1804" s="31" t="n">
        <x:v>11</x:v>
      </x:c>
      <x:c r="L1804" s="31" t="n"/>
      <x:c r="M1804" s="31" t="n">
        <x:v>46176</x:v>
      </x:c>
      <x:c r="N1804" s="31" t="n">
        <x:v>46177</x:v>
      </x:c>
      <x:c r="O1804" s="31" t="n"/>
      <x:c r="P1804" s="31" t="n"/>
      <x:c r="Q1804" s="31" t="inlineStr">
        <x:is>
          <x:t xml:space="preserve">Запланировано</x:t>
        </x:is>
      </x:c>
      <x:c r="R1804" s="31" t="inlineStr">
        <x:is>
          <x:t xml:space="preserve">Нет</x:t>
        </x:is>
      </x:c>
      <x:c r="S1804" s="31" t="inlineStr">
        <x:is>
          <x:t xml:space="preserve">Нет</x:t>
        </x:is>
      </x:c>
    </x:row>
    <x:row r="1805">
      <x:c r="A1805" s="31" t="inlineStr">
        <x:is>
          <x:t xml:space="preserve">ОП-001804</x:t>
        </x:is>
      </x:c>
      <x:c r="B1805" s="31" t="inlineStr">
        <x:is>
          <x:t xml:space="preserve">ПЗ-00215</x:t>
        </x:is>
      </x:c>
      <x:c r="C1805" s="31" t="inlineStr">
        <x:is>
          <x:t xml:space="preserve">ЗК-1103</x:t>
        </x:is>
      </x:c>
      <x:c r="D1805" s="31" t="inlineStr">
        <x:is>
          <x:t xml:space="preserve">ПОЗ-0103-1</x:t>
        </x:is>
      </x:c>
      <x:c r="E1805" s="31" t="inlineStr">
        <x:is>
          <x:t xml:space="preserve">ИЗД-038</x:t>
        </x:is>
      </x:c>
      <x:c r="F1805" s="31" t="n">
        <x:v>20</x:v>
      </x:c>
      <x:c r="G1805" s="31" t="inlineStr">
        <x:is>
          <x:t xml:space="preserve">Резка труб</x:t>
        </x:is>
      </x:c>
      <x:c r="H1805" s="31" t="inlineStr">
        <x:is>
          <x:t xml:space="preserve">Сварка</x:t>
        </x:is>
      </x:c>
      <x:c r="I1805" s="31" t="inlineStr">
        <x:is>
          <x:t xml:space="preserve">ОБ-010</x:t>
        </x:is>
      </x:c>
      <x:c r="J1805" s="31" t="inlineStr">
        <x:is>
          <x:t xml:space="preserve">СОТР-060</x:t>
        </x:is>
      </x:c>
      <x:c r="K1805" s="31" t="n">
        <x:v>3.2</x:v>
      </x:c>
      <x:c r="L1805" s="31" t="n"/>
      <x:c r="M1805" s="31" t="n">
        <x:v>46177</x:v>
      </x:c>
      <x:c r="N1805" s="31" t="n">
        <x:v>46178</x:v>
      </x:c>
      <x:c r="O1805" s="31" t="n"/>
      <x:c r="P1805" s="31" t="n"/>
      <x:c r="Q1805" s="31" t="inlineStr">
        <x:is>
          <x:t xml:space="preserve">Запланировано</x:t>
        </x:is>
      </x:c>
      <x:c r="R1805" s="31" t="inlineStr">
        <x:is>
          <x:t xml:space="preserve">Нет</x:t>
        </x:is>
      </x:c>
      <x:c r="S1805" s="31" t="inlineStr">
        <x:is>
          <x:t xml:space="preserve">Да</x:t>
        </x:is>
      </x:c>
    </x:row>
    <x:row r="1806">
      <x:c r="A1806" s="31" t="inlineStr">
        <x:is>
          <x:t xml:space="preserve">ОП-001805</x:t>
        </x:is>
      </x:c>
      <x:c r="B1806" s="31" t="inlineStr">
        <x:is>
          <x:t xml:space="preserve">ПЗ-00215</x:t>
        </x:is>
      </x:c>
      <x:c r="C1806" s="31" t="inlineStr">
        <x:is>
          <x:t xml:space="preserve">ЗК-1103</x:t>
        </x:is>
      </x:c>
      <x:c r="D1806" s="31" t="inlineStr">
        <x:is>
          <x:t xml:space="preserve">ПОЗ-0103-1</x:t>
        </x:is>
      </x:c>
      <x:c r="E1806" s="31" t="inlineStr">
        <x:is>
          <x:t xml:space="preserve">ИЗД-038</x:t>
        </x:is>
      </x:c>
      <x:c r="F1806" s="31" t="n">
        <x:v>30</x:v>
      </x:c>
      <x:c r="G1806" s="31" t="inlineStr">
        <x:is>
          <x:t xml:space="preserve">Сварка</x:t>
        </x:is>
      </x:c>
      <x:c r="H1806" s="31" t="inlineStr">
        <x:is>
          <x:t xml:space="preserve">Сварка</x:t>
        </x:is>
      </x:c>
      <x:c r="I1806" s="31" t="inlineStr">
        <x:is>
          <x:t xml:space="preserve">ОБ-010</x:t>
        </x:is>
      </x:c>
      <x:c r="J1806" s="31" t="inlineStr">
        <x:is>
          <x:t xml:space="preserve">СОТР-062</x:t>
        </x:is>
      </x:c>
      <x:c r="K1806" s="31" t="n">
        <x:v>8.800000000000001</x:v>
      </x:c>
      <x:c r="L1806" s="31" t="n"/>
      <x:c r="M1806" s="31" t="n">
        <x:v>46178</x:v>
      </x:c>
      <x:c r="N1806" s="31" t="n">
        <x:v>46179</x:v>
      </x:c>
      <x:c r="O1806" s="31" t="n"/>
      <x:c r="P1806" s="31" t="n"/>
      <x:c r="Q1806" s="31" t="inlineStr">
        <x:is>
          <x:t xml:space="preserve">Запланировано</x:t>
        </x:is>
      </x:c>
      <x:c r="R1806" s="31" t="inlineStr">
        <x:is>
          <x:t xml:space="preserve">Нет</x:t>
        </x:is>
      </x:c>
      <x:c r="S1806" s="31" t="inlineStr">
        <x:is>
          <x:t xml:space="preserve">Нет</x:t>
        </x:is>
      </x:c>
    </x:row>
    <x:row r="1807">
      <x:c r="A1807" s="31" t="inlineStr">
        <x:is>
          <x:t xml:space="preserve">ОП-001806</x:t>
        </x:is>
      </x:c>
      <x:c r="B1807" s="31" t="inlineStr">
        <x:is>
          <x:t xml:space="preserve">ПЗ-00215</x:t>
        </x:is>
      </x:c>
      <x:c r="C1807" s="31" t="inlineStr">
        <x:is>
          <x:t xml:space="preserve">ЗК-1103</x:t>
        </x:is>
      </x:c>
      <x:c r="D1807" s="31" t="inlineStr">
        <x:is>
          <x:t xml:space="preserve">ПОЗ-0103-1</x:t>
        </x:is>
      </x:c>
      <x:c r="E1807" s="31" t="inlineStr">
        <x:is>
          <x:t xml:space="preserve">ИЗД-038</x:t>
        </x:is>
      </x:c>
      <x:c r="F1807" s="31" t="n">
        <x:v>40</x:v>
      </x:c>
      <x:c r="G1807" s="31" t="inlineStr">
        <x:is>
          <x:t xml:space="preserve">НК сварных швов</x:t>
        </x:is>
      </x:c>
      <x:c r="H1807" s="31" t="inlineStr">
        <x:is>
          <x:t xml:space="preserve">ОТК</x:t>
        </x:is>
      </x:c>
      <x:c r="I1807" s="31" t="inlineStr">
        <x:is>
          <x:t xml:space="preserve">ОБ-022</x:t>
        </x:is>
      </x:c>
      <x:c r="J1807" s="31" t="inlineStr">
        <x:is>
          <x:t xml:space="preserve">СОТР-098</x:t>
        </x:is>
      </x:c>
      <x:c r="K1807" s="31" t="n">
        <x:v>2.2</x:v>
      </x:c>
      <x:c r="L1807" s="31" t="n"/>
      <x:c r="M1807" s="31" t="n">
        <x:v>46179</x:v>
      </x:c>
      <x:c r="N1807" s="31" t="n">
        <x:v>46180</x:v>
      </x:c>
      <x:c r="O1807" s="31" t="n"/>
      <x:c r="P1807" s="31" t="n"/>
      <x:c r="Q1807" s="31" t="inlineStr">
        <x:is>
          <x:t xml:space="preserve">Запланировано</x:t>
        </x:is>
      </x:c>
      <x:c r="R1807" s="31" t="inlineStr">
        <x:is>
          <x:t xml:space="preserve">Нет</x:t>
        </x:is>
      </x:c>
      <x:c r="S1807" s="31" t="inlineStr">
        <x:is>
          <x:t xml:space="preserve">Нет</x:t>
        </x:is>
      </x:c>
    </x:row>
    <x:row r="1808">
      <x:c r="A1808" s="31" t="inlineStr">
        <x:is>
          <x:t xml:space="preserve">ОП-001807</x:t>
        </x:is>
      </x:c>
      <x:c r="B1808" s="31" t="inlineStr">
        <x:is>
          <x:t xml:space="preserve">ПЗ-00215</x:t>
        </x:is>
      </x:c>
      <x:c r="C1808" s="31" t="inlineStr">
        <x:is>
          <x:t xml:space="preserve">ЗК-1103</x:t>
        </x:is>
      </x:c>
      <x:c r="D1808" s="31" t="inlineStr">
        <x:is>
          <x:t xml:space="preserve">ПОЗ-0103-1</x:t>
        </x:is>
      </x:c>
      <x:c r="E1808" s="31" t="inlineStr">
        <x:is>
          <x:t xml:space="preserve">ИЗД-038</x:t>
        </x:is>
      </x:c>
      <x:c r="F1808" s="31" t="n">
        <x:v>50</x:v>
      </x:c>
      <x:c r="G1808" s="31" t="inlineStr">
        <x:is>
          <x:t xml:space="preserve">Гидроиспытания</x:t>
        </x:is>
      </x:c>
      <x:c r="H1808" s="31" t="inlineStr">
        <x:is>
          <x:t xml:space="preserve">ОТК</x:t>
        </x:is>
      </x:c>
      <x:c r="I1808" s="31" t="inlineStr">
        <x:is>
          <x:t xml:space="preserve">ОБ-028</x:t>
        </x:is>
      </x:c>
      <x:c r="J1808" s="31" t="inlineStr">
        <x:is>
          <x:t xml:space="preserve">СОТР-092</x:t>
        </x:is>
      </x:c>
      <x:c r="K1808" s="31" t="n">
        <x:v>6.6</x:v>
      </x:c>
      <x:c r="L1808" s="31" t="n"/>
      <x:c r="M1808" s="31" t="n">
        <x:v>46180</x:v>
      </x:c>
      <x:c r="N1808" s="31" t="n">
        <x:v>46181</x:v>
      </x:c>
      <x:c r="O1808" s="31" t="n"/>
      <x:c r="P1808" s="31" t="n"/>
      <x:c r="Q1808" s="31" t="inlineStr">
        <x:is>
          <x:t xml:space="preserve">Запланировано</x:t>
        </x:is>
      </x:c>
      <x:c r="R1808" s="31" t="inlineStr">
        <x:is>
          <x:t xml:space="preserve">Нет</x:t>
        </x:is>
      </x:c>
      <x:c r="S1808" s="31" t="inlineStr">
        <x:is>
          <x:t xml:space="preserve">Нет</x:t>
        </x:is>
      </x:c>
    </x:row>
    <x:row r="1809">
      <x:c r="A1809" s="31" t="inlineStr">
        <x:is>
          <x:t xml:space="preserve">ОП-001808</x:t>
        </x:is>
      </x:c>
      <x:c r="B1809" s="31" t="inlineStr">
        <x:is>
          <x:t xml:space="preserve">ПЗ-00215</x:t>
        </x:is>
      </x:c>
      <x:c r="C1809" s="31" t="inlineStr">
        <x:is>
          <x:t xml:space="preserve">ЗК-1103</x:t>
        </x:is>
      </x:c>
      <x:c r="D1809" s="31" t="inlineStr">
        <x:is>
          <x:t xml:space="preserve">ПОЗ-0103-1</x:t>
        </x:is>
      </x:c>
      <x:c r="E1809" s="31" t="inlineStr">
        <x:is>
          <x:t xml:space="preserve">ИЗД-038</x:t>
        </x:is>
      </x:c>
      <x:c r="F1809" s="31" t="n">
        <x:v>60</x:v>
      </x:c>
      <x:c r="G1809" s="31" t="inlineStr">
        <x:is>
          <x:t xml:space="preserve">Покраска</x:t>
        </x:is>
      </x:c>
      <x:c r="H1809" s="31" t="inlineStr">
        <x:is>
          <x:t xml:space="preserve">Сварка</x:t>
        </x:is>
      </x:c>
      <x:c r="I1809" s="31" t="inlineStr">
        <x:is>
          <x:t xml:space="preserve">ОБ-010</x:t>
        </x:is>
      </x:c>
      <x:c r="J1809" s="31" t="inlineStr">
        <x:is>
          <x:t xml:space="preserve">СОТР-064</x:t>
        </x:is>
      </x:c>
      <x:c r="K1809" s="31" t="n">
        <x:v>15.6</x:v>
      </x:c>
      <x:c r="L1809" s="31" t="n"/>
      <x:c r="M1809" s="31" t="n">
        <x:v>46181</x:v>
      </x:c>
      <x:c r="N1809" s="31" t="n">
        <x:v>46183</x:v>
      </x:c>
      <x:c r="O1809" s="31" t="n"/>
      <x:c r="P1809" s="31" t="n"/>
      <x:c r="Q1809" s="31" t="inlineStr">
        <x:is>
          <x:t xml:space="preserve">Запланировано</x:t>
        </x:is>
      </x:c>
      <x:c r="R1809" s="31" t="inlineStr">
        <x:is>
          <x:t xml:space="preserve">Нет</x:t>
        </x:is>
      </x:c>
      <x:c r="S1809" s="31" t="inlineStr">
        <x:is>
          <x:t xml:space="preserve">Нет</x:t>
        </x:is>
      </x:c>
    </x:row>
    <x:row r="1810">
      <x:c r="A1810" s="31" t="inlineStr">
        <x:is>
          <x:t xml:space="preserve">ОП-001809</x:t>
        </x:is>
      </x:c>
      <x:c r="B1810" s="31" t="inlineStr">
        <x:is>
          <x:t xml:space="preserve">ПЗ-00215</x:t>
        </x:is>
      </x:c>
      <x:c r="C1810" s="31" t="inlineStr">
        <x:is>
          <x:t xml:space="preserve">ЗК-1103</x:t>
        </x:is>
      </x:c>
      <x:c r="D1810" s="31" t="inlineStr">
        <x:is>
          <x:t xml:space="preserve">ПОЗ-0103-1</x:t>
        </x:is>
      </x:c>
      <x:c r="E1810" s="31" t="inlineStr">
        <x:is>
          <x:t xml:space="preserve">ИЗД-038</x:t>
        </x:is>
      </x:c>
      <x:c r="F1810" s="31" t="n">
        <x:v>70</x:v>
      </x:c>
      <x:c r="G1810" s="31" t="inlineStr">
        <x:is>
          <x:t xml:space="preserve">ОТК</x:t>
        </x:is>
      </x:c>
      <x:c r="H1810" s="31" t="inlineStr">
        <x:is>
          <x:t xml:space="preserve">ОТК</x:t>
        </x:is>
      </x:c>
      <x:c r="I1810" s="31" t="inlineStr">
        <x:is>
          <x:t xml:space="preserve">ОБ-006</x:t>
        </x:is>
      </x:c>
      <x:c r="J1810" s="31" t="inlineStr">
        <x:is>
          <x:t xml:space="preserve">СОТР-092</x:t>
        </x:is>
      </x:c>
      <x:c r="K1810" s="31" t="n">
        <x:v>9.4</x:v>
      </x:c>
      <x:c r="L1810" s="31" t="n"/>
      <x:c r="M1810" s="31" t="n">
        <x:v>46183</x:v>
      </x:c>
      <x:c r="N1810" s="31" t="n">
        <x:v>46184</x:v>
      </x:c>
      <x:c r="O1810" s="31" t="n"/>
      <x:c r="P1810" s="31" t="n"/>
      <x:c r="Q1810" s="31" t="inlineStr">
        <x:is>
          <x:t xml:space="preserve">Запланировано</x:t>
        </x:is>
      </x:c>
      <x:c r="R1810" s="31" t="inlineStr">
        <x:is>
          <x:t xml:space="preserve">Нет</x:t>
        </x:is>
      </x:c>
      <x:c r="S1810" s="31" t="inlineStr">
        <x:is>
          <x:t xml:space="preserve">Нет</x:t>
        </x:is>
      </x:c>
    </x:row>
    <x:row r="1811">
      <x:c r="A1811" s="31" t="inlineStr">
        <x:is>
          <x:t xml:space="preserve">ОП-001810</x:t>
        </x:is>
      </x:c>
      <x:c r="B1811" s="31" t="inlineStr">
        <x:is>
          <x:t xml:space="preserve">ПЗ-00216</x:t>
        </x:is>
      </x:c>
      <x:c r="C1811" s="31" t="inlineStr">
        <x:is>
          <x:t xml:space="preserve">ЗК-1103</x:t>
        </x:is>
      </x:c>
      <x:c r="D1811" s="31" t="inlineStr">
        <x:is>
          <x:t xml:space="preserve">ПОЗ-0103-2</x:t>
        </x:is>
      </x:c>
      <x:c r="E1811" s="31" t="inlineStr">
        <x:is>
          <x:t xml:space="preserve">ИЗД-037</x:t>
        </x:is>
      </x:c>
      <x:c r="F1811" s="31" t="n">
        <x:v>10</x:v>
      </x:c>
      <x:c r="G1811" s="31" t="inlineStr">
        <x:is>
          <x:t xml:space="preserve">КД</x:t>
        </x:is>
      </x:c>
      <x:c r="H1811" s="31" t="inlineStr">
        <x:is>
          <x:t xml:space="preserve">Инженерный отдел</x:t>
        </x:is>
      </x:c>
      <x:c r="I1811" s="31" t="n"/>
      <x:c r="J1811" s="31" t="inlineStr">
        <x:is>
          <x:t xml:space="preserve">СОТР-017</x:t>
        </x:is>
      </x:c>
      <x:c r="K1811" s="31" t="n">
        <x:v>53.6</x:v>
      </x:c>
      <x:c r="L1811" s="31" t="n">
        <x:v>70.59999999999999</x:v>
      </x:c>
      <x:c r="M1811" s="31" t="n">
        <x:v>46175</x:v>
      </x:c>
      <x:c r="N1811" s="31" t="n">
        <x:v>46180</x:v>
      </x:c>
      <x:c r="O1811" s="31" t="n">
        <x:v>46175</x:v>
      </x:c>
      <x:c r="P1811" s="31" t="n">
        <x:v>46180</x:v>
      </x:c>
      <x:c r="Q1811" s="31" t="inlineStr">
        <x:is>
          <x:t xml:space="preserve">Завершено</x:t>
        </x:is>
      </x:c>
      <x:c r="R1811" s="31" t="inlineStr">
        <x:is>
          <x:t xml:space="preserve">Нет</x:t>
        </x:is>
      </x:c>
      <x:c r="S1811" s="31" t="inlineStr">
        <x:is>
          <x:t xml:space="preserve">Нет</x:t>
        </x:is>
      </x:c>
    </x:row>
    <x:row r="1812">
      <x:c r="A1812" s="31" t="inlineStr">
        <x:is>
          <x:t xml:space="preserve">ОП-001811</x:t>
        </x:is>
      </x:c>
      <x:c r="B1812" s="31" t="inlineStr">
        <x:is>
          <x:t xml:space="preserve">ПЗ-00216</x:t>
        </x:is>
      </x:c>
      <x:c r="C1812" s="31" t="inlineStr">
        <x:is>
          <x:t xml:space="preserve">ЗК-1103</x:t>
        </x:is>
      </x:c>
      <x:c r="D1812" s="31" t="inlineStr">
        <x:is>
          <x:t xml:space="preserve">ПОЗ-0103-2</x:t>
        </x:is>
      </x:c>
      <x:c r="E1812" s="31" t="inlineStr">
        <x:is>
          <x:t xml:space="preserve">ИЗД-037</x:t>
        </x:is>
      </x:c>
      <x:c r="F1812" s="31" t="n">
        <x:v>20</x:v>
      </x:c>
      <x:c r="G1812" s="31" t="inlineStr">
        <x:is>
          <x:t xml:space="preserve">Резка труб</x:t>
        </x:is>
      </x:c>
      <x:c r="H1812" s="31" t="inlineStr">
        <x:is>
          <x:t xml:space="preserve">Сварка</x:t>
        </x:is>
      </x:c>
      <x:c r="I1812" s="31" t="inlineStr">
        <x:is>
          <x:t xml:space="preserve">ОБ-018</x:t>
        </x:is>
      </x:c>
      <x:c r="J1812" s="31" t="inlineStr">
        <x:is>
          <x:t xml:space="preserve">СОТР-064</x:t>
        </x:is>
      </x:c>
      <x:c r="K1812" s="31" t="n">
        <x:v>82.8</x:v>
      </x:c>
      <x:c r="L1812" s="31" t="n">
        <x:v>75.09999999999999</x:v>
      </x:c>
      <x:c r="M1812" s="31" t="n">
        <x:v>46180</x:v>
      </x:c>
      <x:c r="N1812" s="31" t="n">
        <x:v>46187</x:v>
      </x:c>
      <x:c r="O1812" s="31" t="n">
        <x:v>46180</x:v>
      </x:c>
      <x:c r="P1812" s="31" t="n">
        <x:v>46186</x:v>
      </x:c>
      <x:c r="Q1812" s="31" t="inlineStr">
        <x:is>
          <x:t xml:space="preserve">Завершено</x:t>
        </x:is>
      </x:c>
      <x:c r="R1812" s="31" t="inlineStr">
        <x:is>
          <x:t xml:space="preserve">Материал</x:t>
        </x:is>
      </x:c>
      <x:c r="S1812" s="31" t="inlineStr">
        <x:is>
          <x:t xml:space="preserve">Нет</x:t>
        </x:is>
      </x:c>
    </x:row>
    <x:row r="1813">
      <x:c r="A1813" s="31" t="inlineStr">
        <x:is>
          <x:t xml:space="preserve">ОП-001812</x:t>
        </x:is>
      </x:c>
      <x:c r="B1813" s="31" t="inlineStr">
        <x:is>
          <x:t xml:space="preserve">ПЗ-00216</x:t>
        </x:is>
      </x:c>
      <x:c r="C1813" s="31" t="inlineStr">
        <x:is>
          <x:t xml:space="preserve">ЗК-1103</x:t>
        </x:is>
      </x:c>
      <x:c r="D1813" s="31" t="inlineStr">
        <x:is>
          <x:t xml:space="preserve">ПОЗ-0103-2</x:t>
        </x:is>
      </x:c>
      <x:c r="E1813" s="31" t="inlineStr">
        <x:is>
          <x:t xml:space="preserve">ИЗД-037</x:t>
        </x:is>
      </x:c>
      <x:c r="F1813" s="31" t="n">
        <x:v>30</x:v>
      </x:c>
      <x:c r="G1813" s="31" t="inlineStr">
        <x:is>
          <x:t xml:space="preserve">Сварка</x:t>
        </x:is>
      </x:c>
      <x:c r="H1813" s="31" t="inlineStr">
        <x:is>
          <x:t xml:space="preserve">Сварка</x:t>
        </x:is>
      </x:c>
      <x:c r="I1813" s="31" t="inlineStr">
        <x:is>
          <x:t xml:space="preserve">ОБ-018</x:t>
        </x:is>
      </x:c>
      <x:c r="J1813" s="31" t="inlineStr">
        <x:is>
          <x:t xml:space="preserve">СОТР-068</x:t>
        </x:is>
      </x:c>
      <x:c r="K1813" s="31" t="n">
        <x:v>57.2</x:v>
      </x:c>
      <x:c r="L1813" s="31" t="n">
        <x:v>71.7</x:v>
      </x:c>
      <x:c r="M1813" s="31" t="n">
        <x:v>46187</x:v>
      </x:c>
      <x:c r="N1813" s="31" t="n">
        <x:v>46192</x:v>
      </x:c>
      <x:c r="O1813" s="31" t="n">
        <x:v>46187</x:v>
      </x:c>
      <x:c r="P1813" s="31" t="n">
        <x:v>46193</x:v>
      </x:c>
      <x:c r="Q1813" s="31" t="inlineStr">
        <x:is>
          <x:t xml:space="preserve">Завершено</x:t>
        </x:is>
      </x:c>
      <x:c r="R1813" s="31" t="inlineStr">
        <x:is>
          <x:t xml:space="preserve">Нет</x:t>
        </x:is>
      </x:c>
      <x:c r="S1813" s="31" t="inlineStr">
        <x:is>
          <x:t xml:space="preserve">Нет</x:t>
        </x:is>
      </x:c>
    </x:row>
    <x:row r="1814">
      <x:c r="A1814" s="31" t="inlineStr">
        <x:is>
          <x:t xml:space="preserve">ОП-001813</x:t>
        </x:is>
      </x:c>
      <x:c r="B1814" s="31" t="inlineStr">
        <x:is>
          <x:t xml:space="preserve">ПЗ-00216</x:t>
        </x:is>
      </x:c>
      <x:c r="C1814" s="31" t="inlineStr">
        <x:is>
          <x:t xml:space="preserve">ЗК-1103</x:t>
        </x:is>
      </x:c>
      <x:c r="D1814" s="31" t="inlineStr">
        <x:is>
          <x:t xml:space="preserve">ПОЗ-0103-2</x:t>
        </x:is>
      </x:c>
      <x:c r="E1814" s="31" t="inlineStr">
        <x:is>
          <x:t xml:space="preserve">ИЗД-037</x:t>
        </x:is>
      </x:c>
      <x:c r="F1814" s="31" t="n">
        <x:v>40</x:v>
      </x:c>
      <x:c r="G1814" s="31" t="inlineStr">
        <x:is>
          <x:t xml:space="preserve">НК сварных швов</x:t>
        </x:is>
      </x:c>
      <x:c r="H1814" s="31" t="inlineStr">
        <x:is>
          <x:t xml:space="preserve">ОТК</x:t>
        </x:is>
      </x:c>
      <x:c r="I1814" s="31" t="inlineStr">
        <x:is>
          <x:t xml:space="preserve">ОБ-007</x:t>
        </x:is>
      </x:c>
      <x:c r="J1814" s="31" t="inlineStr">
        <x:is>
          <x:t xml:space="preserve">СОТР-095</x:t>
        </x:is>
      </x:c>
      <x:c r="K1814" s="31" t="n">
        <x:v>13.6</x:v>
      </x:c>
      <x:c r="L1814" s="31" t="n">
        <x:v>15.9</x:v>
      </x:c>
      <x:c r="M1814" s="31" t="n">
        <x:v>46192</x:v>
      </x:c>
      <x:c r="N1814" s="31" t="n">
        <x:v>46194</x:v>
      </x:c>
      <x:c r="O1814" s="31" t="n">
        <x:v>46192</x:v>
      </x:c>
      <x:c r="P1814" s="31" t="n">
        <x:v>46195</x:v>
      </x:c>
      <x:c r="Q1814" s="31" t="inlineStr">
        <x:is>
          <x:t xml:space="preserve">Завершено</x:t>
        </x:is>
      </x:c>
      <x:c r="R1814" s="31" t="inlineStr">
        <x:is>
          <x:t xml:space="preserve">Ожидание ОТК</x:t>
        </x:is>
      </x:c>
      <x:c r="S1814" s="31" t="inlineStr">
        <x:is>
          <x:t xml:space="preserve">Нет</x:t>
        </x:is>
      </x:c>
    </x:row>
    <x:row r="1815">
      <x:c r="A1815" s="31" t="inlineStr">
        <x:is>
          <x:t xml:space="preserve">ОП-001814</x:t>
        </x:is>
      </x:c>
      <x:c r="B1815" s="31" t="inlineStr">
        <x:is>
          <x:t xml:space="preserve">ПЗ-00216</x:t>
        </x:is>
      </x:c>
      <x:c r="C1815" s="31" t="inlineStr">
        <x:is>
          <x:t xml:space="preserve">ЗК-1103</x:t>
        </x:is>
      </x:c>
      <x:c r="D1815" s="31" t="inlineStr">
        <x:is>
          <x:t xml:space="preserve">ПОЗ-0103-2</x:t>
        </x:is>
      </x:c>
      <x:c r="E1815" s="31" t="inlineStr">
        <x:is>
          <x:t xml:space="preserve">ИЗД-037</x:t>
        </x:is>
      </x:c>
      <x:c r="F1815" s="31" t="n">
        <x:v>50</x:v>
      </x:c>
      <x:c r="G1815" s="31" t="inlineStr">
        <x:is>
          <x:t xml:space="preserve">Гидроиспытания</x:t>
        </x:is>
      </x:c>
      <x:c r="H1815" s="31" t="inlineStr">
        <x:is>
          <x:t xml:space="preserve">ОТК</x:t>
        </x:is>
      </x:c>
      <x:c r="I1815" s="31" t="inlineStr">
        <x:is>
          <x:t xml:space="preserve">ОБ-015</x:t>
        </x:is>
      </x:c>
      <x:c r="J1815" s="31" t="inlineStr">
        <x:is>
          <x:t xml:space="preserve">СОТР-098</x:t>
        </x:is>
      </x:c>
      <x:c r="K1815" s="31" t="n">
        <x:v>18.8</x:v>
      </x:c>
      <x:c r="L1815" s="31" t="n">
        <x:v>16.9</x:v>
      </x:c>
      <x:c r="M1815" s="31" t="n">
        <x:v>46194</x:v>
      </x:c>
      <x:c r="N1815" s="31" t="n">
        <x:v>46196</x:v>
      </x:c>
      <x:c r="O1815" s="31" t="n">
        <x:v>46194</x:v>
      </x:c>
      <x:c r="P1815" s="31" t="n">
        <x:v>46198</x:v>
      </x:c>
      <x:c r="Q1815" s="31" t="inlineStr">
        <x:is>
          <x:t xml:space="preserve">Завершено</x:t>
        </x:is>
      </x:c>
      <x:c r="R1815" s="31" t="inlineStr">
        <x:is>
          <x:t xml:space="preserve">Нет</x:t>
        </x:is>
      </x:c>
      <x:c r="S1815" s="31" t="inlineStr">
        <x:is>
          <x:t xml:space="preserve">Нет</x:t>
        </x:is>
      </x:c>
    </x:row>
    <x:row r="1816">
      <x:c r="A1816" s="31" t="inlineStr">
        <x:is>
          <x:t xml:space="preserve">ОП-001815</x:t>
        </x:is>
      </x:c>
      <x:c r="B1816" s="31" t="inlineStr">
        <x:is>
          <x:t xml:space="preserve">ПЗ-00216</x:t>
        </x:is>
      </x:c>
      <x:c r="C1816" s="31" t="inlineStr">
        <x:is>
          <x:t xml:space="preserve">ЗК-1103</x:t>
        </x:is>
      </x:c>
      <x:c r="D1816" s="31" t="inlineStr">
        <x:is>
          <x:t xml:space="preserve">ПОЗ-0103-2</x:t>
        </x:is>
      </x:c>
      <x:c r="E1816" s="31" t="inlineStr">
        <x:is>
          <x:t xml:space="preserve">ИЗД-037</x:t>
        </x:is>
      </x:c>
      <x:c r="F1816" s="31" t="n">
        <x:v>60</x:v>
      </x:c>
      <x:c r="G1816" s="31" t="inlineStr">
        <x:is>
          <x:t xml:space="preserve">Покраска</x:t>
        </x:is>
      </x:c>
      <x:c r="H1816" s="31" t="inlineStr">
        <x:is>
          <x:t xml:space="preserve">Сварка</x:t>
        </x:is>
      </x:c>
      <x:c r="I1816" s="31" t="inlineStr">
        <x:is>
          <x:t xml:space="preserve">ОБ-004</x:t>
        </x:is>
      </x:c>
      <x:c r="J1816" s="31" t="inlineStr">
        <x:is>
          <x:t xml:space="preserve">СОТР-056</x:t>
        </x:is>
      </x:c>
      <x:c r="K1816" s="31" t="n">
        <x:v>34.4</x:v>
      </x:c>
      <x:c r="L1816" s="31" t="n">
        <x:v>45.5</x:v>
      </x:c>
      <x:c r="M1816" s="31" t="n">
        <x:v>46196</x:v>
      </x:c>
      <x:c r="N1816" s="31" t="n">
        <x:v>46199</x:v>
      </x:c>
      <x:c r="O1816" s="31" t="n">
        <x:v>46196</x:v>
      </x:c>
      <x:c r="P1816" s="31" t="n">
        <x:v>46200</x:v>
      </x:c>
      <x:c r="Q1816" s="31" t="inlineStr">
        <x:is>
          <x:t xml:space="preserve">Завершено</x:t>
        </x:is>
      </x:c>
      <x:c r="R1816" s="31" t="inlineStr">
        <x:is>
          <x:t xml:space="preserve">Нет</x:t>
        </x:is>
      </x:c>
      <x:c r="S1816" s="31" t="inlineStr">
        <x:is>
          <x:t xml:space="preserve">Нет</x:t>
        </x:is>
      </x:c>
    </x:row>
    <x:row r="1817">
      <x:c r="A1817" s="31" t="inlineStr">
        <x:is>
          <x:t xml:space="preserve">ОП-001816</x:t>
        </x:is>
      </x:c>
      <x:c r="B1817" s="31" t="inlineStr">
        <x:is>
          <x:t xml:space="preserve">ПЗ-00216</x:t>
        </x:is>
      </x:c>
      <x:c r="C1817" s="31" t="inlineStr">
        <x:is>
          <x:t xml:space="preserve">ЗК-1103</x:t>
        </x:is>
      </x:c>
      <x:c r="D1817" s="31" t="inlineStr">
        <x:is>
          <x:t xml:space="preserve">ПОЗ-0103-2</x:t>
        </x:is>
      </x:c>
      <x:c r="E1817" s="31" t="inlineStr">
        <x:is>
          <x:t xml:space="preserve">ИЗД-037</x:t>
        </x:is>
      </x:c>
      <x:c r="F1817" s="31" t="n">
        <x:v>70</x:v>
      </x:c>
      <x:c r="G1817" s="31" t="inlineStr">
        <x:is>
          <x:t xml:space="preserve">ОТК</x:t>
        </x:is>
      </x:c>
      <x:c r="H1817" s="31" t="inlineStr">
        <x:is>
          <x:t xml:space="preserve">ОТК</x:t>
        </x:is>
      </x:c>
      <x:c r="I1817" s="31" t="inlineStr">
        <x:is>
          <x:t xml:space="preserve">ОБ-032</x:t>
        </x:is>
      </x:c>
      <x:c r="J1817" s="31" t="inlineStr">
        <x:is>
          <x:t xml:space="preserve">СОТР-098</x:t>
        </x:is>
      </x:c>
      <x:c r="K1817" s="31" t="n">
        <x:v>74.8</x:v>
      </x:c>
      <x:c r="L1817" s="31" t="n">
        <x:v>88</x:v>
      </x:c>
      <x:c r="M1817" s="31" t="n">
        <x:v>46199</x:v>
      </x:c>
      <x:c r="N1817" s="31" t="n">
        <x:v>46206</x:v>
      </x:c>
      <x:c r="O1817" s="31" t="n">
        <x:v>46199</x:v>
      </x:c>
      <x:c r="P1817" s="31" t="n">
        <x:v>46205</x:v>
      </x:c>
      <x:c r="Q1817" s="31" t="inlineStr">
        <x:is>
          <x:t xml:space="preserve">Завершено</x:t>
        </x:is>
      </x:c>
      <x:c r="R1817" s="31" t="inlineStr">
        <x:is>
          <x:t xml:space="preserve">Нет</x:t>
        </x:is>
      </x:c>
      <x:c r="S1817" s="31" t="inlineStr">
        <x:is>
          <x:t xml:space="preserve">Нет</x:t>
        </x:is>
      </x:c>
    </x:row>
    <x:row r="1818">
      <x:c r="A1818" s="31" t="inlineStr">
        <x:is>
          <x:t xml:space="preserve">ОП-001817</x:t>
        </x:is>
      </x:c>
      <x:c r="B1818" s="31" t="inlineStr">
        <x:is>
          <x:t xml:space="preserve">ПЗ-00217</x:t>
        </x:is>
      </x:c>
      <x:c r="C1818" s="31" t="inlineStr">
        <x:is>
          <x:t xml:space="preserve">ЗК-1103</x:t>
        </x:is>
      </x:c>
      <x:c r="D1818" s="31" t="inlineStr">
        <x:is>
          <x:t xml:space="preserve">ПОЗ-0103-3</x:t>
        </x:is>
      </x:c>
      <x:c r="E1818" s="31" t="inlineStr">
        <x:is>
          <x:t xml:space="preserve">ИЗД-035</x:t>
        </x:is>
      </x:c>
      <x:c r="F1818" s="31" t="n">
        <x:v>10</x:v>
      </x:c>
      <x:c r="G1818" s="31" t="inlineStr">
        <x:is>
          <x:t xml:space="preserve">КД</x:t>
        </x:is>
      </x:c>
      <x:c r="H1818" s="31" t="inlineStr">
        <x:is>
          <x:t xml:space="preserve">Инженерный отдел</x:t>
        </x:is>
      </x:c>
      <x:c r="I1818" s="31" t="n"/>
      <x:c r="J1818" s="31" t="inlineStr">
        <x:is>
          <x:t xml:space="preserve">СОТР-019</x:t>
        </x:is>
      </x:c>
      <x:c r="K1818" s="31" t="n">
        <x:v>27.6</x:v>
      </x:c>
      <x:c r="L1818" s="31" t="n">
        <x:v>28</x:v>
      </x:c>
      <x:c r="M1818" s="31" t="n">
        <x:v>46170</x:v>
      </x:c>
      <x:c r="N1818" s="31" t="n">
        <x:v>46173</x:v>
      </x:c>
      <x:c r="O1818" s="31" t="n">
        <x:v>46170</x:v>
      </x:c>
      <x:c r="P1818" s="31" t="n">
        <x:v>46174</x:v>
      </x:c>
      <x:c r="Q1818" s="31" t="inlineStr">
        <x:is>
          <x:t xml:space="preserve">Завершено</x:t>
        </x:is>
      </x:c>
      <x:c r="R1818" s="31" t="inlineStr">
        <x:is>
          <x:t xml:space="preserve">Нет</x:t>
        </x:is>
      </x:c>
      <x:c r="S1818" s="31" t="inlineStr">
        <x:is>
          <x:t xml:space="preserve">Да</x:t>
        </x:is>
      </x:c>
    </x:row>
    <x:row r="1819">
      <x:c r="A1819" s="31" t="inlineStr">
        <x:is>
          <x:t xml:space="preserve">ОП-001818</x:t>
        </x:is>
      </x:c>
      <x:c r="B1819" s="31" t="inlineStr">
        <x:is>
          <x:t xml:space="preserve">ПЗ-00217</x:t>
        </x:is>
      </x:c>
      <x:c r="C1819" s="31" t="inlineStr">
        <x:is>
          <x:t xml:space="preserve">ЗК-1103</x:t>
        </x:is>
      </x:c>
      <x:c r="D1819" s="31" t="inlineStr">
        <x:is>
          <x:t xml:space="preserve">ПОЗ-0103-3</x:t>
        </x:is>
      </x:c>
      <x:c r="E1819" s="31" t="inlineStr">
        <x:is>
          <x:t xml:space="preserve">ИЗД-035</x:t>
        </x:is>
      </x:c>
      <x:c r="F1819" s="31" t="n">
        <x:v>20</x:v>
      </x:c>
      <x:c r="G1819" s="31" t="inlineStr">
        <x:is>
          <x:t xml:space="preserve">Резерв материалов</x:t>
        </x:is>
      </x:c>
      <x:c r="H1819" s="31" t="inlineStr">
        <x:is>
          <x:t xml:space="preserve">Склад</x:t>
        </x:is>
      </x:c>
      <x:c r="I1819" s="31" t="inlineStr">
        <x:is>
          <x:t xml:space="preserve">ОБ-023</x:t>
        </x:is>
      </x:c>
      <x:c r="J1819" s="31" t="inlineStr">
        <x:is>
          <x:t xml:space="preserve">СОТР-039</x:t>
        </x:is>
      </x:c>
      <x:c r="K1819" s="31" t="n">
        <x:v>40.8</x:v>
      </x:c>
      <x:c r="L1819" s="31" t="n">
        <x:v>37.5</x:v>
      </x:c>
      <x:c r="M1819" s="31" t="n">
        <x:v>46173</x:v>
      </x:c>
      <x:c r="N1819" s="31" t="n">
        <x:v>46177</x:v>
      </x:c>
      <x:c r="O1819" s="31" t="n">
        <x:v>46173</x:v>
      </x:c>
      <x:c r="P1819" s="31" t="n">
        <x:v>46176</x:v>
      </x:c>
      <x:c r="Q1819" s="31" t="inlineStr">
        <x:is>
          <x:t xml:space="preserve">Завершено</x:t>
        </x:is>
      </x:c>
      <x:c r="R1819" s="31" t="inlineStr">
        <x:is>
          <x:t xml:space="preserve">Нет</x:t>
        </x:is>
      </x:c>
      <x:c r="S1819" s="31" t="inlineStr">
        <x:is>
          <x:t xml:space="preserve">Нет</x:t>
        </x:is>
      </x:c>
    </x:row>
    <x:row r="1820">
      <x:c r="A1820" s="31" t="inlineStr">
        <x:is>
          <x:t xml:space="preserve">ОП-001819</x:t>
        </x:is>
      </x:c>
      <x:c r="B1820" s="31" t="inlineStr">
        <x:is>
          <x:t xml:space="preserve">ПЗ-00217</x:t>
        </x:is>
      </x:c>
      <x:c r="C1820" s="31" t="inlineStr">
        <x:is>
          <x:t xml:space="preserve">ЗК-1103</x:t>
        </x:is>
      </x:c>
      <x:c r="D1820" s="31" t="inlineStr">
        <x:is>
          <x:t xml:space="preserve">ПОЗ-0103-3</x:t>
        </x:is>
      </x:c>
      <x:c r="E1820" s="31" t="inlineStr">
        <x:is>
          <x:t xml:space="preserve">ИЗД-035</x:t>
        </x:is>
      </x:c>
      <x:c r="F1820" s="31" t="n">
        <x:v>30</x:v>
      </x:c>
      <x:c r="G1820" s="31" t="inlineStr">
        <x:is>
          <x:t xml:space="preserve">Резка металла</x:t>
        </x:is>
      </x:c>
      <x:c r="H1820" s="31" t="inlineStr">
        <x:is>
          <x:t xml:space="preserve">Сварка</x:t>
        </x:is>
      </x:c>
      <x:c r="I1820" s="31" t="inlineStr">
        <x:is>
          <x:t xml:space="preserve">ОБ-021</x:t>
        </x:is>
      </x:c>
      <x:c r="J1820" s="31" t="inlineStr">
        <x:is>
          <x:t xml:space="preserve">СОТР-056</x:t>
        </x:is>
      </x:c>
      <x:c r="K1820" s="31" t="n">
        <x:v>18.8</x:v>
      </x:c>
      <x:c r="L1820" s="31" t="n">
        <x:v>17.9</x:v>
      </x:c>
      <x:c r="M1820" s="31" t="n">
        <x:v>46177</x:v>
      </x:c>
      <x:c r="N1820" s="31" t="n">
        <x:v>46179</x:v>
      </x:c>
      <x:c r="O1820" s="31" t="n">
        <x:v>46177</x:v>
      </x:c>
      <x:c r="P1820" s="31" t="n">
        <x:v>46178</x:v>
      </x:c>
      <x:c r="Q1820" s="31" t="inlineStr">
        <x:is>
          <x:t xml:space="preserve">Завершено</x:t>
        </x:is>
      </x:c>
      <x:c r="R1820" s="31" t="inlineStr">
        <x:is>
          <x:t xml:space="preserve">Нет</x:t>
        </x:is>
      </x:c>
      <x:c r="S1820" s="31" t="inlineStr">
        <x:is>
          <x:t xml:space="preserve">Нет</x:t>
        </x:is>
      </x:c>
    </x:row>
    <x:row r="1821">
      <x:c r="A1821" s="31" t="inlineStr">
        <x:is>
          <x:t xml:space="preserve">ОП-001820</x:t>
        </x:is>
      </x:c>
      <x:c r="B1821" s="31" t="inlineStr">
        <x:is>
          <x:t xml:space="preserve">ПЗ-00217</x:t>
        </x:is>
      </x:c>
      <x:c r="C1821" s="31" t="inlineStr">
        <x:is>
          <x:t xml:space="preserve">ЗК-1103</x:t>
        </x:is>
      </x:c>
      <x:c r="D1821" s="31" t="inlineStr">
        <x:is>
          <x:t xml:space="preserve">ПОЗ-0103-3</x:t>
        </x:is>
      </x:c>
      <x:c r="E1821" s="31" t="inlineStr">
        <x:is>
          <x:t xml:space="preserve">ИЗД-035</x:t>
        </x:is>
      </x:c>
      <x:c r="F1821" s="31" t="n">
        <x:v>40</x:v>
      </x:c>
      <x:c r="G1821" s="31" t="inlineStr">
        <x:is>
          <x:t xml:space="preserve">Сварка рамы</x:t>
        </x:is>
      </x:c>
      <x:c r="H1821" s="31" t="inlineStr">
        <x:is>
          <x:t xml:space="preserve">Сварка</x:t>
        </x:is>
      </x:c>
      <x:c r="I1821" s="31" t="inlineStr">
        <x:is>
          <x:t xml:space="preserve">ОБ-035</x:t>
        </x:is>
      </x:c>
      <x:c r="J1821" s="31" t="inlineStr">
        <x:is>
          <x:t xml:space="preserve">СОТР-059</x:t>
        </x:is>
      </x:c>
      <x:c r="K1821" s="31" t="n">
        <x:v>9.199999999999999</x:v>
      </x:c>
      <x:c r="L1821" s="31" t="n">
        <x:v>11</x:v>
      </x:c>
      <x:c r="M1821" s="31" t="n">
        <x:v>46179</x:v>
      </x:c>
      <x:c r="N1821" s="31" t="n">
        <x:v>46180</x:v>
      </x:c>
      <x:c r="O1821" s="31" t="n">
        <x:v>46179</x:v>
      </x:c>
      <x:c r="P1821" s="31" t="n">
        <x:v>46182</x:v>
      </x:c>
      <x:c r="Q1821" s="31" t="inlineStr">
        <x:is>
          <x:t xml:space="preserve">Завершено</x:t>
        </x:is>
      </x:c>
      <x:c r="R1821" s="31" t="inlineStr">
        <x:is>
          <x:t xml:space="preserve">Нет</x:t>
        </x:is>
      </x:c>
      <x:c r="S1821" s="31" t="inlineStr">
        <x:is>
          <x:t xml:space="preserve">Нет</x:t>
        </x:is>
      </x:c>
    </x:row>
    <x:row r="1822">
      <x:c r="A1822" s="31" t="inlineStr">
        <x:is>
          <x:t xml:space="preserve">ОП-001821</x:t>
        </x:is>
      </x:c>
      <x:c r="B1822" s="31" t="inlineStr">
        <x:is>
          <x:t xml:space="preserve">ПЗ-00217</x:t>
        </x:is>
      </x:c>
      <x:c r="C1822" s="31" t="inlineStr">
        <x:is>
          <x:t xml:space="preserve">ЗК-1103</x:t>
        </x:is>
      </x:c>
      <x:c r="D1822" s="31" t="inlineStr">
        <x:is>
          <x:t xml:space="preserve">ПОЗ-0103-3</x:t>
        </x:is>
      </x:c>
      <x:c r="E1822" s="31" t="inlineStr">
        <x:is>
          <x:t xml:space="preserve">ИЗД-035</x:t>
        </x:is>
      </x:c>
      <x:c r="F1822" s="31" t="n">
        <x:v>50</x:v>
      </x:c>
      <x:c r="G1822" s="31" t="inlineStr">
        <x:is>
          <x:t xml:space="preserve">Механообработка</x:t>
        </x:is>
      </x:c>
      <x:c r="H1822" s="31" t="inlineStr">
        <x:is>
          <x:t xml:space="preserve">Механообработка</x:t>
        </x:is>
      </x:c>
      <x:c r="I1822" s="31" t="inlineStr">
        <x:is>
          <x:t xml:space="preserve">ОБ-031</x:t>
        </x:is>
      </x:c>
      <x:c r="J1822" s="31" t="inlineStr">
        <x:is>
          <x:t xml:space="preserve">СОТР-044</x:t>
        </x:is>
      </x:c>
      <x:c r="K1822" s="31" t="n">
        <x:v>27.6</x:v>
      </x:c>
      <x:c r="L1822" s="31" t="n">
        <x:v>33.9</x:v>
      </x:c>
      <x:c r="M1822" s="31" t="n">
        <x:v>46180</x:v>
      </x:c>
      <x:c r="N1822" s="31" t="n">
        <x:v>46183</x:v>
      </x:c>
      <x:c r="O1822" s="31" t="n">
        <x:v>46180</x:v>
      </x:c>
      <x:c r="P1822" s="31" t="n">
        <x:v>46183</x:v>
      </x:c>
      <x:c r="Q1822" s="31" t="inlineStr">
        <x:is>
          <x:t xml:space="preserve">Завершено</x:t>
        </x:is>
      </x:c>
      <x:c r="R1822" s="31" t="inlineStr">
        <x:is>
          <x:t xml:space="preserve">Нет</x:t>
        </x:is>
      </x:c>
      <x:c r="S1822" s="31" t="inlineStr">
        <x:is>
          <x:t xml:space="preserve">Да</x:t>
        </x:is>
      </x:c>
    </x:row>
    <x:row r="1823">
      <x:c r="A1823" s="31" t="inlineStr">
        <x:is>
          <x:t xml:space="preserve">ОП-001822</x:t>
        </x:is>
      </x:c>
      <x:c r="B1823" s="31" t="inlineStr">
        <x:is>
          <x:t xml:space="preserve">ПЗ-00217</x:t>
        </x:is>
      </x:c>
      <x:c r="C1823" s="31" t="inlineStr">
        <x:is>
          <x:t xml:space="preserve">ЗК-1103</x:t>
        </x:is>
      </x:c>
      <x:c r="D1823" s="31" t="inlineStr">
        <x:is>
          <x:t xml:space="preserve">ПОЗ-0103-3</x:t>
        </x:is>
      </x:c>
      <x:c r="E1823" s="31" t="inlineStr">
        <x:is>
          <x:t xml:space="preserve">ИЗД-035</x:t>
        </x:is>
      </x:c>
      <x:c r="F1823" s="31" t="n">
        <x:v>60</x:v>
      </x:c>
      <x:c r="G1823" s="31" t="inlineStr">
        <x:is>
          <x:t xml:space="preserve">Сборка</x:t>
        </x:is>
      </x:c>
      <x:c r="H1823" s="31" t="inlineStr">
        <x:is>
          <x:t xml:space="preserve">Сборка</x:t>
        </x:is>
      </x:c>
      <x:c r="I1823" s="31" t="inlineStr">
        <x:is>
          <x:t xml:space="preserve">ОБ-012</x:t>
        </x:is>
      </x:c>
      <x:c r="J1823" s="31" t="inlineStr">
        <x:is>
          <x:t xml:space="preserve">СОТР-078</x:t>
        </x:is>
      </x:c>
      <x:c r="K1823" s="31" t="n">
        <x:v>5.6</x:v>
      </x:c>
      <x:c r="L1823" s="31" t="n"/>
      <x:c r="M1823" s="31" t="n">
        <x:v>46183</x:v>
      </x:c>
      <x:c r="N1823" s="31" t="n">
        <x:v>46184</x:v>
      </x:c>
      <x:c r="O1823" s="31" t="n"/>
      <x:c r="P1823" s="31" t="n"/>
      <x:c r="Q1823" s="31" t="inlineStr">
        <x:is>
          <x:t xml:space="preserve">Запланировано</x:t>
        </x:is>
      </x:c>
      <x:c r="R1823" s="31" t="inlineStr">
        <x:is>
          <x:t xml:space="preserve">Нет</x:t>
        </x:is>
      </x:c>
      <x:c r="S1823" s="31" t="inlineStr">
        <x:is>
          <x:t xml:space="preserve">Нет</x:t>
        </x:is>
      </x:c>
    </x:row>
    <x:row r="1824">
      <x:c r="A1824" s="31" t="inlineStr">
        <x:is>
          <x:t xml:space="preserve">ОП-001823</x:t>
        </x:is>
      </x:c>
      <x:c r="B1824" s="31" t="inlineStr">
        <x:is>
          <x:t xml:space="preserve">ПЗ-00217</x:t>
        </x:is>
      </x:c>
      <x:c r="C1824" s="31" t="inlineStr">
        <x:is>
          <x:t xml:space="preserve">ЗК-1103</x:t>
        </x:is>
      </x:c>
      <x:c r="D1824" s="31" t="inlineStr">
        <x:is>
          <x:t xml:space="preserve">ПОЗ-0103-3</x:t>
        </x:is>
      </x:c>
      <x:c r="E1824" s="31" t="inlineStr">
        <x:is>
          <x:t xml:space="preserve">ИЗД-035</x:t>
        </x:is>
      </x:c>
      <x:c r="F1824" s="31" t="n">
        <x:v>70</x:v>
      </x:c>
      <x:c r="G1824" s="31" t="inlineStr">
        <x:is>
          <x:t xml:space="preserve">Обвязка труб</x:t>
        </x:is>
      </x:c>
      <x:c r="H1824" s="31" t="inlineStr">
        <x:is>
          <x:t xml:space="preserve">Сборка</x:t>
        </x:is>
      </x:c>
      <x:c r="I1824" s="31" t="inlineStr">
        <x:is>
          <x:t xml:space="preserve">ОБ-002</x:t>
        </x:is>
      </x:c>
      <x:c r="J1824" s="31" t="inlineStr">
        <x:is>
          <x:t xml:space="preserve">СОТР-080</x:t>
        </x:is>
      </x:c>
      <x:c r="K1824" s="31" t="n">
        <x:v>44</x:v>
      </x:c>
      <x:c r="L1824" s="31" t="n"/>
      <x:c r="M1824" s="31" t="n">
        <x:v>46184</x:v>
      </x:c>
      <x:c r="N1824" s="31" t="n">
        <x:v>46188</x:v>
      </x:c>
      <x:c r="O1824" s="31" t="n"/>
      <x:c r="P1824" s="31" t="n"/>
      <x:c r="Q1824" s="31" t="inlineStr">
        <x:is>
          <x:t xml:space="preserve">Запланировано</x:t>
        </x:is>
      </x:c>
      <x:c r="R1824" s="31" t="inlineStr">
        <x:is>
          <x:t xml:space="preserve">Нет</x:t>
        </x:is>
      </x:c>
      <x:c r="S1824" s="31" t="inlineStr">
        <x:is>
          <x:t xml:space="preserve">Нет</x:t>
        </x:is>
      </x:c>
    </x:row>
    <x:row r="1825">
      <x:c r="A1825" s="31" t="inlineStr">
        <x:is>
          <x:t xml:space="preserve">ОП-001824</x:t>
        </x:is>
      </x:c>
      <x:c r="B1825" s="31" t="inlineStr">
        <x:is>
          <x:t xml:space="preserve">ПЗ-00217</x:t>
        </x:is>
      </x:c>
      <x:c r="C1825" s="31" t="inlineStr">
        <x:is>
          <x:t xml:space="preserve">ЗК-1103</x:t>
        </x:is>
      </x:c>
      <x:c r="D1825" s="31" t="inlineStr">
        <x:is>
          <x:t xml:space="preserve">ПОЗ-0103-3</x:t>
        </x:is>
      </x:c>
      <x:c r="E1825" s="31" t="inlineStr">
        <x:is>
          <x:t xml:space="preserve">ИЗД-035</x:t>
        </x:is>
      </x:c>
      <x:c r="F1825" s="31" t="n">
        <x:v>80</x:v>
      </x:c>
      <x:c r="G1825" s="31" t="inlineStr">
        <x:is>
          <x:t xml:space="preserve">Электромонтаж</x:t>
        </x:is>
      </x:c>
      <x:c r="H1825" s="31" t="inlineStr">
        <x:is>
          <x:t xml:space="preserve">Сборка</x:t>
        </x:is>
      </x:c>
      <x:c r="I1825" s="31" t="inlineStr">
        <x:is>
          <x:t xml:space="preserve">ОБ-002</x:t>
        </x:is>
      </x:c>
      <x:c r="J1825" s="31" t="inlineStr">
        <x:is>
          <x:t xml:space="preserve">СОТР-073</x:t>
        </x:is>
      </x:c>
      <x:c r="K1825" s="31" t="n">
        <x:v>4.8</x:v>
      </x:c>
      <x:c r="L1825" s="31" t="n"/>
      <x:c r="M1825" s="31" t="n">
        <x:v>46188</x:v>
      </x:c>
      <x:c r="N1825" s="31" t="n">
        <x:v>46189</x:v>
      </x:c>
      <x:c r="O1825" s="31" t="n"/>
      <x:c r="P1825" s="31" t="n"/>
      <x:c r="Q1825" s="31" t="inlineStr">
        <x:is>
          <x:t xml:space="preserve">Запланировано</x:t>
        </x:is>
      </x:c>
      <x:c r="R1825" s="31" t="inlineStr">
        <x:is>
          <x:t xml:space="preserve">Нет</x:t>
        </x:is>
      </x:c>
      <x:c r="S1825" s="31" t="inlineStr">
        <x:is>
          <x:t xml:space="preserve">Да</x:t>
        </x:is>
      </x:c>
    </x:row>
    <x:row r="1826">
      <x:c r="A1826" s="31" t="inlineStr">
        <x:is>
          <x:t xml:space="preserve">ОП-001825</x:t>
        </x:is>
      </x:c>
      <x:c r="B1826" s="31" t="inlineStr">
        <x:is>
          <x:t xml:space="preserve">ПЗ-00217</x:t>
        </x:is>
      </x:c>
      <x:c r="C1826" s="31" t="inlineStr">
        <x:is>
          <x:t xml:space="preserve">ЗК-1103</x:t>
        </x:is>
      </x:c>
      <x:c r="D1826" s="31" t="inlineStr">
        <x:is>
          <x:t xml:space="preserve">ПОЗ-0103-3</x:t>
        </x:is>
      </x:c>
      <x:c r="E1826" s="31" t="inlineStr">
        <x:is>
          <x:t xml:space="preserve">ИЗД-035</x:t>
        </x:is>
      </x:c>
      <x:c r="F1826" s="31" t="n">
        <x:v>90</x:v>
      </x:c>
      <x:c r="G1826" s="31" t="inlineStr">
        <x:is>
          <x:t xml:space="preserve">Приемочные испытания</x:t>
        </x:is>
      </x:c>
      <x:c r="H1826" s="31" t="inlineStr">
        <x:is>
          <x:t xml:space="preserve">ОТК</x:t>
        </x:is>
      </x:c>
      <x:c r="I1826" s="31" t="inlineStr">
        <x:is>
          <x:t xml:space="preserve">ОБ-033</x:t>
        </x:is>
      </x:c>
      <x:c r="J1826" s="31" t="inlineStr">
        <x:is>
          <x:t xml:space="preserve">СОТР-092</x:t>
        </x:is>
      </x:c>
      <x:c r="K1826" s="31" t="n">
        <x:v>8.4</x:v>
      </x:c>
      <x:c r="L1826" s="31" t="n"/>
      <x:c r="M1826" s="31" t="n">
        <x:v>46189</x:v>
      </x:c>
      <x:c r="N1826" s="31" t="n">
        <x:v>46190</x:v>
      </x:c>
      <x:c r="O1826" s="31" t="n"/>
      <x:c r="P1826" s="31" t="n"/>
      <x:c r="Q1826" s="31" t="inlineStr">
        <x:is>
          <x:t xml:space="preserve">Запланировано</x:t>
        </x:is>
      </x:c>
      <x:c r="R1826" s="31" t="inlineStr">
        <x:is>
          <x:t xml:space="preserve">Нет</x:t>
        </x:is>
      </x:c>
      <x:c r="S1826" s="31" t="inlineStr">
        <x:is>
          <x:t xml:space="preserve">Нет</x:t>
        </x:is>
      </x:c>
    </x:row>
    <x:row r="1827">
      <x:c r="A1827" s="31" t="inlineStr">
        <x:is>
          <x:t xml:space="preserve">ОП-001826</x:t>
        </x:is>
      </x:c>
      <x:c r="B1827" s="31" t="inlineStr">
        <x:is>
          <x:t xml:space="preserve">ПЗ-00217</x:t>
        </x:is>
      </x:c>
      <x:c r="C1827" s="31" t="inlineStr">
        <x:is>
          <x:t xml:space="preserve">ЗК-1103</x:t>
        </x:is>
      </x:c>
      <x:c r="D1827" s="31" t="inlineStr">
        <x:is>
          <x:t xml:space="preserve">ПОЗ-0103-3</x:t>
        </x:is>
      </x:c>
      <x:c r="E1827" s="31" t="inlineStr">
        <x:is>
          <x:t xml:space="preserve">ИЗД-035</x:t>
        </x:is>
      </x:c>
      <x:c r="F1827" s="31" t="n">
        <x:v>100</x:v>
      </x:c>
      <x:c r="G1827" s="31" t="inlineStr">
        <x:is>
          <x:t xml:space="preserve">ОТК</x:t>
        </x:is>
      </x:c>
      <x:c r="H1827" s="31" t="inlineStr">
        <x:is>
          <x:t xml:space="preserve">ОТК</x:t>
        </x:is>
      </x:c>
      <x:c r="I1827" s="31" t="inlineStr">
        <x:is>
          <x:t xml:space="preserve">ОБ-006</x:t>
        </x:is>
      </x:c>
      <x:c r="J1827" s="31" t="inlineStr">
        <x:is>
          <x:t xml:space="preserve">СОТР-100</x:t>
        </x:is>
      </x:c>
      <x:c r="K1827" s="31" t="n">
        <x:v>40</x:v>
      </x:c>
      <x:c r="L1827" s="31" t="n"/>
      <x:c r="M1827" s="31" t="n">
        <x:v>46190</x:v>
      </x:c>
      <x:c r="N1827" s="31" t="n">
        <x:v>46194</x:v>
      </x:c>
      <x:c r="O1827" s="31" t="n"/>
      <x:c r="P1827" s="31" t="n"/>
      <x:c r="Q1827" s="31" t="inlineStr">
        <x:is>
          <x:t xml:space="preserve">Запланировано</x:t>
        </x:is>
      </x:c>
      <x:c r="R1827" s="31" t="inlineStr">
        <x:is>
          <x:t xml:space="preserve">Нет</x:t>
        </x:is>
      </x:c>
      <x:c r="S1827" s="31" t="inlineStr">
        <x:is>
          <x:t xml:space="preserve">Нет</x:t>
        </x:is>
      </x:c>
    </x:row>
    <x:row r="1828">
      <x:c r="A1828" s="31" t="inlineStr">
        <x:is>
          <x:t xml:space="preserve">ОП-001827</x:t>
        </x:is>
      </x:c>
      <x:c r="B1828" s="31" t="inlineStr">
        <x:is>
          <x:t xml:space="preserve">ПЗ-00217</x:t>
        </x:is>
      </x:c>
      <x:c r="C1828" s="31" t="inlineStr">
        <x:is>
          <x:t xml:space="preserve">ЗК-1103</x:t>
        </x:is>
      </x:c>
      <x:c r="D1828" s="31" t="inlineStr">
        <x:is>
          <x:t xml:space="preserve">ПОЗ-0103-3</x:t>
        </x:is>
      </x:c>
      <x:c r="E1828" s="31" t="inlineStr">
        <x:is>
          <x:t xml:space="preserve">ИЗД-035</x:t>
        </x:is>
      </x:c>
      <x:c r="F1828" s="31" t="n">
        <x:v>110</x:v>
      </x:c>
      <x:c r="G1828" s="31" t="inlineStr">
        <x:is>
          <x:t xml:space="preserve">Упаковка</x:t>
        </x:is>
      </x:c>
      <x:c r="H1828" s="31" t="inlineStr">
        <x:is>
          <x:t xml:space="preserve">Логистика</x:t>
        </x:is>
      </x:c>
      <x:c r="I1828" s="31" t="n"/>
      <x:c r="J1828" s="31" t="inlineStr">
        <x:is>
          <x:t xml:space="preserve">СОТР-101</x:t>
        </x:is>
      </x:c>
      <x:c r="K1828" s="31" t="n">
        <x:v>31.2</x:v>
      </x:c>
      <x:c r="L1828" s="31" t="n"/>
      <x:c r="M1828" s="31" t="n">
        <x:v>46194</x:v>
      </x:c>
      <x:c r="N1828" s="31" t="n">
        <x:v>46197</x:v>
      </x:c>
      <x:c r="O1828" s="31" t="n"/>
      <x:c r="P1828" s="31" t="n"/>
      <x:c r="Q1828" s="31" t="inlineStr">
        <x:is>
          <x:t xml:space="preserve">Запланировано</x:t>
        </x:is>
      </x:c>
      <x:c r="R1828" s="31" t="inlineStr">
        <x:is>
          <x:t xml:space="preserve">Нет</x:t>
        </x:is>
      </x:c>
      <x:c r="S1828" s="31" t="inlineStr">
        <x:is>
          <x:t xml:space="preserve">Нет</x:t>
        </x:is>
      </x:c>
    </x:row>
    <x:row r="1829">
      <x:c r="A1829" s="31" t="inlineStr">
        <x:is>
          <x:t xml:space="preserve">ОП-001828</x:t>
        </x:is>
      </x:c>
      <x:c r="B1829" s="31" t="inlineStr">
        <x:is>
          <x:t xml:space="preserve">ПЗ-00218</x:t>
        </x:is>
      </x:c>
      <x:c r="C1829" s="31" t="inlineStr">
        <x:is>
          <x:t xml:space="preserve">ЗК-1104</x:t>
        </x:is>
      </x:c>
      <x:c r="D1829" s="31" t="inlineStr">
        <x:is>
          <x:t xml:space="preserve">ПОЗ-0104-1</x:t>
        </x:is>
      </x:c>
      <x:c r="E1829" s="31" t="inlineStr">
        <x:is>
          <x:t xml:space="preserve">ИЗД-010</x:t>
        </x:is>
      </x:c>
      <x:c r="F1829" s="31" t="n">
        <x:v>10</x:v>
      </x:c>
      <x:c r="G1829" s="31" t="inlineStr">
        <x:is>
          <x:t xml:space="preserve">КД</x:t>
        </x:is>
      </x:c>
      <x:c r="H1829" s="31" t="inlineStr">
        <x:is>
          <x:t xml:space="preserve">Инженерный отдел</x:t>
        </x:is>
      </x:c>
      <x:c r="I1829" s="31" t="n"/>
      <x:c r="J1829" s="31" t="inlineStr">
        <x:is>
          <x:t xml:space="preserve">СОТР-015</x:t>
        </x:is>
      </x:c>
      <x:c r="K1829" s="31" t="n">
        <x:v>15.4</x:v>
      </x:c>
      <x:c r="L1829" s="31" t="n">
        <x:v>15</x:v>
      </x:c>
      <x:c r="M1829" s="31" t="n">
        <x:v>46057</x:v>
      </x:c>
      <x:c r="N1829" s="31" t="n">
        <x:v>46059</x:v>
      </x:c>
      <x:c r="O1829" s="31" t="n">
        <x:v>46057</x:v>
      </x:c>
      <x:c r="P1829" s="31" t="n">
        <x:v>46058</x:v>
      </x:c>
      <x:c r="Q1829" s="31" t="inlineStr">
        <x:is>
          <x:t xml:space="preserve">Завершено</x:t>
        </x:is>
      </x:c>
      <x:c r="R1829" s="31" t="inlineStr">
        <x:is>
          <x:t xml:space="preserve">Оборудование</x:t>
        </x:is>
      </x:c>
      <x:c r="S1829" s="31" t="inlineStr">
        <x:is>
          <x:t xml:space="preserve">Нет</x:t>
        </x:is>
      </x:c>
    </x:row>
    <x:row r="1830">
      <x:c r="A1830" s="31" t="inlineStr">
        <x:is>
          <x:t xml:space="preserve">ОП-001829</x:t>
        </x:is>
      </x:c>
      <x:c r="B1830" s="31" t="inlineStr">
        <x:is>
          <x:t xml:space="preserve">ПЗ-00218</x:t>
        </x:is>
      </x:c>
      <x:c r="C1830" s="31" t="inlineStr">
        <x:is>
          <x:t xml:space="preserve">ЗК-1104</x:t>
        </x:is>
      </x:c>
      <x:c r="D1830" s="31" t="inlineStr">
        <x:is>
          <x:t xml:space="preserve">ПОЗ-0104-1</x:t>
        </x:is>
      </x:c>
      <x:c r="E1830" s="31" t="inlineStr">
        <x:is>
          <x:t xml:space="preserve">ИЗД-010</x:t>
        </x:is>
      </x:c>
      <x:c r="F1830" s="31" t="n">
        <x:v>20</x:v>
      </x:c>
      <x:c r="G1830" s="31" t="inlineStr">
        <x:is>
          <x:t xml:space="preserve">Комплектация</x:t>
        </x:is>
      </x:c>
      <x:c r="H1830" s="31" t="inlineStr">
        <x:is>
          <x:t xml:space="preserve">Склад</x:t>
        </x:is>
      </x:c>
      <x:c r="I1830" s="31" t="inlineStr">
        <x:is>
          <x:t xml:space="preserve">ОБ-025</x:t>
        </x:is>
      </x:c>
      <x:c r="J1830" s="31" t="inlineStr">
        <x:is>
          <x:t xml:space="preserve">СОТР-039</x:t>
        </x:is>
      </x:c>
      <x:c r="K1830" s="31" t="n">
        <x:v>11.6</x:v>
      </x:c>
      <x:c r="L1830" s="31" t="n">
        <x:v>10</x:v>
      </x:c>
      <x:c r="M1830" s="31" t="n">
        <x:v>46059</x:v>
      </x:c>
      <x:c r="N1830" s="31" t="n">
        <x:v>46060</x:v>
      </x:c>
      <x:c r="O1830" s="31" t="n">
        <x:v>46059</x:v>
      </x:c>
      <x:c r="P1830" s="31" t="n">
        <x:v>46059</x:v>
      </x:c>
      <x:c r="Q1830" s="31" t="inlineStr">
        <x:is>
          <x:t xml:space="preserve">Завершено</x:t>
        </x:is>
      </x:c>
      <x:c r="R1830" s="31" t="inlineStr">
        <x:is>
          <x:t xml:space="preserve">Нет</x:t>
        </x:is>
      </x:c>
      <x:c r="S1830" s="31" t="inlineStr">
        <x:is>
          <x:t xml:space="preserve">Нет</x:t>
        </x:is>
      </x:c>
    </x:row>
    <x:row r="1831">
      <x:c r="A1831" s="31" t="inlineStr">
        <x:is>
          <x:t xml:space="preserve">ОП-001830</x:t>
        </x:is>
      </x:c>
      <x:c r="B1831" s="31" t="inlineStr">
        <x:is>
          <x:t xml:space="preserve">ПЗ-00218</x:t>
        </x:is>
      </x:c>
      <x:c r="C1831" s="31" t="inlineStr">
        <x:is>
          <x:t xml:space="preserve">ЗК-1104</x:t>
        </x:is>
      </x:c>
      <x:c r="D1831" s="31" t="inlineStr">
        <x:is>
          <x:t xml:space="preserve">ПОЗ-0104-1</x:t>
        </x:is>
      </x:c>
      <x:c r="E1831" s="31" t="inlineStr">
        <x:is>
          <x:t xml:space="preserve">ИЗД-010</x:t>
        </x:is>
      </x:c>
      <x:c r="F1831" s="31" t="n">
        <x:v>30</x:v>
      </x:c>
      <x:c r="G1831" s="31" t="inlineStr">
        <x:is>
          <x:t xml:space="preserve">Сборка шкафа</x:t>
        </x:is>
      </x:c>
      <x:c r="H1831" s="31" t="inlineStr">
        <x:is>
          <x:t xml:space="preserve">Сборка</x:t>
        </x:is>
      </x:c>
      <x:c r="I1831" s="31" t="inlineStr">
        <x:is>
          <x:t xml:space="preserve">ОБ-020</x:t>
        </x:is>
      </x:c>
      <x:c r="J1831" s="31" t="inlineStr">
        <x:is>
          <x:t xml:space="preserve">СОТР-084</x:t>
        </x:is>
      </x:c>
      <x:c r="K1831" s="31" t="n">
        <x:v>12.2</x:v>
      </x:c>
      <x:c r="L1831" s="31" t="n">
        <x:v>12.1</x:v>
      </x:c>
      <x:c r="M1831" s="31" t="n">
        <x:v>46060</x:v>
      </x:c>
      <x:c r="N1831" s="31" t="n">
        <x:v>46062</x:v>
      </x:c>
      <x:c r="O1831" s="31" t="n">
        <x:v>46060</x:v>
      </x:c>
      <x:c r="P1831" s="31" t="n">
        <x:v>46064</x:v>
      </x:c>
      <x:c r="Q1831" s="31" t="inlineStr">
        <x:is>
          <x:t xml:space="preserve">Завершено</x:t>
        </x:is>
      </x:c>
      <x:c r="R1831" s="31" t="inlineStr">
        <x:is>
          <x:t xml:space="preserve">Нет</x:t>
        </x:is>
      </x:c>
      <x:c r="S1831" s="31" t="inlineStr">
        <x:is>
          <x:t xml:space="preserve">Нет</x:t>
        </x:is>
      </x:c>
    </x:row>
    <x:row r="1832">
      <x:c r="A1832" s="31" t="inlineStr">
        <x:is>
          <x:t xml:space="preserve">ОП-001831</x:t>
        </x:is>
      </x:c>
      <x:c r="B1832" s="31" t="inlineStr">
        <x:is>
          <x:t xml:space="preserve">ПЗ-00218</x:t>
        </x:is>
      </x:c>
      <x:c r="C1832" s="31" t="inlineStr">
        <x:is>
          <x:t xml:space="preserve">ЗК-1104</x:t>
        </x:is>
      </x:c>
      <x:c r="D1832" s="31" t="inlineStr">
        <x:is>
          <x:t xml:space="preserve">ПОЗ-0104-1</x:t>
        </x:is>
      </x:c>
      <x:c r="E1832" s="31" t="inlineStr">
        <x:is>
          <x:t xml:space="preserve">ИЗД-010</x:t>
        </x:is>
      </x:c>
      <x:c r="F1832" s="31" t="n">
        <x:v>40</x:v>
      </x:c>
      <x:c r="G1832" s="31" t="inlineStr">
        <x:is>
          <x:t xml:space="preserve">Маркировка</x:t>
        </x:is>
      </x:c>
      <x:c r="H1832" s="31" t="inlineStr">
        <x:is>
          <x:t xml:space="preserve">Сборка</x:t>
        </x:is>
      </x:c>
      <x:c r="I1832" s="31" t="inlineStr">
        <x:is>
          <x:t xml:space="preserve">ОБ-034</x:t>
        </x:is>
      </x:c>
      <x:c r="J1832" s="31" t="inlineStr">
        <x:is>
          <x:t xml:space="preserve">СОТР-075</x:t>
        </x:is>
      </x:c>
      <x:c r="K1832" s="31" t="n">
        <x:v>4.2</x:v>
      </x:c>
      <x:c r="L1832" s="31" t="n">
        <x:v>4.4</x:v>
      </x:c>
      <x:c r="M1832" s="31" t="n">
        <x:v>46062</x:v>
      </x:c>
      <x:c r="N1832" s="31" t="n">
        <x:v>46063</x:v>
      </x:c>
      <x:c r="O1832" s="31" t="n">
        <x:v>46062</x:v>
      </x:c>
      <x:c r="P1832" s="31" t="n">
        <x:v>46062</x:v>
      </x:c>
      <x:c r="Q1832" s="31" t="inlineStr">
        <x:is>
          <x:t xml:space="preserve">Завершено</x:t>
        </x:is>
      </x:c>
      <x:c r="R1832" s="31" t="inlineStr">
        <x:is>
          <x:t xml:space="preserve">Нет</x:t>
        </x:is>
      </x:c>
      <x:c r="S1832" s="31" t="inlineStr">
        <x:is>
          <x:t xml:space="preserve">Нет</x:t>
        </x:is>
      </x:c>
    </x:row>
    <x:row r="1833">
      <x:c r="A1833" s="31" t="inlineStr">
        <x:is>
          <x:t xml:space="preserve">ОП-001832</x:t>
        </x:is>
      </x:c>
      <x:c r="B1833" s="31" t="inlineStr">
        <x:is>
          <x:t xml:space="preserve">ПЗ-00218</x:t>
        </x:is>
      </x:c>
      <x:c r="C1833" s="31" t="inlineStr">
        <x:is>
          <x:t xml:space="preserve">ЗК-1104</x:t>
        </x:is>
      </x:c>
      <x:c r="D1833" s="31" t="inlineStr">
        <x:is>
          <x:t xml:space="preserve">ПОЗ-0104-1</x:t>
        </x:is>
      </x:c>
      <x:c r="E1833" s="31" t="inlineStr">
        <x:is>
          <x:t xml:space="preserve">ИЗД-010</x:t>
        </x:is>
      </x:c>
      <x:c r="F1833" s="31" t="n">
        <x:v>50</x:v>
      </x:c>
      <x:c r="G1833" s="31" t="inlineStr">
        <x:is>
          <x:t xml:space="preserve">Электромонтаж</x:t>
        </x:is>
      </x:c>
      <x:c r="H1833" s="31" t="inlineStr">
        <x:is>
          <x:t xml:space="preserve">Сборка</x:t>
        </x:is>
      </x:c>
      <x:c r="I1833" s="31" t="inlineStr">
        <x:is>
          <x:t xml:space="preserve">ОБ-020</x:t>
        </x:is>
      </x:c>
      <x:c r="J1833" s="31" t="inlineStr">
        <x:is>
          <x:t xml:space="preserve">СОТР-084</x:t>
        </x:is>
      </x:c>
      <x:c r="K1833" s="31" t="n">
        <x:v>15.2</x:v>
      </x:c>
      <x:c r="L1833" s="31" t="n">
        <x:v>19.4</x:v>
      </x:c>
      <x:c r="M1833" s="31" t="n">
        <x:v>46063</x:v>
      </x:c>
      <x:c r="N1833" s="31" t="n">
        <x:v>46065</x:v>
      </x:c>
      <x:c r="O1833" s="31" t="n">
        <x:v>46063</x:v>
      </x:c>
      <x:c r="P1833" s="31" t="n">
        <x:v>46067</x:v>
      </x:c>
      <x:c r="Q1833" s="31" t="inlineStr">
        <x:is>
          <x:t xml:space="preserve">Завершено</x:t>
        </x:is>
      </x:c>
      <x:c r="R1833" s="31" t="inlineStr">
        <x:is>
          <x:t xml:space="preserve">Нет</x:t>
        </x:is>
      </x:c>
      <x:c r="S1833" s="31" t="inlineStr">
        <x:is>
          <x:t xml:space="preserve">Нет</x:t>
        </x:is>
      </x:c>
    </x:row>
    <x:row r="1834">
      <x:c r="A1834" s="31" t="inlineStr">
        <x:is>
          <x:t xml:space="preserve">ОП-001833</x:t>
        </x:is>
      </x:c>
      <x:c r="B1834" s="31" t="inlineStr">
        <x:is>
          <x:t xml:space="preserve">ПЗ-00218</x:t>
        </x:is>
      </x:c>
      <x:c r="C1834" s="31" t="inlineStr">
        <x:is>
          <x:t xml:space="preserve">ЗК-1104</x:t>
        </x:is>
      </x:c>
      <x:c r="D1834" s="31" t="inlineStr">
        <x:is>
          <x:t xml:space="preserve">ПОЗ-0104-1</x:t>
        </x:is>
      </x:c>
      <x:c r="E1834" s="31" t="inlineStr">
        <x:is>
          <x:t xml:space="preserve">ИЗД-010</x:t>
        </x:is>
      </x:c>
      <x:c r="F1834" s="31" t="n">
        <x:v>60</x:v>
      </x:c>
      <x:c r="G1834" s="31" t="inlineStr">
        <x:is>
          <x:t xml:space="preserve">Программирование ПЛК</x:t>
        </x:is>
      </x:c>
      <x:c r="H1834" s="31" t="inlineStr">
        <x:is>
          <x:t xml:space="preserve">Инженерный отдел</x:t>
        </x:is>
      </x:c>
      <x:c r="I1834" s="31" t="n"/>
      <x:c r="J1834" s="31" t="inlineStr">
        <x:is>
          <x:t xml:space="preserve">СОТР-012</x:t>
        </x:is>
      </x:c>
      <x:c r="K1834" s="31" t="n">
        <x:v>16.6</x:v>
      </x:c>
      <x:c r="L1834" s="31" t="n">
        <x:v>22.2</x:v>
      </x:c>
      <x:c r="M1834" s="31" t="n">
        <x:v>46065</x:v>
      </x:c>
      <x:c r="N1834" s="31" t="n">
        <x:v>46067</x:v>
      </x:c>
      <x:c r="O1834" s="31" t="n">
        <x:v>46065</x:v>
      </x:c>
      <x:c r="P1834" s="31" t="n">
        <x:v>46069</x:v>
      </x:c>
      <x:c r="Q1834" s="31" t="inlineStr">
        <x:is>
          <x:t xml:space="preserve">Завершено</x:t>
        </x:is>
      </x:c>
      <x:c r="R1834" s="31" t="inlineStr">
        <x:is>
          <x:t xml:space="preserve">Нет</x:t>
        </x:is>
      </x:c>
      <x:c r="S1834" s="31" t="inlineStr">
        <x:is>
          <x:t xml:space="preserve">Нет</x:t>
        </x:is>
      </x:c>
    </x:row>
    <x:row r="1835">
      <x:c r="A1835" s="31" t="inlineStr">
        <x:is>
          <x:t xml:space="preserve">ОП-001834</x:t>
        </x:is>
      </x:c>
      <x:c r="B1835" s="31" t="inlineStr">
        <x:is>
          <x:t xml:space="preserve">ПЗ-00218</x:t>
        </x:is>
      </x:c>
      <x:c r="C1835" s="31" t="inlineStr">
        <x:is>
          <x:t xml:space="preserve">ЗК-1104</x:t>
        </x:is>
      </x:c>
      <x:c r="D1835" s="31" t="inlineStr">
        <x:is>
          <x:t xml:space="preserve">ПОЗ-0104-1</x:t>
        </x:is>
      </x:c>
      <x:c r="E1835" s="31" t="inlineStr">
        <x:is>
          <x:t xml:space="preserve">ИЗД-010</x:t>
        </x:is>
      </x:c>
      <x:c r="F1835" s="31" t="n">
        <x:v>70</x:v>
      </x:c>
      <x:c r="G1835" s="31" t="inlineStr">
        <x:is>
          <x:t xml:space="preserve">Приемочные испытания</x:t>
        </x:is>
      </x:c>
      <x:c r="H1835" s="31" t="inlineStr">
        <x:is>
          <x:t xml:space="preserve">ОТК</x:t>
        </x:is>
      </x:c>
      <x:c r="I1835" s="31" t="inlineStr">
        <x:is>
          <x:t xml:space="preserve">ОБ-013</x:t>
        </x:is>
      </x:c>
      <x:c r="J1835" s="31" t="inlineStr">
        <x:is>
          <x:t xml:space="preserve">СОТР-093</x:t>
        </x:is>
      </x:c>
      <x:c r="K1835" s="31" t="n">
        <x:v>25.2</x:v>
      </x:c>
      <x:c r="L1835" s="31" t="n">
        <x:v>21.6</x:v>
      </x:c>
      <x:c r="M1835" s="31" t="n">
        <x:v>46067</x:v>
      </x:c>
      <x:c r="N1835" s="31" t="n">
        <x:v>46070</x:v>
      </x:c>
      <x:c r="O1835" s="31" t="n">
        <x:v>46067</x:v>
      </x:c>
      <x:c r="P1835" s="31" t="n">
        <x:v>46072</x:v>
      </x:c>
      <x:c r="Q1835" s="31" t="inlineStr">
        <x:is>
          <x:t xml:space="preserve">Завершено</x:t>
        </x:is>
      </x:c>
      <x:c r="R1835" s="31" t="inlineStr">
        <x:is>
          <x:t xml:space="preserve">Нет</x:t>
        </x:is>
      </x:c>
      <x:c r="S1835" s="31" t="inlineStr">
        <x:is>
          <x:t xml:space="preserve">Нет</x:t>
        </x:is>
      </x:c>
    </x:row>
    <x:row r="1836">
      <x:c r="A1836" s="31" t="inlineStr">
        <x:is>
          <x:t xml:space="preserve">ОП-001835</x:t>
        </x:is>
      </x:c>
      <x:c r="B1836" s="31" t="inlineStr">
        <x:is>
          <x:t xml:space="preserve">ПЗ-00218</x:t>
        </x:is>
      </x:c>
      <x:c r="C1836" s="31" t="inlineStr">
        <x:is>
          <x:t xml:space="preserve">ЗК-1104</x:t>
        </x:is>
      </x:c>
      <x:c r="D1836" s="31" t="inlineStr">
        <x:is>
          <x:t xml:space="preserve">ПОЗ-0104-1</x:t>
        </x:is>
      </x:c>
      <x:c r="E1836" s="31" t="inlineStr">
        <x:is>
          <x:t xml:space="preserve">ИЗД-010</x:t>
        </x:is>
      </x:c>
      <x:c r="F1836" s="31" t="n">
        <x:v>80</x:v>
      </x:c>
      <x:c r="G1836" s="31" t="inlineStr">
        <x:is>
          <x:t xml:space="preserve">ОТК</x:t>
        </x:is>
      </x:c>
      <x:c r="H1836" s="31" t="inlineStr">
        <x:is>
          <x:t xml:space="preserve">ОТК</x:t>
        </x:is>
      </x:c>
      <x:c r="I1836" s="31" t="inlineStr">
        <x:is>
          <x:t xml:space="preserve">ОБ-015</x:t>
        </x:is>
      </x:c>
      <x:c r="J1836" s="31" t="inlineStr">
        <x:is>
          <x:t xml:space="preserve">СОТР-095</x:t>
        </x:is>
      </x:c>
      <x:c r="K1836" s="31" t="n">
        <x:v>18.2</x:v>
      </x:c>
      <x:c r="L1836" s="31" t="n">
        <x:v>23.7</x:v>
      </x:c>
      <x:c r="M1836" s="31" t="n">
        <x:v>46070</x:v>
      </x:c>
      <x:c r="N1836" s="31" t="n">
        <x:v>46072</x:v>
      </x:c>
      <x:c r="O1836" s="31" t="n">
        <x:v>46070</x:v>
      </x:c>
      <x:c r="P1836" s="31" t="n">
        <x:v>46074</x:v>
      </x:c>
      <x:c r="Q1836" s="31" t="inlineStr">
        <x:is>
          <x:t xml:space="preserve">Завершено</x:t>
        </x:is>
      </x:c>
      <x:c r="R1836" s="31" t="inlineStr">
        <x:is>
          <x:t xml:space="preserve">Нет</x:t>
        </x:is>
      </x:c>
      <x:c r="S1836" s="31" t="inlineStr">
        <x:is>
          <x:t xml:space="preserve">Нет</x:t>
        </x:is>
      </x:c>
    </x:row>
    <x:row r="1837">
      <x:c r="A1837" s="31" t="inlineStr">
        <x:is>
          <x:t xml:space="preserve">ОП-001836</x:t>
        </x:is>
      </x:c>
      <x:c r="B1837" s="31" t="inlineStr">
        <x:is>
          <x:t xml:space="preserve">ПЗ-00218</x:t>
        </x:is>
      </x:c>
      <x:c r="C1837" s="31" t="inlineStr">
        <x:is>
          <x:t xml:space="preserve">ЗК-1104</x:t>
        </x:is>
      </x:c>
      <x:c r="D1837" s="31" t="inlineStr">
        <x:is>
          <x:t xml:space="preserve">ПОЗ-0104-1</x:t>
        </x:is>
      </x:c>
      <x:c r="E1837" s="31" t="inlineStr">
        <x:is>
          <x:t xml:space="preserve">ИЗД-010</x:t>
        </x:is>
      </x:c>
      <x:c r="F1837" s="31" t="n">
        <x:v>90</x:v>
      </x:c>
      <x:c r="G1837" s="31" t="inlineStr">
        <x:is>
          <x:t xml:space="preserve">Упаковка</x:t>
        </x:is>
      </x:c>
      <x:c r="H1837" s="31" t="inlineStr">
        <x:is>
          <x:t xml:space="preserve">Логистика</x:t>
        </x:is>
      </x:c>
      <x:c r="I1837" s="31" t="n"/>
      <x:c r="J1837" s="31" t="inlineStr">
        <x:is>
          <x:t xml:space="preserve">СОТР-101</x:t>
        </x:is>
      </x:c>
      <x:c r="K1837" s="31" t="n">
        <x:v>22.2</x:v>
      </x:c>
      <x:c r="L1837" s="31" t="n">
        <x:v>24.2</x:v>
      </x:c>
      <x:c r="M1837" s="31" t="n">
        <x:v>46072</x:v>
      </x:c>
      <x:c r="N1837" s="31" t="n">
        <x:v>46074</x:v>
      </x:c>
      <x:c r="O1837" s="31" t="n">
        <x:v>46072</x:v>
      </x:c>
      <x:c r="P1837" s="31" t="n">
        <x:v>46076</x:v>
      </x:c>
      <x:c r="Q1837" s="31" t="inlineStr">
        <x:is>
          <x:t xml:space="preserve">Завершено</x:t>
        </x:is>
      </x:c>
      <x:c r="R1837" s="31" t="inlineStr">
        <x:is>
          <x:t xml:space="preserve">Ожидание ОТК</x:t>
        </x:is>
      </x:c>
      <x:c r="S1837" s="31" t="inlineStr">
        <x:is>
          <x:t xml:space="preserve">Нет</x:t>
        </x:is>
      </x:c>
    </x:row>
    <x:row r="1838">
      <x:c r="A1838" s="31" t="inlineStr">
        <x:is>
          <x:t xml:space="preserve">ОП-001837</x:t>
        </x:is>
      </x:c>
      <x:c r="B1838" s="31" t="inlineStr">
        <x:is>
          <x:t xml:space="preserve">ПЗ-00219</x:t>
        </x:is>
      </x:c>
      <x:c r="C1838" s="31" t="inlineStr">
        <x:is>
          <x:t xml:space="preserve">ЗК-1104</x:t>
        </x:is>
      </x:c>
      <x:c r="D1838" s="31" t="inlineStr">
        <x:is>
          <x:t xml:space="preserve">ПОЗ-0104-2</x:t>
        </x:is>
      </x:c>
      <x:c r="E1838" s="31" t="inlineStr">
        <x:is>
          <x:t xml:space="preserve">ИЗД-039</x:t>
        </x:is>
      </x:c>
      <x:c r="F1838" s="31" t="n">
        <x:v>10</x:v>
      </x:c>
      <x:c r="G1838" s="31" t="inlineStr">
        <x:is>
          <x:t xml:space="preserve">КД</x:t>
        </x:is>
      </x:c>
      <x:c r="H1838" s="31" t="inlineStr">
        <x:is>
          <x:t xml:space="preserve">Инженерный отдел</x:t>
        </x:is>
      </x:c>
      <x:c r="I1838" s="31" t="n"/>
      <x:c r="J1838" s="31" t="inlineStr">
        <x:is>
          <x:t xml:space="preserve">СОТР-012</x:t>
        </x:is>
      </x:c>
      <x:c r="K1838" s="31" t="n">
        <x:v>36</x:v>
      </x:c>
      <x:c r="L1838" s="31" t="n">
        <x:v>44.7</x:v>
      </x:c>
      <x:c r="M1838" s="31" t="n">
        <x:v>46048</x:v>
      </x:c>
      <x:c r="N1838" s="31" t="n">
        <x:v>46051</x:v>
      </x:c>
      <x:c r="O1838" s="31" t="n">
        <x:v>46048</x:v>
      </x:c>
      <x:c r="P1838" s="31" t="n">
        <x:v>46051</x:v>
      </x:c>
      <x:c r="Q1838" s="31" t="inlineStr">
        <x:is>
          <x:t xml:space="preserve">Завершено</x:t>
        </x:is>
      </x:c>
      <x:c r="R1838" s="31" t="inlineStr">
        <x:is>
          <x:t xml:space="preserve">Нет</x:t>
        </x:is>
      </x:c>
      <x:c r="S1838" s="31" t="inlineStr">
        <x:is>
          <x:t xml:space="preserve">Нет</x:t>
        </x:is>
      </x:c>
    </x:row>
    <x:row r="1839">
      <x:c r="A1839" s="31" t="inlineStr">
        <x:is>
          <x:t xml:space="preserve">ОП-001838</x:t>
        </x:is>
      </x:c>
      <x:c r="B1839" s="31" t="inlineStr">
        <x:is>
          <x:t xml:space="preserve">ПЗ-00219</x:t>
        </x:is>
      </x:c>
      <x:c r="C1839" s="31" t="inlineStr">
        <x:is>
          <x:t xml:space="preserve">ЗК-1104</x:t>
        </x:is>
      </x:c>
      <x:c r="D1839" s="31" t="inlineStr">
        <x:is>
          <x:t xml:space="preserve">ПОЗ-0104-2</x:t>
        </x:is>
      </x:c>
      <x:c r="E1839" s="31" t="inlineStr">
        <x:is>
          <x:t xml:space="preserve">ИЗД-039</x:t>
        </x:is>
      </x:c>
      <x:c r="F1839" s="31" t="n">
        <x:v>20</x:v>
      </x:c>
      <x:c r="G1839" s="31" t="inlineStr">
        <x:is>
          <x:t xml:space="preserve">Резка металла</x:t>
        </x:is>
      </x:c>
      <x:c r="H1839" s="31" t="inlineStr">
        <x:is>
          <x:t xml:space="preserve">Сварка</x:t>
        </x:is>
      </x:c>
      <x:c r="I1839" s="31" t="inlineStr">
        <x:is>
          <x:t xml:space="preserve">ОБ-021</x:t>
        </x:is>
      </x:c>
      <x:c r="J1839" s="31" t="inlineStr">
        <x:is>
          <x:t xml:space="preserve">СОТР-057</x:t>
        </x:is>
      </x:c>
      <x:c r="K1839" s="31" t="n">
        <x:v>40.6</x:v>
      </x:c>
      <x:c r="L1839" s="31" t="n">
        <x:v>34.2</x:v>
      </x:c>
      <x:c r="M1839" s="31" t="n">
        <x:v>46051</x:v>
      </x:c>
      <x:c r="N1839" s="31" t="n">
        <x:v>46055</x:v>
      </x:c>
      <x:c r="O1839" s="31" t="n">
        <x:v>46051</x:v>
      </x:c>
      <x:c r="P1839" s="31" t="n">
        <x:v>46055</x:v>
      </x:c>
      <x:c r="Q1839" s="31" t="inlineStr">
        <x:is>
          <x:t xml:space="preserve">Завершено</x:t>
        </x:is>
      </x:c>
      <x:c r="R1839" s="31" t="inlineStr">
        <x:is>
          <x:t xml:space="preserve">Нет</x:t>
        </x:is>
      </x:c>
      <x:c r="S1839" s="31" t="inlineStr">
        <x:is>
          <x:t xml:space="preserve">Нет</x:t>
        </x:is>
      </x:c>
    </x:row>
    <x:row r="1840">
      <x:c r="A1840" s="31" t="inlineStr">
        <x:is>
          <x:t xml:space="preserve">ОП-001839</x:t>
        </x:is>
      </x:c>
      <x:c r="B1840" s="31" t="inlineStr">
        <x:is>
          <x:t xml:space="preserve">ПЗ-00219</x:t>
        </x:is>
      </x:c>
      <x:c r="C1840" s="31" t="inlineStr">
        <x:is>
          <x:t xml:space="preserve">ЗК-1104</x:t>
        </x:is>
      </x:c>
      <x:c r="D1840" s="31" t="inlineStr">
        <x:is>
          <x:t xml:space="preserve">ПОЗ-0104-2</x:t>
        </x:is>
      </x:c>
      <x:c r="E1840" s="31" t="inlineStr">
        <x:is>
          <x:t xml:space="preserve">ИЗД-039</x:t>
        </x:is>
      </x:c>
      <x:c r="F1840" s="31" t="n">
        <x:v>30</x:v>
      </x:c>
      <x:c r="G1840" s="31" t="inlineStr">
        <x:is>
          <x:t xml:space="preserve">Сварка рамы</x:t>
        </x:is>
      </x:c>
      <x:c r="H1840" s="31" t="inlineStr">
        <x:is>
          <x:t xml:space="preserve">Сварка</x:t>
        </x:is>
      </x:c>
      <x:c r="I1840" s="31" t="inlineStr">
        <x:is>
          <x:t xml:space="preserve">ОБ-018</x:t>
        </x:is>
      </x:c>
      <x:c r="J1840" s="31" t="inlineStr">
        <x:is>
          <x:t xml:space="preserve">СОТР-060</x:t>
        </x:is>
      </x:c>
      <x:c r="K1840" s="31" t="n">
        <x:v>16.8</x:v>
      </x:c>
      <x:c r="L1840" s="31" t="n">
        <x:v>20.4</x:v>
      </x:c>
      <x:c r="M1840" s="31" t="n">
        <x:v>46055</x:v>
      </x:c>
      <x:c r="N1840" s="31" t="n">
        <x:v>46057</x:v>
      </x:c>
      <x:c r="O1840" s="31" t="n">
        <x:v>46055</x:v>
      </x:c>
      <x:c r="P1840" s="31" t="n">
        <x:v>46056</x:v>
      </x:c>
      <x:c r="Q1840" s="31" t="inlineStr">
        <x:is>
          <x:t xml:space="preserve">Завершено</x:t>
        </x:is>
      </x:c>
      <x:c r="R1840" s="31" t="inlineStr">
        <x:is>
          <x:t xml:space="preserve">Нет</x:t>
        </x:is>
      </x:c>
      <x:c r="S1840" s="31" t="inlineStr">
        <x:is>
          <x:t xml:space="preserve">Нет</x:t>
        </x:is>
      </x:c>
    </x:row>
    <x:row r="1841">
      <x:c r="A1841" s="31" t="inlineStr">
        <x:is>
          <x:t xml:space="preserve">ОП-001840</x:t>
        </x:is>
      </x:c>
      <x:c r="B1841" s="31" t="inlineStr">
        <x:is>
          <x:t xml:space="preserve">ПЗ-00219</x:t>
        </x:is>
      </x:c>
      <x:c r="C1841" s="31" t="inlineStr">
        <x:is>
          <x:t xml:space="preserve">ЗК-1104</x:t>
        </x:is>
      </x:c>
      <x:c r="D1841" s="31" t="inlineStr">
        <x:is>
          <x:t xml:space="preserve">ПОЗ-0104-2</x:t>
        </x:is>
      </x:c>
      <x:c r="E1841" s="31" t="inlineStr">
        <x:is>
          <x:t xml:space="preserve">ИЗД-039</x:t>
        </x:is>
      </x:c>
      <x:c r="F1841" s="31" t="n">
        <x:v>40</x:v>
      </x:c>
      <x:c r="G1841" s="31" t="inlineStr">
        <x:is>
          <x:t xml:space="preserve">Пескоструй</x:t>
        </x:is>
      </x:c>
      <x:c r="H1841" s="31" t="inlineStr">
        <x:is>
          <x:t xml:space="preserve">Сварка</x:t>
        </x:is>
      </x:c>
      <x:c r="I1841" s="31" t="inlineStr">
        <x:is>
          <x:t xml:space="preserve">ОБ-018</x:t>
        </x:is>
      </x:c>
      <x:c r="J1841" s="31" t="inlineStr">
        <x:is>
          <x:t xml:space="preserve">СОТР-071</x:t>
        </x:is>
      </x:c>
      <x:c r="K1841" s="31" t="n">
        <x:v>24.6</x:v>
      </x:c>
      <x:c r="L1841" s="31" t="n">
        <x:v>23</x:v>
      </x:c>
      <x:c r="M1841" s="31" t="n">
        <x:v>46057</x:v>
      </x:c>
      <x:c r="N1841" s="31" t="n">
        <x:v>46060</x:v>
      </x:c>
      <x:c r="O1841" s="31" t="n">
        <x:v>46057</x:v>
      </x:c>
      <x:c r="P1841" s="31" t="n">
        <x:v>46059</x:v>
      </x:c>
      <x:c r="Q1841" s="31" t="inlineStr">
        <x:is>
          <x:t xml:space="preserve">Завершено</x:t>
        </x:is>
      </x:c>
      <x:c r="R1841" s="31" t="inlineStr">
        <x:is>
          <x:t xml:space="preserve">Нет</x:t>
        </x:is>
      </x:c>
      <x:c r="S1841" s="31" t="inlineStr">
        <x:is>
          <x:t xml:space="preserve">Нет</x:t>
        </x:is>
      </x:c>
    </x:row>
    <x:row r="1842">
      <x:c r="A1842" s="31" t="inlineStr">
        <x:is>
          <x:t xml:space="preserve">ОП-001841</x:t>
        </x:is>
      </x:c>
      <x:c r="B1842" s="31" t="inlineStr">
        <x:is>
          <x:t xml:space="preserve">ПЗ-00219</x:t>
        </x:is>
      </x:c>
      <x:c r="C1842" s="31" t="inlineStr">
        <x:is>
          <x:t xml:space="preserve">ЗК-1104</x:t>
        </x:is>
      </x:c>
      <x:c r="D1842" s="31" t="inlineStr">
        <x:is>
          <x:t xml:space="preserve">ПОЗ-0104-2</x:t>
        </x:is>
      </x:c>
      <x:c r="E1842" s="31" t="inlineStr">
        <x:is>
          <x:t xml:space="preserve">ИЗД-039</x:t>
        </x:is>
      </x:c>
      <x:c r="F1842" s="31" t="n">
        <x:v>50</x:v>
      </x:c>
      <x:c r="G1842" s="31" t="inlineStr">
        <x:is>
          <x:t xml:space="preserve">Покраска</x:t>
        </x:is>
      </x:c>
      <x:c r="H1842" s="31" t="inlineStr">
        <x:is>
          <x:t xml:space="preserve">Сварка</x:t>
        </x:is>
      </x:c>
      <x:c r="I1842" s="31" t="inlineStr">
        <x:is>
          <x:t xml:space="preserve">ОБ-026</x:t>
        </x:is>
      </x:c>
      <x:c r="J1842" s="31" t="inlineStr">
        <x:is>
          <x:t xml:space="preserve">СОТР-061</x:t>
        </x:is>
      </x:c>
      <x:c r="K1842" s="31" t="n">
        <x:v>7.6</x:v>
      </x:c>
      <x:c r="L1842" s="31" t="n">
        <x:v>8.199999999999999</x:v>
      </x:c>
      <x:c r="M1842" s="31" t="n">
        <x:v>46060</x:v>
      </x:c>
      <x:c r="N1842" s="31" t="n">
        <x:v>46061</x:v>
      </x:c>
      <x:c r="O1842" s="31" t="n">
        <x:v>46060</x:v>
      </x:c>
      <x:c r="P1842" s="31" t="n">
        <x:v>46062</x:v>
      </x:c>
      <x:c r="Q1842" s="31" t="inlineStr">
        <x:is>
          <x:t xml:space="preserve">Завершено</x:t>
        </x:is>
      </x:c>
      <x:c r="R1842" s="31" t="inlineStr">
        <x:is>
          <x:t xml:space="preserve">Нет</x:t>
        </x:is>
      </x:c>
      <x:c r="S1842" s="31" t="inlineStr">
        <x:is>
          <x:t xml:space="preserve">Нет</x:t>
        </x:is>
      </x:c>
    </x:row>
    <x:row r="1843">
      <x:c r="A1843" s="31" t="inlineStr">
        <x:is>
          <x:t xml:space="preserve">ОП-001842</x:t>
        </x:is>
      </x:c>
      <x:c r="B1843" s="31" t="inlineStr">
        <x:is>
          <x:t xml:space="preserve">ПЗ-00219</x:t>
        </x:is>
      </x:c>
      <x:c r="C1843" s="31" t="inlineStr">
        <x:is>
          <x:t xml:space="preserve">ЗК-1104</x:t>
        </x:is>
      </x:c>
      <x:c r="D1843" s="31" t="inlineStr">
        <x:is>
          <x:t xml:space="preserve">ПОЗ-0104-2</x:t>
        </x:is>
      </x:c>
      <x:c r="E1843" s="31" t="inlineStr">
        <x:is>
          <x:t xml:space="preserve">ИЗД-039</x:t>
        </x:is>
      </x:c>
      <x:c r="F1843" s="31" t="n">
        <x:v>60</x:v>
      </x:c>
      <x:c r="G1843" s="31" t="inlineStr">
        <x:is>
          <x:t xml:space="preserve">ОТК</x:t>
        </x:is>
      </x:c>
      <x:c r="H1843" s="31" t="inlineStr">
        <x:is>
          <x:t xml:space="preserve">ОТК</x:t>
        </x:is>
      </x:c>
      <x:c r="I1843" s="31" t="inlineStr">
        <x:is>
          <x:t xml:space="preserve">ОБ-024</x:t>
        </x:is>
      </x:c>
      <x:c r="J1843" s="31" t="inlineStr">
        <x:is>
          <x:t xml:space="preserve">СОТР-095</x:t>
        </x:is>
      </x:c>
      <x:c r="K1843" s="31" t="n">
        <x:v>28.8</x:v>
      </x:c>
      <x:c r="L1843" s="31" t="n">
        <x:v>25.5</x:v>
      </x:c>
      <x:c r="M1843" s="31" t="n">
        <x:v>46061</x:v>
      </x:c>
      <x:c r="N1843" s="31" t="n">
        <x:v>46064</x:v>
      </x:c>
      <x:c r="O1843" s="31" t="n">
        <x:v>46061</x:v>
      </x:c>
      <x:c r="P1843" s="31" t="n">
        <x:v>46063</x:v>
      </x:c>
      <x:c r="Q1843" s="31" t="inlineStr">
        <x:is>
          <x:t xml:space="preserve">Завершено</x:t>
        </x:is>
      </x:c>
      <x:c r="R1843" s="31" t="inlineStr">
        <x:is>
          <x:t xml:space="preserve">Материал</x:t>
        </x:is>
      </x:c>
      <x:c r="S1843" s="31" t="inlineStr">
        <x:is>
          <x:t xml:space="preserve">Да</x:t>
        </x:is>
      </x:c>
    </x:row>
    <x:row r="1844">
      <x:c r="A1844" s="31" t="inlineStr">
        <x:is>
          <x:t xml:space="preserve">ОП-001843</x:t>
        </x:is>
      </x:c>
      <x:c r="B1844" s="31" t="inlineStr">
        <x:is>
          <x:t xml:space="preserve">ПЗ-00220</x:t>
        </x:is>
      </x:c>
      <x:c r="C1844" s="31" t="inlineStr">
        <x:is>
          <x:t xml:space="preserve">ЗК-1105</x:t>
        </x:is>
      </x:c>
      <x:c r="D1844" s="31" t="inlineStr">
        <x:is>
          <x:t xml:space="preserve">ПОЗ-0105-1</x:t>
        </x:is>
      </x:c>
      <x:c r="E1844" s="31" t="inlineStr">
        <x:is>
          <x:t xml:space="preserve">ИЗД-012</x:t>
        </x:is>
      </x:c>
      <x:c r="F1844" s="31" t="n">
        <x:v>10</x:v>
      </x:c>
      <x:c r="G1844" s="31" t="inlineStr">
        <x:is>
          <x:t xml:space="preserve">КД</x:t>
        </x:is>
      </x:c>
      <x:c r="H1844" s="31" t="inlineStr">
        <x:is>
          <x:t xml:space="preserve">Инженерный отдел</x:t>
        </x:is>
      </x:c>
      <x:c r="I1844" s="31" t="n"/>
      <x:c r="J1844" s="31" t="inlineStr">
        <x:is>
          <x:t xml:space="preserve">СОТР-021</x:t>
        </x:is>
      </x:c>
      <x:c r="K1844" s="31" t="n">
        <x:v>27.5</x:v>
      </x:c>
      <x:c r="L1844" s="31" t="n">
        <x:v>30.4</x:v>
      </x:c>
      <x:c r="M1844" s="31" t="n">
        <x:v>46111</x:v>
      </x:c>
      <x:c r="N1844" s="31" t="n">
        <x:v>46114</x:v>
      </x:c>
      <x:c r="O1844" s="31" t="n">
        <x:v>46111</x:v>
      </x:c>
      <x:c r="P1844" s="31" t="n">
        <x:v>46115</x:v>
      </x:c>
      <x:c r="Q1844" s="31" t="inlineStr">
        <x:is>
          <x:t xml:space="preserve">Завершено</x:t>
        </x:is>
      </x:c>
      <x:c r="R1844" s="31" t="inlineStr">
        <x:is>
          <x:t xml:space="preserve">Материал</x:t>
        </x:is>
      </x:c>
      <x:c r="S1844" s="31" t="inlineStr">
        <x:is>
          <x:t xml:space="preserve">Нет</x:t>
        </x:is>
      </x:c>
    </x:row>
    <x:row r="1845">
      <x:c r="A1845" s="31" t="inlineStr">
        <x:is>
          <x:t xml:space="preserve">ОП-001844</x:t>
        </x:is>
      </x:c>
      <x:c r="B1845" s="31" t="inlineStr">
        <x:is>
          <x:t xml:space="preserve">ПЗ-00220</x:t>
        </x:is>
      </x:c>
      <x:c r="C1845" s="31" t="inlineStr">
        <x:is>
          <x:t xml:space="preserve">ЗК-1105</x:t>
        </x:is>
      </x:c>
      <x:c r="D1845" s="31" t="inlineStr">
        <x:is>
          <x:t xml:space="preserve">ПОЗ-0105-1</x:t>
        </x:is>
      </x:c>
      <x:c r="E1845" s="31" t="inlineStr">
        <x:is>
          <x:t xml:space="preserve">ИЗД-012</x:t>
        </x:is>
      </x:c>
      <x:c r="F1845" s="31" t="n">
        <x:v>20</x:v>
      </x:c>
      <x:c r="G1845" s="31" t="inlineStr">
        <x:is>
          <x:t xml:space="preserve">Резка труб</x:t>
        </x:is>
      </x:c>
      <x:c r="H1845" s="31" t="inlineStr">
        <x:is>
          <x:t xml:space="preserve">Сварка</x:t>
        </x:is>
      </x:c>
      <x:c r="I1845" s="31" t="inlineStr">
        <x:is>
          <x:t xml:space="preserve">ОБ-018</x:t>
        </x:is>
      </x:c>
      <x:c r="J1845" s="31" t="inlineStr">
        <x:is>
          <x:t xml:space="preserve">СОТР-071</x:t>
        </x:is>
      </x:c>
      <x:c r="K1845" s="31" t="n">
        <x:v>26.5</x:v>
      </x:c>
      <x:c r="L1845" s="31" t="n">
        <x:v>33.3</x:v>
      </x:c>
      <x:c r="M1845" s="31" t="n">
        <x:v>46114</x:v>
      </x:c>
      <x:c r="N1845" s="31" t="n">
        <x:v>46117</x:v>
      </x:c>
      <x:c r="O1845" s="31" t="n">
        <x:v>46114</x:v>
      </x:c>
      <x:c r="P1845" s="31" t="n">
        <x:v>46118</x:v>
      </x:c>
      <x:c r="Q1845" s="31" t="inlineStr">
        <x:is>
          <x:t xml:space="preserve">Завершено</x:t>
        </x:is>
      </x:c>
      <x:c r="R1845" s="31" t="inlineStr">
        <x:is>
          <x:t xml:space="preserve">Материал</x:t>
        </x:is>
      </x:c>
      <x:c r="S1845" s="31" t="inlineStr">
        <x:is>
          <x:t xml:space="preserve">Да</x:t>
        </x:is>
      </x:c>
    </x:row>
    <x:row r="1846">
      <x:c r="A1846" s="31" t="inlineStr">
        <x:is>
          <x:t xml:space="preserve">ОП-001845</x:t>
        </x:is>
      </x:c>
      <x:c r="B1846" s="31" t="inlineStr">
        <x:is>
          <x:t xml:space="preserve">ПЗ-00220</x:t>
        </x:is>
      </x:c>
      <x:c r="C1846" s="31" t="inlineStr">
        <x:is>
          <x:t xml:space="preserve">ЗК-1105</x:t>
        </x:is>
      </x:c>
      <x:c r="D1846" s="31" t="inlineStr">
        <x:is>
          <x:t xml:space="preserve">ПОЗ-0105-1</x:t>
        </x:is>
      </x:c>
      <x:c r="E1846" s="31" t="inlineStr">
        <x:is>
          <x:t xml:space="preserve">ИЗД-012</x:t>
        </x:is>
      </x:c>
      <x:c r="F1846" s="31" t="n">
        <x:v>30</x:v>
      </x:c>
      <x:c r="G1846" s="31" t="inlineStr">
        <x:is>
          <x:t xml:space="preserve">Сварка</x:t>
        </x:is>
      </x:c>
      <x:c r="H1846" s="31" t="inlineStr">
        <x:is>
          <x:t xml:space="preserve">Сварка</x:t>
        </x:is>
      </x:c>
      <x:c r="I1846" s="31" t="inlineStr">
        <x:is>
          <x:t xml:space="preserve">ОБ-035</x:t>
        </x:is>
      </x:c>
      <x:c r="J1846" s="31" t="inlineStr">
        <x:is>
          <x:t xml:space="preserve">СОТР-072</x:t>
        </x:is>
      </x:c>
      <x:c r="K1846" s="31" t="n">
        <x:v>30</x:v>
      </x:c>
      <x:c r="L1846" s="31" t="n">
        <x:v>37.5</x:v>
      </x:c>
      <x:c r="M1846" s="31" t="n">
        <x:v>46117</x:v>
      </x:c>
      <x:c r="N1846" s="31" t="n">
        <x:v>46120</x:v>
      </x:c>
      <x:c r="O1846" s="31" t="n">
        <x:v>46117</x:v>
      </x:c>
      <x:c r="P1846" s="31" t="n">
        <x:v>46119</x:v>
      </x:c>
      <x:c r="Q1846" s="31" t="inlineStr">
        <x:is>
          <x:t xml:space="preserve">Завершено</x:t>
        </x:is>
      </x:c>
      <x:c r="R1846" s="31" t="inlineStr">
        <x:is>
          <x:t xml:space="preserve">КД</x:t>
        </x:is>
      </x:c>
      <x:c r="S1846" s="31" t="inlineStr">
        <x:is>
          <x:t xml:space="preserve">Нет</x:t>
        </x:is>
      </x:c>
    </x:row>
    <x:row r="1847">
      <x:c r="A1847" s="31" t="inlineStr">
        <x:is>
          <x:t xml:space="preserve">ОП-001846</x:t>
        </x:is>
      </x:c>
      <x:c r="B1847" s="31" t="inlineStr">
        <x:is>
          <x:t xml:space="preserve">ПЗ-00220</x:t>
        </x:is>
      </x:c>
      <x:c r="C1847" s="31" t="inlineStr">
        <x:is>
          <x:t xml:space="preserve">ЗК-1105</x:t>
        </x:is>
      </x:c>
      <x:c r="D1847" s="31" t="inlineStr">
        <x:is>
          <x:t xml:space="preserve">ПОЗ-0105-1</x:t>
        </x:is>
      </x:c>
      <x:c r="E1847" s="31" t="inlineStr">
        <x:is>
          <x:t xml:space="preserve">ИЗД-012</x:t>
        </x:is>
      </x:c>
      <x:c r="F1847" s="31" t="n">
        <x:v>40</x:v>
      </x:c>
      <x:c r="G1847" s="31" t="inlineStr">
        <x:is>
          <x:t xml:space="preserve">НК сварных швов</x:t>
        </x:is>
      </x:c>
      <x:c r="H1847" s="31" t="inlineStr">
        <x:is>
          <x:t xml:space="preserve">ОТК</x:t>
        </x:is>
      </x:c>
      <x:c r="I1847" s="31" t="inlineStr">
        <x:is>
          <x:t xml:space="preserve">ОБ-022</x:t>
        </x:is>
      </x:c>
      <x:c r="J1847" s="31" t="inlineStr">
        <x:is>
          <x:t xml:space="preserve">СОТР-098</x:t>
        </x:is>
      </x:c>
      <x:c r="K1847" s="31" t="n">
        <x:v>21.5</x:v>
      </x:c>
      <x:c r="L1847" s="31" t="n">
        <x:v>18.6</x:v>
      </x:c>
      <x:c r="M1847" s="31" t="n">
        <x:v>46120</x:v>
      </x:c>
      <x:c r="N1847" s="31" t="n">
        <x:v>46122</x:v>
      </x:c>
      <x:c r="O1847" s="31" t="n">
        <x:v>46120</x:v>
      </x:c>
      <x:c r="P1847" s="31" t="n">
        <x:v>46121</x:v>
      </x:c>
      <x:c r="Q1847" s="31" t="inlineStr">
        <x:is>
          <x:t xml:space="preserve">Завершено</x:t>
        </x:is>
      </x:c>
      <x:c r="R1847" s="31" t="inlineStr">
        <x:is>
          <x:t xml:space="preserve">Нет</x:t>
        </x:is>
      </x:c>
      <x:c r="S1847" s="31" t="inlineStr">
        <x:is>
          <x:t xml:space="preserve">Нет</x:t>
        </x:is>
      </x:c>
    </x:row>
    <x:row r="1848">
      <x:c r="A1848" s="31" t="inlineStr">
        <x:is>
          <x:t xml:space="preserve">ОП-001847</x:t>
        </x:is>
      </x:c>
      <x:c r="B1848" s="31" t="inlineStr">
        <x:is>
          <x:t xml:space="preserve">ПЗ-00220</x:t>
        </x:is>
      </x:c>
      <x:c r="C1848" s="31" t="inlineStr">
        <x:is>
          <x:t xml:space="preserve">ЗК-1105</x:t>
        </x:is>
      </x:c>
      <x:c r="D1848" s="31" t="inlineStr">
        <x:is>
          <x:t xml:space="preserve">ПОЗ-0105-1</x:t>
        </x:is>
      </x:c>
      <x:c r="E1848" s="31" t="inlineStr">
        <x:is>
          <x:t xml:space="preserve">ИЗД-012</x:t>
        </x:is>
      </x:c>
      <x:c r="F1848" s="31" t="n">
        <x:v>50</x:v>
      </x:c>
      <x:c r="G1848" s="31" t="inlineStr">
        <x:is>
          <x:t xml:space="preserve">Гидроиспытания</x:t>
        </x:is>
      </x:c>
      <x:c r="H1848" s="31" t="inlineStr">
        <x:is>
          <x:t xml:space="preserve">ОТК</x:t>
        </x:is>
      </x:c>
      <x:c r="I1848" s="31" t="inlineStr">
        <x:is>
          <x:t xml:space="preserve">ОБ-007</x:t>
        </x:is>
      </x:c>
      <x:c r="J1848" s="31" t="inlineStr">
        <x:is>
          <x:t xml:space="preserve">СОТР-096</x:t>
        </x:is>
      </x:c>
      <x:c r="K1848" s="31" t="n">
        <x:v>21.5</x:v>
      </x:c>
      <x:c r="L1848" s="31" t="n">
        <x:v>20.3</x:v>
      </x:c>
      <x:c r="M1848" s="31" t="n">
        <x:v>46122</x:v>
      </x:c>
      <x:c r="N1848" s="31" t="n">
        <x:v>46124</x:v>
      </x:c>
      <x:c r="O1848" s="31" t="n">
        <x:v>46122</x:v>
      </x:c>
      <x:c r="P1848" s="31" t="n">
        <x:v>46125</x:v>
      </x:c>
      <x:c r="Q1848" s="31" t="inlineStr">
        <x:is>
          <x:t xml:space="preserve">Завершено</x:t>
        </x:is>
      </x:c>
      <x:c r="R1848" s="31" t="inlineStr">
        <x:is>
          <x:t xml:space="preserve">Материал</x:t>
        </x:is>
      </x:c>
      <x:c r="S1848" s="31" t="inlineStr">
        <x:is>
          <x:t xml:space="preserve">Нет</x:t>
        </x:is>
      </x:c>
    </x:row>
    <x:row r="1849">
      <x:c r="A1849" s="31" t="inlineStr">
        <x:is>
          <x:t xml:space="preserve">ОП-001848</x:t>
        </x:is>
      </x:c>
      <x:c r="B1849" s="31" t="inlineStr">
        <x:is>
          <x:t xml:space="preserve">ПЗ-00220</x:t>
        </x:is>
      </x:c>
      <x:c r="C1849" s="31" t="inlineStr">
        <x:is>
          <x:t xml:space="preserve">ЗК-1105</x:t>
        </x:is>
      </x:c>
      <x:c r="D1849" s="31" t="inlineStr">
        <x:is>
          <x:t xml:space="preserve">ПОЗ-0105-1</x:t>
        </x:is>
      </x:c>
      <x:c r="E1849" s="31" t="inlineStr">
        <x:is>
          <x:t xml:space="preserve">ИЗД-012</x:t>
        </x:is>
      </x:c>
      <x:c r="F1849" s="31" t="n">
        <x:v>60</x:v>
      </x:c>
      <x:c r="G1849" s="31" t="inlineStr">
        <x:is>
          <x:t xml:space="preserve">Покраска</x:t>
        </x:is>
      </x:c>
      <x:c r="H1849" s="31" t="inlineStr">
        <x:is>
          <x:t xml:space="preserve">Сварка</x:t>
        </x:is>
      </x:c>
      <x:c r="I1849" s="31" t="inlineStr">
        <x:is>
          <x:t xml:space="preserve">ОБ-003</x:t>
        </x:is>
      </x:c>
      <x:c r="J1849" s="31" t="inlineStr">
        <x:is>
          <x:t xml:space="preserve">СОТР-065</x:t>
        </x:is>
      </x:c>
      <x:c r="K1849" s="31" t="n">
        <x:v>33</x:v>
      </x:c>
      <x:c r="L1849" s="31" t="n">
        <x:v>32.2</x:v>
      </x:c>
      <x:c r="M1849" s="31" t="n">
        <x:v>46124</x:v>
      </x:c>
      <x:c r="N1849" s="31" t="n">
        <x:v>46127</x:v>
      </x:c>
      <x:c r="O1849" s="31" t="n">
        <x:v>46124</x:v>
      </x:c>
      <x:c r="P1849" s="31" t="n">
        <x:v>46128</x:v>
      </x:c>
      <x:c r="Q1849" s="31" t="inlineStr">
        <x:is>
          <x:t xml:space="preserve">Завершено</x:t>
        </x:is>
      </x:c>
      <x:c r="R1849" s="31" t="inlineStr">
        <x:is>
          <x:t xml:space="preserve">Нет</x:t>
        </x:is>
      </x:c>
      <x:c r="S1849" s="31" t="inlineStr">
        <x:is>
          <x:t xml:space="preserve">Нет</x:t>
        </x:is>
      </x:c>
    </x:row>
    <x:row r="1850">
      <x:c r="A1850" s="31" t="inlineStr">
        <x:is>
          <x:t xml:space="preserve">ОП-001849</x:t>
        </x:is>
      </x:c>
      <x:c r="B1850" s="31" t="inlineStr">
        <x:is>
          <x:t xml:space="preserve">ПЗ-00220</x:t>
        </x:is>
      </x:c>
      <x:c r="C1850" s="31" t="inlineStr">
        <x:is>
          <x:t xml:space="preserve">ЗК-1105</x:t>
        </x:is>
      </x:c>
      <x:c r="D1850" s="31" t="inlineStr">
        <x:is>
          <x:t xml:space="preserve">ПОЗ-0105-1</x:t>
        </x:is>
      </x:c>
      <x:c r="E1850" s="31" t="inlineStr">
        <x:is>
          <x:t xml:space="preserve">ИЗД-012</x:t>
        </x:is>
      </x:c>
      <x:c r="F1850" s="31" t="n">
        <x:v>70</x:v>
      </x:c>
      <x:c r="G1850" s="31" t="inlineStr">
        <x:is>
          <x:t xml:space="preserve">ОТК</x:t>
        </x:is>
      </x:c>
      <x:c r="H1850" s="31" t="inlineStr">
        <x:is>
          <x:t xml:space="preserve">ОТК</x:t>
        </x:is>
      </x:c>
      <x:c r="I1850" s="31" t="inlineStr">
        <x:is>
          <x:t xml:space="preserve">ОБ-013</x:t>
        </x:is>
      </x:c>
      <x:c r="J1850" s="31" t="inlineStr">
        <x:is>
          <x:t xml:space="preserve">СОТР-063</x:t>
        </x:is>
      </x:c>
      <x:c r="K1850" s="31" t="n">
        <x:v>12</x:v>
      </x:c>
      <x:c r="L1850" s="31" t="n">
        <x:v>9.699999999999999</x:v>
      </x:c>
      <x:c r="M1850" s="31" t="n">
        <x:v>46127</x:v>
      </x:c>
      <x:c r="N1850" s="31" t="n">
        <x:v>46128</x:v>
      </x:c>
      <x:c r="O1850" s="31" t="n">
        <x:v>46127</x:v>
      </x:c>
      <x:c r="P1850" s="31" t="n">
        <x:v>46128</x:v>
      </x:c>
      <x:c r="Q1850" s="31" t="inlineStr">
        <x:is>
          <x:t xml:space="preserve">Завершено</x:t>
        </x:is>
      </x:c>
      <x:c r="R1850" s="31" t="inlineStr">
        <x:is>
          <x:t xml:space="preserve">Нет</x:t>
        </x:is>
      </x:c>
      <x:c r="S1850" s="31" t="inlineStr">
        <x:is>
          <x:t xml:space="preserve">Нет</x:t>
        </x:is>
      </x:c>
    </x:row>
    <x:row r="1851">
      <x:c r="A1851" s="31" t="inlineStr">
        <x:is>
          <x:t xml:space="preserve">ОП-001850</x:t>
        </x:is>
      </x:c>
      <x:c r="B1851" s="31" t="inlineStr">
        <x:is>
          <x:t xml:space="preserve">ПЗ-00221</x:t>
        </x:is>
      </x:c>
      <x:c r="C1851" s="31" t="inlineStr">
        <x:is>
          <x:t xml:space="preserve">ЗК-1106</x:t>
        </x:is>
      </x:c>
      <x:c r="D1851" s="31" t="inlineStr">
        <x:is>
          <x:t xml:space="preserve">ПОЗ-0106-1</x:t>
        </x:is>
      </x:c>
      <x:c r="E1851" s="31" t="inlineStr">
        <x:is>
          <x:t xml:space="preserve">ИЗД-025</x:t>
        </x:is>
      </x:c>
      <x:c r="F1851" s="31" t="n">
        <x:v>10</x:v>
      </x:c>
      <x:c r="G1851" s="31" t="inlineStr">
        <x:is>
          <x:t xml:space="preserve">КД</x:t>
        </x:is>
      </x:c>
      <x:c r="H1851" s="31" t="inlineStr">
        <x:is>
          <x:t xml:space="preserve">Инженерный отдел</x:t>
        </x:is>
      </x:c>
      <x:c r="I1851" s="31" t="n"/>
      <x:c r="J1851" s="31" t="inlineStr">
        <x:is>
          <x:t xml:space="preserve">СОТР-019</x:t>
        </x:is>
      </x:c>
      <x:c r="K1851" s="31" t="n">
        <x:v>18.2</x:v>
      </x:c>
      <x:c r="L1851" s="31" t="n">
        <x:v>23.7</x:v>
      </x:c>
      <x:c r="M1851" s="31" t="n">
        <x:v>46118</x:v>
      </x:c>
      <x:c r="N1851" s="31" t="n">
        <x:v>46120</x:v>
      </x:c>
      <x:c r="O1851" s="31" t="n">
        <x:v>46118</x:v>
      </x:c>
      <x:c r="P1851" s="31" t="n">
        <x:v>46121</x:v>
      </x:c>
      <x:c r="Q1851" s="31" t="inlineStr">
        <x:is>
          <x:t xml:space="preserve">Завершено</x:t>
        </x:is>
      </x:c>
      <x:c r="R1851" s="31" t="inlineStr">
        <x:is>
          <x:t xml:space="preserve">Нет</x:t>
        </x:is>
      </x:c>
      <x:c r="S1851" s="31" t="inlineStr">
        <x:is>
          <x:t xml:space="preserve">Да</x:t>
        </x:is>
      </x:c>
    </x:row>
    <x:row r="1852">
      <x:c r="A1852" s="31" t="inlineStr">
        <x:is>
          <x:t xml:space="preserve">ОП-001851</x:t>
        </x:is>
      </x:c>
      <x:c r="B1852" s="31" t="inlineStr">
        <x:is>
          <x:t xml:space="preserve">ПЗ-00221</x:t>
        </x:is>
      </x:c>
      <x:c r="C1852" s="31" t="inlineStr">
        <x:is>
          <x:t xml:space="preserve">ЗК-1106</x:t>
        </x:is>
      </x:c>
      <x:c r="D1852" s="31" t="inlineStr">
        <x:is>
          <x:t xml:space="preserve">ПОЗ-0106-1</x:t>
        </x:is>
      </x:c>
      <x:c r="E1852" s="31" t="inlineStr">
        <x:is>
          <x:t xml:space="preserve">ИЗД-025</x:t>
        </x:is>
      </x:c>
      <x:c r="F1852" s="31" t="n">
        <x:v>20</x:v>
      </x:c>
      <x:c r="G1852" s="31" t="inlineStr">
        <x:is>
          <x:t xml:space="preserve">Резерв материалов</x:t>
        </x:is>
      </x:c>
      <x:c r="H1852" s="31" t="inlineStr">
        <x:is>
          <x:t xml:space="preserve">Склад</x:t>
        </x:is>
      </x:c>
      <x:c r="I1852" s="31" t="inlineStr">
        <x:is>
          <x:t xml:space="preserve">ОБ-025</x:t>
        </x:is>
      </x:c>
      <x:c r="J1852" s="31" t="inlineStr">
        <x:is>
          <x:t xml:space="preserve">СОТР-034</x:t>
        </x:is>
      </x:c>
      <x:c r="K1852" s="31" t="n">
        <x:v>4.6</x:v>
      </x:c>
      <x:c r="L1852" s="31" t="n">
        <x:v>4.8</x:v>
      </x:c>
      <x:c r="M1852" s="31" t="n">
        <x:v>46120</x:v>
      </x:c>
      <x:c r="N1852" s="31" t="n">
        <x:v>46121</x:v>
      </x:c>
      <x:c r="O1852" s="31" t="n">
        <x:v>46120</x:v>
      </x:c>
      <x:c r="P1852" s="31" t="n">
        <x:v>46120</x:v>
      </x:c>
      <x:c r="Q1852" s="31" t="inlineStr">
        <x:is>
          <x:t xml:space="preserve">Завершено</x:t>
        </x:is>
      </x:c>
      <x:c r="R1852" s="31" t="inlineStr">
        <x:is>
          <x:t xml:space="preserve">Нет</x:t>
        </x:is>
      </x:c>
      <x:c r="S1852" s="31" t="inlineStr">
        <x:is>
          <x:t xml:space="preserve">Да</x:t>
        </x:is>
      </x:c>
    </x:row>
    <x:row r="1853">
      <x:c r="A1853" s="31" t="inlineStr">
        <x:is>
          <x:t xml:space="preserve">ОП-001852</x:t>
        </x:is>
      </x:c>
      <x:c r="B1853" s="31" t="inlineStr">
        <x:is>
          <x:t xml:space="preserve">ПЗ-00221</x:t>
        </x:is>
      </x:c>
      <x:c r="C1853" s="31" t="inlineStr">
        <x:is>
          <x:t xml:space="preserve">ЗК-1106</x:t>
        </x:is>
      </x:c>
      <x:c r="D1853" s="31" t="inlineStr">
        <x:is>
          <x:t xml:space="preserve">ПОЗ-0106-1</x:t>
        </x:is>
      </x:c>
      <x:c r="E1853" s="31" t="inlineStr">
        <x:is>
          <x:t xml:space="preserve">ИЗД-025</x:t>
        </x:is>
      </x:c>
      <x:c r="F1853" s="31" t="n">
        <x:v>30</x:v>
      </x:c>
      <x:c r="G1853" s="31" t="inlineStr">
        <x:is>
          <x:t xml:space="preserve">Сварка рамы</x:t>
        </x:is>
      </x:c>
      <x:c r="H1853" s="31" t="inlineStr">
        <x:is>
          <x:t xml:space="preserve">Сварка</x:t>
        </x:is>
      </x:c>
      <x:c r="I1853" s="31" t="inlineStr">
        <x:is>
          <x:t xml:space="preserve">ОБ-010</x:t>
        </x:is>
      </x:c>
      <x:c r="J1853" s="31" t="inlineStr">
        <x:is>
          <x:t xml:space="preserve">СОТР-061</x:t>
        </x:is>
      </x:c>
      <x:c r="K1853" s="31" t="n">
        <x:v>20</x:v>
      </x:c>
      <x:c r="L1853" s="31" t="n">
        <x:v>20.6</x:v>
      </x:c>
      <x:c r="M1853" s="31" t="n">
        <x:v>46121</x:v>
      </x:c>
      <x:c r="N1853" s="31" t="n">
        <x:v>46123</x:v>
      </x:c>
      <x:c r="O1853" s="31" t="n">
        <x:v>46121</x:v>
      </x:c>
      <x:c r="P1853" s="31" t="n">
        <x:v>46122</x:v>
      </x:c>
      <x:c r="Q1853" s="31" t="inlineStr">
        <x:is>
          <x:t xml:space="preserve">Завершено</x:t>
        </x:is>
      </x:c>
      <x:c r="R1853" s="31" t="inlineStr">
        <x:is>
          <x:t xml:space="preserve">Нет</x:t>
        </x:is>
      </x:c>
      <x:c r="S1853" s="31" t="inlineStr">
        <x:is>
          <x:t xml:space="preserve">Нет</x:t>
        </x:is>
      </x:c>
    </x:row>
    <x:row r="1854">
      <x:c r="A1854" s="31" t="inlineStr">
        <x:is>
          <x:t xml:space="preserve">ОП-001853</x:t>
        </x:is>
      </x:c>
      <x:c r="B1854" s="31" t="inlineStr">
        <x:is>
          <x:t xml:space="preserve">ПЗ-00221</x:t>
        </x:is>
      </x:c>
      <x:c r="C1854" s="31" t="inlineStr">
        <x:is>
          <x:t xml:space="preserve">ЗК-1106</x:t>
        </x:is>
      </x:c>
      <x:c r="D1854" s="31" t="inlineStr">
        <x:is>
          <x:t xml:space="preserve">ПОЗ-0106-1</x:t>
        </x:is>
      </x:c>
      <x:c r="E1854" s="31" t="inlineStr">
        <x:is>
          <x:t xml:space="preserve">ИЗД-025</x:t>
        </x:is>
      </x:c>
      <x:c r="F1854" s="31" t="n">
        <x:v>40</x:v>
      </x:c>
      <x:c r="G1854" s="31" t="inlineStr">
        <x:is>
          <x:t xml:space="preserve">Сборка</x:t>
        </x:is>
      </x:c>
      <x:c r="H1854" s="31" t="inlineStr">
        <x:is>
          <x:t xml:space="preserve">Сборка</x:t>
        </x:is>
      </x:c>
      <x:c r="I1854" s="31" t="inlineStr">
        <x:is>
          <x:t xml:space="preserve">ОБ-020</x:t>
        </x:is>
      </x:c>
      <x:c r="J1854" s="31" t="inlineStr">
        <x:is>
          <x:t xml:space="preserve">СОТР-079</x:t>
        </x:is>
      </x:c>
      <x:c r="K1854" s="31" t="n">
        <x:v>15.2</x:v>
      </x:c>
      <x:c r="L1854" s="31" t="n">
        <x:v>20.2</x:v>
      </x:c>
      <x:c r="M1854" s="31" t="n">
        <x:v>46123</x:v>
      </x:c>
      <x:c r="N1854" s="31" t="n">
        <x:v>46125</x:v>
      </x:c>
      <x:c r="O1854" s="31" t="n">
        <x:v>46123</x:v>
      </x:c>
      <x:c r="P1854" s="31" t="n">
        <x:v>46125</x:v>
      </x:c>
      <x:c r="Q1854" s="31" t="inlineStr">
        <x:is>
          <x:t xml:space="preserve">Завершено</x:t>
        </x:is>
      </x:c>
      <x:c r="R1854" s="31" t="inlineStr">
        <x:is>
          <x:t xml:space="preserve">Нет</x:t>
        </x:is>
      </x:c>
      <x:c r="S1854" s="31" t="inlineStr">
        <x:is>
          <x:t xml:space="preserve">Да</x:t>
        </x:is>
      </x:c>
    </x:row>
    <x:row r="1855">
      <x:c r="A1855" s="31" t="inlineStr">
        <x:is>
          <x:t xml:space="preserve">ОП-001854</x:t>
        </x:is>
      </x:c>
      <x:c r="B1855" s="31" t="inlineStr">
        <x:is>
          <x:t xml:space="preserve">ПЗ-00221</x:t>
        </x:is>
      </x:c>
      <x:c r="C1855" s="31" t="inlineStr">
        <x:is>
          <x:t xml:space="preserve">ЗК-1106</x:t>
        </x:is>
      </x:c>
      <x:c r="D1855" s="31" t="inlineStr">
        <x:is>
          <x:t xml:space="preserve">ПОЗ-0106-1</x:t>
        </x:is>
      </x:c>
      <x:c r="E1855" s="31" t="inlineStr">
        <x:is>
          <x:t xml:space="preserve">ИЗД-025</x:t>
        </x:is>
      </x:c>
      <x:c r="F1855" s="31" t="n">
        <x:v>50</x:v>
      </x:c>
      <x:c r="G1855" s="31" t="inlineStr">
        <x:is>
          <x:t xml:space="preserve">Обвязка труб</x:t>
        </x:is>
      </x:c>
      <x:c r="H1855" s="31" t="inlineStr">
        <x:is>
          <x:t xml:space="preserve">Сборка</x:t>
        </x:is>
      </x:c>
      <x:c r="I1855" s="31" t="inlineStr">
        <x:is>
          <x:t xml:space="preserve">ОБ-014</x:t>
        </x:is>
      </x:c>
      <x:c r="J1855" s="31" t="inlineStr">
        <x:is>
          <x:t xml:space="preserve">СОТР-088</x:t>
        </x:is>
      </x:c>
      <x:c r="K1855" s="31" t="n">
        <x:v>3.4</x:v>
      </x:c>
      <x:c r="L1855" s="31" t="n">
        <x:v>3.6</x:v>
      </x:c>
      <x:c r="M1855" s="31" t="n">
        <x:v>46125</x:v>
      </x:c>
      <x:c r="N1855" s="31" t="n">
        <x:v>46126</x:v>
      </x:c>
      <x:c r="O1855" s="31" t="n">
        <x:v>46125</x:v>
      </x:c>
      <x:c r="P1855" s="31" t="n">
        <x:v>46125</x:v>
      </x:c>
      <x:c r="Q1855" s="31" t="inlineStr">
        <x:is>
          <x:t xml:space="preserve">Завершено</x:t>
        </x:is>
      </x:c>
      <x:c r="R1855" s="31" t="inlineStr">
        <x:is>
          <x:t xml:space="preserve">Нет</x:t>
        </x:is>
      </x:c>
      <x:c r="S1855" s="31" t="inlineStr">
        <x:is>
          <x:t xml:space="preserve">Нет</x:t>
        </x:is>
      </x:c>
    </x:row>
    <x:row r="1856">
      <x:c r="A1856" s="31" t="inlineStr">
        <x:is>
          <x:t xml:space="preserve">ОП-001855</x:t>
        </x:is>
      </x:c>
      <x:c r="B1856" s="31" t="inlineStr">
        <x:is>
          <x:t xml:space="preserve">ПЗ-00221</x:t>
        </x:is>
      </x:c>
      <x:c r="C1856" s="31" t="inlineStr">
        <x:is>
          <x:t xml:space="preserve">ЗК-1106</x:t>
        </x:is>
      </x:c>
      <x:c r="D1856" s="31" t="inlineStr">
        <x:is>
          <x:t xml:space="preserve">ПОЗ-0106-1</x:t>
        </x:is>
      </x:c>
      <x:c r="E1856" s="31" t="inlineStr">
        <x:is>
          <x:t xml:space="preserve">ИЗД-025</x:t>
        </x:is>
      </x:c>
      <x:c r="F1856" s="31" t="n">
        <x:v>60</x:v>
      </x:c>
      <x:c r="G1856" s="31" t="inlineStr">
        <x:is>
          <x:t xml:space="preserve">Электромонтаж</x:t>
        </x:is>
      </x:c>
      <x:c r="H1856" s="31" t="inlineStr">
        <x:is>
          <x:t xml:space="preserve">Сборка</x:t>
        </x:is>
      </x:c>
      <x:c r="I1856" s="31" t="inlineStr">
        <x:is>
          <x:t xml:space="preserve">ОБ-002</x:t>
        </x:is>
      </x:c>
      <x:c r="J1856" s="31" t="inlineStr">
        <x:is>
          <x:t xml:space="preserve">СОТР-080</x:t>
        </x:is>
      </x:c>
      <x:c r="K1856" s="31" t="n">
        <x:v>21.8</x:v>
      </x:c>
      <x:c r="L1856" s="31" t="n">
        <x:v>29.1</x:v>
      </x:c>
      <x:c r="M1856" s="31" t="n">
        <x:v>46126</x:v>
      </x:c>
      <x:c r="N1856" s="31" t="n">
        <x:v>46128</x:v>
      </x:c>
      <x:c r="O1856" s="31" t="n">
        <x:v>46126</x:v>
      </x:c>
      <x:c r="P1856" s="31" t="n">
        <x:v>46129</x:v>
      </x:c>
      <x:c r="Q1856" s="31" t="inlineStr">
        <x:is>
          <x:t xml:space="preserve">Завершено</x:t>
        </x:is>
      </x:c>
      <x:c r="R1856" s="31" t="inlineStr">
        <x:is>
          <x:t xml:space="preserve">Нет</x:t>
        </x:is>
      </x:c>
      <x:c r="S1856" s="31" t="inlineStr">
        <x:is>
          <x:t xml:space="preserve">Нет</x:t>
        </x:is>
      </x:c>
    </x:row>
    <x:row r="1857">
      <x:c r="A1857" s="31" t="inlineStr">
        <x:is>
          <x:t xml:space="preserve">ОП-001856</x:t>
        </x:is>
      </x:c>
      <x:c r="B1857" s="31" t="inlineStr">
        <x:is>
          <x:t xml:space="preserve">ПЗ-00221</x:t>
        </x:is>
      </x:c>
      <x:c r="C1857" s="31" t="inlineStr">
        <x:is>
          <x:t xml:space="preserve">ЗК-1106</x:t>
        </x:is>
      </x:c>
      <x:c r="D1857" s="31" t="inlineStr">
        <x:is>
          <x:t xml:space="preserve">ПОЗ-0106-1</x:t>
        </x:is>
      </x:c>
      <x:c r="E1857" s="31" t="inlineStr">
        <x:is>
          <x:t xml:space="preserve">ИЗД-025</x:t>
        </x:is>
      </x:c>
      <x:c r="F1857" s="31" t="n">
        <x:v>70</x:v>
      </x:c>
      <x:c r="G1857" s="31" t="inlineStr">
        <x:is>
          <x:t xml:space="preserve">Гидроиспытания</x:t>
        </x:is>
      </x:c>
      <x:c r="H1857" s="31" t="inlineStr">
        <x:is>
          <x:t xml:space="preserve">ОТК</x:t>
        </x:is>
      </x:c>
      <x:c r="I1857" s="31" t="inlineStr">
        <x:is>
          <x:t xml:space="preserve">ОБ-015</x:t>
        </x:is>
      </x:c>
      <x:c r="J1857" s="31" t="inlineStr">
        <x:is>
          <x:t xml:space="preserve">СОТР-093</x:t>
        </x:is>
      </x:c>
      <x:c r="K1857" s="31" t="n">
        <x:v>12</x:v>
      </x:c>
      <x:c r="L1857" s="31" t="n">
        <x:v>13.9</x:v>
      </x:c>
      <x:c r="M1857" s="31" t="n">
        <x:v>46128</x:v>
      </x:c>
      <x:c r="N1857" s="31" t="n">
        <x:v>46129</x:v>
      </x:c>
      <x:c r="O1857" s="31" t="n">
        <x:v>46128</x:v>
      </x:c>
      <x:c r="P1857" s="31" t="n">
        <x:v>46129</x:v>
      </x:c>
      <x:c r="Q1857" s="31" t="inlineStr">
        <x:is>
          <x:t xml:space="preserve">Завершено</x:t>
        </x:is>
      </x:c>
      <x:c r="R1857" s="31" t="inlineStr">
        <x:is>
          <x:t xml:space="preserve">Нет</x:t>
        </x:is>
      </x:c>
      <x:c r="S1857" s="31" t="inlineStr">
        <x:is>
          <x:t xml:space="preserve">Да</x:t>
        </x:is>
      </x:c>
    </x:row>
    <x:row r="1858">
      <x:c r="A1858" s="31" t="inlineStr">
        <x:is>
          <x:t xml:space="preserve">ОП-001857</x:t>
        </x:is>
      </x:c>
      <x:c r="B1858" s="31" t="inlineStr">
        <x:is>
          <x:t xml:space="preserve">ПЗ-00221</x:t>
        </x:is>
      </x:c>
      <x:c r="C1858" s="31" t="inlineStr">
        <x:is>
          <x:t xml:space="preserve">ЗК-1106</x:t>
        </x:is>
      </x:c>
      <x:c r="D1858" s="31" t="inlineStr">
        <x:is>
          <x:t xml:space="preserve">ПОЗ-0106-1</x:t>
        </x:is>
      </x:c>
      <x:c r="E1858" s="31" t="inlineStr">
        <x:is>
          <x:t xml:space="preserve">ИЗД-025</x:t>
        </x:is>
      </x:c>
      <x:c r="F1858" s="31" t="n">
        <x:v>80</x:v>
      </x:c>
      <x:c r="G1858" s="31" t="inlineStr">
        <x:is>
          <x:t xml:space="preserve">ОТК</x:t>
        </x:is>
      </x:c>
      <x:c r="H1858" s="31" t="inlineStr">
        <x:is>
          <x:t xml:space="preserve">ОТК</x:t>
        </x:is>
      </x:c>
      <x:c r="I1858" s="31" t="inlineStr">
        <x:is>
          <x:t xml:space="preserve">ОБ-022</x:t>
        </x:is>
      </x:c>
      <x:c r="J1858" s="31" t="inlineStr">
        <x:is>
          <x:t xml:space="preserve">СОТР-092</x:t>
        </x:is>
      </x:c>
      <x:c r="K1858" s="31" t="n">
        <x:v>6.4</x:v>
      </x:c>
      <x:c r="L1858" s="31" t="n">
        <x:v>8</x:v>
      </x:c>
      <x:c r="M1858" s="31" t="n">
        <x:v>46129</x:v>
      </x:c>
      <x:c r="N1858" s="31" t="n">
        <x:v>46130</x:v>
      </x:c>
      <x:c r="O1858" s="31" t="n">
        <x:v>46129</x:v>
      </x:c>
      <x:c r="P1858" s="31" t="n">
        <x:v>46130</x:v>
      </x:c>
      <x:c r="Q1858" s="31" t="inlineStr">
        <x:is>
          <x:t xml:space="preserve">Завершено</x:t>
        </x:is>
      </x:c>
      <x:c r="R1858" s="31" t="inlineStr">
        <x:is>
          <x:t xml:space="preserve">Нет</x:t>
        </x:is>
      </x:c>
      <x:c r="S1858" s="31" t="inlineStr">
        <x:is>
          <x:t xml:space="preserve">Нет</x:t>
        </x:is>
      </x:c>
    </x:row>
    <x:row r="1859">
      <x:c r="A1859" s="31" t="inlineStr">
        <x:is>
          <x:t xml:space="preserve">ОП-001858</x:t>
        </x:is>
      </x:c>
      <x:c r="B1859" s="31" t="inlineStr">
        <x:is>
          <x:t xml:space="preserve">ПЗ-00221</x:t>
        </x:is>
      </x:c>
      <x:c r="C1859" s="31" t="inlineStr">
        <x:is>
          <x:t xml:space="preserve">ЗК-1106</x:t>
        </x:is>
      </x:c>
      <x:c r="D1859" s="31" t="inlineStr">
        <x:is>
          <x:t xml:space="preserve">ПОЗ-0106-1</x:t>
        </x:is>
      </x:c>
      <x:c r="E1859" s="31" t="inlineStr">
        <x:is>
          <x:t xml:space="preserve">ИЗД-025</x:t>
        </x:is>
      </x:c>
      <x:c r="F1859" s="31" t="n">
        <x:v>90</x:v>
      </x:c>
      <x:c r="G1859" s="31" t="inlineStr">
        <x:is>
          <x:t xml:space="preserve">Упаковка</x:t>
        </x:is>
      </x:c>
      <x:c r="H1859" s="31" t="inlineStr">
        <x:is>
          <x:t xml:space="preserve">Логистика</x:t>
        </x:is>
      </x:c>
      <x:c r="I1859" s="31" t="n"/>
      <x:c r="J1859" s="31" t="inlineStr">
        <x:is>
          <x:t xml:space="preserve">СОТР-101</x:t>
        </x:is>
      </x:c>
      <x:c r="K1859" s="31" t="n">
        <x:v>17</x:v>
      </x:c>
      <x:c r="L1859" s="31" t="n">
        <x:v>17.7</x:v>
      </x:c>
      <x:c r="M1859" s="31" t="n">
        <x:v>46130</x:v>
      </x:c>
      <x:c r="N1859" s="31" t="n">
        <x:v>46132</x:v>
      </x:c>
      <x:c r="O1859" s="31" t="n">
        <x:v>46130</x:v>
      </x:c>
      <x:c r="P1859" s="31" t="n">
        <x:v>46132</x:v>
      </x:c>
      <x:c r="Q1859" s="31" t="inlineStr">
        <x:is>
          <x:t xml:space="preserve">Завершено</x:t>
        </x:is>
      </x:c>
      <x:c r="R1859" s="31" t="inlineStr">
        <x:is>
          <x:t xml:space="preserve">Нет</x:t>
        </x:is>
      </x:c>
      <x:c r="S1859" s="31" t="inlineStr">
        <x:is>
          <x:t xml:space="preserve">Нет</x:t>
        </x:is>
      </x:c>
    </x:row>
    <x:row r="1860">
      <x:c r="A1860" s="31" t="inlineStr">
        <x:is>
          <x:t xml:space="preserve">ОП-001859</x:t>
        </x:is>
      </x:c>
      <x:c r="B1860" s="31" t="inlineStr">
        <x:is>
          <x:t xml:space="preserve">ПЗ-00222</x:t>
        </x:is>
      </x:c>
      <x:c r="C1860" s="31" t="inlineStr">
        <x:is>
          <x:t xml:space="preserve">ЗК-1109</x:t>
        </x:is>
      </x:c>
      <x:c r="D1860" s="31" t="inlineStr">
        <x:is>
          <x:t xml:space="preserve">ПОЗ-0109-1</x:t>
        </x:is>
      </x:c>
      <x:c r="E1860" s="31" t="inlineStr">
        <x:is>
          <x:t xml:space="preserve">ИЗД-011</x:t>
        </x:is>
      </x:c>
      <x:c r="F1860" s="31" t="n">
        <x:v>10</x:v>
      </x:c>
      <x:c r="G1860" s="31" t="inlineStr">
        <x:is>
          <x:t xml:space="preserve">КД</x:t>
        </x:is>
      </x:c>
      <x:c r="H1860" s="31" t="inlineStr">
        <x:is>
          <x:t xml:space="preserve">Инженерный отдел</x:t>
        </x:is>
      </x:c>
      <x:c r="I1860" s="31" t="n"/>
      <x:c r="J1860" s="31" t="inlineStr">
        <x:is>
          <x:t xml:space="preserve">СОТР-011</x:t>
        </x:is>
      </x:c>
      <x:c r="K1860" s="31" t="n">
        <x:v>28</x:v>
      </x:c>
      <x:c r="L1860" s="31" t="n">
        <x:v>26.2</x:v>
      </x:c>
      <x:c r="M1860" s="31" t="n">
        <x:v>46207</x:v>
      </x:c>
      <x:c r="N1860" s="31" t="n">
        <x:v>46210</x:v>
      </x:c>
      <x:c r="O1860" s="31" t="n">
        <x:v>46207</x:v>
      </x:c>
      <x:c r="P1860" s="31" t="n">
        <x:v>46211</x:v>
      </x:c>
      <x:c r="Q1860" s="31" t="inlineStr">
        <x:is>
          <x:t xml:space="preserve">Завершено</x:t>
        </x:is>
      </x:c>
      <x:c r="R1860" s="31" t="inlineStr">
        <x:is>
          <x:t xml:space="preserve">Материал</x:t>
        </x:is>
      </x:c>
      <x:c r="S1860" s="31" t="inlineStr">
        <x:is>
          <x:t xml:space="preserve">Нет</x:t>
        </x:is>
      </x:c>
    </x:row>
    <x:row r="1861">
      <x:c r="A1861" s="31" t="inlineStr">
        <x:is>
          <x:t xml:space="preserve">ОП-001860</x:t>
        </x:is>
      </x:c>
      <x:c r="B1861" s="31" t="inlineStr">
        <x:is>
          <x:t xml:space="preserve">ПЗ-00222</x:t>
        </x:is>
      </x:c>
      <x:c r="C1861" s="31" t="inlineStr">
        <x:is>
          <x:t xml:space="preserve">ЗК-1109</x:t>
        </x:is>
      </x:c>
      <x:c r="D1861" s="31" t="inlineStr">
        <x:is>
          <x:t xml:space="preserve">ПОЗ-0109-1</x:t>
        </x:is>
      </x:c>
      <x:c r="E1861" s="31" t="inlineStr">
        <x:is>
          <x:t xml:space="preserve">ИЗД-011</x:t>
        </x:is>
      </x:c>
      <x:c r="F1861" s="31" t="n">
        <x:v>20</x:v>
      </x:c>
      <x:c r="G1861" s="31" t="inlineStr">
        <x:is>
          <x:t xml:space="preserve">Комплектация</x:t>
        </x:is>
      </x:c>
      <x:c r="H1861" s="31" t="inlineStr">
        <x:is>
          <x:t xml:space="preserve">Склад</x:t>
        </x:is>
      </x:c>
      <x:c r="I1861" s="31" t="inlineStr">
        <x:is>
          <x:t xml:space="preserve">ОБ-025</x:t>
        </x:is>
      </x:c>
      <x:c r="J1861" s="31" t="inlineStr">
        <x:is>
          <x:t xml:space="preserve">СОТР-036</x:t>
        </x:is>
      </x:c>
      <x:c r="K1861" s="31" t="n">
        <x:v>17.6</x:v>
      </x:c>
      <x:c r="L1861" s="31" t="n">
        <x:v>18.1</x:v>
      </x:c>
      <x:c r="M1861" s="31" t="n">
        <x:v>46210</x:v>
      </x:c>
      <x:c r="N1861" s="31" t="n">
        <x:v>46212</x:v>
      </x:c>
      <x:c r="O1861" s="31" t="n">
        <x:v>46210</x:v>
      </x:c>
      <x:c r="P1861" s="31" t="n">
        <x:v>46214</x:v>
      </x:c>
      <x:c r="Q1861" s="31" t="inlineStr">
        <x:is>
          <x:t xml:space="preserve">Завершено</x:t>
        </x:is>
      </x:c>
      <x:c r="R1861" s="31" t="inlineStr">
        <x:is>
          <x:t xml:space="preserve">Нет</x:t>
        </x:is>
      </x:c>
      <x:c r="S1861" s="31" t="inlineStr">
        <x:is>
          <x:t xml:space="preserve">Да</x:t>
        </x:is>
      </x:c>
    </x:row>
    <x:row r="1862">
      <x:c r="A1862" s="31" t="inlineStr">
        <x:is>
          <x:t xml:space="preserve">ОП-001861</x:t>
        </x:is>
      </x:c>
      <x:c r="B1862" s="31" t="inlineStr">
        <x:is>
          <x:t xml:space="preserve">ПЗ-00222</x:t>
        </x:is>
      </x:c>
      <x:c r="C1862" s="31" t="inlineStr">
        <x:is>
          <x:t xml:space="preserve">ЗК-1109</x:t>
        </x:is>
      </x:c>
      <x:c r="D1862" s="31" t="inlineStr">
        <x:is>
          <x:t xml:space="preserve">ПОЗ-0109-1</x:t>
        </x:is>
      </x:c>
      <x:c r="E1862" s="31" t="inlineStr">
        <x:is>
          <x:t xml:space="preserve">ИЗД-011</x:t>
        </x:is>
      </x:c>
      <x:c r="F1862" s="31" t="n">
        <x:v>30</x:v>
      </x:c>
      <x:c r="G1862" s="31" t="inlineStr">
        <x:is>
          <x:t xml:space="preserve">Сборка шкафа</x:t>
        </x:is>
      </x:c>
      <x:c r="H1862" s="31" t="inlineStr">
        <x:is>
          <x:t xml:space="preserve">Сборка</x:t>
        </x:is>
      </x:c>
      <x:c r="I1862" s="31" t="inlineStr">
        <x:is>
          <x:t xml:space="preserve">ОБ-012</x:t>
        </x:is>
      </x:c>
      <x:c r="J1862" s="31" t="inlineStr">
        <x:is>
          <x:t xml:space="preserve">СОТР-075</x:t>
        </x:is>
      </x:c>
      <x:c r="K1862" s="31" t="n">
        <x:v>44</x:v>
      </x:c>
      <x:c r="L1862" s="31" t="n">
        <x:v>51.1</x:v>
      </x:c>
      <x:c r="M1862" s="31" t="n">
        <x:v>46212</x:v>
      </x:c>
      <x:c r="N1862" s="31" t="n">
        <x:v>46216</x:v>
      </x:c>
      <x:c r="O1862" s="31" t="n">
        <x:v>46212</x:v>
      </x:c>
      <x:c r="P1862" s="31" t="n">
        <x:v>46218</x:v>
      </x:c>
      <x:c r="Q1862" s="31" t="inlineStr">
        <x:is>
          <x:t xml:space="preserve">Завершено</x:t>
        </x:is>
      </x:c>
      <x:c r="R1862" s="31" t="inlineStr">
        <x:is>
          <x:t xml:space="preserve">Ожидание ОТК</x:t>
        </x:is>
      </x:c>
      <x:c r="S1862" s="31" t="inlineStr">
        <x:is>
          <x:t xml:space="preserve">Нет</x:t>
        </x:is>
      </x:c>
    </x:row>
    <x:row r="1863">
      <x:c r="A1863" s="31" t="inlineStr">
        <x:is>
          <x:t xml:space="preserve">ОП-001862</x:t>
        </x:is>
      </x:c>
      <x:c r="B1863" s="31" t="inlineStr">
        <x:is>
          <x:t xml:space="preserve">ПЗ-00222</x:t>
        </x:is>
      </x:c>
      <x:c r="C1863" s="31" t="inlineStr">
        <x:is>
          <x:t xml:space="preserve">ЗК-1109</x:t>
        </x:is>
      </x:c>
      <x:c r="D1863" s="31" t="inlineStr">
        <x:is>
          <x:t xml:space="preserve">ПОЗ-0109-1</x:t>
        </x:is>
      </x:c>
      <x:c r="E1863" s="31" t="inlineStr">
        <x:is>
          <x:t xml:space="preserve">ИЗД-011</x:t>
        </x:is>
      </x:c>
      <x:c r="F1863" s="31" t="n">
        <x:v>40</x:v>
      </x:c>
      <x:c r="G1863" s="31" t="inlineStr">
        <x:is>
          <x:t xml:space="preserve">Маркировка</x:t>
        </x:is>
      </x:c>
      <x:c r="H1863" s="31" t="inlineStr">
        <x:is>
          <x:t xml:space="preserve">Сборка</x:t>
        </x:is>
      </x:c>
      <x:c r="I1863" s="31" t="inlineStr">
        <x:is>
          <x:t xml:space="preserve">ОБ-005</x:t>
        </x:is>
      </x:c>
      <x:c r="J1863" s="31" t="inlineStr">
        <x:is>
          <x:t xml:space="preserve">СОТР-081</x:t>
        </x:is>
      </x:c>
      <x:c r="K1863" s="31" t="n">
        <x:v>10.8</x:v>
      </x:c>
      <x:c r="L1863" s="31" t="n">
        <x:v>12.3</x:v>
      </x:c>
      <x:c r="M1863" s="31" t="n">
        <x:v>46216</x:v>
      </x:c>
      <x:c r="N1863" s="31" t="n">
        <x:v>46217</x:v>
      </x:c>
      <x:c r="O1863" s="31" t="n">
        <x:v>46216</x:v>
      </x:c>
      <x:c r="P1863" s="31" t="n">
        <x:v>46216</x:v>
      </x:c>
      <x:c r="Q1863" s="31" t="inlineStr">
        <x:is>
          <x:t xml:space="preserve">Завершено</x:t>
        </x:is>
      </x:c>
      <x:c r="R1863" s="31" t="inlineStr">
        <x:is>
          <x:t xml:space="preserve">Нет</x:t>
        </x:is>
      </x:c>
      <x:c r="S1863" s="31" t="inlineStr">
        <x:is>
          <x:t xml:space="preserve">Нет</x:t>
        </x:is>
      </x:c>
    </x:row>
    <x:row r="1864">
      <x:c r="A1864" s="31" t="inlineStr">
        <x:is>
          <x:t xml:space="preserve">ОП-001863</x:t>
        </x:is>
      </x:c>
      <x:c r="B1864" s="31" t="inlineStr">
        <x:is>
          <x:t xml:space="preserve">ПЗ-00222</x:t>
        </x:is>
      </x:c>
      <x:c r="C1864" s="31" t="inlineStr">
        <x:is>
          <x:t xml:space="preserve">ЗК-1109</x:t>
        </x:is>
      </x:c>
      <x:c r="D1864" s="31" t="inlineStr">
        <x:is>
          <x:t xml:space="preserve">ПОЗ-0109-1</x:t>
        </x:is>
      </x:c>
      <x:c r="E1864" s="31" t="inlineStr">
        <x:is>
          <x:t xml:space="preserve">ИЗД-011</x:t>
        </x:is>
      </x:c>
      <x:c r="F1864" s="31" t="n">
        <x:v>50</x:v>
      </x:c>
      <x:c r="G1864" s="31" t="inlineStr">
        <x:is>
          <x:t xml:space="preserve">Электромонтаж</x:t>
        </x:is>
      </x:c>
      <x:c r="H1864" s="31" t="inlineStr">
        <x:is>
          <x:t xml:space="preserve">Сборка</x:t>
        </x:is>
      </x:c>
      <x:c r="I1864" s="31" t="inlineStr">
        <x:is>
          <x:t xml:space="preserve">ОБ-017</x:t>
        </x:is>
      </x:c>
      <x:c r="J1864" s="31" t="inlineStr">
        <x:is>
          <x:t xml:space="preserve">СОТР-090</x:t>
        </x:is>
      </x:c>
      <x:c r="K1864" s="31" t="n">
        <x:v>9.199999999999999</x:v>
      </x:c>
      <x:c r="L1864" s="31" t="n">
        <x:v>8.300000000000001</x:v>
      </x:c>
      <x:c r="M1864" s="31" t="n">
        <x:v>46217</x:v>
      </x:c>
      <x:c r="N1864" s="31" t="n">
        <x:v>46218</x:v>
      </x:c>
      <x:c r="O1864" s="31" t="n">
        <x:v>46217</x:v>
      </x:c>
      <x:c r="P1864" s="31" t="n">
        <x:v>46219</x:v>
      </x:c>
      <x:c r="Q1864" s="31" t="inlineStr">
        <x:is>
          <x:t xml:space="preserve">Завершено</x:t>
        </x:is>
      </x:c>
      <x:c r="R1864" s="31" t="inlineStr">
        <x:is>
          <x:t xml:space="preserve">Нет</x:t>
        </x:is>
      </x:c>
      <x:c r="S1864" s="31" t="inlineStr">
        <x:is>
          <x:t xml:space="preserve">Нет</x:t>
        </x:is>
      </x:c>
    </x:row>
    <x:row r="1865">
      <x:c r="A1865" s="31" t="inlineStr">
        <x:is>
          <x:t xml:space="preserve">ОП-001864</x:t>
        </x:is>
      </x:c>
      <x:c r="B1865" s="31" t="inlineStr">
        <x:is>
          <x:t xml:space="preserve">ПЗ-00222</x:t>
        </x:is>
      </x:c>
      <x:c r="C1865" s="31" t="inlineStr">
        <x:is>
          <x:t xml:space="preserve">ЗК-1109</x:t>
        </x:is>
      </x:c>
      <x:c r="D1865" s="31" t="inlineStr">
        <x:is>
          <x:t xml:space="preserve">ПОЗ-0109-1</x:t>
        </x:is>
      </x:c>
      <x:c r="E1865" s="31" t="inlineStr">
        <x:is>
          <x:t xml:space="preserve">ИЗД-011</x:t>
        </x:is>
      </x:c>
      <x:c r="F1865" s="31" t="n">
        <x:v>60</x:v>
      </x:c>
      <x:c r="G1865" s="31" t="inlineStr">
        <x:is>
          <x:t xml:space="preserve">Программирование ПЛК</x:t>
        </x:is>
      </x:c>
      <x:c r="H1865" s="31" t="inlineStr">
        <x:is>
          <x:t xml:space="preserve">Инженерный отдел</x:t>
        </x:is>
      </x:c>
      <x:c r="I1865" s="31" t="n"/>
      <x:c r="J1865" s="31" t="inlineStr">
        <x:is>
          <x:t xml:space="preserve">СОТР-014</x:t>
        </x:is>
      </x:c>
      <x:c r="K1865" s="31" t="n">
        <x:v>5.2</x:v>
      </x:c>
      <x:c r="L1865" s="31" t="n">
        <x:v>5.1</x:v>
      </x:c>
      <x:c r="M1865" s="31" t="n">
        <x:v>46218</x:v>
      </x:c>
      <x:c r="N1865" s="31" t="n">
        <x:v>46219</x:v>
      </x:c>
      <x:c r="O1865" s="31" t="n">
        <x:v>46218</x:v>
      </x:c>
      <x:c r="P1865" s="31" t="n">
        <x:v>46218</x:v>
      </x:c>
      <x:c r="Q1865" s="31" t="inlineStr">
        <x:is>
          <x:t xml:space="preserve">Завершено</x:t>
        </x:is>
      </x:c>
      <x:c r="R1865" s="31" t="inlineStr">
        <x:is>
          <x:t xml:space="preserve">Материал</x:t>
        </x:is>
      </x:c>
      <x:c r="S1865" s="31" t="inlineStr">
        <x:is>
          <x:t xml:space="preserve">Нет</x:t>
        </x:is>
      </x:c>
    </x:row>
    <x:row r="1866">
      <x:c r="A1866" s="31" t="inlineStr">
        <x:is>
          <x:t xml:space="preserve">ОП-001865</x:t>
        </x:is>
      </x:c>
      <x:c r="B1866" s="31" t="inlineStr">
        <x:is>
          <x:t xml:space="preserve">ПЗ-00222</x:t>
        </x:is>
      </x:c>
      <x:c r="C1866" s="31" t="inlineStr">
        <x:is>
          <x:t xml:space="preserve">ЗК-1109</x:t>
        </x:is>
      </x:c>
      <x:c r="D1866" s="31" t="inlineStr">
        <x:is>
          <x:t xml:space="preserve">ПОЗ-0109-1</x:t>
        </x:is>
      </x:c>
      <x:c r="E1866" s="31" t="inlineStr">
        <x:is>
          <x:t xml:space="preserve">ИЗД-011</x:t>
        </x:is>
      </x:c>
      <x:c r="F1866" s="31" t="n">
        <x:v>70</x:v>
      </x:c>
      <x:c r="G1866" s="31" t="inlineStr">
        <x:is>
          <x:t xml:space="preserve">Приемочные испытания</x:t>
        </x:is>
      </x:c>
      <x:c r="H1866" s="31" t="inlineStr">
        <x:is>
          <x:t xml:space="preserve">ОТК</x:t>
        </x:is>
      </x:c>
      <x:c r="I1866" s="31" t="inlineStr">
        <x:is>
          <x:t xml:space="preserve">ОБ-015</x:t>
        </x:is>
      </x:c>
      <x:c r="J1866" s="31" t="inlineStr">
        <x:is>
          <x:t xml:space="preserve">СОТР-097</x:t>
        </x:is>
      </x:c>
      <x:c r="K1866" s="31" t="n">
        <x:v>46.4</x:v>
      </x:c>
      <x:c r="L1866" s="31" t="n">
        <x:v>54.6</x:v>
      </x:c>
      <x:c r="M1866" s="31" t="n">
        <x:v>46219</x:v>
      </x:c>
      <x:c r="N1866" s="31" t="n">
        <x:v>46223</x:v>
      </x:c>
      <x:c r="O1866" s="31" t="n">
        <x:v>46219</x:v>
      </x:c>
      <x:c r="P1866" s="31" t="n">
        <x:v>46222</x:v>
      </x:c>
      <x:c r="Q1866" s="31" t="inlineStr">
        <x:is>
          <x:t xml:space="preserve">Завершено</x:t>
        </x:is>
      </x:c>
      <x:c r="R1866" s="31" t="inlineStr">
        <x:is>
          <x:t xml:space="preserve">Нет</x:t>
        </x:is>
      </x:c>
      <x:c r="S1866" s="31" t="inlineStr">
        <x:is>
          <x:t xml:space="preserve">Нет</x:t>
        </x:is>
      </x:c>
    </x:row>
    <x:row r="1867">
      <x:c r="A1867" s="31" t="inlineStr">
        <x:is>
          <x:t xml:space="preserve">ОП-001866</x:t>
        </x:is>
      </x:c>
      <x:c r="B1867" s="31" t="inlineStr">
        <x:is>
          <x:t xml:space="preserve">ПЗ-00222</x:t>
        </x:is>
      </x:c>
      <x:c r="C1867" s="31" t="inlineStr">
        <x:is>
          <x:t xml:space="preserve">ЗК-1109</x:t>
        </x:is>
      </x:c>
      <x:c r="D1867" s="31" t="inlineStr">
        <x:is>
          <x:t xml:space="preserve">ПОЗ-0109-1</x:t>
        </x:is>
      </x:c>
      <x:c r="E1867" s="31" t="inlineStr">
        <x:is>
          <x:t xml:space="preserve">ИЗД-011</x:t>
        </x:is>
      </x:c>
      <x:c r="F1867" s="31" t="n">
        <x:v>80</x:v>
      </x:c>
      <x:c r="G1867" s="31" t="inlineStr">
        <x:is>
          <x:t xml:space="preserve">ОТК</x:t>
        </x:is>
      </x:c>
      <x:c r="H1867" s="31" t="inlineStr">
        <x:is>
          <x:t xml:space="preserve">ОТК</x:t>
        </x:is>
      </x:c>
      <x:c r="I1867" s="31" t="inlineStr">
        <x:is>
          <x:t xml:space="preserve">ОБ-015</x:t>
        </x:is>
      </x:c>
      <x:c r="J1867" s="31" t="inlineStr">
        <x:is>
          <x:t xml:space="preserve">СОТР-098</x:t>
        </x:is>
      </x:c>
      <x:c r="K1867" s="31" t="n">
        <x:v>43.2</x:v>
      </x:c>
      <x:c r="L1867" s="31" t="n">
        <x:v>50.4</x:v>
      </x:c>
      <x:c r="M1867" s="31" t="n">
        <x:v>46223</x:v>
      </x:c>
      <x:c r="N1867" s="31" t="n">
        <x:v>46227</x:v>
      </x:c>
      <x:c r="O1867" s="31" t="n">
        <x:v>46223</x:v>
      </x:c>
      <x:c r="P1867" s="31" t="n">
        <x:v>46226</x:v>
      </x:c>
      <x:c r="Q1867" s="31" t="inlineStr">
        <x:is>
          <x:t xml:space="preserve">Завершено</x:t>
        </x:is>
      </x:c>
      <x:c r="R1867" s="31" t="inlineStr">
        <x:is>
          <x:t xml:space="preserve">Материал</x:t>
        </x:is>
      </x:c>
      <x:c r="S1867" s="31" t="inlineStr">
        <x:is>
          <x:t xml:space="preserve">Нет</x:t>
        </x:is>
      </x:c>
    </x:row>
    <x:row r="1868">
      <x:c r="A1868" s="31" t="inlineStr">
        <x:is>
          <x:t xml:space="preserve">ОП-001867</x:t>
        </x:is>
      </x:c>
      <x:c r="B1868" s="31" t="inlineStr">
        <x:is>
          <x:t xml:space="preserve">ПЗ-00222</x:t>
        </x:is>
      </x:c>
      <x:c r="C1868" s="31" t="inlineStr">
        <x:is>
          <x:t xml:space="preserve">ЗК-1109</x:t>
        </x:is>
      </x:c>
      <x:c r="D1868" s="31" t="inlineStr">
        <x:is>
          <x:t xml:space="preserve">ПОЗ-0109-1</x:t>
        </x:is>
      </x:c>
      <x:c r="E1868" s="31" t="inlineStr">
        <x:is>
          <x:t xml:space="preserve">ИЗД-011</x:t>
        </x:is>
      </x:c>
      <x:c r="F1868" s="31" t="n">
        <x:v>90</x:v>
      </x:c>
      <x:c r="G1868" s="31" t="inlineStr">
        <x:is>
          <x:t xml:space="preserve">Упаковка</x:t>
        </x:is>
      </x:c>
      <x:c r="H1868" s="31" t="inlineStr">
        <x:is>
          <x:t xml:space="preserve">Логистика</x:t>
        </x:is>
      </x:c>
      <x:c r="I1868" s="31" t="n"/>
      <x:c r="J1868" s="31" t="inlineStr">
        <x:is>
          <x:t xml:space="preserve">СОТР-102</x:t>
        </x:is>
      </x:c>
      <x:c r="K1868" s="31" t="n">
        <x:v>9.6</x:v>
      </x:c>
      <x:c r="L1868" s="31" t="n"/>
      <x:c r="M1868" s="31" t="n">
        <x:v>46227</x:v>
      </x:c>
      <x:c r="N1868" s="31" t="n">
        <x:v>46228</x:v>
      </x:c>
      <x:c r="O1868" s="31" t="n"/>
      <x:c r="P1868" s="31" t="n"/>
      <x:c r="Q1868" s="31" t="inlineStr">
        <x:is>
          <x:t xml:space="preserve">Запланировано</x:t>
        </x:is>
      </x:c>
      <x:c r="R1868" s="31" t="inlineStr">
        <x:is>
          <x:t xml:space="preserve">Нет</x:t>
        </x:is>
      </x:c>
      <x:c r="S1868" s="31" t="inlineStr">
        <x:is>
          <x:t xml:space="preserve">Нет</x:t>
        </x:is>
      </x:c>
    </x:row>
    <x:row r="1869">
      <x:c r="A1869" s="31" t="inlineStr">
        <x:is>
          <x:t xml:space="preserve">ОП-001868</x:t>
        </x:is>
      </x:c>
      <x:c r="B1869" s="31" t="inlineStr">
        <x:is>
          <x:t xml:space="preserve">ПЗ-00223</x:t>
        </x:is>
      </x:c>
      <x:c r="C1869" s="31" t="inlineStr">
        <x:is>
          <x:t xml:space="preserve">ЗК-1109</x:t>
        </x:is>
      </x:c>
      <x:c r="D1869" s="31" t="inlineStr">
        <x:is>
          <x:t xml:space="preserve">ПОЗ-0109-2</x:t>
        </x:is>
      </x:c>
      <x:c r="E1869" s="31" t="inlineStr">
        <x:is>
          <x:t xml:space="preserve">ИЗД-024</x:t>
        </x:is>
      </x:c>
      <x:c r="F1869" s="31" t="n">
        <x:v>10</x:v>
      </x:c>
      <x:c r="G1869" s="31" t="inlineStr">
        <x:is>
          <x:t xml:space="preserve">КД</x:t>
        </x:is>
      </x:c>
      <x:c r="H1869" s="31" t="inlineStr">
        <x:is>
          <x:t xml:space="preserve">Инженерный отдел</x:t>
        </x:is>
      </x:c>
      <x:c r="I1869" s="31" t="n"/>
      <x:c r="J1869" s="31" t="inlineStr">
        <x:is>
          <x:t xml:space="preserve">СОТР-021</x:t>
        </x:is>
      </x:c>
      <x:c r="K1869" s="31" t="n">
        <x:v>21</x:v>
      </x:c>
      <x:c r="L1869" s="31" t="n">
        <x:v>19.5</x:v>
      </x:c>
      <x:c r="M1869" s="31" t="n">
        <x:v>46195</x:v>
      </x:c>
      <x:c r="N1869" s="31" t="n">
        <x:v>46197</x:v>
      </x:c>
      <x:c r="O1869" s="31" t="n">
        <x:v>46195</x:v>
      </x:c>
      <x:c r="P1869" s="31" t="n">
        <x:v>46197</x:v>
      </x:c>
      <x:c r="Q1869" s="31" t="inlineStr">
        <x:is>
          <x:t xml:space="preserve">Завершено</x:t>
        </x:is>
      </x:c>
      <x:c r="R1869" s="31" t="inlineStr">
        <x:is>
          <x:t xml:space="preserve">Нет</x:t>
        </x:is>
      </x:c>
      <x:c r="S1869" s="31" t="inlineStr">
        <x:is>
          <x:t xml:space="preserve">Нет</x:t>
        </x:is>
      </x:c>
    </x:row>
    <x:row r="1870">
      <x:c r="A1870" s="31" t="inlineStr">
        <x:is>
          <x:t xml:space="preserve">ОП-001869</x:t>
        </x:is>
      </x:c>
      <x:c r="B1870" s="31" t="inlineStr">
        <x:is>
          <x:t xml:space="preserve">ПЗ-00223</x:t>
        </x:is>
      </x:c>
      <x:c r="C1870" s="31" t="inlineStr">
        <x:is>
          <x:t xml:space="preserve">ЗК-1109</x:t>
        </x:is>
      </x:c>
      <x:c r="D1870" s="31" t="inlineStr">
        <x:is>
          <x:t xml:space="preserve">ПОЗ-0109-2</x:t>
        </x:is>
      </x:c>
      <x:c r="E1870" s="31" t="inlineStr">
        <x:is>
          <x:t xml:space="preserve">ИЗД-024</x:t>
        </x:is>
      </x:c>
      <x:c r="F1870" s="31" t="n">
        <x:v>20</x:v>
      </x:c>
      <x:c r="G1870" s="31" t="inlineStr">
        <x:is>
          <x:t xml:space="preserve">Резерв материалов</x:t>
        </x:is>
      </x:c>
      <x:c r="H1870" s="31" t="inlineStr">
        <x:is>
          <x:t xml:space="preserve">Склад</x:t>
        </x:is>
      </x:c>
      <x:c r="I1870" s="31" t="inlineStr">
        <x:is>
          <x:t xml:space="preserve">ОБ-008</x:t>
        </x:is>
      </x:c>
      <x:c r="J1870" s="31" t="inlineStr">
        <x:is>
          <x:t xml:space="preserve">СОТР-033</x:t>
        </x:is>
      </x:c>
      <x:c r="K1870" s="31" t="n">
        <x:v>3.4</x:v>
      </x:c>
      <x:c r="L1870" s="31" t="n">
        <x:v>3.9</x:v>
      </x:c>
      <x:c r="M1870" s="31" t="n">
        <x:v>46197</x:v>
      </x:c>
      <x:c r="N1870" s="31" t="n">
        <x:v>46198</x:v>
      </x:c>
      <x:c r="O1870" s="31" t="n">
        <x:v>46197</x:v>
      </x:c>
      <x:c r="P1870" s="31" t="n">
        <x:v>46197</x:v>
      </x:c>
      <x:c r="Q1870" s="31" t="inlineStr">
        <x:is>
          <x:t xml:space="preserve">Завершено</x:t>
        </x:is>
      </x:c>
      <x:c r="R1870" s="31" t="inlineStr">
        <x:is>
          <x:t xml:space="preserve">Нет</x:t>
        </x:is>
      </x:c>
      <x:c r="S1870" s="31" t="inlineStr">
        <x:is>
          <x:t xml:space="preserve">Нет</x:t>
        </x:is>
      </x:c>
    </x:row>
    <x:row r="1871">
      <x:c r="A1871" s="31" t="inlineStr">
        <x:is>
          <x:t xml:space="preserve">ОП-001870</x:t>
        </x:is>
      </x:c>
      <x:c r="B1871" s="31" t="inlineStr">
        <x:is>
          <x:t xml:space="preserve">ПЗ-00223</x:t>
        </x:is>
      </x:c>
      <x:c r="C1871" s="31" t="inlineStr">
        <x:is>
          <x:t xml:space="preserve">ЗК-1109</x:t>
        </x:is>
      </x:c>
      <x:c r="D1871" s="31" t="inlineStr">
        <x:is>
          <x:t xml:space="preserve">ПОЗ-0109-2</x:t>
        </x:is>
      </x:c>
      <x:c r="E1871" s="31" t="inlineStr">
        <x:is>
          <x:t xml:space="preserve">ИЗД-024</x:t>
        </x:is>
      </x:c>
      <x:c r="F1871" s="31" t="n">
        <x:v>30</x:v>
      </x:c>
      <x:c r="G1871" s="31" t="inlineStr">
        <x:is>
          <x:t xml:space="preserve">Сварка рамы</x:t>
        </x:is>
      </x:c>
      <x:c r="H1871" s="31" t="inlineStr">
        <x:is>
          <x:t xml:space="preserve">Сварка</x:t>
        </x:is>
      </x:c>
      <x:c r="I1871" s="31" t="inlineStr">
        <x:is>
          <x:t xml:space="preserve">ОБ-021</x:t>
        </x:is>
      </x:c>
      <x:c r="J1871" s="31" t="inlineStr">
        <x:is>
          <x:t xml:space="preserve">СОТР-066</x:t>
        </x:is>
      </x:c>
      <x:c r="K1871" s="31" t="n">
        <x:v>5.8</x:v>
      </x:c>
      <x:c r="L1871" s="31" t="n">
        <x:v>7.3</x:v>
      </x:c>
      <x:c r="M1871" s="31" t="n">
        <x:v>46198</x:v>
      </x:c>
      <x:c r="N1871" s="31" t="n">
        <x:v>46199</x:v>
      </x:c>
      <x:c r="O1871" s="31" t="n">
        <x:v>46198</x:v>
      </x:c>
      <x:c r="P1871" s="31" t="n">
        <x:v>46198</x:v>
      </x:c>
      <x:c r="Q1871" s="31" t="inlineStr">
        <x:is>
          <x:t xml:space="preserve">Завершено</x:t>
        </x:is>
      </x:c>
      <x:c r="R1871" s="31" t="inlineStr">
        <x:is>
          <x:t xml:space="preserve">Нет</x:t>
        </x:is>
      </x:c>
      <x:c r="S1871" s="31" t="inlineStr">
        <x:is>
          <x:t xml:space="preserve">Нет</x:t>
        </x:is>
      </x:c>
    </x:row>
    <x:row r="1872">
      <x:c r="A1872" s="31" t="inlineStr">
        <x:is>
          <x:t xml:space="preserve">ОП-001871</x:t>
        </x:is>
      </x:c>
      <x:c r="B1872" s="31" t="inlineStr">
        <x:is>
          <x:t xml:space="preserve">ПЗ-00223</x:t>
        </x:is>
      </x:c>
      <x:c r="C1872" s="31" t="inlineStr">
        <x:is>
          <x:t xml:space="preserve">ЗК-1109</x:t>
        </x:is>
      </x:c>
      <x:c r="D1872" s="31" t="inlineStr">
        <x:is>
          <x:t xml:space="preserve">ПОЗ-0109-2</x:t>
        </x:is>
      </x:c>
      <x:c r="E1872" s="31" t="inlineStr">
        <x:is>
          <x:t xml:space="preserve">ИЗД-024</x:t>
        </x:is>
      </x:c>
      <x:c r="F1872" s="31" t="n">
        <x:v>40</x:v>
      </x:c>
      <x:c r="G1872" s="31" t="inlineStr">
        <x:is>
          <x:t xml:space="preserve">Сборка</x:t>
        </x:is>
      </x:c>
      <x:c r="H1872" s="31" t="inlineStr">
        <x:is>
          <x:t xml:space="preserve">Сборка</x:t>
        </x:is>
      </x:c>
      <x:c r="I1872" s="31" t="inlineStr">
        <x:is>
          <x:t xml:space="preserve">ОБ-005</x:t>
        </x:is>
      </x:c>
      <x:c r="J1872" s="31" t="inlineStr">
        <x:is>
          <x:t xml:space="preserve">СОТР-083</x:t>
        </x:is>
      </x:c>
      <x:c r="K1872" s="31" t="n">
        <x:v>4.2</x:v>
      </x:c>
      <x:c r="L1872" s="31" t="n">
        <x:v>4</x:v>
      </x:c>
      <x:c r="M1872" s="31" t="n">
        <x:v>46199</x:v>
      </x:c>
      <x:c r="N1872" s="31" t="n">
        <x:v>46200</x:v>
      </x:c>
      <x:c r="O1872" s="31" t="n">
        <x:v>46199</x:v>
      </x:c>
      <x:c r="P1872" s="31" t="n">
        <x:v>46200</x:v>
      </x:c>
      <x:c r="Q1872" s="31" t="inlineStr">
        <x:is>
          <x:t xml:space="preserve">Завершено</x:t>
        </x:is>
      </x:c>
      <x:c r="R1872" s="31" t="inlineStr">
        <x:is>
          <x:t xml:space="preserve">Нет</x:t>
        </x:is>
      </x:c>
      <x:c r="S1872" s="31" t="inlineStr">
        <x:is>
          <x:t xml:space="preserve">Нет</x:t>
        </x:is>
      </x:c>
    </x:row>
    <x:row r="1873">
      <x:c r="A1873" s="31" t="inlineStr">
        <x:is>
          <x:t xml:space="preserve">ОП-001872</x:t>
        </x:is>
      </x:c>
      <x:c r="B1873" s="31" t="inlineStr">
        <x:is>
          <x:t xml:space="preserve">ПЗ-00223</x:t>
        </x:is>
      </x:c>
      <x:c r="C1873" s="31" t="inlineStr">
        <x:is>
          <x:t xml:space="preserve">ЗК-1109</x:t>
        </x:is>
      </x:c>
      <x:c r="D1873" s="31" t="inlineStr">
        <x:is>
          <x:t xml:space="preserve">ПОЗ-0109-2</x:t>
        </x:is>
      </x:c>
      <x:c r="E1873" s="31" t="inlineStr">
        <x:is>
          <x:t xml:space="preserve">ИЗД-024</x:t>
        </x:is>
      </x:c>
      <x:c r="F1873" s="31" t="n">
        <x:v>50</x:v>
      </x:c>
      <x:c r="G1873" s="31" t="inlineStr">
        <x:is>
          <x:t xml:space="preserve">Обвязка труб</x:t>
        </x:is>
      </x:c>
      <x:c r="H1873" s="31" t="inlineStr">
        <x:is>
          <x:t xml:space="preserve">Сборка</x:t>
        </x:is>
      </x:c>
      <x:c r="I1873" s="31" t="inlineStr">
        <x:is>
          <x:t xml:space="preserve">ОБ-034</x:t>
        </x:is>
      </x:c>
      <x:c r="J1873" s="31" t="inlineStr">
        <x:is>
          <x:t xml:space="preserve">СОТР-032</x:t>
        </x:is>
      </x:c>
      <x:c r="K1873" s="31" t="n">
        <x:v>19.4</x:v>
      </x:c>
      <x:c r="L1873" s="31" t="n">
        <x:v>20.1</x:v>
      </x:c>
      <x:c r="M1873" s="31" t="n">
        <x:v>46200</x:v>
      </x:c>
      <x:c r="N1873" s="31" t="n">
        <x:v>46202</x:v>
      </x:c>
      <x:c r="O1873" s="31" t="n">
        <x:v>46200</x:v>
      </x:c>
      <x:c r="P1873" s="31" t="n">
        <x:v>46204</x:v>
      </x:c>
      <x:c r="Q1873" s="31" t="inlineStr">
        <x:is>
          <x:t xml:space="preserve">Завершено</x:t>
        </x:is>
      </x:c>
      <x:c r="R1873" s="31" t="inlineStr">
        <x:is>
          <x:t xml:space="preserve">Нет</x:t>
        </x:is>
      </x:c>
      <x:c r="S1873" s="31" t="inlineStr">
        <x:is>
          <x:t xml:space="preserve">Нет</x:t>
        </x:is>
      </x:c>
    </x:row>
    <x:row r="1874">
      <x:c r="A1874" s="31" t="inlineStr">
        <x:is>
          <x:t xml:space="preserve">ОП-001873</x:t>
        </x:is>
      </x:c>
      <x:c r="B1874" s="31" t="inlineStr">
        <x:is>
          <x:t xml:space="preserve">ПЗ-00223</x:t>
        </x:is>
      </x:c>
      <x:c r="C1874" s="31" t="inlineStr">
        <x:is>
          <x:t xml:space="preserve">ЗК-1109</x:t>
        </x:is>
      </x:c>
      <x:c r="D1874" s="31" t="inlineStr">
        <x:is>
          <x:t xml:space="preserve">ПОЗ-0109-2</x:t>
        </x:is>
      </x:c>
      <x:c r="E1874" s="31" t="inlineStr">
        <x:is>
          <x:t xml:space="preserve">ИЗД-024</x:t>
        </x:is>
      </x:c>
      <x:c r="F1874" s="31" t="n">
        <x:v>60</x:v>
      </x:c>
      <x:c r="G1874" s="31" t="inlineStr">
        <x:is>
          <x:t xml:space="preserve">Электромонтаж</x:t>
        </x:is>
      </x:c>
      <x:c r="H1874" s="31" t="inlineStr">
        <x:is>
          <x:t xml:space="preserve">Сборка</x:t>
        </x:is>
      </x:c>
      <x:c r="I1874" s="31" t="inlineStr">
        <x:is>
          <x:t xml:space="preserve">ОБ-014</x:t>
        </x:is>
      </x:c>
      <x:c r="J1874" s="31" t="inlineStr">
        <x:is>
          <x:t xml:space="preserve">СОТР-081</x:t>
        </x:is>
      </x:c>
      <x:c r="K1874" s="31" t="n">
        <x:v>7.2</x:v>
      </x:c>
      <x:c r="L1874" s="31" t="n">
        <x:v>6.5</x:v>
      </x:c>
      <x:c r="M1874" s="31" t="n">
        <x:v>46202</x:v>
      </x:c>
      <x:c r="N1874" s="31" t="n">
        <x:v>46203</x:v>
      </x:c>
      <x:c r="O1874" s="31" t="n">
        <x:v>46202</x:v>
      </x:c>
      <x:c r="P1874" s="31" t="n">
        <x:v>46205</x:v>
      </x:c>
      <x:c r="Q1874" s="31" t="inlineStr">
        <x:is>
          <x:t xml:space="preserve">Завершено</x:t>
        </x:is>
      </x:c>
      <x:c r="R1874" s="31" t="inlineStr">
        <x:is>
          <x:t xml:space="preserve">Нет</x:t>
        </x:is>
      </x:c>
      <x:c r="S1874" s="31" t="inlineStr">
        <x:is>
          <x:t xml:space="preserve">Нет</x:t>
        </x:is>
      </x:c>
    </x:row>
    <x:row r="1875">
      <x:c r="A1875" s="31" t="inlineStr">
        <x:is>
          <x:t xml:space="preserve">ОП-001874</x:t>
        </x:is>
      </x:c>
      <x:c r="B1875" s="31" t="inlineStr">
        <x:is>
          <x:t xml:space="preserve">ПЗ-00223</x:t>
        </x:is>
      </x:c>
      <x:c r="C1875" s="31" t="inlineStr">
        <x:is>
          <x:t xml:space="preserve">ЗК-1109</x:t>
        </x:is>
      </x:c>
      <x:c r="D1875" s="31" t="inlineStr">
        <x:is>
          <x:t xml:space="preserve">ПОЗ-0109-2</x:t>
        </x:is>
      </x:c>
      <x:c r="E1875" s="31" t="inlineStr">
        <x:is>
          <x:t xml:space="preserve">ИЗД-024</x:t>
        </x:is>
      </x:c>
      <x:c r="F1875" s="31" t="n">
        <x:v>70</x:v>
      </x:c>
      <x:c r="G1875" s="31" t="inlineStr">
        <x:is>
          <x:t xml:space="preserve">Гидроиспытания</x:t>
        </x:is>
      </x:c>
      <x:c r="H1875" s="31" t="inlineStr">
        <x:is>
          <x:t xml:space="preserve">ОТК</x:t>
        </x:is>
      </x:c>
      <x:c r="I1875" s="31" t="inlineStr">
        <x:is>
          <x:t xml:space="preserve">ОБ-022</x:t>
        </x:is>
      </x:c>
      <x:c r="J1875" s="31" t="inlineStr">
        <x:is>
          <x:t xml:space="preserve">СОТР-100</x:t>
        </x:is>
      </x:c>
      <x:c r="K1875" s="31" t="n">
        <x:v>10.4</x:v>
      </x:c>
      <x:c r="L1875" s="31" t="n">
        <x:v>13.8</x:v>
      </x:c>
      <x:c r="M1875" s="31" t="n">
        <x:v>46203</x:v>
      </x:c>
      <x:c r="N1875" s="31" t="n">
        <x:v>46204</x:v>
      </x:c>
      <x:c r="O1875" s="31" t="n">
        <x:v>46203</x:v>
      </x:c>
      <x:c r="P1875" s="31" t="n">
        <x:v>46204</x:v>
      </x:c>
      <x:c r="Q1875" s="31" t="inlineStr">
        <x:is>
          <x:t xml:space="preserve">Завершено</x:t>
        </x:is>
      </x:c>
      <x:c r="R1875" s="31" t="inlineStr">
        <x:is>
          <x:t xml:space="preserve">Нет</x:t>
        </x:is>
      </x:c>
      <x:c r="S1875" s="31" t="inlineStr">
        <x:is>
          <x:t xml:space="preserve">Нет</x:t>
        </x:is>
      </x:c>
    </x:row>
    <x:row r="1876">
      <x:c r="A1876" s="31" t="inlineStr">
        <x:is>
          <x:t xml:space="preserve">ОП-001875</x:t>
        </x:is>
      </x:c>
      <x:c r="B1876" s="31" t="inlineStr">
        <x:is>
          <x:t xml:space="preserve">ПЗ-00223</x:t>
        </x:is>
      </x:c>
      <x:c r="C1876" s="31" t="inlineStr">
        <x:is>
          <x:t xml:space="preserve">ЗК-1109</x:t>
        </x:is>
      </x:c>
      <x:c r="D1876" s="31" t="inlineStr">
        <x:is>
          <x:t xml:space="preserve">ПОЗ-0109-2</x:t>
        </x:is>
      </x:c>
      <x:c r="E1876" s="31" t="inlineStr">
        <x:is>
          <x:t xml:space="preserve">ИЗД-024</x:t>
        </x:is>
      </x:c>
      <x:c r="F1876" s="31" t="n">
        <x:v>80</x:v>
      </x:c>
      <x:c r="G1876" s="31" t="inlineStr">
        <x:is>
          <x:t xml:space="preserve">ОТК</x:t>
        </x:is>
      </x:c>
      <x:c r="H1876" s="31" t="inlineStr">
        <x:is>
          <x:t xml:space="preserve">ОТК</x:t>
        </x:is>
      </x:c>
      <x:c r="I1876" s="31" t="inlineStr">
        <x:is>
          <x:t xml:space="preserve">ОБ-024</x:t>
        </x:is>
      </x:c>
      <x:c r="J1876" s="31" t="inlineStr">
        <x:is>
          <x:t xml:space="preserve">СОТР-100</x:t>
        </x:is>
      </x:c>
      <x:c r="K1876" s="31" t="n">
        <x:v>11.4</x:v>
      </x:c>
      <x:c r="L1876" s="31" t="n"/>
      <x:c r="M1876" s="31" t="n">
        <x:v>46204</x:v>
      </x:c>
      <x:c r="N1876" s="31" t="n">
        <x:v>46205</x:v>
      </x:c>
      <x:c r="O1876" s="31" t="n">
        <x:v>46204</x:v>
      </x:c>
      <x:c r="P1876" s="31" t="n"/>
      <x:c r="Q1876" s="31" t="inlineStr">
        <x:is>
          <x:t xml:space="preserve">В работе</x:t>
        </x:is>
      </x:c>
      <x:c r="R1876" s="31" t="inlineStr">
        <x:is>
          <x:t xml:space="preserve">Нет</x:t>
        </x:is>
      </x:c>
      <x:c r="S1876" s="31" t="inlineStr">
        <x:is>
          <x:t xml:space="preserve">Да</x:t>
        </x:is>
      </x:c>
    </x:row>
    <x:row r="1877">
      <x:c r="A1877" s="31" t="inlineStr">
        <x:is>
          <x:t xml:space="preserve">ОП-001876</x:t>
        </x:is>
      </x:c>
      <x:c r="B1877" s="31" t="inlineStr">
        <x:is>
          <x:t xml:space="preserve">ПЗ-00223</x:t>
        </x:is>
      </x:c>
      <x:c r="C1877" s="31" t="inlineStr">
        <x:is>
          <x:t xml:space="preserve">ЗК-1109</x:t>
        </x:is>
      </x:c>
      <x:c r="D1877" s="31" t="inlineStr">
        <x:is>
          <x:t xml:space="preserve">ПОЗ-0109-2</x:t>
        </x:is>
      </x:c>
      <x:c r="E1877" s="31" t="inlineStr">
        <x:is>
          <x:t xml:space="preserve">ИЗД-024</x:t>
        </x:is>
      </x:c>
      <x:c r="F1877" s="31" t="n">
        <x:v>90</x:v>
      </x:c>
      <x:c r="G1877" s="31" t="inlineStr">
        <x:is>
          <x:t xml:space="preserve">Упаковка</x:t>
        </x:is>
      </x:c>
      <x:c r="H1877" s="31" t="inlineStr">
        <x:is>
          <x:t xml:space="preserve">Логистика</x:t>
        </x:is>
      </x:c>
      <x:c r="I1877" s="31" t="n"/>
      <x:c r="J1877" s="31" t="inlineStr">
        <x:is>
          <x:t xml:space="preserve">СОТР-070</x:t>
        </x:is>
      </x:c>
      <x:c r="K1877" s="31" t="n">
        <x:v>17.2</x:v>
      </x:c>
      <x:c r="L1877" s="31" t="n"/>
      <x:c r="M1877" s="31" t="n">
        <x:v>46205</x:v>
      </x:c>
      <x:c r="N1877" s="31" t="n">
        <x:v>46207</x:v>
      </x:c>
      <x:c r="O1877" s="31" t="n">
        <x:v>46205</x:v>
      </x:c>
      <x:c r="P1877" s="31" t="n"/>
      <x:c r="Q1877" s="31" t="inlineStr">
        <x:is>
          <x:t xml:space="preserve">В работе</x:t>
        </x:is>
      </x:c>
      <x:c r="R1877" s="31" t="inlineStr">
        <x:is>
          <x:t xml:space="preserve">Нет</x:t>
        </x:is>
      </x:c>
      <x:c r="S1877" s="31" t="inlineStr">
        <x:is>
          <x:t xml:space="preserve">Нет</x:t>
        </x:is>
      </x:c>
    </x:row>
    <x:row r="1878">
      <x:c r="A1878" s="31" t="inlineStr">
        <x:is>
          <x:t xml:space="preserve">ОП-001877</x:t>
        </x:is>
      </x:c>
      <x:c r="B1878" s="31" t="inlineStr">
        <x:is>
          <x:t xml:space="preserve">ПЗ-00224</x:t>
        </x:is>
      </x:c>
      <x:c r="C1878" s="31" t="inlineStr">
        <x:is>
          <x:t xml:space="preserve">ЗК-1109</x:t>
        </x:is>
      </x:c>
      <x:c r="D1878" s="31" t="inlineStr">
        <x:is>
          <x:t xml:space="preserve">ПОЗ-0109-3</x:t>
        </x:is>
      </x:c>
      <x:c r="E1878" s="31" t="inlineStr">
        <x:is>
          <x:t xml:space="preserve">ИЗД-002</x:t>
        </x:is>
      </x:c>
      <x:c r="F1878" s="31" t="n">
        <x:v>10</x:v>
      </x:c>
      <x:c r="G1878" s="31" t="inlineStr">
        <x:is>
          <x:t xml:space="preserve">КД</x:t>
        </x:is>
      </x:c>
      <x:c r="H1878" s="31" t="inlineStr">
        <x:is>
          <x:t xml:space="preserve">Инженерный отдел</x:t>
        </x:is>
      </x:c>
      <x:c r="I1878" s="31" t="n"/>
      <x:c r="J1878" s="31" t="inlineStr">
        <x:is>
          <x:t xml:space="preserve">СОТР-016</x:t>
        </x:is>
      </x:c>
      <x:c r="K1878" s="31" t="n">
        <x:v>14.8</x:v>
      </x:c>
      <x:c r="L1878" s="31" t="n">
        <x:v>13.2</x:v>
      </x:c>
      <x:c r="M1878" s="31" t="n">
        <x:v>46199</x:v>
      </x:c>
      <x:c r="N1878" s="31" t="n">
        <x:v>46201</x:v>
      </x:c>
      <x:c r="O1878" s="31" t="n">
        <x:v>46199</x:v>
      </x:c>
      <x:c r="P1878" s="31" t="n">
        <x:v>46202</x:v>
      </x:c>
      <x:c r="Q1878" s="31" t="inlineStr">
        <x:is>
          <x:t xml:space="preserve">Завершено</x:t>
        </x:is>
      </x:c>
      <x:c r="R1878" s="31" t="inlineStr">
        <x:is>
          <x:t xml:space="preserve">Нет</x:t>
        </x:is>
      </x:c>
      <x:c r="S1878" s="31" t="inlineStr">
        <x:is>
          <x:t xml:space="preserve">Нет</x:t>
        </x:is>
      </x:c>
    </x:row>
    <x:row r="1879">
      <x:c r="A1879" s="31" t="inlineStr">
        <x:is>
          <x:t xml:space="preserve">ОП-001878</x:t>
        </x:is>
      </x:c>
      <x:c r="B1879" s="31" t="inlineStr">
        <x:is>
          <x:t xml:space="preserve">ПЗ-00224</x:t>
        </x:is>
      </x:c>
      <x:c r="C1879" s="31" t="inlineStr">
        <x:is>
          <x:t xml:space="preserve">ЗК-1109</x:t>
        </x:is>
      </x:c>
      <x:c r="D1879" s="31" t="inlineStr">
        <x:is>
          <x:t xml:space="preserve">ПОЗ-0109-3</x:t>
        </x:is>
      </x:c>
      <x:c r="E1879" s="31" t="inlineStr">
        <x:is>
          <x:t xml:space="preserve">ИЗД-002</x:t>
        </x:is>
      </x:c>
      <x:c r="F1879" s="31" t="n">
        <x:v>20</x:v>
      </x:c>
      <x:c r="G1879" s="31" t="inlineStr">
        <x:is>
          <x:t xml:space="preserve">Комплектация</x:t>
        </x:is>
      </x:c>
      <x:c r="H1879" s="31" t="inlineStr">
        <x:is>
          <x:t xml:space="preserve">Склад</x:t>
        </x:is>
      </x:c>
      <x:c r="I1879" s="31" t="inlineStr">
        <x:is>
          <x:t xml:space="preserve">ОБ-025</x:t>
        </x:is>
      </x:c>
      <x:c r="J1879" s="31" t="inlineStr">
        <x:is>
          <x:t xml:space="preserve">СОТР-037</x:t>
        </x:is>
      </x:c>
      <x:c r="K1879" s="31" t="n">
        <x:v>19.6</x:v>
      </x:c>
      <x:c r="L1879" s="31" t="n">
        <x:v>25.2</x:v>
      </x:c>
      <x:c r="M1879" s="31" t="n">
        <x:v>46201</x:v>
      </x:c>
      <x:c r="N1879" s="31" t="n">
        <x:v>46203</x:v>
      </x:c>
      <x:c r="O1879" s="31" t="n">
        <x:v>46201</x:v>
      </x:c>
      <x:c r="P1879" s="31" t="n">
        <x:v>46204</x:v>
      </x:c>
      <x:c r="Q1879" s="31" t="inlineStr">
        <x:is>
          <x:t xml:space="preserve">Завершено</x:t>
        </x:is>
      </x:c>
      <x:c r="R1879" s="31" t="inlineStr">
        <x:is>
          <x:t xml:space="preserve">Оборудование</x:t>
        </x:is>
      </x:c>
      <x:c r="S1879" s="31" t="inlineStr">
        <x:is>
          <x:t xml:space="preserve">Нет</x:t>
        </x:is>
      </x:c>
    </x:row>
    <x:row r="1880">
      <x:c r="A1880" s="31" t="inlineStr">
        <x:is>
          <x:t xml:space="preserve">ОП-001879</x:t>
        </x:is>
      </x:c>
      <x:c r="B1880" s="31" t="inlineStr">
        <x:is>
          <x:t xml:space="preserve">ПЗ-00224</x:t>
        </x:is>
      </x:c>
      <x:c r="C1880" s="31" t="inlineStr">
        <x:is>
          <x:t xml:space="preserve">ЗК-1109</x:t>
        </x:is>
      </x:c>
      <x:c r="D1880" s="31" t="inlineStr">
        <x:is>
          <x:t xml:space="preserve">ПОЗ-0109-3</x:t>
        </x:is>
      </x:c>
      <x:c r="E1880" s="31" t="inlineStr">
        <x:is>
          <x:t xml:space="preserve">ИЗД-002</x:t>
        </x:is>
      </x:c>
      <x:c r="F1880" s="31" t="n">
        <x:v>30</x:v>
      </x:c>
      <x:c r="G1880" s="31" t="inlineStr">
        <x:is>
          <x:t xml:space="preserve">Сборка шкафа</x:t>
        </x:is>
      </x:c>
      <x:c r="H1880" s="31" t="inlineStr">
        <x:is>
          <x:t xml:space="preserve">Сборка</x:t>
        </x:is>
      </x:c>
      <x:c r="I1880" s="31" t="inlineStr">
        <x:is>
          <x:t xml:space="preserve">ОБ-005</x:t>
        </x:is>
      </x:c>
      <x:c r="J1880" s="31" t="inlineStr">
        <x:is>
          <x:t xml:space="preserve">СОТР-080</x:t>
        </x:is>
      </x:c>
      <x:c r="K1880" s="31" t="n">
        <x:v>12.8</x:v>
      </x:c>
      <x:c r="L1880" s="31" t="n"/>
      <x:c r="M1880" s="31" t="n">
        <x:v>46203</x:v>
      </x:c>
      <x:c r="N1880" s="31" t="n">
        <x:v>46205</x:v>
      </x:c>
      <x:c r="O1880" s="31" t="n"/>
      <x:c r="P1880" s="31" t="n"/>
      <x:c r="Q1880" s="31" t="inlineStr">
        <x:is>
          <x:t xml:space="preserve">Запланировано</x:t>
        </x:is>
      </x:c>
      <x:c r="R1880" s="31" t="inlineStr">
        <x:is>
          <x:t xml:space="preserve">Нет</x:t>
        </x:is>
      </x:c>
      <x:c r="S1880" s="31" t="inlineStr">
        <x:is>
          <x:t xml:space="preserve">Нет</x:t>
        </x:is>
      </x:c>
    </x:row>
    <x:row r="1881">
      <x:c r="A1881" s="31" t="inlineStr">
        <x:is>
          <x:t xml:space="preserve">ОП-001880</x:t>
        </x:is>
      </x:c>
      <x:c r="B1881" s="31" t="inlineStr">
        <x:is>
          <x:t xml:space="preserve">ПЗ-00224</x:t>
        </x:is>
      </x:c>
      <x:c r="C1881" s="31" t="inlineStr">
        <x:is>
          <x:t xml:space="preserve">ЗК-1109</x:t>
        </x:is>
      </x:c>
      <x:c r="D1881" s="31" t="inlineStr">
        <x:is>
          <x:t xml:space="preserve">ПОЗ-0109-3</x:t>
        </x:is>
      </x:c>
      <x:c r="E1881" s="31" t="inlineStr">
        <x:is>
          <x:t xml:space="preserve">ИЗД-002</x:t>
        </x:is>
      </x:c>
      <x:c r="F1881" s="31" t="n">
        <x:v>40</x:v>
      </x:c>
      <x:c r="G1881" s="31" t="inlineStr">
        <x:is>
          <x:t xml:space="preserve">Маркировка</x:t>
        </x:is>
      </x:c>
      <x:c r="H1881" s="31" t="inlineStr">
        <x:is>
          <x:t xml:space="preserve">Сборка</x:t>
        </x:is>
      </x:c>
      <x:c r="I1881" s="31" t="inlineStr">
        <x:is>
          <x:t xml:space="preserve">ОБ-012</x:t>
        </x:is>
      </x:c>
      <x:c r="J1881" s="31" t="inlineStr">
        <x:is>
          <x:t xml:space="preserve">СОТР-083</x:t>
        </x:is>
      </x:c>
      <x:c r="K1881" s="31" t="n">
        <x:v>28.4</x:v>
      </x:c>
      <x:c r="L1881" s="31" t="n">
        <x:v>26</x:v>
      </x:c>
      <x:c r="M1881" s="31" t="n">
        <x:v>46205</x:v>
      </x:c>
      <x:c r="N1881" s="31" t="n">
        <x:v>46208</x:v>
      </x:c>
      <x:c r="O1881" s="31" t="n">
        <x:v>46205</x:v>
      </x:c>
      <x:c r="P1881" s="31" t="n">
        <x:v>46209</x:v>
      </x:c>
      <x:c r="Q1881" s="31" t="inlineStr">
        <x:is>
          <x:t xml:space="preserve">Завершено</x:t>
        </x:is>
      </x:c>
      <x:c r="R1881" s="31" t="inlineStr">
        <x:is>
          <x:t xml:space="preserve">Нет</x:t>
        </x:is>
      </x:c>
      <x:c r="S1881" s="31" t="inlineStr">
        <x:is>
          <x:t xml:space="preserve">Нет</x:t>
        </x:is>
      </x:c>
    </x:row>
    <x:row r="1882">
      <x:c r="A1882" s="31" t="inlineStr">
        <x:is>
          <x:t xml:space="preserve">ОП-001881</x:t>
        </x:is>
      </x:c>
      <x:c r="B1882" s="31" t="inlineStr">
        <x:is>
          <x:t xml:space="preserve">ПЗ-00224</x:t>
        </x:is>
      </x:c>
      <x:c r="C1882" s="31" t="inlineStr">
        <x:is>
          <x:t xml:space="preserve">ЗК-1109</x:t>
        </x:is>
      </x:c>
      <x:c r="D1882" s="31" t="inlineStr">
        <x:is>
          <x:t xml:space="preserve">ПОЗ-0109-3</x:t>
        </x:is>
      </x:c>
      <x:c r="E1882" s="31" t="inlineStr">
        <x:is>
          <x:t xml:space="preserve">ИЗД-002</x:t>
        </x:is>
      </x:c>
      <x:c r="F1882" s="31" t="n">
        <x:v>50</x:v>
      </x:c>
      <x:c r="G1882" s="31" t="inlineStr">
        <x:is>
          <x:t xml:space="preserve">Электромонтаж</x:t>
        </x:is>
      </x:c>
      <x:c r="H1882" s="31" t="inlineStr">
        <x:is>
          <x:t xml:space="preserve">Сборка</x:t>
        </x:is>
      </x:c>
      <x:c r="I1882" s="31" t="inlineStr">
        <x:is>
          <x:t xml:space="preserve">ОБ-014</x:t>
        </x:is>
      </x:c>
      <x:c r="J1882" s="31" t="inlineStr">
        <x:is>
          <x:t xml:space="preserve">СОТР-086</x:t>
        </x:is>
      </x:c>
      <x:c r="K1882" s="31" t="n">
        <x:v>6</x:v>
      </x:c>
      <x:c r="L1882" s="31" t="n">
        <x:v>4.9</x:v>
      </x:c>
      <x:c r="M1882" s="31" t="n">
        <x:v>46208</x:v>
      </x:c>
      <x:c r="N1882" s="31" t="n">
        <x:v>46209</x:v>
      </x:c>
      <x:c r="O1882" s="31" t="n">
        <x:v>46208</x:v>
      </x:c>
      <x:c r="P1882" s="31" t="n">
        <x:v>46210</x:v>
      </x:c>
      <x:c r="Q1882" s="31" t="inlineStr">
        <x:is>
          <x:t xml:space="preserve">Завершено</x:t>
        </x:is>
      </x:c>
      <x:c r="R1882" s="31" t="inlineStr">
        <x:is>
          <x:t xml:space="preserve">Нет</x:t>
        </x:is>
      </x:c>
      <x:c r="S1882" s="31" t="inlineStr">
        <x:is>
          <x:t xml:space="preserve">Нет</x:t>
        </x:is>
      </x:c>
    </x:row>
    <x:row r="1883">
      <x:c r="A1883" s="31" t="inlineStr">
        <x:is>
          <x:t xml:space="preserve">ОП-001882</x:t>
        </x:is>
      </x:c>
      <x:c r="B1883" s="31" t="inlineStr">
        <x:is>
          <x:t xml:space="preserve">ПЗ-00224</x:t>
        </x:is>
      </x:c>
      <x:c r="C1883" s="31" t="inlineStr">
        <x:is>
          <x:t xml:space="preserve">ЗК-1109</x:t>
        </x:is>
      </x:c>
      <x:c r="D1883" s="31" t="inlineStr">
        <x:is>
          <x:t xml:space="preserve">ПОЗ-0109-3</x:t>
        </x:is>
      </x:c>
      <x:c r="E1883" s="31" t="inlineStr">
        <x:is>
          <x:t xml:space="preserve">ИЗД-002</x:t>
        </x:is>
      </x:c>
      <x:c r="F1883" s="31" t="n">
        <x:v>60</x:v>
      </x:c>
      <x:c r="G1883" s="31" t="inlineStr">
        <x:is>
          <x:t xml:space="preserve">Программирование ПЛК</x:t>
        </x:is>
      </x:c>
      <x:c r="H1883" s="31" t="inlineStr">
        <x:is>
          <x:t xml:space="preserve">Инженерный отдел</x:t>
        </x:is>
      </x:c>
      <x:c r="I1883" s="31" t="n"/>
      <x:c r="J1883" s="31" t="inlineStr">
        <x:is>
          <x:t xml:space="preserve">СОТР-014</x:t>
        </x:is>
      </x:c>
      <x:c r="K1883" s="31" t="n">
        <x:v>28.4</x:v>
      </x:c>
      <x:c r="L1883" s="31" t="n">
        <x:v>34.6</x:v>
      </x:c>
      <x:c r="M1883" s="31" t="n">
        <x:v>46209</x:v>
      </x:c>
      <x:c r="N1883" s="31" t="n">
        <x:v>46212</x:v>
      </x:c>
      <x:c r="O1883" s="31" t="n">
        <x:v>46209</x:v>
      </x:c>
      <x:c r="P1883" s="31" t="n">
        <x:v>46211</x:v>
      </x:c>
      <x:c r="Q1883" s="31" t="inlineStr">
        <x:is>
          <x:t xml:space="preserve">Завершено</x:t>
        </x:is>
      </x:c>
      <x:c r="R1883" s="31" t="inlineStr">
        <x:is>
          <x:t xml:space="preserve">Нет</x:t>
        </x:is>
      </x:c>
      <x:c r="S1883" s="31" t="inlineStr">
        <x:is>
          <x:t xml:space="preserve">Нет</x:t>
        </x:is>
      </x:c>
    </x:row>
    <x:row r="1884">
      <x:c r="A1884" s="31" t="inlineStr">
        <x:is>
          <x:t xml:space="preserve">ОП-001883</x:t>
        </x:is>
      </x:c>
      <x:c r="B1884" s="31" t="inlineStr">
        <x:is>
          <x:t xml:space="preserve">ПЗ-00224</x:t>
        </x:is>
      </x:c>
      <x:c r="C1884" s="31" t="inlineStr">
        <x:is>
          <x:t xml:space="preserve">ЗК-1109</x:t>
        </x:is>
      </x:c>
      <x:c r="D1884" s="31" t="inlineStr">
        <x:is>
          <x:t xml:space="preserve">ПОЗ-0109-3</x:t>
        </x:is>
      </x:c>
      <x:c r="E1884" s="31" t="inlineStr">
        <x:is>
          <x:t xml:space="preserve">ИЗД-002</x:t>
        </x:is>
      </x:c>
      <x:c r="F1884" s="31" t="n">
        <x:v>70</x:v>
      </x:c>
      <x:c r="G1884" s="31" t="inlineStr">
        <x:is>
          <x:t xml:space="preserve">Приемочные испытания</x:t>
        </x:is>
      </x:c>
      <x:c r="H1884" s="31" t="inlineStr">
        <x:is>
          <x:t xml:space="preserve">ОТК</x:t>
        </x:is>
      </x:c>
      <x:c r="I1884" s="31" t="inlineStr">
        <x:is>
          <x:t xml:space="preserve">ОБ-015</x:t>
        </x:is>
      </x:c>
      <x:c r="J1884" s="31" t="inlineStr">
        <x:is>
          <x:t xml:space="preserve">СОТР-100</x:t>
        </x:is>
      </x:c>
      <x:c r="K1884" s="31" t="n">
        <x:v>24.4</x:v>
      </x:c>
      <x:c r="L1884" s="31" t="n"/>
      <x:c r="M1884" s="31" t="n">
        <x:v>46212</x:v>
      </x:c>
      <x:c r="N1884" s="31" t="n">
        <x:v>46215</x:v>
      </x:c>
      <x:c r="O1884" s="31" t="n"/>
      <x:c r="P1884" s="31" t="n"/>
      <x:c r="Q1884" s="31" t="inlineStr">
        <x:is>
          <x:t xml:space="preserve">Запланировано</x:t>
        </x:is>
      </x:c>
      <x:c r="R1884" s="31" t="inlineStr">
        <x:is>
          <x:t xml:space="preserve">Нет</x:t>
        </x:is>
      </x:c>
      <x:c r="S1884" s="31" t="inlineStr">
        <x:is>
          <x:t xml:space="preserve">Нет</x:t>
        </x:is>
      </x:c>
    </x:row>
    <x:row r="1885">
      <x:c r="A1885" s="31" t="inlineStr">
        <x:is>
          <x:t xml:space="preserve">ОП-001884</x:t>
        </x:is>
      </x:c>
      <x:c r="B1885" s="31" t="inlineStr">
        <x:is>
          <x:t xml:space="preserve">ПЗ-00224</x:t>
        </x:is>
      </x:c>
      <x:c r="C1885" s="31" t="inlineStr">
        <x:is>
          <x:t xml:space="preserve">ЗК-1109</x:t>
        </x:is>
      </x:c>
      <x:c r="D1885" s="31" t="inlineStr">
        <x:is>
          <x:t xml:space="preserve">ПОЗ-0109-3</x:t>
        </x:is>
      </x:c>
      <x:c r="E1885" s="31" t="inlineStr">
        <x:is>
          <x:t xml:space="preserve">ИЗД-002</x:t>
        </x:is>
      </x:c>
      <x:c r="F1885" s="31" t="n">
        <x:v>80</x:v>
      </x:c>
      <x:c r="G1885" s="31" t="inlineStr">
        <x:is>
          <x:t xml:space="preserve">ОТК</x:t>
        </x:is>
      </x:c>
      <x:c r="H1885" s="31" t="inlineStr">
        <x:is>
          <x:t xml:space="preserve">ОТК</x:t>
        </x:is>
      </x:c>
      <x:c r="I1885" s="31" t="inlineStr">
        <x:is>
          <x:t xml:space="preserve">ОБ-001</x:t>
        </x:is>
      </x:c>
      <x:c r="J1885" s="31" t="inlineStr">
        <x:is>
          <x:t xml:space="preserve">СОТР-096</x:t>
        </x:is>
      </x:c>
      <x:c r="K1885" s="31" t="n">
        <x:v>24.8</x:v>
      </x:c>
      <x:c r="L1885" s="31" t="n"/>
      <x:c r="M1885" s="31" t="n">
        <x:v>46215</x:v>
      </x:c>
      <x:c r="N1885" s="31" t="n">
        <x:v>46218</x:v>
      </x:c>
      <x:c r="O1885" s="31" t="n"/>
      <x:c r="P1885" s="31" t="n"/>
      <x:c r="Q1885" s="31" t="inlineStr">
        <x:is>
          <x:t xml:space="preserve">Запланировано</x:t>
        </x:is>
      </x:c>
      <x:c r="R1885" s="31" t="inlineStr">
        <x:is>
          <x:t xml:space="preserve">Нет</x:t>
        </x:is>
      </x:c>
      <x:c r="S1885" s="31" t="inlineStr">
        <x:is>
          <x:t xml:space="preserve">Нет</x:t>
        </x:is>
      </x:c>
    </x:row>
    <x:row r="1886">
      <x:c r="A1886" s="31" t="inlineStr">
        <x:is>
          <x:t xml:space="preserve">ОП-001885</x:t>
        </x:is>
      </x:c>
      <x:c r="B1886" s="31" t="inlineStr">
        <x:is>
          <x:t xml:space="preserve">ПЗ-00224</x:t>
        </x:is>
      </x:c>
      <x:c r="C1886" s="31" t="inlineStr">
        <x:is>
          <x:t xml:space="preserve">ЗК-1109</x:t>
        </x:is>
      </x:c>
      <x:c r="D1886" s="31" t="inlineStr">
        <x:is>
          <x:t xml:space="preserve">ПОЗ-0109-3</x:t>
        </x:is>
      </x:c>
      <x:c r="E1886" s="31" t="inlineStr">
        <x:is>
          <x:t xml:space="preserve">ИЗД-002</x:t>
        </x:is>
      </x:c>
      <x:c r="F1886" s="31" t="n">
        <x:v>90</x:v>
      </x:c>
      <x:c r="G1886" s="31" t="inlineStr">
        <x:is>
          <x:t xml:space="preserve">Упаковка</x:t>
        </x:is>
      </x:c>
      <x:c r="H1886" s="31" t="inlineStr">
        <x:is>
          <x:t xml:space="preserve">Логистика</x:t>
        </x:is>
      </x:c>
      <x:c r="I1886" s="31" t="n"/>
      <x:c r="J1886" s="31" t="inlineStr">
        <x:is>
          <x:t xml:space="preserve">СОТР-105</x:t>
        </x:is>
      </x:c>
      <x:c r="K1886" s="31" t="n">
        <x:v>18</x:v>
      </x:c>
      <x:c r="L1886" s="31" t="n"/>
      <x:c r="M1886" s="31" t="n">
        <x:v>46218</x:v>
      </x:c>
      <x:c r="N1886" s="31" t="n">
        <x:v>46220</x:v>
      </x:c>
      <x:c r="O1886" s="31" t="n"/>
      <x:c r="P1886" s="31" t="n"/>
      <x:c r="Q1886" s="31" t="inlineStr">
        <x:is>
          <x:t xml:space="preserve">Запланировано</x:t>
        </x:is>
      </x:c>
      <x:c r="R1886" s="31" t="inlineStr">
        <x:is>
          <x:t xml:space="preserve">Нет</x:t>
        </x:is>
      </x:c>
      <x:c r="S1886" s="31" t="inlineStr">
        <x:is>
          <x:t xml:space="preserve">Нет</x:t>
        </x:is>
      </x:c>
    </x:row>
    <x:row r="1887">
      <x:c r="A1887" s="31" t="inlineStr">
        <x:is>
          <x:t xml:space="preserve">ОП-001886</x:t>
        </x:is>
      </x:c>
      <x:c r="B1887" s="31" t="inlineStr">
        <x:is>
          <x:t xml:space="preserve">ПЗ-00225</x:t>
        </x:is>
      </x:c>
      <x:c r="C1887" s="31" t="inlineStr">
        <x:is>
          <x:t xml:space="preserve">ЗК-1110</x:t>
        </x:is>
      </x:c>
      <x:c r="D1887" s="31" t="inlineStr">
        <x:is>
          <x:t xml:space="preserve">ПОЗ-0110-1</x:t>
        </x:is>
      </x:c>
      <x:c r="E1887" s="31" t="inlineStr">
        <x:is>
          <x:t xml:space="preserve">ИЗД-004</x:t>
        </x:is>
      </x:c>
      <x:c r="F1887" s="31" t="n">
        <x:v>10</x:v>
      </x:c>
      <x:c r="G1887" s="31" t="inlineStr">
        <x:is>
          <x:t xml:space="preserve">КД</x:t>
        </x:is>
      </x:c>
      <x:c r="H1887" s="31" t="inlineStr">
        <x:is>
          <x:t xml:space="preserve">Инженерный отдел</x:t>
        </x:is>
      </x:c>
      <x:c r="I1887" s="31" t="n"/>
      <x:c r="J1887" s="31" t="inlineStr">
        <x:is>
          <x:t xml:space="preserve">СОТР-019</x:t>
        </x:is>
      </x:c>
      <x:c r="K1887" s="31" t="n">
        <x:v>96</x:v>
      </x:c>
      <x:c r="L1887" s="31" t="n">
        <x:v>78.2</x:v>
      </x:c>
      <x:c r="M1887" s="31" t="n">
        <x:v>46193</x:v>
      </x:c>
      <x:c r="N1887" s="31" t="n">
        <x:v>46201</x:v>
      </x:c>
      <x:c r="O1887" s="31" t="n">
        <x:v>46193</x:v>
      </x:c>
      <x:c r="P1887" s="31" t="n">
        <x:v>46200</x:v>
      </x:c>
      <x:c r="Q1887" s="31" t="inlineStr">
        <x:is>
          <x:t xml:space="preserve">Завершено</x:t>
        </x:is>
      </x:c>
      <x:c r="R1887" s="31" t="inlineStr">
        <x:is>
          <x:t xml:space="preserve">Нет</x:t>
        </x:is>
      </x:c>
      <x:c r="S1887" s="31" t="inlineStr">
        <x:is>
          <x:t xml:space="preserve">Нет</x:t>
        </x:is>
      </x:c>
    </x:row>
    <x:row r="1888">
      <x:c r="A1888" s="31" t="inlineStr">
        <x:is>
          <x:t xml:space="preserve">ОП-001887</x:t>
        </x:is>
      </x:c>
      <x:c r="B1888" s="31" t="inlineStr">
        <x:is>
          <x:t xml:space="preserve">ПЗ-00225</x:t>
        </x:is>
      </x:c>
      <x:c r="C1888" s="31" t="inlineStr">
        <x:is>
          <x:t xml:space="preserve">ЗК-1110</x:t>
        </x:is>
      </x:c>
      <x:c r="D1888" s="31" t="inlineStr">
        <x:is>
          <x:t xml:space="preserve">ПОЗ-0110-1</x:t>
        </x:is>
      </x:c>
      <x:c r="E1888" s="31" t="inlineStr">
        <x:is>
          <x:t xml:space="preserve">ИЗД-004</x:t>
        </x:is>
      </x:c>
      <x:c r="F1888" s="31" t="n">
        <x:v>20</x:v>
      </x:c>
      <x:c r="G1888" s="31" t="inlineStr">
        <x:is>
          <x:t xml:space="preserve">Резерв материалов</x:t>
        </x:is>
      </x:c>
      <x:c r="H1888" s="31" t="inlineStr">
        <x:is>
          <x:t xml:space="preserve">Склад</x:t>
        </x:is>
      </x:c>
      <x:c r="I1888" s="31" t="inlineStr">
        <x:is>
          <x:t xml:space="preserve">ОБ-011</x:t>
        </x:is>
      </x:c>
      <x:c r="J1888" s="31" t="inlineStr">
        <x:is>
          <x:t xml:space="preserve">СОТР-036</x:t>
        </x:is>
      </x:c>
      <x:c r="K1888" s="31" t="n">
        <x:v>35.5</x:v>
      </x:c>
      <x:c r="L1888" s="31" t="n">
        <x:v>30.4</x:v>
      </x:c>
      <x:c r="M1888" s="31" t="n">
        <x:v>46201</x:v>
      </x:c>
      <x:c r="N1888" s="31" t="n">
        <x:v>46204</x:v>
      </x:c>
      <x:c r="O1888" s="31" t="n">
        <x:v>46201</x:v>
      </x:c>
      <x:c r="P1888" s="31" t="n">
        <x:v>46206</x:v>
      </x:c>
      <x:c r="Q1888" s="31" t="inlineStr">
        <x:is>
          <x:t xml:space="preserve">Завершено</x:t>
        </x:is>
      </x:c>
      <x:c r="R1888" s="31" t="inlineStr">
        <x:is>
          <x:t xml:space="preserve">Нет</x:t>
        </x:is>
      </x:c>
      <x:c r="S1888" s="31" t="inlineStr">
        <x:is>
          <x:t xml:space="preserve">Нет</x:t>
        </x:is>
      </x:c>
    </x:row>
    <x:row r="1889">
      <x:c r="A1889" s="31" t="inlineStr">
        <x:is>
          <x:t xml:space="preserve">ОП-001888</x:t>
        </x:is>
      </x:c>
      <x:c r="B1889" s="31" t="inlineStr">
        <x:is>
          <x:t xml:space="preserve">ПЗ-00225</x:t>
        </x:is>
      </x:c>
      <x:c r="C1889" s="31" t="inlineStr">
        <x:is>
          <x:t xml:space="preserve">ЗК-1110</x:t>
        </x:is>
      </x:c>
      <x:c r="D1889" s="31" t="inlineStr">
        <x:is>
          <x:t xml:space="preserve">ПОЗ-0110-1</x:t>
        </x:is>
      </x:c>
      <x:c r="E1889" s="31" t="inlineStr">
        <x:is>
          <x:t xml:space="preserve">ИЗД-004</x:t>
        </x:is>
      </x:c>
      <x:c r="F1889" s="31" t="n">
        <x:v>30</x:v>
      </x:c>
      <x:c r="G1889" s="31" t="inlineStr">
        <x:is>
          <x:t xml:space="preserve">Сварка рамы</x:t>
        </x:is>
      </x:c>
      <x:c r="H1889" s="31" t="inlineStr">
        <x:is>
          <x:t xml:space="preserve">Сварка</x:t>
        </x:is>
      </x:c>
      <x:c r="I1889" s="31" t="inlineStr">
        <x:is>
          <x:t xml:space="preserve">ОБ-021</x:t>
        </x:is>
      </x:c>
      <x:c r="J1889" s="31" t="inlineStr">
        <x:is>
          <x:t xml:space="preserve">СОТР-062</x:t>
        </x:is>
      </x:c>
      <x:c r="K1889" s="31" t="n">
        <x:v>63.5</x:v>
      </x:c>
      <x:c r="L1889" s="31" t="n">
        <x:v>76.2</x:v>
      </x:c>
      <x:c r="M1889" s="31" t="n">
        <x:v>46204</x:v>
      </x:c>
      <x:c r="N1889" s="31" t="n">
        <x:v>46210</x:v>
      </x:c>
      <x:c r="O1889" s="31" t="n">
        <x:v>46204</x:v>
      </x:c>
      <x:c r="P1889" s="31" t="n">
        <x:v>46212</x:v>
      </x:c>
      <x:c r="Q1889" s="31" t="inlineStr">
        <x:is>
          <x:t xml:space="preserve">Завершено</x:t>
        </x:is>
      </x:c>
      <x:c r="R1889" s="31" t="inlineStr">
        <x:is>
          <x:t xml:space="preserve">Нет</x:t>
        </x:is>
      </x:c>
      <x:c r="S1889" s="31" t="inlineStr">
        <x:is>
          <x:t xml:space="preserve">Нет</x:t>
        </x:is>
      </x:c>
    </x:row>
    <x:row r="1890">
      <x:c r="A1890" s="31" t="inlineStr">
        <x:is>
          <x:t xml:space="preserve">ОП-001889</x:t>
        </x:is>
      </x:c>
      <x:c r="B1890" s="31" t="inlineStr">
        <x:is>
          <x:t xml:space="preserve">ПЗ-00225</x:t>
        </x:is>
      </x:c>
      <x:c r="C1890" s="31" t="inlineStr">
        <x:is>
          <x:t xml:space="preserve">ЗК-1110</x:t>
        </x:is>
      </x:c>
      <x:c r="D1890" s="31" t="inlineStr">
        <x:is>
          <x:t xml:space="preserve">ПОЗ-0110-1</x:t>
        </x:is>
      </x:c>
      <x:c r="E1890" s="31" t="inlineStr">
        <x:is>
          <x:t xml:space="preserve">ИЗД-004</x:t>
        </x:is>
      </x:c>
      <x:c r="F1890" s="31" t="n">
        <x:v>40</x:v>
      </x:c>
      <x:c r="G1890" s="31" t="inlineStr">
        <x:is>
          <x:t xml:space="preserve">Сборка</x:t>
        </x:is>
      </x:c>
      <x:c r="H1890" s="31" t="inlineStr">
        <x:is>
          <x:t xml:space="preserve">Сборка</x:t>
        </x:is>
      </x:c>
      <x:c r="I1890" s="31" t="inlineStr">
        <x:is>
          <x:t xml:space="preserve">ОБ-034</x:t>
        </x:is>
      </x:c>
      <x:c r="J1890" s="31" t="inlineStr">
        <x:is>
          <x:t xml:space="preserve">СОТР-091</x:t>
        </x:is>
      </x:c>
      <x:c r="K1890" s="31" t="n">
        <x:v>27</x:v>
      </x:c>
      <x:c r="L1890" s="31" t="n">
        <x:v>35.6</x:v>
      </x:c>
      <x:c r="M1890" s="31" t="n">
        <x:v>46210</x:v>
      </x:c>
      <x:c r="N1890" s="31" t="n">
        <x:v>46213</x:v>
      </x:c>
      <x:c r="O1890" s="31" t="n">
        <x:v>46210</x:v>
      </x:c>
      <x:c r="P1890" s="31" t="n">
        <x:v>46215</x:v>
      </x:c>
      <x:c r="Q1890" s="31" t="inlineStr">
        <x:is>
          <x:t xml:space="preserve">Завершено</x:t>
        </x:is>
      </x:c>
      <x:c r="R1890" s="31" t="inlineStr">
        <x:is>
          <x:t xml:space="preserve">Нет</x:t>
        </x:is>
      </x:c>
      <x:c r="S1890" s="31" t="inlineStr">
        <x:is>
          <x:t xml:space="preserve">Нет</x:t>
        </x:is>
      </x:c>
    </x:row>
    <x:row r="1891">
      <x:c r="A1891" s="31" t="inlineStr">
        <x:is>
          <x:t xml:space="preserve">ОП-001890</x:t>
        </x:is>
      </x:c>
      <x:c r="B1891" s="31" t="inlineStr">
        <x:is>
          <x:t xml:space="preserve">ПЗ-00225</x:t>
        </x:is>
      </x:c>
      <x:c r="C1891" s="31" t="inlineStr">
        <x:is>
          <x:t xml:space="preserve">ЗК-1110</x:t>
        </x:is>
      </x:c>
      <x:c r="D1891" s="31" t="inlineStr">
        <x:is>
          <x:t xml:space="preserve">ПОЗ-0110-1</x:t>
        </x:is>
      </x:c>
      <x:c r="E1891" s="31" t="inlineStr">
        <x:is>
          <x:t xml:space="preserve">ИЗД-004</x:t>
        </x:is>
      </x:c>
      <x:c r="F1891" s="31" t="n">
        <x:v>50</x:v>
      </x:c>
      <x:c r="G1891" s="31" t="inlineStr">
        <x:is>
          <x:t xml:space="preserve">Обвязка труб</x:t>
        </x:is>
      </x:c>
      <x:c r="H1891" s="31" t="inlineStr">
        <x:is>
          <x:t xml:space="preserve">Сборка</x:t>
        </x:is>
      </x:c>
      <x:c r="I1891" s="31" t="inlineStr">
        <x:is>
          <x:t xml:space="preserve">ОБ-027</x:t>
        </x:is>
      </x:c>
      <x:c r="J1891" s="31" t="inlineStr">
        <x:is>
          <x:t xml:space="preserve">СОТР-083</x:t>
        </x:is>
      </x:c>
      <x:c r="K1891" s="31" t="n">
        <x:v>92.5</x:v>
      </x:c>
      <x:c r="L1891" s="31" t="n">
        <x:v>102.6</x:v>
      </x:c>
      <x:c r="M1891" s="31" t="n">
        <x:v>46213</x:v>
      </x:c>
      <x:c r="N1891" s="31" t="n">
        <x:v>46221</x:v>
      </x:c>
      <x:c r="O1891" s="31" t="n">
        <x:v>46213</x:v>
      </x:c>
      <x:c r="P1891" s="31" t="n">
        <x:v>46222</x:v>
      </x:c>
      <x:c r="Q1891" s="31" t="inlineStr">
        <x:is>
          <x:t xml:space="preserve">Завершено</x:t>
        </x:is>
      </x:c>
      <x:c r="R1891" s="31" t="inlineStr">
        <x:is>
          <x:t xml:space="preserve">Нет</x:t>
        </x:is>
      </x:c>
      <x:c r="S1891" s="31" t="inlineStr">
        <x:is>
          <x:t xml:space="preserve">Нет</x:t>
        </x:is>
      </x:c>
    </x:row>
    <x:row r="1892">
      <x:c r="A1892" s="31" t="inlineStr">
        <x:is>
          <x:t xml:space="preserve">ОП-001891</x:t>
        </x:is>
      </x:c>
      <x:c r="B1892" s="31" t="inlineStr">
        <x:is>
          <x:t xml:space="preserve">ПЗ-00225</x:t>
        </x:is>
      </x:c>
      <x:c r="C1892" s="31" t="inlineStr">
        <x:is>
          <x:t xml:space="preserve">ЗК-1110</x:t>
        </x:is>
      </x:c>
      <x:c r="D1892" s="31" t="inlineStr">
        <x:is>
          <x:t xml:space="preserve">ПОЗ-0110-1</x:t>
        </x:is>
      </x:c>
      <x:c r="E1892" s="31" t="inlineStr">
        <x:is>
          <x:t xml:space="preserve">ИЗД-004</x:t>
        </x:is>
      </x:c>
      <x:c r="F1892" s="31" t="n">
        <x:v>60</x:v>
      </x:c>
      <x:c r="G1892" s="31" t="inlineStr">
        <x:is>
          <x:t xml:space="preserve">Электромонтаж</x:t>
        </x:is>
      </x:c>
      <x:c r="H1892" s="31" t="inlineStr">
        <x:is>
          <x:t xml:space="preserve">Сборка</x:t>
        </x:is>
      </x:c>
      <x:c r="I1892" s="31" t="inlineStr">
        <x:is>
          <x:t xml:space="preserve">ОБ-016</x:t>
        </x:is>
      </x:c>
      <x:c r="J1892" s="31" t="inlineStr">
        <x:is>
          <x:t xml:space="preserve">СОТР-083</x:t>
        </x:is>
      </x:c>
      <x:c r="K1892" s="31" t="n">
        <x:v>11</x:v>
      </x:c>
      <x:c r="L1892" s="31" t="n">
        <x:v>14.7</x:v>
      </x:c>
      <x:c r="M1892" s="31" t="n">
        <x:v>46221</x:v>
      </x:c>
      <x:c r="N1892" s="31" t="n">
        <x:v>46222</x:v>
      </x:c>
      <x:c r="O1892" s="31" t="n">
        <x:v>46221</x:v>
      </x:c>
      <x:c r="P1892" s="31" t="n">
        <x:v>46222</x:v>
      </x:c>
      <x:c r="Q1892" s="31" t="inlineStr">
        <x:is>
          <x:t xml:space="preserve">Завершено</x:t>
        </x:is>
      </x:c>
      <x:c r="R1892" s="31" t="inlineStr">
        <x:is>
          <x:t xml:space="preserve">Нет</x:t>
        </x:is>
      </x:c>
      <x:c r="S1892" s="31" t="inlineStr">
        <x:is>
          <x:t xml:space="preserve">Да</x:t>
        </x:is>
      </x:c>
    </x:row>
    <x:row r="1893">
      <x:c r="A1893" s="31" t="inlineStr">
        <x:is>
          <x:t xml:space="preserve">ОП-001892</x:t>
        </x:is>
      </x:c>
      <x:c r="B1893" s="31" t="inlineStr">
        <x:is>
          <x:t xml:space="preserve">ПЗ-00225</x:t>
        </x:is>
      </x:c>
      <x:c r="C1893" s="31" t="inlineStr">
        <x:is>
          <x:t xml:space="preserve">ЗК-1110</x:t>
        </x:is>
      </x:c>
      <x:c r="D1893" s="31" t="inlineStr">
        <x:is>
          <x:t xml:space="preserve">ПОЗ-0110-1</x:t>
        </x:is>
      </x:c>
      <x:c r="E1893" s="31" t="inlineStr">
        <x:is>
          <x:t xml:space="preserve">ИЗД-004</x:t>
        </x:is>
      </x:c>
      <x:c r="F1893" s="31" t="n">
        <x:v>70</x:v>
      </x:c>
      <x:c r="G1893" s="31" t="inlineStr">
        <x:is>
          <x:t xml:space="preserve">Гидроиспытания</x:t>
        </x:is>
      </x:c>
      <x:c r="H1893" s="31" t="inlineStr">
        <x:is>
          <x:t xml:space="preserve">ОТК</x:t>
        </x:is>
      </x:c>
      <x:c r="I1893" s="31" t="inlineStr">
        <x:is>
          <x:t xml:space="preserve">ОБ-015</x:t>
        </x:is>
      </x:c>
      <x:c r="J1893" s="31" t="inlineStr">
        <x:is>
          <x:t xml:space="preserve">СОТР-098</x:t>
        </x:is>
      </x:c>
      <x:c r="K1893" s="31" t="n">
        <x:v>95.5</x:v>
      </x:c>
      <x:c r="L1893" s="31" t="n">
        <x:v>77.40000000000001</x:v>
      </x:c>
      <x:c r="M1893" s="31" t="n">
        <x:v>46222</x:v>
      </x:c>
      <x:c r="N1893" s="31" t="n">
        <x:v>46230</x:v>
      </x:c>
      <x:c r="O1893" s="31" t="n">
        <x:v>46222</x:v>
      </x:c>
      <x:c r="P1893" s="31" t="n">
        <x:v>46231</x:v>
      </x:c>
      <x:c r="Q1893" s="31" t="inlineStr">
        <x:is>
          <x:t xml:space="preserve">Завершено</x:t>
        </x:is>
      </x:c>
      <x:c r="R1893" s="31" t="inlineStr">
        <x:is>
          <x:t xml:space="preserve">Ожидание ОТК</x:t>
        </x:is>
      </x:c>
      <x:c r="S1893" s="31" t="inlineStr">
        <x:is>
          <x:t xml:space="preserve">Да</x:t>
        </x:is>
      </x:c>
    </x:row>
    <x:row r="1894">
      <x:c r="A1894" s="31" t="inlineStr">
        <x:is>
          <x:t xml:space="preserve">ОП-001893</x:t>
        </x:is>
      </x:c>
      <x:c r="B1894" s="31" t="inlineStr">
        <x:is>
          <x:t xml:space="preserve">ПЗ-00225</x:t>
        </x:is>
      </x:c>
      <x:c r="C1894" s="31" t="inlineStr">
        <x:is>
          <x:t xml:space="preserve">ЗК-1110</x:t>
        </x:is>
      </x:c>
      <x:c r="D1894" s="31" t="inlineStr">
        <x:is>
          <x:t xml:space="preserve">ПОЗ-0110-1</x:t>
        </x:is>
      </x:c>
      <x:c r="E1894" s="31" t="inlineStr">
        <x:is>
          <x:t xml:space="preserve">ИЗД-004</x:t>
        </x:is>
      </x:c>
      <x:c r="F1894" s="31" t="n">
        <x:v>80</x:v>
      </x:c>
      <x:c r="G1894" s="31" t="inlineStr">
        <x:is>
          <x:t xml:space="preserve">ОТК</x:t>
        </x:is>
      </x:c>
      <x:c r="H1894" s="31" t="inlineStr">
        <x:is>
          <x:t xml:space="preserve">ОТК</x:t>
        </x:is>
      </x:c>
      <x:c r="I1894" s="31" t="inlineStr">
        <x:is>
          <x:t xml:space="preserve">ОБ-022</x:t>
        </x:is>
      </x:c>
      <x:c r="J1894" s="31" t="inlineStr">
        <x:is>
          <x:t xml:space="preserve">СОТР-097</x:t>
        </x:is>
      </x:c>
      <x:c r="K1894" s="31" t="n">
        <x:v>27</x:v>
      </x:c>
      <x:c r="L1894" s="31" t="n">
        <x:v>31.2</x:v>
      </x:c>
      <x:c r="M1894" s="31" t="n">
        <x:v>46230</x:v>
      </x:c>
      <x:c r="N1894" s="31" t="n">
        <x:v>46233</x:v>
      </x:c>
      <x:c r="O1894" s="31" t="n">
        <x:v>46230</x:v>
      </x:c>
      <x:c r="P1894" s="31" t="n">
        <x:v>46232</x:v>
      </x:c>
      <x:c r="Q1894" s="31" t="inlineStr">
        <x:is>
          <x:t xml:space="preserve">Завершено</x:t>
        </x:is>
      </x:c>
      <x:c r="R1894" s="31" t="inlineStr">
        <x:is>
          <x:t xml:space="preserve">Нет</x:t>
        </x:is>
      </x:c>
      <x:c r="S1894" s="31" t="inlineStr">
        <x:is>
          <x:t xml:space="preserve">Нет</x:t>
        </x:is>
      </x:c>
    </x:row>
    <x:row r="1895">
      <x:c r="A1895" s="31" t="inlineStr">
        <x:is>
          <x:t xml:space="preserve">ОП-001894</x:t>
        </x:is>
      </x:c>
      <x:c r="B1895" s="31" t="inlineStr">
        <x:is>
          <x:t xml:space="preserve">ПЗ-00225</x:t>
        </x:is>
      </x:c>
      <x:c r="C1895" s="31" t="inlineStr">
        <x:is>
          <x:t xml:space="preserve">ЗК-1110</x:t>
        </x:is>
      </x:c>
      <x:c r="D1895" s="31" t="inlineStr">
        <x:is>
          <x:t xml:space="preserve">ПОЗ-0110-1</x:t>
        </x:is>
      </x:c>
      <x:c r="E1895" s="31" t="inlineStr">
        <x:is>
          <x:t xml:space="preserve">ИЗД-004</x:t>
        </x:is>
      </x:c>
      <x:c r="F1895" s="31" t="n">
        <x:v>90</x:v>
      </x:c>
      <x:c r="G1895" s="31" t="inlineStr">
        <x:is>
          <x:t xml:space="preserve">Упаковка</x:t>
        </x:is>
      </x:c>
      <x:c r="H1895" s="31" t="inlineStr">
        <x:is>
          <x:t xml:space="preserve">Логистика</x:t>
        </x:is>
      </x:c>
      <x:c r="I1895" s="31" t="n"/>
      <x:c r="J1895" s="31" t="inlineStr">
        <x:is>
          <x:t xml:space="preserve">СОТР-105</x:t>
        </x:is>
      </x:c>
      <x:c r="K1895" s="31" t="n">
        <x:v>68.5</x:v>
      </x:c>
      <x:c r="L1895" s="31" t="n">
        <x:v>67.7</x:v>
      </x:c>
      <x:c r="M1895" s="31" t="n">
        <x:v>46233</x:v>
      </x:c>
      <x:c r="N1895" s="31" t="n">
        <x:v>46239</x:v>
      </x:c>
      <x:c r="O1895" s="31" t="n">
        <x:v>46233</x:v>
      </x:c>
      <x:c r="P1895" s="31" t="n">
        <x:v>46241</x:v>
      </x:c>
      <x:c r="Q1895" s="31" t="inlineStr">
        <x:is>
          <x:t xml:space="preserve">Завершено</x:t>
        </x:is>
      </x:c>
      <x:c r="R1895" s="31" t="inlineStr">
        <x:is>
          <x:t xml:space="preserve">Нет</x:t>
        </x:is>
      </x:c>
      <x:c r="S1895" s="31" t="inlineStr">
        <x:is>
          <x:t xml:space="preserve">Нет</x:t>
        </x:is>
      </x:c>
    </x:row>
    <x:row r="1896">
      <x:c r="A1896" s="31" t="inlineStr">
        <x:is>
          <x:t xml:space="preserve">ОП-001895</x:t>
        </x:is>
      </x:c>
      <x:c r="B1896" s="31" t="inlineStr">
        <x:is>
          <x:t xml:space="preserve">ПЗ-00226</x:t>
        </x:is>
      </x:c>
      <x:c r="C1896" s="31" t="inlineStr">
        <x:is>
          <x:t xml:space="preserve">ЗК-1110</x:t>
        </x:is>
      </x:c>
      <x:c r="D1896" s="31" t="inlineStr">
        <x:is>
          <x:t xml:space="preserve">ПОЗ-0110-2</x:t>
        </x:is>
      </x:c>
      <x:c r="E1896" s="31" t="inlineStr">
        <x:is>
          <x:t xml:space="preserve">ИЗД-013</x:t>
        </x:is>
      </x:c>
      <x:c r="F1896" s="31" t="n">
        <x:v>10</x:v>
      </x:c>
      <x:c r="G1896" s="31" t="inlineStr">
        <x:is>
          <x:t xml:space="preserve">КД</x:t>
        </x:is>
      </x:c>
      <x:c r="H1896" s="31" t="inlineStr">
        <x:is>
          <x:t xml:space="preserve">Инженерный отдел</x:t>
        </x:is>
      </x:c>
      <x:c r="I1896" s="31" t="n"/>
      <x:c r="J1896" s="31" t="inlineStr">
        <x:is>
          <x:t xml:space="preserve">СОТР-011</x:t>
        </x:is>
      </x:c>
      <x:c r="K1896" s="31" t="n">
        <x:v>71.59999999999999</x:v>
      </x:c>
      <x:c r="L1896" s="31" t="n">
        <x:v>59.5</x:v>
      </x:c>
      <x:c r="M1896" s="31" t="n">
        <x:v>46187</x:v>
      </x:c>
      <x:c r="N1896" s="31" t="n">
        <x:v>46193</x:v>
      </x:c>
      <x:c r="O1896" s="31" t="n">
        <x:v>46187</x:v>
      </x:c>
      <x:c r="P1896" s="31" t="n">
        <x:v>46194</x:v>
      </x:c>
      <x:c r="Q1896" s="31" t="inlineStr">
        <x:is>
          <x:t xml:space="preserve">Завершено</x:t>
        </x:is>
      </x:c>
      <x:c r="R1896" s="31" t="inlineStr">
        <x:is>
          <x:t xml:space="preserve">Материал</x:t>
        </x:is>
      </x:c>
      <x:c r="S1896" s="31" t="inlineStr">
        <x:is>
          <x:t xml:space="preserve">Да</x:t>
        </x:is>
      </x:c>
    </x:row>
    <x:row r="1897">
      <x:c r="A1897" s="31" t="inlineStr">
        <x:is>
          <x:t xml:space="preserve">ОП-001896</x:t>
        </x:is>
      </x:c>
      <x:c r="B1897" s="31" t="inlineStr">
        <x:is>
          <x:t xml:space="preserve">ПЗ-00226</x:t>
        </x:is>
      </x:c>
      <x:c r="C1897" s="31" t="inlineStr">
        <x:is>
          <x:t xml:space="preserve">ЗК-1110</x:t>
        </x:is>
      </x:c>
      <x:c r="D1897" s="31" t="inlineStr">
        <x:is>
          <x:t xml:space="preserve">ПОЗ-0110-2</x:t>
        </x:is>
      </x:c>
      <x:c r="E1897" s="31" t="inlineStr">
        <x:is>
          <x:t xml:space="preserve">ИЗД-013</x:t>
        </x:is>
      </x:c>
      <x:c r="F1897" s="31" t="n">
        <x:v>20</x:v>
      </x:c>
      <x:c r="G1897" s="31" t="inlineStr">
        <x:is>
          <x:t xml:space="preserve">Резка металла</x:t>
        </x:is>
      </x:c>
      <x:c r="H1897" s="31" t="inlineStr">
        <x:is>
          <x:t xml:space="preserve">Сварка</x:t>
        </x:is>
      </x:c>
      <x:c r="I1897" s="31" t="inlineStr">
        <x:is>
          <x:t xml:space="preserve">ОБ-021</x:t>
        </x:is>
      </x:c>
      <x:c r="J1897" s="31" t="inlineStr">
        <x:is>
          <x:t xml:space="preserve">СОТР-065</x:t>
        </x:is>
      </x:c>
      <x:c r="K1897" s="31" t="n">
        <x:v>40.8</x:v>
      </x:c>
      <x:c r="L1897" s="31" t="n">
        <x:v>52.2</x:v>
      </x:c>
      <x:c r="M1897" s="31" t="n">
        <x:v>46193</x:v>
      </x:c>
      <x:c r="N1897" s="31" t="n">
        <x:v>46197</x:v>
      </x:c>
      <x:c r="O1897" s="31" t="n">
        <x:v>46193</x:v>
      </x:c>
      <x:c r="P1897" s="31" t="n">
        <x:v>46198</x:v>
      </x:c>
      <x:c r="Q1897" s="31" t="inlineStr">
        <x:is>
          <x:t xml:space="preserve">Завершено</x:t>
        </x:is>
      </x:c>
      <x:c r="R1897" s="31" t="inlineStr">
        <x:is>
          <x:t xml:space="preserve">КД</x:t>
        </x:is>
      </x:c>
      <x:c r="S1897" s="31" t="inlineStr">
        <x:is>
          <x:t xml:space="preserve">Нет</x:t>
        </x:is>
      </x:c>
    </x:row>
    <x:row r="1898">
      <x:c r="A1898" s="31" t="inlineStr">
        <x:is>
          <x:t xml:space="preserve">ОП-001897</x:t>
        </x:is>
      </x:c>
      <x:c r="B1898" s="31" t="inlineStr">
        <x:is>
          <x:t xml:space="preserve">ПЗ-00226</x:t>
        </x:is>
      </x:c>
      <x:c r="C1898" s="31" t="inlineStr">
        <x:is>
          <x:t xml:space="preserve">ЗК-1110</x:t>
        </x:is>
      </x:c>
      <x:c r="D1898" s="31" t="inlineStr">
        <x:is>
          <x:t xml:space="preserve">ПОЗ-0110-2</x:t>
        </x:is>
      </x:c>
      <x:c r="E1898" s="31" t="inlineStr">
        <x:is>
          <x:t xml:space="preserve">ИЗД-013</x:t>
        </x:is>
      </x:c>
      <x:c r="F1898" s="31" t="n">
        <x:v>30</x:v>
      </x:c>
      <x:c r="G1898" s="31" t="inlineStr">
        <x:is>
          <x:t xml:space="preserve">Сварка рамы</x:t>
        </x:is>
      </x:c>
      <x:c r="H1898" s="31" t="inlineStr">
        <x:is>
          <x:t xml:space="preserve">Сварка</x:t>
        </x:is>
      </x:c>
      <x:c r="I1898" s="31" t="inlineStr">
        <x:is>
          <x:t xml:space="preserve">ОБ-003</x:t>
        </x:is>
      </x:c>
      <x:c r="J1898" s="31" t="inlineStr">
        <x:is>
          <x:t xml:space="preserve">СОТР-058</x:t>
        </x:is>
      </x:c>
      <x:c r="K1898" s="31" t="n">
        <x:v>36.4</x:v>
      </x:c>
      <x:c r="L1898" s="31" t="n">
        <x:v>46.6</x:v>
      </x:c>
      <x:c r="M1898" s="31" t="n">
        <x:v>46197</x:v>
      </x:c>
      <x:c r="N1898" s="31" t="n">
        <x:v>46201</x:v>
      </x:c>
      <x:c r="O1898" s="31" t="n">
        <x:v>46197</x:v>
      </x:c>
      <x:c r="P1898" s="31" t="n">
        <x:v>46203</x:v>
      </x:c>
      <x:c r="Q1898" s="31" t="inlineStr">
        <x:is>
          <x:t xml:space="preserve">Завершено</x:t>
        </x:is>
      </x:c>
      <x:c r="R1898" s="31" t="inlineStr">
        <x:is>
          <x:t xml:space="preserve">Нет</x:t>
        </x:is>
      </x:c>
      <x:c r="S1898" s="31" t="inlineStr">
        <x:is>
          <x:t xml:space="preserve">Да</x:t>
        </x:is>
      </x:c>
    </x:row>
    <x:row r="1899">
      <x:c r="A1899" s="31" t="inlineStr">
        <x:is>
          <x:t xml:space="preserve">ОП-001898</x:t>
        </x:is>
      </x:c>
      <x:c r="B1899" s="31" t="inlineStr">
        <x:is>
          <x:t xml:space="preserve">ПЗ-00226</x:t>
        </x:is>
      </x:c>
      <x:c r="C1899" s="31" t="inlineStr">
        <x:is>
          <x:t xml:space="preserve">ЗК-1110</x:t>
        </x:is>
      </x:c>
      <x:c r="D1899" s="31" t="inlineStr">
        <x:is>
          <x:t xml:space="preserve">ПОЗ-0110-2</x:t>
        </x:is>
      </x:c>
      <x:c r="E1899" s="31" t="inlineStr">
        <x:is>
          <x:t xml:space="preserve">ИЗД-013</x:t>
        </x:is>
      </x:c>
      <x:c r="F1899" s="31" t="n">
        <x:v>40</x:v>
      </x:c>
      <x:c r="G1899" s="31" t="inlineStr">
        <x:is>
          <x:t xml:space="preserve">Пескоструй</x:t>
        </x:is>
      </x:c>
      <x:c r="H1899" s="31" t="inlineStr">
        <x:is>
          <x:t xml:space="preserve">Сварка</x:t>
        </x:is>
      </x:c>
      <x:c r="I1899" s="31" t="inlineStr">
        <x:is>
          <x:t xml:space="preserve">ОБ-026</x:t>
        </x:is>
      </x:c>
      <x:c r="J1899" s="31" t="inlineStr">
        <x:is>
          <x:t xml:space="preserve">СОТР-057</x:t>
        </x:is>
      </x:c>
      <x:c r="K1899" s="31" t="n">
        <x:v>57.2</x:v>
      </x:c>
      <x:c r="L1899" s="31" t="n">
        <x:v>69.7</x:v>
      </x:c>
      <x:c r="M1899" s="31" t="n">
        <x:v>46201</x:v>
      </x:c>
      <x:c r="N1899" s="31" t="n">
        <x:v>46206</x:v>
      </x:c>
      <x:c r="O1899" s="31" t="n">
        <x:v>46201</x:v>
      </x:c>
      <x:c r="P1899" s="31" t="n">
        <x:v>46208</x:v>
      </x:c>
      <x:c r="Q1899" s="31" t="inlineStr">
        <x:is>
          <x:t xml:space="preserve">Завершено</x:t>
        </x:is>
      </x:c>
      <x:c r="R1899" s="31" t="inlineStr">
        <x:is>
          <x:t xml:space="preserve">Нет</x:t>
        </x:is>
      </x:c>
      <x:c r="S1899" s="31" t="inlineStr">
        <x:is>
          <x:t xml:space="preserve">Нет</x:t>
        </x:is>
      </x:c>
    </x:row>
    <x:row r="1900">
      <x:c r="A1900" s="31" t="inlineStr">
        <x:is>
          <x:t xml:space="preserve">ОП-001899</x:t>
        </x:is>
      </x:c>
      <x:c r="B1900" s="31" t="inlineStr">
        <x:is>
          <x:t xml:space="preserve">ПЗ-00226</x:t>
        </x:is>
      </x:c>
      <x:c r="C1900" s="31" t="inlineStr">
        <x:is>
          <x:t xml:space="preserve">ЗК-1110</x:t>
        </x:is>
      </x:c>
      <x:c r="D1900" s="31" t="inlineStr">
        <x:is>
          <x:t xml:space="preserve">ПОЗ-0110-2</x:t>
        </x:is>
      </x:c>
      <x:c r="E1900" s="31" t="inlineStr">
        <x:is>
          <x:t xml:space="preserve">ИЗД-013</x:t>
        </x:is>
      </x:c>
      <x:c r="F1900" s="31" t="n">
        <x:v>50</x:v>
      </x:c>
      <x:c r="G1900" s="31" t="inlineStr">
        <x:is>
          <x:t xml:space="preserve">Покраска</x:t>
        </x:is>
      </x:c>
      <x:c r="H1900" s="31" t="inlineStr">
        <x:is>
          <x:t xml:space="preserve">Сварка</x:t>
        </x:is>
      </x:c>
      <x:c r="I1900" s="31" t="inlineStr">
        <x:is>
          <x:t xml:space="preserve">ОБ-003</x:t>
        </x:is>
      </x:c>
      <x:c r="J1900" s="31" t="inlineStr">
        <x:is>
          <x:t xml:space="preserve">СОТР-066</x:t>
        </x:is>
      </x:c>
      <x:c r="K1900" s="31" t="n">
        <x:v>48.4</x:v>
      </x:c>
      <x:c r="L1900" s="31" t="n">
        <x:v>58.9</x:v>
      </x:c>
      <x:c r="M1900" s="31" t="n">
        <x:v>46206</x:v>
      </x:c>
      <x:c r="N1900" s="31" t="n">
        <x:v>46211</x:v>
      </x:c>
      <x:c r="O1900" s="31" t="n">
        <x:v>46206</x:v>
      </x:c>
      <x:c r="P1900" s="31" t="n">
        <x:v>46211</x:v>
      </x:c>
      <x:c r="Q1900" s="31" t="inlineStr">
        <x:is>
          <x:t xml:space="preserve">Завершено</x:t>
        </x:is>
      </x:c>
      <x:c r="R1900" s="31" t="inlineStr">
        <x:is>
          <x:t xml:space="preserve">Нет</x:t>
        </x:is>
      </x:c>
      <x:c r="S1900" s="31" t="inlineStr">
        <x:is>
          <x:t xml:space="preserve">Нет</x:t>
        </x:is>
      </x:c>
    </x:row>
    <x:row r="1901">
      <x:c r="A1901" s="31" t="inlineStr">
        <x:is>
          <x:t xml:space="preserve">ОП-001900</x:t>
        </x:is>
      </x:c>
      <x:c r="B1901" s="31" t="inlineStr">
        <x:is>
          <x:t xml:space="preserve">ПЗ-00226</x:t>
        </x:is>
      </x:c>
      <x:c r="C1901" s="31" t="inlineStr">
        <x:is>
          <x:t xml:space="preserve">ЗК-1110</x:t>
        </x:is>
      </x:c>
      <x:c r="D1901" s="31" t="inlineStr">
        <x:is>
          <x:t xml:space="preserve">ПОЗ-0110-2</x:t>
        </x:is>
      </x:c>
      <x:c r="E1901" s="31" t="inlineStr">
        <x:is>
          <x:t xml:space="preserve">ИЗД-013</x:t>
        </x:is>
      </x:c>
      <x:c r="F1901" s="31" t="n">
        <x:v>60</x:v>
      </x:c>
      <x:c r="G1901" s="31" t="inlineStr">
        <x:is>
          <x:t xml:space="preserve">ОТК</x:t>
        </x:is>
      </x:c>
      <x:c r="H1901" s="31" t="inlineStr">
        <x:is>
          <x:t xml:space="preserve">ОТК</x:t>
        </x:is>
      </x:c>
      <x:c r="I1901" s="31" t="inlineStr">
        <x:is>
          <x:t xml:space="preserve">ОБ-001</x:t>
        </x:is>
      </x:c>
      <x:c r="J1901" s="31" t="inlineStr">
        <x:is>
          <x:t xml:space="preserve">СОТР-063</x:t>
        </x:is>
      </x:c>
      <x:c r="K1901" s="31" t="n">
        <x:v>64.8</x:v>
      </x:c>
      <x:c r="L1901" s="31" t="n">
        <x:v>58.8</x:v>
      </x:c>
      <x:c r="M1901" s="31" t="n">
        <x:v>46211</x:v>
      </x:c>
      <x:c r="N1901" s="31" t="n">
        <x:v>46217</x:v>
      </x:c>
      <x:c r="O1901" s="31" t="n">
        <x:v>46211</x:v>
      </x:c>
      <x:c r="P1901" s="31" t="n">
        <x:v>46219</x:v>
      </x:c>
      <x:c r="Q1901" s="31" t="inlineStr">
        <x:is>
          <x:t xml:space="preserve">Завершено</x:t>
        </x:is>
      </x:c>
      <x:c r="R1901" s="31" t="inlineStr">
        <x:is>
          <x:t xml:space="preserve">Нет</x:t>
        </x:is>
      </x:c>
      <x:c r="S1901" s="31" t="inlineStr">
        <x:is>
          <x:t xml:space="preserve">Нет</x:t>
        </x:is>
      </x:c>
    </x:row>
    <x:row r="1902">
      <x:c r="A1902" s="31" t="inlineStr">
        <x:is>
          <x:t xml:space="preserve">ОП-001901</x:t>
        </x:is>
      </x:c>
      <x:c r="B1902" s="31" t="inlineStr">
        <x:is>
          <x:t xml:space="preserve">ПЗ-00227</x:t>
        </x:is>
      </x:c>
      <x:c r="C1902" s="31" t="inlineStr">
        <x:is>
          <x:t xml:space="preserve">ЗК-1110</x:t>
        </x:is>
      </x:c>
      <x:c r="D1902" s="31" t="inlineStr">
        <x:is>
          <x:t xml:space="preserve">ПОЗ-0110-3</x:t>
        </x:is>
      </x:c>
      <x:c r="E1902" s="31" t="inlineStr">
        <x:is>
          <x:t xml:space="preserve">ИЗД-014</x:t>
        </x:is>
      </x:c>
      <x:c r="F1902" s="31" t="n">
        <x:v>10</x:v>
      </x:c>
      <x:c r="G1902" s="31" t="inlineStr">
        <x:is>
          <x:t xml:space="preserve">КД</x:t>
        </x:is>
      </x:c>
      <x:c r="H1902" s="31" t="inlineStr">
        <x:is>
          <x:t xml:space="preserve">Инженерный отдел</x:t>
        </x:is>
      </x:c>
      <x:c r="I1902" s="31" t="n"/>
      <x:c r="J1902" s="31" t="inlineStr">
        <x:is>
          <x:t xml:space="preserve">СОТР-014</x:t>
        </x:is>
      </x:c>
      <x:c r="K1902" s="31" t="n">
        <x:v>22.2</x:v>
      </x:c>
      <x:c r="L1902" s="31" t="n">
        <x:v>25.6</x:v>
      </x:c>
      <x:c r="M1902" s="31" t="n">
        <x:v>46181</x:v>
      </x:c>
      <x:c r="N1902" s="31" t="n">
        <x:v>46183</x:v>
      </x:c>
      <x:c r="O1902" s="31" t="n">
        <x:v>46181</x:v>
      </x:c>
      <x:c r="P1902" s="31" t="n">
        <x:v>46184</x:v>
      </x:c>
      <x:c r="Q1902" s="31" t="inlineStr">
        <x:is>
          <x:t xml:space="preserve">Завершено</x:t>
        </x:is>
      </x:c>
      <x:c r="R1902" s="31" t="inlineStr">
        <x:is>
          <x:t xml:space="preserve">Нет</x:t>
        </x:is>
      </x:c>
      <x:c r="S1902" s="31" t="inlineStr">
        <x:is>
          <x:t xml:space="preserve">Нет</x:t>
        </x:is>
      </x:c>
    </x:row>
    <x:row r="1903">
      <x:c r="A1903" s="31" t="inlineStr">
        <x:is>
          <x:t xml:space="preserve">ОП-001902</x:t>
        </x:is>
      </x:c>
      <x:c r="B1903" s="31" t="inlineStr">
        <x:is>
          <x:t xml:space="preserve">ПЗ-00227</x:t>
        </x:is>
      </x:c>
      <x:c r="C1903" s="31" t="inlineStr">
        <x:is>
          <x:t xml:space="preserve">ЗК-1110</x:t>
        </x:is>
      </x:c>
      <x:c r="D1903" s="31" t="inlineStr">
        <x:is>
          <x:t xml:space="preserve">ПОЗ-0110-3</x:t>
        </x:is>
      </x:c>
      <x:c r="E1903" s="31" t="inlineStr">
        <x:is>
          <x:t xml:space="preserve">ИЗД-014</x:t>
        </x:is>
      </x:c>
      <x:c r="F1903" s="31" t="n">
        <x:v>20</x:v>
      </x:c>
      <x:c r="G1903" s="31" t="inlineStr">
        <x:is>
          <x:t xml:space="preserve">Резка металла</x:t>
        </x:is>
      </x:c>
      <x:c r="H1903" s="31" t="inlineStr">
        <x:is>
          <x:t xml:space="preserve">Сварка</x:t>
        </x:is>
      </x:c>
      <x:c r="I1903" s="31" t="inlineStr">
        <x:is>
          <x:t xml:space="preserve">ОБ-003</x:t>
        </x:is>
      </x:c>
      <x:c r="J1903" s="31" t="inlineStr">
        <x:is>
          <x:t xml:space="preserve">СОТР-072</x:t>
        </x:is>
      </x:c>
      <x:c r="K1903" s="31" t="n">
        <x:v>16.8</x:v>
      </x:c>
      <x:c r="L1903" s="31" t="n">
        <x:v>17.7</x:v>
      </x:c>
      <x:c r="M1903" s="31" t="n">
        <x:v>46183</x:v>
      </x:c>
      <x:c r="N1903" s="31" t="n">
        <x:v>46185</x:v>
      </x:c>
      <x:c r="O1903" s="31" t="n">
        <x:v>46183</x:v>
      </x:c>
      <x:c r="P1903" s="31" t="n">
        <x:v>46187</x:v>
      </x:c>
      <x:c r="Q1903" s="31" t="inlineStr">
        <x:is>
          <x:t xml:space="preserve">Завершено</x:t>
        </x:is>
      </x:c>
      <x:c r="R1903" s="31" t="inlineStr">
        <x:is>
          <x:t xml:space="preserve">Нет</x:t>
        </x:is>
      </x:c>
      <x:c r="S1903" s="31" t="inlineStr">
        <x:is>
          <x:t xml:space="preserve">Нет</x:t>
        </x:is>
      </x:c>
    </x:row>
    <x:row r="1904">
      <x:c r="A1904" s="31" t="inlineStr">
        <x:is>
          <x:t xml:space="preserve">ОП-001903</x:t>
        </x:is>
      </x:c>
      <x:c r="B1904" s="31" t="inlineStr">
        <x:is>
          <x:t xml:space="preserve">ПЗ-00227</x:t>
        </x:is>
      </x:c>
      <x:c r="C1904" s="31" t="inlineStr">
        <x:is>
          <x:t xml:space="preserve">ЗК-1110</x:t>
        </x:is>
      </x:c>
      <x:c r="D1904" s="31" t="inlineStr">
        <x:is>
          <x:t xml:space="preserve">ПОЗ-0110-3</x:t>
        </x:is>
      </x:c>
      <x:c r="E1904" s="31" t="inlineStr">
        <x:is>
          <x:t xml:space="preserve">ИЗД-014</x:t>
        </x:is>
      </x:c>
      <x:c r="F1904" s="31" t="n">
        <x:v>30</x:v>
      </x:c>
      <x:c r="G1904" s="31" t="inlineStr">
        <x:is>
          <x:t xml:space="preserve">Сварка рамы</x:t>
        </x:is>
      </x:c>
      <x:c r="H1904" s="31" t="inlineStr">
        <x:is>
          <x:t xml:space="preserve">Сварка</x:t>
        </x:is>
      </x:c>
      <x:c r="I1904" s="31" t="inlineStr">
        <x:is>
          <x:t xml:space="preserve">ОБ-019</x:t>
        </x:is>
      </x:c>
      <x:c r="J1904" s="31" t="inlineStr">
        <x:is>
          <x:t xml:space="preserve">СОТР-056</x:t>
        </x:is>
      </x:c>
      <x:c r="K1904" s="31" t="n">
        <x:v>34.4</x:v>
      </x:c>
      <x:c r="L1904" s="31" t="n">
        <x:v>34.8</x:v>
      </x:c>
      <x:c r="M1904" s="31" t="n">
        <x:v>46185</x:v>
      </x:c>
      <x:c r="N1904" s="31" t="n">
        <x:v>46188</x:v>
      </x:c>
      <x:c r="O1904" s="31" t="n">
        <x:v>46185</x:v>
      </x:c>
      <x:c r="P1904" s="31" t="n">
        <x:v>46188</x:v>
      </x:c>
      <x:c r="Q1904" s="31" t="inlineStr">
        <x:is>
          <x:t xml:space="preserve">Завершено</x:t>
        </x:is>
      </x:c>
      <x:c r="R1904" s="31" t="inlineStr">
        <x:is>
          <x:t xml:space="preserve">Нет</x:t>
        </x:is>
      </x:c>
      <x:c r="S1904" s="31" t="inlineStr">
        <x:is>
          <x:t xml:space="preserve">Нет</x:t>
        </x:is>
      </x:c>
    </x:row>
    <x:row r="1905">
      <x:c r="A1905" s="31" t="inlineStr">
        <x:is>
          <x:t xml:space="preserve">ОП-001904</x:t>
        </x:is>
      </x:c>
      <x:c r="B1905" s="31" t="inlineStr">
        <x:is>
          <x:t xml:space="preserve">ПЗ-00227</x:t>
        </x:is>
      </x:c>
      <x:c r="C1905" s="31" t="inlineStr">
        <x:is>
          <x:t xml:space="preserve">ЗК-1110</x:t>
        </x:is>
      </x:c>
      <x:c r="D1905" s="31" t="inlineStr">
        <x:is>
          <x:t xml:space="preserve">ПОЗ-0110-3</x:t>
        </x:is>
      </x:c>
      <x:c r="E1905" s="31" t="inlineStr">
        <x:is>
          <x:t xml:space="preserve">ИЗД-014</x:t>
        </x:is>
      </x:c>
      <x:c r="F1905" s="31" t="n">
        <x:v>40</x:v>
      </x:c>
      <x:c r="G1905" s="31" t="inlineStr">
        <x:is>
          <x:t xml:space="preserve">Пескоструй</x:t>
        </x:is>
      </x:c>
      <x:c r="H1905" s="31" t="inlineStr">
        <x:is>
          <x:t xml:space="preserve">Сварка</x:t>
        </x:is>
      </x:c>
      <x:c r="I1905" s="31" t="inlineStr">
        <x:is>
          <x:t xml:space="preserve">ОБ-003</x:t>
        </x:is>
      </x:c>
      <x:c r="J1905" s="31" t="inlineStr">
        <x:is>
          <x:t xml:space="preserve">СОТР-059</x:t>
        </x:is>
      </x:c>
      <x:c r="K1905" s="31" t="n">
        <x:v>24.8</x:v>
      </x:c>
      <x:c r="L1905" s="31" t="n">
        <x:v>22.8</x:v>
      </x:c>
      <x:c r="M1905" s="31" t="n">
        <x:v>46188</x:v>
      </x:c>
      <x:c r="N1905" s="31" t="n">
        <x:v>46191</x:v>
      </x:c>
      <x:c r="O1905" s="31" t="n">
        <x:v>46188</x:v>
      </x:c>
      <x:c r="P1905" s="31" t="n">
        <x:v>46193</x:v>
      </x:c>
      <x:c r="Q1905" s="31" t="inlineStr">
        <x:is>
          <x:t xml:space="preserve">Завершено</x:t>
        </x:is>
      </x:c>
      <x:c r="R1905" s="31" t="inlineStr">
        <x:is>
          <x:t xml:space="preserve">Нет</x:t>
        </x:is>
      </x:c>
      <x:c r="S1905" s="31" t="inlineStr">
        <x:is>
          <x:t xml:space="preserve">Нет</x:t>
        </x:is>
      </x:c>
    </x:row>
    <x:row r="1906">
      <x:c r="A1906" s="31" t="inlineStr">
        <x:is>
          <x:t xml:space="preserve">ОП-001905</x:t>
        </x:is>
      </x:c>
      <x:c r="B1906" s="31" t="inlineStr">
        <x:is>
          <x:t xml:space="preserve">ПЗ-00227</x:t>
        </x:is>
      </x:c>
      <x:c r="C1906" s="31" t="inlineStr">
        <x:is>
          <x:t xml:space="preserve">ЗК-1110</x:t>
        </x:is>
      </x:c>
      <x:c r="D1906" s="31" t="inlineStr">
        <x:is>
          <x:t xml:space="preserve">ПОЗ-0110-3</x:t>
        </x:is>
      </x:c>
      <x:c r="E1906" s="31" t="inlineStr">
        <x:is>
          <x:t xml:space="preserve">ИЗД-014</x:t>
        </x:is>
      </x:c>
      <x:c r="F1906" s="31" t="n">
        <x:v>50</x:v>
      </x:c>
      <x:c r="G1906" s="31" t="inlineStr">
        <x:is>
          <x:t xml:space="preserve">Покраска</x:t>
        </x:is>
      </x:c>
      <x:c r="H1906" s="31" t="inlineStr">
        <x:is>
          <x:t xml:space="preserve">Сварка</x:t>
        </x:is>
      </x:c>
      <x:c r="I1906" s="31" t="inlineStr">
        <x:is>
          <x:t xml:space="preserve">ОБ-035</x:t>
        </x:is>
      </x:c>
      <x:c r="J1906" s="31" t="inlineStr">
        <x:is>
          <x:t xml:space="preserve">СОТР-067</x:t>
        </x:is>
      </x:c>
      <x:c r="K1906" s="31" t="n">
        <x:v>19.6</x:v>
      </x:c>
      <x:c r="L1906" s="31" t="n">
        <x:v>20</x:v>
      </x:c>
      <x:c r="M1906" s="31" t="n">
        <x:v>46191</x:v>
      </x:c>
      <x:c r="N1906" s="31" t="n">
        <x:v>46193</x:v>
      </x:c>
      <x:c r="O1906" s="31" t="n">
        <x:v>46191</x:v>
      </x:c>
      <x:c r="P1906" s="31" t="n">
        <x:v>46194</x:v>
      </x:c>
      <x:c r="Q1906" s="31" t="inlineStr">
        <x:is>
          <x:t xml:space="preserve">Завершено</x:t>
        </x:is>
      </x:c>
      <x:c r="R1906" s="31" t="inlineStr">
        <x:is>
          <x:t xml:space="preserve">Нет</x:t>
        </x:is>
      </x:c>
      <x:c r="S1906" s="31" t="inlineStr">
        <x:is>
          <x:t xml:space="preserve">Нет</x:t>
        </x:is>
      </x:c>
    </x:row>
    <x:row r="1907">
      <x:c r="A1907" s="31" t="inlineStr">
        <x:is>
          <x:t xml:space="preserve">ОП-001906</x:t>
        </x:is>
      </x:c>
      <x:c r="B1907" s="31" t="inlineStr">
        <x:is>
          <x:t xml:space="preserve">ПЗ-00227</x:t>
        </x:is>
      </x:c>
      <x:c r="C1907" s="31" t="inlineStr">
        <x:is>
          <x:t xml:space="preserve">ЗК-1110</x:t>
        </x:is>
      </x:c>
      <x:c r="D1907" s="31" t="inlineStr">
        <x:is>
          <x:t xml:space="preserve">ПОЗ-0110-3</x:t>
        </x:is>
      </x:c>
      <x:c r="E1907" s="31" t="inlineStr">
        <x:is>
          <x:t xml:space="preserve">ИЗД-014</x:t>
        </x:is>
      </x:c>
      <x:c r="F1907" s="31" t="n">
        <x:v>60</x:v>
      </x:c>
      <x:c r="G1907" s="31" t="inlineStr">
        <x:is>
          <x:t xml:space="preserve">ОТК</x:t>
        </x:is>
      </x:c>
      <x:c r="H1907" s="31" t="inlineStr">
        <x:is>
          <x:t xml:space="preserve">ОТК</x:t>
        </x:is>
      </x:c>
      <x:c r="I1907" s="31" t="inlineStr">
        <x:is>
          <x:t xml:space="preserve">ОБ-033</x:t>
        </x:is>
      </x:c>
      <x:c r="J1907" s="31" t="inlineStr">
        <x:is>
          <x:t xml:space="preserve">СОТР-095</x:t>
        </x:is>
      </x:c>
      <x:c r="K1907" s="31" t="n">
        <x:v>9.6</x:v>
      </x:c>
      <x:c r="L1907" s="31" t="n">
        <x:v>8.199999999999999</x:v>
      </x:c>
      <x:c r="M1907" s="31" t="n">
        <x:v>46193</x:v>
      </x:c>
      <x:c r="N1907" s="31" t="n">
        <x:v>46194</x:v>
      </x:c>
      <x:c r="O1907" s="31" t="n">
        <x:v>46193</x:v>
      </x:c>
      <x:c r="P1907" s="31" t="n">
        <x:v>46194</x:v>
      </x:c>
      <x:c r="Q1907" s="31" t="inlineStr">
        <x:is>
          <x:t xml:space="preserve">Завершено</x:t>
        </x:is>
      </x:c>
      <x:c r="R1907" s="31" t="inlineStr">
        <x:is>
          <x:t xml:space="preserve">Нет</x:t>
        </x:is>
      </x:c>
      <x:c r="S1907" s="31" t="inlineStr">
        <x:is>
          <x:t xml:space="preserve">Да</x:t>
        </x:is>
      </x:c>
    </x:row>
    <x:row r="1908">
      <x:c r="A1908" s="31" t="inlineStr">
        <x:is>
          <x:t xml:space="preserve">ОП-001907</x:t>
        </x:is>
      </x:c>
      <x:c r="B1908" s="31" t="inlineStr">
        <x:is>
          <x:t xml:space="preserve">ПЗ-00228</x:t>
        </x:is>
      </x:c>
      <x:c r="C1908" s="31" t="inlineStr">
        <x:is>
          <x:t xml:space="preserve">ЗК-1110</x:t>
        </x:is>
      </x:c>
      <x:c r="D1908" s="31" t="inlineStr">
        <x:is>
          <x:t xml:space="preserve">ПОЗ-0110-4</x:t>
        </x:is>
      </x:c>
      <x:c r="E1908" s="31" t="inlineStr">
        <x:is>
          <x:t xml:space="preserve">ИЗД-022</x:t>
        </x:is>
      </x:c>
      <x:c r="F1908" s="31" t="n">
        <x:v>10</x:v>
      </x:c>
      <x:c r="G1908" s="31" t="inlineStr">
        <x:is>
          <x:t xml:space="preserve">КД</x:t>
        </x:is>
      </x:c>
      <x:c r="H1908" s="31" t="inlineStr">
        <x:is>
          <x:t xml:space="preserve">Инженерный отдел</x:t>
        </x:is>
      </x:c>
      <x:c r="I1908" s="31" t="n"/>
      <x:c r="J1908" s="31" t="inlineStr">
        <x:is>
          <x:t xml:space="preserve">СОТР-015</x:t>
        </x:is>
      </x:c>
      <x:c r="K1908" s="31" t="n">
        <x:v>9.199999999999999</x:v>
      </x:c>
      <x:c r="L1908" s="31" t="n">
        <x:v>9.699999999999999</x:v>
      </x:c>
      <x:c r="M1908" s="31" t="n">
        <x:v>46185</x:v>
      </x:c>
      <x:c r="N1908" s="31" t="n">
        <x:v>46186</x:v>
      </x:c>
      <x:c r="O1908" s="31" t="n">
        <x:v>46185</x:v>
      </x:c>
      <x:c r="P1908" s="31" t="n">
        <x:v>46187</x:v>
      </x:c>
      <x:c r="Q1908" s="31" t="inlineStr">
        <x:is>
          <x:t xml:space="preserve">Завершено</x:t>
        </x:is>
      </x:c>
      <x:c r="R1908" s="31" t="inlineStr">
        <x:is>
          <x:t xml:space="preserve">Материал</x:t>
        </x:is>
      </x:c>
      <x:c r="S1908" s="31" t="inlineStr">
        <x:is>
          <x:t xml:space="preserve">Нет</x:t>
        </x:is>
      </x:c>
    </x:row>
    <x:row r="1909">
      <x:c r="A1909" s="31" t="inlineStr">
        <x:is>
          <x:t xml:space="preserve">ОП-001908</x:t>
        </x:is>
      </x:c>
      <x:c r="B1909" s="31" t="inlineStr">
        <x:is>
          <x:t xml:space="preserve">ПЗ-00228</x:t>
        </x:is>
      </x:c>
      <x:c r="C1909" s="31" t="inlineStr">
        <x:is>
          <x:t xml:space="preserve">ЗК-1110</x:t>
        </x:is>
      </x:c>
      <x:c r="D1909" s="31" t="inlineStr">
        <x:is>
          <x:t xml:space="preserve">ПОЗ-0110-4</x:t>
        </x:is>
      </x:c>
      <x:c r="E1909" s="31" t="inlineStr">
        <x:is>
          <x:t xml:space="preserve">ИЗД-022</x:t>
        </x:is>
      </x:c>
      <x:c r="F1909" s="31" t="n">
        <x:v>20</x:v>
      </x:c>
      <x:c r="G1909" s="31" t="inlineStr">
        <x:is>
          <x:t xml:space="preserve">Резерв материалов</x:t>
        </x:is>
      </x:c>
      <x:c r="H1909" s="31" t="inlineStr">
        <x:is>
          <x:t xml:space="preserve">Склад</x:t>
        </x:is>
      </x:c>
      <x:c r="I1909" s="31" t="inlineStr">
        <x:is>
          <x:t xml:space="preserve">ОБ-009</x:t>
        </x:is>
      </x:c>
      <x:c r="J1909" s="31" t="inlineStr">
        <x:is>
          <x:t xml:space="preserve">СОТР-038</x:t>
        </x:is>
      </x:c>
      <x:c r="K1909" s="31" t="n">
        <x:v>8</x:v>
      </x:c>
      <x:c r="L1909" s="31" t="n">
        <x:v>8.1</x:v>
      </x:c>
      <x:c r="M1909" s="31" t="n">
        <x:v>46186</x:v>
      </x:c>
      <x:c r="N1909" s="31" t="n">
        <x:v>46187</x:v>
      </x:c>
      <x:c r="O1909" s="31" t="n">
        <x:v>46186</x:v>
      </x:c>
      <x:c r="P1909" s="31" t="n">
        <x:v>46187</x:v>
      </x:c>
      <x:c r="Q1909" s="31" t="inlineStr">
        <x:is>
          <x:t xml:space="preserve">Завершено</x:t>
        </x:is>
      </x:c>
      <x:c r="R1909" s="31" t="inlineStr">
        <x:is>
          <x:t xml:space="preserve">Ожидание ОТК</x:t>
        </x:is>
      </x:c>
      <x:c r="S1909" s="31" t="inlineStr">
        <x:is>
          <x:t xml:space="preserve">Нет</x:t>
        </x:is>
      </x:c>
    </x:row>
    <x:row r="1910">
      <x:c r="A1910" s="31" t="inlineStr">
        <x:is>
          <x:t xml:space="preserve">ОП-001909</x:t>
        </x:is>
      </x:c>
      <x:c r="B1910" s="31" t="inlineStr">
        <x:is>
          <x:t xml:space="preserve">ПЗ-00228</x:t>
        </x:is>
      </x:c>
      <x:c r="C1910" s="31" t="inlineStr">
        <x:is>
          <x:t xml:space="preserve">ЗК-1110</x:t>
        </x:is>
      </x:c>
      <x:c r="D1910" s="31" t="inlineStr">
        <x:is>
          <x:t xml:space="preserve">ПОЗ-0110-4</x:t>
        </x:is>
      </x:c>
      <x:c r="E1910" s="31" t="inlineStr">
        <x:is>
          <x:t xml:space="preserve">ИЗД-022</x:t>
        </x:is>
      </x:c>
      <x:c r="F1910" s="31" t="n">
        <x:v>30</x:v>
      </x:c>
      <x:c r="G1910" s="31" t="inlineStr">
        <x:is>
          <x:t xml:space="preserve">Сварка рамы</x:t>
        </x:is>
      </x:c>
      <x:c r="H1910" s="31" t="inlineStr">
        <x:is>
          <x:t xml:space="preserve">Сварка</x:t>
        </x:is>
      </x:c>
      <x:c r="I1910" s="31" t="inlineStr">
        <x:is>
          <x:t xml:space="preserve">ОБ-021</x:t>
        </x:is>
      </x:c>
      <x:c r="J1910" s="31" t="inlineStr">
        <x:is>
          <x:t xml:space="preserve">СОТР-061</x:t>
        </x:is>
      </x:c>
      <x:c r="K1910" s="31" t="n">
        <x:v>4</x:v>
      </x:c>
      <x:c r="L1910" s="31" t="n">
        <x:v>4.3</x:v>
      </x:c>
      <x:c r="M1910" s="31" t="n">
        <x:v>46187</x:v>
      </x:c>
      <x:c r="N1910" s="31" t="n">
        <x:v>46188</x:v>
      </x:c>
      <x:c r="O1910" s="31" t="n">
        <x:v>46187</x:v>
      </x:c>
      <x:c r="P1910" s="31" t="n">
        <x:v>46187</x:v>
      </x:c>
      <x:c r="Q1910" s="31" t="inlineStr">
        <x:is>
          <x:t xml:space="preserve">Завершено</x:t>
        </x:is>
      </x:c>
      <x:c r="R1910" s="31" t="inlineStr">
        <x:is>
          <x:t xml:space="preserve">Оборудование</x:t>
        </x:is>
      </x:c>
      <x:c r="S1910" s="31" t="inlineStr">
        <x:is>
          <x:t xml:space="preserve">Нет</x:t>
        </x:is>
      </x:c>
    </x:row>
    <x:row r="1911">
      <x:c r="A1911" s="31" t="inlineStr">
        <x:is>
          <x:t xml:space="preserve">ОП-001910</x:t>
        </x:is>
      </x:c>
      <x:c r="B1911" s="31" t="inlineStr">
        <x:is>
          <x:t xml:space="preserve">ПЗ-00228</x:t>
        </x:is>
      </x:c>
      <x:c r="C1911" s="31" t="inlineStr">
        <x:is>
          <x:t xml:space="preserve">ЗК-1110</x:t>
        </x:is>
      </x:c>
      <x:c r="D1911" s="31" t="inlineStr">
        <x:is>
          <x:t xml:space="preserve">ПОЗ-0110-4</x:t>
        </x:is>
      </x:c>
      <x:c r="E1911" s="31" t="inlineStr">
        <x:is>
          <x:t xml:space="preserve">ИЗД-022</x:t>
        </x:is>
      </x:c>
      <x:c r="F1911" s="31" t="n">
        <x:v>40</x:v>
      </x:c>
      <x:c r="G1911" s="31" t="inlineStr">
        <x:is>
          <x:t xml:space="preserve">Сборка</x:t>
        </x:is>
      </x:c>
      <x:c r="H1911" s="31" t="inlineStr">
        <x:is>
          <x:t xml:space="preserve">Сборка</x:t>
        </x:is>
      </x:c>
      <x:c r="I1911" s="31" t="inlineStr">
        <x:is>
          <x:t xml:space="preserve">ОБ-012</x:t>
        </x:is>
      </x:c>
      <x:c r="J1911" s="31" t="inlineStr">
        <x:is>
          <x:t xml:space="preserve">СОТР-090</x:t>
        </x:is>
      </x:c>
      <x:c r="K1911" s="31" t="n">
        <x:v>4</x:v>
      </x:c>
      <x:c r="L1911" s="31" t="n">
        <x:v>3.8</x:v>
      </x:c>
      <x:c r="M1911" s="31" t="n">
        <x:v>46188</x:v>
      </x:c>
      <x:c r="N1911" s="31" t="n">
        <x:v>46189</x:v>
      </x:c>
      <x:c r="O1911" s="31" t="n">
        <x:v>46188</x:v>
      </x:c>
      <x:c r="P1911" s="31" t="n">
        <x:v>46191</x:v>
      </x:c>
      <x:c r="Q1911" s="31" t="inlineStr">
        <x:is>
          <x:t xml:space="preserve">Завершено</x:t>
        </x:is>
      </x:c>
      <x:c r="R1911" s="31" t="inlineStr">
        <x:is>
          <x:t xml:space="preserve">Нет</x:t>
        </x:is>
      </x:c>
      <x:c r="S1911" s="31" t="inlineStr">
        <x:is>
          <x:t xml:space="preserve">Нет</x:t>
        </x:is>
      </x:c>
    </x:row>
    <x:row r="1912">
      <x:c r="A1912" s="31" t="inlineStr">
        <x:is>
          <x:t xml:space="preserve">ОП-001911</x:t>
        </x:is>
      </x:c>
      <x:c r="B1912" s="31" t="inlineStr">
        <x:is>
          <x:t xml:space="preserve">ПЗ-00228</x:t>
        </x:is>
      </x:c>
      <x:c r="C1912" s="31" t="inlineStr">
        <x:is>
          <x:t xml:space="preserve">ЗК-1110</x:t>
        </x:is>
      </x:c>
      <x:c r="D1912" s="31" t="inlineStr">
        <x:is>
          <x:t xml:space="preserve">ПОЗ-0110-4</x:t>
        </x:is>
      </x:c>
      <x:c r="E1912" s="31" t="inlineStr">
        <x:is>
          <x:t xml:space="preserve">ИЗД-022</x:t>
        </x:is>
      </x:c>
      <x:c r="F1912" s="31" t="n">
        <x:v>50</x:v>
      </x:c>
      <x:c r="G1912" s="31" t="inlineStr">
        <x:is>
          <x:t xml:space="preserve">Обвязка труб</x:t>
        </x:is>
      </x:c>
      <x:c r="H1912" s="31" t="inlineStr">
        <x:is>
          <x:t xml:space="preserve">Сборка</x:t>
        </x:is>
      </x:c>
      <x:c r="I1912" s="31" t="inlineStr">
        <x:is>
          <x:t xml:space="preserve">ОБ-034</x:t>
        </x:is>
      </x:c>
      <x:c r="J1912" s="31" t="inlineStr">
        <x:is>
          <x:t xml:space="preserve">СОТР-085</x:t>
        </x:is>
      </x:c>
      <x:c r="K1912" s="31" t="n">
        <x:v>7.9</x:v>
      </x:c>
      <x:c r="L1912" s="31" t="n">
        <x:v>9.300000000000001</x:v>
      </x:c>
      <x:c r="M1912" s="31" t="n">
        <x:v>46189</x:v>
      </x:c>
      <x:c r="N1912" s="31" t="n">
        <x:v>46190</x:v>
      </x:c>
      <x:c r="O1912" s="31" t="n">
        <x:v>46189</x:v>
      </x:c>
      <x:c r="P1912" s="31" t="n">
        <x:v>46191</x:v>
      </x:c>
      <x:c r="Q1912" s="31" t="inlineStr">
        <x:is>
          <x:t xml:space="preserve">Завершено</x:t>
        </x:is>
      </x:c>
      <x:c r="R1912" s="31" t="inlineStr">
        <x:is>
          <x:t xml:space="preserve">Нет</x:t>
        </x:is>
      </x:c>
      <x:c r="S1912" s="31" t="inlineStr">
        <x:is>
          <x:t xml:space="preserve">Да</x:t>
        </x:is>
      </x:c>
    </x:row>
    <x:row r="1913">
      <x:c r="A1913" s="31" t="inlineStr">
        <x:is>
          <x:t xml:space="preserve">ОП-001912</x:t>
        </x:is>
      </x:c>
      <x:c r="B1913" s="31" t="inlineStr">
        <x:is>
          <x:t xml:space="preserve">ПЗ-00228</x:t>
        </x:is>
      </x:c>
      <x:c r="C1913" s="31" t="inlineStr">
        <x:is>
          <x:t xml:space="preserve">ЗК-1110</x:t>
        </x:is>
      </x:c>
      <x:c r="D1913" s="31" t="inlineStr">
        <x:is>
          <x:t xml:space="preserve">ПОЗ-0110-4</x:t>
        </x:is>
      </x:c>
      <x:c r="E1913" s="31" t="inlineStr">
        <x:is>
          <x:t xml:space="preserve">ИЗД-022</x:t>
        </x:is>
      </x:c>
      <x:c r="F1913" s="31" t="n">
        <x:v>60</x:v>
      </x:c>
      <x:c r="G1913" s="31" t="inlineStr">
        <x:is>
          <x:t xml:space="preserve">Электромонтаж</x:t>
        </x:is>
      </x:c>
      <x:c r="H1913" s="31" t="inlineStr">
        <x:is>
          <x:t xml:space="preserve">Сборка</x:t>
        </x:is>
      </x:c>
      <x:c r="I1913" s="31" t="inlineStr">
        <x:is>
          <x:t xml:space="preserve">ОБ-016</x:t>
        </x:is>
      </x:c>
      <x:c r="J1913" s="31" t="inlineStr">
        <x:is>
          <x:t xml:space="preserve">СОТР-091</x:t>
        </x:is>
      </x:c>
      <x:c r="K1913" s="31" t="n">
        <x:v>7</x:v>
      </x:c>
      <x:c r="L1913" s="31" t="n">
        <x:v>6.1</x:v>
      </x:c>
      <x:c r="M1913" s="31" t="n">
        <x:v>46190</x:v>
      </x:c>
      <x:c r="N1913" s="31" t="n">
        <x:v>46191</x:v>
      </x:c>
      <x:c r="O1913" s="31" t="n">
        <x:v>46190</x:v>
      </x:c>
      <x:c r="P1913" s="31" t="n">
        <x:v>46192</x:v>
      </x:c>
      <x:c r="Q1913" s="31" t="inlineStr">
        <x:is>
          <x:t xml:space="preserve">Завершено</x:t>
        </x:is>
      </x:c>
      <x:c r="R1913" s="31" t="inlineStr">
        <x:is>
          <x:t xml:space="preserve">Нет</x:t>
        </x:is>
      </x:c>
      <x:c r="S1913" s="31" t="inlineStr">
        <x:is>
          <x:t xml:space="preserve">Нет</x:t>
        </x:is>
      </x:c>
    </x:row>
    <x:row r="1914">
      <x:c r="A1914" s="31" t="inlineStr">
        <x:is>
          <x:t xml:space="preserve">ОП-001913</x:t>
        </x:is>
      </x:c>
      <x:c r="B1914" s="31" t="inlineStr">
        <x:is>
          <x:t xml:space="preserve">ПЗ-00228</x:t>
        </x:is>
      </x:c>
      <x:c r="C1914" s="31" t="inlineStr">
        <x:is>
          <x:t xml:space="preserve">ЗК-1110</x:t>
        </x:is>
      </x:c>
      <x:c r="D1914" s="31" t="inlineStr">
        <x:is>
          <x:t xml:space="preserve">ПОЗ-0110-4</x:t>
        </x:is>
      </x:c>
      <x:c r="E1914" s="31" t="inlineStr">
        <x:is>
          <x:t xml:space="preserve">ИЗД-022</x:t>
        </x:is>
      </x:c>
      <x:c r="F1914" s="31" t="n">
        <x:v>70</x:v>
      </x:c>
      <x:c r="G1914" s="31" t="inlineStr">
        <x:is>
          <x:t xml:space="preserve">Гидроиспытания</x:t>
        </x:is>
      </x:c>
      <x:c r="H1914" s="31" t="inlineStr">
        <x:is>
          <x:t xml:space="preserve">ОТК</x:t>
        </x:is>
      </x:c>
      <x:c r="I1914" s="31" t="inlineStr">
        <x:is>
          <x:t xml:space="preserve">ОБ-013</x:t>
        </x:is>
      </x:c>
      <x:c r="J1914" s="31" t="inlineStr">
        <x:is>
          <x:t xml:space="preserve">СОТР-099</x:t>
        </x:is>
      </x:c>
      <x:c r="K1914" s="31" t="n">
        <x:v>4.1</x:v>
      </x:c>
      <x:c r="L1914" s="31" t="n">
        <x:v>5.3</x:v>
      </x:c>
      <x:c r="M1914" s="31" t="n">
        <x:v>46191</x:v>
      </x:c>
      <x:c r="N1914" s="31" t="n">
        <x:v>46192</x:v>
      </x:c>
      <x:c r="O1914" s="31" t="n">
        <x:v>46191</x:v>
      </x:c>
      <x:c r="P1914" s="31" t="n">
        <x:v>46193</x:v>
      </x:c>
      <x:c r="Q1914" s="31" t="inlineStr">
        <x:is>
          <x:t xml:space="preserve">Завершено</x:t>
        </x:is>
      </x:c>
      <x:c r="R1914" s="31" t="inlineStr">
        <x:is>
          <x:t xml:space="preserve">Материал</x:t>
        </x:is>
      </x:c>
      <x:c r="S1914" s="31" t="inlineStr">
        <x:is>
          <x:t xml:space="preserve">Да</x:t>
        </x:is>
      </x:c>
    </x:row>
    <x:row r="1915">
      <x:c r="A1915" s="31" t="inlineStr">
        <x:is>
          <x:t xml:space="preserve">ОП-001914</x:t>
        </x:is>
      </x:c>
      <x:c r="B1915" s="31" t="inlineStr">
        <x:is>
          <x:t xml:space="preserve">ПЗ-00228</x:t>
        </x:is>
      </x:c>
      <x:c r="C1915" s="31" t="inlineStr">
        <x:is>
          <x:t xml:space="preserve">ЗК-1110</x:t>
        </x:is>
      </x:c>
      <x:c r="D1915" s="31" t="inlineStr">
        <x:is>
          <x:t xml:space="preserve">ПОЗ-0110-4</x:t>
        </x:is>
      </x:c>
      <x:c r="E1915" s="31" t="inlineStr">
        <x:is>
          <x:t xml:space="preserve">ИЗД-022</x:t>
        </x:is>
      </x:c>
      <x:c r="F1915" s="31" t="n">
        <x:v>80</x:v>
      </x:c>
      <x:c r="G1915" s="31" t="inlineStr">
        <x:is>
          <x:t xml:space="preserve">ОТК</x:t>
        </x:is>
      </x:c>
      <x:c r="H1915" s="31" t="inlineStr">
        <x:is>
          <x:t xml:space="preserve">ОТК</x:t>
        </x:is>
      </x:c>
      <x:c r="I1915" s="31" t="inlineStr">
        <x:is>
          <x:t xml:space="preserve">ОБ-032</x:t>
        </x:is>
      </x:c>
      <x:c r="J1915" s="31" t="inlineStr">
        <x:is>
          <x:t xml:space="preserve">СОТР-095</x:t>
        </x:is>
      </x:c>
      <x:c r="K1915" s="31" t="n">
        <x:v>10.8</x:v>
      </x:c>
      <x:c r="L1915" s="31" t="n">
        <x:v>11</x:v>
      </x:c>
      <x:c r="M1915" s="31" t="n">
        <x:v>46192</x:v>
      </x:c>
      <x:c r="N1915" s="31" t="n">
        <x:v>46193</x:v>
      </x:c>
      <x:c r="O1915" s="31" t="n">
        <x:v>46192</x:v>
      </x:c>
      <x:c r="P1915" s="31" t="n">
        <x:v>46195</x:v>
      </x:c>
      <x:c r="Q1915" s="31" t="inlineStr">
        <x:is>
          <x:t xml:space="preserve">Завершено</x:t>
        </x:is>
      </x:c>
      <x:c r="R1915" s="31" t="inlineStr">
        <x:is>
          <x:t xml:space="preserve">Нет</x:t>
        </x:is>
      </x:c>
      <x:c r="S1915" s="31" t="inlineStr">
        <x:is>
          <x:t xml:space="preserve">Нет</x:t>
        </x:is>
      </x:c>
    </x:row>
    <x:row r="1916">
      <x:c r="A1916" s="31" t="inlineStr">
        <x:is>
          <x:t xml:space="preserve">ОП-001915</x:t>
        </x:is>
      </x:c>
      <x:c r="B1916" s="31" t="inlineStr">
        <x:is>
          <x:t xml:space="preserve">ПЗ-00228</x:t>
        </x:is>
      </x:c>
      <x:c r="C1916" s="31" t="inlineStr">
        <x:is>
          <x:t xml:space="preserve">ЗК-1110</x:t>
        </x:is>
      </x:c>
      <x:c r="D1916" s="31" t="inlineStr">
        <x:is>
          <x:t xml:space="preserve">ПОЗ-0110-4</x:t>
        </x:is>
      </x:c>
      <x:c r="E1916" s="31" t="inlineStr">
        <x:is>
          <x:t xml:space="preserve">ИЗД-022</x:t>
        </x:is>
      </x:c>
      <x:c r="F1916" s="31" t="n">
        <x:v>90</x:v>
      </x:c>
      <x:c r="G1916" s="31" t="inlineStr">
        <x:is>
          <x:t xml:space="preserve">Упаковка</x:t>
        </x:is>
      </x:c>
      <x:c r="H1916" s="31" t="inlineStr">
        <x:is>
          <x:t xml:space="preserve">Логистика</x:t>
        </x:is>
      </x:c>
      <x:c r="I1916" s="31" t="n"/>
      <x:c r="J1916" s="31" t="inlineStr">
        <x:is>
          <x:t xml:space="preserve">СОТР-070</x:t>
        </x:is>
      </x:c>
      <x:c r="K1916" s="31" t="n">
        <x:v>6.2</x:v>
      </x:c>
      <x:c r="L1916" s="31" t="n">
        <x:v>5</x:v>
      </x:c>
      <x:c r="M1916" s="31" t="n">
        <x:v>46193</x:v>
      </x:c>
      <x:c r="N1916" s="31" t="n">
        <x:v>46194</x:v>
      </x:c>
      <x:c r="O1916" s="31" t="n">
        <x:v>46193</x:v>
      </x:c>
      <x:c r="P1916" s="31" t="n">
        <x:v>46194</x:v>
      </x:c>
      <x:c r="Q1916" s="31" t="inlineStr">
        <x:is>
          <x:t xml:space="preserve">Завершено</x:t>
        </x:is>
      </x:c>
      <x:c r="R1916" s="31" t="inlineStr">
        <x:is>
          <x:t xml:space="preserve">Материал</x:t>
        </x:is>
      </x:c>
      <x:c r="S1916" s="31" t="inlineStr">
        <x:is>
          <x:t xml:space="preserve">Нет</x:t>
        </x:is>
      </x:c>
    </x:row>
    <x:row r="1917">
      <x:c r="A1917" s="31" t="inlineStr">
        <x:is>
          <x:t xml:space="preserve">ОП-001916</x:t>
        </x:is>
      </x:c>
      <x:c r="B1917" s="31" t="inlineStr">
        <x:is>
          <x:t xml:space="preserve">ПЗ-00229</x:t>
        </x:is>
      </x:c>
      <x:c r="C1917" s="31" t="inlineStr">
        <x:is>
          <x:t xml:space="preserve">ЗК-1111</x:t>
        </x:is>
      </x:c>
      <x:c r="D1917" s="31" t="inlineStr">
        <x:is>
          <x:t xml:space="preserve">ПОЗ-0111-1</x:t>
        </x:is>
      </x:c>
      <x:c r="E1917" s="31" t="inlineStr">
        <x:is>
          <x:t xml:space="preserve">ИЗД-036</x:t>
        </x:is>
      </x:c>
      <x:c r="F1917" s="31" t="n">
        <x:v>10</x:v>
      </x:c>
      <x:c r="G1917" s="31" t="inlineStr">
        <x:is>
          <x:t xml:space="preserve">КД</x:t>
        </x:is>
      </x:c>
      <x:c r="H1917" s="31" t="inlineStr">
        <x:is>
          <x:t xml:space="preserve">Инженерный отдел</x:t>
        </x:is>
      </x:c>
      <x:c r="I1917" s="31" t="n"/>
      <x:c r="J1917" s="31" t="inlineStr">
        <x:is>
          <x:t xml:space="preserve">СОТР-014</x:t>
        </x:is>
      </x:c>
      <x:c r="K1917" s="31" t="n">
        <x:v>15</x:v>
      </x:c>
      <x:c r="L1917" s="31" t="n">
        <x:v>18.5</x:v>
      </x:c>
      <x:c r="M1917" s="31" t="n">
        <x:v>46136</x:v>
      </x:c>
      <x:c r="N1917" s="31" t="n">
        <x:v>46138</x:v>
      </x:c>
      <x:c r="O1917" s="31" t="n">
        <x:v>46136</x:v>
      </x:c>
      <x:c r="P1917" s="31" t="n">
        <x:v>46137</x:v>
      </x:c>
      <x:c r="Q1917" s="31" t="inlineStr">
        <x:is>
          <x:t xml:space="preserve">Завершено</x:t>
        </x:is>
      </x:c>
      <x:c r="R1917" s="31" t="inlineStr">
        <x:is>
          <x:t xml:space="preserve">Нет</x:t>
        </x:is>
      </x:c>
      <x:c r="S1917" s="31" t="inlineStr">
        <x:is>
          <x:t xml:space="preserve">Нет</x:t>
        </x:is>
      </x:c>
    </x:row>
    <x:row r="1918">
      <x:c r="A1918" s="31" t="inlineStr">
        <x:is>
          <x:t xml:space="preserve">ОП-001917</x:t>
        </x:is>
      </x:c>
      <x:c r="B1918" s="31" t="inlineStr">
        <x:is>
          <x:t xml:space="preserve">ПЗ-00229</x:t>
        </x:is>
      </x:c>
      <x:c r="C1918" s="31" t="inlineStr">
        <x:is>
          <x:t xml:space="preserve">ЗК-1111</x:t>
        </x:is>
      </x:c>
      <x:c r="D1918" s="31" t="inlineStr">
        <x:is>
          <x:t xml:space="preserve">ПОЗ-0111-1</x:t>
        </x:is>
      </x:c>
      <x:c r="E1918" s="31" t="inlineStr">
        <x:is>
          <x:t xml:space="preserve">ИЗД-036</x:t>
        </x:is>
      </x:c>
      <x:c r="F1918" s="31" t="n">
        <x:v>20</x:v>
      </x:c>
      <x:c r="G1918" s="31" t="inlineStr">
        <x:is>
          <x:t xml:space="preserve">Комплектация</x:t>
        </x:is>
      </x:c>
      <x:c r="H1918" s="31" t="inlineStr">
        <x:is>
          <x:t xml:space="preserve">Склад</x:t>
        </x:is>
      </x:c>
      <x:c r="I1918" s="31" t="inlineStr">
        <x:is>
          <x:t xml:space="preserve">ОБ-008</x:t>
        </x:is>
      </x:c>
      <x:c r="J1918" s="31" t="inlineStr">
        <x:is>
          <x:t xml:space="preserve">СОТР-036</x:t>
        </x:is>
      </x:c>
      <x:c r="K1918" s="31" t="n">
        <x:v>17.4</x:v>
      </x:c>
      <x:c r="L1918" s="31" t="n">
        <x:v>21.5</x:v>
      </x:c>
      <x:c r="M1918" s="31" t="n">
        <x:v>46138</x:v>
      </x:c>
      <x:c r="N1918" s="31" t="n">
        <x:v>46140</x:v>
      </x:c>
      <x:c r="O1918" s="31" t="n">
        <x:v>46138</x:v>
      </x:c>
      <x:c r="P1918" s="31" t="n">
        <x:v>46139</x:v>
      </x:c>
      <x:c r="Q1918" s="31" t="inlineStr">
        <x:is>
          <x:t xml:space="preserve">Завершено</x:t>
        </x:is>
      </x:c>
      <x:c r="R1918" s="31" t="inlineStr">
        <x:is>
          <x:t xml:space="preserve">Нет</x:t>
        </x:is>
      </x:c>
      <x:c r="S1918" s="31" t="inlineStr">
        <x:is>
          <x:t xml:space="preserve">Нет</x:t>
        </x:is>
      </x:c>
    </x:row>
    <x:row r="1919">
      <x:c r="A1919" s="31" t="inlineStr">
        <x:is>
          <x:t xml:space="preserve">ОП-001918</x:t>
        </x:is>
      </x:c>
      <x:c r="B1919" s="31" t="inlineStr">
        <x:is>
          <x:t xml:space="preserve">ПЗ-00229</x:t>
        </x:is>
      </x:c>
      <x:c r="C1919" s="31" t="inlineStr">
        <x:is>
          <x:t xml:space="preserve">ЗК-1111</x:t>
        </x:is>
      </x:c>
      <x:c r="D1919" s="31" t="inlineStr">
        <x:is>
          <x:t xml:space="preserve">ПОЗ-0111-1</x:t>
        </x:is>
      </x:c>
      <x:c r="E1919" s="31" t="inlineStr">
        <x:is>
          <x:t xml:space="preserve">ИЗД-036</x:t>
        </x:is>
      </x:c>
      <x:c r="F1919" s="31" t="n">
        <x:v>30</x:v>
      </x:c>
      <x:c r="G1919" s="31" t="inlineStr">
        <x:is>
          <x:t xml:space="preserve">Сборка шкафа</x:t>
        </x:is>
      </x:c>
      <x:c r="H1919" s="31" t="inlineStr">
        <x:is>
          <x:t xml:space="preserve">Сборка</x:t>
        </x:is>
      </x:c>
      <x:c r="I1919" s="31" t="inlineStr">
        <x:is>
          <x:t xml:space="preserve">ОБ-014</x:t>
        </x:is>
      </x:c>
      <x:c r="J1919" s="31" t="inlineStr">
        <x:is>
          <x:t xml:space="preserve">СОТР-091</x:t>
        </x:is>
      </x:c>
      <x:c r="K1919" s="31" t="n">
        <x:v>8</x:v>
      </x:c>
      <x:c r="L1919" s="31" t="n">
        <x:v>7.5</x:v>
      </x:c>
      <x:c r="M1919" s="31" t="n">
        <x:v>46140</x:v>
      </x:c>
      <x:c r="N1919" s="31" t="n">
        <x:v>46141</x:v>
      </x:c>
      <x:c r="O1919" s="31" t="n">
        <x:v>46140</x:v>
      </x:c>
      <x:c r="P1919" s="31" t="n">
        <x:v>46141</x:v>
      </x:c>
      <x:c r="Q1919" s="31" t="inlineStr">
        <x:is>
          <x:t xml:space="preserve">Завершено</x:t>
        </x:is>
      </x:c>
      <x:c r="R1919" s="31" t="inlineStr">
        <x:is>
          <x:t xml:space="preserve">Нет</x:t>
        </x:is>
      </x:c>
      <x:c r="S1919" s="31" t="inlineStr">
        <x:is>
          <x:t xml:space="preserve">Нет</x:t>
        </x:is>
      </x:c>
    </x:row>
    <x:row r="1920">
      <x:c r="A1920" s="31" t="inlineStr">
        <x:is>
          <x:t xml:space="preserve">ОП-001919</x:t>
        </x:is>
      </x:c>
      <x:c r="B1920" s="31" t="inlineStr">
        <x:is>
          <x:t xml:space="preserve">ПЗ-00229</x:t>
        </x:is>
      </x:c>
      <x:c r="C1920" s="31" t="inlineStr">
        <x:is>
          <x:t xml:space="preserve">ЗК-1111</x:t>
        </x:is>
      </x:c>
      <x:c r="D1920" s="31" t="inlineStr">
        <x:is>
          <x:t xml:space="preserve">ПОЗ-0111-1</x:t>
        </x:is>
      </x:c>
      <x:c r="E1920" s="31" t="inlineStr">
        <x:is>
          <x:t xml:space="preserve">ИЗД-036</x:t>
        </x:is>
      </x:c>
      <x:c r="F1920" s="31" t="n">
        <x:v>40</x:v>
      </x:c>
      <x:c r="G1920" s="31" t="inlineStr">
        <x:is>
          <x:t xml:space="preserve">Маркировка</x:t>
        </x:is>
      </x:c>
      <x:c r="H1920" s="31" t="inlineStr">
        <x:is>
          <x:t xml:space="preserve">Сборка</x:t>
        </x:is>
      </x:c>
      <x:c r="I1920" s="31" t="inlineStr">
        <x:is>
          <x:t xml:space="preserve">ОБ-005</x:t>
        </x:is>
      </x:c>
      <x:c r="J1920" s="31" t="inlineStr">
        <x:is>
          <x:t xml:space="preserve">СОТР-080</x:t>
        </x:is>
      </x:c>
      <x:c r="K1920" s="31" t="n">
        <x:v>15</x:v>
      </x:c>
      <x:c r="L1920" s="31" t="n">
        <x:v>17.4</x:v>
      </x:c>
      <x:c r="M1920" s="31" t="n">
        <x:v>46141</x:v>
      </x:c>
      <x:c r="N1920" s="31" t="n">
        <x:v>46143</x:v>
      </x:c>
      <x:c r="O1920" s="31" t="n">
        <x:v>46141</x:v>
      </x:c>
      <x:c r="P1920" s="31" t="n">
        <x:v>46144</x:v>
      </x:c>
      <x:c r="Q1920" s="31" t="inlineStr">
        <x:is>
          <x:t xml:space="preserve">Завершено</x:t>
        </x:is>
      </x:c>
      <x:c r="R1920" s="31" t="inlineStr">
        <x:is>
          <x:t xml:space="preserve">Нет</x:t>
        </x:is>
      </x:c>
      <x:c r="S1920" s="31" t="inlineStr">
        <x:is>
          <x:t xml:space="preserve">Нет</x:t>
        </x:is>
      </x:c>
    </x:row>
    <x:row r="1921">
      <x:c r="A1921" s="31" t="inlineStr">
        <x:is>
          <x:t xml:space="preserve">ОП-001920</x:t>
        </x:is>
      </x:c>
      <x:c r="B1921" s="31" t="inlineStr">
        <x:is>
          <x:t xml:space="preserve">ПЗ-00229</x:t>
        </x:is>
      </x:c>
      <x:c r="C1921" s="31" t="inlineStr">
        <x:is>
          <x:t xml:space="preserve">ЗК-1111</x:t>
        </x:is>
      </x:c>
      <x:c r="D1921" s="31" t="inlineStr">
        <x:is>
          <x:t xml:space="preserve">ПОЗ-0111-1</x:t>
        </x:is>
      </x:c>
      <x:c r="E1921" s="31" t="inlineStr">
        <x:is>
          <x:t xml:space="preserve">ИЗД-036</x:t>
        </x:is>
      </x:c>
      <x:c r="F1921" s="31" t="n">
        <x:v>50</x:v>
      </x:c>
      <x:c r="G1921" s="31" t="inlineStr">
        <x:is>
          <x:t xml:space="preserve">Электромонтаж</x:t>
        </x:is>
      </x:c>
      <x:c r="H1921" s="31" t="inlineStr">
        <x:is>
          <x:t xml:space="preserve">Сборка</x:t>
        </x:is>
      </x:c>
      <x:c r="I1921" s="31" t="inlineStr">
        <x:is>
          <x:t xml:space="preserve">ОБ-017</x:t>
        </x:is>
      </x:c>
      <x:c r="J1921" s="31" t="inlineStr">
        <x:is>
          <x:t xml:space="preserve">СОТР-078</x:t>
        </x:is>
      </x:c>
      <x:c r="K1921" s="31" t="n">
        <x:v>9.199999999999999</x:v>
      </x:c>
      <x:c r="L1921" s="31" t="n">
        <x:v>11.7</x:v>
      </x:c>
      <x:c r="M1921" s="31" t="n">
        <x:v>46143</x:v>
      </x:c>
      <x:c r="N1921" s="31" t="n">
        <x:v>46144</x:v>
      </x:c>
      <x:c r="O1921" s="31" t="n">
        <x:v>46143</x:v>
      </x:c>
      <x:c r="P1921" s="31" t="n">
        <x:v>46144</x:v>
      </x:c>
      <x:c r="Q1921" s="31" t="inlineStr">
        <x:is>
          <x:t xml:space="preserve">Завершено</x:t>
        </x:is>
      </x:c>
      <x:c r="R1921" s="31" t="inlineStr">
        <x:is>
          <x:t xml:space="preserve">Нет</x:t>
        </x:is>
      </x:c>
      <x:c r="S1921" s="31" t="inlineStr">
        <x:is>
          <x:t xml:space="preserve">Нет</x:t>
        </x:is>
      </x:c>
    </x:row>
    <x:row r="1922">
      <x:c r="A1922" s="31" t="inlineStr">
        <x:is>
          <x:t xml:space="preserve">ОП-001921</x:t>
        </x:is>
      </x:c>
      <x:c r="B1922" s="31" t="inlineStr">
        <x:is>
          <x:t xml:space="preserve">ПЗ-00229</x:t>
        </x:is>
      </x:c>
      <x:c r="C1922" s="31" t="inlineStr">
        <x:is>
          <x:t xml:space="preserve">ЗК-1111</x:t>
        </x:is>
      </x:c>
      <x:c r="D1922" s="31" t="inlineStr">
        <x:is>
          <x:t xml:space="preserve">ПОЗ-0111-1</x:t>
        </x:is>
      </x:c>
      <x:c r="E1922" s="31" t="inlineStr">
        <x:is>
          <x:t xml:space="preserve">ИЗД-036</x:t>
        </x:is>
      </x:c>
      <x:c r="F1922" s="31" t="n">
        <x:v>60</x:v>
      </x:c>
      <x:c r="G1922" s="31" t="inlineStr">
        <x:is>
          <x:t xml:space="preserve">Программирование ПЛК</x:t>
        </x:is>
      </x:c>
      <x:c r="H1922" s="31" t="inlineStr">
        <x:is>
          <x:t xml:space="preserve">Инженерный отдел</x:t>
        </x:is>
      </x:c>
      <x:c r="I1922" s="31" t="n"/>
      <x:c r="J1922" s="31" t="inlineStr">
        <x:is>
          <x:t xml:space="preserve">СОТР-011</x:t>
        </x:is>
      </x:c>
      <x:c r="K1922" s="31" t="n">
        <x:v>35.8</x:v>
      </x:c>
      <x:c r="L1922" s="31" t="n">
        <x:v>33.8</x:v>
      </x:c>
      <x:c r="M1922" s="31" t="n">
        <x:v>46144</x:v>
      </x:c>
      <x:c r="N1922" s="31" t="n">
        <x:v>46147</x:v>
      </x:c>
      <x:c r="O1922" s="31" t="n">
        <x:v>46144</x:v>
      </x:c>
      <x:c r="P1922" s="31" t="n">
        <x:v>46146</x:v>
      </x:c>
      <x:c r="Q1922" s="31" t="inlineStr">
        <x:is>
          <x:t xml:space="preserve">Завершено</x:t>
        </x:is>
      </x:c>
      <x:c r="R1922" s="31" t="inlineStr">
        <x:is>
          <x:t xml:space="preserve">Нет</x:t>
        </x:is>
      </x:c>
      <x:c r="S1922" s="31" t="inlineStr">
        <x:is>
          <x:t xml:space="preserve">Да</x:t>
        </x:is>
      </x:c>
    </x:row>
    <x:row r="1923">
      <x:c r="A1923" s="31" t="inlineStr">
        <x:is>
          <x:t xml:space="preserve">ОП-001922</x:t>
        </x:is>
      </x:c>
      <x:c r="B1923" s="31" t="inlineStr">
        <x:is>
          <x:t xml:space="preserve">ПЗ-00229</x:t>
        </x:is>
      </x:c>
      <x:c r="C1923" s="31" t="inlineStr">
        <x:is>
          <x:t xml:space="preserve">ЗК-1111</x:t>
        </x:is>
      </x:c>
      <x:c r="D1923" s="31" t="inlineStr">
        <x:is>
          <x:t xml:space="preserve">ПОЗ-0111-1</x:t>
        </x:is>
      </x:c>
      <x:c r="E1923" s="31" t="inlineStr">
        <x:is>
          <x:t xml:space="preserve">ИЗД-036</x:t>
        </x:is>
      </x:c>
      <x:c r="F1923" s="31" t="n">
        <x:v>70</x:v>
      </x:c>
      <x:c r="G1923" s="31" t="inlineStr">
        <x:is>
          <x:t xml:space="preserve">Приемочные испытания</x:t>
        </x:is>
      </x:c>
      <x:c r="H1923" s="31" t="inlineStr">
        <x:is>
          <x:t xml:space="preserve">ОТК</x:t>
        </x:is>
      </x:c>
      <x:c r="I1923" s="31" t="inlineStr">
        <x:is>
          <x:t xml:space="preserve">ОБ-033</x:t>
        </x:is>
      </x:c>
      <x:c r="J1923" s="31" t="inlineStr">
        <x:is>
          <x:t xml:space="preserve">СОТР-092</x:t>
        </x:is>
      </x:c>
      <x:c r="K1923" s="31" t="n">
        <x:v>33</x:v>
      </x:c>
      <x:c r="L1923" s="31" t="n">
        <x:v>27.5</x:v>
      </x:c>
      <x:c r="M1923" s="31" t="n">
        <x:v>46147</x:v>
      </x:c>
      <x:c r="N1923" s="31" t="n">
        <x:v>46150</x:v>
      </x:c>
      <x:c r="O1923" s="31" t="n">
        <x:v>46147</x:v>
      </x:c>
      <x:c r="P1923" s="31" t="n">
        <x:v>46149</x:v>
      </x:c>
      <x:c r="Q1923" s="31" t="inlineStr">
        <x:is>
          <x:t xml:space="preserve">Завершено</x:t>
        </x:is>
      </x:c>
      <x:c r="R1923" s="31" t="inlineStr">
        <x:is>
          <x:t xml:space="preserve">Нет</x:t>
        </x:is>
      </x:c>
      <x:c r="S1923" s="31" t="inlineStr">
        <x:is>
          <x:t xml:space="preserve">Нет</x:t>
        </x:is>
      </x:c>
    </x:row>
    <x:row r="1924">
      <x:c r="A1924" s="31" t="inlineStr">
        <x:is>
          <x:t xml:space="preserve">ОП-001923</x:t>
        </x:is>
      </x:c>
      <x:c r="B1924" s="31" t="inlineStr">
        <x:is>
          <x:t xml:space="preserve">ПЗ-00229</x:t>
        </x:is>
      </x:c>
      <x:c r="C1924" s="31" t="inlineStr">
        <x:is>
          <x:t xml:space="preserve">ЗК-1111</x:t>
        </x:is>
      </x:c>
      <x:c r="D1924" s="31" t="inlineStr">
        <x:is>
          <x:t xml:space="preserve">ПОЗ-0111-1</x:t>
        </x:is>
      </x:c>
      <x:c r="E1924" s="31" t="inlineStr">
        <x:is>
          <x:t xml:space="preserve">ИЗД-036</x:t>
        </x:is>
      </x:c>
      <x:c r="F1924" s="31" t="n">
        <x:v>80</x:v>
      </x:c>
      <x:c r="G1924" s="31" t="inlineStr">
        <x:is>
          <x:t xml:space="preserve">ОТК</x:t>
        </x:is>
      </x:c>
      <x:c r="H1924" s="31" t="inlineStr">
        <x:is>
          <x:t xml:space="preserve">ОТК</x:t>
        </x:is>
      </x:c>
      <x:c r="I1924" s="31" t="inlineStr">
        <x:is>
          <x:t xml:space="preserve">ОБ-006</x:t>
        </x:is>
      </x:c>
      <x:c r="J1924" s="31" t="inlineStr">
        <x:is>
          <x:t xml:space="preserve">СОТР-097</x:t>
        </x:is>
      </x:c>
      <x:c r="K1924" s="31" t="n">
        <x:v>34.2</x:v>
      </x:c>
      <x:c r="L1924" s="31" t="n">
        <x:v>28.8</x:v>
      </x:c>
      <x:c r="M1924" s="31" t="n">
        <x:v>46150</x:v>
      </x:c>
      <x:c r="N1924" s="31" t="n">
        <x:v>46153</x:v>
      </x:c>
      <x:c r="O1924" s="31" t="n">
        <x:v>46150</x:v>
      </x:c>
      <x:c r="P1924" s="31" t="n">
        <x:v>46155</x:v>
      </x:c>
      <x:c r="Q1924" s="31" t="inlineStr">
        <x:is>
          <x:t xml:space="preserve">Завершено</x:t>
        </x:is>
      </x:c>
      <x:c r="R1924" s="31" t="inlineStr">
        <x:is>
          <x:t xml:space="preserve">Нет</x:t>
        </x:is>
      </x:c>
      <x:c r="S1924" s="31" t="inlineStr">
        <x:is>
          <x:t xml:space="preserve">Нет</x:t>
        </x:is>
      </x:c>
    </x:row>
    <x:row r="1925">
      <x:c r="A1925" s="31" t="inlineStr">
        <x:is>
          <x:t xml:space="preserve">ОП-001924</x:t>
        </x:is>
      </x:c>
      <x:c r="B1925" s="31" t="inlineStr">
        <x:is>
          <x:t xml:space="preserve">ПЗ-00229</x:t>
        </x:is>
      </x:c>
      <x:c r="C1925" s="31" t="inlineStr">
        <x:is>
          <x:t xml:space="preserve">ЗК-1111</x:t>
        </x:is>
      </x:c>
      <x:c r="D1925" s="31" t="inlineStr">
        <x:is>
          <x:t xml:space="preserve">ПОЗ-0111-1</x:t>
        </x:is>
      </x:c>
      <x:c r="E1925" s="31" t="inlineStr">
        <x:is>
          <x:t xml:space="preserve">ИЗД-036</x:t>
        </x:is>
      </x:c>
      <x:c r="F1925" s="31" t="n">
        <x:v>90</x:v>
      </x:c>
      <x:c r="G1925" s="31" t="inlineStr">
        <x:is>
          <x:t xml:space="preserve">Упаковка</x:t>
        </x:is>
      </x:c>
      <x:c r="H1925" s="31" t="inlineStr">
        <x:is>
          <x:t xml:space="preserve">Логистика</x:t>
        </x:is>
      </x:c>
      <x:c r="I1925" s="31" t="n"/>
      <x:c r="J1925" s="31" t="inlineStr">
        <x:is>
          <x:t xml:space="preserve">СОТР-104</x:t>
        </x:is>
      </x:c>
      <x:c r="K1925" s="31" t="n">
        <x:v>6.4</x:v>
      </x:c>
      <x:c r="L1925" s="31" t="n">
        <x:v>8.6</x:v>
      </x:c>
      <x:c r="M1925" s="31" t="n">
        <x:v>46153</x:v>
      </x:c>
      <x:c r="N1925" s="31" t="n">
        <x:v>46154</x:v>
      </x:c>
      <x:c r="O1925" s="31" t="n">
        <x:v>46153</x:v>
      </x:c>
      <x:c r="P1925" s="31" t="n">
        <x:v>46155</x:v>
      </x:c>
      <x:c r="Q1925" s="31" t="inlineStr">
        <x:is>
          <x:t xml:space="preserve">Завершено</x:t>
        </x:is>
      </x:c>
      <x:c r="R1925" s="31" t="inlineStr">
        <x:is>
          <x:t xml:space="preserve">Нет</x:t>
        </x:is>
      </x:c>
      <x:c r="S1925" s="31" t="inlineStr">
        <x:is>
          <x:t xml:space="preserve">Нет</x:t>
        </x:is>
      </x:c>
    </x:row>
    <x:row r="1926">
      <x:c r="A1926" s="31" t="inlineStr">
        <x:is>
          <x:t xml:space="preserve">ОП-001925</x:t>
        </x:is>
      </x:c>
      <x:c r="B1926" s="31" t="inlineStr">
        <x:is>
          <x:t xml:space="preserve">ПЗ-00230</x:t>
        </x:is>
      </x:c>
      <x:c r="C1926" s="31" t="inlineStr">
        <x:is>
          <x:t xml:space="preserve">ЗК-1112</x:t>
        </x:is>
      </x:c>
      <x:c r="D1926" s="31" t="inlineStr">
        <x:is>
          <x:t xml:space="preserve">ПОЗ-0112-1</x:t>
        </x:is>
      </x:c>
      <x:c r="E1926" s="31" t="inlineStr">
        <x:is>
          <x:t xml:space="preserve">ИЗД-038</x:t>
        </x:is>
      </x:c>
      <x:c r="F1926" s="31" t="n">
        <x:v>10</x:v>
      </x:c>
      <x:c r="G1926" s="31" t="inlineStr">
        <x:is>
          <x:t xml:space="preserve">КД</x:t>
        </x:is>
      </x:c>
      <x:c r="H1926" s="31" t="inlineStr">
        <x:is>
          <x:t xml:space="preserve">Инженерный отдел</x:t>
        </x:is>
      </x:c>
      <x:c r="I1926" s="31" t="n"/>
      <x:c r="J1926" s="31" t="inlineStr">
        <x:is>
          <x:t xml:space="preserve">СОТР-019</x:t>
        </x:is>
      </x:c>
      <x:c r="K1926" s="31" t="n">
        <x:v>5.5</x:v>
      </x:c>
      <x:c r="L1926" s="31" t="n">
        <x:v>5.9</x:v>
      </x:c>
      <x:c r="M1926" s="31" t="n">
        <x:v>46115</x:v>
      </x:c>
      <x:c r="N1926" s="31" t="n">
        <x:v>46116</x:v>
      </x:c>
      <x:c r="O1926" s="31" t="n">
        <x:v>46115</x:v>
      </x:c>
      <x:c r="P1926" s="31" t="n">
        <x:v>46115</x:v>
      </x:c>
      <x:c r="Q1926" s="31" t="inlineStr">
        <x:is>
          <x:t xml:space="preserve">Завершено</x:t>
        </x:is>
      </x:c>
      <x:c r="R1926" s="31" t="inlineStr">
        <x:is>
          <x:t xml:space="preserve">Нет</x:t>
        </x:is>
      </x:c>
      <x:c r="S1926" s="31" t="inlineStr">
        <x:is>
          <x:t xml:space="preserve">Нет</x:t>
        </x:is>
      </x:c>
    </x:row>
    <x:row r="1927">
      <x:c r="A1927" s="31" t="inlineStr">
        <x:is>
          <x:t xml:space="preserve">ОП-001926</x:t>
        </x:is>
      </x:c>
      <x:c r="B1927" s="31" t="inlineStr">
        <x:is>
          <x:t xml:space="preserve">ПЗ-00230</x:t>
        </x:is>
      </x:c>
      <x:c r="C1927" s="31" t="inlineStr">
        <x:is>
          <x:t xml:space="preserve">ЗК-1112</x:t>
        </x:is>
      </x:c>
      <x:c r="D1927" s="31" t="inlineStr">
        <x:is>
          <x:t xml:space="preserve">ПОЗ-0112-1</x:t>
        </x:is>
      </x:c>
      <x:c r="E1927" s="31" t="inlineStr">
        <x:is>
          <x:t xml:space="preserve">ИЗД-038</x:t>
        </x:is>
      </x:c>
      <x:c r="F1927" s="31" t="n">
        <x:v>20</x:v>
      </x:c>
      <x:c r="G1927" s="31" t="inlineStr">
        <x:is>
          <x:t xml:space="preserve">Резка труб</x:t>
        </x:is>
      </x:c>
      <x:c r="H1927" s="31" t="inlineStr">
        <x:is>
          <x:t xml:space="preserve">Сварка</x:t>
        </x:is>
      </x:c>
      <x:c r="I1927" s="31" t="inlineStr">
        <x:is>
          <x:t xml:space="preserve">ОБ-010</x:t>
        </x:is>
      </x:c>
      <x:c r="J1927" s="31" t="inlineStr">
        <x:is>
          <x:t xml:space="preserve">СОТР-064</x:t>
        </x:is>
      </x:c>
      <x:c r="K1927" s="31" t="n">
        <x:v>1.6</x:v>
      </x:c>
      <x:c r="L1927" s="31" t="n">
        <x:v>1.5</x:v>
      </x:c>
      <x:c r="M1927" s="31" t="n">
        <x:v>46116</x:v>
      </x:c>
      <x:c r="N1927" s="31" t="n">
        <x:v>46117</x:v>
      </x:c>
      <x:c r="O1927" s="31" t="n">
        <x:v>46116</x:v>
      </x:c>
      <x:c r="P1927" s="31" t="n">
        <x:v>46116</x:v>
      </x:c>
      <x:c r="Q1927" s="31" t="inlineStr">
        <x:is>
          <x:t xml:space="preserve">Завершено</x:t>
        </x:is>
      </x:c>
      <x:c r="R1927" s="31" t="inlineStr">
        <x:is>
          <x:t xml:space="preserve">Нет</x:t>
        </x:is>
      </x:c>
      <x:c r="S1927" s="31" t="inlineStr">
        <x:is>
          <x:t xml:space="preserve">Нет</x:t>
        </x:is>
      </x:c>
    </x:row>
    <x:row r="1928">
      <x:c r="A1928" s="31" t="inlineStr">
        <x:is>
          <x:t xml:space="preserve">ОП-001927</x:t>
        </x:is>
      </x:c>
      <x:c r="B1928" s="31" t="inlineStr">
        <x:is>
          <x:t xml:space="preserve">ПЗ-00230</x:t>
        </x:is>
      </x:c>
      <x:c r="C1928" s="31" t="inlineStr">
        <x:is>
          <x:t xml:space="preserve">ЗК-1112</x:t>
        </x:is>
      </x:c>
      <x:c r="D1928" s="31" t="inlineStr">
        <x:is>
          <x:t xml:space="preserve">ПОЗ-0112-1</x:t>
        </x:is>
      </x:c>
      <x:c r="E1928" s="31" t="inlineStr">
        <x:is>
          <x:t xml:space="preserve">ИЗД-038</x:t>
        </x:is>
      </x:c>
      <x:c r="F1928" s="31" t="n">
        <x:v>30</x:v>
      </x:c>
      <x:c r="G1928" s="31" t="inlineStr">
        <x:is>
          <x:t xml:space="preserve">Сварка</x:t>
        </x:is>
      </x:c>
      <x:c r="H1928" s="31" t="inlineStr">
        <x:is>
          <x:t xml:space="preserve">Сварка</x:t>
        </x:is>
      </x:c>
      <x:c r="I1928" s="31" t="inlineStr">
        <x:is>
          <x:t xml:space="preserve">ОБ-010</x:t>
        </x:is>
      </x:c>
      <x:c r="J1928" s="31" t="inlineStr">
        <x:is>
          <x:t xml:space="preserve">СОТР-062</x:t>
        </x:is>
      </x:c>
      <x:c r="K1928" s="31" t="n">
        <x:v>4.4</x:v>
      </x:c>
      <x:c r="L1928" s="31" t="n">
        <x:v>4.8</x:v>
      </x:c>
      <x:c r="M1928" s="31" t="n">
        <x:v>46117</x:v>
      </x:c>
      <x:c r="N1928" s="31" t="n">
        <x:v>46118</x:v>
      </x:c>
      <x:c r="O1928" s="31" t="n">
        <x:v>46117</x:v>
      </x:c>
      <x:c r="P1928" s="31" t="n">
        <x:v>46120</x:v>
      </x:c>
      <x:c r="Q1928" s="31" t="inlineStr">
        <x:is>
          <x:t xml:space="preserve">Завершено</x:t>
        </x:is>
      </x:c>
      <x:c r="R1928" s="31" t="inlineStr">
        <x:is>
          <x:t xml:space="preserve">Нет</x:t>
        </x:is>
      </x:c>
      <x:c r="S1928" s="31" t="inlineStr">
        <x:is>
          <x:t xml:space="preserve">Нет</x:t>
        </x:is>
      </x:c>
    </x:row>
    <x:row r="1929">
      <x:c r="A1929" s="31" t="inlineStr">
        <x:is>
          <x:t xml:space="preserve">ОП-001928</x:t>
        </x:is>
      </x:c>
      <x:c r="B1929" s="31" t="inlineStr">
        <x:is>
          <x:t xml:space="preserve">ПЗ-00230</x:t>
        </x:is>
      </x:c>
      <x:c r="C1929" s="31" t="inlineStr">
        <x:is>
          <x:t xml:space="preserve">ЗК-1112</x:t>
        </x:is>
      </x:c>
      <x:c r="D1929" s="31" t="inlineStr">
        <x:is>
          <x:t xml:space="preserve">ПОЗ-0112-1</x:t>
        </x:is>
      </x:c>
      <x:c r="E1929" s="31" t="inlineStr">
        <x:is>
          <x:t xml:space="preserve">ИЗД-038</x:t>
        </x:is>
      </x:c>
      <x:c r="F1929" s="31" t="n">
        <x:v>40</x:v>
      </x:c>
      <x:c r="G1929" s="31" t="inlineStr">
        <x:is>
          <x:t xml:space="preserve">НК сварных швов</x:t>
        </x:is>
      </x:c>
      <x:c r="H1929" s="31" t="inlineStr">
        <x:is>
          <x:t xml:space="preserve">ОТК</x:t>
        </x:is>
      </x:c>
      <x:c r="I1929" s="31" t="inlineStr">
        <x:is>
          <x:t xml:space="preserve">ОБ-022</x:t>
        </x:is>
      </x:c>
      <x:c r="J1929" s="31" t="inlineStr">
        <x:is>
          <x:t xml:space="preserve">СОТР-097</x:t>
        </x:is>
      </x:c>
      <x:c r="K1929" s="31" t="n">
        <x:v>1.1</x:v>
      </x:c>
      <x:c r="L1929" s="31" t="n">
        <x:v>1.1</x:v>
      </x:c>
      <x:c r="M1929" s="31" t="n">
        <x:v>46118</x:v>
      </x:c>
      <x:c r="N1929" s="31" t="n">
        <x:v>46119</x:v>
      </x:c>
      <x:c r="O1929" s="31" t="n">
        <x:v>46118</x:v>
      </x:c>
      <x:c r="P1929" s="31" t="n">
        <x:v>46119</x:v>
      </x:c>
      <x:c r="Q1929" s="31" t="inlineStr">
        <x:is>
          <x:t xml:space="preserve">Завершено</x:t>
        </x:is>
      </x:c>
      <x:c r="R1929" s="31" t="inlineStr">
        <x:is>
          <x:t xml:space="preserve">Нет</x:t>
        </x:is>
      </x:c>
      <x:c r="S1929" s="31" t="inlineStr">
        <x:is>
          <x:t xml:space="preserve">Нет</x:t>
        </x:is>
      </x:c>
    </x:row>
    <x:row r="1930">
      <x:c r="A1930" s="31" t="inlineStr">
        <x:is>
          <x:t xml:space="preserve">ОП-001929</x:t>
        </x:is>
      </x:c>
      <x:c r="B1930" s="31" t="inlineStr">
        <x:is>
          <x:t xml:space="preserve">ПЗ-00230</x:t>
        </x:is>
      </x:c>
      <x:c r="C1930" s="31" t="inlineStr">
        <x:is>
          <x:t xml:space="preserve">ЗК-1112</x:t>
        </x:is>
      </x:c>
      <x:c r="D1930" s="31" t="inlineStr">
        <x:is>
          <x:t xml:space="preserve">ПОЗ-0112-1</x:t>
        </x:is>
      </x:c>
      <x:c r="E1930" s="31" t="inlineStr">
        <x:is>
          <x:t xml:space="preserve">ИЗД-038</x:t>
        </x:is>
      </x:c>
      <x:c r="F1930" s="31" t="n">
        <x:v>50</x:v>
      </x:c>
      <x:c r="G1930" s="31" t="inlineStr">
        <x:is>
          <x:t xml:space="preserve">Гидроиспытания</x:t>
        </x:is>
      </x:c>
      <x:c r="H1930" s="31" t="inlineStr">
        <x:is>
          <x:t xml:space="preserve">ОТК</x:t>
        </x:is>
      </x:c>
      <x:c r="I1930" s="31" t="inlineStr">
        <x:is>
          <x:t xml:space="preserve">ОБ-028</x:t>
        </x:is>
      </x:c>
      <x:c r="J1930" s="31" t="inlineStr">
        <x:is>
          <x:t xml:space="preserve">СОТР-097</x:t>
        </x:is>
      </x:c>
      <x:c r="K1930" s="31" t="n">
        <x:v>3.3</x:v>
      </x:c>
      <x:c r="L1930" s="31" t="n">
        <x:v>3.6</x:v>
      </x:c>
      <x:c r="M1930" s="31" t="n">
        <x:v>46119</x:v>
      </x:c>
      <x:c r="N1930" s="31" t="n">
        <x:v>46120</x:v>
      </x:c>
      <x:c r="O1930" s="31" t="n">
        <x:v>46119</x:v>
      </x:c>
      <x:c r="P1930" s="31" t="n">
        <x:v>46119</x:v>
      </x:c>
      <x:c r="Q1930" s="31" t="inlineStr">
        <x:is>
          <x:t xml:space="preserve">Завершено</x:t>
        </x:is>
      </x:c>
      <x:c r="R1930" s="31" t="inlineStr">
        <x:is>
          <x:t xml:space="preserve">Нет</x:t>
        </x:is>
      </x:c>
      <x:c r="S1930" s="31" t="inlineStr">
        <x:is>
          <x:t xml:space="preserve">Нет</x:t>
        </x:is>
      </x:c>
    </x:row>
    <x:row r="1931">
      <x:c r="A1931" s="31" t="inlineStr">
        <x:is>
          <x:t xml:space="preserve">ОП-001930</x:t>
        </x:is>
      </x:c>
      <x:c r="B1931" s="31" t="inlineStr">
        <x:is>
          <x:t xml:space="preserve">ПЗ-00230</x:t>
        </x:is>
      </x:c>
      <x:c r="C1931" s="31" t="inlineStr">
        <x:is>
          <x:t xml:space="preserve">ЗК-1112</x:t>
        </x:is>
      </x:c>
      <x:c r="D1931" s="31" t="inlineStr">
        <x:is>
          <x:t xml:space="preserve">ПОЗ-0112-1</x:t>
        </x:is>
      </x:c>
      <x:c r="E1931" s="31" t="inlineStr">
        <x:is>
          <x:t xml:space="preserve">ИЗД-038</x:t>
        </x:is>
      </x:c>
      <x:c r="F1931" s="31" t="n">
        <x:v>60</x:v>
      </x:c>
      <x:c r="G1931" s="31" t="inlineStr">
        <x:is>
          <x:t xml:space="preserve">Покраска</x:t>
        </x:is>
      </x:c>
      <x:c r="H1931" s="31" t="inlineStr">
        <x:is>
          <x:t xml:space="preserve">Сварка</x:t>
        </x:is>
      </x:c>
      <x:c r="I1931" s="31" t="inlineStr">
        <x:is>
          <x:t xml:space="preserve">ОБ-010</x:t>
        </x:is>
      </x:c>
      <x:c r="J1931" s="31" t="inlineStr">
        <x:is>
          <x:t xml:space="preserve">СОТР-058</x:t>
        </x:is>
      </x:c>
      <x:c r="K1931" s="31" t="n">
        <x:v>7.8</x:v>
      </x:c>
      <x:c r="L1931" s="31" t="n">
        <x:v>9.199999999999999</x:v>
      </x:c>
      <x:c r="M1931" s="31" t="n">
        <x:v>46120</x:v>
      </x:c>
      <x:c r="N1931" s="31" t="n">
        <x:v>46121</x:v>
      </x:c>
      <x:c r="O1931" s="31" t="n">
        <x:v>46120</x:v>
      </x:c>
      <x:c r="P1931" s="31" t="n">
        <x:v>46121</x:v>
      </x:c>
      <x:c r="Q1931" s="31" t="inlineStr">
        <x:is>
          <x:t xml:space="preserve">Завершено</x:t>
        </x:is>
      </x:c>
      <x:c r="R1931" s="31" t="inlineStr">
        <x:is>
          <x:t xml:space="preserve">Нет</x:t>
        </x:is>
      </x:c>
      <x:c r="S1931" s="31" t="inlineStr">
        <x:is>
          <x:t xml:space="preserve">Нет</x:t>
        </x:is>
      </x:c>
    </x:row>
    <x:row r="1932">
      <x:c r="A1932" s="31" t="inlineStr">
        <x:is>
          <x:t xml:space="preserve">ОП-001931</x:t>
        </x:is>
      </x:c>
      <x:c r="B1932" s="31" t="inlineStr">
        <x:is>
          <x:t xml:space="preserve">ПЗ-00230</x:t>
        </x:is>
      </x:c>
      <x:c r="C1932" s="31" t="inlineStr">
        <x:is>
          <x:t xml:space="preserve">ЗК-1112</x:t>
        </x:is>
      </x:c>
      <x:c r="D1932" s="31" t="inlineStr">
        <x:is>
          <x:t xml:space="preserve">ПОЗ-0112-1</x:t>
        </x:is>
      </x:c>
      <x:c r="E1932" s="31" t="inlineStr">
        <x:is>
          <x:t xml:space="preserve">ИЗД-038</x:t>
        </x:is>
      </x:c>
      <x:c r="F1932" s="31" t="n">
        <x:v>70</x:v>
      </x:c>
      <x:c r="G1932" s="31" t="inlineStr">
        <x:is>
          <x:t xml:space="preserve">ОТК</x:t>
        </x:is>
      </x:c>
      <x:c r="H1932" s="31" t="inlineStr">
        <x:is>
          <x:t xml:space="preserve">ОТК</x:t>
        </x:is>
      </x:c>
      <x:c r="I1932" s="31" t="inlineStr">
        <x:is>
          <x:t xml:space="preserve">ОБ-006</x:t>
        </x:is>
      </x:c>
      <x:c r="J1932" s="31" t="inlineStr">
        <x:is>
          <x:t xml:space="preserve">СОТР-093</x:t>
        </x:is>
      </x:c>
      <x:c r="K1932" s="31" t="n">
        <x:v>4.7</x:v>
      </x:c>
      <x:c r="L1932" s="31" t="n">
        <x:v>4.9</x:v>
      </x:c>
      <x:c r="M1932" s="31" t="n">
        <x:v>46121</x:v>
      </x:c>
      <x:c r="N1932" s="31" t="n">
        <x:v>46122</x:v>
      </x:c>
      <x:c r="O1932" s="31" t="n">
        <x:v>46121</x:v>
      </x:c>
      <x:c r="P1932" s="31" t="n">
        <x:v>46124</x:v>
      </x:c>
      <x:c r="Q1932" s="31" t="inlineStr">
        <x:is>
          <x:t xml:space="preserve">Завершено</x:t>
        </x:is>
      </x:c>
      <x:c r="R1932" s="31" t="inlineStr">
        <x:is>
          <x:t xml:space="preserve">Нет</x:t>
        </x:is>
      </x:c>
      <x:c r="S1932" s="31" t="inlineStr">
        <x:is>
          <x:t xml:space="preserve">Нет</x:t>
        </x:is>
      </x:c>
    </x:row>
    <x:row r="1933">
      <x:c r="A1933" s="31" t="inlineStr">
        <x:is>
          <x:t xml:space="preserve">ОП-001932</x:t>
        </x:is>
      </x:c>
      <x:c r="B1933" s="31" t="inlineStr">
        <x:is>
          <x:t xml:space="preserve">ПЗ-00231</x:t>
        </x:is>
      </x:c>
      <x:c r="C1933" s="31" t="inlineStr">
        <x:is>
          <x:t xml:space="preserve">ЗК-1112</x:t>
        </x:is>
      </x:c>
      <x:c r="D1933" s="31" t="inlineStr">
        <x:is>
          <x:t xml:space="preserve">ПОЗ-0112-2</x:t>
        </x:is>
      </x:c>
      <x:c r="E1933" s="31" t="inlineStr">
        <x:is>
          <x:t xml:space="preserve">ИЗД-037</x:t>
        </x:is>
      </x:c>
      <x:c r="F1933" s="31" t="n">
        <x:v>10</x:v>
      </x:c>
      <x:c r="G1933" s="31" t="inlineStr">
        <x:is>
          <x:t xml:space="preserve">КД</x:t>
        </x:is>
      </x:c>
      <x:c r="H1933" s="31" t="inlineStr">
        <x:is>
          <x:t xml:space="preserve">Инженерный отдел</x:t>
        </x:is>
      </x:c>
      <x:c r="I1933" s="31" t="n"/>
      <x:c r="J1933" s="31" t="inlineStr">
        <x:is>
          <x:t xml:space="preserve">СОТР-012</x:t>
        </x:is>
      </x:c>
      <x:c r="K1933" s="31" t="n">
        <x:v>26.8</x:v>
      </x:c>
      <x:c r="L1933" s="31" t="n">
        <x:v>21.9</x:v>
      </x:c>
      <x:c r="M1933" s="31" t="n">
        <x:v>46113</x:v>
      </x:c>
      <x:c r="N1933" s="31" t="n">
        <x:v>46116</x:v>
      </x:c>
      <x:c r="O1933" s="31" t="n">
        <x:v>46113</x:v>
      </x:c>
      <x:c r="P1933" s="31" t="n">
        <x:v>46118</x:v>
      </x:c>
      <x:c r="Q1933" s="31" t="inlineStr">
        <x:is>
          <x:t xml:space="preserve">Завершено</x:t>
        </x:is>
      </x:c>
      <x:c r="R1933" s="31" t="inlineStr">
        <x:is>
          <x:t xml:space="preserve">Нет</x:t>
        </x:is>
      </x:c>
      <x:c r="S1933" s="31" t="inlineStr">
        <x:is>
          <x:t xml:space="preserve">Нет</x:t>
        </x:is>
      </x:c>
    </x:row>
    <x:row r="1934">
      <x:c r="A1934" s="31" t="inlineStr">
        <x:is>
          <x:t xml:space="preserve">ОП-001933</x:t>
        </x:is>
      </x:c>
      <x:c r="B1934" s="31" t="inlineStr">
        <x:is>
          <x:t xml:space="preserve">ПЗ-00231</x:t>
        </x:is>
      </x:c>
      <x:c r="C1934" s="31" t="inlineStr">
        <x:is>
          <x:t xml:space="preserve">ЗК-1112</x:t>
        </x:is>
      </x:c>
      <x:c r="D1934" s="31" t="inlineStr">
        <x:is>
          <x:t xml:space="preserve">ПОЗ-0112-2</x:t>
        </x:is>
      </x:c>
      <x:c r="E1934" s="31" t="inlineStr">
        <x:is>
          <x:t xml:space="preserve">ИЗД-037</x:t>
        </x:is>
      </x:c>
      <x:c r="F1934" s="31" t="n">
        <x:v>20</x:v>
      </x:c>
      <x:c r="G1934" s="31" t="inlineStr">
        <x:is>
          <x:t xml:space="preserve">Резка труб</x:t>
        </x:is>
      </x:c>
      <x:c r="H1934" s="31" t="inlineStr">
        <x:is>
          <x:t xml:space="preserve">Сварка</x:t>
        </x:is>
      </x:c>
      <x:c r="I1934" s="31" t="inlineStr">
        <x:is>
          <x:t xml:space="preserve">ОБ-018</x:t>
        </x:is>
      </x:c>
      <x:c r="J1934" s="31" t="inlineStr">
        <x:is>
          <x:t xml:space="preserve">СОТР-059</x:t>
        </x:is>
      </x:c>
      <x:c r="K1934" s="31" t="n">
        <x:v>41.4</x:v>
      </x:c>
      <x:c r="L1934" s="31" t="n">
        <x:v>45.7</x:v>
      </x:c>
      <x:c r="M1934" s="31" t="n">
        <x:v>46116</x:v>
      </x:c>
      <x:c r="N1934" s="31" t="n">
        <x:v>46120</x:v>
      </x:c>
      <x:c r="O1934" s="31" t="n">
        <x:v>46116</x:v>
      </x:c>
      <x:c r="P1934" s="31" t="n">
        <x:v>46120</x:v>
      </x:c>
      <x:c r="Q1934" s="31" t="inlineStr">
        <x:is>
          <x:t xml:space="preserve">Завершено</x:t>
        </x:is>
      </x:c>
      <x:c r="R1934" s="31" t="inlineStr">
        <x:is>
          <x:t xml:space="preserve">Материал</x:t>
        </x:is>
      </x:c>
      <x:c r="S1934" s="31" t="inlineStr">
        <x:is>
          <x:t xml:space="preserve">Нет</x:t>
        </x:is>
      </x:c>
    </x:row>
    <x:row r="1935">
      <x:c r="A1935" s="31" t="inlineStr">
        <x:is>
          <x:t xml:space="preserve">ОП-001934</x:t>
        </x:is>
      </x:c>
      <x:c r="B1935" s="31" t="inlineStr">
        <x:is>
          <x:t xml:space="preserve">ПЗ-00231</x:t>
        </x:is>
      </x:c>
      <x:c r="C1935" s="31" t="inlineStr">
        <x:is>
          <x:t xml:space="preserve">ЗК-1112</x:t>
        </x:is>
      </x:c>
      <x:c r="D1935" s="31" t="inlineStr">
        <x:is>
          <x:t xml:space="preserve">ПОЗ-0112-2</x:t>
        </x:is>
      </x:c>
      <x:c r="E1935" s="31" t="inlineStr">
        <x:is>
          <x:t xml:space="preserve">ИЗД-037</x:t>
        </x:is>
      </x:c>
      <x:c r="F1935" s="31" t="n">
        <x:v>30</x:v>
      </x:c>
      <x:c r="G1935" s="31" t="inlineStr">
        <x:is>
          <x:t xml:space="preserve">Сварка</x:t>
        </x:is>
      </x:c>
      <x:c r="H1935" s="31" t="inlineStr">
        <x:is>
          <x:t xml:space="preserve">Сварка</x:t>
        </x:is>
      </x:c>
      <x:c r="I1935" s="31" t="inlineStr">
        <x:is>
          <x:t xml:space="preserve">ОБ-018</x:t>
        </x:is>
      </x:c>
      <x:c r="J1935" s="31" t="inlineStr">
        <x:is>
          <x:t xml:space="preserve">СОТР-068</x:t>
        </x:is>
      </x:c>
      <x:c r="K1935" s="31" t="n">
        <x:v>28.6</x:v>
      </x:c>
      <x:c r="L1935" s="31" t="n">
        <x:v>25.5</x:v>
      </x:c>
      <x:c r="M1935" s="31" t="n">
        <x:v>46120</x:v>
      </x:c>
      <x:c r="N1935" s="31" t="n">
        <x:v>46123</x:v>
      </x:c>
      <x:c r="O1935" s="31" t="n">
        <x:v>46120</x:v>
      </x:c>
      <x:c r="P1935" s="31" t="n">
        <x:v>46124</x:v>
      </x:c>
      <x:c r="Q1935" s="31" t="inlineStr">
        <x:is>
          <x:t xml:space="preserve">Завершено</x:t>
        </x:is>
      </x:c>
      <x:c r="R1935" s="31" t="inlineStr">
        <x:is>
          <x:t xml:space="preserve">Нет</x:t>
        </x:is>
      </x:c>
      <x:c r="S1935" s="31" t="inlineStr">
        <x:is>
          <x:t xml:space="preserve">Да</x:t>
        </x:is>
      </x:c>
    </x:row>
    <x:row r="1936">
      <x:c r="A1936" s="31" t="inlineStr">
        <x:is>
          <x:t xml:space="preserve">ОП-001935</x:t>
        </x:is>
      </x:c>
      <x:c r="B1936" s="31" t="inlineStr">
        <x:is>
          <x:t xml:space="preserve">ПЗ-00231</x:t>
        </x:is>
      </x:c>
      <x:c r="C1936" s="31" t="inlineStr">
        <x:is>
          <x:t xml:space="preserve">ЗК-1112</x:t>
        </x:is>
      </x:c>
      <x:c r="D1936" s="31" t="inlineStr">
        <x:is>
          <x:t xml:space="preserve">ПОЗ-0112-2</x:t>
        </x:is>
      </x:c>
      <x:c r="E1936" s="31" t="inlineStr">
        <x:is>
          <x:t xml:space="preserve">ИЗД-037</x:t>
        </x:is>
      </x:c>
      <x:c r="F1936" s="31" t="n">
        <x:v>40</x:v>
      </x:c>
      <x:c r="G1936" s="31" t="inlineStr">
        <x:is>
          <x:t xml:space="preserve">НК сварных швов</x:t>
        </x:is>
      </x:c>
      <x:c r="H1936" s="31" t="inlineStr">
        <x:is>
          <x:t xml:space="preserve">ОТК</x:t>
        </x:is>
      </x:c>
      <x:c r="I1936" s="31" t="inlineStr">
        <x:is>
          <x:t xml:space="preserve">ОБ-007</x:t>
        </x:is>
      </x:c>
      <x:c r="J1936" s="31" t="inlineStr">
        <x:is>
          <x:t xml:space="preserve">СОТР-093</x:t>
        </x:is>
      </x:c>
      <x:c r="K1936" s="31" t="n">
        <x:v>6.8</x:v>
      </x:c>
      <x:c r="L1936" s="31" t="n">
        <x:v>6.1</x:v>
      </x:c>
      <x:c r="M1936" s="31" t="n">
        <x:v>46123</x:v>
      </x:c>
      <x:c r="N1936" s="31" t="n">
        <x:v>46124</x:v>
      </x:c>
      <x:c r="O1936" s="31" t="n">
        <x:v>46123</x:v>
      </x:c>
      <x:c r="P1936" s="31" t="n">
        <x:v>46123</x:v>
      </x:c>
      <x:c r="Q1936" s="31" t="inlineStr">
        <x:is>
          <x:t xml:space="preserve">Завершено</x:t>
        </x:is>
      </x:c>
      <x:c r="R1936" s="31" t="inlineStr">
        <x:is>
          <x:t xml:space="preserve">Нет</x:t>
        </x:is>
      </x:c>
      <x:c r="S1936" s="31" t="inlineStr">
        <x:is>
          <x:t xml:space="preserve">Нет</x:t>
        </x:is>
      </x:c>
    </x:row>
    <x:row r="1937">
      <x:c r="A1937" s="31" t="inlineStr">
        <x:is>
          <x:t xml:space="preserve">ОП-001936</x:t>
        </x:is>
      </x:c>
      <x:c r="B1937" s="31" t="inlineStr">
        <x:is>
          <x:t xml:space="preserve">ПЗ-00231</x:t>
        </x:is>
      </x:c>
      <x:c r="C1937" s="31" t="inlineStr">
        <x:is>
          <x:t xml:space="preserve">ЗК-1112</x:t>
        </x:is>
      </x:c>
      <x:c r="D1937" s="31" t="inlineStr">
        <x:is>
          <x:t xml:space="preserve">ПОЗ-0112-2</x:t>
        </x:is>
      </x:c>
      <x:c r="E1937" s="31" t="inlineStr">
        <x:is>
          <x:t xml:space="preserve">ИЗД-037</x:t>
        </x:is>
      </x:c>
      <x:c r="F1937" s="31" t="n">
        <x:v>50</x:v>
      </x:c>
      <x:c r="G1937" s="31" t="inlineStr">
        <x:is>
          <x:t xml:space="preserve">Гидроиспытания</x:t>
        </x:is>
      </x:c>
      <x:c r="H1937" s="31" t="inlineStr">
        <x:is>
          <x:t xml:space="preserve">ОТК</x:t>
        </x:is>
      </x:c>
      <x:c r="I1937" s="31" t="inlineStr">
        <x:is>
          <x:t xml:space="preserve">ОБ-015</x:t>
        </x:is>
      </x:c>
      <x:c r="J1937" s="31" t="inlineStr">
        <x:is>
          <x:t xml:space="preserve">СОТР-063</x:t>
        </x:is>
      </x:c>
      <x:c r="K1937" s="31" t="n">
        <x:v>9.4</x:v>
      </x:c>
      <x:c r="L1937" s="31" t="n">
        <x:v>12.3</x:v>
      </x:c>
      <x:c r="M1937" s="31" t="n">
        <x:v>46124</x:v>
      </x:c>
      <x:c r="N1937" s="31" t="n">
        <x:v>46125</x:v>
      </x:c>
      <x:c r="O1937" s="31" t="n">
        <x:v>46124</x:v>
      </x:c>
      <x:c r="P1937" s="31" t="n">
        <x:v>46125</x:v>
      </x:c>
      <x:c r="Q1937" s="31" t="inlineStr">
        <x:is>
          <x:t xml:space="preserve">Завершено</x:t>
        </x:is>
      </x:c>
      <x:c r="R1937" s="31" t="inlineStr">
        <x:is>
          <x:t xml:space="preserve">Нет</x:t>
        </x:is>
      </x:c>
      <x:c r="S1937" s="31" t="inlineStr">
        <x:is>
          <x:t xml:space="preserve">Нет</x:t>
        </x:is>
      </x:c>
    </x:row>
    <x:row r="1938">
      <x:c r="A1938" s="31" t="inlineStr">
        <x:is>
          <x:t xml:space="preserve">ОП-001937</x:t>
        </x:is>
      </x:c>
      <x:c r="B1938" s="31" t="inlineStr">
        <x:is>
          <x:t xml:space="preserve">ПЗ-00231</x:t>
        </x:is>
      </x:c>
      <x:c r="C1938" s="31" t="inlineStr">
        <x:is>
          <x:t xml:space="preserve">ЗК-1112</x:t>
        </x:is>
      </x:c>
      <x:c r="D1938" s="31" t="inlineStr">
        <x:is>
          <x:t xml:space="preserve">ПОЗ-0112-2</x:t>
        </x:is>
      </x:c>
      <x:c r="E1938" s="31" t="inlineStr">
        <x:is>
          <x:t xml:space="preserve">ИЗД-037</x:t>
        </x:is>
      </x:c>
      <x:c r="F1938" s="31" t="n">
        <x:v>60</x:v>
      </x:c>
      <x:c r="G1938" s="31" t="inlineStr">
        <x:is>
          <x:t xml:space="preserve">Покраска</x:t>
        </x:is>
      </x:c>
      <x:c r="H1938" s="31" t="inlineStr">
        <x:is>
          <x:t xml:space="preserve">Сварка</x:t>
        </x:is>
      </x:c>
      <x:c r="I1938" s="31" t="inlineStr">
        <x:is>
          <x:t xml:space="preserve">ОБ-004</x:t>
        </x:is>
      </x:c>
      <x:c r="J1938" s="31" t="inlineStr">
        <x:is>
          <x:t xml:space="preserve">СОТР-067</x:t>
        </x:is>
      </x:c>
      <x:c r="K1938" s="31" t="n">
        <x:v>17.2</x:v>
      </x:c>
      <x:c r="L1938" s="31" t="n">
        <x:v>21.7</x:v>
      </x:c>
      <x:c r="M1938" s="31" t="n">
        <x:v>46125</x:v>
      </x:c>
      <x:c r="N1938" s="31" t="n">
        <x:v>46127</x:v>
      </x:c>
      <x:c r="O1938" s="31" t="n">
        <x:v>46125</x:v>
      </x:c>
      <x:c r="P1938" s="31" t="n">
        <x:v>46127</x:v>
      </x:c>
      <x:c r="Q1938" s="31" t="inlineStr">
        <x:is>
          <x:t xml:space="preserve">Завершено</x:t>
        </x:is>
      </x:c>
      <x:c r="R1938" s="31" t="inlineStr">
        <x:is>
          <x:t xml:space="preserve">КД</x:t>
        </x:is>
      </x:c>
      <x:c r="S1938" s="31" t="inlineStr">
        <x:is>
          <x:t xml:space="preserve">Нет</x:t>
        </x:is>
      </x:c>
    </x:row>
    <x:row r="1939">
      <x:c r="A1939" s="31" t="inlineStr">
        <x:is>
          <x:t xml:space="preserve">ОП-001938</x:t>
        </x:is>
      </x:c>
      <x:c r="B1939" s="31" t="inlineStr">
        <x:is>
          <x:t xml:space="preserve">ПЗ-00231</x:t>
        </x:is>
      </x:c>
      <x:c r="C1939" s="31" t="inlineStr">
        <x:is>
          <x:t xml:space="preserve">ЗК-1112</x:t>
        </x:is>
      </x:c>
      <x:c r="D1939" s="31" t="inlineStr">
        <x:is>
          <x:t xml:space="preserve">ПОЗ-0112-2</x:t>
        </x:is>
      </x:c>
      <x:c r="E1939" s="31" t="inlineStr">
        <x:is>
          <x:t xml:space="preserve">ИЗД-037</x:t>
        </x:is>
      </x:c>
      <x:c r="F1939" s="31" t="n">
        <x:v>70</x:v>
      </x:c>
      <x:c r="G1939" s="31" t="inlineStr">
        <x:is>
          <x:t xml:space="preserve">ОТК</x:t>
        </x:is>
      </x:c>
      <x:c r="H1939" s="31" t="inlineStr">
        <x:is>
          <x:t xml:space="preserve">ОТК</x:t>
        </x:is>
      </x:c>
      <x:c r="I1939" s="31" t="inlineStr">
        <x:is>
          <x:t xml:space="preserve">ОБ-032</x:t>
        </x:is>
      </x:c>
      <x:c r="J1939" s="31" t="inlineStr">
        <x:is>
          <x:t xml:space="preserve">СОТР-098</x:t>
        </x:is>
      </x:c>
      <x:c r="K1939" s="31" t="n">
        <x:v>37.4</x:v>
      </x:c>
      <x:c r="L1939" s="31" t="n">
        <x:v>36.3</x:v>
      </x:c>
      <x:c r="M1939" s="31" t="n">
        <x:v>46127</x:v>
      </x:c>
      <x:c r="N1939" s="31" t="n">
        <x:v>46131</x:v>
      </x:c>
      <x:c r="O1939" s="31" t="n">
        <x:v>46127</x:v>
      </x:c>
      <x:c r="P1939" s="31" t="n">
        <x:v>46133</x:v>
      </x:c>
      <x:c r="Q1939" s="31" t="inlineStr">
        <x:is>
          <x:t xml:space="preserve">Завершено</x:t>
        </x:is>
      </x:c>
      <x:c r="R1939" s="31" t="inlineStr">
        <x:is>
          <x:t xml:space="preserve">Материал</x:t>
        </x:is>
      </x:c>
      <x:c r="S1939" s="31" t="inlineStr">
        <x:is>
          <x:t xml:space="preserve">Нет</x:t>
        </x:is>
      </x:c>
    </x:row>
    <x:row r="1940">
      <x:c r="A1940" s="31" t="inlineStr">
        <x:is>
          <x:t xml:space="preserve">ОП-001939</x:t>
        </x:is>
      </x:c>
      <x:c r="B1940" s="31" t="inlineStr">
        <x:is>
          <x:t xml:space="preserve">ПЗ-00232</x:t>
        </x:is>
      </x:c>
      <x:c r="C1940" s="31" t="inlineStr">
        <x:is>
          <x:t xml:space="preserve">ЗК-1112</x:t>
        </x:is>
      </x:c>
      <x:c r="D1940" s="31" t="inlineStr">
        <x:is>
          <x:t xml:space="preserve">ПОЗ-0112-3</x:t>
        </x:is>
      </x:c>
      <x:c r="E1940" s="31" t="inlineStr">
        <x:is>
          <x:t xml:space="preserve">ИЗД-012</x:t>
        </x:is>
      </x:c>
      <x:c r="F1940" s="31" t="n">
        <x:v>10</x:v>
      </x:c>
      <x:c r="G1940" s="31" t="inlineStr">
        <x:is>
          <x:t xml:space="preserve">КД</x:t>
        </x:is>
      </x:c>
      <x:c r="H1940" s="31" t="inlineStr">
        <x:is>
          <x:t xml:space="preserve">Инженерный отдел</x:t>
        </x:is>
      </x:c>
      <x:c r="I1940" s="31" t="n"/>
      <x:c r="J1940" s="31" t="inlineStr">
        <x:is>
          <x:t xml:space="preserve">СОТР-015</x:t>
        </x:is>
      </x:c>
      <x:c r="K1940" s="31" t="n">
        <x:v>16.5</x:v>
      </x:c>
      <x:c r="L1940" s="31" t="n">
        <x:v>18.1</x:v>
      </x:c>
      <x:c r="M1940" s="31" t="n">
        <x:v>46114</x:v>
      </x:c>
      <x:c r="N1940" s="31" t="n">
        <x:v>46116</x:v>
      </x:c>
      <x:c r="O1940" s="31" t="n">
        <x:v>46114</x:v>
      </x:c>
      <x:c r="P1940" s="31" t="n">
        <x:v>46117</x:v>
      </x:c>
      <x:c r="Q1940" s="31" t="inlineStr">
        <x:is>
          <x:t xml:space="preserve">Завершено</x:t>
        </x:is>
      </x:c>
      <x:c r="R1940" s="31" t="inlineStr">
        <x:is>
          <x:t xml:space="preserve">Нет</x:t>
        </x:is>
      </x:c>
      <x:c r="S1940" s="31" t="inlineStr">
        <x:is>
          <x:t xml:space="preserve">Нет</x:t>
        </x:is>
      </x:c>
    </x:row>
    <x:row r="1941">
      <x:c r="A1941" s="31" t="inlineStr">
        <x:is>
          <x:t xml:space="preserve">ОП-001940</x:t>
        </x:is>
      </x:c>
      <x:c r="B1941" s="31" t="inlineStr">
        <x:is>
          <x:t xml:space="preserve">ПЗ-00232</x:t>
        </x:is>
      </x:c>
      <x:c r="C1941" s="31" t="inlineStr">
        <x:is>
          <x:t xml:space="preserve">ЗК-1112</x:t>
        </x:is>
      </x:c>
      <x:c r="D1941" s="31" t="inlineStr">
        <x:is>
          <x:t xml:space="preserve">ПОЗ-0112-3</x:t>
        </x:is>
      </x:c>
      <x:c r="E1941" s="31" t="inlineStr">
        <x:is>
          <x:t xml:space="preserve">ИЗД-012</x:t>
        </x:is>
      </x:c>
      <x:c r="F1941" s="31" t="n">
        <x:v>20</x:v>
      </x:c>
      <x:c r="G1941" s="31" t="inlineStr">
        <x:is>
          <x:t xml:space="preserve">Резка труб</x:t>
        </x:is>
      </x:c>
      <x:c r="H1941" s="31" t="inlineStr">
        <x:is>
          <x:t xml:space="preserve">Сварка</x:t>
        </x:is>
      </x:c>
      <x:c r="I1941" s="31" t="inlineStr">
        <x:is>
          <x:t xml:space="preserve">ОБ-018</x:t>
        </x:is>
      </x:c>
      <x:c r="J1941" s="31" t="inlineStr">
        <x:is>
          <x:t xml:space="preserve">СОТР-066</x:t>
        </x:is>
      </x:c>
      <x:c r="K1941" s="31" t="n">
        <x:v>15.9</x:v>
      </x:c>
      <x:c r="L1941" s="31" t="n">
        <x:v>18.3</x:v>
      </x:c>
      <x:c r="M1941" s="31" t="n">
        <x:v>46116</x:v>
      </x:c>
      <x:c r="N1941" s="31" t="n">
        <x:v>46118</x:v>
      </x:c>
      <x:c r="O1941" s="31" t="n">
        <x:v>46116</x:v>
      </x:c>
      <x:c r="P1941" s="31" t="n">
        <x:v>46119</x:v>
      </x:c>
      <x:c r="Q1941" s="31" t="inlineStr">
        <x:is>
          <x:t xml:space="preserve">Завершено</x:t>
        </x:is>
      </x:c>
      <x:c r="R1941" s="31" t="inlineStr">
        <x:is>
          <x:t xml:space="preserve">Нет</x:t>
        </x:is>
      </x:c>
      <x:c r="S1941" s="31" t="inlineStr">
        <x:is>
          <x:t xml:space="preserve">Нет</x:t>
        </x:is>
      </x:c>
    </x:row>
    <x:row r="1942">
      <x:c r="A1942" s="31" t="inlineStr">
        <x:is>
          <x:t xml:space="preserve">ОП-001941</x:t>
        </x:is>
      </x:c>
      <x:c r="B1942" s="31" t="inlineStr">
        <x:is>
          <x:t xml:space="preserve">ПЗ-00232</x:t>
        </x:is>
      </x:c>
      <x:c r="C1942" s="31" t="inlineStr">
        <x:is>
          <x:t xml:space="preserve">ЗК-1112</x:t>
        </x:is>
      </x:c>
      <x:c r="D1942" s="31" t="inlineStr">
        <x:is>
          <x:t xml:space="preserve">ПОЗ-0112-3</x:t>
        </x:is>
      </x:c>
      <x:c r="E1942" s="31" t="inlineStr">
        <x:is>
          <x:t xml:space="preserve">ИЗД-012</x:t>
        </x:is>
      </x:c>
      <x:c r="F1942" s="31" t="n">
        <x:v>30</x:v>
      </x:c>
      <x:c r="G1942" s="31" t="inlineStr">
        <x:is>
          <x:t xml:space="preserve">Сварка</x:t>
        </x:is>
      </x:c>
      <x:c r="H1942" s="31" t="inlineStr">
        <x:is>
          <x:t xml:space="preserve">Сварка</x:t>
        </x:is>
      </x:c>
      <x:c r="I1942" s="31" t="inlineStr">
        <x:is>
          <x:t xml:space="preserve">ОБ-035</x:t>
        </x:is>
      </x:c>
      <x:c r="J1942" s="31" t="inlineStr">
        <x:is>
          <x:t xml:space="preserve">СОТР-066</x:t>
        </x:is>
      </x:c>
      <x:c r="K1942" s="31" t="n">
        <x:v>18</x:v>
      </x:c>
      <x:c r="L1942" s="31" t="n">
        <x:v>17.8</x:v>
      </x:c>
      <x:c r="M1942" s="31" t="n">
        <x:v>46118</x:v>
      </x:c>
      <x:c r="N1942" s="31" t="n">
        <x:v>46120</x:v>
      </x:c>
      <x:c r="O1942" s="31" t="n">
        <x:v>46118</x:v>
      </x:c>
      <x:c r="P1942" s="31" t="n">
        <x:v>46121</x:v>
      </x:c>
      <x:c r="Q1942" s="31" t="inlineStr">
        <x:is>
          <x:t xml:space="preserve">Завершено</x:t>
        </x:is>
      </x:c>
      <x:c r="R1942" s="31" t="inlineStr">
        <x:is>
          <x:t xml:space="preserve">Нет</x:t>
        </x:is>
      </x:c>
      <x:c r="S1942" s="31" t="inlineStr">
        <x:is>
          <x:t xml:space="preserve">Нет</x:t>
        </x:is>
      </x:c>
    </x:row>
    <x:row r="1943">
      <x:c r="A1943" s="31" t="inlineStr">
        <x:is>
          <x:t xml:space="preserve">ОП-001942</x:t>
        </x:is>
      </x:c>
      <x:c r="B1943" s="31" t="inlineStr">
        <x:is>
          <x:t xml:space="preserve">ПЗ-00232</x:t>
        </x:is>
      </x:c>
      <x:c r="C1943" s="31" t="inlineStr">
        <x:is>
          <x:t xml:space="preserve">ЗК-1112</x:t>
        </x:is>
      </x:c>
      <x:c r="D1943" s="31" t="inlineStr">
        <x:is>
          <x:t xml:space="preserve">ПОЗ-0112-3</x:t>
        </x:is>
      </x:c>
      <x:c r="E1943" s="31" t="inlineStr">
        <x:is>
          <x:t xml:space="preserve">ИЗД-012</x:t>
        </x:is>
      </x:c>
      <x:c r="F1943" s="31" t="n">
        <x:v>40</x:v>
      </x:c>
      <x:c r="G1943" s="31" t="inlineStr">
        <x:is>
          <x:t xml:space="preserve">НК сварных швов</x:t>
        </x:is>
      </x:c>
      <x:c r="H1943" s="31" t="inlineStr">
        <x:is>
          <x:t xml:space="preserve">ОТК</x:t>
        </x:is>
      </x:c>
      <x:c r="I1943" s="31" t="inlineStr">
        <x:is>
          <x:t xml:space="preserve">ОБ-022</x:t>
        </x:is>
      </x:c>
      <x:c r="J1943" s="31" t="inlineStr">
        <x:is>
          <x:t xml:space="preserve">СОТР-100</x:t>
        </x:is>
      </x:c>
      <x:c r="K1943" s="31" t="n">
        <x:v>12.9</x:v>
      </x:c>
      <x:c r="L1943" s="31" t="n">
        <x:v>15.3</x:v>
      </x:c>
      <x:c r="M1943" s="31" t="n">
        <x:v>46120</x:v>
      </x:c>
      <x:c r="N1943" s="31" t="n">
        <x:v>46122</x:v>
      </x:c>
      <x:c r="O1943" s="31" t="n">
        <x:v>46120</x:v>
      </x:c>
      <x:c r="P1943" s="31" t="n">
        <x:v>46123</x:v>
      </x:c>
      <x:c r="Q1943" s="31" t="inlineStr">
        <x:is>
          <x:t xml:space="preserve">Завершено</x:t>
        </x:is>
      </x:c>
      <x:c r="R1943" s="31" t="inlineStr">
        <x:is>
          <x:t xml:space="preserve">Нет</x:t>
        </x:is>
      </x:c>
      <x:c r="S1943" s="31" t="inlineStr">
        <x:is>
          <x:t xml:space="preserve">Да</x:t>
        </x:is>
      </x:c>
    </x:row>
    <x:row r="1944">
      <x:c r="A1944" s="31" t="inlineStr">
        <x:is>
          <x:t xml:space="preserve">ОП-001943</x:t>
        </x:is>
      </x:c>
      <x:c r="B1944" s="31" t="inlineStr">
        <x:is>
          <x:t xml:space="preserve">ПЗ-00232</x:t>
        </x:is>
      </x:c>
      <x:c r="C1944" s="31" t="inlineStr">
        <x:is>
          <x:t xml:space="preserve">ЗК-1112</x:t>
        </x:is>
      </x:c>
      <x:c r="D1944" s="31" t="inlineStr">
        <x:is>
          <x:t xml:space="preserve">ПОЗ-0112-3</x:t>
        </x:is>
      </x:c>
      <x:c r="E1944" s="31" t="inlineStr">
        <x:is>
          <x:t xml:space="preserve">ИЗД-012</x:t>
        </x:is>
      </x:c>
      <x:c r="F1944" s="31" t="n">
        <x:v>50</x:v>
      </x:c>
      <x:c r="G1944" s="31" t="inlineStr">
        <x:is>
          <x:t xml:space="preserve">Гидроиспытания</x:t>
        </x:is>
      </x:c>
      <x:c r="H1944" s="31" t="inlineStr">
        <x:is>
          <x:t xml:space="preserve">ОТК</x:t>
        </x:is>
      </x:c>
      <x:c r="I1944" s="31" t="inlineStr">
        <x:is>
          <x:t xml:space="preserve">ОБ-007</x:t>
        </x:is>
      </x:c>
      <x:c r="J1944" s="31" t="inlineStr">
        <x:is>
          <x:t xml:space="preserve">СОТР-093</x:t>
        </x:is>
      </x:c>
      <x:c r="K1944" s="31" t="n">
        <x:v>12.9</x:v>
      </x:c>
      <x:c r="L1944" s="31" t="n">
        <x:v>12.7</x:v>
      </x:c>
      <x:c r="M1944" s="31" t="n">
        <x:v>46122</x:v>
      </x:c>
      <x:c r="N1944" s="31" t="n">
        <x:v>46124</x:v>
      </x:c>
      <x:c r="O1944" s="31" t="n">
        <x:v>46122</x:v>
      </x:c>
      <x:c r="P1944" s="31" t="n">
        <x:v>46126</x:v>
      </x:c>
      <x:c r="Q1944" s="31" t="inlineStr">
        <x:is>
          <x:t xml:space="preserve">Завершено</x:t>
        </x:is>
      </x:c>
      <x:c r="R1944" s="31" t="inlineStr">
        <x:is>
          <x:t xml:space="preserve">Нет</x:t>
        </x:is>
      </x:c>
      <x:c r="S1944" s="31" t="inlineStr">
        <x:is>
          <x:t xml:space="preserve">Нет</x:t>
        </x:is>
      </x:c>
    </x:row>
    <x:row r="1945">
      <x:c r="A1945" s="31" t="inlineStr">
        <x:is>
          <x:t xml:space="preserve">ОП-001944</x:t>
        </x:is>
      </x:c>
      <x:c r="B1945" s="31" t="inlineStr">
        <x:is>
          <x:t xml:space="preserve">ПЗ-00232</x:t>
        </x:is>
      </x:c>
      <x:c r="C1945" s="31" t="inlineStr">
        <x:is>
          <x:t xml:space="preserve">ЗК-1112</x:t>
        </x:is>
      </x:c>
      <x:c r="D1945" s="31" t="inlineStr">
        <x:is>
          <x:t xml:space="preserve">ПОЗ-0112-3</x:t>
        </x:is>
      </x:c>
      <x:c r="E1945" s="31" t="inlineStr">
        <x:is>
          <x:t xml:space="preserve">ИЗД-012</x:t>
        </x:is>
      </x:c>
      <x:c r="F1945" s="31" t="n">
        <x:v>60</x:v>
      </x:c>
      <x:c r="G1945" s="31" t="inlineStr">
        <x:is>
          <x:t xml:space="preserve">Покраска</x:t>
        </x:is>
      </x:c>
      <x:c r="H1945" s="31" t="inlineStr">
        <x:is>
          <x:t xml:space="preserve">Сварка</x:t>
        </x:is>
      </x:c>
      <x:c r="I1945" s="31" t="inlineStr">
        <x:is>
          <x:t xml:space="preserve">ОБ-003</x:t>
        </x:is>
      </x:c>
      <x:c r="J1945" s="31" t="inlineStr">
        <x:is>
          <x:t xml:space="preserve">СОТР-071</x:t>
        </x:is>
      </x:c>
      <x:c r="K1945" s="31" t="n">
        <x:v>19.8</x:v>
      </x:c>
      <x:c r="L1945" s="31" t="n">
        <x:v>19.9</x:v>
      </x:c>
      <x:c r="M1945" s="31" t="n">
        <x:v>46124</x:v>
      </x:c>
      <x:c r="N1945" s="31" t="n">
        <x:v>46126</x:v>
      </x:c>
      <x:c r="O1945" s="31" t="n">
        <x:v>46124</x:v>
      </x:c>
      <x:c r="P1945" s="31" t="n">
        <x:v>46125</x:v>
      </x:c>
      <x:c r="Q1945" s="31" t="inlineStr">
        <x:is>
          <x:t xml:space="preserve">Завершено</x:t>
        </x:is>
      </x:c>
      <x:c r="R1945" s="31" t="inlineStr">
        <x:is>
          <x:t xml:space="preserve">Нет</x:t>
        </x:is>
      </x:c>
      <x:c r="S1945" s="31" t="inlineStr">
        <x:is>
          <x:t xml:space="preserve">Нет</x:t>
        </x:is>
      </x:c>
    </x:row>
    <x:row r="1946">
      <x:c r="A1946" s="31" t="inlineStr">
        <x:is>
          <x:t xml:space="preserve">ОП-001945</x:t>
        </x:is>
      </x:c>
      <x:c r="B1946" s="31" t="inlineStr">
        <x:is>
          <x:t xml:space="preserve">ПЗ-00232</x:t>
        </x:is>
      </x:c>
      <x:c r="C1946" s="31" t="inlineStr">
        <x:is>
          <x:t xml:space="preserve">ЗК-1112</x:t>
        </x:is>
      </x:c>
      <x:c r="D1946" s="31" t="inlineStr">
        <x:is>
          <x:t xml:space="preserve">ПОЗ-0112-3</x:t>
        </x:is>
      </x:c>
      <x:c r="E1946" s="31" t="inlineStr">
        <x:is>
          <x:t xml:space="preserve">ИЗД-012</x:t>
        </x:is>
      </x:c>
      <x:c r="F1946" s="31" t="n">
        <x:v>70</x:v>
      </x:c>
      <x:c r="G1946" s="31" t="inlineStr">
        <x:is>
          <x:t xml:space="preserve">ОТК</x:t>
        </x:is>
      </x:c>
      <x:c r="H1946" s="31" t="inlineStr">
        <x:is>
          <x:t xml:space="preserve">ОТК</x:t>
        </x:is>
      </x:c>
      <x:c r="I1946" s="31" t="inlineStr">
        <x:is>
          <x:t xml:space="preserve">ОБ-013</x:t>
        </x:is>
      </x:c>
      <x:c r="J1946" s="31" t="inlineStr">
        <x:is>
          <x:t xml:space="preserve">СОТР-095</x:t>
        </x:is>
      </x:c>
      <x:c r="K1946" s="31" t="n">
        <x:v>7.2</x:v>
      </x:c>
      <x:c r="L1946" s="31" t="n">
        <x:v>9.5</x:v>
      </x:c>
      <x:c r="M1946" s="31" t="n">
        <x:v>46126</x:v>
      </x:c>
      <x:c r="N1946" s="31" t="n">
        <x:v>46127</x:v>
      </x:c>
      <x:c r="O1946" s="31" t="n">
        <x:v>46126</x:v>
      </x:c>
      <x:c r="P1946" s="31" t="n">
        <x:v>46127</x:v>
      </x:c>
      <x:c r="Q1946" s="31" t="inlineStr">
        <x:is>
          <x:t xml:space="preserve">Завершено</x:t>
        </x:is>
      </x:c>
      <x:c r="R1946" s="31" t="inlineStr">
        <x:is>
          <x:t xml:space="preserve">Нет</x:t>
        </x:is>
      </x:c>
      <x:c r="S1946" s="31" t="inlineStr">
        <x:is>
          <x:t xml:space="preserve">Нет</x:t>
        </x:is>
      </x:c>
    </x:row>
    <x:row r="1947">
      <x:c r="A1947" s="31" t="inlineStr">
        <x:is>
          <x:t xml:space="preserve">ОП-001946</x:t>
        </x:is>
      </x:c>
      <x:c r="B1947" s="31" t="inlineStr">
        <x:is>
          <x:t xml:space="preserve">ПЗ-00233</x:t>
        </x:is>
      </x:c>
      <x:c r="C1947" s="31" t="inlineStr">
        <x:is>
          <x:t xml:space="preserve">ЗК-1112</x:t>
        </x:is>
      </x:c>
      <x:c r="D1947" s="31" t="inlineStr">
        <x:is>
          <x:t xml:space="preserve">ПОЗ-0112-4</x:t>
        </x:is>
      </x:c>
      <x:c r="E1947" s="31" t="inlineStr">
        <x:is>
          <x:t xml:space="preserve">ИЗД-029</x:t>
        </x:is>
      </x:c>
      <x:c r="F1947" s="31" t="n">
        <x:v>10</x:v>
      </x:c>
      <x:c r="G1947" s="31" t="inlineStr">
        <x:is>
          <x:t xml:space="preserve">КД</x:t>
        </x:is>
      </x:c>
      <x:c r="H1947" s="31" t="inlineStr">
        <x:is>
          <x:t xml:space="preserve">Инженерный отдел</x:t>
        </x:is>
      </x:c>
      <x:c r="I1947" s="31" t="n"/>
      <x:c r="J1947" s="31" t="inlineStr">
        <x:is>
          <x:t xml:space="preserve">СОТР-014</x:t>
        </x:is>
      </x:c>
      <x:c r="K1947" s="31" t="n">
        <x:v>24.2</x:v>
      </x:c>
      <x:c r="L1947" s="31" t="n">
        <x:v>28.7</x:v>
      </x:c>
      <x:c r="M1947" s="31" t="n">
        <x:v>46122</x:v>
      </x:c>
      <x:c r="N1947" s="31" t="n">
        <x:v>46125</x:v>
      </x:c>
      <x:c r="O1947" s="31" t="n">
        <x:v>46122</x:v>
      </x:c>
      <x:c r="P1947" s="31" t="n">
        <x:v>46125</x:v>
      </x:c>
      <x:c r="Q1947" s="31" t="inlineStr">
        <x:is>
          <x:t xml:space="preserve">Завершено</x:t>
        </x:is>
      </x:c>
      <x:c r="R1947" s="31" t="inlineStr">
        <x:is>
          <x:t xml:space="preserve">КД</x:t>
        </x:is>
      </x:c>
      <x:c r="S1947" s="31" t="inlineStr">
        <x:is>
          <x:t xml:space="preserve">Нет</x:t>
        </x:is>
      </x:c>
    </x:row>
    <x:row r="1948">
      <x:c r="A1948" s="31" t="inlineStr">
        <x:is>
          <x:t xml:space="preserve">ОП-001947</x:t>
        </x:is>
      </x:c>
      <x:c r="B1948" s="31" t="inlineStr">
        <x:is>
          <x:t xml:space="preserve">ПЗ-00233</x:t>
        </x:is>
      </x:c>
      <x:c r="C1948" s="31" t="inlineStr">
        <x:is>
          <x:t xml:space="preserve">ЗК-1112</x:t>
        </x:is>
      </x:c>
      <x:c r="D1948" s="31" t="inlineStr">
        <x:is>
          <x:t xml:space="preserve">ПОЗ-0112-4</x:t>
        </x:is>
      </x:c>
      <x:c r="E1948" s="31" t="inlineStr">
        <x:is>
          <x:t xml:space="preserve">ИЗД-029</x:t>
        </x:is>
      </x:c>
      <x:c r="F1948" s="31" t="n">
        <x:v>20</x:v>
      </x:c>
      <x:c r="G1948" s="31" t="inlineStr">
        <x:is>
          <x:t xml:space="preserve">Резерв материалов</x:t>
        </x:is>
      </x:c>
      <x:c r="H1948" s="31" t="inlineStr">
        <x:is>
          <x:t xml:space="preserve">Склад</x:t>
        </x:is>
      </x:c>
      <x:c r="I1948" s="31" t="inlineStr">
        <x:is>
          <x:t xml:space="preserve">ОБ-023</x:t>
        </x:is>
      </x:c>
      <x:c r="J1948" s="31" t="inlineStr">
        <x:is>
          <x:t xml:space="preserve">СОТР-034</x:t>
        </x:is>
      </x:c>
      <x:c r="K1948" s="31" t="n">
        <x:v>12.4</x:v>
      </x:c>
      <x:c r="L1948" s="31" t="n">
        <x:v>14.6</x:v>
      </x:c>
      <x:c r="M1948" s="31" t="n">
        <x:v>46125</x:v>
      </x:c>
      <x:c r="N1948" s="31" t="n">
        <x:v>46127</x:v>
      </x:c>
      <x:c r="O1948" s="31" t="n">
        <x:v>46125</x:v>
      </x:c>
      <x:c r="P1948" s="31" t="n">
        <x:v>46126</x:v>
      </x:c>
      <x:c r="Q1948" s="31" t="inlineStr">
        <x:is>
          <x:t xml:space="preserve">Завершено</x:t>
        </x:is>
      </x:c>
      <x:c r="R1948" s="31" t="inlineStr">
        <x:is>
          <x:t xml:space="preserve">Материал</x:t>
        </x:is>
      </x:c>
      <x:c r="S1948" s="31" t="inlineStr">
        <x:is>
          <x:t xml:space="preserve">Нет</x:t>
        </x:is>
      </x:c>
    </x:row>
    <x:row r="1949">
      <x:c r="A1949" s="31" t="inlineStr">
        <x:is>
          <x:t xml:space="preserve">ОП-001948</x:t>
        </x:is>
      </x:c>
      <x:c r="B1949" s="31" t="inlineStr">
        <x:is>
          <x:t xml:space="preserve">ПЗ-00233</x:t>
        </x:is>
      </x:c>
      <x:c r="C1949" s="31" t="inlineStr">
        <x:is>
          <x:t xml:space="preserve">ЗК-1112</x:t>
        </x:is>
      </x:c>
      <x:c r="D1949" s="31" t="inlineStr">
        <x:is>
          <x:t xml:space="preserve">ПОЗ-0112-4</x:t>
        </x:is>
      </x:c>
      <x:c r="E1949" s="31" t="inlineStr">
        <x:is>
          <x:t xml:space="preserve">ИЗД-029</x:t>
        </x:is>
      </x:c>
      <x:c r="F1949" s="31" t="n">
        <x:v>30</x:v>
      </x:c>
      <x:c r="G1949" s="31" t="inlineStr">
        <x:is>
          <x:t xml:space="preserve">Резка металла</x:t>
        </x:is>
      </x:c>
      <x:c r="H1949" s="31" t="inlineStr">
        <x:is>
          <x:t xml:space="preserve">Сварка</x:t>
        </x:is>
      </x:c>
      <x:c r="I1949" s="31" t="inlineStr">
        <x:is>
          <x:t xml:space="preserve">ОБ-019</x:t>
        </x:is>
      </x:c>
      <x:c r="J1949" s="31" t="inlineStr">
        <x:is>
          <x:t xml:space="preserve">СОТР-068</x:t>
        </x:is>
      </x:c>
      <x:c r="K1949" s="31" t="n">
        <x:v>26.4</x:v>
      </x:c>
      <x:c r="L1949" s="31" t="n">
        <x:v>35.3</x:v>
      </x:c>
      <x:c r="M1949" s="31" t="n">
        <x:v>46127</x:v>
      </x:c>
      <x:c r="N1949" s="31" t="n">
        <x:v>46130</x:v>
      </x:c>
      <x:c r="O1949" s="31" t="n">
        <x:v>46127</x:v>
      </x:c>
      <x:c r="P1949" s="31" t="n">
        <x:v>46130</x:v>
      </x:c>
      <x:c r="Q1949" s="31" t="inlineStr">
        <x:is>
          <x:t xml:space="preserve">Завершено</x:t>
        </x:is>
      </x:c>
      <x:c r="R1949" s="31" t="inlineStr">
        <x:is>
          <x:t xml:space="preserve">Материал</x:t>
        </x:is>
      </x:c>
      <x:c r="S1949" s="31" t="inlineStr">
        <x:is>
          <x:t xml:space="preserve">Нет</x:t>
        </x:is>
      </x:c>
    </x:row>
    <x:row r="1950">
      <x:c r="A1950" s="31" t="inlineStr">
        <x:is>
          <x:t xml:space="preserve">ОП-001949</x:t>
        </x:is>
      </x:c>
      <x:c r="B1950" s="31" t="inlineStr">
        <x:is>
          <x:t xml:space="preserve">ПЗ-00233</x:t>
        </x:is>
      </x:c>
      <x:c r="C1950" s="31" t="inlineStr">
        <x:is>
          <x:t xml:space="preserve">ЗК-1112</x:t>
        </x:is>
      </x:c>
      <x:c r="D1950" s="31" t="inlineStr">
        <x:is>
          <x:t xml:space="preserve">ПОЗ-0112-4</x:t>
        </x:is>
      </x:c>
      <x:c r="E1950" s="31" t="inlineStr">
        <x:is>
          <x:t xml:space="preserve">ИЗД-029</x:t>
        </x:is>
      </x:c>
      <x:c r="F1950" s="31" t="n">
        <x:v>40</x:v>
      </x:c>
      <x:c r="G1950" s="31" t="inlineStr">
        <x:is>
          <x:t xml:space="preserve">Сварка рамы</x:t>
        </x:is>
      </x:c>
      <x:c r="H1950" s="31" t="inlineStr">
        <x:is>
          <x:t xml:space="preserve">Сварка</x:t>
        </x:is>
      </x:c>
      <x:c r="I1950" s="31" t="inlineStr">
        <x:is>
          <x:t xml:space="preserve">ОБ-004</x:t>
        </x:is>
      </x:c>
      <x:c r="J1950" s="31" t="inlineStr">
        <x:is>
          <x:t xml:space="preserve">СОТР-068</x:t>
        </x:is>
      </x:c>
      <x:c r="K1950" s="31" t="n">
        <x:v>13.2</x:v>
      </x:c>
      <x:c r="L1950" s="31" t="n">
        <x:v>11.8</x:v>
      </x:c>
      <x:c r="M1950" s="31" t="n">
        <x:v>46130</x:v>
      </x:c>
      <x:c r="N1950" s="31" t="n">
        <x:v>46132</x:v>
      </x:c>
      <x:c r="O1950" s="31" t="n">
        <x:v>46130</x:v>
      </x:c>
      <x:c r="P1950" s="31" t="n">
        <x:v>46131</x:v>
      </x:c>
      <x:c r="Q1950" s="31" t="inlineStr">
        <x:is>
          <x:t xml:space="preserve">Завершено</x:t>
        </x:is>
      </x:c>
      <x:c r="R1950" s="31" t="inlineStr">
        <x:is>
          <x:t xml:space="preserve">Нет</x:t>
        </x:is>
      </x:c>
      <x:c r="S1950" s="31" t="inlineStr">
        <x:is>
          <x:t xml:space="preserve">Нет</x:t>
        </x:is>
      </x:c>
    </x:row>
    <x:row r="1951">
      <x:c r="A1951" s="31" t="inlineStr">
        <x:is>
          <x:t xml:space="preserve">ОП-001950</x:t>
        </x:is>
      </x:c>
      <x:c r="B1951" s="31" t="inlineStr">
        <x:is>
          <x:t xml:space="preserve">ПЗ-00233</x:t>
        </x:is>
      </x:c>
      <x:c r="C1951" s="31" t="inlineStr">
        <x:is>
          <x:t xml:space="preserve">ЗК-1112</x:t>
        </x:is>
      </x:c>
      <x:c r="D1951" s="31" t="inlineStr">
        <x:is>
          <x:t xml:space="preserve">ПОЗ-0112-4</x:t>
        </x:is>
      </x:c>
      <x:c r="E1951" s="31" t="inlineStr">
        <x:is>
          <x:t xml:space="preserve">ИЗД-029</x:t>
        </x:is>
      </x:c>
      <x:c r="F1951" s="31" t="n">
        <x:v>50</x:v>
      </x:c>
      <x:c r="G1951" s="31" t="inlineStr">
        <x:is>
          <x:t xml:space="preserve">Механообработка</x:t>
        </x:is>
      </x:c>
      <x:c r="H1951" s="31" t="inlineStr">
        <x:is>
          <x:t xml:space="preserve">Механообработка</x:t>
        </x:is>
      </x:c>
      <x:c r="I1951" s="31" t="inlineStr">
        <x:is>
          <x:t xml:space="preserve">ОБ-030</x:t>
        </x:is>
      </x:c>
      <x:c r="J1951" s="31" t="inlineStr">
        <x:is>
          <x:t xml:space="preserve">СОТР-045</x:t>
        </x:is>
      </x:c>
      <x:c r="K1951" s="31" t="n">
        <x:v>30.8</x:v>
      </x:c>
      <x:c r="L1951" s="31" t="n">
        <x:v>26.2</x:v>
      </x:c>
      <x:c r="M1951" s="31" t="n">
        <x:v>46132</x:v>
      </x:c>
      <x:c r="N1951" s="31" t="n">
        <x:v>46135</x:v>
      </x:c>
      <x:c r="O1951" s="31" t="n">
        <x:v>46132</x:v>
      </x:c>
      <x:c r="P1951" s="31" t="n">
        <x:v>46136</x:v>
      </x:c>
      <x:c r="Q1951" s="31" t="inlineStr">
        <x:is>
          <x:t xml:space="preserve">Завершено</x:t>
        </x:is>
      </x:c>
      <x:c r="R1951" s="31" t="inlineStr">
        <x:is>
          <x:t xml:space="preserve">Нет</x:t>
        </x:is>
      </x:c>
      <x:c r="S1951" s="31" t="inlineStr">
        <x:is>
          <x:t xml:space="preserve">Нет</x:t>
        </x:is>
      </x:c>
    </x:row>
    <x:row r="1952">
      <x:c r="A1952" s="31" t="inlineStr">
        <x:is>
          <x:t xml:space="preserve">ОП-001951</x:t>
        </x:is>
      </x:c>
      <x:c r="B1952" s="31" t="inlineStr">
        <x:is>
          <x:t xml:space="preserve">ПЗ-00233</x:t>
        </x:is>
      </x:c>
      <x:c r="C1952" s="31" t="inlineStr">
        <x:is>
          <x:t xml:space="preserve">ЗК-1112</x:t>
        </x:is>
      </x:c>
      <x:c r="D1952" s="31" t="inlineStr">
        <x:is>
          <x:t xml:space="preserve">ПОЗ-0112-4</x:t>
        </x:is>
      </x:c>
      <x:c r="E1952" s="31" t="inlineStr">
        <x:is>
          <x:t xml:space="preserve">ИЗД-029</x:t>
        </x:is>
      </x:c>
      <x:c r="F1952" s="31" t="n">
        <x:v>60</x:v>
      </x:c>
      <x:c r="G1952" s="31" t="inlineStr">
        <x:is>
          <x:t xml:space="preserve">Сборка</x:t>
        </x:is>
      </x:c>
      <x:c r="H1952" s="31" t="inlineStr">
        <x:is>
          <x:t xml:space="preserve">Сборка</x:t>
        </x:is>
      </x:c>
      <x:c r="I1952" s="31" t="inlineStr">
        <x:is>
          <x:t xml:space="preserve">ОБ-002</x:t>
        </x:is>
      </x:c>
      <x:c r="J1952" s="31" t="inlineStr">
        <x:is>
          <x:t xml:space="preserve">СОТР-074</x:t>
        </x:is>
      </x:c>
      <x:c r="K1952" s="31" t="n">
        <x:v>33.4</x:v>
      </x:c>
      <x:c r="L1952" s="31" t="n">
        <x:v>31.3</x:v>
      </x:c>
      <x:c r="M1952" s="31" t="n">
        <x:v>46135</x:v>
      </x:c>
      <x:c r="N1952" s="31" t="n">
        <x:v>46138</x:v>
      </x:c>
      <x:c r="O1952" s="31" t="n">
        <x:v>46135</x:v>
      </x:c>
      <x:c r="P1952" s="31" t="n">
        <x:v>46138</x:v>
      </x:c>
      <x:c r="Q1952" s="31" t="inlineStr">
        <x:is>
          <x:t xml:space="preserve">Завершено</x:t>
        </x:is>
      </x:c>
      <x:c r="R1952" s="31" t="inlineStr">
        <x:is>
          <x:t xml:space="preserve">Нет</x:t>
        </x:is>
      </x:c>
      <x:c r="S1952" s="31" t="inlineStr">
        <x:is>
          <x:t xml:space="preserve">Нет</x:t>
        </x:is>
      </x:c>
    </x:row>
    <x:row r="1953">
      <x:c r="A1953" s="31" t="inlineStr">
        <x:is>
          <x:t xml:space="preserve">ОП-001952</x:t>
        </x:is>
      </x:c>
      <x:c r="B1953" s="31" t="inlineStr">
        <x:is>
          <x:t xml:space="preserve">ПЗ-00233</x:t>
        </x:is>
      </x:c>
      <x:c r="C1953" s="31" t="inlineStr">
        <x:is>
          <x:t xml:space="preserve">ЗК-1112</x:t>
        </x:is>
      </x:c>
      <x:c r="D1953" s="31" t="inlineStr">
        <x:is>
          <x:t xml:space="preserve">ПОЗ-0112-4</x:t>
        </x:is>
      </x:c>
      <x:c r="E1953" s="31" t="inlineStr">
        <x:is>
          <x:t xml:space="preserve">ИЗД-029</x:t>
        </x:is>
      </x:c>
      <x:c r="F1953" s="31" t="n">
        <x:v>70</x:v>
      </x:c>
      <x:c r="G1953" s="31" t="inlineStr">
        <x:is>
          <x:t xml:space="preserve">Обвязка труб</x:t>
        </x:is>
      </x:c>
      <x:c r="H1953" s="31" t="inlineStr">
        <x:is>
          <x:t xml:space="preserve">Сборка</x:t>
        </x:is>
      </x:c>
      <x:c r="I1953" s="31" t="inlineStr">
        <x:is>
          <x:t xml:space="preserve">ОБ-012</x:t>
        </x:is>
      </x:c>
      <x:c r="J1953" s="31" t="inlineStr">
        <x:is>
          <x:t xml:space="preserve">СОТР-085</x:t>
        </x:is>
      </x:c>
      <x:c r="K1953" s="31" t="n">
        <x:v>35.2</x:v>
      </x:c>
      <x:c r="L1953" s="31" t="n">
        <x:v>44.6</x:v>
      </x:c>
      <x:c r="M1953" s="31" t="n">
        <x:v>46138</x:v>
      </x:c>
      <x:c r="N1953" s="31" t="n">
        <x:v>46141</x:v>
      </x:c>
      <x:c r="O1953" s="31" t="n">
        <x:v>46138</x:v>
      </x:c>
      <x:c r="P1953" s="31" t="n">
        <x:v>46141</x:v>
      </x:c>
      <x:c r="Q1953" s="31" t="inlineStr">
        <x:is>
          <x:t xml:space="preserve">Завершено</x:t>
        </x:is>
      </x:c>
      <x:c r="R1953" s="31" t="inlineStr">
        <x:is>
          <x:t xml:space="preserve">Ожидание ОТК</x:t>
        </x:is>
      </x:c>
      <x:c r="S1953" s="31" t="inlineStr">
        <x:is>
          <x:t xml:space="preserve">Нет</x:t>
        </x:is>
      </x:c>
    </x:row>
    <x:row r="1954">
      <x:c r="A1954" s="31" t="inlineStr">
        <x:is>
          <x:t xml:space="preserve">ОП-001953</x:t>
        </x:is>
      </x:c>
      <x:c r="B1954" s="31" t="inlineStr">
        <x:is>
          <x:t xml:space="preserve">ПЗ-00233</x:t>
        </x:is>
      </x:c>
      <x:c r="C1954" s="31" t="inlineStr">
        <x:is>
          <x:t xml:space="preserve">ЗК-1112</x:t>
        </x:is>
      </x:c>
      <x:c r="D1954" s="31" t="inlineStr">
        <x:is>
          <x:t xml:space="preserve">ПОЗ-0112-4</x:t>
        </x:is>
      </x:c>
      <x:c r="E1954" s="31" t="inlineStr">
        <x:is>
          <x:t xml:space="preserve">ИЗД-029</x:t>
        </x:is>
      </x:c>
      <x:c r="F1954" s="31" t="n">
        <x:v>80</x:v>
      </x:c>
      <x:c r="G1954" s="31" t="inlineStr">
        <x:is>
          <x:t xml:space="preserve">Электромонтаж</x:t>
        </x:is>
      </x:c>
      <x:c r="H1954" s="31" t="inlineStr">
        <x:is>
          <x:t xml:space="preserve">Сборка</x:t>
        </x:is>
      </x:c>
      <x:c r="I1954" s="31" t="inlineStr">
        <x:is>
          <x:t xml:space="preserve">ОБ-014</x:t>
        </x:is>
      </x:c>
      <x:c r="J1954" s="31" t="inlineStr">
        <x:is>
          <x:t xml:space="preserve">СОТР-073</x:t>
        </x:is>
      </x:c>
      <x:c r="K1954" s="31" t="n">
        <x:v>9.4</x:v>
      </x:c>
      <x:c r="L1954" s="31" t="n">
        <x:v>7.8</x:v>
      </x:c>
      <x:c r="M1954" s="31" t="n">
        <x:v>46141</x:v>
      </x:c>
      <x:c r="N1954" s="31" t="n">
        <x:v>46142</x:v>
      </x:c>
      <x:c r="O1954" s="31" t="n">
        <x:v>46141</x:v>
      </x:c>
      <x:c r="P1954" s="31" t="n">
        <x:v>46142</x:v>
      </x:c>
      <x:c r="Q1954" s="31" t="inlineStr">
        <x:is>
          <x:t xml:space="preserve">Завершено</x:t>
        </x:is>
      </x:c>
      <x:c r="R1954" s="31" t="inlineStr">
        <x:is>
          <x:t xml:space="preserve">Нет</x:t>
        </x:is>
      </x:c>
      <x:c r="S1954" s="31" t="inlineStr">
        <x:is>
          <x:t xml:space="preserve">Нет</x:t>
        </x:is>
      </x:c>
    </x:row>
    <x:row r="1955">
      <x:c r="A1955" s="31" t="inlineStr">
        <x:is>
          <x:t xml:space="preserve">ОП-001954</x:t>
        </x:is>
      </x:c>
      <x:c r="B1955" s="31" t="inlineStr">
        <x:is>
          <x:t xml:space="preserve">ПЗ-00233</x:t>
        </x:is>
      </x:c>
      <x:c r="C1955" s="31" t="inlineStr">
        <x:is>
          <x:t xml:space="preserve">ЗК-1112</x:t>
        </x:is>
      </x:c>
      <x:c r="D1955" s="31" t="inlineStr">
        <x:is>
          <x:t xml:space="preserve">ПОЗ-0112-4</x:t>
        </x:is>
      </x:c>
      <x:c r="E1955" s="31" t="inlineStr">
        <x:is>
          <x:t xml:space="preserve">ИЗД-029</x:t>
        </x:is>
      </x:c>
      <x:c r="F1955" s="31" t="n">
        <x:v>90</x:v>
      </x:c>
      <x:c r="G1955" s="31" t="inlineStr">
        <x:is>
          <x:t xml:space="preserve">Приемочные испытания</x:t>
        </x:is>
      </x:c>
      <x:c r="H1955" s="31" t="inlineStr">
        <x:is>
          <x:t xml:space="preserve">ОТК</x:t>
        </x:is>
      </x:c>
      <x:c r="I1955" s="31" t="inlineStr">
        <x:is>
          <x:t xml:space="preserve">ОБ-022</x:t>
        </x:is>
      </x:c>
      <x:c r="J1955" s="31" t="inlineStr">
        <x:is>
          <x:t xml:space="preserve">СОТР-099</x:t>
        </x:is>
      </x:c>
      <x:c r="K1955" s="31" t="n">
        <x:v>33.6</x:v>
      </x:c>
      <x:c r="L1955" s="31" t="n">
        <x:v>39.3</x:v>
      </x:c>
      <x:c r="M1955" s="31" t="n">
        <x:v>46142</x:v>
      </x:c>
      <x:c r="N1955" s="31" t="n">
        <x:v>46145</x:v>
      </x:c>
      <x:c r="O1955" s="31" t="n">
        <x:v>46142</x:v>
      </x:c>
      <x:c r="P1955" s="31" t="n">
        <x:v>46144</x:v>
      </x:c>
      <x:c r="Q1955" s="31" t="inlineStr">
        <x:is>
          <x:t xml:space="preserve">Завершено</x:t>
        </x:is>
      </x:c>
      <x:c r="R1955" s="31" t="inlineStr">
        <x:is>
          <x:t xml:space="preserve">Нет</x:t>
        </x:is>
      </x:c>
      <x:c r="S1955" s="31" t="inlineStr">
        <x:is>
          <x:t xml:space="preserve">Нет</x:t>
        </x:is>
      </x:c>
    </x:row>
    <x:row r="1956">
      <x:c r="A1956" s="31" t="inlineStr">
        <x:is>
          <x:t xml:space="preserve">ОП-001955</x:t>
        </x:is>
      </x:c>
      <x:c r="B1956" s="31" t="inlineStr">
        <x:is>
          <x:t xml:space="preserve">ПЗ-00233</x:t>
        </x:is>
      </x:c>
      <x:c r="C1956" s="31" t="inlineStr">
        <x:is>
          <x:t xml:space="preserve">ЗК-1112</x:t>
        </x:is>
      </x:c>
      <x:c r="D1956" s="31" t="inlineStr">
        <x:is>
          <x:t xml:space="preserve">ПОЗ-0112-4</x:t>
        </x:is>
      </x:c>
      <x:c r="E1956" s="31" t="inlineStr">
        <x:is>
          <x:t xml:space="preserve">ИЗД-029</x:t>
        </x:is>
      </x:c>
      <x:c r="F1956" s="31" t="n">
        <x:v>100</x:v>
      </x:c>
      <x:c r="G1956" s="31" t="inlineStr">
        <x:is>
          <x:t xml:space="preserve">ОТК</x:t>
        </x:is>
      </x:c>
      <x:c r="H1956" s="31" t="inlineStr">
        <x:is>
          <x:t xml:space="preserve">ОТК</x:t>
        </x:is>
      </x:c>
      <x:c r="I1956" s="31" t="inlineStr">
        <x:is>
          <x:t xml:space="preserve">ОБ-007</x:t>
        </x:is>
      </x:c>
      <x:c r="J1956" s="31" t="inlineStr">
        <x:is>
          <x:t xml:space="preserve">СОТР-098</x:t>
        </x:is>
      </x:c>
      <x:c r="K1956" s="31" t="n">
        <x:v>24.2</x:v>
      </x:c>
      <x:c r="L1956" s="31" t="n">
        <x:v>27.5</x:v>
      </x:c>
      <x:c r="M1956" s="31" t="n">
        <x:v>46145</x:v>
      </x:c>
      <x:c r="N1956" s="31" t="n">
        <x:v>46148</x:v>
      </x:c>
      <x:c r="O1956" s="31" t="n">
        <x:v>46145</x:v>
      </x:c>
      <x:c r="P1956" s="31" t="n">
        <x:v>46149</x:v>
      </x:c>
      <x:c r="Q1956" s="31" t="inlineStr">
        <x:is>
          <x:t xml:space="preserve">Завершено</x:t>
        </x:is>
      </x:c>
      <x:c r="R1956" s="31" t="inlineStr">
        <x:is>
          <x:t xml:space="preserve">Нет</x:t>
        </x:is>
      </x:c>
      <x:c r="S1956" s="31" t="inlineStr">
        <x:is>
          <x:t xml:space="preserve">Нет</x:t>
        </x:is>
      </x:c>
    </x:row>
    <x:row r="1957">
      <x:c r="A1957" s="31" t="inlineStr">
        <x:is>
          <x:t xml:space="preserve">ОП-001956</x:t>
        </x:is>
      </x:c>
      <x:c r="B1957" s="31" t="inlineStr">
        <x:is>
          <x:t xml:space="preserve">ПЗ-00233</x:t>
        </x:is>
      </x:c>
      <x:c r="C1957" s="31" t="inlineStr">
        <x:is>
          <x:t xml:space="preserve">ЗК-1112</x:t>
        </x:is>
      </x:c>
      <x:c r="D1957" s="31" t="inlineStr">
        <x:is>
          <x:t xml:space="preserve">ПОЗ-0112-4</x:t>
        </x:is>
      </x:c>
      <x:c r="E1957" s="31" t="inlineStr">
        <x:is>
          <x:t xml:space="preserve">ИЗД-029</x:t>
        </x:is>
      </x:c>
      <x:c r="F1957" s="31" t="n">
        <x:v>110</x:v>
      </x:c>
      <x:c r="G1957" s="31" t="inlineStr">
        <x:is>
          <x:t xml:space="preserve">Упаковка</x:t>
        </x:is>
      </x:c>
      <x:c r="H1957" s="31" t="inlineStr">
        <x:is>
          <x:t xml:space="preserve">Логистика</x:t>
        </x:is>
      </x:c>
      <x:c r="I1957" s="31" t="n"/>
      <x:c r="J1957" s="31" t="inlineStr">
        <x:is>
          <x:t xml:space="preserve">СОТР-102</x:t>
        </x:is>
      </x:c>
      <x:c r="K1957" s="31" t="n">
        <x:v>17.8</x:v>
      </x:c>
      <x:c r="L1957" s="31" t="n">
        <x:v>21.5</x:v>
      </x:c>
      <x:c r="M1957" s="31" t="n">
        <x:v>46148</x:v>
      </x:c>
      <x:c r="N1957" s="31" t="n">
        <x:v>46150</x:v>
      </x:c>
      <x:c r="O1957" s="31" t="n">
        <x:v>46148</x:v>
      </x:c>
      <x:c r="P1957" s="31" t="n">
        <x:v>46152</x:v>
      </x:c>
      <x:c r="Q1957" s="31" t="inlineStr">
        <x:is>
          <x:t xml:space="preserve">Завершено</x:t>
        </x:is>
      </x:c>
      <x:c r="R1957" s="31" t="inlineStr">
        <x:is>
          <x:t xml:space="preserve">Нет</x:t>
        </x:is>
      </x:c>
      <x:c r="S1957" s="31" t="inlineStr">
        <x:is>
          <x:t xml:space="preserve">Нет</x:t>
        </x:is>
      </x:c>
    </x:row>
    <x:row r="1958">
      <x:c r="A1958" s="31" t="inlineStr">
        <x:is>
          <x:t xml:space="preserve">ОП-001957</x:t>
        </x:is>
      </x:c>
      <x:c r="B1958" s="31" t="inlineStr">
        <x:is>
          <x:t xml:space="preserve">ПЗ-00234</x:t>
        </x:is>
      </x:c>
      <x:c r="C1958" s="31" t="inlineStr">
        <x:is>
          <x:t xml:space="preserve">ЗК-1113</x:t>
        </x:is>
      </x:c>
      <x:c r="D1958" s="31" t="inlineStr">
        <x:is>
          <x:t xml:space="preserve">ПОЗ-0113-1</x:t>
        </x:is>
      </x:c>
      <x:c r="E1958" s="31" t="inlineStr">
        <x:is>
          <x:t xml:space="preserve">ИЗД-040</x:t>
        </x:is>
      </x:c>
      <x:c r="F1958" s="31" t="n">
        <x:v>10</x:v>
      </x:c>
      <x:c r="G1958" s="31" t="inlineStr">
        <x:is>
          <x:t xml:space="preserve">КД</x:t>
        </x:is>
      </x:c>
      <x:c r="H1958" s="31" t="inlineStr">
        <x:is>
          <x:t xml:space="preserve">Инженерный отдел</x:t>
        </x:is>
      </x:c>
      <x:c r="I1958" s="31" t="n"/>
      <x:c r="J1958" s="31" t="inlineStr">
        <x:is>
          <x:t xml:space="preserve">СОТР-021</x:t>
        </x:is>
      </x:c>
      <x:c r="K1958" s="31" t="n">
        <x:v>15.5</x:v>
      </x:c>
      <x:c r="L1958" s="31" t="n">
        <x:v>13.7</x:v>
      </x:c>
      <x:c r="M1958" s="31" t="n">
        <x:v>46085</x:v>
      </x:c>
      <x:c r="N1958" s="31" t="n">
        <x:v>46087</x:v>
      </x:c>
      <x:c r="O1958" s="31" t="n">
        <x:v>46085</x:v>
      </x:c>
      <x:c r="P1958" s="31" t="n">
        <x:v>46088</x:v>
      </x:c>
      <x:c r="Q1958" s="31" t="inlineStr">
        <x:is>
          <x:t xml:space="preserve">Завершено</x:t>
        </x:is>
      </x:c>
      <x:c r="R1958" s="31" t="inlineStr">
        <x:is>
          <x:t xml:space="preserve">Нет</x:t>
        </x:is>
      </x:c>
      <x:c r="S1958" s="31" t="inlineStr">
        <x:is>
          <x:t xml:space="preserve">Нет</x:t>
        </x:is>
      </x:c>
    </x:row>
    <x:row r="1959">
      <x:c r="A1959" s="31" t="inlineStr">
        <x:is>
          <x:t xml:space="preserve">ОП-001958</x:t>
        </x:is>
      </x:c>
      <x:c r="B1959" s="31" t="inlineStr">
        <x:is>
          <x:t xml:space="preserve">ПЗ-00234</x:t>
        </x:is>
      </x:c>
      <x:c r="C1959" s="31" t="inlineStr">
        <x:is>
          <x:t xml:space="preserve">ЗК-1113</x:t>
        </x:is>
      </x:c>
      <x:c r="D1959" s="31" t="inlineStr">
        <x:is>
          <x:t xml:space="preserve">ПОЗ-0113-1</x:t>
        </x:is>
      </x:c>
      <x:c r="E1959" s="31" t="inlineStr">
        <x:is>
          <x:t xml:space="preserve">ИЗД-040</x:t>
        </x:is>
      </x:c>
      <x:c r="F1959" s="31" t="n">
        <x:v>20</x:v>
      </x:c>
      <x:c r="G1959" s="31" t="inlineStr">
        <x:is>
          <x:t xml:space="preserve">Резерв материалов</x:t>
        </x:is>
      </x:c>
      <x:c r="H1959" s="31" t="inlineStr">
        <x:is>
          <x:t xml:space="preserve">Склад</x:t>
        </x:is>
      </x:c>
      <x:c r="I1959" s="31" t="inlineStr">
        <x:is>
          <x:t xml:space="preserve">ОБ-008</x:t>
        </x:is>
      </x:c>
      <x:c r="J1959" s="31" t="inlineStr">
        <x:is>
          <x:t xml:space="preserve">СОТР-033</x:t>
        </x:is>
      </x:c>
      <x:c r="K1959" s="31" t="n">
        <x:v>23.5</x:v>
      </x:c>
      <x:c r="L1959" s="31" t="n">
        <x:v>24.2</x:v>
      </x:c>
      <x:c r="M1959" s="31" t="n">
        <x:v>46087</x:v>
      </x:c>
      <x:c r="N1959" s="31" t="n">
        <x:v>46089</x:v>
      </x:c>
      <x:c r="O1959" s="31" t="n">
        <x:v>46087</x:v>
      </x:c>
      <x:c r="P1959" s="31" t="n">
        <x:v>46088</x:v>
      </x:c>
      <x:c r="Q1959" s="31" t="inlineStr">
        <x:is>
          <x:t xml:space="preserve">Завершено</x:t>
        </x:is>
      </x:c>
      <x:c r="R1959" s="31" t="inlineStr">
        <x:is>
          <x:t xml:space="preserve">Нет</x:t>
        </x:is>
      </x:c>
      <x:c r="S1959" s="31" t="inlineStr">
        <x:is>
          <x:t xml:space="preserve">Нет</x:t>
        </x:is>
      </x:c>
    </x:row>
    <x:row r="1960">
      <x:c r="A1960" s="31" t="inlineStr">
        <x:is>
          <x:t xml:space="preserve">ОП-001959</x:t>
        </x:is>
      </x:c>
      <x:c r="B1960" s="31" t="inlineStr">
        <x:is>
          <x:t xml:space="preserve">ПЗ-00234</x:t>
        </x:is>
      </x:c>
      <x:c r="C1960" s="31" t="inlineStr">
        <x:is>
          <x:t xml:space="preserve">ЗК-1113</x:t>
        </x:is>
      </x:c>
      <x:c r="D1960" s="31" t="inlineStr">
        <x:is>
          <x:t xml:space="preserve">ПОЗ-0113-1</x:t>
        </x:is>
      </x:c>
      <x:c r="E1960" s="31" t="inlineStr">
        <x:is>
          <x:t xml:space="preserve">ИЗД-040</x:t>
        </x:is>
      </x:c>
      <x:c r="F1960" s="31" t="n">
        <x:v>30</x:v>
      </x:c>
      <x:c r="G1960" s="31" t="inlineStr">
        <x:is>
          <x:t xml:space="preserve">Сварка рамы</x:t>
        </x:is>
      </x:c>
      <x:c r="H1960" s="31" t="inlineStr">
        <x:is>
          <x:t xml:space="preserve">Сварка</x:t>
        </x:is>
      </x:c>
      <x:c r="I1960" s="31" t="inlineStr">
        <x:is>
          <x:t xml:space="preserve">ОБ-035</x:t>
        </x:is>
      </x:c>
      <x:c r="J1960" s="31" t="inlineStr">
        <x:is>
          <x:t xml:space="preserve">СОТР-062</x:t>
        </x:is>
      </x:c>
      <x:c r="K1960" s="31" t="n">
        <x:v>12.5</x:v>
      </x:c>
      <x:c r="L1960" s="31" t="n">
        <x:v>14.7</x:v>
      </x:c>
      <x:c r="M1960" s="31" t="n">
        <x:v>46089</x:v>
      </x:c>
      <x:c r="N1960" s="31" t="n">
        <x:v>46091</x:v>
      </x:c>
      <x:c r="O1960" s="31" t="n">
        <x:v>46089</x:v>
      </x:c>
      <x:c r="P1960" s="31" t="n">
        <x:v>46093</x:v>
      </x:c>
      <x:c r="Q1960" s="31" t="inlineStr">
        <x:is>
          <x:t xml:space="preserve">Завершено</x:t>
        </x:is>
      </x:c>
      <x:c r="R1960" s="31" t="inlineStr">
        <x:is>
          <x:t xml:space="preserve">Нет</x:t>
        </x:is>
      </x:c>
      <x:c r="S1960" s="31" t="inlineStr">
        <x:is>
          <x:t xml:space="preserve">Нет</x:t>
        </x:is>
      </x:c>
    </x:row>
    <x:row r="1961">
      <x:c r="A1961" s="31" t="inlineStr">
        <x:is>
          <x:t xml:space="preserve">ОП-001960</x:t>
        </x:is>
      </x:c>
      <x:c r="B1961" s="31" t="inlineStr">
        <x:is>
          <x:t xml:space="preserve">ПЗ-00234</x:t>
        </x:is>
      </x:c>
      <x:c r="C1961" s="31" t="inlineStr">
        <x:is>
          <x:t xml:space="preserve">ЗК-1113</x:t>
        </x:is>
      </x:c>
      <x:c r="D1961" s="31" t="inlineStr">
        <x:is>
          <x:t xml:space="preserve">ПОЗ-0113-1</x:t>
        </x:is>
      </x:c>
      <x:c r="E1961" s="31" t="inlineStr">
        <x:is>
          <x:t xml:space="preserve">ИЗД-040</x:t>
        </x:is>
      </x:c>
      <x:c r="F1961" s="31" t="n">
        <x:v>40</x:v>
      </x:c>
      <x:c r="G1961" s="31" t="inlineStr">
        <x:is>
          <x:t xml:space="preserve">Сборка</x:t>
        </x:is>
      </x:c>
      <x:c r="H1961" s="31" t="inlineStr">
        <x:is>
          <x:t xml:space="preserve">Сборка</x:t>
        </x:is>
      </x:c>
      <x:c r="I1961" s="31" t="inlineStr">
        <x:is>
          <x:t xml:space="preserve">ОБ-016</x:t>
        </x:is>
      </x:c>
      <x:c r="J1961" s="31" t="inlineStr">
        <x:is>
          <x:t xml:space="preserve">СОТР-091</x:t>
        </x:is>
      </x:c>
      <x:c r="K1961" s="31" t="n">
        <x:v>24</x:v>
      </x:c>
      <x:c r="L1961" s="31" t="n">
        <x:v>21.3</x:v>
      </x:c>
      <x:c r="M1961" s="31" t="n">
        <x:v>46091</x:v>
      </x:c>
      <x:c r="N1961" s="31" t="n">
        <x:v>46093</x:v>
      </x:c>
      <x:c r="O1961" s="31" t="n">
        <x:v>46091</x:v>
      </x:c>
      <x:c r="P1961" s="31" t="n">
        <x:v>46093</x:v>
      </x:c>
      <x:c r="Q1961" s="31" t="inlineStr">
        <x:is>
          <x:t xml:space="preserve">Завершено</x:t>
        </x:is>
      </x:c>
      <x:c r="R1961" s="31" t="inlineStr">
        <x:is>
          <x:t xml:space="preserve">Нет</x:t>
        </x:is>
      </x:c>
      <x:c r="S1961" s="31" t="inlineStr">
        <x:is>
          <x:t xml:space="preserve">Нет</x:t>
        </x:is>
      </x:c>
    </x:row>
    <x:row r="1962">
      <x:c r="A1962" s="31" t="inlineStr">
        <x:is>
          <x:t xml:space="preserve">ОП-001961</x:t>
        </x:is>
      </x:c>
      <x:c r="B1962" s="31" t="inlineStr">
        <x:is>
          <x:t xml:space="preserve">ПЗ-00234</x:t>
        </x:is>
      </x:c>
      <x:c r="C1962" s="31" t="inlineStr">
        <x:is>
          <x:t xml:space="preserve">ЗК-1113</x:t>
        </x:is>
      </x:c>
      <x:c r="D1962" s="31" t="inlineStr">
        <x:is>
          <x:t xml:space="preserve">ПОЗ-0113-1</x:t>
        </x:is>
      </x:c>
      <x:c r="E1962" s="31" t="inlineStr">
        <x:is>
          <x:t xml:space="preserve">ИЗД-040</x:t>
        </x:is>
      </x:c>
      <x:c r="F1962" s="31" t="n">
        <x:v>50</x:v>
      </x:c>
      <x:c r="G1962" s="31" t="inlineStr">
        <x:is>
          <x:t xml:space="preserve">Обвязка труб</x:t>
        </x:is>
      </x:c>
      <x:c r="H1962" s="31" t="inlineStr">
        <x:is>
          <x:t xml:space="preserve">Сборка</x:t>
        </x:is>
      </x:c>
      <x:c r="I1962" s="31" t="inlineStr">
        <x:is>
          <x:t xml:space="preserve">ОБ-012</x:t>
        </x:is>
      </x:c>
      <x:c r="J1962" s="31" t="inlineStr">
        <x:is>
          <x:t xml:space="preserve">СОТР-075</x:t>
        </x:is>
      </x:c>
      <x:c r="K1962" s="31" t="n">
        <x:v>40</x:v>
      </x:c>
      <x:c r="L1962" s="31" t="n">
        <x:v>43.8</x:v>
      </x:c>
      <x:c r="M1962" s="31" t="n">
        <x:v>46093</x:v>
      </x:c>
      <x:c r="N1962" s="31" t="n">
        <x:v>46097</x:v>
      </x:c>
      <x:c r="O1962" s="31" t="n">
        <x:v>46093</x:v>
      </x:c>
      <x:c r="P1962" s="31" t="n">
        <x:v>46099</x:v>
      </x:c>
      <x:c r="Q1962" s="31" t="inlineStr">
        <x:is>
          <x:t xml:space="preserve">Завершено</x:t>
        </x:is>
      </x:c>
      <x:c r="R1962" s="31" t="inlineStr">
        <x:is>
          <x:t xml:space="preserve">Нет</x:t>
        </x:is>
      </x:c>
      <x:c r="S1962" s="31" t="inlineStr">
        <x:is>
          <x:t xml:space="preserve">Нет</x:t>
        </x:is>
      </x:c>
    </x:row>
    <x:row r="1963">
      <x:c r="A1963" s="31" t="inlineStr">
        <x:is>
          <x:t xml:space="preserve">ОП-001962</x:t>
        </x:is>
      </x:c>
      <x:c r="B1963" s="31" t="inlineStr">
        <x:is>
          <x:t xml:space="preserve">ПЗ-00234</x:t>
        </x:is>
      </x:c>
      <x:c r="C1963" s="31" t="inlineStr">
        <x:is>
          <x:t xml:space="preserve">ЗК-1113</x:t>
        </x:is>
      </x:c>
      <x:c r="D1963" s="31" t="inlineStr">
        <x:is>
          <x:t xml:space="preserve">ПОЗ-0113-1</x:t>
        </x:is>
      </x:c>
      <x:c r="E1963" s="31" t="inlineStr">
        <x:is>
          <x:t xml:space="preserve">ИЗД-040</x:t>
        </x:is>
      </x:c>
      <x:c r="F1963" s="31" t="n">
        <x:v>60</x:v>
      </x:c>
      <x:c r="G1963" s="31" t="inlineStr">
        <x:is>
          <x:t xml:space="preserve">Электромонтаж</x:t>
        </x:is>
      </x:c>
      <x:c r="H1963" s="31" t="inlineStr">
        <x:is>
          <x:t xml:space="preserve">Сборка</x:t>
        </x:is>
      </x:c>
      <x:c r="I1963" s="31" t="inlineStr">
        <x:is>
          <x:t xml:space="preserve">ОБ-020</x:t>
        </x:is>
      </x:c>
      <x:c r="J1963" s="31" t="inlineStr">
        <x:is>
          <x:t xml:space="preserve">СОТР-077</x:t>
        </x:is>
      </x:c>
      <x:c r="K1963" s="31" t="n">
        <x:v>17.5</x:v>
      </x:c>
      <x:c r="L1963" s="31" t="n">
        <x:v>20.6</x:v>
      </x:c>
      <x:c r="M1963" s="31" t="n">
        <x:v>46097</x:v>
      </x:c>
      <x:c r="N1963" s="31" t="n">
        <x:v>46099</x:v>
      </x:c>
      <x:c r="O1963" s="31" t="n">
        <x:v>46097</x:v>
      </x:c>
      <x:c r="P1963" s="31" t="n">
        <x:v>46099</x:v>
      </x:c>
      <x:c r="Q1963" s="31" t="inlineStr">
        <x:is>
          <x:t xml:space="preserve">Завершено</x:t>
        </x:is>
      </x:c>
      <x:c r="R1963" s="31" t="inlineStr">
        <x:is>
          <x:t xml:space="preserve">Нет</x:t>
        </x:is>
      </x:c>
      <x:c r="S1963" s="31" t="inlineStr">
        <x:is>
          <x:t xml:space="preserve">Нет</x:t>
        </x:is>
      </x:c>
    </x:row>
    <x:row r="1964">
      <x:c r="A1964" s="31" t="inlineStr">
        <x:is>
          <x:t xml:space="preserve">ОП-001963</x:t>
        </x:is>
      </x:c>
      <x:c r="B1964" s="31" t="inlineStr">
        <x:is>
          <x:t xml:space="preserve">ПЗ-00234</x:t>
        </x:is>
      </x:c>
      <x:c r="C1964" s="31" t="inlineStr">
        <x:is>
          <x:t xml:space="preserve">ЗК-1113</x:t>
        </x:is>
      </x:c>
      <x:c r="D1964" s="31" t="inlineStr">
        <x:is>
          <x:t xml:space="preserve">ПОЗ-0113-1</x:t>
        </x:is>
      </x:c>
      <x:c r="E1964" s="31" t="inlineStr">
        <x:is>
          <x:t xml:space="preserve">ИЗД-040</x:t>
        </x:is>
      </x:c>
      <x:c r="F1964" s="31" t="n">
        <x:v>70</x:v>
      </x:c>
      <x:c r="G1964" s="31" t="inlineStr">
        <x:is>
          <x:t xml:space="preserve">Гидроиспытания</x:t>
        </x:is>
      </x:c>
      <x:c r="H1964" s="31" t="inlineStr">
        <x:is>
          <x:t xml:space="preserve">ОТК</x:t>
        </x:is>
      </x:c>
      <x:c r="I1964" s="31" t="inlineStr">
        <x:is>
          <x:t xml:space="preserve">ОБ-033</x:t>
        </x:is>
      </x:c>
      <x:c r="J1964" s="31" t="inlineStr">
        <x:is>
          <x:t xml:space="preserve">СОТР-098</x:t>
        </x:is>
      </x:c>
      <x:c r="K1964" s="31" t="n">
        <x:v>60</x:v>
      </x:c>
      <x:c r="L1964" s="31" t="n">
        <x:v>69.5</x:v>
      </x:c>
      <x:c r="M1964" s="31" t="n">
        <x:v>46099</x:v>
      </x:c>
      <x:c r="N1964" s="31" t="n">
        <x:v>46104</x:v>
      </x:c>
      <x:c r="O1964" s="31" t="n">
        <x:v>46099</x:v>
      </x:c>
      <x:c r="P1964" s="31" t="n">
        <x:v>46104</x:v>
      </x:c>
      <x:c r="Q1964" s="31" t="inlineStr">
        <x:is>
          <x:t xml:space="preserve">Завершено</x:t>
        </x:is>
      </x:c>
      <x:c r="R1964" s="31" t="inlineStr">
        <x:is>
          <x:t xml:space="preserve">Нет</x:t>
        </x:is>
      </x:c>
      <x:c r="S1964" s="31" t="inlineStr">
        <x:is>
          <x:t xml:space="preserve">Нет</x:t>
        </x:is>
      </x:c>
    </x:row>
    <x:row r="1965">
      <x:c r="A1965" s="31" t="inlineStr">
        <x:is>
          <x:t xml:space="preserve">ОП-001964</x:t>
        </x:is>
      </x:c>
      <x:c r="B1965" s="31" t="inlineStr">
        <x:is>
          <x:t xml:space="preserve">ПЗ-00234</x:t>
        </x:is>
      </x:c>
      <x:c r="C1965" s="31" t="inlineStr">
        <x:is>
          <x:t xml:space="preserve">ЗК-1113</x:t>
        </x:is>
      </x:c>
      <x:c r="D1965" s="31" t="inlineStr">
        <x:is>
          <x:t xml:space="preserve">ПОЗ-0113-1</x:t>
        </x:is>
      </x:c>
      <x:c r="E1965" s="31" t="inlineStr">
        <x:is>
          <x:t xml:space="preserve">ИЗД-040</x:t>
        </x:is>
      </x:c>
      <x:c r="F1965" s="31" t="n">
        <x:v>80</x:v>
      </x:c>
      <x:c r="G1965" s="31" t="inlineStr">
        <x:is>
          <x:t xml:space="preserve">ОТК</x:t>
        </x:is>
      </x:c>
      <x:c r="H1965" s="31" t="inlineStr">
        <x:is>
          <x:t xml:space="preserve">ОТК</x:t>
        </x:is>
      </x:c>
      <x:c r="I1965" s="31" t="inlineStr">
        <x:is>
          <x:t xml:space="preserve">ОБ-024</x:t>
        </x:is>
      </x:c>
      <x:c r="J1965" s="31" t="inlineStr">
        <x:is>
          <x:t xml:space="preserve">СОТР-093</x:t>
        </x:is>
      </x:c>
      <x:c r="K1965" s="31" t="n">
        <x:v>6</x:v>
      </x:c>
      <x:c r="L1965" s="31" t="n">
        <x:v>6.5</x:v>
      </x:c>
      <x:c r="M1965" s="31" t="n">
        <x:v>46104</x:v>
      </x:c>
      <x:c r="N1965" s="31" t="n">
        <x:v>46105</x:v>
      </x:c>
      <x:c r="O1965" s="31" t="n">
        <x:v>46104</x:v>
      </x:c>
      <x:c r="P1965" s="31" t="n">
        <x:v>46104</x:v>
      </x:c>
      <x:c r="Q1965" s="31" t="inlineStr">
        <x:is>
          <x:t xml:space="preserve">Завершено</x:t>
        </x:is>
      </x:c>
      <x:c r="R1965" s="31" t="inlineStr">
        <x:is>
          <x:t xml:space="preserve">Нет</x:t>
        </x:is>
      </x:c>
      <x:c r="S1965" s="31" t="inlineStr">
        <x:is>
          <x:t xml:space="preserve">Нет</x:t>
        </x:is>
      </x:c>
    </x:row>
    <x:row r="1966">
      <x:c r="A1966" s="31" t="inlineStr">
        <x:is>
          <x:t xml:space="preserve">ОП-001965</x:t>
        </x:is>
      </x:c>
      <x:c r="B1966" s="31" t="inlineStr">
        <x:is>
          <x:t xml:space="preserve">ПЗ-00234</x:t>
        </x:is>
      </x:c>
      <x:c r="C1966" s="31" t="inlineStr">
        <x:is>
          <x:t xml:space="preserve">ЗК-1113</x:t>
        </x:is>
      </x:c>
      <x:c r="D1966" s="31" t="inlineStr">
        <x:is>
          <x:t xml:space="preserve">ПОЗ-0113-1</x:t>
        </x:is>
      </x:c>
      <x:c r="E1966" s="31" t="inlineStr">
        <x:is>
          <x:t xml:space="preserve">ИЗД-040</x:t>
        </x:is>
      </x:c>
      <x:c r="F1966" s="31" t="n">
        <x:v>90</x:v>
      </x:c>
      <x:c r="G1966" s="31" t="inlineStr">
        <x:is>
          <x:t xml:space="preserve">Упаковка</x:t>
        </x:is>
      </x:c>
      <x:c r="H1966" s="31" t="inlineStr">
        <x:is>
          <x:t xml:space="preserve">Логистика</x:t>
        </x:is>
      </x:c>
      <x:c r="I1966" s="31" t="n"/>
      <x:c r="J1966" s="31" t="inlineStr">
        <x:is>
          <x:t xml:space="preserve">СОТР-105</x:t>
        </x:is>
      </x:c>
      <x:c r="K1966" s="31" t="n">
        <x:v>23</x:v>
      </x:c>
      <x:c r="L1966" s="31" t="n">
        <x:v>18.5</x:v>
      </x:c>
      <x:c r="M1966" s="31" t="n">
        <x:v>46105</x:v>
      </x:c>
      <x:c r="N1966" s="31" t="n">
        <x:v>46107</x:v>
      </x:c>
      <x:c r="O1966" s="31" t="n">
        <x:v>46105</x:v>
      </x:c>
      <x:c r="P1966" s="31" t="n">
        <x:v>46106</x:v>
      </x:c>
      <x:c r="Q1966" s="31" t="inlineStr">
        <x:is>
          <x:t xml:space="preserve">Завершено</x:t>
        </x:is>
      </x:c>
      <x:c r="R1966" s="31" t="inlineStr">
        <x:is>
          <x:t xml:space="preserve">Нет</x:t>
        </x:is>
      </x:c>
      <x:c r="S1966" s="31" t="inlineStr">
        <x:is>
          <x:t xml:space="preserve">Нет</x:t>
        </x:is>
      </x:c>
    </x:row>
    <x:row r="1967">
      <x:c r="A1967" s="31" t="inlineStr">
        <x:is>
          <x:t xml:space="preserve">ОП-001966</x:t>
        </x:is>
      </x:c>
      <x:c r="B1967" s="31" t="inlineStr">
        <x:is>
          <x:t xml:space="preserve">ПЗ-00235</x:t>
        </x:is>
      </x:c>
      <x:c r="C1967" s="31" t="inlineStr">
        <x:is>
          <x:t xml:space="preserve">ЗК-1113</x:t>
        </x:is>
      </x:c>
      <x:c r="D1967" s="31" t="inlineStr">
        <x:is>
          <x:t xml:space="preserve">ПОЗ-0113-2</x:t>
        </x:is>
      </x:c>
      <x:c r="E1967" s="31" t="inlineStr">
        <x:is>
          <x:t xml:space="preserve">ИЗД-001</x:t>
        </x:is>
      </x:c>
      <x:c r="F1967" s="31" t="n">
        <x:v>10</x:v>
      </x:c>
      <x:c r="G1967" s="31" t="inlineStr">
        <x:is>
          <x:t xml:space="preserve">Комплектация</x:t>
        </x:is>
      </x:c>
      <x:c r="H1967" s="31" t="inlineStr">
        <x:is>
          <x:t xml:space="preserve">Склад</x:t>
        </x:is>
      </x:c>
      <x:c r="I1967" s="31" t="inlineStr">
        <x:is>
          <x:t xml:space="preserve">ОБ-011</x:t>
        </x:is>
      </x:c>
      <x:c r="J1967" s="31" t="inlineStr">
        <x:is>
          <x:t xml:space="preserve">СОТР-039</x:t>
        </x:is>
      </x:c>
      <x:c r="K1967" s="31" t="n">
        <x:v>50.4</x:v>
      </x:c>
      <x:c r="L1967" s="31" t="n">
        <x:v>55.8</x:v>
      </x:c>
      <x:c r="M1967" s="31" t="n">
        <x:v>46087</x:v>
      </x:c>
      <x:c r="N1967" s="31" t="n">
        <x:v>46092</x:v>
      </x:c>
      <x:c r="O1967" s="31" t="n">
        <x:v>46087</x:v>
      </x:c>
      <x:c r="P1967" s="31" t="n">
        <x:v>46093</x:v>
      </x:c>
      <x:c r="Q1967" s="31" t="inlineStr">
        <x:is>
          <x:t xml:space="preserve">Завершено</x:t>
        </x:is>
      </x:c>
      <x:c r="R1967" s="31" t="inlineStr">
        <x:is>
          <x:t xml:space="preserve">Нет</x:t>
        </x:is>
      </x:c>
      <x:c r="S1967" s="31" t="inlineStr">
        <x:is>
          <x:t xml:space="preserve">Нет</x:t>
        </x:is>
      </x:c>
    </x:row>
    <x:row r="1968">
      <x:c r="A1968" s="31" t="inlineStr">
        <x:is>
          <x:t xml:space="preserve">ОП-001967</x:t>
        </x:is>
      </x:c>
      <x:c r="B1968" s="31" t="inlineStr">
        <x:is>
          <x:t xml:space="preserve">ПЗ-00235</x:t>
        </x:is>
      </x:c>
      <x:c r="C1968" s="31" t="inlineStr">
        <x:is>
          <x:t xml:space="preserve">ЗК-1113</x:t>
        </x:is>
      </x:c>
      <x:c r="D1968" s="31" t="inlineStr">
        <x:is>
          <x:t xml:space="preserve">ПОЗ-0113-2</x:t>
        </x:is>
      </x:c>
      <x:c r="E1968" s="31" t="inlineStr">
        <x:is>
          <x:t xml:space="preserve">ИЗД-001</x:t>
        </x:is>
      </x:c>
      <x:c r="F1968" s="31" t="n">
        <x:v>20</x:v>
      </x:c>
      <x:c r="G1968" s="31" t="inlineStr">
        <x:is>
          <x:t xml:space="preserve">Входной контроль</x:t>
        </x:is>
      </x:c>
      <x:c r="H1968" s="31" t="inlineStr">
        <x:is>
          <x:t xml:space="preserve">ОТК</x:t>
        </x:is>
      </x:c>
      <x:c r="I1968" s="31" t="inlineStr">
        <x:is>
          <x:t xml:space="preserve">ОБ-032</x:t>
        </x:is>
      </x:c>
      <x:c r="J1968" s="31" t="inlineStr">
        <x:is>
          <x:t xml:space="preserve">СОТР-096</x:t>
        </x:is>
      </x:c>
      <x:c r="K1968" s="31" t="n">
        <x:v>80.40000000000001</x:v>
      </x:c>
      <x:c r="L1968" s="31" t="n">
        <x:v>88.90000000000001</x:v>
      </x:c>
      <x:c r="M1968" s="31" t="n">
        <x:v>46092</x:v>
      </x:c>
      <x:c r="N1968" s="31" t="n">
        <x:v>46099</x:v>
      </x:c>
      <x:c r="O1968" s="31" t="n">
        <x:v>46092</x:v>
      </x:c>
      <x:c r="P1968" s="31" t="n">
        <x:v>46099</x:v>
      </x:c>
      <x:c r="Q1968" s="31" t="inlineStr">
        <x:is>
          <x:t xml:space="preserve">Завершено</x:t>
        </x:is>
      </x:c>
      <x:c r="R1968" s="31" t="inlineStr">
        <x:is>
          <x:t xml:space="preserve">Оборудование</x:t>
        </x:is>
      </x:c>
      <x:c r="S1968" s="31" t="inlineStr">
        <x:is>
          <x:t xml:space="preserve">Нет</x:t>
        </x:is>
      </x:c>
    </x:row>
    <x:row r="1969">
      <x:c r="A1969" s="31" t="inlineStr">
        <x:is>
          <x:t xml:space="preserve">ОП-001968</x:t>
        </x:is>
      </x:c>
      <x:c r="B1969" s="31" t="inlineStr">
        <x:is>
          <x:t xml:space="preserve">ПЗ-00235</x:t>
        </x:is>
      </x:c>
      <x:c r="C1969" s="31" t="inlineStr">
        <x:is>
          <x:t xml:space="preserve">ЗК-1113</x:t>
        </x:is>
      </x:c>
      <x:c r="D1969" s="31" t="inlineStr">
        <x:is>
          <x:t xml:space="preserve">ПОЗ-0113-2</x:t>
        </x:is>
      </x:c>
      <x:c r="E1969" s="31" t="inlineStr">
        <x:is>
          <x:t xml:space="preserve">ИЗД-001</x:t>
        </x:is>
      </x:c>
      <x:c r="F1969" s="31" t="n">
        <x:v>30</x:v>
      </x:c>
      <x:c r="G1969" s="31" t="inlineStr">
        <x:is>
          <x:t xml:space="preserve">Упаковка</x:t>
        </x:is>
      </x:c>
      <x:c r="H1969" s="31" t="inlineStr">
        <x:is>
          <x:t xml:space="preserve">Логистика</x:t>
        </x:is>
      </x:c>
      <x:c r="I1969" s="31" t="n"/>
      <x:c r="J1969" s="31" t="inlineStr">
        <x:is>
          <x:t xml:space="preserve">СОТР-102</x:t>
        </x:is>
      </x:c>
      <x:c r="K1969" s="31" t="n">
        <x:v>9.6</x:v>
      </x:c>
      <x:c r="L1969" s="31" t="n"/>
      <x:c r="M1969" s="31" t="n">
        <x:v>46099</x:v>
      </x:c>
      <x:c r="N1969" s="31" t="n">
        <x:v>46100</x:v>
      </x:c>
      <x:c r="O1969" s="31" t="n"/>
      <x:c r="P1969" s="31" t="n"/>
      <x:c r="Q1969" s="31" t="inlineStr">
        <x:is>
          <x:t xml:space="preserve">Запланировано</x:t>
        </x:is>
      </x:c>
      <x:c r="R1969" s="31" t="inlineStr">
        <x:is>
          <x:t xml:space="preserve">Нет</x:t>
        </x:is>
      </x:c>
      <x:c r="S1969" s="31" t="inlineStr">
        <x:is>
          <x:t xml:space="preserve">Нет</x:t>
        </x:is>
      </x:c>
    </x:row>
    <x:row r="1970">
      <x:c r="A1970" s="31" t="inlineStr">
        <x:is>
          <x:t xml:space="preserve">ОП-001969</x:t>
        </x:is>
      </x:c>
      <x:c r="B1970" s="31" t="inlineStr">
        <x:is>
          <x:t xml:space="preserve">ПЗ-00235</x:t>
        </x:is>
      </x:c>
      <x:c r="C1970" s="31" t="inlineStr">
        <x:is>
          <x:t xml:space="preserve">ЗК-1113</x:t>
        </x:is>
      </x:c>
      <x:c r="D1970" s="31" t="inlineStr">
        <x:is>
          <x:t xml:space="preserve">ПОЗ-0113-2</x:t>
        </x:is>
      </x:c>
      <x:c r="E1970" s="31" t="inlineStr">
        <x:is>
          <x:t xml:space="preserve">ИЗД-001</x:t>
        </x:is>
      </x:c>
      <x:c r="F1970" s="31" t="n">
        <x:v>40</x:v>
      </x:c>
      <x:c r="G1970" s="31" t="inlineStr">
        <x:is>
          <x:t xml:space="preserve">ОТК</x:t>
        </x:is>
      </x:c>
      <x:c r="H1970" s="31" t="inlineStr">
        <x:is>
          <x:t xml:space="preserve">ОТК</x:t>
        </x:is>
      </x:c>
      <x:c r="I1970" s="31" t="inlineStr">
        <x:is>
          <x:t xml:space="preserve">ОБ-006</x:t>
        </x:is>
      </x:c>
      <x:c r="J1970" s="31" t="inlineStr">
        <x:is>
          <x:t xml:space="preserve">СОТР-100</x:t>
        </x:is>
      </x:c>
      <x:c r="K1970" s="31" t="n">
        <x:v>30</x:v>
      </x:c>
      <x:c r="L1970" s="31" t="n"/>
      <x:c r="M1970" s="31" t="n">
        <x:v>46100</x:v>
      </x:c>
      <x:c r="N1970" s="31" t="n">
        <x:v>46103</x:v>
      </x:c>
      <x:c r="O1970" s="31" t="n">
        <x:v>46100</x:v>
      </x:c>
      <x:c r="P1970" s="31" t="n"/>
      <x:c r="Q1970" s="31" t="inlineStr">
        <x:is>
          <x:t xml:space="preserve">В работе</x:t>
        </x:is>
      </x:c>
      <x:c r="R1970" s="31" t="inlineStr">
        <x:is>
          <x:t xml:space="preserve">Материал</x:t>
        </x:is>
      </x:c>
      <x:c r="S1970" s="31" t="inlineStr">
        <x:is>
          <x:t xml:space="preserve">Нет</x:t>
        </x:is>
      </x:c>
    </x:row>
    <x:row r="1971">
      <x:c r="A1971" s="31" t="inlineStr">
        <x:is>
          <x:t xml:space="preserve">ОП-001970</x:t>
        </x:is>
      </x:c>
      <x:c r="B1971" s="31" t="inlineStr">
        <x:is>
          <x:t xml:space="preserve">ПЗ-00236</x:t>
        </x:is>
      </x:c>
      <x:c r="C1971" s="31" t="inlineStr">
        <x:is>
          <x:t xml:space="preserve">ЗК-1114</x:t>
        </x:is>
      </x:c>
      <x:c r="D1971" s="31" t="inlineStr">
        <x:is>
          <x:t xml:space="preserve">ПОЗ-0114-1</x:t>
        </x:is>
      </x:c>
      <x:c r="E1971" s="31" t="inlineStr">
        <x:is>
          <x:t xml:space="preserve">ИЗД-005</x:t>
        </x:is>
      </x:c>
      <x:c r="F1971" s="31" t="n">
        <x:v>10</x:v>
      </x:c>
      <x:c r="G1971" s="31" t="inlineStr">
        <x:is>
          <x:t xml:space="preserve">КД</x:t>
        </x:is>
      </x:c>
      <x:c r="H1971" s="31" t="inlineStr">
        <x:is>
          <x:t xml:space="preserve">Инженерный отдел</x:t>
        </x:is>
      </x:c>
      <x:c r="I1971" s="31" t="n"/>
      <x:c r="J1971" s="31" t="inlineStr">
        <x:is>
          <x:t xml:space="preserve">СОТР-013</x:t>
        </x:is>
      </x:c>
      <x:c r="K1971" s="31" t="n">
        <x:v>15</x:v>
      </x:c>
      <x:c r="L1971" s="31" t="n">
        <x:v>15.5</x:v>
      </x:c>
      <x:c r="M1971" s="31" t="n">
        <x:v>46100</x:v>
      </x:c>
      <x:c r="N1971" s="31" t="n">
        <x:v>46102</x:v>
      </x:c>
      <x:c r="O1971" s="31" t="n">
        <x:v>46100</x:v>
      </x:c>
      <x:c r="P1971" s="31" t="n">
        <x:v>46101</x:v>
      </x:c>
      <x:c r="Q1971" s="31" t="inlineStr">
        <x:is>
          <x:t xml:space="preserve">Завершено</x:t>
        </x:is>
      </x:c>
      <x:c r="R1971" s="31" t="inlineStr">
        <x:is>
          <x:t xml:space="preserve">Нет</x:t>
        </x:is>
      </x:c>
      <x:c r="S1971" s="31" t="inlineStr">
        <x:is>
          <x:t xml:space="preserve">Нет</x:t>
        </x:is>
      </x:c>
    </x:row>
    <x:row r="1972">
      <x:c r="A1972" s="31" t="inlineStr">
        <x:is>
          <x:t xml:space="preserve">ОП-001971</x:t>
        </x:is>
      </x:c>
      <x:c r="B1972" s="31" t="inlineStr">
        <x:is>
          <x:t xml:space="preserve">ПЗ-00236</x:t>
        </x:is>
      </x:c>
      <x:c r="C1972" s="31" t="inlineStr">
        <x:is>
          <x:t xml:space="preserve">ЗК-1114</x:t>
        </x:is>
      </x:c>
      <x:c r="D1972" s="31" t="inlineStr">
        <x:is>
          <x:t xml:space="preserve">ПОЗ-0114-1</x:t>
        </x:is>
      </x:c>
      <x:c r="E1972" s="31" t="inlineStr">
        <x:is>
          <x:t xml:space="preserve">ИЗД-005</x:t>
        </x:is>
      </x:c>
      <x:c r="F1972" s="31" t="n">
        <x:v>20</x:v>
      </x:c>
      <x:c r="G1972" s="31" t="inlineStr">
        <x:is>
          <x:t xml:space="preserve">Резерв материалов</x:t>
        </x:is>
      </x:c>
      <x:c r="H1972" s="31" t="inlineStr">
        <x:is>
          <x:t xml:space="preserve">Склад</x:t>
        </x:is>
      </x:c>
      <x:c r="I1972" s="31" t="inlineStr">
        <x:is>
          <x:t xml:space="preserve">ОБ-011</x:t>
        </x:is>
      </x:c>
      <x:c r="J1972" s="31" t="inlineStr">
        <x:is>
          <x:t xml:space="preserve">СОТР-039</x:t>
        </x:is>
      </x:c>
      <x:c r="K1972" s="31" t="n">
        <x:v>3</x:v>
      </x:c>
      <x:c r="L1972" s="31" t="n">
        <x:v>3.1</x:v>
      </x:c>
      <x:c r="M1972" s="31" t="n">
        <x:v>46102</x:v>
      </x:c>
      <x:c r="N1972" s="31" t="n">
        <x:v>46103</x:v>
      </x:c>
      <x:c r="O1972" s="31" t="n">
        <x:v>46102</x:v>
      </x:c>
      <x:c r="P1972" s="31" t="n">
        <x:v>46104</x:v>
      </x:c>
      <x:c r="Q1972" s="31" t="inlineStr">
        <x:is>
          <x:t xml:space="preserve">Завершено</x:t>
        </x:is>
      </x:c>
      <x:c r="R1972" s="31" t="inlineStr">
        <x:is>
          <x:t xml:space="preserve">Нет</x:t>
        </x:is>
      </x:c>
      <x:c r="S1972" s="31" t="inlineStr">
        <x:is>
          <x:t xml:space="preserve">Нет</x:t>
        </x:is>
      </x:c>
    </x:row>
    <x:row r="1973">
      <x:c r="A1973" s="31" t="inlineStr">
        <x:is>
          <x:t xml:space="preserve">ОП-001972</x:t>
        </x:is>
      </x:c>
      <x:c r="B1973" s="31" t="inlineStr">
        <x:is>
          <x:t xml:space="preserve">ПЗ-00236</x:t>
        </x:is>
      </x:c>
      <x:c r="C1973" s="31" t="inlineStr">
        <x:is>
          <x:t xml:space="preserve">ЗК-1114</x:t>
        </x:is>
      </x:c>
      <x:c r="D1973" s="31" t="inlineStr">
        <x:is>
          <x:t xml:space="preserve">ПОЗ-0114-1</x:t>
        </x:is>
      </x:c>
      <x:c r="E1973" s="31" t="inlineStr">
        <x:is>
          <x:t xml:space="preserve">ИЗД-005</x:t>
        </x:is>
      </x:c>
      <x:c r="F1973" s="31" t="n">
        <x:v>30</x:v>
      </x:c>
      <x:c r="G1973" s="31" t="inlineStr">
        <x:is>
          <x:t xml:space="preserve">Резка металла</x:t>
        </x:is>
      </x:c>
      <x:c r="H1973" s="31" t="inlineStr">
        <x:is>
          <x:t xml:space="preserve">Сварка</x:t>
        </x:is>
      </x:c>
      <x:c r="I1973" s="31" t="inlineStr">
        <x:is>
          <x:t xml:space="preserve">ОБ-018</x:t>
        </x:is>
      </x:c>
      <x:c r="J1973" s="31" t="inlineStr">
        <x:is>
          <x:t xml:space="preserve">СОТР-066</x:t>
        </x:is>
      </x:c>
      <x:c r="K1973" s="31" t="n">
        <x:v>22.8</x:v>
      </x:c>
      <x:c r="L1973" s="31" t="n">
        <x:v>18.8</x:v>
      </x:c>
      <x:c r="M1973" s="31" t="n">
        <x:v>46103</x:v>
      </x:c>
      <x:c r="N1973" s="31" t="n">
        <x:v>46105</x:v>
      </x:c>
      <x:c r="O1973" s="31" t="n">
        <x:v>46103</x:v>
      </x:c>
      <x:c r="P1973" s="31" t="n">
        <x:v>46106</x:v>
      </x:c>
      <x:c r="Q1973" s="31" t="inlineStr">
        <x:is>
          <x:t xml:space="preserve">Завершено</x:t>
        </x:is>
      </x:c>
      <x:c r="R1973" s="31" t="inlineStr">
        <x:is>
          <x:t xml:space="preserve">Нет</x:t>
        </x:is>
      </x:c>
      <x:c r="S1973" s="31" t="inlineStr">
        <x:is>
          <x:t xml:space="preserve">Нет</x:t>
        </x:is>
      </x:c>
    </x:row>
    <x:row r="1974">
      <x:c r="A1974" s="31" t="inlineStr">
        <x:is>
          <x:t xml:space="preserve">ОП-001973</x:t>
        </x:is>
      </x:c>
      <x:c r="B1974" s="31" t="inlineStr">
        <x:is>
          <x:t xml:space="preserve">ПЗ-00236</x:t>
        </x:is>
      </x:c>
      <x:c r="C1974" s="31" t="inlineStr">
        <x:is>
          <x:t xml:space="preserve">ЗК-1114</x:t>
        </x:is>
      </x:c>
      <x:c r="D1974" s="31" t="inlineStr">
        <x:is>
          <x:t xml:space="preserve">ПОЗ-0114-1</x:t>
        </x:is>
      </x:c>
      <x:c r="E1974" s="31" t="inlineStr">
        <x:is>
          <x:t xml:space="preserve">ИЗД-005</x:t>
        </x:is>
      </x:c>
      <x:c r="F1974" s="31" t="n">
        <x:v>40</x:v>
      </x:c>
      <x:c r="G1974" s="31" t="inlineStr">
        <x:is>
          <x:t xml:space="preserve">Сварка рамы</x:t>
        </x:is>
      </x:c>
      <x:c r="H1974" s="31" t="inlineStr">
        <x:is>
          <x:t xml:space="preserve">Сварка</x:t>
        </x:is>
      </x:c>
      <x:c r="I1974" s="31" t="inlineStr">
        <x:is>
          <x:t xml:space="preserve">ОБ-026</x:t>
        </x:is>
      </x:c>
      <x:c r="J1974" s="31" t="inlineStr">
        <x:is>
          <x:t xml:space="preserve">СОТР-057</x:t>
        </x:is>
      </x:c>
      <x:c r="K1974" s="31" t="n">
        <x:v>4.2</x:v>
      </x:c>
      <x:c r="L1974" s="31" t="n">
        <x:v>4.4</x:v>
      </x:c>
      <x:c r="M1974" s="31" t="n">
        <x:v>46105</x:v>
      </x:c>
      <x:c r="N1974" s="31" t="n">
        <x:v>46106</x:v>
      </x:c>
      <x:c r="O1974" s="31" t="n">
        <x:v>46105</x:v>
      </x:c>
      <x:c r="P1974" s="31" t="n">
        <x:v>46107</x:v>
      </x:c>
      <x:c r="Q1974" s="31" t="inlineStr">
        <x:is>
          <x:t xml:space="preserve">Завершено</x:t>
        </x:is>
      </x:c>
      <x:c r="R1974" s="31" t="inlineStr">
        <x:is>
          <x:t xml:space="preserve">Ожидание ОТК</x:t>
        </x:is>
      </x:c>
      <x:c r="S1974" s="31" t="inlineStr">
        <x:is>
          <x:t xml:space="preserve">Нет</x:t>
        </x:is>
      </x:c>
    </x:row>
    <x:row r="1975">
      <x:c r="A1975" s="31" t="inlineStr">
        <x:is>
          <x:t xml:space="preserve">ОП-001974</x:t>
        </x:is>
      </x:c>
      <x:c r="B1975" s="31" t="inlineStr">
        <x:is>
          <x:t xml:space="preserve">ПЗ-00236</x:t>
        </x:is>
      </x:c>
      <x:c r="C1975" s="31" t="inlineStr">
        <x:is>
          <x:t xml:space="preserve">ЗК-1114</x:t>
        </x:is>
      </x:c>
      <x:c r="D1975" s="31" t="inlineStr">
        <x:is>
          <x:t xml:space="preserve">ПОЗ-0114-1</x:t>
        </x:is>
      </x:c>
      <x:c r="E1975" s="31" t="inlineStr">
        <x:is>
          <x:t xml:space="preserve">ИЗД-005</x:t>
        </x:is>
      </x:c>
      <x:c r="F1975" s="31" t="n">
        <x:v>50</x:v>
      </x:c>
      <x:c r="G1975" s="31" t="inlineStr">
        <x:is>
          <x:t xml:space="preserve">Механообработка</x:t>
        </x:is>
      </x:c>
      <x:c r="H1975" s="31" t="inlineStr">
        <x:is>
          <x:t xml:space="preserve">Механообработка</x:t>
        </x:is>
      </x:c>
      <x:c r="I1975" s="31" t="inlineStr">
        <x:is>
          <x:t xml:space="preserve">ОБ-030</x:t>
        </x:is>
      </x:c>
      <x:c r="J1975" s="31" t="inlineStr">
        <x:is>
          <x:t xml:space="preserve">СОТР-040</x:t>
        </x:is>
      </x:c>
      <x:c r="K1975" s="31" t="n">
        <x:v>3.9</x:v>
      </x:c>
      <x:c r="L1975" s="31" t="n">
        <x:v>5.1</x:v>
      </x:c>
      <x:c r="M1975" s="31" t="n">
        <x:v>46106</x:v>
      </x:c>
      <x:c r="N1975" s="31" t="n">
        <x:v>46107</x:v>
      </x:c>
      <x:c r="O1975" s="31" t="n">
        <x:v>46106</x:v>
      </x:c>
      <x:c r="P1975" s="31" t="n">
        <x:v>46106</x:v>
      </x:c>
      <x:c r="Q1975" s="31" t="inlineStr">
        <x:is>
          <x:t xml:space="preserve">Завершено</x:t>
        </x:is>
      </x:c>
      <x:c r="R1975" s="31" t="inlineStr">
        <x:is>
          <x:t xml:space="preserve">Нет</x:t>
        </x:is>
      </x:c>
      <x:c r="S1975" s="31" t="inlineStr">
        <x:is>
          <x:t xml:space="preserve">Нет</x:t>
        </x:is>
      </x:c>
    </x:row>
    <x:row r="1976">
      <x:c r="A1976" s="31" t="inlineStr">
        <x:is>
          <x:t xml:space="preserve">ОП-001975</x:t>
        </x:is>
      </x:c>
      <x:c r="B1976" s="31" t="inlineStr">
        <x:is>
          <x:t xml:space="preserve">ПЗ-00236</x:t>
        </x:is>
      </x:c>
      <x:c r="C1976" s="31" t="inlineStr">
        <x:is>
          <x:t xml:space="preserve">ЗК-1114</x:t>
        </x:is>
      </x:c>
      <x:c r="D1976" s="31" t="inlineStr">
        <x:is>
          <x:t xml:space="preserve">ПОЗ-0114-1</x:t>
        </x:is>
      </x:c>
      <x:c r="E1976" s="31" t="inlineStr">
        <x:is>
          <x:t xml:space="preserve">ИЗД-005</x:t>
        </x:is>
      </x:c>
      <x:c r="F1976" s="31" t="n">
        <x:v>60</x:v>
      </x:c>
      <x:c r="G1976" s="31" t="inlineStr">
        <x:is>
          <x:t xml:space="preserve">Сборка</x:t>
        </x:is>
      </x:c>
      <x:c r="H1976" s="31" t="inlineStr">
        <x:is>
          <x:t xml:space="preserve">Сборка</x:t>
        </x:is>
      </x:c>
      <x:c r="I1976" s="31" t="inlineStr">
        <x:is>
          <x:t xml:space="preserve">ОБ-005</x:t>
        </x:is>
      </x:c>
      <x:c r="J1976" s="31" t="inlineStr">
        <x:is>
          <x:t xml:space="preserve">СОТР-087</x:t>
        </x:is>
      </x:c>
      <x:c r="K1976" s="31" t="n">
        <x:v>21.3</x:v>
      </x:c>
      <x:c r="L1976" s="31" t="n">
        <x:v>19.6</x:v>
      </x:c>
      <x:c r="M1976" s="31" t="n">
        <x:v>46107</x:v>
      </x:c>
      <x:c r="N1976" s="31" t="n">
        <x:v>46109</x:v>
      </x:c>
      <x:c r="O1976" s="31" t="n">
        <x:v>46107</x:v>
      </x:c>
      <x:c r="P1976" s="31" t="n">
        <x:v>46109</x:v>
      </x:c>
      <x:c r="Q1976" s="31" t="inlineStr">
        <x:is>
          <x:t xml:space="preserve">Завершено</x:t>
        </x:is>
      </x:c>
      <x:c r="R1976" s="31" t="inlineStr">
        <x:is>
          <x:t xml:space="preserve">Нет</x:t>
        </x:is>
      </x:c>
      <x:c r="S1976" s="31" t="inlineStr">
        <x:is>
          <x:t xml:space="preserve">Нет</x:t>
        </x:is>
      </x:c>
    </x:row>
    <x:row r="1977">
      <x:c r="A1977" s="31" t="inlineStr">
        <x:is>
          <x:t xml:space="preserve">ОП-001976</x:t>
        </x:is>
      </x:c>
      <x:c r="B1977" s="31" t="inlineStr">
        <x:is>
          <x:t xml:space="preserve">ПЗ-00236</x:t>
        </x:is>
      </x:c>
      <x:c r="C1977" s="31" t="inlineStr">
        <x:is>
          <x:t xml:space="preserve">ЗК-1114</x:t>
        </x:is>
      </x:c>
      <x:c r="D1977" s="31" t="inlineStr">
        <x:is>
          <x:t xml:space="preserve">ПОЗ-0114-1</x:t>
        </x:is>
      </x:c>
      <x:c r="E1977" s="31" t="inlineStr">
        <x:is>
          <x:t xml:space="preserve">ИЗД-005</x:t>
        </x:is>
      </x:c>
      <x:c r="F1977" s="31" t="n">
        <x:v>70</x:v>
      </x:c>
      <x:c r="G1977" s="31" t="inlineStr">
        <x:is>
          <x:t xml:space="preserve">Электромонтаж</x:t>
        </x:is>
      </x:c>
      <x:c r="H1977" s="31" t="inlineStr">
        <x:is>
          <x:t xml:space="preserve">Сборка</x:t>
        </x:is>
      </x:c>
      <x:c r="I1977" s="31" t="inlineStr">
        <x:is>
          <x:t xml:space="preserve">ОБ-020</x:t>
        </x:is>
      </x:c>
      <x:c r="J1977" s="31" t="inlineStr">
        <x:is>
          <x:t xml:space="preserve">СОТР-091</x:t>
        </x:is>
      </x:c>
      <x:c r="K1977" s="31" t="n">
        <x:v>18.9</x:v>
      </x:c>
      <x:c r="L1977" s="31" t="n">
        <x:v>22.7</x:v>
      </x:c>
      <x:c r="M1977" s="31" t="n">
        <x:v>46109</x:v>
      </x:c>
      <x:c r="N1977" s="31" t="n">
        <x:v>46111</x:v>
      </x:c>
      <x:c r="O1977" s="31" t="n">
        <x:v>46109</x:v>
      </x:c>
      <x:c r="P1977" s="31" t="n">
        <x:v>46113</x:v>
      </x:c>
      <x:c r="Q1977" s="31" t="inlineStr">
        <x:is>
          <x:t xml:space="preserve">Завершено</x:t>
        </x:is>
      </x:c>
      <x:c r="R1977" s="31" t="inlineStr">
        <x:is>
          <x:t xml:space="preserve">Нет</x:t>
        </x:is>
      </x:c>
      <x:c r="S1977" s="31" t="inlineStr">
        <x:is>
          <x:t xml:space="preserve">Нет</x:t>
        </x:is>
      </x:c>
    </x:row>
    <x:row r="1978">
      <x:c r="A1978" s="31" t="inlineStr">
        <x:is>
          <x:t xml:space="preserve">ОП-001977</x:t>
        </x:is>
      </x:c>
      <x:c r="B1978" s="31" t="inlineStr">
        <x:is>
          <x:t xml:space="preserve">ПЗ-00236</x:t>
        </x:is>
      </x:c>
      <x:c r="C1978" s="31" t="inlineStr">
        <x:is>
          <x:t xml:space="preserve">ЗК-1114</x:t>
        </x:is>
      </x:c>
      <x:c r="D1978" s="31" t="inlineStr">
        <x:is>
          <x:t xml:space="preserve">ПОЗ-0114-1</x:t>
        </x:is>
      </x:c>
      <x:c r="E1978" s="31" t="inlineStr">
        <x:is>
          <x:t xml:space="preserve">ИЗД-005</x:t>
        </x:is>
      </x:c>
      <x:c r="F1978" s="31" t="n">
        <x:v>80</x:v>
      </x:c>
      <x:c r="G1978" s="31" t="inlineStr">
        <x:is>
          <x:t xml:space="preserve">Гидроиспытания</x:t>
        </x:is>
      </x:c>
      <x:c r="H1978" s="31" t="inlineStr">
        <x:is>
          <x:t xml:space="preserve">ОТК</x:t>
        </x:is>
      </x:c>
      <x:c r="I1978" s="31" t="inlineStr">
        <x:is>
          <x:t xml:space="preserve">ОБ-022</x:t>
        </x:is>
      </x:c>
      <x:c r="J1978" s="31" t="inlineStr">
        <x:is>
          <x:t xml:space="preserve">СОТР-095</x:t>
        </x:is>
      </x:c>
      <x:c r="K1978" s="31" t="n">
        <x:v>19.8</x:v>
      </x:c>
      <x:c r="L1978" s="31" t="n">
        <x:v>18.1</x:v>
      </x:c>
      <x:c r="M1978" s="31" t="n">
        <x:v>46111</x:v>
      </x:c>
      <x:c r="N1978" s="31" t="n">
        <x:v>46113</x:v>
      </x:c>
      <x:c r="O1978" s="31" t="n">
        <x:v>46111</x:v>
      </x:c>
      <x:c r="P1978" s="31" t="n">
        <x:v>46112</x:v>
      </x:c>
      <x:c r="Q1978" s="31" t="inlineStr">
        <x:is>
          <x:t xml:space="preserve">Завершено</x:t>
        </x:is>
      </x:c>
      <x:c r="R1978" s="31" t="inlineStr">
        <x:is>
          <x:t xml:space="preserve">Нет</x:t>
        </x:is>
      </x:c>
      <x:c r="S1978" s="31" t="inlineStr">
        <x:is>
          <x:t xml:space="preserve">Нет</x:t>
        </x:is>
      </x:c>
    </x:row>
    <x:row r="1979">
      <x:c r="A1979" s="31" t="inlineStr">
        <x:is>
          <x:t xml:space="preserve">ОП-001978</x:t>
        </x:is>
      </x:c>
      <x:c r="B1979" s="31" t="inlineStr">
        <x:is>
          <x:t xml:space="preserve">ПЗ-00236</x:t>
        </x:is>
      </x:c>
      <x:c r="C1979" s="31" t="inlineStr">
        <x:is>
          <x:t xml:space="preserve">ЗК-1114</x:t>
        </x:is>
      </x:c>
      <x:c r="D1979" s="31" t="inlineStr">
        <x:is>
          <x:t xml:space="preserve">ПОЗ-0114-1</x:t>
        </x:is>
      </x:c>
      <x:c r="E1979" s="31" t="inlineStr">
        <x:is>
          <x:t xml:space="preserve">ИЗД-005</x:t>
        </x:is>
      </x:c>
      <x:c r="F1979" s="31" t="n">
        <x:v>90</x:v>
      </x:c>
      <x:c r="G1979" s="31" t="inlineStr">
        <x:is>
          <x:t xml:space="preserve">ОТК</x:t>
        </x:is>
      </x:c>
      <x:c r="H1979" s="31" t="inlineStr">
        <x:is>
          <x:t xml:space="preserve">ОТК</x:t>
        </x:is>
      </x:c>
      <x:c r="I1979" s="31" t="inlineStr">
        <x:is>
          <x:t xml:space="preserve">ОБ-006</x:t>
        </x:is>
      </x:c>
      <x:c r="J1979" s="31" t="inlineStr">
        <x:is>
          <x:t xml:space="preserve">СОТР-093</x:t>
        </x:is>
      </x:c>
      <x:c r="K1979" s="31" t="n">
        <x:v>23.7</x:v>
      </x:c>
      <x:c r="L1979" s="31" t="n">
        <x:v>30</x:v>
      </x:c>
      <x:c r="M1979" s="31" t="n">
        <x:v>46113</x:v>
      </x:c>
      <x:c r="N1979" s="31" t="n">
        <x:v>46115</x:v>
      </x:c>
      <x:c r="O1979" s="31" t="n">
        <x:v>46113</x:v>
      </x:c>
      <x:c r="P1979" s="31" t="n">
        <x:v>46115</x:v>
      </x:c>
      <x:c r="Q1979" s="31" t="inlineStr">
        <x:is>
          <x:t xml:space="preserve">Завершено</x:t>
        </x:is>
      </x:c>
      <x:c r="R1979" s="31" t="inlineStr">
        <x:is>
          <x:t xml:space="preserve">Нет</x:t>
        </x:is>
      </x:c>
      <x:c r="S1979" s="31" t="inlineStr">
        <x:is>
          <x:t xml:space="preserve">Нет</x:t>
        </x:is>
      </x:c>
    </x:row>
    <x:row r="1980">
      <x:c r="A1980" s="31" t="inlineStr">
        <x:is>
          <x:t xml:space="preserve">ОП-001979</x:t>
        </x:is>
      </x:c>
      <x:c r="B1980" s="31" t="inlineStr">
        <x:is>
          <x:t xml:space="preserve">ПЗ-00236</x:t>
        </x:is>
      </x:c>
      <x:c r="C1980" s="31" t="inlineStr">
        <x:is>
          <x:t xml:space="preserve">ЗК-1114</x:t>
        </x:is>
      </x:c>
      <x:c r="D1980" s="31" t="inlineStr">
        <x:is>
          <x:t xml:space="preserve">ПОЗ-0114-1</x:t>
        </x:is>
      </x:c>
      <x:c r="E1980" s="31" t="inlineStr">
        <x:is>
          <x:t xml:space="preserve">ИЗД-005</x:t>
        </x:is>
      </x:c>
      <x:c r="F1980" s="31" t="n">
        <x:v>100</x:v>
      </x:c>
      <x:c r="G1980" s="31" t="inlineStr">
        <x:is>
          <x:t xml:space="preserve">Упаковка</x:t>
        </x:is>
      </x:c>
      <x:c r="H1980" s="31" t="inlineStr">
        <x:is>
          <x:t xml:space="preserve">Логистика</x:t>
        </x:is>
      </x:c>
      <x:c r="I1980" s="31" t="n"/>
      <x:c r="J1980" s="31" t="inlineStr">
        <x:is>
          <x:t xml:space="preserve">СОТР-070</x:t>
        </x:is>
      </x:c>
      <x:c r="K1980" s="31" t="n">
        <x:v>17.1</x:v>
      </x:c>
      <x:c r="L1980" s="31" t="n">
        <x:v>13.8</x:v>
      </x:c>
      <x:c r="M1980" s="31" t="n">
        <x:v>46115</x:v>
      </x:c>
      <x:c r="N1980" s="31" t="n">
        <x:v>46117</x:v>
      </x:c>
      <x:c r="O1980" s="31" t="n">
        <x:v>46115</x:v>
      </x:c>
      <x:c r="P1980" s="31" t="n">
        <x:v>46119</x:v>
      </x:c>
      <x:c r="Q1980" s="31" t="inlineStr">
        <x:is>
          <x:t xml:space="preserve">Завершено</x:t>
        </x:is>
      </x:c>
      <x:c r="R1980" s="31" t="inlineStr">
        <x:is>
          <x:t xml:space="preserve">Нет</x:t>
        </x:is>
      </x:c>
      <x:c r="S1980" s="31" t="inlineStr">
        <x:is>
          <x:t xml:space="preserve">Нет</x:t>
        </x:is>
      </x:c>
    </x:row>
    <x:row r="1981">
      <x:c r="A1981" s="31" t="inlineStr">
        <x:is>
          <x:t xml:space="preserve">ОП-001980</x:t>
        </x:is>
      </x:c>
      <x:c r="B1981" s="31" t="inlineStr">
        <x:is>
          <x:t xml:space="preserve">ПЗ-00237</x:t>
        </x:is>
      </x:c>
      <x:c r="C1981" s="31" t="inlineStr">
        <x:is>
          <x:t xml:space="preserve">ЗК-1114</x:t>
        </x:is>
      </x:c>
      <x:c r="D1981" s="31" t="inlineStr">
        <x:is>
          <x:t xml:space="preserve">ПОЗ-0114-2</x:t>
        </x:is>
      </x:c>
      <x:c r="E1981" s="31" t="inlineStr">
        <x:is>
          <x:t xml:space="preserve">ИЗД-012</x:t>
        </x:is>
      </x:c>
      <x:c r="F1981" s="31" t="n">
        <x:v>10</x:v>
      </x:c>
      <x:c r="G1981" s="31" t="inlineStr">
        <x:is>
          <x:t xml:space="preserve">КД</x:t>
        </x:is>
      </x:c>
      <x:c r="H1981" s="31" t="inlineStr">
        <x:is>
          <x:t xml:space="preserve">Инженерный отдел</x:t>
        </x:is>
      </x:c>
      <x:c r="I1981" s="31" t="n"/>
      <x:c r="J1981" s="31" t="inlineStr">
        <x:is>
          <x:t xml:space="preserve">СОТР-015</x:t>
        </x:is>
      </x:c>
      <x:c r="K1981" s="31" t="n">
        <x:v>27.5</x:v>
      </x:c>
      <x:c r="L1981" s="31" t="n">
        <x:v>30.5</x:v>
      </x:c>
      <x:c r="M1981" s="31" t="n">
        <x:v>46108</x:v>
      </x:c>
      <x:c r="N1981" s="31" t="n">
        <x:v>46111</x:v>
      </x:c>
      <x:c r="O1981" s="31" t="n">
        <x:v>46108</x:v>
      </x:c>
      <x:c r="P1981" s="31" t="n">
        <x:v>46111</x:v>
      </x:c>
      <x:c r="Q1981" s="31" t="inlineStr">
        <x:is>
          <x:t xml:space="preserve">Завершено</x:t>
        </x:is>
      </x:c>
      <x:c r="R1981" s="31" t="inlineStr">
        <x:is>
          <x:t xml:space="preserve">Ожидание ОТК</x:t>
        </x:is>
      </x:c>
      <x:c r="S1981" s="31" t="inlineStr">
        <x:is>
          <x:t xml:space="preserve">Нет</x:t>
        </x:is>
      </x:c>
    </x:row>
    <x:row r="1982">
      <x:c r="A1982" s="31" t="inlineStr">
        <x:is>
          <x:t xml:space="preserve">ОП-001981</x:t>
        </x:is>
      </x:c>
      <x:c r="B1982" s="31" t="inlineStr">
        <x:is>
          <x:t xml:space="preserve">ПЗ-00237</x:t>
        </x:is>
      </x:c>
      <x:c r="C1982" s="31" t="inlineStr">
        <x:is>
          <x:t xml:space="preserve">ЗК-1114</x:t>
        </x:is>
      </x:c>
      <x:c r="D1982" s="31" t="inlineStr">
        <x:is>
          <x:t xml:space="preserve">ПОЗ-0114-2</x:t>
        </x:is>
      </x:c>
      <x:c r="E1982" s="31" t="inlineStr">
        <x:is>
          <x:t xml:space="preserve">ИЗД-012</x:t>
        </x:is>
      </x:c>
      <x:c r="F1982" s="31" t="n">
        <x:v>20</x:v>
      </x:c>
      <x:c r="G1982" s="31" t="inlineStr">
        <x:is>
          <x:t xml:space="preserve">Резка труб</x:t>
        </x:is>
      </x:c>
      <x:c r="H1982" s="31" t="inlineStr">
        <x:is>
          <x:t xml:space="preserve">Сварка</x:t>
        </x:is>
      </x:c>
      <x:c r="I1982" s="31" t="inlineStr">
        <x:is>
          <x:t xml:space="preserve">ОБ-018</x:t>
        </x:is>
      </x:c>
      <x:c r="J1982" s="31" t="inlineStr">
        <x:is>
          <x:t xml:space="preserve">СОТР-060</x:t>
        </x:is>
      </x:c>
      <x:c r="K1982" s="31" t="n">
        <x:v>26.5</x:v>
      </x:c>
      <x:c r="L1982" s="31" t="n">
        <x:v>29.8</x:v>
      </x:c>
      <x:c r="M1982" s="31" t="n">
        <x:v>46111</x:v>
      </x:c>
      <x:c r="N1982" s="31" t="n">
        <x:v>46114</x:v>
      </x:c>
      <x:c r="O1982" s="31" t="n">
        <x:v>46111</x:v>
      </x:c>
      <x:c r="P1982" s="31" t="n">
        <x:v>46113</x:v>
      </x:c>
      <x:c r="Q1982" s="31" t="inlineStr">
        <x:is>
          <x:t xml:space="preserve">Завершено</x:t>
        </x:is>
      </x:c>
      <x:c r="R1982" s="31" t="inlineStr">
        <x:is>
          <x:t xml:space="preserve">Нет</x:t>
        </x:is>
      </x:c>
      <x:c r="S1982" s="31" t="inlineStr">
        <x:is>
          <x:t xml:space="preserve">Нет</x:t>
        </x:is>
      </x:c>
    </x:row>
    <x:row r="1983">
      <x:c r="A1983" s="31" t="inlineStr">
        <x:is>
          <x:t xml:space="preserve">ОП-001982</x:t>
        </x:is>
      </x:c>
      <x:c r="B1983" s="31" t="inlineStr">
        <x:is>
          <x:t xml:space="preserve">ПЗ-00237</x:t>
        </x:is>
      </x:c>
      <x:c r="C1983" s="31" t="inlineStr">
        <x:is>
          <x:t xml:space="preserve">ЗК-1114</x:t>
        </x:is>
      </x:c>
      <x:c r="D1983" s="31" t="inlineStr">
        <x:is>
          <x:t xml:space="preserve">ПОЗ-0114-2</x:t>
        </x:is>
      </x:c>
      <x:c r="E1983" s="31" t="inlineStr">
        <x:is>
          <x:t xml:space="preserve">ИЗД-012</x:t>
        </x:is>
      </x:c>
      <x:c r="F1983" s="31" t="n">
        <x:v>30</x:v>
      </x:c>
      <x:c r="G1983" s="31" t="inlineStr">
        <x:is>
          <x:t xml:space="preserve">Сварка</x:t>
        </x:is>
      </x:c>
      <x:c r="H1983" s="31" t="inlineStr">
        <x:is>
          <x:t xml:space="preserve">Сварка</x:t>
        </x:is>
      </x:c>
      <x:c r="I1983" s="31" t="inlineStr">
        <x:is>
          <x:t xml:space="preserve">ОБ-035</x:t>
        </x:is>
      </x:c>
      <x:c r="J1983" s="31" t="inlineStr">
        <x:is>
          <x:t xml:space="preserve">СОТР-069</x:t>
        </x:is>
      </x:c>
      <x:c r="K1983" s="31" t="n">
        <x:v>30</x:v>
      </x:c>
      <x:c r="L1983" s="31" t="n">
        <x:v>39.8</x:v>
      </x:c>
      <x:c r="M1983" s="31" t="n">
        <x:v>46114</x:v>
      </x:c>
      <x:c r="N1983" s="31" t="n">
        <x:v>46117</x:v>
      </x:c>
      <x:c r="O1983" s="31" t="n">
        <x:v>46114</x:v>
      </x:c>
      <x:c r="P1983" s="31" t="n">
        <x:v>46116</x:v>
      </x:c>
      <x:c r="Q1983" s="31" t="inlineStr">
        <x:is>
          <x:t xml:space="preserve">Завершено</x:t>
        </x:is>
      </x:c>
      <x:c r="R1983" s="31" t="inlineStr">
        <x:is>
          <x:t xml:space="preserve">Нет</x:t>
        </x:is>
      </x:c>
      <x:c r="S1983" s="31" t="inlineStr">
        <x:is>
          <x:t xml:space="preserve">Нет</x:t>
        </x:is>
      </x:c>
    </x:row>
    <x:row r="1984">
      <x:c r="A1984" s="31" t="inlineStr">
        <x:is>
          <x:t xml:space="preserve">ОП-001983</x:t>
        </x:is>
      </x:c>
      <x:c r="B1984" s="31" t="inlineStr">
        <x:is>
          <x:t xml:space="preserve">ПЗ-00237</x:t>
        </x:is>
      </x:c>
      <x:c r="C1984" s="31" t="inlineStr">
        <x:is>
          <x:t xml:space="preserve">ЗК-1114</x:t>
        </x:is>
      </x:c>
      <x:c r="D1984" s="31" t="inlineStr">
        <x:is>
          <x:t xml:space="preserve">ПОЗ-0114-2</x:t>
        </x:is>
      </x:c>
      <x:c r="E1984" s="31" t="inlineStr">
        <x:is>
          <x:t xml:space="preserve">ИЗД-012</x:t>
        </x:is>
      </x:c>
      <x:c r="F1984" s="31" t="n">
        <x:v>40</x:v>
      </x:c>
      <x:c r="G1984" s="31" t="inlineStr">
        <x:is>
          <x:t xml:space="preserve">НК сварных швов</x:t>
        </x:is>
      </x:c>
      <x:c r="H1984" s="31" t="inlineStr">
        <x:is>
          <x:t xml:space="preserve">ОТК</x:t>
        </x:is>
      </x:c>
      <x:c r="I1984" s="31" t="inlineStr">
        <x:is>
          <x:t xml:space="preserve">ОБ-022</x:t>
        </x:is>
      </x:c>
      <x:c r="J1984" s="31" t="inlineStr">
        <x:is>
          <x:t xml:space="preserve">СОТР-100</x:t>
        </x:is>
      </x:c>
      <x:c r="K1984" s="31" t="n">
        <x:v>21.5</x:v>
      </x:c>
      <x:c r="L1984" s="31" t="n">
        <x:v>24.2</x:v>
      </x:c>
      <x:c r="M1984" s="31" t="n">
        <x:v>46117</x:v>
      </x:c>
      <x:c r="N1984" s="31" t="n">
        <x:v>46119</x:v>
      </x:c>
      <x:c r="O1984" s="31" t="n">
        <x:v>46117</x:v>
      </x:c>
      <x:c r="P1984" s="31" t="n">
        <x:v>46119</x:v>
      </x:c>
      <x:c r="Q1984" s="31" t="inlineStr">
        <x:is>
          <x:t xml:space="preserve">Завершено</x:t>
        </x:is>
      </x:c>
      <x:c r="R1984" s="31" t="inlineStr">
        <x:is>
          <x:t xml:space="preserve">Материал</x:t>
        </x:is>
      </x:c>
      <x:c r="S1984" s="31" t="inlineStr">
        <x:is>
          <x:t xml:space="preserve">Да</x:t>
        </x:is>
      </x:c>
    </x:row>
    <x:row r="1985">
      <x:c r="A1985" s="31" t="inlineStr">
        <x:is>
          <x:t xml:space="preserve">ОП-001984</x:t>
        </x:is>
      </x:c>
      <x:c r="B1985" s="31" t="inlineStr">
        <x:is>
          <x:t xml:space="preserve">ПЗ-00237</x:t>
        </x:is>
      </x:c>
      <x:c r="C1985" s="31" t="inlineStr">
        <x:is>
          <x:t xml:space="preserve">ЗК-1114</x:t>
        </x:is>
      </x:c>
      <x:c r="D1985" s="31" t="inlineStr">
        <x:is>
          <x:t xml:space="preserve">ПОЗ-0114-2</x:t>
        </x:is>
      </x:c>
      <x:c r="E1985" s="31" t="inlineStr">
        <x:is>
          <x:t xml:space="preserve">ИЗД-012</x:t>
        </x:is>
      </x:c>
      <x:c r="F1985" s="31" t="n">
        <x:v>50</x:v>
      </x:c>
      <x:c r="G1985" s="31" t="inlineStr">
        <x:is>
          <x:t xml:space="preserve">Гидроиспытания</x:t>
        </x:is>
      </x:c>
      <x:c r="H1985" s="31" t="inlineStr">
        <x:is>
          <x:t xml:space="preserve">ОТК</x:t>
        </x:is>
      </x:c>
      <x:c r="I1985" s="31" t="inlineStr">
        <x:is>
          <x:t xml:space="preserve">ОБ-007</x:t>
        </x:is>
      </x:c>
      <x:c r="J1985" s="31" t="inlineStr">
        <x:is>
          <x:t xml:space="preserve">СОТР-098</x:t>
        </x:is>
      </x:c>
      <x:c r="K1985" s="31" t="n">
        <x:v>21.5</x:v>
      </x:c>
      <x:c r="L1985" s="31" t="n">
        <x:v>19.7</x:v>
      </x:c>
      <x:c r="M1985" s="31" t="n">
        <x:v>46119</x:v>
      </x:c>
      <x:c r="N1985" s="31" t="n">
        <x:v>46121</x:v>
      </x:c>
      <x:c r="O1985" s="31" t="n">
        <x:v>46119</x:v>
      </x:c>
      <x:c r="P1985" s="31" t="n">
        <x:v>46123</x:v>
      </x:c>
      <x:c r="Q1985" s="31" t="inlineStr">
        <x:is>
          <x:t xml:space="preserve">Завершено</x:t>
        </x:is>
      </x:c>
      <x:c r="R1985" s="31" t="inlineStr">
        <x:is>
          <x:t xml:space="preserve">Нет</x:t>
        </x:is>
      </x:c>
      <x:c r="S1985" s="31" t="inlineStr">
        <x:is>
          <x:t xml:space="preserve">Нет</x:t>
        </x:is>
      </x:c>
    </x:row>
    <x:row r="1986">
      <x:c r="A1986" s="31" t="inlineStr">
        <x:is>
          <x:t xml:space="preserve">ОП-001985</x:t>
        </x:is>
      </x:c>
      <x:c r="B1986" s="31" t="inlineStr">
        <x:is>
          <x:t xml:space="preserve">ПЗ-00237</x:t>
        </x:is>
      </x:c>
      <x:c r="C1986" s="31" t="inlineStr">
        <x:is>
          <x:t xml:space="preserve">ЗК-1114</x:t>
        </x:is>
      </x:c>
      <x:c r="D1986" s="31" t="inlineStr">
        <x:is>
          <x:t xml:space="preserve">ПОЗ-0114-2</x:t>
        </x:is>
      </x:c>
      <x:c r="E1986" s="31" t="inlineStr">
        <x:is>
          <x:t xml:space="preserve">ИЗД-012</x:t>
        </x:is>
      </x:c>
      <x:c r="F1986" s="31" t="n">
        <x:v>60</x:v>
      </x:c>
      <x:c r="G1986" s="31" t="inlineStr">
        <x:is>
          <x:t xml:space="preserve">Покраска</x:t>
        </x:is>
      </x:c>
      <x:c r="H1986" s="31" t="inlineStr">
        <x:is>
          <x:t xml:space="preserve">Сварка</x:t>
        </x:is>
      </x:c>
      <x:c r="I1986" s="31" t="inlineStr">
        <x:is>
          <x:t xml:space="preserve">ОБ-003</x:t>
        </x:is>
      </x:c>
      <x:c r="J1986" s="31" t="inlineStr">
        <x:is>
          <x:t xml:space="preserve">СОТР-068</x:t>
        </x:is>
      </x:c>
      <x:c r="K1986" s="31" t="n">
        <x:v>33</x:v>
      </x:c>
      <x:c r="L1986" s="31" t="n">
        <x:v>28.7</x:v>
      </x:c>
      <x:c r="M1986" s="31" t="n">
        <x:v>46121</x:v>
      </x:c>
      <x:c r="N1986" s="31" t="n">
        <x:v>46124</x:v>
      </x:c>
      <x:c r="O1986" s="31" t="n">
        <x:v>46121</x:v>
      </x:c>
      <x:c r="P1986" s="31" t="n">
        <x:v>46124</x:v>
      </x:c>
      <x:c r="Q1986" s="31" t="inlineStr">
        <x:is>
          <x:t xml:space="preserve">Завершено</x:t>
        </x:is>
      </x:c>
      <x:c r="R1986" s="31" t="inlineStr">
        <x:is>
          <x:t xml:space="preserve">Нет</x:t>
        </x:is>
      </x:c>
      <x:c r="S1986" s="31" t="inlineStr">
        <x:is>
          <x:t xml:space="preserve">Нет</x:t>
        </x:is>
      </x:c>
    </x:row>
    <x:row r="1987">
      <x:c r="A1987" s="31" t="inlineStr">
        <x:is>
          <x:t xml:space="preserve">ОП-001986</x:t>
        </x:is>
      </x:c>
      <x:c r="B1987" s="31" t="inlineStr">
        <x:is>
          <x:t xml:space="preserve">ПЗ-00237</x:t>
        </x:is>
      </x:c>
      <x:c r="C1987" s="31" t="inlineStr">
        <x:is>
          <x:t xml:space="preserve">ЗК-1114</x:t>
        </x:is>
      </x:c>
      <x:c r="D1987" s="31" t="inlineStr">
        <x:is>
          <x:t xml:space="preserve">ПОЗ-0114-2</x:t>
        </x:is>
      </x:c>
      <x:c r="E1987" s="31" t="inlineStr">
        <x:is>
          <x:t xml:space="preserve">ИЗД-012</x:t>
        </x:is>
      </x:c>
      <x:c r="F1987" s="31" t="n">
        <x:v>70</x:v>
      </x:c>
      <x:c r="G1987" s="31" t="inlineStr">
        <x:is>
          <x:t xml:space="preserve">ОТК</x:t>
        </x:is>
      </x:c>
      <x:c r="H1987" s="31" t="inlineStr">
        <x:is>
          <x:t xml:space="preserve">ОТК</x:t>
        </x:is>
      </x:c>
      <x:c r="I1987" s="31" t="inlineStr">
        <x:is>
          <x:t xml:space="preserve">ОБ-013</x:t>
        </x:is>
      </x:c>
      <x:c r="J1987" s="31" t="inlineStr">
        <x:is>
          <x:t xml:space="preserve">СОТР-100</x:t>
        </x:is>
      </x:c>
      <x:c r="K1987" s="31" t="n">
        <x:v>12</x:v>
      </x:c>
      <x:c r="L1987" s="31" t="n">
        <x:v>15.3</x:v>
      </x:c>
      <x:c r="M1987" s="31" t="n">
        <x:v>46124</x:v>
      </x:c>
      <x:c r="N1987" s="31" t="n">
        <x:v>46125</x:v>
      </x:c>
      <x:c r="O1987" s="31" t="n">
        <x:v>46124</x:v>
      </x:c>
      <x:c r="P1987" s="31" t="n">
        <x:v>46126</x:v>
      </x:c>
      <x:c r="Q1987" s="31" t="inlineStr">
        <x:is>
          <x:t xml:space="preserve">Завершено</x:t>
        </x:is>
      </x:c>
      <x:c r="R1987" s="31" t="inlineStr">
        <x:is>
          <x:t xml:space="preserve">Нет</x:t>
        </x:is>
      </x:c>
      <x:c r="S1987" s="31" t="inlineStr">
        <x:is>
          <x:t xml:space="preserve">Нет</x:t>
        </x:is>
      </x:c>
    </x:row>
    <x:row r="1988">
      <x:c r="A1988" s="31" t="inlineStr">
        <x:is>
          <x:t xml:space="preserve">ОП-001987</x:t>
        </x:is>
      </x:c>
      <x:c r="B1988" s="31" t="inlineStr">
        <x:is>
          <x:t xml:space="preserve">ПЗ-00238</x:t>
        </x:is>
      </x:c>
      <x:c r="C1988" s="31" t="inlineStr">
        <x:is>
          <x:t xml:space="preserve">ЗК-1116</x:t>
        </x:is>
      </x:c>
      <x:c r="D1988" s="31" t="inlineStr">
        <x:is>
          <x:t xml:space="preserve">ПОЗ-0116-1</x:t>
        </x:is>
      </x:c>
      <x:c r="E1988" s="31" t="inlineStr">
        <x:is>
          <x:t xml:space="preserve">ИЗД-021</x:t>
        </x:is>
      </x:c>
      <x:c r="F1988" s="31" t="n">
        <x:v>10</x:v>
      </x:c>
      <x:c r="G1988" s="31" t="inlineStr">
        <x:is>
          <x:t xml:space="preserve">КД</x:t>
        </x:is>
      </x:c>
      <x:c r="H1988" s="31" t="inlineStr">
        <x:is>
          <x:t xml:space="preserve">Инженерный отдел</x:t>
        </x:is>
      </x:c>
      <x:c r="I1988" s="31" t="n"/>
      <x:c r="J1988" s="31" t="inlineStr">
        <x:is>
          <x:t xml:space="preserve">СОТР-020</x:t>
        </x:is>
      </x:c>
      <x:c r="K1988" s="31" t="n">
        <x:v>18</x:v>
      </x:c>
      <x:c r="L1988" s="31" t="n">
        <x:v>19.6</x:v>
      </x:c>
      <x:c r="M1988" s="31" t="n">
        <x:v>46114</x:v>
      </x:c>
      <x:c r="N1988" s="31" t="n">
        <x:v>46116</x:v>
      </x:c>
      <x:c r="O1988" s="31" t="n">
        <x:v>46114</x:v>
      </x:c>
      <x:c r="P1988" s="31" t="n">
        <x:v>46116</x:v>
      </x:c>
      <x:c r="Q1988" s="31" t="inlineStr">
        <x:is>
          <x:t xml:space="preserve">Завершено</x:t>
        </x:is>
      </x:c>
      <x:c r="R1988" s="31" t="inlineStr">
        <x:is>
          <x:t xml:space="preserve">Нет</x:t>
        </x:is>
      </x:c>
      <x:c r="S1988" s="31" t="inlineStr">
        <x:is>
          <x:t xml:space="preserve">Нет</x:t>
        </x:is>
      </x:c>
    </x:row>
    <x:row r="1989">
      <x:c r="A1989" s="31" t="inlineStr">
        <x:is>
          <x:t xml:space="preserve">ОП-001988</x:t>
        </x:is>
      </x:c>
      <x:c r="B1989" s="31" t="inlineStr">
        <x:is>
          <x:t xml:space="preserve">ПЗ-00238</x:t>
        </x:is>
      </x:c>
      <x:c r="C1989" s="31" t="inlineStr">
        <x:is>
          <x:t xml:space="preserve">ЗК-1116</x:t>
        </x:is>
      </x:c>
      <x:c r="D1989" s="31" t="inlineStr">
        <x:is>
          <x:t xml:space="preserve">ПОЗ-0116-1</x:t>
        </x:is>
      </x:c>
      <x:c r="E1989" s="31" t="inlineStr">
        <x:is>
          <x:t xml:space="preserve">ИЗД-021</x:t>
        </x:is>
      </x:c>
      <x:c r="F1989" s="31" t="n">
        <x:v>20</x:v>
      </x:c>
      <x:c r="G1989" s="31" t="inlineStr">
        <x:is>
          <x:t xml:space="preserve">Резерв материалов</x:t>
        </x:is>
      </x:c>
      <x:c r="H1989" s="31" t="inlineStr">
        <x:is>
          <x:t xml:space="preserve">Склад</x:t>
        </x:is>
      </x:c>
      <x:c r="I1989" s="31" t="inlineStr">
        <x:is>
          <x:t xml:space="preserve">ОБ-023</x:t>
        </x:is>
      </x:c>
      <x:c r="J1989" s="31" t="inlineStr">
        <x:is>
          <x:t xml:space="preserve">СОТР-024</x:t>
        </x:is>
      </x:c>
      <x:c r="K1989" s="31" t="n">
        <x:v>88.5</x:v>
      </x:c>
      <x:c r="L1989" s="31" t="n">
        <x:v>96.40000000000001</x:v>
      </x:c>
      <x:c r="M1989" s="31" t="n">
        <x:v>46116</x:v>
      </x:c>
      <x:c r="N1989" s="31" t="n">
        <x:v>46124</x:v>
      </x:c>
      <x:c r="O1989" s="31" t="n">
        <x:v>46116</x:v>
      </x:c>
      <x:c r="P1989" s="31" t="n">
        <x:v>46123</x:v>
      </x:c>
      <x:c r="Q1989" s="31" t="inlineStr">
        <x:is>
          <x:t xml:space="preserve">Завершено</x:t>
        </x:is>
      </x:c>
      <x:c r="R1989" s="31" t="inlineStr">
        <x:is>
          <x:t xml:space="preserve">Нет</x:t>
        </x:is>
      </x:c>
      <x:c r="S1989" s="31" t="inlineStr">
        <x:is>
          <x:t xml:space="preserve">Нет</x:t>
        </x:is>
      </x:c>
    </x:row>
    <x:row r="1990">
      <x:c r="A1990" s="31" t="inlineStr">
        <x:is>
          <x:t xml:space="preserve">ОП-001989</x:t>
        </x:is>
      </x:c>
      <x:c r="B1990" s="31" t="inlineStr">
        <x:is>
          <x:t xml:space="preserve">ПЗ-00238</x:t>
        </x:is>
      </x:c>
      <x:c r="C1990" s="31" t="inlineStr">
        <x:is>
          <x:t xml:space="preserve">ЗК-1116</x:t>
        </x:is>
      </x:c>
      <x:c r="D1990" s="31" t="inlineStr">
        <x:is>
          <x:t xml:space="preserve">ПОЗ-0116-1</x:t>
        </x:is>
      </x:c>
      <x:c r="E1990" s="31" t="inlineStr">
        <x:is>
          <x:t xml:space="preserve">ИЗД-021</x:t>
        </x:is>
      </x:c>
      <x:c r="F1990" s="31" t="n">
        <x:v>30</x:v>
      </x:c>
      <x:c r="G1990" s="31" t="inlineStr">
        <x:is>
          <x:t xml:space="preserve">Сварка рамы</x:t>
        </x:is>
      </x:c>
      <x:c r="H1990" s="31" t="inlineStr">
        <x:is>
          <x:t xml:space="preserve">Сварка</x:t>
        </x:is>
      </x:c>
      <x:c r="I1990" s="31" t="inlineStr">
        <x:is>
          <x:t xml:space="preserve">ОБ-010</x:t>
        </x:is>
      </x:c>
      <x:c r="J1990" s="31" t="inlineStr">
        <x:is>
          <x:t xml:space="preserve">СОТР-056</x:t>
        </x:is>
      </x:c>
      <x:c r="K1990" s="31" t="n">
        <x:v>87.5</x:v>
      </x:c>
      <x:c r="L1990" s="31" t="n">
        <x:v>113.2</x:v>
      </x:c>
      <x:c r="M1990" s="31" t="n">
        <x:v>46124</x:v>
      </x:c>
      <x:c r="N1990" s="31" t="n">
        <x:v>46132</x:v>
      </x:c>
      <x:c r="O1990" s="31" t="n">
        <x:v>46124</x:v>
      </x:c>
      <x:c r="P1990" s="31" t="n">
        <x:v>46134</x:v>
      </x:c>
      <x:c r="Q1990" s="31" t="inlineStr">
        <x:is>
          <x:t xml:space="preserve">Завершено</x:t>
        </x:is>
      </x:c>
      <x:c r="R1990" s="31" t="inlineStr">
        <x:is>
          <x:t xml:space="preserve">Нет</x:t>
        </x:is>
      </x:c>
      <x:c r="S1990" s="31" t="inlineStr">
        <x:is>
          <x:t xml:space="preserve">Нет</x:t>
        </x:is>
      </x:c>
    </x:row>
    <x:row r="1991">
      <x:c r="A1991" s="31" t="inlineStr">
        <x:is>
          <x:t xml:space="preserve">ОП-001990</x:t>
        </x:is>
      </x:c>
      <x:c r="B1991" s="31" t="inlineStr">
        <x:is>
          <x:t xml:space="preserve">ПЗ-00238</x:t>
        </x:is>
      </x:c>
      <x:c r="C1991" s="31" t="inlineStr">
        <x:is>
          <x:t xml:space="preserve">ЗК-1116</x:t>
        </x:is>
      </x:c>
      <x:c r="D1991" s="31" t="inlineStr">
        <x:is>
          <x:t xml:space="preserve">ПОЗ-0116-1</x:t>
        </x:is>
      </x:c>
      <x:c r="E1991" s="31" t="inlineStr">
        <x:is>
          <x:t xml:space="preserve">ИЗД-021</x:t>
        </x:is>
      </x:c>
      <x:c r="F1991" s="31" t="n">
        <x:v>40</x:v>
      </x:c>
      <x:c r="G1991" s="31" t="inlineStr">
        <x:is>
          <x:t xml:space="preserve">Сборка</x:t>
        </x:is>
      </x:c>
      <x:c r="H1991" s="31" t="inlineStr">
        <x:is>
          <x:t xml:space="preserve">Сборка</x:t>
        </x:is>
      </x:c>
      <x:c r="I1991" s="31" t="inlineStr">
        <x:is>
          <x:t xml:space="preserve">ОБ-034</x:t>
        </x:is>
      </x:c>
      <x:c r="J1991" s="31" t="inlineStr">
        <x:is>
          <x:t xml:space="preserve">СОТР-083</x:t>
        </x:is>
      </x:c>
      <x:c r="K1991" s="31" t="n">
        <x:v>72.5</x:v>
      </x:c>
      <x:c r="L1991" s="31" t="n">
        <x:v>77.3</x:v>
      </x:c>
      <x:c r="M1991" s="31" t="n">
        <x:v>46132</x:v>
      </x:c>
      <x:c r="N1991" s="31" t="n">
        <x:v>46139</x:v>
      </x:c>
      <x:c r="O1991" s="31" t="n">
        <x:v>46132</x:v>
      </x:c>
      <x:c r="P1991" s="31" t="n">
        <x:v>46141</x:v>
      </x:c>
      <x:c r="Q1991" s="31" t="inlineStr">
        <x:is>
          <x:t xml:space="preserve">Завершено</x:t>
        </x:is>
      </x:c>
      <x:c r="R1991" s="31" t="inlineStr">
        <x:is>
          <x:t xml:space="preserve">Нет</x:t>
        </x:is>
      </x:c>
      <x:c r="S1991" s="31" t="inlineStr">
        <x:is>
          <x:t xml:space="preserve">Нет</x:t>
        </x:is>
      </x:c>
    </x:row>
    <x:row r="1992">
      <x:c r="A1992" s="31" t="inlineStr">
        <x:is>
          <x:t xml:space="preserve">ОП-001991</x:t>
        </x:is>
      </x:c>
      <x:c r="B1992" s="31" t="inlineStr">
        <x:is>
          <x:t xml:space="preserve">ПЗ-00238</x:t>
        </x:is>
      </x:c>
      <x:c r="C1992" s="31" t="inlineStr">
        <x:is>
          <x:t xml:space="preserve">ЗК-1116</x:t>
        </x:is>
      </x:c>
      <x:c r="D1992" s="31" t="inlineStr">
        <x:is>
          <x:t xml:space="preserve">ПОЗ-0116-1</x:t>
        </x:is>
      </x:c>
      <x:c r="E1992" s="31" t="inlineStr">
        <x:is>
          <x:t xml:space="preserve">ИЗД-021</x:t>
        </x:is>
      </x:c>
      <x:c r="F1992" s="31" t="n">
        <x:v>50</x:v>
      </x:c>
      <x:c r="G1992" s="31" t="inlineStr">
        <x:is>
          <x:t xml:space="preserve">Обвязка труб</x:t>
        </x:is>
      </x:c>
      <x:c r="H1992" s="31" t="inlineStr">
        <x:is>
          <x:t xml:space="preserve">Сборка</x:t>
        </x:is>
      </x:c>
      <x:c r="I1992" s="31" t="inlineStr">
        <x:is>
          <x:t xml:space="preserve">ОБ-005</x:t>
        </x:is>
      </x:c>
      <x:c r="J1992" s="31" t="inlineStr">
        <x:is>
          <x:t xml:space="preserve">СОТР-032</x:t>
        </x:is>
      </x:c>
      <x:c r="K1992" s="31" t="n">
        <x:v>75.5</x:v>
      </x:c>
      <x:c r="L1992" s="31" t="n">
        <x:v>72</x:v>
      </x:c>
      <x:c r="M1992" s="31" t="n">
        <x:v>46139</x:v>
      </x:c>
      <x:c r="N1992" s="31" t="n">
        <x:v>46146</x:v>
      </x:c>
      <x:c r="O1992" s="31" t="n">
        <x:v>46139</x:v>
      </x:c>
      <x:c r="P1992" s="31" t="n">
        <x:v>46148</x:v>
      </x:c>
      <x:c r="Q1992" s="31" t="inlineStr">
        <x:is>
          <x:t xml:space="preserve">Завершено</x:t>
        </x:is>
      </x:c>
      <x:c r="R1992" s="31" t="inlineStr">
        <x:is>
          <x:t xml:space="preserve">Нет</x:t>
        </x:is>
      </x:c>
      <x:c r="S1992" s="31" t="inlineStr">
        <x:is>
          <x:t xml:space="preserve">Нет</x:t>
        </x:is>
      </x:c>
    </x:row>
    <x:row r="1993">
      <x:c r="A1993" s="31" t="inlineStr">
        <x:is>
          <x:t xml:space="preserve">ОП-001992</x:t>
        </x:is>
      </x:c>
      <x:c r="B1993" s="31" t="inlineStr">
        <x:is>
          <x:t xml:space="preserve">ПЗ-00238</x:t>
        </x:is>
      </x:c>
      <x:c r="C1993" s="31" t="inlineStr">
        <x:is>
          <x:t xml:space="preserve">ЗК-1116</x:t>
        </x:is>
      </x:c>
      <x:c r="D1993" s="31" t="inlineStr">
        <x:is>
          <x:t xml:space="preserve">ПОЗ-0116-1</x:t>
        </x:is>
      </x:c>
      <x:c r="E1993" s="31" t="inlineStr">
        <x:is>
          <x:t xml:space="preserve">ИЗД-021</x:t>
        </x:is>
      </x:c>
      <x:c r="F1993" s="31" t="n">
        <x:v>60</x:v>
      </x:c>
      <x:c r="G1993" s="31" t="inlineStr">
        <x:is>
          <x:t xml:space="preserve">Электромонтаж</x:t>
        </x:is>
      </x:c>
      <x:c r="H1993" s="31" t="inlineStr">
        <x:is>
          <x:t xml:space="preserve">Сборка</x:t>
        </x:is>
      </x:c>
      <x:c r="I1993" s="31" t="inlineStr">
        <x:is>
          <x:t xml:space="preserve">ОБ-012</x:t>
        </x:is>
      </x:c>
      <x:c r="J1993" s="31" t="inlineStr">
        <x:is>
          <x:t xml:space="preserve">СОТР-081</x:t>
        </x:is>
      </x:c>
      <x:c r="K1993" s="31" t="n">
        <x:v>67.5</x:v>
      </x:c>
      <x:c r="L1993" s="31" t="n">
        <x:v>75.3</x:v>
      </x:c>
      <x:c r="M1993" s="31" t="n">
        <x:v>46146</x:v>
      </x:c>
      <x:c r="N1993" s="31" t="n">
        <x:v>46152</x:v>
      </x:c>
      <x:c r="O1993" s="31" t="n">
        <x:v>46146</x:v>
      </x:c>
      <x:c r="P1993" s="31" t="n">
        <x:v>46153</x:v>
      </x:c>
      <x:c r="Q1993" s="31" t="inlineStr">
        <x:is>
          <x:t xml:space="preserve">Завершено</x:t>
        </x:is>
      </x:c>
      <x:c r="R1993" s="31" t="inlineStr">
        <x:is>
          <x:t xml:space="preserve">Материал</x:t>
        </x:is>
      </x:c>
      <x:c r="S1993" s="31" t="inlineStr">
        <x:is>
          <x:t xml:space="preserve">Нет</x:t>
        </x:is>
      </x:c>
    </x:row>
    <x:row r="1994">
      <x:c r="A1994" s="31" t="inlineStr">
        <x:is>
          <x:t xml:space="preserve">ОП-001993</x:t>
        </x:is>
      </x:c>
      <x:c r="B1994" s="31" t="inlineStr">
        <x:is>
          <x:t xml:space="preserve">ПЗ-00238</x:t>
        </x:is>
      </x:c>
      <x:c r="C1994" s="31" t="inlineStr">
        <x:is>
          <x:t xml:space="preserve">ЗК-1116</x:t>
        </x:is>
      </x:c>
      <x:c r="D1994" s="31" t="inlineStr">
        <x:is>
          <x:t xml:space="preserve">ПОЗ-0116-1</x:t>
        </x:is>
      </x:c>
      <x:c r="E1994" s="31" t="inlineStr">
        <x:is>
          <x:t xml:space="preserve">ИЗД-021</x:t>
        </x:is>
      </x:c>
      <x:c r="F1994" s="31" t="n">
        <x:v>70</x:v>
      </x:c>
      <x:c r="G1994" s="31" t="inlineStr">
        <x:is>
          <x:t xml:space="preserve">Гидроиспытания</x:t>
        </x:is>
      </x:c>
      <x:c r="H1994" s="31" t="inlineStr">
        <x:is>
          <x:t xml:space="preserve">ОТК</x:t>
        </x:is>
      </x:c>
      <x:c r="I1994" s="31" t="inlineStr">
        <x:is>
          <x:t xml:space="preserve">ОБ-032</x:t>
        </x:is>
      </x:c>
      <x:c r="J1994" s="31" t="inlineStr">
        <x:is>
          <x:t xml:space="preserve">СОТР-093</x:t>
        </x:is>
      </x:c>
      <x:c r="K1994" s="31" t="n">
        <x:v>42</x:v>
      </x:c>
      <x:c r="L1994" s="31" t="n">
        <x:v>38.9</x:v>
      </x:c>
      <x:c r="M1994" s="31" t="n">
        <x:v>46152</x:v>
      </x:c>
      <x:c r="N1994" s="31" t="n">
        <x:v>46156</x:v>
      </x:c>
      <x:c r="O1994" s="31" t="n">
        <x:v>46152</x:v>
      </x:c>
      <x:c r="P1994" s="31" t="n">
        <x:v>46155</x:v>
      </x:c>
      <x:c r="Q1994" s="31" t="inlineStr">
        <x:is>
          <x:t xml:space="preserve">Завершено</x:t>
        </x:is>
      </x:c>
      <x:c r="R1994" s="31" t="inlineStr">
        <x:is>
          <x:t xml:space="preserve">Нет</x:t>
        </x:is>
      </x:c>
      <x:c r="S1994" s="31" t="inlineStr">
        <x:is>
          <x:t xml:space="preserve">Нет</x:t>
        </x:is>
      </x:c>
    </x:row>
    <x:row r="1995">
      <x:c r="A1995" s="31" t="inlineStr">
        <x:is>
          <x:t xml:space="preserve">ОП-001994</x:t>
        </x:is>
      </x:c>
      <x:c r="B1995" s="31" t="inlineStr">
        <x:is>
          <x:t xml:space="preserve">ПЗ-00238</x:t>
        </x:is>
      </x:c>
      <x:c r="C1995" s="31" t="inlineStr">
        <x:is>
          <x:t xml:space="preserve">ЗК-1116</x:t>
        </x:is>
      </x:c>
      <x:c r="D1995" s="31" t="inlineStr">
        <x:is>
          <x:t xml:space="preserve">ПОЗ-0116-1</x:t>
        </x:is>
      </x:c>
      <x:c r="E1995" s="31" t="inlineStr">
        <x:is>
          <x:t xml:space="preserve">ИЗД-021</x:t>
        </x:is>
      </x:c>
      <x:c r="F1995" s="31" t="n">
        <x:v>80</x:v>
      </x:c>
      <x:c r="G1995" s="31" t="inlineStr">
        <x:is>
          <x:t xml:space="preserve">ОТК</x:t>
        </x:is>
      </x:c>
      <x:c r="H1995" s="31" t="inlineStr">
        <x:is>
          <x:t xml:space="preserve">ОТК</x:t>
        </x:is>
      </x:c>
      <x:c r="I1995" s="31" t="inlineStr">
        <x:is>
          <x:t xml:space="preserve">ОБ-033</x:t>
        </x:is>
      </x:c>
      <x:c r="J1995" s="31" t="inlineStr">
        <x:is>
          <x:t xml:space="preserve">СОТР-099</x:t>
        </x:is>
      </x:c>
      <x:c r="K1995" s="31" t="n">
        <x:v>12</x:v>
      </x:c>
      <x:c r="L1995" s="31" t="n">
        <x:v>15.5</x:v>
      </x:c>
      <x:c r="M1995" s="31" t="n">
        <x:v>46156</x:v>
      </x:c>
      <x:c r="N1995" s="31" t="n">
        <x:v>46157</x:v>
      </x:c>
      <x:c r="O1995" s="31" t="n">
        <x:v>46156</x:v>
      </x:c>
      <x:c r="P1995" s="31" t="n">
        <x:v>46158</x:v>
      </x:c>
      <x:c r="Q1995" s="31" t="inlineStr">
        <x:is>
          <x:t xml:space="preserve">Завершено</x:t>
        </x:is>
      </x:c>
      <x:c r="R1995" s="31" t="inlineStr">
        <x:is>
          <x:t xml:space="preserve">Нет</x:t>
        </x:is>
      </x:c>
      <x:c r="S1995" s="31" t="inlineStr">
        <x:is>
          <x:t xml:space="preserve">Нет</x:t>
        </x:is>
      </x:c>
    </x:row>
    <x:row r="1996">
      <x:c r="A1996" s="31" t="inlineStr">
        <x:is>
          <x:t xml:space="preserve">ОП-001995</x:t>
        </x:is>
      </x:c>
      <x:c r="B1996" s="31" t="inlineStr">
        <x:is>
          <x:t xml:space="preserve">ПЗ-00238</x:t>
        </x:is>
      </x:c>
      <x:c r="C1996" s="31" t="inlineStr">
        <x:is>
          <x:t xml:space="preserve">ЗК-1116</x:t>
        </x:is>
      </x:c>
      <x:c r="D1996" s="31" t="inlineStr">
        <x:is>
          <x:t xml:space="preserve">ПОЗ-0116-1</x:t>
        </x:is>
      </x:c>
      <x:c r="E1996" s="31" t="inlineStr">
        <x:is>
          <x:t xml:space="preserve">ИЗД-021</x:t>
        </x:is>
      </x:c>
      <x:c r="F1996" s="31" t="n">
        <x:v>90</x:v>
      </x:c>
      <x:c r="G1996" s="31" t="inlineStr">
        <x:is>
          <x:t xml:space="preserve">Упаковка</x:t>
        </x:is>
      </x:c>
      <x:c r="H1996" s="31" t="inlineStr">
        <x:is>
          <x:t xml:space="preserve">Логистика</x:t>
        </x:is>
      </x:c>
      <x:c r="I1996" s="31" t="n"/>
      <x:c r="J1996" s="31" t="inlineStr">
        <x:is>
          <x:t xml:space="preserve">СОТР-104</x:t>
        </x:is>
      </x:c>
      <x:c r="K1996" s="31" t="n">
        <x:v>86</x:v>
      </x:c>
      <x:c r="L1996" s="31" t="n">
        <x:v>81.8</x:v>
      </x:c>
      <x:c r="M1996" s="31" t="n">
        <x:v>46157</x:v>
      </x:c>
      <x:c r="N1996" s="31" t="n">
        <x:v>46165</x:v>
      </x:c>
      <x:c r="O1996" s="31" t="n">
        <x:v>46157</x:v>
      </x:c>
      <x:c r="P1996" s="31" t="n">
        <x:v>46167</x:v>
      </x:c>
      <x:c r="Q1996" s="31" t="inlineStr">
        <x:is>
          <x:t xml:space="preserve">Завершено</x:t>
        </x:is>
      </x:c>
      <x:c r="R1996" s="31" t="inlineStr">
        <x:is>
          <x:t xml:space="preserve">Нет</x:t>
        </x:is>
      </x:c>
      <x:c r="S1996" s="31" t="inlineStr">
        <x:is>
          <x:t xml:space="preserve">Да</x:t>
        </x:is>
      </x:c>
    </x:row>
    <x:row r="1997">
      <x:c r="A1997" s="31" t="inlineStr">
        <x:is>
          <x:t xml:space="preserve">ОП-001996</x:t>
        </x:is>
      </x:c>
      <x:c r="B1997" s="31" t="inlineStr">
        <x:is>
          <x:t xml:space="preserve">ПЗ-00239</x:t>
        </x:is>
      </x:c>
      <x:c r="C1997" s="31" t="inlineStr">
        <x:is>
          <x:t xml:space="preserve">ЗК-1117</x:t>
        </x:is>
      </x:c>
      <x:c r="D1997" s="31" t="inlineStr">
        <x:is>
          <x:t xml:space="preserve">ПОЗ-0117-1</x:t>
        </x:is>
      </x:c>
      <x:c r="E1997" s="31" t="inlineStr">
        <x:is>
          <x:t xml:space="preserve">ИЗД-030</x:t>
        </x:is>
      </x:c>
      <x:c r="F1997" s="31" t="n">
        <x:v>10</x:v>
      </x:c>
      <x:c r="G1997" s="31" t="inlineStr">
        <x:is>
          <x:t xml:space="preserve">КД</x:t>
        </x:is>
      </x:c>
      <x:c r="H1997" s="31" t="inlineStr">
        <x:is>
          <x:t xml:space="preserve">Инженерный отдел</x:t>
        </x:is>
      </x:c>
      <x:c r="I1997" s="31" t="n"/>
      <x:c r="J1997" s="31" t="inlineStr">
        <x:is>
          <x:t xml:space="preserve">СОТР-012</x:t>
        </x:is>
      </x:c>
      <x:c r="K1997" s="31" t="n">
        <x:v>18</x:v>
      </x:c>
      <x:c r="L1997" s="31" t="n">
        <x:v>16.9</x:v>
      </x:c>
      <x:c r="M1997" s="31" t="n">
        <x:v>46151</x:v>
      </x:c>
      <x:c r="N1997" s="31" t="n">
        <x:v>46153</x:v>
      </x:c>
      <x:c r="O1997" s="31" t="n">
        <x:v>46151</x:v>
      </x:c>
      <x:c r="P1997" s="31" t="n">
        <x:v>46155</x:v>
      </x:c>
      <x:c r="Q1997" s="31" t="inlineStr">
        <x:is>
          <x:t xml:space="preserve">Завершено</x:t>
        </x:is>
      </x:c>
      <x:c r="R1997" s="31" t="inlineStr">
        <x:is>
          <x:t xml:space="preserve">Нет</x:t>
        </x:is>
      </x:c>
      <x:c r="S1997" s="31" t="inlineStr">
        <x:is>
          <x:t xml:space="preserve">Нет</x:t>
        </x:is>
      </x:c>
    </x:row>
    <x:row r="1998">
      <x:c r="A1998" s="31" t="inlineStr">
        <x:is>
          <x:t xml:space="preserve">ОП-001997</x:t>
        </x:is>
      </x:c>
      <x:c r="B1998" s="31" t="inlineStr">
        <x:is>
          <x:t xml:space="preserve">ПЗ-00239</x:t>
        </x:is>
      </x:c>
      <x:c r="C1998" s="31" t="inlineStr">
        <x:is>
          <x:t xml:space="preserve">ЗК-1117</x:t>
        </x:is>
      </x:c>
      <x:c r="D1998" s="31" t="inlineStr">
        <x:is>
          <x:t xml:space="preserve">ПОЗ-0117-1</x:t>
        </x:is>
      </x:c>
      <x:c r="E1998" s="31" t="inlineStr">
        <x:is>
          <x:t xml:space="preserve">ИЗД-030</x:t>
        </x:is>
      </x:c>
      <x:c r="F1998" s="31" t="n">
        <x:v>20</x:v>
      </x:c>
      <x:c r="G1998" s="31" t="inlineStr">
        <x:is>
          <x:t xml:space="preserve">Резерв материалов</x:t>
        </x:is>
      </x:c>
      <x:c r="H1998" s="31" t="inlineStr">
        <x:is>
          <x:t xml:space="preserve">Склад</x:t>
        </x:is>
      </x:c>
      <x:c r="I1998" s="31" t="inlineStr">
        <x:is>
          <x:t xml:space="preserve">ОБ-008</x:t>
        </x:is>
      </x:c>
      <x:c r="J1998" s="31" t="inlineStr">
        <x:is>
          <x:t xml:space="preserve">СОТР-037</x:t>
        </x:is>
      </x:c>
      <x:c r="K1998" s="31" t="n">
        <x:v>20.6</x:v>
      </x:c>
      <x:c r="L1998" s="31" t="n">
        <x:v>17.3</x:v>
      </x:c>
      <x:c r="M1998" s="31" t="n">
        <x:v>46153</x:v>
      </x:c>
      <x:c r="N1998" s="31" t="n">
        <x:v>46155</x:v>
      </x:c>
      <x:c r="O1998" s="31" t="n">
        <x:v>46153</x:v>
      </x:c>
      <x:c r="P1998" s="31" t="n">
        <x:v>46156</x:v>
      </x:c>
      <x:c r="Q1998" s="31" t="inlineStr">
        <x:is>
          <x:t xml:space="preserve">Завершено</x:t>
        </x:is>
      </x:c>
      <x:c r="R1998" s="31" t="inlineStr">
        <x:is>
          <x:t xml:space="preserve">Нет</x:t>
        </x:is>
      </x:c>
      <x:c r="S1998" s="31" t="inlineStr">
        <x:is>
          <x:t xml:space="preserve">Нет</x:t>
        </x:is>
      </x:c>
    </x:row>
    <x:row r="1999">
      <x:c r="A1999" s="31" t="inlineStr">
        <x:is>
          <x:t xml:space="preserve">ОП-001998</x:t>
        </x:is>
      </x:c>
      <x:c r="B1999" s="31" t="inlineStr">
        <x:is>
          <x:t xml:space="preserve">ПЗ-00239</x:t>
        </x:is>
      </x:c>
      <x:c r="C1999" s="31" t="inlineStr">
        <x:is>
          <x:t xml:space="preserve">ЗК-1117</x:t>
        </x:is>
      </x:c>
      <x:c r="D1999" s="31" t="inlineStr">
        <x:is>
          <x:t xml:space="preserve">ПОЗ-0117-1</x:t>
        </x:is>
      </x:c>
      <x:c r="E1999" s="31" t="inlineStr">
        <x:is>
          <x:t xml:space="preserve">ИЗД-030</x:t>
        </x:is>
      </x:c>
      <x:c r="F1999" s="31" t="n">
        <x:v>30</x:v>
      </x:c>
      <x:c r="G1999" s="31" t="inlineStr">
        <x:is>
          <x:t xml:space="preserve">Резка металла</x:t>
        </x:is>
      </x:c>
      <x:c r="H1999" s="31" t="inlineStr">
        <x:is>
          <x:t xml:space="preserve">Сварка</x:t>
        </x:is>
      </x:c>
      <x:c r="I1999" s="31" t="inlineStr">
        <x:is>
          <x:t xml:space="preserve">ОБ-010</x:t>
        </x:is>
      </x:c>
      <x:c r="J1999" s="31" t="inlineStr">
        <x:is>
          <x:t xml:space="preserve">СОТР-060</x:t>
        </x:is>
      </x:c>
      <x:c r="K1999" s="31" t="n">
        <x:v>4.6</x:v>
      </x:c>
      <x:c r="L1999" s="31" t="n">
        <x:v>5.2</x:v>
      </x:c>
      <x:c r="M1999" s="31" t="n">
        <x:v>46155</x:v>
      </x:c>
      <x:c r="N1999" s="31" t="n">
        <x:v>46156</x:v>
      </x:c>
      <x:c r="O1999" s="31" t="n">
        <x:v>46155</x:v>
      </x:c>
      <x:c r="P1999" s="31" t="n">
        <x:v>46155</x:v>
      </x:c>
      <x:c r="Q1999" s="31" t="inlineStr">
        <x:is>
          <x:t xml:space="preserve">Завершено</x:t>
        </x:is>
      </x:c>
      <x:c r="R1999" s="31" t="inlineStr">
        <x:is>
          <x:t xml:space="preserve">Нет</x:t>
        </x:is>
      </x:c>
      <x:c r="S1999" s="31" t="inlineStr">
        <x:is>
          <x:t xml:space="preserve">Нет</x:t>
        </x:is>
      </x:c>
    </x:row>
    <x:row r="2000">
      <x:c r="A2000" s="31" t="inlineStr">
        <x:is>
          <x:t xml:space="preserve">ОП-001999</x:t>
        </x:is>
      </x:c>
      <x:c r="B2000" s="31" t="inlineStr">
        <x:is>
          <x:t xml:space="preserve">ПЗ-00239</x:t>
        </x:is>
      </x:c>
      <x:c r="C2000" s="31" t="inlineStr">
        <x:is>
          <x:t xml:space="preserve">ЗК-1117</x:t>
        </x:is>
      </x:c>
      <x:c r="D2000" s="31" t="inlineStr">
        <x:is>
          <x:t xml:space="preserve">ПОЗ-0117-1</x:t>
        </x:is>
      </x:c>
      <x:c r="E2000" s="31" t="inlineStr">
        <x:is>
          <x:t xml:space="preserve">ИЗД-030</x:t>
        </x:is>
      </x:c>
      <x:c r="F2000" s="31" t="n">
        <x:v>40</x:v>
      </x:c>
      <x:c r="G2000" s="31" t="inlineStr">
        <x:is>
          <x:t xml:space="preserve">Сварка рамы</x:t>
        </x:is>
      </x:c>
      <x:c r="H2000" s="31" t="inlineStr">
        <x:is>
          <x:t xml:space="preserve">Сварка</x:t>
        </x:is>
      </x:c>
      <x:c r="I2000" s="31" t="inlineStr">
        <x:is>
          <x:t xml:space="preserve">ОБ-018</x:t>
        </x:is>
      </x:c>
      <x:c r="J2000" s="31" t="inlineStr">
        <x:is>
          <x:t xml:space="preserve">СОТР-059</x:t>
        </x:is>
      </x:c>
      <x:c r="K2000" s="31" t="n">
        <x:v>12.4</x:v>
      </x:c>
      <x:c r="L2000" s="31" t="n">
        <x:v>16.2</x:v>
      </x:c>
      <x:c r="M2000" s="31" t="n">
        <x:v>46156</x:v>
      </x:c>
      <x:c r="N2000" s="31" t="n">
        <x:v>46158</x:v>
      </x:c>
      <x:c r="O2000" s="31" t="n">
        <x:v>46156</x:v>
      </x:c>
      <x:c r="P2000" s="31" t="n">
        <x:v>46157</x:v>
      </x:c>
      <x:c r="Q2000" s="31" t="inlineStr">
        <x:is>
          <x:t xml:space="preserve">Завершено</x:t>
        </x:is>
      </x:c>
      <x:c r="R2000" s="31" t="inlineStr">
        <x:is>
          <x:t xml:space="preserve">Нет</x:t>
        </x:is>
      </x:c>
      <x:c r="S2000" s="31" t="inlineStr">
        <x:is>
          <x:t xml:space="preserve">Да</x:t>
        </x:is>
      </x:c>
    </x:row>
    <x:row r="2001">
      <x:c r="A2001" s="31" t="inlineStr">
        <x:is>
          <x:t xml:space="preserve">ОП-002000</x:t>
        </x:is>
      </x:c>
      <x:c r="B2001" s="31" t="inlineStr">
        <x:is>
          <x:t xml:space="preserve">ПЗ-00239</x:t>
        </x:is>
      </x:c>
      <x:c r="C2001" s="31" t="inlineStr">
        <x:is>
          <x:t xml:space="preserve">ЗК-1117</x:t>
        </x:is>
      </x:c>
      <x:c r="D2001" s="31" t="inlineStr">
        <x:is>
          <x:t xml:space="preserve">ПОЗ-0117-1</x:t>
        </x:is>
      </x:c>
      <x:c r="E2001" s="31" t="inlineStr">
        <x:is>
          <x:t xml:space="preserve">ИЗД-030</x:t>
        </x:is>
      </x:c>
      <x:c r="F2001" s="31" t="n">
        <x:v>50</x:v>
      </x:c>
      <x:c r="G2001" s="31" t="inlineStr">
        <x:is>
          <x:t xml:space="preserve">Механообработка</x:t>
        </x:is>
      </x:c>
      <x:c r="H2001" s="31" t="inlineStr">
        <x:is>
          <x:t xml:space="preserve">Механообработка</x:t>
        </x:is>
      </x:c>
      <x:c r="I2001" s="31" t="inlineStr">
        <x:is>
          <x:t xml:space="preserve">ОБ-029</x:t>
        </x:is>
      </x:c>
      <x:c r="J2001" s="31" t="inlineStr">
        <x:is>
          <x:t xml:space="preserve">СОТР-050</x:t>
        </x:is>
      </x:c>
      <x:c r="K2001" s="31" t="n">
        <x:v>12.4</x:v>
      </x:c>
      <x:c r="L2001" s="31" t="n">
        <x:v>10.3</x:v>
      </x:c>
      <x:c r="M2001" s="31" t="n">
        <x:v>46158</x:v>
      </x:c>
      <x:c r="N2001" s="31" t="n">
        <x:v>46160</x:v>
      </x:c>
      <x:c r="O2001" s="31" t="n">
        <x:v>46158</x:v>
      </x:c>
      <x:c r="P2001" s="31" t="n">
        <x:v>46160</x:v>
      </x:c>
      <x:c r="Q2001" s="31" t="inlineStr">
        <x:is>
          <x:t xml:space="preserve">Завершено</x:t>
        </x:is>
      </x:c>
      <x:c r="R2001" s="31" t="inlineStr">
        <x:is>
          <x:t xml:space="preserve">Нет</x:t>
        </x:is>
      </x:c>
      <x:c r="S2001" s="31" t="inlineStr">
        <x:is>
          <x:t xml:space="preserve">Нет</x:t>
        </x:is>
      </x:c>
    </x:row>
    <x:row r="2002">
      <x:c r="A2002" s="31" t="inlineStr">
        <x:is>
          <x:t xml:space="preserve">ОП-002001</x:t>
        </x:is>
      </x:c>
      <x:c r="B2002" s="31" t="inlineStr">
        <x:is>
          <x:t xml:space="preserve">ПЗ-00239</x:t>
        </x:is>
      </x:c>
      <x:c r="C2002" s="31" t="inlineStr">
        <x:is>
          <x:t xml:space="preserve">ЗК-1117</x:t>
        </x:is>
      </x:c>
      <x:c r="D2002" s="31" t="inlineStr">
        <x:is>
          <x:t xml:space="preserve">ПОЗ-0117-1</x:t>
        </x:is>
      </x:c>
      <x:c r="E2002" s="31" t="inlineStr">
        <x:is>
          <x:t xml:space="preserve">ИЗД-030</x:t>
        </x:is>
      </x:c>
      <x:c r="F2002" s="31" t="n">
        <x:v>60</x:v>
      </x:c>
      <x:c r="G2002" s="31" t="inlineStr">
        <x:is>
          <x:t xml:space="preserve">Сборка</x:t>
        </x:is>
      </x:c>
      <x:c r="H2002" s="31" t="inlineStr">
        <x:is>
          <x:t xml:space="preserve">Сборка</x:t>
        </x:is>
      </x:c>
      <x:c r="I2002" s="31" t="inlineStr">
        <x:is>
          <x:t xml:space="preserve">ОБ-027</x:t>
        </x:is>
      </x:c>
      <x:c r="J2002" s="31" t="inlineStr">
        <x:is>
          <x:t xml:space="preserve">СОТР-073</x:t>
        </x:is>
      </x:c>
      <x:c r="K2002" s="31" t="n">
        <x:v>8.4</x:v>
      </x:c>
      <x:c r="L2002" s="31" t="n">
        <x:v>10.2</x:v>
      </x:c>
      <x:c r="M2002" s="31" t="n">
        <x:v>46160</x:v>
      </x:c>
      <x:c r="N2002" s="31" t="n">
        <x:v>46161</x:v>
      </x:c>
      <x:c r="O2002" s="31" t="n">
        <x:v>46160</x:v>
      </x:c>
      <x:c r="P2002" s="31" t="n">
        <x:v>46160</x:v>
      </x:c>
      <x:c r="Q2002" s="31" t="inlineStr">
        <x:is>
          <x:t xml:space="preserve">Завершено</x:t>
        </x:is>
      </x:c>
      <x:c r="R2002" s="31" t="inlineStr">
        <x:is>
          <x:t xml:space="preserve">Нет</x:t>
        </x:is>
      </x:c>
      <x:c r="S2002" s="31" t="inlineStr">
        <x:is>
          <x:t xml:space="preserve">Нет</x:t>
        </x:is>
      </x:c>
    </x:row>
    <x:row r="2003">
      <x:c r="A2003" s="31" t="inlineStr">
        <x:is>
          <x:t xml:space="preserve">ОП-002002</x:t>
        </x:is>
      </x:c>
      <x:c r="B2003" s="31" t="inlineStr">
        <x:is>
          <x:t xml:space="preserve">ПЗ-00239</x:t>
        </x:is>
      </x:c>
      <x:c r="C2003" s="31" t="inlineStr">
        <x:is>
          <x:t xml:space="preserve">ЗК-1117</x:t>
        </x:is>
      </x:c>
      <x:c r="D2003" s="31" t="inlineStr">
        <x:is>
          <x:t xml:space="preserve">ПОЗ-0117-1</x:t>
        </x:is>
      </x:c>
      <x:c r="E2003" s="31" t="inlineStr">
        <x:is>
          <x:t xml:space="preserve">ИЗД-030</x:t>
        </x:is>
      </x:c>
      <x:c r="F2003" s="31" t="n">
        <x:v>70</x:v>
      </x:c>
      <x:c r="G2003" s="31" t="inlineStr">
        <x:is>
          <x:t xml:space="preserve">Электромонтаж</x:t>
        </x:is>
      </x:c>
      <x:c r="H2003" s="31" t="inlineStr">
        <x:is>
          <x:t xml:space="preserve">Сборка</x:t>
        </x:is>
      </x:c>
      <x:c r="I2003" s="31" t="inlineStr">
        <x:is>
          <x:t xml:space="preserve">ОБ-002</x:t>
        </x:is>
      </x:c>
      <x:c r="J2003" s="31" t="inlineStr">
        <x:is>
          <x:t xml:space="preserve">СОТР-077</x:t>
        </x:is>
      </x:c>
      <x:c r="K2003" s="31" t="n">
        <x:v>13.6</x:v>
      </x:c>
      <x:c r="L2003" s="31" t="n">
        <x:v>17.8</x:v>
      </x:c>
      <x:c r="M2003" s="31" t="n">
        <x:v>46161</x:v>
      </x:c>
      <x:c r="N2003" s="31" t="n">
        <x:v>46163</x:v>
      </x:c>
      <x:c r="O2003" s="31" t="n">
        <x:v>46161</x:v>
      </x:c>
      <x:c r="P2003" s="31" t="n">
        <x:v>46163</x:v>
      </x:c>
      <x:c r="Q2003" s="31" t="inlineStr">
        <x:is>
          <x:t xml:space="preserve">Завершено</x:t>
        </x:is>
      </x:c>
      <x:c r="R2003" s="31" t="inlineStr">
        <x:is>
          <x:t xml:space="preserve">Нет</x:t>
        </x:is>
      </x:c>
      <x:c r="S2003" s="31" t="inlineStr">
        <x:is>
          <x:t xml:space="preserve">Нет</x:t>
        </x:is>
      </x:c>
    </x:row>
    <x:row r="2004">
      <x:c r="A2004" s="31" t="inlineStr">
        <x:is>
          <x:t xml:space="preserve">ОП-002003</x:t>
        </x:is>
      </x:c>
      <x:c r="B2004" s="31" t="inlineStr">
        <x:is>
          <x:t xml:space="preserve">ПЗ-00239</x:t>
        </x:is>
      </x:c>
      <x:c r="C2004" s="31" t="inlineStr">
        <x:is>
          <x:t xml:space="preserve">ЗК-1117</x:t>
        </x:is>
      </x:c>
      <x:c r="D2004" s="31" t="inlineStr">
        <x:is>
          <x:t xml:space="preserve">ПОЗ-0117-1</x:t>
        </x:is>
      </x:c>
      <x:c r="E2004" s="31" t="inlineStr">
        <x:is>
          <x:t xml:space="preserve">ИЗД-030</x:t>
        </x:is>
      </x:c>
      <x:c r="F2004" s="31" t="n">
        <x:v>80</x:v>
      </x:c>
      <x:c r="G2004" s="31" t="inlineStr">
        <x:is>
          <x:t xml:space="preserve">Гидроиспытания</x:t>
        </x:is>
      </x:c>
      <x:c r="H2004" s="31" t="inlineStr">
        <x:is>
          <x:t xml:space="preserve">ОТК</x:t>
        </x:is>
      </x:c>
      <x:c r="I2004" s="31" t="inlineStr">
        <x:is>
          <x:t xml:space="preserve">ОБ-024</x:t>
        </x:is>
      </x:c>
      <x:c r="J2004" s="31" t="inlineStr">
        <x:is>
          <x:t xml:space="preserve">СОТР-100</x:t>
        </x:is>
      </x:c>
      <x:c r="K2004" s="31" t="n">
        <x:v>9.800000000000001</x:v>
      </x:c>
      <x:c r="L2004" s="31" t="n">
        <x:v>9.5</x:v>
      </x:c>
      <x:c r="M2004" s="31" t="n">
        <x:v>46163</x:v>
      </x:c>
      <x:c r="N2004" s="31" t="n">
        <x:v>46164</x:v>
      </x:c>
      <x:c r="O2004" s="31" t="n">
        <x:v>46163</x:v>
      </x:c>
      <x:c r="P2004" s="31" t="n">
        <x:v>46164</x:v>
      </x:c>
      <x:c r="Q2004" s="31" t="inlineStr">
        <x:is>
          <x:t xml:space="preserve">Завершено</x:t>
        </x:is>
      </x:c>
      <x:c r="R2004" s="31" t="inlineStr">
        <x:is>
          <x:t xml:space="preserve">Нет</x:t>
        </x:is>
      </x:c>
      <x:c r="S2004" s="31" t="inlineStr">
        <x:is>
          <x:t xml:space="preserve">Нет</x:t>
        </x:is>
      </x:c>
    </x:row>
    <x:row r="2005">
      <x:c r="A2005" s="31" t="inlineStr">
        <x:is>
          <x:t xml:space="preserve">ОП-002004</x:t>
        </x:is>
      </x:c>
      <x:c r="B2005" s="31" t="inlineStr">
        <x:is>
          <x:t xml:space="preserve">ПЗ-00239</x:t>
        </x:is>
      </x:c>
      <x:c r="C2005" s="31" t="inlineStr">
        <x:is>
          <x:t xml:space="preserve">ЗК-1117</x:t>
        </x:is>
      </x:c>
      <x:c r="D2005" s="31" t="inlineStr">
        <x:is>
          <x:t xml:space="preserve">ПОЗ-0117-1</x:t>
        </x:is>
      </x:c>
      <x:c r="E2005" s="31" t="inlineStr">
        <x:is>
          <x:t xml:space="preserve">ИЗД-030</x:t>
        </x:is>
      </x:c>
      <x:c r="F2005" s="31" t="n">
        <x:v>90</x:v>
      </x:c>
      <x:c r="G2005" s="31" t="inlineStr">
        <x:is>
          <x:t xml:space="preserve">ОТК</x:t>
        </x:is>
      </x:c>
      <x:c r="H2005" s="31" t="inlineStr">
        <x:is>
          <x:t xml:space="preserve">ОТК</x:t>
        </x:is>
      </x:c>
      <x:c r="I2005" s="31" t="inlineStr">
        <x:is>
          <x:t xml:space="preserve">ОБ-015</x:t>
        </x:is>
      </x:c>
      <x:c r="J2005" s="31" t="inlineStr">
        <x:is>
          <x:t xml:space="preserve">СОТР-098</x:t>
        </x:is>
      </x:c>
      <x:c r="K2005" s="31" t="n">
        <x:v>8</x:v>
      </x:c>
      <x:c r="L2005" s="31" t="n">
        <x:v>8.800000000000001</x:v>
      </x:c>
      <x:c r="M2005" s="31" t="n">
        <x:v>46164</x:v>
      </x:c>
      <x:c r="N2005" s="31" t="n">
        <x:v>46165</x:v>
      </x:c>
      <x:c r="O2005" s="31" t="n">
        <x:v>46164</x:v>
      </x:c>
      <x:c r="P2005" s="31" t="n">
        <x:v>46167</x:v>
      </x:c>
      <x:c r="Q2005" s="31" t="inlineStr">
        <x:is>
          <x:t xml:space="preserve">Завершено</x:t>
        </x:is>
      </x:c>
      <x:c r="R2005" s="31" t="inlineStr">
        <x:is>
          <x:t xml:space="preserve">Нет</x:t>
        </x:is>
      </x:c>
      <x:c r="S2005" s="31" t="inlineStr">
        <x:is>
          <x:t xml:space="preserve">Нет</x:t>
        </x:is>
      </x:c>
    </x:row>
    <x:row r="2006">
      <x:c r="A2006" s="31" t="inlineStr">
        <x:is>
          <x:t xml:space="preserve">ОП-002005</x:t>
        </x:is>
      </x:c>
      <x:c r="B2006" s="31" t="inlineStr">
        <x:is>
          <x:t xml:space="preserve">ПЗ-00239</x:t>
        </x:is>
      </x:c>
      <x:c r="C2006" s="31" t="inlineStr">
        <x:is>
          <x:t xml:space="preserve">ЗК-1117</x:t>
        </x:is>
      </x:c>
      <x:c r="D2006" s="31" t="inlineStr">
        <x:is>
          <x:t xml:space="preserve">ПОЗ-0117-1</x:t>
        </x:is>
      </x:c>
      <x:c r="E2006" s="31" t="inlineStr">
        <x:is>
          <x:t xml:space="preserve">ИЗД-030</x:t>
        </x:is>
      </x:c>
      <x:c r="F2006" s="31" t="n">
        <x:v>100</x:v>
      </x:c>
      <x:c r="G2006" s="31" t="inlineStr">
        <x:is>
          <x:t xml:space="preserve">Упаковка</x:t>
        </x:is>
      </x:c>
      <x:c r="H2006" s="31" t="inlineStr">
        <x:is>
          <x:t xml:space="preserve">Логистика</x:t>
        </x:is>
      </x:c>
      <x:c r="I2006" s="31" t="n"/>
      <x:c r="J2006" s="31" t="inlineStr">
        <x:is>
          <x:t xml:space="preserve">СОТР-102</x:t>
        </x:is>
      </x:c>
      <x:c r="K2006" s="31" t="n">
        <x:v>16.4</x:v>
      </x:c>
      <x:c r="L2006" s="31" t="n">
        <x:v>21.7</x:v>
      </x:c>
      <x:c r="M2006" s="31" t="n">
        <x:v>46165</x:v>
      </x:c>
      <x:c r="N2006" s="31" t="n">
        <x:v>46167</x:v>
      </x:c>
      <x:c r="O2006" s="31" t="n">
        <x:v>46165</x:v>
      </x:c>
      <x:c r="P2006" s="31" t="n">
        <x:v>46166</x:v>
      </x:c>
      <x:c r="Q2006" s="31" t="inlineStr">
        <x:is>
          <x:t xml:space="preserve">Завершено</x:t>
        </x:is>
      </x:c>
      <x:c r="R2006" s="31" t="inlineStr">
        <x:is>
          <x:t xml:space="preserve">Нет</x:t>
        </x:is>
      </x:c>
      <x:c r="S2006" s="31" t="inlineStr">
        <x:is>
          <x:t xml:space="preserve">Да</x:t>
        </x:is>
      </x:c>
    </x:row>
    <x:row r="2007">
      <x:c r="A2007" s="31" t="inlineStr">
        <x:is>
          <x:t xml:space="preserve">ОП-002006</x:t>
        </x:is>
      </x:c>
      <x:c r="B2007" s="31" t="inlineStr">
        <x:is>
          <x:t xml:space="preserve">ПЗ-00240</x:t>
        </x:is>
      </x:c>
      <x:c r="C2007" s="31" t="inlineStr">
        <x:is>
          <x:t xml:space="preserve">ЗК-1117</x:t>
        </x:is>
      </x:c>
      <x:c r="D2007" s="31" t="inlineStr">
        <x:is>
          <x:t xml:space="preserve">ПОЗ-0117-2</x:t>
        </x:is>
      </x:c>
      <x:c r="E2007" s="31" t="inlineStr">
        <x:is>
          <x:t xml:space="preserve">ИЗД-021</x:t>
        </x:is>
      </x:c>
      <x:c r="F2007" s="31" t="n">
        <x:v>10</x:v>
      </x:c>
      <x:c r="G2007" s="31" t="inlineStr">
        <x:is>
          <x:t xml:space="preserve">КД</x:t>
        </x:is>
      </x:c>
      <x:c r="H2007" s="31" t="inlineStr">
        <x:is>
          <x:t xml:space="preserve">Инженерный отдел</x:t>
        </x:is>
      </x:c>
      <x:c r="I2007" s="31" t="n"/>
      <x:c r="J2007" s="31" t="inlineStr">
        <x:is>
          <x:t xml:space="preserve">СОТР-014</x:t>
        </x:is>
      </x:c>
      <x:c r="K2007" s="31" t="n">
        <x:v>14.4</x:v>
      </x:c>
      <x:c r="L2007" s="31" t="n">
        <x:v>14.5</x:v>
      </x:c>
      <x:c r="M2007" s="31" t="n">
        <x:v>46150</x:v>
      </x:c>
      <x:c r="N2007" s="31" t="n">
        <x:v>46152</x:v>
      </x:c>
      <x:c r="O2007" s="31" t="n">
        <x:v>46150</x:v>
      </x:c>
      <x:c r="P2007" s="31" t="n">
        <x:v>46152</x:v>
      </x:c>
      <x:c r="Q2007" s="31" t="inlineStr">
        <x:is>
          <x:t xml:space="preserve">Завершено</x:t>
        </x:is>
      </x:c>
      <x:c r="R2007" s="31" t="inlineStr">
        <x:is>
          <x:t xml:space="preserve">Материал</x:t>
        </x:is>
      </x:c>
      <x:c r="S2007" s="31" t="inlineStr">
        <x:is>
          <x:t xml:space="preserve">Нет</x:t>
        </x:is>
      </x:c>
    </x:row>
    <x:row r="2008">
      <x:c r="A2008" s="31" t="inlineStr">
        <x:is>
          <x:t xml:space="preserve">ОП-002007</x:t>
        </x:is>
      </x:c>
      <x:c r="B2008" s="31" t="inlineStr">
        <x:is>
          <x:t xml:space="preserve">ПЗ-00240</x:t>
        </x:is>
      </x:c>
      <x:c r="C2008" s="31" t="inlineStr">
        <x:is>
          <x:t xml:space="preserve">ЗК-1117</x:t>
        </x:is>
      </x:c>
      <x:c r="D2008" s="31" t="inlineStr">
        <x:is>
          <x:t xml:space="preserve">ПОЗ-0117-2</x:t>
        </x:is>
      </x:c>
      <x:c r="E2008" s="31" t="inlineStr">
        <x:is>
          <x:t xml:space="preserve">ИЗД-021</x:t>
        </x:is>
      </x:c>
      <x:c r="F2008" s="31" t="n">
        <x:v>20</x:v>
      </x:c>
      <x:c r="G2008" s="31" t="inlineStr">
        <x:is>
          <x:t xml:space="preserve">Резерв материалов</x:t>
        </x:is>
      </x:c>
      <x:c r="H2008" s="31" t="inlineStr">
        <x:is>
          <x:t xml:space="preserve">Склад</x:t>
        </x:is>
      </x:c>
      <x:c r="I2008" s="31" t="inlineStr">
        <x:is>
          <x:t xml:space="preserve">ОБ-023</x:t>
        </x:is>
      </x:c>
      <x:c r="J2008" s="31" t="inlineStr">
        <x:is>
          <x:t xml:space="preserve">СОТР-039</x:t>
        </x:is>
      </x:c>
      <x:c r="K2008" s="31" t="n">
        <x:v>70.8</x:v>
      </x:c>
      <x:c r="L2008" s="31" t="n">
        <x:v>92.8</x:v>
      </x:c>
      <x:c r="M2008" s="31" t="n">
        <x:v>46152</x:v>
      </x:c>
      <x:c r="N2008" s="31" t="n">
        <x:v>46158</x:v>
      </x:c>
      <x:c r="O2008" s="31" t="n">
        <x:v>46152</x:v>
      </x:c>
      <x:c r="P2008" s="31" t="n">
        <x:v>46157</x:v>
      </x:c>
      <x:c r="Q2008" s="31" t="inlineStr">
        <x:is>
          <x:t xml:space="preserve">Завершено</x:t>
        </x:is>
      </x:c>
      <x:c r="R2008" s="31" t="inlineStr">
        <x:is>
          <x:t xml:space="preserve">Нет</x:t>
        </x:is>
      </x:c>
      <x:c r="S2008" s="31" t="inlineStr">
        <x:is>
          <x:t xml:space="preserve">Нет</x:t>
        </x:is>
      </x:c>
    </x:row>
    <x:row r="2009">
      <x:c r="A2009" s="31" t="inlineStr">
        <x:is>
          <x:t xml:space="preserve">ОП-002008</x:t>
        </x:is>
      </x:c>
      <x:c r="B2009" s="31" t="inlineStr">
        <x:is>
          <x:t xml:space="preserve">ПЗ-00240</x:t>
        </x:is>
      </x:c>
      <x:c r="C2009" s="31" t="inlineStr">
        <x:is>
          <x:t xml:space="preserve">ЗК-1117</x:t>
        </x:is>
      </x:c>
      <x:c r="D2009" s="31" t="inlineStr">
        <x:is>
          <x:t xml:space="preserve">ПОЗ-0117-2</x:t>
        </x:is>
      </x:c>
      <x:c r="E2009" s="31" t="inlineStr">
        <x:is>
          <x:t xml:space="preserve">ИЗД-021</x:t>
        </x:is>
      </x:c>
      <x:c r="F2009" s="31" t="n">
        <x:v>30</x:v>
      </x:c>
      <x:c r="G2009" s="31" t="inlineStr">
        <x:is>
          <x:t xml:space="preserve">Сварка рамы</x:t>
        </x:is>
      </x:c>
      <x:c r="H2009" s="31" t="inlineStr">
        <x:is>
          <x:t xml:space="preserve">Сварка</x:t>
        </x:is>
      </x:c>
      <x:c r="I2009" s="31" t="inlineStr">
        <x:is>
          <x:t xml:space="preserve">ОБ-010</x:t>
        </x:is>
      </x:c>
      <x:c r="J2009" s="31" t="inlineStr">
        <x:is>
          <x:t xml:space="preserve">СОТР-072</x:t>
        </x:is>
      </x:c>
      <x:c r="K2009" s="31" t="n">
        <x:v>70</x:v>
      </x:c>
      <x:c r="L2009" s="31" t="n">
        <x:v>69.3</x:v>
      </x:c>
      <x:c r="M2009" s="31" t="n">
        <x:v>46158</x:v>
      </x:c>
      <x:c r="N2009" s="31" t="n">
        <x:v>46164</x:v>
      </x:c>
      <x:c r="O2009" s="31" t="n">
        <x:v>46158</x:v>
      </x:c>
      <x:c r="P2009" s="31" t="n">
        <x:v>46163</x:v>
      </x:c>
      <x:c r="Q2009" s="31" t="inlineStr">
        <x:is>
          <x:t xml:space="preserve">Завершено</x:t>
        </x:is>
      </x:c>
      <x:c r="R2009" s="31" t="inlineStr">
        <x:is>
          <x:t xml:space="preserve">Нет</x:t>
        </x:is>
      </x:c>
      <x:c r="S2009" s="31" t="inlineStr">
        <x:is>
          <x:t xml:space="preserve">Да</x:t>
        </x:is>
      </x:c>
    </x:row>
    <x:row r="2010">
      <x:c r="A2010" s="31" t="inlineStr">
        <x:is>
          <x:t xml:space="preserve">ОП-002009</x:t>
        </x:is>
      </x:c>
      <x:c r="B2010" s="31" t="inlineStr">
        <x:is>
          <x:t xml:space="preserve">ПЗ-00240</x:t>
        </x:is>
      </x:c>
      <x:c r="C2010" s="31" t="inlineStr">
        <x:is>
          <x:t xml:space="preserve">ЗК-1117</x:t>
        </x:is>
      </x:c>
      <x:c r="D2010" s="31" t="inlineStr">
        <x:is>
          <x:t xml:space="preserve">ПОЗ-0117-2</x:t>
        </x:is>
      </x:c>
      <x:c r="E2010" s="31" t="inlineStr">
        <x:is>
          <x:t xml:space="preserve">ИЗД-021</x:t>
        </x:is>
      </x:c>
      <x:c r="F2010" s="31" t="n">
        <x:v>40</x:v>
      </x:c>
      <x:c r="G2010" s="31" t="inlineStr">
        <x:is>
          <x:t xml:space="preserve">Сборка</x:t>
        </x:is>
      </x:c>
      <x:c r="H2010" s="31" t="inlineStr">
        <x:is>
          <x:t xml:space="preserve">Сборка</x:t>
        </x:is>
      </x:c>
      <x:c r="I2010" s="31" t="inlineStr">
        <x:is>
          <x:t xml:space="preserve">ОБ-034</x:t>
        </x:is>
      </x:c>
      <x:c r="J2010" s="31" t="inlineStr">
        <x:is>
          <x:t xml:space="preserve">СОТР-073</x:t>
        </x:is>
      </x:c>
      <x:c r="K2010" s="31" t="n">
        <x:v>58</x:v>
      </x:c>
      <x:c r="L2010" s="31" t="n">
        <x:v>61.9</x:v>
      </x:c>
      <x:c r="M2010" s="31" t="n">
        <x:v>46164</x:v>
      </x:c>
      <x:c r="N2010" s="31" t="n">
        <x:v>46169</x:v>
      </x:c>
      <x:c r="O2010" s="31" t="n">
        <x:v>46164</x:v>
      </x:c>
      <x:c r="P2010" s="31" t="n">
        <x:v>46171</x:v>
      </x:c>
      <x:c r="Q2010" s="31" t="inlineStr">
        <x:is>
          <x:t xml:space="preserve">Завершено</x:t>
        </x:is>
      </x:c>
      <x:c r="R2010" s="31" t="inlineStr">
        <x:is>
          <x:t xml:space="preserve">Нет</x:t>
        </x:is>
      </x:c>
      <x:c r="S2010" s="31" t="inlineStr">
        <x:is>
          <x:t xml:space="preserve">Нет</x:t>
        </x:is>
      </x:c>
    </x:row>
    <x:row r="2011">
      <x:c r="A2011" s="31" t="inlineStr">
        <x:is>
          <x:t xml:space="preserve">ОП-002010</x:t>
        </x:is>
      </x:c>
      <x:c r="B2011" s="31" t="inlineStr">
        <x:is>
          <x:t xml:space="preserve">ПЗ-00240</x:t>
        </x:is>
      </x:c>
      <x:c r="C2011" s="31" t="inlineStr">
        <x:is>
          <x:t xml:space="preserve">ЗК-1117</x:t>
        </x:is>
      </x:c>
      <x:c r="D2011" s="31" t="inlineStr">
        <x:is>
          <x:t xml:space="preserve">ПОЗ-0117-2</x:t>
        </x:is>
      </x:c>
      <x:c r="E2011" s="31" t="inlineStr">
        <x:is>
          <x:t xml:space="preserve">ИЗД-021</x:t>
        </x:is>
      </x:c>
      <x:c r="F2011" s="31" t="n">
        <x:v>50</x:v>
      </x:c>
      <x:c r="G2011" s="31" t="inlineStr">
        <x:is>
          <x:t xml:space="preserve">Обвязка труб</x:t>
        </x:is>
      </x:c>
      <x:c r="H2011" s="31" t="inlineStr">
        <x:is>
          <x:t xml:space="preserve">Сборка</x:t>
        </x:is>
      </x:c>
      <x:c r="I2011" s="31" t="inlineStr">
        <x:is>
          <x:t xml:space="preserve">ОБ-005</x:t>
        </x:is>
      </x:c>
      <x:c r="J2011" s="31" t="inlineStr">
        <x:is>
          <x:t xml:space="preserve">СОТР-086</x:t>
        </x:is>
      </x:c>
      <x:c r="K2011" s="31" t="n">
        <x:v>60.4</x:v>
      </x:c>
      <x:c r="L2011" s="31" t="n">
        <x:v>64.8</x:v>
      </x:c>
      <x:c r="M2011" s="31" t="n">
        <x:v>46169</x:v>
      </x:c>
      <x:c r="N2011" s="31" t="n">
        <x:v>46175</x:v>
      </x:c>
      <x:c r="O2011" s="31" t="n">
        <x:v>46169</x:v>
      </x:c>
      <x:c r="P2011" s="31" t="n">
        <x:v>46175</x:v>
      </x:c>
      <x:c r="Q2011" s="31" t="inlineStr">
        <x:is>
          <x:t xml:space="preserve">Завершено</x:t>
        </x:is>
      </x:c>
      <x:c r="R2011" s="31" t="inlineStr">
        <x:is>
          <x:t xml:space="preserve">Нет</x:t>
        </x:is>
      </x:c>
      <x:c r="S2011" s="31" t="inlineStr">
        <x:is>
          <x:t xml:space="preserve">Нет</x:t>
        </x:is>
      </x:c>
    </x:row>
    <x:row r="2012">
      <x:c r="A2012" s="31" t="inlineStr">
        <x:is>
          <x:t xml:space="preserve">ОП-002011</x:t>
        </x:is>
      </x:c>
      <x:c r="B2012" s="31" t="inlineStr">
        <x:is>
          <x:t xml:space="preserve">ПЗ-00240</x:t>
        </x:is>
      </x:c>
      <x:c r="C2012" s="31" t="inlineStr">
        <x:is>
          <x:t xml:space="preserve">ЗК-1117</x:t>
        </x:is>
      </x:c>
      <x:c r="D2012" s="31" t="inlineStr">
        <x:is>
          <x:t xml:space="preserve">ПОЗ-0117-2</x:t>
        </x:is>
      </x:c>
      <x:c r="E2012" s="31" t="inlineStr">
        <x:is>
          <x:t xml:space="preserve">ИЗД-021</x:t>
        </x:is>
      </x:c>
      <x:c r="F2012" s="31" t="n">
        <x:v>60</x:v>
      </x:c>
      <x:c r="G2012" s="31" t="inlineStr">
        <x:is>
          <x:t xml:space="preserve">Электромонтаж</x:t>
        </x:is>
      </x:c>
      <x:c r="H2012" s="31" t="inlineStr">
        <x:is>
          <x:t xml:space="preserve">Сборка</x:t>
        </x:is>
      </x:c>
      <x:c r="I2012" s="31" t="inlineStr">
        <x:is>
          <x:t xml:space="preserve">ОБ-012</x:t>
        </x:is>
      </x:c>
      <x:c r="J2012" s="31" t="inlineStr">
        <x:is>
          <x:t xml:space="preserve">СОТР-079</x:t>
        </x:is>
      </x:c>
      <x:c r="K2012" s="31" t="n">
        <x:v>54</x:v>
      </x:c>
      <x:c r="L2012" s="31" t="n">
        <x:v>70.7</x:v>
      </x:c>
      <x:c r="M2012" s="31" t="n">
        <x:v>46175</x:v>
      </x:c>
      <x:c r="N2012" s="31" t="n">
        <x:v>46180</x:v>
      </x:c>
      <x:c r="O2012" s="31" t="n">
        <x:v>46175</x:v>
      </x:c>
      <x:c r="P2012" s="31" t="n">
        <x:v>46182</x:v>
      </x:c>
      <x:c r="Q2012" s="31" t="inlineStr">
        <x:is>
          <x:t xml:space="preserve">Завершено</x:t>
        </x:is>
      </x:c>
      <x:c r="R2012" s="31" t="inlineStr">
        <x:is>
          <x:t xml:space="preserve">Материал</x:t>
        </x:is>
      </x:c>
      <x:c r="S2012" s="31" t="inlineStr">
        <x:is>
          <x:t xml:space="preserve">Нет</x:t>
        </x:is>
      </x:c>
    </x:row>
    <x:row r="2013">
      <x:c r="A2013" s="31" t="inlineStr">
        <x:is>
          <x:t xml:space="preserve">ОП-002012</x:t>
        </x:is>
      </x:c>
      <x:c r="B2013" s="31" t="inlineStr">
        <x:is>
          <x:t xml:space="preserve">ПЗ-00240</x:t>
        </x:is>
      </x:c>
      <x:c r="C2013" s="31" t="inlineStr">
        <x:is>
          <x:t xml:space="preserve">ЗК-1117</x:t>
        </x:is>
      </x:c>
      <x:c r="D2013" s="31" t="inlineStr">
        <x:is>
          <x:t xml:space="preserve">ПОЗ-0117-2</x:t>
        </x:is>
      </x:c>
      <x:c r="E2013" s="31" t="inlineStr">
        <x:is>
          <x:t xml:space="preserve">ИЗД-021</x:t>
        </x:is>
      </x:c>
      <x:c r="F2013" s="31" t="n">
        <x:v>70</x:v>
      </x:c>
      <x:c r="G2013" s="31" t="inlineStr">
        <x:is>
          <x:t xml:space="preserve">Гидроиспытания</x:t>
        </x:is>
      </x:c>
      <x:c r="H2013" s="31" t="inlineStr">
        <x:is>
          <x:t xml:space="preserve">ОТК</x:t>
        </x:is>
      </x:c>
      <x:c r="I2013" s="31" t="inlineStr">
        <x:is>
          <x:t xml:space="preserve">ОБ-032</x:t>
        </x:is>
      </x:c>
      <x:c r="J2013" s="31" t="inlineStr">
        <x:is>
          <x:t xml:space="preserve">СОТР-092</x:t>
        </x:is>
      </x:c>
      <x:c r="K2013" s="31" t="n">
        <x:v>33.6</x:v>
      </x:c>
      <x:c r="L2013" s="31" t="n">
        <x:v>38</x:v>
      </x:c>
      <x:c r="M2013" s="31" t="n">
        <x:v>46180</x:v>
      </x:c>
      <x:c r="N2013" s="31" t="n">
        <x:v>46183</x:v>
      </x:c>
      <x:c r="O2013" s="31" t="n">
        <x:v>46180</x:v>
      </x:c>
      <x:c r="P2013" s="31" t="n">
        <x:v>46182</x:v>
      </x:c>
      <x:c r="Q2013" s="31" t="inlineStr">
        <x:is>
          <x:t xml:space="preserve">Завершено</x:t>
        </x:is>
      </x:c>
      <x:c r="R2013" s="31" t="inlineStr">
        <x:is>
          <x:t xml:space="preserve">Нет</x:t>
        </x:is>
      </x:c>
      <x:c r="S2013" s="31" t="inlineStr">
        <x:is>
          <x:t xml:space="preserve">Нет</x:t>
        </x:is>
      </x:c>
    </x:row>
    <x:row r="2014">
      <x:c r="A2014" s="31" t="inlineStr">
        <x:is>
          <x:t xml:space="preserve">ОП-002013</x:t>
        </x:is>
      </x:c>
      <x:c r="B2014" s="31" t="inlineStr">
        <x:is>
          <x:t xml:space="preserve">ПЗ-00240</x:t>
        </x:is>
      </x:c>
      <x:c r="C2014" s="31" t="inlineStr">
        <x:is>
          <x:t xml:space="preserve">ЗК-1117</x:t>
        </x:is>
      </x:c>
      <x:c r="D2014" s="31" t="inlineStr">
        <x:is>
          <x:t xml:space="preserve">ПОЗ-0117-2</x:t>
        </x:is>
      </x:c>
      <x:c r="E2014" s="31" t="inlineStr">
        <x:is>
          <x:t xml:space="preserve">ИЗД-021</x:t>
        </x:is>
      </x:c>
      <x:c r="F2014" s="31" t="n">
        <x:v>80</x:v>
      </x:c>
      <x:c r="G2014" s="31" t="inlineStr">
        <x:is>
          <x:t xml:space="preserve">ОТК</x:t>
        </x:is>
      </x:c>
      <x:c r="H2014" s="31" t="inlineStr">
        <x:is>
          <x:t xml:space="preserve">ОТК</x:t>
        </x:is>
      </x:c>
      <x:c r="I2014" s="31" t="inlineStr">
        <x:is>
          <x:t xml:space="preserve">ОБ-033</x:t>
        </x:is>
      </x:c>
      <x:c r="J2014" s="31" t="inlineStr">
        <x:is>
          <x:t xml:space="preserve">СОТР-097</x:t>
        </x:is>
      </x:c>
      <x:c r="K2014" s="31" t="n">
        <x:v>9.6</x:v>
      </x:c>
      <x:c r="L2014" s="31" t="n">
        <x:v>10</x:v>
      </x:c>
      <x:c r="M2014" s="31" t="n">
        <x:v>46183</x:v>
      </x:c>
      <x:c r="N2014" s="31" t="n">
        <x:v>46184</x:v>
      </x:c>
      <x:c r="O2014" s="31" t="n">
        <x:v>46183</x:v>
      </x:c>
      <x:c r="P2014" s="31" t="n">
        <x:v>46186</x:v>
      </x:c>
      <x:c r="Q2014" s="31" t="inlineStr">
        <x:is>
          <x:t xml:space="preserve">Завершено</x:t>
        </x:is>
      </x:c>
      <x:c r="R2014" s="31" t="inlineStr">
        <x:is>
          <x:t xml:space="preserve">Нет</x:t>
        </x:is>
      </x:c>
      <x:c r="S2014" s="31" t="inlineStr">
        <x:is>
          <x:t xml:space="preserve">Нет</x:t>
        </x:is>
      </x:c>
    </x:row>
    <x:row r="2015">
      <x:c r="A2015" s="31" t="inlineStr">
        <x:is>
          <x:t xml:space="preserve">ОП-002014</x:t>
        </x:is>
      </x:c>
      <x:c r="B2015" s="31" t="inlineStr">
        <x:is>
          <x:t xml:space="preserve">ПЗ-00240</x:t>
        </x:is>
      </x:c>
      <x:c r="C2015" s="31" t="inlineStr">
        <x:is>
          <x:t xml:space="preserve">ЗК-1117</x:t>
        </x:is>
      </x:c>
      <x:c r="D2015" s="31" t="inlineStr">
        <x:is>
          <x:t xml:space="preserve">ПОЗ-0117-2</x:t>
        </x:is>
      </x:c>
      <x:c r="E2015" s="31" t="inlineStr">
        <x:is>
          <x:t xml:space="preserve">ИЗД-021</x:t>
        </x:is>
      </x:c>
      <x:c r="F2015" s="31" t="n">
        <x:v>90</x:v>
      </x:c>
      <x:c r="G2015" s="31" t="inlineStr">
        <x:is>
          <x:t xml:space="preserve">Упаковка</x:t>
        </x:is>
      </x:c>
      <x:c r="H2015" s="31" t="inlineStr">
        <x:is>
          <x:t xml:space="preserve">Логистика</x:t>
        </x:is>
      </x:c>
      <x:c r="I2015" s="31" t="n"/>
      <x:c r="J2015" s="31" t="inlineStr">
        <x:is>
          <x:t xml:space="preserve">СОТР-104</x:t>
        </x:is>
      </x:c>
      <x:c r="K2015" s="31" t="n">
        <x:v>68.8</x:v>
      </x:c>
      <x:c r="L2015" s="31" t="n">
        <x:v>61.5</x:v>
      </x:c>
      <x:c r="M2015" s="31" t="n">
        <x:v>46184</x:v>
      </x:c>
      <x:c r="N2015" s="31" t="n">
        <x:v>46190</x:v>
      </x:c>
      <x:c r="O2015" s="31" t="n">
        <x:v>46184</x:v>
      </x:c>
      <x:c r="P2015" s="31" t="n">
        <x:v>46189</x:v>
      </x:c>
      <x:c r="Q2015" s="31" t="inlineStr">
        <x:is>
          <x:t xml:space="preserve">Завершено</x:t>
        </x:is>
      </x:c>
      <x:c r="R2015" s="31" t="inlineStr">
        <x:is>
          <x:t xml:space="preserve">Нет</x:t>
        </x:is>
      </x:c>
      <x:c r="S2015" s="31" t="inlineStr">
        <x:is>
          <x:t xml:space="preserve">Да</x:t>
        </x:is>
      </x:c>
    </x:row>
    <x:row r="2016">
      <x:c r="A2016" s="31" t="inlineStr">
        <x:is>
          <x:t xml:space="preserve">ОП-002015</x:t>
        </x:is>
      </x:c>
      <x:c r="B2016" s="31" t="inlineStr">
        <x:is>
          <x:t xml:space="preserve">ПЗ-00241</x:t>
        </x:is>
      </x:c>
      <x:c r="C2016" s="31" t="inlineStr">
        <x:is>
          <x:t xml:space="preserve">ЗК-1117</x:t>
        </x:is>
      </x:c>
      <x:c r="D2016" s="31" t="inlineStr">
        <x:is>
          <x:t xml:space="preserve">ПОЗ-0117-3</x:t>
        </x:is>
      </x:c>
      <x:c r="E2016" s="31" t="inlineStr">
        <x:is>
          <x:t xml:space="preserve">ИЗД-026</x:t>
        </x:is>
      </x:c>
      <x:c r="F2016" s="31" t="n">
        <x:v>10</x:v>
      </x:c>
      <x:c r="G2016" s="31" t="inlineStr">
        <x:is>
          <x:t xml:space="preserve">КД</x:t>
        </x:is>
      </x:c>
      <x:c r="H2016" s="31" t="inlineStr">
        <x:is>
          <x:t xml:space="preserve">Инженерный отдел</x:t>
        </x:is>
      </x:c>
      <x:c r="I2016" s="31" t="n"/>
      <x:c r="J2016" s="31" t="inlineStr">
        <x:is>
          <x:t xml:space="preserve">СОТР-019</x:t>
        </x:is>
      </x:c>
      <x:c r="K2016" s="31" t="n">
        <x:v>14.2</x:v>
      </x:c>
      <x:c r="L2016" s="31" t="n">
        <x:v>15.6</x:v>
      </x:c>
      <x:c r="M2016" s="31" t="n">
        <x:v>46160</x:v>
      </x:c>
      <x:c r="N2016" s="31" t="n">
        <x:v>46162</x:v>
      </x:c>
      <x:c r="O2016" s="31" t="n">
        <x:v>46160</x:v>
      </x:c>
      <x:c r="P2016" s="31" t="n">
        <x:v>46163</x:v>
      </x:c>
      <x:c r="Q2016" s="31" t="inlineStr">
        <x:is>
          <x:t xml:space="preserve">Завершено</x:t>
        </x:is>
      </x:c>
      <x:c r="R2016" s="31" t="inlineStr">
        <x:is>
          <x:t xml:space="preserve">Нет</x:t>
        </x:is>
      </x:c>
      <x:c r="S2016" s="31" t="inlineStr">
        <x:is>
          <x:t xml:space="preserve">Нет</x:t>
        </x:is>
      </x:c>
    </x:row>
    <x:row r="2017">
      <x:c r="A2017" s="31" t="inlineStr">
        <x:is>
          <x:t xml:space="preserve">ОП-002016</x:t>
        </x:is>
      </x:c>
      <x:c r="B2017" s="31" t="inlineStr">
        <x:is>
          <x:t xml:space="preserve">ПЗ-00241</x:t>
        </x:is>
      </x:c>
      <x:c r="C2017" s="31" t="inlineStr">
        <x:is>
          <x:t xml:space="preserve">ЗК-1117</x:t>
        </x:is>
      </x:c>
      <x:c r="D2017" s="31" t="inlineStr">
        <x:is>
          <x:t xml:space="preserve">ПОЗ-0117-3</x:t>
        </x:is>
      </x:c>
      <x:c r="E2017" s="31" t="inlineStr">
        <x:is>
          <x:t xml:space="preserve">ИЗД-026</x:t>
        </x:is>
      </x:c>
      <x:c r="F2017" s="31" t="n">
        <x:v>20</x:v>
      </x:c>
      <x:c r="G2017" s="31" t="inlineStr">
        <x:is>
          <x:t xml:space="preserve">Комплектация</x:t>
        </x:is>
      </x:c>
      <x:c r="H2017" s="31" t="inlineStr">
        <x:is>
          <x:t xml:space="preserve">Склад</x:t>
        </x:is>
      </x:c>
      <x:c r="I2017" s="31" t="inlineStr">
        <x:is>
          <x:t xml:space="preserve">ОБ-025</x:t>
        </x:is>
      </x:c>
      <x:c r="J2017" s="31" t="inlineStr">
        <x:is>
          <x:t xml:space="preserve">СОТР-034</x:t>
        </x:is>
      </x:c>
      <x:c r="K2017" s="31" t="n">
        <x:v>11.9</x:v>
      </x:c>
      <x:c r="L2017" s="31" t="n">
        <x:v>11.2</x:v>
      </x:c>
      <x:c r="M2017" s="31" t="n">
        <x:v>46162</x:v>
      </x:c>
      <x:c r="N2017" s="31" t="n">
        <x:v>46163</x:v>
      </x:c>
      <x:c r="O2017" s="31" t="n">
        <x:v>46162</x:v>
      </x:c>
      <x:c r="P2017" s="31" t="n">
        <x:v>46165</x:v>
      </x:c>
      <x:c r="Q2017" s="31" t="inlineStr">
        <x:is>
          <x:t xml:space="preserve">Завершено</x:t>
        </x:is>
      </x:c>
      <x:c r="R2017" s="31" t="inlineStr">
        <x:is>
          <x:t xml:space="preserve">Ожидание ОТК</x:t>
        </x:is>
      </x:c>
      <x:c r="S2017" s="31" t="inlineStr">
        <x:is>
          <x:t xml:space="preserve">Нет</x:t>
        </x:is>
      </x:c>
    </x:row>
    <x:row r="2018">
      <x:c r="A2018" s="31" t="inlineStr">
        <x:is>
          <x:t xml:space="preserve">ОП-002017</x:t>
        </x:is>
      </x:c>
      <x:c r="B2018" s="31" t="inlineStr">
        <x:is>
          <x:t xml:space="preserve">ПЗ-00241</x:t>
        </x:is>
      </x:c>
      <x:c r="C2018" s="31" t="inlineStr">
        <x:is>
          <x:t xml:space="preserve">ЗК-1117</x:t>
        </x:is>
      </x:c>
      <x:c r="D2018" s="31" t="inlineStr">
        <x:is>
          <x:t xml:space="preserve">ПОЗ-0117-3</x:t>
        </x:is>
      </x:c>
      <x:c r="E2018" s="31" t="inlineStr">
        <x:is>
          <x:t xml:space="preserve">ИЗД-026</x:t>
        </x:is>
      </x:c>
      <x:c r="F2018" s="31" t="n">
        <x:v>30</x:v>
      </x:c>
      <x:c r="G2018" s="31" t="inlineStr">
        <x:is>
          <x:t xml:space="preserve">Сборка шкафа</x:t>
        </x:is>
      </x:c>
      <x:c r="H2018" s="31" t="inlineStr">
        <x:is>
          <x:t xml:space="preserve">Сборка</x:t>
        </x:is>
      </x:c>
      <x:c r="I2018" s="31" t="inlineStr">
        <x:is>
          <x:t xml:space="preserve">ОБ-016</x:t>
        </x:is>
      </x:c>
      <x:c r="J2018" s="31" t="inlineStr">
        <x:is>
          <x:t xml:space="preserve">СОТР-090</x:t>
        </x:is>
      </x:c>
      <x:c r="K2018" s="31" t="n">
        <x:v>3.8</x:v>
      </x:c>
      <x:c r="L2018" s="31" t="n">
        <x:v>3.6</x:v>
      </x:c>
      <x:c r="M2018" s="31" t="n">
        <x:v>46163</x:v>
      </x:c>
      <x:c r="N2018" s="31" t="n">
        <x:v>46164</x:v>
      </x:c>
      <x:c r="O2018" s="31" t="n">
        <x:v>46163</x:v>
      </x:c>
      <x:c r="P2018" s="31" t="n">
        <x:v>46165</x:v>
      </x:c>
      <x:c r="Q2018" s="31" t="inlineStr">
        <x:is>
          <x:t xml:space="preserve">Завершено</x:t>
        </x:is>
      </x:c>
      <x:c r="R2018" s="31" t="inlineStr">
        <x:is>
          <x:t xml:space="preserve">Нет</x:t>
        </x:is>
      </x:c>
      <x:c r="S2018" s="31" t="inlineStr">
        <x:is>
          <x:t xml:space="preserve">Нет</x:t>
        </x:is>
      </x:c>
    </x:row>
    <x:row r="2019">
      <x:c r="A2019" s="31" t="inlineStr">
        <x:is>
          <x:t xml:space="preserve">ОП-002018</x:t>
        </x:is>
      </x:c>
      <x:c r="B2019" s="31" t="inlineStr">
        <x:is>
          <x:t xml:space="preserve">ПЗ-00241</x:t>
        </x:is>
      </x:c>
      <x:c r="C2019" s="31" t="inlineStr">
        <x:is>
          <x:t xml:space="preserve">ЗК-1117</x:t>
        </x:is>
      </x:c>
      <x:c r="D2019" s="31" t="inlineStr">
        <x:is>
          <x:t xml:space="preserve">ПОЗ-0117-3</x:t>
        </x:is>
      </x:c>
      <x:c r="E2019" s="31" t="inlineStr">
        <x:is>
          <x:t xml:space="preserve">ИЗД-026</x:t>
        </x:is>
      </x:c>
      <x:c r="F2019" s="31" t="n">
        <x:v>40</x:v>
      </x:c>
      <x:c r="G2019" s="31" t="inlineStr">
        <x:is>
          <x:t xml:space="preserve">Маркировка</x:t>
        </x:is>
      </x:c>
      <x:c r="H2019" s="31" t="inlineStr">
        <x:is>
          <x:t xml:space="preserve">Сборка</x:t>
        </x:is>
      </x:c>
      <x:c r="I2019" s="31" t="inlineStr">
        <x:is>
          <x:t xml:space="preserve">ОБ-002</x:t>
        </x:is>
      </x:c>
      <x:c r="J2019" s="31" t="inlineStr">
        <x:is>
          <x:t xml:space="preserve">СОТР-032</x:t>
        </x:is>
      </x:c>
      <x:c r="K2019" s="31" t="n">
        <x:v>18.6</x:v>
      </x:c>
      <x:c r="L2019" s="31" t="n">
        <x:v>23.4</x:v>
      </x:c>
      <x:c r="M2019" s="31" t="n">
        <x:v>46164</x:v>
      </x:c>
      <x:c r="N2019" s="31" t="n">
        <x:v>46166</x:v>
      </x:c>
      <x:c r="O2019" s="31" t="n">
        <x:v>46164</x:v>
      </x:c>
      <x:c r="P2019" s="31" t="n">
        <x:v>46168</x:v>
      </x:c>
      <x:c r="Q2019" s="31" t="inlineStr">
        <x:is>
          <x:t xml:space="preserve">Завершено</x:t>
        </x:is>
      </x:c>
      <x:c r="R2019" s="31" t="inlineStr">
        <x:is>
          <x:t xml:space="preserve">Нет</x:t>
        </x:is>
      </x:c>
      <x:c r="S2019" s="31" t="inlineStr">
        <x:is>
          <x:t xml:space="preserve">Нет</x:t>
        </x:is>
      </x:c>
    </x:row>
    <x:row r="2020">
      <x:c r="A2020" s="31" t="inlineStr">
        <x:is>
          <x:t xml:space="preserve">ОП-002019</x:t>
        </x:is>
      </x:c>
      <x:c r="B2020" s="31" t="inlineStr">
        <x:is>
          <x:t xml:space="preserve">ПЗ-00241</x:t>
        </x:is>
      </x:c>
      <x:c r="C2020" s="31" t="inlineStr">
        <x:is>
          <x:t xml:space="preserve">ЗК-1117</x:t>
        </x:is>
      </x:c>
      <x:c r="D2020" s="31" t="inlineStr">
        <x:is>
          <x:t xml:space="preserve">ПОЗ-0117-3</x:t>
        </x:is>
      </x:c>
      <x:c r="E2020" s="31" t="inlineStr">
        <x:is>
          <x:t xml:space="preserve">ИЗД-026</x:t>
        </x:is>
      </x:c>
      <x:c r="F2020" s="31" t="n">
        <x:v>50</x:v>
      </x:c>
      <x:c r="G2020" s="31" t="inlineStr">
        <x:is>
          <x:t xml:space="preserve">Электромонтаж</x:t>
        </x:is>
      </x:c>
      <x:c r="H2020" s="31" t="inlineStr">
        <x:is>
          <x:t xml:space="preserve">Сборка</x:t>
        </x:is>
      </x:c>
      <x:c r="I2020" s="31" t="inlineStr">
        <x:is>
          <x:t xml:space="preserve">ОБ-016</x:t>
        </x:is>
      </x:c>
      <x:c r="J2020" s="31" t="inlineStr">
        <x:is>
          <x:t xml:space="preserve">СОТР-075</x:t>
        </x:is>
      </x:c>
      <x:c r="K2020" s="31" t="n">
        <x:v>7.9</x:v>
      </x:c>
      <x:c r="L2020" s="31" t="n">
        <x:v>8.300000000000001</x:v>
      </x:c>
      <x:c r="M2020" s="31" t="n">
        <x:v>46166</x:v>
      </x:c>
      <x:c r="N2020" s="31" t="n">
        <x:v>46167</x:v>
      </x:c>
      <x:c r="O2020" s="31" t="n">
        <x:v>46166</x:v>
      </x:c>
      <x:c r="P2020" s="31" t="n">
        <x:v>46166</x:v>
      </x:c>
      <x:c r="Q2020" s="31" t="inlineStr">
        <x:is>
          <x:t xml:space="preserve">Завершено</x:t>
        </x:is>
      </x:c>
      <x:c r="R2020" s="31" t="inlineStr">
        <x:is>
          <x:t xml:space="preserve">Нет</x:t>
        </x:is>
      </x:c>
      <x:c r="S2020" s="31" t="inlineStr">
        <x:is>
          <x:t xml:space="preserve">Нет</x:t>
        </x:is>
      </x:c>
    </x:row>
    <x:row r="2021">
      <x:c r="A2021" s="31" t="inlineStr">
        <x:is>
          <x:t xml:space="preserve">ОП-002020</x:t>
        </x:is>
      </x:c>
      <x:c r="B2021" s="31" t="inlineStr">
        <x:is>
          <x:t xml:space="preserve">ПЗ-00241</x:t>
        </x:is>
      </x:c>
      <x:c r="C2021" s="31" t="inlineStr">
        <x:is>
          <x:t xml:space="preserve">ЗК-1117</x:t>
        </x:is>
      </x:c>
      <x:c r="D2021" s="31" t="inlineStr">
        <x:is>
          <x:t xml:space="preserve">ПОЗ-0117-3</x:t>
        </x:is>
      </x:c>
      <x:c r="E2021" s="31" t="inlineStr">
        <x:is>
          <x:t xml:space="preserve">ИЗД-026</x:t>
        </x:is>
      </x:c>
      <x:c r="F2021" s="31" t="n">
        <x:v>60</x:v>
      </x:c>
      <x:c r="G2021" s="31" t="inlineStr">
        <x:is>
          <x:t xml:space="preserve">Программирование ПЛК</x:t>
        </x:is>
      </x:c>
      <x:c r="H2021" s="31" t="inlineStr">
        <x:is>
          <x:t xml:space="preserve">Инженерный отдел</x:t>
        </x:is>
      </x:c>
      <x:c r="I2021" s="31" t="n"/>
      <x:c r="J2021" s="31" t="inlineStr">
        <x:is>
          <x:t xml:space="preserve">СОТР-021</x:t>
        </x:is>
      </x:c>
      <x:c r="K2021" s="31" t="n">
        <x:v>14</x:v>
      </x:c>
      <x:c r="L2021" s="31" t="n">
        <x:v>11.9</x:v>
      </x:c>
      <x:c r="M2021" s="31" t="n">
        <x:v>46167</x:v>
      </x:c>
      <x:c r="N2021" s="31" t="n">
        <x:v>46169</x:v>
      </x:c>
      <x:c r="O2021" s="31" t="n">
        <x:v>46167</x:v>
      </x:c>
      <x:c r="P2021" s="31" t="n">
        <x:v>46170</x:v>
      </x:c>
      <x:c r="Q2021" s="31" t="inlineStr">
        <x:is>
          <x:t xml:space="preserve">Завершено</x:t>
        </x:is>
      </x:c>
      <x:c r="R2021" s="31" t="inlineStr">
        <x:is>
          <x:t xml:space="preserve">Нет</x:t>
        </x:is>
      </x:c>
      <x:c r="S2021" s="31" t="inlineStr">
        <x:is>
          <x:t xml:space="preserve">Нет</x:t>
        </x:is>
      </x:c>
    </x:row>
    <x:row r="2022">
      <x:c r="A2022" s="31" t="inlineStr">
        <x:is>
          <x:t xml:space="preserve">ОП-002021</x:t>
        </x:is>
      </x:c>
      <x:c r="B2022" s="31" t="inlineStr">
        <x:is>
          <x:t xml:space="preserve">ПЗ-00241</x:t>
        </x:is>
      </x:c>
      <x:c r="C2022" s="31" t="inlineStr">
        <x:is>
          <x:t xml:space="preserve">ЗК-1117</x:t>
        </x:is>
      </x:c>
      <x:c r="D2022" s="31" t="inlineStr">
        <x:is>
          <x:t xml:space="preserve">ПОЗ-0117-3</x:t>
        </x:is>
      </x:c>
      <x:c r="E2022" s="31" t="inlineStr">
        <x:is>
          <x:t xml:space="preserve">ИЗД-026</x:t>
        </x:is>
      </x:c>
      <x:c r="F2022" s="31" t="n">
        <x:v>70</x:v>
      </x:c>
      <x:c r="G2022" s="31" t="inlineStr">
        <x:is>
          <x:t xml:space="preserve">Приемочные испытания</x:t>
        </x:is>
      </x:c>
      <x:c r="H2022" s="31" t="inlineStr">
        <x:is>
          <x:t xml:space="preserve">ОТК</x:t>
        </x:is>
      </x:c>
      <x:c r="I2022" s="31" t="inlineStr">
        <x:is>
          <x:t xml:space="preserve">ОБ-024</x:t>
        </x:is>
      </x:c>
      <x:c r="J2022" s="31" t="inlineStr">
        <x:is>
          <x:t xml:space="preserve">СОТР-097</x:t>
        </x:is>
      </x:c>
      <x:c r="K2022" s="31" t="n">
        <x:v>8.300000000000001</x:v>
      </x:c>
      <x:c r="L2022" s="31" t="n">
        <x:v>9.699999999999999</x:v>
      </x:c>
      <x:c r="M2022" s="31" t="n">
        <x:v>46169</x:v>
      </x:c>
      <x:c r="N2022" s="31" t="n">
        <x:v>46170</x:v>
      </x:c>
      <x:c r="O2022" s="31" t="n">
        <x:v>46169</x:v>
      </x:c>
      <x:c r="P2022" s="31" t="n">
        <x:v>46170</x:v>
      </x:c>
      <x:c r="Q2022" s="31" t="inlineStr">
        <x:is>
          <x:t xml:space="preserve">Завершено</x:t>
        </x:is>
      </x:c>
      <x:c r="R2022" s="31" t="inlineStr">
        <x:is>
          <x:t xml:space="preserve">Нет</x:t>
        </x:is>
      </x:c>
      <x:c r="S2022" s="31" t="inlineStr">
        <x:is>
          <x:t xml:space="preserve">Нет</x:t>
        </x:is>
      </x:c>
    </x:row>
    <x:row r="2023">
      <x:c r="A2023" s="31" t="inlineStr">
        <x:is>
          <x:t xml:space="preserve">ОП-002022</x:t>
        </x:is>
      </x:c>
      <x:c r="B2023" s="31" t="inlineStr">
        <x:is>
          <x:t xml:space="preserve">ПЗ-00241</x:t>
        </x:is>
      </x:c>
      <x:c r="C2023" s="31" t="inlineStr">
        <x:is>
          <x:t xml:space="preserve">ЗК-1117</x:t>
        </x:is>
      </x:c>
      <x:c r="D2023" s="31" t="inlineStr">
        <x:is>
          <x:t xml:space="preserve">ПОЗ-0117-3</x:t>
        </x:is>
      </x:c>
      <x:c r="E2023" s="31" t="inlineStr">
        <x:is>
          <x:t xml:space="preserve">ИЗД-026</x:t>
        </x:is>
      </x:c>
      <x:c r="F2023" s="31" t="n">
        <x:v>80</x:v>
      </x:c>
      <x:c r="G2023" s="31" t="inlineStr">
        <x:is>
          <x:t xml:space="preserve">ОТК</x:t>
        </x:is>
      </x:c>
      <x:c r="H2023" s="31" t="inlineStr">
        <x:is>
          <x:t xml:space="preserve">ОТК</x:t>
        </x:is>
      </x:c>
      <x:c r="I2023" s="31" t="inlineStr">
        <x:is>
          <x:t xml:space="preserve">ОБ-007</x:t>
        </x:is>
      </x:c>
      <x:c r="J2023" s="31" t="inlineStr">
        <x:is>
          <x:t xml:space="preserve">СОТР-100</x:t>
        </x:is>
      </x:c>
      <x:c r="K2023" s="31" t="n">
        <x:v>4.7</x:v>
      </x:c>
      <x:c r="L2023" s="31" t="n">
        <x:v>5.1</x:v>
      </x:c>
      <x:c r="M2023" s="31" t="n">
        <x:v>46170</x:v>
      </x:c>
      <x:c r="N2023" s="31" t="n">
        <x:v>46171</x:v>
      </x:c>
      <x:c r="O2023" s="31" t="n">
        <x:v>46170</x:v>
      </x:c>
      <x:c r="P2023" s="31" t="n">
        <x:v>46171</x:v>
      </x:c>
      <x:c r="Q2023" s="31" t="inlineStr">
        <x:is>
          <x:t xml:space="preserve">Завершено</x:t>
        </x:is>
      </x:c>
      <x:c r="R2023" s="31" t="inlineStr">
        <x:is>
          <x:t xml:space="preserve">Нет</x:t>
        </x:is>
      </x:c>
      <x:c r="S2023" s="31" t="inlineStr">
        <x:is>
          <x:t xml:space="preserve">Нет</x:t>
        </x:is>
      </x:c>
    </x:row>
    <x:row r="2024">
      <x:c r="A2024" s="31" t="inlineStr">
        <x:is>
          <x:t xml:space="preserve">ОП-002023</x:t>
        </x:is>
      </x:c>
      <x:c r="B2024" s="31" t="inlineStr">
        <x:is>
          <x:t xml:space="preserve">ПЗ-00241</x:t>
        </x:is>
      </x:c>
      <x:c r="C2024" s="31" t="inlineStr">
        <x:is>
          <x:t xml:space="preserve">ЗК-1117</x:t>
        </x:is>
      </x:c>
      <x:c r="D2024" s="31" t="inlineStr">
        <x:is>
          <x:t xml:space="preserve">ПОЗ-0117-3</x:t>
        </x:is>
      </x:c>
      <x:c r="E2024" s="31" t="inlineStr">
        <x:is>
          <x:t xml:space="preserve">ИЗД-026</x:t>
        </x:is>
      </x:c>
      <x:c r="F2024" s="31" t="n">
        <x:v>90</x:v>
      </x:c>
      <x:c r="G2024" s="31" t="inlineStr">
        <x:is>
          <x:t xml:space="preserve">Упаковка</x:t>
        </x:is>
      </x:c>
      <x:c r="H2024" s="31" t="inlineStr">
        <x:is>
          <x:t xml:space="preserve">Логистика</x:t>
        </x:is>
      </x:c>
      <x:c r="I2024" s="31" t="n"/>
      <x:c r="J2024" s="31" t="inlineStr">
        <x:is>
          <x:t xml:space="preserve">СОТР-105</x:t>
        </x:is>
      </x:c>
      <x:c r="K2024" s="31" t="n">
        <x:v>17.9</x:v>
      </x:c>
      <x:c r="L2024" s="31" t="n">
        <x:v>17</x:v>
      </x:c>
      <x:c r="M2024" s="31" t="n">
        <x:v>46171</x:v>
      </x:c>
      <x:c r="N2024" s="31" t="n">
        <x:v>46173</x:v>
      </x:c>
      <x:c r="O2024" s="31" t="n">
        <x:v>46171</x:v>
      </x:c>
      <x:c r="P2024" s="31" t="n">
        <x:v>46175</x:v>
      </x:c>
      <x:c r="Q2024" s="31" t="inlineStr">
        <x:is>
          <x:t xml:space="preserve">Завершено</x:t>
        </x:is>
      </x:c>
      <x:c r="R2024" s="31" t="inlineStr">
        <x:is>
          <x:t xml:space="preserve">Нет</x:t>
        </x:is>
      </x:c>
      <x:c r="S2024" s="31" t="inlineStr">
        <x:is>
          <x:t xml:space="preserve">Нет</x:t>
        </x:is>
      </x:c>
    </x:row>
    <x:row r="2025">
      <x:c r="A2025" s="31" t="inlineStr">
        <x:is>
          <x:t xml:space="preserve">ОП-002024</x:t>
        </x:is>
      </x:c>
      <x:c r="B2025" s="31" t="inlineStr">
        <x:is>
          <x:t xml:space="preserve">ПЗ-00242</x:t>
        </x:is>
      </x:c>
      <x:c r="C2025" s="31" t="inlineStr">
        <x:is>
          <x:t xml:space="preserve">ЗК-1117</x:t>
        </x:is>
      </x:c>
      <x:c r="D2025" s="31" t="inlineStr">
        <x:is>
          <x:t xml:space="preserve">ПОЗ-0117-4</x:t>
        </x:is>
      </x:c>
      <x:c r="E2025" s="31" t="inlineStr">
        <x:is>
          <x:t xml:space="preserve">ИЗД-029</x:t>
        </x:is>
      </x:c>
      <x:c r="F2025" s="31" t="n">
        <x:v>10</x:v>
      </x:c>
      <x:c r="G2025" s="31" t="inlineStr">
        <x:is>
          <x:t xml:space="preserve">КД</x:t>
        </x:is>
      </x:c>
      <x:c r="H2025" s="31" t="inlineStr">
        <x:is>
          <x:t xml:space="preserve">Инженерный отдел</x:t>
        </x:is>
      </x:c>
      <x:c r="I2025" s="31" t="n"/>
      <x:c r="J2025" s="31" t="inlineStr">
        <x:is>
          <x:t xml:space="preserve">СОТР-020</x:t>
        </x:is>
      </x:c>
      <x:c r="K2025" s="31" t="n">
        <x:v>24.2</x:v>
      </x:c>
      <x:c r="L2025" s="31" t="n">
        <x:v>20.7</x:v>
      </x:c>
      <x:c r="M2025" s="31" t="n">
        <x:v>46159</x:v>
      </x:c>
      <x:c r="N2025" s="31" t="n">
        <x:v>46162</x:v>
      </x:c>
      <x:c r="O2025" s="31" t="n">
        <x:v>46159</x:v>
      </x:c>
      <x:c r="P2025" s="31" t="n">
        <x:v>46164</x:v>
      </x:c>
      <x:c r="Q2025" s="31" t="inlineStr">
        <x:is>
          <x:t xml:space="preserve">Завершено</x:t>
        </x:is>
      </x:c>
      <x:c r="R2025" s="31" t="inlineStr">
        <x:is>
          <x:t xml:space="preserve">Материал</x:t>
        </x:is>
      </x:c>
      <x:c r="S2025" s="31" t="inlineStr">
        <x:is>
          <x:t xml:space="preserve">Нет</x:t>
        </x:is>
      </x:c>
    </x:row>
    <x:row r="2026">
      <x:c r="A2026" s="31" t="inlineStr">
        <x:is>
          <x:t xml:space="preserve">ОП-002025</x:t>
        </x:is>
      </x:c>
      <x:c r="B2026" s="31" t="inlineStr">
        <x:is>
          <x:t xml:space="preserve">ПЗ-00242</x:t>
        </x:is>
      </x:c>
      <x:c r="C2026" s="31" t="inlineStr">
        <x:is>
          <x:t xml:space="preserve">ЗК-1117</x:t>
        </x:is>
      </x:c>
      <x:c r="D2026" s="31" t="inlineStr">
        <x:is>
          <x:t xml:space="preserve">ПОЗ-0117-4</x:t>
        </x:is>
      </x:c>
      <x:c r="E2026" s="31" t="inlineStr">
        <x:is>
          <x:t xml:space="preserve">ИЗД-029</x:t>
        </x:is>
      </x:c>
      <x:c r="F2026" s="31" t="n">
        <x:v>20</x:v>
      </x:c>
      <x:c r="G2026" s="31" t="inlineStr">
        <x:is>
          <x:t xml:space="preserve">Резерв материалов</x:t>
        </x:is>
      </x:c>
      <x:c r="H2026" s="31" t="inlineStr">
        <x:is>
          <x:t xml:space="preserve">Склад</x:t>
        </x:is>
      </x:c>
      <x:c r="I2026" s="31" t="inlineStr">
        <x:is>
          <x:t xml:space="preserve">ОБ-023</x:t>
        </x:is>
      </x:c>
      <x:c r="J2026" s="31" t="inlineStr">
        <x:is>
          <x:t xml:space="preserve">СОТР-034</x:t>
        </x:is>
      </x:c>
      <x:c r="K2026" s="31" t="n">
        <x:v>12.4</x:v>
      </x:c>
      <x:c r="L2026" s="31" t="n">
        <x:v>14.9</x:v>
      </x:c>
      <x:c r="M2026" s="31" t="n">
        <x:v>46162</x:v>
      </x:c>
      <x:c r="N2026" s="31" t="n">
        <x:v>46164</x:v>
      </x:c>
      <x:c r="O2026" s="31" t="n">
        <x:v>46162</x:v>
      </x:c>
      <x:c r="P2026" s="31" t="n">
        <x:v>46164</x:v>
      </x:c>
      <x:c r="Q2026" s="31" t="inlineStr">
        <x:is>
          <x:t xml:space="preserve">Завершено</x:t>
        </x:is>
      </x:c>
      <x:c r="R2026" s="31" t="inlineStr">
        <x:is>
          <x:t xml:space="preserve">Материал</x:t>
        </x:is>
      </x:c>
      <x:c r="S2026" s="31" t="inlineStr">
        <x:is>
          <x:t xml:space="preserve">Нет</x:t>
        </x:is>
      </x:c>
    </x:row>
    <x:row r="2027">
      <x:c r="A2027" s="31" t="inlineStr">
        <x:is>
          <x:t xml:space="preserve">ОП-002026</x:t>
        </x:is>
      </x:c>
      <x:c r="B2027" s="31" t="inlineStr">
        <x:is>
          <x:t xml:space="preserve">ПЗ-00242</x:t>
        </x:is>
      </x:c>
      <x:c r="C2027" s="31" t="inlineStr">
        <x:is>
          <x:t xml:space="preserve">ЗК-1117</x:t>
        </x:is>
      </x:c>
      <x:c r="D2027" s="31" t="inlineStr">
        <x:is>
          <x:t xml:space="preserve">ПОЗ-0117-4</x:t>
        </x:is>
      </x:c>
      <x:c r="E2027" s="31" t="inlineStr">
        <x:is>
          <x:t xml:space="preserve">ИЗД-029</x:t>
        </x:is>
      </x:c>
      <x:c r="F2027" s="31" t="n">
        <x:v>30</x:v>
      </x:c>
      <x:c r="G2027" s="31" t="inlineStr">
        <x:is>
          <x:t xml:space="preserve">Резка металла</x:t>
        </x:is>
      </x:c>
      <x:c r="H2027" s="31" t="inlineStr">
        <x:is>
          <x:t xml:space="preserve">Сварка</x:t>
        </x:is>
      </x:c>
      <x:c r="I2027" s="31" t="inlineStr">
        <x:is>
          <x:t xml:space="preserve">ОБ-019</x:t>
        </x:is>
      </x:c>
      <x:c r="J2027" s="31" t="inlineStr">
        <x:is>
          <x:t xml:space="preserve">СОТР-066</x:t>
        </x:is>
      </x:c>
      <x:c r="K2027" s="31" t="n">
        <x:v>26.4</x:v>
      </x:c>
      <x:c r="L2027" s="31" t="n">
        <x:v>28.2</x:v>
      </x:c>
      <x:c r="M2027" s="31" t="n">
        <x:v>46164</x:v>
      </x:c>
      <x:c r="N2027" s="31" t="n">
        <x:v>46167</x:v>
      </x:c>
      <x:c r="O2027" s="31" t="n">
        <x:v>46164</x:v>
      </x:c>
      <x:c r="P2027" s="31" t="n">
        <x:v>46166</x:v>
      </x:c>
      <x:c r="Q2027" s="31" t="inlineStr">
        <x:is>
          <x:t xml:space="preserve">Завершено</x:t>
        </x:is>
      </x:c>
      <x:c r="R2027" s="31" t="inlineStr">
        <x:is>
          <x:t xml:space="preserve">Ожидание ОТК</x:t>
        </x:is>
      </x:c>
      <x:c r="S2027" s="31" t="inlineStr">
        <x:is>
          <x:t xml:space="preserve">Нет</x:t>
        </x:is>
      </x:c>
    </x:row>
    <x:row r="2028">
      <x:c r="A2028" s="31" t="inlineStr">
        <x:is>
          <x:t xml:space="preserve">ОП-002027</x:t>
        </x:is>
      </x:c>
      <x:c r="B2028" s="31" t="inlineStr">
        <x:is>
          <x:t xml:space="preserve">ПЗ-00242</x:t>
        </x:is>
      </x:c>
      <x:c r="C2028" s="31" t="inlineStr">
        <x:is>
          <x:t xml:space="preserve">ЗК-1117</x:t>
        </x:is>
      </x:c>
      <x:c r="D2028" s="31" t="inlineStr">
        <x:is>
          <x:t xml:space="preserve">ПОЗ-0117-4</x:t>
        </x:is>
      </x:c>
      <x:c r="E2028" s="31" t="inlineStr">
        <x:is>
          <x:t xml:space="preserve">ИЗД-029</x:t>
        </x:is>
      </x:c>
      <x:c r="F2028" s="31" t="n">
        <x:v>40</x:v>
      </x:c>
      <x:c r="G2028" s="31" t="inlineStr">
        <x:is>
          <x:t xml:space="preserve">Сварка рамы</x:t>
        </x:is>
      </x:c>
      <x:c r="H2028" s="31" t="inlineStr">
        <x:is>
          <x:t xml:space="preserve">Сварка</x:t>
        </x:is>
      </x:c>
      <x:c r="I2028" s="31" t="inlineStr">
        <x:is>
          <x:t xml:space="preserve">ОБ-004</x:t>
        </x:is>
      </x:c>
      <x:c r="J2028" s="31" t="inlineStr">
        <x:is>
          <x:t xml:space="preserve">СОТР-060</x:t>
        </x:is>
      </x:c>
      <x:c r="K2028" s="31" t="n">
        <x:v>13.2</x:v>
      </x:c>
      <x:c r="L2028" s="31" t="n">
        <x:v>13.1</x:v>
      </x:c>
      <x:c r="M2028" s="31" t="n">
        <x:v>46167</x:v>
      </x:c>
      <x:c r="N2028" s="31" t="n">
        <x:v>46169</x:v>
      </x:c>
      <x:c r="O2028" s="31" t="n">
        <x:v>46167</x:v>
      </x:c>
      <x:c r="P2028" s="31" t="n">
        <x:v>46168</x:v>
      </x:c>
      <x:c r="Q2028" s="31" t="inlineStr">
        <x:is>
          <x:t xml:space="preserve">Завершено</x:t>
        </x:is>
      </x:c>
      <x:c r="R2028" s="31" t="inlineStr">
        <x:is>
          <x:t xml:space="preserve">Нет</x:t>
        </x:is>
      </x:c>
      <x:c r="S2028" s="31" t="inlineStr">
        <x:is>
          <x:t xml:space="preserve">Нет</x:t>
        </x:is>
      </x:c>
    </x:row>
    <x:row r="2029">
      <x:c r="A2029" s="31" t="inlineStr">
        <x:is>
          <x:t xml:space="preserve">ОП-002028</x:t>
        </x:is>
      </x:c>
      <x:c r="B2029" s="31" t="inlineStr">
        <x:is>
          <x:t xml:space="preserve">ПЗ-00242</x:t>
        </x:is>
      </x:c>
      <x:c r="C2029" s="31" t="inlineStr">
        <x:is>
          <x:t xml:space="preserve">ЗК-1117</x:t>
        </x:is>
      </x:c>
      <x:c r="D2029" s="31" t="inlineStr">
        <x:is>
          <x:t xml:space="preserve">ПОЗ-0117-4</x:t>
        </x:is>
      </x:c>
      <x:c r="E2029" s="31" t="inlineStr">
        <x:is>
          <x:t xml:space="preserve">ИЗД-029</x:t>
        </x:is>
      </x:c>
      <x:c r="F2029" s="31" t="n">
        <x:v>50</x:v>
      </x:c>
      <x:c r="G2029" s="31" t="inlineStr">
        <x:is>
          <x:t xml:space="preserve">Механообработка</x:t>
        </x:is>
      </x:c>
      <x:c r="H2029" s="31" t="inlineStr">
        <x:is>
          <x:t xml:space="preserve">Механообработка</x:t>
        </x:is>
      </x:c>
      <x:c r="I2029" s="31" t="inlineStr">
        <x:is>
          <x:t xml:space="preserve">ОБ-030</x:t>
        </x:is>
      </x:c>
      <x:c r="J2029" s="31" t="inlineStr">
        <x:is>
          <x:t xml:space="preserve">СОТР-042</x:t>
        </x:is>
      </x:c>
      <x:c r="K2029" s="31" t="n">
        <x:v>30.8</x:v>
      </x:c>
      <x:c r="L2029" s="31" t="n">
        <x:v>35.9</x:v>
      </x:c>
      <x:c r="M2029" s="31" t="n">
        <x:v>46169</x:v>
      </x:c>
      <x:c r="N2029" s="31" t="n">
        <x:v>46172</x:v>
      </x:c>
      <x:c r="O2029" s="31" t="n">
        <x:v>46169</x:v>
      </x:c>
      <x:c r="P2029" s="31" t="n">
        <x:v>46171</x:v>
      </x:c>
      <x:c r="Q2029" s="31" t="inlineStr">
        <x:is>
          <x:t xml:space="preserve">Завершено</x:t>
        </x:is>
      </x:c>
      <x:c r="R2029" s="31" t="inlineStr">
        <x:is>
          <x:t xml:space="preserve">Нет</x:t>
        </x:is>
      </x:c>
      <x:c r="S2029" s="31" t="inlineStr">
        <x:is>
          <x:t xml:space="preserve">Да</x:t>
        </x:is>
      </x:c>
    </x:row>
    <x:row r="2030">
      <x:c r="A2030" s="31" t="inlineStr">
        <x:is>
          <x:t xml:space="preserve">ОП-002029</x:t>
        </x:is>
      </x:c>
      <x:c r="B2030" s="31" t="inlineStr">
        <x:is>
          <x:t xml:space="preserve">ПЗ-00242</x:t>
        </x:is>
      </x:c>
      <x:c r="C2030" s="31" t="inlineStr">
        <x:is>
          <x:t xml:space="preserve">ЗК-1117</x:t>
        </x:is>
      </x:c>
      <x:c r="D2030" s="31" t="inlineStr">
        <x:is>
          <x:t xml:space="preserve">ПОЗ-0117-4</x:t>
        </x:is>
      </x:c>
      <x:c r="E2030" s="31" t="inlineStr">
        <x:is>
          <x:t xml:space="preserve">ИЗД-029</x:t>
        </x:is>
      </x:c>
      <x:c r="F2030" s="31" t="n">
        <x:v>60</x:v>
      </x:c>
      <x:c r="G2030" s="31" t="inlineStr">
        <x:is>
          <x:t xml:space="preserve">Сборка</x:t>
        </x:is>
      </x:c>
      <x:c r="H2030" s="31" t="inlineStr">
        <x:is>
          <x:t xml:space="preserve">Сборка</x:t>
        </x:is>
      </x:c>
      <x:c r="I2030" s="31" t="inlineStr">
        <x:is>
          <x:t xml:space="preserve">ОБ-002</x:t>
        </x:is>
      </x:c>
      <x:c r="J2030" s="31" t="inlineStr">
        <x:is>
          <x:t xml:space="preserve">СОТР-081</x:t>
        </x:is>
      </x:c>
      <x:c r="K2030" s="31" t="n">
        <x:v>33.4</x:v>
      </x:c>
      <x:c r="L2030" s="31" t="n">
        <x:v>35.1</x:v>
      </x:c>
      <x:c r="M2030" s="31" t="n">
        <x:v>46172</x:v>
      </x:c>
      <x:c r="N2030" s="31" t="n">
        <x:v>46175</x:v>
      </x:c>
      <x:c r="O2030" s="31" t="n">
        <x:v>46172</x:v>
      </x:c>
      <x:c r="P2030" s="31" t="n">
        <x:v>46177</x:v>
      </x:c>
      <x:c r="Q2030" s="31" t="inlineStr">
        <x:is>
          <x:t xml:space="preserve">Завершено</x:t>
        </x:is>
      </x:c>
      <x:c r="R2030" s="31" t="inlineStr">
        <x:is>
          <x:t xml:space="preserve">Нет</x:t>
        </x:is>
      </x:c>
      <x:c r="S2030" s="31" t="inlineStr">
        <x:is>
          <x:t xml:space="preserve">Нет</x:t>
        </x:is>
      </x:c>
    </x:row>
    <x:row r="2031">
      <x:c r="A2031" s="31" t="inlineStr">
        <x:is>
          <x:t xml:space="preserve">ОП-002030</x:t>
        </x:is>
      </x:c>
      <x:c r="B2031" s="31" t="inlineStr">
        <x:is>
          <x:t xml:space="preserve">ПЗ-00242</x:t>
        </x:is>
      </x:c>
      <x:c r="C2031" s="31" t="inlineStr">
        <x:is>
          <x:t xml:space="preserve">ЗК-1117</x:t>
        </x:is>
      </x:c>
      <x:c r="D2031" s="31" t="inlineStr">
        <x:is>
          <x:t xml:space="preserve">ПОЗ-0117-4</x:t>
        </x:is>
      </x:c>
      <x:c r="E2031" s="31" t="inlineStr">
        <x:is>
          <x:t xml:space="preserve">ИЗД-029</x:t>
        </x:is>
      </x:c>
      <x:c r="F2031" s="31" t="n">
        <x:v>70</x:v>
      </x:c>
      <x:c r="G2031" s="31" t="inlineStr">
        <x:is>
          <x:t xml:space="preserve">Обвязка труб</x:t>
        </x:is>
      </x:c>
      <x:c r="H2031" s="31" t="inlineStr">
        <x:is>
          <x:t xml:space="preserve">Сборка</x:t>
        </x:is>
      </x:c>
      <x:c r="I2031" s="31" t="inlineStr">
        <x:is>
          <x:t xml:space="preserve">ОБ-012</x:t>
        </x:is>
      </x:c>
      <x:c r="J2031" s="31" t="inlineStr">
        <x:is>
          <x:t xml:space="preserve">СОТР-081</x:t>
        </x:is>
      </x:c>
      <x:c r="K2031" s="31" t="n">
        <x:v>35.2</x:v>
      </x:c>
      <x:c r="L2031" s="31" t="n">
        <x:v>41</x:v>
      </x:c>
      <x:c r="M2031" s="31" t="n">
        <x:v>46175</x:v>
      </x:c>
      <x:c r="N2031" s="31" t="n">
        <x:v>46178</x:v>
      </x:c>
      <x:c r="O2031" s="31" t="n">
        <x:v>46175</x:v>
      </x:c>
      <x:c r="P2031" s="31" t="n">
        <x:v>46178</x:v>
      </x:c>
      <x:c r="Q2031" s="31" t="inlineStr">
        <x:is>
          <x:t xml:space="preserve">Завершено</x:t>
        </x:is>
      </x:c>
      <x:c r="R2031" s="31" t="inlineStr">
        <x:is>
          <x:t xml:space="preserve">Нет</x:t>
        </x:is>
      </x:c>
      <x:c r="S2031" s="31" t="inlineStr">
        <x:is>
          <x:t xml:space="preserve">Нет</x:t>
        </x:is>
      </x:c>
    </x:row>
    <x:row r="2032">
      <x:c r="A2032" s="31" t="inlineStr">
        <x:is>
          <x:t xml:space="preserve">ОП-002031</x:t>
        </x:is>
      </x:c>
      <x:c r="B2032" s="31" t="inlineStr">
        <x:is>
          <x:t xml:space="preserve">ПЗ-00242</x:t>
        </x:is>
      </x:c>
      <x:c r="C2032" s="31" t="inlineStr">
        <x:is>
          <x:t xml:space="preserve">ЗК-1117</x:t>
        </x:is>
      </x:c>
      <x:c r="D2032" s="31" t="inlineStr">
        <x:is>
          <x:t xml:space="preserve">ПОЗ-0117-4</x:t>
        </x:is>
      </x:c>
      <x:c r="E2032" s="31" t="inlineStr">
        <x:is>
          <x:t xml:space="preserve">ИЗД-029</x:t>
        </x:is>
      </x:c>
      <x:c r="F2032" s="31" t="n">
        <x:v>80</x:v>
      </x:c>
      <x:c r="G2032" s="31" t="inlineStr">
        <x:is>
          <x:t xml:space="preserve">Электромонтаж</x:t>
        </x:is>
      </x:c>
      <x:c r="H2032" s="31" t="inlineStr">
        <x:is>
          <x:t xml:space="preserve">Сборка</x:t>
        </x:is>
      </x:c>
      <x:c r="I2032" s="31" t="inlineStr">
        <x:is>
          <x:t xml:space="preserve">ОБ-014</x:t>
        </x:is>
      </x:c>
      <x:c r="J2032" s="31" t="inlineStr">
        <x:is>
          <x:t xml:space="preserve">СОТР-090</x:t>
        </x:is>
      </x:c>
      <x:c r="K2032" s="31" t="n">
        <x:v>9.4</x:v>
      </x:c>
      <x:c r="L2032" s="31" t="n">
        <x:v>8.4</x:v>
      </x:c>
      <x:c r="M2032" s="31" t="n">
        <x:v>46178</x:v>
      </x:c>
      <x:c r="N2032" s="31" t="n">
        <x:v>46179</x:v>
      </x:c>
      <x:c r="O2032" s="31" t="n">
        <x:v>46178</x:v>
      </x:c>
      <x:c r="P2032" s="31" t="n">
        <x:v>46179</x:v>
      </x:c>
      <x:c r="Q2032" s="31" t="inlineStr">
        <x:is>
          <x:t xml:space="preserve">Завершено</x:t>
        </x:is>
      </x:c>
      <x:c r="R2032" s="31" t="inlineStr">
        <x:is>
          <x:t xml:space="preserve">Ожидание ОТК</x:t>
        </x:is>
      </x:c>
      <x:c r="S2032" s="31" t="inlineStr">
        <x:is>
          <x:t xml:space="preserve">Нет</x:t>
        </x:is>
      </x:c>
    </x:row>
    <x:row r="2033">
      <x:c r="A2033" s="31" t="inlineStr">
        <x:is>
          <x:t xml:space="preserve">ОП-002032</x:t>
        </x:is>
      </x:c>
      <x:c r="B2033" s="31" t="inlineStr">
        <x:is>
          <x:t xml:space="preserve">ПЗ-00242</x:t>
        </x:is>
      </x:c>
      <x:c r="C2033" s="31" t="inlineStr">
        <x:is>
          <x:t xml:space="preserve">ЗК-1117</x:t>
        </x:is>
      </x:c>
      <x:c r="D2033" s="31" t="inlineStr">
        <x:is>
          <x:t xml:space="preserve">ПОЗ-0117-4</x:t>
        </x:is>
      </x:c>
      <x:c r="E2033" s="31" t="inlineStr">
        <x:is>
          <x:t xml:space="preserve">ИЗД-029</x:t>
        </x:is>
      </x:c>
      <x:c r="F2033" s="31" t="n">
        <x:v>90</x:v>
      </x:c>
      <x:c r="G2033" s="31" t="inlineStr">
        <x:is>
          <x:t xml:space="preserve">Приемочные испытания</x:t>
        </x:is>
      </x:c>
      <x:c r="H2033" s="31" t="inlineStr">
        <x:is>
          <x:t xml:space="preserve">ОТК</x:t>
        </x:is>
      </x:c>
      <x:c r="I2033" s="31" t="inlineStr">
        <x:is>
          <x:t xml:space="preserve">ОБ-022</x:t>
        </x:is>
      </x:c>
      <x:c r="J2033" s="31" t="inlineStr">
        <x:is>
          <x:t xml:space="preserve">СОТР-100</x:t>
        </x:is>
      </x:c>
      <x:c r="K2033" s="31" t="n">
        <x:v>33.6</x:v>
      </x:c>
      <x:c r="L2033" s="31" t="n">
        <x:v>34.3</x:v>
      </x:c>
      <x:c r="M2033" s="31" t="n">
        <x:v>46179</x:v>
      </x:c>
      <x:c r="N2033" s="31" t="n">
        <x:v>46182</x:v>
      </x:c>
      <x:c r="O2033" s="31" t="n">
        <x:v>46179</x:v>
      </x:c>
      <x:c r="P2033" s="31" t="n">
        <x:v>46183</x:v>
      </x:c>
      <x:c r="Q2033" s="31" t="inlineStr">
        <x:is>
          <x:t xml:space="preserve">Завершено</x:t>
        </x:is>
      </x:c>
      <x:c r="R2033" s="31" t="inlineStr">
        <x:is>
          <x:t xml:space="preserve">Нет</x:t>
        </x:is>
      </x:c>
      <x:c r="S2033" s="31" t="inlineStr">
        <x:is>
          <x:t xml:space="preserve">Нет</x:t>
        </x:is>
      </x:c>
    </x:row>
    <x:row r="2034">
      <x:c r="A2034" s="31" t="inlineStr">
        <x:is>
          <x:t xml:space="preserve">ОП-002033</x:t>
        </x:is>
      </x:c>
      <x:c r="B2034" s="31" t="inlineStr">
        <x:is>
          <x:t xml:space="preserve">ПЗ-00242</x:t>
        </x:is>
      </x:c>
      <x:c r="C2034" s="31" t="inlineStr">
        <x:is>
          <x:t xml:space="preserve">ЗК-1117</x:t>
        </x:is>
      </x:c>
      <x:c r="D2034" s="31" t="inlineStr">
        <x:is>
          <x:t xml:space="preserve">ПОЗ-0117-4</x:t>
        </x:is>
      </x:c>
      <x:c r="E2034" s="31" t="inlineStr">
        <x:is>
          <x:t xml:space="preserve">ИЗД-029</x:t>
        </x:is>
      </x:c>
      <x:c r="F2034" s="31" t="n">
        <x:v>100</x:v>
      </x:c>
      <x:c r="G2034" s="31" t="inlineStr">
        <x:is>
          <x:t xml:space="preserve">ОТК</x:t>
        </x:is>
      </x:c>
      <x:c r="H2034" s="31" t="inlineStr">
        <x:is>
          <x:t xml:space="preserve">ОТК</x:t>
        </x:is>
      </x:c>
      <x:c r="I2034" s="31" t="inlineStr">
        <x:is>
          <x:t xml:space="preserve">ОБ-007</x:t>
        </x:is>
      </x:c>
      <x:c r="J2034" s="31" t="inlineStr">
        <x:is>
          <x:t xml:space="preserve">СОТР-099</x:t>
        </x:is>
      </x:c>
      <x:c r="K2034" s="31" t="n">
        <x:v>24.2</x:v>
      </x:c>
      <x:c r="L2034" s="31" t="n">
        <x:v>20.6</x:v>
      </x:c>
      <x:c r="M2034" s="31" t="n">
        <x:v>46182</x:v>
      </x:c>
      <x:c r="N2034" s="31" t="n">
        <x:v>46185</x:v>
      </x:c>
      <x:c r="O2034" s="31" t="n">
        <x:v>46182</x:v>
      </x:c>
      <x:c r="P2034" s="31" t="n">
        <x:v>46186</x:v>
      </x:c>
      <x:c r="Q2034" s="31" t="inlineStr">
        <x:is>
          <x:t xml:space="preserve">Завершено</x:t>
        </x:is>
      </x:c>
      <x:c r="R2034" s="31" t="inlineStr">
        <x:is>
          <x:t xml:space="preserve">Нет</x:t>
        </x:is>
      </x:c>
      <x:c r="S2034" s="31" t="inlineStr">
        <x:is>
          <x:t xml:space="preserve">Да</x:t>
        </x:is>
      </x:c>
    </x:row>
    <x:row r="2035">
      <x:c r="A2035" s="31" t="inlineStr">
        <x:is>
          <x:t xml:space="preserve">ОП-002034</x:t>
        </x:is>
      </x:c>
      <x:c r="B2035" s="31" t="inlineStr">
        <x:is>
          <x:t xml:space="preserve">ПЗ-00242</x:t>
        </x:is>
      </x:c>
      <x:c r="C2035" s="31" t="inlineStr">
        <x:is>
          <x:t xml:space="preserve">ЗК-1117</x:t>
        </x:is>
      </x:c>
      <x:c r="D2035" s="31" t="inlineStr">
        <x:is>
          <x:t xml:space="preserve">ПОЗ-0117-4</x:t>
        </x:is>
      </x:c>
      <x:c r="E2035" s="31" t="inlineStr">
        <x:is>
          <x:t xml:space="preserve">ИЗД-029</x:t>
        </x:is>
      </x:c>
      <x:c r="F2035" s="31" t="n">
        <x:v>110</x:v>
      </x:c>
      <x:c r="G2035" s="31" t="inlineStr">
        <x:is>
          <x:t xml:space="preserve">Упаковка</x:t>
        </x:is>
      </x:c>
      <x:c r="H2035" s="31" t="inlineStr">
        <x:is>
          <x:t xml:space="preserve">Логистика</x:t>
        </x:is>
      </x:c>
      <x:c r="I2035" s="31" t="n"/>
      <x:c r="J2035" s="31" t="inlineStr">
        <x:is>
          <x:t xml:space="preserve">СОТР-102</x:t>
        </x:is>
      </x:c>
      <x:c r="K2035" s="31" t="n">
        <x:v>17.8</x:v>
      </x:c>
      <x:c r="L2035" s="31" t="n">
        <x:v>20.3</x:v>
      </x:c>
      <x:c r="M2035" s="31" t="n">
        <x:v>46185</x:v>
      </x:c>
      <x:c r="N2035" s="31" t="n">
        <x:v>46187</x:v>
      </x:c>
      <x:c r="O2035" s="31" t="n">
        <x:v>46185</x:v>
      </x:c>
      <x:c r="P2035" s="31" t="n">
        <x:v>46187</x:v>
      </x:c>
      <x:c r="Q2035" s="31" t="inlineStr">
        <x:is>
          <x:t xml:space="preserve">Завершено</x:t>
        </x:is>
      </x:c>
      <x:c r="R2035" s="31" t="inlineStr">
        <x:is>
          <x:t xml:space="preserve">Нет</x:t>
        </x:is>
      </x:c>
      <x:c r="S2035" s="31" t="inlineStr">
        <x:is>
          <x:t xml:space="preserve">Нет</x:t>
        </x:is>
      </x:c>
    </x:row>
    <x:row r="2036">
      <x:c r="A2036" s="31" t="inlineStr">
        <x:is>
          <x:t xml:space="preserve">ОП-002035</x:t>
        </x:is>
      </x:c>
      <x:c r="B2036" s="31" t="inlineStr">
        <x:is>
          <x:t xml:space="preserve">ПЗ-00243</x:t>
        </x:is>
      </x:c>
      <x:c r="C2036" s="31" t="inlineStr">
        <x:is>
          <x:t xml:space="preserve">ЗК-1119</x:t>
        </x:is>
      </x:c>
      <x:c r="D2036" s="31" t="inlineStr">
        <x:is>
          <x:t xml:space="preserve">ПОЗ-0119-1</x:t>
        </x:is>
      </x:c>
      <x:c r="E2036" s="31" t="inlineStr">
        <x:is>
          <x:t xml:space="preserve">ИЗД-032</x:t>
        </x:is>
      </x:c>
      <x:c r="F2036" s="31" t="n">
        <x:v>10</x:v>
      </x:c>
      <x:c r="G2036" s="31" t="inlineStr">
        <x:is>
          <x:t xml:space="preserve">Комплектация</x:t>
        </x:is>
      </x:c>
      <x:c r="H2036" s="31" t="inlineStr">
        <x:is>
          <x:t xml:space="preserve">Склад</x:t>
        </x:is>
      </x:c>
      <x:c r="I2036" s="31" t="inlineStr">
        <x:is>
          <x:t xml:space="preserve">ОБ-008</x:t>
        </x:is>
      </x:c>
      <x:c r="J2036" s="31" t="inlineStr">
        <x:is>
          <x:t xml:space="preserve">СОТР-033</x:t>
        </x:is>
      </x:c>
      <x:c r="K2036" s="31" t="n">
        <x:v>141.1</x:v>
      </x:c>
      <x:c r="L2036" s="31" t="n">
        <x:v>144.1</x:v>
      </x:c>
      <x:c r="M2036" s="31" t="n">
        <x:v>46118</x:v>
      </x:c>
      <x:c r="N2036" s="31" t="n">
        <x:v>46130</x:v>
      </x:c>
      <x:c r="O2036" s="31" t="n">
        <x:v>46118</x:v>
      </x:c>
      <x:c r="P2036" s="31" t="n">
        <x:v>46132</x:v>
      </x:c>
      <x:c r="Q2036" s="31" t="inlineStr">
        <x:is>
          <x:t xml:space="preserve">Завершено</x:t>
        </x:is>
      </x:c>
      <x:c r="R2036" s="31" t="inlineStr">
        <x:is>
          <x:t xml:space="preserve">Нет</x:t>
        </x:is>
      </x:c>
      <x:c r="S2036" s="31" t="inlineStr">
        <x:is>
          <x:t xml:space="preserve">Да</x:t>
        </x:is>
      </x:c>
    </x:row>
    <x:row r="2037">
      <x:c r="A2037" s="31" t="inlineStr">
        <x:is>
          <x:t xml:space="preserve">ОП-002036</x:t>
        </x:is>
      </x:c>
      <x:c r="B2037" s="31" t="inlineStr">
        <x:is>
          <x:t xml:space="preserve">ПЗ-00243</x:t>
        </x:is>
      </x:c>
      <x:c r="C2037" s="31" t="inlineStr">
        <x:is>
          <x:t xml:space="preserve">ЗК-1119</x:t>
        </x:is>
      </x:c>
      <x:c r="D2037" s="31" t="inlineStr">
        <x:is>
          <x:t xml:space="preserve">ПОЗ-0119-1</x:t>
        </x:is>
      </x:c>
      <x:c r="E2037" s="31" t="inlineStr">
        <x:is>
          <x:t xml:space="preserve">ИЗД-032</x:t>
        </x:is>
      </x:c>
      <x:c r="F2037" s="31" t="n">
        <x:v>20</x:v>
      </x:c>
      <x:c r="G2037" s="31" t="inlineStr">
        <x:is>
          <x:t xml:space="preserve">Входной контроль</x:t>
        </x:is>
      </x:c>
      <x:c r="H2037" s="31" t="inlineStr">
        <x:is>
          <x:t xml:space="preserve">ОТК</x:t>
        </x:is>
      </x:c>
      <x:c r="I2037" s="31" t="inlineStr">
        <x:is>
          <x:t xml:space="preserve">ОБ-024</x:t>
        </x:is>
      </x:c>
      <x:c r="J2037" s="31" t="inlineStr">
        <x:is>
          <x:t xml:space="preserve">СОТР-100</x:t>
        </x:is>
      </x:c>
      <x:c r="K2037" s="31" t="n">
        <x:v>68</x:v>
      </x:c>
      <x:c r="L2037" s="31" t="n">
        <x:v>77.90000000000001</x:v>
      </x:c>
      <x:c r="M2037" s="31" t="n">
        <x:v>46130</x:v>
      </x:c>
      <x:c r="N2037" s="31" t="n">
        <x:v>46136</x:v>
      </x:c>
      <x:c r="O2037" s="31" t="n">
        <x:v>46130</x:v>
      </x:c>
      <x:c r="P2037" s="31" t="n">
        <x:v>46137</x:v>
      </x:c>
      <x:c r="Q2037" s="31" t="inlineStr">
        <x:is>
          <x:t xml:space="preserve">Завершено</x:t>
        </x:is>
      </x:c>
      <x:c r="R2037" s="31" t="inlineStr">
        <x:is>
          <x:t xml:space="preserve">Нет</x:t>
        </x:is>
      </x:c>
      <x:c r="S2037" s="31" t="inlineStr">
        <x:is>
          <x:t xml:space="preserve">Нет</x:t>
        </x:is>
      </x:c>
    </x:row>
    <x:row r="2038">
      <x:c r="A2038" s="31" t="inlineStr">
        <x:is>
          <x:t xml:space="preserve">ОП-002037</x:t>
        </x:is>
      </x:c>
      <x:c r="B2038" s="31" t="inlineStr">
        <x:is>
          <x:t xml:space="preserve">ПЗ-00243</x:t>
        </x:is>
      </x:c>
      <x:c r="C2038" s="31" t="inlineStr">
        <x:is>
          <x:t xml:space="preserve">ЗК-1119</x:t>
        </x:is>
      </x:c>
      <x:c r="D2038" s="31" t="inlineStr">
        <x:is>
          <x:t xml:space="preserve">ПОЗ-0119-1</x:t>
        </x:is>
      </x:c>
      <x:c r="E2038" s="31" t="inlineStr">
        <x:is>
          <x:t xml:space="preserve">ИЗД-032</x:t>
        </x:is>
      </x:c>
      <x:c r="F2038" s="31" t="n">
        <x:v>30</x:v>
      </x:c>
      <x:c r="G2038" s="31" t="inlineStr">
        <x:is>
          <x:t xml:space="preserve">Упаковка</x:t>
        </x:is>
      </x:c>
      <x:c r="H2038" s="31" t="inlineStr">
        <x:is>
          <x:t xml:space="preserve">Логистика</x:t>
        </x:is>
      </x:c>
      <x:c r="I2038" s="31" t="n"/>
      <x:c r="J2038" s="31" t="inlineStr">
        <x:is>
          <x:t xml:space="preserve">СОТР-101</x:t>
        </x:is>
      </x:c>
      <x:c r="K2038" s="31" t="n">
        <x:v>161.5</x:v>
      </x:c>
      <x:c r="L2038" s="31" t="n">
        <x:v>195.1</x:v>
      </x:c>
      <x:c r="M2038" s="31" t="n">
        <x:v>46136</x:v>
      </x:c>
      <x:c r="N2038" s="31" t="n">
        <x:v>46150</x:v>
      </x:c>
      <x:c r="O2038" s="31" t="n">
        <x:v>46136</x:v>
      </x:c>
      <x:c r="P2038" s="31" t="n">
        <x:v>46150</x:v>
      </x:c>
      <x:c r="Q2038" s="31" t="inlineStr">
        <x:is>
          <x:t xml:space="preserve">Завершено</x:t>
        </x:is>
      </x:c>
      <x:c r="R2038" s="31" t="inlineStr">
        <x:is>
          <x:t xml:space="preserve">Нет</x:t>
        </x:is>
      </x:c>
      <x:c r="S2038" s="31" t="inlineStr">
        <x:is>
          <x:t xml:space="preserve">Да</x:t>
        </x:is>
      </x:c>
    </x:row>
    <x:row r="2039">
      <x:c r="A2039" s="31" t="inlineStr">
        <x:is>
          <x:t xml:space="preserve">ОП-002038</x:t>
        </x:is>
      </x:c>
      <x:c r="B2039" s="31" t="inlineStr">
        <x:is>
          <x:t xml:space="preserve">ПЗ-00243</x:t>
        </x:is>
      </x:c>
      <x:c r="C2039" s="31" t="inlineStr">
        <x:is>
          <x:t xml:space="preserve">ЗК-1119</x:t>
        </x:is>
      </x:c>
      <x:c r="D2039" s="31" t="inlineStr">
        <x:is>
          <x:t xml:space="preserve">ПОЗ-0119-1</x:t>
        </x:is>
      </x:c>
      <x:c r="E2039" s="31" t="inlineStr">
        <x:is>
          <x:t xml:space="preserve">ИЗД-032</x:t>
        </x:is>
      </x:c>
      <x:c r="F2039" s="31" t="n">
        <x:v>40</x:v>
      </x:c>
      <x:c r="G2039" s="31" t="inlineStr">
        <x:is>
          <x:t xml:space="preserve">ОТК</x:t>
        </x:is>
      </x:c>
      <x:c r="H2039" s="31" t="inlineStr">
        <x:is>
          <x:t xml:space="preserve">ОТК</x:t>
        </x:is>
      </x:c>
      <x:c r="I2039" s="31" t="inlineStr">
        <x:is>
          <x:t xml:space="preserve">ОБ-001</x:t>
        </x:is>
      </x:c>
      <x:c r="J2039" s="31" t="inlineStr">
        <x:is>
          <x:t xml:space="preserve">СОТР-096</x:t>
        </x:is>
      </x:c>
      <x:c r="K2039" s="31" t="n">
        <x:v>69.7</x:v>
      </x:c>
      <x:c r="L2039" s="31" t="n">
        <x:v>55.8</x:v>
      </x:c>
      <x:c r="M2039" s="31" t="n">
        <x:v>46150</x:v>
      </x:c>
      <x:c r="N2039" s="31" t="n">
        <x:v>46156</x:v>
      </x:c>
      <x:c r="O2039" s="31" t="n">
        <x:v>46150</x:v>
      </x:c>
      <x:c r="P2039" s="31" t="n">
        <x:v>46158</x:v>
      </x:c>
      <x:c r="Q2039" s="31" t="inlineStr">
        <x:is>
          <x:t xml:space="preserve">Завершено</x:t>
        </x:is>
      </x:c>
      <x:c r="R2039" s="31" t="inlineStr">
        <x:is>
          <x:t xml:space="preserve">Нет</x:t>
        </x:is>
      </x:c>
      <x:c r="S2039" s="31" t="inlineStr">
        <x:is>
          <x:t xml:space="preserve">Нет</x:t>
        </x:is>
      </x:c>
    </x:row>
    <x:row r="2040">
      <x:c r="A2040" s="31" t="inlineStr">
        <x:is>
          <x:t xml:space="preserve">ОП-002039</x:t>
        </x:is>
      </x:c>
      <x:c r="B2040" s="31" t="inlineStr">
        <x:is>
          <x:t xml:space="preserve">ПЗ-00244</x:t>
        </x:is>
      </x:c>
      <x:c r="C2040" s="31" t="inlineStr">
        <x:is>
          <x:t xml:space="preserve">ЗК-1119</x:t>
        </x:is>
      </x:c>
      <x:c r="D2040" s="31" t="inlineStr">
        <x:is>
          <x:t xml:space="preserve">ПОЗ-0119-2</x:t>
        </x:is>
      </x:c>
      <x:c r="E2040" s="31" t="inlineStr">
        <x:is>
          <x:t xml:space="preserve">ИЗД-037</x:t>
        </x:is>
      </x:c>
      <x:c r="F2040" s="31" t="n">
        <x:v>10</x:v>
      </x:c>
      <x:c r="G2040" s="31" t="inlineStr">
        <x:is>
          <x:t xml:space="preserve">КД</x:t>
        </x:is>
      </x:c>
      <x:c r="H2040" s="31" t="inlineStr">
        <x:is>
          <x:t xml:space="preserve">Инженерный отдел</x:t>
        </x:is>
      </x:c>
      <x:c r="I2040" s="31" t="n"/>
      <x:c r="J2040" s="31" t="inlineStr">
        <x:is>
          <x:t xml:space="preserve">СОТР-014</x:t>
        </x:is>
      </x:c>
      <x:c r="K2040" s="31" t="n">
        <x:v>53.6</x:v>
      </x:c>
      <x:c r="L2040" s="31" t="n">
        <x:v>59.3</x:v>
      </x:c>
      <x:c r="M2040" s="31" t="n">
        <x:v>46126</x:v>
      </x:c>
      <x:c r="N2040" s="31" t="n">
        <x:v>46131</x:v>
      </x:c>
      <x:c r="O2040" s="31" t="n">
        <x:v>46126</x:v>
      </x:c>
      <x:c r="P2040" s="31" t="n">
        <x:v>46130</x:v>
      </x:c>
      <x:c r="Q2040" s="31" t="inlineStr">
        <x:is>
          <x:t xml:space="preserve">Завершено</x:t>
        </x:is>
      </x:c>
      <x:c r="R2040" s="31" t="inlineStr">
        <x:is>
          <x:t xml:space="preserve">Нет</x:t>
        </x:is>
      </x:c>
      <x:c r="S2040" s="31" t="inlineStr">
        <x:is>
          <x:t xml:space="preserve">Нет</x:t>
        </x:is>
      </x:c>
    </x:row>
    <x:row r="2041">
      <x:c r="A2041" s="31" t="inlineStr">
        <x:is>
          <x:t xml:space="preserve">ОП-002040</x:t>
        </x:is>
      </x:c>
      <x:c r="B2041" s="31" t="inlineStr">
        <x:is>
          <x:t xml:space="preserve">ПЗ-00244</x:t>
        </x:is>
      </x:c>
      <x:c r="C2041" s="31" t="inlineStr">
        <x:is>
          <x:t xml:space="preserve">ЗК-1119</x:t>
        </x:is>
      </x:c>
      <x:c r="D2041" s="31" t="inlineStr">
        <x:is>
          <x:t xml:space="preserve">ПОЗ-0119-2</x:t>
        </x:is>
      </x:c>
      <x:c r="E2041" s="31" t="inlineStr">
        <x:is>
          <x:t xml:space="preserve">ИЗД-037</x:t>
        </x:is>
      </x:c>
      <x:c r="F2041" s="31" t="n">
        <x:v>20</x:v>
      </x:c>
      <x:c r="G2041" s="31" t="inlineStr">
        <x:is>
          <x:t xml:space="preserve">Резка труб</x:t>
        </x:is>
      </x:c>
      <x:c r="H2041" s="31" t="inlineStr">
        <x:is>
          <x:t xml:space="preserve">Сварка</x:t>
        </x:is>
      </x:c>
      <x:c r="I2041" s="31" t="inlineStr">
        <x:is>
          <x:t xml:space="preserve">ОБ-018</x:t>
        </x:is>
      </x:c>
      <x:c r="J2041" s="31" t="inlineStr">
        <x:is>
          <x:t xml:space="preserve">СОТР-056</x:t>
        </x:is>
      </x:c>
      <x:c r="K2041" s="31" t="n">
        <x:v>82.8</x:v>
      </x:c>
      <x:c r="L2041" s="31" t="n">
        <x:v>89</x:v>
      </x:c>
      <x:c r="M2041" s="31" t="n">
        <x:v>46131</x:v>
      </x:c>
      <x:c r="N2041" s="31" t="n">
        <x:v>46138</x:v>
      </x:c>
      <x:c r="O2041" s="31" t="n">
        <x:v>46131</x:v>
      </x:c>
      <x:c r="P2041" s="31" t="n">
        <x:v>46138</x:v>
      </x:c>
      <x:c r="Q2041" s="31" t="inlineStr">
        <x:is>
          <x:t xml:space="preserve">Завершено</x:t>
        </x:is>
      </x:c>
      <x:c r="R2041" s="31" t="inlineStr">
        <x:is>
          <x:t xml:space="preserve">Нет</x:t>
        </x:is>
      </x:c>
      <x:c r="S2041" s="31" t="inlineStr">
        <x:is>
          <x:t xml:space="preserve">Нет</x:t>
        </x:is>
      </x:c>
    </x:row>
    <x:row r="2042">
      <x:c r="A2042" s="31" t="inlineStr">
        <x:is>
          <x:t xml:space="preserve">ОП-002041</x:t>
        </x:is>
      </x:c>
      <x:c r="B2042" s="31" t="inlineStr">
        <x:is>
          <x:t xml:space="preserve">ПЗ-00244</x:t>
        </x:is>
      </x:c>
      <x:c r="C2042" s="31" t="inlineStr">
        <x:is>
          <x:t xml:space="preserve">ЗК-1119</x:t>
        </x:is>
      </x:c>
      <x:c r="D2042" s="31" t="inlineStr">
        <x:is>
          <x:t xml:space="preserve">ПОЗ-0119-2</x:t>
        </x:is>
      </x:c>
      <x:c r="E2042" s="31" t="inlineStr">
        <x:is>
          <x:t xml:space="preserve">ИЗД-037</x:t>
        </x:is>
      </x:c>
      <x:c r="F2042" s="31" t="n">
        <x:v>30</x:v>
      </x:c>
      <x:c r="G2042" s="31" t="inlineStr">
        <x:is>
          <x:t xml:space="preserve">Сварка</x:t>
        </x:is>
      </x:c>
      <x:c r="H2042" s="31" t="inlineStr">
        <x:is>
          <x:t xml:space="preserve">Сварка</x:t>
        </x:is>
      </x:c>
      <x:c r="I2042" s="31" t="inlineStr">
        <x:is>
          <x:t xml:space="preserve">ОБ-018</x:t>
        </x:is>
      </x:c>
      <x:c r="J2042" s="31" t="inlineStr">
        <x:is>
          <x:t xml:space="preserve">СОТР-062</x:t>
        </x:is>
      </x:c>
      <x:c r="K2042" s="31" t="n">
        <x:v>57.2</x:v>
      </x:c>
      <x:c r="L2042" s="31" t="n">
        <x:v>49.6</x:v>
      </x:c>
      <x:c r="M2042" s="31" t="n">
        <x:v>46138</x:v>
      </x:c>
      <x:c r="N2042" s="31" t="n">
        <x:v>46143</x:v>
      </x:c>
      <x:c r="O2042" s="31" t="n">
        <x:v>46138</x:v>
      </x:c>
      <x:c r="P2042" s="31" t="n">
        <x:v>46142</x:v>
      </x:c>
      <x:c r="Q2042" s="31" t="inlineStr">
        <x:is>
          <x:t xml:space="preserve">Завершено</x:t>
        </x:is>
      </x:c>
      <x:c r="R2042" s="31" t="inlineStr">
        <x:is>
          <x:t xml:space="preserve">Нет</x:t>
        </x:is>
      </x:c>
      <x:c r="S2042" s="31" t="inlineStr">
        <x:is>
          <x:t xml:space="preserve">Нет</x:t>
        </x:is>
      </x:c>
    </x:row>
    <x:row r="2043">
      <x:c r="A2043" s="31" t="inlineStr">
        <x:is>
          <x:t xml:space="preserve">ОП-002042</x:t>
        </x:is>
      </x:c>
      <x:c r="B2043" s="31" t="inlineStr">
        <x:is>
          <x:t xml:space="preserve">ПЗ-00244</x:t>
        </x:is>
      </x:c>
      <x:c r="C2043" s="31" t="inlineStr">
        <x:is>
          <x:t xml:space="preserve">ЗК-1119</x:t>
        </x:is>
      </x:c>
      <x:c r="D2043" s="31" t="inlineStr">
        <x:is>
          <x:t xml:space="preserve">ПОЗ-0119-2</x:t>
        </x:is>
      </x:c>
      <x:c r="E2043" s="31" t="inlineStr">
        <x:is>
          <x:t xml:space="preserve">ИЗД-037</x:t>
        </x:is>
      </x:c>
      <x:c r="F2043" s="31" t="n">
        <x:v>40</x:v>
      </x:c>
      <x:c r="G2043" s="31" t="inlineStr">
        <x:is>
          <x:t xml:space="preserve">НК сварных швов</x:t>
        </x:is>
      </x:c>
      <x:c r="H2043" s="31" t="inlineStr">
        <x:is>
          <x:t xml:space="preserve">ОТК</x:t>
        </x:is>
      </x:c>
      <x:c r="I2043" s="31" t="inlineStr">
        <x:is>
          <x:t xml:space="preserve">ОБ-007</x:t>
        </x:is>
      </x:c>
      <x:c r="J2043" s="31" t="inlineStr">
        <x:is>
          <x:t xml:space="preserve">СОТР-098</x:t>
        </x:is>
      </x:c>
      <x:c r="K2043" s="31" t="n">
        <x:v>13.6</x:v>
      </x:c>
      <x:c r="L2043" s="31" t="n">
        <x:v>11</x:v>
      </x:c>
      <x:c r="M2043" s="31" t="n">
        <x:v>46143</x:v>
      </x:c>
      <x:c r="N2043" s="31" t="n">
        <x:v>46145</x:v>
      </x:c>
      <x:c r="O2043" s="31" t="n">
        <x:v>46143</x:v>
      </x:c>
      <x:c r="P2043" s="31" t="n">
        <x:v>46144</x:v>
      </x:c>
      <x:c r="Q2043" s="31" t="inlineStr">
        <x:is>
          <x:t xml:space="preserve">Завершено</x:t>
        </x:is>
      </x:c>
      <x:c r="R2043" s="31" t="inlineStr">
        <x:is>
          <x:t xml:space="preserve">Нет</x:t>
        </x:is>
      </x:c>
      <x:c r="S2043" s="31" t="inlineStr">
        <x:is>
          <x:t xml:space="preserve">Нет</x:t>
        </x:is>
      </x:c>
    </x:row>
    <x:row r="2044">
      <x:c r="A2044" s="31" t="inlineStr">
        <x:is>
          <x:t xml:space="preserve">ОП-002043</x:t>
        </x:is>
      </x:c>
      <x:c r="B2044" s="31" t="inlineStr">
        <x:is>
          <x:t xml:space="preserve">ПЗ-00244</x:t>
        </x:is>
      </x:c>
      <x:c r="C2044" s="31" t="inlineStr">
        <x:is>
          <x:t xml:space="preserve">ЗК-1119</x:t>
        </x:is>
      </x:c>
      <x:c r="D2044" s="31" t="inlineStr">
        <x:is>
          <x:t xml:space="preserve">ПОЗ-0119-2</x:t>
        </x:is>
      </x:c>
      <x:c r="E2044" s="31" t="inlineStr">
        <x:is>
          <x:t xml:space="preserve">ИЗД-037</x:t>
        </x:is>
      </x:c>
      <x:c r="F2044" s="31" t="n">
        <x:v>50</x:v>
      </x:c>
      <x:c r="G2044" s="31" t="inlineStr">
        <x:is>
          <x:t xml:space="preserve">Гидроиспытания</x:t>
        </x:is>
      </x:c>
      <x:c r="H2044" s="31" t="inlineStr">
        <x:is>
          <x:t xml:space="preserve">ОТК</x:t>
        </x:is>
      </x:c>
      <x:c r="I2044" s="31" t="inlineStr">
        <x:is>
          <x:t xml:space="preserve">ОБ-015</x:t>
        </x:is>
      </x:c>
      <x:c r="J2044" s="31" t="inlineStr">
        <x:is>
          <x:t xml:space="preserve">СОТР-063</x:t>
        </x:is>
      </x:c>
      <x:c r="K2044" s="31" t="n">
        <x:v>18.8</x:v>
      </x:c>
      <x:c r="L2044" s="31" t="n">
        <x:v>22.9</x:v>
      </x:c>
      <x:c r="M2044" s="31" t="n">
        <x:v>46145</x:v>
      </x:c>
      <x:c r="N2044" s="31" t="n">
        <x:v>46147</x:v>
      </x:c>
      <x:c r="O2044" s="31" t="n">
        <x:v>46145</x:v>
      </x:c>
      <x:c r="P2044" s="31" t="n">
        <x:v>46146</x:v>
      </x:c>
      <x:c r="Q2044" s="31" t="inlineStr">
        <x:is>
          <x:t xml:space="preserve">Завершено</x:t>
        </x:is>
      </x:c>
      <x:c r="R2044" s="31" t="inlineStr">
        <x:is>
          <x:t xml:space="preserve">Нет</x:t>
        </x:is>
      </x:c>
      <x:c r="S2044" s="31" t="inlineStr">
        <x:is>
          <x:t xml:space="preserve">Нет</x:t>
        </x:is>
      </x:c>
    </x:row>
    <x:row r="2045">
      <x:c r="A2045" s="31" t="inlineStr">
        <x:is>
          <x:t xml:space="preserve">ОП-002044</x:t>
        </x:is>
      </x:c>
      <x:c r="B2045" s="31" t="inlineStr">
        <x:is>
          <x:t xml:space="preserve">ПЗ-00244</x:t>
        </x:is>
      </x:c>
      <x:c r="C2045" s="31" t="inlineStr">
        <x:is>
          <x:t xml:space="preserve">ЗК-1119</x:t>
        </x:is>
      </x:c>
      <x:c r="D2045" s="31" t="inlineStr">
        <x:is>
          <x:t xml:space="preserve">ПОЗ-0119-2</x:t>
        </x:is>
      </x:c>
      <x:c r="E2045" s="31" t="inlineStr">
        <x:is>
          <x:t xml:space="preserve">ИЗД-037</x:t>
        </x:is>
      </x:c>
      <x:c r="F2045" s="31" t="n">
        <x:v>60</x:v>
      </x:c>
      <x:c r="G2045" s="31" t="inlineStr">
        <x:is>
          <x:t xml:space="preserve">Покраска</x:t>
        </x:is>
      </x:c>
      <x:c r="H2045" s="31" t="inlineStr">
        <x:is>
          <x:t xml:space="preserve">Сварка</x:t>
        </x:is>
      </x:c>
      <x:c r="I2045" s="31" t="inlineStr">
        <x:is>
          <x:t xml:space="preserve">ОБ-004</x:t>
        </x:is>
      </x:c>
      <x:c r="J2045" s="31" t="inlineStr">
        <x:is>
          <x:t xml:space="preserve">СОТР-062</x:t>
        </x:is>
      </x:c>
      <x:c r="K2045" s="31" t="n">
        <x:v>34.4</x:v>
      </x:c>
      <x:c r="L2045" s="31" t="n">
        <x:v>38.4</x:v>
      </x:c>
      <x:c r="M2045" s="31" t="n">
        <x:v>46147</x:v>
      </x:c>
      <x:c r="N2045" s="31" t="n">
        <x:v>46150</x:v>
      </x:c>
      <x:c r="O2045" s="31" t="n">
        <x:v>46147</x:v>
      </x:c>
      <x:c r="P2045" s="31" t="n">
        <x:v>46152</x:v>
      </x:c>
      <x:c r="Q2045" s="31" t="inlineStr">
        <x:is>
          <x:t xml:space="preserve">Завершено</x:t>
        </x:is>
      </x:c>
      <x:c r="R2045" s="31" t="inlineStr">
        <x:is>
          <x:t xml:space="preserve">Нет</x:t>
        </x:is>
      </x:c>
      <x:c r="S2045" s="31" t="inlineStr">
        <x:is>
          <x:t xml:space="preserve">Нет</x:t>
        </x:is>
      </x:c>
    </x:row>
    <x:row r="2046">
      <x:c r="A2046" s="31" t="inlineStr">
        <x:is>
          <x:t xml:space="preserve">ОП-002045</x:t>
        </x:is>
      </x:c>
      <x:c r="B2046" s="31" t="inlineStr">
        <x:is>
          <x:t xml:space="preserve">ПЗ-00244</x:t>
        </x:is>
      </x:c>
      <x:c r="C2046" s="31" t="inlineStr">
        <x:is>
          <x:t xml:space="preserve">ЗК-1119</x:t>
        </x:is>
      </x:c>
      <x:c r="D2046" s="31" t="inlineStr">
        <x:is>
          <x:t xml:space="preserve">ПОЗ-0119-2</x:t>
        </x:is>
      </x:c>
      <x:c r="E2046" s="31" t="inlineStr">
        <x:is>
          <x:t xml:space="preserve">ИЗД-037</x:t>
        </x:is>
      </x:c>
      <x:c r="F2046" s="31" t="n">
        <x:v>70</x:v>
      </x:c>
      <x:c r="G2046" s="31" t="inlineStr">
        <x:is>
          <x:t xml:space="preserve">ОТК</x:t>
        </x:is>
      </x:c>
      <x:c r="H2046" s="31" t="inlineStr">
        <x:is>
          <x:t xml:space="preserve">ОТК</x:t>
        </x:is>
      </x:c>
      <x:c r="I2046" s="31" t="inlineStr">
        <x:is>
          <x:t xml:space="preserve">ОБ-032</x:t>
        </x:is>
      </x:c>
      <x:c r="J2046" s="31" t="inlineStr">
        <x:is>
          <x:t xml:space="preserve">СОТР-099</x:t>
        </x:is>
      </x:c>
      <x:c r="K2046" s="31" t="n">
        <x:v>74.8</x:v>
      </x:c>
      <x:c r="L2046" s="31" t="n">
        <x:v>88.7</x:v>
      </x:c>
      <x:c r="M2046" s="31" t="n">
        <x:v>46150</x:v>
      </x:c>
      <x:c r="N2046" s="31" t="n">
        <x:v>46157</x:v>
      </x:c>
      <x:c r="O2046" s="31" t="n">
        <x:v>46150</x:v>
      </x:c>
      <x:c r="P2046" s="31" t="n">
        <x:v>46159</x:v>
      </x:c>
      <x:c r="Q2046" s="31" t="inlineStr">
        <x:is>
          <x:t xml:space="preserve">Завершено</x:t>
        </x:is>
      </x:c>
      <x:c r="R2046" s="31" t="inlineStr">
        <x:is>
          <x:t xml:space="preserve">Нет</x:t>
        </x:is>
      </x:c>
      <x:c r="S2046" s="31" t="inlineStr">
        <x:is>
          <x:t xml:space="preserve">Нет</x:t>
        </x:is>
      </x:c>
    </x:row>
    <x:row r="2047">
      <x:c r="A2047" s="31" t="inlineStr">
        <x:is>
          <x:t xml:space="preserve">ОП-002046</x:t>
        </x:is>
      </x:c>
      <x:c r="B2047" s="31" t="inlineStr">
        <x:is>
          <x:t xml:space="preserve">ПЗ-00245</x:t>
        </x:is>
      </x:c>
      <x:c r="C2047" s="31" t="inlineStr">
        <x:is>
          <x:t xml:space="preserve">ЗК-1120</x:t>
        </x:is>
      </x:c>
      <x:c r="D2047" s="31" t="inlineStr">
        <x:is>
          <x:t xml:space="preserve">ПОЗ-0120-1</x:t>
        </x:is>
      </x:c>
      <x:c r="E2047" s="31" t="inlineStr">
        <x:is>
          <x:t xml:space="preserve">ИЗД-039</x:t>
        </x:is>
      </x:c>
      <x:c r="F2047" s="31" t="n">
        <x:v>10</x:v>
      </x:c>
      <x:c r="G2047" s="31" t="inlineStr">
        <x:is>
          <x:t xml:space="preserve">КД</x:t>
        </x:is>
      </x:c>
      <x:c r="H2047" s="31" t="inlineStr">
        <x:is>
          <x:t xml:space="preserve">Инженерный отдел</x:t>
        </x:is>
      </x:c>
      <x:c r="I2047" s="31" t="n"/>
      <x:c r="J2047" s="31" t="inlineStr">
        <x:is>
          <x:t xml:space="preserve">СОТР-021</x:t>
        </x:is>
      </x:c>
      <x:c r="K2047" s="31" t="n">
        <x:v>36</x:v>
      </x:c>
      <x:c r="L2047" s="31" t="n">
        <x:v>36.8</x:v>
      </x:c>
      <x:c r="M2047" s="31" t="n">
        <x:v>46080</x:v>
      </x:c>
      <x:c r="N2047" s="31" t="n">
        <x:v>46083</x:v>
      </x:c>
      <x:c r="O2047" s="31" t="n">
        <x:v>46080</x:v>
      </x:c>
      <x:c r="P2047" s="31" t="n">
        <x:v>46085</x:v>
      </x:c>
      <x:c r="Q2047" s="31" t="inlineStr">
        <x:is>
          <x:t xml:space="preserve">Завершено</x:t>
        </x:is>
      </x:c>
      <x:c r="R2047" s="31" t="inlineStr">
        <x:is>
          <x:t xml:space="preserve">Нет</x:t>
        </x:is>
      </x:c>
      <x:c r="S2047" s="31" t="inlineStr">
        <x:is>
          <x:t xml:space="preserve">Да</x:t>
        </x:is>
      </x:c>
    </x:row>
    <x:row r="2048">
      <x:c r="A2048" s="31" t="inlineStr">
        <x:is>
          <x:t xml:space="preserve">ОП-002047</x:t>
        </x:is>
      </x:c>
      <x:c r="B2048" s="31" t="inlineStr">
        <x:is>
          <x:t xml:space="preserve">ПЗ-00245</x:t>
        </x:is>
      </x:c>
      <x:c r="C2048" s="31" t="inlineStr">
        <x:is>
          <x:t xml:space="preserve">ЗК-1120</x:t>
        </x:is>
      </x:c>
      <x:c r="D2048" s="31" t="inlineStr">
        <x:is>
          <x:t xml:space="preserve">ПОЗ-0120-1</x:t>
        </x:is>
      </x:c>
      <x:c r="E2048" s="31" t="inlineStr">
        <x:is>
          <x:t xml:space="preserve">ИЗД-039</x:t>
        </x:is>
      </x:c>
      <x:c r="F2048" s="31" t="n">
        <x:v>20</x:v>
      </x:c>
      <x:c r="G2048" s="31" t="inlineStr">
        <x:is>
          <x:t xml:space="preserve">Резка металла</x:t>
        </x:is>
      </x:c>
      <x:c r="H2048" s="31" t="inlineStr">
        <x:is>
          <x:t xml:space="preserve">Сварка</x:t>
        </x:is>
      </x:c>
      <x:c r="I2048" s="31" t="inlineStr">
        <x:is>
          <x:t xml:space="preserve">ОБ-021</x:t>
        </x:is>
      </x:c>
      <x:c r="J2048" s="31" t="inlineStr">
        <x:is>
          <x:t xml:space="preserve">СОТР-069</x:t>
        </x:is>
      </x:c>
      <x:c r="K2048" s="31" t="n">
        <x:v>40.6</x:v>
      </x:c>
      <x:c r="L2048" s="31" t="n">
        <x:v>43.4</x:v>
      </x:c>
      <x:c r="M2048" s="31" t="n">
        <x:v>46083</x:v>
      </x:c>
      <x:c r="N2048" s="31" t="n">
        <x:v>46087</x:v>
      </x:c>
      <x:c r="O2048" s="31" t="n">
        <x:v>46083</x:v>
      </x:c>
      <x:c r="P2048" s="31" t="n">
        <x:v>46089</x:v>
      </x:c>
      <x:c r="Q2048" s="31" t="inlineStr">
        <x:is>
          <x:t xml:space="preserve">Завершено</x:t>
        </x:is>
      </x:c>
      <x:c r="R2048" s="31" t="inlineStr">
        <x:is>
          <x:t xml:space="preserve">Нет</x:t>
        </x:is>
      </x:c>
      <x:c r="S2048" s="31" t="inlineStr">
        <x:is>
          <x:t xml:space="preserve">Да</x:t>
        </x:is>
      </x:c>
    </x:row>
    <x:row r="2049">
      <x:c r="A2049" s="31" t="inlineStr">
        <x:is>
          <x:t xml:space="preserve">ОП-002048</x:t>
        </x:is>
      </x:c>
      <x:c r="B2049" s="31" t="inlineStr">
        <x:is>
          <x:t xml:space="preserve">ПЗ-00245</x:t>
        </x:is>
      </x:c>
      <x:c r="C2049" s="31" t="inlineStr">
        <x:is>
          <x:t xml:space="preserve">ЗК-1120</x:t>
        </x:is>
      </x:c>
      <x:c r="D2049" s="31" t="inlineStr">
        <x:is>
          <x:t xml:space="preserve">ПОЗ-0120-1</x:t>
        </x:is>
      </x:c>
      <x:c r="E2049" s="31" t="inlineStr">
        <x:is>
          <x:t xml:space="preserve">ИЗД-039</x:t>
        </x:is>
      </x:c>
      <x:c r="F2049" s="31" t="n">
        <x:v>30</x:v>
      </x:c>
      <x:c r="G2049" s="31" t="inlineStr">
        <x:is>
          <x:t xml:space="preserve">Сварка рамы</x:t>
        </x:is>
      </x:c>
      <x:c r="H2049" s="31" t="inlineStr">
        <x:is>
          <x:t xml:space="preserve">Сварка</x:t>
        </x:is>
      </x:c>
      <x:c r="I2049" s="31" t="inlineStr">
        <x:is>
          <x:t xml:space="preserve">ОБ-018</x:t>
        </x:is>
      </x:c>
      <x:c r="J2049" s="31" t="inlineStr">
        <x:is>
          <x:t xml:space="preserve">СОТР-069</x:t>
        </x:is>
      </x:c>
      <x:c r="K2049" s="31" t="n">
        <x:v>16.8</x:v>
      </x:c>
      <x:c r="L2049" s="31" t="n">
        <x:v>19.9</x:v>
      </x:c>
      <x:c r="M2049" s="31" t="n">
        <x:v>46087</x:v>
      </x:c>
      <x:c r="N2049" s="31" t="n">
        <x:v>46089</x:v>
      </x:c>
      <x:c r="O2049" s="31" t="n">
        <x:v>46087</x:v>
      </x:c>
      <x:c r="P2049" s="31" t="n">
        <x:v>46090</x:v>
      </x:c>
      <x:c r="Q2049" s="31" t="inlineStr">
        <x:is>
          <x:t xml:space="preserve">Завершено</x:t>
        </x:is>
      </x:c>
      <x:c r="R2049" s="31" t="inlineStr">
        <x:is>
          <x:t xml:space="preserve">Нет</x:t>
        </x:is>
      </x:c>
      <x:c r="S2049" s="31" t="inlineStr">
        <x:is>
          <x:t xml:space="preserve">Нет</x:t>
        </x:is>
      </x:c>
    </x:row>
    <x:row r="2050">
      <x:c r="A2050" s="31" t="inlineStr">
        <x:is>
          <x:t xml:space="preserve">ОП-002049</x:t>
        </x:is>
      </x:c>
      <x:c r="B2050" s="31" t="inlineStr">
        <x:is>
          <x:t xml:space="preserve">ПЗ-00245</x:t>
        </x:is>
      </x:c>
      <x:c r="C2050" s="31" t="inlineStr">
        <x:is>
          <x:t xml:space="preserve">ЗК-1120</x:t>
        </x:is>
      </x:c>
      <x:c r="D2050" s="31" t="inlineStr">
        <x:is>
          <x:t xml:space="preserve">ПОЗ-0120-1</x:t>
        </x:is>
      </x:c>
      <x:c r="E2050" s="31" t="inlineStr">
        <x:is>
          <x:t xml:space="preserve">ИЗД-039</x:t>
        </x:is>
      </x:c>
      <x:c r="F2050" s="31" t="n">
        <x:v>40</x:v>
      </x:c>
      <x:c r="G2050" s="31" t="inlineStr">
        <x:is>
          <x:t xml:space="preserve">Пескоструй</x:t>
        </x:is>
      </x:c>
      <x:c r="H2050" s="31" t="inlineStr">
        <x:is>
          <x:t xml:space="preserve">Сварка</x:t>
        </x:is>
      </x:c>
      <x:c r="I2050" s="31" t="inlineStr">
        <x:is>
          <x:t xml:space="preserve">ОБ-018</x:t>
        </x:is>
      </x:c>
      <x:c r="J2050" s="31" t="inlineStr">
        <x:is>
          <x:t xml:space="preserve">СОТР-056</x:t>
        </x:is>
      </x:c>
      <x:c r="K2050" s="31" t="n">
        <x:v>24.6</x:v>
      </x:c>
      <x:c r="L2050" s="31" t="n">
        <x:v>21.4</x:v>
      </x:c>
      <x:c r="M2050" s="31" t="n">
        <x:v>46089</x:v>
      </x:c>
      <x:c r="N2050" s="31" t="n">
        <x:v>46092</x:v>
      </x:c>
      <x:c r="O2050" s="31" t="n">
        <x:v>46089</x:v>
      </x:c>
      <x:c r="P2050" s="31" t="n">
        <x:v>46094</x:v>
      </x:c>
      <x:c r="Q2050" s="31" t="inlineStr">
        <x:is>
          <x:t xml:space="preserve">Завершено</x:t>
        </x:is>
      </x:c>
      <x:c r="R2050" s="31" t="inlineStr">
        <x:is>
          <x:t xml:space="preserve">Нет</x:t>
        </x:is>
      </x:c>
      <x:c r="S2050" s="31" t="inlineStr">
        <x:is>
          <x:t xml:space="preserve">Нет</x:t>
        </x:is>
      </x:c>
    </x:row>
    <x:row r="2051">
      <x:c r="A2051" s="31" t="inlineStr">
        <x:is>
          <x:t xml:space="preserve">ОП-002050</x:t>
        </x:is>
      </x:c>
      <x:c r="B2051" s="31" t="inlineStr">
        <x:is>
          <x:t xml:space="preserve">ПЗ-00245</x:t>
        </x:is>
      </x:c>
      <x:c r="C2051" s="31" t="inlineStr">
        <x:is>
          <x:t xml:space="preserve">ЗК-1120</x:t>
        </x:is>
      </x:c>
      <x:c r="D2051" s="31" t="inlineStr">
        <x:is>
          <x:t xml:space="preserve">ПОЗ-0120-1</x:t>
        </x:is>
      </x:c>
      <x:c r="E2051" s="31" t="inlineStr">
        <x:is>
          <x:t xml:space="preserve">ИЗД-039</x:t>
        </x:is>
      </x:c>
      <x:c r="F2051" s="31" t="n">
        <x:v>50</x:v>
      </x:c>
      <x:c r="G2051" s="31" t="inlineStr">
        <x:is>
          <x:t xml:space="preserve">Покраска</x:t>
        </x:is>
      </x:c>
      <x:c r="H2051" s="31" t="inlineStr">
        <x:is>
          <x:t xml:space="preserve">Сварка</x:t>
        </x:is>
      </x:c>
      <x:c r="I2051" s="31" t="inlineStr">
        <x:is>
          <x:t xml:space="preserve">ОБ-026</x:t>
        </x:is>
      </x:c>
      <x:c r="J2051" s="31" t="inlineStr">
        <x:is>
          <x:t xml:space="preserve">СОТР-069</x:t>
        </x:is>
      </x:c>
      <x:c r="K2051" s="31" t="n">
        <x:v>7.6</x:v>
      </x:c>
      <x:c r="L2051" s="31" t="n">
        <x:v>10.1</x:v>
      </x:c>
      <x:c r="M2051" s="31" t="n">
        <x:v>46092</x:v>
      </x:c>
      <x:c r="N2051" s="31" t="n">
        <x:v>46093</x:v>
      </x:c>
      <x:c r="O2051" s="31" t="n">
        <x:v>46092</x:v>
      </x:c>
      <x:c r="P2051" s="31" t="n">
        <x:v>46092</x:v>
      </x:c>
      <x:c r="Q2051" s="31" t="inlineStr">
        <x:is>
          <x:t xml:space="preserve">Завершено</x:t>
        </x:is>
      </x:c>
      <x:c r="R2051" s="31" t="inlineStr">
        <x:is>
          <x:t xml:space="preserve">Нет</x:t>
        </x:is>
      </x:c>
      <x:c r="S2051" s="31" t="inlineStr">
        <x:is>
          <x:t xml:space="preserve">Нет</x:t>
        </x:is>
      </x:c>
    </x:row>
    <x:row r="2052">
      <x:c r="A2052" s="31" t="inlineStr">
        <x:is>
          <x:t xml:space="preserve">ОП-002051</x:t>
        </x:is>
      </x:c>
      <x:c r="B2052" s="31" t="inlineStr">
        <x:is>
          <x:t xml:space="preserve">ПЗ-00245</x:t>
        </x:is>
      </x:c>
      <x:c r="C2052" s="31" t="inlineStr">
        <x:is>
          <x:t xml:space="preserve">ЗК-1120</x:t>
        </x:is>
      </x:c>
      <x:c r="D2052" s="31" t="inlineStr">
        <x:is>
          <x:t xml:space="preserve">ПОЗ-0120-1</x:t>
        </x:is>
      </x:c>
      <x:c r="E2052" s="31" t="inlineStr">
        <x:is>
          <x:t xml:space="preserve">ИЗД-039</x:t>
        </x:is>
      </x:c>
      <x:c r="F2052" s="31" t="n">
        <x:v>60</x:v>
      </x:c>
      <x:c r="G2052" s="31" t="inlineStr">
        <x:is>
          <x:t xml:space="preserve">ОТК</x:t>
        </x:is>
      </x:c>
      <x:c r="H2052" s="31" t="inlineStr">
        <x:is>
          <x:t xml:space="preserve">ОТК</x:t>
        </x:is>
      </x:c>
      <x:c r="I2052" s="31" t="inlineStr">
        <x:is>
          <x:t xml:space="preserve">ОБ-024</x:t>
        </x:is>
      </x:c>
      <x:c r="J2052" s="31" t="inlineStr">
        <x:is>
          <x:t xml:space="preserve">СОТР-092</x:t>
        </x:is>
      </x:c>
      <x:c r="K2052" s="31" t="n">
        <x:v>28.8</x:v>
      </x:c>
      <x:c r="L2052" s="31" t="n">
        <x:v>32.7</x:v>
      </x:c>
      <x:c r="M2052" s="31" t="n">
        <x:v>46093</x:v>
      </x:c>
      <x:c r="N2052" s="31" t="n">
        <x:v>46096</x:v>
      </x:c>
      <x:c r="O2052" s="31" t="n">
        <x:v>46093</x:v>
      </x:c>
      <x:c r="P2052" s="31" t="n">
        <x:v>46096</x:v>
      </x:c>
      <x:c r="Q2052" s="31" t="inlineStr">
        <x:is>
          <x:t xml:space="preserve">Завершено</x:t>
        </x:is>
      </x:c>
      <x:c r="R2052" s="31" t="inlineStr">
        <x:is>
          <x:t xml:space="preserve">Нет</x:t>
        </x:is>
      </x:c>
      <x:c r="S2052" s="31" t="inlineStr">
        <x:is>
          <x:t xml:space="preserve">Нет</x:t>
        </x:is>
      </x:c>
    </x:row>
    <x:row r="2053">
      <x:c r="A2053" s="31" t="inlineStr">
        <x:is>
          <x:t xml:space="preserve">ОП-002052</x:t>
        </x:is>
      </x:c>
      <x:c r="B2053" s="31" t="inlineStr">
        <x:is>
          <x:t xml:space="preserve">ПЗ-00246</x:t>
        </x:is>
      </x:c>
      <x:c r="C2053" s="31" t="inlineStr">
        <x:is>
          <x:t xml:space="preserve">ЗК-1120</x:t>
        </x:is>
      </x:c>
      <x:c r="D2053" s="31" t="inlineStr">
        <x:is>
          <x:t xml:space="preserve">ПОЗ-0120-2</x:t>
        </x:is>
      </x:c>
      <x:c r="E2053" s="31" t="inlineStr">
        <x:is>
          <x:t xml:space="preserve">ИЗД-035</x:t>
        </x:is>
      </x:c>
      <x:c r="F2053" s="31" t="n">
        <x:v>10</x:v>
      </x:c>
      <x:c r="G2053" s="31" t="inlineStr">
        <x:is>
          <x:t xml:space="preserve">КД</x:t>
        </x:is>
      </x:c>
      <x:c r="H2053" s="31" t="inlineStr">
        <x:is>
          <x:t xml:space="preserve">Инженерный отдел</x:t>
        </x:is>
      </x:c>
      <x:c r="I2053" s="31" t="n"/>
      <x:c r="J2053" s="31" t="inlineStr">
        <x:is>
          <x:t xml:space="preserve">СОТР-016</x:t>
        </x:is>
      </x:c>
      <x:c r="K2053" s="31" t="n">
        <x:v>13.8</x:v>
      </x:c>
      <x:c r="L2053" s="31" t="n">
        <x:v>14.4</x:v>
      </x:c>
      <x:c r="M2053" s="31" t="n">
        <x:v>46084</x:v>
      </x:c>
      <x:c r="N2053" s="31" t="n">
        <x:v>46086</x:v>
      </x:c>
      <x:c r="O2053" s="31" t="n">
        <x:v>46084</x:v>
      </x:c>
      <x:c r="P2053" s="31" t="n">
        <x:v>46088</x:v>
      </x:c>
      <x:c r="Q2053" s="31" t="inlineStr">
        <x:is>
          <x:t xml:space="preserve">Завершено</x:t>
        </x:is>
      </x:c>
      <x:c r="R2053" s="31" t="inlineStr">
        <x:is>
          <x:t xml:space="preserve">Материал</x:t>
        </x:is>
      </x:c>
      <x:c r="S2053" s="31" t="inlineStr">
        <x:is>
          <x:t xml:space="preserve">Нет</x:t>
        </x:is>
      </x:c>
    </x:row>
    <x:row r="2054">
      <x:c r="A2054" s="31" t="inlineStr">
        <x:is>
          <x:t xml:space="preserve">ОП-002053</x:t>
        </x:is>
      </x:c>
      <x:c r="B2054" s="31" t="inlineStr">
        <x:is>
          <x:t xml:space="preserve">ПЗ-00246</x:t>
        </x:is>
      </x:c>
      <x:c r="C2054" s="31" t="inlineStr">
        <x:is>
          <x:t xml:space="preserve">ЗК-1120</x:t>
        </x:is>
      </x:c>
      <x:c r="D2054" s="31" t="inlineStr">
        <x:is>
          <x:t xml:space="preserve">ПОЗ-0120-2</x:t>
        </x:is>
      </x:c>
      <x:c r="E2054" s="31" t="inlineStr">
        <x:is>
          <x:t xml:space="preserve">ИЗД-035</x:t>
        </x:is>
      </x:c>
      <x:c r="F2054" s="31" t="n">
        <x:v>20</x:v>
      </x:c>
      <x:c r="G2054" s="31" t="inlineStr">
        <x:is>
          <x:t xml:space="preserve">Резерв материалов</x:t>
        </x:is>
      </x:c>
      <x:c r="H2054" s="31" t="inlineStr">
        <x:is>
          <x:t xml:space="preserve">Склад</x:t>
        </x:is>
      </x:c>
      <x:c r="I2054" s="31" t="inlineStr">
        <x:is>
          <x:t xml:space="preserve">ОБ-023</x:t>
        </x:is>
      </x:c>
      <x:c r="J2054" s="31" t="inlineStr">
        <x:is>
          <x:t xml:space="preserve">СОТР-036</x:t>
        </x:is>
      </x:c>
      <x:c r="K2054" s="31" t="n">
        <x:v>20.4</x:v>
      </x:c>
      <x:c r="L2054" s="31" t="n">
        <x:v>18.5</x:v>
      </x:c>
      <x:c r="M2054" s="31" t="n">
        <x:v>46086</x:v>
      </x:c>
      <x:c r="N2054" s="31" t="n">
        <x:v>46088</x:v>
      </x:c>
      <x:c r="O2054" s="31" t="n">
        <x:v>46086</x:v>
      </x:c>
      <x:c r="P2054" s="31" t="n">
        <x:v>46087</x:v>
      </x:c>
      <x:c r="Q2054" s="31" t="inlineStr">
        <x:is>
          <x:t xml:space="preserve">Завершено</x:t>
        </x:is>
      </x:c>
      <x:c r="R2054" s="31" t="inlineStr">
        <x:is>
          <x:t xml:space="preserve">Нет</x:t>
        </x:is>
      </x:c>
      <x:c r="S2054" s="31" t="inlineStr">
        <x:is>
          <x:t xml:space="preserve">Да</x:t>
        </x:is>
      </x:c>
    </x:row>
    <x:row r="2055">
      <x:c r="A2055" s="31" t="inlineStr">
        <x:is>
          <x:t xml:space="preserve">ОП-002054</x:t>
        </x:is>
      </x:c>
      <x:c r="B2055" s="31" t="inlineStr">
        <x:is>
          <x:t xml:space="preserve">ПЗ-00246</x:t>
        </x:is>
      </x:c>
      <x:c r="C2055" s="31" t="inlineStr">
        <x:is>
          <x:t xml:space="preserve">ЗК-1120</x:t>
        </x:is>
      </x:c>
      <x:c r="D2055" s="31" t="inlineStr">
        <x:is>
          <x:t xml:space="preserve">ПОЗ-0120-2</x:t>
        </x:is>
      </x:c>
      <x:c r="E2055" s="31" t="inlineStr">
        <x:is>
          <x:t xml:space="preserve">ИЗД-035</x:t>
        </x:is>
      </x:c>
      <x:c r="F2055" s="31" t="n">
        <x:v>30</x:v>
      </x:c>
      <x:c r="G2055" s="31" t="inlineStr">
        <x:is>
          <x:t xml:space="preserve">Резка металла</x:t>
        </x:is>
      </x:c>
      <x:c r="H2055" s="31" t="inlineStr">
        <x:is>
          <x:t xml:space="preserve">Сварка</x:t>
        </x:is>
      </x:c>
      <x:c r="I2055" s="31" t="inlineStr">
        <x:is>
          <x:t xml:space="preserve">ОБ-021</x:t>
        </x:is>
      </x:c>
      <x:c r="J2055" s="31" t="inlineStr">
        <x:is>
          <x:t xml:space="preserve">СОТР-067</x:t>
        </x:is>
      </x:c>
      <x:c r="K2055" s="31" t="n">
        <x:v>9.4</x:v>
      </x:c>
      <x:c r="L2055" s="31" t="n">
        <x:v>11</x:v>
      </x:c>
      <x:c r="M2055" s="31" t="n">
        <x:v>46088</x:v>
      </x:c>
      <x:c r="N2055" s="31" t="n">
        <x:v>46089</x:v>
      </x:c>
      <x:c r="O2055" s="31" t="n">
        <x:v>46088</x:v>
      </x:c>
      <x:c r="P2055" s="31" t="n">
        <x:v>46088</x:v>
      </x:c>
      <x:c r="Q2055" s="31" t="inlineStr">
        <x:is>
          <x:t xml:space="preserve">Завершено</x:t>
        </x:is>
      </x:c>
      <x:c r="R2055" s="31" t="inlineStr">
        <x:is>
          <x:t xml:space="preserve">Оборудование</x:t>
        </x:is>
      </x:c>
      <x:c r="S2055" s="31" t="inlineStr">
        <x:is>
          <x:t xml:space="preserve">Нет</x:t>
        </x:is>
      </x:c>
    </x:row>
    <x:row r="2056">
      <x:c r="A2056" s="31" t="inlineStr">
        <x:is>
          <x:t xml:space="preserve">ОП-002055</x:t>
        </x:is>
      </x:c>
      <x:c r="B2056" s="31" t="inlineStr">
        <x:is>
          <x:t xml:space="preserve">ПЗ-00246</x:t>
        </x:is>
      </x:c>
      <x:c r="C2056" s="31" t="inlineStr">
        <x:is>
          <x:t xml:space="preserve">ЗК-1120</x:t>
        </x:is>
      </x:c>
      <x:c r="D2056" s="31" t="inlineStr">
        <x:is>
          <x:t xml:space="preserve">ПОЗ-0120-2</x:t>
        </x:is>
      </x:c>
      <x:c r="E2056" s="31" t="inlineStr">
        <x:is>
          <x:t xml:space="preserve">ИЗД-035</x:t>
        </x:is>
      </x:c>
      <x:c r="F2056" s="31" t="n">
        <x:v>40</x:v>
      </x:c>
      <x:c r="G2056" s="31" t="inlineStr">
        <x:is>
          <x:t xml:space="preserve">Сварка рамы</x:t>
        </x:is>
      </x:c>
      <x:c r="H2056" s="31" t="inlineStr">
        <x:is>
          <x:t xml:space="preserve">Сварка</x:t>
        </x:is>
      </x:c>
      <x:c r="I2056" s="31" t="inlineStr">
        <x:is>
          <x:t xml:space="preserve">ОБ-035</x:t>
        </x:is>
      </x:c>
      <x:c r="J2056" s="31" t="inlineStr">
        <x:is>
          <x:t xml:space="preserve">СОТР-059</x:t>
        </x:is>
      </x:c>
      <x:c r="K2056" s="31" t="n">
        <x:v>4.6</x:v>
      </x:c>
      <x:c r="L2056" s="31" t="n">
        <x:v>5.6</x:v>
      </x:c>
      <x:c r="M2056" s="31" t="n">
        <x:v>46089</x:v>
      </x:c>
      <x:c r="N2056" s="31" t="n">
        <x:v>46090</x:v>
      </x:c>
      <x:c r="O2056" s="31" t="n">
        <x:v>46089</x:v>
      </x:c>
      <x:c r="P2056" s="31" t="n">
        <x:v>46091</x:v>
      </x:c>
      <x:c r="Q2056" s="31" t="inlineStr">
        <x:is>
          <x:t xml:space="preserve">Завершено</x:t>
        </x:is>
      </x:c>
      <x:c r="R2056" s="31" t="inlineStr">
        <x:is>
          <x:t xml:space="preserve">Нет</x:t>
        </x:is>
      </x:c>
      <x:c r="S2056" s="31" t="inlineStr">
        <x:is>
          <x:t xml:space="preserve">Нет</x:t>
        </x:is>
      </x:c>
    </x:row>
    <x:row r="2057">
      <x:c r="A2057" s="31" t="inlineStr">
        <x:is>
          <x:t xml:space="preserve">ОП-002056</x:t>
        </x:is>
      </x:c>
      <x:c r="B2057" s="31" t="inlineStr">
        <x:is>
          <x:t xml:space="preserve">ПЗ-00246</x:t>
        </x:is>
      </x:c>
      <x:c r="C2057" s="31" t="inlineStr">
        <x:is>
          <x:t xml:space="preserve">ЗК-1120</x:t>
        </x:is>
      </x:c>
      <x:c r="D2057" s="31" t="inlineStr">
        <x:is>
          <x:t xml:space="preserve">ПОЗ-0120-2</x:t>
        </x:is>
      </x:c>
      <x:c r="E2057" s="31" t="inlineStr">
        <x:is>
          <x:t xml:space="preserve">ИЗД-035</x:t>
        </x:is>
      </x:c>
      <x:c r="F2057" s="31" t="n">
        <x:v>50</x:v>
      </x:c>
      <x:c r="G2057" s="31" t="inlineStr">
        <x:is>
          <x:t xml:space="preserve">Механообработка</x:t>
        </x:is>
      </x:c>
      <x:c r="H2057" s="31" t="inlineStr">
        <x:is>
          <x:t xml:space="preserve">Механообработка</x:t>
        </x:is>
      </x:c>
      <x:c r="I2057" s="31" t="inlineStr">
        <x:is>
          <x:t xml:space="preserve">ОБ-031</x:t>
        </x:is>
      </x:c>
      <x:c r="J2057" s="31" t="inlineStr">
        <x:is>
          <x:t xml:space="preserve">СОТР-043</x:t>
        </x:is>
      </x:c>
      <x:c r="K2057" s="31" t="n">
        <x:v>13.8</x:v>
      </x:c>
      <x:c r="L2057" s="31" t="n">
        <x:v>17.3</x:v>
      </x:c>
      <x:c r="M2057" s="31" t="n">
        <x:v>46090</x:v>
      </x:c>
      <x:c r="N2057" s="31" t="n">
        <x:v>46092</x:v>
      </x:c>
      <x:c r="O2057" s="31" t="n">
        <x:v>46090</x:v>
      </x:c>
      <x:c r="P2057" s="31" t="n">
        <x:v>46094</x:v>
      </x:c>
      <x:c r="Q2057" s="31" t="inlineStr">
        <x:is>
          <x:t xml:space="preserve">Завершено</x:t>
        </x:is>
      </x:c>
      <x:c r="R2057" s="31" t="inlineStr">
        <x:is>
          <x:t xml:space="preserve">Нет</x:t>
        </x:is>
      </x:c>
      <x:c r="S2057" s="31" t="inlineStr">
        <x:is>
          <x:t xml:space="preserve">Да</x:t>
        </x:is>
      </x:c>
    </x:row>
    <x:row r="2058">
      <x:c r="A2058" s="31" t="inlineStr">
        <x:is>
          <x:t xml:space="preserve">ОП-002057</x:t>
        </x:is>
      </x:c>
      <x:c r="B2058" s="31" t="inlineStr">
        <x:is>
          <x:t xml:space="preserve">ПЗ-00246</x:t>
        </x:is>
      </x:c>
      <x:c r="C2058" s="31" t="inlineStr">
        <x:is>
          <x:t xml:space="preserve">ЗК-1120</x:t>
        </x:is>
      </x:c>
      <x:c r="D2058" s="31" t="inlineStr">
        <x:is>
          <x:t xml:space="preserve">ПОЗ-0120-2</x:t>
        </x:is>
      </x:c>
      <x:c r="E2058" s="31" t="inlineStr">
        <x:is>
          <x:t xml:space="preserve">ИЗД-035</x:t>
        </x:is>
      </x:c>
      <x:c r="F2058" s="31" t="n">
        <x:v>60</x:v>
      </x:c>
      <x:c r="G2058" s="31" t="inlineStr">
        <x:is>
          <x:t xml:space="preserve">Сборка</x:t>
        </x:is>
      </x:c>
      <x:c r="H2058" s="31" t="inlineStr">
        <x:is>
          <x:t xml:space="preserve">Сборка</x:t>
        </x:is>
      </x:c>
      <x:c r="I2058" s="31" t="inlineStr">
        <x:is>
          <x:t xml:space="preserve">ОБ-012</x:t>
        </x:is>
      </x:c>
      <x:c r="J2058" s="31" t="inlineStr">
        <x:is>
          <x:t xml:space="preserve">СОТР-084</x:t>
        </x:is>
      </x:c>
      <x:c r="K2058" s="31" t="n">
        <x:v>2.8</x:v>
      </x:c>
      <x:c r="L2058" s="31" t="n">
        <x:v>3.7</x:v>
      </x:c>
      <x:c r="M2058" s="31" t="n">
        <x:v>46092</x:v>
      </x:c>
      <x:c r="N2058" s="31" t="n">
        <x:v>46093</x:v>
      </x:c>
      <x:c r="O2058" s="31" t="n">
        <x:v>46092</x:v>
      </x:c>
      <x:c r="P2058" s="31" t="n">
        <x:v>46093</x:v>
      </x:c>
      <x:c r="Q2058" s="31" t="inlineStr">
        <x:is>
          <x:t xml:space="preserve">Завершено</x:t>
        </x:is>
      </x:c>
      <x:c r="R2058" s="31" t="inlineStr">
        <x:is>
          <x:t xml:space="preserve">Нет</x:t>
        </x:is>
      </x:c>
      <x:c r="S2058" s="31" t="inlineStr">
        <x:is>
          <x:t xml:space="preserve">Нет</x:t>
        </x:is>
      </x:c>
    </x:row>
    <x:row r="2059">
      <x:c r="A2059" s="31" t="inlineStr">
        <x:is>
          <x:t xml:space="preserve">ОП-002058</x:t>
        </x:is>
      </x:c>
      <x:c r="B2059" s="31" t="inlineStr">
        <x:is>
          <x:t xml:space="preserve">ПЗ-00246</x:t>
        </x:is>
      </x:c>
      <x:c r="C2059" s="31" t="inlineStr">
        <x:is>
          <x:t xml:space="preserve">ЗК-1120</x:t>
        </x:is>
      </x:c>
      <x:c r="D2059" s="31" t="inlineStr">
        <x:is>
          <x:t xml:space="preserve">ПОЗ-0120-2</x:t>
        </x:is>
      </x:c>
      <x:c r="E2059" s="31" t="inlineStr">
        <x:is>
          <x:t xml:space="preserve">ИЗД-035</x:t>
        </x:is>
      </x:c>
      <x:c r="F2059" s="31" t="n">
        <x:v>70</x:v>
      </x:c>
      <x:c r="G2059" s="31" t="inlineStr">
        <x:is>
          <x:t xml:space="preserve">Обвязка труб</x:t>
        </x:is>
      </x:c>
      <x:c r="H2059" s="31" t="inlineStr">
        <x:is>
          <x:t xml:space="preserve">Сборка</x:t>
        </x:is>
      </x:c>
      <x:c r="I2059" s="31" t="inlineStr">
        <x:is>
          <x:t xml:space="preserve">ОБ-002</x:t>
        </x:is>
      </x:c>
      <x:c r="J2059" s="31" t="inlineStr">
        <x:is>
          <x:t xml:space="preserve">СОТР-090</x:t>
        </x:is>
      </x:c>
      <x:c r="K2059" s="31" t="n">
        <x:v>22</x:v>
      </x:c>
      <x:c r="L2059" s="31" t="n">
        <x:v>26.2</x:v>
      </x:c>
      <x:c r="M2059" s="31" t="n">
        <x:v>46093</x:v>
      </x:c>
      <x:c r="N2059" s="31" t="n">
        <x:v>46095</x:v>
      </x:c>
      <x:c r="O2059" s="31" t="n">
        <x:v>46093</x:v>
      </x:c>
      <x:c r="P2059" s="31" t="n">
        <x:v>46096</x:v>
      </x:c>
      <x:c r="Q2059" s="31" t="inlineStr">
        <x:is>
          <x:t xml:space="preserve">Завершено</x:t>
        </x:is>
      </x:c>
      <x:c r="R2059" s="31" t="inlineStr">
        <x:is>
          <x:t xml:space="preserve">Нет</x:t>
        </x:is>
      </x:c>
      <x:c r="S2059" s="31" t="inlineStr">
        <x:is>
          <x:t xml:space="preserve">Нет</x:t>
        </x:is>
      </x:c>
    </x:row>
    <x:row r="2060">
      <x:c r="A2060" s="31" t="inlineStr">
        <x:is>
          <x:t xml:space="preserve">ОП-002059</x:t>
        </x:is>
      </x:c>
      <x:c r="B2060" s="31" t="inlineStr">
        <x:is>
          <x:t xml:space="preserve">ПЗ-00246</x:t>
        </x:is>
      </x:c>
      <x:c r="C2060" s="31" t="inlineStr">
        <x:is>
          <x:t xml:space="preserve">ЗК-1120</x:t>
        </x:is>
      </x:c>
      <x:c r="D2060" s="31" t="inlineStr">
        <x:is>
          <x:t xml:space="preserve">ПОЗ-0120-2</x:t>
        </x:is>
      </x:c>
      <x:c r="E2060" s="31" t="inlineStr">
        <x:is>
          <x:t xml:space="preserve">ИЗД-035</x:t>
        </x:is>
      </x:c>
      <x:c r="F2060" s="31" t="n">
        <x:v>80</x:v>
      </x:c>
      <x:c r="G2060" s="31" t="inlineStr">
        <x:is>
          <x:t xml:space="preserve">Электромонтаж</x:t>
        </x:is>
      </x:c>
      <x:c r="H2060" s="31" t="inlineStr">
        <x:is>
          <x:t xml:space="preserve">Сборка</x:t>
        </x:is>
      </x:c>
      <x:c r="I2060" s="31" t="inlineStr">
        <x:is>
          <x:t xml:space="preserve">ОБ-002</x:t>
        </x:is>
      </x:c>
      <x:c r="J2060" s="31" t="inlineStr">
        <x:is>
          <x:t xml:space="preserve">СОТР-091</x:t>
        </x:is>
      </x:c>
      <x:c r="K2060" s="31" t="n">
        <x:v>2.4</x:v>
      </x:c>
      <x:c r="L2060" s="31" t="n">
        <x:v>2.5</x:v>
      </x:c>
      <x:c r="M2060" s="31" t="n">
        <x:v>46095</x:v>
      </x:c>
      <x:c r="N2060" s="31" t="n">
        <x:v>46096</x:v>
      </x:c>
      <x:c r="O2060" s="31" t="n">
        <x:v>46095</x:v>
      </x:c>
      <x:c r="P2060" s="31" t="n">
        <x:v>46098</x:v>
      </x:c>
      <x:c r="Q2060" s="31" t="inlineStr">
        <x:is>
          <x:t xml:space="preserve">Завершено</x:t>
        </x:is>
      </x:c>
      <x:c r="R2060" s="31" t="inlineStr">
        <x:is>
          <x:t xml:space="preserve">Нет</x:t>
        </x:is>
      </x:c>
      <x:c r="S2060" s="31" t="inlineStr">
        <x:is>
          <x:t xml:space="preserve">Нет</x:t>
        </x:is>
      </x:c>
    </x:row>
    <x:row r="2061">
      <x:c r="A2061" s="31" t="inlineStr">
        <x:is>
          <x:t xml:space="preserve">ОП-002060</x:t>
        </x:is>
      </x:c>
      <x:c r="B2061" s="31" t="inlineStr">
        <x:is>
          <x:t xml:space="preserve">ПЗ-00246</x:t>
        </x:is>
      </x:c>
      <x:c r="C2061" s="31" t="inlineStr">
        <x:is>
          <x:t xml:space="preserve">ЗК-1120</x:t>
        </x:is>
      </x:c>
      <x:c r="D2061" s="31" t="inlineStr">
        <x:is>
          <x:t xml:space="preserve">ПОЗ-0120-2</x:t>
        </x:is>
      </x:c>
      <x:c r="E2061" s="31" t="inlineStr">
        <x:is>
          <x:t xml:space="preserve">ИЗД-035</x:t>
        </x:is>
      </x:c>
      <x:c r="F2061" s="31" t="n">
        <x:v>90</x:v>
      </x:c>
      <x:c r="G2061" s="31" t="inlineStr">
        <x:is>
          <x:t xml:space="preserve">Приемочные испытания</x:t>
        </x:is>
      </x:c>
      <x:c r="H2061" s="31" t="inlineStr">
        <x:is>
          <x:t xml:space="preserve">ОТК</x:t>
        </x:is>
      </x:c>
      <x:c r="I2061" s="31" t="inlineStr">
        <x:is>
          <x:t xml:space="preserve">ОБ-033</x:t>
        </x:is>
      </x:c>
      <x:c r="J2061" s="31" t="inlineStr">
        <x:is>
          <x:t xml:space="preserve">СОТР-093</x:t>
        </x:is>
      </x:c>
      <x:c r="K2061" s="31" t="n">
        <x:v>4.2</x:v>
      </x:c>
      <x:c r="L2061" s="31" t="n">
        <x:v>5.6</x:v>
      </x:c>
      <x:c r="M2061" s="31" t="n">
        <x:v>46096</x:v>
      </x:c>
      <x:c r="N2061" s="31" t="n">
        <x:v>46097</x:v>
      </x:c>
      <x:c r="O2061" s="31" t="n">
        <x:v>46096</x:v>
      </x:c>
      <x:c r="P2061" s="31" t="n">
        <x:v>46097</x:v>
      </x:c>
      <x:c r="Q2061" s="31" t="inlineStr">
        <x:is>
          <x:t xml:space="preserve">Завершено</x:t>
        </x:is>
      </x:c>
      <x:c r="R2061" s="31" t="inlineStr">
        <x:is>
          <x:t xml:space="preserve">Нет</x:t>
        </x:is>
      </x:c>
      <x:c r="S2061" s="31" t="inlineStr">
        <x:is>
          <x:t xml:space="preserve">Нет</x:t>
        </x:is>
      </x:c>
    </x:row>
    <x:row r="2062">
      <x:c r="A2062" s="31" t="inlineStr">
        <x:is>
          <x:t xml:space="preserve">ОП-002061</x:t>
        </x:is>
      </x:c>
      <x:c r="B2062" s="31" t="inlineStr">
        <x:is>
          <x:t xml:space="preserve">ПЗ-00246</x:t>
        </x:is>
      </x:c>
      <x:c r="C2062" s="31" t="inlineStr">
        <x:is>
          <x:t xml:space="preserve">ЗК-1120</x:t>
        </x:is>
      </x:c>
      <x:c r="D2062" s="31" t="inlineStr">
        <x:is>
          <x:t xml:space="preserve">ПОЗ-0120-2</x:t>
        </x:is>
      </x:c>
      <x:c r="E2062" s="31" t="inlineStr">
        <x:is>
          <x:t xml:space="preserve">ИЗД-035</x:t>
        </x:is>
      </x:c>
      <x:c r="F2062" s="31" t="n">
        <x:v>100</x:v>
      </x:c>
      <x:c r="G2062" s="31" t="inlineStr">
        <x:is>
          <x:t xml:space="preserve">ОТК</x:t>
        </x:is>
      </x:c>
      <x:c r="H2062" s="31" t="inlineStr">
        <x:is>
          <x:t xml:space="preserve">ОТК</x:t>
        </x:is>
      </x:c>
      <x:c r="I2062" s="31" t="inlineStr">
        <x:is>
          <x:t xml:space="preserve">ОБ-006</x:t>
        </x:is>
      </x:c>
      <x:c r="J2062" s="31" t="inlineStr">
        <x:is>
          <x:t xml:space="preserve">СОТР-096</x:t>
        </x:is>
      </x:c>
      <x:c r="K2062" s="31" t="n">
        <x:v>20</x:v>
      </x:c>
      <x:c r="L2062" s="31" t="n">
        <x:v>19.5</x:v>
      </x:c>
      <x:c r="M2062" s="31" t="n">
        <x:v>46097</x:v>
      </x:c>
      <x:c r="N2062" s="31" t="n">
        <x:v>46099</x:v>
      </x:c>
      <x:c r="O2062" s="31" t="n">
        <x:v>46097</x:v>
      </x:c>
      <x:c r="P2062" s="31" t="n">
        <x:v>46099</x:v>
      </x:c>
      <x:c r="Q2062" s="31" t="inlineStr">
        <x:is>
          <x:t xml:space="preserve">Завершено</x:t>
        </x:is>
      </x:c>
      <x:c r="R2062" s="31" t="inlineStr">
        <x:is>
          <x:t xml:space="preserve">Нет</x:t>
        </x:is>
      </x:c>
      <x:c r="S2062" s="31" t="inlineStr">
        <x:is>
          <x:t xml:space="preserve">Нет</x:t>
        </x:is>
      </x:c>
    </x:row>
    <x:row r="2063">
      <x:c r="A2063" s="31" t="inlineStr">
        <x:is>
          <x:t xml:space="preserve">ОП-002062</x:t>
        </x:is>
      </x:c>
      <x:c r="B2063" s="31" t="inlineStr">
        <x:is>
          <x:t xml:space="preserve">ПЗ-00246</x:t>
        </x:is>
      </x:c>
      <x:c r="C2063" s="31" t="inlineStr">
        <x:is>
          <x:t xml:space="preserve">ЗК-1120</x:t>
        </x:is>
      </x:c>
      <x:c r="D2063" s="31" t="inlineStr">
        <x:is>
          <x:t xml:space="preserve">ПОЗ-0120-2</x:t>
        </x:is>
      </x:c>
      <x:c r="E2063" s="31" t="inlineStr">
        <x:is>
          <x:t xml:space="preserve">ИЗД-035</x:t>
        </x:is>
      </x:c>
      <x:c r="F2063" s="31" t="n">
        <x:v>110</x:v>
      </x:c>
      <x:c r="G2063" s="31" t="inlineStr">
        <x:is>
          <x:t xml:space="preserve">Упаковка</x:t>
        </x:is>
      </x:c>
      <x:c r="H2063" s="31" t="inlineStr">
        <x:is>
          <x:t xml:space="preserve">Логистика</x:t>
        </x:is>
      </x:c>
      <x:c r="I2063" s="31" t="n"/>
      <x:c r="J2063" s="31" t="inlineStr">
        <x:is>
          <x:t xml:space="preserve">СОТР-070</x:t>
        </x:is>
      </x:c>
      <x:c r="K2063" s="31" t="n">
        <x:v>15.6</x:v>
      </x:c>
      <x:c r="L2063" s="31" t="n">
        <x:v>19.7</x:v>
      </x:c>
      <x:c r="M2063" s="31" t="n">
        <x:v>46099</x:v>
      </x:c>
      <x:c r="N2063" s="31" t="n">
        <x:v>46101</x:v>
      </x:c>
      <x:c r="O2063" s="31" t="n">
        <x:v>46099</x:v>
      </x:c>
      <x:c r="P2063" s="31" t="n">
        <x:v>46101</x:v>
      </x:c>
      <x:c r="Q2063" s="31" t="inlineStr">
        <x:is>
          <x:t xml:space="preserve">Завершено</x:t>
        </x:is>
      </x:c>
      <x:c r="R2063" s="31" t="inlineStr">
        <x:is>
          <x:t xml:space="preserve">Нет</x:t>
        </x:is>
      </x:c>
      <x:c r="S2063" s="31" t="inlineStr">
        <x:is>
          <x:t xml:space="preserve">Да</x:t>
        </x:is>
      </x:c>
    </x:row>
    <x:row r="2064">
      <x:c r="A2064" s="31" t="inlineStr">
        <x:is>
          <x:t xml:space="preserve">ОП-002063</x:t>
        </x:is>
      </x:c>
      <x:c r="B2064" s="31" t="inlineStr">
        <x:is>
          <x:t xml:space="preserve">ПЗ-00247</x:t>
        </x:is>
      </x:c>
      <x:c r="C2064" s="31" t="inlineStr">
        <x:is>
          <x:t xml:space="preserve">ЗК-1120</x:t>
        </x:is>
      </x:c>
      <x:c r="D2064" s="31" t="inlineStr">
        <x:is>
          <x:t xml:space="preserve">ПОЗ-0120-3</x:t>
        </x:is>
      </x:c>
      <x:c r="E2064" s="31" t="inlineStr">
        <x:is>
          <x:t xml:space="preserve">ИЗД-013</x:t>
        </x:is>
      </x:c>
      <x:c r="F2064" s="31" t="n">
        <x:v>10</x:v>
      </x:c>
      <x:c r="G2064" s="31" t="inlineStr">
        <x:is>
          <x:t xml:space="preserve">КД</x:t>
        </x:is>
      </x:c>
      <x:c r="H2064" s="31" t="inlineStr">
        <x:is>
          <x:t xml:space="preserve">Инженерный отдел</x:t>
        </x:is>
      </x:c>
      <x:c r="I2064" s="31" t="n"/>
      <x:c r="J2064" s="31" t="inlineStr">
        <x:is>
          <x:t xml:space="preserve">СОТР-016</x:t>
        </x:is>
      </x:c>
      <x:c r="K2064" s="31" t="n">
        <x:v>17.9</x:v>
      </x:c>
      <x:c r="L2064" s="31" t="n">
        <x:v>23.4</x:v>
      </x:c>
      <x:c r="M2064" s="31" t="n">
        <x:v>46082</x:v>
      </x:c>
      <x:c r="N2064" s="31" t="n">
        <x:v>46084</x:v>
      </x:c>
      <x:c r="O2064" s="31" t="n">
        <x:v>46082</x:v>
      </x:c>
      <x:c r="P2064" s="31" t="n">
        <x:v>46085</x:v>
      </x:c>
      <x:c r="Q2064" s="31" t="inlineStr">
        <x:is>
          <x:t xml:space="preserve">Завершено</x:t>
        </x:is>
      </x:c>
      <x:c r="R2064" s="31" t="inlineStr">
        <x:is>
          <x:t xml:space="preserve">Нет</x:t>
        </x:is>
      </x:c>
      <x:c r="S2064" s="31" t="inlineStr">
        <x:is>
          <x:t xml:space="preserve">Нет</x:t>
        </x:is>
      </x:c>
    </x:row>
    <x:row r="2065">
      <x:c r="A2065" s="31" t="inlineStr">
        <x:is>
          <x:t xml:space="preserve">ОП-002064</x:t>
        </x:is>
      </x:c>
      <x:c r="B2065" s="31" t="inlineStr">
        <x:is>
          <x:t xml:space="preserve">ПЗ-00247</x:t>
        </x:is>
      </x:c>
      <x:c r="C2065" s="31" t="inlineStr">
        <x:is>
          <x:t xml:space="preserve">ЗК-1120</x:t>
        </x:is>
      </x:c>
      <x:c r="D2065" s="31" t="inlineStr">
        <x:is>
          <x:t xml:space="preserve">ПОЗ-0120-3</x:t>
        </x:is>
      </x:c>
      <x:c r="E2065" s="31" t="inlineStr">
        <x:is>
          <x:t xml:space="preserve">ИЗД-013</x:t>
        </x:is>
      </x:c>
      <x:c r="F2065" s="31" t="n">
        <x:v>20</x:v>
      </x:c>
      <x:c r="G2065" s="31" t="inlineStr">
        <x:is>
          <x:t xml:space="preserve">Резка металла</x:t>
        </x:is>
      </x:c>
      <x:c r="H2065" s="31" t="inlineStr">
        <x:is>
          <x:t xml:space="preserve">Сварка</x:t>
        </x:is>
      </x:c>
      <x:c r="I2065" s="31" t="inlineStr">
        <x:is>
          <x:t xml:space="preserve">ОБ-021</x:t>
        </x:is>
      </x:c>
      <x:c r="J2065" s="31" t="inlineStr">
        <x:is>
          <x:t xml:space="preserve">СОТР-069</x:t>
        </x:is>
      </x:c>
      <x:c r="K2065" s="31" t="n">
        <x:v>10.2</x:v>
      </x:c>
      <x:c r="L2065" s="31" t="n">
        <x:v>8.6</x:v>
      </x:c>
      <x:c r="M2065" s="31" t="n">
        <x:v>46084</x:v>
      </x:c>
      <x:c r="N2065" s="31" t="n">
        <x:v>46085</x:v>
      </x:c>
      <x:c r="O2065" s="31" t="n">
        <x:v>46084</x:v>
      </x:c>
      <x:c r="P2065" s="31" t="n">
        <x:v>46086</x:v>
      </x:c>
      <x:c r="Q2065" s="31" t="inlineStr">
        <x:is>
          <x:t xml:space="preserve">Завершено</x:t>
        </x:is>
      </x:c>
      <x:c r="R2065" s="31" t="inlineStr">
        <x:is>
          <x:t xml:space="preserve">Нет</x:t>
        </x:is>
      </x:c>
      <x:c r="S2065" s="31" t="inlineStr">
        <x:is>
          <x:t xml:space="preserve">Нет</x:t>
        </x:is>
      </x:c>
    </x:row>
    <x:row r="2066">
      <x:c r="A2066" s="31" t="inlineStr">
        <x:is>
          <x:t xml:space="preserve">ОП-002065</x:t>
        </x:is>
      </x:c>
      <x:c r="B2066" s="31" t="inlineStr">
        <x:is>
          <x:t xml:space="preserve">ПЗ-00247</x:t>
        </x:is>
      </x:c>
      <x:c r="C2066" s="31" t="inlineStr">
        <x:is>
          <x:t xml:space="preserve">ЗК-1120</x:t>
        </x:is>
      </x:c>
      <x:c r="D2066" s="31" t="inlineStr">
        <x:is>
          <x:t xml:space="preserve">ПОЗ-0120-3</x:t>
        </x:is>
      </x:c>
      <x:c r="E2066" s="31" t="inlineStr">
        <x:is>
          <x:t xml:space="preserve">ИЗД-013</x:t>
        </x:is>
      </x:c>
      <x:c r="F2066" s="31" t="n">
        <x:v>30</x:v>
      </x:c>
      <x:c r="G2066" s="31" t="inlineStr">
        <x:is>
          <x:t xml:space="preserve">Сварка рамы</x:t>
        </x:is>
      </x:c>
      <x:c r="H2066" s="31" t="inlineStr">
        <x:is>
          <x:t xml:space="preserve">Сварка</x:t>
        </x:is>
      </x:c>
      <x:c r="I2066" s="31" t="inlineStr">
        <x:is>
          <x:t xml:space="preserve">ОБ-003</x:t>
        </x:is>
      </x:c>
      <x:c r="J2066" s="31" t="inlineStr">
        <x:is>
          <x:t xml:space="preserve">СОТР-065</x:t>
        </x:is>
      </x:c>
      <x:c r="K2066" s="31" t="n">
        <x:v>9.1</x:v>
      </x:c>
      <x:c r="L2066" s="31" t="n">
        <x:v>10.7</x:v>
      </x:c>
      <x:c r="M2066" s="31" t="n">
        <x:v>46085</x:v>
      </x:c>
      <x:c r="N2066" s="31" t="n">
        <x:v>46086</x:v>
      </x:c>
      <x:c r="O2066" s="31" t="n">
        <x:v>46085</x:v>
      </x:c>
      <x:c r="P2066" s="31" t="n">
        <x:v>46085</x:v>
      </x:c>
      <x:c r="Q2066" s="31" t="inlineStr">
        <x:is>
          <x:t xml:space="preserve">Завершено</x:t>
        </x:is>
      </x:c>
      <x:c r="R2066" s="31" t="inlineStr">
        <x:is>
          <x:t xml:space="preserve">Нет</x:t>
        </x:is>
      </x:c>
      <x:c r="S2066" s="31" t="inlineStr">
        <x:is>
          <x:t xml:space="preserve">Нет</x:t>
        </x:is>
      </x:c>
    </x:row>
    <x:row r="2067">
      <x:c r="A2067" s="31" t="inlineStr">
        <x:is>
          <x:t xml:space="preserve">ОП-002066</x:t>
        </x:is>
      </x:c>
      <x:c r="B2067" s="31" t="inlineStr">
        <x:is>
          <x:t xml:space="preserve">ПЗ-00247</x:t>
        </x:is>
      </x:c>
      <x:c r="C2067" s="31" t="inlineStr">
        <x:is>
          <x:t xml:space="preserve">ЗК-1120</x:t>
        </x:is>
      </x:c>
      <x:c r="D2067" s="31" t="inlineStr">
        <x:is>
          <x:t xml:space="preserve">ПОЗ-0120-3</x:t>
        </x:is>
      </x:c>
      <x:c r="E2067" s="31" t="inlineStr">
        <x:is>
          <x:t xml:space="preserve">ИЗД-013</x:t>
        </x:is>
      </x:c>
      <x:c r="F2067" s="31" t="n">
        <x:v>40</x:v>
      </x:c>
      <x:c r="G2067" s="31" t="inlineStr">
        <x:is>
          <x:t xml:space="preserve">Пескоструй</x:t>
        </x:is>
      </x:c>
      <x:c r="H2067" s="31" t="inlineStr">
        <x:is>
          <x:t xml:space="preserve">Сварка</x:t>
        </x:is>
      </x:c>
      <x:c r="I2067" s="31" t="inlineStr">
        <x:is>
          <x:t xml:space="preserve">ОБ-026</x:t>
        </x:is>
      </x:c>
      <x:c r="J2067" s="31" t="inlineStr">
        <x:is>
          <x:t xml:space="preserve">СОТР-071</x:t>
        </x:is>
      </x:c>
      <x:c r="K2067" s="31" t="n">
        <x:v>14.3</x:v>
      </x:c>
      <x:c r="L2067" s="31" t="n">
        <x:v>16.9</x:v>
      </x:c>
      <x:c r="M2067" s="31" t="n">
        <x:v>46086</x:v>
      </x:c>
      <x:c r="N2067" s="31" t="n">
        <x:v>46088</x:v>
      </x:c>
      <x:c r="O2067" s="31" t="n">
        <x:v>46086</x:v>
      </x:c>
      <x:c r="P2067" s="31" t="n">
        <x:v>46087</x:v>
      </x:c>
      <x:c r="Q2067" s="31" t="inlineStr">
        <x:is>
          <x:t xml:space="preserve">Завершено</x:t>
        </x:is>
      </x:c>
      <x:c r="R2067" s="31" t="inlineStr">
        <x:is>
          <x:t xml:space="preserve">Нет</x:t>
        </x:is>
      </x:c>
      <x:c r="S2067" s="31" t="inlineStr">
        <x:is>
          <x:t xml:space="preserve">Нет</x:t>
        </x:is>
      </x:c>
    </x:row>
    <x:row r="2068">
      <x:c r="A2068" s="31" t="inlineStr">
        <x:is>
          <x:t xml:space="preserve">ОП-002067</x:t>
        </x:is>
      </x:c>
      <x:c r="B2068" s="31" t="inlineStr">
        <x:is>
          <x:t xml:space="preserve">ПЗ-00247</x:t>
        </x:is>
      </x:c>
      <x:c r="C2068" s="31" t="inlineStr">
        <x:is>
          <x:t xml:space="preserve">ЗК-1120</x:t>
        </x:is>
      </x:c>
      <x:c r="D2068" s="31" t="inlineStr">
        <x:is>
          <x:t xml:space="preserve">ПОЗ-0120-3</x:t>
        </x:is>
      </x:c>
      <x:c r="E2068" s="31" t="inlineStr">
        <x:is>
          <x:t xml:space="preserve">ИЗД-013</x:t>
        </x:is>
      </x:c>
      <x:c r="F2068" s="31" t="n">
        <x:v>50</x:v>
      </x:c>
      <x:c r="G2068" s="31" t="inlineStr">
        <x:is>
          <x:t xml:space="preserve">Покраска</x:t>
        </x:is>
      </x:c>
      <x:c r="H2068" s="31" t="inlineStr">
        <x:is>
          <x:t xml:space="preserve">Сварка</x:t>
        </x:is>
      </x:c>
      <x:c r="I2068" s="31" t="inlineStr">
        <x:is>
          <x:t xml:space="preserve">ОБ-003</x:t>
        </x:is>
      </x:c>
      <x:c r="J2068" s="31" t="inlineStr">
        <x:is>
          <x:t xml:space="preserve">СОТР-068</x:t>
        </x:is>
      </x:c>
      <x:c r="K2068" s="31" t="n">
        <x:v>12.1</x:v>
      </x:c>
      <x:c r="L2068" s="31" t="n">
        <x:v>13.1</x:v>
      </x:c>
      <x:c r="M2068" s="31" t="n">
        <x:v>46088</x:v>
      </x:c>
      <x:c r="N2068" s="31" t="n">
        <x:v>46090</x:v>
      </x:c>
      <x:c r="O2068" s="31" t="n">
        <x:v>46088</x:v>
      </x:c>
      <x:c r="P2068" s="31" t="n">
        <x:v>46092</x:v>
      </x:c>
      <x:c r="Q2068" s="31" t="inlineStr">
        <x:is>
          <x:t xml:space="preserve">Завершено</x:t>
        </x:is>
      </x:c>
      <x:c r="R2068" s="31" t="inlineStr">
        <x:is>
          <x:t xml:space="preserve">Нет</x:t>
        </x:is>
      </x:c>
      <x:c r="S2068" s="31" t="inlineStr">
        <x:is>
          <x:t xml:space="preserve">Нет</x:t>
        </x:is>
      </x:c>
    </x:row>
    <x:row r="2069">
      <x:c r="A2069" s="31" t="inlineStr">
        <x:is>
          <x:t xml:space="preserve">ОП-002068</x:t>
        </x:is>
      </x:c>
      <x:c r="B2069" s="31" t="inlineStr">
        <x:is>
          <x:t xml:space="preserve">ПЗ-00247</x:t>
        </x:is>
      </x:c>
      <x:c r="C2069" s="31" t="inlineStr">
        <x:is>
          <x:t xml:space="preserve">ЗК-1120</x:t>
        </x:is>
      </x:c>
      <x:c r="D2069" s="31" t="inlineStr">
        <x:is>
          <x:t xml:space="preserve">ПОЗ-0120-3</x:t>
        </x:is>
      </x:c>
      <x:c r="E2069" s="31" t="inlineStr">
        <x:is>
          <x:t xml:space="preserve">ИЗД-013</x:t>
        </x:is>
      </x:c>
      <x:c r="F2069" s="31" t="n">
        <x:v>60</x:v>
      </x:c>
      <x:c r="G2069" s="31" t="inlineStr">
        <x:is>
          <x:t xml:space="preserve">ОТК</x:t>
        </x:is>
      </x:c>
      <x:c r="H2069" s="31" t="inlineStr">
        <x:is>
          <x:t xml:space="preserve">ОТК</x:t>
        </x:is>
      </x:c>
      <x:c r="I2069" s="31" t="inlineStr">
        <x:is>
          <x:t xml:space="preserve">ОБ-001</x:t>
        </x:is>
      </x:c>
      <x:c r="J2069" s="31" t="inlineStr">
        <x:is>
          <x:t xml:space="preserve">СОТР-096</x:t>
        </x:is>
      </x:c>
      <x:c r="K2069" s="31" t="n">
        <x:v>16.2</x:v>
      </x:c>
      <x:c r="L2069" s="31" t="n">
        <x:v>21.3</x:v>
      </x:c>
      <x:c r="M2069" s="31" t="n">
        <x:v>46090</x:v>
      </x:c>
      <x:c r="N2069" s="31" t="n">
        <x:v>46092</x:v>
      </x:c>
      <x:c r="O2069" s="31" t="n">
        <x:v>46090</x:v>
      </x:c>
      <x:c r="P2069" s="31" t="n">
        <x:v>46094</x:v>
      </x:c>
      <x:c r="Q2069" s="31" t="inlineStr">
        <x:is>
          <x:t xml:space="preserve">Завершено</x:t>
        </x:is>
      </x:c>
      <x:c r="R2069" s="31" t="inlineStr">
        <x:is>
          <x:t xml:space="preserve">Нет</x:t>
        </x:is>
      </x:c>
      <x:c r="S2069" s="31" t="inlineStr">
        <x:is>
          <x:t xml:space="preserve">Нет</x:t>
        </x:is>
      </x:c>
    </x:row>
    <x:row r="2070">
      <x:c r="A2070" s="31" t="inlineStr">
        <x:is>
          <x:t xml:space="preserve">ОП-002069</x:t>
        </x:is>
      </x:c>
      <x:c r="B2070" s="31" t="inlineStr">
        <x:is>
          <x:t xml:space="preserve">ПЗ-00248</x:t>
        </x:is>
      </x:c>
      <x:c r="C2070" s="31" t="inlineStr">
        <x:is>
          <x:t xml:space="preserve">ЗК-1121</x:t>
        </x:is>
      </x:c>
      <x:c r="D2070" s="31" t="inlineStr">
        <x:is>
          <x:t xml:space="preserve">ПОЗ-0121-1</x:t>
        </x:is>
      </x:c>
      <x:c r="E2070" s="31" t="inlineStr">
        <x:is>
          <x:t xml:space="preserve">ИЗД-004</x:t>
        </x:is>
      </x:c>
      <x:c r="F2070" s="31" t="n">
        <x:v>10</x:v>
      </x:c>
      <x:c r="G2070" s="31" t="inlineStr">
        <x:is>
          <x:t xml:space="preserve">КД</x:t>
        </x:is>
      </x:c>
      <x:c r="H2070" s="31" t="inlineStr">
        <x:is>
          <x:t xml:space="preserve">Инженерный отдел</x:t>
        </x:is>
      </x:c>
      <x:c r="I2070" s="31" t="n"/>
      <x:c r="J2070" s="31" t="inlineStr">
        <x:is>
          <x:t xml:space="preserve">СОТР-012</x:t>
        </x:is>
      </x:c>
      <x:c r="K2070" s="31" t="n">
        <x:v>57.6</x:v>
      </x:c>
      <x:c r="L2070" s="31" t="n">
        <x:v>60.1</x:v>
      </x:c>
      <x:c r="M2070" s="31" t="n">
        <x:v>46181</x:v>
      </x:c>
      <x:c r="N2070" s="31" t="n">
        <x:v>46186</x:v>
      </x:c>
      <x:c r="O2070" s="31" t="n">
        <x:v>46181</x:v>
      </x:c>
      <x:c r="P2070" s="31" t="n">
        <x:v>46186</x:v>
      </x:c>
      <x:c r="Q2070" s="31" t="inlineStr">
        <x:is>
          <x:t xml:space="preserve">Завершено</x:t>
        </x:is>
      </x:c>
      <x:c r="R2070" s="31" t="inlineStr">
        <x:is>
          <x:t xml:space="preserve">Нет</x:t>
        </x:is>
      </x:c>
      <x:c r="S2070" s="31" t="inlineStr">
        <x:is>
          <x:t xml:space="preserve">Да</x:t>
        </x:is>
      </x:c>
    </x:row>
    <x:row r="2071">
      <x:c r="A2071" s="31" t="inlineStr">
        <x:is>
          <x:t xml:space="preserve">ОП-002070</x:t>
        </x:is>
      </x:c>
      <x:c r="B2071" s="31" t="inlineStr">
        <x:is>
          <x:t xml:space="preserve">ПЗ-00248</x:t>
        </x:is>
      </x:c>
      <x:c r="C2071" s="31" t="inlineStr">
        <x:is>
          <x:t xml:space="preserve">ЗК-1121</x:t>
        </x:is>
      </x:c>
      <x:c r="D2071" s="31" t="inlineStr">
        <x:is>
          <x:t xml:space="preserve">ПОЗ-0121-1</x:t>
        </x:is>
      </x:c>
      <x:c r="E2071" s="31" t="inlineStr">
        <x:is>
          <x:t xml:space="preserve">ИЗД-004</x:t>
        </x:is>
      </x:c>
      <x:c r="F2071" s="31" t="n">
        <x:v>20</x:v>
      </x:c>
      <x:c r="G2071" s="31" t="inlineStr">
        <x:is>
          <x:t xml:space="preserve">Резерв материалов</x:t>
        </x:is>
      </x:c>
      <x:c r="H2071" s="31" t="inlineStr">
        <x:is>
          <x:t xml:space="preserve">Склад</x:t>
        </x:is>
      </x:c>
      <x:c r="I2071" s="31" t="inlineStr">
        <x:is>
          <x:t xml:space="preserve">ОБ-011</x:t>
        </x:is>
      </x:c>
      <x:c r="J2071" s="31" t="inlineStr">
        <x:is>
          <x:t xml:space="preserve">СОТР-024</x:t>
        </x:is>
      </x:c>
      <x:c r="K2071" s="31" t="n">
        <x:v>21.3</x:v>
      </x:c>
      <x:c r="L2071" s="31" t="n">
        <x:v>17.1</x:v>
      </x:c>
      <x:c r="M2071" s="31" t="n">
        <x:v>46186</x:v>
      </x:c>
      <x:c r="N2071" s="31" t="n">
        <x:v>46188</x:v>
      </x:c>
      <x:c r="O2071" s="31" t="n">
        <x:v>46186</x:v>
      </x:c>
      <x:c r="P2071" s="31" t="n">
        <x:v>46188</x:v>
      </x:c>
      <x:c r="Q2071" s="31" t="inlineStr">
        <x:is>
          <x:t xml:space="preserve">Завершено</x:t>
        </x:is>
      </x:c>
      <x:c r="R2071" s="31" t="inlineStr">
        <x:is>
          <x:t xml:space="preserve">Нет</x:t>
        </x:is>
      </x:c>
      <x:c r="S2071" s="31" t="inlineStr">
        <x:is>
          <x:t xml:space="preserve">Нет</x:t>
        </x:is>
      </x:c>
    </x:row>
    <x:row r="2072">
      <x:c r="A2072" s="31" t="inlineStr">
        <x:is>
          <x:t xml:space="preserve">ОП-002071</x:t>
        </x:is>
      </x:c>
      <x:c r="B2072" s="31" t="inlineStr">
        <x:is>
          <x:t xml:space="preserve">ПЗ-00248</x:t>
        </x:is>
      </x:c>
      <x:c r="C2072" s="31" t="inlineStr">
        <x:is>
          <x:t xml:space="preserve">ЗК-1121</x:t>
        </x:is>
      </x:c>
      <x:c r="D2072" s="31" t="inlineStr">
        <x:is>
          <x:t xml:space="preserve">ПОЗ-0121-1</x:t>
        </x:is>
      </x:c>
      <x:c r="E2072" s="31" t="inlineStr">
        <x:is>
          <x:t xml:space="preserve">ИЗД-004</x:t>
        </x:is>
      </x:c>
      <x:c r="F2072" s="31" t="n">
        <x:v>30</x:v>
      </x:c>
      <x:c r="G2072" s="31" t="inlineStr">
        <x:is>
          <x:t xml:space="preserve">Сварка рамы</x:t>
        </x:is>
      </x:c>
      <x:c r="H2072" s="31" t="inlineStr">
        <x:is>
          <x:t xml:space="preserve">Сварка</x:t>
        </x:is>
      </x:c>
      <x:c r="I2072" s="31" t="inlineStr">
        <x:is>
          <x:t xml:space="preserve">ОБ-021</x:t>
        </x:is>
      </x:c>
      <x:c r="J2072" s="31" t="inlineStr">
        <x:is>
          <x:t xml:space="preserve">СОТР-072</x:t>
        </x:is>
      </x:c>
      <x:c r="K2072" s="31" t="n">
        <x:v>38.1</x:v>
      </x:c>
      <x:c r="L2072" s="31" t="n">
        <x:v>40.3</x:v>
      </x:c>
      <x:c r="M2072" s="31" t="n">
        <x:v>46188</x:v>
      </x:c>
      <x:c r="N2072" s="31" t="n">
        <x:v>46192</x:v>
      </x:c>
      <x:c r="O2072" s="31" t="n">
        <x:v>46188</x:v>
      </x:c>
      <x:c r="P2072" s="31" t="n">
        <x:v>46193</x:v>
      </x:c>
      <x:c r="Q2072" s="31" t="inlineStr">
        <x:is>
          <x:t xml:space="preserve">Завершено</x:t>
        </x:is>
      </x:c>
      <x:c r="R2072" s="31" t="inlineStr">
        <x:is>
          <x:t xml:space="preserve">Нет</x:t>
        </x:is>
      </x:c>
      <x:c r="S2072" s="31" t="inlineStr">
        <x:is>
          <x:t xml:space="preserve">Нет</x:t>
        </x:is>
      </x:c>
    </x:row>
    <x:row r="2073">
      <x:c r="A2073" s="31" t="inlineStr">
        <x:is>
          <x:t xml:space="preserve">ОП-002072</x:t>
        </x:is>
      </x:c>
      <x:c r="B2073" s="31" t="inlineStr">
        <x:is>
          <x:t xml:space="preserve">ПЗ-00248</x:t>
        </x:is>
      </x:c>
      <x:c r="C2073" s="31" t="inlineStr">
        <x:is>
          <x:t xml:space="preserve">ЗК-1121</x:t>
        </x:is>
      </x:c>
      <x:c r="D2073" s="31" t="inlineStr">
        <x:is>
          <x:t xml:space="preserve">ПОЗ-0121-1</x:t>
        </x:is>
      </x:c>
      <x:c r="E2073" s="31" t="inlineStr">
        <x:is>
          <x:t xml:space="preserve">ИЗД-004</x:t>
        </x:is>
      </x:c>
      <x:c r="F2073" s="31" t="n">
        <x:v>40</x:v>
      </x:c>
      <x:c r="G2073" s="31" t="inlineStr">
        <x:is>
          <x:t xml:space="preserve">Сборка</x:t>
        </x:is>
      </x:c>
      <x:c r="H2073" s="31" t="inlineStr">
        <x:is>
          <x:t xml:space="preserve">Сборка</x:t>
        </x:is>
      </x:c>
      <x:c r="I2073" s="31" t="inlineStr">
        <x:is>
          <x:t xml:space="preserve">ОБ-034</x:t>
        </x:is>
      </x:c>
      <x:c r="J2073" s="31" t="inlineStr">
        <x:is>
          <x:t xml:space="preserve">СОТР-032</x:t>
        </x:is>
      </x:c>
      <x:c r="K2073" s="31" t="n">
        <x:v>16.2</x:v>
      </x:c>
      <x:c r="L2073" s="31" t="n">
        <x:v>18.9</x:v>
      </x:c>
      <x:c r="M2073" s="31" t="n">
        <x:v>46192</x:v>
      </x:c>
      <x:c r="N2073" s="31" t="n">
        <x:v>46194</x:v>
      </x:c>
      <x:c r="O2073" s="31" t="n">
        <x:v>46192</x:v>
      </x:c>
      <x:c r="P2073" s="31" t="n">
        <x:v>46196</x:v>
      </x:c>
      <x:c r="Q2073" s="31" t="inlineStr">
        <x:is>
          <x:t xml:space="preserve">Завершено</x:t>
        </x:is>
      </x:c>
      <x:c r="R2073" s="31" t="inlineStr">
        <x:is>
          <x:t xml:space="preserve">Нет</x:t>
        </x:is>
      </x:c>
      <x:c r="S2073" s="31" t="inlineStr">
        <x:is>
          <x:t xml:space="preserve">Нет</x:t>
        </x:is>
      </x:c>
    </x:row>
    <x:row r="2074">
      <x:c r="A2074" s="31" t="inlineStr">
        <x:is>
          <x:t xml:space="preserve">ОП-002073</x:t>
        </x:is>
      </x:c>
      <x:c r="B2074" s="31" t="inlineStr">
        <x:is>
          <x:t xml:space="preserve">ПЗ-00248</x:t>
        </x:is>
      </x:c>
      <x:c r="C2074" s="31" t="inlineStr">
        <x:is>
          <x:t xml:space="preserve">ЗК-1121</x:t>
        </x:is>
      </x:c>
      <x:c r="D2074" s="31" t="inlineStr">
        <x:is>
          <x:t xml:space="preserve">ПОЗ-0121-1</x:t>
        </x:is>
      </x:c>
      <x:c r="E2074" s="31" t="inlineStr">
        <x:is>
          <x:t xml:space="preserve">ИЗД-004</x:t>
        </x:is>
      </x:c>
      <x:c r="F2074" s="31" t="n">
        <x:v>50</x:v>
      </x:c>
      <x:c r="G2074" s="31" t="inlineStr">
        <x:is>
          <x:t xml:space="preserve">Обвязка труб</x:t>
        </x:is>
      </x:c>
      <x:c r="H2074" s="31" t="inlineStr">
        <x:is>
          <x:t xml:space="preserve">Сборка</x:t>
        </x:is>
      </x:c>
      <x:c r="I2074" s="31" t="inlineStr">
        <x:is>
          <x:t xml:space="preserve">ОБ-027</x:t>
        </x:is>
      </x:c>
      <x:c r="J2074" s="31" t="inlineStr">
        <x:is>
          <x:t xml:space="preserve">СОТР-080</x:t>
        </x:is>
      </x:c>
      <x:c r="K2074" s="31" t="n">
        <x:v>55.5</x:v>
      </x:c>
      <x:c r="L2074" s="31" t="n">
        <x:v>55.9</x:v>
      </x:c>
      <x:c r="M2074" s="31" t="n">
        <x:v>46194</x:v>
      </x:c>
      <x:c r="N2074" s="31" t="n">
        <x:v>46199</x:v>
      </x:c>
      <x:c r="O2074" s="31" t="n">
        <x:v>46194</x:v>
      </x:c>
      <x:c r="P2074" s="31" t="n">
        <x:v>46201</x:v>
      </x:c>
      <x:c r="Q2074" s="31" t="inlineStr">
        <x:is>
          <x:t xml:space="preserve">Завершено</x:t>
        </x:is>
      </x:c>
      <x:c r="R2074" s="31" t="inlineStr">
        <x:is>
          <x:t xml:space="preserve">Нет</x:t>
        </x:is>
      </x:c>
      <x:c r="S2074" s="31" t="inlineStr">
        <x:is>
          <x:t xml:space="preserve">Нет</x:t>
        </x:is>
      </x:c>
    </x:row>
    <x:row r="2075">
      <x:c r="A2075" s="31" t="inlineStr">
        <x:is>
          <x:t xml:space="preserve">ОП-002074</x:t>
        </x:is>
      </x:c>
      <x:c r="B2075" s="31" t="inlineStr">
        <x:is>
          <x:t xml:space="preserve">ПЗ-00248</x:t>
        </x:is>
      </x:c>
      <x:c r="C2075" s="31" t="inlineStr">
        <x:is>
          <x:t xml:space="preserve">ЗК-1121</x:t>
        </x:is>
      </x:c>
      <x:c r="D2075" s="31" t="inlineStr">
        <x:is>
          <x:t xml:space="preserve">ПОЗ-0121-1</x:t>
        </x:is>
      </x:c>
      <x:c r="E2075" s="31" t="inlineStr">
        <x:is>
          <x:t xml:space="preserve">ИЗД-004</x:t>
        </x:is>
      </x:c>
      <x:c r="F2075" s="31" t="n">
        <x:v>60</x:v>
      </x:c>
      <x:c r="G2075" s="31" t="inlineStr">
        <x:is>
          <x:t xml:space="preserve">Электромонтаж</x:t>
        </x:is>
      </x:c>
      <x:c r="H2075" s="31" t="inlineStr">
        <x:is>
          <x:t xml:space="preserve">Сборка</x:t>
        </x:is>
      </x:c>
      <x:c r="I2075" s="31" t="inlineStr">
        <x:is>
          <x:t xml:space="preserve">ОБ-016</x:t>
        </x:is>
      </x:c>
      <x:c r="J2075" s="31" t="inlineStr">
        <x:is>
          <x:t xml:space="preserve">СОТР-090</x:t>
        </x:is>
      </x:c>
      <x:c r="K2075" s="31" t="n">
        <x:v>6.6</x:v>
      </x:c>
      <x:c r="L2075" s="31" t="n">
        <x:v>7.7</x:v>
      </x:c>
      <x:c r="M2075" s="31" t="n">
        <x:v>46199</x:v>
      </x:c>
      <x:c r="N2075" s="31" t="n">
        <x:v>46200</x:v>
      </x:c>
      <x:c r="O2075" s="31" t="n">
        <x:v>46199</x:v>
      </x:c>
      <x:c r="P2075" s="31" t="n">
        <x:v>46202</x:v>
      </x:c>
      <x:c r="Q2075" s="31" t="inlineStr">
        <x:is>
          <x:t xml:space="preserve">Завершено</x:t>
        </x:is>
      </x:c>
      <x:c r="R2075" s="31" t="inlineStr">
        <x:is>
          <x:t xml:space="preserve">Нет</x:t>
        </x:is>
      </x:c>
      <x:c r="S2075" s="31" t="inlineStr">
        <x:is>
          <x:t xml:space="preserve">Нет</x:t>
        </x:is>
      </x:c>
    </x:row>
    <x:row r="2076">
      <x:c r="A2076" s="31" t="inlineStr">
        <x:is>
          <x:t xml:space="preserve">ОП-002075</x:t>
        </x:is>
      </x:c>
      <x:c r="B2076" s="31" t="inlineStr">
        <x:is>
          <x:t xml:space="preserve">ПЗ-00248</x:t>
        </x:is>
      </x:c>
      <x:c r="C2076" s="31" t="inlineStr">
        <x:is>
          <x:t xml:space="preserve">ЗК-1121</x:t>
        </x:is>
      </x:c>
      <x:c r="D2076" s="31" t="inlineStr">
        <x:is>
          <x:t xml:space="preserve">ПОЗ-0121-1</x:t>
        </x:is>
      </x:c>
      <x:c r="E2076" s="31" t="inlineStr">
        <x:is>
          <x:t xml:space="preserve">ИЗД-004</x:t>
        </x:is>
      </x:c>
      <x:c r="F2076" s="31" t="n">
        <x:v>70</x:v>
      </x:c>
      <x:c r="G2076" s="31" t="inlineStr">
        <x:is>
          <x:t xml:space="preserve">Гидроиспытания</x:t>
        </x:is>
      </x:c>
      <x:c r="H2076" s="31" t="inlineStr">
        <x:is>
          <x:t xml:space="preserve">ОТК</x:t>
        </x:is>
      </x:c>
      <x:c r="I2076" s="31" t="inlineStr">
        <x:is>
          <x:t xml:space="preserve">ОБ-015</x:t>
        </x:is>
      </x:c>
      <x:c r="J2076" s="31" t="inlineStr">
        <x:is>
          <x:t xml:space="preserve">СОТР-098</x:t>
        </x:is>
      </x:c>
      <x:c r="K2076" s="31" t="n">
        <x:v>57.3</x:v>
      </x:c>
      <x:c r="L2076" s="31" t="n">
        <x:v>76</x:v>
      </x:c>
      <x:c r="M2076" s="31" t="n">
        <x:v>46200</x:v>
      </x:c>
      <x:c r="N2076" s="31" t="n">
        <x:v>46205</x:v>
      </x:c>
      <x:c r="O2076" s="31" t="n">
        <x:v>46200</x:v>
      </x:c>
      <x:c r="P2076" s="31" t="n">
        <x:v>46205</x:v>
      </x:c>
      <x:c r="Q2076" s="31" t="inlineStr">
        <x:is>
          <x:t xml:space="preserve">Завершено</x:t>
        </x:is>
      </x:c>
      <x:c r="R2076" s="31" t="inlineStr">
        <x:is>
          <x:t xml:space="preserve">Нет</x:t>
        </x:is>
      </x:c>
      <x:c r="S2076" s="31" t="inlineStr">
        <x:is>
          <x:t xml:space="preserve">Нет</x:t>
        </x:is>
      </x:c>
    </x:row>
    <x:row r="2077">
      <x:c r="A2077" s="31" t="inlineStr">
        <x:is>
          <x:t xml:space="preserve">ОП-002076</x:t>
        </x:is>
      </x:c>
      <x:c r="B2077" s="31" t="inlineStr">
        <x:is>
          <x:t xml:space="preserve">ПЗ-00248</x:t>
        </x:is>
      </x:c>
      <x:c r="C2077" s="31" t="inlineStr">
        <x:is>
          <x:t xml:space="preserve">ЗК-1121</x:t>
        </x:is>
      </x:c>
      <x:c r="D2077" s="31" t="inlineStr">
        <x:is>
          <x:t xml:space="preserve">ПОЗ-0121-1</x:t>
        </x:is>
      </x:c>
      <x:c r="E2077" s="31" t="inlineStr">
        <x:is>
          <x:t xml:space="preserve">ИЗД-004</x:t>
        </x:is>
      </x:c>
      <x:c r="F2077" s="31" t="n">
        <x:v>80</x:v>
      </x:c>
      <x:c r="G2077" s="31" t="inlineStr">
        <x:is>
          <x:t xml:space="preserve">ОТК</x:t>
        </x:is>
      </x:c>
      <x:c r="H2077" s="31" t="inlineStr">
        <x:is>
          <x:t xml:space="preserve">ОТК</x:t>
        </x:is>
      </x:c>
      <x:c r="I2077" s="31" t="inlineStr">
        <x:is>
          <x:t xml:space="preserve">ОБ-022</x:t>
        </x:is>
      </x:c>
      <x:c r="J2077" s="31" t="inlineStr">
        <x:is>
          <x:t xml:space="preserve">СОТР-100</x:t>
        </x:is>
      </x:c>
      <x:c r="K2077" s="31" t="n">
        <x:v>16.2</x:v>
      </x:c>
      <x:c r="L2077" s="31" t="n">
        <x:v>18</x:v>
      </x:c>
      <x:c r="M2077" s="31" t="n">
        <x:v>46205</x:v>
      </x:c>
      <x:c r="N2077" s="31" t="n">
        <x:v>46207</x:v>
      </x:c>
      <x:c r="O2077" s="31" t="n">
        <x:v>46205</x:v>
      </x:c>
      <x:c r="P2077" s="31" t="n">
        <x:v>46209</x:v>
      </x:c>
      <x:c r="Q2077" s="31" t="inlineStr">
        <x:is>
          <x:t xml:space="preserve">Завершено</x:t>
        </x:is>
      </x:c>
      <x:c r="R2077" s="31" t="inlineStr">
        <x:is>
          <x:t xml:space="preserve">Нет</x:t>
        </x:is>
      </x:c>
      <x:c r="S2077" s="31" t="inlineStr">
        <x:is>
          <x:t xml:space="preserve">Нет</x:t>
        </x:is>
      </x:c>
    </x:row>
    <x:row r="2078">
      <x:c r="A2078" s="31" t="inlineStr">
        <x:is>
          <x:t xml:space="preserve">ОП-002077</x:t>
        </x:is>
      </x:c>
      <x:c r="B2078" s="31" t="inlineStr">
        <x:is>
          <x:t xml:space="preserve">ПЗ-00248</x:t>
        </x:is>
      </x:c>
      <x:c r="C2078" s="31" t="inlineStr">
        <x:is>
          <x:t xml:space="preserve">ЗК-1121</x:t>
        </x:is>
      </x:c>
      <x:c r="D2078" s="31" t="inlineStr">
        <x:is>
          <x:t xml:space="preserve">ПОЗ-0121-1</x:t>
        </x:is>
      </x:c>
      <x:c r="E2078" s="31" t="inlineStr">
        <x:is>
          <x:t xml:space="preserve">ИЗД-004</x:t>
        </x:is>
      </x:c>
      <x:c r="F2078" s="31" t="n">
        <x:v>90</x:v>
      </x:c>
      <x:c r="G2078" s="31" t="inlineStr">
        <x:is>
          <x:t xml:space="preserve">Упаковка</x:t>
        </x:is>
      </x:c>
      <x:c r="H2078" s="31" t="inlineStr">
        <x:is>
          <x:t xml:space="preserve">Логистика</x:t>
        </x:is>
      </x:c>
      <x:c r="I2078" s="31" t="n"/>
      <x:c r="J2078" s="31" t="inlineStr">
        <x:is>
          <x:t xml:space="preserve">СОТР-103</x:t>
        </x:is>
      </x:c>
      <x:c r="K2078" s="31" t="n">
        <x:v>41.1</x:v>
      </x:c>
      <x:c r="L2078" s="31" t="n">
        <x:v>38</x:v>
      </x:c>
      <x:c r="M2078" s="31" t="n">
        <x:v>46207</x:v>
      </x:c>
      <x:c r="N2078" s="31" t="n">
        <x:v>46211</x:v>
      </x:c>
      <x:c r="O2078" s="31" t="n">
        <x:v>46207</x:v>
      </x:c>
      <x:c r="P2078" s="31" t="n">
        <x:v>46210</x:v>
      </x:c>
      <x:c r="Q2078" s="31" t="inlineStr">
        <x:is>
          <x:t xml:space="preserve">Завершено</x:t>
        </x:is>
      </x:c>
      <x:c r="R2078" s="31" t="inlineStr">
        <x:is>
          <x:t xml:space="preserve">Материал</x:t>
        </x:is>
      </x:c>
      <x:c r="S2078" s="31" t="inlineStr">
        <x:is>
          <x:t xml:space="preserve">Нет</x:t>
        </x:is>
      </x:c>
    </x:row>
    <x:row r="2079">
      <x:c r="A2079" s="31" t="inlineStr">
        <x:is>
          <x:t xml:space="preserve">ОП-002078</x:t>
        </x:is>
      </x:c>
      <x:c r="B2079" s="31" t="inlineStr">
        <x:is>
          <x:t xml:space="preserve">ПЗ-00249</x:t>
        </x:is>
      </x:c>
      <x:c r="C2079" s="31" t="inlineStr">
        <x:is>
          <x:t xml:space="preserve">ЗК-1122</x:t>
        </x:is>
      </x:c>
      <x:c r="D2079" s="31" t="inlineStr">
        <x:is>
          <x:t xml:space="preserve">ПОЗ-0122-1</x:t>
        </x:is>
      </x:c>
      <x:c r="E2079" s="31" t="inlineStr">
        <x:is>
          <x:t xml:space="preserve">ИЗД-009</x:t>
        </x:is>
      </x:c>
      <x:c r="F2079" s="31" t="n">
        <x:v>10</x:v>
      </x:c>
      <x:c r="G2079" s="31" t="inlineStr">
        <x:is>
          <x:t xml:space="preserve">КД</x:t>
        </x:is>
      </x:c>
      <x:c r="H2079" s="31" t="inlineStr">
        <x:is>
          <x:t xml:space="preserve">Инженерный отдел</x:t>
        </x:is>
      </x:c>
      <x:c r="I2079" s="31" t="n"/>
      <x:c r="J2079" s="31" t="inlineStr">
        <x:is>
          <x:t xml:space="preserve">СОТР-014</x:t>
        </x:is>
      </x:c>
      <x:c r="K2079" s="31" t="n">
        <x:v>36.4</x:v>
      </x:c>
      <x:c r="L2079" s="31" t="n">
        <x:v>44.8</x:v>
      </x:c>
      <x:c r="M2079" s="31" t="n">
        <x:v>46144</x:v>
      </x:c>
      <x:c r="N2079" s="31" t="n">
        <x:v>46148</x:v>
      </x:c>
      <x:c r="O2079" s="31" t="n">
        <x:v>46144</x:v>
      </x:c>
      <x:c r="P2079" s="31" t="n">
        <x:v>46150</x:v>
      </x:c>
      <x:c r="Q2079" s="31" t="inlineStr">
        <x:is>
          <x:t xml:space="preserve">Завершено</x:t>
        </x:is>
      </x:c>
      <x:c r="R2079" s="31" t="inlineStr">
        <x:is>
          <x:t xml:space="preserve">Нет</x:t>
        </x:is>
      </x:c>
      <x:c r="S2079" s="31" t="inlineStr">
        <x:is>
          <x:t xml:space="preserve">Нет</x:t>
        </x:is>
      </x:c>
    </x:row>
    <x:row r="2080">
      <x:c r="A2080" s="31" t="inlineStr">
        <x:is>
          <x:t xml:space="preserve">ОП-002079</x:t>
        </x:is>
      </x:c>
      <x:c r="B2080" s="31" t="inlineStr">
        <x:is>
          <x:t xml:space="preserve">ПЗ-00249</x:t>
        </x:is>
      </x:c>
      <x:c r="C2080" s="31" t="inlineStr">
        <x:is>
          <x:t xml:space="preserve">ЗК-1122</x:t>
        </x:is>
      </x:c>
      <x:c r="D2080" s="31" t="inlineStr">
        <x:is>
          <x:t xml:space="preserve">ПОЗ-0122-1</x:t>
        </x:is>
      </x:c>
      <x:c r="E2080" s="31" t="inlineStr">
        <x:is>
          <x:t xml:space="preserve">ИЗД-009</x:t>
        </x:is>
      </x:c>
      <x:c r="F2080" s="31" t="n">
        <x:v>20</x:v>
      </x:c>
      <x:c r="G2080" s="31" t="inlineStr">
        <x:is>
          <x:t xml:space="preserve">Резка труб</x:t>
        </x:is>
      </x:c>
      <x:c r="H2080" s="31" t="inlineStr">
        <x:is>
          <x:t xml:space="preserve">Сварка</x:t>
        </x:is>
      </x:c>
      <x:c r="I2080" s="31" t="inlineStr">
        <x:is>
          <x:t xml:space="preserve">ОБ-021</x:t>
        </x:is>
      </x:c>
      <x:c r="J2080" s="31" t="inlineStr">
        <x:is>
          <x:t xml:space="preserve">СОТР-056</x:t>
        </x:is>
      </x:c>
      <x:c r="K2080" s="31" t="n">
        <x:v>26.6</x:v>
      </x:c>
      <x:c r="L2080" s="31" t="n">
        <x:v>30.7</x:v>
      </x:c>
      <x:c r="M2080" s="31" t="n">
        <x:v>46148</x:v>
      </x:c>
      <x:c r="N2080" s="31" t="n">
        <x:v>46151</x:v>
      </x:c>
      <x:c r="O2080" s="31" t="n">
        <x:v>46148</x:v>
      </x:c>
      <x:c r="P2080" s="31" t="n">
        <x:v>46153</x:v>
      </x:c>
      <x:c r="Q2080" s="31" t="inlineStr">
        <x:is>
          <x:t xml:space="preserve">Завершено</x:t>
        </x:is>
      </x:c>
      <x:c r="R2080" s="31" t="inlineStr">
        <x:is>
          <x:t xml:space="preserve">Нет</x:t>
        </x:is>
      </x:c>
      <x:c r="S2080" s="31" t="inlineStr">
        <x:is>
          <x:t xml:space="preserve">Нет</x:t>
        </x:is>
      </x:c>
    </x:row>
    <x:row r="2081">
      <x:c r="A2081" s="31" t="inlineStr">
        <x:is>
          <x:t xml:space="preserve">ОП-002080</x:t>
        </x:is>
      </x:c>
      <x:c r="B2081" s="31" t="inlineStr">
        <x:is>
          <x:t xml:space="preserve">ПЗ-00249</x:t>
        </x:is>
      </x:c>
      <x:c r="C2081" s="31" t="inlineStr">
        <x:is>
          <x:t xml:space="preserve">ЗК-1122</x:t>
        </x:is>
      </x:c>
      <x:c r="D2081" s="31" t="inlineStr">
        <x:is>
          <x:t xml:space="preserve">ПОЗ-0122-1</x:t>
        </x:is>
      </x:c>
      <x:c r="E2081" s="31" t="inlineStr">
        <x:is>
          <x:t xml:space="preserve">ИЗД-009</x:t>
        </x:is>
      </x:c>
      <x:c r="F2081" s="31" t="n">
        <x:v>30</x:v>
      </x:c>
      <x:c r="G2081" s="31" t="inlineStr">
        <x:is>
          <x:t xml:space="preserve">Сварка</x:t>
        </x:is>
      </x:c>
      <x:c r="H2081" s="31" t="inlineStr">
        <x:is>
          <x:t xml:space="preserve">Сварка</x:t>
        </x:is>
      </x:c>
      <x:c r="I2081" s="31" t="inlineStr">
        <x:is>
          <x:t xml:space="preserve">ОБ-026</x:t>
        </x:is>
      </x:c>
      <x:c r="J2081" s="31" t="inlineStr">
        <x:is>
          <x:t xml:space="preserve">СОТР-071</x:t>
        </x:is>
      </x:c>
      <x:c r="K2081" s="31" t="n">
        <x:v>33.8</x:v>
      </x:c>
      <x:c r="L2081" s="31" t="n">
        <x:v>40.1</x:v>
      </x:c>
      <x:c r="M2081" s="31" t="n">
        <x:v>46151</x:v>
      </x:c>
      <x:c r="N2081" s="31" t="n">
        <x:v>46154</x:v>
      </x:c>
      <x:c r="O2081" s="31" t="n">
        <x:v>46151</x:v>
      </x:c>
      <x:c r="P2081" s="31" t="n">
        <x:v>46153</x:v>
      </x:c>
      <x:c r="Q2081" s="31" t="inlineStr">
        <x:is>
          <x:t xml:space="preserve">Завершено</x:t>
        </x:is>
      </x:c>
      <x:c r="R2081" s="31" t="inlineStr">
        <x:is>
          <x:t xml:space="preserve">Нет</x:t>
        </x:is>
      </x:c>
      <x:c r="S2081" s="31" t="inlineStr">
        <x:is>
          <x:t xml:space="preserve">Нет</x:t>
        </x:is>
      </x:c>
    </x:row>
    <x:row r="2082">
      <x:c r="A2082" s="31" t="inlineStr">
        <x:is>
          <x:t xml:space="preserve">ОП-002081</x:t>
        </x:is>
      </x:c>
      <x:c r="B2082" s="31" t="inlineStr">
        <x:is>
          <x:t xml:space="preserve">ПЗ-00249</x:t>
        </x:is>
      </x:c>
      <x:c r="C2082" s="31" t="inlineStr">
        <x:is>
          <x:t xml:space="preserve">ЗК-1122</x:t>
        </x:is>
      </x:c>
      <x:c r="D2082" s="31" t="inlineStr">
        <x:is>
          <x:t xml:space="preserve">ПОЗ-0122-1</x:t>
        </x:is>
      </x:c>
      <x:c r="E2082" s="31" t="inlineStr">
        <x:is>
          <x:t xml:space="preserve">ИЗД-009</x:t>
        </x:is>
      </x:c>
      <x:c r="F2082" s="31" t="n">
        <x:v>40</x:v>
      </x:c>
      <x:c r="G2082" s="31" t="inlineStr">
        <x:is>
          <x:t xml:space="preserve">НК сварных швов</x:t>
        </x:is>
      </x:c>
      <x:c r="H2082" s="31" t="inlineStr">
        <x:is>
          <x:t xml:space="preserve">ОТК</x:t>
        </x:is>
      </x:c>
      <x:c r="I2082" s="31" t="inlineStr">
        <x:is>
          <x:t xml:space="preserve">ОБ-006</x:t>
        </x:is>
      </x:c>
      <x:c r="J2082" s="31" t="inlineStr">
        <x:is>
          <x:t xml:space="preserve">СОТР-092</x:t>
        </x:is>
      </x:c>
      <x:c r="K2082" s="31" t="n">
        <x:v>37.6</x:v>
      </x:c>
      <x:c r="L2082" s="31" t="n">
        <x:v>45.3</x:v>
      </x:c>
      <x:c r="M2082" s="31" t="n">
        <x:v>46154</x:v>
      </x:c>
      <x:c r="N2082" s="31" t="n">
        <x:v>46158</x:v>
      </x:c>
      <x:c r="O2082" s="31" t="n">
        <x:v>46154</x:v>
      </x:c>
      <x:c r="P2082" s="31" t="n">
        <x:v>46157</x:v>
      </x:c>
      <x:c r="Q2082" s="31" t="inlineStr">
        <x:is>
          <x:t xml:space="preserve">Завершено</x:t>
        </x:is>
      </x:c>
      <x:c r="R2082" s="31" t="inlineStr">
        <x:is>
          <x:t xml:space="preserve">Нет</x:t>
        </x:is>
      </x:c>
      <x:c r="S2082" s="31" t="inlineStr">
        <x:is>
          <x:t xml:space="preserve">Нет</x:t>
        </x:is>
      </x:c>
    </x:row>
    <x:row r="2083">
      <x:c r="A2083" s="31" t="inlineStr">
        <x:is>
          <x:t xml:space="preserve">ОП-002082</x:t>
        </x:is>
      </x:c>
      <x:c r="B2083" s="31" t="inlineStr">
        <x:is>
          <x:t xml:space="preserve">ПЗ-00249</x:t>
        </x:is>
      </x:c>
      <x:c r="C2083" s="31" t="inlineStr">
        <x:is>
          <x:t xml:space="preserve">ЗК-1122</x:t>
        </x:is>
      </x:c>
      <x:c r="D2083" s="31" t="inlineStr">
        <x:is>
          <x:t xml:space="preserve">ПОЗ-0122-1</x:t>
        </x:is>
      </x:c>
      <x:c r="E2083" s="31" t="inlineStr">
        <x:is>
          <x:t xml:space="preserve">ИЗД-009</x:t>
        </x:is>
      </x:c>
      <x:c r="F2083" s="31" t="n">
        <x:v>50</x:v>
      </x:c>
      <x:c r="G2083" s="31" t="inlineStr">
        <x:is>
          <x:t xml:space="preserve">Гидроиспытания</x:t>
        </x:is>
      </x:c>
      <x:c r="H2083" s="31" t="inlineStr">
        <x:is>
          <x:t xml:space="preserve">ОТК</x:t>
        </x:is>
      </x:c>
      <x:c r="I2083" s="31" t="inlineStr">
        <x:is>
          <x:t xml:space="preserve">ОБ-006</x:t>
        </x:is>
      </x:c>
      <x:c r="J2083" s="31" t="inlineStr">
        <x:is>
          <x:t xml:space="preserve">СОТР-095</x:t>
        </x:is>
      </x:c>
      <x:c r="K2083" s="31" t="n">
        <x:v>24.2</x:v>
      </x:c>
      <x:c r="L2083" s="31" t="n">
        <x:v>32.6</x:v>
      </x:c>
      <x:c r="M2083" s="31" t="n">
        <x:v>46158</x:v>
      </x:c>
      <x:c r="N2083" s="31" t="n">
        <x:v>46161</x:v>
      </x:c>
      <x:c r="O2083" s="31" t="n">
        <x:v>46158</x:v>
      </x:c>
      <x:c r="P2083" s="31" t="n">
        <x:v>46163</x:v>
      </x:c>
      <x:c r="Q2083" s="31" t="inlineStr">
        <x:is>
          <x:t xml:space="preserve">Завершено</x:t>
        </x:is>
      </x:c>
      <x:c r="R2083" s="31" t="inlineStr">
        <x:is>
          <x:t xml:space="preserve">Нет</x:t>
        </x:is>
      </x:c>
      <x:c r="S2083" s="31" t="inlineStr">
        <x:is>
          <x:t xml:space="preserve">Нет</x:t>
        </x:is>
      </x:c>
    </x:row>
    <x:row r="2084">
      <x:c r="A2084" s="31" t="inlineStr">
        <x:is>
          <x:t xml:space="preserve">ОП-002083</x:t>
        </x:is>
      </x:c>
      <x:c r="B2084" s="31" t="inlineStr">
        <x:is>
          <x:t xml:space="preserve">ПЗ-00249</x:t>
        </x:is>
      </x:c>
      <x:c r="C2084" s="31" t="inlineStr">
        <x:is>
          <x:t xml:space="preserve">ЗК-1122</x:t>
        </x:is>
      </x:c>
      <x:c r="D2084" s="31" t="inlineStr">
        <x:is>
          <x:t xml:space="preserve">ПОЗ-0122-1</x:t>
        </x:is>
      </x:c>
      <x:c r="E2084" s="31" t="inlineStr">
        <x:is>
          <x:t xml:space="preserve">ИЗД-009</x:t>
        </x:is>
      </x:c>
      <x:c r="F2084" s="31" t="n">
        <x:v>60</x:v>
      </x:c>
      <x:c r="G2084" s="31" t="inlineStr">
        <x:is>
          <x:t xml:space="preserve">Покраска</x:t>
        </x:is>
      </x:c>
      <x:c r="H2084" s="31" t="inlineStr">
        <x:is>
          <x:t xml:space="preserve">Сварка</x:t>
        </x:is>
      </x:c>
      <x:c r="I2084" s="31" t="inlineStr">
        <x:is>
          <x:t xml:space="preserve">ОБ-003</x:t>
        </x:is>
      </x:c>
      <x:c r="J2084" s="31" t="inlineStr">
        <x:is>
          <x:t xml:space="preserve">СОТР-056</x:t>
        </x:is>
      </x:c>
      <x:c r="K2084" s="31" t="n">
        <x:v>19.4</x:v>
      </x:c>
      <x:c r="L2084" s="31" t="n">
        <x:v>18.5</x:v>
      </x:c>
      <x:c r="M2084" s="31" t="n">
        <x:v>46161</x:v>
      </x:c>
      <x:c r="N2084" s="31" t="n">
        <x:v>46163</x:v>
      </x:c>
      <x:c r="O2084" s="31" t="n">
        <x:v>46161</x:v>
      </x:c>
      <x:c r="P2084" s="31" t="n">
        <x:v>46165</x:v>
      </x:c>
      <x:c r="Q2084" s="31" t="inlineStr">
        <x:is>
          <x:t xml:space="preserve">Завершено</x:t>
        </x:is>
      </x:c>
      <x:c r="R2084" s="31" t="inlineStr">
        <x:is>
          <x:t xml:space="preserve">Нет</x:t>
        </x:is>
      </x:c>
      <x:c r="S2084" s="31" t="inlineStr">
        <x:is>
          <x:t xml:space="preserve">Нет</x:t>
        </x:is>
      </x:c>
    </x:row>
    <x:row r="2085">
      <x:c r="A2085" s="31" t="inlineStr">
        <x:is>
          <x:t xml:space="preserve">ОП-002084</x:t>
        </x:is>
      </x:c>
      <x:c r="B2085" s="31" t="inlineStr">
        <x:is>
          <x:t xml:space="preserve">ПЗ-00249</x:t>
        </x:is>
      </x:c>
      <x:c r="C2085" s="31" t="inlineStr">
        <x:is>
          <x:t xml:space="preserve">ЗК-1122</x:t>
        </x:is>
      </x:c>
      <x:c r="D2085" s="31" t="inlineStr">
        <x:is>
          <x:t xml:space="preserve">ПОЗ-0122-1</x:t>
        </x:is>
      </x:c>
      <x:c r="E2085" s="31" t="inlineStr">
        <x:is>
          <x:t xml:space="preserve">ИЗД-009</x:t>
        </x:is>
      </x:c>
      <x:c r="F2085" s="31" t="n">
        <x:v>70</x:v>
      </x:c>
      <x:c r="G2085" s="31" t="inlineStr">
        <x:is>
          <x:t xml:space="preserve">ОТК</x:t>
        </x:is>
      </x:c>
      <x:c r="H2085" s="31" t="inlineStr">
        <x:is>
          <x:t xml:space="preserve">ОТК</x:t>
        </x:is>
      </x:c>
      <x:c r="I2085" s="31" t="inlineStr">
        <x:is>
          <x:t xml:space="preserve">ОБ-028</x:t>
        </x:is>
      </x:c>
      <x:c r="J2085" s="31" t="inlineStr">
        <x:is>
          <x:t xml:space="preserve">СОТР-095</x:t>
        </x:is>
      </x:c>
      <x:c r="K2085" s="31" t="n">
        <x:v>14</x:v>
      </x:c>
      <x:c r="L2085" s="31" t="n">
        <x:v>15.8</x:v>
      </x:c>
      <x:c r="M2085" s="31" t="n">
        <x:v>46163</x:v>
      </x:c>
      <x:c r="N2085" s="31" t="n">
        <x:v>46165</x:v>
      </x:c>
      <x:c r="O2085" s="31" t="n">
        <x:v>46163</x:v>
      </x:c>
      <x:c r="P2085" s="31" t="n">
        <x:v>46164</x:v>
      </x:c>
      <x:c r="Q2085" s="31" t="inlineStr">
        <x:is>
          <x:t xml:space="preserve">Завершено</x:t>
        </x:is>
      </x:c>
      <x:c r="R2085" s="31" t="inlineStr">
        <x:is>
          <x:t xml:space="preserve">Нет</x:t>
        </x:is>
      </x:c>
      <x:c r="S2085" s="31" t="inlineStr">
        <x:is>
          <x:t xml:space="preserve">Нет</x:t>
        </x:is>
      </x:c>
    </x:row>
    <x:row r="2086">
      <x:c r="A2086" s="31" t="inlineStr">
        <x:is>
          <x:t xml:space="preserve">ОП-002085</x:t>
        </x:is>
      </x:c>
      <x:c r="B2086" s="31" t="inlineStr">
        <x:is>
          <x:t xml:space="preserve">ПЗ-00250</x:t>
        </x:is>
      </x:c>
      <x:c r="C2086" s="31" t="inlineStr">
        <x:is>
          <x:t xml:space="preserve">ЗК-1123</x:t>
        </x:is>
      </x:c>
      <x:c r="D2086" s="31" t="inlineStr">
        <x:is>
          <x:t xml:space="preserve">ПОЗ-0123-1</x:t>
        </x:is>
      </x:c>
      <x:c r="E2086" s="31" t="inlineStr">
        <x:is>
          <x:t xml:space="preserve">ИЗД-016</x:t>
        </x:is>
      </x:c>
      <x:c r="F2086" s="31" t="n">
        <x:v>10</x:v>
      </x:c>
      <x:c r="G2086" s="31" t="inlineStr">
        <x:is>
          <x:t xml:space="preserve">КД</x:t>
        </x:is>
      </x:c>
      <x:c r="H2086" s="31" t="inlineStr">
        <x:is>
          <x:t xml:space="preserve">Инженерный отдел</x:t>
        </x:is>
      </x:c>
      <x:c r="I2086" s="31" t="n"/>
      <x:c r="J2086" s="31" t="inlineStr">
        <x:is>
          <x:t xml:space="preserve">СОТР-011</x:t>
        </x:is>
      </x:c>
      <x:c r="K2086" s="31" t="n">
        <x:v>64</x:v>
      </x:c>
      <x:c r="L2086" s="31" t="n">
        <x:v>79.09999999999999</x:v>
      </x:c>
      <x:c r="M2086" s="31" t="n">
        <x:v>46143</x:v>
      </x:c>
      <x:c r="N2086" s="31" t="n">
        <x:v>46149</x:v>
      </x:c>
      <x:c r="O2086" s="31" t="n">
        <x:v>46143</x:v>
      </x:c>
      <x:c r="P2086" s="31" t="n">
        <x:v>46150</x:v>
      </x:c>
      <x:c r="Q2086" s="31" t="inlineStr">
        <x:is>
          <x:t xml:space="preserve">Завершено</x:t>
        </x:is>
      </x:c>
      <x:c r="R2086" s="31" t="inlineStr">
        <x:is>
          <x:t xml:space="preserve">Нет</x:t>
        </x:is>
      </x:c>
      <x:c r="S2086" s="31" t="inlineStr">
        <x:is>
          <x:t xml:space="preserve">Нет</x:t>
        </x:is>
      </x:c>
    </x:row>
    <x:row r="2087">
      <x:c r="A2087" s="31" t="inlineStr">
        <x:is>
          <x:t xml:space="preserve">ОП-002086</x:t>
        </x:is>
      </x:c>
      <x:c r="B2087" s="31" t="inlineStr">
        <x:is>
          <x:t xml:space="preserve">ПЗ-00250</x:t>
        </x:is>
      </x:c>
      <x:c r="C2087" s="31" t="inlineStr">
        <x:is>
          <x:t xml:space="preserve">ЗК-1123</x:t>
        </x:is>
      </x:c>
      <x:c r="D2087" s="31" t="inlineStr">
        <x:is>
          <x:t xml:space="preserve">ПОЗ-0123-1</x:t>
        </x:is>
      </x:c>
      <x:c r="E2087" s="31" t="inlineStr">
        <x:is>
          <x:t xml:space="preserve">ИЗД-016</x:t>
        </x:is>
      </x:c>
      <x:c r="F2087" s="31" t="n">
        <x:v>20</x:v>
      </x:c>
      <x:c r="G2087" s="31" t="inlineStr">
        <x:is>
          <x:t xml:space="preserve">Резерв материалов</x:t>
        </x:is>
      </x:c>
      <x:c r="H2087" s="31" t="inlineStr">
        <x:is>
          <x:t xml:space="preserve">Склад</x:t>
        </x:is>
      </x:c>
      <x:c r="I2087" s="31" t="inlineStr">
        <x:is>
          <x:t xml:space="preserve">ОБ-025</x:t>
        </x:is>
      </x:c>
      <x:c r="J2087" s="31" t="inlineStr">
        <x:is>
          <x:t xml:space="preserve">СОТР-035</x:t>
        </x:is>
      </x:c>
      <x:c r="K2087" s="31" t="n">
        <x:v>72</x:v>
      </x:c>
      <x:c r="L2087" s="31" t="n">
        <x:v>88.2</x:v>
      </x:c>
      <x:c r="M2087" s="31" t="n">
        <x:v>46149</x:v>
      </x:c>
      <x:c r="N2087" s="31" t="n">
        <x:v>46155</x:v>
      </x:c>
      <x:c r="O2087" s="31" t="n">
        <x:v>46149</x:v>
      </x:c>
      <x:c r="P2087" s="31" t="n">
        <x:v>46155</x:v>
      </x:c>
      <x:c r="Q2087" s="31" t="inlineStr">
        <x:is>
          <x:t xml:space="preserve">Завершено</x:t>
        </x:is>
      </x:c>
      <x:c r="R2087" s="31" t="inlineStr">
        <x:is>
          <x:t xml:space="preserve">Нет</x:t>
        </x:is>
      </x:c>
      <x:c r="S2087" s="31" t="inlineStr">
        <x:is>
          <x:t xml:space="preserve">Нет</x:t>
        </x:is>
      </x:c>
    </x:row>
    <x:row r="2088">
      <x:c r="A2088" s="31" t="inlineStr">
        <x:is>
          <x:t xml:space="preserve">ОП-002087</x:t>
        </x:is>
      </x:c>
      <x:c r="B2088" s="31" t="inlineStr">
        <x:is>
          <x:t xml:space="preserve">ПЗ-00250</x:t>
        </x:is>
      </x:c>
      <x:c r="C2088" s="31" t="inlineStr">
        <x:is>
          <x:t xml:space="preserve">ЗК-1123</x:t>
        </x:is>
      </x:c>
      <x:c r="D2088" s="31" t="inlineStr">
        <x:is>
          <x:t xml:space="preserve">ПОЗ-0123-1</x:t>
        </x:is>
      </x:c>
      <x:c r="E2088" s="31" t="inlineStr">
        <x:is>
          <x:t xml:space="preserve">ИЗД-016</x:t>
        </x:is>
      </x:c>
      <x:c r="F2088" s="31" t="n">
        <x:v>30</x:v>
      </x:c>
      <x:c r="G2088" s="31" t="inlineStr">
        <x:is>
          <x:t xml:space="preserve">Резка металла</x:t>
        </x:is>
      </x:c>
      <x:c r="H2088" s="31" t="inlineStr">
        <x:is>
          <x:t xml:space="preserve">Сварка</x:t>
        </x:is>
      </x:c>
      <x:c r="I2088" s="31" t="inlineStr">
        <x:is>
          <x:t xml:space="preserve">ОБ-003</x:t>
        </x:is>
      </x:c>
      <x:c r="J2088" s="31" t="inlineStr">
        <x:is>
          <x:t xml:space="preserve">СОТР-065</x:t>
        </x:is>
      </x:c>
      <x:c r="K2088" s="31" t="n">
        <x:v>56.5</x:v>
      </x:c>
      <x:c r="L2088" s="31" t="n">
        <x:v>51.2</x:v>
      </x:c>
      <x:c r="M2088" s="31" t="n">
        <x:v>46155</x:v>
      </x:c>
      <x:c r="N2088" s="31" t="n">
        <x:v>46160</x:v>
      </x:c>
      <x:c r="O2088" s="31" t="n">
        <x:v>46155</x:v>
      </x:c>
      <x:c r="P2088" s="31" t="n">
        <x:v>46161</x:v>
      </x:c>
      <x:c r="Q2088" s="31" t="inlineStr">
        <x:is>
          <x:t xml:space="preserve">Завершено</x:t>
        </x:is>
      </x:c>
      <x:c r="R2088" s="31" t="inlineStr">
        <x:is>
          <x:t xml:space="preserve">Материал</x:t>
        </x:is>
      </x:c>
      <x:c r="S2088" s="31" t="inlineStr">
        <x:is>
          <x:t xml:space="preserve">Нет</x:t>
        </x:is>
      </x:c>
    </x:row>
    <x:row r="2089">
      <x:c r="A2089" s="31" t="inlineStr">
        <x:is>
          <x:t xml:space="preserve">ОП-002088</x:t>
        </x:is>
      </x:c>
      <x:c r="B2089" s="31" t="inlineStr">
        <x:is>
          <x:t xml:space="preserve">ПЗ-00250</x:t>
        </x:is>
      </x:c>
      <x:c r="C2089" s="31" t="inlineStr">
        <x:is>
          <x:t xml:space="preserve">ЗК-1123</x:t>
        </x:is>
      </x:c>
      <x:c r="D2089" s="31" t="inlineStr">
        <x:is>
          <x:t xml:space="preserve">ПОЗ-0123-1</x:t>
        </x:is>
      </x:c>
      <x:c r="E2089" s="31" t="inlineStr">
        <x:is>
          <x:t xml:space="preserve">ИЗД-016</x:t>
        </x:is>
      </x:c>
      <x:c r="F2089" s="31" t="n">
        <x:v>40</x:v>
      </x:c>
      <x:c r="G2089" s="31" t="inlineStr">
        <x:is>
          <x:t xml:space="preserve">Сварка рамы</x:t>
        </x:is>
      </x:c>
      <x:c r="H2089" s="31" t="inlineStr">
        <x:is>
          <x:t xml:space="preserve">Сварка</x:t>
        </x:is>
      </x:c>
      <x:c r="I2089" s="31" t="inlineStr">
        <x:is>
          <x:t xml:space="preserve">ОБ-010</x:t>
        </x:is>
      </x:c>
      <x:c r="J2089" s="31" t="inlineStr">
        <x:is>
          <x:t xml:space="preserve">СОТР-056</x:t>
        </x:is>
      </x:c>
      <x:c r="K2089" s="31" t="n">
        <x:v>58</x:v>
      </x:c>
      <x:c r="L2089" s="31" t="n">
        <x:v>58</x:v>
      </x:c>
      <x:c r="M2089" s="31" t="n">
        <x:v>46160</x:v>
      </x:c>
      <x:c r="N2089" s="31" t="n">
        <x:v>46165</x:v>
      </x:c>
      <x:c r="O2089" s="31" t="n">
        <x:v>46160</x:v>
      </x:c>
      <x:c r="P2089" s="31" t="n">
        <x:v>46167</x:v>
      </x:c>
      <x:c r="Q2089" s="31" t="inlineStr">
        <x:is>
          <x:t xml:space="preserve">Завершено</x:t>
        </x:is>
      </x:c>
      <x:c r="R2089" s="31" t="inlineStr">
        <x:is>
          <x:t xml:space="preserve">Нет</x:t>
        </x:is>
      </x:c>
      <x:c r="S2089" s="31" t="inlineStr">
        <x:is>
          <x:t xml:space="preserve">Нет</x:t>
        </x:is>
      </x:c>
    </x:row>
    <x:row r="2090">
      <x:c r="A2090" s="31" t="inlineStr">
        <x:is>
          <x:t xml:space="preserve">ОП-002089</x:t>
        </x:is>
      </x:c>
      <x:c r="B2090" s="31" t="inlineStr">
        <x:is>
          <x:t xml:space="preserve">ПЗ-00250</x:t>
        </x:is>
      </x:c>
      <x:c r="C2090" s="31" t="inlineStr">
        <x:is>
          <x:t xml:space="preserve">ЗК-1123</x:t>
        </x:is>
      </x:c>
      <x:c r="D2090" s="31" t="inlineStr">
        <x:is>
          <x:t xml:space="preserve">ПОЗ-0123-1</x:t>
        </x:is>
      </x:c>
      <x:c r="E2090" s="31" t="inlineStr">
        <x:is>
          <x:t xml:space="preserve">ИЗД-016</x:t>
        </x:is>
      </x:c>
      <x:c r="F2090" s="31" t="n">
        <x:v>50</x:v>
      </x:c>
      <x:c r="G2090" s="31" t="inlineStr">
        <x:is>
          <x:t xml:space="preserve">Механообработка</x:t>
        </x:is>
      </x:c>
      <x:c r="H2090" s="31" t="inlineStr">
        <x:is>
          <x:t xml:space="preserve">Механообработка</x:t>
        </x:is>
      </x:c>
      <x:c r="I2090" s="31" t="inlineStr">
        <x:is>
          <x:t xml:space="preserve">ОБ-029</x:t>
        </x:is>
      </x:c>
      <x:c r="J2090" s="31" t="inlineStr">
        <x:is>
          <x:t xml:space="preserve">СОТР-041</x:t>
        </x:is>
      </x:c>
      <x:c r="K2090" s="31" t="n">
        <x:v>75.5</x:v>
      </x:c>
      <x:c r="L2090" s="31" t="n">
        <x:v>73.3</x:v>
      </x:c>
      <x:c r="M2090" s="31" t="n">
        <x:v>46165</x:v>
      </x:c>
      <x:c r="N2090" s="31" t="n">
        <x:v>46172</x:v>
      </x:c>
      <x:c r="O2090" s="31" t="n">
        <x:v>46165</x:v>
      </x:c>
      <x:c r="P2090" s="31" t="n">
        <x:v>46174</x:v>
      </x:c>
      <x:c r="Q2090" s="31" t="inlineStr">
        <x:is>
          <x:t xml:space="preserve">Завершено</x:t>
        </x:is>
      </x:c>
      <x:c r="R2090" s="31" t="inlineStr">
        <x:is>
          <x:t xml:space="preserve">Оборудование</x:t>
        </x:is>
      </x:c>
      <x:c r="S2090" s="31" t="inlineStr">
        <x:is>
          <x:t xml:space="preserve">Нет</x:t>
        </x:is>
      </x:c>
    </x:row>
    <x:row r="2091">
      <x:c r="A2091" s="31" t="inlineStr">
        <x:is>
          <x:t xml:space="preserve">ОП-002090</x:t>
        </x:is>
      </x:c>
      <x:c r="B2091" s="31" t="inlineStr">
        <x:is>
          <x:t xml:space="preserve">ПЗ-00250</x:t>
        </x:is>
      </x:c>
      <x:c r="C2091" s="31" t="inlineStr">
        <x:is>
          <x:t xml:space="preserve">ЗК-1123</x:t>
        </x:is>
      </x:c>
      <x:c r="D2091" s="31" t="inlineStr">
        <x:is>
          <x:t xml:space="preserve">ПОЗ-0123-1</x:t>
        </x:is>
      </x:c>
      <x:c r="E2091" s="31" t="inlineStr">
        <x:is>
          <x:t xml:space="preserve">ИЗД-016</x:t>
        </x:is>
      </x:c>
      <x:c r="F2091" s="31" t="n">
        <x:v>60</x:v>
      </x:c>
      <x:c r="G2091" s="31" t="inlineStr">
        <x:is>
          <x:t xml:space="preserve">Сборка</x:t>
        </x:is>
      </x:c>
      <x:c r="H2091" s="31" t="inlineStr">
        <x:is>
          <x:t xml:space="preserve">Сборка</x:t>
        </x:is>
      </x:c>
      <x:c r="I2091" s="31" t="inlineStr">
        <x:is>
          <x:t xml:space="preserve">ОБ-027</x:t>
        </x:is>
      </x:c>
      <x:c r="J2091" s="31" t="inlineStr">
        <x:is>
          <x:t xml:space="preserve">СОТР-079</x:t>
        </x:is>
      </x:c>
      <x:c r="K2091" s="31" t="n">
        <x:v>75.5</x:v>
      </x:c>
      <x:c r="L2091" s="31" t="n">
        <x:v>65.5</x:v>
      </x:c>
      <x:c r="M2091" s="31" t="n">
        <x:v>46172</x:v>
      </x:c>
      <x:c r="N2091" s="31" t="n">
        <x:v>46179</x:v>
      </x:c>
      <x:c r="O2091" s="31" t="n">
        <x:v>46172</x:v>
      </x:c>
      <x:c r="P2091" s="31" t="n">
        <x:v>46180</x:v>
      </x:c>
      <x:c r="Q2091" s="31" t="inlineStr">
        <x:is>
          <x:t xml:space="preserve">Завершено</x:t>
        </x:is>
      </x:c>
      <x:c r="R2091" s="31" t="inlineStr">
        <x:is>
          <x:t xml:space="preserve">Материал</x:t>
        </x:is>
      </x:c>
      <x:c r="S2091" s="31" t="inlineStr">
        <x:is>
          <x:t xml:space="preserve">Нет</x:t>
        </x:is>
      </x:c>
    </x:row>
    <x:row r="2092">
      <x:c r="A2092" s="31" t="inlineStr">
        <x:is>
          <x:t xml:space="preserve">ОП-002091</x:t>
        </x:is>
      </x:c>
      <x:c r="B2092" s="31" t="inlineStr">
        <x:is>
          <x:t xml:space="preserve">ПЗ-00250</x:t>
        </x:is>
      </x:c>
      <x:c r="C2092" s="31" t="inlineStr">
        <x:is>
          <x:t xml:space="preserve">ЗК-1123</x:t>
        </x:is>
      </x:c>
      <x:c r="D2092" s="31" t="inlineStr">
        <x:is>
          <x:t xml:space="preserve">ПОЗ-0123-1</x:t>
        </x:is>
      </x:c>
      <x:c r="E2092" s="31" t="inlineStr">
        <x:is>
          <x:t xml:space="preserve">ИЗД-016</x:t>
        </x:is>
      </x:c>
      <x:c r="F2092" s="31" t="n">
        <x:v>70</x:v>
      </x:c>
      <x:c r="G2092" s="31" t="inlineStr">
        <x:is>
          <x:t xml:space="preserve">Электромонтаж</x:t>
        </x:is>
      </x:c>
      <x:c r="H2092" s="31" t="inlineStr">
        <x:is>
          <x:t xml:space="preserve">Сборка</x:t>
        </x:is>
      </x:c>
      <x:c r="I2092" s="31" t="inlineStr">
        <x:is>
          <x:t xml:space="preserve">ОБ-014</x:t>
        </x:is>
      </x:c>
      <x:c r="J2092" s="31" t="inlineStr">
        <x:is>
          <x:t xml:space="preserve">СОТР-083</x:t>
        </x:is>
      </x:c>
      <x:c r="K2092" s="31" t="n">
        <x:v>87</x:v>
      </x:c>
      <x:c r="L2092" s="31" t="n">
        <x:v>113</x:v>
      </x:c>
      <x:c r="M2092" s="31" t="n">
        <x:v>46179</x:v>
      </x:c>
      <x:c r="N2092" s="31" t="n">
        <x:v>46187</x:v>
      </x:c>
      <x:c r="O2092" s="31" t="n">
        <x:v>46179</x:v>
      </x:c>
      <x:c r="P2092" s="31" t="n">
        <x:v>46186</x:v>
      </x:c>
      <x:c r="Q2092" s="31" t="inlineStr">
        <x:is>
          <x:t xml:space="preserve">Завершено</x:t>
        </x:is>
      </x:c>
      <x:c r="R2092" s="31" t="inlineStr">
        <x:is>
          <x:t xml:space="preserve">Нет</x:t>
        </x:is>
      </x:c>
      <x:c r="S2092" s="31" t="inlineStr">
        <x:is>
          <x:t xml:space="preserve">Нет</x:t>
        </x:is>
      </x:c>
    </x:row>
    <x:row r="2093">
      <x:c r="A2093" s="31" t="inlineStr">
        <x:is>
          <x:t xml:space="preserve">ОП-002092</x:t>
        </x:is>
      </x:c>
      <x:c r="B2093" s="31" t="inlineStr">
        <x:is>
          <x:t xml:space="preserve">ПЗ-00250</x:t>
        </x:is>
      </x:c>
      <x:c r="C2093" s="31" t="inlineStr">
        <x:is>
          <x:t xml:space="preserve">ЗК-1123</x:t>
        </x:is>
      </x:c>
      <x:c r="D2093" s="31" t="inlineStr">
        <x:is>
          <x:t xml:space="preserve">ПОЗ-0123-1</x:t>
        </x:is>
      </x:c>
      <x:c r="E2093" s="31" t="inlineStr">
        <x:is>
          <x:t xml:space="preserve">ИЗД-016</x:t>
        </x:is>
      </x:c>
      <x:c r="F2093" s="31" t="n">
        <x:v>80</x:v>
      </x:c>
      <x:c r="G2093" s="31" t="inlineStr">
        <x:is>
          <x:t xml:space="preserve">Гидроиспытания</x:t>
        </x:is>
      </x:c>
      <x:c r="H2093" s="31" t="inlineStr">
        <x:is>
          <x:t xml:space="preserve">ОТК</x:t>
        </x:is>
      </x:c>
      <x:c r="I2093" s="31" t="inlineStr">
        <x:is>
          <x:t xml:space="preserve">ОБ-028</x:t>
        </x:is>
      </x:c>
      <x:c r="J2093" s="31" t="inlineStr">
        <x:is>
          <x:t xml:space="preserve">СОТР-100</x:t>
        </x:is>
      </x:c>
      <x:c r="K2093" s="31" t="n">
        <x:v>9</x:v>
      </x:c>
      <x:c r="L2093" s="31" t="n">
        <x:v>8.1</x:v>
      </x:c>
      <x:c r="M2093" s="31" t="n">
        <x:v>46187</x:v>
      </x:c>
      <x:c r="N2093" s="31" t="n">
        <x:v>46188</x:v>
      </x:c>
      <x:c r="O2093" s="31" t="n">
        <x:v>46187</x:v>
      </x:c>
      <x:c r="P2093" s="31" t="n">
        <x:v>46188</x:v>
      </x:c>
      <x:c r="Q2093" s="31" t="inlineStr">
        <x:is>
          <x:t xml:space="preserve">Завершено</x:t>
        </x:is>
      </x:c>
      <x:c r="R2093" s="31" t="inlineStr">
        <x:is>
          <x:t xml:space="preserve">Нет</x:t>
        </x:is>
      </x:c>
      <x:c r="S2093" s="31" t="inlineStr">
        <x:is>
          <x:t xml:space="preserve">Нет</x:t>
        </x:is>
      </x:c>
    </x:row>
    <x:row r="2094">
      <x:c r="A2094" s="31" t="inlineStr">
        <x:is>
          <x:t xml:space="preserve">ОП-002093</x:t>
        </x:is>
      </x:c>
      <x:c r="B2094" s="31" t="inlineStr">
        <x:is>
          <x:t xml:space="preserve">ПЗ-00250</x:t>
        </x:is>
      </x:c>
      <x:c r="C2094" s="31" t="inlineStr">
        <x:is>
          <x:t xml:space="preserve">ЗК-1123</x:t>
        </x:is>
      </x:c>
      <x:c r="D2094" s="31" t="inlineStr">
        <x:is>
          <x:t xml:space="preserve">ПОЗ-0123-1</x:t>
        </x:is>
      </x:c>
      <x:c r="E2094" s="31" t="inlineStr">
        <x:is>
          <x:t xml:space="preserve">ИЗД-016</x:t>
        </x:is>
      </x:c>
      <x:c r="F2094" s="31" t="n">
        <x:v>90</x:v>
      </x:c>
      <x:c r="G2094" s="31" t="inlineStr">
        <x:is>
          <x:t xml:space="preserve">ОТК</x:t>
        </x:is>
      </x:c>
      <x:c r="H2094" s="31" t="inlineStr">
        <x:is>
          <x:t xml:space="preserve">ОТК</x:t>
        </x:is>
      </x:c>
      <x:c r="I2094" s="31" t="inlineStr">
        <x:is>
          <x:t xml:space="preserve">ОБ-028</x:t>
        </x:is>
      </x:c>
      <x:c r="J2094" s="31" t="inlineStr">
        <x:is>
          <x:t xml:space="preserve">СОТР-099</x:t>
        </x:is>
      </x:c>
      <x:c r="K2094" s="31" t="n">
        <x:v>8.5</x:v>
      </x:c>
      <x:c r="L2094" s="31" t="n">
        <x:v>11.2</x:v>
      </x:c>
      <x:c r="M2094" s="31" t="n">
        <x:v>46188</x:v>
      </x:c>
      <x:c r="N2094" s="31" t="n">
        <x:v>46189</x:v>
      </x:c>
      <x:c r="O2094" s="31" t="n">
        <x:v>46188</x:v>
      </x:c>
      <x:c r="P2094" s="31" t="n">
        <x:v>46188</x:v>
      </x:c>
      <x:c r="Q2094" s="31" t="inlineStr">
        <x:is>
          <x:t xml:space="preserve">Завершено</x:t>
        </x:is>
      </x:c>
      <x:c r="R2094" s="31" t="inlineStr">
        <x:is>
          <x:t xml:space="preserve">Нет</x:t>
        </x:is>
      </x:c>
      <x:c r="S2094" s="31" t="inlineStr">
        <x:is>
          <x:t xml:space="preserve">Нет</x:t>
        </x:is>
      </x:c>
    </x:row>
    <x:row r="2095">
      <x:c r="A2095" s="31" t="inlineStr">
        <x:is>
          <x:t xml:space="preserve">ОП-002094</x:t>
        </x:is>
      </x:c>
      <x:c r="B2095" s="31" t="inlineStr">
        <x:is>
          <x:t xml:space="preserve">ПЗ-00250</x:t>
        </x:is>
      </x:c>
      <x:c r="C2095" s="31" t="inlineStr">
        <x:is>
          <x:t xml:space="preserve">ЗК-1123</x:t>
        </x:is>
      </x:c>
      <x:c r="D2095" s="31" t="inlineStr">
        <x:is>
          <x:t xml:space="preserve">ПОЗ-0123-1</x:t>
        </x:is>
      </x:c>
      <x:c r="E2095" s="31" t="inlineStr">
        <x:is>
          <x:t xml:space="preserve">ИЗД-016</x:t>
        </x:is>
      </x:c>
      <x:c r="F2095" s="31" t="n">
        <x:v>100</x:v>
      </x:c>
      <x:c r="G2095" s="31" t="inlineStr">
        <x:is>
          <x:t xml:space="preserve">Упаковка</x:t>
        </x:is>
      </x:c>
      <x:c r="H2095" s="31" t="inlineStr">
        <x:is>
          <x:t xml:space="preserve">Логистика</x:t>
        </x:is>
      </x:c>
      <x:c r="I2095" s="31" t="n"/>
      <x:c r="J2095" s="31" t="inlineStr">
        <x:is>
          <x:t xml:space="preserve">СОТР-104</x:t>
        </x:is>
      </x:c>
      <x:c r="K2095" s="31" t="n">
        <x:v>50</x:v>
      </x:c>
      <x:c r="L2095" s="31" t="n">
        <x:v>53.6</x:v>
      </x:c>
      <x:c r="M2095" s="31" t="n">
        <x:v>46189</x:v>
      </x:c>
      <x:c r="N2095" s="31" t="n">
        <x:v>46194</x:v>
      </x:c>
      <x:c r="O2095" s="31" t="n">
        <x:v>46189</x:v>
      </x:c>
      <x:c r="P2095" s="31" t="n">
        <x:v>46193</x:v>
      </x:c>
      <x:c r="Q2095" s="31" t="inlineStr">
        <x:is>
          <x:t xml:space="preserve">Завершено</x:t>
        </x:is>
      </x:c>
      <x:c r="R2095" s="31" t="inlineStr">
        <x:is>
          <x:t xml:space="preserve">Нет</x:t>
        </x:is>
      </x:c>
      <x:c r="S2095" s="31" t="inlineStr">
        <x:is>
          <x:t xml:space="preserve">Да</x:t>
        </x:is>
      </x:c>
    </x:row>
    <x:row r="2096">
      <x:c r="A2096" s="31" t="inlineStr">
        <x:is>
          <x:t xml:space="preserve">ОП-002095</x:t>
        </x:is>
      </x:c>
      <x:c r="B2096" s="31" t="inlineStr">
        <x:is>
          <x:t xml:space="preserve">ПЗ-00251</x:t>
        </x:is>
      </x:c>
      <x:c r="C2096" s="31" t="inlineStr">
        <x:is>
          <x:t xml:space="preserve">ЗК-1123</x:t>
        </x:is>
      </x:c>
      <x:c r="D2096" s="31" t="inlineStr">
        <x:is>
          <x:t xml:space="preserve">ПОЗ-0123-2</x:t>
        </x:is>
      </x:c>
      <x:c r="E2096" s="31" t="inlineStr">
        <x:is>
          <x:t xml:space="preserve">ИЗД-004</x:t>
        </x:is>
      </x:c>
      <x:c r="F2096" s="31" t="n">
        <x:v>10</x:v>
      </x:c>
      <x:c r="G2096" s="31" t="inlineStr">
        <x:is>
          <x:t xml:space="preserve">КД</x:t>
        </x:is>
      </x:c>
      <x:c r="H2096" s="31" t="inlineStr">
        <x:is>
          <x:t xml:space="preserve">Инженерный отдел</x:t>
        </x:is>
      </x:c>
      <x:c r="I2096" s="31" t="n"/>
      <x:c r="J2096" s="31" t="inlineStr">
        <x:is>
          <x:t xml:space="preserve">СОТР-017</x:t>
        </x:is>
      </x:c>
      <x:c r="K2096" s="31" t="n">
        <x:v>38.4</x:v>
      </x:c>
      <x:c r="L2096" s="31" t="n">
        <x:v>32.7</x:v>
      </x:c>
      <x:c r="M2096" s="31" t="n">
        <x:v>46139</x:v>
      </x:c>
      <x:c r="N2096" s="31" t="n">
        <x:v>46143</x:v>
      </x:c>
      <x:c r="O2096" s="31" t="n">
        <x:v>46139</x:v>
      </x:c>
      <x:c r="P2096" s="31" t="n">
        <x:v>46144</x:v>
      </x:c>
      <x:c r="Q2096" s="31" t="inlineStr">
        <x:is>
          <x:t xml:space="preserve">Завершено</x:t>
        </x:is>
      </x:c>
      <x:c r="R2096" s="31" t="inlineStr">
        <x:is>
          <x:t xml:space="preserve">Нет</x:t>
        </x:is>
      </x:c>
      <x:c r="S2096" s="31" t="inlineStr">
        <x:is>
          <x:t xml:space="preserve">Нет</x:t>
        </x:is>
      </x:c>
    </x:row>
    <x:row r="2097">
      <x:c r="A2097" s="31" t="inlineStr">
        <x:is>
          <x:t xml:space="preserve">ОП-002096</x:t>
        </x:is>
      </x:c>
      <x:c r="B2097" s="31" t="inlineStr">
        <x:is>
          <x:t xml:space="preserve">ПЗ-00251</x:t>
        </x:is>
      </x:c>
      <x:c r="C2097" s="31" t="inlineStr">
        <x:is>
          <x:t xml:space="preserve">ЗК-1123</x:t>
        </x:is>
      </x:c>
      <x:c r="D2097" s="31" t="inlineStr">
        <x:is>
          <x:t xml:space="preserve">ПОЗ-0123-2</x:t>
        </x:is>
      </x:c>
      <x:c r="E2097" s="31" t="inlineStr">
        <x:is>
          <x:t xml:space="preserve">ИЗД-004</x:t>
        </x:is>
      </x:c>
      <x:c r="F2097" s="31" t="n">
        <x:v>20</x:v>
      </x:c>
      <x:c r="G2097" s="31" t="inlineStr">
        <x:is>
          <x:t xml:space="preserve">Резерв материалов</x:t>
        </x:is>
      </x:c>
      <x:c r="H2097" s="31" t="inlineStr">
        <x:is>
          <x:t xml:space="preserve">Склад</x:t>
        </x:is>
      </x:c>
      <x:c r="I2097" s="31" t="inlineStr">
        <x:is>
          <x:t xml:space="preserve">ОБ-011</x:t>
        </x:is>
      </x:c>
      <x:c r="J2097" s="31" t="inlineStr">
        <x:is>
          <x:t xml:space="preserve">СОТР-035</x:t>
        </x:is>
      </x:c>
      <x:c r="K2097" s="31" t="n">
        <x:v>14.2</x:v>
      </x:c>
      <x:c r="L2097" s="31" t="n">
        <x:v>13</x:v>
      </x:c>
      <x:c r="M2097" s="31" t="n">
        <x:v>46143</x:v>
      </x:c>
      <x:c r="N2097" s="31" t="n">
        <x:v>46145</x:v>
      </x:c>
      <x:c r="O2097" s="31" t="n">
        <x:v>46143</x:v>
      </x:c>
      <x:c r="P2097" s="31" t="n">
        <x:v>46146</x:v>
      </x:c>
      <x:c r="Q2097" s="31" t="inlineStr">
        <x:is>
          <x:t xml:space="preserve">Завершено</x:t>
        </x:is>
      </x:c>
      <x:c r="R2097" s="31" t="inlineStr">
        <x:is>
          <x:t xml:space="preserve">Нет</x:t>
        </x:is>
      </x:c>
      <x:c r="S2097" s="31" t="inlineStr">
        <x:is>
          <x:t xml:space="preserve">Нет</x:t>
        </x:is>
      </x:c>
    </x:row>
    <x:row r="2098">
      <x:c r="A2098" s="31" t="inlineStr">
        <x:is>
          <x:t xml:space="preserve">ОП-002097</x:t>
        </x:is>
      </x:c>
      <x:c r="B2098" s="31" t="inlineStr">
        <x:is>
          <x:t xml:space="preserve">ПЗ-00251</x:t>
        </x:is>
      </x:c>
      <x:c r="C2098" s="31" t="inlineStr">
        <x:is>
          <x:t xml:space="preserve">ЗК-1123</x:t>
        </x:is>
      </x:c>
      <x:c r="D2098" s="31" t="inlineStr">
        <x:is>
          <x:t xml:space="preserve">ПОЗ-0123-2</x:t>
        </x:is>
      </x:c>
      <x:c r="E2098" s="31" t="inlineStr">
        <x:is>
          <x:t xml:space="preserve">ИЗД-004</x:t>
        </x:is>
      </x:c>
      <x:c r="F2098" s="31" t="n">
        <x:v>30</x:v>
      </x:c>
      <x:c r="G2098" s="31" t="inlineStr">
        <x:is>
          <x:t xml:space="preserve">Сварка рамы</x:t>
        </x:is>
      </x:c>
      <x:c r="H2098" s="31" t="inlineStr">
        <x:is>
          <x:t xml:space="preserve">Сварка</x:t>
        </x:is>
      </x:c>
      <x:c r="I2098" s="31" t="inlineStr">
        <x:is>
          <x:t xml:space="preserve">ОБ-021</x:t>
        </x:is>
      </x:c>
      <x:c r="J2098" s="31" t="inlineStr">
        <x:is>
          <x:t xml:space="preserve">СОТР-057</x:t>
        </x:is>
      </x:c>
      <x:c r="K2098" s="31" t="n">
        <x:v>25.4</x:v>
      </x:c>
      <x:c r="L2098" s="31" t="n">
        <x:v>31</x:v>
      </x:c>
      <x:c r="M2098" s="31" t="n">
        <x:v>46145</x:v>
      </x:c>
      <x:c r="N2098" s="31" t="n">
        <x:v>46148</x:v>
      </x:c>
      <x:c r="O2098" s="31" t="n">
        <x:v>46145</x:v>
      </x:c>
      <x:c r="P2098" s="31" t="n">
        <x:v>46150</x:v>
      </x:c>
      <x:c r="Q2098" s="31" t="inlineStr">
        <x:is>
          <x:t xml:space="preserve">Завершено</x:t>
        </x:is>
      </x:c>
      <x:c r="R2098" s="31" t="inlineStr">
        <x:is>
          <x:t xml:space="preserve">Нет</x:t>
        </x:is>
      </x:c>
      <x:c r="S2098" s="31" t="inlineStr">
        <x:is>
          <x:t xml:space="preserve">Нет</x:t>
        </x:is>
      </x:c>
    </x:row>
    <x:row r="2099">
      <x:c r="A2099" s="31" t="inlineStr">
        <x:is>
          <x:t xml:space="preserve">ОП-002098</x:t>
        </x:is>
      </x:c>
      <x:c r="B2099" s="31" t="inlineStr">
        <x:is>
          <x:t xml:space="preserve">ПЗ-00251</x:t>
        </x:is>
      </x:c>
      <x:c r="C2099" s="31" t="inlineStr">
        <x:is>
          <x:t xml:space="preserve">ЗК-1123</x:t>
        </x:is>
      </x:c>
      <x:c r="D2099" s="31" t="inlineStr">
        <x:is>
          <x:t xml:space="preserve">ПОЗ-0123-2</x:t>
        </x:is>
      </x:c>
      <x:c r="E2099" s="31" t="inlineStr">
        <x:is>
          <x:t xml:space="preserve">ИЗД-004</x:t>
        </x:is>
      </x:c>
      <x:c r="F2099" s="31" t="n">
        <x:v>40</x:v>
      </x:c>
      <x:c r="G2099" s="31" t="inlineStr">
        <x:is>
          <x:t xml:space="preserve">Сборка</x:t>
        </x:is>
      </x:c>
      <x:c r="H2099" s="31" t="inlineStr">
        <x:is>
          <x:t xml:space="preserve">Сборка</x:t>
        </x:is>
      </x:c>
      <x:c r="I2099" s="31" t="inlineStr">
        <x:is>
          <x:t xml:space="preserve">ОБ-034</x:t>
        </x:is>
      </x:c>
      <x:c r="J2099" s="31" t="inlineStr">
        <x:is>
          <x:t xml:space="preserve">СОТР-087</x:t>
        </x:is>
      </x:c>
      <x:c r="K2099" s="31" t="n">
        <x:v>10.8</x:v>
      </x:c>
      <x:c r="L2099" s="31" t="n">
        <x:v>8.699999999999999</x:v>
      </x:c>
      <x:c r="M2099" s="31" t="n">
        <x:v>46148</x:v>
      </x:c>
      <x:c r="N2099" s="31" t="n">
        <x:v>46149</x:v>
      </x:c>
      <x:c r="O2099" s="31" t="n">
        <x:v>46148</x:v>
      </x:c>
      <x:c r="P2099" s="31" t="n">
        <x:v>46148</x:v>
      </x:c>
      <x:c r="Q2099" s="31" t="inlineStr">
        <x:is>
          <x:t xml:space="preserve">Завершено</x:t>
        </x:is>
      </x:c>
      <x:c r="R2099" s="31" t="inlineStr">
        <x:is>
          <x:t xml:space="preserve">Нет</x:t>
        </x:is>
      </x:c>
      <x:c r="S2099" s="31" t="inlineStr">
        <x:is>
          <x:t xml:space="preserve">Нет</x:t>
        </x:is>
      </x:c>
    </x:row>
    <x:row r="2100">
      <x:c r="A2100" s="31" t="inlineStr">
        <x:is>
          <x:t xml:space="preserve">ОП-002099</x:t>
        </x:is>
      </x:c>
      <x:c r="B2100" s="31" t="inlineStr">
        <x:is>
          <x:t xml:space="preserve">ПЗ-00251</x:t>
        </x:is>
      </x:c>
      <x:c r="C2100" s="31" t="inlineStr">
        <x:is>
          <x:t xml:space="preserve">ЗК-1123</x:t>
        </x:is>
      </x:c>
      <x:c r="D2100" s="31" t="inlineStr">
        <x:is>
          <x:t xml:space="preserve">ПОЗ-0123-2</x:t>
        </x:is>
      </x:c>
      <x:c r="E2100" s="31" t="inlineStr">
        <x:is>
          <x:t xml:space="preserve">ИЗД-004</x:t>
        </x:is>
      </x:c>
      <x:c r="F2100" s="31" t="n">
        <x:v>50</x:v>
      </x:c>
      <x:c r="G2100" s="31" t="inlineStr">
        <x:is>
          <x:t xml:space="preserve">Обвязка труб</x:t>
        </x:is>
      </x:c>
      <x:c r="H2100" s="31" t="inlineStr">
        <x:is>
          <x:t xml:space="preserve">Сборка</x:t>
        </x:is>
      </x:c>
      <x:c r="I2100" s="31" t="inlineStr">
        <x:is>
          <x:t xml:space="preserve">ОБ-027</x:t>
        </x:is>
      </x:c>
      <x:c r="J2100" s="31" t="inlineStr">
        <x:is>
          <x:t xml:space="preserve">СОТР-088</x:t>
        </x:is>
      </x:c>
      <x:c r="K2100" s="31" t="n">
        <x:v>37</x:v>
      </x:c>
      <x:c r="L2100" s="31" t="n">
        <x:v>46.8</x:v>
      </x:c>
      <x:c r="M2100" s="31" t="n">
        <x:v>46149</x:v>
      </x:c>
      <x:c r="N2100" s="31" t="n">
        <x:v>46153</x:v>
      </x:c>
      <x:c r="O2100" s="31" t="n">
        <x:v>46149</x:v>
      </x:c>
      <x:c r="P2100" s="31" t="n">
        <x:v>46153</x:v>
      </x:c>
      <x:c r="Q2100" s="31" t="inlineStr">
        <x:is>
          <x:t xml:space="preserve">Завершено</x:t>
        </x:is>
      </x:c>
      <x:c r="R2100" s="31" t="inlineStr">
        <x:is>
          <x:t xml:space="preserve">Нет</x:t>
        </x:is>
      </x:c>
      <x:c r="S2100" s="31" t="inlineStr">
        <x:is>
          <x:t xml:space="preserve">Нет</x:t>
        </x:is>
      </x:c>
    </x:row>
    <x:row r="2101">
      <x:c r="A2101" s="31" t="inlineStr">
        <x:is>
          <x:t xml:space="preserve">ОП-002100</x:t>
        </x:is>
      </x:c>
      <x:c r="B2101" s="31" t="inlineStr">
        <x:is>
          <x:t xml:space="preserve">ПЗ-00251</x:t>
        </x:is>
      </x:c>
      <x:c r="C2101" s="31" t="inlineStr">
        <x:is>
          <x:t xml:space="preserve">ЗК-1123</x:t>
        </x:is>
      </x:c>
      <x:c r="D2101" s="31" t="inlineStr">
        <x:is>
          <x:t xml:space="preserve">ПОЗ-0123-2</x:t>
        </x:is>
      </x:c>
      <x:c r="E2101" s="31" t="inlineStr">
        <x:is>
          <x:t xml:space="preserve">ИЗД-004</x:t>
        </x:is>
      </x:c>
      <x:c r="F2101" s="31" t="n">
        <x:v>60</x:v>
      </x:c>
      <x:c r="G2101" s="31" t="inlineStr">
        <x:is>
          <x:t xml:space="preserve">Электромонтаж</x:t>
        </x:is>
      </x:c>
      <x:c r="H2101" s="31" t="inlineStr">
        <x:is>
          <x:t xml:space="preserve">Сборка</x:t>
        </x:is>
      </x:c>
      <x:c r="I2101" s="31" t="inlineStr">
        <x:is>
          <x:t xml:space="preserve">ОБ-016</x:t>
        </x:is>
      </x:c>
      <x:c r="J2101" s="31" t="inlineStr">
        <x:is>
          <x:t xml:space="preserve">СОТР-080</x:t>
        </x:is>
      </x:c>
      <x:c r="K2101" s="31" t="n">
        <x:v>4.4</x:v>
      </x:c>
      <x:c r="L2101" s="31" t="n">
        <x:v>4.1</x:v>
      </x:c>
      <x:c r="M2101" s="31" t="n">
        <x:v>46153</x:v>
      </x:c>
      <x:c r="N2101" s="31" t="n">
        <x:v>46154</x:v>
      </x:c>
      <x:c r="O2101" s="31" t="n">
        <x:v>46153</x:v>
      </x:c>
      <x:c r="P2101" s="31" t="n">
        <x:v>46153</x:v>
      </x:c>
      <x:c r="Q2101" s="31" t="inlineStr">
        <x:is>
          <x:t xml:space="preserve">Завершено</x:t>
        </x:is>
      </x:c>
      <x:c r="R2101" s="31" t="inlineStr">
        <x:is>
          <x:t xml:space="preserve">Нет</x:t>
        </x:is>
      </x:c>
      <x:c r="S2101" s="31" t="inlineStr">
        <x:is>
          <x:t xml:space="preserve">Нет</x:t>
        </x:is>
      </x:c>
    </x:row>
    <x:row r="2102">
      <x:c r="A2102" s="31" t="inlineStr">
        <x:is>
          <x:t xml:space="preserve">ОП-002101</x:t>
        </x:is>
      </x:c>
      <x:c r="B2102" s="31" t="inlineStr">
        <x:is>
          <x:t xml:space="preserve">ПЗ-00251</x:t>
        </x:is>
      </x:c>
      <x:c r="C2102" s="31" t="inlineStr">
        <x:is>
          <x:t xml:space="preserve">ЗК-1123</x:t>
        </x:is>
      </x:c>
      <x:c r="D2102" s="31" t="inlineStr">
        <x:is>
          <x:t xml:space="preserve">ПОЗ-0123-2</x:t>
        </x:is>
      </x:c>
      <x:c r="E2102" s="31" t="inlineStr">
        <x:is>
          <x:t xml:space="preserve">ИЗД-004</x:t>
        </x:is>
      </x:c>
      <x:c r="F2102" s="31" t="n">
        <x:v>70</x:v>
      </x:c>
      <x:c r="G2102" s="31" t="inlineStr">
        <x:is>
          <x:t xml:space="preserve">Гидроиспытания</x:t>
        </x:is>
      </x:c>
      <x:c r="H2102" s="31" t="inlineStr">
        <x:is>
          <x:t xml:space="preserve">ОТК</x:t>
        </x:is>
      </x:c>
      <x:c r="I2102" s="31" t="inlineStr">
        <x:is>
          <x:t xml:space="preserve">ОБ-015</x:t>
        </x:is>
      </x:c>
      <x:c r="J2102" s="31" t="inlineStr">
        <x:is>
          <x:t xml:space="preserve">СОТР-098</x:t>
        </x:is>
      </x:c>
      <x:c r="K2102" s="31" t="n">
        <x:v>38.2</x:v>
      </x:c>
      <x:c r="L2102" s="31" t="n">
        <x:v>37.6</x:v>
      </x:c>
      <x:c r="M2102" s="31" t="n">
        <x:v>46154</x:v>
      </x:c>
      <x:c r="N2102" s="31" t="n">
        <x:v>46158</x:v>
      </x:c>
      <x:c r="O2102" s="31" t="n">
        <x:v>46154</x:v>
      </x:c>
      <x:c r="P2102" s="31" t="n">
        <x:v>46160</x:v>
      </x:c>
      <x:c r="Q2102" s="31" t="inlineStr">
        <x:is>
          <x:t xml:space="preserve">Завершено</x:t>
        </x:is>
      </x:c>
      <x:c r="R2102" s="31" t="inlineStr">
        <x:is>
          <x:t xml:space="preserve">Нет</x:t>
        </x:is>
      </x:c>
      <x:c r="S2102" s="31" t="inlineStr">
        <x:is>
          <x:t xml:space="preserve">Нет</x:t>
        </x:is>
      </x:c>
    </x:row>
    <x:row r="2103">
      <x:c r="A2103" s="31" t="inlineStr">
        <x:is>
          <x:t xml:space="preserve">ОП-002102</x:t>
        </x:is>
      </x:c>
      <x:c r="B2103" s="31" t="inlineStr">
        <x:is>
          <x:t xml:space="preserve">ПЗ-00251</x:t>
        </x:is>
      </x:c>
      <x:c r="C2103" s="31" t="inlineStr">
        <x:is>
          <x:t xml:space="preserve">ЗК-1123</x:t>
        </x:is>
      </x:c>
      <x:c r="D2103" s="31" t="inlineStr">
        <x:is>
          <x:t xml:space="preserve">ПОЗ-0123-2</x:t>
        </x:is>
      </x:c>
      <x:c r="E2103" s="31" t="inlineStr">
        <x:is>
          <x:t xml:space="preserve">ИЗД-004</x:t>
        </x:is>
      </x:c>
      <x:c r="F2103" s="31" t="n">
        <x:v>80</x:v>
      </x:c>
      <x:c r="G2103" s="31" t="inlineStr">
        <x:is>
          <x:t xml:space="preserve">ОТК</x:t>
        </x:is>
      </x:c>
      <x:c r="H2103" s="31" t="inlineStr">
        <x:is>
          <x:t xml:space="preserve">ОТК</x:t>
        </x:is>
      </x:c>
      <x:c r="I2103" s="31" t="inlineStr">
        <x:is>
          <x:t xml:space="preserve">ОБ-022</x:t>
        </x:is>
      </x:c>
      <x:c r="J2103" s="31" t="inlineStr">
        <x:is>
          <x:t xml:space="preserve">СОТР-096</x:t>
        </x:is>
      </x:c>
      <x:c r="K2103" s="31" t="n">
        <x:v>10.8</x:v>
      </x:c>
      <x:c r="L2103" s="31" t="n">
        <x:v>9.300000000000001</x:v>
      </x:c>
      <x:c r="M2103" s="31" t="n">
        <x:v>46158</x:v>
      </x:c>
      <x:c r="N2103" s="31" t="n">
        <x:v>46159</x:v>
      </x:c>
      <x:c r="O2103" s="31" t="n">
        <x:v>46158</x:v>
      </x:c>
      <x:c r="P2103" s="31" t="n">
        <x:v>46160</x:v>
      </x:c>
      <x:c r="Q2103" s="31" t="inlineStr">
        <x:is>
          <x:t xml:space="preserve">Завершено</x:t>
        </x:is>
      </x:c>
      <x:c r="R2103" s="31" t="inlineStr">
        <x:is>
          <x:t xml:space="preserve">Нет</x:t>
        </x:is>
      </x:c>
      <x:c r="S2103" s="31" t="inlineStr">
        <x:is>
          <x:t xml:space="preserve">Нет</x:t>
        </x:is>
      </x:c>
    </x:row>
    <x:row r="2104">
      <x:c r="A2104" s="31" t="inlineStr">
        <x:is>
          <x:t xml:space="preserve">ОП-002103</x:t>
        </x:is>
      </x:c>
      <x:c r="B2104" s="31" t="inlineStr">
        <x:is>
          <x:t xml:space="preserve">ПЗ-00251</x:t>
        </x:is>
      </x:c>
      <x:c r="C2104" s="31" t="inlineStr">
        <x:is>
          <x:t xml:space="preserve">ЗК-1123</x:t>
        </x:is>
      </x:c>
      <x:c r="D2104" s="31" t="inlineStr">
        <x:is>
          <x:t xml:space="preserve">ПОЗ-0123-2</x:t>
        </x:is>
      </x:c>
      <x:c r="E2104" s="31" t="inlineStr">
        <x:is>
          <x:t xml:space="preserve">ИЗД-004</x:t>
        </x:is>
      </x:c>
      <x:c r="F2104" s="31" t="n">
        <x:v>90</x:v>
      </x:c>
      <x:c r="G2104" s="31" t="inlineStr">
        <x:is>
          <x:t xml:space="preserve">Упаковка</x:t>
        </x:is>
      </x:c>
      <x:c r="H2104" s="31" t="inlineStr">
        <x:is>
          <x:t xml:space="preserve">Логистика</x:t>
        </x:is>
      </x:c>
      <x:c r="I2104" s="31" t="n"/>
      <x:c r="J2104" s="31" t="inlineStr">
        <x:is>
          <x:t xml:space="preserve">СОТР-104</x:t>
        </x:is>
      </x:c>
      <x:c r="K2104" s="31" t="n">
        <x:v>27.4</x:v>
      </x:c>
      <x:c r="L2104" s="31" t="n">
        <x:v>32.5</x:v>
      </x:c>
      <x:c r="M2104" s="31" t="n">
        <x:v>46159</x:v>
      </x:c>
      <x:c r="N2104" s="31" t="n">
        <x:v>46162</x:v>
      </x:c>
      <x:c r="O2104" s="31" t="n">
        <x:v>46159</x:v>
      </x:c>
      <x:c r="P2104" s="31" t="n">
        <x:v>46163</x:v>
      </x:c>
      <x:c r="Q2104" s="31" t="inlineStr">
        <x:is>
          <x:t xml:space="preserve">Завершено</x:t>
        </x:is>
      </x:c>
      <x:c r="R2104" s="31" t="inlineStr">
        <x:is>
          <x:t xml:space="preserve">КД</x:t>
        </x:is>
      </x:c>
      <x:c r="S2104" s="31" t="inlineStr">
        <x:is>
          <x:t xml:space="preserve">Нет</x:t>
        </x:is>
      </x:c>
    </x:row>
    <x:row r="2105">
      <x:c r="A2105" s="31" t="inlineStr">
        <x:is>
          <x:t xml:space="preserve">ОП-002104</x:t>
        </x:is>
      </x:c>
      <x:c r="B2105" s="31" t="inlineStr">
        <x:is>
          <x:t xml:space="preserve">ПЗ-00252</x:t>
        </x:is>
      </x:c>
      <x:c r="C2105" s="31" t="inlineStr">
        <x:is>
          <x:t xml:space="preserve">ЗК-1124</x:t>
        </x:is>
      </x:c>
      <x:c r="D2105" s="31" t="inlineStr">
        <x:is>
          <x:t xml:space="preserve">ПОЗ-0124-1</x:t>
        </x:is>
      </x:c>
      <x:c r="E2105" s="31" t="inlineStr">
        <x:is>
          <x:t xml:space="preserve">ИЗД-026</x:t>
        </x:is>
      </x:c>
      <x:c r="F2105" s="31" t="n">
        <x:v>10</x:v>
      </x:c>
      <x:c r="G2105" s="31" t="inlineStr">
        <x:is>
          <x:t xml:space="preserve">КД</x:t>
        </x:is>
      </x:c>
      <x:c r="H2105" s="31" t="inlineStr">
        <x:is>
          <x:t xml:space="preserve">Инженерный отдел</x:t>
        </x:is>
      </x:c>
      <x:c r="I2105" s="31" t="n"/>
      <x:c r="J2105" s="31" t="inlineStr">
        <x:is>
          <x:t xml:space="preserve">СОТР-021</x:t>
        </x:is>
      </x:c>
      <x:c r="K2105" s="31" t="n">
        <x:v>28.4</x:v>
      </x:c>
      <x:c r="L2105" s="31" t="n">
        <x:v>35.3</x:v>
      </x:c>
      <x:c r="M2105" s="31" t="n">
        <x:v>46046</x:v>
      </x:c>
      <x:c r="N2105" s="31" t="n">
        <x:v>46049</x:v>
      </x:c>
      <x:c r="O2105" s="31" t="n">
        <x:v>46046</x:v>
      </x:c>
      <x:c r="P2105" s="31" t="n">
        <x:v>46050</x:v>
      </x:c>
      <x:c r="Q2105" s="31" t="inlineStr">
        <x:is>
          <x:t xml:space="preserve">Завершено</x:t>
        </x:is>
      </x:c>
      <x:c r="R2105" s="31" t="inlineStr">
        <x:is>
          <x:t xml:space="preserve">Нет</x:t>
        </x:is>
      </x:c>
      <x:c r="S2105" s="31" t="inlineStr">
        <x:is>
          <x:t xml:space="preserve">Нет</x:t>
        </x:is>
      </x:c>
    </x:row>
    <x:row r="2106">
      <x:c r="A2106" s="31" t="inlineStr">
        <x:is>
          <x:t xml:space="preserve">ОП-002105</x:t>
        </x:is>
      </x:c>
      <x:c r="B2106" s="31" t="inlineStr">
        <x:is>
          <x:t xml:space="preserve">ПЗ-00252</x:t>
        </x:is>
      </x:c>
      <x:c r="C2106" s="31" t="inlineStr">
        <x:is>
          <x:t xml:space="preserve">ЗК-1124</x:t>
        </x:is>
      </x:c>
      <x:c r="D2106" s="31" t="inlineStr">
        <x:is>
          <x:t xml:space="preserve">ПОЗ-0124-1</x:t>
        </x:is>
      </x:c>
      <x:c r="E2106" s="31" t="inlineStr">
        <x:is>
          <x:t xml:space="preserve">ИЗД-026</x:t>
        </x:is>
      </x:c>
      <x:c r="F2106" s="31" t="n">
        <x:v>20</x:v>
      </x:c>
      <x:c r="G2106" s="31" t="inlineStr">
        <x:is>
          <x:t xml:space="preserve">Комплектация</x:t>
        </x:is>
      </x:c>
      <x:c r="H2106" s="31" t="inlineStr">
        <x:is>
          <x:t xml:space="preserve">Склад</x:t>
        </x:is>
      </x:c>
      <x:c r="I2106" s="31" t="inlineStr">
        <x:is>
          <x:t xml:space="preserve">ОБ-025</x:t>
        </x:is>
      </x:c>
      <x:c r="J2106" s="31" t="inlineStr">
        <x:is>
          <x:t xml:space="preserve">СОТР-033</x:t>
        </x:is>
      </x:c>
      <x:c r="K2106" s="31" t="n">
        <x:v>23.8</x:v>
      </x:c>
      <x:c r="L2106" s="31" t="n">
        <x:v>25.4</x:v>
      </x:c>
      <x:c r="M2106" s="31" t="n">
        <x:v>46049</x:v>
      </x:c>
      <x:c r="N2106" s="31" t="n">
        <x:v>46051</x:v>
      </x:c>
      <x:c r="O2106" s="31" t="n">
        <x:v>46049</x:v>
      </x:c>
      <x:c r="P2106" s="31" t="n">
        <x:v>46050</x:v>
      </x:c>
      <x:c r="Q2106" s="31" t="inlineStr">
        <x:is>
          <x:t xml:space="preserve">Завершено</x:t>
        </x:is>
      </x:c>
      <x:c r="R2106" s="31" t="inlineStr">
        <x:is>
          <x:t xml:space="preserve">КД</x:t>
        </x:is>
      </x:c>
      <x:c r="S2106" s="31" t="inlineStr">
        <x:is>
          <x:t xml:space="preserve">Нет</x:t>
        </x:is>
      </x:c>
    </x:row>
    <x:row r="2107">
      <x:c r="A2107" s="31" t="inlineStr">
        <x:is>
          <x:t xml:space="preserve">ОП-002106</x:t>
        </x:is>
      </x:c>
      <x:c r="B2107" s="31" t="inlineStr">
        <x:is>
          <x:t xml:space="preserve">ПЗ-00252</x:t>
        </x:is>
      </x:c>
      <x:c r="C2107" s="31" t="inlineStr">
        <x:is>
          <x:t xml:space="preserve">ЗК-1124</x:t>
        </x:is>
      </x:c>
      <x:c r="D2107" s="31" t="inlineStr">
        <x:is>
          <x:t xml:space="preserve">ПОЗ-0124-1</x:t>
        </x:is>
      </x:c>
      <x:c r="E2107" s="31" t="inlineStr">
        <x:is>
          <x:t xml:space="preserve">ИЗД-026</x:t>
        </x:is>
      </x:c>
      <x:c r="F2107" s="31" t="n">
        <x:v>30</x:v>
      </x:c>
      <x:c r="G2107" s="31" t="inlineStr">
        <x:is>
          <x:t xml:space="preserve">Сборка шкафа</x:t>
        </x:is>
      </x:c>
      <x:c r="H2107" s="31" t="inlineStr">
        <x:is>
          <x:t xml:space="preserve">Сборка</x:t>
        </x:is>
      </x:c>
      <x:c r="I2107" s="31" t="inlineStr">
        <x:is>
          <x:t xml:space="preserve">ОБ-016</x:t>
        </x:is>
      </x:c>
      <x:c r="J2107" s="31" t="inlineStr">
        <x:is>
          <x:t xml:space="preserve">СОТР-083</x:t>
        </x:is>
      </x:c>
      <x:c r="K2107" s="31" t="n">
        <x:v>7.6</x:v>
      </x:c>
      <x:c r="L2107" s="31" t="n">
        <x:v>7.6</x:v>
      </x:c>
      <x:c r="M2107" s="31" t="n">
        <x:v>46051</x:v>
      </x:c>
      <x:c r="N2107" s="31" t="n">
        <x:v>46052</x:v>
      </x:c>
      <x:c r="O2107" s="31" t="n">
        <x:v>46051</x:v>
      </x:c>
      <x:c r="P2107" s="31" t="n">
        <x:v>46054</x:v>
      </x:c>
      <x:c r="Q2107" s="31" t="inlineStr">
        <x:is>
          <x:t xml:space="preserve">Завершено</x:t>
        </x:is>
      </x:c>
      <x:c r="R2107" s="31" t="inlineStr">
        <x:is>
          <x:t xml:space="preserve">Нет</x:t>
        </x:is>
      </x:c>
      <x:c r="S2107" s="31" t="inlineStr">
        <x:is>
          <x:t xml:space="preserve">Нет</x:t>
        </x:is>
      </x:c>
    </x:row>
    <x:row r="2108">
      <x:c r="A2108" s="31" t="inlineStr">
        <x:is>
          <x:t xml:space="preserve">ОП-002107</x:t>
        </x:is>
      </x:c>
      <x:c r="B2108" s="31" t="inlineStr">
        <x:is>
          <x:t xml:space="preserve">ПЗ-00252</x:t>
        </x:is>
      </x:c>
      <x:c r="C2108" s="31" t="inlineStr">
        <x:is>
          <x:t xml:space="preserve">ЗК-1124</x:t>
        </x:is>
      </x:c>
      <x:c r="D2108" s="31" t="inlineStr">
        <x:is>
          <x:t xml:space="preserve">ПОЗ-0124-1</x:t>
        </x:is>
      </x:c>
      <x:c r="E2108" s="31" t="inlineStr">
        <x:is>
          <x:t xml:space="preserve">ИЗД-026</x:t>
        </x:is>
      </x:c>
      <x:c r="F2108" s="31" t="n">
        <x:v>40</x:v>
      </x:c>
      <x:c r="G2108" s="31" t="inlineStr">
        <x:is>
          <x:t xml:space="preserve">Маркировка</x:t>
        </x:is>
      </x:c>
      <x:c r="H2108" s="31" t="inlineStr">
        <x:is>
          <x:t xml:space="preserve">Сборка</x:t>
        </x:is>
      </x:c>
      <x:c r="I2108" s="31" t="inlineStr">
        <x:is>
          <x:t xml:space="preserve">ОБ-002</x:t>
        </x:is>
      </x:c>
      <x:c r="J2108" s="31" t="inlineStr">
        <x:is>
          <x:t xml:space="preserve">СОТР-084</x:t>
        </x:is>
      </x:c>
      <x:c r="K2108" s="31" t="n">
        <x:v>37.2</x:v>
      </x:c>
      <x:c r="L2108" s="31" t="n">
        <x:v>32.8</x:v>
      </x:c>
      <x:c r="M2108" s="31" t="n">
        <x:v>46052</x:v>
      </x:c>
      <x:c r="N2108" s="31" t="n">
        <x:v>46056</x:v>
      </x:c>
      <x:c r="O2108" s="31" t="n">
        <x:v>46052</x:v>
      </x:c>
      <x:c r="P2108" s="31" t="n">
        <x:v>46058</x:v>
      </x:c>
      <x:c r="Q2108" s="31" t="inlineStr">
        <x:is>
          <x:t xml:space="preserve">Завершено</x:t>
        </x:is>
      </x:c>
      <x:c r="R2108" s="31" t="inlineStr">
        <x:is>
          <x:t xml:space="preserve">Нет</x:t>
        </x:is>
      </x:c>
      <x:c r="S2108" s="31" t="inlineStr">
        <x:is>
          <x:t xml:space="preserve">Нет</x:t>
        </x:is>
      </x:c>
    </x:row>
    <x:row r="2109">
      <x:c r="A2109" s="31" t="inlineStr">
        <x:is>
          <x:t xml:space="preserve">ОП-002108</x:t>
        </x:is>
      </x:c>
      <x:c r="B2109" s="31" t="inlineStr">
        <x:is>
          <x:t xml:space="preserve">ПЗ-00252</x:t>
        </x:is>
      </x:c>
      <x:c r="C2109" s="31" t="inlineStr">
        <x:is>
          <x:t xml:space="preserve">ЗК-1124</x:t>
        </x:is>
      </x:c>
      <x:c r="D2109" s="31" t="inlineStr">
        <x:is>
          <x:t xml:space="preserve">ПОЗ-0124-1</x:t>
        </x:is>
      </x:c>
      <x:c r="E2109" s="31" t="inlineStr">
        <x:is>
          <x:t xml:space="preserve">ИЗД-026</x:t>
        </x:is>
      </x:c>
      <x:c r="F2109" s="31" t="n">
        <x:v>50</x:v>
      </x:c>
      <x:c r="G2109" s="31" t="inlineStr">
        <x:is>
          <x:t xml:space="preserve">Электромонтаж</x:t>
        </x:is>
      </x:c>
      <x:c r="H2109" s="31" t="inlineStr">
        <x:is>
          <x:t xml:space="preserve">Сборка</x:t>
        </x:is>
      </x:c>
      <x:c r="I2109" s="31" t="inlineStr">
        <x:is>
          <x:t xml:space="preserve">ОБ-016</x:t>
        </x:is>
      </x:c>
      <x:c r="J2109" s="31" t="inlineStr">
        <x:is>
          <x:t xml:space="preserve">СОТР-078</x:t>
        </x:is>
      </x:c>
      <x:c r="K2109" s="31" t="n">
        <x:v>15.8</x:v>
      </x:c>
      <x:c r="L2109" s="31" t="n">
        <x:v>18.6</x:v>
      </x:c>
      <x:c r="M2109" s="31" t="n">
        <x:v>46056</x:v>
      </x:c>
      <x:c r="N2109" s="31" t="n">
        <x:v>46058</x:v>
      </x:c>
      <x:c r="O2109" s="31" t="n">
        <x:v>46056</x:v>
      </x:c>
      <x:c r="P2109" s="31" t="n">
        <x:v>46060</x:v>
      </x:c>
      <x:c r="Q2109" s="31" t="inlineStr">
        <x:is>
          <x:t xml:space="preserve">Завершено</x:t>
        </x:is>
      </x:c>
      <x:c r="R2109" s="31" t="inlineStr">
        <x:is>
          <x:t xml:space="preserve">Нет</x:t>
        </x:is>
      </x:c>
      <x:c r="S2109" s="31" t="inlineStr">
        <x:is>
          <x:t xml:space="preserve">Нет</x:t>
        </x:is>
      </x:c>
    </x:row>
    <x:row r="2110">
      <x:c r="A2110" s="31" t="inlineStr">
        <x:is>
          <x:t xml:space="preserve">ОП-002109</x:t>
        </x:is>
      </x:c>
      <x:c r="B2110" s="31" t="inlineStr">
        <x:is>
          <x:t xml:space="preserve">ПЗ-00252</x:t>
        </x:is>
      </x:c>
      <x:c r="C2110" s="31" t="inlineStr">
        <x:is>
          <x:t xml:space="preserve">ЗК-1124</x:t>
        </x:is>
      </x:c>
      <x:c r="D2110" s="31" t="inlineStr">
        <x:is>
          <x:t xml:space="preserve">ПОЗ-0124-1</x:t>
        </x:is>
      </x:c>
      <x:c r="E2110" s="31" t="inlineStr">
        <x:is>
          <x:t xml:space="preserve">ИЗД-026</x:t>
        </x:is>
      </x:c>
      <x:c r="F2110" s="31" t="n">
        <x:v>60</x:v>
      </x:c>
      <x:c r="G2110" s="31" t="inlineStr">
        <x:is>
          <x:t xml:space="preserve">Программирование ПЛК</x:t>
        </x:is>
      </x:c>
      <x:c r="H2110" s="31" t="inlineStr">
        <x:is>
          <x:t xml:space="preserve">Инженерный отдел</x:t>
        </x:is>
      </x:c>
      <x:c r="I2110" s="31" t="n"/>
      <x:c r="J2110" s="31" t="inlineStr">
        <x:is>
          <x:t xml:space="preserve">СОТР-015</x:t>
        </x:is>
      </x:c>
      <x:c r="K2110" s="31" t="n">
        <x:v>28</x:v>
      </x:c>
      <x:c r="L2110" s="31" t="n">
        <x:v>31.3</x:v>
      </x:c>
      <x:c r="M2110" s="31" t="n">
        <x:v>46058</x:v>
      </x:c>
      <x:c r="N2110" s="31" t="n">
        <x:v>46061</x:v>
      </x:c>
      <x:c r="O2110" s="31" t="n">
        <x:v>46058</x:v>
      </x:c>
      <x:c r="P2110" s="31" t="n">
        <x:v>46061</x:v>
      </x:c>
      <x:c r="Q2110" s="31" t="inlineStr">
        <x:is>
          <x:t xml:space="preserve">Завершено</x:t>
        </x:is>
      </x:c>
      <x:c r="R2110" s="31" t="inlineStr">
        <x:is>
          <x:t xml:space="preserve">Нет</x:t>
        </x:is>
      </x:c>
      <x:c r="S2110" s="31" t="inlineStr">
        <x:is>
          <x:t xml:space="preserve">Нет</x:t>
        </x:is>
      </x:c>
    </x:row>
    <x:row r="2111">
      <x:c r="A2111" s="31" t="inlineStr">
        <x:is>
          <x:t xml:space="preserve">ОП-002110</x:t>
        </x:is>
      </x:c>
      <x:c r="B2111" s="31" t="inlineStr">
        <x:is>
          <x:t xml:space="preserve">ПЗ-00252</x:t>
        </x:is>
      </x:c>
      <x:c r="C2111" s="31" t="inlineStr">
        <x:is>
          <x:t xml:space="preserve">ЗК-1124</x:t>
        </x:is>
      </x:c>
      <x:c r="D2111" s="31" t="inlineStr">
        <x:is>
          <x:t xml:space="preserve">ПОЗ-0124-1</x:t>
        </x:is>
      </x:c>
      <x:c r="E2111" s="31" t="inlineStr">
        <x:is>
          <x:t xml:space="preserve">ИЗД-026</x:t>
        </x:is>
      </x:c>
      <x:c r="F2111" s="31" t="n">
        <x:v>70</x:v>
      </x:c>
      <x:c r="G2111" s="31" t="inlineStr">
        <x:is>
          <x:t xml:space="preserve">Приемочные испытания</x:t>
        </x:is>
      </x:c>
      <x:c r="H2111" s="31" t="inlineStr">
        <x:is>
          <x:t xml:space="preserve">ОТК</x:t>
        </x:is>
      </x:c>
      <x:c r="I2111" s="31" t="inlineStr">
        <x:is>
          <x:t xml:space="preserve">ОБ-024</x:t>
        </x:is>
      </x:c>
      <x:c r="J2111" s="31" t="inlineStr">
        <x:is>
          <x:t xml:space="preserve">СОТР-098</x:t>
        </x:is>
      </x:c>
      <x:c r="K2111" s="31" t="n">
        <x:v>16.6</x:v>
      </x:c>
      <x:c r="L2111" s="31" t="n">
        <x:v>20.1</x:v>
      </x:c>
      <x:c r="M2111" s="31" t="n">
        <x:v>46061</x:v>
      </x:c>
      <x:c r="N2111" s="31" t="n">
        <x:v>46063</x:v>
      </x:c>
      <x:c r="O2111" s="31" t="n">
        <x:v>46061</x:v>
      </x:c>
      <x:c r="P2111" s="31" t="n">
        <x:v>46064</x:v>
      </x:c>
      <x:c r="Q2111" s="31" t="inlineStr">
        <x:is>
          <x:t xml:space="preserve">Завершено</x:t>
        </x:is>
      </x:c>
      <x:c r="R2111" s="31" t="inlineStr">
        <x:is>
          <x:t xml:space="preserve">Нет</x:t>
        </x:is>
      </x:c>
      <x:c r="S2111" s="31" t="inlineStr">
        <x:is>
          <x:t xml:space="preserve">Нет</x:t>
        </x:is>
      </x:c>
    </x:row>
    <x:row r="2112">
      <x:c r="A2112" s="31" t="inlineStr">
        <x:is>
          <x:t xml:space="preserve">ОП-002111</x:t>
        </x:is>
      </x:c>
      <x:c r="B2112" s="31" t="inlineStr">
        <x:is>
          <x:t xml:space="preserve">ПЗ-00252</x:t>
        </x:is>
      </x:c>
      <x:c r="C2112" s="31" t="inlineStr">
        <x:is>
          <x:t xml:space="preserve">ЗК-1124</x:t>
        </x:is>
      </x:c>
      <x:c r="D2112" s="31" t="inlineStr">
        <x:is>
          <x:t xml:space="preserve">ПОЗ-0124-1</x:t>
        </x:is>
      </x:c>
      <x:c r="E2112" s="31" t="inlineStr">
        <x:is>
          <x:t xml:space="preserve">ИЗД-026</x:t>
        </x:is>
      </x:c>
      <x:c r="F2112" s="31" t="n">
        <x:v>80</x:v>
      </x:c>
      <x:c r="G2112" s="31" t="inlineStr">
        <x:is>
          <x:t xml:space="preserve">ОТК</x:t>
        </x:is>
      </x:c>
      <x:c r="H2112" s="31" t="inlineStr">
        <x:is>
          <x:t xml:space="preserve">ОТК</x:t>
        </x:is>
      </x:c>
      <x:c r="I2112" s="31" t="inlineStr">
        <x:is>
          <x:t xml:space="preserve">ОБ-007</x:t>
        </x:is>
      </x:c>
      <x:c r="J2112" s="31" t="inlineStr">
        <x:is>
          <x:t xml:space="preserve">СОТР-093</x:t>
        </x:is>
      </x:c>
      <x:c r="K2112" s="31" t="n">
        <x:v>9.4</x:v>
      </x:c>
      <x:c r="L2112" s="31" t="n">
        <x:v>7.9</x:v>
      </x:c>
      <x:c r="M2112" s="31" t="n">
        <x:v>46063</x:v>
      </x:c>
      <x:c r="N2112" s="31" t="n">
        <x:v>46064</x:v>
      </x:c>
      <x:c r="O2112" s="31" t="n">
        <x:v>46063</x:v>
      </x:c>
      <x:c r="P2112" s="31" t="n">
        <x:v>46066</x:v>
      </x:c>
      <x:c r="Q2112" s="31" t="inlineStr">
        <x:is>
          <x:t xml:space="preserve">Завершено</x:t>
        </x:is>
      </x:c>
      <x:c r="R2112" s="31" t="inlineStr">
        <x:is>
          <x:t xml:space="preserve">Нет</x:t>
        </x:is>
      </x:c>
      <x:c r="S2112" s="31" t="inlineStr">
        <x:is>
          <x:t xml:space="preserve">Да</x:t>
        </x:is>
      </x:c>
    </x:row>
    <x:row r="2113">
      <x:c r="A2113" s="31" t="inlineStr">
        <x:is>
          <x:t xml:space="preserve">ОП-002112</x:t>
        </x:is>
      </x:c>
      <x:c r="B2113" s="31" t="inlineStr">
        <x:is>
          <x:t xml:space="preserve">ПЗ-00252</x:t>
        </x:is>
      </x:c>
      <x:c r="C2113" s="31" t="inlineStr">
        <x:is>
          <x:t xml:space="preserve">ЗК-1124</x:t>
        </x:is>
      </x:c>
      <x:c r="D2113" s="31" t="inlineStr">
        <x:is>
          <x:t xml:space="preserve">ПОЗ-0124-1</x:t>
        </x:is>
      </x:c>
      <x:c r="E2113" s="31" t="inlineStr">
        <x:is>
          <x:t xml:space="preserve">ИЗД-026</x:t>
        </x:is>
      </x:c>
      <x:c r="F2113" s="31" t="n">
        <x:v>90</x:v>
      </x:c>
      <x:c r="G2113" s="31" t="inlineStr">
        <x:is>
          <x:t xml:space="preserve">Упаковка</x:t>
        </x:is>
      </x:c>
      <x:c r="H2113" s="31" t="inlineStr">
        <x:is>
          <x:t xml:space="preserve">Логистика</x:t>
        </x:is>
      </x:c>
      <x:c r="I2113" s="31" t="n"/>
      <x:c r="J2113" s="31" t="inlineStr">
        <x:is>
          <x:t xml:space="preserve">СОТР-103</x:t>
        </x:is>
      </x:c>
      <x:c r="K2113" s="31" t="n">
        <x:v>35.8</x:v>
      </x:c>
      <x:c r="L2113" s="31" t="n">
        <x:v>46</x:v>
      </x:c>
      <x:c r="M2113" s="31" t="n">
        <x:v>46064</x:v>
      </x:c>
      <x:c r="N2113" s="31" t="n">
        <x:v>46067</x:v>
      </x:c>
      <x:c r="O2113" s="31" t="n">
        <x:v>46064</x:v>
      </x:c>
      <x:c r="P2113" s="31" t="n">
        <x:v>46069</x:v>
      </x:c>
      <x:c r="Q2113" s="31" t="inlineStr">
        <x:is>
          <x:t xml:space="preserve">Завершено</x:t>
        </x:is>
      </x:c>
      <x:c r="R2113" s="31" t="inlineStr">
        <x:is>
          <x:t xml:space="preserve">Оборудование</x:t>
        </x:is>
      </x:c>
      <x:c r="S2113" s="31" t="inlineStr">
        <x:is>
          <x:t xml:space="preserve">Нет</x:t>
        </x:is>
      </x:c>
    </x:row>
    <x:row r="2114">
      <x:c r="A2114" s="31" t="inlineStr">
        <x:is>
          <x:t xml:space="preserve">ОП-002113</x:t>
        </x:is>
      </x:c>
      <x:c r="B2114" s="31" t="inlineStr">
        <x:is>
          <x:t xml:space="preserve">ПЗ-00253</x:t>
        </x:is>
      </x:c>
      <x:c r="C2114" s="31" t="inlineStr">
        <x:is>
          <x:t xml:space="preserve">ЗК-1124</x:t>
        </x:is>
      </x:c>
      <x:c r="D2114" s="31" t="inlineStr">
        <x:is>
          <x:t xml:space="preserve">ПОЗ-0124-2</x:t>
        </x:is>
      </x:c>
      <x:c r="E2114" s="31" t="inlineStr">
        <x:is>
          <x:t xml:space="preserve">ИЗД-014</x:t>
        </x:is>
      </x:c>
      <x:c r="F2114" s="31" t="n">
        <x:v>10</x:v>
      </x:c>
      <x:c r="G2114" s="31" t="inlineStr">
        <x:is>
          <x:t xml:space="preserve">КД</x:t>
        </x:is>
      </x:c>
      <x:c r="H2114" s="31" t="inlineStr">
        <x:is>
          <x:t xml:space="preserve">Инженерный отдел</x:t>
        </x:is>
      </x:c>
      <x:c r="I2114" s="31" t="n"/>
      <x:c r="J2114" s="31" t="inlineStr">
        <x:is>
          <x:t xml:space="preserve">СОТР-013</x:t>
        </x:is>
      </x:c>
      <x:c r="K2114" s="31" t="n">
        <x:v>22.2</x:v>
      </x:c>
      <x:c r="L2114" s="31" t="n">
        <x:v>25.9</x:v>
      </x:c>
      <x:c r="M2114" s="31" t="n">
        <x:v>46051</x:v>
      </x:c>
      <x:c r="N2114" s="31" t="n">
        <x:v>46053</x:v>
      </x:c>
      <x:c r="O2114" s="31" t="n">
        <x:v>46051</x:v>
      </x:c>
      <x:c r="P2114" s="31" t="n">
        <x:v>46052</x:v>
      </x:c>
      <x:c r="Q2114" s="31" t="inlineStr">
        <x:is>
          <x:t xml:space="preserve">Завершено</x:t>
        </x:is>
      </x:c>
      <x:c r="R2114" s="31" t="inlineStr">
        <x:is>
          <x:t xml:space="preserve">Нет</x:t>
        </x:is>
      </x:c>
      <x:c r="S2114" s="31" t="inlineStr">
        <x:is>
          <x:t xml:space="preserve">Да</x:t>
        </x:is>
      </x:c>
    </x:row>
    <x:row r="2115">
      <x:c r="A2115" s="31" t="inlineStr">
        <x:is>
          <x:t xml:space="preserve">ОП-002114</x:t>
        </x:is>
      </x:c>
      <x:c r="B2115" s="31" t="inlineStr">
        <x:is>
          <x:t xml:space="preserve">ПЗ-00253</x:t>
        </x:is>
      </x:c>
      <x:c r="C2115" s="31" t="inlineStr">
        <x:is>
          <x:t xml:space="preserve">ЗК-1124</x:t>
        </x:is>
      </x:c>
      <x:c r="D2115" s="31" t="inlineStr">
        <x:is>
          <x:t xml:space="preserve">ПОЗ-0124-2</x:t>
        </x:is>
      </x:c>
      <x:c r="E2115" s="31" t="inlineStr">
        <x:is>
          <x:t xml:space="preserve">ИЗД-014</x:t>
        </x:is>
      </x:c>
      <x:c r="F2115" s="31" t="n">
        <x:v>20</x:v>
      </x:c>
      <x:c r="G2115" s="31" t="inlineStr">
        <x:is>
          <x:t xml:space="preserve">Резка металла</x:t>
        </x:is>
      </x:c>
      <x:c r="H2115" s="31" t="inlineStr">
        <x:is>
          <x:t xml:space="preserve">Сварка</x:t>
        </x:is>
      </x:c>
      <x:c r="I2115" s="31" t="inlineStr">
        <x:is>
          <x:t xml:space="preserve">ОБ-003</x:t>
        </x:is>
      </x:c>
      <x:c r="J2115" s="31" t="inlineStr">
        <x:is>
          <x:t xml:space="preserve">СОТР-069</x:t>
        </x:is>
      </x:c>
      <x:c r="K2115" s="31" t="n">
        <x:v>16.8</x:v>
      </x:c>
      <x:c r="L2115" s="31" t="n">
        <x:v>22.6</x:v>
      </x:c>
      <x:c r="M2115" s="31" t="n">
        <x:v>46053</x:v>
      </x:c>
      <x:c r="N2115" s="31" t="n">
        <x:v>46055</x:v>
      </x:c>
      <x:c r="O2115" s="31" t="n">
        <x:v>46053</x:v>
      </x:c>
      <x:c r="P2115" s="31" t="n">
        <x:v>46055</x:v>
      </x:c>
      <x:c r="Q2115" s="31" t="inlineStr">
        <x:is>
          <x:t xml:space="preserve">Завершено</x:t>
        </x:is>
      </x:c>
      <x:c r="R2115" s="31" t="inlineStr">
        <x:is>
          <x:t xml:space="preserve">Нет</x:t>
        </x:is>
      </x:c>
      <x:c r="S2115" s="31" t="inlineStr">
        <x:is>
          <x:t xml:space="preserve">Нет</x:t>
        </x:is>
      </x:c>
    </x:row>
    <x:row r="2116">
      <x:c r="A2116" s="31" t="inlineStr">
        <x:is>
          <x:t xml:space="preserve">ОП-002115</x:t>
        </x:is>
      </x:c>
      <x:c r="B2116" s="31" t="inlineStr">
        <x:is>
          <x:t xml:space="preserve">ПЗ-00253</x:t>
        </x:is>
      </x:c>
      <x:c r="C2116" s="31" t="inlineStr">
        <x:is>
          <x:t xml:space="preserve">ЗК-1124</x:t>
        </x:is>
      </x:c>
      <x:c r="D2116" s="31" t="inlineStr">
        <x:is>
          <x:t xml:space="preserve">ПОЗ-0124-2</x:t>
        </x:is>
      </x:c>
      <x:c r="E2116" s="31" t="inlineStr">
        <x:is>
          <x:t xml:space="preserve">ИЗД-014</x:t>
        </x:is>
      </x:c>
      <x:c r="F2116" s="31" t="n">
        <x:v>30</x:v>
      </x:c>
      <x:c r="G2116" s="31" t="inlineStr">
        <x:is>
          <x:t xml:space="preserve">Сварка рамы</x:t>
        </x:is>
      </x:c>
      <x:c r="H2116" s="31" t="inlineStr">
        <x:is>
          <x:t xml:space="preserve">Сварка</x:t>
        </x:is>
      </x:c>
      <x:c r="I2116" s="31" t="inlineStr">
        <x:is>
          <x:t xml:space="preserve">ОБ-019</x:t>
        </x:is>
      </x:c>
      <x:c r="J2116" s="31" t="inlineStr">
        <x:is>
          <x:t xml:space="preserve">СОТР-062</x:t>
        </x:is>
      </x:c>
      <x:c r="K2116" s="31" t="n">
        <x:v>34.4</x:v>
      </x:c>
      <x:c r="L2116" s="31" t="n">
        <x:v>31.1</x:v>
      </x:c>
      <x:c r="M2116" s="31" t="n">
        <x:v>46055</x:v>
      </x:c>
      <x:c r="N2116" s="31" t="n">
        <x:v>46058</x:v>
      </x:c>
      <x:c r="O2116" s="31" t="n">
        <x:v>46055</x:v>
      </x:c>
      <x:c r="P2116" s="31" t="n">
        <x:v>46058</x:v>
      </x:c>
      <x:c r="Q2116" s="31" t="inlineStr">
        <x:is>
          <x:t xml:space="preserve">Завершено</x:t>
        </x:is>
      </x:c>
      <x:c r="R2116" s="31" t="inlineStr">
        <x:is>
          <x:t xml:space="preserve">Нет</x:t>
        </x:is>
      </x:c>
      <x:c r="S2116" s="31" t="inlineStr">
        <x:is>
          <x:t xml:space="preserve">Нет</x:t>
        </x:is>
      </x:c>
    </x:row>
    <x:row r="2117">
      <x:c r="A2117" s="31" t="inlineStr">
        <x:is>
          <x:t xml:space="preserve">ОП-002116</x:t>
        </x:is>
      </x:c>
      <x:c r="B2117" s="31" t="inlineStr">
        <x:is>
          <x:t xml:space="preserve">ПЗ-00253</x:t>
        </x:is>
      </x:c>
      <x:c r="C2117" s="31" t="inlineStr">
        <x:is>
          <x:t xml:space="preserve">ЗК-1124</x:t>
        </x:is>
      </x:c>
      <x:c r="D2117" s="31" t="inlineStr">
        <x:is>
          <x:t xml:space="preserve">ПОЗ-0124-2</x:t>
        </x:is>
      </x:c>
      <x:c r="E2117" s="31" t="inlineStr">
        <x:is>
          <x:t xml:space="preserve">ИЗД-014</x:t>
        </x:is>
      </x:c>
      <x:c r="F2117" s="31" t="n">
        <x:v>40</x:v>
      </x:c>
      <x:c r="G2117" s="31" t="inlineStr">
        <x:is>
          <x:t xml:space="preserve">Пескоструй</x:t>
        </x:is>
      </x:c>
      <x:c r="H2117" s="31" t="inlineStr">
        <x:is>
          <x:t xml:space="preserve">Сварка</x:t>
        </x:is>
      </x:c>
      <x:c r="I2117" s="31" t="inlineStr">
        <x:is>
          <x:t xml:space="preserve">ОБ-003</x:t>
        </x:is>
      </x:c>
      <x:c r="J2117" s="31" t="inlineStr">
        <x:is>
          <x:t xml:space="preserve">СОТР-072</x:t>
        </x:is>
      </x:c>
      <x:c r="K2117" s="31" t="n">
        <x:v>24.8</x:v>
      </x:c>
      <x:c r="L2117" s="31" t="n">
        <x:v>23.8</x:v>
      </x:c>
      <x:c r="M2117" s="31" t="n">
        <x:v>46058</x:v>
      </x:c>
      <x:c r="N2117" s="31" t="n">
        <x:v>46061</x:v>
      </x:c>
      <x:c r="O2117" s="31" t="n">
        <x:v>46058</x:v>
      </x:c>
      <x:c r="P2117" s="31" t="n">
        <x:v>46061</x:v>
      </x:c>
      <x:c r="Q2117" s="31" t="inlineStr">
        <x:is>
          <x:t xml:space="preserve">Завершено</x:t>
        </x:is>
      </x:c>
      <x:c r="R2117" s="31" t="inlineStr">
        <x:is>
          <x:t xml:space="preserve">Нет</x:t>
        </x:is>
      </x:c>
      <x:c r="S2117" s="31" t="inlineStr">
        <x:is>
          <x:t xml:space="preserve">Нет</x:t>
        </x:is>
      </x:c>
    </x:row>
    <x:row r="2118">
      <x:c r="A2118" s="31" t="inlineStr">
        <x:is>
          <x:t xml:space="preserve">ОП-002117</x:t>
        </x:is>
      </x:c>
      <x:c r="B2118" s="31" t="inlineStr">
        <x:is>
          <x:t xml:space="preserve">ПЗ-00253</x:t>
        </x:is>
      </x:c>
      <x:c r="C2118" s="31" t="inlineStr">
        <x:is>
          <x:t xml:space="preserve">ЗК-1124</x:t>
        </x:is>
      </x:c>
      <x:c r="D2118" s="31" t="inlineStr">
        <x:is>
          <x:t xml:space="preserve">ПОЗ-0124-2</x:t>
        </x:is>
      </x:c>
      <x:c r="E2118" s="31" t="inlineStr">
        <x:is>
          <x:t xml:space="preserve">ИЗД-014</x:t>
        </x:is>
      </x:c>
      <x:c r="F2118" s="31" t="n">
        <x:v>50</x:v>
      </x:c>
      <x:c r="G2118" s="31" t="inlineStr">
        <x:is>
          <x:t xml:space="preserve">Покраска</x:t>
        </x:is>
      </x:c>
      <x:c r="H2118" s="31" t="inlineStr">
        <x:is>
          <x:t xml:space="preserve">Сварка</x:t>
        </x:is>
      </x:c>
      <x:c r="I2118" s="31" t="inlineStr">
        <x:is>
          <x:t xml:space="preserve">ОБ-035</x:t>
        </x:is>
      </x:c>
      <x:c r="J2118" s="31" t="inlineStr">
        <x:is>
          <x:t xml:space="preserve">СОТР-069</x:t>
        </x:is>
      </x:c>
      <x:c r="K2118" s="31" t="n">
        <x:v>19.6</x:v>
      </x:c>
      <x:c r="L2118" s="31" t="n">
        <x:v>16.2</x:v>
      </x:c>
      <x:c r="M2118" s="31" t="n">
        <x:v>46061</x:v>
      </x:c>
      <x:c r="N2118" s="31" t="n">
        <x:v>46063</x:v>
      </x:c>
      <x:c r="O2118" s="31" t="n">
        <x:v>46061</x:v>
      </x:c>
      <x:c r="P2118" s="31" t="n">
        <x:v>46063</x:v>
      </x:c>
      <x:c r="Q2118" s="31" t="inlineStr">
        <x:is>
          <x:t xml:space="preserve">Завершено</x:t>
        </x:is>
      </x:c>
      <x:c r="R2118" s="31" t="inlineStr">
        <x:is>
          <x:t xml:space="preserve">Нет</x:t>
        </x:is>
      </x:c>
      <x:c r="S2118" s="31" t="inlineStr">
        <x:is>
          <x:t xml:space="preserve">Нет</x:t>
        </x:is>
      </x:c>
    </x:row>
    <x:row r="2119">
      <x:c r="A2119" s="31" t="inlineStr">
        <x:is>
          <x:t xml:space="preserve">ОП-002118</x:t>
        </x:is>
      </x:c>
      <x:c r="B2119" s="31" t="inlineStr">
        <x:is>
          <x:t xml:space="preserve">ПЗ-00253</x:t>
        </x:is>
      </x:c>
      <x:c r="C2119" s="31" t="inlineStr">
        <x:is>
          <x:t xml:space="preserve">ЗК-1124</x:t>
        </x:is>
      </x:c>
      <x:c r="D2119" s="31" t="inlineStr">
        <x:is>
          <x:t xml:space="preserve">ПОЗ-0124-2</x:t>
        </x:is>
      </x:c>
      <x:c r="E2119" s="31" t="inlineStr">
        <x:is>
          <x:t xml:space="preserve">ИЗД-014</x:t>
        </x:is>
      </x:c>
      <x:c r="F2119" s="31" t="n">
        <x:v>60</x:v>
      </x:c>
      <x:c r="G2119" s="31" t="inlineStr">
        <x:is>
          <x:t xml:space="preserve">ОТК</x:t>
        </x:is>
      </x:c>
      <x:c r="H2119" s="31" t="inlineStr">
        <x:is>
          <x:t xml:space="preserve">ОТК</x:t>
        </x:is>
      </x:c>
      <x:c r="I2119" s="31" t="inlineStr">
        <x:is>
          <x:t xml:space="preserve">ОБ-033</x:t>
        </x:is>
      </x:c>
      <x:c r="J2119" s="31" t="inlineStr">
        <x:is>
          <x:t xml:space="preserve">СОТР-095</x:t>
        </x:is>
      </x:c>
      <x:c r="K2119" s="31" t="n">
        <x:v>9.6</x:v>
      </x:c>
      <x:c r="L2119" s="31" t="n">
        <x:v>9.199999999999999</x:v>
      </x:c>
      <x:c r="M2119" s="31" t="n">
        <x:v>46063</x:v>
      </x:c>
      <x:c r="N2119" s="31" t="n">
        <x:v>46064</x:v>
      </x:c>
      <x:c r="O2119" s="31" t="n">
        <x:v>46063</x:v>
      </x:c>
      <x:c r="P2119" s="31" t="n">
        <x:v>46065</x:v>
      </x:c>
      <x:c r="Q2119" s="31" t="inlineStr">
        <x:is>
          <x:t xml:space="preserve">Завершено</x:t>
        </x:is>
      </x:c>
      <x:c r="R2119" s="31" t="inlineStr">
        <x:is>
          <x:t xml:space="preserve">Нет</x:t>
        </x:is>
      </x:c>
      <x:c r="S2119" s="31" t="inlineStr">
        <x:is>
          <x:t xml:space="preserve">Нет</x:t>
        </x:is>
      </x:c>
    </x:row>
    <x:row r="2120">
      <x:c r="A2120" s="31" t="inlineStr">
        <x:is>
          <x:t xml:space="preserve">ОП-002119</x:t>
        </x:is>
      </x:c>
      <x:c r="B2120" s="31" t="inlineStr">
        <x:is>
          <x:t xml:space="preserve">ПЗ-00254</x:t>
        </x:is>
      </x:c>
      <x:c r="C2120" s="31" t="inlineStr">
        <x:is>
          <x:t xml:space="preserve">ЗК-1125</x:t>
        </x:is>
      </x:c>
      <x:c r="D2120" s="31" t="inlineStr">
        <x:is>
          <x:t xml:space="preserve">ПОЗ-0125-1</x:t>
        </x:is>
      </x:c>
      <x:c r="E2120" s="31" t="inlineStr">
        <x:is>
          <x:t xml:space="preserve">ИЗД-038</x:t>
        </x:is>
      </x:c>
      <x:c r="F2120" s="31" t="n">
        <x:v>10</x:v>
      </x:c>
      <x:c r="G2120" s="31" t="inlineStr">
        <x:is>
          <x:t xml:space="preserve">КД</x:t>
        </x:is>
      </x:c>
      <x:c r="H2120" s="31" t="inlineStr">
        <x:is>
          <x:t xml:space="preserve">Инженерный отдел</x:t>
        </x:is>
      </x:c>
      <x:c r="I2120" s="31" t="n"/>
      <x:c r="J2120" s="31" t="inlineStr">
        <x:is>
          <x:t xml:space="preserve">СОТР-020</x:t>
        </x:is>
      </x:c>
      <x:c r="K2120" s="31" t="n">
        <x:v>16.5</x:v>
      </x:c>
      <x:c r="L2120" s="31" t="n">
        <x:v>20.3</x:v>
      </x:c>
      <x:c r="M2120" s="31" t="n">
        <x:v>46041</x:v>
      </x:c>
      <x:c r="N2120" s="31" t="n">
        <x:v>46043</x:v>
      </x:c>
      <x:c r="O2120" s="31" t="n">
        <x:v>46041</x:v>
      </x:c>
      <x:c r="P2120" s="31" t="n">
        <x:v>46044</x:v>
      </x:c>
      <x:c r="Q2120" s="31" t="inlineStr">
        <x:is>
          <x:t xml:space="preserve">Завершено</x:t>
        </x:is>
      </x:c>
      <x:c r="R2120" s="31" t="inlineStr">
        <x:is>
          <x:t xml:space="preserve">Нет</x:t>
        </x:is>
      </x:c>
      <x:c r="S2120" s="31" t="inlineStr">
        <x:is>
          <x:t xml:space="preserve">Нет</x:t>
        </x:is>
      </x:c>
    </x:row>
    <x:row r="2121">
      <x:c r="A2121" s="31" t="inlineStr">
        <x:is>
          <x:t xml:space="preserve">ОП-002120</x:t>
        </x:is>
      </x:c>
      <x:c r="B2121" s="31" t="inlineStr">
        <x:is>
          <x:t xml:space="preserve">ПЗ-00254</x:t>
        </x:is>
      </x:c>
      <x:c r="C2121" s="31" t="inlineStr">
        <x:is>
          <x:t xml:space="preserve">ЗК-1125</x:t>
        </x:is>
      </x:c>
      <x:c r="D2121" s="31" t="inlineStr">
        <x:is>
          <x:t xml:space="preserve">ПОЗ-0125-1</x:t>
        </x:is>
      </x:c>
      <x:c r="E2121" s="31" t="inlineStr">
        <x:is>
          <x:t xml:space="preserve">ИЗД-038</x:t>
        </x:is>
      </x:c>
      <x:c r="F2121" s="31" t="n">
        <x:v>20</x:v>
      </x:c>
      <x:c r="G2121" s="31" t="inlineStr">
        <x:is>
          <x:t xml:space="preserve">Резка труб</x:t>
        </x:is>
      </x:c>
      <x:c r="H2121" s="31" t="inlineStr">
        <x:is>
          <x:t xml:space="preserve">Сварка</x:t>
        </x:is>
      </x:c>
      <x:c r="I2121" s="31" t="inlineStr">
        <x:is>
          <x:t xml:space="preserve">ОБ-010</x:t>
        </x:is>
      </x:c>
      <x:c r="J2121" s="31" t="inlineStr">
        <x:is>
          <x:t xml:space="preserve">СОТР-061</x:t>
        </x:is>
      </x:c>
      <x:c r="K2121" s="31" t="n">
        <x:v>4.8</x:v>
      </x:c>
      <x:c r="L2121" s="31" t="n">
        <x:v>5.1</x:v>
      </x:c>
      <x:c r="M2121" s="31" t="n">
        <x:v>46043</x:v>
      </x:c>
      <x:c r="N2121" s="31" t="n">
        <x:v>46044</x:v>
      </x:c>
      <x:c r="O2121" s="31" t="n">
        <x:v>46043</x:v>
      </x:c>
      <x:c r="P2121" s="31" t="n">
        <x:v>46044</x:v>
      </x:c>
      <x:c r="Q2121" s="31" t="inlineStr">
        <x:is>
          <x:t xml:space="preserve">Завершено</x:t>
        </x:is>
      </x:c>
      <x:c r="R2121" s="31" t="inlineStr">
        <x:is>
          <x:t xml:space="preserve">Материал</x:t>
        </x:is>
      </x:c>
      <x:c r="S2121" s="31" t="inlineStr">
        <x:is>
          <x:t xml:space="preserve">Нет</x:t>
        </x:is>
      </x:c>
    </x:row>
    <x:row r="2122">
      <x:c r="A2122" s="31" t="inlineStr">
        <x:is>
          <x:t xml:space="preserve">ОП-002121</x:t>
        </x:is>
      </x:c>
      <x:c r="B2122" s="31" t="inlineStr">
        <x:is>
          <x:t xml:space="preserve">ПЗ-00254</x:t>
        </x:is>
      </x:c>
      <x:c r="C2122" s="31" t="inlineStr">
        <x:is>
          <x:t xml:space="preserve">ЗК-1125</x:t>
        </x:is>
      </x:c>
      <x:c r="D2122" s="31" t="inlineStr">
        <x:is>
          <x:t xml:space="preserve">ПОЗ-0125-1</x:t>
        </x:is>
      </x:c>
      <x:c r="E2122" s="31" t="inlineStr">
        <x:is>
          <x:t xml:space="preserve">ИЗД-038</x:t>
        </x:is>
      </x:c>
      <x:c r="F2122" s="31" t="n">
        <x:v>30</x:v>
      </x:c>
      <x:c r="G2122" s="31" t="inlineStr">
        <x:is>
          <x:t xml:space="preserve">Сварка</x:t>
        </x:is>
      </x:c>
      <x:c r="H2122" s="31" t="inlineStr">
        <x:is>
          <x:t xml:space="preserve">Сварка</x:t>
        </x:is>
      </x:c>
      <x:c r="I2122" s="31" t="inlineStr">
        <x:is>
          <x:t xml:space="preserve">ОБ-010</x:t>
        </x:is>
      </x:c>
      <x:c r="J2122" s="31" t="inlineStr">
        <x:is>
          <x:t xml:space="preserve">СОТР-071</x:t>
        </x:is>
      </x:c>
      <x:c r="K2122" s="31" t="n">
        <x:v>13.2</x:v>
      </x:c>
      <x:c r="L2122" s="31" t="n">
        <x:v>12.4</x:v>
      </x:c>
      <x:c r="M2122" s="31" t="n">
        <x:v>46044</x:v>
      </x:c>
      <x:c r="N2122" s="31" t="n">
        <x:v>46046</x:v>
      </x:c>
      <x:c r="O2122" s="31" t="n">
        <x:v>46044</x:v>
      </x:c>
      <x:c r="P2122" s="31" t="n">
        <x:v>46047</x:v>
      </x:c>
      <x:c r="Q2122" s="31" t="inlineStr">
        <x:is>
          <x:t xml:space="preserve">Завершено</x:t>
        </x:is>
      </x:c>
      <x:c r="R2122" s="31" t="inlineStr">
        <x:is>
          <x:t xml:space="preserve">Материал</x:t>
        </x:is>
      </x:c>
      <x:c r="S2122" s="31" t="inlineStr">
        <x:is>
          <x:t xml:space="preserve">Нет</x:t>
        </x:is>
      </x:c>
    </x:row>
    <x:row r="2123">
      <x:c r="A2123" s="31" t="inlineStr">
        <x:is>
          <x:t xml:space="preserve">ОП-002122</x:t>
        </x:is>
      </x:c>
      <x:c r="B2123" s="31" t="inlineStr">
        <x:is>
          <x:t xml:space="preserve">ПЗ-00254</x:t>
        </x:is>
      </x:c>
      <x:c r="C2123" s="31" t="inlineStr">
        <x:is>
          <x:t xml:space="preserve">ЗК-1125</x:t>
        </x:is>
      </x:c>
      <x:c r="D2123" s="31" t="inlineStr">
        <x:is>
          <x:t xml:space="preserve">ПОЗ-0125-1</x:t>
        </x:is>
      </x:c>
      <x:c r="E2123" s="31" t="inlineStr">
        <x:is>
          <x:t xml:space="preserve">ИЗД-038</x:t>
        </x:is>
      </x:c>
      <x:c r="F2123" s="31" t="n">
        <x:v>40</x:v>
      </x:c>
      <x:c r="G2123" s="31" t="inlineStr">
        <x:is>
          <x:t xml:space="preserve">НК сварных швов</x:t>
        </x:is>
      </x:c>
      <x:c r="H2123" s="31" t="inlineStr">
        <x:is>
          <x:t xml:space="preserve">ОТК</x:t>
        </x:is>
      </x:c>
      <x:c r="I2123" s="31" t="inlineStr">
        <x:is>
          <x:t xml:space="preserve">ОБ-022</x:t>
        </x:is>
      </x:c>
      <x:c r="J2123" s="31" t="inlineStr">
        <x:is>
          <x:t xml:space="preserve">СОТР-100</x:t>
        </x:is>
      </x:c>
      <x:c r="K2123" s="31" t="n">
        <x:v>3.3</x:v>
      </x:c>
      <x:c r="L2123" s="31" t="n"/>
      <x:c r="M2123" s="31" t="n">
        <x:v>46046</x:v>
      </x:c>
      <x:c r="N2123" s="31" t="n">
        <x:v>46047</x:v>
      </x:c>
      <x:c r="O2123" s="31" t="n"/>
      <x:c r="P2123" s="31" t="n"/>
      <x:c r="Q2123" s="31" t="inlineStr">
        <x:is>
          <x:t xml:space="preserve">Запланировано</x:t>
        </x:is>
      </x:c>
      <x:c r="R2123" s="31" t="inlineStr">
        <x:is>
          <x:t xml:space="preserve">Нет</x:t>
        </x:is>
      </x:c>
      <x:c r="S2123" s="31" t="inlineStr">
        <x:is>
          <x:t xml:space="preserve">Да</x:t>
        </x:is>
      </x:c>
    </x:row>
    <x:row r="2124">
      <x:c r="A2124" s="31" t="inlineStr">
        <x:is>
          <x:t xml:space="preserve">ОП-002123</x:t>
        </x:is>
      </x:c>
      <x:c r="B2124" s="31" t="inlineStr">
        <x:is>
          <x:t xml:space="preserve">ПЗ-00254</x:t>
        </x:is>
      </x:c>
      <x:c r="C2124" s="31" t="inlineStr">
        <x:is>
          <x:t xml:space="preserve">ЗК-1125</x:t>
        </x:is>
      </x:c>
      <x:c r="D2124" s="31" t="inlineStr">
        <x:is>
          <x:t xml:space="preserve">ПОЗ-0125-1</x:t>
        </x:is>
      </x:c>
      <x:c r="E2124" s="31" t="inlineStr">
        <x:is>
          <x:t xml:space="preserve">ИЗД-038</x:t>
        </x:is>
      </x:c>
      <x:c r="F2124" s="31" t="n">
        <x:v>50</x:v>
      </x:c>
      <x:c r="G2124" s="31" t="inlineStr">
        <x:is>
          <x:t xml:space="preserve">Гидроиспытания</x:t>
        </x:is>
      </x:c>
      <x:c r="H2124" s="31" t="inlineStr">
        <x:is>
          <x:t xml:space="preserve">ОТК</x:t>
        </x:is>
      </x:c>
      <x:c r="I2124" s="31" t="inlineStr">
        <x:is>
          <x:t xml:space="preserve">ОБ-028</x:t>
        </x:is>
      </x:c>
      <x:c r="J2124" s="31" t="inlineStr">
        <x:is>
          <x:t xml:space="preserve">СОТР-092</x:t>
        </x:is>
      </x:c>
      <x:c r="K2124" s="31" t="n">
        <x:v>9.9</x:v>
      </x:c>
      <x:c r="L2124" s="31" t="n"/>
      <x:c r="M2124" s="31" t="n">
        <x:v>46047</x:v>
      </x:c>
      <x:c r="N2124" s="31" t="n">
        <x:v>46048</x:v>
      </x:c>
      <x:c r="O2124" s="31" t="n"/>
      <x:c r="P2124" s="31" t="n"/>
      <x:c r="Q2124" s="31" t="inlineStr">
        <x:is>
          <x:t xml:space="preserve">Запланировано</x:t>
        </x:is>
      </x:c>
      <x:c r="R2124" s="31" t="inlineStr">
        <x:is>
          <x:t xml:space="preserve">Нет</x:t>
        </x:is>
      </x:c>
      <x:c r="S2124" s="31" t="inlineStr">
        <x:is>
          <x:t xml:space="preserve">Нет</x:t>
        </x:is>
      </x:c>
    </x:row>
    <x:row r="2125">
      <x:c r="A2125" s="31" t="inlineStr">
        <x:is>
          <x:t xml:space="preserve">ОП-002124</x:t>
        </x:is>
      </x:c>
      <x:c r="B2125" s="31" t="inlineStr">
        <x:is>
          <x:t xml:space="preserve">ПЗ-00254</x:t>
        </x:is>
      </x:c>
      <x:c r="C2125" s="31" t="inlineStr">
        <x:is>
          <x:t xml:space="preserve">ЗК-1125</x:t>
        </x:is>
      </x:c>
      <x:c r="D2125" s="31" t="inlineStr">
        <x:is>
          <x:t xml:space="preserve">ПОЗ-0125-1</x:t>
        </x:is>
      </x:c>
      <x:c r="E2125" s="31" t="inlineStr">
        <x:is>
          <x:t xml:space="preserve">ИЗД-038</x:t>
        </x:is>
      </x:c>
      <x:c r="F2125" s="31" t="n">
        <x:v>60</x:v>
      </x:c>
      <x:c r="G2125" s="31" t="inlineStr">
        <x:is>
          <x:t xml:space="preserve">Покраска</x:t>
        </x:is>
      </x:c>
      <x:c r="H2125" s="31" t="inlineStr">
        <x:is>
          <x:t xml:space="preserve">Сварка</x:t>
        </x:is>
      </x:c>
      <x:c r="I2125" s="31" t="inlineStr">
        <x:is>
          <x:t xml:space="preserve">ОБ-010</x:t>
        </x:is>
      </x:c>
      <x:c r="J2125" s="31" t="inlineStr">
        <x:is>
          <x:t xml:space="preserve">СОТР-069</x:t>
        </x:is>
      </x:c>
      <x:c r="K2125" s="31" t="n">
        <x:v>23.4</x:v>
      </x:c>
      <x:c r="L2125" s="31" t="n">
        <x:v>22</x:v>
      </x:c>
      <x:c r="M2125" s="31" t="n">
        <x:v>46048</x:v>
      </x:c>
      <x:c r="N2125" s="31" t="n">
        <x:v>46050</x:v>
      </x:c>
      <x:c r="O2125" s="31" t="n">
        <x:v>46048</x:v>
      </x:c>
      <x:c r="P2125" s="31" t="n">
        <x:v>46049</x:v>
      </x:c>
      <x:c r="Q2125" s="31" t="inlineStr">
        <x:is>
          <x:t xml:space="preserve">Завершено</x:t>
        </x:is>
      </x:c>
      <x:c r="R2125" s="31" t="inlineStr">
        <x:is>
          <x:t xml:space="preserve">Нет</x:t>
        </x:is>
      </x:c>
      <x:c r="S2125" s="31" t="inlineStr">
        <x:is>
          <x:t xml:space="preserve">Да</x:t>
        </x:is>
      </x:c>
    </x:row>
    <x:row r="2126">
      <x:c r="A2126" s="31" t="inlineStr">
        <x:is>
          <x:t xml:space="preserve">ОП-002125</x:t>
        </x:is>
      </x:c>
      <x:c r="B2126" s="31" t="inlineStr">
        <x:is>
          <x:t xml:space="preserve">ПЗ-00254</x:t>
        </x:is>
      </x:c>
      <x:c r="C2126" s="31" t="inlineStr">
        <x:is>
          <x:t xml:space="preserve">ЗК-1125</x:t>
        </x:is>
      </x:c>
      <x:c r="D2126" s="31" t="inlineStr">
        <x:is>
          <x:t xml:space="preserve">ПОЗ-0125-1</x:t>
        </x:is>
      </x:c>
      <x:c r="E2126" s="31" t="inlineStr">
        <x:is>
          <x:t xml:space="preserve">ИЗД-038</x:t>
        </x:is>
      </x:c>
      <x:c r="F2126" s="31" t="n">
        <x:v>70</x:v>
      </x:c>
      <x:c r="G2126" s="31" t="inlineStr">
        <x:is>
          <x:t xml:space="preserve">ОТК</x:t>
        </x:is>
      </x:c>
      <x:c r="H2126" s="31" t="inlineStr">
        <x:is>
          <x:t xml:space="preserve">ОТК</x:t>
        </x:is>
      </x:c>
      <x:c r="I2126" s="31" t="inlineStr">
        <x:is>
          <x:t xml:space="preserve">ОБ-006</x:t>
        </x:is>
      </x:c>
      <x:c r="J2126" s="31" t="inlineStr">
        <x:is>
          <x:t xml:space="preserve">СОТР-100</x:t>
        </x:is>
      </x:c>
      <x:c r="K2126" s="31" t="n">
        <x:v>14.1</x:v>
      </x:c>
      <x:c r="L2126" s="31" t="n"/>
      <x:c r="M2126" s="31" t="n">
        <x:v>46050</x:v>
      </x:c>
      <x:c r="N2126" s="31" t="n">
        <x:v>46052</x:v>
      </x:c>
      <x:c r="O2126" s="31" t="n"/>
      <x:c r="P2126" s="31" t="n"/>
      <x:c r="Q2126" s="31" t="inlineStr">
        <x:is>
          <x:t xml:space="preserve">Запланировано</x:t>
        </x:is>
      </x:c>
      <x:c r="R2126" s="31" t="inlineStr">
        <x:is>
          <x:t xml:space="preserve">Нет</x:t>
        </x:is>
      </x:c>
      <x:c r="S2126" s="31" t="inlineStr">
        <x:is>
          <x:t xml:space="preserve">Нет</x:t>
        </x:is>
      </x:c>
    </x:row>
    <x:row r="2127">
      <x:c r="A2127" s="31" t="inlineStr">
        <x:is>
          <x:t xml:space="preserve">ОП-002126</x:t>
        </x:is>
      </x:c>
      <x:c r="B2127" s="31" t="inlineStr">
        <x:is>
          <x:t xml:space="preserve">ПЗ-00255</x:t>
        </x:is>
      </x:c>
      <x:c r="C2127" s="31" t="inlineStr">
        <x:is>
          <x:t xml:space="preserve">ЗК-1125</x:t>
        </x:is>
      </x:c>
      <x:c r="D2127" s="31" t="inlineStr">
        <x:is>
          <x:t xml:space="preserve">ПОЗ-0125-2</x:t>
        </x:is>
      </x:c>
      <x:c r="E2127" s="31" t="inlineStr">
        <x:is>
          <x:t xml:space="preserve">ИЗД-020</x:t>
        </x:is>
      </x:c>
      <x:c r="F2127" s="31" t="n">
        <x:v>10</x:v>
      </x:c>
      <x:c r="G2127" s="31" t="inlineStr">
        <x:is>
          <x:t xml:space="preserve">КД</x:t>
        </x:is>
      </x:c>
      <x:c r="H2127" s="31" t="inlineStr">
        <x:is>
          <x:t xml:space="preserve">Инженерный отдел</x:t>
        </x:is>
      </x:c>
      <x:c r="I2127" s="31" t="n"/>
      <x:c r="J2127" s="31" t="inlineStr">
        <x:is>
          <x:t xml:space="preserve">СОТР-019</x:t>
        </x:is>
      </x:c>
      <x:c r="K2127" s="31" t="n">
        <x:v>21.3</x:v>
      </x:c>
      <x:c r="L2127" s="31" t="n">
        <x:v>25</x:v>
      </x:c>
      <x:c r="M2127" s="31" t="n">
        <x:v>46055</x:v>
      </x:c>
      <x:c r="N2127" s="31" t="n">
        <x:v>46057</x:v>
      </x:c>
      <x:c r="O2127" s="31" t="n">
        <x:v>46055</x:v>
      </x:c>
      <x:c r="P2127" s="31" t="n">
        <x:v>46056</x:v>
      </x:c>
      <x:c r="Q2127" s="31" t="inlineStr">
        <x:is>
          <x:t xml:space="preserve">Завершено</x:t>
        </x:is>
      </x:c>
      <x:c r="R2127" s="31" t="inlineStr">
        <x:is>
          <x:t xml:space="preserve">Нет</x:t>
        </x:is>
      </x:c>
      <x:c r="S2127" s="31" t="inlineStr">
        <x:is>
          <x:t xml:space="preserve">Нет</x:t>
        </x:is>
      </x:c>
    </x:row>
    <x:row r="2128">
      <x:c r="A2128" s="31" t="inlineStr">
        <x:is>
          <x:t xml:space="preserve">ОП-002127</x:t>
        </x:is>
      </x:c>
      <x:c r="B2128" s="31" t="inlineStr">
        <x:is>
          <x:t xml:space="preserve">ПЗ-00255</x:t>
        </x:is>
      </x:c>
      <x:c r="C2128" s="31" t="inlineStr">
        <x:is>
          <x:t xml:space="preserve">ЗК-1125</x:t>
        </x:is>
      </x:c>
      <x:c r="D2128" s="31" t="inlineStr">
        <x:is>
          <x:t xml:space="preserve">ПОЗ-0125-2</x:t>
        </x:is>
      </x:c>
      <x:c r="E2128" s="31" t="inlineStr">
        <x:is>
          <x:t xml:space="preserve">ИЗД-020</x:t>
        </x:is>
      </x:c>
      <x:c r="F2128" s="31" t="n">
        <x:v>20</x:v>
      </x:c>
      <x:c r="G2128" s="31" t="inlineStr">
        <x:is>
          <x:t xml:space="preserve">Резка труб</x:t>
        </x:is>
      </x:c>
      <x:c r="H2128" s="31" t="inlineStr">
        <x:is>
          <x:t xml:space="preserve">Сварка</x:t>
        </x:is>
      </x:c>
      <x:c r="I2128" s="31" t="inlineStr">
        <x:is>
          <x:t xml:space="preserve">ОБ-021</x:t>
        </x:is>
      </x:c>
      <x:c r="J2128" s="31" t="inlineStr">
        <x:is>
          <x:t xml:space="preserve">СОТР-058</x:t>
        </x:is>
      </x:c>
      <x:c r="K2128" s="31" t="n">
        <x:v>13.8</x:v>
      </x:c>
      <x:c r="L2128" s="31" t="n">
        <x:v>12</x:v>
      </x:c>
      <x:c r="M2128" s="31" t="n">
        <x:v>46057</x:v>
      </x:c>
      <x:c r="N2128" s="31" t="n">
        <x:v>46059</x:v>
      </x:c>
      <x:c r="O2128" s="31" t="n">
        <x:v>46057</x:v>
      </x:c>
      <x:c r="P2128" s="31" t="n">
        <x:v>46059</x:v>
      </x:c>
      <x:c r="Q2128" s="31" t="inlineStr">
        <x:is>
          <x:t xml:space="preserve">Завершено</x:t>
        </x:is>
      </x:c>
      <x:c r="R2128" s="31" t="inlineStr">
        <x:is>
          <x:t xml:space="preserve">Материал</x:t>
        </x:is>
      </x:c>
      <x:c r="S2128" s="31" t="inlineStr">
        <x:is>
          <x:t xml:space="preserve">Да</x:t>
        </x:is>
      </x:c>
    </x:row>
    <x:row r="2129">
      <x:c r="A2129" s="31" t="inlineStr">
        <x:is>
          <x:t xml:space="preserve">ОП-002128</x:t>
        </x:is>
      </x:c>
      <x:c r="B2129" s="31" t="inlineStr">
        <x:is>
          <x:t xml:space="preserve">ПЗ-00255</x:t>
        </x:is>
      </x:c>
      <x:c r="C2129" s="31" t="inlineStr">
        <x:is>
          <x:t xml:space="preserve">ЗК-1125</x:t>
        </x:is>
      </x:c>
      <x:c r="D2129" s="31" t="inlineStr">
        <x:is>
          <x:t xml:space="preserve">ПОЗ-0125-2</x:t>
        </x:is>
      </x:c>
      <x:c r="E2129" s="31" t="inlineStr">
        <x:is>
          <x:t xml:space="preserve">ИЗД-020</x:t>
        </x:is>
      </x:c>
      <x:c r="F2129" s="31" t="n">
        <x:v>30</x:v>
      </x:c>
      <x:c r="G2129" s="31" t="inlineStr">
        <x:is>
          <x:t xml:space="preserve">Сварка</x:t>
        </x:is>
      </x:c>
      <x:c r="H2129" s="31" t="inlineStr">
        <x:is>
          <x:t xml:space="preserve">Сварка</x:t>
        </x:is>
      </x:c>
      <x:c r="I2129" s="31" t="inlineStr">
        <x:is>
          <x:t xml:space="preserve">ОБ-021</x:t>
        </x:is>
      </x:c>
      <x:c r="J2129" s="31" t="inlineStr">
        <x:is>
          <x:t xml:space="preserve">СОТР-056</x:t>
        </x:is>
      </x:c>
      <x:c r="K2129" s="31" t="n">
        <x:v>30.6</x:v>
      </x:c>
      <x:c r="L2129" s="31" t="n">
        <x:v>34.9</x:v>
      </x:c>
      <x:c r="M2129" s="31" t="n">
        <x:v>46059</x:v>
      </x:c>
      <x:c r="N2129" s="31" t="n">
        <x:v>46062</x:v>
      </x:c>
      <x:c r="O2129" s="31" t="n">
        <x:v>46059</x:v>
      </x:c>
      <x:c r="P2129" s="31" t="n">
        <x:v>46061</x:v>
      </x:c>
      <x:c r="Q2129" s="31" t="inlineStr">
        <x:is>
          <x:t xml:space="preserve">Завершено</x:t>
        </x:is>
      </x:c>
      <x:c r="R2129" s="31" t="inlineStr">
        <x:is>
          <x:t xml:space="preserve">Нет</x:t>
        </x:is>
      </x:c>
      <x:c r="S2129" s="31" t="inlineStr">
        <x:is>
          <x:t xml:space="preserve">Нет</x:t>
        </x:is>
      </x:c>
    </x:row>
    <x:row r="2130">
      <x:c r="A2130" s="31" t="inlineStr">
        <x:is>
          <x:t xml:space="preserve">ОП-002129</x:t>
        </x:is>
      </x:c>
      <x:c r="B2130" s="31" t="inlineStr">
        <x:is>
          <x:t xml:space="preserve">ПЗ-00255</x:t>
        </x:is>
      </x:c>
      <x:c r="C2130" s="31" t="inlineStr">
        <x:is>
          <x:t xml:space="preserve">ЗК-1125</x:t>
        </x:is>
      </x:c>
      <x:c r="D2130" s="31" t="inlineStr">
        <x:is>
          <x:t xml:space="preserve">ПОЗ-0125-2</x:t>
        </x:is>
      </x:c>
      <x:c r="E2130" s="31" t="inlineStr">
        <x:is>
          <x:t xml:space="preserve">ИЗД-020</x:t>
        </x:is>
      </x:c>
      <x:c r="F2130" s="31" t="n">
        <x:v>40</x:v>
      </x:c>
      <x:c r="G2130" s="31" t="inlineStr">
        <x:is>
          <x:t xml:space="preserve">НК сварных швов</x:t>
        </x:is>
      </x:c>
      <x:c r="H2130" s="31" t="inlineStr">
        <x:is>
          <x:t xml:space="preserve">ОТК</x:t>
        </x:is>
      </x:c>
      <x:c r="I2130" s="31" t="inlineStr">
        <x:is>
          <x:t xml:space="preserve">ОБ-033</x:t>
        </x:is>
      </x:c>
      <x:c r="J2130" s="31" t="inlineStr">
        <x:is>
          <x:t xml:space="preserve">СОТР-098</x:t>
        </x:is>
      </x:c>
      <x:c r="K2130" s="31" t="n">
        <x:v>30.9</x:v>
      </x:c>
      <x:c r="L2130" s="31" t="n">
        <x:v>40.4</x:v>
      </x:c>
      <x:c r="M2130" s="31" t="n">
        <x:v>46062</x:v>
      </x:c>
      <x:c r="N2130" s="31" t="n">
        <x:v>46065</x:v>
      </x:c>
      <x:c r="O2130" s="31" t="n">
        <x:v>46062</x:v>
      </x:c>
      <x:c r="P2130" s="31" t="n">
        <x:v>46067</x:v>
      </x:c>
      <x:c r="Q2130" s="31" t="inlineStr">
        <x:is>
          <x:t xml:space="preserve">Завершено</x:t>
        </x:is>
      </x:c>
      <x:c r="R2130" s="31" t="inlineStr">
        <x:is>
          <x:t xml:space="preserve">Ожидание ОТК</x:t>
        </x:is>
      </x:c>
      <x:c r="S2130" s="31" t="inlineStr">
        <x:is>
          <x:t xml:space="preserve">Нет</x:t>
        </x:is>
      </x:c>
    </x:row>
    <x:row r="2131">
      <x:c r="A2131" s="31" t="inlineStr">
        <x:is>
          <x:t xml:space="preserve">ОП-002130</x:t>
        </x:is>
      </x:c>
      <x:c r="B2131" s="31" t="inlineStr">
        <x:is>
          <x:t xml:space="preserve">ПЗ-00255</x:t>
        </x:is>
      </x:c>
      <x:c r="C2131" s="31" t="inlineStr">
        <x:is>
          <x:t xml:space="preserve">ЗК-1125</x:t>
        </x:is>
      </x:c>
      <x:c r="D2131" s="31" t="inlineStr">
        <x:is>
          <x:t xml:space="preserve">ПОЗ-0125-2</x:t>
        </x:is>
      </x:c>
      <x:c r="E2131" s="31" t="inlineStr">
        <x:is>
          <x:t xml:space="preserve">ИЗД-020</x:t>
        </x:is>
      </x:c>
      <x:c r="F2131" s="31" t="n">
        <x:v>50</x:v>
      </x:c>
      <x:c r="G2131" s="31" t="inlineStr">
        <x:is>
          <x:t xml:space="preserve">Гидроиспытания</x:t>
        </x:is>
      </x:c>
      <x:c r="H2131" s="31" t="inlineStr">
        <x:is>
          <x:t xml:space="preserve">ОТК</x:t>
        </x:is>
      </x:c>
      <x:c r="I2131" s="31" t="inlineStr">
        <x:is>
          <x:t xml:space="preserve">ОБ-015</x:t>
        </x:is>
      </x:c>
      <x:c r="J2131" s="31" t="inlineStr">
        <x:is>
          <x:t xml:space="preserve">СОТР-093</x:t>
        </x:is>
      </x:c>
      <x:c r="K2131" s="31" t="n">
        <x:v>6.9</x:v>
      </x:c>
      <x:c r="L2131" s="31" t="n">
        <x:v>7.7</x:v>
      </x:c>
      <x:c r="M2131" s="31" t="n">
        <x:v>46065</x:v>
      </x:c>
      <x:c r="N2131" s="31" t="n">
        <x:v>46066</x:v>
      </x:c>
      <x:c r="O2131" s="31" t="n">
        <x:v>46065</x:v>
      </x:c>
      <x:c r="P2131" s="31" t="n">
        <x:v>46068</x:v>
      </x:c>
      <x:c r="Q2131" s="31" t="inlineStr">
        <x:is>
          <x:t xml:space="preserve">Завершено</x:t>
        </x:is>
      </x:c>
      <x:c r="R2131" s="31" t="inlineStr">
        <x:is>
          <x:t xml:space="preserve">Нет</x:t>
        </x:is>
      </x:c>
      <x:c r="S2131" s="31" t="inlineStr">
        <x:is>
          <x:t xml:space="preserve">Нет</x:t>
        </x:is>
      </x:c>
    </x:row>
    <x:row r="2132">
      <x:c r="A2132" s="31" t="inlineStr">
        <x:is>
          <x:t xml:space="preserve">ОП-002131</x:t>
        </x:is>
      </x:c>
      <x:c r="B2132" s="31" t="inlineStr">
        <x:is>
          <x:t xml:space="preserve">ПЗ-00255</x:t>
        </x:is>
      </x:c>
      <x:c r="C2132" s="31" t="inlineStr">
        <x:is>
          <x:t xml:space="preserve">ЗК-1125</x:t>
        </x:is>
      </x:c>
      <x:c r="D2132" s="31" t="inlineStr">
        <x:is>
          <x:t xml:space="preserve">ПОЗ-0125-2</x:t>
        </x:is>
      </x:c>
      <x:c r="E2132" s="31" t="inlineStr">
        <x:is>
          <x:t xml:space="preserve">ИЗД-020</x:t>
        </x:is>
      </x:c>
      <x:c r="F2132" s="31" t="n">
        <x:v>60</x:v>
      </x:c>
      <x:c r="G2132" s="31" t="inlineStr">
        <x:is>
          <x:t xml:space="preserve">Покраска</x:t>
        </x:is>
      </x:c>
      <x:c r="H2132" s="31" t="inlineStr">
        <x:is>
          <x:t xml:space="preserve">Сварка</x:t>
        </x:is>
      </x:c>
      <x:c r="I2132" s="31" t="inlineStr">
        <x:is>
          <x:t xml:space="preserve">ОБ-026</x:t>
        </x:is>
      </x:c>
      <x:c r="J2132" s="31" t="inlineStr">
        <x:is>
          <x:t xml:space="preserve">СОТР-072</x:t>
        </x:is>
      </x:c>
      <x:c r="K2132" s="31" t="n">
        <x:v>3.9</x:v>
      </x:c>
      <x:c r="L2132" s="31" t="n">
        <x:v>3.6</x:v>
      </x:c>
      <x:c r="M2132" s="31" t="n">
        <x:v>46066</x:v>
      </x:c>
      <x:c r="N2132" s="31" t="n">
        <x:v>46067</x:v>
      </x:c>
      <x:c r="O2132" s="31" t="n">
        <x:v>46066</x:v>
      </x:c>
      <x:c r="P2132" s="31" t="n">
        <x:v>46069</x:v>
      </x:c>
      <x:c r="Q2132" s="31" t="inlineStr">
        <x:is>
          <x:t xml:space="preserve">Завершено</x:t>
        </x:is>
      </x:c>
      <x:c r="R2132" s="31" t="inlineStr">
        <x:is>
          <x:t xml:space="preserve">Нет</x:t>
        </x:is>
      </x:c>
      <x:c r="S2132" s="31" t="inlineStr">
        <x:is>
          <x:t xml:space="preserve">Нет</x:t>
        </x:is>
      </x:c>
    </x:row>
    <x:row r="2133">
      <x:c r="A2133" s="31" t="inlineStr">
        <x:is>
          <x:t xml:space="preserve">ОП-002132</x:t>
        </x:is>
      </x:c>
      <x:c r="B2133" s="31" t="inlineStr">
        <x:is>
          <x:t xml:space="preserve">ПЗ-00255</x:t>
        </x:is>
      </x:c>
      <x:c r="C2133" s="31" t="inlineStr">
        <x:is>
          <x:t xml:space="preserve">ЗК-1125</x:t>
        </x:is>
      </x:c>
      <x:c r="D2133" s="31" t="inlineStr">
        <x:is>
          <x:t xml:space="preserve">ПОЗ-0125-2</x:t>
        </x:is>
      </x:c>
      <x:c r="E2133" s="31" t="inlineStr">
        <x:is>
          <x:t xml:space="preserve">ИЗД-020</x:t>
        </x:is>
      </x:c>
      <x:c r="F2133" s="31" t="n">
        <x:v>70</x:v>
      </x:c>
      <x:c r="G2133" s="31" t="inlineStr">
        <x:is>
          <x:t xml:space="preserve">ОТК</x:t>
        </x:is>
      </x:c>
      <x:c r="H2133" s="31" t="inlineStr">
        <x:is>
          <x:t xml:space="preserve">ОТК</x:t>
        </x:is>
      </x:c>
      <x:c r="I2133" s="31" t="inlineStr">
        <x:is>
          <x:t xml:space="preserve">ОБ-015</x:t>
        </x:is>
      </x:c>
      <x:c r="J2133" s="31" t="inlineStr">
        <x:is>
          <x:t xml:space="preserve">СОТР-093</x:t>
        </x:is>
      </x:c>
      <x:c r="K2133" s="31" t="n">
        <x:v>15.3</x:v>
      </x:c>
      <x:c r="L2133" s="31" t="n">
        <x:v>17</x:v>
      </x:c>
      <x:c r="M2133" s="31" t="n">
        <x:v>46067</x:v>
      </x:c>
      <x:c r="N2133" s="31" t="n">
        <x:v>46069</x:v>
      </x:c>
      <x:c r="O2133" s="31" t="n">
        <x:v>46067</x:v>
      </x:c>
      <x:c r="P2133" s="31" t="n">
        <x:v>46070</x:v>
      </x:c>
      <x:c r="Q2133" s="31" t="inlineStr">
        <x:is>
          <x:t xml:space="preserve">Завершено</x:t>
        </x:is>
      </x:c>
      <x:c r="R2133" s="31" t="inlineStr">
        <x:is>
          <x:t xml:space="preserve">Нет</x:t>
        </x:is>
      </x:c>
      <x:c r="S2133" s="31" t="inlineStr">
        <x:is>
          <x:t xml:space="preserve">Нет</x:t>
        </x:is>
      </x:c>
    </x:row>
    <x:row r="2134">
      <x:c r="A2134" s="31" t="inlineStr">
        <x:is>
          <x:t xml:space="preserve">ОП-002133</x:t>
        </x:is>
      </x:c>
      <x:c r="B2134" s="31" t="inlineStr">
        <x:is>
          <x:t xml:space="preserve">ПЗ-00256</x:t>
        </x:is>
      </x:c>
      <x:c r="C2134" s="31" t="inlineStr">
        <x:is>
          <x:t xml:space="preserve">ЗК-1126</x:t>
        </x:is>
      </x:c>
      <x:c r="D2134" s="31" t="inlineStr">
        <x:is>
          <x:t xml:space="preserve">ПОЗ-0126-1</x:t>
        </x:is>
      </x:c>
      <x:c r="E2134" s="31" t="inlineStr">
        <x:is>
          <x:t xml:space="preserve">ИЗД-001</x:t>
        </x:is>
      </x:c>
      <x:c r="F2134" s="31" t="n">
        <x:v>10</x:v>
      </x:c>
      <x:c r="G2134" s="31" t="inlineStr">
        <x:is>
          <x:t xml:space="preserve">Комплектация</x:t>
        </x:is>
      </x:c>
      <x:c r="H2134" s="31" t="inlineStr">
        <x:is>
          <x:t xml:space="preserve">Склад</x:t>
        </x:is>
      </x:c>
      <x:c r="I2134" s="31" t="inlineStr">
        <x:is>
          <x:t xml:space="preserve">ОБ-011</x:t>
        </x:is>
      </x:c>
      <x:c r="J2134" s="31" t="inlineStr">
        <x:is>
          <x:t xml:space="preserve">СОТР-024</x:t>
        </x:is>
      </x:c>
      <x:c r="K2134" s="31" t="n">
        <x:v>58.8</x:v>
      </x:c>
      <x:c r="L2134" s="31" t="n">
        <x:v>47.2</x:v>
      </x:c>
      <x:c r="M2134" s="31" t="n">
        <x:v>46154</x:v>
      </x:c>
      <x:c r="N2134" s="31" t="n">
        <x:v>46159</x:v>
      </x:c>
      <x:c r="O2134" s="31" t="n">
        <x:v>46154</x:v>
      </x:c>
      <x:c r="P2134" s="31" t="n">
        <x:v>46161</x:v>
      </x:c>
      <x:c r="Q2134" s="31" t="inlineStr">
        <x:is>
          <x:t xml:space="preserve">Завершено</x:t>
        </x:is>
      </x:c>
      <x:c r="R2134" s="31" t="inlineStr">
        <x:is>
          <x:t xml:space="preserve">Нет</x:t>
        </x:is>
      </x:c>
      <x:c r="S2134" s="31" t="inlineStr">
        <x:is>
          <x:t xml:space="preserve">Нет</x:t>
        </x:is>
      </x:c>
    </x:row>
    <x:row r="2135">
      <x:c r="A2135" s="31" t="inlineStr">
        <x:is>
          <x:t xml:space="preserve">ОП-002134</x:t>
        </x:is>
      </x:c>
      <x:c r="B2135" s="31" t="inlineStr">
        <x:is>
          <x:t xml:space="preserve">ПЗ-00256</x:t>
        </x:is>
      </x:c>
      <x:c r="C2135" s="31" t="inlineStr">
        <x:is>
          <x:t xml:space="preserve">ЗК-1126</x:t>
        </x:is>
      </x:c>
      <x:c r="D2135" s="31" t="inlineStr">
        <x:is>
          <x:t xml:space="preserve">ПОЗ-0126-1</x:t>
        </x:is>
      </x:c>
      <x:c r="E2135" s="31" t="inlineStr">
        <x:is>
          <x:t xml:space="preserve">ИЗД-001</x:t>
        </x:is>
      </x:c>
      <x:c r="F2135" s="31" t="n">
        <x:v>20</x:v>
      </x:c>
      <x:c r="G2135" s="31" t="inlineStr">
        <x:is>
          <x:t xml:space="preserve">Входной контроль</x:t>
        </x:is>
      </x:c>
      <x:c r="H2135" s="31" t="inlineStr">
        <x:is>
          <x:t xml:space="preserve">ОТК</x:t>
        </x:is>
      </x:c>
      <x:c r="I2135" s="31" t="inlineStr">
        <x:is>
          <x:t xml:space="preserve">ОБ-032</x:t>
        </x:is>
      </x:c>
      <x:c r="J2135" s="31" t="inlineStr">
        <x:is>
          <x:t xml:space="preserve">СОТР-093</x:t>
        </x:is>
      </x:c>
      <x:c r="K2135" s="31" t="n">
        <x:v>93.8</x:v>
      </x:c>
      <x:c r="L2135" s="31" t="n">
        <x:v>91.09999999999999</x:v>
      </x:c>
      <x:c r="M2135" s="31" t="n">
        <x:v>46159</x:v>
      </x:c>
      <x:c r="N2135" s="31" t="n">
        <x:v>46167</x:v>
      </x:c>
      <x:c r="O2135" s="31" t="n">
        <x:v>46159</x:v>
      </x:c>
      <x:c r="P2135" s="31" t="n">
        <x:v>46169</x:v>
      </x:c>
      <x:c r="Q2135" s="31" t="inlineStr">
        <x:is>
          <x:t xml:space="preserve">Завершено</x:t>
        </x:is>
      </x:c>
      <x:c r="R2135" s="31" t="inlineStr">
        <x:is>
          <x:t xml:space="preserve">Нет</x:t>
        </x:is>
      </x:c>
      <x:c r="S2135" s="31" t="inlineStr">
        <x:is>
          <x:t xml:space="preserve">Нет</x:t>
        </x:is>
      </x:c>
    </x:row>
    <x:row r="2136">
      <x:c r="A2136" s="31" t="inlineStr">
        <x:is>
          <x:t xml:space="preserve">ОП-002135</x:t>
        </x:is>
      </x:c>
      <x:c r="B2136" s="31" t="inlineStr">
        <x:is>
          <x:t xml:space="preserve">ПЗ-00256</x:t>
        </x:is>
      </x:c>
      <x:c r="C2136" s="31" t="inlineStr">
        <x:is>
          <x:t xml:space="preserve">ЗК-1126</x:t>
        </x:is>
      </x:c>
      <x:c r="D2136" s="31" t="inlineStr">
        <x:is>
          <x:t xml:space="preserve">ПОЗ-0126-1</x:t>
        </x:is>
      </x:c>
      <x:c r="E2136" s="31" t="inlineStr">
        <x:is>
          <x:t xml:space="preserve">ИЗД-001</x:t>
        </x:is>
      </x:c>
      <x:c r="F2136" s="31" t="n">
        <x:v>30</x:v>
      </x:c>
      <x:c r="G2136" s="31" t="inlineStr">
        <x:is>
          <x:t xml:space="preserve">Упаковка</x:t>
        </x:is>
      </x:c>
      <x:c r="H2136" s="31" t="inlineStr">
        <x:is>
          <x:t xml:space="preserve">Логистика</x:t>
        </x:is>
      </x:c>
      <x:c r="I2136" s="31" t="n"/>
      <x:c r="J2136" s="31" t="inlineStr">
        <x:is>
          <x:t xml:space="preserve">СОТР-070</x:t>
        </x:is>
      </x:c>
      <x:c r="K2136" s="31" t="n">
        <x:v>11.2</x:v>
      </x:c>
      <x:c r="L2136" s="31" t="n">
        <x:v>13.5</x:v>
      </x:c>
      <x:c r="M2136" s="31" t="n">
        <x:v>46167</x:v>
      </x:c>
      <x:c r="N2136" s="31" t="n">
        <x:v>46168</x:v>
      </x:c>
      <x:c r="O2136" s="31" t="n">
        <x:v>46167</x:v>
      </x:c>
      <x:c r="P2136" s="31" t="n">
        <x:v>46168</x:v>
      </x:c>
      <x:c r="Q2136" s="31" t="inlineStr">
        <x:is>
          <x:t xml:space="preserve">Завершено</x:t>
        </x:is>
      </x:c>
      <x:c r="R2136" s="31" t="inlineStr">
        <x:is>
          <x:t xml:space="preserve">Нет</x:t>
        </x:is>
      </x:c>
      <x:c r="S2136" s="31" t="inlineStr">
        <x:is>
          <x:t xml:space="preserve">Нет</x:t>
        </x:is>
      </x:c>
    </x:row>
    <x:row r="2137">
      <x:c r="A2137" s="31" t="inlineStr">
        <x:is>
          <x:t xml:space="preserve">ОП-002136</x:t>
        </x:is>
      </x:c>
      <x:c r="B2137" s="31" t="inlineStr">
        <x:is>
          <x:t xml:space="preserve">ПЗ-00256</x:t>
        </x:is>
      </x:c>
      <x:c r="C2137" s="31" t="inlineStr">
        <x:is>
          <x:t xml:space="preserve">ЗК-1126</x:t>
        </x:is>
      </x:c>
      <x:c r="D2137" s="31" t="inlineStr">
        <x:is>
          <x:t xml:space="preserve">ПОЗ-0126-1</x:t>
        </x:is>
      </x:c>
      <x:c r="E2137" s="31" t="inlineStr">
        <x:is>
          <x:t xml:space="preserve">ИЗД-001</x:t>
        </x:is>
      </x:c>
      <x:c r="F2137" s="31" t="n">
        <x:v>40</x:v>
      </x:c>
      <x:c r="G2137" s="31" t="inlineStr">
        <x:is>
          <x:t xml:space="preserve">ОТК</x:t>
        </x:is>
      </x:c>
      <x:c r="H2137" s="31" t="inlineStr">
        <x:is>
          <x:t xml:space="preserve">ОТК</x:t>
        </x:is>
      </x:c>
      <x:c r="I2137" s="31" t="inlineStr">
        <x:is>
          <x:t xml:space="preserve">ОБ-006</x:t>
        </x:is>
      </x:c>
      <x:c r="J2137" s="31" t="inlineStr">
        <x:is>
          <x:t xml:space="preserve">СОТР-099</x:t>
        </x:is>
      </x:c>
      <x:c r="K2137" s="31" t="n">
        <x:v>35</x:v>
      </x:c>
      <x:c r="L2137" s="31" t="n">
        <x:v>33.7</x:v>
      </x:c>
      <x:c r="M2137" s="31" t="n">
        <x:v>46168</x:v>
      </x:c>
      <x:c r="N2137" s="31" t="n">
        <x:v>46171</x:v>
      </x:c>
      <x:c r="O2137" s="31" t="n">
        <x:v>46168</x:v>
      </x:c>
      <x:c r="P2137" s="31" t="n">
        <x:v>46172</x:v>
      </x:c>
      <x:c r="Q2137" s="31" t="inlineStr">
        <x:is>
          <x:t xml:space="preserve">Завершено</x:t>
        </x:is>
      </x:c>
      <x:c r="R2137" s="31" t="inlineStr">
        <x:is>
          <x:t xml:space="preserve">Ожидание ОТК</x:t>
        </x:is>
      </x:c>
      <x:c r="S2137" s="31" t="inlineStr">
        <x:is>
          <x:t xml:space="preserve">Нет</x:t>
        </x:is>
      </x:c>
    </x:row>
    <x:row r="2138">
      <x:c r="A2138" s="31" t="inlineStr">
        <x:is>
          <x:t xml:space="preserve">ОП-002137</x:t>
        </x:is>
      </x:c>
      <x:c r="B2138" s="31" t="inlineStr">
        <x:is>
          <x:t xml:space="preserve">ПЗ-00257</x:t>
        </x:is>
      </x:c>
      <x:c r="C2138" s="31" t="inlineStr">
        <x:is>
          <x:t xml:space="preserve">ЗК-1126</x:t>
        </x:is>
      </x:c>
      <x:c r="D2138" s="31" t="inlineStr">
        <x:is>
          <x:t xml:space="preserve">ПОЗ-0126-2</x:t>
        </x:is>
      </x:c>
      <x:c r="E2138" s="31" t="inlineStr">
        <x:is>
          <x:t xml:space="preserve">ИЗД-020</x:t>
        </x:is>
      </x:c>
      <x:c r="F2138" s="31" t="n">
        <x:v>10</x:v>
      </x:c>
      <x:c r="G2138" s="31" t="inlineStr">
        <x:is>
          <x:t xml:space="preserve">КД</x:t>
        </x:is>
      </x:c>
      <x:c r="H2138" s="31" t="inlineStr">
        <x:is>
          <x:t xml:space="preserve">Инженерный отдел</x:t>
        </x:is>
      </x:c>
      <x:c r="I2138" s="31" t="n"/>
      <x:c r="J2138" s="31" t="inlineStr">
        <x:is>
          <x:t xml:space="preserve">СОТР-011</x:t>
        </x:is>
      </x:c>
      <x:c r="K2138" s="31" t="n">
        <x:v>7.1</x:v>
      </x:c>
      <x:c r="L2138" s="31" t="n">
        <x:v>6.3</x:v>
      </x:c>
      <x:c r="M2138" s="31" t="n">
        <x:v>46159</x:v>
      </x:c>
      <x:c r="N2138" s="31" t="n">
        <x:v>46160</x:v>
      </x:c>
      <x:c r="O2138" s="31" t="n">
        <x:v>46159</x:v>
      </x:c>
      <x:c r="P2138" s="31" t="n">
        <x:v>46161</x:v>
      </x:c>
      <x:c r="Q2138" s="31" t="inlineStr">
        <x:is>
          <x:t xml:space="preserve">Завершено</x:t>
        </x:is>
      </x:c>
      <x:c r="R2138" s="31" t="inlineStr">
        <x:is>
          <x:t xml:space="preserve">Нет</x:t>
        </x:is>
      </x:c>
      <x:c r="S2138" s="31" t="inlineStr">
        <x:is>
          <x:t xml:space="preserve">Нет</x:t>
        </x:is>
      </x:c>
    </x:row>
    <x:row r="2139">
      <x:c r="A2139" s="31" t="inlineStr">
        <x:is>
          <x:t xml:space="preserve">ОП-002138</x:t>
        </x:is>
      </x:c>
      <x:c r="B2139" s="31" t="inlineStr">
        <x:is>
          <x:t xml:space="preserve">ПЗ-00257</x:t>
        </x:is>
      </x:c>
      <x:c r="C2139" s="31" t="inlineStr">
        <x:is>
          <x:t xml:space="preserve">ЗК-1126</x:t>
        </x:is>
      </x:c>
      <x:c r="D2139" s="31" t="inlineStr">
        <x:is>
          <x:t xml:space="preserve">ПОЗ-0126-2</x:t>
        </x:is>
      </x:c>
      <x:c r="E2139" s="31" t="inlineStr">
        <x:is>
          <x:t xml:space="preserve">ИЗД-020</x:t>
        </x:is>
      </x:c>
      <x:c r="F2139" s="31" t="n">
        <x:v>20</x:v>
      </x:c>
      <x:c r="G2139" s="31" t="inlineStr">
        <x:is>
          <x:t xml:space="preserve">Резка труб</x:t>
        </x:is>
      </x:c>
      <x:c r="H2139" s="31" t="inlineStr">
        <x:is>
          <x:t xml:space="preserve">Сварка</x:t>
        </x:is>
      </x:c>
      <x:c r="I2139" s="31" t="inlineStr">
        <x:is>
          <x:t xml:space="preserve">ОБ-021</x:t>
        </x:is>
      </x:c>
      <x:c r="J2139" s="31" t="inlineStr">
        <x:is>
          <x:t xml:space="preserve">СОТР-060</x:t>
        </x:is>
      </x:c>
      <x:c r="K2139" s="31" t="n">
        <x:v>4.6</x:v>
      </x:c>
      <x:c r="L2139" s="31" t="n">
        <x:v>4.1</x:v>
      </x:c>
      <x:c r="M2139" s="31" t="n">
        <x:v>46160</x:v>
      </x:c>
      <x:c r="N2139" s="31" t="n">
        <x:v>46161</x:v>
      </x:c>
      <x:c r="O2139" s="31" t="n">
        <x:v>46160</x:v>
      </x:c>
      <x:c r="P2139" s="31" t="n">
        <x:v>46162</x:v>
      </x:c>
      <x:c r="Q2139" s="31" t="inlineStr">
        <x:is>
          <x:t xml:space="preserve">Завершено</x:t>
        </x:is>
      </x:c>
      <x:c r="R2139" s="31" t="inlineStr">
        <x:is>
          <x:t xml:space="preserve">Нет</x:t>
        </x:is>
      </x:c>
      <x:c r="S2139" s="31" t="inlineStr">
        <x:is>
          <x:t xml:space="preserve">Да</x:t>
        </x:is>
      </x:c>
    </x:row>
    <x:row r="2140">
      <x:c r="A2140" s="31" t="inlineStr">
        <x:is>
          <x:t xml:space="preserve">ОП-002139</x:t>
        </x:is>
      </x:c>
      <x:c r="B2140" s="31" t="inlineStr">
        <x:is>
          <x:t xml:space="preserve">ПЗ-00257</x:t>
        </x:is>
      </x:c>
      <x:c r="C2140" s="31" t="inlineStr">
        <x:is>
          <x:t xml:space="preserve">ЗК-1126</x:t>
        </x:is>
      </x:c>
      <x:c r="D2140" s="31" t="inlineStr">
        <x:is>
          <x:t xml:space="preserve">ПОЗ-0126-2</x:t>
        </x:is>
      </x:c>
      <x:c r="E2140" s="31" t="inlineStr">
        <x:is>
          <x:t xml:space="preserve">ИЗД-020</x:t>
        </x:is>
      </x:c>
      <x:c r="F2140" s="31" t="n">
        <x:v>30</x:v>
      </x:c>
      <x:c r="G2140" s="31" t="inlineStr">
        <x:is>
          <x:t xml:space="preserve">Сварка</x:t>
        </x:is>
      </x:c>
      <x:c r="H2140" s="31" t="inlineStr">
        <x:is>
          <x:t xml:space="preserve">Сварка</x:t>
        </x:is>
      </x:c>
      <x:c r="I2140" s="31" t="inlineStr">
        <x:is>
          <x:t xml:space="preserve">ОБ-021</x:t>
        </x:is>
      </x:c>
      <x:c r="J2140" s="31" t="inlineStr">
        <x:is>
          <x:t xml:space="preserve">СОТР-062</x:t>
        </x:is>
      </x:c>
      <x:c r="K2140" s="31" t="n">
        <x:v>10.2</x:v>
      </x:c>
      <x:c r="L2140" s="31" t="n">
        <x:v>10.9</x:v>
      </x:c>
      <x:c r="M2140" s="31" t="n">
        <x:v>46161</x:v>
      </x:c>
      <x:c r="N2140" s="31" t="n">
        <x:v>46162</x:v>
      </x:c>
      <x:c r="O2140" s="31" t="n">
        <x:v>46161</x:v>
      </x:c>
      <x:c r="P2140" s="31" t="n">
        <x:v>46161</x:v>
      </x:c>
      <x:c r="Q2140" s="31" t="inlineStr">
        <x:is>
          <x:t xml:space="preserve">Завершено</x:t>
        </x:is>
      </x:c>
      <x:c r="R2140" s="31" t="inlineStr">
        <x:is>
          <x:t xml:space="preserve">Оборудование</x:t>
        </x:is>
      </x:c>
      <x:c r="S2140" s="31" t="inlineStr">
        <x:is>
          <x:t xml:space="preserve">Нет</x:t>
        </x:is>
      </x:c>
    </x:row>
    <x:row r="2141">
      <x:c r="A2141" s="31" t="inlineStr">
        <x:is>
          <x:t xml:space="preserve">ОП-002140</x:t>
        </x:is>
      </x:c>
      <x:c r="B2141" s="31" t="inlineStr">
        <x:is>
          <x:t xml:space="preserve">ПЗ-00257</x:t>
        </x:is>
      </x:c>
      <x:c r="C2141" s="31" t="inlineStr">
        <x:is>
          <x:t xml:space="preserve">ЗК-1126</x:t>
        </x:is>
      </x:c>
      <x:c r="D2141" s="31" t="inlineStr">
        <x:is>
          <x:t xml:space="preserve">ПОЗ-0126-2</x:t>
        </x:is>
      </x:c>
      <x:c r="E2141" s="31" t="inlineStr">
        <x:is>
          <x:t xml:space="preserve">ИЗД-020</x:t>
        </x:is>
      </x:c>
      <x:c r="F2141" s="31" t="n">
        <x:v>40</x:v>
      </x:c>
      <x:c r="G2141" s="31" t="inlineStr">
        <x:is>
          <x:t xml:space="preserve">НК сварных швов</x:t>
        </x:is>
      </x:c>
      <x:c r="H2141" s="31" t="inlineStr">
        <x:is>
          <x:t xml:space="preserve">ОТК</x:t>
        </x:is>
      </x:c>
      <x:c r="I2141" s="31" t="inlineStr">
        <x:is>
          <x:t xml:space="preserve">ОБ-033</x:t>
        </x:is>
      </x:c>
      <x:c r="J2141" s="31" t="inlineStr">
        <x:is>
          <x:t xml:space="preserve">СОТР-100</x:t>
        </x:is>
      </x:c>
      <x:c r="K2141" s="31" t="n">
        <x:v>10.3</x:v>
      </x:c>
      <x:c r="L2141" s="31" t="n">
        <x:v>9.4</x:v>
      </x:c>
      <x:c r="M2141" s="31" t="n">
        <x:v>46162</x:v>
      </x:c>
      <x:c r="N2141" s="31" t="n">
        <x:v>46163</x:v>
      </x:c>
      <x:c r="O2141" s="31" t="n">
        <x:v>46162</x:v>
      </x:c>
      <x:c r="P2141" s="31" t="n">
        <x:v>46163</x:v>
      </x:c>
      <x:c r="Q2141" s="31" t="inlineStr">
        <x:is>
          <x:t xml:space="preserve">Завершено</x:t>
        </x:is>
      </x:c>
      <x:c r="R2141" s="31" t="inlineStr">
        <x:is>
          <x:t xml:space="preserve">Нет</x:t>
        </x:is>
      </x:c>
      <x:c r="S2141" s="31" t="inlineStr">
        <x:is>
          <x:t xml:space="preserve">Нет</x:t>
        </x:is>
      </x:c>
    </x:row>
    <x:row r="2142">
      <x:c r="A2142" s="31" t="inlineStr">
        <x:is>
          <x:t xml:space="preserve">ОП-002141</x:t>
        </x:is>
      </x:c>
      <x:c r="B2142" s="31" t="inlineStr">
        <x:is>
          <x:t xml:space="preserve">ПЗ-00257</x:t>
        </x:is>
      </x:c>
      <x:c r="C2142" s="31" t="inlineStr">
        <x:is>
          <x:t xml:space="preserve">ЗК-1126</x:t>
        </x:is>
      </x:c>
      <x:c r="D2142" s="31" t="inlineStr">
        <x:is>
          <x:t xml:space="preserve">ПОЗ-0126-2</x:t>
        </x:is>
      </x:c>
      <x:c r="E2142" s="31" t="inlineStr">
        <x:is>
          <x:t xml:space="preserve">ИЗД-020</x:t>
        </x:is>
      </x:c>
      <x:c r="F2142" s="31" t="n">
        <x:v>50</x:v>
      </x:c>
      <x:c r="G2142" s="31" t="inlineStr">
        <x:is>
          <x:t xml:space="preserve">Гидроиспытания</x:t>
        </x:is>
      </x:c>
      <x:c r="H2142" s="31" t="inlineStr">
        <x:is>
          <x:t xml:space="preserve">ОТК</x:t>
        </x:is>
      </x:c>
      <x:c r="I2142" s="31" t="inlineStr">
        <x:is>
          <x:t xml:space="preserve">ОБ-015</x:t>
        </x:is>
      </x:c>
      <x:c r="J2142" s="31" t="inlineStr">
        <x:is>
          <x:t xml:space="preserve">СОТР-099</x:t>
        </x:is>
      </x:c>
      <x:c r="K2142" s="31" t="n">
        <x:v>2.3</x:v>
      </x:c>
      <x:c r="L2142" s="31" t="n">
        <x:v>3</x:v>
      </x:c>
      <x:c r="M2142" s="31" t="n">
        <x:v>46163</x:v>
      </x:c>
      <x:c r="N2142" s="31" t="n">
        <x:v>46164</x:v>
      </x:c>
      <x:c r="O2142" s="31" t="n">
        <x:v>46163</x:v>
      </x:c>
      <x:c r="P2142" s="31" t="n">
        <x:v>46164</x:v>
      </x:c>
      <x:c r="Q2142" s="31" t="inlineStr">
        <x:is>
          <x:t xml:space="preserve">Завершено</x:t>
        </x:is>
      </x:c>
      <x:c r="R2142" s="31" t="inlineStr">
        <x:is>
          <x:t xml:space="preserve">Нет</x:t>
        </x:is>
      </x:c>
      <x:c r="S2142" s="31" t="inlineStr">
        <x:is>
          <x:t xml:space="preserve">Нет</x:t>
        </x:is>
      </x:c>
    </x:row>
    <x:row r="2143">
      <x:c r="A2143" s="31" t="inlineStr">
        <x:is>
          <x:t xml:space="preserve">ОП-002142</x:t>
        </x:is>
      </x:c>
      <x:c r="B2143" s="31" t="inlineStr">
        <x:is>
          <x:t xml:space="preserve">ПЗ-00257</x:t>
        </x:is>
      </x:c>
      <x:c r="C2143" s="31" t="inlineStr">
        <x:is>
          <x:t xml:space="preserve">ЗК-1126</x:t>
        </x:is>
      </x:c>
      <x:c r="D2143" s="31" t="inlineStr">
        <x:is>
          <x:t xml:space="preserve">ПОЗ-0126-2</x:t>
        </x:is>
      </x:c>
      <x:c r="E2143" s="31" t="inlineStr">
        <x:is>
          <x:t xml:space="preserve">ИЗД-020</x:t>
        </x:is>
      </x:c>
      <x:c r="F2143" s="31" t="n">
        <x:v>60</x:v>
      </x:c>
      <x:c r="G2143" s="31" t="inlineStr">
        <x:is>
          <x:t xml:space="preserve">Покраска</x:t>
        </x:is>
      </x:c>
      <x:c r="H2143" s="31" t="inlineStr">
        <x:is>
          <x:t xml:space="preserve">Сварка</x:t>
        </x:is>
      </x:c>
      <x:c r="I2143" s="31" t="inlineStr">
        <x:is>
          <x:t xml:space="preserve">ОБ-026</x:t>
        </x:is>
      </x:c>
      <x:c r="J2143" s="31" t="inlineStr">
        <x:is>
          <x:t xml:space="preserve">СОТР-067</x:t>
        </x:is>
      </x:c>
      <x:c r="K2143" s="31" t="n">
        <x:v>1.3</x:v>
      </x:c>
      <x:c r="L2143" s="31" t="n"/>
      <x:c r="M2143" s="31" t="n">
        <x:v>46164</x:v>
      </x:c>
      <x:c r="N2143" s="31" t="n">
        <x:v>46165</x:v>
      </x:c>
      <x:c r="O2143" s="31" t="n"/>
      <x:c r="P2143" s="31" t="n"/>
      <x:c r="Q2143" s="31" t="inlineStr">
        <x:is>
          <x:t xml:space="preserve">Запланировано</x:t>
        </x:is>
      </x:c>
      <x:c r="R2143" s="31" t="inlineStr">
        <x:is>
          <x:t xml:space="preserve">Нет</x:t>
        </x:is>
      </x:c>
      <x:c r="S2143" s="31" t="inlineStr">
        <x:is>
          <x:t xml:space="preserve">Нет</x:t>
        </x:is>
      </x:c>
    </x:row>
    <x:row r="2144">
      <x:c r="A2144" s="31" t="inlineStr">
        <x:is>
          <x:t xml:space="preserve">ОП-002143</x:t>
        </x:is>
      </x:c>
      <x:c r="B2144" s="31" t="inlineStr">
        <x:is>
          <x:t xml:space="preserve">ПЗ-00257</x:t>
        </x:is>
      </x:c>
      <x:c r="C2144" s="31" t="inlineStr">
        <x:is>
          <x:t xml:space="preserve">ЗК-1126</x:t>
        </x:is>
      </x:c>
      <x:c r="D2144" s="31" t="inlineStr">
        <x:is>
          <x:t xml:space="preserve">ПОЗ-0126-2</x:t>
        </x:is>
      </x:c>
      <x:c r="E2144" s="31" t="inlineStr">
        <x:is>
          <x:t xml:space="preserve">ИЗД-020</x:t>
        </x:is>
      </x:c>
      <x:c r="F2144" s="31" t="n">
        <x:v>70</x:v>
      </x:c>
      <x:c r="G2144" s="31" t="inlineStr">
        <x:is>
          <x:t xml:space="preserve">ОТК</x:t>
        </x:is>
      </x:c>
      <x:c r="H2144" s="31" t="inlineStr">
        <x:is>
          <x:t xml:space="preserve">ОТК</x:t>
        </x:is>
      </x:c>
      <x:c r="I2144" s="31" t="inlineStr">
        <x:is>
          <x:t xml:space="preserve">ОБ-015</x:t>
        </x:is>
      </x:c>
      <x:c r="J2144" s="31" t="inlineStr">
        <x:is>
          <x:t xml:space="preserve">СОТР-096</x:t>
        </x:is>
      </x:c>
      <x:c r="K2144" s="31" t="n">
        <x:v>5.1</x:v>
      </x:c>
      <x:c r="L2144" s="31" t="n"/>
      <x:c r="M2144" s="31" t="n">
        <x:v>46165</x:v>
      </x:c>
      <x:c r="N2144" s="31" t="n">
        <x:v>46166</x:v>
      </x:c>
      <x:c r="O2144" s="31" t="n">
        <x:v>46165</x:v>
      </x:c>
      <x:c r="P2144" s="31" t="n"/>
      <x:c r="Q2144" s="31" t="inlineStr">
        <x:is>
          <x:t xml:space="preserve">В работе</x:t>
        </x:is>
      </x:c>
      <x:c r="R2144" s="31" t="inlineStr">
        <x:is>
          <x:t xml:space="preserve">Нет</x:t>
        </x:is>
      </x:c>
      <x:c r="S2144" s="31" t="inlineStr">
        <x:is>
          <x:t xml:space="preserve">Да</x:t>
        </x:is>
      </x:c>
    </x:row>
    <x:row r="2145">
      <x:c r="A2145" s="31" t="inlineStr">
        <x:is>
          <x:t xml:space="preserve">ОП-002144</x:t>
        </x:is>
      </x:c>
      <x:c r="B2145" s="31" t="inlineStr">
        <x:is>
          <x:t xml:space="preserve">ПЗ-00258</x:t>
        </x:is>
      </x:c>
      <x:c r="C2145" s="31" t="inlineStr">
        <x:is>
          <x:t xml:space="preserve">ЗК-1126</x:t>
        </x:is>
      </x:c>
      <x:c r="D2145" s="31" t="inlineStr">
        <x:is>
          <x:t xml:space="preserve">ПОЗ-0126-3</x:t>
        </x:is>
      </x:c>
      <x:c r="E2145" s="31" t="inlineStr">
        <x:is>
          <x:t xml:space="preserve">ИЗД-029</x:t>
        </x:is>
      </x:c>
      <x:c r="F2145" s="31" t="n">
        <x:v>10</x:v>
      </x:c>
      <x:c r="G2145" s="31" t="inlineStr">
        <x:is>
          <x:t xml:space="preserve">КД</x:t>
        </x:is>
      </x:c>
      <x:c r="H2145" s="31" t="inlineStr">
        <x:is>
          <x:t xml:space="preserve">Инженерный отдел</x:t>
        </x:is>
      </x:c>
      <x:c r="I2145" s="31" t="n"/>
      <x:c r="J2145" s="31" t="inlineStr">
        <x:is>
          <x:t xml:space="preserve">СОТР-021</x:t>
        </x:is>
      </x:c>
      <x:c r="K2145" s="31" t="n">
        <x:v>24.2</x:v>
      </x:c>
      <x:c r="L2145" s="31" t="n"/>
      <x:c r="M2145" s="31" t="n">
        <x:v>46155</x:v>
      </x:c>
      <x:c r="N2145" s="31" t="n">
        <x:v>46158</x:v>
      </x:c>
      <x:c r="O2145" s="31" t="n"/>
      <x:c r="P2145" s="31" t="n"/>
      <x:c r="Q2145" s="31" t="inlineStr">
        <x:is>
          <x:t xml:space="preserve">Запланировано</x:t>
        </x:is>
      </x:c>
      <x:c r="R2145" s="31" t="inlineStr">
        <x:is>
          <x:t xml:space="preserve">Нет</x:t>
        </x:is>
      </x:c>
      <x:c r="S2145" s="31" t="inlineStr">
        <x:is>
          <x:t xml:space="preserve">Нет</x:t>
        </x:is>
      </x:c>
    </x:row>
    <x:row r="2146">
      <x:c r="A2146" s="31" t="inlineStr">
        <x:is>
          <x:t xml:space="preserve">ОП-002145</x:t>
        </x:is>
      </x:c>
      <x:c r="B2146" s="31" t="inlineStr">
        <x:is>
          <x:t xml:space="preserve">ПЗ-00258</x:t>
        </x:is>
      </x:c>
      <x:c r="C2146" s="31" t="inlineStr">
        <x:is>
          <x:t xml:space="preserve">ЗК-1126</x:t>
        </x:is>
      </x:c>
      <x:c r="D2146" s="31" t="inlineStr">
        <x:is>
          <x:t xml:space="preserve">ПОЗ-0126-3</x:t>
        </x:is>
      </x:c>
      <x:c r="E2146" s="31" t="inlineStr">
        <x:is>
          <x:t xml:space="preserve">ИЗД-029</x:t>
        </x:is>
      </x:c>
      <x:c r="F2146" s="31" t="n">
        <x:v>20</x:v>
      </x:c>
      <x:c r="G2146" s="31" t="inlineStr">
        <x:is>
          <x:t xml:space="preserve">Резерв материалов</x:t>
        </x:is>
      </x:c>
      <x:c r="H2146" s="31" t="inlineStr">
        <x:is>
          <x:t xml:space="preserve">Склад</x:t>
        </x:is>
      </x:c>
      <x:c r="I2146" s="31" t="inlineStr">
        <x:is>
          <x:t xml:space="preserve">ОБ-023</x:t>
        </x:is>
      </x:c>
      <x:c r="J2146" s="31" t="inlineStr">
        <x:is>
          <x:t xml:space="preserve">СОТР-033</x:t>
        </x:is>
      </x:c>
      <x:c r="K2146" s="31" t="n">
        <x:v>12.4</x:v>
      </x:c>
      <x:c r="L2146" s="31" t="n"/>
      <x:c r="M2146" s="31" t="n">
        <x:v>46158</x:v>
      </x:c>
      <x:c r="N2146" s="31" t="n">
        <x:v>46160</x:v>
      </x:c>
      <x:c r="O2146" s="31" t="n"/>
      <x:c r="P2146" s="31" t="n"/>
      <x:c r="Q2146" s="31" t="inlineStr">
        <x:is>
          <x:t xml:space="preserve">Блокировано</x:t>
        </x:is>
      </x:c>
      <x:c r="R2146" s="31" t="inlineStr">
        <x:is>
          <x:t xml:space="preserve">Нет</x:t>
        </x:is>
      </x:c>
      <x:c r="S2146" s="31" t="inlineStr">
        <x:is>
          <x:t xml:space="preserve">Нет</x:t>
        </x:is>
      </x:c>
    </x:row>
    <x:row r="2147">
      <x:c r="A2147" s="31" t="inlineStr">
        <x:is>
          <x:t xml:space="preserve">ОП-002146</x:t>
        </x:is>
      </x:c>
      <x:c r="B2147" s="31" t="inlineStr">
        <x:is>
          <x:t xml:space="preserve">ПЗ-00258</x:t>
        </x:is>
      </x:c>
      <x:c r="C2147" s="31" t="inlineStr">
        <x:is>
          <x:t xml:space="preserve">ЗК-1126</x:t>
        </x:is>
      </x:c>
      <x:c r="D2147" s="31" t="inlineStr">
        <x:is>
          <x:t xml:space="preserve">ПОЗ-0126-3</x:t>
        </x:is>
      </x:c>
      <x:c r="E2147" s="31" t="inlineStr">
        <x:is>
          <x:t xml:space="preserve">ИЗД-029</x:t>
        </x:is>
      </x:c>
      <x:c r="F2147" s="31" t="n">
        <x:v>30</x:v>
      </x:c>
      <x:c r="G2147" s="31" t="inlineStr">
        <x:is>
          <x:t xml:space="preserve">Резка металла</x:t>
        </x:is>
      </x:c>
      <x:c r="H2147" s="31" t="inlineStr">
        <x:is>
          <x:t xml:space="preserve">Сварка</x:t>
        </x:is>
      </x:c>
      <x:c r="I2147" s="31" t="inlineStr">
        <x:is>
          <x:t xml:space="preserve">ОБ-019</x:t>
        </x:is>
      </x:c>
      <x:c r="J2147" s="31" t="inlineStr">
        <x:is>
          <x:t xml:space="preserve">СОТР-071</x:t>
        </x:is>
      </x:c>
      <x:c r="K2147" s="31" t="n">
        <x:v>26.4</x:v>
      </x:c>
      <x:c r="L2147" s="31" t="n"/>
      <x:c r="M2147" s="31" t="n">
        <x:v>46160</x:v>
      </x:c>
      <x:c r="N2147" s="31" t="n">
        <x:v>46163</x:v>
      </x:c>
      <x:c r="O2147" s="31" t="n"/>
      <x:c r="P2147" s="31" t="n"/>
      <x:c r="Q2147" s="31" t="inlineStr">
        <x:is>
          <x:t xml:space="preserve">Запланировано</x:t>
        </x:is>
      </x:c>
      <x:c r="R2147" s="31" t="inlineStr">
        <x:is>
          <x:t xml:space="preserve">Ожидание ОТК</x:t>
        </x:is>
      </x:c>
      <x:c r="S2147" s="31" t="inlineStr">
        <x:is>
          <x:t xml:space="preserve">Нет</x:t>
        </x:is>
      </x:c>
    </x:row>
    <x:row r="2148">
      <x:c r="A2148" s="31" t="inlineStr">
        <x:is>
          <x:t xml:space="preserve">ОП-002147</x:t>
        </x:is>
      </x:c>
      <x:c r="B2148" s="31" t="inlineStr">
        <x:is>
          <x:t xml:space="preserve">ПЗ-00258</x:t>
        </x:is>
      </x:c>
      <x:c r="C2148" s="31" t="inlineStr">
        <x:is>
          <x:t xml:space="preserve">ЗК-1126</x:t>
        </x:is>
      </x:c>
      <x:c r="D2148" s="31" t="inlineStr">
        <x:is>
          <x:t xml:space="preserve">ПОЗ-0126-3</x:t>
        </x:is>
      </x:c>
      <x:c r="E2148" s="31" t="inlineStr">
        <x:is>
          <x:t xml:space="preserve">ИЗД-029</x:t>
        </x:is>
      </x:c>
      <x:c r="F2148" s="31" t="n">
        <x:v>40</x:v>
      </x:c>
      <x:c r="G2148" s="31" t="inlineStr">
        <x:is>
          <x:t xml:space="preserve">Сварка рамы</x:t>
        </x:is>
      </x:c>
      <x:c r="H2148" s="31" t="inlineStr">
        <x:is>
          <x:t xml:space="preserve">Сварка</x:t>
        </x:is>
      </x:c>
      <x:c r="I2148" s="31" t="inlineStr">
        <x:is>
          <x:t xml:space="preserve">ОБ-004</x:t>
        </x:is>
      </x:c>
      <x:c r="J2148" s="31" t="inlineStr">
        <x:is>
          <x:t xml:space="preserve">СОТР-056</x:t>
        </x:is>
      </x:c>
      <x:c r="K2148" s="31" t="n">
        <x:v>13.2</x:v>
      </x:c>
      <x:c r="L2148" s="31" t="n"/>
      <x:c r="M2148" s="31" t="n">
        <x:v>46163</x:v>
      </x:c>
      <x:c r="N2148" s="31" t="n">
        <x:v>46165</x:v>
      </x:c>
      <x:c r="O2148" s="31" t="n"/>
      <x:c r="P2148" s="31" t="n"/>
      <x:c r="Q2148" s="31" t="inlineStr">
        <x:is>
          <x:t xml:space="preserve">Запланировано</x:t>
        </x:is>
      </x:c>
      <x:c r="R2148" s="31" t="inlineStr">
        <x:is>
          <x:t xml:space="preserve">Нет</x:t>
        </x:is>
      </x:c>
      <x:c r="S2148" s="31" t="inlineStr">
        <x:is>
          <x:t xml:space="preserve">Нет</x:t>
        </x:is>
      </x:c>
    </x:row>
    <x:row r="2149">
      <x:c r="A2149" s="31" t="inlineStr">
        <x:is>
          <x:t xml:space="preserve">ОП-002148</x:t>
        </x:is>
      </x:c>
      <x:c r="B2149" s="31" t="inlineStr">
        <x:is>
          <x:t xml:space="preserve">ПЗ-00258</x:t>
        </x:is>
      </x:c>
      <x:c r="C2149" s="31" t="inlineStr">
        <x:is>
          <x:t xml:space="preserve">ЗК-1126</x:t>
        </x:is>
      </x:c>
      <x:c r="D2149" s="31" t="inlineStr">
        <x:is>
          <x:t xml:space="preserve">ПОЗ-0126-3</x:t>
        </x:is>
      </x:c>
      <x:c r="E2149" s="31" t="inlineStr">
        <x:is>
          <x:t xml:space="preserve">ИЗД-029</x:t>
        </x:is>
      </x:c>
      <x:c r="F2149" s="31" t="n">
        <x:v>50</x:v>
      </x:c>
      <x:c r="G2149" s="31" t="inlineStr">
        <x:is>
          <x:t xml:space="preserve">Механообработка</x:t>
        </x:is>
      </x:c>
      <x:c r="H2149" s="31" t="inlineStr">
        <x:is>
          <x:t xml:space="preserve">Механообработка</x:t>
        </x:is>
      </x:c>
      <x:c r="I2149" s="31" t="inlineStr">
        <x:is>
          <x:t xml:space="preserve">ОБ-030</x:t>
        </x:is>
      </x:c>
      <x:c r="J2149" s="31" t="inlineStr">
        <x:is>
          <x:t xml:space="preserve">СОТР-043</x:t>
        </x:is>
      </x:c>
      <x:c r="K2149" s="31" t="n">
        <x:v>30.8</x:v>
      </x:c>
      <x:c r="L2149" s="31" t="n"/>
      <x:c r="M2149" s="31" t="n">
        <x:v>46165</x:v>
      </x:c>
      <x:c r="N2149" s="31" t="n">
        <x:v>46168</x:v>
      </x:c>
      <x:c r="O2149" s="31" t="n"/>
      <x:c r="P2149" s="31" t="n"/>
      <x:c r="Q2149" s="31" t="inlineStr">
        <x:is>
          <x:t xml:space="preserve">Запланировано</x:t>
        </x:is>
      </x:c>
      <x:c r="R2149" s="31" t="inlineStr">
        <x:is>
          <x:t xml:space="preserve">Нет</x:t>
        </x:is>
      </x:c>
      <x:c r="S2149" s="31" t="inlineStr">
        <x:is>
          <x:t xml:space="preserve">Нет</x:t>
        </x:is>
      </x:c>
    </x:row>
    <x:row r="2150">
      <x:c r="A2150" s="31" t="inlineStr">
        <x:is>
          <x:t xml:space="preserve">ОП-002149</x:t>
        </x:is>
      </x:c>
      <x:c r="B2150" s="31" t="inlineStr">
        <x:is>
          <x:t xml:space="preserve">ПЗ-00258</x:t>
        </x:is>
      </x:c>
      <x:c r="C2150" s="31" t="inlineStr">
        <x:is>
          <x:t xml:space="preserve">ЗК-1126</x:t>
        </x:is>
      </x:c>
      <x:c r="D2150" s="31" t="inlineStr">
        <x:is>
          <x:t xml:space="preserve">ПОЗ-0126-3</x:t>
        </x:is>
      </x:c>
      <x:c r="E2150" s="31" t="inlineStr">
        <x:is>
          <x:t xml:space="preserve">ИЗД-029</x:t>
        </x:is>
      </x:c>
      <x:c r="F2150" s="31" t="n">
        <x:v>60</x:v>
      </x:c>
      <x:c r="G2150" s="31" t="inlineStr">
        <x:is>
          <x:t xml:space="preserve">Сборка</x:t>
        </x:is>
      </x:c>
      <x:c r="H2150" s="31" t="inlineStr">
        <x:is>
          <x:t xml:space="preserve">Сборка</x:t>
        </x:is>
      </x:c>
      <x:c r="I2150" s="31" t="inlineStr">
        <x:is>
          <x:t xml:space="preserve">ОБ-002</x:t>
        </x:is>
      </x:c>
      <x:c r="J2150" s="31" t="inlineStr">
        <x:is>
          <x:t xml:space="preserve">СОТР-077</x:t>
        </x:is>
      </x:c>
      <x:c r="K2150" s="31" t="n">
        <x:v>33.4</x:v>
      </x:c>
      <x:c r="L2150" s="31" t="n"/>
      <x:c r="M2150" s="31" t="n">
        <x:v>46168</x:v>
      </x:c>
      <x:c r="N2150" s="31" t="n">
        <x:v>46171</x:v>
      </x:c>
      <x:c r="O2150" s="31" t="n"/>
      <x:c r="P2150" s="31" t="n"/>
      <x:c r="Q2150" s="31" t="inlineStr">
        <x:is>
          <x:t xml:space="preserve">Запланировано</x:t>
        </x:is>
      </x:c>
      <x:c r="R2150" s="31" t="inlineStr">
        <x:is>
          <x:t xml:space="preserve">Нет</x:t>
        </x:is>
      </x:c>
      <x:c r="S2150" s="31" t="inlineStr">
        <x:is>
          <x:t xml:space="preserve">Нет</x:t>
        </x:is>
      </x:c>
    </x:row>
    <x:row r="2151">
      <x:c r="A2151" s="31" t="inlineStr">
        <x:is>
          <x:t xml:space="preserve">ОП-002150</x:t>
        </x:is>
      </x:c>
      <x:c r="B2151" s="31" t="inlineStr">
        <x:is>
          <x:t xml:space="preserve">ПЗ-00258</x:t>
        </x:is>
      </x:c>
      <x:c r="C2151" s="31" t="inlineStr">
        <x:is>
          <x:t xml:space="preserve">ЗК-1126</x:t>
        </x:is>
      </x:c>
      <x:c r="D2151" s="31" t="inlineStr">
        <x:is>
          <x:t xml:space="preserve">ПОЗ-0126-3</x:t>
        </x:is>
      </x:c>
      <x:c r="E2151" s="31" t="inlineStr">
        <x:is>
          <x:t xml:space="preserve">ИЗД-029</x:t>
        </x:is>
      </x:c>
      <x:c r="F2151" s="31" t="n">
        <x:v>70</x:v>
      </x:c>
      <x:c r="G2151" s="31" t="inlineStr">
        <x:is>
          <x:t xml:space="preserve">Обвязка труб</x:t>
        </x:is>
      </x:c>
      <x:c r="H2151" s="31" t="inlineStr">
        <x:is>
          <x:t xml:space="preserve">Сборка</x:t>
        </x:is>
      </x:c>
      <x:c r="I2151" s="31" t="inlineStr">
        <x:is>
          <x:t xml:space="preserve">ОБ-012</x:t>
        </x:is>
      </x:c>
      <x:c r="J2151" s="31" t="inlineStr">
        <x:is>
          <x:t xml:space="preserve">СОТР-077</x:t>
        </x:is>
      </x:c>
      <x:c r="K2151" s="31" t="n">
        <x:v>35.2</x:v>
      </x:c>
      <x:c r="L2151" s="31" t="n"/>
      <x:c r="M2151" s="31" t="n">
        <x:v>46171</x:v>
      </x:c>
      <x:c r="N2151" s="31" t="n">
        <x:v>46174</x:v>
      </x:c>
      <x:c r="O2151" s="31" t="n"/>
      <x:c r="P2151" s="31" t="n"/>
      <x:c r="Q2151" s="31" t="inlineStr">
        <x:is>
          <x:t xml:space="preserve">Запланировано</x:t>
        </x:is>
      </x:c>
      <x:c r="R2151" s="31" t="inlineStr">
        <x:is>
          <x:t xml:space="preserve">Нет</x:t>
        </x:is>
      </x:c>
      <x:c r="S2151" s="31" t="inlineStr">
        <x:is>
          <x:t xml:space="preserve">Нет</x:t>
        </x:is>
      </x:c>
    </x:row>
    <x:row r="2152">
      <x:c r="A2152" s="31" t="inlineStr">
        <x:is>
          <x:t xml:space="preserve">ОП-002151</x:t>
        </x:is>
      </x:c>
      <x:c r="B2152" s="31" t="inlineStr">
        <x:is>
          <x:t xml:space="preserve">ПЗ-00258</x:t>
        </x:is>
      </x:c>
      <x:c r="C2152" s="31" t="inlineStr">
        <x:is>
          <x:t xml:space="preserve">ЗК-1126</x:t>
        </x:is>
      </x:c>
      <x:c r="D2152" s="31" t="inlineStr">
        <x:is>
          <x:t xml:space="preserve">ПОЗ-0126-3</x:t>
        </x:is>
      </x:c>
      <x:c r="E2152" s="31" t="inlineStr">
        <x:is>
          <x:t xml:space="preserve">ИЗД-029</x:t>
        </x:is>
      </x:c>
      <x:c r="F2152" s="31" t="n">
        <x:v>80</x:v>
      </x:c>
      <x:c r="G2152" s="31" t="inlineStr">
        <x:is>
          <x:t xml:space="preserve">Электромонтаж</x:t>
        </x:is>
      </x:c>
      <x:c r="H2152" s="31" t="inlineStr">
        <x:is>
          <x:t xml:space="preserve">Сборка</x:t>
        </x:is>
      </x:c>
      <x:c r="I2152" s="31" t="inlineStr">
        <x:is>
          <x:t xml:space="preserve">ОБ-014</x:t>
        </x:is>
      </x:c>
      <x:c r="J2152" s="31" t="inlineStr">
        <x:is>
          <x:t xml:space="preserve">СОТР-088</x:t>
        </x:is>
      </x:c>
      <x:c r="K2152" s="31" t="n">
        <x:v>9.4</x:v>
      </x:c>
      <x:c r="L2152" s="31" t="n"/>
      <x:c r="M2152" s="31" t="n">
        <x:v>46174</x:v>
      </x:c>
      <x:c r="N2152" s="31" t="n">
        <x:v>46175</x:v>
      </x:c>
      <x:c r="O2152" s="31" t="n"/>
      <x:c r="P2152" s="31" t="n"/>
      <x:c r="Q2152" s="31" t="inlineStr">
        <x:is>
          <x:t xml:space="preserve">Запланировано</x:t>
        </x:is>
      </x:c>
      <x:c r="R2152" s="31" t="inlineStr">
        <x:is>
          <x:t xml:space="preserve">Материал</x:t>
        </x:is>
      </x:c>
      <x:c r="S2152" s="31" t="inlineStr">
        <x:is>
          <x:t xml:space="preserve">Нет</x:t>
        </x:is>
      </x:c>
    </x:row>
    <x:row r="2153">
      <x:c r="A2153" s="31" t="inlineStr">
        <x:is>
          <x:t xml:space="preserve">ОП-002152</x:t>
        </x:is>
      </x:c>
      <x:c r="B2153" s="31" t="inlineStr">
        <x:is>
          <x:t xml:space="preserve">ПЗ-00258</x:t>
        </x:is>
      </x:c>
      <x:c r="C2153" s="31" t="inlineStr">
        <x:is>
          <x:t xml:space="preserve">ЗК-1126</x:t>
        </x:is>
      </x:c>
      <x:c r="D2153" s="31" t="inlineStr">
        <x:is>
          <x:t xml:space="preserve">ПОЗ-0126-3</x:t>
        </x:is>
      </x:c>
      <x:c r="E2153" s="31" t="inlineStr">
        <x:is>
          <x:t xml:space="preserve">ИЗД-029</x:t>
        </x:is>
      </x:c>
      <x:c r="F2153" s="31" t="n">
        <x:v>90</x:v>
      </x:c>
      <x:c r="G2153" s="31" t="inlineStr">
        <x:is>
          <x:t xml:space="preserve">Приемочные испытания</x:t>
        </x:is>
      </x:c>
      <x:c r="H2153" s="31" t="inlineStr">
        <x:is>
          <x:t xml:space="preserve">ОТК</x:t>
        </x:is>
      </x:c>
      <x:c r="I2153" s="31" t="inlineStr">
        <x:is>
          <x:t xml:space="preserve">ОБ-022</x:t>
        </x:is>
      </x:c>
      <x:c r="J2153" s="31" t="inlineStr">
        <x:is>
          <x:t xml:space="preserve">СОТР-095</x:t>
        </x:is>
      </x:c>
      <x:c r="K2153" s="31" t="n">
        <x:v>33.6</x:v>
      </x:c>
      <x:c r="L2153" s="31" t="n"/>
      <x:c r="M2153" s="31" t="n">
        <x:v>46175</x:v>
      </x:c>
      <x:c r="N2153" s="31" t="n">
        <x:v>46178</x:v>
      </x:c>
      <x:c r="O2153" s="31" t="n"/>
      <x:c r="P2153" s="31" t="n"/>
      <x:c r="Q2153" s="31" t="inlineStr">
        <x:is>
          <x:t xml:space="preserve">Запланировано</x:t>
        </x:is>
      </x:c>
      <x:c r="R2153" s="31" t="inlineStr">
        <x:is>
          <x:t xml:space="preserve">Нет</x:t>
        </x:is>
      </x:c>
      <x:c r="S2153" s="31" t="inlineStr">
        <x:is>
          <x:t xml:space="preserve">Нет</x:t>
        </x:is>
      </x:c>
    </x:row>
    <x:row r="2154">
      <x:c r="A2154" s="31" t="inlineStr">
        <x:is>
          <x:t xml:space="preserve">ОП-002153</x:t>
        </x:is>
      </x:c>
      <x:c r="B2154" s="31" t="inlineStr">
        <x:is>
          <x:t xml:space="preserve">ПЗ-00258</x:t>
        </x:is>
      </x:c>
      <x:c r="C2154" s="31" t="inlineStr">
        <x:is>
          <x:t xml:space="preserve">ЗК-1126</x:t>
        </x:is>
      </x:c>
      <x:c r="D2154" s="31" t="inlineStr">
        <x:is>
          <x:t xml:space="preserve">ПОЗ-0126-3</x:t>
        </x:is>
      </x:c>
      <x:c r="E2154" s="31" t="inlineStr">
        <x:is>
          <x:t xml:space="preserve">ИЗД-029</x:t>
        </x:is>
      </x:c>
      <x:c r="F2154" s="31" t="n">
        <x:v>100</x:v>
      </x:c>
      <x:c r="G2154" s="31" t="inlineStr">
        <x:is>
          <x:t xml:space="preserve">ОТК</x:t>
        </x:is>
      </x:c>
      <x:c r="H2154" s="31" t="inlineStr">
        <x:is>
          <x:t xml:space="preserve">ОТК</x:t>
        </x:is>
      </x:c>
      <x:c r="I2154" s="31" t="inlineStr">
        <x:is>
          <x:t xml:space="preserve">ОБ-007</x:t>
        </x:is>
      </x:c>
      <x:c r="J2154" s="31" t="inlineStr">
        <x:is>
          <x:t xml:space="preserve">СОТР-100</x:t>
        </x:is>
      </x:c>
      <x:c r="K2154" s="31" t="n">
        <x:v>24.2</x:v>
      </x:c>
      <x:c r="L2154" s="31" t="n"/>
      <x:c r="M2154" s="31" t="n">
        <x:v>46178</x:v>
      </x:c>
      <x:c r="N2154" s="31" t="n">
        <x:v>46181</x:v>
      </x:c>
      <x:c r="O2154" s="31" t="n"/>
      <x:c r="P2154" s="31" t="n"/>
      <x:c r="Q2154" s="31" t="inlineStr">
        <x:is>
          <x:t xml:space="preserve">Запланировано</x:t>
        </x:is>
      </x:c>
      <x:c r="R2154" s="31" t="inlineStr">
        <x:is>
          <x:t xml:space="preserve">Нет</x:t>
        </x:is>
      </x:c>
      <x:c r="S2154" s="31" t="inlineStr">
        <x:is>
          <x:t xml:space="preserve">Да</x:t>
        </x:is>
      </x:c>
    </x:row>
    <x:row r="2155">
      <x:c r="A2155" s="31" t="inlineStr">
        <x:is>
          <x:t xml:space="preserve">ОП-002154</x:t>
        </x:is>
      </x:c>
      <x:c r="B2155" s="31" t="inlineStr">
        <x:is>
          <x:t xml:space="preserve">ПЗ-00258</x:t>
        </x:is>
      </x:c>
      <x:c r="C2155" s="31" t="inlineStr">
        <x:is>
          <x:t xml:space="preserve">ЗК-1126</x:t>
        </x:is>
      </x:c>
      <x:c r="D2155" s="31" t="inlineStr">
        <x:is>
          <x:t xml:space="preserve">ПОЗ-0126-3</x:t>
        </x:is>
      </x:c>
      <x:c r="E2155" s="31" t="inlineStr">
        <x:is>
          <x:t xml:space="preserve">ИЗД-029</x:t>
        </x:is>
      </x:c>
      <x:c r="F2155" s="31" t="n">
        <x:v>110</x:v>
      </x:c>
      <x:c r="G2155" s="31" t="inlineStr">
        <x:is>
          <x:t xml:space="preserve">Упаковка</x:t>
        </x:is>
      </x:c>
      <x:c r="H2155" s="31" t="inlineStr">
        <x:is>
          <x:t xml:space="preserve">Логистика</x:t>
        </x:is>
      </x:c>
      <x:c r="I2155" s="31" t="n"/>
      <x:c r="J2155" s="31" t="inlineStr">
        <x:is>
          <x:t xml:space="preserve">СОТР-102</x:t>
        </x:is>
      </x:c>
      <x:c r="K2155" s="31" t="n">
        <x:v>17.8</x:v>
      </x:c>
      <x:c r="L2155" s="31" t="n"/>
      <x:c r="M2155" s="31" t="n">
        <x:v>46181</x:v>
      </x:c>
      <x:c r="N2155" s="31" t="n">
        <x:v>46183</x:v>
      </x:c>
      <x:c r="O2155" s="31" t="n"/>
      <x:c r="P2155" s="31" t="n"/>
      <x:c r="Q2155" s="31" t="inlineStr">
        <x:is>
          <x:t xml:space="preserve">Запланировано</x:t>
        </x:is>
      </x:c>
      <x:c r="R2155" s="31" t="inlineStr">
        <x:is>
          <x:t xml:space="preserve">Оборудование</x:t>
        </x:is>
      </x:c>
      <x:c r="S2155" s="31" t="inlineStr">
        <x:is>
          <x:t xml:space="preserve">Нет</x:t>
        </x:is>
      </x:c>
    </x:row>
    <x:row r="2156">
      <x:c r="A2156" s="31" t="inlineStr">
        <x:is>
          <x:t xml:space="preserve">ОП-002155</x:t>
        </x:is>
      </x:c>
      <x:c r="B2156" s="31" t="inlineStr">
        <x:is>
          <x:t xml:space="preserve">ПЗ-00259</x:t>
        </x:is>
      </x:c>
      <x:c r="C2156" s="31" t="inlineStr">
        <x:is>
          <x:t xml:space="preserve">ЗК-1128</x:t>
        </x:is>
      </x:c>
      <x:c r="D2156" s="31" t="inlineStr">
        <x:is>
          <x:t xml:space="preserve">ПОЗ-0128-1</x:t>
        </x:is>
      </x:c>
      <x:c r="E2156" s="31" t="inlineStr">
        <x:is>
          <x:t xml:space="preserve">ИЗД-015</x:t>
        </x:is>
      </x:c>
      <x:c r="F2156" s="31" t="n">
        <x:v>10</x:v>
      </x:c>
      <x:c r="G2156" s="31" t="inlineStr">
        <x:is>
          <x:t xml:space="preserve">Комплектация</x:t>
        </x:is>
      </x:c>
      <x:c r="H2156" s="31" t="inlineStr">
        <x:is>
          <x:t xml:space="preserve">Склад</x:t>
        </x:is>
      </x:c>
      <x:c r="I2156" s="31" t="inlineStr">
        <x:is>
          <x:t xml:space="preserve">ОБ-023</x:t>
        </x:is>
      </x:c>
      <x:c r="J2156" s="31" t="inlineStr">
        <x:is>
          <x:t xml:space="preserve">СОТР-039</x:t>
        </x:is>
      </x:c>
      <x:c r="K2156" s="31" t="n">
        <x:v>10</x:v>
      </x:c>
      <x:c r="L2156" s="31" t="n">
        <x:v>12.6</x:v>
      </x:c>
      <x:c r="M2156" s="31" t="n">
        <x:v>46108</x:v>
      </x:c>
      <x:c r="N2156" s="31" t="n">
        <x:v>46109</x:v>
      </x:c>
      <x:c r="O2156" s="31" t="n">
        <x:v>46108</x:v>
      </x:c>
      <x:c r="P2156" s="31" t="n">
        <x:v>46110</x:v>
      </x:c>
      <x:c r="Q2156" s="31" t="inlineStr">
        <x:is>
          <x:t xml:space="preserve">Завершено</x:t>
        </x:is>
      </x:c>
      <x:c r="R2156" s="31" t="inlineStr">
        <x:is>
          <x:t xml:space="preserve">Нет</x:t>
        </x:is>
      </x:c>
      <x:c r="S2156" s="31" t="inlineStr">
        <x:is>
          <x:t xml:space="preserve">Нет</x:t>
        </x:is>
      </x:c>
    </x:row>
    <x:row r="2157">
      <x:c r="A2157" s="31" t="inlineStr">
        <x:is>
          <x:t xml:space="preserve">ОП-002156</x:t>
        </x:is>
      </x:c>
      <x:c r="B2157" s="31" t="inlineStr">
        <x:is>
          <x:t xml:space="preserve">ПЗ-00259</x:t>
        </x:is>
      </x:c>
      <x:c r="C2157" s="31" t="inlineStr">
        <x:is>
          <x:t xml:space="preserve">ЗК-1128</x:t>
        </x:is>
      </x:c>
      <x:c r="D2157" s="31" t="inlineStr">
        <x:is>
          <x:t xml:space="preserve">ПОЗ-0128-1</x:t>
        </x:is>
      </x:c>
      <x:c r="E2157" s="31" t="inlineStr">
        <x:is>
          <x:t xml:space="preserve">ИЗД-015</x:t>
        </x:is>
      </x:c>
      <x:c r="F2157" s="31" t="n">
        <x:v>20</x:v>
      </x:c>
      <x:c r="G2157" s="31" t="inlineStr">
        <x:is>
          <x:t xml:space="preserve">Проверка</x:t>
        </x:is>
      </x:c>
      <x:c r="H2157" s="31" t="inlineStr">
        <x:is>
          <x:t xml:space="preserve">ОТК</x:t>
        </x:is>
      </x:c>
      <x:c r="I2157" s="31" t="inlineStr">
        <x:is>
          <x:t xml:space="preserve">ОБ-013</x:t>
        </x:is>
      </x:c>
      <x:c r="J2157" s="31" t="inlineStr">
        <x:is>
          <x:t xml:space="preserve">СОТР-092</x:t>
        </x:is>
      </x:c>
      <x:c r="K2157" s="31" t="n">
        <x:v>24</x:v>
      </x:c>
      <x:c r="L2157" s="31" t="n">
        <x:v>31.3</x:v>
      </x:c>
      <x:c r="M2157" s="31" t="n">
        <x:v>46109</x:v>
      </x:c>
      <x:c r="N2157" s="31" t="n">
        <x:v>46111</x:v>
      </x:c>
      <x:c r="O2157" s="31" t="n">
        <x:v>46109</x:v>
      </x:c>
      <x:c r="P2157" s="31" t="n">
        <x:v>46112</x:v>
      </x:c>
      <x:c r="Q2157" s="31" t="inlineStr">
        <x:is>
          <x:t xml:space="preserve">Завершено</x:t>
        </x:is>
      </x:c>
      <x:c r="R2157" s="31" t="inlineStr">
        <x:is>
          <x:t xml:space="preserve">Нет</x:t>
        </x:is>
      </x:c>
      <x:c r="S2157" s="31" t="inlineStr">
        <x:is>
          <x:t xml:space="preserve">Нет</x:t>
        </x:is>
      </x:c>
    </x:row>
    <x:row r="2158">
      <x:c r="A2158" s="31" t="inlineStr">
        <x:is>
          <x:t xml:space="preserve">ОП-002157</x:t>
        </x:is>
      </x:c>
      <x:c r="B2158" s="31" t="inlineStr">
        <x:is>
          <x:t xml:space="preserve">ПЗ-00259</x:t>
        </x:is>
      </x:c>
      <x:c r="C2158" s="31" t="inlineStr">
        <x:is>
          <x:t xml:space="preserve">ЗК-1128</x:t>
        </x:is>
      </x:c>
      <x:c r="D2158" s="31" t="inlineStr">
        <x:is>
          <x:t xml:space="preserve">ПОЗ-0128-1</x:t>
        </x:is>
      </x:c>
      <x:c r="E2158" s="31" t="inlineStr">
        <x:is>
          <x:t xml:space="preserve">ИЗД-015</x:t>
        </x:is>
      </x:c>
      <x:c r="F2158" s="31" t="n">
        <x:v>30</x:v>
      </x:c>
      <x:c r="G2158" s="31" t="inlineStr">
        <x:is>
          <x:t xml:space="preserve">Упаковка</x:t>
        </x:is>
      </x:c>
      <x:c r="H2158" s="31" t="inlineStr">
        <x:is>
          <x:t xml:space="preserve">Логистика</x:t>
        </x:is>
      </x:c>
      <x:c r="I2158" s="31" t="n"/>
      <x:c r="J2158" s="31" t="inlineStr">
        <x:is>
          <x:t xml:space="preserve">СОТР-101</x:t>
        </x:is>
      </x:c>
      <x:c r="K2158" s="31" t="n">
        <x:v>18.4</x:v>
      </x:c>
      <x:c r="L2158" s="31" t="n">
        <x:v>18.6</x:v>
      </x:c>
      <x:c r="M2158" s="31" t="n">
        <x:v>46111</x:v>
      </x:c>
      <x:c r="N2158" s="31" t="n">
        <x:v>46113</x:v>
      </x:c>
      <x:c r="O2158" s="31" t="n">
        <x:v>46111</x:v>
      </x:c>
      <x:c r="P2158" s="31" t="n">
        <x:v>46113</x:v>
      </x:c>
      <x:c r="Q2158" s="31" t="inlineStr">
        <x:is>
          <x:t xml:space="preserve">Завершено</x:t>
        </x:is>
      </x:c>
      <x:c r="R2158" s="31" t="inlineStr">
        <x:is>
          <x:t xml:space="preserve">Нет</x:t>
        </x:is>
      </x:c>
      <x:c r="S2158" s="31" t="inlineStr">
        <x:is>
          <x:t xml:space="preserve">Нет</x:t>
        </x:is>
      </x:c>
    </x:row>
    <x:row r="2159">
      <x:c r="A2159" s="31" t="inlineStr">
        <x:is>
          <x:t xml:space="preserve">ОП-002158</x:t>
        </x:is>
      </x:c>
      <x:c r="B2159" s="31" t="inlineStr">
        <x:is>
          <x:t xml:space="preserve">ПЗ-00259</x:t>
        </x:is>
      </x:c>
      <x:c r="C2159" s="31" t="inlineStr">
        <x:is>
          <x:t xml:space="preserve">ЗК-1128</x:t>
        </x:is>
      </x:c>
      <x:c r="D2159" s="31" t="inlineStr">
        <x:is>
          <x:t xml:space="preserve">ПОЗ-0128-1</x:t>
        </x:is>
      </x:c>
      <x:c r="E2159" s="31" t="inlineStr">
        <x:is>
          <x:t xml:space="preserve">ИЗД-015</x:t>
        </x:is>
      </x:c>
      <x:c r="F2159" s="31" t="n">
        <x:v>40</x:v>
      </x:c>
      <x:c r="G2159" s="31" t="inlineStr">
        <x:is>
          <x:t xml:space="preserve">ОТК</x:t>
        </x:is>
      </x:c>
      <x:c r="H2159" s="31" t="inlineStr">
        <x:is>
          <x:t xml:space="preserve">ОТК</x:t>
        </x:is>
      </x:c>
      <x:c r="I2159" s="31" t="inlineStr">
        <x:is>
          <x:t xml:space="preserve">ОБ-006</x:t>
        </x:is>
      </x:c>
      <x:c r="J2159" s="31" t="inlineStr">
        <x:is>
          <x:t xml:space="preserve">СОТР-100</x:t>
        </x:is>
      </x:c>
      <x:c r="K2159" s="31" t="n">
        <x:v>11.2</x:v>
      </x:c>
      <x:c r="L2159" s="31" t="n">
        <x:v>13.2</x:v>
      </x:c>
      <x:c r="M2159" s="31" t="n">
        <x:v>46113</x:v>
      </x:c>
      <x:c r="N2159" s="31" t="n">
        <x:v>46114</x:v>
      </x:c>
      <x:c r="O2159" s="31" t="n">
        <x:v>46113</x:v>
      </x:c>
      <x:c r="P2159" s="31" t="n">
        <x:v>46114</x:v>
      </x:c>
      <x:c r="Q2159" s="31" t="inlineStr">
        <x:is>
          <x:t xml:space="preserve">Завершено</x:t>
        </x:is>
      </x:c>
      <x:c r="R2159" s="31" t="inlineStr">
        <x:is>
          <x:t xml:space="preserve">Нет</x:t>
        </x:is>
      </x:c>
      <x:c r="S2159" s="31" t="inlineStr">
        <x:is>
          <x:t xml:space="preserve">Нет</x:t>
        </x:is>
      </x:c>
    </x:row>
    <x:row r="2160">
      <x:c r="A2160" s="31" t="inlineStr">
        <x:is>
          <x:t xml:space="preserve">ОП-002159</x:t>
        </x:is>
      </x:c>
      <x:c r="B2160" s="31" t="inlineStr">
        <x:is>
          <x:t xml:space="preserve">ПЗ-00260</x:t>
        </x:is>
      </x:c>
      <x:c r="C2160" s="31" t="inlineStr">
        <x:is>
          <x:t xml:space="preserve">ЗК-1128</x:t>
        </x:is>
      </x:c>
      <x:c r="D2160" s="31" t="inlineStr">
        <x:is>
          <x:t xml:space="preserve">ПОЗ-0128-2</x:t>
        </x:is>
      </x:c>
      <x:c r="E2160" s="31" t="inlineStr">
        <x:is>
          <x:t xml:space="preserve">ИЗД-004</x:t>
        </x:is>
      </x:c>
      <x:c r="F2160" s="31" t="n">
        <x:v>10</x:v>
      </x:c>
      <x:c r="G2160" s="31" t="inlineStr">
        <x:is>
          <x:t xml:space="preserve">КД</x:t>
        </x:is>
      </x:c>
      <x:c r="H2160" s="31" t="inlineStr">
        <x:is>
          <x:t xml:space="preserve">Инженерный отдел</x:t>
        </x:is>
      </x:c>
      <x:c r="I2160" s="31" t="n"/>
      <x:c r="J2160" s="31" t="inlineStr">
        <x:is>
          <x:t xml:space="preserve">СОТР-014</x:t>
        </x:is>
      </x:c>
      <x:c r="K2160" s="31" t="n">
        <x:v>57.6</x:v>
      </x:c>
      <x:c r="L2160" s="31" t="n">
        <x:v>66</x:v>
      </x:c>
      <x:c r="M2160" s="31" t="n">
        <x:v>46121</x:v>
      </x:c>
      <x:c r="N2160" s="31" t="n">
        <x:v>46126</x:v>
      </x:c>
      <x:c r="O2160" s="31" t="n">
        <x:v>46121</x:v>
      </x:c>
      <x:c r="P2160" s="31" t="n">
        <x:v>46126</x:v>
      </x:c>
      <x:c r="Q2160" s="31" t="inlineStr">
        <x:is>
          <x:t xml:space="preserve">Завершено</x:t>
        </x:is>
      </x:c>
      <x:c r="R2160" s="31" t="inlineStr">
        <x:is>
          <x:t xml:space="preserve">Нет</x:t>
        </x:is>
      </x:c>
      <x:c r="S2160" s="31" t="inlineStr">
        <x:is>
          <x:t xml:space="preserve">Нет</x:t>
        </x:is>
      </x:c>
    </x:row>
    <x:row r="2161">
      <x:c r="A2161" s="31" t="inlineStr">
        <x:is>
          <x:t xml:space="preserve">ОП-002160</x:t>
        </x:is>
      </x:c>
      <x:c r="B2161" s="31" t="inlineStr">
        <x:is>
          <x:t xml:space="preserve">ПЗ-00260</x:t>
        </x:is>
      </x:c>
      <x:c r="C2161" s="31" t="inlineStr">
        <x:is>
          <x:t xml:space="preserve">ЗК-1128</x:t>
        </x:is>
      </x:c>
      <x:c r="D2161" s="31" t="inlineStr">
        <x:is>
          <x:t xml:space="preserve">ПОЗ-0128-2</x:t>
        </x:is>
      </x:c>
      <x:c r="E2161" s="31" t="inlineStr">
        <x:is>
          <x:t xml:space="preserve">ИЗД-004</x:t>
        </x:is>
      </x:c>
      <x:c r="F2161" s="31" t="n">
        <x:v>20</x:v>
      </x:c>
      <x:c r="G2161" s="31" t="inlineStr">
        <x:is>
          <x:t xml:space="preserve">Резерв материалов</x:t>
        </x:is>
      </x:c>
      <x:c r="H2161" s="31" t="inlineStr">
        <x:is>
          <x:t xml:space="preserve">Склад</x:t>
        </x:is>
      </x:c>
      <x:c r="I2161" s="31" t="inlineStr">
        <x:is>
          <x:t xml:space="preserve">ОБ-011</x:t>
        </x:is>
      </x:c>
      <x:c r="J2161" s="31" t="inlineStr">
        <x:is>
          <x:t xml:space="preserve">СОТР-039</x:t>
        </x:is>
      </x:c>
      <x:c r="K2161" s="31" t="n">
        <x:v>21.3</x:v>
      </x:c>
      <x:c r="L2161" s="31" t="n">
        <x:v>19</x:v>
      </x:c>
      <x:c r="M2161" s="31" t="n">
        <x:v>46126</x:v>
      </x:c>
      <x:c r="N2161" s="31" t="n">
        <x:v>46128</x:v>
      </x:c>
      <x:c r="O2161" s="31" t="n">
        <x:v>46126</x:v>
      </x:c>
      <x:c r="P2161" s="31" t="n">
        <x:v>46130</x:v>
      </x:c>
      <x:c r="Q2161" s="31" t="inlineStr">
        <x:is>
          <x:t xml:space="preserve">Завершено</x:t>
        </x:is>
      </x:c>
      <x:c r="R2161" s="31" t="inlineStr">
        <x:is>
          <x:t xml:space="preserve">Ожидание ОТК</x:t>
        </x:is>
      </x:c>
      <x:c r="S2161" s="31" t="inlineStr">
        <x:is>
          <x:t xml:space="preserve">Нет</x:t>
        </x:is>
      </x:c>
    </x:row>
    <x:row r="2162">
      <x:c r="A2162" s="31" t="inlineStr">
        <x:is>
          <x:t xml:space="preserve">ОП-002161</x:t>
        </x:is>
      </x:c>
      <x:c r="B2162" s="31" t="inlineStr">
        <x:is>
          <x:t xml:space="preserve">ПЗ-00260</x:t>
        </x:is>
      </x:c>
      <x:c r="C2162" s="31" t="inlineStr">
        <x:is>
          <x:t xml:space="preserve">ЗК-1128</x:t>
        </x:is>
      </x:c>
      <x:c r="D2162" s="31" t="inlineStr">
        <x:is>
          <x:t xml:space="preserve">ПОЗ-0128-2</x:t>
        </x:is>
      </x:c>
      <x:c r="E2162" s="31" t="inlineStr">
        <x:is>
          <x:t xml:space="preserve">ИЗД-004</x:t>
        </x:is>
      </x:c>
      <x:c r="F2162" s="31" t="n">
        <x:v>30</x:v>
      </x:c>
      <x:c r="G2162" s="31" t="inlineStr">
        <x:is>
          <x:t xml:space="preserve">Сварка рамы</x:t>
        </x:is>
      </x:c>
      <x:c r="H2162" s="31" t="inlineStr">
        <x:is>
          <x:t xml:space="preserve">Сварка</x:t>
        </x:is>
      </x:c>
      <x:c r="I2162" s="31" t="inlineStr">
        <x:is>
          <x:t xml:space="preserve">ОБ-021</x:t>
        </x:is>
      </x:c>
      <x:c r="J2162" s="31" t="inlineStr">
        <x:is>
          <x:t xml:space="preserve">СОТР-064</x:t>
        </x:is>
      </x:c>
      <x:c r="K2162" s="31" t="n">
        <x:v>38.1</x:v>
      </x:c>
      <x:c r="L2162" s="31" t="n">
        <x:v>37.6</x:v>
      </x:c>
      <x:c r="M2162" s="31" t="n">
        <x:v>46128</x:v>
      </x:c>
      <x:c r="N2162" s="31" t="n">
        <x:v>46132</x:v>
      </x:c>
      <x:c r="O2162" s="31" t="n">
        <x:v>46128</x:v>
      </x:c>
      <x:c r="P2162" s="31" t="n">
        <x:v>46131</x:v>
      </x:c>
      <x:c r="Q2162" s="31" t="inlineStr">
        <x:is>
          <x:t xml:space="preserve">Завершено</x:t>
        </x:is>
      </x:c>
      <x:c r="R2162" s="31" t="inlineStr">
        <x:is>
          <x:t xml:space="preserve">Нет</x:t>
        </x:is>
      </x:c>
      <x:c r="S2162" s="31" t="inlineStr">
        <x:is>
          <x:t xml:space="preserve">Нет</x:t>
        </x:is>
      </x:c>
    </x:row>
    <x:row r="2163">
      <x:c r="A2163" s="31" t="inlineStr">
        <x:is>
          <x:t xml:space="preserve">ОП-002162</x:t>
        </x:is>
      </x:c>
      <x:c r="B2163" s="31" t="inlineStr">
        <x:is>
          <x:t xml:space="preserve">ПЗ-00260</x:t>
        </x:is>
      </x:c>
      <x:c r="C2163" s="31" t="inlineStr">
        <x:is>
          <x:t xml:space="preserve">ЗК-1128</x:t>
        </x:is>
      </x:c>
      <x:c r="D2163" s="31" t="inlineStr">
        <x:is>
          <x:t xml:space="preserve">ПОЗ-0128-2</x:t>
        </x:is>
      </x:c>
      <x:c r="E2163" s="31" t="inlineStr">
        <x:is>
          <x:t xml:space="preserve">ИЗД-004</x:t>
        </x:is>
      </x:c>
      <x:c r="F2163" s="31" t="n">
        <x:v>40</x:v>
      </x:c>
      <x:c r="G2163" s="31" t="inlineStr">
        <x:is>
          <x:t xml:space="preserve">Сборка</x:t>
        </x:is>
      </x:c>
      <x:c r="H2163" s="31" t="inlineStr">
        <x:is>
          <x:t xml:space="preserve">Сборка</x:t>
        </x:is>
      </x:c>
      <x:c r="I2163" s="31" t="inlineStr">
        <x:is>
          <x:t xml:space="preserve">ОБ-034</x:t>
        </x:is>
      </x:c>
      <x:c r="J2163" s="31" t="inlineStr">
        <x:is>
          <x:t xml:space="preserve">СОТР-083</x:t>
        </x:is>
      </x:c>
      <x:c r="K2163" s="31" t="n">
        <x:v>16.2</x:v>
      </x:c>
      <x:c r="L2163" s="31" t="n">
        <x:v>20.9</x:v>
      </x:c>
      <x:c r="M2163" s="31" t="n">
        <x:v>46132</x:v>
      </x:c>
      <x:c r="N2163" s="31" t="n">
        <x:v>46134</x:v>
      </x:c>
      <x:c r="O2163" s="31" t="n">
        <x:v>46132</x:v>
      </x:c>
      <x:c r="P2163" s="31" t="n">
        <x:v>46134</x:v>
      </x:c>
      <x:c r="Q2163" s="31" t="inlineStr">
        <x:is>
          <x:t xml:space="preserve">Завершено</x:t>
        </x:is>
      </x:c>
      <x:c r="R2163" s="31" t="inlineStr">
        <x:is>
          <x:t xml:space="preserve">Материал</x:t>
        </x:is>
      </x:c>
      <x:c r="S2163" s="31" t="inlineStr">
        <x:is>
          <x:t xml:space="preserve">Нет</x:t>
        </x:is>
      </x:c>
    </x:row>
    <x:row r="2164">
      <x:c r="A2164" s="31" t="inlineStr">
        <x:is>
          <x:t xml:space="preserve">ОП-002163</x:t>
        </x:is>
      </x:c>
      <x:c r="B2164" s="31" t="inlineStr">
        <x:is>
          <x:t xml:space="preserve">ПЗ-00260</x:t>
        </x:is>
      </x:c>
      <x:c r="C2164" s="31" t="inlineStr">
        <x:is>
          <x:t xml:space="preserve">ЗК-1128</x:t>
        </x:is>
      </x:c>
      <x:c r="D2164" s="31" t="inlineStr">
        <x:is>
          <x:t xml:space="preserve">ПОЗ-0128-2</x:t>
        </x:is>
      </x:c>
      <x:c r="E2164" s="31" t="inlineStr">
        <x:is>
          <x:t xml:space="preserve">ИЗД-004</x:t>
        </x:is>
      </x:c>
      <x:c r="F2164" s="31" t="n">
        <x:v>50</x:v>
      </x:c>
      <x:c r="G2164" s="31" t="inlineStr">
        <x:is>
          <x:t xml:space="preserve">Обвязка труб</x:t>
        </x:is>
      </x:c>
      <x:c r="H2164" s="31" t="inlineStr">
        <x:is>
          <x:t xml:space="preserve">Сборка</x:t>
        </x:is>
      </x:c>
      <x:c r="I2164" s="31" t="inlineStr">
        <x:is>
          <x:t xml:space="preserve">ОБ-027</x:t>
        </x:is>
      </x:c>
      <x:c r="J2164" s="31" t="inlineStr">
        <x:is>
          <x:t xml:space="preserve">СОТР-078</x:t>
        </x:is>
      </x:c>
      <x:c r="K2164" s="31" t="n">
        <x:v>55.5</x:v>
      </x:c>
      <x:c r="L2164" s="31" t="n">
        <x:v>67.7</x:v>
      </x:c>
      <x:c r="M2164" s="31" t="n">
        <x:v>46134</x:v>
      </x:c>
      <x:c r="N2164" s="31" t="n">
        <x:v>46139</x:v>
      </x:c>
      <x:c r="O2164" s="31" t="n">
        <x:v>46134</x:v>
      </x:c>
      <x:c r="P2164" s="31" t="n">
        <x:v>46138</x:v>
      </x:c>
      <x:c r="Q2164" s="31" t="inlineStr">
        <x:is>
          <x:t xml:space="preserve">Завершено</x:t>
        </x:is>
      </x:c>
      <x:c r="R2164" s="31" t="inlineStr">
        <x:is>
          <x:t xml:space="preserve">Нет</x:t>
        </x:is>
      </x:c>
      <x:c r="S2164" s="31" t="inlineStr">
        <x:is>
          <x:t xml:space="preserve">Да</x:t>
        </x:is>
      </x:c>
    </x:row>
    <x:row r="2165">
      <x:c r="A2165" s="31" t="inlineStr">
        <x:is>
          <x:t xml:space="preserve">ОП-002164</x:t>
        </x:is>
      </x:c>
      <x:c r="B2165" s="31" t="inlineStr">
        <x:is>
          <x:t xml:space="preserve">ПЗ-00260</x:t>
        </x:is>
      </x:c>
      <x:c r="C2165" s="31" t="inlineStr">
        <x:is>
          <x:t xml:space="preserve">ЗК-1128</x:t>
        </x:is>
      </x:c>
      <x:c r="D2165" s="31" t="inlineStr">
        <x:is>
          <x:t xml:space="preserve">ПОЗ-0128-2</x:t>
        </x:is>
      </x:c>
      <x:c r="E2165" s="31" t="inlineStr">
        <x:is>
          <x:t xml:space="preserve">ИЗД-004</x:t>
        </x:is>
      </x:c>
      <x:c r="F2165" s="31" t="n">
        <x:v>60</x:v>
      </x:c>
      <x:c r="G2165" s="31" t="inlineStr">
        <x:is>
          <x:t xml:space="preserve">Электромонтаж</x:t>
        </x:is>
      </x:c>
      <x:c r="H2165" s="31" t="inlineStr">
        <x:is>
          <x:t xml:space="preserve">Сборка</x:t>
        </x:is>
      </x:c>
      <x:c r="I2165" s="31" t="inlineStr">
        <x:is>
          <x:t xml:space="preserve">ОБ-016</x:t>
        </x:is>
      </x:c>
      <x:c r="J2165" s="31" t="inlineStr">
        <x:is>
          <x:t xml:space="preserve">СОТР-032</x:t>
        </x:is>
      </x:c>
      <x:c r="K2165" s="31" t="n">
        <x:v>6.6</x:v>
      </x:c>
      <x:c r="L2165" s="31" t="n">
        <x:v>5.7</x:v>
      </x:c>
      <x:c r="M2165" s="31" t="n">
        <x:v>46139</x:v>
      </x:c>
      <x:c r="N2165" s="31" t="n">
        <x:v>46140</x:v>
      </x:c>
      <x:c r="O2165" s="31" t="n">
        <x:v>46139</x:v>
      </x:c>
      <x:c r="P2165" s="31" t="n">
        <x:v>46141</x:v>
      </x:c>
      <x:c r="Q2165" s="31" t="inlineStr">
        <x:is>
          <x:t xml:space="preserve">Завершено</x:t>
        </x:is>
      </x:c>
      <x:c r="R2165" s="31" t="inlineStr">
        <x:is>
          <x:t xml:space="preserve">Нет</x:t>
        </x:is>
      </x:c>
      <x:c r="S2165" s="31" t="inlineStr">
        <x:is>
          <x:t xml:space="preserve">Да</x:t>
        </x:is>
      </x:c>
    </x:row>
    <x:row r="2166">
      <x:c r="A2166" s="31" t="inlineStr">
        <x:is>
          <x:t xml:space="preserve">ОП-002165</x:t>
        </x:is>
      </x:c>
      <x:c r="B2166" s="31" t="inlineStr">
        <x:is>
          <x:t xml:space="preserve">ПЗ-00260</x:t>
        </x:is>
      </x:c>
      <x:c r="C2166" s="31" t="inlineStr">
        <x:is>
          <x:t xml:space="preserve">ЗК-1128</x:t>
        </x:is>
      </x:c>
      <x:c r="D2166" s="31" t="inlineStr">
        <x:is>
          <x:t xml:space="preserve">ПОЗ-0128-2</x:t>
        </x:is>
      </x:c>
      <x:c r="E2166" s="31" t="inlineStr">
        <x:is>
          <x:t xml:space="preserve">ИЗД-004</x:t>
        </x:is>
      </x:c>
      <x:c r="F2166" s="31" t="n">
        <x:v>70</x:v>
      </x:c>
      <x:c r="G2166" s="31" t="inlineStr">
        <x:is>
          <x:t xml:space="preserve">Гидроиспытания</x:t>
        </x:is>
      </x:c>
      <x:c r="H2166" s="31" t="inlineStr">
        <x:is>
          <x:t xml:space="preserve">ОТК</x:t>
        </x:is>
      </x:c>
      <x:c r="I2166" s="31" t="inlineStr">
        <x:is>
          <x:t xml:space="preserve">ОБ-015</x:t>
        </x:is>
      </x:c>
      <x:c r="J2166" s="31" t="inlineStr">
        <x:is>
          <x:t xml:space="preserve">СОТР-063</x:t>
        </x:is>
      </x:c>
      <x:c r="K2166" s="31" t="n">
        <x:v>57.3</x:v>
      </x:c>
      <x:c r="L2166" s="31" t="n">
        <x:v>68.59999999999999</x:v>
      </x:c>
      <x:c r="M2166" s="31" t="n">
        <x:v>46140</x:v>
      </x:c>
      <x:c r="N2166" s="31" t="n">
        <x:v>46145</x:v>
      </x:c>
      <x:c r="O2166" s="31" t="n">
        <x:v>46140</x:v>
      </x:c>
      <x:c r="P2166" s="31" t="n">
        <x:v>46144</x:v>
      </x:c>
      <x:c r="Q2166" s="31" t="inlineStr">
        <x:is>
          <x:t xml:space="preserve">Завершено</x:t>
        </x:is>
      </x:c>
      <x:c r="R2166" s="31" t="inlineStr">
        <x:is>
          <x:t xml:space="preserve">Нет</x:t>
        </x:is>
      </x:c>
      <x:c r="S2166" s="31" t="inlineStr">
        <x:is>
          <x:t xml:space="preserve">Нет</x:t>
        </x:is>
      </x:c>
    </x:row>
    <x:row r="2167">
      <x:c r="A2167" s="31" t="inlineStr">
        <x:is>
          <x:t xml:space="preserve">ОП-002166</x:t>
        </x:is>
      </x:c>
      <x:c r="B2167" s="31" t="inlineStr">
        <x:is>
          <x:t xml:space="preserve">ПЗ-00260</x:t>
        </x:is>
      </x:c>
      <x:c r="C2167" s="31" t="inlineStr">
        <x:is>
          <x:t xml:space="preserve">ЗК-1128</x:t>
        </x:is>
      </x:c>
      <x:c r="D2167" s="31" t="inlineStr">
        <x:is>
          <x:t xml:space="preserve">ПОЗ-0128-2</x:t>
        </x:is>
      </x:c>
      <x:c r="E2167" s="31" t="inlineStr">
        <x:is>
          <x:t xml:space="preserve">ИЗД-004</x:t>
        </x:is>
      </x:c>
      <x:c r="F2167" s="31" t="n">
        <x:v>80</x:v>
      </x:c>
      <x:c r="G2167" s="31" t="inlineStr">
        <x:is>
          <x:t xml:space="preserve">ОТК</x:t>
        </x:is>
      </x:c>
      <x:c r="H2167" s="31" t="inlineStr">
        <x:is>
          <x:t xml:space="preserve">ОТК</x:t>
        </x:is>
      </x:c>
      <x:c r="I2167" s="31" t="inlineStr">
        <x:is>
          <x:t xml:space="preserve">ОБ-022</x:t>
        </x:is>
      </x:c>
      <x:c r="J2167" s="31" t="inlineStr">
        <x:is>
          <x:t xml:space="preserve">СОТР-092</x:t>
        </x:is>
      </x:c>
      <x:c r="K2167" s="31" t="n">
        <x:v>16.2</x:v>
      </x:c>
      <x:c r="L2167" s="31" t="n">
        <x:v>19.2</x:v>
      </x:c>
      <x:c r="M2167" s="31" t="n">
        <x:v>46145</x:v>
      </x:c>
      <x:c r="N2167" s="31" t="n">
        <x:v>46147</x:v>
      </x:c>
      <x:c r="O2167" s="31" t="n">
        <x:v>46145</x:v>
      </x:c>
      <x:c r="P2167" s="31" t="n">
        <x:v>46149</x:v>
      </x:c>
      <x:c r="Q2167" s="31" t="inlineStr">
        <x:is>
          <x:t xml:space="preserve">Завершено</x:t>
        </x:is>
      </x:c>
      <x:c r="R2167" s="31" t="inlineStr">
        <x:is>
          <x:t xml:space="preserve">Нет</x:t>
        </x:is>
      </x:c>
      <x:c r="S2167" s="31" t="inlineStr">
        <x:is>
          <x:t xml:space="preserve">Нет</x:t>
        </x:is>
      </x:c>
    </x:row>
    <x:row r="2168">
      <x:c r="A2168" s="31" t="inlineStr">
        <x:is>
          <x:t xml:space="preserve">ОП-002167</x:t>
        </x:is>
      </x:c>
      <x:c r="B2168" s="31" t="inlineStr">
        <x:is>
          <x:t xml:space="preserve">ПЗ-00260</x:t>
        </x:is>
      </x:c>
      <x:c r="C2168" s="31" t="inlineStr">
        <x:is>
          <x:t xml:space="preserve">ЗК-1128</x:t>
        </x:is>
      </x:c>
      <x:c r="D2168" s="31" t="inlineStr">
        <x:is>
          <x:t xml:space="preserve">ПОЗ-0128-2</x:t>
        </x:is>
      </x:c>
      <x:c r="E2168" s="31" t="inlineStr">
        <x:is>
          <x:t xml:space="preserve">ИЗД-004</x:t>
        </x:is>
      </x:c>
      <x:c r="F2168" s="31" t="n">
        <x:v>90</x:v>
      </x:c>
      <x:c r="G2168" s="31" t="inlineStr">
        <x:is>
          <x:t xml:space="preserve">Упаковка</x:t>
        </x:is>
      </x:c>
      <x:c r="H2168" s="31" t="inlineStr">
        <x:is>
          <x:t xml:space="preserve">Логистика</x:t>
        </x:is>
      </x:c>
      <x:c r="I2168" s="31" t="n"/>
      <x:c r="J2168" s="31" t="inlineStr">
        <x:is>
          <x:t xml:space="preserve">СОТР-101</x:t>
        </x:is>
      </x:c>
      <x:c r="K2168" s="31" t="n">
        <x:v>41.1</x:v>
      </x:c>
      <x:c r="L2168" s="31" t="n">
        <x:v>42</x:v>
      </x:c>
      <x:c r="M2168" s="31" t="n">
        <x:v>46147</x:v>
      </x:c>
      <x:c r="N2168" s="31" t="n">
        <x:v>46151</x:v>
      </x:c>
      <x:c r="O2168" s="31" t="n">
        <x:v>46147</x:v>
      </x:c>
      <x:c r="P2168" s="31" t="n">
        <x:v>46151</x:v>
      </x:c>
      <x:c r="Q2168" s="31" t="inlineStr">
        <x:is>
          <x:t xml:space="preserve">Завершено</x:t>
        </x:is>
      </x:c>
      <x:c r="R2168" s="31" t="inlineStr">
        <x:is>
          <x:t xml:space="preserve">Нет</x:t>
        </x:is>
      </x:c>
      <x:c r="S2168" s="31" t="inlineStr">
        <x:is>
          <x:t xml:space="preserve">Да</x:t>
        </x:is>
      </x:c>
    </x:row>
    <x:row r="2169">
      <x:c r="A2169" s="31" t="inlineStr">
        <x:is>
          <x:t xml:space="preserve">ОП-002168</x:t>
        </x:is>
      </x:c>
      <x:c r="B2169" s="31" t="inlineStr">
        <x:is>
          <x:t xml:space="preserve">ПЗ-00261</x:t>
        </x:is>
      </x:c>
      <x:c r="C2169" s="31" t="inlineStr">
        <x:is>
          <x:t xml:space="preserve">ЗК-1128</x:t>
        </x:is>
      </x:c>
      <x:c r="D2169" s="31" t="inlineStr">
        <x:is>
          <x:t xml:space="preserve">ПОЗ-0128-3</x:t>
        </x:is>
      </x:c>
      <x:c r="E2169" s="31" t="inlineStr">
        <x:is>
          <x:t xml:space="preserve">ИЗД-019</x:t>
        </x:is>
      </x:c>
      <x:c r="F2169" s="31" t="n">
        <x:v>10</x:v>
      </x:c>
      <x:c r="G2169" s="31" t="inlineStr">
        <x:is>
          <x:t xml:space="preserve">КД</x:t>
        </x:is>
      </x:c>
      <x:c r="H2169" s="31" t="inlineStr">
        <x:is>
          <x:t xml:space="preserve">Инженерный отдел</x:t>
        </x:is>
      </x:c>
      <x:c r="I2169" s="31" t="n"/>
      <x:c r="J2169" s="31" t="inlineStr">
        <x:is>
          <x:t xml:space="preserve">СОТР-011</x:t>
        </x:is>
      </x:c>
      <x:c r="K2169" s="31" t="n">
        <x:v>16.8</x:v>
      </x:c>
      <x:c r="L2169" s="31" t="n">
        <x:v>14.8</x:v>
      </x:c>
      <x:c r="M2169" s="31" t="n">
        <x:v>46110</x:v>
      </x:c>
      <x:c r="N2169" s="31" t="n">
        <x:v>46112</x:v>
      </x:c>
      <x:c r="O2169" s="31" t="n">
        <x:v>46110</x:v>
      </x:c>
      <x:c r="P2169" s="31" t="n">
        <x:v>46113</x:v>
      </x:c>
      <x:c r="Q2169" s="31" t="inlineStr">
        <x:is>
          <x:t xml:space="preserve">Завершено</x:t>
        </x:is>
      </x:c>
      <x:c r="R2169" s="31" t="inlineStr">
        <x:is>
          <x:t xml:space="preserve">Нет</x:t>
        </x:is>
      </x:c>
      <x:c r="S2169" s="31" t="inlineStr">
        <x:is>
          <x:t xml:space="preserve">Да</x:t>
        </x:is>
      </x:c>
    </x:row>
    <x:row r="2170">
      <x:c r="A2170" s="31" t="inlineStr">
        <x:is>
          <x:t xml:space="preserve">ОП-002169</x:t>
        </x:is>
      </x:c>
      <x:c r="B2170" s="31" t="inlineStr">
        <x:is>
          <x:t xml:space="preserve">ПЗ-00261</x:t>
        </x:is>
      </x:c>
      <x:c r="C2170" s="31" t="inlineStr">
        <x:is>
          <x:t xml:space="preserve">ЗК-1128</x:t>
        </x:is>
      </x:c>
      <x:c r="D2170" s="31" t="inlineStr">
        <x:is>
          <x:t xml:space="preserve">ПОЗ-0128-3</x:t>
        </x:is>
      </x:c>
      <x:c r="E2170" s="31" t="inlineStr">
        <x:is>
          <x:t xml:space="preserve">ИЗД-019</x:t>
        </x:is>
      </x:c>
      <x:c r="F2170" s="31" t="n">
        <x:v>20</x:v>
      </x:c>
      <x:c r="G2170" s="31" t="inlineStr">
        <x:is>
          <x:t xml:space="preserve">Резерв материалов</x:t>
        </x:is>
      </x:c>
      <x:c r="H2170" s="31" t="inlineStr">
        <x:is>
          <x:t xml:space="preserve">Склад</x:t>
        </x:is>
      </x:c>
      <x:c r="I2170" s="31" t="inlineStr">
        <x:is>
          <x:t xml:space="preserve">ОБ-009</x:t>
        </x:is>
      </x:c>
      <x:c r="J2170" s="31" t="inlineStr">
        <x:is>
          <x:t xml:space="preserve">СОТР-039</x:t>
        </x:is>
      </x:c>
      <x:c r="K2170" s="31" t="n">
        <x:v>10</x:v>
      </x:c>
      <x:c r="L2170" s="31" t="n"/>
      <x:c r="M2170" s="31" t="n">
        <x:v>46112</x:v>
      </x:c>
      <x:c r="N2170" s="31" t="n">
        <x:v>46113</x:v>
      </x:c>
      <x:c r="O2170" s="31" t="n">
        <x:v>46112</x:v>
      </x:c>
      <x:c r="P2170" s="31" t="n"/>
      <x:c r="Q2170" s="31" t="inlineStr">
        <x:is>
          <x:t xml:space="preserve">В работе</x:t>
        </x:is>
      </x:c>
      <x:c r="R2170" s="31" t="inlineStr">
        <x:is>
          <x:t xml:space="preserve">Нет</x:t>
        </x:is>
      </x:c>
      <x:c r="S2170" s="31" t="inlineStr">
        <x:is>
          <x:t xml:space="preserve">Нет</x:t>
        </x:is>
      </x:c>
    </x:row>
    <x:row r="2171">
      <x:c r="A2171" s="31" t="inlineStr">
        <x:is>
          <x:t xml:space="preserve">ОП-002170</x:t>
        </x:is>
      </x:c>
      <x:c r="B2171" s="31" t="inlineStr">
        <x:is>
          <x:t xml:space="preserve">ПЗ-00261</x:t>
        </x:is>
      </x:c>
      <x:c r="C2171" s="31" t="inlineStr">
        <x:is>
          <x:t xml:space="preserve">ЗК-1128</x:t>
        </x:is>
      </x:c>
      <x:c r="D2171" s="31" t="inlineStr">
        <x:is>
          <x:t xml:space="preserve">ПОЗ-0128-3</x:t>
        </x:is>
      </x:c>
      <x:c r="E2171" s="31" t="inlineStr">
        <x:is>
          <x:t xml:space="preserve">ИЗД-019</x:t>
        </x:is>
      </x:c>
      <x:c r="F2171" s="31" t="n">
        <x:v>30</x:v>
      </x:c>
      <x:c r="G2171" s="31" t="inlineStr">
        <x:is>
          <x:t xml:space="preserve">Резка металла</x:t>
        </x:is>
      </x:c>
      <x:c r="H2171" s="31" t="inlineStr">
        <x:is>
          <x:t xml:space="preserve">Сварка</x:t>
        </x:is>
      </x:c>
      <x:c r="I2171" s="31" t="inlineStr">
        <x:is>
          <x:t xml:space="preserve">ОБ-004</x:t>
        </x:is>
      </x:c>
      <x:c r="J2171" s="31" t="inlineStr">
        <x:is>
          <x:t xml:space="preserve">СОТР-072</x:t>
        </x:is>
      </x:c>
      <x:c r="K2171" s="31" t="n">
        <x:v>5.8</x:v>
      </x:c>
      <x:c r="L2171" s="31" t="n">
        <x:v>5.5</x:v>
      </x:c>
      <x:c r="M2171" s="31" t="n">
        <x:v>46113</x:v>
      </x:c>
      <x:c r="N2171" s="31" t="n">
        <x:v>46114</x:v>
      </x:c>
      <x:c r="O2171" s="31" t="n">
        <x:v>46113</x:v>
      </x:c>
      <x:c r="P2171" s="31" t="n">
        <x:v>46113</x:v>
      </x:c>
      <x:c r="Q2171" s="31" t="inlineStr">
        <x:is>
          <x:t xml:space="preserve">Завершено</x:t>
        </x:is>
      </x:c>
      <x:c r="R2171" s="31" t="inlineStr">
        <x:is>
          <x:t xml:space="preserve">Ожидание ОТК</x:t>
        </x:is>
      </x:c>
      <x:c r="S2171" s="31" t="inlineStr">
        <x:is>
          <x:t xml:space="preserve">Нет</x:t>
        </x:is>
      </x:c>
    </x:row>
    <x:row r="2172">
      <x:c r="A2172" s="31" t="inlineStr">
        <x:is>
          <x:t xml:space="preserve">ОП-002171</x:t>
        </x:is>
      </x:c>
      <x:c r="B2172" s="31" t="inlineStr">
        <x:is>
          <x:t xml:space="preserve">ПЗ-00261</x:t>
        </x:is>
      </x:c>
      <x:c r="C2172" s="31" t="inlineStr">
        <x:is>
          <x:t xml:space="preserve">ЗК-1128</x:t>
        </x:is>
      </x:c>
      <x:c r="D2172" s="31" t="inlineStr">
        <x:is>
          <x:t xml:space="preserve">ПОЗ-0128-3</x:t>
        </x:is>
      </x:c>
      <x:c r="E2172" s="31" t="inlineStr">
        <x:is>
          <x:t xml:space="preserve">ИЗД-019</x:t>
        </x:is>
      </x:c>
      <x:c r="F2172" s="31" t="n">
        <x:v>40</x:v>
      </x:c>
      <x:c r="G2172" s="31" t="inlineStr">
        <x:is>
          <x:t xml:space="preserve">Сварка рамы</x:t>
        </x:is>
      </x:c>
      <x:c r="H2172" s="31" t="inlineStr">
        <x:is>
          <x:t xml:space="preserve">Сварка</x:t>
        </x:is>
      </x:c>
      <x:c r="I2172" s="31" t="inlineStr">
        <x:is>
          <x:t xml:space="preserve">ОБ-003</x:t>
        </x:is>
      </x:c>
      <x:c r="J2172" s="31" t="inlineStr">
        <x:is>
          <x:t xml:space="preserve">СОТР-069</x:t>
        </x:is>
      </x:c>
      <x:c r="K2172" s="31" t="n">
        <x:v>6.4</x:v>
      </x:c>
      <x:c r="L2172" s="31" t="n">
        <x:v>8.199999999999999</x:v>
      </x:c>
      <x:c r="M2172" s="31" t="n">
        <x:v>46114</x:v>
      </x:c>
      <x:c r="N2172" s="31" t="n">
        <x:v>46115</x:v>
      </x:c>
      <x:c r="O2172" s="31" t="n">
        <x:v>46114</x:v>
      </x:c>
      <x:c r="P2172" s="31" t="n">
        <x:v>46114</x:v>
      </x:c>
      <x:c r="Q2172" s="31" t="inlineStr">
        <x:is>
          <x:t xml:space="preserve">Завершено</x:t>
        </x:is>
      </x:c>
      <x:c r="R2172" s="31" t="inlineStr">
        <x:is>
          <x:t xml:space="preserve">Нет</x:t>
        </x:is>
      </x:c>
      <x:c r="S2172" s="31" t="inlineStr">
        <x:is>
          <x:t xml:space="preserve">Нет</x:t>
        </x:is>
      </x:c>
    </x:row>
    <x:row r="2173">
      <x:c r="A2173" s="31" t="inlineStr">
        <x:is>
          <x:t xml:space="preserve">ОП-002172</x:t>
        </x:is>
      </x:c>
      <x:c r="B2173" s="31" t="inlineStr">
        <x:is>
          <x:t xml:space="preserve">ПЗ-00261</x:t>
        </x:is>
      </x:c>
      <x:c r="C2173" s="31" t="inlineStr">
        <x:is>
          <x:t xml:space="preserve">ЗК-1128</x:t>
        </x:is>
      </x:c>
      <x:c r="D2173" s="31" t="inlineStr">
        <x:is>
          <x:t xml:space="preserve">ПОЗ-0128-3</x:t>
        </x:is>
      </x:c>
      <x:c r="E2173" s="31" t="inlineStr">
        <x:is>
          <x:t xml:space="preserve">ИЗД-019</x:t>
        </x:is>
      </x:c>
      <x:c r="F2173" s="31" t="n">
        <x:v>50</x:v>
      </x:c>
      <x:c r="G2173" s="31" t="inlineStr">
        <x:is>
          <x:t xml:space="preserve">Механообработка</x:t>
        </x:is>
      </x:c>
      <x:c r="H2173" s="31" t="inlineStr">
        <x:is>
          <x:t xml:space="preserve">Механообработка</x:t>
        </x:is>
      </x:c>
      <x:c r="I2173" s="31" t="inlineStr">
        <x:is>
          <x:t xml:space="preserve">ОБ-031</x:t>
        </x:is>
      </x:c>
      <x:c r="J2173" s="31" t="inlineStr">
        <x:is>
          <x:t xml:space="preserve">СОТР-046</x:t>
        </x:is>
      </x:c>
      <x:c r="K2173" s="31" t="n">
        <x:v>7.4</x:v>
      </x:c>
      <x:c r="L2173" s="31" t="n"/>
      <x:c r="M2173" s="31" t="n">
        <x:v>46115</x:v>
      </x:c>
      <x:c r="N2173" s="31" t="n">
        <x:v>46116</x:v>
      </x:c>
      <x:c r="O2173" s="31" t="n"/>
      <x:c r="P2173" s="31" t="n"/>
      <x:c r="Q2173" s="31" t="inlineStr">
        <x:is>
          <x:t xml:space="preserve">Запланировано</x:t>
        </x:is>
      </x:c>
      <x:c r="R2173" s="31" t="inlineStr">
        <x:is>
          <x:t xml:space="preserve">Нет</x:t>
        </x:is>
      </x:c>
      <x:c r="S2173" s="31" t="inlineStr">
        <x:is>
          <x:t xml:space="preserve">Нет</x:t>
        </x:is>
      </x:c>
    </x:row>
    <x:row r="2174">
      <x:c r="A2174" s="31" t="inlineStr">
        <x:is>
          <x:t xml:space="preserve">ОП-002173</x:t>
        </x:is>
      </x:c>
      <x:c r="B2174" s="31" t="inlineStr">
        <x:is>
          <x:t xml:space="preserve">ПЗ-00261</x:t>
        </x:is>
      </x:c>
      <x:c r="C2174" s="31" t="inlineStr">
        <x:is>
          <x:t xml:space="preserve">ЗК-1128</x:t>
        </x:is>
      </x:c>
      <x:c r="D2174" s="31" t="inlineStr">
        <x:is>
          <x:t xml:space="preserve">ПОЗ-0128-3</x:t>
        </x:is>
      </x:c>
      <x:c r="E2174" s="31" t="inlineStr">
        <x:is>
          <x:t xml:space="preserve">ИЗД-019</x:t>
        </x:is>
      </x:c>
      <x:c r="F2174" s="31" t="n">
        <x:v>60</x:v>
      </x:c>
      <x:c r="G2174" s="31" t="inlineStr">
        <x:is>
          <x:t xml:space="preserve">Сборка</x:t>
        </x:is>
      </x:c>
      <x:c r="H2174" s="31" t="inlineStr">
        <x:is>
          <x:t xml:space="preserve">Сборка</x:t>
        </x:is>
      </x:c>
      <x:c r="I2174" s="31" t="inlineStr">
        <x:is>
          <x:t xml:space="preserve">ОБ-017</x:t>
        </x:is>
      </x:c>
      <x:c r="J2174" s="31" t="inlineStr">
        <x:is>
          <x:t xml:space="preserve">СОТР-081</x:t>
        </x:is>
      </x:c>
      <x:c r="K2174" s="31" t="n">
        <x:v>4.2</x:v>
      </x:c>
      <x:c r="L2174" s="31" t="n">
        <x:v>5.2</x:v>
      </x:c>
      <x:c r="M2174" s="31" t="n">
        <x:v>46116</x:v>
      </x:c>
      <x:c r="N2174" s="31" t="n">
        <x:v>46117</x:v>
      </x:c>
      <x:c r="O2174" s="31" t="n">
        <x:v>46116</x:v>
      </x:c>
      <x:c r="P2174" s="31" t="n">
        <x:v>46119</x:v>
      </x:c>
      <x:c r="Q2174" s="31" t="inlineStr">
        <x:is>
          <x:t xml:space="preserve">Завершено</x:t>
        </x:is>
      </x:c>
      <x:c r="R2174" s="31" t="inlineStr">
        <x:is>
          <x:t xml:space="preserve">Нет</x:t>
        </x:is>
      </x:c>
      <x:c r="S2174" s="31" t="inlineStr">
        <x:is>
          <x:t xml:space="preserve">Нет</x:t>
        </x:is>
      </x:c>
    </x:row>
    <x:row r="2175">
      <x:c r="A2175" s="31" t="inlineStr">
        <x:is>
          <x:t xml:space="preserve">ОП-002174</x:t>
        </x:is>
      </x:c>
      <x:c r="B2175" s="31" t="inlineStr">
        <x:is>
          <x:t xml:space="preserve">ПЗ-00261</x:t>
        </x:is>
      </x:c>
      <x:c r="C2175" s="31" t="inlineStr">
        <x:is>
          <x:t xml:space="preserve">ЗК-1128</x:t>
        </x:is>
      </x:c>
      <x:c r="D2175" s="31" t="inlineStr">
        <x:is>
          <x:t xml:space="preserve">ПОЗ-0128-3</x:t>
        </x:is>
      </x:c>
      <x:c r="E2175" s="31" t="inlineStr">
        <x:is>
          <x:t xml:space="preserve">ИЗД-019</x:t>
        </x:is>
      </x:c>
      <x:c r="F2175" s="31" t="n">
        <x:v>70</x:v>
      </x:c>
      <x:c r="G2175" s="31" t="inlineStr">
        <x:is>
          <x:t xml:space="preserve">Электромонтаж</x:t>
        </x:is>
      </x:c>
      <x:c r="H2175" s="31" t="inlineStr">
        <x:is>
          <x:t xml:space="preserve">Сборка</x:t>
        </x:is>
      </x:c>
      <x:c r="I2175" s="31" t="inlineStr">
        <x:is>
          <x:t xml:space="preserve">ОБ-027</x:t>
        </x:is>
      </x:c>
      <x:c r="J2175" s="31" t="inlineStr">
        <x:is>
          <x:t xml:space="preserve">СОТР-084</x:t>
        </x:is>
      </x:c>
      <x:c r="K2175" s="31" t="n">
        <x:v>8.800000000000001</x:v>
      </x:c>
      <x:c r="L2175" s="31" t="n"/>
      <x:c r="M2175" s="31" t="n">
        <x:v>46117</x:v>
      </x:c>
      <x:c r="N2175" s="31" t="n">
        <x:v>46118</x:v>
      </x:c>
      <x:c r="O2175" s="31" t="n"/>
      <x:c r="P2175" s="31" t="n"/>
      <x:c r="Q2175" s="31" t="inlineStr">
        <x:is>
          <x:t xml:space="preserve">Запланировано</x:t>
        </x:is>
      </x:c>
      <x:c r="R2175" s="31" t="inlineStr">
        <x:is>
          <x:t xml:space="preserve">Нет</x:t>
        </x:is>
      </x:c>
      <x:c r="S2175" s="31" t="inlineStr">
        <x:is>
          <x:t xml:space="preserve">Нет</x:t>
        </x:is>
      </x:c>
    </x:row>
    <x:row r="2176">
      <x:c r="A2176" s="31" t="inlineStr">
        <x:is>
          <x:t xml:space="preserve">ОП-002175</x:t>
        </x:is>
      </x:c>
      <x:c r="B2176" s="31" t="inlineStr">
        <x:is>
          <x:t xml:space="preserve">ПЗ-00261</x:t>
        </x:is>
      </x:c>
      <x:c r="C2176" s="31" t="inlineStr">
        <x:is>
          <x:t xml:space="preserve">ЗК-1128</x:t>
        </x:is>
      </x:c>
      <x:c r="D2176" s="31" t="inlineStr">
        <x:is>
          <x:t xml:space="preserve">ПОЗ-0128-3</x:t>
        </x:is>
      </x:c>
      <x:c r="E2176" s="31" t="inlineStr">
        <x:is>
          <x:t xml:space="preserve">ИЗД-019</x:t>
        </x:is>
      </x:c>
      <x:c r="F2176" s="31" t="n">
        <x:v>80</x:v>
      </x:c>
      <x:c r="G2176" s="31" t="inlineStr">
        <x:is>
          <x:t xml:space="preserve">Гидроиспытания</x:t>
        </x:is>
      </x:c>
      <x:c r="H2176" s="31" t="inlineStr">
        <x:is>
          <x:t xml:space="preserve">ОТК</x:t>
        </x:is>
      </x:c>
      <x:c r="I2176" s="31" t="inlineStr">
        <x:is>
          <x:t xml:space="preserve">ОБ-028</x:t>
        </x:is>
      </x:c>
      <x:c r="J2176" s="31" t="inlineStr">
        <x:is>
          <x:t xml:space="preserve">СОТР-099</x:t>
        </x:is>
      </x:c>
      <x:c r="K2176" s="31" t="n">
        <x:v>8.800000000000001</x:v>
      </x:c>
      <x:c r="L2176" s="31" t="n"/>
      <x:c r="M2176" s="31" t="n">
        <x:v>46118</x:v>
      </x:c>
      <x:c r="N2176" s="31" t="n">
        <x:v>46119</x:v>
      </x:c>
      <x:c r="O2176" s="31" t="n">
        <x:v>46118</x:v>
      </x:c>
      <x:c r="P2176" s="31" t="n"/>
      <x:c r="Q2176" s="31" t="inlineStr">
        <x:is>
          <x:t xml:space="preserve">В работе</x:t>
        </x:is>
      </x:c>
      <x:c r="R2176" s="31" t="inlineStr">
        <x:is>
          <x:t xml:space="preserve">Нет</x:t>
        </x:is>
      </x:c>
      <x:c r="S2176" s="31" t="inlineStr">
        <x:is>
          <x:t xml:space="preserve">Нет</x:t>
        </x:is>
      </x:c>
    </x:row>
    <x:row r="2177">
      <x:c r="A2177" s="31" t="inlineStr">
        <x:is>
          <x:t xml:space="preserve">ОП-002176</x:t>
        </x:is>
      </x:c>
      <x:c r="B2177" s="31" t="inlineStr">
        <x:is>
          <x:t xml:space="preserve">ПЗ-00261</x:t>
        </x:is>
      </x:c>
      <x:c r="C2177" s="31" t="inlineStr">
        <x:is>
          <x:t xml:space="preserve">ЗК-1128</x:t>
        </x:is>
      </x:c>
      <x:c r="D2177" s="31" t="inlineStr">
        <x:is>
          <x:t xml:space="preserve">ПОЗ-0128-3</x:t>
        </x:is>
      </x:c>
      <x:c r="E2177" s="31" t="inlineStr">
        <x:is>
          <x:t xml:space="preserve">ИЗД-019</x:t>
        </x:is>
      </x:c>
      <x:c r="F2177" s="31" t="n">
        <x:v>90</x:v>
      </x:c>
      <x:c r="G2177" s="31" t="inlineStr">
        <x:is>
          <x:t xml:space="preserve">ОТК</x:t>
        </x:is>
      </x:c>
      <x:c r="H2177" s="31" t="inlineStr">
        <x:is>
          <x:t xml:space="preserve">ОТК</x:t>
        </x:is>
      </x:c>
      <x:c r="I2177" s="31" t="inlineStr">
        <x:is>
          <x:t xml:space="preserve">ОБ-024</x:t>
        </x:is>
      </x:c>
      <x:c r="J2177" s="31" t="inlineStr">
        <x:is>
          <x:t xml:space="preserve">СОТР-095</x:t>
        </x:is>
      </x:c>
      <x:c r="K2177" s="31" t="n">
        <x:v>6.6</x:v>
      </x:c>
      <x:c r="L2177" s="31" t="n"/>
      <x:c r="M2177" s="31" t="n">
        <x:v>46119</x:v>
      </x:c>
      <x:c r="N2177" s="31" t="n">
        <x:v>46120</x:v>
      </x:c>
      <x:c r="O2177" s="31" t="n"/>
      <x:c r="P2177" s="31" t="n"/>
      <x:c r="Q2177" s="31" t="inlineStr">
        <x:is>
          <x:t xml:space="preserve">Запланировано</x:t>
        </x:is>
      </x:c>
      <x:c r="R2177" s="31" t="inlineStr">
        <x:is>
          <x:t xml:space="preserve">Материал</x:t>
        </x:is>
      </x:c>
      <x:c r="S2177" s="31" t="inlineStr">
        <x:is>
          <x:t xml:space="preserve">Нет</x:t>
        </x:is>
      </x:c>
    </x:row>
    <x:row r="2178">
      <x:c r="A2178" s="31" t="inlineStr">
        <x:is>
          <x:t xml:space="preserve">ОП-002177</x:t>
        </x:is>
      </x:c>
      <x:c r="B2178" s="31" t="inlineStr">
        <x:is>
          <x:t xml:space="preserve">ПЗ-00261</x:t>
        </x:is>
      </x:c>
      <x:c r="C2178" s="31" t="inlineStr">
        <x:is>
          <x:t xml:space="preserve">ЗК-1128</x:t>
        </x:is>
      </x:c>
      <x:c r="D2178" s="31" t="inlineStr">
        <x:is>
          <x:t xml:space="preserve">ПОЗ-0128-3</x:t>
        </x:is>
      </x:c>
      <x:c r="E2178" s="31" t="inlineStr">
        <x:is>
          <x:t xml:space="preserve">ИЗД-019</x:t>
        </x:is>
      </x:c>
      <x:c r="F2178" s="31" t="n">
        <x:v>100</x:v>
      </x:c>
      <x:c r="G2178" s="31" t="inlineStr">
        <x:is>
          <x:t xml:space="preserve">Упаковка</x:t>
        </x:is>
      </x:c>
      <x:c r="H2178" s="31" t="inlineStr">
        <x:is>
          <x:t xml:space="preserve">Логистика</x:t>
        </x:is>
      </x:c>
      <x:c r="I2178" s="31" t="n"/>
      <x:c r="J2178" s="31" t="inlineStr">
        <x:is>
          <x:t xml:space="preserve">СОТР-101</x:t>
        </x:is>
      </x:c>
      <x:c r="K2178" s="31" t="n">
        <x:v>9.4</x:v>
      </x:c>
      <x:c r="L2178" s="31" t="n"/>
      <x:c r="M2178" s="31" t="n">
        <x:v>46120</x:v>
      </x:c>
      <x:c r="N2178" s="31" t="n">
        <x:v>46121</x:v>
      </x:c>
      <x:c r="O2178" s="31" t="n"/>
      <x:c r="P2178" s="31" t="n"/>
      <x:c r="Q2178" s="31" t="inlineStr">
        <x:is>
          <x:t xml:space="preserve">Запланировано</x:t>
        </x:is>
      </x:c>
      <x:c r="R2178" s="31" t="inlineStr">
        <x:is>
          <x:t xml:space="preserve">Нет</x:t>
        </x:is>
      </x:c>
      <x:c r="S2178" s="31" t="inlineStr">
        <x:is>
          <x:t xml:space="preserve">Нет</x:t>
        </x:is>
      </x:c>
    </x:row>
    <x:row r="2179">
      <x:c r="A2179" s="31" t="inlineStr">
        <x:is>
          <x:t xml:space="preserve">ОП-002178</x:t>
        </x:is>
      </x:c>
      <x:c r="B2179" s="31" t="inlineStr">
        <x:is>
          <x:t xml:space="preserve">ПЗ-00262</x:t>
        </x:is>
      </x:c>
      <x:c r="C2179" s="31" t="inlineStr">
        <x:is>
          <x:t xml:space="preserve">ЗК-1128</x:t>
        </x:is>
      </x:c>
      <x:c r="D2179" s="31" t="inlineStr">
        <x:is>
          <x:t xml:space="preserve">ПОЗ-0128-4</x:t>
        </x:is>
      </x:c>
      <x:c r="E2179" s="31" t="inlineStr">
        <x:is>
          <x:t xml:space="preserve">ИЗД-024</x:t>
        </x:is>
      </x:c>
      <x:c r="F2179" s="31" t="n">
        <x:v>10</x:v>
      </x:c>
      <x:c r="G2179" s="31" t="inlineStr">
        <x:is>
          <x:t xml:space="preserve">КД</x:t>
        </x:is>
      </x:c>
      <x:c r="H2179" s="31" t="inlineStr">
        <x:is>
          <x:t xml:space="preserve">Инженерный отдел</x:t>
        </x:is>
      </x:c>
      <x:c r="I2179" s="31" t="n"/>
      <x:c r="J2179" s="31" t="inlineStr">
        <x:is>
          <x:t xml:space="preserve">СОТР-011</x:t>
        </x:is>
      </x:c>
      <x:c r="K2179" s="31" t="n">
        <x:v>21</x:v>
      </x:c>
      <x:c r="L2179" s="31" t="n">
        <x:v>20.3</x:v>
      </x:c>
      <x:c r="M2179" s="31" t="n">
        <x:v>46115</x:v>
      </x:c>
      <x:c r="N2179" s="31" t="n">
        <x:v>46117</x:v>
      </x:c>
      <x:c r="O2179" s="31" t="n">
        <x:v>46115</x:v>
      </x:c>
      <x:c r="P2179" s="31" t="n">
        <x:v>46119</x:v>
      </x:c>
      <x:c r="Q2179" s="31" t="inlineStr">
        <x:is>
          <x:t xml:space="preserve">Завершено</x:t>
        </x:is>
      </x:c>
      <x:c r="R2179" s="31" t="inlineStr">
        <x:is>
          <x:t xml:space="preserve">Нет</x:t>
        </x:is>
      </x:c>
      <x:c r="S2179" s="31" t="inlineStr">
        <x:is>
          <x:t xml:space="preserve">Нет</x:t>
        </x:is>
      </x:c>
    </x:row>
    <x:row r="2180">
      <x:c r="A2180" s="31" t="inlineStr">
        <x:is>
          <x:t xml:space="preserve">ОП-002179</x:t>
        </x:is>
      </x:c>
      <x:c r="B2180" s="31" t="inlineStr">
        <x:is>
          <x:t xml:space="preserve">ПЗ-00262</x:t>
        </x:is>
      </x:c>
      <x:c r="C2180" s="31" t="inlineStr">
        <x:is>
          <x:t xml:space="preserve">ЗК-1128</x:t>
        </x:is>
      </x:c>
      <x:c r="D2180" s="31" t="inlineStr">
        <x:is>
          <x:t xml:space="preserve">ПОЗ-0128-4</x:t>
        </x:is>
      </x:c>
      <x:c r="E2180" s="31" t="inlineStr">
        <x:is>
          <x:t xml:space="preserve">ИЗД-024</x:t>
        </x:is>
      </x:c>
      <x:c r="F2180" s="31" t="n">
        <x:v>20</x:v>
      </x:c>
      <x:c r="G2180" s="31" t="inlineStr">
        <x:is>
          <x:t xml:space="preserve">Резерв материалов</x:t>
        </x:is>
      </x:c>
      <x:c r="H2180" s="31" t="inlineStr">
        <x:is>
          <x:t xml:space="preserve">Склад</x:t>
        </x:is>
      </x:c>
      <x:c r="I2180" s="31" t="inlineStr">
        <x:is>
          <x:t xml:space="preserve">ОБ-008</x:t>
        </x:is>
      </x:c>
      <x:c r="J2180" s="31" t="inlineStr">
        <x:is>
          <x:t xml:space="preserve">СОТР-036</x:t>
        </x:is>
      </x:c>
      <x:c r="K2180" s="31" t="n">
        <x:v>3.4</x:v>
      </x:c>
      <x:c r="L2180" s="31" t="n">
        <x:v>3</x:v>
      </x:c>
      <x:c r="M2180" s="31" t="n">
        <x:v>46117</x:v>
      </x:c>
      <x:c r="N2180" s="31" t="n">
        <x:v>46118</x:v>
      </x:c>
      <x:c r="O2180" s="31" t="n">
        <x:v>46117</x:v>
      </x:c>
      <x:c r="P2180" s="31" t="n">
        <x:v>46119</x:v>
      </x:c>
      <x:c r="Q2180" s="31" t="inlineStr">
        <x:is>
          <x:t xml:space="preserve">Завершено</x:t>
        </x:is>
      </x:c>
      <x:c r="R2180" s="31" t="inlineStr">
        <x:is>
          <x:t xml:space="preserve">Нет</x:t>
        </x:is>
      </x:c>
      <x:c r="S2180" s="31" t="inlineStr">
        <x:is>
          <x:t xml:space="preserve">Нет</x:t>
        </x:is>
      </x:c>
    </x:row>
    <x:row r="2181">
      <x:c r="A2181" s="31" t="inlineStr">
        <x:is>
          <x:t xml:space="preserve">ОП-002180</x:t>
        </x:is>
      </x:c>
      <x:c r="B2181" s="31" t="inlineStr">
        <x:is>
          <x:t xml:space="preserve">ПЗ-00262</x:t>
        </x:is>
      </x:c>
      <x:c r="C2181" s="31" t="inlineStr">
        <x:is>
          <x:t xml:space="preserve">ЗК-1128</x:t>
        </x:is>
      </x:c>
      <x:c r="D2181" s="31" t="inlineStr">
        <x:is>
          <x:t xml:space="preserve">ПОЗ-0128-4</x:t>
        </x:is>
      </x:c>
      <x:c r="E2181" s="31" t="inlineStr">
        <x:is>
          <x:t xml:space="preserve">ИЗД-024</x:t>
        </x:is>
      </x:c>
      <x:c r="F2181" s="31" t="n">
        <x:v>30</x:v>
      </x:c>
      <x:c r="G2181" s="31" t="inlineStr">
        <x:is>
          <x:t xml:space="preserve">Сварка рамы</x:t>
        </x:is>
      </x:c>
      <x:c r="H2181" s="31" t="inlineStr">
        <x:is>
          <x:t xml:space="preserve">Сварка</x:t>
        </x:is>
      </x:c>
      <x:c r="I2181" s="31" t="inlineStr">
        <x:is>
          <x:t xml:space="preserve">ОБ-021</x:t>
        </x:is>
      </x:c>
      <x:c r="J2181" s="31" t="inlineStr">
        <x:is>
          <x:t xml:space="preserve">СОТР-068</x:t>
        </x:is>
      </x:c>
      <x:c r="K2181" s="31" t="n">
        <x:v>5.8</x:v>
      </x:c>
      <x:c r="L2181" s="31" t="n">
        <x:v>5.7</x:v>
      </x:c>
      <x:c r="M2181" s="31" t="n">
        <x:v>46118</x:v>
      </x:c>
      <x:c r="N2181" s="31" t="n">
        <x:v>46119</x:v>
      </x:c>
      <x:c r="O2181" s="31" t="n">
        <x:v>46118</x:v>
      </x:c>
      <x:c r="P2181" s="31" t="n">
        <x:v>46120</x:v>
      </x:c>
      <x:c r="Q2181" s="31" t="inlineStr">
        <x:is>
          <x:t xml:space="preserve">Завершено</x:t>
        </x:is>
      </x:c>
      <x:c r="R2181" s="31" t="inlineStr">
        <x:is>
          <x:t xml:space="preserve">Нет</x:t>
        </x:is>
      </x:c>
      <x:c r="S2181" s="31" t="inlineStr">
        <x:is>
          <x:t xml:space="preserve">Нет</x:t>
        </x:is>
      </x:c>
    </x:row>
    <x:row r="2182">
      <x:c r="A2182" s="31" t="inlineStr">
        <x:is>
          <x:t xml:space="preserve">ОП-002181</x:t>
        </x:is>
      </x:c>
      <x:c r="B2182" s="31" t="inlineStr">
        <x:is>
          <x:t xml:space="preserve">ПЗ-00262</x:t>
        </x:is>
      </x:c>
      <x:c r="C2182" s="31" t="inlineStr">
        <x:is>
          <x:t xml:space="preserve">ЗК-1128</x:t>
        </x:is>
      </x:c>
      <x:c r="D2182" s="31" t="inlineStr">
        <x:is>
          <x:t xml:space="preserve">ПОЗ-0128-4</x:t>
        </x:is>
      </x:c>
      <x:c r="E2182" s="31" t="inlineStr">
        <x:is>
          <x:t xml:space="preserve">ИЗД-024</x:t>
        </x:is>
      </x:c>
      <x:c r="F2182" s="31" t="n">
        <x:v>40</x:v>
      </x:c>
      <x:c r="G2182" s="31" t="inlineStr">
        <x:is>
          <x:t xml:space="preserve">Сборка</x:t>
        </x:is>
      </x:c>
      <x:c r="H2182" s="31" t="inlineStr">
        <x:is>
          <x:t xml:space="preserve">Сборка</x:t>
        </x:is>
      </x:c>
      <x:c r="I2182" s="31" t="inlineStr">
        <x:is>
          <x:t xml:space="preserve">ОБ-005</x:t>
        </x:is>
      </x:c>
      <x:c r="J2182" s="31" t="inlineStr">
        <x:is>
          <x:t xml:space="preserve">СОТР-083</x:t>
        </x:is>
      </x:c>
      <x:c r="K2182" s="31" t="n">
        <x:v>4.2</x:v>
      </x:c>
      <x:c r="L2182" s="31" t="n">
        <x:v>4.8</x:v>
      </x:c>
      <x:c r="M2182" s="31" t="n">
        <x:v>46119</x:v>
      </x:c>
      <x:c r="N2182" s="31" t="n">
        <x:v>46120</x:v>
      </x:c>
      <x:c r="O2182" s="31" t="n">
        <x:v>46119</x:v>
      </x:c>
      <x:c r="P2182" s="31" t="n">
        <x:v>46120</x:v>
      </x:c>
      <x:c r="Q2182" s="31" t="inlineStr">
        <x:is>
          <x:t xml:space="preserve">Завершено</x:t>
        </x:is>
      </x:c>
      <x:c r="R2182" s="31" t="inlineStr">
        <x:is>
          <x:t xml:space="preserve">Нет</x:t>
        </x:is>
      </x:c>
      <x:c r="S2182" s="31" t="inlineStr">
        <x:is>
          <x:t xml:space="preserve">Нет</x:t>
        </x:is>
      </x:c>
    </x:row>
    <x:row r="2183">
      <x:c r="A2183" s="31" t="inlineStr">
        <x:is>
          <x:t xml:space="preserve">ОП-002182</x:t>
        </x:is>
      </x:c>
      <x:c r="B2183" s="31" t="inlineStr">
        <x:is>
          <x:t xml:space="preserve">ПЗ-00262</x:t>
        </x:is>
      </x:c>
      <x:c r="C2183" s="31" t="inlineStr">
        <x:is>
          <x:t xml:space="preserve">ЗК-1128</x:t>
        </x:is>
      </x:c>
      <x:c r="D2183" s="31" t="inlineStr">
        <x:is>
          <x:t xml:space="preserve">ПОЗ-0128-4</x:t>
        </x:is>
      </x:c>
      <x:c r="E2183" s="31" t="inlineStr">
        <x:is>
          <x:t xml:space="preserve">ИЗД-024</x:t>
        </x:is>
      </x:c>
      <x:c r="F2183" s="31" t="n">
        <x:v>50</x:v>
      </x:c>
      <x:c r="G2183" s="31" t="inlineStr">
        <x:is>
          <x:t xml:space="preserve">Обвязка труб</x:t>
        </x:is>
      </x:c>
      <x:c r="H2183" s="31" t="inlineStr">
        <x:is>
          <x:t xml:space="preserve">Сборка</x:t>
        </x:is>
      </x:c>
      <x:c r="I2183" s="31" t="inlineStr">
        <x:is>
          <x:t xml:space="preserve">ОБ-034</x:t>
        </x:is>
      </x:c>
      <x:c r="J2183" s="31" t="inlineStr">
        <x:is>
          <x:t xml:space="preserve">СОТР-077</x:t>
        </x:is>
      </x:c>
      <x:c r="K2183" s="31" t="n">
        <x:v>19.4</x:v>
      </x:c>
      <x:c r="L2183" s="31" t="n">
        <x:v>23.4</x:v>
      </x:c>
      <x:c r="M2183" s="31" t="n">
        <x:v>46120</x:v>
      </x:c>
      <x:c r="N2183" s="31" t="n">
        <x:v>46122</x:v>
      </x:c>
      <x:c r="O2183" s="31" t="n">
        <x:v>46120</x:v>
      </x:c>
      <x:c r="P2183" s="31" t="n">
        <x:v>46121</x:v>
      </x:c>
      <x:c r="Q2183" s="31" t="inlineStr">
        <x:is>
          <x:t xml:space="preserve">Завершено</x:t>
        </x:is>
      </x:c>
      <x:c r="R2183" s="31" t="inlineStr">
        <x:is>
          <x:t xml:space="preserve">Нет</x:t>
        </x:is>
      </x:c>
      <x:c r="S2183" s="31" t="inlineStr">
        <x:is>
          <x:t xml:space="preserve">Нет</x:t>
        </x:is>
      </x:c>
    </x:row>
    <x:row r="2184">
      <x:c r="A2184" s="31" t="inlineStr">
        <x:is>
          <x:t xml:space="preserve">ОП-002183</x:t>
        </x:is>
      </x:c>
      <x:c r="B2184" s="31" t="inlineStr">
        <x:is>
          <x:t xml:space="preserve">ПЗ-00262</x:t>
        </x:is>
      </x:c>
      <x:c r="C2184" s="31" t="inlineStr">
        <x:is>
          <x:t xml:space="preserve">ЗК-1128</x:t>
        </x:is>
      </x:c>
      <x:c r="D2184" s="31" t="inlineStr">
        <x:is>
          <x:t xml:space="preserve">ПОЗ-0128-4</x:t>
        </x:is>
      </x:c>
      <x:c r="E2184" s="31" t="inlineStr">
        <x:is>
          <x:t xml:space="preserve">ИЗД-024</x:t>
        </x:is>
      </x:c>
      <x:c r="F2184" s="31" t="n">
        <x:v>60</x:v>
      </x:c>
      <x:c r="G2184" s="31" t="inlineStr">
        <x:is>
          <x:t xml:space="preserve">Электромонтаж</x:t>
        </x:is>
      </x:c>
      <x:c r="H2184" s="31" t="inlineStr">
        <x:is>
          <x:t xml:space="preserve">Сборка</x:t>
        </x:is>
      </x:c>
      <x:c r="I2184" s="31" t="inlineStr">
        <x:is>
          <x:t xml:space="preserve">ОБ-014</x:t>
        </x:is>
      </x:c>
      <x:c r="J2184" s="31" t="inlineStr">
        <x:is>
          <x:t xml:space="preserve">СОТР-081</x:t>
        </x:is>
      </x:c>
      <x:c r="K2184" s="31" t="n">
        <x:v>7.2</x:v>
      </x:c>
      <x:c r="L2184" s="31" t="n">
        <x:v>8.199999999999999</x:v>
      </x:c>
      <x:c r="M2184" s="31" t="n">
        <x:v>46122</x:v>
      </x:c>
      <x:c r="N2184" s="31" t="n">
        <x:v>46123</x:v>
      </x:c>
      <x:c r="O2184" s="31" t="n">
        <x:v>46122</x:v>
      </x:c>
      <x:c r="P2184" s="31" t="n">
        <x:v>46123</x:v>
      </x:c>
      <x:c r="Q2184" s="31" t="inlineStr">
        <x:is>
          <x:t xml:space="preserve">Завершено</x:t>
        </x:is>
      </x:c>
      <x:c r="R2184" s="31" t="inlineStr">
        <x:is>
          <x:t xml:space="preserve">Нет</x:t>
        </x:is>
      </x:c>
      <x:c r="S2184" s="31" t="inlineStr">
        <x:is>
          <x:t xml:space="preserve">Нет</x:t>
        </x:is>
      </x:c>
    </x:row>
    <x:row r="2185">
      <x:c r="A2185" s="31" t="inlineStr">
        <x:is>
          <x:t xml:space="preserve">ОП-002184</x:t>
        </x:is>
      </x:c>
      <x:c r="B2185" s="31" t="inlineStr">
        <x:is>
          <x:t xml:space="preserve">ПЗ-00262</x:t>
        </x:is>
      </x:c>
      <x:c r="C2185" s="31" t="inlineStr">
        <x:is>
          <x:t xml:space="preserve">ЗК-1128</x:t>
        </x:is>
      </x:c>
      <x:c r="D2185" s="31" t="inlineStr">
        <x:is>
          <x:t xml:space="preserve">ПОЗ-0128-4</x:t>
        </x:is>
      </x:c>
      <x:c r="E2185" s="31" t="inlineStr">
        <x:is>
          <x:t xml:space="preserve">ИЗД-024</x:t>
        </x:is>
      </x:c>
      <x:c r="F2185" s="31" t="n">
        <x:v>70</x:v>
      </x:c>
      <x:c r="G2185" s="31" t="inlineStr">
        <x:is>
          <x:t xml:space="preserve">Гидроиспытания</x:t>
        </x:is>
      </x:c>
      <x:c r="H2185" s="31" t="inlineStr">
        <x:is>
          <x:t xml:space="preserve">ОТК</x:t>
        </x:is>
      </x:c>
      <x:c r="I2185" s="31" t="inlineStr">
        <x:is>
          <x:t xml:space="preserve">ОБ-022</x:t>
        </x:is>
      </x:c>
      <x:c r="J2185" s="31" t="inlineStr">
        <x:is>
          <x:t xml:space="preserve">СОТР-098</x:t>
        </x:is>
      </x:c>
      <x:c r="K2185" s="31" t="n">
        <x:v>10.4</x:v>
      </x:c>
      <x:c r="L2185" s="31" t="n">
        <x:v>9.9</x:v>
      </x:c>
      <x:c r="M2185" s="31" t="n">
        <x:v>46123</x:v>
      </x:c>
      <x:c r="N2185" s="31" t="n">
        <x:v>46124</x:v>
      </x:c>
      <x:c r="O2185" s="31" t="n">
        <x:v>46123</x:v>
      </x:c>
      <x:c r="P2185" s="31" t="n">
        <x:v>46123</x:v>
      </x:c>
      <x:c r="Q2185" s="31" t="inlineStr">
        <x:is>
          <x:t xml:space="preserve">Завершено</x:t>
        </x:is>
      </x:c>
      <x:c r="R2185" s="31" t="inlineStr">
        <x:is>
          <x:t xml:space="preserve">Материал</x:t>
        </x:is>
      </x:c>
      <x:c r="S2185" s="31" t="inlineStr">
        <x:is>
          <x:t xml:space="preserve">Нет</x:t>
        </x:is>
      </x:c>
    </x:row>
    <x:row r="2186">
      <x:c r="A2186" s="31" t="inlineStr">
        <x:is>
          <x:t xml:space="preserve">ОП-002185</x:t>
        </x:is>
      </x:c>
      <x:c r="B2186" s="31" t="inlineStr">
        <x:is>
          <x:t xml:space="preserve">ПЗ-00262</x:t>
        </x:is>
      </x:c>
      <x:c r="C2186" s="31" t="inlineStr">
        <x:is>
          <x:t xml:space="preserve">ЗК-1128</x:t>
        </x:is>
      </x:c>
      <x:c r="D2186" s="31" t="inlineStr">
        <x:is>
          <x:t xml:space="preserve">ПОЗ-0128-4</x:t>
        </x:is>
      </x:c>
      <x:c r="E2186" s="31" t="inlineStr">
        <x:is>
          <x:t xml:space="preserve">ИЗД-024</x:t>
        </x:is>
      </x:c>
      <x:c r="F2186" s="31" t="n">
        <x:v>80</x:v>
      </x:c>
      <x:c r="G2186" s="31" t="inlineStr">
        <x:is>
          <x:t xml:space="preserve">ОТК</x:t>
        </x:is>
      </x:c>
      <x:c r="H2186" s="31" t="inlineStr">
        <x:is>
          <x:t xml:space="preserve">ОТК</x:t>
        </x:is>
      </x:c>
      <x:c r="I2186" s="31" t="inlineStr">
        <x:is>
          <x:t xml:space="preserve">ОБ-024</x:t>
        </x:is>
      </x:c>
      <x:c r="J2186" s="31" t="inlineStr">
        <x:is>
          <x:t xml:space="preserve">СОТР-093</x:t>
        </x:is>
      </x:c>
      <x:c r="K2186" s="31" t="n">
        <x:v>11.4</x:v>
      </x:c>
      <x:c r="L2186" s="31" t="n">
        <x:v>10.2</x:v>
      </x:c>
      <x:c r="M2186" s="31" t="n">
        <x:v>46124</x:v>
      </x:c>
      <x:c r="N2186" s="31" t="n">
        <x:v>46125</x:v>
      </x:c>
      <x:c r="O2186" s="31" t="n">
        <x:v>46124</x:v>
      </x:c>
      <x:c r="P2186" s="31" t="n">
        <x:v>46126</x:v>
      </x:c>
      <x:c r="Q2186" s="31" t="inlineStr">
        <x:is>
          <x:t xml:space="preserve">Завершено</x:t>
        </x:is>
      </x:c>
      <x:c r="R2186" s="31" t="inlineStr">
        <x:is>
          <x:t xml:space="preserve">Нет</x:t>
        </x:is>
      </x:c>
      <x:c r="S2186" s="31" t="inlineStr">
        <x:is>
          <x:t xml:space="preserve">Нет</x:t>
        </x:is>
      </x:c>
    </x:row>
    <x:row r="2187">
      <x:c r="A2187" s="31" t="inlineStr">
        <x:is>
          <x:t xml:space="preserve">ОП-002186</x:t>
        </x:is>
      </x:c>
      <x:c r="B2187" s="31" t="inlineStr">
        <x:is>
          <x:t xml:space="preserve">ПЗ-00262</x:t>
        </x:is>
      </x:c>
      <x:c r="C2187" s="31" t="inlineStr">
        <x:is>
          <x:t xml:space="preserve">ЗК-1128</x:t>
        </x:is>
      </x:c>
      <x:c r="D2187" s="31" t="inlineStr">
        <x:is>
          <x:t xml:space="preserve">ПОЗ-0128-4</x:t>
        </x:is>
      </x:c>
      <x:c r="E2187" s="31" t="inlineStr">
        <x:is>
          <x:t xml:space="preserve">ИЗД-024</x:t>
        </x:is>
      </x:c>
      <x:c r="F2187" s="31" t="n">
        <x:v>90</x:v>
      </x:c>
      <x:c r="G2187" s="31" t="inlineStr">
        <x:is>
          <x:t xml:space="preserve">Упаковка</x:t>
        </x:is>
      </x:c>
      <x:c r="H2187" s="31" t="inlineStr">
        <x:is>
          <x:t xml:space="preserve">Логистика</x:t>
        </x:is>
      </x:c>
      <x:c r="I2187" s="31" t="n"/>
      <x:c r="J2187" s="31" t="inlineStr">
        <x:is>
          <x:t xml:space="preserve">СОТР-102</x:t>
        </x:is>
      </x:c>
      <x:c r="K2187" s="31" t="n">
        <x:v>17.2</x:v>
      </x:c>
      <x:c r="L2187" s="31" t="n">
        <x:v>16.1</x:v>
      </x:c>
      <x:c r="M2187" s="31" t="n">
        <x:v>46125</x:v>
      </x:c>
      <x:c r="N2187" s="31" t="n">
        <x:v>46127</x:v>
      </x:c>
      <x:c r="O2187" s="31" t="n">
        <x:v>46125</x:v>
      </x:c>
      <x:c r="P2187" s="31" t="n">
        <x:v>46127</x:v>
      </x:c>
      <x:c r="Q2187" s="31" t="inlineStr">
        <x:is>
          <x:t xml:space="preserve">Завершено</x:t>
        </x:is>
      </x:c>
      <x:c r="R2187" s="31" t="inlineStr">
        <x:is>
          <x:t xml:space="preserve">Нет</x:t>
        </x:is>
      </x:c>
      <x:c r="S2187" s="31" t="inlineStr">
        <x:is>
          <x:t xml:space="preserve">Нет</x:t>
        </x:is>
      </x:c>
    </x:row>
    <x:row r="2188">
      <x:c r="A2188" s="31" t="inlineStr">
        <x:is>
          <x:t xml:space="preserve">ОП-002187</x:t>
        </x:is>
      </x:c>
      <x:c r="B2188" s="31" t="inlineStr">
        <x:is>
          <x:t xml:space="preserve">ПЗ-00263</x:t>
        </x:is>
      </x:c>
      <x:c r="C2188" s="31" t="inlineStr">
        <x:is>
          <x:t xml:space="preserve">ЗК-1129</x:t>
        </x:is>
      </x:c>
      <x:c r="D2188" s="31" t="inlineStr">
        <x:is>
          <x:t xml:space="preserve">ПОЗ-0129-1</x:t>
        </x:is>
      </x:c>
      <x:c r="E2188" s="31" t="inlineStr">
        <x:is>
          <x:t xml:space="preserve">ИЗД-034</x:t>
        </x:is>
      </x:c>
      <x:c r="F2188" s="31" t="n">
        <x:v>10</x:v>
      </x:c>
      <x:c r="G2188" s="31" t="inlineStr">
        <x:is>
          <x:t xml:space="preserve">КД</x:t>
        </x:is>
      </x:c>
      <x:c r="H2188" s="31" t="inlineStr">
        <x:is>
          <x:t xml:space="preserve">Инженерный отдел</x:t>
        </x:is>
      </x:c>
      <x:c r="I2188" s="31" t="n"/>
      <x:c r="J2188" s="31" t="inlineStr">
        <x:is>
          <x:t xml:space="preserve">СОТР-015</x:t>
        </x:is>
      </x:c>
      <x:c r="K2188" s="31" t="n">
        <x:v>7.2</x:v>
      </x:c>
      <x:c r="L2188" s="31" t="n">
        <x:v>6.4</x:v>
      </x:c>
      <x:c r="M2188" s="31" t="n">
        <x:v>46128</x:v>
      </x:c>
      <x:c r="N2188" s="31" t="n">
        <x:v>46129</x:v>
      </x:c>
      <x:c r="O2188" s="31" t="n">
        <x:v>46128</x:v>
      </x:c>
      <x:c r="P2188" s="31" t="n">
        <x:v>46129</x:v>
      </x:c>
      <x:c r="Q2188" s="31" t="inlineStr">
        <x:is>
          <x:t xml:space="preserve">Завершено</x:t>
        </x:is>
      </x:c>
      <x:c r="R2188" s="31" t="inlineStr">
        <x:is>
          <x:t xml:space="preserve">Нет</x:t>
        </x:is>
      </x:c>
      <x:c r="S2188" s="31" t="inlineStr">
        <x:is>
          <x:t xml:space="preserve">Да</x:t>
        </x:is>
      </x:c>
    </x:row>
    <x:row r="2189">
      <x:c r="A2189" s="31" t="inlineStr">
        <x:is>
          <x:t xml:space="preserve">ОП-002188</x:t>
        </x:is>
      </x:c>
      <x:c r="B2189" s="31" t="inlineStr">
        <x:is>
          <x:t xml:space="preserve">ПЗ-00263</x:t>
        </x:is>
      </x:c>
      <x:c r="C2189" s="31" t="inlineStr">
        <x:is>
          <x:t xml:space="preserve">ЗК-1129</x:t>
        </x:is>
      </x:c>
      <x:c r="D2189" s="31" t="inlineStr">
        <x:is>
          <x:t xml:space="preserve">ПОЗ-0129-1</x:t>
        </x:is>
      </x:c>
      <x:c r="E2189" s="31" t="inlineStr">
        <x:is>
          <x:t xml:space="preserve">ИЗД-034</x:t>
        </x:is>
      </x:c>
      <x:c r="F2189" s="31" t="n">
        <x:v>20</x:v>
      </x:c>
      <x:c r="G2189" s="31" t="inlineStr">
        <x:is>
          <x:t xml:space="preserve">Резерв материалов</x:t>
        </x:is>
      </x:c>
      <x:c r="H2189" s="31" t="inlineStr">
        <x:is>
          <x:t xml:space="preserve">Склад</x:t>
        </x:is>
      </x:c>
      <x:c r="I2189" s="31" t="inlineStr">
        <x:is>
          <x:t xml:space="preserve">ОБ-008</x:t>
        </x:is>
      </x:c>
      <x:c r="J2189" s="31" t="inlineStr">
        <x:is>
          <x:t xml:space="preserve">СОТР-024</x:t>
        </x:is>
      </x:c>
      <x:c r="K2189" s="31" t="n">
        <x:v>4.9</x:v>
      </x:c>
      <x:c r="L2189" s="31" t="n">
        <x:v>4.4</x:v>
      </x:c>
      <x:c r="M2189" s="31" t="n">
        <x:v>46129</x:v>
      </x:c>
      <x:c r="N2189" s="31" t="n">
        <x:v>46130</x:v>
      </x:c>
      <x:c r="O2189" s="31" t="n">
        <x:v>46129</x:v>
      </x:c>
      <x:c r="P2189" s="31" t="n">
        <x:v>46131</x:v>
      </x:c>
      <x:c r="Q2189" s="31" t="inlineStr">
        <x:is>
          <x:t xml:space="preserve">Завершено</x:t>
        </x:is>
      </x:c>
      <x:c r="R2189" s="31" t="inlineStr">
        <x:is>
          <x:t xml:space="preserve">Нет</x:t>
        </x:is>
      </x:c>
      <x:c r="S2189" s="31" t="inlineStr">
        <x:is>
          <x:t xml:space="preserve">Нет</x:t>
        </x:is>
      </x:c>
    </x:row>
    <x:row r="2190">
      <x:c r="A2190" s="31" t="inlineStr">
        <x:is>
          <x:t xml:space="preserve">ОП-002189</x:t>
        </x:is>
      </x:c>
      <x:c r="B2190" s="31" t="inlineStr">
        <x:is>
          <x:t xml:space="preserve">ПЗ-00263</x:t>
        </x:is>
      </x:c>
      <x:c r="C2190" s="31" t="inlineStr">
        <x:is>
          <x:t xml:space="preserve">ЗК-1129</x:t>
        </x:is>
      </x:c>
      <x:c r="D2190" s="31" t="inlineStr">
        <x:is>
          <x:t xml:space="preserve">ПОЗ-0129-1</x:t>
        </x:is>
      </x:c>
      <x:c r="E2190" s="31" t="inlineStr">
        <x:is>
          <x:t xml:space="preserve">ИЗД-034</x:t>
        </x:is>
      </x:c>
      <x:c r="F2190" s="31" t="n">
        <x:v>30</x:v>
      </x:c>
      <x:c r="G2190" s="31" t="inlineStr">
        <x:is>
          <x:t xml:space="preserve">Резка металла</x:t>
        </x:is>
      </x:c>
      <x:c r="H2190" s="31" t="inlineStr">
        <x:is>
          <x:t xml:space="preserve">Сварка</x:t>
        </x:is>
      </x:c>
      <x:c r="I2190" s="31" t="inlineStr">
        <x:is>
          <x:t xml:space="preserve">ОБ-004</x:t>
        </x:is>
      </x:c>
      <x:c r="J2190" s="31" t="inlineStr">
        <x:is>
          <x:t xml:space="preserve">СОТР-059</x:t>
        </x:is>
      </x:c>
      <x:c r="K2190" s="31" t="n">
        <x:v>6.7</x:v>
      </x:c>
      <x:c r="L2190" s="31" t="n">
        <x:v>6.6</x:v>
      </x:c>
      <x:c r="M2190" s="31" t="n">
        <x:v>46130</x:v>
      </x:c>
      <x:c r="N2190" s="31" t="n">
        <x:v>46131</x:v>
      </x:c>
      <x:c r="O2190" s="31" t="n">
        <x:v>46130</x:v>
      </x:c>
      <x:c r="P2190" s="31" t="n">
        <x:v>46131</x:v>
      </x:c>
      <x:c r="Q2190" s="31" t="inlineStr">
        <x:is>
          <x:t xml:space="preserve">Завершено</x:t>
        </x:is>
      </x:c>
      <x:c r="R2190" s="31" t="inlineStr">
        <x:is>
          <x:t xml:space="preserve">Нет</x:t>
        </x:is>
      </x:c>
      <x:c r="S2190" s="31" t="inlineStr">
        <x:is>
          <x:t xml:space="preserve">Нет</x:t>
        </x:is>
      </x:c>
    </x:row>
    <x:row r="2191">
      <x:c r="A2191" s="31" t="inlineStr">
        <x:is>
          <x:t xml:space="preserve">ОП-002190</x:t>
        </x:is>
      </x:c>
      <x:c r="B2191" s="31" t="inlineStr">
        <x:is>
          <x:t xml:space="preserve">ПЗ-00263</x:t>
        </x:is>
      </x:c>
      <x:c r="C2191" s="31" t="inlineStr">
        <x:is>
          <x:t xml:space="preserve">ЗК-1129</x:t>
        </x:is>
      </x:c>
      <x:c r="D2191" s="31" t="inlineStr">
        <x:is>
          <x:t xml:space="preserve">ПОЗ-0129-1</x:t>
        </x:is>
      </x:c>
      <x:c r="E2191" s="31" t="inlineStr">
        <x:is>
          <x:t xml:space="preserve">ИЗД-034</x:t>
        </x:is>
      </x:c>
      <x:c r="F2191" s="31" t="n">
        <x:v>40</x:v>
      </x:c>
      <x:c r="G2191" s="31" t="inlineStr">
        <x:is>
          <x:t xml:space="preserve">Сварка рамы</x:t>
        </x:is>
      </x:c>
      <x:c r="H2191" s="31" t="inlineStr">
        <x:is>
          <x:t xml:space="preserve">Сварка</x:t>
        </x:is>
      </x:c>
      <x:c r="I2191" s="31" t="inlineStr">
        <x:is>
          <x:t xml:space="preserve">ОБ-019</x:t>
        </x:is>
      </x:c>
      <x:c r="J2191" s="31" t="inlineStr">
        <x:is>
          <x:t xml:space="preserve">СОТР-056</x:t>
        </x:is>
      </x:c>
      <x:c r="K2191" s="31" t="n">
        <x:v>3.5</x:v>
      </x:c>
      <x:c r="L2191" s="31" t="n">
        <x:v>3.3</x:v>
      </x:c>
      <x:c r="M2191" s="31" t="n">
        <x:v>46131</x:v>
      </x:c>
      <x:c r="N2191" s="31" t="n">
        <x:v>46132</x:v>
      </x:c>
      <x:c r="O2191" s="31" t="n">
        <x:v>46131</x:v>
      </x:c>
      <x:c r="P2191" s="31" t="n">
        <x:v>46132</x:v>
      </x:c>
      <x:c r="Q2191" s="31" t="inlineStr">
        <x:is>
          <x:t xml:space="preserve">Завершено</x:t>
        </x:is>
      </x:c>
      <x:c r="R2191" s="31" t="inlineStr">
        <x:is>
          <x:t xml:space="preserve">Нет</x:t>
        </x:is>
      </x:c>
      <x:c r="S2191" s="31" t="inlineStr">
        <x:is>
          <x:t xml:space="preserve">Нет</x:t>
        </x:is>
      </x:c>
    </x:row>
    <x:row r="2192">
      <x:c r="A2192" s="31" t="inlineStr">
        <x:is>
          <x:t xml:space="preserve">ОП-002191</x:t>
        </x:is>
      </x:c>
      <x:c r="B2192" s="31" t="inlineStr">
        <x:is>
          <x:t xml:space="preserve">ПЗ-00263</x:t>
        </x:is>
      </x:c>
      <x:c r="C2192" s="31" t="inlineStr">
        <x:is>
          <x:t xml:space="preserve">ЗК-1129</x:t>
        </x:is>
      </x:c>
      <x:c r="D2192" s="31" t="inlineStr">
        <x:is>
          <x:t xml:space="preserve">ПОЗ-0129-1</x:t>
        </x:is>
      </x:c>
      <x:c r="E2192" s="31" t="inlineStr">
        <x:is>
          <x:t xml:space="preserve">ИЗД-034</x:t>
        </x:is>
      </x:c>
      <x:c r="F2192" s="31" t="n">
        <x:v>50</x:v>
      </x:c>
      <x:c r="G2192" s="31" t="inlineStr">
        <x:is>
          <x:t xml:space="preserve">Механообработка</x:t>
        </x:is>
      </x:c>
      <x:c r="H2192" s="31" t="inlineStr">
        <x:is>
          <x:t xml:space="preserve">Механообработка</x:t>
        </x:is>
      </x:c>
      <x:c r="I2192" s="31" t="inlineStr">
        <x:is>
          <x:t xml:space="preserve">ОБ-029</x:t>
        </x:is>
      </x:c>
      <x:c r="J2192" s="31" t="inlineStr">
        <x:is>
          <x:t xml:space="preserve">СОТР-031</x:t>
        </x:is>
      </x:c>
      <x:c r="K2192" s="31" t="n">
        <x:v>8.1</x:v>
      </x:c>
      <x:c r="L2192" s="31" t="n">
        <x:v>9.6</x:v>
      </x:c>
      <x:c r="M2192" s="31" t="n">
        <x:v>46132</x:v>
      </x:c>
      <x:c r="N2192" s="31" t="n">
        <x:v>46133</x:v>
      </x:c>
      <x:c r="O2192" s="31" t="n">
        <x:v>46132</x:v>
      </x:c>
      <x:c r="P2192" s="31" t="n">
        <x:v>46135</x:v>
      </x:c>
      <x:c r="Q2192" s="31" t="inlineStr">
        <x:is>
          <x:t xml:space="preserve">Завершено</x:t>
        </x:is>
      </x:c>
      <x:c r="R2192" s="31" t="inlineStr">
        <x:is>
          <x:t xml:space="preserve">Нет</x:t>
        </x:is>
      </x:c>
      <x:c r="S2192" s="31" t="inlineStr">
        <x:is>
          <x:t xml:space="preserve">Нет</x:t>
        </x:is>
      </x:c>
    </x:row>
    <x:row r="2193">
      <x:c r="A2193" s="31" t="inlineStr">
        <x:is>
          <x:t xml:space="preserve">ОП-002192</x:t>
        </x:is>
      </x:c>
      <x:c r="B2193" s="31" t="inlineStr">
        <x:is>
          <x:t xml:space="preserve">ПЗ-00263</x:t>
        </x:is>
      </x:c>
      <x:c r="C2193" s="31" t="inlineStr">
        <x:is>
          <x:t xml:space="preserve">ЗК-1129</x:t>
        </x:is>
      </x:c>
      <x:c r="D2193" s="31" t="inlineStr">
        <x:is>
          <x:t xml:space="preserve">ПОЗ-0129-1</x:t>
        </x:is>
      </x:c>
      <x:c r="E2193" s="31" t="inlineStr">
        <x:is>
          <x:t xml:space="preserve">ИЗД-034</x:t>
        </x:is>
      </x:c>
      <x:c r="F2193" s="31" t="n">
        <x:v>60</x:v>
      </x:c>
      <x:c r="G2193" s="31" t="inlineStr">
        <x:is>
          <x:t xml:space="preserve">Сборка</x:t>
        </x:is>
      </x:c>
      <x:c r="H2193" s="31" t="inlineStr">
        <x:is>
          <x:t xml:space="preserve">Сборка</x:t>
        </x:is>
      </x:c>
      <x:c r="I2193" s="31" t="inlineStr">
        <x:is>
          <x:t xml:space="preserve">ОБ-027</x:t>
        </x:is>
      </x:c>
      <x:c r="J2193" s="31" t="inlineStr">
        <x:is>
          <x:t xml:space="preserve">СОТР-090</x:t>
        </x:is>
      </x:c>
      <x:c r="K2193" s="31" t="n">
        <x:v>3.3</x:v>
      </x:c>
      <x:c r="L2193" s="31" t="n">
        <x:v>4.1</x:v>
      </x:c>
      <x:c r="M2193" s="31" t="n">
        <x:v>46133</x:v>
      </x:c>
      <x:c r="N2193" s="31" t="n">
        <x:v>46134</x:v>
      </x:c>
      <x:c r="O2193" s="31" t="n">
        <x:v>46133</x:v>
      </x:c>
      <x:c r="P2193" s="31" t="n">
        <x:v>46133</x:v>
      </x:c>
      <x:c r="Q2193" s="31" t="inlineStr">
        <x:is>
          <x:t xml:space="preserve">Завершено</x:t>
        </x:is>
      </x:c>
      <x:c r="R2193" s="31" t="inlineStr">
        <x:is>
          <x:t xml:space="preserve">Ожидание ОТК</x:t>
        </x:is>
      </x:c>
      <x:c r="S2193" s="31" t="inlineStr">
        <x:is>
          <x:t xml:space="preserve">Нет</x:t>
        </x:is>
      </x:c>
    </x:row>
    <x:row r="2194">
      <x:c r="A2194" s="31" t="inlineStr">
        <x:is>
          <x:t xml:space="preserve">ОП-002193</x:t>
        </x:is>
      </x:c>
      <x:c r="B2194" s="31" t="inlineStr">
        <x:is>
          <x:t xml:space="preserve">ПЗ-00263</x:t>
        </x:is>
      </x:c>
      <x:c r="C2194" s="31" t="inlineStr">
        <x:is>
          <x:t xml:space="preserve">ЗК-1129</x:t>
        </x:is>
      </x:c>
      <x:c r="D2194" s="31" t="inlineStr">
        <x:is>
          <x:t xml:space="preserve">ПОЗ-0129-1</x:t>
        </x:is>
      </x:c>
      <x:c r="E2194" s="31" t="inlineStr">
        <x:is>
          <x:t xml:space="preserve">ИЗД-034</x:t>
        </x:is>
      </x:c>
      <x:c r="F2194" s="31" t="n">
        <x:v>70</x:v>
      </x:c>
      <x:c r="G2194" s="31" t="inlineStr">
        <x:is>
          <x:t xml:space="preserve">Обвязка труб</x:t>
        </x:is>
      </x:c>
      <x:c r="H2194" s="31" t="inlineStr">
        <x:is>
          <x:t xml:space="preserve">Сборка</x:t>
        </x:is>
      </x:c>
      <x:c r="I2194" s="31" t="inlineStr">
        <x:is>
          <x:t xml:space="preserve">ОБ-034</x:t>
        </x:is>
      </x:c>
      <x:c r="J2194" s="31" t="inlineStr">
        <x:is>
          <x:t xml:space="preserve">СОТР-073</x:t>
        </x:is>
      </x:c>
      <x:c r="K2194" s="31" t="n">
        <x:v>2.3</x:v>
      </x:c>
      <x:c r="L2194" s="31" t="n">
        <x:v>2</x:v>
      </x:c>
      <x:c r="M2194" s="31" t="n">
        <x:v>46134</x:v>
      </x:c>
      <x:c r="N2194" s="31" t="n">
        <x:v>46135</x:v>
      </x:c>
      <x:c r="O2194" s="31" t="n">
        <x:v>46134</x:v>
      </x:c>
      <x:c r="P2194" s="31" t="n">
        <x:v>46136</x:v>
      </x:c>
      <x:c r="Q2194" s="31" t="inlineStr">
        <x:is>
          <x:t xml:space="preserve">Завершено</x:t>
        </x:is>
      </x:c>
      <x:c r="R2194" s="31" t="inlineStr">
        <x:is>
          <x:t xml:space="preserve">Оборудование</x:t>
        </x:is>
      </x:c>
      <x:c r="S2194" s="31" t="inlineStr">
        <x:is>
          <x:t xml:space="preserve">Нет</x:t>
        </x:is>
      </x:c>
    </x:row>
    <x:row r="2195">
      <x:c r="A2195" s="31" t="inlineStr">
        <x:is>
          <x:t xml:space="preserve">ОП-002194</x:t>
        </x:is>
      </x:c>
      <x:c r="B2195" s="31" t="inlineStr">
        <x:is>
          <x:t xml:space="preserve">ПЗ-00263</x:t>
        </x:is>
      </x:c>
      <x:c r="C2195" s="31" t="inlineStr">
        <x:is>
          <x:t xml:space="preserve">ЗК-1129</x:t>
        </x:is>
      </x:c>
      <x:c r="D2195" s="31" t="inlineStr">
        <x:is>
          <x:t xml:space="preserve">ПОЗ-0129-1</x:t>
        </x:is>
      </x:c>
      <x:c r="E2195" s="31" t="inlineStr">
        <x:is>
          <x:t xml:space="preserve">ИЗД-034</x:t>
        </x:is>
      </x:c>
      <x:c r="F2195" s="31" t="n">
        <x:v>80</x:v>
      </x:c>
      <x:c r="G2195" s="31" t="inlineStr">
        <x:is>
          <x:t xml:space="preserve">Электромонтаж</x:t>
        </x:is>
      </x:c>
      <x:c r="H2195" s="31" t="inlineStr">
        <x:is>
          <x:t xml:space="preserve">Сборка</x:t>
        </x:is>
      </x:c>
      <x:c r="I2195" s="31" t="inlineStr">
        <x:is>
          <x:t xml:space="preserve">ОБ-020</x:t>
        </x:is>
      </x:c>
      <x:c r="J2195" s="31" t="inlineStr">
        <x:is>
          <x:t xml:space="preserve">СОТР-083</x:t>
        </x:is>
      </x:c>
      <x:c r="K2195" s="31" t="n">
        <x:v>2.2</x:v>
      </x:c>
      <x:c r="L2195" s="31" t="n">
        <x:v>2.2</x:v>
      </x:c>
      <x:c r="M2195" s="31" t="n">
        <x:v>46135</x:v>
      </x:c>
      <x:c r="N2195" s="31" t="n">
        <x:v>46136</x:v>
      </x:c>
      <x:c r="O2195" s="31" t="n">
        <x:v>46135</x:v>
      </x:c>
      <x:c r="P2195" s="31" t="n">
        <x:v>46137</x:v>
      </x:c>
      <x:c r="Q2195" s="31" t="inlineStr">
        <x:is>
          <x:t xml:space="preserve">Завершено</x:t>
        </x:is>
      </x:c>
      <x:c r="R2195" s="31" t="inlineStr">
        <x:is>
          <x:t xml:space="preserve">Нет</x:t>
        </x:is>
      </x:c>
      <x:c r="S2195" s="31" t="inlineStr">
        <x:is>
          <x:t xml:space="preserve">Нет</x:t>
        </x:is>
      </x:c>
    </x:row>
    <x:row r="2196">
      <x:c r="A2196" s="31" t="inlineStr">
        <x:is>
          <x:t xml:space="preserve">ОП-002195</x:t>
        </x:is>
      </x:c>
      <x:c r="B2196" s="31" t="inlineStr">
        <x:is>
          <x:t xml:space="preserve">ПЗ-00263</x:t>
        </x:is>
      </x:c>
      <x:c r="C2196" s="31" t="inlineStr">
        <x:is>
          <x:t xml:space="preserve">ЗК-1129</x:t>
        </x:is>
      </x:c>
      <x:c r="D2196" s="31" t="inlineStr">
        <x:is>
          <x:t xml:space="preserve">ПОЗ-0129-1</x:t>
        </x:is>
      </x:c>
      <x:c r="E2196" s="31" t="inlineStr">
        <x:is>
          <x:t xml:space="preserve">ИЗД-034</x:t>
        </x:is>
      </x:c>
      <x:c r="F2196" s="31" t="n">
        <x:v>90</x:v>
      </x:c>
      <x:c r="G2196" s="31" t="inlineStr">
        <x:is>
          <x:t xml:space="preserve">Приемочные испытания</x:t>
        </x:is>
      </x:c>
      <x:c r="H2196" s="31" t="inlineStr">
        <x:is>
          <x:t xml:space="preserve">ОТК</x:t>
        </x:is>
      </x:c>
      <x:c r="I2196" s="31" t="inlineStr">
        <x:is>
          <x:t xml:space="preserve">ОБ-006</x:t>
        </x:is>
      </x:c>
      <x:c r="J2196" s="31" t="inlineStr">
        <x:is>
          <x:t xml:space="preserve">СОТР-093</x:t>
        </x:is>
      </x:c>
      <x:c r="K2196" s="31" t="n">
        <x:v>3.5</x:v>
      </x:c>
      <x:c r="L2196" s="31" t="n">
        <x:v>4.4</x:v>
      </x:c>
      <x:c r="M2196" s="31" t="n">
        <x:v>46136</x:v>
      </x:c>
      <x:c r="N2196" s="31" t="n">
        <x:v>46137</x:v>
      </x:c>
      <x:c r="O2196" s="31" t="n">
        <x:v>46136</x:v>
      </x:c>
      <x:c r="P2196" s="31" t="n">
        <x:v>46138</x:v>
      </x:c>
      <x:c r="Q2196" s="31" t="inlineStr">
        <x:is>
          <x:t xml:space="preserve">Завершено</x:t>
        </x:is>
      </x:c>
      <x:c r="R2196" s="31" t="inlineStr">
        <x:is>
          <x:t xml:space="preserve">Материал</x:t>
        </x:is>
      </x:c>
      <x:c r="S2196" s="31" t="inlineStr">
        <x:is>
          <x:t xml:space="preserve">Нет</x:t>
        </x:is>
      </x:c>
    </x:row>
    <x:row r="2197">
      <x:c r="A2197" s="31" t="inlineStr">
        <x:is>
          <x:t xml:space="preserve">ОП-002196</x:t>
        </x:is>
      </x:c>
      <x:c r="B2197" s="31" t="inlineStr">
        <x:is>
          <x:t xml:space="preserve">ПЗ-00263</x:t>
        </x:is>
      </x:c>
      <x:c r="C2197" s="31" t="inlineStr">
        <x:is>
          <x:t xml:space="preserve">ЗК-1129</x:t>
        </x:is>
      </x:c>
      <x:c r="D2197" s="31" t="inlineStr">
        <x:is>
          <x:t xml:space="preserve">ПОЗ-0129-1</x:t>
        </x:is>
      </x:c>
      <x:c r="E2197" s="31" t="inlineStr">
        <x:is>
          <x:t xml:space="preserve">ИЗД-034</x:t>
        </x:is>
      </x:c>
      <x:c r="F2197" s="31" t="n">
        <x:v>100</x:v>
      </x:c>
      <x:c r="G2197" s="31" t="inlineStr">
        <x:is>
          <x:t xml:space="preserve">ОТК</x:t>
        </x:is>
      </x:c>
      <x:c r="H2197" s="31" t="inlineStr">
        <x:is>
          <x:t xml:space="preserve">ОТК</x:t>
        </x:is>
      </x:c>
      <x:c r="I2197" s="31" t="inlineStr">
        <x:is>
          <x:t xml:space="preserve">ОБ-001</x:t>
        </x:is>
      </x:c>
      <x:c r="J2197" s="31" t="inlineStr">
        <x:is>
          <x:t xml:space="preserve">СОТР-095</x:t>
        </x:is>
      </x:c>
      <x:c r="K2197" s="31" t="n">
        <x:v>2.2</x:v>
      </x:c>
      <x:c r="L2197" s="31" t="n">
        <x:v>2.9</x:v>
      </x:c>
      <x:c r="M2197" s="31" t="n">
        <x:v>46137</x:v>
      </x:c>
      <x:c r="N2197" s="31" t="n">
        <x:v>46138</x:v>
      </x:c>
      <x:c r="O2197" s="31" t="n">
        <x:v>46137</x:v>
      </x:c>
      <x:c r="P2197" s="31" t="n">
        <x:v>46137</x:v>
      </x:c>
      <x:c r="Q2197" s="31" t="inlineStr">
        <x:is>
          <x:t xml:space="preserve">Завершено</x:t>
        </x:is>
      </x:c>
      <x:c r="R2197" s="31" t="inlineStr">
        <x:is>
          <x:t xml:space="preserve">Нет</x:t>
        </x:is>
      </x:c>
      <x:c r="S2197" s="31" t="inlineStr">
        <x:is>
          <x:t xml:space="preserve">Нет</x:t>
        </x:is>
      </x:c>
    </x:row>
    <x:row r="2198">
      <x:c r="A2198" s="31" t="inlineStr">
        <x:is>
          <x:t xml:space="preserve">ОП-002197</x:t>
        </x:is>
      </x:c>
      <x:c r="B2198" s="31" t="inlineStr">
        <x:is>
          <x:t xml:space="preserve">ПЗ-00263</x:t>
        </x:is>
      </x:c>
      <x:c r="C2198" s="31" t="inlineStr">
        <x:is>
          <x:t xml:space="preserve">ЗК-1129</x:t>
        </x:is>
      </x:c>
      <x:c r="D2198" s="31" t="inlineStr">
        <x:is>
          <x:t xml:space="preserve">ПОЗ-0129-1</x:t>
        </x:is>
      </x:c>
      <x:c r="E2198" s="31" t="inlineStr">
        <x:is>
          <x:t xml:space="preserve">ИЗД-034</x:t>
        </x:is>
      </x:c>
      <x:c r="F2198" s="31" t="n">
        <x:v>110</x:v>
      </x:c>
      <x:c r="G2198" s="31" t="inlineStr">
        <x:is>
          <x:t xml:space="preserve">Упаковка</x:t>
        </x:is>
      </x:c>
      <x:c r="H2198" s="31" t="inlineStr">
        <x:is>
          <x:t xml:space="preserve">Логистика</x:t>
        </x:is>
      </x:c>
      <x:c r="I2198" s="31" t="n"/>
      <x:c r="J2198" s="31" t="inlineStr">
        <x:is>
          <x:t xml:space="preserve">СОТР-070</x:t>
        </x:is>
      </x:c>
      <x:c r="K2198" s="31" t="n">
        <x:v>5.3</x:v>
      </x:c>
      <x:c r="L2198" s="31" t="n">
        <x:v>6.9</x:v>
      </x:c>
      <x:c r="M2198" s="31" t="n">
        <x:v>46138</x:v>
      </x:c>
      <x:c r="N2198" s="31" t="n">
        <x:v>46139</x:v>
      </x:c>
      <x:c r="O2198" s="31" t="n">
        <x:v>46138</x:v>
      </x:c>
      <x:c r="P2198" s="31" t="n">
        <x:v>46140</x:v>
      </x:c>
      <x:c r="Q2198" s="31" t="inlineStr">
        <x:is>
          <x:t xml:space="preserve">Завершено</x:t>
        </x:is>
      </x:c>
      <x:c r="R2198" s="31" t="inlineStr">
        <x:is>
          <x:t xml:space="preserve">Нет</x:t>
        </x:is>
      </x:c>
      <x:c r="S2198" s="31" t="inlineStr">
        <x:is>
          <x:t xml:space="preserve">Нет</x:t>
        </x:is>
      </x:c>
    </x:row>
    <x:row r="2199">
      <x:c r="A2199" s="31" t="inlineStr">
        <x:is>
          <x:t xml:space="preserve">ОП-002198</x:t>
        </x:is>
      </x:c>
      <x:c r="B2199" s="31" t="inlineStr">
        <x:is>
          <x:t xml:space="preserve">ПЗ-00264</x:t>
        </x:is>
      </x:c>
      <x:c r="C2199" s="31" t="inlineStr">
        <x:is>
          <x:t xml:space="preserve">ЗК-1130</x:t>
        </x:is>
      </x:c>
      <x:c r="D2199" s="31" t="inlineStr">
        <x:is>
          <x:t xml:space="preserve">ПОЗ-0130-1</x:t>
        </x:is>
      </x:c>
      <x:c r="E2199" s="31" t="inlineStr">
        <x:is>
          <x:t xml:space="preserve">ИЗД-001</x:t>
        </x:is>
      </x:c>
      <x:c r="F2199" s="31" t="n">
        <x:v>10</x:v>
      </x:c>
      <x:c r="G2199" s="31" t="inlineStr">
        <x:is>
          <x:t xml:space="preserve">Комплектация</x:t>
        </x:is>
      </x:c>
      <x:c r="H2199" s="31" t="inlineStr">
        <x:is>
          <x:t xml:space="preserve">Склад</x:t>
        </x:is>
      </x:c>
      <x:c r="I2199" s="31" t="inlineStr">
        <x:is>
          <x:t xml:space="preserve">ОБ-011</x:t>
        </x:is>
      </x:c>
      <x:c r="J2199" s="31" t="inlineStr">
        <x:is>
          <x:t xml:space="preserve">СОТР-037</x:t>
        </x:is>
      </x:c>
      <x:c r="K2199" s="31" t="n">
        <x:v>21</x:v>
      </x:c>
      <x:c r="L2199" s="31" t="n">
        <x:v>22.5</x:v>
      </x:c>
      <x:c r="M2199" s="31" t="n">
        <x:v>46168</x:v>
      </x:c>
      <x:c r="N2199" s="31" t="n">
        <x:v>46170</x:v>
      </x:c>
      <x:c r="O2199" s="31" t="n">
        <x:v>46168</x:v>
      </x:c>
      <x:c r="P2199" s="31" t="n">
        <x:v>46171</x:v>
      </x:c>
      <x:c r="Q2199" s="31" t="inlineStr">
        <x:is>
          <x:t xml:space="preserve">Завершено</x:t>
        </x:is>
      </x:c>
      <x:c r="R2199" s="31" t="inlineStr">
        <x:is>
          <x:t xml:space="preserve">Нет</x:t>
        </x:is>
      </x:c>
      <x:c r="S2199" s="31" t="inlineStr">
        <x:is>
          <x:t xml:space="preserve">Да</x:t>
        </x:is>
      </x:c>
    </x:row>
    <x:row r="2200">
      <x:c r="A2200" s="31" t="inlineStr">
        <x:is>
          <x:t xml:space="preserve">ОП-002199</x:t>
        </x:is>
      </x:c>
      <x:c r="B2200" s="31" t="inlineStr">
        <x:is>
          <x:t xml:space="preserve">ПЗ-00264</x:t>
        </x:is>
      </x:c>
      <x:c r="C2200" s="31" t="inlineStr">
        <x:is>
          <x:t xml:space="preserve">ЗК-1130</x:t>
        </x:is>
      </x:c>
      <x:c r="D2200" s="31" t="inlineStr">
        <x:is>
          <x:t xml:space="preserve">ПОЗ-0130-1</x:t>
        </x:is>
      </x:c>
      <x:c r="E2200" s="31" t="inlineStr">
        <x:is>
          <x:t xml:space="preserve">ИЗД-001</x:t>
        </x:is>
      </x:c>
      <x:c r="F2200" s="31" t="n">
        <x:v>20</x:v>
      </x:c>
      <x:c r="G2200" s="31" t="inlineStr">
        <x:is>
          <x:t xml:space="preserve">Входной контроль</x:t>
        </x:is>
      </x:c>
      <x:c r="H2200" s="31" t="inlineStr">
        <x:is>
          <x:t xml:space="preserve">ОТК</x:t>
        </x:is>
      </x:c>
      <x:c r="I2200" s="31" t="inlineStr">
        <x:is>
          <x:t xml:space="preserve">ОБ-032</x:t>
        </x:is>
      </x:c>
      <x:c r="J2200" s="31" t="inlineStr">
        <x:is>
          <x:t xml:space="preserve">СОТР-098</x:t>
        </x:is>
      </x:c>
      <x:c r="K2200" s="31" t="n">
        <x:v>33.5</x:v>
      </x:c>
      <x:c r="L2200" s="31" t="n">
        <x:v>30</x:v>
      </x:c>
      <x:c r="M2200" s="31" t="n">
        <x:v>46170</x:v>
      </x:c>
      <x:c r="N2200" s="31" t="n">
        <x:v>46173</x:v>
      </x:c>
      <x:c r="O2200" s="31" t="n">
        <x:v>46170</x:v>
      </x:c>
      <x:c r="P2200" s="31" t="n">
        <x:v>46173</x:v>
      </x:c>
      <x:c r="Q2200" s="31" t="inlineStr">
        <x:is>
          <x:t xml:space="preserve">Завершено</x:t>
        </x:is>
      </x:c>
      <x:c r="R2200" s="31" t="inlineStr">
        <x:is>
          <x:t xml:space="preserve">Нет</x:t>
        </x:is>
      </x:c>
      <x:c r="S2200" s="31" t="inlineStr">
        <x:is>
          <x:t xml:space="preserve">Нет</x:t>
        </x:is>
      </x:c>
    </x:row>
    <x:row r="2201">
      <x:c r="A2201" s="31" t="inlineStr">
        <x:is>
          <x:t xml:space="preserve">ОП-002200</x:t>
        </x:is>
      </x:c>
      <x:c r="B2201" s="31" t="inlineStr">
        <x:is>
          <x:t xml:space="preserve">ПЗ-00264</x:t>
        </x:is>
      </x:c>
      <x:c r="C2201" s="31" t="inlineStr">
        <x:is>
          <x:t xml:space="preserve">ЗК-1130</x:t>
        </x:is>
      </x:c>
      <x:c r="D2201" s="31" t="inlineStr">
        <x:is>
          <x:t xml:space="preserve">ПОЗ-0130-1</x:t>
        </x:is>
      </x:c>
      <x:c r="E2201" s="31" t="inlineStr">
        <x:is>
          <x:t xml:space="preserve">ИЗД-001</x:t>
        </x:is>
      </x:c>
      <x:c r="F2201" s="31" t="n">
        <x:v>30</x:v>
      </x:c>
      <x:c r="G2201" s="31" t="inlineStr">
        <x:is>
          <x:t xml:space="preserve">Упаковка</x:t>
        </x:is>
      </x:c>
      <x:c r="H2201" s="31" t="inlineStr">
        <x:is>
          <x:t xml:space="preserve">Логистика</x:t>
        </x:is>
      </x:c>
      <x:c r="I2201" s="31" t="n"/>
      <x:c r="J2201" s="31" t="inlineStr">
        <x:is>
          <x:t xml:space="preserve">СОТР-102</x:t>
        </x:is>
      </x:c>
      <x:c r="K2201" s="31" t="n">
        <x:v>4</x:v>
      </x:c>
      <x:c r="L2201" s="31" t="n">
        <x:v>3.2</x:v>
      </x:c>
      <x:c r="M2201" s="31" t="n">
        <x:v>46173</x:v>
      </x:c>
      <x:c r="N2201" s="31" t="n">
        <x:v>46174</x:v>
      </x:c>
      <x:c r="O2201" s="31" t="n">
        <x:v>46173</x:v>
      </x:c>
      <x:c r="P2201" s="31" t="n">
        <x:v>46174</x:v>
      </x:c>
      <x:c r="Q2201" s="31" t="inlineStr">
        <x:is>
          <x:t xml:space="preserve">Завершено</x:t>
        </x:is>
      </x:c>
      <x:c r="R2201" s="31" t="inlineStr">
        <x:is>
          <x:t xml:space="preserve">Нет</x:t>
        </x:is>
      </x:c>
      <x:c r="S2201" s="31" t="inlineStr">
        <x:is>
          <x:t xml:space="preserve">Нет</x:t>
        </x:is>
      </x:c>
    </x:row>
    <x:row r="2202">
      <x:c r="A2202" s="31" t="inlineStr">
        <x:is>
          <x:t xml:space="preserve">ОП-002201</x:t>
        </x:is>
      </x:c>
      <x:c r="B2202" s="31" t="inlineStr">
        <x:is>
          <x:t xml:space="preserve">ПЗ-00264</x:t>
        </x:is>
      </x:c>
      <x:c r="C2202" s="31" t="inlineStr">
        <x:is>
          <x:t xml:space="preserve">ЗК-1130</x:t>
        </x:is>
      </x:c>
      <x:c r="D2202" s="31" t="inlineStr">
        <x:is>
          <x:t xml:space="preserve">ПОЗ-0130-1</x:t>
        </x:is>
      </x:c>
      <x:c r="E2202" s="31" t="inlineStr">
        <x:is>
          <x:t xml:space="preserve">ИЗД-001</x:t>
        </x:is>
      </x:c>
      <x:c r="F2202" s="31" t="n">
        <x:v>40</x:v>
      </x:c>
      <x:c r="G2202" s="31" t="inlineStr">
        <x:is>
          <x:t xml:space="preserve">ОТК</x:t>
        </x:is>
      </x:c>
      <x:c r="H2202" s="31" t="inlineStr">
        <x:is>
          <x:t xml:space="preserve">ОТК</x:t>
        </x:is>
      </x:c>
      <x:c r="I2202" s="31" t="inlineStr">
        <x:is>
          <x:t xml:space="preserve">ОБ-006</x:t>
        </x:is>
      </x:c>
      <x:c r="J2202" s="31" t="inlineStr">
        <x:is>
          <x:t xml:space="preserve">СОТР-098</x:t>
        </x:is>
      </x:c>
      <x:c r="K2202" s="31" t="n">
        <x:v>12.5</x:v>
      </x:c>
      <x:c r="L2202" s="31" t="n">
        <x:v>15.8</x:v>
      </x:c>
      <x:c r="M2202" s="31" t="n">
        <x:v>46174</x:v>
      </x:c>
      <x:c r="N2202" s="31" t="n">
        <x:v>46176</x:v>
      </x:c>
      <x:c r="O2202" s="31" t="n">
        <x:v>46174</x:v>
      </x:c>
      <x:c r="P2202" s="31" t="n">
        <x:v>46176</x:v>
      </x:c>
      <x:c r="Q2202" s="31" t="inlineStr">
        <x:is>
          <x:t xml:space="preserve">Завершено</x:t>
        </x:is>
      </x:c>
      <x:c r="R2202" s="31" t="inlineStr">
        <x:is>
          <x:t xml:space="preserve">Нет</x:t>
        </x:is>
      </x:c>
      <x:c r="S2202" s="31" t="inlineStr">
        <x:is>
          <x:t xml:space="preserve">Нет</x:t>
        </x:is>
      </x:c>
    </x:row>
    <x:row r="2203">
      <x:c r="A2203" s="31" t="inlineStr">
        <x:is>
          <x:t xml:space="preserve">ОП-002202</x:t>
        </x:is>
      </x:c>
      <x:c r="B2203" s="31" t="inlineStr">
        <x:is>
          <x:t xml:space="preserve">ПЗ-00265</x:t>
        </x:is>
      </x:c>
      <x:c r="C2203" s="31" t="inlineStr">
        <x:is>
          <x:t xml:space="preserve">ЗК-1130</x:t>
        </x:is>
      </x:c>
      <x:c r="D2203" s="31" t="inlineStr">
        <x:is>
          <x:t xml:space="preserve">ПОЗ-0130-2</x:t>
        </x:is>
      </x:c>
      <x:c r="E2203" s="31" t="inlineStr">
        <x:is>
          <x:t xml:space="preserve">ИЗД-033</x:t>
        </x:is>
      </x:c>
      <x:c r="F2203" s="31" t="n">
        <x:v>10</x:v>
      </x:c>
      <x:c r="G2203" s="31" t="inlineStr">
        <x:is>
          <x:t xml:space="preserve">КД</x:t>
        </x:is>
      </x:c>
      <x:c r="H2203" s="31" t="inlineStr">
        <x:is>
          <x:t xml:space="preserve">Инженерный отдел</x:t>
        </x:is>
      </x:c>
      <x:c r="I2203" s="31" t="n"/>
      <x:c r="J2203" s="31" t="inlineStr">
        <x:is>
          <x:t xml:space="preserve">СОТР-016</x:t>
        </x:is>
      </x:c>
      <x:c r="K2203" s="31" t="n">
        <x:v>13.5</x:v>
      </x:c>
      <x:c r="L2203" s="31" t="n">
        <x:v>11.9</x:v>
      </x:c>
      <x:c r="M2203" s="31" t="n">
        <x:v>46176</x:v>
      </x:c>
      <x:c r="N2203" s="31" t="n">
        <x:v>46178</x:v>
      </x:c>
      <x:c r="O2203" s="31" t="n">
        <x:v>46176</x:v>
      </x:c>
      <x:c r="P2203" s="31" t="n">
        <x:v>46179</x:v>
      </x:c>
      <x:c r="Q2203" s="31" t="inlineStr">
        <x:is>
          <x:t xml:space="preserve">Завершено</x:t>
        </x:is>
      </x:c>
      <x:c r="R2203" s="31" t="inlineStr">
        <x:is>
          <x:t xml:space="preserve">Нет</x:t>
        </x:is>
      </x:c>
      <x:c r="S2203" s="31" t="inlineStr">
        <x:is>
          <x:t xml:space="preserve">Нет</x:t>
        </x:is>
      </x:c>
    </x:row>
    <x:row r="2204">
      <x:c r="A2204" s="31" t="inlineStr">
        <x:is>
          <x:t xml:space="preserve">ОП-002203</x:t>
        </x:is>
      </x:c>
      <x:c r="B2204" s="31" t="inlineStr">
        <x:is>
          <x:t xml:space="preserve">ПЗ-00265</x:t>
        </x:is>
      </x:c>
      <x:c r="C2204" s="31" t="inlineStr">
        <x:is>
          <x:t xml:space="preserve">ЗК-1130</x:t>
        </x:is>
      </x:c>
      <x:c r="D2204" s="31" t="inlineStr">
        <x:is>
          <x:t xml:space="preserve">ПОЗ-0130-2</x:t>
        </x:is>
      </x:c>
      <x:c r="E2204" s="31" t="inlineStr">
        <x:is>
          <x:t xml:space="preserve">ИЗД-033</x:t>
        </x:is>
      </x:c>
      <x:c r="F2204" s="31" t="n">
        <x:v>20</x:v>
      </x:c>
      <x:c r="G2204" s="31" t="inlineStr">
        <x:is>
          <x:t xml:space="preserve">Резерв материалов</x:t>
        </x:is>
      </x:c>
      <x:c r="H2204" s="31" t="inlineStr">
        <x:is>
          <x:t xml:space="preserve">Склад</x:t>
        </x:is>
      </x:c>
      <x:c r="I2204" s="31" t="inlineStr">
        <x:is>
          <x:t xml:space="preserve">ОБ-023</x:t>
        </x:is>
      </x:c>
      <x:c r="J2204" s="31" t="inlineStr">
        <x:is>
          <x:t xml:space="preserve">СОТР-038</x:t>
        </x:is>
      </x:c>
      <x:c r="K2204" s="31" t="n">
        <x:v>47</x:v>
      </x:c>
      <x:c r="L2204" s="31" t="n">
        <x:v>54.9</x:v>
      </x:c>
      <x:c r="M2204" s="31" t="n">
        <x:v>46178</x:v>
      </x:c>
      <x:c r="N2204" s="31" t="n">
        <x:v>46182</x:v>
      </x:c>
      <x:c r="O2204" s="31" t="n">
        <x:v>46178</x:v>
      </x:c>
      <x:c r="P2204" s="31" t="n">
        <x:v>46183</x:v>
      </x:c>
      <x:c r="Q2204" s="31" t="inlineStr">
        <x:is>
          <x:t xml:space="preserve">Завершено</x:t>
        </x:is>
      </x:c>
      <x:c r="R2204" s="31" t="inlineStr">
        <x:is>
          <x:t xml:space="preserve">Нет</x:t>
        </x:is>
      </x:c>
      <x:c r="S2204" s="31" t="inlineStr">
        <x:is>
          <x:t xml:space="preserve">Нет</x:t>
        </x:is>
      </x:c>
    </x:row>
    <x:row r="2205">
      <x:c r="A2205" s="31" t="inlineStr">
        <x:is>
          <x:t xml:space="preserve">ОП-002204</x:t>
        </x:is>
      </x:c>
      <x:c r="B2205" s="31" t="inlineStr">
        <x:is>
          <x:t xml:space="preserve">ПЗ-00265</x:t>
        </x:is>
      </x:c>
      <x:c r="C2205" s="31" t="inlineStr">
        <x:is>
          <x:t xml:space="preserve">ЗК-1130</x:t>
        </x:is>
      </x:c>
      <x:c r="D2205" s="31" t="inlineStr">
        <x:is>
          <x:t xml:space="preserve">ПОЗ-0130-2</x:t>
        </x:is>
      </x:c>
      <x:c r="E2205" s="31" t="inlineStr">
        <x:is>
          <x:t xml:space="preserve">ИЗД-033</x:t>
        </x:is>
      </x:c>
      <x:c r="F2205" s="31" t="n">
        <x:v>30</x:v>
      </x:c>
      <x:c r="G2205" s="31" t="inlineStr">
        <x:is>
          <x:t xml:space="preserve">Сварка рамы</x:t>
        </x:is>
      </x:c>
      <x:c r="H2205" s="31" t="inlineStr">
        <x:is>
          <x:t xml:space="preserve">Сварка</x:t>
        </x:is>
      </x:c>
      <x:c r="I2205" s="31" t="inlineStr">
        <x:is>
          <x:t xml:space="preserve">ОБ-035</x:t>
        </x:is>
      </x:c>
      <x:c r="J2205" s="31" t="inlineStr">
        <x:is>
          <x:t xml:space="preserve">СОТР-072</x:t>
        </x:is>
      </x:c>
      <x:c r="K2205" s="31" t="n">
        <x:v>42.5</x:v>
      </x:c>
      <x:c r="L2205" s="31" t="n">
        <x:v>41.2</x:v>
      </x:c>
      <x:c r="M2205" s="31" t="n">
        <x:v>46182</x:v>
      </x:c>
      <x:c r="N2205" s="31" t="n">
        <x:v>46186</x:v>
      </x:c>
      <x:c r="O2205" s="31" t="n">
        <x:v>46182</x:v>
      </x:c>
      <x:c r="P2205" s="31" t="n">
        <x:v>46185</x:v>
      </x:c>
      <x:c r="Q2205" s="31" t="inlineStr">
        <x:is>
          <x:t xml:space="preserve">Завершено</x:t>
        </x:is>
      </x:c>
      <x:c r="R2205" s="31" t="inlineStr">
        <x:is>
          <x:t xml:space="preserve">Нет</x:t>
        </x:is>
      </x:c>
      <x:c r="S2205" s="31" t="inlineStr">
        <x:is>
          <x:t xml:space="preserve">Нет</x:t>
        </x:is>
      </x:c>
    </x:row>
    <x:row r="2206">
      <x:c r="A2206" s="31" t="inlineStr">
        <x:is>
          <x:t xml:space="preserve">ОП-002205</x:t>
        </x:is>
      </x:c>
      <x:c r="B2206" s="31" t="inlineStr">
        <x:is>
          <x:t xml:space="preserve">ПЗ-00265</x:t>
        </x:is>
      </x:c>
      <x:c r="C2206" s="31" t="inlineStr">
        <x:is>
          <x:t xml:space="preserve">ЗК-1130</x:t>
        </x:is>
      </x:c>
      <x:c r="D2206" s="31" t="inlineStr">
        <x:is>
          <x:t xml:space="preserve">ПОЗ-0130-2</x:t>
        </x:is>
      </x:c>
      <x:c r="E2206" s="31" t="inlineStr">
        <x:is>
          <x:t xml:space="preserve">ИЗД-033</x:t>
        </x:is>
      </x:c>
      <x:c r="F2206" s="31" t="n">
        <x:v>40</x:v>
      </x:c>
      <x:c r="G2206" s="31" t="inlineStr">
        <x:is>
          <x:t xml:space="preserve">Сборка</x:t>
        </x:is>
      </x:c>
      <x:c r="H2206" s="31" t="inlineStr">
        <x:is>
          <x:t xml:space="preserve">Сборка</x:t>
        </x:is>
      </x:c>
      <x:c r="I2206" s="31" t="inlineStr">
        <x:is>
          <x:t xml:space="preserve">ОБ-005</x:t>
        </x:is>
      </x:c>
      <x:c r="J2206" s="31" t="inlineStr">
        <x:is>
          <x:t xml:space="preserve">СОТР-087</x:t>
        </x:is>
      </x:c>
      <x:c r="K2206" s="31" t="n">
        <x:v>46</x:v>
      </x:c>
      <x:c r="L2206" s="31" t="n">
        <x:v>59.9</x:v>
      </x:c>
      <x:c r="M2206" s="31" t="n">
        <x:v>46186</x:v>
      </x:c>
      <x:c r="N2206" s="31" t="n">
        <x:v>46190</x:v>
      </x:c>
      <x:c r="O2206" s="31" t="n">
        <x:v>46186</x:v>
      </x:c>
      <x:c r="P2206" s="31" t="n">
        <x:v>46189</x:v>
      </x:c>
      <x:c r="Q2206" s="31" t="inlineStr">
        <x:is>
          <x:t xml:space="preserve">Завершено</x:t>
        </x:is>
      </x:c>
      <x:c r="R2206" s="31" t="inlineStr">
        <x:is>
          <x:t xml:space="preserve">Нет</x:t>
        </x:is>
      </x:c>
      <x:c r="S2206" s="31" t="inlineStr">
        <x:is>
          <x:t xml:space="preserve">Нет</x:t>
        </x:is>
      </x:c>
    </x:row>
    <x:row r="2207">
      <x:c r="A2207" s="31" t="inlineStr">
        <x:is>
          <x:t xml:space="preserve">ОП-002206</x:t>
        </x:is>
      </x:c>
      <x:c r="B2207" s="31" t="inlineStr">
        <x:is>
          <x:t xml:space="preserve">ПЗ-00265</x:t>
        </x:is>
      </x:c>
      <x:c r="C2207" s="31" t="inlineStr">
        <x:is>
          <x:t xml:space="preserve">ЗК-1130</x:t>
        </x:is>
      </x:c>
      <x:c r="D2207" s="31" t="inlineStr">
        <x:is>
          <x:t xml:space="preserve">ПОЗ-0130-2</x:t>
        </x:is>
      </x:c>
      <x:c r="E2207" s="31" t="inlineStr">
        <x:is>
          <x:t xml:space="preserve">ИЗД-033</x:t>
        </x:is>
      </x:c>
      <x:c r="F2207" s="31" t="n">
        <x:v>50</x:v>
      </x:c>
      <x:c r="G2207" s="31" t="inlineStr">
        <x:is>
          <x:t xml:space="preserve">Обвязка труб</x:t>
        </x:is>
      </x:c>
      <x:c r="H2207" s="31" t="inlineStr">
        <x:is>
          <x:t xml:space="preserve">Сборка</x:t>
        </x:is>
      </x:c>
      <x:c r="I2207" s="31" t="inlineStr">
        <x:is>
          <x:t xml:space="preserve">ОБ-005</x:t>
        </x:is>
      </x:c>
      <x:c r="J2207" s="31" t="inlineStr">
        <x:is>
          <x:t xml:space="preserve">СОТР-073</x:t>
        </x:is>
      </x:c>
      <x:c r="K2207" s="31" t="n">
        <x:v>17</x:v>
      </x:c>
      <x:c r="L2207" s="31" t="n">
        <x:v>14</x:v>
      </x:c>
      <x:c r="M2207" s="31" t="n">
        <x:v>46190</x:v>
      </x:c>
      <x:c r="N2207" s="31" t="n">
        <x:v>46192</x:v>
      </x:c>
      <x:c r="O2207" s="31" t="n">
        <x:v>46190</x:v>
      </x:c>
      <x:c r="P2207" s="31" t="n">
        <x:v>46191</x:v>
      </x:c>
      <x:c r="Q2207" s="31" t="inlineStr">
        <x:is>
          <x:t xml:space="preserve">Завершено</x:t>
        </x:is>
      </x:c>
      <x:c r="R2207" s="31" t="inlineStr">
        <x:is>
          <x:t xml:space="preserve">Оборудование</x:t>
        </x:is>
      </x:c>
      <x:c r="S2207" s="31" t="inlineStr">
        <x:is>
          <x:t xml:space="preserve">Нет</x:t>
        </x:is>
      </x:c>
    </x:row>
    <x:row r="2208">
      <x:c r="A2208" s="31" t="inlineStr">
        <x:is>
          <x:t xml:space="preserve">ОП-002207</x:t>
        </x:is>
      </x:c>
      <x:c r="B2208" s="31" t="inlineStr">
        <x:is>
          <x:t xml:space="preserve">ПЗ-00265</x:t>
        </x:is>
      </x:c>
      <x:c r="C2208" s="31" t="inlineStr">
        <x:is>
          <x:t xml:space="preserve">ЗК-1130</x:t>
        </x:is>
      </x:c>
      <x:c r="D2208" s="31" t="inlineStr">
        <x:is>
          <x:t xml:space="preserve">ПОЗ-0130-2</x:t>
        </x:is>
      </x:c>
      <x:c r="E2208" s="31" t="inlineStr">
        <x:is>
          <x:t xml:space="preserve">ИЗД-033</x:t>
        </x:is>
      </x:c>
      <x:c r="F2208" s="31" t="n">
        <x:v>60</x:v>
      </x:c>
      <x:c r="G2208" s="31" t="inlineStr">
        <x:is>
          <x:t xml:space="preserve">Электромонтаж</x:t>
        </x:is>
      </x:c>
      <x:c r="H2208" s="31" t="inlineStr">
        <x:is>
          <x:t xml:space="preserve">Сборка</x:t>
        </x:is>
      </x:c>
      <x:c r="I2208" s="31" t="inlineStr">
        <x:is>
          <x:t xml:space="preserve">ОБ-002</x:t>
        </x:is>
      </x:c>
      <x:c r="J2208" s="31" t="inlineStr">
        <x:is>
          <x:t xml:space="preserve">СОТР-087</x:t>
        </x:is>
      </x:c>
      <x:c r="K2208" s="31" t="n">
        <x:v>76.5</x:v>
      </x:c>
      <x:c r="L2208" s="31" t="n">
        <x:v>96.90000000000001</x:v>
      </x:c>
      <x:c r="M2208" s="31" t="n">
        <x:v>46192</x:v>
      </x:c>
      <x:c r="N2208" s="31" t="n">
        <x:v>46199</x:v>
      </x:c>
      <x:c r="O2208" s="31" t="n">
        <x:v>46192</x:v>
      </x:c>
      <x:c r="P2208" s="31" t="n">
        <x:v>46198</x:v>
      </x:c>
      <x:c r="Q2208" s="31" t="inlineStr">
        <x:is>
          <x:t xml:space="preserve">Завершено</x:t>
        </x:is>
      </x:c>
      <x:c r="R2208" s="31" t="inlineStr">
        <x:is>
          <x:t xml:space="preserve">Нет</x:t>
        </x:is>
      </x:c>
      <x:c r="S2208" s="31" t="inlineStr">
        <x:is>
          <x:t xml:space="preserve">Нет</x:t>
        </x:is>
      </x:c>
    </x:row>
    <x:row r="2209">
      <x:c r="A2209" s="31" t="inlineStr">
        <x:is>
          <x:t xml:space="preserve">ОП-002208</x:t>
        </x:is>
      </x:c>
      <x:c r="B2209" s="31" t="inlineStr">
        <x:is>
          <x:t xml:space="preserve">ПЗ-00265</x:t>
        </x:is>
      </x:c>
      <x:c r="C2209" s="31" t="inlineStr">
        <x:is>
          <x:t xml:space="preserve">ЗК-1130</x:t>
        </x:is>
      </x:c>
      <x:c r="D2209" s="31" t="inlineStr">
        <x:is>
          <x:t xml:space="preserve">ПОЗ-0130-2</x:t>
        </x:is>
      </x:c>
      <x:c r="E2209" s="31" t="inlineStr">
        <x:is>
          <x:t xml:space="preserve">ИЗД-033</x:t>
        </x:is>
      </x:c>
      <x:c r="F2209" s="31" t="n">
        <x:v>70</x:v>
      </x:c>
      <x:c r="G2209" s="31" t="inlineStr">
        <x:is>
          <x:t xml:space="preserve">Гидроиспытания</x:t>
        </x:is>
      </x:c>
      <x:c r="H2209" s="31" t="inlineStr">
        <x:is>
          <x:t xml:space="preserve">ОТК</x:t>
        </x:is>
      </x:c>
      <x:c r="I2209" s="31" t="inlineStr">
        <x:is>
          <x:t xml:space="preserve">ОБ-001</x:t>
        </x:is>
      </x:c>
      <x:c r="J2209" s="31" t="inlineStr">
        <x:is>
          <x:t xml:space="preserve">СОТР-099</x:t>
        </x:is>
      </x:c>
      <x:c r="K2209" s="31" t="n">
        <x:v>64.5</x:v>
      </x:c>
      <x:c r="L2209" s="31" t="n">
        <x:v>70.7</x:v>
      </x:c>
      <x:c r="M2209" s="31" t="n">
        <x:v>46199</x:v>
      </x:c>
      <x:c r="N2209" s="31" t="n">
        <x:v>46205</x:v>
      </x:c>
      <x:c r="O2209" s="31" t="n">
        <x:v>46199</x:v>
      </x:c>
      <x:c r="P2209" s="31" t="n">
        <x:v>46204</x:v>
      </x:c>
      <x:c r="Q2209" s="31" t="inlineStr">
        <x:is>
          <x:t xml:space="preserve">Завершено</x:t>
        </x:is>
      </x:c>
      <x:c r="R2209" s="31" t="inlineStr">
        <x:is>
          <x:t xml:space="preserve">Нет</x:t>
        </x:is>
      </x:c>
      <x:c r="S2209" s="31" t="inlineStr">
        <x:is>
          <x:t xml:space="preserve">Нет</x:t>
        </x:is>
      </x:c>
    </x:row>
    <x:row r="2210">
      <x:c r="A2210" s="31" t="inlineStr">
        <x:is>
          <x:t xml:space="preserve">ОП-002209</x:t>
        </x:is>
      </x:c>
      <x:c r="B2210" s="31" t="inlineStr">
        <x:is>
          <x:t xml:space="preserve">ПЗ-00265</x:t>
        </x:is>
      </x:c>
      <x:c r="C2210" s="31" t="inlineStr">
        <x:is>
          <x:t xml:space="preserve">ЗК-1130</x:t>
        </x:is>
      </x:c>
      <x:c r="D2210" s="31" t="inlineStr">
        <x:is>
          <x:t xml:space="preserve">ПОЗ-0130-2</x:t>
        </x:is>
      </x:c>
      <x:c r="E2210" s="31" t="inlineStr">
        <x:is>
          <x:t xml:space="preserve">ИЗД-033</x:t>
        </x:is>
      </x:c>
      <x:c r="F2210" s="31" t="n">
        <x:v>80</x:v>
      </x:c>
      <x:c r="G2210" s="31" t="inlineStr">
        <x:is>
          <x:t xml:space="preserve">ОТК</x:t>
        </x:is>
      </x:c>
      <x:c r="H2210" s="31" t="inlineStr">
        <x:is>
          <x:t xml:space="preserve">ОТК</x:t>
        </x:is>
      </x:c>
      <x:c r="I2210" s="31" t="inlineStr">
        <x:is>
          <x:t xml:space="preserve">ОБ-024</x:t>
        </x:is>
      </x:c>
      <x:c r="J2210" s="31" t="inlineStr">
        <x:is>
          <x:t xml:space="preserve">СОТР-098</x:t>
        </x:is>
      </x:c>
      <x:c r="K2210" s="31" t="n">
        <x:v>69.5</x:v>
      </x:c>
      <x:c r="L2210" s="31" t="n">
        <x:v>70.40000000000001</x:v>
      </x:c>
      <x:c r="M2210" s="31" t="n">
        <x:v>46205</x:v>
      </x:c>
      <x:c r="N2210" s="31" t="n">
        <x:v>46211</x:v>
      </x:c>
      <x:c r="O2210" s="31" t="n">
        <x:v>46205</x:v>
      </x:c>
      <x:c r="P2210" s="31" t="n">
        <x:v>46210</x:v>
      </x:c>
      <x:c r="Q2210" s="31" t="inlineStr">
        <x:is>
          <x:t xml:space="preserve">Завершено</x:t>
        </x:is>
      </x:c>
      <x:c r="R2210" s="31" t="inlineStr">
        <x:is>
          <x:t xml:space="preserve">Нет</x:t>
        </x:is>
      </x:c>
      <x:c r="S2210" s="31" t="inlineStr">
        <x:is>
          <x:t xml:space="preserve">Нет</x:t>
        </x:is>
      </x:c>
    </x:row>
    <x:row r="2211">
      <x:c r="A2211" s="31" t="inlineStr">
        <x:is>
          <x:t xml:space="preserve">ОП-002210</x:t>
        </x:is>
      </x:c>
      <x:c r="B2211" s="31" t="inlineStr">
        <x:is>
          <x:t xml:space="preserve">ПЗ-00265</x:t>
        </x:is>
      </x:c>
      <x:c r="C2211" s="31" t="inlineStr">
        <x:is>
          <x:t xml:space="preserve">ЗК-1130</x:t>
        </x:is>
      </x:c>
      <x:c r="D2211" s="31" t="inlineStr">
        <x:is>
          <x:t xml:space="preserve">ПОЗ-0130-2</x:t>
        </x:is>
      </x:c>
      <x:c r="E2211" s="31" t="inlineStr">
        <x:is>
          <x:t xml:space="preserve">ИЗД-033</x:t>
        </x:is>
      </x:c>
      <x:c r="F2211" s="31" t="n">
        <x:v>90</x:v>
      </x:c>
      <x:c r="G2211" s="31" t="inlineStr">
        <x:is>
          <x:t xml:space="preserve">Упаковка</x:t>
        </x:is>
      </x:c>
      <x:c r="H2211" s="31" t="inlineStr">
        <x:is>
          <x:t xml:space="preserve">Логистика</x:t>
        </x:is>
      </x:c>
      <x:c r="I2211" s="31" t="n"/>
      <x:c r="J2211" s="31" t="inlineStr">
        <x:is>
          <x:t xml:space="preserve">СОТР-103</x:t>
        </x:is>
      </x:c>
      <x:c r="K2211" s="31" t="n">
        <x:v>90.5</x:v>
      </x:c>
      <x:c r="L2211" s="31" t="n">
        <x:v>76.8</x:v>
      </x:c>
      <x:c r="M2211" s="31" t="n">
        <x:v>46211</x:v>
      </x:c>
      <x:c r="N2211" s="31" t="n">
        <x:v>46219</x:v>
      </x:c>
      <x:c r="O2211" s="31" t="n">
        <x:v>46211</x:v>
      </x:c>
      <x:c r="P2211" s="31" t="n">
        <x:v>46220</x:v>
      </x:c>
      <x:c r="Q2211" s="31" t="inlineStr">
        <x:is>
          <x:t xml:space="preserve">Завершено</x:t>
        </x:is>
      </x:c>
      <x:c r="R2211" s="31" t="inlineStr">
        <x:is>
          <x:t xml:space="preserve">Нет</x:t>
        </x:is>
      </x:c>
      <x:c r="S2211" s="31" t="inlineStr">
        <x:is>
          <x:t xml:space="preserve">Нет</x:t>
        </x:is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cols>
    <x:col min="1" max="1" width="11" customWidth="1"/>
    <x:col min="2" max="2" width="12" customWidth="1"/>
    <x:col min="3" max="3" width="10" customWidth="1"/>
    <x:col min="4" max="4" width="31" customWidth="1"/>
    <x:col min="5" max="5" width="14" customWidth="1"/>
    <x:col min="6" max="6" width="18" customWidth="1"/>
    <x:col min="7" max="7" width="10" customWidth="1"/>
    <x:col min="8" max="8" width="18" customWidth="1"/>
    <x:col min="9" max="9" width="11" customWidth="1"/>
    <x:col min="10" max="10" width="11" customWidth="1"/>
    <x:col min="11" max="11" width="12" customWidth="1"/>
    <x:col min="12" max="12" width="12" customWidth="1"/>
    <x:col min="13" max="13" width="15" customWidth="1"/>
    <x:col min="14" max="14" width="21" customWidth="1"/>
    <x:col min="15" max="15" width="23" customWidth="1"/>
    <x:col min="16" max="16" width="22" customWidth="1"/>
  </x:cols>
  <x:sheetData>
    <x:row r="1" ht="18" customHeight="1">
      <x:c r="A1" s="30" t="inlineStr">
        <x:is>
          <x:t xml:space="preserve">Код смены</x:t>
        </x:is>
      </x:c>
      <x:c r="B1" s="30" t="inlineStr">
        <x:is>
          <x:t xml:space="preserve">Дата смены</x:t>
        </x:is>
      </x:c>
      <x:c r="C1" s="30" t="inlineStr">
        <x:is>
          <x:t xml:space="preserve">Смена</x:t>
        </x:is>
      </x:c>
      <x:c r="D1" s="30" t="inlineStr">
        <x:is>
          <x:t xml:space="preserve">Код производственного задания</x:t>
        </x:is>
      </x:c>
      <x:c r="E1" s="30" t="inlineStr">
        <x:is>
          <x:t xml:space="preserve">Код операции</x:t>
        </x:is>
      </x:c>
      <x:c r="F1" s="30" t="inlineStr">
        <x:is>
          <x:t xml:space="preserve">Код оборудования</x:t>
        </x:is>
      </x:c>
      <x:c r="G1" s="30" t="inlineStr">
        <x:is>
          <x:t xml:space="preserve">Оператор</x:t>
        </x:is>
      </x:c>
      <x:c r="H1" s="30" t="inlineStr">
        <x:is>
          <x:t xml:space="preserve">Цех/участок</x:t>
        </x:is>
      </x:c>
      <x:c r="I1" s="30" t="inlineStr">
        <x:is>
          <x:t xml:space="preserve">План, шт.</x:t>
        </x:is>
      </x:c>
      <x:c r="J1" s="30" t="inlineStr">
        <x:is>
          <x:t xml:space="preserve">Факт, шт.</x:t>
        </x:is>
      </x:c>
      <x:c r="K1" s="30" t="inlineStr">
        <x:is>
          <x:t xml:space="preserve">План часов</x:t>
        </x:is>
      </x:c>
      <x:c r="L1" s="30" t="inlineStr">
        <x:is>
          <x:t xml:space="preserve">Факт часов</x:t>
        </x:is>
      </x:c>
      <x:c r="M1" s="30" t="inlineStr">
        <x:is>
          <x:t xml:space="preserve">Простой, мин.</x:t>
        </x:is>
      </x:c>
      <x:c r="N1" s="30" t="inlineStr">
        <x:is>
          <x:t xml:space="preserve">Причина простоя</x:t>
        </x:is>
      </x:c>
      <x:c r="O1" s="30" t="inlineStr">
        <x:is>
          <x:t xml:space="preserve">Статус</x:t>
        </x:is>
      </x:c>
      <x:c r="P1" s="30" t="inlineStr">
        <x:is>
          <x:t xml:space="preserve">Комментарий</x:t>
        </x:is>
      </x:c>
    </x:row>
    <x:row r="2" ht="18" customHeight="1">
      <x:c r="A2" s="31" t="inlineStr">
        <x:is>
          <x:t xml:space="preserve">СМ-00001</x:t>
        </x:is>
      </x:c>
      <x:c r="B2" s="31" t="n">
        <x:v>46186</x:v>
      </x:c>
      <x:c r="C2" s="31" t="inlineStr">
        <x:is>
          <x:t xml:space="preserve">День</x:t>
        </x:is>
      </x:c>
      <x:c r="D2" s="31" t="inlineStr">
        <x:is>
          <x:t xml:space="preserve">ПЗ-00205</x:t>
        </x:is>
      </x:c>
      <x:c r="E2" s="31" t="inlineStr">
        <x:is>
          <x:t xml:space="preserve">ОП-001723</x:t>
        </x:is>
      </x:c>
      <x:c r="F2" s="31" t="n"/>
      <x:c r="G2" s="31" t="inlineStr">
        <x:is>
          <x:t xml:space="preserve">СОТР-104</x:t>
        </x:is>
      </x:c>
      <x:c r="H2" s="31" t="inlineStr">
        <x:is>
          <x:t xml:space="preserve">Логистика</x:t>
        </x:is>
      </x:c>
      <x:c r="I2" s="31" t="n">
        <x:v>1</x:v>
      </x:c>
      <x:c r="J2" s="31" t="n">
        <x:v>1</x:v>
      </x:c>
      <x:c r="K2" s="31" t="n">
        <x:v>39</x:v>
      </x:c>
      <x:c r="L2" s="31" t="n">
        <x:v>32.4</x:v>
      </x:c>
      <x:c r="M2" s="31" t="n">
        <x:v>0</x:v>
      </x:c>
      <x:c r="N2" s="31" t="inlineStr">
        <x:is>
          <x:t xml:space="preserve">Нет</x:t>
        </x:is>
      </x:c>
      <x:c r="O2" s="31" t="inlineStr">
        <x:is>
          <x:t xml:space="preserve">Подтверждено мастером</x:t>
        </x:is>
      </x:c>
      <x:c r="P2" s="31" t="inlineStr">
        <x:is>
          <x:t xml:space="preserve">Комментарий смены 1</x:t>
        </x:is>
      </x:c>
    </x:row>
    <x:row r="3" ht="18" customHeight="1">
      <x:c r="A3" s="31" t="inlineStr">
        <x:is>
          <x:t xml:space="preserve">СМ-00002</x:t>
        </x:is>
      </x:c>
      <x:c r="B3" s="31" t="n">
        <x:v>46098</x:v>
      </x:c>
      <x:c r="C3" s="31" t="inlineStr">
        <x:is>
          <x:t xml:space="preserve">День</x:t>
        </x:is>
      </x:c>
      <x:c r="D3" s="31" t="inlineStr">
        <x:is>
          <x:t xml:space="preserve">ПЗ-00022</x:t>
        </x:is>
      </x:c>
      <x:c r="E3" s="31" t="inlineStr">
        <x:is>
          <x:t xml:space="preserve">ОП-000188</x:t>
        </x:is>
      </x:c>
      <x:c r="F3" s="31" t="inlineStr">
        <x:is>
          <x:t xml:space="preserve">ОБ-034</x:t>
        </x:is>
      </x:c>
      <x:c r="G3" s="31" t="inlineStr">
        <x:is>
          <x:t xml:space="preserve">СОТР-091</x:t>
        </x:is>
      </x:c>
      <x:c r="H3" s="31" t="inlineStr">
        <x:is>
          <x:t xml:space="preserve">Сборка</x:t>
        </x:is>
      </x:c>
      <x:c r="I3" s="31" t="n">
        <x:v>1</x:v>
      </x:c>
      <x:c r="J3" s="31" t="n">
        <x:v>1</x:v>
      </x:c>
      <x:c r="K3" s="31" t="n">
        <x:v>20</x:v>
      </x:c>
      <x:c r="L3" s="31" t="n">
        <x:v>18.3</x:v>
      </x:c>
      <x:c r="M3" s="31" t="n">
        <x:v>30</x:v>
      </x:c>
      <x:c r="N3" s="31" t="inlineStr">
        <x:is>
          <x:t xml:space="preserve">Ремонт оборудования</x:t>
        </x:is>
      </x:c>
      <x:c r="O3" s="31" t="inlineStr">
        <x:is>
          <x:t xml:space="preserve">Черновик</x:t>
        </x:is>
      </x:c>
      <x:c r="P3" s="31" t="inlineStr">
        <x:is>
          <x:t xml:space="preserve">Комментарий смены 2</x:t>
        </x:is>
      </x:c>
    </x:row>
    <x:row r="4" ht="18" customHeight="1">
      <x:c r="A4" s="31" t="inlineStr">
        <x:is>
          <x:t xml:space="preserve">СМ-00003</x:t>
        </x:is>
      </x:c>
      <x:c r="B4" s="31" t="n">
        <x:v>46210</x:v>
      </x:c>
      <x:c r="C4" s="31" t="inlineStr">
        <x:is>
          <x:t xml:space="preserve">Вечер</x:t>
        </x:is>
      </x:c>
      <x:c r="D4" s="31" t="inlineStr">
        <x:is>
          <x:t xml:space="preserve">ПЗ-00172</x:t>
        </x:is>
      </x:c>
      <x:c r="E4" s="31" t="inlineStr">
        <x:is>
          <x:t xml:space="preserve">ОП-001436</x:t>
        </x:is>
      </x:c>
      <x:c r="F4" s="31" t="n"/>
      <x:c r="G4" s="31" t="inlineStr">
        <x:is>
          <x:t xml:space="preserve">СОТР-102</x:t>
        </x:is>
      </x:c>
      <x:c r="H4" s="31" t="inlineStr">
        <x:is>
          <x:t xml:space="preserve">Логистика</x:t>
        </x:is>
      </x:c>
      <x:c r="I4" s="31" t="n">
        <x:v>1</x:v>
      </x:c>
      <x:c r="J4" s="31" t="n">
        <x:v>0</x:v>
      </x:c>
      <x:c r="K4" s="31" t="n">
        <x:v>8.9</x:v>
      </x:c>
      <x:c r="L4" s="31" t="n">
        <x:v>5.1</x:v>
      </x:c>
      <x:c r="M4" s="31" t="n">
        <x:v>0</x:v>
      </x:c>
      <x:c r="N4" s="31" t="inlineStr">
        <x:is>
          <x:t xml:space="preserve">Нет</x:t>
        </x:is>
      </x:c>
      <x:c r="O4" s="31" t="inlineStr">
        <x:is>
          <x:t xml:space="preserve">Подтверждено мастером</x:t>
        </x:is>
      </x:c>
      <x:c r="P4" s="31" t="inlineStr">
        <x:is>
          <x:t xml:space="preserve">Комментарий смены 3</x:t>
        </x:is>
      </x:c>
    </x:row>
    <x:row r="5" ht="18" customHeight="1">
      <x:c r="A5" s="31" t="inlineStr">
        <x:is>
          <x:t xml:space="preserve">СМ-00004</x:t>
        </x:is>
      </x:c>
      <x:c r="B5" s="31" t="n">
        <x:v>46194</x:v>
      </x:c>
      <x:c r="C5" s="31" t="inlineStr">
        <x:is>
          <x:t xml:space="preserve">День</x:t>
        </x:is>
      </x:c>
      <x:c r="D5" s="31" t="inlineStr">
        <x:is>
          <x:t xml:space="preserve">ПЗ-00017</x:t>
        </x:is>
      </x:c>
      <x:c r="E5" s="31" t="inlineStr">
        <x:is>
          <x:t xml:space="preserve">ОП-000145</x:t>
        </x:is>
      </x:c>
      <x:c r="F5" s="31" t="inlineStr">
        <x:is>
          <x:t xml:space="preserve">ОБ-033</x:t>
        </x:is>
      </x:c>
      <x:c r="G5" s="31" t="inlineStr">
        <x:is>
          <x:t xml:space="preserve">СОТР-100</x:t>
        </x:is>
      </x:c>
      <x:c r="H5" s="31" t="inlineStr">
        <x:is>
          <x:t xml:space="preserve">ОТК</x:t>
        </x:is>
      </x:c>
      <x:c r="I5" s="31" t="n">
        <x:v>1</x:v>
      </x:c>
      <x:c r="J5" s="31" t="n">
        <x:v>0</x:v>
      </x:c>
      <x:c r="K5" s="31" t="n">
        <x:v>104</x:v>
      </x:c>
      <x:c r="L5" s="31" t="n">
        <x:v>61.1</x:v>
      </x:c>
      <x:c r="M5" s="31" t="n">
        <x:v>0</x:v>
      </x:c>
      <x:c r="N5" s="31" t="inlineStr">
        <x:is>
          <x:t xml:space="preserve">Нет</x:t>
        </x:is>
      </x:c>
      <x:c r="O5" s="31" t="inlineStr">
        <x:is>
          <x:t xml:space="preserve">Подтверждено мастером</x:t>
        </x:is>
      </x:c>
      <x:c r="P5" s="31" t="inlineStr">
        <x:is>
          <x:t xml:space="preserve">Комментарий смены 4</x:t>
        </x:is>
      </x:c>
    </x:row>
    <x:row r="6" ht="18" customHeight="1">
      <x:c r="A6" s="31" t="inlineStr">
        <x:is>
          <x:t xml:space="preserve">СМ-00005</x:t>
        </x:is>
      </x:c>
      <x:c r="B6" s="31" t="n">
        <x:v>46150</x:v>
      </x:c>
      <x:c r="C6" s="31" t="inlineStr">
        <x:is>
          <x:t xml:space="preserve">День</x:t>
        </x:is>
      </x:c>
      <x:c r="D6" s="31" t="inlineStr">
        <x:is>
          <x:t xml:space="preserve">ПЗ-00188</x:t>
        </x:is>
      </x:c>
      <x:c r="E6" s="31" t="inlineStr">
        <x:is>
          <x:t xml:space="preserve">ОП-001564</x:t>
        </x:is>
      </x:c>
      <x:c r="F6" s="31" t="n"/>
      <x:c r="G6" s="31" t="inlineStr">
        <x:is>
          <x:t xml:space="preserve">СОТР-013</x:t>
        </x:is>
      </x:c>
      <x:c r="H6" s="31" t="inlineStr">
        <x:is>
          <x:t xml:space="preserve">Инженерный отдел</x:t>
        </x:is>
      </x:c>
      <x:c r="I6" s="31" t="n">
        <x:v>1</x:v>
      </x:c>
      <x:c r="J6" s="31" t="n">
        <x:v>1</x:v>
      </x:c>
      <x:c r="K6" s="31" t="n">
        <x:v>7.7</x:v>
      </x:c>
      <x:c r="L6" s="31" t="n">
        <x:v>8.4</x:v>
      </x:c>
      <x:c r="M6" s="31" t="n">
        <x:v>120</x:v>
      </x:c>
      <x:c r="N6" s="31" t="inlineStr">
        <x:is>
          <x:t xml:space="preserve">Ожидание материала</x:t>
        </x:is>
      </x:c>
      <x:c r="O6" s="31" t="inlineStr">
        <x:is>
          <x:t xml:space="preserve">Подтверждено мастером</x:t>
        </x:is>
      </x:c>
      <x:c r="P6" s="31" t="inlineStr">
        <x:is>
          <x:t xml:space="preserve">Комментарий смены 5</x:t>
        </x:is>
      </x:c>
    </x:row>
    <x:row r="7" ht="18" customHeight="1">
      <x:c r="A7" s="31" t="inlineStr">
        <x:is>
          <x:t xml:space="preserve">СМ-00006</x:t>
        </x:is>
      </x:c>
      <x:c r="B7" s="31" t="n">
        <x:v>46117</x:v>
      </x:c>
      <x:c r="C7" s="31" t="inlineStr">
        <x:is>
          <x:t xml:space="preserve">День</x:t>
        </x:is>
      </x:c>
      <x:c r="D7" s="31" t="inlineStr">
        <x:is>
          <x:t xml:space="preserve">ПЗ-00164</x:t>
        </x:is>
      </x:c>
      <x:c r="E7" s="31" t="inlineStr">
        <x:is>
          <x:t xml:space="preserve">ОП-001369</x:t>
        </x:is>
      </x:c>
      <x:c r="F7" s="31" t="inlineStr">
        <x:is>
          <x:t xml:space="preserve">ОБ-013</x:t>
        </x:is>
      </x:c>
      <x:c r="G7" s="31" t="inlineStr">
        <x:is>
          <x:t xml:space="preserve">СОТР-093</x:t>
        </x:is>
      </x:c>
      <x:c r="H7" s="31" t="inlineStr">
        <x:is>
          <x:t xml:space="preserve">ОТК</x:t>
        </x:is>
      </x:c>
      <x:c r="I7" s="31" t="n">
        <x:v>1</x:v>
      </x:c>
      <x:c r="J7" s="31" t="n">
        <x:v>1</x:v>
      </x:c>
      <x:c r="K7" s="31" t="n">
        <x:v>8.199999999999999</x:v>
      </x:c>
      <x:c r="L7" s="31" t="n">
        <x:v>10.2</x:v>
      </x:c>
      <x:c r="M7" s="31" t="n">
        <x:v>120</x:v>
      </x:c>
      <x:c r="N7" s="31" t="inlineStr">
        <x:is>
          <x:t xml:space="preserve">Переналадка</x:t>
        </x:is>
      </x:c>
      <x:c r="O7" s="31" t="inlineStr">
        <x:is>
          <x:t xml:space="preserve">Спорный факт</x:t>
        </x:is>
      </x:c>
      <x:c r="P7" s="31" t="inlineStr">
        <x:is>
          <x:t xml:space="preserve">Комментарий смены 6</x:t>
        </x:is>
      </x:c>
    </x:row>
    <x:row r="8" ht="18" customHeight="1">
      <x:c r="A8" s="31" t="inlineStr">
        <x:is>
          <x:t xml:space="preserve">СМ-00007</x:t>
        </x:is>
      </x:c>
      <x:c r="B8" s="31" t="n">
        <x:v>46154</x:v>
      </x:c>
      <x:c r="C8" s="31" t="inlineStr">
        <x:is>
          <x:t xml:space="preserve">Вечер</x:t>
        </x:is>
      </x:c>
      <x:c r="D8" s="31" t="inlineStr">
        <x:is>
          <x:t xml:space="preserve">ПЗ-00196</x:t>
        </x:is>
      </x:c>
      <x:c r="E8" s="31" t="inlineStr">
        <x:is>
          <x:t xml:space="preserve">ОП-001640</x:t>
        </x:is>
      </x:c>
      <x:c r="F8" s="31" t="inlineStr">
        <x:is>
          <x:t xml:space="preserve">ОБ-004</x:t>
        </x:is>
      </x:c>
      <x:c r="G8" s="31" t="inlineStr">
        <x:is>
          <x:t xml:space="preserve">СОТР-067</x:t>
        </x:is>
      </x:c>
      <x:c r="H8" s="31" t="inlineStr">
        <x:is>
          <x:t xml:space="preserve">Сварка</x:t>
        </x:is>
      </x:c>
      <x:c r="I8" s="31" t="n">
        <x:v>2</x:v>
      </x:c>
      <x:c r="J8" s="31" t="n">
        <x:v>2</x:v>
      </x:c>
      <x:c r="K8" s="31" t="n">
        <x:v>21.3</x:v>
      </x:c>
      <x:c r="L8" s="31" t="n">
        <x:v>20.4</x:v>
      </x:c>
      <x:c r="M8" s="31" t="n">
        <x:v>0</x:v>
      </x:c>
      <x:c r="N8" s="31" t="inlineStr">
        <x:is>
          <x:t xml:space="preserve">Нет</x:t>
        </x:is>
      </x:c>
      <x:c r="O8" s="31" t="inlineStr">
        <x:is>
          <x:t xml:space="preserve">Подтверждено мастером</x:t>
        </x:is>
      </x:c>
      <x:c r="P8" s="31" t="inlineStr">
        <x:is>
          <x:t xml:space="preserve">Комментарий смены 7</x:t>
        </x:is>
      </x:c>
    </x:row>
    <x:row r="9" ht="18" customHeight="1">
      <x:c r="A9" s="31" t="inlineStr">
        <x:is>
          <x:t xml:space="preserve">СМ-00008</x:t>
        </x:is>
      </x:c>
      <x:c r="B9" s="31" t="n">
        <x:v>46138</x:v>
      </x:c>
      <x:c r="C9" s="31" t="inlineStr">
        <x:is>
          <x:t xml:space="preserve">День</x:t>
        </x:is>
      </x:c>
      <x:c r="D9" s="31" t="inlineStr">
        <x:is>
          <x:t xml:space="preserve">ПЗ-00263</x:t>
        </x:is>
      </x:c>
      <x:c r="E9" s="31" t="inlineStr">
        <x:is>
          <x:t xml:space="preserve">ОП-002197</x:t>
        </x:is>
      </x:c>
      <x:c r="F9" s="31" t="n"/>
      <x:c r="G9" s="31" t="inlineStr">
        <x:is>
          <x:t xml:space="preserve">СОТР-070</x:t>
        </x:is>
      </x:c>
      <x:c r="H9" s="31" t="inlineStr">
        <x:is>
          <x:t xml:space="preserve">Логистика</x:t>
        </x:is>
      </x:c>
      <x:c r="I9" s="31" t="n">
        <x:v>1</x:v>
      </x:c>
      <x:c r="J9" s="31" t="n">
        <x:v>1</x:v>
      </x:c>
      <x:c r="K9" s="31" t="n">
        <x:v>5.3</x:v>
      </x:c>
      <x:c r="L9" s="31" t="n">
        <x:v>6.9</x:v>
      </x:c>
      <x:c r="M9" s="31" t="n">
        <x:v>0</x:v>
      </x:c>
      <x:c r="N9" s="31" t="inlineStr">
        <x:is>
          <x:t xml:space="preserve">Нет</x:t>
        </x:is>
      </x:c>
      <x:c r="O9" s="31" t="inlineStr">
        <x:is>
          <x:t xml:space="preserve">Черновик</x:t>
        </x:is>
      </x:c>
      <x:c r="P9" s="31" t="inlineStr">
        <x:is>
          <x:t xml:space="preserve">Комментарий смены 8</x:t>
        </x:is>
      </x:c>
    </x:row>
    <x:row r="10" ht="18" customHeight="1">
      <x:c r="A10" s="31" t="inlineStr">
        <x:is>
          <x:t xml:space="preserve">СМ-00009</x:t>
        </x:is>
      </x:c>
      <x:c r="B10" s="31" t="n">
        <x:v>46136</x:v>
      </x:c>
      <x:c r="C10" s="31" t="inlineStr">
        <x:is>
          <x:t xml:space="preserve">Вечер</x:t>
        </x:is>
      </x:c>
      <x:c r="D10" s="31" t="inlineStr">
        <x:is>
          <x:t xml:space="preserve">ПЗ-00077</x:t>
        </x:is>
      </x:c>
      <x:c r="E10" s="31" t="inlineStr">
        <x:is>
          <x:t xml:space="preserve">ОП-000657</x:t>
        </x:is>
      </x:c>
      <x:c r="F10" s="31" t="inlineStr">
        <x:is>
          <x:t xml:space="preserve">ОБ-014</x:t>
        </x:is>
      </x:c>
      <x:c r="G10" s="31" t="inlineStr">
        <x:is>
          <x:t xml:space="preserve">СОТР-079</x:t>
        </x:is>
      </x:c>
      <x:c r="H10" s="31" t="inlineStr">
        <x:is>
          <x:t xml:space="preserve">Сборка</x:t>
        </x:is>
      </x:c>
      <x:c r="I10" s="31" t="n">
        <x:v>2</x:v>
      </x:c>
      <x:c r="J10" s="31" t="n">
        <x:v>0</x:v>
      </x:c>
      <x:c r="K10" s="31" t="n">
        <x:v>9.4</x:v>
      </x:c>
      <x:c r="L10" s="31" t="n">
        <x:v>5.9</x:v>
      </x:c>
      <x:c r="M10" s="31" t="n">
        <x:v>0</x:v>
      </x:c>
      <x:c r="N10" s="31" t="inlineStr">
        <x:is>
          <x:t xml:space="preserve">Нет</x:t>
        </x:is>
      </x:c>
      <x:c r="O10" s="31" t="inlineStr">
        <x:is>
          <x:t xml:space="preserve">Подтверждено мастером</x:t>
        </x:is>
      </x:c>
      <x:c r="P10" s="31" t="inlineStr">
        <x:is>
          <x:t xml:space="preserve">Комментарий смены 9</x:t>
        </x:is>
      </x:c>
    </x:row>
    <x:row r="11" ht="18" customHeight="1">
      <x:c r="A11" s="31" t="inlineStr">
        <x:is>
          <x:t xml:space="preserve">СМ-00010</x:t>
        </x:is>
      </x:c>
      <x:c r="B11" s="31" t="n">
        <x:v>46145</x:v>
      </x:c>
      <x:c r="C11" s="31" t="inlineStr">
        <x:is>
          <x:t xml:space="preserve">Вечер</x:t>
        </x:is>
      </x:c>
      <x:c r="D11" s="31" t="inlineStr">
        <x:is>
          <x:t xml:space="preserve">ПЗ-00187</x:t>
        </x:is>
      </x:c>
      <x:c r="E11" s="31" t="inlineStr">
        <x:is>
          <x:t xml:space="preserve">ОП-001558</x:t>
        </x:is>
      </x:c>
      <x:c r="F11" s="31" t="inlineStr">
        <x:is>
          <x:t xml:space="preserve">ОБ-027</x:t>
        </x:is>
      </x:c>
      <x:c r="G11" s="31" t="inlineStr">
        <x:is>
          <x:t xml:space="preserve">СОТР-087</x:t>
        </x:is>
      </x:c>
      <x:c r="H11" s="31" t="inlineStr">
        <x:is>
          <x:t xml:space="preserve">Сборка</x:t>
        </x:is>
      </x:c>
      <x:c r="I11" s="31" t="n">
        <x:v>2</x:v>
      </x:c>
      <x:c r="J11" s="31" t="n">
        <x:v>2</x:v>
      </x:c>
      <x:c r="K11" s="31" t="n">
        <x:v>17.8</x:v>
      </x:c>
      <x:c r="L11" s="31" t="n">
        <x:v>19.8</x:v>
      </x:c>
      <x:c r="M11" s="31" t="n">
        <x:v>45</x:v>
      </x:c>
      <x:c r="N11" s="31" t="inlineStr">
        <x:is>
          <x:t xml:space="preserve">Переналадка</x:t>
        </x:is>
      </x:c>
      <x:c r="O11" s="31" t="inlineStr">
        <x:is>
          <x:t xml:space="preserve">Подтверждено мастером</x:t>
        </x:is>
      </x:c>
      <x:c r="P11" s="31" t="inlineStr">
        <x:is>
          <x:t xml:space="preserve">Комментарий смены 10</x:t>
        </x:is>
      </x:c>
    </x:row>
    <x:row r="12" ht="18" customHeight="1">
      <x:c r="A12" s="31" t="inlineStr">
        <x:is>
          <x:t xml:space="preserve">СМ-00011</x:t>
        </x:is>
      </x:c>
      <x:c r="B12" s="31" t="n">
        <x:v>46097</x:v>
      </x:c>
      <x:c r="C12" s="31" t="inlineStr">
        <x:is>
          <x:t xml:space="preserve">День</x:t>
        </x:is>
      </x:c>
      <x:c r="D12" s="31" t="inlineStr">
        <x:is>
          <x:t xml:space="preserve">ПЗ-00234</x:t>
        </x:is>
      </x:c>
      <x:c r="E12" s="31" t="inlineStr">
        <x:is>
          <x:t xml:space="preserve">ОП-001961</x:t>
        </x:is>
      </x:c>
      <x:c r="F12" s="31" t="inlineStr">
        <x:is>
          <x:t xml:space="preserve">ОБ-012</x:t>
        </x:is>
      </x:c>
      <x:c r="G12" s="31" t="inlineStr">
        <x:is>
          <x:t xml:space="preserve">СОТР-075</x:t>
        </x:is>
      </x:c>
      <x:c r="H12" s="31" t="inlineStr">
        <x:is>
          <x:t xml:space="preserve">Сборка</x:t>
        </x:is>
      </x:c>
      <x:c r="I12" s="31" t="n">
        <x:v>2</x:v>
      </x:c>
      <x:c r="J12" s="31" t="n">
        <x:v>2</x:v>
      </x:c>
      <x:c r="K12" s="31" t="n">
        <x:v>40</x:v>
      </x:c>
      <x:c r="L12" s="31" t="n">
        <x:v>43.8</x:v>
      </x:c>
      <x:c r="M12" s="31" t="n">
        <x:v>0</x:v>
      </x:c>
      <x:c r="N12" s="31" t="inlineStr">
        <x:is>
          <x:t xml:space="preserve">Нет</x:t>
        </x:is>
      </x:c>
      <x:c r="O12" s="31" t="inlineStr">
        <x:is>
          <x:t xml:space="preserve">Черновик</x:t>
        </x:is>
      </x:c>
      <x:c r="P12" s="31" t="inlineStr">
        <x:is>
          <x:t xml:space="preserve">Комментарий смены 11</x:t>
        </x:is>
      </x:c>
    </x:row>
    <x:row r="13" ht="18" customHeight="1">
      <x:c r="A13" s="31" t="inlineStr">
        <x:is>
          <x:t xml:space="preserve">СМ-00012</x:t>
        </x:is>
      </x:c>
      <x:c r="B13" s="31" t="n">
        <x:v>46149</x:v>
      </x:c>
      <x:c r="C13" s="31" t="inlineStr">
        <x:is>
          <x:t xml:space="preserve">День</x:t>
        </x:is>
      </x:c>
      <x:c r="D13" s="31" t="inlineStr">
        <x:is>
          <x:t xml:space="preserve">ПЗ-00085</x:t>
        </x:is>
      </x:c>
      <x:c r="E13" s="31" t="inlineStr">
        <x:is>
          <x:t xml:space="preserve">ОП-000722</x:t>
        </x:is>
      </x:c>
      <x:c r="F13" s="31" t="inlineStr">
        <x:is>
          <x:t xml:space="preserve">ОБ-008</x:t>
        </x:is>
      </x:c>
      <x:c r="G13" s="31" t="inlineStr">
        <x:is>
          <x:t xml:space="preserve">СОТР-034</x:t>
        </x:is>
      </x:c>
      <x:c r="H13" s="31" t="inlineStr">
        <x:is>
          <x:t xml:space="preserve">Склад</x:t>
        </x:is>
      </x:c>
      <x:c r="I13" s="31" t="n">
        <x:v>2</x:v>
      </x:c>
      <x:c r="J13" s="31" t="n">
        <x:v>2</x:v>
      </x:c>
      <x:c r="K13" s="31" t="n">
        <x:v>20.6</x:v>
      </x:c>
      <x:c r="L13" s="31" t="n">
        <x:v>18.8</x:v>
      </x:c>
      <x:c r="M13" s="31" t="n">
        <x:v>0</x:v>
      </x:c>
      <x:c r="N13" s="31" t="inlineStr">
        <x:is>
          <x:t xml:space="preserve">Нет</x:t>
        </x:is>
      </x:c>
      <x:c r="O13" s="31" t="inlineStr">
        <x:is>
          <x:t xml:space="preserve">Черновик</x:t>
        </x:is>
      </x:c>
      <x:c r="P13" s="31" t="inlineStr">
        <x:is>
          <x:t xml:space="preserve">Комментарий смены 12</x:t>
        </x:is>
      </x:c>
    </x:row>
    <x:row r="14" ht="18" customHeight="1">
      <x:c r="A14" s="31" t="inlineStr">
        <x:is>
          <x:t xml:space="preserve">СМ-00013</x:t>
        </x:is>
      </x:c>
      <x:c r="B14" s="31" t="n">
        <x:v>46165</x:v>
      </x:c>
      <x:c r="C14" s="31" t="inlineStr">
        <x:is>
          <x:t xml:space="preserve">День</x:t>
        </x:is>
      </x:c>
      <x:c r="D14" s="31" t="inlineStr">
        <x:is>
          <x:t xml:space="preserve">ПЗ-00258</x:t>
        </x:is>
      </x:c>
      <x:c r="E14" s="31" t="inlineStr">
        <x:is>
          <x:t xml:space="preserve">ОП-002147</x:t>
        </x:is>
      </x:c>
      <x:c r="F14" s="31" t="inlineStr">
        <x:is>
          <x:t xml:space="preserve">ОБ-004</x:t>
        </x:is>
      </x:c>
      <x:c r="G14" s="31" t="inlineStr">
        <x:is>
          <x:t xml:space="preserve">СОТР-056</x:t>
        </x:is>
      </x:c>
      <x:c r="H14" s="31" t="inlineStr">
        <x:is>
          <x:t xml:space="preserve">Сварка</x:t>
        </x:is>
      </x:c>
      <x:c r="I14" s="31" t="n">
        <x:v>1</x:v>
      </x:c>
      <x:c r="J14" s="31" t="n">
        <x:v>0</x:v>
      </x:c>
      <x:c r="K14" s="31" t="n">
        <x:v>13.2</x:v>
      </x:c>
      <x:c r="L14" s="31" t="n">
        <x:v>11</x:v>
      </x:c>
      <x:c r="M14" s="31" t="n">
        <x:v>15</x:v>
      </x:c>
      <x:c r="N14" s="31" t="inlineStr">
        <x:is>
          <x:t xml:space="preserve">Нет оператора</x:t>
        </x:is>
      </x:c>
      <x:c r="O14" s="31" t="inlineStr">
        <x:is>
          <x:t xml:space="preserve">Подтверждено мастером</x:t>
        </x:is>
      </x:c>
      <x:c r="P14" s="31" t="inlineStr">
        <x:is>
          <x:t xml:space="preserve">Комментарий смены 13</x:t>
        </x:is>
      </x:c>
    </x:row>
    <x:row r="15" ht="18" customHeight="1">
      <x:c r="A15" s="31" t="inlineStr">
        <x:is>
          <x:t xml:space="preserve">СМ-00015</x:t>
        </x:is>
      </x:c>
      <x:c r="B15" s="31" t="n">
        <x:v>46129</x:v>
      </x:c>
      <x:c r="C15" s="31" t="inlineStr">
        <x:is>
          <x:t xml:space="preserve">Вечер</x:t>
        </x:is>
      </x:c>
      <x:c r="D15" s="31" t="inlineStr">
        <x:is>
          <x:t xml:space="preserve">ПЗ-00007</x:t>
        </x:is>
      </x:c>
      <x:c r="E15" s="31" t="inlineStr">
        <x:is>
          <x:t xml:space="preserve">ОП-000050</x:t>
        </x:is>
      </x:c>
      <x:c r="F15" s="31" t="inlineStr">
        <x:is>
          <x:t xml:space="preserve">ОБ-025</x:t>
        </x:is>
      </x:c>
      <x:c r="G15" s="31" t="inlineStr">
        <x:is>
          <x:t xml:space="preserve">СОТР-033</x:t>
        </x:is>
      </x:c>
      <x:c r="H15" s="31" t="inlineStr">
        <x:is>
          <x:t xml:space="preserve">Склад</x:t>
        </x:is>
      </x:c>
      <x:c r="I15" s="31" t="n">
        <x:v>1</x:v>
      </x:c>
      <x:c r="J15" s="31" t="n">
        <x:v>0</x:v>
      </x:c>
      <x:c r="K15" s="31" t="n">
        <x:v>72</x:v>
      </x:c>
      <x:c r="L15" s="31" t="n">
        <x:v>96.5</x:v>
      </x:c>
      <x:c r="M15" s="31" t="n">
        <x:v>60</x:v>
      </x:c>
      <x:c r="N15" s="31" t="inlineStr">
        <x:is>
          <x:t xml:space="preserve">Ожидание ОТК</x:t>
        </x:is>
      </x:c>
      <x:c r="O15" s="31" t="inlineStr">
        <x:is>
          <x:t xml:space="preserve">Подтверждено мастером</x:t>
        </x:is>
      </x:c>
      <x:c r="P15" s="31" t="inlineStr">
        <x:is>
          <x:t xml:space="preserve">Комментарий смены 15</x:t>
        </x:is>
      </x:c>
    </x:row>
    <x:row r="16" ht="18" customHeight="1">
      <x:c r="A16" s="31" t="inlineStr">
        <x:is>
          <x:t xml:space="preserve">СМ-00016</x:t>
        </x:is>
      </x:c>
      <x:c r="B16" s="31" t="n">
        <x:v>46100</x:v>
      </x:c>
      <x:c r="C16" s="31" t="inlineStr">
        <x:is>
          <x:t xml:space="preserve">День</x:t>
        </x:is>
      </x:c>
      <x:c r="D16" s="31" t="inlineStr">
        <x:is>
          <x:t xml:space="preserve">ПЗ-00234</x:t>
        </x:is>
      </x:c>
      <x:c r="E16" s="31" t="inlineStr">
        <x:is>
          <x:t xml:space="preserve">ОП-001963</x:t>
        </x:is>
      </x:c>
      <x:c r="F16" s="31" t="inlineStr">
        <x:is>
          <x:t xml:space="preserve">ОБ-033</x:t>
        </x:is>
      </x:c>
      <x:c r="G16" s="31" t="inlineStr">
        <x:is>
          <x:t xml:space="preserve">СОТР-098</x:t>
        </x:is>
      </x:c>
      <x:c r="H16" s="31" t="inlineStr">
        <x:is>
          <x:t xml:space="preserve">ОТК</x:t>
        </x:is>
      </x:c>
      <x:c r="I16" s="31" t="n">
        <x:v>4</x:v>
      </x:c>
      <x:c r="J16" s="31" t="n">
        <x:v>4</x:v>
      </x:c>
      <x:c r="K16" s="31" t="n">
        <x:v>60</x:v>
      </x:c>
      <x:c r="L16" s="31" t="n">
        <x:v>69.5</x:v>
      </x:c>
      <x:c r="M16" s="31" t="n">
        <x:v>45</x:v>
      </x:c>
      <x:c r="N16" s="31" t="inlineStr">
        <x:is>
          <x:t xml:space="preserve">Нет оператора</x:t>
        </x:is>
      </x:c>
      <x:c r="O16" s="31" t="inlineStr">
        <x:is>
          <x:t xml:space="preserve">Подтверждено мастером</x:t>
        </x:is>
      </x:c>
      <x:c r="P16" s="31" t="inlineStr">
        <x:is>
          <x:t xml:space="preserve">Комментарий смены 16</x:t>
        </x:is>
      </x:c>
    </x:row>
    <x:row r="17" ht="18" customHeight="1">
      <x:c r="A17" s="31" t="inlineStr">
        <x:is>
          <x:t xml:space="preserve">СМ-00017</x:t>
        </x:is>
      </x:c>
      <x:c r="B17" s="31" t="n">
        <x:v>46110</x:v>
      </x:c>
      <x:c r="C17" s="31" t="inlineStr">
        <x:is>
          <x:t xml:space="preserve">День</x:t>
        </x:is>
      </x:c>
      <x:c r="D17" s="31" t="inlineStr">
        <x:is>
          <x:t xml:space="preserve">ПЗ-00076</x:t>
        </x:is>
      </x:c>
      <x:c r="E17" s="31" t="inlineStr">
        <x:is>
          <x:t xml:space="preserve">ОП-000640</x:t>
        </x:is>
      </x:c>
      <x:c r="F17" s="31" t="n"/>
      <x:c r="G17" s="31" t="inlineStr">
        <x:is>
          <x:t xml:space="preserve">СОТР-016</x:t>
        </x:is>
      </x:c>
      <x:c r="H17" s="31" t="inlineStr">
        <x:is>
          <x:t xml:space="preserve">Инженерный отдел</x:t>
        </x:is>
      </x:c>
      <x:c r="I17" s="31" t="n">
        <x:v>1</x:v>
      </x:c>
      <x:c r="J17" s="31" t="n">
        <x:v>1</x:v>
      </x:c>
      <x:c r="K17" s="31" t="n">
        <x:v>15</x:v>
      </x:c>
      <x:c r="L17" s="31" t="n">
        <x:v>12.3</x:v>
      </x:c>
      <x:c r="M17" s="31" t="n">
        <x:v>0</x:v>
      </x:c>
      <x:c r="N17" s="31" t="inlineStr">
        <x:is>
          <x:t xml:space="preserve">Нет</x:t>
        </x:is>
      </x:c>
      <x:c r="O17" s="31" t="inlineStr">
        <x:is>
          <x:t xml:space="preserve">Подтверждено мастером</x:t>
        </x:is>
      </x:c>
      <x:c r="P17" s="31" t="inlineStr">
        <x:is>
          <x:t xml:space="preserve">Комментарий смены 17</x:t>
        </x:is>
      </x:c>
    </x:row>
    <x:row r="18" ht="18" customHeight="1">
      <x:c r="A18" s="31" t="inlineStr">
        <x:is>
          <x:t xml:space="preserve">СМ-00018</x:t>
        </x:is>
      </x:c>
      <x:c r="B18" s="31" t="n">
        <x:v>46158</x:v>
      </x:c>
      <x:c r="C18" s="31" t="inlineStr">
        <x:is>
          <x:t xml:space="preserve">День</x:t>
        </x:is>
      </x:c>
      <x:c r="D18" s="31" t="inlineStr">
        <x:is>
          <x:t xml:space="preserve">ПЗ-00239</x:t>
        </x:is>
      </x:c>
      <x:c r="E18" s="31" t="inlineStr">
        <x:is>
          <x:t xml:space="preserve">ОП-002000</x:t>
        </x:is>
      </x:c>
      <x:c r="F18" s="31" t="inlineStr">
        <x:is>
          <x:t xml:space="preserve">ОБ-029</x:t>
        </x:is>
      </x:c>
      <x:c r="G18" s="31" t="inlineStr">
        <x:is>
          <x:t xml:space="preserve">СОТР-050</x:t>
        </x:is>
      </x:c>
      <x:c r="H18" s="31" t="inlineStr">
        <x:is>
          <x:t xml:space="preserve">Механообработка</x:t>
        </x:is>
      </x:c>
      <x:c r="I18" s="31" t="n">
        <x:v>2</x:v>
      </x:c>
      <x:c r="J18" s="31" t="n">
        <x:v>1</x:v>
      </x:c>
      <x:c r="K18" s="31" t="n">
        <x:v>12.4</x:v>
      </x:c>
      <x:c r="L18" s="31" t="n">
        <x:v>10.3</x:v>
      </x:c>
      <x:c r="M18" s="31" t="n">
        <x:v>90</x:v>
      </x:c>
      <x:c r="N18" s="31" t="inlineStr">
        <x:is>
          <x:t xml:space="preserve">Ожидание материала</x:t>
        </x:is>
      </x:c>
      <x:c r="O18" s="31" t="inlineStr">
        <x:is>
          <x:t xml:space="preserve">Подтверждено мастером</x:t>
        </x:is>
      </x:c>
      <x:c r="P18" s="31" t="inlineStr">
        <x:is>
          <x:t xml:space="preserve">Комментарий смены 18</x:t>
        </x:is>
      </x:c>
    </x:row>
    <x:row r="19" ht="18" customHeight="1">
      <x:c r="A19" s="31" t="inlineStr">
        <x:is>
          <x:t xml:space="preserve">СМ-00019</x:t>
        </x:is>
      </x:c>
      <x:c r="B19" s="31" t="n">
        <x:v>46113</x:v>
      </x:c>
      <x:c r="C19" s="31" t="inlineStr">
        <x:is>
          <x:t xml:space="preserve">Ночь</x:t>
        </x:is>
      </x:c>
      <x:c r="D19" s="31" t="inlineStr">
        <x:is>
          <x:t xml:space="preserve">ПЗ-00076</x:t>
        </x:is>
      </x:c>
      <x:c r="E19" s="31" t="inlineStr">
        <x:is>
          <x:t xml:space="preserve">ОП-000642</x:t>
        </x:is>
      </x:c>
      <x:c r="F19" s="31" t="inlineStr">
        <x:is>
          <x:t xml:space="preserve">ОБ-018</x:t>
        </x:is>
      </x:c>
      <x:c r="G19" s="31" t="inlineStr">
        <x:is>
          <x:t xml:space="preserve">СОТР-071</x:t>
        </x:is>
      </x:c>
      <x:c r="H19" s="31" t="inlineStr">
        <x:is>
          <x:t xml:space="preserve">Сварка</x:t>
        </x:is>
      </x:c>
      <x:c r="I19" s="31" t="n">
        <x:v>1</x:v>
      </x:c>
      <x:c r="J19" s="31" t="n">
        <x:v>1</x:v>
      </x:c>
      <x:c r="K19" s="31" t="n">
        <x:v>22.8</x:v>
      </x:c>
      <x:c r="L19" s="31" t="n">
        <x:v>19.7</x:v>
      </x:c>
      <x:c r="M19" s="31" t="n">
        <x:v>0</x:v>
      </x:c>
      <x:c r="N19" s="31" t="inlineStr">
        <x:is>
          <x:t xml:space="preserve">Нет</x:t>
        </x:is>
      </x:c>
      <x:c r="O19" s="31" t="inlineStr">
        <x:is>
          <x:t xml:space="preserve">Подтверждено мастером</x:t>
        </x:is>
      </x:c>
      <x:c r="P19" s="31" t="inlineStr">
        <x:is>
          <x:t xml:space="preserve">Комментарий смены 19</x:t>
        </x:is>
      </x:c>
    </x:row>
    <x:row r="20" ht="18" customHeight="1">
      <x:c r="A20" s="31" t="inlineStr">
        <x:is>
          <x:t xml:space="preserve">СМ-00020</x:t>
        </x:is>
      </x:c>
      <x:c r="B20" s="31" t="n">
        <x:v>46177</x:v>
      </x:c>
      <x:c r="C20" s="31" t="inlineStr">
        <x:is>
          <x:t xml:space="preserve">Ночь</x:t>
        </x:is>
      </x:c>
      <x:c r="D20" s="31" t="inlineStr">
        <x:is>
          <x:t xml:space="preserve">ПЗ-00001</x:t>
        </x:is>
      </x:c>
      <x:c r="E20" s="31" t="inlineStr">
        <x:is>
          <x:t xml:space="preserve">ОП-000008</x:t>
        </x:is>
      </x:c>
      <x:c r="F20" s="31" t="inlineStr">
        <x:is>
          <x:t xml:space="preserve">ОБ-006</x:t>
        </x:is>
      </x:c>
      <x:c r="G20" s="31" t="inlineStr">
        <x:is>
          <x:t xml:space="preserve">СОТР-098</x:t>
        </x:is>
      </x:c>
      <x:c r="H20" s="31" t="inlineStr">
        <x:is>
          <x:t xml:space="preserve">ОТК</x:t>
        </x:is>
      </x:c>
      <x:c r="I20" s="31" t="n">
        <x:v>2</x:v>
      </x:c>
      <x:c r="J20" s="31" t="n">
        <x:v>0</x:v>
      </x:c>
      <x:c r="K20" s="31" t="n">
        <x:v>6.2</x:v>
      </x:c>
      <x:c r="L20" s="31" t="n">
        <x:v>3.7</x:v>
      </x:c>
      <x:c r="M20" s="31" t="n">
        <x:v>0</x:v>
      </x:c>
      <x:c r="N20" s="31" t="inlineStr">
        <x:is>
          <x:t xml:space="preserve">Нет</x:t>
        </x:is>
      </x:c>
      <x:c r="O20" s="31" t="inlineStr">
        <x:is>
          <x:t xml:space="preserve">Подтверждено мастером</x:t>
        </x:is>
      </x:c>
      <x:c r="P20" s="31" t="inlineStr">
        <x:is>
          <x:t xml:space="preserve">Комментарий смены 20</x:t>
        </x:is>
      </x:c>
    </x:row>
    <x:row r="21" ht="18" customHeight="1">
      <x:c r="A21" s="31" t="inlineStr">
        <x:is>
          <x:t xml:space="preserve">СМ-00021</x:t>
        </x:is>
      </x:c>
      <x:c r="B21" s="31" t="n">
        <x:v>46103</x:v>
      </x:c>
      <x:c r="C21" s="31" t="inlineStr">
        <x:is>
          <x:t xml:space="preserve">День</x:t>
        </x:is>
      </x:c>
      <x:c r="D21" s="31" t="inlineStr">
        <x:is>
          <x:t xml:space="preserve">ПЗ-00055</x:t>
        </x:is>
      </x:c>
      <x:c r="E21" s="31" t="inlineStr">
        <x:is>
          <x:t xml:space="preserve">ОП-000460</x:t>
        </x:is>
      </x:c>
      <x:c r="F21" s="31" t="inlineStr">
        <x:is>
          <x:t xml:space="preserve">ОБ-028</x:t>
        </x:is>
      </x:c>
      <x:c r="G21" s="31" t="inlineStr">
        <x:is>
          <x:t xml:space="preserve">СОТР-097</x:t>
        </x:is>
      </x:c>
      <x:c r="H21" s="31" t="inlineStr">
        <x:is>
          <x:t xml:space="preserve">ОТК</x:t>
        </x:is>
      </x:c>
      <x:c r="I21" s="31" t="n">
        <x:v>1</x:v>
      </x:c>
      <x:c r="J21" s="31" t="n">
        <x:v>0</x:v>
      </x:c>
      <x:c r="K21" s="31" t="n">
        <x:v>1.8</x:v>
      </x:c>
      <x:c r="L21" s="31" t="n">
        <x:v>1.7</x:v>
      </x:c>
      <x:c r="M21" s="31" t="n">
        <x:v>0</x:v>
      </x:c>
      <x:c r="N21" s="31" t="inlineStr">
        <x:is>
          <x:t xml:space="preserve">Нет</x:t>
        </x:is>
      </x:c>
      <x:c r="O21" s="31" t="inlineStr">
        <x:is>
          <x:t xml:space="preserve">Закрыто</x:t>
        </x:is>
      </x:c>
      <x:c r="P21" s="31" t="inlineStr">
        <x:is>
          <x:t xml:space="preserve">Комментарий смены 21</x:t>
        </x:is>
      </x:c>
    </x:row>
    <x:row r="22" ht="18" customHeight="1">
      <x:c r="A22" s="31" t="inlineStr">
        <x:is>
          <x:t xml:space="preserve">СМ-00022</x:t>
        </x:is>
      </x:c>
      <x:c r="B22" s="31" t="n">
        <x:v>46177</x:v>
      </x:c>
      <x:c r="C22" s="31" t="inlineStr">
        <x:is>
          <x:t xml:space="preserve">День</x:t>
        </x:is>
      </x:c>
      <x:c r="D22" s="31" t="inlineStr">
        <x:is>
          <x:t xml:space="preserve">ПЗ-00142</x:t>
        </x:is>
      </x:c>
      <x:c r="E22" s="31" t="inlineStr">
        <x:is>
          <x:t xml:space="preserve">ОП-001190</x:t>
        </x:is>
      </x:c>
      <x:c r="F22" s="31" t="inlineStr">
        <x:is>
          <x:t xml:space="preserve">ОБ-028</x:t>
        </x:is>
      </x:c>
      <x:c r="G22" s="31" t="inlineStr">
        <x:is>
          <x:t xml:space="preserve">СОТР-095</x:t>
        </x:is>
      </x:c>
      <x:c r="H22" s="31" t="inlineStr">
        <x:is>
          <x:t xml:space="preserve">ОТК</x:t>
        </x:is>
      </x:c>
      <x:c r="I22" s="31" t="n">
        <x:v>1</x:v>
      </x:c>
      <x:c r="J22" s="31" t="n">
        <x:v>2</x:v>
      </x:c>
      <x:c r="K22" s="31" t="n">
        <x:v>51.6</x:v>
      </x:c>
      <x:c r="L22" s="31" t="n">
        <x:v>51</x:v>
      </x:c>
      <x:c r="M22" s="31" t="n">
        <x:v>15</x:v>
      </x:c>
      <x:c r="N22" s="31" t="inlineStr">
        <x:is>
          <x:t xml:space="preserve">Ожидание ОТК</x:t>
        </x:is>
      </x:c>
      <x:c r="O22" s="31" t="inlineStr">
        <x:is>
          <x:t xml:space="preserve">Подтверждено мастером</x:t>
        </x:is>
      </x:c>
      <x:c r="P22" s="31" t="inlineStr">
        <x:is>
          <x:t xml:space="preserve">Комментарий смены 22</x:t>
        </x:is>
      </x:c>
    </x:row>
    <x:row r="23" ht="18" customHeight="1">
      <x:c r="A23" s="31" t="inlineStr">
        <x:is>
          <x:t xml:space="preserve">СМ-00023</x:t>
        </x:is>
      </x:c>
      <x:c r="B23" s="31" t="n">
        <x:v>46067</x:v>
      </x:c>
      <x:c r="C23" s="31" t="inlineStr">
        <x:is>
          <x:t xml:space="preserve">День</x:t>
        </x:is>
      </x:c>
      <x:c r="D23" s="31" t="inlineStr">
        <x:is>
          <x:t xml:space="preserve">ПЗ-00218</x:t>
        </x:is>
      </x:c>
      <x:c r="E23" s="31" t="inlineStr">
        <x:is>
          <x:t xml:space="preserve">ОП-001833</x:t>
        </x:is>
      </x:c>
      <x:c r="F23" s="31" t="n"/>
      <x:c r="G23" s="31" t="inlineStr">
        <x:is>
          <x:t xml:space="preserve">СОТР-012</x:t>
        </x:is>
      </x:c>
      <x:c r="H23" s="31" t="inlineStr">
        <x:is>
          <x:t xml:space="preserve">Инженерный отдел</x:t>
        </x:is>
      </x:c>
      <x:c r="I23" s="31" t="n">
        <x:v>2</x:v>
      </x:c>
      <x:c r="J23" s="31" t="n">
        <x:v>2</x:v>
      </x:c>
      <x:c r="K23" s="31" t="n">
        <x:v>16.6</x:v>
      </x:c>
      <x:c r="L23" s="31" t="n">
        <x:v>22.2</x:v>
      </x:c>
      <x:c r="M23" s="31" t="n">
        <x:v>0</x:v>
      </x:c>
      <x:c r="N23" s="31" t="inlineStr">
        <x:is>
          <x:t xml:space="preserve">Нет</x:t>
        </x:is>
      </x:c>
      <x:c r="O23" s="31" t="inlineStr">
        <x:is>
          <x:t xml:space="preserve">Подтверждено мастером</x:t>
        </x:is>
      </x:c>
      <x:c r="P23" s="31" t="inlineStr">
        <x:is>
          <x:t xml:space="preserve">Комментарий смены 23</x:t>
        </x:is>
      </x:c>
    </x:row>
    <x:row r="24" ht="18" customHeight="1">
      <x:c r="A24" s="31" t="inlineStr">
        <x:is>
          <x:t xml:space="preserve">СМ-00024</x:t>
        </x:is>
      </x:c>
      <x:c r="B24" s="31" t="n">
        <x:v>46056</x:v>
      </x:c>
      <x:c r="C24" s="31" t="inlineStr">
        <x:is>
          <x:t xml:space="preserve">День</x:t>
        </x:is>
      </x:c>
      <x:c r="D24" s="31" t="inlineStr">
        <x:is>
          <x:t xml:space="preserve">ПЗ-00075</x:t>
        </x:is>
      </x:c>
      <x:c r="E24" s="31" t="inlineStr">
        <x:is>
          <x:t xml:space="preserve">ОП-000633</x:t>
        </x:is>
      </x:c>
      <x:c r="F24" s="31" t="inlineStr">
        <x:is>
          <x:t xml:space="preserve">ОБ-034</x:t>
        </x:is>
      </x:c>
      <x:c r="G24" s="31" t="inlineStr">
        <x:is>
          <x:t xml:space="preserve">СОТР-077</x:t>
        </x:is>
      </x:c>
      <x:c r="H24" s="31" t="inlineStr">
        <x:is>
          <x:t xml:space="preserve">Сборка</x:t>
        </x:is>
      </x:c>
      <x:c r="I24" s="31" t="n">
        <x:v>1</x:v>
      </x:c>
      <x:c r="J24" s="31" t="n">
        <x:v>1</x:v>
      </x:c>
      <x:c r="K24" s="31" t="n">
        <x:v>6.6</x:v>
      </x:c>
      <x:c r="L24" s="31" t="n">
        <x:v>5.6</x:v>
      </x:c>
      <x:c r="M24" s="31" t="n">
        <x:v>0</x:v>
      </x:c>
      <x:c r="N24" s="31" t="inlineStr">
        <x:is>
          <x:t xml:space="preserve">Нет</x:t>
        </x:is>
      </x:c>
      <x:c r="O24" s="31" t="inlineStr">
        <x:is>
          <x:t xml:space="preserve">Подтверждено мастером</x:t>
        </x:is>
      </x:c>
      <x:c r="P24" s="31" t="inlineStr">
        <x:is>
          <x:t xml:space="preserve">Комментарий смены 24</x:t>
        </x:is>
      </x:c>
    </x:row>
    <x:row r="25" ht="18" customHeight="1">
      <x:c r="A25" s="31" t="inlineStr">
        <x:is>
          <x:t xml:space="preserve">СМ-00025</x:t>
        </x:is>
      </x:c>
      <x:c r="B25" s="31" t="n">
        <x:v>46061</x:v>
      </x:c>
      <x:c r="C25" s="31" t="inlineStr">
        <x:is>
          <x:t xml:space="preserve">День</x:t>
        </x:is>
      </x:c>
      <x:c r="D25" s="31" t="inlineStr">
        <x:is>
          <x:t xml:space="preserve">ПЗ-00094</x:t>
        </x:is>
      </x:c>
      <x:c r="E25" s="31" t="inlineStr">
        <x:is>
          <x:t xml:space="preserve">ОП-000792</x:t>
        </x:is>
      </x:c>
      <x:c r="F25" s="31" t="inlineStr">
        <x:is>
          <x:t xml:space="preserve">ОБ-034</x:t>
        </x:is>
      </x:c>
      <x:c r="G25" s="31" t="inlineStr">
        <x:is>
          <x:t xml:space="preserve">СОТР-074</x:t>
        </x:is>
      </x:c>
      <x:c r="H25" s="31" t="inlineStr">
        <x:is>
          <x:t xml:space="preserve">Сборка</x:t>
        </x:is>
      </x:c>
      <x:c r="I25" s="31" t="n">
        <x:v>1</x:v>
      </x:c>
      <x:c r="J25" s="31" t="n">
        <x:v>0</x:v>
      </x:c>
      <x:c r="K25" s="31" t="n">
        <x:v>13.2</x:v>
      </x:c>
      <x:c r="L25" s="31" t="n">
        <x:v>12.9</x:v>
      </x:c>
      <x:c r="M25" s="31" t="n">
        <x:v>0</x:v>
      </x:c>
      <x:c r="N25" s="31" t="inlineStr">
        <x:is>
          <x:t xml:space="preserve">Нет</x:t>
        </x:is>
      </x:c>
      <x:c r="O25" s="31" t="inlineStr">
        <x:is>
          <x:t xml:space="preserve">Подтверждено мастером</x:t>
        </x:is>
      </x:c>
      <x:c r="P25" s="31" t="inlineStr">
        <x:is>
          <x:t xml:space="preserve">Комментарий смены 25</x:t>
        </x:is>
      </x:c>
    </x:row>
    <x:row r="26" ht="18" customHeight="1">
      <x:c r="A26" s="31" t="inlineStr">
        <x:is>
          <x:t xml:space="preserve">СМ-00026</x:t>
        </x:is>
      </x:c>
      <x:c r="B26" s="31" t="n">
        <x:v>46201</x:v>
      </x:c>
      <x:c r="C26" s="31" t="inlineStr">
        <x:is>
          <x:t xml:space="preserve">День</x:t>
        </x:is>
      </x:c>
      <x:c r="D26" s="31" t="inlineStr">
        <x:is>
          <x:t xml:space="preserve">ПЗ-00224</x:t>
        </x:is>
      </x:c>
      <x:c r="E26" s="31" t="inlineStr">
        <x:is>
          <x:t xml:space="preserve">ОП-001877</x:t>
        </x:is>
      </x:c>
      <x:c r="F26" s="31" t="n"/>
      <x:c r="G26" s="31" t="inlineStr">
        <x:is>
          <x:t xml:space="preserve">СОТР-016</x:t>
        </x:is>
      </x:c>
      <x:c r="H26" s="31" t="inlineStr">
        <x:is>
          <x:t xml:space="preserve">Инженерный отдел</x:t>
        </x:is>
      </x:c>
      <x:c r="I26" s="31" t="n">
        <x:v>3</x:v>
      </x:c>
      <x:c r="J26" s="31" t="n">
        <x:v>3</x:v>
      </x:c>
      <x:c r="K26" s="31" t="n">
        <x:v>14.8</x:v>
      </x:c>
      <x:c r="L26" s="31" t="n">
        <x:v>13.2</x:v>
      </x:c>
      <x:c r="M26" s="31" t="n">
        <x:v>60</x:v>
      </x:c>
      <x:c r="N26" s="31" t="inlineStr">
        <x:is>
          <x:t xml:space="preserve">Ожидание материала</x:t>
        </x:is>
      </x:c>
      <x:c r="O26" s="31" t="inlineStr">
        <x:is>
          <x:t xml:space="preserve">Подтверждено мастером</x:t>
        </x:is>
      </x:c>
      <x:c r="P26" s="31" t="inlineStr">
        <x:is>
          <x:t xml:space="preserve">Комментарий смены 26</x:t>
        </x:is>
      </x:c>
    </x:row>
    <x:row r="27" ht="18" customHeight="1">
      <x:c r="A27" s="31" t="inlineStr">
        <x:is>
          <x:t xml:space="preserve">СМ-00027</x:t>
        </x:is>
      </x:c>
      <x:c r="B27" s="31" t="n">
        <x:v>46116</x:v>
      </x:c>
      <x:c r="C27" s="31" t="inlineStr">
        <x:is>
          <x:t xml:space="preserve">Вечер</x:t>
        </x:is>
      </x:c>
      <x:c r="D27" s="31" t="inlineStr">
        <x:is>
          <x:t xml:space="preserve">ПЗ-00103</x:t>
        </x:is>
      </x:c>
      <x:c r="E27" s="31" t="inlineStr">
        <x:is>
          <x:t xml:space="preserve">ОП-000864</x:t>
        </x:is>
      </x:c>
      <x:c r="F27" s="31" t="n"/>
      <x:c r="G27" s="31" t="inlineStr">
        <x:is>
          <x:t xml:space="preserve">СОТР-103</x:t>
        </x:is>
      </x:c>
      <x:c r="H27" s="31" t="inlineStr">
        <x:is>
          <x:t xml:space="preserve">Логистика</x:t>
        </x:is>
      </x:c>
      <x:c r="I27" s="31" t="n">
        <x:v>1</x:v>
      </x:c>
      <x:c r="J27" s="31" t="n">
        <x:v>2</x:v>
      </x:c>
      <x:c r="K27" s="31" t="n">
        <x:v>3.8</x:v>
      </x:c>
      <x:c r="L27" s="31" t="n">
        <x:v>4.6</x:v>
      </x:c>
      <x:c r="M27" s="31" t="n">
        <x:v>0</x:v>
      </x:c>
      <x:c r="N27" s="31" t="inlineStr">
        <x:is>
          <x:t xml:space="preserve">Нет</x:t>
        </x:is>
      </x:c>
      <x:c r="O27" s="31" t="inlineStr">
        <x:is>
          <x:t xml:space="preserve">Спорный факт</x:t>
        </x:is>
      </x:c>
      <x:c r="P27" s="31" t="inlineStr">
        <x:is>
          <x:t xml:space="preserve">Комментарий смены 27</x:t>
        </x:is>
      </x:c>
    </x:row>
    <x:row r="28" ht="18" customHeight="1">
      <x:c r="A28" s="31" t="inlineStr">
        <x:is>
          <x:t xml:space="preserve">СМ-00028</x:t>
        </x:is>
      </x:c>
      <x:c r="B28" s="31" t="n">
        <x:v>46189</x:v>
      </x:c>
      <x:c r="C28" s="31" t="inlineStr">
        <x:is>
          <x:t xml:space="preserve">Вечер</x:t>
        </x:is>
      </x:c>
      <x:c r="D28" s="31" t="inlineStr">
        <x:is>
          <x:t xml:space="preserve">ПЗ-00173</x:t>
        </x:is>
      </x:c>
      <x:c r="E28" s="31" t="inlineStr">
        <x:is>
          <x:t xml:space="preserve">ОП-001441</x:t>
        </x:is>
      </x:c>
      <x:c r="F28" s="31" t="inlineStr">
        <x:is>
          <x:t xml:space="preserve">ОБ-020</x:t>
        </x:is>
      </x:c>
      <x:c r="G28" s="31" t="inlineStr">
        <x:is>
          <x:t xml:space="preserve">СОТР-083</x:t>
        </x:is>
      </x:c>
      <x:c r="H28" s="31" t="inlineStr">
        <x:is>
          <x:t xml:space="preserve">Сборка</x:t>
        </x:is>
      </x:c>
      <x:c r="I28" s="31" t="n">
        <x:v>3</x:v>
      </x:c>
      <x:c r="J28" s="31" t="n">
        <x:v>3</x:v>
      </x:c>
      <x:c r="K28" s="31" t="n">
        <x:v>22.8</x:v>
      </x:c>
      <x:c r="L28" s="31" t="n">
        <x:v>13.1</x:v>
      </x:c>
      <x:c r="M28" s="31" t="n">
        <x:v>0</x:v>
      </x:c>
      <x:c r="N28" s="31" t="inlineStr">
        <x:is>
          <x:t xml:space="preserve">Нет</x:t>
        </x:is>
      </x:c>
      <x:c r="O28" s="31" t="inlineStr">
        <x:is>
          <x:t xml:space="preserve">Спорный факт</x:t>
        </x:is>
      </x:c>
      <x:c r="P28" s="31" t="inlineStr">
        <x:is>
          <x:t xml:space="preserve">Комментарий смены 28</x:t>
        </x:is>
      </x:c>
    </x:row>
    <x:row r="29" ht="18" customHeight="1">
      <x:c r="A29" s="31" t="inlineStr">
        <x:is>
          <x:t xml:space="preserve">СМ-00029</x:t>
        </x:is>
      </x:c>
      <x:c r="B29" s="31" t="n">
        <x:v>46179</x:v>
      </x:c>
      <x:c r="C29" s="31" t="inlineStr">
        <x:is>
          <x:t xml:space="preserve">Ночь</x:t>
        </x:is>
      </x:c>
      <x:c r="D29" s="31" t="inlineStr">
        <x:is>
          <x:t xml:space="preserve">ПЗ-00205</x:t>
        </x:is>
      </x:c>
      <x:c r="E29" s="31" t="inlineStr">
        <x:is>
          <x:t xml:space="preserve">ОП-001721</x:t>
        </x:is>
      </x:c>
      <x:c r="F29" s="31" t="inlineStr">
        <x:is>
          <x:t xml:space="preserve">ОБ-033</x:t>
        </x:is>
      </x:c>
      <x:c r="G29" s="31" t="inlineStr">
        <x:is>
          <x:t xml:space="preserve">СОТР-093</x:t>
        </x:is>
      </x:c>
      <x:c r="H29" s="31" t="inlineStr">
        <x:is>
          <x:t xml:space="preserve">ОТК</x:t>
        </x:is>
      </x:c>
      <x:c r="I29" s="31" t="n">
        <x:v>5</x:v>
      </x:c>
      <x:c r="J29" s="31" t="n">
        <x:v>5</x:v>
      </x:c>
      <x:c r="K29" s="31" t="n">
        <x:v>10.5</x:v>
      </x:c>
      <x:c r="L29" s="31" t="n">
        <x:v>13.4</x:v>
      </x:c>
      <x:c r="M29" s="31" t="n">
        <x:v>15</x:v>
      </x:c>
      <x:c r="N29" s="31" t="inlineStr">
        <x:is>
          <x:t xml:space="preserve">Переналадка</x:t>
        </x:is>
      </x:c>
      <x:c r="O29" s="31" t="inlineStr">
        <x:is>
          <x:t xml:space="preserve">Подтверждено мастером</x:t>
        </x:is>
      </x:c>
      <x:c r="P29" s="31" t="inlineStr">
        <x:is>
          <x:t xml:space="preserve">Комментарий смены 29</x:t>
        </x:is>
      </x:c>
    </x:row>
    <x:row r="30" ht="18" customHeight="1">
      <x:c r="A30" s="31" t="inlineStr">
        <x:is>
          <x:t xml:space="preserve">СМ-00031</x:t>
        </x:is>
      </x:c>
      <x:c r="B30" s="31" t="n">
        <x:v>46148</x:v>
      </x:c>
      <x:c r="C30" s="31" t="inlineStr">
        <x:is>
          <x:t xml:space="preserve">День</x:t>
        </x:is>
      </x:c>
      <x:c r="D30" s="31" t="inlineStr">
        <x:is>
          <x:t xml:space="preserve">ПЗ-00009</x:t>
        </x:is>
      </x:c>
      <x:c r="E30" s="31" t="inlineStr">
        <x:is>
          <x:t xml:space="preserve">ОП-000073</x:t>
        </x:is>
      </x:c>
      <x:c r="F30" s="31" t="n"/>
      <x:c r="G30" s="31" t="inlineStr">
        <x:is>
          <x:t xml:space="preserve">СОТР-021</x:t>
        </x:is>
      </x:c>
      <x:c r="H30" s="31" t="inlineStr">
        <x:is>
          <x:t xml:space="preserve">Инженерный отдел</x:t>
        </x:is>
      </x:c>
      <x:c r="I30" s="31" t="n">
        <x:v>2</x:v>
      </x:c>
      <x:c r="J30" s="31" t="n">
        <x:v>1</x:v>
      </x:c>
      <x:c r="K30" s="31" t="n">
        <x:v>5.6</x:v>
      </x:c>
      <x:c r="L30" s="31" t="n">
        <x:v>7.2</x:v>
      </x:c>
      <x:c r="M30" s="31" t="n">
        <x:v>0</x:v>
      </x:c>
      <x:c r="N30" s="31" t="inlineStr">
        <x:is>
          <x:t xml:space="preserve">Нет</x:t>
        </x:is>
      </x:c>
      <x:c r="O30" s="31" t="inlineStr">
        <x:is>
          <x:t xml:space="preserve">Подтверждено мастером</x:t>
        </x:is>
      </x:c>
      <x:c r="P30" s="31" t="inlineStr">
        <x:is>
          <x:t xml:space="preserve">Комментарий смены 31</x:t>
        </x:is>
      </x:c>
    </x:row>
    <x:row r="31" ht="18" customHeight="1">
      <x:c r="A31" s="31" t="inlineStr">
        <x:is>
          <x:t xml:space="preserve">СМ-00032</x:t>
        </x:is>
      </x:c>
      <x:c r="B31" s="31" t="n">
        <x:v>46189</x:v>
      </x:c>
      <x:c r="C31" s="31" t="inlineStr">
        <x:is>
          <x:t xml:space="preserve">День</x:t>
        </x:is>
      </x:c>
      <x:c r="D31" s="31" t="inlineStr">
        <x:is>
          <x:t xml:space="preserve">ПЗ-00228</x:t>
        </x:is>
      </x:c>
      <x:c r="E31" s="31" t="inlineStr">
        <x:is>
          <x:t xml:space="preserve">ОП-001910</x:t>
        </x:is>
      </x:c>
      <x:c r="F31" s="31" t="inlineStr">
        <x:is>
          <x:t xml:space="preserve">ОБ-012</x:t>
        </x:is>
      </x:c>
      <x:c r="G31" s="31" t="inlineStr">
        <x:is>
          <x:t xml:space="preserve">СОТР-090</x:t>
        </x:is>
      </x:c>
      <x:c r="H31" s="31" t="inlineStr">
        <x:is>
          <x:t xml:space="preserve">Сборка</x:t>
        </x:is>
      </x:c>
      <x:c r="I31" s="31" t="n">
        <x:v>1</x:v>
      </x:c>
      <x:c r="J31" s="31" t="n">
        <x:v>0</x:v>
      </x:c>
      <x:c r="K31" s="31" t="n">
        <x:v>4</x:v>
      </x:c>
      <x:c r="L31" s="31" t="n">
        <x:v>3.8</x:v>
      </x:c>
      <x:c r="M31" s="31" t="n">
        <x:v>0</x:v>
      </x:c>
      <x:c r="N31" s="31" t="inlineStr">
        <x:is>
          <x:t xml:space="preserve">Нет</x:t>
        </x:is>
      </x:c>
      <x:c r="O31" s="31" t="inlineStr">
        <x:is>
          <x:t xml:space="preserve">Подтверждено мастером</x:t>
        </x:is>
      </x:c>
      <x:c r="P31" s="31" t="inlineStr">
        <x:is>
          <x:t xml:space="preserve">Комментарий смены 32</x:t>
        </x:is>
      </x:c>
    </x:row>
    <x:row r="32" ht="18" customHeight="1">
      <x:c r="A32" s="31" t="inlineStr">
        <x:is>
          <x:t xml:space="preserve">СМ-00033</x:t>
        </x:is>
      </x:c>
      <x:c r="B32" s="31" t="n">
        <x:v>46052</x:v>
      </x:c>
      <x:c r="C32" s="31" t="inlineStr">
        <x:is>
          <x:t xml:space="preserve">День</x:t>
        </x:is>
      </x:c>
      <x:c r="D32" s="31" t="inlineStr">
        <x:is>
          <x:t xml:space="preserve">ПЗ-00253</x:t>
        </x:is>
      </x:c>
      <x:c r="E32" s="31" t="inlineStr">
        <x:is>
          <x:t xml:space="preserve">ОП-002113</x:t>
        </x:is>
      </x:c>
      <x:c r="F32" s="31" t="n"/>
      <x:c r="G32" s="31" t="inlineStr">
        <x:is>
          <x:t xml:space="preserve">СОТР-013</x:t>
        </x:is>
      </x:c>
      <x:c r="H32" s="31" t="inlineStr">
        <x:is>
          <x:t xml:space="preserve">Инженерный отдел</x:t>
        </x:is>
      </x:c>
      <x:c r="I32" s="31" t="n">
        <x:v>2</x:v>
      </x:c>
      <x:c r="J32" s="31" t="n">
        <x:v>3</x:v>
      </x:c>
      <x:c r="K32" s="31" t="n">
        <x:v>22.2</x:v>
      </x:c>
      <x:c r="L32" s="31" t="n">
        <x:v>25.9</x:v>
      </x:c>
      <x:c r="M32" s="31" t="n">
        <x:v>0</x:v>
      </x:c>
      <x:c r="N32" s="31" t="inlineStr">
        <x:is>
          <x:t xml:space="preserve">Нет</x:t>
        </x:is>
      </x:c>
      <x:c r="O32" s="31" t="inlineStr">
        <x:is>
          <x:t xml:space="preserve">Черновик</x:t>
        </x:is>
      </x:c>
      <x:c r="P32" s="31" t="inlineStr">
        <x:is>
          <x:t xml:space="preserve">Комментарий смены 33</x:t>
        </x:is>
      </x:c>
    </x:row>
    <x:row r="33" ht="18" customHeight="1">
      <x:c r="A33" s="31" t="inlineStr">
        <x:is>
          <x:t xml:space="preserve">СМ-00034</x:t>
        </x:is>
      </x:c>
      <x:c r="B33" s="31" t="n">
        <x:v>46115</x:v>
      </x:c>
      <x:c r="C33" s="31" t="inlineStr">
        <x:is>
          <x:t xml:space="preserve">День</x:t>
        </x:is>
      </x:c>
      <x:c r="D33" s="31" t="inlineStr">
        <x:is>
          <x:t xml:space="preserve">ПЗ-00109</x:t>
        </x:is>
      </x:c>
      <x:c r="E33" s="31" t="inlineStr">
        <x:is>
          <x:t xml:space="preserve">ОП-000915</x:t>
        </x:is>
      </x:c>
      <x:c r="F33" s="31" t="inlineStr">
        <x:is>
          <x:t xml:space="preserve">ОБ-002</x:t>
        </x:is>
      </x:c>
      <x:c r="G33" s="31" t="inlineStr">
        <x:is>
          <x:t xml:space="preserve">СОТР-090</x:t>
        </x:is>
      </x:c>
      <x:c r="H33" s="31" t="inlineStr">
        <x:is>
          <x:t xml:space="preserve">Сборка</x:t>
        </x:is>
      </x:c>
      <x:c r="I33" s="31" t="n">
        <x:v>1</x:v>
      </x:c>
      <x:c r="J33" s="31" t="n">
        <x:v>0</x:v>
      </x:c>
      <x:c r="K33" s="31" t="n">
        <x:v>11</x:v>
      </x:c>
      <x:c r="L33" s="31" t="n">
        <x:v>9.300000000000001</x:v>
      </x:c>
      <x:c r="M33" s="31" t="n">
        <x:v>0</x:v>
      </x:c>
      <x:c r="N33" s="31" t="inlineStr">
        <x:is>
          <x:t xml:space="preserve">Нет</x:t>
        </x:is>
      </x:c>
      <x:c r="O33" s="31" t="inlineStr">
        <x:is>
          <x:t xml:space="preserve">Подтверждено мастером</x:t>
        </x:is>
      </x:c>
      <x:c r="P33" s="31" t="inlineStr">
        <x:is>
          <x:t xml:space="preserve">Комментарий смены 34</x:t>
        </x:is>
      </x:c>
    </x:row>
    <x:row r="34" ht="18" customHeight="1">
      <x:c r="A34" s="31" t="inlineStr">
        <x:is>
          <x:t xml:space="preserve">СМ-00035</x:t>
        </x:is>
      </x:c>
      <x:c r="B34" s="31" t="n">
        <x:v>46117</x:v>
      </x:c>
      <x:c r="C34" s="31" t="inlineStr">
        <x:is>
          <x:t xml:space="preserve">День</x:t>
        </x:is>
      </x:c>
      <x:c r="D34" s="31" t="inlineStr">
        <x:is>
          <x:t xml:space="preserve">ПЗ-00014</x:t>
        </x:is>
      </x:c>
      <x:c r="E34" s="31" t="inlineStr">
        <x:is>
          <x:t xml:space="preserve">ОП-000118</x:t>
        </x:is>
      </x:c>
      <x:c r="F34" s="31" t="inlineStr">
        <x:is>
          <x:t xml:space="preserve">ОБ-015</x:t>
        </x:is>
      </x:c>
      <x:c r="G34" s="31" t="inlineStr">
        <x:is>
          <x:t xml:space="preserve">СОТР-098</x:t>
        </x:is>
      </x:c>
      <x:c r="H34" s="31" t="inlineStr">
        <x:is>
          <x:t xml:space="preserve">ОТК</x:t>
        </x:is>
      </x:c>
      <x:c r="I34" s="31" t="n">
        <x:v>2</x:v>
      </x:c>
      <x:c r="J34" s="31" t="n">
        <x:v>2</x:v>
      </x:c>
      <x:c r="K34" s="31" t="n">
        <x:v>36.4</x:v>
      </x:c>
      <x:c r="L34" s="31" t="n">
        <x:v>37.8</x:v>
      </x:c>
      <x:c r="M34" s="31" t="n">
        <x:v>0</x:v>
      </x:c>
      <x:c r="N34" s="31" t="inlineStr">
        <x:is>
          <x:t xml:space="preserve">Нет</x:t>
        </x:is>
      </x:c>
      <x:c r="O34" s="31" t="inlineStr">
        <x:is>
          <x:t xml:space="preserve">Подтверждено мастером</x:t>
        </x:is>
      </x:c>
      <x:c r="P34" s="31" t="inlineStr">
        <x:is>
          <x:t xml:space="preserve">Комментарий смены 35</x:t>
        </x:is>
      </x:c>
    </x:row>
    <x:row r="35" ht="18" customHeight="1">
      <x:c r="A35" s="31" t="inlineStr">
        <x:is>
          <x:t xml:space="preserve">СМ-00037</x:t>
        </x:is>
      </x:c>
      <x:c r="B35" s="31" t="n">
        <x:v>46085</x:v>
      </x:c>
      <x:c r="C35" s="31" t="inlineStr">
        <x:is>
          <x:t xml:space="preserve">Ночь</x:t>
        </x:is>
      </x:c>
      <x:c r="D35" s="31" t="inlineStr">
        <x:is>
          <x:t xml:space="preserve">ПЗ-00024</x:t>
        </x:is>
      </x:c>
      <x:c r="E35" s="31" t="inlineStr">
        <x:is>
          <x:t xml:space="preserve">ОП-000204</x:t>
        </x:is>
      </x:c>
      <x:c r="F35" s="31" t="inlineStr">
        <x:is>
          <x:t xml:space="preserve">ОБ-003</x:t>
        </x:is>
      </x:c>
      <x:c r="G35" s="31" t="inlineStr">
        <x:is>
          <x:t xml:space="preserve">СОТР-065</x:t>
        </x:is>
      </x:c>
      <x:c r="H35" s="31" t="inlineStr">
        <x:is>
          <x:t xml:space="preserve">Сварка</x:t>
        </x:is>
      </x:c>
      <x:c r="I35" s="31" t="n">
        <x:v>2</x:v>
      </x:c>
      <x:c r="J35" s="31" t="n">
        <x:v>3</x:v>
      </x:c>
      <x:c r="K35" s="31" t="n">
        <x:v>6.4</x:v>
      </x:c>
      <x:c r="L35" s="31" t="n">
        <x:v>7</x:v>
      </x:c>
      <x:c r="M35" s="31" t="n">
        <x:v>120</x:v>
      </x:c>
      <x:c r="N35" s="31" t="inlineStr">
        <x:is>
          <x:t xml:space="preserve">Нет оператора</x:t>
        </x:is>
      </x:c>
      <x:c r="O35" s="31" t="inlineStr">
        <x:is>
          <x:t xml:space="preserve">Подтверждено мастером</x:t>
        </x:is>
      </x:c>
      <x:c r="P35" s="31" t="inlineStr">
        <x:is>
          <x:t xml:space="preserve">Комментарий смены 37</x:t>
        </x:is>
      </x:c>
    </x:row>
    <x:row r="36" ht="18" customHeight="1">
      <x:c r="A36" s="31" t="inlineStr">
        <x:is>
          <x:t xml:space="preserve">СМ-00038</x:t>
        </x:is>
      </x:c>
      <x:c r="B36" s="31" t="n">
        <x:v>46183</x:v>
      </x:c>
      <x:c r="C36" s="31" t="inlineStr">
        <x:is>
          <x:t xml:space="preserve">День</x:t>
        </x:is>
      </x:c>
      <x:c r="D36" s="31" t="inlineStr">
        <x:is>
          <x:t xml:space="preserve">ПЗ-00265</x:t>
        </x:is>
      </x:c>
      <x:c r="E36" s="31" t="inlineStr">
        <x:is>
          <x:t xml:space="preserve">ОП-002204</x:t>
        </x:is>
      </x:c>
      <x:c r="F36" s="31" t="inlineStr">
        <x:is>
          <x:t xml:space="preserve">ОБ-035</x:t>
        </x:is>
      </x:c>
      <x:c r="G36" s="31" t="inlineStr">
        <x:is>
          <x:t xml:space="preserve">СОТР-072</x:t>
        </x:is>
      </x:c>
      <x:c r="H36" s="31" t="inlineStr">
        <x:is>
          <x:t xml:space="preserve">Сварка</x:t>
        </x:is>
      </x:c>
      <x:c r="I36" s="31" t="n">
        <x:v>2</x:v>
      </x:c>
      <x:c r="J36" s="31" t="n">
        <x:v>2</x:v>
      </x:c>
      <x:c r="K36" s="31" t="n">
        <x:v>42.5</x:v>
      </x:c>
      <x:c r="L36" s="31" t="n">
        <x:v>41.2</x:v>
      </x:c>
      <x:c r="M36" s="31" t="n">
        <x:v>30</x:v>
      </x:c>
      <x:c r="N36" s="31" t="inlineStr">
        <x:is>
          <x:t xml:space="preserve">Переналадка</x:t>
        </x:is>
      </x:c>
      <x:c r="O36" s="31" t="inlineStr">
        <x:is>
          <x:t xml:space="preserve">Подтверждено мастером</x:t>
        </x:is>
      </x:c>
      <x:c r="P36" s="31" t="inlineStr">
        <x:is>
          <x:t xml:space="preserve">Комментарий смены 38</x:t>
        </x:is>
      </x:c>
    </x:row>
    <x:row r="37" ht="18" customHeight="1">
      <x:c r="A37" s="31" t="inlineStr">
        <x:is>
          <x:t xml:space="preserve">СМ-00039</x:t>
        </x:is>
      </x:c>
      <x:c r="B37" s="31" t="n">
        <x:v>46171</x:v>
      </x:c>
      <x:c r="C37" s="31" t="inlineStr">
        <x:is>
          <x:t xml:space="preserve">День</x:t>
        </x:is>
      </x:c>
      <x:c r="D37" s="31" t="inlineStr">
        <x:is>
          <x:t xml:space="preserve">ПЗ-00217</x:t>
        </x:is>
      </x:c>
      <x:c r="E37" s="31" t="inlineStr">
        <x:is>
          <x:t xml:space="preserve">ОП-001817</x:t>
        </x:is>
      </x:c>
      <x:c r="F37" s="31" t="n"/>
      <x:c r="G37" s="31" t="inlineStr">
        <x:is>
          <x:t xml:space="preserve">СОТР-019</x:t>
        </x:is>
      </x:c>
      <x:c r="H37" s="31" t="inlineStr">
        <x:is>
          <x:t xml:space="preserve">Инженерный отдел</x:t>
        </x:is>
      </x:c>
      <x:c r="I37" s="31" t="n">
        <x:v>1</x:v>
      </x:c>
      <x:c r="J37" s="31" t="n">
        <x:v>1</x:v>
      </x:c>
      <x:c r="K37" s="31" t="n">
        <x:v>27.6</x:v>
      </x:c>
      <x:c r="L37" s="31" t="n">
        <x:v>28</x:v>
      </x:c>
      <x:c r="M37" s="31" t="n">
        <x:v>90</x:v>
      </x:c>
      <x:c r="N37" s="31" t="inlineStr">
        <x:is>
          <x:t xml:space="preserve">Ожидание ОТК</x:t>
        </x:is>
      </x:c>
      <x:c r="O37" s="31" t="inlineStr">
        <x:is>
          <x:t xml:space="preserve">Подтверждено мастером</x:t>
        </x:is>
      </x:c>
      <x:c r="P37" s="31" t="inlineStr">
        <x:is>
          <x:t xml:space="preserve">Комментарий смены 39</x:t>
        </x:is>
      </x:c>
    </x:row>
    <x:row r="38" ht="18" customHeight="1">
      <x:c r="A38" s="31" t="inlineStr">
        <x:is>
          <x:t xml:space="preserve">СМ-00040</x:t>
        </x:is>
      </x:c>
      <x:c r="B38" s="31" t="n">
        <x:v>46068</x:v>
      </x:c>
      <x:c r="C38" s="31" t="inlineStr">
        <x:is>
          <x:t xml:space="preserve">Ночь</x:t>
        </x:is>
      </x:c>
      <x:c r="D38" s="31" t="inlineStr">
        <x:is>
          <x:t xml:space="preserve">ПЗ-00255</x:t>
        </x:is>
      </x:c>
      <x:c r="E38" s="31" t="inlineStr">
        <x:is>
          <x:t xml:space="preserve">ОП-002132</x:t>
        </x:is>
      </x:c>
      <x:c r="F38" s="31" t="inlineStr">
        <x:is>
          <x:t xml:space="preserve">ОБ-015</x:t>
        </x:is>
      </x:c>
      <x:c r="G38" s="31" t="inlineStr">
        <x:is>
          <x:t xml:space="preserve">СОТР-093</x:t>
        </x:is>
      </x:c>
      <x:c r="H38" s="31" t="inlineStr">
        <x:is>
          <x:t xml:space="preserve">ОТК</x:t>
        </x:is>
      </x:c>
      <x:c r="I38" s="31" t="n">
        <x:v>3</x:v>
      </x:c>
      <x:c r="J38" s="31" t="n">
        <x:v>3</x:v>
      </x:c>
      <x:c r="K38" s="31" t="n">
        <x:v>15.3</x:v>
      </x:c>
      <x:c r="L38" s="31" t="n">
        <x:v>17</x:v>
      </x:c>
      <x:c r="M38" s="31" t="n">
        <x:v>0</x:v>
      </x:c>
      <x:c r="N38" s="31" t="inlineStr">
        <x:is>
          <x:t xml:space="preserve">Нет</x:t>
        </x:is>
      </x:c>
      <x:c r="O38" s="31" t="inlineStr">
        <x:is>
          <x:t xml:space="preserve">Подтверждено мастером</x:t>
        </x:is>
      </x:c>
      <x:c r="P38" s="31" t="inlineStr">
        <x:is>
          <x:t xml:space="preserve">Комментарий смены 40</x:t>
        </x:is>
      </x:c>
    </x:row>
    <x:row r="39" ht="18" customHeight="1">
      <x:c r="A39" s="31" t="inlineStr">
        <x:is>
          <x:t xml:space="preserve">СМ-00041</x:t>
        </x:is>
      </x:c>
      <x:c r="B39" s="31" t="n">
        <x:v>46216</x:v>
      </x:c>
      <x:c r="C39" s="31" t="inlineStr">
        <x:is>
          <x:t xml:space="preserve">Ночь</x:t>
        </x:is>
      </x:c>
      <x:c r="D39" s="31" t="inlineStr">
        <x:is>
          <x:t xml:space="preserve">ПЗ-00183</x:t>
        </x:is>
      </x:c>
      <x:c r="E39" s="31" t="inlineStr">
        <x:is>
          <x:t xml:space="preserve">ОП-001521</x:t>
        </x:is>
      </x:c>
      <x:c r="F39" s="31" t="inlineStr">
        <x:is>
          <x:t xml:space="preserve">ОБ-012</x:t>
        </x:is>
      </x:c>
      <x:c r="G39" s="31" t="inlineStr">
        <x:is>
          <x:t xml:space="preserve">СОТР-077</x:t>
        </x:is>
      </x:c>
      <x:c r="H39" s="31" t="inlineStr">
        <x:is>
          <x:t xml:space="preserve">Сборка</x:t>
        </x:is>
      </x:c>
      <x:c r="I39" s="31" t="n">
        <x:v>3</x:v>
      </x:c>
      <x:c r="J39" s="31" t="n">
        <x:v>3</x:v>
      </x:c>
      <x:c r="K39" s="31" t="n">
        <x:v>14</x:v>
      </x:c>
      <x:c r="L39" s="31" t="n">
        <x:v>13.9</x:v>
      </x:c>
      <x:c r="M39" s="31" t="n">
        <x:v>45</x:v>
      </x:c>
      <x:c r="N39" s="31" t="inlineStr">
        <x:is>
          <x:t xml:space="preserve">Переналадка</x:t>
        </x:is>
      </x:c>
      <x:c r="O39" s="31" t="inlineStr">
        <x:is>
          <x:t xml:space="preserve">Подтверждено мастером</x:t>
        </x:is>
      </x:c>
      <x:c r="P39" s="31" t="inlineStr">
        <x:is>
          <x:t xml:space="preserve">Комментарий смены 41</x:t>
        </x:is>
      </x:c>
    </x:row>
    <x:row r="40" ht="18" customHeight="1">
      <x:c r="A40" s="31" t="inlineStr">
        <x:is>
          <x:t xml:space="preserve">СМ-00042</x:t>
        </x:is>
      </x:c>
      <x:c r="B40" s="31" t="n">
        <x:v>46206</x:v>
      </x:c>
      <x:c r="C40" s="31" t="inlineStr">
        <x:is>
          <x:t xml:space="preserve">День</x:t>
        </x:is>
      </x:c>
      <x:c r="D40" s="31" t="inlineStr">
        <x:is>
          <x:t xml:space="preserve">ПЗ-00051</x:t>
        </x:is>
      </x:c>
      <x:c r="E40" s="31" t="inlineStr">
        <x:is>
          <x:t xml:space="preserve">ОП-000423</x:t>
        </x:is>
      </x:c>
      <x:c r="F40" s="31" t="inlineStr">
        <x:is>
          <x:t xml:space="preserve">ОБ-028</x:t>
        </x:is>
      </x:c>
      <x:c r="G40" s="31" t="inlineStr">
        <x:is>
          <x:t xml:space="preserve">СОТР-063</x:t>
        </x:is>
      </x:c>
      <x:c r="H40" s="31" t="inlineStr">
        <x:is>
          <x:t xml:space="preserve">ОТК</x:t>
        </x:is>
      </x:c>
      <x:c r="I40" s="31" t="n">
        <x:v>1</x:v>
      </x:c>
      <x:c r="J40" s="31" t="n">
        <x:v>0</x:v>
      </x:c>
      <x:c r="K40" s="31" t="n">
        <x:v>5.4</x:v>
      </x:c>
      <x:c r="L40" s="31" t="n">
        <x:v>4.7</x:v>
      </x:c>
      <x:c r="M40" s="31" t="n">
        <x:v>0</x:v>
      </x:c>
      <x:c r="N40" s="31" t="inlineStr">
        <x:is>
          <x:t xml:space="preserve">Нет</x:t>
        </x:is>
      </x:c>
      <x:c r="O40" s="31" t="inlineStr">
        <x:is>
          <x:t xml:space="preserve">Подтверждено мастером</x:t>
        </x:is>
      </x:c>
      <x:c r="P40" s="31" t="inlineStr">
        <x:is>
          <x:t xml:space="preserve">Комментарий смены 42</x:t>
        </x:is>
      </x:c>
    </x:row>
    <x:row r="41" ht="18" customHeight="1">
      <x:c r="A41" s="31" t="inlineStr">
        <x:is>
          <x:t xml:space="preserve">СМ-00043</x:t>
        </x:is>
      </x:c>
      <x:c r="B41" s="31" t="n">
        <x:v>46203</x:v>
      </x:c>
      <x:c r="C41" s="31" t="inlineStr">
        <x:is>
          <x:t xml:space="preserve">Ночь</x:t>
        </x:is>
      </x:c>
      <x:c r="D41" s="31" t="inlineStr">
        <x:is>
          <x:t xml:space="preserve">ПЗ-00125</x:t>
        </x:is>
      </x:c>
      <x:c r="E41" s="31" t="inlineStr">
        <x:is>
          <x:t xml:space="preserve">ОП-001046</x:t>
        </x:is>
      </x:c>
      <x:c r="F41" s="31" t="inlineStr">
        <x:is>
          <x:t xml:space="preserve">ОБ-007</x:t>
        </x:is>
      </x:c>
      <x:c r="G41" s="31" t="inlineStr">
        <x:is>
          <x:t xml:space="preserve">СОТР-063</x:t>
        </x:is>
      </x:c>
      <x:c r="H41" s="31" t="inlineStr">
        <x:is>
          <x:t xml:space="preserve">ОТК</x:t>
        </x:is>
      </x:c>
      <x:c r="I41" s="31" t="n">
        <x:v>1</x:v>
      </x:c>
      <x:c r="J41" s="31" t="n">
        <x:v>1</x:v>
      </x:c>
      <x:c r="K41" s="31" t="n">
        <x:v>2.9</x:v>
      </x:c>
      <x:c r="L41" s="31" t="n">
        <x:v>2.6</x:v>
      </x:c>
      <x:c r="M41" s="31" t="n">
        <x:v>90</x:v>
      </x:c>
      <x:c r="N41" s="31" t="inlineStr">
        <x:is>
          <x:t xml:space="preserve">Ожидание ОТК</x:t>
        </x:is>
      </x:c>
      <x:c r="O41" s="31" t="inlineStr">
        <x:is>
          <x:t xml:space="preserve">Спорный факт</x:t>
        </x:is>
      </x:c>
      <x:c r="P41" s="31" t="inlineStr">
        <x:is>
          <x:t xml:space="preserve">Комментарий смены 43</x:t>
        </x:is>
      </x:c>
    </x:row>
    <x:row r="42" ht="18" customHeight="1">
      <x:c r="A42" s="31" t="inlineStr">
        <x:is>
          <x:t xml:space="preserve">СМ-00044</x:t>
        </x:is>
      </x:c>
      <x:c r="B42" s="31" t="n">
        <x:v>46208</x:v>
      </x:c>
      <x:c r="C42" s="31" t="inlineStr">
        <x:is>
          <x:t xml:space="preserve">День</x:t>
        </x:is>
      </x:c>
      <x:c r="D42" s="31" t="inlineStr">
        <x:is>
          <x:t xml:space="preserve">ПЗ-00171</x:t>
        </x:is>
      </x:c>
      <x:c r="E42" s="31" t="inlineStr">
        <x:is>
          <x:t xml:space="preserve">ОП-001420</x:t>
        </x:is>
      </x:c>
      <x:c r="F42" s="31" t="inlineStr">
        <x:is>
          <x:t xml:space="preserve">ОБ-029</x:t>
        </x:is>
      </x:c>
      <x:c r="G42" s="31" t="inlineStr">
        <x:is>
          <x:t xml:space="preserve">СОТР-044</x:t>
        </x:is>
      </x:c>
      <x:c r="H42" s="31" t="inlineStr">
        <x:is>
          <x:t xml:space="preserve">Механообработка</x:t>
        </x:is>
      </x:c>
      <x:c r="I42" s="31" t="n">
        <x:v>3</x:v>
      </x:c>
      <x:c r="J42" s="31" t="n">
        <x:v>4</x:v>
      </x:c>
      <x:c r="K42" s="31" t="n">
        <x:v>18.6</x:v>
      </x:c>
      <x:c r="L42" s="31" t="n">
        <x:v>15.7</x:v>
      </x:c>
      <x:c r="M42" s="31" t="n">
        <x:v>90</x:v>
      </x:c>
      <x:c r="N42" s="31" t="inlineStr">
        <x:is>
          <x:t xml:space="preserve">Переналадка</x:t>
        </x:is>
      </x:c>
      <x:c r="O42" s="31" t="inlineStr">
        <x:is>
          <x:t xml:space="preserve">Черновик</x:t>
        </x:is>
      </x:c>
      <x:c r="P42" s="31" t="inlineStr">
        <x:is>
          <x:t xml:space="preserve">Комментарий смены 44</x:t>
        </x:is>
      </x:c>
    </x:row>
    <x:row r="43" ht="18" customHeight="1">
      <x:c r="A43" s="31" t="inlineStr">
        <x:is>
          <x:t xml:space="preserve">СМ-00045</x:t>
        </x:is>
      </x:c>
      <x:c r="B43" s="31" t="n">
        <x:v>46141</x:v>
      </x:c>
      <x:c r="C43" s="31" t="inlineStr">
        <x:is>
          <x:t xml:space="preserve">Вечер</x:t>
        </x:is>
      </x:c>
      <x:c r="D43" s="31" t="inlineStr">
        <x:is>
          <x:t xml:space="preserve">ПЗ-00139</x:t>
        </x:is>
      </x:c>
      <x:c r="E43" s="31" t="inlineStr">
        <x:is>
          <x:t xml:space="preserve">ОП-001164</x:t>
        </x:is>
      </x:c>
      <x:c r="F43" s="31" t="inlineStr">
        <x:is>
          <x:t xml:space="preserve">ОБ-006</x:t>
        </x:is>
      </x:c>
      <x:c r="G43" s="31" t="inlineStr">
        <x:is>
          <x:t xml:space="preserve">СОТР-092</x:t>
        </x:is>
      </x:c>
      <x:c r="H43" s="31" t="inlineStr">
        <x:is>
          <x:t xml:space="preserve">ОТК</x:t>
        </x:is>
      </x:c>
      <x:c r="I43" s="31" t="n">
        <x:v>2</x:v>
      </x:c>
      <x:c r="J43" s="31" t="n">
        <x:v>3</x:v>
      </x:c>
      <x:c r="K43" s="31" t="n">
        <x:v>24.2</x:v>
      </x:c>
      <x:c r="L43" s="31" t="n">
        <x:v>29.7</x:v>
      </x:c>
      <x:c r="M43" s="31" t="n">
        <x:v>120</x:v>
      </x:c>
      <x:c r="N43" s="31" t="inlineStr">
        <x:is>
          <x:t xml:space="preserve">Переналадка</x:t>
        </x:is>
      </x:c>
      <x:c r="O43" s="31" t="inlineStr">
        <x:is>
          <x:t xml:space="preserve">Подтверждено мастером</x:t>
        </x:is>
      </x:c>
      <x:c r="P43" s="31" t="inlineStr">
        <x:is>
          <x:t xml:space="preserve">Комментарий смены 45</x:t>
        </x:is>
      </x:c>
    </x:row>
    <x:row r="44" ht="18" customHeight="1">
      <x:c r="A44" s="31" t="inlineStr">
        <x:is>
          <x:t xml:space="preserve">СМ-00046</x:t>
        </x:is>
      </x:c>
      <x:c r="B44" s="31" t="n">
        <x:v>46105</x:v>
      </x:c>
      <x:c r="C44" s="31" t="inlineStr">
        <x:is>
          <x:t xml:space="preserve">Вечер</x:t>
        </x:is>
      </x:c>
      <x:c r="D44" s="31" t="inlineStr">
        <x:is>
          <x:t xml:space="preserve">ПЗ-00100</x:t>
        </x:is>
      </x:c>
      <x:c r="E44" s="31" t="inlineStr">
        <x:is>
          <x:t xml:space="preserve">ОП-000838</x:t>
        </x:is>
      </x:c>
      <x:c r="F44" s="31" t="inlineStr">
        <x:is>
          <x:t xml:space="preserve">ОБ-008</x:t>
        </x:is>
      </x:c>
      <x:c r="G44" s="31" t="inlineStr">
        <x:is>
          <x:t xml:space="preserve">СОТР-033</x:t>
        </x:is>
      </x:c>
      <x:c r="H44" s="31" t="inlineStr">
        <x:is>
          <x:t xml:space="preserve">Склад</x:t>
        </x:is>
      </x:c>
      <x:c r="I44" s="31" t="n">
        <x:v>2</x:v>
      </x:c>
      <x:c r="J44" s="31" t="n">
        <x:v>3</x:v>
      </x:c>
      <x:c r="K44" s="31" t="n">
        <x:v>24.9</x:v>
      </x:c>
      <x:c r="L44" s="31" t="n">
        <x:v>32.6</x:v>
      </x:c>
      <x:c r="M44" s="31" t="n">
        <x:v>90</x:v>
      </x:c>
      <x:c r="N44" s="31" t="inlineStr">
        <x:is>
          <x:t xml:space="preserve">Переналадка</x:t>
        </x:is>
      </x:c>
      <x:c r="O44" s="31" t="inlineStr">
        <x:is>
          <x:t xml:space="preserve">Подтверждено мастером</x:t>
        </x:is>
      </x:c>
      <x:c r="P44" s="31" t="inlineStr">
        <x:is>
          <x:t xml:space="preserve">Комментарий смены 46</x:t>
        </x:is>
      </x:c>
    </x:row>
    <x:row r="45" ht="18" customHeight="1">
      <x:c r="A45" s="31" t="inlineStr">
        <x:is>
          <x:t xml:space="preserve">СМ-00047</x:t>
        </x:is>
      </x:c>
      <x:c r="B45" s="31" t="n">
        <x:v>46119</x:v>
      </x:c>
      <x:c r="C45" s="31" t="inlineStr">
        <x:is>
          <x:t xml:space="preserve">День</x:t>
        </x:is>
      </x:c>
      <x:c r="D45" s="31" t="inlineStr">
        <x:is>
          <x:t xml:space="preserve">ПЗ-00201</x:t>
        </x:is>
      </x:c>
      <x:c r="E45" s="31" t="inlineStr">
        <x:is>
          <x:t xml:space="preserve">ОП-001687</x:t>
        </x:is>
      </x:c>
      <x:c r="F45" s="31" t="n"/>
      <x:c r="G45" s="31" t="inlineStr">
        <x:is>
          <x:t xml:space="preserve">СОТР-104</x:t>
        </x:is>
      </x:c>
      <x:c r="H45" s="31" t="inlineStr">
        <x:is>
          <x:t xml:space="preserve">Логистика</x:t>
        </x:is>
      </x:c>
      <x:c r="I45" s="31" t="n">
        <x:v>3</x:v>
      </x:c>
      <x:c r="J45" s="31" t="n">
        <x:v>0</x:v>
      </x:c>
      <x:c r="K45" s="31" t="n">
        <x:v>21.2</x:v>
      </x:c>
      <x:c r="L45" s="31" t="n">
        <x:v>12.9</x:v>
      </x:c>
      <x:c r="M45" s="31" t="n">
        <x:v>0</x:v>
      </x:c>
      <x:c r="N45" s="31" t="inlineStr">
        <x:is>
          <x:t xml:space="preserve">Нет</x:t>
        </x:is>
      </x:c>
      <x:c r="O45" s="31" t="inlineStr">
        <x:is>
          <x:t xml:space="preserve">Закрыто</x:t>
        </x:is>
      </x:c>
      <x:c r="P45" s="31" t="inlineStr">
        <x:is>
          <x:t xml:space="preserve">Комментарий смены 47</x:t>
        </x:is>
      </x:c>
    </x:row>
    <x:row r="46" ht="18" customHeight="1">
      <x:c r="A46" s="31" t="inlineStr">
        <x:is>
          <x:t xml:space="preserve">СМ-00048</x:t>
        </x:is>
      </x:c>
      <x:c r="B46" s="31" t="n">
        <x:v>46221</x:v>
      </x:c>
      <x:c r="C46" s="31" t="inlineStr">
        <x:is>
          <x:t xml:space="preserve">День</x:t>
        </x:is>
      </x:c>
      <x:c r="D46" s="31" t="inlineStr">
        <x:is>
          <x:t xml:space="preserve">ПЗ-00225</x:t>
        </x:is>
      </x:c>
      <x:c r="E46" s="31" t="inlineStr">
        <x:is>
          <x:t xml:space="preserve">ОП-001891</x:t>
        </x:is>
      </x:c>
      <x:c r="F46" s="31" t="inlineStr">
        <x:is>
          <x:t xml:space="preserve">ОБ-016</x:t>
        </x:is>
      </x:c>
      <x:c r="G46" s="31" t="inlineStr">
        <x:is>
          <x:t xml:space="preserve">СОТР-083</x:t>
        </x:is>
      </x:c>
      <x:c r="H46" s="31" t="inlineStr">
        <x:is>
          <x:t xml:space="preserve">Сборка</x:t>
        </x:is>
      </x:c>
      <x:c r="I46" s="31" t="n">
        <x:v>3</x:v>
      </x:c>
      <x:c r="J46" s="31" t="n">
        <x:v>3</x:v>
      </x:c>
      <x:c r="K46" s="31" t="n">
        <x:v>11</x:v>
      </x:c>
      <x:c r="L46" s="31" t="n">
        <x:v>14.7</x:v>
      </x:c>
      <x:c r="M46" s="31" t="n">
        <x:v>30</x:v>
      </x:c>
      <x:c r="N46" s="31" t="inlineStr">
        <x:is>
          <x:t xml:space="preserve">Ремонт оборудования</x:t>
        </x:is>
      </x:c>
      <x:c r="O46" s="31" t="inlineStr">
        <x:is>
          <x:t xml:space="preserve">Подтверждено мастером</x:t>
        </x:is>
      </x:c>
      <x:c r="P46" s="31" t="inlineStr">
        <x:is>
          <x:t xml:space="preserve">Комментарий смены 48</x:t>
        </x:is>
      </x:c>
    </x:row>
    <x:row r="47" ht="18" customHeight="1">
      <x:c r="A47" s="31" t="inlineStr">
        <x:is>
          <x:t xml:space="preserve">СМ-00049</x:t>
        </x:is>
      </x:c>
      <x:c r="B47" s="31" t="n">
        <x:v>46160</x:v>
      </x:c>
      <x:c r="C47" s="31" t="inlineStr">
        <x:is>
          <x:t xml:space="preserve">Ночь</x:t>
        </x:is>
      </x:c>
      <x:c r="D47" s="31" t="inlineStr">
        <x:is>
          <x:t xml:space="preserve">ПЗ-00038</x:t>
        </x:is>
      </x:c>
      <x:c r="E47" s="31" t="inlineStr">
        <x:is>
          <x:t xml:space="preserve">ОП-000326</x:t>
        </x:is>
      </x:c>
      <x:c r="F47" s="31" t="inlineStr">
        <x:is>
          <x:t xml:space="preserve">ОБ-020</x:t>
        </x:is>
      </x:c>
      <x:c r="G47" s="31" t="inlineStr">
        <x:is>
          <x:t xml:space="preserve">СОТР-079</x:t>
        </x:is>
      </x:c>
      <x:c r="H47" s="31" t="inlineStr">
        <x:is>
          <x:t xml:space="preserve">Сборка</x:t>
        </x:is>
      </x:c>
      <x:c r="I47" s="31" t="n">
        <x:v>1</x:v>
      </x:c>
      <x:c r="J47" s="31" t="n">
        <x:v>2</x:v>
      </x:c>
      <x:c r="K47" s="31" t="n">
        <x:v>7.6</x:v>
      </x:c>
      <x:c r="L47" s="31" t="n">
        <x:v>8.9</x:v>
      </x:c>
      <x:c r="M47" s="31" t="n">
        <x:v>45</x:v>
      </x:c>
      <x:c r="N47" s="31" t="inlineStr">
        <x:is>
          <x:t xml:space="preserve">Ожидание материала</x:t>
        </x:is>
      </x:c>
      <x:c r="O47" s="31" t="inlineStr">
        <x:is>
          <x:t xml:space="preserve">Подтверждено мастером</x:t>
        </x:is>
      </x:c>
      <x:c r="P47" s="31" t="inlineStr">
        <x:is>
          <x:t xml:space="preserve">Комментарий смены 49</x:t>
        </x:is>
      </x:c>
    </x:row>
    <x:row r="48" ht="18" customHeight="1">
      <x:c r="A48" s="31" t="inlineStr">
        <x:is>
          <x:t xml:space="preserve">СМ-00050</x:t>
        </x:is>
      </x:c>
      <x:c r="B48" s="31" t="n">
        <x:v>46115</x:v>
      </x:c>
      <x:c r="C48" s="31" t="inlineStr">
        <x:is>
          <x:t xml:space="preserve">День</x:t>
        </x:is>
      </x:c>
      <x:c r="D48" s="31" t="inlineStr">
        <x:is>
          <x:t xml:space="preserve">ПЗ-00128</x:t>
        </x:is>
      </x:c>
      <x:c r="E48" s="31" t="inlineStr">
        <x:is>
          <x:t xml:space="preserve">ОП-001066</x:t>
        </x:is>
      </x:c>
      <x:c r="F48" s="31" t="inlineStr">
        <x:is>
          <x:t xml:space="preserve">ОБ-010</x:t>
        </x:is>
      </x:c>
      <x:c r="G48" s="31" t="inlineStr">
        <x:is>
          <x:t xml:space="preserve">СОТР-067</x:t>
        </x:is>
      </x:c>
      <x:c r="H48" s="31" t="inlineStr">
        <x:is>
          <x:t xml:space="preserve">Сварка</x:t>
        </x:is>
      </x:c>
      <x:c r="I48" s="31" t="n">
        <x:v>1</x:v>
      </x:c>
      <x:c r="J48" s="31" t="n">
        <x:v>0</x:v>
      </x:c>
      <x:c r="K48" s="31" t="n">
        <x:v>6.9</x:v>
      </x:c>
      <x:c r="L48" s="31" t="n">
        <x:v>6.8</x:v>
      </x:c>
      <x:c r="M48" s="31" t="n">
        <x:v>60</x:v>
      </x:c>
      <x:c r="N48" s="31" t="inlineStr">
        <x:is>
          <x:t xml:space="preserve">Нет оператора</x:t>
        </x:is>
      </x:c>
      <x:c r="O48" s="31" t="inlineStr">
        <x:is>
          <x:t xml:space="preserve">Подтверждено мастером</x:t>
        </x:is>
      </x:c>
      <x:c r="P48" s="31" t="inlineStr">
        <x:is>
          <x:t xml:space="preserve">Комментарий смены 50</x:t>
        </x:is>
      </x:c>
    </x:row>
    <x:row r="49" ht="18" customHeight="1">
      <x:c r="A49" s="31" t="inlineStr">
        <x:is>
          <x:t xml:space="preserve">СМ-00051</x:t>
        </x:is>
      </x:c>
      <x:c r="B49" s="31" t="n">
        <x:v>46158</x:v>
      </x:c>
      <x:c r="C49" s="31" t="inlineStr">
        <x:is>
          <x:t xml:space="preserve">День</x:t>
        </x:is>
      </x:c>
      <x:c r="D49" s="31" t="inlineStr">
        <x:is>
          <x:t xml:space="preserve">ПЗ-00190</x:t>
        </x:is>
      </x:c>
      <x:c r="E49" s="31" t="inlineStr">
        <x:is>
          <x:t xml:space="preserve">ОП-001588</x:t>
        </x:is>
      </x:c>
      <x:c r="F49" s="31" t="inlineStr">
        <x:is>
          <x:t xml:space="preserve">ОБ-033</x:t>
        </x:is>
      </x:c>
      <x:c r="G49" s="31" t="inlineStr">
        <x:is>
          <x:t xml:space="preserve">СОТР-092</x:t>
        </x:is>
      </x:c>
      <x:c r="H49" s="31" t="inlineStr">
        <x:is>
          <x:t xml:space="preserve">ОТК</x:t>
        </x:is>
      </x:c>
      <x:c r="I49" s="31" t="n">
        <x:v>1</x:v>
      </x:c>
      <x:c r="J49" s="31" t="n">
        <x:v>0</x:v>
      </x:c>
      <x:c r="K49" s="31" t="n">
        <x:v>29.7</x:v>
      </x:c>
      <x:c r="L49" s="31" t="n">
        <x:v>20.6</x:v>
      </x:c>
      <x:c r="M49" s="31" t="n">
        <x:v>60</x:v>
      </x:c>
      <x:c r="N49" s="31" t="inlineStr">
        <x:is>
          <x:t xml:space="preserve">Нет оператора</x:t>
        </x:is>
      </x:c>
      <x:c r="O49" s="31" t="inlineStr">
        <x:is>
          <x:t xml:space="preserve">Спорный факт</x:t>
        </x:is>
      </x:c>
      <x:c r="P49" s="31" t="inlineStr">
        <x:is>
          <x:t xml:space="preserve">Комментарий смены 51</x:t>
        </x:is>
      </x:c>
    </x:row>
    <x:row r="50" ht="18" customHeight="1">
      <x:c r="A50" s="31" t="inlineStr">
        <x:is>
          <x:t xml:space="preserve">СМ-00052</x:t>
        </x:is>
      </x:c>
      <x:c r="B50" s="31" t="n">
        <x:v>46100</x:v>
      </x:c>
      <x:c r="C50" s="31" t="inlineStr">
        <x:is>
          <x:t xml:space="preserve">День</x:t>
        </x:is>
      </x:c>
      <x:c r="D50" s="31" t="inlineStr">
        <x:is>
          <x:t xml:space="preserve">ПЗ-00236</x:t>
        </x:is>
      </x:c>
      <x:c r="E50" s="31" t="inlineStr">
        <x:is>
          <x:t xml:space="preserve">ОП-001970</x:t>
        </x:is>
      </x:c>
      <x:c r="F50" s="31" t="n"/>
      <x:c r="G50" s="31" t="inlineStr">
        <x:is>
          <x:t xml:space="preserve">СОТР-013</x:t>
        </x:is>
      </x:c>
      <x:c r="H50" s="31" t="inlineStr">
        <x:is>
          <x:t xml:space="preserve">Инженерный отдел</x:t>
        </x:is>
      </x:c>
      <x:c r="I50" s="31" t="n">
        <x:v>2</x:v>
      </x:c>
      <x:c r="J50" s="31" t="n">
        <x:v>1</x:v>
      </x:c>
      <x:c r="K50" s="31" t="n">
        <x:v>15</x:v>
      </x:c>
      <x:c r="L50" s="31" t="n">
        <x:v>15.5</x:v>
      </x:c>
      <x:c r="M50" s="31" t="n">
        <x:v>90</x:v>
      </x:c>
      <x:c r="N50" s="31" t="inlineStr">
        <x:is>
          <x:t xml:space="preserve">Ремонт оборудования</x:t>
        </x:is>
      </x:c>
      <x:c r="O50" s="31" t="inlineStr">
        <x:is>
          <x:t xml:space="preserve">Спорный факт</x:t>
        </x:is>
      </x:c>
      <x:c r="P50" s="31" t="inlineStr">
        <x:is>
          <x:t xml:space="preserve">Комментарий смены 52</x:t>
        </x:is>
      </x:c>
    </x:row>
    <x:row r="51" ht="18" customHeight="1">
      <x:c r="A51" s="31" t="inlineStr">
        <x:is>
          <x:t xml:space="preserve">СМ-00053</x:t>
        </x:is>
      </x:c>
      <x:c r="B51" s="31" t="n">
        <x:v>46128</x:v>
      </x:c>
      <x:c r="C51" s="31" t="inlineStr">
        <x:is>
          <x:t xml:space="preserve">Вечер</x:t>
        </x:is>
      </x:c>
      <x:c r="D51" s="31" t="inlineStr">
        <x:is>
          <x:t xml:space="preserve">ПЗ-00129</x:t>
        </x:is>
      </x:c>
      <x:c r="E51" s="31" t="inlineStr">
        <x:is>
          <x:t xml:space="preserve">ОП-001080</x:t>
        </x:is>
      </x:c>
      <x:c r="F51" s="31" t="inlineStr">
        <x:is>
          <x:t xml:space="preserve">ОБ-006</x:t>
        </x:is>
      </x:c>
      <x:c r="G51" s="31" t="inlineStr">
        <x:is>
          <x:t xml:space="preserve">СОТР-098</x:t>
        </x:is>
      </x:c>
      <x:c r="H51" s="31" t="inlineStr">
        <x:is>
          <x:t xml:space="preserve">ОТК</x:t>
        </x:is>
      </x:c>
      <x:c r="I51" s="31" t="n">
        <x:v>1</x:v>
      </x:c>
      <x:c r="J51" s="31" t="n">
        <x:v>0</x:v>
      </x:c>
      <x:c r="K51" s="31" t="n">
        <x:v>9.4</x:v>
      </x:c>
      <x:c r="L51" s="31" t="n">
        <x:v>9.699999999999999</x:v>
      </x:c>
      <x:c r="M51" s="31" t="n">
        <x:v>0</x:v>
      </x:c>
      <x:c r="N51" s="31" t="inlineStr">
        <x:is>
          <x:t xml:space="preserve">Нет</x:t>
        </x:is>
      </x:c>
      <x:c r="O51" s="31" t="inlineStr">
        <x:is>
          <x:t xml:space="preserve">Подтверждено мастером</x:t>
        </x:is>
      </x:c>
      <x:c r="P51" s="31" t="inlineStr">
        <x:is>
          <x:t xml:space="preserve">Комментарий смены 53</x:t>
        </x:is>
      </x:c>
    </x:row>
    <x:row r="52" ht="18" customHeight="1">
      <x:c r="A52" s="31" t="inlineStr">
        <x:is>
          <x:t xml:space="preserve">СМ-00054</x:t>
        </x:is>
      </x:c>
      <x:c r="B52" s="31" t="n">
        <x:v>46194</x:v>
      </x:c>
      <x:c r="C52" s="31" t="inlineStr">
        <x:is>
          <x:t xml:space="preserve">День</x:t>
        </x:is>
      </x:c>
      <x:c r="D52" s="31" t="inlineStr">
        <x:is>
          <x:t xml:space="preserve">ПЗ-00265</x:t>
        </x:is>
      </x:c>
      <x:c r="E52" s="31" t="inlineStr">
        <x:is>
          <x:t xml:space="preserve">ОП-002207</x:t>
        </x:is>
      </x:c>
      <x:c r="F52" s="31" t="inlineStr">
        <x:is>
          <x:t xml:space="preserve">ОБ-002</x:t>
        </x:is>
      </x:c>
      <x:c r="G52" s="31" t="inlineStr">
        <x:is>
          <x:t xml:space="preserve">СОТР-087</x:t>
        </x:is>
      </x:c>
      <x:c r="H52" s="31" t="inlineStr">
        <x:is>
          <x:t xml:space="preserve">Сборка</x:t>
        </x:is>
      </x:c>
      <x:c r="I52" s="31" t="n">
        <x:v>2</x:v>
      </x:c>
      <x:c r="J52" s="31" t="n">
        <x:v>2</x:v>
      </x:c>
      <x:c r="K52" s="31" t="n">
        <x:v>76.5</x:v>
      </x:c>
      <x:c r="L52" s="31" t="n">
        <x:v>96.90000000000001</x:v>
      </x:c>
      <x:c r="M52" s="31" t="n">
        <x:v>45</x:v>
      </x:c>
      <x:c r="N52" s="31" t="inlineStr">
        <x:is>
          <x:t xml:space="preserve">Ожидание ОТК</x:t>
        </x:is>
      </x:c>
      <x:c r="O52" s="31" t="inlineStr">
        <x:is>
          <x:t xml:space="preserve">Подтверждено мастером</x:t>
        </x:is>
      </x:c>
      <x:c r="P52" s="31" t="inlineStr">
        <x:is>
          <x:t xml:space="preserve">Комментарий смены 54</x:t>
        </x:is>
      </x:c>
    </x:row>
    <x:row r="53" ht="18" customHeight="1">
      <x:c r="A53" s="31" t="inlineStr">
        <x:is>
          <x:t xml:space="preserve">СМ-00055</x:t>
        </x:is>
      </x:c>
      <x:c r="B53" s="31" t="n">
        <x:v>46192</x:v>
      </x:c>
      <x:c r="C53" s="31" t="inlineStr">
        <x:is>
          <x:t xml:space="preserve">День</x:t>
        </x:is>
      </x:c>
      <x:c r="D53" s="31" t="inlineStr">
        <x:is>
          <x:t xml:space="preserve">ПЗ-00212</x:t>
        </x:is>
      </x:c>
      <x:c r="E53" s="31" t="inlineStr">
        <x:is>
          <x:t xml:space="preserve">ОП-001781</x:t>
        </x:is>
      </x:c>
      <x:c r="F53" s="31" t="inlineStr">
        <x:is>
          <x:t xml:space="preserve">ОБ-006</x:t>
        </x:is>
      </x:c>
      <x:c r="G53" s="31" t="inlineStr">
        <x:is>
          <x:t xml:space="preserve">СОТР-093</x:t>
        </x:is>
      </x:c>
      <x:c r="H53" s="31" t="inlineStr">
        <x:is>
          <x:t xml:space="preserve">ОТК</x:t>
        </x:is>
      </x:c>
      <x:c r="I53" s="31" t="n">
        <x:v>1</x:v>
      </x:c>
      <x:c r="J53" s="31" t="n">
        <x:v>1</x:v>
      </x:c>
      <x:c r="K53" s="31" t="n">
        <x:v>17.1</x:v>
      </x:c>
      <x:c r="L53" s="31" t="n">
        <x:v>20.7</x:v>
      </x:c>
      <x:c r="M53" s="31" t="n">
        <x:v>60</x:v>
      </x:c>
      <x:c r="N53" s="31" t="inlineStr">
        <x:is>
          <x:t xml:space="preserve">Ожидание материала</x:t>
        </x:is>
      </x:c>
      <x:c r="O53" s="31" t="inlineStr">
        <x:is>
          <x:t xml:space="preserve">Подтверждено мастером</x:t>
        </x:is>
      </x:c>
      <x:c r="P53" s="31" t="inlineStr">
        <x:is>
          <x:t xml:space="preserve">Комментарий смены 55</x:t>
        </x:is>
      </x:c>
    </x:row>
    <x:row r="54" ht="18" customHeight="1">
      <x:c r="A54" s="31" t="inlineStr">
        <x:is>
          <x:t xml:space="preserve">СМ-00056</x:t>
        </x:is>
      </x:c>
      <x:c r="B54" s="31" t="n">
        <x:v>46163</x:v>
      </x:c>
      <x:c r="C54" s="31" t="inlineStr">
        <x:is>
          <x:t xml:space="preserve">Ночь</x:t>
        </x:is>
      </x:c>
      <x:c r="D54" s="31" t="inlineStr">
        <x:is>
          <x:t xml:space="preserve">ПЗ-00186</x:t>
        </x:is>
      </x:c>
      <x:c r="E54" s="31" t="inlineStr">
        <x:is>
          <x:t xml:space="preserve">ОП-001553</x:t>
        </x:is>
      </x:c>
      <x:c r="F54" s="31" t="inlineStr">
        <x:is>
          <x:t xml:space="preserve">ОБ-001</x:t>
        </x:is>
      </x:c>
      <x:c r="G54" s="31" t="inlineStr">
        <x:is>
          <x:t xml:space="preserve">СОТР-095</x:t>
        </x:is>
      </x:c>
      <x:c r="H54" s="31" t="inlineStr">
        <x:is>
          <x:t xml:space="preserve">ОТК</x:t>
        </x:is>
      </x:c>
      <x:c r="I54" s="31" t="n">
        <x:v>5</x:v>
      </x:c>
      <x:c r="J54" s="31" t="n">
        <x:v>6</x:v>
      </x:c>
      <x:c r="K54" s="31" t="n">
        <x:v>11</x:v>
      </x:c>
      <x:c r="L54" s="31" t="n">
        <x:v>11.1</x:v>
      </x:c>
      <x:c r="M54" s="31" t="n">
        <x:v>120</x:v>
      </x:c>
      <x:c r="N54" s="31" t="inlineStr">
        <x:is>
          <x:t xml:space="preserve">Ремонт оборудования</x:t>
        </x:is>
      </x:c>
      <x:c r="O54" s="31" t="inlineStr">
        <x:is>
          <x:t xml:space="preserve">Подтверждено мастером</x:t>
        </x:is>
      </x:c>
      <x:c r="P54" s="31" t="inlineStr">
        <x:is>
          <x:t xml:space="preserve">Комментарий смены 56</x:t>
        </x:is>
      </x:c>
    </x:row>
    <x:row r="55" ht="18" customHeight="1">
      <x:c r="A55" s="31" t="inlineStr">
        <x:is>
          <x:t xml:space="preserve">СМ-00057</x:t>
        </x:is>
      </x:c>
      <x:c r="B55" s="31" t="n">
        <x:v>46063</x:v>
      </x:c>
      <x:c r="C55" s="31" t="inlineStr">
        <x:is>
          <x:t xml:space="preserve">Вечер</x:t>
        </x:is>
      </x:c>
      <x:c r="D55" s="31" t="inlineStr">
        <x:is>
          <x:t xml:space="preserve">ПЗ-00252</x:t>
        </x:is>
      </x:c>
      <x:c r="E55" s="31" t="inlineStr">
        <x:is>
          <x:t xml:space="preserve">ОП-002110</x:t>
        </x:is>
      </x:c>
      <x:c r="F55" s="31" t="inlineStr">
        <x:is>
          <x:t xml:space="preserve">ОБ-024</x:t>
        </x:is>
      </x:c>
      <x:c r="G55" s="31" t="inlineStr">
        <x:is>
          <x:t xml:space="preserve">СОТР-098</x:t>
        </x:is>
      </x:c>
      <x:c r="H55" s="31" t="inlineStr">
        <x:is>
          <x:t xml:space="preserve">ОТК</x:t>
        </x:is>
      </x:c>
      <x:c r="I55" s="31" t="n">
        <x:v>2</x:v>
      </x:c>
      <x:c r="J55" s="31" t="n">
        <x:v>2</x:v>
      </x:c>
      <x:c r="K55" s="31" t="n">
        <x:v>16.6</x:v>
      </x:c>
      <x:c r="L55" s="31" t="n">
        <x:v>20.1</x:v>
      </x:c>
      <x:c r="M55" s="31" t="n">
        <x:v>45</x:v>
      </x:c>
      <x:c r="N55" s="31" t="inlineStr">
        <x:is>
          <x:t xml:space="preserve">Нет оператора</x:t>
        </x:is>
      </x:c>
      <x:c r="O55" s="31" t="inlineStr">
        <x:is>
          <x:t xml:space="preserve">Подтверждено мастером</x:t>
        </x:is>
      </x:c>
      <x:c r="P55" s="31" t="inlineStr">
        <x:is>
          <x:t xml:space="preserve">Комментарий смены 57</x:t>
        </x:is>
      </x:c>
    </x:row>
    <x:row r="56" ht="18" customHeight="1">
      <x:c r="A56" s="31" t="inlineStr">
        <x:is>
          <x:t xml:space="preserve">СМ-00058</x:t>
        </x:is>
      </x:c>
      <x:c r="B56" s="31" t="n">
        <x:v>46203</x:v>
      </x:c>
      <x:c r="C56" s="31" t="inlineStr">
        <x:is>
          <x:t xml:space="preserve">Ночь</x:t>
        </x:is>
      </x:c>
      <x:c r="D56" s="31" t="inlineStr">
        <x:is>
          <x:t xml:space="preserve">ПЗ-00204</x:t>
        </x:is>
      </x:c>
      <x:c r="E56" s="31" t="inlineStr">
        <x:is>
          <x:t xml:space="preserve">ОП-001712</x:t>
        </x:is>
      </x:c>
      <x:c r="F56" s="31" t="n"/>
      <x:c r="G56" s="31" t="inlineStr">
        <x:is>
          <x:t xml:space="preserve">СОТР-105</x:t>
        </x:is>
      </x:c>
      <x:c r="H56" s="31" t="inlineStr">
        <x:is>
          <x:t xml:space="preserve">Логистика</x:t>
        </x:is>
      </x:c>
      <x:c r="I56" s="31" t="n">
        <x:v>3</x:v>
      </x:c>
      <x:c r="J56" s="31" t="n">
        <x:v>4</x:v>
      </x:c>
      <x:c r="K56" s="31" t="n">
        <x:v>33.9</x:v>
      </x:c>
      <x:c r="L56" s="31" t="n">
        <x:v>44.4</x:v>
      </x:c>
      <x:c r="M56" s="31" t="n">
        <x:v>60</x:v>
      </x:c>
      <x:c r="N56" s="31" t="inlineStr">
        <x:is>
          <x:t xml:space="preserve">Ремонт оборудования</x:t>
        </x:is>
      </x:c>
      <x:c r="O56" s="31" t="inlineStr">
        <x:is>
          <x:t xml:space="preserve">Спорный факт</x:t>
        </x:is>
      </x:c>
      <x:c r="P56" s="31" t="inlineStr">
        <x:is>
          <x:t xml:space="preserve">Комментарий смены 58</x:t>
        </x:is>
      </x:c>
    </x:row>
    <x:row r="57" ht="18" customHeight="1">
      <x:c r="A57" s="31" t="inlineStr">
        <x:is>
          <x:t xml:space="preserve">СМ-00059</x:t>
        </x:is>
      </x:c>
      <x:c r="B57" s="31" t="n">
        <x:v>46060</x:v>
      </x:c>
      <x:c r="C57" s="31" t="inlineStr">
        <x:is>
          <x:t xml:space="preserve">День</x:t>
        </x:is>
      </x:c>
      <x:c r="D57" s="31" t="inlineStr">
        <x:is>
          <x:t xml:space="preserve">ПЗ-00219</x:t>
        </x:is>
      </x:c>
      <x:c r="E57" s="31" t="inlineStr">
        <x:is>
          <x:t xml:space="preserve">ОП-001841</x:t>
        </x:is>
      </x:c>
      <x:c r="F57" s="31" t="inlineStr">
        <x:is>
          <x:t xml:space="preserve">ОБ-026</x:t>
        </x:is>
      </x:c>
      <x:c r="G57" s="31" t="inlineStr">
        <x:is>
          <x:t xml:space="preserve">СОТР-061</x:t>
        </x:is>
      </x:c>
      <x:c r="H57" s="31" t="inlineStr">
        <x:is>
          <x:t xml:space="preserve">Сварка</x:t>
        </x:is>
      </x:c>
      <x:c r="I57" s="31" t="n">
        <x:v>2</x:v>
      </x:c>
      <x:c r="J57" s="31" t="n">
        <x:v>2</x:v>
      </x:c>
      <x:c r="K57" s="31" t="n">
        <x:v>7.6</x:v>
      </x:c>
      <x:c r="L57" s="31" t="n">
        <x:v>8.199999999999999</x:v>
      </x:c>
      <x:c r="M57" s="31" t="n">
        <x:v>0</x:v>
      </x:c>
      <x:c r="N57" s="31" t="inlineStr">
        <x:is>
          <x:t xml:space="preserve">Нет</x:t>
        </x:is>
      </x:c>
      <x:c r="O57" s="31" t="inlineStr">
        <x:is>
          <x:t xml:space="preserve">Закрыто</x:t>
        </x:is>
      </x:c>
      <x:c r="P57" s="31" t="inlineStr">
        <x:is>
          <x:t xml:space="preserve">Комментарий смены 59</x:t>
        </x:is>
      </x:c>
    </x:row>
    <x:row r="58" ht="18" customHeight="1">
      <x:c r="A58" s="31" t="inlineStr">
        <x:is>
          <x:t xml:space="preserve">СМ-00060</x:t>
        </x:is>
      </x:c>
      <x:c r="B58" s="31" t="n">
        <x:v>46184</x:v>
      </x:c>
      <x:c r="C58" s="31" t="inlineStr">
        <x:is>
          <x:t xml:space="preserve">День</x:t>
        </x:is>
      </x:c>
      <x:c r="D58" s="31" t="inlineStr">
        <x:is>
          <x:t xml:space="preserve">ПЗ-00184</x:t>
        </x:is>
      </x:c>
      <x:c r="E58" s="31" t="inlineStr">
        <x:is>
          <x:t xml:space="preserve">ОП-001527</x:t>
        </x:is>
      </x:c>
      <x:c r="F58" s="31" t="inlineStr">
        <x:is>
          <x:t xml:space="preserve">ОБ-009</x:t>
        </x:is>
      </x:c>
      <x:c r="G58" s="31" t="inlineStr">
        <x:is>
          <x:t xml:space="preserve">СОТР-038</x:t>
        </x:is>
      </x:c>
      <x:c r="H58" s="31" t="inlineStr">
        <x:is>
          <x:t xml:space="preserve">Склад</x:t>
        </x:is>
      </x:c>
      <x:c r="I58" s="31" t="n">
        <x:v>2</x:v>
      </x:c>
      <x:c r="J58" s="31" t="n">
        <x:v>3</x:v>
      </x:c>
      <x:c r="K58" s="31" t="n">
        <x:v>16</x:v>
      </x:c>
      <x:c r="L58" s="31" t="n">
        <x:v>15.9</x:v>
      </x:c>
      <x:c r="M58" s="31" t="n">
        <x:v>90</x:v>
      </x:c>
      <x:c r="N58" s="31" t="inlineStr">
        <x:is>
          <x:t xml:space="preserve">Ожидание ОТК</x:t>
        </x:is>
      </x:c>
      <x:c r="O58" s="31" t="inlineStr">
        <x:is>
          <x:t xml:space="preserve">Спорный факт</x:t>
        </x:is>
      </x:c>
      <x:c r="P58" s="31" t="inlineStr">
        <x:is>
          <x:t xml:space="preserve">Комментарий смены 60</x:t>
        </x:is>
      </x:c>
    </x:row>
    <x:row r="59" ht="18" customHeight="1">
      <x:c r="A59" s="31" t="inlineStr">
        <x:is>
          <x:t xml:space="preserve">СМ-00062</x:t>
        </x:is>
      </x:c>
      <x:c r="B59" s="31" t="n">
        <x:v>46136</x:v>
      </x:c>
      <x:c r="C59" s="31" t="inlineStr">
        <x:is>
          <x:t xml:space="preserve">Ночь</x:t>
        </x:is>
      </x:c>
      <x:c r="D59" s="31" t="inlineStr">
        <x:is>
          <x:t xml:space="preserve">ПЗ-00166</x:t>
        </x:is>
      </x:c>
      <x:c r="E59" s="31" t="inlineStr">
        <x:is>
          <x:t xml:space="preserve">ОП-001383</x:t>
        </x:is>
      </x:c>
      <x:c r="F59" s="31" t="inlineStr">
        <x:is>
          <x:t xml:space="preserve">ОБ-007</x:t>
        </x:is>
      </x:c>
      <x:c r="G59" s="31" t="inlineStr">
        <x:is>
          <x:t xml:space="preserve">СОТР-063</x:t>
        </x:is>
      </x:c>
      <x:c r="H59" s="31" t="inlineStr">
        <x:is>
          <x:t xml:space="preserve">ОТК</x:t>
        </x:is>
      </x:c>
      <x:c r="I59" s="31" t="n">
        <x:v>3</x:v>
      </x:c>
      <x:c r="J59" s="31" t="n">
        <x:v>4</x:v>
      </x:c>
      <x:c r="K59" s="31" t="n">
        <x:v>14.1</x:v>
      </x:c>
      <x:c r="L59" s="31" t="n">
        <x:v>16.8</x:v>
      </x:c>
      <x:c r="M59" s="31" t="n">
        <x:v>90</x:v>
      </x:c>
      <x:c r="N59" s="31" t="inlineStr">
        <x:is>
          <x:t xml:space="preserve">Ожидание материала</x:t>
        </x:is>
      </x:c>
      <x:c r="O59" s="31" t="inlineStr">
        <x:is>
          <x:t xml:space="preserve">Подтверждено мастером</x:t>
        </x:is>
      </x:c>
      <x:c r="P59" s="31" t="inlineStr">
        <x:is>
          <x:t xml:space="preserve">Комментарий смены 62</x:t>
        </x:is>
      </x:c>
    </x:row>
    <x:row r="60" ht="18" customHeight="1">
      <x:c r="A60" s="31" t="inlineStr">
        <x:is>
          <x:t xml:space="preserve">СМ-00063</x:t>
        </x:is>
      </x:c>
      <x:c r="B60" s="31" t="n">
        <x:v>46184</x:v>
      </x:c>
      <x:c r="C60" s="31" t="inlineStr">
        <x:is>
          <x:t xml:space="preserve">Ночь</x:t>
        </x:is>
      </x:c>
      <x:c r="D60" s="31" t="inlineStr">
        <x:is>
          <x:t xml:space="preserve">ПЗ-00240</x:t>
        </x:is>
      </x:c>
      <x:c r="E60" s="31" t="inlineStr">
        <x:is>
          <x:t xml:space="preserve">ОП-002013</x:t>
        </x:is>
      </x:c>
      <x:c r="F60" s="31" t="inlineStr">
        <x:is>
          <x:t xml:space="preserve">ОБ-033</x:t>
        </x:is>
      </x:c>
      <x:c r="G60" s="31" t="inlineStr">
        <x:is>
          <x:t xml:space="preserve">СОТР-097</x:t>
        </x:is>
      </x:c>
      <x:c r="H60" s="31" t="inlineStr">
        <x:is>
          <x:t xml:space="preserve">ОТК</x:t>
        </x:is>
      </x:c>
      <x:c r="I60" s="31" t="n">
        <x:v>4</x:v>
      </x:c>
      <x:c r="J60" s="31" t="n">
        <x:v>4</x:v>
      </x:c>
      <x:c r="K60" s="31" t="n">
        <x:v>9.6</x:v>
      </x:c>
      <x:c r="L60" s="31" t="n">
        <x:v>10</x:v>
      </x:c>
      <x:c r="M60" s="31" t="n">
        <x:v>0</x:v>
      </x:c>
      <x:c r="N60" s="31" t="inlineStr">
        <x:is>
          <x:t xml:space="preserve">Нет</x:t>
        </x:is>
      </x:c>
      <x:c r="O60" s="31" t="inlineStr">
        <x:is>
          <x:t xml:space="preserve">Черновик</x:t>
        </x:is>
      </x:c>
      <x:c r="P60" s="31" t="inlineStr">
        <x:is>
          <x:t xml:space="preserve">Комментарий смены 63</x:t>
        </x:is>
      </x:c>
    </x:row>
    <x:row r="61" ht="18" customHeight="1">
      <x:c r="A61" s="31" t="inlineStr">
        <x:is>
          <x:t xml:space="preserve">СМ-00064</x:t>
        </x:is>
      </x:c>
      <x:c r="B61" s="31" t="n">
        <x:v>46190</x:v>
      </x:c>
      <x:c r="C61" s="31" t="inlineStr">
        <x:is>
          <x:t xml:space="preserve">Ночь</x:t>
        </x:is>
      </x:c>
      <x:c r="D61" s="31" t="inlineStr">
        <x:is>
          <x:t xml:space="preserve">ПЗ-00050</x:t>
        </x:is>
      </x:c>
      <x:c r="E61" s="31" t="inlineStr">
        <x:is>
          <x:t xml:space="preserve">ОП-000414</x:t>
        </x:is>
      </x:c>
      <x:c r="F61" s="31" t="inlineStr">
        <x:is>
          <x:t xml:space="preserve">ОБ-001</x:t>
        </x:is>
      </x:c>
      <x:c r="G61" s="31" t="inlineStr">
        <x:is>
          <x:t xml:space="preserve">СОТР-092</x:t>
        </x:is>
      </x:c>
      <x:c r="H61" s="31" t="inlineStr">
        <x:is>
          <x:t xml:space="preserve">ОТК</x:t>
        </x:is>
      </x:c>
      <x:c r="I61" s="31" t="n">
        <x:v>4</x:v>
      </x:c>
      <x:c r="J61" s="31" t="n">
        <x:v>4</x:v>
      </x:c>
      <x:c r="K61" s="31" t="n">
        <x:v>31</x:v>
      </x:c>
      <x:c r="L61" s="31" t="n">
        <x:v>26.9</x:v>
      </x:c>
      <x:c r="M61" s="31" t="n">
        <x:v>60</x:v>
      </x:c>
      <x:c r="N61" s="31" t="inlineStr">
        <x:is>
          <x:t xml:space="preserve">Ремонт оборудования</x:t>
        </x:is>
      </x:c>
      <x:c r="O61" s="31" t="inlineStr">
        <x:is>
          <x:t xml:space="preserve">Закрыто</x:t>
        </x:is>
      </x:c>
      <x:c r="P61" s="31" t="inlineStr">
        <x:is>
          <x:t xml:space="preserve">Комментарий смены 64</x:t>
        </x:is>
      </x:c>
    </x:row>
    <x:row r="62" ht="18" customHeight="1">
      <x:c r="A62" s="31" t="inlineStr">
        <x:is>
          <x:t xml:space="preserve">СМ-00065</x:t>
        </x:is>
      </x:c>
      <x:c r="B62" s="31" t="n">
        <x:v>46193</x:v>
      </x:c>
      <x:c r="C62" s="31" t="inlineStr">
        <x:is>
          <x:t xml:space="preserve">Ночь</x:t>
        </x:is>
      </x:c>
      <x:c r="D62" s="31" t="inlineStr">
        <x:is>
          <x:t xml:space="preserve">ПЗ-00041</x:t>
        </x:is>
      </x:c>
      <x:c r="E62" s="31" t="inlineStr">
        <x:is>
          <x:t xml:space="preserve">ОП-000345</x:t>
        </x:is>
      </x:c>
      <x:c r="F62" s="31" t="inlineStr">
        <x:is>
          <x:t xml:space="preserve">ОБ-020</x:t>
        </x:is>
      </x:c>
      <x:c r="G62" s="31" t="inlineStr">
        <x:is>
          <x:t xml:space="preserve">СОТР-087</x:t>
        </x:is>
      </x:c>
      <x:c r="H62" s="31" t="inlineStr">
        <x:is>
          <x:t xml:space="preserve">Сборка</x:t>
        </x:is>
      </x:c>
      <x:c r="I62" s="31" t="n">
        <x:v>1</x:v>
      </x:c>
      <x:c r="J62" s="31" t="n">
        <x:v>1</x:v>
      </x:c>
      <x:c r="K62" s="31" t="n">
        <x:v>7.6</x:v>
      </x:c>
      <x:c r="L62" s="31" t="n">
        <x:v>8.4</x:v>
      </x:c>
      <x:c r="M62" s="31" t="n">
        <x:v>15</x:v>
      </x:c>
      <x:c r="N62" s="31" t="inlineStr">
        <x:is>
          <x:t xml:space="preserve">Нет оператора</x:t>
        </x:is>
      </x:c>
      <x:c r="O62" s="31" t="inlineStr">
        <x:is>
          <x:t xml:space="preserve">Подтверждено мастером</x:t>
        </x:is>
      </x:c>
      <x:c r="P62" s="31" t="inlineStr">
        <x:is>
          <x:t xml:space="preserve">Комментарий смены 65</x:t>
        </x:is>
      </x:c>
    </x:row>
    <x:row r="63" ht="18" customHeight="1">
      <x:c r="A63" s="31" t="inlineStr">
        <x:is>
          <x:t xml:space="preserve">СМ-00067</x:t>
        </x:is>
      </x:c>
      <x:c r="B63" s="31" t="n">
        <x:v>46189</x:v>
      </x:c>
      <x:c r="C63" s="31" t="inlineStr">
        <x:is>
          <x:t xml:space="preserve">День</x:t>
        </x:is>
      </x:c>
      <x:c r="D63" s="31" t="inlineStr">
        <x:is>
          <x:t xml:space="preserve">ПЗ-00150</x:t>
        </x:is>
      </x:c>
      <x:c r="E63" s="31" t="inlineStr">
        <x:is>
          <x:t xml:space="preserve">ОП-001247</x:t>
        </x:is>
      </x:c>
      <x:c r="F63" s="31" t="inlineStr">
        <x:is>
          <x:t xml:space="preserve">ОБ-024</x:t>
        </x:is>
      </x:c>
      <x:c r="G63" s="31" t="inlineStr">
        <x:is>
          <x:t xml:space="preserve">СОТР-099</x:t>
        </x:is>
      </x:c>
      <x:c r="H63" s="31" t="inlineStr">
        <x:is>
          <x:t xml:space="preserve">ОТК</x:t>
        </x:is>
      </x:c>
      <x:c r="I63" s="31" t="n">
        <x:v>6</x:v>
      </x:c>
      <x:c r="J63" s="31" t="n">
        <x:v>0</x:v>
      </x:c>
      <x:c r="K63" s="31" t="n">
        <x:v>64</x:v>
      </x:c>
      <x:c r="L63" s="31" t="n">
        <x:v>56.6</x:v>
      </x:c>
      <x:c r="M63" s="31" t="n">
        <x:v>45</x:v>
      </x:c>
      <x:c r="N63" s="31" t="inlineStr">
        <x:is>
          <x:t xml:space="preserve">Переналадка</x:t>
        </x:is>
      </x:c>
      <x:c r="O63" s="31" t="inlineStr">
        <x:is>
          <x:t xml:space="preserve">Закрыто</x:t>
        </x:is>
      </x:c>
      <x:c r="P63" s="31" t="inlineStr">
        <x:is>
          <x:t xml:space="preserve">Комментарий смены 67</x:t>
        </x:is>
      </x:c>
    </x:row>
    <x:row r="64" ht="18" customHeight="1">
      <x:c r="A64" s="31" t="inlineStr">
        <x:is>
          <x:t xml:space="preserve">СМ-00069</x:t>
        </x:is>
      </x:c>
      <x:c r="B64" s="31" t="n">
        <x:v>46189</x:v>
      </x:c>
      <x:c r="C64" s="31" t="inlineStr">
        <x:is>
          <x:t xml:space="preserve">День</x:t>
        </x:is>
      </x:c>
      <x:c r="D64" s="31" t="inlineStr">
        <x:is>
          <x:t xml:space="preserve">ПЗ-00211</x:t>
        </x:is>
      </x:c>
      <x:c r="E64" s="31" t="inlineStr">
        <x:is>
          <x:t xml:space="preserve">ОП-001766</x:t>
        </x:is>
      </x:c>
      <x:c r="F64" s="31" t="inlineStr">
        <x:is>
          <x:t xml:space="preserve">ОБ-004</x:t>
        </x:is>
      </x:c>
      <x:c r="G64" s="31" t="inlineStr">
        <x:is>
          <x:t xml:space="preserve">СОТР-061</x:t>
        </x:is>
      </x:c>
      <x:c r="H64" s="31" t="inlineStr">
        <x:is>
          <x:t xml:space="preserve">Сварка</x:t>
        </x:is>
      </x:c>
      <x:c r="I64" s="31" t="n">
        <x:v>1</x:v>
      </x:c>
      <x:c r="J64" s="31" t="n">
        <x:v>1</x:v>
      </x:c>
      <x:c r="K64" s="31" t="n">
        <x:v>11.4</x:v>
      </x:c>
      <x:c r="L64" s="31" t="n">
        <x:v>13.6</x:v>
      </x:c>
      <x:c r="M64" s="31" t="n">
        <x:v>120</x:v>
      </x:c>
      <x:c r="N64" s="31" t="inlineStr">
        <x:is>
          <x:t xml:space="preserve">Переналадка</x:t>
        </x:is>
      </x:c>
      <x:c r="O64" s="31" t="inlineStr">
        <x:is>
          <x:t xml:space="preserve">Подтверждено мастером</x:t>
        </x:is>
      </x:c>
      <x:c r="P64" s="31" t="inlineStr">
        <x:is>
          <x:t xml:space="preserve">Комментарий смены 69</x:t>
        </x:is>
      </x:c>
    </x:row>
    <x:row r="65" ht="18" customHeight="1">
      <x:c r="A65" s="31" t="inlineStr">
        <x:is>
          <x:t xml:space="preserve">СМ-00070</x:t>
        </x:is>
      </x:c>
      <x:c r="B65" s="31" t="n">
        <x:v>46096</x:v>
      </x:c>
      <x:c r="C65" s="31" t="inlineStr">
        <x:is>
          <x:t xml:space="preserve">День</x:t>
        </x:is>
      </x:c>
      <x:c r="D65" s="31" t="inlineStr">
        <x:is>
          <x:t xml:space="preserve">ПЗ-00022</x:t>
        </x:is>
      </x:c>
      <x:c r="E65" s="31" t="inlineStr">
        <x:is>
          <x:t xml:space="preserve">ОП-000187</x:t>
        </x:is>
      </x:c>
      <x:c r="F65" s="31" t="inlineStr">
        <x:is>
          <x:t xml:space="preserve">ОБ-014</x:t>
        </x:is>
      </x:c>
      <x:c r="G65" s="31" t="inlineStr">
        <x:is>
          <x:t xml:space="preserve">СОТР-081</x:t>
        </x:is>
      </x:c>
      <x:c r="H65" s="31" t="inlineStr">
        <x:is>
          <x:t xml:space="preserve">Сборка</x:t>
        </x:is>
      </x:c>
      <x:c r="I65" s="31" t="n">
        <x:v>2</x:v>
      </x:c>
      <x:c r="J65" s="31" t="n">
        <x:v>0</x:v>
      </x:c>
      <x:c r="K65" s="31" t="n">
        <x:v>8.800000000000001</x:v>
      </x:c>
      <x:c r="L65" s="31" t="n">
        <x:v>9.4</x:v>
      </x:c>
      <x:c r="M65" s="31" t="n">
        <x:v>120</x:v>
      </x:c>
      <x:c r="N65" s="31" t="inlineStr">
        <x:is>
          <x:t xml:space="preserve">Ремонт оборудования</x:t>
        </x:is>
      </x:c>
      <x:c r="O65" s="31" t="inlineStr">
        <x:is>
          <x:t xml:space="preserve">Подтверждено мастером</x:t>
        </x:is>
      </x:c>
      <x:c r="P65" s="31" t="inlineStr">
        <x:is>
          <x:t xml:space="preserve">Комментарий смены 70</x:t>
        </x:is>
      </x:c>
    </x:row>
    <x:row r="66" ht="18" customHeight="1">
      <x:c r="A66" s="31" t="inlineStr">
        <x:is>
          <x:t xml:space="preserve">СМ-00071</x:t>
        </x:is>
      </x:c>
      <x:c r="B66" s="31" t="n">
        <x:v>46188</x:v>
      </x:c>
      <x:c r="C66" s="31" t="inlineStr">
        <x:is>
          <x:t xml:space="preserve">Ночь</x:t>
        </x:is>
      </x:c>
      <x:c r="D66" s="31" t="inlineStr">
        <x:is>
          <x:t xml:space="preserve">ПЗ-00173</x:t>
        </x:is>
      </x:c>
      <x:c r="E66" s="31" t="inlineStr">
        <x:is>
          <x:t xml:space="preserve">ОП-001439</x:t>
        </x:is>
      </x:c>
      <x:c r="F66" s="31" t="inlineStr">
        <x:is>
          <x:t xml:space="preserve">ОБ-020</x:t>
        </x:is>
      </x:c>
      <x:c r="G66" s="31" t="inlineStr">
        <x:is>
          <x:t xml:space="preserve">СОТР-084</x:t>
        </x:is>
      </x:c>
      <x:c r="H66" s="31" t="inlineStr">
        <x:is>
          <x:t xml:space="preserve">Сборка</x:t>
        </x:is>
      </x:c>
      <x:c r="I66" s="31" t="n">
        <x:v>2</x:v>
      </x:c>
      <x:c r="J66" s="31" t="n">
        <x:v>3</x:v>
      </x:c>
      <x:c r="K66" s="31" t="n">
        <x:v>18.3</x:v>
      </x:c>
      <x:c r="L66" s="31" t="n">
        <x:v>24.4</x:v>
      </x:c>
      <x:c r="M66" s="31" t="n">
        <x:v>120</x:v>
      </x:c>
      <x:c r="N66" s="31" t="inlineStr">
        <x:is>
          <x:t xml:space="preserve">Нет оператора</x:t>
        </x:is>
      </x:c>
      <x:c r="O66" s="31" t="inlineStr">
        <x:is>
          <x:t xml:space="preserve">Подтверждено мастером</x:t>
        </x:is>
      </x:c>
      <x:c r="P66" s="31" t="inlineStr">
        <x:is>
          <x:t xml:space="preserve">Комментарий смены 71</x:t>
        </x:is>
      </x:c>
    </x:row>
    <x:row r="67" ht="18" customHeight="1">
      <x:c r="A67" s="31" t="inlineStr">
        <x:is>
          <x:t xml:space="preserve">СМ-00072</x:t>
        </x:is>
      </x:c>
      <x:c r="B67" s="31" t="n">
        <x:v>46110</x:v>
      </x:c>
      <x:c r="C67" s="31" t="inlineStr">
        <x:is>
          <x:t xml:space="preserve">День</x:t>
        </x:is>
      </x:c>
      <x:c r="D67" s="31" t="inlineStr">
        <x:is>
          <x:t xml:space="preserve">ПЗ-00180</x:t>
        </x:is>
      </x:c>
      <x:c r="E67" s="31" t="inlineStr">
        <x:is>
          <x:t xml:space="preserve">ОП-001497</x:t>
        </x:is>
      </x:c>
      <x:c r="F67" s="31" t="inlineStr">
        <x:is>
          <x:t xml:space="preserve">ОБ-033</x:t>
        </x:is>
      </x:c>
      <x:c r="G67" s="31" t="inlineStr">
        <x:is>
          <x:t xml:space="preserve">СОТР-063</x:t>
        </x:is>
      </x:c>
      <x:c r="H67" s="31" t="inlineStr">
        <x:is>
          <x:t xml:space="preserve">ОТК</x:t>
        </x:is>
      </x:c>
      <x:c r="I67" s="31" t="n">
        <x:v>2</x:v>
      </x:c>
      <x:c r="J67" s="31" t="n">
        <x:v>2</x:v>
      </x:c>
      <x:c r="K67" s="31" t="n">
        <x:v>8.4</x:v>
      </x:c>
      <x:c r="L67" s="31" t="n">
        <x:v>9.9</x:v>
      </x:c>
      <x:c r="M67" s="31" t="n">
        <x:v>30</x:v>
      </x:c>
      <x:c r="N67" s="31" t="inlineStr">
        <x:is>
          <x:t xml:space="preserve">Ожидание материала</x:t>
        </x:is>
      </x:c>
      <x:c r="O67" s="31" t="inlineStr">
        <x:is>
          <x:t xml:space="preserve">Закрыто</x:t>
        </x:is>
      </x:c>
      <x:c r="P67" s="31" t="inlineStr">
        <x:is>
          <x:t xml:space="preserve">Комментарий смены 72</x:t>
        </x:is>
      </x:c>
    </x:row>
    <x:row r="68" ht="18" customHeight="1">
      <x:c r="A68" s="31" t="inlineStr">
        <x:is>
          <x:t xml:space="preserve">СМ-00073</x:t>
        </x:is>
      </x:c>
      <x:c r="B68" s="31" t="n">
        <x:v>46143</x:v>
      </x:c>
      <x:c r="C68" s="31" t="inlineStr">
        <x:is>
          <x:t xml:space="preserve">День</x:t>
        </x:is>
      </x:c>
      <x:c r="D68" s="31" t="inlineStr">
        <x:is>
          <x:t xml:space="preserve">ПЗ-00197</x:t>
        </x:is>
      </x:c>
      <x:c r="E68" s="31" t="inlineStr">
        <x:is>
          <x:t xml:space="preserve">ОП-001648</x:t>
        </x:is>
      </x:c>
      <x:c r="F68" s="31" t="inlineStr">
        <x:is>
          <x:t xml:space="preserve">ОБ-025</x:t>
        </x:is>
      </x:c>
      <x:c r="G68" s="31" t="inlineStr">
        <x:is>
          <x:t xml:space="preserve">СОТР-038</x:t>
        </x:is>
      </x:c>
      <x:c r="H68" s="31" t="inlineStr">
        <x:is>
          <x:t xml:space="preserve">Склад</x:t>
        </x:is>
      </x:c>
      <x:c r="I68" s="31" t="n">
        <x:v>4</x:v>
      </x:c>
      <x:c r="J68" s="31" t="n">
        <x:v>5</x:v>
      </x:c>
      <x:c r="K68" s="31" t="n">
        <x:v>60.5</x:v>
      </x:c>
      <x:c r="L68" s="31" t="n">
        <x:v>81</x:v>
      </x:c>
      <x:c r="M68" s="31" t="n">
        <x:v>15</x:v>
      </x:c>
      <x:c r="N68" s="31" t="inlineStr">
        <x:is>
          <x:t xml:space="preserve">Нет оператора</x:t>
        </x:is>
      </x:c>
      <x:c r="O68" s="31" t="inlineStr">
        <x:is>
          <x:t xml:space="preserve">Подтверждено мастером</x:t>
        </x:is>
      </x:c>
      <x:c r="P68" s="31" t="inlineStr">
        <x:is>
          <x:t xml:space="preserve">Комментарий смены 73</x:t>
        </x:is>
      </x:c>
    </x:row>
    <x:row r="69" ht="18" customHeight="1">
      <x:c r="A69" s="31" t="inlineStr">
        <x:is>
          <x:t xml:space="preserve">СМ-00074</x:t>
        </x:is>
      </x:c>
      <x:c r="B69" s="31" t="n">
        <x:v>46114</x:v>
      </x:c>
      <x:c r="C69" s="31" t="inlineStr">
        <x:is>
          <x:t xml:space="preserve">Ночь</x:t>
        </x:is>
      </x:c>
      <x:c r="D69" s="31" t="inlineStr">
        <x:is>
          <x:t xml:space="preserve">ПЗ-00102</x:t>
        </x:is>
      </x:c>
      <x:c r="E69" s="31" t="inlineStr">
        <x:is>
          <x:t xml:space="preserve">ОП-000849</x:t>
        </x:is>
      </x:c>
      <x:c r="F69" s="31" t="inlineStr">
        <x:is>
          <x:t xml:space="preserve">ОБ-012</x:t>
        </x:is>
      </x:c>
      <x:c r="G69" s="31" t="inlineStr">
        <x:is>
          <x:t xml:space="preserve">СОТР-078</x:t>
        </x:is>
      </x:c>
      <x:c r="H69" s="31" t="inlineStr">
        <x:is>
          <x:t xml:space="preserve">Сборка</x:t>
        </x:is>
      </x:c>
      <x:c r="I69" s="31" t="n">
        <x:v>4</x:v>
      </x:c>
      <x:c r="J69" s="31" t="n">
        <x:v>4</x:v>
      </x:c>
      <x:c r="K69" s="31" t="n">
        <x:v>20</x:v>
      </x:c>
      <x:c r="L69" s="31" t="n">
        <x:v>26.3</x:v>
      </x:c>
      <x:c r="M69" s="31" t="n">
        <x:v>0</x:v>
      </x:c>
      <x:c r="N69" s="31" t="inlineStr">
        <x:is>
          <x:t xml:space="preserve">Нет</x:t>
        </x:is>
      </x:c>
      <x:c r="O69" s="31" t="inlineStr">
        <x:is>
          <x:t xml:space="preserve">Закрыто</x:t>
        </x:is>
      </x:c>
      <x:c r="P69" s="31" t="inlineStr">
        <x:is>
          <x:t xml:space="preserve">Комментарий смены 74</x:t>
        </x:is>
      </x:c>
    </x:row>
    <x:row r="70" ht="18" customHeight="1">
      <x:c r="A70" s="31" t="inlineStr">
        <x:is>
          <x:t xml:space="preserve">СМ-00075</x:t>
        </x:is>
      </x:c>
      <x:c r="B70" s="31" t="n">
        <x:v>46219</x:v>
      </x:c>
      <x:c r="C70" s="31" t="inlineStr">
        <x:is>
          <x:t xml:space="preserve">Ночь</x:t>
        </x:is>
      </x:c>
      <x:c r="D70" s="31" t="inlineStr">
        <x:is>
          <x:t xml:space="preserve">ПЗ-00149</x:t>
        </x:is>
      </x:c>
      <x:c r="E70" s="31" t="inlineStr">
        <x:is>
          <x:t xml:space="preserve">ОП-001244</x:t>
        </x:is>
      </x:c>
      <x:c r="F70" s="31" t="inlineStr">
        <x:is>
          <x:t xml:space="preserve">ОБ-007</x:t>
        </x:is>
      </x:c>
      <x:c r="G70" s="31" t="inlineStr">
        <x:is>
          <x:t xml:space="preserve">СОТР-063</x:t>
        </x:is>
      </x:c>
      <x:c r="H70" s="31" t="inlineStr">
        <x:is>
          <x:t xml:space="preserve">ОТК</x:t>
        </x:is>
      </x:c>
      <x:c r="I70" s="31" t="n">
        <x:v>4</x:v>
      </x:c>
      <x:c r="J70" s="31" t="n">
        <x:v>4</x:v>
      </x:c>
      <x:c r="K70" s="31" t="n">
        <x:v>18.8</x:v>
      </x:c>
      <x:c r="L70" s="31" t="n">
        <x:v>19.8</x:v>
      </x:c>
      <x:c r="M70" s="31" t="n">
        <x:v>45</x:v>
      </x:c>
      <x:c r="N70" s="31" t="inlineStr">
        <x:is>
          <x:t xml:space="preserve">Переналадка</x:t>
        </x:is>
      </x:c>
      <x:c r="O70" s="31" t="inlineStr">
        <x:is>
          <x:t xml:space="preserve">Подтверждено мастером</x:t>
        </x:is>
      </x:c>
      <x:c r="P70" s="31" t="inlineStr">
        <x:is>
          <x:t xml:space="preserve">Комментарий смены 75</x:t>
        </x:is>
      </x:c>
    </x:row>
    <x:row r="71" ht="18" customHeight="1">
      <x:c r="A71" s="31" t="inlineStr">
        <x:is>
          <x:t xml:space="preserve">СМ-00076</x:t>
        </x:is>
      </x:c>
      <x:c r="B71" s="31" t="n">
        <x:v>46197</x:v>
      </x:c>
      <x:c r="C71" s="31" t="inlineStr">
        <x:is>
          <x:t xml:space="preserve">День</x:t>
        </x:is>
      </x:c>
      <x:c r="D71" s="31" t="inlineStr">
        <x:is>
          <x:t xml:space="preserve">ПЗ-00122</x:t>
        </x:is>
      </x:c>
      <x:c r="E71" s="31" t="inlineStr">
        <x:is>
          <x:t xml:space="preserve">ОП-001020</x:t>
        </x:is>
      </x:c>
      <x:c r="F71" s="31" t="inlineStr">
        <x:is>
          <x:t xml:space="preserve">ОБ-010</x:t>
        </x:is>
      </x:c>
      <x:c r="G71" s="31" t="inlineStr">
        <x:is>
          <x:t xml:space="preserve">СОТР-056</x:t>
        </x:is>
      </x:c>
      <x:c r="H71" s="31" t="inlineStr">
        <x:is>
          <x:t xml:space="preserve">Сварка</x:t>
        </x:is>
      </x:c>
      <x:c r="I71" s="31" t="n">
        <x:v>1</x:v>
      </x:c>
      <x:c r="J71" s="31" t="n">
        <x:v>0</x:v>
      </x:c>
      <x:c r="K71" s="31" t="n">
        <x:v>27.8</x:v>
      </x:c>
      <x:c r="L71" s="31" t="n">
        <x:v>36.3</x:v>
      </x:c>
      <x:c r="M71" s="31" t="n">
        <x:v>60</x:v>
      </x:c>
      <x:c r="N71" s="31" t="inlineStr">
        <x:is>
          <x:t xml:space="preserve">Ремонт оборудования</x:t>
        </x:is>
      </x:c>
      <x:c r="O71" s="31" t="inlineStr">
        <x:is>
          <x:t xml:space="preserve">Подтверждено мастером</x:t>
        </x:is>
      </x:c>
      <x:c r="P71" s="31" t="inlineStr">
        <x:is>
          <x:t xml:space="preserve">Комментарий смены 76</x:t>
        </x:is>
      </x:c>
    </x:row>
    <x:row r="72" ht="18" customHeight="1">
      <x:c r="A72" s="31" t="inlineStr">
        <x:is>
          <x:t xml:space="preserve">СМ-00077</x:t>
        </x:is>
      </x:c>
      <x:c r="B72" s="31" t="n">
        <x:v>46159</x:v>
      </x:c>
      <x:c r="C72" s="31" t="inlineStr">
        <x:is>
          <x:t xml:space="preserve">День</x:t>
        </x:is>
      </x:c>
      <x:c r="D72" s="31" t="inlineStr">
        <x:is>
          <x:t xml:space="preserve">ПЗ-00044</x:t>
        </x:is>
      </x:c>
      <x:c r="E72" s="31" t="inlineStr">
        <x:is>
          <x:t xml:space="preserve">ОП-000367</x:t>
        </x:is>
      </x:c>
      <x:c r="F72" s="31" t="inlineStr">
        <x:is>
          <x:t xml:space="preserve">ОБ-017</x:t>
        </x:is>
      </x:c>
      <x:c r="G72" s="31" t="inlineStr">
        <x:is>
          <x:t xml:space="preserve">СОТР-090</x:t>
        </x:is>
      </x:c>
      <x:c r="H72" s="31" t="inlineStr">
        <x:is>
          <x:t xml:space="preserve">Сборка</x:t>
        </x:is>
      </x:c>
      <x:c r="I72" s="31" t="n">
        <x:v>1</x:v>
      </x:c>
      <x:c r="J72" s="31" t="n">
        <x:v>2</x:v>
      </x:c>
      <x:c r="K72" s="31" t="n">
        <x:v>4.6</x:v>
      </x:c>
      <x:c r="L72" s="31" t="n">
        <x:v>4.2</x:v>
      </x:c>
      <x:c r="M72" s="31" t="n">
        <x:v>30</x:v>
      </x:c>
      <x:c r="N72" s="31" t="inlineStr">
        <x:is>
          <x:t xml:space="preserve">Ожидание материала</x:t>
        </x:is>
      </x:c>
      <x:c r="O72" s="31" t="inlineStr">
        <x:is>
          <x:t xml:space="preserve">Подтверждено мастером</x:t>
        </x:is>
      </x:c>
      <x:c r="P72" s="31" t="inlineStr">
        <x:is>
          <x:t xml:space="preserve">Комментарий смены 77</x:t>
        </x:is>
      </x:c>
    </x:row>
    <x:row r="73" ht="18" customHeight="1">
      <x:c r="A73" s="31" t="inlineStr">
        <x:is>
          <x:t xml:space="preserve">СМ-00078</x:t>
        </x:is>
      </x:c>
      <x:c r="B73" s="31" t="n">
        <x:v>46084</x:v>
      </x:c>
      <x:c r="C73" s="31" t="inlineStr">
        <x:is>
          <x:t xml:space="preserve">День</x:t>
        </x:is>
      </x:c>
      <x:c r="D73" s="31" t="inlineStr">
        <x:is>
          <x:t xml:space="preserve">ПЗ-00247</x:t>
        </x:is>
      </x:c>
      <x:c r="E73" s="31" t="inlineStr">
        <x:is>
          <x:t xml:space="preserve">ОП-002064</x:t>
        </x:is>
      </x:c>
      <x:c r="F73" s="31" t="inlineStr">
        <x:is>
          <x:t xml:space="preserve">ОБ-021</x:t>
        </x:is>
      </x:c>
      <x:c r="G73" s="31" t="inlineStr">
        <x:is>
          <x:t xml:space="preserve">СОТР-069</x:t>
        </x:is>
      </x:c>
      <x:c r="H73" s="31" t="inlineStr">
        <x:is>
          <x:t xml:space="preserve">Сварка</x:t>
        </x:is>
      </x:c>
      <x:c r="I73" s="31" t="n">
        <x:v>1</x:v>
      </x:c>
      <x:c r="J73" s="31" t="n">
        <x:v>1</x:v>
      </x:c>
      <x:c r="K73" s="31" t="n">
        <x:v>10.2</x:v>
      </x:c>
      <x:c r="L73" s="31" t="n">
        <x:v>8.6</x:v>
      </x:c>
      <x:c r="M73" s="31" t="n">
        <x:v>90</x:v>
      </x:c>
      <x:c r="N73" s="31" t="inlineStr">
        <x:is>
          <x:t xml:space="preserve">Ожидание материала</x:t>
        </x:is>
      </x:c>
      <x:c r="O73" s="31" t="inlineStr">
        <x:is>
          <x:t xml:space="preserve">Подтверждено мастером</x:t>
        </x:is>
      </x:c>
      <x:c r="P73" s="31" t="inlineStr">
        <x:is>
          <x:t xml:space="preserve">Комментарий смены 78</x:t>
        </x:is>
      </x:c>
    </x:row>
    <x:row r="74" ht="18" customHeight="1">
      <x:c r="A74" s="31" t="inlineStr">
        <x:is>
          <x:t xml:space="preserve">СМ-00079</x:t>
        </x:is>
      </x:c>
      <x:c r="B74" s="31" t="n">
        <x:v>46100</x:v>
      </x:c>
      <x:c r="C74" s="31" t="inlineStr">
        <x:is>
          <x:t xml:space="preserve">День</x:t>
        </x:is>
      </x:c>
      <x:c r="D74" s="31" t="inlineStr">
        <x:is>
          <x:t xml:space="preserve">ПЗ-00023</x:t>
        </x:is>
      </x:c>
      <x:c r="E74" s="31" t="inlineStr">
        <x:is>
          <x:t xml:space="preserve">ОП-000200</x:t>
        </x:is>
      </x:c>
      <x:c r="F74" s="31" t="n"/>
      <x:c r="G74" s="31" t="inlineStr">
        <x:is>
          <x:t xml:space="preserve">СОТР-104</x:t>
        </x:is>
      </x:c>
      <x:c r="H74" s="31" t="inlineStr">
        <x:is>
          <x:t xml:space="preserve">Логистика</x:t>
        </x:is>
      </x:c>
      <x:c r="I74" s="31" t="n">
        <x:v>1</x:v>
      </x:c>
      <x:c r="J74" s="31" t="n">
        <x:v>1</x:v>
      </x:c>
      <x:c r="K74" s="31" t="n">
        <x:v>8.6</x:v>
      </x:c>
      <x:c r="L74" s="31" t="n">
        <x:v>7</x:v>
      </x:c>
      <x:c r="M74" s="31" t="n">
        <x:v>30</x:v>
      </x:c>
      <x:c r="N74" s="31" t="inlineStr">
        <x:is>
          <x:t xml:space="preserve">Переналадка</x:t>
        </x:is>
      </x:c>
      <x:c r="O74" s="31" t="inlineStr">
        <x:is>
          <x:t xml:space="preserve">Подтверждено мастером</x:t>
        </x:is>
      </x:c>
      <x:c r="P74" s="31" t="inlineStr">
        <x:is>
          <x:t xml:space="preserve">Комментарий смены 79</x:t>
        </x:is>
      </x:c>
    </x:row>
    <x:row r="75" ht="18" customHeight="1">
      <x:c r="A75" s="31" t="inlineStr">
        <x:is>
          <x:t xml:space="preserve">СМ-00080</x:t>
        </x:is>
      </x:c>
      <x:c r="B75" s="31" t="n">
        <x:v>46195</x:v>
      </x:c>
      <x:c r="C75" s="31" t="inlineStr">
        <x:is>
          <x:t xml:space="preserve">Ночь</x:t>
        </x:is>
      </x:c>
      <x:c r="D75" s="31" t="inlineStr">
        <x:is>
          <x:t xml:space="preserve">ПЗ-00214</x:t>
        </x:is>
      </x:c>
      <x:c r="E75" s="31" t="inlineStr">
        <x:is>
          <x:t xml:space="preserve">ОП-001798</x:t>
        </x:is>
      </x:c>
      <x:c r="F75" s="31" t="inlineStr">
        <x:is>
          <x:t xml:space="preserve">ОБ-012</x:t>
        </x:is>
      </x:c>
      <x:c r="G75" s="31" t="inlineStr">
        <x:is>
          <x:t xml:space="preserve">СОТР-090</x:t>
        </x:is>
      </x:c>
      <x:c r="H75" s="31" t="inlineStr">
        <x:is>
          <x:t xml:space="preserve">Сборка</x:t>
        </x:is>
      </x:c>
      <x:c r="I75" s="31" t="n">
        <x:v>3</x:v>
      </x:c>
      <x:c r="J75" s="31" t="n">
        <x:v>3</x:v>
      </x:c>
      <x:c r="K75" s="31" t="n">
        <x:v>52.8</x:v>
      </x:c>
      <x:c r="L75" s="31" t="n">
        <x:v>63.7</x:v>
      </x:c>
      <x:c r="M75" s="31" t="n">
        <x:v>0</x:v>
      </x:c>
      <x:c r="N75" s="31" t="inlineStr">
        <x:is>
          <x:t xml:space="preserve">Нет</x:t>
        </x:is>
      </x:c>
      <x:c r="O75" s="31" t="inlineStr">
        <x:is>
          <x:t xml:space="preserve">Подтверждено мастером</x:t>
        </x:is>
      </x:c>
      <x:c r="P75" s="31" t="inlineStr">
        <x:is>
          <x:t xml:space="preserve">Комментарий смены 80</x:t>
        </x:is>
      </x:c>
    </x:row>
    <x:row r="76" ht="18" customHeight="1">
      <x:c r="A76" s="31" t="inlineStr">
        <x:is>
          <x:t xml:space="preserve">СМ-00081</x:t>
        </x:is>
      </x:c>
      <x:c r="B76" s="31" t="n">
        <x:v>46112</x:v>
      </x:c>
      <x:c r="C76" s="31" t="inlineStr">
        <x:is>
          <x:t xml:space="preserve">День</x:t>
        </x:is>
      </x:c>
      <x:c r="D76" s="31" t="inlineStr">
        <x:is>
          <x:t xml:space="preserve">ПЗ-00103</x:t>
        </x:is>
      </x:c>
      <x:c r="E76" s="31" t="inlineStr">
        <x:is>
          <x:t xml:space="preserve">ОП-000859</x:t>
        </x:is>
      </x:c>
      <x:c r="F76" s="31" t="inlineStr">
        <x:is>
          <x:t xml:space="preserve">ОБ-031</x:t>
        </x:is>
      </x:c>
      <x:c r="G76" s="31" t="inlineStr">
        <x:is>
          <x:t xml:space="preserve">СОТР-054</x:t>
        </x:is>
      </x:c>
      <x:c r="H76" s="31" t="inlineStr">
        <x:is>
          <x:t xml:space="preserve">Механообработка</x:t>
        </x:is>
      </x:c>
      <x:c r="I76" s="31" t="n">
        <x:v>1</x:v>
      </x:c>
      <x:c r="J76" s="31" t="n">
        <x:v>1</x:v>
      </x:c>
      <x:c r="K76" s="31" t="n">
        <x:v>1.4</x:v>
      </x:c>
      <x:c r="L76" s="31" t="n">
        <x:v>1.6</x:v>
      </x:c>
      <x:c r="M76" s="31" t="n">
        <x:v>0</x:v>
      </x:c>
      <x:c r="N76" s="31" t="inlineStr">
        <x:is>
          <x:t xml:space="preserve">Нет</x:t>
        </x:is>
      </x:c>
      <x:c r="O76" s="31" t="inlineStr">
        <x:is>
          <x:t xml:space="preserve">Закрыто</x:t>
        </x:is>
      </x:c>
      <x:c r="P76" s="31" t="inlineStr">
        <x:is>
          <x:t xml:space="preserve">Комментарий смены 81</x:t>
        </x:is>
      </x:c>
    </x:row>
    <x:row r="77" ht="18" customHeight="1">
      <x:c r="A77" s="31" t="inlineStr">
        <x:is>
          <x:t xml:space="preserve">СМ-00083</x:t>
        </x:is>
      </x:c>
      <x:c r="B77" s="31" t="n">
        <x:v>46137</x:v>
      </x:c>
      <x:c r="C77" s="31" t="inlineStr">
        <x:is>
          <x:t xml:space="preserve">День</x:t>
        </x:is>
      </x:c>
      <x:c r="D77" s="31" t="inlineStr">
        <x:is>
          <x:t xml:space="preserve">ПЗ-00008</x:t>
        </x:is>
      </x:c>
      <x:c r="E77" s="31" t="inlineStr">
        <x:is>
          <x:t xml:space="preserve">ОП-000067</x:t>
        </x:is>
      </x:c>
      <x:c r="F77" s="31" t="n"/>
      <x:c r="G77" s="31" t="inlineStr">
        <x:is>
          <x:t xml:space="preserve">СОТР-070</x:t>
        </x:is>
      </x:c>
      <x:c r="H77" s="31" t="inlineStr">
        <x:is>
          <x:t xml:space="preserve">Логистика</x:t>
        </x:is>
      </x:c>
      <x:c r="I77" s="31" t="n">
        <x:v>2</x:v>
      </x:c>
      <x:c r="J77" s="31" t="n">
        <x:v>2</x:v>
      </x:c>
      <x:c r="K77" s="31" t="n">
        <x:v>27.4</x:v>
      </x:c>
      <x:c r="L77" s="31" t="n">
        <x:v>29.4</x:v>
      </x:c>
      <x:c r="M77" s="31" t="n">
        <x:v>120</x:v>
      </x:c>
      <x:c r="N77" s="31" t="inlineStr">
        <x:is>
          <x:t xml:space="preserve">Ожидание материала</x:t>
        </x:is>
      </x:c>
      <x:c r="O77" s="31" t="inlineStr">
        <x:is>
          <x:t xml:space="preserve">Черновик</x:t>
        </x:is>
      </x:c>
      <x:c r="P77" s="31" t="inlineStr">
        <x:is>
          <x:t xml:space="preserve">Комментарий смены 83</x:t>
        </x:is>
      </x:c>
    </x:row>
    <x:row r="78" ht="18" customHeight="1">
      <x:c r="A78" s="31" t="inlineStr">
        <x:is>
          <x:t xml:space="preserve">СМ-00084</x:t>
        </x:is>
      </x:c>
      <x:c r="B78" s="31" t="n">
        <x:v>46164</x:v>
      </x:c>
      <x:c r="C78" s="31" t="inlineStr">
        <x:is>
          <x:t xml:space="preserve">Ночь</x:t>
        </x:is>
      </x:c>
      <x:c r="D78" s="31" t="inlineStr">
        <x:is>
          <x:t xml:space="preserve">ПЗ-00016</x:t>
        </x:is>
      </x:c>
      <x:c r="E78" s="31" t="inlineStr">
        <x:is>
          <x:t xml:space="preserve">ОП-000133</x:t>
        </x:is>
      </x:c>
      <x:c r="F78" s="31" t="inlineStr">
        <x:is>
          <x:t xml:space="preserve">ОБ-034</x:t>
        </x:is>
      </x:c>
      <x:c r="G78" s="31" t="inlineStr">
        <x:is>
          <x:t xml:space="preserve">СОТР-032</x:t>
        </x:is>
      </x:c>
      <x:c r="H78" s="31" t="inlineStr">
        <x:is>
          <x:t xml:space="preserve">Сборка</x:t>
        </x:is>
      </x:c>
      <x:c r="I78" s="31" t="n">
        <x:v>1</x:v>
      </x:c>
      <x:c r="J78" s="31" t="n">
        <x:v>1</x:v>
      </x:c>
      <x:c r="K78" s="31" t="n">
        <x:v>14.5</x:v>
      </x:c>
      <x:c r="L78" s="31" t="n">
        <x:v>19.5</x:v>
      </x:c>
      <x:c r="M78" s="31" t="n">
        <x:v>30</x:v>
      </x:c>
      <x:c r="N78" s="31" t="inlineStr">
        <x:is>
          <x:t xml:space="preserve">Ожидание ОТК</x:t>
        </x:is>
      </x:c>
      <x:c r="O78" s="31" t="inlineStr">
        <x:is>
          <x:t xml:space="preserve">Закрыто</x:t>
        </x:is>
      </x:c>
      <x:c r="P78" s="31" t="inlineStr">
        <x:is>
          <x:t xml:space="preserve">Комментарий смены 84</x:t>
        </x:is>
      </x:c>
    </x:row>
    <x:row r="79" ht="18" customHeight="1">
      <x:c r="A79" s="31" t="inlineStr">
        <x:is>
          <x:t xml:space="preserve">СМ-00085</x:t>
        </x:is>
      </x:c>
      <x:c r="B79" s="31" t="n">
        <x:v>46107</x:v>
      </x:c>
      <x:c r="C79" s="31" t="inlineStr">
        <x:is>
          <x:t xml:space="preserve">Вечер</x:t>
        </x:is>
      </x:c>
      <x:c r="D79" s="31" t="inlineStr">
        <x:is>
          <x:t xml:space="preserve">ПЗ-00065</x:t>
        </x:is>
      </x:c>
      <x:c r="E79" s="31" t="inlineStr">
        <x:is>
          <x:t xml:space="preserve">ОП-000552</x:t>
        </x:is>
      </x:c>
      <x:c r="F79" s="31" t="inlineStr">
        <x:is>
          <x:t xml:space="preserve">ОБ-033</x:t>
        </x:is>
      </x:c>
      <x:c r="G79" s="31" t="inlineStr">
        <x:is>
          <x:t xml:space="preserve">СОТР-096</x:t>
        </x:is>
      </x:c>
      <x:c r="H79" s="31" t="inlineStr">
        <x:is>
          <x:t xml:space="preserve">ОТК</x:t>
        </x:is>
      </x:c>
      <x:c r="I79" s="31" t="n">
        <x:v>1</x:v>
      </x:c>
      <x:c r="J79" s="31" t="n">
        <x:v>0</x:v>
      </x:c>
      <x:c r="K79" s="31" t="n">
        <x:v>12</x:v>
      </x:c>
      <x:c r="L79" s="31" t="n">
        <x:v>10.1</x:v>
      </x:c>
      <x:c r="M79" s="31" t="n">
        <x:v>0</x:v>
      </x:c>
      <x:c r="N79" s="31" t="inlineStr">
        <x:is>
          <x:t xml:space="preserve">Нет</x:t>
        </x:is>
      </x:c>
      <x:c r="O79" s="31" t="inlineStr">
        <x:is>
          <x:t xml:space="preserve">Подтверждено мастером</x:t>
        </x:is>
      </x:c>
      <x:c r="P79" s="31" t="inlineStr">
        <x:is>
          <x:t xml:space="preserve">Комментарий смены 85</x:t>
        </x:is>
      </x:c>
    </x:row>
    <x:row r="80" ht="18" customHeight="1">
      <x:c r="A80" s="31" t="inlineStr">
        <x:is>
          <x:t xml:space="preserve">СМ-00086</x:t>
        </x:is>
      </x:c>
      <x:c r="B80" s="31" t="n">
        <x:v>46203</x:v>
      </x:c>
      <x:c r="C80" s="31" t="inlineStr">
        <x:is>
          <x:t xml:space="preserve">День</x:t>
        </x:is>
      </x:c>
      <x:c r="D80" s="31" t="inlineStr">
        <x:is>
          <x:t xml:space="preserve">ПЗ-00172</x:t>
        </x:is>
      </x:c>
      <x:c r="E80" s="31" t="inlineStr">
        <x:is>
          <x:t xml:space="preserve">ОП-001432</x:t>
        </x:is>
      </x:c>
      <x:c r="F80" s="31" t="inlineStr">
        <x:is>
          <x:t xml:space="preserve">ОБ-012</x:t>
        </x:is>
      </x:c>
      <x:c r="G80" s="31" t="inlineStr">
        <x:is>
          <x:t xml:space="preserve">СОТР-074</x:t>
        </x:is>
      </x:c>
      <x:c r="H80" s="31" t="inlineStr">
        <x:is>
          <x:t xml:space="preserve">Сборка</x:t>
        </x:is>
      </x:c>
      <x:c r="I80" s="31" t="n">
        <x:v>1</x:v>
      </x:c>
      <x:c r="J80" s="31" t="n">
        <x:v>1</x:v>
      </x:c>
      <x:c r="K80" s="31" t="n">
        <x:v>17.6</x:v>
      </x:c>
      <x:c r="L80" s="31" t="n">
        <x:v>15.5</x:v>
      </x:c>
      <x:c r="M80" s="31" t="n">
        <x:v>15</x:v>
      </x:c>
      <x:c r="N80" s="31" t="inlineStr">
        <x:is>
          <x:t xml:space="preserve">Ожидание материала</x:t>
        </x:is>
      </x:c>
      <x:c r="O80" s="31" t="inlineStr">
        <x:is>
          <x:t xml:space="preserve">Закрыто</x:t>
        </x:is>
      </x:c>
      <x:c r="P80" s="31" t="inlineStr">
        <x:is>
          <x:t xml:space="preserve">Комментарий смены 86</x:t>
        </x:is>
      </x:c>
    </x:row>
    <x:row r="81" ht="18" customHeight="1">
      <x:c r="A81" s="31" t="inlineStr">
        <x:is>
          <x:t xml:space="preserve">СМ-00087</x:t>
        </x:is>
      </x:c>
      <x:c r="B81" s="31" t="n">
        <x:v>46205</x:v>
      </x:c>
      <x:c r="C81" s="31" t="inlineStr">
        <x:is>
          <x:t xml:space="preserve">День</x:t>
        </x:is>
      </x:c>
      <x:c r="D81" s="31" t="inlineStr">
        <x:is>
          <x:t xml:space="preserve">ПЗ-00171</x:t>
        </x:is>
      </x:c>
      <x:c r="E81" s="31" t="inlineStr">
        <x:is>
          <x:t xml:space="preserve">ОП-001418</x:t>
        </x:is>
      </x:c>
      <x:c r="F81" s="31" t="inlineStr">
        <x:is>
          <x:t xml:space="preserve">ОБ-010</x:t>
        </x:is>
      </x:c>
      <x:c r="G81" s="31" t="inlineStr">
        <x:is>
          <x:t xml:space="preserve">СОТР-067</x:t>
        </x:is>
      </x:c>
      <x:c r="H81" s="31" t="inlineStr">
        <x:is>
          <x:t xml:space="preserve">Сварка</x:t>
        </x:is>
      </x:c>
      <x:c r="I81" s="31" t="n">
        <x:v>2</x:v>
      </x:c>
      <x:c r="J81" s="31" t="n">
        <x:v>2</x:v>
      </x:c>
      <x:c r="K81" s="31" t="n">
        <x:v>6.9</x:v>
      </x:c>
      <x:c r="L81" s="31" t="n">
        <x:v>9</x:v>
      </x:c>
      <x:c r="M81" s="31" t="n">
        <x:v>0</x:v>
      </x:c>
      <x:c r="N81" s="31" t="inlineStr">
        <x:is>
          <x:t xml:space="preserve">Нет</x:t>
        </x:is>
      </x:c>
      <x:c r="O81" s="31" t="inlineStr">
        <x:is>
          <x:t xml:space="preserve">Подтверждено мастером</x:t>
        </x:is>
      </x:c>
      <x:c r="P81" s="31" t="inlineStr">
        <x:is>
          <x:t xml:space="preserve">Комментарий смены 87</x:t>
        </x:is>
      </x:c>
    </x:row>
    <x:row r="82" ht="18" customHeight="1">
      <x:c r="A82" s="31" t="inlineStr">
        <x:is>
          <x:t xml:space="preserve">СМ-00088</x:t>
        </x:is>
      </x:c>
      <x:c r="B82" s="31" t="n">
        <x:v>46192</x:v>
      </x:c>
      <x:c r="C82" s="31" t="inlineStr">
        <x:is>
          <x:t xml:space="preserve">День</x:t>
        </x:is>
      </x:c>
      <x:c r="D82" s="31" t="inlineStr">
        <x:is>
          <x:t xml:space="preserve">ПЗ-00210</x:t>
        </x:is>
      </x:c>
      <x:c r="E82" s="31" t="inlineStr">
        <x:is>
          <x:t xml:space="preserve">ОП-001756</x:t>
        </x:is>
      </x:c>
      <x:c r="F82" s="31" t="inlineStr">
        <x:is>
          <x:t xml:space="preserve">ОБ-008</x:t>
        </x:is>
      </x:c>
      <x:c r="G82" s="31" t="inlineStr">
        <x:is>
          <x:t xml:space="preserve">СОТР-038</x:t>
        </x:is>
      </x:c>
      <x:c r="H82" s="31" t="inlineStr">
        <x:is>
          <x:t xml:space="preserve">Склад</x:t>
        </x:is>
      </x:c>
      <x:c r="I82" s="31" t="n">
        <x:v>2</x:v>
      </x:c>
      <x:c r="J82" s="31" t="n">
        <x:v>3</x:v>
      </x:c>
      <x:c r="K82" s="31" t="n">
        <x:v>18.8</x:v>
      </x:c>
      <x:c r="L82" s="31" t="n">
        <x:v>23.3</x:v>
      </x:c>
      <x:c r="M82" s="31" t="n">
        <x:v>0</x:v>
      </x:c>
      <x:c r="N82" s="31" t="inlineStr">
        <x:is>
          <x:t xml:space="preserve">Нет</x:t>
        </x:is>
      </x:c>
      <x:c r="O82" s="31" t="inlineStr">
        <x:is>
          <x:t xml:space="preserve">Закрыто</x:t>
        </x:is>
      </x:c>
      <x:c r="P82" s="31" t="inlineStr">
        <x:is>
          <x:t xml:space="preserve">Комментарий смены 88</x:t>
        </x:is>
      </x:c>
    </x:row>
    <x:row r="83" ht="18" customHeight="1">
      <x:c r="A83" s="31" t="inlineStr">
        <x:is>
          <x:t xml:space="preserve">СМ-00089</x:t>
        </x:is>
      </x:c>
      <x:c r="B83" s="31" t="n">
        <x:v>46128</x:v>
      </x:c>
      <x:c r="C83" s="31" t="inlineStr">
        <x:is>
          <x:t xml:space="preserve">День</x:t>
        </x:is>
      </x:c>
      <x:c r="D83" s="31" t="inlineStr">
        <x:is>
          <x:t xml:space="preserve">ПЗ-00163</x:t>
        </x:is>
      </x:c>
      <x:c r="E83" s="31" t="inlineStr">
        <x:is>
          <x:t xml:space="preserve">ОП-001357</x:t>
        </x:is>
      </x:c>
      <x:c r="F83" s="31" t="inlineStr">
        <x:is>
          <x:t xml:space="preserve">ОБ-002</x:t>
        </x:is>
      </x:c>
      <x:c r="G83" s="31" t="inlineStr">
        <x:is>
          <x:t xml:space="preserve">СОТР-079</x:t>
        </x:is>
      </x:c>
      <x:c r="H83" s="31" t="inlineStr">
        <x:is>
          <x:t xml:space="preserve">Сборка</x:t>
        </x:is>
      </x:c>
      <x:c r="I83" s="31" t="n">
        <x:v>1</x:v>
      </x:c>
      <x:c r="J83" s="31" t="n">
        <x:v>1</x:v>
      </x:c>
      <x:c r="K83" s="31" t="n">
        <x:v>16.7</x:v>
      </x:c>
      <x:c r="L83" s="31" t="n">
        <x:v>21.5</x:v>
      </x:c>
      <x:c r="M83" s="31" t="n">
        <x:v>30</x:v>
      </x:c>
      <x:c r="N83" s="31" t="inlineStr">
        <x:is>
          <x:t xml:space="preserve">Переналадка</x:t>
        </x:is>
      </x:c>
      <x:c r="O83" s="31" t="inlineStr">
        <x:is>
          <x:t xml:space="preserve">Подтверждено мастером</x:t>
        </x:is>
      </x:c>
      <x:c r="P83" s="31" t="inlineStr">
        <x:is>
          <x:t xml:space="preserve">Комментарий смены 89</x:t>
        </x:is>
      </x:c>
    </x:row>
    <x:row r="84" ht="18" customHeight="1">
      <x:c r="A84" s="31" t="inlineStr">
        <x:is>
          <x:t xml:space="preserve">СМ-00090</x:t>
        </x:is>
      </x:c>
      <x:c r="B84" s="31" t="n">
        <x:v>46097</x:v>
      </x:c>
      <x:c r="C84" s="31" t="inlineStr">
        <x:is>
          <x:t xml:space="preserve">Вечер</x:t>
        </x:is>
      </x:c>
      <x:c r="D84" s="31" t="inlineStr">
        <x:is>
          <x:t xml:space="preserve">ПЗ-00105</x:t>
        </x:is>
      </x:c>
      <x:c r="E84" s="31" t="inlineStr">
        <x:is>
          <x:t xml:space="preserve">ОП-000877</x:t>
        </x:is>
      </x:c>
      <x:c r="F84" s="31" t="inlineStr">
        <x:is>
          <x:t xml:space="preserve">ОБ-003</x:t>
        </x:is>
      </x:c>
      <x:c r="G84" s="31" t="inlineStr">
        <x:is>
          <x:t xml:space="preserve">СОТР-066</x:t>
        </x:is>
      </x:c>
      <x:c r="H84" s="31" t="inlineStr">
        <x:is>
          <x:t xml:space="preserve">Сварка</x:t>
        </x:is>
      </x:c>
      <x:c r="I84" s="31" t="n">
        <x:v>1</x:v>
      </x:c>
      <x:c r="J84" s="31" t="n">
        <x:v>1</x:v>
      </x:c>
      <x:c r="K84" s="31" t="n">
        <x:v>3.2</x:v>
      </x:c>
      <x:c r="L84" s="31" t="n">
        <x:v>3.8</x:v>
      </x:c>
      <x:c r="M84" s="31" t="n">
        <x:v>90</x:v>
      </x:c>
      <x:c r="N84" s="31" t="inlineStr">
        <x:is>
          <x:t xml:space="preserve">Ремонт оборудования</x:t>
        </x:is>
      </x:c>
      <x:c r="O84" s="31" t="inlineStr">
        <x:is>
          <x:t xml:space="preserve">Подтверждено мастером</x:t>
        </x:is>
      </x:c>
      <x:c r="P84" s="31" t="inlineStr">
        <x:is>
          <x:t xml:space="preserve">Комментарий смены 90</x:t>
        </x:is>
      </x:c>
    </x:row>
    <x:row r="85" ht="18" customHeight="1">
      <x:c r="A85" s="31" t="inlineStr">
        <x:is>
          <x:t xml:space="preserve">СМ-00091</x:t>
        </x:is>
      </x:c>
      <x:c r="B85" s="31" t="n">
        <x:v>46080</x:v>
      </x:c>
      <x:c r="C85" s="31" t="inlineStr">
        <x:is>
          <x:t xml:space="preserve">День</x:t>
        </x:is>
      </x:c>
      <x:c r="D85" s="31" t="inlineStr">
        <x:is>
          <x:t xml:space="preserve">ПЗ-00117</x:t>
        </x:is>
      </x:c>
      <x:c r="E85" s="31" t="inlineStr">
        <x:is>
          <x:t xml:space="preserve">ОП-000984</x:t>
        </x:is>
      </x:c>
      <x:c r="F85" s="31" t="inlineStr">
        <x:is>
          <x:t xml:space="preserve">ОБ-022</x:t>
        </x:is>
      </x:c>
      <x:c r="G85" s="31" t="inlineStr">
        <x:is>
          <x:t xml:space="preserve">СОТР-092</x:t>
        </x:is>
      </x:c>
      <x:c r="H85" s="31" t="inlineStr">
        <x:is>
          <x:t xml:space="preserve">ОТК</x:t>
        </x:is>
      </x:c>
      <x:c r="I85" s="31" t="n">
        <x:v>3</x:v>
      </x:c>
      <x:c r="J85" s="31" t="n">
        <x:v>3</x:v>
      </x:c>
      <x:c r="K85" s="31" t="n">
        <x:v>26</x:v>
      </x:c>
      <x:c r="L85" s="31" t="n">
        <x:v>22.1</x:v>
      </x:c>
      <x:c r="M85" s="31" t="n">
        <x:v>45</x:v>
      </x:c>
      <x:c r="N85" s="31" t="inlineStr">
        <x:is>
          <x:t xml:space="preserve">Ремонт оборудования</x:t>
        </x:is>
      </x:c>
      <x:c r="O85" s="31" t="inlineStr">
        <x:is>
          <x:t xml:space="preserve">Подтверждено мастером</x:t>
        </x:is>
      </x:c>
      <x:c r="P85" s="31" t="inlineStr">
        <x:is>
          <x:t xml:space="preserve">Комментарий смены 91</x:t>
        </x:is>
      </x:c>
    </x:row>
    <x:row r="86" ht="18" customHeight="1">
      <x:c r="A86" s="31" t="inlineStr">
        <x:is>
          <x:t xml:space="preserve">СМ-00092</x:t>
        </x:is>
      </x:c>
      <x:c r="B86" s="31" t="n">
        <x:v>46153</x:v>
      </x:c>
      <x:c r="C86" s="31" t="inlineStr">
        <x:is>
          <x:t xml:space="preserve">Вечер</x:t>
        </x:is>
      </x:c>
      <x:c r="D86" s="31" t="inlineStr">
        <x:is>
          <x:t xml:space="preserve">ПЗ-00229</x:t>
        </x:is>
      </x:c>
      <x:c r="E86" s="31" t="inlineStr">
        <x:is>
          <x:t xml:space="preserve">ОП-001924</x:t>
        </x:is>
      </x:c>
      <x:c r="F86" s="31" t="n"/>
      <x:c r="G86" s="31" t="inlineStr">
        <x:is>
          <x:t xml:space="preserve">СОТР-104</x:t>
        </x:is>
      </x:c>
      <x:c r="H86" s="31" t="inlineStr">
        <x:is>
          <x:t xml:space="preserve">Логистика</x:t>
        </x:is>
      </x:c>
      <x:c r="I86" s="31" t="n">
        <x:v>2</x:v>
      </x:c>
      <x:c r="J86" s="31" t="n">
        <x:v>2</x:v>
      </x:c>
      <x:c r="K86" s="31" t="n">
        <x:v>6.4</x:v>
      </x:c>
      <x:c r="L86" s="31" t="n">
        <x:v>8.6</x:v>
      </x:c>
      <x:c r="M86" s="31" t="n">
        <x:v>30</x:v>
      </x:c>
      <x:c r="N86" s="31" t="inlineStr">
        <x:is>
          <x:t xml:space="preserve">Ожидание ОТК</x:t>
        </x:is>
      </x:c>
      <x:c r="O86" s="31" t="inlineStr">
        <x:is>
          <x:t xml:space="preserve">Подтверждено мастером</x:t>
        </x:is>
      </x:c>
      <x:c r="P86" s="31" t="inlineStr">
        <x:is>
          <x:t xml:space="preserve">Комментарий смены 92</x:t>
        </x:is>
      </x:c>
    </x:row>
    <x:row r="87" ht="18" customHeight="1">
      <x:c r="A87" s="31" t="inlineStr">
        <x:is>
          <x:t xml:space="preserve">СМ-00093</x:t>
        </x:is>
      </x:c>
      <x:c r="B87" s="31" t="n">
        <x:v>46144</x:v>
      </x:c>
      <x:c r="C87" s="31" t="inlineStr">
        <x:is>
          <x:t xml:space="preserve">День</x:t>
        </x:is>
      </x:c>
      <x:c r="D87" s="31" t="inlineStr">
        <x:is>
          <x:t xml:space="preserve">ПЗ-00233</x:t>
        </x:is>
      </x:c>
      <x:c r="E87" s="31" t="inlineStr">
        <x:is>
          <x:t xml:space="preserve">ОП-001954</x:t>
        </x:is>
      </x:c>
      <x:c r="F87" s="31" t="inlineStr">
        <x:is>
          <x:t xml:space="preserve">ОБ-022</x:t>
        </x:is>
      </x:c>
      <x:c r="G87" s="31" t="inlineStr">
        <x:is>
          <x:t xml:space="preserve">СОТР-099</x:t>
        </x:is>
      </x:c>
      <x:c r="H87" s="31" t="inlineStr">
        <x:is>
          <x:t xml:space="preserve">ОТК</x:t>
        </x:is>
      </x:c>
      <x:c r="I87" s="31" t="n">
        <x:v>2</x:v>
      </x:c>
      <x:c r="J87" s="31" t="n">
        <x:v>2</x:v>
      </x:c>
      <x:c r="K87" s="31" t="n">
        <x:v>33.6</x:v>
      </x:c>
      <x:c r="L87" s="31" t="n">
        <x:v>39.3</x:v>
      </x:c>
      <x:c r="M87" s="31" t="n">
        <x:v>30</x:v>
      </x:c>
      <x:c r="N87" s="31" t="inlineStr">
        <x:is>
          <x:t xml:space="preserve">Ожидание материала</x:t>
        </x:is>
      </x:c>
      <x:c r="O87" s="31" t="inlineStr">
        <x:is>
          <x:t xml:space="preserve">Подтверждено мастером</x:t>
        </x:is>
      </x:c>
      <x:c r="P87" s="31" t="inlineStr">
        <x:is>
          <x:t xml:space="preserve">Комментарий смены 93</x:t>
        </x:is>
      </x:c>
    </x:row>
    <x:row r="88" ht="18" customHeight="1">
      <x:c r="A88" s="31" t="inlineStr">
        <x:is>
          <x:t xml:space="preserve">СМ-00094</x:t>
        </x:is>
      </x:c>
      <x:c r="B88" s="31" t="n">
        <x:v>46108</x:v>
      </x:c>
      <x:c r="C88" s="31" t="inlineStr">
        <x:is>
          <x:t xml:space="preserve">Ночь</x:t>
        </x:is>
      </x:c>
      <x:c r="D88" s="31" t="inlineStr">
        <x:is>
          <x:t xml:space="preserve">ПЗ-00236</x:t>
        </x:is>
      </x:c>
      <x:c r="E88" s="31" t="inlineStr">
        <x:is>
          <x:t xml:space="preserve">ОП-001975</x:t>
        </x:is>
      </x:c>
      <x:c r="F88" s="31" t="inlineStr">
        <x:is>
          <x:t xml:space="preserve">ОБ-005</x:t>
        </x:is>
      </x:c>
      <x:c r="G88" s="31" t="inlineStr">
        <x:is>
          <x:t xml:space="preserve">СОТР-087</x:t>
        </x:is>
      </x:c>
      <x:c r="H88" s="31" t="inlineStr">
        <x:is>
          <x:t xml:space="preserve">Сборка</x:t>
        </x:is>
      </x:c>
      <x:c r="I88" s="31" t="n">
        <x:v>3</x:v>
      </x:c>
      <x:c r="J88" s="31" t="n">
        <x:v>3</x:v>
      </x:c>
      <x:c r="K88" s="31" t="n">
        <x:v>21.3</x:v>
      </x:c>
      <x:c r="L88" s="31" t="n">
        <x:v>19.6</x:v>
      </x:c>
      <x:c r="M88" s="31" t="n">
        <x:v>0</x:v>
      </x:c>
      <x:c r="N88" s="31" t="inlineStr">
        <x:is>
          <x:t xml:space="preserve">Нет</x:t>
        </x:is>
      </x:c>
      <x:c r="O88" s="31" t="inlineStr">
        <x:is>
          <x:t xml:space="preserve">Подтверждено мастером</x:t>
        </x:is>
      </x:c>
      <x:c r="P88" s="31" t="inlineStr">
        <x:is>
          <x:t xml:space="preserve">Комментарий смены 94</x:t>
        </x:is>
      </x:c>
    </x:row>
    <x:row r="89" ht="18" customHeight="1">
      <x:c r="A89" s="31" t="inlineStr">
        <x:is>
          <x:t xml:space="preserve">СМ-00096</x:t>
        </x:is>
      </x:c>
      <x:c r="B89" s="31" t="n">
        <x:v>46152</x:v>
      </x:c>
      <x:c r="C89" s="31" t="inlineStr">
        <x:is>
          <x:t xml:space="preserve">Вечер</x:t>
        </x:is>
      </x:c>
      <x:c r="D89" s="31" t="inlineStr">
        <x:is>
          <x:t xml:space="preserve">ПЗ-00009</x:t>
        </x:is>
      </x:c>
      <x:c r="E89" s="31" t="inlineStr">
        <x:is>
          <x:t xml:space="preserve">ОП-000076</x:t>
        </x:is>
      </x:c>
      <x:c r="F89" s="31" t="n"/>
      <x:c r="G89" s="31" t="inlineStr">
        <x:is>
          <x:t xml:space="preserve">СОТР-105</x:t>
        </x:is>
      </x:c>
      <x:c r="H89" s="31" t="inlineStr">
        <x:is>
          <x:t xml:space="preserve">Логистика</x:t>
        </x:is>
      </x:c>
      <x:c r="I89" s="31" t="n">
        <x:v>1</x:v>
      </x:c>
      <x:c r="J89" s="31" t="n">
        <x:v>2</x:v>
      </x:c>
      <x:c r="K89" s="31" t="n">
        <x:v>6</x:v>
      </x:c>
      <x:c r="L89" s="31" t="n">
        <x:v>6.4</x:v>
      </x:c>
      <x:c r="M89" s="31" t="n">
        <x:v>120</x:v>
      </x:c>
      <x:c r="N89" s="31" t="inlineStr">
        <x:is>
          <x:t xml:space="preserve">Переналадка</x:t>
        </x:is>
      </x:c>
      <x:c r="O89" s="31" t="inlineStr">
        <x:is>
          <x:t xml:space="preserve">Подтверждено мастером</x:t>
        </x:is>
      </x:c>
      <x:c r="P89" s="31" t="inlineStr">
        <x:is>
          <x:t xml:space="preserve">Комментарий смены 96</x:t>
        </x:is>
      </x:c>
    </x:row>
    <x:row r="90" ht="18" customHeight="1">
      <x:c r="A90" s="31" t="inlineStr">
        <x:is>
          <x:t xml:space="preserve">СМ-00097</x:t>
        </x:is>
      </x:c>
      <x:c r="B90" s="31" t="n">
        <x:v>46096</x:v>
      </x:c>
      <x:c r="C90" s="31" t="inlineStr">
        <x:is>
          <x:t xml:space="preserve">День</x:t>
        </x:is>
      </x:c>
      <x:c r="D90" s="31" t="inlineStr">
        <x:is>
          <x:t xml:space="preserve">ПЗ-00098</x:t>
        </x:is>
      </x:c>
      <x:c r="E90" s="31" t="inlineStr">
        <x:is>
          <x:t xml:space="preserve">ОП-000820</x:t>
        </x:is>
      </x:c>
      <x:c r="F90" s="31" t="inlineStr">
        <x:is>
          <x:t xml:space="preserve">ОБ-025</x:t>
        </x:is>
      </x:c>
      <x:c r="G90" s="31" t="inlineStr">
        <x:is>
          <x:t xml:space="preserve">СОТР-037</x:t>
        </x:is>
      </x:c>
      <x:c r="H90" s="31" t="inlineStr">
        <x:is>
          <x:t xml:space="preserve">Склад</x:t>
        </x:is>
      </x:c>
      <x:c r="I90" s="31" t="n">
        <x:v>2</x:v>
      </x:c>
      <x:c r="J90" s="31" t="n">
        <x:v>0</x:v>
      </x:c>
      <x:c r="K90" s="31" t="n">
        <x:v>57.6</x:v>
      </x:c>
      <x:c r="L90" s="31" t="n">
        <x:v>42.6</x:v>
      </x:c>
      <x:c r="M90" s="31" t="n">
        <x:v>0</x:v>
      </x:c>
      <x:c r="N90" s="31" t="inlineStr">
        <x:is>
          <x:t xml:space="preserve">Нет</x:t>
        </x:is>
      </x:c>
      <x:c r="O90" s="31" t="inlineStr">
        <x:is>
          <x:t xml:space="preserve">Подтверждено мастером</x:t>
        </x:is>
      </x:c>
      <x:c r="P90" s="31" t="inlineStr">
        <x:is>
          <x:t xml:space="preserve">Комментарий смены 97</x:t>
        </x:is>
      </x:c>
    </x:row>
    <x:row r="91" ht="18" customHeight="1">
      <x:c r="A91" s="31" t="inlineStr">
        <x:is>
          <x:t xml:space="preserve">СМ-00098</x:t>
        </x:is>
      </x:c>
      <x:c r="B91" s="31" t="n">
        <x:v>46176</x:v>
      </x:c>
      <x:c r="C91" s="31" t="inlineStr">
        <x:is>
          <x:t xml:space="preserve">Вечер</x:t>
        </x:is>
      </x:c>
      <x:c r="D91" s="31" t="inlineStr">
        <x:is>
          <x:t xml:space="preserve">ПЗ-00050</x:t>
        </x:is>
      </x:c>
      <x:c r="E91" s="31" t="inlineStr">
        <x:is>
          <x:t xml:space="preserve">ОП-000408</x:t>
        </x:is>
      </x:c>
      <x:c r="F91" s="31" t="inlineStr">
        <x:is>
          <x:t xml:space="preserve">ОБ-025</x:t>
        </x:is>
      </x:c>
      <x:c r="G91" s="31" t="inlineStr">
        <x:is>
          <x:t xml:space="preserve">СОТР-036</x:t>
        </x:is>
      </x:c>
      <x:c r="H91" s="31" t="inlineStr">
        <x:is>
          <x:t xml:space="preserve">Склад</x:t>
        </x:is>
      </x:c>
      <x:c r="I91" s="31" t="n">
        <x:v>4</x:v>
      </x:c>
      <x:c r="J91" s="31" t="n">
        <x:v>5</x:v>
      </x:c>
      <x:c r="K91" s="31" t="n">
        <x:v>24.5</x:v>
      </x:c>
      <x:c r="L91" s="31" t="n">
        <x:v>22.5</x:v>
      </x:c>
      <x:c r="M91" s="31" t="n">
        <x:v>0</x:v>
      </x:c>
      <x:c r="N91" s="31" t="inlineStr">
        <x:is>
          <x:t xml:space="preserve">Нет</x:t>
        </x:is>
      </x:c>
      <x:c r="O91" s="31" t="inlineStr">
        <x:is>
          <x:t xml:space="preserve">Подтверждено мастером</x:t>
        </x:is>
      </x:c>
      <x:c r="P91" s="31" t="inlineStr">
        <x:is>
          <x:t xml:space="preserve">Комментарий смены 98</x:t>
        </x:is>
      </x:c>
    </x:row>
    <x:row r="92" ht="18" customHeight="1">
      <x:c r="A92" s="31" t="inlineStr">
        <x:is>
          <x:t xml:space="preserve">СМ-00099</x:t>
        </x:is>
      </x:c>
      <x:c r="B92" s="31" t="n">
        <x:v>46160</x:v>
      </x:c>
      <x:c r="C92" s="31" t="inlineStr">
        <x:is>
          <x:t xml:space="preserve">День</x:t>
        </x:is>
      </x:c>
      <x:c r="D92" s="31" t="inlineStr">
        <x:is>
          <x:t xml:space="preserve">ПЗ-00186</x:t>
        </x:is>
      </x:c>
      <x:c r="E92" s="31" t="inlineStr">
        <x:is>
          <x:t xml:space="preserve">ОП-001551</x:t>
        </x:is>
      </x:c>
      <x:c r="F92" s="31" t="inlineStr">
        <x:is>
          <x:t xml:space="preserve">ОБ-020</x:t>
        </x:is>
      </x:c>
      <x:c r="G92" s="31" t="inlineStr">
        <x:is>
          <x:t xml:space="preserve">СОТР-087</x:t>
        </x:is>
      </x:c>
      <x:c r="H92" s="31" t="inlineStr">
        <x:is>
          <x:t xml:space="preserve">Сборка</x:t>
        </x:is>
      </x:c>
      <x:c r="I92" s="31" t="n">
        <x:v>5</x:v>
      </x:c>
      <x:c r="J92" s="31" t="n">
        <x:v>5</x:v>
      </x:c>
      <x:c r="K92" s="31" t="n">
        <x:v>11</x:v>
      </x:c>
      <x:c r="L92" s="31" t="n">
        <x:v>10.5</x:v>
      </x:c>
      <x:c r="M92" s="31" t="n">
        <x:v>30</x:v>
      </x:c>
      <x:c r="N92" s="31" t="inlineStr">
        <x:is>
          <x:t xml:space="preserve">Нет оператора</x:t>
        </x:is>
      </x:c>
      <x:c r="O92" s="31" t="inlineStr">
        <x:is>
          <x:t xml:space="preserve">Подтверждено мастером</x:t>
        </x:is>
      </x:c>
      <x:c r="P92" s="31" t="inlineStr">
        <x:is>
          <x:t xml:space="preserve">Комментарий смены 99</x:t>
        </x:is>
      </x:c>
    </x:row>
    <x:row r="93" ht="18" customHeight="1">
      <x:c r="A93" s="31" t="inlineStr">
        <x:is>
          <x:t xml:space="preserve">СМ-00100</x:t>
        </x:is>
      </x:c>
      <x:c r="B93" s="31" t="n">
        <x:v>46175</x:v>
      </x:c>
      <x:c r="C93" s="31" t="inlineStr">
        <x:is>
          <x:t xml:space="preserve">День</x:t>
        </x:is>
      </x:c>
      <x:c r="D93" s="31" t="inlineStr">
        <x:is>
          <x:t xml:space="preserve">ПЗ-00242</x:t>
        </x:is>
      </x:c>
      <x:c r="E93" s="31" t="inlineStr">
        <x:is>
          <x:t xml:space="preserve">ОП-002029</x:t>
        </x:is>
      </x:c>
      <x:c r="F93" s="31" t="inlineStr">
        <x:is>
          <x:t xml:space="preserve">ОБ-002</x:t>
        </x:is>
      </x:c>
      <x:c r="G93" s="31" t="inlineStr">
        <x:is>
          <x:t xml:space="preserve">СОТР-081</x:t>
        </x:is>
      </x:c>
      <x:c r="H93" s="31" t="inlineStr">
        <x:is>
          <x:t xml:space="preserve">Сборка</x:t>
        </x:is>
      </x:c>
      <x:c r="I93" s="31" t="n">
        <x:v>1</x:v>
      </x:c>
      <x:c r="J93" s="31" t="n">
        <x:v>1</x:v>
      </x:c>
      <x:c r="K93" s="31" t="n">
        <x:v>33.4</x:v>
      </x:c>
      <x:c r="L93" s="31" t="n">
        <x:v>35.1</x:v>
      </x:c>
      <x:c r="M93" s="31" t="n">
        <x:v>60</x:v>
      </x:c>
      <x:c r="N93" s="31" t="inlineStr">
        <x:is>
          <x:t xml:space="preserve">Переналадка</x:t>
        </x:is>
      </x:c>
      <x:c r="O93" s="31" t="inlineStr">
        <x:is>
          <x:t xml:space="preserve">Подтверждено мастером</x:t>
        </x:is>
      </x:c>
      <x:c r="P93" s="31" t="inlineStr">
        <x:is>
          <x:t xml:space="preserve">Комментарий смены 100</x:t>
        </x:is>
      </x:c>
    </x:row>
    <x:row r="94" ht="18" customHeight="1">
      <x:c r="A94" s="31" t="inlineStr">
        <x:is>
          <x:t xml:space="preserve">СМ-00101</x:t>
        </x:is>
      </x:c>
      <x:c r="B94" s="31" t="n">
        <x:v>46103</x:v>
      </x:c>
      <x:c r="C94" s="31" t="inlineStr">
        <x:is>
          <x:t xml:space="preserve">Ночь</x:t>
        </x:is>
      </x:c>
      <x:c r="D94" s="31" t="inlineStr">
        <x:is>
          <x:t xml:space="preserve">ПЗ-00236</x:t>
        </x:is>
      </x:c>
      <x:c r="E94" s="31" t="inlineStr">
        <x:is>
          <x:t xml:space="preserve">ОП-001971</x:t>
        </x:is>
      </x:c>
      <x:c r="F94" s="31" t="inlineStr">
        <x:is>
          <x:t xml:space="preserve">ОБ-011</x:t>
        </x:is>
      </x:c>
      <x:c r="G94" s="31" t="inlineStr">
        <x:is>
          <x:t xml:space="preserve">СОТР-039</x:t>
        </x:is>
      </x:c>
      <x:c r="H94" s="31" t="inlineStr">
        <x:is>
          <x:t xml:space="preserve">Склад</x:t>
        </x:is>
      </x:c>
      <x:c r="I94" s="31" t="n">
        <x:v>1</x:v>
      </x:c>
      <x:c r="J94" s="31" t="n">
        <x:v>0</x:v>
      </x:c>
      <x:c r="K94" s="31" t="n">
        <x:v>3</x:v>
      </x:c>
      <x:c r="L94" s="31" t="n">
        <x:v>3.1</x:v>
      </x:c>
      <x:c r="M94" s="31" t="n">
        <x:v>0</x:v>
      </x:c>
      <x:c r="N94" s="31" t="inlineStr">
        <x:is>
          <x:t xml:space="preserve">Нет</x:t>
        </x:is>
      </x:c>
      <x:c r="O94" s="31" t="inlineStr">
        <x:is>
          <x:t xml:space="preserve">Подтверждено мастером</x:t>
        </x:is>
      </x:c>
      <x:c r="P94" s="31" t="inlineStr">
        <x:is>
          <x:t xml:space="preserve">Комментарий смены 101</x:t>
        </x:is>
      </x:c>
    </x:row>
    <x:row r="95" ht="18" customHeight="1">
      <x:c r="A95" s="31" t="inlineStr">
        <x:is>
          <x:t xml:space="preserve">СМ-00102</x:t>
        </x:is>
      </x:c>
      <x:c r="B95" s="31" t="n">
        <x:v>46172</x:v>
      </x:c>
      <x:c r="C95" s="31" t="inlineStr">
        <x:is>
          <x:t xml:space="preserve">День</x:t>
        </x:is>
      </x:c>
      <x:c r="D95" s="31" t="inlineStr">
        <x:is>
          <x:t xml:space="preserve">ПЗ-00053</x:t>
        </x:is>
      </x:c>
      <x:c r="E95" s="31" t="inlineStr">
        <x:is>
          <x:t xml:space="preserve">ОП-000444</x:t>
        </x:is>
      </x:c>
      <x:c r="F95" s="31" t="n"/>
      <x:c r="G95" s="31" t="inlineStr">
        <x:is>
          <x:t xml:space="preserve">СОТР-103</x:t>
        </x:is>
      </x:c>
      <x:c r="H95" s="31" t="inlineStr">
        <x:is>
          <x:t xml:space="preserve">Логистика</x:t>
        </x:is>
      </x:c>
      <x:c r="I95" s="31" t="n">
        <x:v>1</x:v>
      </x:c>
      <x:c r="J95" s="31" t="n">
        <x:v>1</x:v>
      </x:c>
      <x:c r="K95" s="31" t="n">
        <x:v>35.8</x:v>
      </x:c>
      <x:c r="L95" s="31" t="n">
        <x:v>32.5</x:v>
      </x:c>
      <x:c r="M95" s="31" t="n">
        <x:v>45</x:v>
      </x:c>
      <x:c r="N95" s="31" t="inlineStr">
        <x:is>
          <x:t xml:space="preserve">Ремонт оборудования</x:t>
        </x:is>
      </x:c>
      <x:c r="O95" s="31" t="inlineStr">
        <x:is>
          <x:t xml:space="preserve">Спорный факт</x:t>
        </x:is>
      </x:c>
      <x:c r="P95" s="31" t="inlineStr">
        <x:is>
          <x:t xml:space="preserve">Комментарий смены 102</x:t>
        </x:is>
      </x:c>
    </x:row>
    <x:row r="96" ht="18" customHeight="1">
      <x:c r="A96" s="31" t="inlineStr">
        <x:is>
          <x:t xml:space="preserve">СМ-00103</x:t>
        </x:is>
      </x:c>
      <x:c r="B96" s="31" t="n">
        <x:v>46143</x:v>
      </x:c>
      <x:c r="C96" s="31" t="inlineStr">
        <x:is>
          <x:t xml:space="preserve">День</x:t>
        </x:is>
      </x:c>
      <x:c r="D96" s="31" t="inlineStr">
        <x:is>
          <x:t xml:space="preserve">ПЗ-00077</x:t>
        </x:is>
      </x:c>
      <x:c r="E96" s="31" t="inlineStr">
        <x:is>
          <x:t xml:space="preserve">ОП-000659</x:t>
        </x:is>
      </x:c>
      <x:c r="F96" s="31" t="inlineStr">
        <x:is>
          <x:t xml:space="preserve">ОБ-007</x:t>
        </x:is>
      </x:c>
      <x:c r="G96" s="31" t="inlineStr">
        <x:is>
          <x:t xml:space="preserve">СОТР-063</x:t>
        </x:is>
      </x:c>
      <x:c r="H96" s="31" t="inlineStr">
        <x:is>
          <x:t xml:space="preserve">ОТК</x:t>
        </x:is>
      </x:c>
      <x:c r="I96" s="31" t="n">
        <x:v>1</x:v>
      </x:c>
      <x:c r="J96" s="31" t="n">
        <x:v>0</x:v>
      </x:c>
      <x:c r="K96" s="31" t="n">
        <x:v>24.2</x:v>
      </x:c>
      <x:c r="L96" s="31" t="n">
        <x:v>22.1</x:v>
      </x:c>
      <x:c r="M96" s="31" t="n">
        <x:v>90</x:v>
      </x:c>
      <x:c r="N96" s="31" t="inlineStr">
        <x:is>
          <x:t xml:space="preserve">Ремонт оборудования</x:t>
        </x:is>
      </x:c>
      <x:c r="O96" s="31" t="inlineStr">
        <x:is>
          <x:t xml:space="preserve">Подтверждено мастером</x:t>
        </x:is>
      </x:c>
      <x:c r="P96" s="31" t="inlineStr">
        <x:is>
          <x:t xml:space="preserve">Комментарий смены 103</x:t>
        </x:is>
      </x:c>
    </x:row>
    <x:row r="97" ht="18" customHeight="1">
      <x:c r="A97" s="31" t="inlineStr">
        <x:is>
          <x:t xml:space="preserve">СМ-00104</x:t>
        </x:is>
      </x:c>
      <x:c r="B97" s="31" t="n">
        <x:v>46143</x:v>
      </x:c>
      <x:c r="C97" s="31" t="inlineStr">
        <x:is>
          <x:t xml:space="preserve">Ночь</x:t>
        </x:is>
      </x:c>
      <x:c r="D97" s="31" t="inlineStr">
        <x:is>
          <x:t xml:space="preserve">ПЗ-00203</x:t>
        </x:is>
      </x:c>
      <x:c r="E97" s="31" t="inlineStr">
        <x:is>
          <x:t xml:space="preserve">ОП-001703</x:t>
        </x:is>
      </x:c>
      <x:c r="F97" s="31" t="n"/>
      <x:c r="G97" s="31" t="inlineStr">
        <x:is>
          <x:t xml:space="preserve">СОТР-102</x:t>
        </x:is>
      </x:c>
      <x:c r="H97" s="31" t="inlineStr">
        <x:is>
          <x:t xml:space="preserve">Логистика</x:t>
        </x:is>
      </x:c>
      <x:c r="I97" s="31" t="n">
        <x:v>2</x:v>
      </x:c>
      <x:c r="J97" s="31" t="n">
        <x:v>0</x:v>
      </x:c>
      <x:c r="K97" s="31" t="n">
        <x:v>89.5</x:v>
      </x:c>
      <x:c r="L97" s="31" t="n">
        <x:v>86.8</x:v>
      </x:c>
      <x:c r="M97" s="31" t="n">
        <x:v>120</x:v>
      </x:c>
      <x:c r="N97" s="31" t="inlineStr">
        <x:is>
          <x:t xml:space="preserve">Нет оператора</x:t>
        </x:is>
      </x:c>
      <x:c r="O97" s="31" t="inlineStr">
        <x:is>
          <x:t xml:space="preserve">Подтверждено мастером</x:t>
        </x:is>
      </x:c>
      <x:c r="P97" s="31" t="inlineStr">
        <x:is>
          <x:t xml:space="preserve">Комментарий смены 104</x:t>
        </x:is>
      </x:c>
    </x:row>
    <x:row r="98" ht="18" customHeight="1">
      <x:c r="A98" s="31" t="inlineStr">
        <x:is>
          <x:t xml:space="preserve">СМ-00105</x:t>
        </x:is>
      </x:c>
      <x:c r="B98" s="31" t="n">
        <x:v>46168</x:v>
      </x:c>
      <x:c r="C98" s="31" t="inlineStr">
        <x:is>
          <x:t xml:space="preserve">День</x:t>
        </x:is>
      </x:c>
      <x:c r="D98" s="31" t="inlineStr">
        <x:is>
          <x:t xml:space="preserve">ПЗ-00053</x:t>
        </x:is>
      </x:c>
      <x:c r="E98" s="31" t="inlineStr">
        <x:is>
          <x:t xml:space="preserve">ОП-000442</x:t>
        </x:is>
      </x:c>
      <x:c r="F98" s="31" t="inlineStr">
        <x:is>
          <x:t xml:space="preserve">ОБ-024</x:t>
        </x:is>
      </x:c>
      <x:c r="G98" s="31" t="inlineStr">
        <x:is>
          <x:t xml:space="preserve">СОТР-096</x:t>
        </x:is>
      </x:c>
      <x:c r="H98" s="31" t="inlineStr">
        <x:is>
          <x:t xml:space="preserve">ОТК</x:t>
        </x:is>
      </x:c>
      <x:c r="I98" s="31" t="n">
        <x:v>2</x:v>
      </x:c>
      <x:c r="J98" s="31" t="n">
        <x:v>2</x:v>
      </x:c>
      <x:c r="K98" s="31" t="n">
        <x:v>16.6</x:v>
      </x:c>
      <x:c r="L98" s="31" t="n">
        <x:v>22.3</x:v>
      </x:c>
      <x:c r="M98" s="31" t="n">
        <x:v>0</x:v>
      </x:c>
      <x:c r="N98" s="31" t="inlineStr">
        <x:is>
          <x:t xml:space="preserve">Нет</x:t>
        </x:is>
      </x:c>
      <x:c r="O98" s="31" t="inlineStr">
        <x:is>
          <x:t xml:space="preserve">Подтверждено мастером</x:t>
        </x:is>
      </x:c>
      <x:c r="P98" s="31" t="inlineStr">
        <x:is>
          <x:t xml:space="preserve">Комментарий смены 105</x:t>
        </x:is>
      </x:c>
    </x:row>
    <x:row r="99" ht="18" customHeight="1">
      <x:c r="A99" s="31" t="inlineStr">
        <x:is>
          <x:t xml:space="preserve">СМ-00106</x:t>
        </x:is>
      </x:c>
      <x:c r="B99" s="31" t="n">
        <x:v>46113</x:v>
      </x:c>
      <x:c r="C99" s="31" t="inlineStr">
        <x:is>
          <x:t xml:space="preserve">День</x:t>
        </x:is>
      </x:c>
      <x:c r="D99" s="31" t="inlineStr">
        <x:is>
          <x:t xml:space="preserve">ПЗ-00261</x:t>
        </x:is>
      </x:c>
      <x:c r="E99" s="31" t="inlineStr">
        <x:is>
          <x:t xml:space="preserve">ОП-002170</x:t>
        </x:is>
      </x:c>
      <x:c r="F99" s="31" t="inlineStr">
        <x:is>
          <x:t xml:space="preserve">ОБ-004</x:t>
        </x:is>
      </x:c>
      <x:c r="G99" s="31" t="inlineStr">
        <x:is>
          <x:t xml:space="preserve">СОТР-072</x:t>
        </x:is>
      </x:c>
      <x:c r="H99" s="31" t="inlineStr">
        <x:is>
          <x:t xml:space="preserve">Сварка</x:t>
        </x:is>
      </x:c>
      <x:c r="I99" s="31" t="n">
        <x:v>2</x:v>
      </x:c>
      <x:c r="J99" s="31" t="n">
        <x:v>1</x:v>
      </x:c>
      <x:c r="K99" s="31" t="n">
        <x:v>5.8</x:v>
      </x:c>
      <x:c r="L99" s="31" t="n">
        <x:v>5.5</x:v>
      </x:c>
      <x:c r="M99" s="31" t="n">
        <x:v>0</x:v>
      </x:c>
      <x:c r="N99" s="31" t="inlineStr">
        <x:is>
          <x:t xml:space="preserve">Нет</x:t>
        </x:is>
      </x:c>
      <x:c r="O99" s="31" t="inlineStr">
        <x:is>
          <x:t xml:space="preserve">Спорный факт</x:t>
        </x:is>
      </x:c>
      <x:c r="P99" s="31" t="inlineStr">
        <x:is>
          <x:t xml:space="preserve">Комментарий смены 106</x:t>
        </x:is>
      </x:c>
    </x:row>
    <x:row r="100" ht="18" customHeight="1">
      <x:c r="A100" s="31" t="inlineStr">
        <x:is>
          <x:t xml:space="preserve">СМ-00107</x:t>
        </x:is>
      </x:c>
      <x:c r="B100" s="31" t="n">
        <x:v>46128</x:v>
      </x:c>
      <x:c r="C100" s="31" t="inlineStr">
        <x:is>
          <x:t xml:space="preserve">Вечер</x:t>
        </x:is>
      </x:c>
      <x:c r="D100" s="31" t="inlineStr">
        <x:is>
          <x:t xml:space="preserve">ПЗ-00139</x:t>
        </x:is>
      </x:c>
      <x:c r="E100" s="31" t="inlineStr">
        <x:is>
          <x:t xml:space="preserve">ОП-001160</x:t>
        </x:is>
      </x:c>
      <x:c r="F100" s="31" t="n"/>
      <x:c r="G100" s="31" t="inlineStr">
        <x:is>
          <x:t xml:space="preserve">СОТР-017</x:t>
        </x:is>
      </x:c>
      <x:c r="H100" s="31" t="inlineStr">
        <x:is>
          <x:t xml:space="preserve">Инженерный отдел</x:t>
        </x:is>
      </x:c>
      <x:c r="I100" s="31" t="n">
        <x:v>1</x:v>
      </x:c>
      <x:c r="J100" s="31" t="n">
        <x:v>1</x:v>
      </x:c>
      <x:c r="K100" s="31" t="n">
        <x:v>36.4</x:v>
      </x:c>
      <x:c r="L100" s="31" t="n">
        <x:v>42.7</x:v>
      </x:c>
      <x:c r="M100" s="31" t="n">
        <x:v>60</x:v>
      </x:c>
      <x:c r="N100" s="31" t="inlineStr">
        <x:is>
          <x:t xml:space="preserve">Ожидание ОТК</x:t>
        </x:is>
      </x:c>
      <x:c r="O100" s="31" t="inlineStr">
        <x:is>
          <x:t xml:space="preserve">Подтверждено мастером</x:t>
        </x:is>
      </x:c>
      <x:c r="P100" s="31" t="inlineStr">
        <x:is>
          <x:t xml:space="preserve">Комментарий смены 107</x:t>
        </x:is>
      </x:c>
    </x:row>
    <x:row r="101" ht="18" customHeight="1">
      <x:c r="A101" s="31" t="inlineStr">
        <x:is>
          <x:t xml:space="preserve">СМ-00108</x:t>
        </x:is>
      </x:c>
      <x:c r="B101" s="31" t="n">
        <x:v>46100</x:v>
      </x:c>
      <x:c r="C101" s="31" t="inlineStr">
        <x:is>
          <x:t xml:space="preserve">День</x:t>
        </x:is>
      </x:c>
      <x:c r="D101" s="31" t="inlineStr">
        <x:is>
          <x:t xml:space="preserve">ПЗ-00235</x:t>
        </x:is>
      </x:c>
      <x:c r="E101" s="31" t="inlineStr">
        <x:is>
          <x:t xml:space="preserve">ОП-001969</x:t>
        </x:is>
      </x:c>
      <x:c r="F101" s="31" t="inlineStr">
        <x:is>
          <x:t xml:space="preserve">ОБ-006</x:t>
        </x:is>
      </x:c>
      <x:c r="G101" s="31" t="inlineStr">
        <x:is>
          <x:t xml:space="preserve">СОТР-100</x:t>
        </x:is>
      </x:c>
      <x:c r="H101" s="31" t="inlineStr">
        <x:is>
          <x:t xml:space="preserve">ОТК</x:t>
        </x:is>
      </x:c>
      <x:c r="I101" s="31" t="n">
        <x:v>10</x:v>
      </x:c>
      <x:c r="J101" s="31" t="n">
        <x:v>11</x:v>
      </x:c>
      <x:c r="K101" s="31" t="n">
        <x:v>30</x:v>
      </x:c>
      <x:c r="L101" s="31" t="n">
        <x:v>24.7</x:v>
      </x:c>
      <x:c r="M101" s="31" t="n">
        <x:v>30</x:v>
      </x:c>
      <x:c r="N101" s="31" t="inlineStr">
        <x:is>
          <x:t xml:space="preserve">Ожидание материала</x:t>
        </x:is>
      </x:c>
      <x:c r="O101" s="31" t="inlineStr">
        <x:is>
          <x:t xml:space="preserve">Спорный факт</x:t>
        </x:is>
      </x:c>
      <x:c r="P101" s="31" t="inlineStr">
        <x:is>
          <x:t xml:space="preserve">Комментарий смены 108</x:t>
        </x:is>
      </x:c>
    </x:row>
    <x:row r="102" ht="18" customHeight="1">
      <x:c r="A102" s="31" t="inlineStr">
        <x:is>
          <x:t xml:space="preserve">СМ-00109</x:t>
        </x:is>
      </x:c>
      <x:c r="B102" s="31" t="n">
        <x:v>46060</x:v>
      </x:c>
      <x:c r="C102" s="31" t="inlineStr">
        <x:is>
          <x:t xml:space="preserve">Вечер</x:t>
        </x:is>
      </x:c>
      <x:c r="D102" s="31" t="inlineStr">
        <x:is>
          <x:t xml:space="preserve">ПЗ-00074</x:t>
        </x:is>
      </x:c>
      <x:c r="E102" s="31" t="inlineStr">
        <x:is>
          <x:t xml:space="preserve">ОП-000630</x:t>
        </x:is>
      </x:c>
      <x:c r="F102" s="31" t="inlineStr">
        <x:is>
          <x:t xml:space="preserve">ОБ-006</x:t>
        </x:is>
      </x:c>
      <x:c r="G102" s="31" t="inlineStr">
        <x:is>
          <x:t xml:space="preserve">СОТР-063</x:t>
        </x:is>
      </x:c>
      <x:c r="H102" s="31" t="inlineStr">
        <x:is>
          <x:t xml:space="preserve">ОТК</x:t>
        </x:is>
      </x:c>
      <x:c r="I102" s="31" t="n">
        <x:v>3</x:v>
      </x:c>
      <x:c r="J102" s="31" t="n">
        <x:v>2</x:v>
      </x:c>
      <x:c r="K102" s="31" t="n">
        <x:v>25</x:v>
      </x:c>
      <x:c r="L102" s="31" t="n">
        <x:v>28.9</x:v>
      </x:c>
      <x:c r="M102" s="31" t="n">
        <x:v>45</x:v>
      </x:c>
      <x:c r="N102" s="31" t="inlineStr">
        <x:is>
          <x:t xml:space="preserve">Переналадка</x:t>
        </x:is>
      </x:c>
      <x:c r="O102" s="31" t="inlineStr">
        <x:is>
          <x:t xml:space="preserve">Подтверждено мастером</x:t>
        </x:is>
      </x:c>
      <x:c r="P102" s="31" t="inlineStr">
        <x:is>
          <x:t xml:space="preserve">Комментарий смены 109</x:t>
        </x:is>
      </x:c>
    </x:row>
    <x:row r="103" ht="18" customHeight="1">
      <x:c r="A103" s="31" t="inlineStr">
        <x:is>
          <x:t xml:space="preserve">СМ-00110</x:t>
        </x:is>
      </x:c>
      <x:c r="B103" s="31" t="n">
        <x:v>46139</x:v>
      </x:c>
      <x:c r="C103" s="31" t="inlineStr">
        <x:is>
          <x:t xml:space="preserve">День</x:t>
        </x:is>
      </x:c>
      <x:c r="D103" s="31" t="inlineStr">
        <x:is>
          <x:t xml:space="preserve">ПЗ-00007</x:t>
        </x:is>
      </x:c>
      <x:c r="E103" s="31" t="inlineStr">
        <x:is>
          <x:t xml:space="preserve">ОП-000052</x:t>
        </x:is>
      </x:c>
      <x:c r="F103" s="31" t="inlineStr">
        <x:is>
          <x:t xml:space="preserve">ОБ-010</x:t>
        </x:is>
      </x:c>
      <x:c r="G103" s="31" t="inlineStr">
        <x:is>
          <x:t xml:space="preserve">СОТР-060</x:t>
        </x:is>
      </x:c>
      <x:c r="H103" s="31" t="inlineStr">
        <x:is>
          <x:t xml:space="preserve">Сварка</x:t>
        </x:is>
      </x:c>
      <x:c r="I103" s="31" t="n">
        <x:v>1</x:v>
      </x:c>
      <x:c r="J103" s="31" t="n">
        <x:v>0</x:v>
      </x:c>
      <x:c r="K103" s="31" t="n">
        <x:v>58</x:v>
      </x:c>
      <x:c r="L103" s="31" t="n">
        <x:v>50</x:v>
      </x:c>
      <x:c r="M103" s="31" t="n">
        <x:v>0</x:v>
      </x:c>
      <x:c r="N103" s="31" t="inlineStr">
        <x:is>
          <x:t xml:space="preserve">Нет</x:t>
        </x:is>
      </x:c>
      <x:c r="O103" s="31" t="inlineStr">
        <x:is>
          <x:t xml:space="preserve">Подтверждено мастером</x:t>
        </x:is>
      </x:c>
      <x:c r="P103" s="31" t="inlineStr">
        <x:is>
          <x:t xml:space="preserve">Комментарий смены 110</x:t>
        </x:is>
      </x:c>
    </x:row>
    <x:row r="104" ht="18" customHeight="1">
      <x:c r="A104" s="31" t="inlineStr">
        <x:is>
          <x:t xml:space="preserve">СМ-00111</x:t>
        </x:is>
      </x:c>
      <x:c r="B104" s="31" t="n">
        <x:v>46207</x:v>
      </x:c>
      <x:c r="C104" s="31" t="inlineStr">
        <x:is>
          <x:t xml:space="preserve">Вечер</x:t>
        </x:is>
      </x:c>
      <x:c r="D104" s="31" t="inlineStr">
        <x:is>
          <x:t xml:space="preserve">ПЗ-00051</x:t>
        </x:is>
      </x:c>
      <x:c r="E104" s="31" t="inlineStr">
        <x:is>
          <x:t xml:space="preserve">ОП-000424</x:t>
        </x:is>
      </x:c>
      <x:c r="F104" s="31" t="inlineStr">
        <x:is>
          <x:t xml:space="preserve">ОБ-028</x:t>
        </x:is>
      </x:c>
      <x:c r="G104" s="31" t="inlineStr">
        <x:is>
          <x:t xml:space="preserve">СОТР-099</x:t>
        </x:is>
      </x:c>
      <x:c r="H104" s="31" t="inlineStr">
        <x:is>
          <x:t xml:space="preserve">ОТК</x:t>
        </x:is>
      </x:c>
      <x:c r="I104" s="31" t="n">
        <x:v>2</x:v>
      </x:c>
      <x:c r="J104" s="31" t="n">
        <x:v>2</x:v>
      </x:c>
      <x:c r="K104" s="31" t="n">
        <x:v>5.1</x:v>
      </x:c>
      <x:c r="L104" s="31" t="n">
        <x:v>4.3</x:v>
      </x:c>
      <x:c r="M104" s="31" t="n">
        <x:v>45</x:v>
      </x:c>
      <x:c r="N104" s="31" t="inlineStr">
        <x:is>
          <x:t xml:space="preserve">Ожидание материала</x:t>
        </x:is>
      </x:c>
      <x:c r="O104" s="31" t="inlineStr">
        <x:is>
          <x:t xml:space="preserve">Подтверждено мастером</x:t>
        </x:is>
      </x:c>
      <x:c r="P104" s="31" t="inlineStr">
        <x:is>
          <x:t xml:space="preserve">Комментарий смены 111</x:t>
        </x:is>
      </x:c>
    </x:row>
    <x:row r="105" ht="18" customHeight="1">
      <x:c r="A105" s="31" t="inlineStr">
        <x:is>
          <x:t xml:space="preserve">СМ-00112</x:t>
        </x:is>
      </x:c>
      <x:c r="B105" s="31" t="n">
        <x:v>46116</x:v>
      </x:c>
      <x:c r="C105" s="31" t="inlineStr">
        <x:is>
          <x:t xml:space="preserve">День</x:t>
        </x:is>
      </x:c>
      <x:c r="D105" s="31" t="inlineStr">
        <x:is>
          <x:t xml:space="preserve">ПЗ-00069</x:t>
        </x:is>
      </x:c>
      <x:c r="E105" s="31" t="inlineStr">
        <x:is>
          <x:t xml:space="preserve">ОП-000589</x:t>
        </x:is>
      </x:c>
      <x:c r="F105" s="31" t="inlineStr">
        <x:is>
          <x:t xml:space="preserve">ОБ-014</x:t>
        </x:is>
      </x:c>
      <x:c r="G105" s="31" t="inlineStr">
        <x:is>
          <x:t xml:space="preserve">СОТР-091</x:t>
        </x:is>
      </x:c>
      <x:c r="H105" s="31" t="inlineStr">
        <x:is>
          <x:t xml:space="preserve">Сборка</x:t>
        </x:is>
      </x:c>
      <x:c r="I105" s="31" t="n">
        <x:v>2</x:v>
      </x:c>
      <x:c r="J105" s="31" t="n">
        <x:v>0</x:v>
      </x:c>
      <x:c r="K105" s="31" t="n">
        <x:v>7.2</x:v>
      </x:c>
      <x:c r="L105" s="31" t="n">
        <x:v>6.4</x:v>
      </x:c>
      <x:c r="M105" s="31" t="n">
        <x:v>0</x:v>
      </x:c>
      <x:c r="N105" s="31" t="inlineStr">
        <x:is>
          <x:t xml:space="preserve">Нет</x:t>
        </x:is>
      </x:c>
      <x:c r="O105" s="31" t="inlineStr">
        <x:is>
          <x:t xml:space="preserve">Спорный факт</x:t>
        </x:is>
      </x:c>
      <x:c r="P105" s="31" t="inlineStr">
        <x:is>
          <x:t xml:space="preserve">Комментарий смены 112</x:t>
        </x:is>
      </x:c>
    </x:row>
    <x:row r="106" ht="18" customHeight="1">
      <x:c r="A106" s="31" t="inlineStr">
        <x:is>
          <x:t xml:space="preserve">СМ-00113</x:t>
        </x:is>
      </x:c>
      <x:c r="B106" s="31" t="n">
        <x:v>46123</x:v>
      </x:c>
      <x:c r="C106" s="31" t="inlineStr">
        <x:is>
          <x:t xml:space="preserve">День</x:t>
        </x:is>
      </x:c>
      <x:c r="D106" s="31" t="inlineStr">
        <x:is>
          <x:t xml:space="preserve">ПЗ-00129</x:t>
        </x:is>
      </x:c>
      <x:c r="E106" s="31" t="inlineStr">
        <x:is>
          <x:t xml:space="preserve">ОП-001076</x:t>
        </x:is>
      </x:c>
      <x:c r="F106" s="31" t="inlineStr">
        <x:is>
          <x:t xml:space="preserve">ОБ-010</x:t>
        </x:is>
      </x:c>
      <x:c r="G106" s="31" t="inlineStr">
        <x:is>
          <x:t xml:space="preserve">СОТР-064</x:t>
        </x:is>
      </x:c>
      <x:c r="H106" s="31" t="inlineStr">
        <x:is>
          <x:t xml:space="preserve">Сварка</x:t>
        </x:is>
      </x:c>
      <x:c r="I106" s="31" t="n">
        <x:v>2</x:v>
      </x:c>
      <x:c r="J106" s="31" t="n">
        <x:v>0</x:v>
      </x:c>
      <x:c r="K106" s="31" t="n">
        <x:v>8.800000000000001</x:v>
      </x:c>
      <x:c r="L106" s="31" t="n">
        <x:v>6.8</x:v>
      </x:c>
      <x:c r="M106" s="31" t="n">
        <x:v>30</x:v>
      </x:c>
      <x:c r="N106" s="31" t="inlineStr">
        <x:is>
          <x:t xml:space="preserve">Переналадка</x:t>
        </x:is>
      </x:c>
      <x:c r="O106" s="31" t="inlineStr">
        <x:is>
          <x:t xml:space="preserve">Подтверждено мастером</x:t>
        </x:is>
      </x:c>
      <x:c r="P106" s="31" t="inlineStr">
        <x:is>
          <x:t xml:space="preserve">Комментарий смены 113</x:t>
        </x:is>
      </x:c>
    </x:row>
    <x:row r="107" ht="18" customHeight="1">
      <x:c r="A107" s="31" t="inlineStr">
        <x:is>
          <x:t xml:space="preserve">СМ-00114</x:t>
        </x:is>
      </x:c>
      <x:c r="B107" s="31" t="n">
        <x:v>46126</x:v>
      </x:c>
      <x:c r="C107" s="31" t="inlineStr">
        <x:is>
          <x:t xml:space="preserve">Ночь</x:t>
        </x:is>
      </x:c>
      <x:c r="D107" s="31" t="inlineStr">
        <x:is>
          <x:t xml:space="preserve">ПЗ-00028</x:t>
        </x:is>
      </x:c>
      <x:c r="E107" s="31" t="inlineStr">
        <x:is>
          <x:t xml:space="preserve">ОП-000236</x:t>
        </x:is>
      </x:c>
      <x:c r="F107" s="31" t="n"/>
      <x:c r="G107" s="31" t="inlineStr">
        <x:is>
          <x:t xml:space="preserve">СОТР-013</x:t>
        </x:is>
      </x:c>
      <x:c r="H107" s="31" t="inlineStr">
        <x:is>
          <x:t xml:space="preserve">Инженерный отдел</x:t>
        </x:is>
      </x:c>
      <x:c r="I107" s="31" t="n">
        <x:v>4</x:v>
      </x:c>
      <x:c r="J107" s="31" t="n">
        <x:v>4</x:v>
      </x:c>
      <x:c r="K107" s="31" t="n">
        <x:v>40</x:v>
      </x:c>
      <x:c r="L107" s="31" t="n">
        <x:v>49.3</x:v>
      </x:c>
      <x:c r="M107" s="31" t="n">
        <x:v>90</x:v>
      </x:c>
      <x:c r="N107" s="31" t="inlineStr">
        <x:is>
          <x:t xml:space="preserve">Нет оператора</x:t>
        </x:is>
      </x:c>
      <x:c r="O107" s="31" t="inlineStr">
        <x:is>
          <x:t xml:space="preserve">Подтверждено мастером</x:t>
        </x:is>
      </x:c>
      <x:c r="P107" s="31" t="inlineStr">
        <x:is>
          <x:t xml:space="preserve">Комментарий смены 114</x:t>
        </x:is>
      </x:c>
    </x:row>
    <x:row r="108" ht="18" customHeight="1">
      <x:c r="A108" s="31" t="inlineStr">
        <x:is>
          <x:t xml:space="preserve">СМ-00115</x:t>
        </x:is>
      </x:c>
      <x:c r="B108" s="31" t="n">
        <x:v>46105</x:v>
      </x:c>
      <x:c r="C108" s="31" t="inlineStr">
        <x:is>
          <x:t xml:space="preserve">День</x:t>
        </x:is>
      </x:c>
      <x:c r="D108" s="31" t="inlineStr">
        <x:is>
          <x:t xml:space="preserve">ПЗ-00067</x:t>
        </x:is>
      </x:c>
      <x:c r="E108" s="31" t="inlineStr">
        <x:is>
          <x:t xml:space="preserve">ОП-000568</x:t>
        </x:is>
      </x:c>
      <x:c r="F108" s="31" t="inlineStr">
        <x:is>
          <x:t xml:space="preserve">ОБ-031</x:t>
        </x:is>
      </x:c>
      <x:c r="G108" s="31" t="inlineStr">
        <x:is>
          <x:t xml:space="preserve">СОТР-040</x:t>
        </x:is>
      </x:c>
      <x:c r="H108" s="31" t="inlineStr">
        <x:is>
          <x:t xml:space="preserve">Механообработка</x:t>
        </x:is>
      </x:c>
      <x:c r="I108" s="31" t="n">
        <x:v>2</x:v>
      </x:c>
      <x:c r="J108" s="31" t="n">
        <x:v>2</x:v>
      </x:c>
      <x:c r="K108" s="31" t="n">
        <x:v>13.8</x:v>
      </x:c>
      <x:c r="L108" s="31" t="n">
        <x:v>12.9</x:v>
      </x:c>
      <x:c r="M108" s="31" t="n">
        <x:v>30</x:v>
      </x:c>
      <x:c r="N108" s="31" t="inlineStr">
        <x:is>
          <x:t xml:space="preserve">Ожидание материала</x:t>
        </x:is>
      </x:c>
      <x:c r="O108" s="31" t="inlineStr">
        <x:is>
          <x:t xml:space="preserve">Подтверждено мастером</x:t>
        </x:is>
      </x:c>
      <x:c r="P108" s="31" t="inlineStr">
        <x:is>
          <x:t xml:space="preserve">Комментарий смены 115</x:t>
        </x:is>
      </x:c>
    </x:row>
    <x:row r="109" ht="18" customHeight="1">
      <x:c r="A109" s="31" t="inlineStr">
        <x:is>
          <x:t xml:space="preserve">СМ-00116</x:t>
        </x:is>
      </x:c>
      <x:c r="B109" s="31" t="n">
        <x:v>46141</x:v>
      </x:c>
      <x:c r="C109" s="31" t="inlineStr">
        <x:is>
          <x:t xml:space="preserve">День</x:t>
        </x:is>
      </x:c>
      <x:c r="D109" s="31" t="inlineStr">
        <x:is>
          <x:t xml:space="preserve">ПЗ-00185</x:t>
        </x:is>
      </x:c>
      <x:c r="E109" s="31" t="inlineStr">
        <x:is>
          <x:t xml:space="preserve">ОП-001536</x:t>
        </x:is>
      </x:c>
      <x:c r="F109" s="31" t="inlineStr">
        <x:is>
          <x:t xml:space="preserve">ОБ-025</x:t>
        </x:is>
      </x:c>
      <x:c r="G109" s="31" t="inlineStr">
        <x:is>
          <x:t xml:space="preserve">СОТР-039</x:t>
        </x:is>
      </x:c>
      <x:c r="H109" s="31" t="inlineStr">
        <x:is>
          <x:t xml:space="preserve">Склад</x:t>
        </x:is>
      </x:c>
      <x:c r="I109" s="31" t="n">
        <x:v>2</x:v>
      </x:c>
      <x:c r="J109" s="31" t="n">
        <x:v>0</x:v>
      </x:c>
      <x:c r="K109" s="31" t="n">
        <x:v>13.6</x:v>
      </x:c>
      <x:c r="L109" s="31" t="n">
        <x:v>11.3</x:v>
      </x:c>
      <x:c r="M109" s="31" t="n">
        <x:v>0</x:v>
      </x:c>
      <x:c r="N109" s="31" t="inlineStr">
        <x:is>
          <x:t xml:space="preserve">Нет</x:t>
        </x:is>
      </x:c>
      <x:c r="O109" s="31" t="inlineStr">
        <x:is>
          <x:t xml:space="preserve">Подтверждено мастером</x:t>
        </x:is>
      </x:c>
      <x:c r="P109" s="31" t="inlineStr">
        <x:is>
          <x:t xml:space="preserve">Комментарий смены 116</x:t>
        </x:is>
      </x:c>
    </x:row>
    <x:row r="110" ht="18" customHeight="1">
      <x:c r="A110" s="31" t="inlineStr">
        <x:is>
          <x:t xml:space="preserve">СМ-00117</x:t>
        </x:is>
      </x:c>
      <x:c r="B110" s="31" t="n">
        <x:v>46176</x:v>
      </x:c>
      <x:c r="C110" s="31" t="inlineStr">
        <x:is>
          <x:t xml:space="preserve">День</x:t>
        </x:is>
      </x:c>
      <x:c r="D110" s="31" t="inlineStr">
        <x:is>
          <x:t xml:space="preserve">ПЗ-00142</x:t>
        </x:is>
      </x:c>
      <x:c r="E110" s="31" t="inlineStr">
        <x:is>
          <x:t xml:space="preserve">ОП-001189</x:t>
        </x:is>
      </x:c>
      <x:c r="F110" s="31" t="n"/>
      <x:c r="G110" s="31" t="inlineStr">
        <x:is>
          <x:t xml:space="preserve">СОТР-020</x:t>
        </x:is>
      </x:c>
      <x:c r="H110" s="31" t="inlineStr">
        <x:is>
          <x:t xml:space="preserve">Инженерный отдел</x:t>
        </x:is>
      </x:c>
      <x:c r="I110" s="31" t="n">
        <x:v>2</x:v>
      </x:c>
      <x:c r="J110" s="31" t="n">
        <x:v>3</x:v>
      </x:c>
      <x:c r="K110" s="31" t="n">
        <x:v>55.6</x:v>
      </x:c>
      <x:c r="L110" s="31" t="n">
        <x:v>63.9</x:v>
      </x:c>
      <x:c r="M110" s="31" t="n">
        <x:v>0</x:v>
      </x:c>
      <x:c r="N110" s="31" t="inlineStr">
        <x:is>
          <x:t xml:space="preserve">Нет</x:t>
        </x:is>
      </x:c>
      <x:c r="O110" s="31" t="inlineStr">
        <x:is>
          <x:t xml:space="preserve">Спорный факт</x:t>
        </x:is>
      </x:c>
      <x:c r="P110" s="31" t="inlineStr">
        <x:is>
          <x:t xml:space="preserve">Комментарий смены 117</x:t>
        </x:is>
      </x:c>
    </x:row>
    <x:row r="111" ht="18" customHeight="1">
      <x:c r="A111" s="31" t="inlineStr">
        <x:is>
          <x:t xml:space="preserve">СМ-00118</x:t>
        </x:is>
      </x:c>
      <x:c r="B111" s="31" t="n">
        <x:v>46128</x:v>
      </x:c>
      <x:c r="C111" s="31" t="inlineStr">
        <x:is>
          <x:t xml:space="preserve">Ночь</x:t>
        </x:is>
      </x:c>
      <x:c r="D111" s="31" t="inlineStr">
        <x:is>
          <x:t xml:space="preserve">ПЗ-00166</x:t>
        </x:is>
      </x:c>
      <x:c r="E111" s="31" t="inlineStr">
        <x:is>
          <x:t xml:space="preserve">ОП-001381</x:t>
        </x:is>
      </x:c>
      <x:c r="F111" s="31" t="n"/>
      <x:c r="G111" s="31" t="inlineStr">
        <x:is>
          <x:t xml:space="preserve">СОТР-013</x:t>
        </x:is>
      </x:c>
      <x:c r="H111" s="31" t="inlineStr">
        <x:is>
          <x:t xml:space="preserve">Инженерный отдел</x:t>
        </x:is>
      </x:c>
      <x:c r="I111" s="31" t="n">
        <x:v>2</x:v>
      </x:c>
      <x:c r="J111" s="31" t="n">
        <x:v>2</x:v>
      </x:c>
      <x:c r="K111" s="31" t="n">
        <x:v>42</x:v>
      </x:c>
      <x:c r="L111" s="31" t="n">
        <x:v>36.3</x:v>
      </x:c>
      <x:c r="M111" s="31" t="n">
        <x:v>0</x:v>
      </x:c>
      <x:c r="N111" s="31" t="inlineStr">
        <x:is>
          <x:t xml:space="preserve">Нет</x:t>
        </x:is>
      </x:c>
      <x:c r="O111" s="31" t="inlineStr">
        <x:is>
          <x:t xml:space="preserve">Подтверждено мастером</x:t>
        </x:is>
      </x:c>
      <x:c r="P111" s="31" t="inlineStr">
        <x:is>
          <x:t xml:space="preserve">Комментарий смены 118</x:t>
        </x:is>
      </x:c>
    </x:row>
    <x:row r="112" ht="18" customHeight="1">
      <x:c r="A112" s="31" t="inlineStr">
        <x:is>
          <x:t xml:space="preserve">СМ-00119</x:t>
        </x:is>
      </x:c>
      <x:c r="B112" s="31" t="n">
        <x:v>46194</x:v>
      </x:c>
      <x:c r="C112" s="31" t="inlineStr">
        <x:is>
          <x:t xml:space="preserve">День</x:t>
        </x:is>
      </x:c>
      <x:c r="D112" s="31" t="inlineStr">
        <x:is>
          <x:t xml:space="preserve">ПЗ-00159</x:t>
        </x:is>
      </x:c>
      <x:c r="E112" s="31" t="inlineStr">
        <x:is>
          <x:t xml:space="preserve">ОП-001316</x:t>
        </x:is>
      </x:c>
      <x:c r="F112" s="31" t="inlineStr">
        <x:is>
          <x:t xml:space="preserve">ОБ-031</x:t>
        </x:is>
      </x:c>
      <x:c r="G112" s="31" t="inlineStr">
        <x:is>
          <x:t xml:space="preserve">СОТР-049</x:t>
        </x:is>
      </x:c>
      <x:c r="H112" s="31" t="inlineStr">
        <x:is>
          <x:t xml:space="preserve">Механообработка</x:t>
        </x:is>
      </x:c>
      <x:c r="I112" s="31" t="n">
        <x:v>2</x:v>
      </x:c>
      <x:c r="J112" s="31" t="n">
        <x:v>1</x:v>
      </x:c>
      <x:c r="K112" s="31" t="n">
        <x:v>11.1</x:v>
      </x:c>
      <x:c r="L112" s="31" t="n">
        <x:v>12.4</x:v>
      </x:c>
      <x:c r="M112" s="31" t="n">
        <x:v>90</x:v>
      </x:c>
      <x:c r="N112" s="31" t="inlineStr">
        <x:is>
          <x:t xml:space="preserve">Нет оператора</x:t>
        </x:is>
      </x:c>
      <x:c r="O112" s="31" t="inlineStr">
        <x:is>
          <x:t xml:space="preserve">Черновик</x:t>
        </x:is>
      </x:c>
      <x:c r="P112" s="31" t="inlineStr">
        <x:is>
          <x:t xml:space="preserve">Комментарий смены 119</x:t>
        </x:is>
      </x:c>
    </x:row>
    <x:row r="113" ht="18" customHeight="1">
      <x:c r="A113" s="31" t="inlineStr">
        <x:is>
          <x:t xml:space="preserve">СМ-00120</x:t>
        </x:is>
      </x:c>
      <x:c r="B113" s="31" t="n">
        <x:v>46116</x:v>
      </x:c>
      <x:c r="C113" s="31" t="inlineStr">
        <x:is>
          <x:t xml:space="preserve">Ночь</x:t>
        </x:is>
      </x:c>
      <x:c r="D113" s="31" t="inlineStr">
        <x:is>
          <x:t xml:space="preserve">ПЗ-00012</x:t>
        </x:is>
      </x:c>
      <x:c r="E113" s="31" t="inlineStr">
        <x:is>
          <x:t xml:space="preserve">ОП-000098</x:t>
        </x:is>
      </x:c>
      <x:c r="F113" s="31" t="n"/>
      <x:c r="G113" s="31" t="inlineStr">
        <x:is>
          <x:t xml:space="preserve">СОТР-011</x:t>
        </x:is>
      </x:c>
      <x:c r="H113" s="31" t="inlineStr">
        <x:is>
          <x:t xml:space="preserve">Инженерный отдел</x:t>
        </x:is>
      </x:c>
      <x:c r="I113" s="31" t="n">
        <x:v>2</x:v>
      </x:c>
      <x:c r="J113" s="31" t="n">
        <x:v>3</x:v>
      </x:c>
      <x:c r="K113" s="31" t="n">
        <x:v>2.6</x:v>
      </x:c>
      <x:c r="L113" s="31" t="n">
        <x:v>2.9</x:v>
      </x:c>
      <x:c r="M113" s="31" t="n">
        <x:v>90</x:v>
      </x:c>
      <x:c r="N113" s="31" t="inlineStr">
        <x:is>
          <x:t xml:space="preserve">Переналадка</x:t>
        </x:is>
      </x:c>
      <x:c r="O113" s="31" t="inlineStr">
        <x:is>
          <x:t xml:space="preserve">Подтверждено мастером</x:t>
        </x:is>
      </x:c>
      <x:c r="P113" s="31" t="inlineStr">
        <x:is>
          <x:t xml:space="preserve">Комментарий смены 120</x:t>
        </x:is>
      </x:c>
    </x:row>
    <x:row r="114" ht="18" customHeight="1">
      <x:c r="A114" s="31" t="inlineStr">
        <x:is>
          <x:t xml:space="preserve">СМ-00121</x:t>
        </x:is>
      </x:c>
      <x:c r="B114" s="31" t="n">
        <x:v>46132</x:v>
      </x:c>
      <x:c r="C114" s="31" t="inlineStr">
        <x:is>
          <x:t xml:space="preserve">Ночь</x:t>
        </x:is>
      </x:c>
      <x:c r="D114" s="31" t="inlineStr">
        <x:is>
          <x:t xml:space="preserve">ПЗ-00028</x:t>
        </x:is>
      </x:c>
      <x:c r="E114" s="31" t="inlineStr">
        <x:is>
          <x:t xml:space="preserve">ОП-000237</x:t>
        </x:is>
      </x:c>
      <x:c r="F114" s="31" t="inlineStr">
        <x:is>
          <x:t xml:space="preserve">ОБ-008</x:t>
        </x:is>
      </x:c>
      <x:c r="G114" s="31" t="inlineStr">
        <x:is>
          <x:t xml:space="preserve">СОТР-038</x:t>
        </x:is>
      </x:c>
      <x:c r="H114" s="31" t="inlineStr">
        <x:is>
          <x:t xml:space="preserve">Склад</x:t>
        </x:is>
      </x:c>
      <x:c r="I114" s="31" t="n">
        <x:v>4</x:v>
      </x:c>
      <x:c r="J114" s="31" t="n">
        <x:v>4</x:v>
      </x:c>
      <x:c r="K114" s="31" t="n">
        <x:v>49</x:v>
      </x:c>
      <x:c r="L114" s="31" t="n">
        <x:v>62.8</x:v>
      </x:c>
      <x:c r="M114" s="31" t="n">
        <x:v>15</x:v>
      </x:c>
      <x:c r="N114" s="31" t="inlineStr">
        <x:is>
          <x:t xml:space="preserve">Нет оператора</x:t>
        </x:is>
      </x:c>
      <x:c r="O114" s="31" t="inlineStr">
        <x:is>
          <x:t xml:space="preserve">Закрыто</x:t>
        </x:is>
      </x:c>
      <x:c r="P114" s="31" t="inlineStr">
        <x:is>
          <x:t xml:space="preserve">Комментарий смены 121</x:t>
        </x:is>
      </x:c>
    </x:row>
    <x:row r="115" ht="18" customHeight="1">
      <x:c r="A115" s="31" t="inlineStr">
        <x:is>
          <x:t xml:space="preserve">СМ-00122</x:t>
        </x:is>
      </x:c>
      <x:c r="B115" s="31" t="n">
        <x:v>46121</x:v>
      </x:c>
      <x:c r="C115" s="31" t="inlineStr">
        <x:is>
          <x:t xml:space="preserve">Ночь</x:t>
        </x:is>
      </x:c>
      <x:c r="D115" s="31" t="inlineStr">
        <x:is>
          <x:t xml:space="preserve">ПЗ-00168</x:t>
        </x:is>
      </x:c>
      <x:c r="E115" s="31" t="inlineStr">
        <x:is>
          <x:t xml:space="preserve">ОП-001402</x:t>
        </x:is>
      </x:c>
      <x:c r="F115" s="31" t="n"/>
      <x:c r="G115" s="31" t="inlineStr">
        <x:is>
          <x:t xml:space="preserve">СОТР-102</x:t>
        </x:is>
      </x:c>
      <x:c r="H115" s="31" t="inlineStr">
        <x:is>
          <x:t xml:space="preserve">Логистика</x:t>
        </x:is>
      </x:c>
      <x:c r="I115" s="31" t="n">
        <x:v>1</x:v>
      </x:c>
      <x:c r="J115" s="31" t="n">
        <x:v>1</x:v>
      </x:c>
      <x:c r="K115" s="31" t="n">
        <x:v>8.1</x:v>
      </x:c>
      <x:c r="L115" s="31" t="n">
        <x:v>8.1</x:v>
      </x:c>
      <x:c r="M115" s="31" t="n">
        <x:v>120</x:v>
      </x:c>
      <x:c r="N115" s="31" t="inlineStr">
        <x:is>
          <x:t xml:space="preserve">Ремонт оборудования</x:t>
        </x:is>
      </x:c>
      <x:c r="O115" s="31" t="inlineStr">
        <x:is>
          <x:t xml:space="preserve">Спорный факт</x:t>
        </x:is>
      </x:c>
      <x:c r="P115" s="31" t="inlineStr">
        <x:is>
          <x:t xml:space="preserve">Комментарий смены 122</x:t>
        </x:is>
      </x:c>
    </x:row>
    <x:row r="116" ht="18" customHeight="1">
      <x:c r="A116" s="31" t="inlineStr">
        <x:is>
          <x:t xml:space="preserve">СМ-00123</x:t>
        </x:is>
      </x:c>
      <x:c r="B116" s="31" t="n">
        <x:v>46057</x:v>
      </x:c>
      <x:c r="C116" s="31" t="inlineStr">
        <x:is>
          <x:t xml:space="preserve">Ночь</x:t>
        </x:is>
      </x:c>
      <x:c r="D116" s="31" t="inlineStr">
        <x:is>
          <x:t xml:space="preserve">ПЗ-00146</x:t>
        </x:is>
      </x:c>
      <x:c r="E116" s="31" t="inlineStr">
        <x:is>
          <x:t xml:space="preserve">ОП-001212</x:t>
        </x:is>
      </x:c>
      <x:c r="F116" s="31" t="inlineStr">
        <x:is>
          <x:t xml:space="preserve">ОБ-003</x:t>
        </x:is>
      </x:c>
      <x:c r="G116" s="31" t="inlineStr">
        <x:is>
          <x:t xml:space="preserve">СОТР-071</x:t>
        </x:is>
      </x:c>
      <x:c r="H116" s="31" t="inlineStr">
        <x:is>
          <x:t xml:space="preserve">Сварка</x:t>
        </x:is>
      </x:c>
      <x:c r="I116" s="31" t="n">
        <x:v>1</x:v>
      </x:c>
      <x:c r="J116" s="31" t="n">
        <x:v>1</x:v>
      </x:c>
      <x:c r="K116" s="31" t="n">
        <x:v>4.9</x:v>
      </x:c>
      <x:c r="L116" s="31" t="n">
        <x:v>4.2</x:v>
      </x:c>
      <x:c r="M116" s="31" t="n">
        <x:v>90</x:v>
      </x:c>
      <x:c r="N116" s="31" t="inlineStr">
        <x:is>
          <x:t xml:space="preserve">Ожидание ОТК</x:t>
        </x:is>
      </x:c>
      <x:c r="O116" s="31" t="inlineStr">
        <x:is>
          <x:t xml:space="preserve">Подтверждено мастером</x:t>
        </x:is>
      </x:c>
      <x:c r="P116" s="31" t="inlineStr">
        <x:is>
          <x:t xml:space="preserve">Комментарий смены 123</x:t>
        </x:is>
      </x:c>
    </x:row>
    <x:row r="117" ht="18" customHeight="1">
      <x:c r="A117" s="31" t="inlineStr">
        <x:is>
          <x:t xml:space="preserve">СМ-00124</x:t>
        </x:is>
      </x:c>
      <x:c r="B117" s="31" t="n">
        <x:v>46170</x:v>
      </x:c>
      <x:c r="C117" s="31" t="inlineStr">
        <x:is>
          <x:t xml:space="preserve">День</x:t>
        </x:is>
      </x:c>
      <x:c r="D117" s="31" t="inlineStr">
        <x:is>
          <x:t xml:space="preserve">ПЗ-00015</x:t>
        </x:is>
      </x:c>
      <x:c r="E117" s="31" t="inlineStr">
        <x:is>
          <x:t xml:space="preserve">ОП-000129</x:t>
        </x:is>
      </x:c>
      <x:c r="F117" s="31" t="n"/>
      <x:c r="G117" s="31" t="inlineStr">
        <x:is>
          <x:t xml:space="preserve">СОТР-104</x:t>
        </x:is>
      </x:c>
      <x:c r="H117" s="31" t="inlineStr">
        <x:is>
          <x:t xml:space="preserve">Логистика</x:t>
        </x:is>
      </x:c>
      <x:c r="I117" s="31" t="n">
        <x:v>4</x:v>
      </x:c>
      <x:c r="J117" s="31" t="n">
        <x:v>0</x:v>
      </x:c>
      <x:c r="K117" s="31" t="n">
        <x:v>8.800000000000001</x:v>
      </x:c>
      <x:c r="L117" s="31" t="n">
        <x:v>4.8</x:v>
      </x:c>
      <x:c r="M117" s="31" t="n">
        <x:v>0</x:v>
      </x:c>
      <x:c r="N117" s="31" t="inlineStr">
        <x:is>
          <x:t xml:space="preserve">Нет</x:t>
        </x:is>
      </x:c>
      <x:c r="O117" s="31" t="inlineStr">
        <x:is>
          <x:t xml:space="preserve">Подтверждено мастером</x:t>
        </x:is>
      </x:c>
      <x:c r="P117" s="31" t="inlineStr">
        <x:is>
          <x:t xml:space="preserve">Комментарий смены 124</x:t>
        </x:is>
      </x:c>
    </x:row>
    <x:row r="118" ht="18" customHeight="1">
      <x:c r="A118" s="31" t="inlineStr">
        <x:is>
          <x:t xml:space="preserve">СМ-00125</x:t>
        </x:is>
      </x:c>
      <x:c r="B118" s="31" t="n">
        <x:v>46148</x:v>
      </x:c>
      <x:c r="C118" s="31" t="inlineStr">
        <x:is>
          <x:t xml:space="preserve">День</x:t>
        </x:is>
      </x:c>
      <x:c r="D118" s="31" t="inlineStr">
        <x:is>
          <x:t xml:space="preserve">ПЗ-00249</x:t>
        </x:is>
      </x:c>
      <x:c r="E118" s="31" t="inlineStr">
        <x:is>
          <x:t xml:space="preserve">ОП-002078</x:t>
        </x:is>
      </x:c>
      <x:c r="F118" s="31" t="n"/>
      <x:c r="G118" s="31" t="inlineStr">
        <x:is>
          <x:t xml:space="preserve">СОТР-014</x:t>
        </x:is>
      </x:c>
      <x:c r="H118" s="31" t="inlineStr">
        <x:is>
          <x:t xml:space="preserve">Инженерный отдел</x:t>
        </x:is>
      </x:c>
      <x:c r="I118" s="31" t="n">
        <x:v>2</x:v>
      </x:c>
      <x:c r="J118" s="31" t="n">
        <x:v>3</x:v>
      </x:c>
      <x:c r="K118" s="31" t="n">
        <x:v>36.4</x:v>
      </x:c>
      <x:c r="L118" s="31" t="n">
        <x:v>44.8</x:v>
      </x:c>
      <x:c r="M118" s="31" t="n">
        <x:v>0</x:v>
      </x:c>
      <x:c r="N118" s="31" t="inlineStr">
        <x:is>
          <x:t xml:space="preserve">Нет</x:t>
        </x:is>
      </x:c>
      <x:c r="O118" s="31" t="inlineStr">
        <x:is>
          <x:t xml:space="preserve">Подтверждено мастером</x:t>
        </x:is>
      </x:c>
      <x:c r="P118" s="31" t="inlineStr">
        <x:is>
          <x:t xml:space="preserve">Комментарий смены 125</x:t>
        </x:is>
      </x:c>
    </x:row>
    <x:row r="119" ht="18" customHeight="1">
      <x:c r="A119" s="31" t="inlineStr">
        <x:is>
          <x:t xml:space="preserve">СМ-00126</x:t>
        </x:is>
      </x:c>
      <x:c r="B119" s="31" t="n">
        <x:v>46146</x:v>
      </x:c>
      <x:c r="C119" s="31" t="inlineStr">
        <x:is>
          <x:t xml:space="preserve">Вечер</x:t>
        </x:is>
      </x:c>
      <x:c r="D119" s="31" t="inlineStr">
        <x:is>
          <x:t xml:space="preserve">ПЗ-00018</x:t>
        </x:is>
      </x:c>
      <x:c r="E119" s="31" t="inlineStr">
        <x:is>
          <x:t xml:space="preserve">ОП-000150</x:t>
        </x:is>
      </x:c>
      <x:c r="F119" s="31" t="inlineStr">
        <x:is>
          <x:t xml:space="preserve">ОБ-016</x:t>
        </x:is>
      </x:c>
      <x:c r="G119" s="31" t="inlineStr">
        <x:is>
          <x:t xml:space="preserve">СОТР-077</x:t>
        </x:is>
      </x:c>
      <x:c r="H119" s="31" t="inlineStr">
        <x:is>
          <x:t xml:space="preserve">Сборка</x:t>
        </x:is>
      </x:c>
      <x:c r="I119" s="31" t="n">
        <x:v>1</x:v>
      </x:c>
      <x:c r="J119" s="31" t="n">
        <x:v>1</x:v>
      </x:c>
      <x:c r="K119" s="31" t="n">
        <x:v>3.8</x:v>
      </x:c>
      <x:c r="L119" s="31" t="n">
        <x:v>4.3</x:v>
      </x:c>
      <x:c r="M119" s="31" t="n">
        <x:v>0</x:v>
      </x:c>
      <x:c r="N119" s="31" t="inlineStr">
        <x:is>
          <x:t xml:space="preserve">Нет</x:t>
        </x:is>
      </x:c>
      <x:c r="O119" s="31" t="inlineStr">
        <x:is>
          <x:t xml:space="preserve">Подтверждено мастером</x:t>
        </x:is>
      </x:c>
      <x:c r="P119" s="31" t="inlineStr">
        <x:is>
          <x:t xml:space="preserve">Комментарий смены 126</x:t>
        </x:is>
      </x:c>
    </x:row>
    <x:row r="120" ht="18" customHeight="1">
      <x:c r="A120" s="31" t="inlineStr">
        <x:is>
          <x:t xml:space="preserve">СМ-00127</x:t>
        </x:is>
      </x:c>
      <x:c r="B120" s="31" t="n">
        <x:v>46109</x:v>
      </x:c>
      <x:c r="C120" s="31" t="inlineStr">
        <x:is>
          <x:t xml:space="preserve">День</x:t>
        </x:is>
      </x:c>
      <x:c r="D120" s="31" t="inlineStr">
        <x:is>
          <x:t xml:space="preserve">ПЗ-00103</x:t>
        </x:is>
      </x:c>
      <x:c r="E120" s="31" t="inlineStr">
        <x:is>
          <x:t xml:space="preserve">ОП-000856</x:t>
        </x:is>
      </x:c>
      <x:c r="F120" s="31" t="inlineStr">
        <x:is>
          <x:t xml:space="preserve">ОБ-023</x:t>
        </x:is>
      </x:c>
      <x:c r="G120" s="31" t="inlineStr">
        <x:is>
          <x:t xml:space="preserve">СОТР-036</x:t>
        </x:is>
      </x:c>
      <x:c r="H120" s="31" t="inlineStr">
        <x:is>
          <x:t xml:space="preserve">Склад</x:t>
        </x:is>
      </x:c>
      <x:c r="I120" s="31" t="n">
        <x:v>1</x:v>
      </x:c>
      <x:c r="J120" s="31" t="n">
        <x:v>1</x:v>
      </x:c>
      <x:c r="K120" s="31" t="n">
        <x:v>7.9</x:v>
      </x:c>
      <x:c r="L120" s="31" t="n">
        <x:v>9.1</x:v>
      </x:c>
      <x:c r="M120" s="31" t="n">
        <x:v>0</x:v>
      </x:c>
      <x:c r="N120" s="31" t="inlineStr">
        <x:is>
          <x:t xml:space="preserve">Нет</x:t>
        </x:is>
      </x:c>
      <x:c r="O120" s="31" t="inlineStr">
        <x:is>
          <x:t xml:space="preserve">Черновик</x:t>
        </x:is>
      </x:c>
      <x:c r="P120" s="31" t="inlineStr">
        <x:is>
          <x:t xml:space="preserve">Комментарий смены 127</x:t>
        </x:is>
      </x:c>
    </x:row>
    <x:row r="121" ht="18" customHeight="1">
      <x:c r="A121" s="31" t="inlineStr">
        <x:is>
          <x:t xml:space="preserve">СМ-00128</x:t>
        </x:is>
      </x:c>
      <x:c r="B121" s="31" t="n">
        <x:v>46182</x:v>
      </x:c>
      <x:c r="C121" s="31" t="inlineStr">
        <x:is>
          <x:t xml:space="preserve">Ночь</x:t>
        </x:is>
      </x:c>
      <x:c r="D121" s="31" t="inlineStr">
        <x:is>
          <x:t xml:space="preserve">ПЗ-00242</x:t>
        </x:is>
      </x:c>
      <x:c r="E121" s="31" t="inlineStr">
        <x:is>
          <x:t xml:space="preserve">ОП-002032</x:t>
        </x:is>
      </x:c>
      <x:c r="F121" s="31" t="inlineStr">
        <x:is>
          <x:t xml:space="preserve">ОБ-022</x:t>
        </x:is>
      </x:c>
      <x:c r="G121" s="31" t="inlineStr">
        <x:is>
          <x:t xml:space="preserve">СОТР-100</x:t>
        </x:is>
      </x:c>
      <x:c r="H121" s="31" t="inlineStr">
        <x:is>
          <x:t xml:space="preserve">ОТК</x:t>
        </x:is>
      </x:c>
      <x:c r="I121" s="31" t="n">
        <x:v>1</x:v>
      </x:c>
      <x:c r="J121" s="31" t="n">
        <x:v>1</x:v>
      </x:c>
      <x:c r="K121" s="31" t="n">
        <x:v>33.6</x:v>
      </x:c>
      <x:c r="L121" s="31" t="n">
        <x:v>34.3</x:v>
      </x:c>
      <x:c r="M121" s="31" t="n">
        <x:v>15</x:v>
      </x:c>
      <x:c r="N121" s="31" t="inlineStr">
        <x:is>
          <x:t xml:space="preserve">Переналадка</x:t>
        </x:is>
      </x:c>
      <x:c r="O121" s="31" t="inlineStr">
        <x:is>
          <x:t xml:space="preserve">Подтверждено мастером</x:t>
        </x:is>
      </x:c>
      <x:c r="P121" s="31" t="inlineStr">
        <x:is>
          <x:t xml:space="preserve">Комментарий смены 128</x:t>
        </x:is>
      </x:c>
    </x:row>
    <x:row r="122" ht="18" customHeight="1">
      <x:c r="A122" s="31" t="inlineStr">
        <x:is>
          <x:t xml:space="preserve">СМ-00129</x:t>
        </x:is>
      </x:c>
      <x:c r="B122" s="31" t="n">
        <x:v>46185</x:v>
      </x:c>
      <x:c r="C122" s="31" t="inlineStr">
        <x:is>
          <x:t xml:space="preserve">Вечер</x:t>
        </x:is>
      </x:c>
      <x:c r="D122" s="31" t="inlineStr">
        <x:is>
          <x:t xml:space="preserve">ПЗ-00196</x:t>
        </x:is>
      </x:c>
      <x:c r="E122" s="31" t="inlineStr">
        <x:is>
          <x:t xml:space="preserve">ОП-001645</x:t>
        </x:is>
      </x:c>
      <x:c r="F122" s="31" t="inlineStr">
        <x:is>
          <x:t xml:space="preserve">ОБ-013</x:t>
        </x:is>
      </x:c>
      <x:c r="G122" s="31" t="inlineStr">
        <x:is>
          <x:t xml:space="preserve">СОТР-063</x:t>
        </x:is>
      </x:c>
      <x:c r="H122" s="31" t="inlineStr">
        <x:is>
          <x:t xml:space="preserve">ОТК</x:t>
        </x:is>
      </x:c>
      <x:c r="I122" s="31" t="n">
        <x:v>3</x:v>
      </x:c>
      <x:c r="J122" s="31" t="n">
        <x:v>3</x:v>
      </x:c>
      <x:c r="K122" s="31" t="n">
        <x:v>76.2</x:v>
      </x:c>
      <x:c r="L122" s="31" t="n">
        <x:v>99.59999999999999</x:v>
      </x:c>
      <x:c r="M122" s="31" t="n">
        <x:v>60</x:v>
      </x:c>
      <x:c r="N122" s="31" t="inlineStr">
        <x:is>
          <x:t xml:space="preserve">Ремонт оборудования</x:t>
        </x:is>
      </x:c>
      <x:c r="O122" s="31" t="inlineStr">
        <x:is>
          <x:t xml:space="preserve">Подтверждено мастером</x:t>
        </x:is>
      </x:c>
      <x:c r="P122" s="31" t="inlineStr">
        <x:is>
          <x:t xml:space="preserve">Комментарий смены 129</x:t>
        </x:is>
      </x:c>
    </x:row>
    <x:row r="123" ht="18" customHeight="1">
      <x:c r="A123" s="31" t="inlineStr">
        <x:is>
          <x:t xml:space="preserve">СМ-00130</x:t>
        </x:is>
      </x:c>
      <x:c r="B123" s="31" t="n">
        <x:v>46124</x:v>
      </x:c>
      <x:c r="C123" s="31" t="inlineStr">
        <x:is>
          <x:t xml:space="preserve">Ночь</x:t>
        </x:is>
      </x:c>
      <x:c r="D123" s="31" t="inlineStr">
        <x:is>
          <x:t xml:space="preserve">ПЗ-00262</x:t>
        </x:is>
      </x:c>
      <x:c r="E123" s="31" t="inlineStr">
        <x:is>
          <x:t xml:space="preserve">ОП-002185</x:t>
        </x:is>
      </x:c>
      <x:c r="F123" s="31" t="inlineStr">
        <x:is>
          <x:t xml:space="preserve">ОБ-024</x:t>
        </x:is>
      </x:c>
      <x:c r="G123" s="31" t="inlineStr">
        <x:is>
          <x:t xml:space="preserve">СОТР-093</x:t>
        </x:is>
      </x:c>
      <x:c r="H123" s="31" t="inlineStr">
        <x:is>
          <x:t xml:space="preserve">ОТК</x:t>
        </x:is>
      </x:c>
      <x:c r="I123" s="31" t="n">
        <x:v>2</x:v>
      </x:c>
      <x:c r="J123" s="31" t="n">
        <x:v>2</x:v>
      </x:c>
      <x:c r="K123" s="31" t="n">
        <x:v>11.4</x:v>
      </x:c>
      <x:c r="L123" s="31" t="n">
        <x:v>10.2</x:v>
      </x:c>
      <x:c r="M123" s="31" t="n">
        <x:v>0</x:v>
      </x:c>
      <x:c r="N123" s="31" t="inlineStr">
        <x:is>
          <x:t xml:space="preserve">Нет</x:t>
        </x:is>
      </x:c>
      <x:c r="O123" s="31" t="inlineStr">
        <x:is>
          <x:t xml:space="preserve">Подтверждено мастером</x:t>
        </x:is>
      </x:c>
      <x:c r="P123" s="31" t="inlineStr">
        <x:is>
          <x:t xml:space="preserve">Комментарий смены 130</x:t>
        </x:is>
      </x:c>
    </x:row>
    <x:row r="124" ht="18" customHeight="1">
      <x:c r="A124" s="31" t="inlineStr">
        <x:is>
          <x:t xml:space="preserve">СМ-00132</x:t>
        </x:is>
      </x:c>
      <x:c r="B124" s="31" t="n">
        <x:v>46091</x:v>
      </x:c>
      <x:c r="C124" s="31" t="inlineStr">
        <x:is>
          <x:t xml:space="preserve">День</x:t>
        </x:is>
      </x:c>
      <x:c r="D124" s="31" t="inlineStr">
        <x:is>
          <x:t xml:space="preserve">ПЗ-00234</x:t>
        </x:is>
      </x:c>
      <x:c r="E124" s="31" t="inlineStr">
        <x:is>
          <x:t xml:space="preserve">ОП-001960</x:t>
        </x:is>
      </x:c>
      <x:c r="F124" s="31" t="inlineStr">
        <x:is>
          <x:t xml:space="preserve">ОБ-016</x:t>
        </x:is>
      </x:c>
      <x:c r="G124" s="31" t="inlineStr">
        <x:is>
          <x:t xml:space="preserve">СОТР-091</x:t>
        </x:is>
      </x:c>
      <x:c r="H124" s="31" t="inlineStr">
        <x:is>
          <x:t xml:space="preserve">Сборка</x:t>
        </x:is>
      </x:c>
      <x:c r="I124" s="31" t="n">
        <x:v>5</x:v>
      </x:c>
      <x:c r="J124" s="31" t="n">
        <x:v>4</x:v>
      </x:c>
      <x:c r="K124" s="31" t="n">
        <x:v>24</x:v>
      </x:c>
      <x:c r="L124" s="31" t="n">
        <x:v>21.3</x:v>
      </x:c>
      <x:c r="M124" s="31" t="n">
        <x:v>0</x:v>
      </x:c>
      <x:c r="N124" s="31" t="inlineStr">
        <x:is>
          <x:t xml:space="preserve">Нет</x:t>
        </x:is>
      </x:c>
      <x:c r="O124" s="31" t="inlineStr">
        <x:is>
          <x:t xml:space="preserve">Подтверждено мастером</x:t>
        </x:is>
      </x:c>
      <x:c r="P124" s="31" t="inlineStr">
        <x:is>
          <x:t xml:space="preserve">Комментарий смены 132</x:t>
        </x:is>
      </x:c>
    </x:row>
    <x:row r="125" ht="18" customHeight="1">
      <x:c r="A125" s="31" t="inlineStr">
        <x:is>
          <x:t xml:space="preserve">СМ-00134</x:t>
        </x:is>
      </x:c>
      <x:c r="B125" s="31" t="n">
        <x:v>46183</x:v>
      </x:c>
      <x:c r="C125" s="31" t="inlineStr">
        <x:is>
          <x:t xml:space="preserve">День</x:t>
        </x:is>
      </x:c>
      <x:c r="D125" s="31" t="inlineStr">
        <x:is>
          <x:t xml:space="preserve">ПЗ-00153</x:t>
        </x:is>
      </x:c>
      <x:c r="E125" s="31" t="inlineStr">
        <x:is>
          <x:t xml:space="preserve">ОП-001270</x:t>
        </x:is>
      </x:c>
      <x:c r="F125" s="31" t="n"/>
      <x:c r="G125" s="31" t="inlineStr">
        <x:is>
          <x:t xml:space="preserve">СОТР-019</x:t>
        </x:is>
      </x:c>
      <x:c r="H125" s="31" t="inlineStr">
        <x:is>
          <x:t xml:space="preserve">Инженерный отдел</x:t>
        </x:is>
      </x:c>
      <x:c r="I125" s="31" t="n">
        <x:v>3</x:v>
      </x:c>
      <x:c r="J125" s="31" t="n">
        <x:v>2</x:v>
      </x:c>
      <x:c r="K125" s="31" t="n">
        <x:v>82</x:v>
      </x:c>
      <x:c r="L125" s="31" t="n">
        <x:v>66.40000000000001</x:v>
      </x:c>
      <x:c r="M125" s="31" t="n">
        <x:v>0</x:v>
      </x:c>
      <x:c r="N125" s="31" t="inlineStr">
        <x:is>
          <x:t xml:space="preserve">Нет</x:t>
        </x:is>
      </x:c>
      <x:c r="O125" s="31" t="inlineStr">
        <x:is>
          <x:t xml:space="preserve">Черновик</x:t>
        </x:is>
      </x:c>
      <x:c r="P125" s="31" t="inlineStr">
        <x:is>
          <x:t xml:space="preserve">Комментарий смены 134</x:t>
        </x:is>
      </x:c>
    </x:row>
    <x:row r="126" ht="18" customHeight="1">
      <x:c r="A126" s="31" t="inlineStr">
        <x:is>
          <x:t xml:space="preserve">СМ-00135</x:t>
        </x:is>
      </x:c>
      <x:c r="B126" s="31" t="n">
        <x:v>46151</x:v>
      </x:c>
      <x:c r="C126" s="31" t="inlineStr">
        <x:is>
          <x:t xml:space="preserve">День</x:t>
        </x:is>
      </x:c>
      <x:c r="D126" s="31" t="inlineStr">
        <x:is>
          <x:t xml:space="preserve">ПЗ-00186</x:t>
        </x:is>
      </x:c>
      <x:c r="E126" s="31" t="inlineStr">
        <x:is>
          <x:t xml:space="preserve">ОП-001547</x:t>
        </x:is>
      </x:c>
      <x:c r="F126" s="31" t="inlineStr">
        <x:is>
          <x:t xml:space="preserve">ОБ-019</x:t>
        </x:is>
      </x:c>
      <x:c r="G126" s="31" t="inlineStr">
        <x:is>
          <x:t xml:space="preserve">СОТР-064</x:t>
        </x:is>
      </x:c>
      <x:c r="H126" s="31" t="inlineStr">
        <x:is>
          <x:t xml:space="preserve">Сварка</x:t>
        </x:is>
      </x:c>
      <x:c r="I126" s="31" t="n">
        <x:v>3</x:v>
      </x:c>
      <x:c r="J126" s="31" t="n">
        <x:v>4</x:v>
      </x:c>
      <x:c r="K126" s="31" t="n">
        <x:v>17.5</x:v>
      </x:c>
      <x:c r="L126" s="31" t="n">
        <x:v>19.8</x:v>
      </x:c>
      <x:c r="M126" s="31" t="n">
        <x:v>60</x:v>
      </x:c>
      <x:c r="N126" s="31" t="inlineStr">
        <x:is>
          <x:t xml:space="preserve">Переналадка</x:t>
        </x:is>
      </x:c>
      <x:c r="O126" s="31" t="inlineStr">
        <x:is>
          <x:t xml:space="preserve">Подтверждено мастером</x:t>
        </x:is>
      </x:c>
      <x:c r="P126" s="31" t="inlineStr">
        <x:is>
          <x:t xml:space="preserve">Комментарий смены 135</x:t>
        </x:is>
      </x:c>
    </x:row>
    <x:row r="127" ht="18" customHeight="1">
      <x:c r="A127" s="31" t="inlineStr">
        <x:is>
          <x:t xml:space="preserve">СМ-00136</x:t>
        </x:is>
      </x:c>
      <x:c r="B127" s="31" t="n">
        <x:v>46069</x:v>
      </x:c>
      <x:c r="C127" s="31" t="inlineStr">
        <x:is>
          <x:t xml:space="preserve">День</x:t>
        </x:is>
      </x:c>
      <x:c r="D127" s="31" t="inlineStr">
        <x:is>
          <x:t xml:space="preserve">ПЗ-00048</x:t>
        </x:is>
      </x:c>
      <x:c r="E127" s="31" t="inlineStr">
        <x:is>
          <x:t xml:space="preserve">ОП-000399</x:t>
        </x:is>
      </x:c>
      <x:c r="F127" s="31" t="inlineStr">
        <x:is>
          <x:t xml:space="preserve">ОБ-011</x:t>
        </x:is>
      </x:c>
      <x:c r="G127" s="31" t="inlineStr">
        <x:is>
          <x:t xml:space="preserve">СОТР-036</x:t>
        </x:is>
      </x:c>
      <x:c r="H127" s="31" t="inlineStr">
        <x:is>
          <x:t xml:space="preserve">Склад</x:t>
        </x:is>
      </x:c>
      <x:c r="I127" s="31" t="n">
        <x:v>11</x:v>
      </x:c>
      <x:c r="J127" s="31" t="n">
        <x:v>12</x:v>
      </x:c>
      <x:c r="K127" s="31" t="n">
        <x:v>54.6</x:v>
      </x:c>
      <x:c r="L127" s="31" t="n">
        <x:v>28.4</x:v>
      </x:c>
      <x:c r="M127" s="31" t="n">
        <x:v>0</x:v>
      </x:c>
      <x:c r="N127" s="31" t="inlineStr">
        <x:is>
          <x:t xml:space="preserve">Нет</x:t>
        </x:is>
      </x:c>
      <x:c r="O127" s="31" t="inlineStr">
        <x:is>
          <x:t xml:space="preserve">Черновик</x:t>
        </x:is>
      </x:c>
      <x:c r="P127" s="31" t="inlineStr">
        <x:is>
          <x:t xml:space="preserve">Комментарий смены 136</x:t>
        </x:is>
      </x:c>
    </x:row>
    <x:row r="128" ht="18" customHeight="1">
      <x:c r="A128" s="31" t="inlineStr">
        <x:is>
          <x:t xml:space="preserve">СМ-00137</x:t>
        </x:is>
      </x:c>
      <x:c r="B128" s="31" t="n">
        <x:v>46109</x:v>
      </x:c>
      <x:c r="C128" s="31" t="inlineStr">
        <x:is>
          <x:t xml:space="preserve">Вечер</x:t>
        </x:is>
      </x:c>
      <x:c r="D128" s="31" t="inlineStr">
        <x:is>
          <x:t xml:space="preserve">ПЗ-00192</x:t>
        </x:is>
      </x:c>
      <x:c r="E128" s="31" t="inlineStr">
        <x:is>
          <x:t xml:space="preserve">ОП-001605</x:t>
        </x:is>
      </x:c>
      <x:c r="F128" s="31" t="inlineStr">
        <x:is>
          <x:t xml:space="preserve">ОБ-014</x:t>
        </x:is>
      </x:c>
      <x:c r="G128" s="31" t="inlineStr">
        <x:is>
          <x:t xml:space="preserve">СОТР-091</x:t>
        </x:is>
      </x:c>
      <x:c r="H128" s="31" t="inlineStr">
        <x:is>
          <x:t xml:space="preserve">Сборка</x:t>
        </x:is>
      </x:c>
      <x:c r="I128" s="31" t="n">
        <x:v>1</x:v>
      </x:c>
      <x:c r="J128" s="31" t="n">
        <x:v>0</x:v>
      </x:c>
      <x:c r="K128" s="31" t="n">
        <x:v>14.9</x:v>
      </x:c>
      <x:c r="L128" s="31" t="n">
        <x:v>14.5</x:v>
      </x:c>
      <x:c r="M128" s="31" t="n">
        <x:v>30</x:v>
      </x:c>
      <x:c r="N128" s="31" t="inlineStr">
        <x:is>
          <x:t xml:space="preserve">Нет оператора</x:t>
        </x:is>
      </x:c>
      <x:c r="O128" s="31" t="inlineStr">
        <x:is>
          <x:t xml:space="preserve">Подтверждено мастером</x:t>
        </x:is>
      </x:c>
      <x:c r="P128" s="31" t="inlineStr">
        <x:is>
          <x:t xml:space="preserve">Комментарий смены 137</x:t>
        </x:is>
      </x:c>
    </x:row>
    <x:row r="129" ht="18" customHeight="1">
      <x:c r="A129" s="31" t="inlineStr">
        <x:is>
          <x:t xml:space="preserve">СМ-00138</x:t>
        </x:is>
      </x:c>
      <x:c r="B129" s="31" t="n">
        <x:v>46100</x:v>
      </x:c>
      <x:c r="C129" s="31" t="inlineStr">
        <x:is>
          <x:t xml:space="preserve">Ночь</x:t>
        </x:is>
      </x:c>
      <x:c r="D129" s="31" t="inlineStr">
        <x:is>
          <x:t xml:space="preserve">ПЗ-00105</x:t>
        </x:is>
      </x:c>
      <x:c r="E129" s="31" t="inlineStr">
        <x:is>
          <x:t xml:space="preserve">ОП-000879</x:t>
        </x:is>
      </x:c>
      <x:c r="F129" s="31" t="inlineStr">
        <x:is>
          <x:t xml:space="preserve">ОБ-017</x:t>
        </x:is>
      </x:c>
      <x:c r="G129" s="31" t="inlineStr">
        <x:is>
          <x:t xml:space="preserve">СОТР-083</x:t>
        </x:is>
      </x:c>
      <x:c r="H129" s="31" t="inlineStr">
        <x:is>
          <x:t xml:space="preserve">Сборка</x:t>
        </x:is>
      </x:c>
      <x:c r="I129" s="31" t="n">
        <x:v>1</x:v>
      </x:c>
      <x:c r="J129" s="31" t="n">
        <x:v>1</x:v>
      </x:c>
      <x:c r="K129" s="31" t="n">
        <x:v>2.1</x:v>
      </x:c>
      <x:c r="L129" s="31" t="n">
        <x:v>2.5</x:v>
      </x:c>
      <x:c r="M129" s="31" t="n">
        <x:v>120</x:v>
      </x:c>
      <x:c r="N129" s="31" t="inlineStr">
        <x:is>
          <x:t xml:space="preserve">Ожидание материала</x:t>
        </x:is>
      </x:c>
      <x:c r="O129" s="31" t="inlineStr">
        <x:is>
          <x:t xml:space="preserve">Подтверждено мастером</x:t>
        </x:is>
      </x:c>
      <x:c r="P129" s="31" t="inlineStr">
        <x:is>
          <x:t xml:space="preserve">Комментарий смены 138</x:t>
        </x:is>
      </x:c>
    </x:row>
    <x:row r="130" ht="18" customHeight="1">
      <x:c r="A130" s="31" t="inlineStr">
        <x:is>
          <x:t xml:space="preserve">СМ-00139</x:t>
        </x:is>
      </x:c>
      <x:c r="B130" s="31" t="n">
        <x:v>46160</x:v>
      </x:c>
      <x:c r="C130" s="31" t="inlineStr">
        <x:is>
          <x:t xml:space="preserve">Ночь</x:t>
        </x:is>
      </x:c>
      <x:c r="D130" s="31" t="inlineStr">
        <x:is>
          <x:t xml:space="preserve">ПЗ-00007</x:t>
        </x:is>
      </x:c>
      <x:c r="E130" s="31" t="inlineStr">
        <x:is>
          <x:t xml:space="preserve">ОП-000055</x:t>
        </x:is>
      </x:c>
      <x:c r="F130" s="31" t="inlineStr">
        <x:is>
          <x:t xml:space="preserve">ОБ-014</x:t>
        </x:is>
      </x:c>
      <x:c r="G130" s="31" t="inlineStr">
        <x:is>
          <x:t xml:space="preserve">СОТР-081</x:t>
        </x:is>
      </x:c>
      <x:c r="H130" s="31" t="inlineStr">
        <x:is>
          <x:t xml:space="preserve">Сборка</x:t>
        </x:is>
      </x:c>
      <x:c r="I130" s="31" t="n">
        <x:v>3</x:v>
      </x:c>
      <x:c r="J130" s="31" t="n">
        <x:v>3</x:v>
      </x:c>
      <x:c r="K130" s="31" t="n">
        <x:v>87</x:v>
      </x:c>
      <x:c r="L130" s="31" t="n">
        <x:v>113.2</x:v>
      </x:c>
      <x:c r="M130" s="31" t="n">
        <x:v>30</x:v>
      </x:c>
      <x:c r="N130" s="31" t="inlineStr">
        <x:is>
          <x:t xml:space="preserve">Переналадка</x:t>
        </x:is>
      </x:c>
      <x:c r="O130" s="31" t="inlineStr">
        <x:is>
          <x:t xml:space="preserve">Подтверждено мастером</x:t>
        </x:is>
      </x:c>
      <x:c r="P130" s="31" t="inlineStr">
        <x:is>
          <x:t xml:space="preserve">Комментарий смены 139</x:t>
        </x:is>
      </x:c>
    </x:row>
    <x:row r="131" ht="18" customHeight="1">
      <x:c r="A131" s="31" t="inlineStr">
        <x:is>
          <x:t xml:space="preserve">СМ-00140</x:t>
        </x:is>
      </x:c>
      <x:c r="B131" s="31" t="n">
        <x:v>46095</x:v>
      </x:c>
      <x:c r="C131" s="31" t="inlineStr">
        <x:is>
          <x:t xml:space="preserve">Ночь</x:t>
        </x:is>
      </x:c>
      <x:c r="D131" s="31" t="inlineStr">
        <x:is>
          <x:t xml:space="preserve">ПЗ-00099</x:t>
        </x:is>
      </x:c>
      <x:c r="E131" s="31" t="inlineStr">
        <x:is>
          <x:t xml:space="preserve">ОП-000829</x:t>
        </x:is>
      </x:c>
      <x:c r="F131" s="31" t="n"/>
      <x:c r="G131" s="31" t="inlineStr">
        <x:is>
          <x:t xml:space="preserve">СОТР-011</x:t>
        </x:is>
      </x:c>
      <x:c r="H131" s="31" t="inlineStr">
        <x:is>
          <x:t xml:space="preserve">Инженерный отдел</x:t>
        </x:is>
      </x:c>
      <x:c r="I131" s="31" t="n">
        <x:v>1</x:v>
      </x:c>
      <x:c r="J131" s="31" t="n">
        <x:v>0</x:v>
      </x:c>
      <x:c r="K131" s="31" t="n">
        <x:v>7.5</x:v>
      </x:c>
      <x:c r="L131" s="31" t="n">
        <x:v>7.1</x:v>
      </x:c>
      <x:c r="M131" s="31" t="n">
        <x:v>15</x:v>
      </x:c>
      <x:c r="N131" s="31" t="inlineStr">
        <x:is>
          <x:t xml:space="preserve">Переналадка</x:t>
        </x:is>
      </x:c>
      <x:c r="O131" s="31" t="inlineStr">
        <x:is>
          <x:t xml:space="preserve">Подтверждено мастером</x:t>
        </x:is>
      </x:c>
      <x:c r="P131" s="31" t="inlineStr">
        <x:is>
          <x:t xml:space="preserve">Комментарий смены 140</x:t>
        </x:is>
      </x:c>
    </x:row>
    <x:row r="132" ht="18" customHeight="1">
      <x:c r="A132" s="31" t="inlineStr">
        <x:is>
          <x:t xml:space="preserve">СМ-00141</x:t>
        </x:is>
      </x:c>
      <x:c r="B132" s="31" t="n">
        <x:v>46149</x:v>
      </x:c>
      <x:c r="C132" s="31" t="inlineStr">
        <x:is>
          <x:t xml:space="preserve">Ночь</x:t>
        </x:is>
      </x:c>
      <x:c r="D132" s="31" t="inlineStr">
        <x:is>
          <x:t xml:space="preserve">ПЗ-00138</x:t>
        </x:is>
      </x:c>
      <x:c r="E132" s="31" t="inlineStr">
        <x:is>
          <x:t xml:space="preserve">ОП-001156</x:t>
        </x:is>
      </x:c>
      <x:c r="F132" s="31" t="inlineStr">
        <x:is>
          <x:t xml:space="preserve">ОБ-012</x:t>
        </x:is>
      </x:c>
      <x:c r="G132" s="31" t="inlineStr">
        <x:is>
          <x:t xml:space="preserve">СОТР-090</x:t>
        </x:is>
      </x:c>
      <x:c r="H132" s="31" t="inlineStr">
        <x:is>
          <x:t xml:space="preserve">Сборка</x:t>
        </x:is>
      </x:c>
      <x:c r="I132" s="31" t="n">
        <x:v>1</x:v>
      </x:c>
      <x:c r="J132" s="31" t="n">
        <x:v>1</x:v>
      </x:c>
      <x:c r="K132" s="31" t="n">
        <x:v>40.5</x:v>
      </x:c>
      <x:c r="L132" s="31" t="n">
        <x:v>36.3</x:v>
      </x:c>
      <x:c r="M132" s="31" t="n">
        <x:v>15</x:v>
      </x:c>
      <x:c r="N132" s="31" t="inlineStr">
        <x:is>
          <x:t xml:space="preserve">Переналадка</x:t>
        </x:is>
      </x:c>
      <x:c r="O132" s="31" t="inlineStr">
        <x:is>
          <x:t xml:space="preserve">Подтверждено мастером</x:t>
        </x:is>
      </x:c>
      <x:c r="P132" s="31" t="inlineStr">
        <x:is>
          <x:t xml:space="preserve">Комментарий смены 141</x:t>
        </x:is>
      </x:c>
    </x:row>
    <x:row r="133" ht="18" customHeight="1">
      <x:c r="A133" s="31" t="inlineStr">
        <x:is>
          <x:t xml:space="preserve">СМ-00142</x:t>
        </x:is>
      </x:c>
      <x:c r="B133" s="31" t="n">
        <x:v>46196</x:v>
      </x:c>
      <x:c r="C133" s="31" t="inlineStr">
        <x:is>
          <x:t xml:space="preserve">День</x:t>
        </x:is>
      </x:c>
      <x:c r="D133" s="31" t="inlineStr">
        <x:is>
          <x:t xml:space="preserve">ПЗ-00122</x:t>
        </x:is>
      </x:c>
      <x:c r="E133" s="31" t="inlineStr">
        <x:is>
          <x:t xml:space="preserve">ОП-001019</x:t>
        </x:is>
      </x:c>
      <x:c r="F133" s="31" t="inlineStr">
        <x:is>
          <x:t xml:space="preserve">ОБ-025</x:t>
        </x:is>
      </x:c>
      <x:c r="G133" s="31" t="inlineStr">
        <x:is>
          <x:t xml:space="preserve">СОТР-039</x:t>
        </x:is>
      </x:c>
      <x:c r="H133" s="31" t="inlineStr">
        <x:is>
          <x:t xml:space="preserve">Склад</x:t>
        </x:is>
      </x:c>
      <x:c r="I133" s="31" t="n">
        <x:v>1</x:v>
      </x:c>
      <x:c r="J133" s="31" t="n">
        <x:v>1</x:v>
      </x:c>
      <x:c r="K133" s="31" t="n">
        <x:v>4.6</x:v>
      </x:c>
      <x:c r="L133" s="31" t="n">
        <x:v>4.2</x:v>
      </x:c>
      <x:c r="M133" s="31" t="n">
        <x:v>60</x:v>
      </x:c>
      <x:c r="N133" s="31" t="inlineStr">
        <x:is>
          <x:t xml:space="preserve">Нет оператора</x:t>
        </x:is>
      </x:c>
      <x:c r="O133" s="31" t="inlineStr">
        <x:is>
          <x:t xml:space="preserve">Закрыто</x:t>
        </x:is>
      </x:c>
      <x:c r="P133" s="31" t="inlineStr">
        <x:is>
          <x:t xml:space="preserve">Комментарий смены 142</x:t>
        </x:is>
      </x:c>
    </x:row>
    <x:row r="134" ht="18" customHeight="1">
      <x:c r="A134" s="31" t="inlineStr">
        <x:is>
          <x:t xml:space="preserve">СМ-00143</x:t>
        </x:is>
      </x:c>
      <x:c r="B134" s="31" t="n">
        <x:v>46118</x:v>
      </x:c>
      <x:c r="C134" s="31" t="inlineStr">
        <x:is>
          <x:t xml:space="preserve">Вечер</x:t>
        </x:is>
      </x:c>
      <x:c r="D134" s="31" t="inlineStr">
        <x:is>
          <x:t xml:space="preserve">ПЗ-00108</x:t>
        </x:is>
      </x:c>
      <x:c r="E134" s="31" t="inlineStr">
        <x:is>
          <x:t xml:space="preserve">ОП-000901</x:t>
        </x:is>
      </x:c>
      <x:c r="F134" s="31" t="inlineStr">
        <x:is>
          <x:t xml:space="preserve">ОБ-008</x:t>
        </x:is>
      </x:c>
      <x:c r="G134" s="31" t="inlineStr">
        <x:is>
          <x:t xml:space="preserve">СОТР-033</x:t>
        </x:is>
      </x:c>
      <x:c r="H134" s="31" t="inlineStr">
        <x:is>
          <x:t xml:space="preserve">Склад</x:t>
        </x:is>
      </x:c>
      <x:c r="I134" s="31" t="n">
        <x:v>2</x:v>
      </x:c>
      <x:c r="J134" s="31" t="n">
        <x:v>2</x:v>
      </x:c>
      <x:c r="K134" s="31" t="n">
        <x:v>5.1</x:v>
      </x:c>
      <x:c r="L134" s="31" t="n">
        <x:v>4.7</x:v>
      </x:c>
      <x:c r="M134" s="31" t="n">
        <x:v>120</x:v>
      </x:c>
      <x:c r="N134" s="31" t="inlineStr">
        <x:is>
          <x:t xml:space="preserve">Ожидание ОТК</x:t>
        </x:is>
      </x:c>
      <x:c r="O134" s="31" t="inlineStr">
        <x:is>
          <x:t xml:space="preserve">Подтверждено мастером</x:t>
        </x:is>
      </x:c>
      <x:c r="P134" s="31" t="inlineStr">
        <x:is>
          <x:t xml:space="preserve">Комментарий смены 143</x:t>
        </x:is>
      </x:c>
    </x:row>
    <x:row r="135" ht="18" customHeight="1">
      <x:c r="A135" s="31" t="inlineStr">
        <x:is>
          <x:t xml:space="preserve">СМ-00144</x:t>
        </x:is>
      </x:c>
      <x:c r="B135" s="31" t="n">
        <x:v>46163</x:v>
      </x:c>
      <x:c r="C135" s="31" t="inlineStr">
        <x:is>
          <x:t xml:space="preserve">День</x:t>
        </x:is>
      </x:c>
      <x:c r="D135" s="31" t="inlineStr">
        <x:is>
          <x:t xml:space="preserve">ПЗ-00028</x:t>
        </x:is>
      </x:c>
      <x:c r="E135" s="31" t="inlineStr">
        <x:is>
          <x:t xml:space="preserve">ОП-000244</x:t>
        </x:is>
      </x:c>
      <x:c r="F135" s="31" t="inlineStr">
        <x:is>
          <x:t xml:space="preserve">ОБ-032</x:t>
        </x:is>
      </x:c>
      <x:c r="G135" s="31" t="inlineStr">
        <x:is>
          <x:t xml:space="preserve">СОТР-097</x:t>
        </x:is>
      </x:c>
      <x:c r="H135" s="31" t="inlineStr">
        <x:is>
          <x:t xml:space="preserve">ОТК</x:t>
        </x:is>
      </x:c>
      <x:c r="I135" s="31" t="n">
        <x:v>1</x:v>
      </x:c>
      <x:c r="J135" s="31" t="n">
        <x:v>1</x:v>
      </x:c>
      <x:c r="K135" s="31" t="n">
        <x:v>49.5</x:v>
      </x:c>
      <x:c r="L135" s="31" t="n">
        <x:v>57.9</x:v>
      </x:c>
      <x:c r="M135" s="31" t="n">
        <x:v>0</x:v>
      </x:c>
      <x:c r="N135" s="31" t="inlineStr">
        <x:is>
          <x:t xml:space="preserve">Нет</x:t>
        </x:is>
      </x:c>
      <x:c r="O135" s="31" t="inlineStr">
        <x:is>
          <x:t xml:space="preserve">Спорный факт</x:t>
        </x:is>
      </x:c>
      <x:c r="P135" s="31" t="inlineStr">
        <x:is>
          <x:t xml:space="preserve">Комментарий смены 144</x:t>
        </x:is>
      </x:c>
    </x:row>
    <x:row r="136" ht="18" customHeight="1">
      <x:c r="A136" s="31" t="inlineStr">
        <x:is>
          <x:t xml:space="preserve">СМ-00145</x:t>
        </x:is>
      </x:c>
      <x:c r="B136" s="31" t="n">
        <x:v>46103</x:v>
      </x:c>
      <x:c r="C136" s="31" t="inlineStr">
        <x:is>
          <x:t xml:space="preserve">День</x:t>
        </x:is>
      </x:c>
      <x:c r="D136" s="31" t="inlineStr">
        <x:is>
          <x:t xml:space="preserve">ПЗ-00014</x:t>
        </x:is>
      </x:c>
      <x:c r="E136" s="31" t="inlineStr">
        <x:is>
          <x:t xml:space="preserve">ОП-000113</x:t>
        </x:is>
      </x:c>
      <x:c r="F136" s="31" t="inlineStr">
        <x:is>
          <x:t xml:space="preserve">ОБ-020</x:t>
        </x:is>
      </x:c>
      <x:c r="G136" s="31" t="inlineStr">
        <x:is>
          <x:t xml:space="preserve">СОТР-073</x:t>
        </x:is>
      </x:c>
      <x:c r="H136" s="31" t="inlineStr">
        <x:is>
          <x:t xml:space="preserve">Сборка</x:t>
        </x:is>
      </x:c>
      <x:c r="I136" s="31" t="n">
        <x:v>1</x:v>
      </x:c>
      <x:c r="J136" s="31" t="n">
        <x:v>1</x:v>
      </x:c>
      <x:c r="K136" s="31" t="n">
        <x:v>24.4</x:v>
      </x:c>
      <x:c r="L136" s="31" t="n">
        <x:v>22.5</x:v>
      </x:c>
      <x:c r="M136" s="31" t="n">
        <x:v>15</x:v>
      </x:c>
      <x:c r="N136" s="31" t="inlineStr">
        <x:is>
          <x:t xml:space="preserve">Ремонт оборудования</x:t>
        </x:is>
      </x:c>
      <x:c r="O136" s="31" t="inlineStr">
        <x:is>
          <x:t xml:space="preserve">Черновик</x:t>
        </x:is>
      </x:c>
      <x:c r="P136" s="31" t="inlineStr">
        <x:is>
          <x:t xml:space="preserve">Комментарий смены 145</x:t>
        </x:is>
      </x:c>
    </x:row>
    <x:row r="137" ht="18" customHeight="1">
      <x:c r="A137" s="31" t="inlineStr">
        <x:is>
          <x:t xml:space="preserve">СМ-00146</x:t>
        </x:is>
      </x:c>
      <x:c r="B137" s="31" t="n">
        <x:v>46157</x:v>
      </x:c>
      <x:c r="C137" s="31" t="inlineStr">
        <x:is>
          <x:t xml:space="preserve">Ночь</x:t>
        </x:is>
      </x:c>
      <x:c r="D137" s="31" t="inlineStr">
        <x:is>
          <x:t xml:space="preserve">ПЗ-00015</x:t>
        </x:is>
      </x:c>
      <x:c r="E137" s="31" t="inlineStr">
        <x:is>
          <x:t xml:space="preserve">ОП-000123</x:t>
        </x:is>
      </x:c>
      <x:c r="F137" s="31" t="inlineStr">
        <x:is>
          <x:t xml:space="preserve">ОБ-004</x:t>
        </x:is>
      </x:c>
      <x:c r="G137" s="31" t="inlineStr">
        <x:is>
          <x:t xml:space="preserve">СОТР-056</x:t>
        </x:is>
      </x:c>
      <x:c r="H137" s="31" t="inlineStr">
        <x:is>
          <x:t xml:space="preserve">Сварка</x:t>
        </x:is>
      </x:c>
      <x:c r="I137" s="31" t="n">
        <x:v>4</x:v>
      </x:c>
      <x:c r="J137" s="31" t="n">
        <x:v>0</x:v>
      </x:c>
      <x:c r="K137" s="31" t="n">
        <x:v>4.4</x:v>
      </x:c>
      <x:c r="L137" s="31" t="n">
        <x:v>2.9</x:v>
      </x:c>
      <x:c r="M137" s="31" t="n">
        <x:v>90</x:v>
      </x:c>
      <x:c r="N137" s="31" t="inlineStr">
        <x:is>
          <x:t xml:space="preserve">Ремонт оборудования</x:t>
        </x:is>
      </x:c>
      <x:c r="O137" s="31" t="inlineStr">
        <x:is>
          <x:t xml:space="preserve">Подтверждено мастером</x:t>
        </x:is>
      </x:c>
      <x:c r="P137" s="31" t="inlineStr">
        <x:is>
          <x:t xml:space="preserve">Комментарий смены 146</x:t>
        </x:is>
      </x:c>
    </x:row>
    <x:row r="138" ht="18" customHeight="1">
      <x:c r="A138" s="31" t="inlineStr">
        <x:is>
          <x:t xml:space="preserve">СМ-00147</x:t>
        </x:is>
      </x:c>
      <x:c r="B138" s="31" t="n">
        <x:v>46132</x:v>
      </x:c>
      <x:c r="C138" s="31" t="inlineStr">
        <x:is>
          <x:t xml:space="preserve">День</x:t>
        </x:is>
      </x:c>
      <x:c r="D138" s="31" t="inlineStr">
        <x:is>
          <x:t xml:space="preserve">ПЗ-00260</x:t>
        </x:is>
      </x:c>
      <x:c r="E138" s="31" t="inlineStr">
        <x:is>
          <x:t xml:space="preserve">ОП-002162</x:t>
        </x:is>
      </x:c>
      <x:c r="F138" s="31" t="inlineStr">
        <x:is>
          <x:t xml:space="preserve">ОБ-034</x:t>
        </x:is>
      </x:c>
      <x:c r="G138" s="31" t="inlineStr">
        <x:is>
          <x:t xml:space="preserve">СОТР-083</x:t>
        </x:is>
      </x:c>
      <x:c r="H138" s="31" t="inlineStr">
        <x:is>
          <x:t xml:space="preserve">Сборка</x:t>
        </x:is>
      </x:c>
      <x:c r="I138" s="31" t="n">
        <x:v>1</x:v>
      </x:c>
      <x:c r="J138" s="31" t="n">
        <x:v>1</x:v>
      </x:c>
      <x:c r="K138" s="31" t="n">
        <x:v>16.2</x:v>
      </x:c>
      <x:c r="L138" s="31" t="n">
        <x:v>20.9</x:v>
      </x:c>
      <x:c r="M138" s="31" t="n">
        <x:v>90</x:v>
      </x:c>
      <x:c r="N138" s="31" t="inlineStr">
        <x:is>
          <x:t xml:space="preserve">Ожидание материала</x:t>
        </x:is>
      </x:c>
      <x:c r="O138" s="31" t="inlineStr">
        <x:is>
          <x:t xml:space="preserve">Подтверждено мастером</x:t>
        </x:is>
      </x:c>
      <x:c r="P138" s="31" t="inlineStr">
        <x:is>
          <x:t xml:space="preserve">Комментарий смены 147</x:t>
        </x:is>
      </x:c>
    </x:row>
    <x:row r="139" ht="18" customHeight="1">
      <x:c r="A139" s="31" t="inlineStr">
        <x:is>
          <x:t xml:space="preserve">СМ-00148</x:t>
        </x:is>
      </x:c>
      <x:c r="B139" s="31" t="n">
        <x:v>46045</x:v>
      </x:c>
      <x:c r="C139" s="31" t="inlineStr">
        <x:is>
          <x:t xml:space="preserve">Ночь</x:t>
        </x:is>
      </x:c>
      <x:c r="D139" s="31" t="inlineStr">
        <x:is>
          <x:t xml:space="preserve">ПЗ-00143</x:t>
        </x:is>
      </x:c>
      <x:c r="E139" s="31" t="inlineStr">
        <x:is>
          <x:t xml:space="preserve">ОП-001193</x:t>
        </x:is>
      </x:c>
      <x:c r="F139" s="31" t="inlineStr">
        <x:is>
          <x:t xml:space="preserve">ОБ-011</x:t>
        </x:is>
      </x:c>
      <x:c r="G139" s="31" t="inlineStr">
        <x:is>
          <x:t xml:space="preserve">СОТР-033</x:t>
        </x:is>
      </x:c>
      <x:c r="H139" s="31" t="inlineStr">
        <x:is>
          <x:t xml:space="preserve">Склад</x:t>
        </x:is>
      </x:c>
      <x:c r="I139" s="31" t="n">
        <x:v>8</x:v>
      </x:c>
      <x:c r="J139" s="31" t="n">
        <x:v>8</x:v>
      </x:c>
      <x:c r="K139" s="31" t="n">
        <x:v>53.9</x:v>
      </x:c>
      <x:c r="L139" s="31" t="n">
        <x:v>45.2</x:v>
      </x:c>
      <x:c r="M139" s="31" t="n">
        <x:v>15</x:v>
      </x:c>
      <x:c r="N139" s="31" t="inlineStr">
        <x:is>
          <x:t xml:space="preserve">Ожидание материала</x:t>
        </x:is>
      </x:c>
      <x:c r="O139" s="31" t="inlineStr">
        <x:is>
          <x:t xml:space="preserve">Подтверждено мастером</x:t>
        </x:is>
      </x:c>
      <x:c r="P139" s="31" t="inlineStr">
        <x:is>
          <x:t xml:space="preserve">Комментарий смены 148</x:t>
        </x:is>
      </x:c>
    </x:row>
    <x:row r="140" ht="18" customHeight="1">
      <x:c r="A140" s="31" t="inlineStr">
        <x:is>
          <x:t xml:space="preserve">СМ-00149</x:t>
        </x:is>
      </x:c>
      <x:c r="B140" s="31" t="n">
        <x:v>46116</x:v>
      </x:c>
      <x:c r="C140" s="31" t="inlineStr">
        <x:is>
          <x:t xml:space="preserve">День</x:t>
        </x:is>
      </x:c>
      <x:c r="D140" s="31" t="inlineStr">
        <x:is>
          <x:t xml:space="preserve">ПЗ-00109</x:t>
        </x:is>
      </x:c>
      <x:c r="E140" s="31" t="inlineStr">
        <x:is>
          <x:t xml:space="preserve">ОП-000916</x:t>
        </x:is>
      </x:c>
      <x:c r="F140" s="31" t="inlineStr">
        <x:is>
          <x:t xml:space="preserve">ОБ-002</x:t>
        </x:is>
      </x:c>
      <x:c r="G140" s="31" t="inlineStr">
        <x:is>
          <x:t xml:space="preserve">СОТР-081</x:t>
        </x:is>
      </x:c>
      <x:c r="H140" s="31" t="inlineStr">
        <x:is>
          <x:t xml:space="preserve">Сборка</x:t>
        </x:is>
      </x:c>
      <x:c r="I140" s="31" t="n">
        <x:v>1</x:v>
      </x:c>
      <x:c r="J140" s="31" t="n">
        <x:v>0</x:v>
      </x:c>
      <x:c r="K140" s="31" t="n">
        <x:v>1.2</x:v>
      </x:c>
      <x:c r="L140" s="31" t="n">
        <x:v>0.9</x:v>
      </x:c>
      <x:c r="M140" s="31" t="n">
        <x:v>30</x:v>
      </x:c>
      <x:c r="N140" s="31" t="inlineStr">
        <x:is>
          <x:t xml:space="preserve">Переналадка</x:t>
        </x:is>
      </x:c>
      <x:c r="O140" s="31" t="inlineStr">
        <x:is>
          <x:t xml:space="preserve">Подтверждено мастером</x:t>
        </x:is>
      </x:c>
      <x:c r="P140" s="31" t="inlineStr">
        <x:is>
          <x:t xml:space="preserve">Комментарий смены 149</x:t>
        </x:is>
      </x:c>
    </x:row>
    <x:row r="141" ht="18" customHeight="1">
      <x:c r="A141" s="31" t="inlineStr">
        <x:is>
          <x:t xml:space="preserve">СМ-00150</x:t>
        </x:is>
      </x:c>
      <x:c r="B141" s="31" t="n">
        <x:v>46182</x:v>
      </x:c>
      <x:c r="C141" s="31" t="inlineStr">
        <x:is>
          <x:t xml:space="preserve">Вечер</x:t>
        </x:is>
      </x:c>
      <x:c r="D141" s="31" t="inlineStr">
        <x:is>
          <x:t xml:space="preserve">ПЗ-00155</x:t>
        </x:is>
      </x:c>
      <x:c r="E141" s="31" t="inlineStr">
        <x:is>
          <x:t xml:space="preserve">ОП-001282</x:t>
        </x:is>
      </x:c>
      <x:c r="F141" s="31" t="inlineStr">
        <x:is>
          <x:t xml:space="preserve">ОБ-026</x:t>
        </x:is>
      </x:c>
      <x:c r="G141" s="31" t="inlineStr">
        <x:is>
          <x:t xml:space="preserve">СОТР-064</x:t>
        </x:is>
      </x:c>
      <x:c r="H141" s="31" t="inlineStr">
        <x:is>
          <x:t xml:space="preserve">Сварка</x:t>
        </x:is>
      </x:c>
      <x:c r="I141" s="31" t="n">
        <x:v>1</x:v>
      </x:c>
      <x:c r="J141" s="31" t="n">
        <x:v>0</x:v>
      </x:c>
      <x:c r="K141" s="31" t="n">
        <x:v>11.4</x:v>
      </x:c>
      <x:c r="L141" s="31" t="n">
        <x:v>12.7</x:v>
      </x:c>
      <x:c r="M141" s="31" t="n">
        <x:v>90</x:v>
      </x:c>
      <x:c r="N141" s="31" t="inlineStr">
        <x:is>
          <x:t xml:space="preserve">Ожидание материала</x:t>
        </x:is>
      </x:c>
      <x:c r="O141" s="31" t="inlineStr">
        <x:is>
          <x:t xml:space="preserve">Подтверждено мастером</x:t>
        </x:is>
      </x:c>
      <x:c r="P141" s="31" t="inlineStr">
        <x:is>
          <x:t xml:space="preserve">Комментарий смены 150</x:t>
        </x:is>
      </x:c>
    </x:row>
    <x:row r="142" ht="18" customHeight="1">
      <x:c r="A142" s="31" t="inlineStr">
        <x:is>
          <x:t xml:space="preserve">СМ-00151</x:t>
        </x:is>
      </x:c>
      <x:c r="B142" s="31" t="n">
        <x:v>46116</x:v>
      </x:c>
      <x:c r="C142" s="31" t="inlineStr">
        <x:is>
          <x:t xml:space="preserve">Вечер</x:t>
        </x:is>
      </x:c>
      <x:c r="D142" s="31" t="inlineStr">
        <x:is>
          <x:t xml:space="preserve">ПЗ-00076</x:t>
        </x:is>
      </x:c>
      <x:c r="E142" s="31" t="inlineStr">
        <x:is>
          <x:t xml:space="preserve">ОП-000645</x:t>
        </x:is>
      </x:c>
      <x:c r="F142" s="31" t="inlineStr">
        <x:is>
          <x:t xml:space="preserve">ОБ-005</x:t>
        </x:is>
      </x:c>
      <x:c r="G142" s="31" t="inlineStr">
        <x:is>
          <x:t xml:space="preserve">СОТР-079</x:t>
        </x:is>
      </x:c>
      <x:c r="H142" s="31" t="inlineStr">
        <x:is>
          <x:t xml:space="preserve">Сборка</x:t>
        </x:is>
      </x:c>
      <x:c r="I142" s="31" t="n">
        <x:v>2</x:v>
      </x:c>
      <x:c r="J142" s="31" t="n">
        <x:v>2</x:v>
      </x:c>
      <x:c r="K142" s="31" t="n">
        <x:v>21.3</x:v>
      </x:c>
      <x:c r="L142" s="31" t="n">
        <x:v>24.3</x:v>
      </x:c>
      <x:c r="M142" s="31" t="n">
        <x:v>45</x:v>
      </x:c>
      <x:c r="N142" s="31" t="inlineStr">
        <x:is>
          <x:t xml:space="preserve">Нет оператора</x:t>
        </x:is>
      </x:c>
      <x:c r="O142" s="31" t="inlineStr">
        <x:is>
          <x:t xml:space="preserve">Подтверждено мастером</x:t>
        </x:is>
      </x:c>
      <x:c r="P142" s="31" t="inlineStr">
        <x:is>
          <x:t xml:space="preserve">Комментарий смены 151</x:t>
        </x:is>
      </x:c>
    </x:row>
    <x:row r="143" ht="18" customHeight="1">
      <x:c r="A143" s="31" t="inlineStr">
        <x:is>
          <x:t xml:space="preserve">СМ-00152</x:t>
        </x:is>
      </x:c>
      <x:c r="B143" s="31" t="n">
        <x:v>46178</x:v>
      </x:c>
      <x:c r="C143" s="31" t="inlineStr">
        <x:is>
          <x:t xml:space="preserve">День</x:t>
        </x:is>
      </x:c>
      <x:c r="D143" s="31" t="inlineStr">
        <x:is>
          <x:t xml:space="preserve">ПЗ-00152</x:t>
        </x:is>
      </x:c>
      <x:c r="E143" s="31" t="inlineStr">
        <x:is>
          <x:t xml:space="preserve">ОП-001259</x:t>
        </x:is>
      </x:c>
      <x:c r="F143" s="31" t="inlineStr">
        <x:is>
          <x:t xml:space="preserve">ОБ-005</x:t>
        </x:is>
      </x:c>
      <x:c r="G143" s="31" t="inlineStr">
        <x:is>
          <x:t xml:space="preserve">СОТР-073</x:t>
        </x:is>
      </x:c>
      <x:c r="H143" s="31" t="inlineStr">
        <x:is>
          <x:t xml:space="preserve">Сборка</x:t>
        </x:is>
      </x:c>
      <x:c r="I143" s="31" t="n">
        <x:v>1</x:v>
      </x:c>
      <x:c r="J143" s="31" t="n">
        <x:v>0</x:v>
      </x:c>
      <x:c r="K143" s="31" t="n">
        <x:v>27.6</x:v>
      </x:c>
      <x:c r="L143" s="31" t="n">
        <x:v>29.9</x:v>
      </x:c>
      <x:c r="M143" s="31" t="n">
        <x:v>0</x:v>
      </x:c>
      <x:c r="N143" s="31" t="inlineStr">
        <x:is>
          <x:t xml:space="preserve">Нет</x:t>
        </x:is>
      </x:c>
      <x:c r="O143" s="31" t="inlineStr">
        <x:is>
          <x:t xml:space="preserve">Подтверждено мастером</x:t>
        </x:is>
      </x:c>
      <x:c r="P143" s="31" t="inlineStr">
        <x:is>
          <x:t xml:space="preserve">Комментарий смены 152</x:t>
        </x:is>
      </x:c>
    </x:row>
    <x:row r="144" ht="18" customHeight="1">
      <x:c r="A144" s="31" t="inlineStr">
        <x:is>
          <x:t xml:space="preserve">СМ-00153</x:t>
        </x:is>
      </x:c>
      <x:c r="B144" s="31" t="n">
        <x:v>46123</x:v>
      </x:c>
      <x:c r="C144" s="31" t="inlineStr">
        <x:is>
          <x:t xml:space="preserve">День</x:t>
        </x:is>
      </x:c>
      <x:c r="D144" s="31" t="inlineStr">
        <x:is>
          <x:t xml:space="preserve">ПЗ-00110</x:t>
        </x:is>
      </x:c>
      <x:c r="E144" s="31" t="inlineStr">
        <x:is>
          <x:t xml:space="preserve">ОП-000926</x:t>
        </x:is>
      </x:c>
      <x:c r="F144" s="31" t="inlineStr">
        <x:is>
          <x:t xml:space="preserve">ОБ-005</x:t>
        </x:is>
      </x:c>
      <x:c r="G144" s="31" t="inlineStr">
        <x:is>
          <x:t xml:space="preserve">СОТР-032</x:t>
        </x:is>
      </x:c>
      <x:c r="H144" s="31" t="inlineStr">
        <x:is>
          <x:t xml:space="preserve">Сборка</x:t>
        </x:is>
      </x:c>
      <x:c r="I144" s="31" t="n">
        <x:v>3</x:v>
      </x:c>
      <x:c r="J144" s="31" t="n">
        <x:v>3</x:v>
      </x:c>
      <x:c r="K144" s="31" t="n">
        <x:v>27.9</x:v>
      </x:c>
      <x:c r="L144" s="31" t="n">
        <x:v>34.6</x:v>
      </x:c>
      <x:c r="M144" s="31" t="n">
        <x:v>0</x:v>
      </x:c>
      <x:c r="N144" s="31" t="inlineStr">
        <x:is>
          <x:t xml:space="preserve">Нет</x:t>
        </x:is>
      </x:c>
      <x:c r="O144" s="31" t="inlineStr">
        <x:is>
          <x:t xml:space="preserve">Спорный факт</x:t>
        </x:is>
      </x:c>
      <x:c r="P144" s="31" t="inlineStr">
        <x:is>
          <x:t xml:space="preserve">Комментарий смены 153</x:t>
        </x:is>
      </x:c>
    </x:row>
    <x:row r="145" ht="18" customHeight="1">
      <x:c r="A145" s="31" t="inlineStr">
        <x:is>
          <x:t xml:space="preserve">СМ-00154</x:t>
        </x:is>
      </x:c>
      <x:c r="B145" s="31" t="n">
        <x:v>46119</x:v>
      </x:c>
      <x:c r="C145" s="31" t="inlineStr">
        <x:is>
          <x:t xml:space="preserve">Ночь</x:t>
        </x:is>
      </x:c>
      <x:c r="D145" s="31" t="inlineStr">
        <x:is>
          <x:t xml:space="preserve">ПЗ-00262</x:t>
        </x:is>
      </x:c>
      <x:c r="E145" s="31" t="inlineStr">
        <x:is>
          <x:t xml:space="preserve">ОП-002180</x:t>
        </x:is>
      </x:c>
      <x:c r="F145" s="31" t="inlineStr">
        <x:is>
          <x:t xml:space="preserve">ОБ-021</x:t>
        </x:is>
      </x:c>
      <x:c r="G145" s="31" t="inlineStr">
        <x:is>
          <x:t xml:space="preserve">СОТР-068</x:t>
        </x:is>
      </x:c>
      <x:c r="H145" s="31" t="inlineStr">
        <x:is>
          <x:t xml:space="preserve">Сварка</x:t>
        </x:is>
      </x:c>
      <x:c r="I145" s="31" t="n">
        <x:v>1</x:v>
      </x:c>
      <x:c r="J145" s="31" t="n">
        <x:v>1</x:v>
      </x:c>
      <x:c r="K145" s="31" t="n">
        <x:v>5.8</x:v>
      </x:c>
      <x:c r="L145" s="31" t="n">
        <x:v>5.7</x:v>
      </x:c>
      <x:c r="M145" s="31" t="n">
        <x:v>90</x:v>
      </x:c>
      <x:c r="N145" s="31" t="inlineStr">
        <x:is>
          <x:t xml:space="preserve">Переналадка</x:t>
        </x:is>
      </x:c>
      <x:c r="O145" s="31" t="inlineStr">
        <x:is>
          <x:t xml:space="preserve">Подтверждено мастером</x:t>
        </x:is>
      </x:c>
      <x:c r="P145" s="31" t="inlineStr">
        <x:is>
          <x:t xml:space="preserve">Комментарий смены 154</x:t>
        </x:is>
      </x:c>
    </x:row>
    <x:row r="146" ht="18" customHeight="1">
      <x:c r="A146" s="31" t="inlineStr">
        <x:is>
          <x:t xml:space="preserve">СМ-00155</x:t>
        </x:is>
      </x:c>
      <x:c r="B146" s="31" t="n">
        <x:v>46160</x:v>
      </x:c>
      <x:c r="C146" s="31" t="inlineStr">
        <x:is>
          <x:t xml:space="preserve">День</x:t>
        </x:is>
      </x:c>
      <x:c r="D146" s="31" t="inlineStr">
        <x:is>
          <x:t xml:space="preserve">ПЗ-00241</x:t>
        </x:is>
      </x:c>
      <x:c r="E146" s="31" t="inlineStr">
        <x:is>
          <x:t xml:space="preserve">ОП-002015</x:t>
        </x:is>
      </x:c>
      <x:c r="F146" s="31" t="n"/>
      <x:c r="G146" s="31" t="inlineStr">
        <x:is>
          <x:t xml:space="preserve">СОТР-019</x:t>
        </x:is>
      </x:c>
      <x:c r="H146" s="31" t="inlineStr">
        <x:is>
          <x:t xml:space="preserve">Инженерный отдел</x:t>
        </x:is>
      </x:c>
      <x:c r="I146" s="31" t="n">
        <x:v>1</x:v>
      </x:c>
      <x:c r="J146" s="31" t="n">
        <x:v>1</x:v>
      </x:c>
      <x:c r="K146" s="31" t="n">
        <x:v>14.2</x:v>
      </x:c>
      <x:c r="L146" s="31" t="n">
        <x:v>15.6</x:v>
      </x:c>
      <x:c r="M146" s="31" t="n">
        <x:v>0</x:v>
      </x:c>
      <x:c r="N146" s="31" t="inlineStr">
        <x:is>
          <x:t xml:space="preserve">Нет</x:t>
        </x:is>
      </x:c>
      <x:c r="O146" s="31" t="inlineStr">
        <x:is>
          <x:t xml:space="preserve">Подтверждено мастером</x:t>
        </x:is>
      </x:c>
      <x:c r="P146" s="31" t="inlineStr">
        <x:is>
          <x:t xml:space="preserve">Комментарий смены 155</x:t>
        </x:is>
      </x:c>
    </x:row>
    <x:row r="147" ht="18" customHeight="1">
      <x:c r="A147" s="31" t="inlineStr">
        <x:is>
          <x:t xml:space="preserve">СМ-00156</x:t>
        </x:is>
      </x:c>
      <x:c r="B147" s="31" t="n">
        <x:v>46127</x:v>
      </x:c>
      <x:c r="C147" s="31" t="inlineStr">
        <x:is>
          <x:t xml:space="preserve">Ночь</x:t>
        </x:is>
      </x:c>
      <x:c r="D147" s="31" t="inlineStr">
        <x:is>
          <x:t xml:space="preserve">ПЗ-00136</x:t>
        </x:is>
      </x:c>
      <x:c r="E147" s="31" t="inlineStr">
        <x:is>
          <x:t xml:space="preserve">ОП-001139</x:t>
        </x:is>
      </x:c>
      <x:c r="F147" s="31" t="inlineStr">
        <x:is>
          <x:t xml:space="preserve">ОБ-032</x:t>
        </x:is>
      </x:c>
      <x:c r="G147" s="31" t="inlineStr">
        <x:is>
          <x:t xml:space="preserve">СОТР-096</x:t>
        </x:is>
      </x:c>
      <x:c r="H147" s="31" t="inlineStr">
        <x:is>
          <x:t xml:space="preserve">ОТК</x:t>
        </x:is>
      </x:c>
      <x:c r="I147" s="31" t="n">
        <x:v>5</x:v>
      </x:c>
      <x:c r="J147" s="31" t="n">
        <x:v>4</x:v>
      </x:c>
      <x:c r="K147" s="31" t="n">
        <x:v>120.6</x:v>
      </x:c>
      <x:c r="L147" s="31" t="n">
        <x:v>143.5</x:v>
      </x:c>
      <x:c r="M147" s="31" t="n">
        <x:v>30</x:v>
      </x:c>
      <x:c r="N147" s="31" t="inlineStr">
        <x:is>
          <x:t xml:space="preserve">Нет оператора</x:t>
        </x:is>
      </x:c>
      <x:c r="O147" s="31" t="inlineStr">
        <x:is>
          <x:t xml:space="preserve">Подтверждено мастером</x:t>
        </x:is>
      </x:c>
      <x:c r="P147" s="31" t="inlineStr">
        <x:is>
          <x:t xml:space="preserve">Комментарий смены 156</x:t>
        </x:is>
      </x:c>
    </x:row>
    <x:row r="148" ht="18" customHeight="1">
      <x:c r="A148" s="31" t="inlineStr">
        <x:is>
          <x:t xml:space="preserve">СМ-00157</x:t>
        </x:is>
      </x:c>
      <x:c r="B148" s="31" t="n">
        <x:v>46154</x:v>
      </x:c>
      <x:c r="C148" s="31" t="inlineStr">
        <x:is>
          <x:t xml:space="preserve">Ночь</x:t>
        </x:is>
      </x:c>
      <x:c r="D148" s="31" t="inlineStr">
        <x:is>
          <x:t xml:space="preserve">ПЗ-00053</x:t>
        </x:is>
      </x:c>
      <x:c r="E148" s="31" t="inlineStr">
        <x:is>
          <x:t xml:space="preserve">ОП-000436</x:t>
        </x:is>
      </x:c>
      <x:c r="F148" s="31" t="n"/>
      <x:c r="G148" s="31" t="inlineStr">
        <x:is>
          <x:t xml:space="preserve">СОТР-021</x:t>
        </x:is>
      </x:c>
      <x:c r="H148" s="31" t="inlineStr">
        <x:is>
          <x:t xml:space="preserve">Инженерный отдел</x:t>
        </x:is>
      </x:c>
      <x:c r="I148" s="31" t="n">
        <x:v>2</x:v>
      </x:c>
      <x:c r="J148" s="31" t="n">
        <x:v>3</x:v>
      </x:c>
      <x:c r="K148" s="31" t="n">
        <x:v>28.4</x:v>
      </x:c>
      <x:c r="L148" s="31" t="n">
        <x:v>37.2</x:v>
      </x:c>
      <x:c r="M148" s="31" t="n">
        <x:v>0</x:v>
      </x:c>
      <x:c r="N148" s="31" t="inlineStr">
        <x:is>
          <x:t xml:space="preserve">Нет</x:t>
        </x:is>
      </x:c>
      <x:c r="O148" s="31" t="inlineStr">
        <x:is>
          <x:t xml:space="preserve">Подтверждено мастером</x:t>
        </x:is>
      </x:c>
      <x:c r="P148" s="31" t="inlineStr">
        <x:is>
          <x:t xml:space="preserve">Комментарий смены 157</x:t>
        </x:is>
      </x:c>
    </x:row>
    <x:row r="149" ht="18" customHeight="1">
      <x:c r="A149" s="31" t="inlineStr">
        <x:is>
          <x:t xml:space="preserve">СМ-00158</x:t>
        </x:is>
      </x:c>
      <x:c r="B149" s="31" t="n">
        <x:v>46176</x:v>
      </x:c>
      <x:c r="C149" s="31" t="inlineStr">
        <x:is>
          <x:t xml:space="preserve">Вечер</x:t>
        </x:is>
      </x:c>
      <x:c r="D149" s="31" t="inlineStr">
        <x:is>
          <x:t xml:space="preserve">ПЗ-00214</x:t>
        </x:is>
      </x:c>
      <x:c r="E149" s="31" t="inlineStr">
        <x:is>
          <x:t xml:space="preserve">ОП-001793</x:t>
        </x:is>
      </x:c>
      <x:c r="F149" s="31" t="inlineStr">
        <x:is>
          <x:t xml:space="preserve">ОБ-023</x:t>
        </x:is>
      </x:c>
      <x:c r="G149" s="31" t="inlineStr">
        <x:is>
          <x:t xml:space="preserve">СОТР-034</x:t>
        </x:is>
      </x:c>
      <x:c r="H149" s="31" t="inlineStr">
        <x:is>
          <x:t xml:space="preserve">Склад</x:t>
        </x:is>
      </x:c>
      <x:c r="I149" s="31" t="n">
        <x:v>2</x:v>
      </x:c>
      <x:c r="J149" s="31" t="n">
        <x:v>2</x:v>
      </x:c>
      <x:c r="K149" s="31" t="n">
        <x:v>18.6</x:v>
      </x:c>
      <x:c r="L149" s="31" t="n">
        <x:v>14.9</x:v>
      </x:c>
      <x:c r="M149" s="31" t="n">
        <x:v>15</x:v>
      </x:c>
      <x:c r="N149" s="31" t="inlineStr">
        <x:is>
          <x:t xml:space="preserve">Ремонт оборудования</x:t>
        </x:is>
      </x:c>
      <x:c r="O149" s="31" t="inlineStr">
        <x:is>
          <x:t xml:space="preserve">Подтверждено мастером</x:t>
        </x:is>
      </x:c>
      <x:c r="P149" s="31" t="inlineStr">
        <x:is>
          <x:t xml:space="preserve">Комментарий смены 158</x:t>
        </x:is>
      </x:c>
    </x:row>
    <x:row r="150" ht="18" customHeight="1">
      <x:c r="A150" s="31" t="inlineStr">
        <x:is>
          <x:t xml:space="preserve">СМ-00159</x:t>
        </x:is>
      </x:c>
      <x:c r="B150" s="31" t="n">
        <x:v>46107</x:v>
      </x:c>
      <x:c r="C150" s="31" t="inlineStr">
        <x:is>
          <x:t xml:space="preserve">День</x:t>
        </x:is>
      </x:c>
      <x:c r="D150" s="31" t="inlineStr">
        <x:is>
          <x:t xml:space="preserve">ПЗ-00202</x:t>
        </x:is>
      </x:c>
      <x:c r="E150" s="31" t="inlineStr">
        <x:is>
          <x:t xml:space="preserve">ОП-001691</x:t>
        </x:is>
      </x:c>
      <x:c r="F150" s="31" t="inlineStr">
        <x:is>
          <x:t xml:space="preserve">ОБ-022</x:t>
        </x:is>
      </x:c>
      <x:c r="G150" s="31" t="inlineStr">
        <x:is>
          <x:t xml:space="preserve">СОТР-095</x:t>
        </x:is>
      </x:c>
      <x:c r="H150" s="31" t="inlineStr">
        <x:is>
          <x:t xml:space="preserve">ОТК</x:t>
        </x:is>
      </x:c>
      <x:c r="I150" s="31" t="n">
        <x:v>1</x:v>
      </x:c>
      <x:c r="J150" s="31" t="n">
        <x:v>1</x:v>
      </x:c>
      <x:c r="K150" s="31" t="n">
        <x:v>3.3</x:v>
      </x:c>
      <x:c r="L150" s="31" t="n">
        <x:v>3.2</x:v>
      </x:c>
      <x:c r="M150" s="31" t="n">
        <x:v>0</x:v>
      </x:c>
      <x:c r="N150" s="31" t="inlineStr">
        <x:is>
          <x:t xml:space="preserve">Нет</x:t>
        </x:is>
      </x:c>
      <x:c r="O150" s="31" t="inlineStr">
        <x:is>
          <x:t xml:space="preserve">Подтверждено мастером</x:t>
        </x:is>
      </x:c>
      <x:c r="P150" s="31" t="inlineStr">
        <x:is>
          <x:t xml:space="preserve">Комментарий смены 159</x:t>
        </x:is>
      </x:c>
    </x:row>
    <x:row r="151" ht="18" customHeight="1">
      <x:c r="A151" s="31" t="inlineStr">
        <x:is>
          <x:t xml:space="preserve">СМ-00160</x:t>
        </x:is>
      </x:c>
      <x:c r="B151" s="31" t="n">
        <x:v>46216</x:v>
      </x:c>
      <x:c r="C151" s="31" t="inlineStr">
        <x:is>
          <x:t xml:space="preserve">Вечер</x:t>
        </x:is>
      </x:c>
      <x:c r="D151" s="31" t="inlineStr">
        <x:is>
          <x:t xml:space="preserve">ПЗ-00156</x:t>
        </x:is>
      </x:c>
      <x:c r="E151" s="31" t="inlineStr">
        <x:is>
          <x:t xml:space="preserve">ОП-001287</x:t>
        </x:is>
      </x:c>
      <x:c r="F151" s="31" t="inlineStr">
        <x:is>
          <x:t xml:space="preserve">ОБ-010</x:t>
        </x:is>
      </x:c>
      <x:c r="G151" s="31" t="inlineStr">
        <x:is>
          <x:t xml:space="preserve">СОТР-062</x:t>
        </x:is>
      </x:c>
      <x:c r="H151" s="31" t="inlineStr">
        <x:is>
          <x:t xml:space="preserve">Сварка</x:t>
        </x:is>
      </x:c>
      <x:c r="I151" s="31" t="n">
        <x:v>4</x:v>
      </x:c>
      <x:c r="J151" s="31" t="n">
        <x:v>5</x:v>
      </x:c>
      <x:c r="K151" s="31" t="n">
        <x:v>46.4</x:v>
      </x:c>
      <x:c r="L151" s="31" t="n">
        <x:v>53.2</x:v>
      </x:c>
      <x:c r="M151" s="31" t="n">
        <x:v>15</x:v>
      </x:c>
      <x:c r="N151" s="31" t="inlineStr">
        <x:is>
          <x:t xml:space="preserve">Ожидание ОТК</x:t>
        </x:is>
      </x:c>
      <x:c r="O151" s="31" t="inlineStr">
        <x:is>
          <x:t xml:space="preserve">Закрыто</x:t>
        </x:is>
      </x:c>
      <x:c r="P151" s="31" t="inlineStr">
        <x:is>
          <x:t xml:space="preserve">Комментарий смены 160</x:t>
        </x:is>
      </x:c>
    </x:row>
    <x:row r="152" ht="18" customHeight="1">
      <x:c r="A152" s="31" t="inlineStr">
        <x:is>
          <x:t xml:space="preserve">СМ-00161</x:t>
        </x:is>
      </x:c>
      <x:c r="B152" s="31" t="n">
        <x:v>46068</x:v>
      </x:c>
      <x:c r="C152" s="31" t="inlineStr">
        <x:is>
          <x:t xml:space="preserve">День</x:t>
        </x:is>
      </x:c>
      <x:c r="D152" s="31" t="inlineStr">
        <x:is>
          <x:t xml:space="preserve">ПЗ-00133</x:t>
        </x:is>
      </x:c>
      <x:c r="E152" s="31" t="inlineStr">
        <x:is>
          <x:t xml:space="preserve">ОП-001112</x:t>
        </x:is>
      </x:c>
      <x:c r="F152" s="31" t="inlineStr">
        <x:is>
          <x:t xml:space="preserve">ОБ-035</x:t>
        </x:is>
      </x:c>
      <x:c r="G152" s="31" t="inlineStr">
        <x:is>
          <x:t xml:space="preserve">СОТР-061</x:t>
        </x:is>
      </x:c>
      <x:c r="H152" s="31" t="inlineStr">
        <x:is>
          <x:t xml:space="preserve">Сварка</x:t>
        </x:is>
      </x:c>
      <x:c r="I152" s="31" t="n">
        <x:v>2</x:v>
      </x:c>
      <x:c r="J152" s="31" t="n">
        <x:v>1</x:v>
      </x:c>
      <x:c r="K152" s="31" t="n">
        <x:v>17</x:v>
      </x:c>
      <x:c r="L152" s="31" t="n">
        <x:v>16.1</x:v>
      </x:c>
      <x:c r="M152" s="31" t="n">
        <x:v>60</x:v>
      </x:c>
      <x:c r="N152" s="31" t="inlineStr">
        <x:is>
          <x:t xml:space="preserve">Переналадка</x:t>
        </x:is>
      </x:c>
      <x:c r="O152" s="31" t="inlineStr">
        <x:is>
          <x:t xml:space="preserve">Подтверждено мастером</x:t>
        </x:is>
      </x:c>
      <x:c r="P152" s="31" t="inlineStr">
        <x:is>
          <x:t xml:space="preserve">Комментарий смены 161</x:t>
        </x:is>
      </x:c>
    </x:row>
    <x:row r="153" ht="18" customHeight="1">
      <x:c r="A153" s="31" t="inlineStr">
        <x:is>
          <x:t xml:space="preserve">СМ-00162</x:t>
        </x:is>
      </x:c>
      <x:c r="B153" s="31" t="n">
        <x:v>46108</x:v>
      </x:c>
      <x:c r="C153" s="31" t="inlineStr">
        <x:is>
          <x:t xml:space="preserve">Ночь</x:t>
        </x:is>
      </x:c>
      <x:c r="D153" s="31" t="inlineStr">
        <x:is>
          <x:t xml:space="preserve">ПЗ-00202</x:t>
        </x:is>
      </x:c>
      <x:c r="E153" s="31" t="inlineStr">
        <x:is>
          <x:t xml:space="preserve">ОП-001693</x:t>
        </x:is>
      </x:c>
      <x:c r="F153" s="31" t="inlineStr">
        <x:is>
          <x:t xml:space="preserve">ОБ-010</x:t>
        </x:is>
      </x:c>
      <x:c r="G153" s="31" t="inlineStr">
        <x:is>
          <x:t xml:space="preserve">СОТР-057</x:t>
        </x:is>
      </x:c>
      <x:c r="H153" s="31" t="inlineStr">
        <x:is>
          <x:t xml:space="preserve">Сварка</x:t>
        </x:is>
      </x:c>
      <x:c r="I153" s="31" t="n">
        <x:v>2</x:v>
      </x:c>
      <x:c r="J153" s="31" t="n">
        <x:v>2</x:v>
      </x:c>
      <x:c r="K153" s="31" t="n">
        <x:v>23.4</x:v>
      </x:c>
      <x:c r="L153" s="31" t="n">
        <x:v>19.5</x:v>
      </x:c>
      <x:c r="M153" s="31" t="n">
        <x:v>120</x:v>
      </x:c>
      <x:c r="N153" s="31" t="inlineStr">
        <x:is>
          <x:t xml:space="preserve">Ожидание ОТК</x:t>
        </x:is>
      </x:c>
      <x:c r="O153" s="31" t="inlineStr">
        <x:is>
          <x:t xml:space="preserve">Подтверждено мастером</x:t>
        </x:is>
      </x:c>
      <x:c r="P153" s="31" t="inlineStr">
        <x:is>
          <x:t xml:space="preserve">Комментарий смены 162</x:t>
        </x:is>
      </x:c>
    </x:row>
    <x:row r="154" ht="18" customHeight="1">
      <x:c r="A154" s="31" t="inlineStr">
        <x:is>
          <x:t xml:space="preserve">СМ-00163</x:t>
        </x:is>
      </x:c>
      <x:c r="B154" s="31" t="n">
        <x:v>46127</x:v>
      </x:c>
      <x:c r="C154" s="31" t="inlineStr">
        <x:is>
          <x:t xml:space="preserve">Вечер</x:t>
        </x:is>
      </x:c>
      <x:c r="D154" s="31" t="inlineStr">
        <x:is>
          <x:t xml:space="preserve">ПЗ-00260</x:t>
        </x:is>
      </x:c>
      <x:c r="E154" s="31" t="inlineStr">
        <x:is>
          <x:t xml:space="preserve">ОП-002160</x:t>
        </x:is>
      </x:c>
      <x:c r="F154" s="31" t="inlineStr">
        <x:is>
          <x:t xml:space="preserve">ОБ-011</x:t>
        </x:is>
      </x:c>
      <x:c r="G154" s="31" t="inlineStr">
        <x:is>
          <x:t xml:space="preserve">СОТР-039</x:t>
        </x:is>
      </x:c>
      <x:c r="H154" s="31" t="inlineStr">
        <x:is>
          <x:t xml:space="preserve">Склад</x:t>
        </x:is>
      </x:c>
      <x:c r="I154" s="31" t="n">
        <x:v>2</x:v>
      </x:c>
      <x:c r="J154" s="31" t="n">
        <x:v>3</x:v>
      </x:c>
      <x:c r="K154" s="31" t="n">
        <x:v>21.3</x:v>
      </x:c>
      <x:c r="L154" s="31" t="n">
        <x:v>19</x:v>
      </x:c>
      <x:c r="M154" s="31" t="n">
        <x:v>90</x:v>
      </x:c>
      <x:c r="N154" s="31" t="inlineStr">
        <x:is>
          <x:t xml:space="preserve">Ремонт оборудования</x:t>
        </x:is>
      </x:c>
      <x:c r="O154" s="31" t="inlineStr">
        <x:is>
          <x:t xml:space="preserve">Подтверждено мастером</x:t>
        </x:is>
      </x:c>
      <x:c r="P154" s="31" t="inlineStr">
        <x:is>
          <x:t xml:space="preserve">Комментарий смены 163</x:t>
        </x:is>
      </x:c>
    </x:row>
    <x:row r="155" ht="18" customHeight="1">
      <x:c r="A155" s="31" t="inlineStr">
        <x:is>
          <x:t xml:space="preserve">СМ-00164</x:t>
        </x:is>
      </x:c>
      <x:c r="B155" s="31" t="n">
        <x:v>46162</x:v>
      </x:c>
      <x:c r="C155" s="31" t="inlineStr">
        <x:is>
          <x:t xml:space="preserve">Вечер</x:t>
        </x:is>
      </x:c>
      <x:c r="D155" s="31" t="inlineStr">
        <x:is>
          <x:t xml:space="preserve">ПЗ-00036</x:t>
        </x:is>
      </x:c>
      <x:c r="E155" s="31" t="inlineStr">
        <x:is>
          <x:t xml:space="preserve">ОП-000313</x:t>
        </x:is>
      </x:c>
      <x:c r="F155" s="31" t="inlineStr">
        <x:is>
          <x:t xml:space="preserve">ОБ-022</x:t>
        </x:is>
      </x:c>
      <x:c r="G155" s="31" t="inlineStr">
        <x:is>
          <x:t xml:space="preserve">СОТР-093</x:t>
        </x:is>
      </x:c>
      <x:c r="H155" s="31" t="inlineStr">
        <x:is>
          <x:t xml:space="preserve">ОТК</x:t>
        </x:is>
      </x:c>
      <x:c r="I155" s="31" t="n">
        <x:v>1</x:v>
      </x:c>
      <x:c r="J155" s="31" t="n">
        <x:v>0</x:v>
      </x:c>
      <x:c r="K155" s="31" t="n">
        <x:v>5.2</x:v>
      </x:c>
      <x:c r="L155" s="31" t="n">
        <x:v>4.2</x:v>
      </x:c>
      <x:c r="M155" s="31" t="n">
        <x:v>15</x:v>
      </x:c>
      <x:c r="N155" s="31" t="inlineStr">
        <x:is>
          <x:t xml:space="preserve">Ожидание материала</x:t>
        </x:is>
      </x:c>
      <x:c r="O155" s="31" t="inlineStr">
        <x:is>
          <x:t xml:space="preserve">Спорный факт</x:t>
        </x:is>
      </x:c>
      <x:c r="P155" s="31" t="inlineStr">
        <x:is>
          <x:t xml:space="preserve">Комментарий смены 164</x:t>
        </x:is>
      </x:c>
    </x:row>
    <x:row r="156" ht="18" customHeight="1">
      <x:c r="A156" s="31" t="inlineStr">
        <x:is>
          <x:t xml:space="preserve">СМ-00165</x:t>
        </x:is>
      </x:c>
      <x:c r="B156" s="31" t="n">
        <x:v>46155</x:v>
      </x:c>
      <x:c r="C156" s="31" t="inlineStr">
        <x:is>
          <x:t xml:space="preserve">Вечер</x:t>
        </x:is>
      </x:c>
      <x:c r="D156" s="31" t="inlineStr">
        <x:is>
          <x:t xml:space="preserve">ПЗ-00126</x:t>
        </x:is>
      </x:c>
      <x:c r="E156" s="31" t="inlineStr">
        <x:is>
          <x:t xml:space="preserve">ОП-001049</x:t>
        </x:is>
      </x:c>
      <x:c r="F156" s="31" t="n"/>
      <x:c r="G156" s="31" t="inlineStr">
        <x:is>
          <x:t xml:space="preserve">СОТР-014</x:t>
        </x:is>
      </x:c>
      <x:c r="H156" s="31" t="inlineStr">
        <x:is>
          <x:t xml:space="preserve">Инженерный отдел</x:t>
        </x:is>
      </x:c>
      <x:c r="I156" s="31" t="n">
        <x:v>1</x:v>
      </x:c>
      <x:c r="J156" s="31" t="n">
        <x:v>1</x:v>
      </x:c>
      <x:c r="K156" s="31" t="n">
        <x:v>4.6</x:v>
      </x:c>
      <x:c r="L156" s="31" t="n">
        <x:v>4.2</x:v>
      </x:c>
      <x:c r="M156" s="31" t="n">
        <x:v>0</x:v>
      </x:c>
      <x:c r="N156" s="31" t="inlineStr">
        <x:is>
          <x:t xml:space="preserve">Нет</x:t>
        </x:is>
      </x:c>
      <x:c r="O156" s="31" t="inlineStr">
        <x:is>
          <x:t xml:space="preserve">Подтверждено мастером</x:t>
        </x:is>
      </x:c>
      <x:c r="P156" s="31" t="inlineStr">
        <x:is>
          <x:t xml:space="preserve">Комментарий смены 165</x:t>
        </x:is>
      </x:c>
    </x:row>
    <x:row r="157" ht="18" customHeight="1">
      <x:c r="A157" s="31" t="inlineStr">
        <x:is>
          <x:t xml:space="preserve">СМ-00166</x:t>
        </x:is>
      </x:c>
      <x:c r="B157" s="31" t="n">
        <x:v>46181</x:v>
      </x:c>
      <x:c r="C157" s="31" t="inlineStr">
        <x:is>
          <x:t xml:space="preserve">Ночь</x:t>
        </x:is>
      </x:c>
      <x:c r="D157" s="31" t="inlineStr">
        <x:is>
          <x:t xml:space="preserve">ПЗ-00153</x:t>
        </x:is>
      </x:c>
      <x:c r="E157" s="31" t="inlineStr">
        <x:is>
          <x:t xml:space="preserve">ОП-001269</x:t>
        </x:is>
      </x:c>
      <x:c r="F157" s="31" t="inlineStr">
        <x:is>
          <x:t xml:space="preserve">ОБ-005</x:t>
        </x:is>
      </x:c>
      <x:c r="G157" s="31" t="inlineStr">
        <x:is>
          <x:t xml:space="preserve">СОТР-075</x:t>
        </x:is>
      </x:c>
      <x:c r="H157" s="31" t="inlineStr">
        <x:is>
          <x:t xml:space="preserve">Сборка</x:t>
        </x:is>
      </x:c>
      <x:c r="I157" s="31" t="n">
        <x:v>5</x:v>
      </x:c>
      <x:c r="J157" s="31" t="n">
        <x:v>5</x:v>
      </x:c>
      <x:c r="K157" s="31" t="n">
        <x:v>12</x:v>
      </x:c>
      <x:c r="L157" s="31" t="n">
        <x:v>13.5</x:v>
      </x:c>
      <x:c r="M157" s="31" t="n">
        <x:v>45</x:v>
      </x:c>
      <x:c r="N157" s="31" t="inlineStr">
        <x:is>
          <x:t xml:space="preserve">Нет оператора</x:t>
        </x:is>
      </x:c>
      <x:c r="O157" s="31" t="inlineStr">
        <x:is>
          <x:t xml:space="preserve">Закрыто</x:t>
        </x:is>
      </x:c>
      <x:c r="P157" s="31" t="inlineStr">
        <x:is>
          <x:t xml:space="preserve">Комментарий смены 166</x:t>
        </x:is>
      </x:c>
    </x:row>
    <x:row r="158" ht="18" customHeight="1">
      <x:c r="A158" s="31" t="inlineStr">
        <x:is>
          <x:t xml:space="preserve">СМ-00167</x:t>
        </x:is>
      </x:c>
      <x:c r="B158" s="31" t="n">
        <x:v>46221</x:v>
      </x:c>
      <x:c r="C158" s="31" t="inlineStr">
        <x:is>
          <x:t xml:space="preserve">Вечер</x:t>
        </x:is>
      </x:c>
      <x:c r="D158" s="31" t="inlineStr">
        <x:is>
          <x:t xml:space="preserve">ПЗ-00121</x:t>
        </x:is>
      </x:c>
      <x:c r="E158" s="31" t="inlineStr">
        <x:is>
          <x:t xml:space="preserve">ОП-001017</x:t>
        </x:is>
      </x:c>
      <x:c r="F158" s="31" t="inlineStr">
        <x:is>
          <x:t xml:space="preserve">ОБ-028</x:t>
        </x:is>
      </x:c>
      <x:c r="G158" s="31" t="inlineStr">
        <x:is>
          <x:t xml:space="preserve">СОТР-100</x:t>
        </x:is>
      </x:c>
      <x:c r="H158" s="31" t="inlineStr">
        <x:is>
          <x:t xml:space="preserve">ОТК</x:t>
        </x:is>
      </x:c>
      <x:c r="I158" s="31" t="n">
        <x:v>4</x:v>
      </x:c>
      <x:c r="J158" s="31" t="n">
        <x:v>4</x:v>
      </x:c>
      <x:c r="K158" s="31" t="n">
        <x:v>28</x:v>
      </x:c>
      <x:c r="L158" s="31" t="n">
        <x:v>23.1</x:v>
      </x:c>
      <x:c r="M158" s="31" t="n">
        <x:v>60</x:v>
      </x:c>
      <x:c r="N158" s="31" t="inlineStr">
        <x:is>
          <x:t xml:space="preserve">Ожидание материала</x:t>
        </x:is>
      </x:c>
      <x:c r="O158" s="31" t="inlineStr">
        <x:is>
          <x:t xml:space="preserve">Закрыто</x:t>
        </x:is>
      </x:c>
      <x:c r="P158" s="31" t="inlineStr">
        <x:is>
          <x:t xml:space="preserve">Комментарий смены 167</x:t>
        </x:is>
      </x:c>
    </x:row>
    <x:row r="159" ht="18" customHeight="1">
      <x:c r="A159" s="31" t="inlineStr">
        <x:is>
          <x:t xml:space="preserve">СМ-00168</x:t>
        </x:is>
      </x:c>
      <x:c r="B159" s="31" t="n">
        <x:v>46151</x:v>
      </x:c>
      <x:c r="C159" s="31" t="inlineStr">
        <x:is>
          <x:t xml:space="preserve">День</x:t>
        </x:is>
      </x:c>
      <x:c r="D159" s="31" t="inlineStr">
        <x:is>
          <x:t xml:space="preserve">ПЗ-00260</x:t>
        </x:is>
      </x:c>
      <x:c r="E159" s="31" t="inlineStr">
        <x:is>
          <x:t xml:space="preserve">ОП-002167</x:t>
        </x:is>
      </x:c>
      <x:c r="F159" s="31" t="n"/>
      <x:c r="G159" s="31" t="inlineStr">
        <x:is>
          <x:t xml:space="preserve">СОТР-101</x:t>
        </x:is>
      </x:c>
      <x:c r="H159" s="31" t="inlineStr">
        <x:is>
          <x:t xml:space="preserve">Логистика</x:t>
        </x:is>
      </x:c>
      <x:c r="I159" s="31" t="n">
        <x:v>2</x:v>
      </x:c>
      <x:c r="J159" s="31" t="n">
        <x:v>2</x:v>
      </x:c>
      <x:c r="K159" s="31" t="n">
        <x:v>41.1</x:v>
      </x:c>
      <x:c r="L159" s="31" t="n">
        <x:v>42</x:v>
      </x:c>
      <x:c r="M159" s="31" t="n">
        <x:v>90</x:v>
      </x:c>
      <x:c r="N159" s="31" t="inlineStr">
        <x:is>
          <x:t xml:space="preserve">Ремонт оборудования</x:t>
        </x:is>
      </x:c>
      <x:c r="O159" s="31" t="inlineStr">
        <x:is>
          <x:t xml:space="preserve">Подтверждено мастером</x:t>
        </x:is>
      </x:c>
      <x:c r="P159" s="31" t="inlineStr">
        <x:is>
          <x:t xml:space="preserve">Комментарий смены 168</x:t>
        </x:is>
      </x:c>
    </x:row>
    <x:row r="160" ht="18" customHeight="1">
      <x:c r="A160" s="31" t="inlineStr">
        <x:is>
          <x:t xml:space="preserve">СМ-00169</x:t>
        </x:is>
      </x:c>
      <x:c r="B160" s="31" t="n">
        <x:v>46202</x:v>
      </x:c>
      <x:c r="C160" s="31" t="inlineStr">
        <x:is>
          <x:t xml:space="preserve">Ночь</x:t>
        </x:is>
      </x:c>
      <x:c r="D160" s="31" t="inlineStr">
        <x:is>
          <x:t xml:space="preserve">ПЗ-00248</x:t>
        </x:is>
      </x:c>
      <x:c r="E160" s="31" t="inlineStr">
        <x:is>
          <x:t xml:space="preserve">ОП-002075</x:t>
        </x:is>
      </x:c>
      <x:c r="F160" s="31" t="inlineStr">
        <x:is>
          <x:t xml:space="preserve">ОБ-015</x:t>
        </x:is>
      </x:c>
      <x:c r="G160" s="31" t="inlineStr">
        <x:is>
          <x:t xml:space="preserve">СОТР-098</x:t>
        </x:is>
      </x:c>
      <x:c r="H160" s="31" t="inlineStr">
        <x:is>
          <x:t xml:space="preserve">ОТК</x:t>
        </x:is>
      </x:c>
      <x:c r="I160" s="31" t="n">
        <x:v>3</x:v>
      </x:c>
      <x:c r="J160" s="31" t="n">
        <x:v>3</x:v>
      </x:c>
      <x:c r="K160" s="31" t="n">
        <x:v>57.3</x:v>
      </x:c>
      <x:c r="L160" s="31" t="n">
        <x:v>76</x:v>
      </x:c>
      <x:c r="M160" s="31" t="n">
        <x:v>15</x:v>
      </x:c>
      <x:c r="N160" s="31" t="inlineStr">
        <x:is>
          <x:t xml:space="preserve">Ожидание материала</x:t>
        </x:is>
      </x:c>
      <x:c r="O160" s="31" t="inlineStr">
        <x:is>
          <x:t xml:space="preserve">Подтверждено мастером</x:t>
        </x:is>
      </x:c>
      <x:c r="P160" s="31" t="inlineStr">
        <x:is>
          <x:t xml:space="preserve">Комментарий смены 169</x:t>
        </x:is>
      </x:c>
    </x:row>
    <x:row r="161" ht="18" customHeight="1">
      <x:c r="A161" s="31" t="inlineStr">
        <x:is>
          <x:t xml:space="preserve">СМ-00170</x:t>
        </x:is>
      </x:c>
      <x:c r="B161" s="31" t="n">
        <x:v>46147</x:v>
      </x:c>
      <x:c r="C161" s="31" t="inlineStr">
        <x:is>
          <x:t xml:space="preserve">День</x:t>
        </x:is>
      </x:c>
      <x:c r="D161" s="31" t="inlineStr">
        <x:is>
          <x:t xml:space="preserve">ПЗ-00087</x:t>
        </x:is>
      </x:c>
      <x:c r="E161" s="31" t="inlineStr">
        <x:is>
          <x:t xml:space="preserve">ОП-000736</x:t>
        </x:is>
      </x:c>
      <x:c r="F161" s="31" t="inlineStr">
        <x:is>
          <x:t xml:space="preserve">ОБ-008</x:t>
        </x:is>
      </x:c>
      <x:c r="G161" s="31" t="inlineStr">
        <x:is>
          <x:t xml:space="preserve">СОТР-039</x:t>
        </x:is>
      </x:c>
      <x:c r="H161" s="31" t="inlineStr">
        <x:is>
          <x:t xml:space="preserve">Склад</x:t>
        </x:is>
      </x:c>
      <x:c r="I161" s="31" t="n">
        <x:v>1</x:v>
      </x:c>
      <x:c r="J161" s="31" t="n">
        <x:v>1</x:v>
      </x:c>
      <x:c r="K161" s="31" t="n">
        <x:v>8.699999999999999</x:v>
      </x:c>
      <x:c r="L161" s="31" t="n">
        <x:v>10.7</x:v>
      </x:c>
      <x:c r="M161" s="31" t="n">
        <x:v>45</x:v>
      </x:c>
      <x:c r="N161" s="31" t="inlineStr">
        <x:is>
          <x:t xml:space="preserve">Ремонт оборудования</x:t>
        </x:is>
      </x:c>
      <x:c r="O161" s="31" t="inlineStr">
        <x:is>
          <x:t xml:space="preserve">Подтверждено мастером</x:t>
        </x:is>
      </x:c>
      <x:c r="P161" s="31" t="inlineStr">
        <x:is>
          <x:t xml:space="preserve">Комментарий смены 170</x:t>
        </x:is>
      </x:c>
    </x:row>
    <x:row r="162" ht="18" customHeight="1">
      <x:c r="A162" s="31" t="inlineStr">
        <x:is>
          <x:t xml:space="preserve">СМ-00171</x:t>
        </x:is>
      </x:c>
      <x:c r="B162" s="31" t="n">
        <x:v>46086</x:v>
      </x:c>
      <x:c r="C162" s="31" t="inlineStr">
        <x:is>
          <x:t xml:space="preserve">Ночь</x:t>
        </x:is>
      </x:c>
      <x:c r="D162" s="31" t="inlineStr">
        <x:is>
          <x:t xml:space="preserve">ПЗ-00024</x:t>
        </x:is>
      </x:c>
      <x:c r="E162" s="31" t="inlineStr">
        <x:is>
          <x:t xml:space="preserve">ОП-000205</x:t>
        </x:is>
      </x:c>
      <x:c r="F162" s="31" t="inlineStr">
        <x:is>
          <x:t xml:space="preserve">ОБ-031</x:t>
        </x:is>
      </x:c>
      <x:c r="G162" s="31" t="inlineStr">
        <x:is>
          <x:t xml:space="preserve">СОТР-050</x:t>
        </x:is>
      </x:c>
      <x:c r="H162" s="31" t="inlineStr">
        <x:is>
          <x:t xml:space="preserve">Механообработка</x:t>
        </x:is>
      </x:c>
      <x:c r="I162" s="31" t="n">
        <x:v>1</x:v>
      </x:c>
      <x:c r="J162" s="31" t="n">
        <x:v>0</x:v>
      </x:c>
      <x:c r="K162" s="31" t="n">
        <x:v>7.4</x:v>
      </x:c>
      <x:c r="L162" s="31" t="n">
        <x:v>9.6</x:v>
      </x:c>
      <x:c r="M162" s="31" t="n">
        <x:v>60</x:v>
      </x:c>
      <x:c r="N162" s="31" t="inlineStr">
        <x:is>
          <x:t xml:space="preserve">Переналадка</x:t>
        </x:is>
      </x:c>
      <x:c r="O162" s="31" t="inlineStr">
        <x:is>
          <x:t xml:space="preserve">Подтверждено мастером</x:t>
        </x:is>
      </x:c>
      <x:c r="P162" s="31" t="inlineStr">
        <x:is>
          <x:t xml:space="preserve">Комментарий смены 171</x:t>
        </x:is>
      </x:c>
    </x:row>
    <x:row r="163" ht="18" customHeight="1">
      <x:c r="A163" s="31" t="inlineStr">
        <x:is>
          <x:t xml:space="preserve">СМ-00172</x:t>
        </x:is>
      </x:c>
      <x:c r="B163" s="31" t="n">
        <x:v>46122</x:v>
      </x:c>
      <x:c r="C163" s="31" t="inlineStr">
        <x:is>
          <x:t xml:space="preserve">День</x:t>
        </x:is>
      </x:c>
      <x:c r="D163" s="31" t="inlineStr">
        <x:is>
          <x:t xml:space="preserve">ПЗ-00128</x:t>
        </x:is>
      </x:c>
      <x:c r="E163" s="31" t="inlineStr">
        <x:is>
          <x:t xml:space="preserve">ОП-001069</x:t>
        </x:is>
      </x:c>
      <x:c r="F163" s="31" t="inlineStr">
        <x:is>
          <x:t xml:space="preserve">ОБ-027</x:t>
        </x:is>
      </x:c>
      <x:c r="G163" s="31" t="inlineStr">
        <x:is>
          <x:t xml:space="preserve">СОТР-075</x:t>
        </x:is>
      </x:c>
      <x:c r="H163" s="31" t="inlineStr">
        <x:is>
          <x:t xml:space="preserve">Сборка</x:t>
        </x:is>
      </x:c>
      <x:c r="I163" s="31" t="n">
        <x:v>2</x:v>
      </x:c>
      <x:c r="J163" s="31" t="n">
        <x:v>0</x:v>
      </x:c>
      <x:c r="K163" s="31" t="n">
        <x:v>12.6</x:v>
      </x:c>
      <x:c r="L163" s="31" t="n">
        <x:v>7.1</x:v>
      </x:c>
      <x:c r="M163" s="31" t="n">
        <x:v>0</x:v>
      </x:c>
      <x:c r="N163" s="31" t="inlineStr">
        <x:is>
          <x:t xml:space="preserve">Нет</x:t>
        </x:is>
      </x:c>
      <x:c r="O163" s="31" t="inlineStr">
        <x:is>
          <x:t xml:space="preserve">Черновик</x:t>
        </x:is>
      </x:c>
      <x:c r="P163" s="31" t="inlineStr">
        <x:is>
          <x:t xml:space="preserve">Комментарий смены 172</x:t>
        </x:is>
      </x:c>
    </x:row>
    <x:row r="164" ht="18" customHeight="1">
      <x:c r="A164" s="31" t="inlineStr">
        <x:is>
          <x:t xml:space="preserve">СМ-00173</x:t>
        </x:is>
      </x:c>
      <x:c r="B164" s="31" t="n">
        <x:v>46209</x:v>
      </x:c>
      <x:c r="C164" s="31" t="inlineStr">
        <x:is>
          <x:t xml:space="preserve">Ночь</x:t>
        </x:is>
      </x:c>
      <x:c r="D164" s="31" t="inlineStr">
        <x:is>
          <x:t xml:space="preserve">ПЗ-00149</x:t>
        </x:is>
      </x:c>
      <x:c r="E164" s="31" t="inlineStr">
        <x:is>
          <x:t xml:space="preserve">ОП-001241</x:t>
        </x:is>
      </x:c>
      <x:c r="F164" s="31" t="inlineStr">
        <x:is>
          <x:t xml:space="preserve">ОБ-016</x:t>
        </x:is>
      </x:c>
      <x:c r="G164" s="31" t="inlineStr">
        <x:is>
          <x:t xml:space="preserve">СОТР-080</x:t>
        </x:is>
      </x:c>
      <x:c r="H164" s="31" t="inlineStr">
        <x:is>
          <x:t xml:space="preserve">Сборка</x:t>
        </x:is>
      </x:c>
      <x:c r="I164" s="31" t="n">
        <x:v>3</x:v>
      </x:c>
      <x:c r="J164" s="31" t="n">
        <x:v>0</x:v>
      </x:c>
      <x:c r="K164" s="31" t="n">
        <x:v>31.6</x:v>
      </x:c>
      <x:c r="L164" s="31" t="n">
        <x:v>20.5</x:v>
      </x:c>
      <x:c r="M164" s="31" t="n">
        <x:v>0</x:v>
      </x:c>
      <x:c r="N164" s="31" t="inlineStr">
        <x:is>
          <x:t xml:space="preserve">Нет</x:t>
        </x:is>
      </x:c>
      <x:c r="O164" s="31" t="inlineStr">
        <x:is>
          <x:t xml:space="preserve">Подтверждено мастером</x:t>
        </x:is>
      </x:c>
      <x:c r="P164" s="31" t="inlineStr">
        <x:is>
          <x:t xml:space="preserve">Комментарий смены 173</x:t>
        </x:is>
      </x:c>
    </x:row>
    <x:row r="165" ht="18" customHeight="1">
      <x:c r="A165" s="31" t="inlineStr">
        <x:is>
          <x:t xml:space="preserve">СМ-00174</x:t>
        </x:is>
      </x:c>
      <x:c r="B165" s="31" t="n">
        <x:v>46126</x:v>
      </x:c>
      <x:c r="C165" s="31" t="inlineStr">
        <x:is>
          <x:t xml:space="preserve">Вечер</x:t>
        </x:is>
      </x:c>
      <x:c r="D165" s="31" t="inlineStr">
        <x:is>
          <x:t xml:space="preserve">ПЗ-00195</x:t>
        </x:is>
      </x:c>
      <x:c r="E165" s="31" t="inlineStr">
        <x:is>
          <x:t xml:space="preserve">ОП-001636</x:t>
        </x:is>
      </x:c>
      <x:c r="F165" s="31" t="inlineStr">
        <x:is>
          <x:t xml:space="preserve">ОБ-024</x:t>
        </x:is>
      </x:c>
      <x:c r="G165" s="31" t="inlineStr">
        <x:is>
          <x:t xml:space="preserve">СОТР-093</x:t>
        </x:is>
      </x:c>
      <x:c r="H165" s="31" t="inlineStr">
        <x:is>
          <x:t xml:space="preserve">ОТК</x:t>
        </x:is>
      </x:c>
      <x:c r="I165" s="31" t="n">
        <x:v>2</x:v>
      </x:c>
      <x:c r="J165" s="31" t="n">
        <x:v>2</x:v>
      </x:c>
      <x:c r="K165" s="31" t="n">
        <x:v>20.4</x:v>
      </x:c>
      <x:c r="L165" s="31" t="n">
        <x:v>22.6</x:v>
      </x:c>
      <x:c r="M165" s="31" t="n">
        <x:v>0</x:v>
      </x:c>
      <x:c r="N165" s="31" t="inlineStr">
        <x:is>
          <x:t xml:space="preserve">Нет</x:t>
        </x:is>
      </x:c>
      <x:c r="O165" s="31" t="inlineStr">
        <x:is>
          <x:t xml:space="preserve">Подтверждено мастером</x:t>
        </x:is>
      </x:c>
      <x:c r="P165" s="31" t="inlineStr">
        <x:is>
          <x:t xml:space="preserve">Комментарий смены 174</x:t>
        </x:is>
      </x:c>
    </x:row>
    <x:row r="166" ht="18" customHeight="1">
      <x:c r="A166" s="31" t="inlineStr">
        <x:is>
          <x:t xml:space="preserve">СМ-00175</x:t>
        </x:is>
      </x:c>
      <x:c r="B166" s="31" t="n">
        <x:v>46052</x:v>
      </x:c>
      <x:c r="C166" s="31" t="inlineStr">
        <x:is>
          <x:t xml:space="preserve">День</x:t>
        </x:is>
      </x:c>
      <x:c r="D166" s="31" t="inlineStr">
        <x:is>
          <x:t xml:space="preserve">ПЗ-00092</x:t>
        </x:is>
      </x:c>
      <x:c r="E166" s="31" t="inlineStr">
        <x:is>
          <x:t xml:space="preserve">ОП-000774</x:t>
        </x:is>
      </x:c>
      <x:c r="F166" s="31" t="n"/>
      <x:c r="G166" s="31" t="inlineStr">
        <x:is>
          <x:t xml:space="preserve">СОТР-014</x:t>
        </x:is>
      </x:c>
      <x:c r="H166" s="31" t="inlineStr">
        <x:is>
          <x:t xml:space="preserve">Инженерный отдел</x:t>
        </x:is>
      </x:c>
      <x:c r="I166" s="31" t="n">
        <x:v>2</x:v>
      </x:c>
      <x:c r="J166" s="31" t="n">
        <x:v>2</x:v>
      </x:c>
      <x:c r="K166" s="31" t="n">
        <x:v>28</x:v>
      </x:c>
      <x:c r="L166" s="31" t="n">
        <x:v>24.1</x:v>
      </x:c>
      <x:c r="M166" s="31" t="n">
        <x:v>45</x:v>
      </x:c>
      <x:c r="N166" s="31" t="inlineStr">
        <x:is>
          <x:t xml:space="preserve">Переналадка</x:t>
        </x:is>
      </x:c>
      <x:c r="O166" s="31" t="inlineStr">
        <x:is>
          <x:t xml:space="preserve">Черновик</x:t>
        </x:is>
      </x:c>
      <x:c r="P166" s="31" t="inlineStr">
        <x:is>
          <x:t xml:space="preserve">Комментарий смены 175</x:t>
        </x:is>
      </x:c>
    </x:row>
    <x:row r="167" ht="18" customHeight="1">
      <x:c r="A167" s="31" t="inlineStr">
        <x:is>
          <x:t xml:space="preserve">СМ-00176</x:t>
        </x:is>
      </x:c>
      <x:c r="B167" s="31" t="n">
        <x:v>46155</x:v>
      </x:c>
      <x:c r="C167" s="31" t="inlineStr">
        <x:is>
          <x:t xml:space="preserve">День</x:t>
        </x:is>
      </x:c>
      <x:c r="D167" s="31" t="inlineStr">
        <x:is>
          <x:t xml:space="preserve">ПЗ-00038</x:t>
        </x:is>
      </x:c>
      <x:c r="E167" s="31" t="inlineStr">
        <x:is>
          <x:t xml:space="preserve">ОП-000322</x:t>
        </x:is>
      </x:c>
      <x:c r="F167" s="31" t="n"/>
      <x:c r="G167" s="31" t="inlineStr">
        <x:is>
          <x:t xml:space="preserve">СОТР-013</x:t>
        </x:is>
      </x:c>
      <x:c r="H167" s="31" t="inlineStr">
        <x:is>
          <x:t xml:space="preserve">Инженерный отдел</x:t>
        </x:is>
      </x:c>
      <x:c r="I167" s="31" t="n">
        <x:v>1</x:v>
      </x:c>
      <x:c r="J167" s="31" t="n">
        <x:v>1</x:v>
      </x:c>
      <x:c r="K167" s="31" t="n">
        <x:v>7.7</x:v>
      </x:c>
      <x:c r="L167" s="31" t="n">
        <x:v>6.8</x:v>
      </x:c>
      <x:c r="M167" s="31" t="n">
        <x:v>90</x:v>
      </x:c>
      <x:c r="N167" s="31" t="inlineStr">
        <x:is>
          <x:t xml:space="preserve">Ожидание ОТК</x:t>
        </x:is>
      </x:c>
      <x:c r="O167" s="31" t="inlineStr">
        <x:is>
          <x:t xml:space="preserve">Подтверждено мастером</x:t>
        </x:is>
      </x:c>
      <x:c r="P167" s="31" t="inlineStr">
        <x:is>
          <x:t xml:space="preserve">Комментарий смены 176</x:t>
        </x:is>
      </x:c>
    </x:row>
    <x:row r="168" ht="18" customHeight="1">
      <x:c r="A168" s="31" t="inlineStr">
        <x:is>
          <x:t xml:space="preserve">СМ-00177</x:t>
        </x:is>
      </x:c>
      <x:c r="B168" s="31" t="n">
        <x:v>46156</x:v>
      </x:c>
      <x:c r="C168" s="31" t="inlineStr">
        <x:is>
          <x:t xml:space="preserve">День</x:t>
        </x:is>
      </x:c>
      <x:c r="D168" s="31" t="inlineStr">
        <x:is>
          <x:t xml:space="preserve">ПЗ-00034</x:t>
        </x:is>
      </x:c>
      <x:c r="E168" s="31" t="inlineStr">
        <x:is>
          <x:t xml:space="preserve">ОП-000298</x:t>
        </x:is>
      </x:c>
      <x:c r="F168" s="31" t="inlineStr">
        <x:is>
          <x:t xml:space="preserve">ОБ-016</x:t>
        </x:is>
      </x:c>
      <x:c r="G168" s="31" t="inlineStr">
        <x:is>
          <x:t xml:space="preserve">СОТР-086</x:t>
        </x:is>
      </x:c>
      <x:c r="H168" s="31" t="inlineStr">
        <x:is>
          <x:t xml:space="preserve">Сборка</x:t>
        </x:is>
      </x:c>
      <x:c r="I168" s="31" t="n">
        <x:v>1</x:v>
      </x:c>
      <x:c r="J168" s="31" t="n">
        <x:v>2</x:v>
      </x:c>
      <x:c r="K168" s="31" t="n">
        <x:v>7.9</x:v>
      </x:c>
      <x:c r="L168" s="31" t="n">
        <x:v>8.9</x:v>
      </x:c>
      <x:c r="M168" s="31" t="n">
        <x:v>0</x:v>
      </x:c>
      <x:c r="N168" s="31" t="inlineStr">
        <x:is>
          <x:t xml:space="preserve">Нет</x:t>
        </x:is>
      </x:c>
      <x:c r="O168" s="31" t="inlineStr">
        <x:is>
          <x:t xml:space="preserve">Закрыто</x:t>
        </x:is>
      </x:c>
      <x:c r="P168" s="31" t="inlineStr">
        <x:is>
          <x:t xml:space="preserve">Комментарий смены 177</x:t>
        </x:is>
      </x:c>
    </x:row>
    <x:row r="169" ht="18" customHeight="1">
      <x:c r="A169" s="31" t="inlineStr">
        <x:is>
          <x:t xml:space="preserve">СМ-00178</x:t>
        </x:is>
      </x:c>
      <x:c r="B169" s="31" t="n">
        <x:v>46187</x:v>
      </x:c>
      <x:c r="C169" s="31" t="inlineStr">
        <x:is>
          <x:t xml:space="preserve">День</x:t>
        </x:is>
      </x:c>
      <x:c r="D169" s="31" t="inlineStr">
        <x:is>
          <x:t xml:space="preserve">ПЗ-00081</x:t>
        </x:is>
      </x:c>
      <x:c r="E169" s="31" t="inlineStr">
        <x:is>
          <x:t xml:space="preserve">ОП-000690</x:t>
        </x:is>
      </x:c>
      <x:c r="F169" s="31" t="inlineStr">
        <x:is>
          <x:t xml:space="preserve">ОБ-031</x:t>
        </x:is>
      </x:c>
      <x:c r="G169" s="31" t="inlineStr">
        <x:is>
          <x:t xml:space="preserve">СОТР-046</x:t>
        </x:is>
      </x:c>
      <x:c r="H169" s="31" t="inlineStr">
        <x:is>
          <x:t xml:space="preserve">Механообработка</x:t>
        </x:is>
      </x:c>
      <x:c r="I169" s="31" t="n">
        <x:v>3</x:v>
      </x:c>
      <x:c r="J169" s="31" t="n">
        <x:v>3</x:v>
      </x:c>
      <x:c r="K169" s="31" t="n">
        <x:v>34.5</x:v>
      </x:c>
      <x:c r="L169" s="31" t="n">
        <x:v>33.6</x:v>
      </x:c>
      <x:c r="M169" s="31" t="n">
        <x:v>120</x:v>
      </x:c>
      <x:c r="N169" s="31" t="inlineStr">
        <x:is>
          <x:t xml:space="preserve">Нет оператора</x:t>
        </x:is>
      </x:c>
      <x:c r="O169" s="31" t="inlineStr">
        <x:is>
          <x:t xml:space="preserve">Подтверждено мастером</x:t>
        </x:is>
      </x:c>
      <x:c r="P169" s="31" t="inlineStr">
        <x:is>
          <x:t xml:space="preserve">Комментарий смены 178</x:t>
        </x:is>
      </x:c>
    </x:row>
    <x:row r="170" ht="18" customHeight="1">
      <x:c r="A170" s="31" t="inlineStr">
        <x:is>
          <x:t xml:space="preserve">СМ-00179</x:t>
        </x:is>
      </x:c>
      <x:c r="B170" s="31" t="n">
        <x:v>46177</x:v>
      </x:c>
      <x:c r="C170" s="31" t="inlineStr">
        <x:is>
          <x:t xml:space="preserve">День</x:t>
        </x:is>
      </x:c>
      <x:c r="D170" s="31" t="inlineStr">
        <x:is>
          <x:t xml:space="preserve">ПЗ-00037</x:t>
        </x:is>
      </x:c>
      <x:c r="E170" s="31" t="inlineStr">
        <x:is>
          <x:t xml:space="preserve">ОП-000318</x:t>
        </x:is>
      </x:c>
      <x:c r="F170" s="31" t="inlineStr">
        <x:is>
          <x:t xml:space="preserve">ОБ-003</x:t>
        </x:is>
      </x:c>
      <x:c r="G170" s="31" t="inlineStr">
        <x:is>
          <x:t xml:space="preserve">СОТР-064</x:t>
        </x:is>
      </x:c>
      <x:c r="H170" s="31" t="inlineStr">
        <x:is>
          <x:t xml:space="preserve">Сварка</x:t>
        </x:is>
      </x:c>
      <x:c r="I170" s="31" t="n">
        <x:v>3</x:v>
      </x:c>
      <x:c r="J170" s="31" t="n">
        <x:v>3</x:v>
      </x:c>
      <x:c r="K170" s="31" t="n">
        <x:v>47.5</x:v>
      </x:c>
      <x:c r="L170" s="31" t="n">
        <x:v>42.2</x:v>
      </x:c>
      <x:c r="M170" s="31" t="n">
        <x:v>30</x:v>
      </x:c>
      <x:c r="N170" s="31" t="inlineStr">
        <x:is>
          <x:t xml:space="preserve">Ожидание ОТК</x:t>
        </x:is>
      </x:c>
      <x:c r="O170" s="31" t="inlineStr">
        <x:is>
          <x:t xml:space="preserve">Подтверждено мастером</x:t>
        </x:is>
      </x:c>
      <x:c r="P170" s="31" t="inlineStr">
        <x:is>
          <x:t xml:space="preserve">Комментарий смены 179</x:t>
        </x:is>
      </x:c>
    </x:row>
    <x:row r="171" ht="18" customHeight="1">
      <x:c r="A171" s="31" t="inlineStr">
        <x:is>
          <x:t xml:space="preserve">СМ-00180</x:t>
        </x:is>
      </x:c>
      <x:c r="B171" s="31" t="n">
        <x:v>46123</x:v>
      </x:c>
      <x:c r="C171" s="31" t="inlineStr">
        <x:is>
          <x:t xml:space="preserve">День</x:t>
        </x:is>
      </x:c>
      <x:c r="D171" s="31" t="inlineStr">
        <x:is>
          <x:t xml:space="preserve">ПЗ-00110</x:t>
        </x:is>
      </x:c>
      <x:c r="E171" s="31" t="inlineStr">
        <x:is>
          <x:t xml:space="preserve">ОП-000927</x:t>
        </x:is>
      </x:c>
      <x:c r="F171" s="31" t="inlineStr">
        <x:is>
          <x:t xml:space="preserve">ОБ-007</x:t>
        </x:is>
      </x:c>
      <x:c r="G171" s="31" t="inlineStr">
        <x:is>
          <x:t xml:space="preserve">СОТР-063</x:t>
        </x:is>
      </x:c>
      <x:c r="H171" s="31" t="inlineStr">
        <x:is>
          <x:t xml:space="preserve">ОТК</x:t>
        </x:is>
      </x:c>
      <x:c r="I171" s="31" t="n">
        <x:v>3</x:v>
      </x:c>
      <x:c r="J171" s="31" t="n">
        <x:v>0</x:v>
      </x:c>
      <x:c r="K171" s="31" t="n">
        <x:v>34.2</x:v>
      </x:c>
      <x:c r="L171" s="31" t="n">
        <x:v>20</x:v>
      </x:c>
      <x:c r="M171" s="31" t="n">
        <x:v>90</x:v>
      </x:c>
      <x:c r="N171" s="31" t="inlineStr">
        <x:is>
          <x:t xml:space="preserve">Переналадка</x:t>
        </x:is>
      </x:c>
      <x:c r="O171" s="31" t="inlineStr">
        <x:is>
          <x:t xml:space="preserve">Закрыто</x:t>
        </x:is>
      </x:c>
      <x:c r="P171" s="31" t="inlineStr">
        <x:is>
          <x:t xml:space="preserve">Комментарий смены 180</x:t>
        </x:is>
      </x:c>
    </x:row>
    <x:row r="172" ht="18" customHeight="1">
      <x:c r="A172" s="31" t="inlineStr">
        <x:is>
          <x:t xml:space="preserve">СМ-00181</x:t>
        </x:is>
      </x:c>
      <x:c r="B172" s="31" t="n">
        <x:v>46161</x:v>
      </x:c>
      <x:c r="C172" s="31" t="inlineStr">
        <x:is>
          <x:t xml:space="preserve">Ночь</x:t>
        </x:is>
      </x:c>
      <x:c r="D172" s="31" t="inlineStr">
        <x:is>
          <x:t xml:space="preserve">ПЗ-00191</x:t>
        </x:is>
      </x:c>
      <x:c r="E172" s="31" t="inlineStr">
        <x:is>
          <x:t xml:space="preserve">ОП-001594</x:t>
        </x:is>
      </x:c>
      <x:c r="F172" s="31" t="inlineStr">
        <x:is>
          <x:t xml:space="preserve">ОБ-034</x:t>
        </x:is>
      </x:c>
      <x:c r="G172" s="31" t="inlineStr">
        <x:is>
          <x:t xml:space="preserve">СОТР-088</x:t>
        </x:is>
      </x:c>
      <x:c r="H172" s="31" t="inlineStr">
        <x:is>
          <x:t xml:space="preserve">Сборка</x:t>
        </x:is>
      </x:c>
      <x:c r="I172" s="31" t="n">
        <x:v>4</x:v>
      </x:c>
      <x:c r="J172" s="31" t="n">
        <x:v>0</x:v>
      </x:c>
      <x:c r="K172" s="31" t="n">
        <x:v>58</x:v>
      </x:c>
      <x:c r="L172" s="31" t="n">
        <x:v>60.7</x:v>
      </x:c>
      <x:c r="M172" s="31" t="n">
        <x:v>45</x:v>
      </x:c>
      <x:c r="N172" s="31" t="inlineStr">
        <x:is>
          <x:t xml:space="preserve">Ремонт оборудования</x:t>
        </x:is>
      </x:c>
      <x:c r="O172" s="31" t="inlineStr">
        <x:is>
          <x:t xml:space="preserve">Подтверждено мастером</x:t>
        </x:is>
      </x:c>
      <x:c r="P172" s="31" t="inlineStr">
        <x:is>
          <x:t xml:space="preserve">Комментарий смены 181</x:t>
        </x:is>
      </x:c>
    </x:row>
    <x:row r="173" ht="18" customHeight="1">
      <x:c r="A173" s="31" t="inlineStr">
        <x:is>
          <x:t xml:space="preserve">СМ-00182</x:t>
        </x:is>
      </x:c>
      <x:c r="B173" s="31" t="n">
        <x:v>46203</x:v>
      </x:c>
      <x:c r="C173" s="31" t="inlineStr">
        <x:is>
          <x:t xml:space="preserve">День</x:t>
        </x:is>
      </x:c>
      <x:c r="D173" s="31" t="inlineStr">
        <x:is>
          <x:t xml:space="preserve">ПЗ-00079</x:t>
        </x:is>
      </x:c>
      <x:c r="E173" s="31" t="inlineStr">
        <x:is>
          <x:t xml:space="preserve">ОП-000671</x:t>
        </x:is>
      </x:c>
      <x:c r="F173" s="31" t="inlineStr">
        <x:is>
          <x:t xml:space="preserve">ОБ-012</x:t>
        </x:is>
      </x:c>
      <x:c r="G173" s="31" t="inlineStr">
        <x:is>
          <x:t xml:space="preserve">СОТР-074</x:t>
        </x:is>
      </x:c>
      <x:c r="H173" s="31" t="inlineStr">
        <x:is>
          <x:t xml:space="preserve">Сборка</x:t>
        </x:is>
      </x:c>
      <x:c r="I173" s="31" t="n">
        <x:v>5</x:v>
      </x:c>
      <x:c r="J173" s="31" t="n">
        <x:v>6</x:v>
      </x:c>
      <x:c r="K173" s="31" t="n">
        <x:v>35.5</x:v>
      </x:c>
      <x:c r="L173" s="31" t="n">
        <x:v>30.1</x:v>
      </x:c>
      <x:c r="M173" s="31" t="n">
        <x:v>15</x:v>
      </x:c>
      <x:c r="N173" s="31" t="inlineStr">
        <x:is>
          <x:t xml:space="preserve">Переналадка</x:t>
        </x:is>
      </x:c>
      <x:c r="O173" s="31" t="inlineStr">
        <x:is>
          <x:t xml:space="preserve">Подтверждено мастером</x:t>
        </x:is>
      </x:c>
      <x:c r="P173" s="31" t="inlineStr">
        <x:is>
          <x:t xml:space="preserve">Комментарий смены 182</x:t>
        </x:is>
      </x:c>
    </x:row>
    <x:row r="174" ht="18" customHeight="1">
      <x:c r="A174" s="31" t="inlineStr">
        <x:is>
          <x:t xml:space="preserve">СМ-00183</x:t>
        </x:is>
      </x:c>
      <x:c r="B174" s="31" t="n">
        <x:v>46200</x:v>
      </x:c>
      <x:c r="C174" s="31" t="inlineStr">
        <x:is>
          <x:t xml:space="preserve">Вечер</x:t>
        </x:is>
      </x:c>
      <x:c r="D174" s="31" t="inlineStr">
        <x:is>
          <x:t xml:space="preserve">ПЗ-00157</x:t>
        </x:is>
      </x:c>
      <x:c r="E174" s="31" t="inlineStr">
        <x:is>
          <x:t xml:space="preserve">ОП-001295</x:t>
        </x:is>
      </x:c>
      <x:c r="F174" s="31" t="inlineStr">
        <x:is>
          <x:t xml:space="preserve">ОБ-025</x:t>
        </x:is>
      </x:c>
      <x:c r="G174" s="31" t="inlineStr">
        <x:is>
          <x:t xml:space="preserve">СОТР-039</x:t>
        </x:is>
      </x:c>
      <x:c r="H174" s="31" t="inlineStr">
        <x:is>
          <x:t xml:space="preserve">Склад</x:t>
        </x:is>
      </x:c>
      <x:c r="I174" s="31" t="n">
        <x:v>1</x:v>
      </x:c>
      <x:c r="J174" s="31" t="n">
        <x:v>1</x:v>
      </x:c>
      <x:c r="K174" s="31" t="n">
        <x:v>12.5</x:v>
      </x:c>
      <x:c r="L174" s="31" t="n">
        <x:v>12.6</x:v>
      </x:c>
      <x:c r="M174" s="31" t="n">
        <x:v>0</x:v>
      </x:c>
      <x:c r="N174" s="31" t="inlineStr">
        <x:is>
          <x:t xml:space="preserve">Нет</x:t>
        </x:is>
      </x:c>
      <x:c r="O174" s="31" t="inlineStr">
        <x:is>
          <x:t xml:space="preserve">Подтверждено мастером</x:t>
        </x:is>
      </x:c>
      <x:c r="P174" s="31" t="inlineStr">
        <x:is>
          <x:t xml:space="preserve">Комментарий смены 183</x:t>
        </x:is>
      </x:c>
    </x:row>
    <x:row r="175" ht="18" customHeight="1">
      <x:c r="A175" s="31" t="inlineStr">
        <x:is>
          <x:t xml:space="preserve">СМ-00185</x:t>
        </x:is>
      </x:c>
      <x:c r="B175" s="31" t="n">
        <x:v>46105</x:v>
      </x:c>
      <x:c r="C175" s="31" t="inlineStr">
        <x:is>
          <x:t xml:space="preserve">Ночь</x:t>
        </x:is>
      </x:c>
      <x:c r="D175" s="31" t="inlineStr">
        <x:is>
          <x:t xml:space="preserve">ПЗ-00014</x:t>
        </x:is>
      </x:c>
      <x:c r="E175" s="31" t="inlineStr">
        <x:is>
          <x:t xml:space="preserve">ОП-000115</x:t>
        </x:is>
      </x:c>
      <x:c r="F175" s="31" t="inlineStr">
        <x:is>
          <x:t xml:space="preserve">ОБ-020</x:t>
        </x:is>
      </x:c>
      <x:c r="G175" s="31" t="inlineStr">
        <x:is>
          <x:t xml:space="preserve">СОТР-087</x:t>
        </x:is>
      </x:c>
      <x:c r="H175" s="31" t="inlineStr">
        <x:is>
          <x:t xml:space="preserve">Сборка</x:t>
        </x:is>
      </x:c>
      <x:c r="I175" s="31" t="n">
        <x:v>2</x:v>
      </x:c>
      <x:c r="J175" s="31" t="n">
        <x:v>3</x:v>
      </x:c>
      <x:c r="K175" s="31" t="n">
        <x:v>30.4</x:v>
      </x:c>
      <x:c r="L175" s="31" t="n">
        <x:v>35.8</x:v>
      </x:c>
      <x:c r="M175" s="31" t="n">
        <x:v>90</x:v>
      </x:c>
      <x:c r="N175" s="31" t="inlineStr">
        <x:is>
          <x:t xml:space="preserve">Ремонт оборудования</x:t>
        </x:is>
      </x:c>
      <x:c r="O175" s="31" t="inlineStr">
        <x:is>
          <x:t xml:space="preserve">Закрыто</x:t>
        </x:is>
      </x:c>
      <x:c r="P175" s="31" t="inlineStr">
        <x:is>
          <x:t xml:space="preserve">Комментарий смены 185</x:t>
        </x:is>
      </x:c>
    </x:row>
    <x:row r="176" ht="18" customHeight="1">
      <x:c r="A176" s="31" t="inlineStr">
        <x:is>
          <x:t xml:space="preserve">СМ-00187</x:t>
        </x:is>
      </x:c>
      <x:c r="B176" s="31" t="n">
        <x:v>46141</x:v>
      </x:c>
      <x:c r="C176" s="31" t="inlineStr">
        <x:is>
          <x:t xml:space="preserve">День</x:t>
        </x:is>
      </x:c>
      <x:c r="D176" s="31" t="inlineStr">
        <x:is>
          <x:t xml:space="preserve">ПЗ-00040</x:t>
        </x:is>
      </x:c>
      <x:c r="E176" s="31" t="inlineStr">
        <x:is>
          <x:t xml:space="preserve">ОП-000340</x:t>
        </x:is>
      </x:c>
      <x:c r="F176" s="31" t="inlineStr">
        <x:is>
          <x:t xml:space="preserve">ОБ-001</x:t>
        </x:is>
      </x:c>
      <x:c r="G176" s="31" t="inlineStr">
        <x:is>
          <x:t xml:space="preserve">СОТР-100</x:t>
        </x:is>
      </x:c>
      <x:c r="H176" s="31" t="inlineStr">
        <x:is>
          <x:t xml:space="preserve">ОТК</x:t>
        </x:is>
      </x:c>
      <x:c r="I176" s="31" t="n">
        <x:v>3</x:v>
      </x:c>
      <x:c r="J176" s="31" t="n">
        <x:v>2</x:v>
      </x:c>
      <x:c r="K176" s="31" t="n">
        <x:v>32.8</x:v>
      </x:c>
      <x:c r="L176" s="31" t="n">
        <x:v>33.5</x:v>
      </x:c>
      <x:c r="M176" s="31" t="n">
        <x:v>0</x:v>
      </x:c>
      <x:c r="N176" s="31" t="inlineStr">
        <x:is>
          <x:t xml:space="preserve">Нет</x:t>
        </x:is>
      </x:c>
      <x:c r="O176" s="31" t="inlineStr">
        <x:is>
          <x:t xml:space="preserve">Закрыто</x:t>
        </x:is>
      </x:c>
      <x:c r="P176" s="31" t="inlineStr">
        <x:is>
          <x:t xml:space="preserve">Комментарий смены 187</x:t>
        </x:is>
      </x:c>
    </x:row>
    <x:row r="177" ht="18" customHeight="1">
      <x:c r="A177" s="31" t="inlineStr">
        <x:is>
          <x:t xml:space="preserve">СМ-00188</x:t>
        </x:is>
      </x:c>
      <x:c r="B177" s="31" t="n">
        <x:v>46113</x:v>
      </x:c>
      <x:c r="C177" s="31" t="inlineStr">
        <x:is>
          <x:t xml:space="preserve">День</x:t>
        </x:is>
      </x:c>
      <x:c r="D177" s="31" t="inlineStr">
        <x:is>
          <x:t xml:space="preserve">ПЗ-00030</x:t>
        </x:is>
      </x:c>
      <x:c r="E177" s="31" t="inlineStr">
        <x:is>
          <x:t xml:space="preserve">ОП-000261</x:t>
        </x:is>
      </x:c>
      <x:c r="F177" s="31" t="n"/>
      <x:c r="G177" s="31" t="inlineStr">
        <x:is>
          <x:t xml:space="preserve">СОТР-021</x:t>
        </x:is>
      </x:c>
      <x:c r="H177" s="31" t="inlineStr">
        <x:is>
          <x:t xml:space="preserve">Инженерный отдел</x:t>
        </x:is>
      </x:c>
      <x:c r="I177" s="31" t="n">
        <x:v>3</x:v>
      </x:c>
      <x:c r="J177" s="31" t="n">
        <x:v>3</x:v>
      </x:c>
      <x:c r="K177" s="31" t="n">
        <x:v>69.5</x:v>
      </x:c>
      <x:c r="L177" s="31" t="n">
        <x:v>81.3</x:v>
      </x:c>
      <x:c r="M177" s="31" t="n">
        <x:v>60</x:v>
      </x:c>
      <x:c r="N177" s="31" t="inlineStr">
        <x:is>
          <x:t xml:space="preserve">Нет оператора</x:t>
        </x:is>
      </x:c>
      <x:c r="O177" s="31" t="inlineStr">
        <x:is>
          <x:t xml:space="preserve">Подтверждено мастером</x:t>
        </x:is>
      </x:c>
      <x:c r="P177" s="31" t="inlineStr">
        <x:is>
          <x:t xml:space="preserve">Комментарий смены 188</x:t>
        </x:is>
      </x:c>
    </x:row>
    <x:row r="178" ht="18" customHeight="1">
      <x:c r="A178" s="31" t="inlineStr">
        <x:is>
          <x:t xml:space="preserve">СМ-00189</x:t>
        </x:is>
      </x:c>
      <x:c r="B178" s="31" t="n">
        <x:v>46158</x:v>
      </x:c>
      <x:c r="C178" s="31" t="inlineStr">
        <x:is>
          <x:t xml:space="preserve">День</x:t>
        </x:is>
      </x:c>
      <x:c r="D178" s="31" t="inlineStr">
        <x:is>
          <x:t xml:space="preserve">ПЗ-00061</x:t>
        </x:is>
      </x:c>
      <x:c r="E178" s="31" t="inlineStr">
        <x:is>
          <x:t xml:space="preserve">ОП-000512</x:t>
        </x:is>
      </x:c>
      <x:c r="F178" s="31" t="inlineStr">
        <x:is>
          <x:t xml:space="preserve">ОБ-012</x:t>
        </x:is>
      </x:c>
      <x:c r="G178" s="31" t="inlineStr">
        <x:is>
          <x:t xml:space="preserve">СОТР-073</x:t>
        </x:is>
      </x:c>
      <x:c r="H178" s="31" t="inlineStr">
        <x:is>
          <x:t xml:space="preserve">Сборка</x:t>
        </x:is>
      </x:c>
      <x:c r="I178" s="31" t="n">
        <x:v>3</x:v>
      </x:c>
      <x:c r="J178" s="31" t="n">
        <x:v>3</x:v>
      </x:c>
      <x:c r="K178" s="31" t="n">
        <x:v>33</x:v>
      </x:c>
      <x:c r="L178" s="31" t="n">
        <x:v>27.7</x:v>
      </x:c>
      <x:c r="M178" s="31" t="n">
        <x:v>0</x:v>
      </x:c>
      <x:c r="N178" s="31" t="inlineStr">
        <x:is>
          <x:t xml:space="preserve">Нет</x:t>
        </x:is>
      </x:c>
      <x:c r="O178" s="31" t="inlineStr">
        <x:is>
          <x:t xml:space="preserve">Подтверждено мастером</x:t>
        </x:is>
      </x:c>
      <x:c r="P178" s="31" t="inlineStr">
        <x:is>
          <x:t xml:space="preserve">Комментарий смены 189</x:t>
        </x:is>
      </x:c>
    </x:row>
    <x:row r="179" ht="18" customHeight="1">
      <x:c r="A179" s="31" t="inlineStr">
        <x:is>
          <x:t xml:space="preserve">СМ-00190</x:t>
        </x:is>
      </x:c>
      <x:c r="B179" s="31" t="n">
        <x:v>46157</x:v>
      </x:c>
      <x:c r="C179" s="31" t="inlineStr">
        <x:is>
          <x:t xml:space="preserve">День</x:t>
        </x:is>
      </x:c>
      <x:c r="D179" s="31" t="inlineStr">
        <x:is>
          <x:t xml:space="preserve">ПЗ-00010</x:t>
        </x:is>
      </x:c>
      <x:c r="E179" s="31" t="inlineStr">
        <x:is>
          <x:t xml:space="preserve">ОП-000077</x:t>
        </x:is>
      </x:c>
      <x:c r="F179" s="31" t="n"/>
      <x:c r="G179" s="31" t="inlineStr">
        <x:is>
          <x:t xml:space="preserve">СОТР-017</x:t>
        </x:is>
      </x:c>
      <x:c r="H179" s="31" t="inlineStr">
        <x:is>
          <x:t xml:space="preserve">Инженерный отдел</x:t>
        </x:is>
      </x:c>
      <x:c r="I179" s="31" t="n">
        <x:v>1</x:v>
      </x:c>
      <x:c r="J179" s="31" t="n">
        <x:v>0</x:v>
      </x:c>
      <x:c r="K179" s="31" t="n">
        <x:v>15.3</x:v>
      </x:c>
      <x:c r="L179" s="31" t="n">
        <x:v>13.9</x:v>
      </x:c>
      <x:c r="M179" s="31" t="n">
        <x:v>0</x:v>
      </x:c>
      <x:c r="N179" s="31" t="inlineStr">
        <x:is>
          <x:t xml:space="preserve">Нет</x:t>
        </x:is>
      </x:c>
      <x:c r="O179" s="31" t="inlineStr">
        <x:is>
          <x:t xml:space="preserve">Подтверждено мастером</x:t>
        </x:is>
      </x:c>
      <x:c r="P179" s="31" t="inlineStr">
        <x:is>
          <x:t xml:space="preserve">Комментарий смены 190</x:t>
        </x:is>
      </x:c>
    </x:row>
    <x:row r="180" ht="18" customHeight="1">
      <x:c r="A180" s="31" t="inlineStr">
        <x:is>
          <x:t xml:space="preserve">СМ-00191</x:t>
        </x:is>
      </x:c>
      <x:c r="B180" s="31" t="n">
        <x:v>46106</x:v>
      </x:c>
      <x:c r="C180" s="31" t="inlineStr">
        <x:is>
          <x:t xml:space="preserve">Вечер</x:t>
        </x:is>
      </x:c>
      <x:c r="D180" s="31" t="inlineStr">
        <x:is>
          <x:t xml:space="preserve">ПЗ-00031</x:t>
        </x:is>
      </x:c>
      <x:c r="E180" s="31" t="inlineStr">
        <x:is>
          <x:t xml:space="preserve">ОП-000266</x:t>
        </x:is>
      </x:c>
      <x:c r="F180" s="31" t="inlineStr">
        <x:is>
          <x:t xml:space="preserve">ОБ-023</x:t>
        </x:is>
      </x:c>
      <x:c r="G180" s="31" t="inlineStr">
        <x:is>
          <x:t xml:space="preserve">СОТР-039</x:t>
        </x:is>
      </x:c>
      <x:c r="H180" s="31" t="inlineStr">
        <x:is>
          <x:t xml:space="preserve">Склад</x:t>
        </x:is>
      </x:c>
      <x:c r="I180" s="31" t="n">
        <x:v>4</x:v>
      </x:c>
      <x:c r="J180" s="31" t="n">
        <x:v>4</x:v>
      </x:c>
      <x:c r="K180" s="31" t="n">
        <x:v>51</x:v>
      </x:c>
      <x:c r="L180" s="31" t="n">
        <x:v>66.40000000000001</x:v>
      </x:c>
      <x:c r="M180" s="31" t="n">
        <x:v>90</x:v>
      </x:c>
      <x:c r="N180" s="31" t="inlineStr">
        <x:is>
          <x:t xml:space="preserve">Переналадка</x:t>
        </x:is>
      </x:c>
      <x:c r="O180" s="31" t="inlineStr">
        <x:is>
          <x:t xml:space="preserve">Подтверждено мастером</x:t>
        </x:is>
      </x:c>
      <x:c r="P180" s="31" t="inlineStr">
        <x:is>
          <x:t xml:space="preserve">Комментарий смены 191</x:t>
        </x:is>
      </x:c>
    </x:row>
    <x:row r="181" ht="18" customHeight="1">
      <x:c r="A181" s="31" t="inlineStr">
        <x:is>
          <x:t xml:space="preserve">СМ-00192</x:t>
        </x:is>
      </x:c>
      <x:c r="B181" s="31" t="n">
        <x:v>46131</x:v>
      </x:c>
      <x:c r="C181" s="31" t="inlineStr">
        <x:is>
          <x:t xml:space="preserve">Вечер</x:t>
        </x:is>
      </x:c>
      <x:c r="D181" s="31" t="inlineStr">
        <x:is>
          <x:t xml:space="preserve">ПЗ-00263</x:t>
        </x:is>
      </x:c>
      <x:c r="E181" s="31" t="inlineStr">
        <x:is>
          <x:t xml:space="preserve">ОП-002190</x:t>
        </x:is>
      </x:c>
      <x:c r="F181" s="31" t="inlineStr">
        <x:is>
          <x:t xml:space="preserve">ОБ-019</x:t>
        </x:is>
      </x:c>
      <x:c r="G181" s="31" t="inlineStr">
        <x:is>
          <x:t xml:space="preserve">СОТР-056</x:t>
        </x:is>
      </x:c>
      <x:c r="H181" s="31" t="inlineStr">
        <x:is>
          <x:t xml:space="preserve">Сварка</x:t>
        </x:is>
      </x:c>
      <x:c r="I181" s="31" t="n">
        <x:v>1</x:v>
      </x:c>
      <x:c r="J181" s="31" t="n">
        <x:v>1</x:v>
      </x:c>
      <x:c r="K181" s="31" t="n">
        <x:v>3.5</x:v>
      </x:c>
      <x:c r="L181" s="31" t="n">
        <x:v>3.3</x:v>
      </x:c>
      <x:c r="M181" s="31" t="n">
        <x:v>0</x:v>
      </x:c>
      <x:c r="N181" s="31" t="inlineStr">
        <x:is>
          <x:t xml:space="preserve">Нет</x:t>
        </x:is>
      </x:c>
      <x:c r="O181" s="31" t="inlineStr">
        <x:is>
          <x:t xml:space="preserve">Подтверждено мастером</x:t>
        </x:is>
      </x:c>
      <x:c r="P181" s="31" t="inlineStr">
        <x:is>
          <x:t xml:space="preserve">Комментарий смены 192</x:t>
        </x:is>
      </x:c>
    </x:row>
    <x:row r="182" ht="18" customHeight="1">
      <x:c r="A182" s="31" t="inlineStr">
        <x:is>
          <x:t xml:space="preserve">СМ-00193</x:t>
        </x:is>
      </x:c>
      <x:c r="B182" s="31" t="n">
        <x:v>46049</x:v>
      </x:c>
      <x:c r="C182" s="31" t="inlineStr">
        <x:is>
          <x:t xml:space="preserve">Ночь</x:t>
        </x:is>
      </x:c>
      <x:c r="D182" s="31" t="inlineStr">
        <x:is>
          <x:t xml:space="preserve">ПЗ-00219</x:t>
        </x:is>
      </x:c>
      <x:c r="E182" s="31" t="inlineStr">
        <x:is>
          <x:t xml:space="preserve">ОП-001837</x:t>
        </x:is>
      </x:c>
      <x:c r="F182" s="31" t="n"/>
      <x:c r="G182" s="31" t="inlineStr">
        <x:is>
          <x:t xml:space="preserve">СОТР-012</x:t>
        </x:is>
      </x:c>
      <x:c r="H182" s="31" t="inlineStr">
        <x:is>
          <x:t xml:space="preserve">Инженерный отдел</x:t>
        </x:is>
      </x:c>
      <x:c r="I182" s="31" t="n">
        <x:v>2</x:v>
      </x:c>
      <x:c r="J182" s="31" t="n">
        <x:v>2</x:v>
      </x:c>
      <x:c r="K182" s="31" t="n">
        <x:v>36</x:v>
      </x:c>
      <x:c r="L182" s="31" t="n">
        <x:v>44.7</x:v>
      </x:c>
      <x:c r="M182" s="31" t="n">
        <x:v>30</x:v>
      </x:c>
      <x:c r="N182" s="31" t="inlineStr">
        <x:is>
          <x:t xml:space="preserve">Ожидание материала</x:t>
        </x:is>
      </x:c>
      <x:c r="O182" s="31" t="inlineStr">
        <x:is>
          <x:t xml:space="preserve">Подтверждено мастером</x:t>
        </x:is>
      </x:c>
      <x:c r="P182" s="31" t="inlineStr">
        <x:is>
          <x:t xml:space="preserve">Комментарий смены 193</x:t>
        </x:is>
      </x:c>
    </x:row>
    <x:row r="183" ht="18" customHeight="1">
      <x:c r="A183" s="31" t="inlineStr">
        <x:is>
          <x:t xml:space="preserve">СМ-00194</x:t>
        </x:is>
      </x:c>
      <x:c r="B183" s="31" t="n">
        <x:v>46064</x:v>
      </x:c>
      <x:c r="C183" s="31" t="inlineStr">
        <x:is>
          <x:t xml:space="preserve">День</x:t>
        </x:is>
      </x:c>
      <x:c r="D183" s="31" t="inlineStr">
        <x:is>
          <x:t xml:space="preserve">ПЗ-00253</x:t>
        </x:is>
      </x:c>
      <x:c r="E183" s="31" t="inlineStr">
        <x:is>
          <x:t xml:space="preserve">ОП-002118</x:t>
        </x:is>
      </x:c>
      <x:c r="F183" s="31" t="inlineStr">
        <x:is>
          <x:t xml:space="preserve">ОБ-033</x:t>
        </x:is>
      </x:c>
      <x:c r="G183" s="31" t="inlineStr">
        <x:is>
          <x:t xml:space="preserve">СОТР-095</x:t>
        </x:is>
      </x:c>
      <x:c r="H183" s="31" t="inlineStr">
        <x:is>
          <x:t xml:space="preserve">ОТК</x:t>
        </x:is>
      </x:c>
      <x:c r="I183" s="31" t="n">
        <x:v>1</x:v>
      </x:c>
      <x:c r="J183" s="31" t="n">
        <x:v>1</x:v>
      </x:c>
      <x:c r="K183" s="31" t="n">
        <x:v>9.6</x:v>
      </x:c>
      <x:c r="L183" s="31" t="n">
        <x:v>9.199999999999999</x:v>
      </x:c>
      <x:c r="M183" s="31" t="n">
        <x:v>60</x:v>
      </x:c>
      <x:c r="N183" s="31" t="inlineStr">
        <x:is>
          <x:t xml:space="preserve">Ремонт оборудования</x:t>
        </x:is>
      </x:c>
      <x:c r="O183" s="31" t="inlineStr">
        <x:is>
          <x:t xml:space="preserve">Подтверждено мастером</x:t>
        </x:is>
      </x:c>
      <x:c r="P183" s="31" t="inlineStr">
        <x:is>
          <x:t xml:space="preserve">Комментарий смены 194</x:t>
        </x:is>
      </x:c>
    </x:row>
    <x:row r="184" ht="18" customHeight="1">
      <x:c r="A184" s="31" t="inlineStr">
        <x:is>
          <x:t xml:space="preserve">СМ-00196</x:t>
        </x:is>
      </x:c>
      <x:c r="B184" s="31" t="n">
        <x:v>46161</x:v>
      </x:c>
      <x:c r="C184" s="31" t="inlineStr">
        <x:is>
          <x:t xml:space="preserve">День</x:t>
        </x:is>
      </x:c>
      <x:c r="D184" s="31" t="inlineStr">
        <x:is>
          <x:t xml:space="preserve">ПЗ-00010</x:t>
        </x:is>
      </x:c>
      <x:c r="E184" s="31" t="inlineStr">
        <x:is>
          <x:t xml:space="preserve">ОП-000080</x:t>
        </x:is>
      </x:c>
      <x:c r="F184" s="31" t="inlineStr">
        <x:is>
          <x:t xml:space="preserve">ОБ-035</x:t>
        </x:is>
      </x:c>
      <x:c r="G184" s="31" t="inlineStr">
        <x:is>
          <x:t xml:space="preserve">СОТР-056</x:t>
        </x:is>
      </x:c>
      <x:c r="H184" s="31" t="inlineStr">
        <x:is>
          <x:t xml:space="preserve">Сварка</x:t>
        </x:is>
      </x:c>
      <x:c r="I184" s="31" t="n">
        <x:v>1</x:v>
      </x:c>
      <x:c r="J184" s="31" t="n">
        <x:v>2</x:v>
      </x:c>
      <x:c r="K184" s="31" t="n">
        <x:v>8.5</x:v>
      </x:c>
      <x:c r="L184" s="31" t="n">
        <x:v>8.699999999999999</x:v>
      </x:c>
      <x:c r="M184" s="31" t="n">
        <x:v>60</x:v>
      </x:c>
      <x:c r="N184" s="31" t="inlineStr">
        <x:is>
          <x:t xml:space="preserve">Переналадка</x:t>
        </x:is>
      </x:c>
      <x:c r="O184" s="31" t="inlineStr">
        <x:is>
          <x:t xml:space="preserve">Закрыто</x:t>
        </x:is>
      </x:c>
      <x:c r="P184" s="31" t="inlineStr">
        <x:is>
          <x:t xml:space="preserve">Комментарий смены 196</x:t>
        </x:is>
      </x:c>
    </x:row>
    <x:row r="185" ht="18" customHeight="1">
      <x:c r="A185" s="31" t="inlineStr">
        <x:is>
          <x:t xml:space="preserve">СМ-00197</x:t>
        </x:is>
      </x:c>
      <x:c r="B185" s="31" t="n">
        <x:v>46140</x:v>
      </x:c>
      <x:c r="C185" s="31" t="inlineStr">
        <x:is>
          <x:t xml:space="preserve">День</x:t>
        </x:is>
      </x:c>
      <x:c r="D185" s="31" t="inlineStr">
        <x:is>
          <x:t xml:space="preserve">ПЗ-00090</x:t>
        </x:is>
      </x:c>
      <x:c r="E185" s="31" t="inlineStr">
        <x:is>
          <x:t xml:space="preserve">ОП-000763</x:t>
        </x:is>
      </x:c>
      <x:c r="F185" s="31" t="inlineStr">
        <x:is>
          <x:t xml:space="preserve">ОБ-019</x:t>
        </x:is>
      </x:c>
      <x:c r="G185" s="31" t="inlineStr">
        <x:is>
          <x:t xml:space="preserve">СОТР-059</x:t>
        </x:is>
      </x:c>
      <x:c r="H185" s="31" t="inlineStr">
        <x:is>
          <x:t xml:space="preserve">Сварка</x:t>
        </x:is>
      </x:c>
      <x:c r="I185" s="31" t="n">
        <x:v>3</x:v>
      </x:c>
      <x:c r="J185" s="31" t="n">
        <x:v>3</x:v>
      </x:c>
      <x:c r="K185" s="31" t="n">
        <x:v>50.1</x:v>
      </x:c>
      <x:c r="L185" s="31" t="n">
        <x:v>46.8</x:v>
      </x:c>
      <x:c r="M185" s="31" t="n">
        <x:v>0</x:v>
      </x:c>
      <x:c r="N185" s="31" t="inlineStr">
        <x:is>
          <x:t xml:space="preserve">Нет</x:t>
        </x:is>
      </x:c>
      <x:c r="O185" s="31" t="inlineStr">
        <x:is>
          <x:t xml:space="preserve">Подтверждено мастером</x:t>
        </x:is>
      </x:c>
      <x:c r="P185" s="31" t="inlineStr">
        <x:is>
          <x:t xml:space="preserve">Комментарий смены 197</x:t>
        </x:is>
      </x:c>
    </x:row>
    <x:row r="186" ht="18" customHeight="1">
      <x:c r="A186" s="31" t="inlineStr">
        <x:is>
          <x:t xml:space="preserve">СМ-00198</x:t>
        </x:is>
      </x:c>
      <x:c r="B186" s="31" t="n">
        <x:v>46059</x:v>
      </x:c>
      <x:c r="C186" s="31" t="inlineStr">
        <x:is>
          <x:t xml:space="preserve">Вечер</x:t>
        </x:is>
      </x:c>
      <x:c r="D186" s="31" t="inlineStr">
        <x:is>
          <x:t xml:space="preserve">ПЗ-00093</x:t>
        </x:is>
      </x:c>
      <x:c r="E186" s="31" t="inlineStr">
        <x:is>
          <x:t xml:space="preserve">ОП-000783</x:t>
        </x:is>
      </x:c>
      <x:c r="F186" s="31" t="inlineStr">
        <x:is>
          <x:t xml:space="preserve">ОБ-008</x:t>
        </x:is>
      </x:c>
      <x:c r="G186" s="31" t="inlineStr">
        <x:is>
          <x:t xml:space="preserve">СОТР-035</x:t>
        </x:is>
      </x:c>
      <x:c r="H186" s="31" t="inlineStr">
        <x:is>
          <x:t xml:space="preserve">Склад</x:t>
        </x:is>
      </x:c>
      <x:c r="I186" s="31" t="n">
        <x:v>1</x:v>
      </x:c>
      <x:c r="J186" s="31" t="n">
        <x:v>1</x:v>
      </x:c>
      <x:c r="K186" s="31" t="n">
        <x:v>99.59999999999999</x:v>
      </x:c>
      <x:c r="L186" s="31" t="n">
        <x:v>109.8</x:v>
      </x:c>
      <x:c r="M186" s="31" t="n">
        <x:v>0</x:v>
      </x:c>
      <x:c r="N186" s="31" t="inlineStr">
        <x:is>
          <x:t xml:space="preserve">Нет</x:t>
        </x:is>
      </x:c>
      <x:c r="O186" s="31" t="inlineStr">
        <x:is>
          <x:t xml:space="preserve">Подтверждено мастером</x:t>
        </x:is>
      </x:c>
      <x:c r="P186" s="31" t="inlineStr">
        <x:is>
          <x:t xml:space="preserve">Комментарий смены 198</x:t>
        </x:is>
      </x:c>
    </x:row>
    <x:row r="187" ht="18" customHeight="1">
      <x:c r="A187" s="31" t="inlineStr">
        <x:is>
          <x:t xml:space="preserve">СМ-00199</x:t>
        </x:is>
      </x:c>
      <x:c r="B187" s="31" t="n">
        <x:v>46222</x:v>
      </x:c>
      <x:c r="C187" s="31" t="inlineStr">
        <x:is>
          <x:t xml:space="preserve">Ночь</x:t>
        </x:is>
      </x:c>
      <x:c r="D187" s="31" t="inlineStr">
        <x:is>
          <x:t xml:space="preserve">ПЗ-00183</x:t>
        </x:is>
      </x:c>
      <x:c r="E187" s="31" t="inlineStr">
        <x:is>
          <x:t xml:space="preserve">ОП-001523</x:t>
        </x:is>
      </x:c>
      <x:c r="F187" s="31" t="inlineStr">
        <x:is>
          <x:t xml:space="preserve">ОБ-001</x:t>
        </x:is>
      </x:c>
      <x:c r="G187" s="31" t="inlineStr">
        <x:is>
          <x:t xml:space="preserve">СОТР-098</x:t>
        </x:is>
      </x:c>
      <x:c r="H187" s="31" t="inlineStr">
        <x:is>
          <x:t xml:space="preserve">ОТК</x:t>
        </x:is>
      </x:c>
      <x:c r="I187" s="31" t="n">
        <x:v>2</x:v>
      </x:c>
      <x:c r="J187" s="31" t="n">
        <x:v>2</x:v>
      </x:c>
      <x:c r="K187" s="31" t="n">
        <x:v>47.2</x:v>
      </x:c>
      <x:c r="L187" s="31" t="n">
        <x:v>47.8</x:v>
      </x:c>
      <x:c r="M187" s="31" t="n">
        <x:v>30</x:v>
      </x:c>
      <x:c r="N187" s="31" t="inlineStr">
        <x:is>
          <x:t xml:space="preserve">Ожидание материала</x:t>
        </x:is>
      </x:c>
      <x:c r="O187" s="31" t="inlineStr">
        <x:is>
          <x:t xml:space="preserve">Закрыто</x:t>
        </x:is>
      </x:c>
      <x:c r="P187" s="31" t="inlineStr">
        <x:is>
          <x:t xml:space="preserve">Комментарий смены 199</x:t>
        </x:is>
      </x:c>
    </x:row>
    <x:row r="188" ht="18" customHeight="1">
      <x:c r="A188" s="31" t="inlineStr">
        <x:is>
          <x:t xml:space="preserve">СМ-00200</x:t>
        </x:is>
      </x:c>
      <x:c r="B188" s="31" t="n">
        <x:v>46059</x:v>
      </x:c>
      <x:c r="C188" s="31" t="inlineStr">
        <x:is>
          <x:t xml:space="preserve">Ночь</x:t>
        </x:is>
      </x:c>
      <x:c r="D188" s="31" t="inlineStr">
        <x:is>
          <x:t xml:space="preserve">ПЗ-00114</x:t>
        </x:is>
      </x:c>
      <x:c r="E188" s="31" t="inlineStr">
        <x:is>
          <x:t xml:space="preserve">ОП-000959</x:t>
        </x:is>
      </x:c>
      <x:c r="F188" s="31" t="inlineStr">
        <x:is>
          <x:t xml:space="preserve">ОБ-018</x:t>
        </x:is>
      </x:c>
      <x:c r="G188" s="31" t="inlineStr">
        <x:is>
          <x:t xml:space="preserve">СОТР-056</x:t>
        </x:is>
      </x:c>
      <x:c r="H188" s="31" t="inlineStr">
        <x:is>
          <x:t xml:space="preserve">Сварка</x:t>
        </x:is>
      </x:c>
      <x:c r="I188" s="31" t="n">
        <x:v>1</x:v>
      </x:c>
      <x:c r="J188" s="31" t="n">
        <x:v>2</x:v>
      </x:c>
      <x:c r="K188" s="31" t="n">
        <x:v>14.3</x:v>
      </x:c>
      <x:c r="L188" s="31" t="n">
        <x:v>14.5</x:v>
      </x:c>
      <x:c r="M188" s="31" t="n">
        <x:v>60</x:v>
      </x:c>
      <x:c r="N188" s="31" t="inlineStr">
        <x:is>
          <x:t xml:space="preserve">Нет оператора</x:t>
        </x:is>
      </x:c>
      <x:c r="O188" s="31" t="inlineStr">
        <x:is>
          <x:t xml:space="preserve">Закрыто</x:t>
        </x:is>
      </x:c>
      <x:c r="P188" s="31" t="inlineStr">
        <x:is>
          <x:t xml:space="preserve">Комментарий смены 200</x:t>
        </x:is>
      </x:c>
    </x:row>
    <x:row r="189" ht="18" customHeight="1">
      <x:c r="A189" s="31" t="inlineStr">
        <x:is>
          <x:t xml:space="preserve">СМ-00201</x:t>
        </x:is>
      </x:c>
      <x:c r="B189" s="31" t="n">
        <x:v>46119</x:v>
      </x:c>
      <x:c r="C189" s="31" t="inlineStr">
        <x:is>
          <x:t xml:space="preserve">День</x:t>
        </x:is>
      </x:c>
      <x:c r="D189" s="31" t="inlineStr">
        <x:is>
          <x:t xml:space="preserve">ПЗ-00110</x:t>
        </x:is>
      </x:c>
      <x:c r="E189" s="31" t="inlineStr">
        <x:is>
          <x:t xml:space="preserve">ОП-000925</x:t>
        </x:is>
      </x:c>
      <x:c r="F189" s="31" t="inlineStr">
        <x:is>
          <x:t xml:space="preserve">ОБ-014</x:t>
        </x:is>
      </x:c>
      <x:c r="G189" s="31" t="inlineStr">
        <x:is>
          <x:t xml:space="preserve">СОТР-075</x:t>
        </x:is>
      </x:c>
      <x:c r="H189" s="31" t="inlineStr">
        <x:is>
          <x:t xml:space="preserve">Сборка</x:t>
        </x:is>
      </x:c>
      <x:c r="I189" s="31" t="n">
        <x:v>2</x:v>
      </x:c>
      <x:c r="J189" s="31" t="n">
        <x:v>0</x:v>
      </x:c>
      <x:c r="K189" s="31" t="n">
        <x:v>33.6</x:v>
      </x:c>
      <x:c r="L189" s="31" t="n">
        <x:v>27.6</x:v>
      </x:c>
      <x:c r="M189" s="31" t="n">
        <x:v>60</x:v>
      </x:c>
      <x:c r="N189" s="31" t="inlineStr">
        <x:is>
          <x:t xml:space="preserve">Нет оператора</x:t>
        </x:is>
      </x:c>
      <x:c r="O189" s="31" t="inlineStr">
        <x:is>
          <x:t xml:space="preserve">Закрыто</x:t>
        </x:is>
      </x:c>
      <x:c r="P189" s="31" t="inlineStr">
        <x:is>
          <x:t xml:space="preserve">Комментарий смены 201</x:t>
        </x:is>
      </x:c>
    </x:row>
    <x:row r="190" ht="18" customHeight="1">
      <x:c r="A190" s="31" t="inlineStr">
        <x:is>
          <x:t xml:space="preserve">СМ-00202</x:t>
        </x:is>
      </x:c>
      <x:c r="B190" s="31" t="n">
        <x:v>46097</x:v>
      </x:c>
      <x:c r="C190" s="31" t="inlineStr">
        <x:is>
          <x:t xml:space="preserve">Ночь</x:t>
        </x:is>
      </x:c>
      <x:c r="D190" s="31" t="inlineStr">
        <x:is>
          <x:t xml:space="preserve">ПЗ-00208</x:t>
        </x:is>
      </x:c>
      <x:c r="E190" s="31" t="inlineStr">
        <x:is>
          <x:t xml:space="preserve">ОП-001748</x:t>
        </x:is>
      </x:c>
      <x:c r="F190" s="31" t="inlineStr">
        <x:is>
          <x:t xml:space="preserve">ОБ-013</x:t>
        </x:is>
      </x:c>
      <x:c r="G190" s="31" t="inlineStr">
        <x:is>
          <x:t xml:space="preserve">СОТР-097</x:t>
        </x:is>
      </x:c>
      <x:c r="H190" s="31" t="inlineStr">
        <x:is>
          <x:t xml:space="preserve">ОТК</x:t>
        </x:is>
      </x:c>
      <x:c r="I190" s="31" t="n">
        <x:v>2</x:v>
      </x:c>
      <x:c r="J190" s="31" t="n">
        <x:v>2</x:v>
      </x:c>
      <x:c r="K190" s="31" t="n">
        <x:v>4.8</x:v>
      </x:c>
      <x:c r="L190" s="31" t="n">
        <x:v>4.5</x:v>
      </x:c>
      <x:c r="M190" s="31" t="n">
        <x:v>45</x:v>
      </x:c>
      <x:c r="N190" s="31" t="inlineStr">
        <x:is>
          <x:t xml:space="preserve">Нет оператора</x:t>
        </x:is>
      </x:c>
      <x:c r="O190" s="31" t="inlineStr">
        <x:is>
          <x:t xml:space="preserve">Подтверждено мастером</x:t>
        </x:is>
      </x:c>
      <x:c r="P190" s="31" t="inlineStr">
        <x:is>
          <x:t xml:space="preserve">Комментарий смены 202</x:t>
        </x:is>
      </x:c>
    </x:row>
    <x:row r="191" ht="18" customHeight="1">
      <x:c r="A191" s="31" t="inlineStr">
        <x:is>
          <x:t xml:space="preserve">СМ-00203</x:t>
        </x:is>
      </x:c>
      <x:c r="B191" s="31" t="n">
        <x:v>46094</x:v>
      </x:c>
      <x:c r="C191" s="31" t="inlineStr">
        <x:is>
          <x:t xml:space="preserve">Ночь</x:t>
        </x:is>
      </x:c>
      <x:c r="D191" s="31" t="inlineStr">
        <x:is>
          <x:t xml:space="preserve">ПЗ-00207</x:t>
        </x:is>
      </x:c>
      <x:c r="E191" s="31" t="inlineStr">
        <x:is>
          <x:t xml:space="preserve">ОП-001737</x:t>
        </x:is>
      </x:c>
      <x:c r="F191" s="31" t="inlineStr">
        <x:is>
          <x:t xml:space="preserve">ОБ-034</x:t>
        </x:is>
      </x:c>
      <x:c r="G191" s="31" t="inlineStr">
        <x:is>
          <x:t xml:space="preserve">СОТР-081</x:t>
        </x:is>
      </x:c>
      <x:c r="H191" s="31" t="inlineStr">
        <x:is>
          <x:t xml:space="preserve">Сборка</x:t>
        </x:is>
      </x:c>
      <x:c r="I191" s="31" t="n">
        <x:v>1</x:v>
      </x:c>
      <x:c r="J191" s="31" t="n">
        <x:v>1</x:v>
      </x:c>
      <x:c r="K191" s="31" t="n">
        <x:v>7.9</x:v>
      </x:c>
      <x:c r="L191" s="31" t="n">
        <x:v>9.699999999999999</x:v>
      </x:c>
      <x:c r="M191" s="31" t="n">
        <x:v>120</x:v>
      </x:c>
      <x:c r="N191" s="31" t="inlineStr">
        <x:is>
          <x:t xml:space="preserve">Переналадка</x:t>
        </x:is>
      </x:c>
      <x:c r="O191" s="31" t="inlineStr">
        <x:is>
          <x:t xml:space="preserve">Закрыто</x:t>
        </x:is>
      </x:c>
      <x:c r="P191" s="31" t="inlineStr">
        <x:is>
          <x:t xml:space="preserve">Комментарий смены 203</x:t>
        </x:is>
      </x:c>
    </x:row>
    <x:row r="192" ht="18" customHeight="1">
      <x:c r="A192" s="31" t="inlineStr">
        <x:is>
          <x:t xml:space="preserve">СМ-00204</x:t>
        </x:is>
      </x:c>
      <x:c r="B192" s="31" t="n">
        <x:v>46157</x:v>
      </x:c>
      <x:c r="C192" s="31" t="inlineStr">
        <x:is>
          <x:t xml:space="preserve">День</x:t>
        </x:is>
      </x:c>
      <x:c r="D192" s="31" t="inlineStr">
        <x:is>
          <x:t xml:space="preserve">ПЗ-00239</x:t>
        </x:is>
      </x:c>
      <x:c r="E192" s="31" t="inlineStr">
        <x:is>
          <x:t xml:space="preserve">ОП-001999</x:t>
        </x:is>
      </x:c>
      <x:c r="F192" s="31" t="inlineStr">
        <x:is>
          <x:t xml:space="preserve">ОБ-018</x:t>
        </x:is>
      </x:c>
      <x:c r="G192" s="31" t="inlineStr">
        <x:is>
          <x:t xml:space="preserve">СОТР-059</x:t>
        </x:is>
      </x:c>
      <x:c r="H192" s="31" t="inlineStr">
        <x:is>
          <x:t xml:space="preserve">Сварка</x:t>
        </x:is>
      </x:c>
      <x:c r="I192" s="31" t="n">
        <x:v>2</x:v>
      </x:c>
      <x:c r="J192" s="31" t="n">
        <x:v>2</x:v>
      </x:c>
      <x:c r="K192" s="31" t="n">
        <x:v>12.4</x:v>
      </x:c>
      <x:c r="L192" s="31" t="n">
        <x:v>16.2</x:v>
      </x:c>
      <x:c r="M192" s="31" t="n">
        <x:v>60</x:v>
      </x:c>
      <x:c r="N192" s="31" t="inlineStr">
        <x:is>
          <x:t xml:space="preserve">Ожидание ОТК</x:t>
        </x:is>
      </x:c>
      <x:c r="O192" s="31" t="inlineStr">
        <x:is>
          <x:t xml:space="preserve">Подтверждено мастером</x:t>
        </x:is>
      </x:c>
      <x:c r="P192" s="31" t="inlineStr">
        <x:is>
          <x:t xml:space="preserve">Комментарий смены 204</x:t>
        </x:is>
      </x:c>
    </x:row>
    <x:row r="193" ht="18" customHeight="1">
      <x:c r="A193" s="31" t="inlineStr">
        <x:is>
          <x:t xml:space="preserve">СМ-00205</x:t>
        </x:is>
      </x:c>
      <x:c r="B193" s="31" t="n">
        <x:v>46141</x:v>
      </x:c>
      <x:c r="C193" s="31" t="inlineStr">
        <x:is>
          <x:t xml:space="preserve">Ночь</x:t>
        </x:is>
      </x:c>
      <x:c r="D193" s="31" t="inlineStr">
        <x:is>
          <x:t xml:space="preserve">ПЗ-00233</x:t>
        </x:is>
      </x:c>
      <x:c r="E193" s="31" t="inlineStr">
        <x:is>
          <x:t xml:space="preserve">ОП-001953</x:t>
        </x:is>
      </x:c>
      <x:c r="F193" s="31" t="inlineStr">
        <x:is>
          <x:t xml:space="preserve">ОБ-014</x:t>
        </x:is>
      </x:c>
      <x:c r="G193" s="31" t="inlineStr">
        <x:is>
          <x:t xml:space="preserve">СОТР-073</x:t>
        </x:is>
      </x:c>
      <x:c r="H193" s="31" t="inlineStr">
        <x:is>
          <x:t xml:space="preserve">Сборка</x:t>
        </x:is>
      </x:c>
      <x:c r="I193" s="31" t="n">
        <x:v>1</x:v>
      </x:c>
      <x:c r="J193" s="31" t="n">
        <x:v>1</x:v>
      </x:c>
      <x:c r="K193" s="31" t="n">
        <x:v>9.4</x:v>
      </x:c>
      <x:c r="L193" s="31" t="n">
        <x:v>7.8</x:v>
      </x:c>
      <x:c r="M193" s="31" t="n">
        <x:v>15</x:v>
      </x:c>
      <x:c r="N193" s="31" t="inlineStr">
        <x:is>
          <x:t xml:space="preserve">Ремонт оборудования</x:t>
        </x:is>
      </x:c>
      <x:c r="O193" s="31" t="inlineStr">
        <x:is>
          <x:t xml:space="preserve">Подтверждено мастером</x:t>
        </x:is>
      </x:c>
      <x:c r="P193" s="31" t="inlineStr">
        <x:is>
          <x:t xml:space="preserve">Комментарий смены 205</x:t>
        </x:is>
      </x:c>
    </x:row>
    <x:row r="194" ht="18" customHeight="1">
      <x:c r="A194" s="31" t="inlineStr">
        <x:is>
          <x:t xml:space="preserve">СМ-00206</x:t>
        </x:is>
      </x:c>
      <x:c r="B194" s="31" t="n">
        <x:v>46092</x:v>
      </x:c>
      <x:c r="C194" s="31" t="inlineStr">
        <x:is>
          <x:t xml:space="preserve">Вечер</x:t>
        </x:is>
      </x:c>
      <x:c r="D194" s="31" t="inlineStr">
        <x:is>
          <x:t xml:space="preserve">ПЗ-00024</x:t>
        </x:is>
      </x:c>
      <x:c r="E194" s="31" t="inlineStr">
        <x:is>
          <x:t xml:space="preserve">ОП-000210</x:t>
        </x:is>
      </x:c>
      <x:c r="F194" s="31" t="n"/>
      <x:c r="G194" s="31" t="inlineStr">
        <x:is>
          <x:t xml:space="preserve">СОТР-104</x:t>
        </x:is>
      </x:c>
      <x:c r="H194" s="31" t="inlineStr">
        <x:is>
          <x:t xml:space="preserve">Логистика</x:t>
        </x:is>
      </x:c>
      <x:c r="I194" s="31" t="n">
        <x:v>2</x:v>
      </x:c>
      <x:c r="J194" s="31" t="n">
        <x:v>1</x:v>
      </x:c>
      <x:c r="K194" s="31" t="n">
        <x:v>9.4</x:v>
      </x:c>
      <x:c r="L194" s="31" t="n">
        <x:v>9.6</x:v>
      </x:c>
      <x:c r="M194" s="31" t="n">
        <x:v>0</x:v>
      </x:c>
      <x:c r="N194" s="31" t="inlineStr">
        <x:is>
          <x:t xml:space="preserve">Нет</x:t>
        </x:is>
      </x:c>
      <x:c r="O194" s="31" t="inlineStr">
        <x:is>
          <x:t xml:space="preserve">Подтверждено мастером</x:t>
        </x:is>
      </x:c>
      <x:c r="P194" s="31" t="inlineStr">
        <x:is>
          <x:t xml:space="preserve">Комментарий смены 206</x:t>
        </x:is>
      </x:c>
    </x:row>
    <x:row r="195" ht="18" customHeight="1">
      <x:c r="A195" s="31" t="inlineStr">
        <x:is>
          <x:t xml:space="preserve">СМ-00207</x:t>
        </x:is>
      </x:c>
      <x:c r="B195" s="31" t="n">
        <x:v>46170</x:v>
      </x:c>
      <x:c r="C195" s="31" t="inlineStr">
        <x:is>
          <x:t xml:space="preserve">Вечер</x:t>
        </x:is>
      </x:c>
      <x:c r="D195" s="31" t="inlineStr">
        <x:is>
          <x:t xml:space="preserve">ПЗ-00045</x:t>
        </x:is>
      </x:c>
      <x:c r="E195" s="31" t="inlineStr">
        <x:is>
          <x:t xml:space="preserve">ОП-000378</x:t>
        </x:is>
      </x:c>
      <x:c r="F195" s="31" t="inlineStr">
        <x:is>
          <x:t xml:space="preserve">ОБ-016</x:t>
        </x:is>
      </x:c>
      <x:c r="G195" s="31" t="inlineStr">
        <x:is>
          <x:t xml:space="preserve">СОТР-080</x:t>
        </x:is>
      </x:c>
      <x:c r="H195" s="31" t="inlineStr">
        <x:is>
          <x:t xml:space="preserve">Сборка</x:t>
        </x:is>
      </x:c>
      <x:c r="I195" s="31" t="n">
        <x:v>1</x:v>
      </x:c>
      <x:c r="J195" s="31" t="n">
        <x:v>2</x:v>
      </x:c>
      <x:c r="K195" s="31" t="n">
        <x:v>33.6</x:v>
      </x:c>
      <x:c r="L195" s="31" t="n">
        <x:v>30.6</x:v>
      </x:c>
      <x:c r="M195" s="31" t="n">
        <x:v>15</x:v>
      </x:c>
      <x:c r="N195" s="31" t="inlineStr">
        <x:is>
          <x:t xml:space="preserve">Нет оператора</x:t>
        </x:is>
      </x:c>
      <x:c r="O195" s="31" t="inlineStr">
        <x:is>
          <x:t xml:space="preserve">Подтверждено мастером</x:t>
        </x:is>
      </x:c>
      <x:c r="P195" s="31" t="inlineStr">
        <x:is>
          <x:t xml:space="preserve">Комментарий смены 207</x:t>
        </x:is>
      </x:c>
    </x:row>
    <x:row r="196" ht="18" customHeight="1">
      <x:c r="A196" s="31" t="inlineStr">
        <x:is>
          <x:t xml:space="preserve">СМ-00208</x:t>
        </x:is>
      </x:c>
      <x:c r="B196" s="31" t="n">
        <x:v>46151</x:v>
      </x:c>
      <x:c r="C196" s="31" t="inlineStr">
        <x:is>
          <x:t xml:space="preserve">Ночь</x:t>
        </x:is>
      </x:c>
      <x:c r="D196" s="31" t="inlineStr">
        <x:is>
          <x:t xml:space="preserve">ПЗ-00087</x:t>
        </x:is>
      </x:c>
      <x:c r="E196" s="31" t="inlineStr">
        <x:is>
          <x:t xml:space="preserve">ОП-000737</x:t>
        </x:is>
      </x:c>
      <x:c r="F196" s="31" t="inlineStr">
        <x:is>
          <x:t xml:space="preserve">ОБ-010</x:t>
        </x:is>
      </x:c>
      <x:c r="G196" s="31" t="inlineStr">
        <x:is>
          <x:t xml:space="preserve">СОТР-065</x:t>
        </x:is>
      </x:c>
      <x:c r="H196" s="31" t="inlineStr">
        <x:is>
          <x:t xml:space="preserve">Сварка</x:t>
        </x:is>
      </x:c>
      <x:c r="I196" s="31" t="n">
        <x:v>2</x:v>
      </x:c>
      <x:c r="J196" s="31" t="n">
        <x:v>2</x:v>
      </x:c>
      <x:c r="K196" s="31" t="n">
        <x:v>39.6</x:v>
      </x:c>
      <x:c r="L196" s="31" t="n">
        <x:v>35.6</x:v>
      </x:c>
      <x:c r="M196" s="31" t="n">
        <x:v>45</x:v>
      </x:c>
      <x:c r="N196" s="31" t="inlineStr">
        <x:is>
          <x:t xml:space="preserve">Ожидание материала</x:t>
        </x:is>
      </x:c>
      <x:c r="O196" s="31" t="inlineStr">
        <x:is>
          <x:t xml:space="preserve">Подтверждено мастером</x:t>
        </x:is>
      </x:c>
      <x:c r="P196" s="31" t="inlineStr">
        <x:is>
          <x:t xml:space="preserve">Комментарий смены 208</x:t>
        </x:is>
      </x:c>
    </x:row>
    <x:row r="197" ht="18" customHeight="1">
      <x:c r="A197" s="31" t="inlineStr">
        <x:is>
          <x:t xml:space="preserve">СМ-00210</x:t>
        </x:is>
      </x:c>
      <x:c r="B197" s="31" t="n">
        <x:v>46144</x:v>
      </x:c>
      <x:c r="C197" s="31" t="inlineStr">
        <x:is>
          <x:t xml:space="preserve">День</x:t>
        </x:is>
      </x:c>
      <x:c r="D197" s="31" t="inlineStr">
        <x:is>
          <x:t xml:space="preserve">ПЗ-00162</x:t>
        </x:is>
      </x:c>
      <x:c r="E197" s="31" t="inlineStr">
        <x:is>
          <x:t xml:space="preserve">ОП-001351</x:t>
        </x:is>
      </x:c>
      <x:c r="F197" s="31" t="n"/>
      <x:c r="G197" s="31" t="inlineStr">
        <x:is>
          <x:t xml:space="preserve">СОТР-103</x:t>
        </x:is>
      </x:c>
      <x:c r="H197" s="31" t="inlineStr">
        <x:is>
          <x:t xml:space="preserve">Логистика</x:t>
        </x:is>
      </x:c>
      <x:c r="I197" s="31" t="n">
        <x:v>1</x:v>
      </x:c>
      <x:c r="J197" s="31" t="n">
        <x:v>0</x:v>
      </x:c>
      <x:c r="K197" s="31" t="n">
        <x:v>23.5</x:v>
      </x:c>
      <x:c r="L197" s="31" t="n">
        <x:v>25.1</x:v>
      </x:c>
      <x:c r="M197" s="31" t="n">
        <x:v>0</x:v>
      </x:c>
      <x:c r="N197" s="31" t="inlineStr">
        <x:is>
          <x:t xml:space="preserve">Нет</x:t>
        </x:is>
      </x:c>
      <x:c r="O197" s="31" t="inlineStr">
        <x:is>
          <x:t xml:space="preserve">Черновик</x:t>
        </x:is>
      </x:c>
      <x:c r="P197" s="31" t="inlineStr">
        <x:is>
          <x:t xml:space="preserve">Комментарий смены 210</x:t>
        </x:is>
      </x:c>
    </x:row>
    <x:row r="198" ht="18" customHeight="1">
      <x:c r="A198" s="31" t="inlineStr">
        <x:is>
          <x:t xml:space="preserve">СМ-00211</x:t>
        </x:is>
      </x:c>
      <x:c r="B198" s="31" t="n">
        <x:v>46151</x:v>
      </x:c>
      <x:c r="C198" s="31" t="inlineStr">
        <x:is>
          <x:t xml:space="preserve">День</x:t>
        </x:is>
      </x:c>
      <x:c r="D198" s="31" t="inlineStr">
        <x:is>
          <x:t xml:space="preserve">ПЗ-00089</x:t>
        </x:is>
      </x:c>
      <x:c r="E198" s="31" t="inlineStr">
        <x:is>
          <x:t xml:space="preserve">ОП-000756</x:t>
        </x:is>
      </x:c>
      <x:c r="F198" s="31" t="inlineStr">
        <x:is>
          <x:t xml:space="preserve">ОБ-012</x:t>
        </x:is>
      </x:c>
      <x:c r="G198" s="31" t="inlineStr">
        <x:is>
          <x:t xml:space="preserve">СОТР-090</x:t>
        </x:is>
      </x:c>
      <x:c r="H198" s="31" t="inlineStr">
        <x:is>
          <x:t xml:space="preserve">Сборка</x:t>
        </x:is>
      </x:c>
      <x:c r="I198" s="31" t="n">
        <x:v>1</x:v>
      </x:c>
      <x:c r="J198" s="31" t="n">
        <x:v>0</x:v>
      </x:c>
      <x:c r="K198" s="31" t="n">
        <x:v>17.6</x:v>
      </x:c>
      <x:c r="L198" s="31" t="n">
        <x:v>11.3</x:v>
      </x:c>
      <x:c r="M198" s="31" t="n">
        <x:v>0</x:v>
      </x:c>
      <x:c r="N198" s="31" t="inlineStr">
        <x:is>
          <x:t xml:space="preserve">Нет</x:t>
        </x:is>
      </x:c>
      <x:c r="O198" s="31" t="inlineStr">
        <x:is>
          <x:t xml:space="preserve">Закрыто</x:t>
        </x:is>
      </x:c>
      <x:c r="P198" s="31" t="inlineStr">
        <x:is>
          <x:t xml:space="preserve">Комментарий смены 211</x:t>
        </x:is>
      </x:c>
    </x:row>
    <x:row r="199" ht="18" customHeight="1">
      <x:c r="A199" s="31" t="inlineStr">
        <x:is>
          <x:t xml:space="preserve">СМ-00212</x:t>
        </x:is>
      </x:c>
      <x:c r="B199" s="31" t="n">
        <x:v>46180</x:v>
      </x:c>
      <x:c r="C199" s="31" t="inlineStr">
        <x:is>
          <x:t xml:space="preserve">День</x:t>
        </x:is>
      </x:c>
      <x:c r="D199" s="31" t="inlineStr">
        <x:is>
          <x:t xml:space="preserve">ПЗ-00127</x:t>
        </x:is>
      </x:c>
      <x:c r="E199" s="31" t="inlineStr">
        <x:is>
          <x:t xml:space="preserve">ОП-001063</x:t>
        </x:is>
      </x:c>
      <x:c r="F199" s="31" t="inlineStr">
        <x:is>
          <x:t xml:space="preserve">ОБ-001</x:t>
        </x:is>
      </x:c>
      <x:c r="G199" s="31" t="inlineStr">
        <x:is>
          <x:t xml:space="preserve">СОТР-099</x:t>
        </x:is>
      </x:c>
      <x:c r="H199" s="31" t="inlineStr">
        <x:is>
          <x:t xml:space="preserve">ОТК</x:t>
        </x:is>
      </x:c>
      <x:c r="I199" s="31" t="n">
        <x:v>2</x:v>
      </x:c>
      <x:c r="J199" s="31" t="n">
        <x:v>2</x:v>
      </x:c>
      <x:c r="K199" s="31" t="n">
        <x:v>32.4</x:v>
      </x:c>
      <x:c r="L199" s="31" t="n">
        <x:v>38.6</x:v>
      </x:c>
      <x:c r="M199" s="31" t="n">
        <x:v>90</x:v>
      </x:c>
      <x:c r="N199" s="31" t="inlineStr">
        <x:is>
          <x:t xml:space="preserve">Переналадка</x:t>
        </x:is>
      </x:c>
      <x:c r="O199" s="31" t="inlineStr">
        <x:is>
          <x:t xml:space="preserve">Подтверждено мастером</x:t>
        </x:is>
      </x:c>
      <x:c r="P199" s="31" t="inlineStr">
        <x:is>
          <x:t xml:space="preserve">Комментарий смены 212</x:t>
        </x:is>
      </x:c>
    </x:row>
    <x:row r="200" ht="18" customHeight="1">
      <x:c r="A200" s="31" t="inlineStr">
        <x:is>
          <x:t xml:space="preserve">СМ-00213</x:t>
        </x:is>
      </x:c>
      <x:c r="B200" s="31" t="n">
        <x:v>46147</x:v>
      </x:c>
      <x:c r="C200" s="31" t="inlineStr">
        <x:is>
          <x:t xml:space="preserve">Ночь</x:t>
        </x:is>
      </x:c>
      <x:c r="D200" s="31" t="inlineStr">
        <x:is>
          <x:t xml:space="preserve">ПЗ-00138</x:t>
        </x:is>
      </x:c>
      <x:c r="E200" s="31" t="inlineStr">
        <x:is>
          <x:t xml:space="preserve">ОП-001155</x:t>
        </x:is>
      </x:c>
      <x:c r="F200" s="31" t="inlineStr">
        <x:is>
          <x:t xml:space="preserve">ОБ-005</x:t>
        </x:is>
      </x:c>
      <x:c r="G200" s="31" t="inlineStr">
        <x:is>
          <x:t xml:space="preserve">СОТР-084</x:t>
        </x:is>
      </x:c>
      <x:c r="H200" s="31" t="inlineStr">
        <x:is>
          <x:t xml:space="preserve">Сборка</x:t>
        </x:is>
      </x:c>
      <x:c r="I200" s="31" t="n">
        <x:v>2</x:v>
      </x:c>
      <x:c r="J200" s="31" t="n">
        <x:v>3</x:v>
      </x:c>
      <x:c r="K200" s="31" t="n">
        <x:v>45.3</x:v>
      </x:c>
      <x:c r="L200" s="31" t="n">
        <x:v>48.7</x:v>
      </x:c>
      <x:c r="M200" s="31" t="n">
        <x:v>0</x:v>
      </x:c>
      <x:c r="N200" s="31" t="inlineStr">
        <x:is>
          <x:t xml:space="preserve">Нет</x:t>
        </x:is>
      </x:c>
      <x:c r="O200" s="31" t="inlineStr">
        <x:is>
          <x:t xml:space="preserve">Черновик</x:t>
        </x:is>
      </x:c>
      <x:c r="P200" s="31" t="inlineStr">
        <x:is>
          <x:t xml:space="preserve">Комментарий смены 213</x:t>
        </x:is>
      </x:c>
    </x:row>
    <x:row r="201" ht="18" customHeight="1">
      <x:c r="A201" s="31" t="inlineStr">
        <x:is>
          <x:t xml:space="preserve">СМ-00214</x:t>
        </x:is>
      </x:c>
      <x:c r="B201" s="31" t="n">
        <x:v>46074</x:v>
      </x:c>
      <x:c r="C201" s="31" t="inlineStr">
        <x:is>
          <x:t xml:space="preserve">Вечер</x:t>
        </x:is>
      </x:c>
      <x:c r="D201" s="31" t="inlineStr">
        <x:is>
          <x:t xml:space="preserve">ПЗ-00181</x:t>
        </x:is>
      </x:c>
      <x:c r="E201" s="31" t="inlineStr">
        <x:is>
          <x:t xml:space="preserve">ОП-001509</x:t>
        </x:is>
      </x:c>
      <x:c r="F201" s="31" t="n"/>
      <x:c r="G201" s="31" t="inlineStr">
        <x:is>
          <x:t xml:space="preserve">СОТР-101</x:t>
        </x:is>
      </x:c>
      <x:c r="H201" s="31" t="inlineStr">
        <x:is>
          <x:t xml:space="preserve">Логистика</x:t>
        </x:is>
      </x:c>
      <x:c r="I201" s="31" t="n">
        <x:v>3</x:v>
      </x:c>
      <x:c r="J201" s="31" t="n">
        <x:v>3</x:v>
      </x:c>
      <x:c r="K201" s="31" t="n">
        <x:v>8.800000000000001</x:v>
      </x:c>
      <x:c r="L201" s="31" t="n">
        <x:v>8.5</x:v>
      </x:c>
      <x:c r="M201" s="31" t="n">
        <x:v>0</x:v>
      </x:c>
      <x:c r="N201" s="31" t="inlineStr">
        <x:is>
          <x:t xml:space="preserve">Нет</x:t>
        </x:is>
      </x:c>
      <x:c r="O201" s="31" t="inlineStr">
        <x:is>
          <x:t xml:space="preserve">Подтверждено мастером</x:t>
        </x:is>
      </x:c>
      <x:c r="P201" s="31" t="inlineStr">
        <x:is>
          <x:t xml:space="preserve">Комментарий смены 214</x:t>
        </x:is>
      </x:c>
    </x:row>
    <x:row r="202" ht="18" customHeight="1">
      <x:c r="A202" s="31" t="inlineStr">
        <x:is>
          <x:t xml:space="preserve">СМ-00215</x:t>
        </x:is>
      </x:c>
      <x:c r="B202" s="31" t="n">
        <x:v>46119</x:v>
      </x:c>
      <x:c r="C202" s="31" t="inlineStr">
        <x:is>
          <x:t xml:space="preserve">День</x:t>
        </x:is>
      </x:c>
      <x:c r="D202" s="31" t="inlineStr">
        <x:is>
          <x:t xml:space="preserve">ПЗ-00011</x:t>
        </x:is>
      </x:c>
      <x:c r="E202" s="31" t="inlineStr">
        <x:is>
          <x:t xml:space="preserve">ОП-000090</x:t>
        </x:is>
      </x:c>
      <x:c r="F202" s="31" t="inlineStr">
        <x:is>
          <x:t xml:space="preserve">ОБ-018</x:t>
        </x:is>
      </x:c>
      <x:c r="G202" s="31" t="inlineStr">
        <x:is>
          <x:t xml:space="preserve">СОТР-060</x:t>
        </x:is>
      </x:c>
      <x:c r="H202" s="31" t="inlineStr">
        <x:is>
          <x:t xml:space="preserve">Сварка</x:t>
        </x:is>
      </x:c>
      <x:c r="I202" s="31" t="n">
        <x:v>2</x:v>
      </x:c>
      <x:c r="J202" s="31" t="n">
        <x:v>1</x:v>
      </x:c>
      <x:c r="K202" s="31" t="n">
        <x:v>36.9</x:v>
      </x:c>
      <x:c r="L202" s="31" t="n">
        <x:v>35.3</x:v>
      </x:c>
      <x:c r="M202" s="31" t="n">
        <x:v>0</x:v>
      </x:c>
      <x:c r="N202" s="31" t="inlineStr">
        <x:is>
          <x:t xml:space="preserve">Нет</x:t>
        </x:is>
      </x:c>
      <x:c r="O202" s="31" t="inlineStr">
        <x:is>
          <x:t xml:space="preserve">Подтверждено мастером</x:t>
        </x:is>
      </x:c>
      <x:c r="P202" s="31" t="inlineStr">
        <x:is>
          <x:t xml:space="preserve">Комментарий смены 215</x:t>
        </x:is>
      </x:c>
    </x:row>
    <x:row r="203" ht="18" customHeight="1">
      <x:c r="A203" s="31" t="inlineStr">
        <x:is>
          <x:t xml:space="preserve">СМ-00216</x:t>
        </x:is>
      </x:c>
      <x:c r="B203" s="31" t="n">
        <x:v>46108</x:v>
      </x:c>
      <x:c r="C203" s="31" t="inlineStr">
        <x:is>
          <x:t xml:space="preserve">День</x:t>
        </x:is>
      </x:c>
      <x:c r="D203" s="31" t="inlineStr">
        <x:is>
          <x:t xml:space="preserve">ПЗ-00202</x:t>
        </x:is>
      </x:c>
      <x:c r="E203" s="31" t="inlineStr">
        <x:is>
          <x:t xml:space="preserve">ОП-001692</x:t>
        </x:is>
      </x:c>
      <x:c r="F203" s="31" t="inlineStr">
        <x:is>
          <x:t xml:space="preserve">ОБ-028</x:t>
        </x:is>
      </x:c>
      <x:c r="G203" s="31" t="inlineStr">
        <x:is>
          <x:t xml:space="preserve">СОТР-095</x:t>
        </x:is>
      </x:c>
      <x:c r="H203" s="31" t="inlineStr">
        <x:is>
          <x:t xml:space="preserve">ОТК</x:t>
        </x:is>
      </x:c>
      <x:c r="I203" s="31" t="n">
        <x:v>3</x:v>
      </x:c>
      <x:c r="J203" s="31" t="n">
        <x:v>3</x:v>
      </x:c>
      <x:c r="K203" s="31" t="n">
        <x:v>9.9</x:v>
      </x:c>
      <x:c r="L203" s="31" t="n">
        <x:v>11.2</x:v>
      </x:c>
      <x:c r="M203" s="31" t="n">
        <x:v>0</x:v>
      </x:c>
      <x:c r="N203" s="31" t="inlineStr">
        <x:is>
          <x:t xml:space="preserve">Нет</x:t>
        </x:is>
      </x:c>
      <x:c r="O203" s="31" t="inlineStr">
        <x:is>
          <x:t xml:space="preserve">Закрыто</x:t>
        </x:is>
      </x:c>
      <x:c r="P203" s="31" t="inlineStr">
        <x:is>
          <x:t xml:space="preserve">Комментарий смены 216</x:t>
        </x:is>
      </x:c>
    </x:row>
    <x:row r="204" ht="18" customHeight="1">
      <x:c r="A204" s="31" t="inlineStr">
        <x:is>
          <x:t xml:space="preserve">СМ-00217</x:t>
        </x:is>
      </x:c>
      <x:c r="B204" s="31" t="n">
        <x:v>46170</x:v>
      </x:c>
      <x:c r="C204" s="31" t="inlineStr">
        <x:is>
          <x:t xml:space="preserve">Ночь</x:t>
        </x:is>
      </x:c>
      <x:c r="D204" s="31" t="inlineStr">
        <x:is>
          <x:t xml:space="preserve">ПЗ-00064</x:t>
        </x:is>
      </x:c>
      <x:c r="E204" s="31" t="inlineStr">
        <x:is>
          <x:t xml:space="preserve">ОП-000538</x:t>
        </x:is>
      </x:c>
      <x:c r="F204" s="31" t="inlineStr">
        <x:is>
          <x:t xml:space="preserve">ОБ-035</x:t>
        </x:is>
      </x:c>
      <x:c r="G204" s="31" t="inlineStr">
        <x:is>
          <x:t xml:space="preserve">СОТР-071</x:t>
        </x:is>
      </x:c>
      <x:c r="H204" s="31" t="inlineStr">
        <x:is>
          <x:t xml:space="preserve">Сварка</x:t>
        </x:is>
      </x:c>
      <x:c r="I204" s="31" t="n">
        <x:v>3</x:v>
      </x:c>
      <x:c r="J204" s="31" t="n">
        <x:v>0</x:v>
      </x:c>
      <x:c r="K204" s="31" t="n">
        <x:v>9.199999999999999</x:v>
      </x:c>
      <x:c r="L204" s="31" t="n">
        <x:v>7.8</x:v>
      </x:c>
      <x:c r="M204" s="31" t="n">
        <x:v>60</x:v>
      </x:c>
      <x:c r="N204" s="31" t="inlineStr">
        <x:is>
          <x:t xml:space="preserve">Ожидание ОТК</x:t>
        </x:is>
      </x:c>
      <x:c r="O204" s="31" t="inlineStr">
        <x:is>
          <x:t xml:space="preserve">Спорный факт</x:t>
        </x:is>
      </x:c>
      <x:c r="P204" s="31" t="inlineStr">
        <x:is>
          <x:t xml:space="preserve">Комментарий смены 217</x:t>
        </x:is>
      </x:c>
    </x:row>
    <x:row r="205" ht="18" customHeight="1">
      <x:c r="A205" s="31" t="inlineStr">
        <x:is>
          <x:t xml:space="preserve">СМ-00218</x:t>
        </x:is>
      </x:c>
      <x:c r="B205" s="31" t="n">
        <x:v>46166</x:v>
      </x:c>
      <x:c r="C205" s="31" t="inlineStr">
        <x:is>
          <x:t xml:space="preserve">Вечер</x:t>
        </x:is>
      </x:c>
      <x:c r="D205" s="31" t="inlineStr">
        <x:is>
          <x:t xml:space="preserve">ПЗ-00239</x:t>
        </x:is>
      </x:c>
      <x:c r="E205" s="31" t="inlineStr">
        <x:is>
          <x:t xml:space="preserve">ОП-002005</x:t>
        </x:is>
      </x:c>
      <x:c r="F205" s="31" t="n"/>
      <x:c r="G205" s="31" t="inlineStr">
        <x:is>
          <x:t xml:space="preserve">СОТР-102</x:t>
        </x:is>
      </x:c>
      <x:c r="H205" s="31" t="inlineStr">
        <x:is>
          <x:t xml:space="preserve">Логистика</x:t>
        </x:is>
      </x:c>
      <x:c r="I205" s="31" t="n">
        <x:v>2</x:v>
      </x:c>
      <x:c r="J205" s="31" t="n">
        <x:v>3</x:v>
      </x:c>
      <x:c r="K205" s="31" t="n">
        <x:v>16.4</x:v>
      </x:c>
      <x:c r="L205" s="31" t="n">
        <x:v>21.7</x:v>
      </x:c>
      <x:c r="M205" s="31" t="n">
        <x:v>30</x:v>
      </x:c>
      <x:c r="N205" s="31" t="inlineStr">
        <x:is>
          <x:t xml:space="preserve">Ремонт оборудования</x:t>
        </x:is>
      </x:c>
      <x:c r="O205" s="31" t="inlineStr">
        <x:is>
          <x:t xml:space="preserve">Подтверждено мастером</x:t>
        </x:is>
      </x:c>
      <x:c r="P205" s="31" t="inlineStr">
        <x:is>
          <x:t xml:space="preserve">Комментарий смены 218</x:t>
        </x:is>
      </x:c>
    </x:row>
    <x:row r="206" ht="18" customHeight="1">
      <x:c r="A206" s="31" t="inlineStr">
        <x:is>
          <x:t xml:space="preserve">СМ-00219</x:t>
        </x:is>
      </x:c>
      <x:c r="B206" s="31" t="n">
        <x:v>46136</x:v>
      </x:c>
      <x:c r="C206" s="31" t="inlineStr">
        <x:is>
          <x:t xml:space="preserve">День</x:t>
        </x:is>
      </x:c>
      <x:c r="D206" s="31" t="inlineStr">
        <x:is>
          <x:t xml:space="preserve">ПЗ-00260</x:t>
        </x:is>
      </x:c>
      <x:c r="E206" s="31" t="inlineStr">
        <x:is>
          <x:t xml:space="preserve">ОП-002163</x:t>
        </x:is>
      </x:c>
      <x:c r="F206" s="31" t="inlineStr">
        <x:is>
          <x:t xml:space="preserve">ОБ-027</x:t>
        </x:is>
      </x:c>
      <x:c r="G206" s="31" t="inlineStr">
        <x:is>
          <x:t xml:space="preserve">СОТР-078</x:t>
        </x:is>
      </x:c>
      <x:c r="H206" s="31" t="inlineStr">
        <x:is>
          <x:t xml:space="preserve">Сборка</x:t>
        </x:is>
      </x:c>
      <x:c r="I206" s="31" t="n">
        <x:v>2</x:v>
      </x:c>
      <x:c r="J206" s="31" t="n">
        <x:v>2</x:v>
      </x:c>
      <x:c r="K206" s="31" t="n">
        <x:v>55.5</x:v>
      </x:c>
      <x:c r="L206" s="31" t="n">
        <x:v>67.7</x:v>
      </x:c>
      <x:c r="M206" s="31" t="n">
        <x:v>0</x:v>
      </x:c>
      <x:c r="N206" s="31" t="inlineStr">
        <x:is>
          <x:t xml:space="preserve">Нет</x:t>
        </x:is>
      </x:c>
      <x:c r="O206" s="31" t="inlineStr">
        <x:is>
          <x:t xml:space="preserve">Подтверждено мастером</x:t>
        </x:is>
      </x:c>
      <x:c r="P206" s="31" t="inlineStr">
        <x:is>
          <x:t xml:space="preserve">Комментарий смены 219</x:t>
        </x:is>
      </x:c>
    </x:row>
    <x:row r="207" ht="18" customHeight="1">
      <x:c r="A207" s="31" t="inlineStr">
        <x:is>
          <x:t xml:space="preserve">СМ-00220</x:t>
        </x:is>
      </x:c>
      <x:c r="B207" s="31" t="n">
        <x:v>46167</x:v>
      </x:c>
      <x:c r="C207" s="31" t="inlineStr">
        <x:is>
          <x:t xml:space="preserve">День</x:t>
        </x:is>
      </x:c>
      <x:c r="D207" s="31" t="inlineStr">
        <x:is>
          <x:t xml:space="preserve">ПЗ-00127</x:t>
        </x:is>
      </x:c>
      <x:c r="E207" s="31" t="inlineStr">
        <x:is>
          <x:t xml:space="preserve">ОП-001058</x:t>
        </x:is>
      </x:c>
      <x:c r="F207" s="31" t="n"/>
      <x:c r="G207" s="31" t="inlineStr">
        <x:is>
          <x:t xml:space="preserve">СОТР-011</x:t>
        </x:is>
      </x:c>
      <x:c r="H207" s="31" t="inlineStr">
        <x:is>
          <x:t xml:space="preserve">Инженерный отдел</x:t>
        </x:is>
      </x:c>
      <x:c r="I207" s="31" t="n">
        <x:v>1</x:v>
      </x:c>
      <x:c r="J207" s="31" t="n">
        <x:v>1</x:v>
      </x:c>
      <x:c r="K207" s="31" t="n">
        <x:v>35.8</x:v>
      </x:c>
      <x:c r="L207" s="31" t="n">
        <x:v>43.9</x:v>
      </x:c>
      <x:c r="M207" s="31" t="n">
        <x:v>0</x:v>
      </x:c>
      <x:c r="N207" s="31" t="inlineStr">
        <x:is>
          <x:t xml:space="preserve">Нет</x:t>
        </x:is>
      </x:c>
      <x:c r="O207" s="31" t="inlineStr">
        <x:is>
          <x:t xml:space="preserve">Подтверждено мастером</x:t>
        </x:is>
      </x:c>
      <x:c r="P207" s="31" t="inlineStr">
        <x:is>
          <x:t xml:space="preserve">Комментарий смены 220</x:t>
        </x:is>
      </x:c>
    </x:row>
    <x:row r="208" ht="18" customHeight="1">
      <x:c r="A208" s="31" t="inlineStr">
        <x:is>
          <x:t xml:space="preserve">СМ-00221</x:t>
        </x:is>
      </x:c>
      <x:c r="B208" s="31" t="n">
        <x:v>46091</x:v>
      </x:c>
      <x:c r="C208" s="31" t="inlineStr">
        <x:is>
          <x:t xml:space="preserve">Вечер</x:t>
        </x:is>
      </x:c>
      <x:c r="D208" s="31" t="inlineStr">
        <x:is>
          <x:t xml:space="preserve">ПЗ-00208</x:t>
        </x:is>
      </x:c>
      <x:c r="E208" s="31" t="inlineStr">
        <x:is>
          <x:t xml:space="preserve">ОП-001743</x:t>
        </x:is>
      </x:c>
      <x:c r="F208" s="31" t="inlineStr">
        <x:is>
          <x:t xml:space="preserve">ОБ-018</x:t>
        </x:is>
      </x:c>
      <x:c r="G208" s="31" t="inlineStr">
        <x:is>
          <x:t xml:space="preserve">СОТР-061</x:t>
        </x:is>
      </x:c>
      <x:c r="H208" s="31" t="inlineStr">
        <x:is>
          <x:t xml:space="preserve">Сварка</x:t>
        </x:is>
      </x:c>
      <x:c r="I208" s="31" t="n">
        <x:v>2</x:v>
      </x:c>
      <x:c r="J208" s="31" t="n">
        <x:v>1</x:v>
      </x:c>
      <x:c r="K208" s="31" t="n">
        <x:v>10.6</x:v>
      </x:c>
      <x:c r="L208" s="31" t="n">
        <x:v>10.6</x:v>
      </x:c>
      <x:c r="M208" s="31" t="n">
        <x:v>90</x:v>
      </x:c>
      <x:c r="N208" s="31" t="inlineStr">
        <x:is>
          <x:t xml:space="preserve">Переналадка</x:t>
        </x:is>
      </x:c>
      <x:c r="O208" s="31" t="inlineStr">
        <x:is>
          <x:t xml:space="preserve">Подтверждено мастером</x:t>
        </x:is>
      </x:c>
      <x:c r="P208" s="31" t="inlineStr">
        <x:is>
          <x:t xml:space="preserve">Комментарий смены 221</x:t>
        </x:is>
      </x:c>
    </x:row>
    <x:row r="209" ht="18" customHeight="1">
      <x:c r="A209" s="31" t="inlineStr">
        <x:is>
          <x:t xml:space="preserve">СМ-00222</x:t>
        </x:is>
      </x:c>
      <x:c r="B209" s="31" t="n">
        <x:v>46224</x:v>
      </x:c>
      <x:c r="C209" s="31" t="inlineStr">
        <x:is>
          <x:t xml:space="preserve">Ночь</x:t>
        </x:is>
      </x:c>
      <x:c r="D209" s="31" t="inlineStr">
        <x:is>
          <x:t xml:space="preserve">ПЗ-00156</x:t>
        </x:is>
      </x:c>
      <x:c r="E209" s="31" t="inlineStr">
        <x:is>
          <x:t xml:space="preserve">ОП-001289</x:t>
        </x:is>
      </x:c>
      <x:c r="F209" s="31" t="inlineStr">
        <x:is>
          <x:t xml:space="preserve">ОБ-027</x:t>
        </x:is>
      </x:c>
      <x:c r="G209" s="31" t="inlineStr">
        <x:is>
          <x:t xml:space="preserve">СОТР-085</x:t>
        </x:is>
      </x:c>
      <x:c r="H209" s="31" t="inlineStr">
        <x:is>
          <x:t xml:space="preserve">Сборка</x:t>
        </x:is>
      </x:c>
      <x:c r="I209" s="31" t="n">
        <x:v>2</x:v>
      </x:c>
      <x:c r="J209" s="31" t="n">
        <x:v>2</x:v>
      </x:c>
      <x:c r="K209" s="31" t="n">
        <x:v>60.4</x:v>
      </x:c>
      <x:c r="L209" s="31" t="n">
        <x:v>52.4</x:v>
      </x:c>
      <x:c r="M209" s="31" t="n">
        <x:v>0</x:v>
      </x:c>
      <x:c r="N209" s="31" t="inlineStr">
        <x:is>
          <x:t xml:space="preserve">Нет</x:t>
        </x:is>
      </x:c>
      <x:c r="O209" s="31" t="inlineStr">
        <x:is>
          <x:t xml:space="preserve">Спорный факт</x:t>
        </x:is>
      </x:c>
      <x:c r="P209" s="31" t="inlineStr">
        <x:is>
          <x:t xml:space="preserve">Комментарий смены 222</x:t>
        </x:is>
      </x:c>
    </x:row>
    <x:row r="210" ht="18" customHeight="1">
      <x:c r="A210" s="31" t="inlineStr">
        <x:is>
          <x:t xml:space="preserve">СМ-00223</x:t>
        </x:is>
      </x:c>
      <x:c r="B210" s="31" t="n">
        <x:v>46159</x:v>
      </x:c>
      <x:c r="C210" s="31" t="inlineStr">
        <x:is>
          <x:t xml:space="preserve">Вечер</x:t>
        </x:is>
      </x:c>
      <x:c r="D210" s="31" t="inlineStr">
        <x:is>
          <x:t xml:space="preserve">ПЗ-00242</x:t>
        </x:is>
      </x:c>
      <x:c r="E210" s="31" t="inlineStr">
        <x:is>
          <x:t xml:space="preserve">ОП-002024</x:t>
        </x:is>
      </x:c>
      <x:c r="F210" s="31" t="n"/>
      <x:c r="G210" s="31" t="inlineStr">
        <x:is>
          <x:t xml:space="preserve">СОТР-020</x:t>
        </x:is>
      </x:c>
      <x:c r="H210" s="31" t="inlineStr">
        <x:is>
          <x:t xml:space="preserve">Инженерный отдел</x:t>
        </x:is>
      </x:c>
      <x:c r="I210" s="31" t="n">
        <x:v>1</x:v>
      </x:c>
      <x:c r="J210" s="31" t="n">
        <x:v>0</x:v>
      </x:c>
      <x:c r="K210" s="31" t="n">
        <x:v>24.2</x:v>
      </x:c>
      <x:c r="L210" s="31" t="n">
        <x:v>20.7</x:v>
      </x:c>
      <x:c r="M210" s="31" t="n">
        <x:v>45</x:v>
      </x:c>
      <x:c r="N210" s="31" t="inlineStr">
        <x:is>
          <x:t xml:space="preserve">Ожидание ОТК</x:t>
        </x:is>
      </x:c>
      <x:c r="O210" s="31" t="inlineStr">
        <x:is>
          <x:t xml:space="preserve">Черновик</x:t>
        </x:is>
      </x:c>
      <x:c r="P210" s="31" t="inlineStr">
        <x:is>
          <x:t xml:space="preserve">Комментарий смены 223</x:t>
        </x:is>
      </x:c>
    </x:row>
    <x:row r="211" ht="18" customHeight="1">
      <x:c r="A211" s="31" t="inlineStr">
        <x:is>
          <x:t xml:space="preserve">СМ-00224</x:t>
        </x:is>
      </x:c>
      <x:c r="B211" s="31" t="n">
        <x:v>46146</x:v>
      </x:c>
      <x:c r="C211" s="31" t="inlineStr">
        <x:is>
          <x:t xml:space="preserve">Ночь</x:t>
        </x:is>
      </x:c>
      <x:c r="D211" s="31" t="inlineStr">
        <x:is>
          <x:t xml:space="preserve">ПЗ-00190</x:t>
        </x:is>
      </x:c>
      <x:c r="E211" s="31" t="inlineStr">
        <x:is>
          <x:t xml:space="preserve">ОП-001582</x:t>
        </x:is>
      </x:c>
      <x:c r="F211" s="31" t="n"/>
      <x:c r="G211" s="31" t="inlineStr">
        <x:is>
          <x:t xml:space="preserve">СОТР-012</x:t>
        </x:is>
      </x:c>
      <x:c r="H211" s="31" t="inlineStr">
        <x:is>
          <x:t xml:space="preserve">Инженерный отдел</x:t>
        </x:is>
      </x:c>
      <x:c r="I211" s="31" t="n">
        <x:v>3</x:v>
      </x:c>
      <x:c r="J211" s="31" t="n">
        <x:v>3</x:v>
      </x:c>
      <x:c r="K211" s="31" t="n">
        <x:v>6.9</x:v>
      </x:c>
      <x:c r="L211" s="31" t="n">
        <x:v>9.199999999999999</x:v>
      </x:c>
      <x:c r="M211" s="31" t="n">
        <x:v>0</x:v>
      </x:c>
      <x:c r="N211" s="31" t="inlineStr">
        <x:is>
          <x:t xml:space="preserve">Нет</x:t>
        </x:is>
      </x:c>
      <x:c r="O211" s="31" t="inlineStr">
        <x:is>
          <x:t xml:space="preserve">Подтверждено мастером</x:t>
        </x:is>
      </x:c>
      <x:c r="P211" s="31" t="inlineStr">
        <x:is>
          <x:t xml:space="preserve">Комментарий смены 224</x:t>
        </x:is>
      </x:c>
    </x:row>
    <x:row r="212" ht="18" customHeight="1">
      <x:c r="A212" s="31" t="inlineStr">
        <x:is>
          <x:t xml:space="preserve">СМ-00225</x:t>
        </x:is>
      </x:c>
      <x:c r="B212" s="31" t="n">
        <x:v>46165</x:v>
      </x:c>
      <x:c r="C212" s="31" t="inlineStr">
        <x:is>
          <x:t xml:space="preserve">День</x:t>
        </x:is>
      </x:c>
      <x:c r="D212" s="31" t="inlineStr">
        <x:is>
          <x:t xml:space="preserve">ПЗ-00257</x:t>
        </x:is>
      </x:c>
      <x:c r="E212" s="31" t="inlineStr">
        <x:is>
          <x:t xml:space="preserve">ОП-002142</x:t>
        </x:is>
      </x:c>
      <x:c r="F212" s="31" t="inlineStr">
        <x:is>
          <x:t xml:space="preserve">ОБ-026</x:t>
        </x:is>
      </x:c>
      <x:c r="G212" s="31" t="inlineStr">
        <x:is>
          <x:t xml:space="preserve">СОТР-067</x:t>
        </x:is>
      </x:c>
      <x:c r="H212" s="31" t="inlineStr">
        <x:is>
          <x:t xml:space="preserve">Сварка</x:t>
        </x:is>
      </x:c>
      <x:c r="I212" s="31" t="n">
        <x:v>1</x:v>
      </x:c>
      <x:c r="J212" s="31" t="n">
        <x:v>0</x:v>
      </x:c>
      <x:c r="K212" s="31" t="n">
        <x:v>1.3</x:v>
      </x:c>
      <x:c r="L212" s="31" t="n">
        <x:v>1.3</x:v>
      </x:c>
      <x:c r="M212" s="31" t="n">
        <x:v>30</x:v>
      </x:c>
      <x:c r="N212" s="31" t="inlineStr">
        <x:is>
          <x:t xml:space="preserve">Переналадка</x:t>
        </x:is>
      </x:c>
      <x:c r="O212" s="31" t="inlineStr">
        <x:is>
          <x:t xml:space="preserve">Черновик</x:t>
        </x:is>
      </x:c>
      <x:c r="P212" s="31" t="inlineStr">
        <x:is>
          <x:t xml:space="preserve">Комментарий смены 225</x:t>
        </x:is>
      </x:c>
    </x:row>
    <x:row r="213" ht="18" customHeight="1">
      <x:c r="A213" s="31" t="inlineStr">
        <x:is>
          <x:t xml:space="preserve">СМ-00226</x:t>
        </x:is>
      </x:c>
      <x:c r="B213" s="31" t="n">
        <x:v>46221</x:v>
      </x:c>
      <x:c r="C213" s="31" t="inlineStr">
        <x:is>
          <x:t xml:space="preserve">День</x:t>
        </x:is>
      </x:c>
      <x:c r="D213" s="31" t="inlineStr">
        <x:is>
          <x:t xml:space="preserve">ПЗ-00124</x:t>
        </x:is>
      </x:c>
      <x:c r="E213" s="31" t="inlineStr">
        <x:is>
          <x:t xml:space="preserve">ОП-001039</x:t>
        </x:is>
      </x:c>
      <x:c r="F213" s="31" t="inlineStr">
        <x:is>
          <x:t xml:space="preserve">ОБ-001</x:t>
        </x:is>
      </x:c>
      <x:c r="G213" s="31" t="inlineStr">
        <x:is>
          <x:t xml:space="preserve">СОТР-098</x:t>
        </x:is>
      </x:c>
      <x:c r="H213" s="31" t="inlineStr">
        <x:is>
          <x:t xml:space="preserve">ОТК</x:t>
        </x:is>
      </x:c>
      <x:c r="I213" s="31" t="n">
        <x:v>3</x:v>
      </x:c>
      <x:c r="J213" s="31" t="n">
        <x:v>3</x:v>
      </x:c>
      <x:c r="K213" s="31" t="n">
        <x:v>48.6</x:v>
      </x:c>
      <x:c r="L213" s="31" t="n">
        <x:v>58.1</x:v>
      </x:c>
      <x:c r="M213" s="31" t="n">
        <x:v>120</x:v>
      </x:c>
      <x:c r="N213" s="31" t="inlineStr">
        <x:is>
          <x:t xml:space="preserve">Нет оператора</x:t>
        </x:is>
      </x:c>
      <x:c r="O213" s="31" t="inlineStr">
        <x:is>
          <x:t xml:space="preserve">Подтверждено мастером</x:t>
        </x:is>
      </x:c>
      <x:c r="P213" s="31" t="inlineStr">
        <x:is>
          <x:t xml:space="preserve">Комментарий смены 226</x:t>
        </x:is>
      </x:c>
    </x:row>
    <x:row r="214" ht="18" customHeight="1">
      <x:c r="A214" s="31" t="inlineStr">
        <x:is>
          <x:t xml:space="preserve">СМ-00228</x:t>
        </x:is>
      </x:c>
      <x:c r="B214" s="31" t="n">
        <x:v>46216</x:v>
      </x:c>
      <x:c r="C214" s="31" t="inlineStr">
        <x:is>
          <x:t xml:space="preserve">День</x:t>
        </x:is>
      </x:c>
      <x:c r="D214" s="31" t="inlineStr">
        <x:is>
          <x:t xml:space="preserve">ПЗ-00222</x:t>
        </x:is>
      </x:c>
      <x:c r="E214" s="31" t="inlineStr">
        <x:is>
          <x:t xml:space="preserve">ОП-001861</x:t>
        </x:is>
      </x:c>
      <x:c r="F214" s="31" t="inlineStr">
        <x:is>
          <x:t xml:space="preserve">ОБ-012</x:t>
        </x:is>
      </x:c>
      <x:c r="G214" s="31" t="inlineStr">
        <x:is>
          <x:t xml:space="preserve">СОТР-075</x:t>
        </x:is>
      </x:c>
      <x:c r="H214" s="31" t="inlineStr">
        <x:is>
          <x:t xml:space="preserve">Сборка</x:t>
        </x:is>
      </x:c>
      <x:c r="I214" s="31" t="n">
        <x:v>1</x:v>
      </x:c>
      <x:c r="J214" s="31" t="n">
        <x:v>1</x:v>
      </x:c>
      <x:c r="K214" s="31" t="n">
        <x:v>44</x:v>
      </x:c>
      <x:c r="L214" s="31" t="n">
        <x:v>51.1</x:v>
      </x:c>
      <x:c r="M214" s="31" t="n">
        <x:v>30</x:v>
      </x:c>
      <x:c r="N214" s="31" t="inlineStr">
        <x:is>
          <x:t xml:space="preserve">Ожидание ОТК</x:t>
        </x:is>
      </x:c>
      <x:c r="O214" s="31" t="inlineStr">
        <x:is>
          <x:t xml:space="preserve">Подтверждено мастером</x:t>
        </x:is>
      </x:c>
      <x:c r="P214" s="31" t="inlineStr">
        <x:is>
          <x:t xml:space="preserve">Комментарий смены 228</x:t>
        </x:is>
      </x:c>
    </x:row>
    <x:row r="215" ht="18" customHeight="1">
      <x:c r="A215" s="31" t="inlineStr">
        <x:is>
          <x:t xml:space="preserve">СМ-00229</x:t>
        </x:is>
      </x:c>
      <x:c r="B215" s="31" t="n">
        <x:v>46201</x:v>
      </x:c>
      <x:c r="C215" s="31" t="inlineStr">
        <x:is>
          <x:t xml:space="preserve">Вечер</x:t>
        </x:is>
      </x:c>
      <x:c r="D215" s="31" t="inlineStr">
        <x:is>
          <x:t xml:space="preserve">ПЗ-00004</x:t>
        </x:is>
      </x:c>
      <x:c r="E215" s="31" t="inlineStr">
        <x:is>
          <x:t xml:space="preserve">ОП-000025</x:t>
        </x:is>
      </x:c>
      <x:c r="F215" s="31" t="n"/>
      <x:c r="G215" s="31" t="inlineStr">
        <x:is>
          <x:t xml:space="preserve">СОТР-020</x:t>
        </x:is>
      </x:c>
      <x:c r="H215" s="31" t="inlineStr">
        <x:is>
          <x:t xml:space="preserve">Инженерный отдел</x:t>
        </x:is>
      </x:c>
      <x:c r="I215" s="31" t="n">
        <x:v>2</x:v>
      </x:c>
      <x:c r="J215" s="31" t="n">
        <x:v>2</x:v>
      </x:c>
      <x:c r="K215" s="31" t="n">
        <x:v>72</x:v>
      </x:c>
      <x:c r="L215" s="31" t="n">
        <x:v>93.09999999999999</x:v>
      </x:c>
      <x:c r="M215" s="31" t="n">
        <x:v>15</x:v>
      </x:c>
      <x:c r="N215" s="31" t="inlineStr">
        <x:is>
          <x:t xml:space="preserve">Переналадка</x:t>
        </x:is>
      </x:c>
      <x:c r="O215" s="31" t="inlineStr">
        <x:is>
          <x:t xml:space="preserve">Подтверждено мастером</x:t>
        </x:is>
      </x:c>
      <x:c r="P215" s="31" t="inlineStr">
        <x:is>
          <x:t xml:space="preserve">Комментарий смены 229</x:t>
        </x:is>
      </x:c>
    </x:row>
    <x:row r="216" ht="18" customHeight="1">
      <x:c r="A216" s="31" t="inlineStr">
        <x:is>
          <x:t xml:space="preserve">СМ-00230</x:t>
        </x:is>
      </x:c>
      <x:c r="B216" s="31" t="n">
        <x:v>46183</x:v>
      </x:c>
      <x:c r="C216" s="31" t="inlineStr">
        <x:is>
          <x:t xml:space="preserve">Вечер</x:t>
        </x:is>
      </x:c>
      <x:c r="D216" s="31" t="inlineStr">
        <x:is>
          <x:t xml:space="preserve">ПЗ-00242</x:t>
        </x:is>
      </x:c>
      <x:c r="E216" s="31" t="inlineStr">
        <x:is>
          <x:t xml:space="preserve">ОП-002033</x:t>
        </x:is>
      </x:c>
      <x:c r="F216" s="31" t="inlineStr">
        <x:is>
          <x:t xml:space="preserve">ОБ-007</x:t>
        </x:is>
      </x:c>
      <x:c r="G216" s="31" t="inlineStr">
        <x:is>
          <x:t xml:space="preserve">СОТР-099</x:t>
        </x:is>
      </x:c>
      <x:c r="H216" s="31" t="inlineStr">
        <x:is>
          <x:t xml:space="preserve">ОТК</x:t>
        </x:is>
      </x:c>
      <x:c r="I216" s="31" t="n">
        <x:v>2</x:v>
      </x:c>
      <x:c r="J216" s="31" t="n">
        <x:v>2</x:v>
      </x:c>
      <x:c r="K216" s="31" t="n">
        <x:v>24.2</x:v>
      </x:c>
      <x:c r="L216" s="31" t="n">
        <x:v>20.6</x:v>
      </x:c>
      <x:c r="M216" s="31" t="n">
        <x:v>15</x:v>
      </x:c>
      <x:c r="N216" s="31" t="inlineStr">
        <x:is>
          <x:t xml:space="preserve">Ремонт оборудования</x:t>
        </x:is>
      </x:c>
      <x:c r="O216" s="31" t="inlineStr">
        <x:is>
          <x:t xml:space="preserve">Подтверждено мастером</x:t>
        </x:is>
      </x:c>
      <x:c r="P216" s="31" t="inlineStr">
        <x:is>
          <x:t xml:space="preserve">Комментарий смены 230</x:t>
        </x:is>
      </x:c>
    </x:row>
    <x:row r="217" ht="18" customHeight="1">
      <x:c r="A217" s="31" t="inlineStr">
        <x:is>
          <x:t xml:space="preserve">СМ-00232</x:t>
        </x:is>
      </x:c>
      <x:c r="B217" s="31" t="n">
        <x:v>46105</x:v>
      </x:c>
      <x:c r="C217" s="31" t="inlineStr">
        <x:is>
          <x:t xml:space="preserve">День</x:t>
        </x:is>
      </x:c>
      <x:c r="D217" s="31" t="inlineStr">
        <x:is>
          <x:t xml:space="preserve">ПЗ-00102</x:t>
        </x:is>
      </x:c>
      <x:c r="E217" s="31" t="inlineStr">
        <x:is>
          <x:t xml:space="preserve">ОП-000846</x:t>
        </x:is>
      </x:c>
      <x:c r="F217" s="31" t="n"/>
      <x:c r="G217" s="31" t="inlineStr">
        <x:is>
          <x:t xml:space="preserve">СОТР-021</x:t>
        </x:is>
      </x:c>
      <x:c r="H217" s="31" t="inlineStr">
        <x:is>
          <x:t xml:space="preserve">Инженерный отдел</x:t>
        </x:is>
      </x:c>
      <x:c r="I217" s="31" t="n">
        <x:v>1</x:v>
      </x:c>
      <x:c r="J217" s="31" t="n">
        <x:v>2</x:v>
      </x:c>
      <x:c r="K217" s="31" t="n">
        <x:v>46</x:v>
      </x:c>
      <x:c r="L217" s="31" t="n">
        <x:v>45.2</x:v>
      </x:c>
      <x:c r="M217" s="31" t="n">
        <x:v>0</x:v>
      </x:c>
      <x:c r="N217" s="31" t="inlineStr">
        <x:is>
          <x:t xml:space="preserve">Нет</x:t>
        </x:is>
      </x:c>
      <x:c r="O217" s="31" t="inlineStr">
        <x:is>
          <x:t xml:space="preserve">Подтверждено мастером</x:t>
        </x:is>
      </x:c>
      <x:c r="P217" s="31" t="inlineStr">
        <x:is>
          <x:t xml:space="preserve">Комментарий смены 232</x:t>
        </x:is>
      </x:c>
    </x:row>
    <x:row r="218" ht="18" customHeight="1">
      <x:c r="A218" s="31" t="inlineStr">
        <x:is>
          <x:t xml:space="preserve">СМ-00233</x:t>
        </x:is>
      </x:c>
      <x:c r="B218" s="31" t="n">
        <x:v>46119</x:v>
      </x:c>
      <x:c r="C218" s="31" t="inlineStr">
        <x:is>
          <x:t xml:space="preserve">День</x:t>
        </x:is>
      </x:c>
      <x:c r="D218" s="31" t="inlineStr">
        <x:is>
          <x:t xml:space="preserve">ПЗ-00098</x:t>
        </x:is>
      </x:c>
      <x:c r="E218" s="31" t="inlineStr">
        <x:is>
          <x:t xml:space="preserve">ОП-000825</x:t>
        </x:is>
      </x:c>
      <x:c r="F218" s="31" t="inlineStr">
        <x:is>
          <x:t xml:space="preserve">ОБ-014</x:t>
        </x:is>
      </x:c>
      <x:c r="G218" s="31" t="inlineStr">
        <x:is>
          <x:t xml:space="preserve">СОТР-091</x:t>
        </x:is>
      </x:c>
      <x:c r="H218" s="31" t="inlineStr">
        <x:is>
          <x:t xml:space="preserve">Сборка</x:t>
        </x:is>
      </x:c>
      <x:c r="I218" s="31" t="n">
        <x:v>3</x:v>
      </x:c>
      <x:c r="J218" s="31" t="n">
        <x:v>0</x:v>
      </x:c>
      <x:c r="K218" s="31" t="n">
        <x:v>69.59999999999999</x:v>
      </x:c>
      <x:c r="L218" s="31" t="n">
        <x:v>64.3</x:v>
      </x:c>
      <x:c r="M218" s="31" t="n">
        <x:v>120</x:v>
      </x:c>
      <x:c r="N218" s="31" t="inlineStr">
        <x:is>
          <x:t xml:space="preserve">Ремонт оборудования</x:t>
        </x:is>
      </x:c>
      <x:c r="O218" s="31" t="inlineStr">
        <x:is>
          <x:t xml:space="preserve">Подтверждено мастером</x:t>
        </x:is>
      </x:c>
      <x:c r="P218" s="31" t="inlineStr">
        <x:is>
          <x:t xml:space="preserve">Комментарий смены 233</x:t>
        </x:is>
      </x:c>
    </x:row>
    <x:row r="219" ht="18" customHeight="1">
      <x:c r="A219" s="31" t="inlineStr">
        <x:is>
          <x:t xml:space="preserve">СМ-00234</x:t>
        </x:is>
      </x:c>
      <x:c r="B219" s="31" t="n">
        <x:v>46108</x:v>
      </x:c>
      <x:c r="C219" s="31" t="inlineStr">
        <x:is>
          <x:t xml:space="preserve">Ночь</x:t>
        </x:is>
      </x:c>
      <x:c r="D219" s="31" t="inlineStr">
        <x:is>
          <x:t xml:space="preserve">ПЗ-00106</x:t>
        </x:is>
      </x:c>
      <x:c r="E219" s="31" t="inlineStr">
        <x:is>
          <x:t xml:space="preserve">ОП-000884</x:t>
        </x:is>
      </x:c>
      <x:c r="F219" s="31" t="n"/>
      <x:c r="G219" s="31" t="inlineStr">
        <x:is>
          <x:t xml:space="preserve">СОТР-019</x:t>
        </x:is>
      </x:c>
      <x:c r="H219" s="31" t="inlineStr">
        <x:is>
          <x:t xml:space="preserve">Инженерный отдел</x:t>
        </x:is>
      </x:c>
      <x:c r="I219" s="31" t="n">
        <x:v>3</x:v>
      </x:c>
      <x:c r="J219" s="31" t="n">
        <x:v>2</x:v>
      </x:c>
      <x:c r="K219" s="31" t="n">
        <x:v>35.5</x:v>
      </x:c>
      <x:c r="L219" s="31" t="n">
        <x:v>35.2</x:v>
      </x:c>
      <x:c r="M219" s="31" t="n">
        <x:v>0</x:v>
      </x:c>
      <x:c r="N219" s="31" t="inlineStr">
        <x:is>
          <x:t xml:space="preserve">Нет</x:t>
        </x:is>
      </x:c>
      <x:c r="O219" s="31" t="inlineStr">
        <x:is>
          <x:t xml:space="preserve">Спорный факт</x:t>
        </x:is>
      </x:c>
      <x:c r="P219" s="31" t="inlineStr">
        <x:is>
          <x:t xml:space="preserve">Комментарий смены 234</x:t>
        </x:is>
      </x:c>
    </x:row>
    <x:row r="220" ht="18" customHeight="1">
      <x:c r="A220" s="31" t="inlineStr">
        <x:is>
          <x:t xml:space="preserve">СМ-00235</x:t>
        </x:is>
      </x:c>
      <x:c r="B220" s="31" t="n">
        <x:v>46116</x:v>
      </x:c>
      <x:c r="C220" s="31" t="inlineStr">
        <x:is>
          <x:t xml:space="preserve">Вечер</x:t>
        </x:is>
      </x:c>
      <x:c r="D220" s="31" t="inlineStr">
        <x:is>
          <x:t xml:space="preserve">ПЗ-00011</x:t>
        </x:is>
      </x:c>
      <x:c r="E220" s="31" t="inlineStr">
        <x:is>
          <x:t xml:space="preserve">ОП-000089</x:t>
        </x:is>
      </x:c>
      <x:c r="F220" s="31" t="inlineStr">
        <x:is>
          <x:t xml:space="preserve">ОБ-018</x:t>
        </x:is>
      </x:c>
      <x:c r="G220" s="31" t="inlineStr">
        <x:is>
          <x:t xml:space="preserve">СОТР-068</x:t>
        </x:is>
      </x:c>
      <x:c r="H220" s="31" t="inlineStr">
        <x:is>
          <x:t xml:space="preserve">Сварка</x:t>
        </x:is>
      </x:c>
      <x:c r="I220" s="31" t="n">
        <x:v>2</x:v>
      </x:c>
      <x:c r="J220" s="31" t="n">
        <x:v>2</x:v>
      </x:c>
      <x:c r="K220" s="31" t="n">
        <x:v>25.2</x:v>
      </x:c>
      <x:c r="L220" s="31" t="n">
        <x:v>27.4</x:v>
      </x:c>
      <x:c r="M220" s="31" t="n">
        <x:v>45</x:v>
      </x:c>
      <x:c r="N220" s="31" t="inlineStr">
        <x:is>
          <x:t xml:space="preserve">Переналадка</x:t>
        </x:is>
      </x:c>
      <x:c r="O220" s="31" t="inlineStr">
        <x:is>
          <x:t xml:space="preserve">Подтверждено мастером</x:t>
        </x:is>
      </x:c>
      <x:c r="P220" s="31" t="inlineStr">
        <x:is>
          <x:t xml:space="preserve">Комментарий смены 235</x:t>
        </x:is>
      </x:c>
    </x:row>
    <x:row r="221" ht="18" customHeight="1">
      <x:c r="A221" s="31" t="inlineStr">
        <x:is>
          <x:t xml:space="preserve">СМ-00236</x:t>
        </x:is>
      </x:c>
      <x:c r="B221" s="31" t="n">
        <x:v>46196</x:v>
      </x:c>
      <x:c r="C221" s="31" t="inlineStr">
        <x:is>
          <x:t xml:space="preserve">День</x:t>
        </x:is>
      </x:c>
      <x:c r="D221" s="31" t="inlineStr">
        <x:is>
          <x:t xml:space="preserve">ПЗ-00175</x:t>
        </x:is>
      </x:c>
      <x:c r="E221" s="31" t="inlineStr">
        <x:is>
          <x:t xml:space="preserve">ОП-001454</x:t>
        </x:is>
      </x:c>
      <x:c r="F221" s="31" t="inlineStr">
        <x:is>
          <x:t xml:space="preserve">ОБ-031</x:t>
        </x:is>
      </x:c>
      <x:c r="G221" s="31" t="inlineStr">
        <x:is>
          <x:t xml:space="preserve">СОТР-040</x:t>
        </x:is>
      </x:c>
      <x:c r="H221" s="31" t="inlineStr">
        <x:is>
          <x:t xml:space="preserve">Механообработка</x:t>
        </x:is>
      </x:c>
      <x:c r="I221" s="31" t="n">
        <x:v>3</x:v>
      </x:c>
      <x:c r="J221" s="31" t="n">
        <x:v>0</x:v>
      </x:c>
      <x:c r="K221" s="31" t="n">
        <x:v>40</x:v>
      </x:c>
      <x:c r="L221" s="31" t="n">
        <x:v>26.3</x:v>
      </x:c>
      <x:c r="M221" s="31" t="n">
        <x:v>0</x:v>
      </x:c>
      <x:c r="N221" s="31" t="inlineStr">
        <x:is>
          <x:t xml:space="preserve">Нет</x:t>
        </x:is>
      </x:c>
      <x:c r="O221" s="31" t="inlineStr">
        <x:is>
          <x:t xml:space="preserve">Подтверждено мастером</x:t>
        </x:is>
      </x:c>
      <x:c r="P221" s="31" t="inlineStr">
        <x:is>
          <x:t xml:space="preserve">Комментарий смены 236</x:t>
        </x:is>
      </x:c>
    </x:row>
    <x:row r="222" ht="18" customHeight="1">
      <x:c r="A222" s="31" t="inlineStr">
        <x:is>
          <x:t xml:space="preserve">СМ-00237</x:t>
        </x:is>
      </x:c>
      <x:c r="B222" s="31" t="n">
        <x:v>46067</x:v>
      </x:c>
      <x:c r="C222" s="31" t="inlineStr">
        <x:is>
          <x:t xml:space="preserve">День</x:t>
        </x:is>
      </x:c>
      <x:c r="D222" s="31" t="inlineStr">
        <x:is>
          <x:t xml:space="preserve">ПЗ-00133</x:t>
        </x:is>
      </x:c>
      <x:c r="E222" s="31" t="inlineStr">
        <x:is>
          <x:t xml:space="preserve">ОП-001111</x:t>
        </x:is>
      </x:c>
      <x:c r="F222" s="31" t="inlineStr">
        <x:is>
          <x:t xml:space="preserve">ОБ-010</x:t>
        </x:is>
      </x:c>
      <x:c r="G222" s="31" t="inlineStr">
        <x:is>
          <x:t xml:space="preserve">СОТР-056</x:t>
        </x:is>
      </x:c>
      <x:c r="H222" s="31" t="inlineStr">
        <x:is>
          <x:t xml:space="preserve">Сварка</x:t>
        </x:is>
      </x:c>
      <x:c r="I222" s="31" t="n">
        <x:v>1</x:v>
      </x:c>
      <x:c r="J222" s="31" t="n">
        <x:v>1</x:v>
      </x:c>
      <x:c r="K222" s="31" t="n">
        <x:v>27.8</x:v>
      </x:c>
      <x:c r="L222" s="31" t="n">
        <x:v>32.3</x:v>
      </x:c>
      <x:c r="M222" s="31" t="n">
        <x:v>120</x:v>
      </x:c>
      <x:c r="N222" s="31" t="inlineStr">
        <x:is>
          <x:t xml:space="preserve">Ожидание ОТК</x:t>
        </x:is>
      </x:c>
      <x:c r="O222" s="31" t="inlineStr">
        <x:is>
          <x:t xml:space="preserve">Подтверждено мастером</x:t>
        </x:is>
      </x:c>
      <x:c r="P222" s="31" t="inlineStr">
        <x:is>
          <x:t xml:space="preserve">Комментарий смены 237</x:t>
        </x:is>
      </x:c>
    </x:row>
    <x:row r="223" ht="18" customHeight="1">
      <x:c r="A223" s="31" t="inlineStr">
        <x:is>
          <x:t xml:space="preserve">СМ-00238</x:t>
        </x:is>
      </x:c>
      <x:c r="B223" s="31" t="n">
        <x:v>46160</x:v>
      </x:c>
      <x:c r="C223" s="31" t="inlineStr">
        <x:is>
          <x:t xml:space="preserve">День</x:t>
        </x:is>
      </x:c>
      <x:c r="D223" s="31" t="inlineStr">
        <x:is>
          <x:t xml:space="preserve">ПЗ-00196</x:t>
        </x:is>
      </x:c>
      <x:c r="E223" s="31" t="inlineStr">
        <x:is>
          <x:t xml:space="preserve">ОП-001641</x:t>
        </x:is>
      </x:c>
      <x:c r="F223" s="31" t="inlineStr">
        <x:is>
          <x:t xml:space="preserve">ОБ-027</x:t>
        </x:is>
      </x:c>
      <x:c r="G223" s="31" t="inlineStr">
        <x:is>
          <x:t xml:space="preserve">СОТР-073</x:t>
        </x:is>
      </x:c>
      <x:c r="H223" s="31" t="inlineStr">
        <x:is>
          <x:t xml:space="preserve">Сборка</x:t>
        </x:is>
      </x:c>
      <x:c r="I223" s="31" t="n">
        <x:v>2</x:v>
      </x:c>
      <x:c r="J223" s="31" t="n">
        <x:v>2</x:v>
      </x:c>
      <x:c r="K223" s="31" t="n">
        <x:v>62.4</x:v>
      </x:c>
      <x:c r="L223" s="31" t="n">
        <x:v>58.2</x:v>
      </x:c>
      <x:c r="M223" s="31" t="n">
        <x:v>90</x:v>
      </x:c>
      <x:c r="N223" s="31" t="inlineStr">
        <x:is>
          <x:t xml:space="preserve">Ожидание материала</x:t>
        </x:is>
      </x:c>
      <x:c r="O223" s="31" t="inlineStr">
        <x:is>
          <x:t xml:space="preserve">Подтверждено мастером</x:t>
        </x:is>
      </x:c>
      <x:c r="P223" s="31" t="inlineStr">
        <x:is>
          <x:t xml:space="preserve">Комментарий смены 238</x:t>
        </x:is>
      </x:c>
    </x:row>
    <x:row r="224" ht="18" customHeight="1">
      <x:c r="A224" s="31" t="inlineStr">
        <x:is>
          <x:t xml:space="preserve">СМ-00239</x:t>
        </x:is>
      </x:c>
      <x:c r="B224" s="31" t="n">
        <x:v>46146</x:v>
      </x:c>
      <x:c r="C224" s="31" t="inlineStr">
        <x:is>
          <x:t xml:space="preserve">День</x:t>
        </x:is>
      </x:c>
      <x:c r="D224" s="31" t="inlineStr">
        <x:is>
          <x:t xml:space="preserve">ПЗ-00251</x:t>
        </x:is>
      </x:c>
      <x:c r="E224" s="31" t="inlineStr">
        <x:is>
          <x:t xml:space="preserve">ОП-002097</x:t>
        </x:is>
      </x:c>
      <x:c r="F224" s="31" t="inlineStr">
        <x:is>
          <x:t xml:space="preserve">ОБ-021</x:t>
        </x:is>
      </x:c>
      <x:c r="G224" s="31" t="inlineStr">
        <x:is>
          <x:t xml:space="preserve">СОТР-057</x:t>
        </x:is>
      </x:c>
      <x:c r="H224" s="31" t="inlineStr">
        <x:is>
          <x:t xml:space="preserve">Сварка</x:t>
        </x:is>
      </x:c>
      <x:c r="I224" s="31" t="n">
        <x:v>1</x:v>
      </x:c>
      <x:c r="J224" s="31" t="n">
        <x:v>0</x:v>
      </x:c>
      <x:c r="K224" s="31" t="n">
        <x:v>25.4</x:v>
      </x:c>
      <x:c r="L224" s="31" t="n">
        <x:v>31</x:v>
      </x:c>
      <x:c r="M224" s="31" t="n">
        <x:v>0</x:v>
      </x:c>
      <x:c r="N224" s="31" t="inlineStr">
        <x:is>
          <x:t xml:space="preserve">Нет</x:t>
        </x:is>
      </x:c>
      <x:c r="O224" s="31" t="inlineStr">
        <x:is>
          <x:t xml:space="preserve">Подтверждено мастером</x:t>
        </x:is>
      </x:c>
      <x:c r="P224" s="31" t="inlineStr">
        <x:is>
          <x:t xml:space="preserve">Комментарий смены 239</x:t>
        </x:is>
      </x:c>
    </x:row>
    <x:row r="225" ht="18" customHeight="1">
      <x:c r="A225" s="31" t="inlineStr">
        <x:is>
          <x:t xml:space="preserve">СМ-00240</x:t>
        </x:is>
      </x:c>
      <x:c r="B225" s="31" t="n">
        <x:v>46158</x:v>
      </x:c>
      <x:c r="C225" s="31" t="inlineStr">
        <x:is>
          <x:t xml:space="preserve">Ночь</x:t>
        </x:is>
      </x:c>
      <x:c r="D225" s="31" t="inlineStr">
        <x:is>
          <x:t xml:space="preserve">ПЗ-00258</x:t>
        </x:is>
      </x:c>
      <x:c r="E225" s="31" t="inlineStr">
        <x:is>
          <x:t xml:space="preserve">ОП-002145</x:t>
        </x:is>
      </x:c>
      <x:c r="F225" s="31" t="inlineStr">
        <x:is>
          <x:t xml:space="preserve">ОБ-023</x:t>
        </x:is>
      </x:c>
      <x:c r="G225" s="31" t="inlineStr">
        <x:is>
          <x:t xml:space="preserve">СОТР-033</x:t>
        </x:is>
      </x:c>
      <x:c r="H225" s="31" t="inlineStr">
        <x:is>
          <x:t xml:space="preserve">Склад</x:t>
        </x:is>
      </x:c>
      <x:c r="I225" s="31" t="n">
        <x:v>1</x:v>
      </x:c>
      <x:c r="J225" s="31" t="n">
        <x:v>0</x:v>
      </x:c>
      <x:c r="K225" s="31" t="n">
        <x:v>12.4</x:v>
      </x:c>
      <x:c r="L225" s="31" t="n">
        <x:v>7.9</x:v>
      </x:c>
      <x:c r="M225" s="31" t="n">
        <x:v>90</x:v>
      </x:c>
      <x:c r="N225" s="31" t="inlineStr">
        <x:is>
          <x:t xml:space="preserve">Переналадка</x:t>
        </x:is>
      </x:c>
      <x:c r="O225" s="31" t="inlineStr">
        <x:is>
          <x:t xml:space="preserve">Черновик</x:t>
        </x:is>
      </x:c>
      <x:c r="P225" s="31" t="inlineStr">
        <x:is>
          <x:t xml:space="preserve">Комментарий смены 240</x:t>
        </x:is>
      </x:c>
    </x:row>
    <x:row r="226" ht="18" customHeight="1">
      <x:c r="A226" s="31" t="inlineStr">
        <x:is>
          <x:t xml:space="preserve">СМ-00241</x:t>
        </x:is>
      </x:c>
      <x:c r="B226" s="31" t="n">
        <x:v>46163</x:v>
      </x:c>
      <x:c r="C226" s="31" t="inlineStr">
        <x:is>
          <x:t xml:space="preserve">Вечер</x:t>
        </x:is>
      </x:c>
      <x:c r="D226" s="31" t="inlineStr">
        <x:is>
          <x:t xml:space="preserve">ПЗ-00044</x:t>
        </x:is>
      </x:c>
      <x:c r="E226" s="31" t="inlineStr">
        <x:is>
          <x:t xml:space="preserve">ОП-000369</x:t>
        </x:is>
      </x:c>
      <x:c r="F226" s="31" t="inlineStr">
        <x:is>
          <x:t xml:space="preserve">ОБ-015</x:t>
        </x:is>
      </x:c>
      <x:c r="G226" s="31" t="inlineStr">
        <x:is>
          <x:t xml:space="preserve">СОТР-096</x:t>
        </x:is>
      </x:c>
      <x:c r="H226" s="31" t="inlineStr">
        <x:is>
          <x:t xml:space="preserve">ОТК</x:t>
        </x:is>
      </x:c>
      <x:c r="I226" s="31" t="n">
        <x:v>1</x:v>
      </x:c>
      <x:c r="J226" s="31" t="n">
        <x:v>1</x:v>
      </x:c>
      <x:c r="K226" s="31" t="n">
        <x:v>23.2</x:v>
      </x:c>
      <x:c r="L226" s="31" t="n">
        <x:v>29.9</x:v>
      </x:c>
      <x:c r="M226" s="31" t="n">
        <x:v>120</x:v>
      </x:c>
      <x:c r="N226" s="31" t="inlineStr">
        <x:is>
          <x:t xml:space="preserve">Ремонт оборудования</x:t>
        </x:is>
      </x:c>
      <x:c r="O226" s="31" t="inlineStr">
        <x:is>
          <x:t xml:space="preserve">Подтверждено мастером</x:t>
        </x:is>
      </x:c>
      <x:c r="P226" s="31" t="inlineStr">
        <x:is>
          <x:t xml:space="preserve">Комментарий смены 241</x:t>
        </x:is>
      </x:c>
    </x:row>
    <x:row r="227" ht="18" customHeight="1">
      <x:c r="A227" s="31" t="inlineStr">
        <x:is>
          <x:t xml:space="preserve">СМ-00242</x:t>
        </x:is>
      </x:c>
      <x:c r="B227" s="31" t="n">
        <x:v>46093</x:v>
      </x:c>
      <x:c r="C227" s="31" t="inlineStr">
        <x:is>
          <x:t xml:space="preserve">День</x:t>
        </x:is>
      </x:c>
      <x:c r="D227" s="31" t="inlineStr">
        <x:is>
          <x:t xml:space="preserve">ПЗ-00054</x:t>
        </x:is>
      </x:c>
      <x:c r="E227" s="31" t="inlineStr">
        <x:is>
          <x:t xml:space="preserve">ОП-000446</x:t>
        </x:is>
      </x:c>
      <x:c r="F227" s="31" t="inlineStr">
        <x:is>
          <x:t xml:space="preserve">ОБ-008</x:t>
        </x:is>
      </x:c>
      <x:c r="G227" s="31" t="inlineStr">
        <x:is>
          <x:t xml:space="preserve">СОТР-039</x:t>
        </x:is>
      </x:c>
      <x:c r="H227" s="31" t="inlineStr">
        <x:is>
          <x:t xml:space="preserve">Склад</x:t>
        </x:is>
      </x:c>
      <x:c r="I227" s="31" t="n">
        <x:v>3</x:v>
      </x:c>
      <x:c r="J227" s="31" t="n">
        <x:v>3</x:v>
      </x:c>
      <x:c r="K227" s="31" t="n">
        <x:v>8.699999999999999</x:v>
      </x:c>
      <x:c r="L227" s="31" t="n">
        <x:v>8.1</x:v>
      </x:c>
      <x:c r="M227" s="31" t="n">
        <x:v>15</x:v>
      </x:c>
      <x:c r="N227" s="31" t="inlineStr">
        <x:is>
          <x:t xml:space="preserve">Ожидание ОТК</x:t>
        </x:is>
      </x:c>
      <x:c r="O227" s="31" t="inlineStr">
        <x:is>
          <x:t xml:space="preserve">Подтверждено мастером</x:t>
        </x:is>
      </x:c>
      <x:c r="P227" s="31" t="inlineStr">
        <x:is>
          <x:t xml:space="preserve">Комментарий смены 242</x:t>
        </x:is>
      </x:c>
    </x:row>
    <x:row r="228" ht="18" customHeight="1">
      <x:c r="A228" s="31" t="inlineStr">
        <x:is>
          <x:t xml:space="preserve">СМ-00243</x:t>
        </x:is>
      </x:c>
      <x:c r="B228" s="31" t="n">
        <x:v>46161</x:v>
      </x:c>
      <x:c r="C228" s="31" t="inlineStr">
        <x:is>
          <x:t xml:space="preserve">Ночь</x:t>
        </x:is>
      </x:c>
      <x:c r="D228" s="31" t="inlineStr">
        <x:is>
          <x:t xml:space="preserve">ПЗ-00142</x:t>
        </x:is>
      </x:c>
      <x:c r="E228" s="31" t="inlineStr">
        <x:is>
          <x:t xml:space="preserve">ОП-001187</x:t>
        </x:is>
      </x:c>
      <x:c r="F228" s="31" t="inlineStr">
        <x:is>
          <x:t xml:space="preserve">ОБ-034</x:t>
        </x:is>
      </x:c>
      <x:c r="G228" s="31" t="inlineStr">
        <x:is>
          <x:t xml:space="preserve">СОТР-091</x:t>
        </x:is>
      </x:c>
      <x:c r="H228" s="31" t="inlineStr">
        <x:is>
          <x:t xml:space="preserve">Сборка</x:t>
        </x:is>
      </x:c>
      <x:c r="I228" s="31" t="n">
        <x:v>1</x:v>
      </x:c>
      <x:c r="J228" s="31" t="n">
        <x:v>2</x:v>
      </x:c>
      <x:c r="K228" s="31" t="n">
        <x:v>56.4</x:v>
      </x:c>
      <x:c r="L228" s="31" t="n">
        <x:v>65.59999999999999</x:v>
      </x:c>
      <x:c r="M228" s="31" t="n">
        <x:v>120</x:v>
      </x:c>
      <x:c r="N228" s="31" t="inlineStr">
        <x:is>
          <x:t xml:space="preserve">Переналадка</x:t>
        </x:is>
      </x:c>
      <x:c r="O228" s="31" t="inlineStr">
        <x:is>
          <x:t xml:space="preserve">Подтверждено мастером</x:t>
        </x:is>
      </x:c>
      <x:c r="P228" s="31" t="inlineStr">
        <x:is>
          <x:t xml:space="preserve">Комментарий смены 243</x:t>
        </x:is>
      </x:c>
    </x:row>
    <x:row r="229" ht="18" customHeight="1">
      <x:c r="A229" s="31" t="inlineStr">
        <x:is>
          <x:t xml:space="preserve">СМ-00244</x:t>
        </x:is>
      </x:c>
      <x:c r="B229" s="31" t="n">
        <x:v>46173</x:v>
      </x:c>
      <x:c r="C229" s="31" t="inlineStr">
        <x:is>
          <x:t xml:space="preserve">День</x:t>
        </x:is>
      </x:c>
      <x:c r="D229" s="31" t="inlineStr">
        <x:is>
          <x:t xml:space="preserve">ПЗ-00241</x:t>
        </x:is>
      </x:c>
      <x:c r="E229" s="31" t="inlineStr">
        <x:is>
          <x:t xml:space="preserve">ОП-002023</x:t>
        </x:is>
      </x:c>
      <x:c r="F229" s="31" t="n"/>
      <x:c r="G229" s="31" t="inlineStr">
        <x:is>
          <x:t xml:space="preserve">СОТР-105</x:t>
        </x:is>
      </x:c>
      <x:c r="H229" s="31" t="inlineStr">
        <x:is>
          <x:t xml:space="preserve">Логистика</x:t>
        </x:is>
      </x:c>
      <x:c r="I229" s="31" t="n">
        <x:v>1</x:v>
      </x:c>
      <x:c r="J229" s="31" t="n">
        <x:v>1</x:v>
      </x:c>
      <x:c r="K229" s="31" t="n">
        <x:v>17.9</x:v>
      </x:c>
      <x:c r="L229" s="31" t="n">
        <x:v>17</x:v>
      </x:c>
      <x:c r="M229" s="31" t="n">
        <x:v>90</x:v>
      </x:c>
      <x:c r="N229" s="31" t="inlineStr">
        <x:is>
          <x:t xml:space="preserve">Ожидание ОТК</x:t>
        </x:is>
      </x:c>
      <x:c r="O229" s="31" t="inlineStr">
        <x:is>
          <x:t xml:space="preserve">Подтверждено мастером</x:t>
        </x:is>
      </x:c>
      <x:c r="P229" s="31" t="inlineStr">
        <x:is>
          <x:t xml:space="preserve">Комментарий смены 244</x:t>
        </x:is>
      </x:c>
    </x:row>
    <x:row r="230" ht="18" customHeight="1">
      <x:c r="A230" s="31" t="inlineStr">
        <x:is>
          <x:t xml:space="preserve">СМ-00245</x:t>
        </x:is>
      </x:c>
      <x:c r="B230" s="31" t="n">
        <x:v>46154</x:v>
      </x:c>
      <x:c r="C230" s="31" t="inlineStr">
        <x:is>
          <x:t xml:space="preserve">День</x:t>
        </x:is>
      </x:c>
      <x:c r="D230" s="31" t="inlineStr">
        <x:is>
          <x:t xml:space="preserve">ПЗ-00119</x:t>
        </x:is>
      </x:c>
      <x:c r="E230" s="31" t="inlineStr">
        <x:is>
          <x:t xml:space="preserve">ОП-001000</x:t>
        </x:is>
      </x:c>
      <x:c r="F230" s="31" t="inlineStr">
        <x:is>
          <x:t xml:space="preserve">ОБ-003</x:t>
        </x:is>
      </x:c>
      <x:c r="G230" s="31" t="inlineStr">
        <x:is>
          <x:t xml:space="preserve">СОТР-057</x:t>
        </x:is>
      </x:c>
      <x:c r="H230" s="31" t="inlineStr">
        <x:is>
          <x:t xml:space="preserve">Сварка</x:t>
        </x:is>
      </x:c>
      <x:c r="I230" s="31" t="n">
        <x:v>1</x:v>
      </x:c>
      <x:c r="J230" s="31" t="n">
        <x:v>1</x:v>
      </x:c>
      <x:c r="K230" s="31" t="n">
        <x:v>14.2</x:v>
      </x:c>
      <x:c r="L230" s="31" t="n">
        <x:v>15.9</x:v>
      </x:c>
      <x:c r="M230" s="31" t="n">
        <x:v>45</x:v>
      </x:c>
      <x:c r="N230" s="31" t="inlineStr">
        <x:is>
          <x:t xml:space="preserve">Нет оператора</x:t>
        </x:is>
      </x:c>
      <x:c r="O230" s="31" t="inlineStr">
        <x:is>
          <x:t xml:space="preserve">Подтверждено мастером</x:t>
        </x:is>
      </x:c>
      <x:c r="P230" s="31" t="inlineStr">
        <x:is>
          <x:t xml:space="preserve">Комментарий смены 245</x:t>
        </x:is>
      </x:c>
    </x:row>
    <x:row r="231" ht="18" customHeight="1">
      <x:c r="A231" s="31" t="inlineStr">
        <x:is>
          <x:t xml:space="preserve">СМ-00246</x:t>
        </x:is>
      </x:c>
      <x:c r="B231" s="31" t="n">
        <x:v>46114</x:v>
      </x:c>
      <x:c r="C231" s="31" t="inlineStr">
        <x:is>
          <x:t xml:space="preserve">День</x:t>
        </x:is>
      </x:c>
      <x:c r="D231" s="31" t="inlineStr">
        <x:is>
          <x:t xml:space="preserve">ПЗ-00259</x:t>
        </x:is>
      </x:c>
      <x:c r="E231" s="31" t="inlineStr">
        <x:is>
          <x:t xml:space="preserve">ОП-002158</x:t>
        </x:is>
      </x:c>
      <x:c r="F231" s="31" t="inlineStr">
        <x:is>
          <x:t xml:space="preserve">ОБ-006</x:t>
        </x:is>
      </x:c>
      <x:c r="G231" s="31" t="inlineStr">
        <x:is>
          <x:t xml:space="preserve">СОТР-100</x:t>
        </x:is>
      </x:c>
      <x:c r="H231" s="31" t="inlineStr">
        <x:is>
          <x:t xml:space="preserve">ОТК</x:t>
        </x:is>
      </x:c>
      <x:c r="I231" s="31" t="n">
        <x:v>3</x:v>
      </x:c>
      <x:c r="J231" s="31" t="n">
        <x:v>2</x:v>
      </x:c>
      <x:c r="K231" s="31" t="n">
        <x:v>11.2</x:v>
      </x:c>
      <x:c r="L231" s="31" t="n">
        <x:v>13.2</x:v>
      </x:c>
      <x:c r="M231" s="31" t="n">
        <x:v>60</x:v>
      </x:c>
      <x:c r="N231" s="31" t="inlineStr">
        <x:is>
          <x:t xml:space="preserve">Переналадка</x:t>
        </x:is>
      </x:c>
      <x:c r="O231" s="31" t="inlineStr">
        <x:is>
          <x:t xml:space="preserve">Спорный факт</x:t>
        </x:is>
      </x:c>
      <x:c r="P231" s="31" t="inlineStr">
        <x:is>
          <x:t xml:space="preserve">Комментарий смены 246</x:t>
        </x:is>
      </x:c>
    </x:row>
    <x:row r="232" ht="18" customHeight="1">
      <x:c r="A232" s="31" t="inlineStr">
        <x:is>
          <x:t xml:space="preserve">СМ-00247</x:t>
        </x:is>
      </x:c>
      <x:c r="B232" s="31" t="n">
        <x:v>46131</x:v>
      </x:c>
      <x:c r="C232" s="31" t="inlineStr">
        <x:is>
          <x:t xml:space="preserve">Ночь</x:t>
        </x:is>
      </x:c>
      <x:c r="D232" s="31" t="inlineStr">
        <x:is>
          <x:t xml:space="preserve">ПЗ-00135</x:t>
        </x:is>
      </x:c>
      <x:c r="E232" s="31" t="inlineStr">
        <x:is>
          <x:t xml:space="preserve">ОП-001134</x:t>
        </x:is>
      </x:c>
      <x:c r="F232" s="31" t="inlineStr">
        <x:is>
          <x:t xml:space="preserve">ОБ-014</x:t>
        </x:is>
      </x:c>
      <x:c r="G232" s="31" t="inlineStr">
        <x:is>
          <x:t xml:space="preserve">СОТР-074</x:t>
        </x:is>
      </x:c>
      <x:c r="H232" s="31" t="inlineStr">
        <x:is>
          <x:t xml:space="preserve">Сборка</x:t>
        </x:is>
      </x:c>
      <x:c r="I232" s="31" t="n">
        <x:v>1</x:v>
      </x:c>
      <x:c r="J232" s="31" t="n">
        <x:v>2</x:v>
      </x:c>
      <x:c r="K232" s="31" t="n">
        <x:v>14.4</x:v>
      </x:c>
      <x:c r="L232" s="31" t="n">
        <x:v>18.1</x:v>
      </x:c>
      <x:c r="M232" s="31" t="n">
        <x:v>0</x:v>
      </x:c>
      <x:c r="N232" s="31" t="inlineStr">
        <x:is>
          <x:t xml:space="preserve">Нет</x:t>
        </x:is>
      </x:c>
      <x:c r="O232" s="31" t="inlineStr">
        <x:is>
          <x:t xml:space="preserve">Спорный факт</x:t>
        </x:is>
      </x:c>
      <x:c r="P232" s="31" t="inlineStr">
        <x:is>
          <x:t xml:space="preserve">Комментарий смены 247</x:t>
        </x:is>
      </x:c>
    </x:row>
    <x:row r="233" ht="18" customHeight="1">
      <x:c r="A233" s="31" t="inlineStr">
        <x:is>
          <x:t xml:space="preserve">СМ-00248</x:t>
        </x:is>
      </x:c>
      <x:c r="B233" s="31" t="n">
        <x:v>46125</x:v>
      </x:c>
      <x:c r="C233" s="31" t="inlineStr">
        <x:is>
          <x:t xml:space="preserve">День</x:t>
        </x:is>
      </x:c>
      <x:c r="D233" s="31" t="inlineStr">
        <x:is>
          <x:t xml:space="preserve">ПЗ-00071</x:t>
        </x:is>
      </x:c>
      <x:c r="E233" s="31" t="inlineStr">
        <x:is>
          <x:t xml:space="preserve">ОП-000602</x:t>
        </x:is>
      </x:c>
      <x:c r="F233" s="31" t="n"/>
      <x:c r="G233" s="31" t="inlineStr">
        <x:is>
          <x:t xml:space="preserve">СОТР-012</x:t>
        </x:is>
      </x:c>
      <x:c r="H233" s="31" t="inlineStr">
        <x:is>
          <x:t xml:space="preserve">Инженерный отдел</x:t>
        </x:is>
      </x:c>
      <x:c r="I233" s="31" t="n">
        <x:v>2</x:v>
      </x:c>
      <x:c r="J233" s="31" t="n">
        <x:v>1</x:v>
      </x:c>
      <x:c r="K233" s="31" t="n">
        <x:v>25.2</x:v>
      </x:c>
      <x:c r="L233" s="31" t="n">
        <x:v>26.7</x:v>
      </x:c>
      <x:c r="M233" s="31" t="n">
        <x:v>0</x:v>
      </x:c>
      <x:c r="N233" s="31" t="inlineStr">
        <x:is>
          <x:t xml:space="preserve">Нет</x:t>
        </x:is>
      </x:c>
      <x:c r="O233" s="31" t="inlineStr">
        <x:is>
          <x:t xml:space="preserve">Подтверждено мастером</x:t>
        </x:is>
      </x:c>
      <x:c r="P233" s="31" t="inlineStr">
        <x:is>
          <x:t xml:space="preserve">Комментарий смены 248</x:t>
        </x:is>
      </x:c>
    </x:row>
    <x:row r="234" ht="18" customHeight="1">
      <x:c r="A234" s="31" t="inlineStr">
        <x:is>
          <x:t xml:space="preserve">СМ-00249</x:t>
        </x:is>
      </x:c>
      <x:c r="B234" s="31" t="n">
        <x:v>46187</x:v>
      </x:c>
      <x:c r="C234" s="31" t="inlineStr">
        <x:is>
          <x:t xml:space="preserve">Ночь</x:t>
        </x:is>
      </x:c>
      <x:c r="D234" s="31" t="inlineStr">
        <x:is>
          <x:t xml:space="preserve">ПЗ-00189</x:t>
        </x:is>
      </x:c>
      <x:c r="E234" s="31" t="inlineStr">
        <x:is>
          <x:t xml:space="preserve">ОП-001580</x:t>
        </x:is>
      </x:c>
      <x:c r="F234" s="31" t="inlineStr">
        <x:is>
          <x:t xml:space="preserve">ОБ-013</x:t>
        </x:is>
      </x:c>
      <x:c r="G234" s="31" t="inlineStr">
        <x:is>
          <x:t xml:space="preserve">СОТР-092</x:t>
        </x:is>
      </x:c>
      <x:c r="H234" s="31" t="inlineStr">
        <x:is>
          <x:t xml:space="preserve">ОТК</x:t>
        </x:is>
      </x:c>
      <x:c r="I234" s="31" t="n">
        <x:v>1</x:v>
      </x:c>
      <x:c r="J234" s="31" t="n">
        <x:v>1</x:v>
      </x:c>
      <x:c r="K234" s="31" t="n">
        <x:v>76.2</x:v>
      </x:c>
      <x:c r="L234" s="31" t="n">
        <x:v>87.90000000000001</x:v>
      </x:c>
      <x:c r="M234" s="31" t="n">
        <x:v>15</x:v>
      </x:c>
      <x:c r="N234" s="31" t="inlineStr">
        <x:is>
          <x:t xml:space="preserve">Нет оператора</x:t>
        </x:is>
      </x:c>
      <x:c r="O234" s="31" t="inlineStr">
        <x:is>
          <x:t xml:space="preserve">Подтверждено мастером</x:t>
        </x:is>
      </x:c>
      <x:c r="P234" s="31" t="inlineStr">
        <x:is>
          <x:t xml:space="preserve">Комментарий смены 249</x:t>
        </x:is>
      </x:c>
    </x:row>
    <x:row r="235" ht="18" customHeight="1">
      <x:c r="A235" s="31" t="inlineStr">
        <x:is>
          <x:t xml:space="preserve">СМ-00250</x:t>
        </x:is>
      </x:c>
      <x:c r="B235" s="31" t="n">
        <x:v>46101</x:v>
      </x:c>
      <x:c r="C235" s="31" t="inlineStr">
        <x:is>
          <x:t xml:space="preserve">День</x:t>
        </x:is>
      </x:c>
      <x:c r="D235" s="31" t="inlineStr">
        <x:is>
          <x:t xml:space="preserve">ПЗ-00067</x:t>
        </x:is>
      </x:c>
      <x:c r="E235" s="31" t="inlineStr">
        <x:is>
          <x:t xml:space="preserve">ОП-000565</x:t>
        </x:is>
      </x:c>
      <x:c r="F235" s="31" t="inlineStr">
        <x:is>
          <x:t xml:space="preserve">ОБ-023</x:t>
        </x:is>
      </x:c>
      <x:c r="G235" s="31" t="inlineStr">
        <x:is>
          <x:t xml:space="preserve">СОТР-024</x:t>
        </x:is>
      </x:c>
      <x:c r="H235" s="31" t="inlineStr">
        <x:is>
          <x:t xml:space="preserve">Склад</x:t>
        </x:is>
      </x:c>
      <x:c r="I235" s="31" t="n">
        <x:v>2</x:v>
      </x:c>
      <x:c r="J235" s="31" t="n">
        <x:v>1</x:v>
      </x:c>
      <x:c r="K235" s="31" t="n">
        <x:v>20.4</x:v>
      </x:c>
      <x:c r="L235" s="31" t="n">
        <x:v>23.7</x:v>
      </x:c>
      <x:c r="M235" s="31" t="n">
        <x:v>15</x:v>
      </x:c>
      <x:c r="N235" s="31" t="inlineStr">
        <x:is>
          <x:t xml:space="preserve">Нет оператора</x:t>
        </x:is>
      </x:c>
      <x:c r="O235" s="31" t="inlineStr">
        <x:is>
          <x:t xml:space="preserve">Подтверждено мастером</x:t>
        </x:is>
      </x:c>
      <x:c r="P235" s="31" t="inlineStr">
        <x:is>
          <x:t xml:space="preserve">Комментарий смены 250</x:t>
        </x:is>
      </x:c>
    </x:row>
    <x:row r="236" ht="18" customHeight="1">
      <x:c r="A236" s="31" t="inlineStr">
        <x:is>
          <x:t xml:space="preserve">СМ-00251</x:t>
        </x:is>
      </x:c>
      <x:c r="B236" s="31" t="n">
        <x:v>46148</x:v>
      </x:c>
      <x:c r="C236" s="31" t="inlineStr">
        <x:is>
          <x:t xml:space="preserve">День</x:t>
        </x:is>
      </x:c>
      <x:c r="D236" s="31" t="inlineStr">
        <x:is>
          <x:t xml:space="preserve">ПЗ-00119</x:t>
        </x:is>
      </x:c>
      <x:c r="E236" s="31" t="inlineStr">
        <x:is>
          <x:t xml:space="preserve">ОП-000996</x:t>
        </x:is>
      </x:c>
      <x:c r="F236" s="31" t="n"/>
      <x:c r="G236" s="31" t="inlineStr">
        <x:is>
          <x:t xml:space="preserve">СОТР-020</x:t>
        </x:is>
      </x:c>
      <x:c r="H236" s="31" t="inlineStr">
        <x:is>
          <x:t xml:space="preserve">Инженерный отдел</x:t>
        </x:is>
      </x:c>
      <x:c r="I236" s="31" t="n">
        <x:v>2</x:v>
      </x:c>
      <x:c r="J236" s="31" t="n">
        <x:v>2</x:v>
      </x:c>
      <x:c r="K236" s="31" t="n">
        <x:v>15</x:v>
      </x:c>
      <x:c r="L236" s="31" t="n">
        <x:v>17.8</x:v>
      </x:c>
      <x:c r="M236" s="31" t="n">
        <x:v>30</x:v>
      </x:c>
      <x:c r="N236" s="31" t="inlineStr">
        <x:is>
          <x:t xml:space="preserve">Ожидание ОТК</x:t>
        </x:is>
      </x:c>
      <x:c r="O236" s="31" t="inlineStr">
        <x:is>
          <x:t xml:space="preserve">Подтверждено мастером</x:t>
        </x:is>
      </x:c>
      <x:c r="P236" s="31" t="inlineStr">
        <x:is>
          <x:t xml:space="preserve">Комментарий смены 251</x:t>
        </x:is>
      </x:c>
    </x:row>
    <x:row r="237" ht="18" customHeight="1">
      <x:c r="A237" s="31" t="inlineStr">
        <x:is>
          <x:t xml:space="preserve">СМ-00252</x:t>
        </x:is>
      </x:c>
      <x:c r="B237" s="31" t="n">
        <x:v>46210</x:v>
      </x:c>
      <x:c r="C237" s="31" t="inlineStr">
        <x:is>
          <x:t xml:space="preserve">День</x:t>
        </x:is>
      </x:c>
      <x:c r="D237" s="31" t="inlineStr">
        <x:is>
          <x:t xml:space="preserve">ПЗ-00157</x:t>
        </x:is>
      </x:c>
      <x:c r="E237" s="31" t="inlineStr">
        <x:is>
          <x:t xml:space="preserve">ОП-001301</x:t>
        </x:is>
      </x:c>
      <x:c r="F237" s="31" t="inlineStr">
        <x:is>
          <x:t xml:space="preserve">ОБ-024</x:t>
        </x:is>
      </x:c>
      <x:c r="G237" s="31" t="inlineStr">
        <x:is>
          <x:t xml:space="preserve">СОТР-098</x:t>
        </x:is>
      </x:c>
      <x:c r="H237" s="31" t="inlineStr">
        <x:is>
          <x:t xml:space="preserve">ОТК</x:t>
        </x:is>
      </x:c>
      <x:c r="I237" s="31" t="n">
        <x:v>1</x:v>
      </x:c>
      <x:c r="J237" s="31" t="n">
        <x:v>1</x:v>
      </x:c>
      <x:c r="K237" s="31" t="n">
        <x:v>8.1</x:v>
      </x:c>
      <x:c r="L237" s="31" t="n">
        <x:v>8.4</x:v>
      </x:c>
      <x:c r="M237" s="31" t="n">
        <x:v>0</x:v>
      </x:c>
      <x:c r="N237" s="31" t="inlineStr">
        <x:is>
          <x:t xml:space="preserve">Нет</x:t>
        </x:is>
      </x:c>
      <x:c r="O237" s="31" t="inlineStr">
        <x:is>
          <x:t xml:space="preserve">Подтверждено мастером</x:t>
        </x:is>
      </x:c>
      <x:c r="P237" s="31" t="inlineStr">
        <x:is>
          <x:t xml:space="preserve">Комментарий смены 252</x:t>
        </x:is>
      </x:c>
    </x:row>
    <x:row r="238" ht="18" customHeight="1">
      <x:c r="A238" s="31" t="inlineStr">
        <x:is>
          <x:t xml:space="preserve">СМ-00253</x:t>
        </x:is>
      </x:c>
      <x:c r="B238" s="31" t="n">
        <x:v>46173</x:v>
      </x:c>
      <x:c r="C238" s="31" t="inlineStr">
        <x:is>
          <x:t xml:space="preserve">Ночь</x:t>
        </x:is>
      </x:c>
      <x:c r="D238" s="31" t="inlineStr">
        <x:is>
          <x:t xml:space="preserve">ПЗ-00152</x:t>
        </x:is>
      </x:c>
      <x:c r="E238" s="31" t="inlineStr">
        <x:is>
          <x:t xml:space="preserve">ОП-001258</x:t>
        </x:is>
      </x:c>
      <x:c r="F238" s="31" t="inlineStr">
        <x:is>
          <x:t xml:space="preserve">ОБ-035</x:t>
        </x:is>
      </x:c>
      <x:c r="G238" s="31" t="inlineStr">
        <x:is>
          <x:t xml:space="preserve">СОТР-062</x:t>
        </x:is>
      </x:c>
      <x:c r="H238" s="31" t="inlineStr">
        <x:is>
          <x:t xml:space="preserve">Сварка</x:t>
        </x:is>
      </x:c>
      <x:c r="I238" s="31" t="n">
        <x:v>3</x:v>
      </x:c>
      <x:c r="J238" s="31" t="n">
        <x:v>3</x:v>
      </x:c>
      <x:c r="K238" s="31" t="n">
        <x:v>25.5</x:v>
      </x:c>
      <x:c r="L238" s="31" t="n">
        <x:v>31.2</x:v>
      </x:c>
      <x:c r="M238" s="31" t="n">
        <x:v>90</x:v>
      </x:c>
      <x:c r="N238" s="31" t="inlineStr">
        <x:is>
          <x:t xml:space="preserve">Ожидание ОТК</x:t>
        </x:is>
      </x:c>
      <x:c r="O238" s="31" t="inlineStr">
        <x:is>
          <x:t xml:space="preserve">Черновик</x:t>
        </x:is>
      </x:c>
      <x:c r="P238" s="31" t="inlineStr">
        <x:is>
          <x:t xml:space="preserve">Комментарий смены 253</x:t>
        </x:is>
      </x:c>
    </x:row>
    <x:row r="239" ht="18" customHeight="1">
      <x:c r="A239" s="31" t="inlineStr">
        <x:is>
          <x:t xml:space="preserve">СМ-00254</x:t>
        </x:is>
      </x:c>
      <x:c r="B239" s="31" t="n">
        <x:v>46143</x:v>
      </x:c>
      <x:c r="C239" s="31" t="inlineStr">
        <x:is>
          <x:t xml:space="preserve">Ночь</x:t>
        </x:is>
      </x:c>
      <x:c r="D239" s="31" t="inlineStr">
        <x:is>
          <x:t xml:space="preserve">ПЗ-00009</x:t>
        </x:is>
      </x:c>
      <x:c r="E239" s="31" t="inlineStr">
        <x:is>
          <x:t xml:space="preserve">ОП-000069</x:t>
        </x:is>
      </x:c>
      <x:c r="F239" s="31" t="inlineStr">
        <x:is>
          <x:t xml:space="preserve">ОБ-025</x:t>
        </x:is>
      </x:c>
      <x:c r="G239" s="31" t="inlineStr">
        <x:is>
          <x:t xml:space="preserve">СОТР-033</x:t>
        </x:is>
      </x:c>
      <x:c r="H239" s="31" t="inlineStr">
        <x:is>
          <x:t xml:space="preserve">Склад</x:t>
        </x:is>
      </x:c>
      <x:c r="I239" s="31" t="n">
        <x:v>1</x:v>
      </x:c>
      <x:c r="J239" s="31" t="n">
        <x:v>1</x:v>
      </x:c>
      <x:c r="K239" s="31" t="n">
        <x:v>13.6</x:v>
      </x:c>
      <x:c r="L239" s="31" t="n">
        <x:v>11.2</x:v>
      </x:c>
      <x:c r="M239" s="31" t="n">
        <x:v>60</x:v>
      </x:c>
      <x:c r="N239" s="31" t="inlineStr">
        <x:is>
          <x:t xml:space="preserve">Нет оператора</x:t>
        </x:is>
      </x:c>
      <x:c r="O239" s="31" t="inlineStr">
        <x:is>
          <x:t xml:space="preserve">Закрыто</x:t>
        </x:is>
      </x:c>
      <x:c r="P239" s="31" t="inlineStr">
        <x:is>
          <x:t xml:space="preserve">Комментарий смены 254</x:t>
        </x:is>
      </x:c>
    </x:row>
    <x:row r="240" ht="18" customHeight="1">
      <x:c r="A240" s="31" t="inlineStr">
        <x:is>
          <x:t xml:space="preserve">СМ-00255</x:t>
        </x:is>
      </x:c>
      <x:c r="B240" s="31" t="n">
        <x:v>46066</x:v>
      </x:c>
      <x:c r="C240" s="31" t="inlineStr">
        <x:is>
          <x:t xml:space="preserve">Вечер</x:t>
        </x:is>
      </x:c>
      <x:c r="D240" s="31" t="inlineStr">
        <x:is>
          <x:t xml:space="preserve">ПЗ-00143</x:t>
        </x:is>
      </x:c>
      <x:c r="E240" s="31" t="inlineStr">
        <x:is>
          <x:t xml:space="preserve">ОП-001196</x:t>
        </x:is>
      </x:c>
      <x:c r="F240" s="31" t="inlineStr">
        <x:is>
          <x:t xml:space="preserve">ОБ-033</x:t>
        </x:is>
      </x:c>
      <x:c r="G240" s="31" t="inlineStr">
        <x:is>
          <x:t xml:space="preserve">СОТР-099</x:t>
        </x:is>
      </x:c>
      <x:c r="H240" s="31" t="inlineStr">
        <x:is>
          <x:t xml:space="preserve">ОТК</x:t>
        </x:is>
      </x:c>
      <x:c r="I240" s="31" t="n">
        <x:v>4</x:v>
      </x:c>
      <x:c r="J240" s="31" t="n">
        <x:v>0</x:v>
      </x:c>
      <x:c r="K240" s="31" t="n">
        <x:v>24.2</x:v>
      </x:c>
      <x:c r="L240" s="31" t="n">
        <x:v>18.3</x:v>
      </x:c>
      <x:c r="M240" s="31" t="n">
        <x:v>0</x:v>
      </x:c>
      <x:c r="N240" s="31" t="inlineStr">
        <x:is>
          <x:t xml:space="preserve">Нет</x:t>
        </x:is>
      </x:c>
      <x:c r="O240" s="31" t="inlineStr">
        <x:is>
          <x:t xml:space="preserve">Спорный факт</x:t>
        </x:is>
      </x:c>
      <x:c r="P240" s="31" t="inlineStr">
        <x:is>
          <x:t xml:space="preserve">Комментарий смены 255</x:t>
        </x:is>
      </x:c>
    </x:row>
    <x:row r="241" ht="18" customHeight="1">
      <x:c r="A241" s="31" t="inlineStr">
        <x:is>
          <x:t xml:space="preserve">СМ-00257</x:t>
        </x:is>
      </x:c>
      <x:c r="B241" s="31" t="n">
        <x:v>46073</x:v>
      </x:c>
      <x:c r="C241" s="31" t="inlineStr">
        <x:is>
          <x:t xml:space="preserve">День</x:t>
        </x:is>
      </x:c>
      <x:c r="D241" s="31" t="inlineStr">
        <x:is>
          <x:t xml:space="preserve">ПЗ-00092</x:t>
        </x:is>
      </x:c>
      <x:c r="E241" s="31" t="inlineStr">
        <x:is>
          <x:t xml:space="preserve">ОП-000782</x:t>
        </x:is>
      </x:c>
      <x:c r="F241" s="31" t="n"/>
      <x:c r="G241" s="31" t="inlineStr">
        <x:is>
          <x:t xml:space="preserve">СОТР-105</x:t>
        </x:is>
      </x:c>
      <x:c r="H241" s="31" t="inlineStr">
        <x:is>
          <x:t xml:space="preserve">Логистика</x:t>
        </x:is>
      </x:c>
      <x:c r="I241" s="31" t="n">
        <x:v>2</x:v>
      </x:c>
      <x:c r="J241" s="31" t="n">
        <x:v>2</x:v>
      </x:c>
      <x:c r="K241" s="31" t="n">
        <x:v>13.6</x:v>
      </x:c>
      <x:c r="L241" s="31" t="n">
        <x:v>10.9</x:v>
      </x:c>
      <x:c r="M241" s="31" t="n">
        <x:v>120</x:v>
      </x:c>
      <x:c r="N241" s="31" t="inlineStr">
        <x:is>
          <x:t xml:space="preserve">Нет оператора</x:t>
        </x:is>
      </x:c>
      <x:c r="O241" s="31" t="inlineStr">
        <x:is>
          <x:t xml:space="preserve">Закрыто</x:t>
        </x:is>
      </x:c>
      <x:c r="P241" s="31" t="inlineStr">
        <x:is>
          <x:t xml:space="preserve">Комментарий смены 257</x:t>
        </x:is>
      </x:c>
    </x:row>
    <x:row r="242" ht="18" customHeight="1">
      <x:c r="A242" s="31" t="inlineStr">
        <x:is>
          <x:t xml:space="preserve">СМ-00258</x:t>
        </x:is>
      </x:c>
      <x:c r="B242" s="31" t="n">
        <x:v>46150</x:v>
      </x:c>
      <x:c r="C242" s="31" t="inlineStr">
        <x:is>
          <x:t xml:space="preserve">Ночь</x:t>
        </x:is>
      </x:c>
      <x:c r="D242" s="31" t="inlineStr">
        <x:is>
          <x:t xml:space="preserve">ПЗ-00196</x:t>
        </x:is>
      </x:c>
      <x:c r="E242" s="31" t="inlineStr">
        <x:is>
          <x:t xml:space="preserve">ОП-001638</x:t>
        </x:is>
      </x:c>
      <x:c r="F242" s="31" t="n"/>
      <x:c r="G242" s="31" t="inlineStr">
        <x:is>
          <x:t xml:space="preserve">СОТР-015</x:t>
        </x:is>
      </x:c>
      <x:c r="H242" s="31" t="inlineStr">
        <x:is>
          <x:t xml:space="preserve">Инженерный отдел</x:t>
        </x:is>
      </x:c>
      <x:c r="I242" s="31" t="n">
        <x:v>1</x:v>
      </x:c>
      <x:c r="J242" s="31" t="n">
        <x:v>1</x:v>
      </x:c>
      <x:c r="K242" s="31" t="n">
        <x:v>82.2</x:v>
      </x:c>
      <x:c r="L242" s="31" t="n">
        <x:v>87.2</x:v>
      </x:c>
      <x:c r="M242" s="31" t="n">
        <x:v>0</x:v>
      </x:c>
      <x:c r="N242" s="31" t="inlineStr">
        <x:is>
          <x:t xml:space="preserve">Нет</x:t>
        </x:is>
      </x:c>
      <x:c r="O242" s="31" t="inlineStr">
        <x:is>
          <x:t xml:space="preserve">Подтверждено мастером</x:t>
        </x:is>
      </x:c>
      <x:c r="P242" s="31" t="inlineStr">
        <x:is>
          <x:t xml:space="preserve">Комментарий смены 258</x:t>
        </x:is>
      </x:c>
    </x:row>
    <x:row r="243" ht="18" customHeight="1">
      <x:c r="A243" s="31" t="inlineStr">
        <x:is>
          <x:t xml:space="preserve">СМ-00259</x:t>
        </x:is>
      </x:c>
      <x:c r="B243" s="31" t="n">
        <x:v>46065</x:v>
      </x:c>
      <x:c r="C243" s="31" t="inlineStr">
        <x:is>
          <x:t xml:space="preserve">День</x:t>
        </x:is>
      </x:c>
      <x:c r="D243" s="31" t="inlineStr">
        <x:is>
          <x:t xml:space="preserve">ПЗ-00047</x:t>
        </x:is>
      </x:c>
      <x:c r="E243" s="31" t="inlineStr">
        <x:is>
          <x:t xml:space="preserve">ОП-000397</x:t>
        </x:is>
      </x:c>
      <x:c r="F243" s="31" t="inlineStr">
        <x:is>
          <x:t xml:space="preserve">ОБ-010</x:t>
        </x:is>
      </x:c>
      <x:c r="G243" s="31" t="inlineStr">
        <x:is>
          <x:t xml:space="preserve">СОТР-066</x:t>
        </x:is>
      </x:c>
      <x:c r="H243" s="31" t="inlineStr">
        <x:is>
          <x:t xml:space="preserve">Сварка</x:t>
        </x:is>
      </x:c>
      <x:c r="I243" s="31" t="n">
        <x:v>4</x:v>
      </x:c>
      <x:c r="J243" s="31" t="n">
        <x:v>3</x:v>
      </x:c>
      <x:c r="K243" s="31" t="n">
        <x:v>39</x:v>
      </x:c>
      <x:c r="L243" s="31" t="n">
        <x:v>33.2</x:v>
      </x:c>
      <x:c r="M243" s="31" t="n">
        <x:v>30</x:v>
      </x:c>
      <x:c r="N243" s="31" t="inlineStr">
        <x:is>
          <x:t xml:space="preserve">Ремонт оборудования</x:t>
        </x:is>
      </x:c>
      <x:c r="O243" s="31" t="inlineStr">
        <x:is>
          <x:t xml:space="preserve">Черновик</x:t>
        </x:is>
      </x:c>
      <x:c r="P243" s="31" t="inlineStr">
        <x:is>
          <x:t xml:space="preserve">Комментарий смены 259</x:t>
        </x:is>
      </x:c>
    </x:row>
    <x:row r="244" ht="18" customHeight="1">
      <x:c r="A244" s="31" t="inlineStr">
        <x:is>
          <x:t xml:space="preserve">СМ-00260</x:t>
        </x:is>
      </x:c>
      <x:c r="B244" s="31" t="n">
        <x:v>46124</x:v>
      </x:c>
      <x:c r="C244" s="31" t="inlineStr">
        <x:is>
          <x:t xml:space="preserve">День</x:t>
        </x:is>
      </x:c>
      <x:c r="D244" s="31" t="inlineStr">
        <x:is>
          <x:t xml:space="preserve">ПЗ-00102</x:t>
        </x:is>
      </x:c>
      <x:c r="E244" s="31" t="inlineStr">
        <x:is>
          <x:t xml:space="preserve">ОП-000853</x:t>
        </x:is>
      </x:c>
      <x:c r="F244" s="31" t="inlineStr">
        <x:is>
          <x:t xml:space="preserve">ОБ-032</x:t>
        </x:is>
      </x:c>
      <x:c r="G244" s="31" t="inlineStr">
        <x:is>
          <x:t xml:space="preserve">СОТР-097</x:t>
        </x:is>
      </x:c>
      <x:c r="H244" s="31" t="inlineStr">
        <x:is>
          <x:t xml:space="preserve">ОТК</x:t>
        </x:is>
      </x:c>
      <x:c r="I244" s="31" t="n">
        <x:v>1</x:v>
      </x:c>
      <x:c r="J244" s="31" t="n">
        <x:v>1</x:v>
      </x:c>
      <x:c r="K244" s="31" t="n">
        <x:v>54</x:v>
      </x:c>
      <x:c r="L244" s="31" t="n">
        <x:v>70.7</x:v>
      </x:c>
      <x:c r="M244" s="31" t="n">
        <x:v>0</x:v>
      </x:c>
      <x:c r="N244" s="31" t="inlineStr">
        <x:is>
          <x:t xml:space="preserve">Нет</x:t>
        </x:is>
      </x:c>
      <x:c r="O244" s="31" t="inlineStr">
        <x:is>
          <x:t xml:space="preserve">Подтверждено мастером</x:t>
        </x:is>
      </x:c>
      <x:c r="P244" s="31" t="inlineStr">
        <x:is>
          <x:t xml:space="preserve">Комментарий смены 260</x:t>
        </x:is>
      </x:c>
    </x:row>
    <x:row r="245" ht="18" customHeight="1">
      <x:c r="A245" s="31" t="inlineStr">
        <x:is>
          <x:t xml:space="preserve">СМ-00262</x:t>
        </x:is>
      </x:c>
      <x:c r="B245" s="31" t="n">
        <x:v>46197</x:v>
      </x:c>
      <x:c r="C245" s="31" t="inlineStr">
        <x:is>
          <x:t xml:space="preserve">День</x:t>
        </x:is>
      </x:c>
      <x:c r="D245" s="31" t="inlineStr">
        <x:is>
          <x:t xml:space="preserve">ПЗ-00079</x:t>
        </x:is>
      </x:c>
      <x:c r="E245" s="31" t="inlineStr">
        <x:is>
          <x:t xml:space="preserve">ОП-000669</x:t>
        </x:is>
      </x:c>
      <x:c r="F245" s="31" t="inlineStr">
        <x:is>
          <x:t xml:space="preserve">ОБ-025</x:t>
        </x:is>
      </x:c>
      <x:c r="G245" s="31" t="inlineStr">
        <x:is>
          <x:t xml:space="preserve">СОТР-037</x:t>
        </x:is>
      </x:c>
      <x:c r="H245" s="31" t="inlineStr">
        <x:is>
          <x:t xml:space="preserve">Склад</x:t>
        </x:is>
      </x:c>
      <x:c r="I245" s="31" t="n">
        <x:v>2</x:v>
      </x:c>
      <x:c r="J245" s="31" t="n">
        <x:v>1</x:v>
      </x:c>
      <x:c r="K245" s="31" t="n">
        <x:v>24.5</x:v>
      </x:c>
      <x:c r="L245" s="31" t="n">
        <x:v>20.5</x:v>
      </x:c>
      <x:c r="M245" s="31" t="n">
        <x:v>45</x:v>
      </x:c>
      <x:c r="N245" s="31" t="inlineStr">
        <x:is>
          <x:t xml:space="preserve">Ожидание материала</x:t>
        </x:is>
      </x:c>
      <x:c r="O245" s="31" t="inlineStr">
        <x:is>
          <x:t xml:space="preserve">Подтверждено мастером</x:t>
        </x:is>
      </x:c>
      <x:c r="P245" s="31" t="inlineStr">
        <x:is>
          <x:t xml:space="preserve">Комментарий смены 262</x:t>
        </x:is>
      </x:c>
    </x:row>
    <x:row r="246" ht="18" customHeight="1">
      <x:c r="A246" s="31" t="inlineStr">
        <x:is>
          <x:t xml:space="preserve">СМ-00263</x:t>
        </x:is>
      </x:c>
      <x:c r="B246" s="31" t="n">
        <x:v>46161</x:v>
      </x:c>
      <x:c r="C246" s="31" t="inlineStr">
        <x:is>
          <x:t xml:space="preserve">Вечер</x:t>
        </x:is>
      </x:c>
      <x:c r="D246" s="31" t="inlineStr">
        <x:is>
          <x:t xml:space="preserve">ПЗ-00033</x:t>
        </x:is>
      </x:c>
      <x:c r="E246" s="31" t="inlineStr">
        <x:is>
          <x:t xml:space="preserve">ОП-000288</x:t>
        </x:is>
      </x:c>
      <x:c r="F246" s="31" t="inlineStr">
        <x:is>
          <x:t xml:space="preserve">ОБ-017</x:t>
        </x:is>
      </x:c>
      <x:c r="G246" s="31" t="inlineStr">
        <x:is>
          <x:t xml:space="preserve">СОТР-091</x:t>
        </x:is>
      </x:c>
      <x:c r="H246" s="31" t="inlineStr">
        <x:is>
          <x:t xml:space="preserve">Сборка</x:t>
        </x:is>
      </x:c>
      <x:c r="I246" s="31" t="n">
        <x:v>1</x:v>
      </x:c>
      <x:c r="J246" s="31" t="n">
        <x:v>0</x:v>
      </x:c>
      <x:c r="K246" s="31" t="n">
        <x:v>46.6</x:v>
      </x:c>
      <x:c r="L246" s="31" t="n">
        <x:v>28.1</x:v>
      </x:c>
      <x:c r="M246" s="31" t="n">
        <x:v>120</x:v>
      </x:c>
      <x:c r="N246" s="31" t="inlineStr">
        <x:is>
          <x:t xml:space="preserve">Нет оператора</x:t>
        </x:is>
      </x:c>
      <x:c r="O246" s="31" t="inlineStr">
        <x:is>
          <x:t xml:space="preserve">Подтверждено мастером</x:t>
        </x:is>
      </x:c>
      <x:c r="P246" s="31" t="inlineStr">
        <x:is>
          <x:t xml:space="preserve">Комментарий смены 263</x:t>
        </x:is>
      </x:c>
    </x:row>
    <x:row r="247" ht="18" customHeight="1">
      <x:c r="A247" s="31" t="inlineStr">
        <x:is>
          <x:t xml:space="preserve">СМ-00264</x:t>
        </x:is>
      </x:c>
      <x:c r="B247" s="31" t="n">
        <x:v>46151</x:v>
      </x:c>
      <x:c r="C247" s="31" t="inlineStr">
        <x:is>
          <x:t xml:space="preserve">Ночь</x:t>
        </x:is>
      </x:c>
      <x:c r="D247" s="31" t="inlineStr">
        <x:is>
          <x:t xml:space="preserve">ПЗ-00249</x:t>
        </x:is>
      </x:c>
      <x:c r="E247" s="31" t="inlineStr">
        <x:is>
          <x:t xml:space="preserve">ОП-002080</x:t>
        </x:is>
      </x:c>
      <x:c r="F247" s="31" t="inlineStr">
        <x:is>
          <x:t xml:space="preserve">ОБ-026</x:t>
        </x:is>
      </x:c>
      <x:c r="G247" s="31" t="inlineStr">
        <x:is>
          <x:t xml:space="preserve">СОТР-071</x:t>
        </x:is>
      </x:c>
      <x:c r="H247" s="31" t="inlineStr">
        <x:is>
          <x:t xml:space="preserve">Сварка</x:t>
        </x:is>
      </x:c>
      <x:c r="I247" s="31" t="n">
        <x:v>2</x:v>
      </x:c>
      <x:c r="J247" s="31" t="n">
        <x:v>2</x:v>
      </x:c>
      <x:c r="K247" s="31" t="n">
        <x:v>33.8</x:v>
      </x:c>
      <x:c r="L247" s="31" t="n">
        <x:v>40.1</x:v>
      </x:c>
      <x:c r="M247" s="31" t="n">
        <x:v>0</x:v>
      </x:c>
      <x:c r="N247" s="31" t="inlineStr">
        <x:is>
          <x:t xml:space="preserve">Нет</x:t>
        </x:is>
      </x:c>
      <x:c r="O247" s="31" t="inlineStr">
        <x:is>
          <x:t xml:space="preserve">Подтверждено мастером</x:t>
        </x:is>
      </x:c>
      <x:c r="P247" s="31" t="inlineStr">
        <x:is>
          <x:t xml:space="preserve">Комментарий смены 264</x:t>
        </x:is>
      </x:c>
    </x:row>
    <x:row r="248" ht="18" customHeight="1">
      <x:c r="A248" s="31" t="inlineStr">
        <x:is>
          <x:t xml:space="preserve">СМ-00265</x:t>
        </x:is>
      </x:c>
      <x:c r="B248" s="31" t="n">
        <x:v>46045</x:v>
      </x:c>
      <x:c r="C248" s="31" t="inlineStr">
        <x:is>
          <x:t xml:space="preserve">Вечер</x:t>
        </x:is>
      </x:c>
      <x:c r="D248" s="31" t="inlineStr">
        <x:is>
          <x:t xml:space="preserve">ПЗ-00095</x:t>
        </x:is>
      </x:c>
      <x:c r="E248" s="31" t="inlineStr">
        <x:is>
          <x:t xml:space="preserve">ОП-000801</x:t>
        </x:is>
      </x:c>
      <x:c r="F248" s="31" t="inlineStr">
        <x:is>
          <x:t xml:space="preserve">ОБ-005</x:t>
        </x:is>
      </x:c>
      <x:c r="G248" s="31" t="inlineStr">
        <x:is>
          <x:t xml:space="preserve">СОТР-087</x:t>
        </x:is>
      </x:c>
      <x:c r="H248" s="31" t="inlineStr">
        <x:is>
          <x:t xml:space="preserve">Сборка</x:t>
        </x:is>
      </x:c>
      <x:c r="I248" s="31" t="n">
        <x:v>1</x:v>
      </x:c>
      <x:c r="J248" s="31" t="n">
        <x:v>1</x:v>
      </x:c>
      <x:c r="K248" s="31" t="n">
        <x:v>3.9</x:v>
      </x:c>
      <x:c r="L248" s="31" t="n">
        <x:v>4.8</x:v>
      </x:c>
      <x:c r="M248" s="31" t="n">
        <x:v>90</x:v>
      </x:c>
      <x:c r="N248" s="31" t="inlineStr">
        <x:is>
          <x:t xml:space="preserve">Нет оператора</x:t>
        </x:is>
      </x:c>
      <x:c r="O248" s="31" t="inlineStr">
        <x:is>
          <x:t xml:space="preserve">Подтверждено мастером</x:t>
        </x:is>
      </x:c>
      <x:c r="P248" s="31" t="inlineStr">
        <x:is>
          <x:t xml:space="preserve">Комментарий смены 265</x:t>
        </x:is>
      </x:c>
    </x:row>
    <x:row r="249" ht="18" customHeight="1">
      <x:c r="A249" s="31" t="inlineStr">
        <x:is>
          <x:t xml:space="preserve">СМ-00266</x:t>
        </x:is>
      </x:c>
      <x:c r="B249" s="31" t="n">
        <x:v>46068</x:v>
      </x:c>
      <x:c r="C249" s="31" t="inlineStr">
        <x:is>
          <x:t xml:space="preserve">День</x:t>
        </x:is>
      </x:c>
      <x:c r="D249" s="31" t="inlineStr">
        <x:is>
          <x:t xml:space="preserve">ПЗ-00151</x:t>
        </x:is>
      </x:c>
      <x:c r="E249" s="31" t="inlineStr">
        <x:is>
          <x:t xml:space="preserve">ОП-001253</x:t>
        </x:is>
      </x:c>
      <x:c r="F249" s="31" t="inlineStr">
        <x:is>
          <x:t xml:space="preserve">ОБ-018</x:t>
        </x:is>
      </x:c>
      <x:c r="G249" s="31" t="inlineStr">
        <x:is>
          <x:t xml:space="preserve">СОТР-068</x:t>
        </x:is>
      </x:c>
      <x:c r="H249" s="31" t="inlineStr">
        <x:is>
          <x:t xml:space="preserve">Сварка</x:t>
        </x:is>
      </x:c>
      <x:c r="I249" s="31" t="n">
        <x:v>1</x:v>
      </x:c>
      <x:c r="J249" s="31" t="n">
        <x:v>0</x:v>
      </x:c>
      <x:c r="K249" s="31" t="n">
        <x:v>49.2</x:v>
      </x:c>
      <x:c r="L249" s="31" t="n">
        <x:v>47.7</x:v>
      </x:c>
      <x:c r="M249" s="31" t="n">
        <x:v>120</x:v>
      </x:c>
      <x:c r="N249" s="31" t="inlineStr">
        <x:is>
          <x:t xml:space="preserve">Нет оператора</x:t>
        </x:is>
      </x:c>
      <x:c r="O249" s="31" t="inlineStr">
        <x:is>
          <x:t xml:space="preserve">Закрыто</x:t>
        </x:is>
      </x:c>
      <x:c r="P249" s="31" t="inlineStr">
        <x:is>
          <x:t xml:space="preserve">Комментарий смены 266</x:t>
        </x:is>
      </x:c>
    </x:row>
    <x:row r="250" ht="18" customHeight="1">
      <x:c r="A250" s="31" t="inlineStr">
        <x:is>
          <x:t xml:space="preserve">СМ-00267</x:t>
        </x:is>
      </x:c>
      <x:c r="B250" s="31" t="n">
        <x:v>46106</x:v>
      </x:c>
      <x:c r="C250" s="31" t="inlineStr">
        <x:is>
          <x:t xml:space="preserve">Ночь</x:t>
        </x:is>
      </x:c>
      <x:c r="D250" s="31" t="inlineStr">
        <x:is>
          <x:t xml:space="preserve">ПЗ-00078</x:t>
        </x:is>
      </x:c>
      <x:c r="E250" s="31" t="inlineStr">
        <x:is>
          <x:t xml:space="preserve">ОП-000662</x:t>
        </x:is>
      </x:c>
      <x:c r="F250" s="31" t="inlineStr">
        <x:is>
          <x:t xml:space="preserve">ОБ-018</x:t>
        </x:is>
      </x:c>
      <x:c r="G250" s="31" t="inlineStr">
        <x:is>
          <x:t xml:space="preserve">СОТР-062</x:t>
        </x:is>
      </x:c>
      <x:c r="H250" s="31" t="inlineStr">
        <x:is>
          <x:t xml:space="preserve">Сварка</x:t>
        </x:is>
      </x:c>
      <x:c r="I250" s="31" t="n">
        <x:v>1</x:v>
      </x:c>
      <x:c r="J250" s="31" t="n">
        <x:v>0</x:v>
      </x:c>
      <x:c r="K250" s="31" t="n">
        <x:v>5.3</x:v>
      </x:c>
      <x:c r="L250" s="31" t="n">
        <x:v>4.4</x:v>
      </x:c>
      <x:c r="M250" s="31" t="n">
        <x:v>45</x:v>
      </x:c>
      <x:c r="N250" s="31" t="inlineStr">
        <x:is>
          <x:t xml:space="preserve">Ожидание материала</x:t>
        </x:is>
      </x:c>
      <x:c r="O250" s="31" t="inlineStr">
        <x:is>
          <x:t xml:space="preserve">Подтверждено мастером</x:t>
        </x:is>
      </x:c>
      <x:c r="P250" s="31" t="inlineStr">
        <x:is>
          <x:t xml:space="preserve">Комментарий смены 267</x:t>
        </x:is>
      </x:c>
    </x:row>
    <x:row r="251" ht="18" customHeight="1">
      <x:c r="A251" s="31" t="inlineStr">
        <x:is>
          <x:t xml:space="preserve">СМ-00268</x:t>
        </x:is>
      </x:c>
      <x:c r="B251" s="31" t="n">
        <x:v>46127</x:v>
      </x:c>
      <x:c r="C251" s="31" t="inlineStr">
        <x:is>
          <x:t xml:space="preserve">День</x:t>
        </x:is>
      </x:c>
      <x:c r="D251" s="31" t="inlineStr">
        <x:is>
          <x:t xml:space="preserve">ПЗ-00203</x:t>
        </x:is>
      </x:c>
      <x:c r="E251" s="31" t="inlineStr">
        <x:is>
          <x:t xml:space="preserve">ОП-001699</x:t>
        </x:is>
      </x:c>
      <x:c r="F251" s="31" t="inlineStr">
        <x:is>
          <x:t xml:space="preserve">ОБ-016</x:t>
        </x:is>
      </x:c>
      <x:c r="G251" s="31" t="inlineStr">
        <x:is>
          <x:t xml:space="preserve">СОТР-078</x:t>
        </x:is>
      </x:c>
      <x:c r="H251" s="31" t="inlineStr">
        <x:is>
          <x:t xml:space="preserve">Сборка</x:t>
        </x:is>
      </x:c>
      <x:c r="I251" s="31" t="n">
        <x:v>5</x:v>
      </x:c>
      <x:c r="J251" s="31" t="n">
        <x:v>0</x:v>
      </x:c>
      <x:c r="K251" s="31" t="n">
        <x:v>39.5</x:v>
      </x:c>
      <x:c r="L251" s="31" t="n">
        <x:v>23.2</x:v>
      </x:c>
      <x:c r="M251" s="31" t="n">
        <x:v>0</x:v>
      </x:c>
      <x:c r="N251" s="31" t="inlineStr">
        <x:is>
          <x:t xml:space="preserve">Нет</x:t>
        </x:is>
      </x:c>
      <x:c r="O251" s="31" t="inlineStr">
        <x:is>
          <x:t xml:space="preserve">Подтверждено мастером</x:t>
        </x:is>
      </x:c>
      <x:c r="P251" s="31" t="inlineStr">
        <x:is>
          <x:t xml:space="preserve">Комментарий смены 268</x:t>
        </x:is>
      </x:c>
    </x:row>
    <x:row r="252" ht="18" customHeight="1">
      <x:c r="A252" s="31" t="inlineStr">
        <x:is>
          <x:t xml:space="preserve">СМ-00269</x:t>
        </x:is>
      </x:c>
      <x:c r="B252" s="31" t="n">
        <x:v>46124</x:v>
      </x:c>
      <x:c r="C252" s="31" t="inlineStr">
        <x:is>
          <x:t xml:space="preserve">День</x:t>
        </x:is>
      </x:c>
      <x:c r="D252" s="31" t="inlineStr">
        <x:is>
          <x:t xml:space="preserve">ПЗ-00135</x:t>
        </x:is>
      </x:c>
      <x:c r="E252" s="31" t="inlineStr">
        <x:is>
          <x:t xml:space="preserve">ОП-001130</x:t>
        </x:is>
      </x:c>
      <x:c r="F252" s="31" t="inlineStr">
        <x:is>
          <x:t xml:space="preserve">ОБ-008</x:t>
        </x:is>
      </x:c>
      <x:c r="G252" s="31" t="inlineStr">
        <x:is>
          <x:t xml:space="preserve">СОТР-035</x:t>
        </x:is>
      </x:c>
      <x:c r="H252" s="31" t="inlineStr">
        <x:is>
          <x:t xml:space="preserve">Склад</x:t>
        </x:is>
      </x:c>
      <x:c r="I252" s="31" t="n">
        <x:v>2</x:v>
      </x:c>
      <x:c r="J252" s="31" t="n">
        <x:v>2</x:v>
      </x:c>
      <x:c r="K252" s="31" t="n">
        <x:v>6.8</x:v>
      </x:c>
      <x:c r="L252" s="31" t="n">
        <x:v>5.8</x:v>
      </x:c>
      <x:c r="M252" s="31" t="n">
        <x:v>15</x:v>
      </x:c>
      <x:c r="N252" s="31" t="inlineStr">
        <x:is>
          <x:t xml:space="preserve">Ожидание материала</x:t>
        </x:is>
      </x:c>
      <x:c r="O252" s="31" t="inlineStr">
        <x:is>
          <x:t xml:space="preserve">Подтверждено мастером</x:t>
        </x:is>
      </x:c>
      <x:c r="P252" s="31" t="inlineStr">
        <x:is>
          <x:t xml:space="preserve">Комментарий смены 269</x:t>
        </x:is>
      </x:c>
    </x:row>
    <x:row r="253" ht="18" customHeight="1">
      <x:c r="A253" s="31" t="inlineStr">
        <x:is>
          <x:t xml:space="preserve">СМ-00270</x:t>
        </x:is>
      </x:c>
      <x:c r="B253" s="31" t="n">
        <x:v>46157</x:v>
      </x:c>
      <x:c r="C253" s="31" t="inlineStr">
        <x:is>
          <x:t xml:space="preserve">День</x:t>
        </x:is>
      </x:c>
      <x:c r="D253" s="31" t="inlineStr">
        <x:is>
          <x:t xml:space="preserve">ПЗ-00198</x:t>
        </x:is>
      </x:c>
      <x:c r="E253" s="31" t="inlineStr">
        <x:is>
          <x:t xml:space="preserve">ОП-001660</x:t>
        </x:is>
      </x:c>
      <x:c r="F253" s="31" t="inlineStr">
        <x:is>
          <x:t xml:space="preserve">ОБ-029</x:t>
        </x:is>
      </x:c>
      <x:c r="G253" s="31" t="inlineStr">
        <x:is>
          <x:t xml:space="preserve">СОТР-048</x:t>
        </x:is>
      </x:c>
      <x:c r="H253" s="31" t="inlineStr">
        <x:is>
          <x:t xml:space="preserve">Механообработка</x:t>
        </x:is>
      </x:c>
      <x:c r="I253" s="31" t="n">
        <x:v>1</x:v>
      </x:c>
      <x:c r="J253" s="31" t="n">
        <x:v>2</x:v>
      </x:c>
      <x:c r="K253" s="31" t="n">
        <x:v>15.1</x:v>
      </x:c>
      <x:c r="L253" s="31" t="n">
        <x:v>13</x:v>
      </x:c>
      <x:c r="M253" s="31" t="n">
        <x:v>45</x:v>
      </x:c>
      <x:c r="N253" s="31" t="inlineStr">
        <x:is>
          <x:t xml:space="preserve">Ожидание ОТК</x:t>
        </x:is>
      </x:c>
      <x:c r="O253" s="31" t="inlineStr">
        <x:is>
          <x:t xml:space="preserve">Закрыто</x:t>
        </x:is>
      </x:c>
      <x:c r="P253" s="31" t="inlineStr">
        <x:is>
          <x:t xml:space="preserve">Комментарий смены 270</x:t>
        </x:is>
      </x:c>
    </x:row>
    <x:row r="254" ht="18" customHeight="1">
      <x:c r="A254" s="31" t="inlineStr">
        <x:is>
          <x:t xml:space="preserve">СМ-00271</x:t>
        </x:is>
      </x:c>
      <x:c r="B254" s="31" t="n">
        <x:v>46164</x:v>
      </x:c>
      <x:c r="C254" s="31" t="inlineStr">
        <x:is>
          <x:t xml:space="preserve">День</x:t>
        </x:is>
      </x:c>
      <x:c r="D254" s="31" t="inlineStr">
        <x:is>
          <x:t xml:space="preserve">ПЗ-00198</x:t>
        </x:is>
      </x:c>
      <x:c r="E254" s="31" t="inlineStr">
        <x:is>
          <x:t xml:space="preserve">ОП-001664</x:t>
        </x:is>
      </x:c>
      <x:c r="F254" s="31" t="inlineStr">
        <x:is>
          <x:t xml:space="preserve">ОБ-028</x:t>
        </x:is>
      </x:c>
      <x:c r="G254" s="31" t="inlineStr">
        <x:is>
          <x:t xml:space="preserve">СОТР-092</x:t>
        </x:is>
      </x:c>
      <x:c r="H254" s="31" t="inlineStr">
        <x:is>
          <x:t xml:space="preserve">ОТК</x:t>
        </x:is>
      </x:c>
      <x:c r="I254" s="31" t="n">
        <x:v>1</x:v>
      </x:c>
      <x:c r="J254" s="31" t="n">
        <x:v>1</x:v>
      </x:c>
      <x:c r="K254" s="31" t="n">
        <x:v>1.7</x:v>
      </x:c>
      <x:c r="L254" s="31" t="n">
        <x:v>2.2</x:v>
      </x:c>
      <x:c r="M254" s="31" t="n">
        <x:v>0</x:v>
      </x:c>
      <x:c r="N254" s="31" t="inlineStr">
        <x:is>
          <x:t xml:space="preserve">Нет</x:t>
        </x:is>
      </x:c>
      <x:c r="O254" s="31" t="inlineStr">
        <x:is>
          <x:t xml:space="preserve">Подтверждено мастером</x:t>
        </x:is>
      </x:c>
      <x:c r="P254" s="31" t="inlineStr">
        <x:is>
          <x:t xml:space="preserve">Комментарий смены 271</x:t>
        </x:is>
      </x:c>
    </x:row>
    <x:row r="255" ht="18" customHeight="1">
      <x:c r="A255" s="31" t="inlineStr">
        <x:is>
          <x:t xml:space="preserve">СМ-00272</x:t>
        </x:is>
      </x:c>
      <x:c r="B255" s="31" t="n">
        <x:v>46195</x:v>
      </x:c>
      <x:c r="C255" s="31" t="inlineStr">
        <x:is>
          <x:t xml:space="preserve">День</x:t>
        </x:is>
      </x:c>
      <x:c r="D255" s="31" t="inlineStr">
        <x:is>
          <x:t xml:space="preserve">ПЗ-00209</x:t>
        </x:is>
      </x:c>
      <x:c r="E255" s="31" t="inlineStr">
        <x:is>
          <x:t xml:space="preserve">ОП-001753</x:t>
        </x:is>
      </x:c>
      <x:c r="F255" s="31" t="inlineStr">
        <x:is>
          <x:t xml:space="preserve">ОБ-003</x:t>
        </x:is>
      </x:c>
      <x:c r="G255" s="31" t="inlineStr">
        <x:is>
          <x:t xml:space="preserve">СОТР-058</x:t>
        </x:is>
      </x:c>
      <x:c r="H255" s="31" t="inlineStr">
        <x:is>
          <x:t xml:space="preserve">Сварка</x:t>
        </x:is>
      </x:c>
      <x:c r="I255" s="31" t="n">
        <x:v>4</x:v>
      </x:c>
      <x:c r="J255" s="31" t="n">
        <x:v>4</x:v>
      </x:c>
      <x:c r="K255" s="31" t="n">
        <x:v>28.4</x:v>
      </x:c>
      <x:c r="L255" s="31" t="n">
        <x:v>24</x:v>
      </x:c>
      <x:c r="M255" s="31" t="n">
        <x:v>30</x:v>
      </x:c>
      <x:c r="N255" s="31" t="inlineStr">
        <x:is>
          <x:t xml:space="preserve">Нет оператора</x:t>
        </x:is>
      </x:c>
      <x:c r="O255" s="31" t="inlineStr">
        <x:is>
          <x:t xml:space="preserve">Подтверждено мастером</x:t>
        </x:is>
      </x:c>
      <x:c r="P255" s="31" t="inlineStr">
        <x:is>
          <x:t xml:space="preserve">Комментарий смены 272</x:t>
        </x:is>
      </x:c>
    </x:row>
    <x:row r="256" ht="18" customHeight="1">
      <x:c r="A256" s="31" t="inlineStr">
        <x:is>
          <x:t xml:space="preserve">СМ-00273</x:t>
        </x:is>
      </x:c>
      <x:c r="B256" s="31" t="n">
        <x:v>46194</x:v>
      </x:c>
      <x:c r="C256" s="31" t="inlineStr">
        <x:is>
          <x:t xml:space="preserve">День</x:t>
        </x:is>
      </x:c>
      <x:c r="D256" s="31" t="inlineStr">
        <x:is>
          <x:t xml:space="preserve">ПЗ-00210</x:t>
        </x:is>
      </x:c>
      <x:c r="E256" s="31" t="inlineStr">
        <x:is>
          <x:t xml:space="preserve">ОП-001757</x:t>
        </x:is>
      </x:c>
      <x:c r="F256" s="31" t="inlineStr">
        <x:is>
          <x:t xml:space="preserve">ОБ-035</x:t>
        </x:is>
      </x:c>
      <x:c r="G256" s="31" t="inlineStr">
        <x:is>
          <x:t xml:space="preserve">СОТР-066</x:t>
        </x:is>
      </x:c>
      <x:c r="H256" s="31" t="inlineStr">
        <x:is>
          <x:t xml:space="preserve">Сварка</x:t>
        </x:is>
      </x:c>
      <x:c r="I256" s="31" t="n">
        <x:v>3</x:v>
      </x:c>
      <x:c r="J256" s="31" t="n">
        <x:v>4</x:v>
      </x:c>
      <x:c r="K256" s="31" t="n">
        <x:v>10</x:v>
      </x:c>
      <x:c r="L256" s="31" t="n">
        <x:v>9.800000000000001</x:v>
      </x:c>
      <x:c r="M256" s="31" t="n">
        <x:v>15</x:v>
      </x:c>
      <x:c r="N256" s="31" t="inlineStr">
        <x:is>
          <x:t xml:space="preserve">Переналадка</x:t>
        </x:is>
      </x:c>
      <x:c r="O256" s="31" t="inlineStr">
        <x:is>
          <x:t xml:space="preserve">Подтверждено мастером</x:t>
        </x:is>
      </x:c>
      <x:c r="P256" s="31" t="inlineStr">
        <x:is>
          <x:t xml:space="preserve">Комментарий смены 273</x:t>
        </x:is>
      </x:c>
    </x:row>
    <x:row r="257" ht="18" customHeight="1">
      <x:c r="A257" s="31" t="inlineStr">
        <x:is>
          <x:t xml:space="preserve">СМ-00274</x:t>
        </x:is>
      </x:c>
      <x:c r="B257" s="31" t="n">
        <x:v>46110</x:v>
      </x:c>
      <x:c r="C257" s="31" t="inlineStr">
        <x:is>
          <x:t xml:space="preserve">День</x:t>
        </x:is>
      </x:c>
      <x:c r="D257" s="31" t="inlineStr">
        <x:is>
          <x:t xml:space="preserve">ПЗ-00068</x:t>
        </x:is>
      </x:c>
      <x:c r="E257" s="31" t="inlineStr">
        <x:is>
          <x:t xml:space="preserve">ОП-000578</x:t>
        </x:is>
      </x:c>
      <x:c r="F257" s="31" t="inlineStr">
        <x:is>
          <x:t xml:space="preserve">ОБ-016</x:t>
        </x:is>
      </x:c>
      <x:c r="G257" s="31" t="inlineStr">
        <x:is>
          <x:t xml:space="preserve">СОТР-077</x:t>
        </x:is>
      </x:c>
      <x:c r="H257" s="31" t="inlineStr">
        <x:is>
          <x:t xml:space="preserve">Сборка</x:t>
        </x:is>
      </x:c>
      <x:c r="I257" s="31" t="n">
        <x:v>1</x:v>
      </x:c>
      <x:c r="J257" s="31" t="n">
        <x:v>0</x:v>
      </x:c>
      <x:c r="K257" s="31" t="n">
        <x:v>6.3</x:v>
      </x:c>
      <x:c r="L257" s="31" t="n">
        <x:v>5.2</x:v>
      </x:c>
      <x:c r="M257" s="31" t="n">
        <x:v>30</x:v>
      </x:c>
      <x:c r="N257" s="31" t="inlineStr">
        <x:is>
          <x:t xml:space="preserve">Ожидание материала</x:t>
        </x:is>
      </x:c>
      <x:c r="O257" s="31" t="inlineStr">
        <x:is>
          <x:t xml:space="preserve">Подтверждено мастером</x:t>
        </x:is>
      </x:c>
      <x:c r="P257" s="31" t="inlineStr">
        <x:is>
          <x:t xml:space="preserve">Комментарий смены 274</x:t>
        </x:is>
      </x:c>
    </x:row>
    <x:row r="258" ht="18" customHeight="1">
      <x:c r="A258" s="31" t="inlineStr">
        <x:is>
          <x:t xml:space="preserve">СМ-00275</x:t>
        </x:is>
      </x:c>
      <x:c r="B258" s="31" t="n">
        <x:v>46050</x:v>
      </x:c>
      <x:c r="C258" s="31" t="inlineStr">
        <x:is>
          <x:t xml:space="preserve">День</x:t>
        </x:is>
      </x:c>
      <x:c r="D258" s="31" t="inlineStr">
        <x:is>
          <x:t xml:space="preserve">ПЗ-00073</x:t>
        </x:is>
      </x:c>
      <x:c r="E258" s="31" t="inlineStr">
        <x:is>
          <x:t xml:space="preserve">ОП-000621</x:t>
        </x:is>
      </x:c>
      <x:c r="F258" s="31" t="inlineStr">
        <x:is>
          <x:t xml:space="preserve">ОБ-020</x:t>
        </x:is>
      </x:c>
      <x:c r="G258" s="31" t="inlineStr">
        <x:is>
          <x:t xml:space="preserve">СОТР-085</x:t>
        </x:is>
      </x:c>
      <x:c r="H258" s="31" t="inlineStr">
        <x:is>
          <x:t xml:space="preserve">Сборка</x:t>
        </x:is>
      </x:c>
      <x:c r="I258" s="31" t="n">
        <x:v>2</x:v>
      </x:c>
      <x:c r="J258" s="31" t="n">
        <x:v>1</x:v>
      </x:c>
      <x:c r="K258" s="31" t="n">
        <x:v>22.8</x:v>
      </x:c>
      <x:c r="L258" s="31" t="n">
        <x:v>22.9</x:v>
      </x:c>
      <x:c r="M258" s="31" t="n">
        <x:v>0</x:v>
      </x:c>
      <x:c r="N258" s="31" t="inlineStr">
        <x:is>
          <x:t xml:space="preserve">Нет</x:t>
        </x:is>
      </x:c>
      <x:c r="O258" s="31" t="inlineStr">
        <x:is>
          <x:t xml:space="preserve">Подтверждено мастером</x:t>
        </x:is>
      </x:c>
      <x:c r="P258" s="31" t="inlineStr">
        <x:is>
          <x:t xml:space="preserve">Комментарий смены 275</x:t>
        </x:is>
      </x:c>
    </x:row>
    <x:row r="259" ht="18" customHeight="1">
      <x:c r="A259" s="31" t="inlineStr">
        <x:is>
          <x:t xml:space="preserve">СМ-00276</x:t>
        </x:is>
      </x:c>
      <x:c r="B259" s="31" t="n">
        <x:v>46125</x:v>
      </x:c>
      <x:c r="C259" s="31" t="inlineStr">
        <x:is>
          <x:t xml:space="preserve">День</x:t>
        </x:is>
      </x:c>
      <x:c r="D259" s="31" t="inlineStr">
        <x:is>
          <x:t xml:space="preserve">ПЗ-00231</x:t>
        </x:is>
      </x:c>
      <x:c r="E259" s="31" t="inlineStr">
        <x:is>
          <x:t xml:space="preserve">ОП-001936</x:t>
        </x:is>
      </x:c>
      <x:c r="F259" s="31" t="inlineStr">
        <x:is>
          <x:t xml:space="preserve">ОБ-015</x:t>
        </x:is>
      </x:c>
      <x:c r="G259" s="31" t="inlineStr">
        <x:is>
          <x:t xml:space="preserve">СОТР-063</x:t>
        </x:is>
      </x:c>
      <x:c r="H259" s="31" t="inlineStr">
        <x:is>
          <x:t xml:space="preserve">ОТК</x:t>
        </x:is>
      </x:c>
      <x:c r="I259" s="31" t="n">
        <x:v>2</x:v>
      </x:c>
      <x:c r="J259" s="31" t="n">
        <x:v>2</x:v>
      </x:c>
      <x:c r="K259" s="31" t="n">
        <x:v>9.4</x:v>
      </x:c>
      <x:c r="L259" s="31" t="n">
        <x:v>12.3</x:v>
      </x:c>
      <x:c r="M259" s="31" t="n">
        <x:v>0</x:v>
      </x:c>
      <x:c r="N259" s="31" t="inlineStr">
        <x:is>
          <x:t xml:space="preserve">Нет</x:t>
        </x:is>
      </x:c>
      <x:c r="O259" s="31" t="inlineStr">
        <x:is>
          <x:t xml:space="preserve">Спорный факт</x:t>
        </x:is>
      </x:c>
      <x:c r="P259" s="31" t="inlineStr">
        <x:is>
          <x:t xml:space="preserve">Комментарий смены 276</x:t>
        </x:is>
      </x:c>
    </x:row>
    <x:row r="260" ht="18" customHeight="1">
      <x:c r="A260" s="31" t="inlineStr">
        <x:is>
          <x:t xml:space="preserve">СМ-00277</x:t>
        </x:is>
      </x:c>
      <x:c r="B260" s="31" t="n">
        <x:v>46181</x:v>
      </x:c>
      <x:c r="C260" s="31" t="inlineStr">
        <x:is>
          <x:t xml:space="preserve">День</x:t>
        </x:is>
      </x:c>
      <x:c r="D260" s="31" t="inlineStr">
        <x:is>
          <x:t xml:space="preserve">ПЗ-00037</x:t>
        </x:is>
      </x:c>
      <x:c r="E260" s="31" t="inlineStr">
        <x:is>
          <x:t xml:space="preserve">ОП-000319</x:t>
        </x:is>
      </x:c>
      <x:c r="F260" s="31" t="inlineStr">
        <x:is>
          <x:t xml:space="preserve">ОБ-004</x:t>
        </x:is>
      </x:c>
      <x:c r="G260" s="31" t="inlineStr">
        <x:is>
          <x:t xml:space="preserve">СОТР-056</x:t>
        </x:is>
      </x:c>
      <x:c r="H260" s="31" t="inlineStr">
        <x:is>
          <x:t xml:space="preserve">Сварка</x:t>
        </x:is>
      </x:c>
      <x:c r="I260" s="31" t="n">
        <x:v>5</x:v>
      </x:c>
      <x:c r="J260" s="31" t="n">
        <x:v>6</x:v>
      </x:c>
      <x:c r="K260" s="31" t="n">
        <x:v>49.5</x:v>
      </x:c>
      <x:c r="L260" s="31" t="n">
        <x:v>46.7</x:v>
      </x:c>
      <x:c r="M260" s="31" t="n">
        <x:v>0</x:v>
      </x:c>
      <x:c r="N260" s="31" t="inlineStr">
        <x:is>
          <x:t xml:space="preserve">Нет</x:t>
        </x:is>
      </x:c>
      <x:c r="O260" s="31" t="inlineStr">
        <x:is>
          <x:t xml:space="preserve">Подтверждено мастером</x:t>
        </x:is>
      </x:c>
      <x:c r="P260" s="31" t="inlineStr">
        <x:is>
          <x:t xml:space="preserve">Комментарий смены 277</x:t>
        </x:is>
      </x:c>
    </x:row>
    <x:row r="261" ht="18" customHeight="1">
      <x:c r="A261" s="31" t="inlineStr">
        <x:is>
          <x:t xml:space="preserve">СМ-00278</x:t>
        </x:is>
      </x:c>
      <x:c r="B261" s="31" t="n">
        <x:v>46198</x:v>
      </x:c>
      <x:c r="C261" s="31" t="inlineStr">
        <x:is>
          <x:t xml:space="preserve">День</x:t>
        </x:is>
      </x:c>
      <x:c r="D261" s="31" t="inlineStr">
        <x:is>
          <x:t xml:space="preserve">ПЗ-00005</x:t>
        </x:is>
      </x:c>
      <x:c r="E261" s="31" t="inlineStr">
        <x:is>
          <x:t xml:space="preserve">ОП-000031</x:t>
        </x:is>
      </x:c>
      <x:c r="F261" s="31" t="n"/>
      <x:c r="G261" s="31" t="inlineStr">
        <x:is>
          <x:t xml:space="preserve">СОТР-013</x:t>
        </x:is>
      </x:c>
      <x:c r="H261" s="31" t="inlineStr">
        <x:is>
          <x:t xml:space="preserve">Инженерный отдел</x:t>
        </x:is>
      </x:c>
      <x:c r="I261" s="31" t="n">
        <x:v>2</x:v>
      </x:c>
      <x:c r="J261" s="31" t="n">
        <x:v>2</x:v>
      </x:c>
      <x:c r="K261" s="31" t="n">
        <x:v>15</x:v>
      </x:c>
      <x:c r="L261" s="31" t="n">
        <x:v>18.4</x:v>
      </x:c>
      <x:c r="M261" s="31" t="n">
        <x:v>30</x:v>
      </x:c>
      <x:c r="N261" s="31" t="inlineStr">
        <x:is>
          <x:t xml:space="preserve">Ожидание ОТК</x:t>
        </x:is>
      </x:c>
      <x:c r="O261" s="31" t="inlineStr">
        <x:is>
          <x:t xml:space="preserve">Подтверждено мастером</x:t>
        </x:is>
      </x:c>
      <x:c r="P261" s="31" t="inlineStr">
        <x:is>
          <x:t xml:space="preserve">Комментарий смены 278</x:t>
        </x:is>
      </x:c>
    </x:row>
    <x:row r="262" ht="18" customHeight="1">
      <x:c r="A262" s="31" t="inlineStr">
        <x:is>
          <x:t xml:space="preserve">СМ-00279</x:t>
        </x:is>
      </x:c>
      <x:c r="B262" s="31" t="n">
        <x:v>46155</x:v>
      </x:c>
      <x:c r="C262" s="31" t="inlineStr">
        <x:is>
          <x:t xml:space="preserve">Вечер</x:t>
        </x:is>
      </x:c>
      <x:c r="D262" s="31" t="inlineStr">
        <x:is>
          <x:t xml:space="preserve">ПЗ-00034</x:t>
        </x:is>
      </x:c>
      <x:c r="E262" s="31" t="inlineStr">
        <x:is>
          <x:t xml:space="preserve">ОП-000297</x:t>
        </x:is>
      </x:c>
      <x:c r="F262" s="31" t="inlineStr">
        <x:is>
          <x:t xml:space="preserve">ОБ-002</x:t>
        </x:is>
      </x:c>
      <x:c r="G262" s="31" t="inlineStr">
        <x:is>
          <x:t xml:space="preserve">СОТР-078</x:t>
        </x:is>
      </x:c>
      <x:c r="H262" s="31" t="inlineStr">
        <x:is>
          <x:t xml:space="preserve">Сборка</x:t>
        </x:is>
      </x:c>
      <x:c r="I262" s="31" t="n">
        <x:v>1</x:v>
      </x:c>
      <x:c r="J262" s="31" t="n">
        <x:v>1</x:v>
      </x:c>
      <x:c r="K262" s="31" t="n">
        <x:v>18.6</x:v>
      </x:c>
      <x:c r="L262" s="31" t="n">
        <x:v>17.8</x:v>
      </x:c>
      <x:c r="M262" s="31" t="n">
        <x:v>90</x:v>
      </x:c>
      <x:c r="N262" s="31" t="inlineStr">
        <x:is>
          <x:t xml:space="preserve">Нет оператора</x:t>
        </x:is>
      </x:c>
      <x:c r="O262" s="31" t="inlineStr">
        <x:is>
          <x:t xml:space="preserve">Подтверждено мастером</x:t>
        </x:is>
      </x:c>
      <x:c r="P262" s="31" t="inlineStr">
        <x:is>
          <x:t xml:space="preserve">Комментарий смены 279</x:t>
        </x:is>
      </x:c>
    </x:row>
    <x:row r="263" ht="18" customHeight="1">
      <x:c r="A263" s="31" t="inlineStr">
        <x:is>
          <x:t xml:space="preserve">СМ-00280</x:t>
        </x:is>
      </x:c>
      <x:c r="B263" s="31" t="n">
        <x:v>46162</x:v>
      </x:c>
      <x:c r="C263" s="31" t="inlineStr">
        <x:is>
          <x:t xml:space="preserve">Вечер</x:t>
        </x:is>
      </x:c>
      <x:c r="D263" s="31" t="inlineStr">
        <x:is>
          <x:t xml:space="preserve">ПЗ-00038</x:t>
        </x:is>
      </x:c>
      <x:c r="E263" s="31" t="inlineStr">
        <x:is>
          <x:t xml:space="preserve">ОП-000328</x:t>
        </x:is>
      </x:c>
      <x:c r="F263" s="31" t="inlineStr">
        <x:is>
          <x:t xml:space="preserve">ОБ-013</x:t>
        </x:is>
      </x:c>
      <x:c r="G263" s="31" t="inlineStr">
        <x:is>
          <x:t xml:space="preserve">СОТР-092</x:t>
        </x:is>
      </x:c>
      <x:c r="H263" s="31" t="inlineStr">
        <x:is>
          <x:t xml:space="preserve">ОТК</x:t>
        </x:is>
      </x:c>
      <x:c r="I263" s="31" t="n">
        <x:v>1</x:v>
      </x:c>
      <x:c r="J263" s="31" t="n">
        <x:v>1</x:v>
      </x:c>
      <x:c r="K263" s="31" t="n">
        <x:v>12.6</x:v>
      </x:c>
      <x:c r="L263" s="31" t="n">
        <x:v>8.300000000000001</x:v>
      </x:c>
      <x:c r="M263" s="31" t="n">
        <x:v>60</x:v>
      </x:c>
      <x:c r="N263" s="31" t="inlineStr">
        <x:is>
          <x:t xml:space="preserve">Переналадка</x:t>
        </x:is>
      </x:c>
      <x:c r="O263" s="31" t="inlineStr">
        <x:is>
          <x:t xml:space="preserve">Черновик</x:t>
        </x:is>
      </x:c>
      <x:c r="P263" s="31" t="inlineStr">
        <x:is>
          <x:t xml:space="preserve">Комментарий смены 280</x:t>
        </x:is>
      </x:c>
    </x:row>
    <x:row r="264" ht="18" customHeight="1">
      <x:c r="A264" s="31" t="inlineStr">
        <x:is>
          <x:t xml:space="preserve">СМ-00281</x:t>
        </x:is>
      </x:c>
      <x:c r="B264" s="31" t="n">
        <x:v>46129</x:v>
      </x:c>
      <x:c r="C264" s="31" t="inlineStr">
        <x:is>
          <x:t xml:space="preserve">Вечер</x:t>
        </x:is>
      </x:c>
      <x:c r="D264" s="31" t="inlineStr">
        <x:is>
          <x:t xml:space="preserve">ПЗ-00195</x:t>
        </x:is>
      </x:c>
      <x:c r="E264" s="31" t="inlineStr">
        <x:is>
          <x:t xml:space="preserve">ОП-001637</x:t>
        </x:is>
      </x:c>
      <x:c r="F264" s="31" t="n"/>
      <x:c r="G264" s="31" t="inlineStr">
        <x:is>
          <x:t xml:space="preserve">СОТР-105</x:t>
        </x:is>
      </x:c>
      <x:c r="H264" s="31" t="inlineStr">
        <x:is>
          <x:t xml:space="preserve">Логистика</x:t>
        </x:is>
      </x:c>
      <x:c r="I264" s="31" t="n">
        <x:v>3</x:v>
      </x:c>
      <x:c r="J264" s="31" t="n">
        <x:v>3</x:v>
      </x:c>
      <x:c r="K264" s="31" t="n">
        <x:v>49.6</x:v>
      </x:c>
      <x:c r="L264" s="31" t="n">
        <x:v>50</x:v>
      </x:c>
      <x:c r="M264" s="31" t="n">
        <x:v>15</x:v>
      </x:c>
      <x:c r="N264" s="31" t="inlineStr">
        <x:is>
          <x:t xml:space="preserve">Нет оператора</x:t>
        </x:is>
      </x:c>
      <x:c r="O264" s="31" t="inlineStr">
        <x:is>
          <x:t xml:space="preserve">Подтверждено мастером</x:t>
        </x:is>
      </x:c>
      <x:c r="P264" s="31" t="inlineStr">
        <x:is>
          <x:t xml:space="preserve">Комментарий смены 281</x:t>
        </x:is>
      </x:c>
    </x:row>
    <x:row r="265" ht="18" customHeight="1">
      <x:c r="A265" s="31" t="inlineStr">
        <x:is>
          <x:t xml:space="preserve">СМ-00282</x:t>
        </x:is>
      </x:c>
      <x:c r="B265" s="31" t="n">
        <x:v>46186</x:v>
      </x:c>
      <x:c r="C265" s="31" t="inlineStr">
        <x:is>
          <x:t xml:space="preserve">Ночь</x:t>
        </x:is>
      </x:c>
      <x:c r="D265" s="31" t="inlineStr">
        <x:is>
          <x:t xml:space="preserve">ПЗ-00063</x:t>
        </x:is>
      </x:c>
      <x:c r="E265" s="31" t="inlineStr">
        <x:is>
          <x:t xml:space="preserve">ОП-000532</x:t>
        </x:is>
      </x:c>
      <x:c r="F265" s="31" t="inlineStr">
        <x:is>
          <x:t xml:space="preserve">ОБ-015</x:t>
        </x:is>
      </x:c>
      <x:c r="G265" s="31" t="inlineStr">
        <x:is>
          <x:t xml:space="preserve">СОТР-097</x:t>
        </x:is>
      </x:c>
      <x:c r="H265" s="31" t="inlineStr">
        <x:is>
          <x:t xml:space="preserve">ОТК</x:t>
        </x:is>
      </x:c>
      <x:c r="I265" s="31" t="n">
        <x:v>1</x:v>
      </x:c>
      <x:c r="J265" s="31" t="n">
        <x:v>0</x:v>
      </x:c>
      <x:c r="K265" s="31" t="n">
        <x:v>23.5</x:v>
      </x:c>
      <x:c r="L265" s="31" t="n">
        <x:v>19.3</x:v>
      </x:c>
      <x:c r="M265" s="31" t="n">
        <x:v>0</x:v>
      </x:c>
      <x:c r="N265" s="31" t="inlineStr">
        <x:is>
          <x:t xml:space="preserve">Нет</x:t>
        </x:is>
      </x:c>
      <x:c r="O265" s="31" t="inlineStr">
        <x:is>
          <x:t xml:space="preserve">Закрыто</x:t>
        </x:is>
      </x:c>
      <x:c r="P265" s="31" t="inlineStr">
        <x:is>
          <x:t xml:space="preserve">Комментарий смены 282</x:t>
        </x:is>
      </x:c>
    </x:row>
    <x:row r="266" ht="18" customHeight="1">
      <x:c r="A266" s="31" t="inlineStr">
        <x:is>
          <x:t xml:space="preserve">СМ-00283</x:t>
        </x:is>
      </x:c>
      <x:c r="B266" s="31" t="n">
        <x:v>46211</x:v>
      </x:c>
      <x:c r="C266" s="31" t="inlineStr">
        <x:is>
          <x:t xml:space="preserve">День</x:t>
        </x:is>
      </x:c>
      <x:c r="D266" s="31" t="inlineStr">
        <x:is>
          <x:t xml:space="preserve">ПЗ-00171</x:t>
        </x:is>
      </x:c>
      <x:c r="E266" s="31" t="inlineStr">
        <x:is>
          <x:t xml:space="preserve">ОП-001422</x:t>
        </x:is>
      </x:c>
      <x:c r="F266" s="31" t="inlineStr">
        <x:is>
          <x:t xml:space="preserve">ОБ-002</x:t>
        </x:is>
      </x:c>
      <x:c r="G266" s="31" t="inlineStr">
        <x:is>
          <x:t xml:space="preserve">СОТР-083</x:t>
        </x:is>
      </x:c>
      <x:c r="H266" s="31" t="inlineStr">
        <x:is>
          <x:t xml:space="preserve">Сборка</x:t>
        </x:is>
      </x:c>
      <x:c r="I266" s="31" t="n">
        <x:v>2</x:v>
      </x:c>
      <x:c r="J266" s="31" t="n">
        <x:v>2</x:v>
      </x:c>
      <x:c r="K266" s="31" t="n">
        <x:v>20.4</x:v>
      </x:c>
      <x:c r="L266" s="31" t="n">
        <x:v>23.8</x:v>
      </x:c>
      <x:c r="M266" s="31" t="n">
        <x:v>0</x:v>
      </x:c>
      <x:c r="N266" s="31" t="inlineStr">
        <x:is>
          <x:t xml:space="preserve">Нет</x:t>
        </x:is>
      </x:c>
      <x:c r="O266" s="31" t="inlineStr">
        <x:is>
          <x:t xml:space="preserve">Подтверждено мастером</x:t>
        </x:is>
      </x:c>
      <x:c r="P266" s="31" t="inlineStr">
        <x:is>
          <x:t xml:space="preserve">Комментарий смены 283</x:t>
        </x:is>
      </x:c>
    </x:row>
    <x:row r="267" ht="18" customHeight="1">
      <x:c r="A267" s="31" t="inlineStr">
        <x:is>
          <x:t xml:space="preserve">СМ-00284</x:t>
        </x:is>
      </x:c>
      <x:c r="B267" s="31" t="n">
        <x:v>46115</x:v>
      </x:c>
      <x:c r="C267" s="31" t="inlineStr">
        <x:is>
          <x:t xml:space="preserve">Вечер</x:t>
        </x:is>
      </x:c>
      <x:c r="D267" s="31" t="inlineStr">
        <x:is>
          <x:t xml:space="preserve">ПЗ-00136</x:t>
        </x:is>
      </x:c>
      <x:c r="E267" s="31" t="inlineStr">
        <x:is>
          <x:t xml:space="preserve">ОП-001138</x:t>
        </x:is>
      </x:c>
      <x:c r="F267" s="31" t="inlineStr">
        <x:is>
          <x:t xml:space="preserve">ОБ-011</x:t>
        </x:is>
      </x:c>
      <x:c r="G267" s="31" t="inlineStr">
        <x:is>
          <x:t xml:space="preserve">СОТР-038</x:t>
        </x:is>
      </x:c>
      <x:c r="H267" s="31" t="inlineStr">
        <x:is>
          <x:t xml:space="preserve">Склад</x:t>
        </x:is>
      </x:c>
      <x:c r="I267" s="31" t="n">
        <x:v>17</x:v>
      </x:c>
      <x:c r="J267" s="31" t="n">
        <x:v>17</x:v>
      </x:c>
      <x:c r="K267" s="31" t="n">
        <x:v>75.59999999999999</x:v>
      </x:c>
      <x:c r="L267" s="31" t="n">
        <x:v>80.2</x:v>
      </x:c>
      <x:c r="M267" s="31" t="n">
        <x:v>120</x:v>
      </x:c>
      <x:c r="N267" s="31" t="inlineStr">
        <x:is>
          <x:t xml:space="preserve">Ожидание материала</x:t>
        </x:is>
      </x:c>
      <x:c r="O267" s="31" t="inlineStr">
        <x:is>
          <x:t xml:space="preserve">Подтверждено мастером</x:t>
        </x:is>
      </x:c>
      <x:c r="P267" s="31" t="inlineStr">
        <x:is>
          <x:t xml:space="preserve">Комментарий смены 284</x:t>
        </x:is>
      </x:c>
    </x:row>
    <x:row r="268" ht="18" customHeight="1">
      <x:c r="A268" s="31" t="inlineStr">
        <x:is>
          <x:t xml:space="preserve">СМ-00285</x:t>
        </x:is>
      </x:c>
      <x:c r="B268" s="31" t="n">
        <x:v>46165</x:v>
      </x:c>
      <x:c r="C268" s="31" t="inlineStr">
        <x:is>
          <x:t xml:space="preserve">Ночь</x:t>
        </x:is>
      </x:c>
      <x:c r="D268" s="31" t="inlineStr">
        <x:is>
          <x:t xml:space="preserve">ПЗ-00035</x:t>
        </x:is>
      </x:c>
      <x:c r="E268" s="31" t="inlineStr">
        <x:is>
          <x:t xml:space="preserve">ОП-000306</x:t>
        </x:is>
      </x:c>
      <x:c r="F268" s="31" t="inlineStr">
        <x:is>
          <x:t xml:space="preserve">ОБ-006</x:t>
        </x:is>
      </x:c>
      <x:c r="G268" s="31" t="inlineStr">
        <x:is>
          <x:t xml:space="preserve">СОТР-099</x:t>
        </x:is>
      </x:c>
      <x:c r="H268" s="31" t="inlineStr">
        <x:is>
          <x:t xml:space="preserve">ОТК</x:t>
        </x:is>
      </x:c>
      <x:c r="I268" s="31" t="n">
        <x:v>11</x:v>
      </x:c>
      <x:c r="J268" s="31" t="n">
        <x:v>11</x:v>
      </x:c>
      <x:c r="K268" s="31" t="n">
        <x:v>30</x:v>
      </x:c>
      <x:c r="L268" s="31" t="n">
        <x:v>28.3</x:v>
      </x:c>
      <x:c r="M268" s="31" t="n">
        <x:v>0</x:v>
      </x:c>
      <x:c r="N268" s="31" t="inlineStr">
        <x:is>
          <x:t xml:space="preserve">Нет</x:t>
        </x:is>
      </x:c>
      <x:c r="O268" s="31" t="inlineStr">
        <x:is>
          <x:t xml:space="preserve">Подтверждено мастером</x:t>
        </x:is>
      </x:c>
      <x:c r="P268" s="31" t="inlineStr">
        <x:is>
          <x:t xml:space="preserve">Комментарий смены 285</x:t>
        </x:is>
      </x:c>
    </x:row>
    <x:row r="269" ht="18" customHeight="1">
      <x:c r="A269" s="31" t="inlineStr">
        <x:is>
          <x:t xml:space="preserve">СМ-00286</x:t>
        </x:is>
      </x:c>
      <x:c r="B269" s="31" t="n">
        <x:v>46160</x:v>
      </x:c>
      <x:c r="C269" s="31" t="inlineStr">
        <x:is>
          <x:t xml:space="preserve">День</x:t>
        </x:is>
      </x:c>
      <x:c r="D269" s="31" t="inlineStr">
        <x:is>
          <x:t xml:space="preserve">ПЗ-00061</x:t>
        </x:is>
      </x:c>
      <x:c r="E269" s="31" t="inlineStr">
        <x:is>
          <x:t xml:space="preserve">ОП-000515</x:t>
        </x:is>
      </x:c>
      <x:c r="F269" s="31" t="n"/>
      <x:c r="G269" s="31" t="inlineStr">
        <x:is>
          <x:t xml:space="preserve">СОТР-013</x:t>
        </x:is>
      </x:c>
      <x:c r="H269" s="31" t="inlineStr">
        <x:is>
          <x:t xml:space="preserve">Инженерный отдел</x:t>
        </x:is>
      </x:c>
      <x:c r="I269" s="31" t="n">
        <x:v>3</x:v>
      </x:c>
      <x:c r="J269" s="31" t="n">
        <x:v>2</x:v>
      </x:c>
      <x:c r="K269" s="31" t="n">
        <x:v>3.9</x:v>
      </x:c>
      <x:c r="L269" s="31" t="n">
        <x:v>4.4</x:v>
      </x:c>
      <x:c r="M269" s="31" t="n">
        <x:v>120</x:v>
      </x:c>
      <x:c r="N269" s="31" t="inlineStr">
        <x:is>
          <x:t xml:space="preserve">Ожидание материала</x:t>
        </x:is>
      </x:c>
      <x:c r="O269" s="31" t="inlineStr">
        <x:is>
          <x:t xml:space="preserve">Подтверждено мастером</x:t>
        </x:is>
      </x:c>
      <x:c r="P269" s="31" t="inlineStr">
        <x:is>
          <x:t xml:space="preserve">Комментарий смены 286</x:t>
        </x:is>
      </x:c>
    </x:row>
    <x:row r="270" ht="18" customHeight="1">
      <x:c r="A270" s="31" t="inlineStr">
        <x:is>
          <x:t xml:space="preserve">СМ-00287</x:t>
        </x:is>
      </x:c>
      <x:c r="B270" s="31" t="n">
        <x:v>46060</x:v>
      </x:c>
      <x:c r="C270" s="31" t="inlineStr">
        <x:is>
          <x:t xml:space="preserve">День</x:t>
        </x:is>
      </x:c>
      <x:c r="D270" s="31" t="inlineStr">
        <x:is>
          <x:t xml:space="preserve">ПЗ-00132</x:t>
        </x:is>
      </x:c>
      <x:c r="E270" s="31" t="inlineStr">
        <x:is>
          <x:t xml:space="preserve">ОП-001100</x:t>
        </x:is>
      </x:c>
      <x:c r="F270" s="31" t="n"/>
      <x:c r="G270" s="31" t="inlineStr">
        <x:is>
          <x:t xml:space="preserve">СОТР-014</x:t>
        </x:is>
      </x:c>
      <x:c r="H270" s="31" t="inlineStr">
        <x:is>
          <x:t xml:space="preserve">Инженерный отдел</x:t>
        </x:is>
      </x:c>
      <x:c r="I270" s="31" t="n">
        <x:v>1</x:v>
      </x:c>
      <x:c r="J270" s="31" t="n">
        <x:v>1</x:v>
      </x:c>
      <x:c r="K270" s="31" t="n">
        <x:v>28</x:v>
      </x:c>
      <x:c r="L270" s="31" t="n">
        <x:v>26.9</x:v>
      </x:c>
      <x:c r="M270" s="31" t="n">
        <x:v>0</x:v>
      </x:c>
      <x:c r="N270" s="31" t="inlineStr">
        <x:is>
          <x:t xml:space="preserve">Нет</x:t>
        </x:is>
      </x:c>
      <x:c r="O270" s="31" t="inlineStr">
        <x:is>
          <x:t xml:space="preserve">Подтверждено мастером</x:t>
        </x:is>
      </x:c>
      <x:c r="P270" s="31" t="inlineStr">
        <x:is>
          <x:t xml:space="preserve">Комментарий смены 287</x:t>
        </x:is>
      </x:c>
    </x:row>
    <x:row r="271" ht="18" customHeight="1">
      <x:c r="A271" s="31" t="inlineStr">
        <x:is>
          <x:t xml:space="preserve">СМ-00288</x:t>
        </x:is>
      </x:c>
      <x:c r="B271" s="31" t="n">
        <x:v>46074</x:v>
      </x:c>
      <x:c r="C271" s="31" t="inlineStr">
        <x:is>
          <x:t xml:space="preserve">День</x:t>
        </x:is>
      </x:c>
      <x:c r="D271" s="31" t="inlineStr">
        <x:is>
          <x:t xml:space="preserve">ПЗ-00133</x:t>
        </x:is>
      </x:c>
      <x:c r="E271" s="31" t="inlineStr">
        <x:is>
          <x:t xml:space="preserve">ОП-001115</x:t>
        </x:is>
      </x:c>
      <x:c r="F271" s="31" t="inlineStr">
        <x:is>
          <x:t xml:space="preserve">ОБ-016</x:t>
        </x:is>
      </x:c>
      <x:c r="G271" s="31" t="inlineStr">
        <x:is>
          <x:t xml:space="preserve">СОТР-075</x:t>
        </x:is>
      </x:c>
      <x:c r="H271" s="31" t="inlineStr">
        <x:is>
          <x:t xml:space="preserve">Сборка</x:t>
        </x:is>
      </x:c>
      <x:c r="I271" s="31" t="n">
        <x:v>2</x:v>
      </x:c>
      <x:c r="J271" s="31" t="n">
        <x:v>2</x:v>
      </x:c>
      <x:c r="K271" s="31" t="n">
        <x:v>22.4</x:v>
      </x:c>
      <x:c r="L271" s="31" t="n">
        <x:v>20.8</x:v>
      </x:c>
      <x:c r="M271" s="31" t="n">
        <x:v>0</x:v>
      </x:c>
      <x:c r="N271" s="31" t="inlineStr">
        <x:is>
          <x:t xml:space="preserve">Нет</x:t>
        </x:is>
      </x:c>
      <x:c r="O271" s="31" t="inlineStr">
        <x:is>
          <x:t xml:space="preserve">Подтверждено мастером</x:t>
        </x:is>
      </x:c>
      <x:c r="P271" s="31" t="inlineStr">
        <x:is>
          <x:t xml:space="preserve">Комментарий смены 288</x:t>
        </x:is>
      </x:c>
    </x:row>
    <x:row r="272" ht="18" customHeight="1">
      <x:c r="A272" s="31" t="inlineStr">
        <x:is>
          <x:t xml:space="preserve">СМ-00289</x:t>
        </x:is>
      </x:c>
      <x:c r="B272" s="31" t="n">
        <x:v>46157</x:v>
      </x:c>
      <x:c r="C272" s="31" t="inlineStr">
        <x:is>
          <x:t xml:space="preserve">День</x:t>
        </x:is>
      </x:c>
      <x:c r="D272" s="31" t="inlineStr">
        <x:is>
          <x:t xml:space="preserve">ПЗ-00205</x:t>
        </x:is>
      </x:c>
      <x:c r="E272" s="31" t="inlineStr">
        <x:is>
          <x:t xml:space="preserve">ОП-001713</x:t>
        </x:is>
      </x:c>
      <x:c r="F272" s="31" t="n"/>
      <x:c r="G272" s="31" t="inlineStr">
        <x:is>
          <x:t xml:space="preserve">СОТР-016</x:t>
        </x:is>
      </x:c>
      <x:c r="H272" s="31" t="inlineStr">
        <x:is>
          <x:t xml:space="preserve">Инженерный отдел</x:t>
        </x:is>
      </x:c>
      <x:c r="I272" s="31" t="n">
        <x:v>3</x:v>
      </x:c>
      <x:c r="J272" s="31" t="n">
        <x:v>2</x:v>
      </x:c>
      <x:c r="K272" s="31" t="n">
        <x:v>34.5</x:v>
      </x:c>
      <x:c r="L272" s="31" t="n">
        <x:v>38</x:v>
      </x:c>
      <x:c r="M272" s="31" t="n">
        <x:v>0</x:v>
      </x:c>
      <x:c r="N272" s="31" t="inlineStr">
        <x:is>
          <x:t xml:space="preserve">Нет</x:t>
        </x:is>
      </x:c>
      <x:c r="O272" s="31" t="inlineStr">
        <x:is>
          <x:t xml:space="preserve">Подтверждено мастером</x:t>
        </x:is>
      </x:c>
      <x:c r="P272" s="31" t="inlineStr">
        <x:is>
          <x:t xml:space="preserve">Комментарий смены 289</x:t>
        </x:is>
      </x:c>
    </x:row>
    <x:row r="273" ht="18" customHeight="1">
      <x:c r="A273" s="31" t="inlineStr">
        <x:is>
          <x:t xml:space="preserve">СМ-00290</x:t>
        </x:is>
      </x:c>
      <x:c r="B273" s="31" t="n">
        <x:v>46051</x:v>
      </x:c>
      <x:c r="C273" s="31" t="inlineStr">
        <x:is>
          <x:t xml:space="preserve">Ночь</x:t>
        </x:is>
      </x:c>
      <x:c r="D273" s="31" t="inlineStr">
        <x:is>
          <x:t xml:space="preserve">ПЗ-00095</x:t>
        </x:is>
      </x:c>
      <x:c r="E273" s="31" t="inlineStr">
        <x:is>
          <x:t xml:space="preserve">ОП-000805</x:t>
        </x:is>
      </x:c>
      <x:c r="F273" s="31" t="n"/>
      <x:c r="G273" s="31" t="inlineStr">
        <x:is>
          <x:t xml:space="preserve">СОТР-104</x:t>
        </x:is>
      </x:c>
      <x:c r="H273" s="31" t="inlineStr">
        <x:is>
          <x:t xml:space="preserve">Логистика</x:t>
        </x:is>
      </x:c>
      <x:c r="I273" s="31" t="n">
        <x:v>1</x:v>
      </x:c>
      <x:c r="J273" s="31" t="n">
        <x:v>1</x:v>
      </x:c>
      <x:c r="K273" s="31" t="n">
        <x:v>12.4</x:v>
      </x:c>
      <x:c r="L273" s="31" t="n">
        <x:v>14.6</x:v>
      </x:c>
      <x:c r="M273" s="31" t="n">
        <x:v>60</x:v>
      </x:c>
      <x:c r="N273" s="31" t="inlineStr">
        <x:is>
          <x:t xml:space="preserve">Ожидание ОТК</x:t>
        </x:is>
      </x:c>
      <x:c r="O273" s="31" t="inlineStr">
        <x:is>
          <x:t xml:space="preserve">Черновик</x:t>
        </x:is>
      </x:c>
      <x:c r="P273" s="31" t="inlineStr">
        <x:is>
          <x:t xml:space="preserve">Комментарий смены 290</x:t>
        </x:is>
      </x:c>
    </x:row>
    <x:row r="274" ht="18" customHeight="1">
      <x:c r="A274" s="31" t="inlineStr">
        <x:is>
          <x:t xml:space="preserve">СМ-00291</x:t>
        </x:is>
      </x:c>
      <x:c r="B274" s="31" t="n">
        <x:v>46056</x:v>
      </x:c>
      <x:c r="C274" s="31" t="inlineStr">
        <x:is>
          <x:t xml:space="preserve">День</x:t>
        </x:is>
      </x:c>
      <x:c r="D274" s="31" t="inlineStr">
        <x:is>
          <x:t xml:space="preserve">ПЗ-00047</x:t>
        </x:is>
      </x:c>
      <x:c r="E274" s="31" t="inlineStr">
        <x:is>
          <x:t xml:space="preserve">ОП-000392</x:t>
        </x:is>
      </x:c>
      <x:c r="F274" s="31" t="n"/>
      <x:c r="G274" s="31" t="inlineStr">
        <x:is>
          <x:t xml:space="preserve">СОТР-020</x:t>
        </x:is>
      </x:c>
      <x:c r="H274" s="31" t="inlineStr">
        <x:is>
          <x:t xml:space="preserve">Инженерный отдел</x:t>
        </x:is>
      </x:c>
      <x:c r="I274" s="31" t="n">
        <x:v>4</x:v>
      </x:c>
      <x:c r="J274" s="31" t="n">
        <x:v>5</x:v>
      </x:c>
      <x:c r="K274" s="31" t="n">
        <x:v>27.5</x:v>
      </x:c>
      <x:c r="L274" s="31" t="n">
        <x:v>26.6</x:v>
      </x:c>
      <x:c r="M274" s="31" t="n">
        <x:v>30</x:v>
      </x:c>
      <x:c r="N274" s="31" t="inlineStr">
        <x:is>
          <x:t xml:space="preserve">Ожидание ОТК</x:t>
        </x:is>
      </x:c>
      <x:c r="O274" s="31" t="inlineStr">
        <x:is>
          <x:t xml:space="preserve">Подтверждено мастером</x:t>
        </x:is>
      </x:c>
      <x:c r="P274" s="31" t="inlineStr">
        <x:is>
          <x:t xml:space="preserve">Комментарий смены 291</x:t>
        </x:is>
      </x:c>
    </x:row>
    <x:row r="275" ht="18" customHeight="1">
      <x:c r="A275" s="31" t="inlineStr">
        <x:is>
          <x:t xml:space="preserve">СМ-00292</x:t>
        </x:is>
      </x:c>
      <x:c r="B275" s="31" t="n">
        <x:v>46130</x:v>
      </x:c>
      <x:c r="C275" s="31" t="inlineStr">
        <x:is>
          <x:t xml:space="preserve">День</x:t>
        </x:is>
      </x:c>
      <x:c r="D275" s="31" t="inlineStr">
        <x:is>
          <x:t xml:space="preserve">ПЗ-00179</x:t>
        </x:is>
      </x:c>
      <x:c r="E275" s="31" t="inlineStr">
        <x:is>
          <x:t xml:space="preserve">ОП-001484</x:t>
        </x:is>
      </x:c>
      <x:c r="F275" s="31" t="inlineStr">
        <x:is>
          <x:t xml:space="preserve">ОБ-005</x:t>
        </x:is>
      </x:c>
      <x:c r="G275" s="31" t="inlineStr">
        <x:is>
          <x:t xml:space="preserve">СОТР-084</x:t>
        </x:is>
      </x:c>
      <x:c r="H275" s="31" t="inlineStr">
        <x:is>
          <x:t xml:space="preserve">Сборка</x:t>
        </x:is>
      </x:c>
      <x:c r="I275" s="31" t="n">
        <x:v>2</x:v>
      </x:c>
      <x:c r="J275" s="31" t="n">
        <x:v>3</x:v>
      </x:c>
      <x:c r="K275" s="31" t="n">
        <x:v>5.2</x:v>
      </x:c>
      <x:c r="L275" s="31" t="n">
        <x:v>4.9</x:v>
      </x:c>
      <x:c r="M275" s="31" t="n">
        <x:v>30</x:v>
      </x:c>
      <x:c r="N275" s="31" t="inlineStr">
        <x:is>
          <x:t xml:space="preserve">Ожидание материала</x:t>
        </x:is>
      </x:c>
      <x:c r="O275" s="31" t="inlineStr">
        <x:is>
          <x:t xml:space="preserve">Подтверждено мастером</x:t>
        </x:is>
      </x:c>
      <x:c r="P275" s="31" t="inlineStr">
        <x:is>
          <x:t xml:space="preserve">Комментарий смены 292</x:t>
        </x:is>
      </x:c>
    </x:row>
    <x:row r="276" ht="18" customHeight="1">
      <x:c r="A276" s="31" t="inlineStr">
        <x:is>
          <x:t xml:space="preserve">СМ-00293</x:t>
        </x:is>
      </x:c>
      <x:c r="B276" s="31" t="n">
        <x:v>46112</x:v>
      </x:c>
      <x:c r="C276" s="31" t="inlineStr">
        <x:is>
          <x:t xml:space="preserve">День</x:t>
        </x:is>
      </x:c>
      <x:c r="D276" s="31" t="inlineStr">
        <x:is>
          <x:t xml:space="preserve">ПЗ-00259</x:t>
        </x:is>
      </x:c>
      <x:c r="E276" s="31" t="inlineStr">
        <x:is>
          <x:t xml:space="preserve">ОП-002157</x:t>
        </x:is>
      </x:c>
      <x:c r="F276" s="31" t="n"/>
      <x:c r="G276" s="31" t="inlineStr">
        <x:is>
          <x:t xml:space="preserve">СОТР-101</x:t>
        </x:is>
      </x:c>
      <x:c r="H276" s="31" t="inlineStr">
        <x:is>
          <x:t xml:space="preserve">Логистика</x:t>
        </x:is>
      </x:c>
      <x:c r="I276" s="31" t="n">
        <x:v>3</x:v>
      </x:c>
      <x:c r="J276" s="31" t="n">
        <x:v>3</x:v>
      </x:c>
      <x:c r="K276" s="31" t="n">
        <x:v>18.4</x:v>
      </x:c>
      <x:c r="L276" s="31" t="n">
        <x:v>18.6</x:v>
      </x:c>
      <x:c r="M276" s="31" t="n">
        <x:v>0</x:v>
      </x:c>
      <x:c r="N276" s="31" t="inlineStr">
        <x:is>
          <x:t xml:space="preserve">Нет</x:t>
        </x:is>
      </x:c>
      <x:c r="O276" s="31" t="inlineStr">
        <x:is>
          <x:t xml:space="preserve">Спорный факт</x:t>
        </x:is>
      </x:c>
      <x:c r="P276" s="31" t="inlineStr">
        <x:is>
          <x:t xml:space="preserve">Комментарий смены 293</x:t>
        </x:is>
      </x:c>
    </x:row>
    <x:row r="277" ht="18" customHeight="1">
      <x:c r="A277" s="31" t="inlineStr">
        <x:is>
          <x:t xml:space="preserve">СМ-00294</x:t>
        </x:is>
      </x:c>
      <x:c r="B277" s="31" t="n">
        <x:v>46143</x:v>
      </x:c>
      <x:c r="C277" s="31" t="inlineStr">
        <x:is>
          <x:t xml:space="preserve">Ночь</x:t>
        </x:is>
      </x:c>
      <x:c r="D277" s="31" t="inlineStr">
        <x:is>
          <x:t xml:space="preserve">ПЗ-00060</x:t>
        </x:is>
      </x:c>
      <x:c r="E277" s="31" t="inlineStr">
        <x:is>
          <x:t xml:space="preserve">ОП-000501</x:t>
        </x:is>
      </x:c>
      <x:c r="F277" s="31" t="n"/>
      <x:c r="G277" s="31" t="inlineStr">
        <x:is>
          <x:t xml:space="preserve">СОТР-016</x:t>
        </x:is>
      </x:c>
      <x:c r="H277" s="31" t="inlineStr">
        <x:is>
          <x:t xml:space="preserve">Инженерный отдел</x:t>
        </x:is>
      </x:c>
      <x:c r="I277" s="31" t="n">
        <x:v>1</x:v>
      </x:c>
      <x:c r="J277" s="31" t="n">
        <x:v>1</x:v>
      </x:c>
      <x:c r="K277" s="31" t="n">
        <x:v>3.7</x:v>
      </x:c>
      <x:c r="L277" s="31" t="n">
        <x:v>3</x:v>
      </x:c>
      <x:c r="M277" s="31" t="n">
        <x:v>0</x:v>
      </x:c>
      <x:c r="N277" s="31" t="inlineStr">
        <x:is>
          <x:t xml:space="preserve">Нет</x:t>
        </x:is>
      </x:c>
      <x:c r="O277" s="31" t="inlineStr">
        <x:is>
          <x:t xml:space="preserve">Подтверждено мастером</x:t>
        </x:is>
      </x:c>
      <x:c r="P277" s="31" t="inlineStr">
        <x:is>
          <x:t xml:space="preserve">Комментарий смены 294</x:t>
        </x:is>
      </x:c>
    </x:row>
    <x:row r="278" ht="18" customHeight="1">
      <x:c r="A278" s="31" t="inlineStr">
        <x:is>
          <x:t xml:space="preserve">СМ-00295</x:t>
        </x:is>
      </x:c>
      <x:c r="B278" s="31" t="n">
        <x:v>46187</x:v>
      </x:c>
      <x:c r="C278" s="31" t="inlineStr">
        <x:is>
          <x:t xml:space="preserve">День</x:t>
        </x:is>
      </x:c>
      <x:c r="D278" s="31" t="inlineStr">
        <x:is>
          <x:t xml:space="preserve">ПЗ-00212</x:t>
        </x:is>
      </x:c>
      <x:c r="E278" s="31" t="inlineStr">
        <x:is>
          <x:t xml:space="preserve">ОП-001779</x:t>
        </x:is>
      </x:c>
      <x:c r="F278" s="31" t="n"/>
      <x:c r="G278" s="31" t="inlineStr">
        <x:is>
          <x:t xml:space="preserve">СОТР-019</x:t>
        </x:is>
      </x:c>
      <x:c r="H278" s="31" t="inlineStr">
        <x:is>
          <x:t xml:space="preserve">Инженерный отдел</x:t>
        </x:is>
      </x:c>
      <x:c r="I278" s="31" t="n">
        <x:v>1</x:v>
      </x:c>
      <x:c r="J278" s="31" t="n">
        <x:v>0</x:v>
      </x:c>
      <x:c r="K278" s="31" t="n">
        <x:v>17.9</x:v>
      </x:c>
      <x:c r="L278" s="31" t="n">
        <x:v>23.2</x:v>
      </x:c>
      <x:c r="M278" s="31" t="n">
        <x:v>45</x:v>
      </x:c>
      <x:c r="N278" s="31" t="inlineStr">
        <x:is>
          <x:t xml:space="preserve">Нет оператора</x:t>
        </x:is>
      </x:c>
      <x:c r="O278" s="31" t="inlineStr">
        <x:is>
          <x:t xml:space="preserve">Подтверждено мастером</x:t>
        </x:is>
      </x:c>
      <x:c r="P278" s="31" t="inlineStr">
        <x:is>
          <x:t xml:space="preserve">Комментарий смены 295</x:t>
        </x:is>
      </x:c>
    </x:row>
    <x:row r="279" ht="18" customHeight="1">
      <x:c r="A279" s="31" t="inlineStr">
        <x:is>
          <x:t xml:space="preserve">СМ-00296</x:t>
        </x:is>
      </x:c>
      <x:c r="B279" s="31" t="n">
        <x:v>46052</x:v>
      </x:c>
      <x:c r="C279" s="31" t="inlineStr">
        <x:is>
          <x:t xml:space="preserve">Ночь</x:t>
        </x:is>
      </x:c>
      <x:c r="D279" s="31" t="inlineStr">
        <x:is>
          <x:t xml:space="preserve">ПЗ-00112</x:t>
        </x:is>
      </x:c>
      <x:c r="E279" s="31" t="inlineStr">
        <x:is>
          <x:t xml:space="preserve">ОП-000946</x:t>
        </x:is>
      </x:c>
      <x:c r="F279" s="31" t="inlineStr">
        <x:is>
          <x:t xml:space="preserve">ОБ-024</x:t>
        </x:is>
      </x:c>
      <x:c r="G279" s="31" t="inlineStr">
        <x:is>
          <x:t xml:space="preserve">СОТР-096</x:t>
        </x:is>
      </x:c>
      <x:c r="H279" s="31" t="inlineStr">
        <x:is>
          <x:t xml:space="preserve">ОТК</x:t>
        </x:is>
      </x:c>
      <x:c r="I279" s="31" t="n">
        <x:v>2</x:v>
      </x:c>
      <x:c r="J279" s="31" t="n">
        <x:v>0</x:v>
      </x:c>
      <x:c r="K279" s="31" t="n">
        <x:v>2.4</x:v>
      </x:c>
      <x:c r="L279" s="31" t="n">
        <x:v>1.6</x:v>
      </x:c>
      <x:c r="M279" s="31" t="n">
        <x:v>0</x:v>
      </x:c>
      <x:c r="N279" s="31" t="inlineStr">
        <x:is>
          <x:t xml:space="preserve">Нет</x:t>
        </x:is>
      </x:c>
      <x:c r="O279" s="31" t="inlineStr">
        <x:is>
          <x:t xml:space="preserve">Подтверждено мастером</x:t>
        </x:is>
      </x:c>
      <x:c r="P279" s="31" t="inlineStr">
        <x:is>
          <x:t xml:space="preserve">Комментарий смены 296</x:t>
        </x:is>
      </x:c>
    </x:row>
    <x:row r="280" ht="18" customHeight="1">
      <x:c r="A280" s="31" t="inlineStr">
        <x:is>
          <x:t xml:space="preserve">СМ-00297</x:t>
        </x:is>
      </x:c>
      <x:c r="B280" s="31" t="n">
        <x:v>46135</x:v>
      </x:c>
      <x:c r="C280" s="31" t="inlineStr">
        <x:is>
          <x:t xml:space="preserve">Ночь</x:t>
        </x:is>
      </x:c>
      <x:c r="D280" s="31" t="inlineStr">
        <x:is>
          <x:t xml:space="preserve">ПЗ-00058</x:t>
        </x:is>
      </x:c>
      <x:c r="E280" s="31" t="inlineStr">
        <x:is>
          <x:t xml:space="preserve">ОП-000481</x:t>
        </x:is>
      </x:c>
      <x:c r="F280" s="31" t="n"/>
      <x:c r="G280" s="31" t="inlineStr">
        <x:is>
          <x:t xml:space="preserve">СОТР-011</x:t>
        </x:is>
      </x:c>
      <x:c r="H280" s="31" t="inlineStr">
        <x:is>
          <x:t xml:space="preserve">Инженерный отдел</x:t>
        </x:is>
      </x:c>
      <x:c r="I280" s="31" t="n">
        <x:v>2</x:v>
      </x:c>
      <x:c r="J280" s="31" t="n">
        <x:v>3</x:v>
      </x:c>
      <x:c r="K280" s="31" t="n">
        <x:v>10</x:v>
      </x:c>
      <x:c r="L280" s="31" t="n">
        <x:v>10.4</x:v>
      </x:c>
      <x:c r="M280" s="31" t="n">
        <x:v>0</x:v>
      </x:c>
      <x:c r="N280" s="31" t="inlineStr">
        <x:is>
          <x:t xml:space="preserve">Нет</x:t>
        </x:is>
      </x:c>
      <x:c r="O280" s="31" t="inlineStr">
        <x:is>
          <x:t xml:space="preserve">Подтверждено мастером</x:t>
        </x:is>
      </x:c>
      <x:c r="P280" s="31" t="inlineStr">
        <x:is>
          <x:t xml:space="preserve">Комментарий смены 297</x:t>
        </x:is>
      </x:c>
    </x:row>
    <x:row r="281" ht="18" customHeight="1">
      <x:c r="A281" s="31" t="inlineStr">
        <x:is>
          <x:t xml:space="preserve">СМ-00298</x:t>
        </x:is>
      </x:c>
      <x:c r="B281" s="31" t="n">
        <x:v>46053</x:v>
      </x:c>
      <x:c r="C281" s="31" t="inlineStr">
        <x:is>
          <x:t xml:space="preserve">Ночь</x:t>
        </x:is>
      </x:c>
      <x:c r="D281" s="31" t="inlineStr">
        <x:is>
          <x:t xml:space="preserve">ПЗ-00112</x:t>
        </x:is>
      </x:c>
      <x:c r="E281" s="31" t="inlineStr">
        <x:is>
          <x:t xml:space="preserve">ОП-000947</x:t>
        </x:is>
      </x:c>
      <x:c r="F281" s="31" t="n"/>
      <x:c r="G281" s="31" t="inlineStr">
        <x:is>
          <x:t xml:space="preserve">СОТР-105</x:t>
        </x:is>
      </x:c>
      <x:c r="H281" s="31" t="inlineStr">
        <x:is>
          <x:t xml:space="preserve">Логистика</x:t>
        </x:is>
      </x:c>
      <x:c r="I281" s="31" t="n">
        <x:v>1</x:v>
      </x:c>
      <x:c r="J281" s="31" t="n">
        <x:v>2</x:v>
      </x:c>
      <x:c r="K281" s="31" t="n">
        <x:v>9.199999999999999</x:v>
      </x:c>
      <x:c r="L281" s="31" t="n">
        <x:v>9.1</x:v>
      </x:c>
      <x:c r="M281" s="31" t="n">
        <x:v>0</x:v>
      </x:c>
      <x:c r="N281" s="31" t="inlineStr">
        <x:is>
          <x:t xml:space="preserve">Нет</x:t>
        </x:is>
      </x:c>
      <x:c r="O281" s="31" t="inlineStr">
        <x:is>
          <x:t xml:space="preserve">Подтверждено мастером</x:t>
        </x:is>
      </x:c>
      <x:c r="P281" s="31" t="inlineStr">
        <x:is>
          <x:t xml:space="preserve">Комментарий смены 298</x:t>
        </x:is>
      </x:c>
    </x:row>
    <x:row r="282" ht="18" customHeight="1">
      <x:c r="A282" s="31" t="inlineStr">
        <x:is>
          <x:t xml:space="preserve">СМ-00299</x:t>
        </x:is>
      </x:c>
      <x:c r="B282" s="31" t="n">
        <x:v>46117</x:v>
      </x:c>
      <x:c r="C282" s="31" t="inlineStr">
        <x:is>
          <x:t xml:space="preserve">Ночь</x:t>
        </x:is>
      </x:c>
      <x:c r="D282" s="31" t="inlineStr">
        <x:is>
          <x:t xml:space="preserve">ПЗ-00019</x:t>
        </x:is>
      </x:c>
      <x:c r="E282" s="31" t="inlineStr">
        <x:is>
          <x:t xml:space="preserve">ОП-000158</x:t>
        </x:is>
      </x:c>
      <x:c r="F282" s="31" t="inlineStr">
        <x:is>
          <x:t xml:space="preserve">ОБ-009</x:t>
        </x:is>
      </x:c>
      <x:c r="G282" s="31" t="inlineStr">
        <x:is>
          <x:t xml:space="preserve">СОТР-036</x:t>
        </x:is>
      </x:c>
      <x:c r="H282" s="31" t="inlineStr">
        <x:is>
          <x:t xml:space="preserve">Склад</x:t>
        </x:is>
      </x:c>
      <x:c r="I282" s="31" t="n">
        <x:v>1</x:v>
      </x:c>
      <x:c r="J282" s="31" t="n">
        <x:v>0</x:v>
      </x:c>
      <x:c r="K282" s="31" t="n">
        <x:v>10</x:v>
      </x:c>
      <x:c r="L282" s="31" t="n">
        <x:v>12</x:v>
      </x:c>
      <x:c r="M282" s="31" t="n">
        <x:v>0</x:v>
      </x:c>
      <x:c r="N282" s="31" t="inlineStr">
        <x:is>
          <x:t xml:space="preserve">Нет</x:t>
        </x:is>
      </x:c>
      <x:c r="O282" s="31" t="inlineStr">
        <x:is>
          <x:t xml:space="preserve">Подтверждено мастером</x:t>
        </x:is>
      </x:c>
      <x:c r="P282" s="31" t="inlineStr">
        <x:is>
          <x:t xml:space="preserve">Комментарий смены 299</x:t>
        </x:is>
      </x:c>
    </x:row>
    <x:row r="283" ht="18" customHeight="1">
      <x:c r="A283" s="31" t="inlineStr">
        <x:is>
          <x:t xml:space="preserve">СМ-00300</x:t>
        </x:is>
      </x:c>
      <x:c r="B283" s="31" t="n">
        <x:v>46055</x:v>
      </x:c>
      <x:c r="C283" s="31" t="inlineStr">
        <x:is>
          <x:t xml:space="preserve">День</x:t>
        </x:is>
      </x:c>
      <x:c r="D283" s="31" t="inlineStr">
        <x:is>
          <x:t xml:space="preserve">ПЗ-00072</x:t>
        </x:is>
      </x:c>
      <x:c r="E283" s="31" t="inlineStr">
        <x:is>
          <x:t xml:space="preserve">ОП-000615</x:t>
        </x:is>
      </x:c>
      <x:c r="F283" s="31" t="inlineStr">
        <x:is>
          <x:t xml:space="preserve">ОБ-003</x:t>
        </x:is>
      </x:c>
      <x:c r="G283" s="31" t="inlineStr">
        <x:is>
          <x:t xml:space="preserve">СОТР-067</x:t>
        </x:is>
      </x:c>
      <x:c r="H283" s="31" t="inlineStr">
        <x:is>
          <x:t xml:space="preserve">Сварка</x:t>
        </x:is>
      </x:c>
      <x:c r="I283" s="31" t="n">
        <x:v>1</x:v>
      </x:c>
      <x:c r="J283" s="31" t="n">
        <x:v>1</x:v>
      </x:c>
      <x:c r="K283" s="31" t="n">
        <x:v>24.8</x:v>
      </x:c>
      <x:c r="L283" s="31" t="n">
        <x:v>21.2</x:v>
      </x:c>
      <x:c r="M283" s="31" t="n">
        <x:v>120</x:v>
      </x:c>
      <x:c r="N283" s="31" t="inlineStr">
        <x:is>
          <x:t xml:space="preserve">Ожидание материала</x:t>
        </x:is>
      </x:c>
      <x:c r="O283" s="31" t="inlineStr">
        <x:is>
          <x:t xml:space="preserve">Подтверждено мастером</x:t>
        </x:is>
      </x:c>
      <x:c r="P283" s="31" t="inlineStr">
        <x:is>
          <x:t xml:space="preserve">Комментарий смены 300</x:t>
        </x:is>
      </x:c>
    </x:row>
    <x:row r="284" ht="18" customHeight="1">
      <x:c r="A284" s="31" t="inlineStr">
        <x:is>
          <x:t xml:space="preserve">СМ-00301</x:t>
        </x:is>
      </x:c>
      <x:c r="B284" s="31" t="n">
        <x:v>46144</x:v>
      </x:c>
      <x:c r="C284" s="31" t="inlineStr">
        <x:is>
          <x:t xml:space="preserve">Ночь</x:t>
        </x:is>
      </x:c>
      <x:c r="D284" s="31" t="inlineStr">
        <x:is>
          <x:t xml:space="preserve">ПЗ-00089</x:t>
        </x:is>
      </x:c>
      <x:c r="E284" s="31" t="inlineStr">
        <x:is>
          <x:t xml:space="preserve">ОП-000752</x:t>
        </x:is>
      </x:c>
      <x:c r="F284" s="31" t="inlineStr">
        <x:is>
          <x:t xml:space="preserve">ОБ-019</x:t>
        </x:is>
      </x:c>
      <x:c r="G284" s="31" t="inlineStr">
        <x:is>
          <x:t xml:space="preserve">СОТР-069</x:t>
        </x:is>
      </x:c>
      <x:c r="H284" s="31" t="inlineStr">
        <x:is>
          <x:t xml:space="preserve">Сварка</x:t>
        </x:is>
      </x:c>
      <x:c r="I284" s="31" t="n">
        <x:v>1</x:v>
      </x:c>
      <x:c r="J284" s="31" t="n">
        <x:v>0</x:v>
      </x:c>
      <x:c r="K284" s="31" t="n">
        <x:v>13.2</x:v>
      </x:c>
      <x:c r="L284" s="31" t="n">
        <x:v>13.4</x:v>
      </x:c>
      <x:c r="M284" s="31" t="n">
        <x:v>0</x:v>
      </x:c>
      <x:c r="N284" s="31" t="inlineStr">
        <x:is>
          <x:t xml:space="preserve">Нет</x:t>
        </x:is>
      </x:c>
      <x:c r="O284" s="31" t="inlineStr">
        <x:is>
          <x:t xml:space="preserve">Спорный факт</x:t>
        </x:is>
      </x:c>
      <x:c r="P284" s="31" t="inlineStr">
        <x:is>
          <x:t xml:space="preserve">Комментарий смены 301</x:t>
        </x:is>
      </x:c>
    </x:row>
    <x:row r="285" ht="18" customHeight="1">
      <x:c r="A285" s="31" t="inlineStr">
        <x:is>
          <x:t xml:space="preserve">СМ-00302</x:t>
        </x:is>
      </x:c>
      <x:c r="B285" s="31" t="n">
        <x:v>46169</x:v>
      </x:c>
      <x:c r="C285" s="31" t="inlineStr">
        <x:is>
          <x:t xml:space="preserve">День</x:t>
        </x:is>
      </x:c>
      <x:c r="D285" s="31" t="inlineStr">
        <x:is>
          <x:t xml:space="preserve">ПЗ-00010</x:t>
        </x:is>
      </x:c>
      <x:c r="E285" s="31" t="inlineStr">
        <x:is>
          <x:t xml:space="preserve">ОП-000086</x:t>
        </x:is>
      </x:c>
      <x:c r="F285" s="31" t="n"/>
      <x:c r="G285" s="31" t="inlineStr">
        <x:is>
          <x:t xml:space="preserve">СОТР-105</x:t>
        </x:is>
      </x:c>
      <x:c r="H285" s="31" t="inlineStr">
        <x:is>
          <x:t xml:space="preserve">Логистика</x:t>
        </x:is>
      </x:c>
      <x:c r="I285" s="31" t="n">
        <x:v>1</x:v>
      </x:c>
      <x:c r="J285" s="31" t="n">
        <x:v>0</x:v>
      </x:c>
      <x:c r="K285" s="31" t="n">
        <x:v>12.4</x:v>
      </x:c>
      <x:c r="L285" s="31" t="n">
        <x:v>12.1</x:v>
      </x:c>
      <x:c r="M285" s="31" t="n">
        <x:v>15</x:v>
      </x:c>
      <x:c r="N285" s="31" t="inlineStr">
        <x:is>
          <x:t xml:space="preserve">Переналадка</x:t>
        </x:is>
      </x:c>
      <x:c r="O285" s="31" t="inlineStr">
        <x:is>
          <x:t xml:space="preserve">Подтверждено мастером</x:t>
        </x:is>
      </x:c>
      <x:c r="P285" s="31" t="inlineStr">
        <x:is>
          <x:t xml:space="preserve">Комментарий смены 302</x:t>
        </x:is>
      </x:c>
    </x:row>
    <x:row r="286" ht="18" customHeight="1">
      <x:c r="A286" s="31" t="inlineStr">
        <x:is>
          <x:t xml:space="preserve">СМ-00303</x:t>
        </x:is>
      </x:c>
      <x:c r="B286" s="31" t="n">
        <x:v>46090</x:v>
      </x:c>
      <x:c r="C286" s="31" t="inlineStr">
        <x:is>
          <x:t xml:space="preserve">Ночь</x:t>
        </x:is>
      </x:c>
      <x:c r="D286" s="31" t="inlineStr">
        <x:is>
          <x:t xml:space="preserve">ПЗ-00056</x:t>
        </x:is>
      </x:c>
      <x:c r="E286" s="31" t="inlineStr">
        <x:is>
          <x:t xml:space="preserve">ОП-000464</x:t>
        </x:is>
      </x:c>
      <x:c r="F286" s="31" t="inlineStr">
        <x:is>
          <x:t xml:space="preserve">ОБ-025</x:t>
        </x:is>
      </x:c>
      <x:c r="G286" s="31" t="inlineStr">
        <x:is>
          <x:t xml:space="preserve">СОТР-039</x:t>
        </x:is>
      </x:c>
      <x:c r="H286" s="31" t="inlineStr">
        <x:is>
          <x:t xml:space="preserve">Склад</x:t>
        </x:is>
      </x:c>
      <x:c r="I286" s="31" t="n">
        <x:v>1</x:v>
      </x:c>
      <x:c r="J286" s="31" t="n">
        <x:v>1</x:v>
      </x:c>
      <x:c r="K286" s="31" t="n">
        <x:v>17.4</x:v>
      </x:c>
      <x:c r="L286" s="31" t="n">
        <x:v>14.1</x:v>
      </x:c>
      <x:c r="M286" s="31" t="n">
        <x:v>30</x:v>
      </x:c>
      <x:c r="N286" s="31" t="inlineStr">
        <x:is>
          <x:t xml:space="preserve">Ожидание ОТК</x:t>
        </x:is>
      </x:c>
      <x:c r="O286" s="31" t="inlineStr">
        <x:is>
          <x:t xml:space="preserve">Подтверждено мастером</x:t>
        </x:is>
      </x:c>
      <x:c r="P286" s="31" t="inlineStr">
        <x:is>
          <x:t xml:space="preserve">Комментарий смены 303</x:t>
        </x:is>
      </x:c>
    </x:row>
    <x:row r="287" ht="18" customHeight="1">
      <x:c r="A287" s="31" t="inlineStr">
        <x:is>
          <x:t xml:space="preserve">СМ-00304</x:t>
        </x:is>
      </x:c>
      <x:c r="B287" s="31" t="n">
        <x:v>46149</x:v>
      </x:c>
      <x:c r="C287" s="31" t="inlineStr">
        <x:is>
          <x:t xml:space="preserve">День</x:t>
        </x:is>
      </x:c>
      <x:c r="D287" s="31" t="inlineStr">
        <x:is>
          <x:t xml:space="preserve">ПЗ-00018</x:t>
        </x:is>
      </x:c>
      <x:c r="E287" s="31" t="inlineStr">
        <x:is>
          <x:t xml:space="preserve">ОП-000151</x:t>
        </x:is>
      </x:c>
      <x:c r="F287" s="31" t="inlineStr">
        <x:is>
          <x:t xml:space="preserve">ОБ-002</x:t>
        </x:is>
      </x:c>
      <x:c r="G287" s="31" t="inlineStr">
        <x:is>
          <x:t xml:space="preserve">СОТР-083</x:t>
        </x:is>
      </x:c>
      <x:c r="H287" s="31" t="inlineStr">
        <x:is>
          <x:t xml:space="preserve">Сборка</x:t>
        </x:is>
      </x:c>
      <x:c r="I287" s="31" t="n">
        <x:v>1</x:v>
      </x:c>
      <x:c r="J287" s="31" t="n">
        <x:v>1</x:v>
      </x:c>
      <x:c r="K287" s="31" t="n">
        <x:v>18.6</x:v>
      </x:c>
      <x:c r="L287" s="31" t="n">
        <x:v>17.9</x:v>
      </x:c>
      <x:c r="M287" s="31" t="n">
        <x:v>0</x:v>
      </x:c>
      <x:c r="N287" s="31" t="inlineStr">
        <x:is>
          <x:t xml:space="preserve">Нет</x:t>
        </x:is>
      </x:c>
      <x:c r="O287" s="31" t="inlineStr">
        <x:is>
          <x:t xml:space="preserve">Подтверждено мастером</x:t>
        </x:is>
      </x:c>
      <x:c r="P287" s="31" t="inlineStr">
        <x:is>
          <x:t xml:space="preserve">Комментарий смены 304</x:t>
        </x:is>
      </x:c>
    </x:row>
    <x:row r="288" ht="18" customHeight="1">
      <x:c r="A288" s="31" t="inlineStr">
        <x:is>
          <x:t xml:space="preserve">СМ-00305</x:t>
        </x:is>
      </x:c>
      <x:c r="B288" s="31" t="n">
        <x:v>46168</x:v>
      </x:c>
      <x:c r="C288" s="31" t="inlineStr">
        <x:is>
          <x:t xml:space="preserve">Ночь</x:t>
        </x:is>
      </x:c>
      <x:c r="D288" s="31" t="inlineStr">
        <x:is>
          <x:t xml:space="preserve">ПЗ-00205</x:t>
        </x:is>
      </x:c>
      <x:c r="E288" s="31" t="inlineStr">
        <x:is>
          <x:t xml:space="preserve">ОП-001716</x:t>
        </x:is>
      </x:c>
      <x:c r="F288" s="31" t="inlineStr">
        <x:is>
          <x:t xml:space="preserve">ОБ-035</x:t>
        </x:is>
      </x:c>
      <x:c r="G288" s="31" t="inlineStr">
        <x:is>
          <x:t xml:space="preserve">СОТР-064</x:t>
        </x:is>
      </x:c>
      <x:c r="H288" s="31" t="inlineStr">
        <x:is>
          <x:t xml:space="preserve">Сварка</x:t>
        </x:is>
      </x:c>
      <x:c r="I288" s="31" t="n">
        <x:v>4</x:v>
      </x:c>
      <x:c r="J288" s="31" t="n">
        <x:v>4</x:v>
      </x:c>
      <x:c r="K288" s="31" t="n">
        <x:v>11.5</x:v>
      </x:c>
      <x:c r="L288" s="31" t="n">
        <x:v>11.9</x:v>
      </x:c>
      <x:c r="M288" s="31" t="n">
        <x:v>120</x:v>
      </x:c>
      <x:c r="N288" s="31" t="inlineStr">
        <x:is>
          <x:t xml:space="preserve">Нет оператора</x:t>
        </x:is>
      </x:c>
      <x:c r="O288" s="31" t="inlineStr">
        <x:is>
          <x:t xml:space="preserve">Подтверждено мастером</x:t>
        </x:is>
      </x:c>
      <x:c r="P288" s="31" t="inlineStr">
        <x:is>
          <x:t xml:space="preserve">Комментарий смены 305</x:t>
        </x:is>
      </x:c>
    </x:row>
    <x:row r="289" ht="18" customHeight="1">
      <x:c r="A289" s="31" t="inlineStr">
        <x:is>
          <x:t xml:space="preserve">СМ-00307</x:t>
        </x:is>
      </x:c>
      <x:c r="B289" s="31" t="n">
        <x:v>46179</x:v>
      </x:c>
      <x:c r="C289" s="31" t="inlineStr">
        <x:is>
          <x:t xml:space="preserve">День</x:t>
        </x:is>
      </x:c>
      <x:c r="D289" s="31" t="inlineStr">
        <x:is>
          <x:t xml:space="preserve">ПЗ-00213</x:t>
        </x:is>
      </x:c>
      <x:c r="E289" s="31" t="inlineStr">
        <x:is>
          <x:t xml:space="preserve">ОП-001785</x:t>
        </x:is>
      </x:c>
      <x:c r="F289" s="31" t="inlineStr">
        <x:is>
          <x:t xml:space="preserve">ОБ-010</x:t>
        </x:is>
      </x:c>
      <x:c r="G289" s="31" t="inlineStr">
        <x:is>
          <x:t xml:space="preserve">СОТР-056</x:t>
        </x:is>
      </x:c>
      <x:c r="H289" s="31" t="inlineStr">
        <x:is>
          <x:t xml:space="preserve">Сварка</x:t>
        </x:is>
      </x:c>
      <x:c r="I289" s="31" t="n">
        <x:v>3</x:v>
      </x:c>
      <x:c r="J289" s="31" t="n">
        <x:v>3</x:v>
      </x:c>
      <x:c r="K289" s="31" t="n">
        <x:v>50</x:v>
      </x:c>
      <x:c r="L289" s="31" t="n">
        <x:v>62.2</x:v>
      </x:c>
      <x:c r="M289" s="31" t="n">
        <x:v>15</x:v>
      </x:c>
      <x:c r="N289" s="31" t="inlineStr">
        <x:is>
          <x:t xml:space="preserve">Ремонт оборудования</x:t>
        </x:is>
      </x:c>
      <x:c r="O289" s="31" t="inlineStr">
        <x:is>
          <x:t xml:space="preserve">Закрыто</x:t>
        </x:is>
      </x:c>
      <x:c r="P289" s="31" t="inlineStr">
        <x:is>
          <x:t xml:space="preserve">Комментарий смены 307</x:t>
        </x:is>
      </x:c>
    </x:row>
    <x:row r="290" ht="18" customHeight="1">
      <x:c r="A290" s="31" t="inlineStr">
        <x:is>
          <x:t xml:space="preserve">СМ-00308</x:t>
        </x:is>
      </x:c>
      <x:c r="B290" s="31" t="n">
        <x:v>46082</x:v>
      </x:c>
      <x:c r="C290" s="31" t="inlineStr">
        <x:is>
          <x:t xml:space="preserve">День</x:t>
        </x:is>
      </x:c>
      <x:c r="D290" s="31" t="inlineStr">
        <x:is>
          <x:t xml:space="preserve">ПЗ-00026</x:t>
        </x:is>
      </x:c>
      <x:c r="E290" s="31" t="inlineStr">
        <x:is>
          <x:t xml:space="preserve">ОП-000226</x:t>
        </x:is>
      </x:c>
      <x:c r="F290" s="31" t="inlineStr">
        <x:is>
          <x:t xml:space="preserve">ОБ-033</x:t>
        </x:is>
      </x:c>
      <x:c r="G290" s="31" t="inlineStr">
        <x:is>
          <x:t xml:space="preserve">СОТР-093</x:t>
        </x:is>
      </x:c>
      <x:c r="H290" s="31" t="inlineStr">
        <x:is>
          <x:t xml:space="preserve">ОТК</x:t>
        </x:is>
      </x:c>
      <x:c r="I290" s="31" t="n">
        <x:v>1</x:v>
      </x:c>
      <x:c r="J290" s="31" t="n">
        <x:v>1</x:v>
      </x:c>
      <x:c r="K290" s="31" t="n">
        <x:v>39.6</x:v>
      </x:c>
      <x:c r="L290" s="31" t="n">
        <x:v>39.5</x:v>
      </x:c>
      <x:c r="M290" s="31" t="n">
        <x:v>90</x:v>
      </x:c>
      <x:c r="N290" s="31" t="inlineStr">
        <x:is>
          <x:t xml:space="preserve">Ремонт оборудования</x:t>
        </x:is>
      </x:c>
      <x:c r="O290" s="31" t="inlineStr">
        <x:is>
          <x:t xml:space="preserve">Спорный факт</x:t>
        </x:is>
      </x:c>
      <x:c r="P290" s="31" t="inlineStr">
        <x:is>
          <x:t xml:space="preserve">Комментарий смены 308</x:t>
        </x:is>
      </x:c>
    </x:row>
    <x:row r="291" ht="18" customHeight="1">
      <x:c r="A291" s="31" t="inlineStr">
        <x:is>
          <x:t xml:space="preserve">СМ-00309</x:t>
        </x:is>
      </x:c>
      <x:c r="B291" s="31" t="n">
        <x:v>46199</x:v>
      </x:c>
      <x:c r="C291" s="31" t="inlineStr">
        <x:is>
          <x:t xml:space="preserve">Ночь</x:t>
        </x:is>
      </x:c>
      <x:c r="D291" s="31" t="inlineStr">
        <x:is>
          <x:t xml:space="preserve">ПЗ-00223</x:t>
        </x:is>
      </x:c>
      <x:c r="E291" s="31" t="inlineStr">
        <x:is>
          <x:t xml:space="preserve">ОП-001871</x:t>
        </x:is>
      </x:c>
      <x:c r="F291" s="31" t="inlineStr">
        <x:is>
          <x:t xml:space="preserve">ОБ-005</x:t>
        </x:is>
      </x:c>
      <x:c r="G291" s="31" t="inlineStr">
        <x:is>
          <x:t xml:space="preserve">СОТР-083</x:t>
        </x:is>
      </x:c>
      <x:c r="H291" s="31" t="inlineStr">
        <x:is>
          <x:t xml:space="preserve">Сборка</x:t>
        </x:is>
      </x:c>
      <x:c r="I291" s="31" t="n">
        <x:v>2</x:v>
      </x:c>
      <x:c r="J291" s="31" t="n">
        <x:v>1</x:v>
      </x:c>
      <x:c r="K291" s="31" t="n">
        <x:v>4.2</x:v>
      </x:c>
      <x:c r="L291" s="31" t="n">
        <x:v>4</x:v>
      </x:c>
      <x:c r="M291" s="31" t="n">
        <x:v>90</x:v>
      </x:c>
      <x:c r="N291" s="31" t="inlineStr">
        <x:is>
          <x:t xml:space="preserve">Ожидание ОТК</x:t>
        </x:is>
      </x:c>
      <x:c r="O291" s="31" t="inlineStr">
        <x:is>
          <x:t xml:space="preserve">Подтверждено мастером</x:t>
        </x:is>
      </x:c>
      <x:c r="P291" s="31" t="inlineStr">
        <x:is>
          <x:t xml:space="preserve">Комментарий смены 309</x:t>
        </x:is>
      </x:c>
    </x:row>
    <x:row r="292" ht="18" customHeight="1">
      <x:c r="A292" s="31" t="inlineStr">
        <x:is>
          <x:t xml:space="preserve">СМ-00310</x:t>
        </x:is>
      </x:c>
      <x:c r="B292" s="31" t="n">
        <x:v>46189</x:v>
      </x:c>
      <x:c r="C292" s="31" t="inlineStr">
        <x:is>
          <x:t xml:space="preserve">День</x:t>
        </x:is>
      </x:c>
      <x:c r="D292" s="31" t="inlineStr">
        <x:is>
          <x:t xml:space="preserve">ПЗ-00131</x:t>
        </x:is>
      </x:c>
      <x:c r="E292" s="31" t="inlineStr">
        <x:is>
          <x:t xml:space="preserve">ОП-001092</x:t>
        </x:is>
      </x:c>
      <x:c r="F292" s="31" t="inlineStr">
        <x:is>
          <x:t xml:space="preserve">ОБ-018</x:t>
        </x:is>
      </x:c>
      <x:c r="G292" s="31" t="inlineStr">
        <x:is>
          <x:t xml:space="preserve">СОТР-061</x:t>
        </x:is>
      </x:c>
      <x:c r="H292" s="31" t="inlineStr">
        <x:is>
          <x:t xml:space="preserve">Сварка</x:t>
        </x:is>
      </x:c>
      <x:c r="I292" s="31" t="n">
        <x:v>5</x:v>
      </x:c>
      <x:c r="J292" s="31" t="n">
        <x:v>4</x:v>
      </x:c>
      <x:c r="K292" s="31" t="n">
        <x:v>25</x:v>
      </x:c>
      <x:c r="L292" s="31" t="n">
        <x:v>31.6</x:v>
      </x:c>
      <x:c r="M292" s="31" t="n">
        <x:v>0</x:v>
      </x:c>
      <x:c r="N292" s="31" t="inlineStr">
        <x:is>
          <x:t xml:space="preserve">Нет</x:t>
        </x:is>
      </x:c>
      <x:c r="O292" s="31" t="inlineStr">
        <x:is>
          <x:t xml:space="preserve">Закрыто</x:t>
        </x:is>
      </x:c>
      <x:c r="P292" s="31" t="inlineStr">
        <x:is>
          <x:t xml:space="preserve">Комментарий смены 310</x:t>
        </x:is>
      </x:c>
    </x:row>
    <x:row r="293" ht="18" customHeight="1">
      <x:c r="A293" s="31" t="inlineStr">
        <x:is>
          <x:t xml:space="preserve">СМ-00311</x:t>
        </x:is>
      </x:c>
      <x:c r="B293" s="31" t="n">
        <x:v>46129</x:v>
      </x:c>
      <x:c r="C293" s="31" t="inlineStr">
        <x:is>
          <x:t xml:space="preserve">День</x:t>
        </x:is>
      </x:c>
      <x:c r="D293" s="31" t="inlineStr">
        <x:is>
          <x:t xml:space="preserve">ПЗ-00008</x:t>
        </x:is>
      </x:c>
      <x:c r="E293" s="31" t="inlineStr">
        <x:is>
          <x:t xml:space="preserve">ОП-000065</x:t>
        </x:is>
      </x:c>
      <x:c r="F293" s="31" t="inlineStr">
        <x:is>
          <x:t xml:space="preserve">ОБ-015</x:t>
        </x:is>
      </x:c>
      <x:c r="G293" s="31" t="inlineStr">
        <x:is>
          <x:t xml:space="preserve">СОТР-092</x:t>
        </x:is>
      </x:c>
      <x:c r="H293" s="31" t="inlineStr">
        <x:is>
          <x:t xml:space="preserve">ОТК</x:t>
        </x:is>
      </x:c>
      <x:c r="I293" s="31" t="n">
        <x:v>2</x:v>
      </x:c>
      <x:c r="J293" s="31" t="n">
        <x:v>2</x:v>
      </x:c>
      <x:c r="K293" s="31" t="n">
        <x:v>38.2</x:v>
      </x:c>
      <x:c r="L293" s="31" t="n">
        <x:v>50.3</x:v>
      </x:c>
      <x:c r="M293" s="31" t="n">
        <x:v>15</x:v>
      </x:c>
      <x:c r="N293" s="31" t="inlineStr">
        <x:is>
          <x:t xml:space="preserve">Ожидание материала</x:t>
        </x:is>
      </x:c>
      <x:c r="O293" s="31" t="inlineStr">
        <x:is>
          <x:t xml:space="preserve">Подтверждено мастером</x:t>
        </x:is>
      </x:c>
      <x:c r="P293" s="31" t="inlineStr">
        <x:is>
          <x:t xml:space="preserve">Комментарий смены 311</x:t>
        </x:is>
      </x:c>
    </x:row>
    <x:row r="294" ht="18" customHeight="1">
      <x:c r="A294" s="31" t="inlineStr">
        <x:is>
          <x:t xml:space="preserve">СМ-00312</x:t>
        </x:is>
      </x:c>
      <x:c r="B294" s="31" t="n">
        <x:v>46216</x:v>
      </x:c>
      <x:c r="C294" s="31" t="inlineStr">
        <x:is>
          <x:t xml:space="preserve">Вечер</x:t>
        </x:is>
      </x:c>
      <x:c r="D294" s="31" t="inlineStr">
        <x:is>
          <x:t xml:space="preserve">ПЗ-00171</x:t>
        </x:is>
      </x:c>
      <x:c r="E294" s="31" t="inlineStr">
        <x:is>
          <x:t xml:space="preserve">ОП-001425</x:t>
        </x:is>
      </x:c>
      <x:c r="F294" s="31" t="n"/>
      <x:c r="G294" s="31" t="inlineStr">
        <x:is>
          <x:t xml:space="preserve">СОТР-101</x:t>
        </x:is>
      </x:c>
      <x:c r="H294" s="31" t="inlineStr">
        <x:is>
          <x:t xml:space="preserve">Логистика</x:t>
        </x:is>
      </x:c>
      <x:c r="I294" s="31" t="n">
        <x:v>3</x:v>
      </x:c>
      <x:c r="J294" s="31" t="n">
        <x:v>3</x:v>
      </x:c>
      <x:c r="K294" s="31" t="n">
        <x:v>24.6</x:v>
      </x:c>
      <x:c r="L294" s="31" t="n">
        <x:v>23.5</x:v>
      </x:c>
      <x:c r="M294" s="31" t="n">
        <x:v>0</x:v>
      </x:c>
      <x:c r="N294" s="31" t="inlineStr">
        <x:is>
          <x:t xml:space="preserve">Нет</x:t>
        </x:is>
      </x:c>
      <x:c r="O294" s="31" t="inlineStr">
        <x:is>
          <x:t xml:space="preserve">Подтверждено мастером</x:t>
        </x:is>
      </x:c>
      <x:c r="P294" s="31" t="inlineStr">
        <x:is>
          <x:t xml:space="preserve">Комментарий смены 312</x:t>
        </x:is>
      </x:c>
    </x:row>
    <x:row r="295" ht="18" customHeight="1">
      <x:c r="A295" s="31" t="inlineStr">
        <x:is>
          <x:t xml:space="preserve">СМ-00313</x:t>
        </x:is>
      </x:c>
      <x:c r="B295" s="31" t="n">
        <x:v>46085</x:v>
      </x:c>
      <x:c r="C295" s="31" t="inlineStr">
        <x:is>
          <x:t xml:space="preserve">День</x:t>
        </x:is>
      </x:c>
      <x:c r="D295" s="31" t="inlineStr">
        <x:is>
          <x:t xml:space="preserve">ПЗ-00245</x:t>
        </x:is>
      </x:c>
      <x:c r="E295" s="31" t="inlineStr">
        <x:is>
          <x:t xml:space="preserve">ОП-002047</x:t>
        </x:is>
      </x:c>
      <x:c r="F295" s="31" t="inlineStr">
        <x:is>
          <x:t xml:space="preserve">ОБ-021</x:t>
        </x:is>
      </x:c>
      <x:c r="G295" s="31" t="inlineStr">
        <x:is>
          <x:t xml:space="preserve">СОТР-069</x:t>
        </x:is>
      </x:c>
      <x:c r="H295" s="31" t="inlineStr">
        <x:is>
          <x:t xml:space="preserve">Сварка</x:t>
        </x:is>
      </x:c>
      <x:c r="I295" s="31" t="n">
        <x:v>2</x:v>
      </x:c>
      <x:c r="J295" s="31" t="n">
        <x:v>2</x:v>
      </x:c>
      <x:c r="K295" s="31" t="n">
        <x:v>40.6</x:v>
      </x:c>
      <x:c r="L295" s="31" t="n">
        <x:v>43.4</x:v>
      </x:c>
      <x:c r="M295" s="31" t="n">
        <x:v>0</x:v>
      </x:c>
      <x:c r="N295" s="31" t="inlineStr">
        <x:is>
          <x:t xml:space="preserve">Нет</x:t>
        </x:is>
      </x:c>
      <x:c r="O295" s="31" t="inlineStr">
        <x:is>
          <x:t xml:space="preserve">Закрыто</x:t>
        </x:is>
      </x:c>
      <x:c r="P295" s="31" t="inlineStr">
        <x:is>
          <x:t xml:space="preserve">Комментарий смены 313</x:t>
        </x:is>
      </x:c>
    </x:row>
    <x:row r="296" ht="18" customHeight="1">
      <x:c r="A296" s="31" t="inlineStr">
        <x:is>
          <x:t xml:space="preserve">СМ-00314</x:t>
        </x:is>
      </x:c>
      <x:c r="B296" s="31" t="n">
        <x:v>46068</x:v>
      </x:c>
      <x:c r="C296" s="31" t="inlineStr">
        <x:is>
          <x:t xml:space="preserve">День</x:t>
        </x:is>
      </x:c>
      <x:c r="D296" s="31" t="inlineStr">
        <x:is>
          <x:t xml:space="preserve">ПЗ-00092</x:t>
        </x:is>
      </x:c>
      <x:c r="E296" s="31" t="inlineStr">
        <x:is>
          <x:t xml:space="preserve">ОП-000779</x:t>
        </x:is>
      </x:c>
      <x:c r="F296" s="31" t="inlineStr">
        <x:is>
          <x:t xml:space="preserve">ОБ-002</x:t>
        </x:is>
      </x:c>
      <x:c r="G296" s="31" t="inlineStr">
        <x:is>
          <x:t xml:space="preserve">СОТР-087</x:t>
        </x:is>
      </x:c>
      <x:c r="H296" s="31" t="inlineStr">
        <x:is>
          <x:t xml:space="preserve">Сборка</x:t>
        </x:is>
      </x:c>
      <x:c r="I296" s="31" t="n">
        <x:v>2</x:v>
      </x:c>
      <x:c r="J296" s="31" t="n">
        <x:v>2</x:v>
      </x:c>
      <x:c r="K296" s="31" t="n">
        <x:v>23.6</x:v>
      </x:c>
      <x:c r="L296" s="31" t="n">
        <x:v>26.3</x:v>
      </x:c>
      <x:c r="M296" s="31" t="n">
        <x:v>0</x:v>
      </x:c>
      <x:c r="N296" s="31" t="inlineStr">
        <x:is>
          <x:t xml:space="preserve">Нет</x:t>
        </x:is>
      </x:c>
      <x:c r="O296" s="31" t="inlineStr">
        <x:is>
          <x:t xml:space="preserve">Подтверждено мастером</x:t>
        </x:is>
      </x:c>
      <x:c r="P296" s="31" t="inlineStr">
        <x:is>
          <x:t xml:space="preserve">Комментарий смены 314</x:t>
        </x:is>
      </x:c>
    </x:row>
    <x:row r="297" ht="18" customHeight="1">
      <x:c r="A297" s="31" t="inlineStr">
        <x:is>
          <x:t xml:space="preserve">СМ-00315</x:t>
        </x:is>
      </x:c>
      <x:c r="B297" s="31" t="n">
        <x:v>46152</x:v>
      </x:c>
      <x:c r="C297" s="31" t="inlineStr">
        <x:is>
          <x:t xml:space="preserve">Вечер</x:t>
        </x:is>
      </x:c>
      <x:c r="D297" s="31" t="inlineStr">
        <x:is>
          <x:t xml:space="preserve">ПЗ-00167</x:t>
        </x:is>
      </x:c>
      <x:c r="E297" s="31" t="inlineStr">
        <x:is>
          <x:t xml:space="preserve">ОП-001391</x:t>
        </x:is>
      </x:c>
      <x:c r="F297" s="31" t="inlineStr">
        <x:is>
          <x:t xml:space="preserve">ОБ-015</x:t>
        </x:is>
      </x:c>
      <x:c r="G297" s="31" t="inlineStr">
        <x:is>
          <x:t xml:space="preserve">СОТР-092</x:t>
        </x:is>
      </x:c>
      <x:c r="H297" s="31" t="inlineStr">
        <x:is>
          <x:t xml:space="preserve">ОТК</x:t>
        </x:is>
      </x:c>
      <x:c r="I297" s="31" t="n">
        <x:v>5</x:v>
      </x:c>
      <x:c r="J297" s="31" t="n">
        <x:v>5</x:v>
      </x:c>
      <x:c r="K297" s="31" t="n">
        <x:v>95.5</x:v>
      </x:c>
      <x:c r="L297" s="31" t="n">
        <x:v>82.40000000000001</x:v>
      </x:c>
      <x:c r="M297" s="31" t="n">
        <x:v>60</x:v>
      </x:c>
      <x:c r="N297" s="31" t="inlineStr">
        <x:is>
          <x:t xml:space="preserve">Переналадка</x:t>
        </x:is>
      </x:c>
      <x:c r="O297" s="31" t="inlineStr">
        <x:is>
          <x:t xml:space="preserve">Подтверждено мастером</x:t>
        </x:is>
      </x:c>
      <x:c r="P297" s="31" t="inlineStr">
        <x:is>
          <x:t xml:space="preserve">Комментарий смены 315</x:t>
        </x:is>
      </x:c>
    </x:row>
    <x:row r="298" ht="18" customHeight="1">
      <x:c r="A298" s="31" t="inlineStr">
        <x:is>
          <x:t xml:space="preserve">СМ-00316</x:t>
        </x:is>
      </x:c>
      <x:c r="B298" s="31" t="n">
        <x:v>46068</x:v>
      </x:c>
      <x:c r="C298" s="31" t="inlineStr">
        <x:is>
          <x:t xml:space="preserve">Ночь</x:t>
        </x:is>
      </x:c>
      <x:c r="D298" s="31" t="inlineStr">
        <x:is>
          <x:t xml:space="preserve">ПЗ-00092</x:t>
        </x:is>
      </x:c>
      <x:c r="E298" s="31" t="inlineStr">
        <x:is>
          <x:t xml:space="preserve">ОП-000780</x:t>
        </x:is>
      </x:c>
      <x:c r="F298" s="31" t="inlineStr">
        <x:is>
          <x:t xml:space="preserve">ОБ-028</x:t>
        </x:is>
      </x:c>
      <x:c r="G298" s="31" t="inlineStr">
        <x:is>
          <x:t xml:space="preserve">СОТР-100</x:t>
        </x:is>
      </x:c>
      <x:c r="H298" s="31" t="inlineStr">
        <x:is>
          <x:t xml:space="preserve">ОТК</x:t>
        </x:is>
      </x:c>
      <x:c r="I298" s="31" t="n">
        <x:v>2</x:v>
      </x:c>
      <x:c r="J298" s="31" t="n">
        <x:v>2</x:v>
      </x:c>
      <x:c r="K298" s="31" t="n">
        <x:v>3.6</x:v>
      </x:c>
      <x:c r="L298" s="31" t="n">
        <x:v>3.1</x:v>
      </x:c>
      <x:c r="M298" s="31" t="n">
        <x:v>0</x:v>
      </x:c>
      <x:c r="N298" s="31" t="inlineStr">
        <x:is>
          <x:t xml:space="preserve">Нет</x:t>
        </x:is>
      </x:c>
      <x:c r="O298" s="31" t="inlineStr">
        <x:is>
          <x:t xml:space="preserve">Подтверждено мастером</x:t>
        </x:is>
      </x:c>
      <x:c r="P298" s="31" t="inlineStr">
        <x:is>
          <x:t xml:space="preserve">Комментарий смены 316</x:t>
        </x:is>
      </x:c>
    </x:row>
    <x:row r="299" ht="18" customHeight="1">
      <x:c r="A299" s="31" t="inlineStr">
        <x:is>
          <x:t xml:space="preserve">СМ-00317</x:t>
        </x:is>
      </x:c>
      <x:c r="B299" s="31" t="n">
        <x:v>46237</x:v>
      </x:c>
      <x:c r="C299" s="31" t="inlineStr">
        <x:is>
          <x:t xml:space="preserve">День</x:t>
        </x:is>
      </x:c>
      <x:c r="D299" s="31" t="inlineStr">
        <x:is>
          <x:t xml:space="preserve">ПЗ-00156</x:t>
        </x:is>
      </x:c>
      <x:c r="E299" s="31" t="inlineStr">
        <x:is>
          <x:t xml:space="preserve">ОП-001293</x:t>
        </x:is>
      </x:c>
      <x:c r="F299" s="31" t="n"/>
      <x:c r="G299" s="31" t="inlineStr">
        <x:is>
          <x:t xml:space="preserve">СОТР-103</x:t>
        </x:is>
      </x:c>
      <x:c r="H299" s="31" t="inlineStr">
        <x:is>
          <x:t xml:space="preserve">Логистика</x:t>
        </x:is>
      </x:c>
      <x:c r="I299" s="31" t="n">
        <x:v>1</x:v>
      </x:c>
      <x:c r="J299" s="31" t="n">
        <x:v>2</x:v>
      </x:c>
      <x:c r="K299" s="31" t="n">
        <x:v>40</x:v>
      </x:c>
      <x:c r="L299" s="31" t="n">
        <x:v>36.3</x:v>
      </x:c>
      <x:c r="M299" s="31" t="n">
        <x:v>0</x:v>
      </x:c>
      <x:c r="N299" s="31" t="inlineStr">
        <x:is>
          <x:t xml:space="preserve">Нет</x:t>
        </x:is>
      </x:c>
      <x:c r="O299" s="31" t="inlineStr">
        <x:is>
          <x:t xml:space="preserve">Подтверждено мастером</x:t>
        </x:is>
      </x:c>
      <x:c r="P299" s="31" t="inlineStr">
        <x:is>
          <x:t xml:space="preserve">Комментарий смены 317</x:t>
        </x:is>
      </x:c>
    </x:row>
    <x:row r="300" ht="18" customHeight="1">
      <x:c r="A300" s="31" t="inlineStr">
        <x:is>
          <x:t xml:space="preserve">СМ-00318</x:t>
        </x:is>
      </x:c>
      <x:c r="B300" s="31" t="n">
        <x:v>46063</x:v>
      </x:c>
      <x:c r="C300" s="31" t="inlineStr">
        <x:is>
          <x:t xml:space="preserve">Вечер</x:t>
        </x:is>
      </x:c>
      <x:c r="D300" s="31" t="inlineStr">
        <x:is>
          <x:t xml:space="preserve">ПЗ-00145</x:t>
        </x:is>
      </x:c>
      <x:c r="E300" s="31" t="inlineStr">
        <x:is>
          <x:t xml:space="preserve">ОП-001203</x:t>
        </x:is>
      </x:c>
      <x:c r="F300" s="31" t="n"/>
      <x:c r="G300" s="31" t="inlineStr">
        <x:is>
          <x:t xml:space="preserve">СОТР-016</x:t>
        </x:is>
      </x:c>
      <x:c r="H300" s="31" t="inlineStr">
        <x:is>
          <x:t xml:space="preserve">Инженерный отдел</x:t>
        </x:is>
      </x:c>
      <x:c r="I300" s="31" t="n">
        <x:v>1</x:v>
      </x:c>
      <x:c r="J300" s="31" t="n">
        <x:v>0</x:v>
      </x:c>
      <x:c r="K300" s="31" t="n">
        <x:v>40.2</x:v>
      </x:c>
      <x:c r="L300" s="31" t="n">
        <x:v>29.9</x:v>
      </x:c>
      <x:c r="M300" s="31" t="n">
        <x:v>120</x:v>
      </x:c>
      <x:c r="N300" s="31" t="inlineStr">
        <x:is>
          <x:t xml:space="preserve">Ожидание материала</x:t>
        </x:is>
      </x:c>
      <x:c r="O300" s="31" t="inlineStr">
        <x:is>
          <x:t xml:space="preserve">Подтверждено мастером</x:t>
        </x:is>
      </x:c>
      <x:c r="P300" s="31" t="inlineStr">
        <x:is>
          <x:t xml:space="preserve">Комментарий смены 318</x:t>
        </x:is>
      </x:c>
    </x:row>
    <x:row r="301">
      <x:c r="A301" s="31" t="inlineStr">
        <x:is>
          <x:t xml:space="preserve">СМ-00319</x:t>
        </x:is>
      </x:c>
      <x:c r="B301" s="31" t="n">
        <x:v>46116</x:v>
      </x:c>
      <x:c r="C301" s="31" t="inlineStr">
        <x:is>
          <x:t xml:space="preserve">День</x:t>
        </x:is>
      </x:c>
      <x:c r="D301" s="31" t="inlineStr">
        <x:is>
          <x:t xml:space="preserve">ПЗ-00232</x:t>
        </x:is>
      </x:c>
      <x:c r="E301" s="31" t="inlineStr">
        <x:is>
          <x:t xml:space="preserve">ОП-001940</x:t>
        </x:is>
      </x:c>
      <x:c r="F301" s="31" t="inlineStr">
        <x:is>
          <x:t xml:space="preserve">ОБ-018</x:t>
        </x:is>
      </x:c>
      <x:c r="G301" s="31" t="inlineStr">
        <x:is>
          <x:t xml:space="preserve">СОТР-066</x:t>
        </x:is>
      </x:c>
      <x:c r="H301" s="31" t="inlineStr">
        <x:is>
          <x:t xml:space="preserve">Сварка</x:t>
        </x:is>
      </x:c>
      <x:c r="I301" s="31" t="n">
        <x:v>2</x:v>
      </x:c>
      <x:c r="J301" s="31" t="n">
        <x:v>2</x:v>
      </x:c>
      <x:c r="K301" s="31" t="n">
        <x:v>15.9</x:v>
      </x:c>
      <x:c r="L301" s="31" t="n">
        <x:v>18.3</x:v>
      </x:c>
      <x:c r="M301" s="31" t="n">
        <x:v>90</x:v>
      </x:c>
      <x:c r="N301" s="31" t="inlineStr">
        <x:is>
          <x:t xml:space="preserve">Нет оператора</x:t>
        </x:is>
      </x:c>
      <x:c r="O301" s="31" t="inlineStr">
        <x:is>
          <x:t xml:space="preserve">Спорный факт</x:t>
        </x:is>
      </x:c>
      <x:c r="P301" s="31" t="inlineStr">
        <x:is>
          <x:t xml:space="preserve">Комментарий смены 319</x:t>
        </x:is>
      </x:c>
    </x:row>
    <x:row r="302">
      <x:c r="A302" s="31" t="inlineStr">
        <x:is>
          <x:t xml:space="preserve">СМ-00320</x:t>
        </x:is>
      </x:c>
      <x:c r="B302" s="31" t="n">
        <x:v>46048</x:v>
      </x:c>
      <x:c r="C302" s="31" t="inlineStr">
        <x:is>
          <x:t xml:space="preserve">День</x:t>
        </x:is>
      </x:c>
      <x:c r="D302" s="31" t="inlineStr">
        <x:is>
          <x:t xml:space="preserve">ПЗ-00029</x:t>
        </x:is>
      </x:c>
      <x:c r="E302" s="31" t="inlineStr">
        <x:is>
          <x:t xml:space="preserve">ОП-000250</x:t>
        </x:is>
      </x:c>
      <x:c r="F302" s="31" t="inlineStr">
        <x:is>
          <x:t xml:space="preserve">ОБ-031</x:t>
        </x:is>
      </x:c>
      <x:c r="G302" s="31" t="inlineStr">
        <x:is>
          <x:t xml:space="preserve">СОТР-055</x:t>
        </x:is>
      </x:c>
      <x:c r="H302" s="31" t="inlineStr">
        <x:is>
          <x:t xml:space="preserve">Механообработка</x:t>
        </x:is>
      </x:c>
      <x:c r="I302" s="31" t="n">
        <x:v>2</x:v>
      </x:c>
      <x:c r="J302" s="31" t="n">
        <x:v>2</x:v>
      </x:c>
      <x:c r="K302" s="31" t="n">
        <x:v>2.8</x:v>
      </x:c>
      <x:c r="L302" s="31" t="n">
        <x:v>3.2</x:v>
      </x:c>
      <x:c r="M302" s="31" t="n">
        <x:v>45</x:v>
      </x:c>
      <x:c r="N302" s="31" t="inlineStr">
        <x:is>
          <x:t xml:space="preserve">Ожидание ОТК</x:t>
        </x:is>
      </x:c>
      <x:c r="O302" s="31" t="inlineStr">
        <x:is>
          <x:t xml:space="preserve">Подтверждено мастером</x:t>
        </x:is>
      </x:c>
      <x:c r="P302" s="31" t="inlineStr">
        <x:is>
          <x:t xml:space="preserve">Комментарий смены 320</x:t>
        </x:is>
      </x:c>
    </x:row>
    <x:row r="303">
      <x:c r="A303" s="31" t="inlineStr">
        <x:is>
          <x:t xml:space="preserve">СМ-00323</x:t>
        </x:is>
      </x:c>
      <x:c r="B303" s="31" t="n">
        <x:v>46125</x:v>
      </x:c>
      <x:c r="C303" s="31" t="inlineStr">
        <x:is>
          <x:t xml:space="preserve">День</x:t>
        </x:is>
      </x:c>
      <x:c r="D303" s="31" t="inlineStr">
        <x:is>
          <x:t xml:space="preserve">ПЗ-00193</x:t>
        </x:is>
      </x:c>
      <x:c r="E303" s="31" t="inlineStr">
        <x:is>
          <x:t xml:space="preserve">ОП-001614</x:t>
        </x:is>
      </x:c>
      <x:c r="F303" s="31" t="inlineStr">
        <x:is>
          <x:t xml:space="preserve">ОБ-012</x:t>
        </x:is>
      </x:c>
      <x:c r="G303" s="31" t="inlineStr">
        <x:is>
          <x:t xml:space="preserve">СОТР-086</x:t>
        </x:is>
      </x:c>
      <x:c r="H303" s="31" t="inlineStr">
        <x:is>
          <x:t xml:space="preserve">Сборка</x:t>
        </x:is>
      </x:c>
      <x:c r="I303" s="31" t="n">
        <x:v>1</x:v>
      </x:c>
      <x:c r="J303" s="31" t="n">
        <x:v>1</x:v>
      </x:c>
      <x:c r="K303" s="31" t="n">
        <x:v>14</x:v>
      </x:c>
      <x:c r="L303" s="31" t="n">
        <x:v>18.7</x:v>
      </x:c>
      <x:c r="M303" s="31" t="n">
        <x:v>60</x:v>
      </x:c>
      <x:c r="N303" s="31" t="inlineStr">
        <x:is>
          <x:t xml:space="preserve">Переналадка</x:t>
        </x:is>
      </x:c>
      <x:c r="O303" s="31" t="inlineStr">
        <x:is>
          <x:t xml:space="preserve">Подтверждено мастером</x:t>
        </x:is>
      </x:c>
      <x:c r="P303" s="31" t="inlineStr">
        <x:is>
          <x:t xml:space="preserve">Комментарий смены 323</x:t>
        </x:is>
      </x:c>
    </x:row>
    <x:row r="304">
      <x:c r="A304" s="31" t="inlineStr">
        <x:is>
          <x:t xml:space="preserve">СМ-00324</x:t>
        </x:is>
      </x:c>
      <x:c r="B304" s="31" t="n">
        <x:v>46047</x:v>
      </x:c>
      <x:c r="C304" s="31" t="inlineStr">
        <x:is>
          <x:t xml:space="preserve">Ночь</x:t>
        </x:is>
      </x:c>
      <x:c r="D304" s="31" t="inlineStr">
        <x:is>
          <x:t xml:space="preserve">ПЗ-00029</x:t>
        </x:is>
      </x:c>
      <x:c r="E304" s="31" t="inlineStr">
        <x:is>
          <x:t xml:space="preserve">ОП-000249</x:t>
        </x:is>
      </x:c>
      <x:c r="F304" s="31" t="inlineStr">
        <x:is>
          <x:t xml:space="preserve">ОБ-004</x:t>
        </x:is>
      </x:c>
      <x:c r="G304" s="31" t="inlineStr">
        <x:is>
          <x:t xml:space="preserve">СОТР-071</x:t>
        </x:is>
      </x:c>
      <x:c r="H304" s="31" t="inlineStr">
        <x:is>
          <x:t xml:space="preserve">Сварка</x:t>
        </x:is>
      </x:c>
      <x:c r="I304" s="31" t="n">
        <x:v>1</x:v>
      </x:c>
      <x:c r="J304" s="31" t="n">
        <x:v>1</x:v>
      </x:c>
      <x:c r="K304" s="31" t="n">
        <x:v>14.2</x:v>
      </x:c>
      <x:c r="L304" s="31" t="n">
        <x:v>19</x:v>
      </x:c>
      <x:c r="M304" s="31" t="n">
        <x:v>0</x:v>
      </x:c>
      <x:c r="N304" s="31" t="inlineStr">
        <x:is>
          <x:t xml:space="preserve">Нет</x:t>
        </x:is>
      </x:c>
      <x:c r="O304" s="31" t="inlineStr">
        <x:is>
          <x:t xml:space="preserve">Спорный факт</x:t>
        </x:is>
      </x:c>
      <x:c r="P304" s="31" t="inlineStr">
        <x:is>
          <x:t xml:space="preserve">Комментарий смены 324</x:t>
        </x:is>
      </x:c>
    </x:row>
    <x:row r="305">
      <x:c r="A305" s="31" t="inlineStr">
        <x:is>
          <x:t xml:space="preserve">СМ-00325</x:t>
        </x:is>
      </x:c>
      <x:c r="B305" s="31" t="n">
        <x:v>46196</x:v>
      </x:c>
      <x:c r="C305" s="31" t="inlineStr">
        <x:is>
          <x:t xml:space="preserve">День</x:t>
        </x:is>
      </x:c>
      <x:c r="D305" s="31" t="inlineStr">
        <x:is>
          <x:t xml:space="preserve">ПЗ-00149</x:t>
        </x:is>
      </x:c>
      <x:c r="E305" s="31" t="inlineStr">
        <x:is>
          <x:t xml:space="preserve">ОП-001238</x:t>
        </x:is>
      </x:c>
      <x:c r="F305" s="31" t="inlineStr">
        <x:is>
          <x:t xml:space="preserve">ОБ-025</x:t>
        </x:is>
      </x:c>
      <x:c r="G305" s="31" t="inlineStr">
        <x:is>
          <x:t xml:space="preserve">СОТР-035</x:t>
        </x:is>
      </x:c>
      <x:c r="H305" s="31" t="inlineStr">
        <x:is>
          <x:t xml:space="preserve">Склад</x:t>
        </x:is>
      </x:c>
      <x:c r="I305" s="31" t="n">
        <x:v>1</x:v>
      </x:c>
      <x:c r="J305" s="31" t="n">
        <x:v>2</x:v>
      </x:c>
      <x:c r="K305" s="31" t="n">
        <x:v>47.6</x:v>
      </x:c>
      <x:c r="L305" s="31" t="n">
        <x:v>35.7</x:v>
      </x:c>
      <x:c r="M305" s="31" t="n">
        <x:v>90</x:v>
      </x:c>
      <x:c r="N305" s="31" t="inlineStr">
        <x:is>
          <x:t xml:space="preserve">Ожидание ОТК</x:t>
        </x:is>
      </x:c>
      <x:c r="O305" s="31" t="inlineStr">
        <x:is>
          <x:t xml:space="preserve">Подтверждено мастером</x:t>
        </x:is>
      </x:c>
      <x:c r="P305" s="31" t="inlineStr">
        <x:is>
          <x:t xml:space="preserve">Комментарий смены 325</x:t>
        </x:is>
      </x:c>
    </x:row>
    <x:row r="306">
      <x:c r="A306" s="31" t="inlineStr">
        <x:is>
          <x:t xml:space="preserve">СМ-00326</x:t>
        </x:is>
      </x:c>
      <x:c r="B306" s="31" t="n">
        <x:v>46159</x:v>
      </x:c>
      <x:c r="C306" s="31" t="inlineStr">
        <x:is>
          <x:t xml:space="preserve">Ночь</x:t>
        </x:is>
      </x:c>
      <x:c r="D306" s="31" t="inlineStr">
        <x:is>
          <x:t xml:space="preserve">ПЗ-00187</x:t>
        </x:is>
      </x:c>
      <x:c r="E306" s="31" t="inlineStr">
        <x:is>
          <x:t xml:space="preserve">ОП-001562</x:t>
        </x:is>
      </x:c>
      <x:c r="F306" s="31" t="inlineStr">
        <x:is>
          <x:t xml:space="preserve">ОБ-015</x:t>
        </x:is>
      </x:c>
      <x:c r="G306" s="31" t="inlineStr">
        <x:is>
          <x:t xml:space="preserve">СОТР-099</x:t>
        </x:is>
      </x:c>
      <x:c r="H306" s="31" t="inlineStr">
        <x:is>
          <x:t xml:space="preserve">ОТК</x:t>
        </x:is>
      </x:c>
      <x:c r="I306" s="31" t="n">
        <x:v>1</x:v>
      </x:c>
      <x:c r="J306" s="31" t="n">
        <x:v>1</x:v>
      </x:c>
      <x:c r="K306" s="31" t="n">
        <x:v>28.2</x:v>
      </x:c>
      <x:c r="L306" s="31" t="n">
        <x:v>24</x:v>
      </x:c>
      <x:c r="M306" s="31" t="n">
        <x:v>0</x:v>
      </x:c>
      <x:c r="N306" s="31" t="inlineStr">
        <x:is>
          <x:t xml:space="preserve">Нет</x:t>
        </x:is>
      </x:c>
      <x:c r="O306" s="31" t="inlineStr">
        <x:is>
          <x:t xml:space="preserve">Подтверждено мастером</x:t>
        </x:is>
      </x:c>
      <x:c r="P306" s="31" t="inlineStr">
        <x:is>
          <x:t xml:space="preserve">Комментарий смены 326</x:t>
        </x:is>
      </x:c>
    </x:row>
    <x:row r="307">
      <x:c r="A307" s="31" t="inlineStr">
        <x:is>
          <x:t xml:space="preserve">СМ-00327</x:t>
        </x:is>
      </x:c>
      <x:c r="B307" s="31" t="n">
        <x:v>46153</x:v>
      </x:c>
      <x:c r="C307" s="31" t="inlineStr">
        <x:is>
          <x:t xml:space="preserve">День</x:t>
        </x:is>
      </x:c>
      <x:c r="D307" s="31" t="inlineStr">
        <x:is>
          <x:t xml:space="preserve">ПЗ-00061</x:t>
        </x:is>
      </x:c>
      <x:c r="E307" s="31" t="inlineStr">
        <x:is>
          <x:t xml:space="preserve">ОП-000510</x:t>
        </x:is>
      </x:c>
      <x:c r="F307" s="31" t="n"/>
      <x:c r="G307" s="31" t="inlineStr">
        <x:is>
          <x:t xml:space="preserve">СОТР-016</x:t>
        </x:is>
      </x:c>
      <x:c r="H307" s="31" t="inlineStr">
        <x:is>
          <x:t xml:space="preserve">Инженерный отдел</x:t>
        </x:is>
      </x:c>
      <x:c r="I307" s="31" t="n">
        <x:v>3</x:v>
      </x:c>
      <x:c r="J307" s="31" t="n">
        <x:v>3</x:v>
      </x:c>
      <x:c r="K307" s="31" t="n">
        <x:v>21</x:v>
      </x:c>
      <x:c r="L307" s="31" t="n">
        <x:v>17.7</x:v>
      </x:c>
      <x:c r="M307" s="31" t="n">
        <x:v>15</x:v>
      </x:c>
      <x:c r="N307" s="31" t="inlineStr">
        <x:is>
          <x:t xml:space="preserve">Ремонт оборудования</x:t>
        </x:is>
      </x:c>
      <x:c r="O307" s="31" t="inlineStr">
        <x:is>
          <x:t xml:space="preserve">Подтверждено мастером</x:t>
        </x:is>
      </x:c>
      <x:c r="P307" s="31" t="inlineStr">
        <x:is>
          <x:t xml:space="preserve">Комментарий смены 327</x:t>
        </x:is>
      </x:c>
    </x:row>
    <x:row r="308">
      <x:c r="A308" s="31" t="inlineStr">
        <x:is>
          <x:t xml:space="preserve">СМ-00328</x:t>
        </x:is>
      </x:c>
      <x:c r="B308" s="31" t="n">
        <x:v>46121</x:v>
      </x:c>
      <x:c r="C308" s="31" t="inlineStr">
        <x:is>
          <x:t xml:space="preserve">Ночь</x:t>
        </x:is>
      </x:c>
      <x:c r="D308" s="31" t="inlineStr">
        <x:is>
          <x:t xml:space="preserve">ПЗ-00165</x:t>
        </x:is>
      </x:c>
      <x:c r="E308" s="31" t="inlineStr">
        <x:is>
          <x:t xml:space="preserve">ОП-001372</x:t>
        </x:is>
      </x:c>
      <x:c r="F308" s="31" t="inlineStr">
        <x:is>
          <x:t xml:space="preserve">ОБ-011</x:t>
        </x:is>
      </x:c>
      <x:c r="G308" s="31" t="inlineStr">
        <x:is>
          <x:t xml:space="preserve">СОТР-036</x:t>
        </x:is>
      </x:c>
      <x:c r="H308" s="31" t="inlineStr">
        <x:is>
          <x:t xml:space="preserve">Склад</x:t>
        </x:is>
      </x:c>
      <x:c r="I308" s="31" t="n">
        <x:v>7</x:v>
      </x:c>
      <x:c r="J308" s="31" t="n">
        <x:v>7</x:v>
      </x:c>
      <x:c r="K308" s="31" t="n">
        <x:v>54.6</x:v>
      </x:c>
      <x:c r="L308" s="31" t="n">
        <x:v>49.7</x:v>
      </x:c>
      <x:c r="M308" s="31" t="n">
        <x:v>15</x:v>
      </x:c>
      <x:c r="N308" s="31" t="inlineStr">
        <x:is>
          <x:t xml:space="preserve">Ремонт оборудования</x:t>
        </x:is>
      </x:c>
      <x:c r="O308" s="31" t="inlineStr">
        <x:is>
          <x:t xml:space="preserve">Спорный факт</x:t>
        </x:is>
      </x:c>
      <x:c r="P308" s="31" t="inlineStr">
        <x:is>
          <x:t xml:space="preserve">Комментарий смены 328</x:t>
        </x:is>
      </x:c>
    </x:row>
    <x:row r="309">
      <x:c r="A309" s="31" t="inlineStr">
        <x:is>
          <x:t xml:space="preserve">СМ-00329</x:t>
        </x:is>
      </x:c>
      <x:c r="B309" s="31" t="n">
        <x:v>46161</x:v>
      </x:c>
      <x:c r="C309" s="31" t="inlineStr">
        <x:is>
          <x:t xml:space="preserve">Ночь</x:t>
        </x:is>
      </x:c>
      <x:c r="D309" s="31" t="inlineStr">
        <x:is>
          <x:t xml:space="preserve">ПЗ-00141</x:t>
        </x:is>
      </x:c>
      <x:c r="E309" s="31" t="inlineStr">
        <x:is>
          <x:t xml:space="preserve">ОП-001176</x:t>
        </x:is>
      </x:c>
      <x:c r="F309" s="31" t="inlineStr">
        <x:is>
          <x:t xml:space="preserve">ОБ-004</x:t>
        </x:is>
      </x:c>
      <x:c r="G309" s="31" t="inlineStr">
        <x:is>
          <x:t xml:space="preserve">СОТР-062</x:t>
        </x:is>
      </x:c>
      <x:c r="H309" s="31" t="inlineStr">
        <x:is>
          <x:t xml:space="preserve">Сварка</x:t>
        </x:is>
      </x:c>
      <x:c r="I309" s="31" t="n">
        <x:v>2</x:v>
      </x:c>
      <x:c r="J309" s="31" t="n">
        <x:v>0</x:v>
      </x:c>
      <x:c r="K309" s="31" t="n">
        <x:v>5.8</x:v>
      </x:c>
      <x:c r="L309" s="31" t="n">
        <x:v>5.9</x:v>
      </x:c>
      <x:c r="M309" s="31" t="n">
        <x:v>0</x:v>
      </x:c>
      <x:c r="N309" s="31" t="inlineStr">
        <x:is>
          <x:t xml:space="preserve">Нет</x:t>
        </x:is>
      </x:c>
      <x:c r="O309" s="31" t="inlineStr">
        <x:is>
          <x:t xml:space="preserve">Подтверждено мастером</x:t>
        </x:is>
      </x:c>
      <x:c r="P309" s="31" t="inlineStr">
        <x:is>
          <x:t xml:space="preserve">Комментарий смены 329</x:t>
        </x:is>
      </x:c>
    </x:row>
    <x:row r="310">
      <x:c r="A310" s="31" t="inlineStr">
        <x:is>
          <x:t xml:space="preserve">СМ-00330</x:t>
        </x:is>
      </x:c>
      <x:c r="B310" s="31" t="n">
        <x:v>46145</x:v>
      </x:c>
      <x:c r="C310" s="31" t="inlineStr">
        <x:is>
          <x:t xml:space="preserve">Вечер</x:t>
        </x:is>
      </x:c>
      <x:c r="D310" s="31" t="inlineStr">
        <x:is>
          <x:t xml:space="preserve">ПЗ-00260</x:t>
        </x:is>
      </x:c>
      <x:c r="E310" s="31" t="inlineStr">
        <x:is>
          <x:t xml:space="preserve">ОП-002165</x:t>
        </x:is>
      </x:c>
      <x:c r="F310" s="31" t="inlineStr">
        <x:is>
          <x:t xml:space="preserve">ОБ-015</x:t>
        </x:is>
      </x:c>
      <x:c r="G310" s="31" t="inlineStr">
        <x:is>
          <x:t xml:space="preserve">СОТР-063</x:t>
        </x:is>
      </x:c>
      <x:c r="H310" s="31" t="inlineStr">
        <x:is>
          <x:t xml:space="preserve">ОТК</x:t>
        </x:is>
      </x:c>
      <x:c r="I310" s="31" t="n">
        <x:v>2</x:v>
      </x:c>
      <x:c r="J310" s="31" t="n">
        <x:v>2</x:v>
      </x:c>
      <x:c r="K310" s="31" t="n">
        <x:v>57.3</x:v>
      </x:c>
      <x:c r="L310" s="31" t="n">
        <x:v>68.59999999999999</x:v>
      </x:c>
      <x:c r="M310" s="31" t="n">
        <x:v>30</x:v>
      </x:c>
      <x:c r="N310" s="31" t="inlineStr">
        <x:is>
          <x:t xml:space="preserve">Ожидание материала</x:t>
        </x:is>
      </x:c>
      <x:c r="O310" s="31" t="inlineStr">
        <x:is>
          <x:t xml:space="preserve">Подтверждено мастером</x:t>
        </x:is>
      </x:c>
      <x:c r="P310" s="31" t="inlineStr">
        <x:is>
          <x:t xml:space="preserve">Комментарий смены 330</x:t>
        </x:is>
      </x:c>
    </x:row>
    <x:row r="311">
      <x:c r="A311" s="31" t="inlineStr">
        <x:is>
          <x:t xml:space="preserve">СМ-00331</x:t>
        </x:is>
      </x:c>
      <x:c r="B311" s="31" t="n">
        <x:v>46171</x:v>
      </x:c>
      <x:c r="C311" s="31" t="inlineStr">
        <x:is>
          <x:t xml:space="preserve">День</x:t>
        </x:is>
      </x:c>
      <x:c r="D311" s="31" t="inlineStr">
        <x:is>
          <x:t xml:space="preserve">ПЗ-00002</x:t>
        </x:is>
      </x:c>
      <x:c r="E311" s="31" t="inlineStr">
        <x:is>
          <x:t xml:space="preserve">ОП-000014</x:t>
        </x:is>
      </x:c>
      <x:c r="F311" s="31" t="inlineStr">
        <x:is>
          <x:t xml:space="preserve">ОБ-027</x:t>
        </x:is>
      </x:c>
      <x:c r="G311" s="31" t="inlineStr">
        <x:is>
          <x:t xml:space="preserve">СОТР-077</x:t>
        </x:is>
      </x:c>
      <x:c r="H311" s="31" t="inlineStr">
        <x:is>
          <x:t xml:space="preserve">Сборка</x:t>
        </x:is>
      </x:c>
      <x:c r="I311" s="31" t="n">
        <x:v>1</x:v>
      </x:c>
      <x:c r="J311" s="31" t="n">
        <x:v>0</x:v>
      </x:c>
      <x:c r="K311" s="31" t="n">
        <x:v>18.5</x:v>
      </x:c>
      <x:c r="L311" s="31" t="n">
        <x:v>14.8</x:v>
      </x:c>
      <x:c r="M311" s="31" t="n">
        <x:v>120</x:v>
      </x:c>
      <x:c r="N311" s="31" t="inlineStr">
        <x:is>
          <x:t xml:space="preserve">Ремонт оборудования</x:t>
        </x:is>
      </x:c>
      <x:c r="O311" s="31" t="inlineStr">
        <x:is>
          <x:t xml:space="preserve">Подтверждено мастером</x:t>
        </x:is>
      </x:c>
      <x:c r="P311" s="31" t="inlineStr">
        <x:is>
          <x:t xml:space="preserve">Комментарий смены 331</x:t>
        </x:is>
      </x:c>
    </x:row>
    <x:row r="312">
      <x:c r="A312" s="31" t="inlineStr">
        <x:is>
          <x:t xml:space="preserve">СМ-00332</x:t>
        </x:is>
      </x:c>
      <x:c r="B312" s="31" t="n">
        <x:v>46072</x:v>
      </x:c>
      <x:c r="C312" s="31" t="inlineStr">
        <x:is>
          <x:t xml:space="preserve">Вечер</x:t>
        </x:is>
      </x:c>
      <x:c r="D312" s="31" t="inlineStr">
        <x:is>
          <x:t xml:space="preserve">ПЗ-00093</x:t>
        </x:is>
      </x:c>
      <x:c r="E312" s="31" t="inlineStr">
        <x:is>
          <x:t xml:space="preserve">ОП-000785</x:t>
        </x:is>
      </x:c>
      <x:c r="F312" s="31" t="n"/>
      <x:c r="G312" s="31" t="inlineStr">
        <x:is>
          <x:t xml:space="preserve">СОТР-104</x:t>
        </x:is>
      </x:c>
      <x:c r="H312" s="31" t="inlineStr">
        <x:is>
          <x:t xml:space="preserve">Логистика</x:t>
        </x:is>
      </x:c>
      <x:c r="I312" s="31" t="n">
        <x:v>5</x:v>
      </x:c>
      <x:c r="J312" s="31" t="n">
        <x:v>5</x:v>
      </x:c>
      <x:c r="K312" s="31" t="n">
        <x:v>114</x:v>
      </x:c>
      <x:c r="L312" s="31" t="n">
        <x:v>119.5</x:v>
      </x:c>
      <x:c r="M312" s="31" t="n">
        <x:v>60</x:v>
      </x:c>
      <x:c r="N312" s="31" t="inlineStr">
        <x:is>
          <x:t xml:space="preserve">Ремонт оборудования</x:t>
        </x:is>
      </x:c>
      <x:c r="O312" s="31" t="inlineStr">
        <x:is>
          <x:t xml:space="preserve">Черновик</x:t>
        </x:is>
      </x:c>
      <x:c r="P312" s="31" t="inlineStr">
        <x:is>
          <x:t xml:space="preserve">Комментарий смены 332</x:t>
        </x:is>
      </x:c>
    </x:row>
    <x:row r="313">
      <x:c r="A313" s="31" t="inlineStr">
        <x:is>
          <x:t xml:space="preserve">СМ-00333</x:t>
        </x:is>
      </x:c>
      <x:c r="B313" s="31" t="n">
        <x:v>46079</x:v>
      </x:c>
      <x:c r="C313" s="31" t="inlineStr">
        <x:is>
          <x:t xml:space="preserve">День</x:t>
        </x:is>
      </x:c>
      <x:c r="D313" s="31" t="inlineStr">
        <x:is>
          <x:t xml:space="preserve">ПЗ-00021</x:t>
        </x:is>
      </x:c>
      <x:c r="E313" s="31" t="inlineStr">
        <x:is>
          <x:t xml:space="preserve">ОП-000175</x:t>
        </x:is>
      </x:c>
      <x:c r="F313" s="31" t="inlineStr">
        <x:is>
          <x:t xml:space="preserve">ОБ-035</x:t>
        </x:is>
      </x:c>
      <x:c r="G313" s="31" t="inlineStr">
        <x:is>
          <x:t xml:space="preserve">СОТР-057</x:t>
        </x:is>
      </x:c>
      <x:c r="H313" s="31" t="inlineStr">
        <x:is>
          <x:t xml:space="preserve">Сварка</x:t>
        </x:is>
      </x:c>
      <x:c r="I313" s="31" t="n">
        <x:v>3</x:v>
      </x:c>
      <x:c r="J313" s="31" t="n">
        <x:v>0</x:v>
      </x:c>
      <x:c r="K313" s="31" t="n">
        <x:v>12.5</x:v>
      </x:c>
      <x:c r="L313" s="31" t="n">
        <x:v>11.9</x:v>
      </x:c>
      <x:c r="M313" s="31" t="n">
        <x:v>0</x:v>
      </x:c>
      <x:c r="N313" s="31" t="inlineStr">
        <x:is>
          <x:t xml:space="preserve">Нет</x:t>
        </x:is>
      </x:c>
      <x:c r="O313" s="31" t="inlineStr">
        <x:is>
          <x:t xml:space="preserve">Черновик</x:t>
        </x:is>
      </x:c>
      <x:c r="P313" s="31" t="inlineStr">
        <x:is>
          <x:t xml:space="preserve">Комментарий смены 333</x:t>
        </x:is>
      </x:c>
    </x:row>
    <x:row r="314">
      <x:c r="A314" s="31" t="inlineStr">
        <x:is>
          <x:t xml:space="preserve">СМ-00334</x:t>
        </x:is>
      </x:c>
      <x:c r="B314" s="31" t="n">
        <x:v>46132</x:v>
      </x:c>
      <x:c r="C314" s="31" t="inlineStr">
        <x:is>
          <x:t xml:space="preserve">Вечер</x:t>
        </x:is>
      </x:c>
      <x:c r="D314" s="31" t="inlineStr">
        <x:is>
          <x:t xml:space="preserve">ПЗ-00007</x:t>
        </x:is>
      </x:c>
      <x:c r="E314" s="31" t="inlineStr">
        <x:is>
          <x:t xml:space="preserve">ОП-000051</x:t>
        </x:is>
      </x:c>
      <x:c r="F314" s="31" t="inlineStr">
        <x:is>
          <x:t xml:space="preserve">ОБ-003</x:t>
        </x:is>
      </x:c>
      <x:c r="G314" s="31" t="inlineStr">
        <x:is>
          <x:t xml:space="preserve">СОТР-056</x:t>
        </x:is>
      </x:c>
      <x:c r="H314" s="31" t="inlineStr">
        <x:is>
          <x:t xml:space="preserve">Сварка</x:t>
        </x:is>
      </x:c>
      <x:c r="I314" s="31" t="n">
        <x:v>4</x:v>
      </x:c>
      <x:c r="J314" s="31" t="n">
        <x:v>5</x:v>
      </x:c>
      <x:c r="K314" s="31" t="n">
        <x:v>56.5</x:v>
      </x:c>
      <x:c r="L314" s="31" t="n">
        <x:v>47.3</x:v>
      </x:c>
      <x:c r="M314" s="31" t="n">
        <x:v>0</x:v>
      </x:c>
      <x:c r="N314" s="31" t="inlineStr">
        <x:is>
          <x:t xml:space="preserve">Нет</x:t>
        </x:is>
      </x:c>
      <x:c r="O314" s="31" t="inlineStr">
        <x:is>
          <x:t xml:space="preserve">Черновик</x:t>
        </x:is>
      </x:c>
      <x:c r="P314" s="31" t="inlineStr">
        <x:is>
          <x:t xml:space="preserve">Комментарий смены 334</x:t>
        </x:is>
      </x:c>
    </x:row>
    <x:row r="315">
      <x:c r="A315" s="31" t="inlineStr">
        <x:is>
          <x:t xml:space="preserve">СМ-00336</x:t>
        </x:is>
      </x:c>
      <x:c r="B315" s="31" t="n">
        <x:v>46121</x:v>
      </x:c>
      <x:c r="C315" s="31" t="inlineStr">
        <x:is>
          <x:t xml:space="preserve">День</x:t>
        </x:is>
      </x:c>
      <x:c r="D315" s="31" t="inlineStr">
        <x:is>
          <x:t xml:space="preserve">ПЗ-00111</x:t>
        </x:is>
      </x:c>
      <x:c r="E315" s="31" t="inlineStr">
        <x:is>
          <x:t xml:space="preserve">ОП-000931</x:t>
        </x:is>
      </x:c>
      <x:c r="F315" s="31" t="inlineStr">
        <x:is>
          <x:t xml:space="preserve">ОБ-009</x:t>
        </x:is>
      </x:c>
      <x:c r="G315" s="31" t="inlineStr">
        <x:is>
          <x:t xml:space="preserve">СОТР-033</x:t>
        </x:is>
      </x:c>
      <x:c r="H315" s="31" t="inlineStr">
        <x:is>
          <x:t xml:space="preserve">Склад</x:t>
        </x:is>
      </x:c>
      <x:c r="I315" s="31" t="n">
        <x:v>1</x:v>
      </x:c>
      <x:c r="J315" s="31" t="n">
        <x:v>0</x:v>
      </x:c>
      <x:c r="K315" s="31" t="n">
        <x:v>13.8</x:v>
      </x:c>
      <x:c r="L315" s="31" t="n">
        <x:v>14.6</x:v>
      </x:c>
      <x:c r="M315" s="31" t="n">
        <x:v>30</x:v>
      </x:c>
      <x:c r="N315" s="31" t="inlineStr">
        <x:is>
          <x:t xml:space="preserve">Переналадка</x:t>
        </x:is>
      </x:c>
      <x:c r="O315" s="31" t="inlineStr">
        <x:is>
          <x:t xml:space="preserve">Закрыто</x:t>
        </x:is>
      </x:c>
      <x:c r="P315" s="31" t="inlineStr">
        <x:is>
          <x:t xml:space="preserve">Комментарий смены 336</x:t>
        </x:is>
      </x:c>
    </x:row>
    <x:row r="316">
      <x:c r="A316" s="31" t="inlineStr">
        <x:is>
          <x:t xml:space="preserve">СМ-00338</x:t>
        </x:is>
      </x:c>
      <x:c r="B316" s="31" t="n">
        <x:v>46204</x:v>
      </x:c>
      <x:c r="C316" s="31" t="inlineStr">
        <x:is>
          <x:t xml:space="preserve">Ночь</x:t>
        </x:is>
      </x:c>
      <x:c r="D316" s="31" t="inlineStr">
        <x:is>
          <x:t xml:space="preserve">ПЗ-00225</x:t>
        </x:is>
      </x:c>
      <x:c r="E316" s="31" t="inlineStr">
        <x:is>
          <x:t xml:space="preserve">ОП-001888</x:t>
        </x:is>
      </x:c>
      <x:c r="F316" s="31" t="inlineStr">
        <x:is>
          <x:t xml:space="preserve">ОБ-021</x:t>
        </x:is>
      </x:c>
      <x:c r="G316" s="31" t="inlineStr">
        <x:is>
          <x:t xml:space="preserve">СОТР-062</x:t>
        </x:is>
      </x:c>
      <x:c r="H316" s="31" t="inlineStr">
        <x:is>
          <x:t xml:space="preserve">Сварка</x:t>
        </x:is>
      </x:c>
      <x:c r="I316" s="31" t="n">
        <x:v>1</x:v>
      </x:c>
      <x:c r="J316" s="31" t="n">
        <x:v>1</x:v>
      </x:c>
      <x:c r="K316" s="31" t="n">
        <x:v>63.5</x:v>
      </x:c>
      <x:c r="L316" s="31" t="n">
        <x:v>76.2</x:v>
      </x:c>
      <x:c r="M316" s="31" t="n">
        <x:v>15</x:v>
      </x:c>
      <x:c r="N316" s="31" t="inlineStr">
        <x:is>
          <x:t xml:space="preserve">Ожидание ОТК</x:t>
        </x:is>
      </x:c>
      <x:c r="O316" s="31" t="inlineStr">
        <x:is>
          <x:t xml:space="preserve">Черновик</x:t>
        </x:is>
      </x:c>
      <x:c r="P316" s="31" t="inlineStr">
        <x:is>
          <x:t xml:space="preserve">Комментарий смены 338</x:t>
        </x:is>
      </x:c>
    </x:row>
    <x:row r="317">
      <x:c r="A317" s="31" t="inlineStr">
        <x:is>
          <x:t xml:space="preserve">СМ-00339</x:t>
        </x:is>
      </x:c>
      <x:c r="B317" s="31" t="n">
        <x:v>46101</x:v>
      </x:c>
      <x:c r="C317" s="31" t="inlineStr">
        <x:is>
          <x:t xml:space="preserve">День</x:t>
        </x:is>
      </x:c>
      <x:c r="D317" s="31" t="inlineStr">
        <x:is>
          <x:t xml:space="preserve">ПЗ-00022</x:t>
        </x:is>
      </x:c>
      <x:c r="E317" s="31" t="inlineStr">
        <x:is>
          <x:t xml:space="preserve">ОП-000190</x:t>
        </x:is>
      </x:c>
      <x:c r="F317" s="31" t="inlineStr">
        <x:is>
          <x:t xml:space="preserve">ОБ-006</x:t>
        </x:is>
      </x:c>
      <x:c r="G317" s="31" t="inlineStr">
        <x:is>
          <x:t xml:space="preserve">СОТР-093</x:t>
        </x:is>
      </x:c>
      <x:c r="H317" s="31" t="inlineStr">
        <x:is>
          <x:t xml:space="preserve">ОТК</x:t>
        </x:is>
      </x:c>
      <x:c r="I317" s="31" t="n">
        <x:v>1</x:v>
      </x:c>
      <x:c r="J317" s="31" t="n">
        <x:v>1</x:v>
      </x:c>
      <x:c r="K317" s="31" t="n">
        <x:v>16</x:v>
      </x:c>
      <x:c r="L317" s="31" t="n">
        <x:v>14.2</x:v>
      </x:c>
      <x:c r="M317" s="31" t="n">
        <x:v>90</x:v>
      </x:c>
      <x:c r="N317" s="31" t="inlineStr">
        <x:is>
          <x:t xml:space="preserve">Ожидание материала</x:t>
        </x:is>
      </x:c>
      <x:c r="O317" s="31" t="inlineStr">
        <x:is>
          <x:t xml:space="preserve">Подтверждено мастером</x:t>
        </x:is>
      </x:c>
      <x:c r="P317" s="31" t="inlineStr">
        <x:is>
          <x:t xml:space="preserve">Комментарий смены 339</x:t>
        </x:is>
      </x:c>
    </x:row>
    <x:row r="318">
      <x:c r="A318" s="31" t="inlineStr">
        <x:is>
          <x:t xml:space="preserve">СМ-00340</x:t>
        </x:is>
      </x:c>
      <x:c r="B318" s="31" t="n">
        <x:v>46196</x:v>
      </x:c>
      <x:c r="C318" s="31" t="inlineStr">
        <x:is>
          <x:t xml:space="preserve">Ночь</x:t>
        </x:is>
      </x:c>
      <x:c r="D318" s="31" t="inlineStr">
        <x:is>
          <x:t xml:space="preserve">ПЗ-00213</x:t>
        </x:is>
      </x:c>
      <x:c r="E318" s="31" t="inlineStr">
        <x:is>
          <x:t xml:space="preserve">ОП-001789</x:t>
        </x:is>
      </x:c>
      <x:c r="F318" s="31" t="inlineStr">
        <x:is>
          <x:t xml:space="preserve">ОБ-015</x:t>
        </x:is>
      </x:c>
      <x:c r="G318" s="31" t="inlineStr">
        <x:is>
          <x:t xml:space="preserve">СОТР-063</x:t>
        </x:is>
      </x:c>
      <x:c r="H318" s="31" t="inlineStr">
        <x:is>
          <x:t xml:space="preserve">ОТК</x:t>
        </x:is>
      </x:c>
      <x:c r="I318" s="31" t="n">
        <x:v>3</x:v>
      </x:c>
      <x:c r="J318" s="31" t="n">
        <x:v>2</x:v>
      </x:c>
      <x:c r="K318" s="31" t="n">
        <x:v>30</x:v>
      </x:c>
      <x:c r="L318" s="31" t="n">
        <x:v>24.1</x:v>
      </x:c>
      <x:c r="M318" s="31" t="n">
        <x:v>0</x:v>
      </x:c>
      <x:c r="N318" s="31" t="inlineStr">
        <x:is>
          <x:t xml:space="preserve">Нет</x:t>
        </x:is>
      </x:c>
      <x:c r="O318" s="31" t="inlineStr">
        <x:is>
          <x:t xml:space="preserve">Подтверждено мастером</x:t>
        </x:is>
      </x:c>
      <x:c r="P318" s="31" t="inlineStr">
        <x:is>
          <x:t xml:space="preserve">Комментарий смены 340</x:t>
        </x:is>
      </x:c>
    </x:row>
    <x:row r="319">
      <x:c r="A319" s="31" t="inlineStr">
        <x:is>
          <x:t xml:space="preserve">СМ-00341</x:t>
        </x:is>
      </x:c>
      <x:c r="B319" s="31" t="n">
        <x:v>46210</x:v>
      </x:c>
      <x:c r="C319" s="31" t="inlineStr">
        <x:is>
          <x:t xml:space="preserve">День</x:t>
        </x:is>
      </x:c>
      <x:c r="D319" s="31" t="inlineStr">
        <x:is>
          <x:t xml:space="preserve">ПЗ-00122</x:t>
        </x:is>
      </x:c>
      <x:c r="E319" s="31" t="inlineStr">
        <x:is>
          <x:t xml:space="preserve">ОП-001027</x:t>
        </x:is>
      </x:c>
      <x:c r="F319" s="31" t="n"/>
      <x:c r="G319" s="31" t="inlineStr">
        <x:is>
          <x:t xml:space="preserve">СОТР-104</x:t>
        </x:is>
      </x:c>
      <x:c r="H319" s="31" t="inlineStr">
        <x:is>
          <x:t xml:space="preserve">Логистика</x:t>
        </x:is>
      </x:c>
      <x:c r="I319" s="31" t="n">
        <x:v>1</x:v>
      </x:c>
      <x:c r="J319" s="31" t="n">
        <x:v>0</x:v>
      </x:c>
      <x:c r="K319" s="31" t="n">
        <x:v>24.8</x:v>
      </x:c>
      <x:c r="L319" s="31" t="n">
        <x:v>22.3</x:v>
      </x:c>
      <x:c r="M319" s="31" t="n">
        <x:v>30</x:v>
      </x:c>
      <x:c r="N319" s="31" t="inlineStr">
        <x:is>
          <x:t xml:space="preserve">Ожидание ОТК</x:t>
        </x:is>
      </x:c>
      <x:c r="O319" s="31" t="inlineStr">
        <x:is>
          <x:t xml:space="preserve">Спорный факт</x:t>
        </x:is>
      </x:c>
      <x:c r="P319" s="31" t="inlineStr">
        <x:is>
          <x:t xml:space="preserve">Комментарий смены 341</x:t>
        </x:is>
      </x:c>
    </x:row>
    <x:row r="320">
      <x:c r="A320" s="31" t="inlineStr">
        <x:is>
          <x:t xml:space="preserve">СМ-00342</x:t>
        </x:is>
      </x:c>
      <x:c r="B320" s="31" t="n">
        <x:v>46140</x:v>
      </x:c>
      <x:c r="C320" s="31" t="inlineStr">
        <x:is>
          <x:t xml:space="preserve">Ночь</x:t>
        </x:is>
      </x:c>
      <x:c r="D320" s="31" t="inlineStr">
        <x:is>
          <x:t xml:space="preserve">ПЗ-00139</x:t>
        </x:is>
      </x:c>
      <x:c r="E320" s="31" t="inlineStr">
        <x:is>
          <x:t xml:space="preserve">ОП-001163</x:t>
        </x:is>
      </x:c>
      <x:c r="F320" s="31" t="inlineStr">
        <x:is>
          <x:t xml:space="preserve">ОБ-006</x:t>
        </x:is>
      </x:c>
      <x:c r="G320" s="31" t="inlineStr">
        <x:is>
          <x:t xml:space="preserve">СОТР-063</x:t>
        </x:is>
      </x:c>
      <x:c r="H320" s="31" t="inlineStr">
        <x:is>
          <x:t xml:space="preserve">ОТК</x:t>
        </x:is>
      </x:c>
      <x:c r="I320" s="31" t="n">
        <x:v>2</x:v>
      </x:c>
      <x:c r="J320" s="31" t="n">
        <x:v>3</x:v>
      </x:c>
      <x:c r="K320" s="31" t="n">
        <x:v>37.6</x:v>
      </x:c>
      <x:c r="L320" s="31" t="n">
        <x:v>39.4</x:v>
      </x:c>
      <x:c r="M320" s="31" t="n">
        <x:v>0</x:v>
      </x:c>
      <x:c r="N320" s="31" t="inlineStr">
        <x:is>
          <x:t xml:space="preserve">Нет</x:t>
        </x:is>
      </x:c>
      <x:c r="O320" s="31" t="inlineStr">
        <x:is>
          <x:t xml:space="preserve">Подтверждено мастером</x:t>
        </x:is>
      </x:c>
      <x:c r="P320" s="31" t="inlineStr">
        <x:is>
          <x:t xml:space="preserve">Комментарий смены 342</x:t>
        </x:is>
      </x:c>
    </x:row>
    <x:row r="321">
      <x:c r="A321" s="31" t="inlineStr">
        <x:is>
          <x:t xml:space="preserve">СМ-00343</x:t>
        </x:is>
      </x:c>
      <x:c r="B321" s="31" t="n">
        <x:v>46174</x:v>
      </x:c>
      <x:c r="C321" s="31" t="inlineStr">
        <x:is>
          <x:t xml:space="preserve">День</x:t>
        </x:is>
      </x:c>
      <x:c r="D321" s="31" t="inlineStr">
        <x:is>
          <x:t xml:space="preserve">ПЗ-00204</x:t>
        </x:is>
      </x:c>
      <x:c r="E321" s="31" t="inlineStr">
        <x:is>
          <x:t xml:space="preserve">ОП-001707</x:t>
        </x:is>
      </x:c>
      <x:c r="F321" s="31" t="inlineStr">
        <x:is>
          <x:t xml:space="preserve">ОБ-027</x:t>
        </x:is>
      </x:c>
      <x:c r="G321" s="31" t="inlineStr">
        <x:is>
          <x:t xml:space="preserve">СОТР-087</x:t>
        </x:is>
      </x:c>
      <x:c r="H321" s="31" t="inlineStr">
        <x:is>
          <x:t xml:space="preserve">Сборка</x:t>
        </x:is>
      </x:c>
      <x:c r="I321" s="31" t="n">
        <x:v>1</x:v>
      </x:c>
      <x:c r="J321" s="31" t="n">
        <x:v>1</x:v>
      </x:c>
      <x:c r="K321" s="31" t="n">
        <x:v>62.4</x:v>
      </x:c>
      <x:c r="L321" s="31" t="n">
        <x:v>72.09999999999999</x:v>
      </x:c>
      <x:c r="M321" s="31" t="n">
        <x:v>0</x:v>
      </x:c>
      <x:c r="N321" s="31" t="inlineStr">
        <x:is>
          <x:t xml:space="preserve">Нет</x:t>
        </x:is>
      </x:c>
      <x:c r="O321" s="31" t="inlineStr">
        <x:is>
          <x:t xml:space="preserve">Подтверждено мастером</x:t>
        </x:is>
      </x:c>
      <x:c r="P321" s="31" t="inlineStr">
        <x:is>
          <x:t xml:space="preserve">Комментарий смены 343</x:t>
        </x:is>
      </x:c>
    </x:row>
    <x:row r="322">
      <x:c r="A322" s="31" t="inlineStr">
        <x:is>
          <x:t xml:space="preserve">СМ-00344</x:t>
        </x:is>
      </x:c>
      <x:c r="B322" s="31" t="n">
        <x:v>46231</x:v>
      </x:c>
      <x:c r="C322" s="31" t="inlineStr">
        <x:is>
          <x:t xml:space="preserve">Ночь</x:t>
        </x:is>
      </x:c>
      <x:c r="D322" s="31" t="inlineStr">
        <x:is>
          <x:t xml:space="preserve">ПЗ-00183</x:t>
        </x:is>
      </x:c>
      <x:c r="E322" s="31" t="inlineStr">
        <x:is>
          <x:t xml:space="preserve">ОП-001525</x:t>
        </x:is>
      </x:c>
      <x:c r="F322" s="31" t="n"/>
      <x:c r="G322" s="31" t="inlineStr">
        <x:is>
          <x:t xml:space="preserve">СОТР-103</x:t>
        </x:is>
      </x:c>
      <x:c r="H322" s="31" t="inlineStr">
        <x:is>
          <x:t xml:space="preserve">Логистика</x:t>
        </x:is>
      </x:c>
      <x:c r="I322" s="31" t="n">
        <x:v>2</x:v>
      </x:c>
      <x:c r="J322" s="31" t="n">
        <x:v>3</x:v>
      </x:c>
      <x:c r="K322" s="31" t="n">
        <x:v>65.59999999999999</x:v>
      </x:c>
      <x:c r="L322" s="31" t="n">
        <x:v>52.6</x:v>
      </x:c>
      <x:c r="M322" s="31" t="n">
        <x:v>0</x:v>
      </x:c>
      <x:c r="N322" s="31" t="inlineStr">
        <x:is>
          <x:t xml:space="preserve">Нет</x:t>
        </x:is>
      </x:c>
      <x:c r="O322" s="31" t="inlineStr">
        <x:is>
          <x:t xml:space="preserve">Подтверждено мастером</x:t>
        </x:is>
      </x:c>
      <x:c r="P322" s="31" t="inlineStr">
        <x:is>
          <x:t xml:space="preserve">Комментарий смены 344</x:t>
        </x:is>
      </x:c>
    </x:row>
    <x:row r="323">
      <x:c r="A323" s="31" t="inlineStr">
        <x:is>
          <x:t xml:space="preserve">СМ-00345</x:t>
        </x:is>
      </x:c>
      <x:c r="B323" s="31" t="n">
        <x:v>46052</x:v>
      </x:c>
      <x:c r="C323" s="31" t="inlineStr">
        <x:is>
          <x:t xml:space="preserve">День</x:t>
        </x:is>
      </x:c>
      <x:c r="D323" s="31" t="inlineStr">
        <x:is>
          <x:t xml:space="preserve">ПЗ-00029</x:t>
        </x:is>
      </x:c>
      <x:c r="E323" s="31" t="inlineStr">
        <x:is>
          <x:t xml:space="preserve">ОП-000255</x:t>
        </x:is>
      </x:c>
      <x:c r="F323" s="31" t="n"/>
      <x:c r="G323" s="31" t="inlineStr">
        <x:is>
          <x:t xml:space="preserve">СОТР-105</x:t>
        </x:is>
      </x:c>
      <x:c r="H323" s="31" t="inlineStr">
        <x:is>
          <x:t xml:space="preserve">Логистика</x:t>
        </x:is>
      </x:c>
      <x:c r="I323" s="31" t="n">
        <x:v>1</x:v>
      </x:c>
      <x:c r="J323" s="31" t="n">
        <x:v>1</x:v>
      </x:c>
      <x:c r="K323" s="31" t="n">
        <x:v>7.6</x:v>
      </x:c>
      <x:c r="L323" s="31" t="n">
        <x:v>10</x:v>
      </x:c>
      <x:c r="M323" s="31" t="n">
        <x:v>30</x:v>
      </x:c>
      <x:c r="N323" s="31" t="inlineStr">
        <x:is>
          <x:t xml:space="preserve">Ожидание ОТК</x:t>
        </x:is>
      </x:c>
      <x:c r="O323" s="31" t="inlineStr">
        <x:is>
          <x:t xml:space="preserve">Подтверждено мастером</x:t>
        </x:is>
      </x:c>
      <x:c r="P323" s="31" t="inlineStr">
        <x:is>
          <x:t xml:space="preserve">Комментарий смены 345</x:t>
        </x:is>
      </x:c>
    </x:row>
    <x:row r="324">
      <x:c r="A324" s="31" t="inlineStr">
        <x:is>
          <x:t xml:space="preserve">СМ-00347</x:t>
        </x:is>
      </x:c>
      <x:c r="B324" s="31" t="n">
        <x:v>46090</x:v>
      </x:c>
      <x:c r="C324" s="31" t="inlineStr">
        <x:is>
          <x:t xml:space="preserve">Ночь</x:t>
        </x:is>
      </x:c>
      <x:c r="D324" s="31" t="inlineStr">
        <x:is>
          <x:t xml:space="preserve">ПЗ-00024</x:t>
        </x:is>
      </x:c>
      <x:c r="E324" s="31" t="inlineStr">
        <x:is>
          <x:t xml:space="preserve">ОП-000209</x:t>
        </x:is>
      </x:c>
      <x:c r="F324" s="31" t="inlineStr">
        <x:is>
          <x:t xml:space="preserve">ОБ-024</x:t>
        </x:is>
      </x:c>
      <x:c r="G324" s="31" t="inlineStr">
        <x:is>
          <x:t xml:space="preserve">СОТР-093</x:t>
        </x:is>
      </x:c>
      <x:c r="H324" s="31" t="inlineStr">
        <x:is>
          <x:t xml:space="preserve">ОТК</x:t>
        </x:is>
      </x:c>
      <x:c r="I324" s="31" t="n">
        <x:v>1</x:v>
      </x:c>
      <x:c r="J324" s="31" t="n">
        <x:v>0</x:v>
      </x:c>
      <x:c r="K324" s="31" t="n">
        <x:v>6.6</x:v>
      </x:c>
      <x:c r="L324" s="31" t="n">
        <x:v>7.7</x:v>
      </x:c>
      <x:c r="M324" s="31" t="n">
        <x:v>90</x:v>
      </x:c>
      <x:c r="N324" s="31" t="inlineStr">
        <x:is>
          <x:t xml:space="preserve">Ожидание ОТК</x:t>
        </x:is>
      </x:c>
      <x:c r="O324" s="31" t="inlineStr">
        <x:is>
          <x:t xml:space="preserve">Подтверждено мастером</x:t>
        </x:is>
      </x:c>
      <x:c r="P324" s="31" t="inlineStr">
        <x:is>
          <x:t xml:space="preserve">Комментарий смены 347</x:t>
        </x:is>
      </x:c>
    </x:row>
    <x:row r="325">
      <x:c r="A325" s="31" t="inlineStr">
        <x:is>
          <x:t xml:space="preserve">СМ-00348</x:t>
        </x:is>
      </x:c>
      <x:c r="B325" s="31" t="n">
        <x:v>46086</x:v>
      </x:c>
      <x:c r="C325" s="31" t="inlineStr">
        <x:is>
          <x:t xml:space="preserve">Вечер</x:t>
        </x:is>
      </x:c>
      <x:c r="D325" s="31" t="inlineStr">
        <x:is>
          <x:t xml:space="preserve">ПЗ-00199</x:t>
        </x:is>
      </x:c>
      <x:c r="E325" s="31" t="inlineStr">
        <x:is>
          <x:t xml:space="preserve">ОП-001669</x:t>
        </x:is>
      </x:c>
      <x:c r="F325" s="31" t="inlineStr">
        <x:is>
          <x:t xml:space="preserve">ОБ-033</x:t>
        </x:is>
      </x:c>
      <x:c r="G325" s="31" t="inlineStr">
        <x:is>
          <x:t xml:space="preserve">СОТР-098</x:t>
        </x:is>
      </x:c>
      <x:c r="H325" s="31" t="inlineStr">
        <x:is>
          <x:t xml:space="preserve">ОТК</x:t>
        </x:is>
      </x:c>
      <x:c r="I325" s="31" t="n">
        <x:v>1</x:v>
      </x:c>
      <x:c r="J325" s="31" t="n">
        <x:v>0</x:v>
      </x:c>
      <x:c r="K325" s="31" t="n">
        <x:v>17.6</x:v>
      </x:c>
      <x:c r="L325" s="31" t="n">
        <x:v>16.6</x:v>
      </x:c>
      <x:c r="M325" s="31" t="n">
        <x:v>0</x:v>
      </x:c>
      <x:c r="N325" s="31" t="inlineStr">
        <x:is>
          <x:t xml:space="preserve">Нет</x:t>
        </x:is>
      </x:c>
      <x:c r="O325" s="31" t="inlineStr">
        <x:is>
          <x:t xml:space="preserve">Черновик</x:t>
        </x:is>
      </x:c>
      <x:c r="P325" s="31" t="inlineStr">
        <x:is>
          <x:t xml:space="preserve">Комментарий смены 348</x:t>
        </x:is>
      </x:c>
    </x:row>
    <x:row r="326">
      <x:c r="A326" s="31" t="inlineStr">
        <x:is>
          <x:t xml:space="preserve">СМ-00349</x:t>
        </x:is>
      </x:c>
      <x:c r="B326" s="31" t="n">
        <x:v>46190</x:v>
      </x:c>
      <x:c r="C326" s="31" t="inlineStr">
        <x:is>
          <x:t xml:space="preserve">День</x:t>
        </x:is>
      </x:c>
      <x:c r="D326" s="31" t="inlineStr">
        <x:is>
          <x:t xml:space="preserve">ПЗ-00250</x:t>
        </x:is>
      </x:c>
      <x:c r="E326" s="31" t="inlineStr">
        <x:is>
          <x:t xml:space="preserve">ОП-002094</x:t>
        </x:is>
      </x:c>
      <x:c r="F326" s="31" t="n"/>
      <x:c r="G326" s="31" t="inlineStr">
        <x:is>
          <x:t xml:space="preserve">СОТР-104</x:t>
        </x:is>
      </x:c>
      <x:c r="H326" s="31" t="inlineStr">
        <x:is>
          <x:t xml:space="preserve">Логистика</x:t>
        </x:is>
      </x:c>
      <x:c r="I326" s="31" t="n">
        <x:v>2</x:v>
      </x:c>
      <x:c r="J326" s="31" t="n">
        <x:v>1</x:v>
      </x:c>
      <x:c r="K326" s="31" t="n">
        <x:v>50</x:v>
      </x:c>
      <x:c r="L326" s="31" t="n">
        <x:v>53.6</x:v>
      </x:c>
      <x:c r="M326" s="31" t="n">
        <x:v>90</x:v>
      </x:c>
      <x:c r="N326" s="31" t="inlineStr">
        <x:is>
          <x:t xml:space="preserve">Нет оператора</x:t>
        </x:is>
      </x:c>
      <x:c r="O326" s="31" t="inlineStr">
        <x:is>
          <x:t xml:space="preserve">Подтверждено мастером</x:t>
        </x:is>
      </x:c>
      <x:c r="P326" s="31" t="inlineStr">
        <x:is>
          <x:t xml:space="preserve">Комментарий смены 349</x:t>
        </x:is>
      </x:c>
    </x:row>
    <x:row r="327">
      <x:c r="A327" s="31" t="inlineStr">
        <x:is>
          <x:t xml:space="preserve">СМ-00350</x:t>
        </x:is>
      </x:c>
      <x:c r="B327" s="31" t="n">
        <x:v>46161</x:v>
      </x:c>
      <x:c r="C327" s="31" t="inlineStr">
        <x:is>
          <x:t xml:space="preserve">День</x:t>
        </x:is>
      </x:c>
      <x:c r="D327" s="31" t="inlineStr">
        <x:is>
          <x:t xml:space="preserve">ПЗ-00257</x:t>
        </x:is>
      </x:c>
      <x:c r="E327" s="31" t="inlineStr">
        <x:is>
          <x:t xml:space="preserve">ОП-002138</x:t>
        </x:is>
      </x:c>
      <x:c r="F327" s="31" t="inlineStr">
        <x:is>
          <x:t xml:space="preserve">ОБ-021</x:t>
        </x:is>
      </x:c>
      <x:c r="G327" s="31" t="inlineStr">
        <x:is>
          <x:t xml:space="preserve">СОТР-060</x:t>
        </x:is>
      </x:c>
      <x:c r="H327" s="31" t="inlineStr">
        <x:is>
          <x:t xml:space="preserve">Сварка</x:t>
        </x:is>
      </x:c>
      <x:c r="I327" s="31" t="n">
        <x:v>1</x:v>
      </x:c>
      <x:c r="J327" s="31" t="n">
        <x:v>1</x:v>
      </x:c>
      <x:c r="K327" s="31" t="n">
        <x:v>4.6</x:v>
      </x:c>
      <x:c r="L327" s="31" t="n">
        <x:v>4.1</x:v>
      </x:c>
      <x:c r="M327" s="31" t="n">
        <x:v>30</x:v>
      </x:c>
      <x:c r="N327" s="31" t="inlineStr">
        <x:is>
          <x:t xml:space="preserve">Ремонт оборудования</x:t>
        </x:is>
      </x:c>
      <x:c r="O327" s="31" t="inlineStr">
        <x:is>
          <x:t xml:space="preserve">Спорный факт</x:t>
        </x:is>
      </x:c>
      <x:c r="P327" s="31" t="inlineStr">
        <x:is>
          <x:t xml:space="preserve">Комментарий смены 350</x:t>
        </x:is>
      </x:c>
    </x:row>
    <x:row r="328">
      <x:c r="A328" s="31" t="inlineStr">
        <x:is>
          <x:t xml:space="preserve">СМ-00351</x:t>
        </x:is>
      </x:c>
      <x:c r="B328" s="31" t="n">
        <x:v>46152</x:v>
      </x:c>
      <x:c r="C328" s="31" t="inlineStr">
        <x:is>
          <x:t xml:space="preserve">Вечер</x:t>
        </x:is>
      </x:c>
      <x:c r="D328" s="31" t="inlineStr">
        <x:is>
          <x:t xml:space="preserve">ПЗ-00240</x:t>
        </x:is>
      </x:c>
      <x:c r="E328" s="31" t="inlineStr">
        <x:is>
          <x:t xml:space="preserve">ОП-002006</x:t>
        </x:is>
      </x:c>
      <x:c r="F328" s="31" t="n"/>
      <x:c r="G328" s="31" t="inlineStr">
        <x:is>
          <x:t xml:space="preserve">СОТР-014</x:t>
        </x:is>
      </x:c>
      <x:c r="H328" s="31" t="inlineStr">
        <x:is>
          <x:t xml:space="preserve">Инженерный отдел</x:t>
        </x:is>
      </x:c>
      <x:c r="I328" s="31" t="n">
        <x:v>3</x:v>
      </x:c>
      <x:c r="J328" s="31" t="n">
        <x:v>3</x:v>
      </x:c>
      <x:c r="K328" s="31" t="n">
        <x:v>14.4</x:v>
      </x:c>
      <x:c r="L328" s="31" t="n">
        <x:v>14.5</x:v>
      </x:c>
      <x:c r="M328" s="31" t="n">
        <x:v>0</x:v>
      </x:c>
      <x:c r="N328" s="31" t="inlineStr">
        <x:is>
          <x:t xml:space="preserve">Нет</x:t>
        </x:is>
      </x:c>
      <x:c r="O328" s="31" t="inlineStr">
        <x:is>
          <x:t xml:space="preserve">Подтверждено мастером</x:t>
        </x:is>
      </x:c>
      <x:c r="P328" s="31" t="inlineStr">
        <x:is>
          <x:t xml:space="preserve">Комментарий смены 351</x:t>
        </x:is>
      </x:c>
    </x:row>
    <x:row r="329">
      <x:c r="A329" s="31" t="inlineStr">
        <x:is>
          <x:t xml:space="preserve">СМ-00352</x:t>
        </x:is>
      </x:c>
      <x:c r="B329" s="31" t="n">
        <x:v>46184</x:v>
      </x:c>
      <x:c r="C329" s="31" t="inlineStr">
        <x:is>
          <x:t xml:space="preserve">День</x:t>
        </x:is>
      </x:c>
      <x:c r="D329" s="31" t="inlineStr">
        <x:is>
          <x:t xml:space="preserve">ПЗ-00152</x:t>
        </x:is>
      </x:c>
      <x:c r="E329" s="31" t="inlineStr">
        <x:is>
          <x:t xml:space="preserve">ОП-001261</x:t>
        </x:is>
      </x:c>
      <x:c r="F329" s="31" t="inlineStr">
        <x:is>
          <x:t xml:space="preserve">ОБ-002</x:t>
        </x:is>
      </x:c>
      <x:c r="G329" s="31" t="inlineStr">
        <x:is>
          <x:t xml:space="preserve">СОТР-088</x:t>
        </x:is>
      </x:c>
      <x:c r="H329" s="31" t="inlineStr">
        <x:is>
          <x:t xml:space="preserve">Сборка</x:t>
        </x:is>
      </x:c>
      <x:c r="I329" s="31" t="n">
        <x:v>3</x:v>
      </x:c>
      <x:c r="J329" s="31" t="n">
        <x:v>3</x:v>
      </x:c>
      <x:c r="K329" s="31" t="n">
        <x:v>45.9</x:v>
      </x:c>
      <x:c r="L329" s="31" t="n">
        <x:v>40.5</x:v>
      </x:c>
      <x:c r="M329" s="31" t="n">
        <x:v>0</x:v>
      </x:c>
      <x:c r="N329" s="31" t="inlineStr">
        <x:is>
          <x:t xml:space="preserve">Нет</x:t>
        </x:is>
      </x:c>
      <x:c r="O329" s="31" t="inlineStr">
        <x:is>
          <x:t xml:space="preserve">Подтверждено мастером</x:t>
        </x:is>
      </x:c>
      <x:c r="P329" s="31" t="inlineStr">
        <x:is>
          <x:t xml:space="preserve">Комментарий смены 352</x:t>
        </x:is>
      </x:c>
    </x:row>
    <x:row r="330">
      <x:c r="A330" s="31" t="inlineStr">
        <x:is>
          <x:t xml:space="preserve">СМ-00353</x:t>
        </x:is>
      </x:c>
      <x:c r="B330" s="31" t="n">
        <x:v>46089</x:v>
      </x:c>
      <x:c r="C330" s="31" t="inlineStr">
        <x:is>
          <x:t xml:space="preserve">День</x:t>
        </x:is>
      </x:c>
      <x:c r="D330" s="31" t="inlineStr">
        <x:is>
          <x:t xml:space="preserve">ПЗ-00030</x:t>
        </x:is>
      </x:c>
      <x:c r="E330" s="31" t="inlineStr">
        <x:is>
          <x:t xml:space="preserve">ОП-000257</x:t>
        </x:is>
      </x:c>
      <x:c r="F330" s="31" t="inlineStr">
        <x:is>
          <x:t xml:space="preserve">ОБ-025</x:t>
        </x:is>
      </x:c>
      <x:c r="G330" s="31" t="inlineStr">
        <x:is>
          <x:t xml:space="preserve">СОТР-037</x:t>
        </x:is>
      </x:c>
      <x:c r="H330" s="31" t="inlineStr">
        <x:is>
          <x:t xml:space="preserve">Склад</x:t>
        </x:is>
      </x:c>
      <x:c r="I330" s="31" t="n">
        <x:v>4</x:v>
      </x:c>
      <x:c r="J330" s="31" t="n">
        <x:v>5</x:v>
      </x:c>
      <x:c r="K330" s="31" t="n">
        <x:v>60.5</x:v>
      </x:c>
      <x:c r="L330" s="31" t="n">
        <x:v>64.8</x:v>
      </x:c>
      <x:c r="M330" s="31" t="n">
        <x:v>0</x:v>
      </x:c>
      <x:c r="N330" s="31" t="inlineStr">
        <x:is>
          <x:t xml:space="preserve">Нет</x:t>
        </x:is>
      </x:c>
      <x:c r="O330" s="31" t="inlineStr">
        <x:is>
          <x:t xml:space="preserve">Спорный факт</x:t>
        </x:is>
      </x:c>
      <x:c r="P330" s="31" t="inlineStr">
        <x:is>
          <x:t xml:space="preserve">Комментарий смены 353</x:t>
        </x:is>
      </x:c>
    </x:row>
    <x:row r="331">
      <x:c r="A331" s="31" t="inlineStr">
        <x:is>
          <x:t xml:space="preserve">СМ-00354</x:t>
        </x:is>
      </x:c>
      <x:c r="B331" s="31" t="n">
        <x:v>46062</x:v>
      </x:c>
      <x:c r="C331" s="31" t="inlineStr">
        <x:is>
          <x:t xml:space="preserve">День</x:t>
        </x:is>
      </x:c>
      <x:c r="D331" s="31" t="inlineStr">
        <x:is>
          <x:t xml:space="preserve">ПЗ-00181</x:t>
        </x:is>
      </x:c>
      <x:c r="E331" s="31" t="inlineStr">
        <x:is>
          <x:t xml:space="preserve">ОП-001503</x:t>
        </x:is>
      </x:c>
      <x:c r="F331" s="31" t="inlineStr">
        <x:is>
          <x:t xml:space="preserve">ОБ-004</x:t>
        </x:is>
      </x:c>
      <x:c r="G331" s="31" t="inlineStr">
        <x:is>
          <x:t xml:space="preserve">СОТР-062</x:t>
        </x:is>
      </x:c>
      <x:c r="H331" s="31" t="inlineStr">
        <x:is>
          <x:t xml:space="preserve">Сварка</x:t>
        </x:is>
      </x:c>
      <x:c r="I331" s="31" t="n">
        <x:v>3</x:v>
      </x:c>
      <x:c r="J331" s="31" t="n">
        <x:v>3</x:v>
      </x:c>
      <x:c r="K331" s="31" t="n">
        <x:v>4.4</x:v>
      </x:c>
      <x:c r="L331" s="31" t="n">
        <x:v>5</x:v>
      </x:c>
      <x:c r="M331" s="31" t="n">
        <x:v>15</x:v>
      </x:c>
      <x:c r="N331" s="31" t="inlineStr">
        <x:is>
          <x:t xml:space="preserve">Ожидание ОТК</x:t>
        </x:is>
      </x:c>
      <x:c r="O331" s="31" t="inlineStr">
        <x:is>
          <x:t xml:space="preserve">Подтверждено мастером</x:t>
        </x:is>
      </x:c>
      <x:c r="P331" s="31" t="inlineStr">
        <x:is>
          <x:t xml:space="preserve">Комментарий смены 354</x:t>
        </x:is>
      </x:c>
    </x:row>
    <x:row r="332">
      <x:c r="A332" s="31" t="inlineStr">
        <x:is>
          <x:t xml:space="preserve">СМ-00355</x:t>
        </x:is>
      </x:c>
      <x:c r="B332" s="31" t="n">
        <x:v>46118</x:v>
      </x:c>
      <x:c r="C332" s="31" t="inlineStr">
        <x:is>
          <x:t xml:space="preserve">День</x:t>
        </x:is>
      </x:c>
      <x:c r="D332" s="31" t="inlineStr">
        <x:is>
          <x:t xml:space="preserve">ПЗ-00076</x:t>
        </x:is>
      </x:c>
      <x:c r="E332" s="31" t="inlineStr">
        <x:is>
          <x:t xml:space="preserve">ОП-000646</x:t>
        </x:is>
      </x:c>
      <x:c r="F332" s="31" t="inlineStr">
        <x:is>
          <x:t xml:space="preserve">ОБ-020</x:t>
        </x:is>
      </x:c>
      <x:c r="G332" s="31" t="inlineStr">
        <x:is>
          <x:t xml:space="preserve">СОТР-086</x:t>
        </x:is>
      </x:c>
      <x:c r="H332" s="31" t="inlineStr">
        <x:is>
          <x:t xml:space="preserve">Сборка</x:t>
        </x:is>
      </x:c>
      <x:c r="I332" s="31" t="n">
        <x:v>3</x:v>
      </x:c>
      <x:c r="J332" s="31" t="n">
        <x:v>4</x:v>
      </x:c>
      <x:c r="K332" s="31" t="n">
        <x:v>18.9</x:v>
      </x:c>
      <x:c r="L332" s="31" t="n">
        <x:v>24.5</x:v>
      </x:c>
      <x:c r="M332" s="31" t="n">
        <x:v>0</x:v>
      </x:c>
      <x:c r="N332" s="31" t="inlineStr">
        <x:is>
          <x:t xml:space="preserve">Нет</x:t>
        </x:is>
      </x:c>
      <x:c r="O332" s="31" t="inlineStr">
        <x:is>
          <x:t xml:space="preserve">Подтверждено мастером</x:t>
        </x:is>
      </x:c>
      <x:c r="P332" s="31" t="inlineStr">
        <x:is>
          <x:t xml:space="preserve">Комментарий смены 355</x:t>
        </x:is>
      </x:c>
    </x:row>
    <x:row r="333">
      <x:c r="A333" s="31" t="inlineStr">
        <x:is>
          <x:t xml:space="preserve">СМ-00356</x:t>
        </x:is>
      </x:c>
      <x:c r="B333" s="31" t="n">
        <x:v>46091</x:v>
      </x:c>
      <x:c r="C333" s="31" t="inlineStr">
        <x:is>
          <x:t xml:space="preserve">День</x:t>
        </x:is>
      </x:c>
      <x:c r="D333" s="31" t="inlineStr">
        <x:is>
          <x:t xml:space="preserve">ПЗ-00207</x:t>
        </x:is>
      </x:c>
      <x:c r="E333" s="31" t="inlineStr">
        <x:is>
          <x:t xml:space="preserve">ОП-001735</x:t>
        </x:is>
      </x:c>
      <x:c r="F333" s="31" t="inlineStr">
        <x:is>
          <x:t xml:space="preserve">ОБ-021</x:t>
        </x:is>
      </x:c>
      <x:c r="G333" s="31" t="inlineStr">
        <x:is>
          <x:t xml:space="preserve">СОТР-059</x:t>
        </x:is>
      </x:c>
      <x:c r="H333" s="31" t="inlineStr">
        <x:is>
          <x:t xml:space="preserve">Сварка</x:t>
        </x:is>
      </x:c>
      <x:c r="I333" s="31" t="n">
        <x:v>1</x:v>
      </x:c>
      <x:c r="J333" s="31" t="n">
        <x:v>1</x:v>
      </x:c>
      <x:c r="K333" s="31" t="n">
        <x:v>4</x:v>
      </x:c>
      <x:c r="L333" s="31" t="n">
        <x:v>3.9</x:v>
      </x:c>
      <x:c r="M333" s="31" t="n">
        <x:v>0</x:v>
      </x:c>
      <x:c r="N333" s="31" t="inlineStr">
        <x:is>
          <x:t xml:space="preserve">Нет</x:t>
        </x:is>
      </x:c>
      <x:c r="O333" s="31" t="inlineStr">
        <x:is>
          <x:t xml:space="preserve">Подтверждено мастером</x:t>
        </x:is>
      </x:c>
      <x:c r="P333" s="31" t="inlineStr">
        <x:is>
          <x:t xml:space="preserve">Комментарий смены 356</x:t>
        </x:is>
      </x:c>
    </x:row>
    <x:row r="334">
      <x:c r="A334" s="31" t="inlineStr">
        <x:is>
          <x:t xml:space="preserve">СМ-00357</x:t>
        </x:is>
      </x:c>
      <x:c r="B334" s="31" t="n">
        <x:v>46057</x:v>
      </x:c>
      <x:c r="C334" s="31" t="inlineStr">
        <x:is>
          <x:t xml:space="preserve">День</x:t>
        </x:is>
      </x:c>
      <x:c r="D334" s="31" t="inlineStr">
        <x:is>
          <x:t xml:space="preserve">ПЗ-00092</x:t>
        </x:is>
      </x:c>
      <x:c r="E334" s="31" t="inlineStr">
        <x:is>
          <x:t xml:space="preserve">ОП-000775</x:t>
        </x:is>
      </x:c>
      <x:c r="F334" s="31" t="inlineStr">
        <x:is>
          <x:t xml:space="preserve">ОБ-009</x:t>
        </x:is>
      </x:c>
      <x:c r="G334" s="31" t="inlineStr">
        <x:is>
          <x:t xml:space="preserve">СОТР-034</x:t>
        </x:is>
      </x:c>
      <x:c r="H334" s="31" t="inlineStr">
        <x:is>
          <x:t xml:space="preserve">Склад</x:t>
        </x:is>
      </x:c>
      <x:c r="I334" s="31" t="n">
        <x:v>2</x:v>
      </x:c>
      <x:c r="J334" s="31" t="n">
        <x:v>3</x:v>
      </x:c>
      <x:c r="K334" s="31" t="n">
        <x:v>27.6</x:v>
      </x:c>
      <x:c r="L334" s="31" t="n">
        <x:v>23.2</x:v>
      </x:c>
      <x:c r="M334" s="31" t="n">
        <x:v>90</x:v>
      </x:c>
      <x:c r="N334" s="31" t="inlineStr">
        <x:is>
          <x:t xml:space="preserve">Ожидание материала</x:t>
        </x:is>
      </x:c>
      <x:c r="O334" s="31" t="inlineStr">
        <x:is>
          <x:t xml:space="preserve">Подтверждено мастером</x:t>
        </x:is>
      </x:c>
      <x:c r="P334" s="31" t="inlineStr">
        <x:is>
          <x:t xml:space="preserve">Комментарий смены 357</x:t>
        </x:is>
      </x:c>
    </x:row>
    <x:row r="335">
      <x:c r="A335" s="31" t="inlineStr">
        <x:is>
          <x:t xml:space="preserve">СМ-00358</x:t>
        </x:is>
      </x:c>
      <x:c r="B335" s="31" t="n">
        <x:v>46134</x:v>
      </x:c>
      <x:c r="C335" s="31" t="inlineStr">
        <x:is>
          <x:t xml:space="preserve">День</x:t>
        </x:is>
      </x:c>
      <x:c r="D335" s="31" t="inlineStr">
        <x:is>
          <x:t xml:space="preserve">ПЗ-00162</x:t>
        </x:is>
      </x:c>
      <x:c r="E335" s="31" t="inlineStr">
        <x:is>
          <x:t xml:space="preserve">ОП-001348</x:t>
        </x:is>
      </x:c>
      <x:c r="F335" s="31" t="inlineStr">
        <x:is>
          <x:t xml:space="preserve">ОБ-005</x:t>
        </x:is>
      </x:c>
      <x:c r="G335" s="31" t="inlineStr">
        <x:is>
          <x:t xml:space="preserve">СОТР-091</x:t>
        </x:is>
      </x:c>
      <x:c r="H335" s="31" t="inlineStr">
        <x:is>
          <x:t xml:space="preserve">Сборка</x:t>
        </x:is>
      </x:c>
      <x:c r="I335" s="31" t="n">
        <x:v>5</x:v>
      </x:c>
      <x:c r="J335" s="31" t="n">
        <x:v>5</x:v>
      </x:c>
      <x:c r="K335" s="31" t="n">
        <x:v>46.5</x:v>
      </x:c>
      <x:c r="L335" s="31" t="n">
        <x:v>61.5</x:v>
      </x:c>
      <x:c r="M335" s="31" t="n">
        <x:v>120</x:v>
      </x:c>
      <x:c r="N335" s="31" t="inlineStr">
        <x:is>
          <x:t xml:space="preserve">Переналадка</x:t>
        </x:is>
      </x:c>
      <x:c r="O335" s="31" t="inlineStr">
        <x:is>
          <x:t xml:space="preserve">Подтверждено мастером</x:t>
        </x:is>
      </x:c>
      <x:c r="P335" s="31" t="inlineStr">
        <x:is>
          <x:t xml:space="preserve">Комментарий смены 358</x:t>
        </x:is>
      </x:c>
    </x:row>
    <x:row r="336">
      <x:c r="A336" s="31" t="inlineStr">
        <x:is>
          <x:t xml:space="preserve">СМ-00359</x:t>
        </x:is>
      </x:c>
      <x:c r="B336" s="31" t="n">
        <x:v>46127</x:v>
      </x:c>
      <x:c r="C336" s="31" t="inlineStr">
        <x:is>
          <x:t xml:space="preserve">Вечер</x:t>
        </x:is>
      </x:c>
      <x:c r="D336" s="31" t="inlineStr">
        <x:is>
          <x:t xml:space="preserve">ПЗ-00167</x:t>
        </x:is>
      </x:c>
      <x:c r="E336" s="31" t="inlineStr">
        <x:is>
          <x:t xml:space="preserve">ОП-001386</x:t>
        </x:is>
      </x:c>
      <x:c r="F336" s="31" t="inlineStr">
        <x:is>
          <x:t xml:space="preserve">ОБ-011</x:t>
        </x:is>
      </x:c>
      <x:c r="G336" s="31" t="inlineStr">
        <x:is>
          <x:t xml:space="preserve">СОТР-033</x:t>
        </x:is>
      </x:c>
      <x:c r="H336" s="31" t="inlineStr">
        <x:is>
          <x:t xml:space="preserve">Склад</x:t>
        </x:is>
      </x:c>
      <x:c r="I336" s="31" t="n">
        <x:v>5</x:v>
      </x:c>
      <x:c r="J336" s="31" t="n">
        <x:v>5</x:v>
      </x:c>
      <x:c r="K336" s="31" t="n">
        <x:v>35.5</x:v>
      </x:c>
      <x:c r="L336" s="31" t="n">
        <x:v>39.8</x:v>
      </x:c>
      <x:c r="M336" s="31" t="n">
        <x:v>0</x:v>
      </x:c>
      <x:c r="N336" s="31" t="inlineStr">
        <x:is>
          <x:t xml:space="preserve">Нет</x:t>
        </x:is>
      </x:c>
      <x:c r="O336" s="31" t="inlineStr">
        <x:is>
          <x:t xml:space="preserve">Черновик</x:t>
        </x:is>
      </x:c>
      <x:c r="P336" s="31" t="inlineStr">
        <x:is>
          <x:t xml:space="preserve">Комментарий смены 359</x:t>
        </x:is>
      </x:c>
    </x:row>
    <x:row r="337">
      <x:c r="A337" s="31" t="inlineStr">
        <x:is>
          <x:t xml:space="preserve">СМ-00360</x:t>
        </x:is>
      </x:c>
      <x:c r="B337" s="31" t="n">
        <x:v>46187</x:v>
      </x:c>
      <x:c r="C337" s="31" t="inlineStr">
        <x:is>
          <x:t xml:space="preserve">День</x:t>
        </x:is>
      </x:c>
      <x:c r="D337" s="31" t="inlineStr">
        <x:is>
          <x:t xml:space="preserve">ПЗ-00148</x:t>
        </x:is>
      </x:c>
      <x:c r="E337" s="31" t="inlineStr">
        <x:is>
          <x:t xml:space="preserve">ОП-001228</x:t>
        </x:is>
      </x:c>
      <x:c r="F337" s="31" t="n"/>
      <x:c r="G337" s="31" t="inlineStr">
        <x:is>
          <x:t xml:space="preserve">СОТР-019</x:t>
        </x:is>
      </x:c>
      <x:c r="H337" s="31" t="inlineStr">
        <x:is>
          <x:t xml:space="preserve">Инженерный отдел</x:t>
        </x:is>
      </x:c>
      <x:c r="I337" s="31" t="n">
        <x:v>1</x:v>
      </x:c>
      <x:c r="J337" s="31" t="n">
        <x:v>0</x:v>
      </x:c>
      <x:c r="K337" s="31" t="n">
        <x:v>18.2</x:v>
      </x:c>
      <x:c r="L337" s="31" t="n">
        <x:v>20.5</x:v>
      </x:c>
      <x:c r="M337" s="31" t="n">
        <x:v>120</x:v>
      </x:c>
      <x:c r="N337" s="31" t="inlineStr">
        <x:is>
          <x:t xml:space="preserve">Ремонт оборудования</x:t>
        </x:is>
      </x:c>
      <x:c r="O337" s="31" t="inlineStr">
        <x:is>
          <x:t xml:space="preserve">Подтверждено мастером</x:t>
        </x:is>
      </x:c>
      <x:c r="P337" s="31" t="inlineStr">
        <x:is>
          <x:t xml:space="preserve">Комментарий смены 360</x:t>
        </x:is>
      </x:c>
    </x:row>
    <x:row r="338">
      <x:c r="A338" s="31" t="inlineStr">
        <x:is>
          <x:t xml:space="preserve">СМ-00361</x:t>
        </x:is>
      </x:c>
      <x:c r="B338" s="31" t="n">
        <x:v>46178</x:v>
      </x:c>
      <x:c r="C338" s="31" t="inlineStr">
        <x:is>
          <x:t xml:space="preserve">Вечер</x:t>
        </x:is>
      </x:c>
      <x:c r="D338" s="31" t="inlineStr">
        <x:is>
          <x:t xml:space="preserve">ПЗ-00033</x:t>
        </x:is>
      </x:c>
      <x:c r="E338" s="31" t="inlineStr">
        <x:is>
          <x:t xml:space="preserve">ОП-000293</x:t>
        </x:is>
      </x:c>
      <x:c r="F338" s="31" t="n"/>
      <x:c r="G338" s="31" t="inlineStr">
        <x:is>
          <x:t xml:space="preserve">СОТР-102</x:t>
        </x:is>
      </x:c>
      <x:c r="H338" s="31" t="inlineStr">
        <x:is>
          <x:t xml:space="preserve">Логистика</x:t>
        </x:is>
      </x:c>
      <x:c r="I338" s="31" t="n">
        <x:v>2</x:v>
      </x:c>
      <x:c r="J338" s="31" t="n">
        <x:v>0</x:v>
      </x:c>
      <x:c r="K338" s="31" t="n">
        <x:v>54</x:v>
      </x:c>
      <x:c r="L338" s="31" t="n">
        <x:v>49.1</x:v>
      </x:c>
      <x:c r="M338" s="31" t="n">
        <x:v>0</x:v>
      </x:c>
      <x:c r="N338" s="31" t="inlineStr">
        <x:is>
          <x:t xml:space="preserve">Нет</x:t>
        </x:is>
      </x:c>
      <x:c r="O338" s="31" t="inlineStr">
        <x:is>
          <x:t xml:space="preserve">Подтверждено мастером</x:t>
        </x:is>
      </x:c>
      <x:c r="P338" s="31" t="inlineStr">
        <x:is>
          <x:t xml:space="preserve">Комментарий смены 361</x:t>
        </x:is>
      </x:c>
    </x:row>
    <x:row r="339">
      <x:c r="A339" s="31" t="inlineStr">
        <x:is>
          <x:t xml:space="preserve">СМ-00362</x:t>
        </x:is>
      </x:c>
      <x:c r="B339" s="31" t="n">
        <x:v>46179</x:v>
      </x:c>
      <x:c r="C339" s="31" t="inlineStr">
        <x:is>
          <x:t xml:space="preserve">День</x:t>
        </x:is>
      </x:c>
      <x:c r="D339" s="31" t="inlineStr">
        <x:is>
          <x:t xml:space="preserve">ПЗ-00217</x:t>
        </x:is>
      </x:c>
      <x:c r="E339" s="31" t="inlineStr">
        <x:is>
          <x:t xml:space="preserve">ОП-001820</x:t>
        </x:is>
      </x:c>
      <x:c r="F339" s="31" t="inlineStr">
        <x:is>
          <x:t xml:space="preserve">ОБ-035</x:t>
        </x:is>
      </x:c>
      <x:c r="G339" s="31" t="inlineStr">
        <x:is>
          <x:t xml:space="preserve">СОТР-059</x:t>
        </x:is>
      </x:c>
      <x:c r="H339" s="31" t="inlineStr">
        <x:is>
          <x:t xml:space="preserve">Сварка</x:t>
        </x:is>
      </x:c>
      <x:c r="I339" s="31" t="n">
        <x:v>4</x:v>
      </x:c>
      <x:c r="J339" s="31" t="n">
        <x:v>4</x:v>
      </x:c>
      <x:c r="K339" s="31" t="n">
        <x:v>9.199999999999999</x:v>
      </x:c>
      <x:c r="L339" s="31" t="n">
        <x:v>11</x:v>
      </x:c>
      <x:c r="M339" s="31" t="n">
        <x:v>45</x:v>
      </x:c>
      <x:c r="N339" s="31" t="inlineStr">
        <x:is>
          <x:t xml:space="preserve">Нет оператора</x:t>
        </x:is>
      </x:c>
      <x:c r="O339" s="31" t="inlineStr">
        <x:is>
          <x:t xml:space="preserve">Подтверждено мастером</x:t>
        </x:is>
      </x:c>
      <x:c r="P339" s="31" t="inlineStr">
        <x:is>
          <x:t xml:space="preserve">Комментарий смены 362</x:t>
        </x:is>
      </x:c>
    </x:row>
    <x:row r="340">
      <x:c r="A340" s="31" t="inlineStr">
        <x:is>
          <x:t xml:space="preserve">СМ-00363</x:t>
        </x:is>
      </x:c>
      <x:c r="B340" s="31" t="n">
        <x:v>46054</x:v>
      </x:c>
      <x:c r="C340" s="31" t="inlineStr">
        <x:is>
          <x:t xml:space="preserve">Ночь</x:t>
        </x:is>
      </x:c>
      <x:c r="D340" s="31" t="inlineStr">
        <x:is>
          <x:t xml:space="preserve">ПЗ-00073</x:t>
        </x:is>
      </x:c>
      <x:c r="E340" s="31" t="inlineStr">
        <x:is>
          <x:t xml:space="preserve">ОП-000623</x:t>
        </x:is>
      </x:c>
      <x:c r="F340" s="31" t="inlineStr">
        <x:is>
          <x:t xml:space="preserve">ОБ-002</x:t>
        </x:is>
      </x:c>
      <x:c r="G340" s="31" t="inlineStr">
        <x:is>
          <x:t xml:space="preserve">СОТР-081</x:t>
        </x:is>
      </x:c>
      <x:c r="H340" s="31" t="inlineStr">
        <x:is>
          <x:t xml:space="preserve">Сборка</x:t>
        </x:is>
      </x:c>
      <x:c r="I340" s="31" t="n">
        <x:v>1</x:v>
      </x:c>
      <x:c r="J340" s="31" t="n">
        <x:v>1</x:v>
      </x:c>
      <x:c r="K340" s="31" t="n">
        <x:v>32.7</x:v>
      </x:c>
      <x:c r="L340" s="31" t="n">
        <x:v>43.2</x:v>
      </x:c>
      <x:c r="M340" s="31" t="n">
        <x:v>60</x:v>
      </x:c>
      <x:c r="N340" s="31" t="inlineStr">
        <x:is>
          <x:t xml:space="preserve">Переналадка</x:t>
        </x:is>
      </x:c>
      <x:c r="O340" s="31" t="inlineStr">
        <x:is>
          <x:t xml:space="preserve">Подтверждено мастером</x:t>
        </x:is>
      </x:c>
      <x:c r="P340" s="31" t="inlineStr">
        <x:is>
          <x:t xml:space="preserve">Комментарий смены 363</x:t>
        </x:is>
      </x:c>
    </x:row>
    <x:row r="341">
      <x:c r="A341" s="31" t="inlineStr">
        <x:is>
          <x:t xml:space="preserve">СМ-00364</x:t>
        </x:is>
      </x:c>
      <x:c r="B341" s="31" t="n">
        <x:v>46141</x:v>
      </x:c>
      <x:c r="C341" s="31" t="inlineStr">
        <x:is>
          <x:t xml:space="preserve">День</x:t>
        </x:is>
      </x:c>
      <x:c r="D341" s="31" t="inlineStr">
        <x:is>
          <x:t xml:space="preserve">ПЗ-00179</x:t>
        </x:is>
      </x:c>
      <x:c r="E341" s="31" t="inlineStr">
        <x:is>
          <x:t xml:space="preserve">ОП-001488</x:t>
        </x:is>
      </x:c>
      <x:c r="F341" s="31" t="n"/>
      <x:c r="G341" s="31" t="inlineStr">
        <x:is>
          <x:t xml:space="preserve">СОТР-101</x:t>
        </x:is>
      </x:c>
      <x:c r="H341" s="31" t="inlineStr">
        <x:is>
          <x:t xml:space="preserve">Логистика</x:t>
        </x:is>
      </x:c>
      <x:c r="I341" s="31" t="n">
        <x:v>3</x:v>
      </x:c>
      <x:c r="J341" s="31" t="n">
        <x:v>4</x:v>
      </x:c>
      <x:c r="K341" s="31" t="n">
        <x:v>8.800000000000001</x:v>
      </x:c>
      <x:c r="L341" s="31" t="n">
        <x:v>7.2</x:v>
      </x:c>
      <x:c r="M341" s="31" t="n">
        <x:v>120</x:v>
      </x:c>
      <x:c r="N341" s="31" t="inlineStr">
        <x:is>
          <x:t xml:space="preserve">Ожидание ОТК</x:t>
        </x:is>
      </x:c>
      <x:c r="O341" s="31" t="inlineStr">
        <x:is>
          <x:t xml:space="preserve">Подтверждено мастером</x:t>
        </x:is>
      </x:c>
      <x:c r="P341" s="31" t="inlineStr">
        <x:is>
          <x:t xml:space="preserve">Комментарий смены 364</x:t>
        </x:is>
      </x:c>
    </x:row>
    <x:row r="342">
      <x:c r="A342" s="31" t="inlineStr">
        <x:is>
          <x:t xml:space="preserve">СМ-00365</x:t>
        </x:is>
      </x:c>
      <x:c r="B342" s="31" t="n">
        <x:v>46149</x:v>
      </x:c>
      <x:c r="C342" s="31" t="inlineStr">
        <x:is>
          <x:t xml:space="preserve">День</x:t>
        </x:is>
      </x:c>
      <x:c r="D342" s="31" t="inlineStr">
        <x:is>
          <x:t xml:space="preserve">ПЗ-00249</x:t>
        </x:is>
      </x:c>
      <x:c r="E342" s="31" t="inlineStr">
        <x:is>
          <x:t xml:space="preserve">ОП-002079</x:t>
        </x:is>
      </x:c>
      <x:c r="F342" s="31" t="inlineStr">
        <x:is>
          <x:t xml:space="preserve">ОБ-021</x:t>
        </x:is>
      </x:c>
      <x:c r="G342" s="31" t="inlineStr">
        <x:is>
          <x:t xml:space="preserve">СОТР-056</x:t>
        </x:is>
      </x:c>
      <x:c r="H342" s="31" t="inlineStr">
        <x:is>
          <x:t xml:space="preserve">Сварка</x:t>
        </x:is>
      </x:c>
      <x:c r="I342" s="31" t="n">
        <x:v>2</x:v>
      </x:c>
      <x:c r="J342" s="31" t="n">
        <x:v>3</x:v>
      </x:c>
      <x:c r="K342" s="31" t="n">
        <x:v>26.6</x:v>
      </x:c>
      <x:c r="L342" s="31" t="n">
        <x:v>30.7</x:v>
      </x:c>
      <x:c r="M342" s="31" t="n">
        <x:v>0</x:v>
      </x:c>
      <x:c r="N342" s="31" t="inlineStr">
        <x:is>
          <x:t xml:space="preserve">Нет</x:t>
        </x:is>
      </x:c>
      <x:c r="O342" s="31" t="inlineStr">
        <x:is>
          <x:t xml:space="preserve">Спорный факт</x:t>
        </x:is>
      </x:c>
      <x:c r="P342" s="31" t="inlineStr">
        <x:is>
          <x:t xml:space="preserve">Комментарий смены 365</x:t>
        </x:is>
      </x:c>
    </x:row>
    <x:row r="343">
      <x:c r="A343" s="31" t="inlineStr">
        <x:is>
          <x:t xml:space="preserve">СМ-00366</x:t>
        </x:is>
      </x:c>
      <x:c r="B343" s="31" t="n">
        <x:v>46106</x:v>
      </x:c>
      <x:c r="C343" s="31" t="inlineStr">
        <x:is>
          <x:t xml:space="preserve">День</x:t>
        </x:is>
      </x:c>
      <x:c r="D343" s="31" t="inlineStr">
        <x:is>
          <x:t xml:space="preserve">ПЗ-00100</x:t>
        </x:is>
      </x:c>
      <x:c r="E343" s="31" t="inlineStr">
        <x:is>
          <x:t xml:space="preserve">ОП-000839</x:t>
        </x:is>
      </x:c>
      <x:c r="F343" s="31" t="inlineStr">
        <x:is>
          <x:t xml:space="preserve">ОБ-024</x:t>
        </x:is>
      </x:c>
      <x:c r="G343" s="31" t="inlineStr">
        <x:is>
          <x:t xml:space="preserve">СОТР-093</x:t>
        </x:is>
      </x:c>
      <x:c r="H343" s="31" t="inlineStr">
        <x:is>
          <x:t xml:space="preserve">ОТК</x:t>
        </x:is>
      </x:c>
      <x:c r="I343" s="31" t="n">
        <x:v>2</x:v>
      </x:c>
      <x:c r="J343" s="31" t="n">
        <x:v>2</x:v>
      </x:c>
      <x:c r="K343" s="31" t="n">
        <x:v>12</x:v>
      </x:c>
      <x:c r="L343" s="31" t="n">
        <x:v>12.9</x:v>
      </x:c>
      <x:c r="M343" s="31" t="n">
        <x:v>15</x:v>
      </x:c>
      <x:c r="N343" s="31" t="inlineStr">
        <x:is>
          <x:t xml:space="preserve">Переналадка</x:t>
        </x:is>
      </x:c>
      <x:c r="O343" s="31" t="inlineStr">
        <x:is>
          <x:t xml:space="preserve">Подтверждено мастером</x:t>
        </x:is>
      </x:c>
      <x:c r="P343" s="31" t="inlineStr">
        <x:is>
          <x:t xml:space="preserve">Комментарий смены 366</x:t>
        </x:is>
      </x:c>
    </x:row>
    <x:row r="344">
      <x:c r="A344" s="31" t="inlineStr">
        <x:is>
          <x:t xml:space="preserve">СМ-00367</x:t>
        </x:is>
      </x:c>
      <x:c r="B344" s="31" t="n">
        <x:v>46133</x:v>
      </x:c>
      <x:c r="C344" s="31" t="inlineStr">
        <x:is>
          <x:t xml:space="preserve">День</x:t>
        </x:is>
      </x:c>
      <x:c r="D344" s="31" t="inlineStr">
        <x:is>
          <x:t xml:space="preserve">ПЗ-00137</x:t>
        </x:is>
      </x:c>
      <x:c r="E344" s="31" t="inlineStr">
        <x:is>
          <x:t xml:space="preserve">ОП-001148</x:t>
        </x:is>
      </x:c>
      <x:c r="F344" s="31" t="inlineStr">
        <x:is>
          <x:t xml:space="preserve">ОБ-015</x:t>
        </x:is>
      </x:c>
      <x:c r="G344" s="31" t="inlineStr">
        <x:is>
          <x:t xml:space="preserve">СОТР-099</x:t>
        </x:is>
      </x:c>
      <x:c r="H344" s="31" t="inlineStr">
        <x:is>
          <x:t xml:space="preserve">ОТК</x:t>
        </x:is>
      </x:c>
      <x:c r="I344" s="31" t="n">
        <x:v>3</x:v>
      </x:c>
      <x:c r="J344" s="31" t="n">
        <x:v>3</x:v>
      </x:c>
      <x:c r="K344" s="31" t="n">
        <x:v>46.4</x:v>
      </x:c>
      <x:c r="L344" s="31" t="n">
        <x:v>62.6</x:v>
      </x:c>
      <x:c r="M344" s="31" t="n">
        <x:v>120</x:v>
      </x:c>
      <x:c r="N344" s="31" t="inlineStr">
        <x:is>
          <x:t xml:space="preserve">Ожидание ОТК</x:t>
        </x:is>
      </x:c>
      <x:c r="O344" s="31" t="inlineStr">
        <x:is>
          <x:t xml:space="preserve">Подтверждено мастером</x:t>
        </x:is>
      </x:c>
      <x:c r="P344" s="31" t="inlineStr">
        <x:is>
          <x:t xml:space="preserve">Комментарий смены 367</x:t>
        </x:is>
      </x:c>
    </x:row>
    <x:row r="345">
      <x:c r="A345" s="31" t="inlineStr">
        <x:is>
          <x:t xml:space="preserve">СМ-00368</x:t>
        </x:is>
      </x:c>
      <x:c r="B345" s="31" t="n">
        <x:v>46126</x:v>
      </x:c>
      <x:c r="C345" s="31" t="inlineStr">
        <x:is>
          <x:t xml:space="preserve">День</x:t>
        </x:is>
      </x:c>
      <x:c r="D345" s="31" t="inlineStr">
        <x:is>
          <x:t xml:space="preserve">ПЗ-00135</x:t>
        </x:is>
      </x:c>
      <x:c r="E345" s="31" t="inlineStr">
        <x:is>
          <x:t xml:space="preserve">ОП-001131</x:t>
        </x:is>
      </x:c>
      <x:c r="F345" s="31" t="inlineStr">
        <x:is>
          <x:t xml:space="preserve">ОБ-021</x:t>
        </x:is>
      </x:c>
      <x:c r="G345" s="31" t="inlineStr">
        <x:is>
          <x:t xml:space="preserve">СОТР-056</x:t>
        </x:is>
      </x:c>
      <x:c r="H345" s="31" t="inlineStr">
        <x:is>
          <x:t xml:space="preserve">Сварка</x:t>
        </x:is>
      </x:c>
      <x:c r="I345" s="31" t="n">
        <x:v>4</x:v>
      </x:c>
      <x:c r="J345" s="31" t="n">
        <x:v>4</x:v>
      </x:c>
      <x:c r="K345" s="31" t="n">
        <x:v>11.6</x:v>
      </x:c>
      <x:c r="L345" s="31" t="n">
        <x:v>13.1</x:v>
      </x:c>
      <x:c r="M345" s="31" t="n">
        <x:v>120</x:v>
      </x:c>
      <x:c r="N345" s="31" t="inlineStr">
        <x:is>
          <x:t xml:space="preserve">Ремонт оборудования</x:t>
        </x:is>
      </x:c>
      <x:c r="O345" s="31" t="inlineStr">
        <x:is>
          <x:t xml:space="preserve">Подтверждено мастером</x:t>
        </x:is>
      </x:c>
      <x:c r="P345" s="31" t="inlineStr">
        <x:is>
          <x:t xml:space="preserve">Комментарий смены 368</x:t>
        </x:is>
      </x:c>
    </x:row>
    <x:row r="346">
      <x:c r="A346" s="31" t="inlineStr">
        <x:is>
          <x:t xml:space="preserve">СМ-00369</x:t>
        </x:is>
      </x:c>
      <x:c r="B346" s="31" t="n">
        <x:v>46121</x:v>
      </x:c>
      <x:c r="C346" s="31" t="inlineStr">
        <x:is>
          <x:t xml:space="preserve">День</x:t>
        </x:is>
      </x:c>
      <x:c r="D346" s="31" t="inlineStr">
        <x:is>
          <x:t xml:space="preserve">ПЗ-00164</x:t>
        </x:is>
      </x:c>
      <x:c r="E346" s="31" t="inlineStr">
        <x:is>
          <x:t xml:space="preserve">ОП-001371</x:t>
        </x:is>
      </x:c>
      <x:c r="F346" s="31" t="n"/>
      <x:c r="G346" s="31" t="inlineStr">
        <x:is>
          <x:t xml:space="preserve">СОТР-070</x:t>
        </x:is>
      </x:c>
      <x:c r="H346" s="31" t="inlineStr">
        <x:is>
          <x:t xml:space="preserve">Логистика</x:t>
        </x:is>
      </x:c>
      <x:c r="I346" s="31" t="n">
        <x:v>1</x:v>
      </x:c>
      <x:c r="J346" s="31" t="n">
        <x:v>2</x:v>
      </x:c>
      <x:c r="K346" s="31" t="n">
        <x:v>12.4</x:v>
      </x:c>
      <x:c r="L346" s="31" t="n">
        <x:v>15.7</x:v>
      </x:c>
      <x:c r="M346" s="31" t="n">
        <x:v>120</x:v>
      </x:c>
      <x:c r="N346" s="31" t="inlineStr">
        <x:is>
          <x:t xml:space="preserve">Ожидание материала</x:t>
        </x:is>
      </x:c>
      <x:c r="O346" s="31" t="inlineStr">
        <x:is>
          <x:t xml:space="preserve">Подтверждено мастером</x:t>
        </x:is>
      </x:c>
      <x:c r="P346" s="31" t="inlineStr">
        <x:is>
          <x:t xml:space="preserve">Комментарий смены 369</x:t>
        </x:is>
      </x:c>
    </x:row>
    <x:row r="347">
      <x:c r="A347" s="31" t="inlineStr">
        <x:is>
          <x:t xml:space="preserve">СМ-00371</x:t>
        </x:is>
      </x:c>
      <x:c r="B347" s="31" t="n">
        <x:v>46116</x:v>
      </x:c>
      <x:c r="C347" s="31" t="inlineStr">
        <x:is>
          <x:t xml:space="preserve">День</x:t>
        </x:is>
      </x:c>
      <x:c r="D347" s="31" t="inlineStr">
        <x:is>
          <x:t xml:space="preserve">ПЗ-00052</x:t>
        </x:is>
      </x:c>
      <x:c r="E347" s="31" t="inlineStr">
        <x:is>
          <x:t xml:space="preserve">ОП-000433</x:t>
        </x:is>
      </x:c>
      <x:c r="F347" s="31" t="inlineStr">
        <x:is>
          <x:t xml:space="preserve">ОБ-024</x:t>
        </x:is>
      </x:c>
      <x:c r="G347" s="31" t="inlineStr">
        <x:is>
          <x:t xml:space="preserve">СОТР-100</x:t>
        </x:is>
      </x:c>
      <x:c r="H347" s="31" t="inlineStr">
        <x:is>
          <x:t xml:space="preserve">ОТК</x:t>
        </x:is>
      </x:c>
      <x:c r="I347" s="31" t="n">
        <x:v>1</x:v>
      </x:c>
      <x:c r="J347" s="31" t="n">
        <x:v>1</x:v>
      </x:c>
      <x:c r="K347" s="31" t="n">
        <x:v>4.9</x:v>
      </x:c>
      <x:c r="L347" s="31" t="n">
        <x:v>5.5</x:v>
      </x:c>
      <x:c r="M347" s="31" t="n">
        <x:v>0</x:v>
      </x:c>
      <x:c r="N347" s="31" t="inlineStr">
        <x:is>
          <x:t xml:space="preserve">Нет</x:t>
        </x:is>
      </x:c>
      <x:c r="O347" s="31" t="inlineStr">
        <x:is>
          <x:t xml:space="preserve">Подтверждено мастером</x:t>
        </x:is>
      </x:c>
      <x:c r="P347" s="31" t="inlineStr">
        <x:is>
          <x:t xml:space="preserve">Комментарий смены 371</x:t>
        </x:is>
      </x:c>
    </x:row>
    <x:row r="348">
      <x:c r="A348" s="31" t="inlineStr">
        <x:is>
          <x:t xml:space="preserve">СМ-00372</x:t>
        </x:is>
      </x:c>
      <x:c r="B348" s="31" t="n">
        <x:v>46127</x:v>
      </x:c>
      <x:c r="C348" s="31" t="inlineStr">
        <x:is>
          <x:t xml:space="preserve">День</x:t>
        </x:is>
      </x:c>
      <x:c r="D348" s="31" t="inlineStr">
        <x:is>
          <x:t xml:space="preserve">ПЗ-00070</x:t>
        </x:is>
      </x:c>
      <x:c r="E348" s="31" t="inlineStr">
        <x:is>
          <x:t xml:space="preserve">ОП-000593</x:t>
        </x:is>
      </x:c>
      <x:c r="F348" s="31" t="n"/>
      <x:c r="G348" s="31" t="inlineStr">
        <x:is>
          <x:t xml:space="preserve">СОТР-015</x:t>
        </x:is>
      </x:c>
      <x:c r="H348" s="31" t="inlineStr">
        <x:is>
          <x:t xml:space="preserve">Инженерный отдел</x:t>
        </x:is>
      </x:c>
      <x:c r="I348" s="31" t="n">
        <x:v>1</x:v>
      </x:c>
      <x:c r="J348" s="31" t="n">
        <x:v>0</x:v>
      </x:c>
      <x:c r="K348" s="31" t="n">
        <x:v>22.5</x:v>
      </x:c>
      <x:c r="L348" s="31" t="n">
        <x:v>29.4</x:v>
      </x:c>
      <x:c r="M348" s="31" t="n">
        <x:v>0</x:v>
      </x:c>
      <x:c r="N348" s="31" t="inlineStr">
        <x:is>
          <x:t xml:space="preserve">Нет</x:t>
        </x:is>
      </x:c>
      <x:c r="O348" s="31" t="inlineStr">
        <x:is>
          <x:t xml:space="preserve">Подтверждено мастером</x:t>
        </x:is>
      </x:c>
      <x:c r="P348" s="31" t="inlineStr">
        <x:is>
          <x:t xml:space="preserve">Комментарий смены 372</x:t>
        </x:is>
      </x:c>
    </x:row>
    <x:row r="349">
      <x:c r="A349" s="31" t="inlineStr">
        <x:is>
          <x:t xml:space="preserve">СМ-00373</x:t>
        </x:is>
      </x:c>
      <x:c r="B349" s="31" t="n">
        <x:v>46159</x:v>
      </x:c>
      <x:c r="C349" s="31" t="inlineStr">
        <x:is>
          <x:t xml:space="preserve">День</x:t>
        </x:is>
      </x:c>
      <x:c r="D349" s="31" t="inlineStr">
        <x:is>
          <x:t xml:space="preserve">ПЗ-00016</x:t>
        </x:is>
      </x:c>
      <x:c r="E349" s="31" t="inlineStr">
        <x:is>
          <x:t xml:space="preserve">ОП-000130</x:t>
        </x:is>
      </x:c>
      <x:c r="F349" s="31" t="n"/>
      <x:c r="G349" s="31" t="inlineStr">
        <x:is>
          <x:t xml:space="preserve">СОТР-011</x:t>
        </x:is>
      </x:c>
      <x:c r="H349" s="31" t="inlineStr">
        <x:is>
          <x:t xml:space="preserve">Инженерный отдел</x:t>
        </x:is>
      </x:c>
      <x:c r="I349" s="31" t="n">
        <x:v>1</x:v>
      </x:c>
      <x:c r="J349" s="31" t="n">
        <x:v>1</x:v>
      </x:c>
      <x:c r="K349" s="31" t="n">
        <x:v>3.6</x:v>
      </x:c>
      <x:c r="L349" s="31" t="n">
        <x:v>3</x:v>
      </x:c>
      <x:c r="M349" s="31" t="n">
        <x:v>0</x:v>
      </x:c>
      <x:c r="N349" s="31" t="inlineStr">
        <x:is>
          <x:t xml:space="preserve">Нет</x:t>
        </x:is>
      </x:c>
      <x:c r="O349" s="31" t="inlineStr">
        <x:is>
          <x:t xml:space="preserve">Подтверждено мастером</x:t>
        </x:is>
      </x:c>
      <x:c r="P349" s="31" t="inlineStr">
        <x:is>
          <x:t xml:space="preserve">Комментарий смены 373</x:t>
        </x:is>
      </x:c>
    </x:row>
    <x:row r="350">
      <x:c r="A350" s="31" t="inlineStr">
        <x:is>
          <x:t xml:space="preserve">СМ-00374</x:t>
        </x:is>
      </x:c>
      <x:c r="B350" s="31" t="n">
        <x:v>46109</x:v>
      </x:c>
      <x:c r="C350" s="31" t="inlineStr">
        <x:is>
          <x:t xml:space="preserve">День</x:t>
        </x:is>
      </x:c>
      <x:c r="D350" s="31" t="inlineStr">
        <x:is>
          <x:t xml:space="preserve">ПЗ-00012</x:t>
        </x:is>
      </x:c>
      <x:c r="E350" s="31" t="inlineStr">
        <x:is>
          <x:t xml:space="preserve">ОП-000093</x:t>
        </x:is>
      </x:c>
      <x:c r="F350" s="31" t="n"/>
      <x:c r="G350" s="31" t="inlineStr">
        <x:is>
          <x:t xml:space="preserve">СОТР-020</x:t>
        </x:is>
      </x:c>
      <x:c r="H350" s="31" t="inlineStr">
        <x:is>
          <x:t xml:space="preserve">Инженерный отдел</x:t>
        </x:is>
      </x:c>
      <x:c r="I350" s="31" t="n">
        <x:v>1</x:v>
      </x:c>
      <x:c r="J350" s="31" t="n">
        <x:v>1</x:v>
      </x:c>
      <x:c r="K350" s="31" t="n">
        <x:v>14</x:v>
      </x:c>
      <x:c r="L350" s="31" t="n">
        <x:v>13.3</x:v>
      </x:c>
      <x:c r="M350" s="31" t="n">
        <x:v>45</x:v>
      </x:c>
      <x:c r="N350" s="31" t="inlineStr">
        <x:is>
          <x:t xml:space="preserve">Ожидание ОТК</x:t>
        </x:is>
      </x:c>
      <x:c r="O350" s="31" t="inlineStr">
        <x:is>
          <x:t xml:space="preserve">Подтверждено мастером</x:t>
        </x:is>
      </x:c>
      <x:c r="P350" s="31" t="inlineStr">
        <x:is>
          <x:t xml:space="preserve">Комментарий смены 374</x:t>
        </x:is>
      </x:c>
    </x:row>
    <x:row r="351">
      <x:c r="A351" s="31" t="inlineStr">
        <x:is>
          <x:t xml:space="preserve">СМ-00375</x:t>
        </x:is>
      </x:c>
      <x:c r="B351" s="31" t="n">
        <x:v>46115</x:v>
      </x:c>
      <x:c r="C351" s="31" t="inlineStr">
        <x:is>
          <x:t xml:space="preserve">День</x:t>
        </x:is>
      </x:c>
      <x:c r="D351" s="31" t="inlineStr">
        <x:is>
          <x:t xml:space="preserve">ПЗ-00054</x:t>
        </x:is>
      </x:c>
      <x:c r="E351" s="31" t="inlineStr">
        <x:is>
          <x:t xml:space="preserve">ОП-000452</x:t>
        </x:is>
      </x:c>
      <x:c r="F351" s="31" t="inlineStr">
        <x:is>
          <x:t xml:space="preserve">ОБ-015</x:t>
        </x:is>
      </x:c>
      <x:c r="G351" s="31" t="inlineStr">
        <x:is>
          <x:t xml:space="preserve">СОТР-097</x:t>
        </x:is>
      </x:c>
      <x:c r="H351" s="31" t="inlineStr">
        <x:is>
          <x:t xml:space="preserve">ОТК</x:t>
        </x:is>
      </x:c>
      <x:c r="I351" s="31" t="n">
        <x:v>3</x:v>
      </x:c>
      <x:c r="J351" s="31" t="n">
        <x:v>3</x:v>
      </x:c>
      <x:c r="K351" s="31" t="n">
        <x:v>42.3</x:v>
      </x:c>
      <x:c r="L351" s="31" t="n">
        <x:v>49</x:v>
      </x:c>
      <x:c r="M351" s="31" t="n">
        <x:v>15</x:v>
      </x:c>
      <x:c r="N351" s="31" t="inlineStr">
        <x:is>
          <x:t xml:space="preserve">Нет оператора</x:t>
        </x:is>
      </x:c>
      <x:c r="O351" s="31" t="inlineStr">
        <x:is>
          <x:t xml:space="preserve">Подтверждено мастером</x:t>
        </x:is>
      </x:c>
      <x:c r="P351" s="31" t="inlineStr">
        <x:is>
          <x:t xml:space="preserve">Комментарий смены 375</x:t>
        </x:is>
      </x:c>
    </x:row>
    <x:row r="352">
      <x:c r="A352" s="31" t="inlineStr">
        <x:is>
          <x:t xml:space="preserve">СМ-00376</x:t>
        </x:is>
      </x:c>
      <x:c r="B352" s="31" t="n">
        <x:v>46169</x:v>
      </x:c>
      <x:c r="C352" s="31" t="inlineStr">
        <x:is>
          <x:t xml:space="preserve">Вечер</x:t>
        </x:is>
      </x:c>
      <x:c r="D352" s="31" t="inlineStr">
        <x:is>
          <x:t xml:space="preserve">ПЗ-00064</x:t>
        </x:is>
      </x:c>
      <x:c r="E352" s="31" t="inlineStr">
        <x:is>
          <x:t xml:space="preserve">ОП-000537</x:t>
        </x:is>
      </x:c>
      <x:c r="F352" s="31" t="inlineStr">
        <x:is>
          <x:t xml:space="preserve">ОБ-021</x:t>
        </x:is>
      </x:c>
      <x:c r="G352" s="31" t="inlineStr">
        <x:is>
          <x:t xml:space="preserve">СОТР-066</x:t>
        </x:is>
      </x:c>
      <x:c r="H352" s="31" t="inlineStr">
        <x:is>
          <x:t xml:space="preserve">Сварка</x:t>
        </x:is>
      </x:c>
      <x:c r="I352" s="31" t="n">
        <x:v>4</x:v>
      </x:c>
      <x:c r="J352" s="31" t="n">
        <x:v>0</x:v>
      </x:c>
      <x:c r="K352" s="31" t="n">
        <x:v>18.8</x:v>
      </x:c>
      <x:c r="L352" s="31" t="n">
        <x:v>10.5</x:v>
      </x:c>
      <x:c r="M352" s="31" t="n">
        <x:v>45</x:v>
      </x:c>
      <x:c r="N352" s="31" t="inlineStr">
        <x:is>
          <x:t xml:space="preserve">Переналадка</x:t>
        </x:is>
      </x:c>
      <x:c r="O352" s="31" t="inlineStr">
        <x:is>
          <x:t xml:space="preserve">Подтверждено мастером</x:t>
        </x:is>
      </x:c>
      <x:c r="P352" s="31" t="inlineStr">
        <x:is>
          <x:t xml:space="preserve">Комментарий смены 376</x:t>
        </x:is>
      </x:c>
    </x:row>
    <x:row r="353">
      <x:c r="A353" s="31" t="inlineStr">
        <x:is>
          <x:t xml:space="preserve">СМ-00377</x:t>
        </x:is>
      </x:c>
      <x:c r="B353" s="31" t="n">
        <x:v>46120</x:v>
      </x:c>
      <x:c r="C353" s="31" t="inlineStr">
        <x:is>
          <x:t xml:space="preserve">День</x:t>
        </x:is>
      </x:c>
      <x:c r="D353" s="31" t="inlineStr">
        <x:is>
          <x:t xml:space="preserve">ПЗ-00019</x:t>
        </x:is>
      </x:c>
      <x:c r="E353" s="31" t="inlineStr">
        <x:is>
          <x:t xml:space="preserve">ОП-000161</x:t>
        </x:is>
      </x:c>
      <x:c r="F353" s="31" t="inlineStr">
        <x:is>
          <x:t xml:space="preserve">ОБ-031</x:t>
        </x:is>
      </x:c>
      <x:c r="G353" s="31" t="inlineStr">
        <x:is>
          <x:t xml:space="preserve">СОТР-045</x:t>
        </x:is>
      </x:c>
      <x:c r="H353" s="31" t="inlineStr">
        <x:is>
          <x:t xml:space="preserve">Механообработка</x:t>
        </x:is>
      </x:c>
      <x:c r="I353" s="31" t="n">
        <x:v>2</x:v>
      </x:c>
      <x:c r="J353" s="31" t="n">
        <x:v>0</x:v>
      </x:c>
      <x:c r="K353" s="31" t="n">
        <x:v>7.4</x:v>
      </x:c>
      <x:c r="L353" s="31" t="n">
        <x:v>6.9</x:v>
      </x:c>
      <x:c r="M353" s="31" t="n">
        <x:v>45</x:v>
      </x:c>
      <x:c r="N353" s="31" t="inlineStr">
        <x:is>
          <x:t xml:space="preserve">Ожидание ОТК</x:t>
        </x:is>
      </x:c>
      <x:c r="O353" s="31" t="inlineStr">
        <x:is>
          <x:t xml:space="preserve">Подтверждено мастером</x:t>
        </x:is>
      </x:c>
      <x:c r="P353" s="31" t="inlineStr">
        <x:is>
          <x:t xml:space="preserve">Комментарий смены 377</x:t>
        </x:is>
      </x:c>
    </x:row>
    <x:row r="354">
      <x:c r="A354" s="31" t="inlineStr">
        <x:is>
          <x:t xml:space="preserve">СМ-00378</x:t>
        </x:is>
      </x:c>
      <x:c r="B354" s="31" t="n">
        <x:v>46107</x:v>
      </x:c>
      <x:c r="C354" s="31" t="inlineStr">
        <x:is>
          <x:t xml:space="preserve">Вечер</x:t>
        </x:is>
      </x:c>
      <x:c r="D354" s="31" t="inlineStr">
        <x:is>
          <x:t xml:space="preserve">ПЗ-00068</x:t>
        </x:is>
      </x:c>
      <x:c r="E354" s="31" t="inlineStr">
        <x:is>
          <x:t xml:space="preserve">ОП-000576</x:t>
        </x:is>
      </x:c>
      <x:c r="F354" s="31" t="inlineStr">
        <x:is>
          <x:t xml:space="preserve">ОБ-025</x:t>
        </x:is>
      </x:c>
      <x:c r="G354" s="31" t="inlineStr">
        <x:is>
          <x:t xml:space="preserve">СОТР-034</x:t>
        </x:is>
      </x:c>
      <x:c r="H354" s="31" t="inlineStr">
        <x:is>
          <x:t xml:space="preserve">Склад</x:t>
        </x:is>
      </x:c>
      <x:c r="I354" s="31" t="n">
        <x:v>1</x:v>
      </x:c>
      <x:c r="J354" s="31" t="n">
        <x:v>0</x:v>
      </x:c>
      <x:c r="K354" s="31" t="n">
        <x:v>6.8</x:v>
      </x:c>
      <x:c r="L354" s="31" t="n">
        <x:v>7.2</x:v>
      </x:c>
      <x:c r="M354" s="31" t="n">
        <x:v>45</x:v>
      </x:c>
      <x:c r="N354" s="31" t="inlineStr">
        <x:is>
          <x:t xml:space="preserve">Ожидание материала</x:t>
        </x:is>
      </x:c>
      <x:c r="O354" s="31" t="inlineStr">
        <x:is>
          <x:t xml:space="preserve">Подтверждено мастером</x:t>
        </x:is>
      </x:c>
      <x:c r="P354" s="31" t="inlineStr">
        <x:is>
          <x:t xml:space="preserve">Комментарий смены 378</x:t>
        </x:is>
      </x:c>
    </x:row>
    <x:row r="355">
      <x:c r="A355" s="31" t="inlineStr">
        <x:is>
          <x:t xml:space="preserve">СМ-00379</x:t>
        </x:is>
      </x:c>
      <x:c r="B355" s="31" t="n">
        <x:v>46104</x:v>
      </x:c>
      <x:c r="C355" s="31" t="inlineStr">
        <x:is>
          <x:t xml:space="preserve">Ночь</x:t>
        </x:is>
      </x:c>
      <x:c r="D355" s="31" t="inlineStr">
        <x:is>
          <x:t xml:space="preserve">ПЗ-00022</x:t>
        </x:is>
      </x:c>
      <x:c r="E355" s="31" t="inlineStr">
        <x:is>
          <x:t xml:space="preserve">ОП-000191</x:t>
        </x:is>
      </x:c>
      <x:c r="F355" s="31" t="n"/>
      <x:c r="G355" s="31" t="inlineStr">
        <x:is>
          <x:t xml:space="preserve">СОТР-102</x:t>
        </x:is>
      </x:c>
      <x:c r="H355" s="31" t="inlineStr">
        <x:is>
          <x:t xml:space="preserve">Логистика</x:t>
        </x:is>
      </x:c>
      <x:c r="I355" s="31" t="n">
        <x:v>2</x:v>
      </x:c>
      <x:c r="J355" s="31" t="n">
        <x:v>0</x:v>
      </x:c>
      <x:c r="K355" s="31" t="n">
        <x:v>15.2</x:v>
      </x:c>
      <x:c r="L355" s="31" t="n">
        <x:v>13.2</x:v>
      </x:c>
      <x:c r="M355" s="31" t="n">
        <x:v>60</x:v>
      </x:c>
      <x:c r="N355" s="31" t="inlineStr">
        <x:is>
          <x:t xml:space="preserve">Ремонт оборудования</x:t>
        </x:is>
      </x:c>
      <x:c r="O355" s="31" t="inlineStr">
        <x:is>
          <x:t xml:space="preserve">Подтверждено мастером</x:t>
        </x:is>
      </x:c>
      <x:c r="P355" s="31" t="inlineStr">
        <x:is>
          <x:t xml:space="preserve">Комментарий смены 379</x:t>
        </x:is>
      </x:c>
    </x:row>
    <x:row r="356">
      <x:c r="A356" s="31" t="inlineStr">
        <x:is>
          <x:t xml:space="preserve">СМ-00380</x:t>
        </x:is>
      </x:c>
      <x:c r="B356" s="31" t="n">
        <x:v>46210</x:v>
      </x:c>
      <x:c r="C356" s="31" t="inlineStr">
        <x:is>
          <x:t xml:space="preserve">День</x:t>
        </x:is>
      </x:c>
      <x:c r="D356" s="31" t="inlineStr">
        <x:is>
          <x:t xml:space="preserve">ПЗ-00049</x:t>
        </x:is>
      </x:c>
      <x:c r="E356" s="31" t="inlineStr">
        <x:is>
          <x:t xml:space="preserve">ОП-000406</x:t>
        </x:is>
      </x:c>
      <x:c r="F356" s="31" t="inlineStr">
        <x:is>
          <x:t xml:space="preserve">ОБ-001</x:t>
        </x:is>
      </x:c>
      <x:c r="G356" s="31" t="inlineStr">
        <x:is>
          <x:t xml:space="preserve">СОТР-096</x:t>
        </x:is>
      </x:c>
      <x:c r="H356" s="31" t="inlineStr">
        <x:is>
          <x:t xml:space="preserve">ОТК</x:t>
        </x:is>
      </x:c>
      <x:c r="I356" s="31" t="n">
        <x:v>7</x:v>
      </x:c>
      <x:c r="J356" s="31" t="n">
        <x:v>6</x:v>
      </x:c>
      <x:c r="K356" s="31" t="n">
        <x:v>61.5</x:v>
      </x:c>
      <x:c r="L356" s="31" t="n">
        <x:v>49.2</x:v>
      </x:c>
      <x:c r="M356" s="31" t="n">
        <x:v>120</x:v>
      </x:c>
      <x:c r="N356" s="31" t="inlineStr">
        <x:is>
          <x:t xml:space="preserve">Ожидание ОТК</x:t>
        </x:is>
      </x:c>
      <x:c r="O356" s="31" t="inlineStr">
        <x:is>
          <x:t xml:space="preserve">Подтверждено мастером</x:t>
        </x:is>
      </x:c>
      <x:c r="P356" s="31" t="inlineStr">
        <x:is>
          <x:t xml:space="preserve">Комментарий смены 380</x:t>
        </x:is>
      </x:c>
    </x:row>
    <x:row r="357">
      <x:c r="A357" s="31" t="inlineStr">
        <x:is>
          <x:t xml:space="preserve">СМ-00381</x:t>
        </x:is>
      </x:c>
      <x:c r="B357" s="31" t="n">
        <x:v>46156</x:v>
      </x:c>
      <x:c r="C357" s="31" t="inlineStr">
        <x:is>
          <x:t xml:space="preserve">День</x:t>
        </x:is>
      </x:c>
      <x:c r="D357" s="31" t="inlineStr">
        <x:is>
          <x:t xml:space="preserve">ПЗ-00186</x:t>
        </x:is>
      </x:c>
      <x:c r="E357" s="31" t="inlineStr">
        <x:is>
          <x:t xml:space="preserve">ОП-001548</x:t>
        </x:is>
      </x:c>
      <x:c r="F357" s="31" t="inlineStr">
        <x:is>
          <x:t xml:space="preserve">ОБ-029</x:t>
        </x:is>
      </x:c>
      <x:c r="G357" s="31" t="inlineStr">
        <x:is>
          <x:t xml:space="preserve">СОТР-043</x:t>
        </x:is>
      </x:c>
      <x:c r="H357" s="31" t="inlineStr">
        <x:is>
          <x:t xml:space="preserve">Механообработка</x:t>
        </x:is>
      </x:c>
      <x:c r="I357" s="31" t="n">
        <x:v>4</x:v>
      </x:c>
      <x:c r="J357" s="31" t="n">
        <x:v>4</x:v>
      </x:c>
      <x:c r="K357" s="31" t="n">
        <x:v>40.5</x:v>
      </x:c>
      <x:c r="L357" s="31" t="n">
        <x:v>51.4</x:v>
      </x:c>
      <x:c r="M357" s="31" t="n">
        <x:v>30</x:v>
      </x:c>
      <x:c r="N357" s="31" t="inlineStr">
        <x:is>
          <x:t xml:space="preserve">Ремонт оборудования</x:t>
        </x:is>
      </x:c>
      <x:c r="O357" s="31" t="inlineStr">
        <x:is>
          <x:t xml:space="preserve">Подтверждено мастером</x:t>
        </x:is>
      </x:c>
      <x:c r="P357" s="31" t="inlineStr">
        <x:is>
          <x:t xml:space="preserve">Комментарий смены 381</x:t>
        </x:is>
      </x:c>
    </x:row>
    <x:row r="358">
      <x:c r="A358" s="31" t="inlineStr">
        <x:is>
          <x:t xml:space="preserve">СМ-00382</x:t>
        </x:is>
      </x:c>
      <x:c r="B358" s="31" t="n">
        <x:v>46108</x:v>
      </x:c>
      <x:c r="C358" s="31" t="inlineStr">
        <x:is>
          <x:t xml:space="preserve">День</x:t>
        </x:is>
      </x:c>
      <x:c r="D358" s="31" t="inlineStr">
        <x:is>
          <x:t xml:space="preserve">ПЗ-00237</x:t>
        </x:is>
      </x:c>
      <x:c r="E358" s="31" t="inlineStr">
        <x:is>
          <x:t xml:space="preserve">ОП-001980</x:t>
        </x:is>
      </x:c>
      <x:c r="F358" s="31" t="n"/>
      <x:c r="G358" s="31" t="inlineStr">
        <x:is>
          <x:t xml:space="preserve">СОТР-015</x:t>
        </x:is>
      </x:c>
      <x:c r="H358" s="31" t="inlineStr">
        <x:is>
          <x:t xml:space="preserve">Инженерный отдел</x:t>
        </x:is>
      </x:c>
      <x:c r="I358" s="31" t="n">
        <x:v>4</x:v>
      </x:c>
      <x:c r="J358" s="31" t="n">
        <x:v>4</x:v>
      </x:c>
      <x:c r="K358" s="31" t="n">
        <x:v>27.5</x:v>
      </x:c>
      <x:c r="L358" s="31" t="n">
        <x:v>30.5</x:v>
      </x:c>
      <x:c r="M358" s="31" t="n">
        <x:v>15</x:v>
      </x:c>
      <x:c r="N358" s="31" t="inlineStr">
        <x:is>
          <x:t xml:space="preserve">Ожидание материала</x:t>
        </x:is>
      </x:c>
      <x:c r="O358" s="31" t="inlineStr">
        <x:is>
          <x:t xml:space="preserve">Закрыто</x:t>
        </x:is>
      </x:c>
      <x:c r="P358" s="31" t="inlineStr">
        <x:is>
          <x:t xml:space="preserve">Комментарий смены 382</x:t>
        </x:is>
      </x:c>
    </x:row>
    <x:row r="359">
      <x:c r="A359" s="31" t="inlineStr">
        <x:is>
          <x:t xml:space="preserve">СМ-00383</x:t>
        </x:is>
      </x:c>
      <x:c r="B359" s="31" t="n">
        <x:v>46166</x:v>
      </x:c>
      <x:c r="C359" s="31" t="inlineStr">
        <x:is>
          <x:t xml:space="preserve">День</x:t>
        </x:is>
      </x:c>
      <x:c r="D359" s="31" t="inlineStr">
        <x:is>
          <x:t xml:space="preserve">ПЗ-00126</x:t>
        </x:is>
      </x:c>
      <x:c r="E359" s="31" t="inlineStr">
        <x:is>
          <x:t xml:space="preserve">ОП-001057</x:t>
        </x:is>
      </x:c>
      <x:c r="F359" s="31" t="n"/>
      <x:c r="G359" s="31" t="inlineStr">
        <x:is>
          <x:t xml:space="preserve">СОТР-103</x:t>
        </x:is>
      </x:c>
      <x:c r="H359" s="31" t="inlineStr">
        <x:is>
          <x:t xml:space="preserve">Логистика</x:t>
        </x:is>
      </x:c>
      <x:c r="I359" s="31" t="n">
        <x:v>2</x:v>
      </x:c>
      <x:c r="J359" s="31" t="n">
        <x:v>2</x:v>
      </x:c>
      <x:c r="K359" s="31" t="n">
        <x:v>4.6</x:v>
      </x:c>
      <x:c r="L359" s="31" t="n">
        <x:v>4.6</x:v>
      </x:c>
      <x:c r="M359" s="31" t="n">
        <x:v>0</x:v>
      </x:c>
      <x:c r="N359" s="31" t="inlineStr">
        <x:is>
          <x:t xml:space="preserve">Нет</x:t>
        </x:is>
      </x:c>
      <x:c r="O359" s="31" t="inlineStr">
        <x:is>
          <x:t xml:space="preserve">Подтверждено мастером</x:t>
        </x:is>
      </x:c>
      <x:c r="P359" s="31" t="inlineStr">
        <x:is>
          <x:t xml:space="preserve">Комментарий смены 383</x:t>
        </x:is>
      </x:c>
    </x:row>
    <x:row r="360">
      <x:c r="A360" s="31" t="inlineStr">
        <x:is>
          <x:t xml:space="preserve">СМ-00384</x:t>
        </x:is>
      </x:c>
      <x:c r="B360" s="31" t="n">
        <x:v>46080</x:v>
      </x:c>
      <x:c r="C360" s="31" t="inlineStr">
        <x:is>
          <x:t xml:space="preserve">Ночь</x:t>
        </x:is>
      </x:c>
      <x:c r="D360" s="31" t="inlineStr">
        <x:is>
          <x:t xml:space="preserve">ПЗ-00025</x:t>
        </x:is>
      </x:c>
      <x:c r="E360" s="31" t="inlineStr">
        <x:is>
          <x:t xml:space="preserve">ОП-000213</x:t>
        </x:is>
      </x:c>
      <x:c r="F360" s="31" t="inlineStr">
        <x:is>
          <x:t xml:space="preserve">ОБ-016</x:t>
        </x:is>
      </x:c>
      <x:c r="G360" s="31" t="inlineStr">
        <x:is>
          <x:t xml:space="preserve">СОТР-078</x:t>
        </x:is>
      </x:c>
      <x:c r="H360" s="31" t="inlineStr">
        <x:is>
          <x:t xml:space="preserve">Сборка</x:t>
        </x:is>
      </x:c>
      <x:c r="I360" s="31" t="n">
        <x:v>2</x:v>
      </x:c>
      <x:c r="J360" s="31" t="n">
        <x:v>2</x:v>
      </x:c>
      <x:c r="K360" s="31" t="n">
        <x:v>7.6</x:v>
      </x:c>
      <x:c r="L360" s="31" t="n">
        <x:v>9.199999999999999</x:v>
      </x:c>
      <x:c r="M360" s="31" t="n">
        <x:v>90</x:v>
      </x:c>
      <x:c r="N360" s="31" t="inlineStr">
        <x:is>
          <x:t xml:space="preserve">Нет оператора</x:t>
        </x:is>
      </x:c>
      <x:c r="O360" s="31" t="inlineStr">
        <x:is>
          <x:t xml:space="preserve">Черновик</x:t>
        </x:is>
      </x:c>
      <x:c r="P360" s="31" t="inlineStr">
        <x:is>
          <x:t xml:space="preserve">Комментарий смены 384</x:t>
        </x:is>
      </x:c>
    </x:row>
    <x:row r="361">
      <x:c r="A361" s="31" t="inlineStr">
        <x:is>
          <x:t xml:space="preserve">СМ-00385</x:t>
        </x:is>
      </x:c>
      <x:c r="B361" s="31" t="n">
        <x:v>46086</x:v>
      </x:c>
      <x:c r="C361" s="31" t="inlineStr">
        <x:is>
          <x:t xml:space="preserve">День</x:t>
        </x:is>
      </x:c>
      <x:c r="D361" s="31" t="inlineStr">
        <x:is>
          <x:t xml:space="preserve">ПЗ-00026</x:t>
        </x:is>
      </x:c>
      <x:c r="E361" s="31" t="inlineStr">
        <x:is>
          <x:t xml:space="preserve">ОП-000228</x:t>
        </x:is>
      </x:c>
      <x:c r="F361" s="31" t="n"/>
      <x:c r="G361" s="31" t="inlineStr">
        <x:is>
          <x:t xml:space="preserve">СОТР-101</x:t>
        </x:is>
      </x:c>
      <x:c r="H361" s="31" t="inlineStr">
        <x:is>
          <x:t xml:space="preserve">Логистика</x:t>
        </x:is>
      </x:c>
      <x:c r="I361" s="31" t="n">
        <x:v>3</x:v>
      </x:c>
      <x:c r="J361" s="31" t="n">
        <x:v>2</x:v>
      </x:c>
      <x:c r="K361" s="31" t="n">
        <x:v>9.199999999999999</x:v>
      </x:c>
      <x:c r="L361" s="31" t="n">
        <x:v>7.6</x:v>
      </x:c>
      <x:c r="M361" s="31" t="n">
        <x:v>90</x:v>
      </x:c>
      <x:c r="N361" s="31" t="inlineStr">
        <x:is>
          <x:t xml:space="preserve">Переналадка</x:t>
        </x:is>
      </x:c>
      <x:c r="O361" s="31" t="inlineStr">
        <x:is>
          <x:t xml:space="preserve">Спорный факт</x:t>
        </x:is>
      </x:c>
      <x:c r="P361" s="31" t="inlineStr">
        <x:is>
          <x:t xml:space="preserve">Комментарий смены 385</x:t>
        </x:is>
      </x:c>
    </x:row>
    <x:row r="362">
      <x:c r="A362" s="31" t="inlineStr">
        <x:is>
          <x:t xml:space="preserve">СМ-00386</x:t>
        </x:is>
      </x:c>
      <x:c r="B362" s="31" t="n">
        <x:v>46130</x:v>
      </x:c>
      <x:c r="C362" s="31" t="inlineStr">
        <x:is>
          <x:t xml:space="preserve">День</x:t>
        </x:is>
      </x:c>
      <x:c r="D362" s="31" t="inlineStr">
        <x:is>
          <x:t xml:space="preserve">ПЗ-00231</x:t>
        </x:is>
      </x:c>
      <x:c r="E362" s="31" t="inlineStr">
        <x:is>
          <x:t xml:space="preserve">ОП-001938</x:t>
        </x:is>
      </x:c>
      <x:c r="F362" s="31" t="inlineStr">
        <x:is>
          <x:t xml:space="preserve">ОБ-032</x:t>
        </x:is>
      </x:c>
      <x:c r="G362" s="31" t="inlineStr">
        <x:is>
          <x:t xml:space="preserve">СОТР-098</x:t>
        </x:is>
      </x:c>
      <x:c r="H362" s="31" t="inlineStr">
        <x:is>
          <x:t xml:space="preserve">ОТК</x:t>
        </x:is>
      </x:c>
      <x:c r="I362" s="31" t="n">
        <x:v>1</x:v>
      </x:c>
      <x:c r="J362" s="31" t="n">
        <x:v>1</x:v>
      </x:c>
      <x:c r="K362" s="31" t="n">
        <x:v>37.4</x:v>
      </x:c>
      <x:c r="L362" s="31" t="n">
        <x:v>36.3</x:v>
      </x:c>
      <x:c r="M362" s="31" t="n">
        <x:v>15</x:v>
      </x:c>
      <x:c r="N362" s="31" t="inlineStr">
        <x:is>
          <x:t xml:space="preserve">Переналадка</x:t>
        </x:is>
      </x:c>
      <x:c r="O362" s="31" t="inlineStr">
        <x:is>
          <x:t xml:space="preserve">Подтверждено мастером</x:t>
        </x:is>
      </x:c>
      <x:c r="P362" s="31" t="inlineStr">
        <x:is>
          <x:t xml:space="preserve">Комментарий смены 386</x:t>
        </x:is>
      </x:c>
    </x:row>
    <x:row r="363">
      <x:c r="A363" s="31" t="inlineStr">
        <x:is>
          <x:t xml:space="preserve">СМ-00387</x:t>
        </x:is>
      </x:c>
      <x:c r="B363" s="31" t="n">
        <x:v>46184</x:v>
      </x:c>
      <x:c r="C363" s="31" t="inlineStr">
        <x:is>
          <x:t xml:space="preserve">Ночь</x:t>
        </x:is>
      </x:c>
      <x:c r="D363" s="31" t="inlineStr">
        <x:is>
          <x:t xml:space="preserve">ПЗ-00209</x:t>
        </x:is>
      </x:c>
      <x:c r="E363" s="31" t="inlineStr">
        <x:is>
          <x:t xml:space="preserve">ОП-001751</x:t>
        </x:is>
      </x:c>
      <x:c r="F363" s="31" t="inlineStr">
        <x:is>
          <x:t xml:space="preserve">ОБ-003</x:t>
        </x:is>
      </x:c>
      <x:c r="G363" s="31" t="inlineStr">
        <x:is>
          <x:t xml:space="preserve">СОТР-067</x:t>
        </x:is>
      </x:c>
      <x:c r="H363" s="31" t="inlineStr">
        <x:is>
          <x:t xml:space="preserve">Сварка</x:t>
        </x:is>
      </x:c>
      <x:c r="I363" s="31" t="n">
        <x:v>4</x:v>
      </x:c>
      <x:c r="J363" s="31" t="n">
        <x:v>5</x:v>
      </x:c>
      <x:c r="K363" s="31" t="n">
        <x:v>38</x:v>
      </x:c>
      <x:c r="L363" s="31" t="n">
        <x:v>47.6</x:v>
      </x:c>
      <x:c r="M363" s="31" t="n">
        <x:v>30</x:v>
      </x:c>
      <x:c r="N363" s="31" t="inlineStr">
        <x:is>
          <x:t xml:space="preserve">Ремонт оборудования</x:t>
        </x:is>
      </x:c>
      <x:c r="O363" s="31" t="inlineStr">
        <x:is>
          <x:t xml:space="preserve">Подтверждено мастером</x:t>
        </x:is>
      </x:c>
      <x:c r="P363" s="31" t="inlineStr">
        <x:is>
          <x:t xml:space="preserve">Комментарий смены 387</x:t>
        </x:is>
      </x:c>
    </x:row>
    <x:row r="364">
      <x:c r="A364" s="31" t="inlineStr">
        <x:is>
          <x:t xml:space="preserve">СМ-00388</x:t>
        </x:is>
      </x:c>
      <x:c r="B364" s="31" t="n">
        <x:v>46132</x:v>
      </x:c>
      <x:c r="C364" s="31" t="inlineStr">
        <x:is>
          <x:t xml:space="preserve">День</x:t>
        </x:is>
      </x:c>
      <x:c r="D364" s="31" t="inlineStr">
        <x:is>
          <x:t xml:space="preserve">ПЗ-00138</x:t>
        </x:is>
      </x:c>
      <x:c r="E364" s="31" t="inlineStr">
        <x:is>
          <x:t xml:space="preserve">ОП-001152</x:t>
        </x:is>
      </x:c>
      <x:c r="F364" s="31" t="inlineStr">
        <x:is>
          <x:t xml:space="preserve">ОБ-023</x:t>
        </x:is>
      </x:c>
      <x:c r="G364" s="31" t="inlineStr">
        <x:is>
          <x:t xml:space="preserve">СОТР-035</x:t>
        </x:is>
      </x:c>
      <x:c r="H364" s="31" t="inlineStr">
        <x:is>
          <x:t xml:space="preserve">Склад</x:t>
        </x:is>
      </x:c>
      <x:c r="I364" s="31" t="n">
        <x:v>2</x:v>
      </x:c>
      <x:c r="J364" s="31" t="n">
        <x:v>1</x:v>
      </x:c>
      <x:c r="K364" s="31" t="n">
        <x:v>53.1</x:v>
      </x:c>
      <x:c r="L364" s="31" t="n">
        <x:v>67.09999999999999</x:v>
      </x:c>
      <x:c r="M364" s="31" t="n">
        <x:v>0</x:v>
      </x:c>
      <x:c r="N364" s="31" t="inlineStr">
        <x:is>
          <x:t xml:space="preserve">Нет</x:t>
        </x:is>
      </x:c>
      <x:c r="O364" s="31" t="inlineStr">
        <x:is>
          <x:t xml:space="preserve">Подтверждено мастером</x:t>
        </x:is>
      </x:c>
      <x:c r="P364" s="31" t="inlineStr">
        <x:is>
          <x:t xml:space="preserve">Комментарий смены 388</x:t>
        </x:is>
      </x:c>
    </x:row>
    <x:row r="365">
      <x:c r="A365" s="31" t="inlineStr">
        <x:is>
          <x:t xml:space="preserve">СМ-00389</x:t>
        </x:is>
      </x:c>
      <x:c r="B365" s="31" t="n">
        <x:v>46206</x:v>
      </x:c>
      <x:c r="C365" s="31" t="inlineStr">
        <x:is>
          <x:t xml:space="preserve">День</x:t>
        </x:is>
      </x:c>
      <x:c r="D365" s="31" t="inlineStr">
        <x:is>
          <x:t xml:space="preserve">ПЗ-00157</x:t>
        </x:is>
      </x:c>
      <x:c r="E365" s="31" t="inlineStr">
        <x:is>
          <x:t xml:space="preserve">ОП-001298</x:t>
        </x:is>
      </x:c>
      <x:c r="F365" s="31" t="inlineStr">
        <x:is>
          <x:t xml:space="preserve">ОБ-012</x:t>
        </x:is>
      </x:c>
      <x:c r="G365" s="31" t="inlineStr">
        <x:is>
          <x:t xml:space="preserve">СОТР-075</x:t>
        </x:is>
      </x:c>
      <x:c r="H365" s="31" t="inlineStr">
        <x:is>
          <x:t xml:space="preserve">Сборка</x:t>
        </x:is>
      </x:c>
      <x:c r="I365" s="31" t="n">
        <x:v>1</x:v>
      </x:c>
      <x:c r="J365" s="31" t="n">
        <x:v>1</x:v>
      </x:c>
      <x:c r="K365" s="31" t="n">
        <x:v>3.5</x:v>
      </x:c>
      <x:c r="L365" s="31" t="n">
        <x:v>4.1</x:v>
      </x:c>
      <x:c r="M365" s="31" t="n">
        <x:v>0</x:v>
      </x:c>
      <x:c r="N365" s="31" t="inlineStr">
        <x:is>
          <x:t xml:space="preserve">Нет</x:t>
        </x:is>
      </x:c>
      <x:c r="O365" s="31" t="inlineStr">
        <x:is>
          <x:t xml:space="preserve">Подтверждено мастером</x:t>
        </x:is>
      </x:c>
      <x:c r="P365" s="31" t="inlineStr">
        <x:is>
          <x:t xml:space="preserve">Комментарий смены 389</x:t>
        </x:is>
      </x:c>
    </x:row>
    <x:row r="366">
      <x:c r="A366" s="31" t="inlineStr">
        <x:is>
          <x:t xml:space="preserve">СМ-00390</x:t>
        </x:is>
      </x:c>
      <x:c r="B366" s="31" t="n">
        <x:v>46196</x:v>
      </x:c>
      <x:c r="C366" s="31" t="inlineStr">
        <x:is>
          <x:t xml:space="preserve">День</x:t>
        </x:is>
      </x:c>
      <x:c r="D366" s="31" t="inlineStr">
        <x:is>
          <x:t xml:space="preserve">ПЗ-00217</x:t>
        </x:is>
      </x:c>
      <x:c r="E366" s="31" t="inlineStr">
        <x:is>
          <x:t xml:space="preserve">ОП-001827</x:t>
        </x:is>
      </x:c>
      <x:c r="F366" s="31" t="n"/>
      <x:c r="G366" s="31" t="inlineStr">
        <x:is>
          <x:t xml:space="preserve">СОТР-101</x:t>
        </x:is>
      </x:c>
      <x:c r="H366" s="31" t="inlineStr">
        <x:is>
          <x:t xml:space="preserve">Логистика</x:t>
        </x:is>
      </x:c>
      <x:c r="I366" s="31" t="n">
        <x:v>4</x:v>
      </x:c>
      <x:c r="J366" s="31" t="n">
        <x:v>0</x:v>
      </x:c>
      <x:c r="K366" s="31" t="n">
        <x:v>31.2</x:v>
      </x:c>
      <x:c r="L366" s="31" t="n">
        <x:v>34.3</x:v>
      </x:c>
      <x:c r="M366" s="31" t="n">
        <x:v>120</x:v>
      </x:c>
      <x:c r="N366" s="31" t="inlineStr">
        <x:is>
          <x:t xml:space="preserve">Ожидание материала</x:t>
        </x:is>
      </x:c>
      <x:c r="O366" s="31" t="inlineStr">
        <x:is>
          <x:t xml:space="preserve">Подтверждено мастером</x:t>
        </x:is>
      </x:c>
      <x:c r="P366" s="31" t="inlineStr">
        <x:is>
          <x:t xml:space="preserve">Комментарий смены 390</x:t>
        </x:is>
      </x:c>
    </x:row>
    <x:row r="367">
      <x:c r="A367" s="31" t="inlineStr">
        <x:is>
          <x:t xml:space="preserve">СМ-00391</x:t>
        </x:is>
      </x:c>
      <x:c r="B367" s="31" t="n">
        <x:v>46135</x:v>
      </x:c>
      <x:c r="C367" s="31" t="inlineStr">
        <x:is>
          <x:t xml:space="preserve">Ночь</x:t>
        </x:is>
      </x:c>
      <x:c r="D367" s="31" t="inlineStr">
        <x:is>
          <x:t xml:space="preserve">ПЗ-00263</x:t>
        </x:is>
      </x:c>
      <x:c r="E367" s="31" t="inlineStr">
        <x:is>
          <x:t xml:space="preserve">ОП-002194</x:t>
        </x:is>
      </x:c>
      <x:c r="F367" s="31" t="inlineStr">
        <x:is>
          <x:t xml:space="preserve">ОБ-020</x:t>
        </x:is>
      </x:c>
      <x:c r="G367" s="31" t="inlineStr">
        <x:is>
          <x:t xml:space="preserve">СОТР-083</x:t>
        </x:is>
      </x:c>
      <x:c r="H367" s="31" t="inlineStr">
        <x:is>
          <x:t xml:space="preserve">Сборка</x:t>
        </x:is>
      </x:c>
      <x:c r="I367" s="31" t="n">
        <x:v>1</x:v>
      </x:c>
      <x:c r="J367" s="31" t="n">
        <x:v>0</x:v>
      </x:c>
      <x:c r="K367" s="31" t="n">
        <x:v>2.2</x:v>
      </x:c>
      <x:c r="L367" s="31" t="n">
        <x:v>2.2</x:v>
      </x:c>
      <x:c r="M367" s="31" t="n">
        <x:v>0</x:v>
      </x:c>
      <x:c r="N367" s="31" t="inlineStr">
        <x:is>
          <x:t xml:space="preserve">Нет</x:t>
        </x:is>
      </x:c>
      <x:c r="O367" s="31" t="inlineStr">
        <x:is>
          <x:t xml:space="preserve">Подтверждено мастером</x:t>
        </x:is>
      </x:c>
      <x:c r="P367" s="31" t="inlineStr">
        <x:is>
          <x:t xml:space="preserve">Комментарий смены 391</x:t>
        </x:is>
      </x:c>
    </x:row>
    <x:row r="368">
      <x:c r="A368" s="31" t="inlineStr">
        <x:is>
          <x:t xml:space="preserve">СМ-00392</x:t>
        </x:is>
      </x:c>
      <x:c r="B368" s="31" t="n">
        <x:v>46212</x:v>
      </x:c>
      <x:c r="C368" s="31" t="inlineStr">
        <x:is>
          <x:t xml:space="preserve">День</x:t>
        </x:is>
      </x:c>
      <x:c r="D368" s="31" t="inlineStr">
        <x:is>
          <x:t xml:space="preserve">ПЗ-00003</x:t>
        </x:is>
      </x:c>
      <x:c r="E368" s="31" t="inlineStr">
        <x:is>
          <x:t xml:space="preserve">ОП-000020</x:t>
        </x:is>
      </x:c>
      <x:c r="F368" s="31" t="inlineStr">
        <x:is>
          <x:t xml:space="preserve">ОБ-003</x:t>
        </x:is>
      </x:c>
      <x:c r="G368" s="31" t="inlineStr">
        <x:is>
          <x:t xml:space="preserve">СОТР-067</x:t>
        </x:is>
      </x:c>
      <x:c r="H368" s="31" t="inlineStr">
        <x:is>
          <x:t xml:space="preserve">Сварка</x:t>
        </x:is>
      </x:c>
      <x:c r="I368" s="31" t="n">
        <x:v>1</x:v>
      </x:c>
      <x:c r="J368" s="31" t="n">
        <x:v>1</x:v>
      </x:c>
      <x:c r="K368" s="31" t="n">
        <x:v>2.2</x:v>
      </x:c>
      <x:c r="L368" s="31" t="n">
        <x:v>2.6</x:v>
      </x:c>
      <x:c r="M368" s="31" t="n">
        <x:v>30</x:v>
      </x:c>
      <x:c r="N368" s="31" t="inlineStr">
        <x:is>
          <x:t xml:space="preserve">Нет оператора</x:t>
        </x:is>
      </x:c>
      <x:c r="O368" s="31" t="inlineStr">
        <x:is>
          <x:t xml:space="preserve">Подтверждено мастером</x:t>
        </x:is>
      </x:c>
      <x:c r="P368" s="31" t="inlineStr">
        <x:is>
          <x:t xml:space="preserve">Комментарий смены 392</x:t>
        </x:is>
      </x:c>
    </x:row>
    <x:row r="369">
      <x:c r="A369" s="31" t="inlineStr">
        <x:is>
          <x:t xml:space="preserve">СМ-00393</x:t>
        </x:is>
      </x:c>
      <x:c r="B369" s="31" t="n">
        <x:v>46183</x:v>
      </x:c>
      <x:c r="C369" s="31" t="inlineStr">
        <x:is>
          <x:t xml:space="preserve">День</x:t>
        </x:is>
      </x:c>
      <x:c r="D369" s="31" t="inlineStr">
        <x:is>
          <x:t xml:space="preserve">ПЗ-00083</x:t>
        </x:is>
      </x:c>
      <x:c r="E369" s="31" t="inlineStr">
        <x:is>
          <x:t xml:space="preserve">ОП-000701</x:t>
        </x:is>
      </x:c>
      <x:c r="F369" s="31" t="n"/>
      <x:c r="G369" s="31" t="inlineStr">
        <x:is>
          <x:t xml:space="preserve">СОТР-021</x:t>
        </x:is>
      </x:c>
      <x:c r="H369" s="31" t="inlineStr">
        <x:is>
          <x:t xml:space="preserve">Инженерный отдел</x:t>
        </x:is>
      </x:c>
      <x:c r="I369" s="31" t="n">
        <x:v>1</x:v>
      </x:c>
      <x:c r="J369" s="31" t="n">
        <x:v>1</x:v>
      </x:c>
      <x:c r="K369" s="31" t="n">
        <x:v>28.8</x:v>
      </x:c>
      <x:c r="L369" s="31" t="n">
        <x:v>27</x:v>
      </x:c>
      <x:c r="M369" s="31" t="n">
        <x:v>120</x:v>
      </x:c>
      <x:c r="N369" s="31" t="inlineStr">
        <x:is>
          <x:t xml:space="preserve">Ожидание ОТК</x:t>
        </x:is>
      </x:c>
      <x:c r="O369" s="31" t="inlineStr">
        <x:is>
          <x:t xml:space="preserve">Подтверждено мастером</x:t>
        </x:is>
      </x:c>
      <x:c r="P369" s="31" t="inlineStr">
        <x:is>
          <x:t xml:space="preserve">Комментарий смены 393</x:t>
        </x:is>
      </x:c>
    </x:row>
    <x:row r="370">
      <x:c r="A370" s="31" t="inlineStr">
        <x:is>
          <x:t xml:space="preserve">СМ-00394</x:t>
        </x:is>
      </x:c>
      <x:c r="B370" s="31" t="n">
        <x:v>46082</x:v>
      </x:c>
      <x:c r="C370" s="31" t="inlineStr">
        <x:is>
          <x:t xml:space="preserve">День</x:t>
        </x:is>
      </x:c>
      <x:c r="D370" s="31" t="inlineStr">
        <x:is>
          <x:t xml:space="preserve">ПЗ-00021</x:t>
        </x:is>
      </x:c>
      <x:c r="E370" s="31" t="inlineStr">
        <x:is>
          <x:t xml:space="preserve">ОП-000176</x:t>
        </x:is>
      </x:c>
      <x:c r="F370" s="31" t="inlineStr">
        <x:is>
          <x:t xml:space="preserve">ОБ-016</x:t>
        </x:is>
      </x:c>
      <x:c r="G370" s="31" t="inlineStr">
        <x:is>
          <x:t xml:space="preserve">СОТР-091</x:t>
        </x:is>
      </x:c>
      <x:c r="H370" s="31" t="inlineStr">
        <x:is>
          <x:t xml:space="preserve">Сборка</x:t>
        </x:is>
      </x:c>
      <x:c r="I370" s="31" t="n">
        <x:v>4</x:v>
      </x:c>
      <x:c r="J370" s="31" t="n">
        <x:v>0</x:v>
      </x:c>
      <x:c r="K370" s="31" t="n">
        <x:v>24</x:v>
      </x:c>
      <x:c r="L370" s="31" t="n">
        <x:v>22.7</x:v>
      </x:c>
      <x:c r="M370" s="31" t="n">
        <x:v>120</x:v>
      </x:c>
      <x:c r="N370" s="31" t="inlineStr">
        <x:is>
          <x:t xml:space="preserve">Переналадка</x:t>
        </x:is>
      </x:c>
      <x:c r="O370" s="31" t="inlineStr">
        <x:is>
          <x:t xml:space="preserve">Черновик</x:t>
        </x:is>
      </x:c>
      <x:c r="P370" s="31" t="inlineStr">
        <x:is>
          <x:t xml:space="preserve">Комментарий смены 394</x:t>
        </x:is>
      </x:c>
    </x:row>
    <x:row r="371">
      <x:c r="A371" s="31" t="inlineStr">
        <x:is>
          <x:t xml:space="preserve">СМ-00395</x:t>
        </x:is>
      </x:c>
      <x:c r="B371" s="31" t="n">
        <x:v>46197</x:v>
      </x:c>
      <x:c r="C371" s="31" t="inlineStr">
        <x:is>
          <x:t xml:space="preserve">День</x:t>
        </x:is>
      </x:c>
      <x:c r="D371" s="31" t="inlineStr">
        <x:is>
          <x:t xml:space="preserve">ПЗ-00172</x:t>
        </x:is>
      </x:c>
      <x:c r="E371" s="31" t="inlineStr">
        <x:is>
          <x:t xml:space="preserve">ОП-001429</x:t>
        </x:is>
      </x:c>
      <x:c r="F371" s="31" t="inlineStr">
        <x:is>
          <x:t xml:space="preserve">ОБ-004</x:t>
        </x:is>
      </x:c>
      <x:c r="G371" s="31" t="inlineStr">
        <x:is>
          <x:t xml:space="preserve">СОТР-068</x:t>
        </x:is>
      </x:c>
      <x:c r="H371" s="31" t="inlineStr">
        <x:is>
          <x:t xml:space="preserve">Сварка</x:t>
        </x:is>
      </x:c>
      <x:c r="I371" s="31" t="n">
        <x:v>1</x:v>
      </x:c>
      <x:c r="J371" s="31" t="n">
        <x:v>1</x:v>
      </x:c>
      <x:c r="K371" s="31" t="n">
        <x:v>6.6</x:v>
      </x:c>
      <x:c r="L371" s="31" t="n">
        <x:v>6.3</x:v>
      </x:c>
      <x:c r="M371" s="31" t="n">
        <x:v>0</x:v>
      </x:c>
      <x:c r="N371" s="31" t="inlineStr">
        <x:is>
          <x:t xml:space="preserve">Нет</x:t>
        </x:is>
      </x:c>
      <x:c r="O371" s="31" t="inlineStr">
        <x:is>
          <x:t xml:space="preserve">Закрыто</x:t>
        </x:is>
      </x:c>
      <x:c r="P371" s="31" t="inlineStr">
        <x:is>
          <x:t xml:space="preserve">Комментарий смены 395</x:t>
        </x:is>
      </x:c>
    </x:row>
    <x:row r="372">
      <x:c r="A372" s="31" t="inlineStr">
        <x:is>
          <x:t xml:space="preserve">СМ-00396</x:t>
        </x:is>
      </x:c>
      <x:c r="B372" s="31" t="n">
        <x:v>46192</x:v>
      </x:c>
      <x:c r="C372" s="31" t="inlineStr">
        <x:is>
          <x:t xml:space="preserve">Ночь</x:t>
        </x:is>
      </x:c>
      <x:c r="D372" s="31" t="inlineStr">
        <x:is>
          <x:t xml:space="preserve">ПЗ-00173</x:t>
        </x:is>
      </x:c>
      <x:c r="E372" s="31" t="inlineStr">
        <x:is>
          <x:t xml:space="preserve">ОП-001442</x:t>
        </x:is>
      </x:c>
      <x:c r="F372" s="31" t="n"/>
      <x:c r="G372" s="31" t="inlineStr">
        <x:is>
          <x:t xml:space="preserve">СОТР-017</x:t>
        </x:is>
      </x:c>
      <x:c r="H372" s="31" t="inlineStr">
        <x:is>
          <x:t xml:space="preserve">Инженерный отдел</x:t>
        </x:is>
      </x:c>
      <x:c r="I372" s="31" t="n">
        <x:v>3</x:v>
      </x:c>
      <x:c r="J372" s="31" t="n">
        <x:v>3</x:v>
      </x:c>
      <x:c r="K372" s="31" t="n">
        <x:v>24.9</x:v>
      </x:c>
      <x:c r="L372" s="31" t="n">
        <x:v>22.4</x:v>
      </x:c>
      <x:c r="M372" s="31" t="n">
        <x:v>30</x:v>
      </x:c>
      <x:c r="N372" s="31" t="inlineStr">
        <x:is>
          <x:t xml:space="preserve">Нет оператора</x:t>
        </x:is>
      </x:c>
      <x:c r="O372" s="31" t="inlineStr">
        <x:is>
          <x:t xml:space="preserve">Подтверждено мастером</x:t>
        </x:is>
      </x:c>
      <x:c r="P372" s="31" t="inlineStr">
        <x:is>
          <x:t xml:space="preserve">Комментарий смены 396</x:t>
        </x:is>
      </x:c>
    </x:row>
    <x:row r="373">
      <x:c r="A373" s="31" t="inlineStr">
        <x:is>
          <x:t xml:space="preserve">СМ-00397</x:t>
        </x:is>
      </x:c>
      <x:c r="B373" s="31" t="n">
        <x:v>46084</x:v>
      </x:c>
      <x:c r="C373" s="31" t="inlineStr">
        <x:is>
          <x:t xml:space="preserve">Ночь</x:t>
        </x:is>
      </x:c>
      <x:c r="D373" s="31" t="inlineStr">
        <x:is>
          <x:t xml:space="preserve">ПЗ-00057</x:t>
        </x:is>
      </x:c>
      <x:c r="E373" s="31" t="inlineStr">
        <x:is>
          <x:t xml:space="preserve">ОП-000475</x:t>
        </x:is>
      </x:c>
      <x:c r="F373" s="31" t="inlineStr">
        <x:is>
          <x:t xml:space="preserve">ОБ-012</x:t>
        </x:is>
      </x:c>
      <x:c r="G373" s="31" t="inlineStr">
        <x:is>
          <x:t xml:space="preserve">СОТР-032</x:t>
        </x:is>
      </x:c>
      <x:c r="H373" s="31" t="inlineStr">
        <x:is>
          <x:t xml:space="preserve">Сборка</x:t>
        </x:is>
      </x:c>
      <x:c r="I373" s="31" t="n">
        <x:v>1</x:v>
      </x:c>
      <x:c r="J373" s="31" t="n">
        <x:v>2</x:v>
      </x:c>
      <x:c r="K373" s="31" t="n">
        <x:v>14.2</x:v>
      </x:c>
      <x:c r="L373" s="31" t="n">
        <x:v>16.9</x:v>
      </x:c>
      <x:c r="M373" s="31" t="n">
        <x:v>0</x:v>
      </x:c>
      <x:c r="N373" s="31" t="inlineStr">
        <x:is>
          <x:t xml:space="preserve">Нет</x:t>
        </x:is>
      </x:c>
      <x:c r="O373" s="31" t="inlineStr">
        <x:is>
          <x:t xml:space="preserve">Черновик</x:t>
        </x:is>
      </x:c>
      <x:c r="P373" s="31" t="inlineStr">
        <x:is>
          <x:t xml:space="preserve">Комментарий смены 397</x:t>
        </x:is>
      </x:c>
    </x:row>
    <x:row r="374">
      <x:c r="A374" s="31" t="inlineStr">
        <x:is>
          <x:t xml:space="preserve">СМ-00398</x:t>
        </x:is>
      </x:c>
      <x:c r="B374" s="31" t="n">
        <x:v>46187</x:v>
      </x:c>
      <x:c r="C374" s="31" t="inlineStr">
        <x:is>
          <x:t xml:space="preserve">День</x:t>
        </x:is>
      </x:c>
      <x:c r="D374" s="31" t="inlineStr">
        <x:is>
          <x:t xml:space="preserve">ПЗ-00037</x:t>
        </x:is>
      </x:c>
      <x:c r="E374" s="31" t="inlineStr">
        <x:is>
          <x:t xml:space="preserve">ОП-000321</x:t>
        </x:is>
      </x:c>
      <x:c r="F374" s="31" t="inlineStr">
        <x:is>
          <x:t xml:space="preserve">ОБ-022</x:t>
        </x:is>
      </x:c>
      <x:c r="G374" s="31" t="inlineStr">
        <x:is>
          <x:t xml:space="preserve">СОТР-099</x:t>
        </x:is>
      </x:c>
      <x:c r="H374" s="31" t="inlineStr">
        <x:is>
          <x:t xml:space="preserve">ОТК</x:t>
        </x:is>
      </x:c>
      <x:c r="I374" s="31" t="n">
        <x:v>5</x:v>
      </x:c>
      <x:c r="J374" s="31" t="n">
        <x:v>6</x:v>
      </x:c>
      <x:c r="K374" s="31" t="n">
        <x:v>17</x:v>
      </x:c>
      <x:c r="L374" s="31" t="n">
        <x:v>13.6</x:v>
      </x:c>
      <x:c r="M374" s="31" t="n">
        <x:v>0</x:v>
      </x:c>
      <x:c r="N374" s="31" t="inlineStr">
        <x:is>
          <x:t xml:space="preserve">Нет</x:t>
        </x:is>
      </x:c>
      <x:c r="O374" s="31" t="inlineStr">
        <x:is>
          <x:t xml:space="preserve">Подтверждено мастером</x:t>
        </x:is>
      </x:c>
      <x:c r="P374" s="31" t="inlineStr">
        <x:is>
          <x:t xml:space="preserve">Комментарий смены 398</x:t>
        </x:is>
      </x:c>
    </x:row>
    <x:row r="375">
      <x:c r="A375" s="31" t="inlineStr">
        <x:is>
          <x:t xml:space="preserve">СМ-00399</x:t>
        </x:is>
      </x:c>
      <x:c r="B375" s="31" t="n">
        <x:v>46097</x:v>
      </x:c>
      <x:c r="C375" s="31" t="inlineStr">
        <x:is>
          <x:t xml:space="preserve">День</x:t>
        </x:is>
      </x:c>
      <x:c r="D375" s="31" t="inlineStr">
        <x:is>
          <x:t xml:space="preserve">ПЗ-00246</x:t>
        </x:is>
      </x:c>
      <x:c r="E375" s="31" t="inlineStr">
        <x:is>
          <x:t xml:space="preserve">ОП-002060</x:t>
        </x:is>
      </x:c>
      <x:c r="F375" s="31" t="inlineStr">
        <x:is>
          <x:t xml:space="preserve">ОБ-033</x:t>
        </x:is>
      </x:c>
      <x:c r="G375" s="31" t="inlineStr">
        <x:is>
          <x:t xml:space="preserve">СОТР-093</x:t>
        </x:is>
      </x:c>
      <x:c r="H375" s="31" t="inlineStr">
        <x:is>
          <x:t xml:space="preserve">ОТК</x:t>
        </x:is>
      </x:c>
      <x:c r="I375" s="31" t="n">
        <x:v>2</x:v>
      </x:c>
      <x:c r="J375" s="31" t="n">
        <x:v>2</x:v>
      </x:c>
      <x:c r="K375" s="31" t="n">
        <x:v>4.2</x:v>
      </x:c>
      <x:c r="L375" s="31" t="n">
        <x:v>5.6</x:v>
      </x:c>
      <x:c r="M375" s="31" t="n">
        <x:v>0</x:v>
      </x:c>
      <x:c r="N375" s="31" t="inlineStr">
        <x:is>
          <x:t xml:space="preserve">Нет</x:t>
        </x:is>
      </x:c>
      <x:c r="O375" s="31" t="inlineStr">
        <x:is>
          <x:t xml:space="preserve">Подтверждено мастером</x:t>
        </x:is>
      </x:c>
      <x:c r="P375" s="31" t="inlineStr">
        <x:is>
          <x:t xml:space="preserve">Комментарий смены 399</x:t>
        </x:is>
      </x:c>
    </x:row>
    <x:row r="376">
      <x:c r="A376" s="31" t="inlineStr">
        <x:is>
          <x:t xml:space="preserve">СМ-00400</x:t>
        </x:is>
      </x:c>
      <x:c r="B376" s="31" t="n">
        <x:v>46200</x:v>
      </x:c>
      <x:c r="C376" s="31" t="inlineStr">
        <x:is>
          <x:t xml:space="preserve">День</x:t>
        </x:is>
      </x:c>
      <x:c r="D376" s="31" t="inlineStr">
        <x:is>
          <x:t xml:space="preserve">ПЗ-00158</x:t>
        </x:is>
      </x:c>
      <x:c r="E376" s="31" t="inlineStr">
        <x:is>
          <x:t xml:space="preserve">ОП-001303</x:t>
        </x:is>
      </x:c>
      <x:c r="F376" s="31" t="n"/>
      <x:c r="G376" s="31" t="inlineStr">
        <x:is>
          <x:t xml:space="preserve">СОТР-019</x:t>
        </x:is>
      </x:c>
      <x:c r="H376" s="31" t="inlineStr">
        <x:is>
          <x:t xml:space="preserve">Инженерный отдел</x:t>
        </x:is>
      </x:c>
      <x:c r="I376" s="31" t="n">
        <x:v>3</x:v>
      </x:c>
      <x:c r="J376" s="31" t="n">
        <x:v>2</x:v>
      </x:c>
      <x:c r="K376" s="31" t="n">
        <x:v>36.8</x:v>
      </x:c>
      <x:c r="L376" s="31" t="n">
        <x:v>34.4</x:v>
      </x:c>
      <x:c r="M376" s="31" t="n">
        <x:v>0</x:v>
      </x:c>
      <x:c r="N376" s="31" t="inlineStr">
        <x:is>
          <x:t xml:space="preserve">Нет</x:t>
        </x:is>
      </x:c>
      <x:c r="O376" s="31" t="inlineStr">
        <x:is>
          <x:t xml:space="preserve">Подтверждено мастером</x:t>
        </x:is>
      </x:c>
      <x:c r="P376" s="31" t="inlineStr">
        <x:is>
          <x:t xml:space="preserve">Комментарий смены 400</x:t>
        </x:is>
      </x:c>
    </x:row>
    <x:row r="377">
      <x:c r="A377" s="31" t="inlineStr">
        <x:is>
          <x:t xml:space="preserve">СМ-00401</x:t>
        </x:is>
      </x:c>
      <x:c r="B377" s="31" t="n">
        <x:v>46134</x:v>
      </x:c>
      <x:c r="C377" s="31" t="inlineStr">
        <x:is>
          <x:t xml:space="preserve">Ночь</x:t>
        </x:is>
      </x:c>
      <x:c r="D377" s="31" t="inlineStr">
        <x:is>
          <x:t xml:space="preserve">ПЗ-00028</x:t>
        </x:is>
      </x:c>
      <x:c r="E377" s="31" t="inlineStr">
        <x:is>
          <x:t xml:space="preserve">ОП-000238</x:t>
        </x:is>
      </x:c>
      <x:c r="F377" s="31" t="inlineStr">
        <x:is>
          <x:t xml:space="preserve">ОБ-004</x:t>
        </x:is>
      </x:c>
      <x:c r="G377" s="31" t="inlineStr">
        <x:is>
          <x:t xml:space="preserve">СОТР-071</x:t>
        </x:is>
      </x:c>
      <x:c r="H377" s="31" t="inlineStr">
        <x:is>
          <x:t xml:space="preserve">Сварка</x:t>
        </x:is>
      </x:c>
      <x:c r="I377" s="31" t="n">
        <x:v>4</x:v>
      </x:c>
      <x:c r="J377" s="31" t="n">
        <x:v>4</x:v>
      </x:c>
      <x:c r="K377" s="31" t="n">
        <x:v>57</x:v>
      </x:c>
      <x:c r="L377" s="31" t="n">
        <x:v>62.6</x:v>
      </x:c>
      <x:c r="M377" s="31" t="n">
        <x:v>90</x:v>
      </x:c>
      <x:c r="N377" s="31" t="inlineStr">
        <x:is>
          <x:t xml:space="preserve">Переналадка</x:t>
        </x:is>
      </x:c>
      <x:c r="O377" s="31" t="inlineStr">
        <x:is>
          <x:t xml:space="preserve">Закрыто</x:t>
        </x:is>
      </x:c>
      <x:c r="P377" s="31" t="inlineStr">
        <x:is>
          <x:t xml:space="preserve">Комментарий смены 401</x:t>
        </x:is>
      </x:c>
    </x:row>
    <x:row r="378">
      <x:c r="A378" s="31" t="inlineStr">
        <x:is>
          <x:t xml:space="preserve">СМ-00402</x:t>
        </x:is>
      </x:c>
      <x:c r="B378" s="31" t="n">
        <x:v>46112</x:v>
      </x:c>
      <x:c r="C378" s="31" t="inlineStr">
        <x:is>
          <x:t xml:space="preserve">День</x:t>
        </x:is>
      </x:c>
      <x:c r="D378" s="31" t="inlineStr">
        <x:is>
          <x:t xml:space="preserve">ПЗ-00109</x:t>
        </x:is>
      </x:c>
      <x:c r="E378" s="31" t="inlineStr">
        <x:is>
          <x:t xml:space="preserve">ОП-000912</x:t>
        </x:is>
      </x:c>
      <x:c r="F378" s="31" t="inlineStr">
        <x:is>
          <x:t xml:space="preserve">ОБ-035</x:t>
        </x:is>
      </x:c>
      <x:c r="G378" s="31" t="inlineStr">
        <x:is>
          <x:t xml:space="preserve">СОТР-060</x:t>
        </x:is>
      </x:c>
      <x:c r="H378" s="31" t="inlineStr">
        <x:is>
          <x:t xml:space="preserve">Сварка</x:t>
        </x:is>
      </x:c>
      <x:c r="I378" s="31" t="n">
        <x:v>1</x:v>
      </x:c>
      <x:c r="J378" s="31" t="n">
        <x:v>0</x:v>
      </x:c>
      <x:c r="K378" s="31" t="n">
        <x:v>2.3</x:v>
      </x:c>
      <x:c r="L378" s="31" t="n">
        <x:v>1.3</x:v>
      </x:c>
      <x:c r="M378" s="31" t="n">
        <x:v>30</x:v>
      </x:c>
      <x:c r="N378" s="31" t="inlineStr">
        <x:is>
          <x:t xml:space="preserve">Нет оператора</x:t>
        </x:is>
      </x:c>
      <x:c r="O378" s="31" t="inlineStr">
        <x:is>
          <x:t xml:space="preserve">Подтверждено мастером</x:t>
        </x:is>
      </x:c>
      <x:c r="P378" s="31" t="inlineStr">
        <x:is>
          <x:t xml:space="preserve">Комментарий смены 402</x:t>
        </x:is>
      </x:c>
    </x:row>
    <x:row r="379">
      <x:c r="A379" s="31" t="inlineStr">
        <x:is>
          <x:t xml:space="preserve">СМ-00403</x:t>
        </x:is>
      </x:c>
      <x:c r="B379" s="31" t="n">
        <x:v>46197</x:v>
      </x:c>
      <x:c r="C379" s="31" t="inlineStr">
        <x:is>
          <x:t xml:space="preserve">День</x:t>
        </x:is>
      </x:c>
      <x:c r="D379" s="31" t="inlineStr">
        <x:is>
          <x:t xml:space="preserve">ПЗ-00213</x:t>
        </x:is>
      </x:c>
      <x:c r="E379" s="31" t="inlineStr">
        <x:is>
          <x:t xml:space="preserve">ОП-001790</x:t>
        </x:is>
      </x:c>
      <x:c r="F379" s="31" t="inlineStr">
        <x:is>
          <x:t xml:space="preserve">ОБ-022</x:t>
        </x:is>
      </x:c>
      <x:c r="G379" s="31" t="inlineStr">
        <x:is>
          <x:t xml:space="preserve">СОТР-096</x:t>
        </x:is>
      </x:c>
      <x:c r="H379" s="31" t="inlineStr">
        <x:is>
          <x:t xml:space="preserve">ОТК</x:t>
        </x:is>
      </x:c>
      <x:c r="I379" s="31" t="n">
        <x:v>4</x:v>
      </x:c>
      <x:c r="J379" s="31" t="n">
        <x:v>3</x:v>
      </x:c>
      <x:c r="K379" s="31" t="n">
        <x:v>16</x:v>
      </x:c>
      <x:c r="L379" s="31" t="n">
        <x:v>18.8</x:v>
      </x:c>
      <x:c r="M379" s="31" t="n">
        <x:v>120</x:v>
      </x:c>
      <x:c r="N379" s="31" t="inlineStr">
        <x:is>
          <x:t xml:space="preserve">Ожидание материала</x:t>
        </x:is>
      </x:c>
      <x:c r="O379" s="31" t="inlineStr">
        <x:is>
          <x:t xml:space="preserve">Подтверждено мастером</x:t>
        </x:is>
      </x:c>
      <x:c r="P379" s="31" t="inlineStr">
        <x:is>
          <x:t xml:space="preserve">Комментарий смены 403</x:t>
        </x:is>
      </x:c>
    </x:row>
    <x:row r="380">
      <x:c r="A380" s="31" t="inlineStr">
        <x:is>
          <x:t xml:space="preserve">СМ-00404</x:t>
        </x:is>
      </x:c>
      <x:c r="B380" s="31" t="n">
        <x:v>46230</x:v>
      </x:c>
      <x:c r="C380" s="31" t="inlineStr">
        <x:is>
          <x:t xml:space="preserve">День</x:t>
        </x:is>
      </x:c>
      <x:c r="D380" s="31" t="inlineStr">
        <x:is>
          <x:t xml:space="preserve">ПЗ-00225</x:t>
        </x:is>
      </x:c>
      <x:c r="E380" s="31" t="inlineStr">
        <x:is>
          <x:t xml:space="preserve">ОП-001893</x:t>
        </x:is>
      </x:c>
      <x:c r="F380" s="31" t="inlineStr">
        <x:is>
          <x:t xml:space="preserve">ОБ-022</x:t>
        </x:is>
      </x:c>
      <x:c r="G380" s="31" t="inlineStr">
        <x:is>
          <x:t xml:space="preserve">СОТР-097</x:t>
        </x:is>
      </x:c>
      <x:c r="H380" s="31" t="inlineStr">
        <x:is>
          <x:t xml:space="preserve">ОТК</x:t>
        </x:is>
      </x:c>
      <x:c r="I380" s="31" t="n">
        <x:v>4</x:v>
      </x:c>
      <x:c r="J380" s="31" t="n">
        <x:v>4</x:v>
      </x:c>
      <x:c r="K380" s="31" t="n">
        <x:v>27</x:v>
      </x:c>
      <x:c r="L380" s="31" t="n">
        <x:v>31.2</x:v>
      </x:c>
      <x:c r="M380" s="31" t="n">
        <x:v>0</x:v>
      </x:c>
      <x:c r="N380" s="31" t="inlineStr">
        <x:is>
          <x:t xml:space="preserve">Нет</x:t>
        </x:is>
      </x:c>
      <x:c r="O380" s="31" t="inlineStr">
        <x:is>
          <x:t xml:space="preserve">Спорный факт</x:t>
        </x:is>
      </x:c>
      <x:c r="P380" s="31" t="inlineStr">
        <x:is>
          <x:t xml:space="preserve">Комментарий смены 404</x:t>
        </x:is>
      </x:c>
    </x:row>
    <x:row r="381">
      <x:c r="A381" s="31" t="inlineStr">
        <x:is>
          <x:t xml:space="preserve">СМ-00406</x:t>
        </x:is>
      </x:c>
      <x:c r="B381" s="31" t="n">
        <x:v>46172</x:v>
      </x:c>
      <x:c r="C381" s="31" t="inlineStr">
        <x:is>
          <x:t xml:space="preserve">Ночь</x:t>
        </x:is>
      </x:c>
      <x:c r="D381" s="31" t="inlineStr">
        <x:is>
          <x:t xml:space="preserve">ПЗ-00001</x:t>
        </x:is>
      </x:c>
      <x:c r="E381" s="31" t="inlineStr">
        <x:is>
          <x:t xml:space="preserve">ОП-000005</x:t>
        </x:is>
      </x:c>
      <x:c r="F381" s="31" t="inlineStr">
        <x:is>
          <x:t xml:space="preserve">ОБ-017</x:t>
        </x:is>
      </x:c>
      <x:c r="G381" s="31" t="inlineStr">
        <x:is>
          <x:t xml:space="preserve">СОТР-090</x:t>
        </x:is>
      </x:c>
      <x:c r="H381" s="31" t="inlineStr">
        <x:is>
          <x:t xml:space="preserve">Сборка</x:t>
        </x:is>
      </x:c>
      <x:c r="I381" s="31" t="n">
        <x:v>1</x:v>
      </x:c>
      <x:c r="J381" s="31" t="n">
        <x:v>2</x:v>
      </x:c>
      <x:c r="K381" s="31" t="n">
        <x:v>7.8</x:v>
      </x:c>
      <x:c r="L381" s="31" t="n">
        <x:v>6.5</x:v>
      </x:c>
      <x:c r="M381" s="31" t="n">
        <x:v>45</x:v>
      </x:c>
      <x:c r="N381" s="31" t="inlineStr">
        <x:is>
          <x:t xml:space="preserve">Ремонт оборудования</x:t>
        </x:is>
      </x:c>
      <x:c r="O381" s="31" t="inlineStr">
        <x:is>
          <x:t xml:space="preserve">Черновик</x:t>
        </x:is>
      </x:c>
      <x:c r="P381" s="31" t="inlineStr">
        <x:is>
          <x:t xml:space="preserve">Комментарий смены 406</x:t>
        </x:is>
      </x:c>
    </x:row>
    <x:row r="382">
      <x:c r="A382" s="31" t="inlineStr">
        <x:is>
          <x:t xml:space="preserve">СМ-00407</x:t>
        </x:is>
      </x:c>
      <x:c r="B382" s="31" t="n">
        <x:v>46061</x:v>
      </x:c>
      <x:c r="C382" s="31" t="inlineStr">
        <x:is>
          <x:t xml:space="preserve">Ночь</x:t>
        </x:is>
      </x:c>
      <x:c r="D382" s="31" t="inlineStr">
        <x:is>
          <x:t xml:space="preserve">ПЗ-00075</x:t>
        </x:is>
      </x:c>
      <x:c r="E382" s="31" t="inlineStr">
        <x:is>
          <x:t xml:space="preserve">ОП-000635</x:t>
        </x:is>
      </x:c>
      <x:c r="F382" s="31" t="inlineStr">
        <x:is>
          <x:t xml:space="preserve">ОБ-017</x:t>
        </x:is>
      </x:c>
      <x:c r="G382" s="31" t="inlineStr">
        <x:is>
          <x:t xml:space="preserve">СОТР-081</x:t>
        </x:is>
      </x:c>
      <x:c r="H382" s="31" t="inlineStr">
        <x:is>
          <x:t xml:space="preserve">Сборка</x:t>
        </x:is>
      </x:c>
      <x:c r="I382" s="31" t="n">
        <x:v>2</x:v>
      </x:c>
      <x:c r="J382" s="31" t="n">
        <x:v>1</x:v>
      </x:c>
      <x:c r="K382" s="31" t="n">
        <x:v>11.7</x:v>
      </x:c>
      <x:c r="L382" s="31" t="n">
        <x:v>12.1</x:v>
      </x:c>
      <x:c r="M382" s="31" t="n">
        <x:v>60</x:v>
      </x:c>
      <x:c r="N382" s="31" t="inlineStr">
        <x:is>
          <x:t xml:space="preserve">Переналадка</x:t>
        </x:is>
      </x:c>
      <x:c r="O382" s="31" t="inlineStr">
        <x:is>
          <x:t xml:space="preserve">Черновик</x:t>
        </x:is>
      </x:c>
      <x:c r="P382" s="31" t="inlineStr">
        <x:is>
          <x:t xml:space="preserve">Комментарий смены 407</x:t>
        </x:is>
      </x:c>
    </x:row>
    <x:row r="383">
      <x:c r="A383" s="31" t="inlineStr">
        <x:is>
          <x:t xml:space="preserve">СМ-00408</x:t>
        </x:is>
      </x:c>
      <x:c r="B383" s="31" t="n">
        <x:v>46068</x:v>
      </x:c>
      <x:c r="C383" s="31" t="inlineStr">
        <x:is>
          <x:t xml:space="preserve">Ночь</x:t>
        </x:is>
      </x:c>
      <x:c r="D383" s="31" t="inlineStr">
        <x:is>
          <x:t xml:space="preserve">ПЗ-00075</x:t>
        </x:is>
      </x:c>
      <x:c r="E383" s="31" t="inlineStr">
        <x:is>
          <x:t xml:space="preserve">ОП-000639</x:t>
        </x:is>
      </x:c>
      <x:c r="F383" s="31" t="n"/>
      <x:c r="G383" s="31" t="inlineStr">
        <x:is>
          <x:t xml:space="preserve">СОТР-103</x:t>
        </x:is>
      </x:c>
      <x:c r="H383" s="31" t="inlineStr">
        <x:is>
          <x:t xml:space="preserve">Логистика</x:t>
        </x:is>
      </x:c>
      <x:c r="I383" s="31" t="n">
        <x:v>1</x:v>
      </x:c>
      <x:c r="J383" s="31" t="n">
        <x:v>2</x:v>
      </x:c>
      <x:c r="K383" s="31" t="n">
        <x:v>6.9</x:v>
      </x:c>
      <x:c r="L383" s="31" t="n">
        <x:v>7.1</x:v>
      </x:c>
      <x:c r="M383" s="31" t="n">
        <x:v>0</x:v>
      </x:c>
      <x:c r="N383" s="31" t="inlineStr">
        <x:is>
          <x:t xml:space="preserve">Нет</x:t>
        </x:is>
      </x:c>
      <x:c r="O383" s="31" t="inlineStr">
        <x:is>
          <x:t xml:space="preserve">Подтверждено мастером</x:t>
        </x:is>
      </x:c>
      <x:c r="P383" s="31" t="inlineStr">
        <x:is>
          <x:t xml:space="preserve">Комментарий смены 408</x:t>
        </x:is>
      </x:c>
    </x:row>
    <x:row r="384">
      <x:c r="A384" s="31" t="inlineStr">
        <x:is>
          <x:t xml:space="preserve">СМ-00409</x:t>
        </x:is>
      </x:c>
      <x:c r="B384" s="31" t="n">
        <x:v>46114</x:v>
      </x:c>
      <x:c r="C384" s="31" t="inlineStr">
        <x:is>
          <x:t xml:space="preserve">День</x:t>
        </x:is>
      </x:c>
      <x:c r="D384" s="31" t="inlineStr">
        <x:is>
          <x:t xml:space="preserve">ПЗ-00110</x:t>
        </x:is>
      </x:c>
      <x:c r="E384" s="31" t="inlineStr">
        <x:is>
          <x:t xml:space="preserve">ОП-000923</x:t>
        </x:is>
      </x:c>
      <x:c r="F384" s="31" t="inlineStr">
        <x:is>
          <x:t xml:space="preserve">ОБ-019</x:t>
        </x:is>
      </x:c>
      <x:c r="G384" s="31" t="inlineStr">
        <x:is>
          <x:t xml:space="preserve">СОТР-066</x:t>
        </x:is>
      </x:c>
      <x:c r="H384" s="31" t="inlineStr">
        <x:is>
          <x:t xml:space="preserve">Сварка</x:t>
        </x:is>
      </x:c>
      <x:c r="I384" s="31" t="n">
        <x:v>3</x:v>
      </x:c>
      <x:c r="J384" s="31" t="n">
        <x:v>0</x:v>
      </x:c>
      <x:c r="K384" s="31" t="n">
        <x:v>3.9</x:v>
      </x:c>
      <x:c r="L384" s="31" t="n">
        <x:v>3.4</x:v>
      </x:c>
      <x:c r="M384" s="31" t="n">
        <x:v>0</x:v>
      </x:c>
      <x:c r="N384" s="31" t="inlineStr">
        <x:is>
          <x:t xml:space="preserve">Нет</x:t>
        </x:is>
      </x:c>
      <x:c r="O384" s="31" t="inlineStr">
        <x:is>
          <x:t xml:space="preserve">Черновик</x:t>
        </x:is>
      </x:c>
      <x:c r="P384" s="31" t="inlineStr">
        <x:is>
          <x:t xml:space="preserve">Комментарий смены 409</x:t>
        </x:is>
      </x:c>
    </x:row>
    <x:row r="385">
      <x:c r="A385" s="31" t="inlineStr">
        <x:is>
          <x:t xml:space="preserve">СМ-00410</x:t>
        </x:is>
      </x:c>
      <x:c r="B385" s="31" t="n">
        <x:v>46160</x:v>
      </x:c>
      <x:c r="C385" s="31" t="inlineStr">
        <x:is>
          <x:t xml:space="preserve">День</x:t>
        </x:is>
      </x:c>
      <x:c r="D385" s="31" t="inlineStr">
        <x:is>
          <x:t xml:space="preserve">ПЗ-00010</x:t>
        </x:is>
      </x:c>
      <x:c r="E385" s="31" t="inlineStr">
        <x:is>
          <x:t xml:space="preserve">ОП-000079</x:t>
        </x:is>
      </x:c>
      <x:c r="F385" s="31" t="inlineStr">
        <x:is>
          <x:t xml:space="preserve">ОБ-010</x:t>
        </x:is>
      </x:c>
      <x:c r="G385" s="31" t="inlineStr">
        <x:is>
          <x:t xml:space="preserve">СОТР-071</x:t>
        </x:is>
      </x:c>
      <x:c r="H385" s="31" t="inlineStr">
        <x:is>
          <x:t xml:space="preserve">Сварка</x:t>
        </x:is>
      </x:c>
      <x:c r="I385" s="31" t="n">
        <x:v>1</x:v>
      </x:c>
      <x:c r="J385" s="31" t="n">
        <x:v>0</x:v>
      </x:c>
      <x:c r="K385" s="31" t="n">
        <x:v>13.9</x:v>
      </x:c>
      <x:c r="L385" s="31" t="n">
        <x:v>16.5</x:v>
      </x:c>
      <x:c r="M385" s="31" t="n">
        <x:v>0</x:v>
      </x:c>
      <x:c r="N385" s="31" t="inlineStr">
        <x:is>
          <x:t xml:space="preserve">Нет</x:t>
        </x:is>
      </x:c>
      <x:c r="O385" s="31" t="inlineStr">
        <x:is>
          <x:t xml:space="preserve">Подтверждено мастером</x:t>
        </x:is>
      </x:c>
      <x:c r="P385" s="31" t="inlineStr">
        <x:is>
          <x:t xml:space="preserve">Комментарий смены 410</x:t>
        </x:is>
      </x:c>
    </x:row>
    <x:row r="386">
      <x:c r="A386" s="31" t="inlineStr">
        <x:is>
          <x:t xml:space="preserve">СМ-00411</x:t>
        </x:is>
      </x:c>
      <x:c r="B386" s="31" t="n">
        <x:v>46214</x:v>
      </x:c>
      <x:c r="C386" s="31" t="inlineStr">
        <x:is>
          <x:t xml:space="preserve">День</x:t>
        </x:is>
      </x:c>
      <x:c r="D386" s="31" t="inlineStr">
        <x:is>
          <x:t xml:space="preserve">ПЗ-00123</x:t>
        </x:is>
      </x:c>
      <x:c r="E386" s="31" t="inlineStr">
        <x:is>
          <x:t xml:space="preserve">ОП-001029</x:t>
        </x:is>
      </x:c>
      <x:c r="F386" s="31" t="inlineStr">
        <x:is>
          <x:t xml:space="preserve">ОБ-021</x:t>
        </x:is>
      </x:c>
      <x:c r="G386" s="31" t="inlineStr">
        <x:is>
          <x:t xml:space="preserve">СОТР-056</x:t>
        </x:is>
      </x:c>
      <x:c r="H386" s="31" t="inlineStr">
        <x:is>
          <x:t xml:space="preserve">Сварка</x:t>
        </x:is>
      </x:c>
      <x:c r="I386" s="31" t="n">
        <x:v>2</x:v>
      </x:c>
      <x:c r="J386" s="31" t="n">
        <x:v>1</x:v>
      </x:c>
      <x:c r="K386" s="31" t="n">
        <x:v>101.5</x:v>
      </x:c>
      <x:c r="L386" s="31" t="n">
        <x:v>114.8</x:v>
      </x:c>
      <x:c r="M386" s="31" t="n">
        <x:v>120</x:v>
      </x:c>
      <x:c r="N386" s="31" t="inlineStr">
        <x:is>
          <x:t xml:space="preserve">Нет оператора</x:t>
        </x:is>
      </x:c>
      <x:c r="O386" s="31" t="inlineStr">
        <x:is>
          <x:t xml:space="preserve">Спорный факт</x:t>
        </x:is>
      </x:c>
      <x:c r="P386" s="31" t="inlineStr">
        <x:is>
          <x:t xml:space="preserve">Комментарий смены 411</x:t>
        </x:is>
      </x:c>
    </x:row>
    <x:row r="387">
      <x:c r="A387" s="31" t="inlineStr">
        <x:is>
          <x:t xml:space="preserve">СМ-00412</x:t>
        </x:is>
      </x:c>
      <x:c r="B387" s="31" t="n">
        <x:v>46161</x:v>
      </x:c>
      <x:c r="C387" s="31" t="inlineStr">
        <x:is>
          <x:t xml:space="preserve">День</x:t>
        </x:is>
      </x:c>
      <x:c r="D387" s="31" t="inlineStr">
        <x:is>
          <x:t xml:space="preserve">ПЗ-00087</x:t>
        </x:is>
      </x:c>
      <x:c r="E387" s="31" t="inlineStr">
        <x:is>
          <x:t xml:space="preserve">ОП-000740</x:t>
        </x:is>
      </x:c>
      <x:c r="F387" s="31" t="inlineStr">
        <x:is>
          <x:t xml:space="preserve">ОБ-020</x:t>
        </x:is>
      </x:c>
      <x:c r="G387" s="31" t="inlineStr">
        <x:is>
          <x:t xml:space="preserve">СОТР-088</x:t>
        </x:is>
      </x:c>
      <x:c r="H387" s="31" t="inlineStr">
        <x:is>
          <x:t xml:space="preserve">Сборка</x:t>
        </x:is>
      </x:c>
      <x:c r="I387" s="31" t="n">
        <x:v>1</x:v>
      </x:c>
      <x:c r="J387" s="31" t="n">
        <x:v>1</x:v>
      </x:c>
      <x:c r="K387" s="31" t="n">
        <x:v>48</x:v>
      </x:c>
      <x:c r="L387" s="31" t="n">
        <x:v>59.4</x:v>
      </x:c>
      <x:c r="M387" s="31" t="n">
        <x:v>60</x:v>
      </x:c>
      <x:c r="N387" s="31" t="inlineStr">
        <x:is>
          <x:t xml:space="preserve">Нет оператора</x:t>
        </x:is>
      </x:c>
      <x:c r="O387" s="31" t="inlineStr">
        <x:is>
          <x:t xml:space="preserve">Черновик</x:t>
        </x:is>
      </x:c>
      <x:c r="P387" s="31" t="inlineStr">
        <x:is>
          <x:t xml:space="preserve">Комментарий смены 412</x:t>
        </x:is>
      </x:c>
    </x:row>
    <x:row r="388">
      <x:c r="A388" s="31" t="inlineStr">
        <x:is>
          <x:t xml:space="preserve">СМ-00413</x:t>
        </x:is>
      </x:c>
      <x:c r="B388" s="31" t="n">
        <x:v>46160</x:v>
      </x:c>
      <x:c r="C388" s="31" t="inlineStr">
        <x:is>
          <x:t xml:space="preserve">День</x:t>
        </x:is>
      </x:c>
      <x:c r="D388" s="31" t="inlineStr">
        <x:is>
          <x:t xml:space="preserve">ПЗ-00257</x:t>
        </x:is>
      </x:c>
      <x:c r="E388" s="31" t="inlineStr">
        <x:is>
          <x:t xml:space="preserve">ОП-002137</x:t>
        </x:is>
      </x:c>
      <x:c r="F388" s="31" t="n"/>
      <x:c r="G388" s="31" t="inlineStr">
        <x:is>
          <x:t xml:space="preserve">СОТР-011</x:t>
        </x:is>
      </x:c>
      <x:c r="H388" s="31" t="inlineStr">
        <x:is>
          <x:t xml:space="preserve">Инженерный отдел</x:t>
        </x:is>
      </x:c>
      <x:c r="I388" s="31" t="n">
        <x:v>1</x:v>
      </x:c>
      <x:c r="J388" s="31" t="n">
        <x:v>1</x:v>
      </x:c>
      <x:c r="K388" s="31" t="n">
        <x:v>7.1</x:v>
      </x:c>
      <x:c r="L388" s="31" t="n">
        <x:v>6.3</x:v>
      </x:c>
      <x:c r="M388" s="31" t="n">
        <x:v>0</x:v>
      </x:c>
      <x:c r="N388" s="31" t="inlineStr">
        <x:is>
          <x:t xml:space="preserve">Нет</x:t>
        </x:is>
      </x:c>
      <x:c r="O388" s="31" t="inlineStr">
        <x:is>
          <x:t xml:space="preserve">Подтверждено мастером</x:t>
        </x:is>
      </x:c>
      <x:c r="P388" s="31" t="inlineStr">
        <x:is>
          <x:t xml:space="preserve">Комментарий смены 413</x:t>
        </x:is>
      </x:c>
    </x:row>
    <x:row r="389">
      <x:c r="A389" s="31" t="inlineStr">
        <x:is>
          <x:t xml:space="preserve">СМ-00414</x:t>
        </x:is>
      </x:c>
      <x:c r="B389" s="31" t="n">
        <x:v>46170</x:v>
      </x:c>
      <x:c r="C389" s="31" t="inlineStr">
        <x:is>
          <x:t xml:space="preserve">День</x:t>
        </x:is>
      </x:c>
      <x:c r="D389" s="31" t="inlineStr">
        <x:is>
          <x:t xml:space="preserve">ПЗ-00001</x:t>
        </x:is>
      </x:c>
      <x:c r="E389" s="31" t="inlineStr">
        <x:is>
          <x:t xml:space="preserve">ОП-000003</x:t>
        </x:is>
      </x:c>
      <x:c r="F389" s="31" t="inlineStr">
        <x:is>
          <x:t xml:space="preserve">ОБ-034</x:t>
        </x:is>
      </x:c>
      <x:c r="G389" s="31" t="inlineStr">
        <x:is>
          <x:t xml:space="preserve">СОТР-091</x:t>
        </x:is>
      </x:c>
      <x:c r="H389" s="31" t="inlineStr">
        <x:is>
          <x:t xml:space="preserve">Сборка</x:t>
        </x:is>
      </x:c>
      <x:c r="I389" s="31" t="n">
        <x:v>2</x:v>
      </x:c>
      <x:c r="J389" s="31" t="n">
        <x:v>2</x:v>
      </x:c>
      <x:c r="K389" s="31" t="n">
        <x:v>4.4</x:v>
      </x:c>
      <x:c r="L389" s="31" t="n">
        <x:v>5.5</x:v>
      </x:c>
      <x:c r="M389" s="31" t="n">
        <x:v>0</x:v>
      </x:c>
      <x:c r="N389" s="31" t="inlineStr">
        <x:is>
          <x:t xml:space="preserve">Нет</x:t>
        </x:is>
      </x:c>
      <x:c r="O389" s="31" t="inlineStr">
        <x:is>
          <x:t xml:space="preserve">Черновик</x:t>
        </x:is>
      </x:c>
      <x:c r="P389" s="31" t="inlineStr">
        <x:is>
          <x:t xml:space="preserve">Комментарий смены 414</x:t>
        </x:is>
      </x:c>
    </x:row>
    <x:row r="390">
      <x:c r="A390" s="31" t="inlineStr">
        <x:is>
          <x:t xml:space="preserve">СМ-00415</x:t>
        </x:is>
      </x:c>
      <x:c r="B390" s="31" t="n">
        <x:v>46171</x:v>
      </x:c>
      <x:c r="C390" s="31" t="inlineStr">
        <x:is>
          <x:t xml:space="preserve">Вечер</x:t>
        </x:is>
      </x:c>
      <x:c r="D390" s="31" t="inlineStr">
        <x:is>
          <x:t xml:space="preserve">ПЗ-00140</x:t>
        </x:is>
      </x:c>
      <x:c r="E390" s="31" t="inlineStr">
        <x:is>
          <x:t xml:space="preserve">ОП-001173</x:t>
        </x:is>
      </x:c>
      <x:c r="F390" s="31" t="inlineStr">
        <x:is>
          <x:t xml:space="preserve">ОБ-013</x:t>
        </x:is>
      </x:c>
      <x:c r="G390" s="31" t="inlineStr">
        <x:is>
          <x:t xml:space="preserve">СОТР-063</x:t>
        </x:is>
      </x:c>
      <x:c r="H390" s="31" t="inlineStr">
        <x:is>
          <x:t xml:space="preserve">ОТК</x:t>
        </x:is>
      </x:c>
      <x:c r="I390" s="31" t="n">
        <x:v>2</x:v>
      </x:c>
      <x:c r="J390" s="31" t="n">
        <x:v>1</x:v>
      </x:c>
      <x:c r="K390" s="31" t="n">
        <x:v>9.6</x:v>
      </x:c>
      <x:c r="L390" s="31" t="n">
        <x:v>10.1</x:v>
      </x:c>
      <x:c r="M390" s="31" t="n">
        <x:v>0</x:v>
      </x:c>
      <x:c r="N390" s="31" t="inlineStr">
        <x:is>
          <x:t xml:space="preserve">Нет</x:t>
        </x:is>
      </x:c>
      <x:c r="O390" s="31" t="inlineStr">
        <x:is>
          <x:t xml:space="preserve">Закрыто</x:t>
        </x:is>
      </x:c>
      <x:c r="P390" s="31" t="inlineStr">
        <x:is>
          <x:t xml:space="preserve">Комментарий смены 415</x:t>
        </x:is>
      </x:c>
    </x:row>
    <x:row r="391">
      <x:c r="A391" s="31" t="inlineStr">
        <x:is>
          <x:t xml:space="preserve">СМ-00416</x:t>
        </x:is>
      </x:c>
      <x:c r="B391" s="31" t="n">
        <x:v>46184</x:v>
      </x:c>
      <x:c r="C391" s="31" t="inlineStr">
        <x:is>
          <x:t xml:space="preserve">Вечер</x:t>
        </x:is>
      </x:c>
      <x:c r="D391" s="31" t="inlineStr">
        <x:is>
          <x:t xml:space="preserve">ПЗ-00184</x:t>
        </x:is>
      </x:c>
      <x:c r="E391" s="31" t="inlineStr">
        <x:is>
          <x:t xml:space="preserve">ОП-001526</x:t>
        </x:is>
      </x:c>
      <x:c r="F391" s="31" t="n"/>
      <x:c r="G391" s="31" t="inlineStr">
        <x:is>
          <x:t xml:space="preserve">СОТР-021</x:t>
        </x:is>
      </x:c>
      <x:c r="H391" s="31" t="inlineStr">
        <x:is>
          <x:t xml:space="preserve">Инженерный отдел</x:t>
        </x:is>
      </x:c>
      <x:c r="I391" s="31" t="n">
        <x:v>2</x:v>
      </x:c>
      <x:c r="J391" s="31" t="n">
        <x:v>1</x:v>
      </x:c>
      <x:c r="K391" s="31" t="n">
        <x:v>18.4</x:v>
      </x:c>
      <x:c r="L391" s="31" t="n">
        <x:v>15</x:v>
      </x:c>
      <x:c r="M391" s="31" t="n">
        <x:v>45</x:v>
      </x:c>
      <x:c r="N391" s="31" t="inlineStr">
        <x:is>
          <x:t xml:space="preserve">Ожидание материала</x:t>
        </x:is>
      </x:c>
      <x:c r="O391" s="31" t="inlineStr">
        <x:is>
          <x:t xml:space="preserve">Подтверждено мастером</x:t>
        </x:is>
      </x:c>
      <x:c r="P391" s="31" t="inlineStr">
        <x:is>
          <x:t xml:space="preserve">Комментарий смены 416</x:t>
        </x:is>
      </x:c>
    </x:row>
    <x:row r="392">
      <x:c r="A392" s="31" t="inlineStr">
        <x:is>
          <x:t xml:space="preserve">СМ-00418</x:t>
        </x:is>
      </x:c>
      <x:c r="B392" s="31" t="n">
        <x:v>46118</x:v>
      </x:c>
      <x:c r="C392" s="31" t="inlineStr">
        <x:is>
          <x:t xml:space="preserve">День</x:t>
        </x:is>
      </x:c>
      <x:c r="D392" s="31" t="inlineStr">
        <x:is>
          <x:t xml:space="preserve">ПЗ-00194</x:t>
        </x:is>
      </x:c>
      <x:c r="E392" s="31" t="inlineStr">
        <x:is>
          <x:t xml:space="preserve">ОП-001623</x:t>
        </x:is>
      </x:c>
      <x:c r="F392" s="31" t="inlineStr">
        <x:is>
          <x:t xml:space="preserve">ОБ-012</x:t>
        </x:is>
      </x:c>
      <x:c r="G392" s="31" t="inlineStr">
        <x:is>
          <x:t xml:space="preserve">СОТР-032</x:t>
        </x:is>
      </x:c>
      <x:c r="H392" s="31" t="inlineStr">
        <x:is>
          <x:t xml:space="preserve">Сборка</x:t>
        </x:is>
      </x:c>
      <x:c r="I392" s="31" t="n">
        <x:v>1</x:v>
      </x:c>
      <x:c r="J392" s="31" t="n">
        <x:v>0</x:v>
      </x:c>
      <x:c r="K392" s="31" t="n">
        <x:v>75.5</x:v>
      </x:c>
      <x:c r="L392" s="31" t="n">
        <x:v>98.2</x:v>
      </x:c>
      <x:c r="M392" s="31" t="n">
        <x:v>90</x:v>
      </x:c>
      <x:c r="N392" s="31" t="inlineStr">
        <x:is>
          <x:t xml:space="preserve">Переналадка</x:t>
        </x:is>
      </x:c>
      <x:c r="O392" s="31" t="inlineStr">
        <x:is>
          <x:t xml:space="preserve">Подтверждено мастером</x:t>
        </x:is>
      </x:c>
      <x:c r="P392" s="31" t="inlineStr">
        <x:is>
          <x:t xml:space="preserve">Комментарий смены 418</x:t>
        </x:is>
      </x:c>
    </x:row>
    <x:row r="393">
      <x:c r="A393" s="31" t="inlineStr">
        <x:is>
          <x:t xml:space="preserve">СМ-00419</x:t>
        </x:is>
      </x:c>
      <x:c r="B393" s="31" t="n">
        <x:v>46181</x:v>
      </x:c>
      <x:c r="C393" s="31" t="inlineStr">
        <x:is>
          <x:t xml:space="preserve">Вечер</x:t>
        </x:is>
      </x:c>
      <x:c r="D393" s="31" t="inlineStr">
        <x:is>
          <x:t xml:space="preserve">ПЗ-00250</x:t>
        </x:is>
      </x:c>
      <x:c r="E393" s="31" t="inlineStr">
        <x:is>
          <x:t xml:space="preserve">ОП-002091</x:t>
        </x:is>
      </x:c>
      <x:c r="F393" s="31" t="inlineStr">
        <x:is>
          <x:t xml:space="preserve">ОБ-014</x:t>
        </x:is>
      </x:c>
      <x:c r="G393" s="31" t="inlineStr">
        <x:is>
          <x:t xml:space="preserve">СОТР-083</x:t>
        </x:is>
      </x:c>
      <x:c r="H393" s="31" t="inlineStr">
        <x:is>
          <x:t xml:space="preserve">Сборка</x:t>
        </x:is>
      </x:c>
      <x:c r="I393" s="31" t="n">
        <x:v>2</x:v>
      </x:c>
      <x:c r="J393" s="31" t="n">
        <x:v>3</x:v>
      </x:c>
      <x:c r="K393" s="31" t="n">
        <x:v>87</x:v>
      </x:c>
      <x:c r="L393" s="31" t="n">
        <x:v>113</x:v>
      </x:c>
      <x:c r="M393" s="31" t="n">
        <x:v>120</x:v>
      </x:c>
      <x:c r="N393" s="31" t="inlineStr">
        <x:is>
          <x:t xml:space="preserve">Нет оператора</x:t>
        </x:is>
      </x:c>
      <x:c r="O393" s="31" t="inlineStr">
        <x:is>
          <x:t xml:space="preserve">Подтверждено мастером</x:t>
        </x:is>
      </x:c>
      <x:c r="P393" s="31" t="inlineStr">
        <x:is>
          <x:t xml:space="preserve">Комментарий смены 419</x:t>
        </x:is>
      </x:c>
    </x:row>
    <x:row r="394">
      <x:c r="A394" s="31" t="inlineStr">
        <x:is>
          <x:t xml:space="preserve">СМ-00420</x:t>
        </x:is>
      </x:c>
      <x:c r="B394" s="31" t="n">
        <x:v>46169</x:v>
      </x:c>
      <x:c r="C394" s="31" t="inlineStr">
        <x:is>
          <x:t xml:space="preserve">День</x:t>
        </x:is>
      </x:c>
      <x:c r="D394" s="31" t="inlineStr">
        <x:is>
          <x:t xml:space="preserve">ПЗ-00197</x:t>
        </x:is>
      </x:c>
      <x:c r="E394" s="31" t="inlineStr">
        <x:is>
          <x:t xml:space="preserve">ОП-001653</x:t>
        </x:is>
      </x:c>
      <x:c r="F394" s="31" t="inlineStr">
        <x:is>
          <x:t xml:space="preserve">ОБ-028</x:t>
        </x:is>
      </x:c>
      <x:c r="G394" s="31" t="inlineStr">
        <x:is>
          <x:t xml:space="preserve">СОТР-097</x:t>
        </x:is>
      </x:c>
      <x:c r="H394" s="31" t="inlineStr">
        <x:is>
          <x:t xml:space="preserve">ОТК</x:t>
        </x:is>
      </x:c>
      <x:c r="I394" s="31" t="n">
        <x:v>5</x:v>
      </x:c>
      <x:c r="J394" s="31" t="n">
        <x:v>6</x:v>
      </x:c>
      <x:c r="K394" s="31" t="n">
        <x:v>64.5</x:v>
      </x:c>
      <x:c r="L394" s="31" t="n">
        <x:v>63.2</x:v>
      </x:c>
      <x:c r="M394" s="31" t="n">
        <x:v>60</x:v>
      </x:c>
      <x:c r="N394" s="31" t="inlineStr">
        <x:is>
          <x:t xml:space="preserve">Ремонт оборудования</x:t>
        </x:is>
      </x:c>
      <x:c r="O394" s="31" t="inlineStr">
        <x:is>
          <x:t xml:space="preserve">Закрыто</x:t>
        </x:is>
      </x:c>
      <x:c r="P394" s="31" t="inlineStr">
        <x:is>
          <x:t xml:space="preserve">Комментарий смены 420</x:t>
        </x:is>
      </x:c>
    </x:row>
    <x:row r="395">
      <x:c r="A395" s="31" t="inlineStr">
        <x:is>
          <x:t xml:space="preserve">СМ-00421</x:t>
        </x:is>
      </x:c>
      <x:c r="B395" s="31" t="n">
        <x:v>46125</x:v>
      </x:c>
      <x:c r="C395" s="31" t="inlineStr">
        <x:is>
          <x:t xml:space="preserve">День</x:t>
        </x:is>
      </x:c>
      <x:c r="D395" s="31" t="inlineStr">
        <x:is>
          <x:t xml:space="preserve">ПЗ-00262</x:t>
        </x:is>
      </x:c>
      <x:c r="E395" s="31" t="inlineStr">
        <x:is>
          <x:t xml:space="preserve">ОП-002186</x:t>
        </x:is>
      </x:c>
      <x:c r="F395" s="31" t="n"/>
      <x:c r="G395" s="31" t="inlineStr">
        <x:is>
          <x:t xml:space="preserve">СОТР-102</x:t>
        </x:is>
      </x:c>
      <x:c r="H395" s="31" t="inlineStr">
        <x:is>
          <x:t xml:space="preserve">Логистика</x:t>
        </x:is>
      </x:c>
      <x:c r="I395" s="31" t="n">
        <x:v>1</x:v>
      </x:c>
      <x:c r="J395" s="31" t="n">
        <x:v>1</x:v>
      </x:c>
      <x:c r="K395" s="31" t="n">
        <x:v>17.2</x:v>
      </x:c>
      <x:c r="L395" s="31" t="n">
        <x:v>16.1</x:v>
      </x:c>
      <x:c r="M395" s="31" t="n">
        <x:v>0</x:v>
      </x:c>
      <x:c r="N395" s="31" t="inlineStr">
        <x:is>
          <x:t xml:space="preserve">Нет</x:t>
        </x:is>
      </x:c>
      <x:c r="O395" s="31" t="inlineStr">
        <x:is>
          <x:t xml:space="preserve">Подтверждено мастером</x:t>
        </x:is>
      </x:c>
      <x:c r="P395" s="31" t="inlineStr">
        <x:is>
          <x:t xml:space="preserve">Комментарий смены 421</x:t>
        </x:is>
      </x:c>
    </x:row>
    <x:row r="396">
      <x:c r="A396" s="31" t="inlineStr">
        <x:is>
          <x:t xml:space="preserve">СМ-00422</x:t>
        </x:is>
      </x:c>
      <x:c r="B396" s="31" t="n">
        <x:v>46129</x:v>
      </x:c>
      <x:c r="C396" s="31" t="inlineStr">
        <x:is>
          <x:t xml:space="preserve">День</x:t>
        </x:is>
      </x:c>
      <x:c r="D396" s="31" t="inlineStr">
        <x:is>
          <x:t xml:space="preserve">ПЗ-00110</x:t>
        </x:is>
      </x:c>
      <x:c r="E396" s="31" t="inlineStr">
        <x:is>
          <x:t xml:space="preserve">ОП-000929</x:t>
        </x:is>
      </x:c>
      <x:c r="F396" s="31" t="n"/>
      <x:c r="G396" s="31" t="inlineStr">
        <x:is>
          <x:t xml:space="preserve">СОТР-070</x:t>
        </x:is>
      </x:c>
      <x:c r="H396" s="31" t="inlineStr">
        <x:is>
          <x:t xml:space="preserve">Логистика</x:t>
        </x:is>
      </x:c>
      <x:c r="I396" s="31" t="n">
        <x:v>2</x:v>
      </x:c>
      <x:c r="J396" s="31" t="n">
        <x:v>3</x:v>
      </x:c>
      <x:c r="K396" s="31" t="n">
        <x:v>14.1</x:v>
      </x:c>
      <x:c r="L396" s="31" t="n">
        <x:v>15.5</x:v>
      </x:c>
      <x:c r="M396" s="31" t="n">
        <x:v>90</x:v>
      </x:c>
      <x:c r="N396" s="31" t="inlineStr">
        <x:is>
          <x:t xml:space="preserve">Ожидание ОТК</x:t>
        </x:is>
      </x:c>
      <x:c r="O396" s="31" t="inlineStr">
        <x:is>
          <x:t xml:space="preserve">Спорный факт</x:t>
        </x:is>
      </x:c>
      <x:c r="P396" s="31" t="inlineStr">
        <x:is>
          <x:t xml:space="preserve">Комментарий смены 422</x:t>
        </x:is>
      </x:c>
    </x:row>
    <x:row r="397">
      <x:c r="A397" s="31" t="inlineStr">
        <x:is>
          <x:t xml:space="preserve">СМ-00423</x:t>
        </x:is>
      </x:c>
      <x:c r="B397" s="31" t="n">
        <x:v>46131</x:v>
      </x:c>
      <x:c r="C397" s="31" t="inlineStr">
        <x:is>
          <x:t xml:space="preserve">Вечер</x:t>
        </x:is>
      </x:c>
      <x:c r="D397" s="31" t="inlineStr">
        <x:is>
          <x:t xml:space="preserve">ПЗ-00244</x:t>
        </x:is>
      </x:c>
      <x:c r="E397" s="31" t="inlineStr">
        <x:is>
          <x:t xml:space="preserve">ОП-002040</x:t>
        </x:is>
      </x:c>
      <x:c r="F397" s="31" t="inlineStr">
        <x:is>
          <x:t xml:space="preserve">ОБ-018</x:t>
        </x:is>
      </x:c>
      <x:c r="G397" s="31" t="inlineStr">
        <x:is>
          <x:t xml:space="preserve">СОТР-056</x:t>
        </x:is>
      </x:c>
      <x:c r="H397" s="31" t="inlineStr">
        <x:is>
          <x:t xml:space="preserve">Сварка</x:t>
        </x:is>
      </x:c>
      <x:c r="I397" s="31" t="n">
        <x:v>4</x:v>
      </x:c>
      <x:c r="J397" s="31" t="n">
        <x:v>3</x:v>
      </x:c>
      <x:c r="K397" s="31" t="n">
        <x:v>82.8</x:v>
      </x:c>
      <x:c r="L397" s="31" t="n">
        <x:v>89</x:v>
      </x:c>
      <x:c r="M397" s="31" t="n">
        <x:v>120</x:v>
      </x:c>
      <x:c r="N397" s="31" t="inlineStr">
        <x:is>
          <x:t xml:space="preserve">Ожидание ОТК</x:t>
        </x:is>
      </x:c>
      <x:c r="O397" s="31" t="inlineStr">
        <x:is>
          <x:t xml:space="preserve">Спорный факт</x:t>
        </x:is>
      </x:c>
      <x:c r="P397" s="31" t="inlineStr">
        <x:is>
          <x:t xml:space="preserve">Комментарий смены 423</x:t>
        </x:is>
      </x:c>
    </x:row>
    <x:row r="398">
      <x:c r="A398" s="31" t="inlineStr">
        <x:is>
          <x:t xml:space="preserve">СМ-00424</x:t>
        </x:is>
      </x:c>
      <x:c r="B398" s="31" t="n">
        <x:v>46130</x:v>
      </x:c>
      <x:c r="C398" s="31" t="inlineStr">
        <x:is>
          <x:t xml:space="preserve">Вечер</x:t>
        </x:is>
      </x:c>
      <x:c r="D398" s="31" t="inlineStr">
        <x:is>
          <x:t xml:space="preserve">ПЗ-00071</x:t>
        </x:is>
      </x:c>
      <x:c r="E398" s="31" t="inlineStr">
        <x:is>
          <x:t xml:space="preserve">ОП-000607</x:t>
        </x:is>
      </x:c>
      <x:c r="F398" s="31" t="inlineStr">
        <x:is>
          <x:t xml:space="preserve">ОБ-017</x:t>
        </x:is>
      </x:c>
      <x:c r="G398" s="31" t="inlineStr">
        <x:is>
          <x:t xml:space="preserve">СОТР-086</x:t>
        </x:is>
      </x:c>
      <x:c r="H398" s="31" t="inlineStr">
        <x:is>
          <x:t xml:space="preserve">Сборка</x:t>
        </x:is>
      </x:c>
      <x:c r="I398" s="31" t="n">
        <x:v>2</x:v>
      </x:c>
      <x:c r="J398" s="31" t="n">
        <x:v>1</x:v>
      </x:c>
      <x:c r="K398" s="31" t="n">
        <x:v>6.3</x:v>
      </x:c>
      <x:c r="L398" s="31" t="n">
        <x:v>8.300000000000001</x:v>
      </x:c>
      <x:c r="M398" s="31" t="n">
        <x:v>30</x:v>
      </x:c>
      <x:c r="N398" s="31" t="inlineStr">
        <x:is>
          <x:t xml:space="preserve">Переналадка</x:t>
        </x:is>
      </x:c>
      <x:c r="O398" s="31" t="inlineStr">
        <x:is>
          <x:t xml:space="preserve">Черновик</x:t>
        </x:is>
      </x:c>
      <x:c r="P398" s="31" t="inlineStr">
        <x:is>
          <x:t xml:space="preserve">Комментарий смены 424</x:t>
        </x:is>
      </x:c>
    </x:row>
    <x:row r="399">
      <x:c r="A399" s="31" t="inlineStr">
        <x:is>
          <x:t xml:space="preserve">СМ-00425</x:t>
        </x:is>
      </x:c>
      <x:c r="B399" s="31" t="n">
        <x:v>46122</x:v>
      </x:c>
      <x:c r="C399" s="31" t="inlineStr">
        <x:is>
          <x:t xml:space="preserve">Ночь</x:t>
        </x:is>
      </x:c>
      <x:c r="D399" s="31" t="inlineStr">
        <x:is>
          <x:t xml:space="preserve">ПЗ-00163</x:t>
        </x:is>
      </x:c>
      <x:c r="E399" s="31" t="inlineStr">
        <x:is>
          <x:t xml:space="preserve">ОП-001353</x:t>
        </x:is>
      </x:c>
      <x:c r="F399" s="31" t="inlineStr">
        <x:is>
          <x:t xml:space="preserve">ОБ-023</x:t>
        </x:is>
      </x:c>
      <x:c r="G399" s="31" t="inlineStr">
        <x:is>
          <x:t xml:space="preserve">СОТР-033</x:t>
        </x:is>
      </x:c>
      <x:c r="H399" s="31" t="inlineStr">
        <x:is>
          <x:t xml:space="preserve">Склад</x:t>
        </x:is>
      </x:c>
      <x:c r="I399" s="31" t="n">
        <x:v>1</x:v>
      </x:c>
      <x:c r="J399" s="31" t="n">
        <x:v>0</x:v>
      </x:c>
      <x:c r="K399" s="31" t="n">
        <x:v>6.2</x:v>
      </x:c>
      <x:c r="L399" s="31" t="n">
        <x:v>8.1</x:v>
      </x:c>
      <x:c r="M399" s="31" t="n">
        <x:v>90</x:v>
      </x:c>
      <x:c r="N399" s="31" t="inlineStr">
        <x:is>
          <x:t xml:space="preserve">Переналадка</x:t>
        </x:is>
      </x:c>
      <x:c r="O399" s="31" t="inlineStr">
        <x:is>
          <x:t xml:space="preserve">Подтверждено мастером</x:t>
        </x:is>
      </x:c>
      <x:c r="P399" s="31" t="inlineStr">
        <x:is>
          <x:t xml:space="preserve">Комментарий смены 425</x:t>
        </x:is>
      </x:c>
    </x:row>
    <x:row r="400">
      <x:c r="A400" s="31" t="inlineStr">
        <x:is>
          <x:t xml:space="preserve">СМ-00426</x:t>
        </x:is>
      </x:c>
      <x:c r="B400" s="31" t="n">
        <x:v>46124</x:v>
      </x:c>
      <x:c r="C400" s="31" t="inlineStr">
        <x:is>
          <x:t xml:space="preserve">Вечер</x:t>
        </x:is>
      </x:c>
      <x:c r="D400" s="31" t="inlineStr">
        <x:is>
          <x:t xml:space="preserve">ПЗ-00200</x:t>
        </x:is>
      </x:c>
      <x:c r="E400" s="31" t="inlineStr">
        <x:is>
          <x:t xml:space="preserve">ОП-001675</x:t>
        </x:is>
      </x:c>
      <x:c r="F400" s="31" t="inlineStr">
        <x:is>
          <x:t xml:space="preserve">ОБ-003</x:t>
        </x:is>
      </x:c>
      <x:c r="G400" s="31" t="inlineStr">
        <x:is>
          <x:t xml:space="preserve">СОТР-060</x:t>
        </x:is>
      </x:c>
      <x:c r="H400" s="31" t="inlineStr">
        <x:is>
          <x:t xml:space="preserve">Сварка</x:t>
        </x:is>
      </x:c>
      <x:c r="I400" s="31" t="n">
        <x:v>5</x:v>
      </x:c>
      <x:c r="J400" s="31" t="n">
        <x:v>4</x:v>
      </x:c>
      <x:c r="K400" s="31" t="n">
        <x:v>33</x:v>
      </x:c>
      <x:c r="L400" s="31" t="n">
        <x:v>44.3</x:v>
      </x:c>
      <x:c r="M400" s="31" t="n">
        <x:v>15</x:v>
      </x:c>
      <x:c r="N400" s="31" t="inlineStr">
        <x:is>
          <x:t xml:space="preserve">Ожидание материала</x:t>
        </x:is>
      </x:c>
      <x:c r="O400" s="31" t="inlineStr">
        <x:is>
          <x:t xml:space="preserve">Подтверждено мастером</x:t>
        </x:is>
      </x:c>
      <x:c r="P400" s="31" t="inlineStr">
        <x:is>
          <x:t xml:space="preserve">Комментарий смены 426</x:t>
        </x:is>
      </x:c>
    </x:row>
    <x:row r="401">
      <x:c r="A401" s="31" t="inlineStr">
        <x:is>
          <x:t xml:space="preserve">СМ-00427</x:t>
        </x:is>
      </x:c>
      <x:c r="B401" s="31" t="n">
        <x:v>46225</x:v>
      </x:c>
      <x:c r="C401" s="31" t="inlineStr">
        <x:is>
          <x:t xml:space="preserve">Ночь</x:t>
        </x:is>
      </x:c>
      <x:c r="D401" s="31" t="inlineStr">
        <x:is>
          <x:t xml:space="preserve">ПЗ-00123</x:t>
        </x:is>
      </x:c>
      <x:c r="E401" s="31" t="inlineStr">
        <x:is>
          <x:t xml:space="preserve">ОП-001031</x:t>
        </x:is>
      </x:c>
      <x:c r="F401" s="31" t="inlineStr">
        <x:is>
          <x:t xml:space="preserve">ОБ-018</x:t>
        </x:is>
      </x:c>
      <x:c r="G401" s="31" t="inlineStr">
        <x:is>
          <x:t xml:space="preserve">СОТР-069</x:t>
        </x:is>
      </x:c>
      <x:c r="H401" s="31" t="inlineStr">
        <x:is>
          <x:t xml:space="preserve">Сварка</x:t>
        </x:is>
      </x:c>
      <x:c r="I401" s="31" t="n">
        <x:v>5</x:v>
      </x:c>
      <x:c r="J401" s="31" t="n">
        <x:v>4</x:v>
      </x:c>
      <x:c r="K401" s="31" t="n">
        <x:v>61.5</x:v>
      </x:c>
      <x:c r="L401" s="31" t="n">
        <x:v>72.3</x:v>
      </x:c>
      <x:c r="M401" s="31" t="n">
        <x:v>120</x:v>
      </x:c>
      <x:c r="N401" s="31" t="inlineStr">
        <x:is>
          <x:t xml:space="preserve">Ожидание материала</x:t>
        </x:is>
      </x:c>
      <x:c r="O401" s="31" t="inlineStr">
        <x:is>
          <x:t xml:space="preserve">Подтверждено мастером</x:t>
        </x:is>
      </x:c>
      <x:c r="P401" s="31" t="inlineStr">
        <x:is>
          <x:t xml:space="preserve">Комментарий смены 427</x:t>
        </x:is>
      </x:c>
    </x:row>
    <x:row r="402">
      <x:c r="A402" s="31" t="inlineStr">
        <x:is>
          <x:t xml:space="preserve">СМ-00428</x:t>
        </x:is>
      </x:c>
      <x:c r="B402" s="31" t="n">
        <x:v>46044</x:v>
      </x:c>
      <x:c r="C402" s="31" t="inlineStr">
        <x:is>
          <x:t xml:space="preserve">Ночь</x:t>
        </x:is>
      </x:c>
      <x:c r="D402" s="31" t="inlineStr">
        <x:is>
          <x:t xml:space="preserve">ПЗ-00112</x:t>
        </x:is>
      </x:c>
      <x:c r="E402" s="31" t="inlineStr">
        <x:is>
          <x:t xml:space="preserve">ОП-000940</x:t>
        </x:is>
      </x:c>
      <x:c r="F402" s="31" t="inlineStr">
        <x:is>
          <x:t xml:space="preserve">ОБ-008</x:t>
        </x:is>
      </x:c>
      <x:c r="G402" s="31" t="inlineStr">
        <x:is>
          <x:t xml:space="preserve">СОТР-039</x:t>
        </x:is>
      </x:c>
      <x:c r="H402" s="31" t="inlineStr">
        <x:is>
          <x:t xml:space="preserve">Склад</x:t>
        </x:is>
      </x:c>
      <x:c r="I402" s="31" t="n">
        <x:v>1</x:v>
      </x:c>
      <x:c r="J402" s="31" t="n">
        <x:v>1</x:v>
      </x:c>
      <x:c r="K402" s="31" t="n">
        <x:v>9.4</x:v>
      </x:c>
      <x:c r="L402" s="31" t="n">
        <x:v>6.2</x:v>
      </x:c>
      <x:c r="M402" s="31" t="n">
        <x:v>45</x:v>
      </x:c>
      <x:c r="N402" s="31" t="inlineStr">
        <x:is>
          <x:t xml:space="preserve">Ремонт оборудования</x:t>
        </x:is>
      </x:c>
      <x:c r="O402" s="31" t="inlineStr">
        <x:is>
          <x:t xml:space="preserve">Подтверждено мастером</x:t>
        </x:is>
      </x:c>
      <x:c r="P402" s="31" t="inlineStr">
        <x:is>
          <x:t xml:space="preserve">Комментарий смены 428</x:t>
        </x:is>
      </x:c>
    </x:row>
    <x:row r="403">
      <x:c r="A403" s="31" t="inlineStr">
        <x:is>
          <x:t xml:space="preserve">СМ-00429</x:t>
        </x:is>
      </x:c>
      <x:c r="B403" s="31" t="n">
        <x:v>46126</x:v>
      </x:c>
      <x:c r="C403" s="31" t="inlineStr">
        <x:is>
          <x:t xml:space="preserve">День</x:t>
        </x:is>
      </x:c>
      <x:c r="D403" s="31" t="inlineStr">
        <x:is>
          <x:t xml:space="preserve">ПЗ-00129</x:t>
        </x:is>
      </x:c>
      <x:c r="E403" s="31" t="inlineStr">
        <x:is>
          <x:t xml:space="preserve">ОП-001079</x:t>
        </x:is>
      </x:c>
      <x:c r="F403" s="31" t="inlineStr">
        <x:is>
          <x:t xml:space="preserve">ОБ-010</x:t>
        </x:is>
      </x:c>
      <x:c r="G403" s="31" t="inlineStr">
        <x:is>
          <x:t xml:space="preserve">СОТР-072</x:t>
        </x:is>
      </x:c>
      <x:c r="H403" s="31" t="inlineStr">
        <x:is>
          <x:t xml:space="preserve">Сварка</x:t>
        </x:is>
      </x:c>
      <x:c r="I403" s="31" t="n">
        <x:v>2</x:v>
      </x:c>
      <x:c r="J403" s="31" t="n">
        <x:v>0</x:v>
      </x:c>
      <x:c r="K403" s="31" t="n">
        <x:v>15.6</x:v>
      </x:c>
      <x:c r="L403" s="31" t="n">
        <x:v>15.5</x:v>
      </x:c>
      <x:c r="M403" s="31" t="n">
        <x:v>90</x:v>
      </x:c>
      <x:c r="N403" s="31" t="inlineStr">
        <x:is>
          <x:t xml:space="preserve">Переналадка</x:t>
        </x:is>
      </x:c>
      <x:c r="O403" s="31" t="inlineStr">
        <x:is>
          <x:t xml:space="preserve">Подтверждено мастером</x:t>
        </x:is>
      </x:c>
      <x:c r="P403" s="31" t="inlineStr">
        <x:is>
          <x:t xml:space="preserve">Комментарий смены 429</x:t>
        </x:is>
      </x:c>
    </x:row>
    <x:row r="404">
      <x:c r="A404" s="31" t="inlineStr">
        <x:is>
          <x:t xml:space="preserve">СМ-00430</x:t>
        </x:is>
      </x:c>
      <x:c r="B404" s="31" t="n">
        <x:v>46089</x:v>
      </x:c>
      <x:c r="C404" s="31" t="inlineStr">
        <x:is>
          <x:t xml:space="preserve">День</x:t>
        </x:is>
      </x:c>
      <x:c r="D404" s="31" t="inlineStr">
        <x:is>
          <x:t xml:space="preserve">ПЗ-00246</x:t>
        </x:is>
      </x:c>
      <x:c r="E404" s="31" t="inlineStr">
        <x:is>
          <x:t xml:space="preserve">ОП-002054</x:t>
        </x:is>
      </x:c>
      <x:c r="F404" s="31" t="inlineStr">
        <x:is>
          <x:t xml:space="preserve">ОБ-021</x:t>
        </x:is>
      </x:c>
      <x:c r="G404" s="31" t="inlineStr">
        <x:is>
          <x:t xml:space="preserve">СОТР-067</x:t>
        </x:is>
      </x:c>
      <x:c r="H404" s="31" t="inlineStr">
        <x:is>
          <x:t xml:space="preserve">Сварка</x:t>
        </x:is>
      </x:c>
      <x:c r="I404" s="31" t="n">
        <x:v>2</x:v>
      </x:c>
      <x:c r="J404" s="31" t="n">
        <x:v>2</x:v>
      </x:c>
      <x:c r="K404" s="31" t="n">
        <x:v>9.4</x:v>
      </x:c>
      <x:c r="L404" s="31" t="n">
        <x:v>11</x:v>
      </x:c>
      <x:c r="M404" s="31" t="n">
        <x:v>120</x:v>
      </x:c>
      <x:c r="N404" s="31" t="inlineStr">
        <x:is>
          <x:t xml:space="preserve">Ремонт оборудования</x:t>
        </x:is>
      </x:c>
      <x:c r="O404" s="31" t="inlineStr">
        <x:is>
          <x:t xml:space="preserve">Подтверждено мастером</x:t>
        </x:is>
      </x:c>
      <x:c r="P404" s="31" t="inlineStr">
        <x:is>
          <x:t xml:space="preserve">Комментарий смены 430</x:t>
        </x:is>
      </x:c>
    </x:row>
    <x:row r="405">
      <x:c r="A405" s="31" t="inlineStr">
        <x:is>
          <x:t xml:space="preserve">СМ-00431</x:t>
        </x:is>
      </x:c>
      <x:c r="B405" s="31" t="n">
        <x:v>46175</x:v>
      </x:c>
      <x:c r="C405" s="31" t="inlineStr">
        <x:is>
          <x:t xml:space="preserve">День</x:t>
        </x:is>
      </x:c>
      <x:c r="D405" s="31" t="inlineStr">
        <x:is>
          <x:t xml:space="preserve">ПЗ-00017</x:t>
        </x:is>
      </x:c>
      <x:c r="E405" s="31" t="inlineStr">
        <x:is>
          <x:t xml:space="preserve">ОП-000142</x:t>
        </x:is>
      </x:c>
      <x:c r="F405" s="31" t="inlineStr">
        <x:is>
          <x:t xml:space="preserve">ОБ-017</x:t>
        </x:is>
      </x:c>
      <x:c r="G405" s="31" t="inlineStr">
        <x:is>
          <x:t xml:space="preserve">СОТР-086</x:t>
        </x:is>
      </x:c>
      <x:c r="H405" s="31" t="inlineStr">
        <x:is>
          <x:t xml:space="preserve">Сборка</x:t>
        </x:is>
      </x:c>
      <x:c r="I405" s="31" t="n">
        <x:v>1</x:v>
      </x:c>
      <x:c r="J405" s="31" t="n">
        <x:v>0</x:v>
      </x:c>
      <x:c r="K405" s="31" t="n">
        <x:v>116.5</x:v>
      </x:c>
      <x:c r="L405" s="31" t="n">
        <x:v>100.8</x:v>
      </x:c>
      <x:c r="M405" s="31" t="n">
        <x:v>60</x:v>
      </x:c>
      <x:c r="N405" s="31" t="inlineStr">
        <x:is>
          <x:t xml:space="preserve">Ожидание материала</x:t>
        </x:is>
      </x:c>
      <x:c r="O405" s="31" t="inlineStr">
        <x:is>
          <x:t xml:space="preserve">Подтверждено мастером</x:t>
        </x:is>
      </x:c>
      <x:c r="P405" s="31" t="inlineStr">
        <x:is>
          <x:t xml:space="preserve">Комментарий смены 431</x:t>
        </x:is>
      </x:c>
    </x:row>
    <x:row r="406">
      <x:c r="A406" s="31" t="inlineStr">
        <x:is>
          <x:t xml:space="preserve">СМ-00433</x:t>
        </x:is>
      </x:c>
      <x:c r="B406" s="31" t="n">
        <x:v>46062</x:v>
      </x:c>
      <x:c r="C406" s="31" t="inlineStr">
        <x:is>
          <x:t xml:space="preserve">День</x:t>
        </x:is>
      </x:c>
      <x:c r="D406" s="31" t="inlineStr">
        <x:is>
          <x:t xml:space="preserve">ПЗ-00218</x:t>
        </x:is>
      </x:c>
      <x:c r="E406" s="31" t="inlineStr">
        <x:is>
          <x:t xml:space="preserve">ОП-001831</x:t>
        </x:is>
      </x:c>
      <x:c r="F406" s="31" t="inlineStr">
        <x:is>
          <x:t xml:space="preserve">ОБ-034</x:t>
        </x:is>
      </x:c>
      <x:c r="G406" s="31" t="inlineStr">
        <x:is>
          <x:t xml:space="preserve">СОТР-075</x:t>
        </x:is>
      </x:c>
      <x:c r="H406" s="31" t="inlineStr">
        <x:is>
          <x:t xml:space="preserve">Сборка</x:t>
        </x:is>
      </x:c>
      <x:c r="I406" s="31" t="n">
        <x:v>2</x:v>
      </x:c>
      <x:c r="J406" s="31" t="n">
        <x:v>2</x:v>
      </x:c>
      <x:c r="K406" s="31" t="n">
        <x:v>4.2</x:v>
      </x:c>
      <x:c r="L406" s="31" t="n">
        <x:v>4.4</x:v>
      </x:c>
      <x:c r="M406" s="31" t="n">
        <x:v>60</x:v>
      </x:c>
      <x:c r="N406" s="31" t="inlineStr">
        <x:is>
          <x:t xml:space="preserve">Нет оператора</x:t>
        </x:is>
      </x:c>
      <x:c r="O406" s="31" t="inlineStr">
        <x:is>
          <x:t xml:space="preserve">Подтверждено мастером</x:t>
        </x:is>
      </x:c>
      <x:c r="P406" s="31" t="inlineStr">
        <x:is>
          <x:t xml:space="preserve">Комментарий смены 433</x:t>
        </x:is>
      </x:c>
    </x:row>
    <x:row r="407">
      <x:c r="A407" s="31" t="inlineStr">
        <x:is>
          <x:t xml:space="preserve">СМ-00434</x:t>
        </x:is>
      </x:c>
      <x:c r="B407" s="31" t="n">
        <x:v>46085</x:v>
      </x:c>
      <x:c r="C407" s="31" t="inlineStr">
        <x:is>
          <x:t xml:space="preserve">Ночь</x:t>
        </x:is>
      </x:c>
      <x:c r="D407" s="31" t="inlineStr">
        <x:is>
          <x:t xml:space="preserve">ПЗ-00025</x:t>
        </x:is>
      </x:c>
      <x:c r="E407" s="31" t="inlineStr">
        <x:is>
          <x:t xml:space="preserve">ОП-000215</x:t>
        </x:is>
      </x:c>
      <x:c r="F407" s="31" t="inlineStr">
        <x:is>
          <x:t xml:space="preserve">ОБ-016</x:t>
        </x:is>
      </x:c>
      <x:c r="G407" s="31" t="inlineStr">
        <x:is>
          <x:t xml:space="preserve">СОТР-073</x:t>
        </x:is>
      </x:c>
      <x:c r="H407" s="31" t="inlineStr">
        <x:is>
          <x:t xml:space="preserve">Сборка</x:t>
        </x:is>
      </x:c>
      <x:c r="I407" s="31" t="n">
        <x:v>2</x:v>
      </x:c>
      <x:c r="J407" s="31" t="n">
        <x:v>2</x:v>
      </x:c>
      <x:c r="K407" s="31" t="n">
        <x:v>15.8</x:v>
      </x:c>
      <x:c r="L407" s="31" t="n">
        <x:v>19.9</x:v>
      </x:c>
      <x:c r="M407" s="31" t="n">
        <x:v>45</x:v>
      </x:c>
      <x:c r="N407" s="31" t="inlineStr">
        <x:is>
          <x:t xml:space="preserve">Ожидание ОТК</x:t>
        </x:is>
      </x:c>
      <x:c r="O407" s="31" t="inlineStr">
        <x:is>
          <x:t xml:space="preserve">Подтверждено мастером</x:t>
        </x:is>
      </x:c>
      <x:c r="P407" s="31" t="inlineStr">
        <x:is>
          <x:t xml:space="preserve">Комментарий смены 434</x:t>
        </x:is>
      </x:c>
    </x:row>
    <x:row r="408">
      <x:c r="A408" s="31" t="inlineStr">
        <x:is>
          <x:t xml:space="preserve">СМ-00435</x:t>
        </x:is>
      </x:c>
      <x:c r="B408" s="31" t="n">
        <x:v>46157</x:v>
      </x:c>
      <x:c r="C408" s="31" t="inlineStr">
        <x:is>
          <x:t xml:space="preserve">День</x:t>
        </x:is>
      </x:c>
      <x:c r="D408" s="31" t="inlineStr">
        <x:is>
          <x:t xml:space="preserve">ПЗ-00238</x:t>
        </x:is>
      </x:c>
      <x:c r="E408" s="31" t="inlineStr">
        <x:is>
          <x:t xml:space="preserve">ОП-001994</x:t>
        </x:is>
      </x:c>
      <x:c r="F408" s="31" t="inlineStr">
        <x:is>
          <x:t xml:space="preserve">ОБ-033</x:t>
        </x:is>
      </x:c>
      <x:c r="G408" s="31" t="inlineStr">
        <x:is>
          <x:t xml:space="preserve">СОТР-099</x:t>
        </x:is>
      </x:c>
      <x:c r="H408" s="31" t="inlineStr">
        <x:is>
          <x:t xml:space="preserve">ОТК</x:t>
        </x:is>
      </x:c>
      <x:c r="I408" s="31" t="n">
        <x:v>1</x:v>
      </x:c>
      <x:c r="J408" s="31" t="n">
        <x:v>1</x:v>
      </x:c>
      <x:c r="K408" s="31" t="n">
        <x:v>12</x:v>
      </x:c>
      <x:c r="L408" s="31" t="n">
        <x:v>15.5</x:v>
      </x:c>
      <x:c r="M408" s="31" t="n">
        <x:v>15</x:v>
      </x:c>
      <x:c r="N408" s="31" t="inlineStr">
        <x:is>
          <x:t xml:space="preserve">Ожидание материала</x:t>
        </x:is>
      </x:c>
      <x:c r="O408" s="31" t="inlineStr">
        <x:is>
          <x:t xml:space="preserve">Подтверждено мастером</x:t>
        </x:is>
      </x:c>
      <x:c r="P408" s="31" t="inlineStr">
        <x:is>
          <x:t xml:space="preserve">Комментарий смены 435</x:t>
        </x:is>
      </x:c>
    </x:row>
    <x:row r="409">
      <x:c r="A409" s="31" t="inlineStr">
        <x:is>
          <x:t xml:space="preserve">СМ-00436</x:t>
        </x:is>
      </x:c>
      <x:c r="B409" s="31" t="n">
        <x:v>46155</x:v>
      </x:c>
      <x:c r="C409" s="31" t="inlineStr">
        <x:is>
          <x:t xml:space="preserve">День</x:t>
        </x:is>
      </x:c>
      <x:c r="D409" s="31" t="inlineStr">
        <x:is>
          <x:t xml:space="preserve">ПЗ-00198</x:t>
        </x:is>
      </x:c>
      <x:c r="E409" s="31" t="inlineStr">
        <x:is>
          <x:t xml:space="preserve">ОП-001658</x:t>
        </x:is>
      </x:c>
      <x:c r="F409" s="31" t="inlineStr">
        <x:is>
          <x:t xml:space="preserve">ОБ-003</x:t>
        </x:is>
      </x:c>
      <x:c r="G409" s="31" t="inlineStr">
        <x:is>
          <x:t xml:space="preserve">СОТР-065</x:t>
        </x:is>
      </x:c>
      <x:c r="H409" s="31" t="inlineStr">
        <x:is>
          <x:t xml:space="preserve">Сварка</x:t>
        </x:is>
      </x:c>
      <x:c r="I409" s="31" t="n">
        <x:v>1</x:v>
      </x:c>
      <x:c r="J409" s="31" t="n">
        <x:v>1</x:v>
      </x:c>
      <x:c r="K409" s="31" t="n">
        <x:v>11.3</x:v>
      </x:c>
      <x:c r="L409" s="31" t="n">
        <x:v>10.6</x:v>
      </x:c>
      <x:c r="M409" s="31" t="n">
        <x:v>90</x:v>
      </x:c>
      <x:c r="N409" s="31" t="inlineStr">
        <x:is>
          <x:t xml:space="preserve">Ожидание материала</x:t>
        </x:is>
      </x:c>
      <x:c r="O409" s="31" t="inlineStr">
        <x:is>
          <x:t xml:space="preserve">Закрыто</x:t>
        </x:is>
      </x:c>
      <x:c r="P409" s="31" t="inlineStr">
        <x:is>
          <x:t xml:space="preserve">Комментарий смены 436</x:t>
        </x:is>
      </x:c>
    </x:row>
    <x:row r="410">
      <x:c r="A410" s="31" t="inlineStr">
        <x:is>
          <x:t xml:space="preserve">СМ-00437</x:t>
        </x:is>
      </x:c>
      <x:c r="B410" s="31" t="n">
        <x:v>46174</x:v>
      </x:c>
      <x:c r="C410" s="31" t="inlineStr">
        <x:is>
          <x:t xml:space="preserve">Вечер</x:t>
        </x:is>
      </x:c>
      <x:c r="D410" s="31" t="inlineStr">
        <x:is>
          <x:t xml:space="preserve">ПЗ-00197</x:t>
        </x:is>
      </x:c>
      <x:c r="E410" s="31" t="inlineStr">
        <x:is>
          <x:t xml:space="preserve">ОП-001654</x:t>
        </x:is>
      </x:c>
      <x:c r="F410" s="31" t="inlineStr">
        <x:is>
          <x:t xml:space="preserve">ОБ-033</x:t>
        </x:is>
      </x:c>
      <x:c r="G410" s="31" t="inlineStr">
        <x:is>
          <x:t xml:space="preserve">СОТР-095</x:t>
        </x:is>
      </x:c>
      <x:c r="H410" s="31" t="inlineStr">
        <x:is>
          <x:t xml:space="preserve">ОТК</x:t>
        </x:is>
      </x:c>
      <x:c r="I410" s="31" t="n">
        <x:v>4</x:v>
      </x:c>
      <x:c r="J410" s="31" t="n">
        <x:v>4</x:v>
      </x:c>
      <x:c r="K410" s="31" t="n">
        <x:v>20.5</x:v>
      </x:c>
      <x:c r="L410" s="31" t="n">
        <x:v>27.1</x:v>
      </x:c>
      <x:c r="M410" s="31" t="n">
        <x:v>120</x:v>
      </x:c>
      <x:c r="N410" s="31" t="inlineStr">
        <x:is>
          <x:t xml:space="preserve">Ожидание ОТК</x:t>
        </x:is>
      </x:c>
      <x:c r="O410" s="31" t="inlineStr">
        <x:is>
          <x:t xml:space="preserve">Закрыто</x:t>
        </x:is>
      </x:c>
      <x:c r="P410" s="31" t="inlineStr">
        <x:is>
          <x:t xml:space="preserve">Комментарий смены 437</x:t>
        </x:is>
      </x:c>
    </x:row>
    <x:row r="411">
      <x:c r="A411" s="31" t="inlineStr">
        <x:is>
          <x:t xml:space="preserve">СМ-00438</x:t>
        </x:is>
      </x:c>
      <x:c r="B411" s="31" t="n">
        <x:v>46154</x:v>
      </x:c>
      <x:c r="C411" s="31" t="inlineStr">
        <x:is>
          <x:t xml:space="preserve">День</x:t>
        </x:is>
      </x:c>
      <x:c r="D411" s="31" t="inlineStr">
        <x:is>
          <x:t xml:space="preserve">ПЗ-00085</x:t>
        </x:is>
      </x:c>
      <x:c r="E411" s="31" t="inlineStr">
        <x:is>
          <x:t xml:space="preserve">ОП-000725</x:t>
        </x:is>
      </x:c>
      <x:c r="F411" s="31" t="inlineStr">
        <x:is>
          <x:t xml:space="preserve">ОБ-029</x:t>
        </x:is>
      </x:c>
      <x:c r="G411" s="31" t="inlineStr">
        <x:is>
          <x:t xml:space="preserve">СОТР-046</x:t>
        </x:is>
      </x:c>
      <x:c r="H411" s="31" t="inlineStr">
        <x:is>
          <x:t xml:space="preserve">Механообработка</x:t>
        </x:is>
      </x:c>
      <x:c r="I411" s="31" t="n">
        <x:v>2</x:v>
      </x:c>
      <x:c r="J411" s="31" t="n">
        <x:v>2</x:v>
      </x:c>
      <x:c r="K411" s="31" t="n">
        <x:v>12.4</x:v>
      </x:c>
      <x:c r="L411" s="31" t="n">
        <x:v>11.6</x:v>
      </x:c>
      <x:c r="M411" s="31" t="n">
        <x:v>0</x:v>
      </x:c>
      <x:c r="N411" s="31" t="inlineStr">
        <x:is>
          <x:t xml:space="preserve">Нет</x:t>
        </x:is>
      </x:c>
      <x:c r="O411" s="31" t="inlineStr">
        <x:is>
          <x:t xml:space="preserve">Подтверждено мастером</x:t>
        </x:is>
      </x:c>
      <x:c r="P411" s="31" t="inlineStr">
        <x:is>
          <x:t xml:space="preserve">Комментарий смены 438</x:t>
        </x:is>
      </x:c>
    </x:row>
    <x:row r="412">
      <x:c r="A412" s="31" t="inlineStr">
        <x:is>
          <x:t xml:space="preserve">СМ-00439</x:t>
        </x:is>
      </x:c>
      <x:c r="B412" s="31" t="n">
        <x:v>46161</x:v>
      </x:c>
      <x:c r="C412" s="31" t="inlineStr">
        <x:is>
          <x:t xml:space="preserve">День</x:t>
        </x:is>
      </x:c>
      <x:c r="D412" s="31" t="inlineStr">
        <x:is>
          <x:t xml:space="preserve">ПЗ-00187</x:t>
        </x:is>
      </x:c>
      <x:c r="E412" s="31" t="inlineStr">
        <x:is>
          <x:t xml:space="preserve">ОП-001563</x:t>
        </x:is>
      </x:c>
      <x:c r="F412" s="31" t="n"/>
      <x:c r="G412" s="31" t="inlineStr">
        <x:is>
          <x:t xml:space="preserve">СОТР-070</x:t>
        </x:is>
      </x:c>
      <x:c r="H412" s="31" t="inlineStr">
        <x:is>
          <x:t xml:space="preserve">Логистика</x:t>
        </x:is>
      </x:c>
      <x:c r="I412" s="31" t="n">
        <x:v>1</x:v>
      </x:c>
      <x:c r="J412" s="31" t="n">
        <x:v>1</x:v>
      </x:c>
      <x:c r="K412" s="31" t="n">
        <x:v>16.2</x:v>
      </x:c>
      <x:c r="L412" s="31" t="n">
        <x:v>14.2</x:v>
      </x:c>
      <x:c r="M412" s="31" t="n">
        <x:v>15</x:v>
      </x:c>
      <x:c r="N412" s="31" t="inlineStr">
        <x:is>
          <x:t xml:space="preserve">Ремонт оборудования</x:t>
        </x:is>
      </x:c>
      <x:c r="O412" s="31" t="inlineStr">
        <x:is>
          <x:t xml:space="preserve">Подтверждено мастером</x:t>
        </x:is>
      </x:c>
      <x:c r="P412" s="31" t="inlineStr">
        <x:is>
          <x:t xml:space="preserve">Комментарий смены 439</x:t>
        </x:is>
      </x:c>
    </x:row>
    <x:row r="413">
      <x:c r="A413" s="31" t="inlineStr">
        <x:is>
          <x:t xml:space="preserve">СМ-00440</x:t>
        </x:is>
      </x:c>
      <x:c r="B413" s="31" t="n">
        <x:v>46043</x:v>
      </x:c>
      <x:c r="C413" s="31" t="inlineStr">
        <x:is>
          <x:t xml:space="preserve">Вечер</x:t>
        </x:is>
      </x:c>
      <x:c r="D413" s="31" t="inlineStr">
        <x:is>
          <x:t xml:space="preserve">ПЗ-00095</x:t>
        </x:is>
      </x:c>
      <x:c r="E413" s="31" t="inlineStr">
        <x:is>
          <x:t xml:space="preserve">ОП-000799</x:t>
        </x:is>
      </x:c>
      <x:c r="F413" s="31" t="inlineStr">
        <x:is>
          <x:t xml:space="preserve">ОБ-035</x:t>
        </x:is>
      </x:c>
      <x:c r="G413" s="31" t="inlineStr">
        <x:is>
          <x:t xml:space="preserve">СОТР-061</x:t>
        </x:is>
      </x:c>
      <x:c r="H413" s="31" t="inlineStr">
        <x:is>
          <x:t xml:space="preserve">Сварка</x:t>
        </x:is>
      </x:c>
      <x:c r="I413" s="31" t="n">
        <x:v>1</x:v>
      </x:c>
      <x:c r="J413" s="31" t="n">
        <x:v>1</x:v>
      </x:c>
      <x:c r="K413" s="31" t="n">
        <x:v>8.5</x:v>
      </x:c>
      <x:c r="L413" s="31" t="n">
        <x:v>7.4</x:v>
      </x:c>
      <x:c r="M413" s="31" t="n">
        <x:v>0</x:v>
      </x:c>
      <x:c r="N413" s="31" t="inlineStr">
        <x:is>
          <x:t xml:space="preserve">Нет</x:t>
        </x:is>
      </x:c>
      <x:c r="O413" s="31" t="inlineStr">
        <x:is>
          <x:t xml:space="preserve">Подтверждено мастером</x:t>
        </x:is>
      </x:c>
      <x:c r="P413" s="31" t="inlineStr">
        <x:is>
          <x:t xml:space="preserve">Комментарий смены 440</x:t>
        </x:is>
      </x:c>
    </x:row>
    <x:row r="414">
      <x:c r="A414" s="31" t="inlineStr">
        <x:is>
          <x:t xml:space="preserve">СМ-00441</x:t>
        </x:is>
      </x:c>
      <x:c r="B414" s="31" t="n">
        <x:v>46112</x:v>
      </x:c>
      <x:c r="C414" s="31" t="inlineStr">
        <x:is>
          <x:t xml:space="preserve">Ночь</x:t>
        </x:is>
      </x:c>
      <x:c r="D414" s="31" t="inlineStr">
        <x:is>
          <x:t xml:space="preserve">ПЗ-00066</x:t>
        </x:is>
      </x:c>
      <x:c r="E414" s="31" t="inlineStr">
        <x:is>
          <x:t xml:space="preserve">ОП-000557</x:t>
        </x:is>
      </x:c>
      <x:c r="F414" s="31" t="inlineStr">
        <x:is>
          <x:t xml:space="preserve">ОБ-021</x:t>
        </x:is>
      </x:c>
      <x:c r="G414" s="31" t="inlineStr">
        <x:is>
          <x:t xml:space="preserve">СОТР-065</x:t>
        </x:is>
      </x:c>
      <x:c r="H414" s="31" t="inlineStr">
        <x:is>
          <x:t xml:space="preserve">Сварка</x:t>
        </x:is>
      </x:c>
      <x:c r="I414" s="31" t="n">
        <x:v>3</x:v>
      </x:c>
      <x:c r="J414" s="31" t="n">
        <x:v>0</x:v>
      </x:c>
      <x:c r="K414" s="31" t="n">
        <x:v>38.1</x:v>
      </x:c>
      <x:c r="L414" s="31" t="n">
        <x:v>25.8</x:v>
      </x:c>
      <x:c r="M414" s="31" t="n">
        <x:v>60</x:v>
      </x:c>
      <x:c r="N414" s="31" t="inlineStr">
        <x:is>
          <x:t xml:space="preserve">Ожидание ОТК</x:t>
        </x:is>
      </x:c>
      <x:c r="O414" s="31" t="inlineStr">
        <x:is>
          <x:t xml:space="preserve">Подтверждено мастером</x:t>
        </x:is>
      </x:c>
      <x:c r="P414" s="31" t="inlineStr">
        <x:is>
          <x:t xml:space="preserve">Комментарий смены 441</x:t>
        </x:is>
      </x:c>
    </x:row>
    <x:row r="415">
      <x:c r="A415" s="31" t="inlineStr">
        <x:is>
          <x:t xml:space="preserve">СМ-00442</x:t>
        </x:is>
      </x:c>
      <x:c r="B415" s="31" t="n">
        <x:v>46189</x:v>
      </x:c>
      <x:c r="C415" s="31" t="inlineStr">
        <x:is>
          <x:t xml:space="preserve">Ночь</x:t>
        </x:is>
      </x:c>
      <x:c r="D415" s="31" t="inlineStr">
        <x:is>
          <x:t xml:space="preserve">ПЗ-00216</x:t>
        </x:is>
      </x:c>
      <x:c r="E415" s="31" t="inlineStr">
        <x:is>
          <x:t xml:space="preserve">ОП-001812</x:t>
        </x:is>
      </x:c>
      <x:c r="F415" s="31" t="inlineStr">
        <x:is>
          <x:t xml:space="preserve">ОБ-018</x:t>
        </x:is>
      </x:c>
      <x:c r="G415" s="31" t="inlineStr">
        <x:is>
          <x:t xml:space="preserve">СОТР-068</x:t>
        </x:is>
      </x:c>
      <x:c r="H415" s="31" t="inlineStr">
        <x:is>
          <x:t xml:space="preserve">Сварка</x:t>
        </x:is>
      </x:c>
      <x:c r="I415" s="31" t="n">
        <x:v>4</x:v>
      </x:c>
      <x:c r="J415" s="31" t="n">
        <x:v>4</x:v>
      </x:c>
      <x:c r="K415" s="31" t="n">
        <x:v>57.2</x:v>
      </x:c>
      <x:c r="L415" s="31" t="n">
        <x:v>71.7</x:v>
      </x:c>
      <x:c r="M415" s="31" t="n">
        <x:v>0</x:v>
      </x:c>
      <x:c r="N415" s="31" t="inlineStr">
        <x:is>
          <x:t xml:space="preserve">Нет</x:t>
        </x:is>
      </x:c>
      <x:c r="O415" s="31" t="inlineStr">
        <x:is>
          <x:t xml:space="preserve">Черновик</x:t>
        </x:is>
      </x:c>
      <x:c r="P415" s="31" t="inlineStr">
        <x:is>
          <x:t xml:space="preserve">Комментарий смены 442</x:t>
        </x:is>
      </x:c>
    </x:row>
    <x:row r="416">
      <x:c r="A416" s="31" t="inlineStr">
        <x:is>
          <x:t xml:space="preserve">СМ-00443</x:t>
        </x:is>
      </x:c>
      <x:c r="B416" s="31" t="n">
        <x:v>46125</x:v>
      </x:c>
      <x:c r="C416" s="31" t="inlineStr">
        <x:is>
          <x:t xml:space="preserve">День</x:t>
        </x:is>
      </x:c>
      <x:c r="D416" s="31" t="inlineStr">
        <x:is>
          <x:t xml:space="preserve">ПЗ-00233</x:t>
        </x:is>
      </x:c>
      <x:c r="E416" s="31" t="inlineStr">
        <x:is>
          <x:t xml:space="preserve">ОП-001947</x:t>
        </x:is>
      </x:c>
      <x:c r="F416" s="31" t="inlineStr">
        <x:is>
          <x:t xml:space="preserve">ОБ-023</x:t>
        </x:is>
      </x:c>
      <x:c r="G416" s="31" t="inlineStr">
        <x:is>
          <x:t xml:space="preserve">СОТР-034</x:t>
        </x:is>
      </x:c>
      <x:c r="H416" s="31" t="inlineStr">
        <x:is>
          <x:t xml:space="preserve">Склад</x:t>
        </x:is>
      </x:c>
      <x:c r="I416" s="31" t="n">
        <x:v>2</x:v>
      </x:c>
      <x:c r="J416" s="31" t="n">
        <x:v>2</x:v>
      </x:c>
      <x:c r="K416" s="31" t="n">
        <x:v>12.4</x:v>
      </x:c>
      <x:c r="L416" s="31" t="n">
        <x:v>14.6</x:v>
      </x:c>
      <x:c r="M416" s="31" t="n">
        <x:v>0</x:v>
      </x:c>
      <x:c r="N416" s="31" t="inlineStr">
        <x:is>
          <x:t xml:space="preserve">Нет</x:t>
        </x:is>
      </x:c>
      <x:c r="O416" s="31" t="inlineStr">
        <x:is>
          <x:t xml:space="preserve">Подтверждено мастером</x:t>
        </x:is>
      </x:c>
      <x:c r="P416" s="31" t="inlineStr">
        <x:is>
          <x:t xml:space="preserve">Комментарий смены 443</x:t>
        </x:is>
      </x:c>
    </x:row>
    <x:row r="417">
      <x:c r="A417" s="31" t="inlineStr">
        <x:is>
          <x:t xml:space="preserve">СМ-00444</x:t>
        </x:is>
      </x:c>
      <x:c r="B417" s="31" t="n">
        <x:v>46131</x:v>
      </x:c>
      <x:c r="C417" s="31" t="inlineStr">
        <x:is>
          <x:t xml:space="preserve">Ночь</x:t>
        </x:is>
      </x:c>
      <x:c r="D417" s="31" t="inlineStr">
        <x:is>
          <x:t xml:space="preserve">ПЗ-00221</x:t>
        </x:is>
      </x:c>
      <x:c r="E417" s="31" t="inlineStr">
        <x:is>
          <x:t xml:space="preserve">ОП-001858</x:t>
        </x:is>
      </x:c>
      <x:c r="F417" s="31" t="n"/>
      <x:c r="G417" s="31" t="inlineStr">
        <x:is>
          <x:t xml:space="preserve">СОТР-101</x:t>
        </x:is>
      </x:c>
      <x:c r="H417" s="31" t="inlineStr">
        <x:is>
          <x:t xml:space="preserve">Логистика</x:t>
        </x:is>
      </x:c>
      <x:c r="I417" s="31" t="n">
        <x:v>2</x:v>
      </x:c>
      <x:c r="J417" s="31" t="n">
        <x:v>1</x:v>
      </x:c>
      <x:c r="K417" s="31" t="n">
        <x:v>17</x:v>
      </x:c>
      <x:c r="L417" s="31" t="n">
        <x:v>17.7</x:v>
      </x:c>
      <x:c r="M417" s="31" t="n">
        <x:v>0</x:v>
      </x:c>
      <x:c r="N417" s="31" t="inlineStr">
        <x:is>
          <x:t xml:space="preserve">Нет</x:t>
        </x:is>
      </x:c>
      <x:c r="O417" s="31" t="inlineStr">
        <x:is>
          <x:t xml:space="preserve">Подтверждено мастером</x:t>
        </x:is>
      </x:c>
      <x:c r="P417" s="31" t="inlineStr">
        <x:is>
          <x:t xml:space="preserve">Комментарий смены 444</x:t>
        </x:is>
      </x:c>
    </x:row>
    <x:row r="418">
      <x:c r="A418" s="31" t="inlineStr">
        <x:is>
          <x:t xml:space="preserve">СМ-00445</x:t>
        </x:is>
      </x:c>
      <x:c r="B418" s="31" t="n">
        <x:v>46152</x:v>
      </x:c>
      <x:c r="C418" s="31" t="inlineStr">
        <x:is>
          <x:t xml:space="preserve">Ночь</x:t>
        </x:is>
      </x:c>
      <x:c r="D418" s="31" t="inlineStr">
        <x:is>
          <x:t xml:space="preserve">ПЗ-00188</x:t>
        </x:is>
      </x:c>
      <x:c r="E418" s="31" t="inlineStr">
        <x:is>
          <x:t xml:space="preserve">ОП-001566</x:t>
        </x:is>
      </x:c>
      <x:c r="F418" s="31" t="inlineStr">
        <x:is>
          <x:t xml:space="preserve">ОБ-020</x:t>
        </x:is>
      </x:c>
      <x:c r="G418" s="31" t="inlineStr">
        <x:is>
          <x:t xml:space="preserve">СОТР-074</x:t>
        </x:is>
      </x:c>
      <x:c r="H418" s="31" t="inlineStr">
        <x:is>
          <x:t xml:space="preserve">Сборка</x:t>
        </x:is>
      </x:c>
      <x:c r="I418" s="31" t="n">
        <x:v>1</x:v>
      </x:c>
      <x:c r="J418" s="31" t="n">
        <x:v>1</x:v>
      </x:c>
      <x:c r="K418" s="31" t="n">
        <x:v>6.1</x:v>
      </x:c>
      <x:c r="L418" s="31" t="n">
        <x:v>7.3</x:v>
      </x:c>
      <x:c r="M418" s="31" t="n">
        <x:v>0</x:v>
      </x:c>
      <x:c r="N418" s="31" t="inlineStr">
        <x:is>
          <x:t xml:space="preserve">Нет</x:t>
        </x:is>
      </x:c>
      <x:c r="O418" s="31" t="inlineStr">
        <x:is>
          <x:t xml:space="preserve">Подтверждено мастером</x:t>
        </x:is>
      </x:c>
      <x:c r="P418" s="31" t="inlineStr">
        <x:is>
          <x:t xml:space="preserve">Комментарий смены 445</x:t>
        </x:is>
      </x:c>
    </x:row>
    <x:row r="419">
      <x:c r="A419" s="31" t="inlineStr">
        <x:is>
          <x:t xml:space="preserve">СМ-00446</x:t>
        </x:is>
      </x:c>
      <x:c r="B419" s="31" t="n">
        <x:v>46201</x:v>
      </x:c>
      <x:c r="C419" s="31" t="inlineStr">
        <x:is>
          <x:t xml:space="preserve">День</x:t>
        </x:is>
      </x:c>
      <x:c r="D419" s="31" t="inlineStr">
        <x:is>
          <x:t xml:space="preserve">ПЗ-00226</x:t>
        </x:is>
      </x:c>
      <x:c r="E419" s="31" t="inlineStr">
        <x:is>
          <x:t xml:space="preserve">ОП-001898</x:t>
        </x:is>
      </x:c>
      <x:c r="F419" s="31" t="inlineStr">
        <x:is>
          <x:t xml:space="preserve">ОБ-026</x:t>
        </x:is>
      </x:c>
      <x:c r="G419" s="31" t="inlineStr">
        <x:is>
          <x:t xml:space="preserve">СОТР-057</x:t>
        </x:is>
      </x:c>
      <x:c r="H419" s="31" t="inlineStr">
        <x:is>
          <x:t xml:space="preserve">Сварка</x:t>
        </x:is>
      </x:c>
      <x:c r="I419" s="31" t="n">
        <x:v>2</x:v>
      </x:c>
      <x:c r="J419" s="31" t="n">
        <x:v>1</x:v>
      </x:c>
      <x:c r="K419" s="31" t="n">
        <x:v>57.2</x:v>
      </x:c>
      <x:c r="L419" s="31" t="n">
        <x:v>69.7</x:v>
      </x:c>
      <x:c r="M419" s="31" t="n">
        <x:v>30</x:v>
      </x:c>
      <x:c r="N419" s="31" t="inlineStr">
        <x:is>
          <x:t xml:space="preserve">Нет оператора</x:t>
        </x:is>
      </x:c>
      <x:c r="O419" s="31" t="inlineStr">
        <x:is>
          <x:t xml:space="preserve">Спорный факт</x:t>
        </x:is>
      </x:c>
      <x:c r="P419" s="31" t="inlineStr">
        <x:is>
          <x:t xml:space="preserve">Комментарий смены 446</x:t>
        </x:is>
      </x:c>
    </x:row>
    <x:row r="420">
      <x:c r="A420" s="31" t="inlineStr">
        <x:is>
          <x:t xml:space="preserve">СМ-00448</x:t>
        </x:is>
      </x:c>
      <x:c r="B420" s="31" t="n">
        <x:v>46204</x:v>
      </x:c>
      <x:c r="C420" s="31" t="inlineStr">
        <x:is>
          <x:t xml:space="preserve">День</x:t>
        </x:is>
      </x:c>
      <x:c r="D420" s="31" t="inlineStr">
        <x:is>
          <x:t xml:space="preserve">ПЗ-00079</x:t>
        </x:is>
      </x:c>
      <x:c r="E420" s="31" t="inlineStr">
        <x:is>
          <x:t xml:space="preserve">ОП-000672</x:t>
        </x:is>
      </x:c>
      <x:c r="F420" s="31" t="inlineStr">
        <x:is>
          <x:t xml:space="preserve">ОБ-014</x:t>
        </x:is>
      </x:c>
      <x:c r="G420" s="31" t="inlineStr">
        <x:is>
          <x:t xml:space="preserve">СОТР-074</x:t>
        </x:is>
      </x:c>
      <x:c r="H420" s="31" t="inlineStr">
        <x:is>
          <x:t xml:space="preserve">Сборка</x:t>
        </x:is>
      </x:c>
      <x:c r="I420" s="31" t="n">
        <x:v>1</x:v>
      </x:c>
      <x:c r="J420" s="31" t="n">
        <x:v>2</x:v>
      </x:c>
      <x:c r="K420" s="31" t="n">
        <x:v>7.5</x:v>
      </x:c>
      <x:c r="L420" s="31" t="n">
        <x:v>7.4</x:v>
      </x:c>
      <x:c r="M420" s="31" t="n">
        <x:v>15</x:v>
      </x:c>
      <x:c r="N420" s="31" t="inlineStr">
        <x:is>
          <x:t xml:space="preserve">Ожидание материала</x:t>
        </x:is>
      </x:c>
      <x:c r="O420" s="31" t="inlineStr">
        <x:is>
          <x:t xml:space="preserve">Подтверждено мастером</x:t>
        </x:is>
      </x:c>
      <x:c r="P420" s="31" t="inlineStr">
        <x:is>
          <x:t xml:space="preserve">Комментарий смены 448</x:t>
        </x:is>
      </x:c>
    </x:row>
    <x:row r="421">
      <x:c r="A421" s="31" t="inlineStr">
        <x:is>
          <x:t xml:space="preserve">СМ-00449</x:t>
        </x:is>
      </x:c>
      <x:c r="B421" s="31" t="n">
        <x:v>46126</x:v>
      </x:c>
      <x:c r="C421" s="31" t="inlineStr">
        <x:is>
          <x:t xml:space="preserve">Ночь</x:t>
        </x:is>
      </x:c>
      <x:c r="D421" s="31" t="inlineStr">
        <x:is>
          <x:t xml:space="preserve">ПЗ-00163</x:t>
        </x:is>
      </x:c>
      <x:c r="E421" s="31" t="inlineStr">
        <x:is>
          <x:t xml:space="preserve">ОП-001355</x:t>
        </x:is>
      </x:c>
      <x:c r="F421" s="31" t="inlineStr">
        <x:is>
          <x:t xml:space="preserve">ОБ-004</x:t>
        </x:is>
      </x:c>
      <x:c r="G421" s="31" t="inlineStr">
        <x:is>
          <x:t xml:space="preserve">СОТР-071</x:t>
        </x:is>
      </x:c>
      <x:c r="H421" s="31" t="inlineStr">
        <x:is>
          <x:t xml:space="preserve">Сварка</x:t>
        </x:is>
      </x:c>
      <x:c r="I421" s="31" t="n">
        <x:v>1</x:v>
      </x:c>
      <x:c r="J421" s="31" t="n">
        <x:v>1</x:v>
      </x:c>
      <x:c r="K421" s="31" t="n">
        <x:v>6.6</x:v>
      </x:c>
      <x:c r="L421" s="31" t="n">
        <x:v>4.3</x:v>
      </x:c>
      <x:c r="M421" s="31" t="n">
        <x:v>0</x:v>
      </x:c>
      <x:c r="N421" s="31" t="inlineStr">
        <x:is>
          <x:t xml:space="preserve">Нет</x:t>
        </x:is>
      </x:c>
      <x:c r="O421" s="31" t="inlineStr">
        <x:is>
          <x:t xml:space="preserve">Подтверждено мастером</x:t>
        </x:is>
      </x:c>
      <x:c r="P421" s="31" t="inlineStr">
        <x:is>
          <x:t xml:space="preserve">Комментарий смены 449</x:t>
        </x:is>
      </x:c>
    </x:row>
    <x:row r="422">
      <x:c r="A422" s="31" t="inlineStr">
        <x:is>
          <x:t xml:space="preserve">СМ-00450</x:t>
        </x:is>
      </x:c>
      <x:c r="B422" s="31" t="n">
        <x:v>46067</x:v>
      </x:c>
      <x:c r="C422" s="31" t="inlineStr">
        <x:is>
          <x:t xml:space="preserve">Ночь</x:t>
        </x:is>
      </x:c>
      <x:c r="D422" s="31" t="inlineStr">
        <x:is>
          <x:t xml:space="preserve">ПЗ-00115</x:t>
        </x:is>
      </x:c>
      <x:c r="E422" s="31" t="inlineStr">
        <x:is>
          <x:t xml:space="preserve">ОП-000968</x:t>
        </x:is>
      </x:c>
      <x:c r="F422" s="31" t="inlineStr">
        <x:is>
          <x:t xml:space="preserve">ОБ-028</x:t>
        </x:is>
      </x:c>
      <x:c r="G422" s="31" t="inlineStr">
        <x:is>
          <x:t xml:space="preserve">СОТР-098</x:t>
        </x:is>
      </x:c>
      <x:c r="H422" s="31" t="inlineStr">
        <x:is>
          <x:t xml:space="preserve">ОТК</x:t>
        </x:is>
      </x:c>
      <x:c r="I422" s="31" t="n">
        <x:v>1</x:v>
      </x:c>
      <x:c r="J422" s="31" t="n">
        <x:v>2</x:v>
      </x:c>
      <x:c r="K422" s="31" t="n">
        <x:v>13.2</x:v>
      </x:c>
      <x:c r="L422" s="31" t="n">
        <x:v>10.8</x:v>
      </x:c>
      <x:c r="M422" s="31" t="n">
        <x:v>0</x:v>
      </x:c>
      <x:c r="N422" s="31" t="inlineStr">
        <x:is>
          <x:t xml:space="preserve">Нет</x:t>
        </x:is>
      </x:c>
      <x:c r="O422" s="31" t="inlineStr">
        <x:is>
          <x:t xml:space="preserve">Спорный факт</x:t>
        </x:is>
      </x:c>
      <x:c r="P422" s="31" t="inlineStr">
        <x:is>
          <x:t xml:space="preserve">Комментарий смены 450</x:t>
        </x:is>
      </x:c>
    </x:row>
    <x:row r="423">
      <x:c r="A423" s="31" t="inlineStr">
        <x:is>
          <x:t xml:space="preserve">СМ-00451</x:t>
        </x:is>
      </x:c>
      <x:c r="B423" s="31" t="n">
        <x:v>46189</x:v>
      </x:c>
      <x:c r="C423" s="31" t="inlineStr">
        <x:is>
          <x:t xml:space="preserve">Вечер</x:t>
        </x:is>
      </x:c>
      <x:c r="D423" s="31" t="inlineStr">
        <x:is>
          <x:t xml:space="preserve">ПЗ-00148</x:t>
        </x:is>
      </x:c>
      <x:c r="E423" s="31" t="inlineStr">
        <x:is>
          <x:t xml:space="preserve">ОП-001229</x:t>
        </x:is>
      </x:c>
      <x:c r="F423" s="31" t="inlineStr">
        <x:is>
          <x:t xml:space="preserve">ОБ-025</x:t>
        </x:is>
      </x:c>
      <x:c r="G423" s="31" t="inlineStr">
        <x:is>
          <x:t xml:space="preserve">СОТР-036</x:t>
        </x:is>
      </x:c>
      <x:c r="H423" s="31" t="inlineStr">
        <x:is>
          <x:t xml:space="preserve">Склад</x:t>
        </x:is>
      </x:c>
      <x:c r="I423" s="31" t="n">
        <x:v>1</x:v>
      </x:c>
      <x:c r="J423" s="31" t="n">
        <x:v>0</x:v>
      </x:c>
      <x:c r="K423" s="31" t="n">
        <x:v>4.6</x:v>
      </x:c>
      <x:c r="L423" s="31" t="n">
        <x:v>5.6</x:v>
      </x:c>
      <x:c r="M423" s="31" t="n">
        <x:v>15</x:v>
      </x:c>
      <x:c r="N423" s="31" t="inlineStr">
        <x:is>
          <x:t xml:space="preserve">Нет оператора</x:t>
        </x:is>
      </x:c>
      <x:c r="O423" s="31" t="inlineStr">
        <x:is>
          <x:t xml:space="preserve">Подтверждено мастером</x:t>
        </x:is>
      </x:c>
      <x:c r="P423" s="31" t="inlineStr">
        <x:is>
          <x:t xml:space="preserve">Комментарий смены 451</x:t>
        </x:is>
      </x:c>
    </x:row>
    <x:row r="424">
      <x:c r="A424" s="31" t="inlineStr">
        <x:is>
          <x:t xml:space="preserve">СМ-00452</x:t>
        </x:is>
      </x:c>
      <x:c r="B424" s="31" t="n">
        <x:v>46106</x:v>
      </x:c>
      <x:c r="C424" s="31" t="inlineStr">
        <x:is>
          <x:t xml:space="preserve">День</x:t>
        </x:is>
      </x:c>
      <x:c r="D424" s="31" t="inlineStr">
        <x:is>
          <x:t xml:space="preserve">ПЗ-00065</x:t>
        </x:is>
      </x:c>
      <x:c r="E424" s="31" t="inlineStr">
        <x:is>
          <x:t xml:space="preserve">ОП-000551</x:t>
        </x:is>
      </x:c>
      <x:c r="F424" s="31" t="inlineStr">
        <x:is>
          <x:t xml:space="preserve">ОБ-020</x:t>
        </x:is>
      </x:c>
      <x:c r="G424" s="31" t="inlineStr">
        <x:is>
          <x:t xml:space="preserve">СОТР-079</x:t>
        </x:is>
      </x:c>
      <x:c r="H424" s="31" t="inlineStr">
        <x:is>
          <x:t xml:space="preserve">Сборка</x:t>
        </x:is>
      </x:c>
      <x:c r="I424" s="31" t="n">
        <x:v>1</x:v>
      </x:c>
      <x:c r="J424" s="31" t="n">
        <x:v>2</x:v>
      </x:c>
      <x:c r="K424" s="31" t="n">
        <x:v>3.5</x:v>
      </x:c>
      <x:c r="L424" s="31" t="n">
        <x:v>2.9</x:v>
      </x:c>
      <x:c r="M424" s="31" t="n">
        <x:v>60</x:v>
      </x:c>
      <x:c r="N424" s="31" t="inlineStr">
        <x:is>
          <x:t xml:space="preserve">Ремонт оборудования</x:t>
        </x:is>
      </x:c>
      <x:c r="O424" s="31" t="inlineStr">
        <x:is>
          <x:t xml:space="preserve">Подтверждено мастером</x:t>
        </x:is>
      </x:c>
      <x:c r="P424" s="31" t="inlineStr">
        <x:is>
          <x:t xml:space="preserve">Комментарий смены 452</x:t>
        </x:is>
      </x:c>
    </x:row>
    <x:row r="425">
      <x:c r="A425" s="31" t="inlineStr">
        <x:is>
          <x:t xml:space="preserve">СМ-00453</x:t>
        </x:is>
      </x:c>
      <x:c r="B425" s="31" t="n">
        <x:v>46107</x:v>
      </x:c>
      <x:c r="C425" s="31" t="inlineStr">
        <x:is>
          <x:t xml:space="preserve">Вечер</x:t>
        </x:is>
      </x:c>
      <x:c r="D425" s="31" t="inlineStr">
        <x:is>
          <x:t xml:space="preserve">ПЗ-00194</x:t>
        </x:is>
      </x:c>
      <x:c r="E425" s="31" t="inlineStr">
        <x:is>
          <x:t xml:space="preserve">ОП-001620</x:t>
        </x:is>
      </x:c>
      <x:c r="F425" s="31" t="inlineStr">
        <x:is>
          <x:t xml:space="preserve">ОБ-025</x:t>
        </x:is>
      </x:c>
      <x:c r="G425" s="31" t="inlineStr">
        <x:is>
          <x:t xml:space="preserve">СОТР-036</x:t>
        </x:is>
      </x:c>
      <x:c r="H425" s="31" t="inlineStr">
        <x:is>
          <x:t xml:space="preserve">Склад</x:t>
        </x:is>
      </x:c>
      <x:c r="I425" s="31" t="n">
        <x:v>4</x:v>
      </x:c>
      <x:c r="J425" s="31" t="n">
        <x:v>4</x:v>
      </x:c>
      <x:c r="K425" s="31" t="n">
        <x:v>60.5</x:v>
      </x:c>
      <x:c r="L425" s="31" t="n">
        <x:v>50.8</x:v>
      </x:c>
      <x:c r="M425" s="31" t="n">
        <x:v>120</x:v>
      </x:c>
      <x:c r="N425" s="31" t="inlineStr">
        <x:is>
          <x:t xml:space="preserve">Ожидание ОТК</x:t>
        </x:is>
      </x:c>
      <x:c r="O425" s="31" t="inlineStr">
        <x:is>
          <x:t xml:space="preserve">Подтверждено мастером</x:t>
        </x:is>
      </x:c>
      <x:c r="P425" s="31" t="inlineStr">
        <x:is>
          <x:t xml:space="preserve">Комментарий смены 453</x:t>
        </x:is>
      </x:c>
    </x:row>
    <x:row r="426">
      <x:c r="A426" s="31" t="inlineStr">
        <x:is>
          <x:t xml:space="preserve">СМ-00454</x:t>
        </x:is>
      </x:c>
      <x:c r="B426" s="31" t="n">
        <x:v>46100</x:v>
      </x:c>
      <x:c r="C426" s="31" t="inlineStr">
        <x:is>
          <x:t xml:space="preserve">День</x:t>
        </x:is>
      </x:c>
      <x:c r="D426" s="31" t="inlineStr">
        <x:is>
          <x:t xml:space="preserve">ПЗ-00014</x:t>
        </x:is>
      </x:c>
      <x:c r="E426" s="31" t="inlineStr">
        <x:is>
          <x:t xml:space="preserve">ОП-000112</x:t>
        </x:is>
      </x:c>
      <x:c r="F426" s="31" t="inlineStr">
        <x:is>
          <x:t xml:space="preserve">ОБ-025</x:t>
        </x:is>
      </x:c>
      <x:c r="G426" s="31" t="inlineStr">
        <x:is>
          <x:t xml:space="preserve">СОТР-034</x:t>
        </x:is>
      </x:c>
      <x:c r="H426" s="31" t="inlineStr">
        <x:is>
          <x:t xml:space="preserve">Склад</x:t>
        </x:is>
      </x:c>
      <x:c r="I426" s="31" t="n">
        <x:v>2</x:v>
      </x:c>
      <x:c r="J426" s="31" t="n">
        <x:v>1</x:v>
      </x:c>
      <x:c r="K426" s="31" t="n">
        <x:v>23.2</x:v>
      </x:c>
      <x:c r="L426" s="31" t="n">
        <x:v>29.1</x:v>
      </x:c>
      <x:c r="M426" s="31" t="n">
        <x:v>0</x:v>
      </x:c>
      <x:c r="N426" s="31" t="inlineStr">
        <x:is>
          <x:t xml:space="preserve">Нет</x:t>
        </x:is>
      </x:c>
      <x:c r="O426" s="31" t="inlineStr">
        <x:is>
          <x:t xml:space="preserve">Подтверждено мастером</x:t>
        </x:is>
      </x:c>
      <x:c r="P426" s="31" t="inlineStr">
        <x:is>
          <x:t xml:space="preserve">Комментарий смены 454</x:t>
        </x:is>
      </x:c>
    </x:row>
    <x:row r="427">
      <x:c r="A427" s="31" t="inlineStr">
        <x:is>
          <x:t xml:space="preserve">СМ-00455</x:t>
        </x:is>
      </x:c>
      <x:c r="B427" s="31" t="n">
        <x:v>46121</x:v>
      </x:c>
      <x:c r="C427" s="31" t="inlineStr">
        <x:is>
          <x:t xml:space="preserve">День</x:t>
        </x:is>
      </x:c>
      <x:c r="D427" s="31" t="inlineStr">
        <x:is>
          <x:t xml:space="preserve">ПЗ-00111</x:t>
        </x:is>
      </x:c>
      <x:c r="E427" s="31" t="inlineStr">
        <x:is>
          <x:t xml:space="preserve">ОП-000932</x:t>
        </x:is>
      </x:c>
      <x:c r="F427" s="31" t="inlineStr">
        <x:is>
          <x:t xml:space="preserve">ОБ-019</x:t>
        </x:is>
      </x:c>
      <x:c r="G427" s="31" t="inlineStr">
        <x:is>
          <x:t xml:space="preserve">СОТР-060</x:t>
        </x:is>
      </x:c>
      <x:c r="H427" s="31" t="inlineStr">
        <x:is>
          <x:t xml:space="preserve">Сварка</x:t>
        </x:is>
      </x:c>
      <x:c r="I427" s="31" t="n">
        <x:v>1</x:v>
      </x:c>
      <x:c r="J427" s="31" t="n">
        <x:v>0</x:v>
      </x:c>
      <x:c r="K427" s="31" t="n">
        <x:v>16.7</x:v>
      </x:c>
      <x:c r="L427" s="31" t="n">
        <x:v>17</x:v>
      </x:c>
      <x:c r="M427" s="31" t="n">
        <x:v>120</x:v>
      </x:c>
      <x:c r="N427" s="31" t="inlineStr">
        <x:is>
          <x:t xml:space="preserve">Нет оператора</x:t>
        </x:is>
      </x:c>
      <x:c r="O427" s="31" t="inlineStr">
        <x:is>
          <x:t xml:space="preserve">Закрыто</x:t>
        </x:is>
      </x:c>
      <x:c r="P427" s="31" t="inlineStr">
        <x:is>
          <x:t xml:space="preserve">Комментарий смены 455</x:t>
        </x:is>
      </x:c>
    </x:row>
    <x:row r="428">
      <x:c r="A428" s="31" t="inlineStr">
        <x:is>
          <x:t xml:space="preserve">СМ-00456</x:t>
        </x:is>
      </x:c>
      <x:c r="B428" s="31" t="n">
        <x:v>46140</x:v>
      </x:c>
      <x:c r="C428" s="31" t="inlineStr">
        <x:is>
          <x:t xml:space="preserve">День</x:t>
        </x:is>
      </x:c>
      <x:c r="D428" s="31" t="inlineStr">
        <x:is>
          <x:t xml:space="preserve">ПЗ-00179</x:t>
        </x:is>
      </x:c>
      <x:c r="E428" s="31" t="inlineStr">
        <x:is>
          <x:t xml:space="preserve">ОП-001487</x:t>
        </x:is>
      </x:c>
      <x:c r="F428" s="31" t="inlineStr">
        <x:is>
          <x:t xml:space="preserve">ОБ-033</x:t>
        </x:is>
      </x:c>
      <x:c r="G428" s="31" t="inlineStr">
        <x:is>
          <x:t xml:space="preserve">СОТР-100</x:t>
        </x:is>
      </x:c>
      <x:c r="H428" s="31" t="inlineStr">
        <x:is>
          <x:t xml:space="preserve">ОТК</x:t>
        </x:is>
      </x:c>
      <x:c r="I428" s="31" t="n">
        <x:v>1</x:v>
      </x:c>
      <x:c r="J428" s="31" t="n">
        <x:v>0</x:v>
      </x:c>
      <x:c r="K428" s="31" t="n">
        <x:v>20.4</x:v>
      </x:c>
      <x:c r="L428" s="31" t="n">
        <x:v>17.5</x:v>
      </x:c>
      <x:c r="M428" s="31" t="n">
        <x:v>0</x:v>
      </x:c>
      <x:c r="N428" s="31" t="inlineStr">
        <x:is>
          <x:t xml:space="preserve">Нет</x:t>
        </x:is>
      </x:c>
      <x:c r="O428" s="31" t="inlineStr">
        <x:is>
          <x:t xml:space="preserve">Спорный факт</x:t>
        </x:is>
      </x:c>
      <x:c r="P428" s="31" t="inlineStr">
        <x:is>
          <x:t xml:space="preserve">Комментарий смены 456</x:t>
        </x:is>
      </x:c>
    </x:row>
    <x:row r="429">
      <x:c r="A429" s="31" t="inlineStr">
        <x:is>
          <x:t xml:space="preserve">СМ-00457</x:t>
        </x:is>
      </x:c>
      <x:c r="B429" s="31" t="n">
        <x:v>46105</x:v>
      </x:c>
      <x:c r="C429" s="31" t="inlineStr">
        <x:is>
          <x:t xml:space="preserve">День</x:t>
        </x:is>
      </x:c>
      <x:c r="D429" s="31" t="inlineStr">
        <x:is>
          <x:t xml:space="preserve">ПЗ-00065</x:t>
        </x:is>
      </x:c>
      <x:c r="E429" s="31" t="inlineStr">
        <x:is>
          <x:t xml:space="preserve">ОП-000549</x:t>
        </x:is>
      </x:c>
      <x:c r="F429" s="31" t="inlineStr">
        <x:is>
          <x:t xml:space="preserve">ОБ-016</x:t>
        </x:is>
      </x:c>
      <x:c r="G429" s="31" t="inlineStr">
        <x:is>
          <x:t xml:space="preserve">СОТР-079</x:t>
        </x:is>
      </x:c>
      <x:c r="H429" s="31" t="inlineStr">
        <x:is>
          <x:t xml:space="preserve">Сборка</x:t>
        </x:is>
      </x:c>
      <x:c r="I429" s="31" t="n">
        <x:v>1</x:v>
      </x:c>
      <x:c r="J429" s="31" t="n">
        <x:v>1</x:v>
      </x:c>
      <x:c r="K429" s="31" t="n">
        <x:v>4.8</x:v>
      </x:c>
      <x:c r="L429" s="31" t="n">
        <x:v>5.9</x:v>
      </x:c>
      <x:c r="M429" s="31" t="n">
        <x:v>45</x:v>
      </x:c>
      <x:c r="N429" s="31" t="inlineStr">
        <x:is>
          <x:t xml:space="preserve">Ожидание материала</x:t>
        </x:is>
      </x:c>
      <x:c r="O429" s="31" t="inlineStr">
        <x:is>
          <x:t xml:space="preserve">Подтверждено мастером</x:t>
        </x:is>
      </x:c>
      <x:c r="P429" s="31" t="inlineStr">
        <x:is>
          <x:t xml:space="preserve">Комментарий смены 457</x:t>
        </x:is>
      </x:c>
    </x:row>
    <x:row r="430">
      <x:c r="A430" s="31" t="inlineStr">
        <x:is>
          <x:t xml:space="preserve">СМ-00458</x:t>
        </x:is>
      </x:c>
      <x:c r="B430" s="31" t="n">
        <x:v>46162</x:v>
      </x:c>
      <x:c r="C430" s="31" t="inlineStr">
        <x:is>
          <x:t xml:space="preserve">Ночь</x:t>
        </x:is>
      </x:c>
      <x:c r="D430" s="31" t="inlineStr">
        <x:is>
          <x:t xml:space="preserve">ПЗ-00007</x:t>
        </x:is>
      </x:c>
      <x:c r="E430" s="31" t="inlineStr">
        <x:is>
          <x:t xml:space="preserve">ОП-000056</x:t>
        </x:is>
      </x:c>
      <x:c r="F430" s="31" t="inlineStr">
        <x:is>
          <x:t xml:space="preserve">ОБ-028</x:t>
        </x:is>
      </x:c>
      <x:c r="G430" s="31" t="inlineStr">
        <x:is>
          <x:t xml:space="preserve">СОТР-092</x:t>
        </x:is>
      </x:c>
      <x:c r="H430" s="31" t="inlineStr">
        <x:is>
          <x:t xml:space="preserve">ОТК</x:t>
        </x:is>
      </x:c>
      <x:c r="I430" s="31" t="n">
        <x:v>3</x:v>
      </x:c>
      <x:c r="J430" s="31" t="n">
        <x:v>3</x:v>
      </x:c>
      <x:c r="K430" s="31" t="n">
        <x:v>9</x:v>
      </x:c>
      <x:c r="L430" s="31" t="n">
        <x:v>8</x:v>
      </x:c>
      <x:c r="M430" s="31" t="n">
        <x:v>90</x:v>
      </x:c>
      <x:c r="N430" s="31" t="inlineStr">
        <x:is>
          <x:t xml:space="preserve">Ожидание материала</x:t>
        </x:is>
      </x:c>
      <x:c r="O430" s="31" t="inlineStr">
        <x:is>
          <x:t xml:space="preserve">Закрыто</x:t>
        </x:is>
      </x:c>
      <x:c r="P430" s="31" t="inlineStr">
        <x:is>
          <x:t xml:space="preserve">Комментарий смены 458</x:t>
        </x:is>
      </x:c>
    </x:row>
    <x:row r="431">
      <x:c r="A431" s="31" t="inlineStr">
        <x:is>
          <x:t xml:space="preserve">СМ-00459</x:t>
        </x:is>
      </x:c>
      <x:c r="B431" s="31" t="n">
        <x:v>46096</x:v>
      </x:c>
      <x:c r="C431" s="31" t="inlineStr">
        <x:is>
          <x:t xml:space="preserve">Вечер</x:t>
        </x:is>
      </x:c>
      <x:c r="D431" s="31" t="inlineStr">
        <x:is>
          <x:t xml:space="preserve">ПЗ-00055</x:t>
        </x:is>
      </x:c>
      <x:c r="E431" s="31" t="inlineStr">
        <x:is>
          <x:t xml:space="preserve">ОП-000456</x:t>
        </x:is>
      </x:c>
      <x:c r="F431" s="31" t="inlineStr">
        <x:is>
          <x:t xml:space="preserve">ОБ-019</x:t>
        </x:is>
      </x:c>
      <x:c r="G431" s="31" t="inlineStr">
        <x:is>
          <x:t xml:space="preserve">СОТР-065</x:t>
        </x:is>
      </x:c>
      <x:c r="H431" s="31" t="inlineStr">
        <x:is>
          <x:t xml:space="preserve">Сварка</x:t>
        </x:is>
      </x:c>
      <x:c r="I431" s="31" t="n">
        <x:v>1</x:v>
      </x:c>
      <x:c r="J431" s="31" t="n">
        <x:v>1</x:v>
      </x:c>
      <x:c r="K431" s="31" t="n">
        <x:v>16.7</x:v>
      </x:c>
      <x:c r="L431" s="31" t="n">
        <x:v>19.7</x:v>
      </x:c>
      <x:c r="M431" s="31" t="n">
        <x:v>15</x:v>
      </x:c>
      <x:c r="N431" s="31" t="inlineStr">
        <x:is>
          <x:t xml:space="preserve">Ремонт оборудования</x:t>
        </x:is>
      </x:c>
      <x:c r="O431" s="31" t="inlineStr">
        <x:is>
          <x:t xml:space="preserve">Закрыто</x:t>
        </x:is>
      </x:c>
      <x:c r="P431" s="31" t="inlineStr">
        <x:is>
          <x:t xml:space="preserve">Комментарий смены 459</x:t>
        </x:is>
      </x:c>
    </x:row>
    <x:row r="432">
      <x:c r="A432" s="31" t="inlineStr">
        <x:is>
          <x:t xml:space="preserve">СМ-00460</x:t>
        </x:is>
      </x:c>
      <x:c r="B432" s="31" t="n">
        <x:v>46163</x:v>
      </x:c>
      <x:c r="C432" s="31" t="inlineStr">
        <x:is>
          <x:t xml:space="preserve">День</x:t>
        </x:is>
      </x:c>
      <x:c r="D432" s="31" t="inlineStr">
        <x:is>
          <x:t xml:space="preserve">ПЗ-00053</x:t>
        </x:is>
      </x:c>
      <x:c r="E432" s="31" t="inlineStr">
        <x:is>
          <x:t xml:space="preserve">ОП-000440</x:t>
        </x:is>
      </x:c>
      <x:c r="F432" s="31" t="inlineStr">
        <x:is>
          <x:t xml:space="preserve">ОБ-016</x:t>
        </x:is>
      </x:c>
      <x:c r="G432" s="31" t="inlineStr">
        <x:is>
          <x:t xml:space="preserve">СОТР-086</x:t>
        </x:is>
      </x:c>
      <x:c r="H432" s="31" t="inlineStr">
        <x:is>
          <x:t xml:space="preserve">Сборка</x:t>
        </x:is>
      </x:c>
      <x:c r="I432" s="31" t="n">
        <x:v>2</x:v>
      </x:c>
      <x:c r="J432" s="31" t="n">
        <x:v>2</x:v>
      </x:c>
      <x:c r="K432" s="31" t="n">
        <x:v>15.8</x:v>
      </x:c>
      <x:c r="L432" s="31" t="n">
        <x:v>13.5</x:v>
      </x:c>
      <x:c r="M432" s="31" t="n">
        <x:v>30</x:v>
      </x:c>
      <x:c r="N432" s="31" t="inlineStr">
        <x:is>
          <x:t xml:space="preserve">Ожидание материала</x:t>
        </x:is>
      </x:c>
      <x:c r="O432" s="31" t="inlineStr">
        <x:is>
          <x:t xml:space="preserve">Подтверждено мастером</x:t>
        </x:is>
      </x:c>
      <x:c r="P432" s="31" t="inlineStr">
        <x:is>
          <x:t xml:space="preserve">Комментарий смены 460</x:t>
        </x:is>
      </x:c>
    </x:row>
    <x:row r="433">
      <x:c r="A433" s="31" t="inlineStr">
        <x:is>
          <x:t xml:space="preserve">СМ-00461</x:t>
        </x:is>
      </x:c>
      <x:c r="B433" s="31" t="n">
        <x:v>46111</x:v>
      </x:c>
      <x:c r="C433" s="31" t="inlineStr">
        <x:is>
          <x:t xml:space="preserve">Ночь</x:t>
        </x:is>
      </x:c>
      <x:c r="D433" s="31" t="inlineStr">
        <x:is>
          <x:t xml:space="preserve">ПЗ-00110</x:t>
        </x:is>
      </x:c>
      <x:c r="E433" s="31" t="inlineStr">
        <x:is>
          <x:t xml:space="preserve">ОП-000922</x:t>
        </x:is>
      </x:c>
      <x:c r="F433" s="31" t="inlineStr">
        <x:is>
          <x:t xml:space="preserve">ОБ-018</x:t>
        </x:is>
      </x:c>
      <x:c r="G433" s="31" t="inlineStr">
        <x:is>
          <x:t xml:space="preserve">СОТР-061</x:t>
        </x:is>
      </x:c>
      <x:c r="H433" s="31" t="inlineStr">
        <x:is>
          <x:t xml:space="preserve">Сварка</x:t>
        </x:is>
      </x:c>
      <x:c r="I433" s="31" t="n">
        <x:v>1</x:v>
      </x:c>
      <x:c r="J433" s="31" t="n">
        <x:v>1</x:v>
      </x:c>
      <x:c r="K433" s="31" t="n">
        <x:v>15</x:v>
      </x:c>
      <x:c r="L433" s="31" t="n">
        <x:v>15.2</x:v>
      </x:c>
      <x:c r="M433" s="31" t="n">
        <x:v>0</x:v>
      </x:c>
      <x:c r="N433" s="31" t="inlineStr">
        <x:is>
          <x:t xml:space="preserve">Нет</x:t>
        </x:is>
      </x:c>
      <x:c r="O433" s="31" t="inlineStr">
        <x:is>
          <x:t xml:space="preserve">Черновик</x:t>
        </x:is>
      </x:c>
      <x:c r="P433" s="31" t="inlineStr">
        <x:is>
          <x:t xml:space="preserve">Комментарий смены 461</x:t>
        </x:is>
      </x:c>
    </x:row>
    <x:row r="434">
      <x:c r="A434" s="31" t="inlineStr">
        <x:is>
          <x:t xml:space="preserve">СМ-00462</x:t>
        </x:is>
      </x:c>
      <x:c r="B434" s="31" t="n">
        <x:v>46184</x:v>
      </x:c>
      <x:c r="C434" s="31" t="inlineStr">
        <x:is>
          <x:t xml:space="preserve">Ночь</x:t>
        </x:is>
      </x:c>
      <x:c r="D434" s="31" t="inlineStr">
        <x:is>
          <x:t xml:space="preserve">ПЗ-00064</x:t>
        </x:is>
      </x:c>
      <x:c r="E434" s="31" t="inlineStr">
        <x:is>
          <x:t xml:space="preserve">ОП-000544</x:t>
        </x:is>
      </x:c>
      <x:c r="F434" s="31" t="inlineStr">
        <x:is>
          <x:t xml:space="preserve">ОБ-006</x:t>
        </x:is>
      </x:c>
      <x:c r="G434" s="31" t="inlineStr">
        <x:is>
          <x:t xml:space="preserve">СОТР-063</x:t>
        </x:is>
      </x:c>
      <x:c r="H434" s="31" t="inlineStr">
        <x:is>
          <x:t xml:space="preserve">ОТК</x:t>
        </x:is>
      </x:c>
      <x:c r="I434" s="31" t="n">
        <x:v>2</x:v>
      </x:c>
      <x:c r="J434" s="31" t="n">
        <x:v>0</x:v>
      </x:c>
      <x:c r="K434" s="31" t="n">
        <x:v>40</x:v>
      </x:c>
      <x:c r="L434" s="31" t="n">
        <x:v>21.1</x:v>
      </x:c>
      <x:c r="M434" s="31" t="n">
        <x:v>90</x:v>
      </x:c>
      <x:c r="N434" s="31" t="inlineStr">
        <x:is>
          <x:t xml:space="preserve">Переналадка</x:t>
        </x:is>
      </x:c>
      <x:c r="O434" s="31" t="inlineStr">
        <x:is>
          <x:t xml:space="preserve">Подтверждено мастером</x:t>
        </x:is>
      </x:c>
      <x:c r="P434" s="31" t="inlineStr">
        <x:is>
          <x:t xml:space="preserve">Комментарий смены 462</x:t>
        </x:is>
      </x:c>
    </x:row>
    <x:row r="435">
      <x:c r="A435" s="31" t="inlineStr">
        <x:is>
          <x:t xml:space="preserve">СМ-00463</x:t>
        </x:is>
      </x:c>
      <x:c r="B435" s="31" t="n">
        <x:v>46173</x:v>
      </x:c>
      <x:c r="C435" s="31" t="inlineStr">
        <x:is>
          <x:t xml:space="preserve">День</x:t>
        </x:is>
      </x:c>
      <x:c r="D435" s="31" t="inlineStr">
        <x:is>
          <x:t xml:space="preserve">ПЗ-00063</x:t>
        </x:is>
      </x:c>
      <x:c r="E435" s="31" t="inlineStr">
        <x:is>
          <x:t xml:space="preserve">ОП-000529</x:t>
        </x:is>
      </x:c>
      <x:c r="F435" s="31" t="inlineStr">
        <x:is>
          <x:t xml:space="preserve">ОБ-018</x:t>
        </x:is>
      </x:c>
      <x:c r="G435" s="31" t="inlineStr">
        <x:is>
          <x:t xml:space="preserve">СОТР-068</x:t>
        </x:is>
      </x:c>
      <x:c r="H435" s="31" t="inlineStr">
        <x:is>
          <x:t xml:space="preserve">Сварка</x:t>
        </x:is>
      </x:c>
      <x:c r="I435" s="31" t="n">
        <x:v>5</x:v>
      </x:c>
      <x:c r="J435" s="31" t="n">
        <x:v>6</x:v>
      </x:c>
      <x:c r="K435" s="31" t="n">
        <x:v>103.5</x:v>
      </x:c>
      <x:c r="L435" s="31" t="n">
        <x:v>105.2</x:v>
      </x:c>
      <x:c r="M435" s="31" t="n">
        <x:v>0</x:v>
      </x:c>
      <x:c r="N435" s="31" t="inlineStr">
        <x:is>
          <x:t xml:space="preserve">Нет</x:t>
        </x:is>
      </x:c>
      <x:c r="O435" s="31" t="inlineStr">
        <x:is>
          <x:t xml:space="preserve">Подтверждено мастером</x:t>
        </x:is>
      </x:c>
      <x:c r="P435" s="31" t="inlineStr">
        <x:is>
          <x:t xml:space="preserve">Комментарий смены 463</x:t>
        </x:is>
      </x:c>
    </x:row>
    <x:row r="436">
      <x:c r="A436" s="31" t="inlineStr">
        <x:is>
          <x:t xml:space="preserve">СМ-00464</x:t>
        </x:is>
      </x:c>
      <x:c r="B436" s="31" t="n">
        <x:v>46168</x:v>
      </x:c>
      <x:c r="C436" s="31" t="inlineStr">
        <x:is>
          <x:t xml:space="preserve">День</x:t>
        </x:is>
      </x:c>
      <x:c r="D436" s="31" t="inlineStr">
        <x:is>
          <x:t xml:space="preserve">ПЗ-00153</x:t>
        </x:is>
      </x:c>
      <x:c r="E436" s="31" t="inlineStr">
        <x:is>
          <x:t xml:space="preserve">ОП-001267</x:t>
        </x:is>
      </x:c>
      <x:c r="F436" s="31" t="inlineStr">
        <x:is>
          <x:t xml:space="preserve">ОБ-012</x:t>
        </x:is>
      </x:c>
      <x:c r="G436" s="31" t="inlineStr">
        <x:is>
          <x:t xml:space="preserve">СОТР-077</x:t>
        </x:is>
      </x:c>
      <x:c r="H436" s="31" t="inlineStr">
        <x:is>
          <x:t xml:space="preserve">Сборка</x:t>
        </x:is>
      </x:c>
      <x:c r="I436" s="31" t="n">
        <x:v>3</x:v>
      </x:c>
      <x:c r="J436" s="31" t="n">
        <x:v>3</x:v>
      </x:c>
      <x:c r="K436" s="31" t="n">
        <x:v>72</x:v>
      </x:c>
      <x:c r="L436" s="31" t="n">
        <x:v>72.59999999999999</x:v>
      </x:c>
      <x:c r="M436" s="31" t="n">
        <x:v>45</x:v>
      </x:c>
      <x:c r="N436" s="31" t="inlineStr">
        <x:is>
          <x:t xml:space="preserve">Ожидание материала</x:t>
        </x:is>
      </x:c>
      <x:c r="O436" s="31" t="inlineStr">
        <x:is>
          <x:t xml:space="preserve">Подтверждено мастером</x:t>
        </x:is>
      </x:c>
      <x:c r="P436" s="31" t="inlineStr">
        <x:is>
          <x:t xml:space="preserve">Комментарий смены 464</x:t>
        </x:is>
      </x:c>
    </x:row>
    <x:row r="437">
      <x:c r="A437" s="31" t="inlineStr">
        <x:is>
          <x:t xml:space="preserve">СМ-00465</x:t>
        </x:is>
      </x:c>
      <x:c r="B437" s="31" t="n">
        <x:v>46207</x:v>
      </x:c>
      <x:c r="C437" s="31" t="inlineStr">
        <x:is>
          <x:t xml:space="preserve">Ночь</x:t>
        </x:is>
      </x:c>
      <x:c r="D437" s="31" t="inlineStr">
        <x:is>
          <x:t xml:space="preserve">ПЗ-00156</x:t>
        </x:is>
      </x:c>
      <x:c r="E437" s="31" t="inlineStr">
        <x:is>
          <x:t xml:space="preserve">ОП-001285</x:t>
        </x:is>
      </x:c>
      <x:c r="F437" s="31" t="inlineStr">
        <x:is>
          <x:t xml:space="preserve">ОБ-025</x:t>
        </x:is>
      </x:c>
      <x:c r="G437" s="31" t="inlineStr">
        <x:is>
          <x:t xml:space="preserve">СОТР-036</x:t>
        </x:is>
      </x:c>
      <x:c r="H437" s="31" t="inlineStr">
        <x:is>
          <x:t xml:space="preserve">Склад</x:t>
        </x:is>
      </x:c>
      <x:c r="I437" s="31" t="n">
        <x:v>2</x:v>
      </x:c>
      <x:c r="J437" s="31" t="n">
        <x:v>3</x:v>
      </x:c>
      <x:c r="K437" s="31" t="n">
        <x:v>57.6</x:v>
      </x:c>
      <x:c r="L437" s="31" t="n">
        <x:v>75.40000000000001</x:v>
      </x:c>
      <x:c r="M437" s="31" t="n">
        <x:v>90</x:v>
      </x:c>
      <x:c r="N437" s="31" t="inlineStr">
        <x:is>
          <x:t xml:space="preserve">Нет оператора</x:t>
        </x:is>
      </x:c>
      <x:c r="O437" s="31" t="inlineStr">
        <x:is>
          <x:t xml:space="preserve">Подтверждено мастером</x:t>
        </x:is>
      </x:c>
      <x:c r="P437" s="31" t="inlineStr">
        <x:is>
          <x:t xml:space="preserve">Комментарий смены 465</x:t>
        </x:is>
      </x:c>
    </x:row>
    <x:row r="438">
      <x:c r="A438" s="31" t="inlineStr">
        <x:is>
          <x:t xml:space="preserve">СМ-00466</x:t>
        </x:is>
      </x:c>
      <x:c r="B438" s="31" t="n">
        <x:v>46131</x:v>
      </x:c>
      <x:c r="C438" s="31" t="inlineStr">
        <x:is>
          <x:t xml:space="preserve">День</x:t>
        </x:is>
      </x:c>
      <x:c r="D438" s="31" t="inlineStr">
        <x:is>
          <x:t xml:space="preserve">ПЗ-00263</x:t>
        </x:is>
      </x:c>
      <x:c r="E438" s="31" t="inlineStr">
        <x:is>
          <x:t xml:space="preserve">ОП-002189</x:t>
        </x:is>
      </x:c>
      <x:c r="F438" s="31" t="inlineStr">
        <x:is>
          <x:t xml:space="preserve">ОБ-004</x:t>
        </x:is>
      </x:c>
      <x:c r="G438" s="31" t="inlineStr">
        <x:is>
          <x:t xml:space="preserve">СОТР-059</x:t>
        </x:is>
      </x:c>
      <x:c r="H438" s="31" t="inlineStr">
        <x:is>
          <x:t xml:space="preserve">Сварка</x:t>
        </x:is>
      </x:c>
      <x:c r="I438" s="31" t="n">
        <x:v>1</x:v>
      </x:c>
      <x:c r="J438" s="31" t="n">
        <x:v>0</x:v>
      </x:c>
      <x:c r="K438" s="31" t="n">
        <x:v>6.7</x:v>
      </x:c>
      <x:c r="L438" s="31" t="n">
        <x:v>6.6</x:v>
      </x:c>
      <x:c r="M438" s="31" t="n">
        <x:v>60</x:v>
      </x:c>
      <x:c r="N438" s="31" t="inlineStr">
        <x:is>
          <x:t xml:space="preserve">Ожидание материала</x:t>
        </x:is>
      </x:c>
      <x:c r="O438" s="31" t="inlineStr">
        <x:is>
          <x:t xml:space="preserve">Черновик</x:t>
        </x:is>
      </x:c>
      <x:c r="P438" s="31" t="inlineStr">
        <x:is>
          <x:t xml:space="preserve">Комментарий смены 466</x:t>
        </x:is>
      </x:c>
    </x:row>
    <x:row r="439">
      <x:c r="A439" s="31" t="inlineStr">
        <x:is>
          <x:t xml:space="preserve">СМ-00467</x:t>
        </x:is>
      </x:c>
      <x:c r="B439" s="31" t="n">
        <x:v>46171</x:v>
      </x:c>
      <x:c r="C439" s="31" t="inlineStr">
        <x:is>
          <x:t xml:space="preserve">Ночь</x:t>
        </x:is>
      </x:c>
      <x:c r="D439" s="31" t="inlineStr">
        <x:is>
          <x:t xml:space="preserve">ПЗ-00152</x:t>
        </x:is>
      </x:c>
      <x:c r="E439" s="31" t="inlineStr">
        <x:is>
          <x:t xml:space="preserve">ОП-001257</x:t>
        </x:is>
      </x:c>
      <x:c r="F439" s="31" t="inlineStr">
        <x:is>
          <x:t xml:space="preserve">ОБ-023</x:t>
        </x:is>
      </x:c>
      <x:c r="G439" s="31" t="inlineStr">
        <x:is>
          <x:t xml:space="preserve">СОТР-034</x:t>
        </x:is>
      </x:c>
      <x:c r="H439" s="31" t="inlineStr">
        <x:is>
          <x:t xml:space="preserve">Склад</x:t>
        </x:is>
      </x:c>
      <x:c r="I439" s="31" t="n">
        <x:v>2</x:v>
      </x:c>
      <x:c r="J439" s="31" t="n">
        <x:v>3</x:v>
      </x:c>
      <x:c r="K439" s="31" t="n">
        <x:v>28.2</x:v>
      </x:c>
      <x:c r="L439" s="31" t="n">
        <x:v>35</x:v>
      </x:c>
      <x:c r="M439" s="31" t="n">
        <x:v>30</x:v>
      </x:c>
      <x:c r="N439" s="31" t="inlineStr">
        <x:is>
          <x:t xml:space="preserve">Ремонт оборудования</x:t>
        </x:is>
      </x:c>
      <x:c r="O439" s="31" t="inlineStr">
        <x:is>
          <x:t xml:space="preserve">Подтверждено мастером</x:t>
        </x:is>
      </x:c>
      <x:c r="P439" s="31" t="inlineStr">
        <x:is>
          <x:t xml:space="preserve">Комментарий смены 467</x:t>
        </x:is>
      </x:c>
    </x:row>
    <x:row r="440">
      <x:c r="A440" s="31" t="inlineStr">
        <x:is>
          <x:t xml:space="preserve">СМ-00468</x:t>
        </x:is>
      </x:c>
      <x:c r="B440" s="31" t="n">
        <x:v>46148</x:v>
      </x:c>
      <x:c r="C440" s="31" t="inlineStr">
        <x:is>
          <x:t xml:space="preserve">День</x:t>
        </x:is>
      </x:c>
      <x:c r="D440" s="31" t="inlineStr">
        <x:is>
          <x:t xml:space="preserve">ПЗ-00251</x:t>
        </x:is>
      </x:c>
      <x:c r="E440" s="31" t="inlineStr">
        <x:is>
          <x:t xml:space="preserve">ОП-002098</x:t>
        </x:is>
      </x:c>
      <x:c r="F440" s="31" t="inlineStr">
        <x:is>
          <x:t xml:space="preserve">ОБ-034</x:t>
        </x:is>
      </x:c>
      <x:c r="G440" s="31" t="inlineStr">
        <x:is>
          <x:t xml:space="preserve">СОТР-087</x:t>
        </x:is>
      </x:c>
      <x:c r="H440" s="31" t="inlineStr">
        <x:is>
          <x:t xml:space="preserve">Сборка</x:t>
        </x:is>
      </x:c>
      <x:c r="I440" s="31" t="n">
        <x:v>1</x:v>
      </x:c>
      <x:c r="J440" s="31" t="n">
        <x:v>0</x:v>
      </x:c>
      <x:c r="K440" s="31" t="n">
        <x:v>10.8</x:v>
      </x:c>
      <x:c r="L440" s="31" t="n">
        <x:v>8.699999999999999</x:v>
      </x:c>
      <x:c r="M440" s="31" t="n">
        <x:v>60</x:v>
      </x:c>
      <x:c r="N440" s="31" t="inlineStr">
        <x:is>
          <x:t xml:space="preserve">Ожидание ОТК</x:t>
        </x:is>
      </x:c>
      <x:c r="O440" s="31" t="inlineStr">
        <x:is>
          <x:t xml:space="preserve">Подтверждено мастером</x:t>
        </x:is>
      </x:c>
      <x:c r="P440" s="31" t="inlineStr">
        <x:is>
          <x:t xml:space="preserve">Комментарий смены 468</x:t>
        </x:is>
      </x:c>
    </x:row>
    <x:row r="441">
      <x:c r="A441" s="31" t="inlineStr">
        <x:is>
          <x:t xml:space="preserve">СМ-00469</x:t>
        </x:is>
      </x:c>
      <x:c r="B441" s="31" t="n">
        <x:v>46183</x:v>
      </x:c>
      <x:c r="C441" s="31" t="inlineStr">
        <x:is>
          <x:t xml:space="preserve">День</x:t>
        </x:is>
      </x:c>
      <x:c r="D441" s="31" t="inlineStr">
        <x:is>
          <x:t xml:space="preserve">ПЗ-00209</x:t>
        </x:is>
      </x:c>
      <x:c r="E441" s="31" t="inlineStr">
        <x:is>
          <x:t xml:space="preserve">ОП-001750</x:t>
        </x:is>
      </x:c>
      <x:c r="F441" s="31" t="inlineStr">
        <x:is>
          <x:t xml:space="preserve">ОБ-003</x:t>
        </x:is>
      </x:c>
      <x:c r="G441" s="31" t="inlineStr">
        <x:is>
          <x:t xml:space="preserve">СОТР-072</x:t>
        </x:is>
      </x:c>
      <x:c r="H441" s="31" t="inlineStr">
        <x:is>
          <x:t xml:space="preserve">Сварка</x:t>
        </x:is>
      </x:c>
      <x:c r="I441" s="31" t="n">
        <x:v>3</x:v>
      </x:c>
      <x:c r="J441" s="31" t="n">
        <x:v>3</x:v>
      </x:c>
      <x:c r="K441" s="31" t="n">
        <x:v>4.4</x:v>
      </x:c>
      <x:c r="L441" s="31" t="n">
        <x:v>5</x:v>
      </x:c>
      <x:c r="M441" s="31" t="n">
        <x:v>0</x:v>
      </x:c>
      <x:c r="N441" s="31" t="inlineStr">
        <x:is>
          <x:t xml:space="preserve">Нет</x:t>
        </x:is>
      </x:c>
      <x:c r="O441" s="31" t="inlineStr">
        <x:is>
          <x:t xml:space="preserve">Подтверждено мастером</x:t>
        </x:is>
      </x:c>
      <x:c r="P441" s="31" t="inlineStr">
        <x:is>
          <x:t xml:space="preserve">Комментарий смены 469</x:t>
        </x:is>
      </x:c>
    </x:row>
    <x:row r="442">
      <x:c r="A442" s="31" t="inlineStr">
        <x:is>
          <x:t xml:space="preserve">СМ-00470</x:t>
        </x:is>
      </x:c>
      <x:c r="B442" s="31" t="n">
        <x:v>46132</x:v>
      </x:c>
      <x:c r="C442" s="31" t="inlineStr">
        <x:is>
          <x:t xml:space="preserve">День</x:t>
        </x:is>
      </x:c>
      <x:c r="D442" s="31" t="inlineStr">
        <x:is>
          <x:t xml:space="preserve">ПЗ-00263</x:t>
        </x:is>
      </x:c>
      <x:c r="E442" s="31" t="inlineStr">
        <x:is>
          <x:t xml:space="preserve">ОП-002191</x:t>
        </x:is>
      </x:c>
      <x:c r="F442" s="31" t="inlineStr">
        <x:is>
          <x:t xml:space="preserve">ОБ-029</x:t>
        </x:is>
      </x:c>
      <x:c r="G442" s="31" t="inlineStr">
        <x:is>
          <x:t xml:space="preserve">СОТР-031</x:t>
        </x:is>
      </x:c>
      <x:c r="H442" s="31" t="inlineStr">
        <x:is>
          <x:t xml:space="preserve">Механообработка</x:t>
        </x:is>
      </x:c>
      <x:c r="I442" s="31" t="n">
        <x:v>1</x:v>
      </x:c>
      <x:c r="J442" s="31" t="n">
        <x:v>0</x:v>
      </x:c>
      <x:c r="K442" s="31" t="n">
        <x:v>8.1</x:v>
      </x:c>
      <x:c r="L442" s="31" t="n">
        <x:v>9.6</x:v>
      </x:c>
      <x:c r="M442" s="31" t="n">
        <x:v>15</x:v>
      </x:c>
      <x:c r="N442" s="31" t="inlineStr">
        <x:is>
          <x:t xml:space="preserve">Нет оператора</x:t>
        </x:is>
      </x:c>
      <x:c r="O442" s="31" t="inlineStr">
        <x:is>
          <x:t xml:space="preserve">Подтверждено мастером</x:t>
        </x:is>
      </x:c>
      <x:c r="P442" s="31" t="inlineStr">
        <x:is>
          <x:t xml:space="preserve">Комментарий смены 470</x:t>
        </x:is>
      </x:c>
    </x:row>
    <x:row r="443">
      <x:c r="A443" s="31" t="inlineStr">
        <x:is>
          <x:t xml:space="preserve">СМ-00471</x:t>
        </x:is>
      </x:c>
      <x:c r="B443" s="31" t="n">
        <x:v>46199</x:v>
      </x:c>
      <x:c r="C443" s="31" t="inlineStr">
        <x:is>
          <x:t xml:space="preserve">Вечер</x:t>
        </x:is>
      </x:c>
      <x:c r="D443" s="31" t="inlineStr">
        <x:is>
          <x:t xml:space="preserve">ПЗ-00225</x:t>
        </x:is>
      </x:c>
      <x:c r="E443" s="31" t="inlineStr">
        <x:is>
          <x:t xml:space="preserve">ОП-001886</x:t>
        </x:is>
      </x:c>
      <x:c r="F443" s="31" t="n"/>
      <x:c r="G443" s="31" t="inlineStr">
        <x:is>
          <x:t xml:space="preserve">СОТР-019</x:t>
        </x:is>
      </x:c>
      <x:c r="H443" s="31" t="inlineStr">
        <x:is>
          <x:t xml:space="preserve">Инженерный отдел</x:t>
        </x:is>
      </x:c>
      <x:c r="I443" s="31" t="n">
        <x:v>3</x:v>
      </x:c>
      <x:c r="J443" s="31" t="n">
        <x:v>3</x:v>
      </x:c>
      <x:c r="K443" s="31" t="n">
        <x:v>96</x:v>
      </x:c>
      <x:c r="L443" s="31" t="n">
        <x:v>78.2</x:v>
      </x:c>
      <x:c r="M443" s="31" t="n">
        <x:v>15</x:v>
      </x:c>
      <x:c r="N443" s="31" t="inlineStr">
        <x:is>
          <x:t xml:space="preserve">Ожидание материала</x:t>
        </x:is>
      </x:c>
      <x:c r="O443" s="31" t="inlineStr">
        <x:is>
          <x:t xml:space="preserve">Подтверждено мастером</x:t>
        </x:is>
      </x:c>
      <x:c r="P443" s="31" t="inlineStr">
        <x:is>
          <x:t xml:space="preserve">Комментарий смены 471</x:t>
        </x:is>
      </x:c>
    </x:row>
    <x:row r="444">
      <x:c r="A444" s="31" t="inlineStr">
        <x:is>
          <x:t xml:space="preserve">СМ-00472</x:t>
        </x:is>
      </x:c>
      <x:c r="B444" s="31" t="n">
        <x:v>46105</x:v>
      </x:c>
      <x:c r="C444" s="31" t="inlineStr">
        <x:is>
          <x:t xml:space="preserve">День</x:t>
        </x:is>
      </x:c>
      <x:c r="D444" s="31" t="inlineStr">
        <x:is>
          <x:t xml:space="preserve">ПЗ-00056</x:t>
        </x:is>
      </x:c>
      <x:c r="E444" s="31" t="inlineStr">
        <x:is>
          <x:t xml:space="preserve">ОП-000471</x:t>
        </x:is>
      </x:c>
      <x:c r="F444" s="31" t="n"/>
      <x:c r="G444" s="31" t="inlineStr">
        <x:is>
          <x:t xml:space="preserve">СОТР-101</x:t>
        </x:is>
      </x:c>
      <x:c r="H444" s="31" t="inlineStr">
        <x:is>
          <x:t xml:space="preserve">Логистика</x:t>
        </x:is>
      </x:c>
      <x:c r="I444" s="31" t="n">
        <x:v>3</x:v>
      </x:c>
      <x:c r="J444" s="31" t="n">
        <x:v>3</x:v>
      </x:c>
      <x:c r="K444" s="31" t="n">
        <x:v>33.3</x:v>
      </x:c>
      <x:c r="L444" s="31" t="n">
        <x:v>29.6</x:v>
      </x:c>
      <x:c r="M444" s="31" t="n">
        <x:v>0</x:v>
      </x:c>
      <x:c r="N444" s="31" t="inlineStr">
        <x:is>
          <x:t xml:space="preserve">Нет</x:t>
        </x:is>
      </x:c>
      <x:c r="O444" s="31" t="inlineStr">
        <x:is>
          <x:t xml:space="preserve">Спорный факт</x:t>
        </x:is>
      </x:c>
      <x:c r="P444" s="31" t="inlineStr">
        <x:is>
          <x:t xml:space="preserve">Комментарий смены 472</x:t>
        </x:is>
      </x:c>
    </x:row>
    <x:row r="445">
      <x:c r="A445" s="31" t="inlineStr">
        <x:is>
          <x:t xml:space="preserve">СМ-00473</x:t>
        </x:is>
      </x:c>
      <x:c r="B445" s="31" t="n">
        <x:v>46148</x:v>
      </x:c>
      <x:c r="C445" s="31" t="inlineStr">
        <x:is>
          <x:t xml:space="preserve">День</x:t>
        </x:is>
      </x:c>
      <x:c r="D445" s="31" t="inlineStr">
        <x:is>
          <x:t xml:space="preserve">ПЗ-00060</x:t>
        </x:is>
      </x:c>
      <x:c r="E445" s="31" t="inlineStr">
        <x:is>
          <x:t xml:space="preserve">ОП-000506</x:t>
        </x:is>
      </x:c>
      <x:c r="F445" s="31" t="n"/>
      <x:c r="G445" s="31" t="inlineStr">
        <x:is>
          <x:t xml:space="preserve">СОТР-013</x:t>
        </x:is>
      </x:c>
      <x:c r="H445" s="31" t="inlineStr">
        <x:is>
          <x:t xml:space="preserve">Инженерный отдел</x:t>
        </x:is>
      </x:c>
      <x:c r="I445" s="31" t="n">
        <x:v>1</x:v>
      </x:c>
      <x:c r="J445" s="31" t="n">
        <x:v>1</x:v>
      </x:c>
      <x:c r="K445" s="31" t="n">
        <x:v>7.1</x:v>
      </x:c>
      <x:c r="L445" s="31" t="n">
        <x:v>5.7</x:v>
      </x:c>
      <x:c r="M445" s="31" t="n">
        <x:v>120</x:v>
      </x:c>
      <x:c r="N445" s="31" t="inlineStr">
        <x:is>
          <x:t xml:space="preserve">Нет оператора</x:t>
        </x:is>
      </x:c>
      <x:c r="O445" s="31" t="inlineStr">
        <x:is>
          <x:t xml:space="preserve">Подтверждено мастером</x:t>
        </x:is>
      </x:c>
      <x:c r="P445" s="31" t="inlineStr">
        <x:is>
          <x:t xml:space="preserve">Комментарий смены 473</x:t>
        </x:is>
      </x:c>
    </x:row>
    <x:row r="446">
      <x:c r="A446" s="31" t="inlineStr">
        <x:is>
          <x:t xml:space="preserve">СМ-00474</x:t>
        </x:is>
      </x:c>
      <x:c r="B446" s="31" t="n">
        <x:v>46158</x:v>
      </x:c>
      <x:c r="C446" s="31" t="inlineStr">
        <x:is>
          <x:t xml:space="preserve">День</x:t>
        </x:is>
      </x:c>
      <x:c r="D446" s="31" t="inlineStr">
        <x:is>
          <x:t xml:space="preserve">ПЗ-00258</x:t>
        </x:is>
      </x:c>
      <x:c r="E446" s="31" t="inlineStr">
        <x:is>
          <x:t xml:space="preserve">ОП-002144</x:t>
        </x:is>
      </x:c>
      <x:c r="F446" s="31" t="n"/>
      <x:c r="G446" s="31" t="inlineStr">
        <x:is>
          <x:t xml:space="preserve">СОТР-021</x:t>
        </x:is>
      </x:c>
      <x:c r="H446" s="31" t="inlineStr">
        <x:is>
          <x:t xml:space="preserve">Инженерный отдел</x:t>
        </x:is>
      </x:c>
      <x:c r="I446" s="31" t="n">
        <x:v>1</x:v>
      </x:c>
      <x:c r="J446" s="31" t="n">
        <x:v>0</x:v>
      </x:c>
      <x:c r="K446" s="31" t="n">
        <x:v>24.2</x:v>
      </x:c>
      <x:c r="L446" s="31" t="n">
        <x:v>22.9</x:v>
      </x:c>
      <x:c r="M446" s="31" t="n">
        <x:v>0</x:v>
      </x:c>
      <x:c r="N446" s="31" t="inlineStr">
        <x:is>
          <x:t xml:space="preserve">Нет</x:t>
        </x:is>
      </x:c>
      <x:c r="O446" s="31" t="inlineStr">
        <x:is>
          <x:t xml:space="preserve">Подтверждено мастером</x:t>
        </x:is>
      </x:c>
      <x:c r="P446" s="31" t="inlineStr">
        <x:is>
          <x:t xml:space="preserve">Комментарий смены 474</x:t>
        </x:is>
      </x:c>
    </x:row>
    <x:row r="447">
      <x:c r="A447" s="31" t="inlineStr">
        <x:is>
          <x:t xml:space="preserve">СМ-00475</x:t>
        </x:is>
      </x:c>
      <x:c r="B447" s="31" t="n">
        <x:v>46095</x:v>
      </x:c>
      <x:c r="C447" s="31" t="inlineStr">
        <x:is>
          <x:t xml:space="preserve">День</x:t>
        </x:is>
      </x:c>
      <x:c r="D447" s="31" t="inlineStr">
        <x:is>
          <x:t xml:space="preserve">ПЗ-00025</x:t>
        </x:is>
      </x:c>
      <x:c r="E447" s="31" t="inlineStr">
        <x:is>
          <x:t xml:space="preserve">ОП-000219</x:t>
        </x:is>
      </x:c>
      <x:c r="F447" s="31" t="n"/>
      <x:c r="G447" s="31" t="inlineStr">
        <x:is>
          <x:t xml:space="preserve">СОТР-102</x:t>
        </x:is>
      </x:c>
      <x:c r="H447" s="31" t="inlineStr">
        <x:is>
          <x:t xml:space="preserve">Логистика</x:t>
        </x:is>
      </x:c>
      <x:c r="I447" s="31" t="n">
        <x:v>2</x:v>
      </x:c>
      <x:c r="J447" s="31" t="n">
        <x:v>3</x:v>
      </x:c>
      <x:c r="K447" s="31" t="n">
        <x:v>35.8</x:v>
      </x:c>
      <x:c r="L447" s="31" t="n">
        <x:v>36.7</x:v>
      </x:c>
      <x:c r="M447" s="31" t="n">
        <x:v>120</x:v>
      </x:c>
      <x:c r="N447" s="31" t="inlineStr">
        <x:is>
          <x:t xml:space="preserve">Ожидание материала</x:t>
        </x:is>
      </x:c>
      <x:c r="O447" s="31" t="inlineStr">
        <x:is>
          <x:t xml:space="preserve">Подтверждено мастером</x:t>
        </x:is>
      </x:c>
      <x:c r="P447" s="31" t="inlineStr">
        <x:is>
          <x:t xml:space="preserve">Комментарий смены 475</x:t>
        </x:is>
      </x:c>
    </x:row>
    <x:row r="448">
      <x:c r="A448" s="31" t="inlineStr">
        <x:is>
          <x:t xml:space="preserve">СМ-00476</x:t>
        </x:is>
      </x:c>
      <x:c r="B448" s="31" t="n">
        <x:v>46188</x:v>
      </x:c>
      <x:c r="C448" s="31" t="inlineStr">
        <x:is>
          <x:t xml:space="preserve">Ночь</x:t>
        </x:is>
      </x:c>
      <x:c r="D448" s="31" t="inlineStr">
        <x:is>
          <x:t xml:space="preserve">ПЗ-00175</x:t>
        </x:is>
      </x:c>
      <x:c r="E448" s="31" t="inlineStr">
        <x:is>
          <x:t xml:space="preserve">ОП-001451</x:t>
        </x:is>
      </x:c>
      <x:c r="F448" s="31" t="inlineStr">
        <x:is>
          <x:t xml:space="preserve">ОБ-008</x:t>
        </x:is>
      </x:c>
      <x:c r="G448" s="31" t="inlineStr">
        <x:is>
          <x:t xml:space="preserve">СОТР-039</x:t>
        </x:is>
      </x:c>
      <x:c r="H448" s="31" t="inlineStr">
        <x:is>
          <x:t xml:space="preserve">Склад</x:t>
        </x:is>
      </x:c>
      <x:c r="I448" s="31" t="n">
        <x:v>4</x:v>
      </x:c>
      <x:c r="J448" s="31" t="n">
        <x:v>0</x:v>
      </x:c>
      <x:c r="K448" s="31" t="n">
        <x:v>39.2</x:v>
      </x:c>
      <x:c r="L448" s="31" t="n">
        <x:v>36.9</x:v>
      </x:c>
      <x:c r="M448" s="31" t="n">
        <x:v>0</x:v>
      </x:c>
      <x:c r="N448" s="31" t="inlineStr">
        <x:is>
          <x:t xml:space="preserve">Нет</x:t>
        </x:is>
      </x:c>
      <x:c r="O448" s="31" t="inlineStr">
        <x:is>
          <x:t xml:space="preserve">Подтверждено мастером</x:t>
        </x:is>
      </x:c>
      <x:c r="P448" s="31" t="inlineStr">
        <x:is>
          <x:t xml:space="preserve">Комментарий смены 476</x:t>
        </x:is>
      </x:c>
    </x:row>
    <x:row r="449">
      <x:c r="A449" s="31" t="inlineStr">
        <x:is>
          <x:t xml:space="preserve">СМ-00477</x:t>
        </x:is>
      </x:c>
      <x:c r="B449" s="31" t="n">
        <x:v>46098</x:v>
      </x:c>
      <x:c r="C449" s="31" t="inlineStr">
        <x:is>
          <x:t xml:space="preserve">Ночь</x:t>
        </x:is>
      </x:c>
      <x:c r="D449" s="31" t="inlineStr">
        <x:is>
          <x:t xml:space="preserve">ПЗ-00056</x:t>
        </x:is>
      </x:c>
      <x:c r="E449" s="31" t="inlineStr">
        <x:is>
          <x:t xml:space="preserve">ОП-000469</x:t>
        </x:is>
      </x:c>
      <x:c r="F449" s="31" t="inlineStr">
        <x:is>
          <x:t xml:space="preserve">ОБ-013</x:t>
        </x:is>
      </x:c>
      <x:c r="G449" s="31" t="inlineStr">
        <x:is>
          <x:t xml:space="preserve">СОТР-096</x:t>
        </x:is>
      </x:c>
      <x:c r="H449" s="31" t="inlineStr">
        <x:is>
          <x:t xml:space="preserve">ОТК</x:t>
        </x:is>
      </x:c>
      <x:c r="I449" s="31" t="n">
        <x:v>2</x:v>
      </x:c>
      <x:c r="J449" s="31" t="n">
        <x:v>3</x:v>
      </x:c>
      <x:c r="K449" s="31" t="n">
        <x:v>37.8</x:v>
      </x:c>
      <x:c r="L449" s="31" t="n">
        <x:v>44.4</x:v>
      </x:c>
      <x:c r="M449" s="31" t="n">
        <x:v>45</x:v>
      </x:c>
      <x:c r="N449" s="31" t="inlineStr">
        <x:is>
          <x:t xml:space="preserve">Переналадка</x:t>
        </x:is>
      </x:c>
      <x:c r="O449" s="31" t="inlineStr">
        <x:is>
          <x:t xml:space="preserve">Подтверждено мастером</x:t>
        </x:is>
      </x:c>
      <x:c r="P449" s="31" t="inlineStr">
        <x:is>
          <x:t xml:space="preserve">Комментарий смены 477</x:t>
        </x:is>
      </x:c>
    </x:row>
    <x:row r="450">
      <x:c r="A450" s="31" t="inlineStr">
        <x:is>
          <x:t xml:space="preserve">СМ-00478</x:t>
        </x:is>
      </x:c>
      <x:c r="B450" s="31" t="n">
        <x:v>46091</x:v>
      </x:c>
      <x:c r="C450" s="31" t="inlineStr">
        <x:is>
          <x:t xml:space="preserve">День</x:t>
        </x:is>
      </x:c>
      <x:c r="D450" s="31" t="inlineStr">
        <x:is>
          <x:t xml:space="preserve">ПЗ-00096</x:t>
        </x:is>
      </x:c>
      <x:c r="E450" s="31" t="inlineStr">
        <x:is>
          <x:t xml:space="preserve">ОП-000806</x:t>
        </x:is>
      </x:c>
      <x:c r="F450" s="31" t="n"/>
      <x:c r="G450" s="31" t="inlineStr">
        <x:is>
          <x:t xml:space="preserve">СОТР-015</x:t>
        </x:is>
      </x:c>
      <x:c r="H450" s="31" t="inlineStr">
        <x:is>
          <x:t xml:space="preserve">Инженерный отдел</x:t>
        </x:is>
      </x:c>
      <x:c r="I450" s="31" t="n">
        <x:v>2</x:v>
      </x:c>
      <x:c r="J450" s="31" t="n">
        <x:v>0</x:v>
      </x:c>
      <x:c r="K450" s="31" t="n">
        <x:v>30</x:v>
      </x:c>
      <x:c r="L450" s="31" t="n">
        <x:v>18.9</x:v>
      </x:c>
      <x:c r="M450" s="31" t="n">
        <x:v>60</x:v>
      </x:c>
      <x:c r="N450" s="31" t="inlineStr">
        <x:is>
          <x:t xml:space="preserve">Ремонт оборудования</x:t>
        </x:is>
      </x:c>
      <x:c r="O450" s="31" t="inlineStr">
        <x:is>
          <x:t xml:space="preserve">Подтверждено мастером</x:t>
        </x:is>
      </x:c>
      <x:c r="P450" s="31" t="inlineStr">
        <x:is>
          <x:t xml:space="preserve">Комментарий смены 478</x:t>
        </x:is>
      </x:c>
    </x:row>
    <x:row r="451">
      <x:c r="A451" s="31" t="inlineStr">
        <x:is>
          <x:t xml:space="preserve">СМ-00479</x:t>
        </x:is>
      </x:c>
      <x:c r="B451" s="31" t="n">
        <x:v>46192</x:v>
      </x:c>
      <x:c r="C451" s="31" t="inlineStr">
        <x:is>
          <x:t xml:space="preserve">День</x:t>
        </x:is>
      </x:c>
      <x:c r="D451" s="31" t="inlineStr">
        <x:is>
          <x:t xml:space="preserve">ПЗ-00184</x:t>
        </x:is>
      </x:c>
      <x:c r="E451" s="31" t="inlineStr">
        <x:is>
          <x:t xml:space="preserve">ОП-001532</x:t>
        </x:is>
      </x:c>
      <x:c r="F451" s="31" t="inlineStr">
        <x:is>
          <x:t xml:space="preserve">ОБ-013</x:t>
        </x:is>
      </x:c>
      <x:c r="G451" s="31" t="inlineStr">
        <x:is>
          <x:t xml:space="preserve">СОТР-092</x:t>
        </x:is>
      </x:c>
      <x:c r="H451" s="31" t="inlineStr">
        <x:is>
          <x:t xml:space="preserve">ОТК</x:t>
        </x:is>
      </x:c>
      <x:c r="I451" s="31" t="n">
        <x:v>2</x:v>
      </x:c>
      <x:c r="J451" s="31" t="n">
        <x:v>0</x:v>
      </x:c>
      <x:c r="K451" s="31" t="n">
        <x:v>8.199999999999999</x:v>
      </x:c>
      <x:c r="L451" s="31" t="n">
        <x:v>8.800000000000001</x:v>
      </x:c>
      <x:c r="M451" s="31" t="n">
        <x:v>120</x:v>
      </x:c>
      <x:c r="N451" s="31" t="inlineStr">
        <x:is>
          <x:t xml:space="preserve">Нет оператора</x:t>
        </x:is>
      </x:c>
      <x:c r="O451" s="31" t="inlineStr">
        <x:is>
          <x:t xml:space="preserve">Подтверждено мастером</x:t>
        </x:is>
      </x:c>
      <x:c r="P451" s="31" t="inlineStr">
        <x:is>
          <x:t xml:space="preserve">Комментарий смены 479</x:t>
        </x:is>
      </x:c>
    </x:row>
    <x:row r="452">
      <x:c r="A452" s="31" t="inlineStr">
        <x:is>
          <x:t xml:space="preserve">СМ-00480</x:t>
        </x:is>
      </x:c>
      <x:c r="B452" s="31" t="n">
        <x:v>46179</x:v>
      </x:c>
      <x:c r="C452" s="31" t="inlineStr">
        <x:is>
          <x:t xml:space="preserve">День</x:t>
        </x:is>
      </x:c>
      <x:c r="D452" s="31" t="inlineStr">
        <x:is>
          <x:t xml:space="preserve">ПЗ-00152</x:t>
        </x:is>
      </x:c>
      <x:c r="E452" s="31" t="inlineStr">
        <x:is>
          <x:t xml:space="preserve">ОП-001260</x:t>
        </x:is>
      </x:c>
      <x:c r="F452" s="31" t="inlineStr">
        <x:is>
          <x:t xml:space="preserve">ОБ-005</x:t>
        </x:is>
      </x:c>
      <x:c r="G452" s="31" t="inlineStr">
        <x:is>
          <x:t xml:space="preserve">СОТР-086</x:t>
        </x:is>
      </x:c>
      <x:c r="H452" s="31" t="inlineStr">
        <x:is>
          <x:t xml:space="preserve">Сборка</x:t>
        </x:is>
      </x:c>
      <x:c r="I452" s="31" t="n">
        <x:v>1</x:v>
      </x:c>
      <x:c r="J452" s="31" t="n">
        <x:v>1</x:v>
      </x:c>
      <x:c r="K452" s="31" t="n">
        <x:v>10.2</x:v>
      </x:c>
      <x:c r="L452" s="31" t="n">
        <x:v>11.7</x:v>
      </x:c>
      <x:c r="M452" s="31" t="n">
        <x:v>120</x:v>
      </x:c>
      <x:c r="N452" s="31" t="inlineStr">
        <x:is>
          <x:t xml:space="preserve">Ожидание материала</x:t>
        </x:is>
      </x:c>
      <x:c r="O452" s="31" t="inlineStr">
        <x:is>
          <x:t xml:space="preserve">Подтверждено мастером</x:t>
        </x:is>
      </x:c>
      <x:c r="P452" s="31" t="inlineStr">
        <x:is>
          <x:t xml:space="preserve">Комментарий смены 480</x:t>
        </x:is>
      </x:c>
    </x:row>
    <x:row r="453">
      <x:c r="A453" s="31" t="inlineStr">
        <x:is>
          <x:t xml:space="preserve">СМ-00481</x:t>
        </x:is>
      </x:c>
      <x:c r="B453" s="31" t="n">
        <x:v>46119</x:v>
      </x:c>
      <x:c r="C453" s="31" t="inlineStr">
        <x:is>
          <x:t xml:space="preserve">День</x:t>
        </x:is>
      </x:c>
      <x:c r="D453" s="31" t="inlineStr">
        <x:is>
          <x:t xml:space="preserve">ПЗ-00069</x:t>
        </x:is>
      </x:c>
      <x:c r="E453" s="31" t="inlineStr">
        <x:is>
          <x:t xml:space="preserve">ОП-000592</x:t>
        </x:is>
      </x:c>
      <x:c r="F453" s="31" t="n"/>
      <x:c r="G453" s="31" t="inlineStr">
        <x:is>
          <x:t xml:space="preserve">СОТР-070</x:t>
        </x:is>
      </x:c>
      <x:c r="H453" s="31" t="inlineStr">
        <x:is>
          <x:t xml:space="preserve">Логистика</x:t>
        </x:is>
      </x:c>
      <x:c r="I453" s="31" t="n">
        <x:v>2</x:v>
      </x:c>
      <x:c r="J453" s="31" t="n">
        <x:v>0</x:v>
      </x:c>
      <x:c r="K453" s="31" t="n">
        <x:v>17.2</x:v>
      </x:c>
      <x:c r="L453" s="31" t="n">
        <x:v>15.7</x:v>
      </x:c>
      <x:c r="M453" s="31" t="n">
        <x:v>0</x:v>
      </x:c>
      <x:c r="N453" s="31" t="inlineStr">
        <x:is>
          <x:t xml:space="preserve">Нет</x:t>
        </x:is>
      </x:c>
      <x:c r="O453" s="31" t="inlineStr">
        <x:is>
          <x:t xml:space="preserve">Закрыто</x:t>
        </x:is>
      </x:c>
      <x:c r="P453" s="31" t="inlineStr">
        <x:is>
          <x:t xml:space="preserve">Комментарий смены 481</x:t>
        </x:is>
      </x:c>
    </x:row>
    <x:row r="454">
      <x:c r="A454" s="31" t="inlineStr">
        <x:is>
          <x:t xml:space="preserve">СМ-00482</x:t>
        </x:is>
      </x:c>
      <x:c r="B454" s="31" t="n">
        <x:v>46088</x:v>
      </x:c>
      <x:c r="C454" s="31" t="inlineStr">
        <x:is>
          <x:t xml:space="preserve">Ночь</x:t>
        </x:is>
      </x:c>
      <x:c r="D454" s="31" t="inlineStr">
        <x:is>
          <x:t xml:space="preserve">ПЗ-00022</x:t>
        </x:is>
      </x:c>
      <x:c r="E454" s="31" t="inlineStr">
        <x:is>
          <x:t xml:space="preserve">ОП-000183</x:t>
        </x:is>
      </x:c>
      <x:c r="F454" s="31" t="inlineStr">
        <x:is>
          <x:t xml:space="preserve">ОБ-023</x:t>
        </x:is>
      </x:c>
      <x:c r="G454" s="31" t="inlineStr">
        <x:is>
          <x:t xml:space="preserve">СОТР-024</x:t>
        </x:is>
      </x:c>
      <x:c r="H454" s="31" t="inlineStr">
        <x:is>
          <x:t xml:space="preserve">Склад</x:t>
        </x:is>
      </x:c>
      <x:c r="I454" s="31" t="n">
        <x:v>4</x:v>
      </x:c>
      <x:c r="J454" s="31" t="n">
        <x:v>0</x:v>
      </x:c>
      <x:c r="K454" s="31" t="n">
        <x:v>31.6</x:v>
      </x:c>
      <x:c r="L454" s="31" t="n">
        <x:v>29.5</x:v>
      </x:c>
      <x:c r="M454" s="31" t="n">
        <x:v>15</x:v>
      </x:c>
      <x:c r="N454" s="31" t="inlineStr">
        <x:is>
          <x:t xml:space="preserve">Ожидание материала</x:t>
        </x:is>
      </x:c>
      <x:c r="O454" s="31" t="inlineStr">
        <x:is>
          <x:t xml:space="preserve">Подтверждено мастером</x:t>
        </x:is>
      </x:c>
      <x:c r="P454" s="31" t="inlineStr">
        <x:is>
          <x:t xml:space="preserve">Комментарий смены 482</x:t>
        </x:is>
      </x:c>
    </x:row>
    <x:row r="455">
      <x:c r="A455" s="31" t="inlineStr">
        <x:is>
          <x:t xml:space="preserve">СМ-00483</x:t>
        </x:is>
      </x:c>
      <x:c r="B455" s="31" t="n">
        <x:v>46176</x:v>
      </x:c>
      <x:c r="C455" s="31" t="inlineStr">
        <x:is>
          <x:t xml:space="preserve">День</x:t>
        </x:is>
      </x:c>
      <x:c r="D455" s="31" t="inlineStr">
        <x:is>
          <x:t xml:space="preserve">ПЗ-00045</x:t>
        </x:is>
      </x:c>
      <x:c r="E455" s="31" t="inlineStr">
        <x:is>
          <x:t xml:space="preserve">ОП-000381</x:t>
        </x:is>
      </x:c>
      <x:c r="F455" s="31" t="n"/>
      <x:c r="G455" s="31" t="inlineStr">
        <x:is>
          <x:t xml:space="preserve">СОТР-103</x:t>
        </x:is>
      </x:c>
      <x:c r="H455" s="31" t="inlineStr">
        <x:is>
          <x:t xml:space="preserve">Логистика</x:t>
        </x:is>
      </x:c>
      <x:c r="I455" s="31" t="n">
        <x:v>1</x:v>
      </x:c>
      <x:c r="J455" s="31" t="n">
        <x:v>1</x:v>
      </x:c>
      <x:c r="K455" s="31" t="n">
        <x:v>37.2</x:v>
      </x:c>
      <x:c r="L455" s="31" t="n">
        <x:v>34.8</x:v>
      </x:c>
      <x:c r="M455" s="31" t="n">
        <x:v>45</x:v>
      </x:c>
      <x:c r="N455" s="31" t="inlineStr">
        <x:is>
          <x:t xml:space="preserve">Ожидание материала</x:t>
        </x:is>
      </x:c>
      <x:c r="O455" s="31" t="inlineStr">
        <x:is>
          <x:t xml:space="preserve">Закрыто</x:t>
        </x:is>
      </x:c>
      <x:c r="P455" s="31" t="inlineStr">
        <x:is>
          <x:t xml:space="preserve">Комментарий смены 483</x:t>
        </x:is>
      </x:c>
    </x:row>
    <x:row r="456">
      <x:c r="A456" s="31" t="inlineStr">
        <x:is>
          <x:t xml:space="preserve">СМ-00484</x:t>
        </x:is>
      </x:c>
      <x:c r="B456" s="31" t="n">
        <x:v>46116</x:v>
      </x:c>
      <x:c r="C456" s="31" t="inlineStr">
        <x:is>
          <x:t xml:space="preserve">День</x:t>
        </x:is>
      </x:c>
      <x:c r="D456" s="31" t="inlineStr">
        <x:is>
          <x:t xml:space="preserve">ПЗ-00200</x:t>
        </x:is>
      </x:c>
      <x:c r="E456" s="31" t="inlineStr">
        <x:is>
          <x:t xml:space="preserve">ОП-001671</x:t>
        </x:is>
      </x:c>
      <x:c r="F456" s="31" t="inlineStr">
        <x:is>
          <x:t xml:space="preserve">ОБ-018</x:t>
        </x:is>
      </x:c>
      <x:c r="G456" s="31" t="inlineStr">
        <x:is>
          <x:t xml:space="preserve">СОТР-061</x:t>
        </x:is>
      </x:c>
      <x:c r="H456" s="31" t="inlineStr">
        <x:is>
          <x:t xml:space="preserve">Сварка</x:t>
        </x:is>
      </x:c>
      <x:c r="I456" s="31" t="n">
        <x:v>1</x:v>
      </x:c>
      <x:c r="J456" s="31" t="n">
        <x:v>1</x:v>
      </x:c>
      <x:c r="K456" s="31" t="n">
        <x:v>26.5</x:v>
      </x:c>
      <x:c r="L456" s="31" t="n">
        <x:v>23.6</x:v>
      </x:c>
      <x:c r="M456" s="31" t="n">
        <x:v>45</x:v>
      </x:c>
      <x:c r="N456" s="31" t="inlineStr">
        <x:is>
          <x:t xml:space="preserve">Нет оператора</x:t>
        </x:is>
      </x:c>
      <x:c r="O456" s="31" t="inlineStr">
        <x:is>
          <x:t xml:space="preserve">Подтверждено мастером</x:t>
        </x:is>
      </x:c>
      <x:c r="P456" s="31" t="inlineStr">
        <x:is>
          <x:t xml:space="preserve">Комментарий смены 484</x:t>
        </x:is>
      </x:c>
    </x:row>
    <x:row r="457">
      <x:c r="A457" s="31" t="inlineStr">
        <x:is>
          <x:t xml:space="preserve">СМ-00485</x:t>
        </x:is>
      </x:c>
      <x:c r="B457" s="31" t="n">
        <x:v>46235</x:v>
      </x:c>
      <x:c r="C457" s="31" t="inlineStr">
        <x:is>
          <x:t xml:space="preserve">День</x:t>
        </x:is>
      </x:c>
      <x:c r="D457" s="31" t="inlineStr">
        <x:is>
          <x:t xml:space="preserve">ПЗ-00156</x:t>
        </x:is>
      </x:c>
      <x:c r="E457" s="31" t="inlineStr">
        <x:is>
          <x:t xml:space="preserve">ОП-001291</x:t>
        </x:is>
      </x:c>
      <x:c r="F457" s="31" t="inlineStr">
        <x:is>
          <x:t xml:space="preserve">ОБ-028</x:t>
        </x:is>
      </x:c>
      <x:c r="G457" s="31" t="inlineStr">
        <x:is>
          <x:t xml:space="preserve">СОТР-098</x:t>
        </x:is>
      </x:c>
      <x:c r="H457" s="31" t="inlineStr">
        <x:is>
          <x:t xml:space="preserve">ОТК</x:t>
        </x:is>
      </x:c>
      <x:c r="I457" s="31" t="n">
        <x:v>2</x:v>
      </x:c>
      <x:c r="J457" s="31" t="n">
        <x:v>3</x:v>
      </x:c>
      <x:c r="K457" s="31" t="n">
        <x:v>7.2</x:v>
      </x:c>
      <x:c r="L457" s="31" t="n">
        <x:v>7</x:v>
      </x:c>
      <x:c r="M457" s="31" t="n">
        <x:v>0</x:v>
      </x:c>
      <x:c r="N457" s="31" t="inlineStr">
        <x:is>
          <x:t xml:space="preserve">Нет</x:t>
        </x:is>
      </x:c>
      <x:c r="O457" s="31" t="inlineStr">
        <x:is>
          <x:t xml:space="preserve">Подтверждено мастером</x:t>
        </x:is>
      </x:c>
      <x:c r="P457" s="31" t="inlineStr">
        <x:is>
          <x:t xml:space="preserve">Комментарий смены 485</x:t>
        </x:is>
      </x:c>
    </x:row>
    <x:row r="458">
      <x:c r="A458" s="31" t="inlineStr">
        <x:is>
          <x:t xml:space="preserve">СМ-00486</x:t>
        </x:is>
      </x:c>
      <x:c r="B458" s="31" t="n">
        <x:v>46189</x:v>
      </x:c>
      <x:c r="C458" s="31" t="inlineStr">
        <x:is>
          <x:t xml:space="preserve">Вечер</x:t>
        </x:is>
      </x:c>
      <x:c r="D458" s="31" t="inlineStr">
        <x:is>
          <x:t xml:space="preserve">ПЗ-00248</x:t>
        </x:is>
      </x:c>
      <x:c r="E458" s="31" t="inlineStr">
        <x:is>
          <x:t xml:space="preserve">ОП-002071</x:t>
        </x:is>
      </x:c>
      <x:c r="F458" s="31" t="inlineStr">
        <x:is>
          <x:t xml:space="preserve">ОБ-021</x:t>
        </x:is>
      </x:c>
      <x:c r="G458" s="31" t="inlineStr">
        <x:is>
          <x:t xml:space="preserve">СОТР-072</x:t>
        </x:is>
      </x:c>
      <x:c r="H458" s="31" t="inlineStr">
        <x:is>
          <x:t xml:space="preserve">Сварка</x:t>
        </x:is>
      </x:c>
      <x:c r="I458" s="31" t="n">
        <x:v>3</x:v>
      </x:c>
      <x:c r="J458" s="31" t="n">
        <x:v>3</x:v>
      </x:c>
      <x:c r="K458" s="31" t="n">
        <x:v>38.1</x:v>
      </x:c>
      <x:c r="L458" s="31" t="n">
        <x:v>40.3</x:v>
      </x:c>
      <x:c r="M458" s="31" t="n">
        <x:v>90</x:v>
      </x:c>
      <x:c r="N458" s="31" t="inlineStr">
        <x:is>
          <x:t xml:space="preserve">Переналадка</x:t>
        </x:is>
      </x:c>
      <x:c r="O458" s="31" t="inlineStr">
        <x:is>
          <x:t xml:space="preserve">Подтверждено мастером</x:t>
        </x:is>
      </x:c>
      <x:c r="P458" s="31" t="inlineStr">
        <x:is>
          <x:t xml:space="preserve">Комментарий смены 486</x:t>
        </x:is>
      </x:c>
    </x:row>
    <x:row r="459">
      <x:c r="A459" s="31" t="inlineStr">
        <x:is>
          <x:t xml:space="preserve">СМ-00487</x:t>
        </x:is>
      </x:c>
      <x:c r="B459" s="31" t="n">
        <x:v>46056</x:v>
      </x:c>
      <x:c r="C459" s="31" t="inlineStr">
        <x:is>
          <x:t xml:space="preserve">Ночь</x:t>
        </x:is>
      </x:c>
      <x:c r="D459" s="31" t="inlineStr">
        <x:is>
          <x:t xml:space="preserve">ПЗ-00072</x:t>
        </x:is>
      </x:c>
      <x:c r="E459" s="31" t="inlineStr">
        <x:is>
          <x:t xml:space="preserve">ОП-000616</x:t>
        </x:is>
      </x:c>
      <x:c r="F459" s="31" t="inlineStr">
        <x:is>
          <x:t xml:space="preserve">ОБ-035</x:t>
        </x:is>
      </x:c>
      <x:c r="G459" s="31" t="inlineStr">
        <x:is>
          <x:t xml:space="preserve">СОТР-072</x:t>
        </x:is>
      </x:c>
      <x:c r="H459" s="31" t="inlineStr">
        <x:is>
          <x:t xml:space="preserve">Сварка</x:t>
        </x:is>
      </x:c>
      <x:c r="I459" s="31" t="n">
        <x:v>1</x:v>
      </x:c>
      <x:c r="J459" s="31" t="n">
        <x:v>1</x:v>
      </x:c>
      <x:c r="K459" s="31" t="n">
        <x:v>19.6</x:v>
      </x:c>
      <x:c r="L459" s="31" t="n">
        <x:v>21.4</x:v>
      </x:c>
      <x:c r="M459" s="31" t="n">
        <x:v>15</x:v>
      </x:c>
      <x:c r="N459" s="31" t="inlineStr">
        <x:is>
          <x:t xml:space="preserve">Ожидание ОТК</x:t>
        </x:is>
      </x:c>
      <x:c r="O459" s="31" t="inlineStr">
        <x:is>
          <x:t xml:space="preserve">Подтверждено мастером</x:t>
        </x:is>
      </x:c>
      <x:c r="P459" s="31" t="inlineStr">
        <x:is>
          <x:t xml:space="preserve">Комментарий смены 487</x:t>
        </x:is>
      </x:c>
    </x:row>
    <x:row r="460">
      <x:c r="A460" s="31" t="inlineStr">
        <x:is>
          <x:t xml:space="preserve">СМ-00489</x:t>
        </x:is>
      </x:c>
      <x:c r="B460" s="31" t="n">
        <x:v>46162</x:v>
      </x:c>
      <x:c r="C460" s="31" t="inlineStr">
        <x:is>
          <x:t xml:space="preserve">Вечер</x:t>
        </x:is>
      </x:c>
      <x:c r="D460" s="31" t="inlineStr">
        <x:is>
          <x:t xml:space="preserve">ПЗ-00242</x:t>
        </x:is>
      </x:c>
      <x:c r="E460" s="31" t="inlineStr">
        <x:is>
          <x:t xml:space="preserve">ОП-002025</x:t>
        </x:is>
      </x:c>
      <x:c r="F460" s="31" t="inlineStr">
        <x:is>
          <x:t xml:space="preserve">ОБ-023</x:t>
        </x:is>
      </x:c>
      <x:c r="G460" s="31" t="inlineStr">
        <x:is>
          <x:t xml:space="preserve">СОТР-034</x:t>
        </x:is>
      </x:c>
      <x:c r="H460" s="31" t="inlineStr">
        <x:is>
          <x:t xml:space="preserve">Склад</x:t>
        </x:is>
      </x:c>
      <x:c r="I460" s="31" t="n">
        <x:v>2</x:v>
      </x:c>
      <x:c r="J460" s="31" t="n">
        <x:v>3</x:v>
      </x:c>
      <x:c r="K460" s="31" t="n">
        <x:v>12.4</x:v>
      </x:c>
      <x:c r="L460" s="31" t="n">
        <x:v>14.9</x:v>
      </x:c>
      <x:c r="M460" s="31" t="n">
        <x:v>45</x:v>
      </x:c>
      <x:c r="N460" s="31" t="inlineStr">
        <x:is>
          <x:t xml:space="preserve">Ремонт оборудования</x:t>
        </x:is>
      </x:c>
      <x:c r="O460" s="31" t="inlineStr">
        <x:is>
          <x:t xml:space="preserve">Подтверждено мастером</x:t>
        </x:is>
      </x:c>
      <x:c r="P460" s="31" t="inlineStr">
        <x:is>
          <x:t xml:space="preserve">Комментарий смены 489</x:t>
        </x:is>
      </x:c>
    </x:row>
    <x:row r="461">
      <x:c r="A461" s="31" t="inlineStr">
        <x:is>
          <x:t xml:space="preserve">СМ-00490</x:t>
        </x:is>
      </x:c>
      <x:c r="B461" s="31" t="n">
        <x:v>46195</x:v>
      </x:c>
      <x:c r="C461" s="31" t="inlineStr">
        <x:is>
          <x:t xml:space="preserve">Вечер</x:t>
        </x:is>
      </x:c>
      <x:c r="D461" s="31" t="inlineStr">
        <x:is>
          <x:t xml:space="preserve">ПЗ-00223</x:t>
        </x:is>
      </x:c>
      <x:c r="E461" s="31" t="inlineStr">
        <x:is>
          <x:t xml:space="preserve">ОП-001868</x:t>
        </x:is>
      </x:c>
      <x:c r="F461" s="31" t="n"/>
      <x:c r="G461" s="31" t="inlineStr">
        <x:is>
          <x:t xml:space="preserve">СОТР-021</x:t>
        </x:is>
      </x:c>
      <x:c r="H461" s="31" t="inlineStr">
        <x:is>
          <x:t xml:space="preserve">Инженерный отдел</x:t>
        </x:is>
      </x:c>
      <x:c r="I461" s="31" t="n">
        <x:v>2</x:v>
      </x:c>
      <x:c r="J461" s="31" t="n">
        <x:v>2</x:v>
      </x:c>
      <x:c r="K461" s="31" t="n">
        <x:v>21</x:v>
      </x:c>
      <x:c r="L461" s="31" t="n">
        <x:v>19.5</x:v>
      </x:c>
      <x:c r="M461" s="31" t="n">
        <x:v>0</x:v>
      </x:c>
      <x:c r="N461" s="31" t="inlineStr">
        <x:is>
          <x:t xml:space="preserve">Нет</x:t>
        </x:is>
      </x:c>
      <x:c r="O461" s="31" t="inlineStr">
        <x:is>
          <x:t xml:space="preserve">Спорный факт</x:t>
        </x:is>
      </x:c>
      <x:c r="P461" s="31" t="inlineStr">
        <x:is>
          <x:t xml:space="preserve">Комментарий смены 490</x:t>
        </x:is>
      </x:c>
    </x:row>
    <x:row r="462">
      <x:c r="A462" s="31" t="inlineStr">
        <x:is>
          <x:t xml:space="preserve">СМ-00491</x:t>
        </x:is>
      </x:c>
      <x:c r="B462" s="31" t="n">
        <x:v>46059</x:v>
      </x:c>
      <x:c r="C462" s="31" t="inlineStr">
        <x:is>
          <x:t xml:space="preserve">День</x:t>
        </x:is>
      </x:c>
      <x:c r="D462" s="31" t="inlineStr">
        <x:is>
          <x:t xml:space="preserve">ПЗ-00094</x:t>
        </x:is>
      </x:c>
      <x:c r="E462" s="31" t="inlineStr">
        <x:is>
          <x:t xml:space="preserve">ОП-000790</x:t>
        </x:is>
      </x:c>
      <x:c r="F462" s="31" t="inlineStr">
        <x:is>
          <x:t xml:space="preserve">ОБ-016</x:t>
        </x:is>
      </x:c>
      <x:c r="G462" s="31" t="inlineStr">
        <x:is>
          <x:t xml:space="preserve">СОТР-091</x:t>
        </x:is>
      </x:c>
      <x:c r="H462" s="31" t="inlineStr">
        <x:is>
          <x:t xml:space="preserve">Сборка</x:t>
        </x:is>
      </x:c>
      <x:c r="I462" s="31" t="n">
        <x:v>1</x:v>
      </x:c>
      <x:c r="J462" s="31" t="n">
        <x:v>0</x:v>
      </x:c>
      <x:c r="K462" s="31" t="n">
        <x:v>16.6</x:v>
      </x:c>
      <x:c r="L462" s="31" t="n">
        <x:v>15.1</x:v>
      </x:c>
      <x:c r="M462" s="31" t="n">
        <x:v>0</x:v>
      </x:c>
      <x:c r="N462" s="31" t="inlineStr">
        <x:is>
          <x:t xml:space="preserve">Нет</x:t>
        </x:is>
      </x:c>
      <x:c r="O462" s="31" t="inlineStr">
        <x:is>
          <x:t xml:space="preserve">Подтверждено мастером</x:t>
        </x:is>
      </x:c>
      <x:c r="P462" s="31" t="inlineStr">
        <x:is>
          <x:t xml:space="preserve">Комментарий смены 491</x:t>
        </x:is>
      </x:c>
    </x:row>
    <x:row r="463">
      <x:c r="A463" s="31" t="inlineStr">
        <x:is>
          <x:t xml:space="preserve">СМ-00492</x:t>
        </x:is>
      </x:c>
      <x:c r="B463" s="31" t="n">
        <x:v>46204</x:v>
      </x:c>
      <x:c r="C463" s="31" t="inlineStr">
        <x:is>
          <x:t xml:space="preserve">День</x:t>
        </x:is>
      </x:c>
      <x:c r="D463" s="31" t="inlineStr">
        <x:is>
          <x:t xml:space="preserve">ПЗ-00005</x:t>
        </x:is>
      </x:c>
      <x:c r="E463" s="31" t="inlineStr">
        <x:is>
          <x:t xml:space="preserve">ОП-000035</x:t>
        </x:is>
      </x:c>
      <x:c r="F463" s="31" t="inlineStr">
        <x:is>
          <x:t xml:space="preserve">ОБ-017</x:t>
        </x:is>
      </x:c>
      <x:c r="G463" s="31" t="inlineStr">
        <x:is>
          <x:t xml:space="preserve">СОТР-079</x:t>
        </x:is>
      </x:c>
      <x:c r="H463" s="31" t="inlineStr">
        <x:is>
          <x:t xml:space="preserve">Сборка</x:t>
        </x:is>
      </x:c>
      <x:c r="I463" s="31" t="n">
        <x:v>2</x:v>
      </x:c>
      <x:c r="J463" s="31" t="n">
        <x:v>3</x:v>
      </x:c>
      <x:c r="K463" s="31" t="n">
        <x:v>9.199999999999999</x:v>
      </x:c>
      <x:c r="L463" s="31" t="n">
        <x:v>11.3</x:v>
      </x:c>
      <x:c r="M463" s="31" t="n">
        <x:v>15</x:v>
      </x:c>
      <x:c r="N463" s="31" t="inlineStr">
        <x:is>
          <x:t xml:space="preserve">Ремонт оборудования</x:t>
        </x:is>
      </x:c>
      <x:c r="O463" s="31" t="inlineStr">
        <x:is>
          <x:t xml:space="preserve">Закрыто</x:t>
        </x:is>
      </x:c>
      <x:c r="P463" s="31" t="inlineStr">
        <x:is>
          <x:t xml:space="preserve">Комментарий смены 492</x:t>
        </x:is>
      </x:c>
    </x:row>
    <x:row r="464">
      <x:c r="A464" s="31" t="inlineStr">
        <x:is>
          <x:t xml:space="preserve">СМ-00493</x:t>
        </x:is>
      </x:c>
      <x:c r="B464" s="31" t="n">
        <x:v>46166</x:v>
      </x:c>
      <x:c r="C464" s="31" t="inlineStr">
        <x:is>
          <x:t xml:space="preserve">День</x:t>
        </x:is>
      </x:c>
      <x:c r="D464" s="31" t="inlineStr">
        <x:is>
          <x:t xml:space="preserve">ПЗ-00241</x:t>
        </x:is>
      </x:c>
      <x:c r="E464" s="31" t="inlineStr">
        <x:is>
          <x:t xml:space="preserve">ОП-002019</x:t>
        </x:is>
      </x:c>
      <x:c r="F464" s="31" t="inlineStr">
        <x:is>
          <x:t xml:space="preserve">ОБ-016</x:t>
        </x:is>
      </x:c>
      <x:c r="G464" s="31" t="inlineStr">
        <x:is>
          <x:t xml:space="preserve">СОТР-075</x:t>
        </x:is>
      </x:c>
      <x:c r="H464" s="31" t="inlineStr">
        <x:is>
          <x:t xml:space="preserve">Сборка</x:t>
        </x:is>
      </x:c>
      <x:c r="I464" s="31" t="n">
        <x:v>1</x:v>
      </x:c>
      <x:c r="J464" s="31" t="n">
        <x:v>1</x:v>
      </x:c>
      <x:c r="K464" s="31" t="n">
        <x:v>7.9</x:v>
      </x:c>
      <x:c r="L464" s="31" t="n">
        <x:v>8.300000000000001</x:v>
      </x:c>
      <x:c r="M464" s="31" t="n">
        <x:v>30</x:v>
      </x:c>
      <x:c r="N464" s="31" t="inlineStr">
        <x:is>
          <x:t xml:space="preserve">Переналадка</x:t>
        </x:is>
      </x:c>
      <x:c r="O464" s="31" t="inlineStr">
        <x:is>
          <x:t xml:space="preserve">Закрыто</x:t>
        </x:is>
      </x:c>
      <x:c r="P464" s="31" t="inlineStr">
        <x:is>
          <x:t xml:space="preserve">Комментарий смены 493</x:t>
        </x:is>
      </x:c>
    </x:row>
    <x:row r="465">
      <x:c r="A465" s="31" t="inlineStr">
        <x:is>
          <x:t xml:space="preserve">СМ-00494</x:t>
        </x:is>
      </x:c>
      <x:c r="B465" s="31" t="n">
        <x:v>46191</x:v>
      </x:c>
      <x:c r="C465" s="31" t="inlineStr">
        <x:is>
          <x:t xml:space="preserve">День</x:t>
        </x:is>
      </x:c>
      <x:c r="D465" s="31" t="inlineStr">
        <x:is>
          <x:t xml:space="preserve">ПЗ-00041</x:t>
        </x:is>
      </x:c>
      <x:c r="E465" s="31" t="inlineStr">
        <x:is>
          <x:t xml:space="preserve">ОП-000344</x:t>
        </x:is>
      </x:c>
      <x:c r="F465" s="31" t="inlineStr">
        <x:is>
          <x:t xml:space="preserve">ОБ-034</x:t>
        </x:is>
      </x:c>
      <x:c r="G465" s="31" t="inlineStr">
        <x:is>
          <x:t xml:space="preserve">СОТР-075</x:t>
        </x:is>
      </x:c>
      <x:c r="H465" s="31" t="inlineStr">
        <x:is>
          <x:t xml:space="preserve">Сборка</x:t>
        </x:is>
      </x:c>
      <x:c r="I465" s="31" t="n">
        <x:v>1</x:v>
      </x:c>
      <x:c r="J465" s="31" t="n">
        <x:v>1</x:v>
      </x:c>
      <x:c r="K465" s="31" t="n">
        <x:v>2.1</x:v>
      </x:c>
      <x:c r="L465" s="31" t="n">
        <x:v>2.8</x:v>
      </x:c>
      <x:c r="M465" s="31" t="n">
        <x:v>60</x:v>
      </x:c>
      <x:c r="N465" s="31" t="inlineStr">
        <x:is>
          <x:t xml:space="preserve">Ремонт оборудования</x:t>
        </x:is>
      </x:c>
      <x:c r="O465" s="31" t="inlineStr">
        <x:is>
          <x:t xml:space="preserve">Черновик</x:t>
        </x:is>
      </x:c>
      <x:c r="P465" s="31" t="inlineStr">
        <x:is>
          <x:t xml:space="preserve">Комментарий смены 494</x:t>
        </x:is>
      </x:c>
    </x:row>
    <x:row r="466">
      <x:c r="A466" s="31" t="inlineStr">
        <x:is>
          <x:t xml:space="preserve">СМ-00495</x:t>
        </x:is>
      </x:c>
      <x:c r="B466" s="31" t="n">
        <x:v>46094</x:v>
      </x:c>
      <x:c r="C466" s="31" t="inlineStr">
        <x:is>
          <x:t xml:space="preserve">День</x:t>
        </x:is>
      </x:c>
      <x:c r="D466" s="31" t="inlineStr">
        <x:is>
          <x:t xml:space="preserve">ПЗ-00105</x:t>
        </x:is>
      </x:c>
      <x:c r="E466" s="31" t="inlineStr">
        <x:is>
          <x:t xml:space="preserve">ОП-000874</x:t>
        </x:is>
      </x:c>
      <x:c r="F466" s="31" t="n"/>
      <x:c r="G466" s="31" t="inlineStr">
        <x:is>
          <x:t xml:space="preserve">СОТР-011</x:t>
        </x:is>
      </x:c>
      <x:c r="H466" s="31" t="inlineStr">
        <x:is>
          <x:t xml:space="preserve">Инженерный отдел</x:t>
        </x:is>
      </x:c>
      <x:c r="I466" s="31" t="n">
        <x:v>1</x:v>
      </x:c>
      <x:c r="J466" s="31" t="n">
        <x:v>1</x:v>
      </x:c>
      <x:c r="K466" s="31" t="n">
        <x:v>8.4</x:v>
      </x:c>
      <x:c r="L466" s="31" t="n">
        <x:v>9.4</x:v>
      </x:c>
      <x:c r="M466" s="31" t="n">
        <x:v>15</x:v>
      </x:c>
      <x:c r="N466" s="31" t="inlineStr">
        <x:is>
          <x:t xml:space="preserve">Ремонт оборудования</x:t>
        </x:is>
      </x:c>
      <x:c r="O466" s="31" t="inlineStr">
        <x:is>
          <x:t xml:space="preserve">Подтверждено мастером</x:t>
        </x:is>
      </x:c>
      <x:c r="P466" s="31" t="inlineStr">
        <x:is>
          <x:t xml:space="preserve">Комментарий смены 495</x:t>
        </x:is>
      </x:c>
    </x:row>
    <x:row r="467">
      <x:c r="A467" s="31" t="inlineStr">
        <x:is>
          <x:t xml:space="preserve">СМ-00496</x:t>
        </x:is>
      </x:c>
      <x:c r="B467" s="31" t="n">
        <x:v>46137</x:v>
      </x:c>
      <x:c r="C467" s="31" t="inlineStr">
        <x:is>
          <x:t xml:space="preserve">Ночь</x:t>
        </x:is>
      </x:c>
      <x:c r="D467" s="31" t="inlineStr">
        <x:is>
          <x:t xml:space="preserve">ПЗ-00187</x:t>
        </x:is>
      </x:c>
      <x:c r="E467" s="31" t="inlineStr">
        <x:is>
          <x:t xml:space="preserve">ОП-001555</x:t>
        </x:is>
      </x:c>
      <x:c r="F467" s="31" t="n"/>
      <x:c r="G467" s="31" t="inlineStr">
        <x:is>
          <x:t xml:space="preserve">СОТР-021</x:t>
        </x:is>
      </x:c>
      <x:c r="H467" s="31" t="inlineStr">
        <x:is>
          <x:t xml:space="preserve">Инженерный отдел</x:t>
        </x:is>
      </x:c>
      <x:c r="I467" s="31" t="n">
        <x:v>2</x:v>
      </x:c>
      <x:c r="J467" s="31" t="n">
        <x:v>3</x:v>
      </x:c>
      <x:c r="K467" s="31" t="n">
        <x:v>38.4</x:v>
      </x:c>
      <x:c r="L467" s="31" t="n">
        <x:v>47.9</x:v>
      </x:c>
      <x:c r="M467" s="31" t="n">
        <x:v>30</x:v>
      </x:c>
      <x:c r="N467" s="31" t="inlineStr">
        <x:is>
          <x:t xml:space="preserve">Нет оператора</x:t>
        </x:is>
      </x:c>
      <x:c r="O467" s="31" t="inlineStr">
        <x:is>
          <x:t xml:space="preserve">Подтверждено мастером</x:t>
        </x:is>
      </x:c>
      <x:c r="P467" s="31" t="inlineStr">
        <x:is>
          <x:t xml:space="preserve">Комментарий смены 496</x:t>
        </x:is>
      </x:c>
    </x:row>
    <x:row r="468">
      <x:c r="A468" s="31" t="inlineStr">
        <x:is>
          <x:t xml:space="preserve">СМ-00497</x:t>
        </x:is>
      </x:c>
      <x:c r="B468" s="31" t="n">
        <x:v>46154</x:v>
      </x:c>
      <x:c r="C468" s="31" t="inlineStr">
        <x:is>
          <x:t xml:space="preserve">Ночь</x:t>
        </x:is>
      </x:c>
      <x:c r="D468" s="31" t="inlineStr">
        <x:is>
          <x:t xml:space="preserve">ПЗ-00198</x:t>
        </x:is>
      </x:c>
      <x:c r="E468" s="31" t="inlineStr">
        <x:is>
          <x:t xml:space="preserve">ОП-001657</x:t>
        </x:is>
      </x:c>
      <x:c r="F468" s="31" t="inlineStr">
        <x:is>
          <x:t xml:space="preserve">ОБ-025</x:t>
        </x:is>
      </x:c>
      <x:c r="G468" s="31" t="inlineStr">
        <x:is>
          <x:t xml:space="preserve">СОТР-034</x:t>
        </x:is>
      </x:c>
      <x:c r="H468" s="31" t="inlineStr">
        <x:is>
          <x:t xml:space="preserve">Склад</x:t>
        </x:is>
      </x:c>
      <x:c r="I468" s="31" t="n">
        <x:v>1</x:v>
      </x:c>
      <x:c r="J468" s="31" t="n">
        <x:v>2</x:v>
      </x:c>
      <x:c r="K468" s="31" t="n">
        <x:v>14.4</x:v>
      </x:c>
      <x:c r="L468" s="31" t="n">
        <x:v>12.9</x:v>
      </x:c>
      <x:c r="M468" s="31" t="n">
        <x:v>15</x:v>
      </x:c>
      <x:c r="N468" s="31" t="inlineStr">
        <x:is>
          <x:t xml:space="preserve">Переналадка</x:t>
        </x:is>
      </x:c>
      <x:c r="O468" s="31" t="inlineStr">
        <x:is>
          <x:t xml:space="preserve">Подтверждено мастером</x:t>
        </x:is>
      </x:c>
      <x:c r="P468" s="31" t="inlineStr">
        <x:is>
          <x:t xml:space="preserve">Комментарий смены 497</x:t>
        </x:is>
      </x:c>
    </x:row>
    <x:row r="469">
      <x:c r="A469" s="31" t="inlineStr">
        <x:is>
          <x:t xml:space="preserve">СМ-00498</x:t>
        </x:is>
      </x:c>
      <x:c r="B469" s="31" t="n">
        <x:v>46117</x:v>
      </x:c>
      <x:c r="C469" s="31" t="inlineStr">
        <x:is>
          <x:t xml:space="preserve">День</x:t>
        </x:is>
      </x:c>
      <x:c r="D469" s="31" t="inlineStr">
        <x:is>
          <x:t xml:space="preserve">ПЗ-00110</x:t>
        </x:is>
      </x:c>
      <x:c r="E469" s="31" t="inlineStr">
        <x:is>
          <x:t xml:space="preserve">ОП-000924</x:t>
        </x:is>
      </x:c>
      <x:c r="F469" s="31" t="inlineStr">
        <x:is>
          <x:t xml:space="preserve">ОБ-030</x:t>
        </x:is>
      </x:c>
      <x:c r="G469" s="31" t="inlineStr">
        <x:is>
          <x:t xml:space="preserve">СОТР-031</x:t>
        </x:is>
      </x:c>
      <x:c r="H469" s="31" t="inlineStr">
        <x:is>
          <x:t xml:space="preserve">Механообработка</x:t>
        </x:is>
      </x:c>
      <x:c r="I469" s="31" t="n">
        <x:v>1</x:v>
      </x:c>
      <x:c r="J469" s="31" t="n">
        <x:v>0</x:v>
      </x:c>
      <x:c r="K469" s="31" t="n">
        <x:v>30</x:v>
      </x:c>
      <x:c r="L469" s="31" t="n">
        <x:v>29.6</x:v>
      </x:c>
      <x:c r="M469" s="31" t="n">
        <x:v>0</x:v>
      </x:c>
      <x:c r="N469" s="31" t="inlineStr">
        <x:is>
          <x:t xml:space="preserve">Нет</x:t>
        </x:is>
      </x:c>
      <x:c r="O469" s="31" t="inlineStr">
        <x:is>
          <x:t xml:space="preserve">Подтверждено мастером</x:t>
        </x:is>
      </x:c>
      <x:c r="P469" s="31" t="inlineStr">
        <x:is>
          <x:t xml:space="preserve">Комментарий смены 498</x:t>
        </x:is>
      </x:c>
    </x:row>
    <x:row r="470">
      <x:c r="A470" s="31" t="inlineStr">
        <x:is>
          <x:t xml:space="preserve">СМ-00499</x:t>
        </x:is>
      </x:c>
      <x:c r="B470" s="31" t="n">
        <x:v>46206</x:v>
      </x:c>
      <x:c r="C470" s="31" t="inlineStr">
        <x:is>
          <x:t xml:space="preserve">День</x:t>
        </x:is>
      </x:c>
      <x:c r="D470" s="31" t="inlineStr">
        <x:is>
          <x:t xml:space="preserve">ПЗ-00084</x:t>
        </x:is>
      </x:c>
      <x:c r="E470" s="31" t="inlineStr">
        <x:is>
          <x:t xml:space="preserve">ОП-000719</x:t>
        </x:is>
      </x:c>
      <x:c r="F470" s="31" t="inlineStr">
        <x:is>
          <x:t xml:space="preserve">ОБ-022</x:t>
        </x:is>
      </x:c>
      <x:c r="G470" s="31" t="inlineStr">
        <x:is>
          <x:t xml:space="preserve">СОТР-063</x:t>
        </x:is>
      </x:c>
      <x:c r="H470" s="31" t="inlineStr">
        <x:is>
          <x:t xml:space="preserve">ОТК</x:t>
        </x:is>
      </x:c>
      <x:c r="I470" s="31" t="n">
        <x:v>4</x:v>
      </x:c>
      <x:c r="J470" s="31" t="n">
        <x:v>4</x:v>
      </x:c>
      <x:c r="K470" s="31" t="n">
        <x:v>27</x:v>
      </x:c>
      <x:c r="L470" s="31" t="n">
        <x:v>34.8</x:v>
      </x:c>
      <x:c r="M470" s="31" t="n">
        <x:v>120</x:v>
      </x:c>
      <x:c r="N470" s="31" t="inlineStr">
        <x:is>
          <x:t xml:space="preserve">Ожидание материала</x:t>
        </x:is>
      </x:c>
      <x:c r="O470" s="31" t="inlineStr">
        <x:is>
          <x:t xml:space="preserve">Подтверждено мастером</x:t>
        </x:is>
      </x:c>
      <x:c r="P470" s="31" t="inlineStr">
        <x:is>
          <x:t xml:space="preserve">Комментарий смены 499</x:t>
        </x:is>
      </x:c>
    </x:row>
    <x:row r="471">
      <x:c r="A471" s="31" t="inlineStr">
        <x:is>
          <x:t xml:space="preserve">СМ-00500</x:t>
        </x:is>
      </x:c>
      <x:c r="B471" s="31" t="n">
        <x:v>46091</x:v>
      </x:c>
      <x:c r="C471" s="31" t="inlineStr">
        <x:is>
          <x:t xml:space="preserve">День</x:t>
        </x:is>
      </x:c>
      <x:c r="D471" s="31" t="inlineStr">
        <x:is>
          <x:t xml:space="preserve">ПЗ-00057</x:t>
        </x:is>
      </x:c>
      <x:c r="E471" s="31" t="inlineStr">
        <x:is>
          <x:t xml:space="preserve">ОП-000479</x:t>
        </x:is>
      </x:c>
      <x:c r="F471" s="31" t="inlineStr">
        <x:is>
          <x:t xml:space="preserve">ОБ-001</x:t>
        </x:is>
      </x:c>
      <x:c r="G471" s="31" t="inlineStr">
        <x:is>
          <x:t xml:space="preserve">СОТР-100</x:t>
        </x:is>
      </x:c>
      <x:c r="H471" s="31" t="inlineStr">
        <x:is>
          <x:t xml:space="preserve">ОТК</x:t>
        </x:is>
      </x:c>
      <x:c r="I471" s="31" t="n">
        <x:v>2</x:v>
      </x:c>
      <x:c r="J471" s="31" t="n">
        <x:v>2</x:v>
      </x:c>
      <x:c r="K471" s="31" t="n">
        <x:v>12.4</x:v>
      </x:c>
      <x:c r="L471" s="31" t="n">
        <x:v>11.2</x:v>
      </x:c>
      <x:c r="M471" s="31" t="n">
        <x:v>60</x:v>
      </x:c>
      <x:c r="N471" s="31" t="inlineStr">
        <x:is>
          <x:t xml:space="preserve">Ожидание материала</x:t>
        </x:is>
      </x:c>
      <x:c r="O471" s="31" t="inlineStr">
        <x:is>
          <x:t xml:space="preserve">Подтверждено мастером</x:t>
        </x:is>
      </x:c>
      <x:c r="P471" s="31" t="inlineStr">
        <x:is>
          <x:t xml:space="preserve">Комментарий смены 500</x:t>
        </x:is>
      </x:c>
    </x:row>
    <x:row r="472">
      <x:c r="A472" s="31" t="inlineStr">
        <x:is>
          <x:t xml:space="preserve">СМ-00501</x:t>
        </x:is>
      </x:c>
      <x:c r="B472" s="31" t="n">
        <x:v>46168</x:v>
      </x:c>
      <x:c r="C472" s="31" t="inlineStr">
        <x:is>
          <x:t xml:space="preserve">День</x:t>
        </x:is>
      </x:c>
      <x:c r="D472" s="31" t="inlineStr">
        <x:is>
          <x:t xml:space="preserve">ПЗ-00016</x:t>
        </x:is>
      </x:c>
      <x:c r="E472" s="31" t="inlineStr">
        <x:is>
          <x:t xml:space="preserve">ОП-000134</x:t>
        </x:is>
      </x:c>
      <x:c r="F472" s="31" t="inlineStr">
        <x:is>
          <x:t xml:space="preserve">ОБ-005</x:t>
        </x:is>
      </x:c>
      <x:c r="G472" s="31" t="inlineStr">
        <x:is>
          <x:t xml:space="preserve">СОТР-091</x:t>
        </x:is>
      </x:c>
      <x:c r="H472" s="31" t="inlineStr">
        <x:is>
          <x:t xml:space="preserve">Сборка</x:t>
        </x:is>
      </x:c>
      <x:c r="I472" s="31" t="n">
        <x:v>1</x:v>
      </x:c>
      <x:c r="J472" s="31" t="n">
        <x:v>1</x:v>
      </x:c>
      <x:c r="K472" s="31" t="n">
        <x:v>15.1</x:v>
      </x:c>
      <x:c r="L472" s="31" t="n">
        <x:v>18.3</x:v>
      </x:c>
      <x:c r="M472" s="31" t="n">
        <x:v>0</x:v>
      </x:c>
      <x:c r="N472" s="31" t="inlineStr">
        <x:is>
          <x:t xml:space="preserve">Нет</x:t>
        </x:is>
      </x:c>
      <x:c r="O472" s="31" t="inlineStr">
        <x:is>
          <x:t xml:space="preserve">Подтверждено мастером</x:t>
        </x:is>
      </x:c>
      <x:c r="P472" s="31" t="inlineStr">
        <x:is>
          <x:t xml:space="preserve">Комментарий смены 501</x:t>
        </x:is>
      </x:c>
    </x:row>
    <x:row r="473">
      <x:c r="A473" s="31" t="inlineStr">
        <x:is>
          <x:t xml:space="preserve">СМ-00502</x:t>
        </x:is>
      </x:c>
      <x:c r="B473" s="31" t="n">
        <x:v>46188</x:v>
      </x:c>
      <x:c r="C473" s="31" t="inlineStr">
        <x:is>
          <x:t xml:space="preserve">День</x:t>
        </x:is>
      </x:c>
      <x:c r="D473" s="31" t="inlineStr">
        <x:is>
          <x:t xml:space="preserve">ПЗ-00173</x:t>
        </x:is>
      </x:c>
      <x:c r="E473" s="31" t="inlineStr">
        <x:is>
          <x:t xml:space="preserve">ОП-001440</x:t>
        </x:is>
      </x:c>
      <x:c r="F473" s="31" t="inlineStr">
        <x:is>
          <x:t xml:space="preserve">ОБ-034</x:t>
        </x:is>
      </x:c>
      <x:c r="G473" s="31" t="inlineStr">
        <x:is>
          <x:t xml:space="preserve">СОТР-079</x:t>
        </x:is>
      </x:c>
      <x:c r="H473" s="31" t="inlineStr">
        <x:is>
          <x:t xml:space="preserve">Сборка</x:t>
        </x:is>
      </x:c>
      <x:c r="I473" s="31" t="n">
        <x:v>1</x:v>
      </x:c>
      <x:c r="J473" s="31" t="n">
        <x:v>0</x:v>
      </x:c>
      <x:c r="K473" s="31" t="n">
        <x:v>6.3</x:v>
      </x:c>
      <x:c r="L473" s="31" t="n">
        <x:v>5.2</x:v>
      </x:c>
      <x:c r="M473" s="31" t="n">
        <x:v>90</x:v>
      </x:c>
      <x:c r="N473" s="31" t="inlineStr">
        <x:is>
          <x:t xml:space="preserve">Переналадка</x:t>
        </x:is>
      </x:c>
      <x:c r="O473" s="31" t="inlineStr">
        <x:is>
          <x:t xml:space="preserve">Подтверждено мастером</x:t>
        </x:is>
      </x:c>
      <x:c r="P473" s="31" t="inlineStr">
        <x:is>
          <x:t xml:space="preserve">Комментарий смены 502</x:t>
        </x:is>
      </x:c>
    </x:row>
    <x:row r="474">
      <x:c r="A474" s="31" t="inlineStr">
        <x:is>
          <x:t xml:space="preserve">СМ-00503</x:t>
        </x:is>
      </x:c>
      <x:c r="B474" s="31" t="n">
        <x:v>46173</x:v>
      </x:c>
      <x:c r="C474" s="31" t="inlineStr">
        <x:is>
          <x:t xml:space="preserve">День</x:t>
        </x:is>
      </x:c>
      <x:c r="D474" s="31" t="inlineStr">
        <x:is>
          <x:t xml:space="preserve">ПЗ-00160</x:t>
        </x:is>
      </x:c>
      <x:c r="E474" s="31" t="inlineStr">
        <x:is>
          <x:t xml:space="preserve">ОП-001323</x:t>
        </x:is>
      </x:c>
      <x:c r="F474" s="31" t="inlineStr">
        <x:is>
          <x:t xml:space="preserve">ОБ-009</x:t>
        </x:is>
      </x:c>
      <x:c r="G474" s="31" t="inlineStr">
        <x:is>
          <x:t xml:space="preserve">СОТР-036</x:t>
        </x:is>
      </x:c>
      <x:c r="H474" s="31" t="inlineStr">
        <x:is>
          <x:t xml:space="preserve">Склад</x:t>
        </x:is>
      </x:c>
      <x:c r="I474" s="31" t="n">
        <x:v>2</x:v>
      </x:c>
      <x:c r="J474" s="31" t="n">
        <x:v>2</x:v>
      </x:c>
      <x:c r="K474" s="31" t="n">
        <x:v>16</x:v>
      </x:c>
      <x:c r="L474" s="31" t="n">
        <x:v>14</x:v>
      </x:c>
      <x:c r="M474" s="31" t="n">
        <x:v>0</x:v>
      </x:c>
      <x:c r="N474" s="31" t="inlineStr">
        <x:is>
          <x:t xml:space="preserve">Нет</x:t>
        </x:is>
      </x:c>
      <x:c r="O474" s="31" t="inlineStr">
        <x:is>
          <x:t xml:space="preserve">Подтверждено мастером</x:t>
        </x:is>
      </x:c>
      <x:c r="P474" s="31" t="inlineStr">
        <x:is>
          <x:t xml:space="preserve">Комментарий смены 503</x:t>
        </x:is>
      </x:c>
    </x:row>
    <x:row r="475">
      <x:c r="A475" s="31" t="inlineStr">
        <x:is>
          <x:t xml:space="preserve">СМ-00504</x:t>
        </x:is>
      </x:c>
      <x:c r="B475" s="31" t="n">
        <x:v>46133</x:v>
      </x:c>
      <x:c r="C475" s="31" t="inlineStr">
        <x:is>
          <x:t xml:space="preserve">День</x:t>
        </x:is>
      </x:c>
      <x:c r="D475" s="31" t="inlineStr">
        <x:is>
          <x:t xml:space="preserve">ПЗ-00136</x:t>
        </x:is>
      </x:c>
      <x:c r="E475" s="31" t="inlineStr">
        <x:is>
          <x:t xml:space="preserve">ОП-001140</x:t>
        </x:is>
      </x:c>
      <x:c r="F475" s="31" t="n"/>
      <x:c r="G475" s="31" t="inlineStr">
        <x:is>
          <x:t xml:space="preserve">СОТР-102</x:t>
        </x:is>
      </x:c>
      <x:c r="H475" s="31" t="inlineStr">
        <x:is>
          <x:t xml:space="preserve">Логистика</x:t>
        </x:is>
      </x:c>
      <x:c r="I475" s="31" t="n">
        <x:v>16</x:v>
      </x:c>
      <x:c r="J475" s="31" t="n">
        <x:v>16</x:v>
      </x:c>
      <x:c r="K475" s="31" t="n">
        <x:v>14.4</x:v>
      </x:c>
      <x:c r="L475" s="31" t="n">
        <x:v>10.3</x:v>
      </x:c>
      <x:c r="M475" s="31" t="n">
        <x:v>0</x:v>
      </x:c>
      <x:c r="N475" s="31" t="inlineStr">
        <x:is>
          <x:t xml:space="preserve">Нет</x:t>
        </x:is>
      </x:c>
      <x:c r="O475" s="31" t="inlineStr">
        <x:is>
          <x:t xml:space="preserve">Черновик</x:t>
        </x:is>
      </x:c>
      <x:c r="P475" s="31" t="inlineStr">
        <x:is>
          <x:t xml:space="preserve">Комментарий смены 504</x:t>
        </x:is>
      </x:c>
    </x:row>
    <x:row r="476">
      <x:c r="A476" s="31" t="inlineStr">
        <x:is>
          <x:t xml:space="preserve">СМ-00505</x:t>
        </x:is>
      </x:c>
      <x:c r="B476" s="31" t="n">
        <x:v>46110</x:v>
      </x:c>
      <x:c r="C476" s="31" t="inlineStr">
        <x:is>
          <x:t xml:space="preserve">День</x:t>
        </x:is>
      </x:c>
      <x:c r="D476" s="31" t="inlineStr">
        <x:is>
          <x:t xml:space="preserve">ПЗ-00012</x:t>
        </x:is>
      </x:c>
      <x:c r="E476" s="31" t="inlineStr">
        <x:is>
          <x:t xml:space="preserve">ОП-000094</x:t>
        </x:is>
      </x:c>
      <x:c r="F476" s="31" t="inlineStr">
        <x:is>
          <x:t xml:space="preserve">ОБ-025</x:t>
        </x:is>
      </x:c>
      <x:c r="G476" s="31" t="inlineStr">
        <x:is>
          <x:t xml:space="preserve">СОТР-033</x:t>
        </x:is>
      </x:c>
      <x:c r="H476" s="31" t="inlineStr">
        <x:is>
          <x:t xml:space="preserve">Склад</x:t>
        </x:is>
      </x:c>
      <x:c r="I476" s="31" t="n">
        <x:v>1</x:v>
      </x:c>
      <x:c r="J476" s="31" t="n">
        <x:v>2</x:v>
      </x:c>
      <x:c r="K476" s="31" t="n">
        <x:v>8.800000000000001</x:v>
      </x:c>
      <x:c r="L476" s="31" t="n">
        <x:v>11.2</x:v>
      </x:c>
      <x:c r="M476" s="31" t="n">
        <x:v>0</x:v>
      </x:c>
      <x:c r="N476" s="31" t="inlineStr">
        <x:is>
          <x:t xml:space="preserve">Нет</x:t>
        </x:is>
      </x:c>
      <x:c r="O476" s="31" t="inlineStr">
        <x:is>
          <x:t xml:space="preserve">Подтверждено мастером</x:t>
        </x:is>
      </x:c>
      <x:c r="P476" s="31" t="inlineStr">
        <x:is>
          <x:t xml:space="preserve">Комментарий смены 505</x:t>
        </x:is>
      </x:c>
    </x:row>
    <x:row r="477">
      <x:c r="A477" s="31" t="inlineStr">
        <x:is>
          <x:t xml:space="preserve">СМ-00506</x:t>
        </x:is>
      </x:c>
      <x:c r="B477" s="31" t="n">
        <x:v>46174</x:v>
      </x:c>
      <x:c r="C477" s="31" t="inlineStr">
        <x:is>
          <x:t xml:space="preserve">День</x:t>
        </x:is>
      </x:c>
      <x:c r="D477" s="31" t="inlineStr">
        <x:is>
          <x:t xml:space="preserve">ПЗ-00084</x:t>
        </x:is>
      </x:c>
      <x:c r="E477" s="31" t="inlineStr">
        <x:is>
          <x:t xml:space="preserve">ОП-000713</x:t>
        </x:is>
      </x:c>
      <x:c r="F477" s="31" t="inlineStr">
        <x:is>
          <x:t xml:space="preserve">ОБ-011</x:t>
        </x:is>
      </x:c>
      <x:c r="G477" s="31" t="inlineStr">
        <x:is>
          <x:t xml:space="preserve">СОТР-035</x:t>
        </x:is>
      </x:c>
      <x:c r="H477" s="31" t="inlineStr">
        <x:is>
          <x:t xml:space="preserve">Склад</x:t>
        </x:is>
      </x:c>
      <x:c r="I477" s="31" t="n">
        <x:v>2</x:v>
      </x:c>
      <x:c r="J477" s="31" t="n">
        <x:v>2</x:v>
      </x:c>
      <x:c r="K477" s="31" t="n">
        <x:v>35.5</x:v>
      </x:c>
      <x:c r="L477" s="31" t="n">
        <x:v>45.8</x:v>
      </x:c>
      <x:c r="M477" s="31" t="n">
        <x:v>45</x:v>
      </x:c>
      <x:c r="N477" s="31" t="inlineStr">
        <x:is>
          <x:t xml:space="preserve">Нет оператора</x:t>
        </x:is>
      </x:c>
      <x:c r="O477" s="31" t="inlineStr">
        <x:is>
          <x:t xml:space="preserve">Подтверждено мастером</x:t>
        </x:is>
      </x:c>
      <x:c r="P477" s="31" t="inlineStr">
        <x:is>
          <x:t xml:space="preserve">Комментарий смены 506</x:t>
        </x:is>
      </x:c>
    </x:row>
    <x:row r="478">
      <x:c r="A478" s="31" t="inlineStr">
        <x:is>
          <x:t xml:space="preserve">СМ-00507</x:t>
        </x:is>
      </x:c>
      <x:c r="B478" s="31" t="n">
        <x:v>46158</x:v>
      </x:c>
      <x:c r="C478" s="31" t="inlineStr">
        <x:is>
          <x:t xml:space="preserve">Ночь</x:t>
        </x:is>
      </x:c>
      <x:c r="D478" s="31" t="inlineStr">
        <x:is>
          <x:t xml:space="preserve">ПЗ-00120</x:t>
        </x:is>
      </x:c>
      <x:c r="E478" s="31" t="inlineStr">
        <x:is>
          <x:t xml:space="preserve">ОП-001002</x:t>
        </x:is>
      </x:c>
      <x:c r="F478" s="31" t="n"/>
      <x:c r="G478" s="31" t="inlineStr">
        <x:is>
          <x:t xml:space="preserve">СОТР-017</x:t>
        </x:is>
      </x:c>
      <x:c r="H478" s="31" t="inlineStr">
        <x:is>
          <x:t xml:space="preserve">Инженерный отдел</x:t>
        </x:is>
      </x:c>
      <x:c r="I478" s="31" t="n">
        <x:v>2</x:v>
      </x:c>
      <x:c r="J478" s="31" t="n">
        <x:v>3</x:v>
      </x:c>
      <x:c r="K478" s="31" t="n">
        <x:v>6.9</x:v>
      </x:c>
      <x:c r="L478" s="31" t="n">
        <x:v>6.1</x:v>
      </x:c>
      <x:c r="M478" s="31" t="n">
        <x:v>120</x:v>
      </x:c>
      <x:c r="N478" s="31" t="inlineStr">
        <x:is>
          <x:t xml:space="preserve">Переналадка</x:t>
        </x:is>
      </x:c>
      <x:c r="O478" s="31" t="inlineStr">
        <x:is>
          <x:t xml:space="preserve">Черновик</x:t>
        </x:is>
      </x:c>
      <x:c r="P478" s="31" t="inlineStr">
        <x:is>
          <x:t xml:space="preserve">Комментарий смены 507</x:t>
        </x:is>
      </x:c>
    </x:row>
    <x:row r="479">
      <x:c r="A479" s="31" t="inlineStr">
        <x:is>
          <x:t xml:space="preserve">СМ-00508</x:t>
        </x:is>
      </x:c>
      <x:c r="B479" s="31" t="n">
        <x:v>46096</x:v>
      </x:c>
      <x:c r="C479" s="31" t="inlineStr">
        <x:is>
          <x:t xml:space="preserve">День</x:t>
        </x:is>
      </x:c>
      <x:c r="D479" s="31" t="inlineStr">
        <x:is>
          <x:t xml:space="preserve">ПЗ-00097</x:t>
        </x:is>
      </x:c>
      <x:c r="E479" s="31" t="inlineStr">
        <x:is>
          <x:t xml:space="preserve">ОП-000813</x:t>
        </x:is>
      </x:c>
      <x:c r="F479" s="31" t="inlineStr">
        <x:is>
          <x:t xml:space="preserve">ОБ-010</x:t>
        </x:is>
      </x:c>
      <x:c r="G479" s="31" t="inlineStr">
        <x:is>
          <x:t xml:space="preserve">СОТР-056</x:t>
        </x:is>
      </x:c>
      <x:c r="H479" s="31" t="inlineStr">
        <x:is>
          <x:t xml:space="preserve">Сварка</x:t>
        </x:is>
      </x:c>
      <x:c r="I479" s="31" t="n">
        <x:v>4</x:v>
      </x:c>
      <x:c r="J479" s="31" t="n">
        <x:v>0</x:v>
      </x:c>
      <x:c r="K479" s="31" t="n">
        <x:v>6.4</x:v>
      </x:c>
      <x:c r="L479" s="31" t="n">
        <x:v>5.9</x:v>
      </x:c>
      <x:c r="M479" s="31" t="n">
        <x:v>15</x:v>
      </x:c>
      <x:c r="N479" s="31" t="inlineStr">
        <x:is>
          <x:t xml:space="preserve">Ожидание ОТК</x:t>
        </x:is>
      </x:c>
      <x:c r="O479" s="31" t="inlineStr">
        <x:is>
          <x:t xml:space="preserve">Черновик</x:t>
        </x:is>
      </x:c>
      <x:c r="P479" s="31" t="inlineStr">
        <x:is>
          <x:t xml:space="preserve">Комментарий смены 508</x:t>
        </x:is>
      </x:c>
    </x:row>
    <x:row r="480">
      <x:c r="A480" s="31" t="inlineStr">
        <x:is>
          <x:t xml:space="preserve">СМ-00509</x:t>
        </x:is>
      </x:c>
      <x:c r="B480" s="31" t="n">
        <x:v>46140</x:v>
      </x:c>
      <x:c r="C480" s="31" t="inlineStr">
        <x:is>
          <x:t xml:space="preserve">День</x:t>
        </x:is>
      </x:c>
      <x:c r="D480" s="31" t="inlineStr">
        <x:is>
          <x:t xml:space="preserve">ПЗ-00059</x:t>
        </x:is>
      </x:c>
      <x:c r="E480" s="31" t="inlineStr">
        <x:is>
          <x:t xml:space="preserve">ОП-000495</x:t>
        </x:is>
      </x:c>
      <x:c r="F480" s="31" t="inlineStr">
        <x:is>
          <x:t xml:space="preserve">ОБ-031</x:t>
        </x:is>
      </x:c>
      <x:c r="G480" s="31" t="inlineStr">
        <x:is>
          <x:t xml:space="preserve">СОТР-043</x:t>
        </x:is>
      </x:c>
      <x:c r="H480" s="31" t="inlineStr">
        <x:is>
          <x:t xml:space="preserve">Механообработка</x:t>
        </x:is>
      </x:c>
      <x:c r="I480" s="31" t="n">
        <x:v>1</x:v>
      </x:c>
      <x:c r="J480" s="31" t="n">
        <x:v>1</x:v>
      </x:c>
      <x:c r="K480" s="31" t="n">
        <x:v>1.4</x:v>
      </x:c>
      <x:c r="L480" s="31" t="n">
        <x:v>1.7</x:v>
      </x:c>
      <x:c r="M480" s="31" t="n">
        <x:v>90</x:v>
      </x:c>
      <x:c r="N480" s="31" t="inlineStr">
        <x:is>
          <x:t xml:space="preserve">Ожидание ОТК</x:t>
        </x:is>
      </x:c>
      <x:c r="O480" s="31" t="inlineStr">
        <x:is>
          <x:t xml:space="preserve">Черновик</x:t>
        </x:is>
      </x:c>
      <x:c r="P480" s="31" t="inlineStr">
        <x:is>
          <x:t xml:space="preserve">Комментарий смены 509</x:t>
        </x:is>
      </x:c>
    </x:row>
    <x:row r="481">
      <x:c r="A481" s="31" t="inlineStr">
        <x:is>
          <x:t xml:space="preserve">СМ-00510</x:t>
        </x:is>
      </x:c>
      <x:c r="B481" s="31" t="n">
        <x:v>46095</x:v>
      </x:c>
      <x:c r="C481" s="31" t="inlineStr">
        <x:is>
          <x:t xml:space="preserve">Ночь</x:t>
        </x:is>
      </x:c>
      <x:c r="D481" s="31" t="inlineStr">
        <x:is>
          <x:t xml:space="preserve">ПЗ-00021</x:t>
        </x:is>
      </x:c>
      <x:c r="E481" s="31" t="inlineStr">
        <x:is>
          <x:t xml:space="preserve">ОП-000180</x:t>
        </x:is>
      </x:c>
      <x:c r="F481" s="31" t="inlineStr">
        <x:is>
          <x:t xml:space="preserve">ОБ-024</x:t>
        </x:is>
      </x:c>
      <x:c r="G481" s="31" t="inlineStr">
        <x:is>
          <x:t xml:space="preserve">СОТР-093</x:t>
        </x:is>
      </x:c>
      <x:c r="H481" s="31" t="inlineStr">
        <x:is>
          <x:t xml:space="preserve">ОТК</x:t>
        </x:is>
      </x:c>
      <x:c r="I481" s="31" t="n">
        <x:v>5</x:v>
      </x:c>
      <x:c r="J481" s="31" t="n">
        <x:v>5</x:v>
      </x:c>
      <x:c r="K481" s="31" t="n">
        <x:v>6</x:v>
      </x:c>
      <x:c r="L481" s="31" t="n">
        <x:v>5.6</x:v>
      </x:c>
      <x:c r="M481" s="31" t="n">
        <x:v>60</x:v>
      </x:c>
      <x:c r="N481" s="31" t="inlineStr">
        <x:is>
          <x:t xml:space="preserve">Ожидание ОТК</x:t>
        </x:is>
      </x:c>
      <x:c r="O481" s="31" t="inlineStr">
        <x:is>
          <x:t xml:space="preserve">Подтверждено мастером</x:t>
        </x:is>
      </x:c>
      <x:c r="P481" s="31" t="inlineStr">
        <x:is>
          <x:t xml:space="preserve">Комментарий смены 510</x:t>
        </x:is>
      </x:c>
    </x:row>
    <x:row r="482">
      <x:c r="A482" s="31" t="inlineStr">
        <x:is>
          <x:t xml:space="preserve">СМ-00511</x:t>
        </x:is>
      </x:c>
      <x:c r="B482" s="31" t="n">
        <x:v>46164</x:v>
      </x:c>
      <x:c r="C482" s="31" t="inlineStr">
        <x:is>
          <x:t xml:space="preserve">Вечер</x:t>
        </x:is>
      </x:c>
      <x:c r="D482" s="31" t="inlineStr">
        <x:is>
          <x:t xml:space="preserve">ПЗ-00169</x:t>
        </x:is>
      </x:c>
      <x:c r="E482" s="31" t="inlineStr">
        <x:is>
          <x:t xml:space="preserve">ОП-001404</x:t>
        </x:is>
      </x:c>
      <x:c r="F482" s="31" t="inlineStr">
        <x:is>
          <x:t xml:space="preserve">ОБ-001</x:t>
        </x:is>
      </x:c>
      <x:c r="G482" s="31" t="inlineStr">
        <x:is>
          <x:t xml:space="preserve">СОТР-092</x:t>
        </x:is>
      </x:c>
      <x:c r="H482" s="31" t="inlineStr">
        <x:is>
          <x:t xml:space="preserve">ОТК</x:t>
        </x:is>
      </x:c>
      <x:c r="I482" s="31" t="n">
        <x:v>10</x:v>
      </x:c>
      <x:c r="J482" s="31" t="n">
        <x:v>10</x:v>
      </x:c>
      <x:c r="K482" s="31" t="n">
        <x:v>124.5</x:v>
      </x:c>
      <x:c r="L482" s="31" t="n">
        <x:v>163.7</x:v>
      </x:c>
      <x:c r="M482" s="31" t="n">
        <x:v>0</x:v>
      </x:c>
      <x:c r="N482" s="31" t="inlineStr">
        <x:is>
          <x:t xml:space="preserve">Нет</x:t>
        </x:is>
      </x:c>
      <x:c r="O482" s="31" t="inlineStr">
        <x:is>
          <x:t xml:space="preserve">Черновик</x:t>
        </x:is>
      </x:c>
      <x:c r="P482" s="31" t="inlineStr">
        <x:is>
          <x:t xml:space="preserve">Комментарий смены 511</x:t>
        </x:is>
      </x:c>
    </x:row>
    <x:row r="483">
      <x:c r="A483" s="31" t="inlineStr">
        <x:is>
          <x:t xml:space="preserve">СМ-00512</x:t>
        </x:is>
      </x:c>
      <x:c r="B483" s="31" t="n">
        <x:v>46149</x:v>
      </x:c>
      <x:c r="C483" s="31" t="inlineStr">
        <x:is>
          <x:t xml:space="preserve">Ночь</x:t>
        </x:is>
      </x:c>
      <x:c r="D483" s="31" t="inlineStr">
        <x:is>
          <x:t xml:space="preserve">ПЗ-00009</x:t>
        </x:is>
      </x:c>
      <x:c r="E483" s="31" t="inlineStr">
        <x:is>
          <x:t xml:space="preserve">ОП-000075</x:t>
        </x:is>
      </x:c>
      <x:c r="F483" s="31" t="inlineStr">
        <x:is>
          <x:t xml:space="preserve">ОБ-033</x:t>
        </x:is>
      </x:c>
      <x:c r="G483" s="31" t="inlineStr">
        <x:is>
          <x:t xml:space="preserve">СОТР-095</x:t>
        </x:is>
      </x:c>
      <x:c r="H483" s="31" t="inlineStr">
        <x:is>
          <x:t xml:space="preserve">ОТК</x:t>
        </x:is>
      </x:c>
      <x:c r="I483" s="31" t="n">
        <x:v>2</x:v>
      </x:c>
      <x:c r="J483" s="31" t="n">
        <x:v>2</x:v>
      </x:c>
      <x:c r="K483" s="31" t="n">
        <x:v>23.8</x:v>
      </x:c>
      <x:c r="L483" s="31" t="n">
        <x:v>23.4</x:v>
      </x:c>
      <x:c r="M483" s="31" t="n">
        <x:v>45</x:v>
      </x:c>
      <x:c r="N483" s="31" t="inlineStr">
        <x:is>
          <x:t xml:space="preserve">Ожидание материала</x:t>
        </x:is>
      </x:c>
      <x:c r="O483" s="31" t="inlineStr">
        <x:is>
          <x:t xml:space="preserve">Подтверждено мастером</x:t>
        </x:is>
      </x:c>
      <x:c r="P483" s="31" t="inlineStr">
        <x:is>
          <x:t xml:space="preserve">Комментарий смены 512</x:t>
        </x:is>
      </x:c>
    </x:row>
    <x:row r="484">
      <x:c r="A484" s="31" t="inlineStr">
        <x:is>
          <x:t xml:space="preserve">СМ-00514</x:t>
        </x:is>
      </x:c>
      <x:c r="B484" s="31" t="n">
        <x:v>46194</x:v>
      </x:c>
      <x:c r="C484" s="31" t="inlineStr">
        <x:is>
          <x:t xml:space="preserve">Ночь</x:t>
        </x:is>
      </x:c>
      <x:c r="D484" s="31" t="inlineStr">
        <x:is>
          <x:t xml:space="preserve">ПЗ-00248</x:t>
        </x:is>
      </x:c>
      <x:c r="E484" s="31" t="inlineStr">
        <x:is>
          <x:t xml:space="preserve">ОП-002072</x:t>
        </x:is>
      </x:c>
      <x:c r="F484" s="31" t="inlineStr">
        <x:is>
          <x:t xml:space="preserve">ОБ-034</x:t>
        </x:is>
      </x:c>
      <x:c r="G484" s="31" t="inlineStr">
        <x:is>
          <x:t xml:space="preserve">СОТР-032</x:t>
        </x:is>
      </x:c>
      <x:c r="H484" s="31" t="inlineStr">
        <x:is>
          <x:t xml:space="preserve">Сборка</x:t>
        </x:is>
      </x:c>
      <x:c r="I484" s="31" t="n">
        <x:v>3</x:v>
      </x:c>
      <x:c r="J484" s="31" t="n">
        <x:v>4</x:v>
      </x:c>
      <x:c r="K484" s="31" t="n">
        <x:v>16.2</x:v>
      </x:c>
      <x:c r="L484" s="31" t="n">
        <x:v>18.9</x:v>
      </x:c>
      <x:c r="M484" s="31" t="n">
        <x:v>60</x:v>
      </x:c>
      <x:c r="N484" s="31" t="inlineStr">
        <x:is>
          <x:t xml:space="preserve">Нет оператора</x:t>
        </x:is>
      </x:c>
      <x:c r="O484" s="31" t="inlineStr">
        <x:is>
          <x:t xml:space="preserve">Спорный факт</x:t>
        </x:is>
      </x:c>
      <x:c r="P484" s="31" t="inlineStr">
        <x:is>
          <x:t xml:space="preserve">Комментарий смены 514</x:t>
        </x:is>
      </x:c>
    </x:row>
    <x:row r="485">
      <x:c r="A485" s="31" t="inlineStr">
        <x:is>
          <x:t xml:space="preserve">СМ-00515</x:t>
        </x:is>
      </x:c>
      <x:c r="B485" s="31" t="n">
        <x:v>46195</x:v>
      </x:c>
      <x:c r="C485" s="31" t="inlineStr">
        <x:is>
          <x:t xml:space="preserve">Ночь</x:t>
        </x:is>
      </x:c>
      <x:c r="D485" s="31" t="inlineStr">
        <x:is>
          <x:t xml:space="preserve">ПЗ-00131</x:t>
        </x:is>
      </x:c>
      <x:c r="E485" s="31" t="inlineStr">
        <x:is>
          <x:t xml:space="preserve">ОП-001094</x:t>
        </x:is>
      </x:c>
      <x:c r="F485" s="31" t="inlineStr">
        <x:is>
          <x:t xml:space="preserve">ОБ-030</x:t>
        </x:is>
      </x:c>
      <x:c r="G485" s="31" t="inlineStr">
        <x:is>
          <x:t xml:space="preserve">СОТР-040</x:t>
        </x:is>
      </x:c>
      <x:c r="H485" s="31" t="inlineStr">
        <x:is>
          <x:t xml:space="preserve">Механообработка</x:t>
        </x:is>
      </x:c>
      <x:c r="I485" s="31" t="n">
        <x:v>4</x:v>
      </x:c>
      <x:c r="J485" s="31" t="n">
        <x:v>3</x:v>
      </x:c>
      <x:c r="K485" s="31" t="n">
        <x:v>50</x:v>
      </x:c>
      <x:c r="L485" s="31" t="n">
        <x:v>45.1</x:v>
      </x:c>
      <x:c r="M485" s="31" t="n">
        <x:v>30</x:v>
      </x:c>
      <x:c r="N485" s="31" t="inlineStr">
        <x:is>
          <x:t xml:space="preserve">Ожидание материала</x:t>
        </x:is>
      </x:c>
      <x:c r="O485" s="31" t="inlineStr">
        <x:is>
          <x:t xml:space="preserve">Подтверждено мастером</x:t>
        </x:is>
      </x:c>
      <x:c r="P485" s="31" t="inlineStr">
        <x:is>
          <x:t xml:space="preserve">Комментарий смены 515</x:t>
        </x:is>
      </x:c>
    </x:row>
    <x:row r="486">
      <x:c r="A486" s="31" t="inlineStr">
        <x:is>
          <x:t xml:space="preserve">СМ-00516</x:t>
        </x:is>
      </x:c>
      <x:c r="B486" s="31" t="n">
        <x:v>46197</x:v>
      </x:c>
      <x:c r="C486" s="31" t="inlineStr">
        <x:is>
          <x:t xml:space="preserve">День</x:t>
        </x:is>
      </x:c>
      <x:c r="D486" s="31" t="inlineStr">
        <x:is>
          <x:t xml:space="preserve">ПЗ-00148</x:t>
        </x:is>
      </x:c>
      <x:c r="E486" s="31" t="inlineStr">
        <x:is>
          <x:t xml:space="preserve">ОП-001235</x:t>
        </x:is>
      </x:c>
      <x:c r="F486" s="31" t="inlineStr">
        <x:is>
          <x:t xml:space="preserve">ОБ-022</x:t>
        </x:is>
      </x:c>
      <x:c r="G486" s="31" t="inlineStr">
        <x:is>
          <x:t xml:space="preserve">СОТР-063</x:t>
        </x:is>
      </x:c>
      <x:c r="H486" s="31" t="inlineStr">
        <x:is>
          <x:t xml:space="preserve">ОТК</x:t>
        </x:is>
      </x:c>
      <x:c r="I486" s="31" t="n">
        <x:v>2</x:v>
      </x:c>
      <x:c r="J486" s="31" t="n">
        <x:v>2</x:v>
      </x:c>
      <x:c r="K486" s="31" t="n">
        <x:v>6.4</x:v>
      </x:c>
      <x:c r="L486" s="31" t="n">
        <x:v>6.5</x:v>
      </x:c>
      <x:c r="M486" s="31" t="n">
        <x:v>0</x:v>
      </x:c>
      <x:c r="N486" s="31" t="inlineStr">
        <x:is>
          <x:t xml:space="preserve">Нет</x:t>
        </x:is>
      </x:c>
      <x:c r="O486" s="31" t="inlineStr">
        <x:is>
          <x:t xml:space="preserve">Подтверждено мастером</x:t>
        </x:is>
      </x:c>
      <x:c r="P486" s="31" t="inlineStr">
        <x:is>
          <x:t xml:space="preserve">Комментарий смены 516</x:t>
        </x:is>
      </x:c>
    </x:row>
    <x:row r="487">
      <x:c r="A487" s="31" t="inlineStr">
        <x:is>
          <x:t xml:space="preserve">СМ-00517</x:t>
        </x:is>
      </x:c>
      <x:c r="B487" s="31" t="n">
        <x:v>46104</x:v>
      </x:c>
      <x:c r="C487" s="31" t="inlineStr">
        <x:is>
          <x:t xml:space="preserve">День</x:t>
        </x:is>
      </x:c>
      <x:c r="D487" s="31" t="inlineStr">
        <x:is>
          <x:t xml:space="preserve">ПЗ-00099</x:t>
        </x:is>
      </x:c>
      <x:c r="E487" s="31" t="inlineStr">
        <x:is>
          <x:t xml:space="preserve">ОП-000832</x:t>
        </x:is>
      </x:c>
      <x:c r="F487" s="31" t="inlineStr">
        <x:is>
          <x:t xml:space="preserve">ОБ-034</x:t>
        </x:is>
      </x:c>
      <x:c r="G487" s="31" t="inlineStr">
        <x:is>
          <x:t xml:space="preserve">СОТР-090</x:t>
        </x:is>
      </x:c>
      <x:c r="H487" s="31" t="inlineStr">
        <x:is>
          <x:t xml:space="preserve">Сборка</x:t>
        </x:is>
      </x:c>
      <x:c r="I487" s="31" t="n">
        <x:v>3</x:v>
      </x:c>
      <x:c r="J487" s="31" t="n">
        <x:v>2</x:v>
      </x:c>
      <x:c r="K487" s="31" t="n">
        <x:v>42.3</x:v>
      </x:c>
      <x:c r="L487" s="31" t="n">
        <x:v>41.2</x:v>
      </x:c>
      <x:c r="M487" s="31" t="n">
        <x:v>60</x:v>
      </x:c>
      <x:c r="N487" s="31" t="inlineStr">
        <x:is>
          <x:t xml:space="preserve">Ожидание ОТК</x:t>
        </x:is>
      </x:c>
      <x:c r="O487" s="31" t="inlineStr">
        <x:is>
          <x:t xml:space="preserve">Подтверждено мастером</x:t>
        </x:is>
      </x:c>
      <x:c r="P487" s="31" t="inlineStr">
        <x:is>
          <x:t xml:space="preserve">Комментарий смены 517</x:t>
        </x:is>
      </x:c>
    </x:row>
    <x:row r="488">
      <x:c r="A488" s="31" t="inlineStr">
        <x:is>
          <x:t xml:space="preserve">СМ-00518</x:t>
        </x:is>
      </x:c>
      <x:c r="B488" s="31" t="n">
        <x:v>46198</x:v>
      </x:c>
      <x:c r="C488" s="31" t="inlineStr">
        <x:is>
          <x:t xml:space="preserve">Ночь</x:t>
        </x:is>
      </x:c>
      <x:c r="D488" s="31" t="inlineStr">
        <x:is>
          <x:t xml:space="preserve">ПЗ-00159</x:t>
        </x:is>
      </x:c>
      <x:c r="E488" s="31" t="inlineStr">
        <x:is>
          <x:t xml:space="preserve">ОП-001319</x:t>
        </x:is>
      </x:c>
      <x:c r="F488" s="31" t="inlineStr">
        <x:is>
          <x:t xml:space="preserve">ОБ-028</x:t>
        </x:is>
      </x:c>
      <x:c r="G488" s="31" t="inlineStr">
        <x:is>
          <x:t xml:space="preserve">СОТР-098</x:t>
        </x:is>
      </x:c>
      <x:c r="H488" s="31" t="inlineStr">
        <x:is>
          <x:t xml:space="preserve">ОТК</x:t>
        </x:is>
      </x:c>
      <x:c r="I488" s="31" t="n">
        <x:v>2</x:v>
      </x:c>
      <x:c r="J488" s="31" t="n">
        <x:v>1</x:v>
      </x:c>
      <x:c r="K488" s="31" t="n">
        <x:v>13.2</x:v>
      </x:c>
      <x:c r="L488" s="31" t="n">
        <x:v>17.2</x:v>
      </x:c>
      <x:c r="M488" s="31" t="n">
        <x:v>120</x:v>
      </x:c>
      <x:c r="N488" s="31" t="inlineStr">
        <x:is>
          <x:t xml:space="preserve">Ожидание материала</x:t>
        </x:is>
      </x:c>
      <x:c r="O488" s="31" t="inlineStr">
        <x:is>
          <x:t xml:space="preserve">Подтверждено мастером</x:t>
        </x:is>
      </x:c>
      <x:c r="P488" s="31" t="inlineStr">
        <x:is>
          <x:t xml:space="preserve">Комментарий смены 518</x:t>
        </x:is>
      </x:c>
    </x:row>
    <x:row r="489">
      <x:c r="A489" s="31" t="inlineStr">
        <x:is>
          <x:t xml:space="preserve">СМ-00519</x:t>
        </x:is>
      </x:c>
      <x:c r="B489" s="31" t="n">
        <x:v>46202</x:v>
      </x:c>
      <x:c r="C489" s="31" t="inlineStr">
        <x:is>
          <x:t xml:space="preserve">Ночь</x:t>
        </x:is>
      </x:c>
      <x:c r="D489" s="31" t="inlineStr">
        <x:is>
          <x:t xml:space="preserve">ПЗ-00080</x:t>
        </x:is>
      </x:c>
      <x:c r="E489" s="31" t="inlineStr">
        <x:is>
          <x:t xml:space="preserve">ОП-000681</x:t>
        </x:is>
      </x:c>
      <x:c r="F489" s="31" t="inlineStr">
        <x:is>
          <x:t xml:space="preserve">ОБ-005</x:t>
        </x:is>
      </x:c>
      <x:c r="G489" s="31" t="inlineStr">
        <x:is>
          <x:t xml:space="preserve">СОТР-079</x:t>
        </x:is>
      </x:c>
      <x:c r="H489" s="31" t="inlineStr">
        <x:is>
          <x:t xml:space="preserve">Сборка</x:t>
        </x:is>
      </x:c>
      <x:c r="I489" s="31" t="n">
        <x:v>1</x:v>
      </x:c>
      <x:c r="J489" s="31" t="n">
        <x:v>2</x:v>
      </x:c>
      <x:c r="K489" s="31" t="n">
        <x:v>30.2</x:v>
      </x:c>
      <x:c r="L489" s="31" t="n">
        <x:v>23.7</x:v>
      </x:c>
      <x:c r="M489" s="31" t="n">
        <x:v>30</x:v>
      </x:c>
      <x:c r="N489" s="31" t="inlineStr">
        <x:is>
          <x:t xml:space="preserve">Ожидание ОТК</x:t>
        </x:is>
      </x:c>
      <x:c r="O489" s="31" t="inlineStr">
        <x:is>
          <x:t xml:space="preserve">Закрыто</x:t>
        </x:is>
      </x:c>
      <x:c r="P489" s="31" t="inlineStr">
        <x:is>
          <x:t xml:space="preserve">Комментарий смены 519</x:t>
        </x:is>
      </x:c>
    </x:row>
    <x:row r="490">
      <x:c r="A490" s="31" t="inlineStr">
        <x:is>
          <x:t xml:space="preserve">СМ-00520</x:t>
        </x:is>
      </x:c>
      <x:c r="B490" s="31" t="n">
        <x:v>46129</x:v>
      </x:c>
      <x:c r="C490" s="31" t="inlineStr">
        <x:is>
          <x:t xml:space="preserve">Вечер</x:t>
        </x:is>
      </x:c>
      <x:c r="D490" s="31" t="inlineStr">
        <x:is>
          <x:t xml:space="preserve">ПЗ-00071</x:t>
        </x:is>
      </x:c>
      <x:c r="E490" s="31" t="inlineStr">
        <x:is>
          <x:t xml:space="preserve">ОП-000605</x:t>
        </x:is>
      </x:c>
      <x:c r="F490" s="31" t="inlineStr">
        <x:is>
          <x:t xml:space="preserve">ОБ-003</x:t>
        </x:is>
      </x:c>
      <x:c r="G490" s="31" t="inlineStr">
        <x:is>
          <x:t xml:space="preserve">СОТР-057</x:t>
        </x:is>
      </x:c>
      <x:c r="H490" s="31" t="inlineStr">
        <x:is>
          <x:t xml:space="preserve">Сварка</x:t>
        </x:is>
      </x:c>
      <x:c r="I490" s="31" t="n">
        <x:v>2</x:v>
      </x:c>
      <x:c r="J490" s="31" t="n">
        <x:v>3</x:v>
      </x:c>
      <x:c r="K490" s="31" t="n">
        <x:v>9.6</x:v>
      </x:c>
      <x:c r="L490" s="31" t="n">
        <x:v>12.6</x:v>
      </x:c>
      <x:c r="M490" s="31" t="n">
        <x:v>15</x:v>
      </x:c>
      <x:c r="N490" s="31" t="inlineStr">
        <x:is>
          <x:t xml:space="preserve">Ожидание ОТК</x:t>
        </x:is>
      </x:c>
      <x:c r="O490" s="31" t="inlineStr">
        <x:is>
          <x:t xml:space="preserve">Закрыто</x:t>
        </x:is>
      </x:c>
      <x:c r="P490" s="31" t="inlineStr">
        <x:is>
          <x:t xml:space="preserve">Комментарий смены 520</x:t>
        </x:is>
      </x:c>
    </x:row>
    <x:row r="491">
      <x:c r="A491" s="31" t="inlineStr">
        <x:is>
          <x:t xml:space="preserve">СМ-00521</x:t>
        </x:is>
      </x:c>
      <x:c r="B491" s="31" t="n">
        <x:v>46111</x:v>
      </x:c>
      <x:c r="C491" s="31" t="inlineStr">
        <x:is>
          <x:t xml:space="preserve">Вечер</x:t>
        </x:is>
      </x:c>
      <x:c r="D491" s="31" t="inlineStr">
        <x:is>
          <x:t xml:space="preserve">ПЗ-00099</x:t>
        </x:is>
      </x:c>
      <x:c r="E491" s="31" t="inlineStr">
        <x:is>
          <x:t xml:space="preserve">ОП-000834</x:t>
        </x:is>
      </x:c>
      <x:c r="F491" s="31" t="n"/>
      <x:c r="G491" s="31" t="inlineStr">
        <x:is>
          <x:t xml:space="preserve">СОТР-015</x:t>
        </x:is>
      </x:c>
      <x:c r="H491" s="31" t="inlineStr">
        <x:is>
          <x:t xml:space="preserve">Инженерный отдел</x:t>
        </x:is>
      </x:c>
      <x:c r="I491" s="31" t="n">
        <x:v>2</x:v>
      </x:c>
      <x:c r="J491" s="31" t="n">
        <x:v>2</x:v>
      </x:c>
      <x:c r="K491" s="31" t="n">
        <x:v>41.7</x:v>
      </x:c>
      <x:c r="L491" s="31" t="n">
        <x:v>39.3</x:v>
      </x:c>
      <x:c r="M491" s="31" t="n">
        <x:v>15</x:v>
      </x:c>
      <x:c r="N491" s="31" t="inlineStr">
        <x:is>
          <x:t xml:space="preserve">Нет оператора</x:t>
        </x:is>
      </x:c>
      <x:c r="O491" s="31" t="inlineStr">
        <x:is>
          <x:t xml:space="preserve">Черновик</x:t>
        </x:is>
      </x:c>
      <x:c r="P491" s="31" t="inlineStr">
        <x:is>
          <x:t xml:space="preserve">Комментарий смены 521</x:t>
        </x:is>
      </x:c>
    </x:row>
    <x:row r="492">
      <x:c r="A492" s="31" t="inlineStr">
        <x:is>
          <x:t xml:space="preserve">СМ-00522</x:t>
        </x:is>
      </x:c>
      <x:c r="B492" s="31" t="n">
        <x:v>46116</x:v>
      </x:c>
      <x:c r="C492" s="31" t="inlineStr">
        <x:is>
          <x:t xml:space="preserve">День</x:t>
        </x:is>
      </x:c>
      <x:c r="D492" s="31" t="inlineStr">
        <x:is>
          <x:t xml:space="preserve">ПЗ-00193</x:t>
        </x:is>
      </x:c>
      <x:c r="E492" s="31" t="inlineStr">
        <x:is>
          <x:t xml:space="preserve">ОП-001612</x:t>
        </x:is>
      </x:c>
      <x:c r="F492" s="31" t="inlineStr">
        <x:is>
          <x:t xml:space="preserve">ОБ-003</x:t>
        </x:is>
      </x:c>
      <x:c r="G492" s="31" t="inlineStr">
        <x:is>
          <x:t xml:space="preserve">СОТР-060</x:t>
        </x:is>
      </x:c>
      <x:c r="H492" s="31" t="inlineStr">
        <x:is>
          <x:t xml:space="preserve">Сварка</x:t>
        </x:is>
      </x:c>
      <x:c r="I492" s="31" t="n">
        <x:v>4</x:v>
      </x:c>
      <x:c r="J492" s="31" t="n">
        <x:v>4</x:v>
      </x:c>
      <x:c r="K492" s="31" t="n">
        <x:v>19.6</x:v>
      </x:c>
      <x:c r="L492" s="31" t="n">
        <x:v>25.8</x:v>
      </x:c>
      <x:c r="M492" s="31" t="n">
        <x:v>60</x:v>
      </x:c>
      <x:c r="N492" s="31" t="inlineStr">
        <x:is>
          <x:t xml:space="preserve">Ожидание ОТК</x:t>
        </x:is>
      </x:c>
      <x:c r="O492" s="31" t="inlineStr">
        <x:is>
          <x:t xml:space="preserve">Спорный факт</x:t>
        </x:is>
      </x:c>
      <x:c r="P492" s="31" t="inlineStr">
        <x:is>
          <x:t xml:space="preserve">Комментарий смены 522</x:t>
        </x:is>
      </x:c>
    </x:row>
    <x:row r="493">
      <x:c r="A493" s="31" t="inlineStr">
        <x:is>
          <x:t xml:space="preserve">СМ-00523</x:t>
        </x:is>
      </x:c>
      <x:c r="B493" s="31" t="n">
        <x:v>46095</x:v>
      </x:c>
      <x:c r="C493" s="31" t="inlineStr">
        <x:is>
          <x:t xml:space="preserve">День</x:t>
        </x:is>
      </x:c>
      <x:c r="D493" s="31" t="inlineStr">
        <x:is>
          <x:t xml:space="preserve">ПЗ-00023</x:t>
        </x:is>
      </x:c>
      <x:c r="E493" s="31" t="inlineStr">
        <x:is>
          <x:t xml:space="preserve">ОП-000194</x:t>
        </x:is>
      </x:c>
      <x:c r="F493" s="31" t="inlineStr">
        <x:is>
          <x:t xml:space="preserve">ОБ-021</x:t>
        </x:is>
      </x:c>
      <x:c r="G493" s="31" t="inlineStr">
        <x:is>
          <x:t xml:space="preserve">СОТР-056</x:t>
        </x:is>
      </x:c>
      <x:c r="H493" s="31" t="inlineStr">
        <x:is>
          <x:t xml:space="preserve">Сварка</x:t>
        </x:is>
      </x:c>
      <x:c r="I493" s="31" t="n">
        <x:v>1</x:v>
      </x:c>
      <x:c r="J493" s="31" t="n">
        <x:v>1</x:v>
      </x:c>
      <x:c r="K493" s="31" t="n">
        <x:v>2.9</x:v>
      </x:c>
      <x:c r="L493" s="31" t="n">
        <x:v>3.1</x:v>
      </x:c>
      <x:c r="M493" s="31" t="n">
        <x:v>90</x:v>
      </x:c>
      <x:c r="N493" s="31" t="inlineStr">
        <x:is>
          <x:t xml:space="preserve">Ожидание материала</x:t>
        </x:is>
      </x:c>
      <x:c r="O493" s="31" t="inlineStr">
        <x:is>
          <x:t xml:space="preserve">Подтверждено мастером</x:t>
        </x:is>
      </x:c>
      <x:c r="P493" s="31" t="inlineStr">
        <x:is>
          <x:t xml:space="preserve">Комментарий смены 523</x:t>
        </x:is>
      </x:c>
    </x:row>
    <x:row r="494">
      <x:c r="A494" s="31" t="inlineStr">
        <x:is>
          <x:t xml:space="preserve">СМ-00524</x:t>
        </x:is>
      </x:c>
      <x:c r="B494" s="31" t="n">
        <x:v>46122</x:v>
      </x:c>
      <x:c r="C494" s="31" t="inlineStr">
        <x:is>
          <x:t xml:space="preserve">Ночь</x:t>
        </x:is>
      </x:c>
      <x:c r="D494" s="31" t="inlineStr">
        <x:is>
          <x:t xml:space="preserve">ПЗ-00238</x:t>
        </x:is>
      </x:c>
      <x:c r="E494" s="31" t="inlineStr">
        <x:is>
          <x:t xml:space="preserve">ОП-001988</x:t>
        </x:is>
      </x:c>
      <x:c r="F494" s="31" t="inlineStr">
        <x:is>
          <x:t xml:space="preserve">ОБ-023</x:t>
        </x:is>
      </x:c>
      <x:c r="G494" s="31" t="inlineStr">
        <x:is>
          <x:t xml:space="preserve">СОТР-024</x:t>
        </x:is>
      </x:c>
      <x:c r="H494" s="31" t="inlineStr">
        <x:is>
          <x:t xml:space="preserve">Склад</x:t>
        </x:is>
      </x:c>
      <x:c r="I494" s="31" t="n">
        <x:v>5</x:v>
      </x:c>
      <x:c r="J494" s="31" t="n">
        <x:v>5</x:v>
      </x:c>
      <x:c r="K494" s="31" t="n">
        <x:v>88.5</x:v>
      </x:c>
      <x:c r="L494" s="31" t="n">
        <x:v>96.40000000000001</x:v>
      </x:c>
      <x:c r="M494" s="31" t="n">
        <x:v>60</x:v>
      </x:c>
      <x:c r="N494" s="31" t="inlineStr">
        <x:is>
          <x:t xml:space="preserve">Ожидание ОТК</x:t>
        </x:is>
      </x:c>
      <x:c r="O494" s="31" t="inlineStr">
        <x:is>
          <x:t xml:space="preserve">Подтверждено мастером</x:t>
        </x:is>
      </x:c>
      <x:c r="P494" s="31" t="inlineStr">
        <x:is>
          <x:t xml:space="preserve">Комментарий смены 524</x:t>
        </x:is>
      </x:c>
    </x:row>
    <x:row r="495">
      <x:c r="A495" s="31" t="inlineStr">
        <x:is>
          <x:t xml:space="preserve">СМ-00525</x:t>
        </x:is>
      </x:c>
      <x:c r="B495" s="31" t="n">
        <x:v>46145</x:v>
      </x:c>
      <x:c r="C495" s="31" t="inlineStr">
        <x:is>
          <x:t xml:space="preserve">День</x:t>
        </x:is>
      </x:c>
      <x:c r="D495" s="31" t="inlineStr">
        <x:is>
          <x:t xml:space="preserve">ПЗ-00077</x:t>
        </x:is>
      </x:c>
      <x:c r="E495" s="31" t="inlineStr">
        <x:is>
          <x:t xml:space="preserve">ОП-000660</x:t>
        </x:is>
      </x:c>
      <x:c r="F495" s="31" t="n"/>
      <x:c r="G495" s="31" t="inlineStr">
        <x:is>
          <x:t xml:space="preserve">СОТР-102</x:t>
        </x:is>
      </x:c>
      <x:c r="H495" s="31" t="inlineStr">
        <x:is>
          <x:t xml:space="preserve">Логистика</x:t>
        </x:is>
      </x:c>
      <x:c r="I495" s="31" t="n">
        <x:v>2</x:v>
      </x:c>
      <x:c r="J495" s="31" t="n">
        <x:v>0</x:v>
      </x:c>
      <x:c r="K495" s="31" t="n">
        <x:v>17.8</x:v>
      </x:c>
      <x:c r="L495" s="31" t="n">
        <x:v>15.8</x:v>
      </x:c>
      <x:c r="M495" s="31" t="n">
        <x:v>15</x:v>
      </x:c>
      <x:c r="N495" s="31" t="inlineStr">
        <x:is>
          <x:t xml:space="preserve">Нет оператора</x:t>
        </x:is>
      </x:c>
      <x:c r="O495" s="31" t="inlineStr">
        <x:is>
          <x:t xml:space="preserve">Подтверждено мастером</x:t>
        </x:is>
      </x:c>
      <x:c r="P495" s="31" t="inlineStr">
        <x:is>
          <x:t xml:space="preserve">Комментарий смены 525</x:t>
        </x:is>
      </x:c>
    </x:row>
    <x:row r="496">
      <x:c r="A496" s="31" t="inlineStr">
        <x:is>
          <x:t xml:space="preserve">СМ-00526</x:t>
        </x:is>
      </x:c>
      <x:c r="B496" s="31" t="n">
        <x:v>46086</x:v>
      </x:c>
      <x:c r="C496" s="31" t="inlineStr">
        <x:is>
          <x:t xml:space="preserve">День</x:t>
        </x:is>
      </x:c>
      <x:c r="D496" s="31" t="inlineStr">
        <x:is>
          <x:t xml:space="preserve">ПЗ-00056</x:t>
        </x:is>
      </x:c>
      <x:c r="E496" s="31" t="inlineStr">
        <x:is>
          <x:t xml:space="preserve">ОП-000463</x:t>
        </x:is>
      </x:c>
      <x:c r="F496" s="31" t="n"/>
      <x:c r="G496" s="31" t="inlineStr">
        <x:is>
          <x:t xml:space="preserve">СОТР-020</x:t>
        </x:is>
      </x:c>
      <x:c r="H496" s="31" t="inlineStr">
        <x:is>
          <x:t xml:space="preserve">Инженерный отдел</x:t>
        </x:is>
      </x:c>
      <x:c r="I496" s="31" t="n">
        <x:v>2</x:v>
      </x:c>
      <x:c r="J496" s="31" t="n">
        <x:v>2</x:v>
      </x:c>
      <x:c r="K496" s="31" t="n">
        <x:v>23.1</x:v>
      </x:c>
      <x:c r="L496" s="31" t="n">
        <x:v>27.2</x:v>
      </x:c>
      <x:c r="M496" s="31" t="n">
        <x:v>60</x:v>
      </x:c>
      <x:c r="N496" s="31" t="inlineStr">
        <x:is>
          <x:t xml:space="preserve">Ожидание материала</x:t>
        </x:is>
      </x:c>
      <x:c r="O496" s="31" t="inlineStr">
        <x:is>
          <x:t xml:space="preserve">Подтверждено мастером</x:t>
        </x:is>
      </x:c>
      <x:c r="P496" s="31" t="inlineStr">
        <x:is>
          <x:t xml:space="preserve">Комментарий смены 526</x:t>
        </x:is>
      </x:c>
    </x:row>
    <x:row r="497">
      <x:c r="A497" s="31" t="inlineStr">
        <x:is>
          <x:t xml:space="preserve">СМ-00527</x:t>
        </x:is>
      </x:c>
      <x:c r="B497" s="31" t="n">
        <x:v>46093</x:v>
      </x:c>
      <x:c r="C497" s="31" t="inlineStr">
        <x:is>
          <x:t xml:space="preserve">День</x:t>
        </x:is>
      </x:c>
      <x:c r="D497" s="31" t="inlineStr">
        <x:is>
          <x:t xml:space="preserve">ПЗ-00097</x:t>
        </x:is>
      </x:c>
      <x:c r="E497" s="31" t="inlineStr">
        <x:is>
          <x:t xml:space="preserve">ОП-000812</x:t>
        </x:is>
      </x:c>
      <x:c r="F497" s="31" t="n"/>
      <x:c r="G497" s="31" t="inlineStr">
        <x:is>
          <x:t xml:space="preserve">СОТР-017</x:t>
        </x:is>
      </x:c>
      <x:c r="H497" s="31" t="inlineStr">
        <x:is>
          <x:t xml:space="preserve">Инженерный отдел</x:t>
        </x:is>
      </x:c>
      <x:c r="I497" s="31" t="n">
        <x:v>3</x:v>
      </x:c>
      <x:c r="J497" s="31" t="n">
        <x:v>4</x:v>
      </x:c>
      <x:c r="K497" s="31" t="n">
        <x:v>22</x:v>
      </x:c>
      <x:c r="L497" s="31" t="n">
        <x:v>22.6</x:v>
      </x:c>
      <x:c r="M497" s="31" t="n">
        <x:v>120</x:v>
      </x:c>
      <x:c r="N497" s="31" t="inlineStr">
        <x:is>
          <x:t xml:space="preserve">Ожидание материала</x:t>
        </x:is>
      </x:c>
      <x:c r="O497" s="31" t="inlineStr">
        <x:is>
          <x:t xml:space="preserve">Подтверждено мастером</x:t>
        </x:is>
      </x:c>
      <x:c r="P497" s="31" t="inlineStr">
        <x:is>
          <x:t xml:space="preserve">Комментарий смены 527</x:t>
        </x:is>
      </x:c>
    </x:row>
    <x:row r="498">
      <x:c r="A498" s="31" t="inlineStr">
        <x:is>
          <x:t xml:space="preserve">СМ-00528</x:t>
        </x:is>
      </x:c>
      <x:c r="B498" s="31" t="n">
        <x:v>46170</x:v>
      </x:c>
      <x:c r="C498" s="31" t="inlineStr">
        <x:is>
          <x:t xml:space="preserve">День</x:t>
        </x:is>
      </x:c>
      <x:c r="D498" s="31" t="inlineStr">
        <x:is>
          <x:t xml:space="preserve">ПЗ-00241</x:t>
        </x:is>
      </x:c>
      <x:c r="E498" s="31" t="inlineStr">
        <x:is>
          <x:t xml:space="preserve">ОП-002021</x:t>
        </x:is>
      </x:c>
      <x:c r="F498" s="31" t="inlineStr">
        <x:is>
          <x:t xml:space="preserve">ОБ-024</x:t>
        </x:is>
      </x:c>
      <x:c r="G498" s="31" t="inlineStr">
        <x:is>
          <x:t xml:space="preserve">СОТР-097</x:t>
        </x:is>
      </x:c>
      <x:c r="H498" s="31" t="inlineStr">
        <x:is>
          <x:t xml:space="preserve">ОТК</x:t>
        </x:is>
      </x:c>
      <x:c r="I498" s="31" t="n">
        <x:v>1</x:v>
      </x:c>
      <x:c r="J498" s="31" t="n">
        <x:v>1</x:v>
      </x:c>
      <x:c r="K498" s="31" t="n">
        <x:v>8.300000000000001</x:v>
      </x:c>
      <x:c r="L498" s="31" t="n">
        <x:v>9.699999999999999</x:v>
      </x:c>
      <x:c r="M498" s="31" t="n">
        <x:v>60</x:v>
      </x:c>
      <x:c r="N498" s="31" t="inlineStr">
        <x:is>
          <x:t xml:space="preserve">Ожидание ОТК</x:t>
        </x:is>
      </x:c>
      <x:c r="O498" s="31" t="inlineStr">
        <x:is>
          <x:t xml:space="preserve">Подтверждено мастером</x:t>
        </x:is>
      </x:c>
      <x:c r="P498" s="31" t="inlineStr">
        <x:is>
          <x:t xml:space="preserve">Комментарий смены 528</x:t>
        </x:is>
      </x:c>
    </x:row>
    <x:row r="499">
      <x:c r="A499" s="31" t="inlineStr">
        <x:is>
          <x:t xml:space="preserve">СМ-00529</x:t>
        </x:is>
      </x:c>
      <x:c r="B499" s="31" t="n">
        <x:v>46039</x:v>
      </x:c>
      <x:c r="C499" s="31" t="inlineStr">
        <x:is>
          <x:t xml:space="preserve">Вечер</x:t>
        </x:is>
      </x:c>
      <x:c r="D499" s="31" t="inlineStr">
        <x:is>
          <x:t xml:space="preserve">ПЗ-00095</x:t>
        </x:is>
      </x:c>
      <x:c r="E499" s="31" t="inlineStr">
        <x:is>
          <x:t xml:space="preserve">ОП-000796</x:t>
        </x:is>
      </x:c>
      <x:c r="F499" s="31" t="n"/>
      <x:c r="G499" s="31" t="inlineStr">
        <x:is>
          <x:t xml:space="preserve">СОТР-020</x:t>
        </x:is>
      </x:c>
      <x:c r="H499" s="31" t="inlineStr">
        <x:is>
          <x:t xml:space="preserve">Инженерный отдел</x:t>
        </x:is>
      </x:c>
      <x:c r="I499" s="31" t="n">
        <x:v>1</x:v>
      </x:c>
      <x:c r="J499" s="31" t="n">
        <x:v>1</x:v>
      </x:c>
      <x:c r="K499" s="31" t="n">
        <x:v>15.3</x:v>
      </x:c>
      <x:c r="L499" s="31" t="n">
        <x:v>15.2</x:v>
      </x:c>
      <x:c r="M499" s="31" t="n">
        <x:v>90</x:v>
      </x:c>
      <x:c r="N499" s="31" t="inlineStr">
        <x:is>
          <x:t xml:space="preserve">Переналадка</x:t>
        </x:is>
      </x:c>
      <x:c r="O499" s="31" t="inlineStr">
        <x:is>
          <x:t xml:space="preserve">Подтверждено мастером</x:t>
        </x:is>
      </x:c>
      <x:c r="P499" s="31" t="inlineStr">
        <x:is>
          <x:t xml:space="preserve">Комментарий смены 529</x:t>
        </x:is>
      </x:c>
    </x:row>
    <x:row r="500">
      <x:c r="A500" s="31" t="inlineStr">
        <x:is>
          <x:t xml:space="preserve">СМ-00530</x:t>
        </x:is>
      </x:c>
      <x:c r="B500" s="31" t="n">
        <x:v>46192</x:v>
      </x:c>
      <x:c r="C500" s="31" t="inlineStr">
        <x:is>
          <x:t xml:space="preserve">День</x:t>
        </x:is>
      </x:c>
      <x:c r="D500" s="31" t="inlineStr">
        <x:is>
          <x:t xml:space="preserve">ПЗ-00206</x:t>
        </x:is>
      </x:c>
      <x:c r="E500" s="31" t="inlineStr">
        <x:is>
          <x:t xml:space="preserve">ОП-001730</x:t>
        </x:is>
      </x:c>
      <x:c r="F500" s="31" t="inlineStr">
        <x:is>
          <x:t xml:space="preserve">ОБ-001</x:t>
        </x:is>
      </x:c>
      <x:c r="G500" s="31" t="inlineStr">
        <x:is>
          <x:t xml:space="preserve">СОТР-099</x:t>
        </x:is>
      </x:c>
      <x:c r="H500" s="31" t="inlineStr">
        <x:is>
          <x:t xml:space="preserve">ОТК</x:t>
        </x:is>
      </x:c>
      <x:c r="I500" s="31" t="n">
        <x:v>5</x:v>
      </x:c>
      <x:c r="J500" s="31" t="n">
        <x:v>5</x:v>
      </x:c>
      <x:c r="K500" s="31" t="n">
        <x:v>109.5</x:v>
      </x:c>
      <x:c r="L500" s="31" t="n">
        <x:v>88.8</x:v>
      </x:c>
      <x:c r="M500" s="31" t="n">
        <x:v>45</x:v>
      </x:c>
      <x:c r="N500" s="31" t="inlineStr">
        <x:is>
          <x:t xml:space="preserve">Ремонт оборудования</x:t>
        </x:is>
      </x:c>
      <x:c r="O500" s="31" t="inlineStr">
        <x:is>
          <x:t xml:space="preserve">Подтверждено мастером</x:t>
        </x:is>
      </x:c>
      <x:c r="P500" s="31" t="inlineStr">
        <x:is>
          <x:t xml:space="preserve">Комментарий смены 530</x:t>
        </x:is>
      </x:c>
    </x:row>
    <x:row r="501">
      <x:c r="A501" s="31" t="inlineStr">
        <x:is>
          <x:t xml:space="preserve">СМ-00531</x:t>
        </x:is>
      </x:c>
      <x:c r="B501" s="31" t="n">
        <x:v>46146</x:v>
      </x:c>
      <x:c r="C501" s="31" t="inlineStr">
        <x:is>
          <x:t xml:space="preserve">День</x:t>
        </x:is>
      </x:c>
      <x:c r="D501" s="31" t="inlineStr">
        <x:is>
          <x:t xml:space="preserve">ПЗ-00006</x:t>
        </x:is>
      </x:c>
      <x:c r="E501" s="31" t="inlineStr">
        <x:is>
          <x:t xml:space="preserve">ОП-000044</x:t>
        </x:is>
      </x:c>
      <x:c r="F501" s="31" t="inlineStr">
        <x:is>
          <x:t xml:space="preserve">ОБ-014</x:t>
        </x:is>
      </x:c>
      <x:c r="G501" s="31" t="inlineStr">
        <x:is>
          <x:t xml:space="preserve">СОТР-090</x:t>
        </x:is>
      </x:c>
      <x:c r="H501" s="31" t="inlineStr">
        <x:is>
          <x:t xml:space="preserve">Сборка</x:t>
        </x:is>
      </x:c>
      <x:c r="I501" s="31" t="n">
        <x:v>4</x:v>
      </x:c>
      <x:c r="J501" s="31" t="n">
        <x:v>0</x:v>
      </x:c>
      <x:c r="K501" s="31" t="n">
        <x:v>6.8</x:v>
      </x:c>
      <x:c r="L501" s="31" t="n">
        <x:v>5.5</x:v>
      </x:c>
      <x:c r="M501" s="31" t="n">
        <x:v>15</x:v>
      </x:c>
      <x:c r="N501" s="31" t="inlineStr">
        <x:is>
          <x:t xml:space="preserve">Нет оператора</x:t>
        </x:is>
      </x:c>
      <x:c r="O501" s="31" t="inlineStr">
        <x:is>
          <x:t xml:space="preserve">Подтверждено мастером</x:t>
        </x:is>
      </x:c>
      <x:c r="P501" s="31" t="inlineStr">
        <x:is>
          <x:t xml:space="preserve">Комментарий смены 531</x:t>
        </x:is>
      </x:c>
    </x:row>
    <x:row r="502">
      <x:c r="A502" s="31" t="inlineStr">
        <x:is>
          <x:t xml:space="preserve">СМ-00533</x:t>
        </x:is>
      </x:c>
      <x:c r="B502" s="31" t="n">
        <x:v>46129</x:v>
      </x:c>
      <x:c r="C502" s="31" t="inlineStr">
        <x:is>
          <x:t xml:space="preserve">День</x:t>
        </x:is>
      </x:c>
      <x:c r="D502" s="31" t="inlineStr">
        <x:is>
          <x:t xml:space="preserve">ПЗ-00263</x:t>
        </x:is>
      </x:c>
      <x:c r="E502" s="31" t="inlineStr">
        <x:is>
          <x:t xml:space="preserve">ОП-002188</x:t>
        </x:is>
      </x:c>
      <x:c r="F502" s="31" t="inlineStr">
        <x:is>
          <x:t xml:space="preserve">ОБ-008</x:t>
        </x:is>
      </x:c>
      <x:c r="G502" s="31" t="inlineStr">
        <x:is>
          <x:t xml:space="preserve">СОТР-024</x:t>
        </x:is>
      </x:c>
      <x:c r="H502" s="31" t="inlineStr">
        <x:is>
          <x:t xml:space="preserve">Склад</x:t>
        </x:is>
      </x:c>
      <x:c r="I502" s="31" t="n">
        <x:v>1</x:v>
      </x:c>
      <x:c r="J502" s="31" t="n">
        <x:v>1</x:v>
      </x:c>
      <x:c r="K502" s="31" t="n">
        <x:v>4.9</x:v>
      </x:c>
      <x:c r="L502" s="31" t="n">
        <x:v>4.4</x:v>
      </x:c>
      <x:c r="M502" s="31" t="n">
        <x:v>0</x:v>
      </x:c>
      <x:c r="N502" s="31" t="inlineStr">
        <x:is>
          <x:t xml:space="preserve">Нет</x:t>
        </x:is>
      </x:c>
      <x:c r="O502" s="31" t="inlineStr">
        <x:is>
          <x:t xml:space="preserve">Закрыто</x:t>
        </x:is>
      </x:c>
      <x:c r="P502" s="31" t="inlineStr">
        <x:is>
          <x:t xml:space="preserve">Комментарий смены 533</x:t>
        </x:is>
      </x:c>
    </x:row>
    <x:row r="503">
      <x:c r="A503" s="31" t="inlineStr">
        <x:is>
          <x:t xml:space="preserve">СМ-00534</x:t>
        </x:is>
      </x:c>
      <x:c r="B503" s="31" t="n">
        <x:v>46121</x:v>
      </x:c>
      <x:c r="C503" s="31" t="inlineStr">
        <x:is>
          <x:t xml:space="preserve">День</x:t>
        </x:is>
      </x:c>
      <x:c r="D503" s="31" t="inlineStr">
        <x:is>
          <x:t xml:space="preserve">ПЗ-00108</x:t>
        </x:is>
      </x:c>
      <x:c r="E503" s="31" t="inlineStr">
        <x:is>
          <x:t xml:space="preserve">ОП-000903</x:t>
        </x:is>
      </x:c>
      <x:c r="F503" s="31" t="inlineStr">
        <x:is>
          <x:t xml:space="preserve">ОБ-005</x:t>
        </x:is>
      </x:c>
      <x:c r="G503" s="31" t="inlineStr">
        <x:is>
          <x:t xml:space="preserve">СОТР-090</x:t>
        </x:is>
      </x:c>
      <x:c r="H503" s="31" t="inlineStr">
        <x:is>
          <x:t xml:space="preserve">Сборка</x:t>
        </x:is>
      </x:c>
      <x:c r="I503" s="31" t="n">
        <x:v>1</x:v>
      </x:c>
      <x:c r="J503" s="31" t="n">
        <x:v>1</x:v>
      </x:c>
      <x:c r="K503" s="31" t="n">
        <x:v>6.3</x:v>
      </x:c>
      <x:c r="L503" s="31" t="n">
        <x:v>5.1</x:v>
      </x:c>
      <x:c r="M503" s="31" t="n">
        <x:v>0</x:v>
      </x:c>
      <x:c r="N503" s="31" t="inlineStr">
        <x:is>
          <x:t xml:space="preserve">Нет</x:t>
        </x:is>
      </x:c>
      <x:c r="O503" s="31" t="inlineStr">
        <x:is>
          <x:t xml:space="preserve">Подтверждено мастером</x:t>
        </x:is>
      </x:c>
      <x:c r="P503" s="31" t="inlineStr">
        <x:is>
          <x:t xml:space="preserve">Комментарий смены 534</x:t>
        </x:is>
      </x:c>
    </x:row>
    <x:row r="504">
      <x:c r="A504" s="31" t="inlineStr">
        <x:is>
          <x:t xml:space="preserve">СМ-00535</x:t>
        </x:is>
      </x:c>
      <x:c r="B504" s="31" t="n">
        <x:v>46133</x:v>
      </x:c>
      <x:c r="C504" s="31" t="inlineStr">
        <x:is>
          <x:t xml:space="preserve">День</x:t>
        </x:is>
      </x:c>
      <x:c r="D504" s="31" t="inlineStr">
        <x:is>
          <x:t xml:space="preserve">ПЗ-00070</x:t>
        </x:is>
      </x:c>
      <x:c r="E504" s="31" t="inlineStr">
        <x:is>
          <x:t xml:space="preserve">ОП-000596</x:t>
        </x:is>
      </x:c>
      <x:c r="F504" s="31" t="inlineStr">
        <x:is>
          <x:t xml:space="preserve">ОБ-005</x:t>
        </x:is>
      </x:c>
      <x:c r="G504" s="31" t="inlineStr">
        <x:is>
          <x:t xml:space="preserve">СОТР-077</x:t>
        </x:is>
      </x:c>
      <x:c r="H504" s="31" t="inlineStr">
        <x:is>
          <x:t xml:space="preserve">Сборка</x:t>
        </x:is>
      </x:c>
      <x:c r="I504" s="31" t="n">
        <x:v>1</x:v>
      </x:c>
      <x:c r="J504" s="31" t="n">
        <x:v>1</x:v>
      </x:c>
      <x:c r="K504" s="31" t="n">
        <x:v>22.5</x:v>
      </x:c>
      <x:c r="L504" s="31" t="n">
        <x:v>25.8</x:v>
      </x:c>
      <x:c r="M504" s="31" t="n">
        <x:v>0</x:v>
      </x:c>
      <x:c r="N504" s="31" t="inlineStr">
        <x:is>
          <x:t xml:space="preserve">Нет</x:t>
        </x:is>
      </x:c>
      <x:c r="O504" s="31" t="inlineStr">
        <x:is>
          <x:t xml:space="preserve">Черновик</x:t>
        </x:is>
      </x:c>
      <x:c r="P504" s="31" t="inlineStr">
        <x:is>
          <x:t xml:space="preserve">Комментарий смены 535</x:t>
        </x:is>
      </x:c>
    </x:row>
    <x:row r="505">
      <x:c r="A505" s="31" t="inlineStr">
        <x:is>
          <x:t xml:space="preserve">СМ-00536</x:t>
        </x:is>
      </x:c>
      <x:c r="B505" s="31" t="n">
        <x:v>46118</x:v>
      </x:c>
      <x:c r="C505" s="31" t="inlineStr">
        <x:is>
          <x:t xml:space="preserve">День</x:t>
        </x:is>
      </x:c>
      <x:c r="D505" s="31" t="inlineStr">
        <x:is>
          <x:t xml:space="preserve">ПЗ-00128</x:t>
        </x:is>
      </x:c>
      <x:c r="E505" s="31" t="inlineStr">
        <x:is>
          <x:t xml:space="preserve">ОП-001068</x:t>
        </x:is>
      </x:c>
      <x:c r="F505" s="31" t="inlineStr">
        <x:is>
          <x:t xml:space="preserve">ОБ-029</x:t>
        </x:is>
      </x:c>
      <x:c r="G505" s="31" t="inlineStr">
        <x:is>
          <x:t xml:space="preserve">СОТР-050</x:t>
        </x:is>
      </x:c>
      <x:c r="H505" s="31" t="inlineStr">
        <x:is>
          <x:t xml:space="preserve">Механообработка</x:t>
        </x:is>
      </x:c>
      <x:c r="I505" s="31" t="n">
        <x:v>3</x:v>
      </x:c>
      <x:c r="J505" s="31" t="n">
        <x:v>0</x:v>
      </x:c>
      <x:c r="K505" s="31" t="n">
        <x:v>18.6</x:v>
      </x:c>
      <x:c r="L505" s="31" t="n">
        <x:v>19</x:v>
      </x:c>
      <x:c r="M505" s="31" t="n">
        <x:v>0</x:v>
      </x:c>
      <x:c r="N505" s="31" t="inlineStr">
        <x:is>
          <x:t xml:space="preserve">Нет</x:t>
        </x:is>
      </x:c>
      <x:c r="O505" s="31" t="inlineStr">
        <x:is>
          <x:t xml:space="preserve">Подтверждено мастером</x:t>
        </x:is>
      </x:c>
      <x:c r="P505" s="31" t="inlineStr">
        <x:is>
          <x:t xml:space="preserve">Комментарий смены 536</x:t>
        </x:is>
      </x:c>
    </x:row>
    <x:row r="506">
      <x:c r="A506" s="31" t="inlineStr">
        <x:is>
          <x:t xml:space="preserve">СМ-00537</x:t>
        </x:is>
      </x:c>
      <x:c r="B506" s="31" t="n">
        <x:v>46055</x:v>
      </x:c>
      <x:c r="C506" s="31" t="inlineStr">
        <x:is>
          <x:t xml:space="preserve">День</x:t>
        </x:is>
      </x:c>
      <x:c r="D506" s="31" t="inlineStr">
        <x:is>
          <x:t xml:space="preserve">ПЗ-00253</x:t>
        </x:is>
      </x:c>
      <x:c r="E506" s="31" t="inlineStr">
        <x:is>
          <x:t xml:space="preserve">ОП-002114</x:t>
        </x:is>
      </x:c>
      <x:c r="F506" s="31" t="inlineStr">
        <x:is>
          <x:t xml:space="preserve">ОБ-003</x:t>
        </x:is>
      </x:c>
      <x:c r="G506" s="31" t="inlineStr">
        <x:is>
          <x:t xml:space="preserve">СОТР-069</x:t>
        </x:is>
      </x:c>
      <x:c r="H506" s="31" t="inlineStr">
        <x:is>
          <x:t xml:space="preserve">Сварка</x:t>
        </x:is>
      </x:c>
      <x:c r="I506" s="31" t="n">
        <x:v>1</x:v>
      </x:c>
      <x:c r="J506" s="31" t="n">
        <x:v>1</x:v>
      </x:c>
      <x:c r="K506" s="31" t="n">
        <x:v>16.8</x:v>
      </x:c>
      <x:c r="L506" s="31" t="n">
        <x:v>22.6</x:v>
      </x:c>
      <x:c r="M506" s="31" t="n">
        <x:v>45</x:v>
      </x:c>
      <x:c r="N506" s="31" t="inlineStr">
        <x:is>
          <x:t xml:space="preserve">Ожидание материала</x:t>
        </x:is>
      </x:c>
      <x:c r="O506" s="31" t="inlineStr">
        <x:is>
          <x:t xml:space="preserve">Подтверждено мастером</x:t>
        </x:is>
      </x:c>
      <x:c r="P506" s="31" t="inlineStr">
        <x:is>
          <x:t xml:space="preserve">Комментарий смены 537</x:t>
        </x:is>
      </x:c>
    </x:row>
    <x:row r="507">
      <x:c r="A507" s="31" t="inlineStr">
        <x:is>
          <x:t xml:space="preserve">СМ-00538</x:t>
        </x:is>
      </x:c>
      <x:c r="B507" s="31" t="n">
        <x:v>46051</x:v>
      </x:c>
      <x:c r="C507" s="31" t="inlineStr">
        <x:is>
          <x:t xml:space="preserve">Ночь</x:t>
        </x:is>
      </x:c>
      <x:c r="D507" s="31" t="inlineStr">
        <x:is>
          <x:t xml:space="preserve">ПЗ-00113</x:t>
        </x:is>
      </x:c>
      <x:c r="E507" s="31" t="inlineStr">
        <x:is>
          <x:t xml:space="preserve">ОП-000951</x:t>
        </x:is>
      </x:c>
      <x:c r="F507" s="31" t="inlineStr">
        <x:is>
          <x:t xml:space="preserve">ОБ-005</x:t>
        </x:is>
      </x:c>
      <x:c r="G507" s="31" t="inlineStr">
        <x:is>
          <x:t xml:space="preserve">СОТР-084</x:t>
        </x:is>
      </x:c>
      <x:c r="H507" s="31" t="inlineStr">
        <x:is>
          <x:t xml:space="preserve">Сборка</x:t>
        </x:is>
      </x:c>
      <x:c r="I507" s="31" t="n">
        <x:v>4</x:v>
      </x:c>
      <x:c r="J507" s="31" t="n">
        <x:v>4</x:v>
      </x:c>
      <x:c r="K507" s="31" t="n">
        <x:v>8.4</x:v>
      </x:c>
      <x:c r="L507" s="31" t="n">
        <x:v>5.4</x:v>
      </x:c>
      <x:c r="M507" s="31" t="n">
        <x:v>0</x:v>
      </x:c>
      <x:c r="N507" s="31" t="inlineStr">
        <x:is>
          <x:t xml:space="preserve">Нет</x:t>
        </x:is>
      </x:c>
      <x:c r="O507" s="31" t="inlineStr">
        <x:is>
          <x:t xml:space="preserve">Спорный факт</x:t>
        </x:is>
      </x:c>
      <x:c r="P507" s="31" t="inlineStr">
        <x:is>
          <x:t xml:space="preserve">Комментарий смены 538</x:t>
        </x:is>
      </x:c>
    </x:row>
    <x:row r="508">
      <x:c r="A508" s="31" t="inlineStr">
        <x:is>
          <x:t xml:space="preserve">СМ-00539</x:t>
        </x:is>
      </x:c>
      <x:c r="B508" s="31" t="n">
        <x:v>46120</x:v>
      </x:c>
      <x:c r="C508" s="31" t="inlineStr">
        <x:is>
          <x:t xml:space="preserve">Вечер</x:t>
        </x:is>
      </x:c>
      <x:c r="D508" s="31" t="inlineStr">
        <x:is>
          <x:t xml:space="preserve">ПЗ-00221</x:t>
        </x:is>
      </x:c>
      <x:c r="E508" s="31" t="inlineStr">
        <x:is>
          <x:t xml:space="preserve">ОП-001851</x:t>
        </x:is>
      </x:c>
      <x:c r="F508" s="31" t="inlineStr">
        <x:is>
          <x:t xml:space="preserve">ОБ-025</x:t>
        </x:is>
      </x:c>
      <x:c r="G508" s="31" t="inlineStr">
        <x:is>
          <x:t xml:space="preserve">СОТР-034</x:t>
        </x:is>
      </x:c>
      <x:c r="H508" s="31" t="inlineStr">
        <x:is>
          <x:t xml:space="preserve">Склад</x:t>
        </x:is>
      </x:c>
      <x:c r="I508" s="31" t="n">
        <x:v>1</x:v>
      </x:c>
      <x:c r="J508" s="31" t="n">
        <x:v>2</x:v>
      </x:c>
      <x:c r="K508" s="31" t="n">
        <x:v>4.6</x:v>
      </x:c>
      <x:c r="L508" s="31" t="n">
        <x:v>4.8</x:v>
      </x:c>
      <x:c r="M508" s="31" t="n">
        <x:v>120</x:v>
      </x:c>
      <x:c r="N508" s="31" t="inlineStr">
        <x:is>
          <x:t xml:space="preserve">Ожидание материала</x:t>
        </x:is>
      </x:c>
      <x:c r="O508" s="31" t="inlineStr">
        <x:is>
          <x:t xml:space="preserve">Подтверждено мастером</x:t>
        </x:is>
      </x:c>
      <x:c r="P508" s="31" t="inlineStr">
        <x:is>
          <x:t xml:space="preserve">Комментарий смены 539</x:t>
        </x:is>
      </x:c>
    </x:row>
    <x:row r="509">
      <x:c r="A509" s="31" t="inlineStr">
        <x:is>
          <x:t xml:space="preserve">СМ-00540</x:t>
        </x:is>
      </x:c>
      <x:c r="B509" s="31" t="n">
        <x:v>46153</x:v>
      </x:c>
      <x:c r="C509" s="31" t="inlineStr">
        <x:is>
          <x:t xml:space="preserve">День</x:t>
        </x:is>
      </x:c>
      <x:c r="D509" s="31" t="inlineStr">
        <x:is>
          <x:t xml:space="preserve">ПЗ-00206</x:t>
        </x:is>
      </x:c>
      <x:c r="E509" s="31" t="inlineStr">
        <x:is>
          <x:t xml:space="preserve">ОП-001724</x:t>
        </x:is>
      </x:c>
      <x:c r="F509" s="31" t="n"/>
      <x:c r="G509" s="31" t="inlineStr">
        <x:is>
          <x:t xml:space="preserve">СОТР-011</x:t>
        </x:is>
      </x:c>
      <x:c r="H509" s="31" t="inlineStr">
        <x:is>
          <x:t xml:space="preserve">Инженерный отдел</x:t>
        </x:is>
      </x:c>
      <x:c r="I509" s="31" t="n">
        <x:v>1</x:v>
      </x:c>
      <x:c r="J509" s="31" t="n">
        <x:v>2</x:v>
      </x:c>
      <x:c r="K509" s="31" t="n">
        <x:v>137</x:v>
      </x:c>
      <x:c r="L509" s="31" t="n">
        <x:v>167.9</x:v>
      </x:c>
      <x:c r="M509" s="31" t="n">
        <x:v>15</x:v>
      </x:c>
      <x:c r="N509" s="31" t="inlineStr">
        <x:is>
          <x:t xml:space="preserve">Ожидание ОТК</x:t>
        </x:is>
      </x:c>
      <x:c r="O509" s="31" t="inlineStr">
        <x:is>
          <x:t xml:space="preserve">Черновик</x:t>
        </x:is>
      </x:c>
      <x:c r="P509" s="31" t="inlineStr">
        <x:is>
          <x:t xml:space="preserve">Комментарий смены 540</x:t>
        </x:is>
      </x:c>
    </x:row>
    <x:row r="510">
      <x:c r="A510" s="31" t="inlineStr">
        <x:is>
          <x:t xml:space="preserve">СМ-00541</x:t>
        </x:is>
      </x:c>
      <x:c r="B510" s="31" t="n">
        <x:v>46140</x:v>
      </x:c>
      <x:c r="C510" s="31" t="inlineStr">
        <x:is>
          <x:t xml:space="preserve">День</x:t>
        </x:is>
      </x:c>
      <x:c r="D510" s="31" t="inlineStr">
        <x:is>
          <x:t xml:space="preserve">ПЗ-00137</x:t>
        </x:is>
      </x:c>
      <x:c r="E510" s="31" t="inlineStr">
        <x:is>
          <x:t xml:space="preserve">ОП-001150</x:t>
        </x:is>
      </x:c>
      <x:c r="F510" s="31" t="n"/>
      <x:c r="G510" s="31" t="inlineStr">
        <x:is>
          <x:t xml:space="preserve">СОТР-102</x:t>
        </x:is>
      </x:c>
      <x:c r="H510" s="31" t="inlineStr">
        <x:is>
          <x:t xml:space="preserve">Логистика</x:t>
        </x:is>
      </x:c>
      <x:c r="I510" s="31" t="n">
        <x:v>4</x:v>
      </x:c>
      <x:c r="J510" s="31" t="n">
        <x:v>4</x:v>
      </x:c>
      <x:c r="K510" s="31" t="n">
        <x:v>9.6</x:v>
      </x:c>
      <x:c r="L510" s="31" t="n">
        <x:v>9.300000000000001</x:v>
      </x:c>
      <x:c r="M510" s="31" t="n">
        <x:v>0</x:v>
      </x:c>
      <x:c r="N510" s="31" t="inlineStr">
        <x:is>
          <x:t xml:space="preserve">Нет</x:t>
        </x:is>
      </x:c>
      <x:c r="O510" s="31" t="inlineStr">
        <x:is>
          <x:t xml:space="preserve">Подтверждено мастером</x:t>
        </x:is>
      </x:c>
      <x:c r="P510" s="31" t="inlineStr">
        <x:is>
          <x:t xml:space="preserve">Комментарий смены 541</x:t>
        </x:is>
      </x:c>
    </x:row>
    <x:row r="511">
      <x:c r="A511" s="31" t="inlineStr">
        <x:is>
          <x:t xml:space="preserve">СМ-00542</x:t>
        </x:is>
      </x:c>
      <x:c r="B511" s="31" t="n">
        <x:v>46057</x:v>
      </x:c>
      <x:c r="C511" s="31" t="inlineStr">
        <x:is>
          <x:t xml:space="preserve">Ночь</x:t>
        </x:is>
      </x:c>
      <x:c r="D511" s="31" t="inlineStr">
        <x:is>
          <x:t xml:space="preserve">ПЗ-00092</x:t>
        </x:is>
      </x:c>
      <x:c r="E511" s="31" t="inlineStr">
        <x:is>
          <x:t xml:space="preserve">ОП-000776</x:t>
        </x:is>
      </x:c>
      <x:c r="F511" s="31" t="inlineStr">
        <x:is>
          <x:t xml:space="preserve">ОБ-019</x:t>
        </x:is>
      </x:c>
      <x:c r="G511" s="31" t="inlineStr">
        <x:is>
          <x:t xml:space="preserve">СОТР-057</x:t>
        </x:is>
      </x:c>
      <x:c r="H511" s="31" t="inlineStr">
        <x:is>
          <x:t xml:space="preserve">Сварка</x:t>
        </x:is>
      </x:c>
      <x:c r="I511" s="31" t="n">
        <x:v>2</x:v>
      </x:c>
      <x:c r="J511" s="31" t="n">
        <x:v>1</x:v>
      </x:c>
      <x:c r="K511" s="31" t="n">
        <x:v>33.4</x:v>
      </x:c>
      <x:c r="L511" s="31" t="n">
        <x:v>31.9</x:v>
      </x:c>
      <x:c r="M511" s="31" t="n">
        <x:v>45</x:v>
      </x:c>
      <x:c r="N511" s="31" t="inlineStr">
        <x:is>
          <x:t xml:space="preserve">Ожидание материала</x:t>
        </x:is>
      </x:c>
      <x:c r="O511" s="31" t="inlineStr">
        <x:is>
          <x:t xml:space="preserve">Подтверждено мастером</x:t>
        </x:is>
      </x:c>
      <x:c r="P511" s="31" t="inlineStr">
        <x:is>
          <x:t xml:space="preserve">Комментарий смены 542</x:t>
        </x:is>
      </x:c>
    </x:row>
    <x:row r="512">
      <x:c r="A512" s="31" t="inlineStr">
        <x:is>
          <x:t xml:space="preserve">СМ-00543</x:t>
        </x:is>
      </x:c>
      <x:c r="B512" s="31" t="n">
        <x:v>46155</x:v>
      </x:c>
      <x:c r="C512" s="31" t="inlineStr">
        <x:is>
          <x:t xml:space="preserve">День</x:t>
        </x:is>
      </x:c>
      <x:c r="D512" s="31" t="inlineStr">
        <x:is>
          <x:t xml:space="preserve">ПЗ-00190</x:t>
        </x:is>
      </x:c>
      <x:c r="E512" s="31" t="inlineStr">
        <x:is>
          <x:t xml:space="preserve">ОП-001587</x:t>
        </x:is>
      </x:c>
      <x:c r="F512" s="31" t="n"/>
      <x:c r="G512" s="31" t="inlineStr">
        <x:is>
          <x:t xml:space="preserve">СОТР-016</x:t>
        </x:is>
      </x:c>
      <x:c r="H512" s="31" t="inlineStr">
        <x:is>
          <x:t xml:space="preserve">Инженерный отдел</x:t>
        </x:is>
      </x:c>
      <x:c r="I512" s="31" t="n">
        <x:v>3</x:v>
      </x:c>
      <x:c r="J512" s="31" t="n">
        <x:v>0</x:v>
      </x:c>
      <x:c r="K512" s="31" t="n">
        <x:v>19.5</x:v>
      </x:c>
      <x:c r="L512" s="31" t="n">
        <x:v>12</x:v>
      </x:c>
      <x:c r="M512" s="31" t="n">
        <x:v>60</x:v>
      </x:c>
      <x:c r="N512" s="31" t="inlineStr">
        <x:is>
          <x:t xml:space="preserve">Переналадка</x:t>
        </x:is>
      </x:c>
      <x:c r="O512" s="31" t="inlineStr">
        <x:is>
          <x:t xml:space="preserve">Подтверждено мастером</x:t>
        </x:is>
      </x:c>
      <x:c r="P512" s="31" t="inlineStr">
        <x:is>
          <x:t xml:space="preserve">Комментарий смены 543</x:t>
        </x:is>
      </x:c>
    </x:row>
    <x:row r="513">
      <x:c r="A513" s="31" t="inlineStr">
        <x:is>
          <x:t xml:space="preserve">СМ-00544</x:t>
        </x:is>
      </x:c>
      <x:c r="B513" s="31" t="n">
        <x:v>46210</x:v>
      </x:c>
      <x:c r="C513" s="31" t="inlineStr">
        <x:is>
          <x:t xml:space="preserve">День</x:t>
        </x:is>
      </x:c>
      <x:c r="D513" s="31" t="inlineStr">
        <x:is>
          <x:t xml:space="preserve">ПЗ-00157</x:t>
        </x:is>
      </x:c>
      <x:c r="E513" s="31" t="inlineStr">
        <x:is>
          <x:t xml:space="preserve">ОП-001302</x:t>
        </x:is>
      </x:c>
      <x:c r="F513" s="31" t="n"/>
      <x:c r="G513" s="31" t="inlineStr">
        <x:is>
          <x:t xml:space="preserve">СОТР-101</x:t>
        </x:is>
      </x:c>
      <x:c r="H513" s="31" t="inlineStr">
        <x:is>
          <x:t xml:space="preserve">Логистика</x:t>
        </x:is>
      </x:c>
      <x:c r="I513" s="31" t="n">
        <x:v>1</x:v>
      </x:c>
      <x:c r="J513" s="31" t="n">
        <x:v>1</x:v>
      </x:c>
      <x:c r="K513" s="31" t="n">
        <x:v>16.4</x:v>
      </x:c>
      <x:c r="L513" s="31" t="n">
        <x:v>19.6</x:v>
      </x:c>
      <x:c r="M513" s="31" t="n">
        <x:v>0</x:v>
      </x:c>
      <x:c r="N513" s="31" t="inlineStr">
        <x:is>
          <x:t xml:space="preserve">Нет</x:t>
        </x:is>
      </x:c>
      <x:c r="O513" s="31" t="inlineStr">
        <x:is>
          <x:t xml:space="preserve">Спорный факт</x:t>
        </x:is>
      </x:c>
      <x:c r="P513" s="31" t="inlineStr">
        <x:is>
          <x:t xml:space="preserve">Комментарий смены 544</x:t>
        </x:is>
      </x:c>
    </x:row>
    <x:row r="514">
      <x:c r="A514" s="31" t="inlineStr">
        <x:is>
          <x:t xml:space="preserve">СМ-00545</x:t>
        </x:is>
      </x:c>
      <x:c r="B514" s="31" t="n">
        <x:v>46187</x:v>
      </x:c>
      <x:c r="C514" s="31" t="inlineStr">
        <x:is>
          <x:t xml:space="preserve">Вечер</x:t>
        </x:is>
      </x:c>
      <x:c r="D514" s="31" t="inlineStr">
        <x:is>
          <x:t xml:space="preserve">ПЗ-00216</x:t>
        </x:is>
      </x:c>
      <x:c r="E514" s="31" t="inlineStr">
        <x:is>
          <x:t xml:space="preserve">ОП-001811</x:t>
        </x:is>
      </x:c>
      <x:c r="F514" s="31" t="inlineStr">
        <x:is>
          <x:t xml:space="preserve">ОБ-018</x:t>
        </x:is>
      </x:c>
      <x:c r="G514" s="31" t="inlineStr">
        <x:is>
          <x:t xml:space="preserve">СОТР-064</x:t>
        </x:is>
      </x:c>
      <x:c r="H514" s="31" t="inlineStr">
        <x:is>
          <x:t xml:space="preserve">Сварка</x:t>
        </x:is>
      </x:c>
      <x:c r="I514" s="31" t="n">
        <x:v>3</x:v>
      </x:c>
      <x:c r="J514" s="31" t="n">
        <x:v>3</x:v>
      </x:c>
      <x:c r="K514" s="31" t="n">
        <x:v>82.8</x:v>
      </x:c>
      <x:c r="L514" s="31" t="n">
        <x:v>75.09999999999999</x:v>
      </x:c>
      <x:c r="M514" s="31" t="n">
        <x:v>60</x:v>
      </x:c>
      <x:c r="N514" s="31" t="inlineStr">
        <x:is>
          <x:t xml:space="preserve">Ремонт оборудования</x:t>
        </x:is>
      </x:c>
      <x:c r="O514" s="31" t="inlineStr">
        <x:is>
          <x:t xml:space="preserve">Подтверждено мастером</x:t>
        </x:is>
      </x:c>
      <x:c r="P514" s="31" t="inlineStr">
        <x:is>
          <x:t xml:space="preserve">Комментарий смены 545</x:t>
        </x:is>
      </x:c>
    </x:row>
    <x:row r="515">
      <x:c r="A515" s="31" t="inlineStr">
        <x:is>
          <x:t xml:space="preserve">СМ-00546</x:t>
        </x:is>
      </x:c>
      <x:c r="B515" s="31" t="n">
        <x:v>46149</x:v>
      </x:c>
      <x:c r="C515" s="31" t="inlineStr">
        <x:is>
          <x:t xml:space="preserve">День</x:t>
        </x:is>
      </x:c>
      <x:c r="D515" s="31" t="inlineStr">
        <x:is>
          <x:t xml:space="preserve">ПЗ-00233</x:t>
        </x:is>
      </x:c>
      <x:c r="E515" s="31" t="inlineStr">
        <x:is>
          <x:t xml:space="preserve">ОП-001956</x:t>
        </x:is>
      </x:c>
      <x:c r="F515" s="31" t="n"/>
      <x:c r="G515" s="31" t="inlineStr">
        <x:is>
          <x:t xml:space="preserve">СОТР-102</x:t>
        </x:is>
      </x:c>
      <x:c r="H515" s="31" t="inlineStr">
        <x:is>
          <x:t xml:space="preserve">Логистика</x:t>
        </x:is>
      </x:c>
      <x:c r="I515" s="31" t="n">
        <x:v>2</x:v>
      </x:c>
      <x:c r="J515" s="31" t="n">
        <x:v>2</x:v>
      </x:c>
      <x:c r="K515" s="31" t="n">
        <x:v>17.8</x:v>
      </x:c>
      <x:c r="L515" s="31" t="n">
        <x:v>21.5</x:v>
      </x:c>
      <x:c r="M515" s="31" t="n">
        <x:v>45</x:v>
      </x:c>
      <x:c r="N515" s="31" t="inlineStr">
        <x:is>
          <x:t xml:space="preserve">Переналадка</x:t>
        </x:is>
      </x:c>
      <x:c r="O515" s="31" t="inlineStr">
        <x:is>
          <x:t xml:space="preserve">Подтверждено мастером</x:t>
        </x:is>
      </x:c>
      <x:c r="P515" s="31" t="inlineStr">
        <x:is>
          <x:t xml:space="preserve">Комментарий смены 546</x:t>
        </x:is>
      </x:c>
    </x:row>
    <x:row r="516">
      <x:c r="A516" s="31" t="inlineStr">
        <x:is>
          <x:t xml:space="preserve">СМ-00547</x:t>
        </x:is>
      </x:c>
      <x:c r="B516" s="31" t="n">
        <x:v>46152</x:v>
      </x:c>
      <x:c r="C516" s="31" t="inlineStr">
        <x:is>
          <x:t xml:space="preserve">Ночь</x:t>
        </x:is>
      </x:c>
      <x:c r="D516" s="31" t="inlineStr">
        <x:is>
          <x:t xml:space="preserve">ПЗ-00240</x:t>
        </x:is>
      </x:c>
      <x:c r="E516" s="31" t="inlineStr">
        <x:is>
          <x:t xml:space="preserve">ОП-002007</x:t>
        </x:is>
      </x:c>
      <x:c r="F516" s="31" t="inlineStr">
        <x:is>
          <x:t xml:space="preserve">ОБ-023</x:t>
        </x:is>
      </x:c>
      <x:c r="G516" s="31" t="inlineStr">
        <x:is>
          <x:t xml:space="preserve">СОТР-039</x:t>
        </x:is>
      </x:c>
      <x:c r="H516" s="31" t="inlineStr">
        <x:is>
          <x:t xml:space="preserve">Склад</x:t>
        </x:is>
      </x:c>
      <x:c r="I516" s="31" t="n">
        <x:v>4</x:v>
      </x:c>
      <x:c r="J516" s="31" t="n">
        <x:v>4</x:v>
      </x:c>
      <x:c r="K516" s="31" t="n">
        <x:v>70.8</x:v>
      </x:c>
      <x:c r="L516" s="31" t="n">
        <x:v>92.8</x:v>
      </x:c>
      <x:c r="M516" s="31" t="n">
        <x:v>45</x:v>
      </x:c>
      <x:c r="N516" s="31" t="inlineStr">
        <x:is>
          <x:t xml:space="preserve">Ожидание ОТК</x:t>
        </x:is>
      </x:c>
      <x:c r="O516" s="31" t="inlineStr">
        <x:is>
          <x:t xml:space="preserve">Черновик</x:t>
        </x:is>
      </x:c>
      <x:c r="P516" s="31" t="inlineStr">
        <x:is>
          <x:t xml:space="preserve">Комментарий смены 547</x:t>
        </x:is>
      </x:c>
    </x:row>
    <x:row r="517">
      <x:c r="A517" s="31" t="inlineStr">
        <x:is>
          <x:t xml:space="preserve">СМ-00549</x:t>
        </x:is>
      </x:c>
      <x:c r="B517" s="31" t="n">
        <x:v>46194</x:v>
      </x:c>
      <x:c r="C517" s="31" t="inlineStr">
        <x:is>
          <x:t xml:space="preserve">Вечер</x:t>
        </x:is>
      </x:c>
      <x:c r="D517" s="31" t="inlineStr">
        <x:is>
          <x:t xml:space="preserve">ПЗ-00211</x:t>
        </x:is>
      </x:c>
      <x:c r="E517" s="31" t="inlineStr">
        <x:is>
          <x:t xml:space="preserve">ОП-001770</x:t>
        </x:is>
      </x:c>
      <x:c r="F517" s="31" t="inlineStr">
        <x:is>
          <x:t xml:space="preserve">ОБ-020</x:t>
        </x:is>
      </x:c>
      <x:c r="G517" s="31" t="inlineStr">
        <x:is>
          <x:t xml:space="preserve">СОТР-091</x:t>
        </x:is>
      </x:c>
      <x:c r="H517" s="31" t="inlineStr">
        <x:is>
          <x:t xml:space="preserve">Сборка</x:t>
        </x:is>
      </x:c>
      <x:c r="I517" s="31" t="n">
        <x:v>1</x:v>
      </x:c>
      <x:c r="J517" s="31" t="n">
        <x:v>1</x:v>
      </x:c>
      <x:c r="K517" s="31" t="n">
        <x:v>10.5</x:v>
      </x:c>
      <x:c r="L517" s="31" t="n">
        <x:v>10.2</x:v>
      </x:c>
      <x:c r="M517" s="31" t="n">
        <x:v>45</x:v>
      </x:c>
      <x:c r="N517" s="31" t="inlineStr">
        <x:is>
          <x:t xml:space="preserve">Нет оператора</x:t>
        </x:is>
      </x:c>
      <x:c r="O517" s="31" t="inlineStr">
        <x:is>
          <x:t xml:space="preserve">Спорный факт</x:t>
        </x:is>
      </x:c>
      <x:c r="P517" s="31" t="inlineStr">
        <x:is>
          <x:t xml:space="preserve">Комментарий смены 549</x:t>
        </x:is>
      </x:c>
    </x:row>
    <x:row r="518">
      <x:c r="A518" s="31" t="inlineStr">
        <x:is>
          <x:t xml:space="preserve">СМ-00550</x:t>
        </x:is>
      </x:c>
      <x:c r="B518" s="31" t="n">
        <x:v>46198</x:v>
      </x:c>
      <x:c r="C518" s="31" t="inlineStr">
        <x:is>
          <x:t xml:space="preserve">День</x:t>
        </x:is>
      </x:c>
      <x:c r="D518" s="31" t="inlineStr">
        <x:is>
          <x:t xml:space="preserve">ПЗ-00125</x:t>
        </x:is>
      </x:c>
      <x:c r="E518" s="31" t="inlineStr">
        <x:is>
          <x:t xml:space="preserve">ОП-001042</x:t>
        </x:is>
      </x:c>
      <x:c r="F518" s="31" t="inlineStr">
        <x:is>
          <x:t xml:space="preserve">ОБ-016</x:t>
        </x:is>
      </x:c>
      <x:c r="G518" s="31" t="inlineStr">
        <x:is>
          <x:t xml:space="preserve">СОТР-087</x:t>
        </x:is>
      </x:c>
      <x:c r="H518" s="31" t="inlineStr">
        <x:is>
          <x:t xml:space="preserve">Сборка</x:t>
        </x:is>
      </x:c>
      <x:c r="I518" s="31" t="n">
        <x:v>1</x:v>
      </x:c>
      <x:c r="J518" s="31" t="n">
        <x:v>1</x:v>
      </x:c>
      <x:c r="K518" s="31" t="n">
        <x:v>2.5</x:v>
      </x:c>
      <x:c r="L518" s="31" t="n">
        <x:v>2.4</x:v>
      </x:c>
      <x:c r="M518" s="31" t="n">
        <x:v>15</x:v>
      </x:c>
      <x:c r="N518" s="31" t="inlineStr">
        <x:is>
          <x:t xml:space="preserve">Ожидание материала</x:t>
        </x:is>
      </x:c>
      <x:c r="O518" s="31" t="inlineStr">
        <x:is>
          <x:t xml:space="preserve">Подтверждено мастером</x:t>
        </x:is>
      </x:c>
      <x:c r="P518" s="31" t="inlineStr">
        <x:is>
          <x:t xml:space="preserve">Комментарий смены 550</x:t>
        </x:is>
      </x:c>
    </x:row>
    <x:row r="519">
      <x:c r="A519" s="31" t="inlineStr">
        <x:is>
          <x:t xml:space="preserve">СМ-00551</x:t>
        </x:is>
      </x:c>
      <x:c r="B519" s="31" t="n">
        <x:v>46166</x:v>
      </x:c>
      <x:c r="C519" s="31" t="inlineStr">
        <x:is>
          <x:t xml:space="preserve">Вечер</x:t>
        </x:is>
      </x:c>
      <x:c r="D519" s="31" t="inlineStr">
        <x:is>
          <x:t xml:space="preserve">ПЗ-00061</x:t>
        </x:is>
      </x:c>
      <x:c r="E519" s="31" t="inlineStr">
        <x:is>
          <x:t xml:space="preserve">ОП-000517</x:t>
        </x:is>
      </x:c>
      <x:c r="F519" s="31" t="inlineStr">
        <x:is>
          <x:t xml:space="preserve">ОБ-015</x:t>
        </x:is>
      </x:c>
      <x:c r="G519" s="31" t="inlineStr">
        <x:is>
          <x:t xml:space="preserve">СОТР-092</x:t>
        </x:is>
      </x:c>
      <x:c r="H519" s="31" t="inlineStr">
        <x:is>
          <x:t xml:space="preserve">ОТК</x:t>
        </x:is>
      </x:c>
      <x:c r="I519" s="31" t="n">
        <x:v>1</x:v>
      </x:c>
      <x:c r="J519" s="31" t="n">
        <x:v>1</x:v>
      </x:c>
      <x:c r="K519" s="31" t="n">
        <x:v>32.4</x:v>
      </x:c>
      <x:c r="L519" s="31" t="n">
        <x:v>40.8</x:v>
      </x:c>
      <x:c r="M519" s="31" t="n">
        <x:v>0</x:v>
      </x:c>
      <x:c r="N519" s="31" t="inlineStr">
        <x:is>
          <x:t xml:space="preserve">Нет</x:t>
        </x:is>
      </x:c>
      <x:c r="O519" s="31" t="inlineStr">
        <x:is>
          <x:t xml:space="preserve">Подтверждено мастером</x:t>
        </x:is>
      </x:c>
      <x:c r="P519" s="31" t="inlineStr">
        <x:is>
          <x:t xml:space="preserve">Комментарий смены 551</x:t>
        </x:is>
      </x:c>
    </x:row>
    <x:row r="520">
      <x:c r="A520" s="31" t="inlineStr">
        <x:is>
          <x:t xml:space="preserve">СМ-00552</x:t>
        </x:is>
      </x:c>
      <x:c r="B520" s="31" t="n">
        <x:v>46169</x:v>
      </x:c>
      <x:c r="C520" s="31" t="inlineStr">
        <x:is>
          <x:t xml:space="preserve">День</x:t>
        </x:is>
      </x:c>
      <x:c r="D520" s="31" t="inlineStr">
        <x:is>
          <x:t xml:space="preserve">ПЗ-00127</x:t>
        </x:is>
      </x:c>
      <x:c r="E520" s="31" t="inlineStr">
        <x:is>
          <x:t xml:space="preserve">ОП-001059</x:t>
        </x:is>
      </x:c>
      <x:c r="F520" s="31" t="inlineStr">
        <x:is>
          <x:t xml:space="preserve">ОБ-021</x:t>
        </x:is>
      </x:c>
      <x:c r="G520" s="31" t="inlineStr">
        <x:is>
          <x:t xml:space="preserve">СОТР-056</x:t>
        </x:is>
      </x:c>
      <x:c r="H520" s="31" t="inlineStr">
        <x:is>
          <x:t xml:space="preserve">Сварка</x:t>
        </x:is>
      </x:c>
      <x:c r="I520" s="31" t="n">
        <x:v>2</x:v>
      </x:c>
      <x:c r="J520" s="31" t="n">
        <x:v>3</x:v>
      </x:c>
      <x:c r="K520" s="31" t="n">
        <x:v>20.4</x:v>
      </x:c>
      <x:c r="L520" s="31" t="n">
        <x:v>21.6</x:v>
      </x:c>
      <x:c r="M520" s="31" t="n">
        <x:v>0</x:v>
      </x:c>
      <x:c r="N520" s="31" t="inlineStr">
        <x:is>
          <x:t xml:space="preserve">Нет</x:t>
        </x:is>
      </x:c>
      <x:c r="O520" s="31" t="inlineStr">
        <x:is>
          <x:t xml:space="preserve">Подтверждено мастером</x:t>
        </x:is>
      </x:c>
      <x:c r="P520" s="31" t="inlineStr">
        <x:is>
          <x:t xml:space="preserve">Комментарий смены 552</x:t>
        </x:is>
      </x:c>
    </x:row>
    <x:row r="521">
      <x:c r="A521" s="31" t="inlineStr">
        <x:is>
          <x:t xml:space="preserve">СМ-00553</x:t>
        </x:is>
      </x:c>
      <x:c r="B521" s="31" t="n">
        <x:v>46059</x:v>
      </x:c>
      <x:c r="C521" s="31" t="inlineStr">
        <x:is>
          <x:t xml:space="preserve">Ночь</x:t>
        </x:is>
      </x:c>
      <x:c r="D521" s="31" t="inlineStr">
        <x:is>
          <x:t xml:space="preserve">ПЗ-00218</x:t>
        </x:is>
      </x:c>
      <x:c r="E521" s="31" t="inlineStr">
        <x:is>
          <x:t xml:space="preserve">ОП-001829</x:t>
        </x:is>
      </x:c>
      <x:c r="F521" s="31" t="inlineStr">
        <x:is>
          <x:t xml:space="preserve">ОБ-025</x:t>
        </x:is>
      </x:c>
      <x:c r="G521" s="31" t="inlineStr">
        <x:is>
          <x:t xml:space="preserve">СОТР-039</x:t>
        </x:is>
      </x:c>
      <x:c r="H521" s="31" t="inlineStr">
        <x:is>
          <x:t xml:space="preserve">Склад</x:t>
        </x:is>
      </x:c>
      <x:c r="I521" s="31" t="n">
        <x:v>2</x:v>
      </x:c>
      <x:c r="J521" s="31" t="n">
        <x:v>2</x:v>
      </x:c>
      <x:c r="K521" s="31" t="n">
        <x:v>11.6</x:v>
      </x:c>
      <x:c r="L521" s="31" t="n">
        <x:v>10</x:v>
      </x:c>
      <x:c r="M521" s="31" t="n">
        <x:v>0</x:v>
      </x:c>
      <x:c r="N521" s="31" t="inlineStr">
        <x:is>
          <x:t xml:space="preserve">Нет</x:t>
        </x:is>
      </x:c>
      <x:c r="O521" s="31" t="inlineStr">
        <x:is>
          <x:t xml:space="preserve">Спорный факт</x:t>
        </x:is>
      </x:c>
      <x:c r="P521" s="31" t="inlineStr">
        <x:is>
          <x:t xml:space="preserve">Комментарий смены 553</x:t>
        </x:is>
      </x:c>
    </x:row>
    <x:row r="522">
      <x:c r="A522" s="31" t="inlineStr">
        <x:is>
          <x:t xml:space="preserve">СМ-00554</x:t>
        </x:is>
      </x:c>
      <x:c r="B522" s="31" t="n">
        <x:v>46056</x:v>
      </x:c>
      <x:c r="C522" s="31" t="inlineStr">
        <x:is>
          <x:t xml:space="preserve">День</x:t>
        </x:is>
      </x:c>
      <x:c r="D522" s="31" t="inlineStr">
        <x:is>
          <x:t xml:space="preserve">ПЗ-00114</x:t>
        </x:is>
      </x:c>
      <x:c r="E522" s="31" t="inlineStr">
        <x:is>
          <x:t xml:space="preserve">ОП-000958</x:t>
        </x:is>
      </x:c>
      <x:c r="F522" s="31" t="inlineStr">
        <x:is>
          <x:t xml:space="preserve">ОБ-018</x:t>
        </x:is>
      </x:c>
      <x:c r="G522" s="31" t="inlineStr">
        <x:is>
          <x:t xml:space="preserve">СОТР-065</x:t>
        </x:is>
      </x:c>
      <x:c r="H522" s="31" t="inlineStr">
        <x:is>
          <x:t xml:space="preserve">Сварка</x:t>
        </x:is>
      </x:c>
      <x:c r="I522" s="31" t="n">
        <x:v>1</x:v>
      </x:c>
      <x:c r="J522" s="31" t="n">
        <x:v>0</x:v>
      </x:c>
      <x:c r="K522" s="31" t="n">
        <x:v>20.7</x:v>
      </x:c>
      <x:c r="L522" s="31" t="n">
        <x:v>17.9</x:v>
      </x:c>
      <x:c r="M522" s="31" t="n">
        <x:v>60</x:v>
      </x:c>
      <x:c r="N522" s="31" t="inlineStr">
        <x:is>
          <x:t xml:space="preserve">Ремонт оборудования</x:t>
        </x:is>
      </x:c>
      <x:c r="O522" s="31" t="inlineStr">
        <x:is>
          <x:t xml:space="preserve">Подтверждено мастером</x:t>
        </x:is>
      </x:c>
      <x:c r="P522" s="31" t="inlineStr">
        <x:is>
          <x:t xml:space="preserve">Комментарий смены 554</x:t>
        </x:is>
      </x:c>
    </x:row>
    <x:row r="523">
      <x:c r="A523" s="31" t="inlineStr">
        <x:is>
          <x:t xml:space="preserve">СМ-00555</x:t>
        </x:is>
      </x:c>
      <x:c r="B523" s="31" t="n">
        <x:v>46116</x:v>
      </x:c>
      <x:c r="C523" s="31" t="inlineStr">
        <x:is>
          <x:t xml:space="preserve">День</x:t>
        </x:is>
      </x:c>
      <x:c r="D523" s="31" t="inlineStr">
        <x:is>
          <x:t xml:space="preserve">ПЗ-00237</x:t>
        </x:is>
      </x:c>
      <x:c r="E523" s="31" t="inlineStr">
        <x:is>
          <x:t xml:space="preserve">ОП-001982</x:t>
        </x:is>
      </x:c>
      <x:c r="F523" s="31" t="inlineStr">
        <x:is>
          <x:t xml:space="preserve">ОБ-035</x:t>
        </x:is>
      </x:c>
      <x:c r="G523" s="31" t="inlineStr">
        <x:is>
          <x:t xml:space="preserve">СОТР-069</x:t>
        </x:is>
      </x:c>
      <x:c r="H523" s="31" t="inlineStr">
        <x:is>
          <x:t xml:space="preserve">Сварка</x:t>
        </x:is>
      </x:c>
      <x:c r="I523" s="31" t="n">
        <x:v>3</x:v>
      </x:c>
      <x:c r="J523" s="31" t="n">
        <x:v>4</x:v>
      </x:c>
      <x:c r="K523" s="31" t="n">
        <x:v>30</x:v>
      </x:c>
      <x:c r="L523" s="31" t="n">
        <x:v>39.8</x:v>
      </x:c>
      <x:c r="M523" s="31" t="n">
        <x:v>0</x:v>
      </x:c>
      <x:c r="N523" s="31" t="inlineStr">
        <x:is>
          <x:t xml:space="preserve">Нет</x:t>
        </x:is>
      </x:c>
      <x:c r="O523" s="31" t="inlineStr">
        <x:is>
          <x:t xml:space="preserve">Спорный факт</x:t>
        </x:is>
      </x:c>
      <x:c r="P523" s="31" t="inlineStr">
        <x:is>
          <x:t xml:space="preserve">Комментарий смены 555</x:t>
        </x:is>
      </x:c>
    </x:row>
    <x:row r="524">
      <x:c r="A524" s="31" t="inlineStr">
        <x:is>
          <x:t xml:space="preserve">СМ-00556</x:t>
        </x:is>
      </x:c>
      <x:c r="B524" s="31" t="n">
        <x:v>46178</x:v>
      </x:c>
      <x:c r="C524" s="31" t="inlineStr">
        <x:is>
          <x:t xml:space="preserve">День</x:t>
        </x:is>
      </x:c>
      <x:c r="D524" s="31" t="inlineStr">
        <x:is>
          <x:t xml:space="preserve">ПЗ-00161</x:t>
        </x:is>
      </x:c>
      <x:c r="E524" s="31" t="inlineStr">
        <x:is>
          <x:t xml:space="preserve">ОП-001331</x:t>
        </x:is>
      </x:c>
      <x:c r="F524" s="31" t="n"/>
      <x:c r="G524" s="31" t="inlineStr">
        <x:is>
          <x:t xml:space="preserve">СОТР-013</x:t>
        </x:is>
      </x:c>
      <x:c r="H524" s="31" t="inlineStr">
        <x:is>
          <x:t xml:space="preserve">Инженерный отдел</x:t>
        </x:is>
      </x:c>
      <x:c r="I524" s="31" t="n">
        <x:v>3</x:v>
      </x:c>
      <x:c r="J524" s="31" t="n">
        <x:v>3</x:v>
      </x:c>
      <x:c r="K524" s="31" t="n">
        <x:v>60.5</x:v>
      </x:c>
      <x:c r="L524" s="31" t="n">
        <x:v>58.3</x:v>
      </x:c>
      <x:c r="M524" s="31" t="n">
        <x:v>0</x:v>
      </x:c>
      <x:c r="N524" s="31" t="inlineStr">
        <x:is>
          <x:t xml:space="preserve">Нет</x:t>
        </x:is>
      </x:c>
      <x:c r="O524" s="31" t="inlineStr">
        <x:is>
          <x:t xml:space="preserve">Подтверждено мастером</x:t>
        </x:is>
      </x:c>
      <x:c r="P524" s="31" t="inlineStr">
        <x:is>
          <x:t xml:space="preserve">Комментарий смены 556</x:t>
        </x:is>
      </x:c>
    </x:row>
    <x:row r="525">
      <x:c r="A525" s="31" t="inlineStr">
        <x:is>
          <x:t xml:space="preserve">СМ-00557</x:t>
        </x:is>
      </x:c>
      <x:c r="B525" s="31" t="n">
        <x:v>46147</x:v>
      </x:c>
      <x:c r="C525" s="31" t="inlineStr">
        <x:is>
          <x:t xml:space="preserve">Ночь</x:t>
        </x:is>
      </x:c>
      <x:c r="D525" s="31" t="inlineStr">
        <x:is>
          <x:t xml:space="preserve">ПЗ-00060</x:t>
        </x:is>
      </x:c>
      <x:c r="E525" s="31" t="inlineStr">
        <x:is>
          <x:t xml:space="preserve">ОП-000505</x:t>
        </x:is>
      </x:c>
      <x:c r="F525" s="31" t="inlineStr">
        <x:is>
          <x:t xml:space="preserve">ОБ-014</x:t>
        </x:is>
      </x:c>
      <x:c r="G525" s="31" t="inlineStr">
        <x:is>
          <x:t xml:space="preserve">СОТР-077</x:t>
        </x:is>
      </x:c>
      <x:c r="H525" s="31" t="inlineStr">
        <x:is>
          <x:t xml:space="preserve">Сборка</x:t>
        </x:is>
      </x:c>
      <x:c r="I525" s="31" t="n">
        <x:v>1</x:v>
      </x:c>
      <x:c r="J525" s="31" t="n">
        <x:v>1</x:v>
      </x:c>
      <x:c r="K525" s="31" t="n">
        <x:v>1.5</x:v>
      </x:c>
      <x:c r="L525" s="31" t="n">
        <x:v>1.9</x:v>
      </x:c>
      <x:c r="M525" s="31" t="n">
        <x:v>15</x:v>
      </x:c>
      <x:c r="N525" s="31" t="inlineStr">
        <x:is>
          <x:t xml:space="preserve">Ремонт оборудования</x:t>
        </x:is>
      </x:c>
      <x:c r="O525" s="31" t="inlineStr">
        <x:is>
          <x:t xml:space="preserve">Подтверждено мастером</x:t>
        </x:is>
      </x:c>
      <x:c r="P525" s="31" t="inlineStr">
        <x:is>
          <x:t xml:space="preserve">Комментарий смены 557</x:t>
        </x:is>
      </x:c>
    </x:row>
    <x:row r="526">
      <x:c r="A526" s="31" t="inlineStr">
        <x:is>
          <x:t xml:space="preserve">СМ-00558</x:t>
        </x:is>
      </x:c>
      <x:c r="B526" s="31" t="n">
        <x:v>46099</x:v>
      </x:c>
      <x:c r="C526" s="31" t="inlineStr">
        <x:is>
          <x:t xml:space="preserve">Ночь</x:t>
        </x:is>
      </x:c>
      <x:c r="D526" s="31" t="inlineStr">
        <x:is>
          <x:t xml:space="preserve">ПЗ-00099</x:t>
        </x:is>
      </x:c>
      <x:c r="E526" s="31" t="inlineStr">
        <x:is>
          <x:t xml:space="preserve">ОП-000831</x:t>
        </x:is>
      </x:c>
      <x:c r="F526" s="31" t="inlineStr">
        <x:is>
          <x:t xml:space="preserve">ОБ-017</x:t>
        </x:is>
      </x:c>
      <x:c r="G526" s="31" t="inlineStr">
        <x:is>
          <x:t xml:space="preserve">СОТР-077</x:t>
        </x:is>
      </x:c>
      <x:c r="H526" s="31" t="inlineStr">
        <x:is>
          <x:t xml:space="preserve">Сборка</x:t>
        </x:is>
      </x:c>
      <x:c r="I526" s="31" t="n">
        <x:v>1</x:v>
      </x:c>
      <x:c r="J526" s="31" t="n">
        <x:v>0</x:v>
      </x:c>
      <x:c r="K526" s="31" t="n">
        <x:v>28.2</x:v>
      </x:c>
      <x:c r="L526" s="31" t="n">
        <x:v>27.6</x:v>
      </x:c>
      <x:c r="M526" s="31" t="n">
        <x:v>60</x:v>
      </x:c>
      <x:c r="N526" s="31" t="inlineStr">
        <x:is>
          <x:t xml:space="preserve">Ремонт оборудования</x:t>
        </x:is>
      </x:c>
      <x:c r="O526" s="31" t="inlineStr">
        <x:is>
          <x:t xml:space="preserve">Спорный факт</x:t>
        </x:is>
      </x:c>
      <x:c r="P526" s="31" t="inlineStr">
        <x:is>
          <x:t xml:space="preserve">Комментарий смены 558</x:t>
        </x:is>
      </x:c>
    </x:row>
    <x:row r="527">
      <x:c r="A527" s="31" t="inlineStr">
        <x:is>
          <x:t xml:space="preserve">СМ-00559</x:t>
        </x:is>
      </x:c>
      <x:c r="B527" s="31" t="n">
        <x:v>46092</x:v>
      </x:c>
      <x:c r="C527" s="31" t="inlineStr">
        <x:is>
          <x:t xml:space="preserve">Ночь</x:t>
        </x:is>
      </x:c>
      <x:c r="D527" s="31" t="inlineStr">
        <x:is>
          <x:t xml:space="preserve">ПЗ-00207</x:t>
        </x:is>
      </x:c>
      <x:c r="E527" s="31" t="inlineStr">
        <x:is>
          <x:t xml:space="preserve">ОП-001736</x:t>
        </x:is>
      </x:c>
      <x:c r="F527" s="31" t="inlineStr">
        <x:is>
          <x:t xml:space="preserve">ОБ-012</x:t>
        </x:is>
      </x:c>
      <x:c r="G527" s="31" t="inlineStr">
        <x:is>
          <x:t xml:space="preserve">СОТР-087</x:t>
        </x:is>
      </x:c>
      <x:c r="H527" s="31" t="inlineStr">
        <x:is>
          <x:t xml:space="preserve">Сборка</x:t>
        </x:is>
      </x:c>
      <x:c r="I527" s="31" t="n">
        <x:v>1</x:v>
      </x:c>
      <x:c r="J527" s="31" t="n">
        <x:v>1</x:v>
      </x:c>
      <x:c r="K527" s="31" t="n">
        <x:v>4</x:v>
      </x:c>
      <x:c r="L527" s="31" t="n">
        <x:v>4</x:v>
      </x:c>
      <x:c r="M527" s="31" t="n">
        <x:v>0</x:v>
      </x:c>
      <x:c r="N527" s="31" t="inlineStr">
        <x:is>
          <x:t xml:space="preserve">Нет</x:t>
        </x:is>
      </x:c>
      <x:c r="O527" s="31" t="inlineStr">
        <x:is>
          <x:t xml:space="preserve">Подтверждено мастером</x:t>
        </x:is>
      </x:c>
      <x:c r="P527" s="31" t="inlineStr">
        <x:is>
          <x:t xml:space="preserve">Комментарий смены 559</x:t>
        </x:is>
      </x:c>
    </x:row>
    <x:row r="528">
      <x:c r="A528" s="31" t="inlineStr">
        <x:is>
          <x:t xml:space="preserve">СМ-00560</x:t>
        </x:is>
      </x:c>
      <x:c r="B528" s="31" t="n">
        <x:v>46154</x:v>
      </x:c>
      <x:c r="C528" s="31" t="inlineStr">
        <x:is>
          <x:t xml:space="preserve">День</x:t>
        </x:is>
      </x:c>
      <x:c r="D528" s="31" t="inlineStr">
        <x:is>
          <x:t xml:space="preserve">ПЗ-00251</x:t>
        </x:is>
      </x:c>
      <x:c r="E528" s="31" t="inlineStr">
        <x:is>
          <x:t xml:space="preserve">ОП-002101</x:t>
        </x:is>
      </x:c>
      <x:c r="F528" s="31" t="inlineStr">
        <x:is>
          <x:t xml:space="preserve">ОБ-015</x:t>
        </x:is>
      </x:c>
      <x:c r="G528" s="31" t="inlineStr">
        <x:is>
          <x:t xml:space="preserve">СОТР-098</x:t>
        </x:is>
      </x:c>
      <x:c r="H528" s="31" t="inlineStr">
        <x:is>
          <x:t xml:space="preserve">ОТК</x:t>
        </x:is>
      </x:c>
      <x:c r="I528" s="31" t="n">
        <x:v>2</x:v>
      </x:c>
      <x:c r="J528" s="31" t="n">
        <x:v>3</x:v>
      </x:c>
      <x:c r="K528" s="31" t="n">
        <x:v>38.2</x:v>
      </x:c>
      <x:c r="L528" s="31" t="n">
        <x:v>37.6</x:v>
      </x:c>
      <x:c r="M528" s="31" t="n">
        <x:v>90</x:v>
      </x:c>
      <x:c r="N528" s="31" t="inlineStr">
        <x:is>
          <x:t xml:space="preserve">Ожидание ОТК</x:t>
        </x:is>
      </x:c>
      <x:c r="O528" s="31" t="inlineStr">
        <x:is>
          <x:t xml:space="preserve">Закрыто</x:t>
        </x:is>
      </x:c>
      <x:c r="P528" s="31" t="inlineStr">
        <x:is>
          <x:t xml:space="preserve">Комментарий смены 560</x:t>
        </x:is>
      </x:c>
    </x:row>
    <x:row r="529">
      <x:c r="A529" s="31" t="inlineStr">
        <x:is>
          <x:t xml:space="preserve">СМ-00561</x:t>
        </x:is>
      </x:c>
      <x:c r="B529" s="31" t="n">
        <x:v>46120</x:v>
      </x:c>
      <x:c r="C529" s="31" t="inlineStr">
        <x:is>
          <x:t xml:space="preserve">Вечер</x:t>
        </x:is>
      </x:c>
      <x:c r="D529" s="31" t="inlineStr">
        <x:is>
          <x:t xml:space="preserve">ПЗ-00013</x:t>
        </x:is>
      </x:c>
      <x:c r="E529" s="31" t="inlineStr">
        <x:is>
          <x:t xml:space="preserve">ОП-000110</x:t>
        </x:is>
      </x:c>
      <x:c r="F529" s="31" t="n"/>
      <x:c r="G529" s="31" t="inlineStr">
        <x:is>
          <x:t xml:space="preserve">СОТР-102</x:t>
        </x:is>
      </x:c>
      <x:c r="H529" s="31" t="inlineStr">
        <x:is>
          <x:t xml:space="preserve">Логистика</x:t>
        </x:is>
      </x:c>
      <x:c r="I529" s="31" t="n">
        <x:v>3</x:v>
      </x:c>
      <x:c r="J529" s="31" t="n">
        <x:v>4</x:v>
      </x:c>
      <x:c r="K529" s="31" t="n">
        <x:v>13.5</x:v>
      </x:c>
      <x:c r="L529" s="31" t="n">
        <x:v>14.5</x:v>
      </x:c>
      <x:c r="M529" s="31" t="n">
        <x:v>120</x:v>
      </x:c>
      <x:c r="N529" s="31" t="inlineStr">
        <x:is>
          <x:t xml:space="preserve">Нет оператора</x:t>
        </x:is>
      </x:c>
      <x:c r="O529" s="31" t="inlineStr">
        <x:is>
          <x:t xml:space="preserve">Закрыто</x:t>
        </x:is>
      </x:c>
      <x:c r="P529" s="31" t="inlineStr">
        <x:is>
          <x:t xml:space="preserve">Комментарий смены 561</x:t>
        </x:is>
      </x:c>
    </x:row>
    <x:row r="530">
      <x:c r="A530" s="31" t="inlineStr">
        <x:is>
          <x:t xml:space="preserve">СМ-00562</x:t>
        </x:is>
      </x:c>
      <x:c r="B530" s="31" t="n">
        <x:v>46125</x:v>
      </x:c>
      <x:c r="C530" s="31" t="inlineStr">
        <x:is>
          <x:t xml:space="preserve">День</x:t>
        </x:is>
      </x:c>
      <x:c r="D530" s="31" t="inlineStr">
        <x:is>
          <x:t xml:space="preserve">ПЗ-00111</x:t>
        </x:is>
      </x:c>
      <x:c r="E530" s="31" t="inlineStr">
        <x:is>
          <x:t xml:space="preserve">ОП-000934</x:t>
        </x:is>
      </x:c>
      <x:c r="F530" s="31" t="inlineStr">
        <x:is>
          <x:t xml:space="preserve">ОБ-005</x:t>
        </x:is>
      </x:c>
      <x:c r="G530" s="31" t="inlineStr">
        <x:is>
          <x:t xml:space="preserve">СОТР-083</x:t>
        </x:is>
      </x:c>
      <x:c r="H530" s="31" t="inlineStr">
        <x:is>
          <x:t xml:space="preserve">Сборка</x:t>
        </x:is>
      </x:c>
      <x:c r="I530" s="31" t="n">
        <x:v>1</x:v>
      </x:c>
      <x:c r="J530" s="31" t="n">
        <x:v>0</x:v>
      </x:c>
      <x:c r="K530" s="31" t="n">
        <x:v>13.3</x:v>
      </x:c>
      <x:c r="L530" s="31" t="n">
        <x:v>10.3</x:v>
      </x:c>
      <x:c r="M530" s="31" t="n">
        <x:v>0</x:v>
      </x:c>
      <x:c r="N530" s="31" t="inlineStr">
        <x:is>
          <x:t xml:space="preserve">Нет</x:t>
        </x:is>
      </x:c>
      <x:c r="O530" s="31" t="inlineStr">
        <x:is>
          <x:t xml:space="preserve">Спорный факт</x:t>
        </x:is>
      </x:c>
      <x:c r="P530" s="31" t="inlineStr">
        <x:is>
          <x:t xml:space="preserve">Комментарий смены 562</x:t>
        </x:is>
      </x:c>
    </x:row>
    <x:row r="531">
      <x:c r="A531" s="31" t="inlineStr">
        <x:is>
          <x:t xml:space="preserve">СМ-00563</x:t>
        </x:is>
      </x:c>
      <x:c r="B531" s="31" t="n">
        <x:v>46125</x:v>
      </x:c>
      <x:c r="C531" s="31" t="inlineStr">
        <x:is>
          <x:t xml:space="preserve">Ночь</x:t>
        </x:is>
      </x:c>
      <x:c r="D531" s="31" t="inlineStr">
        <x:is>
          <x:t xml:space="preserve">ПЗ-00195</x:t>
        </x:is>
      </x:c>
      <x:c r="E531" s="31" t="inlineStr">
        <x:is>
          <x:t xml:space="preserve">ОП-001635</x:t>
        </x:is>
      </x:c>
      <x:c r="F531" s="31" t="inlineStr">
        <x:is>
          <x:t xml:space="preserve">ОБ-007</x:t>
        </x:is>
      </x:c>
      <x:c r="G531" s="31" t="inlineStr">
        <x:is>
          <x:t xml:space="preserve">СОТР-096</x:t>
        </x:is>
      </x:c>
      <x:c r="H531" s="31" t="inlineStr">
        <x:is>
          <x:t xml:space="preserve">ОТК</x:t>
        </x:is>
      </x:c>
      <x:c r="I531" s="31" t="n">
        <x:v>3</x:v>
      </x:c>
      <x:c r="J531" s="31" t="n">
        <x:v>0</x:v>
      </x:c>
      <x:c r="K531" s="31" t="n">
        <x:v>60.8</x:v>
      </x:c>
      <x:c r="L531" s="31" t="n">
        <x:v>45.8</x:v>
      </x:c>
      <x:c r="M531" s="31" t="n">
        <x:v>0</x:v>
      </x:c>
      <x:c r="N531" s="31" t="inlineStr">
        <x:is>
          <x:t xml:space="preserve">Нет</x:t>
        </x:is>
      </x:c>
      <x:c r="O531" s="31" t="inlineStr">
        <x:is>
          <x:t xml:space="preserve">Подтверждено мастером</x:t>
        </x:is>
      </x:c>
      <x:c r="P531" s="31" t="inlineStr">
        <x:is>
          <x:t xml:space="preserve">Комментарий смены 563</x:t>
        </x:is>
      </x:c>
    </x:row>
    <x:row r="532">
      <x:c r="A532" s="31" t="inlineStr">
        <x:is>
          <x:t xml:space="preserve">СМ-00564</x:t>
        </x:is>
      </x:c>
      <x:c r="B532" s="31" t="n">
        <x:v>46059</x:v>
      </x:c>
      <x:c r="C532" s="31" t="inlineStr">
        <x:is>
          <x:t xml:space="preserve">День</x:t>
        </x:is>
      </x:c>
      <x:c r="D532" s="31" t="inlineStr">
        <x:is>
          <x:t xml:space="preserve">ПЗ-00114</x:t>
        </x:is>
      </x:c>
      <x:c r="E532" s="31" t="inlineStr">
        <x:is>
          <x:t xml:space="preserve">ОП-000960</x:t>
        </x:is>
      </x:c>
      <x:c r="F532" s="31" t="inlineStr">
        <x:is>
          <x:t xml:space="preserve">ОБ-007</x:t>
        </x:is>
      </x:c>
      <x:c r="G532" s="31" t="inlineStr">
        <x:is>
          <x:t xml:space="preserve">СОТР-095</x:t>
        </x:is>
      </x:c>
      <x:c r="H532" s="31" t="inlineStr">
        <x:is>
          <x:t xml:space="preserve">ОТК</x:t>
        </x:is>
      </x:c>
      <x:c r="I532" s="31" t="n">
        <x:v>1</x:v>
      </x:c>
      <x:c r="J532" s="31" t="n">
        <x:v>1</x:v>
      </x:c>
      <x:c r="K532" s="31" t="n">
        <x:v>3.4</x:v>
      </x:c>
      <x:c r="L532" s="31" t="n">
        <x:v>4</x:v>
      </x:c>
      <x:c r="M532" s="31" t="n">
        <x:v>0</x:v>
      </x:c>
      <x:c r="N532" s="31" t="inlineStr">
        <x:is>
          <x:t xml:space="preserve">Нет</x:t>
        </x:is>
      </x:c>
      <x:c r="O532" s="31" t="inlineStr">
        <x:is>
          <x:t xml:space="preserve">Спорный факт</x:t>
        </x:is>
      </x:c>
      <x:c r="P532" s="31" t="inlineStr">
        <x:is>
          <x:t xml:space="preserve">Комментарий смены 564</x:t>
        </x:is>
      </x:c>
    </x:row>
    <x:row r="533">
      <x:c r="A533" s="31" t="inlineStr">
        <x:is>
          <x:t xml:space="preserve">СМ-00565</x:t>
        </x:is>
      </x:c>
      <x:c r="B533" s="31" t="n">
        <x:v>46184</x:v>
      </x:c>
      <x:c r="C533" s="31" t="inlineStr">
        <x:is>
          <x:t xml:space="preserve">День</x:t>
        </x:is>
      </x:c>
      <x:c r="D533" s="31" t="inlineStr">
        <x:is>
          <x:t xml:space="preserve">ПЗ-00205</x:t>
        </x:is>
      </x:c>
      <x:c r="E533" s="31" t="inlineStr">
        <x:is>
          <x:t xml:space="preserve">ОП-001722</x:t>
        </x:is>
      </x:c>
      <x:c r="F533" s="31" t="inlineStr">
        <x:is>
          <x:t xml:space="preserve">ОБ-006</x:t>
        </x:is>
      </x:c>
      <x:c r="G533" s="31" t="inlineStr">
        <x:is>
          <x:t xml:space="preserve">СОТР-100</x:t>
        </x:is>
      </x:c>
      <x:c r="H533" s="31" t="inlineStr">
        <x:is>
          <x:t xml:space="preserve">ОТК</x:t>
        </x:is>
      </x:c>
      <x:c r="I533" s="31" t="n">
        <x:v>2</x:v>
      </x:c>
      <x:c r="J533" s="31" t="n">
        <x:v>3</x:v>
      </x:c>
      <x:c r="K533" s="31" t="n">
        <x:v>50</x:v>
      </x:c>
      <x:c r="L533" s="31" t="n">
        <x:v>42.2</x:v>
      </x:c>
      <x:c r="M533" s="31" t="n">
        <x:v>120</x:v>
      </x:c>
      <x:c r="N533" s="31" t="inlineStr">
        <x:is>
          <x:t xml:space="preserve">Ожидание ОТК</x:t>
        </x:is>
      </x:c>
      <x:c r="O533" s="31" t="inlineStr">
        <x:is>
          <x:t xml:space="preserve">Подтверждено мастером</x:t>
        </x:is>
      </x:c>
      <x:c r="P533" s="31" t="inlineStr">
        <x:is>
          <x:t xml:space="preserve">Комментарий смены 565</x:t>
        </x:is>
      </x:c>
    </x:row>
    <x:row r="534">
      <x:c r="A534" s="31" t="inlineStr">
        <x:is>
          <x:t xml:space="preserve">СМ-00566</x:t>
        </x:is>
      </x:c>
      <x:c r="B534" s="31" t="n">
        <x:v>46143</x:v>
      </x:c>
      <x:c r="C534" s="31" t="inlineStr">
        <x:is>
          <x:t xml:space="preserve">День</x:t>
        </x:is>
      </x:c>
      <x:c r="D534" s="31" t="inlineStr">
        <x:is>
          <x:t xml:space="preserve">ПЗ-00186</x:t>
        </x:is>
      </x:c>
      <x:c r="E534" s="31" t="inlineStr">
        <x:is>
          <x:t xml:space="preserve">ОП-001544</x:t>
        </x:is>
      </x:c>
      <x:c r="F534" s="31" t="n"/>
      <x:c r="G534" s="31" t="inlineStr">
        <x:is>
          <x:t xml:space="preserve">СОТР-016</x:t>
        </x:is>
      </x:c>
      <x:c r="H534" s="31" t="inlineStr">
        <x:is>
          <x:t xml:space="preserve">Инженерный отдел</x:t>
        </x:is>
      </x:c>
      <x:c r="I534" s="31" t="n">
        <x:v>5</x:v>
      </x:c>
      <x:c r="J534" s="31" t="n">
        <x:v>5</x:v>
      </x:c>
      <x:c r="K534" s="31" t="n">
        <x:v>36</x:v>
      </x:c>
      <x:c r="L534" s="31" t="n">
        <x:v>48</x:v>
      </x:c>
      <x:c r="M534" s="31" t="n">
        <x:v>0</x:v>
      </x:c>
      <x:c r="N534" s="31" t="inlineStr">
        <x:is>
          <x:t xml:space="preserve">Нет</x:t>
        </x:is>
      </x:c>
      <x:c r="O534" s="31" t="inlineStr">
        <x:is>
          <x:t xml:space="preserve">Подтверждено мастером</x:t>
        </x:is>
      </x:c>
      <x:c r="P534" s="31" t="inlineStr">
        <x:is>
          <x:t xml:space="preserve">Комментарий смены 566</x:t>
        </x:is>
      </x:c>
    </x:row>
    <x:row r="535">
      <x:c r="A535" s="31" t="inlineStr">
        <x:is>
          <x:t xml:space="preserve">СМ-00567</x:t>
        </x:is>
      </x:c>
      <x:c r="B535" s="31" t="n">
        <x:v>46144</x:v>
      </x:c>
      <x:c r="C535" s="31" t="inlineStr">
        <x:is>
          <x:t xml:space="preserve">День</x:t>
        </x:is>
      </x:c>
      <x:c r="D535" s="31" t="inlineStr">
        <x:is>
          <x:t xml:space="preserve">ПЗ-00018</x:t>
        </x:is>
      </x:c>
      <x:c r="E535" s="31" t="inlineStr">
        <x:is>
          <x:t xml:space="preserve">ОП-000148</x:t>
        </x:is>
      </x:c>
      <x:c r="F535" s="31" t="n"/>
      <x:c r="G535" s="31" t="inlineStr">
        <x:is>
          <x:t xml:space="preserve">СОТР-013</x:t>
        </x:is>
      </x:c>
      <x:c r="H535" s="31" t="inlineStr">
        <x:is>
          <x:t xml:space="preserve">Инженерный отдел</x:t>
        </x:is>
      </x:c>
      <x:c r="I535" s="31" t="n">
        <x:v>1</x:v>
      </x:c>
      <x:c r="J535" s="31" t="n">
        <x:v>1</x:v>
      </x:c>
      <x:c r="K535" s="31" t="n">
        <x:v>14.2</x:v>
      </x:c>
      <x:c r="L535" s="31" t="n">
        <x:v>18.2</x:v>
      </x:c>
      <x:c r="M535" s="31" t="n">
        <x:v>0</x:v>
      </x:c>
      <x:c r="N535" s="31" t="inlineStr">
        <x:is>
          <x:t xml:space="preserve">Нет</x:t>
        </x:is>
      </x:c>
      <x:c r="O535" s="31" t="inlineStr">
        <x:is>
          <x:t xml:space="preserve">Подтверждено мастером</x:t>
        </x:is>
      </x:c>
      <x:c r="P535" s="31" t="inlineStr">
        <x:is>
          <x:t xml:space="preserve">Комментарий смены 567</x:t>
        </x:is>
      </x:c>
    </x:row>
    <x:row r="536">
      <x:c r="A536" s="31" t="inlineStr">
        <x:is>
          <x:t xml:space="preserve">СМ-00568</x:t>
        </x:is>
      </x:c>
      <x:c r="B536" s="31" t="n">
        <x:v>46111</x:v>
      </x:c>
      <x:c r="C536" s="31" t="inlineStr">
        <x:is>
          <x:t xml:space="preserve">Ночь</x:t>
        </x:is>
      </x:c>
      <x:c r="D536" s="31" t="inlineStr">
        <x:is>
          <x:t xml:space="preserve">ПЗ-00109</x:t>
        </x:is>
      </x:c>
      <x:c r="E536" s="31" t="inlineStr">
        <x:is>
          <x:t xml:space="preserve">ОП-000911</x:t>
        </x:is>
      </x:c>
      <x:c r="F536" s="31" t="inlineStr">
        <x:is>
          <x:t xml:space="preserve">ОБ-021</x:t>
        </x:is>
      </x:c>
      <x:c r="G536" s="31" t="inlineStr">
        <x:is>
          <x:t xml:space="preserve">СОТР-056</x:t>
        </x:is>
      </x:c>
      <x:c r="H536" s="31" t="inlineStr">
        <x:is>
          <x:t xml:space="preserve">Сварка</x:t>
        </x:is>
      </x:c>
      <x:c r="I536" s="31" t="n">
        <x:v>1</x:v>
      </x:c>
      <x:c r="J536" s="31" t="n">
        <x:v>0</x:v>
      </x:c>
      <x:c r="K536" s="31" t="n">
        <x:v>4.7</x:v>
      </x:c>
      <x:c r="L536" s="31" t="n">
        <x:v>4.6</x:v>
      </x:c>
      <x:c r="M536" s="31" t="n">
        <x:v>0</x:v>
      </x:c>
      <x:c r="N536" s="31" t="inlineStr">
        <x:is>
          <x:t xml:space="preserve">Нет</x:t>
        </x:is>
      </x:c>
      <x:c r="O536" s="31" t="inlineStr">
        <x:is>
          <x:t xml:space="preserve">Подтверждено мастером</x:t>
        </x:is>
      </x:c>
      <x:c r="P536" s="31" t="inlineStr">
        <x:is>
          <x:t xml:space="preserve">Комментарий смены 568</x:t>
        </x:is>
      </x:c>
    </x:row>
    <x:row r="537">
      <x:c r="A537" s="31" t="inlineStr">
        <x:is>
          <x:t xml:space="preserve">СМ-00569</x:t>
        </x:is>
      </x:c>
      <x:c r="B537" s="31" t="n">
        <x:v>46120</x:v>
      </x:c>
      <x:c r="C537" s="31" t="inlineStr">
        <x:is>
          <x:t xml:space="preserve">Вечер</x:t>
        </x:is>
      </x:c>
      <x:c r="D537" s="31" t="inlineStr">
        <x:is>
          <x:t xml:space="preserve">ПЗ-00220</x:t>
        </x:is>
      </x:c>
      <x:c r="E537" s="31" t="inlineStr">
        <x:is>
          <x:t xml:space="preserve">ОП-001846</x:t>
        </x:is>
      </x:c>
      <x:c r="F537" s="31" t="inlineStr">
        <x:is>
          <x:t xml:space="preserve">ОБ-022</x:t>
        </x:is>
      </x:c>
      <x:c r="G537" s="31" t="inlineStr">
        <x:is>
          <x:t xml:space="preserve">СОТР-098</x:t>
        </x:is>
      </x:c>
      <x:c r="H537" s="31" t="inlineStr">
        <x:is>
          <x:t xml:space="preserve">ОТК</x:t>
        </x:is>
      </x:c>
      <x:c r="I537" s="31" t="n">
        <x:v>1</x:v>
      </x:c>
      <x:c r="J537" s="31" t="n">
        <x:v>0</x:v>
      </x:c>
      <x:c r="K537" s="31" t="n">
        <x:v>21.5</x:v>
      </x:c>
      <x:c r="L537" s="31" t="n">
        <x:v>18.6</x:v>
      </x:c>
      <x:c r="M537" s="31" t="n">
        <x:v>0</x:v>
      </x:c>
      <x:c r="N537" s="31" t="inlineStr">
        <x:is>
          <x:t xml:space="preserve">Нет</x:t>
        </x:is>
      </x:c>
      <x:c r="O537" s="31" t="inlineStr">
        <x:is>
          <x:t xml:space="preserve">Спорный факт</x:t>
        </x:is>
      </x:c>
      <x:c r="P537" s="31" t="inlineStr">
        <x:is>
          <x:t xml:space="preserve">Комментарий смены 569</x:t>
        </x:is>
      </x:c>
    </x:row>
    <x:row r="538">
      <x:c r="A538" s="31" t="inlineStr">
        <x:is>
          <x:t xml:space="preserve">СМ-00570</x:t>
        </x:is>
      </x:c>
      <x:c r="B538" s="31" t="n">
        <x:v>46154</x:v>
      </x:c>
      <x:c r="C538" s="31" t="inlineStr">
        <x:is>
          <x:t xml:space="preserve">День</x:t>
        </x:is>
      </x:c>
      <x:c r="D538" s="31" t="inlineStr">
        <x:is>
          <x:t xml:space="preserve">ПЗ-00188</x:t>
        </x:is>
      </x:c>
      <x:c r="E538" s="31" t="inlineStr">
        <x:is>
          <x:t xml:space="preserve">ОП-001568</x:t>
        </x:is>
      </x:c>
      <x:c r="F538" s="31" t="inlineStr">
        <x:is>
          <x:t xml:space="preserve">ОБ-020</x:t>
        </x:is>
      </x:c>
      <x:c r="G538" s="31" t="inlineStr">
        <x:is>
          <x:t xml:space="preserve">СОТР-083</x:t>
        </x:is>
      </x:c>
      <x:c r="H538" s="31" t="inlineStr">
        <x:is>
          <x:t xml:space="preserve">Сборка</x:t>
        </x:is>
      </x:c>
      <x:c r="I538" s="31" t="n">
        <x:v>1</x:v>
      </x:c>
      <x:c r="J538" s="31" t="n">
        <x:v>0</x:v>
      </x:c>
      <x:c r="K538" s="31" t="n">
        <x:v>7.6</x:v>
      </x:c>
      <x:c r="L538" s="31" t="n">
        <x:v>7.7</x:v>
      </x:c>
      <x:c r="M538" s="31" t="n">
        <x:v>0</x:v>
      </x:c>
      <x:c r="N538" s="31" t="inlineStr">
        <x:is>
          <x:t xml:space="preserve">Нет</x:t>
        </x:is>
      </x:c>
      <x:c r="O538" s="31" t="inlineStr">
        <x:is>
          <x:t xml:space="preserve">Подтверждено мастером</x:t>
        </x:is>
      </x:c>
      <x:c r="P538" s="31" t="inlineStr">
        <x:is>
          <x:t xml:space="preserve">Комментарий смены 570</x:t>
        </x:is>
      </x:c>
    </x:row>
    <x:row r="539">
      <x:c r="A539" s="31" t="inlineStr">
        <x:is>
          <x:t xml:space="preserve">СМ-00571</x:t>
        </x:is>
      </x:c>
      <x:c r="B539" s="31" t="n">
        <x:v>46093</x:v>
      </x:c>
      <x:c r="C539" s="31" t="inlineStr">
        <x:is>
          <x:t xml:space="preserve">День</x:t>
        </x:is>
      </x:c>
      <x:c r="D539" s="31" t="inlineStr">
        <x:is>
          <x:t xml:space="preserve">ПЗ-00055</x:t>
        </x:is>
      </x:c>
      <x:c r="E539" s="31" t="inlineStr">
        <x:is>
          <x:t xml:space="preserve">ОП-000455</x:t>
        </x:is>
      </x:c>
      <x:c r="F539" s="31" t="inlineStr">
        <x:is>
          <x:t xml:space="preserve">ОБ-009</x:t>
        </x:is>
      </x:c>
      <x:c r="G539" s="31" t="inlineStr">
        <x:is>
          <x:t xml:space="preserve">СОТР-034</x:t>
        </x:is>
      </x:c>
      <x:c r="H539" s="31" t="inlineStr">
        <x:is>
          <x:t xml:space="preserve">Склад</x:t>
        </x:is>
      </x:c>
      <x:c r="I539" s="31" t="n">
        <x:v>1</x:v>
      </x:c>
      <x:c r="J539" s="31" t="n">
        <x:v>0</x:v>
      </x:c>
      <x:c r="K539" s="31" t="n">
        <x:v>13.8</x:v>
      </x:c>
      <x:c r="L539" s="31" t="n">
        <x:v>12.3</x:v>
      </x:c>
      <x:c r="M539" s="31" t="n">
        <x:v>45</x:v>
      </x:c>
      <x:c r="N539" s="31" t="inlineStr">
        <x:is>
          <x:t xml:space="preserve">Нет оператора</x:t>
        </x:is>
      </x:c>
      <x:c r="O539" s="31" t="inlineStr">
        <x:is>
          <x:t xml:space="preserve">Подтверждено мастером</x:t>
        </x:is>
      </x:c>
      <x:c r="P539" s="31" t="inlineStr">
        <x:is>
          <x:t xml:space="preserve">Комментарий смены 571</x:t>
        </x:is>
      </x:c>
    </x:row>
    <x:row r="540">
      <x:c r="A540" s="31" t="inlineStr">
        <x:is>
          <x:t xml:space="preserve">СМ-00572</x:t>
        </x:is>
      </x:c>
      <x:c r="B540" s="31" t="n">
        <x:v>46228</x:v>
      </x:c>
      <x:c r="C540" s="31" t="inlineStr">
        <x:is>
          <x:t xml:space="preserve">День</x:t>
        </x:is>
      </x:c>
      <x:c r="D540" s="31" t="inlineStr">
        <x:is>
          <x:t xml:space="preserve">ПЗ-00161</x:t>
        </x:is>
      </x:c>
      <x:c r="E540" s="31" t="inlineStr">
        <x:is>
          <x:t xml:space="preserve">ОП-001340</x:t>
        </x:is>
      </x:c>
      <x:c r="F540" s="31" t="inlineStr">
        <x:is>
          <x:t xml:space="preserve">ОБ-007</x:t>
        </x:is>
      </x:c>
      <x:c r="G540" s="31" t="inlineStr">
        <x:is>
          <x:t xml:space="preserve">СОТР-100</x:t>
        </x:is>
      </x:c>
      <x:c r="H540" s="31" t="inlineStr">
        <x:is>
          <x:t xml:space="preserve">ОТК</x:t>
        </x:is>
      </x:c>
      <x:c r="I540" s="31" t="n">
        <x:v>1</x:v>
      </x:c>
      <x:c r="J540" s="31" t="n">
        <x:v>0</x:v>
      </x:c>
      <x:c r="K540" s="31" t="n">
        <x:v>60.5</x:v>
      </x:c>
      <x:c r="L540" s="31" t="n">
        <x:v>50.8</x:v>
      </x:c>
      <x:c r="M540" s="31" t="n">
        <x:v>0</x:v>
      </x:c>
      <x:c r="N540" s="31" t="inlineStr">
        <x:is>
          <x:t xml:space="preserve">Нет</x:t>
        </x:is>
      </x:c>
      <x:c r="O540" s="31" t="inlineStr">
        <x:is>
          <x:t xml:space="preserve">Закрыто</x:t>
        </x:is>
      </x:c>
      <x:c r="P540" s="31" t="inlineStr">
        <x:is>
          <x:t xml:space="preserve">Комментарий смены 572</x:t>
        </x:is>
      </x:c>
    </x:row>
    <x:row r="541">
      <x:c r="A541" s="31" t="inlineStr">
        <x:is>
          <x:t xml:space="preserve">СМ-00574</x:t>
        </x:is>
      </x:c>
      <x:c r="B541" s="31" t="n">
        <x:v>46134</x:v>
      </x:c>
      <x:c r="C541" s="31" t="inlineStr">
        <x:is>
          <x:t xml:space="preserve">День</x:t>
        </x:is>
      </x:c>
      <x:c r="D541" s="31" t="inlineStr">
        <x:is>
          <x:t xml:space="preserve">ПЗ-00263</x:t>
        </x:is>
      </x:c>
      <x:c r="E541" s="31" t="inlineStr">
        <x:is>
          <x:t xml:space="preserve">ОП-002192</x:t>
        </x:is>
      </x:c>
      <x:c r="F541" s="31" t="inlineStr">
        <x:is>
          <x:t xml:space="preserve">ОБ-027</x:t>
        </x:is>
      </x:c>
      <x:c r="G541" s="31" t="inlineStr">
        <x:is>
          <x:t xml:space="preserve">СОТР-090</x:t>
        </x:is>
      </x:c>
      <x:c r="H541" s="31" t="inlineStr">
        <x:is>
          <x:t xml:space="preserve">Сборка</x:t>
        </x:is>
      </x:c>
      <x:c r="I541" s="31" t="n">
        <x:v>1</x:v>
      </x:c>
      <x:c r="J541" s="31" t="n">
        <x:v>1</x:v>
      </x:c>
      <x:c r="K541" s="31" t="n">
        <x:v>3.3</x:v>
      </x:c>
      <x:c r="L541" s="31" t="n">
        <x:v>4.1</x:v>
      </x:c>
      <x:c r="M541" s="31" t="n">
        <x:v>0</x:v>
      </x:c>
      <x:c r="N541" s="31" t="inlineStr">
        <x:is>
          <x:t xml:space="preserve">Нет</x:t>
        </x:is>
      </x:c>
      <x:c r="O541" s="31" t="inlineStr">
        <x:is>
          <x:t xml:space="preserve">Закрыто</x:t>
        </x:is>
      </x:c>
      <x:c r="P541" s="31" t="inlineStr">
        <x:is>
          <x:t xml:space="preserve">Комментарий смены 574</x:t>
        </x:is>
      </x:c>
    </x:row>
    <x:row r="542">
      <x:c r="A542" s="31" t="inlineStr">
        <x:is>
          <x:t xml:space="preserve">СМ-00575</x:t>
        </x:is>
      </x:c>
      <x:c r="B542" s="31" t="n">
        <x:v>46211</x:v>
      </x:c>
      <x:c r="C542" s="31" t="inlineStr">
        <x:is>
          <x:t xml:space="preserve">День</x:t>
        </x:is>
      </x:c>
      <x:c r="D542" s="31" t="inlineStr">
        <x:is>
          <x:t xml:space="preserve">ПЗ-00224</x:t>
        </x:is>
      </x:c>
      <x:c r="E542" s="31" t="inlineStr">
        <x:is>
          <x:t xml:space="preserve">ОП-001882</x:t>
        </x:is>
      </x:c>
      <x:c r="F542" s="31" t="n"/>
      <x:c r="G542" s="31" t="inlineStr">
        <x:is>
          <x:t xml:space="preserve">СОТР-014</x:t>
        </x:is>
      </x:c>
      <x:c r="H542" s="31" t="inlineStr">
        <x:is>
          <x:t xml:space="preserve">Инженерный отдел</x:t>
        </x:is>
      </x:c>
      <x:c r="I542" s="31" t="n">
        <x:v>4</x:v>
      </x:c>
      <x:c r="J542" s="31" t="n">
        <x:v>5</x:v>
      </x:c>
      <x:c r="K542" s="31" t="n">
        <x:v>28.4</x:v>
      </x:c>
      <x:c r="L542" s="31" t="n">
        <x:v>34.6</x:v>
      </x:c>
      <x:c r="M542" s="31" t="n">
        <x:v>60</x:v>
      </x:c>
      <x:c r="N542" s="31" t="inlineStr">
        <x:is>
          <x:t xml:space="preserve">Нет оператора</x:t>
        </x:is>
      </x:c>
      <x:c r="O542" s="31" t="inlineStr">
        <x:is>
          <x:t xml:space="preserve">Подтверждено мастером</x:t>
        </x:is>
      </x:c>
      <x:c r="P542" s="31" t="inlineStr">
        <x:is>
          <x:t xml:space="preserve">Комментарий смены 575</x:t>
        </x:is>
      </x:c>
    </x:row>
    <x:row r="543">
      <x:c r="A543" s="31" t="inlineStr">
        <x:is>
          <x:t xml:space="preserve">СМ-00576</x:t>
        </x:is>
      </x:c>
      <x:c r="B543" s="31" t="n">
        <x:v>46177</x:v>
      </x:c>
      <x:c r="C543" s="31" t="inlineStr">
        <x:is>
          <x:t xml:space="preserve">День</x:t>
        </x:is>
      </x:c>
      <x:c r="D543" s="31" t="inlineStr">
        <x:is>
          <x:t xml:space="preserve">ПЗ-00215</x:t>
        </x:is>
      </x:c>
      <x:c r="E543" s="31" t="inlineStr">
        <x:is>
          <x:t xml:space="preserve">ОП-001804</x:t>
        </x:is>
      </x:c>
      <x:c r="F543" s="31" t="inlineStr">
        <x:is>
          <x:t xml:space="preserve">ОБ-010</x:t>
        </x:is>
      </x:c>
      <x:c r="G543" s="31" t="inlineStr">
        <x:is>
          <x:t xml:space="preserve">СОТР-060</x:t>
        </x:is>
      </x:c>
      <x:c r="H543" s="31" t="inlineStr">
        <x:is>
          <x:t xml:space="preserve">Сварка</x:t>
        </x:is>
      </x:c>
      <x:c r="I543" s="31" t="n">
        <x:v>2</x:v>
      </x:c>
      <x:c r="J543" s="31" t="n">
        <x:v>0</x:v>
      </x:c>
      <x:c r="K543" s="31" t="n">
        <x:v>3.2</x:v>
      </x:c>
      <x:c r="L543" s="31" t="n">
        <x:v>3.2</x:v>
      </x:c>
      <x:c r="M543" s="31" t="n">
        <x:v>30</x:v>
      </x:c>
      <x:c r="N543" s="31" t="inlineStr">
        <x:is>
          <x:t xml:space="preserve">Переналадка</x:t>
        </x:is>
      </x:c>
      <x:c r="O543" s="31" t="inlineStr">
        <x:is>
          <x:t xml:space="preserve">Подтверждено мастером</x:t>
        </x:is>
      </x:c>
      <x:c r="P543" s="31" t="inlineStr">
        <x:is>
          <x:t xml:space="preserve">Комментарий смены 576</x:t>
        </x:is>
      </x:c>
    </x:row>
    <x:row r="544">
      <x:c r="A544" s="31" t="inlineStr">
        <x:is>
          <x:t xml:space="preserve">СМ-00577</x:t>
        </x:is>
      </x:c>
      <x:c r="B544" s="31" t="n">
        <x:v>46195</x:v>
      </x:c>
      <x:c r="C544" s="31" t="inlineStr">
        <x:is>
          <x:t xml:space="preserve">День</x:t>
        </x:is>
      </x:c>
      <x:c r="D544" s="31" t="inlineStr">
        <x:is>
          <x:t xml:space="preserve">ПЗ-00147</x:t>
        </x:is>
      </x:c>
      <x:c r="E544" s="31" t="inlineStr">
        <x:is>
          <x:t xml:space="preserve">ОП-001220</x:t>
        </x:is>
      </x:c>
      <x:c r="F544" s="31" t="inlineStr">
        <x:is>
          <x:t xml:space="preserve">ОБ-023</x:t>
        </x:is>
      </x:c>
      <x:c r="G544" s="31" t="inlineStr">
        <x:is>
          <x:t xml:space="preserve">СОТР-039</x:t>
        </x:is>
      </x:c>
      <x:c r="H544" s="31" t="inlineStr">
        <x:is>
          <x:t xml:space="preserve">Склад</x:t>
        </x:is>
      </x:c>
      <x:c r="I544" s="31" t="n">
        <x:v>2</x:v>
      </x:c>
      <x:c r="J544" s="31" t="n">
        <x:v>2</x:v>
      </x:c>
      <x:c r="K544" s="31" t="n">
        <x:v>12.3</x:v>
      </x:c>
      <x:c r="L544" s="31" t="n">
        <x:v>12.9</x:v>
      </x:c>
      <x:c r="M544" s="31" t="n">
        <x:v>0</x:v>
      </x:c>
      <x:c r="N544" s="31" t="inlineStr">
        <x:is>
          <x:t xml:space="preserve">Нет</x:t>
        </x:is>
      </x:c>
      <x:c r="O544" s="31" t="inlineStr">
        <x:is>
          <x:t xml:space="preserve">Подтверждено мастером</x:t>
        </x:is>
      </x:c>
      <x:c r="P544" s="31" t="inlineStr">
        <x:is>
          <x:t xml:space="preserve">Комментарий смены 577</x:t>
        </x:is>
      </x:c>
    </x:row>
    <x:row r="545">
      <x:c r="A545" s="31" t="inlineStr">
        <x:is>
          <x:t xml:space="preserve">СМ-00578</x:t>
        </x:is>
      </x:c>
      <x:c r="B545" s="31" t="n">
        <x:v>46198</x:v>
      </x:c>
      <x:c r="C545" s="31" t="inlineStr">
        <x:is>
          <x:t xml:space="preserve">День</x:t>
        </x:is>
      </x:c>
      <x:c r="D545" s="31" t="inlineStr">
        <x:is>
          <x:t xml:space="preserve">ПЗ-00049</x:t>
        </x:is>
      </x:c>
      <x:c r="E545" s="31" t="inlineStr">
        <x:is>
          <x:t xml:space="preserve">ОП-000405</x:t>
        </x:is>
      </x:c>
      <x:c r="F545" s="31" t="n"/>
      <x:c r="G545" s="31" t="inlineStr">
        <x:is>
          <x:t xml:space="preserve">СОТР-101</x:t>
        </x:is>
      </x:c>
      <x:c r="H545" s="31" t="inlineStr">
        <x:is>
          <x:t xml:space="preserve">Логистика</x:t>
        </x:is>
      </x:c>
      <x:c r="I545" s="31" t="n">
        <x:v>5</x:v>
      </x:c>
      <x:c r="J545" s="31" t="n">
        <x:v>5</x:v>
      </x:c>
      <x:c r="K545" s="31" t="n">
        <x:v>142.5</x:v>
      </x:c>
      <x:c r="L545" s="31" t="n">
        <x:v>159.5</x:v>
      </x:c>
      <x:c r="M545" s="31" t="n">
        <x:v>120</x:v>
      </x:c>
      <x:c r="N545" s="31" t="inlineStr">
        <x:is>
          <x:t xml:space="preserve">Ожидание материала</x:t>
        </x:is>
      </x:c>
      <x:c r="O545" s="31" t="inlineStr">
        <x:is>
          <x:t xml:space="preserve">Закрыто</x:t>
        </x:is>
      </x:c>
      <x:c r="P545" s="31" t="inlineStr">
        <x:is>
          <x:t xml:space="preserve">Комментарий смены 578</x:t>
        </x:is>
      </x:c>
    </x:row>
    <x:row r="546">
      <x:c r="A546" s="31" t="inlineStr">
        <x:is>
          <x:t xml:space="preserve">СМ-00579</x:t>
        </x:is>
      </x:c>
      <x:c r="B546" s="31" t="n">
        <x:v>46170</x:v>
      </x:c>
      <x:c r="C546" s="31" t="inlineStr">
        <x:is>
          <x:t xml:space="preserve">День</x:t>
        </x:is>
      </x:c>
      <x:c r="D546" s="31" t="inlineStr">
        <x:is>
          <x:t xml:space="preserve">ПЗ-00264</x:t>
        </x:is>
      </x:c>
      <x:c r="E546" s="31" t="inlineStr">
        <x:is>
          <x:t xml:space="preserve">ОП-002198</x:t>
        </x:is>
      </x:c>
      <x:c r="F546" s="31" t="inlineStr">
        <x:is>
          <x:t xml:space="preserve">ОБ-011</x:t>
        </x:is>
      </x:c>
      <x:c r="G546" s="31" t="inlineStr">
        <x:is>
          <x:t xml:space="preserve">СОТР-037</x:t>
        </x:is>
      </x:c>
      <x:c r="H546" s="31" t="inlineStr">
        <x:is>
          <x:t xml:space="preserve">Склад</x:t>
        </x:is>
      </x:c>
      <x:c r="I546" s="31" t="n">
        <x:v>3</x:v>
      </x:c>
      <x:c r="J546" s="31" t="n">
        <x:v>3</x:v>
      </x:c>
      <x:c r="K546" s="31" t="n">
        <x:v>21</x:v>
      </x:c>
      <x:c r="L546" s="31" t="n">
        <x:v>22.5</x:v>
      </x:c>
      <x:c r="M546" s="31" t="n">
        <x:v>60</x:v>
      </x:c>
      <x:c r="N546" s="31" t="inlineStr">
        <x:is>
          <x:t xml:space="preserve">Ожидание ОТК</x:t>
        </x:is>
      </x:c>
      <x:c r="O546" s="31" t="inlineStr">
        <x:is>
          <x:t xml:space="preserve">Подтверждено мастером</x:t>
        </x:is>
      </x:c>
      <x:c r="P546" s="31" t="inlineStr">
        <x:is>
          <x:t xml:space="preserve">Комментарий смены 579</x:t>
        </x:is>
      </x:c>
    </x:row>
    <x:row r="547">
      <x:c r="A547" s="31" t="inlineStr">
        <x:is>
          <x:t xml:space="preserve">СМ-00580</x:t>
        </x:is>
      </x:c>
      <x:c r="B547" s="31" t="n">
        <x:v>46055</x:v>
      </x:c>
      <x:c r="C547" s="31" t="inlineStr">
        <x:is>
          <x:t xml:space="preserve">День</x:t>
        </x:is>
      </x:c>
      <x:c r="D547" s="31" t="inlineStr">
        <x:is>
          <x:t xml:space="preserve">ПЗ-00253</x:t>
        </x:is>
      </x:c>
      <x:c r="E547" s="31" t="inlineStr">
        <x:is>
          <x:t xml:space="preserve">ОП-002115</x:t>
        </x:is>
      </x:c>
      <x:c r="F547" s="31" t="inlineStr">
        <x:is>
          <x:t xml:space="preserve">ОБ-019</x:t>
        </x:is>
      </x:c>
      <x:c r="G547" s="31" t="inlineStr">
        <x:is>
          <x:t xml:space="preserve">СОТР-062</x:t>
        </x:is>
      </x:c>
      <x:c r="H547" s="31" t="inlineStr">
        <x:is>
          <x:t xml:space="preserve">Сварка</x:t>
        </x:is>
      </x:c>
      <x:c r="I547" s="31" t="n">
        <x:v>2</x:v>
      </x:c>
      <x:c r="J547" s="31" t="n">
        <x:v>3</x:v>
      </x:c>
      <x:c r="K547" s="31" t="n">
        <x:v>34.4</x:v>
      </x:c>
      <x:c r="L547" s="31" t="n">
        <x:v>31.1</x:v>
      </x:c>
      <x:c r="M547" s="31" t="n">
        <x:v>0</x:v>
      </x:c>
      <x:c r="N547" s="31" t="inlineStr">
        <x:is>
          <x:t xml:space="preserve">Нет</x:t>
        </x:is>
      </x:c>
      <x:c r="O547" s="31" t="inlineStr">
        <x:is>
          <x:t xml:space="preserve">Подтверждено мастером</x:t>
        </x:is>
      </x:c>
      <x:c r="P547" s="31" t="inlineStr">
        <x:is>
          <x:t xml:space="preserve">Комментарий смены 580</x:t>
        </x:is>
      </x:c>
    </x:row>
    <x:row r="548">
      <x:c r="A548" s="31" t="inlineStr">
        <x:is>
          <x:t xml:space="preserve">СМ-00581</x:t>
        </x:is>
      </x:c>
      <x:c r="B548" s="31" t="n">
        <x:v>46118</x:v>
      </x:c>
      <x:c r="C548" s="31" t="inlineStr">
        <x:is>
          <x:t xml:space="preserve">День</x:t>
        </x:is>
      </x:c>
      <x:c r="D548" s="31" t="inlineStr">
        <x:is>
          <x:t xml:space="preserve">ПЗ-00261</x:t>
        </x:is>
      </x:c>
      <x:c r="E548" s="31" t="inlineStr">
        <x:is>
          <x:t xml:space="preserve">ОП-002175</x:t>
        </x:is>
      </x:c>
      <x:c r="F548" s="31" t="inlineStr">
        <x:is>
          <x:t xml:space="preserve">ОБ-028</x:t>
        </x:is>
      </x:c>
      <x:c r="G548" s="31" t="inlineStr">
        <x:is>
          <x:t xml:space="preserve">СОТР-099</x:t>
        </x:is>
      </x:c>
      <x:c r="H548" s="31" t="inlineStr">
        <x:is>
          <x:t xml:space="preserve">ОТК</x:t>
        </x:is>
      </x:c>
      <x:c r="I548" s="31" t="n">
        <x:v>2</x:v>
      </x:c>
      <x:c r="J548" s="31" t="n">
        <x:v>2</x:v>
      </x:c>
      <x:c r="K548" s="31" t="n">
        <x:v>8.800000000000001</x:v>
      </x:c>
      <x:c r="L548" s="31" t="n">
        <x:v>6.8</x:v>
      </x:c>
      <x:c r="M548" s="31" t="n">
        <x:v>15</x:v>
      </x:c>
      <x:c r="N548" s="31" t="inlineStr">
        <x:is>
          <x:t xml:space="preserve">Ожидание ОТК</x:t>
        </x:is>
      </x:c>
      <x:c r="O548" s="31" t="inlineStr">
        <x:is>
          <x:t xml:space="preserve">Подтверждено мастером</x:t>
        </x:is>
      </x:c>
      <x:c r="P548" s="31" t="inlineStr">
        <x:is>
          <x:t xml:space="preserve">Комментарий смены 581</x:t>
        </x:is>
      </x:c>
    </x:row>
    <x:row r="549">
      <x:c r="A549" s="31" t="inlineStr">
        <x:is>
          <x:t xml:space="preserve">СМ-00582</x:t>
        </x:is>
      </x:c>
      <x:c r="B549" s="31" t="n">
        <x:v>46175</x:v>
      </x:c>
      <x:c r="C549" s="31" t="inlineStr">
        <x:is>
          <x:t xml:space="preserve">День</x:t>
        </x:is>
      </x:c>
      <x:c r="D549" s="31" t="inlineStr">
        <x:is>
          <x:t xml:space="preserve">ПЗ-00130</x:t>
        </x:is>
      </x:c>
      <x:c r="E549" s="31" t="inlineStr">
        <x:is>
          <x:t xml:space="preserve">ОП-001081</x:t>
        </x:is>
      </x:c>
      <x:c r="F549" s="31" t="n"/>
      <x:c r="G549" s="31" t="inlineStr">
        <x:is>
          <x:t xml:space="preserve">СОТР-015</x:t>
        </x:is>
      </x:c>
      <x:c r="H549" s="31" t="inlineStr">
        <x:is>
          <x:t xml:space="preserve">Инженерный отдел</x:t>
        </x:is>
      </x:c>
      <x:c r="I549" s="31" t="n">
        <x:v>3</x:v>
      </x:c>
      <x:c r="J549" s="31" t="n">
        <x:v>4</x:v>
      </x:c>
      <x:c r="K549" s="31" t="n">
        <x:v>10.8</x:v>
      </x:c>
      <x:c r="L549" s="31" t="n">
        <x:v>13.7</x:v>
      </x:c>
      <x:c r="M549" s="31" t="n">
        <x:v>90</x:v>
      </x:c>
      <x:c r="N549" s="31" t="inlineStr">
        <x:is>
          <x:t xml:space="preserve">Ожидание материала</x:t>
        </x:is>
      </x:c>
      <x:c r="O549" s="31" t="inlineStr">
        <x:is>
          <x:t xml:space="preserve">Подтверждено мастером</x:t>
        </x:is>
      </x:c>
      <x:c r="P549" s="31" t="inlineStr">
        <x:is>
          <x:t xml:space="preserve">Комментарий смены 582</x:t>
        </x:is>
      </x:c>
    </x:row>
    <x:row r="550">
      <x:c r="A550" s="31" t="inlineStr">
        <x:is>
          <x:t xml:space="preserve">СМ-00583</x:t>
        </x:is>
      </x:c>
      <x:c r="B550" s="31" t="n">
        <x:v>46080</x:v>
      </x:c>
      <x:c r="C550" s="31" t="inlineStr">
        <x:is>
          <x:t xml:space="preserve">Ночь</x:t>
        </x:is>
      </x:c>
      <x:c r="D550" s="31" t="inlineStr">
        <x:is>
          <x:t xml:space="preserve">ПЗ-00025</x:t>
        </x:is>
      </x:c>
      <x:c r="E550" s="31" t="inlineStr">
        <x:is>
          <x:t xml:space="preserve">ОП-000212</x:t>
        </x:is>
      </x:c>
      <x:c r="F550" s="31" t="inlineStr">
        <x:is>
          <x:t xml:space="preserve">ОБ-025</x:t>
        </x:is>
      </x:c>
      <x:c r="G550" s="31" t="inlineStr">
        <x:is>
          <x:t xml:space="preserve">СОТР-036</x:t>
        </x:is>
      </x:c>
      <x:c r="H550" s="31" t="inlineStr">
        <x:is>
          <x:t xml:space="preserve">Склад</x:t>
        </x:is>
      </x:c>
      <x:c r="I550" s="31" t="n">
        <x:v>1</x:v>
      </x:c>
      <x:c r="J550" s="31" t="n">
        <x:v>2</x:v>
      </x:c>
      <x:c r="K550" s="31" t="n">
        <x:v>23.8</x:v>
      </x:c>
      <x:c r="L550" s="31" t="n">
        <x:v>27.2</x:v>
      </x:c>
      <x:c r="M550" s="31" t="n">
        <x:v>120</x:v>
      </x:c>
      <x:c r="N550" s="31" t="inlineStr">
        <x:is>
          <x:t xml:space="preserve">Переналадка</x:t>
        </x:is>
      </x:c>
      <x:c r="O550" s="31" t="inlineStr">
        <x:is>
          <x:t xml:space="preserve">Подтверждено мастером</x:t>
        </x:is>
      </x:c>
      <x:c r="P550" s="31" t="inlineStr">
        <x:is>
          <x:t xml:space="preserve">Комментарий смены 583</x:t>
        </x:is>
      </x:c>
    </x:row>
    <x:row r="551">
      <x:c r="A551" s="31" t="inlineStr">
        <x:is>
          <x:t xml:space="preserve">СМ-00584</x:t>
        </x:is>
      </x:c>
      <x:c r="B551" s="31" t="n">
        <x:v>46084</x:v>
      </x:c>
      <x:c r="C551" s="31" t="inlineStr">
        <x:is>
          <x:t xml:space="preserve">Ночь</x:t>
        </x:is>
      </x:c>
      <x:c r="D551" s="31" t="inlineStr">
        <x:is>
          <x:t xml:space="preserve">ПЗ-00026</x:t>
        </x:is>
      </x:c>
      <x:c r="E551" s="31" t="inlineStr">
        <x:is>
          <x:t xml:space="preserve">ОП-000227</x:t>
        </x:is>
      </x:c>
      <x:c r="F551" s="31" t="inlineStr">
        <x:is>
          <x:t xml:space="preserve">ОБ-006</x:t>
        </x:is>
      </x:c>
      <x:c r="G551" s="31" t="inlineStr">
        <x:is>
          <x:t xml:space="preserve">СОТР-098</x:t>
        </x:is>
      </x:c>
      <x:c r="H551" s="31" t="inlineStr">
        <x:is>
          <x:t xml:space="preserve">ОТК</x:t>
        </x:is>
      </x:c>
      <x:c r="I551" s="31" t="n">
        <x:v>1</x:v>
      </x:c>
      <x:c r="J551" s="31" t="n">
        <x:v>1</x:v>
      </x:c>
      <x:c r="K551" s="31" t="n">
        <x:v>12.4</x:v>
      </x:c>
      <x:c r="L551" s="31" t="n">
        <x:v>13.1</x:v>
      </x:c>
      <x:c r="M551" s="31" t="n">
        <x:v>30</x:v>
      </x:c>
      <x:c r="N551" s="31" t="inlineStr">
        <x:is>
          <x:t xml:space="preserve">Переналадка</x:t>
        </x:is>
      </x:c>
      <x:c r="O551" s="31" t="inlineStr">
        <x:is>
          <x:t xml:space="preserve">Закрыто</x:t>
        </x:is>
      </x:c>
      <x:c r="P551" s="31" t="inlineStr">
        <x:is>
          <x:t xml:space="preserve">Комментарий смены 584</x:t>
        </x:is>
      </x:c>
    </x:row>
    <x:row r="552">
      <x:c r="A552" s="31" t="inlineStr">
        <x:is>
          <x:t xml:space="preserve">СМ-00585</x:t>
        </x:is>
      </x:c>
      <x:c r="B552" s="31" t="n">
        <x:v>46150</x:v>
      </x:c>
      <x:c r="C552" s="31" t="inlineStr">
        <x:is>
          <x:t xml:space="preserve">День</x:t>
        </x:is>
      </x:c>
      <x:c r="D552" s="31" t="inlineStr">
        <x:is>
          <x:t xml:space="preserve">ПЗ-00018</x:t>
        </x:is>
      </x:c>
      <x:c r="E552" s="31" t="inlineStr">
        <x:is>
          <x:t xml:space="preserve">ОП-000152</x:t>
        </x:is>
      </x:c>
      <x:c r="F552" s="31" t="inlineStr">
        <x:is>
          <x:t xml:space="preserve">ОБ-016</x:t>
        </x:is>
      </x:c>
      <x:c r="G552" s="31" t="inlineStr">
        <x:is>
          <x:t xml:space="preserve">СОТР-077</x:t>
        </x:is>
      </x:c>
      <x:c r="H552" s="31" t="inlineStr">
        <x:is>
          <x:t xml:space="preserve">Сборка</x:t>
        </x:is>
      </x:c>
      <x:c r="I552" s="31" t="n">
        <x:v>1</x:v>
      </x:c>
      <x:c r="J552" s="31" t="n">
        <x:v>1</x:v>
      </x:c>
      <x:c r="K552" s="31" t="n">
        <x:v>7.9</x:v>
      </x:c>
      <x:c r="L552" s="31" t="n">
        <x:v>9.5</x:v>
      </x:c>
      <x:c r="M552" s="31" t="n">
        <x:v>30</x:v>
      </x:c>
      <x:c r="N552" s="31" t="inlineStr">
        <x:is>
          <x:t xml:space="preserve">Ремонт оборудования</x:t>
        </x:is>
      </x:c>
      <x:c r="O552" s="31" t="inlineStr">
        <x:is>
          <x:t xml:space="preserve">Подтверждено мастером</x:t>
        </x:is>
      </x:c>
      <x:c r="P552" s="31" t="inlineStr">
        <x:is>
          <x:t xml:space="preserve">Комментарий смены 585</x:t>
        </x:is>
      </x:c>
    </x:row>
    <x:row r="553">
      <x:c r="A553" s="31" t="inlineStr">
        <x:is>
          <x:t xml:space="preserve">СМ-00586</x:t>
        </x:is>
      </x:c>
      <x:c r="B553" s="31" t="n">
        <x:v>46125</x:v>
      </x:c>
      <x:c r="C553" s="31" t="inlineStr">
        <x:is>
          <x:t xml:space="preserve">День</x:t>
        </x:is>
      </x:c>
      <x:c r="D553" s="31" t="inlineStr">
        <x:is>
          <x:t xml:space="preserve">ПЗ-00108</x:t>
        </x:is>
      </x:c>
      <x:c r="E553" s="31" t="inlineStr">
        <x:is>
          <x:t xml:space="preserve">ОП-000906</x:t>
        </x:is>
      </x:c>
      <x:c r="F553" s="31" t="inlineStr">
        <x:is>
          <x:t xml:space="preserve">ОБ-022</x:t>
        </x:is>
      </x:c>
      <x:c r="G553" s="31" t="inlineStr">
        <x:is>
          <x:t xml:space="preserve">СОТР-093</x:t>
        </x:is>
      </x:c>
      <x:c r="H553" s="31" t="inlineStr">
        <x:is>
          <x:t xml:space="preserve">ОТК</x:t>
        </x:is>
      </x:c>
      <x:c r="I553" s="31" t="n">
        <x:v>2</x:v>
      </x:c>
      <x:c r="J553" s="31" t="n">
        <x:v>3</x:v>
      </x:c>
      <x:c r="K553" s="31" t="n">
        <x:v>15.6</x:v>
      </x:c>
      <x:c r="L553" s="31" t="n">
        <x:v>14.7</x:v>
      </x:c>
      <x:c r="M553" s="31" t="n">
        <x:v>90</x:v>
      </x:c>
      <x:c r="N553" s="31" t="inlineStr">
        <x:is>
          <x:t xml:space="preserve">Переналадка</x:t>
        </x:is>
      </x:c>
      <x:c r="O553" s="31" t="inlineStr">
        <x:is>
          <x:t xml:space="preserve">Черновик</x:t>
        </x:is>
      </x:c>
      <x:c r="P553" s="31" t="inlineStr">
        <x:is>
          <x:t xml:space="preserve">Комментарий смены 586</x:t>
        </x:is>
      </x:c>
    </x:row>
    <x:row r="554">
      <x:c r="A554" s="31" t="inlineStr">
        <x:is>
          <x:t xml:space="preserve">СМ-00587</x:t>
        </x:is>
      </x:c>
      <x:c r="B554" s="31" t="n">
        <x:v>46168</x:v>
      </x:c>
      <x:c r="C554" s="31" t="inlineStr">
        <x:is>
          <x:t xml:space="preserve">Ночь</x:t>
        </x:is>
      </x:c>
      <x:c r="D554" s="31" t="inlineStr">
        <x:is>
          <x:t xml:space="preserve">ПЗ-00197</x:t>
        </x:is>
      </x:c>
      <x:c r="E554" s="31" t="inlineStr">
        <x:is>
          <x:t xml:space="preserve">ОП-001652</x:t>
        </x:is>
      </x:c>
      <x:c r="F554" s="31" t="n"/>
      <x:c r="G554" s="31" t="inlineStr">
        <x:is>
          <x:t xml:space="preserve">СОТР-014</x:t>
        </x:is>
      </x:c>
      <x:c r="H554" s="31" t="inlineStr">
        <x:is>
          <x:t xml:space="preserve">Инженерный отдел</x:t>
        </x:is>
      </x:c>
      <x:c r="I554" s="31" t="n">
        <x:v>2</x:v>
      </x:c>
      <x:c r="J554" s="31" t="n">
        <x:v>2</x:v>
      </x:c>
      <x:c r="K554" s="31" t="n">
        <x:v>69.5</x:v>
      </x:c>
      <x:c r="L554" s="31" t="n">
        <x:v>65.40000000000001</x:v>
      </x:c>
      <x:c r="M554" s="31" t="n">
        <x:v>60</x:v>
      </x:c>
      <x:c r="N554" s="31" t="inlineStr">
        <x:is>
          <x:t xml:space="preserve">Ожидание ОТК</x:t>
        </x:is>
      </x:c>
      <x:c r="O554" s="31" t="inlineStr">
        <x:is>
          <x:t xml:space="preserve">Подтверждено мастером</x:t>
        </x:is>
      </x:c>
      <x:c r="P554" s="31" t="inlineStr">
        <x:is>
          <x:t xml:space="preserve">Комментарий смены 587</x:t>
        </x:is>
      </x:c>
    </x:row>
    <x:row r="555">
      <x:c r="A555" s="31" t="inlineStr">
        <x:is>
          <x:t xml:space="preserve">СМ-00588</x:t>
        </x:is>
      </x:c>
      <x:c r="B555" s="31" t="n">
        <x:v>46148</x:v>
      </x:c>
      <x:c r="C555" s="31" t="inlineStr">
        <x:is>
          <x:t xml:space="preserve">Ночь</x:t>
        </x:is>
      </x:c>
      <x:c r="D555" s="31" t="inlineStr">
        <x:is>
          <x:t xml:space="preserve">ПЗ-00243</x:t>
        </x:is>
      </x:c>
      <x:c r="E555" s="31" t="inlineStr">
        <x:is>
          <x:t xml:space="preserve">ОП-002037</x:t>
        </x:is>
      </x:c>
      <x:c r="F555" s="31" t="n"/>
      <x:c r="G555" s="31" t="inlineStr">
        <x:is>
          <x:t xml:space="preserve">СОТР-101</x:t>
        </x:is>
      </x:c>
      <x:c r="H555" s="31" t="inlineStr">
        <x:is>
          <x:t xml:space="preserve">Логистика</x:t>
        </x:is>
      </x:c>
      <x:c r="I555" s="31" t="n">
        <x:v>16</x:v>
      </x:c>
      <x:c r="J555" s="31" t="n">
        <x:v>16</x:v>
      </x:c>
      <x:c r="K555" s="31" t="n">
        <x:v>161.5</x:v>
      </x:c>
      <x:c r="L555" s="31" t="n">
        <x:v>195.1</x:v>
      </x:c>
      <x:c r="M555" s="31" t="n">
        <x:v>15</x:v>
      </x:c>
      <x:c r="N555" s="31" t="inlineStr">
        <x:is>
          <x:t xml:space="preserve">Ожидание материала</x:t>
        </x:is>
      </x:c>
      <x:c r="O555" s="31" t="inlineStr">
        <x:is>
          <x:t xml:space="preserve">Спорный факт</x:t>
        </x:is>
      </x:c>
      <x:c r="P555" s="31" t="inlineStr">
        <x:is>
          <x:t xml:space="preserve">Комментарий смены 588</x:t>
        </x:is>
      </x:c>
    </x:row>
    <x:row r="556">
      <x:c r="A556" s="31" t="inlineStr">
        <x:is>
          <x:t xml:space="preserve">СМ-00589</x:t>
        </x:is>
      </x:c>
      <x:c r="B556" s="31" t="n">
        <x:v>46123</x:v>
      </x:c>
      <x:c r="C556" s="31" t="inlineStr">
        <x:is>
          <x:t xml:space="preserve">День</x:t>
        </x:is>
      </x:c>
      <x:c r="D556" s="31" t="inlineStr">
        <x:is>
          <x:t xml:space="preserve">ПЗ-00262</x:t>
        </x:is>
      </x:c>
      <x:c r="E556" s="31" t="inlineStr">
        <x:is>
          <x:t xml:space="preserve">ОП-002183</x:t>
        </x:is>
      </x:c>
      <x:c r="F556" s="31" t="inlineStr">
        <x:is>
          <x:t xml:space="preserve">ОБ-014</x:t>
        </x:is>
      </x:c>
      <x:c r="G556" s="31" t="inlineStr">
        <x:is>
          <x:t xml:space="preserve">СОТР-081</x:t>
        </x:is>
      </x:c>
      <x:c r="H556" s="31" t="inlineStr">
        <x:is>
          <x:t xml:space="preserve">Сборка</x:t>
        </x:is>
      </x:c>
      <x:c r="I556" s="31" t="n">
        <x:v>1</x:v>
      </x:c>
      <x:c r="J556" s="31" t="n">
        <x:v>1</x:v>
      </x:c>
      <x:c r="K556" s="31" t="n">
        <x:v>7.2</x:v>
      </x:c>
      <x:c r="L556" s="31" t="n">
        <x:v>8.199999999999999</x:v>
      </x:c>
      <x:c r="M556" s="31" t="n">
        <x:v>0</x:v>
      </x:c>
      <x:c r="N556" s="31" t="inlineStr">
        <x:is>
          <x:t xml:space="preserve">Нет</x:t>
        </x:is>
      </x:c>
      <x:c r="O556" s="31" t="inlineStr">
        <x:is>
          <x:t xml:space="preserve">Подтверждено мастером</x:t>
        </x:is>
      </x:c>
      <x:c r="P556" s="31" t="inlineStr">
        <x:is>
          <x:t xml:space="preserve">Комментарий смены 589</x:t>
        </x:is>
      </x:c>
    </x:row>
    <x:row r="557">
      <x:c r="A557" s="31" t="inlineStr">
        <x:is>
          <x:t xml:space="preserve">СМ-00590</x:t>
        </x:is>
      </x:c>
      <x:c r="B557" s="31" t="n">
        <x:v>46165</x:v>
      </x:c>
      <x:c r="C557" s="31" t="inlineStr">
        <x:is>
          <x:t xml:space="preserve">Вечер</x:t>
        </x:is>
      </x:c>
      <x:c r="D557" s="31" t="inlineStr">
        <x:is>
          <x:t xml:space="preserve">ПЗ-00205</x:t>
        </x:is>
      </x:c>
      <x:c r="E557" s="31" t="inlineStr">
        <x:is>
          <x:t xml:space="preserve">ОП-001715</x:t>
        </x:is>
      </x:c>
      <x:c r="F557" s="31" t="inlineStr">
        <x:is>
          <x:t xml:space="preserve">ОБ-021</x:t>
        </x:is>
      </x:c>
      <x:c r="G557" s="31" t="inlineStr">
        <x:is>
          <x:t xml:space="preserve">СОТР-066</x:t>
        </x:is>
      </x:c>
      <x:c r="H557" s="31" t="inlineStr">
        <x:is>
          <x:t xml:space="preserve">Сварка</x:t>
        </x:is>
      </x:c>
      <x:c r="I557" s="31" t="n">
        <x:v>5</x:v>
      </x:c>
      <x:c r="J557" s="31" t="n">
        <x:v>5</x:v>
      </x:c>
      <x:c r="K557" s="31" t="n">
        <x:v>23.5</x:v>
      </x:c>
      <x:c r="L557" s="31" t="n">
        <x:v>20.6</x:v>
      </x:c>
      <x:c r="M557" s="31" t="n">
        <x:v>60</x:v>
      </x:c>
      <x:c r="N557" s="31" t="inlineStr">
        <x:is>
          <x:t xml:space="preserve">Ремонт оборудования</x:t>
        </x:is>
      </x:c>
      <x:c r="O557" s="31" t="inlineStr">
        <x:is>
          <x:t xml:space="preserve">Подтверждено мастером</x:t>
        </x:is>
      </x:c>
      <x:c r="P557" s="31" t="inlineStr">
        <x:is>
          <x:t xml:space="preserve">Комментарий смены 590</x:t>
        </x:is>
      </x:c>
    </x:row>
    <x:row r="558">
      <x:c r="A558" s="31" t="inlineStr">
        <x:is>
          <x:t xml:space="preserve">СМ-00591</x:t>
        </x:is>
      </x:c>
      <x:c r="B558" s="31" t="n">
        <x:v>46098</x:v>
      </x:c>
      <x:c r="C558" s="31" t="inlineStr">
        <x:is>
          <x:t xml:space="preserve">День</x:t>
        </x:is>
      </x:c>
      <x:c r="D558" s="31" t="inlineStr">
        <x:is>
          <x:t xml:space="preserve">ПЗ-00104</x:t>
        </x:is>
      </x:c>
      <x:c r="E558" s="31" t="inlineStr">
        <x:is>
          <x:t xml:space="preserve">ОП-000867</x:t>
        </x:is>
      </x:c>
      <x:c r="F558" s="31" t="inlineStr">
        <x:is>
          <x:t xml:space="preserve">ОБ-012</x:t>
        </x:is>
      </x:c>
      <x:c r="G558" s="31" t="inlineStr">
        <x:is>
          <x:t xml:space="preserve">СОТР-079</x:t>
        </x:is>
      </x:c>
      <x:c r="H558" s="31" t="inlineStr">
        <x:is>
          <x:t xml:space="preserve">Сборка</x:t>
        </x:is>
      </x:c>
      <x:c r="I558" s="31" t="n">
        <x:v>2</x:v>
      </x:c>
      <x:c r="J558" s="31" t="n">
        <x:v>2</x:v>
      </x:c>
      <x:c r="K558" s="31" t="n">
        <x:v>22</x:v>
      </x:c>
      <x:c r="L558" s="31" t="n">
        <x:v>23.6</x:v>
      </x:c>
      <x:c r="M558" s="31" t="n">
        <x:v>30</x:v>
      </x:c>
      <x:c r="N558" s="31" t="inlineStr">
        <x:is>
          <x:t xml:space="preserve">Ремонт оборудования</x:t>
        </x:is>
      </x:c>
      <x:c r="O558" s="31" t="inlineStr">
        <x:is>
          <x:t xml:space="preserve">Подтверждено мастером</x:t>
        </x:is>
      </x:c>
      <x:c r="P558" s="31" t="inlineStr">
        <x:is>
          <x:t xml:space="preserve">Комментарий смены 591</x:t>
        </x:is>
      </x:c>
    </x:row>
    <x:row r="559">
      <x:c r="A559" s="31" t="inlineStr">
        <x:is>
          <x:t xml:space="preserve">СМ-00592</x:t>
        </x:is>
      </x:c>
      <x:c r="B559" s="31" t="n">
        <x:v>46114</x:v>
      </x:c>
      <x:c r="C559" s="31" t="inlineStr">
        <x:is>
          <x:t xml:space="preserve">День</x:t>
        </x:is>
      </x:c>
      <x:c r="D559" s="31" t="inlineStr">
        <x:is>
          <x:t xml:space="preserve">ПЗ-00013</x:t>
        </x:is>
      </x:c>
      <x:c r="E559" s="31" t="inlineStr">
        <x:is>
          <x:t xml:space="preserve">ОП-000107</x:t>
        </x:is>
      </x:c>
      <x:c r="F559" s="31" t="n"/>
      <x:c r="G559" s="31" t="inlineStr">
        <x:is>
          <x:t xml:space="preserve">СОТР-012</x:t>
        </x:is>
      </x:c>
      <x:c r="H559" s="31" t="inlineStr">
        <x:is>
          <x:t xml:space="preserve">Инженерный отдел</x:t>
        </x:is>
      </x:c>
      <x:c r="I559" s="31" t="n">
        <x:v>3</x:v>
      </x:c>
      <x:c r="J559" s="31" t="n">
        <x:v>3</x:v>
      </x:c>
      <x:c r="K559" s="31" t="n">
        <x:v>21.3</x:v>
      </x:c>
      <x:c r="L559" s="31" t="n">
        <x:v>24.2</x:v>
      </x:c>
      <x:c r="M559" s="31" t="n">
        <x:v>60</x:v>
      </x:c>
      <x:c r="N559" s="31" t="inlineStr">
        <x:is>
          <x:t xml:space="preserve">Нет оператора</x:t>
        </x:is>
      </x:c>
      <x:c r="O559" s="31" t="inlineStr">
        <x:is>
          <x:t xml:space="preserve">Закрыто</x:t>
        </x:is>
      </x:c>
      <x:c r="P559" s="31" t="inlineStr">
        <x:is>
          <x:t xml:space="preserve">Комментарий смены 592</x:t>
        </x:is>
      </x:c>
    </x:row>
    <x:row r="560">
      <x:c r="A560" s="31" t="inlineStr">
        <x:is>
          <x:t xml:space="preserve">СМ-00593</x:t>
        </x:is>
      </x:c>
      <x:c r="B560" s="31" t="n">
        <x:v>46122</x:v>
      </x:c>
      <x:c r="C560" s="31" t="inlineStr">
        <x:is>
          <x:t xml:space="preserve">День</x:t>
        </x:is>
      </x:c>
      <x:c r="D560" s="31" t="inlineStr">
        <x:is>
          <x:t xml:space="preserve">ПЗ-00232</x:t>
        </x:is>
      </x:c>
      <x:c r="E560" s="31" t="inlineStr">
        <x:is>
          <x:t xml:space="preserve">ОП-001943</x:t>
        </x:is>
      </x:c>
      <x:c r="F560" s="31" t="inlineStr">
        <x:is>
          <x:t xml:space="preserve">ОБ-007</x:t>
        </x:is>
      </x:c>
      <x:c r="G560" s="31" t="inlineStr">
        <x:is>
          <x:t xml:space="preserve">СОТР-093</x:t>
        </x:is>
      </x:c>
      <x:c r="H560" s="31" t="inlineStr">
        <x:is>
          <x:t xml:space="preserve">ОТК</x:t>
        </x:is>
      </x:c>
      <x:c r="I560" s="31" t="n">
        <x:v>1</x:v>
      </x:c>
      <x:c r="J560" s="31" t="n">
        <x:v>1</x:v>
      </x:c>
      <x:c r="K560" s="31" t="n">
        <x:v>12.9</x:v>
      </x:c>
      <x:c r="L560" s="31" t="n">
        <x:v>12.7</x:v>
      </x:c>
      <x:c r="M560" s="31" t="n">
        <x:v>120</x:v>
      </x:c>
      <x:c r="N560" s="31" t="inlineStr">
        <x:is>
          <x:t xml:space="preserve">Ожидание материала</x:t>
        </x:is>
      </x:c>
      <x:c r="O560" s="31" t="inlineStr">
        <x:is>
          <x:t xml:space="preserve">Подтверждено мастером</x:t>
        </x:is>
      </x:c>
      <x:c r="P560" s="31" t="inlineStr">
        <x:is>
          <x:t xml:space="preserve">Комментарий смены 593</x:t>
        </x:is>
      </x:c>
    </x:row>
    <x:row r="561">
      <x:c r="A561" s="31" t="inlineStr">
        <x:is>
          <x:t xml:space="preserve">СМ-00594</x:t>
        </x:is>
      </x:c>
      <x:c r="B561" s="31" t="n">
        <x:v>46107</x:v>
      </x:c>
      <x:c r="C561" s="31" t="inlineStr">
        <x:is>
          <x:t xml:space="preserve">День</x:t>
        </x:is>
      </x:c>
      <x:c r="D561" s="31" t="inlineStr">
        <x:is>
          <x:t xml:space="preserve">ПЗ-00067</x:t>
        </x:is>
      </x:c>
      <x:c r="E561" s="31" t="inlineStr">
        <x:is>
          <x:t xml:space="preserve">ОП-000570</x:t>
        </x:is>
      </x:c>
      <x:c r="F561" s="31" t="inlineStr">
        <x:is>
          <x:t xml:space="preserve">ОБ-002</x:t>
        </x:is>
      </x:c>
      <x:c r="G561" s="31" t="inlineStr">
        <x:is>
          <x:t xml:space="preserve">СОТР-086</x:t>
        </x:is>
      </x:c>
      <x:c r="H561" s="31" t="inlineStr">
        <x:is>
          <x:t xml:space="preserve">Сборка</x:t>
        </x:is>
      </x:c>
      <x:c r="I561" s="31" t="n">
        <x:v>2</x:v>
      </x:c>
      <x:c r="J561" s="31" t="n">
        <x:v>0</x:v>
      </x:c>
      <x:c r="K561" s="31" t="n">
        <x:v>22</x:v>
      </x:c>
      <x:c r="L561" s="31" t="n">
        <x:v>22.9</x:v>
      </x:c>
      <x:c r="M561" s="31" t="n">
        <x:v>120</x:v>
      </x:c>
      <x:c r="N561" s="31" t="inlineStr">
        <x:is>
          <x:t xml:space="preserve">Переналадка</x:t>
        </x:is>
      </x:c>
      <x:c r="O561" s="31" t="inlineStr">
        <x:is>
          <x:t xml:space="preserve">Закрыто</x:t>
        </x:is>
      </x:c>
      <x:c r="P561" s="31" t="inlineStr">
        <x:is>
          <x:t xml:space="preserve">Комментарий смены 594</x:t>
        </x:is>
      </x:c>
    </x:row>
    <x:row r="562">
      <x:c r="A562" s="31" t="inlineStr">
        <x:is>
          <x:t xml:space="preserve">СМ-00595</x:t>
        </x:is>
      </x:c>
      <x:c r="B562" s="31" t="n">
        <x:v>46187</x:v>
      </x:c>
      <x:c r="C562" s="31" t="inlineStr">
        <x:is>
          <x:t xml:space="preserve">День</x:t>
        </x:is>
      </x:c>
      <x:c r="D562" s="31" t="inlineStr">
        <x:is>
          <x:t xml:space="preserve">ПЗ-00152</x:t>
        </x:is>
      </x:c>
      <x:c r="E562" s="31" t="inlineStr">
        <x:is>
          <x:t xml:space="preserve">ОП-001262</x:t>
        </x:is>
      </x:c>
      <x:c r="F562" s="31" t="inlineStr">
        <x:is>
          <x:t xml:space="preserve">ОБ-001</x:t>
        </x:is>
      </x:c>
      <x:c r="G562" s="31" t="inlineStr">
        <x:is>
          <x:t xml:space="preserve">СОТР-097</x:t>
        </x:is>
      </x:c>
      <x:c r="H562" s="31" t="inlineStr">
        <x:is>
          <x:t xml:space="preserve">ОТК</x:t>
        </x:is>
      </x:c>
      <x:c r="I562" s="31" t="n">
        <x:v>2</x:v>
      </x:c>
      <x:c r="J562" s="31" t="n">
        <x:v>3</x:v>
      </x:c>
      <x:c r="K562" s="31" t="n">
        <x:v>38.7</x:v>
      </x:c>
      <x:c r="L562" s="31" t="n">
        <x:v>51.6</x:v>
      </x:c>
      <x:c r="M562" s="31" t="n">
        <x:v>0</x:v>
      </x:c>
      <x:c r="N562" s="31" t="inlineStr">
        <x:is>
          <x:t xml:space="preserve">Нет</x:t>
        </x:is>
      </x:c>
      <x:c r="O562" s="31" t="inlineStr">
        <x:is>
          <x:t xml:space="preserve">Подтверждено мастером</x:t>
        </x:is>
      </x:c>
      <x:c r="P562" s="31" t="inlineStr">
        <x:is>
          <x:t xml:space="preserve">Комментарий смены 595</x:t>
        </x:is>
      </x:c>
    </x:row>
    <x:row r="563">
      <x:c r="A563" s="31" t="inlineStr">
        <x:is>
          <x:t xml:space="preserve">СМ-00596</x:t>
        </x:is>
      </x:c>
      <x:c r="B563" s="31" t="n">
        <x:v>46117</x:v>
      </x:c>
      <x:c r="C563" s="31" t="inlineStr">
        <x:is>
          <x:t xml:space="preserve">Ночь</x:t>
        </x:is>
      </x:c>
      <x:c r="D563" s="31" t="inlineStr">
        <x:is>
          <x:t xml:space="preserve">ПЗ-00007</x:t>
        </x:is>
      </x:c>
      <x:c r="E563" s="31" t="inlineStr">
        <x:is>
          <x:t xml:space="preserve">ОП-000049</x:t>
        </x:is>
      </x:c>
      <x:c r="F563" s="31" t="n"/>
      <x:c r="G563" s="31" t="inlineStr">
        <x:is>
          <x:t xml:space="preserve">СОТР-013</x:t>
        </x:is>
      </x:c>
      <x:c r="H563" s="31" t="inlineStr">
        <x:is>
          <x:t xml:space="preserve">Инженерный отдел</x:t>
        </x:is>
      </x:c>
      <x:c r="I563" s="31" t="n">
        <x:v>2</x:v>
      </x:c>
      <x:c r="J563" s="31" t="n">
        <x:v>2</x:v>
      </x:c>
      <x:c r="K563" s="31" t="n">
        <x:v>64</x:v>
      </x:c>
      <x:c r="L563" s="31" t="n">
        <x:v>78.09999999999999</x:v>
      </x:c>
      <x:c r="M563" s="31" t="n">
        <x:v>0</x:v>
      </x:c>
      <x:c r="N563" s="31" t="inlineStr">
        <x:is>
          <x:t xml:space="preserve">Нет</x:t>
        </x:is>
      </x:c>
      <x:c r="O563" s="31" t="inlineStr">
        <x:is>
          <x:t xml:space="preserve">Подтверждено мастером</x:t>
        </x:is>
      </x:c>
      <x:c r="P563" s="31" t="inlineStr">
        <x:is>
          <x:t xml:space="preserve">Комментарий смены 596</x:t>
        </x:is>
      </x:c>
    </x:row>
    <x:row r="564">
      <x:c r="A564" s="31" t="inlineStr">
        <x:is>
          <x:t xml:space="preserve">СМ-00597</x:t>
        </x:is>
      </x:c>
      <x:c r="B564" s="31" t="n">
        <x:v>46198</x:v>
      </x:c>
      <x:c r="C564" s="31" t="inlineStr">
        <x:is>
          <x:t xml:space="preserve">День</x:t>
        </x:is>
      </x:c>
      <x:c r="D564" s="31" t="inlineStr">
        <x:is>
          <x:t xml:space="preserve">ПЗ-00041</x:t>
        </x:is>
      </x:c>
      <x:c r="E564" s="31" t="inlineStr">
        <x:is>
          <x:t xml:space="preserve">ОП-000349</x:t>
        </x:is>
      </x:c>
      <x:c r="F564" s="31" t="n"/>
      <x:c r="G564" s="31" t="inlineStr">
        <x:is>
          <x:t xml:space="preserve">СОТР-102</x:t>
        </x:is>
      </x:c>
      <x:c r="H564" s="31" t="inlineStr">
        <x:is>
          <x:t xml:space="preserve">Логистика</x:t>
        </x:is>
      </x:c>
      <x:c r="I564" s="31" t="n">
        <x:v>1</x:v>
      </x:c>
      <x:c r="J564" s="31" t="n">
        <x:v>1</x:v>
      </x:c>
      <x:c r="K564" s="31" t="n">
        <x:v>11.1</x:v>
      </x:c>
      <x:c r="L564" s="31" t="n">
        <x:v>12.5</x:v>
      </x:c>
      <x:c r="M564" s="31" t="n">
        <x:v>30</x:v>
      </x:c>
      <x:c r="N564" s="31" t="inlineStr">
        <x:is>
          <x:t xml:space="preserve">Нет оператора</x:t>
        </x:is>
      </x:c>
      <x:c r="O564" s="31" t="inlineStr">
        <x:is>
          <x:t xml:space="preserve">Подтверждено мастером</x:t>
        </x:is>
      </x:c>
      <x:c r="P564" s="31" t="inlineStr">
        <x:is>
          <x:t xml:space="preserve">Комментарий смены 597</x:t>
        </x:is>
      </x:c>
    </x:row>
    <x:row r="565">
      <x:c r="A565" s="31" t="inlineStr">
        <x:is>
          <x:t xml:space="preserve">СМ-00598</x:t>
        </x:is>
      </x:c>
      <x:c r="B565" s="31" t="n">
        <x:v>46063</x:v>
      </x:c>
      <x:c r="C565" s="31" t="inlineStr">
        <x:is>
          <x:t xml:space="preserve">День</x:t>
        </x:is>
      </x:c>
      <x:c r="D565" s="31" t="inlineStr">
        <x:is>
          <x:t xml:space="preserve">ПЗ-00218</x:t>
        </x:is>
      </x:c>
      <x:c r="E565" s="31" t="inlineStr">
        <x:is>
          <x:t xml:space="preserve">ОП-001832</x:t>
        </x:is>
      </x:c>
      <x:c r="F565" s="31" t="inlineStr">
        <x:is>
          <x:t xml:space="preserve">ОБ-020</x:t>
        </x:is>
      </x:c>
      <x:c r="G565" s="31" t="inlineStr">
        <x:is>
          <x:t xml:space="preserve">СОТР-084</x:t>
        </x:is>
      </x:c>
      <x:c r="H565" s="31" t="inlineStr">
        <x:is>
          <x:t xml:space="preserve">Сборка</x:t>
        </x:is>
      </x:c>
      <x:c r="I565" s="31" t="n">
        <x:v>2</x:v>
      </x:c>
      <x:c r="J565" s="31" t="n">
        <x:v>1</x:v>
      </x:c>
      <x:c r="K565" s="31" t="n">
        <x:v>15.2</x:v>
      </x:c>
      <x:c r="L565" s="31" t="n">
        <x:v>19.4</x:v>
      </x:c>
      <x:c r="M565" s="31" t="n">
        <x:v>0</x:v>
      </x:c>
      <x:c r="N565" s="31" t="inlineStr">
        <x:is>
          <x:t xml:space="preserve">Нет</x:t>
        </x:is>
      </x:c>
      <x:c r="O565" s="31" t="inlineStr">
        <x:is>
          <x:t xml:space="preserve">Подтверждено мастером</x:t>
        </x:is>
      </x:c>
      <x:c r="P565" s="31" t="inlineStr">
        <x:is>
          <x:t xml:space="preserve">Комментарий смены 598</x:t>
        </x:is>
      </x:c>
    </x:row>
    <x:row r="566">
      <x:c r="A566" s="31" t="inlineStr">
        <x:is>
          <x:t xml:space="preserve">СМ-00599</x:t>
        </x:is>
      </x:c>
      <x:c r="B566" s="31" t="n">
        <x:v>46196</x:v>
      </x:c>
      <x:c r="C566" s="31" t="inlineStr">
        <x:is>
          <x:t xml:space="preserve">День</x:t>
        </x:is>
      </x:c>
      <x:c r="D566" s="31" t="inlineStr">
        <x:is>
          <x:t xml:space="preserve">ПЗ-00209</x:t>
        </x:is>
      </x:c>
      <x:c r="E566" s="31" t="inlineStr">
        <x:is>
          <x:t xml:space="preserve">ОП-001754</x:t>
        </x:is>
      </x:c>
      <x:c r="F566" s="31" t="inlineStr">
        <x:is>
          <x:t xml:space="preserve">ОБ-022</x:t>
        </x:is>
      </x:c>
      <x:c r="G566" s="31" t="inlineStr">
        <x:is>
          <x:t xml:space="preserve">СОТР-093</x:t>
        </x:is>
      </x:c>
      <x:c r="H566" s="31" t="inlineStr">
        <x:is>
          <x:t xml:space="preserve">ОТК</x:t>
        </x:is>
      </x:c>
      <x:c r="I566" s="31" t="n">
        <x:v>2</x:v>
      </x:c>
      <x:c r="J566" s="31" t="n">
        <x:v>2</x:v>
      </x:c>
      <x:c r="K566" s="31" t="n">
        <x:v>13.6</x:v>
      </x:c>
      <x:c r="L566" s="31" t="n">
        <x:v>14.7</x:v>
      </x:c>
      <x:c r="M566" s="31" t="n">
        <x:v>30</x:v>
      </x:c>
      <x:c r="N566" s="31" t="inlineStr">
        <x:is>
          <x:t xml:space="preserve">Ожидание материала</x:t>
        </x:is>
      </x:c>
      <x:c r="O566" s="31" t="inlineStr">
        <x:is>
          <x:t xml:space="preserve">Спорный факт</x:t>
        </x:is>
      </x:c>
      <x:c r="P566" s="31" t="inlineStr">
        <x:is>
          <x:t xml:space="preserve">Комментарий смены 599</x:t>
        </x:is>
      </x:c>
    </x:row>
    <x:row r="567">
      <x:c r="A567" s="31" t="inlineStr">
        <x:is>
          <x:t xml:space="preserve">СМ-00600</x:t>
        </x:is>
      </x:c>
      <x:c r="B567" s="31" t="n">
        <x:v>46113</x:v>
      </x:c>
      <x:c r="C567" s="31" t="inlineStr">
        <x:is>
          <x:t xml:space="preserve">Вечер</x:t>
        </x:is>
      </x:c>
      <x:c r="D567" s="31" t="inlineStr">
        <x:is>
          <x:t xml:space="preserve">ПЗ-00069</x:t>
        </x:is>
      </x:c>
      <x:c r="E567" s="31" t="inlineStr">
        <x:is>
          <x:t xml:space="preserve">ОП-000587</x:t>
        </x:is>
      </x:c>
      <x:c r="F567" s="31" t="inlineStr">
        <x:is>
          <x:t xml:space="preserve">ОБ-005</x:t>
        </x:is>
      </x:c>
      <x:c r="G567" s="31" t="inlineStr">
        <x:is>
          <x:t xml:space="preserve">СОТР-074</x:t>
        </x:is>
      </x:c>
      <x:c r="H567" s="31" t="inlineStr">
        <x:is>
          <x:t xml:space="preserve">Сборка</x:t>
        </x:is>
      </x:c>
      <x:c r="I567" s="31" t="n">
        <x:v>1</x:v>
      </x:c>
      <x:c r="J567" s="31" t="n">
        <x:v>0</x:v>
      </x:c>
      <x:c r="K567" s="31" t="n">
        <x:v>4.2</x:v>
      </x:c>
      <x:c r="L567" s="31" t="n">
        <x:v>4.5</x:v>
      </x:c>
      <x:c r="M567" s="31" t="n">
        <x:v>45</x:v>
      </x:c>
      <x:c r="N567" s="31" t="inlineStr">
        <x:is>
          <x:t xml:space="preserve">Нет оператора</x:t>
        </x:is>
      </x:c>
      <x:c r="O567" s="31" t="inlineStr">
        <x:is>
          <x:t xml:space="preserve">Подтверждено мастером</x:t>
        </x:is>
      </x:c>
      <x:c r="P567" s="31" t="inlineStr">
        <x:is>
          <x:t xml:space="preserve">Комментарий смены 600</x:t>
        </x:is>
      </x:c>
    </x:row>
    <x:row r="568">
      <x:c r="A568" s="31" t="inlineStr">
        <x:is>
          <x:t xml:space="preserve">СМ-00601</x:t>
        </x:is>
      </x:c>
      <x:c r="B568" s="31" t="n">
        <x:v>46136</x:v>
      </x:c>
      <x:c r="C568" s="31" t="inlineStr">
        <x:is>
          <x:t xml:space="preserve">День</x:t>
        </x:is>
      </x:c>
      <x:c r="D568" s="31" t="inlineStr">
        <x:is>
          <x:t xml:space="preserve">ПЗ-00263</x:t>
        </x:is>
      </x:c>
      <x:c r="E568" s="31" t="inlineStr">
        <x:is>
          <x:t xml:space="preserve">ОП-002195</x:t>
        </x:is>
      </x:c>
      <x:c r="F568" s="31" t="inlineStr">
        <x:is>
          <x:t xml:space="preserve">ОБ-006</x:t>
        </x:is>
      </x:c>
      <x:c r="G568" s="31" t="inlineStr">
        <x:is>
          <x:t xml:space="preserve">СОТР-093</x:t>
        </x:is>
      </x:c>
      <x:c r="H568" s="31" t="inlineStr">
        <x:is>
          <x:t xml:space="preserve">ОТК</x:t>
        </x:is>
      </x:c>
      <x:c r="I568" s="31" t="n">
        <x:v>1</x:v>
      </x:c>
      <x:c r="J568" s="31" t="n">
        <x:v>1</x:v>
      </x:c>
      <x:c r="K568" s="31" t="n">
        <x:v>3.5</x:v>
      </x:c>
      <x:c r="L568" s="31" t="n">
        <x:v>4.4</x:v>
      </x:c>
      <x:c r="M568" s="31" t="n">
        <x:v>45</x:v>
      </x:c>
      <x:c r="N568" s="31" t="inlineStr">
        <x:is>
          <x:t xml:space="preserve">Ремонт оборудования</x:t>
        </x:is>
      </x:c>
      <x:c r="O568" s="31" t="inlineStr">
        <x:is>
          <x:t xml:space="preserve">Подтверждено мастером</x:t>
        </x:is>
      </x:c>
      <x:c r="P568" s="31" t="inlineStr">
        <x:is>
          <x:t xml:space="preserve">Комментарий смены 601</x:t>
        </x:is>
      </x:c>
    </x:row>
    <x:row r="569">
      <x:c r="A569" s="31" t="inlineStr">
        <x:is>
          <x:t xml:space="preserve">СМ-00602</x:t>
        </x:is>
      </x:c>
      <x:c r="B569" s="31" t="n">
        <x:v>46085</x:v>
      </x:c>
      <x:c r="C569" s="31" t="inlineStr">
        <x:is>
          <x:t xml:space="preserve">Ночь</x:t>
        </x:is>
      </x:c>
      <x:c r="D569" s="31" t="inlineStr">
        <x:is>
          <x:t xml:space="preserve">ПЗ-00021</x:t>
        </x:is>
      </x:c>
      <x:c r="E569" s="31" t="inlineStr">
        <x:is>
          <x:t xml:space="preserve">ОП-000177</x:t>
        </x:is>
      </x:c>
      <x:c r="F569" s="31" t="inlineStr">
        <x:is>
          <x:t xml:space="preserve">ОБ-012</x:t>
        </x:is>
      </x:c>
      <x:c r="G569" s="31" t="inlineStr">
        <x:is>
          <x:t xml:space="preserve">СОТР-083</x:t>
        </x:is>
      </x:c>
      <x:c r="H569" s="31" t="inlineStr">
        <x:is>
          <x:t xml:space="preserve">Сборка</x:t>
        </x:is>
      </x:c>
      <x:c r="I569" s="31" t="n">
        <x:v>3</x:v>
      </x:c>
      <x:c r="J569" s="31" t="n">
        <x:v>0</x:v>
      </x:c>
      <x:c r="K569" s="31" t="n">
        <x:v>40</x:v>
      </x:c>
      <x:c r="L569" s="31" t="n">
        <x:v>32.1</x:v>
      </x:c>
      <x:c r="M569" s="31" t="n">
        <x:v>120</x:v>
      </x:c>
      <x:c r="N569" s="31" t="inlineStr">
        <x:is>
          <x:t xml:space="preserve">Переналадка</x:t>
        </x:is>
      </x:c>
      <x:c r="O569" s="31" t="inlineStr">
        <x:is>
          <x:t xml:space="preserve">Подтверждено мастером</x:t>
        </x:is>
      </x:c>
      <x:c r="P569" s="31" t="inlineStr">
        <x:is>
          <x:t xml:space="preserve">Комментарий смены 602</x:t>
        </x:is>
      </x:c>
    </x:row>
    <x:row r="570">
      <x:c r="A570" s="31" t="inlineStr">
        <x:is>
          <x:t xml:space="preserve">СМ-00603</x:t>
        </x:is>
      </x:c>
      <x:c r="B570" s="31" t="n">
        <x:v>46142</x:v>
      </x:c>
      <x:c r="C570" s="31" t="inlineStr">
        <x:is>
          <x:t xml:space="preserve">День</x:t>
        </x:is>
      </x:c>
      <x:c r="D570" s="31" t="inlineStr">
        <x:is>
          <x:t xml:space="preserve">ПЗ-00086</x:t>
        </x:is>
      </x:c>
      <x:c r="E570" s="31" t="inlineStr">
        <x:is>
          <x:t xml:space="preserve">ОП-000731</x:t>
        </x:is>
      </x:c>
      <x:c r="F570" s="31" t="inlineStr">
        <x:is>
          <x:t xml:space="preserve">ОБ-011</x:t>
        </x:is>
      </x:c>
      <x:c r="G570" s="31" t="inlineStr">
        <x:is>
          <x:t xml:space="preserve">СОТР-024</x:t>
        </x:is>
      </x:c>
      <x:c r="H570" s="31" t="inlineStr">
        <x:is>
          <x:t xml:space="preserve">Склад</x:t>
        </x:is>
      </x:c>
      <x:c r="I570" s="31" t="n">
        <x:v>2</x:v>
      </x:c>
      <x:c r="J570" s="31" t="n">
        <x:v>0</x:v>
      </x:c>
      <x:c r="K570" s="31" t="n">
        <x:v>63</x:v>
      </x:c>
      <x:c r="L570" s="31" t="n">
        <x:v>65.90000000000001</x:v>
      </x:c>
      <x:c r="M570" s="31" t="n">
        <x:v>60</x:v>
      </x:c>
      <x:c r="N570" s="31" t="inlineStr">
        <x:is>
          <x:t xml:space="preserve">Переналадка</x:t>
        </x:is>
      </x:c>
      <x:c r="O570" s="31" t="inlineStr">
        <x:is>
          <x:t xml:space="preserve">Подтверждено мастером</x:t>
        </x:is>
      </x:c>
      <x:c r="P570" s="31" t="inlineStr">
        <x:is>
          <x:t xml:space="preserve">Комментарий смены 603</x:t>
        </x:is>
      </x:c>
    </x:row>
    <x:row r="571">
      <x:c r="A571" s="31" t="inlineStr">
        <x:is>
          <x:t xml:space="preserve">СМ-00604</x:t>
        </x:is>
      </x:c>
      <x:c r="B571" s="31" t="n">
        <x:v>46209</x:v>
      </x:c>
      <x:c r="C571" s="31" t="inlineStr">
        <x:is>
          <x:t xml:space="preserve">День</x:t>
        </x:is>
      </x:c>
      <x:c r="D571" s="31" t="inlineStr">
        <x:is>
          <x:t xml:space="preserve">ПЗ-00080</x:t>
        </x:is>
      </x:c>
      <x:c r="E571" s="31" t="inlineStr">
        <x:is>
          <x:t xml:space="preserve">ОП-000685</x:t>
        </x:is>
      </x:c>
      <x:c r="F571" s="31" t="n"/>
      <x:c r="G571" s="31" t="inlineStr">
        <x:is>
          <x:t xml:space="preserve">СОТР-102</x:t>
        </x:is>
      </x:c>
      <x:c r="H571" s="31" t="inlineStr">
        <x:is>
          <x:t xml:space="preserve">Логистика</x:t>
        </x:is>
      </x:c>
      <x:c r="I571" s="31" t="n">
        <x:v>2</x:v>
      </x:c>
      <x:c r="J571" s="31" t="n">
        <x:v>0</x:v>
      </x:c>
      <x:c r="K571" s="31" t="n">
        <x:v>34.4</x:v>
      </x:c>
      <x:c r="L571" s="31" t="n">
        <x:v>25.3</x:v>
      </x:c>
      <x:c r="M571" s="31" t="n">
        <x:v>120</x:v>
      </x:c>
      <x:c r="N571" s="31" t="inlineStr">
        <x:is>
          <x:t xml:space="preserve">Переналадка</x:t>
        </x:is>
      </x:c>
      <x:c r="O571" s="31" t="inlineStr">
        <x:is>
          <x:t xml:space="preserve">Подтверждено мастером</x:t>
        </x:is>
      </x:c>
      <x:c r="P571" s="31" t="inlineStr">
        <x:is>
          <x:t xml:space="preserve">Комментарий смены 604</x:t>
        </x:is>
      </x:c>
    </x:row>
    <x:row r="572">
      <x:c r="A572" s="31" t="inlineStr">
        <x:is>
          <x:t xml:space="preserve">СМ-00605</x:t>
        </x:is>
      </x:c>
      <x:c r="B572" s="31" t="n">
        <x:v>46058</x:v>
      </x:c>
      <x:c r="C572" s="31" t="inlineStr">
        <x:is>
          <x:t xml:space="preserve">Ночь</x:t>
        </x:is>
      </x:c>
      <x:c r="D572" s="31" t="inlineStr">
        <x:is>
          <x:t xml:space="preserve">ПЗ-00146</x:t>
        </x:is>
      </x:c>
      <x:c r="E572" s="31" t="inlineStr">
        <x:is>
          <x:t xml:space="preserve">ОП-001213</x:t>
        </x:is>
      </x:c>
      <x:c r="F572" s="31" t="inlineStr">
        <x:is>
          <x:t xml:space="preserve">ОБ-016</x:t>
        </x:is>
      </x:c>
      <x:c r="G572" s="31" t="inlineStr">
        <x:is>
          <x:t xml:space="preserve">СОТР-080</x:t>
        </x:is>
      </x:c>
      <x:c r="H572" s="31" t="inlineStr">
        <x:is>
          <x:t xml:space="preserve">Сборка</x:t>
        </x:is>
      </x:c>
      <x:c r="I572" s="31" t="n">
        <x:v>1</x:v>
      </x:c>
      <x:c r="J572" s="31" t="n">
        <x:v>0</x:v>
      </x:c>
      <x:c r="K572" s="31" t="n">
        <x:v>16.6</x:v>
      </x:c>
      <x:c r="L572" s="31" t="n">
        <x:v>15.8</x:v>
      </x:c>
      <x:c r="M572" s="31" t="n">
        <x:v>45</x:v>
      </x:c>
      <x:c r="N572" s="31" t="inlineStr">
        <x:is>
          <x:t xml:space="preserve">Переналадка</x:t>
        </x:is>
      </x:c>
      <x:c r="O572" s="31" t="inlineStr">
        <x:is>
          <x:t xml:space="preserve">Подтверждено мастером</x:t>
        </x:is>
      </x:c>
      <x:c r="P572" s="31" t="inlineStr">
        <x:is>
          <x:t xml:space="preserve">Комментарий смены 605</x:t>
        </x:is>
      </x:c>
    </x:row>
    <x:row r="573">
      <x:c r="A573" s="31" t="inlineStr">
        <x:is>
          <x:t xml:space="preserve">СМ-00606</x:t>
        </x:is>
      </x:c>
      <x:c r="B573" s="31" t="n">
        <x:v>46197</x:v>
      </x:c>
      <x:c r="C573" s="31" t="inlineStr">
        <x:is>
          <x:t xml:space="preserve">Вечер</x:t>
        </x:is>
      </x:c>
      <x:c r="D573" s="31" t="inlineStr">
        <x:is>
          <x:t xml:space="preserve">ПЗ-00210</x:t>
        </x:is>
      </x:c>
      <x:c r="E573" s="31" t="inlineStr">
        <x:is>
          <x:t xml:space="preserve">ОП-001758</x:t>
        </x:is>
      </x:c>
      <x:c r="F573" s="31" t="inlineStr">
        <x:is>
          <x:t xml:space="preserve">ОБ-016</x:t>
        </x:is>
      </x:c>
      <x:c r="G573" s="31" t="inlineStr">
        <x:is>
          <x:t xml:space="preserve">СОТР-083</x:t>
        </x:is>
      </x:c>
      <x:c r="H573" s="31" t="inlineStr">
        <x:is>
          <x:t xml:space="preserve">Сборка</x:t>
        </x:is>
      </x:c>
      <x:c r="I573" s="31" t="n">
        <x:v>3</x:v>
      </x:c>
      <x:c r="J573" s="31" t="n">
        <x:v>2</x:v>
      </x:c>
      <x:c r="K573" s="31" t="n">
        <x:v>19.2</x:v>
      </x:c>
      <x:c r="L573" s="31" t="n">
        <x:v>24.1</x:v>
      </x:c>
      <x:c r="M573" s="31" t="n">
        <x:v>0</x:v>
      </x:c>
      <x:c r="N573" s="31" t="inlineStr">
        <x:is>
          <x:t xml:space="preserve">Нет</x:t>
        </x:is>
      </x:c>
      <x:c r="O573" s="31" t="inlineStr">
        <x:is>
          <x:t xml:space="preserve">Черновик</x:t>
        </x:is>
      </x:c>
      <x:c r="P573" s="31" t="inlineStr">
        <x:is>
          <x:t xml:space="preserve">Комментарий смены 606</x:t>
        </x:is>
      </x:c>
    </x:row>
    <x:row r="574">
      <x:c r="A574" s="31" t="inlineStr">
        <x:is>
          <x:t xml:space="preserve">СМ-00607</x:t>
        </x:is>
      </x:c>
      <x:c r="B574" s="31" t="n">
        <x:v>46117</x:v>
      </x:c>
      <x:c r="C574" s="31" t="inlineStr">
        <x:is>
          <x:t xml:space="preserve">День</x:t>
        </x:is>
      </x:c>
      <x:c r="D574" s="31" t="inlineStr">
        <x:is>
          <x:t xml:space="preserve">ПЗ-00109</x:t>
        </x:is>
      </x:c>
      <x:c r="E574" s="31" t="inlineStr">
        <x:is>
          <x:t xml:space="preserve">ОП-000917</x:t>
        </x:is>
      </x:c>
      <x:c r="F574" s="31" t="inlineStr">
        <x:is>
          <x:t xml:space="preserve">ОБ-033</x:t>
        </x:is>
      </x:c>
      <x:c r="G574" s="31" t="inlineStr">
        <x:is>
          <x:t xml:space="preserve">СОТР-095</x:t>
        </x:is>
      </x:c>
      <x:c r="H574" s="31" t="inlineStr">
        <x:is>
          <x:t xml:space="preserve">ОТК</x:t>
        </x:is>
      </x:c>
      <x:c r="I574" s="31" t="n">
        <x:v>1</x:v>
      </x:c>
      <x:c r="J574" s="31" t="n">
        <x:v>0</x:v>
      </x:c>
      <x:c r="K574" s="31" t="n">
        <x:v>2.1</x:v>
      </x:c>
      <x:c r="L574" s="31" t="n">
        <x:v>1.5</x:v>
      </x:c>
      <x:c r="M574" s="31" t="n">
        <x:v>0</x:v>
      </x:c>
      <x:c r="N574" s="31" t="inlineStr">
        <x:is>
          <x:t xml:space="preserve">Нет</x:t>
        </x:is>
      </x:c>
      <x:c r="O574" s="31" t="inlineStr">
        <x:is>
          <x:t xml:space="preserve">Подтверждено мастером</x:t>
        </x:is>
      </x:c>
      <x:c r="P574" s="31" t="inlineStr">
        <x:is>
          <x:t xml:space="preserve">Комментарий смены 607</x:t>
        </x:is>
      </x:c>
    </x:row>
    <x:row r="575">
      <x:c r="A575" s="31" t="inlineStr">
        <x:is>
          <x:t xml:space="preserve">СМ-00609</x:t>
        </x:is>
      </x:c>
      <x:c r="B575" s="31" t="n">
        <x:v>46093</x:v>
      </x:c>
      <x:c r="C575" s="31" t="inlineStr">
        <x:is>
          <x:t xml:space="preserve">День</x:t>
        </x:is>
      </x:c>
      <x:c r="D575" s="31" t="inlineStr">
        <x:is>
          <x:t xml:space="preserve">ПЗ-00056</x:t>
        </x:is>
      </x:c>
      <x:c r="E575" s="31" t="inlineStr">
        <x:is>
          <x:t xml:space="preserve">ОП-000466</x:t>
        </x:is>
      </x:c>
      <x:c r="F575" s="31" t="inlineStr">
        <x:is>
          <x:t xml:space="preserve">ОБ-034</x:t>
        </x:is>
      </x:c>
      <x:c r="G575" s="31" t="inlineStr">
        <x:is>
          <x:t xml:space="preserve">СОТР-091</x:t>
        </x:is>
      </x:c>
      <x:c r="H575" s="31" t="inlineStr">
        <x:is>
          <x:t xml:space="preserve">Сборка</x:t>
        </x:is>
      </x:c>
      <x:c r="I575" s="31" t="n">
        <x:v>1</x:v>
      </x:c>
      <x:c r="J575" s="31" t="n">
        <x:v>2</x:v>
      </x:c>
      <x:c r="K575" s="31" t="n">
        <x:v>6.3</x:v>
      </x:c>
      <x:c r="L575" s="31" t="n">
        <x:v>8.1</x:v>
      </x:c>
      <x:c r="M575" s="31" t="n">
        <x:v>0</x:v>
      </x:c>
      <x:c r="N575" s="31" t="inlineStr">
        <x:is>
          <x:t xml:space="preserve">Нет</x:t>
        </x:is>
      </x:c>
      <x:c r="O575" s="31" t="inlineStr">
        <x:is>
          <x:t xml:space="preserve">Подтверждено мастером</x:t>
        </x:is>
      </x:c>
      <x:c r="P575" s="31" t="inlineStr">
        <x:is>
          <x:t xml:space="preserve">Комментарий смены 609</x:t>
        </x:is>
      </x:c>
    </x:row>
    <x:row r="576">
      <x:c r="A576" s="31" t="inlineStr">
        <x:is>
          <x:t xml:space="preserve">СМ-00610</x:t>
        </x:is>
      </x:c>
      <x:c r="B576" s="31" t="n">
        <x:v>46085</x:v>
      </x:c>
      <x:c r="C576" s="31" t="inlineStr">
        <x:is>
          <x:t xml:space="preserve">Ночь</x:t>
        </x:is>
      </x:c>
      <x:c r="D576" s="31" t="inlineStr">
        <x:is>
          <x:t xml:space="preserve">ПЗ-00057</x:t>
        </x:is>
      </x:c>
      <x:c r="E576" s="31" t="inlineStr">
        <x:is>
          <x:t xml:space="preserve">ОП-000476</x:t>
        </x:is>
      </x:c>
      <x:c r="F576" s="31" t="inlineStr">
        <x:is>
          <x:t xml:space="preserve">ОБ-014</x:t>
        </x:is>
      </x:c>
      <x:c r="G576" s="31" t="inlineStr">
        <x:is>
          <x:t xml:space="preserve">СОТР-083</x:t>
        </x:is>
      </x:c>
      <x:c r="H576" s="31" t="inlineStr">
        <x:is>
          <x:t xml:space="preserve">Сборка</x:t>
        </x:is>
      </x:c>
      <x:c r="I576" s="31" t="n">
        <x:v>2</x:v>
      </x:c>
      <x:c r="J576" s="31" t="n">
        <x:v>2</x:v>
      </x:c>
      <x:c r="K576" s="31" t="n">
        <x:v>3</x:v>
      </x:c>
      <x:c r="L576" s="31" t="n">
        <x:v>3</x:v>
      </x:c>
      <x:c r="M576" s="31" t="n">
        <x:v>60</x:v>
      </x:c>
      <x:c r="N576" s="31" t="inlineStr">
        <x:is>
          <x:t xml:space="preserve">Ремонт оборудования</x:t>
        </x:is>
      </x:c>
      <x:c r="O576" s="31" t="inlineStr">
        <x:is>
          <x:t xml:space="preserve">Подтверждено мастером</x:t>
        </x:is>
      </x:c>
      <x:c r="P576" s="31" t="inlineStr">
        <x:is>
          <x:t xml:space="preserve">Комментарий смены 610</x:t>
        </x:is>
      </x:c>
    </x:row>
    <x:row r="577">
      <x:c r="A577" s="31" t="inlineStr">
        <x:is>
          <x:t xml:space="preserve">СМ-00611</x:t>
        </x:is>
      </x:c>
      <x:c r="B577" s="31" t="n">
        <x:v>46088</x:v>
      </x:c>
      <x:c r="C577" s="31" t="inlineStr">
        <x:is>
          <x:t xml:space="preserve">Ночь</x:t>
        </x:is>
      </x:c>
      <x:c r="D577" s="31" t="inlineStr">
        <x:is>
          <x:t xml:space="preserve">ПЗ-00057</x:t>
        </x:is>
      </x:c>
      <x:c r="E577" s="31" t="inlineStr">
        <x:is>
          <x:t xml:space="preserve">ОП-000478</x:t>
        </x:is>
      </x:c>
      <x:c r="F577" s="31" t="inlineStr">
        <x:is>
          <x:t xml:space="preserve">ОБ-015</x:t>
        </x:is>
      </x:c>
      <x:c r="G577" s="31" t="inlineStr">
        <x:is>
          <x:t xml:space="preserve">СОТР-100</x:t>
        </x:is>
      </x:c>
      <x:c r="H577" s="31" t="inlineStr">
        <x:is>
          <x:t xml:space="preserve">ОТК</x:t>
        </x:is>
      </x:c>
      <x:c r="I577" s="31" t="n">
        <x:v>1</x:v>
      </x:c>
      <x:c r="J577" s="31" t="n">
        <x:v>2</x:v>
      </x:c>
      <x:c r="K577" s="31" t="n">
        <x:v>12.2</x:v>
      </x:c>
      <x:c r="L577" s="31" t="n">
        <x:v>15</x:v>
      </x:c>
      <x:c r="M577" s="31" t="n">
        <x:v>90</x:v>
      </x:c>
      <x:c r="N577" s="31" t="inlineStr">
        <x:is>
          <x:t xml:space="preserve">Ремонт оборудования</x:t>
        </x:is>
      </x:c>
      <x:c r="O577" s="31" t="inlineStr">
        <x:is>
          <x:t xml:space="preserve">Подтверждено мастером</x:t>
        </x:is>
      </x:c>
      <x:c r="P577" s="31" t="inlineStr">
        <x:is>
          <x:t xml:space="preserve">Комментарий смены 611</x:t>
        </x:is>
      </x:c>
    </x:row>
    <x:row r="578">
      <x:c r="A578" s="31" t="inlineStr">
        <x:is>
          <x:t xml:space="preserve">СМ-00612</x:t>
        </x:is>
      </x:c>
      <x:c r="B578" s="31" t="n">
        <x:v>46110</x:v>
      </x:c>
      <x:c r="C578" s="31" t="inlineStr">
        <x:is>
          <x:t xml:space="preserve">Вечер</x:t>
        </x:is>
      </x:c>
      <x:c r="D578" s="31" t="inlineStr">
        <x:is>
          <x:t xml:space="preserve">ПЗ-00164</x:t>
        </x:is>
      </x:c>
      <x:c r="E578" s="31" t="inlineStr">
        <x:is>
          <x:t xml:space="preserve">ОП-001364</x:t>
        </x:is>
      </x:c>
      <x:c r="F578" s="31" t="inlineStr">
        <x:is>
          <x:t xml:space="preserve">ОБ-009</x:t>
        </x:is>
      </x:c>
      <x:c r="G578" s="31" t="inlineStr">
        <x:is>
          <x:t xml:space="preserve">СОТР-037</x:t>
        </x:is>
      </x:c>
      <x:c r="H578" s="31" t="inlineStr">
        <x:is>
          <x:t xml:space="preserve">Склад</x:t>
        </x:is>
      </x:c>
      <x:c r="I578" s="31" t="n">
        <x:v>1</x:v>
      </x:c>
      <x:c r="J578" s="31" t="n">
        <x:v>2</x:v>
      </x:c>
      <x:c r="K578" s="31" t="n">
        <x:v>16</x:v>
      </x:c>
      <x:c r="L578" s="31" t="n">
        <x:v>16.9</x:v>
      </x:c>
      <x:c r="M578" s="31" t="n">
        <x:v>90</x:v>
      </x:c>
      <x:c r="N578" s="31" t="inlineStr">
        <x:is>
          <x:t xml:space="preserve">Ремонт оборудования</x:t>
        </x:is>
      </x:c>
      <x:c r="O578" s="31" t="inlineStr">
        <x:is>
          <x:t xml:space="preserve">Подтверждено мастером</x:t>
        </x:is>
      </x:c>
      <x:c r="P578" s="31" t="inlineStr">
        <x:is>
          <x:t xml:space="preserve">Комментарий смены 612</x:t>
        </x:is>
      </x:c>
    </x:row>
    <x:row r="579">
      <x:c r="A579" s="31" t="inlineStr">
        <x:is>
          <x:t xml:space="preserve">СМ-00614</x:t>
        </x:is>
      </x:c>
      <x:c r="B579" s="31" t="n">
        <x:v>46229</x:v>
      </x:c>
      <x:c r="C579" s="31" t="inlineStr">
        <x:is>
          <x:t xml:space="preserve">День</x:t>
        </x:is>
      </x:c>
      <x:c r="D579" s="31" t="inlineStr">
        <x:is>
          <x:t xml:space="preserve">ПЗ-00225</x:t>
        </x:is>
      </x:c>
      <x:c r="E579" s="31" t="inlineStr">
        <x:is>
          <x:t xml:space="preserve">ОП-001892</x:t>
        </x:is>
      </x:c>
      <x:c r="F579" s="31" t="inlineStr">
        <x:is>
          <x:t xml:space="preserve">ОБ-015</x:t>
        </x:is>
      </x:c>
      <x:c r="G579" s="31" t="inlineStr">
        <x:is>
          <x:t xml:space="preserve">СОТР-098</x:t>
        </x:is>
      </x:c>
      <x:c r="H579" s="31" t="inlineStr">
        <x:is>
          <x:t xml:space="preserve">ОТК</x:t>
        </x:is>
      </x:c>
      <x:c r="I579" s="31" t="n">
        <x:v>4</x:v>
      </x:c>
      <x:c r="J579" s="31" t="n">
        <x:v>4</x:v>
      </x:c>
      <x:c r="K579" s="31" t="n">
        <x:v>95.5</x:v>
      </x:c>
      <x:c r="L579" s="31" t="n">
        <x:v>77.40000000000001</x:v>
      </x:c>
      <x:c r="M579" s="31" t="n">
        <x:v>45</x:v>
      </x:c>
      <x:c r="N579" s="31" t="inlineStr">
        <x:is>
          <x:t xml:space="preserve">Ожидание материала</x:t>
        </x:is>
      </x:c>
      <x:c r="O579" s="31" t="inlineStr">
        <x:is>
          <x:t xml:space="preserve">Подтверждено мастером</x:t>
        </x:is>
      </x:c>
      <x:c r="P579" s="31" t="inlineStr">
        <x:is>
          <x:t xml:space="preserve">Комментарий смены 614</x:t>
        </x:is>
      </x:c>
    </x:row>
    <x:row r="580">
      <x:c r="A580" s="31" t="inlineStr">
        <x:is>
          <x:t xml:space="preserve">СМ-00615</x:t>
        </x:is>
      </x:c>
      <x:c r="B580" s="31" t="n">
        <x:v>46124</x:v>
      </x:c>
      <x:c r="C580" s="31" t="inlineStr">
        <x:is>
          <x:t xml:space="preserve">Вечер</x:t>
        </x:is>
      </x:c>
      <x:c r="D580" s="31" t="inlineStr">
        <x:is>
          <x:t xml:space="preserve">ПЗ-00231</x:t>
        </x:is>
      </x:c>
      <x:c r="E580" s="31" t="inlineStr">
        <x:is>
          <x:t xml:space="preserve">ОП-001935</x:t>
        </x:is>
      </x:c>
      <x:c r="F580" s="31" t="inlineStr">
        <x:is>
          <x:t xml:space="preserve">ОБ-007</x:t>
        </x:is>
      </x:c>
      <x:c r="G580" s="31" t="inlineStr">
        <x:is>
          <x:t xml:space="preserve">СОТР-093</x:t>
        </x:is>
      </x:c>
      <x:c r="H580" s="31" t="inlineStr">
        <x:is>
          <x:t xml:space="preserve">ОТК</x:t>
        </x:is>
      </x:c>
      <x:c r="I580" s="31" t="n">
        <x:v>1</x:v>
      </x:c>
      <x:c r="J580" s="31" t="n">
        <x:v>0</x:v>
      </x:c>
      <x:c r="K580" s="31" t="n">
        <x:v>6.8</x:v>
      </x:c>
      <x:c r="L580" s="31" t="n">
        <x:v>6.1</x:v>
      </x:c>
      <x:c r="M580" s="31" t="n">
        <x:v>90</x:v>
      </x:c>
      <x:c r="N580" s="31" t="inlineStr">
        <x:is>
          <x:t xml:space="preserve">Переналадка</x:t>
        </x:is>
      </x:c>
      <x:c r="O580" s="31" t="inlineStr">
        <x:is>
          <x:t xml:space="preserve">Подтверждено мастером</x:t>
        </x:is>
      </x:c>
      <x:c r="P580" s="31" t="inlineStr">
        <x:is>
          <x:t xml:space="preserve">Комментарий смены 615</x:t>
        </x:is>
      </x:c>
    </x:row>
    <x:row r="581">
      <x:c r="A581" s="31" t="inlineStr">
        <x:is>
          <x:t xml:space="preserve">СМ-00617</x:t>
        </x:is>
      </x:c>
      <x:c r="B581" s="31" t="n">
        <x:v>46153</x:v>
      </x:c>
      <x:c r="C581" s="31" t="inlineStr">
        <x:is>
          <x:t xml:space="preserve">День</x:t>
        </x:is>
      </x:c>
      <x:c r="D581" s="31" t="inlineStr">
        <x:is>
          <x:t xml:space="preserve">ПЗ-00138</x:t>
        </x:is>
      </x:c>
      <x:c r="E581" s="31" t="inlineStr">
        <x:is>
          <x:t xml:space="preserve">ОП-001157</x:t>
        </x:is>
      </x:c>
      <x:c r="F581" s="31" t="inlineStr">
        <x:is>
          <x:t xml:space="preserve">ОБ-032</x:t>
        </x:is>
      </x:c>
      <x:c r="G581" s="31" t="inlineStr">
        <x:is>
          <x:t xml:space="preserve">СОТР-097</x:t>
        </x:is>
      </x:c>
      <x:c r="H581" s="31" t="inlineStr">
        <x:is>
          <x:t xml:space="preserve">ОТК</x:t>
        </x:is>
      </x:c>
      <x:c r="I581" s="31" t="n">
        <x:v>2</x:v>
      </x:c>
      <x:c r="J581" s="31" t="n">
        <x:v>2</x:v>
      </x:c>
      <x:c r="K581" s="31" t="n">
        <x:v>25.2</x:v>
      </x:c>
      <x:c r="L581" s="31" t="n">
        <x:v>31.7</x:v>
      </x:c>
      <x:c r="M581" s="31" t="n">
        <x:v>15</x:v>
      </x:c>
      <x:c r="N581" s="31" t="inlineStr">
        <x:is>
          <x:t xml:space="preserve">Ожидание материала</x:t>
        </x:is>
      </x:c>
      <x:c r="O581" s="31" t="inlineStr">
        <x:is>
          <x:t xml:space="preserve">Подтверждено мастером</x:t>
        </x:is>
      </x:c>
      <x:c r="P581" s="31" t="inlineStr">
        <x:is>
          <x:t xml:space="preserve">Комментарий смены 617</x:t>
        </x:is>
      </x:c>
    </x:row>
    <x:row r="582">
      <x:c r="A582" s="31" t="inlineStr">
        <x:is>
          <x:t xml:space="preserve">СМ-00618</x:t>
        </x:is>
      </x:c>
      <x:c r="B582" s="31" t="n">
        <x:v>46109</x:v>
      </x:c>
      <x:c r="C582" s="31" t="inlineStr">
        <x:is>
          <x:t xml:space="preserve">День</x:t>
        </x:is>
      </x:c>
      <x:c r="D582" s="31" t="inlineStr">
        <x:is>
          <x:t xml:space="preserve">ПЗ-00180</x:t>
        </x:is>
      </x:c>
      <x:c r="E582" s="31" t="inlineStr">
        <x:is>
          <x:t xml:space="preserve">ОП-001496</x:t>
        </x:is>
      </x:c>
      <x:c r="F582" s="31" t="inlineStr">
        <x:is>
          <x:t xml:space="preserve">ОБ-002</x:t>
        </x:is>
      </x:c>
      <x:c r="G582" s="31" t="inlineStr">
        <x:is>
          <x:t xml:space="preserve">СОТР-088</x:t>
        </x:is>
      </x:c>
      <x:c r="H582" s="31" t="inlineStr">
        <x:is>
          <x:t xml:space="preserve">Сборка</x:t>
        </x:is>
      </x:c>
      <x:c r="I582" s="31" t="n">
        <x:v>1</x:v>
      </x:c>
      <x:c r="J582" s="31" t="n">
        <x:v>0</x:v>
      </x:c>
      <x:c r="K582" s="31" t="n">
        <x:v>4.8</x:v>
      </x:c>
      <x:c r="L582" s="31" t="n">
        <x:v>4</x:v>
      </x:c>
      <x:c r="M582" s="31" t="n">
        <x:v>15</x:v>
      </x:c>
      <x:c r="N582" s="31" t="inlineStr">
        <x:is>
          <x:t xml:space="preserve">Ожидание материала</x:t>
        </x:is>
      </x:c>
      <x:c r="O582" s="31" t="inlineStr">
        <x:is>
          <x:t xml:space="preserve">Подтверждено мастером</x:t>
        </x:is>
      </x:c>
      <x:c r="P582" s="31" t="inlineStr">
        <x:is>
          <x:t xml:space="preserve">Комментарий смены 618</x:t>
        </x:is>
      </x:c>
    </x:row>
    <x:row r="583">
      <x:c r="A583" s="31" t="inlineStr">
        <x:is>
          <x:t xml:space="preserve">СМ-00619</x:t>
        </x:is>
      </x:c>
      <x:c r="B583" s="31" t="n">
        <x:v>46104</x:v>
      </x:c>
      <x:c r="C583" s="31" t="inlineStr">
        <x:is>
          <x:t xml:space="preserve">Ночь</x:t>
        </x:is>
      </x:c>
      <x:c r="D583" s="31" t="inlineStr">
        <x:is>
          <x:t xml:space="preserve">ПЗ-00202</x:t>
        </x:is>
      </x:c>
      <x:c r="E583" s="31" t="inlineStr">
        <x:is>
          <x:t xml:space="preserve">ОП-001690</x:t>
        </x:is>
      </x:c>
      <x:c r="F583" s="31" t="inlineStr">
        <x:is>
          <x:t xml:space="preserve">ОБ-010</x:t>
        </x:is>
      </x:c>
      <x:c r="G583" s="31" t="inlineStr">
        <x:is>
          <x:t xml:space="preserve">СОТР-057</x:t>
        </x:is>
      </x:c>
      <x:c r="H583" s="31" t="inlineStr">
        <x:is>
          <x:t xml:space="preserve">Сварка</x:t>
        </x:is>
      </x:c>
      <x:c r="I583" s="31" t="n">
        <x:v>3</x:v>
      </x:c>
      <x:c r="J583" s="31" t="n">
        <x:v>3</x:v>
      </x:c>
      <x:c r="K583" s="31" t="n">
        <x:v>13.2</x:v>
      </x:c>
      <x:c r="L583" s="31" t="n">
        <x:v>17.5</x:v>
      </x:c>
      <x:c r="M583" s="31" t="n">
        <x:v>45</x:v>
      </x:c>
      <x:c r="N583" s="31" t="inlineStr">
        <x:is>
          <x:t xml:space="preserve">Переналадка</x:t>
        </x:is>
      </x:c>
      <x:c r="O583" s="31" t="inlineStr">
        <x:is>
          <x:t xml:space="preserve">Подтверждено мастером</x:t>
        </x:is>
      </x:c>
      <x:c r="P583" s="31" t="inlineStr">
        <x:is>
          <x:t xml:space="preserve">Комментарий смены 619</x:t>
        </x:is>
      </x:c>
    </x:row>
    <x:row r="584">
      <x:c r="A584" s="31" t="inlineStr">
        <x:is>
          <x:t xml:space="preserve">СМ-00620</x:t>
        </x:is>
      </x:c>
      <x:c r="B584" s="31" t="n">
        <x:v>46184</x:v>
      </x:c>
      <x:c r="C584" s="31" t="inlineStr">
        <x:is>
          <x:t xml:space="preserve">День</x:t>
        </x:is>
      </x:c>
      <x:c r="D584" s="31" t="inlineStr">
        <x:is>
          <x:t xml:space="preserve">ПЗ-00173</x:t>
        </x:is>
      </x:c>
      <x:c r="E584" s="31" t="inlineStr">
        <x:is>
          <x:t xml:space="preserve">ОП-001437</x:t>
        </x:is>
      </x:c>
      <x:c r="F584" s="31" t="n"/>
      <x:c r="G584" s="31" t="inlineStr">
        <x:is>
          <x:t xml:space="preserve">СОТР-017</x:t>
        </x:is>
      </x:c>
      <x:c r="H584" s="31" t="inlineStr">
        <x:is>
          <x:t xml:space="preserve">Инженерный отдел</x:t>
        </x:is>
      </x:c>
      <x:c r="I584" s="31" t="n">
        <x:v>1</x:v>
      </x:c>
      <x:c r="J584" s="31" t="n">
        <x:v>2</x:v>
      </x:c>
      <x:c r="K584" s="31" t="n">
        <x:v>23.1</x:v>
      </x:c>
      <x:c r="L584" s="31" t="n">
        <x:v>25.9</x:v>
      </x:c>
      <x:c r="M584" s="31" t="n">
        <x:v>60</x:v>
      </x:c>
      <x:c r="N584" s="31" t="inlineStr">
        <x:is>
          <x:t xml:space="preserve">Ожидание материала</x:t>
        </x:is>
      </x:c>
      <x:c r="O584" s="31" t="inlineStr">
        <x:is>
          <x:t xml:space="preserve">Спорный факт</x:t>
        </x:is>
      </x:c>
      <x:c r="P584" s="31" t="inlineStr">
        <x:is>
          <x:t xml:space="preserve">Комментарий смены 620</x:t>
        </x:is>
      </x:c>
    </x:row>
    <x:row r="585">
      <x:c r="A585" s="31" t="inlineStr">
        <x:is>
          <x:t xml:space="preserve">СМ-00621</x:t>
        </x:is>
      </x:c>
      <x:c r="B585" s="31" t="n">
        <x:v>46185</x:v>
      </x:c>
      <x:c r="C585" s="31" t="inlineStr">
        <x:is>
          <x:t xml:space="preserve">Ночь</x:t>
        </x:is>
      </x:c>
      <x:c r="D585" s="31" t="inlineStr">
        <x:is>
          <x:t xml:space="preserve">ПЗ-00083</x:t>
        </x:is>
      </x:c>
      <x:c r="E585" s="31" t="inlineStr">
        <x:is>
          <x:t xml:space="preserve">ОП-000702</x:t>
        </x:is>
      </x:c>
      <x:c r="F585" s="31" t="inlineStr">
        <x:is>
          <x:t xml:space="preserve">ОБ-008</x:t>
        </x:is>
      </x:c>
      <x:c r="G585" s="31" t="inlineStr">
        <x:is>
          <x:t xml:space="preserve">СОТР-039</x:t>
        </x:is>
      </x:c>
      <x:c r="H585" s="31" t="inlineStr">
        <x:is>
          <x:t xml:space="preserve">Склад</x:t>
        </x:is>
      </x:c>
      <x:c r="I585" s="31" t="n">
        <x:v>2</x:v>
      </x:c>
      <x:c r="J585" s="31" t="n">
        <x:v>2</x:v>
      </x:c>
      <x:c r="K585" s="31" t="n">
        <x:v>19.6</x:v>
      </x:c>
      <x:c r="L585" s="31" t="n">
        <x:v>16.3</x:v>
      </x:c>
      <x:c r="M585" s="31" t="n">
        <x:v>45</x:v>
      </x:c>
      <x:c r="N585" s="31" t="inlineStr">
        <x:is>
          <x:t xml:space="preserve">Ремонт оборудования</x:t>
        </x:is>
      </x:c>
      <x:c r="O585" s="31" t="inlineStr">
        <x:is>
          <x:t xml:space="preserve">Подтверждено мастером</x:t>
        </x:is>
      </x:c>
      <x:c r="P585" s="31" t="inlineStr">
        <x:is>
          <x:t xml:space="preserve">Комментарий смены 621</x:t>
        </x:is>
      </x:c>
    </x:row>
    <x:row r="586">
      <x:c r="A586" s="31" t="inlineStr">
        <x:is>
          <x:t xml:space="preserve">СМ-00622</x:t>
        </x:is>
      </x:c>
      <x:c r="B586" s="31" t="n">
        <x:v>46155</x:v>
      </x:c>
      <x:c r="C586" s="31" t="inlineStr">
        <x:is>
          <x:t xml:space="preserve">Вечер</x:t>
        </x:is>
      </x:c>
      <x:c r="D586" s="31" t="inlineStr">
        <x:is>
          <x:t xml:space="preserve">ПЗ-00090</x:t>
        </x:is>
      </x:c>
      <x:c r="E586" s="31" t="inlineStr">
        <x:is>
          <x:t xml:space="preserve">ОП-000767</x:t>
        </x:is>
      </x:c>
      <x:c r="F586" s="31" t="inlineStr">
        <x:is>
          <x:t xml:space="preserve">ОБ-028</x:t>
        </x:is>
      </x:c>
      <x:c r="G586" s="31" t="inlineStr">
        <x:is>
          <x:t xml:space="preserve">СОТР-063</x:t>
        </x:is>
      </x:c>
      <x:c r="H586" s="31" t="inlineStr">
        <x:is>
          <x:t xml:space="preserve">ОТК</x:t>
        </x:is>
      </x:c>
      <x:c r="I586" s="31" t="n">
        <x:v>2</x:v>
      </x:c>
      <x:c r="J586" s="31" t="n">
        <x:v>2</x:v>
      </x:c>
      <x:c r="K586" s="31" t="n">
        <x:v>5.4</x:v>
      </x:c>
      <x:c r="L586" s="31" t="n">
        <x:v>5.1</x:v>
      </x:c>
      <x:c r="M586" s="31" t="n">
        <x:v>120</x:v>
      </x:c>
      <x:c r="N586" s="31" t="inlineStr">
        <x:is>
          <x:t xml:space="preserve">Переналадка</x:t>
        </x:is>
      </x:c>
      <x:c r="O586" s="31" t="inlineStr">
        <x:is>
          <x:t xml:space="preserve">Подтверждено мастером</x:t>
        </x:is>
      </x:c>
      <x:c r="P586" s="31" t="inlineStr">
        <x:is>
          <x:t xml:space="preserve">Комментарий смены 622</x:t>
        </x:is>
      </x:c>
    </x:row>
    <x:row r="587">
      <x:c r="A587" s="31" t="inlineStr">
        <x:is>
          <x:t xml:space="preserve">СМ-00623</x:t>
        </x:is>
      </x:c>
      <x:c r="B587" s="31" t="n">
        <x:v>46134</x:v>
      </x:c>
      <x:c r="C587" s="31" t="inlineStr">
        <x:is>
          <x:t xml:space="preserve">День</x:t>
        </x:is>
      </x:c>
      <x:c r="D587" s="31" t="inlineStr">
        <x:is>
          <x:t xml:space="preserve">ПЗ-00039</x:t>
        </x:is>
      </x:c>
      <x:c r="E587" s="31" t="inlineStr">
        <x:is>
          <x:t xml:space="preserve">ОП-000332</x:t>
        </x:is>
      </x:c>
      <x:c r="F587" s="31" t="inlineStr">
        <x:is>
          <x:t xml:space="preserve">ОБ-003</x:t>
        </x:is>
      </x:c>
      <x:c r="G587" s="31" t="inlineStr">
        <x:is>
          <x:t xml:space="preserve">СОТР-066</x:t>
        </x:is>
      </x:c>
      <x:c r="H587" s="31" t="inlineStr">
        <x:is>
          <x:t xml:space="preserve">Сварка</x:t>
        </x:is>
      </x:c>
      <x:c r="I587" s="31" t="n">
        <x:v>3</x:v>
      </x:c>
      <x:c r="J587" s="31" t="n">
        <x:v>3</x:v>
      </x:c>
      <x:c r="K587" s="31" t="n">
        <x:v>33.6</x:v>
      </x:c>
      <x:c r="L587" s="31" t="n">
        <x:v>29.6</x:v>
      </x:c>
      <x:c r="M587" s="31" t="n">
        <x:v>45</x:v>
      </x:c>
      <x:c r="N587" s="31" t="inlineStr">
        <x:is>
          <x:t xml:space="preserve">Ожидание материала</x:t>
        </x:is>
      </x:c>
      <x:c r="O587" s="31" t="inlineStr">
        <x:is>
          <x:t xml:space="preserve">Подтверждено мастером</x:t>
        </x:is>
      </x:c>
      <x:c r="P587" s="31" t="inlineStr">
        <x:is>
          <x:t xml:space="preserve">Комментарий смены 623</x:t>
        </x:is>
      </x:c>
    </x:row>
    <x:row r="588">
      <x:c r="A588" s="31" t="inlineStr">
        <x:is>
          <x:t xml:space="preserve">СМ-00624</x:t>
        </x:is>
      </x:c>
      <x:c r="B588" s="31" t="n">
        <x:v>46090</x:v>
      </x:c>
      <x:c r="C588" s="31" t="inlineStr">
        <x:is>
          <x:t xml:space="preserve">Ночь</x:t>
        </x:is>
      </x:c>
      <x:c r="D588" s="31" t="inlineStr">
        <x:is>
          <x:t xml:space="preserve">ПЗ-00207</x:t>
        </x:is>
      </x:c>
      <x:c r="E588" s="31" t="inlineStr">
        <x:is>
          <x:t xml:space="preserve">ОП-001734</x:t>
        </x:is>
      </x:c>
      <x:c r="F588" s="31" t="inlineStr">
        <x:is>
          <x:t xml:space="preserve">ОБ-009</x:t>
        </x:is>
      </x:c>
      <x:c r="G588" s="31" t="inlineStr">
        <x:is>
          <x:t xml:space="preserve">СОТР-039</x:t>
        </x:is>
      </x:c>
      <x:c r="H588" s="31" t="inlineStr">
        <x:is>
          <x:t xml:space="preserve">Склад</x:t>
        </x:is>
      </x:c>
      <x:c r="I588" s="31" t="n">
        <x:v>1</x:v>
      </x:c>
      <x:c r="J588" s="31" t="n">
        <x:v>1</x:v>
      </x:c>
      <x:c r="K588" s="31" t="n">
        <x:v>8</x:v>
      </x:c>
      <x:c r="L588" s="31" t="n">
        <x:v>8</x:v>
      </x:c>
      <x:c r="M588" s="31" t="n">
        <x:v>45</x:v>
      </x:c>
      <x:c r="N588" s="31" t="inlineStr">
        <x:is>
          <x:t xml:space="preserve">Ожидание ОТК</x:t>
        </x:is>
      </x:c>
      <x:c r="O588" s="31" t="inlineStr">
        <x:is>
          <x:t xml:space="preserve">Подтверждено мастером</x:t>
        </x:is>
      </x:c>
      <x:c r="P588" s="31" t="inlineStr">
        <x:is>
          <x:t xml:space="preserve">Комментарий смены 624</x:t>
        </x:is>
      </x:c>
    </x:row>
    <x:row r="589">
      <x:c r="A589" s="31" t="inlineStr">
        <x:is>
          <x:t xml:space="preserve">СМ-00625</x:t>
        </x:is>
      </x:c>
      <x:c r="B589" s="31" t="n">
        <x:v>46197</x:v>
      </x:c>
      <x:c r="C589" s="31" t="inlineStr">
        <x:is>
          <x:t xml:space="preserve">Ночь</x:t>
        </x:is>
      </x:c>
      <x:c r="D589" s="31" t="inlineStr">
        <x:is>
          <x:t xml:space="preserve">ПЗ-00223</x:t>
        </x:is>
      </x:c>
      <x:c r="E589" s="31" t="inlineStr">
        <x:is>
          <x:t xml:space="preserve">ОП-001869</x:t>
        </x:is>
      </x:c>
      <x:c r="F589" s="31" t="inlineStr">
        <x:is>
          <x:t xml:space="preserve">ОБ-008</x:t>
        </x:is>
      </x:c>
      <x:c r="G589" s="31" t="inlineStr">
        <x:is>
          <x:t xml:space="preserve">СОТР-033</x:t>
        </x:is>
      </x:c>
      <x:c r="H589" s="31" t="inlineStr">
        <x:is>
          <x:t xml:space="preserve">Склад</x:t>
        </x:is>
      </x:c>
      <x:c r="I589" s="31" t="n">
        <x:v>2</x:v>
      </x:c>
      <x:c r="J589" s="31" t="n">
        <x:v>2</x:v>
      </x:c>
      <x:c r="K589" s="31" t="n">
        <x:v>3.4</x:v>
      </x:c>
      <x:c r="L589" s="31" t="n">
        <x:v>3.9</x:v>
      </x:c>
      <x:c r="M589" s="31" t="n">
        <x:v>120</x:v>
      </x:c>
      <x:c r="N589" s="31" t="inlineStr">
        <x:is>
          <x:t xml:space="preserve">Ожидание материала</x:t>
        </x:is>
      </x:c>
      <x:c r="O589" s="31" t="inlineStr">
        <x:is>
          <x:t xml:space="preserve">Подтверждено мастером</x:t>
        </x:is>
      </x:c>
      <x:c r="P589" s="31" t="inlineStr">
        <x:is>
          <x:t xml:space="preserve">Комментарий смены 625</x:t>
        </x:is>
      </x:c>
    </x:row>
    <x:row r="590">
      <x:c r="A590" s="31" t="inlineStr">
        <x:is>
          <x:t xml:space="preserve">СМ-00626</x:t>
        </x:is>
      </x:c>
      <x:c r="B590" s="31" t="n">
        <x:v>46076</x:v>
      </x:c>
      <x:c r="C590" s="31" t="inlineStr">
        <x:is>
          <x:t xml:space="preserve">День</x:t>
        </x:is>
      </x:c>
      <x:c r="D590" s="31" t="inlineStr">
        <x:is>
          <x:t xml:space="preserve">ПЗ-00026</x:t>
        </x:is>
      </x:c>
      <x:c r="E590" s="31" t="inlineStr">
        <x:is>
          <x:t xml:space="preserve">ОП-000224</x:t>
        </x:is>
      </x:c>
      <x:c r="F590" s="31" t="inlineStr">
        <x:is>
          <x:t xml:space="preserve">ОБ-017</x:t>
        </x:is>
      </x:c>
      <x:c r="G590" s="31" t="inlineStr">
        <x:is>
          <x:t xml:space="preserve">СОТР-074</x:t>
        </x:is>
      </x:c>
      <x:c r="H590" s="31" t="inlineStr">
        <x:is>
          <x:t xml:space="preserve">Сборка</x:t>
        </x:is>
      </x:c>
      <x:c r="I590" s="31" t="n">
        <x:v>1</x:v>
      </x:c>
      <x:c r="J590" s="31" t="n">
        <x:v>2</x:v>
      </x:c>
      <x:c r="K590" s="31" t="n">
        <x:v>15.6</x:v>
      </x:c>
      <x:c r="L590" s="31" t="n">
        <x:v>12.7</x:v>
      </x:c>
      <x:c r="M590" s="31" t="n">
        <x:v>0</x:v>
      </x:c>
      <x:c r="N590" s="31" t="inlineStr">
        <x:is>
          <x:t xml:space="preserve">Нет</x:t>
        </x:is>
      </x:c>
      <x:c r="O590" s="31" t="inlineStr">
        <x:is>
          <x:t xml:space="preserve">Спорный факт</x:t>
        </x:is>
      </x:c>
      <x:c r="P590" s="31" t="inlineStr">
        <x:is>
          <x:t xml:space="preserve">Комментарий смены 626</x:t>
        </x:is>
      </x:c>
    </x:row>
    <x:row r="591">
      <x:c r="A591" s="31" t="inlineStr">
        <x:is>
          <x:t xml:space="preserve">СМ-00627</x:t>
        </x:is>
      </x:c>
      <x:c r="B591" s="31" t="n">
        <x:v>46043</x:v>
      </x:c>
      <x:c r="C591" s="31" t="inlineStr">
        <x:is>
          <x:t xml:space="preserve">День</x:t>
        </x:is>
      </x:c>
      <x:c r="D591" s="31" t="inlineStr">
        <x:is>
          <x:t xml:space="preserve">ПЗ-00254</x:t>
        </x:is>
      </x:c>
      <x:c r="E591" s="31" t="inlineStr">
        <x:is>
          <x:t xml:space="preserve">ОП-002120</x:t>
        </x:is>
      </x:c>
      <x:c r="F591" s="31" t="inlineStr">
        <x:is>
          <x:t xml:space="preserve">ОБ-010</x:t>
        </x:is>
      </x:c>
      <x:c r="G591" s="31" t="inlineStr">
        <x:is>
          <x:t xml:space="preserve">СОТР-061</x:t>
        </x:is>
      </x:c>
      <x:c r="H591" s="31" t="inlineStr">
        <x:is>
          <x:t xml:space="preserve">Сварка</x:t>
        </x:is>
      </x:c>
      <x:c r="I591" s="31" t="n">
        <x:v>3</x:v>
      </x:c>
      <x:c r="J591" s="31" t="n">
        <x:v>3</x:v>
      </x:c>
      <x:c r="K591" s="31" t="n">
        <x:v>4.8</x:v>
      </x:c>
      <x:c r="L591" s="31" t="n">
        <x:v>5.1</x:v>
      </x:c>
      <x:c r="M591" s="31" t="n">
        <x:v>15</x:v>
      </x:c>
      <x:c r="N591" s="31" t="inlineStr">
        <x:is>
          <x:t xml:space="preserve">Ожидание материала</x:t>
        </x:is>
      </x:c>
      <x:c r="O591" s="31" t="inlineStr">
        <x:is>
          <x:t xml:space="preserve">Подтверждено мастером</x:t>
        </x:is>
      </x:c>
      <x:c r="P591" s="31" t="inlineStr">
        <x:is>
          <x:t xml:space="preserve">Комментарий смены 627</x:t>
        </x:is>
      </x:c>
    </x:row>
    <x:row r="592">
      <x:c r="A592" s="31" t="inlineStr">
        <x:is>
          <x:t xml:space="preserve">СМ-00628</x:t>
        </x:is>
      </x:c>
      <x:c r="B592" s="31" t="n">
        <x:v>46157</x:v>
      </x:c>
      <x:c r="C592" s="31" t="inlineStr">
        <x:is>
          <x:t xml:space="preserve">Вечер</x:t>
        </x:is>
      </x:c>
      <x:c r="D592" s="31" t="inlineStr">
        <x:is>
          <x:t xml:space="preserve">ПЗ-00167</x:t>
        </x:is>
      </x:c>
      <x:c r="E592" s="31" t="inlineStr">
        <x:is>
          <x:t xml:space="preserve">ОП-001393</x:t>
        </x:is>
      </x:c>
      <x:c r="F592" s="31" t="n"/>
      <x:c r="G592" s="31" t="inlineStr">
        <x:is>
          <x:t xml:space="preserve">СОТР-070</x:t>
        </x:is>
      </x:c>
      <x:c r="H592" s="31" t="inlineStr">
        <x:is>
          <x:t xml:space="preserve">Логистика</x:t>
        </x:is>
      </x:c>
      <x:c r="I592" s="31" t="n">
        <x:v>2</x:v>
      </x:c>
      <x:c r="J592" s="31" t="n">
        <x:v>2</x:v>
      </x:c>
      <x:c r="K592" s="31" t="n">
        <x:v>68.5</x:v>
      </x:c>
      <x:c r="L592" s="31" t="n">
        <x:v>86.7</x:v>
      </x:c>
      <x:c r="M592" s="31" t="n">
        <x:v>0</x:v>
      </x:c>
      <x:c r="N592" s="31" t="inlineStr">
        <x:is>
          <x:t xml:space="preserve">Нет</x:t>
        </x:is>
      </x:c>
      <x:c r="O592" s="31" t="inlineStr">
        <x:is>
          <x:t xml:space="preserve">Подтверждено мастером</x:t>
        </x:is>
      </x:c>
      <x:c r="P592" s="31" t="inlineStr">
        <x:is>
          <x:t xml:space="preserve">Комментарий смены 628</x:t>
        </x:is>
      </x:c>
    </x:row>
    <x:row r="593">
      <x:c r="A593" s="31" t="inlineStr">
        <x:is>
          <x:t xml:space="preserve">СМ-00629</x:t>
        </x:is>
      </x:c>
      <x:c r="B593" s="31" t="n">
        <x:v>46117</x:v>
      </x:c>
      <x:c r="C593" s="31" t="inlineStr">
        <x:is>
          <x:t xml:space="preserve">День</x:t>
        </x:is>
      </x:c>
      <x:c r="D593" s="31" t="inlineStr">
        <x:is>
          <x:t xml:space="preserve">ПЗ-00203</x:t>
        </x:is>
      </x:c>
      <x:c r="E593" s="31" t="inlineStr">
        <x:is>
          <x:t xml:space="preserve">ОП-001697</x:t>
        </x:is>
      </x:c>
      <x:c r="F593" s="31" t="inlineStr">
        <x:is>
          <x:t xml:space="preserve">ОБ-016</x:t>
        </x:is>
      </x:c>
      <x:c r="G593" s="31" t="inlineStr">
        <x:is>
          <x:t xml:space="preserve">СОТР-080</x:t>
        </x:is>
      </x:c>
      <x:c r="H593" s="31" t="inlineStr">
        <x:is>
          <x:t xml:space="preserve">Сборка</x:t>
        </x:is>
      </x:c>
      <x:c r="I593" s="31" t="n">
        <x:v>4</x:v>
      </x:c>
      <x:c r="J593" s="31" t="n">
        <x:v>0</x:v>
      </x:c>
      <x:c r="K593" s="31" t="n">
        <x:v>19</x:v>
      </x:c>
      <x:c r="L593" s="31" t="n">
        <x:v>11.8</x:v>
      </x:c>
      <x:c r="M593" s="31" t="n">
        <x:v>0</x:v>
      </x:c>
      <x:c r="N593" s="31" t="inlineStr">
        <x:is>
          <x:t xml:space="preserve">Нет</x:t>
        </x:is>
      </x:c>
      <x:c r="O593" s="31" t="inlineStr">
        <x:is>
          <x:t xml:space="preserve">Подтверждено мастером</x:t>
        </x:is>
      </x:c>
      <x:c r="P593" s="31" t="inlineStr">
        <x:is>
          <x:t xml:space="preserve">Комментарий смены 629</x:t>
        </x:is>
      </x:c>
    </x:row>
    <x:row r="594">
      <x:c r="A594" s="31" t="inlineStr">
        <x:is>
          <x:t xml:space="preserve">СМ-00630</x:t>
        </x:is>
      </x:c>
      <x:c r="B594" s="31" t="n">
        <x:v>46059</x:v>
      </x:c>
      <x:c r="C594" s="31" t="inlineStr">
        <x:is>
          <x:t xml:space="preserve">Ночь</x:t>
        </x:is>
      </x:c>
      <x:c r="D594" s="31" t="inlineStr">
        <x:is>
          <x:t xml:space="preserve">ПЗ-00219</x:t>
        </x:is>
      </x:c>
      <x:c r="E594" s="31" t="inlineStr">
        <x:is>
          <x:t xml:space="preserve">ОП-001840</x:t>
        </x:is>
      </x:c>
      <x:c r="F594" s="31" t="inlineStr">
        <x:is>
          <x:t xml:space="preserve">ОБ-018</x:t>
        </x:is>
      </x:c>
      <x:c r="G594" s="31" t="inlineStr">
        <x:is>
          <x:t xml:space="preserve">СОТР-071</x:t>
        </x:is>
      </x:c>
      <x:c r="H594" s="31" t="inlineStr">
        <x:is>
          <x:t xml:space="preserve">Сварка</x:t>
        </x:is>
      </x:c>
      <x:c r="I594" s="31" t="n">
        <x:v>2</x:v>
      </x:c>
      <x:c r="J594" s="31" t="n">
        <x:v>2</x:v>
      </x:c>
      <x:c r="K594" s="31" t="n">
        <x:v>24.6</x:v>
      </x:c>
      <x:c r="L594" s="31" t="n">
        <x:v>23</x:v>
      </x:c>
      <x:c r="M594" s="31" t="n">
        <x:v>90</x:v>
      </x:c>
      <x:c r="N594" s="31" t="inlineStr">
        <x:is>
          <x:t xml:space="preserve">Переналадка</x:t>
        </x:is>
      </x:c>
      <x:c r="O594" s="31" t="inlineStr">
        <x:is>
          <x:t xml:space="preserve">Закрыто</x:t>
        </x:is>
      </x:c>
      <x:c r="P594" s="31" t="inlineStr">
        <x:is>
          <x:t xml:space="preserve">Комментарий смены 630</x:t>
        </x:is>
      </x:c>
    </x:row>
    <x:row r="595">
      <x:c r="A595" s="31" t="inlineStr">
        <x:is>
          <x:t xml:space="preserve">СМ-00631</x:t>
        </x:is>
      </x:c>
      <x:c r="B595" s="31" t="n">
        <x:v>46092</x:v>
      </x:c>
      <x:c r="C595" s="31" t="inlineStr">
        <x:is>
          <x:t xml:space="preserve">День</x:t>
        </x:is>
      </x:c>
      <x:c r="D595" s="31" t="inlineStr">
        <x:is>
          <x:t xml:space="preserve">ПЗ-00180</x:t>
        </x:is>
      </x:c>
      <x:c r="E595" s="31" t="inlineStr">
        <x:is>
          <x:t xml:space="preserve">ОП-001489</x:t>
        </x:is>
      </x:c>
      <x:c r="F595" s="31" t="n"/>
      <x:c r="G595" s="31" t="inlineStr">
        <x:is>
          <x:t xml:space="preserve">СОТР-020</x:t>
        </x:is>
      </x:c>
      <x:c r="H595" s="31" t="inlineStr">
        <x:is>
          <x:t xml:space="preserve">Инженерный отдел</x:t>
        </x:is>
      </x:c>
      <x:c r="I595" s="31" t="n">
        <x:v>4</x:v>
      </x:c>
      <x:c r="J595" s="31" t="n">
        <x:v>4</x:v>
      </x:c>
      <x:c r="K595" s="31" t="n">
        <x:v>27.6</x:v>
      </x:c>
      <x:c r="L595" s="31" t="n">
        <x:v>27.9</x:v>
      </x:c>
      <x:c r="M595" s="31" t="n">
        <x:v>60</x:v>
      </x:c>
      <x:c r="N595" s="31" t="inlineStr">
        <x:is>
          <x:t xml:space="preserve">Ожидание ОТК</x:t>
        </x:is>
      </x:c>
      <x:c r="O595" s="31" t="inlineStr">
        <x:is>
          <x:t xml:space="preserve">Подтверждено мастером</x:t>
        </x:is>
      </x:c>
      <x:c r="P595" s="31" t="inlineStr">
        <x:is>
          <x:t xml:space="preserve">Комментарий смены 631</x:t>
        </x:is>
      </x:c>
    </x:row>
    <x:row r="596">
      <x:c r="A596" s="31" t="inlineStr">
        <x:is>
          <x:t xml:space="preserve">СМ-00632</x:t>
        </x:is>
      </x:c>
      <x:c r="B596" s="31" t="n">
        <x:v>46093</x:v>
      </x:c>
      <x:c r="C596" s="31" t="inlineStr">
        <x:is>
          <x:t xml:space="preserve">Ночь</x:t>
        </x:is>
      </x:c>
      <x:c r="D596" s="31" t="inlineStr">
        <x:is>
          <x:t xml:space="preserve">ПЗ-00057</x:t>
        </x:is>
      </x:c>
      <x:c r="E596" s="31" t="inlineStr">
        <x:is>
          <x:t xml:space="preserve">ОП-000480</x:t>
        </x:is>
      </x:c>
      <x:c r="F596" s="31" t="n"/>
      <x:c r="G596" s="31" t="inlineStr">
        <x:is>
          <x:t xml:space="preserve">СОТР-104</x:t>
        </x:is>
      </x:c>
      <x:c r="H596" s="31" t="inlineStr">
        <x:is>
          <x:t xml:space="preserve">Логистика</x:t>
        </x:is>
      </x:c>
      <x:c r="I596" s="31" t="n">
        <x:v>2</x:v>
      </x:c>
      <x:c r="J596" s="31" t="n">
        <x:v>3</x:v>
      </x:c>
      <x:c r="K596" s="31" t="n">
        <x:v>9</x:v>
      </x:c>
      <x:c r="L596" s="31" t="n">
        <x:v>7.4</x:v>
      </x:c>
      <x:c r="M596" s="31" t="n">
        <x:v>45</x:v>
      </x:c>
      <x:c r="N596" s="31" t="inlineStr">
        <x:is>
          <x:t xml:space="preserve">Ремонт оборудования</x:t>
        </x:is>
      </x:c>
      <x:c r="O596" s="31" t="inlineStr">
        <x:is>
          <x:t xml:space="preserve">Черновик</x:t>
        </x:is>
      </x:c>
      <x:c r="P596" s="31" t="inlineStr">
        <x:is>
          <x:t xml:space="preserve">Комментарий смены 632</x:t>
        </x:is>
      </x:c>
    </x:row>
    <x:row r="597">
      <x:c r="A597" s="31" t="inlineStr">
        <x:is>
          <x:t xml:space="preserve">СМ-00633</x:t>
        </x:is>
      </x:c>
      <x:c r="B597" s="31" t="n">
        <x:v>46153</x:v>
      </x:c>
      <x:c r="C597" s="31" t="inlineStr">
        <x:is>
          <x:t xml:space="preserve">День</x:t>
        </x:is>
      </x:c>
      <x:c r="D597" s="31" t="inlineStr">
        <x:is>
          <x:t xml:space="preserve">ПЗ-00087</x:t>
        </x:is>
      </x:c>
      <x:c r="E597" s="31" t="inlineStr">
        <x:is>
          <x:t xml:space="preserve">ОП-000738</x:t>
        </x:is>
      </x:c>
      <x:c r="F597" s="31" t="inlineStr">
        <x:is>
          <x:t xml:space="preserve">ОБ-027</x:t>
        </x:is>
      </x:c>
      <x:c r="G597" s="31" t="inlineStr">
        <x:is>
          <x:t xml:space="preserve">СОТР-084</x:t>
        </x:is>
      </x:c>
      <x:c r="H597" s="31" t="inlineStr">
        <x:is>
          <x:t xml:space="preserve">Сборка</x:t>
        </x:is>
      </x:c>
      <x:c r="I597" s="31" t="n">
        <x:v>3</x:v>
      </x:c>
      <x:c r="J597" s="31" t="n">
        <x:v>3</x:v>
      </x:c>
      <x:c r="K597" s="31" t="n">
        <x:v>26.7</x:v>
      </x:c>
      <x:c r="L597" s="31" t="n">
        <x:v>27.1</x:v>
      </x:c>
      <x:c r="M597" s="31" t="n">
        <x:v>45</x:v>
      </x:c>
      <x:c r="N597" s="31" t="inlineStr">
        <x:is>
          <x:t xml:space="preserve">Ремонт оборудования</x:t>
        </x:is>
      </x:c>
      <x:c r="O597" s="31" t="inlineStr">
        <x:is>
          <x:t xml:space="preserve">Подтверждено мастером</x:t>
        </x:is>
      </x:c>
      <x:c r="P597" s="31" t="inlineStr">
        <x:is>
          <x:t xml:space="preserve">Комментарий смены 633</x:t>
        </x:is>
      </x:c>
    </x:row>
    <x:row r="598">
      <x:c r="A598" s="31" t="inlineStr">
        <x:is>
          <x:t xml:space="preserve">СМ-00634</x:t>
        </x:is>
      </x:c>
      <x:c r="B598" s="31" t="n">
        <x:v>46146</x:v>
      </x:c>
      <x:c r="C598" s="31" t="inlineStr">
        <x:is>
          <x:t xml:space="preserve">День</x:t>
        </x:is>
      </x:c>
      <x:c r="D598" s="31" t="inlineStr">
        <x:is>
          <x:t xml:space="preserve">ПЗ-00059</x:t>
        </x:is>
      </x:c>
      <x:c r="E598" s="31" t="inlineStr">
        <x:is>
          <x:t xml:space="preserve">ОП-000500</x:t>
        </x:is>
      </x:c>
      <x:c r="F598" s="31" t="n"/>
      <x:c r="G598" s="31" t="inlineStr">
        <x:is>
          <x:t xml:space="preserve">СОТР-103</x:t>
        </x:is>
      </x:c>
      <x:c r="H598" s="31" t="inlineStr">
        <x:is>
          <x:t xml:space="preserve">Логистика</x:t>
        </x:is>
      </x:c>
      <x:c r="I598" s="31" t="n">
        <x:v>1</x:v>
      </x:c>
      <x:c r="J598" s="31" t="n">
        <x:v>2</x:v>
      </x:c>
      <x:c r="K598" s="31" t="n">
        <x:v>3.8</x:v>
      </x:c>
      <x:c r="L598" s="31" t="n">
        <x:v>4</x:v>
      </x:c>
      <x:c r="M598" s="31" t="n">
        <x:v>15</x:v>
      </x:c>
      <x:c r="N598" s="31" t="inlineStr">
        <x:is>
          <x:t xml:space="preserve">Переналадка</x:t>
        </x:is>
      </x:c>
      <x:c r="O598" s="31" t="inlineStr">
        <x:is>
          <x:t xml:space="preserve">Подтверждено мастером</x:t>
        </x:is>
      </x:c>
      <x:c r="P598" s="31" t="inlineStr">
        <x:is>
          <x:t xml:space="preserve">Комментарий смены 634</x:t>
        </x:is>
      </x:c>
    </x:row>
    <x:row r="599">
      <x:c r="A599" s="31" t="inlineStr">
        <x:is>
          <x:t xml:space="preserve">СМ-00635</x:t>
        </x:is>
      </x:c>
      <x:c r="B599" s="31" t="n">
        <x:v>46189</x:v>
      </x:c>
      <x:c r="C599" s="31" t="inlineStr">
        <x:is>
          <x:t xml:space="preserve">День</x:t>
        </x:is>
      </x:c>
      <x:c r="D599" s="31" t="inlineStr">
        <x:is>
          <x:t xml:space="preserve">ПЗ-00214</x:t>
        </x:is>
      </x:c>
      <x:c r="E599" s="31" t="inlineStr">
        <x:is>
          <x:t xml:space="preserve">ОП-001797</x:t>
        </x:is>
      </x:c>
      <x:c r="F599" s="31" t="inlineStr">
        <x:is>
          <x:t xml:space="preserve">ОБ-002</x:t>
        </x:is>
      </x:c>
      <x:c r="G599" s="31" t="inlineStr">
        <x:is>
          <x:t xml:space="preserve">СОТР-032</x:t>
        </x:is>
      </x:c>
      <x:c r="H599" s="31" t="inlineStr">
        <x:is>
          <x:t xml:space="preserve">Сборка</x:t>
        </x:is>
      </x:c>
      <x:c r="I599" s="31" t="n">
        <x:v>1</x:v>
      </x:c>
      <x:c r="J599" s="31" t="n">
        <x:v>1</x:v>
      </x:c>
      <x:c r="K599" s="31" t="n">
        <x:v>50.1</x:v>
      </x:c>
      <x:c r="L599" s="31" t="n">
        <x:v>54.9</x:v>
      </x:c>
      <x:c r="M599" s="31" t="n">
        <x:v>45</x:v>
      </x:c>
      <x:c r="N599" s="31" t="inlineStr">
        <x:is>
          <x:t xml:space="preserve">Переналадка</x:t>
        </x:is>
      </x:c>
      <x:c r="O599" s="31" t="inlineStr">
        <x:is>
          <x:t xml:space="preserve">Закрыто</x:t>
        </x:is>
      </x:c>
      <x:c r="P599" s="31" t="inlineStr">
        <x:is>
          <x:t xml:space="preserve">Комментарий смены 635</x:t>
        </x:is>
      </x:c>
    </x:row>
    <x:row r="600">
      <x:c r="A600" s="31" t="inlineStr">
        <x:is>
          <x:t xml:space="preserve">СМ-00636</x:t>
        </x:is>
      </x:c>
      <x:c r="B600" s="31" t="n">
        <x:v>46066</x:v>
      </x:c>
      <x:c r="C600" s="31" t="inlineStr">
        <x:is>
          <x:t xml:space="preserve">День</x:t>
        </x:is>
      </x:c>
      <x:c r="D600" s="31" t="inlineStr">
        <x:is>
          <x:t xml:space="preserve">ПЗ-00252</x:t>
        </x:is>
      </x:c>
      <x:c r="E600" s="31" t="inlineStr">
        <x:is>
          <x:t xml:space="preserve">ОП-002112</x:t>
        </x:is>
      </x:c>
      <x:c r="F600" s="31" t="n"/>
      <x:c r="G600" s="31" t="inlineStr">
        <x:is>
          <x:t xml:space="preserve">СОТР-103</x:t>
        </x:is>
      </x:c>
      <x:c r="H600" s="31" t="inlineStr">
        <x:is>
          <x:t xml:space="preserve">Логистика</x:t>
        </x:is>
      </x:c>
      <x:c r="I600" s="31" t="n">
        <x:v>2</x:v>
      </x:c>
      <x:c r="J600" s="31" t="n">
        <x:v>2</x:v>
      </x:c>
      <x:c r="K600" s="31" t="n">
        <x:v>35.8</x:v>
      </x:c>
      <x:c r="L600" s="31" t="n">
        <x:v>46</x:v>
      </x:c>
      <x:c r="M600" s="31" t="n">
        <x:v>0</x:v>
      </x:c>
      <x:c r="N600" s="31" t="inlineStr">
        <x:is>
          <x:t xml:space="preserve">Нет</x:t>
        </x:is>
      </x:c>
      <x:c r="O600" s="31" t="inlineStr">
        <x:is>
          <x:t xml:space="preserve">Черновик</x:t>
        </x:is>
      </x:c>
      <x:c r="P600" s="31" t="inlineStr">
        <x:is>
          <x:t xml:space="preserve">Комментарий смены 636</x:t>
        </x:is>
      </x:c>
    </x:row>
    <x:row r="601">
      <x:c r="A601" s="31" t="inlineStr">
        <x:is>
          <x:t xml:space="preserve">СМ-00637</x:t>
        </x:is>
      </x:c>
      <x:c r="B601" s="31" t="n">
        <x:v>46105</x:v>
      </x:c>
      <x:c r="C601" s="31" t="inlineStr">
        <x:is>
          <x:t xml:space="preserve">День</x:t>
        </x:is>
      </x:c>
      <x:c r="D601" s="31" t="inlineStr">
        <x:is>
          <x:t xml:space="preserve">ПЗ-00014</x:t>
        </x:is>
      </x:c>
      <x:c r="E601" s="31" t="inlineStr">
        <x:is>
          <x:t xml:space="preserve">ОП-000114</x:t>
        </x:is>
      </x:c>
      <x:c r="F601" s="31" t="inlineStr">
        <x:is>
          <x:t xml:space="preserve">ОБ-034</x:t>
        </x:is>
      </x:c>
      <x:c r="G601" s="31" t="inlineStr">
        <x:is>
          <x:t xml:space="preserve">СОТР-079</x:t>
        </x:is>
      </x:c>
      <x:c r="H601" s="31" t="inlineStr">
        <x:is>
          <x:t xml:space="preserve">Сборка</x:t>
        </x:is>
      </x:c>
      <x:c r="I601" s="31" t="n">
        <x:v>4</x:v>
      </x:c>
      <x:c r="J601" s="31" t="n">
        <x:v>4</x:v>
      </x:c>
      <x:c r="K601" s="31" t="n">
        <x:v>8.4</x:v>
      </x:c>
      <x:c r="L601" s="31" t="n">
        <x:v>9.6</x:v>
      </x:c>
      <x:c r="M601" s="31" t="n">
        <x:v>15</x:v>
      </x:c>
      <x:c r="N601" s="31" t="inlineStr">
        <x:is>
          <x:t xml:space="preserve">Ожидание материала</x:t>
        </x:is>
      </x:c>
      <x:c r="O601" s="31" t="inlineStr">
        <x:is>
          <x:t xml:space="preserve">Черновик</x:t>
        </x:is>
      </x:c>
      <x:c r="P601" s="31" t="inlineStr">
        <x:is>
          <x:t xml:space="preserve">Комментарий смены 637</x:t>
        </x:is>
      </x:c>
    </x:row>
    <x:row r="602">
      <x:c r="A602" s="31" t="inlineStr">
        <x:is>
          <x:t xml:space="preserve">СМ-00638</x:t>
        </x:is>
      </x:c>
      <x:c r="B602" s="31" t="n">
        <x:v>46067</x:v>
      </x:c>
      <x:c r="C602" s="31" t="inlineStr">
        <x:is>
          <x:t xml:space="preserve">День</x:t>
        </x:is>
      </x:c>
      <x:c r="D602" s="31" t="inlineStr">
        <x:is>
          <x:t xml:space="preserve">ПЗ-00075</x:t>
        </x:is>
      </x:c>
      <x:c r="E602" s="31" t="inlineStr">
        <x:is>
          <x:t xml:space="preserve">ОП-000638</x:t>
        </x:is>
      </x:c>
      <x:c r="F602" s="31" t="inlineStr">
        <x:is>
          <x:t xml:space="preserve">ОБ-006</x:t>
        </x:is>
      </x:c>
      <x:c r="G602" s="31" t="inlineStr">
        <x:is>
          <x:t xml:space="preserve">СОТР-093</x:t>
        </x:is>
      </x:c>
      <x:c r="H602" s="31" t="inlineStr">
        <x:is>
          <x:t xml:space="preserve">ОТК</x:t>
        </x:is>
      </x:c>
      <x:c r="I602" s="31" t="n">
        <x:v>1</x:v>
      </x:c>
      <x:c r="J602" s="31" t="n">
        <x:v>1</x:v>
      </x:c>
      <x:c r="K602" s="31" t="n">
        <x:v>9.300000000000001</x:v>
      </x:c>
      <x:c r="L602" s="31" t="n">
        <x:v>12.1</x:v>
      </x:c>
      <x:c r="M602" s="31" t="n">
        <x:v>0</x:v>
      </x:c>
      <x:c r="N602" s="31" t="inlineStr">
        <x:is>
          <x:t xml:space="preserve">Нет</x:t>
        </x:is>
      </x:c>
      <x:c r="O602" s="31" t="inlineStr">
        <x:is>
          <x:t xml:space="preserve">Подтверждено мастером</x:t>
        </x:is>
      </x:c>
      <x:c r="P602" s="31" t="inlineStr">
        <x:is>
          <x:t xml:space="preserve">Комментарий смены 638</x:t>
        </x:is>
      </x:c>
    </x:row>
    <x:row r="603">
      <x:c r="A603" s="31" t="inlineStr">
        <x:is>
          <x:t xml:space="preserve">СМ-00639</x:t>
        </x:is>
      </x:c>
      <x:c r="B603" s="31" t="n">
        <x:v>46154</x:v>
      </x:c>
      <x:c r="C603" s="31" t="inlineStr">
        <x:is>
          <x:t xml:space="preserve">День</x:t>
        </x:is>
      </x:c>
      <x:c r="D603" s="31" t="inlineStr">
        <x:is>
          <x:t xml:space="preserve">ПЗ-00153</x:t>
        </x:is>
      </x:c>
      <x:c r="E603" s="31" t="inlineStr">
        <x:is>
          <x:t xml:space="preserve">ОП-001265</x:t>
        </x:is>
      </x:c>
      <x:c r="F603" s="31" t="n"/>
      <x:c r="G603" s="31" t="inlineStr">
        <x:is>
          <x:t xml:space="preserve">СОТР-013</x:t>
        </x:is>
      </x:c>
      <x:c r="H603" s="31" t="inlineStr">
        <x:is>
          <x:t xml:space="preserve">Инженерный отдел</x:t>
        </x:is>
      </x:c>
      <x:c r="I603" s="31" t="n">
        <x:v>5</x:v>
      </x:c>
      <x:c r="J603" s="31" t="n">
        <x:v>5</x:v>
      </x:c>
      <x:c r="K603" s="31" t="n">
        <x:v>24</x:v>
      </x:c>
      <x:c r="L603" s="31" t="n">
        <x:v>27.1</x:v>
      </x:c>
      <x:c r="M603" s="31" t="n">
        <x:v>0</x:v>
      </x:c>
      <x:c r="N603" s="31" t="inlineStr">
        <x:is>
          <x:t xml:space="preserve">Нет</x:t>
        </x:is>
      </x:c>
      <x:c r="O603" s="31" t="inlineStr">
        <x:is>
          <x:t xml:space="preserve">Спорный факт</x:t>
        </x:is>
      </x:c>
      <x:c r="P603" s="31" t="inlineStr">
        <x:is>
          <x:t xml:space="preserve">Комментарий смены 639</x:t>
        </x:is>
      </x:c>
    </x:row>
    <x:row r="604">
      <x:c r="A604" s="31" t="inlineStr">
        <x:is>
          <x:t xml:space="preserve">СМ-00640</x:t>
        </x:is>
      </x:c>
      <x:c r="B604" s="31" t="n">
        <x:v>46214</x:v>
      </x:c>
      <x:c r="C604" s="31" t="inlineStr">
        <x:is>
          <x:t xml:space="preserve">День</x:t>
        </x:is>
      </x:c>
      <x:c r="D604" s="31" t="inlineStr">
        <x:is>
          <x:t xml:space="preserve">ПЗ-00171</x:t>
        </x:is>
      </x:c>
      <x:c r="E604" s="31" t="inlineStr">
        <x:is>
          <x:t xml:space="preserve">ОП-001423</x:t>
        </x:is>
      </x:c>
      <x:c r="F604" s="31" t="inlineStr">
        <x:is>
          <x:t xml:space="preserve">ОБ-024</x:t>
        </x:is>
      </x:c>
      <x:c r="G604" s="31" t="inlineStr">
        <x:is>
          <x:t xml:space="preserve">СОТР-096</x:t>
        </x:is>
      </x:c>
      <x:c r="H604" s="31" t="inlineStr">
        <x:is>
          <x:t xml:space="preserve">ОТК</x:t>
        </x:is>
      </x:c>
      <x:c r="I604" s="31" t="n">
        <x:v>1</x:v>
      </x:c>
      <x:c r="J604" s="31" t="n">
        <x:v>1</x:v>
      </x:c>
      <x:c r="K604" s="31" t="n">
        <x:v>14.7</x:v>
      </x:c>
      <x:c r="L604" s="31" t="n">
        <x:v>17.4</x:v>
      </x:c>
      <x:c r="M604" s="31" t="n">
        <x:v>0</x:v>
      </x:c>
      <x:c r="N604" s="31" t="inlineStr">
        <x:is>
          <x:t xml:space="preserve">Нет</x:t>
        </x:is>
      </x:c>
      <x:c r="O604" s="31" t="inlineStr">
        <x:is>
          <x:t xml:space="preserve">Подтверждено мастером</x:t>
        </x:is>
      </x:c>
      <x:c r="P604" s="31" t="inlineStr">
        <x:is>
          <x:t xml:space="preserve">Комментарий смены 640</x:t>
        </x:is>
      </x:c>
    </x:row>
    <x:row r="605">
      <x:c r="A605" s="31" t="inlineStr">
        <x:is>
          <x:t xml:space="preserve">СМ-00641</x:t>
        </x:is>
      </x:c>
      <x:c r="B605" s="31" t="n">
        <x:v>46072</x:v>
      </x:c>
      <x:c r="C605" s="31" t="inlineStr">
        <x:is>
          <x:t xml:space="preserve">День</x:t>
        </x:is>
      </x:c>
      <x:c r="D605" s="31" t="inlineStr">
        <x:is>
          <x:t xml:space="preserve">ПЗ-00144</x:t>
        </x:is>
      </x:c>
      <x:c r="E605" s="31" t="inlineStr">
        <x:is>
          <x:t xml:space="preserve">ОП-001200</x:t>
        </x:is>
      </x:c>
      <x:c r="F605" s="31" t="inlineStr">
        <x:is>
          <x:t xml:space="preserve">ОБ-026</x:t>
        </x:is>
      </x:c>
      <x:c r="G605" s="31" t="inlineStr">
        <x:is>
          <x:t xml:space="preserve">СОТР-072</x:t>
        </x:is>
      </x:c>
      <x:c r="H605" s="31" t="inlineStr">
        <x:is>
          <x:t xml:space="preserve">Сварка</x:t>
        </x:is>
      </x:c>
      <x:c r="I605" s="31" t="n">
        <x:v>1</x:v>
      </x:c>
      <x:c r="J605" s="31" t="n">
        <x:v>1</x:v>
      </x:c>
      <x:c r="K605" s="31" t="n">
        <x:v>57.2</x:v>
      </x:c>
      <x:c r="L605" s="31" t="n">
        <x:v>51.9</x:v>
      </x:c>
      <x:c r="M605" s="31" t="n">
        <x:v>0</x:v>
      </x:c>
      <x:c r="N605" s="31" t="inlineStr">
        <x:is>
          <x:t xml:space="preserve">Нет</x:t>
        </x:is>
      </x:c>
      <x:c r="O605" s="31" t="inlineStr">
        <x:is>
          <x:t xml:space="preserve">Закрыто</x:t>
        </x:is>
      </x:c>
      <x:c r="P605" s="31" t="inlineStr">
        <x:is>
          <x:t xml:space="preserve">Комментарий смены 641</x:t>
        </x:is>
      </x:c>
    </x:row>
    <x:row r="606">
      <x:c r="A606" s="31" t="inlineStr">
        <x:is>
          <x:t xml:space="preserve">СМ-00642</x:t>
        </x:is>
      </x:c>
      <x:c r="B606" s="31" t="n">
        <x:v>46164</x:v>
      </x:c>
      <x:c r="C606" s="31" t="inlineStr">
        <x:is>
          <x:t xml:space="preserve">Ночь</x:t>
        </x:is>
      </x:c>
      <x:c r="D606" s="31" t="inlineStr">
        <x:is>
          <x:t xml:space="preserve">ПЗ-00198</x:t>
        </x:is>
      </x:c>
      <x:c r="E606" s="31" t="inlineStr">
        <x:is>
          <x:t xml:space="preserve">ОП-001665</x:t>
        </x:is>
      </x:c>
      <x:c r="F606" s="31" t="n"/>
      <x:c r="G606" s="31" t="inlineStr">
        <x:is>
          <x:t xml:space="preserve">СОТР-101</x:t>
        </x:is>
      </x:c>
      <x:c r="H606" s="31" t="inlineStr">
        <x:is>
          <x:t xml:space="preserve">Логистика</x:t>
        </x:is>
      </x:c>
      <x:c r="I606" s="31" t="n">
        <x:v>1</x:v>
      </x:c>
      <x:c r="J606" s="31" t="n">
        <x:v>1</x:v>
      </x:c>
      <x:c r="K606" s="31" t="n">
        <x:v>10</x:v>
      </x:c>
      <x:c r="L606" s="31" t="n">
        <x:v>9.1</x:v>
      </x:c>
      <x:c r="M606" s="31" t="n">
        <x:v>45</x:v>
      </x:c>
      <x:c r="N606" s="31" t="inlineStr">
        <x:is>
          <x:t xml:space="preserve">Ожидание ОТК</x:t>
        </x:is>
      </x:c>
      <x:c r="O606" s="31" t="inlineStr">
        <x:is>
          <x:t xml:space="preserve">Подтверждено мастером</x:t>
        </x:is>
      </x:c>
      <x:c r="P606" s="31" t="inlineStr">
        <x:is>
          <x:t xml:space="preserve">Комментарий смены 642</x:t>
        </x:is>
      </x:c>
    </x:row>
    <x:row r="607">
      <x:c r="A607" s="31" t="inlineStr">
        <x:is>
          <x:t xml:space="preserve">СМ-00643</x:t>
        </x:is>
      </x:c>
      <x:c r="B607" s="31" t="n">
        <x:v>46124</x:v>
      </x:c>
      <x:c r="C607" s="31" t="inlineStr">
        <x:is>
          <x:t xml:space="preserve">Ночь</x:t>
        </x:is>
      </x:c>
      <x:c r="D607" s="31" t="inlineStr">
        <x:is>
          <x:t xml:space="preserve">ПЗ-00260</x:t>
        </x:is>
      </x:c>
      <x:c r="E607" s="31" t="inlineStr">
        <x:is>
          <x:t xml:space="preserve">ОП-002159</x:t>
        </x:is>
      </x:c>
      <x:c r="F607" s="31" t="n"/>
      <x:c r="G607" s="31" t="inlineStr">
        <x:is>
          <x:t xml:space="preserve">СОТР-014</x:t>
        </x:is>
      </x:c>
      <x:c r="H607" s="31" t="inlineStr">
        <x:is>
          <x:t xml:space="preserve">Инженерный отдел</x:t>
        </x:is>
      </x:c>
      <x:c r="I607" s="31" t="n">
        <x:v>3</x:v>
      </x:c>
      <x:c r="J607" s="31" t="n">
        <x:v>2</x:v>
      </x:c>
      <x:c r="K607" s="31" t="n">
        <x:v>57.6</x:v>
      </x:c>
      <x:c r="L607" s="31" t="n">
        <x:v>66</x:v>
      </x:c>
      <x:c r="M607" s="31" t="n">
        <x:v>15</x:v>
      </x:c>
      <x:c r="N607" s="31" t="inlineStr">
        <x:is>
          <x:t xml:space="preserve">Переналадка</x:t>
        </x:is>
      </x:c>
      <x:c r="O607" s="31" t="inlineStr">
        <x:is>
          <x:t xml:space="preserve">Подтверждено мастером</x:t>
        </x:is>
      </x:c>
      <x:c r="P607" s="31" t="inlineStr">
        <x:is>
          <x:t xml:space="preserve">Комментарий смены 643</x:t>
        </x:is>
      </x:c>
    </x:row>
    <x:row r="608">
      <x:c r="A608" s="31" t="inlineStr">
        <x:is>
          <x:t xml:space="preserve">СМ-00644</x:t>
        </x:is>
      </x:c>
      <x:c r="B608" s="31" t="n">
        <x:v>46054</x:v>
      </x:c>
      <x:c r="C608" s="31" t="inlineStr">
        <x:is>
          <x:t xml:space="preserve">День</x:t>
        </x:is>
      </x:c>
      <x:c r="D608" s="31" t="inlineStr">
        <x:is>
          <x:t xml:space="preserve">ПЗ-00094</x:t>
        </x:is>
      </x:c>
      <x:c r="E608" s="31" t="inlineStr">
        <x:is>
          <x:t xml:space="preserve">ОП-000788</x:t>
        </x:is>
      </x:c>
      <x:c r="F608" s="31" t="inlineStr">
        <x:is>
          <x:t xml:space="preserve">ОБ-025</x:t>
        </x:is>
      </x:c>
      <x:c r="G608" s="31" t="inlineStr">
        <x:is>
          <x:t xml:space="preserve">СОТР-038</x:t>
        </x:is>
      </x:c>
      <x:c r="H608" s="31" t="inlineStr">
        <x:is>
          <x:t xml:space="preserve">Склад</x:t>
        </x:is>
      </x:c>
      <x:c r="I608" s="31" t="n">
        <x:v>1</x:v>
      </x:c>
      <x:c r="J608" s="31" t="n">
        <x:v>2</x:v>
      </x:c>
      <x:c r="K608" s="31" t="n">
        <x:v>12.5</x:v>
      </x:c>
      <x:c r="L608" s="31" t="n">
        <x:v>12.7</x:v>
      </x:c>
      <x:c r="M608" s="31" t="n">
        <x:v>120</x:v>
      </x:c>
      <x:c r="N608" s="31" t="inlineStr">
        <x:is>
          <x:t xml:space="preserve">Нет оператора</x:t>
        </x:is>
      </x:c>
      <x:c r="O608" s="31" t="inlineStr">
        <x:is>
          <x:t xml:space="preserve">Подтверждено мастером</x:t>
        </x:is>
      </x:c>
      <x:c r="P608" s="31" t="inlineStr">
        <x:is>
          <x:t xml:space="preserve">Комментарий смены 644</x:t>
        </x:is>
      </x:c>
    </x:row>
    <x:row r="609">
      <x:c r="A609" s="31" t="inlineStr">
        <x:is>
          <x:t xml:space="preserve">СМ-00645</x:t>
        </x:is>
      </x:c>
      <x:c r="B609" s="31" t="n">
        <x:v>46202</x:v>
      </x:c>
      <x:c r="C609" s="31" t="inlineStr">
        <x:is>
          <x:t xml:space="preserve">День</x:t>
        </x:is>
      </x:c>
      <x:c r="D609" s="31" t="inlineStr">
        <x:is>
          <x:t xml:space="preserve">ПЗ-00156</x:t>
        </x:is>
      </x:c>
      <x:c r="E609" s="31" t="inlineStr">
        <x:is>
          <x:t xml:space="preserve">ОП-001284</x:t>
        </x:is>
      </x:c>
      <x:c r="F609" s="31" t="n"/>
      <x:c r="G609" s="31" t="inlineStr">
        <x:is>
          <x:t xml:space="preserve">СОТР-021</x:t>
        </x:is>
      </x:c>
      <x:c r="H609" s="31" t="inlineStr">
        <x:is>
          <x:t xml:space="preserve">Инженерный отдел</x:t>
        </x:is>
      </x:c>
      <x:c r="I609" s="31" t="n">
        <x:v>3</x:v>
      </x:c>
      <x:c r="J609" s="31" t="n">
        <x:v>3</x:v>
      </x:c>
      <x:c r="K609" s="31" t="n">
        <x:v>51.2</x:v>
      </x:c>
      <x:c r="L609" s="31" t="n">
        <x:v>49.9</x:v>
      </x:c>
      <x:c r="M609" s="31" t="n">
        <x:v>0</x:v>
      </x:c>
      <x:c r="N609" s="31" t="inlineStr">
        <x:is>
          <x:t xml:space="preserve">Нет</x:t>
        </x:is>
      </x:c>
      <x:c r="O609" s="31" t="inlineStr">
        <x:is>
          <x:t xml:space="preserve">Подтверждено мастером</x:t>
        </x:is>
      </x:c>
      <x:c r="P609" s="31" t="inlineStr">
        <x:is>
          <x:t xml:space="preserve">Комментарий смены 645</x:t>
        </x:is>
      </x:c>
    </x:row>
    <x:row r="610">
      <x:c r="A610" s="31" t="inlineStr">
        <x:is>
          <x:t xml:space="preserve">СМ-00646</x:t>
        </x:is>
      </x:c>
      <x:c r="B610" s="31" t="n">
        <x:v>46169</x:v>
      </x:c>
      <x:c r="C610" s="31" t="inlineStr">
        <x:is>
          <x:t xml:space="preserve">День</x:t>
        </x:is>
      </x:c>
      <x:c r="D610" s="31" t="inlineStr">
        <x:is>
          <x:t xml:space="preserve">ПЗ-00242</x:t>
        </x:is>
      </x:c>
      <x:c r="E610" s="31" t="inlineStr">
        <x:is>
          <x:t xml:space="preserve">ОП-002027</x:t>
        </x:is>
      </x:c>
      <x:c r="F610" s="31" t="inlineStr">
        <x:is>
          <x:t xml:space="preserve">ОБ-004</x:t>
        </x:is>
      </x:c>
      <x:c r="G610" s="31" t="inlineStr">
        <x:is>
          <x:t xml:space="preserve">СОТР-060</x:t>
        </x:is>
      </x:c>
      <x:c r="H610" s="31" t="inlineStr">
        <x:is>
          <x:t xml:space="preserve">Сварка</x:t>
        </x:is>
      </x:c>
      <x:c r="I610" s="31" t="n">
        <x:v>2</x:v>
      </x:c>
      <x:c r="J610" s="31" t="n">
        <x:v>2</x:v>
      </x:c>
      <x:c r="K610" s="31" t="n">
        <x:v>13.2</x:v>
      </x:c>
      <x:c r="L610" s="31" t="n">
        <x:v>13.1</x:v>
      </x:c>
      <x:c r="M610" s="31" t="n">
        <x:v>120</x:v>
      </x:c>
      <x:c r="N610" s="31" t="inlineStr">
        <x:is>
          <x:t xml:space="preserve">Ожидание ОТК</x:t>
        </x:is>
      </x:c>
      <x:c r="O610" s="31" t="inlineStr">
        <x:is>
          <x:t xml:space="preserve">Подтверждено мастером</x:t>
        </x:is>
      </x:c>
      <x:c r="P610" s="31" t="inlineStr">
        <x:is>
          <x:t xml:space="preserve">Комментарий смены 646</x:t>
        </x:is>
      </x:c>
    </x:row>
    <x:row r="611">
      <x:c r="A611" s="31" t="inlineStr">
        <x:is>
          <x:t xml:space="preserve">СМ-00647</x:t>
        </x:is>
      </x:c>
      <x:c r="B611" s="31" t="n">
        <x:v>46169</x:v>
      </x:c>
      <x:c r="C611" s="31" t="inlineStr">
        <x:is>
          <x:t xml:space="preserve">День</x:t>
        </x:is>
      </x:c>
      <x:c r="D611" s="31" t="inlineStr">
        <x:is>
          <x:t xml:space="preserve">ПЗ-00204</x:t>
        </x:is>
      </x:c>
      <x:c r="E611" s="31" t="inlineStr">
        <x:is>
          <x:t xml:space="preserve">ОП-001705</x:t>
        </x:is>
      </x:c>
      <x:c r="F611" s="31" t="inlineStr">
        <x:is>
          <x:t xml:space="preserve">ОБ-023</x:t>
        </x:is>
      </x:c>
      <x:c r="G611" s="31" t="inlineStr">
        <x:is>
          <x:t xml:space="preserve">СОТР-036</x:t>
        </x:is>
      </x:c>
      <x:c r="H611" s="31" t="inlineStr">
        <x:is>
          <x:t xml:space="preserve">Склад</x:t>
        </x:is>
      </x:c>
      <x:c r="I611" s="31" t="n">
        <x:v>2</x:v>
      </x:c>
      <x:c r="J611" s="31" t="n">
        <x:v>2</x:v>
      </x:c>
      <x:c r="K611" s="31" t="n">
        <x:v>12.3</x:v>
      </x:c>
      <x:c r="L611" s="31" t="n">
        <x:v>10.5</x:v>
      </x:c>
      <x:c r="M611" s="31" t="n">
        <x:v>60</x:v>
      </x:c>
      <x:c r="N611" s="31" t="inlineStr">
        <x:is>
          <x:t xml:space="preserve">Переналадка</x:t>
        </x:is>
      </x:c>
      <x:c r="O611" s="31" t="inlineStr">
        <x:is>
          <x:t xml:space="preserve">Подтверждено мастером</x:t>
        </x:is>
      </x:c>
      <x:c r="P611" s="31" t="inlineStr">
        <x:is>
          <x:t xml:space="preserve">Комментарий смены 647</x:t>
        </x:is>
      </x:c>
    </x:row>
    <x:row r="612">
      <x:c r="A612" s="31" t="inlineStr">
        <x:is>
          <x:t xml:space="preserve">СМ-00648</x:t>
        </x:is>
      </x:c>
      <x:c r="B612" s="31" t="n">
        <x:v>46189</x:v>
      </x:c>
      <x:c r="C612" s="31" t="inlineStr">
        <x:is>
          <x:t xml:space="preserve">День</x:t>
        </x:is>
      </x:c>
      <x:c r="D612" s="31" t="inlineStr">
        <x:is>
          <x:t xml:space="preserve">ПЗ-00217</x:t>
        </x:is>
      </x:c>
      <x:c r="E612" s="31" t="inlineStr">
        <x:is>
          <x:t xml:space="preserve">ОП-001824</x:t>
        </x:is>
      </x:c>
      <x:c r="F612" s="31" t="inlineStr">
        <x:is>
          <x:t xml:space="preserve">ОБ-002</x:t>
        </x:is>
      </x:c>
      <x:c r="G612" s="31" t="inlineStr">
        <x:is>
          <x:t xml:space="preserve">СОТР-073</x:t>
        </x:is>
      </x:c>
      <x:c r="H612" s="31" t="inlineStr">
        <x:is>
          <x:t xml:space="preserve">Сборка</x:t>
        </x:is>
      </x:c>
      <x:c r="I612" s="31" t="n">
        <x:v>1</x:v>
      </x:c>
      <x:c r="J612" s="31" t="n">
        <x:v>0</x:v>
      </x:c>
      <x:c r="K612" s="31" t="n">
        <x:v>4.8</x:v>
      </x:c>
      <x:c r="L612" s="31" t="n">
        <x:v>5</x:v>
      </x:c>
      <x:c r="M612" s="31" t="n">
        <x:v>15</x:v>
      </x:c>
      <x:c r="N612" s="31" t="inlineStr">
        <x:is>
          <x:t xml:space="preserve">Переналадка</x:t>
        </x:is>
      </x:c>
      <x:c r="O612" s="31" t="inlineStr">
        <x:is>
          <x:t xml:space="preserve">Подтверждено мастером</x:t>
        </x:is>
      </x:c>
      <x:c r="P612" s="31" t="inlineStr">
        <x:is>
          <x:t xml:space="preserve">Комментарий смены 648</x:t>
        </x:is>
      </x:c>
    </x:row>
    <x:row r="613">
      <x:c r="A613" s="31" t="inlineStr">
        <x:is>
          <x:t xml:space="preserve">СМ-00649</x:t>
        </x:is>
      </x:c>
      <x:c r="B613" s="31" t="n">
        <x:v>46123</x:v>
      </x:c>
      <x:c r="C613" s="31" t="inlineStr">
        <x:is>
          <x:t xml:space="preserve">День</x:t>
        </x:is>
      </x:c>
      <x:c r="D613" s="31" t="inlineStr">
        <x:is>
          <x:t xml:space="preserve">ПЗ-00178</x:t>
        </x:is>
      </x:c>
      <x:c r="E613" s="31" t="inlineStr">
        <x:is>
          <x:t xml:space="preserve">ОП-001474</x:t>
        </x:is>
      </x:c>
      <x:c r="F613" s="31" t="inlineStr">
        <x:is>
          <x:t xml:space="preserve">ОБ-027</x:t>
        </x:is>
      </x:c>
      <x:c r="G613" s="31" t="inlineStr">
        <x:is>
          <x:t xml:space="preserve">СОТР-074</x:t>
        </x:is>
      </x:c>
      <x:c r="H613" s="31" t="inlineStr">
        <x:is>
          <x:t xml:space="preserve">Сборка</x:t>
        </x:is>
      </x:c>
      <x:c r="I613" s="31" t="n">
        <x:v>1</x:v>
      </x:c>
      <x:c r="J613" s="31" t="n">
        <x:v>1</x:v>
      </x:c>
      <x:c r="K613" s="31" t="n">
        <x:v>4.9</x:v>
      </x:c>
      <x:c r="L613" s="31" t="n">
        <x:v>5.8</x:v>
      </x:c>
      <x:c r="M613" s="31" t="n">
        <x:v>60</x:v>
      </x:c>
      <x:c r="N613" s="31" t="inlineStr">
        <x:is>
          <x:t xml:space="preserve">Ожидание ОТК</x:t>
        </x:is>
      </x:c>
      <x:c r="O613" s="31" t="inlineStr">
        <x:is>
          <x:t xml:space="preserve">Подтверждено мастером</x:t>
        </x:is>
      </x:c>
      <x:c r="P613" s="31" t="inlineStr">
        <x:is>
          <x:t xml:space="preserve">Комментарий смены 649</x:t>
        </x:is>
      </x:c>
    </x:row>
    <x:row r="614">
      <x:c r="A614" s="31" t="inlineStr">
        <x:is>
          <x:t xml:space="preserve">СМ-00650</x:t>
        </x:is>
      </x:c>
      <x:c r="B614" s="31" t="n">
        <x:v>46060</x:v>
      </x:c>
      <x:c r="C614" s="31" t="inlineStr">
        <x:is>
          <x:t xml:space="preserve">День</x:t>
        </x:is>
      </x:c>
      <x:c r="D614" s="31" t="inlineStr">
        <x:is>
          <x:t xml:space="preserve">ПЗ-00094</x:t>
        </x:is>
      </x:c>
      <x:c r="E614" s="31" t="inlineStr">
        <x:is>
          <x:t xml:space="preserve">ОП-000791</x:t>
        </x:is>
      </x:c>
      <x:c r="F614" s="31" t="inlineStr">
        <x:is>
          <x:t xml:space="preserve">ОБ-012</x:t>
        </x:is>
      </x:c>
      <x:c r="G614" s="31" t="inlineStr">
        <x:is>
          <x:t xml:space="preserve">СОТР-075</x:t>
        </x:is>
      </x:c>
      <x:c r="H614" s="31" t="inlineStr">
        <x:is>
          <x:t xml:space="preserve">Сборка</x:t>
        </x:is>
      </x:c>
      <x:c r="I614" s="31" t="n">
        <x:v>1</x:v>
      </x:c>
      <x:c r="J614" s="31" t="n">
        <x:v>1</x:v>
      </x:c>
      <x:c r="K614" s="31" t="n">
        <x:v>3.5</x:v>
      </x:c>
      <x:c r="L614" s="31" t="n">
        <x:v>3.5</x:v>
      </x:c>
      <x:c r="M614" s="31" t="n">
        <x:v>0</x:v>
      </x:c>
      <x:c r="N614" s="31" t="inlineStr">
        <x:is>
          <x:t xml:space="preserve">Нет</x:t>
        </x:is>
      </x:c>
      <x:c r="O614" s="31" t="inlineStr">
        <x:is>
          <x:t xml:space="preserve">Черновик</x:t>
        </x:is>
      </x:c>
      <x:c r="P614" s="31" t="inlineStr">
        <x:is>
          <x:t xml:space="preserve">Комментарий смены 650</x:t>
        </x:is>
      </x:c>
    </x:row>
    <x:row r="615">
      <x:c r="A615" s="31" t="inlineStr">
        <x:is>
          <x:t xml:space="preserve">СМ-00651</x:t>
        </x:is>
      </x:c>
      <x:c r="B615" s="31" t="n">
        <x:v>46119</x:v>
      </x:c>
      <x:c r="C615" s="31" t="inlineStr">
        <x:is>
          <x:t xml:space="preserve">Вечер</x:t>
        </x:is>
      </x:c>
      <x:c r="D615" s="31" t="inlineStr">
        <x:is>
          <x:t xml:space="preserve">ПЗ-00178</x:t>
        </x:is>
      </x:c>
      <x:c r="E615" s="31" t="inlineStr">
        <x:is>
          <x:t xml:space="preserve">ОП-001470</x:t>
        </x:is>
      </x:c>
      <x:c r="F615" s="31" t="n"/>
      <x:c r="G615" s="31" t="inlineStr">
        <x:is>
          <x:t xml:space="preserve">СОТР-015</x:t>
        </x:is>
      </x:c>
      <x:c r="H615" s="31" t="inlineStr">
        <x:is>
          <x:t xml:space="preserve">Инженерный отдел</x:t>
        </x:is>
      </x:c>
      <x:c r="I615" s="31" t="n">
        <x:v>1</x:v>
      </x:c>
      <x:c r="J615" s="31" t="n">
        <x:v>0</x:v>
      </x:c>
      <x:c r="K615" s="31" t="n">
        <x:v>9.699999999999999</x:v>
      </x:c>
      <x:c r="L615" s="31" t="n">
        <x:v>8.800000000000001</x:v>
      </x:c>
      <x:c r="M615" s="31" t="n">
        <x:v>45</x:v>
      </x:c>
      <x:c r="N615" s="31" t="inlineStr">
        <x:is>
          <x:t xml:space="preserve">Ремонт оборудования</x:t>
        </x:is>
      </x:c>
      <x:c r="O615" s="31" t="inlineStr">
        <x:is>
          <x:t xml:space="preserve">Подтверждено мастером</x:t>
        </x:is>
      </x:c>
      <x:c r="P615" s="31" t="inlineStr">
        <x:is>
          <x:t xml:space="preserve">Комментарий смены 651</x:t>
        </x:is>
      </x:c>
    </x:row>
    <x:row r="616">
      <x:c r="A616" s="31" t="inlineStr">
        <x:is>
          <x:t xml:space="preserve">СМ-00652</x:t>
        </x:is>
      </x:c>
      <x:c r="B616" s="31" t="n">
        <x:v>46063</x:v>
      </x:c>
      <x:c r="C616" s="31" t="inlineStr">
        <x:is>
          <x:t xml:space="preserve">Ночь</x:t>
        </x:is>
      </x:c>
      <x:c r="D616" s="31" t="inlineStr">
        <x:is>
          <x:t xml:space="preserve">ПЗ-00027</x:t>
        </x:is>
      </x:c>
      <x:c r="E616" s="31" t="inlineStr">
        <x:is>
          <x:t xml:space="preserve">ОП-000229</x:t>
        </x:is>
      </x:c>
      <x:c r="F616" s="31" t="n"/>
      <x:c r="G616" s="31" t="inlineStr">
        <x:is>
          <x:t xml:space="preserve">СОТР-016</x:t>
        </x:is>
      </x:c>
      <x:c r="H616" s="31" t="inlineStr">
        <x:is>
          <x:t xml:space="preserve">Инженерный отдел</x:t>
        </x:is>
      </x:c>
      <x:c r="I616" s="31" t="n">
        <x:v>2</x:v>
      </x:c>
      <x:c r="J616" s="31" t="n">
        <x:v>2</x:v>
      </x:c>
      <x:c r="K616" s="31" t="n">
        <x:v>28.4</x:v>
      </x:c>
      <x:c r="L616" s="31" t="n">
        <x:v>25.7</x:v>
      </x:c>
      <x:c r="M616" s="31" t="n">
        <x:v>0</x:v>
      </x:c>
      <x:c r="N616" s="31" t="inlineStr">
        <x:is>
          <x:t xml:space="preserve">Нет</x:t>
        </x:is>
      </x:c>
      <x:c r="O616" s="31" t="inlineStr">
        <x:is>
          <x:t xml:space="preserve">Подтверждено мастером</x:t>
        </x:is>
      </x:c>
      <x:c r="P616" s="31" t="inlineStr">
        <x:is>
          <x:t xml:space="preserve">Комментарий смены 652</x:t>
        </x:is>
      </x:c>
    </x:row>
    <x:row r="617">
      <x:c r="A617" s="31" t="inlineStr">
        <x:is>
          <x:t xml:space="preserve">СМ-00653</x:t>
        </x:is>
      </x:c>
      <x:c r="B617" s="31" t="n">
        <x:v>46192</x:v>
      </x:c>
      <x:c r="C617" s="31" t="inlineStr">
        <x:is>
          <x:t xml:space="preserve">День</x:t>
        </x:is>
      </x:c>
      <x:c r="D617" s="31" t="inlineStr">
        <x:is>
          <x:t xml:space="preserve">ПЗ-00182</x:t>
        </x:is>
      </x:c>
      <x:c r="E617" s="31" t="inlineStr">
        <x:is>
          <x:t xml:space="preserve">ОП-001515</x:t>
        </x:is>
      </x:c>
      <x:c r="F617" s="31" t="inlineStr">
        <x:is>
          <x:t xml:space="preserve">ОБ-003</x:t>
        </x:is>
      </x:c>
      <x:c r="G617" s="31" t="inlineStr">
        <x:is>
          <x:t xml:space="preserve">СОТР-058</x:t>
        </x:is>
      </x:c>
      <x:c r="H617" s="31" t="inlineStr">
        <x:is>
          <x:t xml:space="preserve">Сварка</x:t>
        </x:is>
      </x:c>
      <x:c r="I617" s="31" t="n">
        <x:v>2</x:v>
      </x:c>
      <x:c r="J617" s="31" t="n">
        <x:v>0</x:v>
      </x:c>
      <x:c r="K617" s="31" t="n">
        <x:v>26.4</x:v>
      </x:c>
      <x:c r="L617" s="31" t="n">
        <x:v>22.9</x:v>
      </x:c>
      <x:c r="M617" s="31" t="n">
        <x:v>0</x:v>
      </x:c>
      <x:c r="N617" s="31" t="inlineStr">
        <x:is>
          <x:t xml:space="preserve">Нет</x:t>
        </x:is>
      </x:c>
      <x:c r="O617" s="31" t="inlineStr">
        <x:is>
          <x:t xml:space="preserve">Подтверждено мастером</x:t>
        </x:is>
      </x:c>
      <x:c r="P617" s="31" t="inlineStr">
        <x:is>
          <x:t xml:space="preserve">Комментарий смены 653</x:t>
        </x:is>
      </x:c>
    </x:row>
    <x:row r="618">
      <x:c r="A618" s="31" t="inlineStr">
        <x:is>
          <x:t xml:space="preserve">СМ-00654</x:t>
        </x:is>
      </x:c>
      <x:c r="B618" s="31" t="n">
        <x:v>46091</x:v>
      </x:c>
      <x:c r="C618" s="31" t="inlineStr">
        <x:is>
          <x:t xml:space="preserve">Ночь</x:t>
        </x:is>
      </x:c>
      <x:c r="D618" s="31" t="inlineStr">
        <x:is>
          <x:t xml:space="preserve">ПЗ-00208</x:t>
        </x:is>
      </x:c>
      <x:c r="E618" s="31" t="inlineStr">
        <x:is>
          <x:t xml:space="preserve">ОП-001744</x:t>
        </x:is>
      </x:c>
      <x:c r="F618" s="31" t="inlineStr">
        <x:is>
          <x:t xml:space="preserve">ОБ-035</x:t>
        </x:is>
      </x:c>
      <x:c r="G618" s="31" t="inlineStr">
        <x:is>
          <x:t xml:space="preserve">СОТР-065</x:t>
        </x:is>
      </x:c>
      <x:c r="H618" s="31" t="inlineStr">
        <x:is>
          <x:t xml:space="preserve">Сварка</x:t>
        </x:is>
      </x:c>
      <x:c r="I618" s="31" t="n">
        <x:v>1</x:v>
      </x:c>
      <x:c r="J618" s="31" t="n">
        <x:v>1</x:v>
      </x:c>
      <x:c r="K618" s="31" t="n">
        <x:v>12</x:v>
      </x:c>
      <x:c r="L618" s="31" t="n">
        <x:v>12.2</x:v>
      </x:c>
      <x:c r="M618" s="31" t="n">
        <x:v>45</x:v>
      </x:c>
      <x:c r="N618" s="31" t="inlineStr">
        <x:is>
          <x:t xml:space="preserve">Ожидание материала</x:t>
        </x:is>
      </x:c>
      <x:c r="O618" s="31" t="inlineStr">
        <x:is>
          <x:t xml:space="preserve">Подтверждено мастером</x:t>
        </x:is>
      </x:c>
      <x:c r="P618" s="31" t="inlineStr">
        <x:is>
          <x:t xml:space="preserve">Комментарий смены 654</x:t>
        </x:is>
      </x:c>
    </x:row>
    <x:row r="619">
      <x:c r="A619" s="31" t="inlineStr">
        <x:is>
          <x:t xml:space="preserve">СМ-00655</x:t>
        </x:is>
      </x:c>
      <x:c r="B619" s="31" t="n">
        <x:v>46069</x:v>
      </x:c>
      <x:c r="C619" s="31" t="inlineStr">
        <x:is>
          <x:t xml:space="preserve">День</x:t>
        </x:is>
      </x:c>
      <x:c r="D619" s="31" t="inlineStr">
        <x:is>
          <x:t xml:space="preserve">ПЗ-00117</x:t>
        </x:is>
      </x:c>
      <x:c r="E619" s="31" t="inlineStr">
        <x:is>
          <x:t xml:space="preserve">ОП-000979</x:t>
        </x:is>
      </x:c>
      <x:c r="F619" s="31" t="inlineStr">
        <x:is>
          <x:t xml:space="preserve">ОБ-008</x:t>
        </x:is>
      </x:c>
      <x:c r="G619" s="31" t="inlineStr">
        <x:is>
          <x:t xml:space="preserve">СОТР-034</x:t>
        </x:is>
      </x:c>
      <x:c r="H619" s="31" t="inlineStr">
        <x:is>
          <x:t xml:space="preserve">Склад</x:t>
        </x:is>
      </x:c>
      <x:c r="I619" s="31" t="n">
        <x:v>2</x:v>
      </x:c>
      <x:c r="J619" s="31" t="n">
        <x:v>2</x:v>
      </x:c>
      <x:c r="K619" s="31" t="n">
        <x:v>8.5</x:v>
      </x:c>
      <x:c r="L619" s="31" t="n">
        <x:v>8.9</x:v>
      </x:c>
      <x:c r="M619" s="31" t="n">
        <x:v>0</x:v>
      </x:c>
      <x:c r="N619" s="31" t="inlineStr">
        <x:is>
          <x:t xml:space="preserve">Нет</x:t>
        </x:is>
      </x:c>
      <x:c r="O619" s="31" t="inlineStr">
        <x:is>
          <x:t xml:space="preserve">Закрыто</x:t>
        </x:is>
      </x:c>
      <x:c r="P619" s="31" t="inlineStr">
        <x:is>
          <x:t xml:space="preserve">Комментарий смены 655</x:t>
        </x:is>
      </x:c>
    </x:row>
    <x:row r="620">
      <x:c r="A620" s="31" t="inlineStr">
        <x:is>
          <x:t xml:space="preserve">СМ-00656</x:t>
        </x:is>
      </x:c>
      <x:c r="B620" s="31" t="n">
        <x:v>46179</x:v>
      </x:c>
      <x:c r="C620" s="31" t="inlineStr">
        <x:is>
          <x:t xml:space="preserve">День</x:t>
        </x:is>
      </x:c>
      <x:c r="D620" s="31" t="inlineStr">
        <x:is>
          <x:t xml:space="preserve">ПЗ-00160</x:t>
        </x:is>
      </x:c>
      <x:c r="E620" s="31" t="inlineStr">
        <x:is>
          <x:t xml:space="preserve">ОП-001327</x:t>
        </x:is>
      </x:c>
      <x:c r="F620" s="31" t="inlineStr">
        <x:is>
          <x:t xml:space="preserve">ОБ-016</x:t>
        </x:is>
      </x:c>
      <x:c r="G620" s="31" t="inlineStr">
        <x:is>
          <x:t xml:space="preserve">СОТР-079</x:t>
        </x:is>
      </x:c>
      <x:c r="H620" s="31" t="inlineStr">
        <x:is>
          <x:t xml:space="preserve">Сборка</x:t>
        </x:is>
      </x:c>
      <x:c r="I620" s="31" t="n">
        <x:v>2</x:v>
      </x:c>
      <x:c r="J620" s="31" t="n">
        <x:v>2</x:v>
      </x:c>
      <x:c r="K620" s="31" t="n">
        <x:v>14</x:v>
      </x:c>
      <x:c r="L620" s="31" t="n">
        <x:v>16.1</x:v>
      </x:c>
      <x:c r="M620" s="31" t="n">
        <x:v>15</x:v>
      </x:c>
      <x:c r="N620" s="31" t="inlineStr">
        <x:is>
          <x:t xml:space="preserve">Ожидание материала</x:t>
        </x:is>
      </x:c>
      <x:c r="O620" s="31" t="inlineStr">
        <x:is>
          <x:t xml:space="preserve">Подтверждено мастером</x:t>
        </x:is>
      </x:c>
      <x:c r="P620" s="31" t="inlineStr">
        <x:is>
          <x:t xml:space="preserve">Комментарий смены 656</x:t>
        </x:is>
      </x:c>
    </x:row>
    <x:row r="621">
      <x:c r="A621" s="31" t="inlineStr">
        <x:is>
          <x:t xml:space="preserve">СМ-00658</x:t>
        </x:is>
      </x:c>
      <x:c r="B621" s="31" t="n">
        <x:v>46137</x:v>
      </x:c>
      <x:c r="C621" s="31" t="inlineStr">
        <x:is>
          <x:t xml:space="preserve">Вечер</x:t>
        </x:is>
      </x:c>
      <x:c r="D621" s="31" t="inlineStr">
        <x:is>
          <x:t xml:space="preserve">ПЗ-00058</x:t>
        </x:is>
      </x:c>
      <x:c r="E621" s="31" t="inlineStr">
        <x:is>
          <x:t xml:space="preserve">ОП-000483</x:t>
        </x:is>
      </x:c>
      <x:c r="F621" s="31" t="inlineStr">
        <x:is>
          <x:t xml:space="preserve">ОБ-018</x:t>
        </x:is>
      </x:c>
      <x:c r="G621" s="31" t="inlineStr">
        <x:is>
          <x:t xml:space="preserve">СОТР-061</x:t>
        </x:is>
      </x:c>
      <x:c r="H621" s="31" t="inlineStr">
        <x:is>
          <x:t xml:space="preserve">Сварка</x:t>
        </x:is>
      </x:c>
      <x:c r="I621" s="31" t="n">
        <x:v>1</x:v>
      </x:c>
      <x:c r="J621" s="31" t="n">
        <x:v>1</x:v>
      </x:c>
      <x:c r="K621" s="31" t="n">
        <x:v>15.2</x:v>
      </x:c>
      <x:c r="L621" s="31" t="n">
        <x:v>19.4</x:v>
      </x:c>
      <x:c r="M621" s="31" t="n">
        <x:v>45</x:v>
      </x:c>
      <x:c r="N621" s="31" t="inlineStr">
        <x:is>
          <x:t xml:space="preserve">Ремонт оборудования</x:t>
        </x:is>
      </x:c>
      <x:c r="O621" s="31" t="inlineStr">
        <x:is>
          <x:t xml:space="preserve">Подтверждено мастером</x:t>
        </x:is>
      </x:c>
      <x:c r="P621" s="31" t="inlineStr">
        <x:is>
          <x:t xml:space="preserve">Комментарий смены 658</x:t>
        </x:is>
      </x:c>
    </x:row>
    <x:row r="622">
      <x:c r="A622" s="31" t="inlineStr">
        <x:is>
          <x:t xml:space="preserve">СМ-00659</x:t>
        </x:is>
      </x:c>
      <x:c r="B622" s="31" t="n">
        <x:v>46180</x:v>
      </x:c>
      <x:c r="C622" s="31" t="inlineStr">
        <x:is>
          <x:t xml:space="preserve">День</x:t>
        </x:is>
      </x:c>
      <x:c r="D622" s="31" t="inlineStr">
        <x:is>
          <x:t xml:space="preserve">ПЗ-00217</x:t>
        </x:is>
      </x:c>
      <x:c r="E622" s="31" t="inlineStr">
        <x:is>
          <x:t xml:space="preserve">ОП-001821</x:t>
        </x:is>
      </x:c>
      <x:c r="F622" s="31" t="inlineStr">
        <x:is>
          <x:t xml:space="preserve">ОБ-031</x:t>
        </x:is>
      </x:c>
      <x:c r="G622" s="31" t="inlineStr">
        <x:is>
          <x:t xml:space="preserve">СОТР-044</x:t>
        </x:is>
      </x:c>
      <x:c r="H622" s="31" t="inlineStr">
        <x:is>
          <x:t xml:space="preserve">Механообработка</x:t>
        </x:is>
      </x:c>
      <x:c r="I622" s="31" t="n">
        <x:v>3</x:v>
      </x:c>
      <x:c r="J622" s="31" t="n">
        <x:v>2</x:v>
      </x:c>
      <x:c r="K622" s="31" t="n">
        <x:v>27.6</x:v>
      </x:c>
      <x:c r="L622" s="31" t="n">
        <x:v>33.9</x:v>
      </x:c>
      <x:c r="M622" s="31" t="n">
        <x:v>0</x:v>
      </x:c>
      <x:c r="N622" s="31" t="inlineStr">
        <x:is>
          <x:t xml:space="preserve">Нет</x:t>
        </x:is>
      </x:c>
      <x:c r="O622" s="31" t="inlineStr">
        <x:is>
          <x:t xml:space="preserve">Черновик</x:t>
        </x:is>
      </x:c>
      <x:c r="P622" s="31" t="inlineStr">
        <x:is>
          <x:t xml:space="preserve">Комментарий смены 659</x:t>
        </x:is>
      </x:c>
    </x:row>
    <x:row r="623">
      <x:c r="A623" s="31" t="inlineStr">
        <x:is>
          <x:t xml:space="preserve">СМ-00660</x:t>
        </x:is>
      </x:c>
      <x:c r="B623" s="31" t="n">
        <x:v>46205</x:v>
      </x:c>
      <x:c r="C623" s="31" t="inlineStr">
        <x:is>
          <x:t xml:space="preserve">Вечер</x:t>
        </x:is>
      </x:c>
      <x:c r="D623" s="31" t="inlineStr">
        <x:is>
          <x:t xml:space="preserve">ПЗ-00223</x:t>
        </x:is>
      </x:c>
      <x:c r="E623" s="31" t="inlineStr">
        <x:is>
          <x:t xml:space="preserve">ОП-001875</x:t>
        </x:is>
      </x:c>
      <x:c r="F623" s="31" t="inlineStr">
        <x:is>
          <x:t xml:space="preserve">ОБ-024</x:t>
        </x:is>
      </x:c>
      <x:c r="G623" s="31" t="inlineStr">
        <x:is>
          <x:t xml:space="preserve">СОТР-100</x:t>
        </x:is>
      </x:c>
      <x:c r="H623" s="31" t="inlineStr">
        <x:is>
          <x:t xml:space="preserve">ОТК</x:t>
        </x:is>
      </x:c>
      <x:c r="I623" s="31" t="n">
        <x:v>2</x:v>
      </x:c>
      <x:c r="J623" s="31" t="n">
        <x:v>3</x:v>
      </x:c>
      <x:c r="K623" s="31" t="n">
        <x:v>11.4</x:v>
      </x:c>
      <x:c r="L623" s="31" t="n">
        <x:v>9.699999999999999</x:v>
      </x:c>
      <x:c r="M623" s="31" t="n">
        <x:v>60</x:v>
      </x:c>
      <x:c r="N623" s="31" t="inlineStr">
        <x:is>
          <x:t xml:space="preserve">Переналадка</x:t>
        </x:is>
      </x:c>
      <x:c r="O623" s="31" t="inlineStr">
        <x:is>
          <x:t xml:space="preserve">Подтверждено мастером</x:t>
        </x:is>
      </x:c>
      <x:c r="P623" s="31" t="inlineStr">
        <x:is>
          <x:t xml:space="preserve">Комментарий смены 660</x:t>
        </x:is>
      </x:c>
    </x:row>
    <x:row r="624">
      <x:c r="A624" s="31" t="inlineStr">
        <x:is>
          <x:t xml:space="preserve">СМ-00661</x:t>
        </x:is>
      </x:c>
      <x:c r="B624" s="31" t="n">
        <x:v>46058</x:v>
      </x:c>
      <x:c r="C624" s="31" t="inlineStr">
        <x:is>
          <x:t xml:space="preserve">Ночь</x:t>
        </x:is>
      </x:c>
      <x:c r="D624" s="31" t="inlineStr">
        <x:is>
          <x:t xml:space="preserve">ПЗ-00252</x:t>
        </x:is>
      </x:c>
      <x:c r="E624" s="31" t="inlineStr">
        <x:is>
          <x:t xml:space="preserve">ОП-002109</x:t>
        </x:is>
      </x:c>
      <x:c r="F624" s="31" t="n"/>
      <x:c r="G624" s="31" t="inlineStr">
        <x:is>
          <x:t xml:space="preserve">СОТР-015</x:t>
        </x:is>
      </x:c>
      <x:c r="H624" s="31" t="inlineStr">
        <x:is>
          <x:t xml:space="preserve">Инженерный отдел</x:t>
        </x:is>
      </x:c>
      <x:c r="I624" s="31" t="n">
        <x:v>1</x:v>
      </x:c>
      <x:c r="J624" s="31" t="n">
        <x:v>0</x:v>
      </x:c>
      <x:c r="K624" s="31" t="n">
        <x:v>28</x:v>
      </x:c>
      <x:c r="L624" s="31" t="n">
        <x:v>31.3</x:v>
      </x:c>
      <x:c r="M624" s="31" t="n">
        <x:v>90</x:v>
      </x:c>
      <x:c r="N624" s="31" t="inlineStr">
        <x:is>
          <x:t xml:space="preserve">Переналадка</x:t>
        </x:is>
      </x:c>
      <x:c r="O624" s="31" t="inlineStr">
        <x:is>
          <x:t xml:space="preserve">Подтверждено мастером</x:t>
        </x:is>
      </x:c>
      <x:c r="P624" s="31" t="inlineStr">
        <x:is>
          <x:t xml:space="preserve">Комментарий смены 661</x:t>
        </x:is>
      </x:c>
    </x:row>
    <x:row r="625">
      <x:c r="A625" s="31" t="inlineStr">
        <x:is>
          <x:t xml:space="preserve">СМ-00662</x:t>
        </x:is>
      </x:c>
      <x:c r="B625" s="31" t="n">
        <x:v>46147</x:v>
      </x:c>
      <x:c r="C625" s="31" t="inlineStr">
        <x:is>
          <x:t xml:space="preserve">День</x:t>
        </x:is>
      </x:c>
      <x:c r="D625" s="31" t="inlineStr">
        <x:is>
          <x:t xml:space="preserve">ПЗ-00260</x:t>
        </x:is>
      </x:c>
      <x:c r="E625" s="31" t="inlineStr">
        <x:is>
          <x:t xml:space="preserve">ОП-002166</x:t>
        </x:is>
      </x:c>
      <x:c r="F625" s="31" t="inlineStr">
        <x:is>
          <x:t xml:space="preserve">ОБ-022</x:t>
        </x:is>
      </x:c>
      <x:c r="G625" s="31" t="inlineStr">
        <x:is>
          <x:t xml:space="preserve">СОТР-092</x:t>
        </x:is>
      </x:c>
      <x:c r="H625" s="31" t="inlineStr">
        <x:is>
          <x:t xml:space="preserve">ОТК</x:t>
        </x:is>
      </x:c>
      <x:c r="I625" s="31" t="n">
        <x:v>1</x:v>
      </x:c>
      <x:c r="J625" s="31" t="n">
        <x:v>1</x:v>
      </x:c>
      <x:c r="K625" s="31" t="n">
        <x:v>16.2</x:v>
      </x:c>
      <x:c r="L625" s="31" t="n">
        <x:v>19.2</x:v>
      </x:c>
      <x:c r="M625" s="31" t="n">
        <x:v>30</x:v>
      </x:c>
      <x:c r="N625" s="31" t="inlineStr">
        <x:is>
          <x:t xml:space="preserve">Ожидание ОТК</x:t>
        </x:is>
      </x:c>
      <x:c r="O625" s="31" t="inlineStr">
        <x:is>
          <x:t xml:space="preserve">Подтверждено мастером</x:t>
        </x:is>
      </x:c>
      <x:c r="P625" s="31" t="inlineStr">
        <x:is>
          <x:t xml:space="preserve">Комментарий смены 662</x:t>
        </x:is>
      </x:c>
    </x:row>
    <x:row r="626">
      <x:c r="A626" s="31" t="inlineStr">
        <x:is>
          <x:t xml:space="preserve">СМ-00663</x:t>
        </x:is>
      </x:c>
      <x:c r="B626" s="31" t="n">
        <x:v>46050</x:v>
      </x:c>
      <x:c r="C626" s="31" t="inlineStr">
        <x:is>
          <x:t xml:space="preserve">Ночь</x:t>
        </x:is>
      </x:c>
      <x:c r="D626" s="31" t="inlineStr">
        <x:is>
          <x:t xml:space="preserve">ПЗ-00073</x:t>
        </x:is>
      </x:c>
      <x:c r="E626" s="31" t="inlineStr">
        <x:is>
          <x:t xml:space="preserve">ОП-000622</x:t>
        </x:is>
      </x:c>
      <x:c r="F626" s="31" t="inlineStr">
        <x:is>
          <x:t xml:space="preserve">ОБ-014</x:t>
        </x:is>
      </x:c>
      <x:c r="G626" s="31" t="inlineStr">
        <x:is>
          <x:t xml:space="preserve">СОТР-081</x:t>
        </x:is>
      </x:c>
      <x:c r="H626" s="31" t="inlineStr">
        <x:is>
          <x:t xml:space="preserve">Сборка</x:t>
        </x:is>
      </x:c>
      <x:c r="I626" s="31" t="n">
        <x:v>1</x:v>
      </x:c>
      <x:c r="J626" s="31" t="n">
        <x:v>0</x:v>
      </x:c>
      <x:c r="K626" s="31" t="n">
        <x:v>5.1</x:v>
      </x:c>
      <x:c r="L626" s="31" t="n">
        <x:v>5</x:v>
      </x:c>
      <x:c r="M626" s="31" t="n">
        <x:v>30</x:v>
      </x:c>
      <x:c r="N626" s="31" t="inlineStr">
        <x:is>
          <x:t xml:space="preserve">Ожидание материала</x:t>
        </x:is>
      </x:c>
      <x:c r="O626" s="31" t="inlineStr">
        <x:is>
          <x:t xml:space="preserve">Подтверждено мастером</x:t>
        </x:is>
      </x:c>
      <x:c r="P626" s="31" t="inlineStr">
        <x:is>
          <x:t xml:space="preserve">Комментарий смены 663</x:t>
        </x:is>
      </x:c>
    </x:row>
    <x:row r="627">
      <x:c r="A627" s="31" t="inlineStr">
        <x:is>
          <x:t xml:space="preserve">СМ-00664</x:t>
        </x:is>
      </x:c>
      <x:c r="B627" s="31" t="n">
        <x:v>46097</x:v>
      </x:c>
      <x:c r="C627" s="31" t="inlineStr">
        <x:is>
          <x:t xml:space="preserve">Вечер</x:t>
        </x:is>
      </x:c>
      <x:c r="D627" s="31" t="inlineStr">
        <x:is>
          <x:t xml:space="preserve">ПЗ-00105</x:t>
        </x:is>
      </x:c>
      <x:c r="E627" s="31" t="inlineStr">
        <x:is>
          <x:t xml:space="preserve">ОП-000876</x:t>
        </x:is>
      </x:c>
      <x:c r="F627" s="31" t="inlineStr">
        <x:is>
          <x:t xml:space="preserve">ОБ-004</x:t>
        </x:is>
      </x:c>
      <x:c r="G627" s="31" t="inlineStr">
        <x:is>
          <x:t xml:space="preserve">СОТР-067</x:t>
        </x:is>
      </x:c>
      <x:c r="H627" s="31" t="inlineStr">
        <x:is>
          <x:t xml:space="preserve">Сварка</x:t>
        </x:is>
      </x:c>
      <x:c r="I627" s="31" t="n">
        <x:v>1</x:v>
      </x:c>
      <x:c r="J627" s="31" t="n">
        <x:v>1</x:v>
      </x:c>
      <x:c r="K627" s="31" t="n">
        <x:v>2.9</x:v>
      </x:c>
      <x:c r="L627" s="31" t="n">
        <x:v>2.9</x:v>
      </x:c>
      <x:c r="M627" s="31" t="n">
        <x:v>60</x:v>
      </x:c>
      <x:c r="N627" s="31" t="inlineStr">
        <x:is>
          <x:t xml:space="preserve">Ожидание ОТК</x:t>
        </x:is>
      </x:c>
      <x:c r="O627" s="31" t="inlineStr">
        <x:is>
          <x:t xml:space="preserve">Спорный факт</x:t>
        </x:is>
      </x:c>
      <x:c r="P627" s="31" t="inlineStr">
        <x:is>
          <x:t xml:space="preserve">Комментарий смены 664</x:t>
        </x:is>
      </x:c>
    </x:row>
    <x:row r="628">
      <x:c r="A628" s="31" t="inlineStr">
        <x:is>
          <x:t xml:space="preserve">СМ-00665</x:t>
        </x:is>
      </x:c>
      <x:c r="B628" s="31" t="n">
        <x:v>46157</x:v>
      </x:c>
      <x:c r="C628" s="31" t="inlineStr">
        <x:is>
          <x:t xml:space="preserve">День</x:t>
        </x:is>
      </x:c>
      <x:c r="D628" s="31" t="inlineStr">
        <x:is>
          <x:t xml:space="preserve">ПЗ-00188</x:t>
        </x:is>
      </x:c>
      <x:c r="E628" s="31" t="inlineStr">
        <x:is>
          <x:t xml:space="preserve">ОП-001571</x:t>
        </x:is>
      </x:c>
      <x:c r="F628" s="31" t="inlineStr">
        <x:is>
          <x:t xml:space="preserve">ОБ-015</x:t>
        </x:is>
      </x:c>
      <x:c r="G628" s="31" t="inlineStr">
        <x:is>
          <x:t xml:space="preserve">СОТР-096</x:t>
        </x:is>
      </x:c>
      <x:c r="H628" s="31" t="inlineStr">
        <x:is>
          <x:t xml:space="preserve">ОТК</x:t>
        </x:is>
      </x:c>
      <x:c r="I628" s="31" t="n">
        <x:v>1</x:v>
      </x:c>
      <x:c r="J628" s="31" t="n">
        <x:v>0</x:v>
      </x:c>
      <x:c r="K628" s="31" t="n">
        <x:v>9.1</x:v>
      </x:c>
      <x:c r="L628" s="31" t="n">
        <x:v>5.4</x:v>
      </x:c>
      <x:c r="M628" s="31" t="n">
        <x:v>90</x:v>
      </x:c>
      <x:c r="N628" s="31" t="inlineStr">
        <x:is>
          <x:t xml:space="preserve">Переналадка</x:t>
        </x:is>
      </x:c>
      <x:c r="O628" s="31" t="inlineStr">
        <x:is>
          <x:t xml:space="preserve">Подтверждено мастером</x:t>
        </x:is>
      </x:c>
      <x:c r="P628" s="31" t="inlineStr">
        <x:is>
          <x:t xml:space="preserve">Комментарий смены 665</x:t>
        </x:is>
      </x:c>
    </x:row>
    <x:row r="629">
      <x:c r="A629" s="31" t="inlineStr">
        <x:is>
          <x:t xml:space="preserve">СМ-00666</x:t>
        </x:is>
      </x:c>
      <x:c r="B629" s="31" t="n">
        <x:v>46174</x:v>
      </x:c>
      <x:c r="C629" s="31" t="inlineStr">
        <x:is>
          <x:t xml:space="preserve">День</x:t>
        </x:is>
      </x:c>
      <x:c r="D629" s="31" t="inlineStr">
        <x:is>
          <x:t xml:space="preserve">ПЗ-00037</x:t>
        </x:is>
      </x:c>
      <x:c r="E629" s="31" t="inlineStr">
        <x:is>
          <x:t xml:space="preserve">ОП-000317</x:t>
        </x:is>
      </x:c>
      <x:c r="F629" s="31" t="inlineStr">
        <x:is>
          <x:t xml:space="preserve">ОБ-003</x:t>
        </x:is>
      </x:c>
      <x:c r="G629" s="31" t="inlineStr">
        <x:is>
          <x:t xml:space="preserve">СОТР-057</x:t>
        </x:is>
      </x:c>
      <x:c r="H629" s="31" t="inlineStr">
        <x:is>
          <x:t xml:space="preserve">Сварка</x:t>
        </x:is>
      </x:c>
      <x:c r="I629" s="31" t="n">
        <x:v>5</x:v>
      </x:c>
      <x:c r="J629" s="31" t="n">
        <x:v>5</x:v>
      </x:c>
      <x:c r="K629" s="31" t="n">
        <x:v>5.5</x:v>
      </x:c>
      <x:c r="L629" s="31" t="n">
        <x:v>6.6</x:v>
      </x:c>
      <x:c r="M629" s="31" t="n">
        <x:v>30</x:v>
      </x:c>
      <x:c r="N629" s="31" t="inlineStr">
        <x:is>
          <x:t xml:space="preserve">Ожидание ОТК</x:t>
        </x:is>
      </x:c>
      <x:c r="O629" s="31" t="inlineStr">
        <x:is>
          <x:t xml:space="preserve">Подтверждено мастером</x:t>
        </x:is>
      </x:c>
      <x:c r="P629" s="31" t="inlineStr">
        <x:is>
          <x:t xml:space="preserve">Комментарий смены 666</x:t>
        </x:is>
      </x:c>
    </x:row>
    <x:row r="630">
      <x:c r="A630" s="31" t="inlineStr">
        <x:is>
          <x:t xml:space="preserve">СМ-00668</x:t>
        </x:is>
      </x:c>
      <x:c r="B630" s="31" t="n">
        <x:v>46212</x:v>
      </x:c>
      <x:c r="C630" s="31" t="inlineStr">
        <x:is>
          <x:t xml:space="preserve">День</x:t>
        </x:is>
      </x:c>
      <x:c r="D630" s="31" t="inlineStr">
        <x:is>
          <x:t xml:space="preserve">ПЗ-00124</x:t>
        </x:is>
      </x:c>
      <x:c r="E630" s="31" t="inlineStr">
        <x:is>
          <x:t xml:space="preserve">ОП-001038</x:t>
        </x:is>
      </x:c>
      <x:c r="F630" s="31" t="inlineStr">
        <x:is>
          <x:t xml:space="preserve">ОБ-003</x:t>
        </x:is>
      </x:c>
      <x:c r="G630" s="31" t="inlineStr">
        <x:is>
          <x:t xml:space="preserve">СОТР-061</x:t>
        </x:is>
      </x:c>
      <x:c r="H630" s="31" t="inlineStr">
        <x:is>
          <x:t xml:space="preserve">Сварка</x:t>
        </x:is>
      </x:c>
      <x:c r="I630" s="31" t="n">
        <x:v>3</x:v>
      </x:c>
      <x:c r="J630" s="31" t="n">
        <x:v>2</x:v>
      </x:c>
      <x:c r="K630" s="31" t="n">
        <x:v>36.3</x:v>
      </x:c>
      <x:c r="L630" s="31" t="n">
        <x:v>30</x:v>
      </x:c>
      <x:c r="M630" s="31" t="n">
        <x:v>30</x:v>
      </x:c>
      <x:c r="N630" s="31" t="inlineStr">
        <x:is>
          <x:t xml:space="preserve">Ожидание ОТК</x:t>
        </x:is>
      </x:c>
      <x:c r="O630" s="31" t="inlineStr">
        <x:is>
          <x:t xml:space="preserve">Подтверждено мастером</x:t>
        </x:is>
      </x:c>
      <x:c r="P630" s="31" t="inlineStr">
        <x:is>
          <x:t xml:space="preserve">Комментарий смены 668</x:t>
        </x:is>
      </x:c>
    </x:row>
    <x:row r="631">
      <x:c r="A631" s="31" t="inlineStr">
        <x:is>
          <x:t xml:space="preserve">СМ-00669</x:t>
        </x:is>
      </x:c>
      <x:c r="B631" s="31" t="n">
        <x:v>46210</x:v>
      </x:c>
      <x:c r="C631" s="31" t="inlineStr">
        <x:is>
          <x:t xml:space="preserve">Ночь</x:t>
        </x:is>
      </x:c>
      <x:c r="D631" s="31" t="inlineStr">
        <x:is>
          <x:t xml:space="preserve">ПЗ-00121</x:t>
        </x:is>
      </x:c>
      <x:c r="E631" s="31" t="inlineStr">
        <x:is>
          <x:t xml:space="preserve">ОП-001015</x:t>
        </x:is>
      </x:c>
      <x:c r="F631" s="31" t="inlineStr">
        <x:is>
          <x:t xml:space="preserve">ОБ-006</x:t>
        </x:is>
      </x:c>
      <x:c r="G631" s="31" t="inlineStr">
        <x:is>
          <x:t xml:space="preserve">СОТР-095</x:t>
        </x:is>
      </x:c>
      <x:c r="H631" s="31" t="inlineStr">
        <x:is>
          <x:t xml:space="preserve">ОТК</x:t>
        </x:is>
      </x:c>
      <x:c r="I631" s="31" t="n">
        <x:v>1</x:v>
      </x:c>
      <x:c r="J631" s="31" t="n">
        <x:v>0</x:v>
      </x:c>
      <x:c r="K631" s="31" t="n">
        <x:v>48.4</x:v>
      </x:c>
      <x:c r="L631" s="31" t="n">
        <x:v>63.2</x:v>
      </x:c>
      <x:c r="M631" s="31" t="n">
        <x:v>120</x:v>
      </x:c>
      <x:c r="N631" s="31" t="inlineStr">
        <x:is>
          <x:t xml:space="preserve">Переналадка</x:t>
        </x:is>
      </x:c>
      <x:c r="O631" s="31" t="inlineStr">
        <x:is>
          <x:t xml:space="preserve">Подтверждено мастером</x:t>
        </x:is>
      </x:c>
      <x:c r="P631" s="31" t="inlineStr">
        <x:is>
          <x:t xml:space="preserve">Комментарий смены 669</x:t>
        </x:is>
      </x:c>
    </x:row>
    <x:row r="632">
      <x:c r="A632" s="31" t="inlineStr">
        <x:is>
          <x:t xml:space="preserve">СМ-00670</x:t>
        </x:is>
      </x:c>
      <x:c r="B632" s="31" t="n">
        <x:v>46152</x:v>
      </x:c>
      <x:c r="C632" s="31" t="inlineStr">
        <x:is>
          <x:t xml:space="preserve">Ночь</x:t>
        </x:is>
      </x:c>
      <x:c r="D632" s="31" t="inlineStr">
        <x:is>
          <x:t xml:space="preserve">ПЗ-00187</x:t>
        </x:is>
      </x:c>
      <x:c r="E632" s="31" t="inlineStr">
        <x:is>
          <x:t xml:space="preserve">ОП-001560</x:t>
        </x:is>
      </x:c>
      <x:c r="F632" s="31" t="inlineStr">
        <x:is>
          <x:t xml:space="preserve">ОБ-020</x:t>
        </x:is>
      </x:c>
      <x:c r="G632" s="31" t="inlineStr">
        <x:is>
          <x:t xml:space="preserve">СОТР-084</x:t>
        </x:is>
      </x:c>
      <x:c r="H632" s="31" t="inlineStr">
        <x:is>
          <x:t xml:space="preserve">Сборка</x:t>
        </x:is>
      </x:c>
      <x:c r="I632" s="31" t="n">
        <x:v>1</x:v>
      </x:c>
      <x:c r="J632" s="31" t="n">
        <x:v>1</x:v>
      </x:c>
      <x:c r="K632" s="31" t="n">
        <x:v>32</x:v>
      </x:c>
      <x:c r="L632" s="31" t="n">
        <x:v>33.7</x:v>
      </x:c>
      <x:c r="M632" s="31" t="n">
        <x:v>0</x:v>
      </x:c>
      <x:c r="N632" s="31" t="inlineStr">
        <x:is>
          <x:t xml:space="preserve">Нет</x:t>
        </x:is>
      </x:c>
      <x:c r="O632" s="31" t="inlineStr">
        <x:is>
          <x:t xml:space="preserve">Подтверждено мастером</x:t>
        </x:is>
      </x:c>
      <x:c r="P632" s="31" t="inlineStr">
        <x:is>
          <x:t xml:space="preserve">Комментарий смены 670</x:t>
        </x:is>
      </x:c>
    </x:row>
    <x:row r="633">
      <x:c r="A633" s="31" t="inlineStr">
        <x:is>
          <x:t xml:space="preserve">СМ-00671</x:t>
        </x:is>
      </x:c>
      <x:c r="B633" s="31" t="n">
        <x:v>46125</x:v>
      </x:c>
      <x:c r="C633" s="31" t="inlineStr">
        <x:is>
          <x:t xml:space="preserve">День</x:t>
        </x:is>
      </x:c>
      <x:c r="D633" s="31" t="inlineStr">
        <x:is>
          <x:t xml:space="preserve">ПЗ-00179</x:t>
        </x:is>
      </x:c>
      <x:c r="E633" s="31" t="inlineStr">
        <x:is>
          <x:t xml:space="preserve">ОП-001481</x:t>
        </x:is>
      </x:c>
      <x:c r="F633" s="31" t="inlineStr">
        <x:is>
          <x:t xml:space="preserve">ОБ-003</x:t>
        </x:is>
      </x:c>
      <x:c r="G633" s="31" t="inlineStr">
        <x:is>
          <x:t xml:space="preserve">СОТР-064</x:t>
        </x:is>
      </x:c>
      <x:c r="H633" s="31" t="inlineStr">
        <x:is>
          <x:t xml:space="preserve">Сварка</x:t>
        </x:is>
      </x:c>
      <x:c r="I633" s="31" t="n">
        <x:v>3</x:v>
      </x:c>
      <x:c r="J633" s="31" t="n">
        <x:v>3</x:v>
      </x:c>
      <x:c r="K633" s="31" t="n">
        <x:v>17.6</x:v>
      </x:c>
      <x:c r="L633" s="31" t="n">
        <x:v>15.6</x:v>
      </x:c>
      <x:c r="M633" s="31" t="n">
        <x:v>0</x:v>
      </x:c>
      <x:c r="N633" s="31" t="inlineStr">
        <x:is>
          <x:t xml:space="preserve">Нет</x:t>
        </x:is>
      </x:c>
      <x:c r="O633" s="31" t="inlineStr">
        <x:is>
          <x:t xml:space="preserve">Подтверждено мастером</x:t>
        </x:is>
      </x:c>
      <x:c r="P633" s="31" t="inlineStr">
        <x:is>
          <x:t xml:space="preserve">Комментарий смены 671</x:t>
        </x:is>
      </x:c>
    </x:row>
    <x:row r="634">
      <x:c r="A634" s="31" t="inlineStr">
        <x:is>
          <x:t xml:space="preserve">СМ-00672</x:t>
        </x:is>
      </x:c>
      <x:c r="B634" s="31" t="n">
        <x:v>46160</x:v>
      </x:c>
      <x:c r="C634" s="31" t="inlineStr">
        <x:is>
          <x:t xml:space="preserve">День</x:t>
        </x:is>
      </x:c>
      <x:c r="D634" s="31" t="inlineStr">
        <x:is>
          <x:t xml:space="preserve">ПЗ-00036</x:t>
        </x:is>
      </x:c>
      <x:c r="E634" s="31" t="inlineStr">
        <x:is>
          <x:t xml:space="preserve">ОП-000312</x:t>
        </x:is>
      </x:c>
      <x:c r="F634" s="31" t="inlineStr">
        <x:is>
          <x:t xml:space="preserve">ОБ-014</x:t>
        </x:is>
      </x:c>
      <x:c r="G634" s="31" t="inlineStr">
        <x:is>
          <x:t xml:space="preserve">СОТР-079</x:t>
        </x:is>
      </x:c>
      <x:c r="H634" s="31" t="inlineStr">
        <x:is>
          <x:t xml:space="preserve">Сборка</x:t>
        </x:is>
      </x:c>
      <x:c r="I634" s="31" t="n">
        <x:v>1</x:v>
      </x:c>
      <x:c r="J634" s="31" t="n">
        <x:v>0</x:v>
      </x:c>
      <x:c r="K634" s="31" t="n">
        <x:v>3.6</x:v>
      </x:c>
      <x:c r="L634" s="31" t="n">
        <x:v>2.7</x:v>
      </x:c>
      <x:c r="M634" s="31" t="n">
        <x:v>0</x:v>
      </x:c>
      <x:c r="N634" s="31" t="inlineStr">
        <x:is>
          <x:t xml:space="preserve">Нет</x:t>
        </x:is>
      </x:c>
      <x:c r="O634" s="31" t="inlineStr">
        <x:is>
          <x:t xml:space="preserve">Закрыто</x:t>
        </x:is>
      </x:c>
      <x:c r="P634" s="31" t="inlineStr">
        <x:is>
          <x:t xml:space="preserve">Комментарий смены 672</x:t>
        </x:is>
      </x:c>
    </x:row>
    <x:row r="635">
      <x:c r="A635" s="31" t="inlineStr">
        <x:is>
          <x:t xml:space="preserve">СМ-00674</x:t>
        </x:is>
      </x:c>
      <x:c r="B635" s="31" t="n">
        <x:v>46187</x:v>
      </x:c>
      <x:c r="C635" s="31" t="inlineStr">
        <x:is>
          <x:t xml:space="preserve">Ночь</x:t>
        </x:is>
      </x:c>
      <x:c r="D635" s="31" t="inlineStr">
        <x:is>
          <x:t xml:space="preserve">ПЗ-00184</x:t>
        </x:is>
      </x:c>
      <x:c r="E635" s="31" t="inlineStr">
        <x:is>
          <x:t xml:space="preserve">ОП-001529</x:t>
        </x:is>
      </x:c>
      <x:c r="F635" s="31" t="inlineStr">
        <x:is>
          <x:t xml:space="preserve">ОБ-012</x:t>
        </x:is>
      </x:c>
      <x:c r="G635" s="31" t="inlineStr">
        <x:is>
          <x:t xml:space="preserve">СОТР-088</x:t>
        </x:is>
      </x:c>
      <x:c r="H635" s="31" t="inlineStr">
        <x:is>
          <x:t xml:space="preserve">Сборка</x:t>
        </x:is>
      </x:c>
      <x:c r="I635" s="31" t="n">
        <x:v>1</x:v>
      </x:c>
      <x:c r="J635" s="31" t="n">
        <x:v>0</x:v>
      </x:c>
      <x:c r="K635" s="31" t="n">
        <x:v>8</x:v>
      </x:c>
      <x:c r="L635" s="31" t="n">
        <x:v>7.8</x:v>
      </x:c>
      <x:c r="M635" s="31" t="n">
        <x:v>0</x:v>
      </x:c>
      <x:c r="N635" s="31" t="inlineStr">
        <x:is>
          <x:t xml:space="preserve">Нет</x:t>
        </x:is>
      </x:c>
      <x:c r="O635" s="31" t="inlineStr">
        <x:is>
          <x:t xml:space="preserve">Черновик</x:t>
        </x:is>
      </x:c>
      <x:c r="P635" s="31" t="inlineStr">
        <x:is>
          <x:t xml:space="preserve">Комментарий смены 674</x:t>
        </x:is>
      </x:c>
    </x:row>
    <x:row r="636">
      <x:c r="A636" s="31" t="inlineStr">
        <x:is>
          <x:t xml:space="preserve">СМ-00675</x:t>
        </x:is>
      </x:c>
      <x:c r="B636" s="31" t="n">
        <x:v>46116</x:v>
      </x:c>
      <x:c r="C636" s="31" t="inlineStr">
        <x:is>
          <x:t xml:space="preserve">День</x:t>
        </x:is>
      </x:c>
      <x:c r="D636" s="31" t="inlineStr">
        <x:is>
          <x:t xml:space="preserve">ПЗ-00220</x:t>
        </x:is>
      </x:c>
      <x:c r="E636" s="31" t="inlineStr">
        <x:is>
          <x:t xml:space="preserve">ОП-001844</x:t>
        </x:is>
      </x:c>
      <x:c r="F636" s="31" t="inlineStr">
        <x:is>
          <x:t xml:space="preserve">ОБ-018</x:t>
        </x:is>
      </x:c>
      <x:c r="G636" s="31" t="inlineStr">
        <x:is>
          <x:t xml:space="preserve">СОТР-071</x:t>
        </x:is>
      </x:c>
      <x:c r="H636" s="31" t="inlineStr">
        <x:is>
          <x:t xml:space="preserve">Сварка</x:t>
        </x:is>
      </x:c>
      <x:c r="I636" s="31" t="n">
        <x:v>1</x:v>
      </x:c>
      <x:c r="J636" s="31" t="n">
        <x:v>1</x:v>
      </x:c>
      <x:c r="K636" s="31" t="n">
        <x:v>26.5</x:v>
      </x:c>
      <x:c r="L636" s="31" t="n">
        <x:v>33.3</x:v>
      </x:c>
      <x:c r="M636" s="31" t="n">
        <x:v>30</x:v>
      </x:c>
      <x:c r="N636" s="31" t="inlineStr">
        <x:is>
          <x:t xml:space="preserve">Ожидание ОТК</x:t>
        </x:is>
      </x:c>
      <x:c r="O636" s="31" t="inlineStr">
        <x:is>
          <x:t xml:space="preserve">Спорный факт</x:t>
        </x:is>
      </x:c>
      <x:c r="P636" s="31" t="inlineStr">
        <x:is>
          <x:t xml:space="preserve">Комментарий смены 675</x:t>
        </x:is>
      </x:c>
    </x:row>
    <x:row r="637">
      <x:c r="A637" s="31" t="inlineStr">
        <x:is>
          <x:t xml:space="preserve">СМ-00676</x:t>
        </x:is>
      </x:c>
      <x:c r="B637" s="31" t="n">
        <x:v>46184</x:v>
      </x:c>
      <x:c r="C637" s="31" t="inlineStr">
        <x:is>
          <x:t xml:space="preserve">День</x:t>
        </x:is>
      </x:c>
      <x:c r="D637" s="31" t="inlineStr">
        <x:is>
          <x:t xml:space="preserve">ПЗ-00084</x:t>
        </x:is>
      </x:c>
      <x:c r="E637" s="31" t="inlineStr">
        <x:is>
          <x:t xml:space="preserve">ОП-000715</x:t>
        </x:is>
      </x:c>
      <x:c r="F637" s="31" t="inlineStr">
        <x:is>
          <x:t xml:space="preserve">ОБ-034</x:t>
        </x:is>
      </x:c>
      <x:c r="G637" s="31" t="inlineStr">
        <x:is>
          <x:t xml:space="preserve">СОТР-083</x:t>
        </x:is>
      </x:c>
      <x:c r="H637" s="31" t="inlineStr">
        <x:is>
          <x:t xml:space="preserve">Сборка</x:t>
        </x:is>
      </x:c>
      <x:c r="I637" s="31" t="n">
        <x:v>2</x:v>
      </x:c>
      <x:c r="J637" s="31" t="n">
        <x:v>2</x:v>
      </x:c>
      <x:c r="K637" s="31" t="n">
        <x:v>27</x:v>
      </x:c>
      <x:c r="L637" s="31" t="n">
        <x:v>25.5</x:v>
      </x:c>
      <x:c r="M637" s="31" t="n">
        <x:v>120</x:v>
      </x:c>
      <x:c r="N637" s="31" t="inlineStr">
        <x:is>
          <x:t xml:space="preserve">Ожидание ОТК</x:t>
        </x:is>
      </x:c>
      <x:c r="O637" s="31" t="inlineStr">
        <x:is>
          <x:t xml:space="preserve">Черновик</x:t>
        </x:is>
      </x:c>
      <x:c r="P637" s="31" t="inlineStr">
        <x:is>
          <x:t xml:space="preserve">Комментарий смены 676</x:t>
        </x:is>
      </x:c>
    </x:row>
    <x:row r="638">
      <x:c r="A638" s="31" t="inlineStr">
        <x:is>
          <x:t xml:space="preserve">СМ-00677</x:t>
        </x:is>
      </x:c>
      <x:c r="B638" s="31" t="n">
        <x:v>46125</x:v>
      </x:c>
      <x:c r="C638" s="31" t="inlineStr">
        <x:is>
          <x:t xml:space="preserve">День</x:t>
        </x:is>
      </x:c>
      <x:c r="D638" s="31" t="inlineStr">
        <x:is>
          <x:t xml:space="preserve">ПЗ-00129</x:t>
        </x:is>
      </x:c>
      <x:c r="E638" s="31" t="inlineStr">
        <x:is>
          <x:t xml:space="preserve">ОП-001078</x:t>
        </x:is>
      </x:c>
      <x:c r="F638" s="31" t="inlineStr">
        <x:is>
          <x:t xml:space="preserve">ОБ-028</x:t>
        </x:is>
      </x:c>
      <x:c r="G638" s="31" t="inlineStr">
        <x:is>
          <x:t xml:space="preserve">СОТР-099</x:t>
        </x:is>
      </x:c>
      <x:c r="H638" s="31" t="inlineStr">
        <x:is>
          <x:t xml:space="preserve">ОТК</x:t>
        </x:is>
      </x:c>
      <x:c r="I638" s="31" t="n">
        <x:v>1</x:v>
      </x:c>
      <x:c r="J638" s="31" t="n">
        <x:v>0</x:v>
      </x:c>
      <x:c r="K638" s="31" t="n">
        <x:v>6.6</x:v>
      </x:c>
      <x:c r="L638" s="31" t="n">
        <x:v>5.1</x:v>
      </x:c>
      <x:c r="M638" s="31" t="n">
        <x:v>60</x:v>
      </x:c>
      <x:c r="N638" s="31" t="inlineStr">
        <x:is>
          <x:t xml:space="preserve">Ожидание материала</x:t>
        </x:is>
      </x:c>
      <x:c r="O638" s="31" t="inlineStr">
        <x:is>
          <x:t xml:space="preserve">Черновик</x:t>
        </x:is>
      </x:c>
      <x:c r="P638" s="31" t="inlineStr">
        <x:is>
          <x:t xml:space="preserve">Комментарий смены 677</x:t>
        </x:is>
      </x:c>
    </x:row>
    <x:row r="639">
      <x:c r="A639" s="31" t="inlineStr">
        <x:is>
          <x:t xml:space="preserve">СМ-00678</x:t>
        </x:is>
      </x:c>
      <x:c r="B639" s="31" t="n">
        <x:v>46160</x:v>
      </x:c>
      <x:c r="C639" s="31" t="inlineStr">
        <x:is>
          <x:t xml:space="preserve">День</x:t>
        </x:is>
      </x:c>
      <x:c r="D639" s="31" t="inlineStr">
        <x:is>
          <x:t xml:space="preserve">ПЗ-00091</x:t>
        </x:is>
      </x:c>
      <x:c r="E639" s="31" t="inlineStr">
        <x:is>
          <x:t xml:space="preserve">ОП-000771</x:t>
        </x:is>
      </x:c>
      <x:c r="F639" s="31" t="inlineStr">
        <x:is>
          <x:t xml:space="preserve">ОБ-013</x:t>
        </x:is>
      </x:c>
      <x:c r="G639" s="31" t="inlineStr">
        <x:is>
          <x:t xml:space="preserve">СОТР-100</x:t>
        </x:is>
      </x:c>
      <x:c r="H639" s="31" t="inlineStr">
        <x:is>
          <x:t xml:space="preserve">ОТК</x:t>
        </x:is>
      </x:c>
      <x:c r="I639" s="31" t="n">
        <x:v>4</x:v>
      </x:c>
      <x:c r="J639" s="31" t="n">
        <x:v>5</x:v>
      </x:c>
      <x:c r="K639" s="31" t="n">
        <x:v>60</x:v>
      </x:c>
      <x:c r="L639" s="31" t="n">
        <x:v>60.9</x:v>
      </x:c>
      <x:c r="M639" s="31" t="n">
        <x:v>0</x:v>
      </x:c>
      <x:c r="N639" s="31" t="inlineStr">
        <x:is>
          <x:t xml:space="preserve">Нет</x:t>
        </x:is>
      </x:c>
      <x:c r="O639" s="31" t="inlineStr">
        <x:is>
          <x:t xml:space="preserve">Черновик</x:t>
        </x:is>
      </x:c>
      <x:c r="P639" s="31" t="inlineStr">
        <x:is>
          <x:t xml:space="preserve">Комментарий смены 678</x:t>
        </x:is>
      </x:c>
    </x:row>
    <x:row r="640">
      <x:c r="A640" s="31" t="inlineStr">
        <x:is>
          <x:t xml:space="preserve">СМ-00679</x:t>
        </x:is>
      </x:c>
      <x:c r="B640" s="31" t="n">
        <x:v>46211</x:v>
      </x:c>
      <x:c r="C640" s="31" t="inlineStr">
        <x:is>
          <x:t xml:space="preserve">Вечер</x:t>
        </x:is>
      </x:c>
      <x:c r="D640" s="31" t="inlineStr">
        <x:is>
          <x:t xml:space="preserve">ПЗ-00079</x:t>
        </x:is>
      </x:c>
      <x:c r="E640" s="31" t="inlineStr">
        <x:is>
          <x:t xml:space="preserve">ОП-000675</x:t>
        </x:is>
      </x:c>
      <x:c r="F640" s="31" t="inlineStr">
        <x:is>
          <x:t xml:space="preserve">ОБ-001</x:t>
        </x:is>
      </x:c>
      <x:c r="G640" s="31" t="inlineStr">
        <x:is>
          <x:t xml:space="preserve">СОТР-096</x:t>
        </x:is>
      </x:c>
      <x:c r="H640" s="31" t="inlineStr">
        <x:is>
          <x:t xml:space="preserve">ОТК</x:t>
        </x:is>
      </x:c>
      <x:c r="I640" s="31" t="n">
        <x:v>3</x:v>
      </x:c>
      <x:c r="J640" s="31" t="n">
        <x:v>3</x:v>
      </x:c>
      <x:c r="K640" s="31" t="n">
        <x:v>31</x:v>
      </x:c>
      <x:c r="L640" s="31" t="n">
        <x:v>32.2</x:v>
      </x:c>
      <x:c r="M640" s="31" t="n">
        <x:v>120</x:v>
      </x:c>
      <x:c r="N640" s="31" t="inlineStr">
        <x:is>
          <x:t xml:space="preserve">Переналадка</x:t>
        </x:is>
      </x:c>
      <x:c r="O640" s="31" t="inlineStr">
        <x:is>
          <x:t xml:space="preserve">Подтверждено мастером</x:t>
        </x:is>
      </x:c>
      <x:c r="P640" s="31" t="inlineStr">
        <x:is>
          <x:t xml:space="preserve">Комментарий смены 679</x:t>
        </x:is>
      </x:c>
    </x:row>
    <x:row r="641">
      <x:c r="A641" s="31" t="inlineStr">
        <x:is>
          <x:t xml:space="preserve">СМ-00680</x:t>
        </x:is>
      </x:c>
      <x:c r="B641" s="31" t="n">
        <x:v>46206</x:v>
      </x:c>
      <x:c r="C641" s="31" t="inlineStr">
        <x:is>
          <x:t xml:space="preserve">День</x:t>
        </x:is>
      </x:c>
      <x:c r="D641" s="31" t="inlineStr">
        <x:is>
          <x:t xml:space="preserve">ПЗ-00210</x:t>
        </x:is>
      </x:c>
      <x:c r="E641" s="31" t="inlineStr">
        <x:is>
          <x:t xml:space="preserve">ОП-001762</x:t>
        </x:is>
      </x:c>
      <x:c r="F641" s="31" t="inlineStr">
        <x:is>
          <x:t xml:space="preserve">ОБ-024</x:t>
        </x:is>
      </x:c>
      <x:c r="G641" s="31" t="inlineStr">
        <x:is>
          <x:t xml:space="preserve">СОТР-097</x:t>
        </x:is>
      </x:c>
      <x:c r="H641" s="31" t="inlineStr">
        <x:is>
          <x:t xml:space="preserve">ОТК</x:t>
        </x:is>
      </x:c>
      <x:c r="I641" s="31" t="n">
        <x:v>1</x:v>
      </x:c>
      <x:c r="J641" s="31" t="n">
        <x:v>1</x:v>
      </x:c>
      <x:c r="K641" s="31" t="n">
        <x:v>4.8</x:v>
      </x:c>
      <x:c r="L641" s="31" t="n">
        <x:v>5.7</x:v>
      </x:c>
      <x:c r="M641" s="31" t="n">
        <x:v>120</x:v>
      </x:c>
      <x:c r="N641" s="31" t="inlineStr">
        <x:is>
          <x:t xml:space="preserve">Переналадка</x:t>
        </x:is>
      </x:c>
      <x:c r="O641" s="31" t="inlineStr">
        <x:is>
          <x:t xml:space="preserve">Спорный факт</x:t>
        </x:is>
      </x:c>
      <x:c r="P641" s="31" t="inlineStr">
        <x:is>
          <x:t xml:space="preserve">Комментарий смены 680</x:t>
        </x:is>
      </x:c>
    </x:row>
    <x:row r="642">
      <x:c r="A642" s="31" t="inlineStr">
        <x:is>
          <x:t xml:space="preserve">СМ-00681</x:t>
        </x:is>
      </x:c>
      <x:c r="B642" s="31" t="n">
        <x:v>46145</x:v>
      </x:c>
      <x:c r="C642" s="31" t="inlineStr">
        <x:is>
          <x:t xml:space="preserve">Ночь</x:t>
        </x:is>
      </x:c>
      <x:c r="D642" s="31" t="inlineStr">
        <x:is>
          <x:t xml:space="preserve">ПЗ-00059</x:t>
        </x:is>
      </x:c>
      <x:c r="E642" s="31" t="inlineStr">
        <x:is>
          <x:t xml:space="preserve">ОП-000499</x:t>
        </x:is>
      </x:c>
      <x:c r="F642" s="31" t="inlineStr">
        <x:is>
          <x:t xml:space="preserve">ОБ-006</x:t>
        </x:is>
      </x:c>
      <x:c r="G642" s="31" t="inlineStr">
        <x:is>
          <x:t xml:space="preserve">СОТР-093</x:t>
        </x:is>
      </x:c>
      <x:c r="H642" s="31" t="inlineStr">
        <x:is>
          <x:t xml:space="preserve">ОТК</x:t>
        </x:is>
      </x:c>
      <x:c r="I642" s="31" t="n">
        <x:v>1</x:v>
      </x:c>
      <x:c r="J642" s="31" t="n">
        <x:v>2</x:v>
      </x:c>
      <x:c r="K642" s="31" t="n">
        <x:v>4</x:v>
      </x:c>
      <x:c r="L642" s="31" t="n">
        <x:v>3.8</x:v>
      </x:c>
      <x:c r="M642" s="31" t="n">
        <x:v>120</x:v>
      </x:c>
      <x:c r="N642" s="31" t="inlineStr">
        <x:is>
          <x:t xml:space="preserve">Ожидание ОТК</x:t>
        </x:is>
      </x:c>
      <x:c r="O642" s="31" t="inlineStr">
        <x:is>
          <x:t xml:space="preserve">Подтверждено мастером</x:t>
        </x:is>
      </x:c>
      <x:c r="P642" s="31" t="inlineStr">
        <x:is>
          <x:t xml:space="preserve">Комментарий смены 681</x:t>
        </x:is>
      </x:c>
    </x:row>
    <x:row r="643">
      <x:c r="A643" s="31" t="inlineStr">
        <x:is>
          <x:t xml:space="preserve">СМ-00682</x:t>
        </x:is>
      </x:c>
      <x:c r="B643" s="31" t="n">
        <x:v>46157</x:v>
      </x:c>
      <x:c r="C643" s="31" t="inlineStr">
        <x:is>
          <x:t xml:space="preserve">День</x:t>
        </x:is>
      </x:c>
      <x:c r="D643" s="31" t="inlineStr">
        <x:is>
          <x:t xml:space="preserve">ПЗ-00154</x:t>
        </x:is>
      </x:c>
      <x:c r="E643" s="31" t="inlineStr">
        <x:is>
          <x:t xml:space="preserve">ОП-001274</x:t>
        </x:is>
      </x:c>
      <x:c r="F643" s="31" t="inlineStr">
        <x:is>
          <x:t xml:space="preserve">ОБ-011</x:t>
        </x:is>
      </x:c>
      <x:c r="G643" s="31" t="inlineStr">
        <x:is>
          <x:t xml:space="preserve">СОТР-035</x:t>
        </x:is>
      </x:c>
      <x:c r="H643" s="31" t="inlineStr">
        <x:is>
          <x:t xml:space="preserve">Склад</x:t>
        </x:is>
      </x:c>
      <x:c r="I643" s="31" t="n">
        <x:v>2</x:v>
      </x:c>
      <x:c r="J643" s="31" t="n">
        <x:v>2</x:v>
      </x:c>
      <x:c r="K643" s="31" t="n">
        <x:v>9.800000000000001</x:v>
      </x:c>
      <x:c r="L643" s="31" t="n">
        <x:v>11.6</x:v>
      </x:c>
      <x:c r="M643" s="31" t="n">
        <x:v>30</x:v>
      </x:c>
      <x:c r="N643" s="31" t="inlineStr">
        <x:is>
          <x:t xml:space="preserve">Ожидание ОТК</x:t>
        </x:is>
      </x:c>
      <x:c r="O643" s="31" t="inlineStr">
        <x:is>
          <x:t xml:space="preserve">Закрыто</x:t>
        </x:is>
      </x:c>
      <x:c r="P643" s="31" t="inlineStr">
        <x:is>
          <x:t xml:space="preserve">Комментарий смены 682</x:t>
        </x:is>
      </x:c>
    </x:row>
    <x:row r="644">
      <x:c r="A644" s="31" t="inlineStr">
        <x:is>
          <x:t xml:space="preserve">СМ-00685</x:t>
        </x:is>
      </x:c>
      <x:c r="B644" s="31" t="n">
        <x:v>46143</x:v>
      </x:c>
      <x:c r="C644" s="31" t="inlineStr">
        <x:is>
          <x:t xml:space="preserve">День</x:t>
        </x:is>
      </x:c>
      <x:c r="D644" s="31" t="inlineStr">
        <x:is>
          <x:t xml:space="preserve">ПЗ-00162</x:t>
        </x:is>
      </x:c>
      <x:c r="E644" s="31" t="inlineStr">
        <x:is>
          <x:t xml:space="preserve">ОП-001350</x:t>
        </x:is>
      </x:c>
      <x:c r="F644" s="31" t="inlineStr">
        <x:is>
          <x:t xml:space="preserve">ОБ-006</x:t>
        </x:is>
      </x:c>
      <x:c r="G644" s="31" t="inlineStr">
        <x:is>
          <x:t xml:space="preserve">СОТР-092</x:t>
        </x:is>
      </x:c>
      <x:c r="H644" s="31" t="inlineStr">
        <x:is>
          <x:t xml:space="preserve">ОТК</x:t>
        </x:is>
      </x:c>
      <x:c r="I644" s="31" t="n">
        <x:v>4</x:v>
      </x:c>
      <x:c r="J644" s="31" t="n">
        <x:v>0</x:v>
      </x:c>
      <x:c r="K644" s="31" t="n">
        <x:v>6</x:v>
      </x:c>
      <x:c r="L644" s="31" t="n">
        <x:v>3</x:v>
      </x:c>
      <x:c r="M644" s="31" t="n">
        <x:v>45</x:v>
      </x:c>
      <x:c r="N644" s="31" t="inlineStr">
        <x:is>
          <x:t xml:space="preserve">Нет оператора</x:t>
        </x:is>
      </x:c>
      <x:c r="O644" s="31" t="inlineStr">
        <x:is>
          <x:t xml:space="preserve">Подтверждено мастером</x:t>
        </x:is>
      </x:c>
      <x:c r="P644" s="31" t="inlineStr">
        <x:is>
          <x:t xml:space="preserve">Комментарий смены 685</x:t>
        </x:is>
      </x:c>
    </x:row>
    <x:row r="645">
      <x:c r="A645" s="31" t="inlineStr">
        <x:is>
          <x:t xml:space="preserve">СМ-00686</x:t>
        </x:is>
      </x:c>
      <x:c r="B645" s="31" t="n">
        <x:v>46064</x:v>
      </x:c>
      <x:c r="C645" s="31" t="inlineStr">
        <x:is>
          <x:t xml:space="preserve">Вечер</x:t>
        </x:is>
      </x:c>
      <x:c r="D645" s="31" t="inlineStr">
        <x:is>
          <x:t xml:space="preserve">ПЗ-00094</x:t>
        </x:is>
      </x:c>
      <x:c r="E645" s="31" t="inlineStr">
        <x:is>
          <x:t xml:space="preserve">ОП-000795</x:t>
        </x:is>
      </x:c>
      <x:c r="F645" s="31" t="n"/>
      <x:c r="G645" s="31" t="inlineStr">
        <x:is>
          <x:t xml:space="preserve">СОТР-101</x:t>
        </x:is>
      </x:c>
      <x:c r="H645" s="31" t="inlineStr">
        <x:is>
          <x:t xml:space="preserve">Логистика</x:t>
        </x:is>
      </x:c>
      <x:c r="I645" s="31" t="n">
        <x:v>1</x:v>
      </x:c>
      <x:c r="J645" s="31" t="n">
        <x:v>2</x:v>
      </x:c>
      <x:c r="K645" s="31" t="n">
        <x:v>16.4</x:v>
      </x:c>
      <x:c r="L645" s="31" t="n">
        <x:v>20.8</x:v>
      </x:c>
      <x:c r="M645" s="31" t="n">
        <x:v>30</x:v>
      </x:c>
      <x:c r="N645" s="31" t="inlineStr">
        <x:is>
          <x:t xml:space="preserve">Ожидание материала</x:t>
        </x:is>
      </x:c>
      <x:c r="O645" s="31" t="inlineStr">
        <x:is>
          <x:t xml:space="preserve">Подтверждено мастером</x:t>
        </x:is>
      </x:c>
      <x:c r="P645" s="31" t="inlineStr">
        <x:is>
          <x:t xml:space="preserve">Комментарий смены 686</x:t>
        </x:is>
      </x:c>
    </x:row>
    <x:row r="646">
      <x:c r="A646" s="31" t="inlineStr">
        <x:is>
          <x:t xml:space="preserve">СМ-00687</x:t>
        </x:is>
      </x:c>
      <x:c r="B646" s="31" t="n">
        <x:v>46104</x:v>
      </x:c>
      <x:c r="C646" s="31" t="inlineStr">
        <x:is>
          <x:t xml:space="preserve">День</x:t>
        </x:is>
      </x:c>
      <x:c r="D646" s="31" t="inlineStr">
        <x:is>
          <x:t xml:space="preserve">ПЗ-00234</x:t>
        </x:is>
      </x:c>
      <x:c r="E646" s="31" t="inlineStr">
        <x:is>
          <x:t xml:space="preserve">ОП-001964</x:t>
        </x:is>
      </x:c>
      <x:c r="F646" s="31" t="inlineStr">
        <x:is>
          <x:t xml:space="preserve">ОБ-024</x:t>
        </x:is>
      </x:c>
      <x:c r="G646" s="31" t="inlineStr">
        <x:is>
          <x:t xml:space="preserve">СОТР-093</x:t>
        </x:is>
      </x:c>
      <x:c r="H646" s="31" t="inlineStr">
        <x:is>
          <x:t xml:space="preserve">ОТК</x:t>
        </x:is>
      </x:c>
      <x:c r="I646" s="31" t="n">
        <x:v>5</x:v>
      </x:c>
      <x:c r="J646" s="31" t="n">
        <x:v>5</x:v>
      </x:c>
      <x:c r="K646" s="31" t="n">
        <x:v>6</x:v>
      </x:c>
      <x:c r="L646" s="31" t="n">
        <x:v>6.5</x:v>
      </x:c>
      <x:c r="M646" s="31" t="n">
        <x:v>45</x:v>
      </x:c>
      <x:c r="N646" s="31" t="inlineStr">
        <x:is>
          <x:t xml:space="preserve">Переналадка</x:t>
        </x:is>
      </x:c>
      <x:c r="O646" s="31" t="inlineStr">
        <x:is>
          <x:t xml:space="preserve">Подтверждено мастером</x:t>
        </x:is>
      </x:c>
      <x:c r="P646" s="31" t="inlineStr">
        <x:is>
          <x:t xml:space="preserve">Комментарий смены 687</x:t>
        </x:is>
      </x:c>
    </x:row>
    <x:row r="647">
      <x:c r="A647" s="31" t="inlineStr">
        <x:is>
          <x:t xml:space="preserve">СМ-00688</x:t>
        </x:is>
      </x:c>
      <x:c r="B647" s="31" t="n">
        <x:v>46185</x:v>
      </x:c>
      <x:c r="C647" s="31" t="inlineStr">
        <x:is>
          <x:t xml:space="preserve">Ночь</x:t>
        </x:is>
      </x:c>
      <x:c r="D647" s="31" t="inlineStr">
        <x:is>
          <x:t xml:space="preserve">ПЗ-00227</x:t>
        </x:is>
      </x:c>
      <x:c r="E647" s="31" t="inlineStr">
        <x:is>
          <x:t xml:space="preserve">ОП-001902</x:t>
        </x:is>
      </x:c>
      <x:c r="F647" s="31" t="inlineStr">
        <x:is>
          <x:t xml:space="preserve">ОБ-003</x:t>
        </x:is>
      </x:c>
      <x:c r="G647" s="31" t="inlineStr">
        <x:is>
          <x:t xml:space="preserve">СОТР-072</x:t>
        </x:is>
      </x:c>
      <x:c r="H647" s="31" t="inlineStr">
        <x:is>
          <x:t xml:space="preserve">Сварка</x:t>
        </x:is>
      </x:c>
      <x:c r="I647" s="31" t="n">
        <x:v>1</x:v>
      </x:c>
      <x:c r="J647" s="31" t="n">
        <x:v>0</x:v>
      </x:c>
      <x:c r="K647" s="31" t="n">
        <x:v>16.8</x:v>
      </x:c>
      <x:c r="L647" s="31" t="n">
        <x:v>17.7</x:v>
      </x:c>
      <x:c r="M647" s="31" t="n">
        <x:v>90</x:v>
      </x:c>
      <x:c r="N647" s="31" t="inlineStr">
        <x:is>
          <x:t xml:space="preserve">Ожидание материала</x:t>
        </x:is>
      </x:c>
      <x:c r="O647" s="31" t="inlineStr">
        <x:is>
          <x:t xml:space="preserve">Спорный факт</x:t>
        </x:is>
      </x:c>
      <x:c r="P647" s="31" t="inlineStr">
        <x:is>
          <x:t xml:space="preserve">Комментарий смены 688</x:t>
        </x:is>
      </x:c>
    </x:row>
    <x:row r="648">
      <x:c r="A648" s="31" t="inlineStr">
        <x:is>
          <x:t xml:space="preserve">СМ-00690</x:t>
        </x:is>
      </x:c>
      <x:c r="B648" s="31" t="n">
        <x:v>46200</x:v>
      </x:c>
      <x:c r="C648" s="31" t="inlineStr">
        <x:is>
          <x:t xml:space="preserve">День</x:t>
        </x:is>
      </x:c>
      <x:c r="D648" s="31" t="inlineStr">
        <x:is>
          <x:t xml:space="preserve">ПЗ-00223</x:t>
        </x:is>
      </x:c>
      <x:c r="E648" s="31" t="inlineStr">
        <x:is>
          <x:t xml:space="preserve">ОП-001872</x:t>
        </x:is>
      </x:c>
      <x:c r="F648" s="31" t="inlineStr">
        <x:is>
          <x:t xml:space="preserve">ОБ-034</x:t>
        </x:is>
      </x:c>
      <x:c r="G648" s="31" t="inlineStr">
        <x:is>
          <x:t xml:space="preserve">СОТР-032</x:t>
        </x:is>
      </x:c>
      <x:c r="H648" s="31" t="inlineStr">
        <x:is>
          <x:t xml:space="preserve">Сборка</x:t>
        </x:is>
      </x:c>
      <x:c r="I648" s="31" t="n">
        <x:v>1</x:v>
      </x:c>
      <x:c r="J648" s="31" t="n">
        <x:v>1</x:v>
      </x:c>
      <x:c r="K648" s="31" t="n">
        <x:v>19.4</x:v>
      </x:c>
      <x:c r="L648" s="31" t="n">
        <x:v>20.1</x:v>
      </x:c>
      <x:c r="M648" s="31" t="n">
        <x:v>0</x:v>
      </x:c>
      <x:c r="N648" s="31" t="inlineStr">
        <x:is>
          <x:t xml:space="preserve">Нет</x:t>
        </x:is>
      </x:c>
      <x:c r="O648" s="31" t="inlineStr">
        <x:is>
          <x:t xml:space="preserve">Подтверждено мастером</x:t>
        </x:is>
      </x:c>
      <x:c r="P648" s="31" t="inlineStr">
        <x:is>
          <x:t xml:space="preserve">Комментарий смены 690</x:t>
        </x:is>
      </x:c>
    </x:row>
    <x:row r="649">
      <x:c r="A649" s="31" t="inlineStr">
        <x:is>
          <x:t xml:space="preserve">СМ-00693</x:t>
        </x:is>
      </x:c>
      <x:c r="B649" s="31" t="n">
        <x:v>46067</x:v>
      </x:c>
      <x:c r="C649" s="31" t="inlineStr">
        <x:is>
          <x:t xml:space="preserve">Ночь</x:t>
        </x:is>
      </x:c>
      <x:c r="D649" s="31" t="inlineStr">
        <x:is>
          <x:t xml:space="preserve">ПЗ-00218</x:t>
        </x:is>
      </x:c>
      <x:c r="E649" s="31" t="inlineStr">
        <x:is>
          <x:t xml:space="preserve">ОП-001834</x:t>
        </x:is>
      </x:c>
      <x:c r="F649" s="31" t="inlineStr">
        <x:is>
          <x:t xml:space="preserve">ОБ-013</x:t>
        </x:is>
      </x:c>
      <x:c r="G649" s="31" t="inlineStr">
        <x:is>
          <x:t xml:space="preserve">СОТР-093</x:t>
        </x:is>
      </x:c>
      <x:c r="H649" s="31" t="inlineStr">
        <x:is>
          <x:t xml:space="preserve">ОТК</x:t>
        </x:is>
      </x:c>
      <x:c r="I649" s="31" t="n">
        <x:v>1</x:v>
      </x:c>
      <x:c r="J649" s="31" t="n">
        <x:v>1</x:v>
      </x:c>
      <x:c r="K649" s="31" t="n">
        <x:v>25.2</x:v>
      </x:c>
      <x:c r="L649" s="31" t="n">
        <x:v>21.6</x:v>
      </x:c>
      <x:c r="M649" s="31" t="n">
        <x:v>0</x:v>
      </x:c>
      <x:c r="N649" s="31" t="inlineStr">
        <x:is>
          <x:t xml:space="preserve">Нет</x:t>
        </x:is>
      </x:c>
      <x:c r="O649" s="31" t="inlineStr">
        <x:is>
          <x:t xml:space="preserve">Черновик</x:t>
        </x:is>
      </x:c>
      <x:c r="P649" s="31" t="inlineStr">
        <x:is>
          <x:t xml:space="preserve">Комментарий смены 693</x:t>
        </x:is>
      </x:c>
    </x:row>
    <x:row r="650">
      <x:c r="A650" s="31" t="inlineStr">
        <x:is>
          <x:t xml:space="preserve">СМ-00694</x:t>
        </x:is>
      </x:c>
      <x:c r="B650" s="31" t="n">
        <x:v>46220</x:v>
      </x:c>
      <x:c r="C650" s="31" t="inlineStr">
        <x:is>
          <x:t xml:space="preserve">Вечер</x:t>
        </x:is>
      </x:c>
      <x:c r="D650" s="31" t="inlineStr">
        <x:is>
          <x:t xml:space="preserve">ПЗ-00222</x:t>
        </x:is>
      </x:c>
      <x:c r="E650" s="31" t="inlineStr">
        <x:is>
          <x:t xml:space="preserve">ОП-001865</x:t>
        </x:is>
      </x:c>
      <x:c r="F650" s="31" t="inlineStr">
        <x:is>
          <x:t xml:space="preserve">ОБ-015</x:t>
        </x:is>
      </x:c>
      <x:c r="G650" s="31" t="inlineStr">
        <x:is>
          <x:t xml:space="preserve">СОТР-097</x:t>
        </x:is>
      </x:c>
      <x:c r="H650" s="31" t="inlineStr">
        <x:is>
          <x:t xml:space="preserve">ОТК</x:t>
        </x:is>
      </x:c>
      <x:c r="I650" s="31" t="n">
        <x:v>4</x:v>
      </x:c>
      <x:c r="J650" s="31" t="n">
        <x:v>4</x:v>
      </x:c>
      <x:c r="K650" s="31" t="n">
        <x:v>46.4</x:v>
      </x:c>
      <x:c r="L650" s="31" t="n">
        <x:v>54.6</x:v>
      </x:c>
      <x:c r="M650" s="31" t="n">
        <x:v>0</x:v>
      </x:c>
      <x:c r="N650" s="31" t="inlineStr">
        <x:is>
          <x:t xml:space="preserve">Нет</x:t>
        </x:is>
      </x:c>
      <x:c r="O650" s="31" t="inlineStr">
        <x:is>
          <x:t xml:space="preserve">Подтверждено мастером</x:t>
        </x:is>
      </x:c>
      <x:c r="P650" s="31" t="inlineStr">
        <x:is>
          <x:t xml:space="preserve">Комментарий смены 694</x:t>
        </x:is>
      </x:c>
    </x:row>
    <x:row r="651">
      <x:c r="A651" s="31" t="inlineStr">
        <x:is>
          <x:t xml:space="preserve">СМ-00696</x:t>
        </x:is>
      </x:c>
      <x:c r="B651" s="31" t="n">
        <x:v>46167</x:v>
      </x:c>
      <x:c r="C651" s="31" t="inlineStr">
        <x:is>
          <x:t xml:space="preserve">День</x:t>
        </x:is>
      </x:c>
      <x:c r="D651" s="31" t="inlineStr">
        <x:is>
          <x:t xml:space="preserve">ПЗ-00141</x:t>
        </x:is>
      </x:c>
      <x:c r="E651" s="31" t="inlineStr">
        <x:is>
          <x:t xml:space="preserve">ОП-001181</x:t>
        </x:is>
      </x:c>
      <x:c r="F651" s="31" t="inlineStr">
        <x:is>
          <x:t xml:space="preserve">ОБ-028</x:t>
        </x:is>
      </x:c>
      <x:c r="G651" s="31" t="inlineStr">
        <x:is>
          <x:t xml:space="preserve">СОТР-099</x:t>
        </x:is>
      </x:c>
      <x:c r="H651" s="31" t="inlineStr">
        <x:is>
          <x:t xml:space="preserve">ОТК</x:t>
        </x:is>
      </x:c>
      <x:c r="I651" s="31" t="n">
        <x:v>2</x:v>
      </x:c>
      <x:c r="J651" s="31" t="n">
        <x:v>0</x:v>
      </x:c>
      <x:c r="K651" s="31" t="n">
        <x:v>8.800000000000001</x:v>
      </x:c>
      <x:c r="L651" s="31" t="n">
        <x:v>4.8</x:v>
      </x:c>
      <x:c r="M651" s="31" t="n">
        <x:v>60</x:v>
      </x:c>
      <x:c r="N651" s="31" t="inlineStr">
        <x:is>
          <x:t xml:space="preserve">Ожидание ОТК</x:t>
        </x:is>
      </x:c>
      <x:c r="O651" s="31" t="inlineStr">
        <x:is>
          <x:t xml:space="preserve">Подтверждено мастером</x:t>
        </x:is>
      </x:c>
      <x:c r="P651" s="31" t="inlineStr">
        <x:is>
          <x:t xml:space="preserve">Комментарий смены 696</x:t>
        </x:is>
      </x:c>
    </x:row>
    <x:row r="652">
      <x:c r="A652" s="31" t="inlineStr">
        <x:is>
          <x:t xml:space="preserve">СМ-00697</x:t>
        </x:is>
      </x:c>
      <x:c r="B652" s="31" t="n">
        <x:v>46187</x:v>
      </x:c>
      <x:c r="C652" s="31" t="inlineStr">
        <x:is>
          <x:t xml:space="preserve">День</x:t>
        </x:is>
      </x:c>
      <x:c r="D652" s="31" t="inlineStr">
        <x:is>
          <x:t xml:space="preserve">ПЗ-00050</x:t>
        </x:is>
      </x:c>
      <x:c r="E652" s="31" t="inlineStr">
        <x:is>
          <x:t xml:space="preserve">ОП-000412</x:t>
        </x:is>
      </x:c>
      <x:c r="F652" s="31" t="n"/>
      <x:c r="G652" s="31" t="inlineStr">
        <x:is>
          <x:t xml:space="preserve">СОТР-015</x:t>
        </x:is>
      </x:c>
      <x:c r="H652" s="31" t="inlineStr">
        <x:is>
          <x:t xml:space="preserve">Инженерный отдел</x:t>
        </x:is>
      </x:c>
      <x:c r="I652" s="31" t="n">
        <x:v>4</x:v>
      </x:c>
      <x:c r="J652" s="31" t="n">
        <x:v>5</x:v>
      </x:c>
      <x:c r="K652" s="31" t="n">
        <x:v>35.5</x:v>
      </x:c>
      <x:c r="L652" s="31" t="n">
        <x:v>36.2</x:v>
      </x:c>
      <x:c r="M652" s="31" t="n">
        <x:v>0</x:v>
      </x:c>
      <x:c r="N652" s="31" t="inlineStr">
        <x:is>
          <x:t xml:space="preserve">Нет</x:t>
        </x:is>
      </x:c>
      <x:c r="O652" s="31" t="inlineStr">
        <x:is>
          <x:t xml:space="preserve">Спорный факт</x:t>
        </x:is>
      </x:c>
      <x:c r="P652" s="31" t="inlineStr">
        <x:is>
          <x:t xml:space="preserve">Комментарий смены 697</x:t>
        </x:is>
      </x:c>
    </x:row>
    <x:row r="653">
      <x:c r="A653" s="31" t="inlineStr">
        <x:is>
          <x:t xml:space="preserve">СМ-00698</x:t>
        </x:is>
      </x:c>
      <x:c r="B653" s="31" t="n">
        <x:v>46223</x:v>
      </x:c>
      <x:c r="C653" s="31" t="inlineStr">
        <x:is>
          <x:t xml:space="preserve">День</x:t>
        </x:is>
      </x:c>
      <x:c r="D653" s="31" t="inlineStr">
        <x:is>
          <x:t xml:space="preserve">ПЗ-00222</x:t>
        </x:is>
      </x:c>
      <x:c r="E653" s="31" t="inlineStr">
        <x:is>
          <x:t xml:space="preserve">ОП-001866</x:t>
        </x:is>
      </x:c>
      <x:c r="F653" s="31" t="inlineStr">
        <x:is>
          <x:t xml:space="preserve">ОБ-015</x:t>
        </x:is>
      </x:c>
      <x:c r="G653" s="31" t="inlineStr">
        <x:is>
          <x:t xml:space="preserve">СОТР-098</x:t>
        </x:is>
      </x:c>
      <x:c r="H653" s="31" t="inlineStr">
        <x:is>
          <x:t xml:space="preserve">ОТК</x:t>
        </x:is>
      </x:c>
      <x:c r="I653" s="31" t="n">
        <x:v>3</x:v>
      </x:c>
      <x:c r="J653" s="31" t="n">
        <x:v>3</x:v>
      </x:c>
      <x:c r="K653" s="31" t="n">
        <x:v>43.2</x:v>
      </x:c>
      <x:c r="L653" s="31" t="n">
        <x:v>50.4</x:v>
      </x:c>
      <x:c r="M653" s="31" t="n">
        <x:v>120</x:v>
      </x:c>
      <x:c r="N653" s="31" t="inlineStr">
        <x:is>
          <x:t xml:space="preserve">Нет оператора</x:t>
        </x:is>
      </x:c>
      <x:c r="O653" s="31" t="inlineStr">
        <x:is>
          <x:t xml:space="preserve">Подтверждено мастером</x:t>
        </x:is>
      </x:c>
      <x:c r="P653" s="31" t="inlineStr">
        <x:is>
          <x:t xml:space="preserve">Комментарий смены 698</x:t>
        </x:is>
      </x:c>
    </x:row>
    <x:row r="654">
      <x:c r="A654" s="31" t="inlineStr">
        <x:is>
          <x:t xml:space="preserve">СМ-00700</x:t>
        </x:is>
      </x:c>
      <x:c r="B654" s="31" t="n">
        <x:v>46199</x:v>
      </x:c>
      <x:c r="C654" s="31" t="inlineStr">
        <x:is>
          <x:t xml:space="preserve">День</x:t>
        </x:is>
      </x:c>
      <x:c r="D654" s="31" t="inlineStr">
        <x:is>
          <x:t xml:space="preserve">ПЗ-00150</x:t>
        </x:is>
      </x:c>
      <x:c r="E654" s="31" t="inlineStr">
        <x:is>
          <x:t xml:space="preserve">ОП-001248</x:t>
        </x:is>
      </x:c>
      <x:c r="F654" s="31" t="n"/>
      <x:c r="G654" s="31" t="inlineStr">
        <x:is>
          <x:t xml:space="preserve">СОТР-070</x:t>
        </x:is>
      </x:c>
      <x:c r="H654" s="31" t="inlineStr">
        <x:is>
          <x:t xml:space="preserve">Логистика</x:t>
        </x:is>
      </x:c>
      <x:c r="I654" s="31" t="n">
        <x:v>11</x:v>
      </x:c>
      <x:c r="J654" s="31" t="n">
        <x:v>12</x:v>
      </x:c>
      <x:c r="K654" s="31" t="n">
        <x:v>152</x:v>
      </x:c>
      <x:c r="L654" s="31" t="n">
        <x:v>148.8</x:v>
      </x:c>
      <x:c r="M654" s="31" t="n">
        <x:v>30</x:v>
      </x:c>
      <x:c r="N654" s="31" t="inlineStr">
        <x:is>
          <x:t xml:space="preserve">Ожидание материала</x:t>
        </x:is>
      </x:c>
      <x:c r="O654" s="31" t="inlineStr">
        <x:is>
          <x:t xml:space="preserve">Подтверждено мастером</x:t>
        </x:is>
      </x:c>
      <x:c r="P654" s="31" t="inlineStr">
        <x:is>
          <x:t xml:space="preserve">Комментарий смены 700</x:t>
        </x:is>
      </x:c>
    </x:row>
    <x:row r="655">
      <x:c r="A655" s="31" t="inlineStr">
        <x:is>
          <x:t xml:space="preserve">СМ-00701</x:t>
        </x:is>
      </x:c>
      <x:c r="B655" s="31" t="n">
        <x:v>46043</x:v>
      </x:c>
      <x:c r="C655" s="31" t="inlineStr">
        <x:is>
          <x:t xml:space="preserve">День</x:t>
        </x:is>
      </x:c>
      <x:c r="D655" s="31" t="inlineStr">
        <x:is>
          <x:t xml:space="preserve">ПЗ-00095</x:t>
        </x:is>
      </x:c>
      <x:c r="E655" s="31" t="inlineStr">
        <x:is>
          <x:t xml:space="preserve">ОП-000800</x:t>
        </x:is>
      </x:c>
      <x:c r="F655" s="31" t="inlineStr">
        <x:is>
          <x:t xml:space="preserve">ОБ-030</x:t>
        </x:is>
      </x:c>
      <x:c r="G655" s="31" t="inlineStr">
        <x:is>
          <x:t xml:space="preserve">СОТР-055</x:t>
        </x:is>
      </x:c>
      <x:c r="H655" s="31" t="inlineStr">
        <x:is>
          <x:t xml:space="preserve">Механообработка</x:t>
        </x:is>
      </x:c>
      <x:c r="I655" s="31" t="n">
        <x:v>1</x:v>
      </x:c>
      <x:c r="J655" s="31" t="n">
        <x:v>0</x:v>
      </x:c>
      <x:c r="K655" s="31" t="n">
        <x:v>3.2</x:v>
      </x:c>
      <x:c r="L655" s="31" t="n">
        <x:v>3.2</x:v>
      </x:c>
      <x:c r="M655" s="31" t="n">
        <x:v>0</x:v>
      </x:c>
      <x:c r="N655" s="31" t="inlineStr">
        <x:is>
          <x:t xml:space="preserve">Нет</x:t>
        </x:is>
      </x:c>
      <x:c r="O655" s="31" t="inlineStr">
        <x:is>
          <x:t xml:space="preserve">Подтверждено мастером</x:t>
        </x:is>
      </x:c>
      <x:c r="P655" s="31" t="inlineStr">
        <x:is>
          <x:t xml:space="preserve">Комментарий смены 701</x:t>
        </x:is>
      </x:c>
    </x:row>
    <x:row r="656">
      <x:c r="A656" s="31" t="inlineStr">
        <x:is>
          <x:t xml:space="preserve">СМ-00702</x:t>
        </x:is>
      </x:c>
      <x:c r="B656" s="31" t="n">
        <x:v>46119</x:v>
      </x:c>
      <x:c r="C656" s="31" t="inlineStr">
        <x:is>
          <x:t xml:space="preserve">Вечер</x:t>
        </x:is>
      </x:c>
      <x:c r="D656" s="31" t="inlineStr">
        <x:is>
          <x:t xml:space="preserve">ПЗ-00108</x:t>
        </x:is>
      </x:c>
      <x:c r="E656" s="31" t="inlineStr">
        <x:is>
          <x:t xml:space="preserve">ОП-000902</x:t>
        </x:is>
      </x:c>
      <x:c r="F656" s="31" t="inlineStr">
        <x:is>
          <x:t xml:space="preserve">ОБ-021</x:t>
        </x:is>
      </x:c>
      <x:c r="G656" s="31" t="inlineStr">
        <x:is>
          <x:t xml:space="preserve">СОТР-061</x:t>
        </x:is>
      </x:c>
      <x:c r="H656" s="31" t="inlineStr">
        <x:is>
          <x:t xml:space="preserve">Сварка</x:t>
        </x:is>
      </x:c>
      <x:c r="I656" s="31" t="n">
        <x:v>3</x:v>
      </x:c>
      <x:c r="J656" s="31" t="n">
        <x:v>4</x:v>
      </x:c>
      <x:c r="K656" s="31" t="n">
        <x:v>8.699999999999999</x:v>
      </x:c>
      <x:c r="L656" s="31" t="n">
        <x:v>10.5</x:v>
      </x:c>
      <x:c r="M656" s="31" t="n">
        <x:v>60</x:v>
      </x:c>
      <x:c r="N656" s="31" t="inlineStr">
        <x:is>
          <x:t xml:space="preserve">Ожидание ОТК</x:t>
        </x:is>
      </x:c>
      <x:c r="O656" s="31" t="inlineStr">
        <x:is>
          <x:t xml:space="preserve">Подтверждено мастером</x:t>
        </x:is>
      </x:c>
      <x:c r="P656" s="31" t="inlineStr">
        <x:is>
          <x:t xml:space="preserve">Комментарий смены 702</x:t>
        </x:is>
      </x:c>
    </x:row>
    <x:row r="657">
      <x:c r="A657" s="31" t="inlineStr">
        <x:is>
          <x:t xml:space="preserve">СМ-00703</x:t>
        </x:is>
      </x:c>
      <x:c r="B657" s="31" t="n">
        <x:v>46087</x:v>
      </x:c>
      <x:c r="C657" s="31" t="inlineStr">
        <x:is>
          <x:t xml:space="preserve">Ночь</x:t>
        </x:is>
      </x:c>
      <x:c r="D657" s="31" t="inlineStr">
        <x:is>
          <x:t xml:space="preserve">ПЗ-00234</x:t>
        </x:is>
      </x:c>
      <x:c r="E657" s="31" t="inlineStr">
        <x:is>
          <x:t xml:space="preserve">ОП-001957</x:t>
        </x:is>
      </x:c>
      <x:c r="F657" s="31" t="n"/>
      <x:c r="G657" s="31" t="inlineStr">
        <x:is>
          <x:t xml:space="preserve">СОТР-021</x:t>
        </x:is>
      </x:c>
      <x:c r="H657" s="31" t="inlineStr">
        <x:is>
          <x:t xml:space="preserve">Инженерный отдел</x:t>
        </x:is>
      </x:c>
      <x:c r="I657" s="31" t="n">
        <x:v>3</x:v>
      </x:c>
      <x:c r="J657" s="31" t="n">
        <x:v>2</x:v>
      </x:c>
      <x:c r="K657" s="31" t="n">
        <x:v>15.5</x:v>
      </x:c>
      <x:c r="L657" s="31" t="n">
        <x:v>13.7</x:v>
      </x:c>
      <x:c r="M657" s="31" t="n">
        <x:v>0</x:v>
      </x:c>
      <x:c r="N657" s="31" t="inlineStr">
        <x:is>
          <x:t xml:space="preserve">Нет</x:t>
        </x:is>
      </x:c>
      <x:c r="O657" s="31" t="inlineStr">
        <x:is>
          <x:t xml:space="preserve">Подтверждено мастером</x:t>
        </x:is>
      </x:c>
      <x:c r="P657" s="31" t="inlineStr">
        <x:is>
          <x:t xml:space="preserve">Комментарий смены 703</x:t>
        </x:is>
      </x:c>
    </x:row>
    <x:row r="658">
      <x:c r="A658" s="31" t="inlineStr">
        <x:is>
          <x:t xml:space="preserve">СМ-00704</x:t>
        </x:is>
      </x:c>
      <x:c r="B658" s="31" t="n">
        <x:v>46102</x:v>
      </x:c>
      <x:c r="C658" s="31" t="inlineStr">
        <x:is>
          <x:t xml:space="preserve">День</x:t>
        </x:is>
      </x:c>
      <x:c r="D658" s="31" t="inlineStr">
        <x:is>
          <x:t xml:space="preserve">ПЗ-00105</x:t>
        </x:is>
      </x:c>
      <x:c r="E658" s="31" t="inlineStr">
        <x:is>
          <x:t xml:space="preserve">ОП-000882</x:t>
        </x:is>
      </x:c>
      <x:c r="F658" s="31" t="inlineStr">
        <x:is>
          <x:t xml:space="preserve">ОБ-024</x:t>
        </x:is>
      </x:c>
      <x:c r="G658" s="31" t="inlineStr">
        <x:is>
          <x:t xml:space="preserve">СОТР-098</x:t>
        </x:is>
      </x:c>
      <x:c r="H658" s="31" t="inlineStr">
        <x:is>
          <x:t xml:space="preserve">ОТК</x:t>
        </x:is>
      </x:c>
      <x:c r="I658" s="31" t="n">
        <x:v>1</x:v>
      </x:c>
      <x:c r="J658" s="31" t="n">
        <x:v>2</x:v>
      </x:c>
      <x:c r="K658" s="31" t="n">
        <x:v>3.3</x:v>
      </x:c>
      <x:c r="L658" s="31" t="n">
        <x:v>3</x:v>
      </x:c>
      <x:c r="M658" s="31" t="n">
        <x:v>45</x:v>
      </x:c>
      <x:c r="N658" s="31" t="inlineStr">
        <x:is>
          <x:t xml:space="preserve">Ремонт оборудования</x:t>
        </x:is>
      </x:c>
      <x:c r="O658" s="31" t="inlineStr">
        <x:is>
          <x:t xml:space="preserve">Подтверждено мастером</x:t>
        </x:is>
      </x:c>
      <x:c r="P658" s="31" t="inlineStr">
        <x:is>
          <x:t xml:space="preserve">Комментарий смены 704</x:t>
        </x:is>
      </x:c>
    </x:row>
    <x:row r="659">
      <x:c r="A659" s="31" t="inlineStr">
        <x:is>
          <x:t xml:space="preserve">СМ-00705</x:t>
        </x:is>
      </x:c>
      <x:c r="B659" s="31" t="n">
        <x:v>46169</x:v>
      </x:c>
      <x:c r="C659" s="31" t="inlineStr">
        <x:is>
          <x:t xml:space="preserve">День</x:t>
        </x:is>
      </x:c>
      <x:c r="D659" s="31" t="inlineStr">
        <x:is>
          <x:t xml:space="preserve">ПЗ-00002</x:t>
        </x:is>
      </x:c>
      <x:c r="E659" s="31" t="inlineStr">
        <x:is>
          <x:t xml:space="preserve">ОП-000013</x:t>
        </x:is>
      </x:c>
      <x:c r="F659" s="31" t="inlineStr">
        <x:is>
          <x:t xml:space="preserve">ОБ-034</x:t>
        </x:is>
      </x:c>
      <x:c r="G659" s="31" t="inlineStr">
        <x:is>
          <x:t xml:space="preserve">СОТР-074</x:t>
        </x:is>
      </x:c>
      <x:c r="H659" s="31" t="inlineStr">
        <x:is>
          <x:t xml:space="preserve">Сборка</x:t>
        </x:is>
      </x:c>
      <x:c r="I659" s="31" t="n">
        <x:v>1</x:v>
      </x:c>
      <x:c r="J659" s="31" t="n">
        <x:v>1</x:v>
      </x:c>
      <x:c r="K659" s="31" t="n">
        <x:v>5.4</x:v>
      </x:c>
      <x:c r="L659" s="31" t="n">
        <x:v>4.8</x:v>
      </x:c>
      <x:c r="M659" s="31" t="n">
        <x:v>60</x:v>
      </x:c>
      <x:c r="N659" s="31" t="inlineStr">
        <x:is>
          <x:t xml:space="preserve">Ожидание материала</x:t>
        </x:is>
      </x:c>
      <x:c r="O659" s="31" t="inlineStr">
        <x:is>
          <x:t xml:space="preserve">Подтверждено мастером</x:t>
        </x:is>
      </x:c>
      <x:c r="P659" s="31" t="inlineStr">
        <x:is>
          <x:t xml:space="preserve">Комментарий смены 705</x:t>
        </x:is>
      </x:c>
    </x:row>
    <x:row r="660">
      <x:c r="A660" s="31" t="inlineStr">
        <x:is>
          <x:t xml:space="preserve">СМ-00706</x:t>
        </x:is>
      </x:c>
      <x:c r="B660" s="31" t="n">
        <x:v>46141</x:v>
      </x:c>
      <x:c r="C660" s="31" t="inlineStr">
        <x:is>
          <x:t xml:space="preserve">День</x:t>
        </x:is>
      </x:c>
      <x:c r="D660" s="31" t="inlineStr">
        <x:is>
          <x:t xml:space="preserve">ПЗ-00088</x:t>
        </x:is>
      </x:c>
      <x:c r="E660" s="31" t="inlineStr">
        <x:is>
          <x:t xml:space="preserve">ОП-000749</x:t>
        </x:is>
      </x:c>
      <x:c r="F660" s="31" t="inlineStr">
        <x:is>
          <x:t xml:space="preserve">ОБ-022</x:t>
        </x:is>
      </x:c>
      <x:c r="G660" s="31" t="inlineStr">
        <x:is>
          <x:t xml:space="preserve">СОТР-095</x:t>
        </x:is>
      </x:c>
      <x:c r="H660" s="31" t="inlineStr">
        <x:is>
          <x:t xml:space="preserve">ОТК</x:t>
        </x:is>
      </x:c>
      <x:c r="I660" s="31" t="n">
        <x:v>1</x:v>
      </x:c>
      <x:c r="J660" s="31" t="n">
        <x:v>0</x:v>
      </x:c>
      <x:c r="K660" s="31" t="n">
        <x:v>6.8</x:v>
      </x:c>
      <x:c r="L660" s="31" t="n">
        <x:v>5.9</x:v>
      </x:c>
      <x:c r="M660" s="31" t="n">
        <x:v>30</x:v>
      </x:c>
      <x:c r="N660" s="31" t="inlineStr">
        <x:is>
          <x:t xml:space="preserve">Нет оператора</x:t>
        </x:is>
      </x:c>
      <x:c r="O660" s="31" t="inlineStr">
        <x:is>
          <x:t xml:space="preserve">Подтверждено мастером</x:t>
        </x:is>
      </x:c>
      <x:c r="P660" s="31" t="inlineStr">
        <x:is>
          <x:t xml:space="preserve">Комментарий смены 706</x:t>
        </x:is>
      </x:c>
    </x:row>
    <x:row r="661">
      <x:c r="A661" s="31" t="inlineStr">
        <x:is>
          <x:t xml:space="preserve">СМ-00707</x:t>
        </x:is>
      </x:c>
      <x:c r="B661" s="31" t="n">
        <x:v>46135</x:v>
      </x:c>
      <x:c r="C661" s="31" t="inlineStr">
        <x:is>
          <x:t xml:space="preserve">Ночь</x:t>
        </x:is>
      </x:c>
      <x:c r="D661" s="31" t="inlineStr">
        <x:is>
          <x:t xml:space="preserve">ПЗ-00088</x:t>
        </x:is>
      </x:c>
      <x:c r="E661" s="31" t="inlineStr">
        <x:is>
          <x:t xml:space="preserve">ОП-000746</x:t>
        </x:is>
      </x:c>
      <x:c r="F661" s="31" t="inlineStr">
        <x:is>
          <x:t xml:space="preserve">ОБ-003</x:t>
        </x:is>
      </x:c>
      <x:c r="G661" s="31" t="inlineStr">
        <x:is>
          <x:t xml:space="preserve">СОТР-061</x:t>
        </x:is>
      </x:c>
      <x:c r="H661" s="31" t="inlineStr">
        <x:is>
          <x:t xml:space="preserve">Сварка</x:t>
        </x:is>
      </x:c>
      <x:c r="I661" s="31" t="n">
        <x:v>2</x:v>
      </x:c>
      <x:c r="J661" s="31" t="n">
        <x:v>0</x:v>
      </x:c>
      <x:c r="K661" s="31" t="n">
        <x:v>19</x:v>
      </x:c>
      <x:c r="L661" s="31" t="n">
        <x:v>15.6</x:v>
      </x:c>
      <x:c r="M661" s="31" t="n">
        <x:v>0</x:v>
      </x:c>
      <x:c r="N661" s="31" t="inlineStr">
        <x:is>
          <x:t xml:space="preserve">Нет</x:t>
        </x:is>
      </x:c>
      <x:c r="O661" s="31" t="inlineStr">
        <x:is>
          <x:t xml:space="preserve">Подтверждено мастером</x:t>
        </x:is>
      </x:c>
      <x:c r="P661" s="31" t="inlineStr">
        <x:is>
          <x:t xml:space="preserve">Комментарий смены 707</x:t>
        </x:is>
      </x:c>
    </x:row>
    <x:row r="662">
      <x:c r="A662" s="31" t="inlineStr">
        <x:is>
          <x:t xml:space="preserve">СМ-00708</x:t>
        </x:is>
      </x:c>
      <x:c r="B662" s="31" t="n">
        <x:v>46131</x:v>
      </x:c>
      <x:c r="C662" s="31" t="inlineStr">
        <x:is>
          <x:t xml:space="preserve">Ночь</x:t>
        </x:is>
      </x:c>
      <x:c r="D662" s="31" t="inlineStr">
        <x:is>
          <x:t xml:space="preserve">ПЗ-00137</x:t>
        </x:is>
      </x:c>
      <x:c r="E662" s="31" t="inlineStr">
        <x:is>
          <x:t xml:space="preserve">ОП-001146</x:t>
        </x:is>
      </x:c>
      <x:c r="F662" s="31" t="inlineStr">
        <x:is>
          <x:t xml:space="preserve">ОБ-017</x:t>
        </x:is>
      </x:c>
      <x:c r="G662" s="31" t="inlineStr">
        <x:is>
          <x:t xml:space="preserve">СОТР-083</x:t>
        </x:is>
      </x:c>
      <x:c r="H662" s="31" t="inlineStr">
        <x:is>
          <x:t xml:space="preserve">Сборка</x:t>
        </x:is>
      </x:c>
      <x:c r="I662" s="31" t="n">
        <x:v>2</x:v>
      </x:c>
      <x:c r="J662" s="31" t="n">
        <x:v>2</x:v>
      </x:c>
      <x:c r="K662" s="31" t="n">
        <x:v>9.199999999999999</x:v>
      </x:c>
      <x:c r="L662" s="31" t="n">
        <x:v>10.5</x:v>
      </x:c>
      <x:c r="M662" s="31" t="n">
        <x:v>0</x:v>
      </x:c>
      <x:c r="N662" s="31" t="inlineStr">
        <x:is>
          <x:t xml:space="preserve">Нет</x:t>
        </x:is>
      </x:c>
      <x:c r="O662" s="31" t="inlineStr">
        <x:is>
          <x:t xml:space="preserve">Подтверждено мастером</x:t>
        </x:is>
      </x:c>
      <x:c r="P662" s="31" t="inlineStr">
        <x:is>
          <x:t xml:space="preserve">Комментарий смены 708</x:t>
        </x:is>
      </x:c>
    </x:row>
    <x:row r="663">
      <x:c r="A663" s="31" t="inlineStr">
        <x:is>
          <x:t xml:space="preserve">СМ-00709</x:t>
        </x:is>
      </x:c>
      <x:c r="B663" s="31" t="n">
        <x:v>46190</x:v>
      </x:c>
      <x:c r="C663" s="31" t="inlineStr">
        <x:is>
          <x:t xml:space="preserve">Ночь</x:t>
        </x:is>
      </x:c>
      <x:c r="D663" s="31" t="inlineStr">
        <x:is>
          <x:t xml:space="preserve">ПЗ-00159</x:t>
        </x:is>
      </x:c>
      <x:c r="E663" s="31" t="inlineStr">
        <x:is>
          <x:t xml:space="preserve">ОП-001313</x:t>
        </x:is>
      </x:c>
      <x:c r="F663" s="31" t="inlineStr">
        <x:is>
          <x:t xml:space="preserve">ОБ-009</x:t>
        </x:is>
      </x:c>
      <x:c r="G663" s="31" t="inlineStr">
        <x:is>
          <x:t xml:space="preserve">СОТР-033</x:t>
        </x:is>
      </x:c>
      <x:c r="H663" s="31" t="inlineStr">
        <x:is>
          <x:t xml:space="preserve">Склад</x:t>
        </x:is>
      </x:c>
      <x:c r="I663" s="31" t="n">
        <x:v>1</x:v>
      </x:c>
      <x:c r="J663" s="31" t="n">
        <x:v>1</x:v>
      </x:c>
      <x:c r="K663" s="31" t="n">
        <x:v>15</x:v>
      </x:c>
      <x:c r="L663" s="31" t="n">
        <x:v>19.3</x:v>
      </x:c>
      <x:c r="M663" s="31" t="n">
        <x:v>15</x:v>
      </x:c>
      <x:c r="N663" s="31" t="inlineStr">
        <x:is>
          <x:t xml:space="preserve">Ожидание материала</x:t>
        </x:is>
      </x:c>
      <x:c r="O663" s="31" t="inlineStr">
        <x:is>
          <x:t xml:space="preserve">Подтверждено мастером</x:t>
        </x:is>
      </x:c>
      <x:c r="P663" s="31" t="inlineStr">
        <x:is>
          <x:t xml:space="preserve">Комментарий смены 709</x:t>
        </x:is>
      </x:c>
    </x:row>
    <x:row r="664">
      <x:c r="A664" s="31" t="inlineStr">
        <x:is>
          <x:t xml:space="preserve">СМ-00710</x:t>
        </x:is>
      </x:c>
      <x:c r="B664" s="31" t="n">
        <x:v>46089</x:v>
      </x:c>
      <x:c r="C664" s="31" t="inlineStr">
        <x:is>
          <x:t xml:space="preserve">День</x:t>
        </x:is>
      </x:c>
      <x:c r="D664" s="31" t="inlineStr">
        <x:is>
          <x:t xml:space="preserve">ПЗ-00024</x:t>
        </x:is>
      </x:c>
      <x:c r="E664" s="31" t="inlineStr">
        <x:is>
          <x:t xml:space="preserve">ОП-000208</x:t>
        </x:is>
      </x:c>
      <x:c r="F664" s="31" t="inlineStr">
        <x:is>
          <x:t xml:space="preserve">ОБ-028</x:t>
        </x:is>
      </x:c>
      <x:c r="G664" s="31" t="inlineStr">
        <x:is>
          <x:t xml:space="preserve">СОТР-063</x:t>
        </x:is>
      </x:c>
      <x:c r="H664" s="31" t="inlineStr">
        <x:is>
          <x:t xml:space="preserve">ОТК</x:t>
        </x:is>
      </x:c>
      <x:c r="I664" s="31" t="n">
        <x:v>2</x:v>
      </x:c>
      <x:c r="J664" s="31" t="n">
        <x:v>1</x:v>
      </x:c>
      <x:c r="K664" s="31" t="n">
        <x:v>8.800000000000001</x:v>
      </x:c>
      <x:c r="L664" s="31" t="n">
        <x:v>9</x:v>
      </x:c>
      <x:c r="M664" s="31" t="n">
        <x:v>120</x:v>
      </x:c>
      <x:c r="N664" s="31" t="inlineStr">
        <x:is>
          <x:t xml:space="preserve">Переналадка</x:t>
        </x:is>
      </x:c>
      <x:c r="O664" s="31" t="inlineStr">
        <x:is>
          <x:t xml:space="preserve">Подтверждено мастером</x:t>
        </x:is>
      </x:c>
      <x:c r="P664" s="31" t="inlineStr">
        <x:is>
          <x:t xml:space="preserve">Комментарий смены 710</x:t>
        </x:is>
      </x:c>
    </x:row>
    <x:row r="665">
      <x:c r="A665" s="31" t="inlineStr">
        <x:is>
          <x:t xml:space="preserve">СМ-00711</x:t>
        </x:is>
      </x:c>
      <x:c r="B665" s="31" t="n">
        <x:v>46141</x:v>
      </x:c>
      <x:c r="C665" s="31" t="inlineStr">
        <x:is>
          <x:t xml:space="preserve">День</x:t>
        </x:is>
      </x:c>
      <x:c r="D665" s="31" t="inlineStr">
        <x:is>
          <x:t xml:space="preserve">ПЗ-00187</x:t>
        </x:is>
      </x:c>
      <x:c r="E665" s="31" t="inlineStr">
        <x:is>
          <x:t xml:space="preserve">ОП-001556</x:t>
        </x:is>
      </x:c>
      <x:c r="F665" s="31" t="inlineStr">
        <x:is>
          <x:t xml:space="preserve">ОБ-008</x:t>
        </x:is>
      </x:c>
      <x:c r="G665" s="31" t="inlineStr">
        <x:is>
          <x:t xml:space="preserve">СОТР-039</x:t>
        </x:is>
      </x:c>
      <x:c r="H665" s="31" t="inlineStr">
        <x:is>
          <x:t xml:space="preserve">Склад</x:t>
        </x:is>
      </x:c>
      <x:c r="I665" s="31" t="n">
        <x:v>1</x:v>
      </x:c>
      <x:c r="J665" s="31" t="n">
        <x:v>0</x:v>
      </x:c>
      <x:c r="K665" s="31" t="n">
        <x:v>5.8</x:v>
      </x:c>
      <x:c r="L665" s="31" t="n">
        <x:v>6.5</x:v>
      </x:c>
      <x:c r="M665" s="31" t="n">
        <x:v>0</x:v>
      </x:c>
      <x:c r="N665" s="31" t="inlineStr">
        <x:is>
          <x:t xml:space="preserve">Нет</x:t>
        </x:is>
      </x:c>
      <x:c r="O665" s="31" t="inlineStr">
        <x:is>
          <x:t xml:space="preserve">Подтверждено мастером</x:t>
        </x:is>
      </x:c>
      <x:c r="P665" s="31" t="inlineStr">
        <x:is>
          <x:t xml:space="preserve">Комментарий смены 711</x:t>
        </x:is>
      </x:c>
    </x:row>
    <x:row r="666">
      <x:c r="A666" s="31" t="inlineStr">
        <x:is>
          <x:t xml:space="preserve">СМ-00713</x:t>
        </x:is>
      </x:c>
      <x:c r="B666" s="31" t="n">
        <x:v>46133</x:v>
      </x:c>
      <x:c r="C666" s="31" t="inlineStr">
        <x:is>
          <x:t xml:space="preserve">День</x:t>
        </x:is>
      </x:c>
      <x:c r="D666" s="31" t="inlineStr">
        <x:is>
          <x:t xml:space="preserve">ПЗ-00077</x:t>
        </x:is>
      </x:c>
      <x:c r="E666" s="31" t="inlineStr">
        <x:is>
          <x:t xml:space="preserve">ОП-000655</x:t>
        </x:is>
      </x:c>
      <x:c r="F666" s="31" t="inlineStr">
        <x:is>
          <x:t xml:space="preserve">ОБ-002</x:t>
        </x:is>
      </x:c>
      <x:c r="G666" s="31" t="inlineStr">
        <x:is>
          <x:t xml:space="preserve">СОТР-087</x:t>
        </x:is>
      </x:c>
      <x:c r="H666" s="31" t="inlineStr">
        <x:is>
          <x:t xml:space="preserve">Сборка</x:t>
        </x:is>
      </x:c>
      <x:c r="I666" s="31" t="n">
        <x:v>1</x:v>
      </x:c>
      <x:c r="J666" s="31" t="n">
        <x:v>1</x:v>
      </x:c>
      <x:c r="K666" s="31" t="n">
        <x:v>33.4</x:v>
      </x:c>
      <x:c r="L666" s="31" t="n">
        <x:v>36.5</x:v>
      </x:c>
      <x:c r="M666" s="31" t="n">
        <x:v>45</x:v>
      </x:c>
      <x:c r="N666" s="31" t="inlineStr">
        <x:is>
          <x:t xml:space="preserve">Ремонт оборудования</x:t>
        </x:is>
      </x:c>
      <x:c r="O666" s="31" t="inlineStr">
        <x:is>
          <x:t xml:space="preserve">Подтверждено мастером</x:t>
        </x:is>
      </x:c>
      <x:c r="P666" s="31" t="inlineStr">
        <x:is>
          <x:t xml:space="preserve">Комментарий смены 713</x:t>
        </x:is>
      </x:c>
    </x:row>
    <x:row r="667">
      <x:c r="A667" s="31" t="inlineStr">
        <x:is>
          <x:t xml:space="preserve">СМ-00714</x:t>
        </x:is>
      </x:c>
      <x:c r="B667" s="31" t="n">
        <x:v>46047</x:v>
      </x:c>
      <x:c r="C667" s="31" t="inlineStr">
        <x:is>
          <x:t xml:space="preserve">День</x:t>
        </x:is>
      </x:c>
      <x:c r="D667" s="31" t="inlineStr">
        <x:is>
          <x:t xml:space="preserve">ПЗ-00113</x:t>
        </x:is>
      </x:c>
      <x:c r="E667" s="31" t="inlineStr">
        <x:is>
          <x:t xml:space="preserve">ОП-000948</x:t>
        </x:is>
      </x:c>
      <x:c r="F667" s="31" t="n"/>
      <x:c r="G667" s="31" t="inlineStr">
        <x:is>
          <x:t xml:space="preserve">СОТР-012</x:t>
        </x:is>
      </x:c>
      <x:c r="H667" s="31" t="inlineStr">
        <x:is>
          <x:t xml:space="preserve">Инженерный отдел</x:t>
        </x:is>
      </x:c>
      <x:c r="I667" s="31" t="n">
        <x:v>2</x:v>
      </x:c>
      <x:c r="J667" s="31" t="n">
        <x:v>2</x:v>
      </x:c>
      <x:c r="K667" s="31" t="n">
        <x:v>42</x:v>
      </x:c>
      <x:c r="L667" s="31" t="n">
        <x:v>44.9</x:v>
      </x:c>
      <x:c r="M667" s="31" t="n">
        <x:v>30</x:v>
      </x:c>
      <x:c r="N667" s="31" t="inlineStr">
        <x:is>
          <x:t xml:space="preserve">Переналадка</x:t>
        </x:is>
      </x:c>
      <x:c r="O667" s="31" t="inlineStr">
        <x:is>
          <x:t xml:space="preserve">Подтверждено мастером</x:t>
        </x:is>
      </x:c>
      <x:c r="P667" s="31" t="inlineStr">
        <x:is>
          <x:t xml:space="preserve">Комментарий смены 714</x:t>
        </x:is>
      </x:c>
    </x:row>
    <x:row r="668">
      <x:c r="A668" s="31" t="inlineStr">
        <x:is>
          <x:t xml:space="preserve">СМ-00716</x:t>
        </x:is>
      </x:c>
      <x:c r="B668" s="31" t="n">
        <x:v>46191</x:v>
      </x:c>
      <x:c r="C668" s="31" t="inlineStr">
        <x:is>
          <x:t xml:space="preserve">Ночь</x:t>
        </x:is>
      </x:c>
      <x:c r="D668" s="31" t="inlineStr">
        <x:is>
          <x:t xml:space="preserve">ПЗ-00211</x:t>
        </x:is>
      </x:c>
      <x:c r="E668" s="31" t="inlineStr">
        <x:is>
          <x:t xml:space="preserve">ОП-001767</x:t>
        </x:is>
      </x:c>
      <x:c r="F668" s="31" t="inlineStr">
        <x:is>
          <x:t xml:space="preserve">ОБ-021</x:t>
        </x:is>
      </x:c>
      <x:c r="G668" s="31" t="inlineStr">
        <x:is>
          <x:t xml:space="preserve">СОТР-065</x:t>
        </x:is>
      </x:c>
      <x:c r="H668" s="31" t="inlineStr">
        <x:is>
          <x:t xml:space="preserve">Сварка</x:t>
        </x:is>
      </x:c>
      <x:c r="I668" s="31" t="n">
        <x:v>1</x:v>
      </x:c>
      <x:c r="J668" s="31" t="n">
        <x:v>1</x:v>
      </x:c>
      <x:c r="K668" s="31" t="n">
        <x:v>4</x:v>
      </x:c>
      <x:c r="L668" s="31" t="n">
        <x:v>5.2</x:v>
      </x:c>
      <x:c r="M668" s="31" t="n">
        <x:v>60</x:v>
      </x:c>
      <x:c r="N668" s="31" t="inlineStr">
        <x:is>
          <x:t xml:space="preserve">Ремонт оборудования</x:t>
        </x:is>
      </x:c>
      <x:c r="O668" s="31" t="inlineStr">
        <x:is>
          <x:t xml:space="preserve">Подтверждено мастером</x:t>
        </x:is>
      </x:c>
      <x:c r="P668" s="31" t="inlineStr">
        <x:is>
          <x:t xml:space="preserve">Комментарий смены 716</x:t>
        </x:is>
      </x:c>
    </x:row>
    <x:row r="669">
      <x:c r="A669" s="31" t="inlineStr">
        <x:is>
          <x:t xml:space="preserve">СМ-00717</x:t>
        </x:is>
      </x:c>
      <x:c r="B669" s="31" t="n">
        <x:v>46160</x:v>
      </x:c>
      <x:c r="C669" s="31" t="inlineStr">
        <x:is>
          <x:t xml:space="preserve">День</x:t>
        </x:is>
      </x:c>
      <x:c r="D669" s="31" t="inlineStr">
        <x:is>
          <x:t xml:space="preserve">ПЗ-00028</x:t>
        </x:is>
      </x:c>
      <x:c r="E669" s="31" t="inlineStr">
        <x:is>
          <x:t xml:space="preserve">ОП-000243</x:t>
        </x:is>
      </x:c>
      <x:c r="F669" s="31" t="inlineStr">
        <x:is>
          <x:t xml:space="preserve">ОБ-028</x:t>
        </x:is>
      </x:c>
      <x:c r="G669" s="31" t="inlineStr">
        <x:is>
          <x:t xml:space="preserve">СОТР-098</x:t>
        </x:is>
      </x:c>
      <x:c r="H669" s="31" t="inlineStr">
        <x:is>
          <x:t xml:space="preserve">ОТК</x:t>
        </x:is>
      </x:c>
      <x:c r="I669" s="31" t="n">
        <x:v>5</x:v>
      </x:c>
      <x:c r="J669" s="31" t="n">
        <x:v>6</x:v>
      </x:c>
      <x:c r="K669" s="31" t="n">
        <x:v>38.5</x:v>
      </x:c>
      <x:c r="L669" s="31" t="n">
        <x:v>32.6</x:v>
      </x:c>
      <x:c r="M669" s="31" t="n">
        <x:v>0</x:v>
      </x:c>
      <x:c r="N669" s="31" t="inlineStr">
        <x:is>
          <x:t xml:space="preserve">Нет</x:t>
        </x:is>
      </x:c>
      <x:c r="O669" s="31" t="inlineStr">
        <x:is>
          <x:t xml:space="preserve">Подтверждено мастером</x:t>
        </x:is>
      </x:c>
      <x:c r="P669" s="31" t="inlineStr">
        <x:is>
          <x:t xml:space="preserve">Комментарий смены 717</x:t>
        </x:is>
      </x:c>
    </x:row>
    <x:row r="670">
      <x:c r="A670" s="31" t="inlineStr">
        <x:is>
          <x:t xml:space="preserve">СМ-00718</x:t>
        </x:is>
      </x:c>
      <x:c r="B670" s="31" t="n">
        <x:v>46093</x:v>
      </x:c>
      <x:c r="C670" s="31" t="inlineStr">
        <x:is>
          <x:t xml:space="preserve">День</x:t>
        </x:is>
      </x:c>
      <x:c r="D670" s="31" t="inlineStr">
        <x:is>
          <x:t xml:space="preserve">ПЗ-00177</x:t>
        </x:is>
      </x:c>
      <x:c r="E670" s="31" t="inlineStr">
        <x:is>
          <x:t xml:space="preserve">ОП-001469</x:t>
        </x:is>
      </x:c>
      <x:c r="F670" s="31" t="inlineStr">
        <x:is>
          <x:t xml:space="preserve">ОБ-006</x:t>
        </x:is>
      </x:c>
      <x:c r="G670" s="31" t="inlineStr">
        <x:is>
          <x:t xml:space="preserve">СОТР-096</x:t>
        </x:is>
      </x:c>
      <x:c r="H670" s="31" t="inlineStr">
        <x:is>
          <x:t xml:space="preserve">ОТК</x:t>
        </x:is>
      </x:c>
      <x:c r="I670" s="31" t="n">
        <x:v>3</x:v>
      </x:c>
      <x:c r="J670" s="31" t="n">
        <x:v>0</x:v>
      </x:c>
      <x:c r="K670" s="31" t="n">
        <x:v>35</x:v>
      </x:c>
      <x:c r="L670" s="31" t="n">
        <x:v>20.4</x:v>
      </x:c>
      <x:c r="M670" s="31" t="n">
        <x:v>0</x:v>
      </x:c>
      <x:c r="N670" s="31" t="inlineStr">
        <x:is>
          <x:t xml:space="preserve">Нет</x:t>
        </x:is>
      </x:c>
      <x:c r="O670" s="31" t="inlineStr">
        <x:is>
          <x:t xml:space="preserve">Подтверждено мастером</x:t>
        </x:is>
      </x:c>
      <x:c r="P670" s="31" t="inlineStr">
        <x:is>
          <x:t xml:space="preserve">Комментарий смены 718</x:t>
        </x:is>
      </x:c>
    </x:row>
    <x:row r="671">
      <x:c r="A671" s="31" t="inlineStr">
        <x:is>
          <x:t xml:space="preserve">СМ-00719</x:t>
        </x:is>
      </x:c>
      <x:c r="B671" s="31" t="n">
        <x:v>46204</x:v>
      </x:c>
      <x:c r="C671" s="31" t="inlineStr">
        <x:is>
          <x:t xml:space="preserve">Ночь</x:t>
        </x:is>
      </x:c>
      <x:c r="D671" s="31" t="inlineStr">
        <x:is>
          <x:t xml:space="preserve">ПЗ-00225</x:t>
        </x:is>
      </x:c>
      <x:c r="E671" s="31" t="inlineStr">
        <x:is>
          <x:t xml:space="preserve">ОП-001887</x:t>
        </x:is>
      </x:c>
      <x:c r="F671" s="31" t="inlineStr">
        <x:is>
          <x:t xml:space="preserve">ОБ-011</x:t>
        </x:is>
      </x:c>
      <x:c r="G671" s="31" t="inlineStr">
        <x:is>
          <x:t xml:space="preserve">СОТР-036</x:t>
        </x:is>
      </x:c>
      <x:c r="H671" s="31" t="inlineStr">
        <x:is>
          <x:t xml:space="preserve">Склад</x:t>
        </x:is>
      </x:c>
      <x:c r="I671" s="31" t="n">
        <x:v>5</x:v>
      </x:c>
      <x:c r="J671" s="31" t="n">
        <x:v>5</x:v>
      </x:c>
      <x:c r="K671" s="31" t="n">
        <x:v>35.5</x:v>
      </x:c>
      <x:c r="L671" s="31" t="n">
        <x:v>30.4</x:v>
      </x:c>
      <x:c r="M671" s="31" t="n">
        <x:v>30</x:v>
      </x:c>
      <x:c r="N671" s="31" t="inlineStr">
        <x:is>
          <x:t xml:space="preserve">Нет оператора</x:t>
        </x:is>
      </x:c>
      <x:c r="O671" s="31" t="inlineStr">
        <x:is>
          <x:t xml:space="preserve">Черновик</x:t>
        </x:is>
      </x:c>
      <x:c r="P671" s="31" t="inlineStr">
        <x:is>
          <x:t xml:space="preserve">Комментарий смены 719</x:t>
        </x:is>
      </x:c>
    </x:row>
    <x:row r="672">
      <x:c r="A672" s="31" t="inlineStr">
        <x:is>
          <x:t xml:space="preserve">СМ-00720</x:t>
        </x:is>
      </x:c>
      <x:c r="B672" s="31" t="n">
        <x:v>46110</x:v>
      </x:c>
      <x:c r="C672" s="31" t="inlineStr">
        <x:is>
          <x:t xml:space="preserve">День</x:t>
        </x:is>
      </x:c>
      <x:c r="D672" s="31" t="inlineStr">
        <x:is>
          <x:t xml:space="preserve">ПЗ-00201</x:t>
        </x:is>
      </x:c>
      <x:c r="E672" s="31" t="inlineStr">
        <x:is>
          <x:t xml:space="preserve">ОП-001682</x:t>
        </x:is>
      </x:c>
      <x:c r="F672" s="31" t="inlineStr">
        <x:is>
          <x:t xml:space="preserve">ОБ-027</x:t>
        </x:is>
      </x:c>
      <x:c r="G672" s="31" t="inlineStr">
        <x:is>
          <x:t xml:space="preserve">СОТР-074</x:t>
        </x:is>
      </x:c>
      <x:c r="H672" s="31" t="inlineStr">
        <x:is>
          <x:t xml:space="preserve">Сборка</x:t>
        </x:is>
      </x:c>
      <x:c r="I672" s="31" t="n">
        <x:v>3</x:v>
      </x:c>
      <x:c r="J672" s="31" t="n">
        <x:v>3</x:v>
      </x:c>
      <x:c r="K672" s="31" t="n">
        <x:v>13.2</x:v>
      </x:c>
      <x:c r="L672" s="31" t="n">
        <x:v>13.4</x:v>
      </x:c>
      <x:c r="M672" s="31" t="n">
        <x:v>30</x:v>
      </x:c>
      <x:c r="N672" s="31" t="inlineStr">
        <x:is>
          <x:t xml:space="preserve">Ожидание ОТК</x:t>
        </x:is>
      </x:c>
      <x:c r="O672" s="31" t="inlineStr">
        <x:is>
          <x:t xml:space="preserve">Подтверждено мастером</x:t>
        </x:is>
      </x:c>
      <x:c r="P672" s="31" t="inlineStr">
        <x:is>
          <x:t xml:space="preserve">Комментарий смены 720</x:t>
        </x:is>
      </x:c>
    </x:row>
    <x:row r="673">
      <x:c r="A673" s="31" t="inlineStr">
        <x:is>
          <x:t xml:space="preserve">СМ-00722</x:t>
        </x:is>
      </x:c>
      <x:c r="B673" s="31" t="n">
        <x:v>46197</x:v>
      </x:c>
      <x:c r="C673" s="31" t="inlineStr">
        <x:is>
          <x:t xml:space="preserve">Вечер</x:t>
        </x:is>
      </x:c>
      <x:c r="D673" s="31" t="inlineStr">
        <x:is>
          <x:t xml:space="preserve">ПЗ-00081</x:t>
        </x:is>
      </x:c>
      <x:c r="E673" s="31" t="inlineStr">
        <x:is>
          <x:t xml:space="preserve">ОП-000695</x:t>
        </x:is>
      </x:c>
      <x:c r="F673" s="31" t="inlineStr">
        <x:is>
          <x:t xml:space="preserve">ОБ-006</x:t>
        </x:is>
      </x:c>
      <x:c r="G673" s="31" t="inlineStr">
        <x:is>
          <x:t xml:space="preserve">СОТР-093</x:t>
        </x:is>
      </x:c>
      <x:c r="H673" s="31" t="inlineStr">
        <x:is>
          <x:t xml:space="preserve">ОТК</x:t>
        </x:is>
      </x:c>
      <x:c r="I673" s="31" t="n">
        <x:v>4</x:v>
      </x:c>
      <x:c r="J673" s="31" t="n">
        <x:v>4</x:v>
      </x:c>
      <x:c r="K673" s="31" t="n">
        <x:v>50</x:v>
      </x:c>
      <x:c r="L673" s="31" t="n">
        <x:v>51.4</x:v>
      </x:c>
      <x:c r="M673" s="31" t="n">
        <x:v>120</x:v>
      </x:c>
      <x:c r="N673" s="31" t="inlineStr">
        <x:is>
          <x:t xml:space="preserve">Переналадка</x:t>
        </x:is>
      </x:c>
      <x:c r="O673" s="31" t="inlineStr">
        <x:is>
          <x:t xml:space="preserve">Подтверждено мастером</x:t>
        </x:is>
      </x:c>
      <x:c r="P673" s="31" t="inlineStr">
        <x:is>
          <x:t xml:space="preserve">Комментарий смены 722</x:t>
        </x:is>
      </x:c>
    </x:row>
    <x:row r="674">
      <x:c r="A674" s="31" t="inlineStr">
        <x:is>
          <x:t xml:space="preserve">СМ-00723</x:t>
        </x:is>
      </x:c>
      <x:c r="B674" s="31" t="n">
        <x:v>46154</x:v>
      </x:c>
      <x:c r="C674" s="31" t="inlineStr">
        <x:is>
          <x:t xml:space="preserve">Вечер</x:t>
        </x:is>
      </x:c>
      <x:c r="D674" s="31" t="inlineStr">
        <x:is>
          <x:t xml:space="preserve">ПЗ-00249</x:t>
        </x:is>
      </x:c>
      <x:c r="E674" s="31" t="inlineStr">
        <x:is>
          <x:t xml:space="preserve">ОП-002081</x:t>
        </x:is>
      </x:c>
      <x:c r="F674" s="31" t="inlineStr">
        <x:is>
          <x:t xml:space="preserve">ОБ-006</x:t>
        </x:is>
      </x:c>
      <x:c r="G674" s="31" t="inlineStr">
        <x:is>
          <x:t xml:space="preserve">СОТР-092</x:t>
        </x:is>
      </x:c>
      <x:c r="H674" s="31" t="inlineStr">
        <x:is>
          <x:t xml:space="preserve">ОТК</x:t>
        </x:is>
      </x:c>
      <x:c r="I674" s="31" t="n">
        <x:v>2</x:v>
      </x:c>
      <x:c r="J674" s="31" t="n">
        <x:v>2</x:v>
      </x:c>
      <x:c r="K674" s="31" t="n">
        <x:v>37.6</x:v>
      </x:c>
      <x:c r="L674" s="31" t="n">
        <x:v>45.3</x:v>
      </x:c>
      <x:c r="M674" s="31" t="n">
        <x:v>15</x:v>
      </x:c>
      <x:c r="N674" s="31" t="inlineStr">
        <x:is>
          <x:t xml:space="preserve">Ремонт оборудования</x:t>
        </x:is>
      </x:c>
      <x:c r="O674" s="31" t="inlineStr">
        <x:is>
          <x:t xml:space="preserve">Подтверждено мастером</x:t>
        </x:is>
      </x:c>
      <x:c r="P674" s="31" t="inlineStr">
        <x:is>
          <x:t xml:space="preserve">Комментарий смены 723</x:t>
        </x:is>
      </x:c>
    </x:row>
    <x:row r="675">
      <x:c r="A675" s="31" t="inlineStr">
        <x:is>
          <x:t xml:space="preserve">СМ-00724</x:t>
        </x:is>
      </x:c>
      <x:c r="B675" s="31" t="n">
        <x:v>46089</x:v>
      </x:c>
      <x:c r="C675" s="31" t="inlineStr">
        <x:is>
          <x:t xml:space="preserve">День</x:t>
        </x:is>
      </x:c>
      <x:c r="D675" s="31" t="inlineStr">
        <x:is>
          <x:t xml:space="preserve">ПЗ-00207</x:t>
        </x:is>
      </x:c>
      <x:c r="E675" s="31" t="inlineStr">
        <x:is>
          <x:t xml:space="preserve">ОП-001733</x:t>
        </x:is>
      </x:c>
      <x:c r="F675" s="31" t="n"/>
      <x:c r="G675" s="31" t="inlineStr">
        <x:is>
          <x:t xml:space="preserve">СОТР-016</x:t>
        </x:is>
      </x:c>
      <x:c r="H675" s="31" t="inlineStr">
        <x:is>
          <x:t xml:space="preserve">Инженерный отдел</x:t>
        </x:is>
      </x:c>
      <x:c r="I675" s="31" t="n">
        <x:v>1</x:v>
      </x:c>
      <x:c r="J675" s="31" t="n">
        <x:v>0</x:v>
      </x:c>
      <x:c r="K675" s="31" t="n">
        <x:v>9.199999999999999</x:v>
      </x:c>
      <x:c r="L675" s="31" t="n">
        <x:v>8.699999999999999</x:v>
      </x:c>
      <x:c r="M675" s="31" t="n">
        <x:v>30</x:v>
      </x:c>
      <x:c r="N675" s="31" t="inlineStr">
        <x:is>
          <x:t xml:space="preserve">Ожидание материала</x:t>
        </x:is>
      </x:c>
      <x:c r="O675" s="31" t="inlineStr">
        <x:is>
          <x:t xml:space="preserve">Черновик</x:t>
        </x:is>
      </x:c>
      <x:c r="P675" s="31" t="inlineStr">
        <x:is>
          <x:t xml:space="preserve">Комментарий смены 724</x:t>
        </x:is>
      </x:c>
    </x:row>
    <x:row r="676">
      <x:c r="A676" s="31" t="inlineStr">
        <x:is>
          <x:t xml:space="preserve">СМ-00725</x:t>
        </x:is>
      </x:c>
      <x:c r="B676" s="31" t="n">
        <x:v>46201</x:v>
      </x:c>
      <x:c r="C676" s="31" t="inlineStr">
        <x:is>
          <x:t xml:space="preserve">Вечер</x:t>
        </x:is>
      </x:c>
      <x:c r="D676" s="31" t="inlineStr">
        <x:is>
          <x:t xml:space="preserve">ПЗ-00216</x:t>
        </x:is>
      </x:c>
      <x:c r="E676" s="31" t="inlineStr">
        <x:is>
          <x:t xml:space="preserve">ОП-001816</x:t>
        </x:is>
      </x:c>
      <x:c r="F676" s="31" t="inlineStr">
        <x:is>
          <x:t xml:space="preserve">ОБ-032</x:t>
        </x:is>
      </x:c>
      <x:c r="G676" s="31" t="inlineStr">
        <x:is>
          <x:t xml:space="preserve">СОТР-098</x:t>
        </x:is>
      </x:c>
      <x:c r="H676" s="31" t="inlineStr">
        <x:is>
          <x:t xml:space="preserve">ОТК</x:t>
        </x:is>
      </x:c>
      <x:c r="I676" s="31" t="n">
        <x:v>4</x:v>
      </x:c>
      <x:c r="J676" s="31" t="n">
        <x:v>4</x:v>
      </x:c>
      <x:c r="K676" s="31" t="n">
        <x:v>74.8</x:v>
      </x:c>
      <x:c r="L676" s="31" t="n">
        <x:v>88</x:v>
      </x:c>
      <x:c r="M676" s="31" t="n">
        <x:v>0</x:v>
      </x:c>
      <x:c r="N676" s="31" t="inlineStr">
        <x:is>
          <x:t xml:space="preserve">Нет</x:t>
        </x:is>
      </x:c>
      <x:c r="O676" s="31" t="inlineStr">
        <x:is>
          <x:t xml:space="preserve">Подтверждено мастером</x:t>
        </x:is>
      </x:c>
      <x:c r="P676" s="31" t="inlineStr">
        <x:is>
          <x:t xml:space="preserve">Комментарий смены 725</x:t>
        </x:is>
      </x:c>
    </x:row>
    <x:row r="677">
      <x:c r="A677" s="31" t="inlineStr">
        <x:is>
          <x:t xml:space="preserve">СМ-00726</x:t>
        </x:is>
      </x:c>
      <x:c r="B677" s="31" t="n">
        <x:v>46068</x:v>
      </x:c>
      <x:c r="C677" s="31" t="inlineStr">
        <x:is>
          <x:t xml:space="preserve">Ночь</x:t>
        </x:is>
      </x:c>
      <x:c r="D677" s="31" t="inlineStr">
        <x:is>
          <x:t xml:space="preserve">ПЗ-00145</x:t>
        </x:is>
      </x:c>
      <x:c r="E677" s="31" t="inlineStr">
        <x:is>
          <x:t xml:space="preserve">ОП-001204</x:t>
        </x:is>
      </x:c>
      <x:c r="F677" s="31" t="inlineStr">
        <x:is>
          <x:t xml:space="preserve">ОБ-018</x:t>
        </x:is>
      </x:c>
      <x:c r="G677" s="31" t="inlineStr">
        <x:is>
          <x:t xml:space="preserve">СОТР-057</x:t>
        </x:is>
      </x:c>
      <x:c r="H677" s="31" t="inlineStr">
        <x:is>
          <x:t xml:space="preserve">Сварка</x:t>
        </x:is>
      </x:c>
      <x:c r="I677" s="31" t="n">
        <x:v>2</x:v>
      </x:c>
      <x:c r="J677" s="31" t="n">
        <x:v>0</x:v>
      </x:c>
      <x:c r="K677" s="31" t="n">
        <x:v>62.1</x:v>
      </x:c>
      <x:c r="L677" s="31" t="n">
        <x:v>45</x:v>
      </x:c>
      <x:c r="M677" s="31" t="n">
        <x:v>120</x:v>
      </x:c>
      <x:c r="N677" s="31" t="inlineStr">
        <x:is>
          <x:t xml:space="preserve">Ожидание ОТК</x:t>
        </x:is>
      </x:c>
      <x:c r="O677" s="31" t="inlineStr">
        <x:is>
          <x:t xml:space="preserve">Подтверждено мастером</x:t>
        </x:is>
      </x:c>
      <x:c r="P677" s="31" t="inlineStr">
        <x:is>
          <x:t xml:space="preserve">Комментарий смены 726</x:t>
        </x:is>
      </x:c>
    </x:row>
    <x:row r="678">
      <x:c r="A678" s="31" t="inlineStr">
        <x:is>
          <x:t xml:space="preserve">СМ-00727</x:t>
        </x:is>
      </x:c>
      <x:c r="B678" s="31" t="n">
        <x:v>46123</x:v>
      </x:c>
      <x:c r="C678" s="31" t="inlineStr">
        <x:is>
          <x:t xml:space="preserve">День</x:t>
        </x:is>
      </x:c>
      <x:c r="D678" s="31" t="inlineStr">
        <x:is>
          <x:t xml:space="preserve">ПЗ-00137</x:t>
        </x:is>
      </x:c>
      <x:c r="E678" s="31" t="inlineStr">
        <x:is>
          <x:t xml:space="preserve">ОП-001142</x:t>
        </x:is>
      </x:c>
      <x:c r="F678" s="31" t="n"/>
      <x:c r="G678" s="31" t="inlineStr">
        <x:is>
          <x:t xml:space="preserve">СОТР-017</x:t>
        </x:is>
      </x:c>
      <x:c r="H678" s="31" t="inlineStr">
        <x:is>
          <x:t xml:space="preserve">Инженерный отдел</x:t>
        </x:is>
      </x:c>
      <x:c r="I678" s="31" t="n">
        <x:v>3</x:v>
      </x:c>
      <x:c r="J678" s="31" t="n">
        <x:v>3</x:v>
      </x:c>
      <x:c r="K678" s="31" t="n">
        <x:v>28</x:v>
      </x:c>
      <x:c r="L678" s="31" t="n">
        <x:v>36.9</x:v>
      </x:c>
      <x:c r="M678" s="31" t="n">
        <x:v>0</x:v>
      </x:c>
      <x:c r="N678" s="31" t="inlineStr">
        <x:is>
          <x:t xml:space="preserve">Нет</x:t>
        </x:is>
      </x:c>
      <x:c r="O678" s="31" t="inlineStr">
        <x:is>
          <x:t xml:space="preserve">Подтверждено мастером</x:t>
        </x:is>
      </x:c>
      <x:c r="P678" s="31" t="inlineStr">
        <x:is>
          <x:t xml:space="preserve">Комментарий смены 727</x:t>
        </x:is>
      </x:c>
    </x:row>
    <x:row r="679">
      <x:c r="A679" s="31" t="inlineStr">
        <x:is>
          <x:t xml:space="preserve">СМ-00728</x:t>
        </x:is>
      </x:c>
      <x:c r="B679" s="31" t="n">
        <x:v>46078</x:v>
      </x:c>
      <x:c r="C679" s="31" t="inlineStr">
        <x:is>
          <x:t xml:space="preserve">Вечер</x:t>
        </x:is>
      </x:c>
      <x:c r="D679" s="31" t="inlineStr">
        <x:is>
          <x:t xml:space="preserve">ПЗ-00151</x:t>
        </x:is>
      </x:c>
      <x:c r="E679" s="31" t="inlineStr">
        <x:is>
          <x:t xml:space="preserve">ОП-001255</x:t>
        </x:is>
      </x:c>
      <x:c r="F679" s="31" t="inlineStr">
        <x:is>
          <x:t xml:space="preserve">ОБ-024</x:t>
        </x:is>
      </x:c>
      <x:c r="G679" s="31" t="inlineStr">
        <x:is>
          <x:t xml:space="preserve">СОТР-098</x:t>
        </x:is>
      </x:c>
      <x:c r="H679" s="31" t="inlineStr">
        <x:is>
          <x:t xml:space="preserve">ОТК</x:t>
        </x:is>
      </x:c>
      <x:c r="I679" s="31" t="n">
        <x:v>4</x:v>
      </x:c>
      <x:c r="J679" s="31" t="n">
        <x:v>0</x:v>
      </x:c>
      <x:c r="K679" s="31" t="n">
        <x:v>57.6</x:v>
      </x:c>
      <x:c r="L679" s="31" t="n">
        <x:v>56.7</x:v>
      </x:c>
      <x:c r="M679" s="31" t="n">
        <x:v>0</x:v>
      </x:c>
      <x:c r="N679" s="31" t="inlineStr">
        <x:is>
          <x:t xml:space="preserve">Нет</x:t>
        </x:is>
      </x:c>
      <x:c r="O679" s="31" t="inlineStr">
        <x:is>
          <x:t xml:space="preserve">Подтверждено мастером</x:t>
        </x:is>
      </x:c>
      <x:c r="P679" s="31" t="inlineStr">
        <x:is>
          <x:t xml:space="preserve">Комментарий смены 728</x:t>
        </x:is>
      </x:c>
    </x:row>
    <x:row r="680">
      <x:c r="A680" s="31" t="inlineStr">
        <x:is>
          <x:t xml:space="preserve">СМ-00730</x:t>
        </x:is>
      </x:c>
      <x:c r="B680" s="31" t="n">
        <x:v>46159</x:v>
      </x:c>
      <x:c r="C680" s="31" t="inlineStr">
        <x:is>
          <x:t xml:space="preserve">День</x:t>
        </x:is>
      </x:c>
      <x:c r="D680" s="31" t="inlineStr">
        <x:is>
          <x:t xml:space="preserve">ПЗ-00089</x:t>
        </x:is>
      </x:c>
      <x:c r="E680" s="31" t="inlineStr">
        <x:is>
          <x:t xml:space="preserve">ОП-000760</x:t>
        </x:is>
      </x:c>
      <x:c r="F680" s="31" t="n"/>
      <x:c r="G680" s="31" t="inlineStr">
        <x:is>
          <x:t xml:space="preserve">СОТР-103</x:t>
        </x:is>
      </x:c>
      <x:c r="H680" s="31" t="inlineStr">
        <x:is>
          <x:t xml:space="preserve">Логистика</x:t>
        </x:is>
      </x:c>
      <x:c r="I680" s="31" t="n">
        <x:v>1</x:v>
      </x:c>
      <x:c r="J680" s="31" t="n">
        <x:v>0</x:v>
      </x:c>
      <x:c r="K680" s="31" t="n">
        <x:v>8.9</x:v>
      </x:c>
      <x:c r="L680" s="31" t="n">
        <x:v>4.8</x:v>
      </x:c>
      <x:c r="M680" s="31" t="n">
        <x:v>15</x:v>
      </x:c>
      <x:c r="N680" s="31" t="inlineStr">
        <x:is>
          <x:t xml:space="preserve">Ожидание ОТК</x:t>
        </x:is>
      </x:c>
      <x:c r="O680" s="31" t="inlineStr">
        <x:is>
          <x:t xml:space="preserve">Подтверждено мастером</x:t>
        </x:is>
      </x:c>
      <x:c r="P680" s="31" t="inlineStr">
        <x:is>
          <x:t xml:space="preserve">Комментарий смены 730</x:t>
        </x:is>
      </x:c>
    </x:row>
    <x:row r="681">
      <x:c r="A681" s="31" t="inlineStr">
        <x:is>
          <x:t xml:space="preserve">СМ-00732</x:t>
        </x:is>
      </x:c>
      <x:c r="B681" s="31" t="n">
        <x:v>46190</x:v>
      </x:c>
      <x:c r="C681" s="31" t="inlineStr">
        <x:is>
          <x:t xml:space="preserve">Вечер</x:t>
        </x:is>
      </x:c>
      <x:c r="D681" s="31" t="inlineStr">
        <x:is>
          <x:t xml:space="preserve">ПЗ-00210</x:t>
        </x:is>
      </x:c>
      <x:c r="E681" s="31" t="inlineStr">
        <x:is>
          <x:t xml:space="preserve">ОП-001755</x:t>
        </x:is>
      </x:c>
      <x:c r="F681" s="31" t="n"/>
      <x:c r="G681" s="31" t="inlineStr">
        <x:is>
          <x:t xml:space="preserve">СОТР-020</x:t>
        </x:is>
      </x:c>
      <x:c r="H681" s="31" t="inlineStr">
        <x:is>
          <x:t xml:space="preserve">Инженерный отдел</x:t>
        </x:is>
      </x:c>
      <x:c r="I681" s="31" t="n">
        <x:v>4</x:v>
      </x:c>
      <x:c r="J681" s="31" t="n">
        <x:v>4</x:v>
      </x:c>
      <x:c r="K681" s="31" t="n">
        <x:v>12.4</x:v>
      </x:c>
      <x:c r="L681" s="31" t="n">
        <x:v>12.3</x:v>
      </x:c>
      <x:c r="M681" s="31" t="n">
        <x:v>120</x:v>
      </x:c>
      <x:c r="N681" s="31" t="inlineStr">
        <x:is>
          <x:t xml:space="preserve">Переналадка</x:t>
        </x:is>
      </x:c>
      <x:c r="O681" s="31" t="inlineStr">
        <x:is>
          <x:t xml:space="preserve">Подтверждено мастером</x:t>
        </x:is>
      </x:c>
      <x:c r="P681" s="31" t="inlineStr">
        <x:is>
          <x:t xml:space="preserve">Комментарий смены 732</x:t>
        </x:is>
      </x:c>
    </x:row>
    <x:row r="682">
      <x:c r="A682" s="31" t="inlineStr">
        <x:is>
          <x:t xml:space="preserve">СМ-00733</x:t>
        </x:is>
      </x:c>
      <x:c r="B682" s="31" t="n">
        <x:v>46046</x:v>
      </x:c>
      <x:c r="C682" s="31" t="inlineStr">
        <x:is>
          <x:t xml:space="preserve">День</x:t>
        </x:is>
      </x:c>
      <x:c r="D682" s="31" t="inlineStr">
        <x:is>
          <x:t xml:space="preserve">ПЗ-00073</x:t>
        </x:is>
      </x:c>
      <x:c r="E682" s="31" t="inlineStr">
        <x:is>
          <x:t xml:space="preserve">ОП-000620</x:t>
        </x:is>
      </x:c>
      <x:c r="F682" s="31" t="inlineStr">
        <x:is>
          <x:t xml:space="preserve">ОБ-010</x:t>
        </x:is>
      </x:c>
      <x:c r="G682" s="31" t="inlineStr">
        <x:is>
          <x:t xml:space="preserve">СОТР-071</x:t>
        </x:is>
      </x:c>
      <x:c r="H682" s="31" t="inlineStr">
        <x:is>
          <x:t xml:space="preserve">Сварка</x:t>
        </x:is>
      </x:c>
      <x:c r="I682" s="31" t="n">
        <x:v>1</x:v>
      </x:c>
      <x:c r="J682" s="31" t="n">
        <x:v>0</x:v>
      </x:c>
      <x:c r="K682" s="31" t="n">
        <x:v>30</x:v>
      </x:c>
      <x:c r="L682" s="31" t="n">
        <x:v>38</x:v>
      </x:c>
      <x:c r="M682" s="31" t="n">
        <x:v>90</x:v>
      </x:c>
      <x:c r="N682" s="31" t="inlineStr">
        <x:is>
          <x:t xml:space="preserve">Ожидание ОТК</x:t>
        </x:is>
      </x:c>
      <x:c r="O682" s="31" t="inlineStr">
        <x:is>
          <x:t xml:space="preserve">Подтверждено мастером</x:t>
        </x:is>
      </x:c>
      <x:c r="P682" s="31" t="inlineStr">
        <x:is>
          <x:t xml:space="preserve">Комментарий смены 733</x:t>
        </x:is>
      </x:c>
    </x:row>
    <x:row r="683">
      <x:c r="A683" s="31" t="inlineStr">
        <x:is>
          <x:t xml:space="preserve">СМ-00734</x:t>
        </x:is>
      </x:c>
      <x:c r="B683" s="31" t="n">
        <x:v>46102</x:v>
      </x:c>
      <x:c r="C683" s="31" t="inlineStr">
        <x:is>
          <x:t xml:space="preserve">День</x:t>
        </x:is>
      </x:c>
      <x:c r="D683" s="31" t="inlineStr">
        <x:is>
          <x:t xml:space="preserve">ПЗ-00098</x:t>
        </x:is>
      </x:c>
      <x:c r="E683" s="31" t="inlineStr">
        <x:is>
          <x:t xml:space="preserve">ОП-000821</x:t>
        </x:is>
      </x:c>
      <x:c r="F683" s="31" t="inlineStr">
        <x:is>
          <x:t xml:space="preserve">ОБ-003</x:t>
        </x:is>
      </x:c>
      <x:c r="G683" s="31" t="inlineStr">
        <x:is>
          <x:t xml:space="preserve">СОТР-061</x:t>
        </x:is>
      </x:c>
      <x:c r="H683" s="31" t="inlineStr">
        <x:is>
          <x:t xml:space="preserve">Сварка</x:t>
        </x:is>
      </x:c>
      <x:c r="I683" s="31" t="n">
        <x:v>1</x:v>
      </x:c>
      <x:c r="J683" s="31" t="n">
        <x:v>0</x:v>
      </x:c>
      <x:c r="K683" s="31" t="n">
        <x:v>45.2</x:v>
      </x:c>
      <x:c r="L683" s="31" t="n">
        <x:v>48.6</x:v>
      </x:c>
      <x:c r="M683" s="31" t="n">
        <x:v>0</x:v>
      </x:c>
      <x:c r="N683" s="31" t="inlineStr">
        <x:is>
          <x:t xml:space="preserve">Нет</x:t>
        </x:is>
      </x:c>
      <x:c r="O683" s="31" t="inlineStr">
        <x:is>
          <x:t xml:space="preserve">Подтверждено мастером</x:t>
        </x:is>
      </x:c>
      <x:c r="P683" s="31" t="inlineStr">
        <x:is>
          <x:t xml:space="preserve">Комментарий смены 734</x:t>
        </x:is>
      </x:c>
    </x:row>
    <x:row r="684">
      <x:c r="A684" s="31" t="inlineStr">
        <x:is>
          <x:t xml:space="preserve">СМ-00735</x:t>
        </x:is>
      </x:c>
      <x:c r="B684" s="31" t="n">
        <x:v>46110</x:v>
      </x:c>
      <x:c r="C684" s="31" t="inlineStr">
        <x:is>
          <x:t xml:space="preserve">День</x:t>
        </x:is>
      </x:c>
      <x:c r="D684" s="31" t="inlineStr">
        <x:is>
          <x:t xml:space="preserve">ПЗ-00052</x:t>
        </x:is>
      </x:c>
      <x:c r="E684" s="31" t="inlineStr">
        <x:is>
          <x:t xml:space="preserve">ОП-000428</x:t>
        </x:is>
      </x:c>
      <x:c r="F684" s="31" t="inlineStr">
        <x:is>
          <x:t xml:space="preserve">ОБ-010</x:t>
        </x:is>
      </x:c>
      <x:c r="G684" s="31" t="inlineStr">
        <x:is>
          <x:t xml:space="preserve">СОТР-069</x:t>
        </x:is>
      </x:c>
      <x:c r="H684" s="31" t="inlineStr">
        <x:is>
          <x:t xml:space="preserve">Сварка</x:t>
        </x:is>
      </x:c>
      <x:c r="I684" s="31" t="n">
        <x:v>1</x:v>
      </x:c>
      <x:c r="J684" s="31" t="n">
        <x:v>1</x:v>
      </x:c>
      <x:c r="K684" s="31" t="n">
        <x:v>2.3</x:v>
      </x:c>
      <x:c r="L684" s="31" t="n">
        <x:v>2.2</x:v>
      </x:c>
      <x:c r="M684" s="31" t="n">
        <x:v>90</x:v>
      </x:c>
      <x:c r="N684" s="31" t="inlineStr">
        <x:is>
          <x:t xml:space="preserve">Ожидание материала</x:t>
        </x:is>
      </x:c>
      <x:c r="O684" s="31" t="inlineStr">
        <x:is>
          <x:t xml:space="preserve">Подтверждено мастером</x:t>
        </x:is>
      </x:c>
      <x:c r="P684" s="31" t="inlineStr">
        <x:is>
          <x:t xml:space="preserve">Комментарий смены 735</x:t>
        </x:is>
      </x:c>
    </x:row>
    <x:row r="685">
      <x:c r="A685" s="31" t="inlineStr">
        <x:is>
          <x:t xml:space="preserve">СМ-00736</x:t>
        </x:is>
      </x:c>
      <x:c r="B685" s="31" t="n">
        <x:v>46060</x:v>
      </x:c>
      <x:c r="C685" s="31" t="inlineStr">
        <x:is>
          <x:t xml:space="preserve">День</x:t>
        </x:is>
      </x:c>
      <x:c r="D685" s="31" t="inlineStr">
        <x:is>
          <x:t xml:space="preserve">ПЗ-00146</x:t>
        </x:is>
      </x:c>
      <x:c r="E685" s="31" t="inlineStr">
        <x:is>
          <x:t xml:space="preserve">ОП-001214</x:t>
        </x:is>
      </x:c>
      <x:c r="F685" s="31" t="inlineStr">
        <x:is>
          <x:t xml:space="preserve">ОБ-012</x:t>
        </x:is>
      </x:c>
      <x:c r="G685" s="31" t="inlineStr">
        <x:is>
          <x:t xml:space="preserve">СОТР-077</x:t>
        </x:is>
      </x:c>
      <x:c r="H685" s="31" t="inlineStr">
        <x:is>
          <x:t xml:space="preserve">Сборка</x:t>
        </x:is>
      </x:c>
      <x:c r="I685" s="31" t="n">
        <x:v>1</x:v>
      </x:c>
      <x:c r="J685" s="31" t="n">
        <x:v>0</x:v>
      </x:c>
      <x:c r="K685" s="31" t="n">
        <x:v>3.5</x:v>
      </x:c>
      <x:c r="L685" s="31" t="n">
        <x:v>3.5</x:v>
      </x:c>
      <x:c r="M685" s="31" t="n">
        <x:v>0</x:v>
      </x:c>
      <x:c r="N685" s="31" t="inlineStr">
        <x:is>
          <x:t xml:space="preserve">Нет</x:t>
        </x:is>
      </x:c>
      <x:c r="O685" s="31" t="inlineStr">
        <x:is>
          <x:t xml:space="preserve">Подтверждено мастером</x:t>
        </x:is>
      </x:c>
      <x:c r="P685" s="31" t="inlineStr">
        <x:is>
          <x:t xml:space="preserve">Комментарий смены 736</x:t>
        </x:is>
      </x:c>
    </x:row>
    <x:row r="686">
      <x:c r="A686" s="31" t="inlineStr">
        <x:is>
          <x:t xml:space="preserve">СМ-00737</x:t>
        </x:is>
      </x:c>
      <x:c r="B686" s="31" t="n">
        <x:v>46205</x:v>
      </x:c>
      <x:c r="C686" s="31" t="inlineStr">
        <x:is>
          <x:t xml:space="preserve">День</x:t>
        </x:is>
      </x:c>
      <x:c r="D686" s="31" t="inlineStr">
        <x:is>
          <x:t xml:space="preserve">ПЗ-00131</x:t>
        </x:is>
      </x:c>
      <x:c r="E686" s="31" t="inlineStr">
        <x:is>
          <x:t xml:space="preserve">ОП-001096</x:t>
        </x:is>
      </x:c>
      <x:c r="F686" s="31" t="inlineStr">
        <x:is>
          <x:t xml:space="preserve">ОБ-005</x:t>
        </x:is>
      </x:c>
      <x:c r="G686" s="31" t="inlineStr">
        <x:is>
          <x:t xml:space="preserve">СОТР-073</x:t>
        </x:is>
      </x:c>
      <x:c r="H686" s="31" t="inlineStr">
        <x:is>
          <x:t xml:space="preserve">Сборка</x:t>
        </x:is>
      </x:c>
      <x:c r="I686" s="31" t="n">
        <x:v>1</x:v>
      </x:c>
      <x:c r="J686" s="31" t="n">
        <x:v>1</x:v>
      </x:c>
      <x:c r="K686" s="31" t="n">
        <x:v>46.5</x:v>
      </x:c>
      <x:c r="L686" s="31" t="n">
        <x:v>41.6</x:v>
      </x:c>
      <x:c r="M686" s="31" t="n">
        <x:v>15</x:v>
      </x:c>
      <x:c r="N686" s="31" t="inlineStr">
        <x:is>
          <x:t xml:space="preserve">Ожидание ОТК</x:t>
        </x:is>
      </x:c>
      <x:c r="O686" s="31" t="inlineStr">
        <x:is>
          <x:t xml:space="preserve">Спорный факт</x:t>
        </x:is>
      </x:c>
      <x:c r="P686" s="31" t="inlineStr">
        <x:is>
          <x:t xml:space="preserve">Комментарий смены 737</x:t>
        </x:is>
      </x:c>
    </x:row>
    <x:row r="687">
      <x:c r="A687" s="31" t="inlineStr">
        <x:is>
          <x:t xml:space="preserve">СМ-00738</x:t>
        </x:is>
      </x:c>
      <x:c r="B687" s="31" t="n">
        <x:v>46118</x:v>
      </x:c>
      <x:c r="C687" s="31" t="inlineStr">
        <x:is>
          <x:t xml:space="preserve">День</x:t>
        </x:is>
      </x:c>
      <x:c r="D687" s="31" t="inlineStr">
        <x:is>
          <x:t xml:space="preserve">ПЗ-00230</x:t>
        </x:is>
      </x:c>
      <x:c r="E687" s="31" t="inlineStr">
        <x:is>
          <x:t xml:space="preserve">ОП-001928</x:t>
        </x:is>
      </x:c>
      <x:c r="F687" s="31" t="inlineStr">
        <x:is>
          <x:t xml:space="preserve">ОБ-022</x:t>
        </x:is>
      </x:c>
      <x:c r="G687" s="31" t="inlineStr">
        <x:is>
          <x:t xml:space="preserve">СОТР-097</x:t>
        </x:is>
      </x:c>
      <x:c r="H687" s="31" t="inlineStr">
        <x:is>
          <x:t xml:space="preserve">ОТК</x:t>
        </x:is>
      </x:c>
      <x:c r="I687" s="31" t="n">
        <x:v>1</x:v>
      </x:c>
      <x:c r="J687" s="31" t="n">
        <x:v>1</x:v>
      </x:c>
      <x:c r="K687" s="31" t="n">
        <x:v>1.1</x:v>
      </x:c>
      <x:c r="L687" s="31" t="n">
        <x:v>1.1</x:v>
      </x:c>
      <x:c r="M687" s="31" t="n">
        <x:v>30</x:v>
      </x:c>
      <x:c r="N687" s="31" t="inlineStr">
        <x:is>
          <x:t xml:space="preserve">Ожидание материала</x:t>
        </x:is>
      </x:c>
      <x:c r="O687" s="31" t="inlineStr">
        <x:is>
          <x:t xml:space="preserve">Закрыто</x:t>
        </x:is>
      </x:c>
      <x:c r="P687" s="31" t="inlineStr">
        <x:is>
          <x:t xml:space="preserve">Комментарий смены 738</x:t>
        </x:is>
      </x:c>
    </x:row>
    <x:row r="688">
      <x:c r="A688" s="31" t="inlineStr">
        <x:is>
          <x:t xml:space="preserve">СМ-00739</x:t>
        </x:is>
      </x:c>
      <x:c r="B688" s="31" t="n">
        <x:v>46197</x:v>
      </x:c>
      <x:c r="C688" s="31" t="inlineStr">
        <x:is>
          <x:t xml:space="preserve">Вечер</x:t>
        </x:is>
      </x:c>
      <x:c r="D688" s="31" t="inlineStr">
        <x:is>
          <x:t xml:space="preserve">ПЗ-00147</x:t>
        </x:is>
      </x:c>
      <x:c r="E688" s="31" t="inlineStr">
        <x:is>
          <x:t xml:space="preserve">ОП-001221</x:t>
        </x:is>
      </x:c>
      <x:c r="F688" s="31" t="inlineStr">
        <x:is>
          <x:t xml:space="preserve">ОБ-004</x:t>
        </x:is>
      </x:c>
      <x:c r="G688" s="31" t="inlineStr">
        <x:is>
          <x:t xml:space="preserve">СОТР-056</x:t>
        </x:is>
      </x:c>
      <x:c r="H688" s="31" t="inlineStr">
        <x:is>
          <x:t xml:space="preserve">Сварка</x:t>
        </x:is>
      </x:c>
      <x:c r="I688" s="31" t="n">
        <x:v>1</x:v>
      </x:c>
      <x:c r="J688" s="31" t="n">
        <x:v>1</x:v>
      </x:c>
      <x:c r="K688" s="31" t="n">
        <x:v>21.3</x:v>
      </x:c>
      <x:c r="L688" s="31" t="n">
        <x:v>18.5</x:v>
      </x:c>
      <x:c r="M688" s="31" t="n">
        <x:v>30</x:v>
      </x:c>
      <x:c r="N688" s="31" t="inlineStr">
        <x:is>
          <x:t xml:space="preserve">Ожидание ОТК</x:t>
        </x:is>
      </x:c>
      <x:c r="O688" s="31" t="inlineStr">
        <x:is>
          <x:t xml:space="preserve">Подтверждено мастером</x:t>
        </x:is>
      </x:c>
      <x:c r="P688" s="31" t="inlineStr">
        <x:is>
          <x:t xml:space="preserve">Комментарий смены 739</x:t>
        </x:is>
      </x:c>
    </x:row>
    <x:row r="689">
      <x:c r="A689" s="31" t="inlineStr">
        <x:is>
          <x:t xml:space="preserve">СМ-00740</x:t>
        </x:is>
      </x:c>
      <x:c r="B689" s="31" t="n">
        <x:v>46118</x:v>
      </x:c>
      <x:c r="C689" s="31" t="inlineStr">
        <x:is>
          <x:t xml:space="preserve">День</x:t>
        </x:is>
      </x:c>
      <x:c r="D689" s="31" t="inlineStr">
        <x:is>
          <x:t xml:space="preserve">ПЗ-00109</x:t>
        </x:is>
      </x:c>
      <x:c r="E689" s="31" t="inlineStr">
        <x:is>
          <x:t xml:space="preserve">ОП-000918</x:t>
        </x:is>
      </x:c>
      <x:c r="F689" s="31" t="inlineStr">
        <x:is>
          <x:t xml:space="preserve">ОБ-006</x:t>
        </x:is>
      </x:c>
      <x:c r="G689" s="31" t="inlineStr">
        <x:is>
          <x:t xml:space="preserve">СОТР-099</x:t>
        </x:is>
      </x:c>
      <x:c r="H689" s="31" t="inlineStr">
        <x:is>
          <x:t xml:space="preserve">ОТК</x:t>
        </x:is>
      </x:c>
      <x:c r="I689" s="31" t="n">
        <x:v>1</x:v>
      </x:c>
      <x:c r="J689" s="31" t="n">
        <x:v>0</x:v>
      </x:c>
      <x:c r="K689" s="31" t="n">
        <x:v>10</x:v>
      </x:c>
      <x:c r="L689" s="31" t="n">
        <x:v>7.9</x:v>
      </x:c>
      <x:c r="M689" s="31" t="n">
        <x:v>120</x:v>
      </x:c>
      <x:c r="N689" s="31" t="inlineStr">
        <x:is>
          <x:t xml:space="preserve">Ожидание материала</x:t>
        </x:is>
      </x:c>
      <x:c r="O689" s="31" t="inlineStr">
        <x:is>
          <x:t xml:space="preserve">Спорный факт</x:t>
        </x:is>
      </x:c>
      <x:c r="P689" s="31" t="inlineStr">
        <x:is>
          <x:t xml:space="preserve">Комментарий смены 740</x:t>
        </x:is>
      </x:c>
    </x:row>
    <x:row r="690">
      <x:c r="A690" s="31" t="inlineStr">
        <x:is>
          <x:t xml:space="preserve">СМ-00741</x:t>
        </x:is>
      </x:c>
      <x:c r="B690" s="31" t="n">
        <x:v>46199</x:v>
      </x:c>
      <x:c r="C690" s="31" t="inlineStr">
        <x:is>
          <x:t xml:space="preserve">День</x:t>
        </x:is>
      </x:c>
      <x:c r="D690" s="31" t="inlineStr">
        <x:is>
          <x:t xml:space="preserve">ПЗ-00005</x:t>
        </x:is>
      </x:c>
      <x:c r="E690" s="31" t="inlineStr">
        <x:is>
          <x:t xml:space="preserve">ОП-000032</x:t>
        </x:is>
      </x:c>
      <x:c r="F690" s="31" t="inlineStr">
        <x:is>
          <x:t xml:space="preserve">ОБ-008</x:t>
        </x:is>
      </x:c>
      <x:c r="G690" s="31" t="inlineStr">
        <x:is>
          <x:t xml:space="preserve">СОТР-037</x:t>
        </x:is>
      </x:c>
      <x:c r="H690" s="31" t="inlineStr">
        <x:is>
          <x:t xml:space="preserve">Склад</x:t>
        </x:is>
      </x:c>
      <x:c r="I690" s="31" t="n">
        <x:v>2</x:v>
      </x:c>
      <x:c r="J690" s="31" t="n">
        <x:v>2</x:v>
      </x:c>
      <x:c r="K690" s="31" t="n">
        <x:v>17.4</x:v>
      </x:c>
      <x:c r="L690" s="31" t="n">
        <x:v>13.9</x:v>
      </x:c>
      <x:c r="M690" s="31" t="n">
        <x:v>15</x:v>
      </x:c>
      <x:c r="N690" s="31" t="inlineStr">
        <x:is>
          <x:t xml:space="preserve">Ожидание материала</x:t>
        </x:is>
      </x:c>
      <x:c r="O690" s="31" t="inlineStr">
        <x:is>
          <x:t xml:space="preserve">Закрыто</x:t>
        </x:is>
      </x:c>
      <x:c r="P690" s="31" t="inlineStr">
        <x:is>
          <x:t xml:space="preserve">Комментарий смены 741</x:t>
        </x:is>
      </x:c>
    </x:row>
    <x:row r="691">
      <x:c r="A691" s="31" t="inlineStr">
        <x:is>
          <x:t xml:space="preserve">СМ-00742</x:t>
        </x:is>
      </x:c>
      <x:c r="B691" s="31" t="n">
        <x:v>46219</x:v>
      </x:c>
      <x:c r="C691" s="31" t="inlineStr">
        <x:is>
          <x:t xml:space="preserve">Ночь</x:t>
        </x:is>
      </x:c>
      <x:c r="D691" s="31" t="inlineStr">
        <x:is>
          <x:t xml:space="preserve">ПЗ-00222</x:t>
        </x:is>
      </x:c>
      <x:c r="E691" s="31" t="inlineStr">
        <x:is>
          <x:t xml:space="preserve">ОП-001864</x:t>
        </x:is>
      </x:c>
      <x:c r="F691" s="31" t="n"/>
      <x:c r="G691" s="31" t="inlineStr">
        <x:is>
          <x:t xml:space="preserve">СОТР-014</x:t>
        </x:is>
      </x:c>
      <x:c r="H691" s="31" t="inlineStr">
        <x:is>
          <x:t xml:space="preserve">Инженерный отдел</x:t>
        </x:is>
      </x:c>
      <x:c r="I691" s="31" t="n">
        <x:v>3</x:v>
      </x:c>
      <x:c r="J691" s="31" t="n">
        <x:v>3</x:v>
      </x:c>
      <x:c r="K691" s="31" t="n">
        <x:v>5.2</x:v>
      </x:c>
      <x:c r="L691" s="31" t="n">
        <x:v>5.1</x:v>
      </x:c>
      <x:c r="M691" s="31" t="n">
        <x:v>0</x:v>
      </x:c>
      <x:c r="N691" s="31" t="inlineStr">
        <x:is>
          <x:t xml:space="preserve">Нет</x:t>
        </x:is>
      </x:c>
      <x:c r="O691" s="31" t="inlineStr">
        <x:is>
          <x:t xml:space="preserve">Подтверждено мастером</x:t>
        </x:is>
      </x:c>
      <x:c r="P691" s="31" t="inlineStr">
        <x:is>
          <x:t xml:space="preserve">Комментарий смены 742</x:t>
        </x:is>
      </x:c>
    </x:row>
    <x:row r="692">
      <x:c r="A692" s="31" t="inlineStr">
        <x:is>
          <x:t xml:space="preserve">СМ-00743</x:t>
        </x:is>
      </x:c>
      <x:c r="B692" s="31" t="n">
        <x:v>46187</x:v>
      </x:c>
      <x:c r="C692" s="31" t="inlineStr">
        <x:is>
          <x:t xml:space="preserve">День</x:t>
        </x:is>
      </x:c>
      <x:c r="D692" s="31" t="inlineStr">
        <x:is>
          <x:t xml:space="preserve">ПЗ-00213</x:t>
        </x:is>
      </x:c>
      <x:c r="E692" s="31" t="inlineStr">
        <x:is>
          <x:t xml:space="preserve">ОП-001787</x:t>
        </x:is>
      </x:c>
      <x:c r="F692" s="31" t="inlineStr">
        <x:is>
          <x:t xml:space="preserve">ОБ-014</x:t>
        </x:is>
      </x:c>
      <x:c r="G692" s="31" t="inlineStr">
        <x:is>
          <x:t xml:space="preserve">СОТР-079</x:t>
        </x:is>
      </x:c>
      <x:c r="H692" s="31" t="inlineStr">
        <x:is>
          <x:t xml:space="preserve">Сборка</x:t>
        </x:is>
      </x:c>
      <x:c r="I692" s="31" t="n">
        <x:v>2</x:v>
      </x:c>
      <x:c r="J692" s="31" t="n">
        <x:v>3</x:v>
      </x:c>
      <x:c r="K692" s="31" t="n">
        <x:v>8.5</x:v>
      </x:c>
      <x:c r="L692" s="31" t="n">
        <x:v>9.800000000000001</x:v>
      </x:c>
      <x:c r="M692" s="31" t="n">
        <x:v>90</x:v>
      </x:c>
      <x:c r="N692" s="31" t="inlineStr">
        <x:is>
          <x:t xml:space="preserve">Нет оператора</x:t>
        </x:is>
      </x:c>
      <x:c r="O692" s="31" t="inlineStr">
        <x:is>
          <x:t xml:space="preserve">Черновик</x:t>
        </x:is>
      </x:c>
      <x:c r="P692" s="31" t="inlineStr">
        <x:is>
          <x:t xml:space="preserve">Комментарий смены 743</x:t>
        </x:is>
      </x:c>
    </x:row>
    <x:row r="693">
      <x:c r="A693" s="31" t="inlineStr">
        <x:is>
          <x:t xml:space="preserve">СМ-00744</x:t>
        </x:is>
      </x:c>
      <x:c r="B693" s="31" t="n">
        <x:v>46131</x:v>
      </x:c>
      <x:c r="C693" s="31" t="inlineStr">
        <x:is>
          <x:t xml:space="preserve">День</x:t>
        </x:is>
      </x:c>
      <x:c r="D693" s="31" t="inlineStr">
        <x:is>
          <x:t xml:space="preserve">ПЗ-00163</x:t>
        </x:is>
      </x:c>
      <x:c r="E693" s="31" t="inlineStr">
        <x:is>
          <x:t xml:space="preserve">ОП-001358</x:t>
        </x:is>
      </x:c>
      <x:c r="F693" s="31" t="inlineStr">
        <x:is>
          <x:t xml:space="preserve">ОБ-012</x:t>
        </x:is>
      </x:c>
      <x:c r="G693" s="31" t="inlineStr">
        <x:is>
          <x:t xml:space="preserve">СОТР-079</x:t>
        </x:is>
      </x:c>
      <x:c r="H693" s="31" t="inlineStr">
        <x:is>
          <x:t xml:space="preserve">Сборка</x:t>
        </x:is>
      </x:c>
      <x:c r="I693" s="31" t="n">
        <x:v>1</x:v>
      </x:c>
      <x:c r="J693" s="31" t="n">
        <x:v>0</x:v>
      </x:c>
      <x:c r="K693" s="31" t="n">
        <x:v>17.6</x:v>
      </x:c>
      <x:c r="L693" s="31" t="n">
        <x:v>11.5</x:v>
      </x:c>
      <x:c r="M693" s="31" t="n">
        <x:v>30</x:v>
      </x:c>
      <x:c r="N693" s="31" t="inlineStr">
        <x:is>
          <x:t xml:space="preserve">Переналадка</x:t>
        </x:is>
      </x:c>
      <x:c r="O693" s="31" t="inlineStr">
        <x:is>
          <x:t xml:space="preserve">Подтверждено мастером</x:t>
        </x:is>
      </x:c>
      <x:c r="P693" s="31" t="inlineStr">
        <x:is>
          <x:t xml:space="preserve">Комментарий смены 744</x:t>
        </x:is>
      </x:c>
    </x:row>
    <x:row r="694">
      <x:c r="A694" s="31" t="inlineStr">
        <x:is>
          <x:t xml:space="preserve">СМ-00745</x:t>
        </x:is>
      </x:c>
      <x:c r="B694" s="31" t="n">
        <x:v>46093</x:v>
      </x:c>
      <x:c r="C694" s="31" t="inlineStr">
        <x:is>
          <x:t xml:space="preserve">Ночь</x:t>
        </x:is>
      </x:c>
      <x:c r="D694" s="31" t="inlineStr">
        <x:is>
          <x:t xml:space="preserve">ПЗ-00245</x:t>
        </x:is>
      </x:c>
      <x:c r="E694" s="31" t="inlineStr">
        <x:is>
          <x:t xml:space="preserve">ОП-002051</x:t>
        </x:is>
      </x:c>
      <x:c r="F694" s="31" t="inlineStr">
        <x:is>
          <x:t xml:space="preserve">ОБ-024</x:t>
        </x:is>
      </x:c>
      <x:c r="G694" s="31" t="inlineStr">
        <x:is>
          <x:t xml:space="preserve">СОТР-092</x:t>
        </x:is>
      </x:c>
      <x:c r="H694" s="31" t="inlineStr">
        <x:is>
          <x:t xml:space="preserve">ОТК</x:t>
        </x:is>
      </x:c>
      <x:c r="I694" s="31" t="n">
        <x:v>1</x:v>
      </x:c>
      <x:c r="J694" s="31" t="n">
        <x:v>1</x:v>
      </x:c>
      <x:c r="K694" s="31" t="n">
        <x:v>28.8</x:v>
      </x:c>
      <x:c r="L694" s="31" t="n">
        <x:v>32.7</x:v>
      </x:c>
      <x:c r="M694" s="31" t="n">
        <x:v>0</x:v>
      </x:c>
      <x:c r="N694" s="31" t="inlineStr">
        <x:is>
          <x:t xml:space="preserve">Нет</x:t>
        </x:is>
      </x:c>
      <x:c r="O694" s="31" t="inlineStr">
        <x:is>
          <x:t xml:space="preserve">Подтверждено мастером</x:t>
        </x:is>
      </x:c>
      <x:c r="P694" s="31" t="inlineStr">
        <x:is>
          <x:t xml:space="preserve">Комментарий смены 745</x:t>
        </x:is>
      </x:c>
    </x:row>
    <x:row r="695">
      <x:c r="A695" s="31" t="inlineStr">
        <x:is>
          <x:t xml:space="preserve">СМ-00746</x:t>
        </x:is>
      </x:c>
      <x:c r="B695" s="31" t="n">
        <x:v>46178</x:v>
      </x:c>
      <x:c r="C695" s="31" t="inlineStr">
        <x:is>
          <x:t xml:space="preserve">День</x:t>
        </x:is>
      </x:c>
      <x:c r="D695" s="31" t="inlineStr">
        <x:is>
          <x:t xml:space="preserve">ПЗ-00204</x:t>
        </x:is>
      </x:c>
      <x:c r="E695" s="31" t="inlineStr">
        <x:is>
          <x:t xml:space="preserve">ОП-001708</x:t>
        </x:is>
      </x:c>
      <x:c r="F695" s="31" t="inlineStr">
        <x:is>
          <x:t xml:space="preserve">ОБ-002</x:t>
        </x:is>
      </x:c>
      <x:c r="G695" s="31" t="inlineStr">
        <x:is>
          <x:t xml:space="preserve">СОТР-090</x:t>
        </x:is>
      </x:c>
      <x:c r="H695" s="31" t="inlineStr">
        <x:is>
          <x:t xml:space="preserve">Сборка</x:t>
        </x:is>
      </x:c>
      <x:c r="I695" s="31" t="n">
        <x:v>2</x:v>
      </x:c>
      <x:c r="J695" s="31" t="n">
        <x:v>1</x:v>
      </x:c>
      <x:c r="K695" s="31" t="n">
        <x:v>82.5</x:v>
      </x:c>
      <x:c r="L695" s="31" t="n">
        <x:v>87.7</x:v>
      </x:c>
      <x:c r="M695" s="31" t="n">
        <x:v>45</x:v>
      </x:c>
      <x:c r="N695" s="31" t="inlineStr">
        <x:is>
          <x:t xml:space="preserve">Ремонт оборудования</x:t>
        </x:is>
      </x:c>
      <x:c r="O695" s="31" t="inlineStr">
        <x:is>
          <x:t xml:space="preserve">Закрыто</x:t>
        </x:is>
      </x:c>
      <x:c r="P695" s="31" t="inlineStr">
        <x:is>
          <x:t xml:space="preserve">Комментарий смены 746</x:t>
        </x:is>
      </x:c>
    </x:row>
    <x:row r="696">
      <x:c r="A696" s="31" t="inlineStr">
        <x:is>
          <x:t xml:space="preserve">СМ-00747</x:t>
        </x:is>
      </x:c>
      <x:c r="B696" s="31" t="n">
        <x:v>46208</x:v>
      </x:c>
      <x:c r="C696" s="31" t="inlineStr">
        <x:is>
          <x:t xml:space="preserve">День</x:t>
        </x:is>
      </x:c>
      <x:c r="D696" s="31" t="inlineStr">
        <x:is>
          <x:t xml:space="preserve">ПЗ-00210</x:t>
        </x:is>
      </x:c>
      <x:c r="E696" s="31" t="inlineStr">
        <x:is>
          <x:t xml:space="preserve">ОП-001763</x:t>
        </x:is>
      </x:c>
      <x:c r="F696" s="31" t="n"/>
      <x:c r="G696" s="31" t="inlineStr">
        <x:is>
          <x:t xml:space="preserve">СОТР-103</x:t>
        </x:is>
      </x:c>
      <x:c r="H696" s="31" t="inlineStr">
        <x:is>
          <x:t xml:space="preserve">Логистика</x:t>
        </x:is>
      </x:c>
      <x:c r="I696" s="31" t="n">
        <x:v>1</x:v>
      </x:c>
      <x:c r="J696" s="31" t="n">
        <x:v>2</x:v>
      </x:c>
      <x:c r="K696" s="31" t="n">
        <x:v>18.4</x:v>
      </x:c>
      <x:c r="L696" s="31" t="n">
        <x:v>16.5</x:v>
      </x:c>
      <x:c r="M696" s="31" t="n">
        <x:v>30</x:v>
      </x:c>
      <x:c r="N696" s="31" t="inlineStr">
        <x:is>
          <x:t xml:space="preserve">Ожидание материала</x:t>
        </x:is>
      </x:c>
      <x:c r="O696" s="31" t="inlineStr">
        <x:is>
          <x:t xml:space="preserve">Подтверждено мастером</x:t>
        </x:is>
      </x:c>
      <x:c r="P696" s="31" t="inlineStr">
        <x:is>
          <x:t xml:space="preserve">Комментарий смены 747</x:t>
        </x:is>
      </x:c>
    </x:row>
    <x:row r="697">
      <x:c r="A697" s="31" t="inlineStr">
        <x:is>
          <x:t xml:space="preserve">СМ-00748</x:t>
        </x:is>
      </x:c>
      <x:c r="B697" s="31" t="n">
        <x:v>46159</x:v>
      </x:c>
      <x:c r="C697" s="31" t="inlineStr">
        <x:is>
          <x:t xml:space="preserve">День</x:t>
        </x:is>
      </x:c>
      <x:c r="D697" s="31" t="inlineStr">
        <x:is>
          <x:t xml:space="preserve">ПЗ-00087</x:t>
        </x:is>
      </x:c>
      <x:c r="E697" s="31" t="inlineStr">
        <x:is>
          <x:t xml:space="preserve">ОП-000739</x:t>
        </x:is>
      </x:c>
      <x:c r="F697" s="31" t="inlineStr">
        <x:is>
          <x:t xml:space="preserve">ОБ-012</x:t>
        </x:is>
      </x:c>
      <x:c r="G697" s="31" t="inlineStr">
        <x:is>
          <x:t xml:space="preserve">СОТР-091</x:t>
        </x:is>
      </x:c>
      <x:c r="H697" s="31" t="inlineStr">
        <x:is>
          <x:t xml:space="preserve">Сборка</x:t>
        </x:is>
      </x:c>
      <x:c r="I697" s="31" t="n">
        <x:v>2</x:v>
      </x:c>
      <x:c r="J697" s="31" t="n">
        <x:v>2</x:v>
      </x:c>
      <x:c r="K697" s="31" t="n">
        <x:v>54</x:v>
      </x:c>
      <x:c r="L697" s="31" t="n">
        <x:v>71.3</x:v>
      </x:c>
      <x:c r="M697" s="31" t="n">
        <x:v>0</x:v>
      </x:c>
      <x:c r="N697" s="31" t="inlineStr">
        <x:is>
          <x:t xml:space="preserve">Нет</x:t>
        </x:is>
      </x:c>
      <x:c r="O697" s="31" t="inlineStr">
        <x:is>
          <x:t xml:space="preserve">Подтверждено мастером</x:t>
        </x:is>
      </x:c>
      <x:c r="P697" s="31" t="inlineStr">
        <x:is>
          <x:t xml:space="preserve">Комментарий смены 748</x:t>
        </x:is>
      </x:c>
    </x:row>
    <x:row r="698">
      <x:c r="A698" s="31" t="inlineStr">
        <x:is>
          <x:t xml:space="preserve">СМ-00749</x:t>
        </x:is>
      </x:c>
      <x:c r="B698" s="31" t="n">
        <x:v>46166</x:v>
      </x:c>
      <x:c r="C698" s="31" t="inlineStr">
        <x:is>
          <x:t xml:space="preserve">Вечер</x:t>
        </x:is>
      </x:c>
      <x:c r="D698" s="31" t="inlineStr">
        <x:is>
          <x:t xml:space="preserve">ПЗ-00196</x:t>
        </x:is>
      </x:c>
      <x:c r="E698" s="31" t="inlineStr">
        <x:is>
          <x:t xml:space="preserve">ОП-001642</x:t>
        </x:is>
      </x:c>
      <x:c r="F698" s="31" t="inlineStr">
        <x:is>
          <x:t xml:space="preserve">ОБ-002</x:t>
        </x:is>
      </x:c>
      <x:c r="G698" s="31" t="inlineStr">
        <x:is>
          <x:t xml:space="preserve">СОТР-091</x:t>
        </x:is>
      </x:c>
      <x:c r="H698" s="31" t="inlineStr">
        <x:is>
          <x:t xml:space="preserve">Сборка</x:t>
        </x:is>
      </x:c>
      <x:c r="I698" s="31" t="n">
        <x:v>3</x:v>
      </x:c>
      <x:c r="J698" s="31" t="n">
        <x:v>2</x:v>
      </x:c>
      <x:c r="K698" s="31" t="n">
        <x:v>82.5</x:v>
      </x:c>
      <x:c r="L698" s="31" t="n">
        <x:v>69.40000000000001</x:v>
      </x:c>
      <x:c r="M698" s="31" t="n">
        <x:v>30</x:v>
      </x:c>
      <x:c r="N698" s="31" t="inlineStr">
        <x:is>
          <x:t xml:space="preserve">Нет оператора</x:t>
        </x:is>
      </x:c>
      <x:c r="O698" s="31" t="inlineStr">
        <x:is>
          <x:t xml:space="preserve">Подтверждено мастером</x:t>
        </x:is>
      </x:c>
      <x:c r="P698" s="31" t="inlineStr">
        <x:is>
          <x:t xml:space="preserve">Комментарий смены 749</x:t>
        </x:is>
      </x:c>
    </x:row>
    <x:row r="699">
      <x:c r="A699" s="31" t="inlineStr">
        <x:is>
          <x:t xml:space="preserve">СМ-00750</x:t>
        </x:is>
      </x:c>
      <x:c r="B699" s="31" t="n">
        <x:v>46167</x:v>
      </x:c>
      <x:c r="C699" s="31" t="inlineStr">
        <x:is>
          <x:t xml:space="preserve">День</x:t>
        </x:is>
      </x:c>
      <x:c r="D699" s="31" t="inlineStr">
        <x:is>
          <x:t xml:space="preserve">ПЗ-00002</x:t>
        </x:is>
      </x:c>
      <x:c r="E699" s="31" t="inlineStr">
        <x:is>
          <x:t xml:space="preserve">ОП-000011</x:t>
        </x:is>
      </x:c>
      <x:c r="F699" s="31" t="inlineStr">
        <x:is>
          <x:t xml:space="preserve">ОБ-011</x:t>
        </x:is>
      </x:c>
      <x:c r="G699" s="31" t="inlineStr">
        <x:is>
          <x:t xml:space="preserve">СОТР-038</x:t>
        </x:is>
      </x:c>
      <x:c r="H699" s="31" t="inlineStr">
        <x:is>
          <x:t xml:space="preserve">Склад</x:t>
        </x:is>
      </x:c>
      <x:c r="I699" s="31" t="n">
        <x:v>1</x:v>
      </x:c>
      <x:c r="J699" s="31" t="n">
        <x:v>2</x:v>
      </x:c>
      <x:c r="K699" s="31" t="n">
        <x:v>7.1</x:v>
      </x:c>
      <x:c r="L699" s="31" t="n">
        <x:v>6.8</x:v>
      </x:c>
      <x:c r="M699" s="31" t="n">
        <x:v>0</x:v>
      </x:c>
      <x:c r="N699" s="31" t="inlineStr">
        <x:is>
          <x:t xml:space="preserve">Нет</x:t>
        </x:is>
      </x:c>
      <x:c r="O699" s="31" t="inlineStr">
        <x:is>
          <x:t xml:space="preserve">Подтверждено мастером</x:t>
        </x:is>
      </x:c>
      <x:c r="P699" s="31" t="inlineStr">
        <x:is>
          <x:t xml:space="preserve">Комментарий смены 750</x:t>
        </x:is>
      </x:c>
    </x:row>
    <x:row r="700">
      <x:c r="A700" s="31" t="inlineStr">
        <x:is>
          <x:t xml:space="preserve">СМ-00751</x:t>
        </x:is>
      </x:c>
      <x:c r="B700" s="31" t="n">
        <x:v>46082</x:v>
      </x:c>
      <x:c r="C700" s="31" t="inlineStr">
        <x:is>
          <x:t xml:space="preserve">День</x:t>
        </x:is>
      </x:c>
      <x:c r="D700" s="31" t="inlineStr">
        <x:is>
          <x:t xml:space="preserve">ПЗ-00057</x:t>
        </x:is>
      </x:c>
      <x:c r="E700" s="31" t="inlineStr">
        <x:is>
          <x:t xml:space="preserve">ОП-000473</x:t>
        </x:is>
      </x:c>
      <x:c r="F700" s="31" t="inlineStr">
        <x:is>
          <x:t xml:space="preserve">ОБ-025</x:t>
        </x:is>
      </x:c>
      <x:c r="G700" s="31" t="inlineStr">
        <x:is>
          <x:t xml:space="preserve">СОТР-024</x:t>
        </x:is>
      </x:c>
      <x:c r="H700" s="31" t="inlineStr">
        <x:is>
          <x:t xml:space="preserve">Склад</x:t>
        </x:is>
      </x:c>
      <x:c r="I700" s="31" t="n">
        <x:v>1</x:v>
      </x:c>
      <x:c r="J700" s="31" t="n">
        <x:v>1</x:v>
      </x:c>
      <x:c r="K700" s="31" t="n">
        <x:v>9.800000000000001</x:v>
      </x:c>
      <x:c r="L700" s="31" t="n">
        <x:v>9.1</x:v>
      </x:c>
      <x:c r="M700" s="31" t="n">
        <x:v>0</x:v>
      </x:c>
      <x:c r="N700" s="31" t="inlineStr">
        <x:is>
          <x:t xml:space="preserve">Нет</x:t>
        </x:is>
      </x:c>
      <x:c r="O700" s="31" t="inlineStr">
        <x:is>
          <x:t xml:space="preserve">Подтверждено мастером</x:t>
        </x:is>
      </x:c>
      <x:c r="P700" s="31" t="inlineStr">
        <x:is>
          <x:t xml:space="preserve">Комментарий смены 751</x:t>
        </x:is>
      </x:c>
    </x:row>
    <x:row r="701">
      <x:c r="A701" s="31" t="inlineStr">
        <x:is>
          <x:t xml:space="preserve">СМ-00753</x:t>
        </x:is>
      </x:c>
      <x:c r="B701" s="31" t="n">
        <x:v>46142</x:v>
      </x:c>
      <x:c r="C701" s="31" t="inlineStr">
        <x:is>
          <x:t xml:space="preserve">День</x:t>
        </x:is>
      </x:c>
      <x:c r="D701" s="31" t="inlineStr">
        <x:is>
          <x:t xml:space="preserve">ПЗ-00058</x:t>
        </x:is>
      </x:c>
      <x:c r="E701" s="31" t="inlineStr">
        <x:is>
          <x:t xml:space="preserve">ОП-000487</x:t>
        </x:is>
      </x:c>
      <x:c r="F701" s="31" t="inlineStr">
        <x:is>
          <x:t xml:space="preserve">ОБ-020</x:t>
        </x:is>
      </x:c>
      <x:c r="G701" s="31" t="inlineStr">
        <x:is>
          <x:t xml:space="preserve">СОТР-079</x:t>
        </x:is>
      </x:c>
      <x:c r="H701" s="31" t="inlineStr">
        <x:is>
          <x:t xml:space="preserve">Сборка</x:t>
        </x:is>
      </x:c>
      <x:c r="I701" s="31" t="n">
        <x:v>1</x:v>
      </x:c>
      <x:c r="J701" s="31" t="n">
        <x:v>0</x:v>
      </x:c>
      <x:c r="K701" s="31" t="n">
        <x:v>12.6</x:v>
      </x:c>
      <x:c r="L701" s="31" t="n">
        <x:v>13</x:v>
      </x:c>
      <x:c r="M701" s="31" t="n">
        <x:v>15</x:v>
      </x:c>
      <x:c r="N701" s="31" t="inlineStr">
        <x:is>
          <x:t xml:space="preserve">Переналадка</x:t>
        </x:is>
      </x:c>
      <x:c r="O701" s="31" t="inlineStr">
        <x:is>
          <x:t xml:space="preserve">Подтверждено мастером</x:t>
        </x:is>
      </x:c>
      <x:c r="P701" s="31" t="inlineStr">
        <x:is>
          <x:t xml:space="preserve">Комментарий смены 753</x:t>
        </x:is>
      </x:c>
    </x:row>
    <x:row r="702">
      <x:c r="A702" s="31" t="inlineStr">
        <x:is>
          <x:t xml:space="preserve">СМ-00754</x:t>
        </x:is>
      </x:c>
      <x:c r="B702" s="31" t="n">
        <x:v>46160</x:v>
      </x:c>
      <x:c r="C702" s="31" t="inlineStr">
        <x:is>
          <x:t xml:space="preserve">День</x:t>
        </x:is>
      </x:c>
      <x:c r="D702" s="31" t="inlineStr">
        <x:is>
          <x:t xml:space="preserve">ПЗ-00061</x:t>
        </x:is>
      </x:c>
      <x:c r="E702" s="31" t="inlineStr">
        <x:is>
          <x:t xml:space="preserve">ОП-000514</x:t>
        </x:is>
      </x:c>
      <x:c r="F702" s="31" t="inlineStr">
        <x:is>
          <x:t xml:space="preserve">ОБ-017</x:t>
        </x:is>
      </x:c>
      <x:c r="G702" s="31" t="inlineStr">
        <x:is>
          <x:t xml:space="preserve">СОТР-074</x:t>
        </x:is>
      </x:c>
      <x:c r="H702" s="31" t="inlineStr">
        <x:is>
          <x:t xml:space="preserve">Сборка</x:t>
        </x:is>
      </x:c>
      <x:c r="I702" s="31" t="n">
        <x:v>2</x:v>
      </x:c>
      <x:c r="J702" s="31" t="n">
        <x:v>1</x:v>
      </x:c>
      <x:c r="K702" s="31" t="n">
        <x:v>6.9</x:v>
      </x:c>
      <x:c r="L702" s="31" t="n">
        <x:v>7.7</x:v>
      </x:c>
      <x:c r="M702" s="31" t="n">
        <x:v>15</x:v>
      </x:c>
      <x:c r="N702" s="31" t="inlineStr">
        <x:is>
          <x:t xml:space="preserve">Переналадка</x:t>
        </x:is>
      </x:c>
      <x:c r="O702" s="31" t="inlineStr">
        <x:is>
          <x:t xml:space="preserve">Черновик</x:t>
        </x:is>
      </x:c>
      <x:c r="P702" s="31" t="inlineStr">
        <x:is>
          <x:t xml:space="preserve">Комментарий смены 754</x:t>
        </x:is>
      </x:c>
    </x:row>
    <x:row r="703">
      <x:c r="A703" s="31" t="inlineStr">
        <x:is>
          <x:t xml:space="preserve">СМ-00755</x:t>
        </x:is>
      </x:c>
      <x:c r="B703" s="31" t="n">
        <x:v>46191</x:v>
      </x:c>
      <x:c r="C703" s="31" t="inlineStr">
        <x:is>
          <x:t xml:space="preserve">Ночь</x:t>
        </x:is>
      </x:c>
      <x:c r="D703" s="31" t="inlineStr">
        <x:is>
          <x:t xml:space="preserve">ПЗ-00184</x:t>
        </x:is>
      </x:c>
      <x:c r="E703" s="31" t="inlineStr">
        <x:is>
          <x:t xml:space="preserve">ОП-001531</x:t>
        </x:is>
      </x:c>
      <x:c r="F703" s="31" t="inlineStr">
        <x:is>
          <x:t xml:space="preserve">ОБ-016</x:t>
        </x:is>
      </x:c>
      <x:c r="G703" s="31" t="inlineStr">
        <x:is>
          <x:t xml:space="preserve">СОТР-073</x:t>
        </x:is>
      </x:c>
      <x:c r="H703" s="31" t="inlineStr">
        <x:is>
          <x:t xml:space="preserve">Сборка</x:t>
        </x:is>
      </x:c>
      <x:c r="I703" s="31" t="n">
        <x:v>2</x:v>
      </x:c>
      <x:c r="J703" s="31" t="n">
        <x:v>0</x:v>
      </x:c>
      <x:c r="K703" s="31" t="n">
        <x:v>14</x:v>
      </x:c>
      <x:c r="L703" s="31" t="n">
        <x:v>11.9</x:v>
      </x:c>
      <x:c r="M703" s="31" t="n">
        <x:v>120</x:v>
      </x:c>
      <x:c r="N703" s="31" t="inlineStr">
        <x:is>
          <x:t xml:space="preserve">Ремонт оборудования</x:t>
        </x:is>
      </x:c>
      <x:c r="O703" s="31" t="inlineStr">
        <x:is>
          <x:t xml:space="preserve">Подтверждено мастером</x:t>
        </x:is>
      </x:c>
      <x:c r="P703" s="31" t="inlineStr">
        <x:is>
          <x:t xml:space="preserve">Комментарий смены 755</x:t>
        </x:is>
      </x:c>
    </x:row>
    <x:row r="704">
      <x:c r="A704" s="31" t="inlineStr">
        <x:is>
          <x:t xml:space="preserve">СМ-00756</x:t>
        </x:is>
      </x:c>
      <x:c r="B704" s="31" t="n">
        <x:v>46115</x:v>
      </x:c>
      <x:c r="C704" s="31" t="inlineStr">
        <x:is>
          <x:t xml:space="preserve">День</x:t>
        </x:is>
      </x:c>
      <x:c r="D704" s="31" t="inlineStr">
        <x:is>
          <x:t xml:space="preserve">ПЗ-00031</x:t>
        </x:is>
      </x:c>
      <x:c r="E704" s="31" t="inlineStr">
        <x:is>
          <x:t xml:space="preserve">ОП-000271</x:t>
        </x:is>
      </x:c>
      <x:c r="F704" s="31" t="inlineStr">
        <x:is>
          <x:t xml:space="preserve">ОБ-002</x:t>
        </x:is>
      </x:c>
      <x:c r="G704" s="31" t="inlineStr">
        <x:is>
          <x:t xml:space="preserve">СОТР-032</x:t>
        </x:is>
      </x:c>
      <x:c r="H704" s="31" t="inlineStr">
        <x:is>
          <x:t xml:space="preserve">Сборка</x:t>
        </x:is>
      </x:c>
      <x:c r="I704" s="31" t="n">
        <x:v>2</x:v>
      </x:c>
      <x:c r="J704" s="31" t="n">
        <x:v>1</x:v>
      </x:c>
      <x:c r="K704" s="31" t="n">
        <x:v>55</x:v>
      </x:c>
      <x:c r="L704" s="31" t="n">
        <x:v>66.90000000000001</x:v>
      </x:c>
      <x:c r="M704" s="31" t="n">
        <x:v>0</x:v>
      </x:c>
      <x:c r="N704" s="31" t="inlineStr">
        <x:is>
          <x:t xml:space="preserve">Нет</x:t>
        </x:is>
      </x:c>
      <x:c r="O704" s="31" t="inlineStr">
        <x:is>
          <x:t xml:space="preserve">Спорный факт</x:t>
        </x:is>
      </x:c>
      <x:c r="P704" s="31" t="inlineStr">
        <x:is>
          <x:t xml:space="preserve">Комментарий смены 756</x:t>
        </x:is>
      </x:c>
    </x:row>
    <x:row r="705">
      <x:c r="A705" s="31" t="inlineStr">
        <x:is>
          <x:t xml:space="preserve">СМ-00757</x:t>
        </x:is>
      </x:c>
      <x:c r="B705" s="31" t="n">
        <x:v>46082</x:v>
      </x:c>
      <x:c r="C705" s="31" t="inlineStr">
        <x:is>
          <x:t xml:space="preserve">День</x:t>
        </x:is>
      </x:c>
      <x:c r="D705" s="31" t="inlineStr">
        <x:is>
          <x:t xml:space="preserve">ПЗ-00116</x:t>
        </x:is>
      </x:c>
      <x:c r="E705" s="31" t="inlineStr">
        <x:is>
          <x:t xml:space="preserve">ОП-000974</x:t>
        </x:is>
      </x:c>
      <x:c r="F705" s="31" t="inlineStr">
        <x:is>
          <x:t xml:space="preserve">ОБ-033</x:t>
        </x:is>
      </x:c>
      <x:c r="G705" s="31" t="inlineStr">
        <x:is>
          <x:t xml:space="preserve">СОТР-098</x:t>
        </x:is>
      </x:c>
      <x:c r="H705" s="31" t="inlineStr">
        <x:is>
          <x:t xml:space="preserve">ОТК</x:t>
        </x:is>
      </x:c>
      <x:c r="I705" s="31" t="n">
        <x:v>2</x:v>
      </x:c>
      <x:c r="J705" s="31" t="n">
        <x:v>0</x:v>
      </x:c>
      <x:c r="K705" s="31" t="n">
        <x:v>30.9</x:v>
      </x:c>
      <x:c r="L705" s="31" t="n">
        <x:v>18.3</x:v>
      </x:c>
      <x:c r="M705" s="31" t="n">
        <x:v>0</x:v>
      </x:c>
      <x:c r="N705" s="31" t="inlineStr">
        <x:is>
          <x:t xml:space="preserve">Нет</x:t>
        </x:is>
      </x:c>
      <x:c r="O705" s="31" t="inlineStr">
        <x:is>
          <x:t xml:space="preserve">Подтверждено мастером</x:t>
        </x:is>
      </x:c>
      <x:c r="P705" s="31" t="inlineStr">
        <x:is>
          <x:t xml:space="preserve">Комментарий смены 757</x:t>
        </x:is>
      </x:c>
    </x:row>
    <x:row r="706">
      <x:c r="A706" s="31" t="inlineStr">
        <x:is>
          <x:t xml:space="preserve">СМ-00758</x:t>
        </x:is>
      </x:c>
      <x:c r="B706" s="31" t="n">
        <x:v>46210</x:v>
      </x:c>
      <x:c r="C706" s="31" t="inlineStr">
        <x:is>
          <x:t xml:space="preserve">Ночь</x:t>
        </x:is>
      </x:c>
      <x:c r="D706" s="31" t="inlineStr">
        <x:is>
          <x:t xml:space="preserve">ПЗ-00226</x:t>
        </x:is>
      </x:c>
      <x:c r="E706" s="31" t="inlineStr">
        <x:is>
          <x:t xml:space="preserve">ОП-001899</x:t>
        </x:is>
      </x:c>
      <x:c r="F706" s="31" t="inlineStr">
        <x:is>
          <x:t xml:space="preserve">ОБ-003</x:t>
        </x:is>
      </x:c>
      <x:c r="G706" s="31" t="inlineStr">
        <x:is>
          <x:t xml:space="preserve">СОТР-066</x:t>
        </x:is>
      </x:c>
      <x:c r="H706" s="31" t="inlineStr">
        <x:is>
          <x:t xml:space="preserve">Сварка</x:t>
        </x:is>
      </x:c>
      <x:c r="I706" s="31" t="n">
        <x:v>3</x:v>
      </x:c>
      <x:c r="J706" s="31" t="n">
        <x:v>3</x:v>
      </x:c>
      <x:c r="K706" s="31" t="n">
        <x:v>48.4</x:v>
      </x:c>
      <x:c r="L706" s="31" t="n">
        <x:v>58.9</x:v>
      </x:c>
      <x:c r="M706" s="31" t="n">
        <x:v>120</x:v>
      </x:c>
      <x:c r="N706" s="31" t="inlineStr">
        <x:is>
          <x:t xml:space="preserve">Нет оператора</x:t>
        </x:is>
      </x:c>
      <x:c r="O706" s="31" t="inlineStr">
        <x:is>
          <x:t xml:space="preserve">Подтверждено мастером</x:t>
        </x:is>
      </x:c>
      <x:c r="P706" s="31" t="inlineStr">
        <x:is>
          <x:t xml:space="preserve">Комментарий смены 758</x:t>
        </x:is>
      </x:c>
    </x:row>
    <x:row r="707">
      <x:c r="A707" s="31" t="inlineStr">
        <x:is>
          <x:t xml:space="preserve">СМ-00759</x:t>
        </x:is>
      </x:c>
      <x:c r="B707" s="31" t="n">
        <x:v>46085</x:v>
      </x:c>
      <x:c r="C707" s="31" t="inlineStr">
        <x:is>
          <x:t xml:space="preserve">День</x:t>
        </x:is>
      </x:c>
      <x:c r="D707" s="31" t="inlineStr">
        <x:is>
          <x:t xml:space="preserve">ПЗ-00024</x:t>
        </x:is>
      </x:c>
      <x:c r="E707" s="31" t="inlineStr">
        <x:is>
          <x:t xml:space="preserve">ОП-000203</x:t>
        </x:is>
      </x:c>
      <x:c r="F707" s="31" t="inlineStr">
        <x:is>
          <x:t xml:space="preserve">ОБ-004</x:t>
        </x:is>
      </x:c>
      <x:c r="G707" s="31" t="inlineStr">
        <x:is>
          <x:t xml:space="preserve">СОТР-072</x:t>
        </x:is>
      </x:c>
      <x:c r="H707" s="31" t="inlineStr">
        <x:is>
          <x:t xml:space="preserve">Сварка</x:t>
        </x:is>
      </x:c>
      <x:c r="I707" s="31" t="n">
        <x:v>2</x:v>
      </x:c>
      <x:c r="J707" s="31" t="n">
        <x:v>3</x:v>
      </x:c>
      <x:c r="K707" s="31" t="n">
        <x:v>5.8</x:v>
      </x:c>
      <x:c r="L707" s="31" t="n">
        <x:v>6.7</x:v>
      </x:c>
      <x:c r="M707" s="31" t="n">
        <x:v>0</x:v>
      </x:c>
      <x:c r="N707" s="31" t="inlineStr">
        <x:is>
          <x:t xml:space="preserve">Нет</x:t>
        </x:is>
      </x:c>
      <x:c r="O707" s="31" t="inlineStr">
        <x:is>
          <x:t xml:space="preserve">Подтверждено мастером</x:t>
        </x:is>
      </x:c>
      <x:c r="P707" s="31" t="inlineStr">
        <x:is>
          <x:t xml:space="preserve">Комментарий смены 759</x:t>
        </x:is>
      </x:c>
    </x:row>
    <x:row r="708">
      <x:c r="A708" s="31" t="inlineStr">
        <x:is>
          <x:t xml:space="preserve">СМ-00762</x:t>
        </x:is>
      </x:c>
      <x:c r="B708" s="31" t="n">
        <x:v>46098</x:v>
      </x:c>
      <x:c r="C708" s="31" t="inlineStr">
        <x:is>
          <x:t xml:space="preserve">День</x:t>
        </x:is>
      </x:c>
      <x:c r="D708" s="31" t="inlineStr">
        <x:is>
          <x:t xml:space="preserve">ПЗ-00097</x:t>
        </x:is>
      </x:c>
      <x:c r="E708" s="31" t="inlineStr">
        <x:is>
          <x:t xml:space="preserve">ОП-000815</x:t>
        </x:is>
      </x:c>
      <x:c r="F708" s="31" t="inlineStr">
        <x:is>
          <x:t xml:space="preserve">ОБ-022</x:t>
        </x:is>
      </x:c>
      <x:c r="G708" s="31" t="inlineStr">
        <x:is>
          <x:t xml:space="preserve">СОТР-100</x:t>
        </x:is>
      </x:c>
      <x:c r="H708" s="31" t="inlineStr">
        <x:is>
          <x:t xml:space="preserve">ОТК</x:t>
        </x:is>
      </x:c>
      <x:c r="I708" s="31" t="n">
        <x:v>4</x:v>
      </x:c>
      <x:c r="J708" s="31" t="n">
        <x:v>4</x:v>
      </x:c>
      <x:c r="K708" s="31" t="n">
        <x:v>4.4</x:v>
      </x:c>
      <x:c r="L708" s="31" t="n">
        <x:v>5.6</x:v>
      </x:c>
      <x:c r="M708" s="31" t="n">
        <x:v>30</x:v>
      </x:c>
      <x:c r="N708" s="31" t="inlineStr">
        <x:is>
          <x:t xml:space="preserve">Нет оператора</x:t>
        </x:is>
      </x:c>
      <x:c r="O708" s="31" t="inlineStr">
        <x:is>
          <x:t xml:space="preserve">Закрыто</x:t>
        </x:is>
      </x:c>
      <x:c r="P708" s="31" t="inlineStr">
        <x:is>
          <x:t xml:space="preserve">Комментарий смены 762</x:t>
        </x:is>
      </x:c>
    </x:row>
    <x:row r="709">
      <x:c r="A709" s="31" t="inlineStr">
        <x:is>
          <x:t xml:space="preserve">СМ-00763</x:t>
        </x:is>
      </x:c>
      <x:c r="B709" s="31" t="n">
        <x:v>46061</x:v>
      </x:c>
      <x:c r="C709" s="31" t="inlineStr">
        <x:is>
          <x:t xml:space="preserve">День</x:t>
        </x:is>
      </x:c>
      <x:c r="D709" s="31" t="inlineStr">
        <x:is>
          <x:t xml:space="preserve">ПЗ-00143</x:t>
        </x:is>
      </x:c>
      <x:c r="E709" s="31" t="inlineStr">
        <x:is>
          <x:t xml:space="preserve">ОП-001195</x:t>
        </x:is>
      </x:c>
      <x:c r="F709" s="31" t="n"/>
      <x:c r="G709" s="31" t="inlineStr">
        <x:is>
          <x:t xml:space="preserve">СОТР-102</x:t>
        </x:is>
      </x:c>
      <x:c r="H709" s="31" t="inlineStr">
        <x:is>
          <x:t xml:space="preserve">Логистика</x:t>
        </x:is>
      </x:c>
      <x:c r="I709" s="31" t="n">
        <x:v>5</x:v>
      </x:c>
      <x:c r="J709" s="31" t="n">
        <x:v>6</x:v>
      </x:c>
      <x:c r="K709" s="31" t="n">
        <x:v>52.8</x:v>
      </x:c>
      <x:c r="L709" s="31" t="n">
        <x:v>58</x:v>
      </x:c>
      <x:c r="M709" s="31" t="n">
        <x:v>0</x:v>
      </x:c>
      <x:c r="N709" s="31" t="inlineStr">
        <x:is>
          <x:t xml:space="preserve">Нет</x:t>
        </x:is>
      </x:c>
      <x:c r="O709" s="31" t="inlineStr">
        <x:is>
          <x:t xml:space="preserve">Закрыто</x:t>
        </x:is>
      </x:c>
      <x:c r="P709" s="31" t="inlineStr">
        <x:is>
          <x:t xml:space="preserve">Комментарий смены 763</x:t>
        </x:is>
      </x:c>
    </x:row>
    <x:row r="710">
      <x:c r="A710" s="31" t="inlineStr">
        <x:is>
          <x:t xml:space="preserve">СМ-00765</x:t>
        </x:is>
      </x:c>
      <x:c r="B710" s="31" t="n">
        <x:v>46168</x:v>
      </x:c>
      <x:c r="C710" s="31" t="inlineStr">
        <x:is>
          <x:t xml:space="preserve">Ночь</x:t>
        </x:is>
      </x:c>
      <x:c r="D710" s="31" t="inlineStr">
        <x:is>
          <x:t xml:space="preserve">ПЗ-00087</x:t>
        </x:is>
      </x:c>
      <x:c r="E710" s="31" t="inlineStr">
        <x:is>
          <x:t xml:space="preserve">ОП-000742</x:t>
        </x:is>
      </x:c>
      <x:c r="F710" s="31" t="inlineStr">
        <x:is>
          <x:t xml:space="preserve">ОБ-015</x:t>
        </x:is>
      </x:c>
      <x:c r="G710" s="31" t="inlineStr">
        <x:is>
          <x:t xml:space="preserve">СОТР-097</x:t>
        </x:is>
      </x:c>
      <x:c r="H710" s="31" t="inlineStr">
        <x:is>
          <x:t xml:space="preserve">ОТК</x:t>
        </x:is>
      </x:c>
      <x:c r="I710" s="31" t="n">
        <x:v>3</x:v>
      </x:c>
      <x:c r="J710" s="31" t="n">
        <x:v>2</x:v>
      </x:c>
      <x:c r="K710" s="31" t="n">
        <x:v>42.3</x:v>
      </x:c>
      <x:c r="L710" s="31" t="n">
        <x:v>52.6</x:v>
      </x:c>
      <x:c r="M710" s="31" t="n">
        <x:v>0</x:v>
      </x:c>
      <x:c r="N710" s="31" t="inlineStr">
        <x:is>
          <x:t xml:space="preserve">Нет</x:t>
        </x:is>
      </x:c>
      <x:c r="O710" s="31" t="inlineStr">
        <x:is>
          <x:t xml:space="preserve">Черновик</x:t>
        </x:is>
      </x:c>
      <x:c r="P710" s="31" t="inlineStr">
        <x:is>
          <x:t xml:space="preserve">Комментарий смены 765</x:t>
        </x:is>
      </x:c>
    </x:row>
    <x:row r="711">
      <x:c r="A711" s="31" t="inlineStr">
        <x:is>
          <x:t xml:space="preserve">СМ-00767</x:t>
        </x:is>
      </x:c>
      <x:c r="B711" s="31" t="n">
        <x:v>46098</x:v>
      </x:c>
      <x:c r="C711" s="31" t="inlineStr">
        <x:is>
          <x:t xml:space="preserve">Вечер</x:t>
        </x:is>
      </x:c>
      <x:c r="D711" s="31" t="inlineStr">
        <x:is>
          <x:t xml:space="preserve">ПЗ-00030</x:t>
        </x:is>
      </x:c>
      <x:c r="E711" s="31" t="inlineStr">
        <x:is>
          <x:t xml:space="preserve">ОП-000259</x:t>
        </x:is>
      </x:c>
      <x:c r="F711" s="31" t="inlineStr">
        <x:is>
          <x:t xml:space="preserve">ОБ-034</x:t>
        </x:is>
      </x:c>
      <x:c r="G711" s="31" t="inlineStr">
        <x:is>
          <x:t xml:space="preserve">СОТР-080</x:t>
        </x:is>
      </x:c>
      <x:c r="H711" s="31" t="inlineStr">
        <x:is>
          <x:t xml:space="preserve">Сборка</x:t>
        </x:is>
      </x:c>
      <x:c r="I711" s="31" t="n">
        <x:v>2</x:v>
      </x:c>
      <x:c r="J711" s="31" t="n">
        <x:v>1</x:v>
      </x:c>
      <x:c r="K711" s="31" t="n">
        <x:v>70.5</x:v>
      </x:c>
      <x:c r="L711" s="31" t="n">
        <x:v>58.4</x:v>
      </x:c>
      <x:c r="M711" s="31" t="n">
        <x:v>30</x:v>
      </x:c>
      <x:c r="N711" s="31" t="inlineStr">
        <x:is>
          <x:t xml:space="preserve">Ожидание материала</x:t>
        </x:is>
      </x:c>
      <x:c r="O711" s="31" t="inlineStr">
        <x:is>
          <x:t xml:space="preserve">Спорный факт</x:t>
        </x:is>
      </x:c>
      <x:c r="P711" s="31" t="inlineStr">
        <x:is>
          <x:t xml:space="preserve">Комментарий смены 767</x:t>
        </x:is>
      </x:c>
    </x:row>
    <x:row r="712">
      <x:c r="A712" s="31" t="inlineStr">
        <x:is>
          <x:t xml:space="preserve">СМ-00768</x:t>
        </x:is>
      </x:c>
      <x:c r="B712" s="31" t="n">
        <x:v>46096</x:v>
      </x:c>
      <x:c r="C712" s="31" t="inlineStr">
        <x:is>
          <x:t xml:space="preserve">Вечер</x:t>
        </x:is>
      </x:c>
      <x:c r="D712" s="31" t="inlineStr">
        <x:is>
          <x:t xml:space="preserve">ПЗ-00207</x:t>
        </x:is>
      </x:c>
      <x:c r="E712" s="31" t="inlineStr">
        <x:is>
          <x:t xml:space="preserve">ОП-001740</x:t>
        </x:is>
      </x:c>
      <x:c r="F712" s="31" t="inlineStr">
        <x:is>
          <x:t xml:space="preserve">ОБ-032</x:t>
        </x:is>
      </x:c>
      <x:c r="G712" s="31" t="inlineStr">
        <x:is>
          <x:t xml:space="preserve">СОТР-063</x:t>
        </x:is>
      </x:c>
      <x:c r="H712" s="31" t="inlineStr">
        <x:is>
          <x:t xml:space="preserve">ОТК</x:t>
        </x:is>
      </x:c>
      <x:c r="I712" s="31" t="n">
        <x:v>1</x:v>
      </x:c>
      <x:c r="J712" s="31" t="n">
        <x:v>1</x:v>
      </x:c>
      <x:c r="K712" s="31" t="n">
        <x:v>10.8</x:v>
      </x:c>
      <x:c r="L712" s="31" t="n">
        <x:v>8.9</x:v>
      </x:c>
      <x:c r="M712" s="31" t="n">
        <x:v>0</x:v>
      </x:c>
      <x:c r="N712" s="31" t="inlineStr">
        <x:is>
          <x:t xml:space="preserve">Нет</x:t>
        </x:is>
      </x:c>
      <x:c r="O712" s="31" t="inlineStr">
        <x:is>
          <x:t xml:space="preserve">Закрыто</x:t>
        </x:is>
      </x:c>
      <x:c r="P712" s="31" t="inlineStr">
        <x:is>
          <x:t xml:space="preserve">Комментарий смены 768</x:t>
        </x:is>
      </x:c>
    </x:row>
    <x:row r="713">
      <x:c r="A713" s="31" t="inlineStr">
        <x:is>
          <x:t xml:space="preserve">СМ-00769</x:t>
        </x:is>
      </x:c>
      <x:c r="B713" s="31" t="n">
        <x:v>46181</x:v>
      </x:c>
      <x:c r="C713" s="31" t="inlineStr">
        <x:is>
          <x:t xml:space="preserve">Ночь</x:t>
        </x:is>
      </x:c>
      <x:c r="D713" s="31" t="inlineStr">
        <x:is>
          <x:t xml:space="preserve">ПЗ-00160</x:t>
        </x:is>
      </x:c>
      <x:c r="E713" s="31" t="inlineStr">
        <x:is>
          <x:t xml:space="preserve">ОП-001329</x:t>
        </x:is>
      </x:c>
      <x:c r="F713" s="31" t="inlineStr">
        <x:is>
          <x:t xml:space="preserve">ОБ-032</x:t>
        </x:is>
      </x:c>
      <x:c r="G713" s="31" t="inlineStr">
        <x:is>
          <x:t xml:space="preserve">СОТР-097</x:t>
        </x:is>
      </x:c>
      <x:c r="H713" s="31" t="inlineStr">
        <x:is>
          <x:t xml:space="preserve">ОТК</x:t>
        </x:is>
      </x:c>
      <x:c r="I713" s="31" t="n">
        <x:v>1</x:v>
      </x:c>
      <x:c r="J713" s="31" t="n">
        <x:v>1</x:v>
      </x:c>
      <x:c r="K713" s="31" t="n">
        <x:v>21.6</x:v>
      </x:c>
      <x:c r="L713" s="31" t="n">
        <x:v>25</x:v>
      </x:c>
      <x:c r="M713" s="31" t="n">
        <x:v>45</x:v>
      </x:c>
      <x:c r="N713" s="31" t="inlineStr">
        <x:is>
          <x:t xml:space="preserve">Переналадка</x:t>
        </x:is>
      </x:c>
      <x:c r="O713" s="31" t="inlineStr">
        <x:is>
          <x:t xml:space="preserve">Подтверждено мастером</x:t>
        </x:is>
      </x:c>
      <x:c r="P713" s="31" t="inlineStr">
        <x:is>
          <x:t xml:space="preserve">Комментарий смены 769</x:t>
        </x:is>
      </x:c>
    </x:row>
    <x:row r="714">
      <x:c r="A714" s="31" t="inlineStr">
        <x:is>
          <x:t xml:space="preserve">СМ-00770</x:t>
        </x:is>
      </x:c>
      <x:c r="B714" s="31" t="n">
        <x:v>46086</x:v>
      </x:c>
      <x:c r="C714" s="31" t="inlineStr">
        <x:is>
          <x:t xml:space="preserve">Ночь</x:t>
        </x:is>
      </x:c>
      <x:c r="D714" s="31" t="inlineStr">
        <x:is>
          <x:t xml:space="preserve">ПЗ-00247</x:t>
        </x:is>
      </x:c>
      <x:c r="E714" s="31" t="inlineStr">
        <x:is>
          <x:t xml:space="preserve">ОП-002066</x:t>
        </x:is>
      </x:c>
      <x:c r="F714" s="31" t="inlineStr">
        <x:is>
          <x:t xml:space="preserve">ОБ-026</x:t>
        </x:is>
      </x:c>
      <x:c r="G714" s="31" t="inlineStr">
        <x:is>
          <x:t xml:space="preserve">СОТР-071</x:t>
        </x:is>
      </x:c>
      <x:c r="H714" s="31" t="inlineStr">
        <x:is>
          <x:t xml:space="preserve">Сварка</x:t>
        </x:is>
      </x:c>
      <x:c r="I714" s="31" t="n">
        <x:v>1</x:v>
      </x:c>
      <x:c r="J714" s="31" t="n">
        <x:v>0</x:v>
      </x:c>
      <x:c r="K714" s="31" t="n">
        <x:v>14.3</x:v>
      </x:c>
      <x:c r="L714" s="31" t="n">
        <x:v>16.9</x:v>
      </x:c>
      <x:c r="M714" s="31" t="n">
        <x:v>0</x:v>
      </x:c>
      <x:c r="N714" s="31" t="inlineStr">
        <x:is>
          <x:t xml:space="preserve">Нет</x:t>
        </x:is>
      </x:c>
      <x:c r="O714" s="31" t="inlineStr">
        <x:is>
          <x:t xml:space="preserve">Подтверждено мастером</x:t>
        </x:is>
      </x:c>
      <x:c r="P714" s="31" t="inlineStr">
        <x:is>
          <x:t xml:space="preserve">Комментарий смены 770</x:t>
        </x:is>
      </x:c>
    </x:row>
    <x:row r="715">
      <x:c r="A715" s="31" t="inlineStr">
        <x:is>
          <x:t xml:space="preserve">СМ-00771</x:t>
        </x:is>
      </x:c>
      <x:c r="B715" s="31" t="n">
        <x:v>46212</x:v>
      </x:c>
      <x:c r="C715" s="31" t="inlineStr">
        <x:is>
          <x:t xml:space="preserve">День</x:t>
        </x:is>
      </x:c>
      <x:c r="D715" s="31" t="inlineStr">
        <x:is>
          <x:t xml:space="preserve">ПЗ-00206</x:t>
        </x:is>
      </x:c>
      <x:c r="E715" s="31" t="inlineStr">
        <x:is>
          <x:t xml:space="preserve">ОП-001732</x:t>
        </x:is>
      </x:c>
      <x:c r="F715" s="31" t="n"/>
      <x:c r="G715" s="31" t="inlineStr">
        <x:is>
          <x:t xml:space="preserve">СОТР-104</x:t>
        </x:is>
      </x:c>
      <x:c r="H715" s="31" t="inlineStr">
        <x:is>
          <x:t xml:space="preserve">Логистика</x:t>
        </x:is>
      </x:c>
      <x:c r="I715" s="31" t="n">
        <x:v>5</x:v>
      </x:c>
      <x:c r="J715" s="31" t="n">
        <x:v>5</x:v>
      </x:c>
      <x:c r="K715" s="31" t="n">
        <x:v>56.5</x:v>
      </x:c>
      <x:c r="L715" s="31" t="n">
        <x:v>52.6</x:v>
      </x:c>
      <x:c r="M715" s="31" t="n">
        <x:v>60</x:v>
      </x:c>
      <x:c r="N715" s="31" t="inlineStr">
        <x:is>
          <x:t xml:space="preserve">Ожидание ОТК</x:t>
        </x:is>
      </x:c>
      <x:c r="O715" s="31" t="inlineStr">
        <x:is>
          <x:t xml:space="preserve">Спорный факт</x:t>
        </x:is>
      </x:c>
      <x:c r="P715" s="31" t="inlineStr">
        <x:is>
          <x:t xml:space="preserve">Комментарий смены 771</x:t>
        </x:is>
      </x:c>
    </x:row>
    <x:row r="716">
      <x:c r="A716" s="31" t="inlineStr">
        <x:is>
          <x:t xml:space="preserve">СМ-00772</x:t>
        </x:is>
      </x:c>
      <x:c r="B716" s="31" t="n">
        <x:v>46128</x:v>
      </x:c>
      <x:c r="C716" s="31" t="inlineStr">
        <x:is>
          <x:t xml:space="preserve">День</x:t>
        </x:is>
      </x:c>
      <x:c r="D716" s="31" t="inlineStr">
        <x:is>
          <x:t xml:space="preserve">ПЗ-00193</x:t>
        </x:is>
      </x:c>
      <x:c r="E716" s="31" t="inlineStr">
        <x:is>
          <x:t xml:space="preserve">ОП-001615</x:t>
        </x:is>
      </x:c>
      <x:c r="F716" s="31" t="inlineStr">
        <x:is>
          <x:t xml:space="preserve">ОБ-034</x:t>
        </x:is>
      </x:c>
      <x:c r="G716" s="31" t="inlineStr">
        <x:is>
          <x:t xml:space="preserve">СОТР-083</x:t>
        </x:is>
      </x:c>
      <x:c r="H716" s="31" t="inlineStr">
        <x:is>
          <x:t xml:space="preserve">Сборка</x:t>
        </x:is>
      </x:c>
      <x:c r="I716" s="31" t="n">
        <x:v>3</x:v>
      </x:c>
      <x:c r="J716" s="31" t="n">
        <x:v>3</x:v>
      </x:c>
      <x:c r="K716" s="31" t="n">
        <x:v>52.8</x:v>
      </x:c>
      <x:c r="L716" s="31" t="n">
        <x:v>46.9</x:v>
      </x:c>
      <x:c r="M716" s="31" t="n">
        <x:v>120</x:v>
      </x:c>
      <x:c r="N716" s="31" t="inlineStr">
        <x:is>
          <x:t xml:space="preserve">Нет оператора</x:t>
        </x:is>
      </x:c>
      <x:c r="O716" s="31" t="inlineStr">
        <x:is>
          <x:t xml:space="preserve">Подтверждено мастером</x:t>
        </x:is>
      </x:c>
      <x:c r="P716" s="31" t="inlineStr">
        <x:is>
          <x:t xml:space="preserve">Комментарий смены 772</x:t>
        </x:is>
      </x:c>
    </x:row>
    <x:row r="717">
      <x:c r="A717" s="31" t="inlineStr">
        <x:is>
          <x:t xml:space="preserve">СМ-00773</x:t>
        </x:is>
      </x:c>
      <x:c r="B717" s="31" t="n">
        <x:v>46218</x:v>
      </x:c>
      <x:c r="C717" s="31" t="inlineStr">
        <x:is>
          <x:t xml:space="preserve">Вечер</x:t>
        </x:is>
      </x:c>
      <x:c r="D717" s="31" t="inlineStr">
        <x:is>
          <x:t xml:space="preserve">ПЗ-00153</x:t>
        </x:is>
      </x:c>
      <x:c r="E717" s="31" t="inlineStr">
        <x:is>
          <x:t xml:space="preserve">ОП-001273</x:t>
        </x:is>
      </x:c>
      <x:c r="F717" s="31" t="n"/>
      <x:c r="G717" s="31" t="inlineStr">
        <x:is>
          <x:t xml:space="preserve">СОТР-104</x:t>
        </x:is>
      </x:c>
      <x:c r="H717" s="31" t="inlineStr">
        <x:is>
          <x:t xml:space="preserve">Логистика</x:t>
        </x:is>
      </x:c>
      <x:c r="I717" s="31" t="n">
        <x:v>5</x:v>
      </x:c>
      <x:c r="J717" s="31" t="n">
        <x:v>6</x:v>
      </x:c>
      <x:c r="K717" s="31" t="n">
        <x:v>135</x:v>
      </x:c>
      <x:c r="L717" s="31" t="n">
        <x:v>113.9</x:v>
      </x:c>
      <x:c r="M717" s="31" t="n">
        <x:v>60</x:v>
      </x:c>
      <x:c r="N717" s="31" t="inlineStr">
        <x:is>
          <x:t xml:space="preserve">Ремонт оборудования</x:t>
        </x:is>
      </x:c>
      <x:c r="O717" s="31" t="inlineStr">
        <x:is>
          <x:t xml:space="preserve">Закрыто</x:t>
        </x:is>
      </x:c>
      <x:c r="P717" s="31" t="inlineStr">
        <x:is>
          <x:t xml:space="preserve">Комментарий смены 773</x:t>
        </x:is>
      </x:c>
    </x:row>
    <x:row r="718">
      <x:c r="A718" s="31" t="inlineStr">
        <x:is>
          <x:t xml:space="preserve">СМ-00774</x:t>
        </x:is>
      </x:c>
      <x:c r="B718" s="31" t="n">
        <x:v>46219</x:v>
      </x:c>
      <x:c r="C718" s="31" t="inlineStr">
        <x:is>
          <x:t xml:space="preserve">Вечер</x:t>
        </x:is>
      </x:c>
      <x:c r="D718" s="31" t="inlineStr">
        <x:is>
          <x:t xml:space="preserve">ПЗ-00042</x:t>
        </x:is>
      </x:c>
      <x:c r="E718" s="31" t="inlineStr">
        <x:is>
          <x:t xml:space="preserve">ОП-000356</x:t>
        </x:is>
      </x:c>
      <x:c r="F718" s="31" t="inlineStr">
        <x:is>
          <x:t xml:space="preserve">ОБ-032</x:t>
        </x:is>
      </x:c>
      <x:c r="G718" s="31" t="inlineStr">
        <x:is>
          <x:t xml:space="preserve">СОТР-096</x:t>
        </x:is>
      </x:c>
      <x:c r="H718" s="31" t="inlineStr">
        <x:is>
          <x:t xml:space="preserve">ОТК</x:t>
        </x:is>
      </x:c>
      <x:c r="I718" s="31" t="n">
        <x:v>3</x:v>
      </x:c>
      <x:c r="J718" s="31" t="n">
        <x:v>0</x:v>
      </x:c>
      <x:c r="K718" s="31" t="n">
        <x:v>33.6</x:v>
      </x:c>
      <x:c r="L718" s="31" t="n">
        <x:v>36.4</x:v>
      </x:c>
      <x:c r="M718" s="31" t="n">
        <x:v>0</x:v>
      </x:c>
      <x:c r="N718" s="31" t="inlineStr">
        <x:is>
          <x:t xml:space="preserve">Нет</x:t>
        </x:is>
      </x:c>
      <x:c r="O718" s="31" t="inlineStr">
        <x:is>
          <x:t xml:space="preserve">Подтверждено мастером</x:t>
        </x:is>
      </x:c>
      <x:c r="P718" s="31" t="inlineStr">
        <x:is>
          <x:t xml:space="preserve">Комментарий смены 774</x:t>
        </x:is>
      </x:c>
    </x:row>
    <x:row r="719">
      <x:c r="A719" s="31" t="inlineStr">
        <x:is>
          <x:t xml:space="preserve">СМ-00775</x:t>
        </x:is>
      </x:c>
      <x:c r="B719" s="31" t="n">
        <x:v>46041</x:v>
      </x:c>
      <x:c r="C719" s="31" t="inlineStr">
        <x:is>
          <x:t xml:space="preserve">День</x:t>
        </x:is>
      </x:c>
      <x:c r="D719" s="31" t="inlineStr">
        <x:is>
          <x:t xml:space="preserve">ПЗ-00095</x:t>
        </x:is>
      </x:c>
      <x:c r="E719" s="31" t="inlineStr">
        <x:is>
          <x:t xml:space="preserve">ОП-000798</x:t>
        </x:is>
      </x:c>
      <x:c r="F719" s="31" t="inlineStr">
        <x:is>
          <x:t xml:space="preserve">ОБ-010</x:t>
        </x:is>
      </x:c>
      <x:c r="G719" s="31" t="inlineStr">
        <x:is>
          <x:t xml:space="preserve">СОТР-071</x:t>
        </x:is>
      </x:c>
      <x:c r="H719" s="31" t="inlineStr">
        <x:is>
          <x:t xml:space="preserve">Сварка</x:t>
        </x:is>
      </x:c>
      <x:c r="I719" s="31" t="n">
        <x:v>1</x:v>
      </x:c>
      <x:c r="J719" s="31" t="n">
        <x:v>0</x:v>
      </x:c>
      <x:c r="K719" s="31" t="n">
        <x:v>13.9</x:v>
      </x:c>
      <x:c r="L719" s="31" t="n">
        <x:v>15.2</x:v>
      </x:c>
      <x:c r="M719" s="31" t="n">
        <x:v>0</x:v>
      </x:c>
      <x:c r="N719" s="31" t="inlineStr">
        <x:is>
          <x:t xml:space="preserve">Нет</x:t>
        </x:is>
      </x:c>
      <x:c r="O719" s="31" t="inlineStr">
        <x:is>
          <x:t xml:space="preserve">Подтверждено мастером</x:t>
        </x:is>
      </x:c>
      <x:c r="P719" s="31" t="inlineStr">
        <x:is>
          <x:t xml:space="preserve">Комментарий смены 775</x:t>
        </x:is>
      </x:c>
    </x:row>
    <x:row r="720">
      <x:c r="A720" s="31" t="inlineStr">
        <x:is>
          <x:t xml:space="preserve">СМ-00776</x:t>
        </x:is>
      </x:c>
      <x:c r="B720" s="31" t="n">
        <x:v>46151</x:v>
      </x:c>
      <x:c r="C720" s="31" t="inlineStr">
        <x:is>
          <x:t xml:space="preserve">День</x:t>
        </x:is>
      </x:c>
      <x:c r="D720" s="31" t="inlineStr">
        <x:is>
          <x:t xml:space="preserve">ПЗ-00197</x:t>
        </x:is>
      </x:c>
      <x:c r="E720" s="31" t="inlineStr">
        <x:is>
          <x:t xml:space="preserve">ОП-001650</x:t>
        </x:is>
      </x:c>
      <x:c r="F720" s="31" t="inlineStr">
        <x:is>
          <x:t xml:space="preserve">ОБ-034</x:t>
        </x:is>
      </x:c>
      <x:c r="G720" s="31" t="inlineStr">
        <x:is>
          <x:t xml:space="preserve">СОТР-091</x:t>
        </x:is>
      </x:c>
      <x:c r="H720" s="31" t="inlineStr">
        <x:is>
          <x:t xml:space="preserve">Сборка</x:t>
        </x:is>
      </x:c>
      <x:c r="I720" s="31" t="n">
        <x:v>3</x:v>
      </x:c>
      <x:c r="J720" s="31" t="n">
        <x:v>2</x:v>
      </x:c>
      <x:c r="K720" s="31" t="n">
        <x:v>70.5</x:v>
      </x:c>
      <x:c r="L720" s="31" t="n">
        <x:v>82.09999999999999</x:v>
      </x:c>
      <x:c r="M720" s="31" t="n">
        <x:v>0</x:v>
      </x:c>
      <x:c r="N720" s="31" t="inlineStr">
        <x:is>
          <x:t xml:space="preserve">Нет</x:t>
        </x:is>
      </x:c>
      <x:c r="O720" s="31" t="inlineStr">
        <x:is>
          <x:t xml:space="preserve">Подтверждено мастером</x:t>
        </x:is>
      </x:c>
      <x:c r="P720" s="31" t="inlineStr">
        <x:is>
          <x:t xml:space="preserve">Комментарий смены 776</x:t>
        </x:is>
      </x:c>
    </x:row>
    <x:row r="721">
      <x:c r="A721" s="31" t="inlineStr">
        <x:is>
          <x:t xml:space="preserve">СМ-00777</x:t>
        </x:is>
      </x:c>
      <x:c r="B721" s="31" t="n">
        <x:v>46172</x:v>
      </x:c>
      <x:c r="C721" s="31" t="inlineStr">
        <x:is>
          <x:t xml:space="preserve">Ночь</x:t>
        </x:is>
      </x:c>
      <x:c r="D721" s="31" t="inlineStr">
        <x:is>
          <x:t xml:space="preserve">ПЗ-00002</x:t>
        </x:is>
      </x:c>
      <x:c r="E721" s="31" t="inlineStr">
        <x:is>
          <x:t xml:space="preserve">ОП-000015</x:t>
        </x:is>
      </x:c>
      <x:c r="F721" s="31" t="inlineStr">
        <x:is>
          <x:t xml:space="preserve">ОБ-016</x:t>
        </x:is>
      </x:c>
      <x:c r="G721" s="31" t="inlineStr">
        <x:is>
          <x:t xml:space="preserve">СОТР-085</x:t>
        </x:is>
      </x:c>
      <x:c r="H721" s="31" t="inlineStr">
        <x:is>
          <x:t xml:space="preserve">Сборка</x:t>
        </x:is>
      </x:c>
      <x:c r="I721" s="31" t="n">
        <x:v>1</x:v>
      </x:c>
      <x:c r="J721" s="31" t="n">
        <x:v>0</x:v>
      </x:c>
      <x:c r="K721" s="31" t="n">
        <x:v>2.2</x:v>
      </x:c>
      <x:c r="L721" s="31" t="n">
        <x:v>2.6</x:v>
      </x:c>
      <x:c r="M721" s="31" t="n">
        <x:v>0</x:v>
      </x:c>
      <x:c r="N721" s="31" t="inlineStr">
        <x:is>
          <x:t xml:space="preserve">Нет</x:t>
        </x:is>
      </x:c>
      <x:c r="O721" s="31" t="inlineStr">
        <x:is>
          <x:t xml:space="preserve">Подтверждено мастером</x:t>
        </x:is>
      </x:c>
      <x:c r="P721" s="31" t="inlineStr">
        <x:is>
          <x:t xml:space="preserve">Комментарий смены 777</x:t>
        </x:is>
      </x:c>
    </x:row>
    <x:row r="722">
      <x:c r="A722" s="31" t="inlineStr">
        <x:is>
          <x:t xml:space="preserve">СМ-00778</x:t>
        </x:is>
      </x:c>
      <x:c r="B722" s="31" t="n">
        <x:v>46118</x:v>
      </x:c>
      <x:c r="C722" s="31" t="inlineStr">
        <x:is>
          <x:t xml:space="preserve">Ночь</x:t>
        </x:is>
      </x:c>
      <x:c r="D722" s="31" t="inlineStr">
        <x:is>
          <x:t xml:space="preserve">ПЗ-00012</x:t>
        </x:is>
      </x:c>
      <x:c r="E722" s="31" t="inlineStr">
        <x:is>
          <x:t xml:space="preserve">ОП-000099</x:t>
        </x:is>
      </x:c>
      <x:c r="F722" s="31" t="inlineStr">
        <x:is>
          <x:t xml:space="preserve">ОБ-015</x:t>
        </x:is>
      </x:c>
      <x:c r="G722" s="31" t="inlineStr">
        <x:is>
          <x:t xml:space="preserve">СОТР-092</x:t>
        </x:is>
      </x:c>
      <x:c r="H722" s="31" t="inlineStr">
        <x:is>
          <x:t xml:space="preserve">ОТК</x:t>
        </x:is>
      </x:c>
      <x:c r="I722" s="31" t="n">
        <x:v>2</x:v>
      </x:c>
      <x:c r="J722" s="31" t="n">
        <x:v>2</x:v>
      </x:c>
      <x:c r="K722" s="31" t="n">
        <x:v>23.2</x:v>
      </x:c>
      <x:c r="L722" s="31" t="n">
        <x:v>27.8</x:v>
      </x:c>
      <x:c r="M722" s="31" t="n">
        <x:v>15</x:v>
      </x:c>
      <x:c r="N722" s="31" t="inlineStr">
        <x:is>
          <x:t xml:space="preserve">Ожидание ОТК</x:t>
        </x:is>
      </x:c>
      <x:c r="O722" s="31" t="inlineStr">
        <x:is>
          <x:t xml:space="preserve">Спорный факт</x:t>
        </x:is>
      </x:c>
      <x:c r="P722" s="31" t="inlineStr">
        <x:is>
          <x:t xml:space="preserve">Комментарий смены 778</x:t>
        </x:is>
      </x:c>
    </x:row>
    <x:row r="723">
      <x:c r="A723" s="31" t="inlineStr">
        <x:is>
          <x:t xml:space="preserve">СМ-00779</x:t>
        </x:is>
      </x:c>
      <x:c r="B723" s="31" t="n">
        <x:v>46111</x:v>
      </x:c>
      <x:c r="C723" s="31" t="inlineStr">
        <x:is>
          <x:t xml:space="preserve">День</x:t>
        </x:is>
      </x:c>
      <x:c r="D723" s="31" t="inlineStr">
        <x:is>
          <x:t xml:space="preserve">ПЗ-00164</x:t>
        </x:is>
      </x:c>
      <x:c r="E723" s="31" t="inlineStr">
        <x:is>
          <x:t xml:space="preserve">ОП-001366</x:t>
        </x:is>
      </x:c>
      <x:c r="F723" s="31" t="inlineStr">
        <x:is>
          <x:t xml:space="preserve">ОБ-012</x:t>
        </x:is>
      </x:c>
      <x:c r="G723" s="31" t="inlineStr">
        <x:is>
          <x:t xml:space="preserve">СОТР-084</x:t>
        </x:is>
      </x:c>
      <x:c r="H723" s="31" t="inlineStr">
        <x:is>
          <x:t xml:space="preserve">Сборка</x:t>
        </x:is>
      </x:c>
      <x:c r="I723" s="31" t="n">
        <x:v>1</x:v>
      </x:c>
      <x:c r="J723" s="31" t="n">
        <x:v>1</x:v>
      </x:c>
      <x:c r="K723" s="31" t="n">
        <x:v>8</x:v>
      </x:c>
      <x:c r="L723" s="31" t="n">
        <x:v>9.199999999999999</x:v>
      </x:c>
      <x:c r="M723" s="31" t="n">
        <x:v>30</x:v>
      </x:c>
      <x:c r="N723" s="31" t="inlineStr">
        <x:is>
          <x:t xml:space="preserve">Ожидание материала</x:t>
        </x:is>
      </x:c>
      <x:c r="O723" s="31" t="inlineStr">
        <x:is>
          <x:t xml:space="preserve">Черновик</x:t>
        </x:is>
      </x:c>
      <x:c r="P723" s="31" t="inlineStr">
        <x:is>
          <x:t xml:space="preserve">Комментарий смены 779</x:t>
        </x:is>
      </x:c>
    </x:row>
    <x:row r="724">
      <x:c r="A724" s="31" t="inlineStr">
        <x:is>
          <x:t xml:space="preserve">СМ-00780</x:t>
        </x:is>
      </x:c>
      <x:c r="B724" s="31" t="n">
        <x:v>46123</x:v>
      </x:c>
      <x:c r="C724" s="31" t="inlineStr">
        <x:is>
          <x:t xml:space="preserve">День</x:t>
        </x:is>
      </x:c>
      <x:c r="D724" s="31" t="inlineStr">
        <x:is>
          <x:t xml:space="preserve">ПЗ-00019</x:t>
        </x:is>
      </x:c>
      <x:c r="E724" s="31" t="inlineStr">
        <x:is>
          <x:t xml:space="preserve">ОП-000165</x:t>
        </x:is>
      </x:c>
      <x:c r="F724" s="31" t="inlineStr">
        <x:is>
          <x:t xml:space="preserve">ОБ-024</x:t>
        </x:is>
      </x:c>
      <x:c r="G724" s="31" t="inlineStr">
        <x:is>
          <x:t xml:space="preserve">СОТР-099</x:t>
        </x:is>
      </x:c>
      <x:c r="H724" s="31" t="inlineStr">
        <x:is>
          <x:t xml:space="preserve">ОТК</x:t>
        </x:is>
      </x:c>
      <x:c r="I724" s="31" t="n">
        <x:v>2</x:v>
      </x:c>
      <x:c r="J724" s="31" t="n">
        <x:v>2</x:v>
      </x:c>
      <x:c r="K724" s="31" t="n">
        <x:v>6.6</x:v>
      </x:c>
      <x:c r="L724" s="31" t="n">
        <x:v>5.6</x:v>
      </x:c>
      <x:c r="M724" s="31" t="n">
        <x:v>0</x:v>
      </x:c>
      <x:c r="N724" s="31" t="inlineStr">
        <x:is>
          <x:t xml:space="preserve">Нет</x:t>
        </x:is>
      </x:c>
      <x:c r="O724" s="31" t="inlineStr">
        <x:is>
          <x:t xml:space="preserve">Подтверждено мастером</x:t>
        </x:is>
      </x:c>
      <x:c r="P724" s="31" t="inlineStr">
        <x:is>
          <x:t xml:space="preserve">Комментарий смены 780</x:t>
        </x:is>
      </x:c>
    </x:row>
    <x:row r="725">
      <x:c r="A725" s="31" t="inlineStr">
        <x:is>
          <x:t xml:space="preserve">СМ-00782</x:t>
        </x:is>
      </x:c>
      <x:c r="B725" s="31" t="n">
        <x:v>46114</x:v>
      </x:c>
      <x:c r="C725" s="31" t="inlineStr">
        <x:is>
          <x:t xml:space="preserve">Ночь</x:t>
        </x:is>
      </x:c>
      <x:c r="D725" s="31" t="inlineStr">
        <x:is>
          <x:t xml:space="preserve">ПЗ-00164</x:t>
        </x:is>
      </x:c>
      <x:c r="E725" s="31" t="inlineStr">
        <x:is>
          <x:t xml:space="preserve">ОП-001367</x:t>
        </x:is>
      </x:c>
      <x:c r="F725" s="31" t="inlineStr">
        <x:is>
          <x:t xml:space="preserve">ОБ-034</x:t>
        </x:is>
      </x:c>
      <x:c r="G725" s="31" t="inlineStr">
        <x:is>
          <x:t xml:space="preserve">СОТР-032</x:t>
        </x:is>
      </x:c>
      <x:c r="H725" s="31" t="inlineStr">
        <x:is>
          <x:t xml:space="preserve">Сборка</x:t>
        </x:is>
      </x:c>
      <x:c r="I725" s="31" t="n">
        <x:v>1</x:v>
      </x:c>
      <x:c r="J725" s="31" t="n">
        <x:v>2</x:v>
      </x:c>
      <x:c r="K725" s="31" t="n">
        <x:v>15.8</x:v>
      </x:c>
      <x:c r="L725" s="31" t="n">
        <x:v>17.7</x:v>
      </x:c>
      <x:c r="M725" s="31" t="n">
        <x:v>120</x:v>
      </x:c>
      <x:c r="N725" s="31" t="inlineStr">
        <x:is>
          <x:t xml:space="preserve">Переналадка</x:t>
        </x:is>
      </x:c>
      <x:c r="O725" s="31" t="inlineStr">
        <x:is>
          <x:t xml:space="preserve">Подтверждено мастером</x:t>
        </x:is>
      </x:c>
      <x:c r="P725" s="31" t="inlineStr">
        <x:is>
          <x:t xml:space="preserve">Комментарий смены 782</x:t>
        </x:is>
      </x:c>
    </x:row>
    <x:row r="726">
      <x:c r="A726" s="31" t="inlineStr">
        <x:is>
          <x:t xml:space="preserve">СМ-00783</x:t>
        </x:is>
      </x:c>
      <x:c r="B726" s="31" t="n">
        <x:v>46156</x:v>
      </x:c>
      <x:c r="C726" s="31" t="inlineStr">
        <x:is>
          <x:t xml:space="preserve">Вечер</x:t>
        </x:is>
      </x:c>
      <x:c r="D726" s="31" t="inlineStr">
        <x:is>
          <x:t xml:space="preserve">ПЗ-00189</x:t>
        </x:is>
      </x:c>
      <x:c r="E726" s="31" t="inlineStr">
        <x:is>
          <x:t xml:space="preserve">ОП-001574</x:t>
        </x:is>
      </x:c>
      <x:c r="F726" s="31" t="inlineStr">
        <x:is>
          <x:t xml:space="preserve">ОБ-023</x:t>
        </x:is>
      </x:c>
      <x:c r="G726" s="31" t="inlineStr">
        <x:is>
          <x:t xml:space="preserve">СОТР-039</x:t>
        </x:is>
      </x:c>
      <x:c r="H726" s="31" t="inlineStr">
        <x:is>
          <x:t xml:space="preserve">Склад</x:t>
        </x:is>
      </x:c>
      <x:c r="I726" s="31" t="n">
        <x:v>3</x:v>
      </x:c>
      <x:c r="J726" s="31" t="n">
        <x:v>3</x:v>
      </x:c>
      <x:c r="K726" s="31" t="n">
        <x:v>12.3</x:v>
      </x:c>
      <x:c r="L726" s="31" t="n">
        <x:v>16</x:v>
      </x:c>
      <x:c r="M726" s="31" t="n">
        <x:v>60</x:v>
      </x:c>
      <x:c r="N726" s="31" t="inlineStr">
        <x:is>
          <x:t xml:space="preserve">Ремонт оборудования</x:t>
        </x:is>
      </x:c>
      <x:c r="O726" s="31" t="inlineStr">
        <x:is>
          <x:t xml:space="preserve">Подтверждено мастером</x:t>
        </x:is>
      </x:c>
      <x:c r="P726" s="31" t="inlineStr">
        <x:is>
          <x:t xml:space="preserve">Комментарий смены 783</x:t>
        </x:is>
      </x:c>
    </x:row>
    <x:row r="727">
      <x:c r="A727" s="31" t="inlineStr">
        <x:is>
          <x:t xml:space="preserve">СМ-00785</x:t>
        </x:is>
      </x:c>
      <x:c r="B727" s="31" t="n">
        <x:v>46201</x:v>
      </x:c>
      <x:c r="C727" s="31" t="inlineStr">
        <x:is>
          <x:t xml:space="preserve">Вечер</x:t>
        </x:is>
      </x:c>
      <x:c r="D727" s="31" t="inlineStr">
        <x:is>
          <x:t xml:space="preserve">ПЗ-00079</x:t>
        </x:is>
      </x:c>
      <x:c r="E727" s="31" t="inlineStr">
        <x:is>
          <x:t xml:space="preserve">ОП-000670</x:t>
        </x:is>
      </x:c>
      <x:c r="F727" s="31" t="inlineStr">
        <x:is>
          <x:t xml:space="preserve">ОБ-005</x:t>
        </x:is>
      </x:c>
      <x:c r="G727" s="31" t="inlineStr">
        <x:is>
          <x:t xml:space="preserve">СОТР-073</x:t>
        </x:is>
      </x:c>
      <x:c r="H727" s="31" t="inlineStr">
        <x:is>
          <x:t xml:space="preserve">Сборка</x:t>
        </x:is>
      </x:c>
      <x:c r="I727" s="31" t="n">
        <x:v>3</x:v>
      </x:c>
      <x:c r="J727" s="31" t="n">
        <x:v>3</x:v>
      </x:c>
      <x:c r="K727" s="31" t="n">
        <x:v>16</x:v>
      </x:c>
      <x:c r="L727" s="31" t="n">
        <x:v>15.6</x:v>
      </x:c>
      <x:c r="M727" s="31" t="n">
        <x:v>0</x:v>
      </x:c>
      <x:c r="N727" s="31" t="inlineStr">
        <x:is>
          <x:t xml:space="preserve">Нет</x:t>
        </x:is>
      </x:c>
      <x:c r="O727" s="31" t="inlineStr">
        <x:is>
          <x:t xml:space="preserve">Подтверждено мастером</x:t>
        </x:is>
      </x:c>
      <x:c r="P727" s="31" t="inlineStr">
        <x:is>
          <x:t xml:space="preserve">Комментарий смены 785</x:t>
        </x:is>
      </x:c>
    </x:row>
    <x:row r="728">
      <x:c r="A728" s="31" t="inlineStr">
        <x:is>
          <x:t xml:space="preserve">СМ-00786</x:t>
        </x:is>
      </x:c>
      <x:c r="B728" s="31" t="n">
        <x:v>46102</x:v>
      </x:c>
      <x:c r="C728" s="31" t="inlineStr">
        <x:is>
          <x:t xml:space="preserve">Ночь</x:t>
        </x:is>
      </x:c>
      <x:c r="D728" s="31" t="inlineStr">
        <x:is>
          <x:t xml:space="preserve">ПЗ-00104</x:t>
        </x:is>
      </x:c>
      <x:c r="E728" s="31" t="inlineStr">
        <x:is>
          <x:t xml:space="preserve">ОП-000869</x:t>
        </x:is>
      </x:c>
      <x:c r="F728" s="31" t="inlineStr">
        <x:is>
          <x:t xml:space="preserve">ОБ-017</x:t>
        </x:is>
      </x:c>
      <x:c r="G728" s="31" t="inlineStr">
        <x:is>
          <x:t xml:space="preserve">СОТР-079</x:t>
        </x:is>
      </x:c>
      <x:c r="H728" s="31" t="inlineStr">
        <x:is>
          <x:t xml:space="preserve">Сборка</x:t>
        </x:is>
      </x:c>
      <x:c r="I728" s="31" t="n">
        <x:v>1</x:v>
      </x:c>
      <x:c r="J728" s="31" t="n">
        <x:v>0</x:v>
      </x:c>
      <x:c r="K728" s="31" t="n">
        <x:v>4.6</x:v>
      </x:c>
      <x:c r="L728" s="31" t="n">
        <x:v>5.6</x:v>
      </x:c>
      <x:c r="M728" s="31" t="n">
        <x:v>90</x:v>
      </x:c>
      <x:c r="N728" s="31" t="inlineStr">
        <x:is>
          <x:t xml:space="preserve">Ремонт оборудования</x:t>
        </x:is>
      </x:c>
      <x:c r="O728" s="31" t="inlineStr">
        <x:is>
          <x:t xml:space="preserve">Подтверждено мастером</x:t>
        </x:is>
      </x:c>
      <x:c r="P728" s="31" t="inlineStr">
        <x:is>
          <x:t xml:space="preserve">Комментарий смены 786</x:t>
        </x:is>
      </x:c>
    </x:row>
    <x:row r="729">
      <x:c r="A729" s="31" t="inlineStr">
        <x:is>
          <x:t xml:space="preserve">СМ-00787</x:t>
        </x:is>
      </x:c>
      <x:c r="B729" s="31" t="n">
        <x:v>46136</x:v>
      </x:c>
      <x:c r="C729" s="31" t="inlineStr">
        <x:is>
          <x:t xml:space="preserve">День</x:t>
        </x:is>
      </x:c>
      <x:c r="D729" s="31" t="inlineStr">
        <x:is>
          <x:t xml:space="preserve">ПЗ-00194</x:t>
        </x:is>
      </x:c>
      <x:c r="E729" s="31" t="inlineStr">
        <x:is>
          <x:t xml:space="preserve">ОП-001626</x:t>
        </x:is>
      </x:c>
      <x:c r="F729" s="31" t="inlineStr">
        <x:is>
          <x:t xml:space="preserve">ОБ-033</x:t>
        </x:is>
      </x:c>
      <x:c r="G729" s="31" t="inlineStr">
        <x:is>
          <x:t xml:space="preserve">СОТР-093</x:t>
        </x:is>
      </x:c>
      <x:c r="H729" s="31" t="inlineStr">
        <x:is>
          <x:t xml:space="preserve">ОТК</x:t>
        </x:is>
      </x:c>
      <x:c r="I729" s="31" t="n">
        <x:v>1</x:v>
      </x:c>
      <x:c r="J729" s="31" t="n">
        <x:v>1</x:v>
      </x:c>
      <x:c r="K729" s="31" t="n">
        <x:v>20.5</x:v>
      </x:c>
      <x:c r="L729" s="31" t="n">
        <x:v>19.7</x:v>
      </x:c>
      <x:c r="M729" s="31" t="n">
        <x:v>120</x:v>
      </x:c>
      <x:c r="N729" s="31" t="inlineStr">
        <x:is>
          <x:t xml:space="preserve">Ремонт оборудования</x:t>
        </x:is>
      </x:c>
      <x:c r="O729" s="31" t="inlineStr">
        <x:is>
          <x:t xml:space="preserve">Подтверждено мастером</x:t>
        </x:is>
      </x:c>
      <x:c r="P729" s="31" t="inlineStr">
        <x:is>
          <x:t xml:space="preserve">Комментарий смены 787</x:t>
        </x:is>
      </x:c>
    </x:row>
    <x:row r="730">
      <x:c r="A730" s="31" t="inlineStr">
        <x:is>
          <x:t xml:space="preserve">СМ-00788</x:t>
        </x:is>
      </x:c>
      <x:c r="B730" s="31" t="n">
        <x:v>46120</x:v>
      </x:c>
      <x:c r="C730" s="31" t="inlineStr">
        <x:is>
          <x:t xml:space="preserve">День</x:t>
        </x:is>
      </x:c>
      <x:c r="D730" s="31" t="inlineStr">
        <x:is>
          <x:t xml:space="preserve">ПЗ-00102</x:t>
        </x:is>
      </x:c>
      <x:c r="E730" s="31" t="inlineStr">
        <x:is>
          <x:t xml:space="preserve">ОП-000851</x:t>
        </x:is>
      </x:c>
      <x:c r="F730" s="31" t="inlineStr">
        <x:is>
          <x:t xml:space="preserve">ОБ-016</x:t>
        </x:is>
      </x:c>
      <x:c r="G730" s="31" t="inlineStr">
        <x:is>
          <x:t xml:space="preserve">СОТР-079</x:t>
        </x:is>
      </x:c>
      <x:c r="H730" s="31" t="inlineStr">
        <x:is>
          <x:t xml:space="preserve">Сборка</x:t>
        </x:is>
      </x:c>
      <x:c r="I730" s="31" t="n">
        <x:v>3</x:v>
      </x:c>
      <x:c r="J730" s="31" t="n">
        <x:v>3</x:v>
      </x:c>
      <x:c r="K730" s="31" t="n">
        <x:v>35</x:v>
      </x:c>
      <x:c r="L730" s="31" t="n">
        <x:v>33.5</x:v>
      </x:c>
      <x:c r="M730" s="31" t="n">
        <x:v>0</x:v>
      </x:c>
      <x:c r="N730" s="31" t="inlineStr">
        <x:is>
          <x:t xml:space="preserve">Нет</x:t>
        </x:is>
      </x:c>
      <x:c r="O730" s="31" t="inlineStr">
        <x:is>
          <x:t xml:space="preserve">Подтверждено мастером</x:t>
        </x:is>
      </x:c>
      <x:c r="P730" s="31" t="inlineStr">
        <x:is>
          <x:t xml:space="preserve">Комментарий смены 788</x:t>
        </x:is>
      </x:c>
    </x:row>
    <x:row r="731">
      <x:c r="A731" s="31" t="inlineStr">
        <x:is>
          <x:t xml:space="preserve">СМ-00789</x:t>
        </x:is>
      </x:c>
      <x:c r="B731" s="31" t="n">
        <x:v>46141</x:v>
      </x:c>
      <x:c r="C731" s="31" t="inlineStr">
        <x:is>
          <x:t xml:space="preserve">Вечер</x:t>
        </x:is>
      </x:c>
      <x:c r="D731" s="31" t="inlineStr">
        <x:is>
          <x:t xml:space="preserve">ПЗ-00229</x:t>
        </x:is>
      </x:c>
      <x:c r="E731" s="31" t="inlineStr">
        <x:is>
          <x:t xml:space="preserve">ОП-001918</x:t>
        </x:is>
      </x:c>
      <x:c r="F731" s="31" t="inlineStr">
        <x:is>
          <x:t xml:space="preserve">ОБ-014</x:t>
        </x:is>
      </x:c>
      <x:c r="G731" s="31" t="inlineStr">
        <x:is>
          <x:t xml:space="preserve">СОТР-091</x:t>
        </x:is>
      </x:c>
      <x:c r="H731" s="31" t="inlineStr">
        <x:is>
          <x:t xml:space="preserve">Сборка</x:t>
        </x:is>
      </x:c>
      <x:c r="I731" s="31" t="n">
        <x:v>1</x:v>
      </x:c>
      <x:c r="J731" s="31" t="n">
        <x:v>1</x:v>
      </x:c>
      <x:c r="K731" s="31" t="n">
        <x:v>8</x:v>
      </x:c>
      <x:c r="L731" s="31" t="n">
        <x:v>7.5</x:v>
      </x:c>
      <x:c r="M731" s="31" t="n">
        <x:v>60</x:v>
      </x:c>
      <x:c r="N731" s="31" t="inlineStr">
        <x:is>
          <x:t xml:space="preserve">Ожидание материала</x:t>
        </x:is>
      </x:c>
      <x:c r="O731" s="31" t="inlineStr">
        <x:is>
          <x:t xml:space="preserve">Подтверждено мастером</x:t>
        </x:is>
      </x:c>
      <x:c r="P731" s="31" t="inlineStr">
        <x:is>
          <x:t xml:space="preserve">Комментарий смены 789</x:t>
        </x:is>
      </x:c>
    </x:row>
    <x:row r="732">
      <x:c r="A732" s="31" t="inlineStr">
        <x:is>
          <x:t xml:space="preserve">СМ-00790</x:t>
        </x:is>
      </x:c>
      <x:c r="B732" s="31" t="n">
        <x:v>46068</x:v>
      </x:c>
      <x:c r="C732" s="31" t="inlineStr">
        <x:is>
          <x:t xml:space="preserve">Вечер</x:t>
        </x:is>
      </x:c>
      <x:c r="D732" s="31" t="inlineStr">
        <x:is>
          <x:t xml:space="preserve">ПЗ-00144</x:t>
        </x:is>
      </x:c>
      <x:c r="E732" s="31" t="inlineStr">
        <x:is>
          <x:t xml:space="preserve">ОП-001199</x:t>
        </x:is>
      </x:c>
      <x:c r="F732" s="31" t="inlineStr">
        <x:is>
          <x:t xml:space="preserve">ОБ-003</x:t>
        </x:is>
      </x:c>
      <x:c r="G732" s="31" t="inlineStr">
        <x:is>
          <x:t xml:space="preserve">СОТР-057</x:t>
        </x:is>
      </x:c>
      <x:c r="H732" s="31" t="inlineStr">
        <x:is>
          <x:t xml:space="preserve">Сварка</x:t>
        </x:is>
      </x:c>
      <x:c r="I732" s="31" t="n">
        <x:v>3</x:v>
      </x:c>
      <x:c r="J732" s="31" t="n">
        <x:v>4</x:v>
      </x:c>
      <x:c r="K732" s="31" t="n">
        <x:v>36.4</x:v>
      </x:c>
      <x:c r="L732" s="31" t="n">
        <x:v>30.3</x:v>
      </x:c>
      <x:c r="M732" s="31" t="n">
        <x:v>15</x:v>
      </x:c>
      <x:c r="N732" s="31" t="inlineStr">
        <x:is>
          <x:t xml:space="preserve">Ожидание ОТК</x:t>
        </x:is>
      </x:c>
      <x:c r="O732" s="31" t="inlineStr">
        <x:is>
          <x:t xml:space="preserve">Подтверждено мастером</x:t>
        </x:is>
      </x:c>
      <x:c r="P732" s="31" t="inlineStr">
        <x:is>
          <x:t xml:space="preserve">Комментарий смены 790</x:t>
        </x:is>
      </x:c>
    </x:row>
    <x:row r="733">
      <x:c r="A733" s="31" t="inlineStr">
        <x:is>
          <x:t xml:space="preserve">СМ-00791</x:t>
        </x:is>
      </x:c>
      <x:c r="B733" s="31" t="n">
        <x:v>46047</x:v>
      </x:c>
      <x:c r="C733" s="31" t="inlineStr">
        <x:is>
          <x:t xml:space="preserve">День</x:t>
        </x:is>
      </x:c>
      <x:c r="D733" s="31" t="inlineStr">
        <x:is>
          <x:t xml:space="preserve">ПЗ-00112</x:t>
        </x:is>
      </x:c>
      <x:c r="E733" s="31" t="inlineStr">
        <x:is>
          <x:t xml:space="preserve">ОП-000942</x:t>
        </x:is>
      </x:c>
      <x:c r="F733" s="31" t="inlineStr">
        <x:is>
          <x:t xml:space="preserve">ОБ-016</x:t>
        </x:is>
      </x:c>
      <x:c r="G733" s="31" t="inlineStr">
        <x:is>
          <x:t xml:space="preserve">СОТР-085</x:t>
        </x:is>
      </x:c>
      <x:c r="H733" s="31" t="inlineStr">
        <x:is>
          <x:t xml:space="preserve">Сборка</x:t>
        </x:is>
      </x:c>
      <x:c r="I733" s="31" t="n">
        <x:v>2</x:v>
      </x:c>
      <x:c r="J733" s="31" t="n">
        <x:v>2</x:v>
      </x:c>
      <x:c r="K733" s="31" t="n">
        <x:v>9.6</x:v>
      </x:c>
      <x:c r="L733" s="31" t="n">
        <x:v>9.699999999999999</x:v>
      </x:c>
      <x:c r="M733" s="31" t="n">
        <x:v>45</x:v>
      </x:c>
      <x:c r="N733" s="31" t="inlineStr">
        <x:is>
          <x:t xml:space="preserve">Ремонт оборудования</x:t>
        </x:is>
      </x:c>
      <x:c r="O733" s="31" t="inlineStr">
        <x:is>
          <x:t xml:space="preserve">Подтверждено мастером</x:t>
        </x:is>
      </x:c>
      <x:c r="P733" s="31" t="inlineStr">
        <x:is>
          <x:t xml:space="preserve">Комментарий смены 791</x:t>
        </x:is>
      </x:c>
    </x:row>
    <x:row r="734">
      <x:c r="A734" s="31" t="inlineStr">
        <x:is>
          <x:t xml:space="preserve">СМ-00792</x:t>
        </x:is>
      </x:c>
      <x:c r="B734" s="31" t="n">
        <x:v>46060</x:v>
      </x:c>
      <x:c r="C734" s="31" t="inlineStr">
        <x:is>
          <x:t xml:space="preserve">День</x:t>
        </x:is>
      </x:c>
      <x:c r="D734" s="31" t="inlineStr">
        <x:is>
          <x:t xml:space="preserve">ПЗ-00047</x:t>
        </x:is>
      </x:c>
      <x:c r="E734" s="31" t="inlineStr">
        <x:is>
          <x:t xml:space="preserve">ОП-000395</x:t>
        </x:is>
      </x:c>
      <x:c r="F734" s="31" t="inlineStr">
        <x:is>
          <x:t xml:space="preserve">ОБ-022</x:t>
        </x:is>
      </x:c>
      <x:c r="G734" s="31" t="inlineStr">
        <x:is>
          <x:t xml:space="preserve">СОТР-063</x:t>
        </x:is>
      </x:c>
      <x:c r="H734" s="31" t="inlineStr">
        <x:is>
          <x:t xml:space="preserve">ОТК</x:t>
        </x:is>
      </x:c>
      <x:c r="I734" s="31" t="n">
        <x:v>1</x:v>
      </x:c>
      <x:c r="J734" s="31" t="n">
        <x:v>1</x:v>
      </x:c>
      <x:c r="K734" s="31" t="n">
        <x:v>5.5</x:v>
      </x:c>
      <x:c r="L734" s="31" t="n">
        <x:v>6</x:v>
      </x:c>
      <x:c r="M734" s="31" t="n">
        <x:v>90</x:v>
      </x:c>
      <x:c r="N734" s="31" t="inlineStr">
        <x:is>
          <x:t xml:space="preserve">Нет оператора</x:t>
        </x:is>
      </x:c>
      <x:c r="O734" s="31" t="inlineStr">
        <x:is>
          <x:t xml:space="preserve">Спорный факт</x:t>
        </x:is>
      </x:c>
      <x:c r="P734" s="31" t="inlineStr">
        <x:is>
          <x:t xml:space="preserve">Комментарий смены 792</x:t>
        </x:is>
      </x:c>
    </x:row>
    <x:row r="735">
      <x:c r="A735" s="31" t="inlineStr">
        <x:is>
          <x:t xml:space="preserve">СМ-00793</x:t>
        </x:is>
      </x:c>
      <x:c r="B735" s="31" t="n">
        <x:v>46129</x:v>
      </x:c>
      <x:c r="C735" s="31" t="inlineStr">
        <x:is>
          <x:t xml:space="preserve">День</x:t>
        </x:is>
      </x:c>
      <x:c r="D735" s="31" t="inlineStr">
        <x:is>
          <x:t xml:space="preserve">ПЗ-00138</x:t>
        </x:is>
      </x:c>
      <x:c r="E735" s="31" t="inlineStr">
        <x:is>
          <x:t xml:space="preserve">ОП-001151</x:t>
        </x:is>
      </x:c>
      <x:c r="F735" s="31" t="n"/>
      <x:c r="G735" s="31" t="inlineStr">
        <x:is>
          <x:t xml:space="preserve">СОТР-011</x:t>
        </x:is>
      </x:c>
      <x:c r="H735" s="31" t="inlineStr">
        <x:is>
          <x:t xml:space="preserve">Инженерный отдел</x:t>
        </x:is>
      </x:c>
      <x:c r="I735" s="31" t="n">
        <x:v>2</x:v>
      </x:c>
      <x:c r="J735" s="31" t="n">
        <x:v>3</x:v>
      </x:c>
      <x:c r="K735" s="31" t="n">
        <x:v>10.8</x:v>
      </x:c>
      <x:c r="L735" s="31" t="n">
        <x:v>13.8</x:v>
      </x:c>
      <x:c r="M735" s="31" t="n">
        <x:v>15</x:v>
      </x:c>
      <x:c r="N735" s="31" t="inlineStr">
        <x:is>
          <x:t xml:space="preserve">Ожидание ОТК</x:t>
        </x:is>
      </x:c>
      <x:c r="O735" s="31" t="inlineStr">
        <x:is>
          <x:t xml:space="preserve">Подтверждено мастером</x:t>
        </x:is>
      </x:c>
      <x:c r="P735" s="31" t="inlineStr">
        <x:is>
          <x:t xml:space="preserve">Комментарий смены 793</x:t>
        </x:is>
      </x:c>
    </x:row>
    <x:row r="736">
      <x:c r="A736" s="31" t="inlineStr">
        <x:is>
          <x:t xml:space="preserve">СМ-00794</x:t>
        </x:is>
      </x:c>
      <x:c r="B736" s="31" t="n">
        <x:v>46165</x:v>
      </x:c>
      <x:c r="C736" s="31" t="inlineStr">
        <x:is>
          <x:t xml:space="preserve">День</x:t>
        </x:is>
      </x:c>
      <x:c r="D736" s="31" t="inlineStr">
        <x:is>
          <x:t xml:space="preserve">ПЗ-00240</x:t>
        </x:is>
      </x:c>
      <x:c r="E736" s="31" t="inlineStr">
        <x:is>
          <x:t xml:space="preserve">ОП-002009</x:t>
        </x:is>
      </x:c>
      <x:c r="F736" s="31" t="inlineStr">
        <x:is>
          <x:t xml:space="preserve">ОБ-034</x:t>
        </x:is>
      </x:c>
      <x:c r="G736" s="31" t="inlineStr">
        <x:is>
          <x:t xml:space="preserve">СОТР-073</x:t>
        </x:is>
      </x:c>
      <x:c r="H736" s="31" t="inlineStr">
        <x:is>
          <x:t xml:space="preserve">Сборка</x:t>
        </x:is>
      </x:c>
      <x:c r="I736" s="31" t="n">
        <x:v>3</x:v>
      </x:c>
      <x:c r="J736" s="31" t="n">
        <x:v>4</x:v>
      </x:c>
      <x:c r="K736" s="31" t="n">
        <x:v>58</x:v>
      </x:c>
      <x:c r="L736" s="31" t="n">
        <x:v>61.9</x:v>
      </x:c>
      <x:c r="M736" s="31" t="n">
        <x:v>30</x:v>
      </x:c>
      <x:c r="N736" s="31" t="inlineStr">
        <x:is>
          <x:t xml:space="preserve">Ожидание материала</x:t>
        </x:is>
      </x:c>
      <x:c r="O736" s="31" t="inlineStr">
        <x:is>
          <x:t xml:space="preserve">Подтверждено мастером</x:t>
        </x:is>
      </x:c>
      <x:c r="P736" s="31" t="inlineStr">
        <x:is>
          <x:t xml:space="preserve">Комментарий смены 794</x:t>
        </x:is>
      </x:c>
    </x:row>
    <x:row r="737">
      <x:c r="A737" s="31" t="inlineStr">
        <x:is>
          <x:t xml:space="preserve">СМ-00795</x:t>
        </x:is>
      </x:c>
      <x:c r="B737" s="31" t="n">
        <x:v>46118</x:v>
      </x:c>
      <x:c r="C737" s="31" t="inlineStr">
        <x:is>
          <x:t xml:space="preserve">Ночь</x:t>
        </x:is>
      </x:c>
      <x:c r="D737" s="31" t="inlineStr">
        <x:is>
          <x:t xml:space="preserve">ПЗ-00232</x:t>
        </x:is>
      </x:c>
      <x:c r="E737" s="31" t="inlineStr">
        <x:is>
          <x:t xml:space="preserve">ОП-001941</x:t>
        </x:is>
      </x:c>
      <x:c r="F737" s="31" t="inlineStr">
        <x:is>
          <x:t xml:space="preserve">ОБ-035</x:t>
        </x:is>
      </x:c>
      <x:c r="G737" s="31" t="inlineStr">
        <x:is>
          <x:t xml:space="preserve">СОТР-066</x:t>
        </x:is>
      </x:c>
      <x:c r="H737" s="31" t="inlineStr">
        <x:is>
          <x:t xml:space="preserve">Сварка</x:t>
        </x:is>
      </x:c>
      <x:c r="I737" s="31" t="n">
        <x:v>3</x:v>
      </x:c>
      <x:c r="J737" s="31" t="n">
        <x:v>3</x:v>
      </x:c>
      <x:c r="K737" s="31" t="n">
        <x:v>18</x:v>
      </x:c>
      <x:c r="L737" s="31" t="n">
        <x:v>17.8</x:v>
      </x:c>
      <x:c r="M737" s="31" t="n">
        <x:v>120</x:v>
      </x:c>
      <x:c r="N737" s="31" t="inlineStr">
        <x:is>
          <x:t xml:space="preserve">Переналадка</x:t>
        </x:is>
      </x:c>
      <x:c r="O737" s="31" t="inlineStr">
        <x:is>
          <x:t xml:space="preserve">Подтверждено мастером</x:t>
        </x:is>
      </x:c>
      <x:c r="P737" s="31" t="inlineStr">
        <x:is>
          <x:t xml:space="preserve">Комментарий смены 795</x:t>
        </x:is>
      </x:c>
    </x:row>
    <x:row r="738">
      <x:c r="A738" s="31" t="inlineStr">
        <x:is>
          <x:t xml:space="preserve">СМ-00796</x:t>
        </x:is>
      </x:c>
      <x:c r="B738" s="31" t="n">
        <x:v>46161</x:v>
      </x:c>
      <x:c r="C738" s="31" t="inlineStr">
        <x:is>
          <x:t xml:space="preserve">День</x:t>
        </x:is>
      </x:c>
      <x:c r="D738" s="31" t="inlineStr">
        <x:is>
          <x:t xml:space="preserve">ПЗ-00154</x:t>
        </x:is>
      </x:c>
      <x:c r="E738" s="31" t="inlineStr">
        <x:is>
          <x:t xml:space="preserve">ОП-001277</x:t>
        </x:is>
      </x:c>
      <x:c r="F738" s="31" t="inlineStr">
        <x:is>
          <x:t xml:space="preserve">ОБ-033</x:t>
        </x:is>
      </x:c>
      <x:c r="G738" s="31" t="inlineStr">
        <x:is>
          <x:t xml:space="preserve">СОТР-099</x:t>
        </x:is>
      </x:c>
      <x:c r="H738" s="31" t="inlineStr">
        <x:is>
          <x:t xml:space="preserve">ОТК</x:t>
        </x:is>
      </x:c>
      <x:c r="I738" s="31" t="n">
        <x:v>2</x:v>
      </x:c>
      <x:c r="J738" s="31" t="n">
        <x:v>1</x:v>
      </x:c>
      <x:c r="K738" s="31" t="n">
        <x:v>4.4</x:v>
      </x:c>
      <x:c r="L738" s="31" t="n">
        <x:v>4</x:v>
      </x:c>
      <x:c r="M738" s="31" t="n">
        <x:v>0</x:v>
      </x:c>
      <x:c r="N738" s="31" t="inlineStr">
        <x:is>
          <x:t xml:space="preserve">Нет</x:t>
        </x:is>
      </x:c>
      <x:c r="O738" s="31" t="inlineStr">
        <x:is>
          <x:t xml:space="preserve">Черновик</x:t>
        </x:is>
      </x:c>
      <x:c r="P738" s="31" t="inlineStr">
        <x:is>
          <x:t xml:space="preserve">Комментарий смены 796</x:t>
        </x:is>
      </x:c>
    </x:row>
    <x:row r="739">
      <x:c r="A739" s="31" t="inlineStr">
        <x:is>
          <x:t xml:space="preserve">СМ-00797</x:t>
        </x:is>
      </x:c>
      <x:c r="B739" s="31" t="n">
        <x:v>46125</x:v>
      </x:c>
      <x:c r="C739" s="31" t="inlineStr">
        <x:is>
          <x:t xml:space="preserve">День</x:t>
        </x:is>
      </x:c>
      <x:c r="D739" s="31" t="inlineStr">
        <x:is>
          <x:t xml:space="preserve">ПЗ-00237</x:t>
        </x:is>
      </x:c>
      <x:c r="E739" s="31" t="inlineStr">
        <x:is>
          <x:t xml:space="preserve">ОП-001986</x:t>
        </x:is>
      </x:c>
      <x:c r="F739" s="31" t="inlineStr">
        <x:is>
          <x:t xml:space="preserve">ОБ-013</x:t>
        </x:is>
      </x:c>
      <x:c r="G739" s="31" t="inlineStr">
        <x:is>
          <x:t xml:space="preserve">СОТР-100</x:t>
        </x:is>
      </x:c>
      <x:c r="H739" s="31" t="inlineStr">
        <x:is>
          <x:t xml:space="preserve">ОТК</x:t>
        </x:is>
      </x:c>
      <x:c r="I739" s="31" t="n">
        <x:v>3</x:v>
      </x:c>
      <x:c r="J739" s="31" t="n">
        <x:v>2</x:v>
      </x:c>
      <x:c r="K739" s="31" t="n">
        <x:v>12</x:v>
      </x:c>
      <x:c r="L739" s="31" t="n">
        <x:v>15.3</x:v>
      </x:c>
      <x:c r="M739" s="31" t="n">
        <x:v>0</x:v>
      </x:c>
      <x:c r="N739" s="31" t="inlineStr">
        <x:is>
          <x:t xml:space="preserve">Нет</x:t>
        </x:is>
      </x:c>
      <x:c r="O739" s="31" t="inlineStr">
        <x:is>
          <x:t xml:space="preserve">Закрыто</x:t>
        </x:is>
      </x:c>
      <x:c r="P739" s="31" t="inlineStr">
        <x:is>
          <x:t xml:space="preserve">Комментарий смены 797</x:t>
        </x:is>
      </x:c>
    </x:row>
    <x:row r="740">
      <x:c r="A740" s="31" t="inlineStr">
        <x:is>
          <x:t xml:space="preserve">СМ-00798</x:t>
        </x:is>
      </x:c>
      <x:c r="B740" s="31" t="n">
        <x:v>46161</x:v>
      </x:c>
      <x:c r="C740" s="31" t="inlineStr">
        <x:is>
          <x:t xml:space="preserve">День</x:t>
        </x:is>
      </x:c>
      <x:c r="D740" s="31" t="inlineStr">
        <x:is>
          <x:t xml:space="preserve">ПЗ-00126</x:t>
        </x:is>
      </x:c>
      <x:c r="E740" s="31" t="inlineStr">
        <x:is>
          <x:t xml:space="preserve">ОП-001054</x:t>
        </x:is>
      </x:c>
      <x:c r="F740" s="31" t="n"/>
      <x:c r="G740" s="31" t="inlineStr">
        <x:is>
          <x:t xml:space="preserve">СОТР-020</x:t>
        </x:is>
      </x:c>
      <x:c r="H740" s="31" t="inlineStr">
        <x:is>
          <x:t xml:space="preserve">Инженерный отдел</x:t>
        </x:is>
      </x:c>
      <x:c r="I740" s="31" t="n">
        <x:v>2</x:v>
      </x:c>
      <x:c r="J740" s="31" t="n">
        <x:v>3</x:v>
      </x:c>
      <x:c r="K740" s="31" t="n">
        <x:v>13</x:v>
      </x:c>
      <x:c r="L740" s="31" t="n">
        <x:v>13.6</x:v>
      </x:c>
      <x:c r="M740" s="31" t="n">
        <x:v>0</x:v>
      </x:c>
      <x:c r="N740" s="31" t="inlineStr">
        <x:is>
          <x:t xml:space="preserve">Нет</x:t>
        </x:is>
      </x:c>
      <x:c r="O740" s="31" t="inlineStr">
        <x:is>
          <x:t xml:space="preserve">Закрыто</x:t>
        </x:is>
      </x:c>
      <x:c r="P740" s="31" t="inlineStr">
        <x:is>
          <x:t xml:space="preserve">Комментарий смены 798</x:t>
        </x:is>
      </x:c>
    </x:row>
    <x:row r="741">
      <x:c r="A741" s="31" t="inlineStr">
        <x:is>
          <x:t xml:space="preserve">СМ-00802</x:t>
        </x:is>
      </x:c>
      <x:c r="B741" s="31" t="n">
        <x:v>46082</x:v>
      </x:c>
      <x:c r="C741" s="31" t="inlineStr">
        <x:is>
          <x:t xml:space="preserve">День</x:t>
        </x:is>
      </x:c>
      <x:c r="D741" s="31" t="inlineStr">
        <x:is>
          <x:t xml:space="preserve">ПЗ-00057</x:t>
        </x:is>
      </x:c>
      <x:c r="E741" s="31" t="inlineStr">
        <x:is>
          <x:t xml:space="preserve">ОП-000474</x:t>
        </x:is>
      </x:c>
      <x:c r="F741" s="31" t="inlineStr">
        <x:is>
          <x:t xml:space="preserve">ОБ-005</x:t>
        </x:is>
      </x:c>
      <x:c r="G741" s="31" t="inlineStr">
        <x:is>
          <x:t xml:space="preserve">СОТР-091</x:t>
        </x:is>
      </x:c>
      <x:c r="H741" s="31" t="inlineStr">
        <x:is>
          <x:t xml:space="preserve">Сборка</x:t>
        </x:is>
      </x:c>
      <x:c r="I741" s="31" t="n">
        <x:v>1</x:v>
      </x:c>
      <x:c r="J741" s="31" t="n">
        <x:v>1</x:v>
      </x:c>
      <x:c r="K741" s="31" t="n">
        <x:v>6.4</x:v>
      </x:c>
      <x:c r="L741" s="31" t="n">
        <x:v>6.7</x:v>
      </x:c>
      <x:c r="M741" s="31" t="n">
        <x:v>0</x:v>
      </x:c>
      <x:c r="N741" s="31" t="inlineStr">
        <x:is>
          <x:t xml:space="preserve">Нет</x:t>
        </x:is>
      </x:c>
      <x:c r="O741" s="31" t="inlineStr">
        <x:is>
          <x:t xml:space="preserve">Подтверждено мастером</x:t>
        </x:is>
      </x:c>
      <x:c r="P741" s="31" t="inlineStr">
        <x:is>
          <x:t xml:space="preserve">Комментарий смены 802</x:t>
        </x:is>
      </x:c>
    </x:row>
    <x:row r="742">
      <x:c r="A742" s="31" t="inlineStr">
        <x:is>
          <x:t xml:space="preserve">СМ-00803</x:t>
        </x:is>
      </x:c>
      <x:c r="B742" s="31" t="n">
        <x:v>46163</x:v>
      </x:c>
      <x:c r="C742" s="31" t="inlineStr">
        <x:is>
          <x:t xml:space="preserve">Вечер</x:t>
        </x:is>
      </x:c>
      <x:c r="D742" s="31" t="inlineStr">
        <x:is>
          <x:t xml:space="preserve">ПЗ-00189</x:t>
        </x:is>
      </x:c>
      <x:c r="E742" s="31" t="inlineStr">
        <x:is>
          <x:t xml:space="preserve">ОП-001576</x:t>
        </x:is>
      </x:c>
      <x:c r="F742" s="31" t="inlineStr">
        <x:is>
          <x:t xml:space="preserve">ОБ-027</x:t>
        </x:is>
      </x:c>
      <x:c r="G742" s="31" t="inlineStr">
        <x:is>
          <x:t xml:space="preserve">СОТР-032</x:t>
        </x:is>
      </x:c>
      <x:c r="H742" s="31" t="inlineStr">
        <x:is>
          <x:t xml:space="preserve">Сборка</x:t>
        </x:is>
      </x:c>
      <x:c r="I742" s="31" t="n">
        <x:v>2</x:v>
      </x:c>
      <x:c r="J742" s="31" t="n">
        <x:v>3</x:v>
      </x:c>
      <x:c r="K742" s="31" t="n">
        <x:v>62.4</x:v>
      </x:c>
      <x:c r="L742" s="31" t="n">
        <x:v>57.5</x:v>
      </x:c>
      <x:c r="M742" s="31" t="n">
        <x:v>60</x:v>
      </x:c>
      <x:c r="N742" s="31" t="inlineStr">
        <x:is>
          <x:t xml:space="preserve">Нет оператора</x:t>
        </x:is>
      </x:c>
      <x:c r="O742" s="31" t="inlineStr">
        <x:is>
          <x:t xml:space="preserve">Закрыто</x:t>
        </x:is>
      </x:c>
      <x:c r="P742" s="31" t="inlineStr">
        <x:is>
          <x:t xml:space="preserve">Комментарий смены 803</x:t>
        </x:is>
      </x:c>
    </x:row>
    <x:row r="743">
      <x:c r="A743" s="31" t="inlineStr">
        <x:is>
          <x:t xml:space="preserve">СМ-00804</x:t>
        </x:is>
      </x:c>
      <x:c r="B743" s="31" t="n">
        <x:v>46114</x:v>
      </x:c>
      <x:c r="C743" s="31" t="inlineStr">
        <x:is>
          <x:t xml:space="preserve">Вечер</x:t>
        </x:is>
      </x:c>
      <x:c r="D743" s="31" t="inlineStr">
        <x:is>
          <x:t xml:space="preserve">ПЗ-00012</x:t>
        </x:is>
      </x:c>
      <x:c r="E743" s="31" t="inlineStr">
        <x:is>
          <x:t xml:space="preserve">ОП-000097</x:t>
        </x:is>
      </x:c>
      <x:c r="F743" s="31" t="inlineStr">
        <x:is>
          <x:t xml:space="preserve">ОБ-017</x:t>
        </x:is>
      </x:c>
      <x:c r="G743" s="31" t="inlineStr">
        <x:is>
          <x:t xml:space="preserve">СОТР-091</x:t>
        </x:is>
      </x:c>
      <x:c r="H743" s="31" t="inlineStr">
        <x:is>
          <x:t xml:space="preserve">Сборка</x:t>
        </x:is>
      </x:c>
      <x:c r="I743" s="31" t="n">
        <x:v>1</x:v>
      </x:c>
      <x:c r="J743" s="31" t="n">
        <x:v>1</x:v>
      </x:c>
      <x:c r="K743" s="31" t="n">
        <x:v>4.6</x:v>
      </x:c>
      <x:c r="L743" s="31" t="n">
        <x:v>5.3</x:v>
      </x:c>
      <x:c r="M743" s="31" t="n">
        <x:v>90</x:v>
      </x:c>
      <x:c r="N743" s="31" t="inlineStr">
        <x:is>
          <x:t xml:space="preserve">Переналадка</x:t>
        </x:is>
      </x:c>
      <x:c r="O743" s="31" t="inlineStr">
        <x:is>
          <x:t xml:space="preserve">Подтверждено мастером</x:t>
        </x:is>
      </x:c>
      <x:c r="P743" s="31" t="inlineStr">
        <x:is>
          <x:t xml:space="preserve">Комментарий смены 804</x:t>
        </x:is>
      </x:c>
    </x:row>
    <x:row r="744">
      <x:c r="A744" s="31" t="inlineStr">
        <x:is>
          <x:t xml:space="preserve">СМ-00805</x:t>
        </x:is>
      </x:c>
      <x:c r="B744" s="31" t="n">
        <x:v>46121</x:v>
      </x:c>
      <x:c r="C744" s="31" t="inlineStr">
        <x:is>
          <x:t xml:space="preserve">День</x:t>
        </x:is>
      </x:c>
      <x:c r="D744" s="31" t="inlineStr">
        <x:is>
          <x:t xml:space="preserve">ПЗ-00166</x:t>
        </x:is>
      </x:c>
      <x:c r="E744" s="31" t="inlineStr">
        <x:is>
          <x:t xml:space="preserve">ОП-001378</x:t>
        </x:is>
      </x:c>
      <x:c r="F744" s="31" t="inlineStr">
        <x:is>
          <x:t xml:space="preserve">ОБ-016</x:t>
        </x:is>
      </x:c>
      <x:c r="G744" s="31" t="inlineStr">
        <x:is>
          <x:t xml:space="preserve">СОТР-074</x:t>
        </x:is>
      </x:c>
      <x:c r="H744" s="31" t="inlineStr">
        <x:is>
          <x:t xml:space="preserve">Сборка</x:t>
        </x:is>
      </x:c>
      <x:c r="I744" s="31" t="n">
        <x:v>3</x:v>
      </x:c>
      <x:c r="J744" s="31" t="n">
        <x:v>4</x:v>
      </x:c>
      <x:c r="K744" s="31" t="n">
        <x:v>11.4</x:v>
      </x:c>
      <x:c r="L744" s="31" t="n">
        <x:v>12.5</x:v>
      </x:c>
      <x:c r="M744" s="31" t="n">
        <x:v>120</x:v>
      </x:c>
      <x:c r="N744" s="31" t="inlineStr">
        <x:is>
          <x:t xml:space="preserve">Ожидание ОТК</x:t>
        </x:is>
      </x:c>
      <x:c r="O744" s="31" t="inlineStr">
        <x:is>
          <x:t xml:space="preserve">Подтверждено мастером</x:t>
        </x:is>
      </x:c>
      <x:c r="P744" s="31" t="inlineStr">
        <x:is>
          <x:t xml:space="preserve">Комментарий смены 805</x:t>
        </x:is>
      </x:c>
    </x:row>
    <x:row r="745">
      <x:c r="A745" s="31" t="inlineStr">
        <x:is>
          <x:t xml:space="preserve">СМ-00806</x:t>
        </x:is>
      </x:c>
      <x:c r="B745" s="31" t="n">
        <x:v>46090</x:v>
      </x:c>
      <x:c r="C745" s="31" t="inlineStr">
        <x:is>
          <x:t xml:space="preserve">Ночь</x:t>
        </x:is>
      </x:c>
      <x:c r="D745" s="31" t="inlineStr">
        <x:is>
          <x:t xml:space="preserve">ПЗ-00246</x:t>
        </x:is>
      </x:c>
      <x:c r="E745" s="31" t="inlineStr">
        <x:is>
          <x:t xml:space="preserve">ОП-002055</x:t>
        </x:is>
      </x:c>
      <x:c r="F745" s="31" t="inlineStr">
        <x:is>
          <x:t xml:space="preserve">ОБ-035</x:t>
        </x:is>
      </x:c>
      <x:c r="G745" s="31" t="inlineStr">
        <x:is>
          <x:t xml:space="preserve">СОТР-059</x:t>
        </x:is>
      </x:c>
      <x:c r="H745" s="31" t="inlineStr">
        <x:is>
          <x:t xml:space="preserve">Сварка</x:t>
        </x:is>
      </x:c>
      <x:c r="I745" s="31" t="n">
        <x:v>2</x:v>
      </x:c>
      <x:c r="J745" s="31" t="n">
        <x:v>2</x:v>
      </x:c>
      <x:c r="K745" s="31" t="n">
        <x:v>4.6</x:v>
      </x:c>
      <x:c r="L745" s="31" t="n">
        <x:v>5.6</x:v>
      </x:c>
      <x:c r="M745" s="31" t="n">
        <x:v>0</x:v>
      </x:c>
      <x:c r="N745" s="31" t="inlineStr">
        <x:is>
          <x:t xml:space="preserve">Нет</x:t>
        </x:is>
      </x:c>
      <x:c r="O745" s="31" t="inlineStr">
        <x:is>
          <x:t xml:space="preserve">Черновик</x:t>
        </x:is>
      </x:c>
      <x:c r="P745" s="31" t="inlineStr">
        <x:is>
          <x:t xml:space="preserve">Комментарий смены 806</x:t>
        </x:is>
      </x:c>
    </x:row>
    <x:row r="746">
      <x:c r="A746" s="31" t="inlineStr">
        <x:is>
          <x:t xml:space="preserve">СМ-00807</x:t>
        </x:is>
      </x:c>
      <x:c r="B746" s="31" t="n">
        <x:v>46081</x:v>
      </x:c>
      <x:c r="C746" s="31" t="inlineStr">
        <x:is>
          <x:t xml:space="preserve">День</x:t>
        </x:is>
      </x:c>
      <x:c r="D746" s="31" t="inlineStr">
        <x:is>
          <x:t xml:space="preserve">ПЗ-00245</x:t>
        </x:is>
      </x:c>
      <x:c r="E746" s="31" t="inlineStr">
        <x:is>
          <x:t xml:space="preserve">ОП-002046</x:t>
        </x:is>
      </x:c>
      <x:c r="F746" s="31" t="n"/>
      <x:c r="G746" s="31" t="inlineStr">
        <x:is>
          <x:t xml:space="preserve">СОТР-021</x:t>
        </x:is>
      </x:c>
      <x:c r="H746" s="31" t="inlineStr">
        <x:is>
          <x:t xml:space="preserve">Инженерный отдел</x:t>
        </x:is>
      </x:c>
      <x:c r="I746" s="31" t="n">
        <x:v>2</x:v>
      </x:c>
      <x:c r="J746" s="31" t="n">
        <x:v>3</x:v>
      </x:c>
      <x:c r="K746" s="31" t="n">
        <x:v>36</x:v>
      </x:c>
      <x:c r="L746" s="31" t="n">
        <x:v>36.8</x:v>
      </x:c>
      <x:c r="M746" s="31" t="n">
        <x:v>45</x:v>
      </x:c>
      <x:c r="N746" s="31" t="inlineStr">
        <x:is>
          <x:t xml:space="preserve">Переналадка</x:t>
        </x:is>
      </x:c>
      <x:c r="O746" s="31" t="inlineStr">
        <x:is>
          <x:t xml:space="preserve">Спорный факт</x:t>
        </x:is>
      </x:c>
      <x:c r="P746" s="31" t="inlineStr">
        <x:is>
          <x:t xml:space="preserve">Комментарий смены 807</x:t>
        </x:is>
      </x:c>
    </x:row>
    <x:row r="747">
      <x:c r="A747" s="31" t="inlineStr">
        <x:is>
          <x:t xml:space="preserve">СМ-00808</x:t>
        </x:is>
      </x:c>
      <x:c r="B747" s="31" t="n">
        <x:v>46157</x:v>
      </x:c>
      <x:c r="C747" s="31" t="inlineStr">
        <x:is>
          <x:t xml:space="preserve">День</x:t>
        </x:is>
      </x:c>
      <x:c r="D747" s="31" t="inlineStr">
        <x:is>
          <x:t xml:space="preserve">ПЗ-00033</x:t>
        </x:is>
      </x:c>
      <x:c r="E747" s="31" t="inlineStr">
        <x:is>
          <x:t xml:space="preserve">ОП-000287</x:t>
        </x:is>
      </x:c>
      <x:c r="F747" s="31" t="inlineStr">
        <x:is>
          <x:t xml:space="preserve">ОБ-012</x:t>
        </x:is>
      </x:c>
      <x:c r="G747" s="31" t="inlineStr">
        <x:is>
          <x:t xml:space="preserve">СОТР-087</x:t>
        </x:is>
      </x:c>
      <x:c r="H747" s="31" t="inlineStr">
        <x:is>
          <x:t xml:space="preserve">Сборка</x:t>
        </x:is>
      </x:c>
      <x:c r="I747" s="31" t="n">
        <x:v>2</x:v>
      </x:c>
      <x:c r="J747" s="31" t="n">
        <x:v>0</x:v>
      </x:c>
      <x:c r="K747" s="31" t="n">
        <x:v>28.8</x:v>
      </x:c>
      <x:c r="L747" s="31" t="n">
        <x:v>18</x:v>
      </x:c>
      <x:c r="M747" s="31" t="n">
        <x:v>120</x:v>
      </x:c>
      <x:c r="N747" s="31" t="inlineStr">
        <x:is>
          <x:t xml:space="preserve">Ожидание ОТК</x:t>
        </x:is>
      </x:c>
      <x:c r="O747" s="31" t="inlineStr">
        <x:is>
          <x:t xml:space="preserve">Закрыто</x:t>
        </x:is>
      </x:c>
      <x:c r="P747" s="31" t="inlineStr">
        <x:is>
          <x:t xml:space="preserve">Комментарий смены 808</x:t>
        </x:is>
      </x:c>
    </x:row>
    <x:row r="748">
      <x:c r="A748" s="31" t="inlineStr">
        <x:is>
          <x:t xml:space="preserve">СМ-00809</x:t>
        </x:is>
      </x:c>
      <x:c r="B748" s="31" t="n">
        <x:v>46113</x:v>
      </x:c>
      <x:c r="C748" s="31" t="inlineStr">
        <x:is>
          <x:t xml:space="preserve">Вечер</x:t>
        </x:is>
      </x:c>
      <x:c r="D748" s="31" t="inlineStr">
        <x:is>
          <x:t xml:space="preserve">ПЗ-00162</x:t>
        </x:is>
      </x:c>
      <x:c r="E748" s="31" t="inlineStr">
        <x:is>
          <x:t xml:space="preserve">ОП-001342</x:t>
        </x:is>
      </x:c>
      <x:c r="F748" s="31" t="n"/>
      <x:c r="G748" s="31" t="inlineStr">
        <x:is>
          <x:t xml:space="preserve">СОТР-019</x:t>
        </x:is>
      </x:c>
      <x:c r="H748" s="31" t="inlineStr">
        <x:is>
          <x:t xml:space="preserve">Инженерный отдел</x:t>
        </x:is>
      </x:c>
      <x:c r="I748" s="31" t="n">
        <x:v>5</x:v>
      </x:c>
      <x:c r="J748" s="31" t="n">
        <x:v>6</x:v>
      </x:c>
      <x:c r="K748" s="31" t="n">
        <x:v>9</x:v>
      </x:c>
      <x:c r="L748" s="31" t="n">
        <x:v>7.3</x:v>
      </x:c>
      <x:c r="M748" s="31" t="n">
        <x:v>45</x:v>
      </x:c>
      <x:c r="N748" s="31" t="inlineStr">
        <x:is>
          <x:t xml:space="preserve">Переналадка</x:t>
        </x:is>
      </x:c>
      <x:c r="O748" s="31" t="inlineStr">
        <x:is>
          <x:t xml:space="preserve">Подтверждено мастером</x:t>
        </x:is>
      </x:c>
      <x:c r="P748" s="31" t="inlineStr">
        <x:is>
          <x:t xml:space="preserve">Комментарий смены 809</x:t>
        </x:is>
      </x:c>
    </x:row>
    <x:row r="749">
      <x:c r="A749" s="31" t="inlineStr">
        <x:is>
          <x:t xml:space="preserve">СМ-00810</x:t>
        </x:is>
      </x:c>
      <x:c r="B749" s="31" t="n">
        <x:v>46061</x:v>
      </x:c>
      <x:c r="C749" s="31" t="inlineStr">
        <x:is>
          <x:t xml:space="preserve">Ночь</x:t>
        </x:is>
      </x:c>
      <x:c r="D749" s="31" t="inlineStr">
        <x:is>
          <x:t xml:space="preserve">ПЗ-00047</x:t>
        </x:is>
      </x:c>
      <x:c r="E749" s="31" t="inlineStr">
        <x:is>
          <x:t xml:space="preserve">ОП-000396</x:t>
        </x:is>
      </x:c>
      <x:c r="F749" s="31" t="inlineStr">
        <x:is>
          <x:t xml:space="preserve">ОБ-028</x:t>
        </x:is>
      </x:c>
      <x:c r="G749" s="31" t="inlineStr">
        <x:is>
          <x:t xml:space="preserve">СОТР-092</x:t>
        </x:is>
      </x:c>
      <x:c r="H749" s="31" t="inlineStr">
        <x:is>
          <x:t xml:space="preserve">ОТК</x:t>
        </x:is>
      </x:c>
      <x:c r="I749" s="31" t="n">
        <x:v>3</x:v>
      </x:c>
      <x:c r="J749" s="31" t="n">
        <x:v>4</x:v>
      </x:c>
      <x:c r="K749" s="31" t="n">
        <x:v>16.5</x:v>
      </x:c>
      <x:c r="L749" s="31" t="n">
        <x:v>20.8</x:v>
      </x:c>
      <x:c r="M749" s="31" t="n">
        <x:v>15</x:v>
      </x:c>
      <x:c r="N749" s="31" t="inlineStr">
        <x:is>
          <x:t xml:space="preserve">Ожидание ОТК</x:t>
        </x:is>
      </x:c>
      <x:c r="O749" s="31" t="inlineStr">
        <x:is>
          <x:t xml:space="preserve">Черновик</x:t>
        </x:is>
      </x:c>
      <x:c r="P749" s="31" t="inlineStr">
        <x:is>
          <x:t xml:space="preserve">Комментарий смены 810</x:t>
        </x:is>
      </x:c>
    </x:row>
    <x:row r="750">
      <x:c r="A750" s="31" t="inlineStr">
        <x:is>
          <x:t xml:space="preserve">СМ-00811</x:t>
        </x:is>
      </x:c>
      <x:c r="B750" s="31" t="n">
        <x:v>46200</x:v>
      </x:c>
      <x:c r="C750" s="31" t="inlineStr">
        <x:is>
          <x:t xml:space="preserve">Ночь</x:t>
        </x:is>
      </x:c>
      <x:c r="D750" s="31" t="inlineStr">
        <x:is>
          <x:t xml:space="preserve">ПЗ-00130</x:t>
        </x:is>
      </x:c>
      <x:c r="E750" s="31" t="inlineStr">
        <x:is>
          <x:t xml:space="preserve">ОП-001088</x:t>
        </x:is>
      </x:c>
      <x:c r="F750" s="31" t="inlineStr">
        <x:is>
          <x:t xml:space="preserve">ОБ-024</x:t>
        </x:is>
      </x:c>
      <x:c r="G750" s="31" t="inlineStr">
        <x:is>
          <x:t xml:space="preserve">СОТР-095</x:t>
        </x:is>
      </x:c>
      <x:c r="H750" s="31" t="inlineStr">
        <x:is>
          <x:t xml:space="preserve">ОТК</x:t>
        </x:is>
      </x:c>
      <x:c r="I750" s="31" t="n">
        <x:v>1</x:v>
      </x:c>
      <x:c r="J750" s="31" t="n">
        <x:v>2</x:v>
      </x:c>
      <x:c r="K750" s="31" t="n">
        <x:v>55.6</x:v>
      </x:c>
      <x:c r="L750" s="31" t="n">
        <x:v>64.40000000000001</x:v>
      </x:c>
      <x:c r="M750" s="31" t="n">
        <x:v>0</x:v>
      </x:c>
      <x:c r="N750" s="31" t="inlineStr">
        <x:is>
          <x:t xml:space="preserve">Нет</x:t>
        </x:is>
      </x:c>
      <x:c r="O750" s="31" t="inlineStr">
        <x:is>
          <x:t xml:space="preserve">Подтверждено мастером</x:t>
        </x:is>
      </x:c>
      <x:c r="P750" s="31" t="inlineStr">
        <x:is>
          <x:t xml:space="preserve">Комментарий смены 811</x:t>
        </x:is>
      </x:c>
    </x:row>
    <x:row r="751">
      <x:c r="A751" s="31" t="inlineStr">
        <x:is>
          <x:t xml:space="preserve">СМ-00812</x:t>
        </x:is>
      </x:c>
      <x:c r="B751" s="31" t="n">
        <x:v>46172</x:v>
      </x:c>
      <x:c r="C751" s="31" t="inlineStr">
        <x:is>
          <x:t xml:space="preserve">Вечер</x:t>
        </x:is>
      </x:c>
      <x:c r="D751" s="31" t="inlineStr">
        <x:is>
          <x:t xml:space="preserve">ПЗ-00191</x:t>
        </x:is>
      </x:c>
      <x:c r="E751" s="31" t="inlineStr">
        <x:is>
          <x:t xml:space="preserve">ОП-001596</x:t>
        </x:is>
      </x:c>
      <x:c r="F751" s="31" t="inlineStr">
        <x:is>
          <x:t xml:space="preserve">ОБ-012</x:t>
        </x:is>
      </x:c>
      <x:c r="G751" s="31" t="inlineStr">
        <x:is>
          <x:t xml:space="preserve">СОТР-080</x:t>
        </x:is>
      </x:c>
      <x:c r="H751" s="31" t="inlineStr">
        <x:is>
          <x:t xml:space="preserve">Сборка</x:t>
        </x:is>
      </x:c>
      <x:c r="I751" s="31" t="n">
        <x:v>1</x:v>
      </x:c>
      <x:c r="J751" s="31" t="n">
        <x:v>0</x:v>
      </x:c>
      <x:c r="K751" s="31" t="n">
        <x:v>54</x:v>
      </x:c>
      <x:c r="L751" s="31" t="n">
        <x:v>56.7</x:v>
      </x:c>
      <x:c r="M751" s="31" t="n">
        <x:v>0</x:v>
      </x:c>
      <x:c r="N751" s="31" t="inlineStr">
        <x:is>
          <x:t xml:space="preserve">Нет</x:t>
        </x:is>
      </x:c>
      <x:c r="O751" s="31" t="inlineStr">
        <x:is>
          <x:t xml:space="preserve">Подтверждено мастером</x:t>
        </x:is>
      </x:c>
      <x:c r="P751" s="31" t="inlineStr">
        <x:is>
          <x:t xml:space="preserve">Комментарий смены 812</x:t>
        </x:is>
      </x:c>
    </x:row>
    <x:row r="752">
      <x:c r="A752" s="31" t="inlineStr">
        <x:is>
          <x:t xml:space="preserve">СМ-00813</x:t>
        </x:is>
      </x:c>
      <x:c r="B752" s="31" t="n">
        <x:v>46179</x:v>
      </x:c>
      <x:c r="C752" s="31" t="inlineStr">
        <x:is>
          <x:t xml:space="preserve">День</x:t>
        </x:is>
      </x:c>
      <x:c r="D752" s="31" t="inlineStr">
        <x:is>
          <x:t xml:space="preserve">ПЗ-00191</x:t>
        </x:is>
      </x:c>
      <x:c r="E752" s="31" t="inlineStr">
        <x:is>
          <x:t xml:space="preserve">ОП-001599</x:t>
        </x:is>
      </x:c>
      <x:c r="F752" s="31" t="n"/>
      <x:c r="G752" s="31" t="inlineStr">
        <x:is>
          <x:t xml:space="preserve">СОТР-105</x:t>
        </x:is>
      </x:c>
      <x:c r="H752" s="31" t="inlineStr">
        <x:is>
          <x:t xml:space="preserve">Логистика</x:t>
        </x:is>
      </x:c>
      <x:c r="I752" s="31" t="n">
        <x:v>3</x:v>
      </x:c>
      <x:c r="J752" s="31" t="n">
        <x:v>0</x:v>
      </x:c>
      <x:c r="K752" s="31" t="n">
        <x:v>68.8</x:v>
      </x:c>
      <x:c r="L752" s="31" t="n">
        <x:v>56.9</x:v>
      </x:c>
      <x:c r="M752" s="31" t="n">
        <x:v>0</x:v>
      </x:c>
      <x:c r="N752" s="31" t="inlineStr">
        <x:is>
          <x:t xml:space="preserve">Нет</x:t>
        </x:is>
      </x:c>
      <x:c r="O752" s="31" t="inlineStr">
        <x:is>
          <x:t xml:space="preserve">Подтверждено мастером</x:t>
        </x:is>
      </x:c>
      <x:c r="P752" s="31" t="inlineStr">
        <x:is>
          <x:t xml:space="preserve">Комментарий смены 813</x:t>
        </x:is>
      </x:c>
    </x:row>
    <x:row r="753">
      <x:c r="A753" s="31" t="inlineStr">
        <x:is>
          <x:t xml:space="preserve">СМ-00815</x:t>
        </x:is>
      </x:c>
      <x:c r="B753" s="31" t="n">
        <x:v>46159</x:v>
      </x:c>
      <x:c r="C753" s="31" t="inlineStr">
        <x:is>
          <x:t xml:space="preserve">Вечер</x:t>
        </x:is>
      </x:c>
      <x:c r="D753" s="31" t="inlineStr">
        <x:is>
          <x:t xml:space="preserve">ПЗ-00141</x:t>
        </x:is>
      </x:c>
      <x:c r="E753" s="31" t="inlineStr">
        <x:is>
          <x:t xml:space="preserve">ОП-001174</x:t>
        </x:is>
      </x:c>
      <x:c r="F753" s="31" t="n"/>
      <x:c r="G753" s="31" t="inlineStr">
        <x:is>
          <x:t xml:space="preserve">СОТР-011</x:t>
        </x:is>
      </x:c>
      <x:c r="H753" s="31" t="inlineStr">
        <x:is>
          <x:t xml:space="preserve">Инженерный отдел</x:t>
        </x:is>
      </x:c>
      <x:c r="I753" s="31" t="n">
        <x:v>1</x:v>
      </x:c>
      <x:c r="J753" s="31" t="n">
        <x:v>1</x:v>
      </x:c>
      <x:c r="K753" s="31" t="n">
        <x:v>16.8</x:v>
      </x:c>
      <x:c r="L753" s="31" t="n">
        <x:v>14.7</x:v>
      </x:c>
      <x:c r="M753" s="31" t="n">
        <x:v>90</x:v>
      </x:c>
      <x:c r="N753" s="31" t="inlineStr">
        <x:is>
          <x:t xml:space="preserve">Ожидание материала</x:t>
        </x:is>
      </x:c>
      <x:c r="O753" s="31" t="inlineStr">
        <x:is>
          <x:t xml:space="preserve">Подтверждено мастером</x:t>
        </x:is>
      </x:c>
      <x:c r="P753" s="31" t="inlineStr">
        <x:is>
          <x:t xml:space="preserve">Комментарий смены 815</x:t>
        </x:is>
      </x:c>
    </x:row>
    <x:row r="754">
      <x:c r="A754" s="31" t="inlineStr">
        <x:is>
          <x:t xml:space="preserve">СМ-00816</x:t>
        </x:is>
      </x:c>
      <x:c r="B754" s="31" t="n">
        <x:v>46175</x:v>
      </x:c>
      <x:c r="C754" s="31" t="inlineStr">
        <x:is>
          <x:t xml:space="preserve">Ночь</x:t>
        </x:is>
      </x:c>
      <x:c r="D754" s="31" t="inlineStr">
        <x:is>
          <x:t xml:space="preserve">ПЗ-00155</x:t>
        </x:is>
      </x:c>
      <x:c r="E754" s="31" t="inlineStr">
        <x:is>
          <x:t xml:space="preserve">ОП-001279</x:t>
        </x:is>
      </x:c>
      <x:c r="F754" s="31" t="inlineStr">
        <x:is>
          <x:t xml:space="preserve">ОБ-021</x:t>
        </x:is>
      </x:c>
      <x:c r="G754" s="31" t="inlineStr">
        <x:is>
          <x:t xml:space="preserve">СОТР-056</x:t>
        </x:is>
      </x:c>
      <x:c r="H754" s="31" t="inlineStr">
        <x:is>
          <x:t xml:space="preserve">Сварка</x:t>
        </x:is>
      </x:c>
      <x:c r="I754" s="31" t="n">
        <x:v>1</x:v>
      </x:c>
      <x:c r="J754" s="31" t="n">
        <x:v>0</x:v>
      </x:c>
      <x:c r="K754" s="31" t="n">
        <x:v>60.9</x:v>
      </x:c>
      <x:c r="L754" s="31" t="n">
        <x:v>68.40000000000001</x:v>
      </x:c>
      <x:c r="M754" s="31" t="n">
        <x:v>15</x:v>
      </x:c>
      <x:c r="N754" s="31" t="inlineStr">
        <x:is>
          <x:t xml:space="preserve">Ремонт оборудования</x:t>
        </x:is>
      </x:c>
      <x:c r="O754" s="31" t="inlineStr">
        <x:is>
          <x:t xml:space="preserve">Подтверждено мастером</x:t>
        </x:is>
      </x:c>
      <x:c r="P754" s="31" t="inlineStr">
        <x:is>
          <x:t xml:space="preserve">Комментарий смены 816</x:t>
        </x:is>
      </x:c>
    </x:row>
    <x:row r="755">
      <x:c r="A755" s="31" t="inlineStr">
        <x:is>
          <x:t xml:space="preserve">СМ-00817</x:t>
        </x:is>
      </x:c>
      <x:c r="B755" s="31" t="n">
        <x:v>46110</x:v>
      </x:c>
      <x:c r="C755" s="31" t="inlineStr">
        <x:is>
          <x:t xml:space="preserve">День</x:t>
        </x:is>
      </x:c>
      <x:c r="D755" s="31" t="inlineStr">
        <x:is>
          <x:t xml:space="preserve">ПЗ-00013</x:t>
        </x:is>
      </x:c>
      <x:c r="E755" s="31" t="inlineStr">
        <x:is>
          <x:t xml:space="preserve">ОП-000105</x:t>
        </x:is>
      </x:c>
      <x:c r="F755" s="31" t="inlineStr">
        <x:is>
          <x:t xml:space="preserve">ОБ-012</x:t>
        </x:is>
      </x:c>
      <x:c r="G755" s="31" t="inlineStr">
        <x:is>
          <x:t xml:space="preserve">СОТР-085</x:t>
        </x:is>
      </x:c>
      <x:c r="H755" s="31" t="inlineStr">
        <x:is>
          <x:t xml:space="preserve">Сборка</x:t>
        </x:is>
      </x:c>
      <x:c r="I755" s="31" t="n">
        <x:v>1</x:v>
      </x:c>
      <x:c r="J755" s="31" t="n">
        <x:v>0</x:v>
      </x:c>
      <x:c r="K755" s="31" t="n">
        <x:v>21.3</x:v>
      </x:c>
      <x:c r="L755" s="31" t="n">
        <x:v>17.5</x:v>
      </x:c>
      <x:c r="M755" s="31" t="n">
        <x:v>15</x:v>
      </x:c>
      <x:c r="N755" s="31" t="inlineStr">
        <x:is>
          <x:t xml:space="preserve">Переналадка</x:t>
        </x:is>
      </x:c>
      <x:c r="O755" s="31" t="inlineStr">
        <x:is>
          <x:t xml:space="preserve">Подтверждено мастером</x:t>
        </x:is>
      </x:c>
      <x:c r="P755" s="31" t="inlineStr">
        <x:is>
          <x:t xml:space="preserve">Комментарий смены 817</x:t>
        </x:is>
      </x:c>
    </x:row>
    <x:row r="756">
      <x:c r="A756" s="31" t="inlineStr">
        <x:is>
          <x:t xml:space="preserve">СМ-00818</x:t>
        </x:is>
      </x:c>
      <x:c r="B756" s="31" t="n">
        <x:v>46139</x:v>
      </x:c>
      <x:c r="C756" s="31" t="inlineStr">
        <x:is>
          <x:t xml:space="preserve">День</x:t>
        </x:is>
      </x:c>
      <x:c r="D756" s="31" t="inlineStr">
        <x:is>
          <x:t xml:space="preserve">ПЗ-00137</x:t>
        </x:is>
      </x:c>
      <x:c r="E756" s="31" t="inlineStr">
        <x:is>
          <x:t xml:space="preserve">ОП-001149</x:t>
        </x:is>
      </x:c>
      <x:c r="F756" s="31" t="inlineStr">
        <x:is>
          <x:t xml:space="preserve">ОБ-015</x:t>
        </x:is>
      </x:c>
      <x:c r="G756" s="31" t="inlineStr">
        <x:is>
          <x:t xml:space="preserve">СОТР-095</x:t>
        </x:is>
      </x:c>
      <x:c r="H756" s="31" t="inlineStr">
        <x:is>
          <x:t xml:space="preserve">ОТК</x:t>
        </x:is>
      </x:c>
      <x:c r="I756" s="31" t="n">
        <x:v>2</x:v>
      </x:c>
      <x:c r="J756" s="31" t="n">
        <x:v>2</x:v>
      </x:c>
      <x:c r="K756" s="31" t="n">
        <x:v>43.2</x:v>
      </x:c>
      <x:c r="L756" s="31" t="n">
        <x:v>41.7</x:v>
      </x:c>
      <x:c r="M756" s="31" t="n">
        <x:v>15</x:v>
      </x:c>
      <x:c r="N756" s="31" t="inlineStr">
        <x:is>
          <x:t xml:space="preserve">Переналадка</x:t>
        </x:is>
      </x:c>
      <x:c r="O756" s="31" t="inlineStr">
        <x:is>
          <x:t xml:space="preserve">Черновик</x:t>
        </x:is>
      </x:c>
      <x:c r="P756" s="31" t="inlineStr">
        <x:is>
          <x:t xml:space="preserve">Комментарий смены 818</x:t>
        </x:is>
      </x:c>
    </x:row>
    <x:row r="757">
      <x:c r="A757" s="31" t="inlineStr">
        <x:is>
          <x:t xml:space="preserve">СМ-00819</x:t>
        </x:is>
      </x:c>
      <x:c r="B757" s="31" t="n">
        <x:v>46097</x:v>
      </x:c>
      <x:c r="C757" s="31" t="inlineStr">
        <x:is>
          <x:t xml:space="preserve">День</x:t>
        </x:is>
      </x:c>
      <x:c r="D757" s="31" t="inlineStr">
        <x:is>
          <x:t xml:space="preserve">ПЗ-00099</x:t>
        </x:is>
      </x:c>
      <x:c r="E757" s="31" t="inlineStr">
        <x:is>
          <x:t xml:space="preserve">ОП-000830</x:t>
        </x:is>
      </x:c>
      <x:c r="F757" s="31" t="inlineStr">
        <x:is>
          <x:t xml:space="preserve">ОБ-025</x:t>
        </x:is>
      </x:c>
      <x:c r="G757" s="31" t="inlineStr">
        <x:is>
          <x:t xml:space="preserve">СОТР-038</x:t>
        </x:is>
      </x:c>
      <x:c r="H757" s="31" t="inlineStr">
        <x:is>
          <x:t xml:space="preserve">Склад</x:t>
        </x:is>
      </x:c>
      <x:c r="I757" s="31" t="n">
        <x:v>1</x:v>
      </x:c>
      <x:c r="J757" s="31" t="n">
        <x:v>0</x:v>
      </x:c>
      <x:c r="K757" s="31" t="n">
        <x:v>36.3</x:v>
      </x:c>
      <x:c r="L757" s="31" t="n">
        <x:v>32.3</x:v>
      </x:c>
      <x:c r="M757" s="31" t="n">
        <x:v>15</x:v>
      </x:c>
      <x:c r="N757" s="31" t="inlineStr">
        <x:is>
          <x:t xml:space="preserve">Ожидание ОТК</x:t>
        </x:is>
      </x:c>
      <x:c r="O757" s="31" t="inlineStr">
        <x:is>
          <x:t xml:space="preserve">Черновик</x:t>
        </x:is>
      </x:c>
      <x:c r="P757" s="31" t="inlineStr">
        <x:is>
          <x:t xml:space="preserve">Комментарий смены 819</x:t>
        </x:is>
      </x:c>
    </x:row>
    <x:row r="758">
      <x:c r="A758" s="31" t="inlineStr">
        <x:is>
          <x:t xml:space="preserve">СМ-00820</x:t>
        </x:is>
      </x:c>
      <x:c r="B758" s="31" t="n">
        <x:v>46070</x:v>
      </x:c>
      <x:c r="C758" s="31" t="inlineStr">
        <x:is>
          <x:t xml:space="preserve">Ночь</x:t>
        </x:is>
      </x:c>
      <x:c r="D758" s="31" t="inlineStr">
        <x:is>
          <x:t xml:space="preserve">ПЗ-00117</x:t>
        </x:is>
      </x:c>
      <x:c r="E758" s="31" t="inlineStr">
        <x:is>
          <x:t xml:space="preserve">ОП-000980</x:t>
        </x:is>
      </x:c>
      <x:c r="F758" s="31" t="inlineStr">
        <x:is>
          <x:t xml:space="preserve">ОБ-021</x:t>
        </x:is>
      </x:c>
      <x:c r="G758" s="31" t="inlineStr">
        <x:is>
          <x:t xml:space="preserve">СОТР-066</x:t>
        </x:is>
      </x:c>
      <x:c r="H758" s="31" t="inlineStr">
        <x:is>
          <x:t xml:space="preserve">Сварка</x:t>
        </x:is>
      </x:c>
      <x:c r="I758" s="31" t="n">
        <x:v>1</x:v>
      </x:c>
      <x:c r="J758" s="31" t="n">
        <x:v>1</x:v>
      </x:c>
      <x:c r="K758" s="31" t="n">
        <x:v>14.5</x:v>
      </x:c>
      <x:c r="L758" s="31" t="n">
        <x:v>13.9</x:v>
      </x:c>
      <x:c r="M758" s="31" t="n">
        <x:v>0</x:v>
      </x:c>
      <x:c r="N758" s="31" t="inlineStr">
        <x:is>
          <x:t xml:space="preserve">Нет</x:t>
        </x:is>
      </x:c>
      <x:c r="O758" s="31" t="inlineStr">
        <x:is>
          <x:t xml:space="preserve">Подтверждено мастером</x:t>
        </x:is>
      </x:c>
      <x:c r="P758" s="31" t="inlineStr">
        <x:is>
          <x:t xml:space="preserve">Комментарий смены 820</x:t>
        </x:is>
      </x:c>
    </x:row>
    <x:row r="759">
      <x:c r="A759" s="31" t="inlineStr">
        <x:is>
          <x:t xml:space="preserve">СМ-00821</x:t>
        </x:is>
      </x:c>
      <x:c r="B759" s="31" t="n">
        <x:v>46117</x:v>
      </x:c>
      <x:c r="C759" s="31" t="inlineStr">
        <x:is>
          <x:t xml:space="preserve">День</x:t>
        </x:is>
      </x:c>
      <x:c r="D759" s="31" t="inlineStr">
        <x:is>
          <x:t xml:space="preserve">ПЗ-00030</x:t>
        </x:is>
      </x:c>
      <x:c r="E759" s="31" t="inlineStr">
        <x:is>
          <x:t xml:space="preserve">ОП-000262</x:t>
        </x:is>
      </x:c>
      <x:c r="F759" s="31" t="inlineStr">
        <x:is>
          <x:t xml:space="preserve">ОБ-028</x:t>
        </x:is>
      </x:c>
      <x:c r="G759" s="31" t="inlineStr">
        <x:is>
          <x:t xml:space="preserve">СОТР-093</x:t>
        </x:is>
      </x:c>
      <x:c r="H759" s="31" t="inlineStr">
        <x:is>
          <x:t xml:space="preserve">ОТК</x:t>
        </x:is>
      </x:c>
      <x:c r="I759" s="31" t="n">
        <x:v>4</x:v>
      </x:c>
      <x:c r="J759" s="31" t="n">
        <x:v>5</x:v>
      </x:c>
      <x:c r="K759" s="31" t="n">
        <x:v>64.5</x:v>
      </x:c>
      <x:c r="L759" s="31" t="n">
        <x:v>81.8</x:v>
      </x:c>
      <x:c r="M759" s="31" t="n">
        <x:v>15</x:v>
      </x:c>
      <x:c r="N759" s="31" t="inlineStr">
        <x:is>
          <x:t xml:space="preserve">Переналадка</x:t>
        </x:is>
      </x:c>
      <x:c r="O759" s="31" t="inlineStr">
        <x:is>
          <x:t xml:space="preserve">Подтверждено мастером</x:t>
        </x:is>
      </x:c>
      <x:c r="P759" s="31" t="inlineStr">
        <x:is>
          <x:t xml:space="preserve">Комментарий смены 821</x:t>
        </x:is>
      </x:c>
    </x:row>
    <x:row r="760">
      <x:c r="A760" s="31" t="inlineStr">
        <x:is>
          <x:t xml:space="preserve">СМ-00822</x:t>
        </x:is>
      </x:c>
      <x:c r="B760" s="31" t="n">
        <x:v>46182</x:v>
      </x:c>
      <x:c r="C760" s="31" t="inlineStr">
        <x:is>
          <x:t xml:space="preserve">Ночь</x:t>
        </x:is>
      </x:c>
      <x:c r="D760" s="31" t="inlineStr">
        <x:is>
          <x:t xml:space="preserve">ПЗ-00049</x:t>
        </x:is>
      </x:c>
      <x:c r="E760" s="31" t="inlineStr">
        <x:is>
          <x:t xml:space="preserve">ОП-000403</x:t>
        </x:is>
      </x:c>
      <x:c r="F760" s="31" t="inlineStr">
        <x:is>
          <x:t xml:space="preserve">ОБ-008</x:t>
        </x:is>
      </x:c>
      <x:c r="G760" s="31" t="inlineStr">
        <x:is>
          <x:t xml:space="preserve">СОТР-036</x:t>
        </x:is>
      </x:c>
      <x:c r="H760" s="31" t="inlineStr">
        <x:is>
          <x:t xml:space="preserve">Склад</x:t>
        </x:is>
      </x:c>
      <x:c r="I760" s="31" t="n">
        <x:v>3</x:v>
      </x:c>
      <x:c r="J760" s="31" t="n">
        <x:v>3</x:v>
      </x:c>
      <x:c r="K760" s="31" t="n">
        <x:v>124.5</x:v>
      </x:c>
      <x:c r="L760" s="31" t="n">
        <x:v>101.4</x:v>
      </x:c>
      <x:c r="M760" s="31" t="n">
        <x:v>120</x:v>
      </x:c>
      <x:c r="N760" s="31" t="inlineStr">
        <x:is>
          <x:t xml:space="preserve">Нет оператора</x:t>
        </x:is>
      </x:c>
      <x:c r="O760" s="31" t="inlineStr">
        <x:is>
          <x:t xml:space="preserve">Подтверждено мастером</x:t>
        </x:is>
      </x:c>
      <x:c r="P760" s="31" t="inlineStr">
        <x:is>
          <x:t xml:space="preserve">Комментарий смены 822</x:t>
        </x:is>
      </x:c>
    </x:row>
    <x:row r="761">
      <x:c r="A761" s="31" t="inlineStr">
        <x:is>
          <x:t xml:space="preserve">СМ-00823</x:t>
        </x:is>
      </x:c>
      <x:c r="B761" s="31" t="n">
        <x:v>46189</x:v>
      </x:c>
      <x:c r="C761" s="31" t="inlineStr">
        <x:is>
          <x:t xml:space="preserve">День</x:t>
        </x:is>
      </x:c>
      <x:c r="D761" s="31" t="inlineStr">
        <x:is>
          <x:t xml:space="preserve">ПЗ-00250</x:t>
        </x:is>
      </x:c>
      <x:c r="E761" s="31" t="inlineStr">
        <x:is>
          <x:t xml:space="preserve">ОП-002093</x:t>
        </x:is>
      </x:c>
      <x:c r="F761" s="31" t="inlineStr">
        <x:is>
          <x:t xml:space="preserve">ОБ-028</x:t>
        </x:is>
      </x:c>
      <x:c r="G761" s="31" t="inlineStr">
        <x:is>
          <x:t xml:space="preserve">СОТР-099</x:t>
        </x:is>
      </x:c>
      <x:c r="H761" s="31" t="inlineStr">
        <x:is>
          <x:t xml:space="preserve">ОТК</x:t>
        </x:is>
      </x:c>
      <x:c r="I761" s="31" t="n">
        <x:v>1</x:v>
      </x:c>
      <x:c r="J761" s="31" t="n">
        <x:v>1</x:v>
      </x:c>
      <x:c r="K761" s="31" t="n">
        <x:v>8.5</x:v>
      </x:c>
      <x:c r="L761" s="31" t="n">
        <x:v>11.2</x:v>
      </x:c>
      <x:c r="M761" s="31" t="n">
        <x:v>45</x:v>
      </x:c>
      <x:c r="N761" s="31" t="inlineStr">
        <x:is>
          <x:t xml:space="preserve">Ожидание ОТК</x:t>
        </x:is>
      </x:c>
      <x:c r="O761" s="31" t="inlineStr">
        <x:is>
          <x:t xml:space="preserve">Черновик</x:t>
        </x:is>
      </x:c>
      <x:c r="P761" s="31" t="inlineStr">
        <x:is>
          <x:t xml:space="preserve">Комментарий смены 823</x:t>
        </x:is>
      </x:c>
    </x:row>
    <x:row r="762">
      <x:c r="A762" s="31" t="inlineStr">
        <x:is>
          <x:t xml:space="preserve">СМ-00824</x:t>
        </x:is>
      </x:c>
      <x:c r="B762" s="31" t="n">
        <x:v>46098</x:v>
      </x:c>
      <x:c r="C762" s="31" t="inlineStr">
        <x:is>
          <x:t xml:space="preserve">Ночь</x:t>
        </x:is>
      </x:c>
      <x:c r="D762" s="31" t="inlineStr">
        <x:is>
          <x:t xml:space="preserve">ПЗ-00054</x:t>
        </x:is>
      </x:c>
      <x:c r="E762" s="31" t="inlineStr">
        <x:is>
          <x:t xml:space="preserve">ОП-000447</x:t>
        </x:is>
      </x:c>
      <x:c r="F762" s="31" t="inlineStr">
        <x:is>
          <x:t xml:space="preserve">ОБ-010</x:t>
        </x:is>
      </x:c>
      <x:c r="G762" s="31" t="inlineStr">
        <x:is>
          <x:t xml:space="preserve">СОТР-062</x:t>
        </x:is>
      </x:c>
      <x:c r="H762" s="31" t="inlineStr">
        <x:is>
          <x:t xml:space="preserve">Сварка</x:t>
        </x:is>
      </x:c>
      <x:c r="I762" s="31" t="n">
        <x:v>3</x:v>
      </x:c>
      <x:c r="J762" s="31" t="n">
        <x:v>4</x:v>
      </x:c>
      <x:c r="K762" s="31" t="n">
        <x:v>39.6</x:v>
      </x:c>
      <x:c r="L762" s="31" t="n">
        <x:v>41.7</x:v>
      </x:c>
      <x:c r="M762" s="31" t="n">
        <x:v>120</x:v>
      </x:c>
      <x:c r="N762" s="31" t="inlineStr">
        <x:is>
          <x:t xml:space="preserve">Ремонт оборудования</x:t>
        </x:is>
      </x:c>
      <x:c r="O762" s="31" t="inlineStr">
        <x:is>
          <x:t xml:space="preserve">Подтверждено мастером</x:t>
        </x:is>
      </x:c>
      <x:c r="P762" s="31" t="inlineStr">
        <x:is>
          <x:t xml:space="preserve">Комментарий смены 824</x:t>
        </x:is>
      </x:c>
    </x:row>
    <x:row r="763">
      <x:c r="A763" s="31" t="inlineStr">
        <x:is>
          <x:t xml:space="preserve">СМ-00825</x:t>
        </x:is>
      </x:c>
      <x:c r="B763" s="31" t="n">
        <x:v>46186</x:v>
      </x:c>
      <x:c r="C763" s="31" t="inlineStr">
        <x:is>
          <x:t xml:space="preserve">День</x:t>
        </x:is>
      </x:c>
      <x:c r="D763" s="31" t="inlineStr">
        <x:is>
          <x:t xml:space="preserve">ПЗ-00228</x:t>
        </x:is>
      </x:c>
      <x:c r="E763" s="31" t="inlineStr">
        <x:is>
          <x:t xml:space="preserve">ОП-001907</x:t>
        </x:is>
      </x:c>
      <x:c r="F763" s="31" t="n"/>
      <x:c r="G763" s="31" t="inlineStr">
        <x:is>
          <x:t xml:space="preserve">СОТР-015</x:t>
        </x:is>
      </x:c>
      <x:c r="H763" s="31" t="inlineStr">
        <x:is>
          <x:t xml:space="preserve">Инженерный отдел</x:t>
        </x:is>
      </x:c>
      <x:c r="I763" s="31" t="n">
        <x:v>1</x:v>
      </x:c>
      <x:c r="J763" s="31" t="n">
        <x:v>1</x:v>
      </x:c>
      <x:c r="K763" s="31" t="n">
        <x:v>9.199999999999999</x:v>
      </x:c>
      <x:c r="L763" s="31" t="n">
        <x:v>9.699999999999999</x:v>
      </x:c>
      <x:c r="M763" s="31" t="n">
        <x:v>30</x:v>
      </x:c>
      <x:c r="N763" s="31" t="inlineStr">
        <x:is>
          <x:t xml:space="preserve">Нет оператора</x:t>
        </x:is>
      </x:c>
      <x:c r="O763" s="31" t="inlineStr">
        <x:is>
          <x:t xml:space="preserve">Подтверждено мастером</x:t>
        </x:is>
      </x:c>
      <x:c r="P763" s="31" t="inlineStr">
        <x:is>
          <x:t xml:space="preserve">Комментарий смены 825</x:t>
        </x:is>
      </x:c>
    </x:row>
    <x:row r="764">
      <x:c r="A764" s="31" t="inlineStr">
        <x:is>
          <x:t xml:space="preserve">СМ-00826</x:t>
        </x:is>
      </x:c>
      <x:c r="B764" s="31" t="n">
        <x:v>46105</x:v>
      </x:c>
      <x:c r="C764" s="31" t="inlineStr">
        <x:is>
          <x:t xml:space="preserve">День</x:t>
        </x:is>
      </x:c>
      <x:c r="D764" s="31" t="inlineStr">
        <x:is>
          <x:t xml:space="preserve">ПЗ-00201</x:t>
        </x:is>
      </x:c>
      <x:c r="E764" s="31" t="inlineStr">
        <x:is>
          <x:t xml:space="preserve">ОП-001679</x:t>
        </x:is>
      </x:c>
      <x:c r="F764" s="31" t="inlineStr">
        <x:is>
          <x:t xml:space="preserve">ОБ-004</x:t>
        </x:is>
      </x:c>
      <x:c r="G764" s="31" t="inlineStr">
        <x:is>
          <x:t xml:space="preserve">СОТР-072</x:t>
        </x:is>
      </x:c>
      <x:c r="H764" s="31" t="inlineStr">
        <x:is>
          <x:t xml:space="preserve">Сварка</x:t>
        </x:is>
      </x:c>
      <x:c r="I764" s="31" t="n">
        <x:v>1</x:v>
      </x:c>
      <x:c r="J764" s="31" t="n">
        <x:v>1</x:v>
      </x:c>
      <x:c r="K764" s="31" t="n">
        <x:v>26.8</x:v>
      </x:c>
      <x:c r="L764" s="31" t="n">
        <x:v>24.7</x:v>
      </x:c>
      <x:c r="M764" s="31" t="n">
        <x:v>0</x:v>
      </x:c>
      <x:c r="N764" s="31" t="inlineStr">
        <x:is>
          <x:t xml:space="preserve">Нет</x:t>
        </x:is>
      </x:c>
      <x:c r="O764" s="31" t="inlineStr">
        <x:is>
          <x:t xml:space="preserve">Подтверждено мастером</x:t>
        </x:is>
      </x:c>
      <x:c r="P764" s="31" t="inlineStr">
        <x:is>
          <x:t xml:space="preserve">Комментарий смены 826</x:t>
        </x:is>
      </x:c>
    </x:row>
    <x:row r="765">
      <x:c r="A765" s="31" t="inlineStr">
        <x:is>
          <x:t xml:space="preserve">СМ-00827</x:t>
        </x:is>
      </x:c>
      <x:c r="B765" s="31" t="n">
        <x:v>46205</x:v>
      </x:c>
      <x:c r="C765" s="31" t="inlineStr">
        <x:is>
          <x:t xml:space="preserve">День</x:t>
        </x:is>
      </x:c>
      <x:c r="D765" s="31" t="inlineStr">
        <x:is>
          <x:t xml:space="preserve">ПЗ-00223</x:t>
        </x:is>
      </x:c>
      <x:c r="E765" s="31" t="inlineStr">
        <x:is>
          <x:t xml:space="preserve">ОП-001876</x:t>
        </x:is>
      </x:c>
      <x:c r="F765" s="31" t="n"/>
      <x:c r="G765" s="31" t="inlineStr">
        <x:is>
          <x:t xml:space="preserve">СОТР-070</x:t>
        </x:is>
      </x:c>
      <x:c r="H765" s="31" t="inlineStr">
        <x:is>
          <x:t xml:space="preserve">Логистика</x:t>
        </x:is>
      </x:c>
      <x:c r="I765" s="31" t="n">
        <x:v>1</x:v>
      </x:c>
      <x:c r="J765" s="31" t="n">
        <x:v>2</x:v>
      </x:c>
      <x:c r="K765" s="31" t="n">
        <x:v>17.2</x:v>
      </x:c>
      <x:c r="L765" s="31" t="n">
        <x:v>16.9</x:v>
      </x:c>
      <x:c r="M765" s="31" t="n">
        <x:v>60</x:v>
      </x:c>
      <x:c r="N765" s="31" t="inlineStr">
        <x:is>
          <x:t xml:space="preserve">Ремонт оборудования</x:t>
        </x:is>
      </x:c>
      <x:c r="O765" s="31" t="inlineStr">
        <x:is>
          <x:t xml:space="preserve">Черновик</x:t>
        </x:is>
      </x:c>
      <x:c r="P765" s="31" t="inlineStr">
        <x:is>
          <x:t xml:space="preserve">Комментарий смены 827</x:t>
        </x:is>
      </x:c>
    </x:row>
    <x:row r="766">
      <x:c r="A766" s="31" t="inlineStr">
        <x:is>
          <x:t xml:space="preserve">СМ-00828</x:t>
        </x:is>
      </x:c>
      <x:c r="B766" s="31" t="n">
        <x:v>46108</x:v>
      </x:c>
      <x:c r="C766" s="31" t="inlineStr">
        <x:is>
          <x:t xml:space="preserve">День</x:t>
        </x:is>
      </x:c>
      <x:c r="D766" s="31" t="inlineStr">
        <x:is>
          <x:t xml:space="preserve">ПЗ-00164</x:t>
        </x:is>
      </x:c>
      <x:c r="E766" s="31" t="inlineStr">
        <x:is>
          <x:t xml:space="preserve">ОП-001363</x:t>
        </x:is>
      </x:c>
      <x:c r="F766" s="31" t="n"/>
      <x:c r="G766" s="31" t="inlineStr">
        <x:is>
          <x:t xml:space="preserve">СОТР-012</x:t>
        </x:is>
      </x:c>
      <x:c r="H766" s="31" t="inlineStr">
        <x:is>
          <x:t xml:space="preserve">Инженерный отдел</x:t>
        </x:is>
      </x:c>
      <x:c r="I766" s="31" t="n">
        <x:v>1</x:v>
      </x:c>
      <x:c r="J766" s="31" t="n">
        <x:v>1</x:v>
      </x:c>
      <x:c r="K766" s="31" t="n">
        <x:v>18.4</x:v>
      </x:c>
      <x:c r="L766" s="31" t="n">
        <x:v>18.7</x:v>
      </x:c>
      <x:c r="M766" s="31" t="n">
        <x:v>30</x:v>
      </x:c>
      <x:c r="N766" s="31" t="inlineStr">
        <x:is>
          <x:t xml:space="preserve">Переналадка</x:t>
        </x:is>
      </x:c>
      <x:c r="O766" s="31" t="inlineStr">
        <x:is>
          <x:t xml:space="preserve">Подтверждено мастером</x:t>
        </x:is>
      </x:c>
      <x:c r="P766" s="31" t="inlineStr">
        <x:is>
          <x:t xml:space="preserve">Комментарий смены 828</x:t>
        </x:is>
      </x:c>
    </x:row>
    <x:row r="767">
      <x:c r="A767" s="31" t="inlineStr">
        <x:is>
          <x:t xml:space="preserve">СМ-00829</x:t>
        </x:is>
      </x:c>
      <x:c r="B767" s="31" t="n">
        <x:v>46185</x:v>
      </x:c>
      <x:c r="C767" s="31" t="inlineStr">
        <x:is>
          <x:t xml:space="preserve">Ночь</x:t>
        </x:is>
      </x:c>
      <x:c r="D767" s="31" t="inlineStr">
        <x:is>
          <x:t xml:space="preserve">ПЗ-00212</x:t>
        </x:is>
      </x:c>
      <x:c r="E767" s="31" t="inlineStr">
        <x:is>
          <x:t xml:space="preserve">ОП-001776</x:t>
        </x:is>
      </x:c>
      <x:c r="F767" s="31" t="inlineStr">
        <x:is>
          <x:t xml:space="preserve">ОБ-014</x:t>
        </x:is>
      </x:c>
      <x:c r="G767" s="31" t="inlineStr">
        <x:is>
          <x:t xml:space="preserve">СОТР-074</x:t>
        </x:is>
      </x:c>
      <x:c r="H767" s="31" t="inlineStr">
        <x:is>
          <x:t xml:space="preserve">Сборка</x:t>
        </x:is>
      </x:c>
      <x:c r="I767" s="31" t="n">
        <x:v>1</x:v>
      </x:c>
      <x:c r="J767" s="31" t="n">
        <x:v>2</x:v>
      </x:c>
      <x:c r="K767" s="31" t="n">
        <x:v>4</x:v>
      </x:c>
      <x:c r="L767" s="31" t="n">
        <x:v>4.7</x:v>
      </x:c>
      <x:c r="M767" s="31" t="n">
        <x:v>0</x:v>
      </x:c>
      <x:c r="N767" s="31" t="inlineStr">
        <x:is>
          <x:t xml:space="preserve">Нет</x:t>
        </x:is>
      </x:c>
      <x:c r="O767" s="31" t="inlineStr">
        <x:is>
          <x:t xml:space="preserve">Подтверждено мастером</x:t>
        </x:is>
      </x:c>
      <x:c r="P767" s="31" t="inlineStr">
        <x:is>
          <x:t xml:space="preserve">Комментарий смены 829</x:t>
        </x:is>
      </x:c>
    </x:row>
    <x:row r="768">
      <x:c r="A768" s="31" t="inlineStr">
        <x:is>
          <x:t xml:space="preserve">СМ-00830</x:t>
        </x:is>
      </x:c>
      <x:c r="B768" s="31" t="n">
        <x:v>46185</x:v>
      </x:c>
      <x:c r="C768" s="31" t="inlineStr">
        <x:is>
          <x:t xml:space="preserve">Ночь</x:t>
        </x:is>
      </x:c>
      <x:c r="D768" s="31" t="inlineStr">
        <x:is>
          <x:t xml:space="preserve">ПЗ-00130</x:t>
        </x:is>
      </x:c>
      <x:c r="E768" s="31" t="inlineStr">
        <x:is>
          <x:t xml:space="preserve">ОП-001084</x:t>
        </x:is>
      </x:c>
      <x:c r="F768" s="31" t="inlineStr">
        <x:is>
          <x:t xml:space="preserve">ОБ-005</x:t>
        </x:is>
      </x:c>
      <x:c r="G768" s="31" t="inlineStr">
        <x:is>
          <x:t xml:space="preserve">СОТР-084</x:t>
        </x:is>
      </x:c>
      <x:c r="H768" s="31" t="inlineStr">
        <x:is>
          <x:t xml:space="preserve">Сборка</x:t>
        </x:is>
      </x:c>
      <x:c r="I768" s="31" t="n">
        <x:v>2</x:v>
      </x:c>
      <x:c r="J768" s="31" t="n">
        <x:v>2</x:v>
      </x:c>
      <x:c r="K768" s="31" t="n">
        <x:v>36.8</x:v>
      </x:c>
      <x:c r="L768" s="31" t="n">
        <x:v>30.7</x:v>
      </x:c>
      <x:c r="M768" s="31" t="n">
        <x:v>0</x:v>
      </x:c>
      <x:c r="N768" s="31" t="inlineStr">
        <x:is>
          <x:t xml:space="preserve">Нет</x:t>
        </x:is>
      </x:c>
      <x:c r="O768" s="31" t="inlineStr">
        <x:is>
          <x:t xml:space="preserve">Подтверждено мастером</x:t>
        </x:is>
      </x:c>
      <x:c r="P768" s="31" t="inlineStr">
        <x:is>
          <x:t xml:space="preserve">Комментарий смены 830</x:t>
        </x:is>
      </x:c>
    </x:row>
    <x:row r="769">
      <x:c r="A769" s="31" t="inlineStr">
        <x:is>
          <x:t xml:space="preserve">СМ-00831</x:t>
        </x:is>
      </x:c>
      <x:c r="B769" s="31" t="n">
        <x:v>46086</x:v>
      </x:c>
      <x:c r="C769" s="31" t="inlineStr">
        <x:is>
          <x:t xml:space="preserve">День</x:t>
        </x:is>
      </x:c>
      <x:c r="D769" s="31" t="inlineStr">
        <x:is>
          <x:t xml:space="preserve">ПЗ-00030</x:t>
        </x:is>
      </x:c>
      <x:c r="E769" s="31" t="inlineStr">
        <x:is>
          <x:t xml:space="preserve">ОП-000256</x:t>
        </x:is>
      </x:c>
      <x:c r="F769" s="31" t="n"/>
      <x:c r="G769" s="31" t="inlineStr">
        <x:is>
          <x:t xml:space="preserve">СОТР-021</x:t>
        </x:is>
      </x:c>
      <x:c r="H769" s="31" t="inlineStr">
        <x:is>
          <x:t xml:space="preserve">Инженерный отдел</x:t>
        </x:is>
      </x:c>
      <x:c r="I769" s="31" t="n">
        <x:v>5</x:v>
      </x:c>
      <x:c r="J769" s="31" t="n">
        <x:v>5</x:v>
      </x:c>
      <x:c r="K769" s="31" t="n">
        <x:v>12.5</x:v>
      </x:c>
      <x:c r="L769" s="31" t="n">
        <x:v>14.9</x:v>
      </x:c>
      <x:c r="M769" s="31" t="n">
        <x:v>15</x:v>
      </x:c>
      <x:c r="N769" s="31" t="inlineStr">
        <x:is>
          <x:t xml:space="preserve">Ожидание ОТК</x:t>
        </x:is>
      </x:c>
      <x:c r="O769" s="31" t="inlineStr">
        <x:is>
          <x:t xml:space="preserve">Черновик</x:t>
        </x:is>
      </x:c>
      <x:c r="P769" s="31" t="inlineStr">
        <x:is>
          <x:t xml:space="preserve">Комментарий смены 831</x:t>
        </x:is>
      </x:c>
    </x:row>
    <x:row r="770">
      <x:c r="A770" s="31" t="inlineStr">
        <x:is>
          <x:t xml:space="preserve">СМ-00832</x:t>
        </x:is>
      </x:c>
      <x:c r="B770" s="31" t="n">
        <x:v>46197</x:v>
      </x:c>
      <x:c r="C770" s="31" t="inlineStr">
        <x:is>
          <x:t xml:space="preserve">Ночь</x:t>
        </x:is>
      </x:c>
      <x:c r="D770" s="31" t="inlineStr">
        <x:is>
          <x:t xml:space="preserve">ПЗ-00121</x:t>
        </x:is>
      </x:c>
      <x:c r="E770" s="31" t="inlineStr">
        <x:is>
          <x:t xml:space="preserve">ОП-001012</x:t>
        </x:is>
      </x:c>
      <x:c r="F770" s="31" t="inlineStr">
        <x:is>
          <x:t xml:space="preserve">ОБ-021</x:t>
        </x:is>
      </x:c>
      <x:c r="G770" s="31" t="inlineStr">
        <x:is>
          <x:t xml:space="preserve">СОТР-068</x:t>
        </x:is>
      </x:c>
      <x:c r="H770" s="31" t="inlineStr">
        <x:is>
          <x:t xml:space="preserve">Сварка</x:t>
        </x:is>
      </x:c>
      <x:c r="I770" s="31" t="n">
        <x:v>1</x:v>
      </x:c>
      <x:c r="J770" s="31" t="n">
        <x:v>1</x:v>
      </x:c>
      <x:c r="K770" s="31" t="n">
        <x:v>53.2</x:v>
      </x:c>
      <x:c r="L770" s="31" t="n">
        <x:v>44.1</x:v>
      </x:c>
      <x:c r="M770" s="31" t="n">
        <x:v>60</x:v>
      </x:c>
      <x:c r="N770" s="31" t="inlineStr">
        <x:is>
          <x:t xml:space="preserve">Ожидание ОТК</x:t>
        </x:is>
      </x:c>
      <x:c r="O770" s="31" t="inlineStr">
        <x:is>
          <x:t xml:space="preserve">Подтверждено мастером</x:t>
        </x:is>
      </x:c>
      <x:c r="P770" s="31" t="inlineStr">
        <x:is>
          <x:t xml:space="preserve">Комментарий смены 832</x:t>
        </x:is>
      </x:c>
    </x:row>
    <x:row r="771">
      <x:c r="A771" s="31" t="inlineStr">
        <x:is>
          <x:t xml:space="preserve">СМ-00833</x:t>
        </x:is>
      </x:c>
      <x:c r="B771" s="31" t="n">
        <x:v>46061</x:v>
      </x:c>
      <x:c r="C771" s="31" t="inlineStr">
        <x:is>
          <x:t xml:space="preserve">День</x:t>
        </x:is>
      </x:c>
      <x:c r="D771" s="31" t="inlineStr">
        <x:is>
          <x:t xml:space="preserve">ПЗ-00113</x:t>
        </x:is>
      </x:c>
      <x:c r="E771" s="31" t="inlineStr">
        <x:is>
          <x:t xml:space="preserve">ОП-000955</x:t>
        </x:is>
      </x:c>
      <x:c r="F771" s="31" t="inlineStr">
        <x:is>
          <x:t xml:space="preserve">ОБ-024</x:t>
        </x:is>
      </x:c>
      <x:c r="G771" s="31" t="inlineStr">
        <x:is>
          <x:t xml:space="preserve">СОТР-093</x:t>
        </x:is>
      </x:c>
      <x:c r="H771" s="31" t="inlineStr">
        <x:is>
          <x:t xml:space="preserve">ОТК</x:t>
        </x:is>
      </x:c>
      <x:c r="I771" s="31" t="n">
        <x:v>3</x:v>
      </x:c>
      <x:c r="J771" s="31" t="n">
        <x:v>0</x:v>
      </x:c>
      <x:c r="K771" s="31" t="n">
        <x:v>22.8</x:v>
      </x:c>
      <x:c r="L771" s="31" t="n">
        <x:v>20.5</x:v>
      </x:c>
      <x:c r="M771" s="31" t="n">
        <x:v>0</x:v>
      </x:c>
      <x:c r="N771" s="31" t="inlineStr">
        <x:is>
          <x:t xml:space="preserve">Нет</x:t>
        </x:is>
      </x:c>
      <x:c r="O771" s="31" t="inlineStr">
        <x:is>
          <x:t xml:space="preserve">Подтверждено мастером</x:t>
        </x:is>
      </x:c>
      <x:c r="P771" s="31" t="inlineStr">
        <x:is>
          <x:t xml:space="preserve">Комментарий смены 833</x:t>
        </x:is>
      </x:c>
    </x:row>
    <x:row r="772">
      <x:c r="A772" s="31" t="inlineStr">
        <x:is>
          <x:t xml:space="preserve">СМ-00835</x:t>
        </x:is>
      </x:c>
      <x:c r="B772" s="31" t="n">
        <x:v>46144</x:v>
      </x:c>
      <x:c r="C772" s="31" t="inlineStr">
        <x:is>
          <x:t xml:space="preserve">Ночь</x:t>
        </x:is>
      </x:c>
      <x:c r="D772" s="31" t="inlineStr">
        <x:is>
          <x:t xml:space="preserve">ПЗ-00060</x:t>
        </x:is>
      </x:c>
      <x:c r="E772" s="31" t="inlineStr">
        <x:is>
          <x:t xml:space="preserve">ОП-000502</x:t>
        </x:is>
      </x:c>
      <x:c r="F772" s="31" t="inlineStr">
        <x:is>
          <x:t xml:space="preserve">ОБ-025</x:t>
        </x:is>
      </x:c>
      <x:c r="G772" s="31" t="inlineStr">
        <x:is>
          <x:t xml:space="preserve">СОТР-037</x:t>
        </x:is>
      </x:c>
      <x:c r="H772" s="31" t="inlineStr">
        <x:is>
          <x:t xml:space="preserve">Склад</x:t>
        </x:is>
      </x:c>
      <x:c r="I772" s="31" t="n">
        <x:v>1</x:v>
      </x:c>
      <x:c r="J772" s="31" t="n">
        <x:v>1</x:v>
      </x:c>
      <x:c r="K772" s="31" t="n">
        <x:v>4.9</x:v>
      </x:c>
      <x:c r="L772" s="31" t="n">
        <x:v>6.2</x:v>
      </x:c>
      <x:c r="M772" s="31" t="n">
        <x:v>120</x:v>
      </x:c>
      <x:c r="N772" s="31" t="inlineStr">
        <x:is>
          <x:t xml:space="preserve">Переналадка</x:t>
        </x:is>
      </x:c>
      <x:c r="O772" s="31" t="inlineStr">
        <x:is>
          <x:t xml:space="preserve">Черновик</x:t>
        </x:is>
      </x:c>
      <x:c r="P772" s="31" t="inlineStr">
        <x:is>
          <x:t xml:space="preserve">Комментарий смены 835</x:t>
        </x:is>
      </x:c>
    </x:row>
    <x:row r="773">
      <x:c r="A773" s="31" t="inlineStr">
        <x:is>
          <x:t xml:space="preserve">СМ-00836</x:t>
        </x:is>
      </x:c>
      <x:c r="B773" s="31" t="n">
        <x:v>46119</x:v>
      </x:c>
      <x:c r="C773" s="31" t="inlineStr">
        <x:is>
          <x:t xml:space="preserve">День</x:t>
        </x:is>
      </x:c>
      <x:c r="D773" s="31" t="inlineStr">
        <x:is>
          <x:t xml:space="preserve">ПЗ-00166</x:t>
        </x:is>
      </x:c>
      <x:c r="E773" s="31" t="inlineStr">
        <x:is>
          <x:t xml:space="preserve">ОП-001377</x:t>
        </x:is>
      </x:c>
      <x:c r="F773" s="31" t="inlineStr">
        <x:is>
          <x:t xml:space="preserve">ОБ-025</x:t>
        </x:is>
      </x:c>
      <x:c r="G773" s="31" t="inlineStr">
        <x:is>
          <x:t xml:space="preserve">СОТР-033</x:t>
        </x:is>
      </x:c>
      <x:c r="H773" s="31" t="inlineStr">
        <x:is>
          <x:t xml:space="preserve">Склад</x:t>
        </x:is>
      </x:c>
      <x:c r="I773" s="31" t="n">
        <x:v>2</x:v>
      </x:c>
      <x:c r="J773" s="31" t="n">
        <x:v>2</x:v>
      </x:c>
      <x:c r="K773" s="31" t="n">
        <x:v>35.7</x:v>
      </x:c>
      <x:c r="L773" s="31" t="n">
        <x:v>30.4</x:v>
      </x:c>
      <x:c r="M773" s="31" t="n">
        <x:v>90</x:v>
      </x:c>
      <x:c r="N773" s="31" t="inlineStr">
        <x:is>
          <x:t xml:space="preserve">Ожидание материала</x:t>
        </x:is>
      </x:c>
      <x:c r="O773" s="31" t="inlineStr">
        <x:is>
          <x:t xml:space="preserve">Подтверждено мастером</x:t>
        </x:is>
      </x:c>
      <x:c r="P773" s="31" t="inlineStr">
        <x:is>
          <x:t xml:space="preserve">Комментарий смены 836</x:t>
        </x:is>
      </x:c>
    </x:row>
    <x:row r="774">
      <x:c r="A774" s="31" t="inlineStr">
        <x:is>
          <x:t xml:space="preserve">СМ-00837</x:t>
        </x:is>
      </x:c>
      <x:c r="B774" s="31" t="n">
        <x:v>46116</x:v>
      </x:c>
      <x:c r="C774" s="31" t="inlineStr">
        <x:is>
          <x:t xml:space="preserve">День</x:t>
        </x:is>
      </x:c>
      <x:c r="D774" s="31" t="inlineStr">
        <x:is>
          <x:t xml:space="preserve">ПЗ-00236</x:t>
        </x:is>
      </x:c>
      <x:c r="E774" s="31" t="inlineStr">
        <x:is>
          <x:t xml:space="preserve">ОП-001979</x:t>
        </x:is>
      </x:c>
      <x:c r="F774" s="31" t="n"/>
      <x:c r="G774" s="31" t="inlineStr">
        <x:is>
          <x:t xml:space="preserve">СОТР-070</x:t>
        </x:is>
      </x:c>
      <x:c r="H774" s="31" t="inlineStr">
        <x:is>
          <x:t xml:space="preserve">Логистика</x:t>
        </x:is>
      </x:c>
      <x:c r="I774" s="31" t="n">
        <x:v>1</x:v>
      </x:c>
      <x:c r="J774" s="31" t="n">
        <x:v>1</x:v>
      </x:c>
      <x:c r="K774" s="31" t="n">
        <x:v>17.1</x:v>
      </x:c>
      <x:c r="L774" s="31" t="n">
        <x:v>13.8</x:v>
      </x:c>
      <x:c r="M774" s="31" t="n">
        <x:v>0</x:v>
      </x:c>
      <x:c r="N774" s="31" t="inlineStr">
        <x:is>
          <x:t xml:space="preserve">Нет</x:t>
        </x:is>
      </x:c>
      <x:c r="O774" s="31" t="inlineStr">
        <x:is>
          <x:t xml:space="preserve">Подтверждено мастером</x:t>
        </x:is>
      </x:c>
      <x:c r="P774" s="31" t="inlineStr">
        <x:is>
          <x:t xml:space="preserve">Комментарий смены 837</x:t>
        </x:is>
      </x:c>
    </x:row>
    <x:row r="775">
      <x:c r="A775" s="31" t="inlineStr">
        <x:is>
          <x:t xml:space="preserve">СМ-00838</x:t>
        </x:is>
      </x:c>
      <x:c r="B775" s="31" t="n">
        <x:v>46131</x:v>
      </x:c>
      <x:c r="C775" s="31" t="inlineStr">
        <x:is>
          <x:t xml:space="preserve">День</x:t>
        </x:is>
      </x:c>
      <x:c r="D775" s="31" t="inlineStr">
        <x:is>
          <x:t xml:space="preserve">ПЗ-00088</x:t>
        </x:is>
      </x:c>
      <x:c r="E775" s="31" t="inlineStr">
        <x:is>
          <x:t xml:space="preserve">ОП-000744</x:t>
        </x:is>
      </x:c>
      <x:c r="F775" s="31" t="n"/>
      <x:c r="G775" s="31" t="inlineStr">
        <x:is>
          <x:t xml:space="preserve">СОТР-019</x:t>
        </x:is>
      </x:c>
      <x:c r="H775" s="31" t="inlineStr">
        <x:is>
          <x:t xml:space="preserve">Инженерный отдел</x:t>
        </x:is>
      </x:c>
      <x:c r="I775" s="31" t="n">
        <x:v>2</x:v>
      </x:c>
      <x:c r="J775" s="31" t="n">
        <x:v>2</x:v>
      </x:c>
      <x:c r="K775" s="31" t="n">
        <x:v>15</x:v>
      </x:c>
      <x:c r="L775" s="31" t="n">
        <x:v>13.7</x:v>
      </x:c>
      <x:c r="M775" s="31" t="n">
        <x:v>0</x:v>
      </x:c>
      <x:c r="N775" s="31" t="inlineStr">
        <x:is>
          <x:t xml:space="preserve">Нет</x:t>
        </x:is>
      </x:c>
      <x:c r="O775" s="31" t="inlineStr">
        <x:is>
          <x:t xml:space="preserve">Подтверждено мастером</x:t>
        </x:is>
      </x:c>
      <x:c r="P775" s="31" t="inlineStr">
        <x:is>
          <x:t xml:space="preserve">Комментарий смены 838</x:t>
        </x:is>
      </x:c>
    </x:row>
    <x:row r="776">
      <x:c r="A776" s="31" t="inlineStr">
        <x:is>
          <x:t xml:space="preserve">СМ-00839</x:t>
        </x:is>
      </x:c>
      <x:c r="B776" s="31" t="n">
        <x:v>46119</x:v>
      </x:c>
      <x:c r="C776" s="31" t="inlineStr">
        <x:is>
          <x:t xml:space="preserve">Ночь</x:t>
        </x:is>
      </x:c>
      <x:c r="D776" s="31" t="inlineStr">
        <x:is>
          <x:t xml:space="preserve">ПЗ-00077</x:t>
        </x:is>
      </x:c>
      <x:c r="E776" s="31" t="inlineStr">
        <x:is>
          <x:t xml:space="preserve">ОП-000650</x:t>
        </x:is>
      </x:c>
      <x:c r="F776" s="31" t="n"/>
      <x:c r="G776" s="31" t="inlineStr">
        <x:is>
          <x:t xml:space="preserve">СОТР-020</x:t>
        </x:is>
      </x:c>
      <x:c r="H776" s="31" t="inlineStr">
        <x:is>
          <x:t xml:space="preserve">Инженерный отдел</x:t>
        </x:is>
      </x:c>
      <x:c r="I776" s="31" t="n">
        <x:v>1</x:v>
      </x:c>
      <x:c r="J776" s="31" t="n">
        <x:v>1</x:v>
      </x:c>
      <x:c r="K776" s="31" t="n">
        <x:v>24.2</x:v>
      </x:c>
      <x:c r="L776" s="31" t="n">
        <x:v>25.6</x:v>
      </x:c>
      <x:c r="M776" s="31" t="n">
        <x:v>15</x:v>
      </x:c>
      <x:c r="N776" s="31" t="inlineStr">
        <x:is>
          <x:t xml:space="preserve">Ожидание материала</x:t>
        </x:is>
      </x:c>
      <x:c r="O776" s="31" t="inlineStr">
        <x:is>
          <x:t xml:space="preserve">Подтверждено мастером</x:t>
        </x:is>
      </x:c>
      <x:c r="P776" s="31" t="inlineStr">
        <x:is>
          <x:t xml:space="preserve">Комментарий смены 839</x:t>
        </x:is>
      </x:c>
    </x:row>
    <x:row r="777">
      <x:c r="A777" s="31" t="inlineStr">
        <x:is>
          <x:t xml:space="preserve">СМ-00840</x:t>
        </x:is>
      </x:c>
      <x:c r="B777" s="31" t="n">
        <x:v>46065</x:v>
      </x:c>
      <x:c r="C777" s="31" t="inlineStr">
        <x:is>
          <x:t xml:space="preserve">День</x:t>
        </x:is>
      </x:c>
      <x:c r="D777" s="31" t="inlineStr">
        <x:is>
          <x:t xml:space="preserve">ПЗ-00255</x:t>
        </x:is>
      </x:c>
      <x:c r="E777" s="31" t="inlineStr">
        <x:is>
          <x:t xml:space="preserve">ОП-002130</x:t>
        </x:is>
      </x:c>
      <x:c r="F777" s="31" t="inlineStr">
        <x:is>
          <x:t xml:space="preserve">ОБ-015</x:t>
        </x:is>
      </x:c>
      <x:c r="G777" s="31" t="inlineStr">
        <x:is>
          <x:t xml:space="preserve">СОТР-093</x:t>
        </x:is>
      </x:c>
      <x:c r="H777" s="31" t="inlineStr">
        <x:is>
          <x:t xml:space="preserve">ОТК</x:t>
        </x:is>
      </x:c>
      <x:c r="I777" s="31" t="n">
        <x:v>3</x:v>
      </x:c>
      <x:c r="J777" s="31" t="n">
        <x:v>4</x:v>
      </x:c>
      <x:c r="K777" s="31" t="n">
        <x:v>6.9</x:v>
      </x:c>
      <x:c r="L777" s="31" t="n">
        <x:v>7.7</x:v>
      </x:c>
      <x:c r="M777" s="31" t="n">
        <x:v>45</x:v>
      </x:c>
      <x:c r="N777" s="31" t="inlineStr">
        <x:is>
          <x:t xml:space="preserve">Ожидание материала</x:t>
        </x:is>
      </x:c>
      <x:c r="O777" s="31" t="inlineStr">
        <x:is>
          <x:t xml:space="preserve">Подтверждено мастером</x:t>
        </x:is>
      </x:c>
      <x:c r="P777" s="31" t="inlineStr">
        <x:is>
          <x:t xml:space="preserve">Комментарий смены 840</x:t>
        </x:is>
      </x:c>
    </x:row>
    <x:row r="778">
      <x:c r="A778" s="31" t="inlineStr">
        <x:is>
          <x:t xml:space="preserve">СМ-00841</x:t>
        </x:is>
      </x:c>
      <x:c r="B778" s="31" t="n">
        <x:v>46183</x:v>
      </x:c>
      <x:c r="C778" s="31" t="inlineStr">
        <x:is>
          <x:t xml:space="preserve">Ночь</x:t>
        </x:is>
      </x:c>
      <x:c r="D778" s="31" t="inlineStr">
        <x:is>
          <x:t xml:space="preserve">ПЗ-00017</x:t>
        </x:is>
      </x:c>
      <x:c r="E778" s="31" t="inlineStr">
        <x:is>
          <x:t xml:space="preserve">ОП-000144</x:t>
        </x:is>
      </x:c>
      <x:c r="F778" s="31" t="n"/>
      <x:c r="G778" s="31" t="inlineStr">
        <x:is>
          <x:t xml:space="preserve">СОТР-014</x:t>
        </x:is>
      </x:c>
      <x:c r="H778" s="31" t="inlineStr">
        <x:is>
          <x:t xml:space="preserve">Инженерный отдел</x:t>
        </x:is>
      </x:c>
      <x:c r="I778" s="31" t="n">
        <x:v>2</x:v>
      </x:c>
      <x:c r="J778" s="31" t="n">
        <x:v>0</x:v>
      </x:c>
      <x:c r="K778" s="31" t="n">
        <x:v>82</x:v>
      </x:c>
      <x:c r="L778" s="31" t="n">
        <x:v>78.5</x:v>
      </x:c>
      <x:c r="M778" s="31" t="n">
        <x:v>0</x:v>
      </x:c>
      <x:c r="N778" s="31" t="inlineStr">
        <x:is>
          <x:t xml:space="preserve">Нет</x:t>
        </x:is>
      </x:c>
      <x:c r="O778" s="31" t="inlineStr">
        <x:is>
          <x:t xml:space="preserve">Черновик</x:t>
        </x:is>
      </x:c>
      <x:c r="P778" s="31" t="inlineStr">
        <x:is>
          <x:t xml:space="preserve">Комментарий смены 841</x:t>
        </x:is>
      </x:c>
    </x:row>
    <x:row r="779">
      <x:c r="A779" s="31" t="inlineStr">
        <x:is>
          <x:t xml:space="preserve">СМ-00842</x:t>
        </x:is>
      </x:c>
      <x:c r="B779" s="31" t="n">
        <x:v>46150</x:v>
      </x:c>
      <x:c r="C779" s="31" t="inlineStr">
        <x:is>
          <x:t xml:space="preserve">День</x:t>
        </x:is>
      </x:c>
      <x:c r="D779" s="31" t="inlineStr">
        <x:is>
          <x:t xml:space="preserve">ПЗ-00243</x:t>
        </x:is>
      </x:c>
      <x:c r="E779" s="31" t="inlineStr">
        <x:is>
          <x:t xml:space="preserve">ОП-002038</x:t>
        </x:is>
      </x:c>
      <x:c r="F779" s="31" t="inlineStr">
        <x:is>
          <x:t xml:space="preserve">ОБ-001</x:t>
        </x:is>
      </x:c>
      <x:c r="G779" s="31" t="inlineStr">
        <x:is>
          <x:t xml:space="preserve">СОТР-096</x:t>
        </x:is>
      </x:c>
      <x:c r="H779" s="31" t="inlineStr">
        <x:is>
          <x:t xml:space="preserve">ОТК</x:t>
        </x:is>
      </x:c>
      <x:c r="I779" s="31" t="n">
        <x:v>5</x:v>
      </x:c>
      <x:c r="J779" s="31" t="n">
        <x:v>4</x:v>
      </x:c>
      <x:c r="K779" s="31" t="n">
        <x:v>69.7</x:v>
      </x:c>
      <x:c r="L779" s="31" t="n">
        <x:v>55.8</x:v>
      </x:c>
      <x:c r="M779" s="31" t="n">
        <x:v>15</x:v>
      </x:c>
      <x:c r="N779" s="31" t="inlineStr">
        <x:is>
          <x:t xml:space="preserve">Переналадка</x:t>
        </x:is>
      </x:c>
      <x:c r="O779" s="31" t="inlineStr">
        <x:is>
          <x:t xml:space="preserve">Подтверждено мастером</x:t>
        </x:is>
      </x:c>
      <x:c r="P779" s="31" t="inlineStr">
        <x:is>
          <x:t xml:space="preserve">Комментарий смены 842</x:t>
        </x:is>
      </x:c>
    </x:row>
    <x:row r="780">
      <x:c r="A780" s="31" t="inlineStr">
        <x:is>
          <x:t xml:space="preserve">СМ-00844</x:t>
        </x:is>
      </x:c>
      <x:c r="B780" s="31" t="n">
        <x:v>46198</x:v>
      </x:c>
      <x:c r="C780" s="31" t="inlineStr">
        <x:is>
          <x:t xml:space="preserve">Вечер</x:t>
        </x:is>
      </x:c>
      <x:c r="D780" s="31" t="inlineStr">
        <x:is>
          <x:t xml:space="preserve">ПЗ-00173</x:t>
        </x:is>
      </x:c>
      <x:c r="E780" s="31" t="inlineStr">
        <x:is>
          <x:t xml:space="preserve">ОП-001444</x:t>
        </x:is>
      </x:c>
      <x:c r="F780" s="31" t="inlineStr">
        <x:is>
          <x:t xml:space="preserve">ОБ-015</x:t>
        </x:is>
      </x:c>
      <x:c r="G780" s="31" t="inlineStr">
        <x:is>
          <x:t xml:space="preserve">СОТР-092</x:t>
        </x:is>
      </x:c>
      <x:c r="H780" s="31" t="inlineStr">
        <x:is>
          <x:t xml:space="preserve">ОТК</x:t>
        </x:is>
      </x:c>
      <x:c r="I780" s="31" t="n">
        <x:v>1</x:v>
      </x:c>
      <x:c r="J780" s="31" t="n">
        <x:v>0</x:v>
      </x:c>
      <x:c r="K780" s="31" t="n">
        <x:v>27.3</x:v>
      </x:c>
      <x:c r="L780" s="31" t="n">
        <x:v>24.9</x:v>
      </x:c>
      <x:c r="M780" s="31" t="n">
        <x:v>15</x:v>
      </x:c>
      <x:c r="N780" s="31" t="inlineStr">
        <x:is>
          <x:t xml:space="preserve">Ожидание материала</x:t>
        </x:is>
      </x:c>
      <x:c r="O780" s="31" t="inlineStr">
        <x:is>
          <x:t xml:space="preserve">Подтверждено мастером</x:t>
        </x:is>
      </x:c>
      <x:c r="P780" s="31" t="inlineStr">
        <x:is>
          <x:t xml:space="preserve">Комментарий смены 844</x:t>
        </x:is>
      </x:c>
    </x:row>
    <x:row r="781">
      <x:c r="A781" s="31" t="inlineStr">
        <x:is>
          <x:t xml:space="preserve">СМ-00845</x:t>
        </x:is>
      </x:c>
      <x:c r="B781" s="31" t="n">
        <x:v>46176</x:v>
      </x:c>
      <x:c r="C781" s="31" t="inlineStr">
        <x:is>
          <x:t xml:space="preserve">День</x:t>
        </x:is>
      </x:c>
      <x:c r="D781" s="31" t="inlineStr">
        <x:is>
          <x:t xml:space="preserve">ПЗ-00196</x:t>
        </x:is>
      </x:c>
      <x:c r="E781" s="31" t="inlineStr">
        <x:is>
          <x:t xml:space="preserve">ОП-001644</x:t>
        </x:is>
      </x:c>
      <x:c r="F781" s="31" t="inlineStr">
        <x:is>
          <x:t xml:space="preserve">ОБ-001</x:t>
        </x:is>
      </x:c>
      <x:c r="G781" s="31" t="inlineStr">
        <x:is>
          <x:t xml:space="preserve">СОТР-099</x:t>
        </x:is>
      </x:c>
      <x:c r="H781" s="31" t="inlineStr">
        <x:is>
          <x:t xml:space="preserve">ОТК</x:t>
        </x:is>
      </x:c>
      <x:c r="I781" s="31" t="n">
        <x:v>1</x:v>
      </x:c>
      <x:c r="J781" s="31" t="n">
        <x:v>1</x:v>
      </x:c>
      <x:c r="K781" s="31" t="n">
        <x:v>65.7</x:v>
      </x:c>
      <x:c r="L781" s="31" t="n">
        <x:v>65.3</x:v>
      </x:c>
      <x:c r="M781" s="31" t="n">
        <x:v>0</x:v>
      </x:c>
      <x:c r="N781" s="31" t="inlineStr">
        <x:is>
          <x:t xml:space="preserve">Нет</x:t>
        </x:is>
      </x:c>
      <x:c r="O781" s="31" t="inlineStr">
        <x:is>
          <x:t xml:space="preserve">Закрыто</x:t>
        </x:is>
      </x:c>
      <x:c r="P781" s="31" t="inlineStr">
        <x:is>
          <x:t xml:space="preserve">Комментарий смены 845</x:t>
        </x:is>
      </x:c>
    </x:row>
    <x:row r="782">
      <x:c r="A782" s="31" t="inlineStr">
        <x:is>
          <x:t xml:space="preserve">СМ-00846</x:t>
        </x:is>
      </x:c>
      <x:c r="B782" s="31" t="n">
        <x:v>46194</x:v>
      </x:c>
      <x:c r="C782" s="31" t="inlineStr">
        <x:is>
          <x:t xml:space="preserve">Вечер</x:t>
        </x:is>
      </x:c>
      <x:c r="D782" s="31" t="inlineStr">
        <x:is>
          <x:t xml:space="preserve">ПЗ-00130</x:t>
        </x:is>
      </x:c>
      <x:c r="E782" s="31" t="inlineStr">
        <x:is>
          <x:t xml:space="preserve">ОП-001087</x:t>
        </x:is>
      </x:c>
      <x:c r="F782" s="31" t="inlineStr">
        <x:is>
          <x:t xml:space="preserve">ОБ-001</x:t>
        </x:is>
      </x:c>
      <x:c r="G782" s="31" t="inlineStr">
        <x:is>
          <x:t xml:space="preserve">СОТР-100</x:t>
        </x:is>
      </x:c>
      <x:c r="H782" s="31" t="inlineStr">
        <x:is>
          <x:t xml:space="preserve">ОТК</x:t>
        </x:is>
      </x:c>
      <x:c r="I782" s="31" t="n">
        <x:v>3</x:v>
      </x:c>
      <x:c r="J782" s="31" t="n">
        <x:v>4</x:v>
      </x:c>
      <x:c r="K782" s="31" t="n">
        <x:v>51.6</x:v>
      </x:c>
      <x:c r="L782" s="31" t="n">
        <x:v>45.8</x:v>
      </x:c>
      <x:c r="M782" s="31" t="n">
        <x:v>45</x:v>
      </x:c>
      <x:c r="N782" s="31" t="inlineStr">
        <x:is>
          <x:t xml:space="preserve">Ожидание материала</x:t>
        </x:is>
      </x:c>
      <x:c r="O782" s="31" t="inlineStr">
        <x:is>
          <x:t xml:space="preserve">Черновик</x:t>
        </x:is>
      </x:c>
      <x:c r="P782" s="31" t="inlineStr">
        <x:is>
          <x:t xml:space="preserve">Комментарий смены 846</x:t>
        </x:is>
      </x:c>
    </x:row>
    <x:row r="783">
      <x:c r="A783" s="31" t="inlineStr">
        <x:is>
          <x:t xml:space="preserve">СМ-00847</x:t>
        </x:is>
      </x:c>
      <x:c r="B783" s="31" t="n">
        <x:v>46136</x:v>
      </x:c>
      <x:c r="C783" s="31" t="inlineStr">
        <x:is>
          <x:t xml:space="preserve">День</x:t>
        </x:is>
      </x:c>
      <x:c r="D783" s="31" t="inlineStr">
        <x:is>
          <x:t xml:space="preserve">ПЗ-00134</x:t>
        </x:is>
      </x:c>
      <x:c r="E783" s="31" t="inlineStr">
        <x:is>
          <x:t xml:space="preserve">ОП-001121</x:t>
        </x:is>
      </x:c>
      <x:c r="F783" s="31" t="inlineStr">
        <x:is>
          <x:t xml:space="preserve">ОБ-003</x:t>
        </x:is>
      </x:c>
      <x:c r="G783" s="31" t="inlineStr">
        <x:is>
          <x:t xml:space="preserve">СОТР-058</x:t>
        </x:is>
      </x:c>
      <x:c r="H783" s="31" t="inlineStr">
        <x:is>
          <x:t xml:space="preserve">Сварка</x:t>
        </x:is>
      </x:c>
      <x:c r="I783" s="31" t="n">
        <x:v>2</x:v>
      </x:c>
      <x:c r="J783" s="31" t="n">
        <x:v>2</x:v>
      </x:c>
      <x:c r="K783" s="31" t="n">
        <x:v>33.9</x:v>
      </x:c>
      <x:c r="L783" s="31" t="n">
        <x:v>35.8</x:v>
      </x:c>
      <x:c r="M783" s="31" t="n">
        <x:v>45</x:v>
      </x:c>
      <x:c r="N783" s="31" t="inlineStr">
        <x:is>
          <x:t xml:space="preserve">Переналадка</x:t>
        </x:is>
      </x:c>
      <x:c r="O783" s="31" t="inlineStr">
        <x:is>
          <x:t xml:space="preserve">Подтверждено мастером</x:t>
        </x:is>
      </x:c>
      <x:c r="P783" s="31" t="inlineStr">
        <x:is>
          <x:t xml:space="preserve">Комментарий смены 847</x:t>
        </x:is>
      </x:c>
    </x:row>
    <x:row r="784">
      <x:c r="A784" s="31" t="inlineStr">
        <x:is>
          <x:t xml:space="preserve">СМ-00848</x:t>
        </x:is>
      </x:c>
      <x:c r="B784" s="31" t="n">
        <x:v>46101</x:v>
      </x:c>
      <x:c r="C784" s="31" t="inlineStr">
        <x:is>
          <x:t xml:space="preserve">День</x:t>
        </x:is>
      </x:c>
      <x:c r="D784" s="31" t="inlineStr">
        <x:is>
          <x:t xml:space="preserve">ПЗ-00032</x:t>
        </x:is>
      </x:c>
      <x:c r="E784" s="31" t="inlineStr">
        <x:is>
          <x:t xml:space="preserve">ОП-000279</x:t>
        </x:is>
      </x:c>
      <x:c r="F784" s="31" t="inlineStr">
        <x:is>
          <x:t xml:space="preserve">ОБ-005</x:t>
        </x:is>
      </x:c>
      <x:c r="G784" s="31" t="inlineStr">
        <x:is>
          <x:t xml:space="preserve">СОТР-088</x:t>
        </x:is>
      </x:c>
      <x:c r="H784" s="31" t="inlineStr">
        <x:is>
          <x:t xml:space="preserve">Сборка</x:t>
        </x:is>
      </x:c>
      <x:c r="I784" s="31" t="n">
        <x:v>1</x:v>
      </x:c>
      <x:c r="J784" s="31" t="n">
        <x:v>0</x:v>
      </x:c>
      <x:c r="K784" s="31" t="n">
        <x:v>17.3</x:v>
      </x:c>
      <x:c r="L784" s="31" t="n">
        <x:v>13.5</x:v>
      </x:c>
      <x:c r="M784" s="31" t="n">
        <x:v>120</x:v>
      </x:c>
      <x:c r="N784" s="31" t="inlineStr">
        <x:is>
          <x:t xml:space="preserve">Ремонт оборудования</x:t>
        </x:is>
      </x:c>
      <x:c r="O784" s="31" t="inlineStr">
        <x:is>
          <x:t xml:space="preserve">Подтверждено мастером</x:t>
        </x:is>
      </x:c>
      <x:c r="P784" s="31" t="inlineStr">
        <x:is>
          <x:t xml:space="preserve">Комментарий смены 848</x:t>
        </x:is>
      </x:c>
    </x:row>
    <x:row r="785">
      <x:c r="A785" s="31" t="inlineStr">
        <x:is>
          <x:t xml:space="preserve">СМ-00849</x:t>
        </x:is>
      </x:c>
      <x:c r="B785" s="31" t="n">
        <x:v>46155</x:v>
      </x:c>
      <x:c r="C785" s="31" t="inlineStr">
        <x:is>
          <x:t xml:space="preserve">Вечер</x:t>
        </x:is>
      </x:c>
      <x:c r="D785" s="31" t="inlineStr">
        <x:is>
          <x:t xml:space="preserve">ПЗ-00169</x:t>
        </x:is>
      </x:c>
      <x:c r="E785" s="31" t="inlineStr">
        <x:is>
          <x:t xml:space="preserve">ОП-001403</x:t>
        </x:is>
      </x:c>
      <x:c r="F785" s="31" t="inlineStr">
        <x:is>
          <x:t xml:space="preserve">ОБ-011</x:t>
        </x:is>
      </x:c>
      <x:c r="G785" s="31" t="inlineStr">
        <x:is>
          <x:t xml:space="preserve">СОТР-033</x:t>
        </x:is>
      </x:c>
      <x:c r="H785" s="31" t="inlineStr">
        <x:is>
          <x:t xml:space="preserve">Склад</x:t>
        </x:is>
      </x:c>
      <x:c r="I785" s="31" t="n">
        <x:v>9</x:v>
      </x:c>
      <x:c r="J785" s="31" t="n">
        <x:v>9</x:v>
      </x:c>
      <x:c r="K785" s="31" t="n">
        <x:v>73.5</x:v>
      </x:c>
      <x:c r="L785" s="31" t="n">
        <x:v>94.7</x:v>
      </x:c>
      <x:c r="M785" s="31" t="n">
        <x:v>60</x:v>
      </x:c>
      <x:c r="N785" s="31" t="inlineStr">
        <x:is>
          <x:t xml:space="preserve">Ожидание ОТК</x:t>
        </x:is>
      </x:c>
      <x:c r="O785" s="31" t="inlineStr">
        <x:is>
          <x:t xml:space="preserve">Подтверждено мастером</x:t>
        </x:is>
      </x:c>
      <x:c r="P785" s="31" t="inlineStr">
        <x:is>
          <x:t xml:space="preserve">Комментарий смены 849</x:t>
        </x:is>
      </x:c>
    </x:row>
    <x:row r="786">
      <x:c r="A786" s="31" t="inlineStr">
        <x:is>
          <x:t xml:space="preserve">СМ-00851</x:t>
        </x:is>
      </x:c>
      <x:c r="B786" s="31" t="n">
        <x:v>46106</x:v>
      </x:c>
      <x:c r="C786" s="31" t="inlineStr">
        <x:is>
          <x:t xml:space="preserve">Ночь</x:t>
        </x:is>
      </x:c>
      <x:c r="D786" s="31" t="inlineStr">
        <x:is>
          <x:t xml:space="preserve">ПЗ-00101</x:t>
        </x:is>
      </x:c>
      <x:c r="E786" s="31" t="inlineStr">
        <x:is>
          <x:t xml:space="preserve">ОП-000842</x:t>
        </x:is>
      </x:c>
      <x:c r="F786" s="31" t="inlineStr">
        <x:is>
          <x:t xml:space="preserve">ОБ-023</x:t>
        </x:is>
      </x:c>
      <x:c r="G786" s="31" t="inlineStr">
        <x:is>
          <x:t xml:space="preserve">СОТР-033</x:t>
        </x:is>
      </x:c>
      <x:c r="H786" s="31" t="inlineStr">
        <x:is>
          <x:t xml:space="preserve">Склад</x:t>
        </x:is>
      </x:c>
      <x:c r="I786" s="31" t="n">
        <x:v>6</x:v>
      </x:c>
      <x:c r="J786" s="31" t="n">
        <x:v>6</x:v>
      </x:c>
      <x:c r="K786" s="31" t="n">
        <x:v>15</x:v>
      </x:c>
      <x:c r="L786" s="31" t="n">
        <x:v>14.8</x:v>
      </x:c>
      <x:c r="M786" s="31" t="n">
        <x:v>15</x:v>
      </x:c>
      <x:c r="N786" s="31" t="inlineStr">
        <x:is>
          <x:t xml:space="preserve">Переналадка</x:t>
        </x:is>
      </x:c>
      <x:c r="O786" s="31" t="inlineStr">
        <x:is>
          <x:t xml:space="preserve">Подтверждено мастером</x:t>
        </x:is>
      </x:c>
      <x:c r="P786" s="31" t="inlineStr">
        <x:is>
          <x:t xml:space="preserve">Комментарий смены 851</x:t>
        </x:is>
      </x:c>
    </x:row>
    <x:row r="787">
      <x:c r="A787" s="31" t="inlineStr">
        <x:is>
          <x:t xml:space="preserve">СМ-00852</x:t>
        </x:is>
      </x:c>
      <x:c r="B787" s="31" t="n">
        <x:v>46157</x:v>
      </x:c>
      <x:c r="C787" s="31" t="inlineStr">
        <x:is>
          <x:t xml:space="preserve">День</x:t>
        </x:is>
      </x:c>
      <x:c r="D787" s="31" t="inlineStr">
        <x:is>
          <x:t xml:space="preserve">ПЗ-00053</x:t>
        </x:is>
      </x:c>
      <x:c r="E787" s="31" t="inlineStr">
        <x:is>
          <x:t xml:space="preserve">ОП-000437</x:t>
        </x:is>
      </x:c>
      <x:c r="F787" s="31" t="inlineStr">
        <x:is>
          <x:t xml:space="preserve">ОБ-025</x:t>
        </x:is>
      </x:c>
      <x:c r="G787" s="31" t="inlineStr">
        <x:is>
          <x:t xml:space="preserve">СОТР-038</x:t>
        </x:is>
      </x:c>
      <x:c r="H787" s="31" t="inlineStr">
        <x:is>
          <x:t xml:space="preserve">Склад</x:t>
        </x:is>
      </x:c>
      <x:c r="I787" s="31" t="n">
        <x:v>2</x:v>
      </x:c>
      <x:c r="J787" s="31" t="n">
        <x:v>2</x:v>
      </x:c>
      <x:c r="K787" s="31" t="n">
        <x:v>23.8</x:v>
      </x:c>
      <x:c r="L787" s="31" t="n">
        <x:v>30.2</x:v>
      </x:c>
      <x:c r="M787" s="31" t="n">
        <x:v>45</x:v>
      </x:c>
      <x:c r="N787" s="31" t="inlineStr">
        <x:is>
          <x:t xml:space="preserve">Ожидание ОТК</x:t>
        </x:is>
      </x:c>
      <x:c r="O787" s="31" t="inlineStr">
        <x:is>
          <x:t xml:space="preserve">Подтверждено мастером</x:t>
        </x:is>
      </x:c>
      <x:c r="P787" s="31" t="inlineStr">
        <x:is>
          <x:t xml:space="preserve">Комментарий смены 852</x:t>
        </x:is>
      </x:c>
    </x:row>
    <x:row r="788">
      <x:c r="A788" s="31" t="inlineStr">
        <x:is>
          <x:t xml:space="preserve">СМ-00853</x:t>
        </x:is>
      </x:c>
      <x:c r="B788" s="31" t="n">
        <x:v>46172</x:v>
      </x:c>
      <x:c r="C788" s="31" t="inlineStr">
        <x:is>
          <x:t xml:space="preserve">Вечер</x:t>
        </x:is>
      </x:c>
      <x:c r="D788" s="31" t="inlineStr">
        <x:is>
          <x:t xml:space="preserve">ПЗ-00170</x:t>
        </x:is>
      </x:c>
      <x:c r="E788" s="31" t="inlineStr">
        <x:is>
          <x:t xml:space="preserve">ОП-001412</x:t>
        </x:is>
      </x:c>
      <x:c r="F788" s="31" t="n"/>
      <x:c r="G788" s="31" t="inlineStr">
        <x:is>
          <x:t xml:space="preserve">СОТР-013</x:t>
        </x:is>
      </x:c>
      <x:c r="H788" s="31" t="inlineStr">
        <x:is>
          <x:t xml:space="preserve">Инженерный отдел</x:t>
        </x:is>
      </x:c>
      <x:c r="I788" s="31" t="n">
        <x:v>1</x:v>
      </x:c>
      <x:c r="J788" s="31" t="n">
        <x:v>2</x:v>
      </x:c>
      <x:c r="K788" s="31" t="n">
        <x:v>16.4</x:v>
      </x:c>
      <x:c r="L788" s="31" t="n">
        <x:v>14.1</x:v>
      </x:c>
      <x:c r="M788" s="31" t="n">
        <x:v>0</x:v>
      </x:c>
      <x:c r="N788" s="31" t="inlineStr">
        <x:is>
          <x:t xml:space="preserve">Нет</x:t>
        </x:is>
      </x:c>
      <x:c r="O788" s="31" t="inlineStr">
        <x:is>
          <x:t xml:space="preserve">Подтверждено мастером</x:t>
        </x:is>
      </x:c>
      <x:c r="P788" s="31" t="inlineStr">
        <x:is>
          <x:t xml:space="preserve">Комментарий смены 853</x:t>
        </x:is>
      </x:c>
    </x:row>
    <x:row r="789">
      <x:c r="A789" s="31" t="inlineStr">
        <x:is>
          <x:t xml:space="preserve">СМ-00854</x:t>
        </x:is>
      </x:c>
      <x:c r="B789" s="31" t="n">
        <x:v>46195</x:v>
      </x:c>
      <x:c r="C789" s="31" t="inlineStr">
        <x:is>
          <x:t xml:space="preserve">День</x:t>
        </x:is>
      </x:c>
      <x:c r="D789" s="31" t="inlineStr">
        <x:is>
          <x:t xml:space="preserve">ПЗ-00184</x:t>
        </x:is>
      </x:c>
      <x:c r="E789" s="31" t="inlineStr">
        <x:is>
          <x:t xml:space="preserve">ОП-001534</x:t>
        </x:is>
      </x:c>
      <x:c r="F789" s="31" t="n"/>
      <x:c r="G789" s="31" t="inlineStr">
        <x:is>
          <x:t xml:space="preserve">СОТР-102</x:t>
        </x:is>
      </x:c>
      <x:c r="H789" s="31" t="inlineStr">
        <x:is>
          <x:t xml:space="preserve">Логистика</x:t>
        </x:is>
      </x:c>
      <x:c r="I789" s="31" t="n">
        <x:v>1</x:v>
      </x:c>
      <x:c r="J789" s="31" t="n">
        <x:v>0</x:v>
      </x:c>
      <x:c r="K789" s="31" t="n">
        <x:v>12.4</x:v>
      </x:c>
      <x:c r="L789" s="31" t="n">
        <x:v>12.2</x:v>
      </x:c>
      <x:c r="M789" s="31" t="n">
        <x:v>90</x:v>
      </x:c>
      <x:c r="N789" s="31" t="inlineStr">
        <x:is>
          <x:t xml:space="preserve">Нет оператора</x:t>
        </x:is>
      </x:c>
      <x:c r="O789" s="31" t="inlineStr">
        <x:is>
          <x:t xml:space="preserve">Подтверждено мастером</x:t>
        </x:is>
      </x:c>
      <x:c r="P789" s="31" t="inlineStr">
        <x:is>
          <x:t xml:space="preserve">Комментарий смены 854</x:t>
        </x:is>
      </x:c>
    </x:row>
    <x:row r="790">
      <x:c r="A790" s="31" t="inlineStr">
        <x:is>
          <x:t xml:space="preserve">СМ-00855</x:t>
        </x:is>
      </x:c>
      <x:c r="B790" s="31" t="n">
        <x:v>46199</x:v>
      </x:c>
      <x:c r="C790" s="31" t="inlineStr">
        <x:is>
          <x:t xml:space="preserve">Вечер</x:t>
        </x:is>
      </x:c>
      <x:c r="D790" s="31" t="inlineStr">
        <x:is>
          <x:t xml:space="preserve">ПЗ-00174</x:t>
        </x:is>
      </x:c>
      <x:c r="E790" s="31" t="inlineStr">
        <x:is>
          <x:t xml:space="preserve">ОП-001449</x:t>
        </x:is>
      </x:c>
      <x:c r="F790" s="31" t="inlineStr">
        <x:is>
          <x:t xml:space="preserve">ОБ-006</x:t>
        </x:is>
      </x:c>
      <x:c r="G790" s="31" t="inlineStr">
        <x:is>
          <x:t xml:space="preserve">СОТР-095</x:t>
        </x:is>
      </x:c>
      <x:c r="H790" s="31" t="inlineStr">
        <x:is>
          <x:t xml:space="preserve">ОТК</x:t>
        </x:is>
      </x:c>
      <x:c r="I790" s="31" t="n">
        <x:v>3</x:v>
      </x:c>
      <x:c r="J790" s="31" t="n">
        <x:v>3</x:v>
      </x:c>
      <x:c r="K790" s="31" t="n">
        <x:v>22.4</x:v>
      </x:c>
      <x:c r="L790" s="31" t="n">
        <x:v>13.4</x:v>
      </x:c>
      <x:c r="M790" s="31" t="n">
        <x:v>45</x:v>
      </x:c>
      <x:c r="N790" s="31" t="inlineStr">
        <x:is>
          <x:t xml:space="preserve">Ожидание ОТК</x:t>
        </x:is>
      </x:c>
      <x:c r="O790" s="31" t="inlineStr">
        <x:is>
          <x:t xml:space="preserve">Подтверждено мастером</x:t>
        </x:is>
      </x:c>
      <x:c r="P790" s="31" t="inlineStr">
        <x:is>
          <x:t xml:space="preserve">Комментарий смены 855</x:t>
        </x:is>
      </x:c>
    </x:row>
    <x:row r="791">
      <x:c r="A791" s="31" t="inlineStr">
        <x:is>
          <x:t xml:space="preserve">СМ-00856</x:t>
        </x:is>
      </x:c>
      <x:c r="B791" s="31" t="n">
        <x:v>46151</x:v>
      </x:c>
      <x:c r="C791" s="31" t="inlineStr">
        <x:is>
          <x:t xml:space="preserve">Вечер</x:t>
        </x:is>
      </x:c>
      <x:c r="D791" s="31" t="inlineStr">
        <x:is>
          <x:t xml:space="preserve">ПЗ-00251</x:t>
        </x:is>
      </x:c>
      <x:c r="E791" s="31" t="inlineStr">
        <x:is>
          <x:t xml:space="preserve">ОП-002099</x:t>
        </x:is>
      </x:c>
      <x:c r="F791" s="31" t="inlineStr">
        <x:is>
          <x:t xml:space="preserve">ОБ-027</x:t>
        </x:is>
      </x:c>
      <x:c r="G791" s="31" t="inlineStr">
        <x:is>
          <x:t xml:space="preserve">СОТР-088</x:t>
        </x:is>
      </x:c>
      <x:c r="H791" s="31" t="inlineStr">
        <x:is>
          <x:t xml:space="preserve">Сборка</x:t>
        </x:is>
      </x:c>
      <x:c r="I791" s="31" t="n">
        <x:v>1</x:v>
      </x:c>
      <x:c r="J791" s="31" t="n">
        <x:v>0</x:v>
      </x:c>
      <x:c r="K791" s="31" t="n">
        <x:v>37</x:v>
      </x:c>
      <x:c r="L791" s="31" t="n">
        <x:v>46.8</x:v>
      </x:c>
      <x:c r="M791" s="31" t="n">
        <x:v>0</x:v>
      </x:c>
      <x:c r="N791" s="31" t="inlineStr">
        <x:is>
          <x:t xml:space="preserve">Нет</x:t>
        </x:is>
      </x:c>
      <x:c r="O791" s="31" t="inlineStr">
        <x:is>
          <x:t xml:space="preserve">Черновик</x:t>
        </x:is>
      </x:c>
      <x:c r="P791" s="31" t="inlineStr">
        <x:is>
          <x:t xml:space="preserve">Комментарий смены 856</x:t>
        </x:is>
      </x:c>
    </x:row>
    <x:row r="792">
      <x:c r="A792" s="31" t="inlineStr">
        <x:is>
          <x:t xml:space="preserve">СМ-00857</x:t>
        </x:is>
      </x:c>
      <x:c r="B792" s="31" t="n">
        <x:v>46100</x:v>
      </x:c>
      <x:c r="C792" s="31" t="inlineStr">
        <x:is>
          <x:t xml:space="preserve">Ночь</x:t>
        </x:is>
      </x:c>
      <x:c r="D792" s="31" t="inlineStr">
        <x:is>
          <x:t xml:space="preserve">ПЗ-00180</x:t>
        </x:is>
      </x:c>
      <x:c r="E792" s="31" t="inlineStr">
        <x:is>
          <x:t xml:space="preserve">ОП-001492</x:t>
        </x:is>
      </x:c>
      <x:c r="F792" s="31" t="inlineStr">
        <x:is>
          <x:t xml:space="preserve">ОБ-035</x:t>
        </x:is>
      </x:c>
      <x:c r="G792" s="31" t="inlineStr">
        <x:is>
          <x:t xml:space="preserve">СОТР-071</x:t>
        </x:is>
      </x:c>
      <x:c r="H792" s="31" t="inlineStr">
        <x:is>
          <x:t xml:space="preserve">Сварка</x:t>
        </x:is>
      </x:c>
      <x:c r="I792" s="31" t="n">
        <x:v>3</x:v>
      </x:c>
      <x:c r="J792" s="31" t="n">
        <x:v>3</x:v>
      </x:c>
      <x:c r="K792" s="31" t="n">
        <x:v>9.199999999999999</x:v>
      </x:c>
      <x:c r="L792" s="31" t="n">
        <x:v>9.300000000000001</x:v>
      </x:c>
      <x:c r="M792" s="31" t="n">
        <x:v>0</x:v>
      </x:c>
      <x:c r="N792" s="31" t="inlineStr">
        <x:is>
          <x:t xml:space="preserve">Нет</x:t>
        </x:is>
      </x:c>
      <x:c r="O792" s="31" t="inlineStr">
        <x:is>
          <x:t xml:space="preserve">Подтверждено мастером</x:t>
        </x:is>
      </x:c>
      <x:c r="P792" s="31" t="inlineStr">
        <x:is>
          <x:t xml:space="preserve">Комментарий смены 857</x:t>
        </x:is>
      </x:c>
    </x:row>
    <x:row r="793">
      <x:c r="A793" s="31" t="inlineStr">
        <x:is>
          <x:t xml:space="preserve">СМ-00858</x:t>
        </x:is>
      </x:c>
      <x:c r="B793" s="31" t="n">
        <x:v>46211</x:v>
      </x:c>
      <x:c r="C793" s="31" t="inlineStr">
        <x:is>
          <x:t xml:space="preserve">Вечер</x:t>
        </x:is>
      </x:c>
      <x:c r="D793" s="31" t="inlineStr">
        <x:is>
          <x:t xml:space="preserve">ПЗ-00222</x:t>
        </x:is>
      </x:c>
      <x:c r="E793" s="31" t="inlineStr">
        <x:is>
          <x:t xml:space="preserve">ОП-001860</x:t>
        </x:is>
      </x:c>
      <x:c r="F793" s="31" t="inlineStr">
        <x:is>
          <x:t xml:space="preserve">ОБ-025</x:t>
        </x:is>
      </x:c>
      <x:c r="G793" s="31" t="inlineStr">
        <x:is>
          <x:t xml:space="preserve">СОТР-036</x:t>
        </x:is>
      </x:c>
      <x:c r="H793" s="31" t="inlineStr">
        <x:is>
          <x:t xml:space="preserve">Склад</x:t>
        </x:is>
      </x:c>
      <x:c r="I793" s="31" t="n">
        <x:v>4</x:v>
      </x:c>
      <x:c r="J793" s="31" t="n">
        <x:v>4</x:v>
      </x:c>
      <x:c r="K793" s="31" t="n">
        <x:v>17.6</x:v>
      </x:c>
      <x:c r="L793" s="31" t="n">
        <x:v>18.1</x:v>
      </x:c>
      <x:c r="M793" s="31" t="n">
        <x:v>0</x:v>
      </x:c>
      <x:c r="N793" s="31" t="inlineStr">
        <x:is>
          <x:t xml:space="preserve">Нет</x:t>
        </x:is>
      </x:c>
      <x:c r="O793" s="31" t="inlineStr">
        <x:is>
          <x:t xml:space="preserve">Подтверждено мастером</x:t>
        </x:is>
      </x:c>
      <x:c r="P793" s="31" t="inlineStr">
        <x:is>
          <x:t xml:space="preserve">Комментарий смены 858</x:t>
        </x:is>
      </x:c>
    </x:row>
    <x:row r="794">
      <x:c r="A794" s="31" t="inlineStr">
        <x:is>
          <x:t xml:space="preserve">СМ-00859</x:t>
        </x:is>
      </x:c>
      <x:c r="B794" s="31" t="n">
        <x:v>46152</x:v>
      </x:c>
      <x:c r="C794" s="31" t="inlineStr">
        <x:is>
          <x:t xml:space="preserve">День</x:t>
        </x:is>
      </x:c>
      <x:c r="D794" s="31" t="inlineStr">
        <x:is>
          <x:t xml:space="preserve">ПЗ-00188</x:t>
        </x:is>
      </x:c>
      <x:c r="E794" s="31" t="inlineStr">
        <x:is>
          <x:t xml:space="preserve">ОП-001567</x:t>
        </x:is>
      </x:c>
      <x:c r="F794" s="31" t="inlineStr">
        <x:is>
          <x:t xml:space="preserve">ОБ-034</x:t>
        </x:is>
      </x:c>
      <x:c r="G794" s="31" t="inlineStr">
        <x:is>
          <x:t xml:space="preserve">СОТР-080</x:t>
        </x:is>
      </x:c>
      <x:c r="H794" s="31" t="inlineStr">
        <x:is>
          <x:t xml:space="preserve">Сборка</x:t>
        </x:is>
      </x:c>
      <x:c r="I794" s="31" t="n">
        <x:v>1</x:v>
      </x:c>
      <x:c r="J794" s="31" t="n">
        <x:v>2</x:v>
      </x:c>
      <x:c r="K794" s="31" t="n">
        <x:v>2.1</x:v>
      </x:c>
      <x:c r="L794" s="31" t="n">
        <x:v>2.4</x:v>
      </x:c>
      <x:c r="M794" s="31" t="n">
        <x:v>0</x:v>
      </x:c>
      <x:c r="N794" s="31" t="inlineStr">
        <x:is>
          <x:t xml:space="preserve">Нет</x:t>
        </x:is>
      </x:c>
      <x:c r="O794" s="31" t="inlineStr">
        <x:is>
          <x:t xml:space="preserve">Спорный факт</x:t>
        </x:is>
      </x:c>
      <x:c r="P794" s="31" t="inlineStr">
        <x:is>
          <x:t xml:space="preserve">Комментарий смены 859</x:t>
        </x:is>
      </x:c>
    </x:row>
    <x:row r="795">
      <x:c r="A795" s="31" t="inlineStr">
        <x:is>
          <x:t xml:space="preserve">СМ-00860</x:t>
        </x:is>
      </x:c>
      <x:c r="B795" s="31" t="n">
        <x:v>46054</x:v>
      </x:c>
      <x:c r="C795" s="31" t="inlineStr">
        <x:is>
          <x:t xml:space="preserve">День</x:t>
        </x:is>
      </x:c>
      <x:c r="D795" s="31" t="inlineStr">
        <x:is>
          <x:t xml:space="preserve">ПЗ-00219</x:t>
        </x:is>
      </x:c>
      <x:c r="E795" s="31" t="inlineStr">
        <x:is>
          <x:t xml:space="preserve">ОП-001838</x:t>
        </x:is>
      </x:c>
      <x:c r="F795" s="31" t="inlineStr">
        <x:is>
          <x:t xml:space="preserve">ОБ-021</x:t>
        </x:is>
      </x:c>
      <x:c r="G795" s="31" t="inlineStr">
        <x:is>
          <x:t xml:space="preserve">СОТР-057</x:t>
        </x:is>
      </x:c>
      <x:c r="H795" s="31" t="inlineStr">
        <x:is>
          <x:t xml:space="preserve">Сварка</x:t>
        </x:is>
      </x:c>
      <x:c r="I795" s="31" t="n">
        <x:v>1</x:v>
      </x:c>
      <x:c r="J795" s="31" t="n">
        <x:v>1</x:v>
      </x:c>
      <x:c r="K795" s="31" t="n">
        <x:v>40.6</x:v>
      </x:c>
      <x:c r="L795" s="31" t="n">
        <x:v>34.2</x:v>
      </x:c>
      <x:c r="M795" s="31" t="n">
        <x:v>0</x:v>
      </x:c>
      <x:c r="N795" s="31" t="inlineStr">
        <x:is>
          <x:t xml:space="preserve">Нет</x:t>
        </x:is>
      </x:c>
      <x:c r="O795" s="31" t="inlineStr">
        <x:is>
          <x:t xml:space="preserve">Закрыто</x:t>
        </x:is>
      </x:c>
      <x:c r="P795" s="31" t="inlineStr">
        <x:is>
          <x:t xml:space="preserve">Комментарий смены 860</x:t>
        </x:is>
      </x:c>
    </x:row>
    <x:row r="796">
      <x:c r="A796" s="31" t="inlineStr">
        <x:is>
          <x:t xml:space="preserve">СМ-00861</x:t>
        </x:is>
      </x:c>
      <x:c r="B796" s="31" t="n">
        <x:v>46213</x:v>
      </x:c>
      <x:c r="C796" s="31" t="inlineStr">
        <x:is>
          <x:t xml:space="preserve">День</x:t>
        </x:is>
      </x:c>
      <x:c r="D796" s="31" t="inlineStr">
        <x:is>
          <x:t xml:space="preserve">ПЗ-00158</x:t>
        </x:is>
      </x:c>
      <x:c r="E796" s="31" t="inlineStr">
        <x:is>
          <x:t xml:space="preserve">ОП-001307</x:t>
        </x:is>
      </x:c>
      <x:c r="F796" s="31" t="inlineStr">
        <x:is>
          <x:t xml:space="preserve">ОБ-034</x:t>
        </x:is>
      </x:c>
      <x:c r="G796" s="31" t="inlineStr">
        <x:is>
          <x:t xml:space="preserve">СОТР-086</x:t>
        </x:is>
      </x:c>
      <x:c r="H796" s="31" t="inlineStr">
        <x:is>
          <x:t xml:space="preserve">Сборка</x:t>
        </x:is>
      </x:c>
      <x:c r="I796" s="31" t="n">
        <x:v>2</x:v>
      </x:c>
      <x:c r="J796" s="31" t="n">
        <x:v>2</x:v>
      </x:c>
      <x:c r="K796" s="31" t="n">
        <x:v>31.6</x:v>
      </x:c>
      <x:c r="L796" s="31" t="n">
        <x:v>29.8</x:v>
      </x:c>
      <x:c r="M796" s="31" t="n">
        <x:v>45</x:v>
      </x:c>
      <x:c r="N796" s="31" t="inlineStr">
        <x:is>
          <x:t xml:space="preserve">Ожидание ОТК</x:t>
        </x:is>
      </x:c>
      <x:c r="O796" s="31" t="inlineStr">
        <x:is>
          <x:t xml:space="preserve">Подтверждено мастером</x:t>
        </x:is>
      </x:c>
      <x:c r="P796" s="31" t="inlineStr">
        <x:is>
          <x:t xml:space="preserve">Комментарий смены 861</x:t>
        </x:is>
      </x:c>
    </x:row>
    <x:row r="797">
      <x:c r="A797" s="31" t="inlineStr">
        <x:is>
          <x:t xml:space="preserve">СМ-00862</x:t>
        </x:is>
      </x:c>
      <x:c r="B797" s="31" t="n">
        <x:v>46229</x:v>
      </x:c>
      <x:c r="C797" s="31" t="inlineStr">
        <x:is>
          <x:t xml:space="preserve">Вечер</x:t>
        </x:is>
      </x:c>
      <x:c r="D797" s="31" t="inlineStr">
        <x:is>
          <x:t xml:space="preserve">ПЗ-00156</x:t>
        </x:is>
      </x:c>
      <x:c r="E797" s="31" t="inlineStr">
        <x:is>
          <x:t xml:space="preserve">ОП-001290</x:t>
        </x:is>
      </x:c>
      <x:c r="F797" s="31" t="inlineStr">
        <x:is>
          <x:t xml:space="preserve">ОБ-014</x:t>
        </x:is>
      </x:c>
      <x:c r="G797" s="31" t="inlineStr">
        <x:is>
          <x:t xml:space="preserve">СОТР-087</x:t>
        </x:is>
      </x:c>
      <x:c r="H797" s="31" t="inlineStr">
        <x:is>
          <x:t xml:space="preserve">Сборка</x:t>
        </x:is>
      </x:c>
      <x:c r="I797" s="31" t="n">
        <x:v>3</x:v>
      </x:c>
      <x:c r="J797" s="31" t="n">
        <x:v>3</x:v>
      </x:c>
      <x:c r="K797" s="31" t="n">
        <x:v>69.59999999999999</x:v>
      </x:c>
      <x:c r="L797" s="31" t="n">
        <x:v>56.1</x:v>
      </x:c>
      <x:c r="M797" s="31" t="n">
        <x:v>45</x:v>
      </x:c>
      <x:c r="N797" s="31" t="inlineStr">
        <x:is>
          <x:t xml:space="preserve">Переналадка</x:t>
        </x:is>
      </x:c>
      <x:c r="O797" s="31" t="inlineStr">
        <x:is>
          <x:t xml:space="preserve">Черновик</x:t>
        </x:is>
      </x:c>
      <x:c r="P797" s="31" t="inlineStr">
        <x:is>
          <x:t xml:space="preserve">Комментарий смены 862</x:t>
        </x:is>
      </x:c>
    </x:row>
    <x:row r="798">
      <x:c r="A798" s="31" t="inlineStr">
        <x:is>
          <x:t xml:space="preserve">СМ-00863</x:t>
        </x:is>
      </x:c>
      <x:c r="B798" s="31" t="n">
        <x:v>46093</x:v>
      </x:c>
      <x:c r="C798" s="31" t="inlineStr">
        <x:is>
          <x:t xml:space="preserve">День</x:t>
        </x:is>
      </x:c>
      <x:c r="D798" s="31" t="inlineStr">
        <x:is>
          <x:t xml:space="preserve">ПЗ-00208</x:t>
        </x:is>
      </x:c>
      <x:c r="E798" s="31" t="inlineStr">
        <x:is>
          <x:t xml:space="preserve">ОП-001746</x:t>
        </x:is>
      </x:c>
      <x:c r="F798" s="31" t="inlineStr">
        <x:is>
          <x:t xml:space="preserve">ОБ-007</x:t>
        </x:is>
      </x:c>
      <x:c r="G798" s="31" t="inlineStr">
        <x:is>
          <x:t xml:space="preserve">СОТР-095</x:t>
        </x:is>
      </x:c>
      <x:c r="H798" s="31" t="inlineStr">
        <x:is>
          <x:t xml:space="preserve">ОТК</x:t>
        </x:is>
      </x:c>
      <x:c r="I798" s="31" t="n">
        <x:v>1</x:v>
      </x:c>
      <x:c r="J798" s="31" t="n">
        <x:v>1</x:v>
      </x:c>
      <x:c r="K798" s="31" t="n">
        <x:v>8.6</x:v>
      </x:c>
      <x:c r="L798" s="31" t="n">
        <x:v>10.2</x:v>
      </x:c>
      <x:c r="M798" s="31" t="n">
        <x:v>15</x:v>
      </x:c>
      <x:c r="N798" s="31" t="inlineStr">
        <x:is>
          <x:t xml:space="preserve">Переналадка</x:t>
        </x:is>
      </x:c>
      <x:c r="O798" s="31" t="inlineStr">
        <x:is>
          <x:t xml:space="preserve">Черновик</x:t>
        </x:is>
      </x:c>
      <x:c r="P798" s="31" t="inlineStr">
        <x:is>
          <x:t xml:space="preserve">Комментарий смены 863</x:t>
        </x:is>
      </x:c>
    </x:row>
    <x:row r="799">
      <x:c r="A799" s="31" t="inlineStr">
        <x:is>
          <x:t xml:space="preserve">СМ-00864</x:t>
        </x:is>
      </x:c>
      <x:c r="B799" s="31" t="n">
        <x:v>46101</x:v>
      </x:c>
      <x:c r="C799" s="31" t="inlineStr">
        <x:is>
          <x:t xml:space="preserve">Ночь</x:t>
        </x:is>
      </x:c>
      <x:c r="D799" s="31" t="inlineStr">
        <x:is>
          <x:t xml:space="preserve">ПЗ-00055</x:t>
        </x:is>
      </x:c>
      <x:c r="E799" s="31" t="inlineStr">
        <x:is>
          <x:t xml:space="preserve">ОП-000458</x:t>
        </x:is>
      </x:c>
      <x:c r="F799" s="31" t="inlineStr">
        <x:is>
          <x:t xml:space="preserve">ОБ-005</x:t>
        </x:is>
      </x:c>
      <x:c r="G799" s="31" t="inlineStr">
        <x:is>
          <x:t xml:space="preserve">СОТР-086</x:t>
        </x:is>
      </x:c>
      <x:c r="H799" s="31" t="inlineStr">
        <x:is>
          <x:t xml:space="preserve">Сборка</x:t>
        </x:is>
      </x:c>
      <x:c r="I799" s="31" t="n">
        <x:v>1</x:v>
      </x:c>
      <x:c r="J799" s="31" t="n">
        <x:v>1</x:v>
      </x:c>
      <x:c r="K799" s="31" t="n">
        <x:v>13.3</x:v>
      </x:c>
      <x:c r="L799" s="31" t="n">
        <x:v>16.7</x:v>
      </x:c>
      <x:c r="M799" s="31" t="n">
        <x:v>0</x:v>
      </x:c>
      <x:c r="N799" s="31" t="inlineStr">
        <x:is>
          <x:t xml:space="preserve">Нет</x:t>
        </x:is>
      </x:c>
      <x:c r="O799" s="31" t="inlineStr">
        <x:is>
          <x:t xml:space="preserve">Подтверждено мастером</x:t>
        </x:is>
      </x:c>
      <x:c r="P799" s="31" t="inlineStr">
        <x:is>
          <x:t xml:space="preserve">Комментарий смены 864</x:t>
        </x:is>
      </x:c>
    </x:row>
    <x:row r="800">
      <x:c r="A800" s="31" t="inlineStr">
        <x:is>
          <x:t xml:space="preserve">СМ-00865</x:t>
        </x:is>
      </x:c>
      <x:c r="B800" s="31" t="n">
        <x:v>46119</x:v>
      </x:c>
      <x:c r="C800" s="31" t="inlineStr">
        <x:is>
          <x:t xml:space="preserve">День</x:t>
        </x:is>
      </x:c>
      <x:c r="D800" s="31" t="inlineStr">
        <x:is>
          <x:t xml:space="preserve">ПЗ-00008</x:t>
        </x:is>
      </x:c>
      <x:c r="E800" s="31" t="inlineStr">
        <x:is>
          <x:t xml:space="preserve">ОП-000060</x:t>
        </x:is>
      </x:c>
      <x:c r="F800" s="31" t="inlineStr">
        <x:is>
          <x:t xml:space="preserve">ОБ-011</x:t>
        </x:is>
      </x:c>
      <x:c r="G800" s="31" t="inlineStr">
        <x:is>
          <x:t xml:space="preserve">СОТР-037</x:t>
        </x:is>
      </x:c>
      <x:c r="H800" s="31" t="inlineStr">
        <x:is>
          <x:t xml:space="preserve">Склад</x:t>
        </x:is>
      </x:c>
      <x:c r="I800" s="31" t="n">
        <x:v>2</x:v>
      </x:c>
      <x:c r="J800" s="31" t="n">
        <x:v>3</x:v>
      </x:c>
      <x:c r="K800" s="31" t="n">
        <x:v>14.2</x:v>
      </x:c>
      <x:c r="L800" s="31" t="n">
        <x:v>19.1</x:v>
      </x:c>
      <x:c r="M800" s="31" t="n">
        <x:v>0</x:v>
      </x:c>
      <x:c r="N800" s="31" t="inlineStr">
        <x:is>
          <x:t xml:space="preserve">Нет</x:t>
        </x:is>
      </x:c>
      <x:c r="O800" s="31" t="inlineStr">
        <x:is>
          <x:t xml:space="preserve">Черновик</x:t>
        </x:is>
      </x:c>
      <x:c r="P800" s="31" t="inlineStr">
        <x:is>
          <x:t xml:space="preserve">Комментарий смены 865</x:t>
        </x:is>
      </x:c>
    </x:row>
    <x:row r="801">
      <x:c r="A801" s="31" t="inlineStr">
        <x:is>
          <x:t xml:space="preserve">СМ-00866</x:t>
        </x:is>
      </x:c>
      <x:c r="B801" s="31" t="n">
        <x:v>46120</x:v>
      </x:c>
      <x:c r="C801" s="31" t="inlineStr">
        <x:is>
          <x:t xml:space="preserve">День</x:t>
        </x:is>
      </x:c>
      <x:c r="D801" s="31" t="inlineStr">
        <x:is>
          <x:t xml:space="preserve">ПЗ-00231</x:t>
        </x:is>
      </x:c>
      <x:c r="E801" s="31" t="inlineStr">
        <x:is>
          <x:t xml:space="preserve">ОП-001934</x:t>
        </x:is>
      </x:c>
      <x:c r="F801" s="31" t="inlineStr">
        <x:is>
          <x:t xml:space="preserve">ОБ-018</x:t>
        </x:is>
      </x:c>
      <x:c r="G801" s="31" t="inlineStr">
        <x:is>
          <x:t xml:space="preserve">СОТР-068</x:t>
        </x:is>
      </x:c>
      <x:c r="H801" s="31" t="inlineStr">
        <x:is>
          <x:t xml:space="preserve">Сварка</x:t>
        </x:is>
      </x:c>
      <x:c r="I801" s="31" t="n">
        <x:v>1</x:v>
      </x:c>
      <x:c r="J801" s="31" t="n">
        <x:v>1</x:v>
      </x:c>
      <x:c r="K801" s="31" t="n">
        <x:v>28.6</x:v>
      </x:c>
      <x:c r="L801" s="31" t="n">
        <x:v>25.5</x:v>
      </x:c>
      <x:c r="M801" s="31" t="n">
        <x:v>0</x:v>
      </x:c>
      <x:c r="N801" s="31" t="inlineStr">
        <x:is>
          <x:t xml:space="preserve">Нет</x:t>
        </x:is>
      </x:c>
      <x:c r="O801" s="31" t="inlineStr">
        <x:is>
          <x:t xml:space="preserve">Закрыто</x:t>
        </x:is>
      </x:c>
      <x:c r="P801" s="31" t="inlineStr">
        <x:is>
          <x:t xml:space="preserve">Комментарий смены 866</x:t>
        </x:is>
      </x:c>
    </x:row>
    <x:row r="802">
      <x:c r="A802" s="31" t="inlineStr">
        <x:is>
          <x:t xml:space="preserve">СМ-00868</x:t>
        </x:is>
      </x:c>
      <x:c r="B802" s="31" t="n">
        <x:v>46108</x:v>
      </x:c>
      <x:c r="C802" s="31" t="inlineStr">
        <x:is>
          <x:t xml:space="preserve">Ночь</x:t>
        </x:is>
      </x:c>
      <x:c r="D802" s="31" t="inlineStr">
        <x:is>
          <x:t xml:space="preserve">ПЗ-00102</x:t>
        </x:is>
      </x:c>
      <x:c r="E802" s="31" t="inlineStr">
        <x:is>
          <x:t xml:space="preserve">ОП-000847</x:t>
        </x:is>
      </x:c>
      <x:c r="F802" s="31" t="inlineStr">
        <x:is>
          <x:t xml:space="preserve">ОБ-009</x:t>
        </x:is>
      </x:c>
      <x:c r="G802" s="31" t="inlineStr">
        <x:is>
          <x:t xml:space="preserve">СОТР-035</x:t>
        </x:is>
      </x:c>
      <x:c r="H802" s="31" t="inlineStr">
        <x:is>
          <x:t xml:space="preserve">Склад</x:t>
        </x:is>
      </x:c>
      <x:c r="I802" s="31" t="n">
        <x:v>4</x:v>
      </x:c>
      <x:c r="J802" s="31" t="n">
        <x:v>4</x:v>
      </x:c>
      <x:c r="K802" s="31" t="n">
        <x:v>40</x:v>
      </x:c>
      <x:c r="L802" s="31" t="n">
        <x:v>34.7</x:v>
      </x:c>
      <x:c r="M802" s="31" t="n">
        <x:v>0</x:v>
      </x:c>
      <x:c r="N802" s="31" t="inlineStr">
        <x:is>
          <x:t xml:space="preserve">Нет</x:t>
        </x:is>
      </x:c>
      <x:c r="O802" s="31" t="inlineStr">
        <x:is>
          <x:t xml:space="preserve">Подтверждено мастером</x:t>
        </x:is>
      </x:c>
      <x:c r="P802" s="31" t="inlineStr">
        <x:is>
          <x:t xml:space="preserve">Комментарий смены 868</x:t>
        </x:is>
      </x:c>
    </x:row>
    <x:row r="803">
      <x:c r="A803" s="31" t="inlineStr">
        <x:is>
          <x:t xml:space="preserve">СМ-00869</x:t>
        </x:is>
      </x:c>
      <x:c r="B803" s="31" t="n">
        <x:v>46071</x:v>
      </x:c>
      <x:c r="C803" s="31" t="inlineStr">
        <x:is>
          <x:t xml:space="preserve">Ночь</x:t>
        </x:is>
      </x:c>
      <x:c r="D803" s="31" t="inlineStr">
        <x:is>
          <x:t xml:space="preserve">ПЗ-00218</x:t>
        </x:is>
      </x:c>
      <x:c r="E803" s="31" t="inlineStr">
        <x:is>
          <x:t xml:space="preserve">ОП-001835</x:t>
        </x:is>
      </x:c>
      <x:c r="F803" s="31" t="inlineStr">
        <x:is>
          <x:t xml:space="preserve">ОБ-015</x:t>
        </x:is>
      </x:c>
      <x:c r="G803" s="31" t="inlineStr">
        <x:is>
          <x:t xml:space="preserve">СОТР-095</x:t>
        </x:is>
      </x:c>
      <x:c r="H803" s="31" t="inlineStr">
        <x:is>
          <x:t xml:space="preserve">ОТК</x:t>
        </x:is>
      </x:c>
      <x:c r="I803" s="31" t="n">
        <x:v>2</x:v>
      </x:c>
      <x:c r="J803" s="31" t="n">
        <x:v>2</x:v>
      </x:c>
      <x:c r="K803" s="31" t="n">
        <x:v>18.2</x:v>
      </x:c>
      <x:c r="L803" s="31" t="n">
        <x:v>23.7</x:v>
      </x:c>
      <x:c r="M803" s="31" t="n">
        <x:v>30</x:v>
      </x:c>
      <x:c r="N803" s="31" t="inlineStr">
        <x:is>
          <x:t xml:space="preserve">Ожидание ОТК</x:t>
        </x:is>
      </x:c>
      <x:c r="O803" s="31" t="inlineStr">
        <x:is>
          <x:t xml:space="preserve">Подтверждено мастером</x:t>
        </x:is>
      </x:c>
      <x:c r="P803" s="31" t="inlineStr">
        <x:is>
          <x:t xml:space="preserve">Комментарий смены 869</x:t>
        </x:is>
      </x:c>
    </x:row>
    <x:row r="804">
      <x:c r="A804" s="31" t="inlineStr">
        <x:is>
          <x:t xml:space="preserve">СМ-00870</x:t>
        </x:is>
      </x:c>
      <x:c r="B804" s="31" t="n">
        <x:v>46138</x:v>
      </x:c>
      <x:c r="C804" s="31" t="inlineStr">
        <x:is>
          <x:t xml:space="preserve">День</x:t>
        </x:is>
      </x:c>
      <x:c r="D804" s="31" t="inlineStr">
        <x:is>
          <x:t xml:space="preserve">ПЗ-00028</x:t>
        </x:is>
      </x:c>
      <x:c r="E804" s="31" t="inlineStr">
        <x:is>
          <x:t xml:space="preserve">ОП-000239</x:t>
        </x:is>
      </x:c>
      <x:c r="F804" s="31" t="inlineStr">
        <x:is>
          <x:t xml:space="preserve">ОБ-021</x:t>
        </x:is>
      </x:c>
      <x:c r="G804" s="31" t="inlineStr">
        <x:is>
          <x:t xml:space="preserve">СОТР-061</x:t>
        </x:is>
      </x:c>
      <x:c r="H804" s="31" t="inlineStr">
        <x:is>
          <x:t xml:space="preserve">Сварка</x:t>
        </x:is>
      </x:c>
      <x:c r="I804" s="31" t="n">
        <x:v>3</x:v>
      </x:c>
      <x:c r="J804" s="31" t="n">
        <x:v>4</x:v>
      </x:c>
      <x:c r="K804" s="31" t="n">
        <x:v>20</x:v>
      </x:c>
      <x:c r="L804" s="31" t="n">
        <x:v>22.3</x:v>
      </x:c>
      <x:c r="M804" s="31" t="n">
        <x:v>120</x:v>
      </x:c>
      <x:c r="N804" s="31" t="inlineStr">
        <x:is>
          <x:t xml:space="preserve">Ожидание ОТК</x:t>
        </x:is>
      </x:c>
      <x:c r="O804" s="31" t="inlineStr">
        <x:is>
          <x:t xml:space="preserve">Подтверждено мастером</x:t>
        </x:is>
      </x:c>
      <x:c r="P804" s="31" t="inlineStr">
        <x:is>
          <x:t xml:space="preserve">Комментарий смены 870</x:t>
        </x:is>
      </x:c>
    </x:row>
    <x:row r="805">
      <x:c r="A805" s="31" t="inlineStr">
        <x:is>
          <x:t xml:space="preserve">СМ-00871</x:t>
        </x:is>
      </x:c>
      <x:c r="B805" s="31" t="n">
        <x:v>46210</x:v>
      </x:c>
      <x:c r="C805" s="31" t="inlineStr">
        <x:is>
          <x:t xml:space="preserve">День</x:t>
        </x:is>
      </x:c>
      <x:c r="D805" s="31" t="inlineStr">
        <x:is>
          <x:t xml:space="preserve">ПЗ-00156</x:t>
        </x:is>
      </x:c>
      <x:c r="E805" s="31" t="inlineStr">
        <x:is>
          <x:t xml:space="preserve">ОП-001286</x:t>
        </x:is>
      </x:c>
      <x:c r="F805" s="31" t="inlineStr">
        <x:is>
          <x:t xml:space="preserve">ОБ-003</x:t>
        </x:is>
      </x:c>
      <x:c r="G805" s="31" t="inlineStr">
        <x:is>
          <x:t xml:space="preserve">СОТР-065</x:t>
        </x:is>
      </x:c>
      <x:c r="H805" s="31" t="inlineStr">
        <x:is>
          <x:t xml:space="preserve">Сварка</x:t>
        </x:is>
      </x:c>
      <x:c r="I805" s="31" t="n">
        <x:v>1</x:v>
      </x:c>
      <x:c r="J805" s="31" t="n">
        <x:v>2</x:v>
      </x:c>
      <x:c r="K805" s="31" t="n">
        <x:v>45.2</x:v>
      </x:c>
      <x:c r="L805" s="31" t="n">
        <x:v>51.8</x:v>
      </x:c>
      <x:c r="M805" s="31" t="n">
        <x:v>15</x:v>
      </x:c>
      <x:c r="N805" s="31" t="inlineStr">
        <x:is>
          <x:t xml:space="preserve">Нет оператора</x:t>
        </x:is>
      </x:c>
      <x:c r="O805" s="31" t="inlineStr">
        <x:is>
          <x:t xml:space="preserve">Подтверждено мастером</x:t>
        </x:is>
      </x:c>
      <x:c r="P805" s="31" t="inlineStr">
        <x:is>
          <x:t xml:space="preserve">Комментарий смены 871</x:t>
        </x:is>
      </x:c>
    </x:row>
    <x:row r="806">
      <x:c r="A806" s="31" t="inlineStr">
        <x:is>
          <x:t xml:space="preserve">СМ-00873</x:t>
        </x:is>
      </x:c>
      <x:c r="B806" s="31" t="n">
        <x:v>46153</x:v>
      </x:c>
      <x:c r="C806" s="31" t="inlineStr">
        <x:is>
          <x:t xml:space="preserve">День</x:t>
        </x:is>
      </x:c>
      <x:c r="D806" s="31" t="inlineStr">
        <x:is>
          <x:t xml:space="preserve">ПЗ-00191</x:t>
        </x:is>
      </x:c>
      <x:c r="E806" s="31" t="inlineStr">
        <x:is>
          <x:t xml:space="preserve">ОП-001593</x:t>
        </x:is>
      </x:c>
      <x:c r="F806" s="31" t="inlineStr">
        <x:is>
          <x:t xml:space="preserve">ОБ-010</x:t>
        </x:is>
      </x:c>
      <x:c r="G806" s="31" t="inlineStr">
        <x:is>
          <x:t xml:space="preserve">СОТР-067</x:t>
        </x:is>
      </x:c>
      <x:c r="H806" s="31" t="inlineStr">
        <x:is>
          <x:t xml:space="preserve">Сварка</x:t>
        </x:is>
      </x:c>
      <x:c r="I806" s="31" t="n">
        <x:v>2</x:v>
      </x:c>
      <x:c r="J806" s="31" t="n">
        <x:v>0</x:v>
      </x:c>
      <x:c r="K806" s="31" t="n">
        <x:v>70</x:v>
      </x:c>
      <x:c r="L806" s="31" t="n">
        <x:v>65.2</x:v>
      </x:c>
      <x:c r="M806" s="31" t="n">
        <x:v>45</x:v>
      </x:c>
      <x:c r="N806" s="31" t="inlineStr">
        <x:is>
          <x:t xml:space="preserve">Ремонт оборудования</x:t>
        </x:is>
      </x:c>
      <x:c r="O806" s="31" t="inlineStr">
        <x:is>
          <x:t xml:space="preserve">Подтверждено мастером</x:t>
        </x:is>
      </x:c>
      <x:c r="P806" s="31" t="inlineStr">
        <x:is>
          <x:t xml:space="preserve">Комментарий смены 873</x:t>
        </x:is>
      </x:c>
    </x:row>
    <x:row r="807">
      <x:c r="A807" s="31" t="inlineStr">
        <x:is>
          <x:t xml:space="preserve">СМ-00874</x:t>
        </x:is>
      </x:c>
      <x:c r="B807" s="31" t="n">
        <x:v>46146</x:v>
      </x:c>
      <x:c r="C807" s="31" t="inlineStr">
        <x:is>
          <x:t xml:space="preserve">День</x:t>
        </x:is>
      </x:c>
      <x:c r="D807" s="31" t="inlineStr">
        <x:is>
          <x:t xml:space="preserve">ПЗ-00058</x:t>
        </x:is>
      </x:c>
      <x:c r="E807" s="31" t="inlineStr">
        <x:is>
          <x:t xml:space="preserve">ОП-000489</x:t>
        </x:is>
      </x:c>
      <x:c r="F807" s="31" t="inlineStr">
        <x:is>
          <x:t xml:space="preserve">ОБ-006</x:t>
        </x:is>
      </x:c>
      <x:c r="G807" s="31" t="inlineStr">
        <x:is>
          <x:t xml:space="preserve">СОТР-100</x:t>
        </x:is>
      </x:c>
      <x:c r="H807" s="31" t="inlineStr">
        <x:is>
          <x:t xml:space="preserve">ОТК</x:t>
        </x:is>
      </x:c>
      <x:c r="I807" s="31" t="n">
        <x:v>2</x:v>
      </x:c>
      <x:c r="J807" s="31" t="n">
        <x:v>3</x:v>
      </x:c>
      <x:c r="K807" s="31" t="n">
        <x:v>15.8</x:v>
      </x:c>
      <x:c r="L807" s="31" t="n">
        <x:v>17.3</x:v>
      </x:c>
      <x:c r="M807" s="31" t="n">
        <x:v>120</x:v>
      </x:c>
      <x:c r="N807" s="31" t="inlineStr">
        <x:is>
          <x:t xml:space="preserve">Ожидание ОТК</x:t>
        </x:is>
      </x:c>
      <x:c r="O807" s="31" t="inlineStr">
        <x:is>
          <x:t xml:space="preserve">Подтверждено мастером</x:t>
        </x:is>
      </x:c>
      <x:c r="P807" s="31" t="inlineStr">
        <x:is>
          <x:t xml:space="preserve">Комментарий смены 874</x:t>
        </x:is>
      </x:c>
    </x:row>
    <x:row r="808">
      <x:c r="A808" s="31" t="inlineStr">
        <x:is>
          <x:t xml:space="preserve">СМ-00875</x:t>
        </x:is>
      </x:c>
      <x:c r="B808" s="31" t="n">
        <x:v>46100</x:v>
      </x:c>
      <x:c r="C808" s="31" t="inlineStr">
        <x:is>
          <x:t xml:space="preserve">День</x:t>
        </x:is>
      </x:c>
      <x:c r="D808" s="31" t="inlineStr">
        <x:is>
          <x:t xml:space="preserve">ПЗ-00104</x:t>
        </x:is>
      </x:c>
      <x:c r="E808" s="31" t="inlineStr">
        <x:is>
          <x:t xml:space="preserve">ОП-000868</x:t>
        </x:is>
      </x:c>
      <x:c r="F808" s="31" t="inlineStr">
        <x:is>
          <x:t xml:space="preserve">ОБ-005</x:t>
        </x:is>
      </x:c>
      <x:c r="G808" s="31" t="inlineStr">
        <x:is>
          <x:t xml:space="preserve">СОТР-086</x:t>
        </x:is>
      </x:c>
      <x:c r="H808" s="31" t="inlineStr">
        <x:is>
          <x:t xml:space="preserve">Сборка</x:t>
        </x:is>
      </x:c>
      <x:c r="I808" s="31" t="n">
        <x:v>1</x:v>
      </x:c>
      <x:c r="J808" s="31" t="n">
        <x:v>1</x:v>
      </x:c>
      <x:c r="K808" s="31" t="n">
        <x:v>5.4</x:v>
      </x:c>
      <x:c r="L808" s="31" t="n">
        <x:v>4.6</x:v>
      </x:c>
      <x:c r="M808" s="31" t="n">
        <x:v>0</x:v>
      </x:c>
      <x:c r="N808" s="31" t="inlineStr">
        <x:is>
          <x:t xml:space="preserve">Нет</x:t>
        </x:is>
      </x:c>
      <x:c r="O808" s="31" t="inlineStr">
        <x:is>
          <x:t xml:space="preserve">Подтверждено мастером</x:t>
        </x:is>
      </x:c>
      <x:c r="P808" s="31" t="inlineStr">
        <x:is>
          <x:t xml:space="preserve">Комментарий смены 875</x:t>
        </x:is>
      </x:c>
    </x:row>
    <x:row r="809">
      <x:c r="A809" s="31" t="inlineStr">
        <x:is>
          <x:t xml:space="preserve">СМ-00876</x:t>
        </x:is>
      </x:c>
      <x:c r="B809" s="31" t="n">
        <x:v>46150</x:v>
      </x:c>
      <x:c r="C809" s="31" t="inlineStr">
        <x:is>
          <x:t xml:space="preserve">Ночь</x:t>
        </x:is>
      </x:c>
      <x:c r="D809" s="31" t="inlineStr">
        <x:is>
          <x:t xml:space="preserve">ПЗ-00185</x:t>
        </x:is>
      </x:c>
      <x:c r="E809" s="31" t="inlineStr">
        <x:is>
          <x:t xml:space="preserve">ОП-001543</x:t>
        </x:is>
      </x:c>
      <x:c r="F809" s="31" t="n"/>
      <x:c r="G809" s="31" t="inlineStr">
        <x:is>
          <x:t xml:space="preserve">СОТР-070</x:t>
        </x:is>
      </x:c>
      <x:c r="H809" s="31" t="inlineStr">
        <x:is>
          <x:t xml:space="preserve">Логистика</x:t>
        </x:is>
      </x:c>
      <x:c r="I809" s="31" t="n">
        <x:v>1</x:v>
      </x:c>
      <x:c r="J809" s="31" t="n">
        <x:v>0</x:v>
      </x:c>
      <x:c r="K809" s="31" t="n">
        <x:v>6</x:v>
      </x:c>
      <x:c r="L809" s="31" t="n">
        <x:v>6.4</x:v>
      </x:c>
      <x:c r="M809" s="31" t="n">
        <x:v>0</x:v>
      </x:c>
      <x:c r="N809" s="31" t="inlineStr">
        <x:is>
          <x:t xml:space="preserve">Нет</x:t>
        </x:is>
      </x:c>
      <x:c r="O809" s="31" t="inlineStr">
        <x:is>
          <x:t xml:space="preserve">Подтверждено мастером</x:t>
        </x:is>
      </x:c>
      <x:c r="P809" s="31" t="inlineStr">
        <x:is>
          <x:t xml:space="preserve">Комментарий смены 876</x:t>
        </x:is>
      </x:c>
    </x:row>
    <x:row r="810">
      <x:c r="A810" s="31" t="inlineStr">
        <x:is>
          <x:t xml:space="preserve">СМ-00877</x:t>
        </x:is>
      </x:c>
      <x:c r="B810" s="31" t="n">
        <x:v>46077</x:v>
      </x:c>
      <x:c r="C810" s="31" t="inlineStr">
        <x:is>
          <x:t xml:space="preserve">День</x:t>
        </x:is>
      </x:c>
      <x:c r="D810" s="31" t="inlineStr">
        <x:is>
          <x:t xml:space="preserve">ПЗ-00046</x:t>
        </x:is>
      </x:c>
      <x:c r="E810" s="31" t="inlineStr">
        <x:is>
          <x:t xml:space="preserve">ОП-000388</x:t>
        </x:is>
      </x:c>
      <x:c r="F810" s="31" t="inlineStr">
        <x:is>
          <x:t xml:space="preserve">ОБ-014</x:t>
        </x:is>
      </x:c>
      <x:c r="G810" s="31" t="inlineStr">
        <x:is>
          <x:t xml:space="preserve">СОТР-081</x:t>
        </x:is>
      </x:c>
      <x:c r="H810" s="31" t="inlineStr">
        <x:is>
          <x:t xml:space="preserve">Сборка</x:t>
        </x:is>
      </x:c>
      <x:c r="I810" s="31" t="n">
        <x:v>1</x:v>
      </x:c>
      <x:c r="J810" s="31" t="n">
        <x:v>0</x:v>
      </x:c>
      <x:c r="K810" s="31" t="n">
        <x:v>43.2</x:v>
      </x:c>
      <x:c r="L810" s="31" t="n">
        <x:v>42.5</x:v>
      </x:c>
      <x:c r="M810" s="31" t="n">
        <x:v>30</x:v>
      </x:c>
      <x:c r="N810" s="31" t="inlineStr">
        <x:is>
          <x:t xml:space="preserve">Переналадка</x:t>
        </x:is>
      </x:c>
      <x:c r="O810" s="31" t="inlineStr">
        <x:is>
          <x:t xml:space="preserve">Подтверждено мастером</x:t>
        </x:is>
      </x:c>
      <x:c r="P810" s="31" t="inlineStr">
        <x:is>
          <x:t xml:space="preserve">Комментарий смены 877</x:t>
        </x:is>
      </x:c>
    </x:row>
    <x:row r="811">
      <x:c r="A811" s="31" t="inlineStr">
        <x:is>
          <x:t xml:space="preserve">СМ-00878</x:t>
        </x:is>
      </x:c>
      <x:c r="B811" s="31" t="n">
        <x:v>46125</x:v>
      </x:c>
      <x:c r="C811" s="31" t="inlineStr">
        <x:is>
          <x:t xml:space="preserve">Ночь</x:t>
        </x:is>
      </x:c>
      <x:c r="D811" s="31" t="inlineStr">
        <x:is>
          <x:t xml:space="preserve">ПЗ-00076</x:t>
        </x:is>
      </x:c>
      <x:c r="E811" s="31" t="inlineStr">
        <x:is>
          <x:t xml:space="preserve">ОП-000649</x:t>
        </x:is>
      </x:c>
      <x:c r="F811" s="31" t="n"/>
      <x:c r="G811" s="31" t="inlineStr">
        <x:is>
          <x:t xml:space="preserve">СОТР-105</x:t>
        </x:is>
      </x:c>
      <x:c r="H811" s="31" t="inlineStr">
        <x:is>
          <x:t xml:space="preserve">Логистика</x:t>
        </x:is>
      </x:c>
      <x:c r="I811" s="31" t="n">
        <x:v>3</x:v>
      </x:c>
      <x:c r="J811" s="31" t="n">
        <x:v>2</x:v>
      </x:c>
      <x:c r="K811" s="31" t="n">
        <x:v>17.1</x:v>
      </x:c>
      <x:c r="L811" s="31" t="n">
        <x:v>17.7</x:v>
      </x:c>
      <x:c r="M811" s="31" t="n">
        <x:v>120</x:v>
      </x:c>
      <x:c r="N811" s="31" t="inlineStr">
        <x:is>
          <x:t xml:space="preserve">Ожидание ОТК</x:t>
        </x:is>
      </x:c>
      <x:c r="O811" s="31" t="inlineStr">
        <x:is>
          <x:t xml:space="preserve">Спорный факт</x:t>
        </x:is>
      </x:c>
      <x:c r="P811" s="31" t="inlineStr">
        <x:is>
          <x:t xml:space="preserve">Комментарий смены 878</x:t>
        </x:is>
      </x:c>
    </x:row>
    <x:row r="812">
      <x:c r="A812" s="31" t="inlineStr">
        <x:is>
          <x:t xml:space="preserve">СМ-00879</x:t>
        </x:is>
      </x:c>
      <x:c r="B812" s="31" t="n">
        <x:v>46097</x:v>
      </x:c>
      <x:c r="C812" s="31" t="inlineStr">
        <x:is>
          <x:t xml:space="preserve">День</x:t>
        </x:is>
      </x:c>
      <x:c r="D812" s="31" t="inlineStr">
        <x:is>
          <x:t xml:space="preserve">ПЗ-00246</x:t>
        </x:is>
      </x:c>
      <x:c r="E812" s="31" t="inlineStr">
        <x:is>
          <x:t xml:space="preserve">ОП-002061</x:t>
        </x:is>
      </x:c>
      <x:c r="F812" s="31" t="inlineStr">
        <x:is>
          <x:t xml:space="preserve">ОБ-006</x:t>
        </x:is>
      </x:c>
      <x:c r="G812" s="31" t="inlineStr">
        <x:is>
          <x:t xml:space="preserve">СОТР-096</x:t>
        </x:is>
      </x:c>
      <x:c r="H812" s="31" t="inlineStr">
        <x:is>
          <x:t xml:space="preserve">ОТК</x:t>
        </x:is>
      </x:c>
      <x:c r="I812" s="31" t="n">
        <x:v>2</x:v>
      </x:c>
      <x:c r="J812" s="31" t="n">
        <x:v>2</x:v>
      </x:c>
      <x:c r="K812" s="31" t="n">
        <x:v>20</x:v>
      </x:c>
      <x:c r="L812" s="31" t="n">
        <x:v>19.5</x:v>
      </x:c>
      <x:c r="M812" s="31" t="n">
        <x:v>30</x:v>
      </x:c>
      <x:c r="N812" s="31" t="inlineStr">
        <x:is>
          <x:t xml:space="preserve">Переналадка</x:t>
        </x:is>
      </x:c>
      <x:c r="O812" s="31" t="inlineStr">
        <x:is>
          <x:t xml:space="preserve">Подтверждено мастером</x:t>
        </x:is>
      </x:c>
      <x:c r="P812" s="31" t="inlineStr">
        <x:is>
          <x:t xml:space="preserve">Комментарий смены 879</x:t>
        </x:is>
      </x:c>
    </x:row>
    <x:row r="813">
      <x:c r="A813" s="31" t="inlineStr">
        <x:is>
          <x:t xml:space="preserve">СМ-00880</x:t>
        </x:is>
      </x:c>
      <x:c r="B813" s="31" t="n">
        <x:v>46208</x:v>
      </x:c>
      <x:c r="C813" s="31" t="inlineStr">
        <x:is>
          <x:t xml:space="preserve">День</x:t>
        </x:is>
      </x:c>
      <x:c r="D813" s="31" t="inlineStr">
        <x:is>
          <x:t xml:space="preserve">ПЗ-00150</x:t>
        </x:is>
      </x:c>
      <x:c r="E813" s="31" t="inlineStr">
        <x:is>
          <x:t xml:space="preserve">ОП-001249</x:t>
        </x:is>
      </x:c>
      <x:c r="F813" s="31" t="inlineStr">
        <x:is>
          <x:t xml:space="preserve">ОБ-001</x:t>
        </x:is>
      </x:c>
      <x:c r="G813" s="31" t="inlineStr">
        <x:is>
          <x:t xml:space="preserve">СОТР-100</x:t>
        </x:is>
      </x:c>
      <x:c r="H813" s="31" t="inlineStr">
        <x:is>
          <x:t xml:space="preserve">ОТК</x:t>
        </x:is>
      </x:c>
      <x:c r="I813" s="31" t="n">
        <x:v>10</x:v>
      </x:c>
      <x:c r="J813" s="31" t="n">
        <x:v>0</x:v>
      </x:c>
      <x:c r="K813" s="31" t="n">
        <x:v>65.59999999999999</x:v>
      </x:c>
      <x:c r="L813" s="31" t="n">
        <x:v>43.2</x:v>
      </x:c>
      <x:c r="M813" s="31" t="n">
        <x:v>15</x:v>
      </x:c>
      <x:c r="N813" s="31" t="inlineStr">
        <x:is>
          <x:t xml:space="preserve">Ремонт оборудования</x:t>
        </x:is>
      </x:c>
      <x:c r="O813" s="31" t="inlineStr">
        <x:is>
          <x:t xml:space="preserve">Подтверждено мастером</x:t>
        </x:is>
      </x:c>
      <x:c r="P813" s="31" t="inlineStr">
        <x:is>
          <x:t xml:space="preserve">Комментарий смены 880</x:t>
        </x:is>
      </x:c>
    </x:row>
    <x:row r="814">
      <x:c r="A814" s="31" t="inlineStr">
        <x:is>
          <x:t xml:space="preserve">СМ-00881</x:t>
        </x:is>
      </x:c>
      <x:c r="B814" s="31" t="n">
        <x:v>46162</x:v>
      </x:c>
      <x:c r="C814" s="31" t="inlineStr">
        <x:is>
          <x:t xml:space="preserve">День</x:t>
        </x:is>
      </x:c>
      <x:c r="D814" s="31" t="inlineStr">
        <x:is>
          <x:t xml:space="preserve">ПЗ-00198</x:t>
        </x:is>
      </x:c>
      <x:c r="E814" s="31" t="inlineStr">
        <x:is>
          <x:t xml:space="preserve">ОП-001663</x:t>
        </x:is>
      </x:c>
      <x:c r="F814" s="31" t="inlineStr">
        <x:is>
          <x:t xml:space="preserve">ОБ-028</x:t>
        </x:is>
      </x:c>
      <x:c r="G814" s="31" t="inlineStr">
        <x:is>
          <x:t xml:space="preserve">СОТР-095</x:t>
        </x:is>
      </x:c>
      <x:c r="H814" s="31" t="inlineStr">
        <x:is>
          <x:t xml:space="preserve">ОТК</x:t>
        </x:is>
      </x:c>
      <x:c r="I814" s="31" t="n">
        <x:v>1</x:v>
      </x:c>
      <x:c r="J814" s="31" t="n">
        <x:v>0</x:v>
      </x:c>
      <x:c r="K814" s="31" t="n">
        <x:v>1.8</x:v>
      </x:c>
      <x:c r="L814" s="31" t="n">
        <x:v>2.4</x:v>
      </x:c>
      <x:c r="M814" s="31" t="n">
        <x:v>0</x:v>
      </x:c>
      <x:c r="N814" s="31" t="inlineStr">
        <x:is>
          <x:t xml:space="preserve">Нет</x:t>
        </x:is>
      </x:c>
      <x:c r="O814" s="31" t="inlineStr">
        <x:is>
          <x:t xml:space="preserve">Подтверждено мастером</x:t>
        </x:is>
      </x:c>
      <x:c r="P814" s="31" t="inlineStr">
        <x:is>
          <x:t xml:space="preserve">Комментарий смены 881</x:t>
        </x:is>
      </x:c>
    </x:row>
    <x:row r="815">
      <x:c r="A815" s="31" t="inlineStr">
        <x:is>
          <x:t xml:space="preserve">СМ-00882</x:t>
        </x:is>
      </x:c>
      <x:c r="B815" s="31" t="n">
        <x:v>46171</x:v>
      </x:c>
      <x:c r="C815" s="31" t="inlineStr">
        <x:is>
          <x:t xml:space="preserve">День</x:t>
        </x:is>
      </x:c>
      <x:c r="D815" s="31" t="inlineStr">
        <x:is>
          <x:t xml:space="preserve">ПЗ-00016</x:t>
        </x:is>
      </x:c>
      <x:c r="E815" s="31" t="inlineStr">
        <x:is>
          <x:t xml:space="preserve">ОП-000136</x:t>
        </x:is>
      </x:c>
      <x:c r="F815" s="31" t="inlineStr">
        <x:is>
          <x:t xml:space="preserve">ОБ-032</x:t>
        </x:is>
      </x:c>
      <x:c r="G815" s="31" t="inlineStr">
        <x:is>
          <x:t xml:space="preserve">СОТР-093</x:t>
        </x:is>
      </x:c>
      <x:c r="H815" s="31" t="inlineStr">
        <x:is>
          <x:t xml:space="preserve">ОТК</x:t>
        </x:is>
      </x:c>
      <x:c r="I815" s="31" t="n">
        <x:v>1</x:v>
      </x:c>
      <x:c r="J815" s="31" t="n">
        <x:v>1</x:v>
      </x:c>
      <x:c r="K815" s="31" t="n">
        <x:v>8.4</x:v>
      </x:c>
      <x:c r="L815" s="31" t="n">
        <x:v>10.5</x:v>
      </x:c>
      <x:c r="M815" s="31" t="n">
        <x:v>15</x:v>
      </x:c>
      <x:c r="N815" s="31" t="inlineStr">
        <x:is>
          <x:t xml:space="preserve">Ремонт оборудования</x:t>
        </x:is>
      </x:c>
      <x:c r="O815" s="31" t="inlineStr">
        <x:is>
          <x:t xml:space="preserve">Подтверждено мастером</x:t>
        </x:is>
      </x:c>
      <x:c r="P815" s="31" t="inlineStr">
        <x:is>
          <x:t xml:space="preserve">Комментарий смены 882</x:t>
        </x:is>
      </x:c>
    </x:row>
    <x:row r="816">
      <x:c r="A816" s="31" t="inlineStr">
        <x:is>
          <x:t xml:space="preserve">СМ-00883</x:t>
        </x:is>
      </x:c>
      <x:c r="B816" s="31" t="n">
        <x:v>46113</x:v>
      </x:c>
      <x:c r="C816" s="31" t="inlineStr">
        <x:is>
          <x:t xml:space="preserve">Ночь</x:t>
        </x:is>
      </x:c>
      <x:c r="D816" s="31" t="inlineStr">
        <x:is>
          <x:t xml:space="preserve">ПЗ-00102</x:t>
        </x:is>
      </x:c>
      <x:c r="E816" s="31" t="inlineStr">
        <x:is>
          <x:t xml:space="preserve">ОП-000848</x:t>
        </x:is>
      </x:c>
      <x:c r="F816" s="31" t="inlineStr">
        <x:is>
          <x:t xml:space="preserve">ОБ-021</x:t>
        </x:is>
      </x:c>
      <x:c r="G816" s="31" t="inlineStr">
        <x:is>
          <x:t xml:space="preserve">СОТР-069</x:t>
        </x:is>
      </x:c>
      <x:c r="H816" s="31" t="inlineStr">
        <x:is>
          <x:t xml:space="preserve">Сварка</x:t>
        </x:is>
      </x:c>
      <x:c r="I816" s="31" t="n">
        <x:v>3</x:v>
      </x:c>
      <x:c r="J816" s="31" t="n">
        <x:v>3</x:v>
      </x:c>
      <x:c r="K816" s="31" t="n">
        <x:v>20</x:v>
      </x:c>
      <x:c r="L816" s="31" t="n">
        <x:v>23.6</x:v>
      </x:c>
      <x:c r="M816" s="31" t="n">
        <x:v>0</x:v>
      </x:c>
      <x:c r="N816" s="31" t="inlineStr">
        <x:is>
          <x:t xml:space="preserve">Нет</x:t>
        </x:is>
      </x:c>
      <x:c r="O816" s="31" t="inlineStr">
        <x:is>
          <x:t xml:space="preserve">Подтверждено мастером</x:t>
        </x:is>
      </x:c>
      <x:c r="P816" s="31" t="inlineStr">
        <x:is>
          <x:t xml:space="preserve">Комментарий смены 883</x:t>
        </x:is>
      </x:c>
    </x:row>
    <x:row r="817">
      <x:c r="A817" s="31" t="inlineStr">
        <x:is>
          <x:t xml:space="preserve">СМ-00884</x:t>
        </x:is>
      </x:c>
      <x:c r="B817" s="31" t="n">
        <x:v>46161</x:v>
      </x:c>
      <x:c r="C817" s="31" t="inlineStr">
        <x:is>
          <x:t xml:space="preserve">Ночь</x:t>
        </x:is>
      </x:c>
      <x:c r="D817" s="31" t="inlineStr">
        <x:is>
          <x:t xml:space="preserve">ПЗ-00257</x:t>
        </x:is>
      </x:c>
      <x:c r="E817" s="31" t="inlineStr">
        <x:is>
          <x:t xml:space="preserve">ОП-002139</x:t>
        </x:is>
      </x:c>
      <x:c r="F817" s="31" t="inlineStr">
        <x:is>
          <x:t xml:space="preserve">ОБ-021</x:t>
        </x:is>
      </x:c>
      <x:c r="G817" s="31" t="inlineStr">
        <x:is>
          <x:t xml:space="preserve">СОТР-062</x:t>
        </x:is>
      </x:c>
      <x:c r="H817" s="31" t="inlineStr">
        <x:is>
          <x:t xml:space="preserve">Сварка</x:t>
        </x:is>
      </x:c>
      <x:c r="I817" s="31" t="n">
        <x:v>1</x:v>
      </x:c>
      <x:c r="J817" s="31" t="n">
        <x:v>1</x:v>
      </x:c>
      <x:c r="K817" s="31" t="n">
        <x:v>10.2</x:v>
      </x:c>
      <x:c r="L817" s="31" t="n">
        <x:v>10.9</x:v>
      </x:c>
      <x:c r="M817" s="31" t="n">
        <x:v>45</x:v>
      </x:c>
      <x:c r="N817" s="31" t="inlineStr">
        <x:is>
          <x:t xml:space="preserve">Переналадка</x:t>
        </x:is>
      </x:c>
      <x:c r="O817" s="31" t="inlineStr">
        <x:is>
          <x:t xml:space="preserve">Подтверждено мастером</x:t>
        </x:is>
      </x:c>
      <x:c r="P817" s="31" t="inlineStr">
        <x:is>
          <x:t xml:space="preserve">Комментарий смены 884</x:t>
        </x:is>
      </x:c>
    </x:row>
    <x:row r="818">
      <x:c r="A818" s="31" t="inlineStr">
        <x:is>
          <x:t xml:space="preserve">СМ-00885</x:t>
        </x:is>
      </x:c>
      <x:c r="B818" s="31" t="n">
        <x:v>46122</x:v>
      </x:c>
      <x:c r="C818" s="31" t="inlineStr">
        <x:is>
          <x:t xml:space="preserve">День</x:t>
        </x:is>
      </x:c>
      <x:c r="D818" s="31" t="inlineStr">
        <x:is>
          <x:t xml:space="preserve">ПЗ-00106</x:t>
        </x:is>
      </x:c>
      <x:c r="E818" s="31" t="inlineStr">
        <x:is>
          <x:t xml:space="preserve">ОП-000890</x:t>
        </x:is>
      </x:c>
      <x:c r="F818" s="31" t="inlineStr">
        <x:is>
          <x:t xml:space="preserve">ОБ-015</x:t>
        </x:is>
      </x:c>
      <x:c r="G818" s="31" t="inlineStr">
        <x:is>
          <x:t xml:space="preserve">СОТР-063</x:t>
        </x:is>
      </x:c>
      <x:c r="H818" s="31" t="inlineStr">
        <x:is>
          <x:t xml:space="preserve">ОТК</x:t>
        </x:is>
      </x:c>
      <x:c r="I818" s="31" t="n">
        <x:v>3</x:v>
      </x:c>
      <x:c r="J818" s="31" t="n">
        <x:v>2</x:v>
      </x:c>
      <x:c r="K818" s="31" t="n">
        <x:v>25.5</x:v>
      </x:c>
      <x:c r="L818" s="31" t="n">
        <x:v>29.1</x:v>
      </x:c>
      <x:c r="M818" s="31" t="n">
        <x:v>60</x:v>
      </x:c>
      <x:c r="N818" s="31" t="inlineStr">
        <x:is>
          <x:t xml:space="preserve">Переналадка</x:t>
        </x:is>
      </x:c>
      <x:c r="O818" s="31" t="inlineStr">
        <x:is>
          <x:t xml:space="preserve">Подтверждено мастером</x:t>
        </x:is>
      </x:c>
      <x:c r="P818" s="31" t="inlineStr">
        <x:is>
          <x:t xml:space="preserve">Комментарий смены 885</x:t>
        </x:is>
      </x:c>
    </x:row>
    <x:row r="819">
      <x:c r="A819" s="31" t="inlineStr">
        <x:is>
          <x:t xml:space="preserve">СМ-00886</x:t>
        </x:is>
      </x:c>
      <x:c r="B819" s="31" t="n">
        <x:v>46195</x:v>
      </x:c>
      <x:c r="C819" s="31" t="inlineStr">
        <x:is>
          <x:t xml:space="preserve">Ночь</x:t>
        </x:is>
      </x:c>
      <x:c r="D819" s="31" t="inlineStr">
        <x:is>
          <x:t xml:space="preserve">ПЗ-00182</x:t>
        </x:is>
      </x:c>
      <x:c r="E819" s="31" t="inlineStr">
        <x:is>
          <x:t xml:space="preserve">ОП-001516</x:t>
        </x:is>
      </x:c>
      <x:c r="F819" s="31" t="inlineStr">
        <x:is>
          <x:t xml:space="preserve">ОБ-013</x:t>
        </x:is>
      </x:c>
      <x:c r="G819" s="31" t="inlineStr">
        <x:is>
          <x:t xml:space="preserve">СОТР-092</x:t>
        </x:is>
      </x:c>
      <x:c r="H819" s="31" t="inlineStr">
        <x:is>
          <x:t xml:space="preserve">ОТК</x:t>
        </x:is>
      </x:c>
      <x:c r="I819" s="31" t="n">
        <x:v>4</x:v>
      </x:c>
      <x:c r="J819" s="31" t="n">
        <x:v>3</x:v>
      </x:c>
      <x:c r="K819" s="31" t="n">
        <x:v>9.6</x:v>
      </x:c>
      <x:c r="L819" s="31" t="n">
        <x:v>9.199999999999999</x:v>
      </x:c>
      <x:c r="M819" s="31" t="n">
        <x:v>0</x:v>
      </x:c>
      <x:c r="N819" s="31" t="inlineStr">
        <x:is>
          <x:t xml:space="preserve">Нет</x:t>
        </x:is>
      </x:c>
      <x:c r="O819" s="31" t="inlineStr">
        <x:is>
          <x:t xml:space="preserve">Черновик</x:t>
        </x:is>
      </x:c>
      <x:c r="P819" s="31" t="inlineStr">
        <x:is>
          <x:t xml:space="preserve">Комментарий смены 886</x:t>
        </x:is>
      </x:c>
    </x:row>
    <x:row r="820">
      <x:c r="A820" s="31" t="inlineStr">
        <x:is>
          <x:t xml:space="preserve">СМ-00887</x:t>
        </x:is>
      </x:c>
      <x:c r="B820" s="31" t="n">
        <x:v>46120</x:v>
      </x:c>
      <x:c r="C820" s="31" t="inlineStr">
        <x:is>
          <x:t xml:space="preserve">Вечер</x:t>
        </x:is>
      </x:c>
      <x:c r="D820" s="31" t="inlineStr">
        <x:is>
          <x:t xml:space="preserve">ПЗ-00231</x:t>
        </x:is>
      </x:c>
      <x:c r="E820" s="31" t="inlineStr">
        <x:is>
          <x:t xml:space="preserve">ОП-001933</x:t>
        </x:is>
      </x:c>
      <x:c r="F820" s="31" t="inlineStr">
        <x:is>
          <x:t xml:space="preserve">ОБ-018</x:t>
        </x:is>
      </x:c>
      <x:c r="G820" s="31" t="inlineStr">
        <x:is>
          <x:t xml:space="preserve">СОТР-059</x:t>
        </x:is>
      </x:c>
      <x:c r="H820" s="31" t="inlineStr">
        <x:is>
          <x:t xml:space="preserve">Сварка</x:t>
        </x:is>
      </x:c>
      <x:c r="I820" s="31" t="n">
        <x:v>1</x:v>
      </x:c>
      <x:c r="J820" s="31" t="n">
        <x:v>1</x:v>
      </x:c>
      <x:c r="K820" s="31" t="n">
        <x:v>41.4</x:v>
      </x:c>
      <x:c r="L820" s="31" t="n">
        <x:v>45.7</x:v>
      </x:c>
      <x:c r="M820" s="31" t="n">
        <x:v>15</x:v>
      </x:c>
      <x:c r="N820" s="31" t="inlineStr">
        <x:is>
          <x:t xml:space="preserve">Ожидание материала</x:t>
        </x:is>
      </x:c>
      <x:c r="O820" s="31" t="inlineStr">
        <x:is>
          <x:t xml:space="preserve">Подтверждено мастером</x:t>
        </x:is>
      </x:c>
      <x:c r="P820" s="31" t="inlineStr">
        <x:is>
          <x:t xml:space="preserve">Комментарий смены 887</x:t>
        </x:is>
      </x:c>
    </x:row>
    <x:row r="821">
      <x:c r="A821" s="31" t="inlineStr">
        <x:is>
          <x:t xml:space="preserve">СМ-00888</x:t>
        </x:is>
      </x:c>
      <x:c r="B821" s="31" t="n">
        <x:v>46168</x:v>
      </x:c>
      <x:c r="C821" s="31" t="inlineStr">
        <x:is>
          <x:t xml:space="preserve">День</x:t>
        </x:is>
      </x:c>
      <x:c r="D821" s="31" t="inlineStr">
        <x:is>
          <x:t xml:space="preserve">ПЗ-00189</x:t>
        </x:is>
      </x:c>
      <x:c r="E821" s="31" t="inlineStr">
        <x:is>
          <x:t xml:space="preserve">ОП-001577</x:t>
        </x:is>
      </x:c>
      <x:c r="F821" s="31" t="inlineStr">
        <x:is>
          <x:t xml:space="preserve">ОБ-002</x:t>
        </x:is>
      </x:c>
      <x:c r="G821" s="31" t="inlineStr">
        <x:is>
          <x:t xml:space="preserve">СОТР-073</x:t>
        </x:is>
      </x:c>
      <x:c r="H821" s="31" t="inlineStr">
        <x:is>
          <x:t xml:space="preserve">Сборка</x:t>
        </x:is>
      </x:c>
      <x:c r="I821" s="31" t="n">
        <x:v>1</x:v>
      </x:c>
      <x:c r="J821" s="31" t="n">
        <x:v>1</x:v>
      </x:c>
      <x:c r="K821" s="31" t="n">
        <x:v>82.5</x:v>
      </x:c>
      <x:c r="L821" s="31" t="n">
        <x:v>71.5</x:v>
      </x:c>
      <x:c r="M821" s="31" t="n">
        <x:v>0</x:v>
      </x:c>
      <x:c r="N821" s="31" t="inlineStr">
        <x:is>
          <x:t xml:space="preserve">Нет</x:t>
        </x:is>
      </x:c>
      <x:c r="O821" s="31" t="inlineStr">
        <x:is>
          <x:t xml:space="preserve">Подтверждено мастером</x:t>
        </x:is>
      </x:c>
      <x:c r="P821" s="31" t="inlineStr">
        <x:is>
          <x:t xml:space="preserve">Комментарий смены 888</x:t>
        </x:is>
      </x:c>
    </x:row>
    <x:row r="822">
      <x:c r="A822" s="31" t="inlineStr">
        <x:is>
          <x:t xml:space="preserve">СМ-00889</x:t>
        </x:is>
      </x:c>
      <x:c r="B822" s="31" t="n">
        <x:v>46162</x:v>
      </x:c>
      <x:c r="C822" s="31" t="inlineStr">
        <x:is>
          <x:t xml:space="preserve">День</x:t>
        </x:is>
      </x:c>
      <x:c r="D822" s="31" t="inlineStr">
        <x:is>
          <x:t xml:space="preserve">ПЗ-00034</x:t>
        </x:is>
      </x:c>
      <x:c r="E822" s="31" t="inlineStr">
        <x:is>
          <x:t xml:space="preserve">ОП-000302</x:t>
        </x:is>
      </x:c>
      <x:c r="F822" s="31" t="n"/>
      <x:c r="G822" s="31" t="inlineStr">
        <x:is>
          <x:t xml:space="preserve">СОТР-070</x:t>
        </x:is>
      </x:c>
      <x:c r="H822" s="31" t="inlineStr">
        <x:is>
          <x:t xml:space="preserve">Логистика</x:t>
        </x:is>
      </x:c>
      <x:c r="I822" s="31" t="n">
        <x:v>1</x:v>
      </x:c>
      <x:c r="J822" s="31" t="n">
        <x:v>0</x:v>
      </x:c>
      <x:c r="K822" s="31" t="n">
        <x:v>17.9</x:v>
      </x:c>
      <x:c r="L822" s="31" t="n">
        <x:v>21.3</x:v>
      </x:c>
      <x:c r="M822" s="31" t="n">
        <x:v>0</x:v>
      </x:c>
      <x:c r="N822" s="31" t="inlineStr">
        <x:is>
          <x:t xml:space="preserve">Нет</x:t>
        </x:is>
      </x:c>
      <x:c r="O822" s="31" t="inlineStr">
        <x:is>
          <x:t xml:space="preserve">Подтверждено мастером</x:t>
        </x:is>
      </x:c>
      <x:c r="P822" s="31" t="inlineStr">
        <x:is>
          <x:t xml:space="preserve">Комментарий смены 889</x:t>
        </x:is>
      </x:c>
    </x:row>
    <x:row r="823">
      <x:c r="A823" s="31" t="inlineStr">
        <x:is>
          <x:t xml:space="preserve">СМ-00890</x:t>
        </x:is>
      </x:c>
      <x:c r="B823" s="31" t="n">
        <x:v>46105</x:v>
      </x:c>
      <x:c r="C823" s="31" t="inlineStr">
        <x:is>
          <x:t xml:space="preserve">Ночь</x:t>
        </x:is>
      </x:c>
      <x:c r="D823" s="31" t="inlineStr">
        <x:is>
          <x:t xml:space="preserve">ПЗ-00055</x:t>
        </x:is>
      </x:c>
      <x:c r="E823" s="31" t="inlineStr">
        <x:is>
          <x:t xml:space="preserve">ОП-000462</x:t>
        </x:is>
      </x:c>
      <x:c r="F823" s="31" t="n"/>
      <x:c r="G823" s="31" t="inlineStr">
        <x:is>
          <x:t xml:space="preserve">СОТР-105</x:t>
        </x:is>
      </x:c>
      <x:c r="H823" s="31" t="inlineStr">
        <x:is>
          <x:t xml:space="preserve">Логистика</x:t>
        </x:is>
      </x:c>
      <x:c r="I823" s="31" t="n">
        <x:v>1</x:v>
      </x:c>
      <x:c r="J823" s="31" t="n">
        <x:v>2</x:v>
      </x:c>
      <x:c r="K823" s="31" t="n">
        <x:v>6.8</x:v>
      </x:c>
      <x:c r="L823" s="31" t="n">
        <x:v>8.1</x:v>
      </x:c>
      <x:c r="M823" s="31" t="n">
        <x:v>15</x:v>
      </x:c>
      <x:c r="N823" s="31" t="inlineStr">
        <x:is>
          <x:t xml:space="preserve">Переналадка</x:t>
        </x:is>
      </x:c>
      <x:c r="O823" s="31" t="inlineStr">
        <x:is>
          <x:t xml:space="preserve">Подтверждено мастером</x:t>
        </x:is>
      </x:c>
      <x:c r="P823" s="31" t="inlineStr">
        <x:is>
          <x:t xml:space="preserve">Комментарий смены 890</x:t>
        </x:is>
      </x:c>
    </x:row>
    <x:row r="824">
      <x:c r="A824" s="31" t="inlineStr">
        <x:is>
          <x:t xml:space="preserve">СМ-00891</x:t>
        </x:is>
      </x:c>
      <x:c r="B824" s="31" t="n">
        <x:v>46169</x:v>
      </x:c>
      <x:c r="C824" s="31" t="inlineStr">
        <x:is>
          <x:t xml:space="preserve">Вечер</x:t>
        </x:is>
      </x:c>
      <x:c r="D824" s="31" t="inlineStr">
        <x:is>
          <x:t xml:space="preserve">ПЗ-00141</x:t>
        </x:is>
      </x:c>
      <x:c r="E824" s="31" t="inlineStr">
        <x:is>
          <x:t xml:space="preserve">ОП-001183</x:t>
        </x:is>
      </x:c>
      <x:c r="F824" s="31" t="n"/>
      <x:c r="G824" s="31" t="inlineStr">
        <x:is>
          <x:t xml:space="preserve">СОТР-101</x:t>
        </x:is>
      </x:c>
      <x:c r="H824" s="31" t="inlineStr">
        <x:is>
          <x:t xml:space="preserve">Логистика</x:t>
        </x:is>
      </x:c>
      <x:c r="I824" s="31" t="n">
        <x:v>1</x:v>
      </x:c>
      <x:c r="J824" s="31" t="n">
        <x:v>0</x:v>
      </x:c>
      <x:c r="K824" s="31" t="n">
        <x:v>9.4</x:v>
      </x:c>
      <x:c r="L824" s="31" t="n">
        <x:v>6.7</x:v>
      </x:c>
      <x:c r="M824" s="31" t="n">
        <x:v>60</x:v>
      </x:c>
      <x:c r="N824" s="31" t="inlineStr">
        <x:is>
          <x:t xml:space="preserve">Ремонт оборудования</x:t>
        </x:is>
      </x:c>
      <x:c r="O824" s="31" t="inlineStr">
        <x:is>
          <x:t xml:space="preserve">Подтверждено мастером</x:t>
        </x:is>
      </x:c>
      <x:c r="P824" s="31" t="inlineStr">
        <x:is>
          <x:t xml:space="preserve">Комментарий смены 891</x:t>
        </x:is>
      </x:c>
    </x:row>
    <x:row r="825">
      <x:c r="A825" s="31" t="inlineStr">
        <x:is>
          <x:t xml:space="preserve">СМ-00894</x:t>
        </x:is>
      </x:c>
      <x:c r="B825" s="31" t="n">
        <x:v>46098</x:v>
      </x:c>
      <x:c r="C825" s="31" t="inlineStr">
        <x:is>
          <x:t xml:space="preserve">День</x:t>
        </x:is>
      </x:c>
      <x:c r="D825" s="31" t="inlineStr">
        <x:is>
          <x:t xml:space="preserve">ПЗ-00056</x:t>
        </x:is>
      </x:c>
      <x:c r="E825" s="31" t="inlineStr">
        <x:is>
          <x:t xml:space="preserve">ОП-000468</x:t>
        </x:is>
      </x:c>
      <x:c r="F825" s="31" t="n"/>
      <x:c r="G825" s="31" t="inlineStr">
        <x:is>
          <x:t xml:space="preserve">СОТР-015</x:t>
        </x:is>
      </x:c>
      <x:c r="H825" s="31" t="inlineStr">
        <x:is>
          <x:t xml:space="preserve">Инженерный отдел</x:t>
        </x:is>
      </x:c>
      <x:c r="I825" s="31" t="n">
        <x:v>2</x:v>
      </x:c>
      <x:c r="J825" s="31" t="n">
        <x:v>3</x:v>
      </x:c>
      <x:c r="K825" s="31" t="n">
        <x:v>24.9</x:v>
      </x:c>
      <x:c r="L825" s="31" t="n">
        <x:v>27.8</x:v>
      </x:c>
      <x:c r="M825" s="31" t="n">
        <x:v>45</x:v>
      </x:c>
      <x:c r="N825" s="31" t="inlineStr">
        <x:is>
          <x:t xml:space="preserve">Ожидание ОТК</x:t>
        </x:is>
      </x:c>
      <x:c r="O825" s="31" t="inlineStr">
        <x:is>
          <x:t xml:space="preserve">Подтверждено мастером</x:t>
        </x:is>
      </x:c>
      <x:c r="P825" s="31" t="inlineStr">
        <x:is>
          <x:t xml:space="preserve">Комментарий смены 894</x:t>
        </x:is>
      </x:c>
    </x:row>
    <x:row r="826">
      <x:c r="A826" s="31" t="inlineStr">
        <x:is>
          <x:t xml:space="preserve">СМ-00895</x:t>
        </x:is>
      </x:c>
      <x:c r="B826" s="31" t="n">
        <x:v>46161</x:v>
      </x:c>
      <x:c r="C826" s="31" t="inlineStr">
        <x:is>
          <x:t xml:space="preserve">Ночь</x:t>
        </x:is>
      </x:c>
      <x:c r="D826" s="31" t="inlineStr">
        <x:is>
          <x:t xml:space="preserve">ПЗ-00044</x:t>
        </x:is>
      </x:c>
      <x:c r="E826" s="31" t="inlineStr">
        <x:is>
          <x:t xml:space="preserve">ОП-000368</x:t>
        </x:is>
      </x:c>
      <x:c r="F826" s="31" t="n"/>
      <x:c r="G826" s="31" t="inlineStr">
        <x:is>
          <x:t xml:space="preserve">СОТР-014</x:t>
        </x:is>
      </x:c>
      <x:c r="H826" s="31" t="inlineStr">
        <x:is>
          <x:t xml:space="preserve">Инженерный отдел</x:t>
        </x:is>
      </x:c>
      <x:c r="I826" s="31" t="n">
        <x:v>2</x:v>
      </x:c>
      <x:c r="J826" s="31" t="n">
        <x:v>3</x:v>
      </x:c>
      <x:c r="K826" s="31" t="n">
        <x:v>2.6</x:v>
      </x:c>
      <x:c r="L826" s="31" t="n">
        <x:v>3.3</x:v>
      </x:c>
      <x:c r="M826" s="31" t="n">
        <x:v>30</x:v>
      </x:c>
      <x:c r="N826" s="31" t="inlineStr">
        <x:is>
          <x:t xml:space="preserve">Ожидание ОТК</x:t>
        </x:is>
      </x:c>
      <x:c r="O826" s="31" t="inlineStr">
        <x:is>
          <x:t xml:space="preserve">Подтверждено мастером</x:t>
        </x:is>
      </x:c>
      <x:c r="P826" s="31" t="inlineStr">
        <x:is>
          <x:t xml:space="preserve">Комментарий смены 895</x:t>
        </x:is>
      </x:c>
    </x:row>
    <x:row r="827">
      <x:c r="A827" s="31" t="inlineStr">
        <x:is>
          <x:t xml:space="preserve">СМ-00896</x:t>
        </x:is>
      </x:c>
      <x:c r="B827" s="31" t="n">
        <x:v>46189</x:v>
      </x:c>
      <x:c r="C827" s="31" t="inlineStr">
        <x:is>
          <x:t xml:space="preserve">День</x:t>
        </x:is>
      </x:c>
      <x:c r="D827" s="31" t="inlineStr">
        <x:is>
          <x:t xml:space="preserve">ПЗ-00083</x:t>
        </x:is>
      </x:c>
      <x:c r="E827" s="31" t="inlineStr">
        <x:is>
          <x:t xml:space="preserve">ОП-000704</x:t>
        </x:is>
      </x:c>
      <x:c r="F827" s="31" t="inlineStr">
        <x:is>
          <x:t xml:space="preserve">ОБ-019</x:t>
        </x:is>
      </x:c>
      <x:c r="G827" s="31" t="inlineStr">
        <x:is>
          <x:t xml:space="preserve">СОТР-061</x:t>
        </x:is>
      </x:c>
      <x:c r="H827" s="31" t="inlineStr">
        <x:is>
          <x:t xml:space="preserve">Сварка</x:t>
        </x:is>
      </x:c>
      <x:c r="I827" s="31" t="n">
        <x:v>2</x:v>
      </x:c>
      <x:c r="J827" s="31" t="n">
        <x:v>1</x:v>
      </x:c>
      <x:c r="K827" s="31" t="n">
        <x:v>14</x:v>
      </x:c>
      <x:c r="L827" s="31" t="n">
        <x:v>13.4</x:v>
      </x:c>
      <x:c r="M827" s="31" t="n">
        <x:v>60</x:v>
      </x:c>
      <x:c r="N827" s="31" t="inlineStr">
        <x:is>
          <x:t xml:space="preserve">Ожидание ОТК</x:t>
        </x:is>
      </x:c>
      <x:c r="O827" s="31" t="inlineStr">
        <x:is>
          <x:t xml:space="preserve">Подтверждено мастером</x:t>
        </x:is>
      </x:c>
      <x:c r="P827" s="31" t="inlineStr">
        <x:is>
          <x:t xml:space="preserve">Комментарий смены 896</x:t>
        </x:is>
      </x:c>
    </x:row>
    <x:row r="828">
      <x:c r="A828" s="31" t="inlineStr">
        <x:is>
          <x:t xml:space="preserve">СМ-00897</x:t>
        </x:is>
      </x:c>
      <x:c r="B828" s="31" t="n">
        <x:v>46137</x:v>
      </x:c>
      <x:c r="C828" s="31" t="inlineStr">
        <x:is>
          <x:t xml:space="preserve">День</x:t>
        </x:is>
      </x:c>
      <x:c r="D828" s="31" t="inlineStr">
        <x:is>
          <x:t xml:space="preserve">ПЗ-00163</x:t>
        </x:is>
      </x:c>
      <x:c r="E828" s="31" t="inlineStr">
        <x:is>
          <x:t xml:space="preserve">ОП-001362</x:t>
        </x:is>
      </x:c>
      <x:c r="F828" s="31" t="n"/>
      <x:c r="G828" s="31" t="inlineStr">
        <x:is>
          <x:t xml:space="preserve">СОТР-104</x:t>
        </x:is>
      </x:c>
      <x:c r="H828" s="31" t="inlineStr">
        <x:is>
          <x:t xml:space="preserve">Логистика</x:t>
        </x:is>
      </x:c>
      <x:c r="I828" s="31" t="n">
        <x:v>1</x:v>
      </x:c>
      <x:c r="J828" s="31" t="n">
        <x:v>2</x:v>
      </x:c>
      <x:c r="K828" s="31" t="n">
        <x:v>8.9</x:v>
      </x:c>
      <x:c r="L828" s="31" t="n">
        <x:v>5.2</x:v>
      </x:c>
      <x:c r="M828" s="31" t="n">
        <x:v>0</x:v>
      </x:c>
      <x:c r="N828" s="31" t="inlineStr">
        <x:is>
          <x:t xml:space="preserve">Нет</x:t>
        </x:is>
      </x:c>
      <x:c r="O828" s="31" t="inlineStr">
        <x:is>
          <x:t xml:space="preserve">Подтверждено мастером</x:t>
        </x:is>
      </x:c>
      <x:c r="P828" s="31" t="inlineStr">
        <x:is>
          <x:t xml:space="preserve">Комментарий смены 897</x:t>
        </x:is>
      </x:c>
    </x:row>
    <x:row r="829">
      <x:c r="A829" s="31" t="inlineStr">
        <x:is>
          <x:t xml:space="preserve">СМ-00898</x:t>
        </x:is>
      </x:c>
      <x:c r="B829" s="31" t="n">
        <x:v>46193</x:v>
      </x:c>
      <x:c r="C829" s="31" t="inlineStr">
        <x:is>
          <x:t xml:space="preserve">Вечер</x:t>
        </x:is>
      </x:c>
      <x:c r="D829" s="31" t="inlineStr">
        <x:is>
          <x:t xml:space="preserve">ПЗ-00131</x:t>
        </x:is>
      </x:c>
      <x:c r="E829" s="31" t="inlineStr">
        <x:is>
          <x:t xml:space="preserve">ОП-001093</x:t>
        </x:is>
      </x:c>
      <x:c r="F829" s="31" t="inlineStr">
        <x:is>
          <x:t xml:space="preserve">ОБ-019</x:t>
        </x:is>
      </x:c>
      <x:c r="G829" s="31" t="inlineStr">
        <x:is>
          <x:t xml:space="preserve">СОТР-056</x:t>
        </x:is>
      </x:c>
      <x:c r="H829" s="31" t="inlineStr">
        <x:is>
          <x:t xml:space="preserve">Сварка</x:t>
        </x:is>
      </x:c>
      <x:c r="I829" s="31" t="n">
        <x:v>2</x:v>
      </x:c>
      <x:c r="J829" s="31" t="n">
        <x:v>2</x:v>
      </x:c>
      <x:c r="K829" s="31" t="n">
        <x:v>6.5</x:v>
      </x:c>
      <x:c r="L829" s="31" t="n">
        <x:v>7.2</x:v>
      </x:c>
      <x:c r="M829" s="31" t="n">
        <x:v>120</x:v>
      </x:c>
      <x:c r="N829" s="31" t="inlineStr">
        <x:is>
          <x:t xml:space="preserve">Нет оператора</x:t>
        </x:is>
      </x:c>
      <x:c r="O829" s="31" t="inlineStr">
        <x:is>
          <x:t xml:space="preserve">Подтверждено мастером</x:t>
        </x:is>
      </x:c>
      <x:c r="P829" s="31" t="inlineStr">
        <x:is>
          <x:t xml:space="preserve">Комментарий смены 898</x:t>
        </x:is>
      </x:c>
    </x:row>
    <x:row r="830">
      <x:c r="A830" s="31" t="inlineStr">
        <x:is>
          <x:t xml:space="preserve">СМ-00899</x:t>
        </x:is>
      </x:c>
      <x:c r="B830" s="31" t="n">
        <x:v>46116</x:v>
      </x:c>
      <x:c r="C830" s="31" t="inlineStr">
        <x:is>
          <x:t xml:space="preserve">День</x:t>
        </x:is>
      </x:c>
      <x:c r="D830" s="31" t="inlineStr">
        <x:is>
          <x:t xml:space="preserve">ПЗ-00230</x:t>
        </x:is>
      </x:c>
      <x:c r="E830" s="31" t="inlineStr">
        <x:is>
          <x:t xml:space="preserve">ОП-001926</x:t>
        </x:is>
      </x:c>
      <x:c r="F830" s="31" t="inlineStr">
        <x:is>
          <x:t xml:space="preserve">ОБ-010</x:t>
        </x:is>
      </x:c>
      <x:c r="G830" s="31" t="inlineStr">
        <x:is>
          <x:t xml:space="preserve">СОТР-064</x:t>
        </x:is>
      </x:c>
      <x:c r="H830" s="31" t="inlineStr">
        <x:is>
          <x:t xml:space="preserve">Сварка</x:t>
        </x:is>
      </x:c>
      <x:c r="I830" s="31" t="n">
        <x:v>1</x:v>
      </x:c>
      <x:c r="J830" s="31" t="n">
        <x:v>1</x:v>
      </x:c>
      <x:c r="K830" s="31" t="n">
        <x:v>1.6</x:v>
      </x:c>
      <x:c r="L830" s="31" t="n">
        <x:v>1.5</x:v>
      </x:c>
      <x:c r="M830" s="31" t="n">
        <x:v>45</x:v>
      </x:c>
      <x:c r="N830" s="31" t="inlineStr">
        <x:is>
          <x:t xml:space="preserve">Нет оператора</x:t>
        </x:is>
      </x:c>
      <x:c r="O830" s="31" t="inlineStr">
        <x:is>
          <x:t xml:space="preserve">Подтверждено мастером</x:t>
        </x:is>
      </x:c>
      <x:c r="P830" s="31" t="inlineStr">
        <x:is>
          <x:t xml:space="preserve">Комментарий смены 899</x:t>
        </x:is>
      </x:c>
    </x:row>
    <x:row r="831">
      <x:c r="A831" s="31" t="inlineStr">
        <x:is>
          <x:t xml:space="preserve">СМ-00900</x:t>
        </x:is>
      </x:c>
      <x:c r="B831" s="31" t="n">
        <x:v>46089</x:v>
      </x:c>
      <x:c r="C831" s="31" t="inlineStr">
        <x:is>
          <x:t xml:space="preserve">Ночь</x:t>
        </x:is>
      </x:c>
      <x:c r="D831" s="31" t="inlineStr">
        <x:is>
          <x:t xml:space="preserve">ПЗ-00234</x:t>
        </x:is>
      </x:c>
      <x:c r="E831" s="31" t="inlineStr">
        <x:is>
          <x:t xml:space="preserve">ОП-001959</x:t>
        </x:is>
      </x:c>
      <x:c r="F831" s="31" t="inlineStr">
        <x:is>
          <x:t xml:space="preserve">ОБ-035</x:t>
        </x:is>
      </x:c>
      <x:c r="G831" s="31" t="inlineStr">
        <x:is>
          <x:t xml:space="preserve">СОТР-062</x:t>
        </x:is>
      </x:c>
      <x:c r="H831" s="31" t="inlineStr">
        <x:is>
          <x:t xml:space="preserve">Сварка</x:t>
        </x:is>
      </x:c>
      <x:c r="I831" s="31" t="n">
        <x:v>3</x:v>
      </x:c>
      <x:c r="J831" s="31" t="n">
        <x:v>2</x:v>
      </x:c>
      <x:c r="K831" s="31" t="n">
        <x:v>12.5</x:v>
      </x:c>
      <x:c r="L831" s="31" t="n">
        <x:v>14.7</x:v>
      </x:c>
      <x:c r="M831" s="31" t="n">
        <x:v>15</x:v>
      </x:c>
      <x:c r="N831" s="31" t="inlineStr">
        <x:is>
          <x:t xml:space="preserve">Ожидание ОТК</x:t>
        </x:is>
      </x:c>
      <x:c r="O831" s="31" t="inlineStr">
        <x:is>
          <x:t xml:space="preserve">Подтверждено мастером</x:t>
        </x:is>
      </x:c>
      <x:c r="P831" s="31" t="inlineStr">
        <x:is>
          <x:t xml:space="preserve">Комментарий смены 900</x:t>
        </x:is>
      </x:c>
    </x:row>
    <x:row r="832">
      <x:c r="A832" s="31" t="inlineStr">
        <x:is>
          <x:t xml:space="preserve">СМ-00901</x:t>
        </x:is>
      </x:c>
      <x:c r="B832" s="31" t="n">
        <x:v>46112</x:v>
      </x:c>
      <x:c r="C832" s="31" t="inlineStr">
        <x:is>
          <x:t xml:space="preserve">День</x:t>
        </x:is>
      </x:c>
      <x:c r="D832" s="31" t="inlineStr">
        <x:is>
          <x:t xml:space="preserve">ПЗ-00098</x:t>
        </x:is>
      </x:c>
      <x:c r="E832" s="31" t="inlineStr">
        <x:is>
          <x:t xml:space="preserve">ОП-000824</x:t>
        </x:is>
      </x:c>
      <x:c r="F832" s="31" t="inlineStr">
        <x:is>
          <x:t xml:space="preserve">ОБ-027</x:t>
        </x:is>
      </x:c>
      <x:c r="G832" s="31" t="inlineStr">
        <x:is>
          <x:t xml:space="preserve">СОТР-083</x:t>
        </x:is>
      </x:c>
      <x:c r="H832" s="31" t="inlineStr">
        <x:is>
          <x:t xml:space="preserve">Сборка</x:t>
        </x:is>
      </x:c>
      <x:c r="I832" s="31" t="n">
        <x:v>4</x:v>
      </x:c>
      <x:c r="J832" s="31" t="n">
        <x:v>0</x:v>
      </x:c>
      <x:c r="K832" s="31" t="n">
        <x:v>60.4</x:v>
      </x:c>
      <x:c r="L832" s="31" t="n">
        <x:v>48.5</x:v>
      </x:c>
      <x:c r="M832" s="31" t="n">
        <x:v>0</x:v>
      </x:c>
      <x:c r="N832" s="31" t="inlineStr">
        <x:is>
          <x:t xml:space="preserve">Нет</x:t>
        </x:is>
      </x:c>
      <x:c r="O832" s="31" t="inlineStr">
        <x:is>
          <x:t xml:space="preserve">Закрыто</x:t>
        </x:is>
      </x:c>
      <x:c r="P832" s="31" t="inlineStr">
        <x:is>
          <x:t xml:space="preserve">Комментарий смены 901</x:t>
        </x:is>
      </x:c>
    </x:row>
    <x:row r="833">
      <x:c r="A833" s="31" t="inlineStr">
        <x:is>
          <x:t xml:space="preserve">СМ-00902</x:t>
        </x:is>
      </x:c>
      <x:c r="B833" s="31" t="n">
        <x:v>46158</x:v>
      </x:c>
      <x:c r="C833" s="31" t="inlineStr">
        <x:is>
          <x:t xml:space="preserve">День</x:t>
        </x:is>
      </x:c>
      <x:c r="D833" s="31" t="inlineStr">
        <x:is>
          <x:t xml:space="preserve">ПЗ-00189</x:t>
        </x:is>
      </x:c>
      <x:c r="E833" s="31" t="inlineStr">
        <x:is>
          <x:t xml:space="preserve">ОП-001575</x:t>
        </x:is>
      </x:c>
      <x:c r="F833" s="31" t="inlineStr">
        <x:is>
          <x:t xml:space="preserve">ОБ-004</x:t>
        </x:is>
      </x:c>
      <x:c r="G833" s="31" t="inlineStr">
        <x:is>
          <x:t xml:space="preserve">СОТР-058</x:t>
        </x:is>
      </x:c>
      <x:c r="H833" s="31" t="inlineStr">
        <x:is>
          <x:t xml:space="preserve">Сварка</x:t>
        </x:is>
      </x:c>
      <x:c r="I833" s="31" t="n">
        <x:v>1</x:v>
      </x:c>
      <x:c r="J833" s="31" t="n">
        <x:v>1</x:v>
      </x:c>
      <x:c r="K833" s="31" t="n">
        <x:v>21.3</x:v>
      </x:c>
      <x:c r="L833" s="31" t="n">
        <x:v>21.5</x:v>
      </x:c>
      <x:c r="M833" s="31" t="n">
        <x:v>90</x:v>
      </x:c>
      <x:c r="N833" s="31" t="inlineStr">
        <x:is>
          <x:t xml:space="preserve">Ожидание ОТК</x:t>
        </x:is>
      </x:c>
      <x:c r="O833" s="31" t="inlineStr">
        <x:is>
          <x:t xml:space="preserve">Подтверждено мастером</x:t>
        </x:is>
      </x:c>
      <x:c r="P833" s="31" t="inlineStr">
        <x:is>
          <x:t xml:space="preserve">Комментарий смены 902</x:t>
        </x:is>
      </x:c>
    </x:row>
    <x:row r="834">
      <x:c r="A834" s="31" t="inlineStr">
        <x:is>
          <x:t xml:space="preserve">СМ-00903</x:t>
        </x:is>
      </x:c>
      <x:c r="B834" s="31" t="n">
        <x:v>46103</x:v>
      </x:c>
      <x:c r="C834" s="31" t="inlineStr">
        <x:is>
          <x:t xml:space="preserve">Ночь</x:t>
        </x:is>
      </x:c>
      <x:c r="D834" s="31" t="inlineStr">
        <x:is>
          <x:t xml:space="preserve">ПЗ-00180</x:t>
        </x:is>
      </x:c>
      <x:c r="E834" s="31" t="inlineStr">
        <x:is>
          <x:t xml:space="preserve">ОП-001493</x:t>
        </x:is>
      </x:c>
      <x:c r="F834" s="31" t="inlineStr">
        <x:is>
          <x:t xml:space="preserve">ОБ-031</x:t>
        </x:is>
      </x:c>
      <x:c r="G834" s="31" t="inlineStr">
        <x:is>
          <x:t xml:space="preserve">СОТР-045</x:t>
        </x:is>
      </x:c>
      <x:c r="H834" s="31" t="inlineStr">
        <x:is>
          <x:t xml:space="preserve">Механообработка</x:t>
        </x:is>
      </x:c>
      <x:c r="I834" s="31" t="n">
        <x:v>3</x:v>
      </x:c>
      <x:c r="J834" s="31" t="n">
        <x:v>3</x:v>
      </x:c>
      <x:c r="K834" s="31" t="n">
        <x:v>27.6</x:v>
      </x:c>
      <x:c r="L834" s="31" t="n">
        <x:v>31.2</x:v>
      </x:c>
      <x:c r="M834" s="31" t="n">
        <x:v>120</x:v>
      </x:c>
      <x:c r="N834" s="31" t="inlineStr">
        <x:is>
          <x:t xml:space="preserve">Ожидание материала</x:t>
        </x:is>
      </x:c>
      <x:c r="O834" s="31" t="inlineStr">
        <x:is>
          <x:t xml:space="preserve">Подтверждено мастером</x:t>
        </x:is>
      </x:c>
      <x:c r="P834" s="31" t="inlineStr">
        <x:is>
          <x:t xml:space="preserve">Комментарий смены 903</x:t>
        </x:is>
      </x:c>
    </x:row>
    <x:row r="835">
      <x:c r="A835" s="31" t="inlineStr">
        <x:is>
          <x:t xml:space="preserve">СМ-00904</x:t>
        </x:is>
      </x:c>
      <x:c r="B835" s="31" t="n">
        <x:v>46187</x:v>
      </x:c>
      <x:c r="C835" s="31" t="inlineStr">
        <x:is>
          <x:t xml:space="preserve">День</x:t>
        </x:is>
      </x:c>
      <x:c r="D835" s="31" t="inlineStr">
        <x:is>
          <x:t xml:space="preserve">ПЗ-00043</x:t>
        </x:is>
      </x:c>
      <x:c r="E835" s="31" t="inlineStr">
        <x:is>
          <x:t xml:space="preserve">ОП-000359</x:t>
        </x:is>
      </x:c>
      <x:c r="F835" s="31" t="inlineStr">
        <x:is>
          <x:t xml:space="preserve">ОБ-011</x:t>
        </x:is>
      </x:c>
      <x:c r="G835" s="31" t="inlineStr">
        <x:is>
          <x:t xml:space="preserve">СОТР-036</x:t>
        </x:is>
      </x:c>
      <x:c r="H835" s="31" t="inlineStr">
        <x:is>
          <x:t xml:space="preserve">Склад</x:t>
        </x:is>
      </x:c>
      <x:c r="I835" s="31" t="n">
        <x:v>15</x:v>
      </x:c>
      <x:c r="J835" s="31" t="n">
        <x:v>0</x:v>
      </x:c>
      <x:c r="K835" s="31" t="n">
        <x:v>73.5</x:v>
      </x:c>
      <x:c r="L835" s="31" t="n">
        <x:v>71.8</x:v>
      </x:c>
      <x:c r="M835" s="31" t="n">
        <x:v>45</x:v>
      </x:c>
      <x:c r="N835" s="31" t="inlineStr">
        <x:is>
          <x:t xml:space="preserve">Ожидание материала</x:t>
        </x:is>
      </x:c>
      <x:c r="O835" s="31" t="inlineStr">
        <x:is>
          <x:t xml:space="preserve">Подтверждено мастером</x:t>
        </x:is>
      </x:c>
      <x:c r="P835" s="31" t="inlineStr">
        <x:is>
          <x:t xml:space="preserve">Комментарий смены 904</x:t>
        </x:is>
      </x:c>
    </x:row>
    <x:row r="836">
      <x:c r="A836" s="31" t="inlineStr">
        <x:is>
          <x:t xml:space="preserve">СМ-00905</x:t>
        </x:is>
      </x:c>
      <x:c r="B836" s="31" t="n">
        <x:v>46191</x:v>
      </x:c>
      <x:c r="C836" s="31" t="inlineStr">
        <x:is>
          <x:t xml:space="preserve">День</x:t>
        </x:is>
      </x:c>
      <x:c r="D836" s="31" t="inlineStr">
        <x:is>
          <x:t xml:space="preserve">ПЗ-00226</x:t>
        </x:is>
      </x:c>
      <x:c r="E836" s="31" t="inlineStr">
        <x:is>
          <x:t xml:space="preserve">ОП-001895</x:t>
        </x:is>
      </x:c>
      <x:c r="F836" s="31" t="n"/>
      <x:c r="G836" s="31" t="inlineStr">
        <x:is>
          <x:t xml:space="preserve">СОТР-011</x:t>
        </x:is>
      </x:c>
      <x:c r="H836" s="31" t="inlineStr">
        <x:is>
          <x:t xml:space="preserve">Инженерный отдел</x:t>
        </x:is>
      </x:c>
      <x:c r="I836" s="31" t="n">
        <x:v>3</x:v>
      </x:c>
      <x:c r="J836" s="31" t="n">
        <x:v>3</x:v>
      </x:c>
      <x:c r="K836" s="31" t="n">
        <x:v>71.59999999999999</x:v>
      </x:c>
      <x:c r="L836" s="31" t="n">
        <x:v>59.5</x:v>
      </x:c>
      <x:c r="M836" s="31" t="n">
        <x:v>0</x:v>
      </x:c>
      <x:c r="N836" s="31" t="inlineStr">
        <x:is>
          <x:t xml:space="preserve">Нет</x:t>
        </x:is>
      </x:c>
      <x:c r="O836" s="31" t="inlineStr">
        <x:is>
          <x:t xml:space="preserve">Спорный факт</x:t>
        </x:is>
      </x:c>
      <x:c r="P836" s="31" t="inlineStr">
        <x:is>
          <x:t xml:space="preserve">Комментарий смены 905</x:t>
        </x:is>
      </x:c>
    </x:row>
    <x:row r="837">
      <x:c r="A837" s="31" t="inlineStr">
        <x:is>
          <x:t xml:space="preserve">СМ-00906</x:t>
        </x:is>
      </x:c>
      <x:c r="B837" s="31" t="n">
        <x:v>46197</x:v>
      </x:c>
      <x:c r="C837" s="31" t="inlineStr">
        <x:is>
          <x:t xml:space="preserve">День</x:t>
        </x:is>
      </x:c>
      <x:c r="D837" s="31" t="inlineStr">
        <x:is>
          <x:t xml:space="preserve">ПЗ-00148</x:t>
        </x:is>
      </x:c>
      <x:c r="E837" s="31" t="inlineStr">
        <x:is>
          <x:t xml:space="preserve">ОП-001234</x:t>
        </x:is>
      </x:c>
      <x:c r="F837" s="31" t="inlineStr">
        <x:is>
          <x:t xml:space="preserve">ОБ-015</x:t>
        </x:is>
      </x:c>
      <x:c r="G837" s="31" t="inlineStr">
        <x:is>
          <x:t xml:space="preserve">СОТР-093</x:t>
        </x:is>
      </x:c>
      <x:c r="H837" s="31" t="inlineStr">
        <x:is>
          <x:t xml:space="preserve">ОТК</x:t>
        </x:is>
      </x:c>
      <x:c r="I837" s="31" t="n">
        <x:v>1</x:v>
      </x:c>
      <x:c r="J837" s="31" t="n">
        <x:v>1</x:v>
      </x:c>
      <x:c r="K837" s="31" t="n">
        <x:v>12</x:v>
      </x:c>
      <x:c r="L837" s="31" t="n">
        <x:v>10.4</x:v>
      </x:c>
      <x:c r="M837" s="31" t="n">
        <x:v>90</x:v>
      </x:c>
      <x:c r="N837" s="31" t="inlineStr">
        <x:is>
          <x:t xml:space="preserve">Нет оператора</x:t>
        </x:is>
      </x:c>
      <x:c r="O837" s="31" t="inlineStr">
        <x:is>
          <x:t xml:space="preserve">Подтверждено мастером</x:t>
        </x:is>
      </x:c>
      <x:c r="P837" s="31" t="inlineStr">
        <x:is>
          <x:t xml:space="preserve">Комментарий смены 906</x:t>
        </x:is>
      </x:c>
    </x:row>
    <x:row r="838">
      <x:c r="A838" s="31" t="inlineStr">
        <x:is>
          <x:t xml:space="preserve">СМ-00907</x:t>
        </x:is>
      </x:c>
      <x:c r="B838" s="31" t="n">
        <x:v>46138</x:v>
      </x:c>
      <x:c r="C838" s="31" t="inlineStr">
        <x:is>
          <x:t xml:space="preserve">День</x:t>
        </x:is>
      </x:c>
      <x:c r="D838" s="31" t="inlineStr">
        <x:is>
          <x:t xml:space="preserve">ПЗ-00059</x:t>
        </x:is>
      </x:c>
      <x:c r="E838" s="31" t="inlineStr">
        <x:is>
          <x:t xml:space="preserve">ОП-000493</x:t>
        </x:is>
      </x:c>
      <x:c r="F838" s="31" t="inlineStr">
        <x:is>
          <x:t xml:space="preserve">ОБ-019</x:t>
        </x:is>
      </x:c>
      <x:c r="G838" s="31" t="inlineStr">
        <x:is>
          <x:t xml:space="preserve">СОТР-071</x:t>
        </x:is>
      </x:c>
      <x:c r="H838" s="31" t="inlineStr">
        <x:is>
          <x:t xml:space="preserve">Сварка</x:t>
        </x:is>
      </x:c>
      <x:c r="I838" s="31" t="n">
        <x:v>1</x:v>
      </x:c>
      <x:c r="J838" s="31" t="n">
        <x:v>0</x:v>
      </x:c>
      <x:c r="K838" s="31" t="n">
        <x:v>1.1</x:v>
      </x:c>
      <x:c r="L838" s="31" t="n">
        <x:v>1.1</x:v>
      </x:c>
      <x:c r="M838" s="31" t="n">
        <x:v>0</x:v>
      </x:c>
      <x:c r="N838" s="31" t="inlineStr">
        <x:is>
          <x:t xml:space="preserve">Нет</x:t>
        </x:is>
      </x:c>
      <x:c r="O838" s="31" t="inlineStr">
        <x:is>
          <x:t xml:space="preserve">Черновик</x:t>
        </x:is>
      </x:c>
      <x:c r="P838" s="31" t="inlineStr">
        <x:is>
          <x:t xml:space="preserve">Комментарий смены 907</x:t>
        </x:is>
      </x:c>
    </x:row>
    <x:row r="839">
      <x:c r="A839" s="31" t="inlineStr">
        <x:is>
          <x:t xml:space="preserve">СМ-00908</x:t>
        </x:is>
      </x:c>
      <x:c r="B839" s="31" t="n">
        <x:v>46051</x:v>
      </x:c>
      <x:c r="C839" s="31" t="inlineStr">
        <x:is>
          <x:t xml:space="preserve">День</x:t>
        </x:is>
      </x:c>
      <x:c r="D839" s="31" t="inlineStr">
        <x:is>
          <x:t xml:space="preserve">ПЗ-00112</x:t>
        </x:is>
      </x:c>
      <x:c r="E839" s="31" t="inlineStr">
        <x:is>
          <x:t xml:space="preserve">ОП-000945</x:t>
        </x:is>
      </x:c>
      <x:c r="F839" s="31" t="inlineStr">
        <x:is>
          <x:t xml:space="preserve">ОБ-033</x:t>
        </x:is>
      </x:c>
      <x:c r="G839" s="31" t="inlineStr">
        <x:is>
          <x:t xml:space="preserve">СОТР-096</x:t>
        </x:is>
      </x:c>
      <x:c r="H839" s="31" t="inlineStr">
        <x:is>
          <x:t xml:space="preserve">ОТК</x:t>
        </x:is>
      </x:c>
      <x:c r="I839" s="31" t="n">
        <x:v>2</x:v>
      </x:c>
      <x:c r="J839" s="31" t="n">
        <x:v>2</x:v>
      </x:c>
      <x:c r="K839" s="31" t="n">
        <x:v>24</x:v>
      </x:c>
      <x:c r="L839" s="31" t="n">
        <x:v>15.7</x:v>
      </x:c>
      <x:c r="M839" s="31" t="n">
        <x:v>0</x:v>
      </x:c>
      <x:c r="N839" s="31" t="inlineStr">
        <x:is>
          <x:t xml:space="preserve">Нет</x:t>
        </x:is>
      </x:c>
      <x:c r="O839" s="31" t="inlineStr">
        <x:is>
          <x:t xml:space="preserve">Спорный факт</x:t>
        </x:is>
      </x:c>
      <x:c r="P839" s="31" t="inlineStr">
        <x:is>
          <x:t xml:space="preserve">Комментарий смены 908</x:t>
        </x:is>
      </x:c>
    </x:row>
    <x:row r="840">
      <x:c r="A840" s="31" t="inlineStr">
        <x:is>
          <x:t xml:space="preserve">СМ-00909</x:t>
        </x:is>
      </x:c>
      <x:c r="B840" s="31" t="n">
        <x:v>46197</x:v>
      </x:c>
      <x:c r="C840" s="31" t="inlineStr">
        <x:is>
          <x:t xml:space="preserve">День</x:t>
        </x:is>
      </x:c>
      <x:c r="D840" s="31" t="inlineStr">
        <x:is>
          <x:t xml:space="preserve">ПЗ-00174</x:t>
        </x:is>
      </x:c>
      <x:c r="E840" s="31" t="inlineStr">
        <x:is>
          <x:t xml:space="preserve">ОП-001448</x:t>
        </x:is>
      </x:c>
      <x:c r="F840" s="31" t="n"/>
      <x:c r="G840" s="31" t="inlineStr">
        <x:is>
          <x:t xml:space="preserve">СОТР-070</x:t>
        </x:is>
      </x:c>
      <x:c r="H840" s="31" t="inlineStr">
        <x:is>
          <x:t xml:space="preserve">Логистика</x:t>
        </x:is>
      </x:c>
      <x:c r="I840" s="31" t="n">
        <x:v>7</x:v>
      </x:c>
      <x:c r="J840" s="31" t="n">
        <x:v>0</x:v>
      </x:c>
      <x:c r="K840" s="31" t="n">
        <x:v>36.8</x:v>
      </x:c>
      <x:c r="L840" s="31" t="n">
        <x:v>29.4</x:v>
      </x:c>
      <x:c r="M840" s="31" t="n">
        <x:v>30</x:v>
      </x:c>
      <x:c r="N840" s="31" t="inlineStr">
        <x:is>
          <x:t xml:space="preserve">Переналадка</x:t>
        </x:is>
      </x:c>
      <x:c r="O840" s="31" t="inlineStr">
        <x:is>
          <x:t xml:space="preserve">Подтверждено мастером</x:t>
        </x:is>
      </x:c>
      <x:c r="P840" s="31" t="inlineStr">
        <x:is>
          <x:t xml:space="preserve">Комментарий смены 909</x:t>
        </x:is>
      </x:c>
    </x:row>
    <x:row r="841">
      <x:c r="A841" s="31" t="inlineStr">
        <x:is>
          <x:t xml:space="preserve">СМ-00910</x:t>
        </x:is>
      </x:c>
      <x:c r="B841" s="31" t="n">
        <x:v>46188</x:v>
      </x:c>
      <x:c r="C841" s="31" t="inlineStr">
        <x:is>
          <x:t xml:space="preserve">День</x:t>
        </x:is>
      </x:c>
      <x:c r="D841" s="31" t="inlineStr">
        <x:is>
          <x:t xml:space="preserve">ПЗ-00063</x:t>
        </x:is>
      </x:c>
      <x:c r="E841" s="31" t="inlineStr">
        <x:is>
          <x:t xml:space="preserve">ОП-000533</x:t>
        </x:is>
      </x:c>
      <x:c r="F841" s="31" t="inlineStr">
        <x:is>
          <x:t xml:space="preserve">ОБ-004</x:t>
        </x:is>
      </x:c>
      <x:c r="G841" s="31" t="inlineStr">
        <x:is>
          <x:t xml:space="preserve">СОТР-067</x:t>
        </x:is>
      </x:c>
      <x:c r="H841" s="31" t="inlineStr">
        <x:is>
          <x:t xml:space="preserve">Сварка</x:t>
        </x:is>
      </x:c>
      <x:c r="I841" s="31" t="n">
        <x:v>1</x:v>
      </x:c>
      <x:c r="J841" s="31" t="n">
        <x:v>0</x:v>
      </x:c>
      <x:c r="K841" s="31" t="n">
        <x:v>43</x:v>
      </x:c>
      <x:c r="L841" s="31" t="n">
        <x:v>36</x:v>
      </x:c>
      <x:c r="M841" s="31" t="n">
        <x:v>30</x:v>
      </x:c>
      <x:c r="N841" s="31" t="inlineStr">
        <x:is>
          <x:t xml:space="preserve">Переналадка</x:t>
        </x:is>
      </x:c>
      <x:c r="O841" s="31" t="inlineStr">
        <x:is>
          <x:t xml:space="preserve">Подтверждено мастером</x:t>
        </x:is>
      </x:c>
      <x:c r="P841" s="31" t="inlineStr">
        <x:is>
          <x:t xml:space="preserve">Комментарий смены 910</x:t>
        </x:is>
      </x:c>
    </x:row>
    <x:row r="842">
      <x:c r="A842" s="31" t="inlineStr">
        <x:is>
          <x:t xml:space="preserve">СМ-00912</x:t>
        </x:is>
      </x:c>
      <x:c r="B842" s="31" t="n">
        <x:v>46178</x:v>
      </x:c>
      <x:c r="C842" s="31" t="inlineStr">
        <x:is>
          <x:t xml:space="preserve">День</x:t>
        </x:is>
      </x:c>
      <x:c r="D842" s="31" t="inlineStr">
        <x:is>
          <x:t xml:space="preserve">ПЗ-00155</x:t>
        </x:is>
      </x:c>
      <x:c r="E842" s="31" t="inlineStr">
        <x:is>
          <x:t xml:space="preserve">ОП-001280</x:t>
        </x:is>
      </x:c>
      <x:c r="F842" s="31" t="inlineStr">
        <x:is>
          <x:t xml:space="preserve">ОБ-018</x:t>
        </x:is>
      </x:c>
      <x:c r="G842" s="31" t="inlineStr">
        <x:is>
          <x:t xml:space="preserve">СОТР-056</x:t>
        </x:is>
      </x:c>
      <x:c r="H842" s="31" t="inlineStr">
        <x:is>
          <x:t xml:space="preserve">Сварка</x:t>
        </x:is>
      </x:c>
      <x:c r="I842" s="31" t="n">
        <x:v>3</x:v>
      </x:c>
      <x:c r="J842" s="31" t="n">
        <x:v>4</x:v>
      </x:c>
      <x:c r="K842" s="31" t="n">
        <x:v>25.2</x:v>
      </x:c>
      <x:c r="L842" s="31" t="n">
        <x:v>29</x:v>
      </x:c>
      <x:c r="M842" s="31" t="n">
        <x:v>30</x:v>
      </x:c>
      <x:c r="N842" s="31" t="inlineStr">
        <x:is>
          <x:t xml:space="preserve">Переналадка</x:t>
        </x:is>
      </x:c>
      <x:c r="O842" s="31" t="inlineStr">
        <x:is>
          <x:t xml:space="preserve">Подтверждено мастером</x:t>
        </x:is>
      </x:c>
      <x:c r="P842" s="31" t="inlineStr">
        <x:is>
          <x:t xml:space="preserve">Комментарий смены 912</x:t>
        </x:is>
      </x:c>
    </x:row>
    <x:row r="843">
      <x:c r="A843" s="31" t="inlineStr">
        <x:is>
          <x:t xml:space="preserve">СМ-00913</x:t>
        </x:is>
      </x:c>
      <x:c r="B843" s="31" t="n">
        <x:v>46154</x:v>
      </x:c>
      <x:c r="C843" s="31" t="inlineStr">
        <x:is>
          <x:t xml:space="preserve">День</x:t>
        </x:is>
      </x:c>
      <x:c r="D843" s="31" t="inlineStr">
        <x:is>
          <x:t xml:space="preserve">ПЗ-00190</x:t>
        </x:is>
      </x:c>
      <x:c r="E843" s="31" t="inlineStr">
        <x:is>
          <x:t xml:space="preserve">ОП-001586</x:t>
        </x:is>
      </x:c>
      <x:c r="F843" s="31" t="inlineStr">
        <x:is>
          <x:t xml:space="preserve">ОБ-017</x:t>
        </x:is>
      </x:c>
      <x:c r="G843" s="31" t="inlineStr">
        <x:is>
          <x:t xml:space="preserve">СОТР-088</x:t>
        </x:is>
      </x:c>
      <x:c r="H843" s="31" t="inlineStr">
        <x:is>
          <x:t xml:space="preserve">Сборка</x:t>
        </x:is>
      </x:c>
      <x:c r="I843" s="31" t="n">
        <x:v>1</x:v>
      </x:c>
      <x:c r="J843" s="31" t="n">
        <x:v>0</x:v>
      </x:c>
      <x:c r="K843" s="31" t="n">
        <x:v>11.7</x:v>
      </x:c>
      <x:c r="L843" s="31" t="n">
        <x:v>12.7</x:v>
      </x:c>
      <x:c r="M843" s="31" t="n">
        <x:v>0</x:v>
      </x:c>
      <x:c r="N843" s="31" t="inlineStr">
        <x:is>
          <x:t xml:space="preserve">Нет</x:t>
        </x:is>
      </x:c>
      <x:c r="O843" s="31" t="inlineStr">
        <x:is>
          <x:t xml:space="preserve">Подтверждено мастером</x:t>
        </x:is>
      </x:c>
      <x:c r="P843" s="31" t="inlineStr">
        <x:is>
          <x:t xml:space="preserve">Комментарий смены 913</x:t>
        </x:is>
      </x:c>
    </x:row>
    <x:row r="844">
      <x:c r="A844" s="31" t="inlineStr">
        <x:is>
          <x:t xml:space="preserve">СМ-00914</x:t>
        </x:is>
      </x:c>
      <x:c r="B844" s="31" t="n">
        <x:v>46139</x:v>
      </x:c>
      <x:c r="C844" s="31" t="inlineStr">
        <x:is>
          <x:t xml:space="preserve">Вечер</x:t>
        </x:is>
      </x:c>
      <x:c r="D844" s="31" t="inlineStr">
        <x:is>
          <x:t xml:space="preserve">ПЗ-00077</x:t>
        </x:is>
      </x:c>
      <x:c r="E844" s="31" t="inlineStr">
        <x:is>
          <x:t xml:space="preserve">ОП-000658</x:t>
        </x:is>
      </x:c>
      <x:c r="F844" s="31" t="inlineStr">
        <x:is>
          <x:t xml:space="preserve">ОБ-022</x:t>
        </x:is>
      </x:c>
      <x:c r="G844" s="31" t="inlineStr">
        <x:is>
          <x:t xml:space="preserve">СОТР-093</x:t>
        </x:is>
      </x:c>
      <x:c r="H844" s="31" t="inlineStr">
        <x:is>
          <x:t xml:space="preserve">ОТК</x:t>
        </x:is>
      </x:c>
      <x:c r="I844" s="31" t="n">
        <x:v>2</x:v>
      </x:c>
      <x:c r="J844" s="31" t="n">
        <x:v>0</x:v>
      </x:c>
      <x:c r="K844" s="31" t="n">
        <x:v>33.6</x:v>
      </x:c>
      <x:c r="L844" s="31" t="n">
        <x:v>34.8</x:v>
      </x:c>
      <x:c r="M844" s="31" t="n">
        <x:v>90</x:v>
      </x:c>
      <x:c r="N844" s="31" t="inlineStr">
        <x:is>
          <x:t xml:space="preserve">Ожидание материала</x:t>
        </x:is>
      </x:c>
      <x:c r="O844" s="31" t="inlineStr">
        <x:is>
          <x:t xml:space="preserve">Подтверждено мастером</x:t>
        </x:is>
      </x:c>
      <x:c r="P844" s="31" t="inlineStr">
        <x:is>
          <x:t xml:space="preserve">Комментарий смены 914</x:t>
        </x:is>
      </x:c>
    </x:row>
    <x:row r="845">
      <x:c r="A845" s="31" t="inlineStr">
        <x:is>
          <x:t xml:space="preserve">СМ-00915</x:t>
        </x:is>
      </x:c>
      <x:c r="B845" s="31" t="n">
        <x:v>46140</x:v>
      </x:c>
      <x:c r="C845" s="31" t="inlineStr">
        <x:is>
          <x:t xml:space="preserve">Ночь</x:t>
        </x:is>
      </x:c>
      <x:c r="D845" s="31" t="inlineStr">
        <x:is>
          <x:t xml:space="preserve">ПЗ-00040</x:t>
        </x:is>
      </x:c>
      <x:c r="E845" s="31" t="inlineStr">
        <x:is>
          <x:t xml:space="preserve">ОП-000339</x:t>
        </x:is>
      </x:c>
      <x:c r="F845" s="31" t="n"/>
      <x:c r="G845" s="31" t="inlineStr">
        <x:is>
          <x:t xml:space="preserve">СОТР-104</x:t>
        </x:is>
      </x:c>
      <x:c r="H845" s="31" t="inlineStr">
        <x:is>
          <x:t xml:space="preserve">Логистика</x:t>
        </x:is>
      </x:c>
      <x:c r="I845" s="31" t="n">
        <x:v>6</x:v>
      </x:c>
      <x:c r="J845" s="31" t="n">
        <x:v>7</x:v>
      </x:c>
      <x:c r="K845" s="31" t="n">
        <x:v>76</x:v>
      </x:c>
      <x:c r="L845" s="31" t="n">
        <x:v>92.8</x:v>
      </x:c>
      <x:c r="M845" s="31" t="n">
        <x:v>0</x:v>
      </x:c>
      <x:c r="N845" s="31" t="inlineStr">
        <x:is>
          <x:t xml:space="preserve">Нет</x:t>
        </x:is>
      </x:c>
      <x:c r="O845" s="31" t="inlineStr">
        <x:is>
          <x:t xml:space="preserve">Подтверждено мастером</x:t>
        </x:is>
      </x:c>
      <x:c r="P845" s="31" t="inlineStr">
        <x:is>
          <x:t xml:space="preserve">Комментарий смены 915</x:t>
        </x:is>
      </x:c>
    </x:row>
    <x:row r="846">
      <x:c r="A846" s="31" t="inlineStr">
        <x:is>
          <x:t xml:space="preserve">СМ-00916</x:t>
        </x:is>
      </x:c>
      <x:c r="B846" s="31" t="n">
        <x:v>46064</x:v>
      </x:c>
      <x:c r="C846" s="31" t="inlineStr">
        <x:is>
          <x:t xml:space="preserve">День</x:t>
        </x:is>
      </x:c>
      <x:c r="D846" s="31" t="inlineStr">
        <x:is>
          <x:t xml:space="preserve">ПЗ-00046</x:t>
        </x:is>
      </x:c>
      <x:c r="E846" s="31" t="inlineStr">
        <x:is>
          <x:t xml:space="preserve">ОП-000382</x:t>
        </x:is>
      </x:c>
      <x:c r="F846" s="31" t="n"/>
      <x:c r="G846" s="31" t="inlineStr">
        <x:is>
          <x:t xml:space="preserve">СОТР-021</x:t>
        </x:is>
      </x:c>
      <x:c r="H846" s="31" t="inlineStr">
        <x:is>
          <x:t xml:space="preserve">Инженерный отдел</x:t>
        </x:is>
      </x:c>
      <x:c r="I846" s="31" t="n">
        <x:v>1</x:v>
      </x:c>
      <x:c r="J846" s="31" t="n">
        <x:v>0</x:v>
      </x:c>
      <x:c r="K846" s="31" t="n">
        <x:v>36.8</x:v>
      </x:c>
      <x:c r="L846" s="31" t="n">
        <x:v>19</x:v>
      </x:c>
      <x:c r="M846" s="31" t="n">
        <x:v>60</x:v>
      </x:c>
      <x:c r="N846" s="31" t="inlineStr">
        <x:is>
          <x:t xml:space="preserve">Переналадка</x:t>
        </x:is>
      </x:c>
      <x:c r="O846" s="31" t="inlineStr">
        <x:is>
          <x:t xml:space="preserve">Подтверждено мастером</x:t>
        </x:is>
      </x:c>
      <x:c r="P846" s="31" t="inlineStr">
        <x:is>
          <x:t xml:space="preserve">Комментарий смены 916</x:t>
        </x:is>
      </x:c>
    </x:row>
    <x:row r="847">
      <x:c r="A847" s="31" t="inlineStr">
        <x:is>
          <x:t xml:space="preserve">СМ-00917</x:t>
        </x:is>
      </x:c>
      <x:c r="B847" s="31" t="n">
        <x:v>46121</x:v>
      </x:c>
      <x:c r="C847" s="31" t="inlineStr">
        <x:is>
          <x:t xml:space="preserve">День</x:t>
        </x:is>
      </x:c>
      <x:c r="D847" s="31" t="inlineStr">
        <x:is>
          <x:t xml:space="preserve">ПЗ-00230</x:t>
        </x:is>
      </x:c>
      <x:c r="E847" s="31" t="inlineStr">
        <x:is>
          <x:t xml:space="preserve">ОП-001930</x:t>
        </x:is>
      </x:c>
      <x:c r="F847" s="31" t="inlineStr">
        <x:is>
          <x:t xml:space="preserve">ОБ-010</x:t>
        </x:is>
      </x:c>
      <x:c r="G847" s="31" t="inlineStr">
        <x:is>
          <x:t xml:space="preserve">СОТР-058</x:t>
        </x:is>
      </x:c>
      <x:c r="H847" s="31" t="inlineStr">
        <x:is>
          <x:t xml:space="preserve">Сварка</x:t>
        </x:is>
      </x:c>
      <x:c r="I847" s="31" t="n">
        <x:v>1</x:v>
      </x:c>
      <x:c r="J847" s="31" t="n">
        <x:v>0</x:v>
      </x:c>
      <x:c r="K847" s="31" t="n">
        <x:v>7.8</x:v>
      </x:c>
      <x:c r="L847" s="31" t="n">
        <x:v>9.199999999999999</x:v>
      </x:c>
      <x:c r="M847" s="31" t="n">
        <x:v>90</x:v>
      </x:c>
      <x:c r="N847" s="31" t="inlineStr">
        <x:is>
          <x:t xml:space="preserve">Ремонт оборудования</x:t>
        </x:is>
      </x:c>
      <x:c r="O847" s="31" t="inlineStr">
        <x:is>
          <x:t xml:space="preserve">Подтверждено мастером</x:t>
        </x:is>
      </x:c>
      <x:c r="P847" s="31" t="inlineStr">
        <x:is>
          <x:t xml:space="preserve">Комментарий смены 917</x:t>
        </x:is>
      </x:c>
    </x:row>
    <x:row r="848">
      <x:c r="A848" s="31" t="inlineStr">
        <x:is>
          <x:t xml:space="preserve">СМ-00918</x:t>
        </x:is>
      </x:c>
      <x:c r="B848" s="31" t="n">
        <x:v>46172</x:v>
      </x:c>
      <x:c r="C848" s="31" t="inlineStr">
        <x:is>
          <x:t xml:space="preserve">День</x:t>
        </x:is>
      </x:c>
      <x:c r="D848" s="31" t="inlineStr">
        <x:is>
          <x:t xml:space="preserve">ПЗ-00045</x:t>
        </x:is>
      </x:c>
      <x:c r="E848" s="31" t="inlineStr">
        <x:is>
          <x:t xml:space="preserve">ОП-000379</x:t>
        </x:is>
      </x:c>
      <x:c r="F848" s="31" t="inlineStr">
        <x:is>
          <x:t xml:space="preserve">ОБ-007</x:t>
        </x:is>
      </x:c>
      <x:c r="G848" s="31" t="inlineStr">
        <x:is>
          <x:t xml:space="preserve">СОТР-098</x:t>
        </x:is>
      </x:c>
      <x:c r="H848" s="31" t="inlineStr">
        <x:is>
          <x:t xml:space="preserve">ОТК</x:t>
        </x:is>
      </x:c>
      <x:c r="I848" s="31" t="n">
        <x:v>1</x:v>
      </x:c>
      <x:c r="J848" s="31" t="n">
        <x:v>2</x:v>
      </x:c>
      <x:c r="K848" s="31" t="n">
        <x:v>45.6</x:v>
      </x:c>
      <x:c r="L848" s="31" t="n">
        <x:v>51.6</x:v>
      </x:c>
      <x:c r="M848" s="31" t="n">
        <x:v>30</x:v>
      </x:c>
      <x:c r="N848" s="31" t="inlineStr">
        <x:is>
          <x:t xml:space="preserve">Ремонт оборудования</x:t>
        </x:is>
      </x:c>
      <x:c r="O848" s="31" t="inlineStr">
        <x:is>
          <x:t xml:space="preserve">Подтверждено мастером</x:t>
        </x:is>
      </x:c>
      <x:c r="P848" s="31" t="inlineStr">
        <x:is>
          <x:t xml:space="preserve">Комментарий смены 918</x:t>
        </x:is>
      </x:c>
    </x:row>
    <x:row r="849">
      <x:c r="A849" s="31" t="inlineStr">
        <x:is>
          <x:t xml:space="preserve">СМ-00919</x:t>
        </x:is>
      </x:c>
      <x:c r="B849" s="31" t="n">
        <x:v>46201</x:v>
      </x:c>
      <x:c r="C849" s="31" t="inlineStr">
        <x:is>
          <x:t xml:space="preserve">День</x:t>
        </x:is>
      </x:c>
      <x:c r="D849" s="31" t="inlineStr">
        <x:is>
          <x:t xml:space="preserve">ПЗ-00206</x:t>
        </x:is>
      </x:c>
      <x:c r="E849" s="31" t="inlineStr">
        <x:is>
          <x:t xml:space="preserve">ОП-001731</x:t>
        </x:is>
      </x:c>
      <x:c r="F849" s="31" t="inlineStr">
        <x:is>
          <x:t xml:space="preserve">ОБ-013</x:t>
        </x:is>
      </x:c>
      <x:c r="G849" s="31" t="inlineStr">
        <x:is>
          <x:t xml:space="preserve">СОТР-093</x:t>
        </x:is>
      </x:c>
      <x:c r="H849" s="31" t="inlineStr">
        <x:is>
          <x:t xml:space="preserve">ОТК</x:t>
        </x:is>
      </x:c>
      <x:c r="I849" s="31" t="n">
        <x:v>1</x:v>
      </x:c>
      <x:c r="J849" s="31" t="n">
        <x:v>1</x:v>
      </x:c>
      <x:c r="K849" s="31" t="n">
        <x:v>127</x:v>
      </x:c>
      <x:c r="L849" s="31" t="n">
        <x:v>147.1</x:v>
      </x:c>
      <x:c r="M849" s="31" t="n">
        <x:v>120</x:v>
      </x:c>
      <x:c r="N849" s="31" t="inlineStr">
        <x:is>
          <x:t xml:space="preserve">Нет оператора</x:t>
        </x:is>
      </x:c>
      <x:c r="O849" s="31" t="inlineStr">
        <x:is>
          <x:t xml:space="preserve">Спорный факт</x:t>
        </x:is>
      </x:c>
      <x:c r="P849" s="31" t="inlineStr">
        <x:is>
          <x:t xml:space="preserve">Комментарий смены 919</x:t>
        </x:is>
      </x:c>
    </x:row>
    <x:row r="850">
      <x:c r="A850" s="31" t="inlineStr">
        <x:is>
          <x:t xml:space="preserve">СМ-00920</x:t>
        </x:is>
      </x:c>
      <x:c r="B850" s="31" t="n">
        <x:v>46067</x:v>
      </x:c>
      <x:c r="C850" s="31" t="inlineStr">
        <x:is>
          <x:t xml:space="preserve">Вечер</x:t>
        </x:is>
      </x:c>
      <x:c r="D850" s="31" t="inlineStr">
        <x:is>
          <x:t xml:space="preserve">ПЗ-00255</x:t>
        </x:is>
      </x:c>
      <x:c r="E850" s="31" t="inlineStr">
        <x:is>
          <x:t xml:space="preserve">ОП-002131</x:t>
        </x:is>
      </x:c>
      <x:c r="F850" s="31" t="inlineStr">
        <x:is>
          <x:t xml:space="preserve">ОБ-026</x:t>
        </x:is>
      </x:c>
      <x:c r="G850" s="31" t="inlineStr">
        <x:is>
          <x:t xml:space="preserve">СОТР-072</x:t>
        </x:is>
      </x:c>
      <x:c r="H850" s="31" t="inlineStr">
        <x:is>
          <x:t xml:space="preserve">Сварка</x:t>
        </x:is>
      </x:c>
      <x:c r="I850" s="31" t="n">
        <x:v>1</x:v>
      </x:c>
      <x:c r="J850" s="31" t="n">
        <x:v>1</x:v>
      </x:c>
      <x:c r="K850" s="31" t="n">
        <x:v>3.9</x:v>
      </x:c>
      <x:c r="L850" s="31" t="n">
        <x:v>3.6</x:v>
      </x:c>
      <x:c r="M850" s="31" t="n">
        <x:v>30</x:v>
      </x:c>
      <x:c r="N850" s="31" t="inlineStr">
        <x:is>
          <x:t xml:space="preserve">Ожидание материала</x:t>
        </x:is>
      </x:c>
      <x:c r="O850" s="31" t="inlineStr">
        <x:is>
          <x:t xml:space="preserve">Подтверждено мастером</x:t>
        </x:is>
      </x:c>
      <x:c r="P850" s="31" t="inlineStr">
        <x:is>
          <x:t xml:space="preserve">Комментарий смены 920</x:t>
        </x:is>
      </x:c>
    </x:row>
    <x:row r="851">
      <x:c r="A851" s="31" t="inlineStr">
        <x:is>
          <x:t xml:space="preserve">СМ-00922</x:t>
        </x:is>
      </x:c>
      <x:c r="B851" s="31" t="n">
        <x:v>46202</x:v>
      </x:c>
      <x:c r="C851" s="31" t="inlineStr">
        <x:is>
          <x:t xml:space="preserve">День</x:t>
        </x:is>
      </x:c>
      <x:c r="D851" s="31" t="inlineStr">
        <x:is>
          <x:t xml:space="preserve">ПЗ-00171</x:t>
        </x:is>
      </x:c>
      <x:c r="E851" s="31" t="inlineStr">
        <x:is>
          <x:t xml:space="preserve">ОП-001417</x:t>
        </x:is>
      </x:c>
      <x:c r="F851" s="31" t="inlineStr">
        <x:is>
          <x:t xml:space="preserve">ОБ-008</x:t>
        </x:is>
      </x:c>
      <x:c r="G851" s="31" t="inlineStr">
        <x:is>
          <x:t xml:space="preserve">СОТР-033</x:t>
        </x:is>
      </x:c>
      <x:c r="H851" s="31" t="inlineStr">
        <x:is>
          <x:t xml:space="preserve">Склад</x:t>
        </x:is>
      </x:c>
      <x:c r="I851" s="31" t="n">
        <x:v>3</x:v>
      </x:c>
      <x:c r="J851" s="31" t="n">
        <x:v>4</x:v>
      </x:c>
      <x:c r="K851" s="31" t="n">
        <x:v>30.9</x:v>
      </x:c>
      <x:c r="L851" s="31" t="n">
        <x:v>37.3</x:v>
      </x:c>
      <x:c r="M851" s="31" t="n">
        <x:v>90</x:v>
      </x:c>
      <x:c r="N851" s="31" t="inlineStr">
        <x:is>
          <x:t xml:space="preserve">Переналадка</x:t>
        </x:is>
      </x:c>
      <x:c r="O851" s="31" t="inlineStr">
        <x:is>
          <x:t xml:space="preserve">Подтверждено мастером</x:t>
        </x:is>
      </x:c>
      <x:c r="P851" s="31" t="inlineStr">
        <x:is>
          <x:t xml:space="preserve">Комментарий смены 922</x:t>
        </x:is>
      </x:c>
    </x:row>
    <x:row r="852">
      <x:c r="A852" s="31" t="inlineStr">
        <x:is>
          <x:t xml:space="preserve">СМ-00923</x:t>
        </x:is>
      </x:c>
      <x:c r="B852" s="31" t="n">
        <x:v>46041</x:v>
      </x:c>
      <x:c r="C852" s="31" t="inlineStr">
        <x:is>
          <x:t xml:space="preserve">Вечер</x:t>
        </x:is>
      </x:c>
      <x:c r="D852" s="31" t="inlineStr">
        <x:is>
          <x:t xml:space="preserve">ПЗ-00073</x:t>
        </x:is>
      </x:c>
      <x:c r="E852" s="31" t="inlineStr">
        <x:is>
          <x:t xml:space="preserve">ОП-000618</x:t>
        </x:is>
      </x:c>
      <x:c r="F852" s="31" t="n"/>
      <x:c r="G852" s="31" t="inlineStr">
        <x:is>
          <x:t xml:space="preserve">СОТР-013</x:t>
        </x:is>
      </x:c>
      <x:c r="H852" s="31" t="inlineStr">
        <x:is>
          <x:t xml:space="preserve">Инженерный отдел</x:t>
        </x:is>
      </x:c>
      <x:c r="I852" s="31" t="n">
        <x:v>2</x:v>
      </x:c>
      <x:c r="J852" s="31" t="n">
        <x:v>1</x:v>
      </x:c>
      <x:c r="K852" s="31" t="n">
        <x:v>27.3</x:v>
      </x:c>
      <x:c r="L852" s="31" t="n">
        <x:v>27.3</x:v>
      </x:c>
      <x:c r="M852" s="31" t="n">
        <x:v>60</x:v>
      </x:c>
      <x:c r="N852" s="31" t="inlineStr">
        <x:is>
          <x:t xml:space="preserve">Ожидание материала</x:t>
        </x:is>
      </x:c>
      <x:c r="O852" s="31" t="inlineStr">
        <x:is>
          <x:t xml:space="preserve">Подтверждено мастером</x:t>
        </x:is>
      </x:c>
      <x:c r="P852" s="31" t="inlineStr">
        <x:is>
          <x:t xml:space="preserve">Комментарий смены 923</x:t>
        </x:is>
      </x:c>
    </x:row>
    <x:row r="853">
      <x:c r="A853" s="31" t="inlineStr">
        <x:is>
          <x:t xml:space="preserve">СМ-00924</x:t>
        </x:is>
      </x:c>
      <x:c r="B853" s="31" t="n">
        <x:v>46130</x:v>
      </x:c>
      <x:c r="C853" s="31" t="inlineStr">
        <x:is>
          <x:t xml:space="preserve">День</x:t>
        </x:is>
      </x:c>
      <x:c r="D853" s="31" t="inlineStr">
        <x:is>
          <x:t xml:space="preserve">ПЗ-00260</x:t>
        </x:is>
      </x:c>
      <x:c r="E853" s="31" t="inlineStr">
        <x:is>
          <x:t xml:space="preserve">ОП-002161</x:t>
        </x:is>
      </x:c>
      <x:c r="F853" s="31" t="inlineStr">
        <x:is>
          <x:t xml:space="preserve">ОБ-021</x:t>
        </x:is>
      </x:c>
      <x:c r="G853" s="31" t="inlineStr">
        <x:is>
          <x:t xml:space="preserve">СОТР-064</x:t>
        </x:is>
      </x:c>
      <x:c r="H853" s="31" t="inlineStr">
        <x:is>
          <x:t xml:space="preserve">Сварка</x:t>
        </x:is>
      </x:c>
      <x:c r="I853" s="31" t="n">
        <x:v>1</x:v>
      </x:c>
      <x:c r="J853" s="31" t="n">
        <x:v>0</x:v>
      </x:c>
      <x:c r="K853" s="31" t="n">
        <x:v>38.1</x:v>
      </x:c>
      <x:c r="L853" s="31" t="n">
        <x:v>37.6</x:v>
      </x:c>
      <x:c r="M853" s="31" t="n">
        <x:v>0</x:v>
      </x:c>
      <x:c r="N853" s="31" t="inlineStr">
        <x:is>
          <x:t xml:space="preserve">Нет</x:t>
        </x:is>
      </x:c>
      <x:c r="O853" s="31" t="inlineStr">
        <x:is>
          <x:t xml:space="preserve">Подтверждено мастером</x:t>
        </x:is>
      </x:c>
      <x:c r="P853" s="31" t="inlineStr">
        <x:is>
          <x:t xml:space="preserve">Комментарий смены 924</x:t>
        </x:is>
      </x:c>
    </x:row>
    <x:row r="854">
      <x:c r="A854" s="31" t="inlineStr">
        <x:is>
          <x:t xml:space="preserve">СМ-00925</x:t>
        </x:is>
      </x:c>
      <x:c r="B854" s="31" t="n">
        <x:v>46110</x:v>
      </x:c>
      <x:c r="C854" s="31" t="inlineStr">
        <x:is>
          <x:t xml:space="preserve">День</x:t>
        </x:is>
      </x:c>
      <x:c r="D854" s="31" t="inlineStr">
        <x:is>
          <x:t xml:space="preserve">ПЗ-00067</x:t>
        </x:is>
      </x:c>
      <x:c r="E854" s="31" t="inlineStr">
        <x:is>
          <x:t xml:space="preserve">ОП-000571</x:t>
        </x:is>
      </x:c>
      <x:c r="F854" s="31" t="inlineStr">
        <x:is>
          <x:t xml:space="preserve">ОБ-002</x:t>
        </x:is>
      </x:c>
      <x:c r="G854" s="31" t="inlineStr">
        <x:is>
          <x:t xml:space="preserve">СОТР-032</x:t>
        </x:is>
      </x:c>
      <x:c r="H854" s="31" t="inlineStr">
        <x:is>
          <x:t xml:space="preserve">Сборка</x:t>
        </x:is>
      </x:c>
      <x:c r="I854" s="31" t="n">
        <x:v>2</x:v>
      </x:c>
      <x:c r="J854" s="31" t="n">
        <x:v>0</x:v>
      </x:c>
      <x:c r="K854" s="31" t="n">
        <x:v>2.4</x:v>
      </x:c>
      <x:c r="L854" s="31" t="n">
        <x:v>1.9</x:v>
      </x:c>
      <x:c r="M854" s="31" t="n">
        <x:v>90</x:v>
      </x:c>
      <x:c r="N854" s="31" t="inlineStr">
        <x:is>
          <x:t xml:space="preserve">Ожидание ОТК</x:t>
        </x:is>
      </x:c>
      <x:c r="O854" s="31" t="inlineStr">
        <x:is>
          <x:t xml:space="preserve">Подтверждено мастером</x:t>
        </x:is>
      </x:c>
      <x:c r="P854" s="31" t="inlineStr">
        <x:is>
          <x:t xml:space="preserve">Комментарий смены 925</x:t>
        </x:is>
      </x:c>
    </x:row>
    <x:row r="855">
      <x:c r="A855" s="31" t="inlineStr">
        <x:is>
          <x:t xml:space="preserve">СМ-00926</x:t>
        </x:is>
      </x:c>
      <x:c r="B855" s="31" t="n">
        <x:v>46151</x:v>
      </x:c>
      <x:c r="C855" s="31" t="inlineStr">
        <x:is>
          <x:t xml:space="preserve">Вечер</x:t>
        </x:is>
      </x:c>
      <x:c r="D855" s="31" t="inlineStr">
        <x:is>
          <x:t xml:space="preserve">ПЗ-00060</x:t>
        </x:is>
      </x:c>
      <x:c r="E855" s="31" t="inlineStr">
        <x:is>
          <x:t xml:space="preserve">ОП-000509</x:t>
        </x:is>
      </x:c>
      <x:c r="F855" s="31" t="n"/>
      <x:c r="G855" s="31" t="inlineStr">
        <x:is>
          <x:t xml:space="preserve">СОТР-104</x:t>
        </x:is>
      </x:c>
      <x:c r="H855" s="31" t="inlineStr">
        <x:is>
          <x:t xml:space="preserve">Логистика</x:t>
        </x:is>
      </x:c>
      <x:c r="I855" s="31" t="n">
        <x:v>1</x:v>
      </x:c>
      <x:c r="J855" s="31" t="n">
        <x:v>2</x:v>
      </x:c>
      <x:c r="K855" s="31" t="n">
        <x:v>4.5</x:v>
      </x:c>
      <x:c r="L855" s="31" t="n">
        <x:v>4.8</x:v>
      </x:c>
      <x:c r="M855" s="31" t="n">
        <x:v>30</x:v>
      </x:c>
      <x:c r="N855" s="31" t="inlineStr">
        <x:is>
          <x:t xml:space="preserve">Ремонт оборудования</x:t>
        </x:is>
      </x:c>
      <x:c r="O855" s="31" t="inlineStr">
        <x:is>
          <x:t xml:space="preserve">Черновик</x:t>
        </x:is>
      </x:c>
      <x:c r="P855" s="31" t="inlineStr">
        <x:is>
          <x:t xml:space="preserve">Комментарий смены 926</x:t>
        </x:is>
      </x:c>
    </x:row>
    <x:row r="856">
      <x:c r="A856" s="31" t="inlineStr">
        <x:is>
          <x:t xml:space="preserve">СМ-00927</x:t>
        </x:is>
      </x:c>
      <x:c r="B856" s="31" t="n">
        <x:v>46101</x:v>
      </x:c>
      <x:c r="C856" s="31" t="inlineStr">
        <x:is>
          <x:t xml:space="preserve">День</x:t>
        </x:is>
      </x:c>
      <x:c r="D856" s="31" t="inlineStr">
        <x:is>
          <x:t xml:space="preserve">ПЗ-00105</x:t>
        </x:is>
      </x:c>
      <x:c r="E856" s="31" t="inlineStr">
        <x:is>
          <x:t xml:space="preserve">ОП-000880</x:t>
        </x:is>
      </x:c>
      <x:c r="F856" s="31" t="inlineStr">
        <x:is>
          <x:t xml:space="preserve">ОБ-027</x:t>
        </x:is>
      </x:c>
      <x:c r="G856" s="31" t="inlineStr">
        <x:is>
          <x:t xml:space="preserve">СОТР-084</x:t>
        </x:is>
      </x:c>
      <x:c r="H856" s="31" t="inlineStr">
        <x:is>
          <x:t xml:space="preserve">Сборка</x:t>
        </x:is>
      </x:c>
      <x:c r="I856" s="31" t="n">
        <x:v>1</x:v>
      </x:c>
      <x:c r="J856" s="31" t="n">
        <x:v>1</x:v>
      </x:c>
      <x:c r="K856" s="31" t="n">
        <x:v>4.4</x:v>
      </x:c>
      <x:c r="L856" s="31" t="n">
        <x:v>4</x:v>
      </x:c>
      <x:c r="M856" s="31" t="n">
        <x:v>0</x:v>
      </x:c>
      <x:c r="N856" s="31" t="inlineStr">
        <x:is>
          <x:t xml:space="preserve">Нет</x:t>
        </x:is>
      </x:c>
      <x:c r="O856" s="31" t="inlineStr">
        <x:is>
          <x:t xml:space="preserve">Подтверждено мастером</x:t>
        </x:is>
      </x:c>
      <x:c r="P856" s="31" t="inlineStr">
        <x:is>
          <x:t xml:space="preserve">Комментарий смены 927</x:t>
        </x:is>
      </x:c>
    </x:row>
    <x:row r="857">
      <x:c r="A857" s="31" t="inlineStr">
        <x:is>
          <x:t xml:space="preserve">СМ-00928</x:t>
        </x:is>
      </x:c>
      <x:c r="B857" s="31" t="n">
        <x:v>46107</x:v>
      </x:c>
      <x:c r="C857" s="31" t="inlineStr">
        <x:is>
          <x:t xml:space="preserve">Ночь</x:t>
        </x:is>
      </x:c>
      <x:c r="D857" s="31" t="inlineStr">
        <x:is>
          <x:t xml:space="preserve">ПЗ-00236</x:t>
        </x:is>
      </x:c>
      <x:c r="E857" s="31" t="inlineStr">
        <x:is>
          <x:t xml:space="preserve">ОП-001974</x:t>
        </x:is>
      </x:c>
      <x:c r="F857" s="31" t="inlineStr">
        <x:is>
          <x:t xml:space="preserve">ОБ-030</x:t>
        </x:is>
      </x:c>
      <x:c r="G857" s="31" t="inlineStr">
        <x:is>
          <x:t xml:space="preserve">СОТР-040</x:t>
        </x:is>
      </x:c>
      <x:c r="H857" s="31" t="inlineStr">
        <x:is>
          <x:t xml:space="preserve">Механообработка</x:t>
        </x:is>
      </x:c>
      <x:c r="I857" s="31" t="n">
        <x:v>1</x:v>
      </x:c>
      <x:c r="J857" s="31" t="n">
        <x:v>1</x:v>
      </x:c>
      <x:c r="K857" s="31" t="n">
        <x:v>3.9</x:v>
      </x:c>
      <x:c r="L857" s="31" t="n">
        <x:v>5.1</x:v>
      </x:c>
      <x:c r="M857" s="31" t="n">
        <x:v>0</x:v>
      </x:c>
      <x:c r="N857" s="31" t="inlineStr">
        <x:is>
          <x:t xml:space="preserve">Нет</x:t>
        </x:is>
      </x:c>
      <x:c r="O857" s="31" t="inlineStr">
        <x:is>
          <x:t xml:space="preserve">Подтверждено мастером</x:t>
        </x:is>
      </x:c>
      <x:c r="P857" s="31" t="inlineStr">
        <x:is>
          <x:t xml:space="preserve">Комментарий смены 928</x:t>
        </x:is>
      </x:c>
    </x:row>
    <x:row r="858">
      <x:c r="A858" s="31" t="inlineStr">
        <x:is>
          <x:t xml:space="preserve">СМ-00929</x:t>
        </x:is>
      </x:c>
      <x:c r="B858" s="31" t="n">
        <x:v>46113</x:v>
      </x:c>
      <x:c r="C858" s="31" t="inlineStr">
        <x:is>
          <x:t xml:space="preserve">День</x:t>
        </x:is>
      </x:c>
      <x:c r="D858" s="31" t="inlineStr">
        <x:is>
          <x:t xml:space="preserve">ПЗ-00107</x:t>
        </x:is>
      </x:c>
      <x:c r="E858" s="31" t="inlineStr">
        <x:is>
          <x:t xml:space="preserve">ОП-000891</x:t>
        </x:is>
      </x:c>
      <x:c r="F858" s="31" t="n"/>
      <x:c r="G858" s="31" t="inlineStr">
        <x:is>
          <x:t xml:space="preserve">СОТР-014</x:t>
        </x:is>
      </x:c>
      <x:c r="H858" s="31" t="inlineStr">
        <x:is>
          <x:t xml:space="preserve">Инженерный отдел</x:t>
        </x:is>
      </x:c>
      <x:c r="I858" s="31" t="n">
        <x:v>1</x:v>
      </x:c>
      <x:c r="J858" s="31" t="n">
        <x:v>1</x:v>
      </x:c>
      <x:c r="K858" s="31" t="n">
        <x:v>56.8</x:v>
      </x:c>
      <x:c r="L858" s="31" t="n">
        <x:v>29.7</x:v>
      </x:c>
      <x:c r="M858" s="31" t="n">
        <x:v>0</x:v>
      </x:c>
      <x:c r="N858" s="31" t="inlineStr">
        <x:is>
          <x:t xml:space="preserve">Нет</x:t>
        </x:is>
      </x:c>
      <x:c r="O858" s="31" t="inlineStr">
        <x:is>
          <x:t xml:space="preserve">Подтверждено мастером</x:t>
        </x:is>
      </x:c>
      <x:c r="P858" s="31" t="inlineStr">
        <x:is>
          <x:t xml:space="preserve">Комментарий смены 929</x:t>
        </x:is>
      </x:c>
    </x:row>
    <x:row r="859">
      <x:c r="A859" s="31" t="inlineStr">
        <x:is>
          <x:t xml:space="preserve">СМ-00930</x:t>
        </x:is>
      </x:c>
      <x:c r="B859" s="31" t="n">
        <x:v>46122</x:v>
      </x:c>
      <x:c r="C859" s="31" t="inlineStr">
        <x:is>
          <x:t xml:space="preserve">Ночь</x:t>
        </x:is>
      </x:c>
      <x:c r="D859" s="31" t="inlineStr">
        <x:is>
          <x:t xml:space="preserve">ПЗ-00237</x:t>
        </x:is>
      </x:c>
      <x:c r="E859" s="31" t="inlineStr">
        <x:is>
          <x:t xml:space="preserve">ОП-001985</x:t>
        </x:is>
      </x:c>
      <x:c r="F859" s="31" t="inlineStr">
        <x:is>
          <x:t xml:space="preserve">ОБ-003</x:t>
        </x:is>
      </x:c>
      <x:c r="G859" s="31" t="inlineStr">
        <x:is>
          <x:t xml:space="preserve">СОТР-068</x:t>
        </x:is>
      </x:c>
      <x:c r="H859" s="31" t="inlineStr">
        <x:is>
          <x:t xml:space="preserve">Сварка</x:t>
        </x:is>
      </x:c>
      <x:c r="I859" s="31" t="n">
        <x:v>3</x:v>
      </x:c>
      <x:c r="J859" s="31" t="n">
        <x:v>3</x:v>
      </x:c>
      <x:c r="K859" s="31" t="n">
        <x:v>33</x:v>
      </x:c>
      <x:c r="L859" s="31" t="n">
        <x:v>28.7</x:v>
      </x:c>
      <x:c r="M859" s="31" t="n">
        <x:v>0</x:v>
      </x:c>
      <x:c r="N859" s="31" t="inlineStr">
        <x:is>
          <x:t xml:space="preserve">Нет</x:t>
        </x:is>
      </x:c>
      <x:c r="O859" s="31" t="inlineStr">
        <x:is>
          <x:t xml:space="preserve">Подтверждено мастером</x:t>
        </x:is>
      </x:c>
      <x:c r="P859" s="31" t="inlineStr">
        <x:is>
          <x:t xml:space="preserve">Комментарий смены 930</x:t>
        </x:is>
      </x:c>
    </x:row>
    <x:row r="860">
      <x:c r="A860" s="31" t="inlineStr">
        <x:is>
          <x:t xml:space="preserve">СМ-00931</x:t>
        </x:is>
      </x:c>
      <x:c r="B860" s="31" t="n">
        <x:v>46072</x:v>
      </x:c>
      <x:c r="C860" s="31" t="inlineStr">
        <x:is>
          <x:t xml:space="preserve">Вечер</x:t>
        </x:is>
      </x:c>
      <x:c r="D860" s="31" t="inlineStr">
        <x:is>
          <x:t xml:space="preserve">ПЗ-00027</x:t>
        </x:is>
      </x:c>
      <x:c r="E860" s="31" t="inlineStr">
        <x:is>
          <x:t xml:space="preserve">ОП-000232</x:t>
        </x:is>
      </x:c>
      <x:c r="F860" s="31" t="inlineStr">
        <x:is>
          <x:t xml:space="preserve">ОБ-033</x:t>
        </x:is>
      </x:c>
      <x:c r="G860" s="31" t="inlineStr">
        <x:is>
          <x:t xml:space="preserve">СОТР-063</x:t>
        </x:is>
      </x:c>
      <x:c r="H860" s="31" t="inlineStr">
        <x:is>
          <x:t xml:space="preserve">ОТК</x:t>
        </x:is>
      </x:c>
      <x:c r="I860" s="31" t="n">
        <x:v>2</x:v>
      </x:c>
      <x:c r="J860" s="31" t="n">
        <x:v>1</x:v>
      </x:c>
      <x:c r="K860" s="31" t="n">
        <x:v>41.2</x:v>
      </x:c>
      <x:c r="L860" s="31" t="n">
        <x:v>42.7</x:v>
      </x:c>
      <x:c r="M860" s="31" t="n">
        <x:v>60</x:v>
      </x:c>
      <x:c r="N860" s="31" t="inlineStr">
        <x:is>
          <x:t xml:space="preserve">Нет оператора</x:t>
        </x:is>
      </x:c>
      <x:c r="O860" s="31" t="inlineStr">
        <x:is>
          <x:t xml:space="preserve">Подтверждено мастером</x:t>
        </x:is>
      </x:c>
      <x:c r="P860" s="31" t="inlineStr">
        <x:is>
          <x:t xml:space="preserve">Комментарий смены 931</x:t>
        </x:is>
      </x:c>
    </x:row>
    <x:row r="861">
      <x:c r="A861" s="31" t="inlineStr">
        <x:is>
          <x:t xml:space="preserve">СМ-00932</x:t>
        </x:is>
      </x:c>
      <x:c r="B861" s="31" t="n">
        <x:v>46176</x:v>
      </x:c>
      <x:c r="C861" s="31" t="inlineStr">
        <x:is>
          <x:t xml:space="preserve">Вечер</x:t>
        </x:is>
      </x:c>
      <x:c r="D861" s="31" t="inlineStr">
        <x:is>
          <x:t xml:space="preserve">ПЗ-00216</x:t>
        </x:is>
      </x:c>
      <x:c r="E861" s="31" t="inlineStr">
        <x:is>
          <x:t xml:space="preserve">ОП-001810</x:t>
        </x:is>
      </x:c>
      <x:c r="F861" s="31" t="n"/>
      <x:c r="G861" s="31" t="inlineStr">
        <x:is>
          <x:t xml:space="preserve">СОТР-017</x:t>
        </x:is>
      </x:c>
      <x:c r="H861" s="31" t="inlineStr">
        <x:is>
          <x:t xml:space="preserve">Инженерный отдел</x:t>
        </x:is>
      </x:c>
      <x:c r="I861" s="31" t="n">
        <x:v>2</x:v>
      </x:c>
      <x:c r="J861" s="31" t="n">
        <x:v>3</x:v>
      </x:c>
      <x:c r="K861" s="31" t="n">
        <x:v>53.6</x:v>
      </x:c>
      <x:c r="L861" s="31" t="n">
        <x:v>70.59999999999999</x:v>
      </x:c>
      <x:c r="M861" s="31" t="n">
        <x:v>15</x:v>
      </x:c>
      <x:c r="N861" s="31" t="inlineStr">
        <x:is>
          <x:t xml:space="preserve">Переналадка</x:t>
        </x:is>
      </x:c>
      <x:c r="O861" s="31" t="inlineStr">
        <x:is>
          <x:t xml:space="preserve">Подтверждено мастером</x:t>
        </x:is>
      </x:c>
      <x:c r="P861" s="31" t="inlineStr">
        <x:is>
          <x:t xml:space="preserve">Комментарий смены 932</x:t>
        </x:is>
      </x:c>
    </x:row>
    <x:row r="862">
      <x:c r="A862" s="31" t="inlineStr">
        <x:is>
          <x:t xml:space="preserve">СМ-00933</x:t>
        </x:is>
      </x:c>
      <x:c r="B862" s="31" t="n">
        <x:v>46152</x:v>
      </x:c>
      <x:c r="C862" s="31" t="inlineStr">
        <x:is>
          <x:t xml:space="preserve">Ночь</x:t>
        </x:is>
      </x:c>
      <x:c r="D862" s="31" t="inlineStr">
        <x:is>
          <x:t xml:space="preserve">ПЗ-00018</x:t>
        </x:is>
      </x:c>
      <x:c r="E862" s="31" t="inlineStr">
        <x:is>
          <x:t xml:space="preserve">ОП-000153</x:t>
        </x:is>
      </x:c>
      <x:c r="F862" s="31" t="n"/>
      <x:c r="G862" s="31" t="inlineStr">
        <x:is>
          <x:t xml:space="preserve">СОТР-012</x:t>
        </x:is>
      </x:c>
      <x:c r="H862" s="31" t="inlineStr">
        <x:is>
          <x:t xml:space="preserve">Инженерный отдел</x:t>
        </x:is>
      </x:c>
      <x:c r="I862" s="31" t="n">
        <x:v>1</x:v>
      </x:c>
      <x:c r="J862" s="31" t="n">
        <x:v>1</x:v>
      </x:c>
      <x:c r="K862" s="31" t="n">
        <x:v>14</x:v>
      </x:c>
      <x:c r="L862" s="31" t="n">
        <x:v>11.8</x:v>
      </x:c>
      <x:c r="M862" s="31" t="n">
        <x:v>15</x:v>
      </x:c>
      <x:c r="N862" s="31" t="inlineStr">
        <x:is>
          <x:t xml:space="preserve">Нет оператора</x:t>
        </x:is>
      </x:c>
      <x:c r="O862" s="31" t="inlineStr">
        <x:is>
          <x:t xml:space="preserve">Подтверждено мастером</x:t>
        </x:is>
      </x:c>
      <x:c r="P862" s="31" t="inlineStr">
        <x:is>
          <x:t xml:space="preserve">Комментарий смены 933</x:t>
        </x:is>
      </x:c>
    </x:row>
    <x:row r="863">
      <x:c r="A863" s="31" t="inlineStr">
        <x:is>
          <x:t xml:space="preserve">СМ-00934</x:t>
        </x:is>
      </x:c>
      <x:c r="B863" s="31" t="n">
        <x:v>46060</x:v>
      </x:c>
      <x:c r="C863" s="31" t="inlineStr">
        <x:is>
          <x:t xml:space="preserve">День</x:t>
        </x:is>
      </x:c>
      <x:c r="D863" s="31" t="inlineStr">
        <x:is>
          <x:t xml:space="preserve">ПЗ-00075</x:t>
        </x:is>
      </x:c>
      <x:c r="E863" s="31" t="inlineStr">
        <x:is>
          <x:t xml:space="preserve">ОП-000634</x:t>
        </x:is>
      </x:c>
      <x:c r="F863" s="31" t="inlineStr">
        <x:is>
          <x:t xml:space="preserve">ОБ-016</x:t>
        </x:is>
      </x:c>
      <x:c r="G863" s="31" t="inlineStr">
        <x:is>
          <x:t xml:space="preserve">СОТР-081</x:t>
        </x:is>
      </x:c>
      <x:c r="H863" s="31" t="inlineStr">
        <x:is>
          <x:t xml:space="preserve">Сборка</x:t>
        </x:is>
      </x:c>
      <x:c r="I863" s="31" t="n">
        <x:v>3</x:v>
      </x:c>
      <x:c r="J863" s="31" t="n">
        <x:v>3</x:v>
      </x:c>
      <x:c r="K863" s="31" t="n">
        <x:v>25.8</x:v>
      </x:c>
      <x:c r="L863" s="31" t="n">
        <x:v>22.9</x:v>
      </x:c>
      <x:c r="M863" s="31" t="n">
        <x:v>90</x:v>
      </x:c>
      <x:c r="N863" s="31" t="inlineStr">
        <x:is>
          <x:t xml:space="preserve">Ожидание материала</x:t>
        </x:is>
      </x:c>
      <x:c r="O863" s="31" t="inlineStr">
        <x:is>
          <x:t xml:space="preserve">Подтверждено мастером</x:t>
        </x:is>
      </x:c>
      <x:c r="P863" s="31" t="inlineStr">
        <x:is>
          <x:t xml:space="preserve">Комментарий смены 934</x:t>
        </x:is>
      </x:c>
    </x:row>
    <x:row r="864">
      <x:c r="A864" s="31" t="inlineStr">
        <x:is>
          <x:t xml:space="preserve">СМ-00935</x:t>
        </x:is>
      </x:c>
      <x:c r="B864" s="31" t="n">
        <x:v>46188</x:v>
      </x:c>
      <x:c r="C864" s="31" t="inlineStr">
        <x:is>
          <x:t xml:space="preserve">Вечер</x:t>
        </x:is>
      </x:c>
      <x:c r="D864" s="31" t="inlineStr">
        <x:is>
          <x:t xml:space="preserve">ПЗ-00209</x:t>
        </x:is>
      </x:c>
      <x:c r="E864" s="31" t="inlineStr">
        <x:is>
          <x:t xml:space="preserve">ОП-001752</x:t>
        </x:is>
      </x:c>
      <x:c r="F864" s="31" t="inlineStr">
        <x:is>
          <x:t xml:space="preserve">ОБ-004</x:t>
        </x:is>
      </x:c>
      <x:c r="G864" s="31" t="inlineStr">
        <x:is>
          <x:t xml:space="preserve">СОТР-071</x:t>
        </x:is>
      </x:c>
      <x:c r="H864" s="31" t="inlineStr">
        <x:is>
          <x:t xml:space="preserve">Сварка</x:t>
        </x:is>
      </x:c>
      <x:c r="I864" s="31" t="n">
        <x:v>1</x:v>
      </x:c>
      <x:c r="J864" s="31" t="n">
        <x:v>0</x:v>
      </x:c>
      <x:c r="K864" s="31" t="n">
        <x:v>39.6</x:v>
      </x:c>
      <x:c r="L864" s="31" t="n">
        <x:v>35.8</x:v>
      </x:c>
      <x:c r="M864" s="31" t="n">
        <x:v>45</x:v>
      </x:c>
      <x:c r="N864" s="31" t="inlineStr">
        <x:is>
          <x:t xml:space="preserve">Ремонт оборудования</x:t>
        </x:is>
      </x:c>
      <x:c r="O864" s="31" t="inlineStr">
        <x:is>
          <x:t xml:space="preserve">Закрыто</x:t>
        </x:is>
      </x:c>
      <x:c r="P864" s="31" t="inlineStr">
        <x:is>
          <x:t xml:space="preserve">Комментарий смены 935</x:t>
        </x:is>
      </x:c>
    </x:row>
    <x:row r="865">
      <x:c r="A865" s="31" t="inlineStr">
        <x:is>
          <x:t xml:space="preserve">СМ-00936</x:t>
        </x:is>
      </x:c>
      <x:c r="B865" s="31" t="n">
        <x:v>46121</x:v>
      </x:c>
      <x:c r="C865" s="31" t="inlineStr">
        <x:is>
          <x:t xml:space="preserve">Ночь</x:t>
        </x:is>
      </x:c>
      <x:c r="D865" s="31" t="inlineStr">
        <x:is>
          <x:t xml:space="preserve">ПЗ-00054</x:t>
        </x:is>
      </x:c>
      <x:c r="E865" s="31" t="inlineStr">
        <x:is>
          <x:t xml:space="preserve">ОП-000453</x:t>
        </x:is>
      </x:c>
      <x:c r="F865" s="31" t="n"/>
      <x:c r="G865" s="31" t="inlineStr">
        <x:is>
          <x:t xml:space="preserve">СОТР-101</x:t>
        </x:is>
      </x:c>
      <x:c r="H865" s="31" t="inlineStr">
        <x:is>
          <x:t xml:space="preserve">Логистика</x:t>
        </x:is>
      </x:c>
      <x:c r="I865" s="31" t="n">
        <x:v>2</x:v>
      </x:c>
      <x:c r="J865" s="31" t="n">
        <x:v>2</x:v>
      </x:c>
      <x:c r="K865" s="31" t="n">
        <x:v>24.3</x:v>
      </x:c>
      <x:c r="L865" s="31" t="n">
        <x:v>21.3</x:v>
      </x:c>
      <x:c r="M865" s="31" t="n">
        <x:v>0</x:v>
      </x:c>
      <x:c r="N865" s="31" t="inlineStr">
        <x:is>
          <x:t xml:space="preserve">Нет</x:t>
        </x:is>
      </x:c>
      <x:c r="O865" s="31" t="inlineStr">
        <x:is>
          <x:t xml:space="preserve">Подтверждено мастером</x:t>
        </x:is>
      </x:c>
      <x:c r="P865" s="31" t="inlineStr">
        <x:is>
          <x:t xml:space="preserve">Комментарий смены 936</x:t>
        </x:is>
      </x:c>
    </x:row>
    <x:row r="866">
      <x:c r="A866" s="31" t="inlineStr">
        <x:is>
          <x:t xml:space="preserve">СМ-00937</x:t>
        </x:is>
      </x:c>
      <x:c r="B866" s="31" t="n">
        <x:v>46113</x:v>
      </x:c>
      <x:c r="C866" s="31" t="inlineStr">
        <x:is>
          <x:t xml:space="preserve">День</x:t>
        </x:is>
      </x:c>
      <x:c r="D866" s="31" t="inlineStr">
        <x:is>
          <x:t xml:space="preserve">ПЗ-00012</x:t>
        </x:is>
      </x:c>
      <x:c r="E866" s="31" t="inlineStr">
        <x:is>
          <x:t xml:space="preserve">ОП-000095</x:t>
        </x:is>
      </x:c>
      <x:c r="F866" s="31" t="inlineStr">
        <x:is>
          <x:t xml:space="preserve">ОБ-012</x:t>
        </x:is>
      </x:c>
      <x:c r="G866" s="31" t="inlineStr">
        <x:is>
          <x:t xml:space="preserve">СОТР-086</x:t>
        </x:is>
      </x:c>
      <x:c r="H866" s="31" t="inlineStr">
        <x:is>
          <x:t xml:space="preserve">Сборка</x:t>
        </x:is>
      </x:c>
      <x:c r="I866" s="31" t="n">
        <x:v>2</x:v>
      </x:c>
      <x:c r="J866" s="31" t="n">
        <x:v>3</x:v>
      </x:c>
      <x:c r="K866" s="31" t="n">
        <x:v>22</x:v>
      </x:c>
      <x:c r="L866" s="31" t="n">
        <x:v>18.4</x:v>
      </x:c>
      <x:c r="M866" s="31" t="n">
        <x:v>120</x:v>
      </x:c>
      <x:c r="N866" s="31" t="inlineStr">
        <x:is>
          <x:t xml:space="preserve">Нет оператора</x:t>
        </x:is>
      </x:c>
      <x:c r="O866" s="31" t="inlineStr">
        <x:is>
          <x:t xml:space="preserve">Подтверждено мастером</x:t>
        </x:is>
      </x:c>
      <x:c r="P866" s="31" t="inlineStr">
        <x:is>
          <x:t xml:space="preserve">Комментарий смены 937</x:t>
        </x:is>
      </x:c>
    </x:row>
    <x:row r="867">
      <x:c r="A867" s="31" t="inlineStr">
        <x:is>
          <x:t xml:space="preserve">СМ-00938</x:t>
        </x:is>
      </x:c>
      <x:c r="B867" s="31" t="n">
        <x:v>46108</x:v>
      </x:c>
      <x:c r="C867" s="31" t="inlineStr">
        <x:is>
          <x:t xml:space="preserve">День</x:t>
        </x:is>
      </x:c>
      <x:c r="D867" s="31" t="inlineStr">
        <x:is>
          <x:t xml:space="preserve">ПЗ-00104</x:t>
        </x:is>
      </x:c>
      <x:c r="E867" s="31" t="inlineStr">
        <x:is>
          <x:t xml:space="preserve">ОП-000873</x:t>
        </x:is>
      </x:c>
      <x:c r="F867" s="31" t="n"/>
      <x:c r="G867" s="31" t="inlineStr">
        <x:is>
          <x:t xml:space="preserve">СОТР-101</x:t>
        </x:is>
      </x:c>
      <x:c r="H867" s="31" t="inlineStr">
        <x:is>
          <x:t xml:space="preserve">Логистика</x:t>
        </x:is>
      </x:c>
      <x:c r="I867" s="31" t="n">
        <x:v>1</x:v>
      </x:c>
      <x:c r="J867" s="31" t="n">
        <x:v>1</x:v>
      </x:c>
      <x:c r="K867" s="31" t="n">
        <x:v>4.8</x:v>
      </x:c>
      <x:c r="L867" s="31" t="n">
        <x:v>5.4</x:v>
      </x:c>
      <x:c r="M867" s="31" t="n">
        <x:v>120</x:v>
      </x:c>
      <x:c r="N867" s="31" t="inlineStr">
        <x:is>
          <x:t xml:space="preserve">Переналадка</x:t>
        </x:is>
      </x:c>
      <x:c r="O867" s="31" t="inlineStr">
        <x:is>
          <x:t xml:space="preserve">Спорный факт</x:t>
        </x:is>
      </x:c>
      <x:c r="P867" s="31" t="inlineStr">
        <x:is>
          <x:t xml:space="preserve">Комментарий смены 938</x:t>
        </x:is>
      </x:c>
    </x:row>
    <x:row r="868">
      <x:c r="A868" s="31" t="inlineStr">
        <x:is>
          <x:t xml:space="preserve">СМ-00939</x:t>
        </x:is>
      </x:c>
      <x:c r="B868" s="31" t="n">
        <x:v>46165</x:v>
      </x:c>
      <x:c r="C868" s="31" t="inlineStr">
        <x:is>
          <x:t xml:space="preserve">Ночь</x:t>
        </x:is>
      </x:c>
      <x:c r="D868" s="31" t="inlineStr">
        <x:is>
          <x:t xml:space="preserve">ПЗ-00063</x:t>
        </x:is>
      </x:c>
      <x:c r="E868" s="31" t="inlineStr">
        <x:is>
          <x:t xml:space="preserve">ОП-000528</x:t>
        </x:is>
      </x:c>
      <x:c r="F868" s="31" t="n"/>
      <x:c r="G868" s="31" t="inlineStr">
        <x:is>
          <x:t xml:space="preserve">СОТР-016</x:t>
        </x:is>
      </x:c>
      <x:c r="H868" s="31" t="inlineStr">
        <x:is>
          <x:t xml:space="preserve">Инженерный отдел</x:t>
        </x:is>
      </x:c>
      <x:c r="I868" s="31" t="n">
        <x:v>3</x:v>
      </x:c>
      <x:c r="J868" s="31" t="n">
        <x:v>4</x:v>
      </x:c>
      <x:c r="K868" s="31" t="n">
        <x:v>67</x:v>
      </x:c>
      <x:c r="L868" s="31" t="n">
        <x:v>70.7</x:v>
      </x:c>
      <x:c r="M868" s="31" t="n">
        <x:v>90</x:v>
      </x:c>
      <x:c r="N868" s="31" t="inlineStr">
        <x:is>
          <x:t xml:space="preserve">Нет оператора</x:t>
        </x:is>
      </x:c>
      <x:c r="O868" s="31" t="inlineStr">
        <x:is>
          <x:t xml:space="preserve">Подтверждено мастером</x:t>
        </x:is>
      </x:c>
      <x:c r="P868" s="31" t="inlineStr">
        <x:is>
          <x:t xml:space="preserve">Комментарий смены 939</x:t>
        </x:is>
      </x:c>
    </x:row>
    <x:row r="869">
      <x:c r="A869" s="31" t="inlineStr">
        <x:is>
          <x:t xml:space="preserve">СМ-00940</x:t>
        </x:is>
      </x:c>
      <x:c r="B869" s="31" t="n">
        <x:v>46137</x:v>
      </x:c>
      <x:c r="C869" s="31" t="inlineStr">
        <x:is>
          <x:t xml:space="preserve">Вечер</x:t>
        </x:is>
      </x:c>
      <x:c r="D869" s="31" t="inlineStr">
        <x:is>
          <x:t xml:space="preserve">ПЗ-00263</x:t>
        </x:is>
      </x:c>
      <x:c r="E869" s="31" t="inlineStr">
        <x:is>
          <x:t xml:space="preserve">ОП-002196</x:t>
        </x:is>
      </x:c>
      <x:c r="F869" s="31" t="inlineStr">
        <x:is>
          <x:t xml:space="preserve">ОБ-001</x:t>
        </x:is>
      </x:c>
      <x:c r="G869" s="31" t="inlineStr">
        <x:is>
          <x:t xml:space="preserve">СОТР-095</x:t>
        </x:is>
      </x:c>
      <x:c r="H869" s="31" t="inlineStr">
        <x:is>
          <x:t xml:space="preserve">ОТК</x:t>
        </x:is>
      </x:c>
      <x:c r="I869" s="31" t="n">
        <x:v>1</x:v>
      </x:c>
      <x:c r="J869" s="31" t="n">
        <x:v>2</x:v>
      </x:c>
      <x:c r="K869" s="31" t="n">
        <x:v>2.2</x:v>
      </x:c>
      <x:c r="L869" s="31" t="n">
        <x:v>2.9</x:v>
      </x:c>
      <x:c r="M869" s="31" t="n">
        <x:v>0</x:v>
      </x:c>
      <x:c r="N869" s="31" t="inlineStr">
        <x:is>
          <x:t xml:space="preserve">Нет</x:t>
        </x:is>
      </x:c>
      <x:c r="O869" s="31" t="inlineStr">
        <x:is>
          <x:t xml:space="preserve">Подтверждено мастером</x:t>
        </x:is>
      </x:c>
      <x:c r="P869" s="31" t="inlineStr">
        <x:is>
          <x:t xml:space="preserve">Комментарий смены 940</x:t>
        </x:is>
      </x:c>
    </x:row>
    <x:row r="870">
      <x:c r="A870" s="31" t="inlineStr">
        <x:is>
          <x:t xml:space="preserve">СМ-00941</x:t>
        </x:is>
      </x:c>
      <x:c r="B870" s="31" t="n">
        <x:v>46208</x:v>
      </x:c>
      <x:c r="C870" s="31" t="inlineStr">
        <x:is>
          <x:t xml:space="preserve">День</x:t>
        </x:is>
      </x:c>
      <x:c r="D870" s="31" t="inlineStr">
        <x:is>
          <x:t xml:space="preserve">ПЗ-00157</x:t>
        </x:is>
      </x:c>
      <x:c r="E870" s="31" t="inlineStr">
        <x:is>
          <x:t xml:space="preserve">ОП-001300</x:t>
        </x:is>
      </x:c>
      <x:c r="F870" s="31" t="inlineStr">
        <x:is>
          <x:t xml:space="preserve">ОБ-001</x:t>
        </x:is>
      </x:c>
      <x:c r="G870" s="31" t="inlineStr">
        <x:is>
          <x:t xml:space="preserve">СОТР-092</x:t>
        </x:is>
      </x:c>
      <x:c r="H870" s="31" t="inlineStr">
        <x:is>
          <x:t xml:space="preserve">ОТК</x:t>
        </x:is>
      </x:c>
      <x:c r="I870" s="31" t="n">
        <x:v>1</x:v>
      </x:c>
      <x:c r="J870" s="31" t="n">
        <x:v>2</x:v>
      </x:c>
      <x:c r="K870" s="31" t="n">
        <x:v>11.8</x:v>
      </x:c>
      <x:c r="L870" s="31" t="n">
        <x:v>12.3</x:v>
      </x:c>
      <x:c r="M870" s="31" t="n">
        <x:v>0</x:v>
      </x:c>
      <x:c r="N870" s="31" t="inlineStr">
        <x:is>
          <x:t xml:space="preserve">Нет</x:t>
        </x:is>
      </x:c>
      <x:c r="O870" s="31" t="inlineStr">
        <x:is>
          <x:t xml:space="preserve">Подтверждено мастером</x:t>
        </x:is>
      </x:c>
      <x:c r="P870" s="31" t="inlineStr">
        <x:is>
          <x:t xml:space="preserve">Комментарий смены 941</x:t>
        </x:is>
      </x:c>
    </x:row>
    <x:row r="871">
      <x:c r="A871" s="31" t="inlineStr">
        <x:is>
          <x:t xml:space="preserve">СМ-00942</x:t>
        </x:is>
      </x:c>
      <x:c r="B871" s="31" t="n">
        <x:v>46112</x:v>
      </x:c>
      <x:c r="C871" s="31" t="inlineStr">
        <x:is>
          <x:t xml:space="preserve">Ночь</x:t>
        </x:is>
      </x:c>
      <x:c r="D871" s="31" t="inlineStr">
        <x:is>
          <x:t xml:space="preserve">ПЗ-00128</x:t>
        </x:is>
      </x:c>
      <x:c r="E871" s="31" t="inlineStr">
        <x:is>
          <x:t xml:space="preserve">ОП-001065</x:t>
        </x:is>
      </x:c>
      <x:c r="F871" s="31" t="inlineStr">
        <x:is>
          <x:t xml:space="preserve">ОБ-008</x:t>
        </x:is>
      </x:c>
      <x:c r="G871" s="31" t="inlineStr">
        <x:is>
          <x:t xml:space="preserve">СОТР-024</x:t>
        </x:is>
      </x:c>
      <x:c r="H871" s="31" t="inlineStr">
        <x:is>
          <x:t xml:space="preserve">Склад</x:t>
        </x:is>
      </x:c>
      <x:c r="I871" s="31" t="n">
        <x:v>2</x:v>
      </x:c>
      <x:c r="J871" s="31" t="n">
        <x:v>0</x:v>
      </x:c>
      <x:c r="K871" s="31" t="n">
        <x:v>30.9</x:v>
      </x:c>
      <x:c r="L871" s="31" t="n">
        <x:v>26.2</x:v>
      </x:c>
      <x:c r="M871" s="31" t="n">
        <x:v>30</x:v>
      </x:c>
      <x:c r="N871" s="31" t="inlineStr">
        <x:is>
          <x:t xml:space="preserve">Ожидание материала</x:t>
        </x:is>
      </x:c>
      <x:c r="O871" s="31" t="inlineStr">
        <x:is>
          <x:t xml:space="preserve">Закрыто</x:t>
        </x:is>
      </x:c>
      <x:c r="P871" s="31" t="inlineStr">
        <x:is>
          <x:t xml:space="preserve">Комментарий смены 942</x:t>
        </x:is>
      </x:c>
    </x:row>
    <x:row r="872">
      <x:c r="A872" s="31" t="inlineStr">
        <x:is>
          <x:t xml:space="preserve">СМ-00943</x:t>
        </x:is>
      </x:c>
      <x:c r="B872" s="31" t="n">
        <x:v>46124</x:v>
      </x:c>
      <x:c r="C872" s="31" t="inlineStr">
        <x:is>
          <x:t xml:space="preserve">Вечер</x:t>
        </x:is>
      </x:c>
      <x:c r="D872" s="31" t="inlineStr">
        <x:is>
          <x:t xml:space="preserve">ПЗ-00220</x:t>
        </x:is>
      </x:c>
      <x:c r="E872" s="31" t="inlineStr">
        <x:is>
          <x:t xml:space="preserve">ОП-001847</x:t>
        </x:is>
      </x:c>
      <x:c r="F872" s="31" t="inlineStr">
        <x:is>
          <x:t xml:space="preserve">ОБ-007</x:t>
        </x:is>
      </x:c>
      <x:c r="G872" s="31" t="inlineStr">
        <x:is>
          <x:t xml:space="preserve">СОТР-096</x:t>
        </x:is>
      </x:c>
      <x:c r="H872" s="31" t="inlineStr">
        <x:is>
          <x:t xml:space="preserve">ОТК</x:t>
        </x:is>
      </x:c>
      <x:c r="I872" s="31" t="n">
        <x:v>2</x:v>
      </x:c>
      <x:c r="J872" s="31" t="n">
        <x:v>1</x:v>
      </x:c>
      <x:c r="K872" s="31" t="n">
        <x:v>21.5</x:v>
      </x:c>
      <x:c r="L872" s="31" t="n">
        <x:v>20.3</x:v>
      </x:c>
      <x:c r="M872" s="31" t="n">
        <x:v>0</x:v>
      </x:c>
      <x:c r="N872" s="31" t="inlineStr">
        <x:is>
          <x:t xml:space="preserve">Нет</x:t>
        </x:is>
      </x:c>
      <x:c r="O872" s="31" t="inlineStr">
        <x:is>
          <x:t xml:space="preserve">Подтверждено мастером</x:t>
        </x:is>
      </x:c>
      <x:c r="P872" s="31" t="inlineStr">
        <x:is>
          <x:t xml:space="preserve">Комментарий смены 943</x:t>
        </x:is>
      </x:c>
    </x:row>
    <x:row r="873">
      <x:c r="A873" s="31" t="inlineStr">
        <x:is>
          <x:t xml:space="preserve">СМ-00944</x:t>
        </x:is>
      </x:c>
      <x:c r="B873" s="31" t="n">
        <x:v>46178</x:v>
      </x:c>
      <x:c r="C873" s="31" t="inlineStr">
        <x:is>
          <x:t xml:space="preserve">День</x:t>
        </x:is>
      </x:c>
      <x:c r="D873" s="31" t="inlineStr">
        <x:is>
          <x:t xml:space="preserve">ПЗ-00265</x:t>
        </x:is>
      </x:c>
      <x:c r="E873" s="31" t="inlineStr">
        <x:is>
          <x:t xml:space="preserve">ОП-002202</x:t>
        </x:is>
      </x:c>
      <x:c r="F873" s="31" t="n"/>
      <x:c r="G873" s="31" t="inlineStr">
        <x:is>
          <x:t xml:space="preserve">СОТР-016</x:t>
        </x:is>
      </x:c>
      <x:c r="H873" s="31" t="inlineStr">
        <x:is>
          <x:t xml:space="preserve">Инженерный отдел</x:t>
        </x:is>
      </x:c>
      <x:c r="I873" s="31" t="n">
        <x:v>2</x:v>
      </x:c>
      <x:c r="J873" s="31" t="n">
        <x:v>2</x:v>
      </x:c>
      <x:c r="K873" s="31" t="n">
        <x:v>13.5</x:v>
      </x:c>
      <x:c r="L873" s="31" t="n">
        <x:v>11.9</x:v>
      </x:c>
      <x:c r="M873" s="31" t="n">
        <x:v>60</x:v>
      </x:c>
      <x:c r="N873" s="31" t="inlineStr">
        <x:is>
          <x:t xml:space="preserve">Переналадка</x:t>
        </x:is>
      </x:c>
      <x:c r="O873" s="31" t="inlineStr">
        <x:is>
          <x:t xml:space="preserve">Подтверждено мастером</x:t>
        </x:is>
      </x:c>
      <x:c r="P873" s="31" t="inlineStr">
        <x:is>
          <x:t xml:space="preserve">Комментарий смены 944</x:t>
        </x:is>
      </x:c>
    </x:row>
    <x:row r="874">
      <x:c r="A874" s="31" t="inlineStr">
        <x:is>
          <x:t xml:space="preserve">СМ-00945</x:t>
        </x:is>
      </x:c>
      <x:c r="B874" s="31" t="n">
        <x:v>46049</x:v>
      </x:c>
      <x:c r="C874" s="31" t="inlineStr">
        <x:is>
          <x:t xml:space="preserve">Вечер</x:t>
        </x:is>
      </x:c>
      <x:c r="D874" s="31" t="inlineStr">
        <x:is>
          <x:t xml:space="preserve">ПЗ-00254</x:t>
        </x:is>
      </x:c>
      <x:c r="E874" s="31" t="inlineStr">
        <x:is>
          <x:t xml:space="preserve">ОП-002124</x:t>
        </x:is>
      </x:c>
      <x:c r="F874" s="31" t="inlineStr">
        <x:is>
          <x:t xml:space="preserve">ОБ-010</x:t>
        </x:is>
      </x:c>
      <x:c r="G874" s="31" t="inlineStr">
        <x:is>
          <x:t xml:space="preserve">СОТР-069</x:t>
        </x:is>
      </x:c>
      <x:c r="H874" s="31" t="inlineStr">
        <x:is>
          <x:t xml:space="preserve">Сварка</x:t>
        </x:is>
      </x:c>
      <x:c r="I874" s="31" t="n">
        <x:v>1</x:v>
      </x:c>
      <x:c r="J874" s="31" t="n">
        <x:v>1</x:v>
      </x:c>
      <x:c r="K874" s="31" t="n">
        <x:v>23.4</x:v>
      </x:c>
      <x:c r="L874" s="31" t="n">
        <x:v>22</x:v>
      </x:c>
      <x:c r="M874" s="31" t="n">
        <x:v>0</x:v>
      </x:c>
      <x:c r="N874" s="31" t="inlineStr">
        <x:is>
          <x:t xml:space="preserve">Нет</x:t>
        </x:is>
      </x:c>
      <x:c r="O874" s="31" t="inlineStr">
        <x:is>
          <x:t xml:space="preserve">Черновик</x:t>
        </x:is>
      </x:c>
      <x:c r="P874" s="31" t="inlineStr">
        <x:is>
          <x:t xml:space="preserve">Комментарий смены 945</x:t>
        </x:is>
      </x:c>
    </x:row>
    <x:row r="875">
      <x:c r="A875" s="31" t="inlineStr">
        <x:is>
          <x:t xml:space="preserve">СМ-00946</x:t>
        </x:is>
      </x:c>
      <x:c r="B875" s="31" t="n">
        <x:v>46205</x:v>
      </x:c>
      <x:c r="C875" s="31" t="inlineStr">
        <x:is>
          <x:t xml:space="preserve">Ночь</x:t>
        </x:is>
      </x:c>
      <x:c r="D875" s="31" t="inlineStr">
        <x:is>
          <x:t xml:space="preserve">ПЗ-00122</x:t>
        </x:is>
      </x:c>
      <x:c r="E875" s="31" t="inlineStr">
        <x:is>
          <x:t xml:space="preserve">ОП-001024</x:t>
        </x:is>
      </x:c>
      <x:c r="F875" s="31" t="inlineStr">
        <x:is>
          <x:t xml:space="preserve">ОБ-016</x:t>
        </x:is>
      </x:c>
      <x:c r="G875" s="31" t="inlineStr">
        <x:is>
          <x:t xml:space="preserve">СОТР-090</x:t>
        </x:is>
      </x:c>
      <x:c r="H875" s="31" t="inlineStr">
        <x:is>
          <x:t xml:space="preserve">Сборка</x:t>
        </x:is>
      </x:c>
      <x:c r="I875" s="31" t="n">
        <x:v>2</x:v>
      </x:c>
      <x:c r="J875" s="31" t="n">
        <x:v>3</x:v>
      </x:c>
      <x:c r="K875" s="31" t="n">
        <x:v>22.4</x:v>
      </x:c>
      <x:c r="L875" s="31" t="n">
        <x:v>19.5</x:v>
      </x:c>
      <x:c r="M875" s="31" t="n">
        <x:v>120</x:v>
      </x:c>
      <x:c r="N875" s="31" t="inlineStr">
        <x:is>
          <x:t xml:space="preserve">Ожидание материала</x:t>
        </x:is>
      </x:c>
      <x:c r="O875" s="31" t="inlineStr">
        <x:is>
          <x:t xml:space="preserve">Подтверждено мастером</x:t>
        </x:is>
      </x:c>
      <x:c r="P875" s="31" t="inlineStr">
        <x:is>
          <x:t xml:space="preserve">Комментарий смены 946</x:t>
        </x:is>
      </x:c>
    </x:row>
    <x:row r="876">
      <x:c r="A876" s="31" t="inlineStr">
        <x:is>
          <x:t xml:space="preserve">СМ-00947</x:t>
        </x:is>
      </x:c>
      <x:c r="B876" s="31" t="n">
        <x:v>46072</x:v>
      </x:c>
      <x:c r="C876" s="31" t="inlineStr">
        <x:is>
          <x:t xml:space="preserve">Ночь</x:t>
        </x:is>
      </x:c>
      <x:c r="D876" s="31" t="inlineStr">
        <x:is>
          <x:t xml:space="preserve">ПЗ-00117</x:t>
        </x:is>
      </x:c>
      <x:c r="E876" s="31" t="inlineStr">
        <x:is>
          <x:t xml:space="preserve">ОП-000981</x:t>
        </x:is>
      </x:c>
      <x:c r="F876" s="31" t="inlineStr">
        <x:is>
          <x:t xml:space="preserve">ОБ-005</x:t>
        </x:is>
      </x:c>
      <x:c r="G876" s="31" t="inlineStr">
        <x:is>
          <x:t xml:space="preserve">СОТР-073</x:t>
        </x:is>
      </x:c>
      <x:c r="H876" s="31" t="inlineStr">
        <x:is>
          <x:t xml:space="preserve">Сборка</x:t>
        </x:is>
      </x:c>
      <x:c r="I876" s="31" t="n">
        <x:v>2</x:v>
      </x:c>
      <x:c r="J876" s="31" t="n">
        <x:v>0</x:v>
      </x:c>
      <x:c r="K876" s="31" t="n">
        <x:v>10.5</x:v>
      </x:c>
      <x:c r="L876" s="31" t="n">
        <x:v>7.6</x:v>
      </x:c>
      <x:c r="M876" s="31" t="n">
        <x:v>30</x:v>
      </x:c>
      <x:c r="N876" s="31" t="inlineStr">
        <x:is>
          <x:t xml:space="preserve">Ожидание ОТК</x:t>
        </x:is>
      </x:c>
      <x:c r="O876" s="31" t="inlineStr">
        <x:is>
          <x:t xml:space="preserve">Черновик</x:t>
        </x:is>
      </x:c>
      <x:c r="P876" s="31" t="inlineStr">
        <x:is>
          <x:t xml:space="preserve">Комментарий смены 947</x:t>
        </x:is>
      </x:c>
    </x:row>
    <x:row r="877">
      <x:c r="A877" s="31" t="inlineStr">
        <x:is>
          <x:t xml:space="preserve">СМ-00948</x:t>
        </x:is>
      </x:c>
      <x:c r="B877" s="31" t="n">
        <x:v>46203</x:v>
      </x:c>
      <x:c r="C877" s="31" t="inlineStr">
        <x:is>
          <x:t xml:space="preserve">Ночь</x:t>
        </x:is>
      </x:c>
      <x:c r="D877" s="31" t="inlineStr">
        <x:is>
          <x:t xml:space="preserve">ПЗ-00224</x:t>
        </x:is>
      </x:c>
      <x:c r="E877" s="31" t="inlineStr">
        <x:is>
          <x:t xml:space="preserve">ОП-001878</x:t>
        </x:is>
      </x:c>
      <x:c r="F877" s="31" t="inlineStr">
        <x:is>
          <x:t xml:space="preserve">ОБ-025</x:t>
        </x:is>
      </x:c>
      <x:c r="G877" s="31" t="inlineStr">
        <x:is>
          <x:t xml:space="preserve">СОТР-037</x:t>
        </x:is>
      </x:c>
      <x:c r="H877" s="31" t="inlineStr">
        <x:is>
          <x:t xml:space="preserve">Склад</x:t>
        </x:is>
      </x:c>
      <x:c r="I877" s="31" t="n">
        <x:v>1</x:v>
      </x:c>
      <x:c r="J877" s="31" t="n">
        <x:v>1</x:v>
      </x:c>
      <x:c r="K877" s="31" t="n">
        <x:v>19.6</x:v>
      </x:c>
      <x:c r="L877" s="31" t="n">
        <x:v>25.2</x:v>
      </x:c>
      <x:c r="M877" s="31" t="n">
        <x:v>60</x:v>
      </x:c>
      <x:c r="N877" s="31" t="inlineStr">
        <x:is>
          <x:t xml:space="preserve">Ожидание ОТК</x:t>
        </x:is>
      </x:c>
      <x:c r="O877" s="31" t="inlineStr">
        <x:is>
          <x:t xml:space="preserve">Подтверждено мастером</x:t>
        </x:is>
      </x:c>
      <x:c r="P877" s="31" t="inlineStr">
        <x:is>
          <x:t xml:space="preserve">Комментарий смены 948</x:t>
        </x:is>
      </x:c>
    </x:row>
    <x:row r="878">
      <x:c r="A878" s="31" t="inlineStr">
        <x:is>
          <x:t xml:space="preserve">СМ-00949</x:t>
        </x:is>
      </x:c>
      <x:c r="B878" s="31" t="n">
        <x:v>46207</x:v>
      </x:c>
      <x:c r="C878" s="31" t="inlineStr">
        <x:is>
          <x:t xml:space="preserve">Ночь</x:t>
        </x:is>
      </x:c>
      <x:c r="D878" s="31" t="inlineStr">
        <x:is>
          <x:t xml:space="preserve">ПЗ-00080</x:t>
        </x:is>
      </x:c>
      <x:c r="E878" s="31" t="inlineStr">
        <x:is>
          <x:t xml:space="preserve">ОП-000684</x:t>
        </x:is>
      </x:c>
      <x:c r="F878" s="31" t="inlineStr">
        <x:is>
          <x:t xml:space="preserve">ОБ-033</x:t>
        </x:is>
      </x:c>
      <x:c r="G878" s="31" t="inlineStr">
        <x:is>
          <x:t xml:space="preserve">СОТР-092</x:t>
        </x:is>
      </x:c>
      <x:c r="H878" s="31" t="inlineStr">
        <x:is>
          <x:t xml:space="preserve">ОТК</x:t>
        </x:is>
      </x:c>
      <x:c r="I878" s="31" t="n">
        <x:v>1</x:v>
      </x:c>
      <x:c r="J878" s="31" t="n">
        <x:v>0</x:v>
      </x:c>
      <x:c r="K878" s="31" t="n">
        <x:v>4.8</x:v>
      </x:c>
      <x:c r="L878" s="31" t="n">
        <x:v>3</x:v>
      </x:c>
      <x:c r="M878" s="31" t="n">
        <x:v>0</x:v>
      </x:c>
      <x:c r="N878" s="31" t="inlineStr">
        <x:is>
          <x:t xml:space="preserve">Нет</x:t>
        </x:is>
      </x:c>
      <x:c r="O878" s="31" t="inlineStr">
        <x:is>
          <x:t xml:space="preserve">Закрыто</x:t>
        </x:is>
      </x:c>
      <x:c r="P878" s="31" t="inlineStr">
        <x:is>
          <x:t xml:space="preserve">Комментарий смены 949</x:t>
        </x:is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31" customWidth="1"/>
    <x:col min="3" max="3" width="12" customWidth="1"/>
    <x:col min="4" max="4" width="13" customWidth="1"/>
    <x:col min="5" max="5" width="10" customWidth="1"/>
    <x:col min="6" max="6" width="11" customWidth="1"/>
    <x:col min="7" max="7" width="22" customWidth="1"/>
    <x:col min="8" max="8" width="14" customWidth="1"/>
    <x:col min="9" max="9" width="15" customWidth="1"/>
    <x:col min="10" max="10" width="16" customWidth="1"/>
    <x:col min="11" max="11" width="23" customWidth="1"/>
    <x:col min="12" max="12" width="31" customWidth="1"/>
    <x:col min="13" max="13" width="32" customWidth="1"/>
    <x:col min="14" max="14" width="38" customWidth="1"/>
  </x:cols>
  <x:sheetData>
    <x:row r="1" ht="18" customHeight="1">
      <x:c r="A1" s="30" t="inlineStr">
        <x:is>
          <x:t xml:space="preserve">Код ОТК</x:t>
        </x:is>
      </x:c>
      <x:c r="B1" s="30" t="inlineStr">
        <x:is>
          <x:t xml:space="preserve">Код производственного задания</x:t>
        </x:is>
      </x:c>
      <x:c r="C1" s="30" t="inlineStr">
        <x:is>
          <x:t xml:space="preserve">Код заказа</x:t>
        </x:is>
      </x:c>
      <x:c r="D1" s="30" t="inlineStr">
        <x:is>
          <x:t xml:space="preserve">Код изделия</x:t>
        </x:is>
      </x:c>
      <x:c r="E1" s="30" t="inlineStr">
        <x:is>
          <x:t xml:space="preserve">Дата ОТК</x:t>
        </x:is>
      </x:c>
      <x:c r="F1" s="30" t="inlineStr">
        <x:is>
          <x:t xml:space="preserve">Контролер</x:t>
        </x:is>
      </x:c>
      <x:c r="G1" s="30" t="inlineStr">
        <x:is>
          <x:t xml:space="preserve">Всего точек контроля</x:t>
        </x:is>
      </x:c>
      <x:c r="H1" s="30" t="inlineStr">
        <x:is>
          <x:t xml:space="preserve">Дефекты, шт.</x:t>
        </x:is>
      </x:c>
      <x:c r="I1" s="30" t="inlineStr">
        <x:is>
          <x:t xml:space="preserve">Вид дефекта</x:t>
        </x:is>
      </x:c>
      <x:c r="J1" s="30" t="inlineStr">
        <x:is>
          <x:t xml:space="preserve">Тяжесть</x:t>
        </x:is>
      </x:c>
      <x:c r="K1" s="30" t="inlineStr">
        <x:is>
          <x:t xml:space="preserve">Решение</x:t>
        </x:is>
      </x:c>
      <x:c r="L1" s="30" t="inlineStr">
        <x:is>
          <x:t xml:space="preserve">Нужны корректирующие действия</x:t>
        </x:is>
      </x:c>
      <x:c r="M1" s="30" t="inlineStr">
        <x:is>
          <x:t xml:space="preserve">Статус корректирующих действий</x:t>
        </x:is>
      </x:c>
      <x:c r="N1" s="30" t="inlineStr">
        <x:is>
          <x:t xml:space="preserve">Номер протокола</x:t>
        </x:is>
      </x:c>
    </x:row>
    <x:row r="2" ht="18" customHeight="1">
      <x:c r="A2" s="31" t="inlineStr">
        <x:is>
          <x:t xml:space="preserve">ОТК-00001</x:t>
        </x:is>
      </x:c>
      <x:c r="B2" s="31" t="inlineStr">
        <x:is>
          <x:t xml:space="preserve">ПЗ-00001</x:t>
        </x:is>
      </x:c>
      <x:c r="C2" s="31" t="inlineStr">
        <x:is>
          <x:t xml:space="preserve">ЗК-1002</x:t>
        </x:is>
      </x:c>
      <x:c r="D2" s="31" t="inlineStr">
        <x:is>
          <x:t xml:space="preserve">ИЗД-018</x:t>
        </x:is>
      </x:c>
      <x:c r="E2" s="31" t="n">
        <x:v>46204</x:v>
      </x:c>
      <x:c r="F2" s="31" t="inlineStr">
        <x:is>
          <x:t xml:space="preserve">СОТР-093</x:t>
        </x:is>
      </x:c>
      <x:c r="G2" s="31" t="n">
        <x:v>4</x:v>
      </x:c>
      <x:c r="H2" s="31" t="n">
        <x:v>2</x:v>
      </x:c>
      <x:c r="I2" s="31" t="inlineStr">
        <x:is>
          <x:t xml:space="preserve">Комплектность</x:t>
        </x:is>
      </x:c>
      <x:c r="J2" s="31" t="inlineStr">
        <x:is>
          <x:t xml:space="preserve">Незначительный</x:t>
        </x:is>
      </x:c>
      <x:c r="K2" s="31" t="inlineStr">
        <x:is>
          <x:t xml:space="preserve">Доработка</x:t>
        </x:is>
      </x:c>
      <x:c r="L2" s="31" t="inlineStr">
        <x:is>
          <x:t xml:space="preserve">Да</x:t>
        </x:is>
      </x:c>
      <x:c r="M2" s="31" t="inlineStr">
        <x:is>
          <x:t xml:space="preserve">В работе</x:t>
        </x:is>
      </x:c>
      <x:c r="N2" s="31" t="inlineStr">
        <x:is>
          <x:t xml:space="preserve">Протокол приемочные испытания/ОТК 9783</x:t>
        </x:is>
      </x:c>
    </x:row>
    <x:row r="3" ht="18" customHeight="1">
      <x:c r="A3" s="31" t="inlineStr">
        <x:is>
          <x:t xml:space="preserve">ОТК-00002</x:t>
        </x:is>
      </x:c>
      <x:c r="B3" s="31" t="inlineStr">
        <x:is>
          <x:t xml:space="preserve">ПЗ-00002</x:t>
        </x:is>
      </x:c>
      <x:c r="C3" s="31" t="inlineStr">
        <x:is>
          <x:t xml:space="preserve">ЗК-1002</x:t>
        </x:is>
      </x:c>
      <x:c r="D3" s="31" t="inlineStr">
        <x:is>
          <x:t xml:space="preserve">ИЗД-004</x:t>
        </x:is>
      </x:c>
      <x:c r="E3" s="31" t="n">
        <x:v>46199</x:v>
      </x:c>
      <x:c r="F3" s="31" t="inlineStr">
        <x:is>
          <x:t xml:space="preserve">СОТР-099</x:t>
        </x:is>
      </x:c>
      <x:c r="G3" s="31" t="n">
        <x:v>5</x:v>
      </x:c>
      <x:c r="H3" s="31" t="n">
        <x:v>1</x:v>
      </x:c>
      <x:c r="I3" s="31" t="inlineStr">
        <x:is>
          <x:t xml:space="preserve">Документация</x:t>
        </x:is>
      </x:c>
      <x:c r="J3" s="31" t="inlineStr">
        <x:is>
          <x:t xml:space="preserve">Существенный</x:t>
        </x:is>
      </x:c>
      <x:c r="K3" s="31" t="inlineStr">
        <x:is>
          <x:t xml:space="preserve">Блокировка отгрузки</x:t>
        </x:is>
      </x:c>
      <x:c r="L3" s="31" t="inlineStr">
        <x:is>
          <x:t xml:space="preserve">Да</x:t>
        </x:is>
      </x:c>
      <x:c r="M3" s="31" t="inlineStr">
        <x:is>
          <x:t xml:space="preserve">Закрыта</x:t>
        </x:is>
      </x:c>
      <x:c r="N3" s="31" t="inlineStr">
        <x:is>
          <x:t xml:space="preserve">Протокол приемочные испытания/ОТК 1452</x:t>
        </x:is>
      </x:c>
    </x:row>
    <x:row r="4" ht="18" customHeight="1">
      <x:c r="A4" s="31" t="inlineStr">
        <x:is>
          <x:t xml:space="preserve">ОТК-00003</x:t>
        </x:is>
      </x:c>
      <x:c r="B4" s="31" t="inlineStr">
        <x:is>
          <x:t xml:space="preserve">ПЗ-00003</x:t>
        </x:is>
      </x:c>
      <x:c r="C4" s="31" t="inlineStr">
        <x:is>
          <x:t xml:space="preserve">ЗК-1003</x:t>
        </x:is>
      </x:c>
      <x:c r="D4" s="31" t="inlineStr">
        <x:is>
          <x:t xml:space="preserve">ИЗД-041</x:t>
        </x:is>
      </x:c>
      <x:c r="E4" s="31" t="n">
        <x:v>46242</x:v>
      </x:c>
      <x:c r="F4" s="31" t="inlineStr">
        <x:is>
          <x:t xml:space="preserve">СОТР-063</x:t>
        </x:is>
      </x:c>
      <x:c r="G4" s="31" t="n">
        <x:v>8</x:v>
      </x:c>
      <x:c r="H4" s="31" t="n">
        <x:v>0</x:v>
      </x:c>
      <x:c r="I4" s="31" t="inlineStr">
        <x:is>
          <x:t xml:space="preserve">Покрытие</x:t>
        </x:is>
      </x:c>
      <x:c r="J4" s="31" t="inlineStr">
        <x:is>
          <x:t xml:space="preserve">Нет</x:t>
        </x:is>
      </x:c>
      <x:c r="K4" s="31" t="inlineStr">
        <x:is>
          <x:t xml:space="preserve">Принято</x:t>
        </x:is>
      </x:c>
      <x:c r="L4" s="31" t="inlineStr">
        <x:is>
          <x:t xml:space="preserve">Нет</x:t>
        </x:is>
      </x:c>
      <x:c r="M4" s="31" t="inlineStr">
        <x:is>
          <x:t xml:space="preserve">Не требуется</x:t>
        </x:is>
      </x:c>
      <x:c r="N4" s="31" t="inlineStr">
        <x:is>
          <x:t xml:space="preserve">Протокол приемочные испытания/ОТК 1720</x:t>
        </x:is>
      </x:c>
    </x:row>
    <x:row r="5" ht="18" customHeight="1">
      <x:c r="A5" s="31" t="inlineStr">
        <x:is>
          <x:t xml:space="preserve">ОТК-00004</x:t>
        </x:is>
      </x:c>
      <x:c r="B5" s="31" t="inlineStr">
        <x:is>
          <x:t xml:space="preserve">ПЗ-00004</x:t>
        </x:is>
      </x:c>
      <x:c r="C5" s="31" t="inlineStr">
        <x:is>
          <x:t xml:space="preserve">ЗК-1003</x:t>
        </x:is>
      </x:c>
      <x:c r="D5" s="31" t="inlineStr">
        <x:is>
          <x:t xml:space="preserve">ИЗД-039</x:t>
        </x:is>
      </x:c>
      <x:c r="E5" s="31" t="n">
        <x:v>46239</x:v>
      </x:c>
      <x:c r="F5" s="31" t="inlineStr">
        <x:is>
          <x:t xml:space="preserve">СОТР-098</x:t>
        </x:is>
      </x:c>
      <x:c r="G5" s="31" t="n">
        <x:v>3</x:v>
      </x:c>
      <x:c r="H5" s="31" t="n">
        <x:v>0</x:v>
      </x:c>
      <x:c r="I5" s="31" t="inlineStr">
        <x:is>
          <x:t xml:space="preserve">Сварной шов</x:t>
        </x:is>
      </x:c>
      <x:c r="J5" s="31" t="inlineStr">
        <x:is>
          <x:t xml:space="preserve">Нет</x:t>
        </x:is>
      </x:c>
      <x:c r="K5" s="31" t="inlineStr">
        <x:is>
          <x:t xml:space="preserve">Принято</x:t>
        </x:is>
      </x:c>
      <x:c r="L5" s="31" t="inlineStr">
        <x:is>
          <x:t xml:space="preserve">Нет</x:t>
        </x:is>
      </x:c>
      <x:c r="M5" s="31" t="inlineStr">
        <x:is>
          <x:t xml:space="preserve">Не требуется</x:t>
        </x:is>
      </x:c>
      <x:c r="N5" s="31" t="inlineStr">
        <x:is>
          <x:t xml:space="preserve">Протокол приемочные испытания/ОТК 5554</x:t>
        </x:is>
      </x:c>
    </x:row>
    <x:row r="6" ht="18" customHeight="1">
      <x:c r="A6" s="31" t="inlineStr">
        <x:is>
          <x:t xml:space="preserve">ОТК-00005</x:t>
        </x:is>
      </x:c>
      <x:c r="B6" s="31" t="inlineStr">
        <x:is>
          <x:t xml:space="preserve">ПЗ-00005</x:t>
        </x:is>
      </x:c>
      <x:c r="C6" s="31" t="inlineStr">
        <x:is>
          <x:t xml:space="preserve">ЗК-1003</x:t>
        </x:is>
      </x:c>
      <x:c r="D6" s="31" t="inlineStr">
        <x:is>
          <x:t xml:space="preserve">ИЗД-036</x:t>
        </x:is>
      </x:c>
      <x:c r="E6" s="31" t="n">
        <x:v>46236</x:v>
      </x:c>
      <x:c r="F6" s="31" t="inlineStr">
        <x:is>
          <x:t xml:space="preserve">СОТР-099</x:t>
        </x:is>
      </x:c>
      <x:c r="G6" s="31" t="n">
        <x:v>4</x:v>
      </x:c>
      <x:c r="H6" s="31" t="n">
        <x:v>0</x:v>
      </x:c>
      <x:c r="I6" s="31" t="inlineStr">
        <x:is>
          <x:t xml:space="preserve">Геометрия</x:t>
        </x:is>
      </x:c>
      <x:c r="J6" s="31" t="inlineStr">
        <x:is>
          <x:t xml:space="preserve">Нет</x:t>
        </x:is>
      </x:c>
      <x:c r="K6" s="31" t="inlineStr">
        <x:is>
          <x:t xml:space="preserve">Принято</x:t>
        </x:is>
      </x:c>
      <x:c r="L6" s="31" t="inlineStr">
        <x:is>
          <x:t xml:space="preserve">Нет</x:t>
        </x:is>
      </x:c>
      <x:c r="M6" s="31" t="inlineStr">
        <x:is>
          <x:t xml:space="preserve">Не требуется</x:t>
        </x:is>
      </x:c>
      <x:c r="N6" s="31" t="inlineStr">
        <x:is>
          <x:t xml:space="preserve">Протокол приемочные испытания/ОТК 1833</x:t>
        </x:is>
      </x:c>
    </x:row>
    <x:row r="7" ht="18" customHeight="1">
      <x:c r="A7" s="31" t="inlineStr">
        <x:is>
          <x:t xml:space="preserve">ОТК-00006</x:t>
        </x:is>
      </x:c>
      <x:c r="B7" s="31" t="inlineStr">
        <x:is>
          <x:t xml:space="preserve">ПЗ-00007</x:t>
        </x:is>
      </x:c>
      <x:c r="C7" s="31" t="inlineStr">
        <x:is>
          <x:t xml:space="preserve">ЗК-1005</x:t>
        </x:is>
      </x:c>
      <x:c r="D7" s="31" t="inlineStr">
        <x:is>
          <x:t xml:space="preserve">ИЗД-016</x:t>
        </x:is>
      </x:c>
      <x:c r="E7" s="31" t="n">
        <x:v>46117</x:v>
      </x:c>
      <x:c r="F7" s="31" t="inlineStr">
        <x:is>
          <x:t xml:space="preserve">СОТР-099</x:t>
        </x:is>
      </x:c>
      <x:c r="G7" s="31" t="n">
        <x:v>5</x:v>
      </x:c>
      <x:c r="H7" s="31" t="n">
        <x:v>1</x:v>
      </x:c>
      <x:c r="I7" s="31" t="inlineStr">
        <x:is>
          <x:t xml:space="preserve">Маркировка</x:t>
        </x:is>
      </x:c>
      <x:c r="J7" s="31" t="inlineStr">
        <x:is>
          <x:t xml:space="preserve">Незначительный</x:t>
        </x:is>
      </x:c>
      <x:c r="K7" s="31" t="inlineStr">
        <x:is>
          <x:t xml:space="preserve">Блокировка отгрузки</x:t>
        </x:is>
      </x:c>
      <x:c r="L7" s="31" t="inlineStr">
        <x:is>
          <x:t xml:space="preserve">Да</x:t>
        </x:is>
      </x:c>
      <x:c r="M7" s="31" t="inlineStr">
        <x:is>
          <x:t xml:space="preserve">Закрыта</x:t>
        </x:is>
      </x:c>
      <x:c r="N7" s="31" t="inlineStr">
        <x:is>
          <x:t xml:space="preserve">Протокол приемочные испытания/ОТК 5648</x:t>
        </x:is>
      </x:c>
    </x:row>
    <x:row r="8" ht="18" customHeight="1">
      <x:c r="A8" s="31" t="inlineStr">
        <x:is>
          <x:t xml:space="preserve">ОТК-00007</x:t>
        </x:is>
      </x:c>
      <x:c r="B8" s="31" t="inlineStr">
        <x:is>
          <x:t xml:space="preserve">ПЗ-00008</x:t>
        </x:is>
      </x:c>
      <x:c r="C8" s="31" t="inlineStr">
        <x:is>
          <x:t xml:space="preserve">ЗК-1005</x:t>
        </x:is>
      </x:c>
      <x:c r="D8" s="31" t="inlineStr">
        <x:is>
          <x:t xml:space="preserve">ИЗД-004</x:t>
        </x:is>
      </x:c>
      <x:c r="E8" s="31" t="n">
        <x:v>46114</x:v>
      </x:c>
      <x:c r="F8" s="31" t="inlineStr">
        <x:is>
          <x:t xml:space="preserve">СОТР-099</x:t>
        </x:is>
      </x:c>
      <x:c r="G8" s="31" t="n">
        <x:v>4</x:v>
      </x:c>
      <x:c r="H8" s="31" t="n">
        <x:v>0</x:v>
      </x:c>
      <x:c r="I8" s="31" t="inlineStr">
        <x:is>
          <x:t xml:space="preserve">Сварной шов</x:t>
        </x:is>
      </x:c>
      <x:c r="J8" s="31" t="inlineStr">
        <x:is>
          <x:t xml:space="preserve">Нет</x:t>
        </x:is>
      </x:c>
      <x:c r="K8" s="31" t="inlineStr">
        <x:is>
          <x:t xml:space="preserve">Принято</x:t>
        </x:is>
      </x:c>
      <x:c r="L8" s="31" t="inlineStr">
        <x:is>
          <x:t xml:space="preserve">Нет</x:t>
        </x:is>
      </x:c>
      <x:c r="M8" s="31" t="inlineStr">
        <x:is>
          <x:t xml:space="preserve">Не требуется</x:t>
        </x:is>
      </x:c>
      <x:c r="N8" s="31" t="inlineStr">
        <x:is>
          <x:t xml:space="preserve">Протокол приемочные испытания/ОТК 7251</x:t>
        </x:is>
      </x:c>
    </x:row>
    <x:row r="9" ht="18" customHeight="1">
      <x:c r="A9" s="31" t="inlineStr">
        <x:is>
          <x:t xml:space="preserve">ОТК-00008</x:t>
        </x:is>
      </x:c>
      <x:c r="B9" s="31" t="inlineStr">
        <x:is>
          <x:t xml:space="preserve">ПЗ-00009</x:t>
        </x:is>
      </x:c>
      <x:c r="C9" s="31" t="inlineStr">
        <x:is>
          <x:t xml:space="preserve">ЗК-1007</x:t>
        </x:is>
      </x:c>
      <x:c r="D9" s="31" t="inlineStr">
        <x:is>
          <x:t xml:space="preserve">ИЗД-045</x:t>
        </x:is>
      </x:c>
      <x:c r="E9" s="31" t="n">
        <x:v>46180</x:v>
      </x:c>
      <x:c r="F9" s="31" t="inlineStr">
        <x:is>
          <x:t xml:space="preserve">СОТР-099</x:t>
        </x:is>
      </x:c>
      <x:c r="G9" s="31" t="n">
        <x:v>4</x:v>
      </x:c>
      <x:c r="H9" s="31" t="n">
        <x:v>0</x:v>
      </x:c>
      <x:c r="I9" s="31" t="inlineStr">
        <x:is>
          <x:t xml:space="preserve">Покрытие</x:t>
        </x:is>
      </x:c>
      <x:c r="J9" s="31" t="inlineStr">
        <x:is>
          <x:t xml:space="preserve">Нет</x:t>
        </x:is>
      </x:c>
      <x:c r="K9" s="31" t="inlineStr">
        <x:is>
          <x:t xml:space="preserve">Принято</x:t>
        </x:is>
      </x:c>
      <x:c r="L9" s="31" t="inlineStr">
        <x:is>
          <x:t xml:space="preserve">Нет</x:t>
        </x:is>
      </x:c>
      <x:c r="M9" s="31" t="inlineStr">
        <x:is>
          <x:t xml:space="preserve">Не требуется</x:t>
        </x:is>
      </x:c>
      <x:c r="N9" s="31" t="inlineStr">
        <x:is>
          <x:t xml:space="preserve">Протокол приемочные испытания/ОТК 4054</x:t>
        </x:is>
      </x:c>
    </x:row>
    <x:row r="10" ht="18" customHeight="1">
      <x:c r="A10" s="31" t="inlineStr">
        <x:is>
          <x:t xml:space="preserve">ОТК-00009</x:t>
        </x:is>
      </x:c>
      <x:c r="B10" s="31" t="inlineStr">
        <x:is>
          <x:t xml:space="preserve">ПЗ-00010</x:t>
        </x:is>
      </x:c>
      <x:c r="C10" s="31" t="inlineStr">
        <x:is>
          <x:t xml:space="preserve">ЗК-1007</x:t>
        </x:is>
      </x:c>
      <x:c r="D10" s="31" t="inlineStr">
        <x:is>
          <x:t xml:space="preserve">ИЗД-006</x:t>
        </x:is>
      </x:c>
      <x:c r="E10" s="31" t="n">
        <x:v>46181</x:v>
      </x:c>
      <x:c r="F10" s="31" t="inlineStr">
        <x:is>
          <x:t xml:space="preserve">СОТР-096</x:t>
        </x:is>
      </x:c>
      <x:c r="G10" s="31" t="n">
        <x:v>3</x:v>
      </x:c>
      <x:c r="H10" s="31" t="n">
        <x:v>2</x:v>
      </x:c>
      <x:c r="I10" s="31" t="inlineStr">
        <x:is>
          <x:t xml:space="preserve">Геометрия</x:t>
        </x:is>
      </x:c>
      <x:c r="J10" s="31" t="inlineStr">
        <x:is>
          <x:t xml:space="preserve">Существенный</x:t>
        </x:is>
      </x:c>
      <x:c r="K10" s="31" t="inlineStr">
        <x:is>
          <x:t xml:space="preserve">Доработка</x:t>
        </x:is>
      </x:c>
      <x:c r="L10" s="31" t="inlineStr">
        <x:is>
          <x:t xml:space="preserve">Да</x:t>
        </x:is>
      </x:c>
      <x:c r="M10" s="31" t="inlineStr">
        <x:is>
          <x:t xml:space="preserve">Закрыта</x:t>
        </x:is>
      </x:c>
      <x:c r="N10" s="31" t="inlineStr">
        <x:is>
          <x:t xml:space="preserve">Протокол приемочные испытания/ОТК 5177</x:t>
        </x:is>
      </x:c>
    </x:row>
    <x:row r="11" ht="18" customHeight="1">
      <x:c r="A11" s="31" t="inlineStr">
        <x:is>
          <x:t xml:space="preserve">ОТК-00010</x:t>
        </x:is>
      </x:c>
      <x:c r="B11" s="31" t="inlineStr">
        <x:is>
          <x:t xml:space="preserve">ПЗ-00011</x:t>
        </x:is>
      </x:c>
      <x:c r="C11" s="31" t="inlineStr">
        <x:is>
          <x:t xml:space="preserve">ЗК-1008</x:t>
        </x:is>
      </x:c>
      <x:c r="D11" s="31" t="inlineStr">
        <x:is>
          <x:t xml:space="preserve">ИЗД-039</x:t>
        </x:is>
      </x:c>
      <x:c r="E11" s="31" t="n">
        <x:v>46120</x:v>
      </x:c>
      <x:c r="F11" s="31" t="inlineStr">
        <x:is>
          <x:t xml:space="preserve">СОТР-093</x:t>
        </x:is>
      </x:c>
      <x:c r="G11" s="31" t="n">
        <x:v>5</x:v>
      </x:c>
      <x:c r="H11" s="31" t="n">
        <x:v>2</x:v>
      </x:c>
      <x:c r="I11" s="31" t="inlineStr">
        <x:is>
          <x:t xml:space="preserve">Маркировка</x:t>
        </x:is>
      </x:c>
      <x:c r="J11" s="31" t="inlineStr">
        <x:is>
          <x:t xml:space="preserve">Незначительный</x:t>
        </x:is>
      </x:c>
      <x:c r="K11" s="31" t="inlineStr">
        <x:is>
          <x:t xml:space="preserve">Принято с замечаниями</x:t>
        </x:is>
      </x:c>
      <x:c r="L11" s="31" t="inlineStr">
        <x:is>
          <x:t xml:space="preserve">Нет</x:t>
        </x:is>
      </x:c>
      <x:c r="M11" s="31" t="inlineStr">
        <x:is>
          <x:t xml:space="preserve">Закрыта</x:t>
        </x:is>
      </x:c>
      <x:c r="N11" s="31" t="inlineStr">
        <x:is>
          <x:t xml:space="preserve">Протокол приемочные испытания/ОТК 9183</x:t>
        </x:is>
      </x:c>
    </x:row>
    <x:row r="12" ht="18" customHeight="1">
      <x:c r="A12" s="31" t="inlineStr">
        <x:is>
          <x:t xml:space="preserve">ОТК-00011</x:t>
        </x:is>
      </x:c>
      <x:c r="B12" s="31" t="inlineStr">
        <x:is>
          <x:t xml:space="preserve">ПЗ-00012</x:t>
        </x:is>
      </x:c>
      <x:c r="C12" s="31" t="inlineStr">
        <x:is>
          <x:t xml:space="preserve">ЗК-1008</x:t>
        </x:is>
      </x:c>
      <x:c r="D12" s="31" t="inlineStr">
        <x:is>
          <x:t xml:space="preserve">ИЗД-011</x:t>
        </x:is>
      </x:c>
      <x:c r="E12" s="31" t="n">
        <x:v>46123</x:v>
      </x:c>
      <x:c r="F12" s="31" t="inlineStr">
        <x:is>
          <x:t xml:space="preserve">СОТР-093</x:t>
        </x:is>
      </x:c>
      <x:c r="G12" s="31" t="n">
        <x:v>5</x:v>
      </x:c>
      <x:c r="H12" s="31" t="n">
        <x:v>0</x:v>
      </x:c>
      <x:c r="I12" s="31" t="inlineStr">
        <x:is>
          <x:t xml:space="preserve">Документация</x:t>
        </x:is>
      </x:c>
      <x:c r="J12" s="31" t="inlineStr">
        <x:is>
          <x:t xml:space="preserve">Нет</x:t>
        </x:is>
      </x:c>
      <x:c r="K12" s="31" t="inlineStr">
        <x:is>
          <x:t xml:space="preserve">Принято</x:t>
        </x:is>
      </x:c>
      <x:c r="L12" s="31" t="inlineStr">
        <x:is>
          <x:t xml:space="preserve">Нет</x:t>
        </x:is>
      </x:c>
      <x:c r="M12" s="31" t="inlineStr">
        <x:is>
          <x:t xml:space="preserve">Не требуется</x:t>
        </x:is>
      </x:c>
      <x:c r="N12" s="31" t="inlineStr">
        <x:is>
          <x:t xml:space="preserve">Протокол приемочные испытания/ОТК 9288</x:t>
        </x:is>
      </x:c>
    </x:row>
    <x:row r="13" ht="18" customHeight="1">
      <x:c r="A13" s="31" t="inlineStr">
        <x:is>
          <x:t xml:space="preserve">ОТК-00012</x:t>
        </x:is>
      </x:c>
      <x:c r="B13" s="31" t="inlineStr">
        <x:is>
          <x:t xml:space="preserve">ПЗ-00013</x:t>
        </x:is>
      </x:c>
      <x:c r="C13" s="31" t="inlineStr">
        <x:is>
          <x:t xml:space="preserve">ЗК-1008</x:t>
        </x:is>
      </x:c>
      <x:c r="D13" s="31" t="inlineStr">
        <x:is>
          <x:t xml:space="preserve">ИЗД-002</x:t>
        </x:is>
      </x:c>
      <x:c r="E13" s="31" t="n">
        <x:v>46127</x:v>
      </x:c>
      <x:c r="F13" s="31" t="inlineStr">
        <x:is>
          <x:t xml:space="preserve">СОТР-100</x:t>
        </x:is>
      </x:c>
      <x:c r="G13" s="31" t="n">
        <x:v>5</x:v>
      </x:c>
      <x:c r="H13" s="31" t="n">
        <x:v>2</x:v>
      </x:c>
      <x:c r="I13" s="31" t="inlineStr">
        <x:is>
          <x:t xml:space="preserve">Документация</x:t>
        </x:is>
      </x:c>
      <x:c r="J13" s="31" t="inlineStr">
        <x:is>
          <x:t xml:space="preserve">Существенный</x:t>
        </x:is>
      </x:c>
      <x:c r="K13" s="31" t="inlineStr">
        <x:is>
          <x:t xml:space="preserve">Принято с замечаниями</x:t>
        </x:is>
      </x:c>
      <x:c r="L13" s="31" t="inlineStr">
        <x:is>
          <x:t xml:space="preserve">Нет</x:t>
        </x:is>
      </x:c>
      <x:c r="M13" s="31" t="inlineStr">
        <x:is>
          <x:t xml:space="preserve">Открыта</x:t>
        </x:is>
      </x:c>
      <x:c r="N13" s="31" t="inlineStr">
        <x:is>
          <x:t xml:space="preserve">Протокол приемочные испытания/ОТК 4395</x:t>
        </x:is>
      </x:c>
    </x:row>
    <x:row r="14" ht="18" customHeight="1">
      <x:c r="A14" s="31" t="inlineStr">
        <x:is>
          <x:t xml:space="preserve">ОТК-00013</x:t>
        </x:is>
      </x:c>
      <x:c r="B14" s="31" t="inlineStr">
        <x:is>
          <x:t xml:space="preserve">ПЗ-00014</x:t>
        </x:is>
      </x:c>
      <x:c r="C14" s="31" t="inlineStr">
        <x:is>
          <x:t xml:space="preserve">ЗК-1008</x:t>
        </x:is>
      </x:c>
      <x:c r="D14" s="31" t="inlineStr">
        <x:is>
          <x:t xml:space="preserve">ИЗД-010</x:t>
        </x:is>
      </x:c>
      <x:c r="E14" s="31" t="n">
        <x:v>46121</x:v>
      </x:c>
      <x:c r="F14" s="31" t="inlineStr">
        <x:is>
          <x:t xml:space="preserve">СОТР-093</x:t>
        </x:is>
      </x:c>
      <x:c r="G14" s="31" t="n">
        <x:v>8</x:v>
      </x:c>
      <x:c r="H14" s="31" t="n">
        <x:v>0</x:v>
      </x:c>
      <x:c r="I14" s="31" t="inlineStr">
        <x:is>
          <x:t xml:space="preserve">Сварной шов</x:t>
        </x:is>
      </x:c>
      <x:c r="J14" s="31" t="inlineStr">
        <x:is>
          <x:t xml:space="preserve">Нет</x:t>
        </x:is>
      </x:c>
      <x:c r="K14" s="31" t="inlineStr">
        <x:is>
          <x:t xml:space="preserve">Принято</x:t>
        </x:is>
      </x:c>
      <x:c r="L14" s="31" t="inlineStr">
        <x:is>
          <x:t xml:space="preserve">Нет</x:t>
        </x:is>
      </x:c>
      <x:c r="M14" s="31" t="inlineStr">
        <x:is>
          <x:t xml:space="preserve">Не требуется</x:t>
        </x:is>
      </x:c>
      <x:c r="N14" s="31" t="inlineStr">
        <x:is>
          <x:t xml:space="preserve">Протокол приемочные испытания/ОТК 3638</x:t>
        </x:is>
      </x:c>
    </x:row>
    <x:row r="15" ht="18" customHeight="1">
      <x:c r="A15" s="31" t="inlineStr">
        <x:is>
          <x:t xml:space="preserve">ОТК-00014</x:t>
        </x:is>
      </x:c>
      <x:c r="B15" s="31" t="inlineStr">
        <x:is>
          <x:t xml:space="preserve">ПЗ-00016</x:t>
        </x:is>
      </x:c>
      <x:c r="C15" s="31" t="inlineStr">
        <x:is>
          <x:t xml:space="preserve">ЗК-1009</x:t>
        </x:is>
      </x:c>
      <x:c r="D15" s="31" t="inlineStr">
        <x:is>
          <x:t xml:space="preserve">ИЗД-021</x:t>
        </x:is>
      </x:c>
      <x:c r="E15" s="31" t="n">
        <x:v>46203</x:v>
      </x:c>
      <x:c r="F15" s="31" t="inlineStr">
        <x:is>
          <x:t xml:space="preserve">СОТР-095</x:t>
        </x:is>
      </x:c>
      <x:c r="G15" s="31" t="n">
        <x:v>4</x:v>
      </x:c>
      <x:c r="H15" s="31" t="n">
        <x:v>0</x:v>
      </x:c>
      <x:c r="I15" s="31" t="inlineStr">
        <x:is>
          <x:t xml:space="preserve">Герметичность</x:t>
        </x:is>
      </x:c>
      <x:c r="J15" s="31" t="inlineStr">
        <x:is>
          <x:t xml:space="preserve">Нет</x:t>
        </x:is>
      </x:c>
      <x:c r="K15" s="31" t="inlineStr">
        <x:is>
          <x:t xml:space="preserve">Принято</x:t>
        </x:is>
      </x:c>
      <x:c r="L15" s="31" t="inlineStr">
        <x:is>
          <x:t xml:space="preserve">Нет</x:t>
        </x:is>
      </x:c>
      <x:c r="M15" s="31" t="inlineStr">
        <x:is>
          <x:t xml:space="preserve">Не требуется</x:t>
        </x:is>
      </x:c>
      <x:c r="N15" s="31" t="inlineStr">
        <x:is>
          <x:t xml:space="preserve">Протокол приемочные испытания/ОТК 3009</x:t>
        </x:is>
      </x:c>
    </x:row>
    <x:row r="16" ht="18" customHeight="1">
      <x:c r="A16" s="31" t="inlineStr">
        <x:is>
          <x:t xml:space="preserve">ОТК-00015</x:t>
        </x:is>
      </x:c>
      <x:c r="B16" s="31" t="inlineStr">
        <x:is>
          <x:t xml:space="preserve">ПЗ-00018</x:t>
        </x:is>
      </x:c>
      <x:c r="C16" s="31" t="inlineStr">
        <x:is>
          <x:t xml:space="preserve">ЗК-1009</x:t>
        </x:is>
      </x:c>
      <x:c r="D16" s="31" t="inlineStr">
        <x:is>
          <x:t xml:space="preserve">ИЗД-026</x:t>
        </x:is>
      </x:c>
      <x:c r="E16" s="31" t="n">
        <x:v>46203</x:v>
      </x:c>
      <x:c r="F16" s="31" t="inlineStr">
        <x:is>
          <x:t xml:space="preserve">СОТР-092</x:t>
        </x:is>
      </x:c>
      <x:c r="G16" s="31" t="n">
        <x:v>5</x:v>
      </x:c>
      <x:c r="H16" s="31" t="n">
        <x:v>1</x:v>
      </x:c>
      <x:c r="I16" s="31" t="inlineStr">
        <x:is>
          <x:t xml:space="preserve">Электрика</x:t>
        </x:is>
      </x:c>
      <x:c r="J16" s="31" t="inlineStr">
        <x:is>
          <x:t xml:space="preserve">Незначительный</x:t>
        </x:is>
      </x:c>
      <x:c r="K16" s="31" t="inlineStr">
        <x:is>
          <x:t xml:space="preserve">Доработка</x:t>
        </x:is>
      </x:c>
      <x:c r="L16" s="31" t="inlineStr">
        <x:is>
          <x:t xml:space="preserve">Да</x:t>
        </x:is>
      </x:c>
      <x:c r="M16" s="31" t="inlineStr">
        <x:is>
          <x:t xml:space="preserve">Закрыта</x:t>
        </x:is>
      </x:c>
      <x:c r="N16" s="31" t="inlineStr">
        <x:is>
          <x:t xml:space="preserve">Протокол приемочные испытания/ОТК 3271</x:t>
        </x:is>
      </x:c>
    </x:row>
    <x:row r="17" ht="18" customHeight="1">
      <x:c r="A17" s="31" t="inlineStr">
        <x:is>
          <x:t xml:space="preserve">ОТК-00016</x:t>
        </x:is>
      </x:c>
      <x:c r="B17" s="31" t="inlineStr">
        <x:is>
          <x:t xml:space="preserve">ПЗ-00023</x:t>
        </x:is>
      </x:c>
      <x:c r="C17" s="31" t="inlineStr">
        <x:is>
          <x:t xml:space="preserve">ЗК-1012</x:t>
        </x:is>
      </x:c>
      <x:c r="D17" s="31" t="inlineStr">
        <x:is>
          <x:t xml:space="preserve">ИЗД-024</x:t>
        </x:is>
      </x:c>
      <x:c r="E17" s="31" t="n">
        <x:v>46100</x:v>
      </x:c>
      <x:c r="F17" s="31" t="inlineStr">
        <x:is>
          <x:t xml:space="preserve">СОТР-100</x:t>
        </x:is>
      </x:c>
      <x:c r="G17" s="31" t="n">
        <x:v>8</x:v>
      </x:c>
      <x:c r="H17" s="31" t="n">
        <x:v>1</x:v>
      </x:c>
      <x:c r="I17" s="31" t="inlineStr">
        <x:is>
          <x:t xml:space="preserve">Маркировка</x:t>
        </x:is>
      </x:c>
      <x:c r="J17" s="31" t="inlineStr">
        <x:is>
          <x:t xml:space="preserve">Незначительный</x:t>
        </x:is>
      </x:c>
      <x:c r="K17" s="31" t="inlineStr">
        <x:is>
          <x:t xml:space="preserve">Принято с замечаниями</x:t>
        </x:is>
      </x:c>
      <x:c r="L17" s="31" t="inlineStr">
        <x:is>
          <x:t xml:space="preserve">Нет</x:t>
        </x:is>
      </x:c>
      <x:c r="M17" s="31" t="inlineStr">
        <x:is>
          <x:t xml:space="preserve">Закрыта</x:t>
        </x:is>
      </x:c>
      <x:c r="N17" s="31" t="inlineStr">
        <x:is>
          <x:t xml:space="preserve">Протокол приемочные испытания/ОТК 6752</x:t>
        </x:is>
      </x:c>
    </x:row>
    <x:row r="18" ht="18" customHeight="1">
      <x:c r="A18" s="31" t="inlineStr">
        <x:is>
          <x:t xml:space="preserve">ОТК-00017</x:t>
        </x:is>
      </x:c>
      <x:c r="B18" s="31" t="inlineStr">
        <x:is>
          <x:t xml:space="preserve">ПЗ-00024</x:t>
        </x:is>
      </x:c>
      <x:c r="C18" s="31" t="inlineStr">
        <x:is>
          <x:t xml:space="preserve">ЗК-1012</x:t>
        </x:is>
      </x:c>
      <x:c r="D18" s="31" t="inlineStr">
        <x:is>
          <x:t xml:space="preserve">ИЗД-019</x:t>
        </x:is>
      </x:c>
      <x:c r="E18" s="31" t="n">
        <x:v>46098</x:v>
      </x:c>
      <x:c r="F18" s="31" t="inlineStr">
        <x:is>
          <x:t xml:space="preserve">СОТР-099</x:t>
        </x:is>
      </x:c>
      <x:c r="G18" s="31" t="n">
        <x:v>6</x:v>
      </x:c>
      <x:c r="H18" s="31" t="n">
        <x:v>0</x:v>
      </x:c>
      <x:c r="I18" s="31" t="inlineStr">
        <x:is>
          <x:t xml:space="preserve">Сварной шов</x:t>
        </x:is>
      </x:c>
      <x:c r="J18" s="31" t="inlineStr">
        <x:is>
          <x:t xml:space="preserve">Нет</x:t>
        </x:is>
      </x:c>
      <x:c r="K18" s="31" t="inlineStr">
        <x:is>
          <x:t xml:space="preserve">Принято</x:t>
        </x:is>
      </x:c>
      <x:c r="L18" s="31" t="inlineStr">
        <x:is>
          <x:t xml:space="preserve">Нет</x:t>
        </x:is>
      </x:c>
      <x:c r="M18" s="31" t="inlineStr">
        <x:is>
          <x:t xml:space="preserve">Не требуется</x:t>
        </x:is>
      </x:c>
      <x:c r="N18" s="31" t="inlineStr">
        <x:is>
          <x:t xml:space="preserve">Протокол приемочные испытания/ОТК 6953</x:t>
        </x:is>
      </x:c>
    </x:row>
    <x:row r="19" ht="18" customHeight="1">
      <x:c r="A19" s="31" t="inlineStr">
        <x:is>
          <x:t xml:space="preserve">ОТК-00018</x:t>
        </x:is>
      </x:c>
      <x:c r="B19" s="31" t="inlineStr">
        <x:is>
          <x:t xml:space="preserve">ПЗ-00025</x:t>
        </x:is>
      </x:c>
      <x:c r="C19" s="31" t="inlineStr">
        <x:is>
          <x:t xml:space="preserve">ЗК-1012</x:t>
        </x:is>
      </x:c>
      <x:c r="D19" s="31" t="inlineStr">
        <x:is>
          <x:t xml:space="preserve">ИЗД-026</x:t>
        </x:is>
      </x:c>
      <x:c r="E19" s="31" t="n">
        <x:v>46093</x:v>
      </x:c>
      <x:c r="F19" s="31" t="inlineStr">
        <x:is>
          <x:t xml:space="preserve">СОТР-099</x:t>
        </x:is>
      </x:c>
      <x:c r="G19" s="31" t="n">
        <x:v>8</x:v>
      </x:c>
      <x:c r="H19" s="31" t="n">
        <x:v>0</x:v>
      </x:c>
      <x:c r="I19" s="31" t="inlineStr">
        <x:is>
          <x:t xml:space="preserve">Покрытие</x:t>
        </x:is>
      </x:c>
      <x:c r="J19" s="31" t="inlineStr">
        <x:is>
          <x:t xml:space="preserve">Нет</x:t>
        </x:is>
      </x:c>
      <x:c r="K19" s="31" t="inlineStr">
        <x:is>
          <x:t xml:space="preserve">Принято</x:t>
        </x:is>
      </x:c>
      <x:c r="L19" s="31" t="inlineStr">
        <x:is>
          <x:t xml:space="preserve">Нет</x:t>
        </x:is>
      </x:c>
      <x:c r="M19" s="31" t="inlineStr">
        <x:is>
          <x:t xml:space="preserve">Не требуется</x:t>
        </x:is>
      </x:c>
      <x:c r="N19" s="31" t="inlineStr">
        <x:is>
          <x:t xml:space="preserve">Протокол приемочные испытания/ОТК 7399</x:t>
        </x:is>
      </x:c>
    </x:row>
    <x:row r="20" ht="18" customHeight="1">
      <x:c r="A20" s="31" t="inlineStr">
        <x:is>
          <x:t xml:space="preserve">ОТК-00019</x:t>
        </x:is>
      </x:c>
      <x:c r="B20" s="31" t="inlineStr">
        <x:is>
          <x:t xml:space="preserve">ПЗ-00026</x:t>
        </x:is>
      </x:c>
      <x:c r="C20" s="31" t="inlineStr">
        <x:is>
          <x:t xml:space="preserve">ЗК-1013</x:t>
        </x:is>
      </x:c>
      <x:c r="D20" s="31" t="inlineStr">
        <x:is>
          <x:t xml:space="preserve">ИЗД-018</x:t>
        </x:is>
      </x:c>
      <x:c r="E20" s="31" t="n">
        <x:v>46118</x:v>
      </x:c>
      <x:c r="F20" s="31" t="inlineStr">
        <x:is>
          <x:t xml:space="preserve">СОТР-098</x:t>
        </x:is>
      </x:c>
      <x:c r="G20" s="31" t="n">
        <x:v>3</x:v>
      </x:c>
      <x:c r="H20" s="31" t="n">
        <x:v>0</x:v>
      </x:c>
      <x:c r="I20" s="31" t="inlineStr">
        <x:is>
          <x:t xml:space="preserve">Электрика</x:t>
        </x:is>
      </x:c>
      <x:c r="J20" s="31" t="inlineStr">
        <x:is>
          <x:t xml:space="preserve">Нет</x:t>
        </x:is>
      </x:c>
      <x:c r="K20" s="31" t="inlineStr">
        <x:is>
          <x:t xml:space="preserve">Принято</x:t>
        </x:is>
      </x:c>
      <x:c r="L20" s="31" t="inlineStr">
        <x:is>
          <x:t xml:space="preserve">Нет</x:t>
        </x:is>
      </x:c>
      <x:c r="M20" s="31" t="inlineStr">
        <x:is>
          <x:t xml:space="preserve">Не требуется</x:t>
        </x:is>
      </x:c>
      <x:c r="N20" s="31" t="inlineStr">
        <x:is>
          <x:t xml:space="preserve">Протокол приемочные испытания/ОТК 2384</x:t>
        </x:is>
      </x:c>
    </x:row>
    <x:row r="21" ht="18" customHeight="1">
      <x:c r="A21" s="31" t="inlineStr">
        <x:is>
          <x:t xml:space="preserve">ОТК-00020</x:t>
        </x:is>
      </x:c>
      <x:c r="B21" s="31" t="inlineStr">
        <x:is>
          <x:t xml:space="preserve">ПЗ-00027</x:t>
        </x:is>
      </x:c>
      <x:c r="C21" s="31" t="inlineStr">
        <x:is>
          <x:t xml:space="preserve">ЗК-1014</x:t>
        </x:is>
      </x:c>
      <x:c r="D21" s="31" t="inlineStr">
        <x:is>
          <x:t xml:space="preserve">ИЗД-020</x:t>
        </x:is>
      </x:c>
      <x:c r="E21" s="31" t="n">
        <x:v>46089</x:v>
      </x:c>
      <x:c r="F21" s="31" t="inlineStr">
        <x:is>
          <x:t xml:space="preserve">СОТР-096</x:t>
        </x:is>
      </x:c>
      <x:c r="G21" s="31" t="n">
        <x:v>3</x:v>
      </x:c>
      <x:c r="H21" s="31" t="n">
        <x:v>0</x:v>
      </x:c>
      <x:c r="I21" s="31" t="inlineStr">
        <x:is>
          <x:t xml:space="preserve">Комплектность</x:t>
        </x:is>
      </x:c>
      <x:c r="J21" s="31" t="inlineStr">
        <x:is>
          <x:t xml:space="preserve">Нет</x:t>
        </x:is>
      </x:c>
      <x:c r="K21" s="31" t="inlineStr">
        <x:is>
          <x:t xml:space="preserve">Принято</x:t>
        </x:is>
      </x:c>
      <x:c r="L21" s="31" t="inlineStr">
        <x:is>
          <x:t xml:space="preserve">Нет</x:t>
        </x:is>
      </x:c>
      <x:c r="M21" s="31" t="inlineStr">
        <x:is>
          <x:t xml:space="preserve">Не требуется</x:t>
        </x:is>
      </x:c>
      <x:c r="N21" s="31" t="inlineStr">
        <x:is>
          <x:t xml:space="preserve">Протокол приемочные испытания/ОТК 8211</x:t>
        </x:is>
      </x:c>
    </x:row>
    <x:row r="22" ht="18" customHeight="1">
      <x:c r="A22" s="31" t="inlineStr">
        <x:is>
          <x:t xml:space="preserve">ОТК-00021</x:t>
        </x:is>
      </x:c>
      <x:c r="B22" s="31" t="inlineStr">
        <x:is>
          <x:t xml:space="preserve">ПЗ-00028</x:t>
        </x:is>
      </x:c>
      <x:c r="C22" s="31" t="inlineStr">
        <x:is>
          <x:t xml:space="preserve">ЗК-1015</x:t>
        </x:is>
      </x:c>
      <x:c r="D22" s="31" t="inlineStr">
        <x:is>
          <x:t xml:space="preserve">ИЗД-043</x:t>
        </x:is>
      </x:c>
      <x:c r="E22" s="31" t="n">
        <x:v>46181</x:v>
      </x:c>
      <x:c r="F22" s="31" t="inlineStr">
        <x:is>
          <x:t xml:space="preserve">СОТР-099</x:t>
        </x:is>
      </x:c>
      <x:c r="G22" s="31" t="n">
        <x:v>8</x:v>
      </x:c>
      <x:c r="H22" s="31" t="n">
        <x:v>0</x:v>
      </x:c>
      <x:c r="I22" s="31" t="inlineStr">
        <x:is>
          <x:t xml:space="preserve">Покрытие</x:t>
        </x:is>
      </x:c>
      <x:c r="J22" s="31" t="inlineStr">
        <x:is>
          <x:t xml:space="preserve">Нет</x:t>
        </x:is>
      </x:c>
      <x:c r="K22" s="31" t="inlineStr">
        <x:is>
          <x:t xml:space="preserve">Принято</x:t>
        </x:is>
      </x:c>
      <x:c r="L22" s="31" t="inlineStr">
        <x:is>
          <x:t xml:space="preserve">Нет</x:t>
        </x:is>
      </x:c>
      <x:c r="M22" s="31" t="inlineStr">
        <x:is>
          <x:t xml:space="preserve">Не требуется</x:t>
        </x:is>
      </x:c>
      <x:c r="N22" s="31" t="inlineStr">
        <x:is>
          <x:t xml:space="preserve">Протокол приемочные испытания/ОТК 7102</x:t>
        </x:is>
      </x:c>
    </x:row>
    <x:row r="23" ht="18" customHeight="1">
      <x:c r="A23" s="31" t="inlineStr">
        <x:is>
          <x:t xml:space="preserve">ОТК-00022</x:t>
        </x:is>
      </x:c>
      <x:c r="B23" s="31" t="inlineStr">
        <x:is>
          <x:t xml:space="preserve">ПЗ-00029</x:t>
        </x:is>
      </x:c>
      <x:c r="C23" s="31" t="inlineStr">
        <x:is>
          <x:t xml:space="preserve">ЗК-1016</x:t>
        </x:is>
      </x:c>
      <x:c r="D23" s="31" t="inlineStr">
        <x:is>
          <x:t xml:space="preserve">ИЗД-003</x:t>
        </x:is>
      </x:c>
      <x:c r="E23" s="31" t="n">
        <x:v>46110</x:v>
      </x:c>
      <x:c r="F23" s="31" t="inlineStr">
        <x:is>
          <x:t xml:space="preserve">СОТР-099</x:t>
        </x:is>
      </x:c>
      <x:c r="G23" s="31" t="n">
        <x:v>6</x:v>
      </x:c>
      <x:c r="H23" s="31" t="n">
        <x:v>1</x:v>
      </x:c>
      <x:c r="I23" s="31" t="inlineStr">
        <x:is>
          <x:t xml:space="preserve">Покрытие</x:t>
        </x:is>
      </x:c>
      <x:c r="J23" s="31" t="inlineStr">
        <x:is>
          <x:t xml:space="preserve">Незначительный</x:t>
        </x:is>
      </x:c>
      <x:c r="K23" s="31" t="inlineStr">
        <x:is>
          <x:t xml:space="preserve">Блокировка отгрузки</x:t>
        </x:is>
      </x:c>
      <x:c r="L23" s="31" t="inlineStr">
        <x:is>
          <x:t xml:space="preserve">Да</x:t>
        </x:is>
      </x:c>
      <x:c r="M23" s="31" t="inlineStr">
        <x:is>
          <x:t xml:space="preserve">Открыта</x:t>
        </x:is>
      </x:c>
      <x:c r="N23" s="31" t="inlineStr">
        <x:is>
          <x:t xml:space="preserve">Протокол приемочные испытания/ОТК 6780</x:t>
        </x:is>
      </x:c>
    </x:row>
    <x:row r="24" ht="18" customHeight="1">
      <x:c r="A24" s="31" t="inlineStr">
        <x:is>
          <x:t xml:space="preserve">ОТК-00023</x:t>
        </x:is>
      </x:c>
      <x:c r="B24" s="31" t="inlineStr">
        <x:is>
          <x:t xml:space="preserve">ПЗ-00030</x:t>
        </x:is>
      </x:c>
      <x:c r="C24" s="31" t="inlineStr">
        <x:is>
          <x:t xml:space="preserve">ЗК-1017</x:t>
        </x:is>
      </x:c>
      <x:c r="D24" s="31" t="inlineStr">
        <x:is>
          <x:t xml:space="preserve">ИЗД-023</x:t>
        </x:is>
      </x:c>
      <x:c r="E24" s="31" t="n">
        <x:v>46141</x:v>
      </x:c>
      <x:c r="F24" s="31" t="inlineStr">
        <x:is>
          <x:t xml:space="preserve">СОТР-097</x:t>
        </x:is>
      </x:c>
      <x:c r="G24" s="31" t="n">
        <x:v>4</x:v>
      </x:c>
      <x:c r="H24" s="31" t="n">
        <x:v>0</x:v>
      </x:c>
      <x:c r="I24" s="31" t="inlineStr">
        <x:is>
          <x:t xml:space="preserve">Герметичность</x:t>
        </x:is>
      </x:c>
      <x:c r="J24" s="31" t="inlineStr">
        <x:is>
          <x:t xml:space="preserve">Нет</x:t>
        </x:is>
      </x:c>
      <x:c r="K24" s="31" t="inlineStr">
        <x:is>
          <x:t xml:space="preserve">Принято</x:t>
        </x:is>
      </x:c>
      <x:c r="L24" s="31" t="inlineStr">
        <x:is>
          <x:t xml:space="preserve">Нет</x:t>
        </x:is>
      </x:c>
      <x:c r="M24" s="31" t="inlineStr">
        <x:is>
          <x:t xml:space="preserve">Не требуется</x:t>
        </x:is>
      </x:c>
      <x:c r="N24" s="31" t="inlineStr">
        <x:is>
          <x:t xml:space="preserve">Протокол приемочные испытания/ОТК 8139</x:t>
        </x:is>
      </x:c>
    </x:row>
    <x:row r="25" ht="18" customHeight="1">
      <x:c r="A25" s="31" t="inlineStr">
        <x:is>
          <x:t xml:space="preserve">ОТК-00024</x:t>
        </x:is>
      </x:c>
      <x:c r="B25" s="31" t="inlineStr">
        <x:is>
          <x:t xml:space="preserve">ПЗ-00031</x:t>
        </x:is>
      </x:c>
      <x:c r="C25" s="31" t="inlineStr">
        <x:is>
          <x:t xml:space="preserve">ЗК-1017</x:t>
        </x:is>
      </x:c>
      <x:c r="D25" s="31" t="inlineStr">
        <x:is>
          <x:t xml:space="preserve">ИЗД-035</x:t>
        </x:is>
      </x:c>
      <x:c r="E25" s="31" t="n">
        <x:v>46138</x:v>
      </x:c>
      <x:c r="F25" s="31" t="inlineStr">
        <x:is>
          <x:t xml:space="preserve">СОТР-097</x:t>
        </x:is>
      </x:c>
      <x:c r="G25" s="31" t="n">
        <x:v>5</x:v>
      </x:c>
      <x:c r="H25" s="31" t="n">
        <x:v>0</x:v>
      </x:c>
      <x:c r="I25" s="31" t="inlineStr">
        <x:is>
          <x:t xml:space="preserve">Герметичность</x:t>
        </x:is>
      </x:c>
      <x:c r="J25" s="31" t="inlineStr">
        <x:is>
          <x:t xml:space="preserve">Нет</x:t>
        </x:is>
      </x:c>
      <x:c r="K25" s="31" t="inlineStr">
        <x:is>
          <x:t xml:space="preserve">Принято</x:t>
        </x:is>
      </x:c>
      <x:c r="L25" s="31" t="inlineStr">
        <x:is>
          <x:t xml:space="preserve">Нет</x:t>
        </x:is>
      </x:c>
      <x:c r="M25" s="31" t="inlineStr">
        <x:is>
          <x:t xml:space="preserve">Не требуется</x:t>
        </x:is>
      </x:c>
      <x:c r="N25" s="31" t="inlineStr">
        <x:is>
          <x:t xml:space="preserve">Протокол приемочные испытания/ОТК 2156</x:t>
        </x:is>
      </x:c>
    </x:row>
    <x:row r="26" ht="18" customHeight="1">
      <x:c r="A26" s="31" t="inlineStr">
        <x:is>
          <x:t xml:space="preserve">ОТК-00025</x:t>
        </x:is>
      </x:c>
      <x:c r="B26" s="31" t="inlineStr">
        <x:is>
          <x:t xml:space="preserve">ПЗ-00034</x:t>
        </x:is>
      </x:c>
      <x:c r="C26" s="31" t="inlineStr">
        <x:is>
          <x:t xml:space="preserve">ЗК-1018</x:t>
        </x:is>
      </x:c>
      <x:c r="D26" s="31" t="inlineStr">
        <x:is>
          <x:t xml:space="preserve">ИЗД-026</x:t>
        </x:is>
      </x:c>
      <x:c r="E26" s="31" t="n">
        <x:v>46197</x:v>
      </x:c>
      <x:c r="F26" s="31" t="inlineStr">
        <x:is>
          <x:t xml:space="preserve">СОТР-096</x:t>
        </x:is>
      </x:c>
      <x:c r="G26" s="31" t="n">
        <x:v>6</x:v>
      </x:c>
      <x:c r="H26" s="31" t="n">
        <x:v>0</x:v>
      </x:c>
      <x:c r="I26" s="31" t="inlineStr">
        <x:is>
          <x:t xml:space="preserve">Документация</x:t>
        </x:is>
      </x:c>
      <x:c r="J26" s="31" t="inlineStr">
        <x:is>
          <x:t xml:space="preserve">Нет</x:t>
        </x:is>
      </x:c>
      <x:c r="K26" s="31" t="inlineStr">
        <x:is>
          <x:t xml:space="preserve">Принято</x:t>
        </x:is>
      </x:c>
      <x:c r="L26" s="31" t="inlineStr">
        <x:is>
          <x:t xml:space="preserve">Нет</x:t>
        </x:is>
      </x:c>
      <x:c r="M26" s="31" t="inlineStr">
        <x:is>
          <x:t xml:space="preserve">Не требуется</x:t>
        </x:is>
      </x:c>
      <x:c r="N26" s="31" t="inlineStr">
        <x:is>
          <x:t xml:space="preserve">Протокол приемочные испытания/ОТК 9670</x:t>
        </x:is>
      </x:c>
    </x:row>
    <x:row r="27" ht="18" customHeight="1">
      <x:c r="A27" s="31" t="inlineStr">
        <x:is>
          <x:t xml:space="preserve">ОТК-00026</x:t>
        </x:is>
      </x:c>
      <x:c r="B27" s="31" t="inlineStr">
        <x:is>
          <x:t xml:space="preserve">ПЗ-00035</x:t>
        </x:is>
      </x:c>
      <x:c r="C27" s="31" t="inlineStr">
        <x:is>
          <x:t xml:space="preserve">ЗК-1018</x:t>
        </x:is>
      </x:c>
      <x:c r="D27" s="31" t="inlineStr">
        <x:is>
          <x:t xml:space="preserve">ИЗД-001</x:t>
        </x:is>
      </x:c>
      <x:c r="E27" s="31" t="n">
        <x:v>46195</x:v>
      </x:c>
      <x:c r="F27" s="31" t="inlineStr">
        <x:is>
          <x:t xml:space="preserve">СОТР-099</x:t>
        </x:is>
      </x:c>
      <x:c r="G27" s="31" t="n">
        <x:v>4</x:v>
      </x:c>
      <x:c r="H27" s="31" t="n">
        <x:v>1</x:v>
      </x:c>
      <x:c r="I27" s="31" t="inlineStr">
        <x:is>
          <x:t xml:space="preserve">Комплектность</x:t>
        </x:is>
      </x:c>
      <x:c r="J27" s="31" t="inlineStr">
        <x:is>
          <x:t xml:space="preserve">Существенный</x:t>
        </x:is>
      </x:c>
      <x:c r="K27" s="31" t="inlineStr">
        <x:is>
          <x:t xml:space="preserve">Блокировка отгрузки</x:t>
        </x:is>
      </x:c>
      <x:c r="L27" s="31" t="inlineStr">
        <x:is>
          <x:t xml:space="preserve">Да</x:t>
        </x:is>
      </x:c>
      <x:c r="M27" s="31" t="inlineStr">
        <x:is>
          <x:t xml:space="preserve">В работе</x:t>
        </x:is>
      </x:c>
      <x:c r="N27" s="31" t="inlineStr">
        <x:is>
          <x:t xml:space="preserve">Протокол приемочные испытания/ОТК 5519</x:t>
        </x:is>
      </x:c>
    </x:row>
    <x:row r="28" ht="18" customHeight="1">
      <x:c r="A28" s="31" t="inlineStr">
        <x:is>
          <x:t xml:space="preserve">ОТК-00027</x:t>
        </x:is>
      </x:c>
      <x:c r="B28" s="31" t="inlineStr">
        <x:is>
          <x:t xml:space="preserve">ПЗ-00037</x:t>
        </x:is>
      </x:c>
      <x:c r="C28" s="31" t="inlineStr">
        <x:is>
          <x:t xml:space="preserve">ЗК-1019</x:t>
        </x:is>
      </x:c>
      <x:c r="D28" s="31" t="inlineStr">
        <x:is>
          <x:t xml:space="preserve">ИЗД-041</x:t>
        </x:is>
      </x:c>
      <x:c r="E28" s="31" t="n">
        <x:v>46190</x:v>
      </x:c>
      <x:c r="F28" s="31" t="inlineStr">
        <x:is>
          <x:t xml:space="preserve">СОТР-098</x:t>
        </x:is>
      </x:c>
      <x:c r="G28" s="31" t="n">
        <x:v>4</x:v>
      </x:c>
      <x:c r="H28" s="31" t="n">
        <x:v>0</x:v>
      </x:c>
      <x:c r="I28" s="31" t="inlineStr">
        <x:is>
          <x:t xml:space="preserve">Сварной шов</x:t>
        </x:is>
      </x:c>
      <x:c r="J28" s="31" t="inlineStr">
        <x:is>
          <x:t xml:space="preserve">Нет</x:t>
        </x:is>
      </x:c>
      <x:c r="K28" s="31" t="inlineStr">
        <x:is>
          <x:t xml:space="preserve">Принято</x:t>
        </x:is>
      </x:c>
      <x:c r="L28" s="31" t="inlineStr">
        <x:is>
          <x:t xml:space="preserve">Нет</x:t>
        </x:is>
      </x:c>
      <x:c r="M28" s="31" t="inlineStr">
        <x:is>
          <x:t xml:space="preserve">Не требуется</x:t>
        </x:is>
      </x:c>
      <x:c r="N28" s="31" t="inlineStr">
        <x:is>
          <x:t xml:space="preserve">Протокол приемочные испытания/ОТК 6927</x:t>
        </x:is>
      </x:c>
    </x:row>
    <x:row r="29" ht="18" customHeight="1">
      <x:c r="A29" s="31" t="inlineStr">
        <x:is>
          <x:t xml:space="preserve">ОТК-00028</x:t>
        </x:is>
      </x:c>
      <x:c r="B29" s="31" t="inlineStr">
        <x:is>
          <x:t xml:space="preserve">ПЗ-00039</x:t>
        </x:is>
      </x:c>
      <x:c r="C29" s="31" t="inlineStr">
        <x:is>
          <x:t xml:space="preserve">ЗК-1022</x:t>
        </x:is>
      </x:c>
      <x:c r="D29" s="31" t="inlineStr">
        <x:is>
          <x:t xml:space="preserve">ИЗД-014</x:t>
        </x:is>
      </x:c>
      <x:c r="E29" s="31" t="n">
        <x:v>46195</x:v>
      </x:c>
      <x:c r="F29" s="31" t="inlineStr">
        <x:is>
          <x:t xml:space="preserve">СОТР-093</x:t>
        </x:is>
      </x:c>
      <x:c r="G29" s="31" t="n">
        <x:v>8</x:v>
      </x:c>
      <x:c r="H29" s="31" t="n">
        <x:v>0</x:v>
      </x:c>
      <x:c r="I29" s="31" t="inlineStr">
        <x:is>
          <x:t xml:space="preserve">Документация</x:t>
        </x:is>
      </x:c>
      <x:c r="J29" s="31" t="inlineStr">
        <x:is>
          <x:t xml:space="preserve">Нет</x:t>
        </x:is>
      </x:c>
      <x:c r="K29" s="31" t="inlineStr">
        <x:is>
          <x:t xml:space="preserve">Принято</x:t>
        </x:is>
      </x:c>
      <x:c r="L29" s="31" t="inlineStr">
        <x:is>
          <x:t xml:space="preserve">Нет</x:t>
        </x:is>
      </x:c>
      <x:c r="M29" s="31" t="inlineStr">
        <x:is>
          <x:t xml:space="preserve">Не требуется</x:t>
        </x:is>
      </x:c>
      <x:c r="N29" s="31" t="inlineStr">
        <x:is>
          <x:t xml:space="preserve">Протокол приемочные испытания/ОТК 4803</x:t>
        </x:is>
      </x:c>
    </x:row>
    <x:row r="30" ht="18" customHeight="1">
      <x:c r="A30" s="31" t="inlineStr">
        <x:is>
          <x:t xml:space="preserve">ОТК-00029</x:t>
        </x:is>
      </x:c>
      <x:c r="B30" s="31" t="inlineStr">
        <x:is>
          <x:t xml:space="preserve">ПЗ-00040</x:t>
        </x:is>
      </x:c>
      <x:c r="C30" s="31" t="inlineStr">
        <x:is>
          <x:t xml:space="preserve">ЗК-1022</x:t>
        </x:is>
      </x:c>
      <x:c r="D30" s="31" t="inlineStr">
        <x:is>
          <x:t xml:space="preserve">ИЗД-032</x:t>
        </x:is>
      </x:c>
      <x:c r="E30" s="31" t="n">
        <x:v>46199</x:v>
      </x:c>
      <x:c r="F30" s="31" t="inlineStr">
        <x:is>
          <x:t xml:space="preserve">СОТР-096</x:t>
        </x:is>
      </x:c>
      <x:c r="G30" s="31" t="n">
        <x:v>8</x:v>
      </x:c>
      <x:c r="H30" s="31" t="n">
        <x:v>0</x:v>
      </x:c>
      <x:c r="I30" s="31" t="inlineStr">
        <x:is>
          <x:t xml:space="preserve">Геометрия</x:t>
        </x:is>
      </x:c>
      <x:c r="J30" s="31" t="inlineStr">
        <x:is>
          <x:t xml:space="preserve">Нет</x:t>
        </x:is>
      </x:c>
      <x:c r="K30" s="31" t="inlineStr">
        <x:is>
          <x:t xml:space="preserve">Принято</x:t>
        </x:is>
      </x:c>
      <x:c r="L30" s="31" t="inlineStr">
        <x:is>
          <x:t xml:space="preserve">Нет</x:t>
        </x:is>
      </x:c>
      <x:c r="M30" s="31" t="inlineStr">
        <x:is>
          <x:t xml:space="preserve">Не требуется</x:t>
        </x:is>
      </x:c>
      <x:c r="N30" s="31" t="inlineStr">
        <x:is>
          <x:t xml:space="preserve">Протокол приемочные испытания/ОТК 2010</x:t>
        </x:is>
      </x:c>
    </x:row>
    <x:row r="31" ht="18" customHeight="1">
      <x:c r="A31" s="31" t="inlineStr">
        <x:is>
          <x:t xml:space="preserve">ОТК-00030</x:t>
        </x:is>
      </x:c>
      <x:c r="B31" s="31" t="inlineStr">
        <x:is>
          <x:t xml:space="preserve">ПЗ-00041</x:t>
        </x:is>
      </x:c>
      <x:c r="C31" s="31" t="inlineStr">
        <x:is>
          <x:t xml:space="preserve">ЗК-1023</x:t>
        </x:is>
      </x:c>
      <x:c r="D31" s="31" t="inlineStr">
        <x:is>
          <x:t xml:space="preserve">ИЗД-010</x:t>
        </x:is>
      </x:c>
      <x:c r="E31" s="31" t="n">
        <x:v>46260</x:v>
      </x:c>
      <x:c r="F31" s="31" t="inlineStr">
        <x:is>
          <x:t xml:space="preserve">СОТР-098</x:t>
        </x:is>
      </x:c>
      <x:c r="G31" s="31" t="n">
        <x:v>6</x:v>
      </x:c>
      <x:c r="H31" s="31" t="n">
        <x:v>2</x:v>
      </x:c>
      <x:c r="I31" s="31" t="inlineStr">
        <x:is>
          <x:t xml:space="preserve">Электрика</x:t>
        </x:is>
      </x:c>
      <x:c r="J31" s="31" t="inlineStr">
        <x:is>
          <x:t xml:space="preserve">Незначительный</x:t>
        </x:is>
      </x:c>
      <x:c r="K31" s="31" t="inlineStr">
        <x:is>
          <x:t xml:space="preserve">Доработка</x:t>
        </x:is>
      </x:c>
      <x:c r="L31" s="31" t="inlineStr">
        <x:is>
          <x:t xml:space="preserve">Да</x:t>
        </x:is>
      </x:c>
      <x:c r="M31" s="31" t="inlineStr">
        <x:is>
          <x:t xml:space="preserve">В работе</x:t>
        </x:is>
      </x:c>
      <x:c r="N31" s="31" t="inlineStr">
        <x:is>
          <x:t xml:space="preserve">Протокол приемочные испытания/ОТК 5026</x:t>
        </x:is>
      </x:c>
    </x:row>
    <x:row r="32" ht="18" customHeight="1">
      <x:c r="A32" s="31" t="inlineStr">
        <x:is>
          <x:t xml:space="preserve">ОТК-00031</x:t>
        </x:is>
      </x:c>
      <x:c r="B32" s="31" t="inlineStr">
        <x:is>
          <x:t xml:space="preserve">ПЗ-00044</x:t>
        </x:is>
      </x:c>
      <x:c r="C32" s="31" t="inlineStr">
        <x:is>
          <x:t xml:space="preserve">ЗК-1025</x:t>
        </x:is>
      </x:c>
      <x:c r="D32" s="31" t="inlineStr">
        <x:is>
          <x:t xml:space="preserve">ИЗД-011</x:t>
        </x:is>
      </x:c>
      <x:c r="E32" s="31" t="n">
        <x:v>46174</x:v>
      </x:c>
      <x:c r="F32" s="31" t="inlineStr">
        <x:is>
          <x:t xml:space="preserve">СОТР-095</x:t>
        </x:is>
      </x:c>
      <x:c r="G32" s="31" t="n">
        <x:v>4</x:v>
      </x:c>
      <x:c r="H32" s="31" t="n">
        <x:v>2</x:v>
      </x:c>
      <x:c r="I32" s="31" t="inlineStr">
        <x:is>
          <x:t xml:space="preserve">Сварной шов</x:t>
        </x:is>
      </x:c>
      <x:c r="J32" s="31" t="inlineStr">
        <x:is>
          <x:t xml:space="preserve">Незначительный</x:t>
        </x:is>
      </x:c>
      <x:c r="K32" s="31" t="inlineStr">
        <x:is>
          <x:t xml:space="preserve">Принято с замечаниями</x:t>
        </x:is>
      </x:c>
      <x:c r="L32" s="31" t="inlineStr">
        <x:is>
          <x:t xml:space="preserve">Нет</x:t>
        </x:is>
      </x:c>
      <x:c r="M32" s="31" t="inlineStr">
        <x:is>
          <x:t xml:space="preserve">В работе</x:t>
        </x:is>
      </x:c>
      <x:c r="N32" s="31" t="inlineStr">
        <x:is>
          <x:t xml:space="preserve">Протокол приемочные испытания/ОТК 4111</x:t>
        </x:is>
      </x:c>
    </x:row>
    <x:row r="33" ht="18" customHeight="1">
      <x:c r="A33" s="31" t="inlineStr">
        <x:is>
          <x:t xml:space="preserve">ОТК-00032</x:t>
        </x:is>
      </x:c>
      <x:c r="B33" s="31" t="inlineStr">
        <x:is>
          <x:t xml:space="preserve">ПЗ-00045</x:t>
        </x:is>
      </x:c>
      <x:c r="C33" s="31" t="inlineStr">
        <x:is>
          <x:t xml:space="preserve">ЗК-1025</x:t>
        </x:is>
      </x:c>
      <x:c r="D33" s="31" t="inlineStr">
        <x:is>
          <x:t xml:space="preserve">ИЗД-006</x:t>
        </x:is>
      </x:c>
      <x:c r="E33" s="31" t="n">
        <x:v>46175</x:v>
      </x:c>
      <x:c r="F33" s="31" t="inlineStr">
        <x:is>
          <x:t xml:space="preserve">СОТР-092</x:t>
        </x:is>
      </x:c>
      <x:c r="G33" s="31" t="n">
        <x:v>7</x:v>
      </x:c>
      <x:c r="H33" s="31" t="n">
        <x:v>2</x:v>
      </x:c>
      <x:c r="I33" s="31" t="inlineStr">
        <x:is>
          <x:t xml:space="preserve">Сварной шов</x:t>
        </x:is>
      </x:c>
      <x:c r="J33" s="31" t="inlineStr">
        <x:is>
          <x:t xml:space="preserve">Незначительный</x:t>
        </x:is>
      </x:c>
      <x:c r="K33" s="31" t="inlineStr">
        <x:is>
          <x:t xml:space="preserve">Блокировка отгрузки</x:t>
        </x:is>
      </x:c>
      <x:c r="L33" s="31" t="inlineStr">
        <x:is>
          <x:t xml:space="preserve">Да</x:t>
        </x:is>
      </x:c>
      <x:c r="M33" s="31" t="inlineStr">
        <x:is>
          <x:t xml:space="preserve">Закрыта</x:t>
        </x:is>
      </x:c>
      <x:c r="N33" s="31" t="inlineStr">
        <x:is>
          <x:t xml:space="preserve">Протокол приемочные испытания/ОТК 9328</x:t>
        </x:is>
      </x:c>
    </x:row>
    <x:row r="34" ht="18" customHeight="1">
      <x:c r="A34" s="31" t="inlineStr">
        <x:is>
          <x:t xml:space="preserve">ОТК-00033</x:t>
        </x:is>
      </x:c>
      <x:c r="B34" s="31" t="inlineStr">
        <x:is>
          <x:t xml:space="preserve">ПЗ-00047</x:t>
        </x:is>
      </x:c>
      <x:c r="C34" s="31" t="inlineStr">
        <x:is>
          <x:t xml:space="preserve">ЗК-1029</x:t>
        </x:is>
      </x:c>
      <x:c r="D34" s="31" t="inlineStr">
        <x:is>
          <x:t xml:space="preserve">ИЗД-038</x:t>
        </x:is>
      </x:c>
      <x:c r="E34" s="31" t="n">
        <x:v>46076</x:v>
      </x:c>
      <x:c r="F34" s="31" t="inlineStr">
        <x:is>
          <x:t xml:space="preserve">СОТР-100</x:t>
        </x:is>
      </x:c>
      <x:c r="G34" s="31" t="n">
        <x:v>5</x:v>
      </x:c>
      <x:c r="H34" s="31" t="n">
        <x:v>1</x:v>
      </x:c>
      <x:c r="I34" s="31" t="inlineStr">
        <x:is>
          <x:t xml:space="preserve">Комплектность</x:t>
        </x:is>
      </x:c>
      <x:c r="J34" s="31" t="inlineStr">
        <x:is>
          <x:t xml:space="preserve">Незначительный</x:t>
        </x:is>
      </x:c>
      <x:c r="K34" s="31" t="inlineStr">
        <x:is>
          <x:t xml:space="preserve">Принято с замечаниями</x:t>
        </x:is>
      </x:c>
      <x:c r="L34" s="31" t="inlineStr">
        <x:is>
          <x:t xml:space="preserve">Нет</x:t>
        </x:is>
      </x:c>
      <x:c r="M34" s="31" t="inlineStr">
        <x:is>
          <x:t xml:space="preserve">В работе</x:t>
        </x:is>
      </x:c>
      <x:c r="N34" s="31" t="inlineStr">
        <x:is>
          <x:t xml:space="preserve">Протокол приемочные испытания/ОТК 9161</x:t>
        </x:is>
      </x:c>
    </x:row>
    <x:row r="35" ht="18" customHeight="1">
      <x:c r="A35" s="31" t="inlineStr">
        <x:is>
          <x:t xml:space="preserve">ОТК-00034</x:t>
        </x:is>
      </x:c>
      <x:c r="B35" s="31" t="inlineStr">
        <x:is>
          <x:t xml:space="preserve">ПЗ-00049</x:t>
        </x:is>
      </x:c>
      <x:c r="C35" s="31" t="inlineStr">
        <x:is>
          <x:t xml:space="preserve">ЗК-1030</x:t>
        </x:is>
      </x:c>
      <x:c r="D35" s="31" t="inlineStr">
        <x:is>
          <x:t xml:space="preserve">ИЗД-032</x:t>
        </x:is>
      </x:c>
      <x:c r="E35" s="31" t="n">
        <x:v>46235</x:v>
      </x:c>
      <x:c r="F35" s="31" t="inlineStr">
        <x:is>
          <x:t xml:space="preserve">СОТР-096</x:t>
        </x:is>
      </x:c>
      <x:c r="G35" s="31" t="n">
        <x:v>5</x:v>
      </x:c>
      <x:c r="H35" s="31" t="n">
        <x:v>0</x:v>
      </x:c>
      <x:c r="I35" s="31" t="inlineStr">
        <x:is>
          <x:t xml:space="preserve">Комплектность</x:t>
        </x:is>
      </x:c>
      <x:c r="J35" s="31" t="inlineStr">
        <x:is>
          <x:t xml:space="preserve">Нет</x:t>
        </x:is>
      </x:c>
      <x:c r="K35" s="31" t="inlineStr">
        <x:is>
          <x:t xml:space="preserve">Принято</x:t>
        </x:is>
      </x:c>
      <x:c r="L35" s="31" t="inlineStr">
        <x:is>
          <x:t xml:space="preserve">Нет</x:t>
        </x:is>
      </x:c>
      <x:c r="M35" s="31" t="inlineStr">
        <x:is>
          <x:t xml:space="preserve">Не требуется</x:t>
        </x:is>
      </x:c>
      <x:c r="N35" s="31" t="inlineStr">
        <x:is>
          <x:t xml:space="preserve">Протокол приемочные испытания/ОТК 3514</x:t>
        </x:is>
      </x:c>
    </x:row>
    <x:row r="36" ht="18" customHeight="1">
      <x:c r="A36" s="31" t="inlineStr">
        <x:is>
          <x:t xml:space="preserve">ОТК-00035</x:t>
        </x:is>
      </x:c>
      <x:c r="B36" s="31" t="inlineStr">
        <x:is>
          <x:t xml:space="preserve">ПЗ-00050</x:t>
        </x:is>
      </x:c>
      <x:c r="C36" s="31" t="inlineStr">
        <x:is>
          <x:t xml:space="preserve">ЗК-1030</x:t>
        </x:is>
      </x:c>
      <x:c r="D36" s="31" t="inlineStr">
        <x:is>
          <x:t xml:space="preserve">ИЗД-002</x:t>
        </x:is>
      </x:c>
      <x:c r="E36" s="31" t="n">
        <x:v>46237</x:v>
      </x:c>
      <x:c r="F36" s="31" t="inlineStr">
        <x:is>
          <x:t xml:space="preserve">СОТР-097</x:t>
        </x:is>
      </x:c>
      <x:c r="G36" s="31" t="n">
        <x:v>7</x:v>
      </x:c>
      <x:c r="H36" s="31" t="n">
        <x:v>0</x:v>
      </x:c>
      <x:c r="I36" s="31" t="inlineStr">
        <x:is>
          <x:t xml:space="preserve">Сварной шов</x:t>
        </x:is>
      </x:c>
      <x:c r="J36" s="31" t="inlineStr">
        <x:is>
          <x:t xml:space="preserve">Нет</x:t>
        </x:is>
      </x:c>
      <x:c r="K36" s="31" t="inlineStr">
        <x:is>
          <x:t xml:space="preserve">Принято</x:t>
        </x:is>
      </x:c>
      <x:c r="L36" s="31" t="inlineStr">
        <x:is>
          <x:t xml:space="preserve">Нет</x:t>
        </x:is>
      </x:c>
      <x:c r="M36" s="31" t="inlineStr">
        <x:is>
          <x:t xml:space="preserve">Не требуется</x:t>
        </x:is>
      </x:c>
      <x:c r="N36" s="31" t="inlineStr">
        <x:is>
          <x:t xml:space="preserve">Протокол приемочные испытания/ОТК 5529</x:t>
        </x:is>
      </x:c>
    </x:row>
    <x:row r="37" ht="18" customHeight="1">
      <x:c r="A37" s="31" t="inlineStr">
        <x:is>
          <x:t xml:space="preserve">ОТК-00036</x:t>
        </x:is>
      </x:c>
      <x:c r="B37" s="31" t="inlineStr">
        <x:is>
          <x:t xml:space="preserve">ПЗ-00051</x:t>
        </x:is>
      </x:c>
      <x:c r="C37" s="31" t="inlineStr">
        <x:is>
          <x:t xml:space="preserve">ЗК-1030</x:t>
        </x:is>
      </x:c>
      <x:c r="D37" s="31" t="inlineStr">
        <x:is>
          <x:t xml:space="preserve">ИЗД-016</x:t>
        </x:is>
      </x:c>
      <x:c r="E37" s="31" t="n">
        <x:v>46235</x:v>
      </x:c>
      <x:c r="F37" s="31" t="inlineStr">
        <x:is>
          <x:t xml:space="preserve">СОТР-099</x:t>
        </x:is>
      </x:c>
      <x:c r="G37" s="31" t="n">
        <x:v>4</x:v>
      </x:c>
      <x:c r="H37" s="31" t="n">
        <x:v>0</x:v>
      </x:c>
      <x:c r="I37" s="31" t="inlineStr">
        <x:is>
          <x:t xml:space="preserve">Маркировка</x:t>
        </x:is>
      </x:c>
      <x:c r="J37" s="31" t="inlineStr">
        <x:is>
          <x:t xml:space="preserve">Нет</x:t>
        </x:is>
      </x:c>
      <x:c r="K37" s="31" t="inlineStr">
        <x:is>
          <x:t xml:space="preserve">Принято</x:t>
        </x:is>
      </x:c>
      <x:c r="L37" s="31" t="inlineStr">
        <x:is>
          <x:t xml:space="preserve">Нет</x:t>
        </x:is>
      </x:c>
      <x:c r="M37" s="31" t="inlineStr">
        <x:is>
          <x:t xml:space="preserve">Не требуется</x:t>
        </x:is>
      </x:c>
      <x:c r="N37" s="31" t="inlineStr">
        <x:is>
          <x:t xml:space="preserve">Протокол приемочные испытания/ОТК 6676</x:t>
        </x:is>
      </x:c>
    </x:row>
    <x:row r="38" ht="18" customHeight="1">
      <x:c r="A38" s="31" t="inlineStr">
        <x:is>
          <x:t xml:space="preserve">ОТК-00037</x:t>
        </x:is>
      </x:c>
      <x:c r="B38" s="31" t="inlineStr">
        <x:is>
          <x:t xml:space="preserve">ПЗ-00052</x:t>
        </x:is>
      </x:c>
      <x:c r="C38" s="31" t="inlineStr">
        <x:is>
          <x:t xml:space="preserve">ЗК-1031</x:t>
        </x:is>
      </x:c>
      <x:c r="D38" s="31" t="inlineStr">
        <x:is>
          <x:t xml:space="preserve">ИЗД-030</x:t>
        </x:is>
      </x:c>
      <x:c r="E38" s="31" t="n">
        <x:v>46136</x:v>
      </x:c>
      <x:c r="F38" s="31" t="inlineStr">
        <x:is>
          <x:t xml:space="preserve">СОТР-099</x:t>
        </x:is>
      </x:c>
      <x:c r="G38" s="31" t="n">
        <x:v>6</x:v>
      </x:c>
      <x:c r="H38" s="31" t="n">
        <x:v>1</x:v>
      </x:c>
      <x:c r="I38" s="31" t="inlineStr">
        <x:is>
          <x:t xml:space="preserve">Электрика</x:t>
        </x:is>
      </x:c>
      <x:c r="J38" s="31" t="inlineStr">
        <x:is>
          <x:t xml:space="preserve">Существенный</x:t>
        </x:is>
      </x:c>
      <x:c r="K38" s="31" t="inlineStr">
        <x:is>
          <x:t xml:space="preserve">Принято с замечаниями</x:t>
        </x:is>
      </x:c>
      <x:c r="L38" s="31" t="inlineStr">
        <x:is>
          <x:t xml:space="preserve">Нет</x:t>
        </x:is>
      </x:c>
      <x:c r="M38" s="31" t="inlineStr">
        <x:is>
          <x:t xml:space="preserve">Закрыта</x:t>
        </x:is>
      </x:c>
      <x:c r="N38" s="31" t="inlineStr">
        <x:is>
          <x:t xml:space="preserve">Протокол приемочные испытания/ОТК 8475</x:t>
        </x:is>
      </x:c>
    </x:row>
    <x:row r="39" ht="18" customHeight="1">
      <x:c r="A39" s="31" t="inlineStr">
        <x:is>
          <x:t xml:space="preserve">ОТК-00038</x:t>
        </x:is>
      </x:c>
      <x:c r="B39" s="31" t="inlineStr">
        <x:is>
          <x:t xml:space="preserve">ПЗ-00053</x:t>
        </x:is>
      </x:c>
      <x:c r="C39" s="31" t="inlineStr">
        <x:is>
          <x:t xml:space="preserve">ЗК-1033</x:t>
        </x:is>
      </x:c>
      <x:c r="D39" s="31" t="inlineStr">
        <x:is>
          <x:t xml:space="preserve">ИЗД-026</x:t>
        </x:is>
      </x:c>
      <x:c r="E39" s="31" t="n">
        <x:v>46156</x:v>
      </x:c>
      <x:c r="F39" s="31" t="inlineStr">
        <x:is>
          <x:t xml:space="preserve">СОТР-098</x:t>
        </x:is>
      </x:c>
      <x:c r="G39" s="31" t="n">
        <x:v>8</x:v>
      </x:c>
      <x:c r="H39" s="31" t="n">
        <x:v>2</x:v>
      </x:c>
      <x:c r="I39" s="31" t="inlineStr">
        <x:is>
          <x:t xml:space="preserve">Покрытие</x:t>
        </x:is>
      </x:c>
      <x:c r="J39" s="31" t="inlineStr">
        <x:is>
          <x:t xml:space="preserve">Существенный</x:t>
        </x:is>
      </x:c>
      <x:c r="K39" s="31" t="inlineStr">
        <x:is>
          <x:t xml:space="preserve">Принято с замечаниями</x:t>
        </x:is>
      </x:c>
      <x:c r="L39" s="31" t="inlineStr">
        <x:is>
          <x:t xml:space="preserve">Нет</x:t>
        </x:is>
      </x:c>
      <x:c r="M39" s="31" t="inlineStr">
        <x:is>
          <x:t xml:space="preserve">Закрыта</x:t>
        </x:is>
      </x:c>
      <x:c r="N39" s="31" t="inlineStr">
        <x:is>
          <x:t xml:space="preserve">Протокол приемочные испытания/ОТК 8078</x:t>
        </x:is>
      </x:c>
    </x:row>
    <x:row r="40" ht="18" customHeight="1">
      <x:c r="A40" s="31" t="inlineStr">
        <x:is>
          <x:t xml:space="preserve">ОТК-00039</x:t>
        </x:is>
      </x:c>
      <x:c r="B40" s="31" t="inlineStr">
        <x:is>
          <x:t xml:space="preserve">ПЗ-00054</x:t>
        </x:is>
      </x:c>
      <x:c r="C40" s="31" t="inlineStr">
        <x:is>
          <x:t xml:space="preserve">ЗК-1035</x:t>
        </x:is>
      </x:c>
      <x:c r="D40" s="31" t="inlineStr">
        <x:is>
          <x:t xml:space="preserve">ИЗД-027</x:t>
        </x:is>
      </x:c>
      <x:c r="E40" s="31" t="n">
        <x:v>46144</x:v>
      </x:c>
      <x:c r="F40" s="31" t="inlineStr">
        <x:is>
          <x:t xml:space="preserve">СОТР-097</x:t>
        </x:is>
      </x:c>
      <x:c r="G40" s="31" t="n">
        <x:v>4</x:v>
      </x:c>
      <x:c r="H40" s="31" t="n">
        <x:v>1</x:v>
      </x:c>
      <x:c r="I40" s="31" t="inlineStr">
        <x:is>
          <x:t xml:space="preserve">Покрытие</x:t>
        </x:is>
      </x:c>
      <x:c r="J40" s="31" t="inlineStr">
        <x:is>
          <x:t xml:space="preserve">Незначительный</x:t>
        </x:is>
      </x:c>
      <x:c r="K40" s="31" t="inlineStr">
        <x:is>
          <x:t xml:space="preserve">Блокировка отгрузки</x:t>
        </x:is>
      </x:c>
      <x:c r="L40" s="31" t="inlineStr">
        <x:is>
          <x:t xml:space="preserve">Да</x:t>
        </x:is>
      </x:c>
      <x:c r="M40" s="31" t="inlineStr">
        <x:is>
          <x:t xml:space="preserve">Закрыта</x:t>
        </x:is>
      </x:c>
      <x:c r="N40" s="31" t="inlineStr">
        <x:is>
          <x:t xml:space="preserve">Протокол приемочные испытания/ОТК 2118</x:t>
        </x:is>
      </x:c>
    </x:row>
    <x:row r="41" ht="18" customHeight="1">
      <x:c r="A41" s="31" t="inlineStr">
        <x:is>
          <x:t xml:space="preserve">ОТК-00040</x:t>
        </x:is>
      </x:c>
      <x:c r="B41" s="31" t="inlineStr">
        <x:is>
          <x:t xml:space="preserve">ПЗ-00055</x:t>
        </x:is>
      </x:c>
      <x:c r="C41" s="31" t="inlineStr">
        <x:is>
          <x:t xml:space="preserve">ЗК-1035</x:t>
        </x:is>
      </x:c>
      <x:c r="D41" s="31" t="inlineStr">
        <x:is>
          <x:t xml:space="preserve">ИЗД-028</x:t>
        </x:is>
      </x:c>
      <x:c r="E41" s="31" t="n">
        <x:v>46147</x:v>
      </x:c>
      <x:c r="F41" s="31" t="inlineStr">
        <x:is>
          <x:t xml:space="preserve">СОТР-098</x:t>
        </x:is>
      </x:c>
      <x:c r="G41" s="31" t="n">
        <x:v>6</x:v>
      </x:c>
      <x:c r="H41" s="31" t="n">
        <x:v>1</x:v>
      </x:c>
      <x:c r="I41" s="31" t="inlineStr">
        <x:is>
          <x:t xml:space="preserve">Геометрия</x:t>
        </x:is>
      </x:c>
      <x:c r="J41" s="31" t="inlineStr">
        <x:is>
          <x:t xml:space="preserve">Критичный</x:t>
        </x:is>
      </x:c>
      <x:c r="K41" s="31" t="inlineStr">
        <x:is>
          <x:t xml:space="preserve">Принято с замечаниями</x:t>
        </x:is>
      </x:c>
      <x:c r="L41" s="31" t="inlineStr">
        <x:is>
          <x:t xml:space="preserve">Нет</x:t>
        </x:is>
      </x:c>
      <x:c r="M41" s="31" t="inlineStr">
        <x:is>
          <x:t xml:space="preserve">Закрыта</x:t>
        </x:is>
      </x:c>
      <x:c r="N41" s="31" t="inlineStr">
        <x:is>
          <x:t xml:space="preserve">Протокол приемочные испытания/ОТК 2816</x:t>
        </x:is>
      </x:c>
    </x:row>
    <x:row r="42" ht="18" customHeight="1">
      <x:c r="A42" s="31" t="inlineStr">
        <x:is>
          <x:t xml:space="preserve">ОТК-00041</x:t>
        </x:is>
      </x:c>
      <x:c r="B42" s="31" t="inlineStr">
        <x:is>
          <x:t xml:space="preserve">ПЗ-00056</x:t>
        </x:is>
      </x:c>
      <x:c r="C42" s="31" t="inlineStr">
        <x:is>
          <x:t xml:space="preserve">ЗК-1035</x:t>
        </x:is>
      </x:c>
      <x:c r="D42" s="31" t="inlineStr">
        <x:is>
          <x:t xml:space="preserve">ИЗД-010</x:t>
        </x:is>
      </x:c>
      <x:c r="E42" s="31" t="n">
        <x:v>46150</x:v>
      </x:c>
      <x:c r="F42" s="31" t="inlineStr">
        <x:is>
          <x:t xml:space="preserve">СОТР-096</x:t>
        </x:is>
      </x:c>
      <x:c r="G42" s="31" t="n">
        <x:v>8</x:v>
      </x:c>
      <x:c r="H42" s="31" t="n">
        <x:v>0</x:v>
      </x:c>
      <x:c r="I42" s="31" t="inlineStr">
        <x:is>
          <x:t xml:space="preserve">Покрытие</x:t>
        </x:is>
      </x:c>
      <x:c r="J42" s="31" t="inlineStr">
        <x:is>
          <x:t xml:space="preserve">Нет</x:t>
        </x:is>
      </x:c>
      <x:c r="K42" s="31" t="inlineStr">
        <x:is>
          <x:t xml:space="preserve">Принято</x:t>
        </x:is>
      </x:c>
      <x:c r="L42" s="31" t="inlineStr">
        <x:is>
          <x:t xml:space="preserve">Нет</x:t>
        </x:is>
      </x:c>
      <x:c r="M42" s="31" t="inlineStr">
        <x:is>
          <x:t xml:space="preserve">Не требуется</x:t>
        </x:is>
      </x:c>
      <x:c r="N42" s="31" t="inlineStr">
        <x:is>
          <x:t xml:space="preserve">Протокол приемочные испытания/ОТК 6022</x:t>
        </x:is>
      </x:c>
    </x:row>
    <x:row r="43" ht="18" customHeight="1">
      <x:c r="A43" s="31" t="inlineStr">
        <x:is>
          <x:t xml:space="preserve">ОТК-00042</x:t>
        </x:is>
      </x:c>
      <x:c r="B43" s="31" t="inlineStr">
        <x:is>
          <x:t xml:space="preserve">ПЗ-00057</x:t>
        </x:is>
      </x:c>
      <x:c r="C43" s="31" t="inlineStr">
        <x:is>
          <x:t xml:space="preserve">ЗК-1035</x:t>
        </x:is>
      </x:c>
      <x:c r="D43" s="31" t="inlineStr">
        <x:is>
          <x:t xml:space="preserve">ИЗД-002</x:t>
        </x:is>
      </x:c>
      <x:c r="E43" s="31" t="n">
        <x:v>46149</x:v>
      </x:c>
      <x:c r="F43" s="31" t="inlineStr">
        <x:is>
          <x:t xml:space="preserve">СОТР-093</x:t>
        </x:is>
      </x:c>
      <x:c r="G43" s="31" t="n">
        <x:v>8</x:v>
      </x:c>
      <x:c r="H43" s="31" t="n">
        <x:v>0</x:v>
      </x:c>
      <x:c r="I43" s="31" t="inlineStr">
        <x:is>
          <x:t xml:space="preserve">Электрика</x:t>
        </x:is>
      </x:c>
      <x:c r="J43" s="31" t="inlineStr">
        <x:is>
          <x:t xml:space="preserve">Нет</x:t>
        </x:is>
      </x:c>
      <x:c r="K43" s="31" t="inlineStr">
        <x:is>
          <x:t xml:space="preserve">Принято</x:t>
        </x:is>
      </x:c>
      <x:c r="L43" s="31" t="inlineStr">
        <x:is>
          <x:t xml:space="preserve">Нет</x:t>
        </x:is>
      </x:c>
      <x:c r="M43" s="31" t="inlineStr">
        <x:is>
          <x:t xml:space="preserve">Не требуется</x:t>
        </x:is>
      </x:c>
      <x:c r="N43" s="31" t="inlineStr">
        <x:is>
          <x:t xml:space="preserve">Протокол приемочные испытания/ОТК 7444</x:t>
        </x:is>
      </x:c>
    </x:row>
    <x:row r="44" ht="18" customHeight="1">
      <x:c r="A44" s="31" t="inlineStr">
        <x:is>
          <x:t xml:space="preserve">ОТК-00043</x:t>
        </x:is>
      </x:c>
      <x:c r="B44" s="31" t="inlineStr">
        <x:is>
          <x:t xml:space="preserve">ПЗ-00058</x:t>
        </x:is>
      </x:c>
      <x:c r="C44" s="31" t="inlineStr">
        <x:is>
          <x:t xml:space="preserve">ЗК-1036</x:t>
        </x:is>
      </x:c>
      <x:c r="D44" s="31" t="inlineStr">
        <x:is>
          <x:t xml:space="preserve">ИЗД-005</x:t>
        </x:is>
      </x:c>
      <x:c r="E44" s="31" t="n">
        <x:v>46189</x:v>
      </x:c>
      <x:c r="F44" s="31" t="inlineStr">
        <x:is>
          <x:t xml:space="preserve">СОТР-097</x:t>
        </x:is>
      </x:c>
      <x:c r="G44" s="31" t="n">
        <x:v>8</x:v>
      </x:c>
      <x:c r="H44" s="31" t="n">
        <x:v>3</x:v>
      </x:c>
      <x:c r="I44" s="31" t="inlineStr">
        <x:is>
          <x:t xml:space="preserve">Сварной шов</x:t>
        </x:is>
      </x:c>
      <x:c r="J44" s="31" t="inlineStr">
        <x:is>
          <x:t xml:space="preserve">Незначительный</x:t>
        </x:is>
      </x:c>
      <x:c r="K44" s="31" t="inlineStr">
        <x:is>
          <x:t xml:space="preserve">Доработка</x:t>
        </x:is>
      </x:c>
      <x:c r="L44" s="31" t="inlineStr">
        <x:is>
          <x:t xml:space="preserve">Да</x:t>
        </x:is>
      </x:c>
      <x:c r="M44" s="31" t="inlineStr">
        <x:is>
          <x:t xml:space="preserve">В работе</x:t>
        </x:is>
      </x:c>
      <x:c r="N44" s="31" t="inlineStr">
        <x:is>
          <x:t xml:space="preserve">Протокол приемочные испытания/ОТК 8496</x:t>
        </x:is>
      </x:c>
    </x:row>
    <x:row r="45" ht="18" customHeight="1">
      <x:c r="A45" s="31" t="inlineStr">
        <x:is>
          <x:t xml:space="preserve">ОТК-00044</x:t>
        </x:is>
      </x:c>
      <x:c r="B45" s="31" t="inlineStr">
        <x:is>
          <x:t xml:space="preserve">ПЗ-00059</x:t>
        </x:is>
      </x:c>
      <x:c r="C45" s="31" t="inlineStr">
        <x:is>
          <x:t xml:space="preserve">ЗК-1036</x:t>
        </x:is>
      </x:c>
      <x:c r="D45" s="31" t="inlineStr">
        <x:is>
          <x:t xml:space="preserve">ИЗД-003</x:t>
        </x:is>
      </x:c>
      <x:c r="E45" s="31" t="n">
        <x:v>46191</x:v>
      </x:c>
      <x:c r="F45" s="31" t="inlineStr">
        <x:is>
          <x:t xml:space="preserve">СОТР-063</x:t>
        </x:is>
      </x:c>
      <x:c r="G45" s="31" t="n">
        <x:v>4</x:v>
      </x:c>
      <x:c r="H45" s="31" t="n">
        <x:v>0</x:v>
      </x:c>
      <x:c r="I45" s="31" t="inlineStr">
        <x:is>
          <x:t xml:space="preserve">Сварной шов</x:t>
        </x:is>
      </x:c>
      <x:c r="J45" s="31" t="inlineStr">
        <x:is>
          <x:t xml:space="preserve">Нет</x:t>
        </x:is>
      </x:c>
      <x:c r="K45" s="31" t="inlineStr">
        <x:is>
          <x:t xml:space="preserve">Принято</x:t>
        </x:is>
      </x:c>
      <x:c r="L45" s="31" t="inlineStr">
        <x:is>
          <x:t xml:space="preserve">Нет</x:t>
        </x:is>
      </x:c>
      <x:c r="M45" s="31" t="inlineStr">
        <x:is>
          <x:t xml:space="preserve">Не требуется</x:t>
        </x:is>
      </x:c>
      <x:c r="N45" s="31" t="inlineStr">
        <x:is>
          <x:t xml:space="preserve">Протокол приемочные испытания/ОТК 1064</x:t>
        </x:is>
      </x:c>
    </x:row>
    <x:row r="46" ht="18" customHeight="1">
      <x:c r="A46" s="31" t="inlineStr">
        <x:is>
          <x:t xml:space="preserve">ОТК-00045</x:t>
        </x:is>
      </x:c>
      <x:c r="B46" s="31" t="inlineStr">
        <x:is>
          <x:t xml:space="preserve">ПЗ-00060</x:t>
        </x:is>
      </x:c>
      <x:c r="C46" s="31" t="inlineStr">
        <x:is>
          <x:t xml:space="preserve">ЗК-1036</x:t>
        </x:is>
      </x:c>
      <x:c r="D46" s="31" t="inlineStr">
        <x:is>
          <x:t xml:space="preserve">ИЗД-002</x:t>
        </x:is>
      </x:c>
      <x:c r="E46" s="31" t="n">
        <x:v>46191</x:v>
      </x:c>
      <x:c r="F46" s="31" t="inlineStr">
        <x:is>
          <x:t xml:space="preserve">СОТР-092</x:t>
        </x:is>
      </x:c>
      <x:c r="G46" s="31" t="n">
        <x:v>4</x:v>
      </x:c>
      <x:c r="H46" s="31" t="n">
        <x:v>1</x:v>
      </x:c>
      <x:c r="I46" s="31" t="inlineStr">
        <x:is>
          <x:t xml:space="preserve">Геометрия</x:t>
        </x:is>
      </x:c>
      <x:c r="J46" s="31" t="inlineStr">
        <x:is>
          <x:t xml:space="preserve">Критичный</x:t>
        </x:is>
      </x:c>
      <x:c r="K46" s="31" t="inlineStr">
        <x:is>
          <x:t xml:space="preserve">Блокировка отгрузки</x:t>
        </x:is>
      </x:c>
      <x:c r="L46" s="31" t="inlineStr">
        <x:is>
          <x:t xml:space="preserve">Да</x:t>
        </x:is>
      </x:c>
      <x:c r="M46" s="31" t="inlineStr">
        <x:is>
          <x:t xml:space="preserve">Закрыта</x:t>
        </x:is>
      </x:c>
      <x:c r="N46" s="31" t="inlineStr">
        <x:is>
          <x:t xml:space="preserve">Протокол приемочные испытания/ОТК 6125</x:t>
        </x:is>
      </x:c>
    </x:row>
    <x:row r="47" ht="18" customHeight="1">
      <x:c r="A47" s="31" t="inlineStr">
        <x:is>
          <x:t xml:space="preserve">ОТК-00046</x:t>
        </x:is>
      </x:c>
      <x:c r="B47" s="31" t="inlineStr">
        <x:is>
          <x:t xml:space="preserve">ПЗ-00061</x:t>
        </x:is>
      </x:c>
      <x:c r="C47" s="31" t="inlineStr">
        <x:is>
          <x:t xml:space="preserve">ЗК-1036</x:t>
        </x:is>
      </x:c>
      <x:c r="D47" s="31" t="inlineStr">
        <x:is>
          <x:t xml:space="preserve">ИЗД-011</x:t>
        </x:is>
      </x:c>
      <x:c r="E47" s="31" t="n">
        <x:v>46196</x:v>
      </x:c>
      <x:c r="F47" s="31" t="inlineStr">
        <x:is>
          <x:t xml:space="preserve">СОТР-095</x:t>
        </x:is>
      </x:c>
      <x:c r="G47" s="31" t="n">
        <x:v>8</x:v>
      </x:c>
      <x:c r="H47" s="31" t="n">
        <x:v>1</x:v>
      </x:c>
      <x:c r="I47" s="31" t="inlineStr">
        <x:is>
          <x:t xml:space="preserve">Документация</x:t>
        </x:is>
      </x:c>
      <x:c r="J47" s="31" t="inlineStr">
        <x:is>
          <x:t xml:space="preserve">Существенный</x:t>
        </x:is>
      </x:c>
      <x:c r="K47" s="31" t="inlineStr">
        <x:is>
          <x:t xml:space="preserve">Блокировка отгрузки</x:t>
        </x:is>
      </x:c>
      <x:c r="L47" s="31" t="inlineStr">
        <x:is>
          <x:t xml:space="preserve">Да</x:t>
        </x:is>
      </x:c>
      <x:c r="M47" s="31" t="inlineStr">
        <x:is>
          <x:t xml:space="preserve">Открыта</x:t>
        </x:is>
      </x:c>
      <x:c r="N47" s="31" t="inlineStr">
        <x:is>
          <x:t xml:space="preserve">Протокол приемочные испытания/ОТК 3107</x:t>
        </x:is>
      </x:c>
    </x:row>
    <x:row r="48" ht="18" customHeight="1">
      <x:c r="A48" s="31" t="inlineStr">
        <x:is>
          <x:t xml:space="preserve">ОТК-00047</x:t>
        </x:is>
      </x:c>
      <x:c r="B48" s="31" t="inlineStr">
        <x:is>
          <x:t xml:space="preserve">ПЗ-00065</x:t>
        </x:is>
      </x:c>
      <x:c r="C48" s="31" t="inlineStr">
        <x:is>
          <x:t xml:space="preserve">ЗК-1038</x:t>
        </x:is>
      </x:c>
      <x:c r="D48" s="31" t="inlineStr">
        <x:is>
          <x:t xml:space="preserve">ИЗД-040</x:t>
        </x:is>
      </x:c>
      <x:c r="E48" s="31" t="n">
        <x:v>46128</x:v>
      </x:c>
      <x:c r="F48" s="31" t="inlineStr">
        <x:is>
          <x:t xml:space="preserve">СОТР-063</x:t>
        </x:is>
      </x:c>
      <x:c r="G48" s="31" t="n">
        <x:v>3</x:v>
      </x:c>
      <x:c r="H48" s="31" t="n">
        <x:v>1</x:v>
      </x:c>
      <x:c r="I48" s="31" t="inlineStr">
        <x:is>
          <x:t xml:space="preserve">Маркировка</x:t>
        </x:is>
      </x:c>
      <x:c r="J48" s="31" t="inlineStr">
        <x:is>
          <x:t xml:space="preserve">Существенный</x:t>
        </x:is>
      </x:c>
      <x:c r="K48" s="31" t="inlineStr">
        <x:is>
          <x:t xml:space="preserve">Доработка</x:t>
        </x:is>
      </x:c>
      <x:c r="L48" s="31" t="inlineStr">
        <x:is>
          <x:t xml:space="preserve">Да</x:t>
        </x:is>
      </x:c>
      <x:c r="M48" s="31" t="inlineStr">
        <x:is>
          <x:t xml:space="preserve">Закрыта</x:t>
        </x:is>
      </x:c>
      <x:c r="N48" s="31" t="inlineStr">
        <x:is>
          <x:t xml:space="preserve">Протокол приемочные испытания/ОТК 7270</x:t>
        </x:is>
      </x:c>
    </x:row>
    <x:row r="49" ht="18" customHeight="1">
      <x:c r="A49" s="31" t="inlineStr">
        <x:is>
          <x:t xml:space="preserve">ОТК-00048</x:t>
        </x:is>
      </x:c>
      <x:c r="B49" s="31" t="inlineStr">
        <x:is>
          <x:t xml:space="preserve">ПЗ-00070</x:t>
        </x:is>
      </x:c>
      <x:c r="C49" s="31" t="inlineStr">
        <x:is>
          <x:t xml:space="preserve">ЗК-1040</x:t>
        </x:is>
      </x:c>
      <x:c r="D49" s="31" t="inlineStr">
        <x:is>
          <x:t xml:space="preserve">ИЗД-036</x:t>
        </x:is>
      </x:c>
      <x:c r="E49" s="31" t="n">
        <x:v>46135</x:v>
      </x:c>
      <x:c r="F49" s="31" t="inlineStr">
        <x:is>
          <x:t xml:space="preserve">СОТР-098</x:t>
        </x:is>
      </x:c>
      <x:c r="G49" s="31" t="n">
        <x:v>4</x:v>
      </x:c>
      <x:c r="H49" s="31" t="n">
        <x:v>2</x:v>
      </x:c>
      <x:c r="I49" s="31" t="inlineStr">
        <x:is>
          <x:t xml:space="preserve">Герметичность</x:t>
        </x:is>
      </x:c>
      <x:c r="J49" s="31" t="inlineStr">
        <x:is>
          <x:t xml:space="preserve">Существенный</x:t>
        </x:is>
      </x:c>
      <x:c r="K49" s="31" t="inlineStr">
        <x:is>
          <x:t xml:space="preserve">Доработка</x:t>
        </x:is>
      </x:c>
      <x:c r="L49" s="31" t="inlineStr">
        <x:is>
          <x:t xml:space="preserve">Да</x:t>
        </x:is>
      </x:c>
      <x:c r="M49" s="31" t="inlineStr">
        <x:is>
          <x:t xml:space="preserve">Открыта</x:t>
        </x:is>
      </x:c>
      <x:c r="N49" s="31" t="inlineStr">
        <x:is>
          <x:t xml:space="preserve">Протокол приемочные испытания/ОТК 2537</x:t>
        </x:is>
      </x:c>
    </x:row>
    <x:row r="50" ht="18" customHeight="1">
      <x:c r="A50" s="31" t="inlineStr">
        <x:is>
          <x:t xml:space="preserve">ОТК-00049</x:t>
        </x:is>
      </x:c>
      <x:c r="B50" s="31" t="inlineStr">
        <x:is>
          <x:t xml:space="preserve">ПЗ-00072</x:t>
        </x:is>
      </x:c>
      <x:c r="C50" s="31" t="inlineStr">
        <x:is>
          <x:t xml:space="preserve">ЗК-1041</x:t>
        </x:is>
      </x:c>
      <x:c r="D50" s="31" t="inlineStr">
        <x:is>
          <x:t xml:space="preserve">ИЗД-014</x:t>
        </x:is>
      </x:c>
      <x:c r="E50" s="31" t="n">
        <x:v>46099</x:v>
      </x:c>
      <x:c r="F50" s="31" t="inlineStr">
        <x:is>
          <x:t xml:space="preserve">СОТР-098</x:t>
        </x:is>
      </x:c>
      <x:c r="G50" s="31" t="n">
        <x:v>6</x:v>
      </x:c>
      <x:c r="H50" s="31" t="n">
        <x:v>0</x:v>
      </x:c>
      <x:c r="I50" s="31" t="inlineStr">
        <x:is>
          <x:t xml:space="preserve">Электрика</x:t>
        </x:is>
      </x:c>
      <x:c r="J50" s="31" t="inlineStr">
        <x:is>
          <x:t xml:space="preserve">Нет</x:t>
        </x:is>
      </x:c>
      <x:c r="K50" s="31" t="inlineStr">
        <x:is>
          <x:t xml:space="preserve">Принято</x:t>
        </x:is>
      </x:c>
      <x:c r="L50" s="31" t="inlineStr">
        <x:is>
          <x:t xml:space="preserve">Нет</x:t>
        </x:is>
      </x:c>
      <x:c r="M50" s="31" t="inlineStr">
        <x:is>
          <x:t xml:space="preserve">Не требуется</x:t>
        </x:is>
      </x:c>
      <x:c r="N50" s="31" t="inlineStr">
        <x:is>
          <x:t xml:space="preserve">Протокол приемочные испытания/ОТК 4863</x:t>
        </x:is>
      </x:c>
    </x:row>
    <x:row r="51" ht="18" customHeight="1">
      <x:c r="A51" s="31" t="inlineStr">
        <x:is>
          <x:t xml:space="preserve">ОТК-00050</x:t>
        </x:is>
      </x:c>
      <x:c r="B51" s="31" t="inlineStr">
        <x:is>
          <x:t xml:space="preserve">ПЗ-00073</x:t>
        </x:is>
      </x:c>
      <x:c r="C51" s="31" t="inlineStr">
        <x:is>
          <x:t xml:space="preserve">ЗК-1041</x:t>
        </x:is>
      </x:c>
      <x:c r="D51" s="31" t="inlineStr">
        <x:is>
          <x:t xml:space="preserve">ИЗД-025</x:t>
        </x:is>
      </x:c>
      <x:c r="E51" s="31" t="n">
        <x:v>46096</x:v>
      </x:c>
      <x:c r="F51" s="31" t="inlineStr">
        <x:is>
          <x:t xml:space="preserve">СОТР-097</x:t>
        </x:is>
      </x:c>
      <x:c r="G51" s="31" t="n">
        <x:v>7</x:v>
      </x:c>
      <x:c r="H51" s="31" t="n">
        <x:v>0</x:v>
      </x:c>
      <x:c r="I51" s="31" t="inlineStr">
        <x:is>
          <x:t xml:space="preserve">Геометрия</x:t>
        </x:is>
      </x:c>
      <x:c r="J51" s="31" t="inlineStr">
        <x:is>
          <x:t xml:space="preserve">Нет</x:t>
        </x:is>
      </x:c>
      <x:c r="K51" s="31" t="inlineStr">
        <x:is>
          <x:t xml:space="preserve">Принято</x:t>
        </x:is>
      </x:c>
      <x:c r="L51" s="31" t="inlineStr">
        <x:is>
          <x:t xml:space="preserve">Нет</x:t>
        </x:is>
      </x:c>
      <x:c r="M51" s="31" t="inlineStr">
        <x:is>
          <x:t xml:space="preserve">Не требуется</x:t>
        </x:is>
      </x:c>
      <x:c r="N51" s="31" t="inlineStr">
        <x:is>
          <x:t xml:space="preserve">Протокол приемочные испытания/ОТК 9551</x:t>
        </x:is>
      </x:c>
    </x:row>
    <x:row r="52" ht="18" customHeight="1">
      <x:c r="A52" s="31" t="inlineStr">
        <x:is>
          <x:t xml:space="preserve">ОТК-00051</x:t>
        </x:is>
      </x:c>
      <x:c r="B52" s="31" t="inlineStr">
        <x:is>
          <x:t xml:space="preserve">ПЗ-00074</x:t>
        </x:is>
      </x:c>
      <x:c r="C52" s="31" t="inlineStr">
        <x:is>
          <x:t xml:space="preserve">ЗК-1042</x:t>
        </x:is>
      </x:c>
      <x:c r="D52" s="31" t="inlineStr">
        <x:is>
          <x:t xml:space="preserve">ИЗД-001</x:t>
        </x:is>
      </x:c>
      <x:c r="E52" s="31" t="n">
        <x:v>46093</x:v>
      </x:c>
      <x:c r="F52" s="31" t="inlineStr">
        <x:is>
          <x:t xml:space="preserve">СОТР-093</x:t>
        </x:is>
      </x:c>
      <x:c r="G52" s="31" t="n">
        <x:v>4</x:v>
      </x:c>
      <x:c r="H52" s="31" t="n">
        <x:v>0</x:v>
      </x:c>
      <x:c r="I52" s="31" t="inlineStr">
        <x:is>
          <x:t xml:space="preserve">Покрытие</x:t>
        </x:is>
      </x:c>
      <x:c r="J52" s="31" t="inlineStr">
        <x:is>
          <x:t xml:space="preserve">Нет</x:t>
        </x:is>
      </x:c>
      <x:c r="K52" s="31" t="inlineStr">
        <x:is>
          <x:t xml:space="preserve">Принято</x:t>
        </x:is>
      </x:c>
      <x:c r="L52" s="31" t="inlineStr">
        <x:is>
          <x:t xml:space="preserve">Нет</x:t>
        </x:is>
      </x:c>
      <x:c r="M52" s="31" t="inlineStr">
        <x:is>
          <x:t xml:space="preserve">Не требуется</x:t>
        </x:is>
      </x:c>
      <x:c r="N52" s="31" t="inlineStr">
        <x:is>
          <x:t xml:space="preserve">Протокол приемочные испытания/ОТК 3100</x:t>
        </x:is>
      </x:c>
    </x:row>
    <x:row r="53" ht="18" customHeight="1">
      <x:c r="A53" s="31" t="inlineStr">
        <x:is>
          <x:t xml:space="preserve">ОТК-00052</x:t>
        </x:is>
      </x:c>
      <x:c r="B53" s="31" t="inlineStr">
        <x:is>
          <x:t xml:space="preserve">ПЗ-00075</x:t>
        </x:is>
      </x:c>
      <x:c r="C53" s="31" t="inlineStr">
        <x:is>
          <x:t xml:space="preserve">ЗК-1042</x:t>
        </x:is>
      </x:c>
      <x:c r="D53" s="31" t="inlineStr">
        <x:is>
          <x:t xml:space="preserve">ИЗД-018</x:t>
        </x:is>
      </x:c>
      <x:c r="E53" s="31" t="n">
        <x:v>46092</x:v>
      </x:c>
      <x:c r="F53" s="31" t="inlineStr">
        <x:is>
          <x:t xml:space="preserve">СОТР-100</x:t>
        </x:is>
      </x:c>
      <x:c r="G53" s="31" t="n">
        <x:v>5</x:v>
      </x:c>
      <x:c r="H53" s="31" t="n">
        <x:v>0</x:v>
      </x:c>
      <x:c r="I53" s="31" t="inlineStr">
        <x:is>
          <x:t xml:space="preserve">Сварной шов</x:t>
        </x:is>
      </x:c>
      <x:c r="J53" s="31" t="inlineStr">
        <x:is>
          <x:t xml:space="preserve">Нет</x:t>
        </x:is>
      </x:c>
      <x:c r="K53" s="31" t="inlineStr">
        <x:is>
          <x:t xml:space="preserve">Принято</x:t>
        </x:is>
      </x:c>
      <x:c r="L53" s="31" t="inlineStr">
        <x:is>
          <x:t xml:space="preserve">Нет</x:t>
        </x:is>
      </x:c>
      <x:c r="M53" s="31" t="inlineStr">
        <x:is>
          <x:t xml:space="preserve">Не требуется</x:t>
        </x:is>
      </x:c>
      <x:c r="N53" s="31" t="inlineStr">
        <x:is>
          <x:t xml:space="preserve">Протокол приемочные испытания/ОТК 5530</x:t>
        </x:is>
      </x:c>
    </x:row>
    <x:row r="54" ht="18" customHeight="1">
      <x:c r="A54" s="31" t="inlineStr">
        <x:is>
          <x:t xml:space="preserve">ОТК-00053</x:t>
        </x:is>
      </x:c>
      <x:c r="B54" s="31" t="inlineStr">
        <x:is>
          <x:t xml:space="preserve">ПЗ-00076</x:t>
        </x:is>
      </x:c>
      <x:c r="C54" s="31" t="inlineStr">
        <x:is>
          <x:t xml:space="preserve">ЗК-1043</x:t>
        </x:is>
      </x:c>
      <x:c r="D54" s="31" t="inlineStr">
        <x:is>
          <x:t xml:space="preserve">ИЗД-005</x:t>
        </x:is>
      </x:c>
      <x:c r="E54" s="31" t="n">
        <x:v>46116</x:v>
      </x:c>
      <x:c r="F54" s="31" t="inlineStr">
        <x:is>
          <x:t xml:space="preserve">СОТР-099</x:t>
        </x:is>
      </x:c>
      <x:c r="G54" s="31" t="n">
        <x:v>3</x:v>
      </x:c>
      <x:c r="H54" s="31" t="n">
        <x:v>0</x:v>
      </x:c>
      <x:c r="I54" s="31" t="inlineStr">
        <x:is>
          <x:t xml:space="preserve">Комплектность</x:t>
        </x:is>
      </x:c>
      <x:c r="J54" s="31" t="inlineStr">
        <x:is>
          <x:t xml:space="preserve">Нет</x:t>
        </x:is>
      </x:c>
      <x:c r="K54" s="31" t="inlineStr">
        <x:is>
          <x:t xml:space="preserve">Принято</x:t>
        </x:is>
      </x:c>
      <x:c r="L54" s="31" t="inlineStr">
        <x:is>
          <x:t xml:space="preserve">Нет</x:t>
        </x:is>
      </x:c>
      <x:c r="M54" s="31" t="inlineStr">
        <x:is>
          <x:t xml:space="preserve">Не требуется</x:t>
        </x:is>
      </x:c>
      <x:c r="N54" s="31" t="inlineStr">
        <x:is>
          <x:t xml:space="preserve">Протокол приемочные испытания/ОТК 6134</x:t>
        </x:is>
      </x:c>
    </x:row>
    <x:row r="55" ht="18" customHeight="1">
      <x:c r="A55" s="31" t="inlineStr">
        <x:is>
          <x:t xml:space="preserve">ОТК-00054</x:t>
        </x:is>
      </x:c>
      <x:c r="B55" s="31" t="inlineStr">
        <x:is>
          <x:t xml:space="preserve">ПЗ-00079</x:t>
        </x:is>
      </x:c>
      <x:c r="C55" s="31" t="inlineStr">
        <x:is>
          <x:t xml:space="preserve">ЗК-1044</x:t>
        </x:is>
      </x:c>
      <x:c r="D55" s="31" t="inlineStr">
        <x:is>
          <x:t xml:space="preserve">ИЗД-002</x:t>
        </x:is>
      </x:c>
      <x:c r="E55" s="31" t="n">
        <x:v>46253</x:v>
      </x:c>
      <x:c r="F55" s="31" t="inlineStr">
        <x:is>
          <x:t xml:space="preserve">СОТР-096</x:t>
        </x:is>
      </x:c>
      <x:c r="G55" s="31" t="n">
        <x:v>7</x:v>
      </x:c>
      <x:c r="H55" s="31" t="n">
        <x:v>1</x:v>
      </x:c>
      <x:c r="I55" s="31" t="inlineStr">
        <x:is>
          <x:t xml:space="preserve">Герметичность</x:t>
        </x:is>
      </x:c>
      <x:c r="J55" s="31" t="inlineStr">
        <x:is>
          <x:t xml:space="preserve">Существенный</x:t>
        </x:is>
      </x:c>
      <x:c r="K55" s="31" t="inlineStr">
        <x:is>
          <x:t xml:space="preserve">Принято с замечаниями</x:t>
        </x:is>
      </x:c>
      <x:c r="L55" s="31" t="inlineStr">
        <x:is>
          <x:t xml:space="preserve">Нет</x:t>
        </x:is>
      </x:c>
      <x:c r="M55" s="31" t="inlineStr">
        <x:is>
          <x:t xml:space="preserve">Открыта</x:t>
        </x:is>
      </x:c>
      <x:c r="N55" s="31" t="inlineStr">
        <x:is>
          <x:t xml:space="preserve">Протокол приемочные испытания/ОТК 5638</x:t>
        </x:is>
      </x:c>
    </x:row>
    <x:row r="56" ht="18" customHeight="1">
      <x:c r="A56" s="31" t="inlineStr">
        <x:is>
          <x:t xml:space="preserve">ОТК-00055</x:t>
        </x:is>
      </x:c>
      <x:c r="B56" s="31" t="inlineStr">
        <x:is>
          <x:t xml:space="preserve">ПЗ-00081</x:t>
        </x:is>
      </x:c>
      <x:c r="C56" s="31" t="inlineStr">
        <x:is>
          <x:t xml:space="preserve">ЗК-1045</x:t>
        </x:is>
      </x:c>
      <x:c r="D56" s="31" t="inlineStr">
        <x:is>
          <x:t xml:space="preserve">ИЗД-035</x:t>
        </x:is>
      </x:c>
      <x:c r="E56" s="31" t="n">
        <x:v>46215</x:v>
      </x:c>
      <x:c r="F56" s="31" t="inlineStr">
        <x:is>
          <x:t xml:space="preserve">СОТР-097</x:t>
        </x:is>
      </x:c>
      <x:c r="G56" s="31" t="n">
        <x:v>7</x:v>
      </x:c>
      <x:c r="H56" s="31" t="n">
        <x:v>0</x:v>
      </x:c>
      <x:c r="I56" s="31" t="inlineStr">
        <x:is>
          <x:t xml:space="preserve">Геометрия</x:t>
        </x:is>
      </x:c>
      <x:c r="J56" s="31" t="inlineStr">
        <x:is>
          <x:t xml:space="preserve">Нет</x:t>
        </x:is>
      </x:c>
      <x:c r="K56" s="31" t="inlineStr">
        <x:is>
          <x:t xml:space="preserve">Принято</x:t>
        </x:is>
      </x:c>
      <x:c r="L56" s="31" t="inlineStr">
        <x:is>
          <x:t xml:space="preserve">Нет</x:t>
        </x:is>
      </x:c>
      <x:c r="M56" s="31" t="inlineStr">
        <x:is>
          <x:t xml:space="preserve">Не требуется</x:t>
        </x:is>
      </x:c>
      <x:c r="N56" s="31" t="inlineStr">
        <x:is>
          <x:t xml:space="preserve">Протокол приемочные испытания/ОТК 8993</x:t>
        </x:is>
      </x:c>
    </x:row>
    <x:row r="57" ht="18" customHeight="1">
      <x:c r="A57" s="31" t="inlineStr">
        <x:is>
          <x:t xml:space="preserve">ОТК-00056</x:t>
        </x:is>
      </x:c>
      <x:c r="B57" s="31" t="inlineStr">
        <x:is>
          <x:t xml:space="preserve">ПЗ-00082</x:t>
        </x:is>
      </x:c>
      <x:c r="C57" s="31" t="inlineStr">
        <x:is>
          <x:t xml:space="preserve">ЗК-1045</x:t>
        </x:is>
      </x:c>
      <x:c r="D57" s="31" t="inlineStr">
        <x:is>
          <x:t xml:space="preserve">ИЗД-008</x:t>
        </x:is>
      </x:c>
      <x:c r="E57" s="31" t="n">
        <x:v>46216</x:v>
      </x:c>
      <x:c r="F57" s="31" t="inlineStr">
        <x:is>
          <x:t xml:space="preserve">СОТР-095</x:t>
        </x:is>
      </x:c>
      <x:c r="G57" s="31" t="n">
        <x:v>5</x:v>
      </x:c>
      <x:c r="H57" s="31" t="n">
        <x:v>0</x:v>
      </x:c>
      <x:c r="I57" s="31" t="inlineStr">
        <x:is>
          <x:t xml:space="preserve">Электрика</x:t>
        </x:is>
      </x:c>
      <x:c r="J57" s="31" t="inlineStr">
        <x:is>
          <x:t xml:space="preserve">Нет</x:t>
        </x:is>
      </x:c>
      <x:c r="K57" s="31" t="inlineStr">
        <x:is>
          <x:t xml:space="preserve">Принято</x:t>
        </x:is>
      </x:c>
      <x:c r="L57" s="31" t="inlineStr">
        <x:is>
          <x:t xml:space="preserve">Нет</x:t>
        </x:is>
      </x:c>
      <x:c r="M57" s="31" t="inlineStr">
        <x:is>
          <x:t xml:space="preserve">Не требуется</x:t>
        </x:is>
      </x:c>
      <x:c r="N57" s="31" t="inlineStr">
        <x:is>
          <x:t xml:space="preserve">Протокол приемочные испытания/ОТК 4016</x:t>
        </x:is>
      </x:c>
    </x:row>
    <x:row r="58" ht="18" customHeight="1">
      <x:c r="A58" s="31" t="inlineStr">
        <x:is>
          <x:t xml:space="preserve">ОТК-00057</x:t>
        </x:is>
      </x:c>
      <x:c r="B58" s="31" t="inlineStr">
        <x:is>
          <x:t xml:space="preserve">ПЗ-00083</x:t>
        </x:is>
      </x:c>
      <x:c r="C58" s="31" t="inlineStr">
        <x:is>
          <x:t xml:space="preserve">ЗК-1045</x:t>
        </x:is>
      </x:c>
      <x:c r="D58" s="31" t="inlineStr">
        <x:is>
          <x:t xml:space="preserve">ИЗД-034</x:t>
        </x:is>
      </x:c>
      <x:c r="E58" s="31" t="n">
        <x:v>46220</x:v>
      </x:c>
      <x:c r="F58" s="31" t="inlineStr">
        <x:is>
          <x:t xml:space="preserve">СОТР-099</x:t>
        </x:is>
      </x:c>
      <x:c r="G58" s="31" t="n">
        <x:v>7</x:v>
      </x:c>
      <x:c r="H58" s="31" t="n">
        <x:v>0</x:v>
      </x:c>
      <x:c r="I58" s="31" t="inlineStr">
        <x:is>
          <x:t xml:space="preserve">Геометрия</x:t>
        </x:is>
      </x:c>
      <x:c r="J58" s="31" t="inlineStr">
        <x:is>
          <x:t xml:space="preserve">Нет</x:t>
        </x:is>
      </x:c>
      <x:c r="K58" s="31" t="inlineStr">
        <x:is>
          <x:t xml:space="preserve">Принято</x:t>
        </x:is>
      </x:c>
      <x:c r="L58" s="31" t="inlineStr">
        <x:is>
          <x:t xml:space="preserve">Нет</x:t>
        </x:is>
      </x:c>
      <x:c r="M58" s="31" t="inlineStr">
        <x:is>
          <x:t xml:space="preserve">Не требуется</x:t>
        </x:is>
      </x:c>
      <x:c r="N58" s="31" t="inlineStr">
        <x:is>
          <x:t xml:space="preserve">Протокол приемочные испытания/ОТК 3289</x:t>
        </x:is>
      </x:c>
    </x:row>
    <x:row r="59" ht="18" customHeight="1">
      <x:c r="A59" s="31" t="inlineStr">
        <x:is>
          <x:t xml:space="preserve">ОТК-00058</x:t>
        </x:is>
      </x:c>
      <x:c r="B59" s="31" t="inlineStr">
        <x:is>
          <x:t xml:space="preserve">ПЗ-00084</x:t>
        </x:is>
      </x:c>
      <x:c r="C59" s="31" t="inlineStr">
        <x:is>
          <x:t xml:space="preserve">ЗК-1045</x:t>
        </x:is>
      </x:c>
      <x:c r="D59" s="31" t="inlineStr">
        <x:is>
          <x:t xml:space="preserve">ИЗД-004</x:t>
        </x:is>
      </x:c>
      <x:c r="E59" s="31" t="n">
        <x:v>46219</x:v>
      </x:c>
      <x:c r="F59" s="31" t="inlineStr">
        <x:is>
          <x:t xml:space="preserve">СОТР-096</x:t>
        </x:is>
      </x:c>
      <x:c r="G59" s="31" t="n">
        <x:v>5</x:v>
      </x:c>
      <x:c r="H59" s="31" t="n">
        <x:v>0</x:v>
      </x:c>
      <x:c r="I59" s="31" t="inlineStr">
        <x:is>
          <x:t xml:space="preserve">Электрика</x:t>
        </x:is>
      </x:c>
      <x:c r="J59" s="31" t="inlineStr">
        <x:is>
          <x:t xml:space="preserve">Нет</x:t>
        </x:is>
      </x:c>
      <x:c r="K59" s="31" t="inlineStr">
        <x:is>
          <x:t xml:space="preserve">Принято</x:t>
        </x:is>
      </x:c>
      <x:c r="L59" s="31" t="inlineStr">
        <x:is>
          <x:t xml:space="preserve">Нет</x:t>
        </x:is>
      </x:c>
      <x:c r="M59" s="31" t="inlineStr">
        <x:is>
          <x:t xml:space="preserve">Не требуется</x:t>
        </x:is>
      </x:c>
      <x:c r="N59" s="31" t="inlineStr">
        <x:is>
          <x:t xml:space="preserve">Протокол приемочные испытания/ОТК 2409</x:t>
        </x:is>
      </x:c>
    </x:row>
    <x:row r="60" ht="18" customHeight="1">
      <x:c r="A60" s="31" t="inlineStr">
        <x:is>
          <x:t xml:space="preserve">ОТК-00059</x:t>
        </x:is>
      </x:c>
      <x:c r="B60" s="31" t="inlineStr">
        <x:is>
          <x:t xml:space="preserve">ПЗ-00085</x:t>
        </x:is>
      </x:c>
      <x:c r="C60" s="31" t="inlineStr">
        <x:is>
          <x:t xml:space="preserve">ЗК-1046</x:t>
        </x:is>
      </x:c>
      <x:c r="D60" s="31" t="inlineStr">
        <x:is>
          <x:t xml:space="preserve">ИЗД-030</x:t>
        </x:is>
      </x:c>
      <x:c r="E60" s="31" t="n">
        <x:v>46182</x:v>
      </x:c>
      <x:c r="F60" s="31" t="inlineStr">
        <x:is>
          <x:t xml:space="preserve">СОТР-100</x:t>
        </x:is>
      </x:c>
      <x:c r="G60" s="31" t="n">
        <x:v>3</x:v>
      </x:c>
      <x:c r="H60" s="31" t="n">
        <x:v>2</x:v>
      </x:c>
      <x:c r="I60" s="31" t="inlineStr">
        <x:is>
          <x:t xml:space="preserve">Герметичность</x:t>
        </x:is>
      </x:c>
      <x:c r="J60" s="31" t="inlineStr">
        <x:is>
          <x:t xml:space="preserve">Незначительный</x:t>
        </x:is>
      </x:c>
      <x:c r="K60" s="31" t="inlineStr">
        <x:is>
          <x:t xml:space="preserve">Доработка</x:t>
        </x:is>
      </x:c>
      <x:c r="L60" s="31" t="inlineStr">
        <x:is>
          <x:t xml:space="preserve">Да</x:t>
        </x:is>
      </x:c>
      <x:c r="M60" s="31" t="inlineStr">
        <x:is>
          <x:t xml:space="preserve">Открыта</x:t>
        </x:is>
      </x:c>
      <x:c r="N60" s="31" t="inlineStr">
        <x:is>
          <x:t xml:space="preserve">Протокол приемочные испытания/ОТК 6382</x:t>
        </x:is>
      </x:c>
    </x:row>
    <x:row r="61" ht="18" customHeight="1">
      <x:c r="A61" s="31" t="inlineStr">
        <x:is>
          <x:t xml:space="preserve">ОТК-00060</x:t>
        </x:is>
      </x:c>
      <x:c r="B61" s="31" t="inlineStr">
        <x:is>
          <x:t xml:space="preserve">ПЗ-00087</x:t>
        </x:is>
      </x:c>
      <x:c r="C61" s="31" t="inlineStr">
        <x:is>
          <x:t xml:space="preserve">ЗК-1047</x:t>
        </x:is>
      </x:c>
      <x:c r="D61" s="31" t="inlineStr">
        <x:is>
          <x:t xml:space="preserve">ИЗД-027</x:t>
        </x:is>
      </x:c>
      <x:c r="E61" s="31" t="n">
        <x:v>46168</x:v>
      </x:c>
      <x:c r="F61" s="31" t="inlineStr">
        <x:is>
          <x:t xml:space="preserve">СОТР-099</x:t>
        </x:is>
      </x:c>
      <x:c r="G61" s="31" t="n">
        <x:v>8</x:v>
      </x:c>
      <x:c r="H61" s="31" t="n">
        <x:v>1</x:v>
      </x:c>
      <x:c r="I61" s="31" t="inlineStr">
        <x:is>
          <x:t xml:space="preserve">Документация</x:t>
        </x:is>
      </x:c>
      <x:c r="J61" s="31" t="inlineStr">
        <x:is>
          <x:t xml:space="preserve">Критичный</x:t>
        </x:is>
      </x:c>
      <x:c r="K61" s="31" t="inlineStr">
        <x:is>
          <x:t xml:space="preserve">Принято с замечаниями</x:t>
        </x:is>
      </x:c>
      <x:c r="L61" s="31" t="inlineStr">
        <x:is>
          <x:t xml:space="preserve">Нет</x:t>
        </x:is>
      </x:c>
      <x:c r="M61" s="31" t="inlineStr">
        <x:is>
          <x:t xml:space="preserve">Закрыта</x:t>
        </x:is>
      </x:c>
      <x:c r="N61" s="31" t="inlineStr">
        <x:is>
          <x:t xml:space="preserve">Протокол приемочные испытания/ОТК 4614</x:t>
        </x:is>
      </x:c>
    </x:row>
    <x:row r="62" ht="18" customHeight="1">
      <x:c r="A62" s="31" t="inlineStr">
        <x:is>
          <x:t xml:space="preserve">ОТК-00061</x:t>
        </x:is>
      </x:c>
      <x:c r="B62" s="31" t="inlineStr">
        <x:is>
          <x:t xml:space="preserve">ПЗ-00091</x:t>
        </x:is>
      </x:c>
      <x:c r="C62" s="31" t="inlineStr">
        <x:is>
          <x:t xml:space="preserve">ЗК-1048</x:t>
        </x:is>
      </x:c>
      <x:c r="D62" s="31" t="inlineStr">
        <x:is>
          <x:t xml:space="preserve">ИЗД-015</x:t>
        </x:is>
      </x:c>
      <x:c r="E62" s="31" t="n">
        <x:v>46197</x:v>
      </x:c>
      <x:c r="F62" s="31" t="inlineStr">
        <x:is>
          <x:t xml:space="preserve">СОТР-097</x:t>
        </x:is>
      </x:c>
      <x:c r="G62" s="31" t="n">
        <x:v>6</x:v>
      </x:c>
      <x:c r="H62" s="31" t="n">
        <x:v>0</x:v>
      </x:c>
      <x:c r="I62" s="31" t="inlineStr">
        <x:is>
          <x:t xml:space="preserve">Маркировка</x:t>
        </x:is>
      </x:c>
      <x:c r="J62" s="31" t="inlineStr">
        <x:is>
          <x:t xml:space="preserve">Нет</x:t>
        </x:is>
      </x:c>
      <x:c r="K62" s="31" t="inlineStr">
        <x:is>
          <x:t xml:space="preserve">Принято</x:t>
        </x:is>
      </x:c>
      <x:c r="L62" s="31" t="inlineStr">
        <x:is>
          <x:t xml:space="preserve">Нет</x:t>
        </x:is>
      </x:c>
      <x:c r="M62" s="31" t="inlineStr">
        <x:is>
          <x:t xml:space="preserve">Не требуется</x:t>
        </x:is>
      </x:c>
      <x:c r="N62" s="31" t="inlineStr">
        <x:is>
          <x:t xml:space="preserve">Протокол приемочные испытания/ОТК 8222</x:t>
        </x:is>
      </x:c>
    </x:row>
    <x:row r="63" ht="18" customHeight="1">
      <x:c r="A63" s="31" t="inlineStr">
        <x:is>
          <x:t xml:space="preserve">ОТК-00062</x:t>
        </x:is>
      </x:c>
      <x:c r="B63" s="31" t="inlineStr">
        <x:is>
          <x:t xml:space="preserve">ПЗ-00092</x:t>
        </x:is>
      </x:c>
      <x:c r="C63" s="31" t="inlineStr">
        <x:is>
          <x:t xml:space="preserve">ЗК-1049</x:t>
        </x:is>
      </x:c>
      <x:c r="D63" s="31" t="inlineStr">
        <x:is>
          <x:t xml:space="preserve">ИЗД-028</x:t>
        </x:is>
      </x:c>
      <x:c r="E63" s="31" t="n">
        <x:v>46070</x:v>
      </x:c>
      <x:c r="F63" s="31" t="inlineStr">
        <x:is>
          <x:t xml:space="preserve">СОТР-093</x:t>
        </x:is>
      </x:c>
      <x:c r="G63" s="31" t="n">
        <x:v>6</x:v>
      </x:c>
      <x:c r="H63" s="31" t="n">
        <x:v>0</x:v>
      </x:c>
      <x:c r="I63" s="31" t="inlineStr">
        <x:is>
          <x:t xml:space="preserve">Документация</x:t>
        </x:is>
      </x:c>
      <x:c r="J63" s="31" t="inlineStr">
        <x:is>
          <x:t xml:space="preserve">Нет</x:t>
        </x:is>
      </x:c>
      <x:c r="K63" s="31" t="inlineStr">
        <x:is>
          <x:t xml:space="preserve">Принято</x:t>
        </x:is>
      </x:c>
      <x:c r="L63" s="31" t="inlineStr">
        <x:is>
          <x:t xml:space="preserve">Нет</x:t>
        </x:is>
      </x:c>
      <x:c r="M63" s="31" t="inlineStr">
        <x:is>
          <x:t xml:space="preserve">Не требуется</x:t>
        </x:is>
      </x:c>
      <x:c r="N63" s="31" t="inlineStr">
        <x:is>
          <x:t xml:space="preserve">Протокол приемочные испытания/ОТК 6848</x:t>
        </x:is>
      </x:c>
    </x:row>
    <x:row r="64" ht="18" customHeight="1">
      <x:c r="A64" s="31" t="inlineStr">
        <x:is>
          <x:t xml:space="preserve">ОТК-00063</x:t>
        </x:is>
      </x:c>
      <x:c r="B64" s="31" t="inlineStr">
        <x:is>
          <x:t xml:space="preserve">ПЗ-00093</x:t>
        </x:is>
      </x:c>
      <x:c r="C64" s="31" t="inlineStr">
        <x:is>
          <x:t xml:space="preserve">ЗК-1049</x:t>
        </x:is>
      </x:c>
      <x:c r="D64" s="31" t="inlineStr">
        <x:is>
          <x:t xml:space="preserve">ИЗД-032</x:t>
        </x:is>
      </x:c>
      <x:c r="E64" s="31" t="n">
        <x:v>46070</x:v>
      </x:c>
      <x:c r="F64" s="31" t="inlineStr">
        <x:is>
          <x:t xml:space="preserve">СОТР-092</x:t>
        </x:is>
      </x:c>
      <x:c r="G64" s="31" t="n">
        <x:v>6</x:v>
      </x:c>
      <x:c r="H64" s="31" t="n">
        <x:v>3</x:v>
      </x:c>
      <x:c r="I64" s="31" t="inlineStr">
        <x:is>
          <x:t xml:space="preserve">Маркировка</x:t>
        </x:is>
      </x:c>
      <x:c r="J64" s="31" t="inlineStr">
        <x:is>
          <x:t xml:space="preserve">Незначительный</x:t>
        </x:is>
      </x:c>
      <x:c r="K64" s="31" t="inlineStr">
        <x:is>
          <x:t xml:space="preserve">Принято с замечаниями</x:t>
        </x:is>
      </x:c>
      <x:c r="L64" s="31" t="inlineStr">
        <x:is>
          <x:t xml:space="preserve">Нет</x:t>
        </x:is>
      </x:c>
      <x:c r="M64" s="31" t="inlineStr">
        <x:is>
          <x:t xml:space="preserve">В работе</x:t>
        </x:is>
      </x:c>
      <x:c r="N64" s="31" t="inlineStr">
        <x:is>
          <x:t xml:space="preserve">Протокол приемочные испытания/ОТК 2594</x:t>
        </x:is>
      </x:c>
    </x:row>
    <x:row r="65" ht="18" customHeight="1">
      <x:c r="A65" s="31" t="inlineStr">
        <x:is>
          <x:t xml:space="preserve">ОТК-00064</x:t>
        </x:is>
      </x:c>
      <x:c r="B65" s="31" t="inlineStr">
        <x:is>
          <x:t xml:space="preserve">ПЗ-00094</x:t>
        </x:is>
      </x:c>
      <x:c r="C65" s="31" t="inlineStr">
        <x:is>
          <x:t xml:space="preserve">ЗК-1049</x:t>
        </x:is>
      </x:c>
      <x:c r="D65" s="31" t="inlineStr">
        <x:is>
          <x:t xml:space="preserve">ИЗД-017</x:t>
        </x:is>
      </x:c>
      <x:c r="E65" s="31" t="n">
        <x:v>46072</x:v>
      </x:c>
      <x:c r="F65" s="31" t="inlineStr">
        <x:is>
          <x:t xml:space="preserve">СОТР-095</x:t>
        </x:is>
      </x:c>
      <x:c r="G65" s="31" t="n">
        <x:v>4</x:v>
      </x:c>
      <x:c r="H65" s="31" t="n">
        <x:v>2</x:v>
      </x:c>
      <x:c r="I65" s="31" t="inlineStr">
        <x:is>
          <x:t xml:space="preserve">Электрика</x:t>
        </x:is>
      </x:c>
      <x:c r="J65" s="31" t="inlineStr">
        <x:is>
          <x:t xml:space="preserve">Незначительный</x:t>
        </x:is>
      </x:c>
      <x:c r="K65" s="31" t="inlineStr">
        <x:is>
          <x:t xml:space="preserve">Принято с замечаниями</x:t>
        </x:is>
      </x:c>
      <x:c r="L65" s="31" t="inlineStr">
        <x:is>
          <x:t xml:space="preserve">Нет</x:t>
        </x:is>
      </x:c>
      <x:c r="M65" s="31" t="inlineStr">
        <x:is>
          <x:t xml:space="preserve">Закрыта</x:t>
        </x:is>
      </x:c>
      <x:c r="N65" s="31" t="inlineStr">
        <x:is>
          <x:t xml:space="preserve">Протокол приемочные испытания/ОТК 3089</x:t>
        </x:is>
      </x:c>
    </x:row>
    <x:row r="66" ht="18" customHeight="1">
      <x:c r="A66" s="31" t="inlineStr">
        <x:is>
          <x:t xml:space="preserve">ОТК-00065</x:t>
        </x:is>
      </x:c>
      <x:c r="B66" s="31" t="inlineStr">
        <x:is>
          <x:t xml:space="preserve">ПЗ-00095</x:t>
        </x:is>
      </x:c>
      <x:c r="C66" s="31" t="inlineStr">
        <x:is>
          <x:t xml:space="preserve">ЗК-1049</x:t>
        </x:is>
      </x:c>
      <x:c r="D66" s="31" t="inlineStr">
        <x:is>
          <x:t xml:space="preserve">ИЗД-006</x:t>
        </x:is>
      </x:c>
      <x:c r="E66" s="31" t="n">
        <x:v>46073</x:v>
      </x:c>
      <x:c r="F66" s="31" t="inlineStr">
        <x:is>
          <x:t xml:space="preserve">СОТР-099</x:t>
        </x:is>
      </x:c>
      <x:c r="G66" s="31" t="n">
        <x:v>7</x:v>
      </x:c>
      <x:c r="H66" s="31" t="n">
        <x:v>0</x:v>
      </x:c>
      <x:c r="I66" s="31" t="inlineStr">
        <x:is>
          <x:t xml:space="preserve">Геометрия</x:t>
        </x:is>
      </x:c>
      <x:c r="J66" s="31" t="inlineStr">
        <x:is>
          <x:t xml:space="preserve">Нет</x:t>
        </x:is>
      </x:c>
      <x:c r="K66" s="31" t="inlineStr">
        <x:is>
          <x:t xml:space="preserve">Принято</x:t>
        </x:is>
      </x:c>
      <x:c r="L66" s="31" t="inlineStr">
        <x:is>
          <x:t xml:space="preserve">Нет</x:t>
        </x:is>
      </x:c>
      <x:c r="M66" s="31" t="inlineStr">
        <x:is>
          <x:t xml:space="preserve">Не требуется</x:t>
        </x:is>
      </x:c>
      <x:c r="N66" s="31" t="inlineStr">
        <x:is>
          <x:t xml:space="preserve">Протокол приемочные испытания/ОТК 3274</x:t>
        </x:is>
      </x:c>
    </x:row>
    <x:row r="67" ht="18" customHeight="1">
      <x:c r="A67" s="31" t="inlineStr">
        <x:is>
          <x:t xml:space="preserve">ОТК-00066</x:t>
        </x:is>
      </x:c>
      <x:c r="B67" s="31" t="inlineStr">
        <x:is>
          <x:t xml:space="preserve">ПЗ-00099</x:t>
        </x:is>
      </x:c>
      <x:c r="C67" s="31" t="inlineStr">
        <x:is>
          <x:t xml:space="preserve">ЗК-1050</x:t>
        </x:is>
      </x:c>
      <x:c r="D67" s="31" t="inlineStr">
        <x:is>
          <x:t xml:space="preserve">ИЗД-023</x:t>
        </x:is>
      </x:c>
      <x:c r="E67" s="31" t="n">
        <x:v>46101</x:v>
      </x:c>
      <x:c r="F67" s="31" t="inlineStr">
        <x:is>
          <x:t xml:space="preserve">СОТР-092</x:t>
        </x:is>
      </x:c>
      <x:c r="G67" s="31" t="n">
        <x:v>3</x:v>
      </x:c>
      <x:c r="H67" s="31" t="n">
        <x:v>0</x:v>
      </x:c>
      <x:c r="I67" s="31" t="inlineStr">
        <x:is>
          <x:t xml:space="preserve">Электрика</x:t>
        </x:is>
      </x:c>
      <x:c r="J67" s="31" t="inlineStr">
        <x:is>
          <x:t xml:space="preserve">Нет</x:t>
        </x:is>
      </x:c>
      <x:c r="K67" s="31" t="inlineStr">
        <x:is>
          <x:t xml:space="preserve">Принято</x:t>
        </x:is>
      </x:c>
      <x:c r="L67" s="31" t="inlineStr">
        <x:is>
          <x:t xml:space="preserve">Нет</x:t>
        </x:is>
      </x:c>
      <x:c r="M67" s="31" t="inlineStr">
        <x:is>
          <x:t xml:space="preserve">Не требуется</x:t>
        </x:is>
      </x:c>
      <x:c r="N67" s="31" t="inlineStr">
        <x:is>
          <x:t xml:space="preserve">Протокол приемочные испытания/ОТК 5172</x:t>
        </x:is>
      </x:c>
    </x:row>
    <x:row r="68" ht="18" customHeight="1">
      <x:c r="A68" s="31" t="inlineStr">
        <x:is>
          <x:t xml:space="preserve">ОТК-00067</x:t>
        </x:is>
      </x:c>
      <x:c r="B68" s="31" t="inlineStr">
        <x:is>
          <x:t xml:space="preserve">ПЗ-00100</x:t>
        </x:is>
      </x:c>
      <x:c r="C68" s="31" t="inlineStr">
        <x:is>
          <x:t xml:space="preserve">ЗК-1051</x:t>
        </x:is>
      </x:c>
      <x:c r="D68" s="31" t="inlineStr">
        <x:is>
          <x:t xml:space="preserve">ИЗД-032</x:t>
        </x:is>
      </x:c>
      <x:c r="E68" s="31" t="n">
        <x:v>46155</x:v>
      </x:c>
      <x:c r="F68" s="31" t="inlineStr">
        <x:is>
          <x:t xml:space="preserve">СОТР-099</x:t>
        </x:is>
      </x:c>
      <x:c r="G68" s="31" t="n">
        <x:v>4</x:v>
      </x:c>
      <x:c r="H68" s="31" t="n">
        <x:v>1</x:v>
      </x:c>
      <x:c r="I68" s="31" t="inlineStr">
        <x:is>
          <x:t xml:space="preserve">Комплектность</x:t>
        </x:is>
      </x:c>
      <x:c r="J68" s="31" t="inlineStr">
        <x:is>
          <x:t xml:space="preserve">Существенный</x:t>
        </x:is>
      </x:c>
      <x:c r="K68" s="31" t="inlineStr">
        <x:is>
          <x:t xml:space="preserve">Доработка</x:t>
        </x:is>
      </x:c>
      <x:c r="L68" s="31" t="inlineStr">
        <x:is>
          <x:t xml:space="preserve">Да</x:t>
        </x:is>
      </x:c>
      <x:c r="M68" s="31" t="inlineStr">
        <x:is>
          <x:t xml:space="preserve">В работе</x:t>
        </x:is>
      </x:c>
      <x:c r="N68" s="31" t="inlineStr">
        <x:is>
          <x:t xml:space="preserve">Протокол приемочные испытания/ОТК 5718</x:t>
        </x:is>
      </x:c>
    </x:row>
    <x:row r="69" ht="18" customHeight="1">
      <x:c r="A69" s="31" t="inlineStr">
        <x:is>
          <x:t xml:space="preserve">ОТК-00068</x:t>
        </x:is>
      </x:c>
      <x:c r="B69" s="31" t="inlineStr">
        <x:is>
          <x:t xml:space="preserve">ПЗ-00101</x:t>
        </x:is>
      </x:c>
      <x:c r="C69" s="31" t="inlineStr">
        <x:is>
          <x:t xml:space="preserve">ЗК-1051</x:t>
        </x:is>
      </x:c>
      <x:c r="D69" s="31" t="inlineStr">
        <x:is>
          <x:t xml:space="preserve">ИЗД-015</x:t>
        </x:is>
      </x:c>
      <x:c r="E69" s="31" t="n">
        <x:v>46158</x:v>
      </x:c>
      <x:c r="F69" s="31" t="inlineStr">
        <x:is>
          <x:t xml:space="preserve">СОТР-095</x:t>
        </x:is>
      </x:c>
      <x:c r="G69" s="31" t="n">
        <x:v>6</x:v>
      </x:c>
      <x:c r="H69" s="31" t="n">
        <x:v>0</x:v>
      </x:c>
      <x:c r="I69" s="31" t="inlineStr">
        <x:is>
          <x:t xml:space="preserve">Сварной шов</x:t>
        </x:is>
      </x:c>
      <x:c r="J69" s="31" t="inlineStr">
        <x:is>
          <x:t xml:space="preserve">Нет</x:t>
        </x:is>
      </x:c>
      <x:c r="K69" s="31" t="inlineStr">
        <x:is>
          <x:t xml:space="preserve">Принято</x:t>
        </x:is>
      </x:c>
      <x:c r="L69" s="31" t="inlineStr">
        <x:is>
          <x:t xml:space="preserve">Нет</x:t>
        </x:is>
      </x:c>
      <x:c r="M69" s="31" t="inlineStr">
        <x:is>
          <x:t xml:space="preserve">Не требуется</x:t>
        </x:is>
      </x:c>
      <x:c r="N69" s="31" t="inlineStr">
        <x:is>
          <x:t xml:space="preserve">Протокол приемочные испытания/ОТК 3156</x:t>
        </x:is>
      </x:c>
    </x:row>
    <x:row r="70" ht="18" customHeight="1">
      <x:c r="A70" s="31" t="inlineStr">
        <x:is>
          <x:t xml:space="preserve">ОТК-00069</x:t>
        </x:is>
      </x:c>
      <x:c r="B70" s="31" t="inlineStr">
        <x:is>
          <x:t xml:space="preserve">ПЗ-00102</x:t>
        </x:is>
      </x:c>
      <x:c r="C70" s="31" t="inlineStr">
        <x:is>
          <x:t xml:space="preserve">ЗК-1051</x:t>
        </x:is>
      </x:c>
      <x:c r="D70" s="31" t="inlineStr">
        <x:is>
          <x:t xml:space="preserve">ИЗД-022</x:t>
        </x:is>
      </x:c>
      <x:c r="E70" s="31" t="n">
        <x:v>46159</x:v>
      </x:c>
      <x:c r="F70" s="31" t="inlineStr">
        <x:is>
          <x:t xml:space="preserve">СОТР-092</x:t>
        </x:is>
      </x:c>
      <x:c r="G70" s="31" t="n">
        <x:v>7</x:v>
      </x:c>
      <x:c r="H70" s="31" t="n">
        <x:v>2</x:v>
      </x:c>
      <x:c r="I70" s="31" t="inlineStr">
        <x:is>
          <x:t xml:space="preserve">Сварной шов</x:t>
        </x:is>
      </x:c>
      <x:c r="J70" s="31" t="inlineStr">
        <x:is>
          <x:t xml:space="preserve">Существенный</x:t>
        </x:is>
      </x:c>
      <x:c r="K70" s="31" t="inlineStr">
        <x:is>
          <x:t xml:space="preserve">Принято с замечаниями</x:t>
        </x:is>
      </x:c>
      <x:c r="L70" s="31" t="inlineStr">
        <x:is>
          <x:t xml:space="preserve">Нет</x:t>
        </x:is>
      </x:c>
      <x:c r="M70" s="31" t="inlineStr">
        <x:is>
          <x:t xml:space="preserve">Открыта</x:t>
        </x:is>
      </x:c>
      <x:c r="N70" s="31" t="inlineStr">
        <x:is>
          <x:t xml:space="preserve">Протокол приемочные испытания/ОТК 8235</x:t>
        </x:is>
      </x:c>
    </x:row>
    <x:row r="71" ht="18" customHeight="1">
      <x:c r="A71" s="31" t="inlineStr">
        <x:is>
          <x:t xml:space="preserve">ОТК-00070</x:t>
        </x:is>
      </x:c>
      <x:c r="B71" s="31" t="inlineStr">
        <x:is>
          <x:t xml:space="preserve">ПЗ-00103</x:t>
        </x:is>
      </x:c>
      <x:c r="C71" s="31" t="inlineStr">
        <x:is>
          <x:t xml:space="preserve">ЗК-1052</x:t>
        </x:is>
      </x:c>
      <x:c r="D71" s="31" t="inlineStr">
        <x:is>
          <x:t xml:space="preserve">ИЗД-003</x:t>
        </x:is>
      </x:c>
      <x:c r="E71" s="31" t="n">
        <x:v>46145</x:v>
      </x:c>
      <x:c r="F71" s="31" t="inlineStr">
        <x:is>
          <x:t xml:space="preserve">СОТР-097</x:t>
        </x:is>
      </x:c>
      <x:c r="G71" s="31" t="n">
        <x:v>5</x:v>
      </x:c>
      <x:c r="H71" s="31" t="n">
        <x:v>1</x:v>
      </x:c>
      <x:c r="I71" s="31" t="inlineStr">
        <x:is>
          <x:t xml:space="preserve">Документация</x:t>
        </x:is>
      </x:c>
      <x:c r="J71" s="31" t="inlineStr">
        <x:is>
          <x:t xml:space="preserve">Существенный</x:t>
        </x:is>
      </x:c>
      <x:c r="K71" s="31" t="inlineStr">
        <x:is>
          <x:t xml:space="preserve">Доработка</x:t>
        </x:is>
      </x:c>
      <x:c r="L71" s="31" t="inlineStr">
        <x:is>
          <x:t xml:space="preserve">Да</x:t>
        </x:is>
      </x:c>
      <x:c r="M71" s="31" t="inlineStr">
        <x:is>
          <x:t xml:space="preserve">Закрыта</x:t>
        </x:is>
      </x:c>
      <x:c r="N71" s="31" t="inlineStr">
        <x:is>
          <x:t xml:space="preserve">Протокол приемочные испытания/ОТК 2434</x:t>
        </x:is>
      </x:c>
    </x:row>
    <x:row r="72" ht="18" customHeight="1">
      <x:c r="A72" s="31" t="inlineStr">
        <x:is>
          <x:t xml:space="preserve">ОТК-00071</x:t>
        </x:is>
      </x:c>
      <x:c r="B72" s="31" t="inlineStr">
        <x:is>
          <x:t xml:space="preserve">ПЗ-00104</x:t>
        </x:is>
      </x:c>
      <x:c r="C72" s="31" t="inlineStr">
        <x:is>
          <x:t xml:space="preserve">ЗК-1052</x:t>
        </x:is>
      </x:c>
      <x:c r="D72" s="31" t="inlineStr">
        <x:is>
          <x:t xml:space="preserve">ИЗД-011</x:t>
        </x:is>
      </x:c>
      <x:c r="E72" s="31" t="n">
        <x:v>46148</x:v>
      </x:c>
      <x:c r="F72" s="31" t="inlineStr">
        <x:is>
          <x:t xml:space="preserve">СОТР-098</x:t>
        </x:is>
      </x:c>
      <x:c r="G72" s="31" t="n">
        <x:v>5</x:v>
      </x:c>
      <x:c r="H72" s="31" t="n">
        <x:v>2</x:v>
      </x:c>
      <x:c r="I72" s="31" t="inlineStr">
        <x:is>
          <x:t xml:space="preserve">Герметичность</x:t>
        </x:is>
      </x:c>
      <x:c r="J72" s="31" t="inlineStr">
        <x:is>
          <x:t xml:space="preserve">Незначительный</x:t>
        </x:is>
      </x:c>
      <x:c r="K72" s="31" t="inlineStr">
        <x:is>
          <x:t xml:space="preserve">Доработка</x:t>
        </x:is>
      </x:c>
      <x:c r="L72" s="31" t="inlineStr">
        <x:is>
          <x:t xml:space="preserve">Да</x:t>
        </x:is>
      </x:c>
      <x:c r="M72" s="31" t="inlineStr">
        <x:is>
          <x:t xml:space="preserve">Закрыта</x:t>
        </x:is>
      </x:c>
      <x:c r="N72" s="31" t="inlineStr">
        <x:is>
          <x:t xml:space="preserve">Протокол приемочные испытания/ОТК 1550</x:t>
        </x:is>
      </x:c>
    </x:row>
    <x:row r="73" ht="18" customHeight="1">
      <x:c r="A73" s="31" t="inlineStr">
        <x:is>
          <x:t xml:space="preserve">ОТК-00072</x:t>
        </x:is>
      </x:c>
      <x:c r="B73" s="31" t="inlineStr">
        <x:is>
          <x:t xml:space="preserve">ПЗ-00105</x:t>
        </x:is>
      </x:c>
      <x:c r="C73" s="31" t="inlineStr">
        <x:is>
          <x:t xml:space="preserve">ЗК-1052</x:t>
        </x:is>
      </x:c>
      <x:c r="D73" s="31" t="inlineStr">
        <x:is>
          <x:t xml:space="preserve">ИЗД-019</x:t>
        </x:is>
      </x:c>
      <x:c r="E73" s="31" t="n">
        <x:v>46143</x:v>
      </x:c>
      <x:c r="F73" s="31" t="inlineStr">
        <x:is>
          <x:t xml:space="preserve">СОТР-097</x:t>
        </x:is>
      </x:c>
      <x:c r="G73" s="31" t="n">
        <x:v>8</x:v>
      </x:c>
      <x:c r="H73" s="31" t="n">
        <x:v>0</x:v>
      </x:c>
      <x:c r="I73" s="31" t="inlineStr">
        <x:is>
          <x:t xml:space="preserve">Сварной шов</x:t>
        </x:is>
      </x:c>
      <x:c r="J73" s="31" t="inlineStr">
        <x:is>
          <x:t xml:space="preserve">Нет</x:t>
        </x:is>
      </x:c>
      <x:c r="K73" s="31" t="inlineStr">
        <x:is>
          <x:t xml:space="preserve">Принято</x:t>
        </x:is>
      </x:c>
      <x:c r="L73" s="31" t="inlineStr">
        <x:is>
          <x:t xml:space="preserve">Нет</x:t>
        </x:is>
      </x:c>
      <x:c r="M73" s="31" t="inlineStr">
        <x:is>
          <x:t xml:space="preserve">Не требуется</x:t>
        </x:is>
      </x:c>
      <x:c r="N73" s="31" t="inlineStr">
        <x:is>
          <x:t xml:space="preserve">Протокол приемочные испытания/ОТК 1751</x:t>
        </x:is>
      </x:c>
    </x:row>
    <x:row r="74" ht="18" customHeight="1">
      <x:c r="A74" s="31" t="inlineStr">
        <x:is>
          <x:t xml:space="preserve">ОТК-00073</x:t>
        </x:is>
      </x:c>
      <x:c r="B74" s="31" t="inlineStr">
        <x:is>
          <x:t xml:space="preserve">ПЗ-00106</x:t>
        </x:is>
      </x:c>
      <x:c r="C74" s="31" t="inlineStr">
        <x:is>
          <x:t xml:space="preserve">ЗК-1052</x:t>
        </x:is>
      </x:c>
      <x:c r="D74" s="31" t="inlineStr">
        <x:is>
          <x:t xml:space="preserve">ИЗД-020</x:t>
        </x:is>
      </x:c>
      <x:c r="E74" s="31" t="n">
        <x:v>46147</x:v>
      </x:c>
      <x:c r="F74" s="31" t="inlineStr">
        <x:is>
          <x:t xml:space="preserve">СОТР-096</x:t>
        </x:is>
      </x:c>
      <x:c r="G74" s="31" t="n">
        <x:v>3</x:v>
      </x:c>
      <x:c r="H74" s="31" t="n">
        <x:v>1</x:v>
      </x:c>
      <x:c r="I74" s="31" t="inlineStr">
        <x:is>
          <x:t xml:space="preserve">Электрика</x:t>
        </x:is>
      </x:c>
      <x:c r="J74" s="31" t="inlineStr">
        <x:is>
          <x:t xml:space="preserve">Существенный</x:t>
        </x:is>
      </x:c>
      <x:c r="K74" s="31" t="inlineStr">
        <x:is>
          <x:t xml:space="preserve">Принято с замечаниями</x:t>
        </x:is>
      </x:c>
      <x:c r="L74" s="31" t="inlineStr">
        <x:is>
          <x:t xml:space="preserve">Нет</x:t>
        </x:is>
      </x:c>
      <x:c r="M74" s="31" t="inlineStr">
        <x:is>
          <x:t xml:space="preserve">В работе</x:t>
        </x:is>
      </x:c>
      <x:c r="N74" s="31" t="inlineStr">
        <x:is>
          <x:t xml:space="preserve">Протокол приемочные испытания/ОТК 5753</x:t>
        </x:is>
      </x:c>
    </x:row>
    <x:row r="75" ht="18" customHeight="1">
      <x:c r="A75" s="31" t="inlineStr">
        <x:is>
          <x:t xml:space="preserve">ОТК-00074</x:t>
        </x:is>
      </x:c>
      <x:c r="B75" s="31" t="inlineStr">
        <x:is>
          <x:t xml:space="preserve">ПЗ-00108</x:t>
        </x:is>
      </x:c>
      <x:c r="C75" s="31" t="inlineStr">
        <x:is>
          <x:t xml:space="preserve">ЗК-1053</x:t>
        </x:is>
      </x:c>
      <x:c r="D75" s="31" t="inlineStr">
        <x:is>
          <x:t xml:space="preserve">ИЗД-024</x:t>
        </x:is>
      </x:c>
      <x:c r="E75" s="31" t="n">
        <x:v>46165</x:v>
      </x:c>
      <x:c r="F75" s="31" t="inlineStr">
        <x:is>
          <x:t xml:space="preserve">СОТР-093</x:t>
        </x:is>
      </x:c>
      <x:c r="G75" s="31" t="n">
        <x:v>5</x:v>
      </x:c>
      <x:c r="H75" s="31" t="n">
        <x:v>0</x:v>
      </x:c>
      <x:c r="I75" s="31" t="inlineStr">
        <x:is>
          <x:t xml:space="preserve">Покрытие</x:t>
        </x:is>
      </x:c>
      <x:c r="J75" s="31" t="inlineStr">
        <x:is>
          <x:t xml:space="preserve">Нет</x:t>
        </x:is>
      </x:c>
      <x:c r="K75" s="31" t="inlineStr">
        <x:is>
          <x:t xml:space="preserve">Принято</x:t>
        </x:is>
      </x:c>
      <x:c r="L75" s="31" t="inlineStr">
        <x:is>
          <x:t xml:space="preserve">Нет</x:t>
        </x:is>
      </x:c>
      <x:c r="M75" s="31" t="inlineStr">
        <x:is>
          <x:t xml:space="preserve">Не требуется</x:t>
        </x:is>
      </x:c>
      <x:c r="N75" s="31" t="inlineStr">
        <x:is>
          <x:t xml:space="preserve">Протокол приемочные испытания/ОТК 2522</x:t>
        </x:is>
      </x:c>
    </x:row>
    <x:row r="76" ht="18" customHeight="1">
      <x:c r="A76" s="31" t="inlineStr">
        <x:is>
          <x:t xml:space="preserve">ОТК-00075</x:t>
        </x:is>
      </x:c>
      <x:c r="B76" s="31" t="inlineStr">
        <x:is>
          <x:t xml:space="preserve">ПЗ-00114</x:t>
        </x:is>
      </x:c>
      <x:c r="C76" s="31" t="inlineStr">
        <x:is>
          <x:t xml:space="preserve">ЗК-1055</x:t>
        </x:is>
      </x:c>
      <x:c r="D76" s="31" t="inlineStr">
        <x:is>
          <x:t xml:space="preserve">ИЗД-037</x:t>
        </x:is>
      </x:c>
      <x:c r="E76" s="31" t="n">
        <x:v>46124</x:v>
      </x:c>
      <x:c r="F76" s="31" t="inlineStr">
        <x:is>
          <x:t xml:space="preserve">СОТР-063</x:t>
        </x:is>
      </x:c>
      <x:c r="G76" s="31" t="n">
        <x:v>5</x:v>
      </x:c>
      <x:c r="H76" s="31" t="n">
        <x:v>0</x:v>
      </x:c>
      <x:c r="I76" s="31" t="inlineStr">
        <x:is>
          <x:t xml:space="preserve">Геометрия</x:t>
        </x:is>
      </x:c>
      <x:c r="J76" s="31" t="inlineStr">
        <x:is>
          <x:t xml:space="preserve">Нет</x:t>
        </x:is>
      </x:c>
      <x:c r="K76" s="31" t="inlineStr">
        <x:is>
          <x:t xml:space="preserve">Принято</x:t>
        </x:is>
      </x:c>
      <x:c r="L76" s="31" t="inlineStr">
        <x:is>
          <x:t xml:space="preserve">Нет</x:t>
        </x:is>
      </x:c>
      <x:c r="M76" s="31" t="inlineStr">
        <x:is>
          <x:t xml:space="preserve">Не требуется</x:t>
        </x:is>
      </x:c>
      <x:c r="N76" s="31" t="inlineStr">
        <x:is>
          <x:t xml:space="preserve">Протокол приемочные испытания/ОТК 8592</x:t>
        </x:is>
      </x:c>
    </x:row>
    <x:row r="77" ht="18" customHeight="1">
      <x:c r="A77" s="31" t="inlineStr">
        <x:is>
          <x:t xml:space="preserve">ОТК-00076</x:t>
        </x:is>
      </x:c>
      <x:c r="B77" s="31" t="inlineStr">
        <x:is>
          <x:t xml:space="preserve">ПЗ-00115</x:t>
        </x:is>
      </x:c>
      <x:c r="C77" s="31" t="inlineStr">
        <x:is>
          <x:t xml:space="preserve">ЗК-1056</x:t>
        </x:is>
      </x:c>
      <x:c r="D77" s="31" t="inlineStr">
        <x:is>
          <x:t xml:space="preserve">ИЗД-038</x:t>
        </x:is>
      </x:c>
      <x:c r="E77" s="31" t="n">
        <x:v>46131</x:v>
      </x:c>
      <x:c r="F77" s="31" t="inlineStr">
        <x:is>
          <x:t xml:space="preserve">СОТР-099</x:t>
        </x:is>
      </x:c>
      <x:c r="G77" s="31" t="n">
        <x:v>8</x:v>
      </x:c>
      <x:c r="H77" s="31" t="n">
        <x:v>0</x:v>
      </x:c>
      <x:c r="I77" s="31" t="inlineStr">
        <x:is>
          <x:t xml:space="preserve">Покрытие</x:t>
        </x:is>
      </x:c>
      <x:c r="J77" s="31" t="inlineStr">
        <x:is>
          <x:t xml:space="preserve">Нет</x:t>
        </x:is>
      </x:c>
      <x:c r="K77" s="31" t="inlineStr">
        <x:is>
          <x:t xml:space="preserve">Принято</x:t>
        </x:is>
      </x:c>
      <x:c r="L77" s="31" t="inlineStr">
        <x:is>
          <x:t xml:space="preserve">Нет</x:t>
        </x:is>
      </x:c>
      <x:c r="M77" s="31" t="inlineStr">
        <x:is>
          <x:t xml:space="preserve">Не требуется</x:t>
        </x:is>
      </x:c>
      <x:c r="N77" s="31" t="inlineStr">
        <x:is>
          <x:t xml:space="preserve">Протокол приемочные испытания/ОТК 9195</x:t>
        </x:is>
      </x:c>
    </x:row>
    <x:row r="78" ht="18" customHeight="1">
      <x:c r="A78" s="31" t="inlineStr">
        <x:is>
          <x:t xml:space="preserve">ОТК-00077</x:t>
        </x:is>
      </x:c>
      <x:c r="B78" s="31" t="inlineStr">
        <x:is>
          <x:t xml:space="preserve">ПЗ-00119</x:t>
        </x:is>
      </x:c>
      <x:c r="C78" s="31" t="inlineStr">
        <x:is>
          <x:t xml:space="preserve">ЗК-1057</x:t>
        </x:is>
      </x:c>
      <x:c r="D78" s="31" t="inlineStr">
        <x:is>
          <x:t xml:space="preserve">ИЗД-041</x:t>
        </x:is>
      </x:c>
      <x:c r="E78" s="31" t="n">
        <x:v>46169</x:v>
      </x:c>
      <x:c r="F78" s="31" t="inlineStr">
        <x:is>
          <x:t xml:space="preserve">СОТР-099</x:t>
        </x:is>
      </x:c>
      <x:c r="G78" s="31" t="n">
        <x:v>4</x:v>
      </x:c>
      <x:c r="H78" s="31" t="n">
        <x:v>0</x:v>
      </x:c>
      <x:c r="I78" s="31" t="inlineStr">
        <x:is>
          <x:t xml:space="preserve">Геометрия</x:t>
        </x:is>
      </x:c>
      <x:c r="J78" s="31" t="inlineStr">
        <x:is>
          <x:t xml:space="preserve">Нет</x:t>
        </x:is>
      </x:c>
      <x:c r="K78" s="31" t="inlineStr">
        <x:is>
          <x:t xml:space="preserve">Принято</x:t>
        </x:is>
      </x:c>
      <x:c r="L78" s="31" t="inlineStr">
        <x:is>
          <x:t xml:space="preserve">Нет</x:t>
        </x:is>
      </x:c>
      <x:c r="M78" s="31" t="inlineStr">
        <x:is>
          <x:t xml:space="preserve">Не требуется</x:t>
        </x:is>
      </x:c>
      <x:c r="N78" s="31" t="inlineStr">
        <x:is>
          <x:t xml:space="preserve">Протокол приемочные испытания/ОТК 9311</x:t>
        </x:is>
      </x:c>
    </x:row>
    <x:row r="79" ht="18" customHeight="1">
      <x:c r="A79" s="31" t="inlineStr">
        <x:is>
          <x:t xml:space="preserve">ОТК-00078</x:t>
        </x:is>
      </x:c>
      <x:c r="B79" s="31" t="inlineStr">
        <x:is>
          <x:t xml:space="preserve">ПЗ-00120</x:t>
        </x:is>
      </x:c>
      <x:c r="C79" s="31" t="inlineStr">
        <x:is>
          <x:t xml:space="preserve">ЗК-1057</x:t>
        </x:is>
      </x:c>
      <x:c r="D79" s="31" t="inlineStr">
        <x:is>
          <x:t xml:space="preserve">ИЗД-018</x:t>
        </x:is>
      </x:c>
      <x:c r="E79" s="31" t="n">
        <x:v>46164</x:v>
      </x:c>
      <x:c r="F79" s="31" t="inlineStr">
        <x:is>
          <x:t xml:space="preserve">СОТР-063</x:t>
        </x:is>
      </x:c>
      <x:c r="G79" s="31" t="n">
        <x:v>6</x:v>
      </x:c>
      <x:c r="H79" s="31" t="n">
        <x:v>2</x:v>
      </x:c>
      <x:c r="I79" s="31" t="inlineStr">
        <x:is>
          <x:t xml:space="preserve">Электрика</x:t>
        </x:is>
      </x:c>
      <x:c r="J79" s="31" t="inlineStr">
        <x:is>
          <x:t xml:space="preserve">Незначительный</x:t>
        </x:is>
      </x:c>
      <x:c r="K79" s="31" t="inlineStr">
        <x:is>
          <x:t xml:space="preserve">Доработка</x:t>
        </x:is>
      </x:c>
      <x:c r="L79" s="31" t="inlineStr">
        <x:is>
          <x:t xml:space="preserve">Да</x:t>
        </x:is>
      </x:c>
      <x:c r="M79" s="31" t="inlineStr">
        <x:is>
          <x:t xml:space="preserve">Открыта</x:t>
        </x:is>
      </x:c>
      <x:c r="N79" s="31" t="inlineStr">
        <x:is>
          <x:t xml:space="preserve">Протокол приемочные испытания/ОТК 7097</x:t>
        </x:is>
      </x:c>
    </x:row>
    <x:row r="80" ht="18" customHeight="1">
      <x:c r="A80" s="31" t="inlineStr">
        <x:is>
          <x:t xml:space="preserve">ОТК-00079</x:t>
        </x:is>
      </x:c>
      <x:c r="B80" s="31" t="inlineStr">
        <x:is>
          <x:t xml:space="preserve">ПЗ-00121</x:t>
        </x:is>
      </x:c>
      <x:c r="C80" s="31" t="inlineStr">
        <x:is>
          <x:t xml:space="preserve">ЗК-1059</x:t>
        </x:is>
      </x:c>
      <x:c r="D80" s="31" t="inlineStr">
        <x:is>
          <x:t xml:space="preserve">ИЗД-009</x:t>
        </x:is>
      </x:c>
      <x:c r="E80" s="31" t="n">
        <x:v>46247</x:v>
      </x:c>
      <x:c r="F80" s="31" t="inlineStr">
        <x:is>
          <x:t xml:space="preserve">СОТР-063</x:t>
        </x:is>
      </x:c>
      <x:c r="G80" s="31" t="n">
        <x:v>4</x:v>
      </x:c>
      <x:c r="H80" s="31" t="n">
        <x:v>0</x:v>
      </x:c>
      <x:c r="I80" s="31" t="inlineStr">
        <x:is>
          <x:t xml:space="preserve">Геометрия</x:t>
        </x:is>
      </x:c>
      <x:c r="J80" s="31" t="inlineStr">
        <x:is>
          <x:t xml:space="preserve">Нет</x:t>
        </x:is>
      </x:c>
      <x:c r="K80" s="31" t="inlineStr">
        <x:is>
          <x:t xml:space="preserve">Принято</x:t>
        </x:is>
      </x:c>
      <x:c r="L80" s="31" t="inlineStr">
        <x:is>
          <x:t xml:space="preserve">Нет</x:t>
        </x:is>
      </x:c>
      <x:c r="M80" s="31" t="inlineStr">
        <x:is>
          <x:t xml:space="preserve">Не требуется</x:t>
        </x:is>
      </x:c>
      <x:c r="N80" s="31" t="inlineStr">
        <x:is>
          <x:t xml:space="preserve">Протокол приемочные испытания/ОТК 1982</x:t>
        </x:is>
      </x:c>
    </x:row>
    <x:row r="81" ht="18" customHeight="1">
      <x:c r="A81" s="31" t="inlineStr">
        <x:is>
          <x:t xml:space="preserve">ОТК-00080</x:t>
        </x:is>
      </x:c>
      <x:c r="B81" s="31" t="inlineStr">
        <x:is>
          <x:t xml:space="preserve">ПЗ-00122</x:t>
        </x:is>
      </x:c>
      <x:c r="C81" s="31" t="inlineStr">
        <x:is>
          <x:t xml:space="preserve">ЗК-1059</x:t>
        </x:is>
      </x:c>
      <x:c r="D81" s="31" t="inlineStr">
        <x:is>
          <x:t xml:space="preserve">ИЗД-006</x:t>
        </x:is>
      </x:c>
      <x:c r="E81" s="31" t="n">
        <x:v>46250</x:v>
      </x:c>
      <x:c r="F81" s="31" t="inlineStr">
        <x:is>
          <x:t xml:space="preserve">СОТР-093</x:t>
        </x:is>
      </x:c>
      <x:c r="G81" s="31" t="n">
        <x:v>8</x:v>
      </x:c>
      <x:c r="H81" s="31" t="n">
        <x:v>0</x:v>
      </x:c>
      <x:c r="I81" s="31" t="inlineStr">
        <x:is>
          <x:t xml:space="preserve">Комплектность</x:t>
        </x:is>
      </x:c>
      <x:c r="J81" s="31" t="inlineStr">
        <x:is>
          <x:t xml:space="preserve">Нет</x:t>
        </x:is>
      </x:c>
      <x:c r="K81" s="31" t="inlineStr">
        <x:is>
          <x:t xml:space="preserve">Принято</x:t>
        </x:is>
      </x:c>
      <x:c r="L81" s="31" t="inlineStr">
        <x:is>
          <x:t xml:space="preserve">Нет</x:t>
        </x:is>
      </x:c>
      <x:c r="M81" s="31" t="inlineStr">
        <x:is>
          <x:t xml:space="preserve">Не требуется</x:t>
        </x:is>
      </x:c>
      <x:c r="N81" s="31" t="inlineStr">
        <x:is>
          <x:t xml:space="preserve">Протокол приемочные испытания/ОТК 9429</x:t>
        </x:is>
      </x:c>
    </x:row>
    <x:row r="82" ht="18" customHeight="1">
      <x:c r="A82" s="31" t="inlineStr">
        <x:is>
          <x:t xml:space="preserve">ОТК-00081</x:t>
        </x:is>
      </x:c>
      <x:c r="B82" s="31" t="inlineStr">
        <x:is>
          <x:t xml:space="preserve">ПЗ-00123</x:t>
        </x:is>
      </x:c>
      <x:c r="C82" s="31" t="inlineStr">
        <x:is>
          <x:t xml:space="preserve">ЗК-1060</x:t>
        </x:is>
      </x:c>
      <x:c r="D82" s="31" t="inlineStr">
        <x:is>
          <x:t xml:space="preserve">ИЗД-039</x:t>
        </x:is>
      </x:c>
      <x:c r="E82" s="31" t="n">
        <x:v>46244</x:v>
      </x:c>
      <x:c r="F82" s="31" t="inlineStr">
        <x:is>
          <x:t xml:space="preserve">СОТР-099</x:t>
        </x:is>
      </x:c>
      <x:c r="G82" s="31" t="n">
        <x:v>8</x:v>
      </x:c>
      <x:c r="H82" s="31" t="n">
        <x:v>2</x:v>
      </x:c>
      <x:c r="I82" s="31" t="inlineStr">
        <x:is>
          <x:t xml:space="preserve">Комплектность</x:t>
        </x:is>
      </x:c>
      <x:c r="J82" s="31" t="inlineStr">
        <x:is>
          <x:t xml:space="preserve">Существенный</x:t>
        </x:is>
      </x:c>
      <x:c r="K82" s="31" t="inlineStr">
        <x:is>
          <x:t xml:space="preserve">Доработка</x:t>
        </x:is>
      </x:c>
      <x:c r="L82" s="31" t="inlineStr">
        <x:is>
          <x:t xml:space="preserve">Да</x:t>
        </x:is>
      </x:c>
      <x:c r="M82" s="31" t="inlineStr">
        <x:is>
          <x:t xml:space="preserve">В работе</x:t>
        </x:is>
      </x:c>
      <x:c r="N82" s="31" t="inlineStr">
        <x:is>
          <x:t xml:space="preserve">Протокол приемочные испытания/ОТК 7056</x:t>
        </x:is>
      </x:c>
    </x:row>
    <x:row r="83" ht="18" customHeight="1">
      <x:c r="A83" s="31" t="inlineStr">
        <x:is>
          <x:t xml:space="preserve">ОТК-00082</x:t>
        </x:is>
      </x:c>
      <x:c r="B83" s="31" t="inlineStr">
        <x:is>
          <x:t xml:space="preserve">ПЗ-00124</x:t>
        </x:is>
      </x:c>
      <x:c r="C83" s="31" t="inlineStr">
        <x:is>
          <x:t xml:space="preserve">ЗК-1060</x:t>
        </x:is>
      </x:c>
      <x:c r="D83" s="31" t="inlineStr">
        <x:is>
          <x:t xml:space="preserve">ИЗД-013</x:t>
        </x:is>
      </x:c>
      <x:c r="E83" s="31" t="n">
        <x:v>46245</x:v>
      </x:c>
      <x:c r="F83" s="31" t="inlineStr">
        <x:is>
          <x:t xml:space="preserve">СОТР-099</x:t>
        </x:is>
      </x:c>
      <x:c r="G83" s="31" t="n">
        <x:v>7</x:v>
      </x:c>
      <x:c r="H83" s="31" t="n">
        <x:v>0</x:v>
      </x:c>
      <x:c r="I83" s="31" t="inlineStr">
        <x:is>
          <x:t xml:space="preserve">Герметичность</x:t>
        </x:is>
      </x:c>
      <x:c r="J83" s="31" t="inlineStr">
        <x:is>
          <x:t xml:space="preserve">Нет</x:t>
        </x:is>
      </x:c>
      <x:c r="K83" s="31" t="inlineStr">
        <x:is>
          <x:t xml:space="preserve">Принято</x:t>
        </x:is>
      </x:c>
      <x:c r="L83" s="31" t="inlineStr">
        <x:is>
          <x:t xml:space="preserve">Нет</x:t>
        </x:is>
      </x:c>
      <x:c r="M83" s="31" t="inlineStr">
        <x:is>
          <x:t xml:space="preserve">Не требуется</x:t>
        </x:is>
      </x:c>
      <x:c r="N83" s="31" t="inlineStr">
        <x:is>
          <x:t xml:space="preserve">Протокол приемочные испытания/ОТК 6063</x:t>
        </x:is>
      </x:c>
    </x:row>
    <x:row r="84" ht="18" customHeight="1">
      <x:c r="A84" s="31" t="inlineStr">
        <x:is>
          <x:t xml:space="preserve">ОТК-00083</x:t>
        </x:is>
      </x:c>
      <x:c r="B84" s="31" t="inlineStr">
        <x:is>
          <x:t xml:space="preserve">ПЗ-00125</x:t>
        </x:is>
      </x:c>
      <x:c r="C84" s="31" t="inlineStr">
        <x:is>
          <x:t xml:space="preserve">ЗК-1060</x:t>
        </x:is>
      </x:c>
      <x:c r="D84" s="31" t="inlineStr">
        <x:is>
          <x:t xml:space="preserve">ИЗД-045</x:t>
        </x:is>
      </x:c>
      <x:c r="E84" s="31" t="n">
        <x:v>46245</x:v>
      </x:c>
      <x:c r="F84" s="31" t="inlineStr">
        <x:is>
          <x:t xml:space="preserve">СОТР-098</x:t>
        </x:is>
      </x:c>
      <x:c r="G84" s="31" t="n">
        <x:v>6</x:v>
      </x:c>
      <x:c r="H84" s="31" t="n">
        <x:v>1</x:v>
      </x:c>
      <x:c r="I84" s="31" t="inlineStr">
        <x:is>
          <x:t xml:space="preserve">Электрика</x:t>
        </x:is>
      </x:c>
      <x:c r="J84" s="31" t="inlineStr">
        <x:is>
          <x:t xml:space="preserve">Незначительный</x:t>
        </x:is>
      </x:c>
      <x:c r="K84" s="31" t="inlineStr">
        <x:is>
          <x:t xml:space="preserve">Принято с замечаниями</x:t>
        </x:is>
      </x:c>
      <x:c r="L84" s="31" t="inlineStr">
        <x:is>
          <x:t xml:space="preserve">Нет</x:t>
        </x:is>
      </x:c>
      <x:c r="M84" s="31" t="inlineStr">
        <x:is>
          <x:t xml:space="preserve">Открыта</x:t>
        </x:is>
      </x:c>
      <x:c r="N84" s="31" t="inlineStr">
        <x:is>
          <x:t xml:space="preserve">Протокол приемочные испытания/ОТК 5702</x:t>
        </x:is>
      </x:c>
    </x:row>
    <x:row r="85" ht="18" customHeight="1">
      <x:c r="A85" s="31" t="inlineStr">
        <x:is>
          <x:t xml:space="preserve">ОТК-00084</x:t>
        </x:is>
      </x:c>
      <x:c r="B85" s="31" t="inlineStr">
        <x:is>
          <x:t xml:space="preserve">ПЗ-00126</x:t>
        </x:is>
      </x:c>
      <x:c r="C85" s="31" t="inlineStr">
        <x:is>
          <x:t xml:space="preserve">ЗК-1061</x:t>
        </x:is>
      </x:c>
      <x:c r="D85" s="31" t="inlineStr">
        <x:is>
          <x:t xml:space="preserve">ИЗД-018</x:t>
        </x:is>
      </x:c>
      <x:c r="E85" s="31" t="n">
        <x:v>46204</x:v>
      </x:c>
      <x:c r="F85" s="31" t="inlineStr">
        <x:is>
          <x:t xml:space="preserve">СОТР-098</x:t>
        </x:is>
      </x:c>
      <x:c r="G85" s="31" t="n">
        <x:v>6</x:v>
      </x:c>
      <x:c r="H85" s="31" t="n">
        <x:v>0</x:v>
      </x:c>
      <x:c r="I85" s="31" t="inlineStr">
        <x:is>
          <x:t xml:space="preserve">Маркировка</x:t>
        </x:is>
      </x:c>
      <x:c r="J85" s="31" t="inlineStr">
        <x:is>
          <x:t xml:space="preserve">Нет</x:t>
        </x:is>
      </x:c>
      <x:c r="K85" s="31" t="inlineStr">
        <x:is>
          <x:t xml:space="preserve">Принято</x:t>
        </x:is>
      </x:c>
      <x:c r="L85" s="31" t="inlineStr">
        <x:is>
          <x:t xml:space="preserve">Нет</x:t>
        </x:is>
      </x:c>
      <x:c r="M85" s="31" t="inlineStr">
        <x:is>
          <x:t xml:space="preserve">Не требуется</x:t>
        </x:is>
      </x:c>
      <x:c r="N85" s="31" t="inlineStr">
        <x:is>
          <x:t xml:space="preserve">Протокол приемочные испытания/ОТК 2065</x:t>
        </x:is>
      </x:c>
    </x:row>
    <x:row r="86" ht="18" customHeight="1">
      <x:c r="A86" s="31" t="inlineStr">
        <x:is>
          <x:t xml:space="preserve">ОТК-00085</x:t>
        </x:is>
      </x:c>
      <x:c r="B86" s="31" t="inlineStr">
        <x:is>
          <x:t xml:space="preserve">ПЗ-00127</x:t>
        </x:is>
      </x:c>
      <x:c r="C86" s="31" t="inlineStr">
        <x:is>
          <x:t xml:space="preserve">ЗК-1061</x:t>
        </x:is>
      </x:c>
      <x:c r="D86" s="31" t="inlineStr">
        <x:is>
          <x:t xml:space="preserve">ИЗД-013</x:t>
        </x:is>
      </x:c>
      <x:c r="E86" s="31" t="n">
        <x:v>46197</x:v>
      </x:c>
      <x:c r="F86" s="31" t="inlineStr">
        <x:is>
          <x:t xml:space="preserve">СОТР-098</x:t>
        </x:is>
      </x:c>
      <x:c r="G86" s="31" t="n">
        <x:v>5</x:v>
      </x:c>
      <x:c r="H86" s="31" t="n">
        <x:v>0</x:v>
      </x:c>
      <x:c r="I86" s="31" t="inlineStr">
        <x:is>
          <x:t xml:space="preserve">Электрика</x:t>
        </x:is>
      </x:c>
      <x:c r="J86" s="31" t="inlineStr">
        <x:is>
          <x:t xml:space="preserve">Нет</x:t>
        </x:is>
      </x:c>
      <x:c r="K86" s="31" t="inlineStr">
        <x:is>
          <x:t xml:space="preserve">Принято</x:t>
        </x:is>
      </x:c>
      <x:c r="L86" s="31" t="inlineStr">
        <x:is>
          <x:t xml:space="preserve">Нет</x:t>
        </x:is>
      </x:c>
      <x:c r="M86" s="31" t="inlineStr">
        <x:is>
          <x:t xml:space="preserve">Не требуется</x:t>
        </x:is>
      </x:c>
      <x:c r="N86" s="31" t="inlineStr">
        <x:is>
          <x:t xml:space="preserve">Протокол приемочные испытания/ОТК 6454</x:t>
        </x:is>
      </x:c>
    </x:row>
    <x:row r="87" ht="18" customHeight="1">
      <x:c r="A87" s="31" t="inlineStr">
        <x:is>
          <x:t xml:space="preserve">ОТК-00086</x:t>
        </x:is>
      </x:c>
      <x:c r="B87" s="31" t="inlineStr">
        <x:is>
          <x:t xml:space="preserve">ПЗ-00130</x:t>
        </x:is>
      </x:c>
      <x:c r="C87" s="31" t="inlineStr">
        <x:is>
          <x:t xml:space="preserve">ЗК-1063</x:t>
        </x:is>
      </x:c>
      <x:c r="D87" s="31" t="inlineStr">
        <x:is>
          <x:t xml:space="preserve">ИЗД-033</x:t>
        </x:is>
      </x:c>
      <x:c r="E87" s="31" t="n">
        <x:v>46240</x:v>
      </x:c>
      <x:c r="F87" s="31" t="inlineStr">
        <x:is>
          <x:t xml:space="preserve">СОТР-099</x:t>
        </x:is>
      </x:c>
      <x:c r="G87" s="31" t="n">
        <x:v>3</x:v>
      </x:c>
      <x:c r="H87" s="31" t="n">
        <x:v>0</x:v>
      </x:c>
      <x:c r="I87" s="31" t="inlineStr">
        <x:is>
          <x:t xml:space="preserve">Электрика</x:t>
        </x:is>
      </x:c>
      <x:c r="J87" s="31" t="inlineStr">
        <x:is>
          <x:t xml:space="preserve">Нет</x:t>
        </x:is>
      </x:c>
      <x:c r="K87" s="31" t="inlineStr">
        <x:is>
          <x:t xml:space="preserve">Принято</x:t>
        </x:is>
      </x:c>
      <x:c r="L87" s="31" t="inlineStr">
        <x:is>
          <x:t xml:space="preserve">Нет</x:t>
        </x:is>
      </x:c>
      <x:c r="M87" s="31" t="inlineStr">
        <x:is>
          <x:t xml:space="preserve">Не требуется</x:t>
        </x:is>
      </x:c>
      <x:c r="N87" s="31" t="inlineStr">
        <x:is>
          <x:t xml:space="preserve">Протокол приемочные испытания/ОТК 6137</x:t>
        </x:is>
      </x:c>
    </x:row>
    <x:row r="88" ht="18" customHeight="1">
      <x:c r="A88" s="31" t="inlineStr">
        <x:is>
          <x:t xml:space="preserve">ОТК-00087</x:t>
        </x:is>
      </x:c>
      <x:c r="B88" s="31" t="inlineStr">
        <x:is>
          <x:t xml:space="preserve">ПЗ-00131</x:t>
        </x:is>
      </x:c>
      <x:c r="C88" s="31" t="inlineStr">
        <x:is>
          <x:t xml:space="preserve">ЗК-1063</x:t>
        </x:is>
      </x:c>
      <x:c r="D88" s="31" t="inlineStr">
        <x:is>
          <x:t xml:space="preserve">ИЗД-007</x:t>
        </x:is>
      </x:c>
      <x:c r="E88" s="31" t="n">
        <x:v>46243</x:v>
      </x:c>
      <x:c r="F88" s="31" t="inlineStr">
        <x:is>
          <x:t xml:space="preserve">СОТР-099</x:t>
        </x:is>
      </x:c>
      <x:c r="G88" s="31" t="n">
        <x:v>3</x:v>
      </x:c>
      <x:c r="H88" s="31" t="n">
        <x:v>2</x:v>
      </x:c>
      <x:c r="I88" s="31" t="inlineStr">
        <x:is>
          <x:t xml:space="preserve">Покрытие</x:t>
        </x:is>
      </x:c>
      <x:c r="J88" s="31" t="inlineStr">
        <x:is>
          <x:t xml:space="preserve">Существенный</x:t>
        </x:is>
      </x:c>
      <x:c r="K88" s="31" t="inlineStr">
        <x:is>
          <x:t xml:space="preserve">Принято с замечаниями</x:t>
        </x:is>
      </x:c>
      <x:c r="L88" s="31" t="inlineStr">
        <x:is>
          <x:t xml:space="preserve">Нет</x:t>
        </x:is>
      </x:c>
      <x:c r="M88" s="31" t="inlineStr">
        <x:is>
          <x:t xml:space="preserve">В работе</x:t>
        </x:is>
      </x:c>
      <x:c r="N88" s="31" t="inlineStr">
        <x:is>
          <x:t xml:space="preserve">Протокол приемочные испытания/ОТК 7334</x:t>
        </x:is>
      </x:c>
    </x:row>
    <x:row r="89" ht="18" customHeight="1">
      <x:c r="A89" s="31" t="inlineStr">
        <x:is>
          <x:t xml:space="preserve">ОТК-00088</x:t>
        </x:is>
      </x:c>
      <x:c r="B89" s="31" t="inlineStr">
        <x:is>
          <x:t xml:space="preserve">ПЗ-00133</x:t>
        </x:is>
      </x:c>
      <x:c r="C89" s="31" t="inlineStr">
        <x:is>
          <x:t xml:space="preserve">ЗК-1064</x:t>
        </x:is>
      </x:c>
      <x:c r="D89" s="31" t="inlineStr">
        <x:is>
          <x:t xml:space="preserve">ИЗД-006</x:t>
        </x:is>
      </x:c>
      <x:c r="E89" s="31" t="n">
        <x:v>46104</x:v>
      </x:c>
      <x:c r="F89" s="31" t="inlineStr">
        <x:is>
          <x:t xml:space="preserve">СОТР-098</x:t>
        </x:is>
      </x:c>
      <x:c r="G89" s="31" t="n">
        <x:v>5</x:v>
      </x:c>
      <x:c r="H89" s="31" t="n">
        <x:v>1</x:v>
      </x:c>
      <x:c r="I89" s="31" t="inlineStr">
        <x:is>
          <x:t xml:space="preserve">Комплектность</x:t>
        </x:is>
      </x:c>
      <x:c r="J89" s="31" t="inlineStr">
        <x:is>
          <x:t xml:space="preserve">Существенный</x:t>
        </x:is>
      </x:c>
      <x:c r="K89" s="31" t="inlineStr">
        <x:is>
          <x:t xml:space="preserve">Блокировка отгрузки</x:t>
        </x:is>
      </x:c>
      <x:c r="L89" s="31" t="inlineStr">
        <x:is>
          <x:t xml:space="preserve">Да</x:t>
        </x:is>
      </x:c>
      <x:c r="M89" s="31" t="inlineStr">
        <x:is>
          <x:t xml:space="preserve">Закрыта</x:t>
        </x:is>
      </x:c>
      <x:c r="N89" s="31" t="inlineStr">
        <x:is>
          <x:t xml:space="preserve">Протокол приемочные испытания/ОТК 1206</x:t>
        </x:is>
      </x:c>
    </x:row>
    <x:row r="90" ht="18" customHeight="1">
      <x:c r="A90" s="31" t="inlineStr">
        <x:is>
          <x:t xml:space="preserve">ОТК-00089</x:t>
        </x:is>
      </x:c>
      <x:c r="B90" s="31" t="inlineStr">
        <x:is>
          <x:t xml:space="preserve">ПЗ-00134</x:t>
        </x:is>
      </x:c>
      <x:c r="C90" s="31" t="inlineStr">
        <x:is>
          <x:t xml:space="preserve">ЗК-1065</x:t>
        </x:is>
      </x:c>
      <x:c r="D90" s="31" t="inlineStr">
        <x:is>
          <x:t xml:space="preserve">ИЗД-016</x:t>
        </x:is>
      </x:c>
      <x:c r="E90" s="31" t="n">
        <x:v>46169</x:v>
      </x:c>
      <x:c r="F90" s="31" t="inlineStr">
        <x:is>
          <x:t xml:space="preserve">СОТР-095</x:t>
        </x:is>
      </x:c>
      <x:c r="G90" s="31" t="n">
        <x:v>3</x:v>
      </x:c>
      <x:c r="H90" s="31" t="n">
        <x:v>1</x:v>
      </x:c>
      <x:c r="I90" s="31" t="inlineStr">
        <x:is>
          <x:t xml:space="preserve">Электрика</x:t>
        </x:is>
      </x:c>
      <x:c r="J90" s="31" t="inlineStr">
        <x:is>
          <x:t xml:space="preserve">Существенный</x:t>
        </x:is>
      </x:c>
      <x:c r="K90" s="31" t="inlineStr">
        <x:is>
          <x:t xml:space="preserve">Доработка</x:t>
        </x:is>
      </x:c>
      <x:c r="L90" s="31" t="inlineStr">
        <x:is>
          <x:t xml:space="preserve">Да</x:t>
        </x:is>
      </x:c>
      <x:c r="M90" s="31" t="inlineStr">
        <x:is>
          <x:t xml:space="preserve">В работе</x:t>
        </x:is>
      </x:c>
      <x:c r="N90" s="31" t="inlineStr">
        <x:is>
          <x:t xml:space="preserve">Протокол приемочные испытания/ОТК 6157</x:t>
        </x:is>
      </x:c>
    </x:row>
    <x:row r="91" ht="18" customHeight="1">
      <x:c r="A91" s="31" t="inlineStr">
        <x:is>
          <x:t xml:space="preserve">ОТК-00090</x:t>
        </x:is>
      </x:c>
      <x:c r="B91" s="31" t="inlineStr">
        <x:is>
          <x:t xml:space="preserve">ПЗ-00135</x:t>
        </x:is>
      </x:c>
      <x:c r="C91" s="31" t="inlineStr">
        <x:is>
          <x:t xml:space="preserve">ЗК-1065</x:t>
        </x:is>
      </x:c>
      <x:c r="D91" s="31" t="inlineStr">
        <x:is>
          <x:t xml:space="preserve">ИЗД-024</x:t>
        </x:is>
      </x:c>
      <x:c r="E91" s="31" t="n">
        <x:v>46165</x:v>
      </x:c>
      <x:c r="F91" s="31" t="inlineStr">
        <x:is>
          <x:t xml:space="preserve">СОТР-098</x:t>
        </x:is>
      </x:c>
      <x:c r="G91" s="31" t="n">
        <x:v>4</x:v>
      </x:c>
      <x:c r="H91" s="31" t="n">
        <x:v>0</x:v>
      </x:c>
      <x:c r="I91" s="31" t="inlineStr">
        <x:is>
          <x:t xml:space="preserve">Маркировка</x:t>
        </x:is>
      </x:c>
      <x:c r="J91" s="31" t="inlineStr">
        <x:is>
          <x:t xml:space="preserve">Нет</x:t>
        </x:is>
      </x:c>
      <x:c r="K91" s="31" t="inlineStr">
        <x:is>
          <x:t xml:space="preserve">Принято</x:t>
        </x:is>
      </x:c>
      <x:c r="L91" s="31" t="inlineStr">
        <x:is>
          <x:t xml:space="preserve">Нет</x:t>
        </x:is>
      </x:c>
      <x:c r="M91" s="31" t="inlineStr">
        <x:is>
          <x:t xml:space="preserve">Не требуется</x:t>
        </x:is>
      </x:c>
      <x:c r="N91" s="31" t="inlineStr">
        <x:is>
          <x:t xml:space="preserve">Протокол приемочные испытания/ОТК 9451</x:t>
        </x:is>
      </x:c>
    </x:row>
    <x:row r="92" ht="18" customHeight="1">
      <x:c r="A92" s="31" t="inlineStr">
        <x:is>
          <x:t xml:space="preserve">ОТК-00091</x:t>
        </x:is>
      </x:c>
      <x:c r="B92" s="31" t="inlineStr">
        <x:is>
          <x:t xml:space="preserve">ПЗ-00136</x:t>
        </x:is>
      </x:c>
      <x:c r="C92" s="31" t="inlineStr">
        <x:is>
          <x:t xml:space="preserve">ЗК-1066</x:t>
        </x:is>
      </x:c>
      <x:c r="D92" s="31" t="inlineStr">
        <x:is>
          <x:t xml:space="preserve">ИЗД-001</x:t>
        </x:is>
      </x:c>
      <x:c r="E92" s="31" t="n">
        <x:v>46160</x:v>
      </x:c>
      <x:c r="F92" s="31" t="inlineStr">
        <x:is>
          <x:t xml:space="preserve">СОТР-093</x:t>
        </x:is>
      </x:c>
      <x:c r="G92" s="31" t="n">
        <x:v>5</x:v>
      </x:c>
      <x:c r="H92" s="31" t="n">
        <x:v>1</x:v>
      </x:c>
      <x:c r="I92" s="31" t="inlineStr">
        <x:is>
          <x:t xml:space="preserve">Герметичность</x:t>
        </x:is>
      </x:c>
      <x:c r="J92" s="31" t="inlineStr">
        <x:is>
          <x:t xml:space="preserve">Незначительный</x:t>
        </x:is>
      </x:c>
      <x:c r="K92" s="31" t="inlineStr">
        <x:is>
          <x:t xml:space="preserve">Доработка</x:t>
        </x:is>
      </x:c>
      <x:c r="L92" s="31" t="inlineStr">
        <x:is>
          <x:t xml:space="preserve">Да</x:t>
        </x:is>
      </x:c>
      <x:c r="M92" s="31" t="inlineStr">
        <x:is>
          <x:t xml:space="preserve">В работе</x:t>
        </x:is>
      </x:c>
      <x:c r="N92" s="31" t="inlineStr">
        <x:is>
          <x:t xml:space="preserve">Протокол приемочные испытания/ОТК 5351</x:t>
        </x:is>
      </x:c>
    </x:row>
    <x:row r="93" ht="18" customHeight="1">
      <x:c r="A93" s="31" t="inlineStr">
        <x:is>
          <x:t xml:space="preserve">ОТК-00092</x:t>
        </x:is>
      </x:c>
      <x:c r="B93" s="31" t="inlineStr">
        <x:is>
          <x:t xml:space="preserve">ПЗ-00137</x:t>
        </x:is>
      </x:c>
      <x:c r="C93" s="31" t="inlineStr">
        <x:is>
          <x:t xml:space="preserve">ЗК-1066</x:t>
        </x:is>
      </x:c>
      <x:c r="D93" s="31" t="inlineStr">
        <x:is>
          <x:t xml:space="preserve">ИЗД-011</x:t>
        </x:is>
      </x:c>
      <x:c r="E93" s="31" t="n">
        <x:v>46159</x:v>
      </x:c>
      <x:c r="F93" s="31" t="inlineStr">
        <x:is>
          <x:t xml:space="preserve">СОТР-097</x:t>
        </x:is>
      </x:c>
      <x:c r="G93" s="31" t="n">
        <x:v>5</x:v>
      </x:c>
      <x:c r="H93" s="31" t="n">
        <x:v>0</x:v>
      </x:c>
      <x:c r="I93" s="31" t="inlineStr">
        <x:is>
          <x:t xml:space="preserve">Электрика</x:t>
        </x:is>
      </x:c>
      <x:c r="J93" s="31" t="inlineStr">
        <x:is>
          <x:t xml:space="preserve">Нет</x:t>
        </x:is>
      </x:c>
      <x:c r="K93" s="31" t="inlineStr">
        <x:is>
          <x:t xml:space="preserve">Принято</x:t>
        </x:is>
      </x:c>
      <x:c r="L93" s="31" t="inlineStr">
        <x:is>
          <x:t xml:space="preserve">Нет</x:t>
        </x:is>
      </x:c>
      <x:c r="M93" s="31" t="inlineStr">
        <x:is>
          <x:t xml:space="preserve">Не требуется</x:t>
        </x:is>
      </x:c>
      <x:c r="N93" s="31" t="inlineStr">
        <x:is>
          <x:t xml:space="preserve">Протокол приемочные испытания/ОТК 8424</x:t>
        </x:is>
      </x:c>
    </x:row>
    <x:row r="94" ht="18" customHeight="1">
      <x:c r="A94" s="31" t="inlineStr">
        <x:is>
          <x:t xml:space="preserve">ОТК-00093</x:t>
        </x:is>
      </x:c>
      <x:c r="B94" s="31" t="inlineStr">
        <x:is>
          <x:t xml:space="preserve">ПЗ-00138</x:t>
        </x:is>
      </x:c>
      <x:c r="C94" s="31" t="inlineStr">
        <x:is>
          <x:t xml:space="preserve">ЗК-1066</x:t>
        </x:is>
      </x:c>
      <x:c r="D94" s="31" t="inlineStr">
        <x:is>
          <x:t xml:space="preserve">ИЗД-021</x:t>
        </x:is>
      </x:c>
      <x:c r="E94" s="31" t="n">
        <x:v>46158</x:v>
      </x:c>
      <x:c r="F94" s="31" t="inlineStr">
        <x:is>
          <x:t xml:space="preserve">СОТР-099</x:t>
        </x:is>
      </x:c>
      <x:c r="G94" s="31" t="n">
        <x:v>8</x:v>
      </x:c>
      <x:c r="H94" s="31" t="n">
        <x:v>0</x:v>
      </x:c>
      <x:c r="I94" s="31" t="inlineStr">
        <x:is>
          <x:t xml:space="preserve">Покрытие</x:t>
        </x:is>
      </x:c>
      <x:c r="J94" s="31" t="inlineStr">
        <x:is>
          <x:t xml:space="preserve">Нет</x:t>
        </x:is>
      </x:c>
      <x:c r="K94" s="31" t="inlineStr">
        <x:is>
          <x:t xml:space="preserve">Принято</x:t>
        </x:is>
      </x:c>
      <x:c r="L94" s="31" t="inlineStr">
        <x:is>
          <x:t xml:space="preserve">Нет</x:t>
        </x:is>
      </x:c>
      <x:c r="M94" s="31" t="inlineStr">
        <x:is>
          <x:t xml:space="preserve">Не требуется</x:t>
        </x:is>
      </x:c>
      <x:c r="N94" s="31" t="inlineStr">
        <x:is>
          <x:t xml:space="preserve">Протокол приемочные испытания/ОТК 7770</x:t>
        </x:is>
      </x:c>
    </x:row>
    <x:row r="95" ht="18" customHeight="1">
      <x:c r="A95" s="31" t="inlineStr">
        <x:is>
          <x:t xml:space="preserve">ОТК-00094</x:t>
        </x:is>
      </x:c>
      <x:c r="B95" s="31" t="inlineStr">
        <x:is>
          <x:t xml:space="preserve">ПЗ-00139</x:t>
        </x:is>
      </x:c>
      <x:c r="C95" s="31" t="inlineStr">
        <x:is>
          <x:t xml:space="preserve">ЗК-1066</x:t>
        </x:is>
      </x:c>
      <x:c r="D95" s="31" t="inlineStr">
        <x:is>
          <x:t xml:space="preserve">ИЗД-009</x:t>
        </x:is>
      </x:c>
      <x:c r="E95" s="31" t="n">
        <x:v>46156</x:v>
      </x:c>
      <x:c r="F95" s="31" t="inlineStr">
        <x:is>
          <x:t xml:space="preserve">СОТР-096</x:t>
        </x:is>
      </x:c>
      <x:c r="G95" s="31" t="n">
        <x:v>3</x:v>
      </x:c>
      <x:c r="H95" s="31" t="n">
        <x:v>0</x:v>
      </x:c>
      <x:c r="I95" s="31" t="inlineStr">
        <x:is>
          <x:t xml:space="preserve">Герметичность</x:t>
        </x:is>
      </x:c>
      <x:c r="J95" s="31" t="inlineStr">
        <x:is>
          <x:t xml:space="preserve">Нет</x:t>
        </x:is>
      </x:c>
      <x:c r="K95" s="31" t="inlineStr">
        <x:is>
          <x:t xml:space="preserve">Принято</x:t>
        </x:is>
      </x:c>
      <x:c r="L95" s="31" t="inlineStr">
        <x:is>
          <x:t xml:space="preserve">Нет</x:t>
        </x:is>
      </x:c>
      <x:c r="M95" s="31" t="inlineStr">
        <x:is>
          <x:t xml:space="preserve">Не требуется</x:t>
        </x:is>
      </x:c>
      <x:c r="N95" s="31" t="inlineStr">
        <x:is>
          <x:t xml:space="preserve">Протокол приемочные испытания/ОТК 8039</x:t>
        </x:is>
      </x:c>
    </x:row>
    <x:row r="96" ht="18" customHeight="1">
      <x:c r="A96" s="31" t="inlineStr">
        <x:is>
          <x:t xml:space="preserve">ОТК-00095</x:t>
        </x:is>
      </x:c>
      <x:c r="B96" s="31" t="inlineStr">
        <x:is>
          <x:t xml:space="preserve">ПЗ-00142</x:t>
        </x:is>
      </x:c>
      <x:c r="C96" s="31" t="inlineStr">
        <x:is>
          <x:t xml:space="preserve">ЗК-1067</x:t>
        </x:is>
      </x:c>
      <x:c r="D96" s="31" t="inlineStr">
        <x:is>
          <x:t xml:space="preserve">ИЗД-023</x:t>
        </x:is>
      </x:c>
      <x:c r="E96" s="31" t="n">
        <x:v>46218</x:v>
      </x:c>
      <x:c r="F96" s="31" t="inlineStr">
        <x:is>
          <x:t xml:space="preserve">СОТР-093</x:t>
        </x:is>
      </x:c>
      <x:c r="G96" s="31" t="n">
        <x:v>5</x:v>
      </x:c>
      <x:c r="H96" s="31" t="n">
        <x:v>0</x:v>
      </x:c>
      <x:c r="I96" s="31" t="inlineStr">
        <x:is>
          <x:t xml:space="preserve">Документация</x:t>
        </x:is>
      </x:c>
      <x:c r="J96" s="31" t="inlineStr">
        <x:is>
          <x:t xml:space="preserve">Нет</x:t>
        </x:is>
      </x:c>
      <x:c r="K96" s="31" t="inlineStr">
        <x:is>
          <x:t xml:space="preserve">Принято</x:t>
        </x:is>
      </x:c>
      <x:c r="L96" s="31" t="inlineStr">
        <x:is>
          <x:t xml:space="preserve">Нет</x:t>
        </x:is>
      </x:c>
      <x:c r="M96" s="31" t="inlineStr">
        <x:is>
          <x:t xml:space="preserve">Не требуется</x:t>
        </x:is>
      </x:c>
      <x:c r="N96" s="31" t="inlineStr">
        <x:is>
          <x:t xml:space="preserve">Протокол приемочные испытания/ОТК 1757</x:t>
        </x:is>
      </x:c>
    </x:row>
    <x:row r="97" ht="18" customHeight="1">
      <x:c r="A97" s="31" t="inlineStr">
        <x:is>
          <x:t xml:space="preserve">ОТК-00096</x:t>
        </x:is>
      </x:c>
      <x:c r="B97" s="31" t="inlineStr">
        <x:is>
          <x:t xml:space="preserve">ПЗ-00144</x:t>
        </x:is>
      </x:c>
      <x:c r="C97" s="31" t="inlineStr">
        <x:is>
          <x:t xml:space="preserve">ЗК-1068</x:t>
        </x:is>
      </x:c>
      <x:c r="D97" s="31" t="inlineStr">
        <x:is>
          <x:t xml:space="preserve">ИЗД-013</x:t>
        </x:is>
      </x:c>
      <x:c r="E97" s="31" t="n">
        <x:v>46068</x:v>
      </x:c>
      <x:c r="F97" s="31" t="inlineStr">
        <x:is>
          <x:t xml:space="preserve">СОТР-099</x:t>
        </x:is>
      </x:c>
      <x:c r="G97" s="31" t="n">
        <x:v>7</x:v>
      </x:c>
      <x:c r="H97" s="31" t="n">
        <x:v>0</x:v>
      </x:c>
      <x:c r="I97" s="31" t="inlineStr">
        <x:is>
          <x:t xml:space="preserve">Герметичность</x:t>
        </x:is>
      </x:c>
      <x:c r="J97" s="31" t="inlineStr">
        <x:is>
          <x:t xml:space="preserve">Нет</x:t>
        </x:is>
      </x:c>
      <x:c r="K97" s="31" t="inlineStr">
        <x:is>
          <x:t xml:space="preserve">Принято</x:t>
        </x:is>
      </x:c>
      <x:c r="L97" s="31" t="inlineStr">
        <x:is>
          <x:t xml:space="preserve">Нет</x:t>
        </x:is>
      </x:c>
      <x:c r="M97" s="31" t="inlineStr">
        <x:is>
          <x:t xml:space="preserve">Не требуется</x:t>
        </x:is>
      </x:c>
      <x:c r="N97" s="31" t="inlineStr">
        <x:is>
          <x:t xml:space="preserve">Протокол приемочные испытания/ОТК 3931</x:t>
        </x:is>
      </x:c>
    </x:row>
    <x:row r="98" ht="18" customHeight="1">
      <x:c r="A98" s="31" t="inlineStr">
        <x:is>
          <x:t xml:space="preserve">ОТК-00097</x:t>
        </x:is>
      </x:c>
      <x:c r="B98" s="31" t="inlineStr">
        <x:is>
          <x:t xml:space="preserve">ПЗ-00152</x:t>
        </x:is>
      </x:c>
      <x:c r="C98" s="31" t="inlineStr">
        <x:is>
          <x:t xml:space="preserve">ЗК-1073</x:t>
        </x:is>
      </x:c>
      <x:c r="D98" s="31" t="inlineStr">
        <x:is>
          <x:t xml:space="preserve">ИЗД-033</x:t>
        </x:is>
      </x:c>
      <x:c r="E98" s="31" t="n">
        <x:v>46205</x:v>
      </x:c>
      <x:c r="F98" s="31" t="inlineStr">
        <x:is>
          <x:t xml:space="preserve">СОТР-095</x:t>
        </x:is>
      </x:c>
      <x:c r="G98" s="31" t="n">
        <x:v>7</x:v>
      </x:c>
      <x:c r="H98" s="31" t="n">
        <x:v>1</x:v>
      </x:c>
      <x:c r="I98" s="31" t="inlineStr">
        <x:is>
          <x:t xml:space="preserve">Комплектность</x:t>
        </x:is>
      </x:c>
      <x:c r="J98" s="31" t="inlineStr">
        <x:is>
          <x:t xml:space="preserve">Незначительный</x:t>
        </x:is>
      </x:c>
      <x:c r="K98" s="31" t="inlineStr">
        <x:is>
          <x:t xml:space="preserve">Доработка</x:t>
        </x:is>
      </x:c>
      <x:c r="L98" s="31" t="inlineStr">
        <x:is>
          <x:t xml:space="preserve">Да</x:t>
        </x:is>
      </x:c>
      <x:c r="M98" s="31" t="inlineStr">
        <x:is>
          <x:t xml:space="preserve">Закрыта</x:t>
        </x:is>
      </x:c>
      <x:c r="N98" s="31" t="inlineStr">
        <x:is>
          <x:t xml:space="preserve">Протокол приемочные испытания/ОТК 3434</x:t>
        </x:is>
      </x:c>
    </x:row>
    <x:row r="99" ht="18" customHeight="1">
      <x:c r="A99" s="31" t="inlineStr">
        <x:is>
          <x:t xml:space="preserve">ОТК-00098</x:t>
        </x:is>
      </x:c>
      <x:c r="B99" s="31" t="inlineStr">
        <x:is>
          <x:t xml:space="preserve">ПЗ-00153</x:t>
        </x:is>
      </x:c>
      <x:c r="C99" s="31" t="inlineStr">
        <x:is>
          <x:t xml:space="preserve">ЗК-1073</x:t>
        </x:is>
      </x:c>
      <x:c r="D99" s="31" t="inlineStr">
        <x:is>
          <x:t xml:space="preserve">ИЗД-042</x:t>
        </x:is>
      </x:c>
      <x:c r="E99" s="31" t="n">
        <x:v>46205</x:v>
      </x:c>
      <x:c r="F99" s="31" t="inlineStr">
        <x:is>
          <x:t xml:space="preserve">СОТР-093</x:t>
        </x:is>
      </x:c>
      <x:c r="G99" s="31" t="n">
        <x:v>5</x:v>
      </x:c>
      <x:c r="H99" s="31" t="n">
        <x:v>2</x:v>
      </x:c>
      <x:c r="I99" s="31" t="inlineStr">
        <x:is>
          <x:t xml:space="preserve">Комплектность</x:t>
        </x:is>
      </x:c>
      <x:c r="J99" s="31" t="inlineStr">
        <x:is>
          <x:t xml:space="preserve">Существенный</x:t>
        </x:is>
      </x:c>
      <x:c r="K99" s="31" t="inlineStr">
        <x:is>
          <x:t xml:space="preserve">Доработка</x:t>
        </x:is>
      </x:c>
      <x:c r="L99" s="31" t="inlineStr">
        <x:is>
          <x:t xml:space="preserve">Да</x:t>
        </x:is>
      </x:c>
      <x:c r="M99" s="31" t="inlineStr">
        <x:is>
          <x:t xml:space="preserve">Открыта</x:t>
        </x:is>
      </x:c>
      <x:c r="N99" s="31" t="inlineStr">
        <x:is>
          <x:t xml:space="preserve">Протокол приемочные испытания/ОТК 6007</x:t>
        </x:is>
      </x:c>
    </x:row>
    <x:row r="100" ht="18" customHeight="1">
      <x:c r="A100" s="31" t="inlineStr">
        <x:is>
          <x:t xml:space="preserve">ОТК-00099</x:t>
        </x:is>
      </x:c>
      <x:c r="B100" s="31" t="inlineStr">
        <x:is>
          <x:t xml:space="preserve">ПЗ-00154</x:t>
        </x:is>
      </x:c>
      <x:c r="C100" s="31" t="inlineStr">
        <x:is>
          <x:t xml:space="preserve">ЗК-1073</x:t>
        </x:is>
      </x:c>
      <x:c r="D100" s="31" t="inlineStr">
        <x:is>
          <x:t xml:space="preserve">ИЗД-008</x:t>
        </x:is>
      </x:c>
      <x:c r="E100" s="31" t="n">
        <x:v>46200</x:v>
      </x:c>
      <x:c r="F100" s="31" t="inlineStr">
        <x:is>
          <x:t xml:space="preserve">СОТР-093</x:t>
        </x:is>
      </x:c>
      <x:c r="G100" s="31" t="n">
        <x:v>7</x:v>
      </x:c>
      <x:c r="H100" s="31" t="n">
        <x:v>0</x:v>
      </x:c>
      <x:c r="I100" s="31" t="inlineStr">
        <x:is>
          <x:t xml:space="preserve">Маркировка</x:t>
        </x:is>
      </x:c>
      <x:c r="J100" s="31" t="inlineStr">
        <x:is>
          <x:t xml:space="preserve">Нет</x:t>
        </x:is>
      </x:c>
      <x:c r="K100" s="31" t="inlineStr">
        <x:is>
          <x:t xml:space="preserve">Принято</x:t>
        </x:is>
      </x:c>
      <x:c r="L100" s="31" t="inlineStr">
        <x:is>
          <x:t xml:space="preserve">Нет</x:t>
        </x:is>
      </x:c>
      <x:c r="M100" s="31" t="inlineStr">
        <x:is>
          <x:t xml:space="preserve">Не требуется</x:t>
        </x:is>
      </x:c>
      <x:c r="N100" s="31" t="inlineStr">
        <x:is>
          <x:t xml:space="preserve">Протокол приемочные испытания/ОТК 1419</x:t>
        </x:is>
      </x:c>
    </x:row>
    <x:row r="101" ht="18" customHeight="1">
      <x:c r="A101" s="31" t="inlineStr">
        <x:is>
          <x:t xml:space="preserve">ОТК-00100</x:t>
        </x:is>
      </x:c>
      <x:c r="B101" s="31" t="inlineStr">
        <x:is>
          <x:t xml:space="preserve">ПЗ-00155</x:t>
        </x:is>
      </x:c>
      <x:c r="C101" s="31" t="inlineStr">
        <x:is>
          <x:t xml:space="preserve">ЗК-1073</x:t>
        </x:is>
      </x:c>
      <x:c r="D101" s="31" t="inlineStr">
        <x:is>
          <x:t xml:space="preserve">ИЗД-039</x:t>
        </x:is>
      </x:c>
      <x:c r="E101" s="31" t="n">
        <x:v>46205</x:v>
      </x:c>
      <x:c r="F101" s="31" t="inlineStr">
        <x:is>
          <x:t xml:space="preserve">СОТР-097</x:t>
        </x:is>
      </x:c>
      <x:c r="G101" s="31" t="n">
        <x:v>6</x:v>
      </x:c>
      <x:c r="H101" s="31" t="n">
        <x:v>2</x:v>
      </x:c>
      <x:c r="I101" s="31" t="inlineStr">
        <x:is>
          <x:t xml:space="preserve">Электрика</x:t>
        </x:is>
      </x:c>
      <x:c r="J101" s="31" t="inlineStr">
        <x:is>
          <x:t xml:space="preserve">Существенный</x:t>
        </x:is>
      </x:c>
      <x:c r="K101" s="31" t="inlineStr">
        <x:is>
          <x:t xml:space="preserve">Доработка</x:t>
        </x:is>
      </x:c>
      <x:c r="L101" s="31" t="inlineStr">
        <x:is>
          <x:t xml:space="preserve">Да</x:t>
        </x:is>
      </x:c>
      <x:c r="M101" s="31" t="inlineStr">
        <x:is>
          <x:t xml:space="preserve">Закрыта</x:t>
        </x:is>
      </x:c>
      <x:c r="N101" s="31" t="inlineStr">
        <x:is>
          <x:t xml:space="preserve">Протокол приемочные испытания/ОТК 9941</x:t>
        </x:is>
      </x:c>
    </x:row>
    <x:row r="102" ht="18" customHeight="1">
      <x:c r="A102" s="31" t="inlineStr">
        <x:is>
          <x:t xml:space="preserve">ОТК-00101</x:t>
        </x:is>
      </x:c>
      <x:c r="B102" s="31" t="inlineStr">
        <x:is>
          <x:t xml:space="preserve">ПЗ-00156</x:t>
        </x:is>
      </x:c>
      <x:c r="C102" s="31" t="inlineStr">
        <x:is>
          <x:t xml:space="preserve">ЗК-1074</x:t>
        </x:is>
      </x:c>
      <x:c r="D102" s="31" t="inlineStr">
        <x:is>
          <x:t xml:space="preserve">ИЗД-016</x:t>
        </x:is>
      </x:c>
      <x:c r="E102" s="31" t="n">
        <x:v>46236</x:v>
      </x:c>
      <x:c r="F102" s="31" t="inlineStr">
        <x:is>
          <x:t xml:space="preserve">СОТР-095</x:t>
        </x:is>
      </x:c>
      <x:c r="G102" s="31" t="n">
        <x:v>6</x:v>
      </x:c>
      <x:c r="H102" s="31" t="n">
        <x:v>0</x:v>
      </x:c>
      <x:c r="I102" s="31" t="inlineStr">
        <x:is>
          <x:t xml:space="preserve">Маркировка</x:t>
        </x:is>
      </x:c>
      <x:c r="J102" s="31" t="inlineStr">
        <x:is>
          <x:t xml:space="preserve">Нет</x:t>
        </x:is>
      </x:c>
      <x:c r="K102" s="31" t="inlineStr">
        <x:is>
          <x:t xml:space="preserve">Принято</x:t>
        </x:is>
      </x:c>
      <x:c r="L102" s="31" t="inlineStr">
        <x:is>
          <x:t xml:space="preserve">Нет</x:t>
        </x:is>
      </x:c>
      <x:c r="M102" s="31" t="inlineStr">
        <x:is>
          <x:t xml:space="preserve">Не требуется</x:t>
        </x:is>
      </x:c>
      <x:c r="N102" s="31" t="inlineStr">
        <x:is>
          <x:t xml:space="preserve">Протокол приемочные испытания/ОТК 9172</x:t>
        </x:is>
      </x:c>
    </x:row>
    <x:row r="103" ht="18" customHeight="1">
      <x:c r="A103" s="31" t="inlineStr">
        <x:is>
          <x:t xml:space="preserve">ОТК-00102</x:t>
        </x:is>
      </x:c>
      <x:c r="B103" s="31" t="inlineStr">
        <x:is>
          <x:t xml:space="preserve">ПЗ-00157</x:t>
        </x:is>
      </x:c>
      <x:c r="C103" s="31" t="inlineStr">
        <x:is>
          <x:t xml:space="preserve">ЗК-1074</x:t>
        </x:is>
      </x:c>
      <x:c r="D103" s="31" t="inlineStr">
        <x:is>
          <x:t xml:space="preserve">ИЗД-017</x:t>
        </x:is>
      </x:c>
      <x:c r="E103" s="31" t="n">
        <x:v>46237</x:v>
      </x:c>
      <x:c r="F103" s="31" t="inlineStr">
        <x:is>
          <x:t xml:space="preserve">СОТР-063</x:t>
        </x:is>
      </x:c>
      <x:c r="G103" s="31" t="n">
        <x:v>6</x:v>
      </x:c>
      <x:c r="H103" s="31" t="n">
        <x:v>0</x:v>
      </x:c>
      <x:c r="I103" s="31" t="inlineStr">
        <x:is>
          <x:t xml:space="preserve">Геометрия</x:t>
        </x:is>
      </x:c>
      <x:c r="J103" s="31" t="inlineStr">
        <x:is>
          <x:t xml:space="preserve">Нет</x:t>
        </x:is>
      </x:c>
      <x:c r="K103" s="31" t="inlineStr">
        <x:is>
          <x:t xml:space="preserve">Принято</x:t>
        </x:is>
      </x:c>
      <x:c r="L103" s="31" t="inlineStr">
        <x:is>
          <x:t xml:space="preserve">Нет</x:t>
        </x:is>
      </x:c>
      <x:c r="M103" s="31" t="inlineStr">
        <x:is>
          <x:t xml:space="preserve">Не требуется</x:t>
        </x:is>
      </x:c>
      <x:c r="N103" s="31" t="inlineStr">
        <x:is>
          <x:t xml:space="preserve">Протокол приемочные испытания/ОТК 8181</x:t>
        </x:is>
      </x:c>
    </x:row>
    <x:row r="104" ht="18" customHeight="1">
      <x:c r="A104" s="31" t="inlineStr">
        <x:is>
          <x:t xml:space="preserve">ОТК-00103</x:t>
        </x:is>
      </x:c>
      <x:c r="B104" s="31" t="inlineStr">
        <x:is>
          <x:t xml:space="preserve">ПЗ-00158</x:t>
        </x:is>
      </x:c>
      <x:c r="C104" s="31" t="inlineStr">
        <x:is>
          <x:t xml:space="preserve">ЗК-1074</x:t>
        </x:is>
      </x:c>
      <x:c r="D104" s="31" t="inlineStr">
        <x:is>
          <x:t xml:space="preserve">ИЗД-022</x:t>
        </x:is>
      </x:c>
      <x:c r="E104" s="31" t="n">
        <x:v>46235</x:v>
      </x:c>
      <x:c r="F104" s="31" t="inlineStr">
        <x:is>
          <x:t xml:space="preserve">СОТР-096</x:t>
        </x:is>
      </x:c>
      <x:c r="G104" s="31" t="n">
        <x:v>7</x:v>
      </x:c>
      <x:c r="H104" s="31" t="n">
        <x:v>0</x:v>
      </x:c>
      <x:c r="I104" s="31" t="inlineStr">
        <x:is>
          <x:t xml:space="preserve">Покрытие</x:t>
        </x:is>
      </x:c>
      <x:c r="J104" s="31" t="inlineStr">
        <x:is>
          <x:t xml:space="preserve">Нет</x:t>
        </x:is>
      </x:c>
      <x:c r="K104" s="31" t="inlineStr">
        <x:is>
          <x:t xml:space="preserve">Принято</x:t>
        </x:is>
      </x:c>
      <x:c r="L104" s="31" t="inlineStr">
        <x:is>
          <x:t xml:space="preserve">Нет</x:t>
        </x:is>
      </x:c>
      <x:c r="M104" s="31" t="inlineStr">
        <x:is>
          <x:t xml:space="preserve">Не требуется</x:t>
        </x:is>
      </x:c>
      <x:c r="N104" s="31" t="inlineStr">
        <x:is>
          <x:t xml:space="preserve">Протокол приемочные испытания/ОТК 8060</x:t>
        </x:is>
      </x:c>
    </x:row>
    <x:row r="105" ht="18" customHeight="1">
      <x:c r="A105" s="31" t="inlineStr">
        <x:is>
          <x:t xml:space="preserve">ОТК-00104</x:t>
        </x:is>
      </x:c>
      <x:c r="B105" s="31" t="inlineStr">
        <x:is>
          <x:t xml:space="preserve">ПЗ-00159</x:t>
        </x:is>
      </x:c>
      <x:c r="C105" s="31" t="inlineStr">
        <x:is>
          <x:t xml:space="preserve">ЗК-1074</x:t>
        </x:is>
      </x:c>
      <x:c r="D105" s="31" t="inlineStr">
        <x:is>
          <x:t xml:space="preserve">ИЗД-019</x:t>
        </x:is>
      </x:c>
      <x:c r="E105" s="31" t="n">
        <x:v>46242</x:v>
      </x:c>
      <x:c r="F105" s="31" t="inlineStr">
        <x:is>
          <x:t xml:space="preserve">СОТР-096</x:t>
        </x:is>
      </x:c>
      <x:c r="G105" s="31" t="n">
        <x:v>6</x:v>
      </x:c>
      <x:c r="H105" s="31" t="n">
        <x:v>0</x:v>
      </x:c>
      <x:c r="I105" s="31" t="inlineStr">
        <x:is>
          <x:t xml:space="preserve">Электрика</x:t>
        </x:is>
      </x:c>
      <x:c r="J105" s="31" t="inlineStr">
        <x:is>
          <x:t xml:space="preserve">Нет</x:t>
        </x:is>
      </x:c>
      <x:c r="K105" s="31" t="inlineStr">
        <x:is>
          <x:t xml:space="preserve">Принято</x:t>
        </x:is>
      </x:c>
      <x:c r="L105" s="31" t="inlineStr">
        <x:is>
          <x:t xml:space="preserve">Нет</x:t>
        </x:is>
      </x:c>
      <x:c r="M105" s="31" t="inlineStr">
        <x:is>
          <x:t xml:space="preserve">Не требуется</x:t>
        </x:is>
      </x:c>
      <x:c r="N105" s="31" t="inlineStr">
        <x:is>
          <x:t xml:space="preserve">Протокол приемочные испытания/ОТК 8068</x:t>
        </x:is>
      </x:c>
    </x:row>
    <x:row r="106" ht="18" customHeight="1">
      <x:c r="A106" s="31" t="inlineStr">
        <x:is>
          <x:t xml:space="preserve">ОТК-00105</x:t>
        </x:is>
      </x:c>
      <x:c r="B106" s="31" t="inlineStr">
        <x:is>
          <x:t xml:space="preserve">ПЗ-00160</x:t>
        </x:is>
      </x:c>
      <x:c r="C106" s="31" t="inlineStr">
        <x:is>
          <x:t xml:space="preserve">ЗК-1075</x:t>
        </x:is>
      </x:c>
      <x:c r="D106" s="31" t="inlineStr">
        <x:is>
          <x:t xml:space="preserve">ИЗД-022</x:t>
        </x:is>
      </x:c>
      <x:c r="E106" s="31" t="n">
        <x:v>46189</x:v>
      </x:c>
      <x:c r="F106" s="31" t="inlineStr">
        <x:is>
          <x:t xml:space="preserve">СОТР-096</x:t>
        </x:is>
      </x:c>
      <x:c r="G106" s="31" t="n">
        <x:v>8</x:v>
      </x:c>
      <x:c r="H106" s="31" t="n">
        <x:v>2</x:v>
      </x:c>
      <x:c r="I106" s="31" t="inlineStr">
        <x:is>
          <x:t xml:space="preserve">Электрика</x:t>
        </x:is>
      </x:c>
      <x:c r="J106" s="31" t="inlineStr">
        <x:is>
          <x:t xml:space="preserve">Существенный</x:t>
        </x:is>
      </x:c>
      <x:c r="K106" s="31" t="inlineStr">
        <x:is>
          <x:t xml:space="preserve">Доработка</x:t>
        </x:is>
      </x:c>
      <x:c r="L106" s="31" t="inlineStr">
        <x:is>
          <x:t xml:space="preserve">Да</x:t>
        </x:is>
      </x:c>
      <x:c r="M106" s="31" t="inlineStr">
        <x:is>
          <x:t xml:space="preserve">В работе</x:t>
        </x:is>
      </x:c>
      <x:c r="N106" s="31" t="inlineStr">
        <x:is>
          <x:t xml:space="preserve">Протокол приемочные испытания/ОТК 9283</x:t>
        </x:is>
      </x:c>
    </x:row>
    <x:row r="107" ht="18" customHeight="1">
      <x:c r="A107" s="31" t="inlineStr">
        <x:is>
          <x:t xml:space="preserve">ОТК-00106</x:t>
        </x:is>
      </x:c>
      <x:c r="B107" s="31" t="inlineStr">
        <x:is>
          <x:t xml:space="preserve">ПЗ-00164</x:t>
        </x:is>
      </x:c>
      <x:c r="C107" s="31" t="inlineStr">
        <x:is>
          <x:t xml:space="preserve">ЗК-1078</x:t>
        </x:is>
      </x:c>
      <x:c r="D107" s="31" t="inlineStr">
        <x:is>
          <x:t xml:space="preserve">ИЗД-022</x:t>
        </x:is>
      </x:c>
      <x:c r="E107" s="31" t="n">
        <x:v>46167</x:v>
      </x:c>
      <x:c r="F107" s="31" t="inlineStr">
        <x:is>
          <x:t xml:space="preserve">СОТР-063</x:t>
        </x:is>
      </x:c>
      <x:c r="G107" s="31" t="n">
        <x:v>4</x:v>
      </x:c>
      <x:c r="H107" s="31" t="n">
        <x:v>2</x:v>
      </x:c>
      <x:c r="I107" s="31" t="inlineStr">
        <x:is>
          <x:t xml:space="preserve">Комплектность</x:t>
        </x:is>
      </x:c>
      <x:c r="J107" s="31" t="inlineStr">
        <x:is>
          <x:t xml:space="preserve">Существенный</x:t>
        </x:is>
      </x:c>
      <x:c r="K107" s="31" t="inlineStr">
        <x:is>
          <x:t xml:space="preserve">Блокировка отгрузки</x:t>
        </x:is>
      </x:c>
      <x:c r="L107" s="31" t="inlineStr">
        <x:is>
          <x:t xml:space="preserve">Да</x:t>
        </x:is>
      </x:c>
      <x:c r="M107" s="31" t="inlineStr">
        <x:is>
          <x:t xml:space="preserve">В работе</x:t>
        </x:is>
      </x:c>
      <x:c r="N107" s="31" t="inlineStr">
        <x:is>
          <x:t xml:space="preserve">Протокол приемочные испытания/ОТК 3961</x:t>
        </x:is>
      </x:c>
    </x:row>
    <x:row r="108" ht="18" customHeight="1">
      <x:c r="A108" s="31" t="inlineStr">
        <x:is>
          <x:t xml:space="preserve">ОТК-00107</x:t>
        </x:is>
      </x:c>
      <x:c r="B108" s="31" t="inlineStr">
        <x:is>
          <x:t xml:space="preserve">ПЗ-00165</x:t>
        </x:is>
      </x:c>
      <x:c r="C108" s="31" t="inlineStr">
        <x:is>
          <x:t xml:space="preserve">ЗК-1079</x:t>
        </x:is>
      </x:c>
      <x:c r="D108" s="31" t="inlineStr">
        <x:is>
          <x:t xml:space="preserve">ИЗД-001</x:t>
        </x:is>
      </x:c>
      <x:c r="E108" s="31" t="n">
        <x:v>46147</x:v>
      </x:c>
      <x:c r="F108" s="31" t="inlineStr">
        <x:is>
          <x:t xml:space="preserve">СОТР-093</x:t>
        </x:is>
      </x:c>
      <x:c r="G108" s="31" t="n">
        <x:v>5</x:v>
      </x:c>
      <x:c r="H108" s="31" t="n">
        <x:v>1</x:v>
      </x:c>
      <x:c r="I108" s="31" t="inlineStr">
        <x:is>
          <x:t xml:space="preserve">Покрытие</x:t>
        </x:is>
      </x:c>
      <x:c r="J108" s="31" t="inlineStr">
        <x:is>
          <x:t xml:space="preserve">Незначительный</x:t>
        </x:is>
      </x:c>
      <x:c r="K108" s="31" t="inlineStr">
        <x:is>
          <x:t xml:space="preserve">Доработка</x:t>
        </x:is>
      </x:c>
      <x:c r="L108" s="31" t="inlineStr">
        <x:is>
          <x:t xml:space="preserve">Да</x:t>
        </x:is>
      </x:c>
      <x:c r="M108" s="31" t="inlineStr">
        <x:is>
          <x:t xml:space="preserve">В работе</x:t>
        </x:is>
      </x:c>
      <x:c r="N108" s="31" t="inlineStr">
        <x:is>
          <x:t xml:space="preserve">Протокол приемочные испытания/ОТК 3397</x:t>
        </x:is>
      </x:c>
    </x:row>
    <x:row r="109" ht="18" customHeight="1">
      <x:c r="A109" s="31" t="inlineStr">
        <x:is>
          <x:t xml:space="preserve">ОТК-00108</x:t>
        </x:is>
      </x:c>
      <x:c r="B109" s="31" t="inlineStr">
        <x:is>
          <x:t xml:space="preserve">ПЗ-00166</x:t>
        </x:is>
      </x:c>
      <x:c r="C109" s="31" t="inlineStr">
        <x:is>
          <x:t xml:space="preserve">ЗК-1079</x:t>
        </x:is>
      </x:c>
      <x:c r="D109" s="31" t="inlineStr">
        <x:is>
          <x:t xml:space="preserve">ИЗД-026</x:t>
        </x:is>
      </x:c>
      <x:c r="E109" s="31" t="n">
        <x:v>46148</x:v>
      </x:c>
      <x:c r="F109" s="31" t="inlineStr">
        <x:is>
          <x:t xml:space="preserve">СОТР-093</x:t>
        </x:is>
      </x:c>
      <x:c r="G109" s="31" t="n">
        <x:v>4</x:v>
      </x:c>
      <x:c r="H109" s="31" t="n">
        <x:v>2</x:v>
      </x:c>
      <x:c r="I109" s="31" t="inlineStr">
        <x:is>
          <x:t xml:space="preserve">Документация</x:t>
        </x:is>
      </x:c>
      <x:c r="J109" s="31" t="inlineStr">
        <x:is>
          <x:t xml:space="preserve">Существенный</x:t>
        </x:is>
      </x:c>
      <x:c r="K109" s="31" t="inlineStr">
        <x:is>
          <x:t xml:space="preserve">Принято с замечаниями</x:t>
        </x:is>
      </x:c>
      <x:c r="L109" s="31" t="inlineStr">
        <x:is>
          <x:t xml:space="preserve">Нет</x:t>
        </x:is>
      </x:c>
      <x:c r="M109" s="31" t="inlineStr">
        <x:is>
          <x:t xml:space="preserve">Открыта</x:t>
        </x:is>
      </x:c>
      <x:c r="N109" s="31" t="inlineStr">
        <x:is>
          <x:t xml:space="preserve">Протокол приемочные испытания/ОТК 5983</x:t>
        </x:is>
      </x:c>
    </x:row>
    <x:row r="110" ht="18" customHeight="1">
      <x:c r="A110" s="31" t="inlineStr">
        <x:is>
          <x:t xml:space="preserve">ОТК-00109</x:t>
        </x:is>
      </x:c>
      <x:c r="B110" s="31" t="inlineStr">
        <x:is>
          <x:t xml:space="preserve">ПЗ-00167</x:t>
        </x:is>
      </x:c>
      <x:c r="C110" s="31" t="inlineStr">
        <x:is>
          <x:t xml:space="preserve">ЗК-1079</x:t>
        </x:is>
      </x:c>
      <x:c r="D110" s="31" t="inlineStr">
        <x:is>
          <x:t xml:space="preserve">ИЗД-004</x:t>
        </x:is>
      </x:c>
      <x:c r="E110" s="31" t="n">
        <x:v>46147</x:v>
      </x:c>
      <x:c r="F110" s="31" t="inlineStr">
        <x:is>
          <x:t xml:space="preserve">СОТР-093</x:t>
        </x:is>
      </x:c>
      <x:c r="G110" s="31" t="n">
        <x:v>8</x:v>
      </x:c>
      <x:c r="H110" s="31" t="n">
        <x:v>2</x:v>
      </x:c>
      <x:c r="I110" s="31" t="inlineStr">
        <x:is>
          <x:t xml:space="preserve">Документация</x:t>
        </x:is>
      </x:c>
      <x:c r="J110" s="31" t="inlineStr">
        <x:is>
          <x:t xml:space="preserve">Незначительный</x:t>
        </x:is>
      </x:c>
      <x:c r="K110" s="31" t="inlineStr">
        <x:is>
          <x:t xml:space="preserve">Доработка</x:t>
        </x:is>
      </x:c>
      <x:c r="L110" s="31" t="inlineStr">
        <x:is>
          <x:t xml:space="preserve">Да</x:t>
        </x:is>
      </x:c>
      <x:c r="M110" s="31" t="inlineStr">
        <x:is>
          <x:t xml:space="preserve">Закрыта</x:t>
        </x:is>
      </x:c>
      <x:c r="N110" s="31" t="inlineStr">
        <x:is>
          <x:t xml:space="preserve">Протокол приемочные испытания/ОТК 5431</x:t>
        </x:is>
      </x:c>
    </x:row>
    <x:row r="111" ht="18" customHeight="1">
      <x:c r="A111" s="31" t="inlineStr">
        <x:is>
          <x:t xml:space="preserve">ОТК-00110</x:t>
        </x:is>
      </x:c>
      <x:c r="B111" s="31" t="inlineStr">
        <x:is>
          <x:t xml:space="preserve">ПЗ-00168</x:t>
        </x:is>
      </x:c>
      <x:c r="C111" s="31" t="inlineStr">
        <x:is>
          <x:t xml:space="preserve">ЗК-1079</x:t>
        </x:is>
      </x:c>
      <x:c r="D111" s="31" t="inlineStr">
        <x:is>
          <x:t xml:space="preserve">ИЗД-027</x:t>
        </x:is>
      </x:c>
      <x:c r="E111" s="31" t="n">
        <x:v>46154</x:v>
      </x:c>
      <x:c r="F111" s="31" t="inlineStr">
        <x:is>
          <x:t xml:space="preserve">СОТР-095</x:t>
        </x:is>
      </x:c>
      <x:c r="G111" s="31" t="n">
        <x:v>6</x:v>
      </x:c>
      <x:c r="H111" s="31" t="n">
        <x:v>0</x:v>
      </x:c>
      <x:c r="I111" s="31" t="inlineStr">
        <x:is>
          <x:t xml:space="preserve">Маркировка</x:t>
        </x:is>
      </x:c>
      <x:c r="J111" s="31" t="inlineStr">
        <x:is>
          <x:t xml:space="preserve">Нет</x:t>
        </x:is>
      </x:c>
      <x:c r="K111" s="31" t="inlineStr">
        <x:is>
          <x:t xml:space="preserve">Принято</x:t>
        </x:is>
      </x:c>
      <x:c r="L111" s="31" t="inlineStr">
        <x:is>
          <x:t xml:space="preserve">Нет</x:t>
        </x:is>
      </x:c>
      <x:c r="M111" s="31" t="inlineStr">
        <x:is>
          <x:t xml:space="preserve">Не требуется</x:t>
        </x:is>
      </x:c>
      <x:c r="N111" s="31" t="inlineStr">
        <x:is>
          <x:t xml:space="preserve">Протокол приемочные испытания/ОТК 5119</x:t>
        </x:is>
      </x:c>
    </x:row>
    <x:row r="112" ht="18" customHeight="1">
      <x:c r="A112" s="31" t="inlineStr">
        <x:is>
          <x:t xml:space="preserve">ОТК-00111</x:t>
        </x:is>
      </x:c>
      <x:c r="B112" s="31" t="inlineStr">
        <x:is>
          <x:t xml:space="preserve">ПЗ-00169</x:t>
        </x:is>
      </x:c>
      <x:c r="C112" s="31" t="inlineStr">
        <x:is>
          <x:t xml:space="preserve">ЗК-1081</x:t>
        </x:is>
      </x:c>
      <x:c r="D112" s="31" t="inlineStr">
        <x:is>
          <x:t xml:space="preserve">ИЗД-008</x:t>
        </x:is>
      </x:c>
      <x:c r="E112" s="31" t="n">
        <x:v>46217</x:v>
      </x:c>
      <x:c r="F112" s="31" t="inlineStr">
        <x:is>
          <x:t xml:space="preserve">СОТР-092</x:t>
        </x:is>
      </x:c>
      <x:c r="G112" s="31" t="n">
        <x:v>6</x:v>
      </x:c>
      <x:c r="H112" s="31" t="n">
        <x:v>0</x:v>
      </x:c>
      <x:c r="I112" s="31" t="inlineStr">
        <x:is>
          <x:t xml:space="preserve">Геометрия</x:t>
        </x:is>
      </x:c>
      <x:c r="J112" s="31" t="inlineStr">
        <x:is>
          <x:t xml:space="preserve">Нет</x:t>
        </x:is>
      </x:c>
      <x:c r="K112" s="31" t="inlineStr">
        <x:is>
          <x:t xml:space="preserve">Принято</x:t>
        </x:is>
      </x:c>
      <x:c r="L112" s="31" t="inlineStr">
        <x:is>
          <x:t xml:space="preserve">Нет</x:t>
        </x:is>
      </x:c>
      <x:c r="M112" s="31" t="inlineStr">
        <x:is>
          <x:t xml:space="preserve">Не требуется</x:t>
        </x:is>
      </x:c>
      <x:c r="N112" s="31" t="inlineStr">
        <x:is>
          <x:t xml:space="preserve">Протокол приемочные испытания/ОТК 6790</x:t>
        </x:is>
      </x:c>
    </x:row>
    <x:row r="113" ht="18" customHeight="1">
      <x:c r="A113" s="31" t="inlineStr">
        <x:is>
          <x:t xml:space="preserve">ОТК-00112</x:t>
        </x:is>
      </x:c>
      <x:c r="B113" s="31" t="inlineStr">
        <x:is>
          <x:t xml:space="preserve">ПЗ-00170</x:t>
        </x:is>
      </x:c>
      <x:c r="C113" s="31" t="inlineStr">
        <x:is>
          <x:t xml:space="preserve">ЗК-1081</x:t>
        </x:is>
      </x:c>
      <x:c r="D113" s="31" t="inlineStr">
        <x:is>
          <x:t xml:space="preserve">ИЗД-042</x:t>
        </x:is>
      </x:c>
      <x:c r="E113" s="31" t="n">
        <x:v>46214</x:v>
      </x:c>
      <x:c r="F113" s="31" t="inlineStr">
        <x:is>
          <x:t xml:space="preserve">СОТР-098</x:t>
        </x:is>
      </x:c>
      <x:c r="G113" s="31" t="n">
        <x:v>3</x:v>
      </x:c>
      <x:c r="H113" s="31" t="n">
        <x:v>3</x:v>
      </x:c>
      <x:c r="I113" s="31" t="inlineStr">
        <x:is>
          <x:t xml:space="preserve">Сварной шов</x:t>
        </x:is>
      </x:c>
      <x:c r="J113" s="31" t="inlineStr">
        <x:is>
          <x:t xml:space="preserve">Незначительный</x:t>
        </x:is>
      </x:c>
      <x:c r="K113" s="31" t="inlineStr">
        <x:is>
          <x:t xml:space="preserve">Доработка</x:t>
        </x:is>
      </x:c>
      <x:c r="L113" s="31" t="inlineStr">
        <x:is>
          <x:t xml:space="preserve">Да</x:t>
        </x:is>
      </x:c>
      <x:c r="M113" s="31" t="inlineStr">
        <x:is>
          <x:t xml:space="preserve">В работе</x:t>
        </x:is>
      </x:c>
      <x:c r="N113" s="31" t="inlineStr">
        <x:is>
          <x:t xml:space="preserve">Протокол приемочные испытания/ОТК 7200</x:t>
        </x:is>
      </x:c>
    </x:row>
    <x:row r="114" ht="18" customHeight="1">
      <x:c r="A114" s="31" t="inlineStr">
        <x:is>
          <x:t xml:space="preserve">ОТК-00113</x:t>
        </x:is>
      </x:c>
      <x:c r="B114" s="31" t="inlineStr">
        <x:is>
          <x:t xml:space="preserve">ПЗ-00171</x:t>
        </x:is>
      </x:c>
      <x:c r="C114" s="31" t="inlineStr">
        <x:is>
          <x:t xml:space="preserve">ЗК-1082</x:t>
        </x:is>
      </x:c>
      <x:c r="D114" s="31" t="inlineStr">
        <x:is>
          <x:t xml:space="preserve">ИЗД-030</x:t>
        </x:is>
      </x:c>
      <x:c r="E114" s="31" t="n">
        <x:v>46201</x:v>
      </x:c>
      <x:c r="F114" s="31" t="inlineStr">
        <x:is>
          <x:t xml:space="preserve">СОТР-100</x:t>
        </x:is>
      </x:c>
      <x:c r="G114" s="31" t="n">
        <x:v>7</x:v>
      </x:c>
      <x:c r="H114" s="31" t="n">
        <x:v>0</x:v>
      </x:c>
      <x:c r="I114" s="31" t="inlineStr">
        <x:is>
          <x:t xml:space="preserve">Покрытие</x:t>
        </x:is>
      </x:c>
      <x:c r="J114" s="31" t="inlineStr">
        <x:is>
          <x:t xml:space="preserve">Нет</x:t>
        </x:is>
      </x:c>
      <x:c r="K114" s="31" t="inlineStr">
        <x:is>
          <x:t xml:space="preserve">Принято</x:t>
        </x:is>
      </x:c>
      <x:c r="L114" s="31" t="inlineStr">
        <x:is>
          <x:t xml:space="preserve">Нет</x:t>
        </x:is>
      </x:c>
      <x:c r="M114" s="31" t="inlineStr">
        <x:is>
          <x:t xml:space="preserve">Не требуется</x:t>
        </x:is>
      </x:c>
      <x:c r="N114" s="31" t="inlineStr">
        <x:is>
          <x:t xml:space="preserve">Протокол приемочные испытания/ОТК 9518</x:t>
        </x:is>
      </x:c>
    </x:row>
    <x:row r="115" ht="18" customHeight="1">
      <x:c r="A115" s="31" t="inlineStr">
        <x:is>
          <x:t xml:space="preserve">ОТК-00114</x:t>
        </x:is>
      </x:c>
      <x:c r="B115" s="31" t="inlineStr">
        <x:is>
          <x:t xml:space="preserve">ПЗ-00176</x:t>
        </x:is>
      </x:c>
      <x:c r="C115" s="31" t="inlineStr">
        <x:is>
          <x:t xml:space="preserve">ЗК-1083</x:t>
        </x:is>
      </x:c>
      <x:c r="D115" s="31" t="inlineStr">
        <x:is>
          <x:t xml:space="preserve">ИЗД-014</x:t>
        </x:is>
      </x:c>
      <x:c r="E115" s="31" t="n">
        <x:v>46229</x:v>
      </x:c>
      <x:c r="F115" s="31" t="inlineStr">
        <x:is>
          <x:t xml:space="preserve">СОТР-099</x:t>
        </x:is>
      </x:c>
      <x:c r="G115" s="31" t="n">
        <x:v>8</x:v>
      </x:c>
      <x:c r="H115" s="31" t="n">
        <x:v>0</x:v>
      </x:c>
      <x:c r="I115" s="31" t="inlineStr">
        <x:is>
          <x:t xml:space="preserve">Герметичность</x:t>
        </x:is>
      </x:c>
      <x:c r="J115" s="31" t="inlineStr">
        <x:is>
          <x:t xml:space="preserve">Нет</x:t>
        </x:is>
      </x:c>
      <x:c r="K115" s="31" t="inlineStr">
        <x:is>
          <x:t xml:space="preserve">Принято</x:t>
        </x:is>
      </x:c>
      <x:c r="L115" s="31" t="inlineStr">
        <x:is>
          <x:t xml:space="preserve">Нет</x:t>
        </x:is>
      </x:c>
      <x:c r="M115" s="31" t="inlineStr">
        <x:is>
          <x:t xml:space="preserve">Не требуется</x:t>
        </x:is>
      </x:c>
      <x:c r="N115" s="31" t="inlineStr">
        <x:is>
          <x:t xml:space="preserve">Протокол приемочные испытания/ОТК 5453</x:t>
        </x:is>
      </x:c>
    </x:row>
    <x:row r="116" ht="18" customHeight="1">
      <x:c r="A116" s="31" t="inlineStr">
        <x:is>
          <x:t xml:space="preserve">ОТК-00115</x:t>
        </x:is>
      </x:c>
      <x:c r="B116" s="31" t="inlineStr">
        <x:is>
          <x:t xml:space="preserve">ПЗ-00178</x:t>
        </x:is>
      </x:c>
      <x:c r="C116" s="31" t="inlineStr">
        <x:is>
          <x:t xml:space="preserve">ЗК-1085</x:t>
        </x:is>
      </x:c>
      <x:c r="D116" s="31" t="inlineStr">
        <x:is>
          <x:t xml:space="preserve">ИЗД-045</x:t>
        </x:is>
      </x:c>
      <x:c r="E116" s="31" t="n">
        <x:v>46168</x:v>
      </x:c>
      <x:c r="F116" s="31" t="inlineStr">
        <x:is>
          <x:t xml:space="preserve">СОТР-095</x:t>
        </x:is>
      </x:c>
      <x:c r="G116" s="31" t="n">
        <x:v>5</x:v>
      </x:c>
      <x:c r="H116" s="31" t="n">
        <x:v>1</x:v>
      </x:c>
      <x:c r="I116" s="31" t="inlineStr">
        <x:is>
          <x:t xml:space="preserve">Комплектность</x:t>
        </x:is>
      </x:c>
      <x:c r="J116" s="31" t="inlineStr">
        <x:is>
          <x:t xml:space="preserve">Критичный</x:t>
        </x:is>
      </x:c>
      <x:c r="K116" s="31" t="inlineStr">
        <x:is>
          <x:t xml:space="preserve">Блокировка отгрузки</x:t>
        </x:is>
      </x:c>
      <x:c r="L116" s="31" t="inlineStr">
        <x:is>
          <x:t xml:space="preserve">Да</x:t>
        </x:is>
      </x:c>
      <x:c r="M116" s="31" t="inlineStr">
        <x:is>
          <x:t xml:space="preserve">Открыта</x:t>
        </x:is>
      </x:c>
      <x:c r="N116" s="31" t="inlineStr">
        <x:is>
          <x:t xml:space="preserve">Протокол приемочные испытания/ОТК 7999</x:t>
        </x:is>
      </x:c>
    </x:row>
    <x:row r="117" ht="18" customHeight="1">
      <x:c r="A117" s="31" t="inlineStr">
        <x:is>
          <x:t xml:space="preserve">ОТК-00116</x:t>
        </x:is>
      </x:c>
      <x:c r="B117" s="31" t="inlineStr">
        <x:is>
          <x:t xml:space="preserve">ПЗ-00179</x:t>
        </x:is>
      </x:c>
      <x:c r="C117" s="31" t="inlineStr">
        <x:is>
          <x:t xml:space="preserve">ЗК-1085</x:t>
        </x:is>
      </x:c>
      <x:c r="D117" s="31" t="inlineStr">
        <x:is>
          <x:t xml:space="preserve">ИЗД-031</x:t>
        </x:is>
      </x:c>
      <x:c r="E117" s="31" t="n">
        <x:v>46166</x:v>
      </x:c>
      <x:c r="F117" s="31" t="inlineStr">
        <x:is>
          <x:t xml:space="preserve">СОТР-096</x:t>
        </x:is>
      </x:c>
      <x:c r="G117" s="31" t="n">
        <x:v>7</x:v>
      </x:c>
      <x:c r="H117" s="31" t="n">
        <x:v>1</x:v>
      </x:c>
      <x:c r="I117" s="31" t="inlineStr">
        <x:is>
          <x:t xml:space="preserve">Маркировка</x:t>
        </x:is>
      </x:c>
      <x:c r="J117" s="31" t="inlineStr">
        <x:is>
          <x:t xml:space="preserve">Незначительный</x:t>
        </x:is>
      </x:c>
      <x:c r="K117" s="31" t="inlineStr">
        <x:is>
          <x:t xml:space="preserve">Принято с замечаниями</x:t>
        </x:is>
      </x:c>
      <x:c r="L117" s="31" t="inlineStr">
        <x:is>
          <x:t xml:space="preserve">Нет</x:t>
        </x:is>
      </x:c>
      <x:c r="M117" s="31" t="inlineStr">
        <x:is>
          <x:t xml:space="preserve">Открыта</x:t>
        </x:is>
      </x:c>
      <x:c r="N117" s="31" t="inlineStr">
        <x:is>
          <x:t xml:space="preserve">Протокол приемочные испытания/ОТК 9851</x:t>
        </x:is>
      </x:c>
    </x:row>
    <x:row r="118" ht="18" customHeight="1">
      <x:c r="A118" s="31" t="inlineStr">
        <x:is>
          <x:t xml:space="preserve">ОТК-00117</x:t>
        </x:is>
      </x:c>
      <x:c r="B118" s="31" t="inlineStr">
        <x:is>
          <x:t xml:space="preserve">ПЗ-00181</x:t>
        </x:is>
      </x:c>
      <x:c r="C118" s="31" t="inlineStr">
        <x:is>
          <x:t xml:space="preserve">ЗК-1087</x:t>
        </x:is>
      </x:c>
      <x:c r="D118" s="31" t="inlineStr">
        <x:is>
          <x:t xml:space="preserve">ИЗД-031</x:t>
        </x:is>
      </x:c>
      <x:c r="E118" s="31" t="n">
        <x:v>46111</x:v>
      </x:c>
      <x:c r="F118" s="31" t="inlineStr">
        <x:is>
          <x:t xml:space="preserve">СОТР-095</x:t>
        </x:is>
      </x:c>
      <x:c r="G118" s="31" t="n">
        <x:v>4</x:v>
      </x:c>
      <x:c r="H118" s="31" t="n">
        <x:v>1</x:v>
      </x:c>
      <x:c r="I118" s="31" t="inlineStr">
        <x:is>
          <x:t xml:space="preserve">Геометрия</x:t>
        </x:is>
      </x:c>
      <x:c r="J118" s="31" t="inlineStr">
        <x:is>
          <x:t xml:space="preserve">Незначительный</x:t>
        </x:is>
      </x:c>
      <x:c r="K118" s="31" t="inlineStr">
        <x:is>
          <x:t xml:space="preserve">Принято с замечаниями</x:t>
        </x:is>
      </x:c>
      <x:c r="L118" s="31" t="inlineStr">
        <x:is>
          <x:t xml:space="preserve">Нет</x:t>
        </x:is>
      </x:c>
      <x:c r="M118" s="31" t="inlineStr">
        <x:is>
          <x:t xml:space="preserve">Открыта</x:t>
        </x:is>
      </x:c>
      <x:c r="N118" s="31" t="inlineStr">
        <x:is>
          <x:t xml:space="preserve">Протокол приемочные испытания/ОТК 4123</x:t>
        </x:is>
      </x:c>
    </x:row>
    <x:row r="119" ht="18" customHeight="1">
      <x:c r="A119" s="31" t="inlineStr">
        <x:is>
          <x:t xml:space="preserve">ОТК-00118</x:t>
        </x:is>
      </x:c>
      <x:c r="B119" s="31" t="inlineStr">
        <x:is>
          <x:t xml:space="preserve">ПЗ-00183</x:t>
        </x:is>
      </x:c>
      <x:c r="C119" s="31" t="inlineStr">
        <x:is>
          <x:t xml:space="preserve">ЗК-1089</x:t>
        </x:is>
      </x:c>
      <x:c r="D119" s="31" t="inlineStr">
        <x:is>
          <x:t xml:space="preserve">ИЗД-017</x:t>
        </x:is>
      </x:c>
      <x:c r="E119" s="31" t="n">
        <x:v>46238</x:v>
      </x:c>
      <x:c r="F119" s="31" t="inlineStr">
        <x:is>
          <x:t xml:space="preserve">СОТР-092</x:t>
        </x:is>
      </x:c>
      <x:c r="G119" s="31" t="n">
        <x:v>5</x:v>
      </x:c>
      <x:c r="H119" s="31" t="n">
        <x:v>0</x:v>
      </x:c>
      <x:c r="I119" s="31" t="inlineStr">
        <x:is>
          <x:t xml:space="preserve">Герметичность</x:t>
        </x:is>
      </x:c>
      <x:c r="J119" s="31" t="inlineStr">
        <x:is>
          <x:t xml:space="preserve">Нет</x:t>
        </x:is>
      </x:c>
      <x:c r="K119" s="31" t="inlineStr">
        <x:is>
          <x:t xml:space="preserve">Принято</x:t>
        </x:is>
      </x:c>
      <x:c r="L119" s="31" t="inlineStr">
        <x:is>
          <x:t xml:space="preserve">Нет</x:t>
        </x:is>
      </x:c>
      <x:c r="M119" s="31" t="inlineStr">
        <x:is>
          <x:t xml:space="preserve">Не требуется</x:t>
        </x:is>
      </x:c>
      <x:c r="N119" s="31" t="inlineStr">
        <x:is>
          <x:t xml:space="preserve">Протокол приемочные испытания/ОТК 4333</x:t>
        </x:is>
      </x:c>
    </x:row>
    <x:row r="120" ht="18" customHeight="1">
      <x:c r="A120" s="31" t="inlineStr">
        <x:is>
          <x:t xml:space="preserve">ОТК-00119</x:t>
        </x:is>
      </x:c>
      <x:c r="B120" s="31" t="inlineStr">
        <x:is>
          <x:t xml:space="preserve">ПЗ-00186</x:t>
        </x:is>
      </x:c>
      <x:c r="C120" s="31" t="inlineStr">
        <x:is>
          <x:t xml:space="preserve">ЗК-1090</x:t>
        </x:is>
      </x:c>
      <x:c r="D120" s="31" t="inlineStr">
        <x:is>
          <x:t xml:space="preserve">ИЗД-034</x:t>
        </x:is>
      </x:c>
      <x:c r="E120" s="31" t="n">
        <x:v>46172</x:v>
      </x:c>
      <x:c r="F120" s="31" t="inlineStr">
        <x:is>
          <x:t xml:space="preserve">СОТР-100</x:t>
        </x:is>
      </x:c>
      <x:c r="G120" s="31" t="n">
        <x:v>6</x:v>
      </x:c>
      <x:c r="H120" s="31" t="n">
        <x:v>3</x:v>
      </x:c>
      <x:c r="I120" s="31" t="inlineStr">
        <x:is>
          <x:t xml:space="preserve">Геометрия</x:t>
        </x:is>
      </x:c>
      <x:c r="J120" s="31" t="inlineStr">
        <x:is>
          <x:t xml:space="preserve">Существенный</x:t>
        </x:is>
      </x:c>
      <x:c r="K120" s="31" t="inlineStr">
        <x:is>
          <x:t xml:space="preserve">Доработка</x:t>
        </x:is>
      </x:c>
      <x:c r="L120" s="31" t="inlineStr">
        <x:is>
          <x:t xml:space="preserve">Да</x:t>
        </x:is>
      </x:c>
      <x:c r="M120" s="31" t="inlineStr">
        <x:is>
          <x:t xml:space="preserve">Открыта</x:t>
        </x:is>
      </x:c>
      <x:c r="N120" s="31" t="inlineStr">
        <x:is>
          <x:t xml:space="preserve">Протокол приемочные испытания/ОТК 3584</x:t>
        </x:is>
      </x:c>
    </x:row>
    <x:row r="121" ht="18" customHeight="1">
      <x:c r="A121" s="31" t="inlineStr">
        <x:is>
          <x:t xml:space="preserve">ОТК-00120</x:t>
        </x:is>
      </x:c>
      <x:c r="B121" s="31" t="inlineStr">
        <x:is>
          <x:t xml:space="preserve">ПЗ-00187</x:t>
        </x:is>
      </x:c>
      <x:c r="C121" s="31" t="inlineStr">
        <x:is>
          <x:t xml:space="preserve">ЗК-1091</x:t>
        </x:is>
      </x:c>
      <x:c r="D121" s="31" t="inlineStr">
        <x:is>
          <x:t xml:space="preserve">ИЗД-027</x:t>
        </x:is>
      </x:c>
      <x:c r="E121" s="31" t="n">
        <x:v>46205</x:v>
      </x:c>
      <x:c r="F121" s="31" t="inlineStr">
        <x:is>
          <x:t xml:space="preserve">СОТР-092</x:t>
        </x:is>
      </x:c>
      <x:c r="G121" s="31" t="n">
        <x:v>4</x:v>
      </x:c>
      <x:c r="H121" s="31" t="n">
        <x:v>3</x:v>
      </x:c>
      <x:c r="I121" s="31" t="inlineStr">
        <x:is>
          <x:t xml:space="preserve">Комплектность</x:t>
        </x:is>
      </x:c>
      <x:c r="J121" s="31" t="inlineStr">
        <x:is>
          <x:t xml:space="preserve">Незначительный</x:t>
        </x:is>
      </x:c>
      <x:c r="K121" s="31" t="inlineStr">
        <x:is>
          <x:t xml:space="preserve">Доработка</x:t>
        </x:is>
      </x:c>
      <x:c r="L121" s="31" t="inlineStr">
        <x:is>
          <x:t xml:space="preserve">Да</x:t>
        </x:is>
      </x:c>
      <x:c r="M121" s="31" t="inlineStr">
        <x:is>
          <x:t xml:space="preserve">Открыта</x:t>
        </x:is>
      </x:c>
      <x:c r="N121" s="31" t="inlineStr">
        <x:is>
          <x:t xml:space="preserve">Протокол приемочные испытания/ОТК 1096</x:t>
        </x:is>
      </x:c>
    </x:row>
    <x:row r="122" ht="18" customHeight="1">
      <x:c r="A122" s="31" t="inlineStr">
        <x:is>
          <x:t xml:space="preserve">ОТК-00121</x:t>
        </x:is>
      </x:c>
      <x:c r="B122" s="31" t="inlineStr">
        <x:is>
          <x:t xml:space="preserve">ПЗ-00189</x:t>
        </x:is>
      </x:c>
      <x:c r="C122" s="31" t="inlineStr">
        <x:is>
          <x:t xml:space="preserve">ЗК-1092</x:t>
        </x:is>
      </x:c>
      <x:c r="D122" s="31" t="inlineStr">
        <x:is>
          <x:t xml:space="preserve">ИЗД-044</x:t>
        </x:is>
      </x:c>
      <x:c r="E122" s="31" t="n">
        <x:v>46199</x:v>
      </x:c>
      <x:c r="F122" s="31" t="inlineStr">
        <x:is>
          <x:t xml:space="preserve">СОТР-092</x:t>
        </x:is>
      </x:c>
      <x:c r="G122" s="31" t="n">
        <x:v>8</x:v>
      </x:c>
      <x:c r="H122" s="31" t="n">
        <x:v>0</x:v>
      </x:c>
      <x:c r="I122" s="31" t="inlineStr">
        <x:is>
          <x:t xml:space="preserve">Комплектность</x:t>
        </x:is>
      </x:c>
      <x:c r="J122" s="31" t="inlineStr">
        <x:is>
          <x:t xml:space="preserve">Нет</x:t>
        </x:is>
      </x:c>
      <x:c r="K122" s="31" t="inlineStr">
        <x:is>
          <x:t xml:space="preserve">Принято</x:t>
        </x:is>
      </x:c>
      <x:c r="L122" s="31" t="inlineStr">
        <x:is>
          <x:t xml:space="preserve">Нет</x:t>
        </x:is>
      </x:c>
      <x:c r="M122" s="31" t="inlineStr">
        <x:is>
          <x:t xml:space="preserve">Не требуется</x:t>
        </x:is>
      </x:c>
      <x:c r="N122" s="31" t="inlineStr">
        <x:is>
          <x:t xml:space="preserve">Протокол приемочные испытания/ОТК 3488</x:t>
        </x:is>
      </x:c>
    </x:row>
    <x:row r="123" ht="18" customHeight="1">
      <x:c r="A123" s="31" t="inlineStr">
        <x:is>
          <x:t xml:space="preserve">ОТК-00122</x:t>
        </x:is>
      </x:c>
      <x:c r="B123" s="31" t="inlineStr">
        <x:is>
          <x:t xml:space="preserve">ПЗ-00193</x:t>
        </x:is>
      </x:c>
      <x:c r="C123" s="31" t="inlineStr">
        <x:is>
          <x:t xml:space="preserve">ЗК-1093</x:t>
        </x:is>
      </x:c>
      <x:c r="D123" s="31" t="inlineStr">
        <x:is>
          <x:t xml:space="preserve">ИЗД-017</x:t>
        </x:is>
      </x:c>
      <x:c r="E123" s="31" t="n">
        <x:v>46161</x:v>
      </x:c>
      <x:c r="F123" s="31" t="inlineStr">
        <x:is>
          <x:t xml:space="preserve">СОТР-095</x:t>
        </x:is>
      </x:c>
      <x:c r="G123" s="31" t="n">
        <x:v>4</x:v>
      </x:c>
      <x:c r="H123" s="31" t="n">
        <x:v>0</x:v>
      </x:c>
      <x:c r="I123" s="31" t="inlineStr">
        <x:is>
          <x:t xml:space="preserve">Электрика</x:t>
        </x:is>
      </x:c>
      <x:c r="J123" s="31" t="inlineStr">
        <x:is>
          <x:t xml:space="preserve">Нет</x:t>
        </x:is>
      </x:c>
      <x:c r="K123" s="31" t="inlineStr">
        <x:is>
          <x:t xml:space="preserve">Принято</x:t>
        </x:is>
      </x:c>
      <x:c r="L123" s="31" t="inlineStr">
        <x:is>
          <x:t xml:space="preserve">Нет</x:t>
        </x:is>
      </x:c>
      <x:c r="M123" s="31" t="inlineStr">
        <x:is>
          <x:t xml:space="preserve">Не требуется</x:t>
        </x:is>
      </x:c>
      <x:c r="N123" s="31" t="inlineStr">
        <x:is>
          <x:t xml:space="preserve">Протокол приемочные испытания/ОТК 7471</x:t>
        </x:is>
      </x:c>
    </x:row>
    <x:row r="124" ht="18" customHeight="1">
      <x:c r="A124" s="31" t="inlineStr">
        <x:is>
          <x:t xml:space="preserve">ОТК-00123</x:t>
        </x:is>
      </x:c>
      <x:c r="B124" s="31" t="inlineStr">
        <x:is>
          <x:t xml:space="preserve">ПЗ-00194</x:t>
        </x:is>
      </x:c>
      <x:c r="C124" s="31" t="inlineStr">
        <x:is>
          <x:t xml:space="preserve">ЗК-1093</x:t>
        </x:is>
      </x:c>
      <x:c r="D124" s="31" t="inlineStr">
        <x:is>
          <x:t xml:space="preserve">ИЗД-023</x:t>
        </x:is>
      </x:c>
      <x:c r="E124" s="31" t="n">
        <x:v>46164</x:v>
      </x:c>
      <x:c r="F124" s="31" t="inlineStr">
        <x:is>
          <x:t xml:space="preserve">СОТР-063</x:t>
        </x:is>
      </x:c>
      <x:c r="G124" s="31" t="n">
        <x:v>8</x:v>
      </x:c>
      <x:c r="H124" s="31" t="n">
        <x:v>1</x:v>
      </x:c>
      <x:c r="I124" s="31" t="inlineStr">
        <x:is>
          <x:t xml:space="preserve">Герметичность</x:t>
        </x:is>
      </x:c>
      <x:c r="J124" s="31" t="inlineStr">
        <x:is>
          <x:t xml:space="preserve">Незначительный</x:t>
        </x:is>
      </x:c>
      <x:c r="K124" s="31" t="inlineStr">
        <x:is>
          <x:t xml:space="preserve">Принято с замечаниями</x:t>
        </x:is>
      </x:c>
      <x:c r="L124" s="31" t="inlineStr">
        <x:is>
          <x:t xml:space="preserve">Нет</x:t>
        </x:is>
      </x:c>
      <x:c r="M124" s="31" t="inlineStr">
        <x:is>
          <x:t xml:space="preserve">Открыта</x:t>
        </x:is>
      </x:c>
      <x:c r="N124" s="31" t="inlineStr">
        <x:is>
          <x:t xml:space="preserve">Протокол приемочные испытания/ОТК 8946</x:t>
        </x:is>
      </x:c>
    </x:row>
    <x:row r="125" ht="18" customHeight="1">
      <x:c r="A125" s="31" t="inlineStr">
        <x:is>
          <x:t xml:space="preserve">ОТК-00124</x:t>
        </x:is>
      </x:c>
      <x:c r="B125" s="31" t="inlineStr">
        <x:is>
          <x:t xml:space="preserve">ПЗ-00196</x:t>
        </x:is>
      </x:c>
      <x:c r="C125" s="31" t="inlineStr">
        <x:is>
          <x:t xml:space="preserve">ЗК-1094</x:t>
        </x:is>
      </x:c>
      <x:c r="D125" s="31" t="inlineStr">
        <x:is>
          <x:t xml:space="preserve">ИЗД-044</x:t>
        </x:is>
      </x:c>
      <x:c r="E125" s="31" t="n">
        <x:v>46148</x:v>
      </x:c>
      <x:c r="F125" s="31" t="inlineStr">
        <x:is>
          <x:t xml:space="preserve">СОТР-092</x:t>
        </x:is>
      </x:c>
      <x:c r="G125" s="31" t="n">
        <x:v>3</x:v>
      </x:c>
      <x:c r="H125" s="31" t="n">
        <x:v>0</x:v>
      </x:c>
      <x:c r="I125" s="31" t="inlineStr">
        <x:is>
          <x:t xml:space="preserve">Покрытие</x:t>
        </x:is>
      </x:c>
      <x:c r="J125" s="31" t="inlineStr">
        <x:is>
          <x:t xml:space="preserve">Нет</x:t>
        </x:is>
      </x:c>
      <x:c r="K125" s="31" t="inlineStr">
        <x:is>
          <x:t xml:space="preserve">Принято</x:t>
        </x:is>
      </x:c>
      <x:c r="L125" s="31" t="inlineStr">
        <x:is>
          <x:t xml:space="preserve">Нет</x:t>
        </x:is>
      </x:c>
      <x:c r="M125" s="31" t="inlineStr">
        <x:is>
          <x:t xml:space="preserve">Не требуется</x:t>
        </x:is>
      </x:c>
      <x:c r="N125" s="31" t="inlineStr">
        <x:is>
          <x:t xml:space="preserve">Протокол приемочные испытания/ОТК 8928</x:t>
        </x:is>
      </x:c>
    </x:row>
    <x:row r="126" ht="18" customHeight="1">
      <x:c r="A126" s="31" t="inlineStr">
        <x:is>
          <x:t xml:space="preserve">ОТК-00125</x:t>
        </x:is>
      </x:c>
      <x:c r="B126" s="31" t="inlineStr">
        <x:is>
          <x:t xml:space="preserve">ПЗ-00197</x:t>
        </x:is>
      </x:c>
      <x:c r="C126" s="31" t="inlineStr">
        <x:is>
          <x:t xml:space="preserve">ЗК-1094</x:t>
        </x:is>
      </x:c>
      <x:c r="D126" s="31" t="inlineStr">
        <x:is>
          <x:t xml:space="preserve">ИЗД-023</x:t>
        </x:is>
      </x:c>
      <x:c r="E126" s="31" t="n">
        <x:v>46152</x:v>
      </x:c>
      <x:c r="F126" s="31" t="inlineStr">
        <x:is>
          <x:t xml:space="preserve">СОТР-092</x:t>
        </x:is>
      </x:c>
      <x:c r="G126" s="31" t="n">
        <x:v>4</x:v>
      </x:c>
      <x:c r="H126" s="31" t="n">
        <x:v>0</x:v>
      </x:c>
      <x:c r="I126" s="31" t="inlineStr">
        <x:is>
          <x:t xml:space="preserve">Герметичность</x:t>
        </x:is>
      </x:c>
      <x:c r="J126" s="31" t="inlineStr">
        <x:is>
          <x:t xml:space="preserve">Нет</x:t>
        </x:is>
      </x:c>
      <x:c r="K126" s="31" t="inlineStr">
        <x:is>
          <x:t xml:space="preserve">Принято</x:t>
        </x:is>
      </x:c>
      <x:c r="L126" s="31" t="inlineStr">
        <x:is>
          <x:t xml:space="preserve">Нет</x:t>
        </x:is>
      </x:c>
      <x:c r="M126" s="31" t="inlineStr">
        <x:is>
          <x:t xml:space="preserve">Не требуется</x:t>
        </x:is>
      </x:c>
      <x:c r="N126" s="31" t="inlineStr">
        <x:is>
          <x:t xml:space="preserve">Протокол приемочные испытания/ОТК 6696</x:t>
        </x:is>
      </x:c>
    </x:row>
    <x:row r="127" ht="18" customHeight="1">
      <x:c r="A127" s="31" t="inlineStr">
        <x:is>
          <x:t xml:space="preserve">ОТК-00126</x:t>
        </x:is>
      </x:c>
      <x:c r="B127" s="31" t="inlineStr">
        <x:is>
          <x:t xml:space="preserve">ПЗ-00198</x:t>
        </x:is>
      </x:c>
      <x:c r="C127" s="31" t="inlineStr">
        <x:is>
          <x:t xml:space="preserve">ЗК-1094</x:t>
        </x:is>
      </x:c>
      <x:c r="D127" s="31" t="inlineStr">
        <x:is>
          <x:t xml:space="preserve">ИЗД-016</x:t>
        </x:is>
      </x:c>
      <x:c r="E127" s="31" t="n">
        <x:v>46160</x:v>
      </x:c>
      <x:c r="F127" s="31" t="inlineStr">
        <x:is>
          <x:t xml:space="preserve">СОТР-095</x:t>
        </x:is>
      </x:c>
      <x:c r="G127" s="31" t="n">
        <x:v>7</x:v>
      </x:c>
      <x:c r="H127" s="31" t="n">
        <x:v>0</x:v>
      </x:c>
      <x:c r="I127" s="31" t="inlineStr">
        <x:is>
          <x:t xml:space="preserve">Сварной шов</x:t>
        </x:is>
      </x:c>
      <x:c r="J127" s="31" t="inlineStr">
        <x:is>
          <x:t xml:space="preserve">Нет</x:t>
        </x:is>
      </x:c>
      <x:c r="K127" s="31" t="inlineStr">
        <x:is>
          <x:t xml:space="preserve">Принято</x:t>
        </x:is>
      </x:c>
      <x:c r="L127" s="31" t="inlineStr">
        <x:is>
          <x:t xml:space="preserve">Нет</x:t>
        </x:is>
      </x:c>
      <x:c r="M127" s="31" t="inlineStr">
        <x:is>
          <x:t xml:space="preserve">Не требуется</x:t>
        </x:is>
      </x:c>
      <x:c r="N127" s="31" t="inlineStr">
        <x:is>
          <x:t xml:space="preserve">Протокол приемочные испытания/ОТК 8479</x:t>
        </x:is>
      </x:c>
    </x:row>
    <x:row r="128" ht="18" customHeight="1">
      <x:c r="A128" s="31" t="inlineStr">
        <x:is>
          <x:t xml:space="preserve">ОТК-00127</x:t>
        </x:is>
      </x:c>
      <x:c r="B128" s="31" t="inlineStr">
        <x:is>
          <x:t xml:space="preserve">ПЗ-00202</x:t>
        </x:is>
      </x:c>
      <x:c r="C128" s="31" t="inlineStr">
        <x:is>
          <x:t xml:space="preserve">ЗК-1097</x:t>
        </x:is>
      </x:c>
      <x:c r="D128" s="31" t="inlineStr">
        <x:is>
          <x:t xml:space="preserve">ИЗД-038</x:t>
        </x:is>
      </x:c>
      <x:c r="E128" s="31" t="n">
        <x:v>46121</x:v>
      </x:c>
      <x:c r="F128" s="31" t="inlineStr">
        <x:is>
          <x:t xml:space="preserve">СОТР-063</x:t>
        </x:is>
      </x:c>
      <x:c r="G128" s="31" t="n">
        <x:v>6</x:v>
      </x:c>
      <x:c r="H128" s="31" t="n">
        <x:v>1</x:v>
      </x:c>
      <x:c r="I128" s="31" t="inlineStr">
        <x:is>
          <x:t xml:space="preserve">Геометрия</x:t>
        </x:is>
      </x:c>
      <x:c r="J128" s="31" t="inlineStr">
        <x:is>
          <x:t xml:space="preserve">Незначительный</x:t>
        </x:is>
      </x:c>
      <x:c r="K128" s="31" t="inlineStr">
        <x:is>
          <x:t xml:space="preserve">Доработка</x:t>
        </x:is>
      </x:c>
      <x:c r="L128" s="31" t="inlineStr">
        <x:is>
          <x:t xml:space="preserve">Да</x:t>
        </x:is>
      </x:c>
      <x:c r="M128" s="31" t="inlineStr">
        <x:is>
          <x:t xml:space="preserve">Закрыта</x:t>
        </x:is>
      </x:c>
      <x:c r="N128" s="31" t="inlineStr">
        <x:is>
          <x:t xml:space="preserve">Протокол приемочные испытания/ОТК 2723</x:t>
        </x:is>
      </x:c>
    </x:row>
    <x:row r="129" ht="18" customHeight="1">
      <x:c r="A129" s="31" t="inlineStr">
        <x:is>
          <x:t xml:space="preserve">ОТК-00128</x:t>
        </x:is>
      </x:c>
      <x:c r="B129" s="31" t="inlineStr">
        <x:is>
          <x:t xml:space="preserve">ПЗ-00204</x:t>
        </x:is>
      </x:c>
      <x:c r="C129" s="31" t="inlineStr">
        <x:is>
          <x:t xml:space="preserve">ЗК-1098</x:t>
        </x:is>
      </x:c>
      <x:c r="D129" s="31" t="inlineStr">
        <x:is>
          <x:t xml:space="preserve">ИЗД-044</x:t>
        </x:is>
      </x:c>
      <x:c r="E129" s="31" t="n">
        <x:v>46222</x:v>
      </x:c>
      <x:c r="F129" s="31" t="inlineStr">
        <x:is>
          <x:t xml:space="preserve">СОТР-099</x:t>
        </x:is>
      </x:c>
      <x:c r="G129" s="31" t="n">
        <x:v>8</x:v>
      </x:c>
      <x:c r="H129" s="31" t="n">
        <x:v>1</x:v>
      </x:c>
      <x:c r="I129" s="31" t="inlineStr">
        <x:is>
          <x:t xml:space="preserve">Покрытие</x:t>
        </x:is>
      </x:c>
      <x:c r="J129" s="31" t="inlineStr">
        <x:is>
          <x:t xml:space="preserve">Критичный</x:t>
        </x:is>
      </x:c>
      <x:c r="K129" s="31" t="inlineStr">
        <x:is>
          <x:t xml:space="preserve">Доработка</x:t>
        </x:is>
      </x:c>
      <x:c r="L129" s="31" t="inlineStr">
        <x:is>
          <x:t xml:space="preserve">Да</x:t>
        </x:is>
      </x:c>
      <x:c r="M129" s="31" t="inlineStr">
        <x:is>
          <x:t xml:space="preserve">Закрыта</x:t>
        </x:is>
      </x:c>
      <x:c r="N129" s="31" t="inlineStr">
        <x:is>
          <x:t xml:space="preserve">Протокол приемочные испытания/ОТК 4482</x:t>
        </x:is>
      </x:c>
    </x:row>
    <x:row r="130" ht="18" customHeight="1">
      <x:c r="A130" s="31" t="inlineStr">
        <x:is>
          <x:t xml:space="preserve">ОТК-00129</x:t>
        </x:is>
      </x:c>
      <x:c r="B130" s="31" t="inlineStr">
        <x:is>
          <x:t xml:space="preserve">ПЗ-00205</x:t>
        </x:is>
      </x:c>
      <x:c r="C130" s="31" t="inlineStr">
        <x:is>
          <x:t xml:space="preserve">ЗК-1099</x:t>
        </x:is>
      </x:c>
      <x:c r="D130" s="31" t="inlineStr">
        <x:is>
          <x:t xml:space="preserve">ИЗД-035</x:t>
        </x:is>
      </x:c>
      <x:c r="E130" s="31" t="n">
        <x:v>46202</x:v>
      </x:c>
      <x:c r="F130" s="31" t="inlineStr">
        <x:is>
          <x:t xml:space="preserve">СОТР-096</x:t>
        </x:is>
      </x:c>
      <x:c r="G130" s="31" t="n">
        <x:v>4</x:v>
      </x:c>
      <x:c r="H130" s="31" t="n">
        <x:v>3</x:v>
      </x:c>
      <x:c r="I130" s="31" t="inlineStr">
        <x:is>
          <x:t xml:space="preserve">Электрика</x:t>
        </x:is>
      </x:c>
      <x:c r="J130" s="31" t="inlineStr">
        <x:is>
          <x:t xml:space="preserve">Существенный</x:t>
        </x:is>
      </x:c>
      <x:c r="K130" s="31" t="inlineStr">
        <x:is>
          <x:t xml:space="preserve">Доработка</x:t>
        </x:is>
      </x:c>
      <x:c r="L130" s="31" t="inlineStr">
        <x:is>
          <x:t xml:space="preserve">Да</x:t>
        </x:is>
      </x:c>
      <x:c r="M130" s="31" t="inlineStr">
        <x:is>
          <x:t xml:space="preserve">Закрыта</x:t>
        </x:is>
      </x:c>
      <x:c r="N130" s="31" t="inlineStr">
        <x:is>
          <x:t xml:space="preserve">Протокол приемочные испытания/ОТК 9360</x:t>
        </x:is>
      </x:c>
    </x:row>
    <x:row r="131" ht="18" customHeight="1">
      <x:c r="A131" s="31" t="inlineStr">
        <x:is>
          <x:t xml:space="preserve">ОТК-00130</x:t>
        </x:is>
      </x:c>
      <x:c r="B131" s="31" t="inlineStr">
        <x:is>
          <x:t xml:space="preserve">ПЗ-00206</x:t>
        </x:is>
      </x:c>
      <x:c r="C131" s="31" t="inlineStr">
        <x:is>
          <x:t xml:space="preserve">ЗК-1099</x:t>
        </x:is>
      </x:c>
      <x:c r="D131" s="31" t="inlineStr">
        <x:is>
          <x:t xml:space="preserve">ИЗД-044</x:t>
        </x:is>
      </x:c>
      <x:c r="E131" s="31" t="n">
        <x:v>46206</x:v>
      </x:c>
      <x:c r="F131" s="31" t="inlineStr">
        <x:is>
          <x:t xml:space="preserve">СОТР-092</x:t>
        </x:is>
      </x:c>
      <x:c r="G131" s="31" t="n">
        <x:v>6</x:v>
      </x:c>
      <x:c r="H131" s="31" t="n">
        <x:v>0</x:v>
      </x:c>
      <x:c r="I131" s="31" t="inlineStr">
        <x:is>
          <x:t xml:space="preserve">Комплектность</x:t>
        </x:is>
      </x:c>
      <x:c r="J131" s="31" t="inlineStr">
        <x:is>
          <x:t xml:space="preserve">Нет</x:t>
        </x:is>
      </x:c>
      <x:c r="K131" s="31" t="inlineStr">
        <x:is>
          <x:t xml:space="preserve">Принято</x:t>
        </x:is>
      </x:c>
      <x:c r="L131" s="31" t="inlineStr">
        <x:is>
          <x:t xml:space="preserve">Нет</x:t>
        </x:is>
      </x:c>
      <x:c r="M131" s="31" t="inlineStr">
        <x:is>
          <x:t xml:space="preserve">Не требуется</x:t>
        </x:is>
      </x:c>
      <x:c r="N131" s="31" t="inlineStr">
        <x:is>
          <x:t xml:space="preserve">Протокол приемочные испытания/ОТК 5664</x:t>
        </x:is>
      </x:c>
    </x:row>
    <x:row r="132" ht="18" customHeight="1">
      <x:c r="A132" s="31" t="inlineStr">
        <x:is>
          <x:t xml:space="preserve">ОТК-00131</x:t>
        </x:is>
      </x:c>
      <x:c r="B132" s="31" t="inlineStr">
        <x:is>
          <x:t xml:space="preserve">ПЗ-00207</x:t>
        </x:is>
      </x:c>
      <x:c r="C132" s="31" t="inlineStr">
        <x:is>
          <x:t xml:space="preserve">ЗК-1100</x:t>
        </x:is>
      </x:c>
      <x:c r="D132" s="31" t="inlineStr">
        <x:is>
          <x:t xml:space="preserve">ИЗД-022</x:t>
        </x:is>
      </x:c>
      <x:c r="E132" s="31" t="n">
        <x:v>46109</x:v>
      </x:c>
      <x:c r="F132" s="31" t="inlineStr">
        <x:is>
          <x:t xml:space="preserve">СОТР-098</x:t>
        </x:is>
      </x:c>
      <x:c r="G132" s="31" t="n">
        <x:v>8</x:v>
      </x:c>
      <x:c r="H132" s="31" t="n">
        <x:v>0</x:v>
      </x:c>
      <x:c r="I132" s="31" t="inlineStr">
        <x:is>
          <x:t xml:space="preserve">Сварной шов</x:t>
        </x:is>
      </x:c>
      <x:c r="J132" s="31" t="inlineStr">
        <x:is>
          <x:t xml:space="preserve">Нет</x:t>
        </x:is>
      </x:c>
      <x:c r="K132" s="31" t="inlineStr">
        <x:is>
          <x:t xml:space="preserve">Принято</x:t>
        </x:is>
      </x:c>
      <x:c r="L132" s="31" t="inlineStr">
        <x:is>
          <x:t xml:space="preserve">Нет</x:t>
        </x:is>
      </x:c>
      <x:c r="M132" s="31" t="inlineStr">
        <x:is>
          <x:t xml:space="preserve">Не требуется</x:t>
        </x:is>
      </x:c>
      <x:c r="N132" s="31" t="inlineStr">
        <x:is>
          <x:t xml:space="preserve">Протокол приемочные испытания/ОТК 2860</x:t>
        </x:is>
      </x:c>
    </x:row>
    <x:row r="133" ht="18" customHeight="1">
      <x:c r="A133" s="31" t="inlineStr">
        <x:is>
          <x:t xml:space="preserve">ОТК-00132</x:t>
        </x:is>
      </x:c>
      <x:c r="B133" s="31" t="inlineStr">
        <x:is>
          <x:t xml:space="preserve">ПЗ-00208</x:t>
        </x:is>
      </x:c>
      <x:c r="C133" s="31" t="inlineStr">
        <x:is>
          <x:t xml:space="preserve">ЗК-1100</x:t>
        </x:is>
      </x:c>
      <x:c r="D133" s="31" t="inlineStr">
        <x:is>
          <x:t xml:space="preserve">ИЗД-012</x:t>
        </x:is>
      </x:c>
      <x:c r="E133" s="31" t="n">
        <x:v>46106</x:v>
      </x:c>
      <x:c r="F133" s="31" t="inlineStr">
        <x:is>
          <x:t xml:space="preserve">СОТР-100</x:t>
        </x:is>
      </x:c>
      <x:c r="G133" s="31" t="n">
        <x:v>6</x:v>
      </x:c>
      <x:c r="H133" s="31" t="n">
        <x:v>3</x:v>
      </x:c>
      <x:c r="I133" s="31" t="inlineStr">
        <x:is>
          <x:t xml:space="preserve">Документация</x:t>
        </x:is>
      </x:c>
      <x:c r="J133" s="31" t="inlineStr">
        <x:is>
          <x:t xml:space="preserve">Незначительный</x:t>
        </x:is>
      </x:c>
      <x:c r="K133" s="31" t="inlineStr">
        <x:is>
          <x:t xml:space="preserve">Доработка</x:t>
        </x:is>
      </x:c>
      <x:c r="L133" s="31" t="inlineStr">
        <x:is>
          <x:t xml:space="preserve">Да</x:t>
        </x:is>
      </x:c>
      <x:c r="M133" s="31" t="inlineStr">
        <x:is>
          <x:t xml:space="preserve">Открыта</x:t>
        </x:is>
      </x:c>
      <x:c r="N133" s="31" t="inlineStr">
        <x:is>
          <x:t xml:space="preserve">Протокол приемочные испытания/ОТК 8907</x:t>
        </x:is>
      </x:c>
    </x:row>
    <x:row r="134" ht="18" customHeight="1">
      <x:c r="A134" s="31" t="inlineStr">
        <x:is>
          <x:t xml:space="preserve">ОТК-00133</x:t>
        </x:is>
      </x:c>
      <x:c r="B134" s="31" t="inlineStr">
        <x:is>
          <x:t xml:space="preserve">ПЗ-00209</x:t>
        </x:is>
      </x:c>
      <x:c r="C134" s="31" t="inlineStr">
        <x:is>
          <x:t xml:space="preserve">ЗК-1101</x:t>
        </x:is>
      </x:c>
      <x:c r="D134" s="31" t="inlineStr">
        <x:is>
          <x:t xml:space="preserve">ИЗД-041</x:t>
        </x:is>
      </x:c>
      <x:c r="E134" s="31" t="n">
        <x:v>46185</x:v>
      </x:c>
      <x:c r="F134" s="31" t="inlineStr">
        <x:is>
          <x:t xml:space="preserve">СОТР-093</x:t>
        </x:is>
      </x:c>
      <x:c r="G134" s="31" t="n">
        <x:v>4</x:v>
      </x:c>
      <x:c r="H134" s="31" t="n">
        <x:v>0</x:v>
      </x:c>
      <x:c r="I134" s="31" t="inlineStr">
        <x:is>
          <x:t xml:space="preserve">Геометрия</x:t>
        </x:is>
      </x:c>
      <x:c r="J134" s="31" t="inlineStr">
        <x:is>
          <x:t xml:space="preserve">Нет</x:t>
        </x:is>
      </x:c>
      <x:c r="K134" s="31" t="inlineStr">
        <x:is>
          <x:t xml:space="preserve">Принято</x:t>
        </x:is>
      </x:c>
      <x:c r="L134" s="31" t="inlineStr">
        <x:is>
          <x:t xml:space="preserve">Нет</x:t>
        </x:is>
      </x:c>
      <x:c r="M134" s="31" t="inlineStr">
        <x:is>
          <x:t xml:space="preserve">Не требуется</x:t>
        </x:is>
      </x:c>
      <x:c r="N134" s="31" t="inlineStr">
        <x:is>
          <x:t xml:space="preserve">Протокол приемочные испытания/ОТК 5169</x:t>
        </x:is>
      </x:c>
    </x:row>
    <x:row r="135" ht="18" customHeight="1">
      <x:c r="A135" s="31" t="inlineStr">
        <x:is>
          <x:t xml:space="preserve">ОТК-00134</x:t>
        </x:is>
      </x:c>
      <x:c r="B135" s="31" t="inlineStr">
        <x:is>
          <x:t xml:space="preserve">ПЗ-00210</x:t>
        </x:is>
      </x:c>
      <x:c r="C135" s="31" t="inlineStr">
        <x:is>
          <x:t xml:space="preserve">ЗК-1101</x:t>
        </x:is>
      </x:c>
      <x:c r="D135" s="31" t="inlineStr">
        <x:is>
          <x:t xml:space="preserve">ИЗД-040</x:t>
        </x:is>
      </x:c>
      <x:c r="E135" s="31" t="n">
        <x:v>46197</x:v>
      </x:c>
      <x:c r="F135" s="31" t="inlineStr">
        <x:is>
          <x:t xml:space="preserve">СОТР-095</x:t>
        </x:is>
      </x:c>
      <x:c r="G135" s="31" t="n">
        <x:v>3</x:v>
      </x:c>
      <x:c r="H135" s="31" t="n">
        <x:v>0</x:v>
      </x:c>
      <x:c r="I135" s="31" t="inlineStr">
        <x:is>
          <x:t xml:space="preserve">Геометрия</x:t>
        </x:is>
      </x:c>
      <x:c r="J135" s="31" t="inlineStr">
        <x:is>
          <x:t xml:space="preserve">Нет</x:t>
        </x:is>
      </x:c>
      <x:c r="K135" s="31" t="inlineStr">
        <x:is>
          <x:t xml:space="preserve">Принято</x:t>
        </x:is>
      </x:c>
      <x:c r="L135" s="31" t="inlineStr">
        <x:is>
          <x:t xml:space="preserve">Нет</x:t>
        </x:is>
      </x:c>
      <x:c r="M135" s="31" t="inlineStr">
        <x:is>
          <x:t xml:space="preserve">Не требуется</x:t>
        </x:is>
      </x:c>
      <x:c r="N135" s="31" t="inlineStr">
        <x:is>
          <x:t xml:space="preserve">Протокол приемочные испытания/ОТК 9934</x:t>
        </x:is>
      </x:c>
    </x:row>
    <x:row r="136" ht="18" customHeight="1">
      <x:c r="A136" s="31" t="inlineStr">
        <x:is>
          <x:t xml:space="preserve">ОТК-00135</x:t>
        </x:is>
      </x:c>
      <x:c r="B136" s="31" t="inlineStr">
        <x:is>
          <x:t xml:space="preserve">ПЗ-00211</x:t>
        </x:is>
      </x:c>
      <x:c r="C136" s="31" t="inlineStr">
        <x:is>
          <x:t xml:space="preserve">ЗК-1102</x:t>
        </x:is>
      </x:c>
      <x:c r="D136" s="31" t="inlineStr">
        <x:is>
          <x:t xml:space="preserve">ИЗД-043</x:t>
        </x:is>
      </x:c>
      <x:c r="E136" s="31" t="n">
        <x:v>46221</x:v>
      </x:c>
      <x:c r="F136" s="31" t="inlineStr">
        <x:is>
          <x:t xml:space="preserve">СОТР-092</x:t>
        </x:is>
      </x:c>
      <x:c r="G136" s="31" t="n">
        <x:v>8</x:v>
      </x:c>
      <x:c r="H136" s="31" t="n">
        <x:v>0</x:v>
      </x:c>
      <x:c r="I136" s="31" t="inlineStr">
        <x:is>
          <x:t xml:space="preserve">Герметичность</x:t>
        </x:is>
      </x:c>
      <x:c r="J136" s="31" t="inlineStr">
        <x:is>
          <x:t xml:space="preserve">Нет</x:t>
        </x:is>
      </x:c>
      <x:c r="K136" s="31" t="inlineStr">
        <x:is>
          <x:t xml:space="preserve">Принято</x:t>
        </x:is>
      </x:c>
      <x:c r="L136" s="31" t="inlineStr">
        <x:is>
          <x:t xml:space="preserve">Нет</x:t>
        </x:is>
      </x:c>
      <x:c r="M136" s="31" t="inlineStr">
        <x:is>
          <x:t xml:space="preserve">Не требуется</x:t>
        </x:is>
      </x:c>
      <x:c r="N136" s="31" t="inlineStr">
        <x:is>
          <x:t xml:space="preserve">Протокол приемочные испытания/ОТК 4357</x:t>
        </x:is>
      </x:c>
    </x:row>
    <x:row r="137" ht="18" customHeight="1">
      <x:c r="A137" s="31" t="inlineStr">
        <x:is>
          <x:t xml:space="preserve">ОТК-00136</x:t>
        </x:is>
      </x:c>
      <x:c r="B137" s="31" t="inlineStr">
        <x:is>
          <x:t xml:space="preserve">ПЗ-00212</x:t>
        </x:is>
      </x:c>
      <x:c r="C137" s="31" t="inlineStr">
        <x:is>
          <x:t xml:space="preserve">ЗК-1102</x:t>
        </x:is>
      </x:c>
      <x:c r="D137" s="31" t="inlineStr">
        <x:is>
          <x:t xml:space="preserve">ИЗД-036</x:t>
        </x:is>
      </x:c>
      <x:c r="E137" s="31" t="n">
        <x:v>46215</x:v>
      </x:c>
      <x:c r="F137" s="31" t="inlineStr">
        <x:is>
          <x:t xml:space="preserve">СОТР-063</x:t>
        </x:is>
      </x:c>
      <x:c r="G137" s="31" t="n">
        <x:v>4</x:v>
      </x:c>
      <x:c r="H137" s="31" t="n">
        <x:v>0</x:v>
      </x:c>
      <x:c r="I137" s="31" t="inlineStr">
        <x:is>
          <x:t xml:space="preserve">Геометрия</x:t>
        </x:is>
      </x:c>
      <x:c r="J137" s="31" t="inlineStr">
        <x:is>
          <x:t xml:space="preserve">Нет</x:t>
        </x:is>
      </x:c>
      <x:c r="K137" s="31" t="inlineStr">
        <x:is>
          <x:t xml:space="preserve">Принято</x:t>
        </x:is>
      </x:c>
      <x:c r="L137" s="31" t="inlineStr">
        <x:is>
          <x:t xml:space="preserve">Нет</x:t>
        </x:is>
      </x:c>
      <x:c r="M137" s="31" t="inlineStr">
        <x:is>
          <x:t xml:space="preserve">Не требуется</x:t>
        </x:is>
      </x:c>
      <x:c r="N137" s="31" t="inlineStr">
        <x:is>
          <x:t xml:space="preserve">Протокол приемочные испытания/ОТК 7138</x:t>
        </x:is>
      </x:c>
    </x:row>
    <x:row r="138" ht="18" customHeight="1">
      <x:c r="A138" s="31" t="inlineStr">
        <x:is>
          <x:t xml:space="preserve">ОТК-00137</x:t>
        </x:is>
      </x:c>
      <x:c r="B138" s="31" t="inlineStr">
        <x:is>
          <x:t xml:space="preserve">ПЗ-00213</x:t>
        </x:is>
      </x:c>
      <x:c r="C138" s="31" t="inlineStr">
        <x:is>
          <x:t xml:space="preserve">ЗК-1102</x:t>
        </x:is>
      </x:c>
      <x:c r="D138" s="31" t="inlineStr">
        <x:is>
          <x:t xml:space="preserve">ИЗД-025</x:t>
        </x:is>
      </x:c>
      <x:c r="E138" s="31" t="n">
        <x:v>46217</x:v>
      </x:c>
      <x:c r="F138" s="31" t="inlineStr">
        <x:is>
          <x:t xml:space="preserve">СОТР-092</x:t>
        </x:is>
      </x:c>
      <x:c r="G138" s="31" t="n">
        <x:v>7</x:v>
      </x:c>
      <x:c r="H138" s="31" t="n">
        <x:v>2</x:v>
      </x:c>
      <x:c r="I138" s="31" t="inlineStr">
        <x:is>
          <x:t xml:space="preserve">Электрика</x:t>
        </x:is>
      </x:c>
      <x:c r="J138" s="31" t="inlineStr">
        <x:is>
          <x:t xml:space="preserve">Незначительный</x:t>
        </x:is>
      </x:c>
      <x:c r="K138" s="31" t="inlineStr">
        <x:is>
          <x:t xml:space="preserve">Принято с замечаниями</x:t>
        </x:is>
      </x:c>
      <x:c r="L138" s="31" t="inlineStr">
        <x:is>
          <x:t xml:space="preserve">Нет</x:t>
        </x:is>
      </x:c>
      <x:c r="M138" s="31" t="inlineStr">
        <x:is>
          <x:t xml:space="preserve">Открыта</x:t>
        </x:is>
      </x:c>
      <x:c r="N138" s="31" t="inlineStr">
        <x:is>
          <x:t xml:space="preserve">Протокол приемочные испытания/ОТК 6739</x:t>
        </x:is>
      </x:c>
    </x:row>
    <x:row r="139" ht="18" customHeight="1">
      <x:c r="A139" s="31" t="inlineStr">
        <x:is>
          <x:t xml:space="preserve">ОТК-00138</x:t>
        </x:is>
      </x:c>
      <x:c r="B139" s="31" t="inlineStr">
        <x:is>
          <x:t xml:space="preserve">ПЗ-00214</x:t>
        </x:is>
      </x:c>
      <x:c r="C139" s="31" t="inlineStr">
        <x:is>
          <x:t xml:space="preserve">ЗК-1102</x:t>
        </x:is>
      </x:c>
      <x:c r="D139" s="31" t="inlineStr">
        <x:is>
          <x:t xml:space="preserve">ИЗД-029</x:t>
        </x:is>
      </x:c>
      <x:c r="E139" s="31" t="n">
        <x:v>46221</x:v>
      </x:c>
      <x:c r="F139" s="31" t="inlineStr">
        <x:is>
          <x:t xml:space="preserve">СОТР-063</x:t>
        </x:is>
      </x:c>
      <x:c r="G139" s="31" t="n">
        <x:v>4</x:v>
      </x:c>
      <x:c r="H139" s="31" t="n">
        <x:v>1</x:v>
      </x:c>
      <x:c r="I139" s="31" t="inlineStr">
        <x:is>
          <x:t xml:space="preserve">Герметичность</x:t>
        </x:is>
      </x:c>
      <x:c r="J139" s="31" t="inlineStr">
        <x:is>
          <x:t xml:space="preserve">Незначительный</x:t>
        </x:is>
      </x:c>
      <x:c r="K139" s="31" t="inlineStr">
        <x:is>
          <x:t xml:space="preserve">Доработка</x:t>
        </x:is>
      </x:c>
      <x:c r="L139" s="31" t="inlineStr">
        <x:is>
          <x:t xml:space="preserve">Да</x:t>
        </x:is>
      </x:c>
      <x:c r="M139" s="31" t="inlineStr">
        <x:is>
          <x:t xml:space="preserve">Открыта</x:t>
        </x:is>
      </x:c>
      <x:c r="N139" s="31" t="inlineStr">
        <x:is>
          <x:t xml:space="preserve">Протокол приемочные испытания/ОТК 2830</x:t>
        </x:is>
      </x:c>
    </x:row>
    <x:row r="140" ht="18" customHeight="1">
      <x:c r="A140" s="31" t="inlineStr">
        <x:is>
          <x:t xml:space="preserve">ОТК-00139</x:t>
        </x:is>
      </x:c>
      <x:c r="B140" s="31" t="inlineStr">
        <x:is>
          <x:t xml:space="preserve">ПЗ-00216</x:t>
        </x:is>
      </x:c>
      <x:c r="C140" s="31" t="inlineStr">
        <x:is>
          <x:t xml:space="preserve">ЗК-1103</x:t>
        </x:is>
      </x:c>
      <x:c r="D140" s="31" t="inlineStr">
        <x:is>
          <x:t xml:space="preserve">ИЗД-037</x:t>
        </x:is>
      </x:c>
      <x:c r="E140" s="31" t="n">
        <x:v>46228</x:v>
      </x:c>
      <x:c r="F140" s="31" t="inlineStr">
        <x:is>
          <x:t xml:space="preserve">СОТР-097</x:t>
        </x:is>
      </x:c>
      <x:c r="G140" s="31" t="n">
        <x:v>3</x:v>
      </x:c>
      <x:c r="H140" s="31" t="n">
        <x:v>0</x:v>
      </x:c>
      <x:c r="I140" s="31" t="inlineStr">
        <x:is>
          <x:t xml:space="preserve">Маркировка</x:t>
        </x:is>
      </x:c>
      <x:c r="J140" s="31" t="inlineStr">
        <x:is>
          <x:t xml:space="preserve">Нет</x:t>
        </x:is>
      </x:c>
      <x:c r="K140" s="31" t="inlineStr">
        <x:is>
          <x:t xml:space="preserve">Принято</x:t>
        </x:is>
      </x:c>
      <x:c r="L140" s="31" t="inlineStr">
        <x:is>
          <x:t xml:space="preserve">Нет</x:t>
        </x:is>
      </x:c>
      <x:c r="M140" s="31" t="inlineStr">
        <x:is>
          <x:t xml:space="preserve">Не требуется</x:t>
        </x:is>
      </x:c>
      <x:c r="N140" s="31" t="inlineStr">
        <x:is>
          <x:t xml:space="preserve">Протокол приемочные испытания/ОТК 3713</x:t>
        </x:is>
      </x:c>
    </x:row>
    <x:row r="141" ht="18" customHeight="1">
      <x:c r="A141" s="31" t="inlineStr">
        <x:is>
          <x:t xml:space="preserve">ОТК-00140</x:t>
        </x:is>
      </x:c>
      <x:c r="B141" s="31" t="inlineStr">
        <x:is>
          <x:t xml:space="preserve">ПЗ-00218</x:t>
        </x:is>
      </x:c>
      <x:c r="C141" s="31" t="inlineStr">
        <x:is>
          <x:t xml:space="preserve">ЗК-1104</x:t>
        </x:is>
      </x:c>
      <x:c r="D141" s="31" t="inlineStr">
        <x:is>
          <x:t xml:space="preserve">ИЗД-010</x:t>
        </x:is>
      </x:c>
      <x:c r="E141" s="31" t="n">
        <x:v>46096</x:v>
      </x:c>
      <x:c r="F141" s="31" t="inlineStr">
        <x:is>
          <x:t xml:space="preserve">СОТР-098</x:t>
        </x:is>
      </x:c>
      <x:c r="G141" s="31" t="n">
        <x:v>7</x:v>
      </x:c>
      <x:c r="H141" s="31" t="n">
        <x:v>3</x:v>
      </x:c>
      <x:c r="I141" s="31" t="inlineStr">
        <x:is>
          <x:t xml:space="preserve">Документация</x:t>
        </x:is>
      </x:c>
      <x:c r="J141" s="31" t="inlineStr">
        <x:is>
          <x:t xml:space="preserve">Существенный</x:t>
        </x:is>
      </x:c>
      <x:c r="K141" s="31" t="inlineStr">
        <x:is>
          <x:t xml:space="preserve">Принято с замечаниями</x:t>
        </x:is>
      </x:c>
      <x:c r="L141" s="31" t="inlineStr">
        <x:is>
          <x:t xml:space="preserve">Нет</x:t>
        </x:is>
      </x:c>
      <x:c r="M141" s="31" t="inlineStr">
        <x:is>
          <x:t xml:space="preserve">Закрыта</x:t>
        </x:is>
      </x:c>
      <x:c r="N141" s="31" t="inlineStr">
        <x:is>
          <x:t xml:space="preserve">Протокол приемочные испытания/ОТК 2663</x:t>
        </x:is>
      </x:c>
    </x:row>
    <x:row r="142" ht="18" customHeight="1">
      <x:c r="A142" s="31" t="inlineStr">
        <x:is>
          <x:t xml:space="preserve">ОТК-00141</x:t>
        </x:is>
      </x:c>
      <x:c r="B142" s="31" t="inlineStr">
        <x:is>
          <x:t xml:space="preserve">ПЗ-00219</x:t>
        </x:is>
      </x:c>
      <x:c r="C142" s="31" t="inlineStr">
        <x:is>
          <x:t xml:space="preserve">ЗК-1104</x:t>
        </x:is>
      </x:c>
      <x:c r="D142" s="31" t="inlineStr">
        <x:is>
          <x:t xml:space="preserve">ИЗД-039</x:t>
        </x:is>
      </x:c>
      <x:c r="E142" s="31" t="n">
        <x:v>46093</x:v>
      </x:c>
      <x:c r="F142" s="31" t="inlineStr">
        <x:is>
          <x:t xml:space="preserve">СОТР-092</x:t>
        </x:is>
      </x:c>
      <x:c r="G142" s="31" t="n">
        <x:v>8</x:v>
      </x:c>
      <x:c r="H142" s="31" t="n">
        <x:v>1</x:v>
      </x:c>
      <x:c r="I142" s="31" t="inlineStr">
        <x:is>
          <x:t xml:space="preserve">Покрытие</x:t>
        </x:is>
      </x:c>
      <x:c r="J142" s="31" t="inlineStr">
        <x:is>
          <x:t xml:space="preserve">Незначительный</x:t>
        </x:is>
      </x:c>
      <x:c r="K142" s="31" t="inlineStr">
        <x:is>
          <x:t xml:space="preserve">Доработка</x:t>
        </x:is>
      </x:c>
      <x:c r="L142" s="31" t="inlineStr">
        <x:is>
          <x:t xml:space="preserve">Да</x:t>
        </x:is>
      </x:c>
      <x:c r="M142" s="31" t="inlineStr">
        <x:is>
          <x:t xml:space="preserve">Закрыта</x:t>
        </x:is>
      </x:c>
      <x:c r="N142" s="31" t="inlineStr">
        <x:is>
          <x:t xml:space="preserve">Протокол приемочные испытания/ОТК 8672</x:t>
        </x:is>
      </x:c>
    </x:row>
    <x:row r="143" ht="18" customHeight="1">
      <x:c r="A143" s="31" t="inlineStr">
        <x:is>
          <x:t xml:space="preserve">ОТК-00142</x:t>
        </x:is>
      </x:c>
      <x:c r="B143" s="31" t="inlineStr">
        <x:is>
          <x:t xml:space="preserve">ПЗ-00220</x:t>
        </x:is>
      </x:c>
      <x:c r="C143" s="31" t="inlineStr">
        <x:is>
          <x:t xml:space="preserve">ЗК-1105</x:t>
        </x:is>
      </x:c>
      <x:c r="D143" s="31" t="inlineStr">
        <x:is>
          <x:t xml:space="preserve">ИЗД-012</x:t>
        </x:is>
      </x:c>
      <x:c r="E143" s="31" t="n">
        <x:v>46118</x:v>
      </x:c>
      <x:c r="F143" s="31" t="inlineStr">
        <x:is>
          <x:t xml:space="preserve">СОТР-093</x:t>
        </x:is>
      </x:c>
      <x:c r="G143" s="31" t="n">
        <x:v>8</x:v>
      </x:c>
      <x:c r="H143" s="31" t="n">
        <x:v>0</x:v>
      </x:c>
      <x:c r="I143" s="31" t="inlineStr">
        <x:is>
          <x:t xml:space="preserve">Геометрия</x:t>
        </x:is>
      </x:c>
      <x:c r="J143" s="31" t="inlineStr">
        <x:is>
          <x:t xml:space="preserve">Нет</x:t>
        </x:is>
      </x:c>
      <x:c r="K143" s="31" t="inlineStr">
        <x:is>
          <x:t xml:space="preserve">Принято</x:t>
        </x:is>
      </x:c>
      <x:c r="L143" s="31" t="inlineStr">
        <x:is>
          <x:t xml:space="preserve">Нет</x:t>
        </x:is>
      </x:c>
      <x:c r="M143" s="31" t="inlineStr">
        <x:is>
          <x:t xml:space="preserve">Не требуется</x:t>
        </x:is>
      </x:c>
      <x:c r="N143" s="31" t="inlineStr">
        <x:is>
          <x:t xml:space="preserve">Протокол приемочные испытания/ОТК 3941</x:t>
        </x:is>
      </x:c>
    </x:row>
    <x:row r="144" ht="18" customHeight="1">
      <x:c r="A144" s="31" t="inlineStr">
        <x:is>
          <x:t xml:space="preserve">ОТК-00143</x:t>
        </x:is>
      </x:c>
      <x:c r="B144" s="31" t="inlineStr">
        <x:is>
          <x:t xml:space="preserve">ПЗ-00221</x:t>
        </x:is>
      </x:c>
      <x:c r="C144" s="31" t="inlineStr">
        <x:is>
          <x:t xml:space="preserve">ЗК-1106</x:t>
        </x:is>
      </x:c>
      <x:c r="D144" s="31" t="inlineStr">
        <x:is>
          <x:t xml:space="preserve">ИЗД-025</x:t>
        </x:is>
      </x:c>
      <x:c r="E144" s="31" t="n">
        <x:v>46165</x:v>
      </x:c>
      <x:c r="F144" s="31" t="inlineStr">
        <x:is>
          <x:t xml:space="preserve">СОТР-095</x:t>
        </x:is>
      </x:c>
      <x:c r="G144" s="31" t="n">
        <x:v>5</x:v>
      </x:c>
      <x:c r="H144" s="31" t="n">
        <x:v>0</x:v>
      </x:c>
      <x:c r="I144" s="31" t="inlineStr">
        <x:is>
          <x:t xml:space="preserve">Покрытие</x:t>
        </x:is>
      </x:c>
      <x:c r="J144" s="31" t="inlineStr">
        <x:is>
          <x:t xml:space="preserve">Нет</x:t>
        </x:is>
      </x:c>
      <x:c r="K144" s="31" t="inlineStr">
        <x:is>
          <x:t xml:space="preserve">Принято</x:t>
        </x:is>
      </x:c>
      <x:c r="L144" s="31" t="inlineStr">
        <x:is>
          <x:t xml:space="preserve">Нет</x:t>
        </x:is>
      </x:c>
      <x:c r="M144" s="31" t="inlineStr">
        <x:is>
          <x:t xml:space="preserve">Не требуется</x:t>
        </x:is>
      </x:c>
      <x:c r="N144" s="31" t="inlineStr">
        <x:is>
          <x:t xml:space="preserve">Протокол приемочные испытания/ОТК 5203</x:t>
        </x:is>
      </x:c>
    </x:row>
    <x:row r="145" ht="18" customHeight="1">
      <x:c r="A145" s="31" t="inlineStr">
        <x:is>
          <x:t xml:space="preserve">ОТК-00144</x:t>
        </x:is>
      </x:c>
      <x:c r="B145" s="31" t="inlineStr">
        <x:is>
          <x:t xml:space="preserve">ПЗ-00222</x:t>
        </x:is>
      </x:c>
      <x:c r="C145" s="31" t="inlineStr">
        <x:is>
          <x:t xml:space="preserve">ЗК-1109</x:t>
        </x:is>
      </x:c>
      <x:c r="D145" s="31" t="inlineStr">
        <x:is>
          <x:t xml:space="preserve">ИЗД-011</x:t>
        </x:is>
      </x:c>
      <x:c r="E145" s="31" t="n">
        <x:v>46261</x:v>
      </x:c>
      <x:c r="F145" s="31" t="inlineStr">
        <x:is>
          <x:t xml:space="preserve">СОТР-095</x:t>
        </x:is>
      </x:c>
      <x:c r="G145" s="31" t="n">
        <x:v>4</x:v>
      </x:c>
      <x:c r="H145" s="31" t="n">
        <x:v>0</x:v>
      </x:c>
      <x:c r="I145" s="31" t="inlineStr">
        <x:is>
          <x:t xml:space="preserve">Геометрия</x:t>
        </x:is>
      </x:c>
      <x:c r="J145" s="31" t="inlineStr">
        <x:is>
          <x:t xml:space="preserve">Нет</x:t>
        </x:is>
      </x:c>
      <x:c r="K145" s="31" t="inlineStr">
        <x:is>
          <x:t xml:space="preserve">Принято</x:t>
        </x:is>
      </x:c>
      <x:c r="L145" s="31" t="inlineStr">
        <x:is>
          <x:t xml:space="preserve">Нет</x:t>
        </x:is>
      </x:c>
      <x:c r="M145" s="31" t="inlineStr">
        <x:is>
          <x:t xml:space="preserve">Не требуется</x:t>
        </x:is>
      </x:c>
      <x:c r="N145" s="31" t="inlineStr">
        <x:is>
          <x:t xml:space="preserve">Протокол приемочные испытания/ОТК 3795</x:t>
        </x:is>
      </x:c>
    </x:row>
    <x:row r="146" ht="18" customHeight="1">
      <x:c r="A146" s="31" t="inlineStr">
        <x:is>
          <x:t xml:space="preserve">ОТК-00145</x:t>
        </x:is>
      </x:c>
      <x:c r="B146" s="31" t="inlineStr">
        <x:is>
          <x:t xml:space="preserve">ПЗ-00223</x:t>
        </x:is>
      </x:c>
      <x:c r="C146" s="31" t="inlineStr">
        <x:is>
          <x:t xml:space="preserve">ЗК-1109</x:t>
        </x:is>
      </x:c>
      <x:c r="D146" s="31" t="inlineStr">
        <x:is>
          <x:t xml:space="preserve">ИЗД-024</x:t>
        </x:is>
      </x:c>
      <x:c r="E146" s="31" t="n">
        <x:v>46262</x:v>
      </x:c>
      <x:c r="F146" s="31" t="inlineStr">
        <x:is>
          <x:t xml:space="preserve">СОТР-096</x:t>
        </x:is>
      </x:c>
      <x:c r="G146" s="31" t="n">
        <x:v>4</x:v>
      </x:c>
      <x:c r="H146" s="31" t="n">
        <x:v>0</x:v>
      </x:c>
      <x:c r="I146" s="31" t="inlineStr">
        <x:is>
          <x:t xml:space="preserve">Сварной шов</x:t>
        </x:is>
      </x:c>
      <x:c r="J146" s="31" t="inlineStr">
        <x:is>
          <x:t xml:space="preserve">Нет</x:t>
        </x:is>
      </x:c>
      <x:c r="K146" s="31" t="inlineStr">
        <x:is>
          <x:t xml:space="preserve">Принято</x:t>
        </x:is>
      </x:c>
      <x:c r="L146" s="31" t="inlineStr">
        <x:is>
          <x:t xml:space="preserve">Нет</x:t>
        </x:is>
      </x:c>
      <x:c r="M146" s="31" t="inlineStr">
        <x:is>
          <x:t xml:space="preserve">Не требуется</x:t>
        </x:is>
      </x:c>
      <x:c r="N146" s="31" t="inlineStr">
        <x:is>
          <x:t xml:space="preserve">Протокол приемочные испытания/ОТК 8918</x:t>
        </x:is>
      </x:c>
    </x:row>
    <x:row r="147" ht="18" customHeight="1">
      <x:c r="A147" s="31" t="inlineStr">
        <x:is>
          <x:t xml:space="preserve">ОТК-00146</x:t>
        </x:is>
      </x:c>
      <x:c r="B147" s="31" t="inlineStr">
        <x:is>
          <x:t xml:space="preserve">ПЗ-00225</x:t>
        </x:is>
      </x:c>
      <x:c r="C147" s="31" t="inlineStr">
        <x:is>
          <x:t xml:space="preserve">ЗК-1110</x:t>
        </x:is>
      </x:c>
      <x:c r="D147" s="31" t="inlineStr">
        <x:is>
          <x:t xml:space="preserve">ИЗД-004</x:t>
        </x:is>
      </x:c>
      <x:c r="E147" s="31" t="n">
        <x:v>46235</x:v>
      </x:c>
      <x:c r="F147" s="31" t="inlineStr">
        <x:is>
          <x:t xml:space="preserve">СОТР-063</x:t>
        </x:is>
      </x:c>
      <x:c r="G147" s="31" t="n">
        <x:v>8</x:v>
      </x:c>
      <x:c r="H147" s="31" t="n">
        <x:v>2</x:v>
      </x:c>
      <x:c r="I147" s="31" t="inlineStr">
        <x:is>
          <x:t xml:space="preserve">Маркировка</x:t>
        </x:is>
      </x:c>
      <x:c r="J147" s="31" t="inlineStr">
        <x:is>
          <x:t xml:space="preserve">Критичный</x:t>
        </x:is>
      </x:c>
      <x:c r="K147" s="31" t="inlineStr">
        <x:is>
          <x:t xml:space="preserve">Принято с замечаниями</x:t>
        </x:is>
      </x:c>
      <x:c r="L147" s="31" t="inlineStr">
        <x:is>
          <x:t xml:space="preserve">Нет</x:t>
        </x:is>
      </x:c>
      <x:c r="M147" s="31" t="inlineStr">
        <x:is>
          <x:t xml:space="preserve">Закрыта</x:t>
        </x:is>
      </x:c>
      <x:c r="N147" s="31" t="inlineStr">
        <x:is>
          <x:t xml:space="preserve">Протокол приемочные испытания/ОТК 1195</x:t>
        </x:is>
      </x:c>
    </x:row>
    <x:row r="148" ht="18" customHeight="1">
      <x:c r="A148" s="31" t="inlineStr">
        <x:is>
          <x:t xml:space="preserve">ОТК-00147</x:t>
        </x:is>
      </x:c>
      <x:c r="B148" s="31" t="inlineStr">
        <x:is>
          <x:t xml:space="preserve">ПЗ-00226</x:t>
        </x:is>
      </x:c>
      <x:c r="C148" s="31" t="inlineStr">
        <x:is>
          <x:t xml:space="preserve">ЗК-1110</x:t>
        </x:is>
      </x:c>
      <x:c r="D148" s="31" t="inlineStr">
        <x:is>
          <x:t xml:space="preserve">ИЗД-013</x:t>
        </x:is>
      </x:c>
      <x:c r="E148" s="31" t="n">
        <x:v>46237</x:v>
      </x:c>
      <x:c r="F148" s="31" t="inlineStr">
        <x:is>
          <x:t xml:space="preserve">СОТР-092</x:t>
        </x:is>
      </x:c>
      <x:c r="G148" s="31" t="n">
        <x:v>5</x:v>
      </x:c>
      <x:c r="H148" s="31" t="n">
        <x:v>1</x:v>
      </x:c>
      <x:c r="I148" s="31" t="inlineStr">
        <x:is>
          <x:t xml:space="preserve">Геометрия</x:t>
        </x:is>
      </x:c>
      <x:c r="J148" s="31" t="inlineStr">
        <x:is>
          <x:t xml:space="preserve">Незначительный</x:t>
        </x:is>
      </x:c>
      <x:c r="K148" s="31" t="inlineStr">
        <x:is>
          <x:t xml:space="preserve">Доработка</x:t>
        </x:is>
      </x:c>
      <x:c r="L148" s="31" t="inlineStr">
        <x:is>
          <x:t xml:space="preserve">Да</x:t>
        </x:is>
      </x:c>
      <x:c r="M148" s="31" t="inlineStr">
        <x:is>
          <x:t xml:space="preserve">Закрыта</x:t>
        </x:is>
      </x:c>
      <x:c r="N148" s="31" t="inlineStr">
        <x:is>
          <x:t xml:space="preserve">Протокол приемочные испытания/ОТК 1450</x:t>
        </x:is>
      </x:c>
    </x:row>
    <x:row r="149" ht="18" customHeight="1">
      <x:c r="A149" s="31" t="inlineStr">
        <x:is>
          <x:t xml:space="preserve">ОТК-00148</x:t>
        </x:is>
      </x:c>
      <x:c r="B149" s="31" t="inlineStr">
        <x:is>
          <x:t xml:space="preserve">ПЗ-00227</x:t>
        </x:is>
      </x:c>
      <x:c r="C149" s="31" t="inlineStr">
        <x:is>
          <x:t xml:space="preserve">ЗК-1110</x:t>
        </x:is>
      </x:c>
      <x:c r="D149" s="31" t="inlineStr">
        <x:is>
          <x:t xml:space="preserve">ИЗД-014</x:t>
        </x:is>
      </x:c>
      <x:c r="E149" s="31" t="n">
        <x:v>46239</x:v>
      </x:c>
      <x:c r="F149" s="31" t="inlineStr">
        <x:is>
          <x:t xml:space="preserve">СОТР-097</x:t>
        </x:is>
      </x:c>
      <x:c r="G149" s="31" t="n">
        <x:v>6</x:v>
      </x:c>
      <x:c r="H149" s="31" t="n">
        <x:v>0</x:v>
      </x:c>
      <x:c r="I149" s="31" t="inlineStr">
        <x:is>
          <x:t xml:space="preserve">Геометрия</x:t>
        </x:is>
      </x:c>
      <x:c r="J149" s="31" t="inlineStr">
        <x:is>
          <x:t xml:space="preserve">Нет</x:t>
        </x:is>
      </x:c>
      <x:c r="K149" s="31" t="inlineStr">
        <x:is>
          <x:t xml:space="preserve">Принято</x:t>
        </x:is>
      </x:c>
      <x:c r="L149" s="31" t="inlineStr">
        <x:is>
          <x:t xml:space="preserve">Нет</x:t>
        </x:is>
      </x:c>
      <x:c r="M149" s="31" t="inlineStr">
        <x:is>
          <x:t xml:space="preserve">Не требуется</x:t>
        </x:is>
      </x:c>
      <x:c r="N149" s="31" t="inlineStr">
        <x:is>
          <x:t xml:space="preserve">Протокол приемочные испытания/ОТК 9644</x:t>
        </x:is>
      </x:c>
    </x:row>
    <x:row r="150" ht="18" customHeight="1">
      <x:c r="A150" s="31" t="inlineStr">
        <x:is>
          <x:t xml:space="preserve">ОТК-00149</x:t>
        </x:is>
      </x:c>
      <x:c r="B150" s="31" t="inlineStr">
        <x:is>
          <x:t xml:space="preserve">ПЗ-00228</x:t>
        </x:is>
      </x:c>
      <x:c r="C150" s="31" t="inlineStr">
        <x:is>
          <x:t xml:space="preserve">ЗК-1110</x:t>
        </x:is>
      </x:c>
      <x:c r="D150" s="31" t="inlineStr">
        <x:is>
          <x:t xml:space="preserve">ИЗД-022</x:t>
        </x:is>
      </x:c>
      <x:c r="E150" s="31" t="n">
        <x:v>46236</x:v>
      </x:c>
      <x:c r="F150" s="31" t="inlineStr">
        <x:is>
          <x:t xml:space="preserve">СОТР-093</x:t>
        </x:is>
      </x:c>
      <x:c r="G150" s="31" t="n">
        <x:v>5</x:v>
      </x:c>
      <x:c r="H150" s="31" t="n">
        <x:v>0</x:v>
      </x:c>
      <x:c r="I150" s="31" t="inlineStr">
        <x:is>
          <x:t xml:space="preserve">Маркировка</x:t>
        </x:is>
      </x:c>
      <x:c r="J150" s="31" t="inlineStr">
        <x:is>
          <x:t xml:space="preserve">Нет</x:t>
        </x:is>
      </x:c>
      <x:c r="K150" s="31" t="inlineStr">
        <x:is>
          <x:t xml:space="preserve">Принято</x:t>
        </x:is>
      </x:c>
      <x:c r="L150" s="31" t="inlineStr">
        <x:is>
          <x:t xml:space="preserve">Нет</x:t>
        </x:is>
      </x:c>
      <x:c r="M150" s="31" t="inlineStr">
        <x:is>
          <x:t xml:space="preserve">Не требуется</x:t>
        </x:is>
      </x:c>
      <x:c r="N150" s="31" t="inlineStr">
        <x:is>
          <x:t xml:space="preserve">Протокол приемочные испытания/ОТК 7764</x:t>
        </x:is>
      </x:c>
    </x:row>
    <x:row r="151" ht="18" customHeight="1">
      <x:c r="A151" s="31" t="inlineStr">
        <x:is>
          <x:t xml:space="preserve">ОТК-00150</x:t>
        </x:is>
      </x:c>
      <x:c r="B151" s="31" t="inlineStr">
        <x:is>
          <x:t xml:space="preserve">ПЗ-00229</x:t>
        </x:is>
      </x:c>
      <x:c r="C151" s="31" t="inlineStr">
        <x:is>
          <x:t xml:space="preserve">ЗК-1111</x:t>
        </x:is>
      </x:c>
      <x:c r="D151" s="31" t="inlineStr">
        <x:is>
          <x:t xml:space="preserve">ИЗД-036</x:t>
        </x:is>
      </x:c>
      <x:c r="E151" s="31" t="n">
        <x:v>46177</x:v>
      </x:c>
      <x:c r="F151" s="31" t="inlineStr">
        <x:is>
          <x:t xml:space="preserve">СОТР-095</x:t>
        </x:is>
      </x:c>
      <x:c r="G151" s="31" t="n">
        <x:v>6</x:v>
      </x:c>
      <x:c r="H151" s="31" t="n">
        <x:v>0</x:v>
      </x:c>
      <x:c r="I151" s="31" t="inlineStr">
        <x:is>
          <x:t xml:space="preserve">Документация</x:t>
        </x:is>
      </x:c>
      <x:c r="J151" s="31" t="inlineStr">
        <x:is>
          <x:t xml:space="preserve">Нет</x:t>
        </x:is>
      </x:c>
      <x:c r="K151" s="31" t="inlineStr">
        <x:is>
          <x:t xml:space="preserve">Принято</x:t>
        </x:is>
      </x:c>
      <x:c r="L151" s="31" t="inlineStr">
        <x:is>
          <x:t xml:space="preserve">Нет</x:t>
        </x:is>
      </x:c>
      <x:c r="M151" s="31" t="inlineStr">
        <x:is>
          <x:t xml:space="preserve">Не требуется</x:t>
        </x:is>
      </x:c>
      <x:c r="N151" s="31" t="inlineStr">
        <x:is>
          <x:t xml:space="preserve">Протокол приемочные испытания/ОТК 9260</x:t>
        </x:is>
      </x:c>
    </x:row>
    <x:row r="152" ht="18" customHeight="1">
      <x:c r="A152" s="31" t="inlineStr">
        <x:is>
          <x:t xml:space="preserve">ОТК-00151</x:t>
        </x:is>
      </x:c>
      <x:c r="B152" s="31" t="inlineStr">
        <x:is>
          <x:t xml:space="preserve">ПЗ-00230</x:t>
        </x:is>
      </x:c>
      <x:c r="C152" s="31" t="inlineStr">
        <x:is>
          <x:t xml:space="preserve">ЗК-1112</x:t>
        </x:is>
      </x:c>
      <x:c r="D152" s="31" t="inlineStr">
        <x:is>
          <x:t xml:space="preserve">ИЗД-038</x:t>
        </x:is>
      </x:c>
      <x:c r="E152" s="31" t="n">
        <x:v>46130</x:v>
      </x:c>
      <x:c r="F152" s="31" t="inlineStr">
        <x:is>
          <x:t xml:space="preserve">СОТР-099</x:t>
        </x:is>
      </x:c>
      <x:c r="G152" s="31" t="n">
        <x:v>5</x:v>
      </x:c>
      <x:c r="H152" s="31" t="n">
        <x:v>0</x:v>
      </x:c>
      <x:c r="I152" s="31" t="inlineStr">
        <x:is>
          <x:t xml:space="preserve">Геометрия</x:t>
        </x:is>
      </x:c>
      <x:c r="J152" s="31" t="inlineStr">
        <x:is>
          <x:t xml:space="preserve">Нет</x:t>
        </x:is>
      </x:c>
      <x:c r="K152" s="31" t="inlineStr">
        <x:is>
          <x:t xml:space="preserve">Принято</x:t>
        </x:is>
      </x:c>
      <x:c r="L152" s="31" t="inlineStr">
        <x:is>
          <x:t xml:space="preserve">Нет</x:t>
        </x:is>
      </x:c>
      <x:c r="M152" s="31" t="inlineStr">
        <x:is>
          <x:t xml:space="preserve">Не требуется</x:t>
        </x:is>
      </x:c>
      <x:c r="N152" s="31" t="inlineStr">
        <x:is>
          <x:t xml:space="preserve">Протокол приемочные испытания/ОТК 1113</x:t>
        </x:is>
      </x:c>
    </x:row>
    <x:row r="153" ht="18" customHeight="1">
      <x:c r="A153" s="31" t="inlineStr">
        <x:is>
          <x:t xml:space="preserve">ОТК-00152</x:t>
        </x:is>
      </x:c>
      <x:c r="B153" s="31" t="inlineStr">
        <x:is>
          <x:t xml:space="preserve">ПЗ-00231</x:t>
        </x:is>
      </x:c>
      <x:c r="C153" s="31" t="inlineStr">
        <x:is>
          <x:t xml:space="preserve">ЗК-1112</x:t>
        </x:is>
      </x:c>
      <x:c r="D153" s="31" t="inlineStr">
        <x:is>
          <x:t xml:space="preserve">ИЗД-037</x:t>
        </x:is>
      </x:c>
      <x:c r="E153" s="31" t="n">
        <x:v>46126</x:v>
      </x:c>
      <x:c r="F153" s="31" t="inlineStr">
        <x:is>
          <x:t xml:space="preserve">СОТР-099</x:t>
        </x:is>
      </x:c>
      <x:c r="G153" s="31" t="n">
        <x:v>7</x:v>
      </x:c>
      <x:c r="H153" s="31" t="n">
        <x:v>1</x:v>
      </x:c>
      <x:c r="I153" s="31" t="inlineStr">
        <x:is>
          <x:t xml:space="preserve">Покрытие</x:t>
        </x:is>
      </x:c>
      <x:c r="J153" s="31" t="inlineStr">
        <x:is>
          <x:t xml:space="preserve">Незначительный</x:t>
        </x:is>
      </x:c>
      <x:c r="K153" s="31" t="inlineStr">
        <x:is>
          <x:t xml:space="preserve">Принято с замечаниями</x:t>
        </x:is>
      </x:c>
      <x:c r="L153" s="31" t="inlineStr">
        <x:is>
          <x:t xml:space="preserve">Нет</x:t>
        </x:is>
      </x:c>
      <x:c r="M153" s="31" t="inlineStr">
        <x:is>
          <x:t xml:space="preserve">В работе</x:t>
        </x:is>
      </x:c>
      <x:c r="N153" s="31" t="inlineStr">
        <x:is>
          <x:t xml:space="preserve">Протокол приемочные испытания/ОТК 5818</x:t>
        </x:is>
      </x:c>
    </x:row>
    <x:row r="154" ht="18" customHeight="1">
      <x:c r="A154" s="31" t="inlineStr">
        <x:is>
          <x:t xml:space="preserve">ОТК-00153</x:t>
        </x:is>
      </x:c>
      <x:c r="B154" s="31" t="inlineStr">
        <x:is>
          <x:t xml:space="preserve">ПЗ-00232</x:t>
        </x:is>
      </x:c>
      <x:c r="C154" s="31" t="inlineStr">
        <x:is>
          <x:t xml:space="preserve">ЗК-1112</x:t>
        </x:is>
      </x:c>
      <x:c r="D154" s="31" t="inlineStr">
        <x:is>
          <x:t xml:space="preserve">ИЗД-012</x:t>
        </x:is>
      </x:c>
      <x:c r="E154" s="31" t="n">
        <x:v>46132</x:v>
      </x:c>
      <x:c r="F154" s="31" t="inlineStr">
        <x:is>
          <x:t xml:space="preserve">СОТР-100</x:t>
        </x:is>
      </x:c>
      <x:c r="G154" s="31" t="n">
        <x:v>3</x:v>
      </x:c>
      <x:c r="H154" s="31" t="n">
        <x:v>0</x:v>
      </x:c>
      <x:c r="I154" s="31" t="inlineStr">
        <x:is>
          <x:t xml:space="preserve">Электрика</x:t>
        </x:is>
      </x:c>
      <x:c r="J154" s="31" t="inlineStr">
        <x:is>
          <x:t xml:space="preserve">Нет</x:t>
        </x:is>
      </x:c>
      <x:c r="K154" s="31" t="inlineStr">
        <x:is>
          <x:t xml:space="preserve">Принято</x:t>
        </x:is>
      </x:c>
      <x:c r="L154" s="31" t="inlineStr">
        <x:is>
          <x:t xml:space="preserve">Нет</x:t>
        </x:is>
      </x:c>
      <x:c r="M154" s="31" t="inlineStr">
        <x:is>
          <x:t xml:space="preserve">Не требуется</x:t>
        </x:is>
      </x:c>
      <x:c r="N154" s="31" t="inlineStr">
        <x:is>
          <x:t xml:space="preserve">Протокол приемочные испытания/ОТК 6274</x:t>
        </x:is>
      </x:c>
    </x:row>
    <x:row r="155" ht="18" customHeight="1">
      <x:c r="A155" s="31" t="inlineStr">
        <x:is>
          <x:t xml:space="preserve">ОТК-00154</x:t>
        </x:is>
      </x:c>
      <x:c r="B155" s="31" t="inlineStr">
        <x:is>
          <x:t xml:space="preserve">ПЗ-00233</x:t>
        </x:is>
      </x:c>
      <x:c r="C155" s="31" t="inlineStr">
        <x:is>
          <x:t xml:space="preserve">ЗК-1112</x:t>
        </x:is>
      </x:c>
      <x:c r="D155" s="31" t="inlineStr">
        <x:is>
          <x:t xml:space="preserve">ИЗД-029</x:t>
        </x:is>
      </x:c>
      <x:c r="E155" s="31" t="n">
        <x:v>46132</x:v>
      </x:c>
      <x:c r="F155" s="31" t="inlineStr">
        <x:is>
          <x:t xml:space="preserve">СОТР-093</x:t>
        </x:is>
      </x:c>
      <x:c r="G155" s="31" t="n">
        <x:v>5</x:v>
      </x:c>
      <x:c r="H155" s="31" t="n">
        <x:v>1</x:v>
      </x:c>
      <x:c r="I155" s="31" t="inlineStr">
        <x:is>
          <x:t xml:space="preserve">Документация</x:t>
        </x:is>
      </x:c>
      <x:c r="J155" s="31" t="inlineStr">
        <x:is>
          <x:t xml:space="preserve">Незначительный</x:t>
        </x:is>
      </x:c>
      <x:c r="K155" s="31" t="inlineStr">
        <x:is>
          <x:t xml:space="preserve">Доработка</x:t>
        </x:is>
      </x:c>
      <x:c r="L155" s="31" t="inlineStr">
        <x:is>
          <x:t xml:space="preserve">Да</x:t>
        </x:is>
      </x:c>
      <x:c r="M155" s="31" t="inlineStr">
        <x:is>
          <x:t xml:space="preserve">Открыта</x:t>
        </x:is>
      </x:c>
      <x:c r="N155" s="31" t="inlineStr">
        <x:is>
          <x:t xml:space="preserve">Протокол приемочные испытания/ОТК 8253</x:t>
        </x:is>
      </x:c>
    </x:row>
    <x:row r="156" ht="18" customHeight="1">
      <x:c r="A156" s="31" t="inlineStr">
        <x:is>
          <x:t xml:space="preserve">ОТК-00155</x:t>
        </x:is>
      </x:c>
      <x:c r="B156" s="31" t="inlineStr">
        <x:is>
          <x:t xml:space="preserve">ПЗ-00234</x:t>
        </x:is>
      </x:c>
      <x:c r="C156" s="31" t="inlineStr">
        <x:is>
          <x:t xml:space="preserve">ЗК-1113</x:t>
        </x:is>
      </x:c>
      <x:c r="D156" s="31" t="inlineStr">
        <x:is>
          <x:t xml:space="preserve">ИЗД-040</x:t>
        </x:is>
      </x:c>
      <x:c r="E156" s="31" t="n">
        <x:v>46118</x:v>
      </x:c>
      <x:c r="F156" s="31" t="inlineStr">
        <x:is>
          <x:t xml:space="preserve">СОТР-063</x:t>
        </x:is>
      </x:c>
      <x:c r="G156" s="31" t="n">
        <x:v>4</x:v>
      </x:c>
      <x:c r="H156" s="31" t="n">
        <x:v>2</x:v>
      </x:c>
      <x:c r="I156" s="31" t="inlineStr">
        <x:is>
          <x:t xml:space="preserve">Сварной шов</x:t>
        </x:is>
      </x:c>
      <x:c r="J156" s="31" t="inlineStr">
        <x:is>
          <x:t xml:space="preserve">Незначительный</x:t>
        </x:is>
      </x:c>
      <x:c r="K156" s="31" t="inlineStr">
        <x:is>
          <x:t xml:space="preserve">Принято с замечаниями</x:t>
        </x:is>
      </x:c>
      <x:c r="L156" s="31" t="inlineStr">
        <x:is>
          <x:t xml:space="preserve">Нет</x:t>
        </x:is>
      </x:c>
      <x:c r="M156" s="31" t="inlineStr">
        <x:is>
          <x:t xml:space="preserve">Закрыта</x:t>
        </x:is>
      </x:c>
      <x:c r="N156" s="31" t="inlineStr">
        <x:is>
          <x:t xml:space="preserve">Протокол приемочные испытания/ОТК 9964</x:t>
        </x:is>
      </x:c>
    </x:row>
    <x:row r="157" ht="18" customHeight="1">
      <x:c r="A157" s="31" t="inlineStr">
        <x:is>
          <x:t xml:space="preserve">ОТК-00156</x:t>
        </x:is>
      </x:c>
      <x:c r="B157" s="31" t="inlineStr">
        <x:is>
          <x:t xml:space="preserve">ПЗ-00235</x:t>
        </x:is>
      </x:c>
      <x:c r="C157" s="31" t="inlineStr">
        <x:is>
          <x:t xml:space="preserve">ЗК-1113</x:t>
        </x:is>
      </x:c>
      <x:c r="D157" s="31" t="inlineStr">
        <x:is>
          <x:t xml:space="preserve">ИЗД-001</x:t>
        </x:is>
      </x:c>
      <x:c r="E157" s="31" t="n">
        <x:v>46116</x:v>
      </x:c>
      <x:c r="F157" s="31" t="inlineStr">
        <x:is>
          <x:t xml:space="preserve">СОТР-097</x:t>
        </x:is>
      </x:c>
      <x:c r="G157" s="31" t="n">
        <x:v>4</x:v>
      </x:c>
      <x:c r="H157" s="31" t="n">
        <x:v>0</x:v>
      </x:c>
      <x:c r="I157" s="31" t="inlineStr">
        <x:is>
          <x:t xml:space="preserve">Сварной шов</x:t>
        </x:is>
      </x:c>
      <x:c r="J157" s="31" t="inlineStr">
        <x:is>
          <x:t xml:space="preserve">Нет</x:t>
        </x:is>
      </x:c>
      <x:c r="K157" s="31" t="inlineStr">
        <x:is>
          <x:t xml:space="preserve">Принято</x:t>
        </x:is>
      </x:c>
      <x:c r="L157" s="31" t="inlineStr">
        <x:is>
          <x:t xml:space="preserve">Нет</x:t>
        </x:is>
      </x:c>
      <x:c r="M157" s="31" t="inlineStr">
        <x:is>
          <x:t xml:space="preserve">Не требуется</x:t>
        </x:is>
      </x:c>
      <x:c r="N157" s="31" t="inlineStr">
        <x:is>
          <x:t xml:space="preserve">Протокол приемочные испытания/ОТК 2474</x:t>
        </x:is>
      </x:c>
    </x:row>
    <x:row r="158" ht="18" customHeight="1">
      <x:c r="A158" s="31" t="inlineStr">
        <x:is>
          <x:t xml:space="preserve">ОТК-00157</x:t>
        </x:is>
      </x:c>
      <x:c r="B158" s="31" t="inlineStr">
        <x:is>
          <x:t xml:space="preserve">ПЗ-00236</x:t>
        </x:is>
      </x:c>
      <x:c r="C158" s="31" t="inlineStr">
        <x:is>
          <x:t xml:space="preserve">ЗК-1114</x:t>
        </x:is>
      </x:c>
      <x:c r="D158" s="31" t="inlineStr">
        <x:is>
          <x:t xml:space="preserve">ИЗД-005</x:t>
        </x:is>
      </x:c>
      <x:c r="E158" s="31" t="n">
        <x:v>46122</x:v>
      </x:c>
      <x:c r="F158" s="31" t="inlineStr">
        <x:is>
          <x:t xml:space="preserve">СОТР-095</x:t>
        </x:is>
      </x:c>
      <x:c r="G158" s="31" t="n">
        <x:v>4</x:v>
      </x:c>
      <x:c r="H158" s="31" t="n">
        <x:v>0</x:v>
      </x:c>
      <x:c r="I158" s="31" t="inlineStr">
        <x:is>
          <x:t xml:space="preserve">Маркировка</x:t>
        </x:is>
      </x:c>
      <x:c r="J158" s="31" t="inlineStr">
        <x:is>
          <x:t xml:space="preserve">Нет</x:t>
        </x:is>
      </x:c>
      <x:c r="K158" s="31" t="inlineStr">
        <x:is>
          <x:t xml:space="preserve">Принято</x:t>
        </x:is>
      </x:c>
      <x:c r="L158" s="31" t="inlineStr">
        <x:is>
          <x:t xml:space="preserve">Нет</x:t>
        </x:is>
      </x:c>
      <x:c r="M158" s="31" t="inlineStr">
        <x:is>
          <x:t xml:space="preserve">Не требуется</x:t>
        </x:is>
      </x:c>
      <x:c r="N158" s="31" t="inlineStr">
        <x:is>
          <x:t xml:space="preserve">Протокол приемочные испытания/ОТК 1453</x:t>
        </x:is>
      </x:c>
    </x:row>
    <x:row r="159" ht="18" customHeight="1">
      <x:c r="A159" s="31" t="inlineStr">
        <x:is>
          <x:t xml:space="preserve">ОТК-00158</x:t>
        </x:is>
      </x:c>
      <x:c r="B159" s="31" t="inlineStr">
        <x:is>
          <x:t xml:space="preserve">ПЗ-00237</x:t>
        </x:is>
      </x:c>
      <x:c r="C159" s="31" t="inlineStr">
        <x:is>
          <x:t xml:space="preserve">ЗК-1114</x:t>
        </x:is>
      </x:c>
      <x:c r="D159" s="31" t="inlineStr">
        <x:is>
          <x:t xml:space="preserve">ИЗД-012</x:t>
        </x:is>
      </x:c>
      <x:c r="E159" s="31" t="n">
        <x:v>46117</x:v>
      </x:c>
      <x:c r="F159" s="31" t="inlineStr">
        <x:is>
          <x:t xml:space="preserve">СОТР-092</x:t>
        </x:is>
      </x:c>
      <x:c r="G159" s="31" t="n">
        <x:v>6</x:v>
      </x:c>
      <x:c r="H159" s="31" t="n">
        <x:v>2</x:v>
      </x:c>
      <x:c r="I159" s="31" t="inlineStr">
        <x:is>
          <x:t xml:space="preserve">Геометрия</x:t>
        </x:is>
      </x:c>
      <x:c r="J159" s="31" t="inlineStr">
        <x:is>
          <x:t xml:space="preserve">Существенный</x:t>
        </x:is>
      </x:c>
      <x:c r="K159" s="31" t="inlineStr">
        <x:is>
          <x:t xml:space="preserve">Доработка</x:t>
        </x:is>
      </x:c>
      <x:c r="L159" s="31" t="inlineStr">
        <x:is>
          <x:t xml:space="preserve">Да</x:t>
        </x:is>
      </x:c>
      <x:c r="M159" s="31" t="inlineStr">
        <x:is>
          <x:t xml:space="preserve">В работе</x:t>
        </x:is>
      </x:c>
      <x:c r="N159" s="31" t="inlineStr">
        <x:is>
          <x:t xml:space="preserve">Протокол приемочные испытания/ОТК 3928</x:t>
        </x:is>
      </x:c>
    </x:row>
    <x:row r="160" ht="18" customHeight="1">
      <x:c r="A160" s="31" t="inlineStr">
        <x:is>
          <x:t xml:space="preserve">ОТК-00159</x:t>
        </x:is>
      </x:c>
      <x:c r="B160" s="31" t="inlineStr">
        <x:is>
          <x:t xml:space="preserve">ПЗ-00238</x:t>
        </x:is>
      </x:c>
      <x:c r="C160" s="31" t="inlineStr">
        <x:is>
          <x:t xml:space="preserve">ЗК-1116</x:t>
        </x:is>
      </x:c>
      <x:c r="D160" s="31" t="inlineStr">
        <x:is>
          <x:t xml:space="preserve">ИЗД-021</x:t>
        </x:is>
      </x:c>
      <x:c r="E160" s="31" t="n">
        <x:v>46114</x:v>
      </x:c>
      <x:c r="F160" s="31" t="inlineStr">
        <x:is>
          <x:t xml:space="preserve">СОТР-097</x:t>
        </x:is>
      </x:c>
      <x:c r="G160" s="31" t="n">
        <x:v>5</x:v>
      </x:c>
      <x:c r="H160" s="31" t="n">
        <x:v>0</x:v>
      </x:c>
      <x:c r="I160" s="31" t="inlineStr">
        <x:is>
          <x:t xml:space="preserve">Сварной шов</x:t>
        </x:is>
      </x:c>
      <x:c r="J160" s="31" t="inlineStr">
        <x:is>
          <x:t xml:space="preserve">Нет</x:t>
        </x:is>
      </x:c>
      <x:c r="K160" s="31" t="inlineStr">
        <x:is>
          <x:t xml:space="preserve">Принято</x:t>
        </x:is>
      </x:c>
      <x:c r="L160" s="31" t="inlineStr">
        <x:is>
          <x:t xml:space="preserve">Нет</x:t>
        </x:is>
      </x:c>
      <x:c r="M160" s="31" t="inlineStr">
        <x:is>
          <x:t xml:space="preserve">Не требуется</x:t>
        </x:is>
      </x:c>
      <x:c r="N160" s="31" t="inlineStr">
        <x:is>
          <x:t xml:space="preserve">Протокол приемочные испытания/ОТК 2083</x:t>
        </x:is>
      </x:c>
    </x:row>
    <x:row r="161" ht="18" customHeight="1">
      <x:c r="A161" s="31" t="inlineStr">
        <x:is>
          <x:t xml:space="preserve">ОТК-00160</x:t>
        </x:is>
      </x:c>
      <x:c r="B161" s="31" t="inlineStr">
        <x:is>
          <x:t xml:space="preserve">ПЗ-00239</x:t>
        </x:is>
      </x:c>
      <x:c r="C161" s="31" t="inlineStr">
        <x:is>
          <x:t xml:space="preserve">ЗК-1117</x:t>
        </x:is>
      </x:c>
      <x:c r="D161" s="31" t="inlineStr">
        <x:is>
          <x:t xml:space="preserve">ИЗД-030</x:t>
        </x:is>
      </x:c>
      <x:c r="E161" s="31" t="n">
        <x:v>46225</x:v>
      </x:c>
      <x:c r="F161" s="31" t="inlineStr">
        <x:is>
          <x:t xml:space="preserve">СОТР-096</x:t>
        </x:is>
      </x:c>
      <x:c r="G161" s="31" t="n">
        <x:v>8</x:v>
      </x:c>
      <x:c r="H161" s="31" t="n">
        <x:v>0</x:v>
      </x:c>
      <x:c r="I161" s="31" t="inlineStr">
        <x:is>
          <x:t xml:space="preserve">Документация</x:t>
        </x:is>
      </x:c>
      <x:c r="J161" s="31" t="inlineStr">
        <x:is>
          <x:t xml:space="preserve">Нет</x:t>
        </x:is>
      </x:c>
      <x:c r="K161" s="31" t="inlineStr">
        <x:is>
          <x:t xml:space="preserve">Принято</x:t>
        </x:is>
      </x:c>
      <x:c r="L161" s="31" t="inlineStr">
        <x:is>
          <x:t xml:space="preserve">Нет</x:t>
        </x:is>
      </x:c>
      <x:c r="M161" s="31" t="inlineStr">
        <x:is>
          <x:t xml:space="preserve">Не требуется</x:t>
        </x:is>
      </x:c>
      <x:c r="N161" s="31" t="inlineStr">
        <x:is>
          <x:t xml:space="preserve">Протокол приемочные испытания/ОТК 2272</x:t>
        </x:is>
      </x:c>
    </x:row>
    <x:row r="162" ht="18" customHeight="1">
      <x:c r="A162" s="31" t="inlineStr">
        <x:is>
          <x:t xml:space="preserve">ОТК-00161</x:t>
        </x:is>
      </x:c>
      <x:c r="B162" s="31" t="inlineStr">
        <x:is>
          <x:t xml:space="preserve">ПЗ-00240</x:t>
        </x:is>
      </x:c>
      <x:c r="C162" s="31" t="inlineStr">
        <x:is>
          <x:t xml:space="preserve">ЗК-1117</x:t>
        </x:is>
      </x:c>
      <x:c r="D162" s="31" t="inlineStr">
        <x:is>
          <x:t xml:space="preserve">ИЗД-021</x:t>
        </x:is>
      </x:c>
      <x:c r="E162" s="31" t="n">
        <x:v>46222</x:v>
      </x:c>
      <x:c r="F162" s="31" t="inlineStr">
        <x:is>
          <x:t xml:space="preserve">СОТР-063</x:t>
        </x:is>
      </x:c>
      <x:c r="G162" s="31" t="n">
        <x:v>8</x:v>
      </x:c>
      <x:c r="H162" s="31" t="n">
        <x:v>0</x:v>
      </x:c>
      <x:c r="I162" s="31" t="inlineStr">
        <x:is>
          <x:t xml:space="preserve">Покрытие</x:t>
        </x:is>
      </x:c>
      <x:c r="J162" s="31" t="inlineStr">
        <x:is>
          <x:t xml:space="preserve">Нет</x:t>
        </x:is>
      </x:c>
      <x:c r="K162" s="31" t="inlineStr">
        <x:is>
          <x:t xml:space="preserve">Принято</x:t>
        </x:is>
      </x:c>
      <x:c r="L162" s="31" t="inlineStr">
        <x:is>
          <x:t xml:space="preserve">Нет</x:t>
        </x:is>
      </x:c>
      <x:c r="M162" s="31" t="inlineStr">
        <x:is>
          <x:t xml:space="preserve">Не требуется</x:t>
        </x:is>
      </x:c>
      <x:c r="N162" s="31" t="inlineStr">
        <x:is>
          <x:t xml:space="preserve">Протокол приемочные испытания/ОТК 5448</x:t>
        </x:is>
      </x:c>
    </x:row>
    <x:row r="163" ht="18" customHeight="1">
      <x:c r="A163" s="31" t="inlineStr">
        <x:is>
          <x:t xml:space="preserve">ОТК-00162</x:t>
        </x:is>
      </x:c>
      <x:c r="B163" s="31" t="inlineStr">
        <x:is>
          <x:t xml:space="preserve">ПЗ-00241</x:t>
        </x:is>
      </x:c>
      <x:c r="C163" s="31" t="inlineStr">
        <x:is>
          <x:t xml:space="preserve">ЗК-1117</x:t>
        </x:is>
      </x:c>
      <x:c r="D163" s="31" t="inlineStr">
        <x:is>
          <x:t xml:space="preserve">ИЗД-026</x:t>
        </x:is>
      </x:c>
      <x:c r="E163" s="31" t="n">
        <x:v>46221</x:v>
      </x:c>
      <x:c r="F163" s="31" t="inlineStr">
        <x:is>
          <x:t xml:space="preserve">СОТР-099</x:t>
        </x:is>
      </x:c>
      <x:c r="G163" s="31" t="n">
        <x:v>7</x:v>
      </x:c>
      <x:c r="H163" s="31" t="n">
        <x:v>0</x:v>
      </x:c>
      <x:c r="I163" s="31" t="inlineStr">
        <x:is>
          <x:t xml:space="preserve">Покрытие</x:t>
        </x:is>
      </x:c>
      <x:c r="J163" s="31" t="inlineStr">
        <x:is>
          <x:t xml:space="preserve">Нет</x:t>
        </x:is>
      </x:c>
      <x:c r="K163" s="31" t="inlineStr">
        <x:is>
          <x:t xml:space="preserve">Принято</x:t>
        </x:is>
      </x:c>
      <x:c r="L163" s="31" t="inlineStr">
        <x:is>
          <x:t xml:space="preserve">Нет</x:t>
        </x:is>
      </x:c>
      <x:c r="M163" s="31" t="inlineStr">
        <x:is>
          <x:t xml:space="preserve">Не требуется</x:t>
        </x:is>
      </x:c>
      <x:c r="N163" s="31" t="inlineStr">
        <x:is>
          <x:t xml:space="preserve">Протокол приемочные испытания/ОТК 9359</x:t>
        </x:is>
      </x:c>
    </x:row>
    <x:row r="164" ht="18" customHeight="1">
      <x:c r="A164" s="31" t="inlineStr">
        <x:is>
          <x:t xml:space="preserve">ОТК-00163</x:t>
        </x:is>
      </x:c>
      <x:c r="B164" s="31" t="inlineStr">
        <x:is>
          <x:t xml:space="preserve">ПЗ-00242</x:t>
        </x:is>
      </x:c>
      <x:c r="C164" s="31" t="inlineStr">
        <x:is>
          <x:t xml:space="preserve">ЗК-1117</x:t>
        </x:is>
      </x:c>
      <x:c r="D164" s="31" t="inlineStr">
        <x:is>
          <x:t xml:space="preserve">ИЗД-029</x:t>
        </x:is>
      </x:c>
      <x:c r="E164" s="31" t="n">
        <x:v>46226</x:v>
      </x:c>
      <x:c r="F164" s="31" t="inlineStr">
        <x:is>
          <x:t xml:space="preserve">СОТР-095</x:t>
        </x:is>
      </x:c>
      <x:c r="G164" s="31" t="n">
        <x:v>7</x:v>
      </x:c>
      <x:c r="H164" s="31" t="n">
        <x:v>0</x:v>
      </x:c>
      <x:c r="I164" s="31" t="inlineStr">
        <x:is>
          <x:t xml:space="preserve">Сварной шов</x:t>
        </x:is>
      </x:c>
      <x:c r="J164" s="31" t="inlineStr">
        <x:is>
          <x:t xml:space="preserve">Нет</x:t>
        </x:is>
      </x:c>
      <x:c r="K164" s="31" t="inlineStr">
        <x:is>
          <x:t xml:space="preserve">Принято</x:t>
        </x:is>
      </x:c>
      <x:c r="L164" s="31" t="inlineStr">
        <x:is>
          <x:t xml:space="preserve">Нет</x:t>
        </x:is>
      </x:c>
      <x:c r="M164" s="31" t="inlineStr">
        <x:is>
          <x:t xml:space="preserve">Не требуется</x:t>
        </x:is>
      </x:c>
      <x:c r="N164" s="31" t="inlineStr">
        <x:is>
          <x:t xml:space="preserve">Протокол приемочные испытания/ОТК 3679</x:t>
        </x:is>
      </x:c>
    </x:row>
    <x:row r="165" ht="18" customHeight="1">
      <x:c r="A165" s="31" t="inlineStr">
        <x:is>
          <x:t xml:space="preserve">ОТК-00164</x:t>
        </x:is>
      </x:c>
      <x:c r="B165" s="31" t="inlineStr">
        <x:is>
          <x:t xml:space="preserve">ПЗ-00243</x:t>
        </x:is>
      </x:c>
      <x:c r="C165" s="31" t="inlineStr">
        <x:is>
          <x:t xml:space="preserve">ЗК-1119</x:t>
        </x:is>
      </x:c>
      <x:c r="D165" s="31" t="inlineStr">
        <x:is>
          <x:t xml:space="preserve">ИЗД-032</x:t>
        </x:is>
      </x:c>
      <x:c r="E165" s="31" t="n">
        <x:v>46158</x:v>
      </x:c>
      <x:c r="F165" s="31" t="inlineStr">
        <x:is>
          <x:t xml:space="preserve">СОТР-063</x:t>
        </x:is>
      </x:c>
      <x:c r="G165" s="31" t="n">
        <x:v>5</x:v>
      </x:c>
      <x:c r="H165" s="31" t="n">
        <x:v>2</x:v>
      </x:c>
      <x:c r="I165" s="31" t="inlineStr">
        <x:is>
          <x:t xml:space="preserve">Маркировка</x:t>
        </x:is>
      </x:c>
      <x:c r="J165" s="31" t="inlineStr">
        <x:is>
          <x:t xml:space="preserve">Незначительный</x:t>
        </x:is>
      </x:c>
      <x:c r="K165" s="31" t="inlineStr">
        <x:is>
          <x:t xml:space="preserve">Доработка</x:t>
        </x:is>
      </x:c>
      <x:c r="L165" s="31" t="inlineStr">
        <x:is>
          <x:t xml:space="preserve">Да</x:t>
        </x:is>
      </x:c>
      <x:c r="M165" s="31" t="inlineStr">
        <x:is>
          <x:t xml:space="preserve">Закрыта</x:t>
        </x:is>
      </x:c>
      <x:c r="N165" s="31" t="inlineStr">
        <x:is>
          <x:t xml:space="preserve">Протокол приемочные испытания/ОТК 9896</x:t>
        </x:is>
      </x:c>
    </x:row>
    <x:row r="166" ht="18" customHeight="1">
      <x:c r="A166" s="31" t="inlineStr">
        <x:is>
          <x:t xml:space="preserve">ОТК-00165</x:t>
        </x:is>
      </x:c>
      <x:c r="B166" s="31" t="inlineStr">
        <x:is>
          <x:t xml:space="preserve">ПЗ-00244</x:t>
        </x:is>
      </x:c>
      <x:c r="C166" s="31" t="inlineStr">
        <x:is>
          <x:t xml:space="preserve">ЗК-1119</x:t>
        </x:is>
      </x:c>
      <x:c r="D166" s="31" t="inlineStr">
        <x:is>
          <x:t xml:space="preserve">ИЗД-037</x:t>
        </x:is>
      </x:c>
      <x:c r="E166" s="31" t="n">
        <x:v>46156</x:v>
      </x:c>
      <x:c r="F166" s="31" t="inlineStr">
        <x:is>
          <x:t xml:space="preserve">СОТР-095</x:t>
        </x:is>
      </x:c>
      <x:c r="G166" s="31" t="n">
        <x:v>8</x:v>
      </x:c>
      <x:c r="H166" s="31" t="n">
        <x:v>0</x:v>
      </x:c>
      <x:c r="I166" s="31" t="inlineStr">
        <x:is>
          <x:t xml:space="preserve">Сварной шов</x:t>
        </x:is>
      </x:c>
      <x:c r="J166" s="31" t="inlineStr">
        <x:is>
          <x:t xml:space="preserve">Нет</x:t>
        </x:is>
      </x:c>
      <x:c r="K166" s="31" t="inlineStr">
        <x:is>
          <x:t xml:space="preserve">Принято</x:t>
        </x:is>
      </x:c>
      <x:c r="L166" s="31" t="inlineStr">
        <x:is>
          <x:t xml:space="preserve">Нет</x:t>
        </x:is>
      </x:c>
      <x:c r="M166" s="31" t="inlineStr">
        <x:is>
          <x:t xml:space="preserve">Не требуется</x:t>
        </x:is>
      </x:c>
      <x:c r="N166" s="31" t="inlineStr">
        <x:is>
          <x:t xml:space="preserve">Протокол приемочные испытания/ОТК 2023</x:t>
        </x:is>
      </x:c>
    </x:row>
    <x:row r="167" ht="18" customHeight="1">
      <x:c r="A167" s="31" t="inlineStr">
        <x:is>
          <x:t xml:space="preserve">ОТК-00166</x:t>
        </x:is>
      </x:c>
      <x:c r="B167" s="31" t="inlineStr">
        <x:is>
          <x:t xml:space="preserve">ПЗ-00245</x:t>
        </x:is>
      </x:c>
      <x:c r="C167" s="31" t="inlineStr">
        <x:is>
          <x:t xml:space="preserve">ЗК-1120</x:t>
        </x:is>
      </x:c>
      <x:c r="D167" s="31" t="inlineStr">
        <x:is>
          <x:t xml:space="preserve">ИЗД-039</x:t>
        </x:is>
      </x:c>
      <x:c r="E167" s="31" t="n">
        <x:v>46114</x:v>
      </x:c>
      <x:c r="F167" s="31" t="inlineStr">
        <x:is>
          <x:t xml:space="preserve">СОТР-096</x:t>
        </x:is>
      </x:c>
      <x:c r="G167" s="31" t="n">
        <x:v>3</x:v>
      </x:c>
      <x:c r="H167" s="31" t="n">
        <x:v>0</x:v>
      </x:c>
      <x:c r="I167" s="31" t="inlineStr">
        <x:is>
          <x:t xml:space="preserve">Комплектность</x:t>
        </x:is>
      </x:c>
      <x:c r="J167" s="31" t="inlineStr">
        <x:is>
          <x:t xml:space="preserve">Нет</x:t>
        </x:is>
      </x:c>
      <x:c r="K167" s="31" t="inlineStr">
        <x:is>
          <x:t xml:space="preserve">Принято</x:t>
        </x:is>
      </x:c>
      <x:c r="L167" s="31" t="inlineStr">
        <x:is>
          <x:t xml:space="preserve">Нет</x:t>
        </x:is>
      </x:c>
      <x:c r="M167" s="31" t="inlineStr">
        <x:is>
          <x:t xml:space="preserve">Не требуется</x:t>
        </x:is>
      </x:c>
      <x:c r="N167" s="31" t="inlineStr">
        <x:is>
          <x:t xml:space="preserve">Протокол приемочные испытания/ОТК 7666</x:t>
        </x:is>
      </x:c>
    </x:row>
    <x:row r="168" ht="18" customHeight="1">
      <x:c r="A168" s="31" t="inlineStr">
        <x:is>
          <x:t xml:space="preserve">ОТК-00167</x:t>
        </x:is>
      </x:c>
      <x:c r="B168" s="31" t="inlineStr">
        <x:is>
          <x:t xml:space="preserve">ПЗ-00246</x:t>
        </x:is>
      </x:c>
      <x:c r="C168" s="31" t="inlineStr">
        <x:is>
          <x:t xml:space="preserve">ЗК-1120</x:t>
        </x:is>
      </x:c>
      <x:c r="D168" s="31" t="inlineStr">
        <x:is>
          <x:t xml:space="preserve">ИЗД-035</x:t>
        </x:is>
      </x:c>
      <x:c r="E168" s="31" t="n">
        <x:v>46111</x:v>
      </x:c>
      <x:c r="F168" s="31" t="inlineStr">
        <x:is>
          <x:t xml:space="preserve">СОТР-092</x:t>
        </x:is>
      </x:c>
      <x:c r="G168" s="31" t="n">
        <x:v>6</x:v>
      </x:c>
      <x:c r="H168" s="31" t="n">
        <x:v>1</x:v>
      </x:c>
      <x:c r="I168" s="31" t="inlineStr">
        <x:is>
          <x:t xml:space="preserve">Комплектность</x:t>
        </x:is>
      </x:c>
      <x:c r="J168" s="31" t="inlineStr">
        <x:is>
          <x:t xml:space="preserve">Незначительный</x:t>
        </x:is>
      </x:c>
      <x:c r="K168" s="31" t="inlineStr">
        <x:is>
          <x:t xml:space="preserve">Доработка</x:t>
        </x:is>
      </x:c>
      <x:c r="L168" s="31" t="inlineStr">
        <x:is>
          <x:t xml:space="preserve">Да</x:t>
        </x:is>
      </x:c>
      <x:c r="M168" s="31" t="inlineStr">
        <x:is>
          <x:t xml:space="preserve">Открыта</x:t>
        </x:is>
      </x:c>
      <x:c r="N168" s="31" t="inlineStr">
        <x:is>
          <x:t xml:space="preserve">Протокол приемочные испытания/ОТК 7538</x:t>
        </x:is>
      </x:c>
    </x:row>
    <x:row r="169" ht="18" customHeight="1">
      <x:c r="A169" s="31" t="inlineStr">
        <x:is>
          <x:t xml:space="preserve">ОТК-00168</x:t>
        </x:is>
      </x:c>
      <x:c r="B169" s="31" t="inlineStr">
        <x:is>
          <x:t xml:space="preserve">ПЗ-00247</x:t>
        </x:is>
      </x:c>
      <x:c r="C169" s="31" t="inlineStr">
        <x:is>
          <x:t xml:space="preserve">ЗК-1120</x:t>
        </x:is>
      </x:c>
      <x:c r="D169" s="31" t="inlineStr">
        <x:is>
          <x:t xml:space="preserve">ИЗД-013</x:t>
        </x:is>
      </x:c>
      <x:c r="E169" s="31" t="n">
        <x:v>46110</x:v>
      </x:c>
      <x:c r="F169" s="31" t="inlineStr">
        <x:is>
          <x:t xml:space="preserve">СОТР-099</x:t>
        </x:is>
      </x:c>
      <x:c r="G169" s="31" t="n">
        <x:v>8</x:v>
      </x:c>
      <x:c r="H169" s="31" t="n">
        <x:v>0</x:v>
      </x:c>
      <x:c r="I169" s="31" t="inlineStr">
        <x:is>
          <x:t xml:space="preserve">Геометрия</x:t>
        </x:is>
      </x:c>
      <x:c r="J169" s="31" t="inlineStr">
        <x:is>
          <x:t xml:space="preserve">Нет</x:t>
        </x:is>
      </x:c>
      <x:c r="K169" s="31" t="inlineStr">
        <x:is>
          <x:t xml:space="preserve">Принято</x:t>
        </x:is>
      </x:c>
      <x:c r="L169" s="31" t="inlineStr">
        <x:is>
          <x:t xml:space="preserve">Нет</x:t>
        </x:is>
      </x:c>
      <x:c r="M169" s="31" t="inlineStr">
        <x:is>
          <x:t xml:space="preserve">Не требуется</x:t>
        </x:is>
      </x:c>
      <x:c r="N169" s="31" t="inlineStr">
        <x:is>
          <x:t xml:space="preserve">Протокол приемочные испытания/ОТК 3511</x:t>
        </x:is>
      </x:c>
    </x:row>
    <x:row r="170" ht="18" customHeight="1">
      <x:c r="A170" s="31" t="inlineStr">
        <x:is>
          <x:t xml:space="preserve">ОТК-00169</x:t>
        </x:is>
      </x:c>
      <x:c r="B170" s="31" t="inlineStr">
        <x:is>
          <x:t xml:space="preserve">ПЗ-00248</x:t>
        </x:is>
      </x:c>
      <x:c r="C170" s="31" t="inlineStr">
        <x:is>
          <x:t xml:space="preserve">ЗК-1121</x:t>
        </x:is>
      </x:c>
      <x:c r="D170" s="31" t="inlineStr">
        <x:is>
          <x:t xml:space="preserve">ИЗД-004</x:t>
        </x:is>
      </x:c>
      <x:c r="E170" s="31" t="n">
        <x:v>46203</x:v>
      </x:c>
      <x:c r="F170" s="31" t="inlineStr">
        <x:is>
          <x:t xml:space="preserve">СОТР-096</x:t>
        </x:is>
      </x:c>
      <x:c r="G170" s="31" t="n">
        <x:v>3</x:v>
      </x:c>
      <x:c r="H170" s="31" t="n">
        <x:v>0</x:v>
      </x:c>
      <x:c r="I170" s="31" t="inlineStr">
        <x:is>
          <x:t xml:space="preserve">Комплектность</x:t>
        </x:is>
      </x:c>
      <x:c r="J170" s="31" t="inlineStr">
        <x:is>
          <x:t xml:space="preserve">Нет</x:t>
        </x:is>
      </x:c>
      <x:c r="K170" s="31" t="inlineStr">
        <x:is>
          <x:t xml:space="preserve">Принято</x:t>
        </x:is>
      </x:c>
      <x:c r="L170" s="31" t="inlineStr">
        <x:is>
          <x:t xml:space="preserve">Нет</x:t>
        </x:is>
      </x:c>
      <x:c r="M170" s="31" t="inlineStr">
        <x:is>
          <x:t xml:space="preserve">Не требуется</x:t>
        </x:is>
      </x:c>
      <x:c r="N170" s="31" t="inlineStr">
        <x:is>
          <x:t xml:space="preserve">Протокол приемочные испытания/ОТК 2230</x:t>
        </x:is>
      </x:c>
    </x:row>
    <x:row r="171" ht="18" customHeight="1">
      <x:c r="A171" s="31" t="inlineStr">
        <x:is>
          <x:t xml:space="preserve">ОТК-00170</x:t>
        </x:is>
      </x:c>
      <x:c r="B171" s="31" t="inlineStr">
        <x:is>
          <x:t xml:space="preserve">ПЗ-00249</x:t>
        </x:is>
      </x:c>
      <x:c r="C171" s="31" t="inlineStr">
        <x:is>
          <x:t xml:space="preserve">ЗК-1122</x:t>
        </x:is>
      </x:c>
      <x:c r="D171" s="31" t="inlineStr">
        <x:is>
          <x:t xml:space="preserve">ИЗД-009</x:t>
        </x:is>
      </x:c>
      <x:c r="E171" s="31" t="n">
        <x:v>46148</x:v>
      </x:c>
      <x:c r="F171" s="31" t="inlineStr">
        <x:is>
          <x:t xml:space="preserve">СОТР-093</x:t>
        </x:is>
      </x:c>
      <x:c r="G171" s="31" t="n">
        <x:v>6</x:v>
      </x:c>
      <x:c r="H171" s="31" t="n">
        <x:v>2</x:v>
      </x:c>
      <x:c r="I171" s="31" t="inlineStr">
        <x:is>
          <x:t xml:space="preserve">Герметичность</x:t>
        </x:is>
      </x:c>
      <x:c r="J171" s="31" t="inlineStr">
        <x:is>
          <x:t xml:space="preserve">Незначительный</x:t>
        </x:is>
      </x:c>
      <x:c r="K171" s="31" t="inlineStr">
        <x:is>
          <x:t xml:space="preserve">Доработка</x:t>
        </x:is>
      </x:c>
      <x:c r="L171" s="31" t="inlineStr">
        <x:is>
          <x:t xml:space="preserve">Да</x:t>
        </x:is>
      </x:c>
      <x:c r="M171" s="31" t="inlineStr">
        <x:is>
          <x:t xml:space="preserve">Закрыта</x:t>
        </x:is>
      </x:c>
      <x:c r="N171" s="31" t="inlineStr">
        <x:is>
          <x:t xml:space="preserve">Протокол приемочные испытания/ОТК 1068</x:t>
        </x:is>
      </x:c>
    </x:row>
    <x:row r="172" ht="18" customHeight="1">
      <x:c r="A172" s="31" t="inlineStr">
        <x:is>
          <x:t xml:space="preserve">ОТК-00171</x:t>
        </x:is>
      </x:c>
      <x:c r="B172" s="31" t="inlineStr">
        <x:is>
          <x:t xml:space="preserve">ПЗ-00250</x:t>
        </x:is>
      </x:c>
      <x:c r="C172" s="31" t="inlineStr">
        <x:is>
          <x:t xml:space="preserve">ЗК-1123</x:t>
        </x:is>
      </x:c>
      <x:c r="D172" s="31" t="inlineStr">
        <x:is>
          <x:t xml:space="preserve">ИЗД-016</x:t>
        </x:is>
      </x:c>
      <x:c r="E172" s="31" t="n">
        <x:v>46155</x:v>
      </x:c>
      <x:c r="F172" s="31" t="inlineStr">
        <x:is>
          <x:t xml:space="preserve">СОТР-099</x:t>
        </x:is>
      </x:c>
      <x:c r="G172" s="31" t="n">
        <x:v>5</x:v>
      </x:c>
      <x:c r="H172" s="31" t="n">
        <x:v>1</x:v>
      </x:c>
      <x:c r="I172" s="31" t="inlineStr">
        <x:is>
          <x:t xml:space="preserve">Герметичность</x:t>
        </x:is>
      </x:c>
      <x:c r="J172" s="31" t="inlineStr">
        <x:is>
          <x:t xml:space="preserve">Незначительный</x:t>
        </x:is>
      </x:c>
      <x:c r="K172" s="31" t="inlineStr">
        <x:is>
          <x:t xml:space="preserve">Принято с замечаниями</x:t>
        </x:is>
      </x:c>
      <x:c r="L172" s="31" t="inlineStr">
        <x:is>
          <x:t xml:space="preserve">Нет</x:t>
        </x:is>
      </x:c>
      <x:c r="M172" s="31" t="inlineStr">
        <x:is>
          <x:t xml:space="preserve">В работе</x:t>
        </x:is>
      </x:c>
      <x:c r="N172" s="31" t="inlineStr">
        <x:is>
          <x:t xml:space="preserve">Протокол приемочные испытания/ОТК 3227</x:t>
        </x:is>
      </x:c>
    </x:row>
    <x:row r="173" ht="18" customHeight="1">
      <x:c r="A173" s="31" t="inlineStr">
        <x:is>
          <x:t xml:space="preserve">ОТК-00172</x:t>
        </x:is>
      </x:c>
      <x:c r="B173" s="31" t="inlineStr">
        <x:is>
          <x:t xml:space="preserve">ПЗ-00251</x:t>
        </x:is>
      </x:c>
      <x:c r="C173" s="31" t="inlineStr">
        <x:is>
          <x:t xml:space="preserve">ЗК-1123</x:t>
        </x:is>
      </x:c>
      <x:c r="D173" s="31" t="inlineStr">
        <x:is>
          <x:t xml:space="preserve">ИЗД-004</x:t>
        </x:is>
      </x:c>
      <x:c r="E173" s="31" t="n">
        <x:v>46157</x:v>
      </x:c>
      <x:c r="F173" s="31" t="inlineStr">
        <x:is>
          <x:t xml:space="preserve">СОТР-097</x:t>
        </x:is>
      </x:c>
      <x:c r="G173" s="31" t="n">
        <x:v>5</x:v>
      </x:c>
      <x:c r="H173" s="31" t="n">
        <x:v>2</x:v>
      </x:c>
      <x:c r="I173" s="31" t="inlineStr">
        <x:is>
          <x:t xml:space="preserve">Герметичность</x:t>
        </x:is>
      </x:c>
      <x:c r="J173" s="31" t="inlineStr">
        <x:is>
          <x:t xml:space="preserve">Существенный</x:t>
        </x:is>
      </x:c>
      <x:c r="K173" s="31" t="inlineStr">
        <x:is>
          <x:t xml:space="preserve">Принято с замечаниями</x:t>
        </x:is>
      </x:c>
      <x:c r="L173" s="31" t="inlineStr">
        <x:is>
          <x:t xml:space="preserve">Нет</x:t>
        </x:is>
      </x:c>
      <x:c r="M173" s="31" t="inlineStr">
        <x:is>
          <x:t xml:space="preserve">В работе</x:t>
        </x:is>
      </x:c>
      <x:c r="N173" s="31" t="inlineStr">
        <x:is>
          <x:t xml:space="preserve">Протокол приемочные испытания/ОТК 9587</x:t>
        </x:is>
      </x:c>
    </x:row>
    <x:row r="174" ht="18" customHeight="1">
      <x:c r="A174" s="31" t="inlineStr">
        <x:is>
          <x:t xml:space="preserve">ОТК-00173</x:t>
        </x:is>
      </x:c>
      <x:c r="B174" s="31" t="inlineStr">
        <x:is>
          <x:t xml:space="preserve">ПЗ-00252</x:t>
        </x:is>
      </x:c>
      <x:c r="C174" s="31" t="inlineStr">
        <x:is>
          <x:t xml:space="preserve">ЗК-1124</x:t>
        </x:is>
      </x:c>
      <x:c r="D174" s="31" t="inlineStr">
        <x:is>
          <x:t xml:space="preserve">ИЗД-026</x:t>
        </x:is>
      </x:c>
      <x:c r="E174" s="31" t="n">
        <x:v>46061</x:v>
      </x:c>
      <x:c r="F174" s="31" t="inlineStr">
        <x:is>
          <x:t xml:space="preserve">СОТР-100</x:t>
        </x:is>
      </x:c>
      <x:c r="G174" s="31" t="n">
        <x:v>7</x:v>
      </x:c>
      <x:c r="H174" s="31" t="n">
        <x:v>1</x:v>
      </x:c>
      <x:c r="I174" s="31" t="inlineStr">
        <x:is>
          <x:t xml:space="preserve">Документация</x:t>
        </x:is>
      </x:c>
      <x:c r="J174" s="31" t="inlineStr">
        <x:is>
          <x:t xml:space="preserve">Существенный</x:t>
        </x:is>
      </x:c>
      <x:c r="K174" s="31" t="inlineStr">
        <x:is>
          <x:t xml:space="preserve">Доработка</x:t>
        </x:is>
      </x:c>
      <x:c r="L174" s="31" t="inlineStr">
        <x:is>
          <x:t xml:space="preserve">Да</x:t>
        </x:is>
      </x:c>
      <x:c r="M174" s="31" t="inlineStr">
        <x:is>
          <x:t xml:space="preserve">Открыта</x:t>
        </x:is>
      </x:c>
      <x:c r="N174" s="31" t="inlineStr">
        <x:is>
          <x:t xml:space="preserve">Протокол приемочные испытания/ОТК 8513</x:t>
        </x:is>
      </x:c>
    </x:row>
    <x:row r="175" ht="18" customHeight="1">
      <x:c r="A175" s="31" t="inlineStr">
        <x:is>
          <x:t xml:space="preserve">ОТК-00174</x:t>
        </x:is>
      </x:c>
      <x:c r="B175" s="31" t="inlineStr">
        <x:is>
          <x:t xml:space="preserve">ПЗ-00253</x:t>
        </x:is>
      </x:c>
      <x:c r="C175" s="31" t="inlineStr">
        <x:is>
          <x:t xml:space="preserve">ЗК-1124</x:t>
        </x:is>
      </x:c>
      <x:c r="D175" s="31" t="inlineStr">
        <x:is>
          <x:t xml:space="preserve">ИЗД-014</x:t>
        </x:is>
      </x:c>
      <x:c r="E175" s="31" t="n">
        <x:v>46055</x:v>
      </x:c>
      <x:c r="F175" s="31" t="inlineStr">
        <x:is>
          <x:t xml:space="preserve">СОТР-097</x:t>
        </x:is>
      </x:c>
      <x:c r="G175" s="31" t="n">
        <x:v>4</x:v>
      </x:c>
      <x:c r="H175" s="31" t="n">
        <x:v>1</x:v>
      </x:c>
      <x:c r="I175" s="31" t="inlineStr">
        <x:is>
          <x:t xml:space="preserve">Документация</x:t>
        </x:is>
      </x:c>
      <x:c r="J175" s="31" t="inlineStr">
        <x:is>
          <x:t xml:space="preserve">Существенный</x:t>
        </x:is>
      </x:c>
      <x:c r="K175" s="31" t="inlineStr">
        <x:is>
          <x:t xml:space="preserve">Принято с замечаниями</x:t>
        </x:is>
      </x:c>
      <x:c r="L175" s="31" t="inlineStr">
        <x:is>
          <x:t xml:space="preserve">Нет</x:t>
        </x:is>
      </x:c>
      <x:c r="M175" s="31" t="inlineStr">
        <x:is>
          <x:t xml:space="preserve">Закрыта</x:t>
        </x:is>
      </x:c>
      <x:c r="N175" s="31" t="inlineStr">
        <x:is>
          <x:t xml:space="preserve">Протокол приемочные испытания/ОТК 1260</x:t>
        </x:is>
      </x:c>
    </x:row>
    <x:row r="176" ht="18" customHeight="1">
      <x:c r="A176" s="31" t="inlineStr">
        <x:is>
          <x:t xml:space="preserve">ОТК-00175</x:t>
        </x:is>
      </x:c>
      <x:c r="B176" s="31" t="inlineStr">
        <x:is>
          <x:t xml:space="preserve">ПЗ-00255</x:t>
        </x:is>
      </x:c>
      <x:c r="C176" s="31" t="inlineStr">
        <x:is>
          <x:t xml:space="preserve">ЗК-1125</x:t>
        </x:is>
      </x:c>
      <x:c r="D176" s="31" t="inlineStr">
        <x:is>
          <x:t xml:space="preserve">ИЗД-020</x:t>
        </x:is>
      </x:c>
      <x:c r="E176" s="31" t="n">
        <x:v>46114</x:v>
      </x:c>
      <x:c r="F176" s="31" t="inlineStr">
        <x:is>
          <x:t xml:space="preserve">СОТР-095</x:t>
        </x:is>
      </x:c>
      <x:c r="G176" s="31" t="n">
        <x:v>4</x:v>
      </x:c>
      <x:c r="H176" s="31" t="n">
        <x:v>1</x:v>
      </x:c>
      <x:c r="I176" s="31" t="inlineStr">
        <x:is>
          <x:t xml:space="preserve">Покрытие</x:t>
        </x:is>
      </x:c>
      <x:c r="J176" s="31" t="inlineStr">
        <x:is>
          <x:t xml:space="preserve">Незначительный</x:t>
        </x:is>
      </x:c>
      <x:c r="K176" s="31" t="inlineStr">
        <x:is>
          <x:t xml:space="preserve">Блокировка отгрузки</x:t>
        </x:is>
      </x:c>
      <x:c r="L176" s="31" t="inlineStr">
        <x:is>
          <x:t xml:space="preserve">Да</x:t>
        </x:is>
      </x:c>
      <x:c r="M176" s="31" t="inlineStr">
        <x:is>
          <x:t xml:space="preserve">Закрыта</x:t>
        </x:is>
      </x:c>
      <x:c r="N176" s="31" t="inlineStr">
        <x:is>
          <x:t xml:space="preserve">Протокол приемочные испытания/ОТК 4202</x:t>
        </x:is>
      </x:c>
    </x:row>
    <x:row r="177" ht="18" customHeight="1">
      <x:c r="A177" s="31" t="inlineStr">
        <x:is>
          <x:t xml:space="preserve">ОТК-00176</x:t>
        </x:is>
      </x:c>
      <x:c r="B177" s="31" t="inlineStr">
        <x:is>
          <x:t xml:space="preserve">ПЗ-00256</x:t>
        </x:is>
      </x:c>
      <x:c r="C177" s="31" t="inlineStr">
        <x:is>
          <x:t xml:space="preserve">ЗК-1126</x:t>
        </x:is>
      </x:c>
      <x:c r="D177" s="31" t="inlineStr">
        <x:is>
          <x:t xml:space="preserve">ИЗД-001</x:t>
        </x:is>
      </x:c>
      <x:c r="E177" s="31" t="n">
        <x:v>46220</x:v>
      </x:c>
      <x:c r="F177" s="31" t="inlineStr">
        <x:is>
          <x:t xml:space="preserve">СОТР-096</x:t>
        </x:is>
      </x:c>
      <x:c r="G177" s="31" t="n">
        <x:v>8</x:v>
      </x:c>
      <x:c r="H177" s="31" t="n">
        <x:v>1</x:v>
      </x:c>
      <x:c r="I177" s="31" t="inlineStr">
        <x:is>
          <x:t xml:space="preserve">Маркировка</x:t>
        </x:is>
      </x:c>
      <x:c r="J177" s="31" t="inlineStr">
        <x:is>
          <x:t xml:space="preserve">Существенный</x:t>
        </x:is>
      </x:c>
      <x:c r="K177" s="31" t="inlineStr">
        <x:is>
          <x:t xml:space="preserve">Доработка</x:t>
        </x:is>
      </x:c>
      <x:c r="L177" s="31" t="inlineStr">
        <x:is>
          <x:t xml:space="preserve">Да</x:t>
        </x:is>
      </x:c>
      <x:c r="M177" s="31" t="inlineStr">
        <x:is>
          <x:t xml:space="preserve">В работе</x:t>
        </x:is>
      </x:c>
      <x:c r="N177" s="31" t="inlineStr">
        <x:is>
          <x:t xml:space="preserve">Протокол приемочные испытания/ОТК 8453</x:t>
        </x:is>
      </x:c>
    </x:row>
    <x:row r="178" ht="18" customHeight="1">
      <x:c r="A178" s="31" t="inlineStr">
        <x:is>
          <x:t xml:space="preserve">ОТК-00177</x:t>
        </x:is>
      </x:c>
      <x:c r="B178" s="31" t="inlineStr">
        <x:is>
          <x:t xml:space="preserve">ПЗ-00257</x:t>
        </x:is>
      </x:c>
      <x:c r="C178" s="31" t="inlineStr">
        <x:is>
          <x:t xml:space="preserve">ЗК-1126</x:t>
        </x:is>
      </x:c>
      <x:c r="D178" s="31" t="inlineStr">
        <x:is>
          <x:t xml:space="preserve">ИЗД-020</x:t>
        </x:is>
      </x:c>
      <x:c r="E178" s="31" t="n">
        <x:v>46220</x:v>
      </x:c>
      <x:c r="F178" s="31" t="inlineStr">
        <x:is>
          <x:t xml:space="preserve">СОТР-098</x:t>
        </x:is>
      </x:c>
      <x:c r="G178" s="31" t="n">
        <x:v>4</x:v>
      </x:c>
      <x:c r="H178" s="31" t="n">
        <x:v>1</x:v>
      </x:c>
      <x:c r="I178" s="31" t="inlineStr">
        <x:is>
          <x:t xml:space="preserve">Комплектность</x:t>
        </x:is>
      </x:c>
      <x:c r="J178" s="31" t="inlineStr">
        <x:is>
          <x:t xml:space="preserve">Незначительный</x:t>
        </x:is>
      </x:c>
      <x:c r="K178" s="31" t="inlineStr">
        <x:is>
          <x:t xml:space="preserve">Доработка</x:t>
        </x:is>
      </x:c>
      <x:c r="L178" s="31" t="inlineStr">
        <x:is>
          <x:t xml:space="preserve">Да</x:t>
        </x:is>
      </x:c>
      <x:c r="M178" s="31" t="inlineStr">
        <x:is>
          <x:t xml:space="preserve">Открыта</x:t>
        </x:is>
      </x:c>
      <x:c r="N178" s="31" t="inlineStr">
        <x:is>
          <x:t xml:space="preserve">Протокол приемочные испытания/ОТК 4928</x:t>
        </x:is>
      </x:c>
    </x:row>
    <x:row r="179" ht="18" customHeight="1">
      <x:c r="A179" s="31" t="inlineStr">
        <x:is>
          <x:t xml:space="preserve">ОТК-00178</x:t>
        </x:is>
      </x:c>
      <x:c r="B179" s="31" t="inlineStr">
        <x:is>
          <x:t xml:space="preserve">ПЗ-00259</x:t>
        </x:is>
      </x:c>
      <x:c r="C179" s="31" t="inlineStr">
        <x:is>
          <x:t xml:space="preserve">ЗК-1128</x:t>
        </x:is>
      </x:c>
      <x:c r="D179" s="31" t="inlineStr">
        <x:is>
          <x:t xml:space="preserve">ИЗД-015</x:t>
        </x:is>
      </x:c>
      <x:c r="E179" s="31" t="n">
        <x:v>46117</x:v>
      </x:c>
      <x:c r="F179" s="31" t="inlineStr">
        <x:is>
          <x:t xml:space="preserve">СОТР-100</x:t>
        </x:is>
      </x:c>
      <x:c r="G179" s="31" t="n">
        <x:v>7</x:v>
      </x:c>
      <x:c r="H179" s="31" t="n">
        <x:v>0</x:v>
      </x:c>
      <x:c r="I179" s="31" t="inlineStr">
        <x:is>
          <x:t xml:space="preserve">Покрытие</x:t>
        </x:is>
      </x:c>
      <x:c r="J179" s="31" t="inlineStr">
        <x:is>
          <x:t xml:space="preserve">Нет</x:t>
        </x:is>
      </x:c>
      <x:c r="K179" s="31" t="inlineStr">
        <x:is>
          <x:t xml:space="preserve">Принято</x:t>
        </x:is>
      </x:c>
      <x:c r="L179" s="31" t="inlineStr">
        <x:is>
          <x:t xml:space="preserve">Нет</x:t>
        </x:is>
      </x:c>
      <x:c r="M179" s="31" t="inlineStr">
        <x:is>
          <x:t xml:space="preserve">Не требуется</x:t>
        </x:is>
      </x:c>
      <x:c r="N179" s="31" t="inlineStr">
        <x:is>
          <x:t xml:space="preserve">Протокол приемочные испытания/ОТК 8437</x:t>
        </x:is>
      </x:c>
    </x:row>
    <x:row r="180" ht="18" customHeight="1">
      <x:c r="A180" s="31" t="inlineStr">
        <x:is>
          <x:t xml:space="preserve">ОТК-00179</x:t>
        </x:is>
      </x:c>
      <x:c r="B180" s="31" t="inlineStr">
        <x:is>
          <x:t xml:space="preserve">ПЗ-00260</x:t>
        </x:is>
      </x:c>
      <x:c r="C180" s="31" t="inlineStr">
        <x:is>
          <x:t xml:space="preserve">ЗК-1128</x:t>
        </x:is>
      </x:c>
      <x:c r="D180" s="31" t="inlineStr">
        <x:is>
          <x:t xml:space="preserve">ИЗД-004</x:t>
        </x:is>
      </x:c>
      <x:c r="E180" s="31" t="n">
        <x:v>46129</x:v>
      </x:c>
      <x:c r="F180" s="31" t="inlineStr">
        <x:is>
          <x:t xml:space="preserve">СОТР-093</x:t>
        </x:is>
      </x:c>
      <x:c r="G180" s="31" t="n">
        <x:v>6</x:v>
      </x:c>
      <x:c r="H180" s="31" t="n">
        <x:v>0</x:v>
      </x:c>
      <x:c r="I180" s="31" t="inlineStr">
        <x:is>
          <x:t xml:space="preserve">Документация</x:t>
        </x:is>
      </x:c>
      <x:c r="J180" s="31" t="inlineStr">
        <x:is>
          <x:t xml:space="preserve">Нет</x:t>
        </x:is>
      </x:c>
      <x:c r="K180" s="31" t="inlineStr">
        <x:is>
          <x:t xml:space="preserve">Принято</x:t>
        </x:is>
      </x:c>
      <x:c r="L180" s="31" t="inlineStr">
        <x:is>
          <x:t xml:space="preserve">Нет</x:t>
        </x:is>
      </x:c>
      <x:c r="M180" s="31" t="inlineStr">
        <x:is>
          <x:t xml:space="preserve">Не требуется</x:t>
        </x:is>
      </x:c>
      <x:c r="N180" s="31" t="inlineStr">
        <x:is>
          <x:t xml:space="preserve">Протокол приемочные испытания/ОТК 5078</x:t>
        </x:is>
      </x:c>
    </x:row>
    <x:row r="181" ht="18" customHeight="1">
      <x:c r="A181" s="31" t="inlineStr">
        <x:is>
          <x:t xml:space="preserve">ОТК-00180</x:t>
        </x:is>
      </x:c>
      <x:c r="B181" s="31" t="inlineStr">
        <x:is>
          <x:t xml:space="preserve">ПЗ-00262</x:t>
        </x:is>
      </x:c>
      <x:c r="C181" s="31" t="inlineStr">
        <x:is>
          <x:t xml:space="preserve">ЗК-1128</x:t>
        </x:is>
      </x:c>
      <x:c r="D181" s="31" t="inlineStr">
        <x:is>
          <x:t xml:space="preserve">ИЗД-024</x:t>
        </x:is>
      </x:c>
      <x:c r="E181" s="31" t="n">
        <x:v>46116</x:v>
      </x:c>
      <x:c r="F181" s="31" t="inlineStr">
        <x:is>
          <x:t xml:space="preserve">СОТР-096</x:t>
        </x:is>
      </x:c>
      <x:c r="G181" s="31" t="n">
        <x:v>5</x:v>
      </x:c>
      <x:c r="H181" s="31" t="n">
        <x:v>3</x:v>
      </x:c>
      <x:c r="I181" s="31" t="inlineStr">
        <x:is>
          <x:t xml:space="preserve">Геометрия</x:t>
        </x:is>
      </x:c>
      <x:c r="J181" s="31" t="inlineStr">
        <x:is>
          <x:t xml:space="preserve">Существенный</x:t>
        </x:is>
      </x:c>
      <x:c r="K181" s="31" t="inlineStr">
        <x:is>
          <x:t xml:space="preserve">Блокировка отгрузки</x:t>
        </x:is>
      </x:c>
      <x:c r="L181" s="31" t="inlineStr">
        <x:is>
          <x:t xml:space="preserve">Да</x:t>
        </x:is>
      </x:c>
      <x:c r="M181" s="31" t="inlineStr">
        <x:is>
          <x:t xml:space="preserve">Закрыта</x:t>
        </x:is>
      </x:c>
      <x:c r="N181" s="31" t="inlineStr">
        <x:is>
          <x:t xml:space="preserve">Протокол приемочные испытания/ОТК 3589</x:t>
        </x:is>
      </x:c>
    </x:row>
    <x:row r="182" ht="18" customHeight="1">
      <x:c r="A182" s="31" t="inlineStr">
        <x:is>
          <x:t xml:space="preserve">ОТК-00181</x:t>
        </x:is>
      </x:c>
      <x:c r="B182" s="31" t="inlineStr">
        <x:is>
          <x:t xml:space="preserve">ПЗ-00263</x:t>
        </x:is>
      </x:c>
      <x:c r="C182" s="31" t="inlineStr">
        <x:is>
          <x:t xml:space="preserve">ЗК-1129</x:t>
        </x:is>
      </x:c>
      <x:c r="D182" s="31" t="inlineStr">
        <x:is>
          <x:t xml:space="preserve">ИЗД-034</x:t>
        </x:is>
      </x:c>
      <x:c r="E182" s="31" t="n">
        <x:v>46150</x:v>
      </x:c>
      <x:c r="F182" s="31" t="inlineStr">
        <x:is>
          <x:t xml:space="preserve">СОТР-096</x:t>
        </x:is>
      </x:c>
      <x:c r="G182" s="31" t="n">
        <x:v>3</x:v>
      </x:c>
      <x:c r="H182" s="31" t="n">
        <x:v>2</x:v>
      </x:c>
      <x:c r="I182" s="31" t="inlineStr">
        <x:is>
          <x:t xml:space="preserve">Геометрия</x:t>
        </x:is>
      </x:c>
      <x:c r="J182" s="31" t="inlineStr">
        <x:is>
          <x:t xml:space="preserve">Незначительный</x:t>
        </x:is>
      </x:c>
      <x:c r="K182" s="31" t="inlineStr">
        <x:is>
          <x:t xml:space="preserve">Принято с замечаниями</x:t>
        </x:is>
      </x:c>
      <x:c r="L182" s="31" t="inlineStr">
        <x:is>
          <x:t xml:space="preserve">Нет</x:t>
        </x:is>
      </x:c>
      <x:c r="M182" s="31" t="inlineStr">
        <x:is>
          <x:t xml:space="preserve">Открыта</x:t>
        </x:is>
      </x:c>
      <x:c r="N182" s="31" t="inlineStr">
        <x:is>
          <x:t xml:space="preserve">Протокол приемочные испытания/ОТК 3182</x:t>
        </x:is>
      </x:c>
    </x:row>
    <x:row r="183" ht="18" customHeight="1">
      <x:c r="A183" s="31" t="inlineStr">
        <x:is>
          <x:t xml:space="preserve">ОТК-00182</x:t>
        </x:is>
      </x:c>
      <x:c r="B183" s="31" t="inlineStr">
        <x:is>
          <x:t xml:space="preserve">ПЗ-00264</x:t>
        </x:is>
      </x:c>
      <x:c r="C183" s="31" t="inlineStr">
        <x:is>
          <x:t xml:space="preserve">ЗК-1130</x:t>
        </x:is>
      </x:c>
      <x:c r="D183" s="31" t="inlineStr">
        <x:is>
          <x:t xml:space="preserve">ИЗД-001</x:t>
        </x:is>
      </x:c>
      <x:c r="E183" s="31" t="n">
        <x:v>46216</x:v>
      </x:c>
      <x:c r="F183" s="31" t="inlineStr">
        <x:is>
          <x:t xml:space="preserve">СОТР-095</x:t>
        </x:is>
      </x:c>
      <x:c r="G183" s="31" t="n">
        <x:v>3</x:v>
      </x:c>
      <x:c r="H183" s="31" t="n">
        <x:v>0</x:v>
      </x:c>
      <x:c r="I183" s="31" t="inlineStr">
        <x:is>
          <x:t xml:space="preserve">Маркировка</x:t>
        </x:is>
      </x:c>
      <x:c r="J183" s="31" t="inlineStr">
        <x:is>
          <x:t xml:space="preserve">Нет</x:t>
        </x:is>
      </x:c>
      <x:c r="K183" s="31" t="inlineStr">
        <x:is>
          <x:t xml:space="preserve">Принято</x:t>
        </x:is>
      </x:c>
      <x:c r="L183" s="31" t="inlineStr">
        <x:is>
          <x:t xml:space="preserve">Нет</x:t>
        </x:is>
      </x:c>
      <x:c r="M183" s="31" t="inlineStr">
        <x:is>
          <x:t xml:space="preserve">Не требуется</x:t>
        </x:is>
      </x:c>
      <x:c r="N183" s="31" t="inlineStr">
        <x:is>
          <x:t xml:space="preserve">Протокол приемочные испытания/ОТК 6625</x:t>
        </x:is>
      </x:c>
    </x:row>
    <x:row r="184" ht="18" customHeight="1">
      <x:c r="A184" s="31" t="inlineStr">
        <x:is>
          <x:t xml:space="preserve">ОТК-00183</x:t>
        </x:is>
      </x:c>
      <x:c r="B184" s="31" t="inlineStr">
        <x:is>
          <x:t xml:space="preserve">ПЗ-00265</x:t>
        </x:is>
      </x:c>
      <x:c r="C184" s="31" t="inlineStr">
        <x:is>
          <x:t xml:space="preserve">ЗК-1130</x:t>
        </x:is>
      </x:c>
      <x:c r="D184" s="31" t="inlineStr">
        <x:is>
          <x:t xml:space="preserve">ИЗД-033</x:t>
        </x:is>
      </x:c>
      <x:c r="E184" s="31" t="n">
        <x:v>46215</x:v>
      </x:c>
      <x:c r="F184" s="31" t="inlineStr">
        <x:is>
          <x:t xml:space="preserve">СОТР-100</x:t>
        </x:is>
      </x:c>
      <x:c r="G184" s="31" t="n">
        <x:v>4</x:v>
      </x:c>
      <x:c r="H184" s="31" t="n">
        <x:v>3</x:v>
      </x:c>
      <x:c r="I184" s="31" t="inlineStr">
        <x:is>
          <x:t xml:space="preserve">Покрытие</x:t>
        </x:is>
      </x:c>
      <x:c r="J184" s="31" t="inlineStr">
        <x:is>
          <x:t xml:space="preserve">Незначительный</x:t>
        </x:is>
      </x:c>
      <x:c r="K184" s="31" t="inlineStr">
        <x:is>
          <x:t xml:space="preserve">Доработка</x:t>
        </x:is>
      </x:c>
      <x:c r="L184" s="31" t="inlineStr">
        <x:is>
          <x:t xml:space="preserve">Да</x:t>
        </x:is>
      </x:c>
      <x:c r="M184" s="31" t="inlineStr">
        <x:is>
          <x:t xml:space="preserve">Открыта</x:t>
        </x:is>
      </x:c>
      <x:c r="N184" s="31" t="inlineStr">
        <x:is>
          <x:t xml:space="preserve">Протокол приемочные испытания/ОТК 4557</x:t>
        </x:is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5" customWidth="1"/>
    <x:col min="3" max="3" width="12" customWidth="1"/>
    <x:col min="4" max="4" width="15" customWidth="1"/>
    <x:col min="5" max="5" width="16" customWidth="1"/>
    <x:col min="6" max="6" width="25" customWidth="1"/>
    <x:col min="7" max="7" width="11" customWidth="1"/>
    <x:col min="8" max="8" width="26" customWidth="1"/>
    <x:col min="9" max="9" width="15" customWidth="1"/>
    <x:col min="10" max="10" width="10" customWidth="1"/>
    <x:col min="11" max="11" width="31" customWidth="1"/>
    <x:col min="12" max="12" width="31" customWidth="1"/>
  </x:cols>
  <x:sheetData>
    <x:row r="1" ht="18" customHeight="1">
      <x:c r="A1" s="30" t="inlineStr">
        <x:is>
          <x:t xml:space="preserve">Код рекламации</x:t>
        </x:is>
      </x:c>
      <x:c r="B1" s="30" t="inlineStr">
        <x:is>
          <x:t xml:space="preserve">Дата создания</x:t>
        </x:is>
      </x:c>
      <x:c r="C1" s="30" t="inlineStr">
        <x:is>
          <x:t xml:space="preserve">Код заказа</x:t>
        </x:is>
      </x:c>
      <x:c r="D1" s="30" t="inlineStr">
        <x:is>
          <x:t xml:space="preserve">Код заказчика</x:t>
        </x:is>
      </x:c>
      <x:c r="E1" s="30" t="inlineStr">
        <x:is>
          <x:t xml:space="preserve">Тип обращения</x:t>
        </x:is>
      </x:c>
      <x:c r="F1" s="30" t="inlineStr">
        <x:is>
          <x:t xml:space="preserve">Статус</x:t>
        </x:is>
      </x:c>
      <x:c r="G1" s="30" t="inlineStr">
        <x:is>
          <x:t xml:space="preserve">Тяжесть</x:t>
        </x:is>
      </x:c>
      <x:c r="H1" s="30" t="inlineStr">
        <x:is>
          <x:t xml:space="preserve">Категория проблемы</x:t>
        </x:is>
      </x:c>
      <x:c r="I1" s="30" t="inlineStr">
        <x:is>
          <x:t xml:space="preserve">Ответственный</x:t>
        </x:is>
      </x:c>
      <x:c r="J1" s="30" t="inlineStr">
        <x:is>
          <x:t xml:space="preserve">Срок</x:t>
        </x:is>
      </x:c>
      <x:c r="K1" s="30" t="inlineStr">
        <x:is>
          <x:t xml:space="preserve">Нужны корректирующие действия</x:t>
        </x:is>
      </x:c>
      <x:c r="L1" s="30" t="inlineStr">
        <x:is>
          <x:t xml:space="preserve">Описание</x:t>
        </x:is>
      </x:c>
    </x:row>
    <x:row r="2" ht="18" customHeight="1">
      <x:c r="A2" s="31" t="inlineStr">
        <x:is>
          <x:t xml:space="preserve">РЕК-00001</x:t>
        </x:is>
      </x:c>
      <x:c r="B2" s="31" t="n">
        <x:v>46150</x:v>
      </x:c>
      <x:c r="C2" s="31" t="inlineStr">
        <x:is>
          <x:t xml:space="preserve">ЗК-1016</x:t>
        </x:is>
      </x:c>
      <x:c r="D2" s="31" t="inlineStr">
        <x:is>
          <x:t xml:space="preserve">КЛ-010</x:t>
        </x:is>
      </x:c>
      <x:c r="E2" s="31" t="inlineStr">
        <x:is>
          <x:t xml:space="preserve">Гарантия</x:t>
        </x:is>
      </x:c>
      <x:c r="F2" s="31" t="inlineStr">
        <x:is>
          <x:t xml:space="preserve">Корректирующие действия</x:t>
        </x:is>
      </x:c>
      <x:c r="G2" s="31" t="inlineStr">
        <x:is>
          <x:t xml:space="preserve">Средняя</x:t>
        </x:is>
      </x:c>
      <x:c r="H2" s="31" t="inlineStr">
        <x:is>
          <x:t xml:space="preserve">повреждение при доставке</x:t>
        </x:is>
      </x:c>
      <x:c r="I2" s="31" t="inlineStr">
        <x:is>
          <x:t xml:space="preserve">СОТР-116</x:t>
        </x:is>
      </x:c>
      <x:c r="J2" s="31" t="n">
        <x:v>46155</x:v>
      </x:c>
      <x:c r="K2" s="31" t="inlineStr">
        <x:is>
          <x:t xml:space="preserve">Нет</x:t>
        </x:is>
      </x:c>
      <x:c r="L2" s="31" t="inlineStr">
        <x:is>
          <x:t xml:space="preserve">Описание обращения клиента 1</x:t>
        </x:is>
      </x:c>
    </x:row>
    <x:row r="3" ht="18" customHeight="1">
      <x:c r="A3" s="31" t="inlineStr">
        <x:is>
          <x:t xml:space="preserve">РЕК-00002</x:t>
        </x:is>
      </x:c>
      <x:c r="B3" s="31" t="n">
        <x:v>46272</x:v>
      </x:c>
      <x:c r="C3" s="31" t="inlineStr">
        <x:is>
          <x:t xml:space="preserve">ЗК-1059</x:t>
        </x:is>
      </x:c>
      <x:c r="D3" s="31" t="inlineStr">
        <x:is>
          <x:t xml:space="preserve">КЛ-002</x:t>
        </x:is>
      </x:c>
      <x:c r="E3" s="31" t="inlineStr">
        <x:is>
          <x:t xml:space="preserve">Гарантия</x:t>
        </x:is>
      </x:c>
      <x:c r="F3" s="31" t="inlineStr">
        <x:is>
          <x:t xml:space="preserve">Закрыта</x:t>
        </x:is>
      </x:c>
      <x:c r="G3" s="31" t="inlineStr">
        <x:is>
          <x:t xml:space="preserve">Средняя</x:t>
        </x:is>
      </x:c>
      <x:c r="H3" s="31" t="inlineStr">
        <x:is>
          <x:t xml:space="preserve">вибрация</x:t>
        </x:is>
      </x:c>
      <x:c r="I3" s="31" t="inlineStr">
        <x:is>
          <x:t xml:space="preserve">СОТР-114</x:t>
        </x:is>
      </x:c>
      <x:c r="J3" s="31" t="n">
        <x:v>46279</x:v>
      </x:c>
      <x:c r="K3" s="31" t="inlineStr">
        <x:is>
          <x:t xml:space="preserve">Да</x:t>
        </x:is>
      </x:c>
      <x:c r="L3" s="31" t="inlineStr">
        <x:is>
          <x:t xml:space="preserve">Описание обращения клиента 2</x:t>
        </x:is>
      </x:c>
    </x:row>
    <x:row r="4" ht="18" customHeight="1">
      <x:c r="A4" s="31" t="inlineStr">
        <x:is>
          <x:t xml:space="preserve">РЕК-00003</x:t>
        </x:is>
      </x:c>
      <x:c r="B4" s="31" t="n">
        <x:v>46264</x:v>
      </x:c>
      <x:c r="C4" s="31" t="inlineStr">
        <x:is>
          <x:t xml:space="preserve">ЗК-1060</x:t>
        </x:is>
      </x:c>
      <x:c r="D4" s="31" t="inlineStr">
        <x:is>
          <x:t xml:space="preserve">КЛ-047</x:t>
        </x:is>
      </x:c>
      <x:c r="E4" s="31" t="inlineStr">
        <x:is>
          <x:t xml:space="preserve">Гарантия</x:t>
        </x:is>
      </x:c>
      <x:c r="F4" s="31" t="inlineStr">
        <x:is>
          <x:t xml:space="preserve">Ожидает клиента</x:t>
        </x:is>
      </x:c>
      <x:c r="G4" s="31" t="inlineStr">
        <x:is>
          <x:t xml:space="preserve">Средняя</x:t>
        </x:is>
      </x:c>
      <x:c r="H4" s="31" t="inlineStr">
        <x:is>
          <x:t xml:space="preserve">недокомплект</x:t>
        </x:is>
      </x:c>
      <x:c r="I4" s="31" t="inlineStr">
        <x:is>
          <x:t xml:space="preserve">СОТР-112</x:t>
        </x:is>
      </x:c>
      <x:c r="J4" s="31" t="n">
        <x:v>46266</x:v>
      </x:c>
      <x:c r="K4" s="31" t="inlineStr">
        <x:is>
          <x:t xml:space="preserve">Да</x:t>
        </x:is>
      </x:c>
      <x:c r="L4" s="31" t="inlineStr">
        <x:is>
          <x:t xml:space="preserve">Описание обращения клиента 3</x:t>
        </x:is>
      </x:c>
    </x:row>
    <x:row r="5" ht="18" customHeight="1">
      <x:c r="A5" s="31" t="inlineStr">
        <x:is>
          <x:t xml:space="preserve">РЕК-00004</x:t>
        </x:is>
      </x:c>
      <x:c r="B5" s="31" t="n">
        <x:v>46155</x:v>
      </x:c>
      <x:c r="C5" s="31" t="inlineStr">
        <x:is>
          <x:t xml:space="preserve">ЗК-1041</x:t>
        </x:is>
      </x:c>
      <x:c r="D5" s="31" t="inlineStr">
        <x:is>
          <x:t xml:space="preserve">КЛ-032</x:t>
        </x:is>
      </x:c>
      <x:c r="E5" s="31" t="inlineStr">
        <x:is>
          <x:t xml:space="preserve">ПНР</x:t>
        </x:is>
      </x:c>
      <x:c r="F5" s="31" t="inlineStr">
        <x:is>
          <x:t xml:space="preserve">Ожидает клиента</x:t>
        </x:is>
      </x:c>
      <x:c r="G5" s="31" t="inlineStr">
        <x:is>
          <x:t xml:space="preserve">Критичная</x:t>
        </x:is>
      </x:c>
      <x:c r="H5" s="31" t="inlineStr">
        <x:is>
          <x:t xml:space="preserve">вибрация</x:t>
        </x:is>
      </x:c>
      <x:c r="I5" s="31" t="inlineStr">
        <x:is>
          <x:t xml:space="preserve">СОТР-113</x:t>
        </x:is>
      </x:c>
      <x:c r="J5" s="31" t="n">
        <x:v>46159</x:v>
      </x:c>
      <x:c r="K5" s="31" t="inlineStr">
        <x:is>
          <x:t xml:space="preserve">Да</x:t>
        </x:is>
      </x:c>
      <x:c r="L5" s="31" t="inlineStr">
        <x:is>
          <x:t xml:space="preserve">Описание обращения клиента 4</x:t>
        </x:is>
      </x:c>
    </x:row>
    <x:row r="6" ht="18" customHeight="1">
      <x:c r="A6" s="31" t="inlineStr">
        <x:is>
          <x:t xml:space="preserve">РЕК-00005</x:t>
        </x:is>
      </x:c>
      <x:c r="B6" s="31" t="n">
        <x:v>46248</x:v>
      </x:c>
      <x:c r="C6" s="31" t="inlineStr">
        <x:is>
          <x:t xml:space="preserve">ЗК-1073</x:t>
        </x:is>
      </x:c>
      <x:c r="D6" s="31" t="inlineStr">
        <x:is>
          <x:t xml:space="preserve">КЛ-046</x:t>
        </x:is>
      </x:c>
      <x:c r="E6" s="31" t="inlineStr">
        <x:is>
          <x:t xml:space="preserve">Гарантия</x:t>
        </x:is>
      </x:c>
      <x:c r="F6" s="31" t="inlineStr">
        <x:is>
          <x:t xml:space="preserve">Ожидает клиента</x:t>
        </x:is>
      </x:c>
      <x:c r="G6" s="31" t="inlineStr">
        <x:is>
          <x:t xml:space="preserve">Средняя</x:t>
        </x:is>
      </x:c>
      <x:c r="H6" s="31" t="inlineStr">
        <x:is>
          <x:t xml:space="preserve">течь</x:t>
        </x:is>
      </x:c>
      <x:c r="I6" s="31" t="inlineStr">
        <x:is>
          <x:t xml:space="preserve">СОТР-114</x:t>
        </x:is>
      </x:c>
      <x:c r="J6" s="31" t="n">
        <x:v>46251</x:v>
      </x:c>
      <x:c r="K6" s="31" t="inlineStr">
        <x:is>
          <x:t xml:space="preserve">Да</x:t>
        </x:is>
      </x:c>
      <x:c r="L6" s="31" t="inlineStr">
        <x:is>
          <x:t xml:space="preserve">Описание обращения клиента 5</x:t>
        </x:is>
      </x:c>
    </x:row>
    <x:row r="7" ht="18" customHeight="1">
      <x:c r="A7" s="31" t="inlineStr">
        <x:is>
          <x:t xml:space="preserve">РЕК-00006</x:t>
        </x:is>
      </x:c>
      <x:c r="B7" s="31" t="n">
        <x:v>46221</x:v>
      </x:c>
      <x:c r="C7" s="31" t="inlineStr">
        <x:is>
          <x:t xml:space="preserve">ЗК-1119</x:t>
        </x:is>
      </x:c>
      <x:c r="D7" s="31" t="inlineStr">
        <x:is>
          <x:t xml:space="preserve">КЛ-041</x:t>
        </x:is>
      </x:c>
      <x:c r="E7" s="31" t="inlineStr">
        <x:is>
          <x:t xml:space="preserve">ПНР</x:t>
        </x:is>
      </x:c>
      <x:c r="F7" s="31" t="inlineStr">
        <x:is>
          <x:t xml:space="preserve">Закрыта</x:t>
        </x:is>
      </x:c>
      <x:c r="G7" s="31" t="inlineStr">
        <x:is>
          <x:t xml:space="preserve">Средняя</x:t>
        </x:is>
      </x:c>
      <x:c r="H7" s="31" t="inlineStr">
        <x:is>
          <x:t xml:space="preserve">повреждение при доставке</x:t>
        </x:is>
      </x:c>
      <x:c r="I7" s="31" t="inlineStr">
        <x:is>
          <x:t xml:space="preserve">СОТР-115</x:t>
        </x:is>
      </x:c>
      <x:c r="J7" s="31" t="n">
        <x:v>46231</x:v>
      </x:c>
      <x:c r="K7" s="31" t="inlineStr">
        <x:is>
          <x:t xml:space="preserve">Нет</x:t>
        </x:is>
      </x:c>
      <x:c r="L7" s="31" t="inlineStr">
        <x:is>
          <x:t xml:space="preserve">Описание обращения клиента 6</x:t>
        </x:is>
      </x:c>
    </x:row>
    <x:row r="8" ht="18" customHeight="1">
      <x:c r="A8" s="31" t="inlineStr">
        <x:is>
          <x:t xml:space="preserve">РЕК-00007</x:t>
        </x:is>
      </x:c>
      <x:c r="B8" s="31" t="n">
        <x:v>46188</x:v>
      </x:c>
      <x:c r="C8" s="31" t="inlineStr">
        <x:is>
          <x:t xml:space="preserve">ЗК-1129</x:t>
        </x:is>
      </x:c>
      <x:c r="D8" s="31" t="inlineStr">
        <x:is>
          <x:t xml:space="preserve">КЛ-033</x:t>
        </x:is>
      </x:c>
      <x:c r="E8" s="31" t="inlineStr">
        <x:is>
          <x:t xml:space="preserve">Гарантия</x:t>
        </x:is>
      </x:c>
      <x:c r="F8" s="31" t="inlineStr">
        <x:is>
          <x:t xml:space="preserve">Диагностика</x:t>
        </x:is>
      </x:c>
      <x:c r="G8" s="31" t="inlineStr">
        <x:is>
          <x:t xml:space="preserve">Высокая</x:t>
        </x:is>
      </x:c>
      <x:c r="H8" s="31" t="inlineStr">
        <x:is>
          <x:t xml:space="preserve">течь</x:t>
        </x:is>
      </x:c>
      <x:c r="I8" s="31" t="inlineStr">
        <x:is>
          <x:t xml:space="preserve">СОТР-114</x:t>
        </x:is>
      </x:c>
      <x:c r="J8" s="31" t="n">
        <x:v>46192</x:v>
      </x:c>
      <x:c r="K8" s="31" t="inlineStr">
        <x:is>
          <x:t xml:space="preserve">Да</x:t>
        </x:is>
      </x:c>
      <x:c r="L8" s="31" t="inlineStr">
        <x:is>
          <x:t xml:space="preserve">Описание обращения клиента 7</x:t>
        </x:is>
      </x:c>
    </x:row>
    <x:row r="9" ht="18" customHeight="1">
      <x:c r="A9" s="31" t="inlineStr">
        <x:is>
          <x:t xml:space="preserve">РЕК-00008</x:t>
        </x:is>
      </x:c>
      <x:c r="B9" s="31" t="n">
        <x:v>46248</x:v>
      </x:c>
      <x:c r="C9" s="31" t="inlineStr">
        <x:is>
          <x:t xml:space="preserve">ЗК-1036</x:t>
        </x:is>
      </x:c>
      <x:c r="D9" s="31" t="inlineStr">
        <x:is>
          <x:t xml:space="preserve">КЛ-005</x:t>
        </x:is>
      </x:c>
      <x:c r="E9" s="31" t="inlineStr">
        <x:is>
          <x:t xml:space="preserve">Гарантия</x:t>
        </x:is>
      </x:c>
      <x:c r="F9" s="31" t="inlineStr">
        <x:is>
          <x:t xml:space="preserve">Диагностика</x:t>
        </x:is>
      </x:c>
      <x:c r="G9" s="31" t="inlineStr">
        <x:is>
          <x:t xml:space="preserve">Критичная</x:t>
        </x:is>
      </x:c>
      <x:c r="H9" s="31" t="inlineStr">
        <x:is>
          <x:t xml:space="preserve">ошибка ПЛК</x:t>
        </x:is>
      </x:c>
      <x:c r="I9" s="31" t="inlineStr">
        <x:is>
          <x:t xml:space="preserve">СОТР-116</x:t>
        </x:is>
      </x:c>
      <x:c r="J9" s="31" t="n">
        <x:v>46250</x:v>
      </x:c>
      <x:c r="K9" s="31" t="inlineStr">
        <x:is>
          <x:t xml:space="preserve">Нет</x:t>
        </x:is>
      </x:c>
      <x:c r="L9" s="31" t="inlineStr">
        <x:is>
          <x:t xml:space="preserve">Описание обращения клиента 8</x:t>
        </x:is>
      </x:c>
    </x:row>
    <x:row r="10" ht="18" customHeight="1">
      <x:c r="A10" s="31" t="inlineStr">
        <x:is>
          <x:t xml:space="preserve">РЕК-00009</x:t>
        </x:is>
      </x:c>
      <x:c r="B10" s="31" t="n">
        <x:v>46192</x:v>
      </x:c>
      <x:c r="C10" s="31" t="inlineStr">
        <x:is>
          <x:t xml:space="preserve">ЗК-1085</x:t>
        </x:is>
      </x:c>
      <x:c r="D10" s="31" t="inlineStr">
        <x:is>
          <x:t xml:space="preserve">КЛ-015</x:t>
        </x:is>
      </x:c>
      <x:c r="E10" s="31" t="inlineStr">
        <x:is>
          <x:t xml:space="preserve">Гарантия</x:t>
        </x:is>
      </x:c>
      <x:c r="F10" s="31" t="inlineStr">
        <x:is>
          <x:t xml:space="preserve">Диагностика</x:t>
        </x:is>
      </x:c>
      <x:c r="G10" s="31" t="inlineStr">
        <x:is>
          <x:t xml:space="preserve">Низкая</x:t>
        </x:is>
      </x:c>
      <x:c r="H10" s="31" t="inlineStr">
        <x:is>
          <x:t xml:space="preserve">повреждение при доставке</x:t>
        </x:is>
      </x:c>
      <x:c r="I10" s="31" t="inlineStr">
        <x:is>
          <x:t xml:space="preserve">СОТР-112</x:t>
        </x:is>
      </x:c>
      <x:c r="J10" s="31" t="n">
        <x:v>46194</x:v>
      </x:c>
      <x:c r="K10" s="31" t="inlineStr">
        <x:is>
          <x:t xml:space="preserve">Нет</x:t>
        </x:is>
      </x:c>
      <x:c r="L10" s="31" t="inlineStr">
        <x:is>
          <x:t xml:space="preserve">Описание обращения клиента 9</x:t>
        </x:is>
      </x:c>
    </x:row>
    <x:row r="11" ht="18" customHeight="1">
      <x:c r="A11" s="31" t="inlineStr">
        <x:is>
          <x:t xml:space="preserve">РЕК-00010</x:t>
        </x:is>
      </x:c>
      <x:c r="B11" s="31" t="n">
        <x:v>46304</x:v>
      </x:c>
      <x:c r="C11" s="31" t="inlineStr">
        <x:is>
          <x:t xml:space="preserve">ЗК-1110</x:t>
        </x:is>
      </x:c>
      <x:c r="D11" s="31" t="inlineStr">
        <x:is>
          <x:t xml:space="preserve">КЛ-013</x:t>
        </x:is>
      </x:c>
      <x:c r="E11" s="31" t="inlineStr">
        <x:is>
          <x:t xml:space="preserve">Гарантия</x:t>
        </x:is>
      </x:c>
      <x:c r="F11" s="31" t="inlineStr">
        <x:is>
          <x:t xml:space="preserve">Диагностика</x:t>
        </x:is>
      </x:c>
      <x:c r="G11" s="31" t="inlineStr">
        <x:is>
          <x:t xml:space="preserve">Низкая</x:t>
        </x:is>
      </x:c>
      <x:c r="H11" s="31" t="inlineStr">
        <x:is>
          <x:t xml:space="preserve">ошибка ПЛК</x:t>
        </x:is>
      </x:c>
      <x:c r="I11" s="31" t="inlineStr">
        <x:is>
          <x:t xml:space="preserve">СОТР-113</x:t>
        </x:is>
      </x:c>
      <x:c r="J11" s="31" t="n">
        <x:v>46312</x:v>
      </x:c>
      <x:c r="K11" s="31" t="inlineStr">
        <x:is>
          <x:t xml:space="preserve">Да</x:t>
        </x:is>
      </x:c>
      <x:c r="L11" s="31" t="inlineStr">
        <x:is>
          <x:t xml:space="preserve">Описание обращения клиента 10</x:t>
        </x:is>
      </x:c>
    </x:row>
    <x:row r="12" ht="18" customHeight="1">
      <x:c r="A12" s="31" t="inlineStr">
        <x:is>
          <x:t xml:space="preserve">РЕК-00011</x:t>
        </x:is>
      </x:c>
      <x:c r="B12" s="31" t="n">
        <x:v>46127</x:v>
      </x:c>
      <x:c r="C12" s="31" t="inlineStr">
        <x:is>
          <x:t xml:space="preserve">ЗК-1005</x:t>
        </x:is>
      </x:c>
      <x:c r="D12" s="31" t="inlineStr">
        <x:is>
          <x:t xml:space="preserve">КЛ-010</x:t>
        </x:is>
      </x:c>
      <x:c r="E12" s="31" t="inlineStr">
        <x:is>
          <x:t xml:space="preserve">ПНР</x:t>
        </x:is>
      </x:c>
      <x:c r="F12" s="31" t="inlineStr">
        <x:is>
          <x:t xml:space="preserve">Новая</x:t>
        </x:is>
      </x:c>
      <x:c r="G12" s="31" t="inlineStr">
        <x:is>
          <x:t xml:space="preserve">Низкая</x:t>
        </x:is>
      </x:c>
      <x:c r="H12" s="31" t="inlineStr">
        <x:is>
          <x:t xml:space="preserve">повреждение при доставке</x:t>
        </x:is>
      </x:c>
      <x:c r="I12" s="31" t="inlineStr">
        <x:is>
          <x:t xml:space="preserve">СОТР-116</x:t>
        </x:is>
      </x:c>
      <x:c r="J12" s="31" t="n">
        <x:v>46129</x:v>
      </x:c>
      <x:c r="K12" s="31" t="inlineStr">
        <x:is>
          <x:t xml:space="preserve">Да</x:t>
        </x:is>
      </x:c>
      <x:c r="L12" s="31" t="inlineStr">
        <x:is>
          <x:t xml:space="preserve">Описание обращения клиента 11</x:t>
        </x:is>
      </x:c>
    </x:row>
    <x:row r="13" ht="18" customHeight="1">
      <x:c r="A13" s="31" t="inlineStr">
        <x:is>
          <x:t xml:space="preserve">РЕК-00012</x:t>
        </x:is>
      </x:c>
      <x:c r="B13" s="31" t="n">
        <x:v>46226</x:v>
      </x:c>
      <x:c r="C13" s="31" t="inlineStr">
        <x:is>
          <x:t xml:space="preserve">ЗК-1065</x:t>
        </x:is>
      </x:c>
      <x:c r="D13" s="31" t="inlineStr">
        <x:is>
          <x:t xml:space="preserve">КЛ-049</x:t>
        </x:is>
      </x:c>
      <x:c r="E13" s="31" t="inlineStr">
        <x:is>
          <x:t xml:space="preserve">Гарантия</x:t>
        </x:is>
      </x:c>
      <x:c r="F13" s="31" t="inlineStr">
        <x:is>
          <x:t xml:space="preserve">Корректирующие действия</x:t>
        </x:is>
      </x:c>
      <x:c r="G13" s="31" t="inlineStr">
        <x:is>
          <x:t xml:space="preserve">Низкая</x:t>
        </x:is>
      </x:c>
      <x:c r="H13" s="31" t="inlineStr">
        <x:is>
          <x:t xml:space="preserve">недокомплект</x:t>
        </x:is>
      </x:c>
      <x:c r="I13" s="31" t="inlineStr">
        <x:is>
          <x:t xml:space="preserve">СОТР-112</x:t>
        </x:is>
      </x:c>
      <x:c r="J13" s="31" t="n">
        <x:v>46233</x:v>
      </x:c>
      <x:c r="K13" s="31" t="inlineStr">
        <x:is>
          <x:t xml:space="preserve">Нет</x:t>
        </x:is>
      </x:c>
      <x:c r="L13" s="31" t="inlineStr">
        <x:is>
          <x:t xml:space="preserve">Описание обращения клиента 12</x:t>
        </x:is>
      </x:c>
    </x:row>
    <x:row r="14" ht="18" customHeight="1">
      <x:c r="A14" s="31" t="inlineStr">
        <x:is>
          <x:t xml:space="preserve">РЕК-00013</x:t>
        </x:is>
      </x:c>
      <x:c r="B14" s="31" t="n">
        <x:v>46146</x:v>
      </x:c>
      <x:c r="C14" s="31" t="inlineStr">
        <x:is>
          <x:t xml:space="preserve">ЗК-1087</x:t>
        </x:is>
      </x:c>
      <x:c r="D14" s="31" t="inlineStr">
        <x:is>
          <x:t xml:space="preserve">КЛ-008</x:t>
        </x:is>
      </x:c>
      <x:c r="E14" s="31" t="inlineStr">
        <x:is>
          <x:t xml:space="preserve">Гарантия</x:t>
        </x:is>
      </x:c>
      <x:c r="F14" s="31" t="inlineStr">
        <x:is>
          <x:t xml:space="preserve">Закрыта</x:t>
        </x:is>
      </x:c>
      <x:c r="G14" s="31" t="inlineStr">
        <x:is>
          <x:t xml:space="preserve">Низкая</x:t>
        </x:is>
      </x:c>
      <x:c r="H14" s="31" t="inlineStr">
        <x:is>
          <x:t xml:space="preserve">недокомплект</x:t>
        </x:is>
      </x:c>
      <x:c r="I14" s="31" t="inlineStr">
        <x:is>
          <x:t xml:space="preserve">СОТР-113</x:t>
        </x:is>
      </x:c>
      <x:c r="J14" s="31" t="n">
        <x:v>46155</x:v>
      </x:c>
      <x:c r="K14" s="31" t="inlineStr">
        <x:is>
          <x:t xml:space="preserve">Нет</x:t>
        </x:is>
      </x:c>
      <x:c r="L14" s="31" t="inlineStr">
        <x:is>
          <x:t xml:space="preserve">Описание обращения клиента 13</x:t>
        </x:is>
      </x:c>
    </x:row>
    <x:row r="15" ht="18" customHeight="1">
      <x:c r="A15" s="31" t="inlineStr">
        <x:is>
          <x:t xml:space="preserve">РЕК-00014</x:t>
        </x:is>
      </x:c>
      <x:c r="B15" s="31" t="n">
        <x:v>46265</x:v>
      </x:c>
      <x:c r="C15" s="31" t="inlineStr">
        <x:is>
          <x:t xml:space="preserve">ЗК-1081</x:t>
        </x:is>
      </x:c>
      <x:c r="D15" s="31" t="inlineStr">
        <x:is>
          <x:t xml:space="preserve">КЛ-048</x:t>
        </x:is>
      </x:c>
      <x:c r="E15" s="31" t="inlineStr">
        <x:is>
          <x:t xml:space="preserve">Гарантия</x:t>
        </x:is>
      </x:c>
      <x:c r="F15" s="31" t="inlineStr">
        <x:is>
          <x:t xml:space="preserve">Диагностика</x:t>
        </x:is>
      </x:c>
      <x:c r="G15" s="31" t="inlineStr">
        <x:is>
          <x:t xml:space="preserve">Средняя</x:t>
        </x:is>
      </x:c>
      <x:c r="H15" s="31" t="inlineStr">
        <x:is>
          <x:t xml:space="preserve">повреждение при доставке</x:t>
        </x:is>
      </x:c>
      <x:c r="I15" s="31" t="inlineStr">
        <x:is>
          <x:t xml:space="preserve">СОТР-112</x:t>
        </x:is>
      </x:c>
      <x:c r="J15" s="31" t="n">
        <x:v>46268</x:v>
      </x:c>
      <x:c r="K15" s="31" t="inlineStr">
        <x:is>
          <x:t xml:space="preserve">Да</x:t>
        </x:is>
      </x:c>
      <x:c r="L15" s="31" t="inlineStr">
        <x:is>
          <x:t xml:space="preserve">Описание обращения клиента 14</x:t>
        </x:is>
      </x:c>
    </x:row>
    <x:row r="16" ht="18" customHeight="1">
      <x:c r="A16" s="31" t="inlineStr">
        <x:is>
          <x:t xml:space="preserve">РЕК-00015</x:t>
        </x:is>
      </x:c>
      <x:c r="B16" s="31" t="n">
        <x:v>46192</x:v>
      </x:c>
      <x:c r="C16" s="31" t="inlineStr">
        <x:is>
          <x:t xml:space="preserve">ЗК-1112</x:t>
        </x:is>
      </x:c>
      <x:c r="D16" s="31" t="inlineStr">
        <x:is>
          <x:t xml:space="preserve">КЛ-045</x:t>
        </x:is>
      </x:c>
      <x:c r="E16" s="31" t="inlineStr">
        <x:is>
          <x:t xml:space="preserve">Платный сервис</x:t>
        </x:is>
      </x:c>
      <x:c r="F16" s="31" t="inlineStr">
        <x:is>
          <x:t xml:space="preserve">Ожидает клиента</x:t>
        </x:is>
      </x:c>
      <x:c r="G16" s="31" t="inlineStr">
        <x:is>
          <x:t xml:space="preserve">Низкая</x:t>
        </x:is>
      </x:c>
      <x:c r="H16" s="31" t="inlineStr">
        <x:is>
          <x:t xml:space="preserve">ошибка ПЛК</x:t>
        </x:is>
      </x:c>
      <x:c r="I16" s="31" t="inlineStr">
        <x:is>
          <x:t xml:space="preserve">СОТР-114</x:t>
        </x:is>
      </x:c>
      <x:c r="J16" s="31" t="n">
        <x:v>46200</x:v>
      </x:c>
      <x:c r="K16" s="31" t="inlineStr">
        <x:is>
          <x:t xml:space="preserve">Да</x:t>
        </x:is>
      </x:c>
      <x:c r="L16" s="31" t="inlineStr">
        <x:is>
          <x:t xml:space="preserve">Описание обращения клиента 15</x:t>
        </x:is>
      </x:c>
    </x:row>
    <x:row r="17" ht="18" customHeight="1">
      <x:c r="A17" s="31" t="inlineStr">
        <x:is>
          <x:t xml:space="preserve">РЕК-00016</x:t>
        </x:is>
      </x:c>
      <x:c r="B17" s="31" t="n">
        <x:v>46200</x:v>
      </x:c>
      <x:c r="C17" s="31" t="inlineStr">
        <x:is>
          <x:t xml:space="preserve">ЗК-1025</x:t>
        </x:is>
      </x:c>
      <x:c r="D17" s="31" t="inlineStr">
        <x:is>
          <x:t xml:space="preserve">КЛ-032</x:t>
        </x:is>
      </x:c>
      <x:c r="E17" s="31" t="inlineStr">
        <x:is>
          <x:t xml:space="preserve">Гарантия</x:t>
        </x:is>
      </x:c>
      <x:c r="F17" s="31" t="inlineStr">
        <x:is>
          <x:t xml:space="preserve">Закрыта</x:t>
        </x:is>
      </x:c>
      <x:c r="G17" s="31" t="inlineStr">
        <x:is>
          <x:t xml:space="preserve">Средняя</x:t>
        </x:is>
      </x:c>
      <x:c r="H17" s="31" t="inlineStr">
        <x:is>
          <x:t xml:space="preserve">ошибка ПЛК</x:t>
        </x:is>
      </x:c>
      <x:c r="I17" s="31" t="inlineStr">
        <x:is>
          <x:t xml:space="preserve">СОТР-111</x:t>
        </x:is>
      </x:c>
      <x:c r="J17" s="31" t="n">
        <x:v>46209</x:v>
      </x:c>
      <x:c r="K17" s="31" t="inlineStr">
        <x:is>
          <x:t xml:space="preserve">Да</x:t>
        </x:is>
      </x:c>
      <x:c r="L17" s="31" t="inlineStr">
        <x:is>
          <x:t xml:space="preserve">Описание обращения клиента 16</x:t>
        </x:is>
      </x:c>
    </x:row>
    <x:row r="18" ht="18" customHeight="1">
      <x:c r="A18" s="31" t="inlineStr">
        <x:is>
          <x:t xml:space="preserve">РЕК-00017</x:t>
        </x:is>
      </x:c>
      <x:c r="B18" s="31" t="n">
        <x:v>46229</x:v>
      </x:c>
      <x:c r="C18" s="31" t="inlineStr">
        <x:is>
          <x:t xml:space="preserve">ЗК-1061</x:t>
        </x:is>
      </x:c>
      <x:c r="D18" s="31" t="inlineStr">
        <x:is>
          <x:t xml:space="preserve">КЛ-006</x:t>
        </x:is>
      </x:c>
      <x:c r="E18" s="31" t="inlineStr">
        <x:is>
          <x:t xml:space="preserve">Гарантия</x:t>
        </x:is>
      </x:c>
      <x:c r="F18" s="31" t="inlineStr">
        <x:is>
          <x:t xml:space="preserve">Диагностика</x:t>
        </x:is>
      </x:c>
      <x:c r="G18" s="31" t="inlineStr">
        <x:is>
          <x:t xml:space="preserve">Средняя</x:t>
        </x:is>
      </x:c>
      <x:c r="H18" s="31" t="inlineStr">
        <x:is>
          <x:t xml:space="preserve">течь</x:t>
        </x:is>
      </x:c>
      <x:c r="I18" s="31" t="inlineStr">
        <x:is>
          <x:t xml:space="preserve">СОТР-113</x:t>
        </x:is>
      </x:c>
      <x:c r="J18" s="31" t="n">
        <x:v>46232</x:v>
      </x:c>
      <x:c r="K18" s="31" t="inlineStr">
        <x:is>
          <x:t xml:space="preserve">Да</x:t>
        </x:is>
      </x:c>
      <x:c r="L18" s="31" t="inlineStr">
        <x:is>
          <x:t xml:space="preserve">Описание обращения клиента 17</x:t>
        </x:is>
      </x:c>
    </x:row>
    <x:row r="19" ht="18" customHeight="1">
      <x:c r="A19" s="31" t="inlineStr">
        <x:is>
          <x:t xml:space="preserve">РЕК-00018</x:t>
        </x:is>
      </x:c>
      <x:c r="B19" s="31" t="n">
        <x:v>46251</x:v>
      </x:c>
      <x:c r="C19" s="31" t="inlineStr">
        <x:is>
          <x:t xml:space="preserve">ЗК-1075</x:t>
        </x:is>
      </x:c>
      <x:c r="D19" s="31" t="inlineStr">
        <x:is>
          <x:t xml:space="preserve">КЛ-040</x:t>
        </x:is>
      </x:c>
      <x:c r="E19" s="31" t="inlineStr">
        <x:is>
          <x:t xml:space="preserve">Гарантия</x:t>
        </x:is>
      </x:c>
      <x:c r="F19" s="31" t="inlineStr">
        <x:is>
          <x:t xml:space="preserve">Диагностика</x:t>
        </x:is>
      </x:c>
      <x:c r="G19" s="31" t="inlineStr">
        <x:is>
          <x:t xml:space="preserve">Средняя</x:t>
        </x:is>
      </x:c>
      <x:c r="H19" s="31" t="inlineStr">
        <x:is>
          <x:t xml:space="preserve">недокомплект</x:t>
        </x:is>
      </x:c>
      <x:c r="I19" s="31" t="inlineStr">
        <x:is>
          <x:t xml:space="preserve">СОТР-116</x:t>
        </x:is>
      </x:c>
      <x:c r="J19" s="31" t="n">
        <x:v>46258</x:v>
      </x:c>
      <x:c r="K19" s="31" t="inlineStr">
        <x:is>
          <x:t xml:space="preserve">Нет</x:t>
        </x:is>
      </x:c>
      <x:c r="L19" s="31" t="inlineStr">
        <x:is>
          <x:t xml:space="preserve">Описание обращения клиента 18</x:t>
        </x:is>
      </x:c>
    </x:row>
    <x:row r="20" ht="18" customHeight="1">
      <x:c r="A20" s="31" t="inlineStr">
        <x:is>
          <x:t xml:space="preserve">РЕК-00019</x:t>
        </x:is>
      </x:c>
      <x:c r="B20" s="31" t="n">
        <x:v>46183</x:v>
      </x:c>
      <x:c r="C20" s="31" t="inlineStr">
        <x:is>
          <x:t xml:space="preserve">ЗК-1079</x:t>
        </x:is>
      </x:c>
      <x:c r="D20" s="31" t="inlineStr">
        <x:is>
          <x:t xml:space="preserve">КЛ-015</x:t>
        </x:is>
      </x:c>
      <x:c r="E20" s="31" t="inlineStr">
        <x:is>
          <x:t xml:space="preserve">ПНР</x:t>
        </x:is>
      </x:c>
      <x:c r="F20" s="31" t="inlineStr">
        <x:is>
          <x:t xml:space="preserve">Закрыта</x:t>
        </x:is>
      </x:c>
      <x:c r="G20" s="31" t="inlineStr">
        <x:is>
          <x:t xml:space="preserve">Высокая</x:t>
        </x:is>
      </x:c>
      <x:c r="H20" s="31" t="inlineStr">
        <x:is>
          <x:t xml:space="preserve">вибрация</x:t>
        </x:is>
      </x:c>
      <x:c r="I20" s="31" t="inlineStr">
        <x:is>
          <x:t xml:space="preserve">СОТР-115</x:t>
        </x:is>
      </x:c>
      <x:c r="J20" s="31" t="n">
        <x:v>46193</x:v>
      </x:c>
      <x:c r="K20" s="31" t="inlineStr">
        <x:is>
          <x:t xml:space="preserve">Да</x:t>
        </x:is>
      </x:c>
      <x:c r="L20" s="31" t="inlineStr">
        <x:is>
          <x:t xml:space="preserve">Описание обращения клиента 19</x:t>
        </x:is>
      </x:c>
    </x:row>
    <x:row r="21" ht="18" customHeight="1">
      <x:c r="A21" s="31" t="inlineStr">
        <x:is>
          <x:t xml:space="preserve">РЕК-00020</x:t>
        </x:is>
      </x:c>
      <x:c r="B21" s="31" t="n">
        <x:v>46315</x:v>
      </x:c>
      <x:c r="C21" s="31" t="inlineStr">
        <x:is>
          <x:t xml:space="preserve">ЗК-1003</x:t>
        </x:is>
      </x:c>
      <x:c r="D21" s="31" t="inlineStr">
        <x:is>
          <x:t xml:space="preserve">КЛ-001</x:t>
        </x:is>
      </x:c>
      <x:c r="E21" s="31" t="inlineStr">
        <x:is>
          <x:t xml:space="preserve">Платный сервис</x:t>
        </x:is>
      </x:c>
      <x:c r="F21" s="31" t="inlineStr">
        <x:is>
          <x:t xml:space="preserve">Диагностика</x:t>
        </x:is>
      </x:c>
      <x:c r="G21" s="31" t="inlineStr">
        <x:is>
          <x:t xml:space="preserve">Низкая</x:t>
        </x:is>
      </x:c>
      <x:c r="H21" s="31" t="inlineStr">
        <x:is>
          <x:t xml:space="preserve">вибрация</x:t>
        </x:is>
      </x:c>
      <x:c r="I21" s="31" t="inlineStr">
        <x:is>
          <x:t xml:space="preserve">СОТР-111</x:t>
        </x:is>
      </x:c>
      <x:c r="J21" s="31" t="n">
        <x:v>46317</x:v>
      </x:c>
      <x:c r="K21" s="31" t="inlineStr">
        <x:is>
          <x:t xml:space="preserve">Да</x:t>
        </x:is>
      </x:c>
      <x:c r="L21" s="31" t="inlineStr">
        <x:is>
          <x:t xml:space="preserve">Описание обращения клиента 20</x:t>
        </x:is>
      </x:c>
    </x:row>
    <x:row r="22" ht="18" customHeight="1">
      <x:c r="A22" s="31" t="inlineStr">
        <x:is>
          <x:t xml:space="preserve">РЕК-00021</x:t>
        </x:is>
      </x:c>
      <x:c r="B22" s="31" t="n">
        <x:v>46142</x:v>
      </x:c>
      <x:c r="C22" s="31" t="inlineStr">
        <x:is>
          <x:t xml:space="preserve">ЗК-1049</x:t>
        </x:is>
      </x:c>
      <x:c r="D22" s="31" t="inlineStr">
        <x:is>
          <x:t xml:space="preserve">КЛ-032</x:t>
        </x:is>
      </x:c>
      <x:c r="E22" s="31" t="inlineStr">
        <x:is>
          <x:t xml:space="preserve">Платный сервис</x:t>
        </x:is>
      </x:c>
      <x:c r="F22" s="31" t="inlineStr">
        <x:is>
          <x:t xml:space="preserve">Корректирующие действия</x:t>
        </x:is>
      </x:c>
      <x:c r="G22" s="31" t="inlineStr">
        <x:is>
          <x:t xml:space="preserve">Низкая</x:t>
        </x:is>
      </x:c>
      <x:c r="H22" s="31" t="inlineStr">
        <x:is>
          <x:t xml:space="preserve">повреждение при доставке</x:t>
        </x:is>
      </x:c>
      <x:c r="I22" s="31" t="inlineStr">
        <x:is>
          <x:t xml:space="preserve">СОТР-112</x:t>
        </x:is>
      </x:c>
      <x:c r="J22" s="31" t="n">
        <x:v>46145</x:v>
      </x:c>
      <x:c r="K22" s="31" t="inlineStr">
        <x:is>
          <x:t xml:space="preserve">Нет</x:t>
        </x:is>
      </x:c>
      <x:c r="L22" s="31" t="inlineStr">
        <x:is>
          <x:t xml:space="preserve">Описание обращения клиента 21</x:t>
        </x:is>
      </x:c>
    </x:row>
    <x:row r="23" ht="18" customHeight="1">
      <x:c r="A23" s="31" t="inlineStr">
        <x:is>
          <x:t xml:space="preserve">РЕК-00022</x:t>
        </x:is>
      </x:c>
      <x:c r="B23" s="31" t="n">
        <x:v>46171</x:v>
      </x:c>
      <x:c r="C23" s="31" t="inlineStr">
        <x:is>
          <x:t xml:space="preserve">ЗК-1031</x:t>
        </x:is>
      </x:c>
      <x:c r="D23" s="31" t="inlineStr">
        <x:is>
          <x:t xml:space="preserve">КЛ-008</x:t>
        </x:is>
      </x:c>
      <x:c r="E23" s="31" t="inlineStr">
        <x:is>
          <x:t xml:space="preserve">Платный сервис</x:t>
        </x:is>
      </x:c>
      <x:c r="F23" s="31" t="inlineStr">
        <x:is>
          <x:t xml:space="preserve">Закрыта</x:t>
        </x:is>
      </x:c>
      <x:c r="G23" s="31" t="inlineStr">
        <x:is>
          <x:t xml:space="preserve">Низкая</x:t>
        </x:is>
      </x:c>
      <x:c r="H23" s="31" t="inlineStr">
        <x:is>
          <x:t xml:space="preserve">неисправность датчика</x:t>
        </x:is>
      </x:c>
      <x:c r="I23" s="31" t="inlineStr">
        <x:is>
          <x:t xml:space="preserve">СОТР-082</x:t>
        </x:is>
      </x:c>
      <x:c r="J23" s="31" t="n">
        <x:v>46177</x:v>
      </x:c>
      <x:c r="K23" s="31" t="inlineStr">
        <x:is>
          <x:t xml:space="preserve">Да</x:t>
        </x:is>
      </x:c>
      <x:c r="L23" s="31" t="inlineStr">
        <x:is>
          <x:t xml:space="preserve">Описание обращения клиента 22</x:t>
        </x:is>
      </x:c>
    </x:row>
    <x:row r="24" ht="18" customHeight="1">
      <x:c r="A24" s="31" t="inlineStr">
        <x:is>
          <x:t xml:space="preserve">РЕК-00023</x:t>
        </x:is>
      </x:c>
      <x:c r="B24" s="31" t="n">
        <x:v>46227</x:v>
      </x:c>
      <x:c r="C24" s="31" t="inlineStr">
        <x:is>
          <x:t xml:space="preserve">ЗК-1091</x:t>
        </x:is>
      </x:c>
      <x:c r="D24" s="31" t="inlineStr">
        <x:is>
          <x:t xml:space="preserve">КЛ-034</x:t>
        </x:is>
      </x:c>
      <x:c r="E24" s="31" t="inlineStr">
        <x:is>
          <x:t xml:space="preserve">Гарантия</x:t>
        </x:is>
      </x:c>
      <x:c r="F24" s="31" t="inlineStr">
        <x:is>
          <x:t xml:space="preserve">Закрыта</x:t>
        </x:is>
      </x:c>
      <x:c r="G24" s="31" t="inlineStr">
        <x:is>
          <x:t xml:space="preserve">Средняя</x:t>
        </x:is>
      </x:c>
      <x:c r="H24" s="31" t="inlineStr">
        <x:is>
          <x:t xml:space="preserve">ошибка ПЛК</x:t>
        </x:is>
      </x:c>
      <x:c r="I24" s="31" t="inlineStr">
        <x:is>
          <x:t xml:space="preserve">СОТР-115</x:t>
        </x:is>
      </x:c>
      <x:c r="J24" s="31" t="n">
        <x:v>46229</x:v>
      </x:c>
      <x:c r="K24" s="31" t="inlineStr">
        <x:is>
          <x:t xml:space="preserve">Да</x:t>
        </x:is>
      </x:c>
      <x:c r="L24" s="31" t="inlineStr">
        <x:is>
          <x:t xml:space="preserve">Описание обращения клиента 23</x:t>
        </x:is>
      </x:c>
    </x:row>
    <x:row r="25" ht="18" customHeight="1">
      <x:c r="A25" s="31" t="inlineStr">
        <x:is>
          <x:t xml:space="preserve">РЕК-00024</x:t>
        </x:is>
      </x:c>
      <x:c r="B25" s="31" t="n">
        <x:v>46186</x:v>
      </x:c>
      <x:c r="C25" s="31" t="inlineStr">
        <x:is>
          <x:t xml:space="preserve">ЗК-1008</x:t>
        </x:is>
      </x:c>
      <x:c r="D25" s="31" t="inlineStr">
        <x:is>
          <x:t xml:space="preserve">КЛ-014</x:t>
        </x:is>
      </x:c>
      <x:c r="E25" s="31" t="inlineStr">
        <x:is>
          <x:t xml:space="preserve">Платный сервис</x:t>
        </x:is>
      </x:c>
      <x:c r="F25" s="31" t="inlineStr">
        <x:is>
          <x:t xml:space="preserve">Диагностика</x:t>
        </x:is>
      </x:c>
      <x:c r="G25" s="31" t="inlineStr">
        <x:is>
          <x:t xml:space="preserve">Высокая</x:t>
        </x:is>
      </x:c>
      <x:c r="H25" s="31" t="inlineStr">
        <x:is>
          <x:t xml:space="preserve">недокомплект</x:t>
        </x:is>
      </x:c>
      <x:c r="I25" s="31" t="inlineStr">
        <x:is>
          <x:t xml:space="preserve">СОТР-112</x:t>
        </x:is>
      </x:c>
      <x:c r="J25" s="31" t="n">
        <x:v>46195</x:v>
      </x:c>
      <x:c r="K25" s="31" t="inlineStr">
        <x:is>
          <x:t xml:space="preserve">Нет</x:t>
        </x:is>
      </x:c>
      <x:c r="L25" s="31" t="inlineStr">
        <x:is>
          <x:t xml:space="preserve">Описание обращения клиента 24</x:t>
        </x:is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8" defaultRowHeight="15"/>
  <x:cols>
    <x:col min="1" max="1" width="11" customWidth="1"/>
    <x:col min="2" max="2" width="12" customWidth="1"/>
    <x:col min="3" max="3" width="15" customWidth="1"/>
    <x:col min="4" max="4" width="18" customWidth="1"/>
    <x:col min="5" max="5" width="12" customWidth="1"/>
    <x:col min="6" max="6" width="10" customWidth="1"/>
    <x:col min="7" max="7" width="13" customWidth="1"/>
    <x:col min="8" max="8" width="16" customWidth="1"/>
    <x:col min="9" max="9" width="24" customWidth="1"/>
    <x:col min="10" max="10" width="18" customWidth="1"/>
    <x:col min="11" max="11" width="16" customWidth="1"/>
    <x:col min="12" max="12" width="27" customWidth="1"/>
    <x:col min="13" max="13" width="16" customWidth="1"/>
    <x:col min="14" max="14" width="32" customWidth="1"/>
  </x:cols>
  <x:sheetData>
    <x:row r="1" ht="18" customHeight="1">
      <x:c r="A1" s="30" t="inlineStr">
        <x:is>
          <x:t xml:space="preserve">Код счета</x:t>
        </x:is>
      </x:c>
      <x:c r="B1" s="30" t="inlineStr">
        <x:is>
          <x:t xml:space="preserve">Код заказа</x:t>
        </x:is>
      </x:c>
      <x:c r="C1" s="30" t="inlineStr">
        <x:is>
          <x:t xml:space="preserve">Код заказчика</x:t>
        </x:is>
      </x:c>
      <x:c r="D1" s="30" t="inlineStr">
        <x:is>
          <x:t xml:space="preserve">Этап</x:t>
        </x:is>
      </x:c>
      <x:c r="E1" s="30" t="inlineStr">
        <x:is>
          <x:t xml:space="preserve">Дата счета</x:t>
        </x:is>
      </x:c>
      <x:c r="F1" s="30" t="inlineStr">
        <x:is>
          <x:t xml:space="preserve">Срок</x:t>
        </x:is>
      </x:c>
      <x:c r="G1" s="30" t="inlineStr">
        <x:is>
          <x:t xml:space="preserve">Сумма, руб.</x:t>
        </x:is>
      </x:c>
      <x:c r="H1" s="30" t="inlineStr">
        <x:is>
          <x:t xml:space="preserve">Оплачено, руб.</x:t>
        </x:is>
      </x:c>
      <x:c r="I1" s="30" t="inlineStr">
        <x:is>
          <x:t xml:space="preserve">Остаток к оплате, руб.</x:t>
        </x:is>
      </x:c>
      <x:c r="J1" s="30" t="inlineStr">
        <x:is>
          <x:t xml:space="preserve">Статус</x:t>
        </x:is>
      </x:c>
      <x:c r="K1" s="30" t="inlineStr">
        <x:is>
          <x:t xml:space="preserve">Дней просрочки</x:t>
        </x:is>
      </x:c>
      <x:c r="L1" s="30" t="inlineStr">
        <x:is>
          <x:t xml:space="preserve">Нужна задача по взысканию</x:t>
        </x:is>
      </x:c>
      <x:c r="M1" s="30" t="inlineStr">
        <x:is>
          <x:t xml:space="preserve">Номер договора</x:t>
        </x:is>
      </x:c>
      <x:c r="N1" s="30" t="inlineStr">
        <x:is>
          <x:t xml:space="preserve">Примечание</x:t>
        </x:is>
      </x:c>
    </x:row>
    <x:row r="2" ht="18" customHeight="1">
      <x:c r="A2" s="31" t="inlineStr">
        <x:is>
          <x:t xml:space="preserve">СЧ-1002-1</x:t>
        </x:is>
      </x:c>
      <x:c r="B2" s="31" t="inlineStr">
        <x:is>
          <x:t xml:space="preserve">ЗК-1002</x:t>
        </x:is>
      </x:c>
      <x:c r="C2" s="31" t="inlineStr">
        <x:is>
          <x:t xml:space="preserve">КЛ-046</x:t>
        </x:is>
      </x:c>
      <x:c r="D2" s="31" t="inlineStr">
        <x:is>
          <x:t xml:space="preserve">Аванс</x:t>
        </x:is>
      </x:c>
      <x:c r="E2" s="31" t="n">
        <x:v>46173</x:v>
      </x:c>
      <x:c r="F2" s="31" t="n">
        <x:v>46188</x:v>
      </x:c>
      <x:c r="G2" s="31" t="n">
        <x:v>551940</x:v>
      </x:c>
      <x:c r="H2" s="31" t="n">
        <x:v>0</x:v>
      </x:c>
      <x:c r="I2" s="31" t="n">
        <x:v>551940</x:v>
      </x:c>
      <x:c r="J2" s="31" t="inlineStr">
        <x:is>
          <x:t xml:space="preserve">Ожидает оплаты</x:t>
        </x:is>
      </x:c>
      <x:c r="K2" s="31" t="n">
        <x:v>0</x:v>
      </x:c>
      <x:c r="L2" s="31" t="inlineStr">
        <x:is>
          <x:t xml:space="preserve">Нет</x:t>
        </x:is>
      </x:c>
      <x:c r="M2" s="31" t="inlineStr">
        <x:is>
          <x:t xml:space="preserve">СТК-2026-1002</x:t>
        </x:is>
      </x:c>
      <x:c r="N2" s="31" t="inlineStr">
        <x:is>
          <x:t xml:space="preserve">Счет по этапу Аванс</x:t>
        </x:is>
      </x:c>
    </x:row>
    <x:row r="3" ht="18" customHeight="1">
      <x:c r="A3" s="31" t="inlineStr">
        <x:is>
          <x:t xml:space="preserve">СЧ-1002-2</x:t>
        </x:is>
      </x:c>
      <x:c r="B3" s="31" t="inlineStr">
        <x:is>
          <x:t xml:space="preserve">ЗК-1002</x:t>
        </x:is>
      </x:c>
      <x:c r="C3" s="31" t="inlineStr">
        <x:is>
          <x:t xml:space="preserve">КЛ-046</x:t>
        </x:is>
      </x:c>
      <x:c r="D3" s="31" t="inlineStr">
        <x:is>
          <x:t xml:space="preserve">Финальный платеж</x:t>
        </x:is>
      </x:c>
      <x:c r="E3" s="31" t="n">
        <x:v>46182</x:v>
      </x:c>
      <x:c r="F3" s="31" t="n">
        <x:v>46197</x:v>
      </x:c>
      <x:c r="G3" s="31" t="n">
        <x:v>1287860</x:v>
      </x:c>
      <x:c r="H3" s="31" t="n">
        <x:v>0</x:v>
      </x:c>
      <x:c r="I3" s="31" t="n">
        <x:v>1287860</x:v>
      </x:c>
      <x:c r="J3" s="31" t="inlineStr">
        <x:is>
          <x:t xml:space="preserve">Ожидает оплаты</x:t>
        </x:is>
      </x:c>
      <x:c r="K3" s="31" t="n">
        <x:v>0</x:v>
      </x:c>
      <x:c r="L3" s="31" t="inlineStr">
        <x:is>
          <x:t xml:space="preserve">Нет</x:t>
        </x:is>
      </x:c>
      <x:c r="M3" s="31" t="inlineStr">
        <x:is>
          <x:t xml:space="preserve">СТК-2026-1002</x:t>
        </x:is>
      </x:c>
      <x:c r="N3" s="31" t="inlineStr">
        <x:is>
          <x:t xml:space="preserve">Счет по этапу Финальный платеж</x:t>
        </x:is>
      </x:c>
    </x:row>
    <x:row r="4" ht="18" customHeight="1">
      <x:c r="A4" s="31" t="inlineStr">
        <x:is>
          <x:t xml:space="preserve">СЧ-1003-1</x:t>
        </x:is>
      </x:c>
      <x:c r="B4" s="31" t="inlineStr">
        <x:is>
          <x:t xml:space="preserve">ЗК-1003</x:t>
        </x:is>
      </x:c>
      <x:c r="C4" s="31" t="inlineStr">
        <x:is>
          <x:t xml:space="preserve">КЛ-001</x:t>
        </x:is>
      </x:c>
      <x:c r="D4" s="31" t="inlineStr">
        <x:is>
          <x:t xml:space="preserve">Аванс</x:t>
        </x:is>
      </x:c>
      <x:c r="E4" s="31" t="n">
        <x:v>46222</x:v>
      </x:c>
      <x:c r="F4" s="31" t="n">
        <x:v>46237</x:v>
      </x:c>
      <x:c r="G4" s="31" t="n">
        <x:v>1912525</x:v>
      </x:c>
      <x:c r="H4" s="31" t="n">
        <x:v>1912525</x:v>
      </x:c>
      <x:c r="I4" s="31" t="n">
        <x:v>0</x:v>
      </x:c>
      <x:c r="J4" s="31" t="inlineStr">
        <x:is>
          <x:t xml:space="preserve">Оплачен</x:t>
        </x:is>
      </x:c>
      <x:c r="K4" s="31" t="n">
        <x:v>0</x:v>
      </x:c>
      <x:c r="L4" s="31" t="inlineStr">
        <x:is>
          <x:t xml:space="preserve">Нет</x:t>
        </x:is>
      </x:c>
      <x:c r="M4" s="31" t="inlineStr">
        <x:is>
          <x:t xml:space="preserve">СТК-2026-1003</x:t>
        </x:is>
      </x:c>
      <x:c r="N4" s="31" t="inlineStr">
        <x:is>
          <x:t xml:space="preserve">Счет по этапу Аванс</x:t>
        </x:is>
      </x:c>
    </x:row>
    <x:row r="5" ht="18" customHeight="1">
      <x:c r="A5" s="31" t="inlineStr">
        <x:is>
          <x:t xml:space="preserve">СЧ-1004-1</x:t>
        </x:is>
      </x:c>
      <x:c r="B5" s="31" t="inlineStr">
        <x:is>
          <x:t xml:space="preserve">ЗК-1004</x:t>
        </x:is>
      </x:c>
      <x:c r="C5" s="31" t="inlineStr">
        <x:is>
          <x:t xml:space="preserve">КЛ-044</x:t>
        </x:is>
      </x:c>
      <x:c r="D5" s="31" t="inlineStr">
        <x:is>
          <x:t xml:space="preserve">Аванс</x:t>
        </x:is>
      </x:c>
      <x:c r="E5" s="31" t="n">
        <x:v>46148</x:v>
      </x:c>
      <x:c r="F5" s="31" t="n">
        <x:v>46158</x:v>
      </x:c>
      <x:c r="G5" s="31" t="n">
        <x:v>2666324</x:v>
      </x:c>
      <x:c r="H5" s="31" t="n">
        <x:v>0</x:v>
      </x:c>
      <x:c r="I5" s="31" t="n">
        <x:v>2666324</x:v>
      </x:c>
      <x:c r="J5" s="31" t="inlineStr">
        <x:is>
          <x:t xml:space="preserve">Просрочен</x:t>
        </x:is>
      </x:c>
      <x:c r="K5" s="31" t="n">
        <x:v>27</x:v>
      </x:c>
      <x:c r="L5" s="31" t="inlineStr">
        <x:is>
          <x:t xml:space="preserve">Нет</x:t>
        </x:is>
      </x:c>
      <x:c r="M5" s="31" t="inlineStr">
        <x:is>
          <x:t xml:space="preserve">СТК-2026-1004</x:t>
        </x:is>
      </x:c>
      <x:c r="N5" s="31" t="inlineStr">
        <x:is>
          <x:t xml:space="preserve">Счет по этапу Аванс</x:t>
        </x:is>
      </x:c>
    </x:row>
    <x:row r="6" ht="18" customHeight="1">
      <x:c r="A6" s="31" t="inlineStr">
        <x:is>
          <x:t xml:space="preserve">СЧ-1005-1</x:t>
        </x:is>
      </x:c>
      <x:c r="B6" s="31" t="inlineStr">
        <x:is>
          <x:t xml:space="preserve">ЗК-1005</x:t>
        </x:is>
      </x:c>
      <x:c r="C6" s="31" t="inlineStr">
        <x:is>
          <x:t xml:space="preserve">КЛ-010</x:t>
        </x:is>
      </x:c>
      <x:c r="D6" s="31" t="inlineStr">
        <x:is>
          <x:t xml:space="preserve">Аванс</x:t>
        </x:is>
      </x:c>
      <x:c r="E6" s="31" t="n">
        <x:v>46117</x:v>
      </x:c>
      <x:c r="F6" s="31" t="n">
        <x:v>46132</x:v>
      </x:c>
      <x:c r="G6" s="31" t="n">
        <x:v>3940141</x:v>
      </x:c>
      <x:c r="H6" s="31" t="n">
        <x:v>3940141</x:v>
      </x:c>
      <x:c r="I6" s="31" t="n">
        <x:v>0</x:v>
      </x:c>
      <x:c r="J6" s="31" t="inlineStr">
        <x:is>
          <x:t xml:space="preserve">Оплачен</x:t>
        </x:is>
      </x:c>
      <x:c r="K6" s="31" t="n">
        <x:v>0</x:v>
      </x:c>
      <x:c r="L6" s="31" t="inlineStr">
        <x:is>
          <x:t xml:space="preserve">Да</x:t>
        </x:is>
      </x:c>
      <x:c r="M6" s="31" t="inlineStr">
        <x:is>
          <x:t xml:space="preserve">СТК-2026-1005</x:t>
        </x:is>
      </x:c>
      <x:c r="N6" s="31" t="inlineStr">
        <x:is>
          <x:t xml:space="preserve">Счет по этапу Аванс</x:t>
        </x:is>
      </x:c>
    </x:row>
    <x:row r="7" ht="18" customHeight="1">
      <x:c r="A7" s="31" t="inlineStr">
        <x:is>
          <x:t xml:space="preserve">СЧ-1005-2</x:t>
        </x:is>
      </x:c>
      <x:c r="B7" s="31" t="inlineStr">
        <x:is>
          <x:t xml:space="preserve">ЗК-1005</x:t>
        </x:is>
      </x:c>
      <x:c r="C7" s="31" t="inlineStr">
        <x:is>
          <x:t xml:space="preserve">КЛ-010</x:t>
        </x:is>
      </x:c>
      <x:c r="D7" s="31" t="inlineStr">
        <x:is>
          <x:t xml:space="preserve">Финальный платеж</x:t>
        </x:is>
      </x:c>
      <x:c r="E7" s="31" t="n">
        <x:v>46122</x:v>
      </x:c>
      <x:c r="F7" s="31" t="n">
        <x:v>46137</x:v>
      </x:c>
      <x:c r="G7" s="31" t="n">
        <x:v>3940141</x:v>
      </x:c>
      <x:c r="H7" s="31" t="n">
        <x:v>3940141</x:v>
      </x:c>
      <x:c r="I7" s="31" t="n">
        <x:v>0</x:v>
      </x:c>
      <x:c r="J7" s="31" t="inlineStr">
        <x:is>
          <x:t xml:space="preserve">Оплачен</x:t>
        </x:is>
      </x:c>
      <x:c r="K7" s="31" t="n">
        <x:v>0</x:v>
      </x:c>
      <x:c r="L7" s="31" t="inlineStr">
        <x:is>
          <x:t xml:space="preserve">Да</x:t>
        </x:is>
      </x:c>
      <x:c r="M7" s="31" t="inlineStr">
        <x:is>
          <x:t xml:space="preserve">СТК-2026-1005</x:t>
        </x:is>
      </x:c>
      <x:c r="N7" s="31" t="inlineStr">
        <x:is>
          <x:t xml:space="preserve">Счет по этапу Финальный платеж</x:t>
        </x:is>
      </x:c>
    </x:row>
    <x:row r="8" ht="18" customHeight="1">
      <x:c r="A8" s="31" t="inlineStr">
        <x:is>
          <x:t xml:space="preserve">СЧ-1007-1</x:t>
        </x:is>
      </x:c>
      <x:c r="B8" s="31" t="inlineStr">
        <x:is>
          <x:t xml:space="preserve">ЗК-1007</x:t>
        </x:is>
      </x:c>
      <x:c r="C8" s="31" t="inlineStr">
        <x:is>
          <x:t xml:space="preserve">КЛ-039</x:t>
        </x:is>
      </x:c>
      <x:c r="D8" s="31" t="inlineStr">
        <x:is>
          <x:t xml:space="preserve">Аванс</x:t>
        </x:is>
      </x:c>
      <x:c r="E8" s="31" t="n">
        <x:v>46154</x:v>
      </x:c>
      <x:c r="F8" s="31" t="n">
        <x:v>46174</x:v>
      </x:c>
      <x:c r="G8" s="31" t="n">
        <x:v>1889758</x:v>
      </x:c>
      <x:c r="H8" s="31" t="n">
        <x:v>0</x:v>
      </x:c>
      <x:c r="I8" s="31" t="n">
        <x:v>1889758</x:v>
      </x:c>
      <x:c r="J8" s="31" t="inlineStr">
        <x:is>
          <x:t xml:space="preserve">Просрочен</x:t>
        </x:is>
      </x:c>
      <x:c r="K8" s="31" t="n">
        <x:v>11</x:v>
      </x:c>
      <x:c r="L8" s="31" t="inlineStr">
        <x:is>
          <x:t xml:space="preserve">Нет</x:t>
        </x:is>
      </x:c>
      <x:c r="M8" s="31" t="inlineStr">
        <x:is>
          <x:t xml:space="preserve">СТК-2026-1007</x:t>
        </x:is>
      </x:c>
      <x:c r="N8" s="31" t="inlineStr">
        <x:is>
          <x:t xml:space="preserve">Счет по этапу Аванс</x:t>
        </x:is>
      </x:c>
    </x:row>
    <x:row r="9" ht="18" customHeight="1">
      <x:c r="A9" s="31" t="inlineStr">
        <x:is>
          <x:t xml:space="preserve">СЧ-1008-1</x:t>
        </x:is>
      </x:c>
      <x:c r="B9" s="31" t="inlineStr">
        <x:is>
          <x:t xml:space="preserve">ЗК-1008</x:t>
        </x:is>
      </x:c>
      <x:c r="C9" s="31" t="inlineStr">
        <x:is>
          <x:t xml:space="preserve">КЛ-014</x:t>
        </x:is>
      </x:c>
      <x:c r="D9" s="31" t="inlineStr">
        <x:is>
          <x:t xml:space="preserve">Аванс</x:t>
        </x:is>
      </x:c>
      <x:c r="E9" s="31" t="n">
        <x:v>46103</x:v>
      </x:c>
      <x:c r="F9" s="31" t="n">
        <x:v>46133</x:v>
      </x:c>
      <x:c r="G9" s="31" t="n">
        <x:v>1155107</x:v>
      </x:c>
      <x:c r="H9" s="31" t="n">
        <x:v>0</x:v>
      </x:c>
      <x:c r="I9" s="31" t="n">
        <x:v>1155107</x:v>
      </x:c>
      <x:c r="J9" s="31" t="inlineStr">
        <x:is>
          <x:t xml:space="preserve">Просрочен</x:t>
        </x:is>
      </x:c>
      <x:c r="K9" s="31" t="n">
        <x:v>52</x:v>
      </x:c>
      <x:c r="L9" s="31" t="inlineStr">
        <x:is>
          <x:t xml:space="preserve">Нет</x:t>
        </x:is>
      </x:c>
      <x:c r="M9" s="31" t="inlineStr">
        <x:is>
          <x:t xml:space="preserve">СТК-2026-1008</x:t>
        </x:is>
      </x:c>
      <x:c r="N9" s="31" t="inlineStr">
        <x:is>
          <x:t xml:space="preserve">Счет по этапу Аванс</x:t>
        </x:is>
      </x:c>
    </x:row>
    <x:row r="10" ht="18" customHeight="1">
      <x:c r="A10" s="31" t="inlineStr">
        <x:is>
          <x:t xml:space="preserve">СЧ-1008-2</x:t>
        </x:is>
      </x:c>
      <x:c r="B10" s="31" t="inlineStr">
        <x:is>
          <x:t xml:space="preserve">ЗК-1008</x:t>
        </x:is>
      </x:c>
      <x:c r="C10" s="31" t="inlineStr">
        <x:is>
          <x:t xml:space="preserve">КЛ-014</x:t>
        </x:is>
      </x:c>
      <x:c r="D10" s="31" t="inlineStr">
        <x:is>
          <x:t xml:space="preserve">Финальный платеж</x:t>
        </x:is>
      </x:c>
      <x:c r="E10" s="31" t="n">
        <x:v>46128</x:v>
      </x:c>
      <x:c r="F10" s="31" t="n">
        <x:v>46143</x:v>
      </x:c>
      <x:c r="G10" s="31" t="n">
        <x:v>4620428</x:v>
      </x:c>
      <x:c r="H10" s="31" t="n">
        <x:v>0</x:v>
      </x:c>
      <x:c r="I10" s="31" t="n">
        <x:v>4620428</x:v>
      </x:c>
      <x:c r="J10" s="31" t="inlineStr">
        <x:is>
          <x:t xml:space="preserve">Просрочен</x:t>
        </x:is>
      </x:c>
      <x:c r="K10" s="31" t="n">
        <x:v>42</x:v>
      </x:c>
      <x:c r="L10" s="31" t="inlineStr">
        <x:is>
          <x:t xml:space="preserve">Нет</x:t>
        </x:is>
      </x:c>
      <x:c r="M10" s="31" t="inlineStr">
        <x:is>
          <x:t xml:space="preserve">СТК-2026-1008</x:t>
        </x:is>
      </x:c>
      <x:c r="N10" s="31" t="inlineStr">
        <x:is>
          <x:t xml:space="preserve">Счет по этапу Финальный платеж</x:t>
        </x:is>
      </x:c>
    </x:row>
    <x:row r="11" ht="18" customHeight="1">
      <x:c r="A11" s="31" t="inlineStr">
        <x:is>
          <x:t xml:space="preserve">СЧ-1009-1</x:t>
        </x:is>
      </x:c>
      <x:c r="B11" s="31" t="inlineStr">
        <x:is>
          <x:t xml:space="preserve">ЗК-1009</x:t>
        </x:is>
      </x:c>
      <x:c r="C11" s="31" t="inlineStr">
        <x:is>
          <x:t xml:space="preserve">КЛ-011</x:t>
        </x:is>
      </x:c>
      <x:c r="D11" s="31" t="inlineStr">
        <x:is>
          <x:t xml:space="preserve">Аванс</x:t>
        </x:is>
      </x:c>
      <x:c r="E11" s="31" t="n">
        <x:v>46158</x:v>
      </x:c>
      <x:c r="F11" s="31" t="n">
        <x:v>46163</x:v>
      </x:c>
      <x:c r="G11" s="31" t="n">
        <x:v>7492838</x:v>
      </x:c>
      <x:c r="H11" s="31" t="n">
        <x:v>0</x:v>
      </x:c>
      <x:c r="I11" s="31" t="n">
        <x:v>7492838</x:v>
      </x:c>
      <x:c r="J11" s="31" t="inlineStr">
        <x:is>
          <x:t xml:space="preserve">Просрочен</x:t>
        </x:is>
      </x:c>
      <x:c r="K11" s="31" t="n">
        <x:v>22</x:v>
      </x:c>
      <x:c r="L11" s="31" t="inlineStr">
        <x:is>
          <x:t xml:space="preserve">Нет</x:t>
        </x:is>
      </x:c>
      <x:c r="M11" s="31" t="inlineStr">
        <x:is>
          <x:t xml:space="preserve">СТК-2026-1009</x:t>
        </x:is>
      </x:c>
      <x:c r="N11" s="31" t="inlineStr">
        <x:is>
          <x:t xml:space="preserve">Счет по этапу Аванс</x:t>
        </x:is>
      </x:c>
    </x:row>
    <x:row r="12" ht="18" customHeight="1">
      <x:c r="A12" s="31" t="inlineStr">
        <x:is>
          <x:t xml:space="preserve">СЧ-1010-1</x:t>
        </x:is>
      </x:c>
      <x:c r="B12" s="31" t="inlineStr">
        <x:is>
          <x:t xml:space="preserve">ЗК-1010</x:t>
        </x:is>
      </x:c>
      <x:c r="C12" s="31" t="inlineStr">
        <x:is>
          <x:t xml:space="preserve">КЛ-049</x:t>
        </x:is>
      </x:c>
      <x:c r="D12" s="31" t="inlineStr">
        <x:is>
          <x:t xml:space="preserve">Аванс</x:t>
        </x:is>
      </x:c>
      <x:c r="E12" s="31" t="n">
        <x:v>46132</x:v>
      </x:c>
      <x:c r="F12" s="31" t="n">
        <x:v>46147</x:v>
      </x:c>
      <x:c r="G12" s="31" t="n">
        <x:v>665359</x:v>
      </x:c>
      <x:c r="H12" s="31" t="n">
        <x:v>665359</x:v>
      </x:c>
      <x:c r="I12" s="31" t="n">
        <x:v>0</x:v>
      </x:c>
      <x:c r="J12" s="31" t="inlineStr">
        <x:is>
          <x:t xml:space="preserve">Оплачен</x:t>
        </x:is>
      </x:c>
      <x:c r="K12" s="31" t="n">
        <x:v>0</x:v>
      </x:c>
      <x:c r="L12" s="31" t="inlineStr">
        <x:is>
          <x:t xml:space="preserve">Нет</x:t>
        </x:is>
      </x:c>
      <x:c r="M12" s="31" t="inlineStr">
        <x:is>
          <x:t xml:space="preserve">СТК-2026-1010</x:t>
        </x:is>
      </x:c>
      <x:c r="N12" s="31" t="inlineStr">
        <x:is>
          <x:t xml:space="preserve">Счет по этапу Аванс</x:t>
        </x:is>
      </x:c>
    </x:row>
    <x:row r="13" ht="18" customHeight="1">
      <x:c r="A13" s="31" t="inlineStr">
        <x:is>
          <x:t xml:space="preserve">СЧ-1011-1</x:t>
        </x:is>
      </x:c>
      <x:c r="B13" s="31" t="inlineStr">
        <x:is>
          <x:t xml:space="preserve">ЗК-1011</x:t>
        </x:is>
      </x:c>
      <x:c r="C13" s="31" t="inlineStr">
        <x:is>
          <x:t xml:space="preserve">КЛ-033</x:t>
        </x:is>
      </x:c>
      <x:c r="D13" s="31" t="inlineStr">
        <x:is>
          <x:t xml:space="preserve">Аванс</x:t>
        </x:is>
      </x:c>
      <x:c r="E13" s="31" t="n">
        <x:v>46100</x:v>
      </x:c>
      <x:c r="F13" s="31" t="n">
        <x:v>46130</x:v>
      </x:c>
      <x:c r="G13" s="31" t="n">
        <x:v>2590144</x:v>
      </x:c>
      <x:c r="H13" s="31" t="n">
        <x:v>917384</x:v>
      </x:c>
      <x:c r="I13" s="31" t="n">
        <x:v>1672760</x:v>
      </x:c>
      <x:c r="J13" s="31" t="inlineStr">
        <x:is>
          <x:t xml:space="preserve">Просрочен</x:t>
        </x:is>
      </x:c>
      <x:c r="K13" s="31" t="n">
        <x:v>55</x:v>
      </x:c>
      <x:c r="L13" s="31" t="inlineStr">
        <x:is>
          <x:t xml:space="preserve">Нет</x:t>
        </x:is>
      </x:c>
      <x:c r="M13" s="31" t="inlineStr">
        <x:is>
          <x:t xml:space="preserve">СТК-2026-1011</x:t>
        </x:is>
      </x:c>
      <x:c r="N13" s="31" t="inlineStr">
        <x:is>
          <x:t xml:space="preserve">Счет по этапу Аванс</x:t>
        </x:is>
      </x:c>
    </x:row>
    <x:row r="14" ht="18" customHeight="1">
      <x:c r="A14" s="31" t="inlineStr">
        <x:is>
          <x:t xml:space="preserve">СЧ-1012-1</x:t>
        </x:is>
      </x:c>
      <x:c r="B14" s="31" t="inlineStr">
        <x:is>
          <x:t xml:space="preserve">ЗК-1012</x:t>
        </x:is>
      </x:c>
      <x:c r="C14" s="31" t="inlineStr">
        <x:is>
          <x:t xml:space="preserve">КЛ-005</x:t>
        </x:is>
      </x:c>
      <x:c r="D14" s="31" t="inlineStr">
        <x:is>
          <x:t xml:space="preserve">Аванс</x:t>
        </x:is>
      </x:c>
      <x:c r="E14" s="31" t="n">
        <x:v>46092</x:v>
      </x:c>
      <x:c r="F14" s="31" t="n">
        <x:v>46107</x:v>
      </x:c>
      <x:c r="G14" s="31" t="n">
        <x:v>7603962</x:v>
      </x:c>
      <x:c r="H14" s="31" t="n">
        <x:v>609192</x:v>
      </x:c>
      <x:c r="I14" s="31" t="n">
        <x:v>6994770</x:v>
      </x:c>
      <x:c r="J14" s="31" t="inlineStr">
        <x:is>
          <x:t xml:space="preserve">Просрочен</x:t>
        </x:is>
      </x:c>
      <x:c r="K14" s="31" t="n">
        <x:v>78</x:v>
      </x:c>
      <x:c r="L14" s="31" t="inlineStr">
        <x:is>
          <x:t xml:space="preserve">Нет</x:t>
        </x:is>
      </x:c>
      <x:c r="M14" s="31" t="inlineStr">
        <x:is>
          <x:t xml:space="preserve">СТК-2026-1012</x:t>
        </x:is>
      </x:c>
      <x:c r="N14" s="31" t="inlineStr">
        <x:is>
          <x:t xml:space="preserve">Счет по этапу Аванс</x:t>
        </x:is>
      </x:c>
    </x:row>
    <x:row r="15" ht="18" customHeight="1">
      <x:c r="A15" s="31" t="inlineStr">
        <x:is>
          <x:t xml:space="preserve">СЧ-1013-1</x:t>
        </x:is>
      </x:c>
      <x:c r="B15" s="31" t="inlineStr">
        <x:is>
          <x:t xml:space="preserve">ЗК-1013</x:t>
        </x:is>
      </x:c>
      <x:c r="C15" s="31" t="inlineStr">
        <x:is>
          <x:t xml:space="preserve">КЛ-006</x:t>
        </x:is>
      </x:c>
      <x:c r="D15" s="31" t="inlineStr">
        <x:is>
          <x:t xml:space="preserve">Аванс</x:t>
        </x:is>
      </x:c>
      <x:c r="E15" s="31" t="n">
        <x:v>46082</x:v>
      </x:c>
      <x:c r="F15" s="31" t="n">
        <x:v>46102</x:v>
      </x:c>
      <x:c r="G15" s="31" t="n">
        <x:v>908953</x:v>
      </x:c>
      <x:c r="H15" s="31" t="n">
        <x:v>0</x:v>
      </x:c>
      <x:c r="I15" s="31" t="n">
        <x:v>908953</x:v>
      </x:c>
      <x:c r="J15" s="31" t="inlineStr">
        <x:is>
          <x:t xml:space="preserve">Просрочен</x:t>
        </x:is>
      </x:c>
      <x:c r="K15" s="31" t="n">
        <x:v>83</x:v>
      </x:c>
      <x:c r="L15" s="31" t="inlineStr">
        <x:is>
          <x:t xml:space="preserve">Нет</x:t>
        </x:is>
      </x:c>
      <x:c r="M15" s="31" t="inlineStr">
        <x:is>
          <x:t xml:space="preserve">СТК-2026-1013</x:t>
        </x:is>
      </x:c>
      <x:c r="N15" s="31" t="inlineStr">
        <x:is>
          <x:t xml:space="preserve">Счет по этапу Аванс</x:t>
        </x:is>
      </x:c>
    </x:row>
    <x:row r="16" ht="18" customHeight="1">
      <x:c r="A16" s="31" t="inlineStr">
        <x:is>
          <x:t xml:space="preserve">СЧ-1014-1</x:t>
        </x:is>
      </x:c>
      <x:c r="B16" s="31" t="inlineStr">
        <x:is>
          <x:t xml:space="preserve">ЗК-1014</x:t>
        </x:is>
      </x:c>
      <x:c r="C16" s="31" t="inlineStr">
        <x:is>
          <x:t xml:space="preserve">КЛ-024</x:t>
        </x:is>
      </x:c>
      <x:c r="D16" s="31" t="inlineStr">
        <x:is>
          <x:t xml:space="preserve">Аванс</x:t>
        </x:is>
      </x:c>
      <x:c r="E16" s="31" t="n">
        <x:v>46060</x:v>
      </x:c>
      <x:c r="F16" s="31" t="n">
        <x:v>46075</x:v>
      </x:c>
      <x:c r="G16" s="31" t="n">
        <x:v>414675</x:v>
      </x:c>
      <x:c r="H16" s="31" t="n">
        <x:v>0</x:v>
      </x:c>
      <x:c r="I16" s="31" t="n">
        <x:v>414675</x:v>
      </x:c>
      <x:c r="J16" s="31" t="inlineStr">
        <x:is>
          <x:t xml:space="preserve">Просрочен</x:t>
        </x:is>
      </x:c>
      <x:c r="K16" s="31" t="n">
        <x:v>110</x:v>
      </x:c>
      <x:c r="L16" s="31" t="inlineStr">
        <x:is>
          <x:t xml:space="preserve">Да</x:t>
        </x:is>
      </x:c>
      <x:c r="M16" s="31" t="inlineStr">
        <x:is>
          <x:t xml:space="preserve">СТК-2026-1014</x:t>
        </x:is>
      </x:c>
      <x:c r="N16" s="31" t="inlineStr">
        <x:is>
          <x:t xml:space="preserve">Счет по этапу Аванс</x:t>
        </x:is>
      </x:c>
    </x:row>
    <x:row r="17" ht="18" customHeight="1">
      <x:c r="A17" s="31" t="inlineStr">
        <x:is>
          <x:t xml:space="preserve">СЧ-1014-2</x:t>
        </x:is>
      </x:c>
      <x:c r="B17" s="31" t="inlineStr">
        <x:is>
          <x:t xml:space="preserve">ЗК-1014</x:t>
        </x:is>
      </x:c>
      <x:c r="C17" s="31" t="inlineStr">
        <x:is>
          <x:t xml:space="preserve">КЛ-024</x:t>
        </x:is>
      </x:c>
      <x:c r="D17" s="31" t="inlineStr">
        <x:is>
          <x:t xml:space="preserve">Финальный платеж</x:t>
        </x:is>
      </x:c>
      <x:c r="E17" s="31" t="n">
        <x:v>46080</x:v>
      </x:c>
      <x:c r="F17" s="31" t="n">
        <x:v>46110</x:v>
      </x:c>
      <x:c r="G17" s="31" t="n">
        <x:v>967575</x:v>
      </x:c>
      <x:c r="H17" s="31" t="n">
        <x:v>205510</x:v>
      </x:c>
      <x:c r="I17" s="31" t="n">
        <x:v>762065</x:v>
      </x:c>
      <x:c r="J17" s="31" t="inlineStr">
        <x:is>
          <x:t xml:space="preserve">Просрочен</x:t>
        </x:is>
      </x:c>
      <x:c r="K17" s="31" t="n">
        <x:v>75</x:v>
      </x:c>
      <x:c r="L17" s="31" t="inlineStr">
        <x:is>
          <x:t xml:space="preserve">Нет</x:t>
        </x:is>
      </x:c>
      <x:c r="M17" s="31" t="inlineStr">
        <x:is>
          <x:t xml:space="preserve">СТК-2026-1014</x:t>
        </x:is>
      </x:c>
      <x:c r="N17" s="31" t="inlineStr">
        <x:is>
          <x:t xml:space="preserve">Счет по этапу Финальный платеж</x:t>
        </x:is>
      </x:c>
    </x:row>
    <x:row r="18" ht="18" customHeight="1">
      <x:c r="A18" s="31" t="inlineStr">
        <x:is>
          <x:t xml:space="preserve">СЧ-1015-1</x:t>
        </x:is>
      </x:c>
      <x:c r="B18" s="31" t="inlineStr">
        <x:is>
          <x:t xml:space="preserve">ЗК-1015</x:t>
        </x:is>
      </x:c>
      <x:c r="C18" s="31" t="inlineStr">
        <x:is>
          <x:t xml:space="preserve">КЛ-049</x:t>
        </x:is>
      </x:c>
      <x:c r="D18" s="31" t="inlineStr">
        <x:is>
          <x:t xml:space="preserve">Аванс</x:t>
        </x:is>
      </x:c>
      <x:c r="E18" s="31" t="n">
        <x:v>46129</x:v>
      </x:c>
      <x:c r="F18" s="31" t="n">
        <x:v>46144</x:v>
      </x:c>
      <x:c r="G18" s="31" t="n">
        <x:v>4632105</x:v>
      </x:c>
      <x:c r="H18" s="31" t="n">
        <x:v>0</x:v>
      </x:c>
      <x:c r="I18" s="31" t="n">
        <x:v>4632105</x:v>
      </x:c>
      <x:c r="J18" s="31" t="inlineStr">
        <x:is>
          <x:t xml:space="preserve">Просрочен</x:t>
        </x:is>
      </x:c>
      <x:c r="K18" s="31" t="n">
        <x:v>41</x:v>
      </x:c>
      <x:c r="L18" s="31" t="inlineStr">
        <x:is>
          <x:t xml:space="preserve">Нет</x:t>
        </x:is>
      </x:c>
      <x:c r="M18" s="31" t="inlineStr">
        <x:is>
          <x:t xml:space="preserve">СТК-2026-1015</x:t>
        </x:is>
      </x:c>
      <x:c r="N18" s="31" t="inlineStr">
        <x:is>
          <x:t xml:space="preserve">Счет по этапу Аванс</x:t>
        </x:is>
      </x:c>
    </x:row>
    <x:row r="19" ht="18" customHeight="1">
      <x:c r="A19" s="31" t="inlineStr">
        <x:is>
          <x:t xml:space="preserve">СЧ-1016-1</x:t>
        </x:is>
      </x:c>
      <x:c r="B19" s="31" t="inlineStr">
        <x:is>
          <x:t xml:space="preserve">ЗК-1016</x:t>
        </x:is>
      </x:c>
      <x:c r="C19" s="31" t="inlineStr">
        <x:is>
          <x:t xml:space="preserve">КЛ-010</x:t>
        </x:is>
      </x:c>
      <x:c r="D19" s="31" t="inlineStr">
        <x:is>
          <x:t xml:space="preserve">Аванс</x:t>
        </x:is>
      </x:c>
      <x:c r="E19" s="31" t="n">
        <x:v>46056</x:v>
      </x:c>
      <x:c r="F19" s="31" t="n">
        <x:v>46071</x:v>
      </x:c>
      <x:c r="G19" s="31" t="n">
        <x:v>2705525</x:v>
      </x:c>
      <x:c r="H19" s="31" t="n">
        <x:v>2705525</x:v>
      </x:c>
      <x:c r="I19" s="31" t="n">
        <x:v>0</x:v>
      </x:c>
      <x:c r="J19" s="31" t="inlineStr">
        <x:is>
          <x:t xml:space="preserve">Оплачен</x:t>
        </x:is>
      </x:c>
      <x:c r="K19" s="31" t="n">
        <x:v>0</x:v>
      </x:c>
      <x:c r="L19" s="31" t="inlineStr">
        <x:is>
          <x:t xml:space="preserve">Да</x:t>
        </x:is>
      </x:c>
      <x:c r="M19" s="31" t="inlineStr">
        <x:is>
          <x:t xml:space="preserve">СТК-2026-1016</x:t>
        </x:is>
      </x:c>
      <x:c r="N19" s="31" t="inlineStr">
        <x:is>
          <x:t xml:space="preserve">Счет по этапу Аванс</x:t>
        </x:is>
      </x:c>
    </x:row>
    <x:row r="20" ht="18" customHeight="1">
      <x:c r="A20" s="31" t="inlineStr">
        <x:is>
          <x:t xml:space="preserve">СЧ-1016-2</x:t>
        </x:is>
      </x:c>
      <x:c r="B20" s="31" t="inlineStr">
        <x:is>
          <x:t xml:space="preserve">ЗК-1016</x:t>
        </x:is>
      </x:c>
      <x:c r="C20" s="31" t="inlineStr">
        <x:is>
          <x:t xml:space="preserve">КЛ-010</x:t>
        </x:is>
      </x:c>
      <x:c r="D20" s="31" t="inlineStr">
        <x:is>
          <x:t xml:space="preserve">Финальный платеж</x:t>
        </x:is>
      </x:c>
      <x:c r="E20" s="31" t="n">
        <x:v>46057</x:v>
      </x:c>
      <x:c r="F20" s="31" t="n">
        <x:v>46072</x:v>
      </x:c>
      <x:c r="G20" s="31" t="n">
        <x:v>2705525</x:v>
      </x:c>
      <x:c r="H20" s="31" t="n">
        <x:v>2705525</x:v>
      </x:c>
      <x:c r="I20" s="31" t="n">
        <x:v>0</x:v>
      </x:c>
      <x:c r="J20" s="31" t="inlineStr">
        <x:is>
          <x:t xml:space="preserve">Оплачен</x:t>
        </x:is>
      </x:c>
      <x:c r="K20" s="31" t="n">
        <x:v>0</x:v>
      </x:c>
      <x:c r="L20" s="31" t="inlineStr">
        <x:is>
          <x:t xml:space="preserve">Да</x:t>
        </x:is>
      </x:c>
      <x:c r="M20" s="31" t="inlineStr">
        <x:is>
          <x:t xml:space="preserve">СТК-2026-1016</x:t>
        </x:is>
      </x:c>
      <x:c r="N20" s="31" t="inlineStr">
        <x:is>
          <x:t xml:space="preserve">Счет по этапу Финальный платеж</x:t>
        </x:is>
      </x:c>
    </x:row>
    <x:row r="21" ht="18" customHeight="1">
      <x:c r="A21" s="31" t="inlineStr">
        <x:is>
          <x:t xml:space="preserve">СЧ-1017-1</x:t>
        </x:is>
      </x:c>
      <x:c r="B21" s="31" t="inlineStr">
        <x:is>
          <x:t xml:space="preserve">ЗК-1017</x:t>
        </x:is>
      </x:c>
      <x:c r="C21" s="31" t="inlineStr">
        <x:is>
          <x:t xml:space="preserve">КЛ-044</x:t>
        </x:is>
      </x:c>
      <x:c r="D21" s="31" t="inlineStr">
        <x:is>
          <x:t xml:space="preserve">Аванс</x:t>
        </x:is>
      </x:c>
      <x:c r="E21" s="31" t="n">
        <x:v>46107</x:v>
      </x:c>
      <x:c r="F21" s="31" t="n">
        <x:v>46112</x:v>
      </x:c>
      <x:c r="G21" s="31" t="n">
        <x:v>10484741</x:v>
      </x:c>
      <x:c r="H21" s="31" t="n">
        <x:v>1741226</x:v>
      </x:c>
      <x:c r="I21" s="31" t="n">
        <x:v>8743515</x:v>
      </x:c>
      <x:c r="J21" s="31" t="inlineStr">
        <x:is>
          <x:t xml:space="preserve">Просрочен</x:t>
        </x:is>
      </x:c>
      <x:c r="K21" s="31" t="n">
        <x:v>73</x:v>
      </x:c>
      <x:c r="L21" s="31" t="inlineStr">
        <x:is>
          <x:t xml:space="preserve">Нет</x:t>
        </x:is>
      </x:c>
      <x:c r="M21" s="31" t="inlineStr">
        <x:is>
          <x:t xml:space="preserve">СТК-2026-1017</x:t>
        </x:is>
      </x:c>
      <x:c r="N21" s="31" t="inlineStr">
        <x:is>
          <x:t xml:space="preserve">Счет по этапу Аванс</x:t>
        </x:is>
      </x:c>
    </x:row>
    <x:row r="22" ht="18" customHeight="1">
      <x:c r="A22" s="31" t="inlineStr">
        <x:is>
          <x:t xml:space="preserve">СЧ-1018-1</x:t>
        </x:is>
      </x:c>
      <x:c r="B22" s="31" t="inlineStr">
        <x:is>
          <x:t xml:space="preserve">ЗК-1018</x:t>
        </x:is>
      </x:c>
      <x:c r="C22" s="31" t="inlineStr">
        <x:is>
          <x:t xml:space="preserve">КЛ-033</x:t>
        </x:is>
      </x:c>
      <x:c r="D22" s="31" t="inlineStr">
        <x:is>
          <x:t xml:space="preserve">Аванс</x:t>
        </x:is>
      </x:c>
      <x:c r="E22" s="31" t="n">
        <x:v>46170</x:v>
      </x:c>
      <x:c r="F22" s="31" t="n">
        <x:v>46180</x:v>
      </x:c>
      <x:c r="G22" s="31" t="n">
        <x:v>2088366</x:v>
      </x:c>
      <x:c r="H22" s="31" t="n">
        <x:v>771245</x:v>
      </x:c>
      <x:c r="I22" s="31" t="n">
        <x:v>1317121</x:v>
      </x:c>
      <x:c r="J22" s="31" t="inlineStr">
        <x:is>
          <x:t xml:space="preserve">Просрочен</x:t>
        </x:is>
      </x:c>
      <x:c r="K22" s="31" t="n">
        <x:v>5</x:v>
      </x:c>
      <x:c r="L22" s="31" t="inlineStr">
        <x:is>
          <x:t xml:space="preserve">Нет</x:t>
        </x:is>
      </x:c>
      <x:c r="M22" s="31" t="inlineStr">
        <x:is>
          <x:t xml:space="preserve">СТК-2026-1018</x:t>
        </x:is>
      </x:c>
      <x:c r="N22" s="31" t="inlineStr">
        <x:is>
          <x:t xml:space="preserve">Счет по этапу Аванс</x:t>
        </x:is>
      </x:c>
    </x:row>
    <x:row r="23" ht="18" customHeight="1">
      <x:c r="A23" s="31" t="inlineStr">
        <x:is>
          <x:t xml:space="preserve">СЧ-1019-1</x:t>
        </x:is>
      </x:c>
      <x:c r="B23" s="31" t="inlineStr">
        <x:is>
          <x:t xml:space="preserve">ЗК-1019</x:t>
        </x:is>
      </x:c>
      <x:c r="C23" s="31" t="inlineStr">
        <x:is>
          <x:t xml:space="preserve">КЛ-011</x:t>
        </x:is>
      </x:c>
      <x:c r="D23" s="31" t="inlineStr">
        <x:is>
          <x:t xml:space="preserve">Аванс</x:t>
        </x:is>
      </x:c>
      <x:c r="E23" s="31" t="n">
        <x:v>46185</x:v>
      </x:c>
      <x:c r="F23" s="31" t="n">
        <x:v>46215</x:v>
      </x:c>
      <x:c r="G23" s="31" t="n">
        <x:v>437283</x:v>
      </x:c>
      <x:c r="H23" s="31" t="n">
        <x:v>0</x:v>
      </x:c>
      <x:c r="I23" s="31" t="n">
        <x:v>437283</x:v>
      </x:c>
      <x:c r="J23" s="31" t="inlineStr">
        <x:is>
          <x:t xml:space="preserve">Ожидает оплаты</x:t>
        </x:is>
      </x:c>
      <x:c r="K23" s="31" t="n">
        <x:v>0</x:v>
      </x:c>
      <x:c r="L23" s="31" t="inlineStr">
        <x:is>
          <x:t xml:space="preserve">Нет</x:t>
        </x:is>
      </x:c>
      <x:c r="M23" s="31" t="inlineStr">
        <x:is>
          <x:t xml:space="preserve">СТК-2026-1019</x:t>
        </x:is>
      </x:c>
      <x:c r="N23" s="31" t="inlineStr">
        <x:is>
          <x:t xml:space="preserve">Счет по этапу Аванс</x:t>
        </x:is>
      </x:c>
    </x:row>
    <x:row r="24" ht="18" customHeight="1">
      <x:c r="A24" s="31" t="inlineStr">
        <x:is>
          <x:t xml:space="preserve">СЧ-1020-1</x:t>
        </x:is>
      </x:c>
      <x:c r="B24" s="31" t="inlineStr">
        <x:is>
          <x:t xml:space="preserve">ЗК-1020</x:t>
        </x:is>
      </x:c>
      <x:c r="C24" s="31" t="inlineStr">
        <x:is>
          <x:t xml:space="preserve">КЛ-041</x:t>
        </x:is>
      </x:c>
      <x:c r="D24" s="31" t="inlineStr">
        <x:is>
          <x:t xml:space="preserve">Аванс</x:t>
        </x:is>
      </x:c>
      <x:c r="E24" s="31" t="n">
        <x:v>46161</x:v>
      </x:c>
      <x:c r="F24" s="31" t="n">
        <x:v>46166</x:v>
      </x:c>
      <x:c r="G24" s="31" t="n">
        <x:v>392276</x:v>
      </x:c>
      <x:c r="H24" s="31" t="n">
        <x:v>392276</x:v>
      </x:c>
      <x:c r="I24" s="31" t="n">
        <x:v>0</x:v>
      </x:c>
      <x:c r="J24" s="31" t="inlineStr">
        <x:is>
          <x:t xml:space="preserve">Оплачен</x:t>
        </x:is>
      </x:c>
      <x:c r="K24" s="31" t="n">
        <x:v>0</x:v>
      </x:c>
      <x:c r="L24" s="31" t="inlineStr">
        <x:is>
          <x:t xml:space="preserve">Нет</x:t>
        </x:is>
      </x:c>
      <x:c r="M24" s="31" t="inlineStr">
        <x:is>
          <x:t xml:space="preserve">СТК-2026-1020</x:t>
        </x:is>
      </x:c>
      <x:c r="N24" s="31" t="inlineStr">
        <x:is>
          <x:t xml:space="preserve">Счет по этапу Аванс</x:t>
        </x:is>
      </x:c>
    </x:row>
    <x:row r="25" ht="18" customHeight="1">
      <x:c r="A25" s="31" t="inlineStr">
        <x:is>
          <x:t xml:space="preserve">СЧ-1022-1</x:t>
        </x:is>
      </x:c>
      <x:c r="B25" s="31" t="inlineStr">
        <x:is>
          <x:t xml:space="preserve">ЗК-1022</x:t>
        </x:is>
      </x:c>
      <x:c r="C25" s="31" t="inlineStr">
        <x:is>
          <x:t xml:space="preserve">КЛ-046</x:t>
        </x:is>
      </x:c>
      <x:c r="D25" s="31" t="inlineStr">
        <x:is>
          <x:t xml:space="preserve">Аванс</x:t>
        </x:is>
      </x:c>
      <x:c r="E25" s="31" t="n">
        <x:v>46144</x:v>
      </x:c>
      <x:c r="F25" s="31" t="n">
        <x:v>46149</x:v>
      </x:c>
      <x:c r="G25" s="31" t="n">
        <x:v>2066484</x:v>
      </x:c>
      <x:c r="H25" s="31" t="n">
        <x:v>690595</x:v>
      </x:c>
      <x:c r="I25" s="31" t="n">
        <x:v>1375889</x:v>
      </x:c>
      <x:c r="J25" s="31" t="inlineStr">
        <x:is>
          <x:t xml:space="preserve">Просрочен</x:t>
        </x:is>
      </x:c>
      <x:c r="K25" s="31" t="n">
        <x:v>36</x:v>
      </x:c>
      <x:c r="L25" s="31" t="inlineStr">
        <x:is>
          <x:t xml:space="preserve">Нет</x:t>
        </x:is>
      </x:c>
      <x:c r="M25" s="31" t="inlineStr">
        <x:is>
          <x:t xml:space="preserve">СТК-2026-1022</x:t>
        </x:is>
      </x:c>
      <x:c r="N25" s="31" t="inlineStr">
        <x:is>
          <x:t xml:space="preserve">Счет по этапу Аванс</x:t>
        </x:is>
      </x:c>
    </x:row>
    <x:row r="26" ht="18" customHeight="1">
      <x:c r="A26" s="31" t="inlineStr">
        <x:is>
          <x:t xml:space="preserve">СЧ-1023-1</x:t>
        </x:is>
      </x:c>
      <x:c r="B26" s="31" t="inlineStr">
        <x:is>
          <x:t xml:space="preserve">ЗК-1023</x:t>
        </x:is>
      </x:c>
      <x:c r="C26" s="31" t="inlineStr">
        <x:is>
          <x:t xml:space="preserve">КЛ-027</x:t>
        </x:is>
      </x:c>
      <x:c r="D26" s="31" t="inlineStr">
        <x:is>
          <x:t xml:space="preserve">Аванс</x:t>
        </x:is>
      </x:c>
      <x:c r="E26" s="31" t="n">
        <x:v>46198</x:v>
      </x:c>
      <x:c r="F26" s="31" t="n">
        <x:v>46208</x:v>
      </x:c>
      <x:c r="G26" s="31" t="n">
        <x:v>1970207</x:v>
      </x:c>
      <x:c r="H26" s="31" t="n">
        <x:v>0</x:v>
      </x:c>
      <x:c r="I26" s="31" t="n">
        <x:v>1970207</x:v>
      </x:c>
      <x:c r="J26" s="31" t="inlineStr">
        <x:is>
          <x:t xml:space="preserve">Ожидает оплаты</x:t>
        </x:is>
      </x:c>
      <x:c r="K26" s="31" t="n">
        <x:v>0</x:v>
      </x:c>
      <x:c r="L26" s="31" t="inlineStr">
        <x:is>
          <x:t xml:space="preserve">Нет</x:t>
        </x:is>
      </x:c>
      <x:c r="M26" s="31" t="inlineStr">
        <x:is>
          <x:t xml:space="preserve">СТК-2026-1023</x:t>
        </x:is>
      </x:c>
      <x:c r="N26" s="31" t="inlineStr">
        <x:is>
          <x:t xml:space="preserve">Счет по этапу Аванс</x:t>
        </x:is>
      </x:c>
    </x:row>
    <x:row r="27" ht="18" customHeight="1">
      <x:c r="A27" s="31" t="inlineStr">
        <x:is>
          <x:t xml:space="preserve">СЧ-1025-1</x:t>
        </x:is>
      </x:c>
      <x:c r="B27" s="31" t="inlineStr">
        <x:is>
          <x:t xml:space="preserve">ЗК-1025</x:t>
        </x:is>
      </x:c>
      <x:c r="C27" s="31" t="inlineStr">
        <x:is>
          <x:t xml:space="preserve">КЛ-032</x:t>
        </x:is>
      </x:c>
      <x:c r="D27" s="31" t="inlineStr">
        <x:is>
          <x:t xml:space="preserve">Аванс</x:t>
        </x:is>
      </x:c>
      <x:c r="E27" s="31" t="n">
        <x:v>46176</x:v>
      </x:c>
      <x:c r="F27" s="31" t="n">
        <x:v>46196</x:v>
      </x:c>
      <x:c r="G27" s="31" t="n">
        <x:v>857817</x:v>
      </x:c>
      <x:c r="H27" s="31" t="n">
        <x:v>165183</x:v>
      </x:c>
      <x:c r="I27" s="31" t="n">
        <x:v>692634</x:v>
      </x:c>
      <x:c r="J27" s="31" t="inlineStr">
        <x:is>
          <x:t xml:space="preserve">Частично оплачен</x:t>
        </x:is>
      </x:c>
      <x:c r="K27" s="31" t="n">
        <x:v>0</x:v>
      </x:c>
      <x:c r="L27" s="31" t="inlineStr">
        <x:is>
          <x:t xml:space="preserve">Нет</x:t>
        </x:is>
      </x:c>
      <x:c r="M27" s="31" t="inlineStr">
        <x:is>
          <x:t xml:space="preserve">СТК-2026-1025</x:t>
        </x:is>
      </x:c>
      <x:c r="N27" s="31" t="inlineStr">
        <x:is>
          <x:t xml:space="preserve">Счет по этапу Аванс</x:t>
        </x:is>
      </x:c>
    </x:row>
    <x:row r="28" ht="18" customHeight="1">
      <x:c r="A28" s="31" t="inlineStr">
        <x:is>
          <x:t xml:space="preserve">СЧ-1025-2</x:t>
        </x:is>
      </x:c>
      <x:c r="B28" s="31" t="inlineStr">
        <x:is>
          <x:t xml:space="preserve">ЗК-1025</x:t>
        </x:is>
      </x:c>
      <x:c r="C28" s="31" t="inlineStr">
        <x:is>
          <x:t xml:space="preserve">КЛ-032</x:t>
        </x:is>
      </x:c>
      <x:c r="D28" s="31" t="inlineStr">
        <x:is>
          <x:t xml:space="preserve">Финальный платеж</x:t>
        </x:is>
      </x:c>
      <x:c r="E28" s="31" t="n">
        <x:v>46182</x:v>
      </x:c>
      <x:c r="F28" s="31" t="n">
        <x:v>46187</x:v>
      </x:c>
      <x:c r="G28" s="31" t="n">
        <x:v>3431270</x:v>
      </x:c>
      <x:c r="H28" s="31" t="n">
        <x:v>993597</x:v>
      </x:c>
      <x:c r="I28" s="31" t="n">
        <x:v>2437673</x:v>
      </x:c>
      <x:c r="J28" s="31" t="inlineStr">
        <x:is>
          <x:t xml:space="preserve">Частично оплачен</x:t>
        </x:is>
      </x:c>
      <x:c r="K28" s="31" t="n">
        <x:v>0</x:v>
      </x:c>
      <x:c r="L28" s="31" t="inlineStr">
        <x:is>
          <x:t xml:space="preserve">Нет</x:t>
        </x:is>
      </x:c>
      <x:c r="M28" s="31" t="inlineStr">
        <x:is>
          <x:t xml:space="preserve">СТК-2026-1025</x:t>
        </x:is>
      </x:c>
      <x:c r="N28" s="31" t="inlineStr">
        <x:is>
          <x:t xml:space="preserve">Счет по этапу Финальный платеж</x:t>
        </x:is>
      </x:c>
    </x:row>
    <x:row r="29" ht="18" customHeight="1">
      <x:c r="A29" s="31" t="inlineStr">
        <x:is>
          <x:t xml:space="preserve">СЧ-1029-1</x:t>
        </x:is>
      </x:c>
      <x:c r="B29" s="31" t="inlineStr">
        <x:is>
          <x:t xml:space="preserve">ЗК-1029</x:t>
        </x:is>
      </x:c>
      <x:c r="C29" s="31" t="inlineStr">
        <x:is>
          <x:t xml:space="preserve">КЛ-011</x:t>
        </x:is>
      </x:c>
      <x:c r="D29" s="31" t="inlineStr">
        <x:is>
          <x:t xml:space="preserve">Аванс</x:t>
        </x:is>
      </x:c>
      <x:c r="E29" s="31" t="n">
        <x:v>46069</x:v>
      </x:c>
      <x:c r="F29" s="31" t="n">
        <x:v>46099</x:v>
      </x:c>
      <x:c r="G29" s="31" t="n">
        <x:v>1493692</x:v>
      </x:c>
      <x:c r="H29" s="31" t="n">
        <x:v>261643</x:v>
      </x:c>
      <x:c r="I29" s="31" t="n">
        <x:v>1232049</x:v>
      </x:c>
      <x:c r="J29" s="31" t="inlineStr">
        <x:is>
          <x:t xml:space="preserve">Просрочен</x:t>
        </x:is>
      </x:c>
      <x:c r="K29" s="31" t="n">
        <x:v>86</x:v>
      </x:c>
      <x:c r="L29" s="31" t="inlineStr">
        <x:is>
          <x:t xml:space="preserve">Нет</x:t>
        </x:is>
      </x:c>
      <x:c r="M29" s="31" t="inlineStr">
        <x:is>
          <x:t xml:space="preserve">СТК-2026-1029</x:t>
        </x:is>
      </x:c>
      <x:c r="N29" s="31" t="inlineStr">
        <x:is>
          <x:t xml:space="preserve">Счет по этапу Аванс</x:t>
        </x:is>
      </x:c>
    </x:row>
    <x:row r="30" ht="18" customHeight="1">
      <x:c r="A30" s="31" t="inlineStr">
        <x:is>
          <x:t xml:space="preserve">СЧ-1030-1</x:t>
        </x:is>
      </x:c>
      <x:c r="B30" s="31" t="inlineStr">
        <x:is>
          <x:t xml:space="preserve">ЗК-1030</x:t>
        </x:is>
      </x:c>
      <x:c r="C30" s="31" t="inlineStr">
        <x:is>
          <x:t xml:space="preserve">КЛ-050</x:t>
        </x:is>
      </x:c>
      <x:c r="D30" s="31" t="inlineStr">
        <x:is>
          <x:t xml:space="preserve">Аванс</x:t>
        </x:is>
      </x:c>
      <x:c r="E30" s="31" t="n">
        <x:v>46183</x:v>
      </x:c>
      <x:c r="F30" s="31" t="n">
        <x:v>46213</x:v>
      </x:c>
      <x:c r="G30" s="31" t="n">
        <x:v>4425132</x:v>
      </x:c>
      <x:c r="H30" s="31" t="n">
        <x:v>0</x:v>
      </x:c>
      <x:c r="I30" s="31" t="n">
        <x:v>4425132</x:v>
      </x:c>
      <x:c r="J30" s="31" t="inlineStr">
        <x:is>
          <x:t xml:space="preserve">Ожидает оплаты</x:t>
        </x:is>
      </x:c>
      <x:c r="K30" s="31" t="n">
        <x:v>0</x:v>
      </x:c>
      <x:c r="L30" s="31" t="inlineStr">
        <x:is>
          <x:t xml:space="preserve">Нет</x:t>
        </x:is>
      </x:c>
      <x:c r="M30" s="31" t="inlineStr">
        <x:is>
          <x:t xml:space="preserve">СТК-2026-1030</x:t>
        </x:is>
      </x:c>
      <x:c r="N30" s="31" t="inlineStr">
        <x:is>
          <x:t xml:space="preserve">Счет по этапу Аванс</x:t>
        </x:is>
      </x:c>
    </x:row>
    <x:row r="31" ht="18" customHeight="1">
      <x:c r="A31" s="31" t="inlineStr">
        <x:is>
          <x:t xml:space="preserve">СЧ-1030-2</x:t>
        </x:is>
      </x:c>
      <x:c r="B31" s="31" t="inlineStr">
        <x:is>
          <x:t xml:space="preserve">ЗК-1030</x:t>
        </x:is>
      </x:c>
      <x:c r="C31" s="31" t="inlineStr">
        <x:is>
          <x:t xml:space="preserve">КЛ-050</x:t>
        </x:is>
      </x:c>
      <x:c r="D31" s="31" t="inlineStr">
        <x:is>
          <x:t xml:space="preserve">Финальный платеж</x:t>
        </x:is>
      </x:c>
      <x:c r="E31" s="31" t="n">
        <x:v>46192</x:v>
      </x:c>
      <x:c r="F31" s="31" t="n">
        <x:v>46207</x:v>
      </x:c>
      <x:c r="G31" s="31" t="n">
        <x:v>4425132</x:v>
      </x:c>
      <x:c r="H31" s="31" t="n">
        <x:v>0</x:v>
      </x:c>
      <x:c r="I31" s="31" t="n">
        <x:v>4425132</x:v>
      </x:c>
      <x:c r="J31" s="31" t="inlineStr">
        <x:is>
          <x:t xml:space="preserve">Ожидает оплаты</x:t>
        </x:is>
      </x:c>
      <x:c r="K31" s="31" t="n">
        <x:v>0</x:v>
      </x:c>
      <x:c r="L31" s="31" t="inlineStr">
        <x:is>
          <x:t xml:space="preserve">Да</x:t>
        </x:is>
      </x:c>
      <x:c r="M31" s="31" t="inlineStr">
        <x:is>
          <x:t xml:space="preserve">СТК-2026-1030</x:t>
        </x:is>
      </x:c>
      <x:c r="N31" s="31" t="inlineStr">
        <x:is>
          <x:t xml:space="preserve">Счет по этапу Финальный платеж</x:t>
        </x:is>
      </x:c>
    </x:row>
    <x:row r="32" ht="18" customHeight="1">
      <x:c r="A32" s="31" t="inlineStr">
        <x:is>
          <x:t xml:space="preserve">СЧ-1031-1</x:t>
        </x:is>
      </x:c>
      <x:c r="B32" s="31" t="inlineStr">
        <x:is>
          <x:t xml:space="preserve">ЗК-1031</x:t>
        </x:is>
      </x:c>
      <x:c r="C32" s="31" t="inlineStr">
        <x:is>
          <x:t xml:space="preserve">КЛ-008</x:t>
        </x:is>
      </x:c>
      <x:c r="D32" s="31" t="inlineStr">
        <x:is>
          <x:t xml:space="preserve">Аванс</x:t>
        </x:is>
      </x:c>
      <x:c r="E32" s="31" t="n">
        <x:v>46116</x:v>
      </x:c>
      <x:c r="F32" s="31" t="n">
        <x:v>46121</x:v>
      </x:c>
      <x:c r="G32" s="31" t="n">
        <x:v>884090</x:v>
      </x:c>
      <x:c r="H32" s="31" t="n">
        <x:v>496261</x:v>
      </x:c>
      <x:c r="I32" s="31" t="n">
        <x:v>387829</x:v>
      </x:c>
      <x:c r="J32" s="31" t="inlineStr">
        <x:is>
          <x:t xml:space="preserve">Просрочен</x:t>
        </x:is>
      </x:c>
      <x:c r="K32" s="31" t="n">
        <x:v>64</x:v>
      </x:c>
      <x:c r="L32" s="31" t="inlineStr">
        <x:is>
          <x:t xml:space="preserve">Нет</x:t>
        </x:is>
      </x:c>
      <x:c r="M32" s="31" t="inlineStr">
        <x:is>
          <x:t xml:space="preserve">СТК-2026-1031</x:t>
        </x:is>
      </x:c>
      <x:c r="N32" s="31" t="inlineStr">
        <x:is>
          <x:t xml:space="preserve">Счет по этапу Аванс</x:t>
        </x:is>
      </x:c>
    </x:row>
    <x:row r="33" ht="18" customHeight="1">
      <x:c r="A33" s="31" t="inlineStr">
        <x:is>
          <x:t xml:space="preserve">СЧ-1031-2</x:t>
        </x:is>
      </x:c>
      <x:c r="B33" s="31" t="inlineStr">
        <x:is>
          <x:t xml:space="preserve">ЗК-1031</x:t>
        </x:is>
      </x:c>
      <x:c r="C33" s="31" t="inlineStr">
        <x:is>
          <x:t xml:space="preserve">КЛ-008</x:t>
        </x:is>
      </x:c>
      <x:c r="D33" s="31" t="inlineStr">
        <x:is>
          <x:t xml:space="preserve">Финальный платеж</x:t>
        </x:is>
      </x:c>
      <x:c r="E33" s="31" t="n">
        <x:v>46141</x:v>
      </x:c>
      <x:c r="F33" s="31" t="n">
        <x:v>46146</x:v>
      </x:c>
      <x:c r="G33" s="31" t="n">
        <x:v>1326135</x:v>
      </x:c>
      <x:c r="H33" s="31" t="n">
        <x:v>638474</x:v>
      </x:c>
      <x:c r="I33" s="31" t="n">
        <x:v>687661</x:v>
      </x:c>
      <x:c r="J33" s="31" t="inlineStr">
        <x:is>
          <x:t xml:space="preserve">Просрочен</x:t>
        </x:is>
      </x:c>
      <x:c r="K33" s="31" t="n">
        <x:v>39</x:v>
      </x:c>
      <x:c r="L33" s="31" t="inlineStr">
        <x:is>
          <x:t xml:space="preserve">Нет</x:t>
        </x:is>
      </x:c>
      <x:c r="M33" s="31" t="inlineStr">
        <x:is>
          <x:t xml:space="preserve">СТК-2026-1031</x:t>
        </x:is>
      </x:c>
      <x:c r="N33" s="31" t="inlineStr">
        <x:is>
          <x:t xml:space="preserve">Счет по этапу Финальный платеж</x:t>
        </x:is>
      </x:c>
    </x:row>
    <x:row r="34" ht="18" customHeight="1">
      <x:c r="A34" s="31" t="inlineStr">
        <x:is>
          <x:t xml:space="preserve">СЧ-1033-1</x:t>
        </x:is>
      </x:c>
      <x:c r="B34" s="31" t="inlineStr">
        <x:is>
          <x:t xml:space="preserve">ЗК-1033</x:t>
        </x:is>
      </x:c>
      <x:c r="C34" s="31" t="inlineStr">
        <x:is>
          <x:t xml:space="preserve">КЛ-027</x:t>
        </x:is>
      </x:c>
      <x:c r="D34" s="31" t="inlineStr">
        <x:is>
          <x:t xml:space="preserve">Аванс</x:t>
        </x:is>
      </x:c>
      <x:c r="E34" s="31" t="n">
        <x:v>46148</x:v>
      </x:c>
      <x:c r="F34" s="31" t="n">
        <x:v>46163</x:v>
      </x:c>
      <x:c r="G34" s="31" t="n">
        <x:v>672783</x:v>
      </x:c>
      <x:c r="H34" s="31" t="n">
        <x:v>672783</x:v>
      </x:c>
      <x:c r="I34" s="31" t="n">
        <x:v>0</x:v>
      </x:c>
      <x:c r="J34" s="31" t="inlineStr">
        <x:is>
          <x:t xml:space="preserve">Оплачен</x:t>
        </x:is>
      </x:c>
      <x:c r="K34" s="31" t="n">
        <x:v>0</x:v>
      </x:c>
      <x:c r="L34" s="31" t="inlineStr">
        <x:is>
          <x:t xml:space="preserve">Нет</x:t>
        </x:is>
      </x:c>
      <x:c r="M34" s="31" t="inlineStr">
        <x:is>
          <x:t xml:space="preserve">СТК-2026-1033</x:t>
        </x:is>
      </x:c>
      <x:c r="N34" s="31" t="inlineStr">
        <x:is>
          <x:t xml:space="preserve">Счет по этапу Аванс</x:t>
        </x:is>
      </x:c>
    </x:row>
    <x:row r="35" ht="18" customHeight="1">
      <x:c r="A35" s="31" t="inlineStr">
        <x:is>
          <x:t xml:space="preserve">СЧ-1035-1</x:t>
        </x:is>
      </x:c>
      <x:c r="B35" s="31" t="inlineStr">
        <x:is>
          <x:t xml:space="preserve">ЗК-1035</x:t>
        </x:is>
      </x:c>
      <x:c r="C35" s="31" t="inlineStr">
        <x:is>
          <x:t xml:space="preserve">КЛ-033</x:t>
        </x:is>
      </x:c>
      <x:c r="D35" s="31" t="inlineStr">
        <x:is>
          <x:t xml:space="preserve">Аванс</x:t>
        </x:is>
      </x:c>
      <x:c r="E35" s="31" t="n">
        <x:v>46093</x:v>
      </x:c>
      <x:c r="F35" s="31" t="n">
        <x:v>46123</x:v>
      </x:c>
      <x:c r="G35" s="31" t="n">
        <x:v>2266839</x:v>
      </x:c>
      <x:c r="H35" s="31" t="n">
        <x:v>578935</x:v>
      </x:c>
      <x:c r="I35" s="31" t="n">
        <x:v>1687904</x:v>
      </x:c>
      <x:c r="J35" s="31" t="inlineStr">
        <x:is>
          <x:t xml:space="preserve">Просрочен</x:t>
        </x:is>
      </x:c>
      <x:c r="K35" s="31" t="n">
        <x:v>62</x:v>
      </x:c>
      <x:c r="L35" s="31" t="inlineStr">
        <x:is>
          <x:t xml:space="preserve">Нет</x:t>
        </x:is>
      </x:c>
      <x:c r="M35" s="31" t="inlineStr">
        <x:is>
          <x:t xml:space="preserve">СТК-2026-1035</x:t>
        </x:is>
      </x:c>
      <x:c r="N35" s="31" t="inlineStr">
        <x:is>
          <x:t xml:space="preserve">Счет по этапу Аванс</x:t>
        </x:is>
      </x:c>
    </x:row>
    <x:row r="36" ht="18" customHeight="1">
      <x:c r="A36" s="31" t="inlineStr">
        <x:is>
          <x:t xml:space="preserve">СЧ-1035-2</x:t>
        </x:is>
      </x:c>
      <x:c r="B36" s="31" t="inlineStr">
        <x:is>
          <x:t xml:space="preserve">ЗК-1035</x:t>
        </x:is>
      </x:c>
      <x:c r="C36" s="31" t="inlineStr">
        <x:is>
          <x:t xml:space="preserve">КЛ-033</x:t>
        </x:is>
      </x:c>
      <x:c r="D36" s="31" t="inlineStr">
        <x:is>
          <x:t xml:space="preserve">Финальный платеж</x:t>
        </x:is>
      </x:c>
      <x:c r="E36" s="31" t="n">
        <x:v>46094</x:v>
      </x:c>
      <x:c r="F36" s="31" t="n">
        <x:v>46109</x:v>
      </x:c>
      <x:c r="G36" s="31" t="n">
        <x:v>3400258</x:v>
      </x:c>
      <x:c r="H36" s="31" t="n">
        <x:v>854605</x:v>
      </x:c>
      <x:c r="I36" s="31" t="n">
        <x:v>2545653</x:v>
      </x:c>
      <x:c r="J36" s="31" t="inlineStr">
        <x:is>
          <x:t xml:space="preserve">Просрочен</x:t>
        </x:is>
      </x:c>
      <x:c r="K36" s="31" t="n">
        <x:v>76</x:v>
      </x:c>
      <x:c r="L36" s="31" t="inlineStr">
        <x:is>
          <x:t xml:space="preserve">Нет</x:t>
        </x:is>
      </x:c>
      <x:c r="M36" s="31" t="inlineStr">
        <x:is>
          <x:t xml:space="preserve">СТК-2026-1035</x:t>
        </x:is>
      </x:c>
      <x:c r="N36" s="31" t="inlineStr">
        <x:is>
          <x:t xml:space="preserve">Счет по этапу Финальный платеж</x:t>
        </x:is>
      </x:c>
    </x:row>
    <x:row r="37" ht="18" customHeight="1">
      <x:c r="A37" s="31" t="inlineStr">
        <x:is>
          <x:t xml:space="preserve">СЧ-1036-1</x:t>
        </x:is>
      </x:c>
      <x:c r="B37" s="31" t="inlineStr">
        <x:is>
          <x:t xml:space="preserve">ЗК-1036</x:t>
        </x:is>
      </x:c>
      <x:c r="C37" s="31" t="inlineStr">
        <x:is>
          <x:t xml:space="preserve">КЛ-005</x:t>
        </x:is>
      </x:c>
      <x:c r="D37" s="31" t="inlineStr">
        <x:is>
          <x:t xml:space="preserve">Аванс</x:t>
        </x:is>
      </x:c>
      <x:c r="E37" s="31" t="n">
        <x:v>46145</x:v>
      </x:c>
      <x:c r="F37" s="31" t="n">
        <x:v>46150</x:v>
      </x:c>
      <x:c r="G37" s="31" t="n">
        <x:v>1556265</x:v>
      </x:c>
      <x:c r="H37" s="31" t="n">
        <x:v>776870</x:v>
      </x:c>
      <x:c r="I37" s="31" t="n">
        <x:v>779395</x:v>
      </x:c>
      <x:c r="J37" s="31" t="inlineStr">
        <x:is>
          <x:t xml:space="preserve">Просрочен</x:t>
        </x:is>
      </x:c>
      <x:c r="K37" s="31" t="n">
        <x:v>35</x:v>
      </x:c>
      <x:c r="L37" s="31" t="inlineStr">
        <x:is>
          <x:t xml:space="preserve">Нет</x:t>
        </x:is>
      </x:c>
      <x:c r="M37" s="31" t="inlineStr">
        <x:is>
          <x:t xml:space="preserve">СТК-2026-1036</x:t>
        </x:is>
      </x:c>
      <x:c r="N37" s="31" t="inlineStr">
        <x:is>
          <x:t xml:space="preserve">Счет по этапу Аванс</x:t>
        </x:is>
      </x:c>
    </x:row>
    <x:row r="38" ht="18" customHeight="1">
      <x:c r="A38" s="31" t="inlineStr">
        <x:is>
          <x:t xml:space="preserve">СЧ-1036-2</x:t>
        </x:is>
      </x:c>
      <x:c r="B38" s="31" t="inlineStr">
        <x:is>
          <x:t xml:space="preserve">ЗК-1036</x:t>
        </x:is>
      </x:c>
      <x:c r="C38" s="31" t="inlineStr">
        <x:is>
          <x:t xml:space="preserve">КЛ-005</x:t>
        </x:is>
      </x:c>
      <x:c r="D38" s="31" t="inlineStr">
        <x:is>
          <x:t xml:space="preserve">Финальный платеж</x:t>
        </x:is>
      </x:c>
      <x:c r="E38" s="31" t="n">
        <x:v>46154</x:v>
      </x:c>
      <x:c r="F38" s="31" t="n">
        <x:v>46159</x:v>
      </x:c>
      <x:c r="G38" s="31" t="n">
        <x:v>3631285</x:v>
      </x:c>
      <x:c r="H38" s="31" t="n">
        <x:v>1315788</x:v>
      </x:c>
      <x:c r="I38" s="31" t="n">
        <x:v>2315497</x:v>
      </x:c>
      <x:c r="J38" s="31" t="inlineStr">
        <x:is>
          <x:t xml:space="preserve">Просрочен</x:t>
        </x:is>
      </x:c>
      <x:c r="K38" s="31" t="n">
        <x:v>26</x:v>
      </x:c>
      <x:c r="L38" s="31" t="inlineStr">
        <x:is>
          <x:t xml:space="preserve">Да</x:t>
        </x:is>
      </x:c>
      <x:c r="M38" s="31" t="inlineStr">
        <x:is>
          <x:t xml:space="preserve">СТК-2026-1036</x:t>
        </x:is>
      </x:c>
      <x:c r="N38" s="31" t="inlineStr">
        <x:is>
          <x:t xml:space="preserve">Счет по этапу Финальный платеж</x:t>
        </x:is>
      </x:c>
    </x:row>
    <x:row r="39" ht="18" customHeight="1">
      <x:c r="A39" s="31" t="inlineStr">
        <x:is>
          <x:t xml:space="preserve">СЧ-1037-1</x:t>
        </x:is>
      </x:c>
      <x:c r="B39" s="31" t="inlineStr">
        <x:is>
          <x:t xml:space="preserve">ЗК-1037</x:t>
        </x:is>
      </x:c>
      <x:c r="C39" s="31" t="inlineStr">
        <x:is>
          <x:t xml:space="preserve">КЛ-044</x:t>
        </x:is>
      </x:c>
      <x:c r="D39" s="31" t="inlineStr">
        <x:is>
          <x:t xml:space="preserve">Аванс</x:t>
        </x:is>
      </x:c>
      <x:c r="E39" s="31" t="n">
        <x:v>46156</x:v>
      </x:c>
      <x:c r="F39" s="31" t="n">
        <x:v>46186</x:v>
      </x:c>
      <x:c r="G39" s="31" t="n">
        <x:v>2699463</x:v>
      </x:c>
      <x:c r="H39" s="31" t="n">
        <x:v>1127728</x:v>
      </x:c>
      <x:c r="I39" s="31" t="n">
        <x:v>1571735</x:v>
      </x:c>
      <x:c r="J39" s="31" t="inlineStr">
        <x:is>
          <x:t xml:space="preserve">Частично оплачен</x:t>
        </x:is>
      </x:c>
      <x:c r="K39" s="31" t="n">
        <x:v>0</x:v>
      </x:c>
      <x:c r="L39" s="31" t="inlineStr">
        <x:is>
          <x:t xml:space="preserve">Нет</x:t>
        </x:is>
      </x:c>
      <x:c r="M39" s="31" t="inlineStr">
        <x:is>
          <x:t xml:space="preserve">СТК-2026-1037</x:t>
        </x:is>
      </x:c>
      <x:c r="N39" s="31" t="inlineStr">
        <x:is>
          <x:t xml:space="preserve">Счет по этапу Аванс</x:t>
        </x:is>
      </x:c>
    </x:row>
    <x:row r="40" ht="18" customHeight="1">
      <x:c r="A40" s="31" t="inlineStr">
        <x:is>
          <x:t xml:space="preserve">СЧ-1038-1</x:t>
        </x:is>
      </x:c>
      <x:c r="B40" s="31" t="inlineStr">
        <x:is>
          <x:t xml:space="preserve">ЗК-1038</x:t>
        </x:is>
      </x:c>
      <x:c r="C40" s="31" t="inlineStr">
        <x:is>
          <x:t xml:space="preserve">КЛ-004</x:t>
        </x:is>
      </x:c>
      <x:c r="D40" s="31" t="inlineStr">
        <x:is>
          <x:t xml:space="preserve">Аванс</x:t>
        </x:is>
      </x:c>
      <x:c r="E40" s="31" t="n">
        <x:v>46111</x:v>
      </x:c>
      <x:c r="F40" s="31" t="n">
        <x:v>46141</x:v>
      </x:c>
      <x:c r="G40" s="31" t="n">
        <x:v>4238802</x:v>
      </x:c>
      <x:c r="H40" s="31" t="n">
        <x:v>4238802</x:v>
      </x:c>
      <x:c r="I40" s="31" t="n">
        <x:v>0</x:v>
      </x:c>
      <x:c r="J40" s="31" t="inlineStr">
        <x:is>
          <x:t xml:space="preserve">Оплачен</x:t>
        </x:is>
      </x:c>
      <x:c r="K40" s="31" t="n">
        <x:v>0</x:v>
      </x:c>
      <x:c r="L40" s="31" t="inlineStr">
        <x:is>
          <x:t xml:space="preserve">Да</x:t>
        </x:is>
      </x:c>
      <x:c r="M40" s="31" t="inlineStr">
        <x:is>
          <x:t xml:space="preserve">СТК-2026-1038</x:t>
        </x:is>
      </x:c>
      <x:c r="N40" s="31" t="inlineStr">
        <x:is>
          <x:t xml:space="preserve">Счет по этапу Аванс</x:t>
        </x:is>
      </x:c>
    </x:row>
    <x:row r="41" ht="18" customHeight="1">
      <x:c r="A41" s="31" t="inlineStr">
        <x:is>
          <x:t xml:space="preserve">СЧ-1040-1</x:t>
        </x:is>
      </x:c>
      <x:c r="B41" s="31" t="inlineStr">
        <x:is>
          <x:t xml:space="preserve">ЗК-1040</x:t>
        </x:is>
      </x:c>
      <x:c r="C41" s="31" t="inlineStr">
        <x:is>
          <x:t xml:space="preserve">КЛ-009</x:t>
        </x:is>
      </x:c>
      <x:c r="D41" s="31" t="inlineStr">
        <x:is>
          <x:t xml:space="preserve">Аванс</x:t>
        </x:is>
      </x:c>
      <x:c r="E41" s="31" t="n">
        <x:v>46133</x:v>
      </x:c>
      <x:c r="F41" s="31" t="n">
        <x:v>46143</x:v>
      </x:c>
      <x:c r="G41" s="31" t="n">
        <x:v>3442755</x:v>
      </x:c>
      <x:c r="H41" s="31" t="n">
        <x:v>1093736</x:v>
      </x:c>
      <x:c r="I41" s="31" t="n">
        <x:v>2349019</x:v>
      </x:c>
      <x:c r="J41" s="31" t="inlineStr">
        <x:is>
          <x:t xml:space="preserve">Просрочен</x:t>
        </x:is>
      </x:c>
      <x:c r="K41" s="31" t="n">
        <x:v>42</x:v>
      </x:c>
      <x:c r="L41" s="31" t="inlineStr">
        <x:is>
          <x:t xml:space="preserve">Нет</x:t>
        </x:is>
      </x:c>
      <x:c r="M41" s="31" t="inlineStr">
        <x:is>
          <x:t xml:space="preserve">СТК-2026-1040</x:t>
        </x:is>
      </x:c>
      <x:c r="N41" s="31" t="inlineStr">
        <x:is>
          <x:t xml:space="preserve">Счет по этапу Аванс</x:t>
        </x:is>
      </x:c>
    </x:row>
    <x:row r="42" ht="18" customHeight="1">
      <x:c r="A42" s="31" t="inlineStr">
        <x:is>
          <x:t xml:space="preserve">СЧ-1041-1</x:t>
        </x:is>
      </x:c>
      <x:c r="B42" s="31" t="inlineStr">
        <x:is>
          <x:t xml:space="preserve">ЗК-1041</x:t>
        </x:is>
      </x:c>
      <x:c r="C42" s="31" t="inlineStr">
        <x:is>
          <x:t xml:space="preserve">КЛ-032</x:t>
        </x:is>
      </x:c>
      <x:c r="D42" s="31" t="inlineStr">
        <x:is>
          <x:t xml:space="preserve">Аванс</x:t>
        </x:is>
      </x:c>
      <x:c r="E42" s="31" t="n">
        <x:v>46061</x:v>
      </x:c>
      <x:c r="F42" s="31" t="n">
        <x:v>46081</x:v>
      </x:c>
      <x:c r="G42" s="31" t="n">
        <x:v>770994</x:v>
      </x:c>
      <x:c r="H42" s="31" t="n">
        <x:v>138225</x:v>
      </x:c>
      <x:c r="I42" s="31" t="n">
        <x:v>632769</x:v>
      </x:c>
      <x:c r="J42" s="31" t="inlineStr">
        <x:is>
          <x:t xml:space="preserve">Просрочен</x:t>
        </x:is>
      </x:c>
      <x:c r="K42" s="31" t="n">
        <x:v>104</x:v>
      </x:c>
      <x:c r="L42" s="31" t="inlineStr">
        <x:is>
          <x:t xml:space="preserve">Нет</x:t>
        </x:is>
      </x:c>
      <x:c r="M42" s="31" t="inlineStr">
        <x:is>
          <x:t xml:space="preserve">СТК-2026-1041</x:t>
        </x:is>
      </x:c>
      <x:c r="N42" s="31" t="inlineStr">
        <x:is>
          <x:t xml:space="preserve">Счет по этапу Аванс</x:t>
        </x:is>
      </x:c>
    </x:row>
    <x:row r="43" ht="18" customHeight="1">
      <x:c r="A43" s="31" t="inlineStr">
        <x:is>
          <x:t xml:space="preserve">СЧ-1041-2</x:t>
        </x:is>
      </x:c>
      <x:c r="B43" s="31" t="inlineStr">
        <x:is>
          <x:t xml:space="preserve">ЗК-1041</x:t>
        </x:is>
      </x:c>
      <x:c r="C43" s="31" t="inlineStr">
        <x:is>
          <x:t xml:space="preserve">КЛ-032</x:t>
        </x:is>
      </x:c>
      <x:c r="D43" s="31" t="inlineStr">
        <x:is>
          <x:t xml:space="preserve">Финальный платеж</x:t>
        </x:is>
      </x:c>
      <x:c r="E43" s="31" t="n">
        <x:v>46068</x:v>
      </x:c>
      <x:c r="F43" s="31" t="n">
        <x:v>46083</x:v>
      </x:c>
      <x:c r="G43" s="31" t="n">
        <x:v>3083977</x:v>
      </x:c>
      <x:c r="H43" s="31" t="n">
        <x:v>0</x:v>
      </x:c>
      <x:c r="I43" s="31" t="n">
        <x:v>3083977</x:v>
      </x:c>
      <x:c r="J43" s="31" t="inlineStr">
        <x:is>
          <x:t xml:space="preserve">Просрочен</x:t>
        </x:is>
      </x:c>
      <x:c r="K43" s="31" t="n">
        <x:v>102</x:v>
      </x:c>
      <x:c r="L43" s="31" t="inlineStr">
        <x:is>
          <x:t xml:space="preserve">Нет</x:t>
        </x:is>
      </x:c>
      <x:c r="M43" s="31" t="inlineStr">
        <x:is>
          <x:t xml:space="preserve">СТК-2026-1041</x:t>
        </x:is>
      </x:c>
      <x:c r="N43" s="31" t="inlineStr">
        <x:is>
          <x:t xml:space="preserve">Счет по этапу Финальный платеж</x:t>
        </x:is>
      </x:c>
    </x:row>
    <x:row r="44" ht="18" customHeight="1">
      <x:c r="A44" s="31" t="inlineStr">
        <x:is>
          <x:t xml:space="preserve">СЧ-1042-1</x:t>
        </x:is>
      </x:c>
      <x:c r="B44" s="31" t="inlineStr">
        <x:is>
          <x:t xml:space="preserve">ЗК-1042</x:t>
        </x:is>
      </x:c>
      <x:c r="C44" s="31" t="inlineStr">
        <x:is>
          <x:t xml:space="preserve">КЛ-007</x:t>
        </x:is>
      </x:c>
      <x:c r="D44" s="31" t="inlineStr">
        <x:is>
          <x:t xml:space="preserve">Аванс</x:t>
        </x:is>
      </x:c>
      <x:c r="E44" s="31" t="n">
        <x:v>46067</x:v>
      </x:c>
      <x:c r="F44" s="31" t="n">
        <x:v>46097</x:v>
      </x:c>
      <x:c r="G44" s="31" t="n">
        <x:v>872036</x:v>
      </x:c>
      <x:c r="H44" s="31" t="n">
        <x:v>0</x:v>
      </x:c>
      <x:c r="I44" s="31" t="n">
        <x:v>872036</x:v>
      </x:c>
      <x:c r="J44" s="31" t="inlineStr">
        <x:is>
          <x:t xml:space="preserve">Просрочен</x:t>
        </x:is>
      </x:c>
      <x:c r="K44" s="31" t="n">
        <x:v>88</x:v>
      </x:c>
      <x:c r="L44" s="31" t="inlineStr">
        <x:is>
          <x:t xml:space="preserve">Нет</x:t>
        </x:is>
      </x:c>
      <x:c r="M44" s="31" t="inlineStr">
        <x:is>
          <x:t xml:space="preserve">СТК-2026-1042</x:t>
        </x:is>
      </x:c>
      <x:c r="N44" s="31" t="inlineStr">
        <x:is>
          <x:t xml:space="preserve">Счет по этапу Аванс</x:t>
        </x:is>
      </x:c>
    </x:row>
    <x:row r="45" ht="18" customHeight="1">
      <x:c r="A45" s="31" t="inlineStr">
        <x:is>
          <x:t xml:space="preserve">СЧ-1043-1</x:t>
        </x:is>
      </x:c>
      <x:c r="B45" s="31" t="inlineStr">
        <x:is>
          <x:t xml:space="preserve">ЗК-1043</x:t>
        </x:is>
      </x:c>
      <x:c r="C45" s="31" t="inlineStr">
        <x:is>
          <x:t xml:space="preserve">КЛ-012</x:t>
        </x:is>
      </x:c>
      <x:c r="D45" s="31" t="inlineStr">
        <x:is>
          <x:t xml:space="preserve">Аванс</x:t>
        </x:is>
      </x:c>
      <x:c r="E45" s="31" t="n">
        <x:v>46125</x:v>
      </x:c>
      <x:c r="F45" s="31" t="n">
        <x:v>46145</x:v>
      </x:c>
      <x:c r="G45" s="31" t="n">
        <x:v>4923540</x:v>
      </x:c>
      <x:c r="H45" s="31" t="n">
        <x:v>2723471</x:v>
      </x:c>
      <x:c r="I45" s="31" t="n">
        <x:v>2200069</x:v>
      </x:c>
      <x:c r="J45" s="31" t="inlineStr">
        <x:is>
          <x:t xml:space="preserve">Просрочен</x:t>
        </x:is>
      </x:c>
      <x:c r="K45" s="31" t="n">
        <x:v>40</x:v>
      </x:c>
      <x:c r="L45" s="31" t="inlineStr">
        <x:is>
          <x:t xml:space="preserve">Нет</x:t>
        </x:is>
      </x:c>
      <x:c r="M45" s="31" t="inlineStr">
        <x:is>
          <x:t xml:space="preserve">СТК-2026-1043</x:t>
        </x:is>
      </x:c>
      <x:c r="N45" s="31" t="inlineStr">
        <x:is>
          <x:t xml:space="preserve">Счет по этапу Аванс</x:t>
        </x:is>
      </x:c>
    </x:row>
    <x:row r="46" ht="18" customHeight="1">
      <x:c r="A46" s="31" t="inlineStr">
        <x:is>
          <x:t xml:space="preserve">СЧ-1044-1</x:t>
        </x:is>
      </x:c>
      <x:c r="B46" s="31" t="inlineStr">
        <x:is>
          <x:t xml:space="preserve">ЗК-1044</x:t>
        </x:is>
      </x:c>
      <x:c r="C46" s="31" t="inlineStr">
        <x:is>
          <x:t xml:space="preserve">КЛ-016</x:t>
        </x:is>
      </x:c>
      <x:c r="D46" s="31" t="inlineStr">
        <x:is>
          <x:t xml:space="preserve">Аванс</x:t>
        </x:is>
      </x:c>
      <x:c r="E46" s="31" t="n">
        <x:v>46193</x:v>
      </x:c>
      <x:c r="F46" s="31" t="n">
        <x:v>46198</x:v>
      </x:c>
      <x:c r="G46" s="31" t="n">
        <x:v>4611161</x:v>
      </x:c>
      <x:c r="H46" s="31" t="n">
        <x:v>0</x:v>
      </x:c>
      <x:c r="I46" s="31" t="n">
        <x:v>4611161</x:v>
      </x:c>
      <x:c r="J46" s="31" t="inlineStr">
        <x:is>
          <x:t xml:space="preserve">Ожидает оплаты</x:t>
        </x:is>
      </x:c>
      <x:c r="K46" s="31" t="n">
        <x:v>0</x:v>
      </x:c>
      <x:c r="L46" s="31" t="inlineStr">
        <x:is>
          <x:t xml:space="preserve">Нет</x:t>
        </x:is>
      </x:c>
      <x:c r="M46" s="31" t="inlineStr">
        <x:is>
          <x:t xml:space="preserve">СТК-2026-1044</x:t>
        </x:is>
      </x:c>
      <x:c r="N46" s="31" t="inlineStr">
        <x:is>
          <x:t xml:space="preserve">Счет по этапу Аванс</x:t>
        </x:is>
      </x:c>
    </x:row>
    <x:row r="47" ht="18" customHeight="1">
      <x:c r="A47" s="31" t="inlineStr">
        <x:is>
          <x:t xml:space="preserve">СЧ-1045-1</x:t>
        </x:is>
      </x:c>
      <x:c r="B47" s="31" t="inlineStr">
        <x:is>
          <x:t xml:space="preserve">ЗК-1045</x:t>
        </x:is>
      </x:c>
      <x:c r="C47" s="31" t="inlineStr">
        <x:is>
          <x:t xml:space="preserve">КЛ-046</x:t>
        </x:is>
      </x:c>
      <x:c r="D47" s="31" t="inlineStr">
        <x:is>
          <x:t xml:space="preserve">Аванс</x:t>
        </x:is>
      </x:c>
      <x:c r="E47" s="31" t="n">
        <x:v>46177</x:v>
      </x:c>
      <x:c r="F47" s="31" t="n">
        <x:v>46192</x:v>
      </x:c>
      <x:c r="G47" s="31" t="n">
        <x:v>34514080</x:v>
      </x:c>
      <x:c r="H47" s="31" t="n">
        <x:v>0</x:v>
      </x:c>
      <x:c r="I47" s="31" t="n">
        <x:v>34514080</x:v>
      </x:c>
      <x:c r="J47" s="31" t="inlineStr">
        <x:is>
          <x:t xml:space="preserve">Ожидает оплаты</x:t>
        </x:is>
      </x:c>
      <x:c r="K47" s="31" t="n">
        <x:v>0</x:v>
      </x:c>
      <x:c r="L47" s="31" t="inlineStr">
        <x:is>
          <x:t xml:space="preserve">Нет</x:t>
        </x:is>
      </x:c>
      <x:c r="M47" s="31" t="inlineStr">
        <x:is>
          <x:t xml:space="preserve">СТК-2026-1045</x:t>
        </x:is>
      </x:c>
      <x:c r="N47" s="31" t="inlineStr">
        <x:is>
          <x:t xml:space="preserve">Счет по этапу Аванс</x:t>
        </x:is>
      </x:c>
    </x:row>
    <x:row r="48" ht="18" customHeight="1">
      <x:c r="A48" s="31" t="inlineStr">
        <x:is>
          <x:t xml:space="preserve">СЧ-1046-1</x:t>
        </x:is>
      </x:c>
      <x:c r="B48" s="31" t="inlineStr">
        <x:is>
          <x:t xml:space="preserve">ЗК-1046</x:t>
        </x:is>
      </x:c>
      <x:c r="C48" s="31" t="inlineStr">
        <x:is>
          <x:t xml:space="preserve">КЛ-044</x:t>
        </x:is>
      </x:c>
      <x:c r="D48" s="31" t="inlineStr">
        <x:is>
          <x:t xml:space="preserve">Аванс</x:t>
        </x:is>
      </x:c>
      <x:c r="E48" s="31" t="n">
        <x:v>46163</x:v>
      </x:c>
      <x:c r="F48" s="31" t="n">
        <x:v>46183</x:v>
      </x:c>
      <x:c r="G48" s="31" t="n">
        <x:v>1680486</x:v>
      </x:c>
      <x:c r="H48" s="31" t="n">
        <x:v>0</x:v>
      </x:c>
      <x:c r="I48" s="31" t="n">
        <x:v>1680486</x:v>
      </x:c>
      <x:c r="J48" s="31" t="inlineStr">
        <x:is>
          <x:t xml:space="preserve">Просрочен</x:t>
        </x:is>
      </x:c>
      <x:c r="K48" s="31" t="n">
        <x:v>2</x:v>
      </x:c>
      <x:c r="L48" s="31" t="inlineStr">
        <x:is>
          <x:t xml:space="preserve">Нет</x:t>
        </x:is>
      </x:c>
      <x:c r="M48" s="31" t="inlineStr">
        <x:is>
          <x:t xml:space="preserve">СТК-2026-1046</x:t>
        </x:is>
      </x:c>
      <x:c r="N48" s="31" t="inlineStr">
        <x:is>
          <x:t xml:space="preserve">Счет по этапу Аванс</x:t>
        </x:is>
      </x:c>
    </x:row>
    <x:row r="49" ht="18" customHeight="1">
      <x:c r="A49" s="31" t="inlineStr">
        <x:is>
          <x:t xml:space="preserve">СЧ-1047-1</x:t>
        </x:is>
      </x:c>
      <x:c r="B49" s="31" t="inlineStr">
        <x:is>
          <x:t xml:space="preserve">ЗК-1047</x:t>
        </x:is>
      </x:c>
      <x:c r="C49" s="31" t="inlineStr">
        <x:is>
          <x:t xml:space="preserve">КЛ-009</x:t>
        </x:is>
      </x:c>
      <x:c r="D49" s="31" t="inlineStr">
        <x:is>
          <x:t xml:space="preserve">Аванс</x:t>
        </x:is>
      </x:c>
      <x:c r="E49" s="31" t="n">
        <x:v>46136</x:v>
      </x:c>
      <x:c r="F49" s="31" t="n">
        <x:v>46166</x:v>
      </x:c>
      <x:c r="G49" s="31" t="n">
        <x:v>7339695</x:v>
      </x:c>
      <x:c r="H49" s="31" t="n">
        <x:v>883104</x:v>
      </x:c>
      <x:c r="I49" s="31" t="n">
        <x:v>6456591</x:v>
      </x:c>
      <x:c r="J49" s="31" t="inlineStr">
        <x:is>
          <x:t xml:space="preserve">Просрочен</x:t>
        </x:is>
      </x:c>
      <x:c r="K49" s="31" t="n">
        <x:v>19</x:v>
      </x:c>
      <x:c r="L49" s="31" t="inlineStr">
        <x:is>
          <x:t xml:space="preserve">Да</x:t>
        </x:is>
      </x:c>
      <x:c r="M49" s="31" t="inlineStr">
        <x:is>
          <x:t xml:space="preserve">СТК-2026-1047</x:t>
        </x:is>
      </x:c>
      <x:c r="N49" s="31" t="inlineStr">
        <x:is>
          <x:t xml:space="preserve">Счет по этапу Аванс</x:t>
        </x:is>
      </x:c>
    </x:row>
    <x:row r="50" ht="18" customHeight="1">
      <x:c r="A50" s="31" t="inlineStr">
        <x:is>
          <x:t xml:space="preserve">СЧ-1048-1</x:t>
        </x:is>
      </x:c>
      <x:c r="B50" s="31" t="inlineStr">
        <x:is>
          <x:t xml:space="preserve">ЗК-1048</x:t>
        </x:is>
      </x:c>
      <x:c r="C50" s="31" t="inlineStr">
        <x:is>
          <x:t xml:space="preserve">КЛ-034</x:t>
        </x:is>
      </x:c>
      <x:c r="D50" s="31" t="inlineStr">
        <x:is>
          <x:t xml:space="preserve">Аванс</x:t>
        </x:is>
      </x:c>
      <x:c r="E50" s="31" t="n">
        <x:v>46167</x:v>
      </x:c>
      <x:c r="F50" s="31" t="n">
        <x:v>46182</x:v>
      </x:c>
      <x:c r="G50" s="31" t="n">
        <x:v>1097705</x:v>
      </x:c>
      <x:c r="H50" s="31" t="n">
        <x:v>0</x:v>
      </x:c>
      <x:c r="I50" s="31" t="n">
        <x:v>1097705</x:v>
      </x:c>
      <x:c r="J50" s="31" t="inlineStr">
        <x:is>
          <x:t xml:space="preserve">Просрочен</x:t>
        </x:is>
      </x:c>
      <x:c r="K50" s="31" t="n">
        <x:v>3</x:v>
      </x:c>
      <x:c r="L50" s="31" t="inlineStr">
        <x:is>
          <x:t xml:space="preserve">Нет</x:t>
        </x:is>
      </x:c>
      <x:c r="M50" s="31" t="inlineStr">
        <x:is>
          <x:t xml:space="preserve">СТК-2026-1048</x:t>
        </x:is>
      </x:c>
      <x:c r="N50" s="31" t="inlineStr">
        <x:is>
          <x:t xml:space="preserve">Счет по этапу Аванс</x:t>
        </x:is>
      </x:c>
    </x:row>
    <x:row r="51" ht="18" customHeight="1">
      <x:c r="A51" s="31" t="inlineStr">
        <x:is>
          <x:t xml:space="preserve">СЧ-1049-1</x:t>
        </x:is>
      </x:c>
      <x:c r="B51" s="31" t="inlineStr">
        <x:is>
          <x:t xml:space="preserve">ЗК-1049</x:t>
        </x:is>
      </x:c>
      <x:c r="C51" s="31" t="inlineStr">
        <x:is>
          <x:t xml:space="preserve">КЛ-032</x:t>
        </x:is>
      </x:c>
      <x:c r="D51" s="31" t="inlineStr">
        <x:is>
          <x:t xml:space="preserve">Аванс</x:t>
        </x:is>
      </x:c>
      <x:c r="E51" s="31" t="n">
        <x:v>46050</x:v>
      </x:c>
      <x:c r="F51" s="31" t="n">
        <x:v>46080</x:v>
      </x:c>
      <x:c r="G51" s="31" t="n">
        <x:v>986502</x:v>
      </x:c>
      <x:c r="H51" s="31" t="n">
        <x:v>0</x:v>
      </x:c>
      <x:c r="I51" s="31" t="n">
        <x:v>986502</x:v>
      </x:c>
      <x:c r="J51" s="31" t="inlineStr">
        <x:is>
          <x:t xml:space="preserve">Просрочен</x:t>
        </x:is>
      </x:c>
      <x:c r="K51" s="31" t="n">
        <x:v>105</x:v>
      </x:c>
      <x:c r="L51" s="31" t="inlineStr">
        <x:is>
          <x:t xml:space="preserve">Нет</x:t>
        </x:is>
      </x:c>
      <x:c r="M51" s="31" t="inlineStr">
        <x:is>
          <x:t xml:space="preserve">СТК-2026-1049</x:t>
        </x:is>
      </x:c>
      <x:c r="N51" s="31" t="inlineStr">
        <x:is>
          <x:t xml:space="preserve">Счет по этапу Аванс</x:t>
        </x:is>
      </x:c>
    </x:row>
    <x:row r="52" ht="18" customHeight="1">
      <x:c r="A52" s="31" t="inlineStr">
        <x:is>
          <x:t xml:space="preserve">СЧ-1049-2</x:t>
        </x:is>
      </x:c>
      <x:c r="B52" s="31" t="inlineStr">
        <x:is>
          <x:t xml:space="preserve">ЗК-1049</x:t>
        </x:is>
      </x:c>
      <x:c r="C52" s="31" t="inlineStr">
        <x:is>
          <x:t xml:space="preserve">КЛ-032</x:t>
        </x:is>
      </x:c>
      <x:c r="D52" s="31" t="inlineStr">
        <x:is>
          <x:t xml:space="preserve">Финальный платеж</x:t>
        </x:is>
      </x:c>
      <x:c r="E52" s="31" t="n">
        <x:v>46061</x:v>
      </x:c>
      <x:c r="F52" s="31" t="n">
        <x:v>46076</x:v>
      </x:c>
      <x:c r="G52" s="31" t="n">
        <x:v>3946006</x:v>
      </x:c>
      <x:c r="H52" s="31" t="n">
        <x:v>0</x:v>
      </x:c>
      <x:c r="I52" s="31" t="n">
        <x:v>3946006</x:v>
      </x:c>
      <x:c r="J52" s="31" t="inlineStr">
        <x:is>
          <x:t xml:space="preserve">Просрочен</x:t>
        </x:is>
      </x:c>
      <x:c r="K52" s="31" t="n">
        <x:v>109</x:v>
      </x:c>
      <x:c r="L52" s="31" t="inlineStr">
        <x:is>
          <x:t xml:space="preserve">Нет</x:t>
        </x:is>
      </x:c>
      <x:c r="M52" s="31" t="inlineStr">
        <x:is>
          <x:t xml:space="preserve">СТК-2026-1049</x:t>
        </x:is>
      </x:c>
      <x:c r="N52" s="31" t="inlineStr">
        <x:is>
          <x:t xml:space="preserve">Счет по этапу Финальный платеж</x:t>
        </x:is>
      </x:c>
    </x:row>
    <x:row r="53" ht="18" customHeight="1">
      <x:c r="A53" s="31" t="inlineStr">
        <x:is>
          <x:t xml:space="preserve">СЧ-1050-1</x:t>
        </x:is>
      </x:c>
      <x:c r="B53" s="31" t="inlineStr">
        <x:is>
          <x:t xml:space="preserve">ЗК-1050</x:t>
        </x:is>
      </x:c>
      <x:c r="C53" s="31" t="inlineStr">
        <x:is>
          <x:t xml:space="preserve">КЛ-047</x:t>
        </x:is>
      </x:c>
      <x:c r="D53" s="31" t="inlineStr">
        <x:is>
          <x:t xml:space="preserve">Аванс</x:t>
        </x:is>
      </x:c>
      <x:c r="E53" s="31" t="n">
        <x:v>46092</x:v>
      </x:c>
      <x:c r="F53" s="31" t="n">
        <x:v>46112</x:v>
      </x:c>
      <x:c r="G53" s="31" t="n">
        <x:v>10997637</x:v>
      </x:c>
      <x:c r="H53" s="31" t="n">
        <x:v>7383776</x:v>
      </x:c>
      <x:c r="I53" s="31" t="n">
        <x:v>3613861</x:v>
      </x:c>
      <x:c r="J53" s="31" t="inlineStr">
        <x:is>
          <x:t xml:space="preserve">Просрочен</x:t>
        </x:is>
      </x:c>
      <x:c r="K53" s="31" t="n">
        <x:v>73</x:v>
      </x:c>
      <x:c r="L53" s="31" t="inlineStr">
        <x:is>
          <x:t xml:space="preserve">Нет</x:t>
        </x:is>
      </x:c>
      <x:c r="M53" s="31" t="inlineStr">
        <x:is>
          <x:t xml:space="preserve">СТК-2026-1050</x:t>
        </x:is>
      </x:c>
      <x:c r="N53" s="31" t="inlineStr">
        <x:is>
          <x:t xml:space="preserve">Счет по этапу Аванс</x:t>
        </x:is>
      </x:c>
    </x:row>
    <x:row r="54" ht="18" customHeight="1">
      <x:c r="A54" s="31" t="inlineStr">
        <x:is>
          <x:t xml:space="preserve">СЧ-1051-1</x:t>
        </x:is>
      </x:c>
      <x:c r="B54" s="31" t="inlineStr">
        <x:is>
          <x:t xml:space="preserve">ЗК-1051</x:t>
        </x:is>
      </x:c>
      <x:c r="C54" s="31" t="inlineStr">
        <x:is>
          <x:t xml:space="preserve">КЛ-002</x:t>
        </x:is>
      </x:c>
      <x:c r="D54" s="31" t="inlineStr">
        <x:is>
          <x:t xml:space="preserve">Аванс</x:t>
        </x:is>
      </x:c>
      <x:c r="E54" s="31" t="n">
        <x:v>46104</x:v>
      </x:c>
      <x:c r="F54" s="31" t="n">
        <x:v>46134</x:v>
      </x:c>
      <x:c r="G54" s="31" t="n">
        <x:v>2351609</x:v>
      </x:c>
      <x:c r="H54" s="31" t="n">
        <x:v>0</x:v>
      </x:c>
      <x:c r="I54" s="31" t="n">
        <x:v>2351609</x:v>
      </x:c>
      <x:c r="J54" s="31" t="inlineStr">
        <x:is>
          <x:t xml:space="preserve">Просрочен</x:t>
        </x:is>
      </x:c>
      <x:c r="K54" s="31" t="n">
        <x:v>51</x:v>
      </x:c>
      <x:c r="L54" s="31" t="inlineStr">
        <x:is>
          <x:t xml:space="preserve">Нет</x:t>
        </x:is>
      </x:c>
      <x:c r="M54" s="31" t="inlineStr">
        <x:is>
          <x:t xml:space="preserve">СТК-2026-1051</x:t>
        </x:is>
      </x:c>
      <x:c r="N54" s="31" t="inlineStr">
        <x:is>
          <x:t xml:space="preserve">Счет по этапу Аванс</x:t>
        </x:is>
      </x:c>
    </x:row>
    <x:row r="55" ht="18" customHeight="1">
      <x:c r="A55" s="31" t="inlineStr">
        <x:is>
          <x:t xml:space="preserve">СЧ-1052-1</x:t>
        </x:is>
      </x:c>
      <x:c r="B55" s="31" t="inlineStr">
        <x:is>
          <x:t xml:space="preserve">ЗК-1052</x:t>
        </x:is>
      </x:c>
      <x:c r="C55" s="31" t="inlineStr">
        <x:is>
          <x:t xml:space="preserve">КЛ-019</x:t>
        </x:is>
      </x:c>
      <x:c r="D55" s="31" t="inlineStr">
        <x:is>
          <x:t xml:space="preserve">Аванс</x:t>
        </x:is>
      </x:c>
      <x:c r="E55" s="31" t="n">
        <x:v>46112</x:v>
      </x:c>
      <x:c r="F55" s="31" t="n">
        <x:v>46132</x:v>
      </x:c>
      <x:c r="G55" s="31" t="n">
        <x:v>1086492</x:v>
      </x:c>
      <x:c r="H55" s="31" t="n">
        <x:v>0</x:v>
      </x:c>
      <x:c r="I55" s="31" t="n">
        <x:v>1086492</x:v>
      </x:c>
      <x:c r="J55" s="31" t="inlineStr">
        <x:is>
          <x:t xml:space="preserve">Просрочен</x:t>
        </x:is>
      </x:c>
      <x:c r="K55" s="31" t="n">
        <x:v>53</x:v>
      </x:c>
      <x:c r="L55" s="31" t="inlineStr">
        <x:is>
          <x:t xml:space="preserve">Нет</x:t>
        </x:is>
      </x:c>
      <x:c r="M55" s="31" t="inlineStr">
        <x:is>
          <x:t xml:space="preserve">СТК-2026-1052</x:t>
        </x:is>
      </x:c>
      <x:c r="N55" s="31" t="inlineStr">
        <x:is>
          <x:t xml:space="preserve">Счет по этапу Аванс</x:t>
        </x:is>
      </x:c>
    </x:row>
    <x:row r="56" ht="18" customHeight="1">
      <x:c r="A56" s="31" t="inlineStr">
        <x:is>
          <x:t xml:space="preserve">СЧ-1052-2</x:t>
        </x:is>
      </x:c>
      <x:c r="B56" s="31" t="inlineStr">
        <x:is>
          <x:t xml:space="preserve">ЗК-1052</x:t>
        </x:is>
      </x:c>
      <x:c r="C56" s="31" t="inlineStr">
        <x:is>
          <x:t xml:space="preserve">КЛ-019</x:t>
        </x:is>
      </x:c>
      <x:c r="D56" s="31" t="inlineStr">
        <x:is>
          <x:t xml:space="preserve">Финальный платеж</x:t>
        </x:is>
      </x:c>
      <x:c r="E56" s="31" t="n">
        <x:v>46123</x:v>
      </x:c>
      <x:c r="F56" s="31" t="n">
        <x:v>46153</x:v>
      </x:c>
      <x:c r="G56" s="31" t="n">
        <x:v>4345966</x:v>
      </x:c>
      <x:c r="H56" s="31" t="n">
        <x:v>707057</x:v>
      </x:c>
      <x:c r="I56" s="31" t="n">
        <x:v>3638909</x:v>
      </x:c>
      <x:c r="J56" s="31" t="inlineStr">
        <x:is>
          <x:t xml:space="preserve">Просрочен</x:t>
        </x:is>
      </x:c>
      <x:c r="K56" s="31" t="n">
        <x:v>32</x:v>
      </x:c>
      <x:c r="L56" s="31" t="inlineStr">
        <x:is>
          <x:t xml:space="preserve">Нет</x:t>
        </x:is>
      </x:c>
      <x:c r="M56" s="31" t="inlineStr">
        <x:is>
          <x:t xml:space="preserve">СТК-2026-1052</x:t>
        </x:is>
      </x:c>
      <x:c r="N56" s="31" t="inlineStr">
        <x:is>
          <x:t xml:space="preserve">Счет по этапу Финальный платеж</x:t>
        </x:is>
      </x:c>
    </x:row>
    <x:row r="57" ht="18" customHeight="1">
      <x:c r="A57" s="31" t="inlineStr">
        <x:is>
          <x:t xml:space="preserve">СЧ-1053-1</x:t>
        </x:is>
      </x:c>
      <x:c r="B57" s="31" t="inlineStr">
        <x:is>
          <x:t xml:space="preserve">ЗК-1053</x:t>
        </x:is>
      </x:c>
      <x:c r="C57" s="31" t="inlineStr">
        <x:is>
          <x:t xml:space="preserve">КЛ-042</x:t>
        </x:is>
      </x:c>
      <x:c r="D57" s="31" t="inlineStr">
        <x:is>
          <x:t xml:space="preserve">Аванс</x:t>
        </x:is>
      </x:c>
      <x:c r="E57" s="31" t="n">
        <x:v>46106</x:v>
      </x:c>
      <x:c r="F57" s="31" t="n">
        <x:v>46126</x:v>
      </x:c>
      <x:c r="G57" s="31" t="n">
        <x:v>14274736</x:v>
      </x:c>
      <x:c r="H57" s="31" t="n">
        <x:v>0</x:v>
      </x:c>
      <x:c r="I57" s="31" t="n">
        <x:v>14274736</x:v>
      </x:c>
      <x:c r="J57" s="31" t="inlineStr">
        <x:is>
          <x:t xml:space="preserve">Просрочен</x:t>
        </x:is>
      </x:c>
      <x:c r="K57" s="31" t="n">
        <x:v>59</x:v>
      </x:c>
      <x:c r="L57" s="31" t="inlineStr">
        <x:is>
          <x:t xml:space="preserve">Нет</x:t>
        </x:is>
      </x:c>
      <x:c r="M57" s="31" t="inlineStr">
        <x:is>
          <x:t xml:space="preserve">СТК-2026-1053</x:t>
        </x:is>
      </x:c>
      <x:c r="N57" s="31" t="inlineStr">
        <x:is>
          <x:t xml:space="preserve">Счет по этапу Аванс</x:t>
        </x:is>
      </x:c>
    </x:row>
    <x:row r="58" ht="18" customHeight="1">
      <x:c r="A58" s="31" t="inlineStr">
        <x:is>
          <x:t xml:space="preserve">СЧ-1054-1</x:t>
        </x:is>
      </x:c>
      <x:c r="B58" s="31" t="inlineStr">
        <x:is>
          <x:t xml:space="preserve">ЗК-1054</x:t>
        </x:is>
      </x:c>
      <x:c r="C58" s="31" t="inlineStr">
        <x:is>
          <x:t xml:space="preserve">КЛ-045</x:t>
        </x:is>
      </x:c>
      <x:c r="D58" s="31" t="inlineStr">
        <x:is>
          <x:t xml:space="preserve">Аванс</x:t>
        </x:is>
      </x:c>
      <x:c r="E58" s="31" t="n">
        <x:v>46108</x:v>
      </x:c>
      <x:c r="F58" s="31" t="n">
        <x:v>46123</x:v>
      </x:c>
      <x:c r="G58" s="31" t="n">
        <x:v>290438</x:v>
      </x:c>
      <x:c r="H58" s="31" t="n">
        <x:v>174837</x:v>
      </x:c>
      <x:c r="I58" s="31" t="n">
        <x:v>115601</x:v>
      </x:c>
      <x:c r="J58" s="31" t="inlineStr">
        <x:is>
          <x:t xml:space="preserve">Просрочен</x:t>
        </x:is>
      </x:c>
      <x:c r="K58" s="31" t="n">
        <x:v>62</x:v>
      </x:c>
      <x:c r="L58" s="31" t="inlineStr">
        <x:is>
          <x:t xml:space="preserve">Нет</x:t>
        </x:is>
      </x:c>
      <x:c r="M58" s="31" t="inlineStr">
        <x:is>
          <x:t xml:space="preserve">СТК-2026-1054</x:t>
        </x:is>
      </x:c>
      <x:c r="N58" s="31" t="inlineStr">
        <x:is>
          <x:t xml:space="preserve">Счет по этапу Аванс</x:t>
        </x:is>
      </x:c>
    </x:row>
    <x:row r="59" ht="18" customHeight="1">
      <x:c r="A59" s="31" t="inlineStr">
        <x:is>
          <x:t xml:space="preserve">СЧ-1055-1</x:t>
        </x:is>
      </x:c>
      <x:c r="B59" s="31" t="inlineStr">
        <x:is>
          <x:t xml:space="preserve">ЗК-1055</x:t>
        </x:is>
      </x:c>
      <x:c r="C59" s="31" t="inlineStr">
        <x:is>
          <x:t xml:space="preserve">КЛ-028</x:t>
        </x:is>
      </x:c>
      <x:c r="D59" s="31" t="inlineStr">
        <x:is>
          <x:t xml:space="preserve">Аванс</x:t>
        </x:is>
      </x:c>
      <x:c r="E59" s="31" t="n">
        <x:v>46071</x:v>
      </x:c>
      <x:c r="F59" s="31" t="n">
        <x:v>46101</x:v>
      </x:c>
      <x:c r="G59" s="31" t="n">
        <x:v>3376930</x:v>
      </x:c>
      <x:c r="H59" s="31" t="n">
        <x:v>0</x:v>
      </x:c>
      <x:c r="I59" s="31" t="n">
        <x:v>3376930</x:v>
      </x:c>
      <x:c r="J59" s="31" t="inlineStr">
        <x:is>
          <x:t xml:space="preserve">Просрочен</x:t>
        </x:is>
      </x:c>
      <x:c r="K59" s="31" t="n">
        <x:v>84</x:v>
      </x:c>
      <x:c r="L59" s="31" t="inlineStr">
        <x:is>
          <x:t xml:space="preserve">Нет</x:t>
        </x:is>
      </x:c>
      <x:c r="M59" s="31" t="inlineStr">
        <x:is>
          <x:t xml:space="preserve">СТК-2026-1055</x:t>
        </x:is>
      </x:c>
      <x:c r="N59" s="31" t="inlineStr">
        <x:is>
          <x:t xml:space="preserve">Счет по этапу Аванс</x:t>
        </x:is>
      </x:c>
    </x:row>
    <x:row r="60" ht="18" customHeight="1">
      <x:c r="A60" s="31" t="inlineStr">
        <x:is>
          <x:t xml:space="preserve">СЧ-1056-1</x:t>
        </x:is>
      </x:c>
      <x:c r="B60" s="31" t="inlineStr">
        <x:is>
          <x:t xml:space="preserve">ЗК-1056</x:t>
        </x:is>
      </x:c>
      <x:c r="C60" s="31" t="inlineStr">
        <x:is>
          <x:t xml:space="preserve">КЛ-035</x:t>
        </x:is>
      </x:c>
      <x:c r="D60" s="31" t="inlineStr">
        <x:is>
          <x:t xml:space="preserve">Аванс</x:t>
        </x:is>
      </x:c>
      <x:c r="E60" s="31" t="n">
        <x:v>46071</x:v>
      </x:c>
      <x:c r="F60" s="31" t="n">
        <x:v>46081</x:v>
      </x:c>
      <x:c r="G60" s="31" t="n">
        <x:v>11269491</x:v>
      </x:c>
      <x:c r="H60" s="31" t="n">
        <x:v>0</x:v>
      </x:c>
      <x:c r="I60" s="31" t="n">
        <x:v>11269491</x:v>
      </x:c>
      <x:c r="J60" s="31" t="inlineStr">
        <x:is>
          <x:t xml:space="preserve">Просрочен</x:t>
        </x:is>
      </x:c>
      <x:c r="K60" s="31" t="n">
        <x:v>104</x:v>
      </x:c>
      <x:c r="L60" s="31" t="inlineStr">
        <x:is>
          <x:t xml:space="preserve">Да</x:t>
        </x:is>
      </x:c>
      <x:c r="M60" s="31" t="inlineStr">
        <x:is>
          <x:t xml:space="preserve">СТК-2026-1056</x:t>
        </x:is>
      </x:c>
      <x:c r="N60" s="31" t="inlineStr">
        <x:is>
          <x:t xml:space="preserve">Счет по этапу Аванс</x:t>
        </x:is>
      </x:c>
    </x:row>
    <x:row r="61" ht="18" customHeight="1">
      <x:c r="A61" s="31" t="inlineStr">
        <x:is>
          <x:t xml:space="preserve">СЧ-1057-1</x:t>
        </x:is>
      </x:c>
      <x:c r="B61" s="31" t="inlineStr">
        <x:is>
          <x:t xml:space="preserve">ЗК-1057</x:t>
        </x:is>
      </x:c>
      <x:c r="C61" s="31" t="inlineStr">
        <x:is>
          <x:t xml:space="preserve">КЛ-043</x:t>
        </x:is>
      </x:c>
      <x:c r="D61" s="31" t="inlineStr">
        <x:is>
          <x:t xml:space="preserve">Аванс</x:t>
        </x:is>
      </x:c>
      <x:c r="E61" s="31" t="n">
        <x:v>46157</x:v>
      </x:c>
      <x:c r="F61" s="31" t="n">
        <x:v>46177</x:v>
      </x:c>
      <x:c r="G61" s="31" t="n">
        <x:v>1029456</x:v>
      </x:c>
      <x:c r="H61" s="31" t="n">
        <x:v>0</x:v>
      </x:c>
      <x:c r="I61" s="31" t="n">
        <x:v>1029456</x:v>
      </x:c>
      <x:c r="J61" s="31" t="inlineStr">
        <x:is>
          <x:t xml:space="preserve">Просрочен</x:t>
        </x:is>
      </x:c>
      <x:c r="K61" s="31" t="n">
        <x:v>8</x:v>
      </x:c>
      <x:c r="L61" s="31" t="inlineStr">
        <x:is>
          <x:t xml:space="preserve">Да</x:t>
        </x:is>
      </x:c>
      <x:c r="M61" s="31" t="inlineStr">
        <x:is>
          <x:t xml:space="preserve">СТК-2026-1057</x:t>
        </x:is>
      </x:c>
      <x:c r="N61" s="31" t="inlineStr">
        <x:is>
          <x:t xml:space="preserve">Счет по этапу Аванс</x:t>
        </x:is>
      </x:c>
    </x:row>
    <x:row r="62" ht="18" customHeight="1">
      <x:c r="A62" s="31" t="inlineStr">
        <x:is>
          <x:t xml:space="preserve">СЧ-1059-1</x:t>
        </x:is>
      </x:c>
      <x:c r="B62" s="31" t="inlineStr">
        <x:is>
          <x:t xml:space="preserve">ЗК-1059</x:t>
        </x:is>
      </x:c>
      <x:c r="C62" s="31" t="inlineStr">
        <x:is>
          <x:t xml:space="preserve">КЛ-002</x:t>
        </x:is>
      </x:c>
      <x:c r="D62" s="31" t="inlineStr">
        <x:is>
          <x:t xml:space="preserve">Аванс</x:t>
        </x:is>
      </x:c>
      <x:c r="E62" s="31" t="n">
        <x:v>46201</x:v>
      </x:c>
      <x:c r="F62" s="31" t="n">
        <x:v>46216</x:v>
      </x:c>
      <x:c r="G62" s="31" t="n">
        <x:v>995012</x:v>
      </x:c>
      <x:c r="H62" s="31" t="n">
        <x:v>995012</x:v>
      </x:c>
      <x:c r="I62" s="31" t="n">
        <x:v>0</x:v>
      </x:c>
      <x:c r="J62" s="31" t="inlineStr">
        <x:is>
          <x:t xml:space="preserve">Оплачен</x:t>
        </x:is>
      </x:c>
      <x:c r="K62" s="31" t="n">
        <x:v>0</x:v>
      </x:c>
      <x:c r="L62" s="31" t="inlineStr">
        <x:is>
          <x:t xml:space="preserve">Нет</x:t>
        </x:is>
      </x:c>
      <x:c r="M62" s="31" t="inlineStr">
        <x:is>
          <x:t xml:space="preserve">СТК-2026-1059</x:t>
        </x:is>
      </x:c>
      <x:c r="N62" s="31" t="inlineStr">
        <x:is>
          <x:t xml:space="preserve">Счет по этапу Аванс</x:t>
        </x:is>
      </x:c>
    </x:row>
    <x:row r="63" ht="18" customHeight="1">
      <x:c r="A63" s="31" t="inlineStr">
        <x:is>
          <x:t xml:space="preserve">СЧ-1059-2</x:t>
        </x:is>
      </x:c>
      <x:c r="B63" s="31" t="inlineStr">
        <x:is>
          <x:t xml:space="preserve">ЗК-1059</x:t>
        </x:is>
      </x:c>
      <x:c r="C63" s="31" t="inlineStr">
        <x:is>
          <x:t xml:space="preserve">КЛ-002</x:t>
        </x:is>
      </x:c>
      <x:c r="D63" s="31" t="inlineStr">
        <x:is>
          <x:t xml:space="preserve">Финальный платеж</x:t>
        </x:is>
      </x:c>
      <x:c r="E63" s="31" t="n">
        <x:v>46212</x:v>
      </x:c>
      <x:c r="F63" s="31" t="n">
        <x:v>46232</x:v>
      </x:c>
      <x:c r="G63" s="31" t="n">
        <x:v>3980050</x:v>
      </x:c>
      <x:c r="H63" s="31" t="n">
        <x:v>3980050</x:v>
      </x:c>
      <x:c r="I63" s="31" t="n">
        <x:v>0</x:v>
      </x:c>
      <x:c r="J63" s="31" t="inlineStr">
        <x:is>
          <x:t xml:space="preserve">Оплачен</x:t>
        </x:is>
      </x:c>
      <x:c r="K63" s="31" t="n">
        <x:v>0</x:v>
      </x:c>
      <x:c r="L63" s="31" t="inlineStr">
        <x:is>
          <x:t xml:space="preserve">Нет</x:t>
        </x:is>
      </x:c>
      <x:c r="M63" s="31" t="inlineStr">
        <x:is>
          <x:t xml:space="preserve">СТК-2026-1059</x:t>
        </x:is>
      </x:c>
      <x:c r="N63" s="31" t="inlineStr">
        <x:is>
          <x:t xml:space="preserve">Счет по этапу Финальный платеж</x:t>
        </x:is>
      </x:c>
    </x:row>
    <x:row r="64" ht="18" customHeight="1">
      <x:c r="A64" s="31" t="inlineStr">
        <x:is>
          <x:t xml:space="preserve">СЧ-1060-1</x:t>
        </x:is>
      </x:c>
      <x:c r="B64" s="31" t="inlineStr">
        <x:is>
          <x:t xml:space="preserve">ЗК-1060</x:t>
        </x:is>
      </x:c>
      <x:c r="C64" s="31" t="inlineStr">
        <x:is>
          <x:t xml:space="preserve">КЛ-047</x:t>
        </x:is>
      </x:c>
      <x:c r="D64" s="31" t="inlineStr">
        <x:is>
          <x:t xml:space="preserve">Аванс</x:t>
        </x:is>
      </x:c>
      <x:c r="E64" s="31" t="n">
        <x:v>46201</x:v>
      </x:c>
      <x:c r="F64" s="31" t="n">
        <x:v>46221</x:v>
      </x:c>
      <x:c r="G64" s="31" t="n">
        <x:v>2597673</x:v>
      </x:c>
      <x:c r="H64" s="31" t="n">
        <x:v>0</x:v>
      </x:c>
      <x:c r="I64" s="31" t="n">
        <x:v>2597673</x:v>
      </x:c>
      <x:c r="J64" s="31" t="inlineStr">
        <x:is>
          <x:t xml:space="preserve">Ожидает оплаты</x:t>
        </x:is>
      </x:c>
      <x:c r="K64" s="31" t="n">
        <x:v>0</x:v>
      </x:c>
      <x:c r="L64" s="31" t="inlineStr">
        <x:is>
          <x:t xml:space="preserve">Да</x:t>
        </x:is>
      </x:c>
      <x:c r="M64" s="31" t="inlineStr">
        <x:is>
          <x:t xml:space="preserve">СТК-2026-1060</x:t>
        </x:is>
      </x:c>
      <x:c r="N64" s="31" t="inlineStr">
        <x:is>
          <x:t xml:space="preserve">Счет по этапу Аванс</x:t>
        </x:is>
      </x:c>
    </x:row>
    <x:row r="65" ht="18" customHeight="1">
      <x:c r="A65" s="31" t="inlineStr">
        <x:is>
          <x:t xml:space="preserve">СЧ-1061-1</x:t>
        </x:is>
      </x:c>
      <x:c r="B65" s="31" t="inlineStr">
        <x:is>
          <x:t xml:space="preserve">ЗК-1061</x:t>
        </x:is>
      </x:c>
      <x:c r="C65" s="31" t="inlineStr">
        <x:is>
          <x:t xml:space="preserve">КЛ-006</x:t>
        </x:is>
      </x:c>
      <x:c r="D65" s="31" t="inlineStr">
        <x:is>
          <x:t xml:space="preserve">Аванс</x:t>
        </x:is>
      </x:c>
      <x:c r="E65" s="31" t="n">
        <x:v>46169</x:v>
      </x:c>
      <x:c r="F65" s="31" t="n">
        <x:v>46179</x:v>
      </x:c>
      <x:c r="G65" s="31" t="n">
        <x:v>562264</x:v>
      </x:c>
      <x:c r="H65" s="31" t="n">
        <x:v>0</x:v>
      </x:c>
      <x:c r="I65" s="31" t="n">
        <x:v>562264</x:v>
      </x:c>
      <x:c r="J65" s="31" t="inlineStr">
        <x:is>
          <x:t xml:space="preserve">Просрочен</x:t>
        </x:is>
      </x:c>
      <x:c r="K65" s="31" t="n">
        <x:v>6</x:v>
      </x:c>
      <x:c r="L65" s="31" t="inlineStr">
        <x:is>
          <x:t xml:space="preserve">Нет</x:t>
        </x:is>
      </x:c>
      <x:c r="M65" s="31" t="inlineStr">
        <x:is>
          <x:t xml:space="preserve">СТК-2026-1061</x:t>
        </x:is>
      </x:c>
      <x:c r="N65" s="31" t="inlineStr">
        <x:is>
          <x:t xml:space="preserve">Счет по этапу Аванс</x:t>
        </x:is>
      </x:c>
    </x:row>
    <x:row r="66" ht="18" customHeight="1">
      <x:c r="A66" s="31" t="inlineStr">
        <x:is>
          <x:t xml:space="preserve">СЧ-1061-2</x:t>
        </x:is>
      </x:c>
      <x:c r="B66" s="31" t="inlineStr">
        <x:is>
          <x:t xml:space="preserve">ЗК-1061</x:t>
        </x:is>
      </x:c>
      <x:c r="C66" s="31" t="inlineStr">
        <x:is>
          <x:t xml:space="preserve">КЛ-006</x:t>
        </x:is>
      </x:c>
      <x:c r="D66" s="31" t="inlineStr">
        <x:is>
          <x:t xml:space="preserve">Финальный платеж</x:t>
        </x:is>
      </x:c>
      <x:c r="E66" s="31" t="n">
        <x:v>46175</x:v>
      </x:c>
      <x:c r="F66" s="31" t="n">
        <x:v>46180</x:v>
      </x:c>
      <x:c r="G66" s="31" t="n">
        <x:v>843395</x:v>
      </x:c>
      <x:c r="H66" s="31" t="n">
        <x:v>166989</x:v>
      </x:c>
      <x:c r="I66" s="31" t="n">
        <x:v>676406</x:v>
      </x:c>
      <x:c r="J66" s="31" t="inlineStr">
        <x:is>
          <x:t xml:space="preserve">Просрочен</x:t>
        </x:is>
      </x:c>
      <x:c r="K66" s="31" t="n">
        <x:v>5</x:v>
      </x:c>
      <x:c r="L66" s="31" t="inlineStr">
        <x:is>
          <x:t xml:space="preserve">Нет</x:t>
        </x:is>
      </x:c>
      <x:c r="M66" s="31" t="inlineStr">
        <x:is>
          <x:t xml:space="preserve">СТК-2026-1061</x:t>
        </x:is>
      </x:c>
      <x:c r="N66" s="31" t="inlineStr">
        <x:is>
          <x:t xml:space="preserve">Счет по этапу Финальный платеж</x:t>
        </x:is>
      </x:c>
    </x:row>
    <x:row r="67" ht="18" customHeight="1">
      <x:c r="A67" s="31" t="inlineStr">
        <x:is>
          <x:t xml:space="preserve">СЧ-1062-1</x:t>
        </x:is>
      </x:c>
      <x:c r="B67" s="31" t="inlineStr">
        <x:is>
          <x:t xml:space="preserve">ЗК-1062</x:t>
        </x:is>
      </x:c>
      <x:c r="C67" s="31" t="inlineStr">
        <x:is>
          <x:t xml:space="preserve">КЛ-014</x:t>
        </x:is>
      </x:c>
      <x:c r="D67" s="31" t="inlineStr">
        <x:is>
          <x:t xml:space="preserve">Аванс</x:t>
        </x:is>
      </x:c>
      <x:c r="E67" s="31" t="n">
        <x:v>46117</x:v>
      </x:c>
      <x:c r="F67" s="31" t="n">
        <x:v>46122</x:v>
      </x:c>
      <x:c r="G67" s="31" t="n">
        <x:v>1608298</x:v>
      </x:c>
      <x:c r="H67" s="31" t="n">
        <x:v>0</x:v>
      </x:c>
      <x:c r="I67" s="31" t="n">
        <x:v>1608298</x:v>
      </x:c>
      <x:c r="J67" s="31" t="inlineStr">
        <x:is>
          <x:t xml:space="preserve">Просрочен</x:t>
        </x:is>
      </x:c>
      <x:c r="K67" s="31" t="n">
        <x:v>63</x:v>
      </x:c>
      <x:c r="L67" s="31" t="inlineStr">
        <x:is>
          <x:t xml:space="preserve">Нет</x:t>
        </x:is>
      </x:c>
      <x:c r="M67" s="31" t="inlineStr">
        <x:is>
          <x:t xml:space="preserve">СТК-2026-1062</x:t>
        </x:is>
      </x:c>
      <x:c r="N67" s="31" t="inlineStr">
        <x:is>
          <x:t xml:space="preserve">Счет по этапу Аванс</x:t>
        </x:is>
      </x:c>
    </x:row>
    <x:row r="68" ht="18" customHeight="1">
      <x:c r="A68" s="31" t="inlineStr">
        <x:is>
          <x:t xml:space="preserve">СЧ-1063-1</x:t>
        </x:is>
      </x:c>
      <x:c r="B68" s="31" t="inlineStr">
        <x:is>
          <x:t xml:space="preserve">ЗК-1063</x:t>
        </x:is>
      </x:c>
      <x:c r="C68" s="31" t="inlineStr">
        <x:is>
          <x:t xml:space="preserve">КЛ-012</x:t>
        </x:is>
      </x:c>
      <x:c r="D68" s="31" t="inlineStr">
        <x:is>
          <x:t xml:space="preserve">Аванс</x:t>
        </x:is>
      </x:c>
      <x:c r="E68" s="31" t="n">
        <x:v>46182</x:v>
      </x:c>
      <x:c r="F68" s="31" t="n">
        <x:v>46202</x:v>
      </x:c>
      <x:c r="G68" s="31" t="n">
        <x:v>5509710</x:v>
      </x:c>
      <x:c r="H68" s="31" t="n">
        <x:v>0</x:v>
      </x:c>
      <x:c r="I68" s="31" t="n">
        <x:v>5509710</x:v>
      </x:c>
      <x:c r="J68" s="31" t="inlineStr">
        <x:is>
          <x:t xml:space="preserve">Ожидает оплаты</x:t>
        </x:is>
      </x:c>
      <x:c r="K68" s="31" t="n">
        <x:v>0</x:v>
      </x:c>
      <x:c r="L68" s="31" t="inlineStr">
        <x:is>
          <x:t xml:space="preserve">Нет</x:t>
        </x:is>
      </x:c>
      <x:c r="M68" s="31" t="inlineStr">
        <x:is>
          <x:t xml:space="preserve">СТК-2026-1063</x:t>
        </x:is>
      </x:c>
      <x:c r="N68" s="31" t="inlineStr">
        <x:is>
          <x:t xml:space="preserve">Счет по этапу Аванс</x:t>
        </x:is>
      </x:c>
    </x:row>
    <x:row r="69" ht="18" customHeight="1">
      <x:c r="A69" s="31" t="inlineStr">
        <x:is>
          <x:t xml:space="preserve">СЧ-1063-2</x:t>
        </x:is>
      </x:c>
      <x:c r="B69" s="31" t="inlineStr">
        <x:is>
          <x:t xml:space="preserve">ЗК-1063</x:t>
        </x:is>
      </x:c>
      <x:c r="C69" s="31" t="inlineStr">
        <x:is>
          <x:t xml:space="preserve">КЛ-012</x:t>
        </x:is>
      </x:c>
      <x:c r="D69" s="31" t="inlineStr">
        <x:is>
          <x:t xml:space="preserve">Финальный платеж</x:t>
        </x:is>
      </x:c>
      <x:c r="E69" s="31" t="n">
        <x:v>46194</x:v>
      </x:c>
      <x:c r="F69" s="31" t="n">
        <x:v>46209</x:v>
      </x:c>
      <x:c r="G69" s="31" t="n">
        <x:v>8264564</x:v>
      </x:c>
      <x:c r="H69" s="31" t="n">
        <x:v>2131589</x:v>
      </x:c>
      <x:c r="I69" s="31" t="n">
        <x:v>6132975</x:v>
      </x:c>
      <x:c r="J69" s="31" t="inlineStr">
        <x:is>
          <x:t xml:space="preserve">Частично оплачен</x:t>
        </x:is>
      </x:c>
      <x:c r="K69" s="31" t="n">
        <x:v>0</x:v>
      </x:c>
      <x:c r="L69" s="31" t="inlineStr">
        <x:is>
          <x:t xml:space="preserve">Да</x:t>
        </x:is>
      </x:c>
      <x:c r="M69" s="31" t="inlineStr">
        <x:is>
          <x:t xml:space="preserve">СТК-2026-1063</x:t>
        </x:is>
      </x:c>
      <x:c r="N69" s="31" t="inlineStr">
        <x:is>
          <x:t xml:space="preserve">Счет по этапу Финальный платеж</x:t>
        </x:is>
      </x:c>
    </x:row>
    <x:row r="70" ht="18" customHeight="1">
      <x:c r="A70" s="31" t="inlineStr">
        <x:is>
          <x:t xml:space="preserve">СЧ-1064-1</x:t>
        </x:is>
      </x:c>
      <x:c r="B70" s="31" t="inlineStr">
        <x:is>
          <x:t xml:space="preserve">ЗК-1064</x:t>
        </x:is>
      </x:c>
      <x:c r="C70" s="31" t="inlineStr">
        <x:is>
          <x:t xml:space="preserve">КЛ-006</x:t>
        </x:is>
      </x:c>
      <x:c r="D70" s="31" t="inlineStr">
        <x:is>
          <x:t xml:space="preserve">Аванс</x:t>
        </x:is>
      </x:c>
      <x:c r="E70" s="31" t="n">
        <x:v>46056</x:v>
      </x:c>
      <x:c r="F70" s="31" t="n">
        <x:v>46071</x:v>
      </x:c>
      <x:c r="G70" s="31" t="n">
        <x:v>974042</x:v>
      </x:c>
      <x:c r="H70" s="31" t="n">
        <x:v>0</x:v>
      </x:c>
      <x:c r="I70" s="31" t="n">
        <x:v>974042</x:v>
      </x:c>
      <x:c r="J70" s="31" t="inlineStr">
        <x:is>
          <x:t xml:space="preserve">Просрочен</x:t>
        </x:is>
      </x:c>
      <x:c r="K70" s="31" t="n">
        <x:v>114</x:v>
      </x:c>
      <x:c r="L70" s="31" t="inlineStr">
        <x:is>
          <x:t xml:space="preserve">Нет</x:t>
        </x:is>
      </x:c>
      <x:c r="M70" s="31" t="inlineStr">
        <x:is>
          <x:t xml:space="preserve">СТК-2026-1064</x:t>
        </x:is>
      </x:c>
      <x:c r="N70" s="31" t="inlineStr">
        <x:is>
          <x:t xml:space="preserve">Счет по этапу Аванс</x:t>
        </x:is>
      </x:c>
    </x:row>
    <x:row r="71" ht="18" customHeight="1">
      <x:c r="A71" s="31" t="inlineStr">
        <x:is>
          <x:t xml:space="preserve">СЧ-1065-1</x:t>
        </x:is>
      </x:c>
      <x:c r="B71" s="31" t="inlineStr">
        <x:is>
          <x:t xml:space="preserve">ЗК-1065</x:t>
        </x:is>
      </x:c>
      <x:c r="C71" s="31" t="inlineStr">
        <x:is>
          <x:t xml:space="preserve">КЛ-049</x:t>
        </x:is>
      </x:c>
      <x:c r="D71" s="31" t="inlineStr">
        <x:is>
          <x:t xml:space="preserve">Аванс</x:t>
        </x:is>
      </x:c>
      <x:c r="E71" s="31" t="n">
        <x:v>46136</x:v>
      </x:c>
      <x:c r="F71" s="31" t="n">
        <x:v>46151</x:v>
      </x:c>
      <x:c r="G71" s="31" t="n">
        <x:v>8431125</x:v>
      </x:c>
      <x:c r="H71" s="31" t="n">
        <x:v>2377266</x:v>
      </x:c>
      <x:c r="I71" s="31" t="n">
        <x:v>6053859</x:v>
      </x:c>
      <x:c r="J71" s="31" t="inlineStr">
        <x:is>
          <x:t xml:space="preserve">Просрочен</x:t>
        </x:is>
      </x:c>
      <x:c r="K71" s="31" t="n">
        <x:v>34</x:v>
      </x:c>
      <x:c r="L71" s="31" t="inlineStr">
        <x:is>
          <x:t xml:space="preserve">Нет</x:t>
        </x:is>
      </x:c>
      <x:c r="M71" s="31" t="inlineStr">
        <x:is>
          <x:t xml:space="preserve">СТК-2026-1065</x:t>
        </x:is>
      </x:c>
      <x:c r="N71" s="31" t="inlineStr">
        <x:is>
          <x:t xml:space="preserve">Счет по этапу Аванс</x:t>
        </x:is>
      </x:c>
    </x:row>
    <x:row r="72" ht="18" customHeight="1">
      <x:c r="A72" s="31" t="inlineStr">
        <x:is>
          <x:t xml:space="preserve">СЧ-1066-1</x:t>
        </x:is>
      </x:c>
      <x:c r="B72" s="31" t="inlineStr">
        <x:is>
          <x:t xml:space="preserve">ЗК-1066</x:t>
        </x:is>
      </x:c>
      <x:c r="C72" s="31" t="inlineStr">
        <x:is>
          <x:t xml:space="preserve">КЛ-025</x:t>
        </x:is>
      </x:c>
      <x:c r="D72" s="31" t="inlineStr">
        <x:is>
          <x:t xml:space="preserve">Аванс</x:t>
        </x:is>
      </x:c>
      <x:c r="E72" s="31" t="n">
        <x:v>46130</x:v>
      </x:c>
      <x:c r="F72" s="31" t="n">
        <x:v>46145</x:v>
      </x:c>
      <x:c r="G72" s="31" t="n">
        <x:v>2437496</x:v>
      </x:c>
      <x:c r="H72" s="31" t="n">
        <x:v>2437496</x:v>
      </x:c>
      <x:c r="I72" s="31" t="n">
        <x:v>0</x:v>
      </x:c>
      <x:c r="J72" s="31" t="inlineStr">
        <x:is>
          <x:t xml:space="preserve">Оплачен</x:t>
        </x:is>
      </x:c>
      <x:c r="K72" s="31" t="n">
        <x:v>0</x:v>
      </x:c>
      <x:c r="L72" s="31" t="inlineStr">
        <x:is>
          <x:t xml:space="preserve">Нет</x:t>
        </x:is>
      </x:c>
      <x:c r="M72" s="31" t="inlineStr">
        <x:is>
          <x:t xml:space="preserve">СТК-2026-1066</x:t>
        </x:is>
      </x:c>
      <x:c r="N72" s="31" t="inlineStr">
        <x:is>
          <x:t xml:space="preserve">Счет по этапу Аванс</x:t>
        </x:is>
      </x:c>
    </x:row>
    <x:row r="73" ht="18" customHeight="1">
      <x:c r="A73" s="31" t="inlineStr">
        <x:is>
          <x:t xml:space="preserve">СЧ-1066-2</x:t>
        </x:is>
      </x:c>
      <x:c r="B73" s="31" t="inlineStr">
        <x:is>
          <x:t xml:space="preserve">ЗК-1066</x:t>
        </x:is>
      </x:c>
      <x:c r="C73" s="31" t="inlineStr">
        <x:is>
          <x:t xml:space="preserve">КЛ-025</x:t>
        </x:is>
      </x:c>
      <x:c r="D73" s="31" t="inlineStr">
        <x:is>
          <x:t xml:space="preserve">Финальный платеж</x:t>
        </x:is>
      </x:c>
      <x:c r="E73" s="31" t="n">
        <x:v>46130</x:v>
      </x:c>
      <x:c r="F73" s="31" t="n">
        <x:v>46145</x:v>
      </x:c>
      <x:c r="G73" s="31" t="n">
        <x:v>2437496</x:v>
      </x:c>
      <x:c r="H73" s="31" t="n">
        <x:v>2437496</x:v>
      </x:c>
      <x:c r="I73" s="31" t="n">
        <x:v>0</x:v>
      </x:c>
      <x:c r="J73" s="31" t="inlineStr">
        <x:is>
          <x:t xml:space="preserve">Оплачен</x:t>
        </x:is>
      </x:c>
      <x:c r="K73" s="31" t="n">
        <x:v>0</x:v>
      </x:c>
      <x:c r="L73" s="31" t="inlineStr">
        <x:is>
          <x:t xml:space="preserve">Нет</x:t>
        </x:is>
      </x:c>
      <x:c r="M73" s="31" t="inlineStr">
        <x:is>
          <x:t xml:space="preserve">СТК-2026-1066</x:t>
        </x:is>
      </x:c>
      <x:c r="N73" s="31" t="inlineStr">
        <x:is>
          <x:t xml:space="preserve">Счет по этапу Финальный платеж</x:t>
        </x:is>
      </x:c>
    </x:row>
    <x:row r="74" ht="18" customHeight="1">
      <x:c r="A74" s="31" t="inlineStr">
        <x:is>
          <x:t xml:space="preserve">СЧ-1067-1</x:t>
        </x:is>
      </x:c>
      <x:c r="B74" s="31" t="inlineStr">
        <x:is>
          <x:t xml:space="preserve">ЗК-1067</x:t>
        </x:is>
      </x:c>
      <x:c r="C74" s="31" t="inlineStr">
        <x:is>
          <x:t xml:space="preserve">КЛ-004</x:t>
        </x:is>
      </x:c>
      <x:c r="D74" s="31" t="inlineStr">
        <x:is>
          <x:t xml:space="preserve">Аванс</x:t>
        </x:is>
      </x:c>
      <x:c r="E74" s="31" t="n">
        <x:v>46165</x:v>
      </x:c>
      <x:c r="F74" s="31" t="n">
        <x:v>46185</x:v>
      </x:c>
      <x:c r="G74" s="31" t="n">
        <x:v>3237801</x:v>
      </x:c>
      <x:c r="H74" s="31" t="n">
        <x:v>1241904</x:v>
      </x:c>
      <x:c r="I74" s="31" t="n">
        <x:v>1995897</x:v>
      </x:c>
      <x:c r="J74" s="31" t="inlineStr">
        <x:is>
          <x:t xml:space="preserve">Частично оплачен</x:t>
        </x:is>
      </x:c>
      <x:c r="K74" s="31" t="n">
        <x:v>0</x:v>
      </x:c>
      <x:c r="L74" s="31" t="inlineStr">
        <x:is>
          <x:t xml:space="preserve">Нет</x:t>
        </x:is>
      </x:c>
      <x:c r="M74" s="31" t="inlineStr">
        <x:is>
          <x:t xml:space="preserve">СТК-2026-1067</x:t>
        </x:is>
      </x:c>
      <x:c r="N74" s="31" t="inlineStr">
        <x:is>
          <x:t xml:space="preserve">Счет по этапу Аванс</x:t>
        </x:is>
      </x:c>
    </x:row>
    <x:row r="75" ht="18" customHeight="1">
      <x:c r="A75" s="31" t="inlineStr">
        <x:is>
          <x:t xml:space="preserve">СЧ-1068-1</x:t>
        </x:is>
      </x:c>
      <x:c r="B75" s="31" t="inlineStr">
        <x:is>
          <x:t xml:space="preserve">ЗК-1068</x:t>
        </x:is>
      </x:c>
      <x:c r="C75" s="31" t="inlineStr">
        <x:is>
          <x:t xml:space="preserve">КЛ-005</x:t>
        </x:is>
      </x:c>
      <x:c r="D75" s="31" t="inlineStr">
        <x:is>
          <x:t xml:space="preserve">Аванс</x:t>
        </x:is>
      </x:c>
      <x:c r="E75" s="31" t="n">
        <x:v>46063</x:v>
      </x:c>
      <x:c r="F75" s="31" t="n">
        <x:v>46083</x:v>
      </x:c>
      <x:c r="G75" s="31" t="n">
        <x:v>1008565</x:v>
      </x:c>
      <x:c r="H75" s="31" t="n">
        <x:v>381198</x:v>
      </x:c>
      <x:c r="I75" s="31" t="n">
        <x:v>627367</x:v>
      </x:c>
      <x:c r="J75" s="31" t="inlineStr">
        <x:is>
          <x:t xml:space="preserve">Просрочен</x:t>
        </x:is>
      </x:c>
      <x:c r="K75" s="31" t="n">
        <x:v>102</x:v>
      </x:c>
      <x:c r="L75" s="31" t="inlineStr">
        <x:is>
          <x:t xml:space="preserve">Нет</x:t>
        </x:is>
      </x:c>
      <x:c r="M75" s="31" t="inlineStr">
        <x:is>
          <x:t xml:space="preserve">СТК-2026-1068</x:t>
        </x:is>
      </x:c>
      <x:c r="N75" s="31" t="inlineStr">
        <x:is>
          <x:t xml:space="preserve">Счет по этапу Аванс</x:t>
        </x:is>
      </x:c>
    </x:row>
    <x:row r="76" ht="18" customHeight="1">
      <x:c r="A76" s="31" t="inlineStr">
        <x:is>
          <x:t xml:space="preserve">СЧ-1069-1</x:t>
        </x:is>
      </x:c>
      <x:c r="B76" s="31" t="inlineStr">
        <x:is>
          <x:t xml:space="preserve">ЗК-1069</x:t>
        </x:is>
      </x:c>
      <x:c r="C76" s="31" t="inlineStr">
        <x:is>
          <x:t xml:space="preserve">КЛ-027</x:t>
        </x:is>
      </x:c>
      <x:c r="D76" s="31" t="inlineStr">
        <x:is>
          <x:t xml:space="preserve">Аванс</x:t>
        </x:is>
      </x:c>
      <x:c r="E76" s="31" t="n">
        <x:v>46199</x:v>
      </x:c>
      <x:c r="F76" s="31" t="n">
        <x:v>46219</x:v>
      </x:c>
      <x:c r="G76" s="31" t="n">
        <x:v>1034525</x:v>
      </x:c>
      <x:c r="H76" s="31" t="n">
        <x:v>1034525</x:v>
      </x:c>
      <x:c r="I76" s="31" t="n">
        <x:v>0</x:v>
      </x:c>
      <x:c r="J76" s="31" t="inlineStr">
        <x:is>
          <x:t xml:space="preserve">Оплачен</x:t>
        </x:is>
      </x:c>
      <x:c r="K76" s="31" t="n">
        <x:v>0</x:v>
      </x:c>
      <x:c r="L76" s="31" t="inlineStr">
        <x:is>
          <x:t xml:space="preserve">Да</x:t>
        </x:is>
      </x:c>
      <x:c r="M76" s="31" t="inlineStr">
        <x:is>
          <x:t xml:space="preserve">СТК-2026-1069</x:t>
        </x:is>
      </x:c>
      <x:c r="N76" s="31" t="inlineStr">
        <x:is>
          <x:t xml:space="preserve">Счет по этапу Аванс</x:t>
        </x:is>
      </x:c>
    </x:row>
    <x:row r="77" ht="18" customHeight="1">
      <x:c r="A77" s="31" t="inlineStr">
        <x:is>
          <x:t xml:space="preserve">СЧ-1071-1</x:t>
        </x:is>
      </x:c>
      <x:c r="B77" s="31" t="inlineStr">
        <x:is>
          <x:t xml:space="preserve">ЗК-1071</x:t>
        </x:is>
      </x:c>
      <x:c r="C77" s="31" t="inlineStr">
        <x:is>
          <x:t xml:space="preserve">КЛ-027</x:t>
        </x:is>
      </x:c>
      <x:c r="D77" s="31" t="inlineStr">
        <x:is>
          <x:t xml:space="preserve">Аванс</x:t>
        </x:is>
      </x:c>
      <x:c r="E77" s="31" t="n">
        <x:v>46194</x:v>
      </x:c>
      <x:c r="F77" s="31" t="n">
        <x:v>46209</x:v>
      </x:c>
      <x:c r="G77" s="31" t="n">
        <x:v>4910858</x:v>
      </x:c>
      <x:c r="H77" s="31" t="n">
        <x:v>2878148</x:v>
      </x:c>
      <x:c r="I77" s="31" t="n">
        <x:v>2032710</x:v>
      </x:c>
      <x:c r="J77" s="31" t="inlineStr">
        <x:is>
          <x:t xml:space="preserve">Частично оплачен</x:t>
        </x:is>
      </x:c>
      <x:c r="K77" s="31" t="n">
        <x:v>0</x:v>
      </x:c>
      <x:c r="L77" s="31" t="inlineStr">
        <x:is>
          <x:t xml:space="preserve">Нет</x:t>
        </x:is>
      </x:c>
      <x:c r="M77" s="31" t="inlineStr">
        <x:is>
          <x:t xml:space="preserve">СТК-2026-1071</x:t>
        </x:is>
      </x:c>
      <x:c r="N77" s="31" t="inlineStr">
        <x:is>
          <x:t xml:space="preserve">Счет по этапу Аванс</x:t>
        </x:is>
      </x:c>
    </x:row>
    <x:row r="78" ht="18" customHeight="1">
      <x:c r="A78" s="31" t="inlineStr">
        <x:is>
          <x:t xml:space="preserve">СЧ-1072-1</x:t>
        </x:is>
      </x:c>
      <x:c r="B78" s="31" t="inlineStr">
        <x:is>
          <x:t xml:space="preserve">ЗК-1072</x:t>
        </x:is>
      </x:c>
      <x:c r="C78" s="31" t="inlineStr">
        <x:is>
          <x:t xml:space="preserve">КЛ-040</x:t>
        </x:is>
      </x:c>
      <x:c r="D78" s="31" t="inlineStr">
        <x:is>
          <x:t xml:space="preserve">Аванс</x:t>
        </x:is>
      </x:c>
      <x:c r="E78" s="31" t="n">
        <x:v>46069</x:v>
      </x:c>
      <x:c r="F78" s="31" t="n">
        <x:v>46084</x:v>
      </x:c>
      <x:c r="G78" s="31" t="n">
        <x:v>764404</x:v>
      </x:c>
      <x:c r="H78" s="31" t="n">
        <x:v>0</x:v>
      </x:c>
      <x:c r="I78" s="31" t="n">
        <x:v>764404</x:v>
      </x:c>
      <x:c r="J78" s="31" t="inlineStr">
        <x:is>
          <x:t xml:space="preserve">Просрочен</x:t>
        </x:is>
      </x:c>
      <x:c r="K78" s="31" t="n">
        <x:v>101</x:v>
      </x:c>
      <x:c r="L78" s="31" t="inlineStr">
        <x:is>
          <x:t xml:space="preserve">Нет</x:t>
        </x:is>
      </x:c>
      <x:c r="M78" s="31" t="inlineStr">
        <x:is>
          <x:t xml:space="preserve">СТК-2026-1072</x:t>
        </x:is>
      </x:c>
      <x:c r="N78" s="31" t="inlineStr">
        <x:is>
          <x:t xml:space="preserve">Счет по этапу Аванс</x:t>
        </x:is>
      </x:c>
    </x:row>
    <x:row r="79" ht="18" customHeight="1">
      <x:c r="A79" s="31" t="inlineStr">
        <x:is>
          <x:t xml:space="preserve">СЧ-1073-1</x:t>
        </x:is>
      </x:c>
      <x:c r="B79" s="31" t="inlineStr">
        <x:is>
          <x:t xml:space="preserve">ЗК-1073</x:t>
        </x:is>
      </x:c>
      <x:c r="C79" s="31" t="inlineStr">
        <x:is>
          <x:t xml:space="preserve">КЛ-046</x:t>
        </x:is>
      </x:c>
      <x:c r="D79" s="31" t="inlineStr">
        <x:is>
          <x:t xml:space="preserve">Аванс</x:t>
        </x:is>
      </x:c>
      <x:c r="E79" s="31" t="n">
        <x:v>46169</x:v>
      </x:c>
      <x:c r="F79" s="31" t="n">
        <x:v>46174</x:v>
      </x:c>
      <x:c r="G79" s="31" t="n">
        <x:v>4524444</x:v>
      </x:c>
      <x:c r="H79" s="31" t="n">
        <x:v>0</x:v>
      </x:c>
      <x:c r="I79" s="31" t="n">
        <x:v>4524444</x:v>
      </x:c>
      <x:c r="J79" s="31" t="inlineStr">
        <x:is>
          <x:t xml:space="preserve">Просрочен</x:t>
        </x:is>
      </x:c>
      <x:c r="K79" s="31" t="n">
        <x:v>11</x:v>
      </x:c>
      <x:c r="L79" s="31" t="inlineStr">
        <x:is>
          <x:t xml:space="preserve">Да</x:t>
        </x:is>
      </x:c>
      <x:c r="M79" s="31" t="inlineStr">
        <x:is>
          <x:t xml:space="preserve">СТК-2026-1073</x:t>
        </x:is>
      </x:c>
      <x:c r="N79" s="31" t="inlineStr">
        <x:is>
          <x:t xml:space="preserve">Счет по этапу Аванс</x:t>
        </x:is>
      </x:c>
    </x:row>
    <x:row r="80" ht="18" customHeight="1">
      <x:c r="A80" s="31" t="inlineStr">
        <x:is>
          <x:t xml:space="preserve">СЧ-1074-1</x:t>
        </x:is>
      </x:c>
      <x:c r="B80" s="31" t="inlineStr">
        <x:is>
          <x:t xml:space="preserve">ЗК-1074</x:t>
        </x:is>
      </x:c>
      <x:c r="C80" s="31" t="inlineStr">
        <x:is>
          <x:t xml:space="preserve">КЛ-049</x:t>
        </x:is>
      </x:c>
      <x:c r="D80" s="31" t="inlineStr">
        <x:is>
          <x:t xml:space="preserve">Аванс</x:t>
        </x:is>
      </x:c>
      <x:c r="E80" s="31" t="n">
        <x:v>46210</x:v>
      </x:c>
      <x:c r="F80" s="31" t="n">
        <x:v>46240</x:v>
      </x:c>
      <x:c r="G80" s="31" t="n">
        <x:v>2306307</x:v>
      </x:c>
      <x:c r="H80" s="31" t="n">
        <x:v>520747</x:v>
      </x:c>
      <x:c r="I80" s="31" t="n">
        <x:v>1785560</x:v>
      </x:c>
      <x:c r="J80" s="31" t="inlineStr">
        <x:is>
          <x:t xml:space="preserve">Частично оплачен</x:t>
        </x:is>
      </x:c>
      <x:c r="K80" s="31" t="n">
        <x:v>0</x:v>
      </x:c>
      <x:c r="L80" s="31" t="inlineStr">
        <x:is>
          <x:t xml:space="preserve">Нет</x:t>
        </x:is>
      </x:c>
      <x:c r="M80" s="31" t="inlineStr">
        <x:is>
          <x:t xml:space="preserve">СТК-2026-1074</x:t>
        </x:is>
      </x:c>
      <x:c r="N80" s="31" t="inlineStr">
        <x:is>
          <x:t xml:space="preserve">Счет по этапу Аванс</x:t>
        </x:is>
      </x:c>
    </x:row>
    <x:row r="81" ht="18" customHeight="1">
      <x:c r="A81" s="31" t="inlineStr">
        <x:is>
          <x:t xml:space="preserve">СЧ-1074-2</x:t>
        </x:is>
      </x:c>
      <x:c r="B81" s="31" t="inlineStr">
        <x:is>
          <x:t xml:space="preserve">ЗК-1074</x:t>
        </x:is>
      </x:c>
      <x:c r="C81" s="31" t="inlineStr">
        <x:is>
          <x:t xml:space="preserve">КЛ-049</x:t>
        </x:is>
      </x:c>
      <x:c r="D81" s="31" t="inlineStr">
        <x:is>
          <x:t xml:space="preserve">Финальный платеж</x:t>
        </x:is>
      </x:c>
      <x:c r="E81" s="31" t="n">
        <x:v>46214</x:v>
      </x:c>
      <x:c r="F81" s="31" t="n">
        <x:v>46219</x:v>
      </x:c>
      <x:c r="G81" s="31" t="n">
        <x:v>9225227</x:v>
      </x:c>
      <x:c r="H81" s="31" t="n">
        <x:v>0</x:v>
      </x:c>
      <x:c r="I81" s="31" t="n">
        <x:v>9225227</x:v>
      </x:c>
      <x:c r="J81" s="31" t="inlineStr">
        <x:is>
          <x:t xml:space="preserve">Ожидает оплаты</x:t>
        </x:is>
      </x:c>
      <x:c r="K81" s="31" t="n">
        <x:v>0</x:v>
      </x:c>
      <x:c r="L81" s="31" t="inlineStr">
        <x:is>
          <x:t xml:space="preserve">Нет</x:t>
        </x:is>
      </x:c>
      <x:c r="M81" s="31" t="inlineStr">
        <x:is>
          <x:t xml:space="preserve">СТК-2026-1074</x:t>
        </x:is>
      </x:c>
      <x:c r="N81" s="31" t="inlineStr">
        <x:is>
          <x:t xml:space="preserve">Счет по этапу Финальный платеж</x:t>
        </x:is>
      </x:c>
    </x:row>
    <x:row r="82" ht="18" customHeight="1">
      <x:c r="A82" s="31" t="inlineStr">
        <x:is>
          <x:t xml:space="preserve">СЧ-1075-1</x:t>
        </x:is>
      </x:c>
      <x:c r="B82" s="31" t="inlineStr">
        <x:is>
          <x:t xml:space="preserve">ЗК-1075</x:t>
        </x:is>
      </x:c>
      <x:c r="C82" s="31" t="inlineStr">
        <x:is>
          <x:t xml:space="preserve">КЛ-040</x:t>
        </x:is>
      </x:c>
      <x:c r="D82" s="31" t="inlineStr">
        <x:is>
          <x:t xml:space="preserve">Аванс</x:t>
        </x:is>
      </x:c>
      <x:c r="E82" s="31" t="n">
        <x:v>46171</x:v>
      </x:c>
      <x:c r="F82" s="31" t="n">
        <x:v>46181</x:v>
      </x:c>
      <x:c r="G82" s="31" t="n">
        <x:v>566686</x:v>
      </x:c>
      <x:c r="H82" s="31" t="n">
        <x:v>566686</x:v>
      </x:c>
      <x:c r="I82" s="31" t="n">
        <x:v>0</x:v>
      </x:c>
      <x:c r="J82" s="31" t="inlineStr">
        <x:is>
          <x:t xml:space="preserve">Оплачен</x:t>
        </x:is>
      </x:c>
      <x:c r="K82" s="31" t="n">
        <x:v>0</x:v>
      </x:c>
      <x:c r="L82" s="31" t="inlineStr">
        <x:is>
          <x:t xml:space="preserve">Да</x:t>
        </x:is>
      </x:c>
      <x:c r="M82" s="31" t="inlineStr">
        <x:is>
          <x:t xml:space="preserve">СТК-2026-1075</x:t>
        </x:is>
      </x:c>
      <x:c r="N82" s="31" t="inlineStr">
        <x:is>
          <x:t xml:space="preserve">Счет по этапу Аванс</x:t>
        </x:is>
      </x:c>
    </x:row>
    <x:row r="83" ht="18" customHeight="1">
      <x:c r="A83" s="31" t="inlineStr">
        <x:is>
          <x:t xml:space="preserve">СЧ-1075-2</x:t>
        </x:is>
      </x:c>
      <x:c r="B83" s="31" t="inlineStr">
        <x:is>
          <x:t xml:space="preserve">ЗК-1075</x:t>
        </x:is>
      </x:c>
      <x:c r="C83" s="31" t="inlineStr">
        <x:is>
          <x:t xml:space="preserve">КЛ-040</x:t>
        </x:is>
      </x:c>
      <x:c r="D83" s="31" t="inlineStr">
        <x:is>
          <x:t xml:space="preserve">Финальный платеж</x:t>
        </x:is>
      </x:c>
      <x:c r="E83" s="31" t="n">
        <x:v>46183</x:v>
      </x:c>
      <x:c r="F83" s="31" t="n">
        <x:v>46213</x:v>
      </x:c>
      <x:c r="G83" s="31" t="n">
        <x:v>566686</x:v>
      </x:c>
      <x:c r="H83" s="31" t="n">
        <x:v>566686</x:v>
      </x:c>
      <x:c r="I83" s="31" t="n">
        <x:v>0</x:v>
      </x:c>
      <x:c r="J83" s="31" t="inlineStr">
        <x:is>
          <x:t xml:space="preserve">Оплачен</x:t>
        </x:is>
      </x:c>
      <x:c r="K83" s="31" t="n">
        <x:v>0</x:v>
      </x:c>
      <x:c r="L83" s="31" t="inlineStr">
        <x:is>
          <x:t xml:space="preserve">Нет</x:t>
        </x:is>
      </x:c>
      <x:c r="M83" s="31" t="inlineStr">
        <x:is>
          <x:t xml:space="preserve">СТК-2026-1075</x:t>
        </x:is>
      </x:c>
      <x:c r="N83" s="31" t="inlineStr">
        <x:is>
          <x:t xml:space="preserve">Счет по этапу Финальный платеж</x:t>
        </x:is>
      </x:c>
    </x:row>
    <x:row r="84" ht="18" customHeight="1">
      <x:c r="A84" s="31" t="inlineStr">
        <x:is>
          <x:t xml:space="preserve">СЧ-1076-1</x:t>
        </x:is>
      </x:c>
      <x:c r="B84" s="31" t="inlineStr">
        <x:is>
          <x:t xml:space="preserve">ЗК-1076</x:t>
        </x:is>
      </x:c>
      <x:c r="C84" s="31" t="inlineStr">
        <x:is>
          <x:t xml:space="preserve">КЛ-030</x:t>
        </x:is>
      </x:c>
      <x:c r="D84" s="31" t="inlineStr">
        <x:is>
          <x:t xml:space="preserve">Аванс</x:t>
        </x:is>
      </x:c>
      <x:c r="E84" s="31" t="n">
        <x:v>46171</x:v>
      </x:c>
      <x:c r="F84" s="31" t="n">
        <x:v>46201</x:v>
      </x:c>
      <x:c r="G84" s="31" t="n">
        <x:v>7929152</x:v>
      </x:c>
      <x:c r="H84" s="31" t="n">
        <x:v>3284656</x:v>
      </x:c>
      <x:c r="I84" s="31" t="n">
        <x:v>4644496</x:v>
      </x:c>
      <x:c r="J84" s="31" t="inlineStr">
        <x:is>
          <x:t xml:space="preserve">Частично оплачен</x:t>
        </x:is>
      </x:c>
      <x:c r="K84" s="31" t="n">
        <x:v>0</x:v>
      </x:c>
      <x:c r="L84" s="31" t="inlineStr">
        <x:is>
          <x:t xml:space="preserve">Нет</x:t>
        </x:is>
      </x:c>
      <x:c r="M84" s="31" t="inlineStr">
        <x:is>
          <x:t xml:space="preserve">СТК-2026-1076</x:t>
        </x:is>
      </x:c>
      <x:c r="N84" s="31" t="inlineStr">
        <x:is>
          <x:t xml:space="preserve">Счет по этапу Аванс</x:t>
        </x:is>
      </x:c>
    </x:row>
    <x:row r="85" ht="18" customHeight="1">
      <x:c r="A85" s="31" t="inlineStr">
        <x:is>
          <x:t xml:space="preserve">СЧ-1078-1</x:t>
        </x:is>
      </x:c>
      <x:c r="B85" s="31" t="inlineStr">
        <x:is>
          <x:t xml:space="preserve">ЗК-1078</x:t>
        </x:is>
      </x:c>
      <x:c r="C85" s="31" t="inlineStr">
        <x:is>
          <x:t xml:space="preserve">КЛ-044</x:t>
        </x:is>
      </x:c>
      <x:c r="D85" s="31" t="inlineStr">
        <x:is>
          <x:t xml:space="preserve">Аванс</x:t>
        </x:is>
      </x:c>
      <x:c r="E85" s="31" t="n">
        <x:v>46122</x:v>
      </x:c>
      <x:c r="F85" s="31" t="n">
        <x:v>46137</x:v>
      </x:c>
      <x:c r="G85" s="31" t="n">
        <x:v>8625414</x:v>
      </x:c>
      <x:c r="H85" s="31" t="n">
        <x:v>3405457</x:v>
      </x:c>
      <x:c r="I85" s="31" t="n">
        <x:v>5219957</x:v>
      </x:c>
      <x:c r="J85" s="31" t="inlineStr">
        <x:is>
          <x:t xml:space="preserve">Просрочен</x:t>
        </x:is>
      </x:c>
      <x:c r="K85" s="31" t="n">
        <x:v>48</x:v>
      </x:c>
      <x:c r="L85" s="31" t="inlineStr">
        <x:is>
          <x:t xml:space="preserve">Нет</x:t>
        </x:is>
      </x:c>
      <x:c r="M85" s="31" t="inlineStr">
        <x:is>
          <x:t xml:space="preserve">СТК-2026-1078</x:t>
        </x:is>
      </x:c>
      <x:c r="N85" s="31" t="inlineStr">
        <x:is>
          <x:t xml:space="preserve">Счет по этапу Аванс</x:t>
        </x:is>
      </x:c>
    </x:row>
    <x:row r="86" ht="18" customHeight="1">
      <x:c r="A86" s="31" t="inlineStr">
        <x:is>
          <x:t xml:space="preserve">СЧ-1079-1</x:t>
        </x:is>
      </x:c>
      <x:c r="B86" s="31" t="inlineStr">
        <x:is>
          <x:t xml:space="preserve">ЗК-1079</x:t>
        </x:is>
      </x:c>
      <x:c r="C86" s="31" t="inlineStr">
        <x:is>
          <x:t xml:space="preserve">КЛ-015</x:t>
        </x:is>
      </x:c>
      <x:c r="D86" s="31" t="inlineStr">
        <x:is>
          <x:t xml:space="preserve">Аванс</x:t>
        </x:is>
      </x:c>
      <x:c r="E86" s="31" t="n">
        <x:v>46126</x:v>
      </x:c>
      <x:c r="F86" s="31" t="n">
        <x:v>46146</x:v>
      </x:c>
      <x:c r="G86" s="31" t="n">
        <x:v>3134820</x:v>
      </x:c>
      <x:c r="H86" s="31" t="n">
        <x:v>3134820</x:v>
      </x:c>
      <x:c r="I86" s="31" t="n">
        <x:v>0</x:v>
      </x:c>
      <x:c r="J86" s="31" t="inlineStr">
        <x:is>
          <x:t xml:space="preserve">Оплачен</x:t>
        </x:is>
      </x:c>
      <x:c r="K86" s="31" t="n">
        <x:v>0</x:v>
      </x:c>
      <x:c r="L86" s="31" t="inlineStr">
        <x:is>
          <x:t xml:space="preserve">Нет</x:t>
        </x:is>
      </x:c>
      <x:c r="M86" s="31" t="inlineStr">
        <x:is>
          <x:t xml:space="preserve">СТК-2026-1079</x:t>
        </x:is>
      </x:c>
      <x:c r="N86" s="31" t="inlineStr">
        <x:is>
          <x:t xml:space="preserve">Счет по этапу Аванс</x:t>
        </x:is>
      </x:c>
    </x:row>
    <x:row r="87" ht="18" customHeight="1">
      <x:c r="A87" s="31" t="inlineStr">
        <x:is>
          <x:t xml:space="preserve">СЧ-1079-2</x:t>
        </x:is>
      </x:c>
      <x:c r="B87" s="31" t="inlineStr">
        <x:is>
          <x:t xml:space="preserve">ЗК-1079</x:t>
        </x:is>
      </x:c>
      <x:c r="C87" s="31" t="inlineStr">
        <x:is>
          <x:t xml:space="preserve">КЛ-015</x:t>
        </x:is>
      </x:c>
      <x:c r="D87" s="31" t="inlineStr">
        <x:is>
          <x:t xml:space="preserve">Финальный платеж</x:t>
        </x:is>
      </x:c>
      <x:c r="E87" s="31" t="n">
        <x:v>46135</x:v>
      </x:c>
      <x:c r="F87" s="31" t="n">
        <x:v>46165</x:v>
      </x:c>
      <x:c r="G87" s="31" t="n">
        <x:v>4702231</x:v>
      </x:c>
      <x:c r="H87" s="31" t="n">
        <x:v>4702231</x:v>
      </x:c>
      <x:c r="I87" s="31" t="n">
        <x:v>0</x:v>
      </x:c>
      <x:c r="J87" s="31" t="inlineStr">
        <x:is>
          <x:t xml:space="preserve">Оплачен</x:t>
        </x:is>
      </x:c>
      <x:c r="K87" s="31" t="n">
        <x:v>0</x:v>
      </x:c>
      <x:c r="L87" s="31" t="inlineStr">
        <x:is>
          <x:t xml:space="preserve">Да</x:t>
        </x:is>
      </x:c>
      <x:c r="M87" s="31" t="inlineStr">
        <x:is>
          <x:t xml:space="preserve">СТК-2026-1079</x:t>
        </x:is>
      </x:c>
      <x:c r="N87" s="31" t="inlineStr">
        <x:is>
          <x:t xml:space="preserve">Счет по этапу Финальный платеж</x:t>
        </x:is>
      </x:c>
    </x:row>
    <x:row r="88" ht="18" customHeight="1">
      <x:c r="A88" s="31" t="inlineStr">
        <x:is>
          <x:t xml:space="preserve">СЧ-1081-1</x:t>
        </x:is>
      </x:c>
      <x:c r="B88" s="31" t="inlineStr">
        <x:is>
          <x:t xml:space="preserve">ЗК-1081</x:t>
        </x:is>
      </x:c>
      <x:c r="C88" s="31" t="inlineStr">
        <x:is>
          <x:t xml:space="preserve">КЛ-048</x:t>
        </x:is>
      </x:c>
      <x:c r="D88" s="31" t="inlineStr">
        <x:is>
          <x:t xml:space="preserve">Аванс</x:t>
        </x:is>
      </x:c>
      <x:c r="E88" s="31" t="n">
        <x:v>46171</x:v>
      </x:c>
      <x:c r="F88" s="31" t="n">
        <x:v>46201</x:v>
      </x:c>
      <x:c r="G88" s="31" t="n">
        <x:v>1487147</x:v>
      </x:c>
      <x:c r="H88" s="31" t="n">
        <x:v>35291</x:v>
      </x:c>
      <x:c r="I88" s="31" t="n">
        <x:v>1451856</x:v>
      </x:c>
      <x:c r="J88" s="31" t="inlineStr">
        <x:is>
          <x:t xml:space="preserve">Частично оплачен</x:t>
        </x:is>
      </x:c>
      <x:c r="K88" s="31" t="n">
        <x:v>0</x:v>
      </x:c>
      <x:c r="L88" s="31" t="inlineStr">
        <x:is>
          <x:t xml:space="preserve">Нет</x:t>
        </x:is>
      </x:c>
      <x:c r="M88" s="31" t="inlineStr">
        <x:is>
          <x:t xml:space="preserve">СТК-2026-1081</x:t>
        </x:is>
      </x:c>
      <x:c r="N88" s="31" t="inlineStr">
        <x:is>
          <x:t xml:space="preserve">Счет по этапу Аванс</x:t>
        </x:is>
      </x:c>
    </x:row>
    <x:row r="89" ht="18" customHeight="1">
      <x:c r="A89" s="31" t="inlineStr">
        <x:is>
          <x:t xml:space="preserve">СЧ-1081-2</x:t>
        </x:is>
      </x:c>
      <x:c r="B89" s="31" t="inlineStr">
        <x:is>
          <x:t xml:space="preserve">ЗК-1081</x:t>
        </x:is>
      </x:c>
      <x:c r="C89" s="31" t="inlineStr">
        <x:is>
          <x:t xml:space="preserve">КЛ-048</x:t>
        </x:is>
      </x:c>
      <x:c r="D89" s="31" t="inlineStr">
        <x:is>
          <x:t xml:space="preserve">Финальный платеж</x:t>
        </x:is>
      </x:c>
      <x:c r="E89" s="31" t="n">
        <x:v>46167</x:v>
      </x:c>
      <x:c r="F89" s="31" t="n">
        <x:v>46197</x:v>
      </x:c>
      <x:c r="G89" s="31" t="n">
        <x:v>2230720</x:v>
      </x:c>
      <x:c r="H89" s="31" t="n">
        <x:v>340717</x:v>
      </x:c>
      <x:c r="I89" s="31" t="n">
        <x:v>1890003</x:v>
      </x:c>
      <x:c r="J89" s="31" t="inlineStr">
        <x:is>
          <x:t xml:space="preserve">Частично оплачен</x:t>
        </x:is>
      </x:c>
      <x:c r="K89" s="31" t="n">
        <x:v>0</x:v>
      </x:c>
      <x:c r="L89" s="31" t="inlineStr">
        <x:is>
          <x:t xml:space="preserve">Нет</x:t>
        </x:is>
      </x:c>
      <x:c r="M89" s="31" t="inlineStr">
        <x:is>
          <x:t xml:space="preserve">СТК-2026-1081</x:t>
        </x:is>
      </x:c>
      <x:c r="N89" s="31" t="inlineStr">
        <x:is>
          <x:t xml:space="preserve">Счет по этапу Финальный платеж</x:t>
        </x:is>
      </x:c>
    </x:row>
    <x:row r="90" ht="18" customHeight="1">
      <x:c r="A90" s="31" t="inlineStr">
        <x:is>
          <x:t xml:space="preserve">СЧ-1082-1</x:t>
        </x:is>
      </x:c>
      <x:c r="B90" s="31" t="inlineStr">
        <x:is>
          <x:t xml:space="preserve">ЗК-1082</x:t>
        </x:is>
      </x:c>
      <x:c r="C90" s="31" t="inlineStr">
        <x:is>
          <x:t xml:space="preserve">КЛ-022</x:t>
        </x:is>
      </x:c>
      <x:c r="D90" s="31" t="inlineStr">
        <x:is>
          <x:t xml:space="preserve">Аванс</x:t>
        </x:is>
      </x:c>
      <x:c r="E90" s="31" t="n">
        <x:v>46186</x:v>
      </x:c>
      <x:c r="F90" s="31" t="n">
        <x:v>46191</x:v>
      </x:c>
      <x:c r="G90" s="31" t="n">
        <x:v>12835069</x:v>
      </x:c>
      <x:c r="H90" s="31" t="n">
        <x:v>0</x:v>
      </x:c>
      <x:c r="I90" s="31" t="n">
        <x:v>12835069</x:v>
      </x:c>
      <x:c r="J90" s="31" t="inlineStr">
        <x:is>
          <x:t xml:space="preserve">Ожидает оплаты</x:t>
        </x:is>
      </x:c>
      <x:c r="K90" s="31" t="n">
        <x:v>0</x:v>
      </x:c>
      <x:c r="L90" s="31" t="inlineStr">
        <x:is>
          <x:t xml:space="preserve">Нет</x:t>
        </x:is>
      </x:c>
      <x:c r="M90" s="31" t="inlineStr">
        <x:is>
          <x:t xml:space="preserve">СТК-2026-1082</x:t>
        </x:is>
      </x:c>
      <x:c r="N90" s="31" t="inlineStr">
        <x:is>
          <x:t xml:space="preserve">Счет по этапу Аванс</x:t>
        </x:is>
      </x:c>
    </x:row>
    <x:row r="91" ht="18" customHeight="1">
      <x:c r="A91" s="31" t="inlineStr">
        <x:is>
          <x:t xml:space="preserve">СЧ-1083-1</x:t>
        </x:is>
      </x:c>
      <x:c r="B91" s="31" t="inlineStr">
        <x:is>
          <x:t xml:space="preserve">ЗК-1083</x:t>
        </x:is>
      </x:c>
      <x:c r="C91" s="31" t="inlineStr">
        <x:is>
          <x:t xml:space="preserve">КЛ-010</x:t>
        </x:is>
      </x:c>
      <x:c r="D91" s="31" t="inlineStr">
        <x:is>
          <x:t xml:space="preserve">Аванс</x:t>
        </x:is>
      </x:c>
      <x:c r="E91" s="31" t="n">
        <x:v>46196</x:v>
      </x:c>
      <x:c r="F91" s="31" t="n">
        <x:v>46226</x:v>
      </x:c>
      <x:c r="G91" s="31" t="n">
        <x:v>1540901</x:v>
      </x:c>
      <x:c r="H91" s="31" t="n">
        <x:v>1540901</x:v>
      </x:c>
      <x:c r="I91" s="31" t="n">
        <x:v>0</x:v>
      </x:c>
      <x:c r="J91" s="31" t="inlineStr">
        <x:is>
          <x:t xml:space="preserve">Оплачен</x:t>
        </x:is>
      </x:c>
      <x:c r="K91" s="31" t="n">
        <x:v>0</x:v>
      </x:c>
      <x:c r="L91" s="31" t="inlineStr">
        <x:is>
          <x:t xml:space="preserve">Нет</x:t>
        </x:is>
      </x:c>
      <x:c r="M91" s="31" t="inlineStr">
        <x:is>
          <x:t xml:space="preserve">СТК-2026-1083</x:t>
        </x:is>
      </x:c>
      <x:c r="N91" s="31" t="inlineStr">
        <x:is>
          <x:t xml:space="preserve">Счет по этапу Аванс</x:t>
        </x:is>
      </x:c>
    </x:row>
    <x:row r="92" ht="18" customHeight="1">
      <x:c r="A92" s="31" t="inlineStr">
        <x:is>
          <x:t xml:space="preserve">СЧ-1084-1</x:t>
        </x:is>
      </x:c>
      <x:c r="B92" s="31" t="inlineStr">
        <x:is>
          <x:t xml:space="preserve">ЗК-1084</x:t>
        </x:is>
      </x:c>
      <x:c r="C92" s="31" t="inlineStr">
        <x:is>
          <x:t xml:space="preserve">КЛ-049</x:t>
        </x:is>
      </x:c>
      <x:c r="D92" s="31" t="inlineStr">
        <x:is>
          <x:t xml:space="preserve">Аванс</x:t>
        </x:is>
      </x:c>
      <x:c r="E92" s="31" t="n">
        <x:v>46084</x:v>
      </x:c>
      <x:c r="F92" s="31" t="n">
        <x:v>46099</x:v>
      </x:c>
      <x:c r="G92" s="31" t="n">
        <x:v>428406</x:v>
      </x:c>
      <x:c r="H92" s="31" t="n">
        <x:v>428406</x:v>
      </x:c>
      <x:c r="I92" s="31" t="n">
        <x:v>0</x:v>
      </x:c>
      <x:c r="J92" s="31" t="inlineStr">
        <x:is>
          <x:t xml:space="preserve">Оплачен</x:t>
        </x:is>
      </x:c>
      <x:c r="K92" s="31" t="n">
        <x:v>0</x:v>
      </x:c>
      <x:c r="L92" s="31" t="inlineStr">
        <x:is>
          <x:t xml:space="preserve">Нет</x:t>
        </x:is>
      </x:c>
      <x:c r="M92" s="31" t="inlineStr">
        <x:is>
          <x:t xml:space="preserve">СТК-2026-1084</x:t>
        </x:is>
      </x:c>
      <x:c r="N92" s="31" t="inlineStr">
        <x:is>
          <x:t xml:space="preserve">Счет по этапу Аванс</x:t>
        </x:is>
      </x:c>
    </x:row>
    <x:row r="93" ht="18" customHeight="1">
      <x:c r="A93" s="31" t="inlineStr">
        <x:is>
          <x:t xml:space="preserve">СЧ-1085-1</x:t>
        </x:is>
      </x:c>
      <x:c r="B93" s="31" t="inlineStr">
        <x:is>
          <x:t xml:space="preserve">ЗК-1085</x:t>
        </x:is>
      </x:c>
      <x:c r="C93" s="31" t="inlineStr">
        <x:is>
          <x:t xml:space="preserve">КЛ-015</x:t>
        </x:is>
      </x:c>
      <x:c r="D93" s="31" t="inlineStr">
        <x:is>
          <x:t xml:space="preserve">Аванс</x:t>
        </x:is>
      </x:c>
      <x:c r="E93" s="31" t="n">
        <x:v>46133</x:v>
      </x:c>
      <x:c r="F93" s="31" t="n">
        <x:v>46148</x:v>
      </x:c>
      <x:c r="G93" s="31" t="n">
        <x:v>1208130</x:v>
      </x:c>
      <x:c r="H93" s="31" t="n">
        <x:v>0</x:v>
      </x:c>
      <x:c r="I93" s="31" t="n">
        <x:v>1208130</x:v>
      </x:c>
      <x:c r="J93" s="31" t="inlineStr">
        <x:is>
          <x:t xml:space="preserve">Просрочен</x:t>
        </x:is>
      </x:c>
      <x:c r="K93" s="31" t="n">
        <x:v>37</x:v>
      </x:c>
      <x:c r="L93" s="31" t="inlineStr">
        <x:is>
          <x:t xml:space="preserve">Нет</x:t>
        </x:is>
      </x:c>
      <x:c r="M93" s="31" t="inlineStr">
        <x:is>
          <x:t xml:space="preserve">СТК-2026-1085</x:t>
        </x:is>
      </x:c>
      <x:c r="N93" s="31" t="inlineStr">
        <x:is>
          <x:t xml:space="preserve">Счет по этапу Аванс</x:t>
        </x:is>
      </x:c>
    </x:row>
    <x:row r="94" ht="18" customHeight="1">
      <x:c r="A94" s="31" t="inlineStr">
        <x:is>
          <x:t xml:space="preserve">СЧ-1085-2</x:t>
        </x:is>
      </x:c>
      <x:c r="B94" s="31" t="inlineStr">
        <x:is>
          <x:t xml:space="preserve">ЗК-1085</x:t>
        </x:is>
      </x:c>
      <x:c r="C94" s="31" t="inlineStr">
        <x:is>
          <x:t xml:space="preserve">КЛ-015</x:t>
        </x:is>
      </x:c>
      <x:c r="D94" s="31" t="inlineStr">
        <x:is>
          <x:t xml:space="preserve">Финальный платеж</x:t>
        </x:is>
      </x:c>
      <x:c r="E94" s="31" t="n">
        <x:v>46144</x:v>
      </x:c>
      <x:c r="F94" s="31" t="n">
        <x:v>46174</x:v>
      </x:c>
      <x:c r="G94" s="31" t="n">
        <x:v>2818969</x:v>
      </x:c>
      <x:c r="H94" s="31" t="n">
        <x:v>0</x:v>
      </x:c>
      <x:c r="I94" s="31" t="n">
        <x:v>2818969</x:v>
      </x:c>
      <x:c r="J94" s="31" t="inlineStr">
        <x:is>
          <x:t xml:space="preserve">Просрочен</x:t>
        </x:is>
      </x:c>
      <x:c r="K94" s="31" t="n">
        <x:v>11</x:v>
      </x:c>
      <x:c r="L94" s="31" t="inlineStr">
        <x:is>
          <x:t xml:space="preserve">Нет</x:t>
        </x:is>
      </x:c>
      <x:c r="M94" s="31" t="inlineStr">
        <x:is>
          <x:t xml:space="preserve">СТК-2026-1085</x:t>
        </x:is>
      </x:c>
      <x:c r="N94" s="31" t="inlineStr">
        <x:is>
          <x:t xml:space="preserve">Счет по этапу Финальный платеж</x:t>
        </x:is>
      </x:c>
    </x:row>
    <x:row r="95" ht="18" customHeight="1">
      <x:c r="A95" s="31" t="inlineStr">
        <x:is>
          <x:t xml:space="preserve">СЧ-1086-1</x:t>
        </x:is>
      </x:c>
      <x:c r="B95" s="31" t="inlineStr">
        <x:is>
          <x:t xml:space="preserve">ЗК-1086</x:t>
        </x:is>
      </x:c>
      <x:c r="C95" s="31" t="inlineStr">
        <x:is>
          <x:t xml:space="preserve">КЛ-002</x:t>
        </x:is>
      </x:c>
      <x:c r="D95" s="31" t="inlineStr">
        <x:is>
          <x:t xml:space="preserve">Аванс</x:t>
        </x:is>
      </x:c>
      <x:c r="E95" s="31" t="n">
        <x:v>46086</x:v>
      </x:c>
      <x:c r="F95" s="31" t="n">
        <x:v>46116</x:v>
      </x:c>
      <x:c r="G95" s="31" t="n">
        <x:v>2489983</x:v>
      </x:c>
      <x:c r="H95" s="31" t="n">
        <x:v>2489983</x:v>
      </x:c>
      <x:c r="I95" s="31" t="n">
        <x:v>0</x:v>
      </x:c>
      <x:c r="J95" s="31" t="inlineStr">
        <x:is>
          <x:t xml:space="preserve">Оплачен</x:t>
        </x:is>
      </x:c>
      <x:c r="K95" s="31" t="n">
        <x:v>0</x:v>
      </x:c>
      <x:c r="L95" s="31" t="inlineStr">
        <x:is>
          <x:t xml:space="preserve">Да</x:t>
        </x:is>
      </x:c>
      <x:c r="M95" s="31" t="inlineStr">
        <x:is>
          <x:t xml:space="preserve">СТК-2026-1086</x:t>
        </x:is>
      </x:c>
      <x:c r="N95" s="31" t="inlineStr">
        <x:is>
          <x:t xml:space="preserve">Счет по этапу Аванс</x:t>
        </x:is>
      </x:c>
    </x:row>
    <x:row r="96" ht="18" customHeight="1">
      <x:c r="A96" s="31" t="inlineStr">
        <x:is>
          <x:t xml:space="preserve">СЧ-1087-1</x:t>
        </x:is>
      </x:c>
      <x:c r="B96" s="31" t="inlineStr">
        <x:is>
          <x:t xml:space="preserve">ЗК-1087</x:t>
        </x:is>
      </x:c>
      <x:c r="C96" s="31" t="inlineStr">
        <x:is>
          <x:t xml:space="preserve">КЛ-008</x:t>
        </x:is>
      </x:c>
      <x:c r="D96" s="31" t="inlineStr">
        <x:is>
          <x:t xml:space="preserve">Аванс</x:t>
        </x:is>
      </x:c>
      <x:c r="E96" s="31" t="n">
        <x:v>46067</x:v>
      </x:c>
      <x:c r="F96" s="31" t="n">
        <x:v>46077</x:v>
      </x:c>
      <x:c r="G96" s="31" t="n">
        <x:v>1625758</x:v>
      </x:c>
      <x:c r="H96" s="31" t="n">
        <x:v>0</x:v>
      </x:c>
      <x:c r="I96" s="31" t="n">
        <x:v>1625758</x:v>
      </x:c>
      <x:c r="J96" s="31" t="inlineStr">
        <x:is>
          <x:t xml:space="preserve">Просрочен</x:t>
        </x:is>
      </x:c>
      <x:c r="K96" s="31" t="n">
        <x:v>108</x:v>
      </x:c>
      <x:c r="L96" s="31" t="inlineStr">
        <x:is>
          <x:t xml:space="preserve">Нет</x:t>
        </x:is>
      </x:c>
      <x:c r="M96" s="31" t="inlineStr">
        <x:is>
          <x:t xml:space="preserve">СТК-2026-1087</x:t>
        </x:is>
      </x:c>
      <x:c r="N96" s="31" t="inlineStr">
        <x:is>
          <x:t xml:space="preserve">Счет по этапу Аванс</x:t>
        </x:is>
      </x:c>
    </x:row>
    <x:row r="97" ht="18" customHeight="1">
      <x:c r="A97" s="31" t="inlineStr">
        <x:is>
          <x:t xml:space="preserve">СЧ-1087-2</x:t>
        </x:is>
      </x:c>
      <x:c r="B97" s="31" t="inlineStr">
        <x:is>
          <x:t xml:space="preserve">ЗК-1087</x:t>
        </x:is>
      </x:c>
      <x:c r="C97" s="31" t="inlineStr">
        <x:is>
          <x:t xml:space="preserve">КЛ-008</x:t>
        </x:is>
      </x:c>
      <x:c r="D97" s="31" t="inlineStr">
        <x:is>
          <x:t xml:space="preserve">Финальный платеж</x:t>
        </x:is>
      </x:c>
      <x:c r="E97" s="31" t="n">
        <x:v>46075</x:v>
      </x:c>
      <x:c r="F97" s="31" t="n">
        <x:v>46080</x:v>
      </x:c>
      <x:c r="G97" s="31" t="n">
        <x:v>2438636</x:v>
      </x:c>
      <x:c r="H97" s="31" t="n">
        <x:v>0</x:v>
      </x:c>
      <x:c r="I97" s="31" t="n">
        <x:v>2438636</x:v>
      </x:c>
      <x:c r="J97" s="31" t="inlineStr">
        <x:is>
          <x:t xml:space="preserve">Просрочен</x:t>
        </x:is>
      </x:c>
      <x:c r="K97" s="31" t="n">
        <x:v>105</x:v>
      </x:c>
      <x:c r="L97" s="31" t="inlineStr">
        <x:is>
          <x:t xml:space="preserve">Нет</x:t>
        </x:is>
      </x:c>
      <x:c r="M97" s="31" t="inlineStr">
        <x:is>
          <x:t xml:space="preserve">СТК-2026-1087</x:t>
        </x:is>
      </x:c>
      <x:c r="N97" s="31" t="inlineStr">
        <x:is>
          <x:t xml:space="preserve">Счет по этапу Финальный платеж</x:t>
        </x:is>
      </x:c>
    </x:row>
    <x:row r="98" ht="18" customHeight="1">
      <x:c r="A98" s="31" t="inlineStr">
        <x:is>
          <x:t xml:space="preserve">СЧ-1089-1</x:t>
        </x:is>
      </x:c>
      <x:c r="B98" s="31" t="inlineStr">
        <x:is>
          <x:t xml:space="preserve">ЗК-1089</x:t>
        </x:is>
      </x:c>
      <x:c r="C98" s="31" t="inlineStr">
        <x:is>
          <x:t xml:space="preserve">КЛ-031</x:t>
        </x:is>
      </x:c>
      <x:c r="D98" s="31" t="inlineStr">
        <x:is>
          <x:t xml:space="preserve">Аванс</x:t>
        </x:is>
      </x:c>
      <x:c r="E98" s="31" t="n">
        <x:v>46208</x:v>
      </x:c>
      <x:c r="F98" s="31" t="n">
        <x:v>46218</x:v>
      </x:c>
      <x:c r="G98" s="31" t="n">
        <x:v>6266459</x:v>
      </x:c>
      <x:c r="H98" s="31" t="n">
        <x:v>0</x:v>
      </x:c>
      <x:c r="I98" s="31" t="n">
        <x:v>6266459</x:v>
      </x:c>
      <x:c r="J98" s="31" t="inlineStr">
        <x:is>
          <x:t xml:space="preserve">Ожидает оплаты</x:t>
        </x:is>
      </x:c>
      <x:c r="K98" s="31" t="n">
        <x:v>0</x:v>
      </x:c>
      <x:c r="L98" s="31" t="inlineStr">
        <x:is>
          <x:t xml:space="preserve">Нет</x:t>
        </x:is>
      </x:c>
      <x:c r="M98" s="31" t="inlineStr">
        <x:is>
          <x:t xml:space="preserve">СТК-2026-1089</x:t>
        </x:is>
      </x:c>
      <x:c r="N98" s="31" t="inlineStr">
        <x:is>
          <x:t xml:space="preserve">Счет по этапу Аванс</x:t>
        </x:is>
      </x:c>
    </x:row>
    <x:row r="99" ht="18" customHeight="1">
      <x:c r="A99" s="31" t="inlineStr">
        <x:is>
          <x:t xml:space="preserve">СЧ-1090-1</x:t>
        </x:is>
      </x:c>
      <x:c r="B99" s="31" t="inlineStr">
        <x:is>
          <x:t xml:space="preserve">ЗК-1090</x:t>
        </x:is>
      </x:c>
      <x:c r="C99" s="31" t="inlineStr">
        <x:is>
          <x:t xml:space="preserve">КЛ-033</x:t>
        </x:is>
      </x:c>
      <x:c r="D99" s="31" t="inlineStr">
        <x:is>
          <x:t xml:space="preserve">Аванс</x:t>
        </x:is>
      </x:c>
      <x:c r="E99" s="31" t="n">
        <x:v>46151</x:v>
      </x:c>
      <x:c r="F99" s="31" t="n">
        <x:v>46161</x:v>
      </x:c>
      <x:c r="G99" s="31" t="n">
        <x:v>13121737</x:v>
      </x:c>
      <x:c r="H99" s="31" t="n">
        <x:v>0</x:v>
      </x:c>
      <x:c r="I99" s="31" t="n">
        <x:v>13121737</x:v>
      </x:c>
      <x:c r="J99" s="31" t="inlineStr">
        <x:is>
          <x:t xml:space="preserve">Просрочен</x:t>
        </x:is>
      </x:c>
      <x:c r="K99" s="31" t="n">
        <x:v>24</x:v>
      </x:c>
      <x:c r="L99" s="31" t="inlineStr">
        <x:is>
          <x:t xml:space="preserve">Нет</x:t>
        </x:is>
      </x:c>
      <x:c r="M99" s="31" t="inlineStr">
        <x:is>
          <x:t xml:space="preserve">СТК-2026-1090</x:t>
        </x:is>
      </x:c>
      <x:c r="N99" s="31" t="inlineStr">
        <x:is>
          <x:t xml:space="preserve">Счет по этапу Аванс</x:t>
        </x:is>
      </x:c>
    </x:row>
    <x:row r="100" ht="18" customHeight="1">
      <x:c r="A100" s="31" t="inlineStr">
        <x:is>
          <x:t xml:space="preserve">СЧ-1091-1</x:t>
        </x:is>
      </x:c>
      <x:c r="B100" s="31" t="inlineStr">
        <x:is>
          <x:t xml:space="preserve">ЗК-1091</x:t>
        </x:is>
      </x:c>
      <x:c r="C100" s="31" t="inlineStr">
        <x:is>
          <x:t xml:space="preserve">КЛ-034</x:t>
        </x:is>
      </x:c>
      <x:c r="D100" s="31" t="inlineStr">
        <x:is>
          <x:t xml:space="preserve">Аванс</x:t>
        </x:is>
      </x:c>
      <x:c r="E100" s="31" t="n">
        <x:v>46144</x:v>
      </x:c>
      <x:c r="F100" s="31" t="n">
        <x:v>46159</x:v>
      </x:c>
      <x:c r="G100" s="31" t="n">
        <x:v>1085448</x:v>
      </x:c>
      <x:c r="H100" s="31" t="n">
        <x:v>847829</x:v>
      </x:c>
      <x:c r="I100" s="31" t="n">
        <x:v>237619</x:v>
      </x:c>
      <x:c r="J100" s="31" t="inlineStr">
        <x:is>
          <x:t xml:space="preserve">Просрочен</x:t>
        </x:is>
      </x:c>
      <x:c r="K100" s="31" t="n">
        <x:v>26</x:v>
      </x:c>
      <x:c r="L100" s="31" t="inlineStr">
        <x:is>
          <x:t xml:space="preserve">Нет</x:t>
        </x:is>
      </x:c>
      <x:c r="M100" s="31" t="inlineStr">
        <x:is>
          <x:t xml:space="preserve">СТК-2026-1091</x:t>
        </x:is>
      </x:c>
      <x:c r="N100" s="31" t="inlineStr">
        <x:is>
          <x:t xml:space="preserve">Счет по этапу Аванс</x:t>
        </x:is>
      </x:c>
    </x:row>
    <x:row r="101" ht="18" customHeight="1">
      <x:c r="A101" s="31" t="inlineStr">
        <x:is>
          <x:t xml:space="preserve">СЧ-1092-1</x:t>
        </x:is>
      </x:c>
      <x:c r="B101" s="31" t="inlineStr">
        <x:is>
          <x:t xml:space="preserve">ЗК-1092</x:t>
        </x:is>
      </x:c>
      <x:c r="C101" s="31" t="inlineStr">
        <x:is>
          <x:t xml:space="preserve">КЛ-026</x:t>
        </x:is>
      </x:c>
      <x:c r="D101" s="31" t="inlineStr">
        <x:is>
          <x:t xml:space="preserve">Аванс</x:t>
        </x:is>
      </x:c>
      <x:c r="E101" s="31" t="n">
        <x:v>46162</x:v>
      </x:c>
      <x:c r="F101" s="31" t="n">
        <x:v>46192</x:v>
      </x:c>
      <x:c r="G101" s="31" t="n">
        <x:v>5868327</x:v>
      </x:c>
      <x:c r="H101" s="31" t="n">
        <x:v>0</x:v>
      </x:c>
      <x:c r="I101" s="31" t="n">
        <x:v>5868327</x:v>
      </x:c>
      <x:c r="J101" s="31" t="inlineStr">
        <x:is>
          <x:t xml:space="preserve">Ожидает оплаты</x:t>
        </x:is>
      </x:c>
      <x:c r="K101" s="31" t="n">
        <x:v>0</x:v>
      </x:c>
      <x:c r="L101" s="31" t="inlineStr">
        <x:is>
          <x:t xml:space="preserve">Нет</x:t>
        </x:is>
      </x:c>
      <x:c r="M101" s="31" t="inlineStr">
        <x:is>
          <x:t xml:space="preserve">СТК-2026-1092</x:t>
        </x:is>
      </x:c>
      <x:c r="N101" s="31" t="inlineStr">
        <x:is>
          <x:t xml:space="preserve">Счет по этапу Аванс</x:t>
        </x:is>
      </x:c>
    </x:row>
    <x:row r="102" ht="18" customHeight="1">
      <x:c r="A102" s="31" t="inlineStr">
        <x:is>
          <x:t xml:space="preserve">СЧ-1093-1</x:t>
        </x:is>
      </x:c>
      <x:c r="B102" s="31" t="inlineStr">
        <x:is>
          <x:t xml:space="preserve">ЗК-1093</x:t>
        </x:is>
      </x:c>
      <x:c r="C102" s="31" t="inlineStr">
        <x:is>
          <x:t xml:space="preserve">КЛ-043</x:t>
        </x:is>
      </x:c>
      <x:c r="D102" s="31" t="inlineStr">
        <x:is>
          <x:t xml:space="preserve">Аванс</x:t>
        </x:is>
      </x:c>
      <x:c r="E102" s="31" t="n">
        <x:v>46114</x:v>
      </x:c>
      <x:c r="F102" s="31" t="n">
        <x:v>46124</x:v>
      </x:c>
      <x:c r="G102" s="31" t="n">
        <x:v>13431805</x:v>
      </x:c>
      <x:c r="H102" s="31" t="n">
        <x:v>0</x:v>
      </x:c>
      <x:c r="I102" s="31" t="n">
        <x:v>13431805</x:v>
      </x:c>
      <x:c r="J102" s="31" t="inlineStr">
        <x:is>
          <x:t xml:space="preserve">Просрочен</x:t>
        </x:is>
      </x:c>
      <x:c r="K102" s="31" t="n">
        <x:v>61</x:v>
      </x:c>
      <x:c r="L102" s="31" t="inlineStr">
        <x:is>
          <x:t xml:space="preserve">Нет</x:t>
        </x:is>
      </x:c>
      <x:c r="M102" s="31" t="inlineStr">
        <x:is>
          <x:t xml:space="preserve">СТК-2026-1093</x:t>
        </x:is>
      </x:c>
      <x:c r="N102" s="31" t="inlineStr">
        <x:is>
          <x:t xml:space="preserve">Счет по этапу Аванс</x:t>
        </x:is>
      </x:c>
    </x:row>
    <x:row r="103" ht="18" customHeight="1">
      <x:c r="A103" s="31" t="inlineStr">
        <x:is>
          <x:t xml:space="preserve">СЧ-1094-1</x:t>
        </x:is>
      </x:c>
      <x:c r="B103" s="31" t="inlineStr">
        <x:is>
          <x:t xml:space="preserve">ЗК-1094</x:t>
        </x:is>
      </x:c>
      <x:c r="C103" s="31" t="inlineStr">
        <x:is>
          <x:t xml:space="preserve">КЛ-041</x:t>
        </x:is>
      </x:c>
      <x:c r="D103" s="31" t="inlineStr">
        <x:is>
          <x:t xml:space="preserve">Аванс</x:t>
        </x:is>
      </x:c>
      <x:c r="E103" s="31" t="n">
        <x:v>46152</x:v>
      </x:c>
      <x:c r="F103" s="31" t="n">
        <x:v>46182</x:v>
      </x:c>
      <x:c r="G103" s="31" t="n">
        <x:v>3601682</x:v>
      </x:c>
      <x:c r="H103" s="31" t="n">
        <x:v>563945</x:v>
      </x:c>
      <x:c r="I103" s="31" t="n">
        <x:v>3037737</x:v>
      </x:c>
      <x:c r="J103" s="31" t="inlineStr">
        <x:is>
          <x:t xml:space="preserve">Просрочен</x:t>
        </x:is>
      </x:c>
      <x:c r="K103" s="31" t="n">
        <x:v>3</x:v>
      </x:c>
      <x:c r="L103" s="31" t="inlineStr">
        <x:is>
          <x:t xml:space="preserve">Нет</x:t>
        </x:is>
      </x:c>
      <x:c r="M103" s="31" t="inlineStr">
        <x:is>
          <x:t xml:space="preserve">СТК-2026-1094</x:t>
        </x:is>
      </x:c>
      <x:c r="N103" s="31" t="inlineStr">
        <x:is>
          <x:t xml:space="preserve">Счет по этапу Аванс</x:t>
        </x:is>
      </x:c>
    </x:row>
    <x:row r="104" ht="18" customHeight="1">
      <x:c r="A104" s="31" t="inlineStr">
        <x:is>
          <x:t xml:space="preserve">СЧ-1094-2</x:t>
        </x:is>
      </x:c>
      <x:c r="B104" s="31" t="inlineStr">
        <x:is>
          <x:t xml:space="preserve">ЗК-1094</x:t>
        </x:is>
      </x:c>
      <x:c r="C104" s="31" t="inlineStr">
        <x:is>
          <x:t xml:space="preserve">КЛ-041</x:t>
        </x:is>
      </x:c>
      <x:c r="D104" s="31" t="inlineStr">
        <x:is>
          <x:t xml:space="preserve">Финальный платеж</x:t>
        </x:is>
      </x:c>
      <x:c r="E104" s="31" t="n">
        <x:v>46164</x:v>
      </x:c>
      <x:c r="F104" s="31" t="n">
        <x:v>46169</x:v>
      </x:c>
      <x:c r="G104" s="31" t="n">
        <x:v>3601682</x:v>
      </x:c>
      <x:c r="H104" s="31" t="n">
        <x:v>0</x:v>
      </x:c>
      <x:c r="I104" s="31" t="n">
        <x:v>3601682</x:v>
      </x:c>
      <x:c r="J104" s="31" t="inlineStr">
        <x:is>
          <x:t xml:space="preserve">Просрочен</x:t>
        </x:is>
      </x:c>
      <x:c r="K104" s="31" t="n">
        <x:v>16</x:v>
      </x:c>
      <x:c r="L104" s="31" t="inlineStr">
        <x:is>
          <x:t xml:space="preserve">Нет</x:t>
        </x:is>
      </x:c>
      <x:c r="M104" s="31" t="inlineStr">
        <x:is>
          <x:t xml:space="preserve">СТК-2026-1094</x:t>
        </x:is>
      </x:c>
      <x:c r="N104" s="31" t="inlineStr">
        <x:is>
          <x:t xml:space="preserve">Счет по этапу Финальный платеж</x:t>
        </x:is>
      </x:c>
    </x:row>
    <x:row r="105" ht="18" customHeight="1">
      <x:c r="A105" s="31" t="inlineStr">
        <x:is>
          <x:t xml:space="preserve">СЧ-1095-1</x:t>
        </x:is>
      </x:c>
      <x:c r="B105" s="31" t="inlineStr">
        <x:is>
          <x:t xml:space="preserve">ЗК-1095</x:t>
        </x:is>
      </x:c>
      <x:c r="C105" s="31" t="inlineStr">
        <x:is>
          <x:t xml:space="preserve">КЛ-041</x:t>
        </x:is>
      </x:c>
      <x:c r="D105" s="31" t="inlineStr">
        <x:is>
          <x:t xml:space="preserve">Аванс</x:t>
        </x:is>
      </x:c>
      <x:c r="E105" s="31" t="n">
        <x:v>46081</x:v>
      </x:c>
      <x:c r="F105" s="31" t="n">
        <x:v>46086</x:v>
      </x:c>
      <x:c r="G105" s="31" t="n">
        <x:v>688152</x:v>
      </x:c>
      <x:c r="H105" s="31" t="n">
        <x:v>688152</x:v>
      </x:c>
      <x:c r="I105" s="31" t="n">
        <x:v>0</x:v>
      </x:c>
      <x:c r="J105" s="31" t="inlineStr">
        <x:is>
          <x:t xml:space="preserve">Оплачен</x:t>
        </x:is>
      </x:c>
      <x:c r="K105" s="31" t="n">
        <x:v>0</x:v>
      </x:c>
      <x:c r="L105" s="31" t="inlineStr">
        <x:is>
          <x:t xml:space="preserve">Нет</x:t>
        </x:is>
      </x:c>
      <x:c r="M105" s="31" t="inlineStr">
        <x:is>
          <x:t xml:space="preserve">СТК-2026-1095</x:t>
        </x:is>
      </x:c>
      <x:c r="N105" s="31" t="inlineStr">
        <x:is>
          <x:t xml:space="preserve">Счет по этапу Аванс</x:t>
        </x:is>
      </x:c>
    </x:row>
    <x:row r="106" ht="18" customHeight="1">
      <x:c r="A106" s="31" t="inlineStr">
        <x:is>
          <x:t xml:space="preserve">СЧ-1097-1</x:t>
        </x:is>
      </x:c>
      <x:c r="B106" s="31" t="inlineStr">
        <x:is>
          <x:t xml:space="preserve">ЗК-1097</x:t>
        </x:is>
      </x:c>
      <x:c r="C106" s="31" t="inlineStr">
        <x:is>
          <x:t xml:space="preserve">КЛ-015</x:t>
        </x:is>
      </x:c>
      <x:c r="D106" s="31" t="inlineStr">
        <x:is>
          <x:t xml:space="preserve">Аванс</x:t>
        </x:is>
      </x:c>
      <x:c r="E106" s="31" t="n">
        <x:v>46113</x:v>
      </x:c>
      <x:c r="F106" s="31" t="n">
        <x:v>46118</x:v>
      </x:c>
      <x:c r="G106" s="31" t="n">
        <x:v>8892008</x:v>
      </x:c>
      <x:c r="H106" s="31" t="n">
        <x:v>1428943</x:v>
      </x:c>
      <x:c r="I106" s="31" t="n">
        <x:v>7463065</x:v>
      </x:c>
      <x:c r="J106" s="31" t="inlineStr">
        <x:is>
          <x:t xml:space="preserve">Просрочен</x:t>
        </x:is>
      </x:c>
      <x:c r="K106" s="31" t="n">
        <x:v>67</x:v>
      </x:c>
      <x:c r="L106" s="31" t="inlineStr">
        <x:is>
          <x:t xml:space="preserve">Да</x:t>
        </x:is>
      </x:c>
      <x:c r="M106" s="31" t="inlineStr">
        <x:is>
          <x:t xml:space="preserve">СТК-2026-1097</x:t>
        </x:is>
      </x:c>
      <x:c r="N106" s="31" t="inlineStr">
        <x:is>
          <x:t xml:space="preserve">Счет по этапу Аванс</x:t>
        </x:is>
      </x:c>
    </x:row>
    <x:row r="107" ht="18" customHeight="1">
      <x:c r="A107" s="31" t="inlineStr">
        <x:is>
          <x:t xml:space="preserve">СЧ-1098-1</x:t>
        </x:is>
      </x:c>
      <x:c r="B107" s="31" t="inlineStr">
        <x:is>
          <x:t xml:space="preserve">ЗК-1098</x:t>
        </x:is>
      </x:c>
      <x:c r="C107" s="31" t="inlineStr">
        <x:is>
          <x:t xml:space="preserve">КЛ-018</x:t>
        </x:is>
      </x:c>
      <x:c r="D107" s="31" t="inlineStr">
        <x:is>
          <x:t xml:space="preserve">Аванс</x:t>
        </x:is>
      </x:c>
      <x:c r="E107" s="31" t="n">
        <x:v>46179</x:v>
      </x:c>
      <x:c r="F107" s="31" t="n">
        <x:v>46189</x:v>
      </x:c>
      <x:c r="G107" s="31" t="n">
        <x:v>965634</x:v>
      </x:c>
      <x:c r="H107" s="31" t="n">
        <x:v>0</x:v>
      </x:c>
      <x:c r="I107" s="31" t="n">
        <x:v>965634</x:v>
      </x:c>
      <x:c r="J107" s="31" t="inlineStr">
        <x:is>
          <x:t xml:space="preserve">Ожидает оплаты</x:t>
        </x:is>
      </x:c>
      <x:c r="K107" s="31" t="n">
        <x:v>0</x:v>
      </x:c>
      <x:c r="L107" s="31" t="inlineStr">
        <x:is>
          <x:t xml:space="preserve">Да</x:t>
        </x:is>
      </x:c>
      <x:c r="M107" s="31" t="inlineStr">
        <x:is>
          <x:t xml:space="preserve">СТК-2026-1098</x:t>
        </x:is>
      </x:c>
      <x:c r="N107" s="31" t="inlineStr">
        <x:is>
          <x:t xml:space="preserve">Счет по этапу Аванс</x:t>
        </x:is>
      </x:c>
    </x:row>
    <x:row r="108" ht="18" customHeight="1">
      <x:c r="A108" s="31" t="inlineStr">
        <x:is>
          <x:t xml:space="preserve">СЧ-1099-1</x:t>
        </x:is>
      </x:c>
      <x:c r="B108" s="31" t="inlineStr">
        <x:is>
          <x:t xml:space="preserve">ЗК-1099</x:t>
        </x:is>
      </x:c>
      <x:c r="C108" s="31" t="inlineStr">
        <x:is>
          <x:t xml:space="preserve">КЛ-046</x:t>
        </x:is>
      </x:c>
      <x:c r="D108" s="31" t="inlineStr">
        <x:is>
          <x:t xml:space="preserve">Аванс</x:t>
        </x:is>
      </x:c>
      <x:c r="E108" s="31" t="n">
        <x:v>46158</x:v>
      </x:c>
      <x:c r="F108" s="31" t="n">
        <x:v>46173</x:v>
      </x:c>
      <x:c r="G108" s="31" t="n">
        <x:v>4895227</x:v>
      </x:c>
      <x:c r="H108" s="31" t="n">
        <x:v>0</x:v>
      </x:c>
      <x:c r="I108" s="31" t="n">
        <x:v>4895227</x:v>
      </x:c>
      <x:c r="J108" s="31" t="inlineStr">
        <x:is>
          <x:t xml:space="preserve">Просрочен</x:t>
        </x:is>
      </x:c>
      <x:c r="K108" s="31" t="n">
        <x:v>12</x:v>
      </x:c>
      <x:c r="L108" s="31" t="inlineStr">
        <x:is>
          <x:t xml:space="preserve">Нет</x:t>
        </x:is>
      </x:c>
      <x:c r="M108" s="31" t="inlineStr">
        <x:is>
          <x:t xml:space="preserve">СТК-2026-1099</x:t>
        </x:is>
      </x:c>
      <x:c r="N108" s="31" t="inlineStr">
        <x:is>
          <x:t xml:space="preserve">Счет по этапу Аванс</x:t>
        </x:is>
      </x:c>
    </x:row>
    <x:row r="109" ht="18" customHeight="1">
      <x:c r="A109" s="31" t="inlineStr">
        <x:is>
          <x:t xml:space="preserve">СЧ-1099-2</x:t>
        </x:is>
      </x:c>
      <x:c r="B109" s="31" t="inlineStr">
        <x:is>
          <x:t xml:space="preserve">ЗК-1099</x:t>
        </x:is>
      </x:c>
      <x:c r="C109" s="31" t="inlineStr">
        <x:is>
          <x:t xml:space="preserve">КЛ-046</x:t>
        </x:is>
      </x:c>
      <x:c r="D109" s="31" t="inlineStr">
        <x:is>
          <x:t xml:space="preserve">Финальный платеж</x:t>
        </x:is>
      </x:c>
      <x:c r="E109" s="31" t="n">
        <x:v>46163</x:v>
      </x:c>
      <x:c r="F109" s="31" t="n">
        <x:v>46183</x:v>
      </x:c>
      <x:c r="G109" s="31" t="n">
        <x:v>11422195</x:v>
      </x:c>
      <x:c r="H109" s="31" t="n">
        <x:v>0</x:v>
      </x:c>
      <x:c r="I109" s="31" t="n">
        <x:v>11422195</x:v>
      </x:c>
      <x:c r="J109" s="31" t="inlineStr">
        <x:is>
          <x:t xml:space="preserve">Просрочен</x:t>
        </x:is>
      </x:c>
      <x:c r="K109" s="31" t="n">
        <x:v>2</x:v>
      </x:c>
      <x:c r="L109" s="31" t="inlineStr">
        <x:is>
          <x:t xml:space="preserve">Да</x:t>
        </x:is>
      </x:c>
      <x:c r="M109" s="31" t="inlineStr">
        <x:is>
          <x:t xml:space="preserve">СТК-2026-1099</x:t>
        </x:is>
      </x:c>
      <x:c r="N109" s="31" t="inlineStr">
        <x:is>
          <x:t xml:space="preserve">Счет по этапу Финальный платеж</x:t>
        </x:is>
      </x:c>
    </x:row>
    <x:row r="110" ht="18" customHeight="1">
      <x:c r="A110" s="31" t="inlineStr">
        <x:is>
          <x:t xml:space="preserve">СЧ-1100-1</x:t>
        </x:is>
      </x:c>
      <x:c r="B110" s="31" t="inlineStr">
        <x:is>
          <x:t xml:space="preserve">ЗК-1100</x:t>
        </x:is>
      </x:c>
      <x:c r="C110" s="31" t="inlineStr">
        <x:is>
          <x:t xml:space="preserve">КЛ-002</x:t>
        </x:is>
      </x:c>
      <x:c r="D110" s="31" t="inlineStr">
        <x:is>
          <x:t xml:space="preserve">Аванс</x:t>
        </x:is>
      </x:c>
      <x:c r="E110" s="31" t="n">
        <x:v>46086</x:v>
      </x:c>
      <x:c r="F110" s="31" t="n">
        <x:v>46096</x:v>
      </x:c>
      <x:c r="G110" s="31" t="n">
        <x:v>765334</x:v>
      </x:c>
      <x:c r="H110" s="31" t="n">
        <x:v>233153</x:v>
      </x:c>
      <x:c r="I110" s="31" t="n">
        <x:v>532181</x:v>
      </x:c>
      <x:c r="J110" s="31" t="inlineStr">
        <x:is>
          <x:t xml:space="preserve">Просрочен</x:t>
        </x:is>
      </x:c>
      <x:c r="K110" s="31" t="n">
        <x:v>89</x:v>
      </x:c>
      <x:c r="L110" s="31" t="inlineStr">
        <x:is>
          <x:t xml:space="preserve">Нет</x:t>
        </x:is>
      </x:c>
      <x:c r="M110" s="31" t="inlineStr">
        <x:is>
          <x:t xml:space="preserve">СТК-2026-1100</x:t>
        </x:is>
      </x:c>
      <x:c r="N110" s="31" t="inlineStr">
        <x:is>
          <x:t xml:space="preserve">Счет по этапу Аванс</x:t>
        </x:is>
      </x:c>
    </x:row>
    <x:row r="111" ht="18" customHeight="1">
      <x:c r="A111" s="31" t="inlineStr">
        <x:is>
          <x:t xml:space="preserve">СЧ-1100-2</x:t>
        </x:is>
      </x:c>
      <x:c r="B111" s="31" t="inlineStr">
        <x:is>
          <x:t xml:space="preserve">ЗК-1100</x:t>
        </x:is>
      </x:c>
      <x:c r="C111" s="31" t="inlineStr">
        <x:is>
          <x:t xml:space="preserve">КЛ-002</x:t>
        </x:is>
      </x:c>
      <x:c r="D111" s="31" t="inlineStr">
        <x:is>
          <x:t xml:space="preserve">Финальный платеж</x:t>
        </x:is>
      </x:c>
      <x:c r="E111" s="31" t="n">
        <x:v>46098</x:v>
      </x:c>
      <x:c r="F111" s="31" t="n">
        <x:v>46103</x:v>
      </x:c>
      <x:c r="G111" s="31" t="n">
        <x:v>765334</x:v>
      </x:c>
      <x:c r="H111" s="31" t="n">
        <x:v>76635</x:v>
      </x:c>
      <x:c r="I111" s="31" t="n">
        <x:v>688699</x:v>
      </x:c>
      <x:c r="J111" s="31" t="inlineStr">
        <x:is>
          <x:t xml:space="preserve">Просрочен</x:t>
        </x:is>
      </x:c>
      <x:c r="K111" s="31" t="n">
        <x:v>82</x:v>
      </x:c>
      <x:c r="L111" s="31" t="inlineStr">
        <x:is>
          <x:t xml:space="preserve">Да</x:t>
        </x:is>
      </x:c>
      <x:c r="M111" s="31" t="inlineStr">
        <x:is>
          <x:t xml:space="preserve">СТК-2026-1100</x:t>
        </x:is>
      </x:c>
      <x:c r="N111" s="31" t="inlineStr">
        <x:is>
          <x:t xml:space="preserve">Счет по этапу Финальный платеж</x:t>
        </x:is>
      </x:c>
    </x:row>
    <x:row r="112" ht="18" customHeight="1">
      <x:c r="A112" s="31" t="inlineStr">
        <x:is>
          <x:t xml:space="preserve">СЧ-1101-1</x:t>
        </x:is>
      </x:c>
      <x:c r="B112" s="31" t="inlineStr">
        <x:is>
          <x:t xml:space="preserve">ЗК-1101</x:t>
        </x:is>
      </x:c>
      <x:c r="C112" s="31" t="inlineStr">
        <x:is>
          <x:t xml:space="preserve">КЛ-004</x:t>
        </x:is>
      </x:c>
      <x:c r="D112" s="31" t="inlineStr">
        <x:is>
          <x:t xml:space="preserve">Аванс</x:t>
        </x:is>
      </x:c>
      <x:c r="E112" s="31" t="n">
        <x:v>46198</x:v>
      </x:c>
      <x:c r="F112" s="31" t="n">
        <x:v>46203</x:v>
      </x:c>
      <x:c r="G112" s="31" t="n">
        <x:v>3134312</x:v>
      </x:c>
      <x:c r="H112" s="31" t="n">
        <x:v>3134312</x:v>
      </x:c>
      <x:c r="I112" s="31" t="n">
        <x:v>0</x:v>
      </x:c>
      <x:c r="J112" s="31" t="inlineStr">
        <x:is>
          <x:t xml:space="preserve">Оплачен</x:t>
        </x:is>
      </x:c>
      <x:c r="K112" s="31" t="n">
        <x:v>0</x:v>
      </x:c>
      <x:c r="L112" s="31" t="inlineStr">
        <x:is>
          <x:t xml:space="preserve">Нет</x:t>
        </x:is>
      </x:c>
      <x:c r="M112" s="31" t="inlineStr">
        <x:is>
          <x:t xml:space="preserve">СТК-2026-1101</x:t>
        </x:is>
      </x:c>
      <x:c r="N112" s="31" t="inlineStr">
        <x:is>
          <x:t xml:space="preserve">Счет по этапу Аванс</x:t>
        </x:is>
      </x:c>
    </x:row>
    <x:row r="113" ht="18" customHeight="1">
      <x:c r="A113" s="31" t="inlineStr">
        <x:is>
          <x:t xml:space="preserve">СЧ-1102-1</x:t>
        </x:is>
      </x:c>
      <x:c r="B113" s="31" t="inlineStr">
        <x:is>
          <x:t xml:space="preserve">ЗК-1102</x:t>
        </x:is>
      </x:c>
      <x:c r="C113" s="31" t="inlineStr">
        <x:is>
          <x:t xml:space="preserve">КЛ-008</x:t>
        </x:is>
      </x:c>
      <x:c r="D113" s="31" t="inlineStr">
        <x:is>
          <x:t xml:space="preserve">Аванс</x:t>
        </x:is>
      </x:c>
      <x:c r="E113" s="31" t="n">
        <x:v>46197</x:v>
      </x:c>
      <x:c r="F113" s="31" t="n">
        <x:v>46202</x:v>
      </x:c>
      <x:c r="G113" s="31" t="n">
        <x:v>3519095</x:v>
      </x:c>
      <x:c r="H113" s="31" t="n">
        <x:v>0</x:v>
      </x:c>
      <x:c r="I113" s="31" t="n">
        <x:v>3519095</x:v>
      </x:c>
      <x:c r="J113" s="31" t="inlineStr">
        <x:is>
          <x:t xml:space="preserve">Ожидает оплаты</x:t>
        </x:is>
      </x:c>
      <x:c r="K113" s="31" t="n">
        <x:v>0</x:v>
      </x:c>
      <x:c r="L113" s="31" t="inlineStr">
        <x:is>
          <x:t xml:space="preserve">Нет</x:t>
        </x:is>
      </x:c>
      <x:c r="M113" s="31" t="inlineStr">
        <x:is>
          <x:t xml:space="preserve">СТК-2026-1102</x:t>
        </x:is>
      </x:c>
      <x:c r="N113" s="31" t="inlineStr">
        <x:is>
          <x:t xml:space="preserve">Счет по этапу Аванс</x:t>
        </x:is>
      </x:c>
    </x:row>
    <x:row r="114" ht="18" customHeight="1">
      <x:c r="A114" s="31" t="inlineStr">
        <x:is>
          <x:t xml:space="preserve">СЧ-1102-2</x:t>
        </x:is>
      </x:c>
      <x:c r="B114" s="31" t="inlineStr">
        <x:is>
          <x:t xml:space="preserve">ЗК-1102</x:t>
        </x:is>
      </x:c>
      <x:c r="C114" s="31" t="inlineStr">
        <x:is>
          <x:t xml:space="preserve">КЛ-008</x:t>
        </x:is>
      </x:c>
      <x:c r="D114" s="31" t="inlineStr">
        <x:is>
          <x:t xml:space="preserve">Финальный платеж</x:t>
        </x:is>
      </x:c>
      <x:c r="E114" s="31" t="n">
        <x:v>46196</x:v>
      </x:c>
      <x:c r="F114" s="31" t="n">
        <x:v>46216</x:v>
      </x:c>
      <x:c r="G114" s="31" t="n">
        <x:v>14076381</x:v>
      </x:c>
      <x:c r="H114" s="31" t="n">
        <x:v>0</x:v>
      </x:c>
      <x:c r="I114" s="31" t="n">
        <x:v>14076381</x:v>
      </x:c>
      <x:c r="J114" s="31" t="inlineStr">
        <x:is>
          <x:t xml:space="preserve">Ожидает оплаты</x:t>
        </x:is>
      </x:c>
      <x:c r="K114" s="31" t="n">
        <x:v>0</x:v>
      </x:c>
      <x:c r="L114" s="31" t="inlineStr">
        <x:is>
          <x:t xml:space="preserve">Нет</x:t>
        </x:is>
      </x:c>
      <x:c r="M114" s="31" t="inlineStr">
        <x:is>
          <x:t xml:space="preserve">СТК-2026-1102</x:t>
        </x:is>
      </x:c>
      <x:c r="N114" s="31" t="inlineStr">
        <x:is>
          <x:t xml:space="preserve">Счет по этапу Финальный платеж</x:t>
        </x:is>
      </x:c>
    </x:row>
    <x:row r="115" ht="18" customHeight="1">
      <x:c r="A115" s="31" t="inlineStr">
        <x:is>
          <x:t xml:space="preserve">СЧ-1103-1</x:t>
        </x:is>
      </x:c>
      <x:c r="B115" s="31" t="inlineStr">
        <x:is>
          <x:t xml:space="preserve">ЗК-1103</x:t>
        </x:is>
      </x:c>
      <x:c r="C115" s="31" t="inlineStr">
        <x:is>
          <x:t xml:space="preserve">КЛ-002</x:t>
        </x:is>
      </x:c>
      <x:c r="D115" s="31" t="inlineStr">
        <x:is>
          <x:t xml:space="preserve">Аванс</x:t>
        </x:is>
      </x:c>
      <x:c r="E115" s="31" t="n">
        <x:v>46177</x:v>
      </x:c>
      <x:c r="F115" s="31" t="n">
        <x:v>46197</x:v>
      </x:c>
      <x:c r="G115" s="31" t="n">
        <x:v>10104083</x:v>
      </x:c>
      <x:c r="H115" s="31" t="n">
        <x:v>8221950</x:v>
      </x:c>
      <x:c r="I115" s="31" t="n">
        <x:v>1882133</x:v>
      </x:c>
      <x:c r="J115" s="31" t="inlineStr">
        <x:is>
          <x:t xml:space="preserve">Частично оплачен</x:t>
        </x:is>
      </x:c>
      <x:c r="K115" s="31" t="n">
        <x:v>0</x:v>
      </x:c>
      <x:c r="L115" s="31" t="inlineStr">
        <x:is>
          <x:t xml:space="preserve">Нет</x:t>
        </x:is>
      </x:c>
      <x:c r="M115" s="31" t="inlineStr">
        <x:is>
          <x:t xml:space="preserve">СТК-2026-1103</x:t>
        </x:is>
      </x:c>
      <x:c r="N115" s="31" t="inlineStr">
        <x:is>
          <x:t xml:space="preserve">Счет по этапу Аванс</x:t>
        </x:is>
      </x:c>
    </x:row>
    <x:row r="116" ht="18" customHeight="1">
      <x:c r="A116" s="31" t="inlineStr">
        <x:is>
          <x:t xml:space="preserve">СЧ-1104-1</x:t>
        </x:is>
      </x:c>
      <x:c r="B116" s="31" t="inlineStr">
        <x:is>
          <x:t xml:space="preserve">ЗК-1104</x:t>
        </x:is>
      </x:c>
      <x:c r="C116" s="31" t="inlineStr">
        <x:is>
          <x:t xml:space="preserve">КЛ-025</x:t>
        </x:is>
      </x:c>
      <x:c r="D116" s="31" t="inlineStr">
        <x:is>
          <x:t xml:space="preserve">Аванс</x:t>
        </x:is>
      </x:c>
      <x:c r="E116" s="31" t="n">
        <x:v>46064</x:v>
      </x:c>
      <x:c r="F116" s="31" t="n">
        <x:v>46074</x:v>
      </x:c>
      <x:c r="G116" s="31" t="n">
        <x:v>611601</x:v>
      </x:c>
      <x:c r="H116" s="31" t="n">
        <x:v>234849</x:v>
      </x:c>
      <x:c r="I116" s="31" t="n">
        <x:v>376752</x:v>
      </x:c>
      <x:c r="J116" s="31" t="inlineStr">
        <x:is>
          <x:t xml:space="preserve">Просрочен</x:t>
        </x:is>
      </x:c>
      <x:c r="K116" s="31" t="n">
        <x:v>111</x:v>
      </x:c>
      <x:c r="L116" s="31" t="inlineStr">
        <x:is>
          <x:t xml:space="preserve">Нет</x:t>
        </x:is>
      </x:c>
      <x:c r="M116" s="31" t="inlineStr">
        <x:is>
          <x:t xml:space="preserve">СТК-2026-1104</x:t>
        </x:is>
      </x:c>
      <x:c r="N116" s="31" t="inlineStr">
        <x:is>
          <x:t xml:space="preserve">Счет по этапу Аванс</x:t>
        </x:is>
      </x:c>
    </x:row>
    <x:row r="117" ht="18" customHeight="1">
      <x:c r="A117" s="31" t="inlineStr">
        <x:is>
          <x:t xml:space="preserve">СЧ-1105-1</x:t>
        </x:is>
      </x:c>
      <x:c r="B117" s="31" t="inlineStr">
        <x:is>
          <x:t xml:space="preserve">ЗК-1105</x:t>
        </x:is>
      </x:c>
      <x:c r="C117" s="31" t="inlineStr">
        <x:is>
          <x:t xml:space="preserve">КЛ-013</x:t>
        </x:is>
      </x:c>
      <x:c r="D117" s="31" t="inlineStr">
        <x:is>
          <x:t xml:space="preserve">Аванс</x:t>
        </x:is>
      </x:c>
      <x:c r="E117" s="31" t="n">
        <x:v>46124</x:v>
      </x:c>
      <x:c r="F117" s="31" t="n">
        <x:v>46144</x:v>
      </x:c>
      <x:c r="G117" s="31" t="n">
        <x:v>2268482</x:v>
      </x:c>
      <x:c r="H117" s="31" t="n">
        <x:v>0</x:v>
      </x:c>
      <x:c r="I117" s="31" t="n">
        <x:v>2268482</x:v>
      </x:c>
      <x:c r="J117" s="31" t="inlineStr">
        <x:is>
          <x:t xml:space="preserve">Просрочен</x:t>
        </x:is>
      </x:c>
      <x:c r="K117" s="31" t="n">
        <x:v>41</x:v>
      </x:c>
      <x:c r="L117" s="31" t="inlineStr">
        <x:is>
          <x:t xml:space="preserve">Нет</x:t>
        </x:is>
      </x:c>
      <x:c r="M117" s="31" t="inlineStr">
        <x:is>
          <x:t xml:space="preserve">СТК-2026-1105</x:t>
        </x:is>
      </x:c>
      <x:c r="N117" s="31" t="inlineStr">
        <x:is>
          <x:t xml:space="preserve">Счет по этапу Аванс</x:t>
        </x:is>
      </x:c>
    </x:row>
    <x:row r="118" ht="18" customHeight="1">
      <x:c r="A118" s="31" t="inlineStr">
        <x:is>
          <x:t xml:space="preserve">СЧ-1106-1</x:t>
        </x:is>
      </x:c>
      <x:c r="B118" s="31" t="inlineStr">
        <x:is>
          <x:t xml:space="preserve">ЗК-1106</x:t>
        </x:is>
      </x:c>
      <x:c r="C118" s="31" t="inlineStr">
        <x:is>
          <x:t xml:space="preserve">КЛ-037</x:t>
        </x:is>
      </x:c>
      <x:c r="D118" s="31" t="inlineStr">
        <x:is>
          <x:t xml:space="preserve">Аванс</x:t>
        </x:is>
      </x:c>
      <x:c r="E118" s="31" t="n">
        <x:v>46121</x:v>
      </x:c>
      <x:c r="F118" s="31" t="n">
        <x:v>46151</x:v>
      </x:c>
      <x:c r="G118" s="31" t="n">
        <x:v>395970</x:v>
      </x:c>
      <x:c r="H118" s="31" t="n">
        <x:v>64309</x:v>
      </x:c>
      <x:c r="I118" s="31" t="n">
        <x:v>331661</x:v>
      </x:c>
      <x:c r="J118" s="31" t="inlineStr">
        <x:is>
          <x:t xml:space="preserve">Просрочен</x:t>
        </x:is>
      </x:c>
      <x:c r="K118" s="31" t="n">
        <x:v>34</x:v>
      </x:c>
      <x:c r="L118" s="31" t="inlineStr">
        <x:is>
          <x:t xml:space="preserve">Да</x:t>
        </x:is>
      </x:c>
      <x:c r="M118" s="31" t="inlineStr">
        <x:is>
          <x:t xml:space="preserve">СТК-2026-1106</x:t>
        </x:is>
      </x:c>
      <x:c r="N118" s="31" t="inlineStr">
        <x:is>
          <x:t xml:space="preserve">Счет по этапу Аванс</x:t>
        </x:is>
      </x:c>
    </x:row>
    <x:row r="119" ht="18" customHeight="1">
      <x:c r="A119" s="31" t="inlineStr">
        <x:is>
          <x:t xml:space="preserve">СЧ-1109-1</x:t>
        </x:is>
      </x:c>
      <x:c r="B119" s="31" t="inlineStr">
        <x:is>
          <x:t xml:space="preserve">ЗК-1109</x:t>
        </x:is>
      </x:c>
      <x:c r="C119" s="31" t="inlineStr">
        <x:is>
          <x:t xml:space="preserve">КЛ-017</x:t>
        </x:is>
      </x:c>
      <x:c r="D119" s="31" t="inlineStr">
        <x:is>
          <x:t xml:space="preserve">Аванс</x:t>
        </x:is>
      </x:c>
      <x:c r="E119" s="31" t="n">
        <x:v>46211</x:v>
      </x:c>
      <x:c r="F119" s="31" t="n">
        <x:v>46216</x:v>
      </x:c>
      <x:c r="G119" s="31" t="n">
        <x:v>2567121</x:v>
      </x:c>
      <x:c r="H119" s="31" t="n">
        <x:v>0</x:v>
      </x:c>
      <x:c r="I119" s="31" t="n">
        <x:v>2567121</x:v>
      </x:c>
      <x:c r="J119" s="31" t="inlineStr">
        <x:is>
          <x:t xml:space="preserve">Ожидает оплаты</x:t>
        </x:is>
      </x:c>
      <x:c r="K119" s="31" t="n">
        <x:v>0</x:v>
      </x:c>
      <x:c r="L119" s="31" t="inlineStr">
        <x:is>
          <x:t xml:space="preserve">Да</x:t>
        </x:is>
      </x:c>
      <x:c r="M119" s="31" t="inlineStr">
        <x:is>
          <x:t xml:space="preserve">СТК-2026-1109</x:t>
        </x:is>
      </x:c>
      <x:c r="N119" s="31" t="inlineStr">
        <x:is>
          <x:t xml:space="preserve">Счет по этапу Аванс</x:t>
        </x:is>
      </x:c>
    </x:row>
    <x:row r="120" ht="18" customHeight="1">
      <x:c r="A120" s="31" t="inlineStr">
        <x:is>
          <x:t xml:space="preserve">СЧ-1110-1</x:t>
        </x:is>
      </x:c>
      <x:c r="B120" s="31" t="inlineStr">
        <x:is>
          <x:t xml:space="preserve">ЗК-1110</x:t>
        </x:is>
      </x:c>
      <x:c r="C120" s="31" t="inlineStr">
        <x:is>
          <x:t xml:space="preserve">КЛ-013</x:t>
        </x:is>
      </x:c>
      <x:c r="D120" s="31" t="inlineStr">
        <x:is>
          <x:t xml:space="preserve">Аванс</x:t>
        </x:is>
      </x:c>
      <x:c r="E120" s="31" t="n">
        <x:v>46206</x:v>
      </x:c>
      <x:c r="F120" s="31" t="n">
        <x:v>46221</x:v>
      </x:c>
      <x:c r="G120" s="31" t="n">
        <x:v>3709146</x:v>
      </x:c>
      <x:c r="H120" s="31" t="n">
        <x:v>0</x:v>
      </x:c>
      <x:c r="I120" s="31" t="n">
        <x:v>3709146</x:v>
      </x:c>
      <x:c r="J120" s="31" t="inlineStr">
        <x:is>
          <x:t xml:space="preserve">Ожидает оплаты</x:t>
        </x:is>
      </x:c>
      <x:c r="K120" s="31" t="n">
        <x:v>0</x:v>
      </x:c>
      <x:c r="L120" s="31" t="inlineStr">
        <x:is>
          <x:t xml:space="preserve">Нет</x:t>
        </x:is>
      </x:c>
      <x:c r="M120" s="31" t="inlineStr">
        <x:is>
          <x:t xml:space="preserve">СТК-2026-1110</x:t>
        </x:is>
      </x:c>
      <x:c r="N120" s="31" t="inlineStr">
        <x:is>
          <x:t xml:space="preserve">Счет по этапу Аванс</x:t>
        </x:is>
      </x:c>
    </x:row>
    <x:row r="121" ht="18" customHeight="1">
      <x:c r="A121" s="31" t="inlineStr">
        <x:is>
          <x:t xml:space="preserve">СЧ-1110-2</x:t>
        </x:is>
      </x:c>
      <x:c r="B121" s="31" t="inlineStr">
        <x:is>
          <x:t xml:space="preserve">ЗК-1110</x:t>
        </x:is>
      </x:c>
      <x:c r="C121" s="31" t="inlineStr">
        <x:is>
          <x:t xml:space="preserve">КЛ-013</x:t>
        </x:is>
      </x:c>
      <x:c r="D121" s="31" t="inlineStr">
        <x:is>
          <x:t xml:space="preserve">Финальный платеж</x:t>
        </x:is>
      </x:c>
      <x:c r="E121" s="31" t="n">
        <x:v>46214</x:v>
      </x:c>
      <x:c r="F121" s="31" t="n">
        <x:v>46219</x:v>
      </x:c>
      <x:c r="G121" s="31" t="n">
        <x:v>3709146</x:v>
      </x:c>
      <x:c r="H121" s="31" t="n">
        <x:v>0</x:v>
      </x:c>
      <x:c r="I121" s="31" t="n">
        <x:v>3709146</x:v>
      </x:c>
      <x:c r="J121" s="31" t="inlineStr">
        <x:is>
          <x:t xml:space="preserve">Ожидает оплаты</x:t>
        </x:is>
      </x:c>
      <x:c r="K121" s="31" t="n">
        <x:v>0</x:v>
      </x:c>
      <x:c r="L121" s="31" t="inlineStr">
        <x:is>
          <x:t xml:space="preserve">Нет</x:t>
        </x:is>
      </x:c>
      <x:c r="M121" s="31" t="inlineStr">
        <x:is>
          <x:t xml:space="preserve">СТК-2026-1110</x:t>
        </x:is>
      </x:c>
      <x:c r="N121" s="31" t="inlineStr">
        <x:is>
          <x:t xml:space="preserve">Счет по этапу Финальный платеж</x:t>
        </x:is>
      </x:c>
    </x:row>
    <x:row r="122" ht="18" customHeight="1">
      <x:c r="A122" s="31" t="inlineStr">
        <x:is>
          <x:t xml:space="preserve">СЧ-1111-1</x:t>
        </x:is>
      </x:c>
      <x:c r="B122" s="31" t="inlineStr">
        <x:is>
          <x:t xml:space="preserve">ЗК-1111</x:t>
        </x:is>
      </x:c>
      <x:c r="C122" s="31" t="inlineStr">
        <x:is>
          <x:t xml:space="preserve">КЛ-013</x:t>
        </x:is>
      </x:c>
      <x:c r="D122" s="31" t="inlineStr">
        <x:is>
          <x:t xml:space="preserve">Аванс</x:t>
        </x:is>
      </x:c>
      <x:c r="E122" s="31" t="n">
        <x:v>46142</x:v>
      </x:c>
      <x:c r="F122" s="31" t="n">
        <x:v>46172</x:v>
      </x:c>
      <x:c r="G122" s="31" t="n">
        <x:v>902110</x:v>
      </x:c>
      <x:c r="H122" s="31" t="n">
        <x:v>902110</x:v>
      </x:c>
      <x:c r="I122" s="31" t="n">
        <x:v>0</x:v>
      </x:c>
      <x:c r="J122" s="31" t="inlineStr">
        <x:is>
          <x:t xml:space="preserve">Оплачен</x:t>
        </x:is>
      </x:c>
      <x:c r="K122" s="31" t="n">
        <x:v>0</x:v>
      </x:c>
      <x:c r="L122" s="31" t="inlineStr">
        <x:is>
          <x:t xml:space="preserve">Нет</x:t>
        </x:is>
      </x:c>
      <x:c r="M122" s="31" t="inlineStr">
        <x:is>
          <x:t xml:space="preserve">СТК-2026-1111</x:t>
        </x:is>
      </x:c>
      <x:c r="N122" s="31" t="inlineStr">
        <x:is>
          <x:t xml:space="preserve">Счет по этапу Аванс</x:t>
        </x:is>
      </x:c>
    </x:row>
    <x:row r="123" ht="18" customHeight="1">
      <x:c r="A123" s="31" t="inlineStr">
        <x:is>
          <x:t xml:space="preserve">СЧ-1111-2</x:t>
        </x:is>
      </x:c>
      <x:c r="B123" s="31" t="inlineStr">
        <x:is>
          <x:t xml:space="preserve">ЗК-1111</x:t>
        </x:is>
      </x:c>
      <x:c r="C123" s="31" t="inlineStr">
        <x:is>
          <x:t xml:space="preserve">КЛ-013</x:t>
        </x:is>
      </x:c>
      <x:c r="D123" s="31" t="inlineStr">
        <x:is>
          <x:t xml:space="preserve">Финальный платеж</x:t>
        </x:is>
      </x:c>
      <x:c r="E123" s="31" t="n">
        <x:v>46147</x:v>
      </x:c>
      <x:c r="F123" s="31" t="n">
        <x:v>46162</x:v>
      </x:c>
      <x:c r="G123" s="31" t="n">
        <x:v>902110</x:v>
      </x:c>
      <x:c r="H123" s="31" t="n">
        <x:v>902110</x:v>
      </x:c>
      <x:c r="I123" s="31" t="n">
        <x:v>0</x:v>
      </x:c>
      <x:c r="J123" s="31" t="inlineStr">
        <x:is>
          <x:t xml:space="preserve">Оплачен</x:t>
        </x:is>
      </x:c>
      <x:c r="K123" s="31" t="n">
        <x:v>0</x:v>
      </x:c>
      <x:c r="L123" s="31" t="inlineStr">
        <x:is>
          <x:t xml:space="preserve">Нет</x:t>
        </x:is>
      </x:c>
      <x:c r="M123" s="31" t="inlineStr">
        <x:is>
          <x:t xml:space="preserve">СТК-2026-1111</x:t>
        </x:is>
      </x:c>
      <x:c r="N123" s="31" t="inlineStr">
        <x:is>
          <x:t xml:space="preserve">Счет по этапу Финальный платеж</x:t>
        </x:is>
      </x:c>
    </x:row>
    <x:row r="124" ht="18" customHeight="1">
      <x:c r="A124" s="31" t="inlineStr">
        <x:is>
          <x:t xml:space="preserve">СЧ-1112-1</x:t>
        </x:is>
      </x:c>
      <x:c r="B124" s="31" t="inlineStr">
        <x:is>
          <x:t xml:space="preserve">ЗК-1112</x:t>
        </x:is>
      </x:c>
      <x:c r="C124" s="31" t="inlineStr">
        <x:is>
          <x:t xml:space="preserve">КЛ-045</x:t>
        </x:is>
      </x:c>
      <x:c r="D124" s="31" t="inlineStr">
        <x:is>
          <x:t xml:space="preserve">Аванс</x:t>
        </x:is>
      </x:c>
      <x:c r="E124" s="31" t="n">
        <x:v>46111</x:v>
      </x:c>
      <x:c r="F124" s="31" t="n">
        <x:v>46141</x:v>
      </x:c>
      <x:c r="G124" s="31" t="n">
        <x:v>4930931</x:v>
      </x:c>
      <x:c r="H124" s="31" t="n">
        <x:v>0</x:v>
      </x:c>
      <x:c r="I124" s="31" t="n">
        <x:v>4930931</x:v>
      </x:c>
      <x:c r="J124" s="31" t="inlineStr">
        <x:is>
          <x:t xml:space="preserve">Просрочен</x:t>
        </x:is>
      </x:c>
      <x:c r="K124" s="31" t="n">
        <x:v>44</x:v>
      </x:c>
      <x:c r="L124" s="31" t="inlineStr">
        <x:is>
          <x:t xml:space="preserve">Нет</x:t>
        </x:is>
      </x:c>
      <x:c r="M124" s="31" t="inlineStr">
        <x:is>
          <x:t xml:space="preserve">СТК-2026-1112</x:t>
        </x:is>
      </x:c>
      <x:c r="N124" s="31" t="inlineStr">
        <x:is>
          <x:t xml:space="preserve">Счет по этапу Аванс</x:t>
        </x:is>
      </x:c>
    </x:row>
    <x:row r="125" ht="18" customHeight="1">
      <x:c r="A125" s="31" t="inlineStr">
        <x:is>
          <x:t xml:space="preserve">СЧ-1112-2</x:t>
        </x:is>
      </x:c>
      <x:c r="B125" s="31" t="inlineStr">
        <x:is>
          <x:t xml:space="preserve">ЗК-1112</x:t>
        </x:is>
      </x:c>
      <x:c r="C125" s="31" t="inlineStr">
        <x:is>
          <x:t xml:space="preserve">КЛ-045</x:t>
        </x:is>
      </x:c>
      <x:c r="D125" s="31" t="inlineStr">
        <x:is>
          <x:t xml:space="preserve">Финальный платеж</x:t>
        </x:is>
      </x:c>
      <x:c r="E125" s="31" t="n">
        <x:v>46123</x:v>
      </x:c>
      <x:c r="F125" s="31" t="n">
        <x:v>46133</x:v>
      </x:c>
      <x:c r="G125" s="31" t="n">
        <x:v>4930931</x:v>
      </x:c>
      <x:c r="H125" s="31" t="n">
        <x:v>0</x:v>
      </x:c>
      <x:c r="I125" s="31" t="n">
        <x:v>4930931</x:v>
      </x:c>
      <x:c r="J125" s="31" t="inlineStr">
        <x:is>
          <x:t xml:space="preserve">Просрочен</x:t>
        </x:is>
      </x:c>
      <x:c r="K125" s="31" t="n">
        <x:v>52</x:v>
      </x:c>
      <x:c r="L125" s="31" t="inlineStr">
        <x:is>
          <x:t xml:space="preserve">Да</x:t>
        </x:is>
      </x:c>
      <x:c r="M125" s="31" t="inlineStr">
        <x:is>
          <x:t xml:space="preserve">СТК-2026-1112</x:t>
        </x:is>
      </x:c>
      <x:c r="N125" s="31" t="inlineStr">
        <x:is>
          <x:t xml:space="preserve">Счет по этапу Финальный платеж</x:t>
        </x:is>
      </x:c>
    </x:row>
    <x:row r="126" ht="18" customHeight="1">
      <x:c r="A126" s="31" t="inlineStr">
        <x:is>
          <x:t xml:space="preserve">СЧ-1113-1</x:t>
        </x:is>
      </x:c>
      <x:c r="B126" s="31" t="inlineStr">
        <x:is>
          <x:t xml:space="preserve">ЗК-1113</x:t>
        </x:is>
      </x:c>
      <x:c r="C126" s="31" t="inlineStr">
        <x:is>
          <x:t xml:space="preserve">КЛ-004</x:t>
        </x:is>
      </x:c>
      <x:c r="D126" s="31" t="inlineStr">
        <x:is>
          <x:t xml:space="preserve">Аванс</x:t>
        </x:is>
      </x:c>
      <x:c r="E126" s="31" t="n">
        <x:v>46083</x:v>
      </x:c>
      <x:c r="F126" s="31" t="n">
        <x:v>46093</x:v>
      </x:c>
      <x:c r="G126" s="31" t="n">
        <x:v>4704623</x:v>
      </x:c>
      <x:c r="H126" s="31" t="n">
        <x:v>773207</x:v>
      </x:c>
      <x:c r="I126" s="31" t="n">
        <x:v>3931416</x:v>
      </x:c>
      <x:c r="J126" s="31" t="inlineStr">
        <x:is>
          <x:t xml:space="preserve">Просрочен</x:t>
        </x:is>
      </x:c>
      <x:c r="K126" s="31" t="n">
        <x:v>92</x:v>
      </x:c>
      <x:c r="L126" s="31" t="inlineStr">
        <x:is>
          <x:t xml:space="preserve">Нет</x:t>
        </x:is>
      </x:c>
      <x:c r="M126" s="31" t="inlineStr">
        <x:is>
          <x:t xml:space="preserve">СТК-2026-1113</x:t>
        </x:is>
      </x:c>
      <x:c r="N126" s="31" t="inlineStr">
        <x:is>
          <x:t xml:space="preserve">Счет по этапу Аванс</x:t>
        </x:is>
      </x:c>
    </x:row>
    <x:row r="127" ht="18" customHeight="1">
      <x:c r="A127" s="31" t="inlineStr">
        <x:is>
          <x:t xml:space="preserve">СЧ-1114-1</x:t>
        </x:is>
      </x:c>
      <x:c r="B127" s="31" t="inlineStr">
        <x:is>
          <x:t xml:space="preserve">ЗК-1114</x:t>
        </x:is>
      </x:c>
      <x:c r="C127" s="31" t="inlineStr">
        <x:is>
          <x:t xml:space="preserve">КЛ-036</x:t>
        </x:is>
      </x:c>
      <x:c r="D127" s="31" t="inlineStr">
        <x:is>
          <x:t xml:space="preserve">Аванс</x:t>
        </x:is>
      </x:c>
      <x:c r="E127" s="31" t="n">
        <x:v>46107</x:v>
      </x:c>
      <x:c r="F127" s="31" t="n">
        <x:v>46122</x:v>
      </x:c>
      <x:c r="G127" s="31" t="n">
        <x:v>816653</x:v>
      </x:c>
      <x:c r="H127" s="31" t="n">
        <x:v>816653</x:v>
      </x:c>
      <x:c r="I127" s="31" t="n">
        <x:v>0</x:v>
      </x:c>
      <x:c r="J127" s="31" t="inlineStr">
        <x:is>
          <x:t xml:space="preserve">Оплачен</x:t>
        </x:is>
      </x:c>
      <x:c r="K127" s="31" t="n">
        <x:v>0</x:v>
      </x:c>
      <x:c r="L127" s="31" t="inlineStr">
        <x:is>
          <x:t xml:space="preserve">Да</x:t>
        </x:is>
      </x:c>
      <x:c r="M127" s="31" t="inlineStr">
        <x:is>
          <x:t xml:space="preserve">СТК-2026-1114</x:t>
        </x:is>
      </x:c>
      <x:c r="N127" s="31" t="inlineStr">
        <x:is>
          <x:t xml:space="preserve">Счет по этапу Аванс</x:t>
        </x:is>
      </x:c>
    </x:row>
    <x:row r="128" ht="18" customHeight="1">
      <x:c r="A128" s="31" t="inlineStr">
        <x:is>
          <x:t xml:space="preserve">СЧ-1116-1</x:t>
        </x:is>
      </x:c>
      <x:c r="B128" s="31" t="inlineStr">
        <x:is>
          <x:t xml:space="preserve">ЗК-1116</x:t>
        </x:is>
      </x:c>
      <x:c r="C128" s="31" t="inlineStr">
        <x:is>
          <x:t xml:space="preserve">КЛ-019</x:t>
        </x:is>
      </x:c>
      <x:c r="D128" s="31" t="inlineStr">
        <x:is>
          <x:t xml:space="preserve">Аванс</x:t>
        </x:is>
      </x:c>
      <x:c r="E128" s="31" t="n">
        <x:v>46119</x:v>
      </x:c>
      <x:c r="F128" s="31" t="n">
        <x:v>46134</x:v>
      </x:c>
      <x:c r="G128" s="31" t="n">
        <x:v>3112143</x:v>
      </x:c>
      <x:c r="H128" s="31" t="n">
        <x:v>0</x:v>
      </x:c>
      <x:c r="I128" s="31" t="n">
        <x:v>3112143</x:v>
      </x:c>
      <x:c r="J128" s="31" t="inlineStr">
        <x:is>
          <x:t xml:space="preserve">Просрочен</x:t>
        </x:is>
      </x:c>
      <x:c r="K128" s="31" t="n">
        <x:v>51</x:v>
      </x:c>
      <x:c r="L128" s="31" t="inlineStr">
        <x:is>
          <x:t xml:space="preserve">Нет</x:t>
        </x:is>
      </x:c>
      <x:c r="M128" s="31" t="inlineStr">
        <x:is>
          <x:t xml:space="preserve">СТК-2026-1116</x:t>
        </x:is>
      </x:c>
      <x:c r="N128" s="31" t="inlineStr">
        <x:is>
          <x:t xml:space="preserve">Счет по этапу Аванс</x:t>
        </x:is>
      </x:c>
    </x:row>
    <x:row r="129" ht="18" customHeight="1">
      <x:c r="A129" s="31" t="inlineStr">
        <x:is>
          <x:t xml:space="preserve">СЧ-1117-1</x:t>
        </x:is>
      </x:c>
      <x:c r="B129" s="31" t="inlineStr">
        <x:is>
          <x:t xml:space="preserve">ЗК-1117</x:t>
        </x:is>
      </x:c>
      <x:c r="C129" s="31" t="inlineStr">
        <x:is>
          <x:t xml:space="preserve">КЛ-023</x:t>
        </x:is>
      </x:c>
      <x:c r="D129" s="31" t="inlineStr">
        <x:is>
          <x:t xml:space="preserve">Аванс</x:t>
        </x:is>
      </x:c>
      <x:c r="E129" s="31" t="n">
        <x:v>46168</x:v>
      </x:c>
      <x:c r="F129" s="31" t="n">
        <x:v>46173</x:v>
      </x:c>
      <x:c r="G129" s="31" t="n">
        <x:v>9879042</x:v>
      </x:c>
      <x:c r="H129" s="31" t="n">
        <x:v>0</x:v>
      </x:c>
      <x:c r="I129" s="31" t="n">
        <x:v>9879042</x:v>
      </x:c>
      <x:c r="J129" s="31" t="inlineStr">
        <x:is>
          <x:t xml:space="preserve">Просрочен</x:t>
        </x:is>
      </x:c>
      <x:c r="K129" s="31" t="n">
        <x:v>12</x:v>
      </x:c>
      <x:c r="L129" s="31" t="inlineStr">
        <x:is>
          <x:t xml:space="preserve">Нет</x:t>
        </x:is>
      </x:c>
      <x:c r="M129" s="31" t="inlineStr">
        <x:is>
          <x:t xml:space="preserve">СТК-2026-1117</x:t>
        </x:is>
      </x:c>
      <x:c r="N129" s="31" t="inlineStr">
        <x:is>
          <x:t xml:space="preserve">Счет по этапу Аванс</x:t>
        </x:is>
      </x:c>
    </x:row>
    <x:row r="130" ht="18" customHeight="1">
      <x:c r="A130" s="31" t="inlineStr">
        <x:is>
          <x:t xml:space="preserve">СЧ-1119-1</x:t>
        </x:is>
      </x:c>
      <x:c r="B130" s="31" t="inlineStr">
        <x:is>
          <x:t xml:space="preserve">ЗК-1119</x:t>
        </x:is>
      </x:c>
      <x:c r="C130" s="31" t="inlineStr">
        <x:is>
          <x:t xml:space="preserve">КЛ-041</x:t>
        </x:is>
      </x:c>
      <x:c r="D130" s="31" t="inlineStr">
        <x:is>
          <x:t xml:space="preserve">Аванс</x:t>
        </x:is>
      </x:c>
      <x:c r="E130" s="31" t="n">
        <x:v>46132</x:v>
      </x:c>
      <x:c r="F130" s="31" t="n">
        <x:v>46142</x:v>
      </x:c>
      <x:c r="G130" s="31" t="n">
        <x:v>3238908</x:v>
      </x:c>
      <x:c r="H130" s="31" t="n">
        <x:v>3238908</x:v>
      </x:c>
      <x:c r="I130" s="31" t="n">
        <x:v>0</x:v>
      </x:c>
      <x:c r="J130" s="31" t="inlineStr">
        <x:is>
          <x:t xml:space="preserve">Оплачен</x:t>
        </x:is>
      </x:c>
      <x:c r="K130" s="31" t="n">
        <x:v>0</x:v>
      </x:c>
      <x:c r="L130" s="31" t="inlineStr">
        <x:is>
          <x:t xml:space="preserve">Да</x:t>
        </x:is>
      </x:c>
      <x:c r="M130" s="31" t="inlineStr">
        <x:is>
          <x:t xml:space="preserve">СТК-2026-1119</x:t>
        </x:is>
      </x:c>
      <x:c r="N130" s="31" t="inlineStr">
        <x:is>
          <x:t xml:space="preserve">Счет по этапу Аванс</x:t>
        </x:is>
      </x:c>
    </x:row>
    <x:row r="131" ht="18" customHeight="1">
      <x:c r="A131" s="31" t="inlineStr">
        <x:is>
          <x:t xml:space="preserve">СЧ-1120-1</x:t>
        </x:is>
      </x:c>
      <x:c r="B131" s="31" t="inlineStr">
        <x:is>
          <x:t xml:space="preserve">ЗК-1120</x:t>
        </x:is>
      </x:c>
      <x:c r="C131" s="31" t="inlineStr">
        <x:is>
          <x:t xml:space="preserve">КЛ-024</x:t>
        </x:is>
      </x:c>
      <x:c r="D131" s="31" t="inlineStr">
        <x:is>
          <x:t xml:space="preserve">Аванс</x:t>
        </x:is>
      </x:c>
      <x:c r="E131" s="31" t="n">
        <x:v>46088</x:v>
      </x:c>
      <x:c r="F131" s="31" t="n">
        <x:v>46093</x:v>
      </x:c>
      <x:c r="G131" s="31" t="n">
        <x:v>2155923</x:v>
      </x:c>
      <x:c r="H131" s="31" t="n">
        <x:v>0</x:v>
      </x:c>
      <x:c r="I131" s="31" t="n">
        <x:v>2155923</x:v>
      </x:c>
      <x:c r="J131" s="31" t="inlineStr">
        <x:is>
          <x:t xml:space="preserve">Просрочен</x:t>
        </x:is>
      </x:c>
      <x:c r="K131" s="31" t="n">
        <x:v>92</x:v>
      </x:c>
      <x:c r="L131" s="31" t="inlineStr">
        <x:is>
          <x:t xml:space="preserve">Нет</x:t>
        </x:is>
      </x:c>
      <x:c r="M131" s="31" t="inlineStr">
        <x:is>
          <x:t xml:space="preserve">СТК-2026-1120</x:t>
        </x:is>
      </x:c>
      <x:c r="N131" s="31" t="inlineStr">
        <x:is>
          <x:t xml:space="preserve">Счет по этапу Аванс</x:t>
        </x:is>
      </x:c>
    </x:row>
    <x:row r="132" ht="18" customHeight="1">
      <x:c r="A132" s="31" t="inlineStr">
        <x:is>
          <x:t xml:space="preserve">СЧ-1120-2</x:t>
        </x:is>
      </x:c>
      <x:c r="B132" s="31" t="inlineStr">
        <x:is>
          <x:t xml:space="preserve">ЗК-1120</x:t>
        </x:is>
      </x:c>
      <x:c r="C132" s="31" t="inlineStr">
        <x:is>
          <x:t xml:space="preserve">КЛ-024</x:t>
        </x:is>
      </x:c>
      <x:c r="D132" s="31" t="inlineStr">
        <x:is>
          <x:t xml:space="preserve">Финальный платеж</x:t>
        </x:is>
      </x:c>
      <x:c r="E132" s="31" t="n">
        <x:v>46085</x:v>
      </x:c>
      <x:c r="F132" s="31" t="n">
        <x:v>46100</x:v>
      </x:c>
      <x:c r="G132" s="31" t="n">
        <x:v>5030486</x:v>
      </x:c>
      <x:c r="H132" s="31" t="n">
        <x:v>0</x:v>
      </x:c>
      <x:c r="I132" s="31" t="n">
        <x:v>5030486</x:v>
      </x:c>
      <x:c r="J132" s="31" t="inlineStr">
        <x:is>
          <x:t xml:space="preserve">Просрочен</x:t>
        </x:is>
      </x:c>
      <x:c r="K132" s="31" t="n">
        <x:v>85</x:v>
      </x:c>
      <x:c r="L132" s="31" t="inlineStr">
        <x:is>
          <x:t xml:space="preserve">Нет</x:t>
        </x:is>
      </x:c>
      <x:c r="M132" s="31" t="inlineStr">
        <x:is>
          <x:t xml:space="preserve">СТК-2026-1120</x:t>
        </x:is>
      </x:c>
      <x:c r="N132" s="31" t="inlineStr">
        <x:is>
          <x:t xml:space="preserve">Счет по этапу Финальный платеж</x:t>
        </x:is>
      </x:c>
    </x:row>
    <x:row r="133" ht="18" customHeight="1">
      <x:c r="A133" s="31" t="inlineStr">
        <x:is>
          <x:t xml:space="preserve">СЧ-1121-1</x:t>
        </x:is>
      </x:c>
      <x:c r="B133" s="31" t="inlineStr">
        <x:is>
          <x:t xml:space="preserve">ЗК-1121</x:t>
        </x:is>
      </x:c>
      <x:c r="C133" s="31" t="inlineStr">
        <x:is>
          <x:t xml:space="preserve">КЛ-011</x:t>
        </x:is>
      </x:c>
      <x:c r="D133" s="31" t="inlineStr">
        <x:is>
          <x:t xml:space="preserve">Аванс</x:t>
        </x:is>
      </x:c>
      <x:c r="E133" s="31" t="n">
        <x:v>46190</x:v>
      </x:c>
      <x:c r="F133" s="31" t="n">
        <x:v>46205</x:v>
      </x:c>
      <x:c r="G133" s="31" t="n">
        <x:v>871581</x:v>
      </x:c>
      <x:c r="H133" s="31" t="n">
        <x:v>212015</x:v>
      </x:c>
      <x:c r="I133" s="31" t="n">
        <x:v>659566</x:v>
      </x:c>
      <x:c r="J133" s="31" t="inlineStr">
        <x:is>
          <x:t xml:space="preserve">Частично оплачен</x:t>
        </x:is>
      </x:c>
      <x:c r="K133" s="31" t="n">
        <x:v>0</x:v>
      </x:c>
      <x:c r="L133" s="31" t="inlineStr">
        <x:is>
          <x:t xml:space="preserve">Нет</x:t>
        </x:is>
      </x:c>
      <x:c r="M133" s="31" t="inlineStr">
        <x:is>
          <x:t xml:space="preserve">СТК-2026-1121</x:t>
        </x:is>
      </x:c>
      <x:c r="N133" s="31" t="inlineStr">
        <x:is>
          <x:t xml:space="preserve">Счет по этапу Аванс</x:t>
        </x:is>
      </x:c>
    </x:row>
    <x:row r="134" ht="18" customHeight="1">
      <x:c r="A134" s="31" t="inlineStr">
        <x:is>
          <x:t xml:space="preserve">СЧ-1122-1</x:t>
        </x:is>
      </x:c>
      <x:c r="B134" s="31" t="inlineStr">
        <x:is>
          <x:t xml:space="preserve">ЗК-1122</x:t>
        </x:is>
      </x:c>
      <x:c r="C134" s="31" t="inlineStr">
        <x:is>
          <x:t xml:space="preserve">КЛ-012</x:t>
        </x:is>
      </x:c>
      <x:c r="D134" s="31" t="inlineStr">
        <x:is>
          <x:t xml:space="preserve">Аванс</x:t>
        </x:is>
      </x:c>
      <x:c r="E134" s="31" t="n">
        <x:v>46153</x:v>
      </x:c>
      <x:c r="F134" s="31" t="n">
        <x:v>46168</x:v>
      </x:c>
      <x:c r="G134" s="31" t="n">
        <x:v>1111274</x:v>
      </x:c>
      <x:c r="H134" s="31" t="n">
        <x:v>0</x:v>
      </x:c>
      <x:c r="I134" s="31" t="n">
        <x:v>1111274</x:v>
      </x:c>
      <x:c r="J134" s="31" t="inlineStr">
        <x:is>
          <x:t xml:space="preserve">Просрочен</x:t>
        </x:is>
      </x:c>
      <x:c r="K134" s="31" t="n">
        <x:v>17</x:v>
      </x:c>
      <x:c r="L134" s="31" t="inlineStr">
        <x:is>
          <x:t xml:space="preserve">Нет</x:t>
        </x:is>
      </x:c>
      <x:c r="M134" s="31" t="inlineStr">
        <x:is>
          <x:t xml:space="preserve">СТК-2026-1122</x:t>
        </x:is>
      </x:c>
      <x:c r="N134" s="31" t="inlineStr">
        <x:is>
          <x:t xml:space="preserve">Счет по этапу Аванс</x:t>
        </x:is>
      </x:c>
    </x:row>
    <x:row r="135" ht="18" customHeight="1">
      <x:c r="A135" s="31" t="inlineStr">
        <x:is>
          <x:t xml:space="preserve">СЧ-1123-1</x:t>
        </x:is>
      </x:c>
      <x:c r="B135" s="31" t="inlineStr">
        <x:is>
          <x:t xml:space="preserve">ЗК-1123</x:t>
        </x:is>
      </x:c>
      <x:c r="C135" s="31" t="inlineStr">
        <x:is>
          <x:t xml:space="preserve">КЛ-022</x:t>
        </x:is>
      </x:c>
      <x:c r="D135" s="31" t="inlineStr">
        <x:is>
          <x:t xml:space="preserve">Аванс</x:t>
        </x:is>
      </x:c>
      <x:c r="E135" s="31" t="n">
        <x:v>46152</x:v>
      </x:c>
      <x:c r="F135" s="31" t="n">
        <x:v>46162</x:v>
      </x:c>
      <x:c r="G135" s="31" t="n">
        <x:v>3576389</x:v>
      </x:c>
      <x:c r="H135" s="31" t="n">
        <x:v>3576389</x:v>
      </x:c>
      <x:c r="I135" s="31" t="n">
        <x:v>0</x:v>
      </x:c>
      <x:c r="J135" s="31" t="inlineStr">
        <x:is>
          <x:t xml:space="preserve">Оплачен</x:t>
        </x:is>
      </x:c>
      <x:c r="K135" s="31" t="n">
        <x:v>0</x:v>
      </x:c>
      <x:c r="L135" s="31" t="inlineStr">
        <x:is>
          <x:t xml:space="preserve">Нет</x:t>
        </x:is>
      </x:c>
      <x:c r="M135" s="31" t="inlineStr">
        <x:is>
          <x:t xml:space="preserve">СТК-2026-1123</x:t>
        </x:is>
      </x:c>
      <x:c r="N135" s="31" t="inlineStr">
        <x:is>
          <x:t xml:space="preserve">Счет по этапу Аванс</x:t>
        </x:is>
      </x:c>
    </x:row>
    <x:row r="136" ht="18" customHeight="1">
      <x:c r="A136" s="31" t="inlineStr">
        <x:is>
          <x:t xml:space="preserve">СЧ-1123-2</x:t>
        </x:is>
      </x:c>
      <x:c r="B136" s="31" t="inlineStr">
        <x:is>
          <x:t xml:space="preserve">ЗК-1123</x:t>
        </x:is>
      </x:c>
      <x:c r="C136" s="31" t="inlineStr">
        <x:is>
          <x:t xml:space="preserve">КЛ-022</x:t>
        </x:is>
      </x:c>
      <x:c r="D136" s="31" t="inlineStr">
        <x:is>
          <x:t xml:space="preserve">Финальный платеж</x:t>
        </x:is>
      </x:c>
      <x:c r="E136" s="31" t="n">
        <x:v>46169</x:v>
      </x:c>
      <x:c r="F136" s="31" t="n">
        <x:v>46189</x:v>
      </x:c>
      <x:c r="G136" s="31" t="n">
        <x:v>3576389</x:v>
      </x:c>
      <x:c r="H136" s="31" t="n">
        <x:v>3576389</x:v>
      </x:c>
      <x:c r="I136" s="31" t="n">
        <x:v>0</x:v>
      </x:c>
      <x:c r="J136" s="31" t="inlineStr">
        <x:is>
          <x:t xml:space="preserve">Оплачен</x:t>
        </x:is>
      </x:c>
      <x:c r="K136" s="31" t="n">
        <x:v>0</x:v>
      </x:c>
      <x:c r="L136" s="31" t="inlineStr">
        <x:is>
          <x:t xml:space="preserve">Нет</x:t>
        </x:is>
      </x:c>
      <x:c r="M136" s="31" t="inlineStr">
        <x:is>
          <x:t xml:space="preserve">СТК-2026-1123</x:t>
        </x:is>
      </x:c>
      <x:c r="N136" s="31" t="inlineStr">
        <x:is>
          <x:t xml:space="preserve">Счет по этапу Финальный платеж</x:t>
        </x:is>
      </x:c>
    </x:row>
    <x:row r="137" ht="18" customHeight="1">
      <x:c r="A137" s="31" t="inlineStr">
        <x:is>
          <x:t xml:space="preserve">СЧ-1124-1</x:t>
        </x:is>
      </x:c>
      <x:c r="B137" s="31" t="inlineStr">
        <x:is>
          <x:t xml:space="preserve">ЗК-1124</x:t>
        </x:is>
      </x:c>
      <x:c r="C137" s="31" t="inlineStr">
        <x:is>
          <x:t xml:space="preserve">КЛ-043</x:t>
        </x:is>
      </x:c>
      <x:c r="D137" s="31" t="inlineStr">
        <x:is>
          <x:t xml:space="preserve">Аванс</x:t>
        </x:is>
      </x:c>
      <x:c r="E137" s="31" t="n">
        <x:v>46050</x:v>
      </x:c>
      <x:c r="F137" s="31" t="n">
        <x:v>46080</x:v>
      </x:c>
      <x:c r="G137" s="31" t="n">
        <x:v>230002</x:v>
      </x:c>
      <x:c r="H137" s="31" t="n">
        <x:v>96399</x:v>
      </x:c>
      <x:c r="I137" s="31" t="n">
        <x:v>133603</x:v>
      </x:c>
      <x:c r="J137" s="31" t="inlineStr">
        <x:is>
          <x:t xml:space="preserve">Просрочен</x:t>
        </x:is>
      </x:c>
      <x:c r="K137" s="31" t="n">
        <x:v>105</x:v>
      </x:c>
      <x:c r="L137" s="31" t="inlineStr">
        <x:is>
          <x:t xml:space="preserve">Нет</x:t>
        </x:is>
      </x:c>
      <x:c r="M137" s="31" t="inlineStr">
        <x:is>
          <x:t xml:space="preserve">СТК-2026-1124</x:t>
        </x:is>
      </x:c>
      <x:c r="N137" s="31" t="inlineStr">
        <x:is>
          <x:t xml:space="preserve">Счет по этапу Аванс</x:t>
        </x:is>
      </x:c>
    </x:row>
    <x:row r="138" ht="18" customHeight="1">
      <x:c r="A138" s="31" t="inlineStr">
        <x:is>
          <x:t xml:space="preserve">СЧ-1124-2</x:t>
        </x:is>
      </x:c>
      <x:c r="B138" s="31" t="inlineStr">
        <x:is>
          <x:t xml:space="preserve">ЗК-1124</x:t>
        </x:is>
      </x:c>
      <x:c r="C138" s="31" t="inlineStr">
        <x:is>
          <x:t xml:space="preserve">КЛ-043</x:t>
        </x:is>
      </x:c>
      <x:c r="D138" s="31" t="inlineStr">
        <x:is>
          <x:t xml:space="preserve">Финальный платеж</x:t>
        </x:is>
      </x:c>
      <x:c r="E138" s="31" t="n">
        <x:v>46062</x:v>
      </x:c>
      <x:c r="F138" s="31" t="n">
        <x:v>46082</x:v>
      </x:c>
      <x:c r="G138" s="31" t="n">
        <x:v>920007</x:v>
      </x:c>
      <x:c r="H138" s="31" t="n">
        <x:v>736867</x:v>
      </x:c>
      <x:c r="I138" s="31" t="n">
        <x:v>183140</x:v>
      </x:c>
      <x:c r="J138" s="31" t="inlineStr">
        <x:is>
          <x:t xml:space="preserve">Просрочен</x:t>
        </x:is>
      </x:c>
      <x:c r="K138" s="31" t="n">
        <x:v>103</x:v>
      </x:c>
      <x:c r="L138" s="31" t="inlineStr">
        <x:is>
          <x:t xml:space="preserve">Нет</x:t>
        </x:is>
      </x:c>
      <x:c r="M138" s="31" t="inlineStr">
        <x:is>
          <x:t xml:space="preserve">СТК-2026-1124</x:t>
        </x:is>
      </x:c>
      <x:c r="N138" s="31" t="inlineStr">
        <x:is>
          <x:t xml:space="preserve">Счет по этапу Финальный платеж</x:t>
        </x:is>
      </x:c>
    </x:row>
    <x:row r="139" ht="18" customHeight="1">
      <x:c r="A139" s="31" t="inlineStr">
        <x:is>
          <x:t xml:space="preserve">СЧ-1125-1</x:t>
        </x:is>
      </x:c>
      <x:c r="B139" s="31" t="inlineStr">
        <x:is>
          <x:t xml:space="preserve">ЗК-1125</x:t>
        </x:is>
      </x:c>
      <x:c r="C139" s="31" t="inlineStr">
        <x:is>
          <x:t xml:space="preserve">КЛ-029</x:t>
        </x:is>
      </x:c>
      <x:c r="D139" s="31" t="inlineStr">
        <x:is>
          <x:t xml:space="preserve">Аванс</x:t>
        </x:is>
      </x:c>
      <x:c r="E139" s="31" t="n">
        <x:v>46067</x:v>
      </x:c>
      <x:c r="F139" s="31" t="n">
        <x:v>46072</x:v>
      </x:c>
      <x:c r="G139" s="31" t="n">
        <x:v>2010557</x:v>
      </x:c>
      <x:c r="H139" s="31" t="n">
        <x:v>2010557</x:v>
      </x:c>
      <x:c r="I139" s="31" t="n">
        <x:v>0</x:v>
      </x:c>
      <x:c r="J139" s="31" t="inlineStr">
        <x:is>
          <x:t xml:space="preserve">Оплачен</x:t>
        </x:is>
      </x:c>
      <x:c r="K139" s="31" t="n">
        <x:v>0</x:v>
      </x:c>
      <x:c r="L139" s="31" t="inlineStr">
        <x:is>
          <x:t xml:space="preserve">Нет</x:t>
        </x:is>
      </x:c>
      <x:c r="M139" s="31" t="inlineStr">
        <x:is>
          <x:t xml:space="preserve">СТК-2026-1125</x:t>
        </x:is>
      </x:c>
      <x:c r="N139" s="31" t="inlineStr">
        <x:is>
          <x:t xml:space="preserve">Счет по этапу Аванс</x:t>
        </x:is>
      </x:c>
    </x:row>
    <x:row r="140" ht="18" customHeight="1">
      <x:c r="A140" s="31" t="inlineStr">
        <x:is>
          <x:t xml:space="preserve">СЧ-1126-1</x:t>
        </x:is>
      </x:c>
      <x:c r="B140" s="31" t="inlineStr">
        <x:is>
          <x:t xml:space="preserve">ЗК-1126</x:t>
        </x:is>
      </x:c>
      <x:c r="C140" s="31" t="inlineStr">
        <x:is>
          <x:t xml:space="preserve">КЛ-026</x:t>
        </x:is>
      </x:c>
      <x:c r="D140" s="31" t="inlineStr">
        <x:is>
          <x:t xml:space="preserve">Аванс</x:t>
        </x:is>
      </x:c>
      <x:c r="E140" s="31" t="n">
        <x:v>46179</x:v>
      </x:c>
      <x:c r="F140" s="31" t="n">
        <x:v>46194</x:v>
      </x:c>
      <x:c r="G140" s="31" t="n">
        <x:v>1611129</x:v>
      </x:c>
      <x:c r="H140" s="31" t="n">
        <x:v>0</x:v>
      </x:c>
      <x:c r="I140" s="31" t="n">
        <x:v>1611129</x:v>
      </x:c>
      <x:c r="J140" s="31" t="inlineStr">
        <x:is>
          <x:t xml:space="preserve">Ожидает оплаты</x:t>
        </x:is>
      </x:c>
      <x:c r="K140" s="31" t="n">
        <x:v>0</x:v>
      </x:c>
      <x:c r="L140" s="31" t="inlineStr">
        <x:is>
          <x:t xml:space="preserve">Нет</x:t>
        </x:is>
      </x:c>
      <x:c r="M140" s="31" t="inlineStr">
        <x:is>
          <x:t xml:space="preserve">СТК-2026-1126</x:t>
        </x:is>
      </x:c>
      <x:c r="N140" s="31" t="inlineStr">
        <x:is>
          <x:t xml:space="preserve">Счет по этапу Аванс</x:t>
        </x:is>
      </x:c>
    </x:row>
    <x:row r="141" ht="18" customHeight="1">
      <x:c r="A141" s="31" t="inlineStr">
        <x:is>
          <x:t xml:space="preserve">СЧ-1128-1</x:t>
        </x:is>
      </x:c>
      <x:c r="B141" s="31" t="inlineStr">
        <x:is>
          <x:t xml:space="preserve">ЗК-1128</x:t>
        </x:is>
      </x:c>
      <x:c r="C141" s="31" t="inlineStr">
        <x:is>
          <x:t xml:space="preserve">КЛ-047</x:t>
        </x:is>
      </x:c>
      <x:c r="D141" s="31" t="inlineStr">
        <x:is>
          <x:t xml:space="preserve">Аванс</x:t>
        </x:is>
      </x:c>
      <x:c r="E141" s="31" t="n">
        <x:v>46125</x:v>
      </x:c>
      <x:c r="F141" s="31" t="n">
        <x:v>46130</x:v>
      </x:c>
      <x:c r="G141" s="31" t="n">
        <x:v>1845488</x:v>
      </x:c>
      <x:c r="H141" s="31" t="n">
        <x:v>133546</x:v>
      </x:c>
      <x:c r="I141" s="31" t="n">
        <x:v>1711942</x:v>
      </x:c>
      <x:c r="J141" s="31" t="inlineStr">
        <x:is>
          <x:t xml:space="preserve">Просрочен</x:t>
        </x:is>
      </x:c>
      <x:c r="K141" s="31" t="n">
        <x:v>55</x:v>
      </x:c>
      <x:c r="L141" s="31" t="inlineStr">
        <x:is>
          <x:t xml:space="preserve">Нет</x:t>
        </x:is>
      </x:c>
      <x:c r="M141" s="31" t="inlineStr">
        <x:is>
          <x:t xml:space="preserve">СТК-2026-1128</x:t>
        </x:is>
      </x:c>
      <x:c r="N141" s="31" t="inlineStr">
        <x:is>
          <x:t xml:space="preserve">Счет по этапу Аванс</x:t>
        </x:is>
      </x:c>
    </x:row>
    <x:row r="142" ht="18" customHeight="1">
      <x:c r="A142" s="31" t="inlineStr">
        <x:is>
          <x:t xml:space="preserve">СЧ-1129-1</x:t>
        </x:is>
      </x:c>
      <x:c r="B142" s="31" t="inlineStr">
        <x:is>
          <x:t xml:space="preserve">ЗК-1129</x:t>
        </x:is>
      </x:c>
      <x:c r="C142" s="31" t="inlineStr">
        <x:is>
          <x:t xml:space="preserve">КЛ-033</x:t>
        </x:is>
      </x:c>
      <x:c r="D142" s="31" t="inlineStr">
        <x:is>
          <x:t xml:space="preserve">Аванс</x:t>
        </x:is>
      </x:c>
      <x:c r="E142" s="31" t="n">
        <x:v>46143</x:v>
      </x:c>
      <x:c r="F142" s="31" t="n">
        <x:v>46158</x:v>
      </x:c>
      <x:c r="G142" s="31" t="n">
        <x:v>3342082</x:v>
      </x:c>
      <x:c r="H142" s="31" t="n">
        <x:v>3342082</x:v>
      </x:c>
      <x:c r="I142" s="31" t="n">
        <x:v>0</x:v>
      </x:c>
      <x:c r="J142" s="31" t="inlineStr">
        <x:is>
          <x:t xml:space="preserve">Оплачен</x:t>
        </x:is>
      </x:c>
      <x:c r="K142" s="31" t="n">
        <x:v>0</x:v>
      </x:c>
      <x:c r="L142" s="31" t="inlineStr">
        <x:is>
          <x:t xml:space="preserve">Нет</x:t>
        </x:is>
      </x:c>
      <x:c r="M142" s="31" t="inlineStr">
        <x:is>
          <x:t xml:space="preserve">СТК-2026-1129</x:t>
        </x:is>
      </x:c>
      <x:c r="N142" s="31" t="inlineStr">
        <x:is>
          <x:t xml:space="preserve">Счет по этапу Аванс</x:t>
        </x:is>
      </x:c>
    </x:row>
    <x:row r="143" ht="18" customHeight="1">
      <x:c r="A143" s="31" t="inlineStr">
        <x:is>
          <x:t xml:space="preserve">СЧ-1130-1</x:t>
        </x:is>
      </x:c>
      <x:c r="B143" s="31" t="inlineStr">
        <x:is>
          <x:t xml:space="preserve">ЗК-1130</x:t>
        </x:is>
      </x:c>
      <x:c r="C143" s="31" t="inlineStr">
        <x:is>
          <x:t xml:space="preserve">КЛ-008</x:t>
        </x:is>
      </x:c>
      <x:c r="D143" s="31" t="inlineStr">
        <x:is>
          <x:t xml:space="preserve">Аванс</x:t>
        </x:is>
      </x:c>
      <x:c r="E143" s="31" t="n">
        <x:v>46188</x:v>
      </x:c>
      <x:c r="F143" s="31" t="n">
        <x:v>46218</x:v>
      </x:c>
      <x:c r="G143" s="31" t="n">
        <x:v>620719</x:v>
      </x:c>
      <x:c r="H143" s="31" t="n">
        <x:v>0</x:v>
      </x:c>
      <x:c r="I143" s="31" t="n">
        <x:v>620719</x:v>
      </x:c>
      <x:c r="J143" s="31" t="inlineStr">
        <x:is>
          <x:t xml:space="preserve">Ожидает оплаты</x:t>
        </x:is>
      </x:c>
      <x:c r="K143" s="31" t="n">
        <x:v>0</x:v>
      </x:c>
      <x:c r="L143" s="31" t="inlineStr">
        <x:is>
          <x:t xml:space="preserve">Нет</x:t>
        </x:is>
      </x:c>
      <x:c r="M143" s="31" t="inlineStr">
        <x:is>
          <x:t xml:space="preserve">СТК-2026-1130</x:t>
        </x:is>
      </x:c>
      <x:c r="N143" s="31" t="inlineStr">
        <x:is>
          <x:t xml:space="preserve">Счет по этапу Аванс</x:t>
        </x:is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2" customWidth="1"/>
    <x:col min="3" max="3" width="15" customWidth="1"/>
    <x:col min="4" max="4" width="13" customWidth="1"/>
    <x:col min="5" max="5" width="15" customWidth="1"/>
    <x:col min="6" max="6" width="20" customWidth="1"/>
    <x:col min="7" max="7" width="16" customWidth="1"/>
    <x:col min="8" max="8" width="17" customWidth="1"/>
    <x:col min="9" max="9" width="23" customWidth="1"/>
    <x:col min="10" max="10" width="26" customWidth="1"/>
    <x:col min="11" max="11" width="10" customWidth="1"/>
    <x:col min="12" max="12" width="19" customWidth="1"/>
  </x:cols>
  <x:sheetData>
    <x:row r="1" ht="18" customHeight="1">
      <x:c r="A1" s="30" t="inlineStr">
        <x:is>
          <x:t xml:space="preserve">Код отгрузки</x:t>
        </x:is>
      </x:c>
      <x:c r="B1" s="30" t="inlineStr">
        <x:is>
          <x:t xml:space="preserve">Код заказа</x:t>
        </x:is>
      </x:c>
      <x:c r="C1" s="30" t="inlineStr">
        <x:is>
          <x:t xml:space="preserve">Код заказчика</x:t>
        </x:is>
      </x:c>
      <x:c r="D1" s="30" t="inlineStr">
        <x:is>
          <x:t xml:space="preserve">Дата заявки</x:t>
        </x:is>
      </x:c>
      <x:c r="E1" s="30" t="inlineStr">
        <x:is>
          <x:t xml:space="preserve">Дата отгрузки</x:t>
        </x:is>
      </x:c>
      <x:c r="F1" s="30" t="inlineStr">
        <x:is>
          <x:t xml:space="preserve">Статус</x:t>
        </x:is>
      </x:c>
      <x:c r="G1" s="30" t="inlineStr">
        <x:is>
          <x:t xml:space="preserve">Вид транспорта</x:t>
        </x:is>
      </x:c>
      <x:c r="H1" s="30" t="inlineStr">
        <x:is>
          <x:t xml:space="preserve">Стоимость, руб.</x:t>
        </x:is>
      </x:c>
      <x:c r="I1" s="30" t="inlineStr">
        <x:is>
          <x:t xml:space="preserve">Перевозчик</x:t>
        </x:is>
      </x:c>
      <x:c r="J1" s="30" t="inlineStr">
        <x:is>
          <x:t xml:space="preserve">Кредит-блок при отгрузке</x:t>
        </x:is>
      </x:c>
      <x:c r="K1" s="30" t="inlineStr">
        <x:is>
          <x:t xml:space="preserve">Логист</x:t>
        </x:is>
      </x:c>
      <x:c r="L1" s="30" t="inlineStr">
        <x:is>
          <x:t xml:space="preserve">Груз</x:t>
        </x:is>
      </x:c>
    </x:row>
    <x:row r="2" ht="18" customHeight="1">
      <x:c r="A2" s="31" t="inlineStr">
        <x:is>
          <x:t xml:space="preserve">ОТГ-00001</x:t>
        </x:is>
      </x:c>
      <x:c r="B2" s="31" t="inlineStr">
        <x:is>
          <x:t xml:space="preserve">ЗК-1002</x:t>
        </x:is>
      </x:c>
      <x:c r="C2" s="31" t="inlineStr">
        <x:is>
          <x:t xml:space="preserve">КЛ-046</x:t>
        </x:is>
      </x:c>
      <x:c r="D2" s="31" t="n">
        <x:v>46202</x:v>
      </x:c>
      <x:c r="E2" s="31" t="n"/>
      <x:c r="F2" s="31" t="inlineStr">
        <x:is>
          <x:t xml:space="preserve">ТК назначена</x:t>
        </x:is>
      </x:c>
      <x:c r="G2" s="31" t="inlineStr">
        <x:is>
          <x:t xml:space="preserve">Авто 5 т</x:t>
        </x:is>
      </x:c>
      <x:c r="H2" s="31" t="n">
        <x:v>65734</x:v>
      </x:c>
      <x:c r="I2" s="31" t="inlineStr">
        <x:is>
          <x:t xml:space="preserve">Собственный транспорт</x:t>
        </x:is>
      </x:c>
      <x:c r="J2" s="31" t="inlineStr">
        <x:is>
          <x:t xml:space="preserve">Нет</x:t>
        </x:is>
      </x:c>
      <x:c r="K2" s="31" t="inlineStr">
        <x:is>
          <x:t xml:space="preserve">СОТР-070</x:t>
        </x:is>
      </x:c>
      <x:c r="L2" s="31" t="inlineStr">
        <x:is>
          <x:t xml:space="preserve">Грузовые места: 4</x:t>
        </x:is>
      </x:c>
    </x:row>
    <x:row r="3" ht="18" customHeight="1">
      <x:c r="A3" s="31" t="inlineStr">
        <x:is>
          <x:t xml:space="preserve">ОТГ-00002</x:t>
        </x:is>
      </x:c>
      <x:c r="B3" s="31" t="inlineStr">
        <x:is>
          <x:t xml:space="preserve">ЗК-1003</x:t>
        </x:is>
      </x:c>
      <x:c r="C3" s="31" t="inlineStr">
        <x:is>
          <x:t xml:space="preserve">КЛ-001</x:t>
        </x:is>
      </x:c>
      <x:c r="D3" s="31" t="n">
        <x:v>46242</x:v>
      </x:c>
      <x:c r="E3" s="31" t="n">
        <x:v>46248</x:v>
      </x:c>
      <x:c r="F3" s="31" t="inlineStr">
        <x:is>
          <x:t xml:space="preserve">Отгружено</x:t>
        </x:is>
      </x:c>
      <x:c r="G3" s="31" t="inlineStr">
        <x:is>
          <x:t xml:space="preserve">Сборный груз</x:t>
        </x:is>
      </x:c>
      <x:c r="H3" s="31" t="n">
        <x:v>94432</x:v>
      </x:c>
      <x:c r="I3" s="31" t="inlineStr">
        <x:is>
          <x:t xml:space="preserve">ПЭК</x:t>
        </x:is>
      </x:c>
      <x:c r="J3" s="31" t="inlineStr">
        <x:is>
          <x:t xml:space="preserve">Нет</x:t>
        </x:is>
      </x:c>
      <x:c r="K3" s="31" t="inlineStr">
        <x:is>
          <x:t xml:space="preserve">СОТР-105</x:t>
        </x:is>
      </x:c>
      <x:c r="L3" s="31" t="inlineStr">
        <x:is>
          <x:t xml:space="preserve">Грузовые места: 2</x:t>
        </x:is>
      </x:c>
    </x:row>
    <x:row r="4" ht="18" customHeight="1">
      <x:c r="A4" s="31" t="inlineStr">
        <x:is>
          <x:t xml:space="preserve">ОТГ-00003</x:t>
        </x:is>
      </x:c>
      <x:c r="B4" s="31" t="inlineStr">
        <x:is>
          <x:t xml:space="preserve">ЗК-1005</x:t>
        </x:is>
      </x:c>
      <x:c r="C4" s="31" t="inlineStr">
        <x:is>
          <x:t xml:space="preserve">КЛ-010</x:t>
        </x:is>
      </x:c>
      <x:c r="D4" s="31" t="n">
        <x:v>46116</x:v>
      </x:c>
      <x:c r="E4" s="31" t="n">
        <x:v>46122</x:v>
      </x:c>
      <x:c r="F4" s="31" t="inlineStr">
        <x:is>
          <x:t xml:space="preserve">Отгружено</x:t>
        </x:is>
      </x:c>
      <x:c r="G4" s="31" t="inlineStr">
        <x:is>
          <x:t xml:space="preserve">Авто 5 т</x:t>
        </x:is>
      </x:c>
      <x:c r="H4" s="31" t="n">
        <x:v>241011</x:v>
      </x:c>
      <x:c r="I4" s="31" t="inlineStr">
        <x:is>
          <x:t xml:space="preserve">ПЭК</x:t>
        </x:is>
      </x:c>
      <x:c r="J4" s="31" t="inlineStr">
        <x:is>
          <x:t xml:space="preserve">Нет</x:t>
        </x:is>
      </x:c>
      <x:c r="K4" s="31" t="inlineStr">
        <x:is>
          <x:t xml:space="preserve">СОТР-103</x:t>
        </x:is>
      </x:c>
      <x:c r="L4" s="31" t="inlineStr">
        <x:is>
          <x:t xml:space="preserve">Грузовые места: 4</x:t>
        </x:is>
      </x:c>
    </x:row>
    <x:row r="5" ht="18" customHeight="1">
      <x:c r="A5" s="31" t="inlineStr">
        <x:is>
          <x:t xml:space="preserve">ОТГ-00004</x:t>
        </x:is>
      </x:c>
      <x:c r="B5" s="31" t="inlineStr">
        <x:is>
          <x:t xml:space="preserve">ЗК-1007</x:t>
        </x:is>
      </x:c>
      <x:c r="C5" s="31" t="inlineStr">
        <x:is>
          <x:t xml:space="preserve">КЛ-039</x:t>
        </x:is>
      </x:c>
      <x:c r="D5" s="31" t="n">
        <x:v>46180</x:v>
      </x:c>
      <x:c r="E5" s="31" t="n"/>
      <x:c r="F5" s="31" t="inlineStr">
        <x:is>
          <x:t xml:space="preserve">Заявка</x:t>
        </x:is>
      </x:c>
      <x:c r="G5" s="31" t="inlineStr">
        <x:is>
          <x:t xml:space="preserve">Авто 5 т</x:t>
        </x:is>
      </x:c>
      <x:c r="H5" s="31" t="n">
        <x:v>131860</x:v>
      </x:c>
      <x:c r="I5" s="31" t="inlineStr">
        <x:is>
          <x:t xml:space="preserve">Собственный транспорт</x:t>
        </x:is>
      </x:c>
      <x:c r="J5" s="31" t="inlineStr">
        <x:is>
          <x:t xml:space="preserve">Нет</x:t>
        </x:is>
      </x:c>
      <x:c r="K5" s="31" t="inlineStr">
        <x:is>
          <x:t xml:space="preserve">СОТР-104</x:t>
        </x:is>
      </x:c>
      <x:c r="L5" s="31" t="inlineStr">
        <x:is>
          <x:t xml:space="preserve">Грузовые места: 5</x:t>
        </x:is>
      </x:c>
    </x:row>
    <x:row r="6" ht="18" customHeight="1">
      <x:c r="A6" s="31" t="inlineStr">
        <x:is>
          <x:t xml:space="preserve">ОТГ-00005</x:t>
        </x:is>
      </x:c>
      <x:c r="B6" s="31" t="inlineStr">
        <x:is>
          <x:t xml:space="preserve">ЗК-1008</x:t>
        </x:is>
      </x:c>
      <x:c r="C6" s="31" t="inlineStr">
        <x:is>
          <x:t xml:space="preserve">КЛ-014</x:t>
        </x:is>
      </x:c>
      <x:c r="D6" s="31" t="n">
        <x:v>46123</x:v>
      </x:c>
      <x:c r="E6" s="31" t="n">
        <x:v>46130</x:v>
      </x:c>
      <x:c r="F6" s="31" t="inlineStr">
        <x:is>
          <x:t xml:space="preserve">Отгружено</x:t>
        </x:is>
      </x:c>
      <x:c r="G6" s="31" t="inlineStr">
        <x:is>
          <x:t xml:space="preserve">Авто 5 т</x:t>
        </x:is>
      </x:c>
      <x:c r="H6" s="31" t="n">
        <x:v>155743</x:v>
      </x:c>
      <x:c r="I6" s="31" t="inlineStr">
        <x:is>
          <x:t xml:space="preserve">ТК Энергия</x:t>
        </x:is>
      </x:c>
      <x:c r="J6" s="31" t="inlineStr">
        <x:is>
          <x:t xml:space="preserve">Нет</x:t>
        </x:is>
      </x:c>
      <x:c r="K6" s="31" t="inlineStr">
        <x:is>
          <x:t xml:space="preserve">СОТР-105</x:t>
        </x:is>
      </x:c>
      <x:c r="L6" s="31" t="inlineStr">
        <x:is>
          <x:t xml:space="preserve">Грузовые места: 3</x:t>
        </x:is>
      </x:c>
    </x:row>
    <x:row r="7" ht="18" customHeight="1">
      <x:c r="A7" s="31" t="inlineStr">
        <x:is>
          <x:t xml:space="preserve">ОТГ-00006</x:t>
        </x:is>
      </x:c>
      <x:c r="B7" s="31" t="inlineStr">
        <x:is>
          <x:t xml:space="preserve">ЗК-1014</x:t>
        </x:is>
      </x:c>
      <x:c r="C7" s="31" t="inlineStr">
        <x:is>
          <x:t xml:space="preserve">КЛ-024</x:t>
        </x:is>
      </x:c>
      <x:c r="D7" s="31" t="n">
        <x:v>46086</x:v>
      </x:c>
      <x:c r="E7" s="31" t="n"/>
      <x:c r="F7" s="31" t="inlineStr">
        <x:is>
          <x:t xml:space="preserve">Заявка</x:t>
        </x:is>
      </x:c>
      <x:c r="G7" s="31" t="inlineStr">
        <x:is>
          <x:t xml:space="preserve">Манипулятор</x:t>
        </x:is>
      </x:c>
      <x:c r="H7" s="31" t="n">
        <x:v>89630</x:v>
      </x:c>
      <x:c r="I7" s="31" t="inlineStr">
        <x:is>
          <x:t xml:space="preserve">ТК Энергия</x:t>
        </x:is>
      </x:c>
      <x:c r="J7" s="31" t="inlineStr">
        <x:is>
          <x:t xml:space="preserve">Нет</x:t>
        </x:is>
      </x:c>
      <x:c r="K7" s="31" t="inlineStr">
        <x:is>
          <x:t xml:space="preserve">СОТР-105</x:t>
        </x:is>
      </x:c>
      <x:c r="L7" s="31" t="inlineStr">
        <x:is>
          <x:t xml:space="preserve">Грузовые места: 4</x:t>
        </x:is>
      </x:c>
    </x:row>
    <x:row r="8" ht="18" customHeight="1">
      <x:c r="A8" s="31" t="inlineStr">
        <x:is>
          <x:t xml:space="preserve">ОТГ-00007</x:t>
        </x:is>
      </x:c>
      <x:c r="B8" s="31" t="inlineStr">
        <x:is>
          <x:t xml:space="preserve">ЗК-1016</x:t>
        </x:is>
      </x:c>
      <x:c r="C8" s="31" t="inlineStr">
        <x:is>
          <x:t xml:space="preserve">КЛ-010</x:t>
        </x:is>
      </x:c>
      <x:c r="D8" s="31" t="n">
        <x:v>46113</x:v>
      </x:c>
      <x:c r="E8" s="31" t="n">
        <x:v>46116</x:v>
      </x:c>
      <x:c r="F8" s="31" t="inlineStr">
        <x:is>
          <x:t xml:space="preserve">Отгружено</x:t>
        </x:is>
      </x:c>
      <x:c r="G8" s="31" t="inlineStr">
        <x:is>
          <x:t xml:space="preserve">Авто 5 т</x:t>
        </x:is>
      </x:c>
      <x:c r="H8" s="31" t="n">
        <x:v>148556</x:v>
      </x:c>
      <x:c r="I8" s="31" t="inlineStr">
        <x:is>
          <x:t xml:space="preserve">ПЭК</x:t>
        </x:is>
      </x:c>
      <x:c r="J8" s="31" t="inlineStr">
        <x:is>
          <x:t xml:space="preserve">Нет</x:t>
        </x:is>
      </x:c>
      <x:c r="K8" s="31" t="inlineStr">
        <x:is>
          <x:t xml:space="preserve">СОТР-104</x:t>
        </x:is>
      </x:c>
      <x:c r="L8" s="31" t="inlineStr">
        <x:is>
          <x:t xml:space="preserve">Грузовые места: 2</x:t>
        </x:is>
      </x:c>
    </x:row>
    <x:row r="9" ht="18" customHeight="1">
      <x:c r="A9" s="31" t="inlineStr">
        <x:is>
          <x:t xml:space="preserve">ОТГ-00008</x:t>
        </x:is>
      </x:c>
      <x:c r="B9" s="31" t="inlineStr">
        <x:is>
          <x:t xml:space="preserve">ЗК-1025</x:t>
        </x:is>
      </x:c>
      <x:c r="C9" s="31" t="inlineStr">
        <x:is>
          <x:t xml:space="preserve">КЛ-032</x:t>
        </x:is>
      </x:c>
      <x:c r="D9" s="31" t="n">
        <x:v>46175</x:v>
      </x:c>
      <x:c r="E9" s="31" t="n">
        <x:v>46182</x:v>
      </x:c>
      <x:c r="F9" s="31" t="inlineStr">
        <x:is>
          <x:t xml:space="preserve">Отгружено</x:t>
        </x:is>
      </x:c>
      <x:c r="G9" s="31" t="inlineStr">
        <x:is>
          <x:t xml:space="preserve">Манипулятор</x:t>
        </x:is>
      </x:c>
      <x:c r="H9" s="31" t="n">
        <x:v>52477</x:v>
      </x:c>
      <x:c r="I9" s="31" t="inlineStr">
        <x:is>
          <x:t xml:space="preserve">ТК Энергия</x:t>
        </x:is>
      </x:c>
      <x:c r="J9" s="31" t="inlineStr">
        <x:is>
          <x:t xml:space="preserve">Нет</x:t>
        </x:is>
      </x:c>
      <x:c r="K9" s="31" t="inlineStr">
        <x:is>
          <x:t xml:space="preserve">СОТР-070</x:t>
        </x:is>
      </x:c>
      <x:c r="L9" s="31" t="inlineStr">
        <x:is>
          <x:t xml:space="preserve">Грузовые места: 1</x:t>
        </x:is>
      </x:c>
    </x:row>
    <x:row r="10" ht="18" customHeight="1">
      <x:c r="A10" s="31" t="inlineStr">
        <x:is>
          <x:t xml:space="preserve">ОТГ-00009</x:t>
        </x:is>
      </x:c>
      <x:c r="B10" s="31" t="inlineStr">
        <x:is>
          <x:t xml:space="preserve">ЗК-1030</x:t>
        </x:is>
      </x:c>
      <x:c r="C10" s="31" t="inlineStr">
        <x:is>
          <x:t xml:space="preserve">КЛ-050</x:t>
        </x:is>
      </x:c>
      <x:c r="D10" s="31" t="n">
        <x:v>46237</x:v>
      </x:c>
      <x:c r="E10" s="31" t="n"/>
      <x:c r="F10" s="31" t="inlineStr">
        <x:is>
          <x:t xml:space="preserve">Ожидает разрешения</x:t>
        </x:is>
      </x:c>
      <x:c r="G10" s="31" t="inlineStr">
        <x:is>
          <x:t xml:space="preserve">Сборный груз</x:t>
        </x:is>
      </x:c>
      <x:c r="H10" s="31" t="n">
        <x:v>33077</x:v>
      </x:c>
      <x:c r="I10" s="31" t="inlineStr">
        <x:is>
          <x:t xml:space="preserve">Собственный транспорт</x:t>
        </x:is>
      </x:c>
      <x:c r="J10" s="31" t="inlineStr">
        <x:is>
          <x:t xml:space="preserve">Нет</x:t>
        </x:is>
      </x:c>
      <x:c r="K10" s="31" t="inlineStr">
        <x:is>
          <x:t xml:space="preserve">СОТР-104</x:t>
        </x:is>
      </x:c>
      <x:c r="L10" s="31" t="inlineStr">
        <x:is>
          <x:t xml:space="preserve">Грузовые места: 1</x:t>
        </x:is>
      </x:c>
    </x:row>
    <x:row r="11" ht="18" customHeight="1">
      <x:c r="A11" s="31" t="inlineStr">
        <x:is>
          <x:t xml:space="preserve">ОТГ-00010</x:t>
        </x:is>
      </x:c>
      <x:c r="B11" s="31" t="inlineStr">
        <x:is>
          <x:t xml:space="preserve">ЗК-1031</x:t>
        </x:is>
      </x:c>
      <x:c r="C11" s="31" t="inlineStr">
        <x:is>
          <x:t xml:space="preserve">КЛ-008</x:t>
        </x:is>
      </x:c>
      <x:c r="D11" s="31" t="n">
        <x:v>46137</x:v>
      </x:c>
      <x:c r="E11" s="31" t="n">
        <x:v>46137</x:v>
      </x:c>
      <x:c r="F11" s="31" t="inlineStr">
        <x:is>
          <x:t xml:space="preserve">Отгружено</x:t>
        </x:is>
      </x:c>
      <x:c r="G11" s="31" t="inlineStr">
        <x:is>
          <x:t xml:space="preserve">Манипулятор</x:t>
        </x:is>
      </x:c>
      <x:c r="H11" s="31" t="n">
        <x:v>85587</x:v>
      </x:c>
      <x:c r="I11" s="31" t="inlineStr">
        <x:is>
          <x:t xml:space="preserve">ТК Энергия</x:t>
        </x:is>
      </x:c>
      <x:c r="J11" s="31" t="inlineStr">
        <x:is>
          <x:t xml:space="preserve">Нет</x:t>
        </x:is>
      </x:c>
      <x:c r="K11" s="31" t="inlineStr">
        <x:is>
          <x:t xml:space="preserve">СОТР-105</x:t>
        </x:is>
      </x:c>
      <x:c r="L11" s="31" t="inlineStr">
        <x:is>
          <x:t xml:space="preserve">Грузовые места: 3</x:t>
        </x:is>
      </x:c>
    </x:row>
    <x:row r="12" ht="18" customHeight="1">
      <x:c r="A12" s="31" t="inlineStr">
        <x:is>
          <x:t xml:space="preserve">ОТГ-00011</x:t>
        </x:is>
      </x:c>
      <x:c r="B12" s="31" t="inlineStr">
        <x:is>
          <x:t xml:space="preserve">ЗК-1035</x:t>
        </x:is>
      </x:c>
      <x:c r="C12" s="31" t="inlineStr">
        <x:is>
          <x:t xml:space="preserve">КЛ-033</x:t>
        </x:is>
      </x:c>
      <x:c r="D12" s="31" t="n">
        <x:v>46148</x:v>
      </x:c>
      <x:c r="E12" s="31" t="n"/>
      <x:c r="F12" s="31" t="inlineStr">
        <x:is>
          <x:t xml:space="preserve">Заявка</x:t>
        </x:is>
      </x:c>
      <x:c r="G12" s="31" t="inlineStr">
        <x:is>
          <x:t xml:space="preserve">Авто 5 т</x:t>
        </x:is>
      </x:c>
      <x:c r="H12" s="31" t="n">
        <x:v>104202</x:v>
      </x:c>
      <x:c r="I12" s="31" t="inlineStr">
        <x:is>
          <x:t xml:space="preserve">Байкал Сервис</x:t>
        </x:is>
      </x:c>
      <x:c r="J12" s="31" t="inlineStr">
        <x:is>
          <x:t xml:space="preserve">Нет</x:t>
        </x:is>
      </x:c>
      <x:c r="K12" s="31" t="inlineStr">
        <x:is>
          <x:t xml:space="preserve">СОТР-101</x:t>
        </x:is>
      </x:c>
      <x:c r="L12" s="31" t="inlineStr">
        <x:is>
          <x:t xml:space="preserve">Грузовые места: 3</x:t>
        </x:is>
      </x:c>
    </x:row>
    <x:row r="13" ht="18" customHeight="1">
      <x:c r="A13" s="31" t="inlineStr">
        <x:is>
          <x:t xml:space="preserve">ОТГ-00012</x:t>
        </x:is>
      </x:c>
      <x:c r="B13" s="31" t="inlineStr">
        <x:is>
          <x:t xml:space="preserve">ЗК-1036</x:t>
        </x:is>
      </x:c>
      <x:c r="C13" s="31" t="inlineStr">
        <x:is>
          <x:t xml:space="preserve">КЛ-005</x:t>
        </x:is>
      </x:c>
      <x:c r="D13" s="31" t="n">
        <x:v>46193</x:v>
      </x:c>
      <x:c r="E13" s="31" t="n">
        <x:v>46199</x:v>
      </x:c>
      <x:c r="F13" s="31" t="inlineStr">
        <x:is>
          <x:t xml:space="preserve">Отгружено</x:t>
        </x:is>
      </x:c>
      <x:c r="G13" s="31" t="inlineStr">
        <x:is>
          <x:t xml:space="preserve">Манипулятор</x:t>
        </x:is>
      </x:c>
      <x:c r="H13" s="31" t="n">
        <x:v>60674</x:v>
      </x:c>
      <x:c r="I13" s="31" t="inlineStr">
        <x:is>
          <x:t xml:space="preserve">ТК Энергия</x:t>
        </x:is>
      </x:c>
      <x:c r="J13" s="31" t="inlineStr">
        <x:is>
          <x:t xml:space="preserve">Нет</x:t>
        </x:is>
      </x:c>
      <x:c r="K13" s="31" t="inlineStr">
        <x:is>
          <x:t xml:space="preserve">СОТР-103</x:t>
        </x:is>
      </x:c>
      <x:c r="L13" s="31" t="inlineStr">
        <x:is>
          <x:t xml:space="preserve">Грузовые места: 4</x:t>
        </x:is>
      </x:c>
    </x:row>
    <x:row r="14" ht="18" customHeight="1">
      <x:c r="A14" s="31" t="inlineStr">
        <x:is>
          <x:t xml:space="preserve">ОТГ-00013</x:t>
        </x:is>
      </x:c>
      <x:c r="B14" s="31" t="inlineStr">
        <x:is>
          <x:t xml:space="preserve">ЗК-1041</x:t>
        </x:is>
      </x:c>
      <x:c r="C14" s="31" t="inlineStr">
        <x:is>
          <x:t xml:space="preserve">КЛ-032</x:t>
        </x:is>
      </x:c>
      <x:c r="D14" s="31" t="n">
        <x:v>46101</x:v>
      </x:c>
      <x:c r="E14" s="31" t="n">
        <x:v>46111</x:v>
      </x:c>
      <x:c r="F14" s="31" t="inlineStr">
        <x:is>
          <x:t xml:space="preserve">Отгружено</x:t>
        </x:is>
      </x:c>
      <x:c r="G14" s="31" t="inlineStr">
        <x:is>
          <x:t xml:space="preserve">Манипулятор</x:t>
        </x:is>
      </x:c>
      <x:c r="H14" s="31" t="n">
        <x:v>210089</x:v>
      </x:c>
      <x:c r="I14" s="31" t="inlineStr">
        <x:is>
          <x:t xml:space="preserve">ТК Энергия</x:t>
        </x:is>
      </x:c>
      <x:c r="J14" s="31" t="inlineStr">
        <x:is>
          <x:t xml:space="preserve">Нет</x:t>
        </x:is>
      </x:c>
      <x:c r="K14" s="31" t="inlineStr">
        <x:is>
          <x:t xml:space="preserve">СОТР-101</x:t>
        </x:is>
      </x:c>
      <x:c r="L14" s="31" t="inlineStr">
        <x:is>
          <x:t xml:space="preserve">Грузовые места: 3</x:t>
        </x:is>
      </x:c>
    </x:row>
    <x:row r="15" ht="18" customHeight="1">
      <x:c r="A15" s="31" t="inlineStr">
        <x:is>
          <x:t xml:space="preserve">ОТГ-00014</x:t>
        </x:is>
      </x:c>
      <x:c r="B15" s="31" t="inlineStr">
        <x:is>
          <x:t xml:space="preserve">ЗК-1045</x:t>
        </x:is>
      </x:c>
      <x:c r="C15" s="31" t="inlineStr">
        <x:is>
          <x:t xml:space="preserve">КЛ-046</x:t>
        </x:is>
      </x:c>
      <x:c r="D15" s="31" t="n">
        <x:v>46221</x:v>
      </x:c>
      <x:c r="E15" s="31" t="n"/>
      <x:c r="F15" s="31" t="inlineStr">
        <x:is>
          <x:t xml:space="preserve">Заявка</x:t>
        </x:is>
      </x:c>
      <x:c r="G15" s="31" t="inlineStr">
        <x:is>
          <x:t xml:space="preserve">Авто 10 т</x:t>
        </x:is>
      </x:c>
      <x:c r="H15" s="31" t="n">
        <x:v>116306</x:v>
      </x:c>
      <x:c r="I15" s="31" t="inlineStr">
        <x:is>
          <x:t xml:space="preserve">ПЭК</x:t>
        </x:is>
      </x:c>
      <x:c r="J15" s="31" t="inlineStr">
        <x:is>
          <x:t xml:space="preserve">Нет</x:t>
        </x:is>
      </x:c>
      <x:c r="K15" s="31" t="inlineStr">
        <x:is>
          <x:t xml:space="preserve">СОТР-101</x:t>
        </x:is>
      </x:c>
      <x:c r="L15" s="31" t="inlineStr">
        <x:is>
          <x:t xml:space="preserve">Грузовые места: 6</x:t>
        </x:is>
      </x:c>
    </x:row>
    <x:row r="16" ht="18" customHeight="1">
      <x:c r="A16" s="31" t="inlineStr">
        <x:is>
          <x:t xml:space="preserve">ОТГ-00015</x:t>
        </x:is>
      </x:c>
      <x:c r="B16" s="31" t="inlineStr">
        <x:is>
          <x:t xml:space="preserve">ЗК-1049</x:t>
        </x:is>
      </x:c>
      <x:c r="C16" s="31" t="inlineStr">
        <x:is>
          <x:t xml:space="preserve">КЛ-032</x:t>
        </x:is>
      </x:c>
      <x:c r="D16" s="31" t="n">
        <x:v>46075</x:v>
      </x:c>
      <x:c r="E16" s="31" t="n">
        <x:v>46074</x:v>
      </x:c>
      <x:c r="F16" s="31" t="inlineStr">
        <x:is>
          <x:t xml:space="preserve">Отгружено</x:t>
        </x:is>
      </x:c>
      <x:c r="G16" s="31" t="inlineStr">
        <x:is>
          <x:t xml:space="preserve">Авто 10 т</x:t>
        </x:is>
      </x:c>
      <x:c r="H16" s="31" t="n">
        <x:v>251778</x:v>
      </x:c>
      <x:c r="I16" s="31" t="inlineStr">
        <x:is>
          <x:t xml:space="preserve">Собственный транспорт</x:t>
        </x:is>
      </x:c>
      <x:c r="J16" s="31" t="inlineStr">
        <x:is>
          <x:t xml:space="preserve">Нет</x:t>
        </x:is>
      </x:c>
      <x:c r="K16" s="31" t="inlineStr">
        <x:is>
          <x:t xml:space="preserve">СОТР-101</x:t>
        </x:is>
      </x:c>
      <x:c r="L16" s="31" t="inlineStr">
        <x:is>
          <x:t xml:space="preserve">Грузовые места: 3</x:t>
        </x:is>
      </x:c>
    </x:row>
    <x:row r="17" ht="18" customHeight="1">
      <x:c r="A17" s="31" t="inlineStr">
        <x:is>
          <x:t xml:space="preserve">ОТГ-00016</x:t>
        </x:is>
      </x:c>
      <x:c r="B17" s="31" t="inlineStr">
        <x:is>
          <x:t xml:space="preserve">ЗК-1052</x:t>
        </x:is>
      </x:c>
      <x:c r="C17" s="31" t="inlineStr">
        <x:is>
          <x:t xml:space="preserve">КЛ-019</x:t>
        </x:is>
      </x:c>
      <x:c r="D17" s="31" t="n">
        <x:v>46144</x:v>
      </x:c>
      <x:c r="E17" s="31" t="n"/>
      <x:c r="F17" s="31" t="inlineStr">
        <x:is>
          <x:t xml:space="preserve">Документы готовы</x:t>
        </x:is>
      </x:c>
      <x:c r="G17" s="31" t="inlineStr">
        <x:is>
          <x:t xml:space="preserve">Авто 10 т</x:t>
        </x:is>
      </x:c>
      <x:c r="H17" s="31" t="n">
        <x:v>119762</x:v>
      </x:c>
      <x:c r="I17" s="31" t="inlineStr">
        <x:is>
          <x:t xml:space="preserve">Деловые линии</x:t>
        </x:is>
      </x:c>
      <x:c r="J17" s="31" t="inlineStr">
        <x:is>
          <x:t xml:space="preserve">Да</x:t>
        </x:is>
      </x:c>
      <x:c r="K17" s="31" t="inlineStr">
        <x:is>
          <x:t xml:space="preserve">СОТР-070</x:t>
        </x:is>
      </x:c>
      <x:c r="L17" s="31" t="inlineStr">
        <x:is>
          <x:t xml:space="preserve">Грузовые места: 7</x:t>
        </x:is>
      </x:c>
    </x:row>
    <x:row r="18" ht="18" customHeight="1">
      <x:c r="A18" s="31" t="inlineStr">
        <x:is>
          <x:t xml:space="preserve">ОТГ-00017</x:t>
        </x:is>
      </x:c>
      <x:c r="B18" s="31" t="inlineStr">
        <x:is>
          <x:t xml:space="preserve">ЗК-1059</x:t>
        </x:is>
      </x:c>
      <x:c r="C18" s="31" t="inlineStr">
        <x:is>
          <x:t xml:space="preserve">КЛ-002</x:t>
        </x:is>
      </x:c>
      <x:c r="D18" s="31" t="n">
        <x:v>46250</x:v>
      </x:c>
      <x:c r="E18" s="31" t="n">
        <x:v>46261</x:v>
      </x:c>
      <x:c r="F18" s="31" t="inlineStr">
        <x:is>
          <x:t xml:space="preserve">Отгружено</x:t>
        </x:is>
      </x:c>
      <x:c r="G18" s="31" t="inlineStr">
        <x:is>
          <x:t xml:space="preserve">Самовывоз</x:t>
        </x:is>
      </x:c>
      <x:c r="H18" s="31" t="n">
        <x:v>229829</x:v>
      </x:c>
      <x:c r="I18" s="31" t="inlineStr">
        <x:is>
          <x:t xml:space="preserve">Деловые линии</x:t>
        </x:is>
      </x:c>
      <x:c r="J18" s="31" t="inlineStr">
        <x:is>
          <x:t xml:space="preserve">Нет</x:t>
        </x:is>
      </x:c>
      <x:c r="K18" s="31" t="inlineStr">
        <x:is>
          <x:t xml:space="preserve">СОТР-103</x:t>
        </x:is>
      </x:c>
      <x:c r="L18" s="31" t="inlineStr">
        <x:is>
          <x:t xml:space="preserve">Грузовые места: 1</x:t>
        </x:is>
      </x:c>
    </x:row>
    <x:row r="19" ht="18" customHeight="1">
      <x:c r="A19" s="31" t="inlineStr">
        <x:is>
          <x:t xml:space="preserve">ОТГ-00018</x:t>
        </x:is>
      </x:c>
      <x:c r="B19" s="31" t="inlineStr">
        <x:is>
          <x:t xml:space="preserve">ЗК-1060</x:t>
        </x:is>
      </x:c>
      <x:c r="C19" s="31" t="inlineStr">
        <x:is>
          <x:t xml:space="preserve">КЛ-047</x:t>
        </x:is>
      </x:c>
      <x:c r="D19" s="31" t="n">
        <x:v>46245</x:v>
      </x:c>
      <x:c r="E19" s="31" t="n">
        <x:v>46253</x:v>
      </x:c>
      <x:c r="F19" s="31" t="inlineStr">
        <x:is>
          <x:t xml:space="preserve">Отгружено</x:t>
        </x:is>
      </x:c>
      <x:c r="G19" s="31" t="inlineStr">
        <x:is>
          <x:t xml:space="preserve">Авто 5 т</x:t>
        </x:is>
      </x:c>
      <x:c r="H19" s="31" t="n">
        <x:v>276428</x:v>
      </x:c>
      <x:c r="I19" s="31" t="inlineStr">
        <x:is>
          <x:t xml:space="preserve">Байкал Сервис</x:t>
        </x:is>
      </x:c>
      <x:c r="J19" s="31" t="inlineStr">
        <x:is>
          <x:t xml:space="preserve">Нет</x:t>
        </x:is>
      </x:c>
      <x:c r="K19" s="31" t="inlineStr">
        <x:is>
          <x:t xml:space="preserve">СОТР-104</x:t>
        </x:is>
      </x:c>
      <x:c r="L19" s="31" t="inlineStr">
        <x:is>
          <x:t xml:space="preserve">Грузовые места: 6</x:t>
        </x:is>
      </x:c>
    </x:row>
    <x:row r="20" ht="18" customHeight="1">
      <x:c r="A20" s="31" t="inlineStr">
        <x:is>
          <x:t xml:space="preserve">ОТГ-00019</x:t>
        </x:is>
      </x:c>
      <x:c r="B20" s="31" t="inlineStr">
        <x:is>
          <x:t xml:space="preserve">ЗК-1061</x:t>
        </x:is>
      </x:c>
      <x:c r="C20" s="31" t="inlineStr">
        <x:is>
          <x:t xml:space="preserve">КЛ-006</x:t>
        </x:is>
      </x:c>
      <x:c r="D20" s="31" t="n">
        <x:v>46204</x:v>
      </x:c>
      <x:c r="E20" s="31" t="n">
        <x:v>46205</x:v>
      </x:c>
      <x:c r="F20" s="31" t="inlineStr">
        <x:is>
          <x:t xml:space="preserve">Отгружено</x:t>
        </x:is>
      </x:c>
      <x:c r="G20" s="31" t="inlineStr">
        <x:is>
          <x:t xml:space="preserve">Авто 5 т</x:t>
        </x:is>
      </x:c>
      <x:c r="H20" s="31" t="n">
        <x:v>136472</x:v>
      </x:c>
      <x:c r="I20" s="31" t="inlineStr">
        <x:is>
          <x:t xml:space="preserve">ТК Энергия</x:t>
        </x:is>
      </x:c>
      <x:c r="J20" s="31" t="inlineStr">
        <x:is>
          <x:t xml:space="preserve">Нет</x:t>
        </x:is>
      </x:c>
      <x:c r="K20" s="31" t="inlineStr">
        <x:is>
          <x:t xml:space="preserve">СОТР-105</x:t>
        </x:is>
      </x:c>
      <x:c r="L20" s="31" t="inlineStr">
        <x:is>
          <x:t xml:space="preserve">Грузовые места: 1</x:t>
        </x:is>
      </x:c>
    </x:row>
    <x:row r="21" ht="18" customHeight="1">
      <x:c r="A21" s="31" t="inlineStr">
        <x:is>
          <x:t xml:space="preserve">ОТГ-00020</x:t>
        </x:is>
      </x:c>
      <x:c r="B21" s="31" t="inlineStr">
        <x:is>
          <x:t xml:space="preserve">ЗК-1063</x:t>
        </x:is>
      </x:c>
      <x:c r="C21" s="31" t="inlineStr">
        <x:is>
          <x:t xml:space="preserve">КЛ-012</x:t>
        </x:is>
      </x:c>
      <x:c r="D21" s="31" t="n">
        <x:v>46243</x:v>
      </x:c>
      <x:c r="E21" s="31" t="n"/>
      <x:c r="F21" s="31" t="inlineStr">
        <x:is>
          <x:t xml:space="preserve">Ожидает разрешения</x:t>
        </x:is>
      </x:c>
      <x:c r="G21" s="31" t="inlineStr">
        <x:is>
          <x:t xml:space="preserve">Авто 10 т</x:t>
        </x:is>
      </x:c>
      <x:c r="H21" s="31" t="n">
        <x:v>64043</x:v>
      </x:c>
      <x:c r="I21" s="31" t="inlineStr">
        <x:is>
          <x:t xml:space="preserve">Собственный транспорт</x:t>
        </x:is>
      </x:c>
      <x:c r="J21" s="31" t="inlineStr">
        <x:is>
          <x:t xml:space="preserve">Нет</x:t>
        </x:is>
      </x:c>
      <x:c r="K21" s="31" t="inlineStr">
        <x:is>
          <x:t xml:space="preserve">СОТР-103</x:t>
        </x:is>
      </x:c>
      <x:c r="L21" s="31" t="inlineStr">
        <x:is>
          <x:t xml:space="preserve">Грузовые места: 7</x:t>
        </x:is>
      </x:c>
    </x:row>
    <x:row r="22" ht="18" customHeight="1">
      <x:c r="A22" s="31" t="inlineStr">
        <x:is>
          <x:t xml:space="preserve">ОТГ-00021</x:t>
        </x:is>
      </x:c>
      <x:c r="B22" s="31" t="inlineStr">
        <x:is>
          <x:t xml:space="preserve">ЗК-1065</x:t>
        </x:is>
      </x:c>
      <x:c r="C22" s="31" t="inlineStr">
        <x:is>
          <x:t xml:space="preserve">КЛ-049</x:t>
        </x:is>
      </x:c>
      <x:c r="D22" s="31" t="n">
        <x:v>46168</x:v>
      </x:c>
      <x:c r="E22" s="31" t="n">
        <x:v>46175</x:v>
      </x:c>
      <x:c r="F22" s="31" t="inlineStr">
        <x:is>
          <x:t xml:space="preserve">Отгружено</x:t>
        </x:is>
      </x:c>
      <x:c r="G22" s="31" t="inlineStr">
        <x:is>
          <x:t xml:space="preserve">Авто 5 т</x:t>
        </x:is>
      </x:c>
      <x:c r="H22" s="31" t="n">
        <x:v>203309</x:v>
      </x:c>
      <x:c r="I22" s="31" t="inlineStr">
        <x:is>
          <x:t xml:space="preserve">Деловые линии</x:t>
        </x:is>
      </x:c>
      <x:c r="J22" s="31" t="inlineStr">
        <x:is>
          <x:t xml:space="preserve">Нет</x:t>
        </x:is>
      </x:c>
      <x:c r="K22" s="31" t="inlineStr">
        <x:is>
          <x:t xml:space="preserve">СОТР-104</x:t>
        </x:is>
      </x:c>
      <x:c r="L22" s="31" t="inlineStr">
        <x:is>
          <x:t xml:space="preserve">Грузовые места: 2</x:t>
        </x:is>
      </x:c>
    </x:row>
    <x:row r="23" ht="18" customHeight="1">
      <x:c r="A23" s="31" t="inlineStr">
        <x:is>
          <x:t xml:space="preserve">ОТГ-00022</x:t>
        </x:is>
      </x:c>
      <x:c r="B23" s="31" t="inlineStr">
        <x:is>
          <x:t xml:space="preserve">ЗК-1066</x:t>
        </x:is>
      </x:c>
      <x:c r="C23" s="31" t="inlineStr">
        <x:is>
          <x:t xml:space="preserve">КЛ-025</x:t>
        </x:is>
      </x:c>
      <x:c r="D23" s="31" t="n">
        <x:v>46159</x:v>
      </x:c>
      <x:c r="E23" s="31" t="n"/>
      <x:c r="F23" s="31" t="inlineStr">
        <x:is>
          <x:t xml:space="preserve">Документы готовы</x:t>
        </x:is>
      </x:c>
      <x:c r="G23" s="31" t="inlineStr">
        <x:is>
          <x:t xml:space="preserve">Авто 5 т</x:t>
        </x:is>
      </x:c>
      <x:c r="H23" s="31" t="n">
        <x:v>26001</x:v>
      </x:c>
      <x:c r="I23" s="31" t="inlineStr">
        <x:is>
          <x:t xml:space="preserve">ТК Энергия</x:t>
        </x:is>
      </x:c>
      <x:c r="J23" s="31" t="inlineStr">
        <x:is>
          <x:t xml:space="preserve">Нет</x:t>
        </x:is>
      </x:c>
      <x:c r="K23" s="31" t="inlineStr">
        <x:is>
          <x:t xml:space="preserve">СОТР-101</x:t>
        </x:is>
      </x:c>
      <x:c r="L23" s="31" t="inlineStr">
        <x:is>
          <x:t xml:space="preserve">Грузовые места: 4</x:t>
        </x:is>
      </x:c>
    </x:row>
    <x:row r="24" ht="18" customHeight="1">
      <x:c r="A24" s="31" t="inlineStr">
        <x:is>
          <x:t xml:space="preserve">ОТГ-00023</x:t>
        </x:is>
      </x:c>
      <x:c r="B24" s="31" t="inlineStr">
        <x:is>
          <x:t xml:space="preserve">ЗК-1073</x:t>
        </x:is>
      </x:c>
      <x:c r="C24" s="31" t="inlineStr">
        <x:is>
          <x:t xml:space="preserve">КЛ-046</x:t>
        </x:is>
      </x:c>
      <x:c r="D24" s="31" t="n">
        <x:v>46201</x:v>
      </x:c>
      <x:c r="E24" s="31" t="n">
        <x:v>46204</x:v>
      </x:c>
      <x:c r="F24" s="31" t="inlineStr">
        <x:is>
          <x:t xml:space="preserve">Отгружено</x:t>
        </x:is>
      </x:c>
      <x:c r="G24" s="31" t="inlineStr">
        <x:is>
          <x:t xml:space="preserve">Авто 10 т</x:t>
        </x:is>
      </x:c>
      <x:c r="H24" s="31" t="n">
        <x:v>47876</x:v>
      </x:c>
      <x:c r="I24" s="31" t="inlineStr">
        <x:is>
          <x:t xml:space="preserve">Собственный транспорт</x:t>
        </x:is>
      </x:c>
      <x:c r="J24" s="31" t="inlineStr">
        <x:is>
          <x:t xml:space="preserve">Нет</x:t>
        </x:is>
      </x:c>
      <x:c r="K24" s="31" t="inlineStr">
        <x:is>
          <x:t xml:space="preserve">СОТР-102</x:t>
        </x:is>
      </x:c>
      <x:c r="L24" s="31" t="inlineStr">
        <x:is>
          <x:t xml:space="preserve">Грузовые места: 7</x:t>
        </x:is>
      </x:c>
    </x:row>
    <x:row r="25" ht="18" customHeight="1">
      <x:c r="A25" s="31" t="inlineStr">
        <x:is>
          <x:t xml:space="preserve">ОТГ-00024</x:t>
        </x:is>
      </x:c>
      <x:c r="B25" s="31" t="inlineStr">
        <x:is>
          <x:t xml:space="preserve">ЗК-1074</x:t>
        </x:is>
      </x:c>
      <x:c r="C25" s="31" t="inlineStr">
        <x:is>
          <x:t xml:space="preserve">КЛ-049</x:t>
        </x:is>
      </x:c>
      <x:c r="D25" s="31" t="n">
        <x:v>46240</x:v>
      </x:c>
      <x:c r="E25" s="31" t="n"/>
      <x:c r="F25" s="31" t="inlineStr">
        <x:is>
          <x:t xml:space="preserve">Документы готовы</x:t>
        </x:is>
      </x:c>
      <x:c r="G25" s="31" t="inlineStr">
        <x:is>
          <x:t xml:space="preserve">Сборный груз</x:t>
        </x:is>
      </x:c>
      <x:c r="H25" s="31" t="n">
        <x:v>228234</x:v>
      </x:c>
      <x:c r="I25" s="31" t="inlineStr">
        <x:is>
          <x:t xml:space="preserve">ТК Энергия</x:t>
        </x:is>
      </x:c>
      <x:c r="J25" s="31" t="inlineStr">
        <x:is>
          <x:t xml:space="preserve">Нет</x:t>
        </x:is>
      </x:c>
      <x:c r="K25" s="31" t="inlineStr">
        <x:is>
          <x:t xml:space="preserve">СОТР-101</x:t>
        </x:is>
      </x:c>
      <x:c r="L25" s="31" t="inlineStr">
        <x:is>
          <x:t xml:space="preserve">Грузовые места: 7</x:t>
        </x:is>
      </x:c>
    </x:row>
    <x:row r="26" ht="18" customHeight="1">
      <x:c r="A26" s="31" t="inlineStr">
        <x:is>
          <x:t xml:space="preserve">ОТГ-00025</x:t>
        </x:is>
      </x:c>
      <x:c r="B26" s="31" t="inlineStr">
        <x:is>
          <x:t xml:space="preserve">ЗК-1075</x:t>
        </x:is>
      </x:c>
      <x:c r="C26" s="31" t="inlineStr">
        <x:is>
          <x:t xml:space="preserve">КЛ-040</x:t>
        </x:is>
      </x:c>
      <x:c r="D26" s="31" t="n">
        <x:v>46185</x:v>
      </x:c>
      <x:c r="E26" s="31" t="n">
        <x:v>46198</x:v>
      </x:c>
      <x:c r="F26" s="31" t="inlineStr">
        <x:is>
          <x:t xml:space="preserve">Отгружено</x:t>
        </x:is>
      </x:c>
      <x:c r="G26" s="31" t="inlineStr">
        <x:is>
          <x:t xml:space="preserve">Манипулятор</x:t>
        </x:is>
      </x:c>
      <x:c r="H26" s="31" t="n">
        <x:v>158322</x:v>
      </x:c>
      <x:c r="I26" s="31" t="inlineStr">
        <x:is>
          <x:t xml:space="preserve">Байкал Сервис</x:t>
        </x:is>
      </x:c>
      <x:c r="J26" s="31" t="inlineStr">
        <x:is>
          <x:t xml:space="preserve">Нет</x:t>
        </x:is>
      </x:c>
      <x:c r="K26" s="31" t="inlineStr">
        <x:is>
          <x:t xml:space="preserve">СОТР-070</x:t>
        </x:is>
      </x:c>
      <x:c r="L26" s="31" t="inlineStr">
        <x:is>
          <x:t xml:space="preserve">Грузовые места: 7</x:t>
        </x:is>
      </x:c>
    </x:row>
    <x:row r="27" ht="18" customHeight="1">
      <x:c r="A27" s="31" t="inlineStr">
        <x:is>
          <x:t xml:space="preserve">ОТГ-00026</x:t>
        </x:is>
      </x:c>
      <x:c r="B27" s="31" t="inlineStr">
        <x:is>
          <x:t xml:space="preserve">ЗК-1079</x:t>
        </x:is>
      </x:c>
      <x:c r="C27" s="31" t="inlineStr">
        <x:is>
          <x:t xml:space="preserve">КЛ-015</x:t>
        </x:is>
      </x:c>
      <x:c r="D27" s="31" t="n">
        <x:v>46151</x:v>
      </x:c>
      <x:c r="E27" s="31" t="n">
        <x:v>46163</x:v>
      </x:c>
      <x:c r="F27" s="31" t="inlineStr">
        <x:is>
          <x:t xml:space="preserve">Отгружено</x:t>
        </x:is>
      </x:c>
      <x:c r="G27" s="31" t="inlineStr">
        <x:is>
          <x:t xml:space="preserve">Сборный груз</x:t>
        </x:is>
      </x:c>
      <x:c r="H27" s="31" t="n">
        <x:v>195080</x:v>
      </x:c>
      <x:c r="I27" s="31" t="inlineStr">
        <x:is>
          <x:t xml:space="preserve">Байкал Сервис</x:t>
        </x:is>
      </x:c>
      <x:c r="J27" s="31" t="inlineStr">
        <x:is>
          <x:t xml:space="preserve">Нет</x:t>
        </x:is>
      </x:c>
      <x:c r="K27" s="31" t="inlineStr">
        <x:is>
          <x:t xml:space="preserve">СОТР-102</x:t>
        </x:is>
      </x:c>
      <x:c r="L27" s="31" t="inlineStr">
        <x:is>
          <x:t xml:space="preserve">Грузовые места: 2</x:t>
        </x:is>
      </x:c>
    </x:row>
    <x:row r="28" ht="18" customHeight="1">
      <x:c r="A28" s="31" t="inlineStr">
        <x:is>
          <x:t xml:space="preserve">ОТГ-00027</x:t>
        </x:is>
      </x:c>
      <x:c r="B28" s="31" t="inlineStr">
        <x:is>
          <x:t xml:space="preserve">ЗК-1081</x:t>
        </x:is>
      </x:c>
      <x:c r="C28" s="31" t="inlineStr">
        <x:is>
          <x:t xml:space="preserve">КЛ-048</x:t>
        </x:is>
      </x:c>
      <x:c r="D28" s="31" t="n">
        <x:v>46217</x:v>
      </x:c>
      <x:c r="E28" s="31" t="n">
        <x:v>46225</x:v>
      </x:c>
      <x:c r="F28" s="31" t="inlineStr">
        <x:is>
          <x:t xml:space="preserve">Отгружено</x:t>
        </x:is>
      </x:c>
      <x:c r="G28" s="31" t="inlineStr">
        <x:is>
          <x:t xml:space="preserve">Самовывоз</x:t>
        </x:is>
      </x:c>
      <x:c r="H28" s="31" t="n">
        <x:v>133123</x:v>
      </x:c>
      <x:c r="I28" s="31" t="inlineStr">
        <x:is>
          <x:t xml:space="preserve">Собственный транспорт</x:t>
        </x:is>
      </x:c>
      <x:c r="J28" s="31" t="inlineStr">
        <x:is>
          <x:t xml:space="preserve">Да</x:t>
        </x:is>
      </x:c>
      <x:c r="K28" s="31" t="inlineStr">
        <x:is>
          <x:t xml:space="preserve">СОТР-103</x:t>
        </x:is>
      </x:c>
      <x:c r="L28" s="31" t="inlineStr">
        <x:is>
          <x:t xml:space="preserve">Грузовые места: 7</x:t>
        </x:is>
      </x:c>
    </x:row>
    <x:row r="29" ht="18" customHeight="1">
      <x:c r="A29" s="31" t="inlineStr">
        <x:is>
          <x:t xml:space="preserve">ОТГ-00028</x:t>
        </x:is>
      </x:c>
      <x:c r="B29" s="31" t="inlineStr">
        <x:is>
          <x:t xml:space="preserve">ЗК-1085</x:t>
        </x:is>
      </x:c>
      <x:c r="C29" s="31" t="inlineStr">
        <x:is>
          <x:t xml:space="preserve">КЛ-015</x:t>
        </x:is>
      </x:c>
      <x:c r="D29" s="31" t="n">
        <x:v>46173</x:v>
      </x:c>
      <x:c r="E29" s="31" t="n">
        <x:v>46182</x:v>
      </x:c>
      <x:c r="F29" s="31" t="inlineStr">
        <x:is>
          <x:t xml:space="preserve">Отгружено</x:t>
        </x:is>
      </x:c>
      <x:c r="G29" s="31" t="inlineStr">
        <x:is>
          <x:t xml:space="preserve">Авто 5 т</x:t>
        </x:is>
      </x:c>
      <x:c r="H29" s="31" t="n">
        <x:v>76724</x:v>
      </x:c>
      <x:c r="I29" s="31" t="inlineStr">
        <x:is>
          <x:t xml:space="preserve">ТК Энергия</x:t>
        </x:is>
      </x:c>
      <x:c r="J29" s="31" t="inlineStr">
        <x:is>
          <x:t xml:space="preserve">Нет</x:t>
        </x:is>
      </x:c>
      <x:c r="K29" s="31" t="inlineStr">
        <x:is>
          <x:t xml:space="preserve">СОТР-102</x:t>
        </x:is>
      </x:c>
      <x:c r="L29" s="31" t="inlineStr">
        <x:is>
          <x:t xml:space="preserve">Грузовые места: 5</x:t>
        </x:is>
      </x:c>
    </x:row>
    <x:row r="30" ht="18" customHeight="1">
      <x:c r="A30" s="31" t="inlineStr">
        <x:is>
          <x:t xml:space="preserve">ОТГ-00029</x:t>
        </x:is>
      </x:c>
      <x:c r="B30" s="31" t="inlineStr">
        <x:is>
          <x:t xml:space="preserve">ЗК-1087</x:t>
        </x:is>
      </x:c>
      <x:c r="C30" s="31" t="inlineStr">
        <x:is>
          <x:t xml:space="preserve">КЛ-008</x:t>
        </x:is>
      </x:c>
      <x:c r="D30" s="31" t="n">
        <x:v>46113</x:v>
      </x:c>
      <x:c r="E30" s="31" t="n">
        <x:v>46126</x:v>
      </x:c>
      <x:c r="F30" s="31" t="inlineStr">
        <x:is>
          <x:t xml:space="preserve">Отгружено</x:t>
        </x:is>
      </x:c>
      <x:c r="G30" s="31" t="inlineStr">
        <x:is>
          <x:t xml:space="preserve">Авто 10 т</x:t>
        </x:is>
      </x:c>
      <x:c r="H30" s="31" t="n">
        <x:v>234375</x:v>
      </x:c>
      <x:c r="I30" s="31" t="inlineStr">
        <x:is>
          <x:t xml:space="preserve">Байкал Сервис</x:t>
        </x:is>
      </x:c>
      <x:c r="J30" s="31" t="inlineStr">
        <x:is>
          <x:t xml:space="preserve">Нет</x:t>
        </x:is>
      </x:c>
      <x:c r="K30" s="31" t="inlineStr">
        <x:is>
          <x:t xml:space="preserve">СОТР-105</x:t>
        </x:is>
      </x:c>
      <x:c r="L30" s="31" t="inlineStr">
        <x:is>
          <x:t xml:space="preserve">Грузовые места: 2</x:t>
        </x:is>
      </x:c>
    </x:row>
    <x:row r="31" ht="18" customHeight="1">
      <x:c r="A31" s="31" t="inlineStr">
        <x:is>
          <x:t xml:space="preserve">ОТГ-00030</x:t>
        </x:is>
      </x:c>
      <x:c r="B31" s="31" t="inlineStr">
        <x:is>
          <x:t xml:space="preserve">ЗК-1091</x:t>
        </x:is>
      </x:c>
      <x:c r="C31" s="31" t="inlineStr">
        <x:is>
          <x:t xml:space="preserve">КЛ-034</x:t>
        </x:is>
      </x:c>
      <x:c r="D31" s="31" t="n">
        <x:v>46204</x:v>
      </x:c>
      <x:c r="E31" s="31" t="n">
        <x:v>46207</x:v>
      </x:c>
      <x:c r="F31" s="31" t="inlineStr">
        <x:is>
          <x:t xml:space="preserve">Отгружено</x:t>
        </x:is>
      </x:c>
      <x:c r="G31" s="31" t="inlineStr">
        <x:is>
          <x:t xml:space="preserve">Авто 10 т</x:t>
        </x:is>
      </x:c>
      <x:c r="H31" s="31" t="n">
        <x:v>26187</x:v>
      </x:c>
      <x:c r="I31" s="31" t="inlineStr">
        <x:is>
          <x:t xml:space="preserve">Байкал Сервис</x:t>
        </x:is>
      </x:c>
      <x:c r="J31" s="31" t="inlineStr">
        <x:is>
          <x:t xml:space="preserve">Нет</x:t>
        </x:is>
      </x:c>
      <x:c r="K31" s="31" t="inlineStr">
        <x:is>
          <x:t xml:space="preserve">СОТР-101</x:t>
        </x:is>
      </x:c>
      <x:c r="L31" s="31" t="inlineStr">
        <x:is>
          <x:t xml:space="preserve">Грузовые места: 5</x:t>
        </x:is>
      </x:c>
    </x:row>
    <x:row r="32" ht="18" customHeight="1">
      <x:c r="A32" s="31" t="inlineStr">
        <x:is>
          <x:t xml:space="preserve">ОТГ-00031</x:t>
        </x:is>
      </x:c>
      <x:c r="B32" s="31" t="inlineStr">
        <x:is>
          <x:t xml:space="preserve">ЗК-1094</x:t>
        </x:is>
      </x:c>
      <x:c r="C32" s="31" t="inlineStr">
        <x:is>
          <x:t xml:space="preserve">КЛ-041</x:t>
        </x:is>
      </x:c>
      <x:c r="D32" s="31" t="n">
        <x:v>46152</x:v>
      </x:c>
      <x:c r="E32" s="31" t="n"/>
      <x:c r="F32" s="31" t="inlineStr">
        <x:is>
          <x:t xml:space="preserve">Заявка</x:t>
        </x:is>
      </x:c>
      <x:c r="G32" s="31" t="inlineStr">
        <x:is>
          <x:t xml:space="preserve">Авто 5 т</x:t>
        </x:is>
      </x:c>
      <x:c r="H32" s="31" t="n">
        <x:v>134600</x:v>
      </x:c>
      <x:c r="I32" s="31" t="inlineStr">
        <x:is>
          <x:t xml:space="preserve">ПЭК</x:t>
        </x:is>
      </x:c>
      <x:c r="J32" s="31" t="inlineStr">
        <x:is>
          <x:t xml:space="preserve">Нет</x:t>
        </x:is>
      </x:c>
      <x:c r="K32" s="31" t="inlineStr">
        <x:is>
          <x:t xml:space="preserve">СОТР-103</x:t>
        </x:is>
      </x:c>
      <x:c r="L32" s="31" t="inlineStr">
        <x:is>
          <x:t xml:space="preserve">Грузовые места: 4</x:t>
        </x:is>
      </x:c>
    </x:row>
    <x:row r="33" ht="18" customHeight="1">
      <x:c r="A33" s="31" t="inlineStr">
        <x:is>
          <x:t xml:space="preserve">ОТГ-00032</x:t>
        </x:is>
      </x:c>
      <x:c r="B33" s="31" t="inlineStr">
        <x:is>
          <x:t xml:space="preserve">ЗК-1099</x:t>
        </x:is>
      </x:c>
      <x:c r="C33" s="31" t="inlineStr">
        <x:is>
          <x:t xml:space="preserve">КЛ-046</x:t>
        </x:is>
      </x:c>
      <x:c r="D33" s="31" t="n">
        <x:v>46208</x:v>
      </x:c>
      <x:c r="E33" s="31" t="n"/>
      <x:c r="F33" s="31" t="inlineStr">
        <x:is>
          <x:t xml:space="preserve">ТК назначена</x:t>
        </x:is>
      </x:c>
      <x:c r="G33" s="31" t="inlineStr">
        <x:is>
          <x:t xml:space="preserve">Авто 10 т</x:t>
        </x:is>
      </x:c>
      <x:c r="H33" s="31" t="n">
        <x:v>96192</x:v>
      </x:c>
      <x:c r="I33" s="31" t="inlineStr">
        <x:is>
          <x:t xml:space="preserve">Байкал Сервис</x:t>
        </x:is>
      </x:c>
      <x:c r="J33" s="31" t="inlineStr">
        <x:is>
          <x:t xml:space="preserve">Нет</x:t>
        </x:is>
      </x:c>
      <x:c r="K33" s="31" t="inlineStr">
        <x:is>
          <x:t xml:space="preserve">СОТР-101</x:t>
        </x:is>
      </x:c>
      <x:c r="L33" s="31" t="inlineStr">
        <x:is>
          <x:t xml:space="preserve">Грузовые места: 3</x:t>
        </x:is>
      </x:c>
    </x:row>
    <x:row r="34" ht="18" customHeight="1">
      <x:c r="A34" s="31" t="inlineStr">
        <x:is>
          <x:t xml:space="preserve">ОТГ-00033</x:t>
        </x:is>
      </x:c>
      <x:c r="B34" s="31" t="inlineStr">
        <x:is>
          <x:t xml:space="preserve">ЗК-1100</x:t>
        </x:is>
      </x:c>
      <x:c r="C34" s="31" t="inlineStr">
        <x:is>
          <x:t xml:space="preserve">КЛ-002</x:t>
        </x:is>
      </x:c>
      <x:c r="D34" s="31" t="n">
        <x:v>46108</x:v>
      </x:c>
      <x:c r="E34" s="31" t="n"/>
      <x:c r="F34" s="31" t="inlineStr">
        <x:is>
          <x:t xml:space="preserve">Заявка</x:t>
        </x:is>
      </x:c>
      <x:c r="G34" s="31" t="inlineStr">
        <x:is>
          <x:t xml:space="preserve">Авто 5 т</x:t>
        </x:is>
      </x:c>
      <x:c r="H34" s="31" t="n">
        <x:v>104041</x:v>
      </x:c>
      <x:c r="I34" s="31" t="inlineStr">
        <x:is>
          <x:t xml:space="preserve">ПЭК</x:t>
        </x:is>
      </x:c>
      <x:c r="J34" s="31" t="inlineStr">
        <x:is>
          <x:t xml:space="preserve">Нет</x:t>
        </x:is>
      </x:c>
      <x:c r="K34" s="31" t="inlineStr">
        <x:is>
          <x:t xml:space="preserve">СОТР-105</x:t>
        </x:is>
      </x:c>
      <x:c r="L34" s="31" t="inlineStr">
        <x:is>
          <x:t xml:space="preserve">Грузовые места: 2</x:t>
        </x:is>
      </x:c>
    </x:row>
    <x:row r="35" ht="18" customHeight="1">
      <x:c r="A35" s="31" t="inlineStr">
        <x:is>
          <x:t xml:space="preserve">ОТГ-00034</x:t>
        </x:is>
      </x:c>
      <x:c r="B35" s="31" t="inlineStr">
        <x:is>
          <x:t xml:space="preserve">ЗК-1101</x:t>
        </x:is>
      </x:c>
      <x:c r="C35" s="31" t="inlineStr">
        <x:is>
          <x:t xml:space="preserve">КЛ-004</x:t>
        </x:is>
      </x:c>
      <x:c r="D35" s="31" t="n">
        <x:v>46186</x:v>
      </x:c>
      <x:c r="E35" s="31" t="n"/>
      <x:c r="F35" s="31" t="inlineStr">
        <x:is>
          <x:t xml:space="preserve">Ожидает разрешения</x:t>
        </x:is>
      </x:c>
      <x:c r="G35" s="31" t="inlineStr">
        <x:is>
          <x:t xml:space="preserve">Авто 5 т</x:t>
        </x:is>
      </x:c>
      <x:c r="H35" s="31" t="n">
        <x:v>159535</x:v>
      </x:c>
      <x:c r="I35" s="31" t="inlineStr">
        <x:is>
          <x:t xml:space="preserve">Деловые линии</x:t>
        </x:is>
      </x:c>
      <x:c r="J35" s="31" t="inlineStr">
        <x:is>
          <x:t xml:space="preserve">Нет</x:t>
        </x:is>
      </x:c>
      <x:c r="K35" s="31" t="inlineStr">
        <x:is>
          <x:t xml:space="preserve">СОТР-105</x:t>
        </x:is>
      </x:c>
      <x:c r="L35" s="31" t="inlineStr">
        <x:is>
          <x:t xml:space="preserve">Грузовые места: 1</x:t>
        </x:is>
      </x:c>
    </x:row>
    <x:row r="36" ht="18" customHeight="1">
      <x:c r="A36" s="31" t="inlineStr">
        <x:is>
          <x:t xml:space="preserve">ОТГ-00035</x:t>
        </x:is>
      </x:c>
      <x:c r="B36" s="31" t="inlineStr">
        <x:is>
          <x:t xml:space="preserve">ЗК-1102</x:t>
        </x:is>
      </x:c>
      <x:c r="C36" s="31" t="inlineStr">
        <x:is>
          <x:t xml:space="preserve">КЛ-008</x:t>
        </x:is>
      </x:c>
      <x:c r="D36" s="31" t="n">
        <x:v>46221</x:v>
      </x:c>
      <x:c r="E36" s="31" t="n"/>
      <x:c r="F36" s="31" t="inlineStr">
        <x:is>
          <x:t xml:space="preserve">Заявка</x:t>
        </x:is>
      </x:c>
      <x:c r="G36" s="31" t="inlineStr">
        <x:is>
          <x:t xml:space="preserve">Авто 5 т</x:t>
        </x:is>
      </x:c>
      <x:c r="H36" s="31" t="n">
        <x:v>143935</x:v>
      </x:c>
      <x:c r="I36" s="31" t="inlineStr">
        <x:is>
          <x:t xml:space="preserve">Байкал Сервис</x:t>
        </x:is>
      </x:c>
      <x:c r="J36" s="31" t="inlineStr">
        <x:is>
          <x:t xml:space="preserve">Нет</x:t>
        </x:is>
      </x:c>
      <x:c r="K36" s="31" t="inlineStr">
        <x:is>
          <x:t xml:space="preserve">СОТР-070</x:t>
        </x:is>
      </x:c>
      <x:c r="L36" s="31" t="inlineStr">
        <x:is>
          <x:t xml:space="preserve">Грузовые места: 1</x:t>
        </x:is>
      </x:c>
    </x:row>
    <x:row r="37" ht="18" customHeight="1">
      <x:c r="A37" s="31" t="inlineStr">
        <x:is>
          <x:t xml:space="preserve">ОТГ-00036</x:t>
        </x:is>
      </x:c>
      <x:c r="B37" s="31" t="inlineStr">
        <x:is>
          <x:t xml:space="preserve">ЗК-1105</x:t>
        </x:is>
      </x:c>
      <x:c r="C37" s="31" t="inlineStr">
        <x:is>
          <x:t xml:space="preserve">КЛ-013</x:t>
        </x:is>
      </x:c>
      <x:c r="D37" s="31" t="n">
        <x:v>46119</x:v>
      </x:c>
      <x:c r="E37" s="31" t="n"/>
      <x:c r="F37" s="31" t="inlineStr">
        <x:is>
          <x:t xml:space="preserve">ТК назначена</x:t>
        </x:is>
      </x:c>
      <x:c r="G37" s="31" t="inlineStr">
        <x:is>
          <x:t xml:space="preserve">Авто 10 т</x:t>
        </x:is>
      </x:c>
      <x:c r="H37" s="31" t="n">
        <x:v>86973</x:v>
      </x:c>
      <x:c r="I37" s="31" t="inlineStr">
        <x:is>
          <x:t xml:space="preserve">Собственный транспорт</x:t>
        </x:is>
      </x:c>
      <x:c r="J37" s="31" t="inlineStr">
        <x:is>
          <x:t xml:space="preserve">Нет</x:t>
        </x:is>
      </x:c>
      <x:c r="K37" s="31" t="inlineStr">
        <x:is>
          <x:t xml:space="preserve">СОТР-102</x:t>
        </x:is>
      </x:c>
      <x:c r="L37" s="31" t="inlineStr">
        <x:is>
          <x:t xml:space="preserve">Грузовые места: 1</x:t>
        </x:is>
      </x:c>
    </x:row>
    <x:row r="38" ht="18" customHeight="1">
      <x:c r="A38" s="31" t="inlineStr">
        <x:is>
          <x:t xml:space="preserve">ОТГ-00037</x:t>
        </x:is>
      </x:c>
      <x:c r="B38" s="31" t="inlineStr">
        <x:is>
          <x:t xml:space="preserve">ЗК-1110</x:t>
        </x:is>
      </x:c>
      <x:c r="C38" s="31" t="inlineStr">
        <x:is>
          <x:t xml:space="preserve">КЛ-013</x:t>
        </x:is>
      </x:c>
      <x:c r="D38" s="31" t="n">
        <x:v>46235</x:v>
      </x:c>
      <x:c r="E38" s="31" t="n">
        <x:v>46248</x:v>
      </x:c>
      <x:c r="F38" s="31" t="inlineStr">
        <x:is>
          <x:t xml:space="preserve">Отгружено</x:t>
        </x:is>
      </x:c>
      <x:c r="G38" s="31" t="inlineStr">
        <x:is>
          <x:t xml:space="preserve">Авто 5 т</x:t>
        </x:is>
      </x:c>
      <x:c r="H38" s="31" t="n">
        <x:v>69116</x:v>
      </x:c>
      <x:c r="I38" s="31" t="inlineStr">
        <x:is>
          <x:t xml:space="preserve">ТК Энергия</x:t>
        </x:is>
      </x:c>
      <x:c r="J38" s="31" t="inlineStr">
        <x:is>
          <x:t xml:space="preserve">Нет</x:t>
        </x:is>
      </x:c>
      <x:c r="K38" s="31" t="inlineStr">
        <x:is>
          <x:t xml:space="preserve">СОТР-070</x:t>
        </x:is>
      </x:c>
      <x:c r="L38" s="31" t="inlineStr">
        <x:is>
          <x:t xml:space="preserve">Грузовые места: 1</x:t>
        </x:is>
      </x:c>
    </x:row>
    <x:row r="39" ht="18" customHeight="1">
      <x:c r="A39" s="31" t="inlineStr">
        <x:is>
          <x:t xml:space="preserve">ОТГ-00038</x:t>
        </x:is>
      </x:c>
      <x:c r="B39" s="31" t="inlineStr">
        <x:is>
          <x:t xml:space="preserve">ЗК-1111</x:t>
        </x:is>
      </x:c>
      <x:c r="C39" s="31" t="inlineStr">
        <x:is>
          <x:t xml:space="preserve">КЛ-013</x:t>
        </x:is>
      </x:c>
      <x:c r="D39" s="31" t="n">
        <x:v>46176</x:v>
      </x:c>
      <x:c r="E39" s="31" t="n"/>
      <x:c r="F39" s="31" t="inlineStr">
        <x:is>
          <x:t xml:space="preserve">ТК назначена</x:t>
        </x:is>
      </x:c>
      <x:c r="G39" s="31" t="inlineStr">
        <x:is>
          <x:t xml:space="preserve">Манипулятор</x:t>
        </x:is>
      </x:c>
      <x:c r="H39" s="31" t="n">
        <x:v>109574</x:v>
      </x:c>
      <x:c r="I39" s="31" t="inlineStr">
        <x:is>
          <x:t xml:space="preserve">Деловые линии</x:t>
        </x:is>
      </x:c>
      <x:c r="J39" s="31" t="inlineStr">
        <x:is>
          <x:t xml:space="preserve">Нет</x:t>
        </x:is>
      </x:c>
      <x:c r="K39" s="31" t="inlineStr">
        <x:is>
          <x:t xml:space="preserve">СОТР-101</x:t>
        </x:is>
      </x:c>
      <x:c r="L39" s="31" t="inlineStr">
        <x:is>
          <x:t xml:space="preserve">Грузовые места: 6</x:t>
        </x:is>
      </x:c>
    </x:row>
    <x:row r="40" ht="18" customHeight="1">
      <x:c r="A40" s="31" t="inlineStr">
        <x:is>
          <x:t xml:space="preserve">ОТГ-00039</x:t>
        </x:is>
      </x:c>
      <x:c r="B40" s="31" t="inlineStr">
        <x:is>
          <x:t xml:space="preserve">ЗК-1112</x:t>
        </x:is>
      </x:c>
      <x:c r="C40" s="31" t="inlineStr">
        <x:is>
          <x:t xml:space="preserve">КЛ-045</x:t>
        </x:is>
      </x:c>
      <x:c r="D40" s="31" t="n">
        <x:v>46130</x:v>
      </x:c>
      <x:c r="E40" s="31" t="n">
        <x:v>46142</x:v>
      </x:c>
      <x:c r="F40" s="31" t="inlineStr">
        <x:is>
          <x:t xml:space="preserve">Отгружено</x:t>
        </x:is>
      </x:c>
      <x:c r="G40" s="31" t="inlineStr">
        <x:is>
          <x:t xml:space="preserve">Авто 5 т</x:t>
        </x:is>
      </x:c>
      <x:c r="H40" s="31" t="n">
        <x:v>201181</x:v>
      </x:c>
      <x:c r="I40" s="31" t="inlineStr">
        <x:is>
          <x:t xml:space="preserve">Байкал Сервис</x:t>
        </x:is>
      </x:c>
      <x:c r="J40" s="31" t="inlineStr">
        <x:is>
          <x:t xml:space="preserve">Нет</x:t>
        </x:is>
      </x:c>
      <x:c r="K40" s="31" t="inlineStr">
        <x:is>
          <x:t xml:space="preserve">СОТР-101</x:t>
        </x:is>
      </x:c>
      <x:c r="L40" s="31" t="inlineStr">
        <x:is>
          <x:t xml:space="preserve">Грузовые места: 2</x:t>
        </x:is>
      </x:c>
    </x:row>
    <x:row r="41" ht="18" customHeight="1">
      <x:c r="A41" s="31" t="inlineStr">
        <x:is>
          <x:t xml:space="preserve">ОТГ-00040</x:t>
        </x:is>
      </x:c>
      <x:c r="B41" s="31" t="inlineStr">
        <x:is>
          <x:t xml:space="preserve">ЗК-1113</x:t>
        </x:is>
      </x:c>
      <x:c r="C41" s="31" t="inlineStr">
        <x:is>
          <x:t xml:space="preserve">КЛ-004</x:t>
        </x:is>
      </x:c>
      <x:c r="D41" s="31" t="n">
        <x:v>46120</x:v>
      </x:c>
      <x:c r="E41" s="31" t="n"/>
      <x:c r="F41" s="31" t="inlineStr">
        <x:is>
          <x:t xml:space="preserve">Документы готовы</x:t>
        </x:is>
      </x:c>
      <x:c r="G41" s="31" t="inlineStr">
        <x:is>
          <x:t xml:space="preserve">Манипулятор</x:t>
        </x:is>
      </x:c>
      <x:c r="H41" s="31" t="n">
        <x:v>277615</x:v>
      </x:c>
      <x:c r="I41" s="31" t="inlineStr">
        <x:is>
          <x:t xml:space="preserve">Деловые линии</x:t>
        </x:is>
      </x:c>
      <x:c r="J41" s="31" t="inlineStr">
        <x:is>
          <x:t xml:space="preserve">Нет</x:t>
        </x:is>
      </x:c>
      <x:c r="K41" s="31" t="inlineStr">
        <x:is>
          <x:t xml:space="preserve">СОТР-103</x:t>
        </x:is>
      </x:c>
      <x:c r="L41" s="31" t="inlineStr">
        <x:is>
          <x:t xml:space="preserve">Грузовые места: 4</x:t>
        </x:is>
      </x:c>
    </x:row>
    <x:row r="42" ht="18" customHeight="1">
      <x:c r="A42" s="31" t="inlineStr">
        <x:is>
          <x:t xml:space="preserve">ОТГ-00041</x:t>
        </x:is>
      </x:c>
      <x:c r="B42" s="31" t="inlineStr">
        <x:is>
          <x:t xml:space="preserve">ЗК-1116</x:t>
        </x:is>
      </x:c>
      <x:c r="C42" s="31" t="inlineStr">
        <x:is>
          <x:t xml:space="preserve">КЛ-019</x:t>
        </x:is>
      </x:c>
      <x:c r="D42" s="31" t="n">
        <x:v>46119</x:v>
      </x:c>
      <x:c r="E42" s="31" t="n"/>
      <x:c r="F42" s="31" t="inlineStr">
        <x:is>
          <x:t xml:space="preserve">Ожидает разрешения</x:t>
        </x:is>
      </x:c>
      <x:c r="G42" s="31" t="inlineStr">
        <x:is>
          <x:t xml:space="preserve">Авто 5 т</x:t>
        </x:is>
      </x:c>
      <x:c r="H42" s="31" t="n">
        <x:v>189683</x:v>
      </x:c>
      <x:c r="I42" s="31" t="inlineStr">
        <x:is>
          <x:t xml:space="preserve">Деловые линии</x:t>
        </x:is>
      </x:c>
      <x:c r="J42" s="31" t="inlineStr">
        <x:is>
          <x:t xml:space="preserve">Нет</x:t>
        </x:is>
      </x:c>
      <x:c r="K42" s="31" t="inlineStr">
        <x:is>
          <x:t xml:space="preserve">СОТР-105</x:t>
        </x:is>
      </x:c>
      <x:c r="L42" s="31" t="inlineStr">
        <x:is>
          <x:t xml:space="preserve">Грузовые места: 6</x:t>
        </x:is>
      </x:c>
    </x:row>
    <x:row r="43" ht="18" customHeight="1">
      <x:c r="A43" s="31" t="inlineStr">
        <x:is>
          <x:t xml:space="preserve">ОТГ-00042</x:t>
        </x:is>
      </x:c>
      <x:c r="B43" s="31" t="inlineStr">
        <x:is>
          <x:t xml:space="preserve">ЗК-1117</x:t>
        </x:is>
      </x:c>
      <x:c r="C43" s="31" t="inlineStr">
        <x:is>
          <x:t xml:space="preserve">КЛ-023</x:t>
        </x:is>
      </x:c>
      <x:c r="D43" s="31" t="n">
        <x:v>46224</x:v>
      </x:c>
      <x:c r="E43" s="31" t="n"/>
      <x:c r="F43" s="31" t="inlineStr">
        <x:is>
          <x:t xml:space="preserve">Документы готовы</x:t>
        </x:is>
      </x:c>
      <x:c r="G43" s="31" t="inlineStr">
        <x:is>
          <x:t xml:space="preserve">Авто 5 т</x:t>
        </x:is>
      </x:c>
      <x:c r="H43" s="31" t="n">
        <x:v>270572</x:v>
      </x:c>
      <x:c r="I43" s="31" t="inlineStr">
        <x:is>
          <x:t xml:space="preserve">Собственный транспорт</x:t>
        </x:is>
      </x:c>
      <x:c r="J43" s="31" t="inlineStr">
        <x:is>
          <x:t xml:space="preserve">Нет</x:t>
        </x:is>
      </x:c>
      <x:c r="K43" s="31" t="inlineStr">
        <x:is>
          <x:t xml:space="preserve">СОТР-101</x:t>
        </x:is>
      </x:c>
      <x:c r="L43" s="31" t="inlineStr">
        <x:is>
          <x:t xml:space="preserve">Грузовые места: 6</x:t>
        </x:is>
      </x:c>
    </x:row>
    <x:row r="44" ht="18" customHeight="1">
      <x:c r="A44" s="31" t="inlineStr">
        <x:is>
          <x:t xml:space="preserve">ОТГ-00043</x:t>
        </x:is>
      </x:c>
      <x:c r="B44" s="31" t="inlineStr">
        <x:is>
          <x:t xml:space="preserve">ЗК-1119</x:t>
        </x:is>
      </x:c>
      <x:c r="C44" s="31" t="inlineStr">
        <x:is>
          <x:t xml:space="preserve">КЛ-041</x:t>
        </x:is>
      </x:c>
      <x:c r="D44" s="31" t="n">
        <x:v>46161</x:v>
      </x:c>
      <x:c r="E44" s="31" t="n">
        <x:v>46162</x:v>
      </x:c>
      <x:c r="F44" s="31" t="inlineStr">
        <x:is>
          <x:t xml:space="preserve">Отгружено</x:t>
        </x:is>
      </x:c>
      <x:c r="G44" s="31" t="inlineStr">
        <x:is>
          <x:t xml:space="preserve">Авто 10 т</x:t>
        </x:is>
      </x:c>
      <x:c r="H44" s="31" t="n">
        <x:v>132522</x:v>
      </x:c>
      <x:c r="I44" s="31" t="inlineStr">
        <x:is>
          <x:t xml:space="preserve">Собственный транспорт</x:t>
        </x:is>
      </x:c>
      <x:c r="J44" s="31" t="inlineStr">
        <x:is>
          <x:t xml:space="preserve">Нет</x:t>
        </x:is>
      </x:c>
      <x:c r="K44" s="31" t="inlineStr">
        <x:is>
          <x:t xml:space="preserve">СОТР-104</x:t>
        </x:is>
      </x:c>
      <x:c r="L44" s="31" t="inlineStr">
        <x:is>
          <x:t xml:space="preserve">Грузовые места: 3</x:t>
        </x:is>
      </x:c>
    </x:row>
    <x:row r="45" ht="18" customHeight="1">
      <x:c r="A45" s="31" t="inlineStr">
        <x:is>
          <x:t xml:space="preserve">ОТГ-00044</x:t>
        </x:is>
      </x:c>
      <x:c r="B45" s="31" t="inlineStr">
        <x:is>
          <x:t xml:space="preserve">ЗК-1120</x:t>
        </x:is>
      </x:c>
      <x:c r="C45" s="31" t="inlineStr">
        <x:is>
          <x:t xml:space="preserve">КЛ-024</x:t>
        </x:is>
      </x:c>
      <x:c r="D45" s="31" t="n">
        <x:v>46114</x:v>
      </x:c>
      <x:c r="E45" s="31" t="n">
        <x:v>46113</x:v>
      </x:c>
      <x:c r="F45" s="31" t="inlineStr">
        <x:is>
          <x:t xml:space="preserve">Отгружено</x:t>
        </x:is>
      </x:c>
      <x:c r="G45" s="31" t="inlineStr">
        <x:is>
          <x:t xml:space="preserve">Авто 10 т</x:t>
        </x:is>
      </x:c>
      <x:c r="H45" s="31" t="n">
        <x:v>166401</x:v>
      </x:c>
      <x:c r="I45" s="31" t="inlineStr">
        <x:is>
          <x:t xml:space="preserve">ПЭК</x:t>
        </x:is>
      </x:c>
      <x:c r="J45" s="31" t="inlineStr">
        <x:is>
          <x:t xml:space="preserve">Нет</x:t>
        </x:is>
      </x:c>
      <x:c r="K45" s="31" t="inlineStr">
        <x:is>
          <x:t xml:space="preserve">СОТР-104</x:t>
        </x:is>
      </x:c>
      <x:c r="L45" s="31" t="inlineStr">
        <x:is>
          <x:t xml:space="preserve">Грузовые места: 5</x:t>
        </x:is>
      </x:c>
    </x:row>
    <x:row r="46" ht="18" customHeight="1">
      <x:c r="A46" s="31" t="inlineStr">
        <x:is>
          <x:t xml:space="preserve">ОТГ-00045</x:t>
        </x:is>
      </x:c>
      <x:c r="B46" s="31" t="inlineStr">
        <x:is>
          <x:t xml:space="preserve">ЗК-1123</x:t>
        </x:is>
      </x:c>
      <x:c r="C46" s="31" t="inlineStr">
        <x:is>
          <x:t xml:space="preserve">КЛ-022</x:t>
        </x:is>
      </x:c>
      <x:c r="D46" s="31" t="n">
        <x:v>46158</x:v>
      </x:c>
      <x:c r="E46" s="31" t="n"/>
      <x:c r="F46" s="31" t="inlineStr">
        <x:is>
          <x:t xml:space="preserve">Ожидает разрешения</x:t>
        </x:is>
      </x:c>
      <x:c r="G46" s="31" t="inlineStr">
        <x:is>
          <x:t xml:space="preserve">Манипулятор</x:t>
        </x:is>
      </x:c>
      <x:c r="H46" s="31" t="n">
        <x:v>70540</x:v>
      </x:c>
      <x:c r="I46" s="31" t="inlineStr">
        <x:is>
          <x:t xml:space="preserve">Собственный транспорт</x:t>
        </x:is>
      </x:c>
      <x:c r="J46" s="31" t="inlineStr">
        <x:is>
          <x:t xml:space="preserve">Нет</x:t>
        </x:is>
      </x:c>
      <x:c r="K46" s="31" t="inlineStr">
        <x:is>
          <x:t xml:space="preserve">СОТР-102</x:t>
        </x:is>
      </x:c>
      <x:c r="L46" s="31" t="inlineStr">
        <x:is>
          <x:t xml:space="preserve">Грузовые места: 6</x:t>
        </x:is>
      </x:c>
    </x:row>
    <x:row r="47" ht="18" customHeight="1">
      <x:c r="A47" s="31" t="inlineStr">
        <x:is>
          <x:t xml:space="preserve">ОТГ-00046</x:t>
        </x:is>
      </x:c>
      <x:c r="B47" s="31" t="inlineStr">
        <x:is>
          <x:t xml:space="preserve">ЗК-1124</x:t>
        </x:is>
      </x:c>
      <x:c r="C47" s="31" t="inlineStr">
        <x:is>
          <x:t xml:space="preserve">КЛ-043</x:t>
        </x:is>
      </x:c>
      <x:c r="D47" s="31" t="n">
        <x:v>46059</x:v>
      </x:c>
      <x:c r="E47" s="31" t="n"/>
      <x:c r="F47" s="31" t="inlineStr">
        <x:is>
          <x:t xml:space="preserve">Заявка</x:t>
        </x:is>
      </x:c>
      <x:c r="G47" s="31" t="inlineStr">
        <x:is>
          <x:t xml:space="preserve">Авто 10 т</x:t>
        </x:is>
      </x:c>
      <x:c r="H47" s="31" t="n">
        <x:v>175183</x:v>
      </x:c>
      <x:c r="I47" s="31" t="inlineStr">
        <x:is>
          <x:t xml:space="preserve">Деловые линии</x:t>
        </x:is>
      </x:c>
      <x:c r="J47" s="31" t="inlineStr">
        <x:is>
          <x:t xml:space="preserve">Нет</x:t>
        </x:is>
      </x:c>
      <x:c r="K47" s="31" t="inlineStr">
        <x:is>
          <x:t xml:space="preserve">СОТР-104</x:t>
        </x:is>
      </x:c>
      <x:c r="L47" s="31" t="inlineStr">
        <x:is>
          <x:t xml:space="preserve">Грузовые места: 2</x:t>
        </x:is>
      </x:c>
    </x:row>
    <x:row r="48" ht="18" customHeight="1">
      <x:c r="A48" s="31" t="inlineStr">
        <x:is>
          <x:t xml:space="preserve">ОТГ-00047</x:t>
        </x:is>
      </x:c>
      <x:c r="B48" s="31" t="inlineStr">
        <x:is>
          <x:t xml:space="preserve">ЗК-1129</x:t>
        </x:is>
      </x:c>
      <x:c r="C48" s="31" t="inlineStr">
        <x:is>
          <x:t xml:space="preserve">КЛ-033</x:t>
        </x:is>
      </x:c>
      <x:c r="D48" s="31" t="n">
        <x:v>46150</x:v>
      </x:c>
      <x:c r="E48" s="31" t="n">
        <x:v>46162</x:v>
      </x:c>
      <x:c r="F48" s="31" t="inlineStr">
        <x:is>
          <x:t xml:space="preserve">Отгружено</x:t>
        </x:is>
      </x:c>
      <x:c r="G48" s="31" t="inlineStr">
        <x:is>
          <x:t xml:space="preserve">Авто 5 т</x:t>
        </x:is>
      </x:c>
      <x:c r="H48" s="31" t="n">
        <x:v>271790</x:v>
      </x:c>
      <x:c r="I48" s="31" t="inlineStr">
        <x:is>
          <x:t xml:space="preserve">Байкал Сервис</x:t>
        </x:is>
      </x:c>
      <x:c r="J48" s="31" t="inlineStr">
        <x:is>
          <x:t xml:space="preserve">Нет</x:t>
        </x:is>
      </x:c>
      <x:c r="K48" s="31" t="inlineStr">
        <x:is>
          <x:t xml:space="preserve">СОТР-104</x:t>
        </x:is>
      </x:c>
      <x:c r="L48" s="31" t="inlineStr">
        <x:is>
          <x:t xml:space="preserve">Грузовые места: 4</x:t>
        </x:is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5" customWidth="1"/>
    <x:col min="3" max="3" width="10" customWidth="1"/>
    <x:col min="4" max="4" width="16" customWidth="1"/>
    <x:col min="5" max="5" width="11" customWidth="1"/>
    <x:col min="6" max="6" width="15" customWidth="1"/>
    <x:col min="7" max="7" width="26" customWidth="1"/>
    <x:col min="8" max="8" width="31" customWidth="1"/>
    <x:col min="9" max="9" width="38" customWidth="1"/>
    <x:col min="10" max="10" width="14" customWidth="1"/>
    <x:col min="11" max="11" width="15" customWidth="1"/>
    <x:col min="12" max="12" width="23" customWidth="1"/>
    <x:col min="13" max="13" width="14" customWidth="1"/>
    <x:col min="14" max="14" width="38" customWidth="1"/>
  </x:cols>
  <x:sheetData>
    <x:row r="1" ht="18" customHeight="1">
      <x:c r="A1" s="30" t="inlineStr">
        <x:is>
          <x:t xml:space="preserve">Код задачи</x:t>
        </x:is>
      </x:c>
      <x:c r="B1" s="30" t="inlineStr">
        <x:is>
          <x:t xml:space="preserve">Дата создания</x:t>
        </x:is>
      </x:c>
      <x:c r="C1" s="30" t="inlineStr">
        <x:is>
          <x:t xml:space="preserve">Срок</x:t>
        </x:is>
      </x:c>
      <x:c r="D1" s="30" t="inlineStr">
        <x:is>
          <x:t xml:space="preserve">Статус</x:t>
        </x:is>
      </x:c>
      <x:c r="E1" s="30" t="inlineStr">
        <x:is>
          <x:t xml:space="preserve">Приоритет</x:t>
        </x:is>
      </x:c>
      <x:c r="F1" s="30" t="inlineStr">
        <x:is>
          <x:t xml:space="preserve">Ответственный</x:t>
        </x:is>
      </x:c>
      <x:c r="G1" s="30" t="inlineStr">
        <x:is>
          <x:t xml:space="preserve">Связанный объект</x:t>
        </x:is>
      </x:c>
      <x:c r="H1" s="30" t="inlineStr">
        <x:is>
          <x:t xml:space="preserve">Код связанного объекта</x:t>
        </x:is>
      </x:c>
      <x:c r="I1" s="30" t="inlineStr">
        <x:is>
          <x:t xml:space="preserve">Задача</x:t>
        </x:is>
      </x:c>
      <x:c r="J1" s="30" t="inlineStr">
        <x:is>
          <x:t xml:space="preserve">Процесс</x:t>
        </x:is>
      </x:c>
      <x:c r="K1" s="30" t="inlineStr">
        <x:is>
          <x:t xml:space="preserve">Дней задержки</x:t>
        </x:is>
      </x:c>
      <x:c r="L1" s="30" t="inlineStr">
        <x:is>
          <x:t xml:space="preserve">Создано автоматически</x:t>
        </x:is>
      </x:c>
      <x:c r="M1" s="30" t="inlineStr">
        <x:is>
          <x:t xml:space="preserve">Ожидает</x:t>
        </x:is>
      </x:c>
      <x:c r="N1" s="30" t="inlineStr">
        <x:is>
          <x:t xml:space="preserve">Примечание</x:t>
        </x:is>
      </x:c>
    </x:row>
    <x:row r="2" ht="18" customHeight="1">
      <x:c r="A2" s="31" t="inlineStr">
        <x:is>
          <x:t xml:space="preserve">ЗД-00001</x:t>
        </x:is>
      </x:c>
      <x:c r="B2" s="31" t="n">
        <x:v>46138</x:v>
      </x:c>
      <x:c r="C2" s="31" t="n">
        <x:v>46140</x:v>
      </x:c>
      <x:c r="D2" s="31" t="inlineStr">
        <x:is>
          <x:t xml:space="preserve">Выполнена</x:t>
        </x:is>
      </x:c>
      <x:c r="E2" s="31" t="inlineStr">
        <x:is>
          <x:t xml:space="preserve">Высокий</x:t>
        </x:is>
      </x:c>
      <x:c r="F2" s="31" t="inlineStr">
        <x:is>
          <x:t xml:space="preserve">СОТР-099</x:t>
        </x:is>
      </x:c>
      <x:c r="G2" s="31" t="inlineStr">
        <x:is>
          <x:t xml:space="preserve">Производственное задание</x:t>
        </x:is>
      </x:c>
      <x:c r="H2" s="31" t="inlineStr">
        <x:is>
          <x:t xml:space="preserve">ПЗ-00187</x:t>
        </x:is>
      </x:c>
      <x:c r="I2" s="31" t="inlineStr">
        <x:is>
          <x:t xml:space="preserve">Разобрать простой</x:t>
        </x:is>
      </x:c>
      <x:c r="J2" s="31" t="inlineStr">
        <x:is>
          <x:t xml:space="preserve">Сервис</x:t>
        </x:is>
      </x:c>
      <x:c r="K2" s="31" t="n">
        <x:v>0</x:v>
      </x:c>
      <x:c r="L2" s="31" t="inlineStr">
        <x:is>
          <x:t xml:space="preserve">Нет</x:t>
        </x:is>
      </x:c>
      <x:c r="M2" s="31" t="inlineStr">
        <x:is>
          <x:t xml:space="preserve">Нет</x:t>
        </x:is>
      </x:c>
      <x:c r="N2" s="31" t="inlineStr">
        <x:is>
          <x:t xml:space="preserve">Автосоздано правилом/пользователем 5</x:t>
        </x:is>
      </x:c>
    </x:row>
    <x:row r="3" ht="18" customHeight="1">
      <x:c r="A3" s="31" t="inlineStr">
        <x:is>
          <x:t xml:space="preserve">ЗД-00002</x:t>
        </x:is>
      </x:c>
      <x:c r="B3" s="31" t="n">
        <x:v>46156</x:v>
      </x:c>
      <x:c r="C3" s="31" t="n">
        <x:v>46157</x:v>
      </x:c>
      <x:c r="D3" s="31" t="inlineStr">
        <x:is>
          <x:t xml:space="preserve">Выполнена</x:t>
        </x:is>
      </x:c>
      <x:c r="E3" s="31" t="inlineStr">
        <x:is>
          <x:t xml:space="preserve">Высокий</x:t>
        </x:is>
      </x:c>
      <x:c r="F3" s="31" t="inlineStr">
        <x:is>
          <x:t xml:space="preserve">СОТР-076</x:t>
        </x:is>
      </x:c>
      <x:c r="G3" s="31" t="inlineStr">
        <x:is>
          <x:t xml:space="preserve">Счет</x:t>
        </x:is>
      </x:c>
      <x:c r="H3" s="31" t="inlineStr">
        <x:is>
          <x:t xml:space="preserve">СЧ-1073-1</x:t>
        </x:is>
      </x:c>
      <x:c r="I3" s="31" t="inlineStr">
        <x:is>
          <x:t xml:space="preserve">Подготовить акт сверки</x:t>
        </x:is>
      </x:c>
      <x:c r="J3" s="31" t="inlineStr">
        <x:is>
          <x:t xml:space="preserve">Снабжение</x:t>
        </x:is>
      </x:c>
      <x:c r="K3" s="31" t="n">
        <x:v>0</x:v>
      </x:c>
      <x:c r="L3" s="31" t="inlineStr">
        <x:is>
          <x:t xml:space="preserve">Нет</x:t>
        </x:is>
      </x:c>
      <x:c r="M3" s="31" t="inlineStr">
        <x:is>
          <x:t xml:space="preserve">Нет</x:t>
        </x:is>
      </x:c>
      <x:c r="N3" s="31" t="inlineStr">
        <x:is>
          <x:t xml:space="preserve">Автосоздано правилом/пользователем 11</x:t>
        </x:is>
      </x:c>
    </x:row>
    <x:row r="4" ht="18" customHeight="1">
      <x:c r="A4" s="31" t="inlineStr">
        <x:is>
          <x:t xml:space="preserve">ЗД-00003</x:t>
        </x:is>
      </x:c>
      <x:c r="B4" s="31" t="n">
        <x:v>46182</x:v>
      </x:c>
      <x:c r="C4" s="31" t="n">
        <x:v>46187</x:v>
      </x:c>
      <x:c r="D4" s="31" t="inlineStr">
        <x:is>
          <x:t xml:space="preserve">Просрочена</x:t>
        </x:is>
      </x:c>
      <x:c r="E4" s="31" t="inlineStr">
        <x:is>
          <x:t xml:space="preserve">Средний</x:t>
        </x:is>
      </x:c>
      <x:c r="F4" s="31" t="inlineStr">
        <x:is>
          <x:t xml:space="preserve">СОТР-099</x:t>
        </x:is>
      </x:c>
      <x:c r="G4" s="31" t="inlineStr">
        <x:is>
          <x:t xml:space="preserve">ОТК</x:t>
        </x:is>
      </x:c>
      <x:c r="H4" s="31" t="inlineStr">
        <x:is>
          <x:t xml:space="preserve">ОТК-00067</x:t>
        </x:is>
      </x:c>
      <x:c r="I4" s="31" t="inlineStr">
        <x:is>
          <x:t xml:space="preserve">Оформить корректирующие действия</x:t>
        </x:is>
      </x:c>
      <x:c r="J4" s="31" t="inlineStr">
        <x:is>
          <x:t xml:space="preserve">Снабжение</x:t>
        </x:is>
      </x:c>
      <x:c r="K4" s="31" t="n">
        <x:v>-2</x:v>
      </x:c>
      <x:c r="L4" s="31" t="inlineStr">
        <x:is>
          <x:t xml:space="preserve">Нет</x:t>
        </x:is>
      </x:c>
      <x:c r="M4" s="31" t="inlineStr">
        <x:is>
          <x:t xml:space="preserve">Нет</x:t>
        </x:is>
      </x:c>
      <x:c r="N4" s="31" t="inlineStr">
        <x:is>
          <x:t xml:space="preserve">Автосоздано правилом/пользователем 4</x:t>
        </x:is>
      </x:c>
    </x:row>
    <x:row r="5" ht="18" customHeight="1">
      <x:c r="A5" s="31" t="inlineStr">
        <x:is>
          <x:t xml:space="preserve">ЗД-00004</x:t>
        </x:is>
      </x:c>
      <x:c r="B5" s="31" t="n">
        <x:v>46172</x:v>
      </x:c>
      <x:c r="C5" s="31" t="n">
        <x:v>46175</x:v>
      </x:c>
      <x:c r="D5" s="31" t="inlineStr">
        <x:is>
          <x:t xml:space="preserve">Просрочена</x:t>
        </x:is>
      </x:c>
      <x:c r="E5" s="31" t="inlineStr">
        <x:is>
          <x:t xml:space="preserve">Высокий</x:t>
        </x:is>
      </x:c>
      <x:c r="F5" s="31" t="inlineStr">
        <x:is>
          <x:t xml:space="preserve">СОТР-047</x:t>
        </x:is>
      </x:c>
      <x:c r="G5" s="31" t="inlineStr">
        <x:is>
          <x:t xml:space="preserve">Производственное задание</x:t>
        </x:is>
      </x:c>
      <x:c r="H5" s="31" t="inlineStr">
        <x:is>
          <x:t xml:space="preserve">ПЗ-00158</x:t>
        </x:is>
      </x:c>
      <x:c r="I5" s="31" t="inlineStr">
        <x:is>
          <x:t xml:space="preserve">Закрыть сменный факт</x:t>
        </x:is>
      </x:c>
      <x:c r="J5" s="31" t="inlineStr">
        <x:is>
          <x:t xml:space="preserve">Снабжение</x:t>
        </x:is>
      </x:c>
      <x:c r="K5" s="31" t="n">
        <x:v>10</x:v>
      </x:c>
      <x:c r="L5" s="31" t="inlineStr">
        <x:is>
          <x:t xml:space="preserve">Нет</x:t>
        </x:is>
      </x:c>
      <x:c r="M5" s="31" t="inlineStr">
        <x:is>
          <x:t xml:space="preserve">Нет</x:t>
        </x:is>
      </x:c>
      <x:c r="N5" s="31" t="inlineStr">
        <x:is>
          <x:t xml:space="preserve">Автосоздано правилом/пользователем 3</x:t>
        </x:is>
      </x:c>
    </x:row>
    <x:row r="6" ht="18" customHeight="1">
      <x:c r="A6" s="31" t="inlineStr">
        <x:is>
          <x:t xml:space="preserve">ЗД-00005</x:t>
        </x:is>
      </x:c>
      <x:c r="B6" s="31" t="n">
        <x:v>46145</x:v>
      </x:c>
      <x:c r="C6" s="31" t="n">
        <x:v>46146</x:v>
      </x:c>
      <x:c r="D6" s="31" t="inlineStr">
        <x:is>
          <x:t xml:space="preserve">Выполнена</x:t>
        </x:is>
      </x:c>
      <x:c r="E6" s="31" t="inlineStr">
        <x:is>
          <x:t xml:space="preserve">Средний</x:t>
        </x:is>
      </x:c>
      <x:c r="F6" s="31" t="inlineStr">
        <x:is>
          <x:t xml:space="preserve">СОТР-004</x:t>
        </x:is>
      </x:c>
      <x:c r="G6" s="31" t="inlineStr">
        <x:is>
          <x:t xml:space="preserve">Заказ</x:t>
        </x:is>
      </x:c>
      <x:c r="H6" s="31" t="inlineStr">
        <x:is>
          <x:t xml:space="preserve">ЗК-1054</x:t>
        </x:is>
      </x:c>
      <x:c r="I6" s="31" t="inlineStr">
        <x:is>
          <x:t xml:space="preserve">Уточнить ТЗ</x:t>
        </x:is>
      </x:c>
      <x:c r="J6" s="31" t="inlineStr">
        <x:is>
          <x:t xml:space="preserve">Продажи</x:t>
        </x:is>
      </x:c>
      <x:c r="K6" s="31" t="n">
        <x:v>0</x:v>
      </x:c>
      <x:c r="L6" s="31" t="inlineStr">
        <x:is>
          <x:t xml:space="preserve">Нет</x:t>
        </x:is>
      </x:c>
      <x:c r="M6" s="31" t="inlineStr">
        <x:is>
          <x:t xml:space="preserve">Нет</x:t>
        </x:is>
      </x:c>
      <x:c r="N6" s="31" t="inlineStr">
        <x:is>
          <x:t xml:space="preserve">Автосоздано правилом/пользователем 2</x:t>
        </x:is>
      </x:c>
    </x:row>
    <x:row r="7" ht="18" customHeight="1">
      <x:c r="A7" s="31" t="inlineStr">
        <x:is>
          <x:t xml:space="preserve">ЗД-00006</x:t>
        </x:is>
      </x:c>
      <x:c r="B7" s="31" t="n">
        <x:v>46129</x:v>
      </x:c>
      <x:c r="C7" s="31" t="n">
        <x:v>46132</x:v>
      </x:c>
      <x:c r="D7" s="31" t="inlineStr">
        <x:is>
          <x:t xml:space="preserve">Выполнена</x:t>
        </x:is>
      </x:c>
      <x:c r="E7" s="31" t="inlineStr">
        <x:is>
          <x:t xml:space="preserve">Высокий</x:t>
        </x:is>
      </x:c>
      <x:c r="F7" s="31" t="inlineStr">
        <x:is>
          <x:t xml:space="preserve">СОТР-096</x:t>
        </x:is>
      </x:c>
      <x:c r="G7" s="31" t="inlineStr">
        <x:is>
          <x:t xml:space="preserve">ОТК</x:t>
        </x:is>
      </x:c>
      <x:c r="H7" s="31" t="inlineStr">
        <x:is>
          <x:t xml:space="preserve">ОТК-00160</x:t>
        </x:is>
      </x:c>
      <x:c r="I7" s="31" t="inlineStr">
        <x:is>
          <x:t xml:space="preserve">Согласовать приемку с замечаниями</x:t>
        </x:is>
      </x:c>
      <x:c r="J7" s="31" t="inlineStr">
        <x:is>
          <x:t xml:space="preserve">Продажи</x:t>
        </x:is>
      </x:c>
      <x:c r="K7" s="31" t="n">
        <x:v>0</x:v>
      </x:c>
      <x:c r="L7" s="31" t="inlineStr">
        <x:is>
          <x:t xml:space="preserve">Нет</x:t>
        </x:is>
      </x:c>
      <x:c r="M7" s="31" t="inlineStr">
        <x:is>
          <x:t xml:space="preserve">Нет</x:t>
        </x:is>
      </x:c>
      <x:c r="N7" s="31" t="inlineStr">
        <x:is>
          <x:t xml:space="preserve">Автосоздано правилом/пользователем 6</x:t>
        </x:is>
      </x:c>
    </x:row>
    <x:row r="8" ht="18" customHeight="1">
      <x:c r="A8" s="31" t="inlineStr">
        <x:is>
          <x:t xml:space="preserve">ЗД-00007</x:t>
        </x:is>
      </x:c>
      <x:c r="B8" s="31" t="n">
        <x:v>46124</x:v>
      </x:c>
      <x:c r="C8" s="31" t="n">
        <x:v>46131</x:v>
      </x:c>
      <x:c r="D8" s="31" t="inlineStr">
        <x:is>
          <x:t xml:space="preserve">В работе</x:t>
        </x:is>
      </x:c>
      <x:c r="E8" s="31" t="inlineStr">
        <x:is>
          <x:t xml:space="preserve">Средний</x:t>
        </x:is>
      </x:c>
      <x:c r="F8" s="31" t="inlineStr">
        <x:is>
          <x:t xml:space="preserve">СОТР-098</x:t>
        </x:is>
      </x:c>
      <x:c r="G8" s="31" t="inlineStr">
        <x:is>
          <x:t xml:space="preserve">Производственное задание</x:t>
        </x:is>
      </x:c>
      <x:c r="H8" s="31" t="inlineStr">
        <x:is>
          <x:t xml:space="preserve">ПЗ-00200</x:t>
        </x:is>
      </x:c>
      <x:c r="I8" s="31" t="inlineStr">
        <x:is>
          <x:t xml:space="preserve">Разобрать простой</x:t>
        </x:is>
      </x:c>
      <x:c r="J8" s="31" t="inlineStr">
        <x:is>
          <x:t xml:space="preserve">Производство</x:t>
        </x:is>
      </x:c>
      <x:c r="K8" s="31" t="n">
        <x:v>0</x:v>
      </x:c>
      <x:c r="L8" s="31" t="inlineStr">
        <x:is>
          <x:t xml:space="preserve">Нет</x:t>
        </x:is>
      </x:c>
      <x:c r="M8" s="31" t="inlineStr">
        <x:is>
          <x:t xml:space="preserve">Нет</x:t>
        </x:is>
      </x:c>
      <x:c r="N8" s="31" t="inlineStr">
        <x:is>
          <x:t xml:space="preserve">Автосоздано правилом/пользователем 7</x:t>
        </x:is>
      </x:c>
    </x:row>
    <x:row r="9" ht="18" customHeight="1">
      <x:c r="A9" s="31" t="inlineStr">
        <x:is>
          <x:t xml:space="preserve">ЗД-00008</x:t>
        </x:is>
      </x:c>
      <x:c r="B9" s="31" t="n">
        <x:v>46168</x:v>
      </x:c>
      <x:c r="C9" s="31" t="n">
        <x:v>46182</x:v>
      </x:c>
      <x:c r="D9" s="31" t="inlineStr">
        <x:is>
          <x:t xml:space="preserve">Просрочена</x:t>
        </x:is>
      </x:c>
      <x:c r="E9" s="31" t="inlineStr">
        <x:is>
          <x:t xml:space="preserve">Высокий</x:t>
        </x:is>
      </x:c>
      <x:c r="F9" s="31" t="inlineStr">
        <x:is>
          <x:t xml:space="preserve">СОТР-026</x:t>
        </x:is>
      </x:c>
      <x:c r="G9" s="31" t="inlineStr">
        <x:is>
          <x:t xml:space="preserve">Закупка</x:t>
        </x:is>
      </x:c>
      <x:c r="H9" s="31" t="inlineStr">
        <x:is>
          <x:t xml:space="preserve">ЗЗ-00021</x:t>
        </x:is>
      </x:c>
      <x:c r="I9" s="31" t="inlineStr">
        <x:is>
          <x:t xml:space="preserve">Согласовать закупку</x:t>
        </x:is>
      </x:c>
      <x:c r="J9" s="31" t="inlineStr">
        <x:is>
          <x:t xml:space="preserve">Финансы</x:t>
        </x:is>
      </x:c>
      <x:c r="K9" s="31" t="n">
        <x:v>3</x:v>
      </x:c>
      <x:c r="L9" s="31" t="inlineStr">
        <x:is>
          <x:t xml:space="preserve">Нет</x:t>
        </x:is>
      </x:c>
      <x:c r="M9" s="31" t="inlineStr">
        <x:is>
          <x:t xml:space="preserve">Нет</x:t>
        </x:is>
      </x:c>
      <x:c r="N9" s="31" t="inlineStr">
        <x:is>
          <x:t xml:space="preserve">Автосоздано правилом/пользователем 5</x:t>
        </x:is>
      </x:c>
    </x:row>
    <x:row r="10" ht="18" customHeight="1">
      <x:c r="A10" s="31" t="inlineStr">
        <x:is>
          <x:t xml:space="preserve">ЗД-00009</x:t>
        </x:is>
      </x:c>
      <x:c r="B10" s="31" t="n">
        <x:v>46177</x:v>
      </x:c>
      <x:c r="C10" s="31" t="n">
        <x:v>46184</x:v>
      </x:c>
      <x:c r="D10" s="31" t="inlineStr">
        <x:is>
          <x:t xml:space="preserve">Выполнена</x:t>
        </x:is>
      </x:c>
      <x:c r="E10" s="31" t="inlineStr">
        <x:is>
          <x:t xml:space="preserve">Средний</x:t>
        </x:is>
      </x:c>
      <x:c r="F10" s="31" t="inlineStr">
        <x:is>
          <x:t xml:space="preserve">СОТР-038</x:t>
        </x:is>
      </x:c>
      <x:c r="G10" s="31" t="inlineStr">
        <x:is>
          <x:t xml:space="preserve">ОТК</x:t>
        </x:is>
      </x:c>
      <x:c r="H10" s="31" t="inlineStr">
        <x:is>
          <x:t xml:space="preserve">ОТК-00154</x:t>
        </x:is>
      </x:c>
      <x:c r="I10" s="31" t="inlineStr">
        <x:is>
          <x:t xml:space="preserve">Заблокировать отгрузку</x:t>
        </x:is>
      </x:c>
      <x:c r="J10" s="31" t="inlineStr">
        <x:is>
          <x:t xml:space="preserve">Снабжение</x:t>
        </x:is>
      </x:c>
      <x:c r="K10" s="31" t="n">
        <x:v>0</x:v>
      </x:c>
      <x:c r="L10" s="31" t="inlineStr">
        <x:is>
          <x:t xml:space="preserve">Нет</x:t>
        </x:is>
      </x:c>
      <x:c r="M10" s="31" t="inlineStr">
        <x:is>
          <x:t xml:space="preserve">Нет</x:t>
        </x:is>
      </x:c>
      <x:c r="N10" s="31" t="inlineStr">
        <x:is>
          <x:t xml:space="preserve">Автосоздано правилом/пользователем 5</x:t>
        </x:is>
      </x:c>
    </x:row>
    <x:row r="11" ht="18" customHeight="1">
      <x:c r="A11" s="31" t="inlineStr">
        <x:is>
          <x:t xml:space="preserve">ЗД-00010</x:t>
        </x:is>
      </x:c>
      <x:c r="B11" s="31" t="n">
        <x:v>46170</x:v>
      </x:c>
      <x:c r="C11" s="31" t="n">
        <x:v>46175</x:v>
      </x:c>
      <x:c r="D11" s="31" t="inlineStr">
        <x:is>
          <x:t xml:space="preserve">Выполнена</x:t>
        </x:is>
      </x:c>
      <x:c r="E11" s="31" t="inlineStr">
        <x:is>
          <x:t xml:space="preserve">Средний</x:t>
        </x:is>
      </x:c>
      <x:c r="F11" s="31" t="inlineStr">
        <x:is>
          <x:t xml:space="preserve">СОТР-004</x:t>
        </x:is>
      </x:c>
      <x:c r="G11" s="31" t="inlineStr">
        <x:is>
          <x:t xml:space="preserve">Заказ</x:t>
        </x:is>
      </x:c>
      <x:c r="H11" s="31" t="inlineStr">
        <x:is>
          <x:t xml:space="preserve">ЗК-1092</x:t>
        </x:is>
      </x:c>
      <x:c r="I11" s="31" t="inlineStr">
        <x:is>
          <x:t xml:space="preserve">Проверить лимит заказчика</x:t>
        </x:is>
      </x:c>
      <x:c r="J11" s="31" t="inlineStr">
        <x:is>
          <x:t xml:space="preserve">Финансы</x:t>
        </x:is>
      </x:c>
      <x:c r="K11" s="31" t="n">
        <x:v>0</x:v>
      </x:c>
      <x:c r="L11" s="31" t="inlineStr">
        <x:is>
          <x:t xml:space="preserve">Нет</x:t>
        </x:is>
      </x:c>
      <x:c r="M11" s="31" t="inlineStr">
        <x:is>
          <x:t xml:space="preserve">Заказчик</x:t>
        </x:is>
      </x:c>
      <x:c r="N11" s="31" t="inlineStr">
        <x:is>
          <x:t xml:space="preserve">Автосоздано правилом/пользователем 1</x:t>
        </x:is>
      </x:c>
    </x:row>
    <x:row r="12" ht="18" customHeight="1">
      <x:c r="A12" s="31" t="inlineStr">
        <x:is>
          <x:t xml:space="preserve">ЗД-00011</x:t>
        </x:is>
      </x:c>
      <x:c r="B12" s="31" t="n">
        <x:v>46113</x:v>
      </x:c>
      <x:c r="C12" s="31" t="n">
        <x:v>46115</x:v>
      </x:c>
      <x:c r="D12" s="31" t="inlineStr">
        <x:is>
          <x:t xml:space="preserve">Выполнена</x:t>
        </x:is>
      </x:c>
      <x:c r="E12" s="31" t="inlineStr">
        <x:is>
          <x:t xml:space="preserve">Средний</x:t>
        </x:is>
      </x:c>
      <x:c r="F12" s="31" t="inlineStr">
        <x:is>
          <x:t xml:space="preserve">СОТР-095</x:t>
        </x:is>
      </x:c>
      <x:c r="G12" s="31" t="inlineStr">
        <x:is>
          <x:t xml:space="preserve">Производственное задание</x:t>
        </x:is>
      </x:c>
      <x:c r="H12" s="31" t="inlineStr">
        <x:is>
          <x:t xml:space="preserve">ПЗ-00077</x:t>
        </x:is>
      </x:c>
      <x:c r="I12" s="31" t="inlineStr">
        <x:is>
          <x:t xml:space="preserve">Закрыть сменный факт</x:t>
        </x:is>
      </x:c>
      <x:c r="J12" s="31" t="inlineStr">
        <x:is>
          <x:t xml:space="preserve">Сервис</x:t>
        </x:is>
      </x:c>
      <x:c r="K12" s="31" t="n">
        <x:v>0</x:v>
      </x:c>
      <x:c r="L12" s="31" t="inlineStr">
        <x:is>
          <x:t xml:space="preserve">Нет</x:t>
        </x:is>
      </x:c>
      <x:c r="M12" s="31" t="inlineStr">
        <x:is>
          <x:t xml:space="preserve">Нет</x:t>
        </x:is>
      </x:c>
      <x:c r="N12" s="31" t="inlineStr">
        <x:is>
          <x:t xml:space="preserve">Автосоздано правилом/пользователем 11</x:t>
        </x:is>
      </x:c>
    </x:row>
    <x:row r="13" ht="18" customHeight="1">
      <x:c r="A13" s="31" t="inlineStr">
        <x:is>
          <x:t xml:space="preserve">ЗД-00012</x:t>
        </x:is>
      </x:c>
      <x:c r="B13" s="31" t="n">
        <x:v>46156</x:v>
      </x:c>
      <x:c r="C13" s="31" t="n">
        <x:v>46170</x:v>
      </x:c>
      <x:c r="D13" s="31" t="inlineStr">
        <x:is>
          <x:t xml:space="preserve">Просрочена</x:t>
        </x:is>
      </x:c>
      <x:c r="E13" s="31" t="inlineStr">
        <x:is>
          <x:t xml:space="preserve">Высокий</x:t>
        </x:is>
      </x:c>
      <x:c r="F13" s="31" t="inlineStr">
        <x:is>
          <x:t xml:space="preserve">СОТР-093</x:t>
        </x:is>
      </x:c>
      <x:c r="G13" s="31" t="inlineStr">
        <x:is>
          <x:t xml:space="preserve">Производственное задание</x:t>
        </x:is>
      </x:c>
      <x:c r="H13" s="31" t="inlineStr">
        <x:is>
          <x:t xml:space="preserve">ПЗ-00070</x:t>
        </x:is>
      </x:c>
      <x:c r="I13" s="31" t="inlineStr">
        <x:is>
          <x:t xml:space="preserve">Разобрать простой</x:t>
        </x:is>
      </x:c>
      <x:c r="J13" s="31" t="inlineStr">
        <x:is>
          <x:t xml:space="preserve">Продажи</x:t>
        </x:is>
      </x:c>
      <x:c r="K13" s="31" t="n">
        <x:v>15</x:v>
      </x:c>
      <x:c r="L13" s="31" t="inlineStr">
        <x:is>
          <x:t xml:space="preserve">Нет</x:t>
        </x:is>
      </x:c>
      <x:c r="M13" s="31" t="inlineStr">
        <x:is>
          <x:t xml:space="preserve">Нет</x:t>
        </x:is>
      </x:c>
      <x:c r="N13" s="31" t="inlineStr">
        <x:is>
          <x:t xml:space="preserve">Автосоздано правилом/пользователем 2</x:t>
        </x:is>
      </x:c>
    </x:row>
    <x:row r="14" ht="18" customHeight="1">
      <x:c r="A14" s="31" t="inlineStr">
        <x:is>
          <x:t xml:space="preserve">ЗД-00013</x:t>
        </x:is>
      </x:c>
      <x:c r="B14" s="31" t="n">
        <x:v>46174</x:v>
      </x:c>
      <x:c r="C14" s="31" t="n">
        <x:v>46188</x:v>
      </x:c>
      <x:c r="D14" s="31" t="inlineStr">
        <x:is>
          <x:t xml:space="preserve">В работе</x:t>
        </x:is>
      </x:c>
      <x:c r="E14" s="31" t="inlineStr">
        <x:is>
          <x:t xml:space="preserve">Низкий</x:t>
        </x:is>
      </x:c>
      <x:c r="F14" s="31" t="inlineStr">
        <x:is>
          <x:t xml:space="preserve">СОТР-009</x:t>
        </x:is>
      </x:c>
      <x:c r="G14" s="31" t="inlineStr">
        <x:is>
          <x:t xml:space="preserve">ОТК</x:t>
        </x:is>
      </x:c>
      <x:c r="H14" s="31" t="inlineStr">
        <x:is>
          <x:t xml:space="preserve">ОТК-00047</x:t>
        </x:is>
      </x:c>
      <x:c r="I14" s="31" t="inlineStr">
        <x:is>
          <x:t xml:space="preserve">Согласовать приемку с замечаниями</x:t>
        </x:is>
      </x:c>
      <x:c r="J14" s="31" t="inlineStr">
        <x:is>
          <x:t xml:space="preserve">Финансы</x:t>
        </x:is>
      </x:c>
      <x:c r="K14" s="31" t="n">
        <x:v>0</x:v>
      </x:c>
      <x:c r="L14" s="31" t="inlineStr">
        <x:is>
          <x:t xml:space="preserve">Нет</x:t>
        </x:is>
      </x:c>
      <x:c r="M14" s="31" t="inlineStr">
        <x:is>
          <x:t xml:space="preserve">Руководитель</x:t>
        </x:is>
      </x:c>
      <x:c r="N14" s="31" t="inlineStr">
        <x:is>
          <x:t xml:space="preserve">Автосоздано правилом/пользователем 2</x:t>
        </x:is>
      </x:c>
    </x:row>
    <x:row r="15" ht="18" customHeight="1">
      <x:c r="A15" s="31" t="inlineStr">
        <x:is>
          <x:t xml:space="preserve">ЗД-00014</x:t>
        </x:is>
      </x:c>
      <x:c r="B15" s="31" t="n">
        <x:v>46119</x:v>
      </x:c>
      <x:c r="C15" s="31" t="n">
        <x:v>46120</x:v>
      </x:c>
      <x:c r="D15" s="31" t="inlineStr">
        <x:is>
          <x:t xml:space="preserve">Просрочена</x:t>
        </x:is>
      </x:c>
      <x:c r="E15" s="31" t="inlineStr">
        <x:is>
          <x:t xml:space="preserve">Высокий</x:t>
        </x:is>
      </x:c>
      <x:c r="F15" s="31" t="inlineStr">
        <x:is>
          <x:t xml:space="preserve">СОТР-054</x:t>
        </x:is>
      </x:c>
      <x:c r="G15" s="31" t="inlineStr">
        <x:is>
          <x:t xml:space="preserve">Закупка</x:t>
        </x:is>
      </x:c>
      <x:c r="H15" s="31" t="inlineStr">
        <x:is>
          <x:t xml:space="preserve">ЗЗ-00004</x:t>
        </x:is>
      </x:c>
      <x:c r="I15" s="31" t="inlineStr">
        <x:is>
          <x:t xml:space="preserve">Запросить срок поставки</x:t>
        </x:is>
      </x:c>
      <x:c r="J15" s="31" t="inlineStr">
        <x:is>
          <x:t xml:space="preserve">Продажи</x:t>
        </x:is>
      </x:c>
      <x:c r="K15" s="31" t="n">
        <x:v>65</x:v>
      </x:c>
      <x:c r="L15" s="31" t="inlineStr">
        <x:is>
          <x:t xml:space="preserve">Нет</x:t>
        </x:is>
      </x:c>
      <x:c r="M15" s="31" t="inlineStr">
        <x:is>
          <x:t xml:space="preserve">Поставщик</x:t>
        </x:is>
      </x:c>
      <x:c r="N15" s="31" t="inlineStr">
        <x:is>
          <x:t xml:space="preserve">Автосоздано правилом/пользователем 9</x:t>
        </x:is>
      </x:c>
    </x:row>
    <x:row r="16" ht="18" customHeight="1">
      <x:c r="A16" s="31" t="inlineStr">
        <x:is>
          <x:t xml:space="preserve">ЗД-00015</x:t>
        </x:is>
      </x:c>
      <x:c r="B16" s="31" t="n">
        <x:v>46124</x:v>
      </x:c>
      <x:c r="C16" s="31" t="n">
        <x:v>46125</x:v>
      </x:c>
      <x:c r="D16" s="31" t="inlineStr">
        <x:is>
          <x:t xml:space="preserve">Выполнена</x:t>
        </x:is>
      </x:c>
      <x:c r="E16" s="31" t="inlineStr">
        <x:is>
          <x:t xml:space="preserve">Средний</x:t>
        </x:is>
      </x:c>
      <x:c r="F16" s="31" t="inlineStr">
        <x:is>
          <x:t xml:space="preserve">СОТР-069</x:t>
        </x:is>
      </x:c>
      <x:c r="G16" s="31" t="inlineStr">
        <x:is>
          <x:t xml:space="preserve">Производственное задание</x:t>
        </x:is>
      </x:c>
      <x:c r="H16" s="31" t="inlineStr">
        <x:is>
          <x:t xml:space="preserve">ПЗ-00117</x:t>
        </x:is>
      </x:c>
      <x:c r="I16" s="31" t="inlineStr">
        <x:is>
          <x:t xml:space="preserve">Назначить оператора</x:t>
        </x:is>
      </x:c>
      <x:c r="J16" s="31" t="inlineStr">
        <x:is>
          <x:t xml:space="preserve">Производство</x:t>
        </x:is>
      </x:c>
      <x:c r="K16" s="31" t="n">
        <x:v>0</x:v>
      </x:c>
      <x:c r="L16" s="31" t="inlineStr">
        <x:is>
          <x:t xml:space="preserve">Нет</x:t>
        </x:is>
      </x:c>
      <x:c r="M16" s="31" t="inlineStr">
        <x:is>
          <x:t xml:space="preserve">Нет</x:t>
        </x:is>
      </x:c>
      <x:c r="N16" s="31" t="inlineStr">
        <x:is>
          <x:t xml:space="preserve">Автосоздано правилом/пользователем 6</x:t>
        </x:is>
      </x:c>
    </x:row>
    <x:row r="17" ht="18" customHeight="1">
      <x:c r="A17" s="31" t="inlineStr">
        <x:is>
          <x:t xml:space="preserve">ЗД-00016</x:t>
        </x:is>
      </x:c>
      <x:c r="B17" s="31" t="n">
        <x:v>46177</x:v>
      </x:c>
      <x:c r="C17" s="31" t="n">
        <x:v>46178</x:v>
      </x:c>
      <x:c r="D17" s="31" t="inlineStr">
        <x:is>
          <x:t xml:space="preserve">Ожидает ответа</x:t>
        </x:is>
      </x:c>
      <x:c r="E17" s="31" t="inlineStr">
        <x:is>
          <x:t xml:space="preserve">Средний</x:t>
        </x:is>
      </x:c>
      <x:c r="F17" s="31" t="inlineStr">
        <x:is>
          <x:t xml:space="preserve">СОТР-076</x:t>
        </x:is>
      </x:c>
      <x:c r="G17" s="31" t="inlineStr">
        <x:is>
          <x:t xml:space="preserve">Счет</x:t>
        </x:is>
      </x:c>
      <x:c r="H17" s="31" t="inlineStr">
        <x:is>
          <x:t xml:space="preserve">СЧ-1038-1</x:t>
        </x:is>
      </x:c>
      <x:c r="I17" s="31" t="inlineStr">
        <x:is>
          <x:t xml:space="preserve">Подготовить акт сверки</x:t>
        </x:is>
      </x:c>
      <x:c r="J17" s="31" t="inlineStr">
        <x:is>
          <x:t xml:space="preserve">Финансы</x:t>
        </x:is>
      </x:c>
      <x:c r="K17" s="31" t="n">
        <x:v>0</x:v>
      </x:c>
      <x:c r="L17" s="31" t="inlineStr">
        <x:is>
          <x:t xml:space="preserve">Нет</x:t>
        </x:is>
      </x:c>
      <x:c r="M17" s="31" t="inlineStr">
        <x:is>
          <x:t xml:space="preserve">Нет</x:t>
        </x:is>
      </x:c>
      <x:c r="N17" s="31" t="inlineStr">
        <x:is>
          <x:t xml:space="preserve">Автосоздано правилом/пользователем 10</x:t>
        </x:is>
      </x:c>
    </x:row>
    <x:row r="18" ht="18" customHeight="1">
      <x:c r="A18" s="31" t="inlineStr">
        <x:is>
          <x:t xml:space="preserve">ЗД-00017</x:t>
        </x:is>
      </x:c>
      <x:c r="B18" s="31" t="n">
        <x:v>46146</x:v>
      </x:c>
      <x:c r="C18" s="31" t="n">
        <x:v>46160</x:v>
      </x:c>
      <x:c r="D18" s="31" t="inlineStr">
        <x:is>
          <x:t xml:space="preserve">Просрочена</x:t>
        </x:is>
      </x:c>
      <x:c r="E18" s="31" t="inlineStr">
        <x:is>
          <x:t xml:space="preserve">Средний</x:t>
        </x:is>
      </x:c>
      <x:c r="F18" s="31" t="inlineStr">
        <x:is>
          <x:t xml:space="preserve">СОТР-092</x:t>
        </x:is>
      </x:c>
      <x:c r="G18" s="31" t="inlineStr">
        <x:is>
          <x:t xml:space="preserve">ОТК</x:t>
        </x:is>
      </x:c>
      <x:c r="H18" s="31" t="inlineStr">
        <x:is>
          <x:t xml:space="preserve">ОТК-00125</x:t>
        </x:is>
      </x:c>
      <x:c r="I18" s="31" t="inlineStr">
        <x:is>
          <x:t xml:space="preserve">Заблокировать отгрузку</x:t>
        </x:is>
      </x:c>
      <x:c r="J18" s="31" t="inlineStr">
        <x:is>
          <x:t xml:space="preserve">Сервис</x:t>
        </x:is>
      </x:c>
      <x:c r="K18" s="31" t="n">
        <x:v>25</x:v>
      </x:c>
      <x:c r="L18" s="31" t="inlineStr">
        <x:is>
          <x:t xml:space="preserve">Да</x:t>
        </x:is>
      </x:c>
      <x:c r="M18" s="31" t="inlineStr">
        <x:is>
          <x:t xml:space="preserve">Нет</x:t>
        </x:is>
      </x:c>
      <x:c r="N18" s="31" t="inlineStr">
        <x:is>
          <x:t xml:space="preserve">Автосоздано правилом/пользователем 8</x:t>
        </x:is>
      </x:c>
    </x:row>
    <x:row r="19" ht="18" customHeight="1">
      <x:c r="A19" s="31" t="inlineStr">
        <x:is>
          <x:t xml:space="preserve">ЗД-00018</x:t>
        </x:is>
      </x:c>
      <x:c r="B19" s="31" t="n">
        <x:v>46176</x:v>
      </x:c>
      <x:c r="C19" s="31" t="n">
        <x:v>46179</x:v>
      </x:c>
      <x:c r="D19" s="31" t="inlineStr">
        <x:is>
          <x:t xml:space="preserve">В работе</x:t>
        </x:is>
      </x:c>
      <x:c r="E19" s="31" t="inlineStr">
        <x:is>
          <x:t xml:space="preserve">Средний</x:t>
        </x:is>
      </x:c>
      <x:c r="F19" s="31" t="inlineStr">
        <x:is>
          <x:t xml:space="preserve">СОТР-097</x:t>
        </x:is>
      </x:c>
      <x:c r="G19" s="31" t="inlineStr">
        <x:is>
          <x:t xml:space="preserve">ОТК</x:t>
        </x:is>
      </x:c>
      <x:c r="H19" s="31" t="inlineStr">
        <x:is>
          <x:t xml:space="preserve">ОТК-00055</x:t>
        </x:is>
      </x:c>
      <x:c r="I19" s="31" t="inlineStr">
        <x:is>
          <x:t xml:space="preserve">Оформить корректирующие действия</x:t>
        </x:is>
      </x:c>
      <x:c r="J19" s="31" t="inlineStr">
        <x:is>
          <x:t xml:space="preserve">Финансы</x:t>
        </x:is>
      </x:c>
      <x:c r="K19" s="31" t="n">
        <x:v>0</x:v>
      </x:c>
      <x:c r="L19" s="31" t="inlineStr">
        <x:is>
          <x:t xml:space="preserve">Нет</x:t>
        </x:is>
      </x:c>
      <x:c r="M19" s="31" t="inlineStr">
        <x:is>
          <x:t xml:space="preserve">Нет</x:t>
        </x:is>
      </x:c>
      <x:c r="N19" s="31" t="inlineStr">
        <x:is>
          <x:t xml:space="preserve">Автосоздано правилом/пользователем 8</x:t>
        </x:is>
      </x:c>
    </x:row>
    <x:row r="20" ht="18" customHeight="1">
      <x:c r="A20" s="31" t="inlineStr">
        <x:is>
          <x:t xml:space="preserve">ЗД-00019</x:t>
        </x:is>
      </x:c>
      <x:c r="B20" s="31" t="n">
        <x:v>46137</x:v>
      </x:c>
      <x:c r="C20" s="31" t="n">
        <x:v>46144</x:v>
      </x:c>
      <x:c r="D20" s="31" t="inlineStr">
        <x:is>
          <x:t xml:space="preserve">Просрочена</x:t>
        </x:is>
      </x:c>
      <x:c r="E20" s="31" t="inlineStr">
        <x:is>
          <x:t xml:space="preserve">Средний</x:t>
        </x:is>
      </x:c>
      <x:c r="F20" s="31" t="inlineStr">
        <x:is>
          <x:t xml:space="preserve">СОТР-063</x:t>
        </x:is>
      </x:c>
      <x:c r="G20" s="31" t="inlineStr">
        <x:is>
          <x:t xml:space="preserve">Производственное задание</x:t>
        </x:is>
      </x:c>
      <x:c r="H20" s="31" t="inlineStr">
        <x:is>
          <x:t xml:space="preserve">ПЗ-00012</x:t>
        </x:is>
      </x:c>
      <x:c r="I20" s="31" t="inlineStr">
        <x:is>
          <x:t xml:space="preserve">Закрыть сменный факт</x:t>
        </x:is>
      </x:c>
      <x:c r="J20" s="31" t="inlineStr">
        <x:is>
          <x:t xml:space="preserve">Продажи</x:t>
        </x:is>
      </x:c>
      <x:c r="K20" s="31" t="n">
        <x:v>41</x:v>
      </x:c>
      <x:c r="L20" s="31" t="inlineStr">
        <x:is>
          <x:t xml:space="preserve">Нет</x:t>
        </x:is>
      </x:c>
      <x:c r="M20" s="31" t="inlineStr">
        <x:is>
          <x:t xml:space="preserve">Нет</x:t>
        </x:is>
      </x:c>
      <x:c r="N20" s="31" t="inlineStr">
        <x:is>
          <x:t xml:space="preserve">Автосоздано правилом/пользователем 4</x:t>
        </x:is>
      </x:c>
    </x:row>
    <x:row r="21" ht="18" customHeight="1">
      <x:c r="A21" s="31" t="inlineStr">
        <x:is>
          <x:t xml:space="preserve">ЗД-00020</x:t>
        </x:is>
      </x:c>
      <x:c r="B21" s="31" t="n">
        <x:v>46129</x:v>
      </x:c>
      <x:c r="C21" s="31" t="n">
        <x:v>46134</x:v>
      </x:c>
      <x:c r="D21" s="31" t="inlineStr">
        <x:is>
          <x:t xml:space="preserve">Выполнена</x:t>
        </x:is>
      </x:c>
      <x:c r="E21" s="31" t="inlineStr">
        <x:is>
          <x:t xml:space="preserve">Средний</x:t>
        </x:is>
      </x:c>
      <x:c r="F21" s="31" t="inlineStr">
        <x:is>
          <x:t xml:space="preserve">СОТР-013</x:t>
        </x:is>
      </x:c>
      <x:c r="G21" s="31" t="inlineStr">
        <x:is>
          <x:t xml:space="preserve">Производственное задание</x:t>
        </x:is>
      </x:c>
      <x:c r="H21" s="31" t="inlineStr">
        <x:is>
          <x:t xml:space="preserve">ПЗ-00089</x:t>
        </x:is>
      </x:c>
      <x:c r="I21" s="31" t="inlineStr">
        <x:is>
          <x:t xml:space="preserve">Проверить дефицит материалов</x:t>
        </x:is>
      </x:c>
      <x:c r="J21" s="31" t="inlineStr">
        <x:is>
          <x:t xml:space="preserve">Сервис</x:t>
        </x:is>
      </x:c>
      <x:c r="K21" s="31" t="n">
        <x:v>0</x:v>
      </x:c>
      <x:c r="L21" s="31" t="inlineStr">
        <x:is>
          <x:t xml:space="preserve">Нет</x:t>
        </x:is>
      </x:c>
      <x:c r="M21" s="31" t="inlineStr">
        <x:is>
          <x:t xml:space="preserve">Нет</x:t>
        </x:is>
      </x:c>
      <x:c r="N21" s="31" t="inlineStr">
        <x:is>
          <x:t xml:space="preserve">Автосоздано правилом/пользователем 3</x:t>
        </x:is>
      </x:c>
    </x:row>
    <x:row r="22" ht="18" customHeight="1">
      <x:c r="A22" s="31" t="inlineStr">
        <x:is>
          <x:t xml:space="preserve">ЗД-00021</x:t>
        </x:is>
      </x:c>
      <x:c r="B22" s="31" t="n">
        <x:v>46136</x:v>
      </x:c>
      <x:c r="C22" s="31" t="n">
        <x:v>46141</x:v>
      </x:c>
      <x:c r="D22" s="31" t="inlineStr">
        <x:is>
          <x:t xml:space="preserve">Ожидает ответа</x:t>
        </x:is>
      </x:c>
      <x:c r="E22" s="31" t="inlineStr">
        <x:is>
          <x:t xml:space="preserve">Средний</x:t>
        </x:is>
      </x:c>
      <x:c r="F22" s="31" t="inlineStr">
        <x:is>
          <x:t xml:space="preserve">СОТР-095</x:t>
        </x:is>
      </x:c>
      <x:c r="G22" s="31" t="inlineStr">
        <x:is>
          <x:t xml:space="preserve">ОТК</x:t>
        </x:is>
      </x:c>
      <x:c r="H22" s="31" t="inlineStr">
        <x:is>
          <x:t xml:space="preserve">ОТК-00115</x:t>
        </x:is>
      </x:c>
      <x:c r="I22" s="31" t="inlineStr">
        <x:is>
          <x:t xml:space="preserve">Заблокировать отгрузку</x:t>
        </x:is>
      </x:c>
      <x:c r="J22" s="31" t="inlineStr">
        <x:is>
          <x:t xml:space="preserve">Снабжение</x:t>
        </x:is>
      </x:c>
      <x:c r="K22" s="31" t="n">
        <x:v>0</x:v>
      </x:c>
      <x:c r="L22" s="31" t="inlineStr">
        <x:is>
          <x:t xml:space="preserve">Нет</x:t>
        </x:is>
      </x:c>
      <x:c r="M22" s="31" t="inlineStr">
        <x:is>
          <x:t xml:space="preserve">Нет</x:t>
        </x:is>
      </x:c>
      <x:c r="N22" s="31" t="inlineStr">
        <x:is>
          <x:t xml:space="preserve">Автосоздано правилом/пользователем 1</x:t>
        </x:is>
      </x:c>
    </x:row>
    <x:row r="23" ht="18" customHeight="1">
      <x:c r="A23" s="31" t="inlineStr">
        <x:is>
          <x:t xml:space="preserve">ЗД-00022</x:t>
        </x:is>
      </x:c>
      <x:c r="B23" s="31" t="n">
        <x:v>46171</x:v>
      </x:c>
      <x:c r="C23" s="31" t="n">
        <x:v>46181</x:v>
      </x:c>
      <x:c r="D23" s="31" t="inlineStr">
        <x:is>
          <x:t xml:space="preserve">Просрочена</x:t>
        </x:is>
      </x:c>
      <x:c r="E23" s="31" t="inlineStr">
        <x:is>
          <x:t xml:space="preserve">Срочный</x:t>
        </x:is>
      </x:c>
      <x:c r="F23" s="31" t="inlineStr">
        <x:is>
          <x:t xml:space="preserve">СОТР-005</x:t>
        </x:is>
      </x:c>
      <x:c r="G23" s="31" t="inlineStr">
        <x:is>
          <x:t xml:space="preserve">Заказ</x:t>
        </x:is>
      </x:c>
      <x:c r="H23" s="31" t="inlineStr">
        <x:is>
          <x:t xml:space="preserve">ЗК-1076</x:t>
        </x:is>
      </x:c>
      <x:c r="I23" s="31" t="inlineStr">
        <x:is>
          <x:t xml:space="preserve">Проверить лимит заказчика</x:t>
        </x:is>
      </x:c>
      <x:c r="J23" s="31" t="inlineStr">
        <x:is>
          <x:t xml:space="preserve">Финансы</x:t>
        </x:is>
      </x:c>
      <x:c r="K23" s="31" t="n">
        <x:v>4</x:v>
      </x:c>
      <x:c r="L23" s="31" t="inlineStr">
        <x:is>
          <x:t xml:space="preserve">Нет</x:t>
        </x:is>
      </x:c>
      <x:c r="M23" s="31" t="inlineStr">
        <x:is>
          <x:t xml:space="preserve">Нет</x:t>
        </x:is>
      </x:c>
      <x:c r="N23" s="31" t="inlineStr">
        <x:is>
          <x:t xml:space="preserve">Автосоздано правилом/пользователем 5</x:t>
        </x:is>
      </x:c>
    </x:row>
    <x:row r="24" ht="18" customHeight="1">
      <x:c r="A24" s="31" t="inlineStr">
        <x:is>
          <x:t xml:space="preserve">ЗД-00023</x:t>
        </x:is>
      </x:c>
      <x:c r="B24" s="31" t="n">
        <x:v>46185</x:v>
      </x:c>
      <x:c r="C24" s="31" t="n">
        <x:v>46190</x:v>
      </x:c>
      <x:c r="D24" s="31" t="inlineStr">
        <x:is>
          <x:t xml:space="preserve">В работе</x:t>
        </x:is>
      </x:c>
      <x:c r="E24" s="31" t="inlineStr">
        <x:is>
          <x:t xml:space="preserve">Средний</x:t>
        </x:is>
      </x:c>
      <x:c r="F24" s="31" t="inlineStr">
        <x:is>
          <x:t xml:space="preserve">СОТР-076</x:t>
        </x:is>
      </x:c>
      <x:c r="G24" s="31" t="inlineStr">
        <x:is>
          <x:t xml:space="preserve">Счет</x:t>
        </x:is>
      </x:c>
      <x:c r="H24" s="31" t="inlineStr">
        <x:is>
          <x:t xml:space="preserve">СЧ-1100-1</x:t>
        </x:is>
      </x:c>
      <x:c r="I24" s="31" t="inlineStr">
        <x:is>
          <x:t xml:space="preserve">Подготовить акт сверки</x:t>
        </x:is>
      </x:c>
      <x:c r="J24" s="31" t="inlineStr">
        <x:is>
          <x:t xml:space="preserve">Продажи</x:t>
        </x:is>
      </x:c>
      <x:c r="K24" s="31" t="n">
        <x:v>0</x:v>
      </x:c>
      <x:c r="L24" s="31" t="inlineStr">
        <x:is>
          <x:t xml:space="preserve">Да</x:t>
        </x:is>
      </x:c>
      <x:c r="M24" s="31" t="inlineStr">
        <x:is>
          <x:t xml:space="preserve">Нет</x:t>
        </x:is>
      </x:c>
      <x:c r="N24" s="31" t="inlineStr">
        <x:is>
          <x:t xml:space="preserve">Автосоздано правилом/пользователем 2</x:t>
        </x:is>
      </x:c>
    </x:row>
    <x:row r="25" ht="18" customHeight="1">
      <x:c r="A25" s="31" t="inlineStr">
        <x:is>
          <x:t xml:space="preserve">ЗД-00024</x:t>
        </x:is>
      </x:c>
      <x:c r="B25" s="31" t="n">
        <x:v>46127</x:v>
      </x:c>
      <x:c r="C25" s="31" t="n">
        <x:v>46130</x:v>
      </x:c>
      <x:c r="D25" s="31" t="inlineStr">
        <x:is>
          <x:t xml:space="preserve">Просрочена</x:t>
        </x:is>
      </x:c>
      <x:c r="E25" s="31" t="inlineStr">
        <x:is>
          <x:t xml:space="preserve">Средний</x:t>
        </x:is>
      </x:c>
      <x:c r="F25" s="31" t="inlineStr">
        <x:is>
          <x:t xml:space="preserve">СОТР-063</x:t>
        </x:is>
      </x:c>
      <x:c r="G25" s="31" t="inlineStr">
        <x:is>
          <x:t xml:space="preserve">ОТК</x:t>
        </x:is>
      </x:c>
      <x:c r="H25" s="31" t="inlineStr">
        <x:is>
          <x:t xml:space="preserve">ОТК-00146</x:t>
        </x:is>
      </x:c>
      <x:c r="I25" s="31" t="inlineStr">
        <x:is>
          <x:t xml:space="preserve">Заблокировать отгрузку</x:t>
        </x:is>
      </x:c>
      <x:c r="J25" s="31" t="inlineStr">
        <x:is>
          <x:t xml:space="preserve">Финансы</x:t>
        </x:is>
      </x:c>
      <x:c r="K25" s="31" t="n">
        <x:v>55</x:v>
      </x:c>
      <x:c r="L25" s="31" t="inlineStr">
        <x:is>
          <x:t xml:space="preserve">Нет</x:t>
        </x:is>
      </x:c>
      <x:c r="M25" s="31" t="inlineStr">
        <x:is>
          <x:t xml:space="preserve">Поставщик</x:t>
        </x:is>
      </x:c>
      <x:c r="N25" s="31" t="inlineStr">
        <x:is>
          <x:t xml:space="preserve">Автосоздано правилом/пользователем 9</x:t>
        </x:is>
      </x:c>
    </x:row>
    <x:row r="26" ht="18" customHeight="1">
      <x:c r="A26" s="31" t="inlineStr">
        <x:is>
          <x:t xml:space="preserve">ЗД-00025</x:t>
        </x:is>
      </x:c>
      <x:c r="B26" s="31" t="n">
        <x:v>46182</x:v>
      </x:c>
      <x:c r="C26" s="31" t="n">
        <x:v>46184</x:v>
      </x:c>
      <x:c r="D26" s="31" t="inlineStr">
        <x:is>
          <x:t xml:space="preserve">Новая</x:t>
        </x:is>
      </x:c>
      <x:c r="E26" s="31" t="inlineStr">
        <x:is>
          <x:t xml:space="preserve">Низкий</x:t>
        </x:is>
      </x:c>
      <x:c r="F26" s="31" t="inlineStr">
        <x:is>
          <x:t xml:space="preserve">СОТР-063</x:t>
        </x:is>
      </x:c>
      <x:c r="G26" s="31" t="inlineStr">
        <x:is>
          <x:t xml:space="preserve">Производственное задание</x:t>
        </x:is>
      </x:c>
      <x:c r="H26" s="31" t="inlineStr">
        <x:is>
          <x:t xml:space="preserve">ПЗ-00117</x:t>
        </x:is>
      </x:c>
      <x:c r="I26" s="31" t="inlineStr">
        <x:is>
          <x:t xml:space="preserve">Закрыть сменный факт</x:t>
        </x:is>
      </x:c>
      <x:c r="J26" s="31" t="inlineStr">
        <x:is>
          <x:t xml:space="preserve">Производство</x:t>
        </x:is>
      </x:c>
      <x:c r="K26" s="31" t="n">
        <x:v>0</x:v>
      </x:c>
      <x:c r="L26" s="31" t="inlineStr">
        <x:is>
          <x:t xml:space="preserve">Нет</x:t>
        </x:is>
      </x:c>
      <x:c r="M26" s="31" t="inlineStr">
        <x:is>
          <x:t xml:space="preserve">Нет</x:t>
        </x:is>
      </x:c>
      <x:c r="N26" s="31" t="inlineStr">
        <x:is>
          <x:t xml:space="preserve">Автосоздано правилом/пользователем 2</x:t>
        </x:is>
      </x:c>
    </x:row>
    <x:row r="27" ht="18" customHeight="1">
      <x:c r="A27" s="31" t="inlineStr">
        <x:is>
          <x:t xml:space="preserve">ЗД-00026</x:t>
        </x:is>
      </x:c>
      <x:c r="B27" s="31" t="n">
        <x:v>46127</x:v>
      </x:c>
      <x:c r="C27" s="31" t="n">
        <x:v>46129</x:v>
      </x:c>
      <x:c r="D27" s="31" t="inlineStr">
        <x:is>
          <x:t xml:space="preserve">Ожидает ответа</x:t>
        </x:is>
      </x:c>
      <x:c r="E27" s="31" t="inlineStr">
        <x:is>
          <x:t xml:space="preserve">Средний</x:t>
        </x:is>
      </x:c>
      <x:c r="F27" s="31" t="inlineStr">
        <x:is>
          <x:t xml:space="preserve">СОТР-117</x:t>
        </x:is>
      </x:c>
      <x:c r="G27" s="31" t="inlineStr">
        <x:is>
          <x:t xml:space="preserve">Заказ</x:t>
        </x:is>
      </x:c>
      <x:c r="H27" s="31" t="inlineStr">
        <x:is>
          <x:t xml:space="preserve">ЗК-1057</x:t>
        </x:is>
      </x:c>
      <x:c r="I27" s="31" t="inlineStr">
        <x:is>
          <x:t xml:space="preserve">Проверить лимит заказчика</x:t>
        </x:is>
      </x:c>
      <x:c r="J27" s="31" t="inlineStr">
        <x:is>
          <x:t xml:space="preserve">ОТК</x:t>
        </x:is>
      </x:c>
      <x:c r="K27" s="31" t="n">
        <x:v>0</x:v>
      </x:c>
      <x:c r="L27" s="31" t="inlineStr">
        <x:is>
          <x:t xml:space="preserve">Да</x:t>
        </x:is>
      </x:c>
      <x:c r="M27" s="31" t="inlineStr">
        <x:is>
          <x:t xml:space="preserve">Нет</x:t>
        </x:is>
      </x:c>
      <x:c r="N27" s="31" t="inlineStr">
        <x:is>
          <x:t xml:space="preserve">Автосоздано правилом/пользователем 8</x:t>
        </x:is>
      </x:c>
    </x:row>
    <x:row r="28" ht="18" customHeight="1">
      <x:c r="A28" s="31" t="inlineStr">
        <x:is>
          <x:t xml:space="preserve">ЗД-00027</x:t>
        </x:is>
      </x:c>
      <x:c r="B28" s="31" t="n">
        <x:v>46122</x:v>
      </x:c>
      <x:c r="C28" s="31" t="n">
        <x:v>46136</x:v>
      </x:c>
      <x:c r="D28" s="31" t="inlineStr">
        <x:is>
          <x:t xml:space="preserve">Ожидает ответа</x:t>
        </x:is>
      </x:c>
      <x:c r="E28" s="31" t="inlineStr">
        <x:is>
          <x:t xml:space="preserve">Срочный</x:t>
        </x:is>
      </x:c>
      <x:c r="F28" s="31" t="inlineStr">
        <x:is>
          <x:t xml:space="preserve">СОТР-004</x:t>
        </x:is>
      </x:c>
      <x:c r="G28" s="31" t="inlineStr">
        <x:is>
          <x:t xml:space="preserve">Заказ</x:t>
        </x:is>
      </x:c>
      <x:c r="H28" s="31" t="inlineStr">
        <x:is>
          <x:t xml:space="preserve">ЗК-1058</x:t>
        </x:is>
      </x:c>
      <x:c r="I28" s="31" t="inlineStr">
        <x:is>
          <x:t xml:space="preserve">Согласовать скидку</x:t>
        </x:is>
      </x:c>
      <x:c r="J28" s="31" t="inlineStr">
        <x:is>
          <x:t xml:space="preserve">Продажи</x:t>
        </x:is>
      </x:c>
      <x:c r="K28" s="31" t="n">
        <x:v>0</x:v>
      </x:c>
      <x:c r="L28" s="31" t="inlineStr">
        <x:is>
          <x:t xml:space="preserve">Да</x:t>
        </x:is>
      </x:c>
      <x:c r="M28" s="31" t="inlineStr">
        <x:is>
          <x:t xml:space="preserve">Нет</x:t>
        </x:is>
      </x:c>
      <x:c r="N28" s="31" t="inlineStr">
        <x:is>
          <x:t xml:space="preserve">Автосоздано правилом/пользователем 6</x:t>
        </x:is>
      </x:c>
    </x:row>
    <x:row r="29" ht="18" customHeight="1">
      <x:c r="A29" s="31" t="inlineStr">
        <x:is>
          <x:t xml:space="preserve">ЗД-00028</x:t>
        </x:is>
      </x:c>
      <x:c r="B29" s="31" t="n">
        <x:v>46131</x:v>
      </x:c>
      <x:c r="C29" s="31" t="n">
        <x:v>46136</x:v>
      </x:c>
      <x:c r="D29" s="31" t="inlineStr">
        <x:is>
          <x:t xml:space="preserve">Выполнена</x:t>
        </x:is>
      </x:c>
      <x:c r="E29" s="31" t="inlineStr">
        <x:is>
          <x:t xml:space="preserve">Средний</x:t>
        </x:is>
      </x:c>
      <x:c r="F29" s="31" t="inlineStr">
        <x:is>
          <x:t xml:space="preserve">СОТР-005</x:t>
        </x:is>
      </x:c>
      <x:c r="G29" s="31" t="inlineStr">
        <x:is>
          <x:t xml:space="preserve">Заказ</x:t>
        </x:is>
      </x:c>
      <x:c r="H29" s="31" t="inlineStr">
        <x:is>
          <x:t xml:space="preserve">ЗК-1106</x:t>
        </x:is>
      </x:c>
      <x:c r="I29" s="31" t="inlineStr">
        <x:is>
          <x:t xml:space="preserve">Согласовать скидку</x:t>
        </x:is>
      </x:c>
      <x:c r="J29" s="31" t="inlineStr">
        <x:is>
          <x:t xml:space="preserve">Продажи</x:t>
        </x:is>
      </x:c>
      <x:c r="K29" s="31" t="n">
        <x:v>0</x:v>
      </x:c>
      <x:c r="L29" s="31" t="inlineStr">
        <x:is>
          <x:t xml:space="preserve">Да</x:t>
        </x:is>
      </x:c>
      <x:c r="M29" s="31" t="inlineStr">
        <x:is>
          <x:t xml:space="preserve">Нет</x:t>
        </x:is>
      </x:c>
      <x:c r="N29" s="31" t="inlineStr">
        <x:is>
          <x:t xml:space="preserve">Автосоздано правилом/пользователем 3</x:t>
        </x:is>
      </x:c>
    </x:row>
    <x:row r="30" ht="18" customHeight="1">
      <x:c r="A30" s="31" t="inlineStr">
        <x:is>
          <x:t xml:space="preserve">ЗД-00029</x:t>
        </x:is>
      </x:c>
      <x:c r="B30" s="31" t="n">
        <x:v>46147</x:v>
      </x:c>
      <x:c r="C30" s="31" t="n">
        <x:v>46150</x:v>
      </x:c>
      <x:c r="D30" s="31" t="inlineStr">
        <x:is>
          <x:t xml:space="preserve">Ожидает ответа</x:t>
        </x:is>
      </x:c>
      <x:c r="E30" s="31" t="inlineStr">
        <x:is>
          <x:t xml:space="preserve">Средний</x:t>
        </x:is>
      </x:c>
      <x:c r="F30" s="31" t="inlineStr">
        <x:is>
          <x:t xml:space="preserve">СОТР-017</x:t>
        </x:is>
      </x:c>
      <x:c r="G30" s="31" t="inlineStr">
        <x:is>
          <x:t xml:space="preserve">Заказ</x:t>
        </x:is>
      </x:c>
      <x:c r="H30" s="31" t="inlineStr">
        <x:is>
          <x:t xml:space="preserve">ЗК-1102</x:t>
        </x:is>
      </x:c>
      <x:c r="I30" s="31" t="inlineStr">
        <x:is>
          <x:t xml:space="preserve">Подписать спецификацию</x:t>
        </x:is>
      </x:c>
      <x:c r="J30" s="31" t="inlineStr">
        <x:is>
          <x:t xml:space="preserve">Сервис</x:t>
        </x:is>
      </x:c>
      <x:c r="K30" s="31" t="n">
        <x:v>0</x:v>
      </x:c>
      <x:c r="L30" s="31" t="inlineStr">
        <x:is>
          <x:t xml:space="preserve">Нет</x:t>
        </x:is>
      </x:c>
      <x:c r="M30" s="31" t="inlineStr">
        <x:is>
          <x:t xml:space="preserve">Поставщик</x:t>
        </x:is>
      </x:c>
      <x:c r="N30" s="31" t="inlineStr">
        <x:is>
          <x:t xml:space="preserve">Автосоздано правилом/пользователем 7</x:t>
        </x:is>
      </x:c>
    </x:row>
    <x:row r="31" ht="18" customHeight="1">
      <x:c r="A31" s="31" t="inlineStr">
        <x:is>
          <x:t xml:space="preserve">ЗД-00030</x:t>
        </x:is>
      </x:c>
      <x:c r="B31" s="31" t="n">
        <x:v>46164</x:v>
      </x:c>
      <x:c r="C31" s="31" t="n">
        <x:v>46171</x:v>
      </x:c>
      <x:c r="D31" s="31" t="inlineStr">
        <x:is>
          <x:t xml:space="preserve">Выполнена</x:t>
        </x:is>
      </x:c>
      <x:c r="E31" s="31" t="inlineStr">
        <x:is>
          <x:t xml:space="preserve">Средний</x:t>
        </x:is>
      </x:c>
      <x:c r="F31" s="31" t="inlineStr">
        <x:is>
          <x:t xml:space="preserve">СОТР-063</x:t>
        </x:is>
      </x:c>
      <x:c r="G31" s="31" t="inlineStr">
        <x:is>
          <x:t xml:space="preserve">Производственное задание</x:t>
        </x:is>
      </x:c>
      <x:c r="H31" s="31" t="inlineStr">
        <x:is>
          <x:t xml:space="preserve">ПЗ-00034</x:t>
        </x:is>
      </x:c>
      <x:c r="I31" s="31" t="inlineStr">
        <x:is>
          <x:t xml:space="preserve">Обновить готовность</x:t>
        </x:is>
      </x:c>
      <x:c r="J31" s="31" t="inlineStr">
        <x:is>
          <x:t xml:space="preserve">Продажи</x:t>
        </x:is>
      </x:c>
      <x:c r="K31" s="31" t="n">
        <x:v>0</x:v>
      </x:c>
      <x:c r="L31" s="31" t="inlineStr">
        <x:is>
          <x:t xml:space="preserve">Нет</x:t>
        </x:is>
      </x:c>
      <x:c r="M31" s="31" t="inlineStr">
        <x:is>
          <x:t xml:space="preserve">Нет</x:t>
        </x:is>
      </x:c>
      <x:c r="N31" s="31" t="inlineStr">
        <x:is>
          <x:t xml:space="preserve">Автосоздано правилом/пользователем 5</x:t>
        </x:is>
      </x:c>
    </x:row>
    <x:row r="32" ht="18" customHeight="1">
      <x:c r="A32" s="31" t="inlineStr">
        <x:is>
          <x:t xml:space="preserve">ЗД-00031</x:t>
        </x:is>
      </x:c>
      <x:c r="B32" s="31" t="n">
        <x:v>46139</x:v>
      </x:c>
      <x:c r="C32" s="31" t="n">
        <x:v>46141</x:v>
      </x:c>
      <x:c r="D32" s="31" t="inlineStr">
        <x:is>
          <x:t xml:space="preserve">Выполнена</x:t>
        </x:is>
      </x:c>
      <x:c r="E32" s="31" t="inlineStr">
        <x:is>
          <x:t xml:space="preserve">Средний</x:t>
        </x:is>
      </x:c>
      <x:c r="F32" s="31" t="inlineStr">
        <x:is>
          <x:t xml:space="preserve">СОТР-058</x:t>
        </x:is>
      </x:c>
      <x:c r="G32" s="31" t="inlineStr">
        <x:is>
          <x:t xml:space="preserve">Заказ</x:t>
        </x:is>
      </x:c>
      <x:c r="H32" s="31" t="inlineStr">
        <x:is>
          <x:t xml:space="preserve">ЗК-1077</x:t>
        </x:is>
      </x:c>
      <x:c r="I32" s="31" t="inlineStr">
        <x:is>
          <x:t xml:space="preserve">Согласовать скидку</x:t>
        </x:is>
      </x:c>
      <x:c r="J32" s="31" t="inlineStr">
        <x:is>
          <x:t xml:space="preserve">Финансы</x:t>
        </x:is>
      </x:c>
      <x:c r="K32" s="31" t="n">
        <x:v>0</x:v>
      </x:c>
      <x:c r="L32" s="31" t="inlineStr">
        <x:is>
          <x:t xml:space="preserve">Нет</x:t>
        </x:is>
      </x:c>
      <x:c r="M32" s="31" t="inlineStr">
        <x:is>
          <x:t xml:space="preserve">Поставщик</x:t>
        </x:is>
      </x:c>
      <x:c r="N32" s="31" t="inlineStr">
        <x:is>
          <x:t xml:space="preserve">Автосоздано правилом/пользователем 3</x:t>
        </x:is>
      </x:c>
    </x:row>
    <x:row r="33" ht="18" customHeight="1">
      <x:c r="A33" s="31" t="inlineStr">
        <x:is>
          <x:t xml:space="preserve">ЗД-00032</x:t>
        </x:is>
      </x:c>
      <x:c r="B33" s="31" t="n">
        <x:v>46148</x:v>
      </x:c>
      <x:c r="C33" s="31" t="n">
        <x:v>46162</x:v>
      </x:c>
      <x:c r="D33" s="31" t="inlineStr">
        <x:is>
          <x:t xml:space="preserve">В работе</x:t>
        </x:is>
      </x:c>
      <x:c r="E33" s="31" t="inlineStr">
        <x:is>
          <x:t xml:space="preserve">Срочный</x:t>
        </x:is>
      </x:c>
      <x:c r="F33" s="31" t="inlineStr">
        <x:is>
          <x:t xml:space="preserve">СОТР-120</x:t>
        </x:is>
      </x:c>
      <x:c r="G33" s="31" t="inlineStr">
        <x:is>
          <x:t xml:space="preserve">Производственное задание</x:t>
        </x:is>
      </x:c>
      <x:c r="H33" s="31" t="inlineStr">
        <x:is>
          <x:t xml:space="preserve">ПЗ-00228</x:t>
        </x:is>
      </x:c>
      <x:c r="I33" s="31" t="inlineStr">
        <x:is>
          <x:t xml:space="preserve">Разобрать простой</x:t>
        </x:is>
      </x:c>
      <x:c r="J33" s="31" t="inlineStr">
        <x:is>
          <x:t xml:space="preserve">Производство</x:t>
        </x:is>
      </x:c>
      <x:c r="K33" s="31" t="n">
        <x:v>0</x:v>
      </x:c>
      <x:c r="L33" s="31" t="inlineStr">
        <x:is>
          <x:t xml:space="preserve">Нет</x:t>
        </x:is>
      </x:c>
      <x:c r="M33" s="31" t="inlineStr">
        <x:is>
          <x:t xml:space="preserve">Поставщик</x:t>
        </x:is>
      </x:c>
      <x:c r="N33" s="31" t="inlineStr">
        <x:is>
          <x:t xml:space="preserve">Автосоздано правилом/пользователем 6</x:t>
        </x:is>
      </x:c>
    </x:row>
    <x:row r="34" ht="18" customHeight="1">
      <x:c r="A34" s="31" t="inlineStr">
        <x:is>
          <x:t xml:space="preserve">ЗД-00033</x:t>
        </x:is>
      </x:c>
      <x:c r="B34" s="31" t="n">
        <x:v>46185</x:v>
      </x:c>
      <x:c r="C34" s="31" t="n">
        <x:v>46188</x:v>
      </x:c>
      <x:c r="D34" s="31" t="inlineStr">
        <x:is>
          <x:t xml:space="preserve">Новая</x:t>
        </x:is>
      </x:c>
      <x:c r="E34" s="31" t="inlineStr">
        <x:is>
          <x:t xml:space="preserve">Средний</x:t>
        </x:is>
      </x:c>
      <x:c r="F34" s="31" t="inlineStr">
        <x:is>
          <x:t xml:space="preserve">СОТР-097</x:t>
        </x:is>
      </x:c>
      <x:c r="G34" s="31" t="inlineStr">
        <x:is>
          <x:t xml:space="preserve">ОТК</x:t>
        </x:is>
      </x:c>
      <x:c r="H34" s="31" t="inlineStr">
        <x:is>
          <x:t xml:space="preserve">ОТК-00100</x:t>
        </x:is>
      </x:c>
      <x:c r="I34" s="31" t="inlineStr">
        <x:is>
          <x:t xml:space="preserve">Заблокировать отгрузку</x:t>
        </x:is>
      </x:c>
      <x:c r="J34" s="31" t="inlineStr">
        <x:is>
          <x:t xml:space="preserve">Сервис</x:t>
        </x:is>
      </x:c>
      <x:c r="K34" s="31" t="n">
        <x:v>0</x:v>
      </x:c>
      <x:c r="L34" s="31" t="inlineStr">
        <x:is>
          <x:t xml:space="preserve">Да</x:t>
        </x:is>
      </x:c>
      <x:c r="M34" s="31" t="inlineStr">
        <x:is>
          <x:t xml:space="preserve">Нет</x:t>
        </x:is>
      </x:c>
      <x:c r="N34" s="31" t="inlineStr">
        <x:is>
          <x:t xml:space="preserve">Автосоздано правилом/пользователем 12</x:t>
        </x:is>
      </x:c>
    </x:row>
    <x:row r="35" ht="18" customHeight="1">
      <x:c r="A35" s="31" t="inlineStr">
        <x:is>
          <x:t xml:space="preserve">ЗД-00034</x:t>
        </x:is>
      </x:c>
      <x:c r="B35" s="31" t="n">
        <x:v>46150</x:v>
      </x:c>
      <x:c r="C35" s="31" t="n">
        <x:v>46164</x:v>
      </x:c>
      <x:c r="D35" s="31" t="inlineStr">
        <x:is>
          <x:t xml:space="preserve">Просрочена</x:t>
        </x:is>
      </x:c>
      <x:c r="E35" s="31" t="inlineStr">
        <x:is>
          <x:t xml:space="preserve">Средний</x:t>
        </x:is>
      </x:c>
      <x:c r="F35" s="31" t="inlineStr">
        <x:is>
          <x:t xml:space="preserve">СОТР-111</x:t>
        </x:is>
      </x:c>
      <x:c r="G35" s="31" t="inlineStr">
        <x:is>
          <x:t xml:space="preserve">Рекламация</x:t>
        </x:is>
      </x:c>
      <x:c r="H35" s="31" t="inlineStr">
        <x:is>
          <x:t xml:space="preserve">РЕК-00016</x:t>
        </x:is>
      </x:c>
      <x:c r="I35" s="31" t="inlineStr">
        <x:is>
          <x:t xml:space="preserve">Провести диагностику</x:t>
        </x:is>
      </x:c>
      <x:c r="J35" s="31" t="inlineStr">
        <x:is>
          <x:t xml:space="preserve">Производство</x:t>
        </x:is>
      </x:c>
      <x:c r="K35" s="31" t="n">
        <x:v>21</x:v>
      </x:c>
      <x:c r="L35" s="31" t="inlineStr">
        <x:is>
          <x:t xml:space="preserve">Да</x:t>
        </x:is>
      </x:c>
      <x:c r="M35" s="31" t="inlineStr">
        <x:is>
          <x:t xml:space="preserve">Руководитель</x:t>
        </x:is>
      </x:c>
      <x:c r="N35" s="31" t="inlineStr">
        <x:is>
          <x:t xml:space="preserve">Автосоздано правилом/пользователем 6</x:t>
        </x:is>
      </x:c>
    </x:row>
    <x:row r="36" ht="18" customHeight="1">
      <x:c r="A36" s="31" t="inlineStr">
        <x:is>
          <x:t xml:space="preserve">ЗД-00035</x:t>
        </x:is>
      </x:c>
      <x:c r="B36" s="31" t="n">
        <x:v>46185</x:v>
      </x:c>
      <x:c r="C36" s="31" t="n">
        <x:v>46188</x:v>
      </x:c>
      <x:c r="D36" s="31" t="inlineStr">
        <x:is>
          <x:t xml:space="preserve">Выполнена</x:t>
        </x:is>
      </x:c>
      <x:c r="E36" s="31" t="inlineStr">
        <x:is>
          <x:t xml:space="preserve">Средний</x:t>
        </x:is>
      </x:c>
      <x:c r="F36" s="31" t="inlineStr">
        <x:is>
          <x:t xml:space="preserve">СОТР-076</x:t>
        </x:is>
      </x:c>
      <x:c r="G36" s="31" t="inlineStr">
        <x:is>
          <x:t xml:space="preserve">Счет</x:t>
        </x:is>
      </x:c>
      <x:c r="H36" s="31" t="inlineStr">
        <x:is>
          <x:t xml:space="preserve">СЧ-1029-1</x:t>
        </x:is>
      </x:c>
      <x:c r="I36" s="31" t="inlineStr">
        <x:is>
          <x:t xml:space="preserve">Подготовить акт сверки</x:t>
        </x:is>
      </x:c>
      <x:c r="J36" s="31" t="inlineStr">
        <x:is>
          <x:t xml:space="preserve">Сервис</x:t>
        </x:is>
      </x:c>
      <x:c r="K36" s="31" t="n">
        <x:v>0</x:v>
      </x:c>
      <x:c r="L36" s="31" t="inlineStr">
        <x:is>
          <x:t xml:space="preserve">Нет</x:t>
        </x:is>
      </x:c>
      <x:c r="M36" s="31" t="inlineStr">
        <x:is>
          <x:t xml:space="preserve">Нет</x:t>
        </x:is>
      </x:c>
      <x:c r="N36" s="31" t="inlineStr">
        <x:is>
          <x:t xml:space="preserve">Автосоздано правилом/пользователем 12</x:t>
        </x:is>
      </x:c>
    </x:row>
    <x:row r="37" ht="18" customHeight="1">
      <x:c r="A37" s="31" t="inlineStr">
        <x:is>
          <x:t xml:space="preserve">ЗД-00036</x:t>
        </x:is>
      </x:c>
      <x:c r="B37" s="31" t="n">
        <x:v>46147</x:v>
      </x:c>
      <x:c r="C37" s="31" t="n">
        <x:v>46157</x:v>
      </x:c>
      <x:c r="D37" s="31" t="inlineStr">
        <x:is>
          <x:t xml:space="preserve">В работе</x:t>
        </x:is>
      </x:c>
      <x:c r="E37" s="31" t="inlineStr">
        <x:is>
          <x:t xml:space="preserve">Высокий</x:t>
        </x:is>
      </x:c>
      <x:c r="F37" s="31" t="inlineStr">
        <x:is>
          <x:t xml:space="preserve">СОТР-018</x:t>
        </x:is>
      </x:c>
      <x:c r="G37" s="31" t="inlineStr">
        <x:is>
          <x:t xml:space="preserve">Закупка</x:t>
        </x:is>
      </x:c>
      <x:c r="H37" s="31" t="inlineStr">
        <x:is>
          <x:t xml:space="preserve">ЗЗ-00022</x:t>
        </x:is>
      </x:c>
      <x:c r="I37" s="31" t="inlineStr">
        <x:is>
          <x:t xml:space="preserve">Уточнить сертификаты</x:t>
        </x:is>
      </x:c>
      <x:c r="J37" s="31" t="inlineStr">
        <x:is>
          <x:t xml:space="preserve">Производство</x:t>
        </x:is>
      </x:c>
      <x:c r="K37" s="31" t="n">
        <x:v>0</x:v>
      </x:c>
      <x:c r="L37" s="31" t="inlineStr">
        <x:is>
          <x:t xml:space="preserve">Нет</x:t>
        </x:is>
      </x:c>
      <x:c r="M37" s="31" t="inlineStr">
        <x:is>
          <x:t xml:space="preserve">Заказчик</x:t>
        </x:is>
      </x:c>
      <x:c r="N37" s="31" t="inlineStr">
        <x:is>
          <x:t xml:space="preserve">Автосоздано правилом/пользователем 3</x:t>
        </x:is>
      </x:c>
    </x:row>
    <x:row r="38" ht="18" customHeight="1">
      <x:c r="A38" s="31" t="inlineStr">
        <x:is>
          <x:t xml:space="preserve">ЗД-00037</x:t>
        </x:is>
      </x:c>
      <x:c r="B38" s="31" t="n">
        <x:v>46148</x:v>
      </x:c>
      <x:c r="C38" s="31" t="n">
        <x:v>46149</x:v>
      </x:c>
      <x:c r="D38" s="31" t="inlineStr">
        <x:is>
          <x:t xml:space="preserve">В работе</x:t>
        </x:is>
      </x:c>
      <x:c r="E38" s="31" t="inlineStr">
        <x:is>
          <x:t xml:space="preserve">Средний</x:t>
        </x:is>
      </x:c>
      <x:c r="F38" s="31" t="inlineStr">
        <x:is>
          <x:t xml:space="preserve">СОТР-076</x:t>
        </x:is>
      </x:c>
      <x:c r="G38" s="31" t="inlineStr">
        <x:is>
          <x:t xml:space="preserve">Счет</x:t>
        </x:is>
      </x:c>
      <x:c r="H38" s="31" t="inlineStr">
        <x:is>
          <x:t xml:space="preserve">СЧ-1111-2</x:t>
        </x:is>
      </x:c>
      <x:c r="I38" s="31" t="inlineStr">
        <x:is>
          <x:t xml:space="preserve">Проверить оплату</x:t>
        </x:is>
      </x:c>
      <x:c r="J38" s="31" t="inlineStr">
        <x:is>
          <x:t xml:space="preserve">Продажи</x:t>
        </x:is>
      </x:c>
      <x:c r="K38" s="31" t="n">
        <x:v>0</x:v>
      </x:c>
      <x:c r="L38" s="31" t="inlineStr">
        <x:is>
          <x:t xml:space="preserve">Нет</x:t>
        </x:is>
      </x:c>
      <x:c r="M38" s="31" t="inlineStr">
        <x:is>
          <x:t xml:space="preserve">Нет</x:t>
        </x:is>
      </x:c>
      <x:c r="N38" s="31" t="inlineStr">
        <x:is>
          <x:t xml:space="preserve">Автосоздано правилом/пользователем 3</x:t>
        </x:is>
      </x:c>
    </x:row>
    <x:row r="39" ht="18" customHeight="1">
      <x:c r="A39" s="31" t="inlineStr">
        <x:is>
          <x:t xml:space="preserve">ЗД-00038</x:t>
        </x:is>
      </x:c>
      <x:c r="B39" s="31" t="n">
        <x:v>46157</x:v>
      </x:c>
      <x:c r="C39" s="31" t="n">
        <x:v>46164</x:v>
      </x:c>
      <x:c r="D39" s="31" t="inlineStr">
        <x:is>
          <x:t xml:space="preserve">Новая</x:t>
        </x:is>
      </x:c>
      <x:c r="E39" s="31" t="inlineStr">
        <x:is>
          <x:t xml:space="preserve">Высокий</x:t>
        </x:is>
      </x:c>
      <x:c r="F39" s="31" t="inlineStr">
        <x:is>
          <x:t xml:space="preserve">СОТР-004</x:t>
        </x:is>
      </x:c>
      <x:c r="G39" s="31" t="inlineStr">
        <x:is>
          <x:t xml:space="preserve">Заказ</x:t>
        </x:is>
      </x:c>
      <x:c r="H39" s="31" t="inlineStr">
        <x:is>
          <x:t xml:space="preserve">ЗК-1113</x:t>
        </x:is>
      </x:c>
      <x:c r="I39" s="31" t="inlineStr">
        <x:is>
          <x:t xml:space="preserve">Проверить лимит заказчика</x:t>
        </x:is>
      </x:c>
      <x:c r="J39" s="31" t="inlineStr">
        <x:is>
          <x:t xml:space="preserve">Производство</x:t>
        </x:is>
      </x:c>
      <x:c r="K39" s="31" t="n">
        <x:v>0</x:v>
      </x:c>
      <x:c r="L39" s="31" t="inlineStr">
        <x:is>
          <x:t xml:space="preserve">Нет</x:t>
        </x:is>
      </x:c>
      <x:c r="M39" s="31" t="inlineStr">
        <x:is>
          <x:t xml:space="preserve">Руководитель</x:t>
        </x:is>
      </x:c>
      <x:c r="N39" s="31" t="inlineStr">
        <x:is>
          <x:t xml:space="preserve">Автосоздано правилом/пользователем 3</x:t>
        </x:is>
      </x:c>
    </x:row>
    <x:row r="40" ht="18" customHeight="1">
      <x:c r="A40" s="31" t="inlineStr">
        <x:is>
          <x:t xml:space="preserve">ЗД-00039</x:t>
        </x:is>
      </x:c>
      <x:c r="B40" s="31" t="n">
        <x:v>46144</x:v>
      </x:c>
      <x:c r="C40" s="31" t="n">
        <x:v>46154</x:v>
      </x:c>
      <x:c r="D40" s="31" t="inlineStr">
        <x:is>
          <x:t xml:space="preserve">Новая</x:t>
        </x:is>
      </x:c>
      <x:c r="E40" s="31" t="inlineStr">
        <x:is>
          <x:t xml:space="preserve">Средний</x:t>
        </x:is>
      </x:c>
      <x:c r="F40" s="31" t="inlineStr">
        <x:is>
          <x:t xml:space="preserve">СОТР-076</x:t>
        </x:is>
      </x:c>
      <x:c r="G40" s="31" t="inlineStr">
        <x:is>
          <x:t xml:space="preserve">Счет</x:t>
        </x:is>
      </x:c>
      <x:c r="H40" s="31" t="inlineStr">
        <x:is>
          <x:t xml:space="preserve">СЧ-1100-2</x:t>
        </x:is>
      </x:c>
      <x:c r="I40" s="31" t="inlineStr">
        <x:is>
          <x:t xml:space="preserve">Согласовать отгрузку при ДЗ</x:t>
        </x:is>
      </x:c>
      <x:c r="J40" s="31" t="inlineStr">
        <x:is>
          <x:t xml:space="preserve">Снабжение</x:t>
        </x:is>
      </x:c>
      <x:c r="K40" s="31" t="n">
        <x:v>0</x:v>
      </x:c>
      <x:c r="L40" s="31" t="inlineStr">
        <x:is>
          <x:t xml:space="preserve">Нет</x:t>
        </x:is>
      </x:c>
      <x:c r="M40" s="31" t="inlineStr">
        <x:is>
          <x:t xml:space="preserve">Нет</x:t>
        </x:is>
      </x:c>
      <x:c r="N40" s="31" t="inlineStr">
        <x:is>
          <x:t xml:space="preserve">Автосоздано правилом/пользователем 11</x:t>
        </x:is>
      </x:c>
    </x:row>
    <x:row r="41" ht="18" customHeight="1">
      <x:c r="A41" s="31" t="inlineStr">
        <x:is>
          <x:t xml:space="preserve">ЗД-00040</x:t>
        </x:is>
      </x:c>
      <x:c r="B41" s="31" t="n">
        <x:v>46143</x:v>
      </x:c>
      <x:c r="C41" s="31" t="n">
        <x:v>46146</x:v>
      </x:c>
      <x:c r="D41" s="31" t="inlineStr">
        <x:is>
          <x:t xml:space="preserve">В работе</x:t>
        </x:is>
      </x:c>
      <x:c r="E41" s="31" t="inlineStr">
        <x:is>
          <x:t xml:space="preserve">Средний</x:t>
        </x:is>
      </x:c>
      <x:c r="F41" s="31" t="inlineStr">
        <x:is>
          <x:t xml:space="preserve">СОТР-003</x:t>
        </x:is>
      </x:c>
      <x:c r="G41" s="31" t="inlineStr">
        <x:is>
          <x:t xml:space="preserve">Заказ</x:t>
        </x:is>
      </x:c>
      <x:c r="H41" s="31" t="inlineStr">
        <x:is>
          <x:t xml:space="preserve">ЗК-1100</x:t>
        </x:is>
      </x:c>
      <x:c r="I41" s="31" t="inlineStr">
        <x:is>
          <x:t xml:space="preserve">Подписать спецификацию</x:t>
        </x:is>
      </x:c>
      <x:c r="J41" s="31" t="inlineStr">
        <x:is>
          <x:t xml:space="preserve">Производство</x:t>
        </x:is>
      </x:c>
      <x:c r="K41" s="31" t="n">
        <x:v>0</x:v>
      </x:c>
      <x:c r="L41" s="31" t="inlineStr">
        <x:is>
          <x:t xml:space="preserve">Нет</x:t>
        </x:is>
      </x:c>
      <x:c r="M41" s="31" t="inlineStr">
        <x:is>
          <x:t xml:space="preserve">Руководитель</x:t>
        </x:is>
      </x:c>
      <x:c r="N41" s="31" t="inlineStr">
        <x:is>
          <x:t xml:space="preserve">Автосоздано правилом/пользователем 4</x:t>
        </x:is>
      </x:c>
    </x:row>
    <x:row r="42" ht="18" customHeight="1">
      <x:c r="A42" s="31" t="inlineStr">
        <x:is>
          <x:t xml:space="preserve">ЗД-00041</x:t>
        </x:is>
      </x:c>
      <x:c r="B42" s="31" t="n">
        <x:v>46148</x:v>
      </x:c>
      <x:c r="C42" s="31" t="n">
        <x:v>46155</x:v>
      </x:c>
      <x:c r="D42" s="31" t="inlineStr">
        <x:is>
          <x:t xml:space="preserve">Ожидает ответа</x:t>
        </x:is>
      </x:c>
      <x:c r="E42" s="31" t="inlineStr">
        <x:is>
          <x:t xml:space="preserve">Высокий</x:t>
        </x:is>
      </x:c>
      <x:c r="F42" s="31" t="inlineStr">
        <x:is>
          <x:t xml:space="preserve">СОТР-097</x:t>
        </x:is>
      </x:c>
      <x:c r="G42" s="31" t="inlineStr">
        <x:is>
          <x:t xml:space="preserve">Производственное задание</x:t>
        </x:is>
      </x:c>
      <x:c r="H42" s="31" t="inlineStr">
        <x:is>
          <x:t xml:space="preserve">ПЗ-00210</x:t>
        </x:is>
      </x:c>
      <x:c r="I42" s="31" t="inlineStr">
        <x:is>
          <x:t xml:space="preserve">Закрыть сменный факт</x:t>
        </x:is>
      </x:c>
      <x:c r="J42" s="31" t="inlineStr">
        <x:is>
          <x:t xml:space="preserve">Производство</x:t>
        </x:is>
      </x:c>
      <x:c r="K42" s="31" t="n">
        <x:v>0</x:v>
      </x:c>
      <x:c r="L42" s="31" t="inlineStr">
        <x:is>
          <x:t xml:space="preserve">Нет</x:t>
        </x:is>
      </x:c>
      <x:c r="M42" s="31" t="inlineStr">
        <x:is>
          <x:t xml:space="preserve">Руководитель</x:t>
        </x:is>
      </x:c>
      <x:c r="N42" s="31" t="inlineStr">
        <x:is>
          <x:t xml:space="preserve">Автосоздано правилом/пользователем 11</x:t>
        </x:is>
      </x:c>
    </x:row>
    <x:row r="43" ht="18" customHeight="1">
      <x:c r="A43" s="31" t="inlineStr">
        <x:is>
          <x:t xml:space="preserve">ЗД-00042</x:t>
        </x:is>
      </x:c>
      <x:c r="B43" s="31" t="n">
        <x:v>46142</x:v>
      </x:c>
      <x:c r="C43" s="31" t="n">
        <x:v>46144</x:v>
      </x:c>
      <x:c r="D43" s="31" t="inlineStr">
        <x:is>
          <x:t xml:space="preserve">Новая</x:t>
        </x:is>
      </x:c>
      <x:c r="E43" s="31" t="inlineStr">
        <x:is>
          <x:t xml:space="preserve">Средний</x:t>
        </x:is>
      </x:c>
      <x:c r="F43" s="31" t="inlineStr">
        <x:is>
          <x:t xml:space="preserve">СОТР-097</x:t>
        </x:is>
      </x:c>
      <x:c r="G43" s="31" t="inlineStr">
        <x:is>
          <x:t xml:space="preserve">ОТК</x:t>
        </x:is>
      </x:c>
      <x:c r="H43" s="31" t="inlineStr">
        <x:is>
          <x:t xml:space="preserve">ОТК-00070</x:t>
        </x:is>
      </x:c>
      <x:c r="I43" s="31" t="inlineStr">
        <x:is>
          <x:t xml:space="preserve">Заблокировать отгрузку</x:t>
        </x:is>
      </x:c>
      <x:c r="J43" s="31" t="inlineStr">
        <x:is>
          <x:t xml:space="preserve">Продажи</x:t>
        </x:is>
      </x:c>
      <x:c r="K43" s="31" t="n">
        <x:v>0</x:v>
      </x:c>
      <x:c r="L43" s="31" t="inlineStr">
        <x:is>
          <x:t xml:space="preserve">Нет</x:t>
        </x:is>
      </x:c>
      <x:c r="M43" s="31" t="inlineStr">
        <x:is>
          <x:t xml:space="preserve">Нет</x:t>
        </x:is>
      </x:c>
      <x:c r="N43" s="31" t="inlineStr">
        <x:is>
          <x:t xml:space="preserve">Автосоздано правилом/пользователем 1</x:t>
        </x:is>
      </x:c>
    </x:row>
    <x:row r="44" ht="18" customHeight="1">
      <x:c r="A44" s="31" t="inlineStr">
        <x:is>
          <x:t xml:space="preserve">ЗД-00043</x:t>
        </x:is>
      </x:c>
      <x:c r="B44" s="31" t="n">
        <x:v>46122</x:v>
      </x:c>
      <x:c r="C44" s="31" t="n">
        <x:v>46132</x:v>
      </x:c>
      <x:c r="D44" s="31" t="inlineStr">
        <x:is>
          <x:t xml:space="preserve">В работе</x:t>
        </x:is>
      </x:c>
      <x:c r="E44" s="31" t="inlineStr">
        <x:is>
          <x:t xml:space="preserve">Средний</x:t>
        </x:is>
      </x:c>
      <x:c r="F44" s="31" t="inlineStr">
        <x:is>
          <x:t xml:space="preserve">СОТР-005</x:t>
        </x:is>
      </x:c>
      <x:c r="G44" s="31" t="inlineStr">
        <x:is>
          <x:t xml:space="preserve">Заказ</x:t>
        </x:is>
      </x:c>
      <x:c r="H44" s="31" t="inlineStr">
        <x:is>
          <x:t xml:space="preserve">ЗК-1068</x:t>
        </x:is>
      </x:c>
      <x:c r="I44" s="31" t="inlineStr">
        <x:is>
          <x:t xml:space="preserve">Уточнить ТЗ</x:t>
        </x:is>
      </x:c>
      <x:c r="J44" s="31" t="inlineStr">
        <x:is>
          <x:t xml:space="preserve">Продажи</x:t>
        </x:is>
      </x:c>
      <x:c r="K44" s="31" t="n">
        <x:v>0</x:v>
      </x:c>
      <x:c r="L44" s="31" t="inlineStr">
        <x:is>
          <x:t xml:space="preserve">Нет</x:t>
        </x:is>
      </x:c>
      <x:c r="M44" s="31" t="inlineStr">
        <x:is>
          <x:t xml:space="preserve">Нет</x:t>
        </x:is>
      </x:c>
      <x:c r="N44" s="31" t="inlineStr">
        <x:is>
          <x:t xml:space="preserve">Автосоздано правилом/пользователем 4</x:t>
        </x:is>
      </x:c>
    </x:row>
    <x:row r="45" ht="18" customHeight="1">
      <x:c r="A45" s="31" t="inlineStr">
        <x:is>
          <x:t xml:space="preserve">ЗД-00044</x:t>
        </x:is>
      </x:c>
      <x:c r="B45" s="31" t="n">
        <x:v>46182</x:v>
      </x:c>
      <x:c r="C45" s="31" t="n">
        <x:v>46189</x:v>
      </x:c>
      <x:c r="D45" s="31" t="inlineStr">
        <x:is>
          <x:t xml:space="preserve">Ожидает ответа</x:t>
        </x:is>
      </x:c>
      <x:c r="E45" s="31" t="inlineStr">
        <x:is>
          <x:t xml:space="preserve">Высокий</x:t>
        </x:is>
      </x:c>
      <x:c r="F45" s="31" t="inlineStr">
        <x:is>
          <x:t xml:space="preserve">СОТР-097</x:t>
        </x:is>
      </x:c>
      <x:c r="G45" s="31" t="inlineStr">
        <x:is>
          <x:t xml:space="preserve">Производственное задание</x:t>
        </x:is>
      </x:c>
      <x:c r="H45" s="31" t="inlineStr">
        <x:is>
          <x:t xml:space="preserve">ПЗ-00085</x:t>
        </x:is>
      </x:c>
      <x:c r="I45" s="31" t="inlineStr">
        <x:is>
          <x:t xml:space="preserve">Закрыть сменный факт</x:t>
        </x:is>
      </x:c>
      <x:c r="J45" s="31" t="inlineStr">
        <x:is>
          <x:t xml:space="preserve">Производство</x:t>
        </x:is>
      </x:c>
      <x:c r="K45" s="31" t="n">
        <x:v>0</x:v>
      </x:c>
      <x:c r="L45" s="31" t="inlineStr">
        <x:is>
          <x:t xml:space="preserve">Да</x:t>
        </x:is>
      </x:c>
      <x:c r="M45" s="31" t="inlineStr">
        <x:is>
          <x:t xml:space="preserve">Нет</x:t>
        </x:is>
      </x:c>
      <x:c r="N45" s="31" t="inlineStr">
        <x:is>
          <x:t xml:space="preserve">Автосоздано правилом/пользователем 6</x:t>
        </x:is>
      </x:c>
    </x:row>
    <x:row r="46" ht="18" customHeight="1">
      <x:c r="A46" s="31" t="inlineStr">
        <x:is>
          <x:t xml:space="preserve">ЗД-00045</x:t>
        </x:is>
      </x:c>
      <x:c r="B46" s="31" t="n">
        <x:v>46172</x:v>
      </x:c>
      <x:c r="C46" s="31" t="n">
        <x:v>46179</x:v>
      </x:c>
      <x:c r="D46" s="31" t="inlineStr">
        <x:is>
          <x:t xml:space="preserve">Просрочена</x:t>
        </x:is>
      </x:c>
      <x:c r="E46" s="31" t="inlineStr">
        <x:is>
          <x:t xml:space="preserve">Срочный</x:t>
        </x:is>
      </x:c>
      <x:c r="F46" s="31" t="inlineStr">
        <x:is>
          <x:t xml:space="preserve">СОТР-079</x:t>
        </x:is>
      </x:c>
      <x:c r="G46" s="31" t="inlineStr">
        <x:is>
          <x:t xml:space="preserve">ОТК</x:t>
        </x:is>
      </x:c>
      <x:c r="H46" s="31" t="inlineStr">
        <x:is>
          <x:t xml:space="preserve">ОТК-00026</x:t>
        </x:is>
      </x:c>
      <x:c r="I46" s="31" t="inlineStr">
        <x:is>
          <x:t xml:space="preserve">Оформить корректирующие действия</x:t>
        </x:is>
      </x:c>
      <x:c r="J46" s="31" t="inlineStr">
        <x:is>
          <x:t xml:space="preserve">Продажи</x:t>
        </x:is>
      </x:c>
      <x:c r="K46" s="31" t="n">
        <x:v>6</x:v>
      </x:c>
      <x:c r="L46" s="31" t="inlineStr">
        <x:is>
          <x:t xml:space="preserve">Нет</x:t>
        </x:is>
      </x:c>
      <x:c r="M46" s="31" t="inlineStr">
        <x:is>
          <x:t xml:space="preserve">Нет</x:t>
        </x:is>
      </x:c>
      <x:c r="N46" s="31" t="inlineStr">
        <x:is>
          <x:t xml:space="preserve">Автосоздано правилом/пользователем 6</x:t>
        </x:is>
      </x:c>
    </x:row>
    <x:row r="47" ht="18" customHeight="1">
      <x:c r="A47" s="31" t="inlineStr">
        <x:is>
          <x:t xml:space="preserve">ЗД-00046</x:t>
        </x:is>
      </x:c>
      <x:c r="B47" s="31" t="n">
        <x:v>46152</x:v>
      </x:c>
      <x:c r="C47" s="31" t="n">
        <x:v>46162</x:v>
      </x:c>
      <x:c r="D47" s="31" t="inlineStr">
        <x:is>
          <x:t xml:space="preserve">Отменена</x:t>
        </x:is>
      </x:c>
      <x:c r="E47" s="31" t="inlineStr">
        <x:is>
          <x:t xml:space="preserve">Средний</x:t>
        </x:is>
      </x:c>
      <x:c r="F47" s="31" t="inlineStr">
        <x:is>
          <x:t xml:space="preserve">СОТР-115</x:t>
        </x:is>
      </x:c>
      <x:c r="G47" s="31" t="inlineStr">
        <x:is>
          <x:t xml:space="preserve">Рекламация</x:t>
        </x:is>
      </x:c>
      <x:c r="H47" s="31" t="inlineStr">
        <x:is>
          <x:t xml:space="preserve">РЕК-00019</x:t>
        </x:is>
      </x:c>
      <x:c r="I47" s="31" t="inlineStr">
        <x:is>
          <x:t xml:space="preserve">Подготовить отчет</x:t>
        </x:is>
      </x:c>
      <x:c r="J47" s="31" t="inlineStr">
        <x:is>
          <x:t xml:space="preserve">Продажи</x:t>
        </x:is>
      </x:c>
      <x:c r="K47" s="31" t="n">
        <x:v>0</x:v>
      </x:c>
      <x:c r="L47" s="31" t="inlineStr">
        <x:is>
          <x:t xml:space="preserve">Да</x:t>
        </x:is>
      </x:c>
      <x:c r="M47" s="31" t="inlineStr">
        <x:is>
          <x:t xml:space="preserve">Нет</x:t>
        </x:is>
      </x:c>
      <x:c r="N47" s="31" t="inlineStr">
        <x:is>
          <x:t xml:space="preserve">Автосоздано правилом/пользователем 1</x:t>
        </x:is>
      </x:c>
    </x:row>
    <x:row r="48" ht="18" customHeight="1">
      <x:c r="A48" s="31" t="inlineStr">
        <x:is>
          <x:t xml:space="preserve">ЗД-00047</x:t>
        </x:is>
      </x:c>
      <x:c r="B48" s="31" t="n">
        <x:v>46148</x:v>
      </x:c>
      <x:c r="C48" s="31" t="n">
        <x:v>46162</x:v>
      </x:c>
      <x:c r="D48" s="31" t="inlineStr">
        <x:is>
          <x:t xml:space="preserve">Новая</x:t>
        </x:is>
      </x:c>
      <x:c r="E48" s="31" t="inlineStr">
        <x:is>
          <x:t xml:space="preserve">Средний</x:t>
        </x:is>
      </x:c>
      <x:c r="F48" s="31" t="inlineStr">
        <x:is>
          <x:t xml:space="preserve">СОТР-093</x:t>
        </x:is>
      </x:c>
      <x:c r="G48" s="31" t="inlineStr">
        <x:is>
          <x:t xml:space="preserve">ОТК</x:t>
        </x:is>
      </x:c>
      <x:c r="H48" s="31" t="inlineStr">
        <x:is>
          <x:t xml:space="preserve">ОТК-00099</x:t>
        </x:is>
      </x:c>
      <x:c r="I48" s="31" t="inlineStr">
        <x:is>
          <x:t xml:space="preserve">Согласовать приемку с замечаниями</x:t>
        </x:is>
      </x:c>
      <x:c r="J48" s="31" t="inlineStr">
        <x:is>
          <x:t xml:space="preserve">Производство</x:t>
        </x:is>
      </x:c>
      <x:c r="K48" s="31" t="n">
        <x:v>0</x:v>
      </x:c>
      <x:c r="L48" s="31" t="inlineStr">
        <x:is>
          <x:t xml:space="preserve">Нет</x:t>
        </x:is>
      </x:c>
      <x:c r="M48" s="31" t="inlineStr">
        <x:is>
          <x:t xml:space="preserve">Заказчик</x:t>
        </x:is>
      </x:c>
      <x:c r="N48" s="31" t="inlineStr">
        <x:is>
          <x:t xml:space="preserve">Автосоздано правилом/пользователем 9</x:t>
        </x:is>
      </x:c>
    </x:row>
    <x:row r="49" ht="18" customHeight="1">
      <x:c r="A49" s="31" t="inlineStr">
        <x:is>
          <x:t xml:space="preserve">ЗД-00048</x:t>
        </x:is>
      </x:c>
      <x:c r="B49" s="31" t="n">
        <x:v>46143</x:v>
      </x:c>
      <x:c r="C49" s="31" t="n">
        <x:v>46144</x:v>
      </x:c>
      <x:c r="D49" s="31" t="inlineStr">
        <x:is>
          <x:t xml:space="preserve">Просрочена</x:t>
        </x:is>
      </x:c>
      <x:c r="E49" s="31" t="inlineStr">
        <x:is>
          <x:t xml:space="preserve">Средний</x:t>
        </x:is>
      </x:c>
      <x:c r="F49" s="31" t="inlineStr">
        <x:is>
          <x:t xml:space="preserve">СОТР-076</x:t>
        </x:is>
      </x:c>
      <x:c r="G49" s="31" t="inlineStr">
        <x:is>
          <x:t xml:space="preserve">Счет</x:t>
        </x:is>
      </x:c>
      <x:c r="H49" s="31" t="inlineStr">
        <x:is>
          <x:t xml:space="preserve">СЧ-1056-1</x:t>
        </x:is>
      </x:c>
      <x:c r="I49" s="31" t="inlineStr">
        <x:is>
          <x:t xml:space="preserve">Напомнить об оплате</x:t>
        </x:is>
      </x:c>
      <x:c r="J49" s="31" t="inlineStr">
        <x:is>
          <x:t xml:space="preserve">Снабжение</x:t>
        </x:is>
      </x:c>
      <x:c r="K49" s="31" t="n">
        <x:v>41</x:v>
      </x:c>
      <x:c r="L49" s="31" t="inlineStr">
        <x:is>
          <x:t xml:space="preserve">Нет</x:t>
        </x:is>
      </x:c>
      <x:c r="M49" s="31" t="inlineStr">
        <x:is>
          <x:t xml:space="preserve">Нет</x:t>
        </x:is>
      </x:c>
      <x:c r="N49" s="31" t="inlineStr">
        <x:is>
          <x:t xml:space="preserve">Автосоздано правилом/пользователем 8</x:t>
        </x:is>
      </x:c>
    </x:row>
    <x:row r="50" ht="18" customHeight="1">
      <x:c r="A50" s="31" t="inlineStr">
        <x:is>
          <x:t xml:space="preserve">ЗД-00049</x:t>
        </x:is>
      </x:c>
      <x:c r="B50" s="31" t="n">
        <x:v>46185</x:v>
      </x:c>
      <x:c r="C50" s="31" t="n">
        <x:v>46199</x:v>
      </x:c>
      <x:c r="D50" s="31" t="inlineStr">
        <x:is>
          <x:t xml:space="preserve">Выполнена</x:t>
        </x:is>
      </x:c>
      <x:c r="E50" s="31" t="inlineStr">
        <x:is>
          <x:t xml:space="preserve">Высокий</x:t>
        </x:is>
      </x:c>
      <x:c r="F50" s="31" t="inlineStr">
        <x:is>
          <x:t xml:space="preserve">СОТР-116</x:t>
        </x:is>
      </x:c>
      <x:c r="G50" s="31" t="inlineStr">
        <x:is>
          <x:t xml:space="preserve">Рекламация</x:t>
        </x:is>
      </x:c>
      <x:c r="H50" s="31" t="inlineStr">
        <x:is>
          <x:t xml:space="preserve">РЕК-00001</x:t>
        </x:is>
      </x:c>
      <x:c r="I50" s="31" t="inlineStr">
        <x:is>
          <x:t xml:space="preserve">Закрыть обращение</x:t>
        </x:is>
      </x:c>
      <x:c r="J50" s="31" t="inlineStr">
        <x:is>
          <x:t xml:space="preserve">Финансы</x:t>
        </x:is>
      </x:c>
      <x:c r="K50" s="31" t="n">
        <x:v>0</x:v>
      </x:c>
      <x:c r="L50" s="31" t="inlineStr">
        <x:is>
          <x:t xml:space="preserve">Да</x:t>
        </x:is>
      </x:c>
      <x:c r="M50" s="31" t="inlineStr">
        <x:is>
          <x:t xml:space="preserve">Заказчик</x:t>
        </x:is>
      </x:c>
      <x:c r="N50" s="31" t="inlineStr">
        <x:is>
          <x:t xml:space="preserve">Автосоздано правилом/пользователем 7</x:t>
        </x:is>
      </x:c>
    </x:row>
    <x:row r="51" ht="18" customHeight="1">
      <x:c r="A51" s="31" t="inlineStr">
        <x:is>
          <x:t xml:space="preserve">ЗД-00050</x:t>
        </x:is>
      </x:c>
      <x:c r="B51" s="31" t="n">
        <x:v>46110</x:v>
      </x:c>
      <x:c r="C51" s="31" t="n">
        <x:v>46113</x:v>
      </x:c>
      <x:c r="D51" s="31" t="inlineStr">
        <x:is>
          <x:t xml:space="preserve">Новая</x:t>
        </x:is>
      </x:c>
      <x:c r="E51" s="31" t="inlineStr">
        <x:is>
          <x:t xml:space="preserve">Высокий</x:t>
        </x:is>
      </x:c>
      <x:c r="F51" s="31" t="inlineStr">
        <x:is>
          <x:t xml:space="preserve">СОТР-049</x:t>
        </x:is>
      </x:c>
      <x:c r="G51" s="31" t="inlineStr">
        <x:is>
          <x:t xml:space="preserve">Заказ</x:t>
        </x:is>
      </x:c>
      <x:c r="H51" s="31" t="inlineStr">
        <x:is>
          <x:t xml:space="preserve">ЗК-1095</x:t>
        </x:is>
      </x:c>
      <x:c r="I51" s="31" t="inlineStr">
        <x:is>
          <x:t xml:space="preserve">Согласовать скидку</x:t>
        </x:is>
      </x:c>
      <x:c r="J51" s="31" t="inlineStr">
        <x:is>
          <x:t xml:space="preserve">ОТК</x:t>
        </x:is>
      </x:c>
      <x:c r="K51" s="31" t="n">
        <x:v>0</x:v>
      </x:c>
      <x:c r="L51" s="31" t="inlineStr">
        <x:is>
          <x:t xml:space="preserve">Да</x:t>
        </x:is>
      </x:c>
      <x:c r="M51" s="31" t="inlineStr">
        <x:is>
          <x:t xml:space="preserve">Заказчик</x:t>
        </x:is>
      </x:c>
      <x:c r="N51" s="31" t="inlineStr">
        <x:is>
          <x:t xml:space="preserve">Автосоздано правилом/пользователем 4</x:t>
        </x:is>
      </x:c>
    </x:row>
    <x:row r="52" ht="18" customHeight="1">
      <x:c r="A52" s="31" t="inlineStr">
        <x:is>
          <x:t xml:space="preserve">ЗД-00051</x:t>
        </x:is>
      </x:c>
      <x:c r="B52" s="31" t="n">
        <x:v>46139</x:v>
      </x:c>
      <x:c r="C52" s="31" t="n">
        <x:v>46146</x:v>
      </x:c>
      <x:c r="D52" s="31" t="inlineStr">
        <x:is>
          <x:t xml:space="preserve">Выполнена</x:t>
        </x:is>
      </x:c>
      <x:c r="E52" s="31" t="inlineStr">
        <x:is>
          <x:t xml:space="preserve">Средний</x:t>
        </x:is>
      </x:c>
      <x:c r="F52" s="31" t="inlineStr">
        <x:is>
          <x:t xml:space="preserve">СОТР-035</x:t>
        </x:is>
      </x:c>
      <x:c r="G52" s="31" t="inlineStr">
        <x:is>
          <x:t xml:space="preserve">Производственное задание</x:t>
        </x:is>
      </x:c>
      <x:c r="H52" s="31" t="inlineStr">
        <x:is>
          <x:t xml:space="preserve">ПЗ-00259</x:t>
        </x:is>
      </x:c>
      <x:c r="I52" s="31" t="inlineStr">
        <x:is>
          <x:t xml:space="preserve">Проверить дефицит материалов</x:t>
        </x:is>
      </x:c>
      <x:c r="J52" s="31" t="inlineStr">
        <x:is>
          <x:t xml:space="preserve">Снабжение</x:t>
        </x:is>
      </x:c>
      <x:c r="K52" s="31" t="n">
        <x:v>0</x:v>
      </x:c>
      <x:c r="L52" s="31" t="inlineStr">
        <x:is>
          <x:t xml:space="preserve">Нет</x:t>
        </x:is>
      </x:c>
      <x:c r="M52" s="31" t="inlineStr">
        <x:is>
          <x:t xml:space="preserve">Нет</x:t>
        </x:is>
      </x:c>
      <x:c r="N52" s="31" t="inlineStr">
        <x:is>
          <x:t xml:space="preserve">Автосоздано правилом/пользователем 10</x:t>
        </x:is>
      </x:c>
    </x:row>
    <x:row r="53" ht="18" customHeight="1">
      <x:c r="A53" s="31" t="inlineStr">
        <x:is>
          <x:t xml:space="preserve">ЗД-00052</x:t>
        </x:is>
      </x:c>
      <x:c r="B53" s="31" t="n">
        <x:v>46168</x:v>
      </x:c>
      <x:c r="C53" s="31" t="n">
        <x:v>46173</x:v>
      </x:c>
      <x:c r="D53" s="31" t="inlineStr">
        <x:is>
          <x:t xml:space="preserve">Ожидает ответа</x:t>
        </x:is>
      </x:c>
      <x:c r="E53" s="31" t="inlineStr">
        <x:is>
          <x:t xml:space="preserve">Высокий</x:t>
        </x:is>
      </x:c>
      <x:c r="F53" s="31" t="inlineStr">
        <x:is>
          <x:t xml:space="preserve">СОТР-114</x:t>
        </x:is>
      </x:c>
      <x:c r="G53" s="31" t="inlineStr">
        <x:is>
          <x:t xml:space="preserve">ОТК</x:t>
        </x:is>
      </x:c>
      <x:c r="H53" s="31" t="inlineStr">
        <x:is>
          <x:t xml:space="preserve">ОТК-00041</x:t>
        </x:is>
      </x:c>
      <x:c r="I53" s="31" t="inlineStr">
        <x:is>
          <x:t xml:space="preserve">Согласовать приемку с замечаниями</x:t>
        </x:is>
      </x:c>
      <x:c r="J53" s="31" t="inlineStr">
        <x:is>
          <x:t xml:space="preserve">Снабжение</x:t>
        </x:is>
      </x:c>
      <x:c r="K53" s="31" t="n">
        <x:v>0</x:v>
      </x:c>
      <x:c r="L53" s="31" t="inlineStr">
        <x:is>
          <x:t xml:space="preserve">Нет</x:t>
        </x:is>
      </x:c>
      <x:c r="M53" s="31" t="inlineStr">
        <x:is>
          <x:t xml:space="preserve">Нет</x:t>
        </x:is>
      </x:c>
      <x:c r="N53" s="31" t="inlineStr">
        <x:is>
          <x:t xml:space="preserve">Автосоздано правилом/пользователем 1</x:t>
        </x:is>
      </x:c>
    </x:row>
    <x:row r="54" ht="18" customHeight="1">
      <x:c r="A54" s="31" t="inlineStr">
        <x:is>
          <x:t xml:space="preserve">ЗД-00053</x:t>
        </x:is>
      </x:c>
      <x:c r="B54" s="31" t="n">
        <x:v>46118</x:v>
      </x:c>
      <x:c r="C54" s="31" t="n">
        <x:v>46128</x:v>
      </x:c>
      <x:c r="D54" s="31" t="inlineStr">
        <x:is>
          <x:t xml:space="preserve">Просрочена</x:t>
        </x:is>
      </x:c>
      <x:c r="E54" s="31" t="inlineStr">
        <x:is>
          <x:t xml:space="preserve">Низкий</x:t>
        </x:is>
      </x:c>
      <x:c r="F54" s="31" t="inlineStr">
        <x:is>
          <x:t xml:space="preserve">СОТР-109</x:t>
        </x:is>
      </x:c>
      <x:c r="G54" s="31" t="inlineStr">
        <x:is>
          <x:t xml:space="preserve">Счет</x:t>
        </x:is>
      </x:c>
      <x:c r="H54" s="31" t="inlineStr">
        <x:is>
          <x:t xml:space="preserve">СЧ-1049-2</x:t>
        </x:is>
      </x:c>
      <x:c r="I54" s="31" t="inlineStr">
        <x:is>
          <x:t xml:space="preserve">Проверить оплату</x:t>
        </x:is>
      </x:c>
      <x:c r="J54" s="31" t="inlineStr">
        <x:is>
          <x:t xml:space="preserve">Финансы</x:t>
        </x:is>
      </x:c>
      <x:c r="K54" s="31" t="n">
        <x:v>57</x:v>
      </x:c>
      <x:c r="L54" s="31" t="inlineStr">
        <x:is>
          <x:t xml:space="preserve">Нет</x:t>
        </x:is>
      </x:c>
      <x:c r="M54" s="31" t="inlineStr">
        <x:is>
          <x:t xml:space="preserve">Нет</x:t>
        </x:is>
      </x:c>
      <x:c r="N54" s="31" t="inlineStr">
        <x:is>
          <x:t xml:space="preserve">Автосоздано правилом/пользователем 3</x:t>
        </x:is>
      </x:c>
    </x:row>
    <x:row r="55" ht="18" customHeight="1">
      <x:c r="A55" s="31" t="inlineStr">
        <x:is>
          <x:t xml:space="preserve">ЗД-00054</x:t>
        </x:is>
      </x:c>
      <x:c r="B55" s="31" t="n">
        <x:v>46152</x:v>
      </x:c>
      <x:c r="C55" s="31" t="n">
        <x:v>46155</x:v>
      </x:c>
      <x:c r="D55" s="31" t="inlineStr">
        <x:is>
          <x:t xml:space="preserve">Отменена</x:t>
        </x:is>
      </x:c>
      <x:c r="E55" s="31" t="inlineStr">
        <x:is>
          <x:t xml:space="preserve">Высокий</x:t>
        </x:is>
      </x:c>
      <x:c r="F55" s="31" t="inlineStr">
        <x:is>
          <x:t xml:space="preserve">СОТР-098</x:t>
        </x:is>
      </x:c>
      <x:c r="G55" s="31" t="inlineStr">
        <x:is>
          <x:t xml:space="preserve">Заказ</x:t>
        </x:is>
      </x:c>
      <x:c r="H55" s="31" t="inlineStr">
        <x:is>
          <x:t xml:space="preserve">ЗК-1028</x:t>
        </x:is>
      </x:c>
      <x:c r="I55" s="31" t="inlineStr">
        <x:is>
          <x:t xml:space="preserve">Подготовить КП</x:t>
        </x:is>
      </x:c>
      <x:c r="J55" s="31" t="inlineStr">
        <x:is>
          <x:t xml:space="preserve">Снабжение</x:t>
        </x:is>
      </x:c>
      <x:c r="K55" s="31" t="n">
        <x:v>0</x:v>
      </x:c>
      <x:c r="L55" s="31" t="inlineStr">
        <x:is>
          <x:t xml:space="preserve">Нет</x:t>
        </x:is>
      </x:c>
      <x:c r="M55" s="31" t="inlineStr">
        <x:is>
          <x:t xml:space="preserve">Нет</x:t>
        </x:is>
      </x:c>
      <x:c r="N55" s="31" t="inlineStr">
        <x:is>
          <x:t xml:space="preserve">Автосоздано правилом/пользователем 4</x:t>
        </x:is>
      </x:c>
    </x:row>
    <x:row r="56" ht="18" customHeight="1">
      <x:c r="A56" s="31" t="inlineStr">
        <x:is>
          <x:t xml:space="preserve">ЗД-00055</x:t>
        </x:is>
      </x:c>
      <x:c r="B56" s="31" t="n">
        <x:v>46152</x:v>
      </x:c>
      <x:c r="C56" s="31" t="n">
        <x:v>46154</x:v>
      </x:c>
      <x:c r="D56" s="31" t="inlineStr">
        <x:is>
          <x:t xml:space="preserve">Ожидает ответа</x:t>
        </x:is>
      </x:c>
      <x:c r="E56" s="31" t="inlineStr">
        <x:is>
          <x:t xml:space="preserve">Средний</x:t>
        </x:is>
      </x:c>
      <x:c r="F56" s="31" t="inlineStr">
        <x:is>
          <x:t xml:space="preserve">СОТР-063</x:t>
        </x:is>
      </x:c>
      <x:c r="G56" s="31" t="inlineStr">
        <x:is>
          <x:t xml:space="preserve">ОТК</x:t>
        </x:is>
      </x:c>
      <x:c r="H56" s="31" t="inlineStr">
        <x:is>
          <x:t xml:space="preserve">ОТК-00127</x:t>
        </x:is>
      </x:c>
      <x:c r="I56" s="31" t="inlineStr">
        <x:is>
          <x:t xml:space="preserve">Проверить доработку</x:t>
        </x:is>
      </x:c>
      <x:c r="J56" s="31" t="inlineStr">
        <x:is>
          <x:t xml:space="preserve">Продажи</x:t>
        </x:is>
      </x:c>
      <x:c r="K56" s="31" t="n">
        <x:v>0</x:v>
      </x:c>
      <x:c r="L56" s="31" t="inlineStr">
        <x:is>
          <x:t xml:space="preserve">Нет</x:t>
        </x:is>
      </x:c>
      <x:c r="M56" s="31" t="inlineStr">
        <x:is>
          <x:t xml:space="preserve">Заказчик</x:t>
        </x:is>
      </x:c>
      <x:c r="N56" s="31" t="inlineStr">
        <x:is>
          <x:t xml:space="preserve">Автосоздано правилом/пользователем 12</x:t>
        </x:is>
      </x:c>
    </x:row>
    <x:row r="57" ht="18" customHeight="1">
      <x:c r="A57" s="31" t="inlineStr">
        <x:is>
          <x:t xml:space="preserve">ЗД-00056</x:t>
        </x:is>
      </x:c>
      <x:c r="B57" s="31" t="n">
        <x:v>46175</x:v>
      </x:c>
      <x:c r="C57" s="31" t="n">
        <x:v>46177</x:v>
      </x:c>
      <x:c r="D57" s="31" t="inlineStr">
        <x:is>
          <x:t xml:space="preserve">Просрочена</x:t>
        </x:is>
      </x:c>
      <x:c r="E57" s="31" t="inlineStr">
        <x:is>
          <x:t xml:space="preserve">Срочный</x:t>
        </x:is>
      </x:c>
      <x:c r="F57" s="31" t="inlineStr">
        <x:is>
          <x:t xml:space="preserve">СОТР-096</x:t>
        </x:is>
      </x:c>
      <x:c r="G57" s="31" t="inlineStr">
        <x:is>
          <x:t xml:space="preserve">ОТК</x:t>
        </x:is>
      </x:c>
      <x:c r="H57" s="31" t="inlineStr">
        <x:is>
          <x:t xml:space="preserve">ОТК-00145</x:t>
        </x:is>
      </x:c>
      <x:c r="I57" s="31" t="inlineStr">
        <x:is>
          <x:t xml:space="preserve">Согласовать приемку с замечаниями</x:t>
        </x:is>
      </x:c>
      <x:c r="J57" s="31" t="inlineStr">
        <x:is>
          <x:t xml:space="preserve">ОТК</x:t>
        </x:is>
      </x:c>
      <x:c r="K57" s="31" t="n">
        <x:v>8</x:v>
      </x:c>
      <x:c r="L57" s="31" t="inlineStr">
        <x:is>
          <x:t xml:space="preserve">Да</x:t>
        </x:is>
      </x:c>
      <x:c r="M57" s="31" t="inlineStr">
        <x:is>
          <x:t xml:space="preserve">Нет</x:t>
        </x:is>
      </x:c>
      <x:c r="N57" s="31" t="inlineStr">
        <x:is>
          <x:t xml:space="preserve">Автосоздано правилом/пользователем 11</x:t>
        </x:is>
      </x:c>
    </x:row>
    <x:row r="58" ht="18" customHeight="1">
      <x:c r="A58" s="31" t="inlineStr">
        <x:is>
          <x:t xml:space="preserve">ЗД-00057</x:t>
        </x:is>
      </x:c>
      <x:c r="B58" s="31" t="n">
        <x:v>46174</x:v>
      </x:c>
      <x:c r="C58" s="31" t="n">
        <x:v>46175</x:v>
      </x:c>
      <x:c r="D58" s="31" t="inlineStr">
        <x:is>
          <x:t xml:space="preserve">Просрочена</x:t>
        </x:is>
      </x:c>
      <x:c r="E58" s="31" t="inlineStr">
        <x:is>
          <x:t xml:space="preserve">Средний</x:t>
        </x:is>
      </x:c>
      <x:c r="F58" s="31" t="inlineStr">
        <x:is>
          <x:t xml:space="preserve">СОТР-098</x:t>
        </x:is>
      </x:c>
      <x:c r="G58" s="31" t="inlineStr">
        <x:is>
          <x:t xml:space="preserve">ОТК</x:t>
        </x:is>
      </x:c>
      <x:c r="H58" s="31" t="inlineStr">
        <x:is>
          <x:t xml:space="preserve">ОТК-00085</x:t>
        </x:is>
      </x:c>
      <x:c r="I58" s="31" t="inlineStr">
        <x:is>
          <x:t xml:space="preserve">Заблокировать отгрузку</x:t>
        </x:is>
      </x:c>
      <x:c r="J58" s="31" t="inlineStr">
        <x:is>
          <x:t xml:space="preserve">ОТК</x:t>
        </x:is>
      </x:c>
      <x:c r="K58" s="31" t="n">
        <x:v>10</x:v>
      </x:c>
      <x:c r="L58" s="31" t="inlineStr">
        <x:is>
          <x:t xml:space="preserve">Нет</x:t>
        </x:is>
      </x:c>
      <x:c r="M58" s="31" t="inlineStr">
        <x:is>
          <x:t xml:space="preserve">Нет</x:t>
        </x:is>
      </x:c>
      <x:c r="N58" s="31" t="inlineStr">
        <x:is>
          <x:t xml:space="preserve">Автосоздано правилом/пользователем 2</x:t>
        </x:is>
      </x:c>
    </x:row>
    <x:row r="59" ht="18" customHeight="1">
      <x:c r="A59" s="31" t="inlineStr">
        <x:is>
          <x:t xml:space="preserve">ЗД-00058</x:t>
        </x:is>
      </x:c>
      <x:c r="B59" s="31" t="n">
        <x:v>46150</x:v>
      </x:c>
      <x:c r="C59" s="31" t="n">
        <x:v>46151</x:v>
      </x:c>
      <x:c r="D59" s="31" t="inlineStr">
        <x:is>
          <x:t xml:space="preserve">Просрочена</x:t>
        </x:is>
      </x:c>
      <x:c r="E59" s="31" t="inlineStr">
        <x:is>
          <x:t xml:space="preserve">Средний</x:t>
        </x:is>
      </x:c>
      <x:c r="F59" s="31" t="inlineStr">
        <x:is>
          <x:t xml:space="preserve">СОТР-096</x:t>
        </x:is>
      </x:c>
      <x:c r="G59" s="31" t="inlineStr">
        <x:is>
          <x:t xml:space="preserve">Производственное задание</x:t>
        </x:is>
      </x:c>
      <x:c r="H59" s="31" t="inlineStr">
        <x:is>
          <x:t xml:space="preserve">ПЗ-00143</x:t>
        </x:is>
      </x:c>
      <x:c r="I59" s="31" t="inlineStr">
        <x:is>
          <x:t xml:space="preserve">Закрыть сменный факт</x:t>
        </x:is>
      </x:c>
      <x:c r="J59" s="31" t="inlineStr">
        <x:is>
          <x:t xml:space="preserve">Продажи</x:t>
        </x:is>
      </x:c>
      <x:c r="K59" s="31" t="n">
        <x:v>34</x:v>
      </x:c>
      <x:c r="L59" s="31" t="inlineStr">
        <x:is>
          <x:t xml:space="preserve">Нет</x:t>
        </x:is>
      </x:c>
      <x:c r="M59" s="31" t="inlineStr">
        <x:is>
          <x:t xml:space="preserve">Нет</x:t>
        </x:is>
      </x:c>
      <x:c r="N59" s="31" t="inlineStr">
        <x:is>
          <x:t xml:space="preserve">Автосоздано правилом/пользователем 7</x:t>
        </x:is>
      </x:c>
    </x:row>
    <x:row r="60" ht="18" customHeight="1">
      <x:c r="A60" s="31" t="inlineStr">
        <x:is>
          <x:t xml:space="preserve">ЗД-00059</x:t>
        </x:is>
      </x:c>
      <x:c r="B60" s="31" t="n">
        <x:v>46120</x:v>
      </x:c>
      <x:c r="C60" s="31" t="n">
        <x:v>46125</x:v>
      </x:c>
      <x:c r="D60" s="31" t="inlineStr">
        <x:is>
          <x:t xml:space="preserve">Выполнена</x:t>
        </x:is>
      </x:c>
      <x:c r="E60" s="31" t="inlineStr">
        <x:is>
          <x:t xml:space="preserve">Средний</x:t>
        </x:is>
      </x:c>
      <x:c r="F60" s="31" t="inlineStr">
        <x:is>
          <x:t xml:space="preserve">СОТР-063</x:t>
        </x:is>
      </x:c>
      <x:c r="G60" s="31" t="inlineStr">
        <x:is>
          <x:t xml:space="preserve">Производственное задание</x:t>
        </x:is>
      </x:c>
      <x:c r="H60" s="31" t="inlineStr">
        <x:is>
          <x:t xml:space="preserve">ПЗ-00116</x:t>
        </x:is>
      </x:c>
      <x:c r="I60" s="31" t="inlineStr">
        <x:is>
          <x:t xml:space="preserve">Закрыть сменный факт</x:t>
        </x:is>
      </x:c>
      <x:c r="J60" s="31" t="inlineStr">
        <x:is>
          <x:t xml:space="preserve">ОТК</x:t>
        </x:is>
      </x:c>
      <x:c r="K60" s="31" t="n">
        <x:v>0</x:v>
      </x:c>
      <x:c r="L60" s="31" t="inlineStr">
        <x:is>
          <x:t xml:space="preserve">Нет</x:t>
        </x:is>
      </x:c>
      <x:c r="M60" s="31" t="inlineStr">
        <x:is>
          <x:t xml:space="preserve">Нет</x:t>
        </x:is>
      </x:c>
      <x:c r="N60" s="31" t="inlineStr">
        <x:is>
          <x:t xml:space="preserve">Автосоздано правилом/пользователем 3</x:t>
        </x:is>
      </x:c>
    </x:row>
    <x:row r="61" ht="18" customHeight="1">
      <x:c r="A61" s="31" t="inlineStr">
        <x:is>
          <x:t xml:space="preserve">ЗД-00060</x:t>
        </x:is>
      </x:c>
      <x:c r="B61" s="31" t="n">
        <x:v>46121</x:v>
      </x:c>
      <x:c r="C61" s="31" t="n">
        <x:v>46123</x:v>
      </x:c>
      <x:c r="D61" s="31" t="inlineStr">
        <x:is>
          <x:t xml:space="preserve">Просрочена</x:t>
        </x:is>
      </x:c>
      <x:c r="E61" s="31" t="inlineStr">
        <x:is>
          <x:t xml:space="preserve">Средний</x:t>
        </x:is>
      </x:c>
      <x:c r="F61" s="31" t="inlineStr">
        <x:is>
          <x:t xml:space="preserve">СОТР-096</x:t>
        </x:is>
      </x:c>
      <x:c r="G61" s="31" t="inlineStr">
        <x:is>
          <x:t xml:space="preserve">Производственное задание</x:t>
        </x:is>
      </x:c>
      <x:c r="H61" s="31" t="inlineStr">
        <x:is>
          <x:t xml:space="preserve">ПЗ-00047</x:t>
        </x:is>
      </x:c>
      <x:c r="I61" s="31" t="inlineStr">
        <x:is>
          <x:t xml:space="preserve">Назначить оператора</x:t>
        </x:is>
      </x:c>
      <x:c r="J61" s="31" t="inlineStr">
        <x:is>
          <x:t xml:space="preserve">Финансы</x:t>
        </x:is>
      </x:c>
      <x:c r="K61" s="31" t="n">
        <x:v>62</x:v>
      </x:c>
      <x:c r="L61" s="31" t="inlineStr">
        <x:is>
          <x:t xml:space="preserve">Нет</x:t>
        </x:is>
      </x:c>
      <x:c r="M61" s="31" t="inlineStr">
        <x:is>
          <x:t xml:space="preserve">Заказчик</x:t>
        </x:is>
      </x:c>
      <x:c r="N61" s="31" t="inlineStr">
        <x:is>
          <x:t xml:space="preserve">Автосоздано правилом/пользователем 2</x:t>
        </x:is>
      </x:c>
    </x:row>
    <x:row r="62" ht="18" customHeight="1">
      <x:c r="A62" s="31" t="inlineStr">
        <x:is>
          <x:t xml:space="preserve">ЗД-00061</x:t>
        </x:is>
      </x:c>
      <x:c r="B62" s="31" t="n">
        <x:v>46114</x:v>
      </x:c>
      <x:c r="C62" s="31" t="n">
        <x:v>46115</x:v>
      </x:c>
      <x:c r="D62" s="31" t="inlineStr">
        <x:is>
          <x:t xml:space="preserve">Просрочена</x:t>
        </x:is>
      </x:c>
      <x:c r="E62" s="31" t="inlineStr">
        <x:is>
          <x:t xml:space="preserve">Средний</x:t>
        </x:is>
      </x:c>
      <x:c r="F62" s="31" t="inlineStr">
        <x:is>
          <x:t xml:space="preserve">СОТР-096</x:t>
        </x:is>
      </x:c>
      <x:c r="G62" s="31" t="inlineStr">
        <x:is>
          <x:t xml:space="preserve">ОТК</x:t>
        </x:is>
      </x:c>
      <x:c r="H62" s="31" t="inlineStr">
        <x:is>
          <x:t xml:space="preserve">ОТК-00025</x:t>
        </x:is>
      </x:c>
      <x:c r="I62" s="31" t="inlineStr">
        <x:is>
          <x:t xml:space="preserve">Оформить корректирующие действия</x:t>
        </x:is>
      </x:c>
      <x:c r="J62" s="31" t="inlineStr">
        <x:is>
          <x:t xml:space="preserve">ОТК</x:t>
        </x:is>
      </x:c>
      <x:c r="K62" s="31" t="n">
        <x:v>70</x:v>
      </x:c>
      <x:c r="L62" s="31" t="inlineStr">
        <x:is>
          <x:t xml:space="preserve">Да</x:t>
        </x:is>
      </x:c>
      <x:c r="M62" s="31" t="inlineStr">
        <x:is>
          <x:t xml:space="preserve">Нет</x:t>
        </x:is>
      </x:c>
      <x:c r="N62" s="31" t="inlineStr">
        <x:is>
          <x:t xml:space="preserve">Автосоздано правилом/пользователем 3</x:t>
        </x:is>
      </x:c>
    </x:row>
    <x:row r="63" ht="18" customHeight="1">
      <x:c r="A63" s="31" t="inlineStr">
        <x:is>
          <x:t xml:space="preserve">ЗД-00062</x:t>
        </x:is>
      </x:c>
      <x:c r="B63" s="31" t="n">
        <x:v>46110</x:v>
      </x:c>
      <x:c r="C63" s="31" t="n">
        <x:v>46111</x:v>
      </x:c>
      <x:c r="D63" s="31" t="inlineStr">
        <x:is>
          <x:t xml:space="preserve">Новая</x:t>
        </x:is>
      </x:c>
      <x:c r="E63" s="31" t="inlineStr">
        <x:is>
          <x:t xml:space="preserve">Средний</x:t>
        </x:is>
      </x:c>
      <x:c r="F63" s="31" t="inlineStr">
        <x:is>
          <x:t xml:space="preserve">СОТР-077</x:t>
        </x:is>
      </x:c>
      <x:c r="G63" s="31" t="inlineStr">
        <x:is>
          <x:t xml:space="preserve">ОТК</x:t>
        </x:is>
      </x:c>
      <x:c r="H63" s="31" t="inlineStr">
        <x:is>
          <x:t xml:space="preserve">ОТК-00091</x:t>
        </x:is>
      </x:c>
      <x:c r="I63" s="31" t="inlineStr">
        <x:is>
          <x:t xml:space="preserve">Заблокировать отгрузку</x:t>
        </x:is>
      </x:c>
      <x:c r="J63" s="31" t="inlineStr">
        <x:is>
          <x:t xml:space="preserve">Продажи</x:t>
        </x:is>
      </x:c>
      <x:c r="K63" s="31" t="n">
        <x:v>0</x:v>
      </x:c>
      <x:c r="L63" s="31" t="inlineStr">
        <x:is>
          <x:t xml:space="preserve">Да</x:t>
        </x:is>
      </x:c>
      <x:c r="M63" s="31" t="inlineStr">
        <x:is>
          <x:t xml:space="preserve">Нет</x:t>
        </x:is>
      </x:c>
      <x:c r="N63" s="31" t="inlineStr">
        <x:is>
          <x:t xml:space="preserve">Автосоздано правилом/пользователем 1</x:t>
        </x:is>
      </x:c>
    </x:row>
    <x:row r="64" ht="18" customHeight="1">
      <x:c r="A64" s="31" t="inlineStr">
        <x:is>
          <x:t xml:space="preserve">ЗД-00063</x:t>
        </x:is>
      </x:c>
      <x:c r="B64" s="31" t="n">
        <x:v>46157</x:v>
      </x:c>
      <x:c r="C64" s="31" t="n">
        <x:v>46171</x:v>
      </x:c>
      <x:c r="D64" s="31" t="inlineStr">
        <x:is>
          <x:t xml:space="preserve">Просрочена</x:t>
        </x:is>
      </x:c>
      <x:c r="E64" s="31" t="inlineStr">
        <x:is>
          <x:t xml:space="preserve">Средний</x:t>
        </x:is>
      </x:c>
      <x:c r="F64" s="31" t="inlineStr">
        <x:is>
          <x:t xml:space="preserve">СОТР-092</x:t>
        </x:is>
      </x:c>
      <x:c r="G64" s="31" t="inlineStr">
        <x:is>
          <x:t xml:space="preserve">ОТК</x:t>
        </x:is>
      </x:c>
      <x:c r="H64" s="31" t="inlineStr">
        <x:is>
          <x:t xml:space="preserve">ОТК-00130</x:t>
        </x:is>
      </x:c>
      <x:c r="I64" s="31" t="inlineStr">
        <x:is>
          <x:t xml:space="preserve">Заблокировать отгрузку</x:t>
        </x:is>
      </x:c>
      <x:c r="J64" s="31" t="inlineStr">
        <x:is>
          <x:t xml:space="preserve">Продажи</x:t>
        </x:is>
      </x:c>
      <x:c r="K64" s="31" t="n">
        <x:v>14</x:v>
      </x:c>
      <x:c r="L64" s="31" t="inlineStr">
        <x:is>
          <x:t xml:space="preserve">Да</x:t>
        </x:is>
      </x:c>
      <x:c r="M64" s="31" t="inlineStr">
        <x:is>
          <x:t xml:space="preserve">Руководитель</x:t>
        </x:is>
      </x:c>
      <x:c r="N64" s="31" t="inlineStr">
        <x:is>
          <x:t xml:space="preserve">Автосоздано правилом/пользователем 1</x:t>
        </x:is>
      </x:c>
    </x:row>
    <x:row r="65" ht="18" customHeight="1">
      <x:c r="A65" s="31" t="inlineStr">
        <x:is>
          <x:t xml:space="preserve">ЗД-00064</x:t>
        </x:is>
      </x:c>
      <x:c r="B65" s="31" t="n">
        <x:v>46125</x:v>
      </x:c>
      <x:c r="C65" s="31" t="n">
        <x:v>46132</x:v>
      </x:c>
      <x:c r="D65" s="31" t="inlineStr">
        <x:is>
          <x:t xml:space="preserve">Новая</x:t>
        </x:is>
      </x:c>
      <x:c r="E65" s="31" t="inlineStr">
        <x:is>
          <x:t xml:space="preserve">Средний</x:t>
        </x:is>
      </x:c>
      <x:c r="F65" s="31" t="inlineStr">
        <x:is>
          <x:t xml:space="preserve">СОТР-097</x:t>
        </x:is>
      </x:c>
      <x:c r="G65" s="31" t="inlineStr">
        <x:is>
          <x:t xml:space="preserve">Производственное задание</x:t>
        </x:is>
      </x:c>
      <x:c r="H65" s="31" t="inlineStr">
        <x:is>
          <x:t xml:space="preserve">ПЗ-00220</x:t>
        </x:is>
      </x:c>
      <x:c r="I65" s="31" t="inlineStr">
        <x:is>
          <x:t xml:space="preserve">Разобрать простой</x:t>
        </x:is>
      </x:c>
      <x:c r="J65" s="31" t="inlineStr">
        <x:is>
          <x:t xml:space="preserve">Производство</x:t>
        </x:is>
      </x:c>
      <x:c r="K65" s="31" t="n">
        <x:v>0</x:v>
      </x:c>
      <x:c r="L65" s="31" t="inlineStr">
        <x:is>
          <x:t xml:space="preserve">Да</x:t>
        </x:is>
      </x:c>
      <x:c r="M65" s="31" t="inlineStr">
        <x:is>
          <x:t xml:space="preserve">Нет</x:t>
        </x:is>
      </x:c>
      <x:c r="N65" s="31" t="inlineStr">
        <x:is>
          <x:t xml:space="preserve">Автосоздано правилом/пользователем 2</x:t>
        </x:is>
      </x:c>
    </x:row>
    <x:row r="66" ht="18" customHeight="1">
      <x:c r="A66" s="31" t="inlineStr">
        <x:is>
          <x:t xml:space="preserve">ЗД-00065</x:t>
        </x:is>
      </x:c>
      <x:c r="B66" s="31" t="n">
        <x:v>46165</x:v>
      </x:c>
      <x:c r="C66" s="31" t="n">
        <x:v>46179</x:v>
      </x:c>
      <x:c r="D66" s="31" t="inlineStr">
        <x:is>
          <x:t xml:space="preserve">Просрочена</x:t>
        </x:is>
      </x:c>
      <x:c r="E66" s="31" t="inlineStr">
        <x:is>
          <x:t xml:space="preserve">Высокий</x:t>
        </x:is>
      </x:c>
      <x:c r="F66" s="31" t="inlineStr">
        <x:is>
          <x:t xml:space="preserve">СОТР-099</x:t>
        </x:is>
      </x:c>
      <x:c r="G66" s="31" t="inlineStr">
        <x:is>
          <x:t xml:space="preserve">Производственное задание</x:t>
        </x:is>
      </x:c>
      <x:c r="H66" s="31" t="inlineStr">
        <x:is>
          <x:t xml:space="preserve">ПЗ-00109</x:t>
        </x:is>
      </x:c>
      <x:c r="I66" s="31" t="inlineStr">
        <x:is>
          <x:t xml:space="preserve">Проверить дефицит материалов</x:t>
        </x:is>
      </x:c>
      <x:c r="J66" s="31" t="inlineStr">
        <x:is>
          <x:t xml:space="preserve">Снабжение</x:t>
        </x:is>
      </x:c>
      <x:c r="K66" s="31" t="n">
        <x:v>6</x:v>
      </x:c>
      <x:c r="L66" s="31" t="inlineStr">
        <x:is>
          <x:t xml:space="preserve">Нет</x:t>
        </x:is>
      </x:c>
      <x:c r="M66" s="31" t="inlineStr">
        <x:is>
          <x:t xml:space="preserve">Нет</x:t>
        </x:is>
      </x:c>
      <x:c r="N66" s="31" t="inlineStr">
        <x:is>
          <x:t xml:space="preserve">Автосоздано правилом/пользователем 7</x:t>
        </x:is>
      </x:c>
    </x:row>
    <x:row r="67" ht="18" customHeight="1">
      <x:c r="A67" s="31" t="inlineStr">
        <x:is>
          <x:t xml:space="preserve">ЗД-00066</x:t>
        </x:is>
      </x:c>
      <x:c r="B67" s="31" t="n">
        <x:v>46149</x:v>
      </x:c>
      <x:c r="C67" s="31" t="n">
        <x:v>46154</x:v>
      </x:c>
      <x:c r="D67" s="31" t="inlineStr">
        <x:is>
          <x:t xml:space="preserve">Просрочена</x:t>
        </x:is>
      </x:c>
      <x:c r="E67" s="31" t="inlineStr">
        <x:is>
          <x:t xml:space="preserve">Срочный</x:t>
        </x:is>
      </x:c>
      <x:c r="F67" s="31" t="inlineStr">
        <x:is>
          <x:t xml:space="preserve">СОТР-026</x:t>
        </x:is>
      </x:c>
      <x:c r="G67" s="31" t="inlineStr">
        <x:is>
          <x:t xml:space="preserve">Закупка</x:t>
        </x:is>
      </x:c>
      <x:c r="H67" s="31" t="inlineStr">
        <x:is>
          <x:t xml:space="preserve">ЗЗ-00030</x:t>
        </x:is>
      </x:c>
      <x:c r="I67" s="31" t="inlineStr">
        <x:is>
          <x:t xml:space="preserve">Запросить срок поставки</x:t>
        </x:is>
      </x:c>
      <x:c r="J67" s="31" t="inlineStr">
        <x:is>
          <x:t xml:space="preserve">Снабжение</x:t>
        </x:is>
      </x:c>
      <x:c r="K67" s="31" t="n">
        <x:v>31</x:v>
      </x:c>
      <x:c r="L67" s="31" t="inlineStr">
        <x:is>
          <x:t xml:space="preserve">Нет</x:t>
        </x:is>
      </x:c>
      <x:c r="M67" s="31" t="inlineStr">
        <x:is>
          <x:t xml:space="preserve">Нет</x:t>
        </x:is>
      </x:c>
      <x:c r="N67" s="31" t="inlineStr">
        <x:is>
          <x:t xml:space="preserve">Автосоздано правилом/пользователем 3</x:t>
        </x:is>
      </x:c>
    </x:row>
    <x:row r="68" ht="18" customHeight="1">
      <x:c r="A68" s="31" t="inlineStr">
        <x:is>
          <x:t xml:space="preserve">ЗД-00067</x:t>
        </x:is>
      </x:c>
      <x:c r="B68" s="31" t="n">
        <x:v>46184</x:v>
      </x:c>
      <x:c r="C68" s="31" t="n">
        <x:v>46189</x:v>
      </x:c>
      <x:c r="D68" s="31" t="inlineStr">
        <x:is>
          <x:t xml:space="preserve">Выполнена</x:t>
        </x:is>
      </x:c>
      <x:c r="E68" s="31" t="inlineStr">
        <x:is>
          <x:t xml:space="preserve">Средний</x:t>
        </x:is>
      </x:c>
      <x:c r="F68" s="31" t="inlineStr">
        <x:is>
          <x:t xml:space="preserve">СОТР-026</x:t>
        </x:is>
      </x:c>
      <x:c r="G68" s="31" t="inlineStr">
        <x:is>
          <x:t xml:space="preserve">Заказ</x:t>
        </x:is>
      </x:c>
      <x:c r="H68" s="31" t="inlineStr">
        <x:is>
          <x:t xml:space="preserve">ЗК-1109</x:t>
        </x:is>
      </x:c>
      <x:c r="I68" s="31" t="inlineStr">
        <x:is>
          <x:t xml:space="preserve">Подготовить КП</x:t>
        </x:is>
      </x:c>
      <x:c r="J68" s="31" t="inlineStr">
        <x:is>
          <x:t xml:space="preserve">Производство</x:t>
        </x:is>
      </x:c>
      <x:c r="K68" s="31" t="n">
        <x:v>0</x:v>
      </x:c>
      <x:c r="L68" s="31" t="inlineStr">
        <x:is>
          <x:t xml:space="preserve">Нет</x:t>
        </x:is>
      </x:c>
      <x:c r="M68" s="31" t="inlineStr">
        <x:is>
          <x:t xml:space="preserve">Нет</x:t>
        </x:is>
      </x:c>
      <x:c r="N68" s="31" t="inlineStr">
        <x:is>
          <x:t xml:space="preserve">Автосоздано правилом/пользователем 4</x:t>
        </x:is>
      </x:c>
    </x:row>
    <x:row r="69" ht="18" customHeight="1">
      <x:c r="A69" s="31" t="inlineStr">
        <x:is>
          <x:t xml:space="preserve">ЗД-00068</x:t>
        </x:is>
      </x:c>
      <x:c r="B69" s="31" t="n">
        <x:v>46112</x:v>
      </x:c>
      <x:c r="C69" s="31" t="n">
        <x:v>46114</x:v>
      </x:c>
      <x:c r="D69" s="31" t="inlineStr">
        <x:is>
          <x:t xml:space="preserve">Новая</x:t>
        </x:is>
      </x:c>
      <x:c r="E69" s="31" t="inlineStr">
        <x:is>
          <x:t xml:space="preserve">Высокий</x:t>
        </x:is>
      </x:c>
      <x:c r="F69" s="31" t="inlineStr">
        <x:is>
          <x:t xml:space="preserve">СОТР-076</x:t>
        </x:is>
      </x:c>
      <x:c r="G69" s="31" t="inlineStr">
        <x:is>
          <x:t xml:space="preserve">Счет</x:t>
        </x:is>
      </x:c>
      <x:c r="H69" s="31" t="inlineStr">
        <x:is>
          <x:t xml:space="preserve">СЧ-1004-1</x:t>
        </x:is>
      </x:c>
      <x:c r="I69" s="31" t="inlineStr">
        <x:is>
          <x:t xml:space="preserve">Согласовать отгрузку при ДЗ</x:t>
        </x:is>
      </x:c>
      <x:c r="J69" s="31" t="inlineStr">
        <x:is>
          <x:t xml:space="preserve">Продажи</x:t>
        </x:is>
      </x:c>
      <x:c r="K69" s="31" t="n">
        <x:v>0</x:v>
      </x:c>
      <x:c r="L69" s="31" t="inlineStr">
        <x:is>
          <x:t xml:space="preserve">Нет</x:t>
        </x:is>
      </x:c>
      <x:c r="M69" s="31" t="inlineStr">
        <x:is>
          <x:t xml:space="preserve">Нет</x:t>
        </x:is>
      </x:c>
      <x:c r="N69" s="31" t="inlineStr">
        <x:is>
          <x:t xml:space="preserve">Автосоздано правилом/пользователем 5</x:t>
        </x:is>
      </x:c>
    </x:row>
    <x:row r="70" ht="18" customHeight="1">
      <x:c r="A70" s="31" t="inlineStr">
        <x:is>
          <x:t xml:space="preserve">ЗД-00069</x:t>
        </x:is>
      </x:c>
      <x:c r="B70" s="31" t="n">
        <x:v>46116</x:v>
      </x:c>
      <x:c r="C70" s="31" t="n">
        <x:v>46126</x:v>
      </x:c>
      <x:c r="D70" s="31" t="inlineStr">
        <x:is>
          <x:t xml:space="preserve">Выполнена</x:t>
        </x:is>
      </x:c>
      <x:c r="E70" s="31" t="inlineStr">
        <x:is>
          <x:t xml:space="preserve">Высокий</x:t>
        </x:is>
      </x:c>
      <x:c r="F70" s="31" t="inlineStr">
        <x:is>
          <x:t xml:space="preserve">СОТР-043</x:t>
        </x:is>
      </x:c>
      <x:c r="G70" s="31" t="inlineStr">
        <x:is>
          <x:t xml:space="preserve">Производственное задание</x:t>
        </x:is>
      </x:c>
      <x:c r="H70" s="31" t="inlineStr">
        <x:is>
          <x:t xml:space="preserve">ПЗ-00133</x:t>
        </x:is>
      </x:c>
      <x:c r="I70" s="31" t="inlineStr">
        <x:is>
          <x:t xml:space="preserve">Обновить готовность</x:t>
        </x:is>
      </x:c>
      <x:c r="J70" s="31" t="inlineStr">
        <x:is>
          <x:t xml:space="preserve">Производство</x:t>
        </x:is>
      </x:c>
      <x:c r="K70" s="31" t="n">
        <x:v>0</x:v>
      </x:c>
      <x:c r="L70" s="31" t="inlineStr">
        <x:is>
          <x:t xml:space="preserve">Нет</x:t>
        </x:is>
      </x:c>
      <x:c r="M70" s="31" t="inlineStr">
        <x:is>
          <x:t xml:space="preserve">Заказчик</x:t>
        </x:is>
      </x:c>
      <x:c r="N70" s="31" t="inlineStr">
        <x:is>
          <x:t xml:space="preserve">Автосоздано правилом/пользователем 2</x:t>
        </x:is>
      </x:c>
    </x:row>
    <x:row r="71" ht="18" customHeight="1">
      <x:c r="A71" s="31" t="inlineStr">
        <x:is>
          <x:t xml:space="preserve">ЗД-00070</x:t>
        </x:is>
      </x:c>
      <x:c r="B71" s="31" t="n">
        <x:v>46111</x:v>
      </x:c>
      <x:c r="C71" s="31" t="n">
        <x:v>46118</x:v>
      </x:c>
      <x:c r="D71" s="31" t="inlineStr">
        <x:is>
          <x:t xml:space="preserve">Просрочена</x:t>
        </x:is>
      </x:c>
      <x:c r="E71" s="31" t="inlineStr">
        <x:is>
          <x:t xml:space="preserve">Срочный</x:t>
        </x:is>
      </x:c>
      <x:c r="F71" s="31" t="inlineStr">
        <x:is>
          <x:t xml:space="preserve">СОТР-026</x:t>
        </x:is>
      </x:c>
      <x:c r="G71" s="31" t="inlineStr">
        <x:is>
          <x:t xml:space="preserve">Закупка</x:t>
        </x:is>
      </x:c>
      <x:c r="H71" s="31" t="inlineStr">
        <x:is>
          <x:t xml:space="preserve">ЗЗ-00003</x:t>
        </x:is>
      </x:c>
      <x:c r="I71" s="31" t="inlineStr">
        <x:is>
          <x:t xml:space="preserve">Проверить альтернативного поставщика</x:t>
        </x:is>
      </x:c>
      <x:c r="J71" s="31" t="inlineStr">
        <x:is>
          <x:t xml:space="preserve">Финансы</x:t>
        </x:is>
      </x:c>
      <x:c r="K71" s="31" t="n">
        <x:v>67</x:v>
      </x:c>
      <x:c r="L71" s="31" t="inlineStr">
        <x:is>
          <x:t xml:space="preserve">Нет</x:t>
        </x:is>
      </x:c>
      <x:c r="M71" s="31" t="inlineStr">
        <x:is>
          <x:t xml:space="preserve">Нет</x:t>
        </x:is>
      </x:c>
      <x:c r="N71" s="31" t="inlineStr">
        <x:is>
          <x:t xml:space="preserve">Автосоздано правилом/пользователем 8</x:t>
        </x:is>
      </x:c>
    </x:row>
    <x:row r="72" ht="18" customHeight="1">
      <x:c r="A72" s="31" t="inlineStr">
        <x:is>
          <x:t xml:space="preserve">ЗД-00071</x:t>
        </x:is>
      </x:c>
      <x:c r="B72" s="31" t="n">
        <x:v>46178</x:v>
      </x:c>
      <x:c r="C72" s="31" t="n">
        <x:v>46181</x:v>
      </x:c>
      <x:c r="D72" s="31" t="inlineStr">
        <x:is>
          <x:t xml:space="preserve">В работе</x:t>
        </x:is>
      </x:c>
      <x:c r="E72" s="31" t="inlineStr">
        <x:is>
          <x:t xml:space="preserve">Средний</x:t>
        </x:is>
      </x:c>
      <x:c r="F72" s="31" t="inlineStr">
        <x:is>
          <x:t xml:space="preserve">СОТР-100</x:t>
        </x:is>
      </x:c>
      <x:c r="G72" s="31" t="inlineStr">
        <x:is>
          <x:t xml:space="preserve">Производственное задание</x:t>
        </x:is>
      </x:c>
      <x:c r="H72" s="31" t="inlineStr">
        <x:is>
          <x:t xml:space="preserve">ПЗ-00021</x:t>
        </x:is>
      </x:c>
      <x:c r="I72" s="31" t="inlineStr">
        <x:is>
          <x:t xml:space="preserve">Проверить дефицит материалов</x:t>
        </x:is>
      </x:c>
      <x:c r="J72" s="31" t="inlineStr">
        <x:is>
          <x:t xml:space="preserve">Финансы</x:t>
        </x:is>
      </x:c>
      <x:c r="K72" s="31" t="n">
        <x:v>0</x:v>
      </x:c>
      <x:c r="L72" s="31" t="inlineStr">
        <x:is>
          <x:t xml:space="preserve">Нет</x:t>
        </x:is>
      </x:c>
      <x:c r="M72" s="31" t="inlineStr">
        <x:is>
          <x:t xml:space="preserve">Нет</x:t>
        </x:is>
      </x:c>
      <x:c r="N72" s="31" t="inlineStr">
        <x:is>
          <x:t xml:space="preserve">Автосоздано правилом/пользователем 4</x:t>
        </x:is>
      </x:c>
    </x:row>
    <x:row r="73" ht="18" customHeight="1">
      <x:c r="A73" s="31" t="inlineStr">
        <x:is>
          <x:t xml:space="preserve">ЗД-00072</x:t>
        </x:is>
      </x:c>
      <x:c r="B73" s="31" t="n">
        <x:v>46185</x:v>
      </x:c>
      <x:c r="C73" s="31" t="n">
        <x:v>46188</x:v>
      </x:c>
      <x:c r="D73" s="31" t="inlineStr">
        <x:is>
          <x:t xml:space="preserve">Выполнена</x:t>
        </x:is>
      </x:c>
      <x:c r="E73" s="31" t="inlineStr">
        <x:is>
          <x:t xml:space="preserve">Средний</x:t>
        </x:is>
      </x:c>
      <x:c r="F73" s="31" t="inlineStr">
        <x:is>
          <x:t xml:space="preserve">СОТР-022</x:t>
        </x:is>
      </x:c>
      <x:c r="G73" s="31" t="inlineStr">
        <x:is>
          <x:t xml:space="preserve">Закупка</x:t>
        </x:is>
      </x:c>
      <x:c r="H73" s="31" t="inlineStr">
        <x:is>
          <x:t xml:space="preserve">ЗЗ-00046</x:t>
        </x:is>
      </x:c>
      <x:c r="I73" s="31" t="inlineStr">
        <x:is>
          <x:t xml:space="preserve">Проверить альтернативного поставщика</x:t>
        </x:is>
      </x:c>
      <x:c r="J73" s="31" t="inlineStr">
        <x:is>
          <x:t xml:space="preserve">Производство</x:t>
        </x:is>
      </x:c>
      <x:c r="K73" s="31" t="n">
        <x:v>0</x:v>
      </x:c>
      <x:c r="L73" s="31" t="inlineStr">
        <x:is>
          <x:t xml:space="preserve">Нет</x:t>
        </x:is>
      </x:c>
      <x:c r="M73" s="31" t="inlineStr">
        <x:is>
          <x:t xml:space="preserve">Нет</x:t>
        </x:is>
      </x:c>
      <x:c r="N73" s="31" t="inlineStr">
        <x:is>
          <x:t xml:space="preserve">Автосоздано правилом/пользователем 6</x:t>
        </x:is>
      </x:c>
    </x:row>
    <x:row r="74" ht="18" customHeight="1">
      <x:c r="A74" s="31" t="inlineStr">
        <x:is>
          <x:t xml:space="preserve">ЗД-00073</x:t>
        </x:is>
      </x:c>
      <x:c r="B74" s="31" t="n">
        <x:v>46177</x:v>
      </x:c>
      <x:c r="C74" s="31" t="n">
        <x:v>46191</x:v>
      </x:c>
      <x:c r="D74" s="31" t="inlineStr">
        <x:is>
          <x:t xml:space="preserve">В работе</x:t>
        </x:is>
      </x:c>
      <x:c r="E74" s="31" t="inlineStr">
        <x:is>
          <x:t xml:space="preserve">Средний</x:t>
        </x:is>
      </x:c>
      <x:c r="F74" s="31" t="inlineStr">
        <x:is>
          <x:t xml:space="preserve">СОТР-076</x:t>
        </x:is>
      </x:c>
      <x:c r="G74" s="31" t="inlineStr">
        <x:is>
          <x:t xml:space="preserve">Счет</x:t>
        </x:is>
      </x:c>
      <x:c r="H74" s="31" t="inlineStr">
        <x:is>
          <x:t xml:space="preserve">СЧ-1094-1</x:t>
        </x:is>
      </x:c>
      <x:c r="I74" s="31" t="inlineStr">
        <x:is>
          <x:t xml:space="preserve">Согласовать отгрузку при ДЗ</x:t>
        </x:is>
      </x:c>
      <x:c r="J74" s="31" t="inlineStr">
        <x:is>
          <x:t xml:space="preserve">Продажи</x:t>
        </x:is>
      </x:c>
      <x:c r="K74" s="31" t="n">
        <x:v>0</x:v>
      </x:c>
      <x:c r="L74" s="31" t="inlineStr">
        <x:is>
          <x:t xml:space="preserve">Нет</x:t>
        </x:is>
      </x:c>
      <x:c r="M74" s="31" t="inlineStr">
        <x:is>
          <x:t xml:space="preserve">Нет</x:t>
        </x:is>
      </x:c>
      <x:c r="N74" s="31" t="inlineStr">
        <x:is>
          <x:t xml:space="preserve">Автосоздано правилом/пользователем 9</x:t>
        </x:is>
      </x:c>
    </x:row>
    <x:row r="75" ht="18" customHeight="1">
      <x:c r="A75" s="31" t="inlineStr">
        <x:is>
          <x:t xml:space="preserve">ЗД-00074</x:t>
        </x:is>
      </x:c>
      <x:c r="B75" s="31" t="n">
        <x:v>46137</x:v>
      </x:c>
      <x:c r="C75" s="31" t="n">
        <x:v>46140</x:v>
      </x:c>
      <x:c r="D75" s="31" t="inlineStr">
        <x:is>
          <x:t xml:space="preserve">Выполнена</x:t>
        </x:is>
      </x:c>
      <x:c r="E75" s="31" t="inlineStr">
        <x:is>
          <x:t xml:space="preserve">Высокий</x:t>
        </x:is>
      </x:c>
      <x:c r="F75" s="31" t="inlineStr">
        <x:is>
          <x:t xml:space="preserve">СОТР-033</x:t>
        </x:is>
      </x:c>
      <x:c r="G75" s="31" t="inlineStr">
        <x:is>
          <x:t xml:space="preserve">ОТК</x:t>
        </x:is>
      </x:c>
      <x:c r="H75" s="31" t="inlineStr">
        <x:is>
          <x:t xml:space="preserve">ОТК-00089</x:t>
        </x:is>
      </x:c>
      <x:c r="I75" s="31" t="inlineStr">
        <x:is>
          <x:t xml:space="preserve">Проверить доработку</x:t>
        </x:is>
      </x:c>
      <x:c r="J75" s="31" t="inlineStr">
        <x:is>
          <x:t xml:space="preserve">ОТК</x:t>
        </x:is>
      </x:c>
      <x:c r="K75" s="31" t="n">
        <x:v>0</x:v>
      </x:c>
      <x:c r="L75" s="31" t="inlineStr">
        <x:is>
          <x:t xml:space="preserve">Да</x:t>
        </x:is>
      </x:c>
      <x:c r="M75" s="31" t="inlineStr">
        <x:is>
          <x:t xml:space="preserve">Руководитель</x:t>
        </x:is>
      </x:c>
      <x:c r="N75" s="31" t="inlineStr">
        <x:is>
          <x:t xml:space="preserve">Автосоздано правилом/пользователем 8</x:t>
        </x:is>
      </x:c>
    </x:row>
    <x:row r="76" ht="18" customHeight="1">
      <x:c r="A76" s="31" t="inlineStr">
        <x:is>
          <x:t xml:space="preserve">ЗД-00075</x:t>
        </x:is>
      </x:c>
      <x:c r="B76" s="31" t="n">
        <x:v>46176</x:v>
      </x:c>
      <x:c r="C76" s="31" t="n">
        <x:v>46178</x:v>
      </x:c>
      <x:c r="D76" s="31" t="inlineStr">
        <x:is>
          <x:t xml:space="preserve">Выполнена</x:t>
        </x:is>
      </x:c>
      <x:c r="E76" s="31" t="inlineStr">
        <x:is>
          <x:t xml:space="preserve">Низкий</x:t>
        </x:is>
      </x:c>
      <x:c r="F76" s="31" t="inlineStr">
        <x:is>
          <x:t xml:space="preserve">СОТР-025</x:t>
        </x:is>
      </x:c>
      <x:c r="G76" s="31" t="inlineStr">
        <x:is>
          <x:t xml:space="preserve">Закупка</x:t>
        </x:is>
      </x:c>
      <x:c r="H76" s="31" t="inlineStr">
        <x:is>
          <x:t xml:space="preserve">ЗЗ-00035</x:t>
        </x:is>
      </x:c>
      <x:c r="I76" s="31" t="inlineStr">
        <x:is>
          <x:t xml:space="preserve">Уточнить сертификаты</x:t>
        </x:is>
      </x:c>
      <x:c r="J76" s="31" t="inlineStr">
        <x:is>
          <x:t xml:space="preserve">Финансы</x:t>
        </x:is>
      </x:c>
      <x:c r="K76" s="31" t="n">
        <x:v>0</x:v>
      </x:c>
      <x:c r="L76" s="31" t="inlineStr">
        <x:is>
          <x:t xml:space="preserve">Нет</x:t>
        </x:is>
      </x:c>
      <x:c r="M76" s="31" t="inlineStr">
        <x:is>
          <x:t xml:space="preserve">Нет</x:t>
        </x:is>
      </x:c>
      <x:c r="N76" s="31" t="inlineStr">
        <x:is>
          <x:t xml:space="preserve">Автосоздано правилом/пользователем 5</x:t>
        </x:is>
      </x:c>
    </x:row>
    <x:row r="77" ht="18" customHeight="1">
      <x:c r="A77" s="31" t="inlineStr">
        <x:is>
          <x:t xml:space="preserve">ЗД-00076</x:t>
        </x:is>
      </x:c>
      <x:c r="B77" s="31" t="n">
        <x:v>46158</x:v>
      </x:c>
      <x:c r="C77" s="31" t="n">
        <x:v>46163</x:v>
      </x:c>
      <x:c r="D77" s="31" t="inlineStr">
        <x:is>
          <x:t xml:space="preserve">В работе</x:t>
        </x:is>
      </x:c>
      <x:c r="E77" s="31" t="inlineStr">
        <x:is>
          <x:t xml:space="preserve">Средний</x:t>
        </x:is>
      </x:c>
      <x:c r="F77" s="31" t="inlineStr">
        <x:is>
          <x:t xml:space="preserve">СОТР-026</x:t>
        </x:is>
      </x:c>
      <x:c r="G77" s="31" t="inlineStr">
        <x:is>
          <x:t xml:space="preserve">Закупка</x:t>
        </x:is>
      </x:c>
      <x:c r="H77" s="31" t="inlineStr">
        <x:is>
          <x:t xml:space="preserve">ЗЗ-00003</x:t>
        </x:is>
      </x:c>
      <x:c r="I77" s="31" t="inlineStr">
        <x:is>
          <x:t xml:space="preserve">Уточнить сертификаты</x:t>
        </x:is>
      </x:c>
      <x:c r="J77" s="31" t="inlineStr">
        <x:is>
          <x:t xml:space="preserve">Финансы</x:t>
        </x:is>
      </x:c>
      <x:c r="K77" s="31" t="n">
        <x:v>0</x:v>
      </x:c>
      <x:c r="L77" s="31" t="inlineStr">
        <x:is>
          <x:t xml:space="preserve">Нет</x:t>
        </x:is>
      </x:c>
      <x:c r="M77" s="31" t="inlineStr">
        <x:is>
          <x:t xml:space="preserve">Нет</x:t>
        </x:is>
      </x:c>
      <x:c r="N77" s="31" t="inlineStr">
        <x:is>
          <x:t xml:space="preserve">Автосоздано правилом/пользователем 3</x:t>
        </x:is>
      </x:c>
    </x:row>
    <x:row r="78" ht="18" customHeight="1">
      <x:c r="A78" s="31" t="inlineStr">
        <x:is>
          <x:t xml:space="preserve">ЗД-00077</x:t>
        </x:is>
      </x:c>
      <x:c r="B78" s="31" t="n">
        <x:v>46164</x:v>
      </x:c>
      <x:c r="C78" s="31" t="n">
        <x:v>46167</x:v>
      </x:c>
      <x:c r="D78" s="31" t="inlineStr">
        <x:is>
          <x:t xml:space="preserve">Выполнена</x:t>
        </x:is>
      </x:c>
      <x:c r="E78" s="31" t="inlineStr">
        <x:is>
          <x:t xml:space="preserve">Срочный</x:t>
        </x:is>
      </x:c>
      <x:c r="F78" s="31" t="inlineStr">
        <x:is>
          <x:t xml:space="preserve">СОТР-100</x:t>
        </x:is>
      </x:c>
      <x:c r="G78" s="31" t="inlineStr">
        <x:is>
          <x:t xml:space="preserve">Производственное задание</x:t>
        </x:is>
      </x:c>
      <x:c r="H78" s="31" t="inlineStr">
        <x:is>
          <x:t xml:space="preserve">ПЗ-00038</x:t>
        </x:is>
      </x:c>
      <x:c r="I78" s="31" t="inlineStr">
        <x:is>
          <x:t xml:space="preserve">Закрыть сменный факт</x:t>
        </x:is>
      </x:c>
      <x:c r="J78" s="31" t="inlineStr">
        <x:is>
          <x:t xml:space="preserve">Финансы</x:t>
        </x:is>
      </x:c>
      <x:c r="K78" s="31" t="n">
        <x:v>0</x:v>
      </x:c>
      <x:c r="L78" s="31" t="inlineStr">
        <x:is>
          <x:t xml:space="preserve">Нет</x:t>
        </x:is>
      </x:c>
      <x:c r="M78" s="31" t="inlineStr">
        <x:is>
          <x:t xml:space="preserve">Нет</x:t>
        </x:is>
      </x:c>
      <x:c r="N78" s="31" t="inlineStr">
        <x:is>
          <x:t xml:space="preserve">Автосоздано правилом/пользователем 5</x:t>
        </x:is>
      </x:c>
    </x:row>
    <x:row r="79" ht="18" customHeight="1">
      <x:c r="A79" s="31" t="inlineStr">
        <x:is>
          <x:t xml:space="preserve">ЗД-00078</x:t>
        </x:is>
      </x:c>
      <x:c r="B79" s="31" t="n">
        <x:v>46149</x:v>
      </x:c>
      <x:c r="C79" s="31" t="n">
        <x:v>46154</x:v>
      </x:c>
      <x:c r="D79" s="31" t="inlineStr">
        <x:is>
          <x:t xml:space="preserve">Просрочена</x:t>
        </x:is>
      </x:c>
      <x:c r="E79" s="31" t="inlineStr">
        <x:is>
          <x:t xml:space="preserve">Высокий</x:t>
        </x:is>
      </x:c>
      <x:c r="F79" s="31" t="inlineStr">
        <x:is>
          <x:t xml:space="preserve">СОТР-095</x:t>
        </x:is>
      </x:c>
      <x:c r="G79" s="31" t="inlineStr">
        <x:is>
          <x:t xml:space="preserve">ОТК</x:t>
        </x:is>
      </x:c>
      <x:c r="H79" s="31" t="inlineStr">
        <x:is>
          <x:t xml:space="preserve">ОТК-00182</x:t>
        </x:is>
      </x:c>
      <x:c r="I79" s="31" t="inlineStr">
        <x:is>
          <x:t xml:space="preserve">Согласовать приемку с замечаниями</x:t>
        </x:is>
      </x:c>
      <x:c r="J79" s="31" t="inlineStr">
        <x:is>
          <x:t xml:space="preserve">Сервис</x:t>
        </x:is>
      </x:c>
      <x:c r="K79" s="31" t="n">
        <x:v>31</x:v>
      </x:c>
      <x:c r="L79" s="31" t="inlineStr">
        <x:is>
          <x:t xml:space="preserve">Да</x:t>
        </x:is>
      </x:c>
      <x:c r="M79" s="31" t="inlineStr">
        <x:is>
          <x:t xml:space="preserve">Нет</x:t>
        </x:is>
      </x:c>
      <x:c r="N79" s="31" t="inlineStr">
        <x:is>
          <x:t xml:space="preserve">Автосоздано правилом/пользователем 2</x:t>
        </x:is>
      </x:c>
    </x:row>
    <x:row r="80" ht="18" customHeight="1">
      <x:c r="A80" s="31" t="inlineStr">
        <x:is>
          <x:t xml:space="preserve">ЗД-00079</x:t>
        </x:is>
      </x:c>
      <x:c r="B80" s="31" t="n">
        <x:v>46158</x:v>
      </x:c>
      <x:c r="C80" s="31" t="n">
        <x:v>46172</x:v>
      </x:c>
      <x:c r="D80" s="31" t="inlineStr">
        <x:is>
          <x:t xml:space="preserve">В работе</x:t>
        </x:is>
      </x:c>
      <x:c r="E80" s="31" t="inlineStr">
        <x:is>
          <x:t xml:space="preserve">Низкий</x:t>
        </x:is>
      </x:c>
      <x:c r="F80" s="31" t="inlineStr">
        <x:is>
          <x:t xml:space="preserve">СОТР-096</x:t>
        </x:is>
      </x:c>
      <x:c r="G80" s="31" t="inlineStr">
        <x:is>
          <x:t xml:space="preserve">ОТК</x:t>
        </x:is>
      </x:c>
      <x:c r="H80" s="31" t="inlineStr">
        <x:is>
          <x:t xml:space="preserve">ОТК-00020</x:t>
        </x:is>
      </x:c>
      <x:c r="I80" s="31" t="inlineStr">
        <x:is>
          <x:t xml:space="preserve">Согласовать приемку с замечаниями</x:t>
        </x:is>
      </x:c>
      <x:c r="J80" s="31" t="inlineStr">
        <x:is>
          <x:t xml:space="preserve">Производство</x:t>
        </x:is>
      </x:c>
      <x:c r="K80" s="31" t="n">
        <x:v>0</x:v>
      </x:c>
      <x:c r="L80" s="31" t="inlineStr">
        <x:is>
          <x:t xml:space="preserve">Да</x:t>
        </x:is>
      </x:c>
      <x:c r="M80" s="31" t="inlineStr">
        <x:is>
          <x:t xml:space="preserve">Поставщик</x:t>
        </x:is>
      </x:c>
      <x:c r="N80" s="31" t="inlineStr">
        <x:is>
          <x:t xml:space="preserve">Автосоздано правилом/пользователем 10</x:t>
        </x:is>
      </x:c>
    </x:row>
    <x:row r="81" ht="18" customHeight="1">
      <x:c r="A81" s="31" t="inlineStr">
        <x:is>
          <x:t xml:space="preserve">ЗД-00080</x:t>
        </x:is>
      </x:c>
      <x:c r="B81" s="31" t="n">
        <x:v>46114</x:v>
      </x:c>
      <x:c r="C81" s="31" t="n">
        <x:v>46119</x:v>
      </x:c>
      <x:c r="D81" s="31" t="inlineStr">
        <x:is>
          <x:t xml:space="preserve">Выполнена</x:t>
        </x:is>
      </x:c>
      <x:c r="E81" s="31" t="inlineStr">
        <x:is>
          <x:t xml:space="preserve">Средний</x:t>
        </x:is>
      </x:c>
      <x:c r="F81" s="31" t="inlineStr">
        <x:is>
          <x:t xml:space="preserve">СОТР-028</x:t>
        </x:is>
      </x:c>
      <x:c r="G81" s="31" t="inlineStr">
        <x:is>
          <x:t xml:space="preserve">Закупка</x:t>
        </x:is>
      </x:c>
      <x:c r="H81" s="31" t="inlineStr">
        <x:is>
          <x:t xml:space="preserve">ЗЗ-00034</x:t>
        </x:is>
      </x:c>
      <x:c r="I81" s="31" t="inlineStr">
        <x:is>
          <x:t xml:space="preserve">Проверить альтернативного поставщика</x:t>
        </x:is>
      </x:c>
      <x:c r="J81" s="31" t="inlineStr">
        <x:is>
          <x:t xml:space="preserve">Продажи</x:t>
        </x:is>
      </x:c>
      <x:c r="K81" s="31" t="n">
        <x:v>0</x:v>
      </x:c>
      <x:c r="L81" s="31" t="inlineStr">
        <x:is>
          <x:t xml:space="preserve">Нет</x:t>
        </x:is>
      </x:c>
      <x:c r="M81" s="31" t="inlineStr">
        <x:is>
          <x:t xml:space="preserve">Нет</x:t>
        </x:is>
      </x:c>
      <x:c r="N81" s="31" t="inlineStr">
        <x:is>
          <x:t xml:space="preserve">Автосоздано правилом/пользователем 9</x:t>
        </x:is>
      </x:c>
    </x:row>
    <x:row r="82" ht="18" customHeight="1">
      <x:c r="A82" s="31" t="inlineStr">
        <x:is>
          <x:t xml:space="preserve">ЗД-00081</x:t>
        </x:is>
      </x:c>
      <x:c r="B82" s="31" t="n">
        <x:v>46139</x:v>
      </x:c>
      <x:c r="C82" s="31" t="n">
        <x:v>46142</x:v>
      </x:c>
      <x:c r="D82" s="31" t="inlineStr">
        <x:is>
          <x:t xml:space="preserve">Просрочена</x:t>
        </x:is>
      </x:c>
      <x:c r="E82" s="31" t="inlineStr">
        <x:is>
          <x:t xml:space="preserve">Высокий</x:t>
        </x:is>
      </x:c>
      <x:c r="F82" s="31" t="inlineStr">
        <x:is>
          <x:t xml:space="preserve">СОТР-053</x:t>
        </x:is>
      </x:c>
      <x:c r="G82" s="31" t="inlineStr">
        <x:is>
          <x:t xml:space="preserve">Производственное задание</x:t>
        </x:is>
      </x:c>
      <x:c r="H82" s="31" t="inlineStr">
        <x:is>
          <x:t xml:space="preserve">ПЗ-00064</x:t>
        </x:is>
      </x:c>
      <x:c r="I82" s="31" t="inlineStr">
        <x:is>
          <x:t xml:space="preserve">Проверить дефицит материалов</x:t>
        </x:is>
      </x:c>
      <x:c r="J82" s="31" t="inlineStr">
        <x:is>
          <x:t xml:space="preserve">Сервис</x:t>
        </x:is>
      </x:c>
      <x:c r="K82" s="31" t="n">
        <x:v>43</x:v>
      </x:c>
      <x:c r="L82" s="31" t="inlineStr">
        <x:is>
          <x:t xml:space="preserve">Нет</x:t>
        </x:is>
      </x:c>
      <x:c r="M82" s="31" t="inlineStr">
        <x:is>
          <x:t xml:space="preserve">Нет</x:t>
        </x:is>
      </x:c>
      <x:c r="N82" s="31" t="inlineStr">
        <x:is>
          <x:t xml:space="preserve">Автосоздано правилом/пользователем 2</x:t>
        </x:is>
      </x:c>
    </x:row>
    <x:row r="83" ht="18" customHeight="1">
      <x:c r="A83" s="31" t="inlineStr">
        <x:is>
          <x:t xml:space="preserve">ЗД-00082</x:t>
        </x:is>
      </x:c>
      <x:c r="B83" s="31" t="n">
        <x:v>46138</x:v>
      </x:c>
      <x:c r="C83" s="31" t="n">
        <x:v>46139</x:v>
      </x:c>
      <x:c r="D83" s="31" t="inlineStr">
        <x:is>
          <x:t xml:space="preserve">Просрочена</x:t>
        </x:is>
      </x:c>
      <x:c r="E83" s="31" t="inlineStr">
        <x:is>
          <x:t xml:space="preserve">Средний</x:t>
        </x:is>
      </x:c>
      <x:c r="F83" s="31" t="inlineStr">
        <x:is>
          <x:t xml:space="preserve">СОТР-028</x:t>
        </x:is>
      </x:c>
      <x:c r="G83" s="31" t="inlineStr">
        <x:is>
          <x:t xml:space="preserve">Закупка</x:t>
        </x:is>
      </x:c>
      <x:c r="H83" s="31" t="inlineStr">
        <x:is>
          <x:t xml:space="preserve">ЗЗ-00004</x:t>
        </x:is>
      </x:c>
      <x:c r="I83" s="31" t="inlineStr">
        <x:is>
          <x:t xml:space="preserve">Запросить срок поставки</x:t>
        </x:is>
      </x:c>
      <x:c r="J83" s="31" t="inlineStr">
        <x:is>
          <x:t xml:space="preserve">Снабжение</x:t>
        </x:is>
      </x:c>
      <x:c r="K83" s="31" t="n">
        <x:v>46</x:v>
      </x:c>
      <x:c r="L83" s="31" t="inlineStr">
        <x:is>
          <x:t xml:space="preserve">Нет</x:t>
        </x:is>
      </x:c>
      <x:c r="M83" s="31" t="inlineStr">
        <x:is>
          <x:t xml:space="preserve">Нет</x:t>
        </x:is>
      </x:c>
      <x:c r="N83" s="31" t="inlineStr">
        <x:is>
          <x:t xml:space="preserve">Автосоздано правилом/пользователем 10</x:t>
        </x:is>
      </x:c>
    </x:row>
    <x:row r="84" ht="18" customHeight="1">
      <x:c r="A84" s="31" t="inlineStr">
        <x:is>
          <x:t xml:space="preserve">ЗД-00083</x:t>
        </x:is>
      </x:c>
      <x:c r="B84" s="31" t="n">
        <x:v>46114</x:v>
      </x:c>
      <x:c r="C84" s="31" t="n">
        <x:v>46115</x:v>
      </x:c>
      <x:c r="D84" s="31" t="inlineStr">
        <x:is>
          <x:t xml:space="preserve">В работе</x:t>
        </x:is>
      </x:c>
      <x:c r="E84" s="31" t="inlineStr">
        <x:is>
          <x:t xml:space="preserve">Средний</x:t>
        </x:is>
      </x:c>
      <x:c r="F84" s="31" t="inlineStr">
        <x:is>
          <x:t xml:space="preserve">СОТР-093</x:t>
        </x:is>
      </x:c>
      <x:c r="G84" s="31" t="inlineStr">
        <x:is>
          <x:t xml:space="preserve">ОТК</x:t>
        </x:is>
      </x:c>
      <x:c r="H84" s="31" t="inlineStr">
        <x:is>
          <x:t xml:space="preserve">ОТК-00042</x:t>
        </x:is>
      </x:c>
      <x:c r="I84" s="31" t="inlineStr">
        <x:is>
          <x:t xml:space="preserve">Заблокировать отгрузку</x:t>
        </x:is>
      </x:c>
      <x:c r="J84" s="31" t="inlineStr">
        <x:is>
          <x:t xml:space="preserve">Продажи</x:t>
        </x:is>
      </x:c>
      <x:c r="K84" s="31" t="n">
        <x:v>0</x:v>
      </x:c>
      <x:c r="L84" s="31" t="inlineStr">
        <x:is>
          <x:t xml:space="preserve">Нет</x:t>
        </x:is>
      </x:c>
      <x:c r="M84" s="31" t="inlineStr">
        <x:is>
          <x:t xml:space="preserve">Нет</x:t>
        </x:is>
      </x:c>
      <x:c r="N84" s="31" t="inlineStr">
        <x:is>
          <x:t xml:space="preserve">Автосоздано правилом/пользователем 4</x:t>
        </x:is>
      </x:c>
    </x:row>
    <x:row r="85" ht="18" customHeight="1">
      <x:c r="A85" s="31" t="inlineStr">
        <x:is>
          <x:t xml:space="preserve">ЗД-00084</x:t>
        </x:is>
      </x:c>
      <x:c r="B85" s="31" t="n">
        <x:v>46110</x:v>
      </x:c>
      <x:c r="C85" s="31" t="n">
        <x:v>46120</x:v>
      </x:c>
      <x:c r="D85" s="31" t="inlineStr">
        <x:is>
          <x:t xml:space="preserve">Просрочена</x:t>
        </x:is>
      </x:c>
      <x:c r="E85" s="31" t="inlineStr">
        <x:is>
          <x:t xml:space="preserve">Средний</x:t>
        </x:is>
      </x:c>
      <x:c r="F85" s="31" t="inlineStr">
        <x:is>
          <x:t xml:space="preserve">СОТР-097</x:t>
        </x:is>
      </x:c>
      <x:c r="G85" s="31" t="inlineStr">
        <x:is>
          <x:t xml:space="preserve">Производственное задание</x:t>
        </x:is>
      </x:c>
      <x:c r="H85" s="31" t="inlineStr">
        <x:is>
          <x:t xml:space="preserve">ПЗ-00076</x:t>
        </x:is>
      </x:c>
      <x:c r="I85" s="31" t="inlineStr">
        <x:is>
          <x:t xml:space="preserve">Назначить оператора</x:t>
        </x:is>
      </x:c>
      <x:c r="J85" s="31" t="inlineStr">
        <x:is>
          <x:t xml:space="preserve">Продажи</x:t>
        </x:is>
      </x:c>
      <x:c r="K85" s="31" t="n">
        <x:v>65</x:v>
      </x:c>
      <x:c r="L85" s="31" t="inlineStr">
        <x:is>
          <x:t xml:space="preserve">Нет</x:t>
        </x:is>
      </x:c>
      <x:c r="M85" s="31" t="inlineStr">
        <x:is>
          <x:t xml:space="preserve">Нет</x:t>
        </x:is>
      </x:c>
      <x:c r="N85" s="31" t="inlineStr">
        <x:is>
          <x:t xml:space="preserve">Автосоздано правилом/пользователем 12</x:t>
        </x:is>
      </x:c>
    </x:row>
    <x:row r="86" ht="18" customHeight="1">
      <x:c r="A86" s="31" t="inlineStr">
        <x:is>
          <x:t xml:space="preserve">ЗД-00085</x:t>
        </x:is>
      </x:c>
      <x:c r="B86" s="31" t="n">
        <x:v>46169</x:v>
      </x:c>
      <x:c r="C86" s="31" t="n">
        <x:v>46179</x:v>
      </x:c>
      <x:c r="D86" s="31" t="inlineStr">
        <x:is>
          <x:t xml:space="preserve">Просрочена</x:t>
        </x:is>
      </x:c>
      <x:c r="E86" s="31" t="inlineStr">
        <x:is>
          <x:t xml:space="preserve">Срочный</x:t>
        </x:is>
      </x:c>
      <x:c r="F86" s="31" t="inlineStr">
        <x:is>
          <x:t xml:space="preserve">СОТР-051</x:t>
        </x:is>
      </x:c>
      <x:c r="G86" s="31" t="inlineStr">
        <x:is>
          <x:t xml:space="preserve">Заказ</x:t>
        </x:is>
      </x:c>
      <x:c r="H86" s="31" t="inlineStr">
        <x:is>
          <x:t xml:space="preserve">ЗК-1102</x:t>
        </x:is>
      </x:c>
      <x:c r="I86" s="31" t="inlineStr">
        <x:is>
          <x:t xml:space="preserve">Подписать спецификацию</x:t>
        </x:is>
      </x:c>
      <x:c r="J86" s="31" t="inlineStr">
        <x:is>
          <x:t xml:space="preserve">Финансы</x:t>
        </x:is>
      </x:c>
      <x:c r="K86" s="31" t="n">
        <x:v>6</x:v>
      </x:c>
      <x:c r="L86" s="31" t="inlineStr">
        <x:is>
          <x:t xml:space="preserve">Да</x:t>
        </x:is>
      </x:c>
      <x:c r="M86" s="31" t="inlineStr">
        <x:is>
          <x:t xml:space="preserve">Нет</x:t>
        </x:is>
      </x:c>
      <x:c r="N86" s="31" t="inlineStr">
        <x:is>
          <x:t xml:space="preserve">Автосоздано правилом/пользователем 5</x:t>
        </x:is>
      </x:c>
    </x:row>
    <x:row r="87" ht="18" customHeight="1">
      <x:c r="A87" s="31" t="inlineStr">
        <x:is>
          <x:t xml:space="preserve">ЗД-00086</x:t>
        </x:is>
      </x:c>
      <x:c r="B87" s="31" t="n">
        <x:v>46181</x:v>
      </x:c>
      <x:c r="C87" s="31" t="n">
        <x:v>46195</x:v>
      </x:c>
      <x:c r="D87" s="31" t="inlineStr">
        <x:is>
          <x:t xml:space="preserve">Новая</x:t>
        </x:is>
      </x:c>
      <x:c r="E87" s="31" t="inlineStr">
        <x:is>
          <x:t xml:space="preserve">Средний</x:t>
        </x:is>
      </x:c>
      <x:c r="F87" s="31" t="inlineStr">
        <x:is>
          <x:t xml:space="preserve">СОТР-113</x:t>
        </x:is>
      </x:c>
      <x:c r="G87" s="31" t="inlineStr">
        <x:is>
          <x:t xml:space="preserve">Рекламация</x:t>
        </x:is>
      </x:c>
      <x:c r="H87" s="31" t="inlineStr">
        <x:is>
          <x:t xml:space="preserve">РЕК-00017</x:t>
        </x:is>
      </x:c>
      <x:c r="I87" s="31" t="inlineStr">
        <x:is>
          <x:t xml:space="preserve">Закрыть обращение</x:t>
        </x:is>
      </x:c>
      <x:c r="J87" s="31" t="inlineStr">
        <x:is>
          <x:t xml:space="preserve">Производство</x:t>
        </x:is>
      </x:c>
      <x:c r="K87" s="31" t="n">
        <x:v>0</x:v>
      </x:c>
      <x:c r="L87" s="31" t="inlineStr">
        <x:is>
          <x:t xml:space="preserve">Нет</x:t>
        </x:is>
      </x:c>
      <x:c r="M87" s="31" t="inlineStr">
        <x:is>
          <x:t xml:space="preserve">Нет</x:t>
        </x:is>
      </x:c>
      <x:c r="N87" s="31" t="inlineStr">
        <x:is>
          <x:t xml:space="preserve">Автосоздано правилом/пользователем 5</x:t>
        </x:is>
      </x:c>
    </x:row>
    <x:row r="88" ht="18" customHeight="1">
      <x:c r="A88" s="31" t="inlineStr">
        <x:is>
          <x:t xml:space="preserve">ЗД-00087</x:t>
        </x:is>
      </x:c>
      <x:c r="B88" s="31" t="n">
        <x:v>46119</x:v>
      </x:c>
      <x:c r="C88" s="31" t="n">
        <x:v>46129</x:v>
      </x:c>
      <x:c r="D88" s="31" t="inlineStr">
        <x:is>
          <x:t xml:space="preserve">Выполнена</x:t>
        </x:is>
      </x:c>
      <x:c r="E88" s="31" t="inlineStr">
        <x:is>
          <x:t xml:space="preserve">Средний</x:t>
        </x:is>
      </x:c>
      <x:c r="F88" s="31" t="inlineStr">
        <x:is>
          <x:t xml:space="preserve">СОТР-097</x:t>
        </x:is>
      </x:c>
      <x:c r="G88" s="31" t="inlineStr">
        <x:is>
          <x:t xml:space="preserve">ОТК</x:t>
        </x:is>
      </x:c>
      <x:c r="H88" s="31" t="inlineStr">
        <x:is>
          <x:t xml:space="preserve">ОТК-00070</x:t>
        </x:is>
      </x:c>
      <x:c r="I88" s="31" t="inlineStr">
        <x:is>
          <x:t xml:space="preserve">Проверить доработку</x:t>
        </x:is>
      </x:c>
      <x:c r="J88" s="31" t="inlineStr">
        <x:is>
          <x:t xml:space="preserve">Производство</x:t>
        </x:is>
      </x:c>
      <x:c r="K88" s="31" t="n">
        <x:v>0</x:v>
      </x:c>
      <x:c r="L88" s="31" t="inlineStr">
        <x:is>
          <x:t xml:space="preserve">Нет</x:t>
        </x:is>
      </x:c>
      <x:c r="M88" s="31" t="inlineStr">
        <x:is>
          <x:t xml:space="preserve">Нет</x:t>
        </x:is>
      </x:c>
      <x:c r="N88" s="31" t="inlineStr">
        <x:is>
          <x:t xml:space="preserve">Автосоздано правилом/пользователем 10</x:t>
        </x:is>
      </x:c>
    </x:row>
    <x:row r="89" ht="18" customHeight="1">
      <x:c r="A89" s="31" t="inlineStr">
        <x:is>
          <x:t xml:space="preserve">ЗД-00088</x:t>
        </x:is>
      </x:c>
      <x:c r="B89" s="31" t="n">
        <x:v>46123</x:v>
      </x:c>
      <x:c r="C89" s="31" t="n">
        <x:v>46124</x:v>
      </x:c>
      <x:c r="D89" s="31" t="inlineStr">
        <x:is>
          <x:t xml:space="preserve">Выполнена</x:t>
        </x:is>
      </x:c>
      <x:c r="E89" s="31" t="inlineStr">
        <x:is>
          <x:t xml:space="preserve">Низкий</x:t>
        </x:is>
      </x:c>
      <x:c r="F89" s="31" t="inlineStr">
        <x:is>
          <x:t xml:space="preserve">СОТР-063</x:t>
        </x:is>
      </x:c>
      <x:c r="G89" s="31" t="inlineStr">
        <x:is>
          <x:t xml:space="preserve">ОТК</x:t>
        </x:is>
      </x:c>
      <x:c r="H89" s="31" t="inlineStr">
        <x:is>
          <x:t xml:space="preserve">ОТК-00161</x:t>
        </x:is>
      </x:c>
      <x:c r="I89" s="31" t="inlineStr">
        <x:is>
          <x:t xml:space="preserve">Проверить доработку</x:t>
        </x:is>
      </x:c>
      <x:c r="J89" s="31" t="inlineStr">
        <x:is>
          <x:t xml:space="preserve">Производство</x:t>
        </x:is>
      </x:c>
      <x:c r="K89" s="31" t="n">
        <x:v>0</x:v>
      </x:c>
      <x:c r="L89" s="31" t="inlineStr">
        <x:is>
          <x:t xml:space="preserve">Нет</x:t>
        </x:is>
      </x:c>
      <x:c r="M89" s="31" t="inlineStr">
        <x:is>
          <x:t xml:space="preserve">Нет</x:t>
        </x:is>
      </x:c>
      <x:c r="N89" s="31" t="inlineStr">
        <x:is>
          <x:t xml:space="preserve">Автосоздано правилом/пользователем 10</x:t>
        </x:is>
      </x:c>
    </x:row>
    <x:row r="90" ht="18" customHeight="1">
      <x:c r="A90" s="31" t="inlineStr">
        <x:is>
          <x:t xml:space="preserve">ЗД-00089</x:t>
        </x:is>
      </x:c>
      <x:c r="B90" s="31" t="n">
        <x:v>46179</x:v>
      </x:c>
      <x:c r="C90" s="31" t="n">
        <x:v>46181</x:v>
      </x:c>
      <x:c r="D90" s="31" t="inlineStr">
        <x:is>
          <x:t xml:space="preserve">Просрочена</x:t>
        </x:is>
      </x:c>
      <x:c r="E90" s="31" t="inlineStr">
        <x:is>
          <x:t xml:space="preserve">Срочный</x:t>
        </x:is>
      </x:c>
      <x:c r="F90" s="31" t="inlineStr">
        <x:is>
          <x:t xml:space="preserve">СОТР-031</x:t>
        </x:is>
      </x:c>
      <x:c r="G90" s="31" t="inlineStr">
        <x:is>
          <x:t xml:space="preserve">Счет</x:t>
        </x:is>
      </x:c>
      <x:c r="H90" s="31" t="inlineStr">
        <x:is>
          <x:t xml:space="preserve">СЧ-1047-1</x:t>
        </x:is>
      </x:c>
      <x:c r="I90" s="31" t="inlineStr">
        <x:is>
          <x:t xml:space="preserve">Проверить оплату</x:t>
        </x:is>
      </x:c>
      <x:c r="J90" s="31" t="inlineStr">
        <x:is>
          <x:t xml:space="preserve">Снабжение</x:t>
        </x:is>
      </x:c>
      <x:c r="K90" s="31" t="n">
        <x:v>4</x:v>
      </x:c>
      <x:c r="L90" s="31" t="inlineStr">
        <x:is>
          <x:t xml:space="preserve">Да</x:t>
        </x:is>
      </x:c>
      <x:c r="M90" s="31" t="inlineStr">
        <x:is>
          <x:t xml:space="preserve">Нет</x:t>
        </x:is>
      </x:c>
      <x:c r="N90" s="31" t="inlineStr">
        <x:is>
          <x:t xml:space="preserve">Автосоздано правилом/пользователем 11</x:t>
        </x:is>
      </x:c>
    </x:row>
    <x:row r="91" ht="18" customHeight="1">
      <x:c r="A91" s="31" t="inlineStr">
        <x:is>
          <x:t xml:space="preserve">ЗД-00090</x:t>
        </x:is>
      </x:c>
      <x:c r="B91" s="31" t="n">
        <x:v>46181</x:v>
      </x:c>
      <x:c r="C91" s="31" t="n">
        <x:v>46186</x:v>
      </x:c>
      <x:c r="D91" s="31" t="inlineStr">
        <x:is>
          <x:t xml:space="preserve">В работе</x:t>
        </x:is>
      </x:c>
      <x:c r="E91" s="31" t="inlineStr">
        <x:is>
          <x:t xml:space="preserve">Средний</x:t>
        </x:is>
      </x:c>
      <x:c r="F91" s="31" t="inlineStr">
        <x:is>
          <x:t xml:space="preserve">СОТР-092</x:t>
        </x:is>
      </x:c>
      <x:c r="G91" s="31" t="inlineStr">
        <x:is>
          <x:t xml:space="preserve">ОТК</x:t>
        </x:is>
      </x:c>
      <x:c r="H91" s="31" t="inlineStr">
        <x:is>
          <x:t xml:space="preserve">ОТК-00045</x:t>
        </x:is>
      </x:c>
      <x:c r="I91" s="31" t="inlineStr">
        <x:is>
          <x:t xml:space="preserve">Оформить корректирующие действия</x:t>
        </x:is>
      </x:c>
      <x:c r="J91" s="31" t="inlineStr">
        <x:is>
          <x:t xml:space="preserve">Производство</x:t>
        </x:is>
      </x:c>
      <x:c r="K91" s="31" t="n">
        <x:v>0</x:v>
      </x:c>
      <x:c r="L91" s="31" t="inlineStr">
        <x:is>
          <x:t xml:space="preserve">Нет</x:t>
        </x:is>
      </x:c>
      <x:c r="M91" s="31" t="inlineStr">
        <x:is>
          <x:t xml:space="preserve">Нет</x:t>
        </x:is>
      </x:c>
      <x:c r="N91" s="31" t="inlineStr">
        <x:is>
          <x:t xml:space="preserve">Автосоздано правилом/пользователем 2</x:t>
        </x:is>
      </x:c>
    </x:row>
    <x:row r="92" ht="18" customHeight="1">
      <x:c r="A92" s="31" t="inlineStr">
        <x:is>
          <x:t xml:space="preserve">ЗД-00091</x:t>
        </x:is>
      </x:c>
      <x:c r="B92" s="31" t="n">
        <x:v>46126</x:v>
      </x:c>
      <x:c r="C92" s="31" t="n">
        <x:v>46131</x:v>
      </x:c>
      <x:c r="D92" s="31" t="inlineStr">
        <x:is>
          <x:t xml:space="preserve">Просрочена</x:t>
        </x:is>
      </x:c>
      <x:c r="E92" s="31" t="inlineStr">
        <x:is>
          <x:t xml:space="preserve">Средний</x:t>
        </x:is>
      </x:c>
      <x:c r="F92" s="31" t="inlineStr">
        <x:is>
          <x:t xml:space="preserve">СОТР-068</x:t>
        </x:is>
      </x:c>
      <x:c r="G92" s="31" t="inlineStr">
        <x:is>
          <x:t xml:space="preserve">Заказ</x:t>
        </x:is>
      </x:c>
      <x:c r="H92" s="31" t="inlineStr">
        <x:is>
          <x:t xml:space="preserve">ЗК-1093</x:t>
        </x:is>
      </x:c>
      <x:c r="I92" s="31" t="inlineStr">
        <x:is>
          <x:t xml:space="preserve">Проверить лимит заказчика</x:t>
        </x:is>
      </x:c>
      <x:c r="J92" s="31" t="inlineStr">
        <x:is>
          <x:t xml:space="preserve">ОТК</x:t>
        </x:is>
      </x:c>
      <x:c r="K92" s="31" t="n">
        <x:v>54</x:v>
      </x:c>
      <x:c r="L92" s="31" t="inlineStr">
        <x:is>
          <x:t xml:space="preserve">Да</x:t>
        </x:is>
      </x:c>
      <x:c r="M92" s="31" t="inlineStr">
        <x:is>
          <x:t xml:space="preserve">Нет</x:t>
        </x:is>
      </x:c>
      <x:c r="N92" s="31" t="inlineStr">
        <x:is>
          <x:t xml:space="preserve">Автосоздано правилом/пользователем 9</x:t>
        </x:is>
      </x:c>
    </x:row>
    <x:row r="93" ht="18" customHeight="1">
      <x:c r="A93" s="31" t="inlineStr">
        <x:is>
          <x:t xml:space="preserve">ЗД-00092</x:t>
        </x:is>
      </x:c>
      <x:c r="B93" s="31" t="n">
        <x:v>46150</x:v>
      </x:c>
      <x:c r="C93" s="31" t="n">
        <x:v>46153</x:v>
      </x:c>
      <x:c r="D93" s="31" t="inlineStr">
        <x:is>
          <x:t xml:space="preserve">Выполнена</x:t>
        </x:is>
      </x:c>
      <x:c r="E93" s="31" t="inlineStr">
        <x:is>
          <x:t xml:space="preserve">Высокий</x:t>
        </x:is>
      </x:c>
      <x:c r="F93" s="31" t="inlineStr">
        <x:is>
          <x:t xml:space="preserve">СОТР-005</x:t>
        </x:is>
      </x:c>
      <x:c r="G93" s="31" t="inlineStr">
        <x:is>
          <x:t xml:space="preserve">Заказ</x:t>
        </x:is>
      </x:c>
      <x:c r="H93" s="31" t="inlineStr">
        <x:is>
          <x:t xml:space="preserve">ЗК-1050</x:t>
        </x:is>
      </x:c>
      <x:c r="I93" s="31" t="inlineStr">
        <x:is>
          <x:t xml:space="preserve">Подготовить КП</x:t>
        </x:is>
      </x:c>
      <x:c r="J93" s="31" t="inlineStr">
        <x:is>
          <x:t xml:space="preserve">Производство</x:t>
        </x:is>
      </x:c>
      <x:c r="K93" s="31" t="n">
        <x:v>0</x:v>
      </x:c>
      <x:c r="L93" s="31" t="inlineStr">
        <x:is>
          <x:t xml:space="preserve">Да</x:t>
        </x:is>
      </x:c>
      <x:c r="M93" s="31" t="inlineStr">
        <x:is>
          <x:t xml:space="preserve">Нет</x:t>
        </x:is>
      </x:c>
      <x:c r="N93" s="31" t="inlineStr">
        <x:is>
          <x:t xml:space="preserve">Автосоздано правилом/пользователем 3</x:t>
        </x:is>
      </x:c>
    </x:row>
    <x:row r="94" ht="18" customHeight="1">
      <x:c r="A94" s="31" t="inlineStr">
        <x:is>
          <x:t xml:space="preserve">ЗД-00093</x:t>
        </x:is>
      </x:c>
      <x:c r="B94" s="31" t="n">
        <x:v>46168</x:v>
      </x:c>
      <x:c r="C94" s="31" t="n">
        <x:v>46171</x:v>
      </x:c>
      <x:c r="D94" s="31" t="inlineStr">
        <x:is>
          <x:t xml:space="preserve">Выполнена</x:t>
        </x:is>
      </x:c>
      <x:c r="E94" s="31" t="inlineStr">
        <x:is>
          <x:t xml:space="preserve">Средний</x:t>
        </x:is>
      </x:c>
      <x:c r="F94" s="31" t="inlineStr">
        <x:is>
          <x:t xml:space="preserve">СОТР-097</x:t>
        </x:is>
      </x:c>
      <x:c r="G94" s="31" t="inlineStr">
        <x:is>
          <x:t xml:space="preserve">Производственное задание</x:t>
        </x:is>
      </x:c>
      <x:c r="H94" s="31" t="inlineStr">
        <x:is>
          <x:t xml:space="preserve">ПЗ-00098</x:t>
        </x:is>
      </x:c>
      <x:c r="I94" s="31" t="inlineStr">
        <x:is>
          <x:t xml:space="preserve">Закрыть сменный факт</x:t>
        </x:is>
      </x:c>
      <x:c r="J94" s="31" t="inlineStr">
        <x:is>
          <x:t xml:space="preserve">Сервис</x:t>
        </x:is>
      </x:c>
      <x:c r="K94" s="31" t="n">
        <x:v>0</x:v>
      </x:c>
      <x:c r="L94" s="31" t="inlineStr">
        <x:is>
          <x:t xml:space="preserve">Да</x:t>
        </x:is>
      </x:c>
      <x:c r="M94" s="31" t="inlineStr">
        <x:is>
          <x:t xml:space="preserve">Нет</x:t>
        </x:is>
      </x:c>
      <x:c r="N94" s="31" t="inlineStr">
        <x:is>
          <x:t xml:space="preserve">Автосоздано правилом/пользователем 7</x:t>
        </x:is>
      </x:c>
    </x:row>
    <x:row r="95" ht="18" customHeight="1">
      <x:c r="A95" s="31" t="inlineStr">
        <x:is>
          <x:t xml:space="preserve">ЗД-00094</x:t>
        </x:is>
      </x:c>
      <x:c r="B95" s="31" t="n">
        <x:v>46125</x:v>
      </x:c>
      <x:c r="C95" s="31" t="n">
        <x:v>46139</x:v>
      </x:c>
      <x:c r="D95" s="31" t="inlineStr">
        <x:is>
          <x:t xml:space="preserve">В работе</x:t>
        </x:is>
      </x:c>
      <x:c r="E95" s="31" t="inlineStr">
        <x:is>
          <x:t xml:space="preserve">Срочный</x:t>
        </x:is>
      </x:c>
      <x:c r="F95" s="31" t="inlineStr">
        <x:is>
          <x:t xml:space="preserve">СОТР-095</x:t>
        </x:is>
      </x:c>
      <x:c r="G95" s="31" t="inlineStr">
        <x:is>
          <x:t xml:space="preserve">ОТК</x:t>
        </x:is>
      </x:c>
      <x:c r="H95" s="31" t="inlineStr">
        <x:is>
          <x:t xml:space="preserve">ОТК-00175</x:t>
        </x:is>
      </x:c>
      <x:c r="I95" s="31" t="inlineStr">
        <x:is>
          <x:t xml:space="preserve">Согласовать приемку с замечаниями</x:t>
        </x:is>
      </x:c>
      <x:c r="J95" s="31" t="inlineStr">
        <x:is>
          <x:t xml:space="preserve">Сервис</x:t>
        </x:is>
      </x:c>
      <x:c r="K95" s="31" t="n">
        <x:v>0</x:v>
      </x:c>
      <x:c r="L95" s="31" t="inlineStr">
        <x:is>
          <x:t xml:space="preserve">Да</x:t>
        </x:is>
      </x:c>
      <x:c r="M95" s="31" t="inlineStr">
        <x:is>
          <x:t xml:space="preserve">Нет</x:t>
        </x:is>
      </x:c>
      <x:c r="N95" s="31" t="inlineStr">
        <x:is>
          <x:t xml:space="preserve">Автосоздано правилом/пользователем 8</x:t>
        </x:is>
      </x:c>
    </x:row>
    <x:row r="96" ht="18" customHeight="1">
      <x:c r="A96" s="31" t="inlineStr">
        <x:is>
          <x:t xml:space="preserve">ЗД-00095</x:t>
        </x:is>
      </x:c>
      <x:c r="B96" s="31" t="n">
        <x:v>46116</x:v>
      </x:c>
      <x:c r="C96" s="31" t="n">
        <x:v>46119</x:v>
      </x:c>
      <x:c r="D96" s="31" t="inlineStr">
        <x:is>
          <x:t xml:space="preserve">Выполнена</x:t>
        </x:is>
      </x:c>
      <x:c r="E96" s="31" t="inlineStr">
        <x:is>
          <x:t xml:space="preserve">Средний</x:t>
        </x:is>
      </x:c>
      <x:c r="F96" s="31" t="inlineStr">
        <x:is>
          <x:t xml:space="preserve">СОТР-063</x:t>
        </x:is>
      </x:c>
      <x:c r="G96" s="31" t="inlineStr">
        <x:is>
          <x:t xml:space="preserve">ОТК</x:t>
        </x:is>
      </x:c>
      <x:c r="H96" s="31" t="inlineStr">
        <x:is>
          <x:t xml:space="preserve">ОТК-00061</x:t>
        </x:is>
      </x:c>
      <x:c r="I96" s="31" t="inlineStr">
        <x:is>
          <x:t xml:space="preserve">Оформить корректирующие действия</x:t>
        </x:is>
      </x:c>
      <x:c r="J96" s="31" t="inlineStr">
        <x:is>
          <x:t xml:space="preserve">ОТК</x:t>
        </x:is>
      </x:c>
      <x:c r="K96" s="31" t="n">
        <x:v>0</x:v>
      </x:c>
      <x:c r="L96" s="31" t="inlineStr">
        <x:is>
          <x:t xml:space="preserve">Да</x:t>
        </x:is>
      </x:c>
      <x:c r="M96" s="31" t="inlineStr">
        <x:is>
          <x:t xml:space="preserve">Нет</x:t>
        </x:is>
      </x:c>
      <x:c r="N96" s="31" t="inlineStr">
        <x:is>
          <x:t xml:space="preserve">Автосоздано правилом/пользователем 3</x:t>
        </x:is>
      </x:c>
    </x:row>
    <x:row r="97" ht="18" customHeight="1">
      <x:c r="A97" s="31" t="inlineStr">
        <x:is>
          <x:t xml:space="preserve">ЗД-00096</x:t>
        </x:is>
      </x:c>
      <x:c r="B97" s="31" t="n">
        <x:v>46176</x:v>
      </x:c>
      <x:c r="C97" s="31" t="n">
        <x:v>46183</x:v>
      </x:c>
      <x:c r="D97" s="31" t="inlineStr">
        <x:is>
          <x:t xml:space="preserve">Просрочена</x:t>
        </x:is>
      </x:c>
      <x:c r="E97" s="31" t="inlineStr">
        <x:is>
          <x:t xml:space="preserve">Срочный</x:t>
        </x:is>
      </x:c>
      <x:c r="F97" s="31" t="inlineStr">
        <x:is>
          <x:t xml:space="preserve">СОТР-004</x:t>
        </x:is>
      </x:c>
      <x:c r="G97" s="31" t="inlineStr">
        <x:is>
          <x:t xml:space="preserve">Заказ</x:t>
        </x:is>
      </x:c>
      <x:c r="H97" s="31" t="inlineStr">
        <x:is>
          <x:t xml:space="preserve">ЗК-1110</x:t>
        </x:is>
      </x:c>
      <x:c r="I97" s="31" t="inlineStr">
        <x:is>
          <x:t xml:space="preserve">Подготовить КП</x:t>
        </x:is>
      </x:c>
      <x:c r="J97" s="31" t="inlineStr">
        <x:is>
          <x:t xml:space="preserve">Сервис</x:t>
        </x:is>
      </x:c>
      <x:c r="K97" s="31" t="n">
        <x:v>2</x:v>
      </x:c>
      <x:c r="L97" s="31" t="inlineStr">
        <x:is>
          <x:t xml:space="preserve">Нет</x:t>
        </x:is>
      </x:c>
      <x:c r="M97" s="31" t="inlineStr">
        <x:is>
          <x:t xml:space="preserve">Нет</x:t>
        </x:is>
      </x:c>
      <x:c r="N97" s="31" t="inlineStr">
        <x:is>
          <x:t xml:space="preserve">Автосоздано правилом/пользователем 3</x:t>
        </x:is>
      </x:c>
    </x:row>
    <x:row r="98" ht="18" customHeight="1">
      <x:c r="A98" s="31" t="inlineStr">
        <x:is>
          <x:t xml:space="preserve">ЗД-00097</x:t>
        </x:is>
      </x:c>
      <x:c r="B98" s="31" t="n">
        <x:v>46181</x:v>
      </x:c>
      <x:c r="C98" s="31" t="n">
        <x:v>46191</x:v>
      </x:c>
      <x:c r="D98" s="31" t="inlineStr">
        <x:is>
          <x:t xml:space="preserve">Выполнена</x:t>
        </x:is>
      </x:c>
      <x:c r="E98" s="31" t="inlineStr">
        <x:is>
          <x:t xml:space="preserve">Срочный</x:t>
        </x:is>
      </x:c>
      <x:c r="F98" s="31" t="inlineStr">
        <x:is>
          <x:t xml:space="preserve">СОТР-099</x:t>
        </x:is>
      </x:c>
      <x:c r="G98" s="31" t="inlineStr">
        <x:is>
          <x:t xml:space="preserve">ОТК</x:t>
        </x:is>
      </x:c>
      <x:c r="H98" s="31" t="inlineStr">
        <x:is>
          <x:t xml:space="preserve">ОТК-00017</x:t>
        </x:is>
      </x:c>
      <x:c r="I98" s="31" t="inlineStr">
        <x:is>
          <x:t xml:space="preserve">Оформить корректирующие действия</x:t>
        </x:is>
      </x:c>
      <x:c r="J98" s="31" t="inlineStr">
        <x:is>
          <x:t xml:space="preserve">Продажи</x:t>
        </x:is>
      </x:c>
      <x:c r="K98" s="31" t="n">
        <x:v>0</x:v>
      </x:c>
      <x:c r="L98" s="31" t="inlineStr">
        <x:is>
          <x:t xml:space="preserve">Нет</x:t>
        </x:is>
      </x:c>
      <x:c r="M98" s="31" t="inlineStr">
        <x:is>
          <x:t xml:space="preserve">Нет</x:t>
        </x:is>
      </x:c>
      <x:c r="N98" s="31" t="inlineStr">
        <x:is>
          <x:t xml:space="preserve">Автосоздано правилом/пользователем 1</x:t>
        </x:is>
      </x:c>
    </x:row>
    <x:row r="99" ht="18" customHeight="1">
      <x:c r="A99" s="31" t="inlineStr">
        <x:is>
          <x:t xml:space="preserve">ЗД-00098</x:t>
        </x:is>
      </x:c>
      <x:c r="B99" s="31" t="n">
        <x:v>46127</x:v>
      </x:c>
      <x:c r="C99" s="31" t="n">
        <x:v>46137</x:v>
      </x:c>
      <x:c r="D99" s="31" t="inlineStr">
        <x:is>
          <x:t xml:space="preserve">В работе</x:t>
        </x:is>
      </x:c>
      <x:c r="E99" s="31" t="inlineStr">
        <x:is>
          <x:t xml:space="preserve">Средний</x:t>
        </x:is>
      </x:c>
      <x:c r="F99" s="31" t="inlineStr">
        <x:is>
          <x:t xml:space="preserve">СОТР-096</x:t>
        </x:is>
      </x:c>
      <x:c r="G99" s="31" t="inlineStr">
        <x:is>
          <x:t xml:space="preserve">Производственное задание</x:t>
        </x:is>
      </x:c>
      <x:c r="H99" s="31" t="inlineStr">
        <x:is>
          <x:t xml:space="preserve">ПЗ-00242</x:t>
        </x:is>
      </x:c>
      <x:c r="I99" s="31" t="inlineStr">
        <x:is>
          <x:t xml:space="preserve">Назначить оператора</x:t>
        </x:is>
      </x:c>
      <x:c r="J99" s="31" t="inlineStr">
        <x:is>
          <x:t xml:space="preserve">Продажи</x:t>
        </x:is>
      </x:c>
      <x:c r="K99" s="31" t="n">
        <x:v>0</x:v>
      </x:c>
      <x:c r="L99" s="31" t="inlineStr">
        <x:is>
          <x:t xml:space="preserve">Нет</x:t>
        </x:is>
      </x:c>
      <x:c r="M99" s="31" t="inlineStr">
        <x:is>
          <x:t xml:space="preserve">Нет</x:t>
        </x:is>
      </x:c>
      <x:c r="N99" s="31" t="inlineStr">
        <x:is>
          <x:t xml:space="preserve">Автосоздано правилом/пользователем 6</x:t>
        </x:is>
      </x:c>
    </x:row>
    <x:row r="100" ht="18" customHeight="1">
      <x:c r="A100" s="31" t="inlineStr">
        <x:is>
          <x:t xml:space="preserve">ЗД-00099</x:t>
        </x:is>
      </x:c>
      <x:c r="B100" s="31" t="n">
        <x:v>46135</x:v>
      </x:c>
      <x:c r="C100" s="31" t="n">
        <x:v>46138</x:v>
      </x:c>
      <x:c r="D100" s="31" t="inlineStr">
        <x:is>
          <x:t xml:space="preserve">Выполнена</x:t>
        </x:is>
      </x:c>
      <x:c r="E100" s="31" t="inlineStr">
        <x:is>
          <x:t xml:space="preserve">Высокий</x:t>
        </x:is>
      </x:c>
      <x:c r="F100" s="31" t="inlineStr">
        <x:is>
          <x:t xml:space="preserve">СОТР-103</x:t>
        </x:is>
      </x:c>
      <x:c r="G100" s="31" t="inlineStr">
        <x:is>
          <x:t xml:space="preserve">Производственное задание</x:t>
        </x:is>
      </x:c>
      <x:c r="H100" s="31" t="inlineStr">
        <x:is>
          <x:t xml:space="preserve">ПЗ-00159</x:t>
        </x:is>
      </x:c>
      <x:c r="I100" s="31" t="inlineStr">
        <x:is>
          <x:t xml:space="preserve">Назначить оператора</x:t>
        </x:is>
      </x:c>
      <x:c r="J100" s="31" t="inlineStr">
        <x:is>
          <x:t xml:space="preserve">Снабжение</x:t>
        </x:is>
      </x:c>
      <x:c r="K100" s="31" t="n">
        <x:v>0</x:v>
      </x:c>
      <x:c r="L100" s="31" t="inlineStr">
        <x:is>
          <x:t xml:space="preserve">Да</x:t>
        </x:is>
      </x:c>
      <x:c r="M100" s="31" t="inlineStr">
        <x:is>
          <x:t xml:space="preserve">Нет</x:t>
        </x:is>
      </x:c>
      <x:c r="N100" s="31" t="inlineStr">
        <x:is>
          <x:t xml:space="preserve">Автосоздано правилом/пользователем 10</x:t>
        </x:is>
      </x:c>
    </x:row>
    <x:row r="101" ht="18" customHeight="1">
      <x:c r="A101" s="31" t="inlineStr">
        <x:is>
          <x:t xml:space="preserve">ЗД-00100</x:t>
        </x:is>
      </x:c>
      <x:c r="B101" s="31" t="n">
        <x:v>46140</x:v>
      </x:c>
      <x:c r="C101" s="31" t="n">
        <x:v>46147</x:v>
      </x:c>
      <x:c r="D101" s="31" t="inlineStr">
        <x:is>
          <x:t xml:space="preserve">Выполнена</x:t>
        </x:is>
      </x:c>
      <x:c r="E101" s="31" t="inlineStr">
        <x:is>
          <x:t xml:space="preserve">Низкий</x:t>
        </x:is>
      </x:c>
      <x:c r="F101" s="31" t="inlineStr">
        <x:is>
          <x:t xml:space="preserve">СОТР-005</x:t>
        </x:is>
      </x:c>
      <x:c r="G101" s="31" t="inlineStr">
        <x:is>
          <x:t xml:space="preserve">Заказ</x:t>
        </x:is>
      </x:c>
      <x:c r="H101" s="31" t="inlineStr">
        <x:is>
          <x:t xml:space="preserve">ЗК-1095</x:t>
        </x:is>
      </x:c>
      <x:c r="I101" s="31" t="inlineStr">
        <x:is>
          <x:t xml:space="preserve">Подготовить КП</x:t>
        </x:is>
      </x:c>
      <x:c r="J101" s="31" t="inlineStr">
        <x:is>
          <x:t xml:space="preserve">Производство</x:t>
        </x:is>
      </x:c>
      <x:c r="K101" s="31" t="n">
        <x:v>0</x:v>
      </x:c>
      <x:c r="L101" s="31" t="inlineStr">
        <x:is>
          <x:t xml:space="preserve">Нет</x:t>
        </x:is>
      </x:c>
      <x:c r="M101" s="31" t="inlineStr">
        <x:is>
          <x:t xml:space="preserve">Нет</x:t>
        </x:is>
      </x:c>
      <x:c r="N101" s="31" t="inlineStr">
        <x:is>
          <x:t xml:space="preserve">Автосоздано правилом/пользователем 5</x:t>
        </x:is>
      </x:c>
    </x:row>
    <x:row r="102" ht="18" customHeight="1">
      <x:c r="A102" s="31" t="inlineStr">
        <x:is>
          <x:t xml:space="preserve">ЗД-00101</x:t>
        </x:is>
      </x:c>
      <x:c r="B102" s="31" t="n">
        <x:v>46129</x:v>
      </x:c>
      <x:c r="C102" s="31" t="n">
        <x:v>46131</x:v>
      </x:c>
      <x:c r="D102" s="31" t="inlineStr">
        <x:is>
          <x:t xml:space="preserve">Отменена</x:t>
        </x:is>
      </x:c>
      <x:c r="E102" s="31" t="inlineStr">
        <x:is>
          <x:t xml:space="preserve">Средний</x:t>
        </x:is>
      </x:c>
      <x:c r="F102" s="31" t="inlineStr">
        <x:is>
          <x:t xml:space="preserve">СОТР-016</x:t>
        </x:is>
      </x:c>
      <x:c r="G102" s="31" t="inlineStr">
        <x:is>
          <x:t xml:space="preserve">Производственное задание</x:t>
        </x:is>
      </x:c>
      <x:c r="H102" s="31" t="inlineStr">
        <x:is>
          <x:t xml:space="preserve">ПЗ-00033</x:t>
        </x:is>
      </x:c>
      <x:c r="I102" s="31" t="inlineStr">
        <x:is>
          <x:t xml:space="preserve">Разобрать простой</x:t>
        </x:is>
      </x:c>
      <x:c r="J102" s="31" t="inlineStr">
        <x:is>
          <x:t xml:space="preserve">Производство</x:t>
        </x:is>
      </x:c>
      <x:c r="K102" s="31" t="n">
        <x:v>0</x:v>
      </x:c>
      <x:c r="L102" s="31" t="inlineStr">
        <x:is>
          <x:t xml:space="preserve">Нет</x:t>
        </x:is>
      </x:c>
      <x:c r="M102" s="31" t="inlineStr">
        <x:is>
          <x:t xml:space="preserve">Заказчик</x:t>
        </x:is>
      </x:c>
      <x:c r="N102" s="31" t="inlineStr">
        <x:is>
          <x:t xml:space="preserve">Автосоздано правилом/пользователем 3</x:t>
        </x:is>
      </x:c>
    </x:row>
    <x:row r="103" ht="18" customHeight="1">
      <x:c r="A103" s="31" t="inlineStr">
        <x:is>
          <x:t xml:space="preserve">ЗД-00102</x:t>
        </x:is>
      </x:c>
      <x:c r="B103" s="31" t="n">
        <x:v>46136</x:v>
      </x:c>
      <x:c r="C103" s="31" t="n">
        <x:v>46137</x:v>
      </x:c>
      <x:c r="D103" s="31" t="inlineStr">
        <x:is>
          <x:t xml:space="preserve">В работе</x:t>
        </x:is>
      </x:c>
      <x:c r="E103" s="31" t="inlineStr">
        <x:is>
          <x:t xml:space="preserve">Средний</x:t>
        </x:is>
      </x:c>
      <x:c r="F103" s="31" t="inlineStr">
        <x:is>
          <x:t xml:space="preserve">СОТР-056</x:t>
        </x:is>
      </x:c>
      <x:c r="G103" s="31" t="inlineStr">
        <x:is>
          <x:t xml:space="preserve">Счет</x:t>
        </x:is>
      </x:c>
      <x:c r="H103" s="31" t="inlineStr">
        <x:is>
          <x:t xml:space="preserve">СЧ-1023-1</x:t>
        </x:is>
      </x:c>
      <x:c r="I103" s="31" t="inlineStr">
        <x:is>
          <x:t xml:space="preserve">Согласовать отгрузку при ДЗ</x:t>
        </x:is>
      </x:c>
      <x:c r="J103" s="31" t="inlineStr">
        <x:is>
          <x:t xml:space="preserve">ОТК</x:t>
        </x:is>
      </x:c>
      <x:c r="K103" s="31" t="n">
        <x:v>0</x:v>
      </x:c>
      <x:c r="L103" s="31" t="inlineStr">
        <x:is>
          <x:t xml:space="preserve">Нет</x:t>
        </x:is>
      </x:c>
      <x:c r="M103" s="31" t="inlineStr">
        <x:is>
          <x:t xml:space="preserve">Нет</x:t>
        </x:is>
      </x:c>
      <x:c r="N103" s="31" t="inlineStr">
        <x:is>
          <x:t xml:space="preserve">Автосоздано правилом/пользователем 3</x:t>
        </x:is>
      </x:c>
    </x:row>
    <x:row r="104" ht="18" customHeight="1">
      <x:c r="A104" s="31" t="inlineStr">
        <x:is>
          <x:t xml:space="preserve">ЗД-00103</x:t>
        </x:is>
      </x:c>
      <x:c r="B104" s="31" t="n">
        <x:v>46164</x:v>
      </x:c>
      <x:c r="C104" s="31" t="n">
        <x:v>46174</x:v>
      </x:c>
      <x:c r="D104" s="31" t="inlineStr">
        <x:is>
          <x:t xml:space="preserve">Новая</x:t>
        </x:is>
      </x:c>
      <x:c r="E104" s="31" t="inlineStr">
        <x:is>
          <x:t xml:space="preserve">Средний</x:t>
        </x:is>
      </x:c>
      <x:c r="F104" s="31" t="inlineStr">
        <x:is>
          <x:t xml:space="preserve">СОТР-096</x:t>
        </x:is>
      </x:c>
      <x:c r="G104" s="31" t="inlineStr">
        <x:is>
          <x:t xml:space="preserve">ОТК</x:t>
        </x:is>
      </x:c>
      <x:c r="H104" s="31" t="inlineStr">
        <x:is>
          <x:t xml:space="preserve">ОТК-00181</x:t>
        </x:is>
      </x:c>
      <x:c r="I104" s="31" t="inlineStr">
        <x:is>
          <x:t xml:space="preserve">Проверить доработку</x:t>
        </x:is>
      </x:c>
      <x:c r="J104" s="31" t="inlineStr">
        <x:is>
          <x:t xml:space="preserve">Производство</x:t>
        </x:is>
      </x:c>
      <x:c r="K104" s="31" t="n">
        <x:v>0</x:v>
      </x:c>
      <x:c r="L104" s="31" t="inlineStr">
        <x:is>
          <x:t xml:space="preserve">Нет</x:t>
        </x:is>
      </x:c>
      <x:c r="M104" s="31" t="inlineStr">
        <x:is>
          <x:t xml:space="preserve">Нет</x:t>
        </x:is>
      </x:c>
      <x:c r="N104" s="31" t="inlineStr">
        <x:is>
          <x:t xml:space="preserve">Автосоздано правилом/пользователем 7</x:t>
        </x:is>
      </x:c>
    </x:row>
    <x:row r="105" ht="18" customHeight="1">
      <x:c r="A105" s="31" t="inlineStr">
        <x:is>
          <x:t xml:space="preserve">ЗД-00104</x:t>
        </x:is>
      </x:c>
      <x:c r="B105" s="31" t="n">
        <x:v>46175</x:v>
      </x:c>
      <x:c r="C105" s="31" t="n">
        <x:v>46182</x:v>
      </x:c>
      <x:c r="D105" s="31" t="inlineStr">
        <x:is>
          <x:t xml:space="preserve">Выполнена</x:t>
        </x:is>
      </x:c>
      <x:c r="E105" s="31" t="inlineStr">
        <x:is>
          <x:t xml:space="preserve">Срочный</x:t>
        </x:is>
      </x:c>
      <x:c r="F105" s="31" t="inlineStr">
        <x:is>
          <x:t xml:space="preserve">СОТР-099</x:t>
        </x:is>
      </x:c>
      <x:c r="G105" s="31" t="inlineStr">
        <x:is>
          <x:t xml:space="preserve">Производственное задание</x:t>
        </x:is>
      </x:c>
      <x:c r="H105" s="31" t="inlineStr">
        <x:is>
          <x:t xml:space="preserve">ПЗ-00149</x:t>
        </x:is>
      </x:c>
      <x:c r="I105" s="31" t="inlineStr">
        <x:is>
          <x:t xml:space="preserve">Разобрать простой</x:t>
        </x:is>
      </x:c>
      <x:c r="J105" s="31" t="inlineStr">
        <x:is>
          <x:t xml:space="preserve">Продажи</x:t>
        </x:is>
      </x:c>
      <x:c r="K105" s="31" t="n">
        <x:v>0</x:v>
      </x:c>
      <x:c r="L105" s="31" t="inlineStr">
        <x:is>
          <x:t xml:space="preserve">Нет</x:t>
        </x:is>
      </x:c>
      <x:c r="M105" s="31" t="inlineStr">
        <x:is>
          <x:t xml:space="preserve">Нет</x:t>
        </x:is>
      </x:c>
      <x:c r="N105" s="31" t="inlineStr">
        <x:is>
          <x:t xml:space="preserve">Автосоздано правилом/пользователем 9</x:t>
        </x:is>
      </x:c>
    </x:row>
    <x:row r="106" ht="18" customHeight="1">
      <x:c r="A106" s="31" t="inlineStr">
        <x:is>
          <x:t xml:space="preserve">ЗД-00105</x:t>
        </x:is>
      </x:c>
      <x:c r="B106" s="31" t="n">
        <x:v>46157</x:v>
      </x:c>
      <x:c r="C106" s="31" t="n">
        <x:v>46158</x:v>
      </x:c>
      <x:c r="D106" s="31" t="inlineStr">
        <x:is>
          <x:t xml:space="preserve">Просрочена</x:t>
        </x:is>
      </x:c>
      <x:c r="E106" s="31" t="inlineStr">
        <x:is>
          <x:t xml:space="preserve">Средний</x:t>
        </x:is>
      </x:c>
      <x:c r="F106" s="31" t="inlineStr">
        <x:is>
          <x:t xml:space="preserve">СОТР-063</x:t>
        </x:is>
      </x:c>
      <x:c r="G106" s="31" t="inlineStr">
        <x:is>
          <x:t xml:space="preserve">ОТК</x:t>
        </x:is>
      </x:c>
      <x:c r="H106" s="31" t="inlineStr">
        <x:is>
          <x:t xml:space="preserve">ОТК-00044</x:t>
        </x:is>
      </x:c>
      <x:c r="I106" s="31" t="inlineStr">
        <x:is>
          <x:t xml:space="preserve">Заблокировать отгрузку</x:t>
        </x:is>
      </x:c>
      <x:c r="J106" s="31" t="inlineStr">
        <x:is>
          <x:t xml:space="preserve">Производство</x:t>
        </x:is>
      </x:c>
      <x:c r="K106" s="31" t="n">
        <x:v>27</x:v>
      </x:c>
      <x:c r="L106" s="31" t="inlineStr">
        <x:is>
          <x:t xml:space="preserve">Нет</x:t>
        </x:is>
      </x:c>
      <x:c r="M106" s="31" t="inlineStr">
        <x:is>
          <x:t xml:space="preserve">Нет</x:t>
        </x:is>
      </x:c>
      <x:c r="N106" s="31" t="inlineStr">
        <x:is>
          <x:t xml:space="preserve">Автосоздано правилом/пользователем 3</x:t>
        </x:is>
      </x:c>
    </x:row>
    <x:row r="107" ht="18" customHeight="1">
      <x:c r="A107" s="31" t="inlineStr">
        <x:is>
          <x:t xml:space="preserve">ЗД-00106</x:t>
        </x:is>
      </x:c>
      <x:c r="B107" s="31" t="n">
        <x:v>46145</x:v>
      </x:c>
      <x:c r="C107" s="31" t="n">
        <x:v>46148</x:v>
      </x:c>
      <x:c r="D107" s="31" t="inlineStr">
        <x:is>
          <x:t xml:space="preserve">Выполнена</x:t>
        </x:is>
      </x:c>
      <x:c r="E107" s="31" t="inlineStr">
        <x:is>
          <x:t xml:space="preserve">Средний</x:t>
        </x:is>
      </x:c>
      <x:c r="F107" s="31" t="inlineStr">
        <x:is>
          <x:t xml:space="preserve">СОТР-005</x:t>
        </x:is>
      </x:c>
      <x:c r="G107" s="31" t="inlineStr">
        <x:is>
          <x:t xml:space="preserve">Заказ</x:t>
        </x:is>
      </x:c>
      <x:c r="H107" s="31" t="inlineStr">
        <x:is>
          <x:t xml:space="preserve">ЗК-1095</x:t>
        </x:is>
      </x:c>
      <x:c r="I107" s="31" t="inlineStr">
        <x:is>
          <x:t xml:space="preserve">Уточнить ТЗ</x:t>
        </x:is>
      </x:c>
      <x:c r="J107" s="31" t="inlineStr">
        <x:is>
          <x:t xml:space="preserve">Производство</x:t>
        </x:is>
      </x:c>
      <x:c r="K107" s="31" t="n">
        <x:v>0</x:v>
      </x:c>
      <x:c r="L107" s="31" t="inlineStr">
        <x:is>
          <x:t xml:space="preserve">Нет</x:t>
        </x:is>
      </x:c>
      <x:c r="M107" s="31" t="inlineStr">
        <x:is>
          <x:t xml:space="preserve">Нет</x:t>
        </x:is>
      </x:c>
      <x:c r="N107" s="31" t="inlineStr">
        <x:is>
          <x:t xml:space="preserve">Автосоздано правилом/пользователем 11</x:t>
        </x:is>
      </x:c>
    </x:row>
    <x:row r="108" ht="18" customHeight="1">
      <x:c r="A108" s="31" t="inlineStr">
        <x:is>
          <x:t xml:space="preserve">ЗД-00107</x:t>
        </x:is>
      </x:c>
      <x:c r="B108" s="31" t="n">
        <x:v>46178</x:v>
      </x:c>
      <x:c r="C108" s="31" t="n">
        <x:v>46188</x:v>
      </x:c>
      <x:c r="D108" s="31" t="inlineStr">
        <x:is>
          <x:t xml:space="preserve">Ожидает ответа</x:t>
        </x:is>
      </x:c>
      <x:c r="E108" s="31" t="inlineStr">
        <x:is>
          <x:t xml:space="preserve">Высокий</x:t>
        </x:is>
      </x:c>
      <x:c r="F108" s="31" t="inlineStr">
        <x:is>
          <x:t xml:space="preserve">СОТР-076</x:t>
        </x:is>
      </x:c>
      <x:c r="G108" s="31" t="inlineStr">
        <x:is>
          <x:t xml:space="preserve">Счет</x:t>
        </x:is>
      </x:c>
      <x:c r="H108" s="31" t="inlineStr">
        <x:is>
          <x:t xml:space="preserve">СЧ-1075-2</x:t>
        </x:is>
      </x:c>
      <x:c r="I108" s="31" t="inlineStr">
        <x:is>
          <x:t xml:space="preserve">Напомнить об оплате</x:t>
        </x:is>
      </x:c>
      <x:c r="J108" s="31" t="inlineStr">
        <x:is>
          <x:t xml:space="preserve">Снабжение</x:t>
        </x:is>
      </x:c>
      <x:c r="K108" s="31" t="n">
        <x:v>0</x:v>
      </x:c>
      <x:c r="L108" s="31" t="inlineStr">
        <x:is>
          <x:t xml:space="preserve">Нет</x:t>
        </x:is>
      </x:c>
      <x:c r="M108" s="31" t="inlineStr">
        <x:is>
          <x:t xml:space="preserve">Нет</x:t>
        </x:is>
      </x:c>
      <x:c r="N108" s="31" t="inlineStr">
        <x:is>
          <x:t xml:space="preserve">Автосоздано правилом/пользователем 12</x:t>
        </x:is>
      </x:c>
    </x:row>
    <x:row r="109" ht="18" customHeight="1">
      <x:c r="A109" s="31" t="inlineStr">
        <x:is>
          <x:t xml:space="preserve">ЗД-00108</x:t>
        </x:is>
      </x:c>
      <x:c r="B109" s="31" t="n">
        <x:v>46140</x:v>
      </x:c>
      <x:c r="C109" s="31" t="n">
        <x:v>46147</x:v>
      </x:c>
      <x:c r="D109" s="31" t="inlineStr">
        <x:is>
          <x:t xml:space="preserve">Просрочена</x:t>
        </x:is>
      </x:c>
      <x:c r="E109" s="31" t="inlineStr">
        <x:is>
          <x:t xml:space="preserve">Средний</x:t>
        </x:is>
      </x:c>
      <x:c r="F109" s="31" t="inlineStr">
        <x:is>
          <x:t xml:space="preserve">СОТР-100</x:t>
        </x:is>
      </x:c>
      <x:c r="G109" s="31" t="inlineStr">
        <x:is>
          <x:t xml:space="preserve">ОТК</x:t>
        </x:is>
      </x:c>
      <x:c r="H109" s="31" t="inlineStr">
        <x:is>
          <x:t xml:space="preserve">ОТК-00173</x:t>
        </x:is>
      </x:c>
      <x:c r="I109" s="31" t="inlineStr">
        <x:is>
          <x:t xml:space="preserve">Заблокировать отгрузку</x:t>
        </x:is>
      </x:c>
      <x:c r="J109" s="31" t="inlineStr">
        <x:is>
          <x:t xml:space="preserve">Производство</x:t>
        </x:is>
      </x:c>
      <x:c r="K109" s="31" t="n">
        <x:v>38</x:v>
      </x:c>
      <x:c r="L109" s="31" t="inlineStr">
        <x:is>
          <x:t xml:space="preserve">Нет</x:t>
        </x:is>
      </x:c>
      <x:c r="M109" s="31" t="inlineStr">
        <x:is>
          <x:t xml:space="preserve">Нет</x:t>
        </x:is>
      </x:c>
      <x:c r="N109" s="31" t="inlineStr">
        <x:is>
          <x:t xml:space="preserve">Автосоздано правилом/пользователем 10</x:t>
        </x:is>
      </x:c>
    </x:row>
    <x:row r="110" ht="18" customHeight="1">
      <x:c r="A110" s="31" t="inlineStr">
        <x:is>
          <x:t xml:space="preserve">ЗД-00109</x:t>
        </x:is>
      </x:c>
      <x:c r="B110" s="31" t="n">
        <x:v>46124</x:v>
      </x:c>
      <x:c r="C110" s="31" t="n">
        <x:v>46127</x:v>
      </x:c>
      <x:c r="D110" s="31" t="inlineStr">
        <x:is>
          <x:t xml:space="preserve">Новая</x:t>
        </x:is>
      </x:c>
      <x:c r="E110" s="31" t="inlineStr">
        <x:is>
          <x:t xml:space="preserve">Срочный</x:t>
        </x:is>
      </x:c>
      <x:c r="F110" s="31" t="inlineStr">
        <x:is>
          <x:t xml:space="preserve">СОТР-076</x:t>
        </x:is>
      </x:c>
      <x:c r="G110" s="31" t="inlineStr">
        <x:is>
          <x:t xml:space="preserve">Счет</x:t>
        </x:is>
      </x:c>
      <x:c r="H110" s="31" t="inlineStr">
        <x:is>
          <x:t xml:space="preserve">СЧ-1061-2</x:t>
        </x:is>
      </x:c>
      <x:c r="I110" s="31" t="inlineStr">
        <x:is>
          <x:t xml:space="preserve">Напомнить об оплате</x:t>
        </x:is>
      </x:c>
      <x:c r="J110" s="31" t="inlineStr">
        <x:is>
          <x:t xml:space="preserve">Финансы</x:t>
        </x:is>
      </x:c>
      <x:c r="K110" s="31" t="n">
        <x:v>0</x:v>
      </x:c>
      <x:c r="L110" s="31" t="inlineStr">
        <x:is>
          <x:t xml:space="preserve">Нет</x:t>
        </x:is>
      </x:c>
      <x:c r="M110" s="31" t="inlineStr">
        <x:is>
          <x:t xml:space="preserve">Нет</x:t>
        </x:is>
      </x:c>
      <x:c r="N110" s="31" t="inlineStr">
        <x:is>
          <x:t xml:space="preserve">Автосоздано правилом/пользователем 9</x:t>
        </x:is>
      </x:c>
    </x:row>
    <x:row r="111" ht="18" customHeight="1">
      <x:c r="A111" s="31" t="inlineStr">
        <x:is>
          <x:t xml:space="preserve">ЗД-00110</x:t>
        </x:is>
      </x:c>
      <x:c r="B111" s="31" t="n">
        <x:v>46134</x:v>
      </x:c>
      <x:c r="C111" s="31" t="n">
        <x:v>46141</x:v>
      </x:c>
      <x:c r="D111" s="31" t="inlineStr">
        <x:is>
          <x:t xml:space="preserve">В работе</x:t>
        </x:is>
      </x:c>
      <x:c r="E111" s="31" t="inlineStr">
        <x:is>
          <x:t xml:space="preserve">Высокий</x:t>
        </x:is>
      </x:c>
      <x:c r="F111" s="31" t="inlineStr">
        <x:is>
          <x:t xml:space="preserve">СОТР-036</x:t>
        </x:is>
      </x:c>
      <x:c r="G111" s="31" t="inlineStr">
        <x:is>
          <x:t xml:space="preserve">Производственное задание</x:t>
        </x:is>
      </x:c>
      <x:c r="H111" s="31" t="inlineStr">
        <x:is>
          <x:t xml:space="preserve">ПЗ-00042</x:t>
        </x:is>
      </x:c>
      <x:c r="I111" s="31" t="inlineStr">
        <x:is>
          <x:t xml:space="preserve">Обновить готовность</x:t>
        </x:is>
      </x:c>
      <x:c r="J111" s="31" t="inlineStr">
        <x:is>
          <x:t xml:space="preserve">Производство</x:t>
        </x:is>
      </x:c>
      <x:c r="K111" s="31" t="n">
        <x:v>0</x:v>
      </x:c>
      <x:c r="L111" s="31" t="inlineStr">
        <x:is>
          <x:t xml:space="preserve">Нет</x:t>
        </x:is>
      </x:c>
      <x:c r="M111" s="31" t="inlineStr">
        <x:is>
          <x:t xml:space="preserve">Поставщик</x:t>
        </x:is>
      </x:c>
      <x:c r="N111" s="31" t="inlineStr">
        <x:is>
          <x:t xml:space="preserve">Автосоздано правилом/пользователем 8</x:t>
        </x:is>
      </x:c>
    </x:row>
    <x:row r="112" ht="18" customHeight="1">
      <x:c r="A112" s="31" t="inlineStr">
        <x:is>
          <x:t xml:space="preserve">ЗД-00111</x:t>
        </x:is>
      </x:c>
      <x:c r="B112" s="31" t="n">
        <x:v>46130</x:v>
      </x:c>
      <x:c r="C112" s="31" t="n">
        <x:v>46144</x:v>
      </x:c>
      <x:c r="D112" s="31" t="inlineStr">
        <x:is>
          <x:t xml:space="preserve">Просрочена</x:t>
        </x:is>
      </x:c>
      <x:c r="E112" s="31" t="inlineStr">
        <x:is>
          <x:t xml:space="preserve">Средний</x:t>
        </x:is>
      </x:c>
      <x:c r="F112" s="31" t="inlineStr">
        <x:is>
          <x:t xml:space="preserve">СОТР-112</x:t>
        </x:is>
      </x:c>
      <x:c r="G112" s="31" t="inlineStr">
        <x:is>
          <x:t xml:space="preserve">Счет</x:t>
        </x:is>
      </x:c>
      <x:c r="H112" s="31" t="inlineStr">
        <x:is>
          <x:t xml:space="preserve">СЧ-1129-1</x:t>
        </x:is>
      </x:c>
      <x:c r="I112" s="31" t="inlineStr">
        <x:is>
          <x:t xml:space="preserve">Напомнить об оплате</x:t>
        </x:is>
      </x:c>
      <x:c r="J112" s="31" t="inlineStr">
        <x:is>
          <x:t xml:space="preserve">Финансы</x:t>
        </x:is>
      </x:c>
      <x:c r="K112" s="31" t="n">
        <x:v>41</x:v>
      </x:c>
      <x:c r="L112" s="31" t="inlineStr">
        <x:is>
          <x:t xml:space="preserve">Да</x:t>
        </x:is>
      </x:c>
      <x:c r="M112" s="31" t="inlineStr">
        <x:is>
          <x:t xml:space="preserve">Нет</x:t>
        </x:is>
      </x:c>
      <x:c r="N112" s="31" t="inlineStr">
        <x:is>
          <x:t xml:space="preserve">Автосоздано правилом/пользователем 9</x:t>
        </x:is>
      </x:c>
    </x:row>
    <x:row r="113" ht="18" customHeight="1">
      <x:c r="A113" s="31" t="inlineStr">
        <x:is>
          <x:t xml:space="preserve">ЗД-00112</x:t>
        </x:is>
      </x:c>
      <x:c r="B113" s="31" t="n">
        <x:v>46152</x:v>
      </x:c>
      <x:c r="C113" s="31" t="n">
        <x:v>46155</x:v>
      </x:c>
      <x:c r="D113" s="31" t="inlineStr">
        <x:is>
          <x:t xml:space="preserve">Новая</x:t>
        </x:is>
      </x:c>
      <x:c r="E113" s="31" t="inlineStr">
        <x:is>
          <x:t xml:space="preserve">Срочный</x:t>
        </x:is>
      </x:c>
      <x:c r="F113" s="31" t="inlineStr">
        <x:is>
          <x:t xml:space="preserve">СОТР-061</x:t>
        </x:is>
      </x:c>
      <x:c r="G113" s="31" t="inlineStr">
        <x:is>
          <x:t xml:space="preserve">Счет</x:t>
        </x:is>
      </x:c>
      <x:c r="H113" s="31" t="inlineStr">
        <x:is>
          <x:t xml:space="preserve">СЧ-1016-2</x:t>
        </x:is>
      </x:c>
      <x:c r="I113" s="31" t="inlineStr">
        <x:is>
          <x:t xml:space="preserve">Проверить оплату</x:t>
        </x:is>
      </x:c>
      <x:c r="J113" s="31" t="inlineStr">
        <x:is>
          <x:t xml:space="preserve">Финансы</x:t>
        </x:is>
      </x:c>
      <x:c r="K113" s="31" t="n">
        <x:v>0</x:v>
      </x:c>
      <x:c r="L113" s="31" t="inlineStr">
        <x:is>
          <x:t xml:space="preserve">Нет</x:t>
        </x:is>
      </x:c>
      <x:c r="M113" s="31" t="inlineStr">
        <x:is>
          <x:t xml:space="preserve">Заказчик</x:t>
        </x:is>
      </x:c>
      <x:c r="N113" s="31" t="inlineStr">
        <x:is>
          <x:t xml:space="preserve">Автосоздано правилом/пользователем 7</x:t>
        </x:is>
      </x:c>
    </x:row>
    <x:row r="114" ht="18" customHeight="1">
      <x:c r="A114" s="31" t="inlineStr">
        <x:is>
          <x:t xml:space="preserve">ЗД-00113</x:t>
        </x:is>
      </x:c>
      <x:c r="B114" s="31" t="n">
        <x:v>46113</x:v>
      </x:c>
      <x:c r="C114" s="31" t="n">
        <x:v>46120</x:v>
      </x:c>
      <x:c r="D114" s="31" t="inlineStr">
        <x:is>
          <x:t xml:space="preserve">Ожидает ответа</x:t>
        </x:is>
      </x:c>
      <x:c r="E114" s="31" t="inlineStr">
        <x:is>
          <x:t xml:space="preserve">Средний</x:t>
        </x:is>
      </x:c>
      <x:c r="F114" s="31" t="inlineStr">
        <x:is>
          <x:t xml:space="preserve">СОТР-076</x:t>
        </x:is>
      </x:c>
      <x:c r="G114" s="31" t="inlineStr">
        <x:is>
          <x:t xml:space="preserve">Счет</x:t>
        </x:is>
      </x:c>
      <x:c r="H114" s="31" t="inlineStr">
        <x:is>
          <x:t xml:space="preserve">СЧ-1091-1</x:t>
        </x:is>
      </x:c>
      <x:c r="I114" s="31" t="inlineStr">
        <x:is>
          <x:t xml:space="preserve">Подготовить акт сверки</x:t>
        </x:is>
      </x:c>
      <x:c r="J114" s="31" t="inlineStr">
        <x:is>
          <x:t xml:space="preserve">ОТК</x:t>
        </x:is>
      </x:c>
      <x:c r="K114" s="31" t="n">
        <x:v>0</x:v>
      </x:c>
      <x:c r="L114" s="31" t="inlineStr">
        <x:is>
          <x:t xml:space="preserve">Да</x:t>
        </x:is>
      </x:c>
      <x:c r="M114" s="31" t="inlineStr">
        <x:is>
          <x:t xml:space="preserve">Нет</x:t>
        </x:is>
      </x:c>
      <x:c r="N114" s="31" t="inlineStr">
        <x:is>
          <x:t xml:space="preserve">Автосоздано правилом/пользователем 3</x:t>
        </x:is>
      </x:c>
    </x:row>
    <x:row r="115" ht="18" customHeight="1">
      <x:c r="A115" s="31" t="inlineStr">
        <x:is>
          <x:t xml:space="preserve">ЗД-00114</x:t>
        </x:is>
      </x:c>
      <x:c r="B115" s="31" t="n">
        <x:v>46138</x:v>
      </x:c>
      <x:c r="C115" s="31" t="n">
        <x:v>46152</x:v>
      </x:c>
      <x:c r="D115" s="31" t="inlineStr">
        <x:is>
          <x:t xml:space="preserve">Просрочена</x:t>
        </x:is>
      </x:c>
      <x:c r="E115" s="31" t="inlineStr">
        <x:is>
          <x:t xml:space="preserve">Средний</x:t>
        </x:is>
      </x:c>
      <x:c r="F115" s="31" t="inlineStr">
        <x:is>
          <x:t xml:space="preserve">СОТР-102</x:t>
        </x:is>
      </x:c>
      <x:c r="G115" s="31" t="inlineStr">
        <x:is>
          <x:t xml:space="preserve">ОТК</x:t>
        </x:is>
      </x:c>
      <x:c r="H115" s="31" t="inlineStr">
        <x:is>
          <x:t xml:space="preserve">ОТК-00152</x:t>
        </x:is>
      </x:c>
      <x:c r="I115" s="31" t="inlineStr">
        <x:is>
          <x:t xml:space="preserve">Согласовать приемку с замечаниями</x:t>
        </x:is>
      </x:c>
      <x:c r="J115" s="31" t="inlineStr">
        <x:is>
          <x:t xml:space="preserve">Производство</x:t>
        </x:is>
      </x:c>
      <x:c r="K115" s="31" t="n">
        <x:v>33</x:v>
      </x:c>
      <x:c r="L115" s="31" t="inlineStr">
        <x:is>
          <x:t xml:space="preserve">Да</x:t>
        </x:is>
      </x:c>
      <x:c r="M115" s="31" t="inlineStr">
        <x:is>
          <x:t xml:space="preserve">Нет</x:t>
        </x:is>
      </x:c>
      <x:c r="N115" s="31" t="inlineStr">
        <x:is>
          <x:t xml:space="preserve">Автосоздано правилом/пользователем 3</x:t>
        </x:is>
      </x:c>
    </x:row>
    <x:row r="116" ht="18" customHeight="1">
      <x:c r="A116" s="31" t="inlineStr">
        <x:is>
          <x:t xml:space="preserve">ЗД-00115</x:t>
        </x:is>
      </x:c>
      <x:c r="B116" s="31" t="n">
        <x:v>46154</x:v>
      </x:c>
      <x:c r="C116" s="31" t="n">
        <x:v>46159</x:v>
      </x:c>
      <x:c r="D116" s="31" t="inlineStr">
        <x:is>
          <x:t xml:space="preserve">Новая</x:t>
        </x:is>
      </x:c>
      <x:c r="E116" s="31" t="inlineStr">
        <x:is>
          <x:t xml:space="preserve">Низкий</x:t>
        </x:is>
      </x:c>
      <x:c r="F116" s="31" t="inlineStr">
        <x:is>
          <x:t xml:space="preserve">СОТР-004</x:t>
        </x:is>
      </x:c>
      <x:c r="G116" s="31" t="inlineStr">
        <x:is>
          <x:t xml:space="preserve">Заказ</x:t>
        </x:is>
      </x:c>
      <x:c r="H116" s="31" t="inlineStr">
        <x:is>
          <x:t xml:space="preserve">ЗК-1043</x:t>
        </x:is>
      </x:c>
      <x:c r="I116" s="31" t="inlineStr">
        <x:is>
          <x:t xml:space="preserve">Проверить лимит заказчика</x:t>
        </x:is>
      </x:c>
      <x:c r="J116" s="31" t="inlineStr">
        <x:is>
          <x:t xml:space="preserve">Производство</x:t>
        </x:is>
      </x:c>
      <x:c r="K116" s="31" t="n">
        <x:v>0</x:v>
      </x:c>
      <x:c r="L116" s="31" t="inlineStr">
        <x:is>
          <x:t xml:space="preserve">Нет</x:t>
        </x:is>
      </x:c>
      <x:c r="M116" s="31" t="inlineStr">
        <x:is>
          <x:t xml:space="preserve">Нет</x:t>
        </x:is>
      </x:c>
      <x:c r="N116" s="31" t="inlineStr">
        <x:is>
          <x:t xml:space="preserve">Автосоздано правилом/пользователем 2</x:t>
        </x:is>
      </x:c>
    </x:row>
    <x:row r="117" ht="18" customHeight="1">
      <x:c r="A117" s="31" t="inlineStr">
        <x:is>
          <x:t xml:space="preserve">ЗД-00116</x:t>
        </x:is>
      </x:c>
      <x:c r="B117" s="31" t="n">
        <x:v>46113</x:v>
      </x:c>
      <x:c r="C117" s="31" t="n">
        <x:v>46127</x:v>
      </x:c>
      <x:c r="D117" s="31" t="inlineStr">
        <x:is>
          <x:t xml:space="preserve">Выполнена</x:t>
        </x:is>
      </x:c>
      <x:c r="E117" s="31" t="inlineStr">
        <x:is>
          <x:t xml:space="preserve">Средний</x:t>
        </x:is>
      </x:c>
      <x:c r="F117" s="31" t="inlineStr">
        <x:is>
          <x:t xml:space="preserve">СОТР-009</x:t>
        </x:is>
      </x:c>
      <x:c r="G117" s="31" t="inlineStr">
        <x:is>
          <x:t xml:space="preserve">ОТК</x:t>
        </x:is>
      </x:c>
      <x:c r="H117" s="31" t="inlineStr">
        <x:is>
          <x:t xml:space="preserve">ОТК-00043</x:t>
        </x:is>
      </x:c>
      <x:c r="I117" s="31" t="inlineStr">
        <x:is>
          <x:t xml:space="preserve">Оформить корректирующие действия</x:t>
        </x:is>
      </x:c>
      <x:c r="J117" s="31" t="inlineStr">
        <x:is>
          <x:t xml:space="preserve">Продажи</x:t>
        </x:is>
      </x:c>
      <x:c r="K117" s="31" t="n">
        <x:v>0</x:v>
      </x:c>
      <x:c r="L117" s="31" t="inlineStr">
        <x:is>
          <x:t xml:space="preserve">Нет</x:t>
        </x:is>
      </x:c>
      <x:c r="M117" s="31" t="inlineStr">
        <x:is>
          <x:t xml:space="preserve">Нет</x:t>
        </x:is>
      </x:c>
      <x:c r="N117" s="31" t="inlineStr">
        <x:is>
          <x:t xml:space="preserve">Автосоздано правилом/пользователем 1</x:t>
        </x:is>
      </x:c>
    </x:row>
    <x:row r="118" ht="18" customHeight="1">
      <x:c r="A118" s="31" t="inlineStr">
        <x:is>
          <x:t xml:space="preserve">ЗД-00117</x:t>
        </x:is>
      </x:c>
      <x:c r="B118" s="31" t="n">
        <x:v>46157</x:v>
      </x:c>
      <x:c r="C118" s="31" t="n">
        <x:v>46159</x:v>
      </x:c>
      <x:c r="D118" s="31" t="inlineStr">
        <x:is>
          <x:t xml:space="preserve">Просрочена</x:t>
        </x:is>
      </x:c>
      <x:c r="E118" s="31" t="inlineStr">
        <x:is>
          <x:t xml:space="preserve">Высокий</x:t>
        </x:is>
      </x:c>
      <x:c r="F118" s="31" t="inlineStr">
        <x:is>
          <x:t xml:space="preserve">СОТР-076</x:t>
        </x:is>
      </x:c>
      <x:c r="G118" s="31" t="inlineStr">
        <x:is>
          <x:t xml:space="preserve">Счет</x:t>
        </x:is>
      </x:c>
      <x:c r="H118" s="31" t="inlineStr">
        <x:is>
          <x:t xml:space="preserve">СЧ-1002-2</x:t>
        </x:is>
      </x:c>
      <x:c r="I118" s="31" t="inlineStr">
        <x:is>
          <x:t xml:space="preserve">Согласовать отгрузку при ДЗ</x:t>
        </x:is>
      </x:c>
      <x:c r="J118" s="31" t="inlineStr">
        <x:is>
          <x:t xml:space="preserve">Продажи</x:t>
        </x:is>
      </x:c>
      <x:c r="K118" s="31" t="n">
        <x:v>26</x:v>
      </x:c>
      <x:c r="L118" s="31" t="inlineStr">
        <x:is>
          <x:t xml:space="preserve">Нет</x:t>
        </x:is>
      </x:c>
      <x:c r="M118" s="31" t="inlineStr">
        <x:is>
          <x:t xml:space="preserve">Нет</x:t>
        </x:is>
      </x:c>
      <x:c r="N118" s="31" t="inlineStr">
        <x:is>
          <x:t xml:space="preserve">Автосоздано правилом/пользователем 4</x:t>
        </x:is>
      </x:c>
    </x:row>
    <x:row r="119" ht="18" customHeight="1">
      <x:c r="A119" s="31" t="inlineStr">
        <x:is>
          <x:t xml:space="preserve">ЗД-00118</x:t>
        </x:is>
      </x:c>
      <x:c r="B119" s="31" t="n">
        <x:v>46123</x:v>
      </x:c>
      <x:c r="C119" s="31" t="n">
        <x:v>46124</x:v>
      </x:c>
      <x:c r="D119" s="31" t="inlineStr">
        <x:is>
          <x:t xml:space="preserve">Просрочена</x:t>
        </x:is>
      </x:c>
      <x:c r="E119" s="31" t="inlineStr">
        <x:is>
          <x:t xml:space="preserve">Средний</x:t>
        </x:is>
      </x:c>
      <x:c r="F119" s="31" t="inlineStr">
        <x:is>
          <x:t xml:space="preserve">СОТР-122</x:t>
        </x:is>
      </x:c>
      <x:c r="G119" s="31" t="inlineStr">
        <x:is>
          <x:t xml:space="preserve">Заказ</x:t>
        </x:is>
      </x:c>
      <x:c r="H119" s="31" t="inlineStr">
        <x:is>
          <x:t xml:space="preserve">ЗК-1035</x:t>
        </x:is>
      </x:c>
      <x:c r="I119" s="31" t="inlineStr">
        <x:is>
          <x:t xml:space="preserve">Подготовить КП</x:t>
        </x:is>
      </x:c>
      <x:c r="J119" s="31" t="inlineStr">
        <x:is>
          <x:t xml:space="preserve">Снабжение</x:t>
        </x:is>
      </x:c>
      <x:c r="K119" s="31" t="n">
        <x:v>61</x:v>
      </x:c>
      <x:c r="L119" s="31" t="inlineStr">
        <x:is>
          <x:t xml:space="preserve">Нет</x:t>
        </x:is>
      </x:c>
      <x:c r="M119" s="31" t="inlineStr">
        <x:is>
          <x:t xml:space="preserve">Нет</x:t>
        </x:is>
      </x:c>
      <x:c r="N119" s="31" t="inlineStr">
        <x:is>
          <x:t xml:space="preserve">Автосоздано правилом/пользователем 12</x:t>
        </x:is>
      </x:c>
    </x:row>
    <x:row r="120" ht="18" customHeight="1">
      <x:c r="A120" s="31" t="inlineStr">
        <x:is>
          <x:t xml:space="preserve">ЗД-00119</x:t>
        </x:is>
      </x:c>
      <x:c r="B120" s="31" t="n">
        <x:v>46172</x:v>
      </x:c>
      <x:c r="C120" s="31" t="n">
        <x:v>46177</x:v>
      </x:c>
      <x:c r="D120" s="31" t="inlineStr">
        <x:is>
          <x:t xml:space="preserve">Выполнена</x:t>
        </x:is>
      </x:c>
      <x:c r="E120" s="31" t="inlineStr">
        <x:is>
          <x:t xml:space="preserve">Высокий</x:t>
        </x:is>
      </x:c>
      <x:c r="F120" s="31" t="inlineStr">
        <x:is>
          <x:t xml:space="preserve">СОТР-063</x:t>
        </x:is>
      </x:c>
      <x:c r="G120" s="31" t="inlineStr">
        <x:is>
          <x:t xml:space="preserve">Производственное задание</x:t>
        </x:is>
      </x:c>
      <x:c r="H120" s="31" t="inlineStr">
        <x:is>
          <x:t xml:space="preserve">ПЗ-00110</x:t>
        </x:is>
      </x:c>
      <x:c r="I120" s="31" t="inlineStr">
        <x:is>
          <x:t xml:space="preserve">Разобрать простой</x:t>
        </x:is>
      </x:c>
      <x:c r="J120" s="31" t="inlineStr">
        <x:is>
          <x:t xml:space="preserve">Производство</x:t>
        </x:is>
      </x:c>
      <x:c r="K120" s="31" t="n">
        <x:v>0</x:v>
      </x:c>
      <x:c r="L120" s="31" t="inlineStr">
        <x:is>
          <x:t xml:space="preserve">Да</x:t>
        </x:is>
      </x:c>
      <x:c r="M120" s="31" t="inlineStr">
        <x:is>
          <x:t xml:space="preserve">Нет</x:t>
        </x:is>
      </x:c>
      <x:c r="N120" s="31" t="inlineStr">
        <x:is>
          <x:t xml:space="preserve">Автосоздано правилом/пользователем 1</x:t>
        </x:is>
      </x:c>
    </x:row>
    <x:row r="121" ht="18" customHeight="1">
      <x:c r="A121" s="31" t="inlineStr">
        <x:is>
          <x:t xml:space="preserve">ЗД-00120</x:t>
        </x:is>
      </x:c>
      <x:c r="B121" s="31" t="n">
        <x:v>46134</x:v>
      </x:c>
      <x:c r="C121" s="31" t="n">
        <x:v>46144</x:v>
      </x:c>
      <x:c r="D121" s="31" t="inlineStr">
        <x:is>
          <x:t xml:space="preserve">Ожидает ответа</x:t>
        </x:is>
      </x:c>
      <x:c r="E121" s="31" t="inlineStr">
        <x:is>
          <x:t xml:space="preserve">Средний</x:t>
        </x:is>
      </x:c>
      <x:c r="F121" s="31" t="inlineStr">
        <x:is>
          <x:t xml:space="preserve">СОТР-004</x:t>
        </x:is>
      </x:c>
      <x:c r="G121" s="31" t="inlineStr">
        <x:is>
          <x:t xml:space="preserve">Заказ</x:t>
        </x:is>
      </x:c>
      <x:c r="H121" s="31" t="inlineStr">
        <x:is>
          <x:t xml:space="preserve">ЗК-1087</x:t>
        </x:is>
      </x:c>
      <x:c r="I121" s="31" t="inlineStr">
        <x:is>
          <x:t xml:space="preserve">Проверить лимит заказчика</x:t>
        </x:is>
      </x:c>
      <x:c r="J121" s="31" t="inlineStr">
        <x:is>
          <x:t xml:space="preserve">Продажи</x:t>
        </x:is>
      </x:c>
      <x:c r="K121" s="31" t="n">
        <x:v>0</x:v>
      </x:c>
      <x:c r="L121" s="31" t="inlineStr">
        <x:is>
          <x:t xml:space="preserve">Нет</x:t>
        </x:is>
      </x:c>
      <x:c r="M121" s="31" t="inlineStr">
        <x:is>
          <x:t xml:space="preserve">Нет</x:t>
        </x:is>
      </x:c>
      <x:c r="N121" s="31" t="inlineStr">
        <x:is>
          <x:t xml:space="preserve">Автосоздано правилом/пользователем 2</x:t>
        </x:is>
      </x:c>
    </x:row>
    <x:row r="122" ht="18" customHeight="1">
      <x:c r="A122" s="31" t="inlineStr">
        <x:is>
          <x:t xml:space="preserve">ЗД-00121</x:t>
        </x:is>
      </x:c>
      <x:c r="B122" s="31" t="n">
        <x:v>46138</x:v>
      </x:c>
      <x:c r="C122" s="31" t="n">
        <x:v>46148</x:v>
      </x:c>
      <x:c r="D122" s="31" t="inlineStr">
        <x:is>
          <x:t xml:space="preserve">Просрочена</x:t>
        </x:is>
      </x:c>
      <x:c r="E122" s="31" t="inlineStr">
        <x:is>
          <x:t xml:space="preserve">Средний</x:t>
        </x:is>
      </x:c>
      <x:c r="F122" s="31" t="inlineStr">
        <x:is>
          <x:t xml:space="preserve">СОТР-076</x:t>
        </x:is>
      </x:c>
      <x:c r="G122" s="31" t="inlineStr">
        <x:is>
          <x:t xml:space="preserve">Счет</x:t>
        </x:is>
      </x:c>
      <x:c r="H122" s="31" t="inlineStr">
        <x:is>
          <x:t xml:space="preserve">СЧ-1120-2</x:t>
        </x:is>
      </x:c>
      <x:c r="I122" s="31" t="inlineStr">
        <x:is>
          <x:t xml:space="preserve">Напомнить об оплате</x:t>
        </x:is>
      </x:c>
      <x:c r="J122" s="31" t="inlineStr">
        <x:is>
          <x:t xml:space="preserve">Снабжение</x:t>
        </x:is>
      </x:c>
      <x:c r="K122" s="31" t="n">
        <x:v>37</x:v>
      </x:c>
      <x:c r="L122" s="31" t="inlineStr">
        <x:is>
          <x:t xml:space="preserve">Нет</x:t>
        </x:is>
      </x:c>
      <x:c r="M122" s="31" t="inlineStr">
        <x:is>
          <x:t xml:space="preserve">Нет</x:t>
        </x:is>
      </x:c>
      <x:c r="N122" s="31" t="inlineStr">
        <x:is>
          <x:t xml:space="preserve">Автосоздано правилом/пользователем 6</x:t>
        </x:is>
      </x:c>
    </x:row>
    <x:row r="123" ht="18" customHeight="1">
      <x:c r="A123" s="31" t="inlineStr">
        <x:is>
          <x:t xml:space="preserve">ЗД-00122</x:t>
        </x:is>
      </x:c>
      <x:c r="B123" s="31" t="n">
        <x:v>46185</x:v>
      </x:c>
      <x:c r="C123" s="31" t="n">
        <x:v>46190</x:v>
      </x:c>
      <x:c r="D123" s="31" t="inlineStr">
        <x:is>
          <x:t xml:space="preserve">Новая</x:t>
        </x:is>
      </x:c>
      <x:c r="E123" s="31" t="inlineStr">
        <x:is>
          <x:t xml:space="preserve">Низкий</x:t>
        </x:is>
      </x:c>
      <x:c r="F123" s="31" t="inlineStr">
        <x:is>
          <x:t xml:space="preserve">СОТР-011</x:t>
        </x:is>
      </x:c>
      <x:c r="G123" s="31" t="inlineStr">
        <x:is>
          <x:t xml:space="preserve">Производственное задание</x:t>
        </x:is>
      </x:c>
      <x:c r="H123" s="31" t="inlineStr">
        <x:is>
          <x:t xml:space="preserve">ПЗ-00120</x:t>
        </x:is>
      </x:c>
      <x:c r="I123" s="31" t="inlineStr">
        <x:is>
          <x:t xml:space="preserve">Закрыть сменный факт</x:t>
        </x:is>
      </x:c>
      <x:c r="J123" s="31" t="inlineStr">
        <x:is>
          <x:t xml:space="preserve">Сервис</x:t>
        </x:is>
      </x:c>
      <x:c r="K123" s="31" t="n">
        <x:v>0</x:v>
      </x:c>
      <x:c r="L123" s="31" t="inlineStr">
        <x:is>
          <x:t xml:space="preserve">Нет</x:t>
        </x:is>
      </x:c>
      <x:c r="M123" s="31" t="inlineStr">
        <x:is>
          <x:t xml:space="preserve">Нет</x:t>
        </x:is>
      </x:c>
      <x:c r="N123" s="31" t="inlineStr">
        <x:is>
          <x:t xml:space="preserve">Автосоздано правилом/пользователем 2</x:t>
        </x:is>
      </x:c>
    </x:row>
    <x:row r="124" ht="18" customHeight="1">
      <x:c r="A124" s="31" t="inlineStr">
        <x:is>
          <x:t xml:space="preserve">ЗД-00123</x:t>
        </x:is>
      </x:c>
      <x:c r="B124" s="31" t="n">
        <x:v>46114</x:v>
      </x:c>
      <x:c r="C124" s="31" t="n">
        <x:v>46128</x:v>
      </x:c>
      <x:c r="D124" s="31" t="inlineStr">
        <x:is>
          <x:t xml:space="preserve">В работе</x:t>
        </x:is>
      </x:c>
      <x:c r="E124" s="31" t="inlineStr">
        <x:is>
          <x:t xml:space="preserve">Средний</x:t>
        </x:is>
      </x:c>
      <x:c r="F124" s="31" t="inlineStr">
        <x:is>
          <x:t xml:space="preserve">СОТР-063</x:t>
        </x:is>
      </x:c>
      <x:c r="G124" s="31" t="inlineStr">
        <x:is>
          <x:t xml:space="preserve">Производственное задание</x:t>
        </x:is>
      </x:c>
      <x:c r="H124" s="31" t="inlineStr">
        <x:is>
          <x:t xml:space="preserve">ПЗ-00044</x:t>
        </x:is>
      </x:c>
      <x:c r="I124" s="31" t="inlineStr">
        <x:is>
          <x:t xml:space="preserve">Назначить оператора</x:t>
        </x:is>
      </x:c>
      <x:c r="J124" s="31" t="inlineStr">
        <x:is>
          <x:t xml:space="preserve">Продажи</x:t>
        </x:is>
      </x:c>
      <x:c r="K124" s="31" t="n">
        <x:v>0</x:v>
      </x:c>
      <x:c r="L124" s="31" t="inlineStr">
        <x:is>
          <x:t xml:space="preserve">Нет</x:t>
        </x:is>
      </x:c>
      <x:c r="M124" s="31" t="inlineStr">
        <x:is>
          <x:t xml:space="preserve">Нет</x:t>
        </x:is>
      </x:c>
      <x:c r="N124" s="31" t="inlineStr">
        <x:is>
          <x:t xml:space="preserve">Автосоздано правилом/пользователем 2</x:t>
        </x:is>
      </x:c>
    </x:row>
    <x:row r="125" ht="18" customHeight="1">
      <x:c r="A125" s="31" t="inlineStr">
        <x:is>
          <x:t xml:space="preserve">ЗД-00124</x:t>
        </x:is>
      </x:c>
      <x:c r="B125" s="31" t="n">
        <x:v>46177</x:v>
      </x:c>
      <x:c r="C125" s="31" t="n">
        <x:v>46187</x:v>
      </x:c>
      <x:c r="D125" s="31" t="inlineStr">
        <x:is>
          <x:t xml:space="preserve">В работе</x:t>
        </x:is>
      </x:c>
      <x:c r="E125" s="31" t="inlineStr">
        <x:is>
          <x:t xml:space="preserve">Средний</x:t>
        </x:is>
      </x:c>
      <x:c r="F125" s="31" t="inlineStr">
        <x:is>
          <x:t xml:space="preserve">СОТР-065</x:t>
        </x:is>
      </x:c>
      <x:c r="G125" s="31" t="inlineStr">
        <x:is>
          <x:t xml:space="preserve">Рекламация</x:t>
        </x:is>
      </x:c>
      <x:c r="H125" s="31" t="inlineStr">
        <x:is>
          <x:t xml:space="preserve">РЕК-00003</x:t>
        </x:is>
      </x:c>
      <x:c r="I125" s="31" t="inlineStr">
        <x:is>
          <x:t xml:space="preserve">Подготовить отчет</x:t>
        </x:is>
      </x:c>
      <x:c r="J125" s="31" t="inlineStr">
        <x:is>
          <x:t xml:space="preserve">Финансы</x:t>
        </x:is>
      </x:c>
      <x:c r="K125" s="31" t="n">
        <x:v>0</x:v>
      </x:c>
      <x:c r="L125" s="31" t="inlineStr">
        <x:is>
          <x:t xml:space="preserve">Да</x:t>
        </x:is>
      </x:c>
      <x:c r="M125" s="31" t="inlineStr">
        <x:is>
          <x:t xml:space="preserve">Нет</x:t>
        </x:is>
      </x:c>
      <x:c r="N125" s="31" t="inlineStr">
        <x:is>
          <x:t xml:space="preserve">Автосоздано правилом/пользователем 8</x:t>
        </x:is>
      </x:c>
    </x:row>
    <x:row r="126" ht="18" customHeight="1">
      <x:c r="A126" s="31" t="inlineStr">
        <x:is>
          <x:t xml:space="preserve">ЗД-00125</x:t>
        </x:is>
      </x:c>
      <x:c r="B126" s="31" t="n">
        <x:v>46124</x:v>
      </x:c>
      <x:c r="C126" s="31" t="n">
        <x:v>46138</x:v>
      </x:c>
      <x:c r="D126" s="31" t="inlineStr">
        <x:is>
          <x:t xml:space="preserve">Новая</x:t>
        </x:is>
      </x:c>
      <x:c r="E126" s="31" t="inlineStr">
        <x:is>
          <x:t xml:space="preserve">Низкий</x:t>
        </x:is>
      </x:c>
      <x:c r="F126" s="31" t="inlineStr">
        <x:is>
          <x:t xml:space="preserve">СОТР-076</x:t>
        </x:is>
      </x:c>
      <x:c r="G126" s="31" t="inlineStr">
        <x:is>
          <x:t xml:space="preserve">Счет</x:t>
        </x:is>
      </x:c>
      <x:c r="H126" s="31" t="inlineStr">
        <x:is>
          <x:t xml:space="preserve">СЧ-1050-1</x:t>
        </x:is>
      </x:c>
      <x:c r="I126" s="31" t="inlineStr">
        <x:is>
          <x:t xml:space="preserve">Согласовать отгрузку при ДЗ</x:t>
        </x:is>
      </x:c>
      <x:c r="J126" s="31" t="inlineStr">
        <x:is>
          <x:t xml:space="preserve">Продажи</x:t>
        </x:is>
      </x:c>
      <x:c r="K126" s="31" t="n">
        <x:v>0</x:v>
      </x:c>
      <x:c r="L126" s="31" t="inlineStr">
        <x:is>
          <x:t xml:space="preserve">Нет</x:t>
        </x:is>
      </x:c>
      <x:c r="M126" s="31" t="inlineStr">
        <x:is>
          <x:t xml:space="preserve">Руководитель</x:t>
        </x:is>
      </x:c>
      <x:c r="N126" s="31" t="inlineStr">
        <x:is>
          <x:t xml:space="preserve">Автосоздано правилом/пользователем 7</x:t>
        </x:is>
      </x:c>
    </x:row>
    <x:row r="127" ht="18" customHeight="1">
      <x:c r="A127" s="31" t="inlineStr">
        <x:is>
          <x:t xml:space="preserve">ЗД-00126</x:t>
        </x:is>
      </x:c>
      <x:c r="B127" s="31" t="n">
        <x:v>46166</x:v>
      </x:c>
      <x:c r="C127" s="31" t="n">
        <x:v>46176</x:v>
      </x:c>
      <x:c r="D127" s="31" t="inlineStr">
        <x:is>
          <x:t xml:space="preserve">Просрочена</x:t>
        </x:is>
      </x:c>
      <x:c r="E127" s="31" t="inlineStr">
        <x:is>
          <x:t xml:space="preserve">Средний</x:t>
        </x:is>
      </x:c>
      <x:c r="F127" s="31" t="inlineStr">
        <x:is>
          <x:t xml:space="preserve">СОТР-067</x:t>
        </x:is>
      </x:c>
      <x:c r="G127" s="31" t="inlineStr">
        <x:is>
          <x:t xml:space="preserve">Производственное задание</x:t>
        </x:is>
      </x:c>
      <x:c r="H127" s="31" t="inlineStr">
        <x:is>
          <x:t xml:space="preserve">ПЗ-00105</x:t>
        </x:is>
      </x:c>
      <x:c r="I127" s="31" t="inlineStr">
        <x:is>
          <x:t xml:space="preserve">Проверить дефицит материалов</x:t>
        </x:is>
      </x:c>
      <x:c r="J127" s="31" t="inlineStr">
        <x:is>
          <x:t xml:space="preserve">Сервис</x:t>
        </x:is>
      </x:c>
      <x:c r="K127" s="31" t="n">
        <x:v>9</x:v>
      </x:c>
      <x:c r="L127" s="31" t="inlineStr">
        <x:is>
          <x:t xml:space="preserve">Нет</x:t>
        </x:is>
      </x:c>
      <x:c r="M127" s="31" t="inlineStr">
        <x:is>
          <x:t xml:space="preserve">Поставщик</x:t>
        </x:is>
      </x:c>
      <x:c r="N127" s="31" t="inlineStr">
        <x:is>
          <x:t xml:space="preserve">Автосоздано правилом/пользователем 9</x:t>
        </x:is>
      </x:c>
    </x:row>
    <x:row r="128" ht="18" customHeight="1">
      <x:c r="A128" s="31" t="inlineStr">
        <x:is>
          <x:t xml:space="preserve">ЗД-00127</x:t>
        </x:is>
      </x:c>
      <x:c r="B128" s="31" t="n">
        <x:v>46130</x:v>
      </x:c>
      <x:c r="C128" s="31" t="n">
        <x:v>46135</x:v>
      </x:c>
      <x:c r="D128" s="31" t="inlineStr">
        <x:is>
          <x:t xml:space="preserve">Просрочена</x:t>
        </x:is>
      </x:c>
      <x:c r="E128" s="31" t="inlineStr">
        <x:is>
          <x:t xml:space="preserve">Высокий</x:t>
        </x:is>
      </x:c>
      <x:c r="F128" s="31" t="inlineStr">
        <x:is>
          <x:t xml:space="preserve">СОТР-099</x:t>
        </x:is>
      </x:c>
      <x:c r="G128" s="31" t="inlineStr">
        <x:is>
          <x:t xml:space="preserve">ОТК</x:t>
        </x:is>
      </x:c>
      <x:c r="H128" s="31" t="inlineStr">
        <x:is>
          <x:t xml:space="preserve">ОТК-00053</x:t>
        </x:is>
      </x:c>
      <x:c r="I128" s="31" t="inlineStr">
        <x:is>
          <x:t xml:space="preserve">Оформить корректирующие действия</x:t>
        </x:is>
      </x:c>
      <x:c r="J128" s="31" t="inlineStr">
        <x:is>
          <x:t xml:space="preserve">ОТК</x:t>
        </x:is>
      </x:c>
      <x:c r="K128" s="31" t="n">
        <x:v>50</x:v>
      </x:c>
      <x:c r="L128" s="31" t="inlineStr">
        <x:is>
          <x:t xml:space="preserve">Да</x:t>
        </x:is>
      </x:c>
      <x:c r="M128" s="31" t="inlineStr">
        <x:is>
          <x:t xml:space="preserve">Нет</x:t>
        </x:is>
      </x:c>
      <x:c r="N128" s="31" t="inlineStr">
        <x:is>
          <x:t xml:space="preserve">Автосоздано правилом/пользователем 5</x:t>
        </x:is>
      </x:c>
    </x:row>
    <x:row r="129" ht="18" customHeight="1">
      <x:c r="A129" s="31" t="inlineStr">
        <x:is>
          <x:t xml:space="preserve">ЗД-00128</x:t>
        </x:is>
      </x:c>
      <x:c r="B129" s="31" t="n">
        <x:v>46144</x:v>
      </x:c>
      <x:c r="C129" s="31" t="n">
        <x:v>46145</x:v>
      </x:c>
      <x:c r="D129" s="31" t="inlineStr">
        <x:is>
          <x:t xml:space="preserve">Выполнена</x:t>
        </x:is>
      </x:c>
      <x:c r="E129" s="31" t="inlineStr">
        <x:is>
          <x:t xml:space="preserve">Высокий</x:t>
        </x:is>
      </x:c>
      <x:c r="F129" s="31" t="inlineStr">
        <x:is>
          <x:t xml:space="preserve">СОТР-100</x:t>
        </x:is>
      </x:c>
      <x:c r="G129" s="31" t="inlineStr">
        <x:is>
          <x:t xml:space="preserve">ОТК</x:t>
        </x:is>
      </x:c>
      <x:c r="H129" s="31" t="inlineStr">
        <x:is>
          <x:t xml:space="preserve">ОТК-00016</x:t>
        </x:is>
      </x:c>
      <x:c r="I129" s="31" t="inlineStr">
        <x:is>
          <x:t xml:space="preserve">Проверить доработку</x:t>
        </x:is>
      </x:c>
      <x:c r="J129" s="31" t="inlineStr">
        <x:is>
          <x:t xml:space="preserve">Сервис</x:t>
        </x:is>
      </x:c>
      <x:c r="K129" s="31" t="n">
        <x:v>0</x:v>
      </x:c>
      <x:c r="L129" s="31" t="inlineStr">
        <x:is>
          <x:t xml:space="preserve">Да</x:t>
        </x:is>
      </x:c>
      <x:c r="M129" s="31" t="inlineStr">
        <x:is>
          <x:t xml:space="preserve">Нет</x:t>
        </x:is>
      </x:c>
      <x:c r="N129" s="31" t="inlineStr">
        <x:is>
          <x:t xml:space="preserve">Автосоздано правилом/пользователем 3</x:t>
        </x:is>
      </x:c>
    </x:row>
    <x:row r="130" ht="18" customHeight="1">
      <x:c r="A130" s="31" t="inlineStr">
        <x:is>
          <x:t xml:space="preserve">ЗД-00129</x:t>
        </x:is>
      </x:c>
      <x:c r="B130" s="31" t="n">
        <x:v>46118</x:v>
      </x:c>
      <x:c r="C130" s="31" t="n">
        <x:v>46119</x:v>
      </x:c>
      <x:c r="D130" s="31" t="inlineStr">
        <x:is>
          <x:t xml:space="preserve">В работе</x:t>
        </x:is>
      </x:c>
      <x:c r="E130" s="31" t="inlineStr">
        <x:is>
          <x:t xml:space="preserve">Средний</x:t>
        </x:is>
      </x:c>
      <x:c r="F130" s="31" t="inlineStr">
        <x:is>
          <x:t xml:space="preserve">СОТР-025</x:t>
        </x:is>
      </x:c>
      <x:c r="G130" s="31" t="inlineStr">
        <x:is>
          <x:t xml:space="preserve">Производственное задание</x:t>
        </x:is>
      </x:c>
      <x:c r="H130" s="31" t="inlineStr">
        <x:is>
          <x:t xml:space="preserve">ПЗ-00204</x:t>
        </x:is>
      </x:c>
      <x:c r="I130" s="31" t="inlineStr">
        <x:is>
          <x:t xml:space="preserve">Назначить оператора</x:t>
        </x:is>
      </x:c>
      <x:c r="J130" s="31" t="inlineStr">
        <x:is>
          <x:t xml:space="preserve">Продажи</x:t>
        </x:is>
      </x:c>
      <x:c r="K130" s="31" t="n">
        <x:v>0</x:v>
      </x:c>
      <x:c r="L130" s="31" t="inlineStr">
        <x:is>
          <x:t xml:space="preserve">Нет</x:t>
        </x:is>
      </x:c>
      <x:c r="M130" s="31" t="inlineStr">
        <x:is>
          <x:t xml:space="preserve">Нет</x:t>
        </x:is>
      </x:c>
      <x:c r="N130" s="31" t="inlineStr">
        <x:is>
          <x:t xml:space="preserve">Автосоздано правилом/пользователем 5</x:t>
        </x:is>
      </x:c>
    </x:row>
    <x:row r="131" ht="18" customHeight="1">
      <x:c r="A131" s="31" t="inlineStr">
        <x:is>
          <x:t xml:space="preserve">ЗД-00130</x:t>
        </x:is>
      </x:c>
      <x:c r="B131" s="31" t="n">
        <x:v>46158</x:v>
      </x:c>
      <x:c r="C131" s="31" t="n">
        <x:v>46160</x:v>
      </x:c>
      <x:c r="D131" s="31" t="inlineStr">
        <x:is>
          <x:t xml:space="preserve">Выполнена</x:t>
        </x:is>
      </x:c>
      <x:c r="E131" s="31" t="inlineStr">
        <x:is>
          <x:t xml:space="preserve">Средний</x:t>
        </x:is>
      </x:c>
      <x:c r="F131" s="31" t="inlineStr">
        <x:is>
          <x:t xml:space="preserve">СОТР-048</x:t>
        </x:is>
      </x:c>
      <x:c r="G131" s="31" t="inlineStr">
        <x:is>
          <x:t xml:space="preserve">ОТК</x:t>
        </x:is>
      </x:c>
      <x:c r="H131" s="31" t="inlineStr">
        <x:is>
          <x:t xml:space="preserve">ОТК-00073</x:t>
        </x:is>
      </x:c>
      <x:c r="I131" s="31" t="inlineStr">
        <x:is>
          <x:t xml:space="preserve">Оформить корректирующие действия</x:t>
        </x:is>
      </x:c>
      <x:c r="J131" s="31" t="inlineStr">
        <x:is>
          <x:t xml:space="preserve">Финансы</x:t>
        </x:is>
      </x:c>
      <x:c r="K131" s="31" t="n">
        <x:v>0</x:v>
      </x:c>
      <x:c r="L131" s="31" t="inlineStr">
        <x:is>
          <x:t xml:space="preserve">Нет</x:t>
        </x:is>
      </x:c>
      <x:c r="M131" s="31" t="inlineStr">
        <x:is>
          <x:t xml:space="preserve">Нет</x:t>
        </x:is>
      </x:c>
      <x:c r="N131" s="31" t="inlineStr">
        <x:is>
          <x:t xml:space="preserve">Автосоздано правилом/пользователем 8</x:t>
        </x:is>
      </x:c>
    </x:row>
    <x:row r="132" ht="18" customHeight="1">
      <x:c r="A132" s="31" t="inlineStr">
        <x:is>
          <x:t xml:space="preserve">ЗД-00131</x:t>
        </x:is>
      </x:c>
      <x:c r="B132" s="31" t="n">
        <x:v>46161</x:v>
      </x:c>
      <x:c r="C132" s="31" t="n">
        <x:v>46163</x:v>
      </x:c>
      <x:c r="D132" s="31" t="inlineStr">
        <x:is>
          <x:t xml:space="preserve">Просрочена</x:t>
        </x:is>
      </x:c>
      <x:c r="E132" s="31" t="inlineStr">
        <x:is>
          <x:t xml:space="preserve">Низкий</x:t>
        </x:is>
      </x:c>
      <x:c r="F132" s="31" t="inlineStr">
        <x:is>
          <x:t xml:space="preserve">СОТР-109</x:t>
        </x:is>
      </x:c>
      <x:c r="G132" s="31" t="inlineStr">
        <x:is>
          <x:t xml:space="preserve">Счет</x:t>
        </x:is>
      </x:c>
      <x:c r="H132" s="31" t="inlineStr">
        <x:is>
          <x:t xml:space="preserve">СЧ-1104-1</x:t>
        </x:is>
      </x:c>
      <x:c r="I132" s="31" t="inlineStr">
        <x:is>
          <x:t xml:space="preserve">Проверить оплату</x:t>
        </x:is>
      </x:c>
      <x:c r="J132" s="31" t="inlineStr">
        <x:is>
          <x:t xml:space="preserve">Снабжение</x:t>
        </x:is>
      </x:c>
      <x:c r="K132" s="31" t="n">
        <x:v>22</x:v>
      </x:c>
      <x:c r="L132" s="31" t="inlineStr">
        <x:is>
          <x:t xml:space="preserve">Нет</x:t>
        </x:is>
      </x:c>
      <x:c r="M132" s="31" t="inlineStr">
        <x:is>
          <x:t xml:space="preserve">Нет</x:t>
        </x:is>
      </x:c>
      <x:c r="N132" s="31" t="inlineStr">
        <x:is>
          <x:t xml:space="preserve">Автосоздано правилом/пользователем 2</x:t>
        </x:is>
      </x:c>
    </x:row>
    <x:row r="133" ht="18" customHeight="1">
      <x:c r="A133" s="31" t="inlineStr">
        <x:is>
          <x:t xml:space="preserve">ЗД-00132</x:t>
        </x:is>
      </x:c>
      <x:c r="B133" s="31" t="n">
        <x:v>46128</x:v>
      </x:c>
      <x:c r="C133" s="31" t="n">
        <x:v>46133</x:v>
      </x:c>
      <x:c r="D133" s="31" t="inlineStr">
        <x:is>
          <x:t xml:space="preserve">Выполнена</x:t>
        </x:is>
      </x:c>
      <x:c r="E133" s="31" t="inlineStr">
        <x:is>
          <x:t xml:space="preserve">Высокий</x:t>
        </x:is>
      </x:c>
      <x:c r="F133" s="31" t="inlineStr">
        <x:is>
          <x:t xml:space="preserve">СОТР-111</x:t>
        </x:is>
      </x:c>
      <x:c r="G133" s="31" t="inlineStr">
        <x:is>
          <x:t xml:space="preserve">Рекламация</x:t>
        </x:is>
      </x:c>
      <x:c r="H133" s="31" t="inlineStr">
        <x:is>
          <x:t xml:space="preserve">РЕК-00020</x:t>
        </x:is>
      </x:c>
      <x:c r="I133" s="31" t="inlineStr">
        <x:is>
          <x:t xml:space="preserve">Закрыть обращение</x:t>
        </x:is>
      </x:c>
      <x:c r="J133" s="31" t="inlineStr">
        <x:is>
          <x:t xml:space="preserve">Производство</x:t>
        </x:is>
      </x:c>
      <x:c r="K133" s="31" t="n">
        <x:v>0</x:v>
      </x:c>
      <x:c r="L133" s="31" t="inlineStr">
        <x:is>
          <x:t xml:space="preserve">Нет</x:t>
        </x:is>
      </x:c>
      <x:c r="M133" s="31" t="inlineStr">
        <x:is>
          <x:t xml:space="preserve">Нет</x:t>
        </x:is>
      </x:c>
      <x:c r="N133" s="31" t="inlineStr">
        <x:is>
          <x:t xml:space="preserve">Автосоздано правилом/пользователем 9</x:t>
        </x:is>
      </x:c>
    </x:row>
    <x:row r="134" ht="18" customHeight="1">
      <x:c r="A134" s="31" t="inlineStr">
        <x:is>
          <x:t xml:space="preserve">ЗД-00133</x:t>
        </x:is>
      </x:c>
      <x:c r="B134" s="31" t="n">
        <x:v>46184</x:v>
      </x:c>
      <x:c r="C134" s="31" t="n">
        <x:v>46189</x:v>
      </x:c>
      <x:c r="D134" s="31" t="inlineStr">
        <x:is>
          <x:t xml:space="preserve">Выполнена</x:t>
        </x:is>
      </x:c>
      <x:c r="E134" s="31" t="inlineStr">
        <x:is>
          <x:t xml:space="preserve">Средний</x:t>
        </x:is>
      </x:c>
      <x:c r="F134" s="31" t="inlineStr">
        <x:is>
          <x:t xml:space="preserve">СОТР-093</x:t>
        </x:is>
      </x:c>
      <x:c r="G134" s="31" t="inlineStr">
        <x:is>
          <x:t xml:space="preserve">ОТК</x:t>
        </x:is>
      </x:c>
      <x:c r="H134" s="31" t="inlineStr">
        <x:is>
          <x:t xml:space="preserve">ОТК-00170</x:t>
        </x:is>
      </x:c>
      <x:c r="I134" s="31" t="inlineStr">
        <x:is>
          <x:t xml:space="preserve">Оформить корректирующие действия</x:t>
        </x:is>
      </x:c>
      <x:c r="J134" s="31" t="inlineStr">
        <x:is>
          <x:t xml:space="preserve">Сервис</x:t>
        </x:is>
      </x:c>
      <x:c r="K134" s="31" t="n">
        <x:v>0</x:v>
      </x:c>
      <x:c r="L134" s="31" t="inlineStr">
        <x:is>
          <x:t xml:space="preserve">Нет</x:t>
        </x:is>
      </x:c>
      <x:c r="M134" s="31" t="inlineStr">
        <x:is>
          <x:t xml:space="preserve">Нет</x:t>
        </x:is>
      </x:c>
      <x:c r="N134" s="31" t="inlineStr">
        <x:is>
          <x:t xml:space="preserve">Автосоздано правилом/пользователем 4</x:t>
        </x:is>
      </x:c>
    </x:row>
    <x:row r="135" ht="18" customHeight="1">
      <x:c r="A135" s="31" t="inlineStr">
        <x:is>
          <x:t xml:space="preserve">ЗД-00134</x:t>
        </x:is>
      </x:c>
      <x:c r="B135" s="31" t="n">
        <x:v>46136</x:v>
      </x:c>
      <x:c r="C135" s="31" t="n">
        <x:v>46141</x:v>
      </x:c>
      <x:c r="D135" s="31" t="inlineStr">
        <x:is>
          <x:t xml:space="preserve">Просрочена</x:t>
        </x:is>
      </x:c>
      <x:c r="E135" s="31" t="inlineStr">
        <x:is>
          <x:t xml:space="preserve">Высокий</x:t>
        </x:is>
      </x:c>
      <x:c r="F135" s="31" t="inlineStr">
        <x:is>
          <x:t xml:space="preserve">СОТР-003</x:t>
        </x:is>
      </x:c>
      <x:c r="G135" s="31" t="inlineStr">
        <x:is>
          <x:t xml:space="preserve">Заказ</x:t>
        </x:is>
      </x:c>
      <x:c r="H135" s="31" t="inlineStr">
        <x:is>
          <x:t xml:space="preserve">ЗК-1033</x:t>
        </x:is>
      </x:c>
      <x:c r="I135" s="31" t="inlineStr">
        <x:is>
          <x:t xml:space="preserve">Согласовать скидку</x:t>
        </x:is>
      </x:c>
      <x:c r="J135" s="31" t="inlineStr">
        <x:is>
          <x:t xml:space="preserve">Снабжение</x:t>
        </x:is>
      </x:c>
      <x:c r="K135" s="31" t="n">
        <x:v>44</x:v>
      </x:c>
      <x:c r="L135" s="31" t="inlineStr">
        <x:is>
          <x:t xml:space="preserve">Да</x:t>
        </x:is>
      </x:c>
      <x:c r="M135" s="31" t="inlineStr">
        <x:is>
          <x:t xml:space="preserve">Нет</x:t>
        </x:is>
      </x:c>
      <x:c r="N135" s="31" t="inlineStr">
        <x:is>
          <x:t xml:space="preserve">Автосоздано правилом/пользователем 12</x:t>
        </x:is>
      </x:c>
    </x:row>
    <x:row r="136" ht="18" customHeight="1">
      <x:c r="A136" s="31" t="inlineStr">
        <x:is>
          <x:t xml:space="preserve">ЗД-00135</x:t>
        </x:is>
      </x:c>
      <x:c r="B136" s="31" t="n">
        <x:v>46146</x:v>
      </x:c>
      <x:c r="C136" s="31" t="n">
        <x:v>46160</x:v>
      </x:c>
      <x:c r="D136" s="31" t="inlineStr">
        <x:is>
          <x:t xml:space="preserve">Просрочена</x:t>
        </x:is>
      </x:c>
      <x:c r="E136" s="31" t="inlineStr">
        <x:is>
          <x:t xml:space="preserve">Срочный</x:t>
        </x:is>
      </x:c>
      <x:c r="F136" s="31" t="inlineStr">
        <x:is>
          <x:t xml:space="preserve">СОТР-122</x:t>
        </x:is>
      </x:c>
      <x:c r="G136" s="31" t="inlineStr">
        <x:is>
          <x:t xml:space="preserve">ОТК</x:t>
        </x:is>
      </x:c>
      <x:c r="H136" s="31" t="inlineStr">
        <x:is>
          <x:t xml:space="preserve">ОТК-00030</x:t>
        </x:is>
      </x:c>
      <x:c r="I136" s="31" t="inlineStr">
        <x:is>
          <x:t xml:space="preserve">Оформить корректирующие действия</x:t>
        </x:is>
      </x:c>
      <x:c r="J136" s="31" t="inlineStr">
        <x:is>
          <x:t xml:space="preserve">Производство</x:t>
        </x:is>
      </x:c>
      <x:c r="K136" s="31" t="n">
        <x:v>25</x:v>
      </x:c>
      <x:c r="L136" s="31" t="inlineStr">
        <x:is>
          <x:t xml:space="preserve">Нет</x:t>
        </x:is>
      </x:c>
      <x:c r="M136" s="31" t="inlineStr">
        <x:is>
          <x:t xml:space="preserve">Нет</x:t>
        </x:is>
      </x:c>
      <x:c r="N136" s="31" t="inlineStr">
        <x:is>
          <x:t xml:space="preserve">Автосоздано правилом/пользователем 7</x:t>
        </x:is>
      </x:c>
    </x:row>
    <x:row r="137" ht="18" customHeight="1">
      <x:c r="A137" s="31" t="inlineStr">
        <x:is>
          <x:t xml:space="preserve">ЗД-00136</x:t>
        </x:is>
      </x:c>
      <x:c r="B137" s="31" t="n">
        <x:v>46144</x:v>
      </x:c>
      <x:c r="C137" s="31" t="n">
        <x:v>46158</x:v>
      </x:c>
      <x:c r="D137" s="31" t="inlineStr">
        <x:is>
          <x:t xml:space="preserve">В работе</x:t>
        </x:is>
      </x:c>
      <x:c r="E137" s="31" t="inlineStr">
        <x:is>
          <x:t xml:space="preserve">Средний</x:t>
        </x:is>
      </x:c>
      <x:c r="F137" s="31" t="inlineStr">
        <x:is>
          <x:t xml:space="preserve">СОТР-073</x:t>
        </x:is>
      </x:c>
      <x:c r="G137" s="31" t="inlineStr">
        <x:is>
          <x:t xml:space="preserve">Производственное задание</x:t>
        </x:is>
      </x:c>
      <x:c r="H137" s="31" t="inlineStr">
        <x:is>
          <x:t xml:space="preserve">ПЗ-00175</x:t>
        </x:is>
      </x:c>
      <x:c r="I137" s="31" t="inlineStr">
        <x:is>
          <x:t xml:space="preserve">Обновить готовность</x:t>
        </x:is>
      </x:c>
      <x:c r="J137" s="31" t="inlineStr">
        <x:is>
          <x:t xml:space="preserve">ОТК</x:t>
        </x:is>
      </x:c>
      <x:c r="K137" s="31" t="n">
        <x:v>0</x:v>
      </x:c>
      <x:c r="L137" s="31" t="inlineStr">
        <x:is>
          <x:t xml:space="preserve">Нет</x:t>
        </x:is>
      </x:c>
      <x:c r="M137" s="31" t="inlineStr">
        <x:is>
          <x:t xml:space="preserve">Поставщик</x:t>
        </x:is>
      </x:c>
      <x:c r="N137" s="31" t="inlineStr">
        <x:is>
          <x:t xml:space="preserve">Автосоздано правилом/пользователем 6</x:t>
        </x:is>
      </x:c>
    </x:row>
    <x:row r="138" ht="18" customHeight="1">
      <x:c r="A138" s="31" t="inlineStr">
        <x:is>
          <x:t xml:space="preserve">ЗД-00137</x:t>
        </x:is>
      </x:c>
      <x:c r="B138" s="31" t="n">
        <x:v>46170</x:v>
      </x:c>
      <x:c r="C138" s="31" t="n">
        <x:v>46172</x:v>
      </x:c>
      <x:c r="D138" s="31" t="inlineStr">
        <x:is>
          <x:t xml:space="preserve">Просрочена</x:t>
        </x:is>
      </x:c>
      <x:c r="E138" s="31" t="inlineStr">
        <x:is>
          <x:t xml:space="preserve">Средний</x:t>
        </x:is>
      </x:c>
      <x:c r="F138" s="31" t="inlineStr">
        <x:is>
          <x:t xml:space="preserve">СОТР-076</x:t>
        </x:is>
      </x:c>
      <x:c r="G138" s="31" t="inlineStr">
        <x:is>
          <x:t xml:space="preserve">Счет</x:t>
        </x:is>
      </x:c>
      <x:c r="H138" s="31" t="inlineStr">
        <x:is>
          <x:t xml:space="preserve">СЧ-1079-1</x:t>
        </x:is>
      </x:c>
      <x:c r="I138" s="31" t="inlineStr">
        <x:is>
          <x:t xml:space="preserve">Согласовать отгрузку при ДЗ</x:t>
        </x:is>
      </x:c>
      <x:c r="J138" s="31" t="inlineStr">
        <x:is>
          <x:t xml:space="preserve">Продажи</x:t>
        </x:is>
      </x:c>
      <x:c r="K138" s="31" t="n">
        <x:v>13</x:v>
      </x:c>
      <x:c r="L138" s="31" t="inlineStr">
        <x:is>
          <x:t xml:space="preserve">Да</x:t>
        </x:is>
      </x:c>
      <x:c r="M138" s="31" t="inlineStr">
        <x:is>
          <x:t xml:space="preserve">Нет</x:t>
        </x:is>
      </x:c>
      <x:c r="N138" s="31" t="inlineStr">
        <x:is>
          <x:t xml:space="preserve">Автосоздано правилом/пользователем 10</x:t>
        </x:is>
      </x:c>
    </x:row>
    <x:row r="139" ht="18" customHeight="1">
      <x:c r="A139" s="31" t="inlineStr">
        <x:is>
          <x:t xml:space="preserve">ЗД-00138</x:t>
        </x:is>
      </x:c>
      <x:c r="B139" s="31" t="n">
        <x:v>46163</x:v>
      </x:c>
      <x:c r="C139" s="31" t="n">
        <x:v>46170</x:v>
      </x:c>
      <x:c r="D139" s="31" t="inlineStr">
        <x:is>
          <x:t xml:space="preserve">Выполнена</x:t>
        </x:is>
      </x:c>
      <x:c r="E139" s="31" t="inlineStr">
        <x:is>
          <x:t xml:space="preserve">Средний</x:t>
        </x:is>
      </x:c>
      <x:c r="F139" s="31" t="inlineStr">
        <x:is>
          <x:t xml:space="preserve">СОТР-099</x:t>
        </x:is>
      </x:c>
      <x:c r="G139" s="31" t="inlineStr">
        <x:is>
          <x:t xml:space="preserve">Производственное задание</x:t>
        </x:is>
      </x:c>
      <x:c r="H139" s="31" t="inlineStr">
        <x:is>
          <x:t xml:space="preserve">ПЗ-00087</x:t>
        </x:is>
      </x:c>
      <x:c r="I139" s="31" t="inlineStr">
        <x:is>
          <x:t xml:space="preserve">Проверить дефицит материалов</x:t>
        </x:is>
      </x:c>
      <x:c r="J139" s="31" t="inlineStr">
        <x:is>
          <x:t xml:space="preserve">Продажи</x:t>
        </x:is>
      </x:c>
      <x:c r="K139" s="31" t="n">
        <x:v>0</x:v>
      </x:c>
      <x:c r="L139" s="31" t="inlineStr">
        <x:is>
          <x:t xml:space="preserve">Нет</x:t>
        </x:is>
      </x:c>
      <x:c r="M139" s="31" t="inlineStr">
        <x:is>
          <x:t xml:space="preserve">Нет</x:t>
        </x:is>
      </x:c>
      <x:c r="N139" s="31" t="inlineStr">
        <x:is>
          <x:t xml:space="preserve">Автосоздано правилом/пользователем 8</x:t>
        </x:is>
      </x:c>
    </x:row>
    <x:row r="140" ht="18" customHeight="1">
      <x:c r="A140" s="31" t="inlineStr">
        <x:is>
          <x:t xml:space="preserve">ЗД-00139</x:t>
        </x:is>
      </x:c>
      <x:c r="B140" s="31" t="n">
        <x:v>46144</x:v>
      </x:c>
      <x:c r="C140" s="31" t="n">
        <x:v>46147</x:v>
      </x:c>
      <x:c r="D140" s="31" t="inlineStr">
        <x:is>
          <x:t xml:space="preserve">Выполнена</x:t>
        </x:is>
      </x:c>
      <x:c r="E140" s="31" t="inlineStr">
        <x:is>
          <x:t xml:space="preserve">Средний</x:t>
        </x:is>
      </x:c>
      <x:c r="F140" s="31" t="inlineStr">
        <x:is>
          <x:t xml:space="preserve">СОТР-112</x:t>
        </x:is>
      </x:c>
      <x:c r="G140" s="31" t="inlineStr">
        <x:is>
          <x:t xml:space="preserve">Рекламация</x:t>
        </x:is>
      </x:c>
      <x:c r="H140" s="31" t="inlineStr">
        <x:is>
          <x:t xml:space="preserve">РЕК-00009</x:t>
        </x:is>
      </x:c>
      <x:c r="I140" s="31" t="inlineStr">
        <x:is>
          <x:t xml:space="preserve">Подготовить отчет</x:t>
        </x:is>
      </x:c>
      <x:c r="J140" s="31" t="inlineStr">
        <x:is>
          <x:t xml:space="preserve">Продажи</x:t>
        </x:is>
      </x:c>
      <x:c r="K140" s="31" t="n">
        <x:v>0</x:v>
      </x:c>
      <x:c r="L140" s="31" t="inlineStr">
        <x:is>
          <x:t xml:space="preserve">Нет</x:t>
        </x:is>
      </x:c>
      <x:c r="M140" s="31" t="inlineStr">
        <x:is>
          <x:t xml:space="preserve">Нет</x:t>
        </x:is>
      </x:c>
      <x:c r="N140" s="31" t="inlineStr">
        <x:is>
          <x:t xml:space="preserve">Автосоздано правилом/пользователем 5</x:t>
        </x:is>
      </x:c>
    </x:row>
    <x:row r="141" ht="18" customHeight="1">
      <x:c r="A141" s="31" t="inlineStr">
        <x:is>
          <x:t xml:space="preserve">ЗД-00140</x:t>
        </x:is>
      </x:c>
      <x:c r="B141" s="31" t="n">
        <x:v>46142</x:v>
      </x:c>
      <x:c r="C141" s="31" t="n">
        <x:v>46152</x:v>
      </x:c>
      <x:c r="D141" s="31" t="inlineStr">
        <x:is>
          <x:t xml:space="preserve">Просрочена</x:t>
        </x:is>
      </x:c>
      <x:c r="E141" s="31" t="inlineStr">
        <x:is>
          <x:t xml:space="preserve">Срочный</x:t>
        </x:is>
      </x:c>
      <x:c r="F141" s="31" t="inlineStr">
        <x:is>
          <x:t xml:space="preserve">СОТР-076</x:t>
        </x:is>
      </x:c>
      <x:c r="G141" s="31" t="inlineStr">
        <x:is>
          <x:t xml:space="preserve">Счет</x:t>
        </x:is>
      </x:c>
      <x:c r="H141" s="31" t="inlineStr">
        <x:is>
          <x:t xml:space="preserve">СЧ-1043-1</x:t>
        </x:is>
      </x:c>
      <x:c r="I141" s="31" t="inlineStr">
        <x:is>
          <x:t xml:space="preserve">Напомнить об оплате</x:t>
        </x:is>
      </x:c>
      <x:c r="J141" s="31" t="inlineStr">
        <x:is>
          <x:t xml:space="preserve">Финансы</x:t>
        </x:is>
      </x:c>
      <x:c r="K141" s="31" t="n">
        <x:v>33</x:v>
      </x:c>
      <x:c r="L141" s="31" t="inlineStr">
        <x:is>
          <x:t xml:space="preserve">Да</x:t>
        </x:is>
      </x:c>
      <x:c r="M141" s="31" t="inlineStr">
        <x:is>
          <x:t xml:space="preserve">Нет</x:t>
        </x:is>
      </x:c>
      <x:c r="N141" s="31" t="inlineStr">
        <x:is>
          <x:t xml:space="preserve">Автосоздано правилом/пользователем 5</x:t>
        </x:is>
      </x:c>
    </x:row>
    <x:row r="142" ht="18" customHeight="1">
      <x:c r="A142" s="31" t="inlineStr">
        <x:is>
          <x:t xml:space="preserve">ЗД-00141</x:t>
        </x:is>
      </x:c>
      <x:c r="B142" s="31" t="n">
        <x:v>46144</x:v>
      </x:c>
      <x:c r="C142" s="31" t="n">
        <x:v>46158</x:v>
      </x:c>
      <x:c r="D142" s="31" t="inlineStr">
        <x:is>
          <x:t xml:space="preserve">Выполнена</x:t>
        </x:is>
      </x:c>
      <x:c r="E142" s="31" t="inlineStr">
        <x:is>
          <x:t xml:space="preserve">Срочный</x:t>
        </x:is>
      </x:c>
      <x:c r="F142" s="31" t="inlineStr">
        <x:is>
          <x:t xml:space="preserve">СОТР-063</x:t>
        </x:is>
      </x:c>
      <x:c r="G142" s="31" t="inlineStr">
        <x:is>
          <x:t xml:space="preserve">Производственное задание</x:t>
        </x:is>
      </x:c>
      <x:c r="H142" s="31" t="inlineStr">
        <x:is>
          <x:t xml:space="preserve">ПЗ-00110</x:t>
        </x:is>
      </x:c>
      <x:c r="I142" s="31" t="inlineStr">
        <x:is>
          <x:t xml:space="preserve">Назначить оператора</x:t>
        </x:is>
      </x:c>
      <x:c r="J142" s="31" t="inlineStr">
        <x:is>
          <x:t xml:space="preserve">Производство</x:t>
        </x:is>
      </x:c>
      <x:c r="K142" s="31" t="n">
        <x:v>0</x:v>
      </x:c>
      <x:c r="L142" s="31" t="inlineStr">
        <x:is>
          <x:t xml:space="preserve">Нет</x:t>
        </x:is>
      </x:c>
      <x:c r="M142" s="31" t="inlineStr">
        <x:is>
          <x:t xml:space="preserve">Нет</x:t>
        </x:is>
      </x:c>
      <x:c r="N142" s="31" t="inlineStr">
        <x:is>
          <x:t xml:space="preserve">Автосоздано правилом/пользователем 9</x:t>
        </x:is>
      </x:c>
    </x:row>
    <x:row r="143" ht="18" customHeight="1">
      <x:c r="A143" s="31" t="inlineStr">
        <x:is>
          <x:t xml:space="preserve">ЗД-00142</x:t>
        </x:is>
      </x:c>
      <x:c r="B143" s="31" t="n">
        <x:v>46168</x:v>
      </x:c>
      <x:c r="C143" s="31" t="n">
        <x:v>46170</x:v>
      </x:c>
      <x:c r="D143" s="31" t="inlineStr">
        <x:is>
          <x:t xml:space="preserve">В работе</x:t>
        </x:is>
      </x:c>
      <x:c r="E143" s="31" t="inlineStr">
        <x:is>
          <x:t xml:space="preserve">Высокий</x:t>
        </x:is>
      </x:c>
      <x:c r="F143" s="31" t="inlineStr">
        <x:is>
          <x:t xml:space="preserve">СОТР-017</x:t>
        </x:is>
      </x:c>
      <x:c r="G143" s="31" t="inlineStr">
        <x:is>
          <x:t xml:space="preserve">Производственное задание</x:t>
        </x:is>
      </x:c>
      <x:c r="H143" s="31" t="inlineStr">
        <x:is>
          <x:t xml:space="preserve">ПЗ-00047</x:t>
        </x:is>
      </x:c>
      <x:c r="I143" s="31" t="inlineStr">
        <x:is>
          <x:t xml:space="preserve">Проверить дефицит материалов</x:t>
        </x:is>
      </x:c>
      <x:c r="J143" s="31" t="inlineStr">
        <x:is>
          <x:t xml:space="preserve">Производство</x:t>
        </x:is>
      </x:c>
      <x:c r="K143" s="31" t="n">
        <x:v>0</x:v>
      </x:c>
      <x:c r="L143" s="31" t="inlineStr">
        <x:is>
          <x:t xml:space="preserve">Нет</x:t>
        </x:is>
      </x:c>
      <x:c r="M143" s="31" t="inlineStr">
        <x:is>
          <x:t xml:space="preserve">Заказчик</x:t>
        </x:is>
      </x:c>
      <x:c r="N143" s="31" t="inlineStr">
        <x:is>
          <x:t xml:space="preserve">Автосоздано правилом/пользователем 3</x:t>
        </x:is>
      </x:c>
    </x:row>
    <x:row r="144" ht="18" customHeight="1">
      <x:c r="A144" s="31" t="inlineStr">
        <x:is>
          <x:t xml:space="preserve">ЗД-00143</x:t>
        </x:is>
      </x:c>
      <x:c r="B144" s="31" t="n">
        <x:v>46132</x:v>
      </x:c>
      <x:c r="C144" s="31" t="n">
        <x:v>46146</x:v>
      </x:c>
      <x:c r="D144" s="31" t="inlineStr">
        <x:is>
          <x:t xml:space="preserve">В работе</x:t>
        </x:is>
      </x:c>
      <x:c r="E144" s="31" t="inlineStr">
        <x:is>
          <x:t xml:space="preserve">Средний</x:t>
        </x:is>
      </x:c>
      <x:c r="F144" s="31" t="inlineStr">
        <x:is>
          <x:t xml:space="preserve">СОТР-073</x:t>
        </x:is>
      </x:c>
      <x:c r="G144" s="31" t="inlineStr">
        <x:is>
          <x:t xml:space="preserve">Рекламация</x:t>
        </x:is>
      </x:c>
      <x:c r="H144" s="31" t="inlineStr">
        <x:is>
          <x:t xml:space="preserve">РЕК-00016</x:t>
        </x:is>
      </x:c>
      <x:c r="I144" s="31" t="inlineStr">
        <x:is>
          <x:t xml:space="preserve">Согласовать выезд</x:t>
        </x:is>
      </x:c>
      <x:c r="J144" s="31" t="inlineStr">
        <x:is>
          <x:t xml:space="preserve">Финансы</x:t>
        </x:is>
      </x:c>
      <x:c r="K144" s="31" t="n">
        <x:v>0</x:v>
      </x:c>
      <x:c r="L144" s="31" t="inlineStr">
        <x:is>
          <x:t xml:space="preserve">Нет</x:t>
        </x:is>
      </x:c>
      <x:c r="M144" s="31" t="inlineStr">
        <x:is>
          <x:t xml:space="preserve">Руководитель</x:t>
        </x:is>
      </x:c>
      <x:c r="N144" s="31" t="inlineStr">
        <x:is>
          <x:t xml:space="preserve">Автосоздано правилом/пользователем 12</x:t>
        </x:is>
      </x:c>
    </x:row>
    <x:row r="145" ht="18" customHeight="1">
      <x:c r="A145" s="31" t="inlineStr">
        <x:is>
          <x:t xml:space="preserve">ЗД-00144</x:t>
        </x:is>
      </x:c>
      <x:c r="B145" s="31" t="n">
        <x:v>46171</x:v>
      </x:c>
      <x:c r="C145" s="31" t="n">
        <x:v>46173</x:v>
      </x:c>
      <x:c r="D145" s="31" t="inlineStr">
        <x:is>
          <x:t xml:space="preserve">В работе</x:t>
        </x:is>
      </x:c>
      <x:c r="E145" s="31" t="inlineStr">
        <x:is>
          <x:t xml:space="preserve">Средний</x:t>
        </x:is>
      </x:c>
      <x:c r="F145" s="31" t="inlineStr">
        <x:is>
          <x:t xml:space="preserve">СОТР-099</x:t>
        </x:is>
      </x:c>
      <x:c r="G145" s="31" t="inlineStr">
        <x:is>
          <x:t xml:space="preserve">ОТК</x:t>
        </x:is>
      </x:c>
      <x:c r="H145" s="31" t="inlineStr">
        <x:is>
          <x:t xml:space="preserve">ОТК-00036</x:t>
        </x:is>
      </x:c>
      <x:c r="I145" s="31" t="inlineStr">
        <x:is>
          <x:t xml:space="preserve">Оформить корректирующие действия</x:t>
        </x:is>
      </x:c>
      <x:c r="J145" s="31" t="inlineStr">
        <x:is>
          <x:t xml:space="preserve">ОТК</x:t>
        </x:is>
      </x:c>
      <x:c r="K145" s="31" t="n">
        <x:v>0</x:v>
      </x:c>
      <x:c r="L145" s="31" t="inlineStr">
        <x:is>
          <x:t xml:space="preserve">Да</x:t>
        </x:is>
      </x:c>
      <x:c r="M145" s="31" t="inlineStr">
        <x:is>
          <x:t xml:space="preserve">Нет</x:t>
        </x:is>
      </x:c>
      <x:c r="N145" s="31" t="inlineStr">
        <x:is>
          <x:t xml:space="preserve">Автосоздано правилом/пользователем 8</x:t>
        </x:is>
      </x:c>
    </x:row>
    <x:row r="146" ht="18" customHeight="1">
      <x:c r="A146" s="31" t="inlineStr">
        <x:is>
          <x:t xml:space="preserve">ЗД-00145</x:t>
        </x:is>
      </x:c>
      <x:c r="B146" s="31" t="n">
        <x:v>46146</x:v>
      </x:c>
      <x:c r="C146" s="31" t="n">
        <x:v>46147</x:v>
      </x:c>
      <x:c r="D146" s="31" t="inlineStr">
        <x:is>
          <x:t xml:space="preserve">Просрочена</x:t>
        </x:is>
      </x:c>
      <x:c r="E146" s="31" t="inlineStr">
        <x:is>
          <x:t xml:space="preserve">Высокий</x:t>
        </x:is>
      </x:c>
      <x:c r="F146" s="31" t="inlineStr">
        <x:is>
          <x:t xml:space="preserve">СОТР-070</x:t>
        </x:is>
      </x:c>
      <x:c r="G146" s="31" t="inlineStr">
        <x:is>
          <x:t xml:space="preserve">Счет</x:t>
        </x:is>
      </x:c>
      <x:c r="H146" s="31" t="inlineStr">
        <x:is>
          <x:t xml:space="preserve">СЧ-1091-1</x:t>
        </x:is>
      </x:c>
      <x:c r="I146" s="31" t="inlineStr">
        <x:is>
          <x:t xml:space="preserve">Напомнить об оплате</x:t>
        </x:is>
      </x:c>
      <x:c r="J146" s="31" t="inlineStr">
        <x:is>
          <x:t xml:space="preserve">Снабжение</x:t>
        </x:is>
      </x:c>
      <x:c r="K146" s="31" t="n">
        <x:v>38</x:v>
      </x:c>
      <x:c r="L146" s="31" t="inlineStr">
        <x:is>
          <x:t xml:space="preserve">Нет</x:t>
        </x:is>
      </x:c>
      <x:c r="M146" s="31" t="inlineStr">
        <x:is>
          <x:t xml:space="preserve">Нет</x:t>
        </x:is>
      </x:c>
      <x:c r="N146" s="31" t="inlineStr">
        <x:is>
          <x:t xml:space="preserve">Автосоздано правилом/пользователем 6</x:t>
        </x:is>
      </x:c>
    </x:row>
    <x:row r="147" ht="18" customHeight="1">
      <x:c r="A147" s="31" t="inlineStr">
        <x:is>
          <x:t xml:space="preserve">ЗД-00146</x:t>
        </x:is>
      </x:c>
      <x:c r="B147" s="31" t="n">
        <x:v>46165</x:v>
      </x:c>
      <x:c r="C147" s="31" t="n">
        <x:v>46172</x:v>
      </x:c>
      <x:c r="D147" s="31" t="inlineStr">
        <x:is>
          <x:t xml:space="preserve">Просрочена</x:t>
        </x:is>
      </x:c>
      <x:c r="E147" s="31" t="inlineStr">
        <x:is>
          <x:t xml:space="preserve">Средний</x:t>
        </x:is>
      </x:c>
      <x:c r="F147" s="31" t="inlineStr">
        <x:is>
          <x:t xml:space="preserve">СОТР-096</x:t>
        </x:is>
      </x:c>
      <x:c r="G147" s="31" t="inlineStr">
        <x:is>
          <x:t xml:space="preserve">Производственное задание</x:t>
        </x:is>
      </x:c>
      <x:c r="H147" s="31" t="inlineStr">
        <x:is>
          <x:t xml:space="preserve">ПЗ-00120</x:t>
        </x:is>
      </x:c>
      <x:c r="I147" s="31" t="inlineStr">
        <x:is>
          <x:t xml:space="preserve">Разобрать простой</x:t>
        </x:is>
      </x:c>
      <x:c r="J147" s="31" t="inlineStr">
        <x:is>
          <x:t xml:space="preserve">Производство</x:t>
        </x:is>
      </x:c>
      <x:c r="K147" s="31" t="n">
        <x:v>13</x:v>
      </x:c>
      <x:c r="L147" s="31" t="inlineStr">
        <x:is>
          <x:t xml:space="preserve">Нет</x:t>
        </x:is>
      </x:c>
      <x:c r="M147" s="31" t="inlineStr">
        <x:is>
          <x:t xml:space="preserve">Нет</x:t>
        </x:is>
      </x:c>
      <x:c r="N147" s="31" t="inlineStr">
        <x:is>
          <x:t xml:space="preserve">Автосоздано правилом/пользователем 4</x:t>
        </x:is>
      </x:c>
    </x:row>
    <x:row r="148" ht="18" customHeight="1">
      <x:c r="A148" s="31" t="inlineStr">
        <x:is>
          <x:t xml:space="preserve">ЗД-00147</x:t>
        </x:is>
      </x:c>
      <x:c r="B148" s="31" t="n">
        <x:v>46139</x:v>
      </x:c>
      <x:c r="C148" s="31" t="n">
        <x:v>46140</x:v>
      </x:c>
      <x:c r="D148" s="31" t="inlineStr">
        <x:is>
          <x:t xml:space="preserve">Просрочена</x:t>
        </x:is>
      </x:c>
      <x:c r="E148" s="31" t="inlineStr">
        <x:is>
          <x:t xml:space="preserve">Высокий</x:t>
        </x:is>
      </x:c>
      <x:c r="F148" s="31" t="inlineStr">
        <x:is>
          <x:t xml:space="preserve">СОТР-099</x:t>
        </x:is>
      </x:c>
      <x:c r="G148" s="31" t="inlineStr">
        <x:is>
          <x:t xml:space="preserve">ОТК</x:t>
        </x:is>
      </x:c>
      <x:c r="H148" s="31" t="inlineStr">
        <x:is>
          <x:t xml:space="preserve">ОТК-00021</x:t>
        </x:is>
      </x:c>
      <x:c r="I148" s="31" t="inlineStr">
        <x:is>
          <x:t xml:space="preserve">Проверить доработку</x:t>
        </x:is>
      </x:c>
      <x:c r="J148" s="31" t="inlineStr">
        <x:is>
          <x:t xml:space="preserve">Продажи</x:t>
        </x:is>
      </x:c>
      <x:c r="K148" s="31" t="n">
        <x:v>45</x:v>
      </x:c>
      <x:c r="L148" s="31" t="inlineStr">
        <x:is>
          <x:t xml:space="preserve">Нет</x:t>
        </x:is>
      </x:c>
      <x:c r="M148" s="31" t="inlineStr">
        <x:is>
          <x:t xml:space="preserve">Нет</x:t>
        </x:is>
      </x:c>
      <x:c r="N148" s="31" t="inlineStr">
        <x:is>
          <x:t xml:space="preserve">Автосоздано правилом/пользователем 11</x:t>
        </x:is>
      </x:c>
    </x:row>
    <x:row r="149" ht="18" customHeight="1">
      <x:c r="A149" s="31" t="inlineStr">
        <x:is>
          <x:t xml:space="preserve">ЗД-00148</x:t>
        </x:is>
      </x:c>
      <x:c r="B149" s="31" t="n">
        <x:v>46174</x:v>
      </x:c>
      <x:c r="C149" s="31" t="n">
        <x:v>46175</x:v>
      </x:c>
      <x:c r="D149" s="31" t="inlineStr">
        <x:is>
          <x:t xml:space="preserve">Новая</x:t>
        </x:is>
      </x:c>
      <x:c r="E149" s="31" t="inlineStr">
        <x:is>
          <x:t xml:space="preserve">Средний</x:t>
        </x:is>
      </x:c>
      <x:c r="F149" s="31" t="inlineStr">
        <x:is>
          <x:t xml:space="preserve">СОТР-096</x:t>
        </x:is>
      </x:c>
      <x:c r="G149" s="31" t="inlineStr">
        <x:is>
          <x:t xml:space="preserve">ОТК</x:t>
        </x:is>
      </x:c>
      <x:c r="H149" s="31" t="inlineStr">
        <x:is>
          <x:t xml:space="preserve">ОТК-00025</x:t>
        </x:is>
      </x:c>
      <x:c r="I149" s="31" t="inlineStr">
        <x:is>
          <x:t xml:space="preserve">Проверить доработку</x:t>
        </x:is>
      </x:c>
      <x:c r="J149" s="31" t="inlineStr">
        <x:is>
          <x:t xml:space="preserve">Продажи</x:t>
        </x:is>
      </x:c>
      <x:c r="K149" s="31" t="n">
        <x:v>0</x:v>
      </x:c>
      <x:c r="L149" s="31" t="inlineStr">
        <x:is>
          <x:t xml:space="preserve">Да</x:t>
        </x:is>
      </x:c>
      <x:c r="M149" s="31" t="inlineStr">
        <x:is>
          <x:t xml:space="preserve">Нет</x:t>
        </x:is>
      </x:c>
      <x:c r="N149" s="31" t="inlineStr">
        <x:is>
          <x:t xml:space="preserve">Автосоздано правилом/пользователем 3</x:t>
        </x:is>
      </x:c>
    </x:row>
    <x:row r="150" ht="18" customHeight="1">
      <x:c r="A150" s="31" t="inlineStr">
        <x:is>
          <x:t xml:space="preserve">ЗД-00149</x:t>
        </x:is>
      </x:c>
      <x:c r="B150" s="31" t="n">
        <x:v>46137</x:v>
      </x:c>
      <x:c r="C150" s="31" t="n">
        <x:v>46140</x:v>
      </x:c>
      <x:c r="D150" s="31" t="inlineStr">
        <x:is>
          <x:t xml:space="preserve">Просрочена</x:t>
        </x:is>
      </x:c>
      <x:c r="E150" s="31" t="inlineStr">
        <x:is>
          <x:t xml:space="preserve">Средний</x:t>
        </x:is>
      </x:c>
      <x:c r="F150" s="31" t="inlineStr">
        <x:is>
          <x:t xml:space="preserve">СОТР-095</x:t>
        </x:is>
      </x:c>
      <x:c r="G150" s="31" t="inlineStr">
        <x:is>
          <x:t xml:space="preserve">ОТК</x:t>
        </x:is>
      </x:c>
      <x:c r="H150" s="31" t="inlineStr">
        <x:is>
          <x:t xml:space="preserve">ОТК-00175</x:t>
        </x:is>
      </x:c>
      <x:c r="I150" s="31" t="inlineStr">
        <x:is>
          <x:t xml:space="preserve">Согласовать приемку с замечаниями</x:t>
        </x:is>
      </x:c>
      <x:c r="J150" s="31" t="inlineStr">
        <x:is>
          <x:t xml:space="preserve">Снабжение</x:t>
        </x:is>
      </x:c>
      <x:c r="K150" s="31" t="n">
        <x:v>45</x:v>
      </x:c>
      <x:c r="L150" s="31" t="inlineStr">
        <x:is>
          <x:t xml:space="preserve">Нет</x:t>
        </x:is>
      </x:c>
      <x:c r="M150" s="31" t="inlineStr">
        <x:is>
          <x:t xml:space="preserve">Заказчик</x:t>
        </x:is>
      </x:c>
      <x:c r="N150" s="31" t="inlineStr">
        <x:is>
          <x:t xml:space="preserve">Автосоздано правилом/пользователем 9</x:t>
        </x:is>
      </x:c>
    </x:row>
    <x:row r="151" ht="18" customHeight="1">
      <x:c r="A151" s="31" t="inlineStr">
        <x:is>
          <x:t xml:space="preserve">ЗД-00150</x:t>
        </x:is>
      </x:c>
      <x:c r="B151" s="31" t="n">
        <x:v>46160</x:v>
      </x:c>
      <x:c r="C151" s="31" t="n">
        <x:v>46162</x:v>
      </x:c>
      <x:c r="D151" s="31" t="inlineStr">
        <x:is>
          <x:t xml:space="preserve">Выполнена</x:t>
        </x:is>
      </x:c>
      <x:c r="E151" s="31" t="inlineStr">
        <x:is>
          <x:t xml:space="preserve">Высокий</x:t>
        </x:is>
      </x:c>
      <x:c r="F151" s="31" t="inlineStr">
        <x:is>
          <x:t xml:space="preserve">СОТР-099</x:t>
        </x:is>
      </x:c>
      <x:c r="G151" s="31" t="inlineStr">
        <x:is>
          <x:t xml:space="preserve">Производственное задание</x:t>
        </x:is>
      </x:c>
      <x:c r="H151" s="31" t="inlineStr">
        <x:is>
          <x:t xml:space="preserve">ПЗ-00048</x:t>
        </x:is>
      </x:c>
      <x:c r="I151" s="31" t="inlineStr">
        <x:is>
          <x:t xml:space="preserve">Разобрать простой</x:t>
        </x:is>
      </x:c>
      <x:c r="J151" s="31" t="inlineStr">
        <x:is>
          <x:t xml:space="preserve">Финансы</x:t>
        </x:is>
      </x:c>
      <x:c r="K151" s="31" t="n">
        <x:v>0</x:v>
      </x:c>
      <x:c r="L151" s="31" t="inlineStr">
        <x:is>
          <x:t xml:space="preserve">Нет</x:t>
        </x:is>
      </x:c>
      <x:c r="M151" s="31" t="inlineStr">
        <x:is>
          <x:t xml:space="preserve">Нет</x:t>
        </x:is>
      </x:c>
      <x:c r="N151" s="31" t="inlineStr">
        <x:is>
          <x:t xml:space="preserve">Автосоздано правилом/пользователем 5</x:t>
        </x:is>
      </x:c>
    </x:row>
    <x:row r="152" ht="18" customHeight="1">
      <x:c r="A152" s="31" t="inlineStr">
        <x:is>
          <x:t xml:space="preserve">ЗД-00151</x:t>
        </x:is>
      </x:c>
      <x:c r="B152" s="31" t="n">
        <x:v>46178</x:v>
      </x:c>
      <x:c r="C152" s="31" t="n">
        <x:v>46183</x:v>
      </x:c>
      <x:c r="D152" s="31" t="inlineStr">
        <x:is>
          <x:t xml:space="preserve">В работе</x:t>
        </x:is>
      </x:c>
      <x:c r="E152" s="31" t="inlineStr">
        <x:is>
          <x:t xml:space="preserve">Средний</x:t>
        </x:is>
      </x:c>
      <x:c r="F152" s="31" t="inlineStr">
        <x:is>
          <x:t xml:space="preserve">СОТР-058</x:t>
        </x:is>
      </x:c>
      <x:c r="G152" s="31" t="inlineStr">
        <x:is>
          <x:t xml:space="preserve">Производственное задание</x:t>
        </x:is>
      </x:c>
      <x:c r="H152" s="31" t="inlineStr">
        <x:is>
          <x:t xml:space="preserve">ПЗ-00123</x:t>
        </x:is>
      </x:c>
      <x:c r="I152" s="31" t="inlineStr">
        <x:is>
          <x:t xml:space="preserve">Разобрать простой</x:t>
        </x:is>
      </x:c>
      <x:c r="J152" s="31" t="inlineStr">
        <x:is>
          <x:t xml:space="preserve">Сервис</x:t>
        </x:is>
      </x:c>
      <x:c r="K152" s="31" t="n">
        <x:v>0</x:v>
      </x:c>
      <x:c r="L152" s="31" t="inlineStr">
        <x:is>
          <x:t xml:space="preserve">Да</x:t>
        </x:is>
      </x:c>
      <x:c r="M152" s="31" t="inlineStr">
        <x:is>
          <x:t xml:space="preserve">Нет</x:t>
        </x:is>
      </x:c>
      <x:c r="N152" s="31" t="inlineStr">
        <x:is>
          <x:t xml:space="preserve">Автосоздано правилом/пользователем 3</x:t>
        </x:is>
      </x:c>
    </x:row>
    <x:row r="153" ht="18" customHeight="1">
      <x:c r="A153" s="31" t="inlineStr">
        <x:is>
          <x:t xml:space="preserve">ЗД-00152</x:t>
        </x:is>
      </x:c>
      <x:c r="B153" s="31" t="n">
        <x:v>46148</x:v>
      </x:c>
      <x:c r="C153" s="31" t="n">
        <x:v>46150</x:v>
      </x:c>
      <x:c r="D153" s="31" t="inlineStr">
        <x:is>
          <x:t xml:space="preserve">Просрочена</x:t>
        </x:is>
      </x:c>
      <x:c r="E153" s="31" t="inlineStr">
        <x:is>
          <x:t xml:space="preserve">Средний</x:t>
        </x:is>
      </x:c>
      <x:c r="F153" s="31" t="inlineStr">
        <x:is>
          <x:t xml:space="preserve">СОТР-076</x:t>
        </x:is>
      </x:c>
      <x:c r="G153" s="31" t="inlineStr">
        <x:is>
          <x:t xml:space="preserve">Счет</x:t>
        </x:is>
      </x:c>
      <x:c r="H153" s="31" t="inlineStr">
        <x:is>
          <x:t xml:space="preserve">СЧ-1047-1</x:t>
        </x:is>
      </x:c>
      <x:c r="I153" s="31" t="inlineStr">
        <x:is>
          <x:t xml:space="preserve">Согласовать отгрузку при ДЗ</x:t>
        </x:is>
      </x:c>
      <x:c r="J153" s="31" t="inlineStr">
        <x:is>
          <x:t xml:space="preserve">Финансы</x:t>
        </x:is>
      </x:c>
      <x:c r="K153" s="31" t="n">
        <x:v>35</x:v>
      </x:c>
      <x:c r="L153" s="31" t="inlineStr">
        <x:is>
          <x:t xml:space="preserve">Нет</x:t>
        </x:is>
      </x:c>
      <x:c r="M153" s="31" t="inlineStr">
        <x:is>
          <x:t xml:space="preserve">Нет</x:t>
        </x:is>
      </x:c>
      <x:c r="N153" s="31" t="inlineStr">
        <x:is>
          <x:t xml:space="preserve">Автосоздано правилом/пользователем 4</x:t>
        </x:is>
      </x:c>
    </x:row>
    <x:row r="154" ht="18" customHeight="1">
      <x:c r="A154" s="31" t="inlineStr">
        <x:is>
          <x:t xml:space="preserve">ЗД-00153</x:t>
        </x:is>
      </x:c>
      <x:c r="B154" s="31" t="n">
        <x:v>46121</x:v>
      </x:c>
      <x:c r="C154" s="31" t="n">
        <x:v>46135</x:v>
      </x:c>
      <x:c r="D154" s="31" t="inlineStr">
        <x:is>
          <x:t xml:space="preserve">Выполнена</x:t>
        </x:is>
      </x:c>
      <x:c r="E154" s="31" t="inlineStr">
        <x:is>
          <x:t xml:space="preserve">Средний</x:t>
        </x:is>
      </x:c>
      <x:c r="F154" s="31" t="inlineStr">
        <x:is>
          <x:t xml:space="preserve">СОТР-076</x:t>
        </x:is>
      </x:c>
      <x:c r="G154" s="31" t="inlineStr">
        <x:is>
          <x:t xml:space="preserve">Счет</x:t>
        </x:is>
      </x:c>
      <x:c r="H154" s="31" t="inlineStr">
        <x:is>
          <x:t xml:space="preserve">СЧ-1112-2</x:t>
        </x:is>
      </x:c>
      <x:c r="I154" s="31" t="inlineStr">
        <x:is>
          <x:t xml:space="preserve">Согласовать отгрузку при ДЗ</x:t>
        </x:is>
      </x:c>
      <x:c r="J154" s="31" t="inlineStr">
        <x:is>
          <x:t xml:space="preserve">Финансы</x:t>
        </x:is>
      </x:c>
      <x:c r="K154" s="31" t="n">
        <x:v>0</x:v>
      </x:c>
      <x:c r="L154" s="31" t="inlineStr">
        <x:is>
          <x:t xml:space="preserve">Да</x:t>
        </x:is>
      </x:c>
      <x:c r="M154" s="31" t="inlineStr">
        <x:is>
          <x:t xml:space="preserve">Нет</x:t>
        </x:is>
      </x:c>
      <x:c r="N154" s="31" t="inlineStr">
        <x:is>
          <x:t xml:space="preserve">Автосоздано правилом/пользователем 10</x:t>
        </x:is>
      </x:c>
    </x:row>
    <x:row r="155" ht="18" customHeight="1">
      <x:c r="A155" s="31" t="inlineStr">
        <x:is>
          <x:t xml:space="preserve">ЗД-00154</x:t>
        </x:is>
      </x:c>
      <x:c r="B155" s="31" t="n">
        <x:v>46179</x:v>
      </x:c>
      <x:c r="C155" s="31" t="n">
        <x:v>46182</x:v>
      </x:c>
      <x:c r="D155" s="31" t="inlineStr">
        <x:is>
          <x:t xml:space="preserve">Ожидает ответа</x:t>
        </x:is>
      </x:c>
      <x:c r="E155" s="31" t="inlineStr">
        <x:is>
          <x:t xml:space="preserve">Средний</x:t>
        </x:is>
      </x:c>
      <x:c r="F155" s="31" t="inlineStr">
        <x:is>
          <x:t xml:space="preserve">СОТР-112</x:t>
        </x:is>
      </x:c>
      <x:c r="G155" s="31" t="inlineStr">
        <x:is>
          <x:t xml:space="preserve">Производственное задание</x:t>
        </x:is>
      </x:c>
      <x:c r="H155" s="31" t="inlineStr">
        <x:is>
          <x:t xml:space="preserve">ПЗ-00191</x:t>
        </x:is>
      </x:c>
      <x:c r="I155" s="31" t="inlineStr">
        <x:is>
          <x:t xml:space="preserve">Обновить готовность</x:t>
        </x:is>
      </x:c>
      <x:c r="J155" s="31" t="inlineStr">
        <x:is>
          <x:t xml:space="preserve">ОТК</x:t>
        </x:is>
      </x:c>
      <x:c r="K155" s="31" t="n">
        <x:v>0</x:v>
      </x:c>
      <x:c r="L155" s="31" t="inlineStr">
        <x:is>
          <x:t xml:space="preserve">Нет</x:t>
        </x:is>
      </x:c>
      <x:c r="M155" s="31" t="inlineStr">
        <x:is>
          <x:t xml:space="preserve">Заказчик</x:t>
        </x:is>
      </x:c>
      <x:c r="N155" s="31" t="inlineStr">
        <x:is>
          <x:t xml:space="preserve">Автосоздано правилом/пользователем 3</x:t>
        </x:is>
      </x:c>
    </x:row>
    <x:row r="156" ht="18" customHeight="1">
      <x:c r="A156" s="31" t="inlineStr">
        <x:is>
          <x:t xml:space="preserve">ЗД-00155</x:t>
        </x:is>
      </x:c>
      <x:c r="B156" s="31" t="n">
        <x:v>46165</x:v>
      </x:c>
      <x:c r="C156" s="31" t="n">
        <x:v>46175</x:v>
      </x:c>
      <x:c r="D156" s="31" t="inlineStr">
        <x:is>
          <x:t xml:space="preserve">В работе</x:t>
        </x:is>
      </x:c>
      <x:c r="E156" s="31" t="inlineStr">
        <x:is>
          <x:t xml:space="preserve">Средний</x:t>
        </x:is>
      </x:c>
      <x:c r="F156" s="31" t="inlineStr">
        <x:is>
          <x:t xml:space="preserve">СОТР-056</x:t>
        </x:is>
      </x:c>
      <x:c r="G156" s="31" t="inlineStr">
        <x:is>
          <x:t xml:space="preserve">Счет</x:t>
        </x:is>
      </x:c>
      <x:c r="H156" s="31" t="inlineStr">
        <x:is>
          <x:t xml:space="preserve">СЧ-1114-1</x:t>
        </x:is>
      </x:c>
      <x:c r="I156" s="31" t="inlineStr">
        <x:is>
          <x:t xml:space="preserve">Проверить оплату</x:t>
        </x:is>
      </x:c>
      <x:c r="J156" s="31" t="inlineStr">
        <x:is>
          <x:t xml:space="preserve">Продажи</x:t>
        </x:is>
      </x:c>
      <x:c r="K156" s="31" t="n">
        <x:v>0</x:v>
      </x:c>
      <x:c r="L156" s="31" t="inlineStr">
        <x:is>
          <x:t xml:space="preserve">Нет</x:t>
        </x:is>
      </x:c>
      <x:c r="M156" s="31" t="inlineStr">
        <x:is>
          <x:t xml:space="preserve">Нет</x:t>
        </x:is>
      </x:c>
      <x:c r="N156" s="31" t="inlineStr">
        <x:is>
          <x:t xml:space="preserve">Автосоздано правилом/пользователем 12</x:t>
        </x:is>
      </x:c>
    </x:row>
    <x:row r="157" ht="18" customHeight="1">
      <x:c r="A157" s="31" t="inlineStr">
        <x:is>
          <x:t xml:space="preserve">ЗД-00156</x:t>
        </x:is>
      </x:c>
      <x:c r="B157" s="31" t="n">
        <x:v>46150</x:v>
      </x:c>
      <x:c r="C157" s="31" t="n">
        <x:v>46152</x:v>
      </x:c>
      <x:c r="D157" s="31" t="inlineStr">
        <x:is>
          <x:t xml:space="preserve">Просрочена</x:t>
        </x:is>
      </x:c>
      <x:c r="E157" s="31" t="inlineStr">
        <x:is>
          <x:t xml:space="preserve">Средний</x:t>
        </x:is>
      </x:c>
      <x:c r="F157" s="31" t="inlineStr">
        <x:is>
          <x:t xml:space="preserve">СОТР-098</x:t>
        </x:is>
      </x:c>
      <x:c r="G157" s="31" t="inlineStr">
        <x:is>
          <x:t xml:space="preserve">Производственное задание</x:t>
        </x:is>
      </x:c>
      <x:c r="H157" s="31" t="inlineStr">
        <x:is>
          <x:t xml:space="preserve">ПЗ-00173</x:t>
        </x:is>
      </x:c>
      <x:c r="I157" s="31" t="inlineStr">
        <x:is>
          <x:t xml:space="preserve">Обновить готовность</x:t>
        </x:is>
      </x:c>
      <x:c r="J157" s="31" t="inlineStr">
        <x:is>
          <x:t xml:space="preserve">Снабжение</x:t>
        </x:is>
      </x:c>
      <x:c r="K157" s="31" t="n">
        <x:v>33</x:v>
      </x:c>
      <x:c r="L157" s="31" t="inlineStr">
        <x:is>
          <x:t xml:space="preserve">Да</x:t>
        </x:is>
      </x:c>
      <x:c r="M157" s="31" t="inlineStr">
        <x:is>
          <x:t xml:space="preserve">Нет</x:t>
        </x:is>
      </x:c>
      <x:c r="N157" s="31" t="inlineStr">
        <x:is>
          <x:t xml:space="preserve">Автосоздано правилом/пользователем 8</x:t>
        </x:is>
      </x:c>
    </x:row>
    <x:row r="158" ht="18" customHeight="1">
      <x:c r="A158" s="31" t="inlineStr">
        <x:is>
          <x:t xml:space="preserve">ЗД-00157</x:t>
        </x:is>
      </x:c>
      <x:c r="B158" s="31" t="n">
        <x:v>46150</x:v>
      </x:c>
      <x:c r="C158" s="31" t="n">
        <x:v>46153</x:v>
      </x:c>
      <x:c r="D158" s="31" t="inlineStr">
        <x:is>
          <x:t xml:space="preserve">В работе</x:t>
        </x:is>
      </x:c>
      <x:c r="E158" s="31" t="inlineStr">
        <x:is>
          <x:t xml:space="preserve">Средний</x:t>
        </x:is>
      </x:c>
      <x:c r="F158" s="31" t="inlineStr">
        <x:is>
          <x:t xml:space="preserve">СОТР-076</x:t>
        </x:is>
      </x:c>
      <x:c r="G158" s="31" t="inlineStr">
        <x:is>
          <x:t xml:space="preserve">Счет</x:t>
        </x:is>
      </x:c>
      <x:c r="H158" s="31" t="inlineStr">
        <x:is>
          <x:t xml:space="preserve">СЧ-1059-2</x:t>
        </x:is>
      </x:c>
      <x:c r="I158" s="31" t="inlineStr">
        <x:is>
          <x:t xml:space="preserve">Согласовать отгрузку при ДЗ</x:t>
        </x:is>
      </x:c>
      <x:c r="J158" s="31" t="inlineStr">
        <x:is>
          <x:t xml:space="preserve">Производство</x:t>
        </x:is>
      </x:c>
      <x:c r="K158" s="31" t="n">
        <x:v>0</x:v>
      </x:c>
      <x:c r="L158" s="31" t="inlineStr">
        <x:is>
          <x:t xml:space="preserve">Нет</x:t>
        </x:is>
      </x:c>
      <x:c r="M158" s="31" t="inlineStr">
        <x:is>
          <x:t xml:space="preserve">Нет</x:t>
        </x:is>
      </x:c>
      <x:c r="N158" s="31" t="inlineStr">
        <x:is>
          <x:t xml:space="preserve">Автосоздано правилом/пользователем 3</x:t>
        </x:is>
      </x:c>
    </x:row>
    <x:row r="159" ht="18" customHeight="1">
      <x:c r="A159" s="31" t="inlineStr">
        <x:is>
          <x:t xml:space="preserve">ЗД-00158</x:t>
        </x:is>
      </x:c>
      <x:c r="B159" s="31" t="n">
        <x:v>46163</x:v>
      </x:c>
      <x:c r="C159" s="31" t="n">
        <x:v>46177</x:v>
      </x:c>
      <x:c r="D159" s="31" t="inlineStr">
        <x:is>
          <x:t xml:space="preserve">Выполнена</x:t>
        </x:is>
      </x:c>
      <x:c r="E159" s="31" t="inlineStr">
        <x:is>
          <x:t xml:space="preserve">Средний</x:t>
        </x:is>
      </x:c>
      <x:c r="F159" s="31" t="inlineStr">
        <x:is>
          <x:t xml:space="preserve">СОТР-099</x:t>
        </x:is>
      </x:c>
      <x:c r="G159" s="31" t="inlineStr">
        <x:is>
          <x:t xml:space="preserve">ОТК</x:t>
        </x:is>
      </x:c>
      <x:c r="H159" s="31" t="inlineStr">
        <x:is>
          <x:t xml:space="preserve">ОТК-00168</x:t>
        </x:is>
      </x:c>
      <x:c r="I159" s="31" t="inlineStr">
        <x:is>
          <x:t xml:space="preserve">Заблокировать отгрузку</x:t>
        </x:is>
      </x:c>
      <x:c r="J159" s="31" t="inlineStr">
        <x:is>
          <x:t xml:space="preserve">ОТК</x:t>
        </x:is>
      </x:c>
      <x:c r="K159" s="31" t="n">
        <x:v>0</x:v>
      </x:c>
      <x:c r="L159" s="31" t="inlineStr">
        <x:is>
          <x:t xml:space="preserve">Нет</x:t>
        </x:is>
      </x:c>
      <x:c r="M159" s="31" t="inlineStr">
        <x:is>
          <x:t xml:space="preserve">Нет</x:t>
        </x:is>
      </x:c>
      <x:c r="N159" s="31" t="inlineStr">
        <x:is>
          <x:t xml:space="preserve">Автосоздано правилом/пользователем 1</x:t>
        </x:is>
      </x:c>
    </x:row>
    <x:row r="160" ht="18" customHeight="1">
      <x:c r="A160" s="31" t="inlineStr">
        <x:is>
          <x:t xml:space="preserve">ЗД-00159</x:t>
        </x:is>
      </x:c>
      <x:c r="B160" s="31" t="n">
        <x:v>46169</x:v>
      </x:c>
      <x:c r="C160" s="31" t="n">
        <x:v>46179</x:v>
      </x:c>
      <x:c r="D160" s="31" t="inlineStr">
        <x:is>
          <x:t xml:space="preserve">Просрочена</x:t>
        </x:is>
      </x:c>
      <x:c r="E160" s="31" t="inlineStr">
        <x:is>
          <x:t xml:space="preserve">Средний</x:t>
        </x:is>
      </x:c>
      <x:c r="F160" s="31" t="inlineStr">
        <x:is>
          <x:t xml:space="preserve">СОТР-003</x:t>
        </x:is>
      </x:c>
      <x:c r="G160" s="31" t="inlineStr">
        <x:is>
          <x:t xml:space="preserve">Заказ</x:t>
        </x:is>
      </x:c>
      <x:c r="H160" s="31" t="inlineStr">
        <x:is>
          <x:t xml:space="preserve">ЗК-1034</x:t>
        </x:is>
      </x:c>
      <x:c r="I160" s="31" t="inlineStr">
        <x:is>
          <x:t xml:space="preserve">Проверить лимит заказчика</x:t>
        </x:is>
      </x:c>
      <x:c r="J160" s="31" t="inlineStr">
        <x:is>
          <x:t xml:space="preserve">ОТК</x:t>
        </x:is>
      </x:c>
      <x:c r="K160" s="31" t="n">
        <x:v>6</x:v>
      </x:c>
      <x:c r="L160" s="31" t="inlineStr">
        <x:is>
          <x:t xml:space="preserve">Да</x:t>
        </x:is>
      </x:c>
      <x:c r="M160" s="31" t="inlineStr">
        <x:is>
          <x:t xml:space="preserve">Нет</x:t>
        </x:is>
      </x:c>
      <x:c r="N160" s="31" t="inlineStr">
        <x:is>
          <x:t xml:space="preserve">Автосоздано правилом/пользователем 7</x:t>
        </x:is>
      </x:c>
    </x:row>
    <x:row r="161" ht="18" customHeight="1">
      <x:c r="A161" s="31" t="inlineStr">
        <x:is>
          <x:t xml:space="preserve">ЗД-00160</x:t>
        </x:is>
      </x:c>
      <x:c r="B161" s="31" t="n">
        <x:v>46123</x:v>
      </x:c>
      <x:c r="C161" s="31" t="n">
        <x:v>46133</x:v>
      </x:c>
      <x:c r="D161" s="31" t="inlineStr">
        <x:is>
          <x:t xml:space="preserve">Выполнена</x:t>
        </x:is>
      </x:c>
      <x:c r="E161" s="31" t="inlineStr">
        <x:is>
          <x:t xml:space="preserve">Низкий</x:t>
        </x:is>
      </x:c>
      <x:c r="F161" s="31" t="inlineStr">
        <x:is>
          <x:t xml:space="preserve">СОТР-096</x:t>
        </x:is>
      </x:c>
      <x:c r="G161" s="31" t="inlineStr">
        <x:is>
          <x:t xml:space="preserve">ОТК</x:t>
        </x:is>
      </x:c>
      <x:c r="H161" s="31" t="inlineStr">
        <x:is>
          <x:t xml:space="preserve">ОТК-00116</x:t>
        </x:is>
      </x:c>
      <x:c r="I161" s="31" t="inlineStr">
        <x:is>
          <x:t xml:space="preserve">Заблокировать отгрузку</x:t>
        </x:is>
      </x:c>
      <x:c r="J161" s="31" t="inlineStr">
        <x:is>
          <x:t xml:space="preserve">Продажи</x:t>
        </x:is>
      </x:c>
      <x:c r="K161" s="31" t="n">
        <x:v>0</x:v>
      </x:c>
      <x:c r="L161" s="31" t="inlineStr">
        <x:is>
          <x:t xml:space="preserve">Нет</x:t>
        </x:is>
      </x:c>
      <x:c r="M161" s="31" t="inlineStr">
        <x:is>
          <x:t xml:space="preserve">Нет</x:t>
        </x:is>
      </x:c>
      <x:c r="N161" s="31" t="inlineStr">
        <x:is>
          <x:t xml:space="preserve">Автосоздано правилом/пользователем 8</x:t>
        </x:is>
      </x:c>
    </x:row>
    <x:row r="162" ht="18" customHeight="1">
      <x:c r="A162" s="31" t="inlineStr">
        <x:is>
          <x:t xml:space="preserve">ЗД-00161</x:t>
        </x:is>
      </x:c>
      <x:c r="B162" s="31" t="n">
        <x:v>46173</x:v>
      </x:c>
      <x:c r="C162" s="31" t="n">
        <x:v>46183</x:v>
      </x:c>
      <x:c r="D162" s="31" t="inlineStr">
        <x:is>
          <x:t xml:space="preserve">Выполнена</x:t>
        </x:is>
      </x:c>
      <x:c r="E162" s="31" t="inlineStr">
        <x:is>
          <x:t xml:space="preserve">Низкий</x:t>
        </x:is>
      </x:c>
      <x:c r="F162" s="31" t="inlineStr">
        <x:is>
          <x:t xml:space="preserve">СОТР-003</x:t>
        </x:is>
      </x:c>
      <x:c r="G162" s="31" t="inlineStr">
        <x:is>
          <x:t xml:space="preserve">Заказ</x:t>
        </x:is>
      </x:c>
      <x:c r="H162" s="31" t="inlineStr">
        <x:is>
          <x:t xml:space="preserve">ЗК-1033</x:t>
        </x:is>
      </x:c>
      <x:c r="I162" s="31" t="inlineStr">
        <x:is>
          <x:t xml:space="preserve">Проверить лимит заказчика</x:t>
        </x:is>
      </x:c>
      <x:c r="J162" s="31" t="inlineStr">
        <x:is>
          <x:t xml:space="preserve">Продажи</x:t>
        </x:is>
      </x:c>
      <x:c r="K162" s="31" t="n">
        <x:v>0</x:v>
      </x:c>
      <x:c r="L162" s="31" t="inlineStr">
        <x:is>
          <x:t xml:space="preserve">Да</x:t>
        </x:is>
      </x:c>
      <x:c r="M162" s="31" t="inlineStr">
        <x:is>
          <x:t xml:space="preserve">Нет</x:t>
        </x:is>
      </x:c>
      <x:c r="N162" s="31" t="inlineStr">
        <x:is>
          <x:t xml:space="preserve">Автосоздано правилом/пользователем 9</x:t>
        </x:is>
      </x:c>
    </x:row>
    <x:row r="163" ht="18" customHeight="1">
      <x:c r="A163" s="31" t="inlineStr">
        <x:is>
          <x:t xml:space="preserve">ЗД-00162</x:t>
        </x:is>
      </x:c>
      <x:c r="B163" s="31" t="n">
        <x:v>46148</x:v>
      </x:c>
      <x:c r="C163" s="31" t="n">
        <x:v>46162</x:v>
      </x:c>
      <x:c r="D163" s="31" t="inlineStr">
        <x:is>
          <x:t xml:space="preserve">Просрочена</x:t>
        </x:is>
      </x:c>
      <x:c r="E163" s="31" t="inlineStr">
        <x:is>
          <x:t xml:space="preserve">Средний</x:t>
        </x:is>
      </x:c>
      <x:c r="F163" s="31" t="inlineStr">
        <x:is>
          <x:t xml:space="preserve">СОТР-095</x:t>
        </x:is>
      </x:c>
      <x:c r="G163" s="31" t="inlineStr">
        <x:is>
          <x:t xml:space="preserve">Производственное задание</x:t>
        </x:is>
      </x:c>
      <x:c r="H163" s="31" t="inlineStr">
        <x:is>
          <x:t xml:space="preserve">ПЗ-00071</x:t>
        </x:is>
      </x:c>
      <x:c r="I163" s="31" t="inlineStr">
        <x:is>
          <x:t xml:space="preserve">Назначить оператора</x:t>
        </x:is>
      </x:c>
      <x:c r="J163" s="31" t="inlineStr">
        <x:is>
          <x:t xml:space="preserve">Производство</x:t>
        </x:is>
      </x:c>
      <x:c r="K163" s="31" t="n">
        <x:v>23</x:v>
      </x:c>
      <x:c r="L163" s="31" t="inlineStr">
        <x:is>
          <x:t xml:space="preserve">Нет</x:t>
        </x:is>
      </x:c>
      <x:c r="M163" s="31" t="inlineStr">
        <x:is>
          <x:t xml:space="preserve">Нет</x:t>
        </x:is>
      </x:c>
      <x:c r="N163" s="31" t="inlineStr">
        <x:is>
          <x:t xml:space="preserve">Автосоздано правилом/пользователем 8</x:t>
        </x:is>
      </x:c>
    </x:row>
    <x:row r="164" ht="18" customHeight="1">
      <x:c r="A164" s="31" t="inlineStr">
        <x:is>
          <x:t xml:space="preserve">ЗД-00163</x:t>
        </x:is>
      </x:c>
      <x:c r="B164" s="31" t="n">
        <x:v>46127</x:v>
      </x:c>
      <x:c r="C164" s="31" t="n">
        <x:v>46128</x:v>
      </x:c>
      <x:c r="D164" s="31" t="inlineStr">
        <x:is>
          <x:t xml:space="preserve">В работе</x:t>
        </x:is>
      </x:c>
      <x:c r="E164" s="31" t="inlineStr">
        <x:is>
          <x:t xml:space="preserve">Высокий</x:t>
        </x:is>
      </x:c>
      <x:c r="F164" s="31" t="inlineStr">
        <x:is>
          <x:t xml:space="preserve">СОТР-025</x:t>
        </x:is>
      </x:c>
      <x:c r="G164" s="31" t="inlineStr">
        <x:is>
          <x:t xml:space="preserve">Закупка</x:t>
        </x:is>
      </x:c>
      <x:c r="H164" s="31" t="inlineStr">
        <x:is>
          <x:t xml:space="preserve">ЗЗ-00024</x:t>
        </x:is>
      </x:c>
      <x:c r="I164" s="31" t="inlineStr">
        <x:is>
          <x:t xml:space="preserve">Согласовать закупку</x:t>
        </x:is>
      </x:c>
      <x:c r="J164" s="31" t="inlineStr">
        <x:is>
          <x:t xml:space="preserve">Производство</x:t>
        </x:is>
      </x:c>
      <x:c r="K164" s="31" t="n">
        <x:v>0</x:v>
      </x:c>
      <x:c r="L164" s="31" t="inlineStr">
        <x:is>
          <x:t xml:space="preserve">Нет</x:t>
        </x:is>
      </x:c>
      <x:c r="M164" s="31" t="inlineStr">
        <x:is>
          <x:t xml:space="preserve">Нет</x:t>
        </x:is>
      </x:c>
      <x:c r="N164" s="31" t="inlineStr">
        <x:is>
          <x:t xml:space="preserve">Автосоздано правилом/пользователем 10</x:t>
        </x:is>
      </x:c>
    </x:row>
    <x:row r="165" ht="18" customHeight="1">
      <x:c r="A165" s="31" t="inlineStr">
        <x:is>
          <x:t xml:space="preserve">ЗД-00164</x:t>
        </x:is>
      </x:c>
      <x:c r="B165" s="31" t="n">
        <x:v>46141</x:v>
      </x:c>
      <x:c r="C165" s="31" t="n">
        <x:v>46155</x:v>
      </x:c>
      <x:c r="D165" s="31" t="inlineStr">
        <x:is>
          <x:t xml:space="preserve">Выполнена</x:t>
        </x:is>
      </x:c>
      <x:c r="E165" s="31" t="inlineStr">
        <x:is>
          <x:t xml:space="preserve">Средний</x:t>
        </x:is>
      </x:c>
      <x:c r="F165" s="31" t="inlineStr">
        <x:is>
          <x:t xml:space="preserve">СОТР-117</x:t>
        </x:is>
      </x:c>
      <x:c r="G165" s="31" t="inlineStr">
        <x:is>
          <x:t xml:space="preserve">Заказ</x:t>
        </x:is>
      </x:c>
      <x:c r="H165" s="31" t="inlineStr">
        <x:is>
          <x:t xml:space="preserve">ЗК-1086</x:t>
        </x:is>
      </x:c>
      <x:c r="I165" s="31" t="inlineStr">
        <x:is>
          <x:t xml:space="preserve">Согласовать скидку</x:t>
        </x:is>
      </x:c>
      <x:c r="J165" s="31" t="inlineStr">
        <x:is>
          <x:t xml:space="preserve">Производство</x:t>
        </x:is>
      </x:c>
      <x:c r="K165" s="31" t="n">
        <x:v>0</x:v>
      </x:c>
      <x:c r="L165" s="31" t="inlineStr">
        <x:is>
          <x:t xml:space="preserve">Да</x:t>
        </x:is>
      </x:c>
      <x:c r="M165" s="31" t="inlineStr">
        <x:is>
          <x:t xml:space="preserve">Поставщик</x:t>
        </x:is>
      </x:c>
      <x:c r="N165" s="31" t="inlineStr">
        <x:is>
          <x:t xml:space="preserve">Автосоздано правилом/пользователем 4</x:t>
        </x:is>
      </x:c>
    </x:row>
    <x:row r="166" ht="18" customHeight="1">
      <x:c r="A166" s="31" t="inlineStr">
        <x:is>
          <x:t xml:space="preserve">ЗД-00165</x:t>
        </x:is>
      </x:c>
      <x:c r="B166" s="31" t="n">
        <x:v>46150</x:v>
      </x:c>
      <x:c r="C166" s="31" t="n">
        <x:v>46152</x:v>
      </x:c>
      <x:c r="D166" s="31" t="inlineStr">
        <x:is>
          <x:t xml:space="preserve">Просрочена</x:t>
        </x:is>
      </x:c>
      <x:c r="E166" s="31" t="inlineStr">
        <x:is>
          <x:t xml:space="preserve">Средний</x:t>
        </x:is>
      </x:c>
      <x:c r="F166" s="31" t="inlineStr">
        <x:is>
          <x:t xml:space="preserve">СОТР-092</x:t>
        </x:is>
      </x:c>
      <x:c r="G166" s="31" t="inlineStr">
        <x:is>
          <x:t xml:space="preserve">ОТК</x:t>
        </x:is>
      </x:c>
      <x:c r="H166" s="31" t="inlineStr">
        <x:is>
          <x:t xml:space="preserve">ОТК-00032</x:t>
        </x:is>
      </x:c>
      <x:c r="I166" s="31" t="inlineStr">
        <x:is>
          <x:t xml:space="preserve">Оформить корректирующие действия</x:t>
        </x:is>
      </x:c>
      <x:c r="J166" s="31" t="inlineStr">
        <x:is>
          <x:t xml:space="preserve">Финансы</x:t>
        </x:is>
      </x:c>
      <x:c r="K166" s="31" t="n">
        <x:v>33</x:v>
      </x:c>
      <x:c r="L166" s="31" t="inlineStr">
        <x:is>
          <x:t xml:space="preserve">Да</x:t>
        </x:is>
      </x:c>
      <x:c r="M166" s="31" t="inlineStr">
        <x:is>
          <x:t xml:space="preserve">Нет</x:t>
        </x:is>
      </x:c>
      <x:c r="N166" s="31" t="inlineStr">
        <x:is>
          <x:t xml:space="preserve">Автосоздано правилом/пользователем 3</x:t>
        </x:is>
      </x:c>
    </x:row>
    <x:row r="167" ht="18" customHeight="1">
      <x:c r="A167" s="31" t="inlineStr">
        <x:is>
          <x:t xml:space="preserve">ЗД-00166</x:t>
        </x:is>
      </x:c>
      <x:c r="B167" s="31" t="n">
        <x:v>46117</x:v>
      </x:c>
      <x:c r="C167" s="31" t="n">
        <x:v>46127</x:v>
      </x:c>
      <x:c r="D167" s="31" t="inlineStr">
        <x:is>
          <x:t xml:space="preserve">Просрочена</x:t>
        </x:is>
      </x:c>
      <x:c r="E167" s="31" t="inlineStr">
        <x:is>
          <x:t xml:space="preserve">Средний</x:t>
        </x:is>
      </x:c>
      <x:c r="F167" s="31" t="inlineStr">
        <x:is>
          <x:t xml:space="preserve">СОТР-027</x:t>
        </x:is>
      </x:c>
      <x:c r="G167" s="31" t="inlineStr">
        <x:is>
          <x:t xml:space="preserve">Закупка</x:t>
        </x:is>
      </x:c>
      <x:c r="H167" s="31" t="inlineStr">
        <x:is>
          <x:t xml:space="preserve">ЗЗ-00026</x:t>
        </x:is>
      </x:c>
      <x:c r="I167" s="31" t="inlineStr">
        <x:is>
          <x:t xml:space="preserve">Уточнить сертификаты</x:t>
        </x:is>
      </x:c>
      <x:c r="J167" s="31" t="inlineStr">
        <x:is>
          <x:t xml:space="preserve">Снабжение</x:t>
        </x:is>
      </x:c>
      <x:c r="K167" s="31" t="n">
        <x:v>58</x:v>
      </x:c>
      <x:c r="L167" s="31" t="inlineStr">
        <x:is>
          <x:t xml:space="preserve">Да</x:t>
        </x:is>
      </x:c>
      <x:c r="M167" s="31" t="inlineStr">
        <x:is>
          <x:t xml:space="preserve">Нет</x:t>
        </x:is>
      </x:c>
      <x:c r="N167" s="31" t="inlineStr">
        <x:is>
          <x:t xml:space="preserve">Автосоздано правилом/пользователем 11</x:t>
        </x:is>
      </x:c>
    </x:row>
    <x:row r="168" ht="18" customHeight="1">
      <x:c r="A168" s="31" t="inlineStr">
        <x:is>
          <x:t xml:space="preserve">ЗД-00167</x:t>
        </x:is>
      </x:c>
      <x:c r="B168" s="31" t="n">
        <x:v>46110</x:v>
      </x:c>
      <x:c r="C168" s="31" t="n">
        <x:v>46115</x:v>
      </x:c>
      <x:c r="D168" s="31" t="inlineStr">
        <x:is>
          <x:t xml:space="preserve">Выполнена</x:t>
        </x:is>
      </x:c>
      <x:c r="E168" s="31" t="inlineStr">
        <x:is>
          <x:t xml:space="preserve">Высокий</x:t>
        </x:is>
      </x:c>
      <x:c r="F168" s="31" t="inlineStr">
        <x:is>
          <x:t xml:space="preserve">СОТР-018</x:t>
        </x:is>
      </x:c>
      <x:c r="G168" s="31" t="inlineStr">
        <x:is>
          <x:t xml:space="preserve">Счет</x:t>
        </x:is>
      </x:c>
      <x:c r="H168" s="31" t="inlineStr">
        <x:is>
          <x:t xml:space="preserve">СЧ-1053-1</x:t>
        </x:is>
      </x:c>
      <x:c r="I168" s="31" t="inlineStr">
        <x:is>
          <x:t xml:space="preserve">Согласовать отгрузку при ДЗ</x:t>
        </x:is>
      </x:c>
      <x:c r="J168" s="31" t="inlineStr">
        <x:is>
          <x:t xml:space="preserve">Продажи</x:t>
        </x:is>
      </x:c>
      <x:c r="K168" s="31" t="n">
        <x:v>0</x:v>
      </x:c>
      <x:c r="L168" s="31" t="inlineStr">
        <x:is>
          <x:t xml:space="preserve">Нет</x:t>
        </x:is>
      </x:c>
      <x:c r="M168" s="31" t="inlineStr">
        <x:is>
          <x:t xml:space="preserve">Нет</x:t>
        </x:is>
      </x:c>
      <x:c r="N168" s="31" t="inlineStr">
        <x:is>
          <x:t xml:space="preserve">Автосоздано правилом/пользователем 2</x:t>
        </x:is>
      </x:c>
    </x:row>
    <x:row r="169" ht="18" customHeight="1">
      <x:c r="A169" s="31" t="inlineStr">
        <x:is>
          <x:t xml:space="preserve">ЗД-00168</x:t>
        </x:is>
      </x:c>
      <x:c r="B169" s="31" t="n">
        <x:v>46116</x:v>
      </x:c>
      <x:c r="C169" s="31" t="n">
        <x:v>46119</x:v>
      </x:c>
      <x:c r="D169" s="31" t="inlineStr">
        <x:is>
          <x:t xml:space="preserve">Выполнена</x:t>
        </x:is>
      </x:c>
      <x:c r="E169" s="31" t="inlineStr">
        <x:is>
          <x:t xml:space="preserve">Высокий</x:t>
        </x:is>
      </x:c>
      <x:c r="F169" s="31" t="inlineStr">
        <x:is>
          <x:t xml:space="preserve">СОТР-094</x:t>
        </x:is>
      </x:c>
      <x:c r="G169" s="31" t="inlineStr">
        <x:is>
          <x:t xml:space="preserve">ОТК</x:t>
        </x:is>
      </x:c>
      <x:c r="H169" s="31" t="inlineStr">
        <x:is>
          <x:t xml:space="preserve">ОТК-00107</x:t>
        </x:is>
      </x:c>
      <x:c r="I169" s="31" t="inlineStr">
        <x:is>
          <x:t xml:space="preserve">Заблокировать отгрузку</x:t>
        </x:is>
      </x:c>
      <x:c r="J169" s="31" t="inlineStr">
        <x:is>
          <x:t xml:space="preserve">Снабжение</x:t>
        </x:is>
      </x:c>
      <x:c r="K169" s="31" t="n">
        <x:v>0</x:v>
      </x:c>
      <x:c r="L169" s="31" t="inlineStr">
        <x:is>
          <x:t xml:space="preserve">Да</x:t>
        </x:is>
      </x:c>
      <x:c r="M169" s="31" t="inlineStr">
        <x:is>
          <x:t xml:space="preserve">Нет</x:t>
        </x:is>
      </x:c>
      <x:c r="N169" s="31" t="inlineStr">
        <x:is>
          <x:t xml:space="preserve">Автосоздано правилом/пользователем 5</x:t>
        </x:is>
      </x:c>
    </x:row>
    <x:row r="170" ht="18" customHeight="1">
      <x:c r="A170" s="31" t="inlineStr">
        <x:is>
          <x:t xml:space="preserve">ЗД-00169</x:t>
        </x:is>
      </x:c>
      <x:c r="B170" s="31" t="n">
        <x:v>46173</x:v>
      </x:c>
      <x:c r="C170" s="31" t="n">
        <x:v>46187</x:v>
      </x:c>
      <x:c r="D170" s="31" t="inlineStr">
        <x:is>
          <x:t xml:space="preserve">Выполнена</x:t>
        </x:is>
      </x:c>
      <x:c r="E170" s="31" t="inlineStr">
        <x:is>
          <x:t xml:space="preserve">Низкий</x:t>
        </x:is>
      </x:c>
      <x:c r="F170" s="31" t="inlineStr">
        <x:is>
          <x:t xml:space="preserve">СОТР-028</x:t>
        </x:is>
      </x:c>
      <x:c r="G170" s="31" t="inlineStr">
        <x:is>
          <x:t xml:space="preserve">Закупка</x:t>
        </x:is>
      </x:c>
      <x:c r="H170" s="31" t="inlineStr">
        <x:is>
          <x:t xml:space="preserve">ЗЗ-00049</x:t>
        </x:is>
      </x:c>
      <x:c r="I170" s="31" t="inlineStr">
        <x:is>
          <x:t xml:space="preserve">Уточнить сертификаты</x:t>
        </x:is>
      </x:c>
      <x:c r="J170" s="31" t="inlineStr">
        <x:is>
          <x:t xml:space="preserve">Финансы</x:t>
        </x:is>
      </x:c>
      <x:c r="K170" s="31" t="n">
        <x:v>0</x:v>
      </x:c>
      <x:c r="L170" s="31" t="inlineStr">
        <x:is>
          <x:t xml:space="preserve">Нет</x:t>
        </x:is>
      </x:c>
      <x:c r="M170" s="31" t="inlineStr">
        <x:is>
          <x:t xml:space="preserve">Нет</x:t>
        </x:is>
      </x:c>
      <x:c r="N170" s="31" t="inlineStr">
        <x:is>
          <x:t xml:space="preserve">Автосоздано правилом/пользователем 1</x:t>
        </x:is>
      </x:c>
    </x:row>
    <x:row r="171" ht="18" customHeight="1">
      <x:c r="A171" s="31" t="inlineStr">
        <x:is>
          <x:t xml:space="preserve">ЗД-00170</x:t>
        </x:is>
      </x:c>
      <x:c r="B171" s="31" t="n">
        <x:v>46169</x:v>
      </x:c>
      <x:c r="C171" s="31" t="n">
        <x:v>46170</x:v>
      </x:c>
      <x:c r="D171" s="31" t="inlineStr">
        <x:is>
          <x:t xml:space="preserve">Просрочена</x:t>
        </x:is>
      </x:c>
      <x:c r="E171" s="31" t="inlineStr">
        <x:is>
          <x:t xml:space="preserve">Высокий</x:t>
        </x:is>
      </x:c>
      <x:c r="F171" s="31" t="inlineStr">
        <x:is>
          <x:t xml:space="preserve">СОТР-092</x:t>
        </x:is>
      </x:c>
      <x:c r="G171" s="31" t="inlineStr">
        <x:is>
          <x:t xml:space="preserve">Производственное задание</x:t>
        </x:is>
      </x:c>
      <x:c r="H171" s="31" t="inlineStr">
        <x:is>
          <x:t xml:space="preserve">ПЗ-00045</x:t>
        </x:is>
      </x:c>
      <x:c r="I171" s="31" t="inlineStr">
        <x:is>
          <x:t xml:space="preserve">Закрыть сменный факт</x:t>
        </x:is>
      </x:c>
      <x:c r="J171" s="31" t="inlineStr">
        <x:is>
          <x:t xml:space="preserve">Финансы</x:t>
        </x:is>
      </x:c>
      <x:c r="K171" s="31" t="n">
        <x:v>15</x:v>
      </x:c>
      <x:c r="L171" s="31" t="inlineStr">
        <x:is>
          <x:t xml:space="preserve">Нет</x:t>
        </x:is>
      </x:c>
      <x:c r="M171" s="31" t="inlineStr">
        <x:is>
          <x:t xml:space="preserve">Нет</x:t>
        </x:is>
      </x:c>
      <x:c r="N171" s="31" t="inlineStr">
        <x:is>
          <x:t xml:space="preserve">Автосоздано правилом/пользователем 3</x:t>
        </x:is>
      </x:c>
    </x:row>
    <x:row r="172" ht="18" customHeight="1">
      <x:c r="A172" s="31" t="inlineStr">
        <x:is>
          <x:t xml:space="preserve">ЗД-00171</x:t>
        </x:is>
      </x:c>
      <x:c r="B172" s="31" t="n">
        <x:v>46170</x:v>
      </x:c>
      <x:c r="C172" s="31" t="n">
        <x:v>46177</x:v>
      </x:c>
      <x:c r="D172" s="31" t="inlineStr">
        <x:is>
          <x:t xml:space="preserve">Просрочена</x:t>
        </x:is>
      </x:c>
      <x:c r="E172" s="31" t="inlineStr">
        <x:is>
          <x:t xml:space="preserve">Средний</x:t>
        </x:is>
      </x:c>
      <x:c r="F172" s="31" t="inlineStr">
        <x:is>
          <x:t xml:space="preserve">СОТР-098</x:t>
        </x:is>
      </x:c>
      <x:c r="G172" s="31" t="inlineStr">
        <x:is>
          <x:t xml:space="preserve">Производственное задание</x:t>
        </x:is>
      </x:c>
      <x:c r="H172" s="31" t="inlineStr">
        <x:is>
          <x:t xml:space="preserve">ПЗ-00107</x:t>
        </x:is>
      </x:c>
      <x:c r="I172" s="31" t="inlineStr">
        <x:is>
          <x:t xml:space="preserve">Закрыть сменный факт</x:t>
        </x:is>
      </x:c>
      <x:c r="J172" s="31" t="inlineStr">
        <x:is>
          <x:t xml:space="preserve">Производство</x:t>
        </x:is>
      </x:c>
      <x:c r="K172" s="31" t="n">
        <x:v>8</x:v>
      </x:c>
      <x:c r="L172" s="31" t="inlineStr">
        <x:is>
          <x:t xml:space="preserve">Нет</x:t>
        </x:is>
      </x:c>
      <x:c r="M172" s="31" t="inlineStr">
        <x:is>
          <x:t xml:space="preserve">Нет</x:t>
        </x:is>
      </x:c>
      <x:c r="N172" s="31" t="inlineStr">
        <x:is>
          <x:t xml:space="preserve">Автосоздано правилом/пользователем 12</x:t>
        </x:is>
      </x:c>
    </x:row>
    <x:row r="173" ht="18" customHeight="1">
      <x:c r="A173" s="31" t="inlineStr">
        <x:is>
          <x:t xml:space="preserve">ЗД-00172</x:t>
        </x:is>
      </x:c>
      <x:c r="B173" s="31" t="n">
        <x:v>46155</x:v>
      </x:c>
      <x:c r="C173" s="31" t="n">
        <x:v>46169</x:v>
      </x:c>
      <x:c r="D173" s="31" t="inlineStr">
        <x:is>
          <x:t xml:space="preserve">Ожидает ответа</x:t>
        </x:is>
      </x:c>
      <x:c r="E173" s="31" t="inlineStr">
        <x:is>
          <x:t xml:space="preserve">Низкий</x:t>
        </x:is>
      </x:c>
      <x:c r="F173" s="31" t="inlineStr">
        <x:is>
          <x:t xml:space="preserve">СОТР-095</x:t>
        </x:is>
      </x:c>
      <x:c r="G173" s="31" t="inlineStr">
        <x:is>
          <x:t xml:space="preserve">Заказ</x:t>
        </x:is>
      </x:c>
      <x:c r="H173" s="31" t="inlineStr">
        <x:is>
          <x:t xml:space="preserve">ЗК-1064</x:t>
        </x:is>
      </x:c>
      <x:c r="I173" s="31" t="inlineStr">
        <x:is>
          <x:t xml:space="preserve">Проверить лимит заказчика</x:t>
        </x:is>
      </x:c>
      <x:c r="J173" s="31" t="inlineStr">
        <x:is>
          <x:t xml:space="preserve">Снабжение</x:t>
        </x:is>
      </x:c>
      <x:c r="K173" s="31" t="n">
        <x:v>0</x:v>
      </x:c>
      <x:c r="L173" s="31" t="inlineStr">
        <x:is>
          <x:t xml:space="preserve">Нет</x:t>
        </x:is>
      </x:c>
      <x:c r="M173" s="31" t="inlineStr">
        <x:is>
          <x:t xml:space="preserve">Руководитель</x:t>
        </x:is>
      </x:c>
      <x:c r="N173" s="31" t="inlineStr">
        <x:is>
          <x:t xml:space="preserve">Автосоздано правилом/пользователем 5</x:t>
        </x:is>
      </x:c>
    </x:row>
    <x:row r="174" ht="18" customHeight="1">
      <x:c r="A174" s="31" t="inlineStr">
        <x:is>
          <x:t xml:space="preserve">ЗД-00173</x:t>
        </x:is>
      </x:c>
      <x:c r="B174" s="31" t="n">
        <x:v>46126</x:v>
      </x:c>
      <x:c r="C174" s="31" t="n">
        <x:v>46136</x:v>
      </x:c>
      <x:c r="D174" s="31" t="inlineStr">
        <x:is>
          <x:t xml:space="preserve">Просрочена</x:t>
        </x:is>
      </x:c>
      <x:c r="E174" s="31" t="inlineStr">
        <x:is>
          <x:t xml:space="preserve">Высокий</x:t>
        </x:is>
      </x:c>
      <x:c r="F174" s="31" t="inlineStr">
        <x:is>
          <x:t xml:space="preserve">СОТР-097</x:t>
        </x:is>
      </x:c>
      <x:c r="G174" s="31" t="inlineStr">
        <x:is>
          <x:t xml:space="preserve">Производственное задание</x:t>
        </x:is>
      </x:c>
      <x:c r="H174" s="31" t="inlineStr">
        <x:is>
          <x:t xml:space="preserve">ПЗ-00074</x:t>
        </x:is>
      </x:c>
      <x:c r="I174" s="31" t="inlineStr">
        <x:is>
          <x:t xml:space="preserve">Разобрать простой</x:t>
        </x:is>
      </x:c>
      <x:c r="J174" s="31" t="inlineStr">
        <x:is>
          <x:t xml:space="preserve">Финансы</x:t>
        </x:is>
      </x:c>
      <x:c r="K174" s="31" t="n">
        <x:v>49</x:v>
      </x:c>
      <x:c r="L174" s="31" t="inlineStr">
        <x:is>
          <x:t xml:space="preserve">Нет</x:t>
        </x:is>
      </x:c>
      <x:c r="M174" s="31" t="inlineStr">
        <x:is>
          <x:t xml:space="preserve">Нет</x:t>
        </x:is>
      </x:c>
      <x:c r="N174" s="31" t="inlineStr">
        <x:is>
          <x:t xml:space="preserve">Автосоздано правилом/пользователем 11</x:t>
        </x:is>
      </x:c>
    </x:row>
    <x:row r="175" ht="18" customHeight="1">
      <x:c r="A175" s="31" t="inlineStr">
        <x:is>
          <x:t xml:space="preserve">ЗД-00174</x:t>
        </x:is>
      </x:c>
      <x:c r="B175" s="31" t="n">
        <x:v>46141</x:v>
      </x:c>
      <x:c r="C175" s="31" t="n">
        <x:v>46155</x:v>
      </x:c>
      <x:c r="D175" s="31" t="inlineStr">
        <x:is>
          <x:t xml:space="preserve">Просрочена</x:t>
        </x:is>
      </x:c>
      <x:c r="E175" s="31" t="inlineStr">
        <x:is>
          <x:t xml:space="preserve">Средний</x:t>
        </x:is>
      </x:c>
      <x:c r="F175" s="31" t="inlineStr">
        <x:is>
          <x:t xml:space="preserve">СОТР-106</x:t>
        </x:is>
      </x:c>
      <x:c r="G175" s="31" t="inlineStr">
        <x:is>
          <x:t xml:space="preserve">Производственное задание</x:t>
        </x:is>
      </x:c>
      <x:c r="H175" s="31" t="inlineStr">
        <x:is>
          <x:t xml:space="preserve">ПЗ-00171</x:t>
        </x:is>
      </x:c>
      <x:c r="I175" s="31" t="inlineStr">
        <x:is>
          <x:t xml:space="preserve">Проверить дефицит материалов</x:t>
        </x:is>
      </x:c>
      <x:c r="J175" s="31" t="inlineStr">
        <x:is>
          <x:t xml:space="preserve">Финансы</x:t>
        </x:is>
      </x:c>
      <x:c r="K175" s="31" t="n">
        <x:v>30</x:v>
      </x:c>
      <x:c r="L175" s="31" t="inlineStr">
        <x:is>
          <x:t xml:space="preserve">Нет</x:t>
        </x:is>
      </x:c>
      <x:c r="M175" s="31" t="inlineStr">
        <x:is>
          <x:t xml:space="preserve">Нет</x:t>
        </x:is>
      </x:c>
      <x:c r="N175" s="31" t="inlineStr">
        <x:is>
          <x:t xml:space="preserve">Автосоздано правилом/пользователем 4</x:t>
        </x:is>
      </x:c>
    </x:row>
    <x:row r="176" ht="18" customHeight="1">
      <x:c r="A176" s="31" t="inlineStr">
        <x:is>
          <x:t xml:space="preserve">ЗД-00175</x:t>
        </x:is>
      </x:c>
      <x:c r="B176" s="31" t="n">
        <x:v>46180</x:v>
      </x:c>
      <x:c r="C176" s="31" t="n">
        <x:v>46183</x:v>
      </x:c>
      <x:c r="D176" s="31" t="inlineStr">
        <x:is>
          <x:t xml:space="preserve">Просрочена</x:t>
        </x:is>
      </x:c>
      <x:c r="E176" s="31" t="inlineStr">
        <x:is>
          <x:t xml:space="preserve">Высокий</x:t>
        </x:is>
      </x:c>
      <x:c r="F176" s="31" t="inlineStr">
        <x:is>
          <x:t xml:space="preserve">СОТР-096</x:t>
        </x:is>
      </x:c>
      <x:c r="G176" s="31" t="inlineStr">
        <x:is>
          <x:t xml:space="preserve">ОТК</x:t>
        </x:is>
      </x:c>
      <x:c r="H176" s="31" t="inlineStr">
        <x:is>
          <x:t xml:space="preserve">ОТК-00129</x:t>
        </x:is>
      </x:c>
      <x:c r="I176" s="31" t="inlineStr">
        <x:is>
          <x:t xml:space="preserve">Согласовать приемку с замечаниями</x:t>
        </x:is>
      </x:c>
      <x:c r="J176" s="31" t="inlineStr">
        <x:is>
          <x:t xml:space="preserve">Производство</x:t>
        </x:is>
      </x:c>
      <x:c r="K176" s="31" t="n">
        <x:v>2</x:v>
      </x:c>
      <x:c r="L176" s="31" t="inlineStr">
        <x:is>
          <x:t xml:space="preserve">Да</x:t>
        </x:is>
      </x:c>
      <x:c r="M176" s="31" t="inlineStr">
        <x:is>
          <x:t xml:space="preserve">Руководитель</x:t>
        </x:is>
      </x:c>
      <x:c r="N176" s="31" t="inlineStr">
        <x:is>
          <x:t xml:space="preserve">Автосоздано правилом/пользователем 3</x:t>
        </x:is>
      </x:c>
    </x:row>
    <x:row r="177" ht="18" customHeight="1">
      <x:c r="A177" s="31" t="inlineStr">
        <x:is>
          <x:t xml:space="preserve">ЗД-00176</x:t>
        </x:is>
      </x:c>
      <x:c r="B177" s="31" t="n">
        <x:v>46137</x:v>
      </x:c>
      <x:c r="C177" s="31" t="n">
        <x:v>46142</x:v>
      </x:c>
      <x:c r="D177" s="31" t="inlineStr">
        <x:is>
          <x:t xml:space="preserve">В работе</x:t>
        </x:is>
      </x:c>
      <x:c r="E177" s="31" t="inlineStr">
        <x:is>
          <x:t xml:space="preserve">Средний</x:t>
        </x:is>
      </x:c>
      <x:c r="F177" s="31" t="inlineStr">
        <x:is>
          <x:t xml:space="preserve">СОТР-063</x:t>
        </x:is>
      </x:c>
      <x:c r="G177" s="31" t="inlineStr">
        <x:is>
          <x:t xml:space="preserve">Производственное задание</x:t>
        </x:is>
      </x:c>
      <x:c r="H177" s="31" t="inlineStr">
        <x:is>
          <x:t xml:space="preserve">ПЗ-00215</x:t>
        </x:is>
      </x:c>
      <x:c r="I177" s="31" t="inlineStr">
        <x:is>
          <x:t xml:space="preserve">Назначить оператора</x:t>
        </x:is>
      </x:c>
      <x:c r="J177" s="31" t="inlineStr">
        <x:is>
          <x:t xml:space="preserve">Продажи</x:t>
        </x:is>
      </x:c>
      <x:c r="K177" s="31" t="n">
        <x:v>0</x:v>
      </x:c>
      <x:c r="L177" s="31" t="inlineStr">
        <x:is>
          <x:t xml:space="preserve">Нет</x:t>
        </x:is>
      </x:c>
      <x:c r="M177" s="31" t="inlineStr">
        <x:is>
          <x:t xml:space="preserve">Нет</x:t>
        </x:is>
      </x:c>
      <x:c r="N177" s="31" t="inlineStr">
        <x:is>
          <x:t xml:space="preserve">Автосоздано правилом/пользователем 7</x:t>
        </x:is>
      </x:c>
    </x:row>
    <x:row r="178" ht="18" customHeight="1">
      <x:c r="A178" s="31" t="inlineStr">
        <x:is>
          <x:t xml:space="preserve">ЗД-00177</x:t>
        </x:is>
      </x:c>
      <x:c r="B178" s="31" t="n">
        <x:v>46120</x:v>
      </x:c>
      <x:c r="C178" s="31" t="n">
        <x:v>46127</x:v>
      </x:c>
      <x:c r="D178" s="31" t="inlineStr">
        <x:is>
          <x:t xml:space="preserve">Просрочена</x:t>
        </x:is>
      </x:c>
      <x:c r="E178" s="31" t="inlineStr">
        <x:is>
          <x:t xml:space="preserve">Высокий</x:t>
        </x:is>
      </x:c>
      <x:c r="F178" s="31" t="inlineStr">
        <x:is>
          <x:t xml:space="preserve">СОТР-048</x:t>
        </x:is>
      </x:c>
      <x:c r="G178" s="31" t="inlineStr">
        <x:is>
          <x:t xml:space="preserve">Заказ</x:t>
        </x:is>
      </x:c>
      <x:c r="H178" s="31" t="inlineStr">
        <x:is>
          <x:t xml:space="preserve">ЗК-1084</x:t>
        </x:is>
      </x:c>
      <x:c r="I178" s="31" t="inlineStr">
        <x:is>
          <x:t xml:space="preserve">Согласовать скидку</x:t>
        </x:is>
      </x:c>
      <x:c r="J178" s="31" t="inlineStr">
        <x:is>
          <x:t xml:space="preserve">Продажи</x:t>
        </x:is>
      </x:c>
      <x:c r="K178" s="31" t="n">
        <x:v>58</x:v>
      </x:c>
      <x:c r="L178" s="31" t="inlineStr">
        <x:is>
          <x:t xml:space="preserve">Нет</x:t>
        </x:is>
      </x:c>
      <x:c r="M178" s="31" t="inlineStr">
        <x:is>
          <x:t xml:space="preserve">Нет</x:t>
        </x:is>
      </x:c>
      <x:c r="N178" s="31" t="inlineStr">
        <x:is>
          <x:t xml:space="preserve">Автосоздано правилом/пользователем 5</x:t>
        </x:is>
      </x:c>
    </x:row>
    <x:row r="179" ht="18" customHeight="1">
      <x:c r="A179" s="31" t="inlineStr">
        <x:is>
          <x:t xml:space="preserve">ЗД-00178</x:t>
        </x:is>
      </x:c>
      <x:c r="B179" s="31" t="n">
        <x:v>46152</x:v>
      </x:c>
      <x:c r="C179" s="31" t="n">
        <x:v>46153</x:v>
      </x:c>
      <x:c r="D179" s="31" t="inlineStr">
        <x:is>
          <x:t xml:space="preserve">Просрочена</x:t>
        </x:is>
      </x:c>
      <x:c r="E179" s="31" t="inlineStr">
        <x:is>
          <x:t xml:space="preserve">Высокий</x:t>
        </x:is>
      </x:c>
      <x:c r="F179" s="31" t="inlineStr">
        <x:is>
          <x:t xml:space="preserve">СОТР-004</x:t>
        </x:is>
      </x:c>
      <x:c r="G179" s="31" t="inlineStr">
        <x:is>
          <x:t xml:space="preserve">Заказ</x:t>
        </x:is>
      </x:c>
      <x:c r="H179" s="31" t="inlineStr">
        <x:is>
          <x:t xml:space="preserve">ЗК-1110</x:t>
        </x:is>
      </x:c>
      <x:c r="I179" s="31" t="inlineStr">
        <x:is>
          <x:t xml:space="preserve">Проверить лимит заказчика</x:t>
        </x:is>
      </x:c>
      <x:c r="J179" s="31" t="inlineStr">
        <x:is>
          <x:t xml:space="preserve">Продажи</x:t>
        </x:is>
      </x:c>
      <x:c r="K179" s="31" t="n">
        <x:v>32</x:v>
      </x:c>
      <x:c r="L179" s="31" t="inlineStr">
        <x:is>
          <x:t xml:space="preserve">Нет</x:t>
        </x:is>
      </x:c>
      <x:c r="M179" s="31" t="inlineStr">
        <x:is>
          <x:t xml:space="preserve">Нет</x:t>
        </x:is>
      </x:c>
      <x:c r="N179" s="31" t="inlineStr">
        <x:is>
          <x:t xml:space="preserve">Автосоздано правилом/пользователем 4</x:t>
        </x:is>
      </x:c>
    </x:row>
    <x:row r="180" ht="18" customHeight="1">
      <x:c r="A180" s="31" t="inlineStr">
        <x:is>
          <x:t xml:space="preserve">ЗД-00179</x:t>
        </x:is>
      </x:c>
      <x:c r="B180" s="31" t="n">
        <x:v>46136</x:v>
      </x:c>
      <x:c r="C180" s="31" t="n">
        <x:v>46137</x:v>
      </x:c>
      <x:c r="D180" s="31" t="inlineStr">
        <x:is>
          <x:t xml:space="preserve">Новая</x:t>
        </x:is>
      </x:c>
      <x:c r="E180" s="31" t="inlineStr">
        <x:is>
          <x:t xml:space="preserve">Средний</x:t>
        </x:is>
      </x:c>
      <x:c r="F180" s="31" t="inlineStr">
        <x:is>
          <x:t xml:space="preserve">СОТР-097</x:t>
        </x:is>
      </x:c>
      <x:c r="G180" s="31" t="inlineStr">
        <x:is>
          <x:t xml:space="preserve">Производственное задание</x:t>
        </x:is>
      </x:c>
      <x:c r="H180" s="31" t="inlineStr">
        <x:is>
          <x:t xml:space="preserve">ПЗ-00196</x:t>
        </x:is>
      </x:c>
      <x:c r="I180" s="31" t="inlineStr">
        <x:is>
          <x:t xml:space="preserve">Проверить дефицит материалов</x:t>
        </x:is>
      </x:c>
      <x:c r="J180" s="31" t="inlineStr">
        <x:is>
          <x:t xml:space="preserve">Продажи</x:t>
        </x:is>
      </x:c>
      <x:c r="K180" s="31" t="n">
        <x:v>0</x:v>
      </x:c>
      <x:c r="L180" s="31" t="inlineStr">
        <x:is>
          <x:t xml:space="preserve">Нет</x:t>
        </x:is>
      </x:c>
      <x:c r="M180" s="31" t="inlineStr">
        <x:is>
          <x:t xml:space="preserve">Нет</x:t>
        </x:is>
      </x:c>
      <x:c r="N180" s="31" t="inlineStr">
        <x:is>
          <x:t xml:space="preserve">Автосоздано правилом/пользователем 11</x:t>
        </x:is>
      </x:c>
    </x:row>
    <x:row r="181" ht="18" customHeight="1">
      <x:c r="A181" s="31" t="inlineStr">
        <x:is>
          <x:t xml:space="preserve">ЗД-00180</x:t>
        </x:is>
      </x:c>
      <x:c r="B181" s="31" t="n">
        <x:v>46115</x:v>
      </x:c>
      <x:c r="C181" s="31" t="n">
        <x:v>46116</x:v>
      </x:c>
      <x:c r="D181" s="31" t="inlineStr">
        <x:is>
          <x:t xml:space="preserve">Ожидает ответа</x:t>
        </x:is>
      </x:c>
      <x:c r="E181" s="31" t="inlineStr">
        <x:is>
          <x:t xml:space="preserve">Средний</x:t>
        </x:is>
      </x:c>
      <x:c r="F181" s="31" t="inlineStr">
        <x:is>
          <x:t xml:space="preserve">СОТР-098</x:t>
        </x:is>
      </x:c>
      <x:c r="G181" s="31" t="inlineStr">
        <x:is>
          <x:t xml:space="preserve">Производственное задание</x:t>
        </x:is>
      </x:c>
      <x:c r="H181" s="31" t="inlineStr">
        <x:is>
          <x:t xml:space="preserve">ПЗ-00092</x:t>
        </x:is>
      </x:c>
      <x:c r="I181" s="31" t="inlineStr">
        <x:is>
          <x:t xml:space="preserve">Проверить дефицит материалов</x:t>
        </x:is>
      </x:c>
      <x:c r="J181" s="31" t="inlineStr">
        <x:is>
          <x:t xml:space="preserve">Снабжение</x:t>
        </x:is>
      </x:c>
      <x:c r="K181" s="31" t="n">
        <x:v>0</x:v>
      </x:c>
      <x:c r="L181" s="31" t="inlineStr">
        <x:is>
          <x:t xml:space="preserve">Нет</x:t>
        </x:is>
      </x:c>
      <x:c r="M181" s="31" t="inlineStr">
        <x:is>
          <x:t xml:space="preserve">Нет</x:t>
        </x:is>
      </x:c>
      <x:c r="N181" s="31" t="inlineStr">
        <x:is>
          <x:t xml:space="preserve">Автосоздано правилом/пользователем 10</x:t>
        </x:is>
      </x:c>
    </x:row>
    <x:row r="182" ht="18" customHeight="1">
      <x:c r="A182" s="31" t="inlineStr">
        <x:is>
          <x:t xml:space="preserve">ЗД-00181</x:t>
        </x:is>
      </x:c>
      <x:c r="B182" s="31" t="n">
        <x:v>46172</x:v>
      </x:c>
      <x:c r="C182" s="31" t="n">
        <x:v>46179</x:v>
      </x:c>
      <x:c r="D182" s="31" t="inlineStr">
        <x:is>
          <x:t xml:space="preserve">Ожидает ответа</x:t>
        </x:is>
      </x:c>
      <x:c r="E182" s="31" t="inlineStr">
        <x:is>
          <x:t xml:space="preserve">Средний</x:t>
        </x:is>
      </x:c>
      <x:c r="F182" s="31" t="inlineStr">
        <x:is>
          <x:t xml:space="preserve">СОТР-069</x:t>
        </x:is>
      </x:c>
      <x:c r="G182" s="31" t="inlineStr">
        <x:is>
          <x:t xml:space="preserve">Производственное задание</x:t>
        </x:is>
      </x:c>
      <x:c r="H182" s="31" t="inlineStr">
        <x:is>
          <x:t xml:space="preserve">ПЗ-00096</x:t>
        </x:is>
      </x:c>
      <x:c r="I182" s="31" t="inlineStr">
        <x:is>
          <x:t xml:space="preserve">Разобрать простой</x:t>
        </x:is>
      </x:c>
      <x:c r="J182" s="31" t="inlineStr">
        <x:is>
          <x:t xml:space="preserve">Производство</x:t>
        </x:is>
      </x:c>
      <x:c r="K182" s="31" t="n">
        <x:v>0</x:v>
      </x:c>
      <x:c r="L182" s="31" t="inlineStr">
        <x:is>
          <x:t xml:space="preserve">Да</x:t>
        </x:is>
      </x:c>
      <x:c r="M182" s="31" t="inlineStr">
        <x:is>
          <x:t xml:space="preserve">Нет</x:t>
        </x:is>
      </x:c>
      <x:c r="N182" s="31" t="inlineStr">
        <x:is>
          <x:t xml:space="preserve">Автосоздано правилом/пользователем 2</x:t>
        </x:is>
      </x:c>
    </x:row>
    <x:row r="183" ht="18" customHeight="1">
      <x:c r="A183" s="31" t="inlineStr">
        <x:is>
          <x:t xml:space="preserve">ЗД-00182</x:t>
        </x:is>
      </x:c>
      <x:c r="B183" s="31" t="n">
        <x:v>46127</x:v>
      </x:c>
      <x:c r="C183" s="31" t="n">
        <x:v>46132</x:v>
      </x:c>
      <x:c r="D183" s="31" t="inlineStr">
        <x:is>
          <x:t xml:space="preserve">Выполнена</x:t>
        </x:is>
      </x:c>
      <x:c r="E183" s="31" t="inlineStr">
        <x:is>
          <x:t xml:space="preserve">Низкий</x:t>
        </x:is>
      </x:c>
      <x:c r="F183" s="31" t="inlineStr">
        <x:is>
          <x:t xml:space="preserve">СОТР-076</x:t>
        </x:is>
      </x:c>
      <x:c r="G183" s="31" t="inlineStr">
        <x:is>
          <x:t xml:space="preserve">Счет</x:t>
        </x:is>
      </x:c>
      <x:c r="H183" s="31" t="inlineStr">
        <x:is>
          <x:t xml:space="preserve">СЧ-1075-2</x:t>
        </x:is>
      </x:c>
      <x:c r="I183" s="31" t="inlineStr">
        <x:is>
          <x:t xml:space="preserve">Напомнить об оплате</x:t>
        </x:is>
      </x:c>
      <x:c r="J183" s="31" t="inlineStr">
        <x:is>
          <x:t xml:space="preserve">Сервис</x:t>
        </x:is>
      </x:c>
      <x:c r="K183" s="31" t="n">
        <x:v>0</x:v>
      </x:c>
      <x:c r="L183" s="31" t="inlineStr">
        <x:is>
          <x:t xml:space="preserve">Нет</x:t>
        </x:is>
      </x:c>
      <x:c r="M183" s="31" t="inlineStr">
        <x:is>
          <x:t xml:space="preserve">Нет</x:t>
        </x:is>
      </x:c>
      <x:c r="N183" s="31" t="inlineStr">
        <x:is>
          <x:t xml:space="preserve">Автосоздано правилом/пользователем 6</x:t>
        </x:is>
      </x:c>
    </x:row>
    <x:row r="184" ht="18" customHeight="1">
      <x:c r="A184" s="31" t="inlineStr">
        <x:is>
          <x:t xml:space="preserve">ЗД-00183</x:t>
        </x:is>
      </x:c>
      <x:c r="B184" s="31" t="n">
        <x:v>46133</x:v>
      </x:c>
      <x:c r="C184" s="31" t="n">
        <x:v>46135</x:v>
      </x:c>
      <x:c r="D184" s="31" t="inlineStr">
        <x:is>
          <x:t xml:space="preserve">В работе</x:t>
        </x:is>
      </x:c>
      <x:c r="E184" s="31" t="inlineStr">
        <x:is>
          <x:t xml:space="preserve">Средний</x:t>
        </x:is>
      </x:c>
      <x:c r="F184" s="31" t="inlineStr">
        <x:is>
          <x:t xml:space="preserve">СОТР-097</x:t>
        </x:is>
      </x:c>
      <x:c r="G184" s="31" t="inlineStr">
        <x:is>
          <x:t xml:space="preserve">ОТК</x:t>
        </x:is>
      </x:c>
      <x:c r="H184" s="31" t="inlineStr">
        <x:is>
          <x:t xml:space="preserve">ОТК-00174</x:t>
        </x:is>
      </x:c>
      <x:c r="I184" s="31" t="inlineStr">
        <x:is>
          <x:t xml:space="preserve">Проверить доработку</x:t>
        </x:is>
      </x:c>
      <x:c r="J184" s="31" t="inlineStr">
        <x:is>
          <x:t xml:space="preserve">Продажи</x:t>
        </x:is>
      </x:c>
      <x:c r="K184" s="31" t="n">
        <x:v>0</x:v>
      </x:c>
      <x:c r="L184" s="31" t="inlineStr">
        <x:is>
          <x:t xml:space="preserve">Да</x:t>
        </x:is>
      </x:c>
      <x:c r="M184" s="31" t="inlineStr">
        <x:is>
          <x:t xml:space="preserve">Нет</x:t>
        </x:is>
      </x:c>
      <x:c r="N184" s="31" t="inlineStr">
        <x:is>
          <x:t xml:space="preserve">Автосоздано правилом/пользователем 7</x:t>
        </x:is>
      </x:c>
    </x:row>
    <x:row r="185" ht="18" customHeight="1">
      <x:c r="A185" s="31" t="inlineStr">
        <x:is>
          <x:t xml:space="preserve">ЗД-00184</x:t>
        </x:is>
      </x:c>
      <x:c r="B185" s="31" t="n">
        <x:v>46175</x:v>
      </x:c>
      <x:c r="C185" s="31" t="n">
        <x:v>46180</x:v>
      </x:c>
      <x:c r="D185" s="31" t="inlineStr">
        <x:is>
          <x:t xml:space="preserve">Выполнена</x:t>
        </x:is>
      </x:c>
      <x:c r="E185" s="31" t="inlineStr">
        <x:is>
          <x:t xml:space="preserve">Средний</x:t>
        </x:is>
      </x:c>
      <x:c r="F185" s="31" t="inlineStr">
        <x:is>
          <x:t xml:space="preserve">СОТР-076</x:t>
        </x:is>
      </x:c>
      <x:c r="G185" s="31" t="inlineStr">
        <x:is>
          <x:t xml:space="preserve">Счет</x:t>
        </x:is>
      </x:c>
      <x:c r="H185" s="31" t="inlineStr">
        <x:is>
          <x:t xml:space="preserve">СЧ-1050-1</x:t>
        </x:is>
      </x:c>
      <x:c r="I185" s="31" t="inlineStr">
        <x:is>
          <x:t xml:space="preserve">Проверить оплату</x:t>
        </x:is>
      </x:c>
      <x:c r="J185" s="31" t="inlineStr">
        <x:is>
          <x:t xml:space="preserve">Продажи</x:t>
        </x:is>
      </x:c>
      <x:c r="K185" s="31" t="n">
        <x:v>0</x:v>
      </x:c>
      <x:c r="L185" s="31" t="inlineStr">
        <x:is>
          <x:t xml:space="preserve">Нет</x:t>
        </x:is>
      </x:c>
      <x:c r="M185" s="31" t="inlineStr">
        <x:is>
          <x:t xml:space="preserve">Заказчик</x:t>
        </x:is>
      </x:c>
      <x:c r="N185" s="31" t="inlineStr">
        <x:is>
          <x:t xml:space="preserve">Автосоздано правилом/пользователем 5</x:t>
        </x:is>
      </x:c>
    </x:row>
    <x:row r="186" ht="18" customHeight="1">
      <x:c r="A186" s="31" t="inlineStr">
        <x:is>
          <x:t xml:space="preserve">ЗД-00185</x:t>
        </x:is>
      </x:c>
      <x:c r="B186" s="31" t="n">
        <x:v>46155</x:v>
      </x:c>
      <x:c r="C186" s="31" t="n">
        <x:v>46158</x:v>
      </x:c>
      <x:c r="D186" s="31" t="inlineStr">
        <x:is>
          <x:t xml:space="preserve">Новая</x:t>
        </x:is>
      </x:c>
      <x:c r="E186" s="31" t="inlineStr">
        <x:is>
          <x:t xml:space="preserve">Высокий</x:t>
        </x:is>
      </x:c>
      <x:c r="F186" s="31" t="inlineStr">
        <x:is>
          <x:t xml:space="preserve">СОТР-025</x:t>
        </x:is>
      </x:c>
      <x:c r="G186" s="31" t="inlineStr">
        <x:is>
          <x:t xml:space="preserve">Закупка</x:t>
        </x:is>
      </x:c>
      <x:c r="H186" s="31" t="inlineStr">
        <x:is>
          <x:t xml:space="preserve">ЗЗ-00047</x:t>
        </x:is>
      </x:c>
      <x:c r="I186" s="31" t="inlineStr">
        <x:is>
          <x:t xml:space="preserve">Уточнить сертификаты</x:t>
        </x:is>
      </x:c>
      <x:c r="J186" s="31" t="inlineStr">
        <x:is>
          <x:t xml:space="preserve">ОТК</x:t>
        </x:is>
      </x:c>
      <x:c r="K186" s="31" t="n">
        <x:v>0</x:v>
      </x:c>
      <x:c r="L186" s="31" t="inlineStr">
        <x:is>
          <x:t xml:space="preserve">Нет</x:t>
        </x:is>
      </x:c>
      <x:c r="M186" s="31" t="inlineStr">
        <x:is>
          <x:t xml:space="preserve">Нет</x:t>
        </x:is>
      </x:c>
      <x:c r="N186" s="31" t="inlineStr">
        <x:is>
          <x:t xml:space="preserve">Автосоздано правилом/пользователем 10</x:t>
        </x:is>
      </x:c>
    </x:row>
    <x:row r="187" ht="18" customHeight="1">
      <x:c r="A187" s="31" t="inlineStr">
        <x:is>
          <x:t xml:space="preserve">ЗД-00186</x:t>
        </x:is>
      </x:c>
      <x:c r="B187" s="31" t="n">
        <x:v>46138</x:v>
      </x:c>
      <x:c r="C187" s="31" t="n">
        <x:v>46139</x:v>
      </x:c>
      <x:c r="D187" s="31" t="inlineStr">
        <x:is>
          <x:t xml:space="preserve">Новая</x:t>
        </x:is>
      </x:c>
      <x:c r="E187" s="31" t="inlineStr">
        <x:is>
          <x:t xml:space="preserve">Средний</x:t>
        </x:is>
      </x:c>
      <x:c r="F187" s="31" t="inlineStr">
        <x:is>
          <x:t xml:space="preserve">СОТР-049</x:t>
        </x:is>
      </x:c>
      <x:c r="G187" s="31" t="inlineStr">
        <x:is>
          <x:t xml:space="preserve">Производственное задание</x:t>
        </x:is>
      </x:c>
      <x:c r="H187" s="31" t="inlineStr">
        <x:is>
          <x:t xml:space="preserve">ПЗ-00123</x:t>
        </x:is>
      </x:c>
      <x:c r="I187" s="31" t="inlineStr">
        <x:is>
          <x:t xml:space="preserve">Разобрать простой</x:t>
        </x:is>
      </x:c>
      <x:c r="J187" s="31" t="inlineStr">
        <x:is>
          <x:t xml:space="preserve">Финансы</x:t>
        </x:is>
      </x:c>
      <x:c r="K187" s="31" t="n">
        <x:v>0</x:v>
      </x:c>
      <x:c r="L187" s="31" t="inlineStr">
        <x:is>
          <x:t xml:space="preserve">Нет</x:t>
        </x:is>
      </x:c>
      <x:c r="M187" s="31" t="inlineStr">
        <x:is>
          <x:t xml:space="preserve">Нет</x:t>
        </x:is>
      </x:c>
      <x:c r="N187" s="31" t="inlineStr">
        <x:is>
          <x:t xml:space="preserve">Автосоздано правилом/пользователем 2</x:t>
        </x:is>
      </x:c>
    </x:row>
    <x:row r="188" ht="18" customHeight="1">
      <x:c r="A188" s="31" t="inlineStr">
        <x:is>
          <x:t xml:space="preserve">ЗД-00187</x:t>
        </x:is>
      </x:c>
      <x:c r="B188" s="31" t="n">
        <x:v>46171</x:v>
      </x:c>
      <x:c r="C188" s="31" t="n">
        <x:v>46176</x:v>
      </x:c>
      <x:c r="D188" s="31" t="inlineStr">
        <x:is>
          <x:t xml:space="preserve">Просрочена</x:t>
        </x:is>
      </x:c>
      <x:c r="E188" s="31" t="inlineStr">
        <x:is>
          <x:t xml:space="preserve">Средний</x:t>
        </x:is>
      </x:c>
      <x:c r="F188" s="31" t="inlineStr">
        <x:is>
          <x:t xml:space="preserve">СОТР-095</x:t>
        </x:is>
      </x:c>
      <x:c r="G188" s="31" t="inlineStr">
        <x:is>
          <x:t xml:space="preserve">Производственное задание</x:t>
        </x:is>
      </x:c>
      <x:c r="H188" s="31" t="inlineStr">
        <x:is>
          <x:t xml:space="preserve">ПЗ-00263</x:t>
        </x:is>
      </x:c>
      <x:c r="I188" s="31" t="inlineStr">
        <x:is>
          <x:t xml:space="preserve">Обновить готовность</x:t>
        </x:is>
      </x:c>
      <x:c r="J188" s="31" t="inlineStr">
        <x:is>
          <x:t xml:space="preserve">Финансы</x:t>
        </x:is>
      </x:c>
      <x:c r="K188" s="31" t="n">
        <x:v>9</x:v>
      </x:c>
      <x:c r="L188" s="31" t="inlineStr">
        <x:is>
          <x:t xml:space="preserve">Нет</x:t>
        </x:is>
      </x:c>
      <x:c r="M188" s="31" t="inlineStr">
        <x:is>
          <x:t xml:space="preserve">Нет</x:t>
        </x:is>
      </x:c>
      <x:c r="N188" s="31" t="inlineStr">
        <x:is>
          <x:t xml:space="preserve">Автосоздано правилом/пользователем 12</x:t>
        </x:is>
      </x:c>
    </x:row>
    <x:row r="189" ht="18" customHeight="1">
      <x:c r="A189" s="31" t="inlineStr">
        <x:is>
          <x:t xml:space="preserve">ЗД-00188</x:t>
        </x:is>
      </x:c>
      <x:c r="B189" s="31" t="n">
        <x:v>46156</x:v>
      </x:c>
      <x:c r="C189" s="31" t="n">
        <x:v>46170</x:v>
      </x:c>
      <x:c r="D189" s="31" t="inlineStr">
        <x:is>
          <x:t xml:space="preserve">Просрочена</x:t>
        </x:is>
      </x:c>
      <x:c r="E189" s="31" t="inlineStr">
        <x:is>
          <x:t xml:space="preserve">Средний</x:t>
        </x:is>
      </x:c>
      <x:c r="F189" s="31" t="inlineStr">
        <x:is>
          <x:t xml:space="preserve">СОТР-093</x:t>
        </x:is>
      </x:c>
      <x:c r="G189" s="31" t="inlineStr">
        <x:is>
          <x:t xml:space="preserve">Производственное задание</x:t>
        </x:is>
      </x:c>
      <x:c r="H189" s="31" t="inlineStr">
        <x:is>
          <x:t xml:space="preserve">ПЗ-00070</x:t>
        </x:is>
      </x:c>
      <x:c r="I189" s="31" t="inlineStr">
        <x:is>
          <x:t xml:space="preserve">Закрыть сменный факт</x:t>
        </x:is>
      </x:c>
      <x:c r="J189" s="31" t="inlineStr">
        <x:is>
          <x:t xml:space="preserve">Финансы</x:t>
        </x:is>
      </x:c>
      <x:c r="K189" s="31" t="n">
        <x:v>15</x:v>
      </x:c>
      <x:c r="L189" s="31" t="inlineStr">
        <x:is>
          <x:t xml:space="preserve">Нет</x:t>
        </x:is>
      </x:c>
      <x:c r="M189" s="31" t="inlineStr">
        <x:is>
          <x:t xml:space="preserve">Нет</x:t>
        </x:is>
      </x:c>
      <x:c r="N189" s="31" t="inlineStr">
        <x:is>
          <x:t xml:space="preserve">Автосоздано правилом/пользователем 11</x:t>
        </x:is>
      </x:c>
    </x:row>
    <x:row r="190" ht="18" customHeight="1">
      <x:c r="A190" s="31" t="inlineStr">
        <x:is>
          <x:t xml:space="preserve">ЗД-00189</x:t>
        </x:is>
      </x:c>
      <x:c r="B190" s="31" t="n">
        <x:v>46128</x:v>
      </x:c>
      <x:c r="C190" s="31" t="n">
        <x:v>46131</x:v>
      </x:c>
      <x:c r="D190" s="31" t="inlineStr">
        <x:is>
          <x:t xml:space="preserve">Просрочена</x:t>
        </x:is>
      </x:c>
      <x:c r="E190" s="31" t="inlineStr">
        <x:is>
          <x:t xml:space="preserve">Высокий</x:t>
        </x:is>
      </x:c>
      <x:c r="F190" s="31" t="inlineStr">
        <x:is>
          <x:t xml:space="preserve">СОТР-076</x:t>
        </x:is>
      </x:c>
      <x:c r="G190" s="31" t="inlineStr">
        <x:is>
          <x:t xml:space="preserve">Счет</x:t>
        </x:is>
      </x:c>
      <x:c r="H190" s="31" t="inlineStr">
        <x:is>
          <x:t xml:space="preserve">СЧ-1112-1</x:t>
        </x:is>
      </x:c>
      <x:c r="I190" s="31" t="inlineStr">
        <x:is>
          <x:t xml:space="preserve">Согласовать отгрузку при ДЗ</x:t>
        </x:is>
      </x:c>
      <x:c r="J190" s="31" t="inlineStr">
        <x:is>
          <x:t xml:space="preserve">Финансы</x:t>
        </x:is>
      </x:c>
      <x:c r="K190" s="31" t="n">
        <x:v>54</x:v>
      </x:c>
      <x:c r="L190" s="31" t="inlineStr">
        <x:is>
          <x:t xml:space="preserve">Нет</x:t>
        </x:is>
      </x:c>
      <x:c r="M190" s="31" t="inlineStr">
        <x:is>
          <x:t xml:space="preserve">Нет</x:t>
        </x:is>
      </x:c>
      <x:c r="N190" s="31" t="inlineStr">
        <x:is>
          <x:t xml:space="preserve">Автосоздано правилом/пользователем 8</x:t>
        </x:is>
      </x:c>
    </x:row>
    <x:row r="191" ht="18" customHeight="1">
      <x:c r="A191" s="31" t="inlineStr">
        <x:is>
          <x:t xml:space="preserve">ЗД-00190</x:t>
        </x:is>
      </x:c>
      <x:c r="B191" s="31" t="n">
        <x:v>46114</x:v>
      </x:c>
      <x:c r="C191" s="31" t="n">
        <x:v>46124</x:v>
      </x:c>
      <x:c r="D191" s="31" t="inlineStr">
        <x:is>
          <x:t xml:space="preserve">Новая</x:t>
        </x:is>
      </x:c>
      <x:c r="E191" s="31" t="inlineStr">
        <x:is>
          <x:t xml:space="preserve">Срочный</x:t>
        </x:is>
      </x:c>
      <x:c r="F191" s="31" t="inlineStr">
        <x:is>
          <x:t xml:space="preserve">СОТР-063</x:t>
        </x:is>
      </x:c>
      <x:c r="G191" s="31" t="inlineStr">
        <x:is>
          <x:t xml:space="preserve">Производственное задание</x:t>
        </x:is>
      </x:c>
      <x:c r="H191" s="31" t="inlineStr">
        <x:is>
          <x:t xml:space="preserve">ПЗ-00093</x:t>
        </x:is>
      </x:c>
      <x:c r="I191" s="31" t="inlineStr">
        <x:is>
          <x:t xml:space="preserve">Назначить оператора</x:t>
        </x:is>
      </x:c>
      <x:c r="J191" s="31" t="inlineStr">
        <x:is>
          <x:t xml:space="preserve">Снабжение</x:t>
        </x:is>
      </x:c>
      <x:c r="K191" s="31" t="n">
        <x:v>0</x:v>
      </x:c>
      <x:c r="L191" s="31" t="inlineStr">
        <x:is>
          <x:t xml:space="preserve">Нет</x:t>
        </x:is>
      </x:c>
      <x:c r="M191" s="31" t="inlineStr">
        <x:is>
          <x:t xml:space="preserve">Руководитель</x:t>
        </x:is>
      </x:c>
      <x:c r="N191" s="31" t="inlineStr">
        <x:is>
          <x:t xml:space="preserve">Автосоздано правилом/пользователем 5</x:t>
        </x:is>
      </x:c>
    </x:row>
    <x:row r="192" ht="18" customHeight="1">
      <x:c r="A192" s="31" t="inlineStr">
        <x:is>
          <x:t xml:space="preserve">ЗД-00191</x:t>
        </x:is>
      </x:c>
      <x:c r="B192" s="31" t="n">
        <x:v>46178</x:v>
      </x:c>
      <x:c r="C192" s="31" t="n">
        <x:v>46180</x:v>
      </x:c>
      <x:c r="D192" s="31" t="inlineStr">
        <x:is>
          <x:t xml:space="preserve">Выполнена</x:t>
        </x:is>
      </x:c>
      <x:c r="E192" s="31" t="inlineStr">
        <x:is>
          <x:t xml:space="preserve">Средний</x:t>
        </x:is>
      </x:c>
      <x:c r="F192" s="31" t="inlineStr">
        <x:is>
          <x:t xml:space="preserve">СОТР-039</x:t>
        </x:is>
      </x:c>
      <x:c r="G192" s="31" t="inlineStr">
        <x:is>
          <x:t xml:space="preserve">Заказ</x:t>
        </x:is>
      </x:c>
      <x:c r="H192" s="31" t="inlineStr">
        <x:is>
          <x:t xml:space="preserve">ЗК-1041</x:t>
        </x:is>
      </x:c>
      <x:c r="I192" s="31" t="inlineStr">
        <x:is>
          <x:t xml:space="preserve">Согласовать скидку</x:t>
        </x:is>
      </x:c>
      <x:c r="J192" s="31" t="inlineStr">
        <x:is>
          <x:t xml:space="preserve">Производство</x:t>
        </x:is>
      </x:c>
      <x:c r="K192" s="31" t="n">
        <x:v>0</x:v>
      </x:c>
      <x:c r="L192" s="31" t="inlineStr">
        <x:is>
          <x:t xml:space="preserve">Нет</x:t>
        </x:is>
      </x:c>
      <x:c r="M192" s="31" t="inlineStr">
        <x:is>
          <x:t xml:space="preserve">Нет</x:t>
        </x:is>
      </x:c>
      <x:c r="N192" s="31" t="inlineStr">
        <x:is>
          <x:t xml:space="preserve">Автосоздано правилом/пользователем 9</x:t>
        </x:is>
      </x:c>
    </x:row>
    <x:row r="193" ht="18" customHeight="1">
      <x:c r="A193" s="31" t="inlineStr">
        <x:is>
          <x:t xml:space="preserve">ЗД-00192</x:t>
        </x:is>
      </x:c>
      <x:c r="B193" s="31" t="n">
        <x:v>46144</x:v>
      </x:c>
      <x:c r="C193" s="31" t="n">
        <x:v>46154</x:v>
      </x:c>
      <x:c r="D193" s="31" t="inlineStr">
        <x:is>
          <x:t xml:space="preserve">В работе</x:t>
        </x:is>
      </x:c>
      <x:c r="E193" s="31" t="inlineStr">
        <x:is>
          <x:t xml:space="preserve">Средний</x:t>
        </x:is>
      </x:c>
      <x:c r="F193" s="31" t="inlineStr">
        <x:is>
          <x:t xml:space="preserve">СОТР-099</x:t>
        </x:is>
      </x:c>
      <x:c r="G193" s="31" t="inlineStr">
        <x:is>
          <x:t xml:space="preserve">ОТК</x:t>
        </x:is>
      </x:c>
      <x:c r="H193" s="31" t="inlineStr">
        <x:is>
          <x:t xml:space="preserve">ОТК-00128</x:t>
        </x:is>
      </x:c>
      <x:c r="I193" s="31" t="inlineStr">
        <x:is>
          <x:t xml:space="preserve">Проверить доработку</x:t>
        </x:is>
      </x:c>
      <x:c r="J193" s="31" t="inlineStr">
        <x:is>
          <x:t xml:space="preserve">Снабжение</x:t>
        </x:is>
      </x:c>
      <x:c r="K193" s="31" t="n">
        <x:v>0</x:v>
      </x:c>
      <x:c r="L193" s="31" t="inlineStr">
        <x:is>
          <x:t xml:space="preserve">Нет</x:t>
        </x:is>
      </x:c>
      <x:c r="M193" s="31" t="inlineStr">
        <x:is>
          <x:t xml:space="preserve">Нет</x:t>
        </x:is>
      </x:c>
      <x:c r="N193" s="31" t="inlineStr">
        <x:is>
          <x:t xml:space="preserve">Автосоздано правилом/пользователем 8</x:t>
        </x:is>
      </x:c>
    </x:row>
    <x:row r="194" ht="18" customHeight="1">
      <x:c r="A194" s="31" t="inlineStr">
        <x:is>
          <x:t xml:space="preserve">ЗД-00193</x:t>
        </x:is>
      </x:c>
      <x:c r="B194" s="31" t="n">
        <x:v>46174</x:v>
      </x:c>
      <x:c r="C194" s="31" t="n">
        <x:v>46176</x:v>
      </x:c>
      <x:c r="D194" s="31" t="inlineStr">
        <x:is>
          <x:t xml:space="preserve">Просрочена</x:t>
        </x:is>
      </x:c>
      <x:c r="E194" s="31" t="inlineStr">
        <x:is>
          <x:t xml:space="preserve">Высокий</x:t>
        </x:is>
      </x:c>
      <x:c r="F194" s="31" t="inlineStr">
        <x:is>
          <x:t xml:space="preserve">СОТР-005</x:t>
        </x:is>
      </x:c>
      <x:c r="G194" s="31" t="inlineStr">
        <x:is>
          <x:t xml:space="preserve">Заказ</x:t>
        </x:is>
      </x:c>
      <x:c r="H194" s="31" t="inlineStr">
        <x:is>
          <x:t xml:space="preserve">ЗК-1081</x:t>
        </x:is>
      </x:c>
      <x:c r="I194" s="31" t="inlineStr">
        <x:is>
          <x:t xml:space="preserve">Согласовать скидку</x:t>
        </x:is>
      </x:c>
      <x:c r="J194" s="31" t="inlineStr">
        <x:is>
          <x:t xml:space="preserve">Производство</x:t>
        </x:is>
      </x:c>
      <x:c r="K194" s="31" t="n">
        <x:v>9</x:v>
      </x:c>
      <x:c r="L194" s="31" t="inlineStr">
        <x:is>
          <x:t xml:space="preserve">Нет</x:t>
        </x:is>
      </x:c>
      <x:c r="M194" s="31" t="inlineStr">
        <x:is>
          <x:t xml:space="preserve">Нет</x:t>
        </x:is>
      </x:c>
      <x:c r="N194" s="31" t="inlineStr">
        <x:is>
          <x:t xml:space="preserve">Автосоздано правилом/пользователем 6</x:t>
        </x:is>
      </x:c>
    </x:row>
    <x:row r="195" ht="18" customHeight="1">
      <x:c r="A195" s="31" t="inlineStr">
        <x:is>
          <x:t xml:space="preserve">ЗД-00194</x:t>
        </x:is>
      </x:c>
      <x:c r="B195" s="31" t="n">
        <x:v>46168</x:v>
      </x:c>
      <x:c r="C195" s="31" t="n">
        <x:v>46175</x:v>
      </x:c>
      <x:c r="D195" s="31" t="inlineStr">
        <x:is>
          <x:t xml:space="preserve">Просрочена</x:t>
        </x:is>
      </x:c>
      <x:c r="E195" s="31" t="inlineStr">
        <x:is>
          <x:t xml:space="preserve">Средний</x:t>
        </x:is>
      </x:c>
      <x:c r="F195" s="31" t="inlineStr">
        <x:is>
          <x:t xml:space="preserve">СОТР-115</x:t>
        </x:is>
      </x:c>
      <x:c r="G195" s="31" t="inlineStr">
        <x:is>
          <x:t xml:space="preserve">Рекламация</x:t>
        </x:is>
      </x:c>
      <x:c r="H195" s="31" t="inlineStr">
        <x:is>
          <x:t xml:space="preserve">РЕК-00019</x:t>
        </x:is>
      </x:c>
      <x:c r="I195" s="31" t="inlineStr">
        <x:is>
          <x:t xml:space="preserve">Закрыть обращение</x:t>
        </x:is>
      </x:c>
      <x:c r="J195" s="31" t="inlineStr">
        <x:is>
          <x:t xml:space="preserve">Производство</x:t>
        </x:is>
      </x:c>
      <x:c r="K195" s="31" t="n">
        <x:v>10</x:v>
      </x:c>
      <x:c r="L195" s="31" t="inlineStr">
        <x:is>
          <x:t xml:space="preserve">Нет</x:t>
        </x:is>
      </x:c>
      <x:c r="M195" s="31" t="inlineStr">
        <x:is>
          <x:t xml:space="preserve">Нет</x:t>
        </x:is>
      </x:c>
      <x:c r="N195" s="31" t="inlineStr">
        <x:is>
          <x:t xml:space="preserve">Автосоздано правилом/пользователем 3</x:t>
        </x:is>
      </x:c>
    </x:row>
    <x:row r="196" ht="18" customHeight="1">
      <x:c r="A196" s="31" t="inlineStr">
        <x:is>
          <x:t xml:space="preserve">ЗД-00195</x:t>
        </x:is>
      </x:c>
      <x:c r="B196" s="31" t="n">
        <x:v>46132</x:v>
      </x:c>
      <x:c r="C196" s="31" t="n">
        <x:v>46146</x:v>
      </x:c>
      <x:c r="D196" s="31" t="inlineStr">
        <x:is>
          <x:t xml:space="preserve">Просрочена</x:t>
        </x:is>
      </x:c>
      <x:c r="E196" s="31" t="inlineStr">
        <x:is>
          <x:t xml:space="preserve">Средний</x:t>
        </x:is>
      </x:c>
      <x:c r="F196" s="31" t="inlineStr">
        <x:is>
          <x:t xml:space="preserve">СОТР-113</x:t>
        </x:is>
      </x:c>
      <x:c r="G196" s="31" t="inlineStr">
        <x:is>
          <x:t xml:space="preserve">ОТК</x:t>
        </x:is>
      </x:c>
      <x:c r="H196" s="31" t="inlineStr">
        <x:is>
          <x:t xml:space="preserve">ОТК-00137</x:t>
        </x:is>
      </x:c>
      <x:c r="I196" s="31" t="inlineStr">
        <x:is>
          <x:t xml:space="preserve">Проверить доработку</x:t>
        </x:is>
      </x:c>
      <x:c r="J196" s="31" t="inlineStr">
        <x:is>
          <x:t xml:space="preserve">Продажи</x:t>
        </x:is>
      </x:c>
      <x:c r="K196" s="31" t="n">
        <x:v>39</x:v>
      </x:c>
      <x:c r="L196" s="31" t="inlineStr">
        <x:is>
          <x:t xml:space="preserve">Нет</x:t>
        </x:is>
      </x:c>
      <x:c r="M196" s="31" t="inlineStr">
        <x:is>
          <x:t xml:space="preserve">Заказчик</x:t>
        </x:is>
      </x:c>
      <x:c r="N196" s="31" t="inlineStr">
        <x:is>
          <x:t xml:space="preserve">Автосоздано правилом/пользователем 8</x:t>
        </x:is>
      </x:c>
    </x:row>
    <x:row r="197" ht="18" customHeight="1">
      <x:c r="A197" s="31" t="inlineStr">
        <x:is>
          <x:t xml:space="preserve">ЗД-00196</x:t>
        </x:is>
      </x:c>
      <x:c r="B197" s="31" t="n">
        <x:v>46173</x:v>
      </x:c>
      <x:c r="C197" s="31" t="n">
        <x:v>46174</x:v>
      </x:c>
      <x:c r="D197" s="31" t="inlineStr">
        <x:is>
          <x:t xml:space="preserve">Выполнена</x:t>
        </x:is>
      </x:c>
      <x:c r="E197" s="31" t="inlineStr">
        <x:is>
          <x:t xml:space="preserve">Срочный</x:t>
        </x:is>
      </x:c>
      <x:c r="F197" s="31" t="inlineStr">
        <x:is>
          <x:t xml:space="preserve">СОТР-076</x:t>
        </x:is>
      </x:c>
      <x:c r="G197" s="31" t="inlineStr">
        <x:is>
          <x:t xml:space="preserve">Счет</x:t>
        </x:is>
      </x:c>
      <x:c r="H197" s="31" t="inlineStr">
        <x:is>
          <x:t xml:space="preserve">СЧ-1066-1</x:t>
        </x:is>
      </x:c>
      <x:c r="I197" s="31" t="inlineStr">
        <x:is>
          <x:t xml:space="preserve">Согласовать отгрузку при ДЗ</x:t>
        </x:is>
      </x:c>
      <x:c r="J197" s="31" t="inlineStr">
        <x:is>
          <x:t xml:space="preserve">Продажи</x:t>
        </x:is>
      </x:c>
      <x:c r="K197" s="31" t="n">
        <x:v>0</x:v>
      </x:c>
      <x:c r="L197" s="31" t="inlineStr">
        <x:is>
          <x:t xml:space="preserve">Нет</x:t>
        </x:is>
      </x:c>
      <x:c r="M197" s="31" t="inlineStr">
        <x:is>
          <x:t xml:space="preserve">Нет</x:t>
        </x:is>
      </x:c>
      <x:c r="N197" s="31" t="inlineStr">
        <x:is>
          <x:t xml:space="preserve">Автосоздано правилом/пользователем 2</x:t>
        </x:is>
      </x:c>
    </x:row>
    <x:row r="198" ht="18" customHeight="1">
      <x:c r="A198" s="31" t="inlineStr">
        <x:is>
          <x:t xml:space="preserve">ЗД-00197</x:t>
        </x:is>
      </x:c>
      <x:c r="B198" s="31" t="n">
        <x:v>46178</x:v>
      </x:c>
      <x:c r="C198" s="31" t="n">
        <x:v>46179</x:v>
      </x:c>
      <x:c r="D198" s="31" t="inlineStr">
        <x:is>
          <x:t xml:space="preserve">В работе</x:t>
        </x:is>
      </x:c>
      <x:c r="E198" s="31" t="inlineStr">
        <x:is>
          <x:t xml:space="preserve">Средний</x:t>
        </x:is>
      </x:c>
      <x:c r="F198" s="31" t="inlineStr">
        <x:is>
          <x:t xml:space="preserve">СОТР-076</x:t>
        </x:is>
      </x:c>
      <x:c r="G198" s="31" t="inlineStr">
        <x:is>
          <x:t xml:space="preserve">Счет</x:t>
        </x:is>
      </x:c>
      <x:c r="H198" s="31" t="inlineStr">
        <x:is>
          <x:t xml:space="preserve">СЧ-1125-1</x:t>
        </x:is>
      </x:c>
      <x:c r="I198" s="31" t="inlineStr">
        <x:is>
          <x:t xml:space="preserve">Проверить оплату</x:t>
        </x:is>
      </x:c>
      <x:c r="J198" s="31" t="inlineStr">
        <x:is>
          <x:t xml:space="preserve">Производство</x:t>
        </x:is>
      </x:c>
      <x:c r="K198" s="31" t="n">
        <x:v>0</x:v>
      </x:c>
      <x:c r="L198" s="31" t="inlineStr">
        <x:is>
          <x:t xml:space="preserve">Нет</x:t>
        </x:is>
      </x:c>
      <x:c r="M198" s="31" t="inlineStr">
        <x:is>
          <x:t xml:space="preserve">Нет</x:t>
        </x:is>
      </x:c>
      <x:c r="N198" s="31" t="inlineStr">
        <x:is>
          <x:t xml:space="preserve">Автосоздано правилом/пользователем 12</x:t>
        </x:is>
      </x:c>
    </x:row>
    <x:row r="199" ht="18" customHeight="1">
      <x:c r="A199" s="31" t="inlineStr">
        <x:is>
          <x:t xml:space="preserve">ЗД-00198</x:t>
        </x:is>
      </x:c>
      <x:c r="B199" s="31" t="n">
        <x:v>46123</x:v>
      </x:c>
      <x:c r="C199" s="31" t="n">
        <x:v>46125</x:v>
      </x:c>
      <x:c r="D199" s="31" t="inlineStr">
        <x:is>
          <x:t xml:space="preserve">Просрочена</x:t>
        </x:is>
      </x:c>
      <x:c r="E199" s="31" t="inlineStr">
        <x:is>
          <x:t xml:space="preserve">Высокий</x:t>
        </x:is>
      </x:c>
      <x:c r="F199" s="31" t="inlineStr">
        <x:is>
          <x:t xml:space="preserve">СОТР-093</x:t>
        </x:is>
      </x:c>
      <x:c r="G199" s="31" t="inlineStr">
        <x:is>
          <x:t xml:space="preserve">ОТК</x:t>
        </x:is>
      </x:c>
      <x:c r="H199" s="31" t="inlineStr">
        <x:is>
          <x:t xml:space="preserve">ОТК-00107</x:t>
        </x:is>
      </x:c>
      <x:c r="I199" s="31" t="inlineStr">
        <x:is>
          <x:t xml:space="preserve">Оформить корректирующие действия</x:t>
        </x:is>
      </x:c>
      <x:c r="J199" s="31" t="inlineStr">
        <x:is>
          <x:t xml:space="preserve">Продажи</x:t>
        </x:is>
      </x:c>
      <x:c r="K199" s="31" t="n">
        <x:v>60</x:v>
      </x:c>
      <x:c r="L199" s="31" t="inlineStr">
        <x:is>
          <x:t xml:space="preserve">Нет</x:t>
        </x:is>
      </x:c>
      <x:c r="M199" s="31" t="inlineStr">
        <x:is>
          <x:t xml:space="preserve">Нет</x:t>
        </x:is>
      </x:c>
      <x:c r="N199" s="31" t="inlineStr">
        <x:is>
          <x:t xml:space="preserve">Автосоздано правилом/пользователем 7</x:t>
        </x:is>
      </x:c>
    </x:row>
    <x:row r="200" ht="18" customHeight="1">
      <x:c r="A200" s="31" t="inlineStr">
        <x:is>
          <x:t xml:space="preserve">ЗД-00199</x:t>
        </x:is>
      </x:c>
      <x:c r="B200" s="31" t="n">
        <x:v>46139</x:v>
      </x:c>
      <x:c r="C200" s="31" t="n">
        <x:v>46140</x:v>
      </x:c>
      <x:c r="D200" s="31" t="inlineStr">
        <x:is>
          <x:t xml:space="preserve">Выполнена</x:t>
        </x:is>
      </x:c>
      <x:c r="E200" s="31" t="inlineStr">
        <x:is>
          <x:t xml:space="preserve">Средний</x:t>
        </x:is>
      </x:c>
      <x:c r="F200" s="31" t="inlineStr">
        <x:is>
          <x:t xml:space="preserve">СОТР-088</x:t>
        </x:is>
      </x:c>
      <x:c r="G200" s="31" t="inlineStr">
        <x:is>
          <x:t xml:space="preserve">Производственное задание</x:t>
        </x:is>
      </x:c>
      <x:c r="H200" s="31" t="inlineStr">
        <x:is>
          <x:t xml:space="preserve">ПЗ-00159</x:t>
        </x:is>
      </x:c>
      <x:c r="I200" s="31" t="inlineStr">
        <x:is>
          <x:t xml:space="preserve">Назначить оператора</x:t>
        </x:is>
      </x:c>
      <x:c r="J200" s="31" t="inlineStr">
        <x:is>
          <x:t xml:space="preserve">Снабжение</x:t>
        </x:is>
      </x:c>
      <x:c r="K200" s="31" t="n">
        <x:v>0</x:v>
      </x:c>
      <x:c r="L200" s="31" t="inlineStr">
        <x:is>
          <x:t xml:space="preserve">Нет</x:t>
        </x:is>
      </x:c>
      <x:c r="M200" s="31" t="inlineStr">
        <x:is>
          <x:t xml:space="preserve">Нет</x:t>
        </x:is>
      </x:c>
      <x:c r="N200" s="31" t="inlineStr">
        <x:is>
          <x:t xml:space="preserve">Автосоздано правилом/пользователем 11</x:t>
        </x:is>
      </x:c>
    </x:row>
    <x:row r="201" ht="18" customHeight="1">
      <x:c r="A201" s="31" t="inlineStr">
        <x:is>
          <x:t xml:space="preserve">ЗД-00200</x:t>
        </x:is>
      </x:c>
      <x:c r="B201" s="31" t="n">
        <x:v>46115</x:v>
      </x:c>
      <x:c r="C201" s="31" t="n">
        <x:v>46122</x:v>
      </x:c>
      <x:c r="D201" s="31" t="inlineStr">
        <x:is>
          <x:t xml:space="preserve">Отменена</x:t>
        </x:is>
      </x:c>
      <x:c r="E201" s="31" t="inlineStr">
        <x:is>
          <x:t xml:space="preserve">Средний</x:t>
        </x:is>
      </x:c>
      <x:c r="F201" s="31" t="inlineStr">
        <x:is>
          <x:t xml:space="preserve">СОТР-063</x:t>
        </x:is>
      </x:c>
      <x:c r="G201" s="31" t="inlineStr">
        <x:is>
          <x:t xml:space="preserve">ОТК</x:t>
        </x:is>
      </x:c>
      <x:c r="H201" s="31" t="inlineStr">
        <x:is>
          <x:t xml:space="preserve">ОТК-00044</x:t>
        </x:is>
      </x:c>
      <x:c r="I201" s="31" t="inlineStr">
        <x:is>
          <x:t xml:space="preserve">Согласовать приемку с замечаниями</x:t>
        </x:is>
      </x:c>
      <x:c r="J201" s="31" t="inlineStr">
        <x:is>
          <x:t xml:space="preserve">Снабжение</x:t>
        </x:is>
      </x:c>
      <x:c r="K201" s="31" t="n">
        <x:v>0</x:v>
      </x:c>
      <x:c r="L201" s="31" t="inlineStr">
        <x:is>
          <x:t xml:space="preserve">Нет</x:t>
        </x:is>
      </x:c>
      <x:c r="M201" s="31" t="inlineStr">
        <x:is>
          <x:t xml:space="preserve">Нет</x:t>
        </x:is>
      </x:c>
      <x:c r="N201" s="31" t="inlineStr">
        <x:is>
          <x:t xml:space="preserve">Автосоздано правилом/пользователем 10</x:t>
        </x:is>
      </x:c>
    </x:row>
    <x:row r="202" ht="18" customHeight="1">
      <x:c r="A202" s="31" t="inlineStr">
        <x:is>
          <x:t xml:space="preserve">ЗД-00201</x:t>
        </x:is>
      </x:c>
      <x:c r="B202" s="31" t="n">
        <x:v>46148</x:v>
      </x:c>
      <x:c r="C202" s="31" t="n">
        <x:v>46162</x:v>
      </x:c>
      <x:c r="D202" s="31" t="inlineStr">
        <x:is>
          <x:t xml:space="preserve">Ожидает ответа</x:t>
        </x:is>
      </x:c>
      <x:c r="E202" s="31" t="inlineStr">
        <x:is>
          <x:t xml:space="preserve">Срочный</x:t>
        </x:is>
      </x:c>
      <x:c r="F202" s="31" t="inlineStr">
        <x:is>
          <x:t xml:space="preserve">СОТР-076</x:t>
        </x:is>
      </x:c>
      <x:c r="G202" s="31" t="inlineStr">
        <x:is>
          <x:t xml:space="preserve">Счет</x:t>
        </x:is>
      </x:c>
      <x:c r="H202" s="31" t="inlineStr">
        <x:is>
          <x:t xml:space="preserve">СЧ-1086-1</x:t>
        </x:is>
      </x:c>
      <x:c r="I202" s="31" t="inlineStr">
        <x:is>
          <x:t xml:space="preserve">Согласовать отгрузку при ДЗ</x:t>
        </x:is>
      </x:c>
      <x:c r="J202" s="31" t="inlineStr">
        <x:is>
          <x:t xml:space="preserve">Производство</x:t>
        </x:is>
      </x:c>
      <x:c r="K202" s="31" t="n">
        <x:v>0</x:v>
      </x:c>
      <x:c r="L202" s="31" t="inlineStr">
        <x:is>
          <x:t xml:space="preserve">Нет</x:t>
        </x:is>
      </x:c>
      <x:c r="M202" s="31" t="inlineStr">
        <x:is>
          <x:t xml:space="preserve">Нет</x:t>
        </x:is>
      </x:c>
      <x:c r="N202" s="31" t="inlineStr">
        <x:is>
          <x:t xml:space="preserve">Автосоздано правилом/пользователем 7</x:t>
        </x:is>
      </x:c>
    </x:row>
    <x:row r="203" ht="18" customHeight="1">
      <x:c r="A203" s="31" t="inlineStr">
        <x:is>
          <x:t xml:space="preserve">ЗД-00202</x:t>
        </x:is>
      </x:c>
      <x:c r="B203" s="31" t="n">
        <x:v>46163</x:v>
      </x:c>
      <x:c r="C203" s="31" t="n">
        <x:v>46177</x:v>
      </x:c>
      <x:c r="D203" s="31" t="inlineStr">
        <x:is>
          <x:t xml:space="preserve">В работе</x:t>
        </x:is>
      </x:c>
      <x:c r="E203" s="31" t="inlineStr">
        <x:is>
          <x:t xml:space="preserve">Высокий</x:t>
        </x:is>
      </x:c>
      <x:c r="F203" s="31" t="inlineStr">
        <x:is>
          <x:t xml:space="preserve">СОТР-093</x:t>
        </x:is>
      </x:c>
      <x:c r="G203" s="31" t="inlineStr">
        <x:is>
          <x:t xml:space="preserve">ОТК</x:t>
        </x:is>
      </x:c>
      <x:c r="H203" s="31" t="inlineStr">
        <x:is>
          <x:t xml:space="preserve">ОТК-00010</x:t>
        </x:is>
      </x:c>
      <x:c r="I203" s="31" t="inlineStr">
        <x:is>
          <x:t xml:space="preserve">Оформить корректирующие действия</x:t>
        </x:is>
      </x:c>
      <x:c r="J203" s="31" t="inlineStr">
        <x:is>
          <x:t xml:space="preserve">Продажи</x:t>
        </x:is>
      </x:c>
      <x:c r="K203" s="31" t="n">
        <x:v>0</x:v>
      </x:c>
      <x:c r="L203" s="31" t="inlineStr">
        <x:is>
          <x:t xml:space="preserve">Нет</x:t>
        </x:is>
      </x:c>
      <x:c r="M203" s="31" t="inlineStr">
        <x:is>
          <x:t xml:space="preserve">Руководитель</x:t>
        </x:is>
      </x:c>
      <x:c r="N203" s="31" t="inlineStr">
        <x:is>
          <x:t xml:space="preserve">Автосоздано правилом/пользователем 12</x:t>
        </x:is>
      </x:c>
    </x:row>
    <x:row r="204" ht="18" customHeight="1">
      <x:c r="A204" s="31" t="inlineStr">
        <x:is>
          <x:t xml:space="preserve">ЗД-00203</x:t>
        </x:is>
      </x:c>
      <x:c r="B204" s="31" t="n">
        <x:v>46159</x:v>
      </x:c>
      <x:c r="C204" s="31" t="n">
        <x:v>46161</x:v>
      </x:c>
      <x:c r="D204" s="31" t="inlineStr">
        <x:is>
          <x:t xml:space="preserve">Выполнена</x:t>
        </x:is>
      </x:c>
      <x:c r="E204" s="31" t="inlineStr">
        <x:is>
          <x:t xml:space="preserve">Высокий</x:t>
        </x:is>
      </x:c>
      <x:c r="F204" s="31" t="inlineStr">
        <x:is>
          <x:t xml:space="preserve">СОТР-115</x:t>
        </x:is>
      </x:c>
      <x:c r="G204" s="31" t="inlineStr">
        <x:is>
          <x:t xml:space="preserve">Рекламация</x:t>
        </x:is>
      </x:c>
      <x:c r="H204" s="31" t="inlineStr">
        <x:is>
          <x:t xml:space="preserve">РЕК-00023</x:t>
        </x:is>
      </x:c>
      <x:c r="I204" s="31" t="inlineStr">
        <x:is>
          <x:t xml:space="preserve">Закрыть обращение</x:t>
        </x:is>
      </x:c>
      <x:c r="J204" s="31" t="inlineStr">
        <x:is>
          <x:t xml:space="preserve">Производство</x:t>
        </x:is>
      </x:c>
      <x:c r="K204" s="31" t="n">
        <x:v>0</x:v>
      </x:c>
      <x:c r="L204" s="31" t="inlineStr">
        <x:is>
          <x:t xml:space="preserve">Нет</x:t>
        </x:is>
      </x:c>
      <x:c r="M204" s="31" t="inlineStr">
        <x:is>
          <x:t xml:space="preserve">Нет</x:t>
        </x:is>
      </x:c>
      <x:c r="N204" s="31" t="inlineStr">
        <x:is>
          <x:t xml:space="preserve">Автосоздано правилом/пользователем 11</x:t>
        </x:is>
      </x:c>
    </x:row>
    <x:row r="205" ht="18" customHeight="1">
      <x:c r="A205" s="31" t="inlineStr">
        <x:is>
          <x:t xml:space="preserve">ЗД-00204</x:t>
        </x:is>
      </x:c>
      <x:c r="B205" s="31" t="n">
        <x:v>46147</x:v>
      </x:c>
      <x:c r="C205" s="31" t="n">
        <x:v>46149</x:v>
      </x:c>
      <x:c r="D205" s="31" t="inlineStr">
        <x:is>
          <x:t xml:space="preserve">Просрочена</x:t>
        </x:is>
      </x:c>
      <x:c r="E205" s="31" t="inlineStr">
        <x:is>
          <x:t xml:space="preserve">Срочный</x:t>
        </x:is>
      </x:c>
      <x:c r="F205" s="31" t="inlineStr">
        <x:is>
          <x:t xml:space="preserve">СОТР-098</x:t>
        </x:is>
      </x:c>
      <x:c r="G205" s="31" t="inlineStr">
        <x:is>
          <x:t xml:space="preserve">ОТК</x:t>
        </x:is>
      </x:c>
      <x:c r="H205" s="31" t="inlineStr">
        <x:is>
          <x:t xml:space="preserve">ОТК-00027</x:t>
        </x:is>
      </x:c>
      <x:c r="I205" s="31" t="inlineStr">
        <x:is>
          <x:t xml:space="preserve">Заблокировать отгрузку</x:t>
        </x:is>
      </x:c>
      <x:c r="J205" s="31" t="inlineStr">
        <x:is>
          <x:t xml:space="preserve">Продажи</x:t>
        </x:is>
      </x:c>
      <x:c r="K205" s="31" t="n">
        <x:v>36</x:v>
      </x:c>
      <x:c r="L205" s="31" t="inlineStr">
        <x:is>
          <x:t xml:space="preserve">Да</x:t>
        </x:is>
      </x:c>
      <x:c r="M205" s="31" t="inlineStr">
        <x:is>
          <x:t xml:space="preserve">Нет</x:t>
        </x:is>
      </x:c>
      <x:c r="N205" s="31" t="inlineStr">
        <x:is>
          <x:t xml:space="preserve">Автосоздано правилом/пользователем 6</x:t>
        </x:is>
      </x:c>
    </x:row>
    <x:row r="206" ht="18" customHeight="1">
      <x:c r="A206" s="31" t="inlineStr">
        <x:is>
          <x:t xml:space="preserve">ЗД-00205</x:t>
        </x:is>
      </x:c>
      <x:c r="B206" s="31" t="n">
        <x:v>46173</x:v>
      </x:c>
      <x:c r="C206" s="31" t="n">
        <x:v>46176</x:v>
      </x:c>
      <x:c r="D206" s="31" t="inlineStr">
        <x:is>
          <x:t xml:space="preserve">Выполнена</x:t>
        </x:is>
      </x:c>
      <x:c r="E206" s="31" t="inlineStr">
        <x:is>
          <x:t xml:space="preserve">Низкий</x:t>
        </x:is>
      </x:c>
      <x:c r="F206" s="31" t="inlineStr">
        <x:is>
          <x:t xml:space="preserve">СОТР-093</x:t>
        </x:is>
      </x:c>
      <x:c r="G206" s="31" t="inlineStr">
        <x:is>
          <x:t xml:space="preserve">Производственное задание</x:t>
        </x:is>
      </x:c>
      <x:c r="H206" s="31" t="inlineStr">
        <x:is>
          <x:t xml:space="preserve">ПЗ-00014</x:t>
        </x:is>
      </x:c>
      <x:c r="I206" s="31" t="inlineStr">
        <x:is>
          <x:t xml:space="preserve">Разобрать простой</x:t>
        </x:is>
      </x:c>
      <x:c r="J206" s="31" t="inlineStr">
        <x:is>
          <x:t xml:space="preserve">Сервис</x:t>
        </x:is>
      </x:c>
      <x:c r="K206" s="31" t="n">
        <x:v>0</x:v>
      </x:c>
      <x:c r="L206" s="31" t="inlineStr">
        <x:is>
          <x:t xml:space="preserve">Нет</x:t>
        </x:is>
      </x:c>
      <x:c r="M206" s="31" t="inlineStr">
        <x:is>
          <x:t xml:space="preserve">Нет</x:t>
        </x:is>
      </x:c>
      <x:c r="N206" s="31" t="inlineStr">
        <x:is>
          <x:t xml:space="preserve">Автосоздано правилом/пользователем 4</x:t>
        </x:is>
      </x:c>
    </x:row>
    <x:row r="207" ht="18" customHeight="1">
      <x:c r="A207" s="31" t="inlineStr">
        <x:is>
          <x:t xml:space="preserve">ЗД-00206</x:t>
        </x:is>
      </x:c>
      <x:c r="B207" s="31" t="n">
        <x:v>46113</x:v>
      </x:c>
      <x:c r="C207" s="31" t="n">
        <x:v>46116</x:v>
      </x:c>
      <x:c r="D207" s="31" t="inlineStr">
        <x:is>
          <x:t xml:space="preserve">Ожидает ответа</x:t>
        </x:is>
      </x:c>
      <x:c r="E207" s="31" t="inlineStr">
        <x:is>
          <x:t xml:space="preserve">Низкий</x:t>
        </x:is>
      </x:c>
      <x:c r="F207" s="31" t="inlineStr">
        <x:is>
          <x:t xml:space="preserve">СОТР-098</x:t>
        </x:is>
      </x:c>
      <x:c r="G207" s="31" t="inlineStr">
        <x:is>
          <x:t xml:space="preserve">Производственное задание</x:t>
        </x:is>
      </x:c>
      <x:c r="H207" s="31" t="inlineStr">
        <x:is>
          <x:t xml:space="preserve">ПЗ-00092</x:t>
        </x:is>
      </x:c>
      <x:c r="I207" s="31" t="inlineStr">
        <x:is>
          <x:t xml:space="preserve">Обновить готовность</x:t>
        </x:is>
      </x:c>
      <x:c r="J207" s="31" t="inlineStr">
        <x:is>
          <x:t xml:space="preserve">Производство</x:t>
        </x:is>
      </x:c>
      <x:c r="K207" s="31" t="n">
        <x:v>0</x:v>
      </x:c>
      <x:c r="L207" s="31" t="inlineStr">
        <x:is>
          <x:t xml:space="preserve">Нет</x:t>
        </x:is>
      </x:c>
      <x:c r="M207" s="31" t="inlineStr">
        <x:is>
          <x:t xml:space="preserve">Руководитель</x:t>
        </x:is>
      </x:c>
      <x:c r="N207" s="31" t="inlineStr">
        <x:is>
          <x:t xml:space="preserve">Автосоздано правилом/пользователем 9</x:t>
        </x:is>
      </x:c>
    </x:row>
    <x:row r="208" ht="18" customHeight="1">
      <x:c r="A208" s="31" t="inlineStr">
        <x:is>
          <x:t xml:space="preserve">ЗД-00207</x:t>
        </x:is>
      </x:c>
      <x:c r="B208" s="31" t="n">
        <x:v>46113</x:v>
      </x:c>
      <x:c r="C208" s="31" t="n">
        <x:v>46115</x:v>
      </x:c>
      <x:c r="D208" s="31" t="inlineStr">
        <x:is>
          <x:t xml:space="preserve">Выполнена</x:t>
        </x:is>
      </x:c>
      <x:c r="E208" s="31" t="inlineStr">
        <x:is>
          <x:t xml:space="preserve">Средний</x:t>
        </x:is>
      </x:c>
      <x:c r="F208" s="31" t="inlineStr">
        <x:is>
          <x:t xml:space="preserve">СОТР-121</x:t>
        </x:is>
      </x:c>
      <x:c r="G208" s="31" t="inlineStr">
        <x:is>
          <x:t xml:space="preserve">Производственное задание</x:t>
        </x:is>
      </x:c>
      <x:c r="H208" s="31" t="inlineStr">
        <x:is>
          <x:t xml:space="preserve">ПЗ-00147</x:t>
        </x:is>
      </x:c>
      <x:c r="I208" s="31" t="inlineStr">
        <x:is>
          <x:t xml:space="preserve">Закрыть сменный факт</x:t>
        </x:is>
      </x:c>
      <x:c r="J208" s="31" t="inlineStr">
        <x:is>
          <x:t xml:space="preserve">Производство</x:t>
        </x:is>
      </x:c>
      <x:c r="K208" s="31" t="n">
        <x:v>0</x:v>
      </x:c>
      <x:c r="L208" s="31" t="inlineStr">
        <x:is>
          <x:t xml:space="preserve">Нет</x:t>
        </x:is>
      </x:c>
      <x:c r="M208" s="31" t="inlineStr">
        <x:is>
          <x:t xml:space="preserve">Нет</x:t>
        </x:is>
      </x:c>
      <x:c r="N208" s="31" t="inlineStr">
        <x:is>
          <x:t xml:space="preserve">Автосоздано правилом/пользователем 7</x:t>
        </x:is>
      </x:c>
    </x:row>
    <x:row r="209" ht="18" customHeight="1">
      <x:c r="A209" s="31" t="inlineStr">
        <x:is>
          <x:t xml:space="preserve">ЗД-00208</x:t>
        </x:is>
      </x:c>
      <x:c r="B209" s="31" t="n">
        <x:v>46177</x:v>
      </x:c>
      <x:c r="C209" s="31" t="n">
        <x:v>46179</x:v>
      </x:c>
      <x:c r="D209" s="31" t="inlineStr">
        <x:is>
          <x:t xml:space="preserve">Просрочена</x:t>
        </x:is>
      </x:c>
      <x:c r="E209" s="31" t="inlineStr">
        <x:is>
          <x:t xml:space="preserve">Средний</x:t>
        </x:is>
      </x:c>
      <x:c r="F209" s="31" t="inlineStr">
        <x:is>
          <x:t xml:space="preserve">СОТР-028</x:t>
        </x:is>
      </x:c>
      <x:c r="G209" s="31" t="inlineStr">
        <x:is>
          <x:t xml:space="preserve">Закупка</x:t>
        </x:is>
      </x:c>
      <x:c r="H209" s="31" t="inlineStr">
        <x:is>
          <x:t xml:space="preserve">ЗЗ-00019</x:t>
        </x:is>
      </x:c>
      <x:c r="I209" s="31" t="inlineStr">
        <x:is>
          <x:t xml:space="preserve">Уточнить сертификаты</x:t>
        </x:is>
      </x:c>
      <x:c r="J209" s="31" t="inlineStr">
        <x:is>
          <x:t xml:space="preserve">Продажи</x:t>
        </x:is>
      </x:c>
      <x:c r="K209" s="31" t="n">
        <x:v>6</x:v>
      </x:c>
      <x:c r="L209" s="31" t="inlineStr">
        <x:is>
          <x:t xml:space="preserve">Нет</x:t>
        </x:is>
      </x:c>
      <x:c r="M209" s="31" t="inlineStr">
        <x:is>
          <x:t xml:space="preserve">Руководитель</x:t>
        </x:is>
      </x:c>
      <x:c r="N209" s="31" t="inlineStr">
        <x:is>
          <x:t xml:space="preserve">Автосоздано правилом/пользователем 4</x:t>
        </x:is>
      </x:c>
    </x:row>
    <x:row r="210" ht="18" customHeight="1">
      <x:c r="A210" s="31" t="inlineStr">
        <x:is>
          <x:t xml:space="preserve">ЗД-00209</x:t>
        </x:is>
      </x:c>
      <x:c r="B210" s="31" t="n">
        <x:v>46144</x:v>
      </x:c>
      <x:c r="C210" s="31" t="n">
        <x:v>46149</x:v>
      </x:c>
      <x:c r="D210" s="31" t="inlineStr">
        <x:is>
          <x:t xml:space="preserve">Выполнена</x:t>
        </x:is>
      </x:c>
      <x:c r="E210" s="31" t="inlineStr">
        <x:is>
          <x:t xml:space="preserve">Срочный</x:t>
        </x:is>
      </x:c>
      <x:c r="F210" s="31" t="inlineStr">
        <x:is>
          <x:t xml:space="preserve">СОТР-099</x:t>
        </x:is>
      </x:c>
      <x:c r="G210" s="31" t="inlineStr">
        <x:is>
          <x:t xml:space="preserve">Производственное задание</x:t>
        </x:is>
      </x:c>
      <x:c r="H210" s="31" t="inlineStr">
        <x:is>
          <x:t xml:space="preserve">ПЗ-00214</x:t>
        </x:is>
      </x:c>
      <x:c r="I210" s="31" t="inlineStr">
        <x:is>
          <x:t xml:space="preserve">Проверить дефицит материалов</x:t>
        </x:is>
      </x:c>
      <x:c r="J210" s="31" t="inlineStr">
        <x:is>
          <x:t xml:space="preserve">Сервис</x:t>
        </x:is>
      </x:c>
      <x:c r="K210" s="31" t="n">
        <x:v>0</x:v>
      </x:c>
      <x:c r="L210" s="31" t="inlineStr">
        <x:is>
          <x:t xml:space="preserve">Да</x:t>
        </x:is>
      </x:c>
      <x:c r="M210" s="31" t="inlineStr">
        <x:is>
          <x:t xml:space="preserve">Нет</x:t>
        </x:is>
      </x:c>
      <x:c r="N210" s="31" t="inlineStr">
        <x:is>
          <x:t xml:space="preserve">Автосоздано правилом/пользователем 11</x:t>
        </x:is>
      </x:c>
    </x:row>
    <x:row r="211" ht="18" customHeight="1">
      <x:c r="A211" s="31" t="inlineStr">
        <x:is>
          <x:t xml:space="preserve">ЗД-00210</x:t>
        </x:is>
      </x:c>
      <x:c r="B211" s="31" t="n">
        <x:v>46147</x:v>
      </x:c>
      <x:c r="C211" s="31" t="n">
        <x:v>46154</x:v>
      </x:c>
      <x:c r="D211" s="31" t="inlineStr">
        <x:is>
          <x:t xml:space="preserve">Выполнена</x:t>
        </x:is>
      </x:c>
      <x:c r="E211" s="31" t="inlineStr">
        <x:is>
          <x:t xml:space="preserve">Средний</x:t>
        </x:is>
      </x:c>
      <x:c r="F211" s="31" t="inlineStr">
        <x:is>
          <x:t xml:space="preserve">СОТР-076</x:t>
        </x:is>
      </x:c>
      <x:c r="G211" s="31" t="inlineStr">
        <x:is>
          <x:t xml:space="preserve">Счет</x:t>
        </x:is>
      </x:c>
      <x:c r="H211" s="31" t="inlineStr">
        <x:is>
          <x:t xml:space="preserve">СЧ-1120-1</x:t>
        </x:is>
      </x:c>
      <x:c r="I211" s="31" t="inlineStr">
        <x:is>
          <x:t xml:space="preserve">Согласовать отгрузку при ДЗ</x:t>
        </x:is>
      </x:c>
      <x:c r="J211" s="31" t="inlineStr">
        <x:is>
          <x:t xml:space="preserve">Производство</x:t>
        </x:is>
      </x:c>
      <x:c r="K211" s="31" t="n">
        <x:v>0</x:v>
      </x:c>
      <x:c r="L211" s="31" t="inlineStr">
        <x:is>
          <x:t xml:space="preserve">Нет</x:t>
        </x:is>
      </x:c>
      <x:c r="M211" s="31" t="inlineStr">
        <x:is>
          <x:t xml:space="preserve">Нет</x:t>
        </x:is>
      </x:c>
      <x:c r="N211" s="31" t="inlineStr">
        <x:is>
          <x:t xml:space="preserve">Автосоздано правилом/пользователем 1</x:t>
        </x:is>
      </x:c>
    </x:row>
    <x:row r="212" ht="18" customHeight="1">
      <x:c r="A212" s="31" t="inlineStr">
        <x:is>
          <x:t xml:space="preserve">ЗД-00211</x:t>
        </x:is>
      </x:c>
      <x:c r="B212" s="31" t="n">
        <x:v>46143</x:v>
      </x:c>
      <x:c r="C212" s="31" t="n">
        <x:v>46150</x:v>
      </x:c>
      <x:c r="D212" s="31" t="inlineStr">
        <x:is>
          <x:t xml:space="preserve">Выполнена</x:t>
        </x:is>
      </x:c>
      <x:c r="E212" s="31" t="inlineStr">
        <x:is>
          <x:t xml:space="preserve">Средний</x:t>
        </x:is>
      </x:c>
      <x:c r="F212" s="31" t="inlineStr">
        <x:is>
          <x:t xml:space="preserve">СОТР-003</x:t>
        </x:is>
      </x:c>
      <x:c r="G212" s="31" t="inlineStr">
        <x:is>
          <x:t xml:space="preserve">Заказ</x:t>
        </x:is>
      </x:c>
      <x:c r="H212" s="31" t="inlineStr">
        <x:is>
          <x:t xml:space="preserve">ЗК-1033</x:t>
        </x:is>
      </x:c>
      <x:c r="I212" s="31" t="inlineStr">
        <x:is>
          <x:t xml:space="preserve">Уточнить ТЗ</x:t>
        </x:is>
      </x:c>
      <x:c r="J212" s="31" t="inlineStr">
        <x:is>
          <x:t xml:space="preserve">ОТК</x:t>
        </x:is>
      </x:c>
      <x:c r="K212" s="31" t="n">
        <x:v>0</x:v>
      </x:c>
      <x:c r="L212" s="31" t="inlineStr">
        <x:is>
          <x:t xml:space="preserve">Да</x:t>
        </x:is>
      </x:c>
      <x:c r="M212" s="31" t="inlineStr">
        <x:is>
          <x:t xml:space="preserve">Руководитель</x:t>
        </x:is>
      </x:c>
      <x:c r="N212" s="31" t="inlineStr">
        <x:is>
          <x:t xml:space="preserve">Автосоздано правилом/пользователем 8</x:t>
        </x:is>
      </x:c>
    </x:row>
    <x:row r="213" ht="18" customHeight="1">
      <x:c r="A213" s="31" t="inlineStr">
        <x:is>
          <x:t xml:space="preserve">ЗД-00212</x:t>
        </x:is>
      </x:c>
      <x:c r="B213" s="31" t="n">
        <x:v>46153</x:v>
      </x:c>
      <x:c r="C213" s="31" t="n">
        <x:v>46155</x:v>
      </x:c>
      <x:c r="D213" s="31" t="inlineStr">
        <x:is>
          <x:t xml:space="preserve">Выполнена</x:t>
        </x:is>
      </x:c>
      <x:c r="E213" s="31" t="inlineStr">
        <x:is>
          <x:t xml:space="preserve">Высокий</x:t>
        </x:is>
      </x:c>
      <x:c r="F213" s="31" t="inlineStr">
        <x:is>
          <x:t xml:space="preserve">СОТР-003</x:t>
        </x:is>
      </x:c>
      <x:c r="G213" s="31" t="inlineStr">
        <x:is>
          <x:t xml:space="preserve">Заказ</x:t>
        </x:is>
      </x:c>
      <x:c r="H213" s="31" t="inlineStr">
        <x:is>
          <x:t xml:space="preserve">ЗК-1033</x:t>
        </x:is>
      </x:c>
      <x:c r="I213" s="31" t="inlineStr">
        <x:is>
          <x:t xml:space="preserve">Согласовать скидку</x:t>
        </x:is>
      </x:c>
      <x:c r="J213" s="31" t="inlineStr">
        <x:is>
          <x:t xml:space="preserve">Продажи</x:t>
        </x:is>
      </x:c>
      <x:c r="K213" s="31" t="n">
        <x:v>0</x:v>
      </x:c>
      <x:c r="L213" s="31" t="inlineStr">
        <x:is>
          <x:t xml:space="preserve">Да</x:t>
        </x:is>
      </x:c>
      <x:c r="M213" s="31" t="inlineStr">
        <x:is>
          <x:t xml:space="preserve">Заказчик</x:t>
        </x:is>
      </x:c>
      <x:c r="N213" s="31" t="inlineStr">
        <x:is>
          <x:t xml:space="preserve">Автосоздано правилом/пользователем 3</x:t>
        </x:is>
      </x:c>
    </x:row>
    <x:row r="214" ht="18" customHeight="1">
      <x:c r="A214" s="31" t="inlineStr">
        <x:is>
          <x:t xml:space="preserve">ЗД-00213</x:t>
        </x:is>
      </x:c>
      <x:c r="B214" s="31" t="n">
        <x:v>46129</x:v>
      </x:c>
      <x:c r="C214" s="31" t="n">
        <x:v>46130</x:v>
      </x:c>
      <x:c r="D214" s="31" t="inlineStr">
        <x:is>
          <x:t xml:space="preserve">Выполнена</x:t>
        </x:is>
      </x:c>
      <x:c r="E214" s="31" t="inlineStr">
        <x:is>
          <x:t xml:space="preserve">Средний</x:t>
        </x:is>
      </x:c>
      <x:c r="F214" s="31" t="inlineStr">
        <x:is>
          <x:t xml:space="preserve">СОТР-093</x:t>
        </x:is>
      </x:c>
      <x:c r="G214" s="31" t="inlineStr">
        <x:is>
          <x:t xml:space="preserve">Производственное задание</x:t>
        </x:is>
      </x:c>
      <x:c r="H214" s="31" t="inlineStr">
        <x:is>
          <x:t xml:space="preserve">ПЗ-00189</x:t>
        </x:is>
      </x:c>
      <x:c r="I214" s="31" t="inlineStr">
        <x:is>
          <x:t xml:space="preserve">Разобрать простой</x:t>
        </x:is>
      </x:c>
      <x:c r="J214" s="31" t="inlineStr">
        <x:is>
          <x:t xml:space="preserve">ОТК</x:t>
        </x:is>
      </x:c>
      <x:c r="K214" s="31" t="n">
        <x:v>0</x:v>
      </x:c>
      <x:c r="L214" s="31" t="inlineStr">
        <x:is>
          <x:t xml:space="preserve">Нет</x:t>
        </x:is>
      </x:c>
      <x:c r="M214" s="31" t="inlineStr">
        <x:is>
          <x:t xml:space="preserve">Заказчик</x:t>
        </x:is>
      </x:c>
      <x:c r="N214" s="31" t="inlineStr">
        <x:is>
          <x:t xml:space="preserve">Автосоздано правилом/пользователем 8</x:t>
        </x:is>
      </x:c>
    </x:row>
    <x:row r="215" ht="18" customHeight="1">
      <x:c r="A215" s="31" t="inlineStr">
        <x:is>
          <x:t xml:space="preserve">ЗД-00214</x:t>
        </x:is>
      </x:c>
      <x:c r="B215" s="31" t="n">
        <x:v>46148</x:v>
      </x:c>
      <x:c r="C215" s="31" t="n">
        <x:v>46158</x:v>
      </x:c>
      <x:c r="D215" s="31" t="inlineStr">
        <x:is>
          <x:t xml:space="preserve">Новая</x:t>
        </x:is>
      </x:c>
      <x:c r="E215" s="31" t="inlineStr">
        <x:is>
          <x:t xml:space="preserve">Средний</x:t>
        </x:is>
      </x:c>
      <x:c r="F215" s="31" t="inlineStr">
        <x:is>
          <x:t xml:space="preserve">СОТР-076</x:t>
        </x:is>
      </x:c>
      <x:c r="G215" s="31" t="inlineStr">
        <x:is>
          <x:t xml:space="preserve">Счет</x:t>
        </x:is>
      </x:c>
      <x:c r="H215" s="31" t="inlineStr">
        <x:is>
          <x:t xml:space="preserve">СЧ-1079-2</x:t>
        </x:is>
      </x:c>
      <x:c r="I215" s="31" t="inlineStr">
        <x:is>
          <x:t xml:space="preserve">Напомнить об оплате</x:t>
        </x:is>
      </x:c>
      <x:c r="J215" s="31" t="inlineStr">
        <x:is>
          <x:t xml:space="preserve">Продажи</x:t>
        </x:is>
      </x:c>
      <x:c r="K215" s="31" t="n">
        <x:v>0</x:v>
      </x:c>
      <x:c r="L215" s="31" t="inlineStr">
        <x:is>
          <x:t xml:space="preserve">Да</x:t>
        </x:is>
      </x:c>
      <x:c r="M215" s="31" t="inlineStr">
        <x:is>
          <x:t xml:space="preserve">Нет</x:t>
        </x:is>
      </x:c>
      <x:c r="N215" s="31" t="inlineStr">
        <x:is>
          <x:t xml:space="preserve">Автосоздано правилом/пользователем 5</x:t>
        </x:is>
      </x:c>
    </x:row>
    <x:row r="216" ht="18" customHeight="1">
      <x:c r="A216" s="31" t="inlineStr">
        <x:is>
          <x:t xml:space="preserve">ЗД-00215</x:t>
        </x:is>
      </x:c>
      <x:c r="B216" s="31" t="n">
        <x:v>46142</x:v>
      </x:c>
      <x:c r="C216" s="31" t="n">
        <x:v>46143</x:v>
      </x:c>
      <x:c r="D216" s="31" t="inlineStr">
        <x:is>
          <x:t xml:space="preserve">Выполнена</x:t>
        </x:is>
      </x:c>
      <x:c r="E216" s="31" t="inlineStr">
        <x:is>
          <x:t xml:space="preserve">Высокий</x:t>
        </x:is>
      </x:c>
      <x:c r="F216" s="31" t="inlineStr">
        <x:is>
          <x:t xml:space="preserve">СОТР-032</x:t>
        </x:is>
      </x:c>
      <x:c r="G216" s="31" t="inlineStr">
        <x:is>
          <x:t xml:space="preserve">Закупка</x:t>
        </x:is>
      </x:c>
      <x:c r="H216" s="31" t="inlineStr">
        <x:is>
          <x:t xml:space="preserve">ЗЗ-00018</x:t>
        </x:is>
      </x:c>
      <x:c r="I216" s="31" t="inlineStr">
        <x:is>
          <x:t xml:space="preserve">Запросить срок поставки</x:t>
        </x:is>
      </x:c>
      <x:c r="J216" s="31" t="inlineStr">
        <x:is>
          <x:t xml:space="preserve">Финансы</x:t>
        </x:is>
      </x:c>
      <x:c r="K216" s="31" t="n">
        <x:v>0</x:v>
      </x:c>
      <x:c r="L216" s="31" t="inlineStr">
        <x:is>
          <x:t xml:space="preserve">Нет</x:t>
        </x:is>
      </x:c>
      <x:c r="M216" s="31" t="inlineStr">
        <x:is>
          <x:t xml:space="preserve">Нет</x:t>
        </x:is>
      </x:c>
      <x:c r="N216" s="31" t="inlineStr">
        <x:is>
          <x:t xml:space="preserve">Автосоздано правилом/пользователем 4</x:t>
        </x:is>
      </x:c>
    </x:row>
    <x:row r="217" ht="18" customHeight="1">
      <x:c r="A217" s="31" t="inlineStr">
        <x:is>
          <x:t xml:space="preserve">ЗД-00216</x:t>
        </x:is>
      </x:c>
      <x:c r="B217" s="31" t="n">
        <x:v>46150</x:v>
      </x:c>
      <x:c r="C217" s="31" t="n">
        <x:v>46160</x:v>
      </x:c>
      <x:c r="D217" s="31" t="inlineStr">
        <x:is>
          <x:t xml:space="preserve">Новая</x:t>
        </x:is>
      </x:c>
      <x:c r="E217" s="31" t="inlineStr">
        <x:is>
          <x:t xml:space="preserve">Срочный</x:t>
        </x:is>
      </x:c>
      <x:c r="F217" s="31" t="inlineStr">
        <x:is>
          <x:t xml:space="preserve">СОТР-004</x:t>
        </x:is>
      </x:c>
      <x:c r="G217" s="31" t="inlineStr">
        <x:is>
          <x:t xml:space="preserve">Заказ</x:t>
        </x:is>
      </x:c>
      <x:c r="H217" s="31" t="inlineStr">
        <x:is>
          <x:t xml:space="preserve">ЗК-1083</x:t>
        </x:is>
      </x:c>
      <x:c r="I217" s="31" t="inlineStr">
        <x:is>
          <x:t xml:space="preserve">Подписать спецификацию</x:t>
        </x:is>
      </x:c>
      <x:c r="J217" s="31" t="inlineStr">
        <x:is>
          <x:t xml:space="preserve">Производство</x:t>
        </x:is>
      </x:c>
      <x:c r="K217" s="31" t="n">
        <x:v>0</x:v>
      </x:c>
      <x:c r="L217" s="31" t="inlineStr">
        <x:is>
          <x:t xml:space="preserve">Да</x:t>
        </x:is>
      </x:c>
      <x:c r="M217" s="31" t="inlineStr">
        <x:is>
          <x:t xml:space="preserve">Поставщик</x:t>
        </x:is>
      </x:c>
      <x:c r="N217" s="31" t="inlineStr">
        <x:is>
          <x:t xml:space="preserve">Автосоздано правилом/пользователем 12</x:t>
        </x:is>
      </x:c>
    </x:row>
    <x:row r="218" ht="18" customHeight="1">
      <x:c r="A218" s="31" t="inlineStr">
        <x:is>
          <x:t xml:space="preserve">ЗД-00217</x:t>
        </x:is>
      </x:c>
      <x:c r="B218" s="31" t="n">
        <x:v>46174</x:v>
      </x:c>
      <x:c r="C218" s="31" t="n">
        <x:v>46181</x:v>
      </x:c>
      <x:c r="D218" s="31" t="inlineStr">
        <x:is>
          <x:t xml:space="preserve">Просрочена</x:t>
        </x:is>
      </x:c>
      <x:c r="E218" s="31" t="inlineStr">
        <x:is>
          <x:t xml:space="preserve">Низкий</x:t>
        </x:is>
      </x:c>
      <x:c r="F218" s="31" t="inlineStr">
        <x:is>
          <x:t xml:space="preserve">СОТР-035</x:t>
        </x:is>
      </x:c>
      <x:c r="G218" s="31" t="inlineStr">
        <x:is>
          <x:t xml:space="preserve">ОТК</x:t>
        </x:is>
      </x:c>
      <x:c r="H218" s="31" t="inlineStr">
        <x:is>
          <x:t xml:space="preserve">ОТК-00066</x:t>
        </x:is>
      </x:c>
      <x:c r="I218" s="31" t="inlineStr">
        <x:is>
          <x:t xml:space="preserve">Заблокировать отгрузку</x:t>
        </x:is>
      </x:c>
      <x:c r="J218" s="31" t="inlineStr">
        <x:is>
          <x:t xml:space="preserve">Снабжение</x:t>
        </x:is>
      </x:c>
      <x:c r="K218" s="31" t="n">
        <x:v>4</x:v>
      </x:c>
      <x:c r="L218" s="31" t="inlineStr">
        <x:is>
          <x:t xml:space="preserve">Нет</x:t>
        </x:is>
      </x:c>
      <x:c r="M218" s="31" t="inlineStr">
        <x:is>
          <x:t xml:space="preserve">Нет</x:t>
        </x:is>
      </x:c>
      <x:c r="N218" s="31" t="inlineStr">
        <x:is>
          <x:t xml:space="preserve">Автосоздано правилом/пользователем 12</x:t>
        </x:is>
      </x:c>
    </x:row>
    <x:row r="219" ht="18" customHeight="1">
      <x:c r="A219" s="31" t="inlineStr">
        <x:is>
          <x:t xml:space="preserve">ЗД-00218</x:t>
        </x:is>
      </x:c>
      <x:c r="B219" s="31" t="n">
        <x:v>46121</x:v>
      </x:c>
      <x:c r="C219" s="31" t="n">
        <x:v>46126</x:v>
      </x:c>
      <x:c r="D219" s="31" t="inlineStr">
        <x:is>
          <x:t xml:space="preserve">Новая</x:t>
        </x:is>
      </x:c>
      <x:c r="E219" s="31" t="inlineStr">
        <x:is>
          <x:t xml:space="preserve">Высокий</x:t>
        </x:is>
      </x:c>
      <x:c r="F219" s="31" t="inlineStr">
        <x:is>
          <x:t xml:space="preserve">СОТР-050</x:t>
        </x:is>
      </x:c>
      <x:c r="G219" s="31" t="inlineStr">
        <x:is>
          <x:t xml:space="preserve">Закупка</x:t>
        </x:is>
      </x:c>
      <x:c r="H219" s="31" t="inlineStr">
        <x:is>
          <x:t xml:space="preserve">ЗЗ-00008</x:t>
        </x:is>
      </x:c>
      <x:c r="I219" s="31" t="inlineStr">
        <x:is>
          <x:t xml:space="preserve">Уточнить сертификаты</x:t>
        </x:is>
      </x:c>
      <x:c r="J219" s="31" t="inlineStr">
        <x:is>
          <x:t xml:space="preserve">Снабжение</x:t>
        </x:is>
      </x:c>
      <x:c r="K219" s="31" t="n">
        <x:v>0</x:v>
      </x:c>
      <x:c r="L219" s="31" t="inlineStr">
        <x:is>
          <x:t xml:space="preserve">Нет</x:t>
        </x:is>
      </x:c>
      <x:c r="M219" s="31" t="inlineStr">
        <x:is>
          <x:t xml:space="preserve">Нет</x:t>
        </x:is>
      </x:c>
      <x:c r="N219" s="31" t="inlineStr">
        <x:is>
          <x:t xml:space="preserve">Автосоздано правилом/пользователем 2</x:t>
        </x:is>
      </x:c>
    </x:row>
    <x:row r="220" ht="18" customHeight="1">
      <x:c r="A220" s="31" t="inlineStr">
        <x:is>
          <x:t xml:space="preserve">ЗД-00219</x:t>
        </x:is>
      </x:c>
      <x:c r="B220" s="31" t="n">
        <x:v>46170</x:v>
      </x:c>
      <x:c r="C220" s="31" t="n">
        <x:v>46172</x:v>
      </x:c>
      <x:c r="D220" s="31" t="inlineStr">
        <x:is>
          <x:t xml:space="preserve">Новая</x:t>
        </x:is>
      </x:c>
      <x:c r="E220" s="31" t="inlineStr">
        <x:is>
          <x:t xml:space="preserve">Срочный</x:t>
        </x:is>
      </x:c>
      <x:c r="F220" s="31" t="inlineStr">
        <x:is>
          <x:t xml:space="preserve">СОТР-054</x:t>
        </x:is>
      </x:c>
      <x:c r="G220" s="31" t="inlineStr">
        <x:is>
          <x:t xml:space="preserve">ОТК</x:t>
        </x:is>
      </x:c>
      <x:c r="H220" s="31" t="inlineStr">
        <x:is>
          <x:t xml:space="preserve">ОТК-00099</x:t>
        </x:is>
      </x:c>
      <x:c r="I220" s="31" t="inlineStr">
        <x:is>
          <x:t xml:space="preserve">Оформить корректирующие действия</x:t>
        </x:is>
      </x:c>
      <x:c r="J220" s="31" t="inlineStr">
        <x:is>
          <x:t xml:space="preserve">Снабжение</x:t>
        </x:is>
      </x:c>
      <x:c r="K220" s="31" t="n">
        <x:v>0</x:v>
      </x:c>
      <x:c r="L220" s="31" t="inlineStr">
        <x:is>
          <x:t xml:space="preserve">Нет</x:t>
        </x:is>
      </x:c>
      <x:c r="M220" s="31" t="inlineStr">
        <x:is>
          <x:t xml:space="preserve">Нет</x:t>
        </x:is>
      </x:c>
      <x:c r="N220" s="31" t="inlineStr">
        <x:is>
          <x:t xml:space="preserve">Автосоздано правилом/пользователем 11</x:t>
        </x:is>
      </x:c>
    </x:row>
    <x:row r="221" ht="18" customHeight="1">
      <x:c r="A221" s="31" t="inlineStr">
        <x:is>
          <x:t xml:space="preserve">ЗД-00220</x:t>
        </x:is>
      </x:c>
      <x:c r="B221" s="31" t="n">
        <x:v>46184</x:v>
      </x:c>
      <x:c r="C221" s="31" t="n">
        <x:v>46185</x:v>
      </x:c>
      <x:c r="D221" s="31" t="inlineStr">
        <x:is>
          <x:t xml:space="preserve">Новая</x:t>
        </x:is>
      </x:c>
      <x:c r="E221" s="31" t="inlineStr">
        <x:is>
          <x:t xml:space="preserve">Средний</x:t>
        </x:is>
      </x:c>
      <x:c r="F221" s="31" t="inlineStr">
        <x:is>
          <x:t xml:space="preserve">СОТР-079</x:t>
        </x:is>
      </x:c>
      <x:c r="G221" s="31" t="inlineStr">
        <x:is>
          <x:t xml:space="preserve">ОТК</x:t>
        </x:is>
      </x:c>
      <x:c r="H221" s="31" t="inlineStr">
        <x:is>
          <x:t xml:space="preserve">ОТК-00177</x:t>
        </x:is>
      </x:c>
      <x:c r="I221" s="31" t="inlineStr">
        <x:is>
          <x:t xml:space="preserve">Согласовать приемку с замечаниями</x:t>
        </x:is>
      </x:c>
      <x:c r="J221" s="31" t="inlineStr">
        <x:is>
          <x:t xml:space="preserve">Финансы</x:t>
        </x:is>
      </x:c>
      <x:c r="K221" s="31" t="n">
        <x:v>0</x:v>
      </x:c>
      <x:c r="L221" s="31" t="inlineStr">
        <x:is>
          <x:t xml:space="preserve">Нет</x:t>
        </x:is>
      </x:c>
      <x:c r="M221" s="31" t="inlineStr">
        <x:is>
          <x:t xml:space="preserve">Нет</x:t>
        </x:is>
      </x:c>
      <x:c r="N221" s="31" t="inlineStr">
        <x:is>
          <x:t xml:space="preserve">Автосоздано правилом/пользователем 3</x:t>
        </x:is>
      </x:c>
    </x:row>
    <x:row r="222" ht="18" customHeight="1">
      <x:c r="A222" s="31" t="inlineStr">
        <x:is>
          <x:t xml:space="preserve">ЗД-00221</x:t>
        </x:is>
      </x:c>
      <x:c r="B222" s="31" t="n">
        <x:v>46148</x:v>
      </x:c>
      <x:c r="C222" s="31" t="n">
        <x:v>46150</x:v>
      </x:c>
      <x:c r="D222" s="31" t="inlineStr">
        <x:is>
          <x:t xml:space="preserve">Новая</x:t>
        </x:is>
      </x:c>
      <x:c r="E222" s="31" t="inlineStr">
        <x:is>
          <x:t xml:space="preserve">Средний</x:t>
        </x:is>
      </x:c>
      <x:c r="F222" s="31" t="inlineStr">
        <x:is>
          <x:t xml:space="preserve">СОТР-076</x:t>
        </x:is>
      </x:c>
      <x:c r="G222" s="31" t="inlineStr">
        <x:is>
          <x:t xml:space="preserve">Счет</x:t>
        </x:is>
      </x:c>
      <x:c r="H222" s="31" t="inlineStr">
        <x:is>
          <x:t xml:space="preserve">СЧ-1056-1</x:t>
        </x:is>
      </x:c>
      <x:c r="I222" s="31" t="inlineStr">
        <x:is>
          <x:t xml:space="preserve">Подготовить акт сверки</x:t>
        </x:is>
      </x:c>
      <x:c r="J222" s="31" t="inlineStr">
        <x:is>
          <x:t xml:space="preserve">Снабжение</x:t>
        </x:is>
      </x:c>
      <x:c r="K222" s="31" t="n">
        <x:v>0</x:v>
      </x:c>
      <x:c r="L222" s="31" t="inlineStr">
        <x:is>
          <x:t xml:space="preserve">Нет</x:t>
        </x:is>
      </x:c>
      <x:c r="M222" s="31" t="inlineStr">
        <x:is>
          <x:t xml:space="preserve">Нет</x:t>
        </x:is>
      </x:c>
      <x:c r="N222" s="31" t="inlineStr">
        <x:is>
          <x:t xml:space="preserve">Автосоздано правилом/пользователем 5</x:t>
        </x:is>
      </x:c>
    </x:row>
    <x:row r="223" ht="18" customHeight="1">
      <x:c r="A223" s="31" t="inlineStr">
        <x:is>
          <x:t xml:space="preserve">ЗД-00222</x:t>
        </x:is>
      </x:c>
      <x:c r="B223" s="31" t="n">
        <x:v>46113</x:v>
      </x:c>
      <x:c r="C223" s="31" t="n">
        <x:v>46116</x:v>
      </x:c>
      <x:c r="D223" s="31" t="inlineStr">
        <x:is>
          <x:t xml:space="preserve">Просрочена</x:t>
        </x:is>
      </x:c>
      <x:c r="E223" s="31" t="inlineStr">
        <x:is>
          <x:t xml:space="preserve">Высокий</x:t>
        </x:is>
      </x:c>
      <x:c r="F223" s="31" t="inlineStr">
        <x:is>
          <x:t xml:space="preserve">СОТР-038</x:t>
        </x:is>
      </x:c>
      <x:c r="G223" s="31" t="inlineStr">
        <x:is>
          <x:t xml:space="preserve">Счет</x:t>
        </x:is>
      </x:c>
      <x:c r="H223" s="31" t="inlineStr">
        <x:is>
          <x:t xml:space="preserve">СЧ-1038-1</x:t>
        </x:is>
      </x:c>
      <x:c r="I223" s="31" t="inlineStr">
        <x:is>
          <x:t xml:space="preserve">Подготовить акт сверки</x:t>
        </x:is>
      </x:c>
      <x:c r="J223" s="31" t="inlineStr">
        <x:is>
          <x:t xml:space="preserve">Снабжение</x:t>
        </x:is>
      </x:c>
      <x:c r="K223" s="31" t="n">
        <x:v>69</x:v>
      </x:c>
      <x:c r="L223" s="31" t="inlineStr">
        <x:is>
          <x:t xml:space="preserve">Нет</x:t>
        </x:is>
      </x:c>
      <x:c r="M223" s="31" t="inlineStr">
        <x:is>
          <x:t xml:space="preserve">Заказчик</x:t>
        </x:is>
      </x:c>
      <x:c r="N223" s="31" t="inlineStr">
        <x:is>
          <x:t xml:space="preserve">Автосоздано правилом/пользователем 10</x:t>
        </x:is>
      </x:c>
    </x:row>
    <x:row r="224" ht="18" customHeight="1">
      <x:c r="A224" s="31" t="inlineStr">
        <x:is>
          <x:t xml:space="preserve">ЗД-00223</x:t>
        </x:is>
      </x:c>
      <x:c r="B224" s="31" t="n">
        <x:v>46151</x:v>
      </x:c>
      <x:c r="C224" s="31" t="n">
        <x:v>46158</x:v>
      </x:c>
      <x:c r="D224" s="31" t="inlineStr">
        <x:is>
          <x:t xml:space="preserve">Просрочена</x:t>
        </x:is>
      </x:c>
      <x:c r="E224" s="31" t="inlineStr">
        <x:is>
          <x:t xml:space="preserve">Низкий</x:t>
        </x:is>
      </x:c>
      <x:c r="F224" s="31" t="inlineStr">
        <x:is>
          <x:t xml:space="preserve">СОТР-096</x:t>
        </x:is>
      </x:c>
      <x:c r="G224" s="31" t="inlineStr">
        <x:is>
          <x:t xml:space="preserve">ОТК</x:t>
        </x:is>
      </x:c>
      <x:c r="H224" s="31" t="inlineStr">
        <x:is>
          <x:t xml:space="preserve">ОТК-00073</x:t>
        </x:is>
      </x:c>
      <x:c r="I224" s="31" t="inlineStr">
        <x:is>
          <x:t xml:space="preserve">Проверить доработку</x:t>
        </x:is>
      </x:c>
      <x:c r="J224" s="31" t="inlineStr">
        <x:is>
          <x:t xml:space="preserve">Продажи</x:t>
        </x:is>
      </x:c>
      <x:c r="K224" s="31" t="n">
        <x:v>27</x:v>
      </x:c>
      <x:c r="L224" s="31" t="inlineStr">
        <x:is>
          <x:t xml:space="preserve">Нет</x:t>
        </x:is>
      </x:c>
      <x:c r="M224" s="31" t="inlineStr">
        <x:is>
          <x:t xml:space="preserve">Поставщик</x:t>
        </x:is>
      </x:c>
      <x:c r="N224" s="31" t="inlineStr">
        <x:is>
          <x:t xml:space="preserve">Автосоздано правилом/пользователем 9</x:t>
        </x:is>
      </x:c>
    </x:row>
    <x:row r="225" ht="18" customHeight="1">
      <x:c r="A225" s="31" t="inlineStr">
        <x:is>
          <x:t xml:space="preserve">ЗД-00224</x:t>
        </x:is>
      </x:c>
      <x:c r="B225" s="31" t="n">
        <x:v>46159</x:v>
      </x:c>
      <x:c r="C225" s="31" t="n">
        <x:v>46164</x:v>
      </x:c>
      <x:c r="D225" s="31" t="inlineStr">
        <x:is>
          <x:t xml:space="preserve">В работе</x:t>
        </x:is>
      </x:c>
      <x:c r="E225" s="31" t="inlineStr">
        <x:is>
          <x:t xml:space="preserve">Высокий</x:t>
        </x:is>
      </x:c>
      <x:c r="F225" s="31" t="inlineStr">
        <x:is>
          <x:t xml:space="preserve">СОТР-076</x:t>
        </x:is>
      </x:c>
      <x:c r="G225" s="31" t="inlineStr">
        <x:is>
          <x:t xml:space="preserve">Счет</x:t>
        </x:is>
      </x:c>
      <x:c r="H225" s="31" t="inlineStr">
        <x:is>
          <x:t xml:space="preserve">СЧ-1081-2</x:t>
        </x:is>
      </x:c>
      <x:c r="I225" s="31" t="inlineStr">
        <x:is>
          <x:t xml:space="preserve">Подготовить акт сверки</x:t>
        </x:is>
      </x:c>
      <x:c r="J225" s="31" t="inlineStr">
        <x:is>
          <x:t xml:space="preserve">Снабжение</x:t>
        </x:is>
      </x:c>
      <x:c r="K225" s="31" t="n">
        <x:v>0</x:v>
      </x:c>
      <x:c r="L225" s="31" t="inlineStr">
        <x:is>
          <x:t xml:space="preserve">Нет</x:t>
        </x:is>
      </x:c>
      <x:c r="M225" s="31" t="inlineStr">
        <x:is>
          <x:t xml:space="preserve">Нет</x:t>
        </x:is>
      </x:c>
      <x:c r="N225" s="31" t="inlineStr">
        <x:is>
          <x:t xml:space="preserve">Автосоздано правилом/пользователем 8</x:t>
        </x:is>
      </x:c>
    </x:row>
    <x:row r="226" ht="18" customHeight="1">
      <x:c r="A226" s="31" t="inlineStr">
        <x:is>
          <x:t xml:space="preserve">ЗД-00225</x:t>
        </x:is>
      </x:c>
      <x:c r="B226" s="31" t="n">
        <x:v>46136</x:v>
      </x:c>
      <x:c r="C226" s="31" t="n">
        <x:v>46139</x:v>
      </x:c>
      <x:c r="D226" s="31" t="inlineStr">
        <x:is>
          <x:t xml:space="preserve">В работе</x:t>
        </x:is>
      </x:c>
      <x:c r="E226" s="31" t="inlineStr">
        <x:is>
          <x:t xml:space="preserve">Средний</x:t>
        </x:is>
      </x:c>
      <x:c r="F226" s="31" t="inlineStr">
        <x:is>
          <x:t xml:space="preserve">СОТР-096</x:t>
        </x:is>
      </x:c>
      <x:c r="G226" s="31" t="inlineStr">
        <x:is>
          <x:t xml:space="preserve">ОТК</x:t>
        </x:is>
      </x:c>
      <x:c r="H226" s="31" t="inlineStr">
        <x:is>
          <x:t xml:space="preserve">ОТК-00129</x:t>
        </x:is>
      </x:c>
      <x:c r="I226" s="31" t="inlineStr">
        <x:is>
          <x:t xml:space="preserve">Согласовать приемку с замечаниями</x:t>
        </x:is>
      </x:c>
      <x:c r="J226" s="31" t="inlineStr">
        <x:is>
          <x:t xml:space="preserve">Производство</x:t>
        </x:is>
      </x:c>
      <x:c r="K226" s="31" t="n">
        <x:v>0</x:v>
      </x:c>
      <x:c r="L226" s="31" t="inlineStr">
        <x:is>
          <x:t xml:space="preserve">Да</x:t>
        </x:is>
      </x:c>
      <x:c r="M226" s="31" t="inlineStr">
        <x:is>
          <x:t xml:space="preserve">Нет</x:t>
        </x:is>
      </x:c>
      <x:c r="N226" s="31" t="inlineStr">
        <x:is>
          <x:t xml:space="preserve">Автосоздано правилом/пользователем 4</x:t>
        </x:is>
      </x:c>
    </x:row>
    <x:row r="227" ht="18" customHeight="1">
      <x:c r="A227" s="31" t="inlineStr">
        <x:is>
          <x:t xml:space="preserve">ЗД-00226</x:t>
        </x:is>
      </x:c>
      <x:c r="B227" s="31" t="n">
        <x:v>46141</x:v>
      </x:c>
      <x:c r="C227" s="31" t="n">
        <x:v>46146</x:v>
      </x:c>
      <x:c r="D227" s="31" t="inlineStr">
        <x:is>
          <x:t xml:space="preserve">Просрочена</x:t>
        </x:is>
      </x:c>
      <x:c r="E227" s="31" t="inlineStr">
        <x:is>
          <x:t xml:space="preserve">Средний</x:t>
        </x:is>
      </x:c>
      <x:c r="F227" s="31" t="inlineStr">
        <x:is>
          <x:t xml:space="preserve">СОТР-066</x:t>
        </x:is>
      </x:c>
      <x:c r="G227" s="31" t="inlineStr">
        <x:is>
          <x:t xml:space="preserve">Производственное задание</x:t>
        </x:is>
      </x:c>
      <x:c r="H227" s="31" t="inlineStr">
        <x:is>
          <x:t xml:space="preserve">ПЗ-00003</x:t>
        </x:is>
      </x:c>
      <x:c r="I227" s="31" t="inlineStr">
        <x:is>
          <x:t xml:space="preserve">Разобрать простой</x:t>
        </x:is>
      </x:c>
      <x:c r="J227" s="31" t="inlineStr">
        <x:is>
          <x:t xml:space="preserve">Производство</x:t>
        </x:is>
      </x:c>
      <x:c r="K227" s="31" t="n">
        <x:v>39</x:v>
      </x:c>
      <x:c r="L227" s="31" t="inlineStr">
        <x:is>
          <x:t xml:space="preserve">Нет</x:t>
        </x:is>
      </x:c>
      <x:c r="M227" s="31" t="inlineStr">
        <x:is>
          <x:t xml:space="preserve">Нет</x:t>
        </x:is>
      </x:c>
      <x:c r="N227" s="31" t="inlineStr">
        <x:is>
          <x:t xml:space="preserve">Автосоздано правилом/пользователем 6</x:t>
        </x:is>
      </x:c>
    </x:row>
    <x:row r="228" ht="18" customHeight="1">
      <x:c r="A228" s="31" t="inlineStr">
        <x:is>
          <x:t xml:space="preserve">ЗД-00227</x:t>
        </x:is>
      </x:c>
      <x:c r="B228" s="31" t="n">
        <x:v>46150</x:v>
      </x:c>
      <x:c r="C228" s="31" t="n">
        <x:v>46164</x:v>
      </x:c>
      <x:c r="D228" s="31" t="inlineStr">
        <x:is>
          <x:t xml:space="preserve">Выполнена</x:t>
        </x:is>
      </x:c>
      <x:c r="E228" s="31" t="inlineStr">
        <x:is>
          <x:t xml:space="preserve">Средний</x:t>
        </x:is>
      </x:c>
      <x:c r="F228" s="31" t="inlineStr">
        <x:is>
          <x:t xml:space="preserve">СОТР-069</x:t>
        </x:is>
      </x:c>
      <x:c r="G228" s="31" t="inlineStr">
        <x:is>
          <x:t xml:space="preserve">ОТК</x:t>
        </x:is>
      </x:c>
      <x:c r="H228" s="31" t="inlineStr">
        <x:is>
          <x:t xml:space="preserve">ОТК-00155</x:t>
        </x:is>
      </x:c>
      <x:c r="I228" s="31" t="inlineStr">
        <x:is>
          <x:t xml:space="preserve">Согласовать приемку с замечаниями</x:t>
        </x:is>
      </x:c>
      <x:c r="J228" s="31" t="inlineStr">
        <x:is>
          <x:t xml:space="preserve">Производство</x:t>
        </x:is>
      </x:c>
      <x:c r="K228" s="31" t="n">
        <x:v>0</x:v>
      </x:c>
      <x:c r="L228" s="31" t="inlineStr">
        <x:is>
          <x:t xml:space="preserve">Нет</x:t>
        </x:is>
      </x:c>
      <x:c r="M228" s="31" t="inlineStr">
        <x:is>
          <x:t xml:space="preserve">Нет</x:t>
        </x:is>
      </x:c>
      <x:c r="N228" s="31" t="inlineStr">
        <x:is>
          <x:t xml:space="preserve">Автосоздано правилом/пользователем 11</x:t>
        </x:is>
      </x:c>
    </x:row>
    <x:row r="229" ht="18" customHeight="1">
      <x:c r="A229" s="31" t="inlineStr">
        <x:is>
          <x:t xml:space="preserve">ЗД-00228</x:t>
        </x:is>
      </x:c>
      <x:c r="B229" s="31" t="n">
        <x:v>46167</x:v>
      </x:c>
      <x:c r="C229" s="31" t="n">
        <x:v>46181</x:v>
      </x:c>
      <x:c r="D229" s="31" t="inlineStr">
        <x:is>
          <x:t xml:space="preserve">Просрочена</x:t>
        </x:is>
      </x:c>
      <x:c r="E229" s="31" t="inlineStr">
        <x:is>
          <x:t xml:space="preserve">Средний</x:t>
        </x:is>
      </x:c>
      <x:c r="F229" s="31" t="inlineStr">
        <x:is>
          <x:t xml:space="preserve">СОТР-076</x:t>
        </x:is>
      </x:c>
      <x:c r="G229" s="31" t="inlineStr">
        <x:is>
          <x:t xml:space="preserve">Счет</x:t>
        </x:is>
      </x:c>
      <x:c r="H229" s="31" t="inlineStr">
        <x:is>
          <x:t xml:space="preserve">СЧ-1040-1</x:t>
        </x:is>
      </x:c>
      <x:c r="I229" s="31" t="inlineStr">
        <x:is>
          <x:t xml:space="preserve">Проверить оплату</x:t>
        </x:is>
      </x:c>
      <x:c r="J229" s="31" t="inlineStr">
        <x:is>
          <x:t xml:space="preserve">Сервис</x:t>
        </x:is>
      </x:c>
      <x:c r="K229" s="31" t="n">
        <x:v>4</x:v>
      </x:c>
      <x:c r="L229" s="31" t="inlineStr">
        <x:is>
          <x:t xml:space="preserve">Да</x:t>
        </x:is>
      </x:c>
      <x:c r="M229" s="31" t="inlineStr">
        <x:is>
          <x:t xml:space="preserve">Нет</x:t>
        </x:is>
      </x:c>
      <x:c r="N229" s="31" t="inlineStr">
        <x:is>
          <x:t xml:space="preserve">Автосоздано правилом/пользователем 9</x:t>
        </x:is>
      </x:c>
    </x:row>
    <x:row r="230" ht="18" customHeight="1">
      <x:c r="A230" s="31" t="inlineStr">
        <x:is>
          <x:t xml:space="preserve">ЗД-00229</x:t>
        </x:is>
      </x:c>
      <x:c r="B230" s="31" t="n">
        <x:v>46177</x:v>
      </x:c>
      <x:c r="C230" s="31" t="n">
        <x:v>46178</x:v>
      </x:c>
      <x:c r="D230" s="31" t="inlineStr">
        <x:is>
          <x:t xml:space="preserve">Просрочена</x:t>
        </x:is>
      </x:c>
      <x:c r="E230" s="31" t="inlineStr">
        <x:is>
          <x:t xml:space="preserve">Средний</x:t>
        </x:is>
      </x:c>
      <x:c r="F230" s="31" t="inlineStr">
        <x:is>
          <x:t xml:space="preserve">СОТР-003</x:t>
        </x:is>
      </x:c>
      <x:c r="G230" s="31" t="inlineStr">
        <x:is>
          <x:t xml:space="preserve">Заказ</x:t>
        </x:is>
      </x:c>
      <x:c r="H230" s="31" t="inlineStr">
        <x:is>
          <x:t xml:space="preserve">ЗК-1061</x:t>
        </x:is>
      </x:c>
      <x:c r="I230" s="31" t="inlineStr">
        <x:is>
          <x:t xml:space="preserve">Подписать спецификацию</x:t>
        </x:is>
      </x:c>
      <x:c r="J230" s="31" t="inlineStr">
        <x:is>
          <x:t xml:space="preserve">Финансы</x:t>
        </x:is>
      </x:c>
      <x:c r="K230" s="31" t="n">
        <x:v>7</x:v>
      </x:c>
      <x:c r="L230" s="31" t="inlineStr">
        <x:is>
          <x:t xml:space="preserve">Нет</x:t>
        </x:is>
      </x:c>
      <x:c r="M230" s="31" t="inlineStr">
        <x:is>
          <x:t xml:space="preserve">Нет</x:t>
        </x:is>
      </x:c>
      <x:c r="N230" s="31" t="inlineStr">
        <x:is>
          <x:t xml:space="preserve">Автосоздано правилом/пользователем 8</x:t>
        </x:is>
      </x:c>
    </x:row>
    <x:row r="231" ht="18" customHeight="1">
      <x:c r="A231" s="31" t="inlineStr">
        <x:is>
          <x:t xml:space="preserve">ЗД-00230</x:t>
        </x:is>
      </x:c>
      <x:c r="B231" s="31" t="n">
        <x:v>46136</x:v>
      </x:c>
      <x:c r="C231" s="31" t="n">
        <x:v>46143</x:v>
      </x:c>
      <x:c r="D231" s="31" t="inlineStr">
        <x:is>
          <x:t xml:space="preserve">Просрочена</x:t>
        </x:is>
      </x:c>
      <x:c r="E231" s="31" t="inlineStr">
        <x:is>
          <x:t xml:space="preserve">Высокий</x:t>
        </x:is>
      </x:c>
      <x:c r="F231" s="31" t="inlineStr">
        <x:is>
          <x:t xml:space="preserve">СОТР-099</x:t>
        </x:is>
      </x:c>
      <x:c r="G231" s="31" t="inlineStr">
        <x:is>
          <x:t xml:space="preserve">ОТК</x:t>
        </x:is>
      </x:c>
      <x:c r="H231" s="31" t="inlineStr">
        <x:is>
          <x:t xml:space="preserve">ОТК-00077</x:t>
        </x:is>
      </x:c>
      <x:c r="I231" s="31" t="inlineStr">
        <x:is>
          <x:t xml:space="preserve">Проверить доработку</x:t>
        </x:is>
      </x:c>
      <x:c r="J231" s="31" t="inlineStr">
        <x:is>
          <x:t xml:space="preserve">Финансы</x:t>
        </x:is>
      </x:c>
      <x:c r="K231" s="31" t="n">
        <x:v>42</x:v>
      </x:c>
      <x:c r="L231" s="31" t="inlineStr">
        <x:is>
          <x:t xml:space="preserve">Нет</x:t>
        </x:is>
      </x:c>
      <x:c r="M231" s="31" t="inlineStr">
        <x:is>
          <x:t xml:space="preserve">Нет</x:t>
        </x:is>
      </x:c>
      <x:c r="N231" s="31" t="inlineStr">
        <x:is>
          <x:t xml:space="preserve">Автосоздано правилом/пользователем 9</x:t>
        </x:is>
      </x:c>
    </x:row>
    <x:row r="232" ht="18" customHeight="1">
      <x:c r="A232" s="31" t="inlineStr">
        <x:is>
          <x:t xml:space="preserve">ЗД-00231</x:t>
        </x:is>
      </x:c>
      <x:c r="B232" s="31" t="n">
        <x:v>46118</x:v>
      </x:c>
      <x:c r="C232" s="31" t="n">
        <x:v>46123</x:v>
      </x:c>
      <x:c r="D232" s="31" t="inlineStr">
        <x:is>
          <x:t xml:space="preserve">Выполнена</x:t>
        </x:is>
      </x:c>
      <x:c r="E232" s="31" t="inlineStr">
        <x:is>
          <x:t xml:space="preserve">Средний</x:t>
        </x:is>
      </x:c>
      <x:c r="F232" s="31" t="inlineStr">
        <x:is>
          <x:t xml:space="preserve">СОТР-095</x:t>
        </x:is>
      </x:c>
      <x:c r="G232" s="31" t="inlineStr">
        <x:is>
          <x:t xml:space="preserve">Производственное задание</x:t>
        </x:is>
      </x:c>
      <x:c r="H232" s="31" t="inlineStr">
        <x:is>
          <x:t xml:space="preserve">ПЗ-00071</x:t>
        </x:is>
      </x:c>
      <x:c r="I232" s="31" t="inlineStr">
        <x:is>
          <x:t xml:space="preserve">Проверить дефицит материалов</x:t>
        </x:is>
      </x:c>
      <x:c r="J232" s="31" t="inlineStr">
        <x:is>
          <x:t xml:space="preserve">Снабжение</x:t>
        </x:is>
      </x:c>
      <x:c r="K232" s="31" t="n">
        <x:v>0</x:v>
      </x:c>
      <x:c r="L232" s="31" t="inlineStr">
        <x:is>
          <x:t xml:space="preserve">Нет</x:t>
        </x:is>
      </x:c>
      <x:c r="M232" s="31" t="inlineStr">
        <x:is>
          <x:t xml:space="preserve">Нет</x:t>
        </x:is>
      </x:c>
      <x:c r="N232" s="31" t="inlineStr">
        <x:is>
          <x:t xml:space="preserve">Автосоздано правилом/пользователем 9</x:t>
        </x:is>
      </x:c>
    </x:row>
    <x:row r="233" ht="18" customHeight="1">
      <x:c r="A233" s="31" t="inlineStr">
        <x:is>
          <x:t xml:space="preserve">ЗД-00232</x:t>
        </x:is>
      </x:c>
      <x:c r="B233" s="31" t="n">
        <x:v>46170</x:v>
      </x:c>
      <x:c r="C233" s="31" t="n">
        <x:v>46175</x:v>
      </x:c>
      <x:c r="D233" s="31" t="inlineStr">
        <x:is>
          <x:t xml:space="preserve">В работе</x:t>
        </x:is>
      </x:c>
      <x:c r="E233" s="31" t="inlineStr">
        <x:is>
          <x:t xml:space="preserve">Средний</x:t>
        </x:is>
      </x:c>
      <x:c r="F233" s="31" t="inlineStr">
        <x:is>
          <x:t xml:space="preserve">СОТР-095</x:t>
        </x:is>
      </x:c>
      <x:c r="G233" s="31" t="inlineStr">
        <x:is>
          <x:t xml:space="preserve">Производственное задание</x:t>
        </x:is>
      </x:c>
      <x:c r="H233" s="31" t="inlineStr">
        <x:is>
          <x:t xml:space="preserve">ПЗ-00024</x:t>
        </x:is>
      </x:c>
      <x:c r="I233" s="31" t="inlineStr">
        <x:is>
          <x:t xml:space="preserve">Обновить готовность</x:t>
        </x:is>
      </x:c>
      <x:c r="J233" s="31" t="inlineStr">
        <x:is>
          <x:t xml:space="preserve">Продажи</x:t>
        </x:is>
      </x:c>
      <x:c r="K233" s="31" t="n">
        <x:v>0</x:v>
      </x:c>
      <x:c r="L233" s="31" t="inlineStr">
        <x:is>
          <x:t xml:space="preserve">Нет</x:t>
        </x:is>
      </x:c>
      <x:c r="M233" s="31" t="inlineStr">
        <x:is>
          <x:t xml:space="preserve">Нет</x:t>
        </x:is>
      </x:c>
      <x:c r="N233" s="31" t="inlineStr">
        <x:is>
          <x:t xml:space="preserve">Автосоздано правилом/пользователем 12</x:t>
        </x:is>
      </x:c>
    </x:row>
    <x:row r="234" ht="18" customHeight="1">
      <x:c r="A234" s="31" t="inlineStr">
        <x:is>
          <x:t xml:space="preserve">ЗД-00233</x:t>
        </x:is>
      </x:c>
      <x:c r="B234" s="31" t="n">
        <x:v>46181</x:v>
      </x:c>
      <x:c r="C234" s="31" t="n">
        <x:v>46186</x:v>
      </x:c>
      <x:c r="D234" s="31" t="inlineStr">
        <x:is>
          <x:t xml:space="preserve">Выполнена</x:t>
        </x:is>
      </x:c>
      <x:c r="E234" s="31" t="inlineStr">
        <x:is>
          <x:t xml:space="preserve">Средний</x:t>
        </x:is>
      </x:c>
      <x:c r="F234" s="31" t="inlineStr">
        <x:is>
          <x:t xml:space="preserve">СОТР-096</x:t>
        </x:is>
      </x:c>
      <x:c r="G234" s="31" t="inlineStr">
        <x:is>
          <x:t xml:space="preserve">Производственное задание</x:t>
        </x:is>
      </x:c>
      <x:c r="H234" s="31" t="inlineStr">
        <x:is>
          <x:t xml:space="preserve">ПЗ-00016</x:t>
        </x:is>
      </x:c>
      <x:c r="I234" s="31" t="inlineStr">
        <x:is>
          <x:t xml:space="preserve">Обновить готовность</x:t>
        </x:is>
      </x:c>
      <x:c r="J234" s="31" t="inlineStr">
        <x:is>
          <x:t xml:space="preserve">Производство</x:t>
        </x:is>
      </x:c>
      <x:c r="K234" s="31" t="n">
        <x:v>0</x:v>
      </x:c>
      <x:c r="L234" s="31" t="inlineStr">
        <x:is>
          <x:t xml:space="preserve">Нет</x:t>
        </x:is>
      </x:c>
      <x:c r="M234" s="31" t="inlineStr">
        <x:is>
          <x:t xml:space="preserve">Нет</x:t>
        </x:is>
      </x:c>
      <x:c r="N234" s="31" t="inlineStr">
        <x:is>
          <x:t xml:space="preserve">Автосоздано правилом/пользователем 12</x:t>
        </x:is>
      </x:c>
    </x:row>
    <x:row r="235" ht="18" customHeight="1">
      <x:c r="A235" s="31" t="inlineStr">
        <x:is>
          <x:t xml:space="preserve">ЗД-00234</x:t>
        </x:is>
      </x:c>
      <x:c r="B235" s="31" t="n">
        <x:v>46171</x:v>
      </x:c>
      <x:c r="C235" s="31" t="n">
        <x:v>46178</x:v>
      </x:c>
      <x:c r="D235" s="31" t="inlineStr">
        <x:is>
          <x:t xml:space="preserve">Просрочена</x:t>
        </x:is>
      </x:c>
      <x:c r="E235" s="31" t="inlineStr">
        <x:is>
          <x:t xml:space="preserve">Срочный</x:t>
        </x:is>
      </x:c>
      <x:c r="F235" s="31" t="inlineStr">
        <x:is>
          <x:t xml:space="preserve">СОТР-099</x:t>
        </x:is>
      </x:c>
      <x:c r="G235" s="31" t="inlineStr">
        <x:is>
          <x:t xml:space="preserve">ОТК</x:t>
        </x:is>
      </x:c>
      <x:c r="H235" s="31" t="inlineStr">
        <x:is>
          <x:t xml:space="preserve">ОТК-00053</x:t>
        </x:is>
      </x:c>
      <x:c r="I235" s="31" t="inlineStr">
        <x:is>
          <x:t xml:space="preserve">Заблокировать отгрузку</x:t>
        </x:is>
      </x:c>
      <x:c r="J235" s="31" t="inlineStr">
        <x:is>
          <x:t xml:space="preserve">Сервис</x:t>
        </x:is>
      </x:c>
      <x:c r="K235" s="31" t="n">
        <x:v>7</x:v>
      </x:c>
      <x:c r="L235" s="31" t="inlineStr">
        <x:is>
          <x:t xml:space="preserve">Нет</x:t>
        </x:is>
      </x:c>
      <x:c r="M235" s="31" t="inlineStr">
        <x:is>
          <x:t xml:space="preserve">Нет</x:t>
        </x:is>
      </x:c>
      <x:c r="N235" s="31" t="inlineStr">
        <x:is>
          <x:t xml:space="preserve">Автосоздано правилом/пользователем 4</x:t>
        </x:is>
      </x:c>
    </x:row>
    <x:row r="236" ht="18" customHeight="1">
      <x:c r="A236" s="31" t="inlineStr">
        <x:is>
          <x:t xml:space="preserve">ЗД-00235</x:t>
        </x:is>
      </x:c>
      <x:c r="B236" s="31" t="n">
        <x:v>46141</x:v>
      </x:c>
      <x:c r="C236" s="31" t="n">
        <x:v>46142</x:v>
      </x:c>
      <x:c r="D236" s="31" t="inlineStr">
        <x:is>
          <x:t xml:space="preserve">Ожидает ответа</x:t>
        </x:is>
      </x:c>
      <x:c r="E236" s="31" t="inlineStr">
        <x:is>
          <x:t xml:space="preserve">Срочный</x:t>
        </x:is>
      </x:c>
      <x:c r="F236" s="31" t="inlineStr">
        <x:is>
          <x:t xml:space="preserve">СОТР-012</x:t>
        </x:is>
      </x:c>
      <x:c r="G236" s="31" t="inlineStr">
        <x:is>
          <x:t xml:space="preserve">Производственное задание</x:t>
        </x:is>
      </x:c>
      <x:c r="H236" s="31" t="inlineStr">
        <x:is>
          <x:t xml:space="preserve">ПЗ-00084</x:t>
        </x:is>
      </x:c>
      <x:c r="I236" s="31" t="inlineStr">
        <x:is>
          <x:t xml:space="preserve">Проверить дефицит материалов</x:t>
        </x:is>
      </x:c>
      <x:c r="J236" s="31" t="inlineStr">
        <x:is>
          <x:t xml:space="preserve">Производство</x:t>
        </x:is>
      </x:c>
      <x:c r="K236" s="31" t="n">
        <x:v>0</x:v>
      </x:c>
      <x:c r="L236" s="31" t="inlineStr">
        <x:is>
          <x:t xml:space="preserve">Нет</x:t>
        </x:is>
      </x:c>
      <x:c r="M236" s="31" t="inlineStr">
        <x:is>
          <x:t xml:space="preserve">Нет</x:t>
        </x:is>
      </x:c>
      <x:c r="N236" s="31" t="inlineStr">
        <x:is>
          <x:t xml:space="preserve">Автосоздано правилом/пользователем 2</x:t>
        </x:is>
      </x:c>
    </x:row>
    <x:row r="237" ht="18" customHeight="1">
      <x:c r="A237" s="31" t="inlineStr">
        <x:is>
          <x:t xml:space="preserve">ЗД-00236</x:t>
        </x:is>
      </x:c>
      <x:c r="B237" s="31" t="n">
        <x:v>46129</x:v>
      </x:c>
      <x:c r="C237" s="31" t="n">
        <x:v>46134</x:v>
      </x:c>
      <x:c r="D237" s="31" t="inlineStr">
        <x:is>
          <x:t xml:space="preserve">Выполнена</x:t>
        </x:is>
      </x:c>
      <x:c r="E237" s="31" t="inlineStr">
        <x:is>
          <x:t xml:space="preserve">Средний</x:t>
        </x:is>
      </x:c>
      <x:c r="F237" s="31" t="inlineStr">
        <x:is>
          <x:t xml:space="preserve">СОТР-004</x:t>
        </x:is>
      </x:c>
      <x:c r="G237" s="31" t="inlineStr">
        <x:is>
          <x:t xml:space="preserve">Заказ</x:t>
        </x:is>
      </x:c>
      <x:c r="H237" s="31" t="inlineStr">
        <x:is>
          <x:t xml:space="preserve">ЗК-1058</x:t>
        </x:is>
      </x:c>
      <x:c r="I237" s="31" t="inlineStr">
        <x:is>
          <x:t xml:space="preserve">Подписать спецификацию</x:t>
        </x:is>
      </x:c>
      <x:c r="J237" s="31" t="inlineStr">
        <x:is>
          <x:t xml:space="preserve">ОТК</x:t>
        </x:is>
      </x:c>
      <x:c r="K237" s="31" t="n">
        <x:v>0</x:v>
      </x:c>
      <x:c r="L237" s="31" t="inlineStr">
        <x:is>
          <x:t xml:space="preserve">Нет</x:t>
        </x:is>
      </x:c>
      <x:c r="M237" s="31" t="inlineStr">
        <x:is>
          <x:t xml:space="preserve">Нет</x:t>
        </x:is>
      </x:c>
      <x:c r="N237" s="31" t="inlineStr">
        <x:is>
          <x:t xml:space="preserve">Автосоздано правилом/пользователем 4</x:t>
        </x:is>
      </x:c>
    </x:row>
    <x:row r="238" ht="18" customHeight="1">
      <x:c r="A238" s="31" t="inlineStr">
        <x:is>
          <x:t xml:space="preserve">ЗД-00237</x:t>
        </x:is>
      </x:c>
      <x:c r="B238" s="31" t="n">
        <x:v>46176</x:v>
      </x:c>
      <x:c r="C238" s="31" t="n">
        <x:v>46183</x:v>
      </x:c>
      <x:c r="D238" s="31" t="inlineStr">
        <x:is>
          <x:t xml:space="preserve">Отменена</x:t>
        </x:is>
      </x:c>
      <x:c r="E238" s="31" t="inlineStr">
        <x:is>
          <x:t xml:space="preserve">Срочный</x:t>
        </x:is>
      </x:c>
      <x:c r="F238" s="31" t="inlineStr">
        <x:is>
          <x:t xml:space="preserve">СОТР-092</x:t>
        </x:is>
      </x:c>
      <x:c r="G238" s="31" t="inlineStr">
        <x:is>
          <x:t xml:space="preserve">ОТК</x:t>
        </x:is>
      </x:c>
      <x:c r="H238" s="31" t="inlineStr">
        <x:is>
          <x:t xml:space="preserve">ОТК-00125</x:t>
        </x:is>
      </x:c>
      <x:c r="I238" s="31" t="inlineStr">
        <x:is>
          <x:t xml:space="preserve">Оформить корректирующие действия</x:t>
        </x:is>
      </x:c>
      <x:c r="J238" s="31" t="inlineStr">
        <x:is>
          <x:t xml:space="preserve">Производство</x:t>
        </x:is>
      </x:c>
      <x:c r="K238" s="31" t="n">
        <x:v>0</x:v>
      </x:c>
      <x:c r="L238" s="31" t="inlineStr">
        <x:is>
          <x:t xml:space="preserve">Нет</x:t>
        </x:is>
      </x:c>
      <x:c r="M238" s="31" t="inlineStr">
        <x:is>
          <x:t xml:space="preserve">Нет</x:t>
        </x:is>
      </x:c>
      <x:c r="N238" s="31" t="inlineStr">
        <x:is>
          <x:t xml:space="preserve">Автосоздано правилом/пользователем 7</x:t>
        </x:is>
      </x:c>
    </x:row>
    <x:row r="239" ht="18" customHeight="1">
      <x:c r="A239" s="31" t="inlineStr">
        <x:is>
          <x:t xml:space="preserve">ЗД-00238</x:t>
        </x:is>
      </x:c>
      <x:c r="B239" s="31" t="n">
        <x:v>46113</x:v>
      </x:c>
      <x:c r="C239" s="31" t="n">
        <x:v>46115</x:v>
      </x:c>
      <x:c r="D239" s="31" t="inlineStr">
        <x:is>
          <x:t xml:space="preserve">Просрочена</x:t>
        </x:is>
      </x:c>
      <x:c r="E239" s="31" t="inlineStr">
        <x:is>
          <x:t xml:space="preserve">Высокий</x:t>
        </x:is>
      </x:c>
      <x:c r="F239" s="31" t="inlineStr">
        <x:is>
          <x:t xml:space="preserve">СОТР-069</x:t>
        </x:is>
      </x:c>
      <x:c r="G239" s="31" t="inlineStr">
        <x:is>
          <x:t xml:space="preserve">Счет</x:t>
        </x:is>
      </x:c>
      <x:c r="H239" s="31" t="inlineStr">
        <x:is>
          <x:t xml:space="preserve">СЧ-1110-1</x:t>
        </x:is>
      </x:c>
      <x:c r="I239" s="31" t="inlineStr">
        <x:is>
          <x:t xml:space="preserve">Согласовать отгрузку при ДЗ</x:t>
        </x:is>
      </x:c>
      <x:c r="J239" s="31" t="inlineStr">
        <x:is>
          <x:t xml:space="preserve">Продажи</x:t>
        </x:is>
      </x:c>
      <x:c r="K239" s="31" t="n">
        <x:v>70</x:v>
      </x:c>
      <x:c r="L239" s="31" t="inlineStr">
        <x:is>
          <x:t xml:space="preserve">Нет</x:t>
        </x:is>
      </x:c>
      <x:c r="M239" s="31" t="inlineStr">
        <x:is>
          <x:t xml:space="preserve">Руководитель</x:t>
        </x:is>
      </x:c>
      <x:c r="N239" s="31" t="inlineStr">
        <x:is>
          <x:t xml:space="preserve">Автосоздано правилом/пользователем 3</x:t>
        </x:is>
      </x:c>
    </x:row>
    <x:row r="240" ht="18" customHeight="1">
      <x:c r="A240" s="31" t="inlineStr">
        <x:is>
          <x:t xml:space="preserve">ЗД-00239</x:t>
        </x:is>
      </x:c>
      <x:c r="B240" s="31" t="n">
        <x:v>46155</x:v>
      </x:c>
      <x:c r="C240" s="31" t="n">
        <x:v>46157</x:v>
      </x:c>
      <x:c r="D240" s="31" t="inlineStr">
        <x:is>
          <x:t xml:space="preserve">Новая</x:t>
        </x:is>
      </x:c>
      <x:c r="E240" s="31" t="inlineStr">
        <x:is>
          <x:t xml:space="preserve">Высокий</x:t>
        </x:is>
      </x:c>
      <x:c r="F240" s="31" t="inlineStr">
        <x:is>
          <x:t xml:space="preserve">СОТР-076</x:t>
        </x:is>
      </x:c>
      <x:c r="G240" s="31" t="inlineStr">
        <x:is>
          <x:t xml:space="preserve">Счет</x:t>
        </x:is>
      </x:c>
      <x:c r="H240" s="31" t="inlineStr">
        <x:is>
          <x:t xml:space="preserve">СЧ-1003-1</x:t>
        </x:is>
      </x:c>
      <x:c r="I240" s="31" t="inlineStr">
        <x:is>
          <x:t xml:space="preserve">Подготовить акт сверки</x:t>
        </x:is>
      </x:c>
      <x:c r="J240" s="31" t="inlineStr">
        <x:is>
          <x:t xml:space="preserve">Продажи</x:t>
        </x:is>
      </x:c>
      <x:c r="K240" s="31" t="n">
        <x:v>0</x:v>
      </x:c>
      <x:c r="L240" s="31" t="inlineStr">
        <x:is>
          <x:t xml:space="preserve">Нет</x:t>
        </x:is>
      </x:c>
      <x:c r="M240" s="31" t="inlineStr">
        <x:is>
          <x:t xml:space="preserve">Нет</x:t>
        </x:is>
      </x:c>
      <x:c r="N240" s="31" t="inlineStr">
        <x:is>
          <x:t xml:space="preserve">Автосоздано правилом/пользователем 5</x:t>
        </x:is>
      </x:c>
    </x:row>
    <x:row r="241" ht="18" customHeight="1">
      <x:c r="A241" s="31" t="inlineStr">
        <x:is>
          <x:t xml:space="preserve">ЗД-00240</x:t>
        </x:is>
      </x:c>
      <x:c r="B241" s="31" t="n">
        <x:v>46117</x:v>
      </x:c>
      <x:c r="C241" s="31" t="n">
        <x:v>46131</x:v>
      </x:c>
      <x:c r="D241" s="31" t="inlineStr">
        <x:is>
          <x:t xml:space="preserve">Просрочена</x:t>
        </x:is>
      </x:c>
      <x:c r="E241" s="31" t="inlineStr">
        <x:is>
          <x:t xml:space="preserve">Средний</x:t>
        </x:is>
      </x:c>
      <x:c r="F241" s="31" t="inlineStr">
        <x:is>
          <x:t xml:space="preserve">СОТР-082</x:t>
        </x:is>
      </x:c>
      <x:c r="G241" s="31" t="inlineStr">
        <x:is>
          <x:t xml:space="preserve">Рекламация</x:t>
        </x:is>
      </x:c>
      <x:c r="H241" s="31" t="inlineStr">
        <x:is>
          <x:t xml:space="preserve">РЕК-00022</x:t>
        </x:is>
      </x:c>
      <x:c r="I241" s="31" t="inlineStr">
        <x:is>
          <x:t xml:space="preserve">Подготовить отчет</x:t>
        </x:is>
      </x:c>
      <x:c r="J241" s="31" t="inlineStr">
        <x:is>
          <x:t xml:space="preserve">Продажи</x:t>
        </x:is>
      </x:c>
      <x:c r="K241" s="31" t="n">
        <x:v>54</x:v>
      </x:c>
      <x:c r="L241" s="31" t="inlineStr">
        <x:is>
          <x:t xml:space="preserve">Да</x:t>
        </x:is>
      </x:c>
      <x:c r="M241" s="31" t="inlineStr">
        <x:is>
          <x:t xml:space="preserve">Нет</x:t>
        </x:is>
      </x:c>
      <x:c r="N241" s="31" t="inlineStr">
        <x:is>
          <x:t xml:space="preserve">Автосоздано правилом/пользователем 8</x:t>
        </x:is>
      </x:c>
    </x:row>
    <x:row r="242" ht="18" customHeight="1">
      <x:c r="A242" s="31" t="inlineStr">
        <x:is>
          <x:t xml:space="preserve">ЗД-00241</x:t>
        </x:is>
      </x:c>
      <x:c r="B242" s="31" t="n">
        <x:v>46134</x:v>
      </x:c>
      <x:c r="C242" s="31" t="n">
        <x:v>46148</x:v>
      </x:c>
      <x:c r="D242" s="31" t="inlineStr">
        <x:is>
          <x:t xml:space="preserve">В работе</x:t>
        </x:is>
      </x:c>
      <x:c r="E242" s="31" t="inlineStr">
        <x:is>
          <x:t xml:space="preserve">Средний</x:t>
        </x:is>
      </x:c>
      <x:c r="F242" s="31" t="inlineStr">
        <x:is>
          <x:t xml:space="preserve">СОТР-063</x:t>
        </x:is>
      </x:c>
      <x:c r="G242" s="31" t="inlineStr">
        <x:is>
          <x:t xml:space="preserve">Производственное задание</x:t>
        </x:is>
      </x:c>
      <x:c r="H242" s="31" t="inlineStr">
        <x:is>
          <x:t xml:space="preserve">ПЗ-00057</x:t>
        </x:is>
      </x:c>
      <x:c r="I242" s="31" t="inlineStr">
        <x:is>
          <x:t xml:space="preserve">Проверить дефицит материалов</x:t>
        </x:is>
      </x:c>
      <x:c r="J242" s="31" t="inlineStr">
        <x:is>
          <x:t xml:space="preserve">ОТК</x:t>
        </x:is>
      </x:c>
      <x:c r="K242" s="31" t="n">
        <x:v>0</x:v>
      </x:c>
      <x:c r="L242" s="31" t="inlineStr">
        <x:is>
          <x:t xml:space="preserve">Нет</x:t>
        </x:is>
      </x:c>
      <x:c r="M242" s="31" t="inlineStr">
        <x:is>
          <x:t xml:space="preserve">Нет</x:t>
        </x:is>
      </x:c>
      <x:c r="N242" s="31" t="inlineStr">
        <x:is>
          <x:t xml:space="preserve">Автосоздано правилом/пользователем 1</x:t>
        </x:is>
      </x:c>
    </x:row>
    <x:row r="243" ht="18" customHeight="1">
      <x:c r="A243" s="31" t="inlineStr">
        <x:is>
          <x:t xml:space="preserve">ЗД-00242</x:t>
        </x:is>
      </x:c>
      <x:c r="B243" s="31" t="n">
        <x:v>46115</x:v>
      </x:c>
      <x:c r="C243" s="31" t="n">
        <x:v>46125</x:v>
      </x:c>
      <x:c r="D243" s="31" t="inlineStr">
        <x:is>
          <x:t xml:space="preserve">Просрочена</x:t>
        </x:is>
      </x:c>
      <x:c r="E243" s="31" t="inlineStr">
        <x:is>
          <x:t xml:space="preserve">Средний</x:t>
        </x:is>
      </x:c>
      <x:c r="F243" s="31" t="inlineStr">
        <x:is>
          <x:t xml:space="preserve">СОТР-005</x:t>
        </x:is>
      </x:c>
      <x:c r="G243" s="31" t="inlineStr">
        <x:is>
          <x:t xml:space="preserve">Заказ</x:t>
        </x:is>
      </x:c>
      <x:c r="H243" s="31" t="inlineStr">
        <x:is>
          <x:t xml:space="preserve">ЗК-1012</x:t>
        </x:is>
      </x:c>
      <x:c r="I243" s="31" t="inlineStr">
        <x:is>
          <x:t xml:space="preserve">Проверить лимит заказчика</x:t>
        </x:is>
      </x:c>
      <x:c r="J243" s="31" t="inlineStr">
        <x:is>
          <x:t xml:space="preserve">Снабжение</x:t>
        </x:is>
      </x:c>
      <x:c r="K243" s="31" t="n">
        <x:v>60</x:v>
      </x:c>
      <x:c r="L243" s="31" t="inlineStr">
        <x:is>
          <x:t xml:space="preserve">Нет</x:t>
        </x:is>
      </x:c>
      <x:c r="M243" s="31" t="inlineStr">
        <x:is>
          <x:t xml:space="preserve">Нет</x:t>
        </x:is>
      </x:c>
      <x:c r="N243" s="31" t="inlineStr">
        <x:is>
          <x:t xml:space="preserve">Автосоздано правилом/пользователем 10</x:t>
        </x:is>
      </x:c>
    </x:row>
    <x:row r="244" ht="18" customHeight="1">
      <x:c r="A244" s="31" t="inlineStr">
        <x:is>
          <x:t xml:space="preserve">ЗД-00243</x:t>
        </x:is>
      </x:c>
      <x:c r="B244" s="31" t="n">
        <x:v>46120</x:v>
      </x:c>
      <x:c r="C244" s="31" t="n">
        <x:v>46125</x:v>
      </x:c>
      <x:c r="D244" s="31" t="inlineStr">
        <x:is>
          <x:t xml:space="preserve">В работе</x:t>
        </x:is>
      </x:c>
      <x:c r="E244" s="31" t="inlineStr">
        <x:is>
          <x:t xml:space="preserve">Высокий</x:t>
        </x:is>
      </x:c>
      <x:c r="F244" s="31" t="inlineStr">
        <x:is>
          <x:t xml:space="preserve">СОТР-117</x:t>
        </x:is>
      </x:c>
      <x:c r="G244" s="31" t="inlineStr">
        <x:is>
          <x:t xml:space="preserve">ОТК</x:t>
        </x:is>
      </x:c>
      <x:c r="H244" s="31" t="inlineStr">
        <x:is>
          <x:t xml:space="preserve">ОТК-00043</x:t>
        </x:is>
      </x:c>
      <x:c r="I244" s="31" t="inlineStr">
        <x:is>
          <x:t xml:space="preserve">Проверить доработку</x:t>
        </x:is>
      </x:c>
      <x:c r="J244" s="31" t="inlineStr">
        <x:is>
          <x:t xml:space="preserve">Финансы</x:t>
        </x:is>
      </x:c>
      <x:c r="K244" s="31" t="n">
        <x:v>0</x:v>
      </x:c>
      <x:c r="L244" s="31" t="inlineStr">
        <x:is>
          <x:t xml:space="preserve">Нет</x:t>
        </x:is>
      </x:c>
      <x:c r="M244" s="31" t="inlineStr">
        <x:is>
          <x:t xml:space="preserve">Нет</x:t>
        </x:is>
      </x:c>
      <x:c r="N244" s="31" t="inlineStr">
        <x:is>
          <x:t xml:space="preserve">Автосоздано правилом/пользователем 6</x:t>
        </x:is>
      </x:c>
    </x:row>
    <x:row r="245" ht="18" customHeight="1">
      <x:c r="A245" s="31" t="inlineStr">
        <x:is>
          <x:t xml:space="preserve">ЗД-00244</x:t>
        </x:is>
      </x:c>
      <x:c r="B245" s="31" t="n">
        <x:v>46144</x:v>
      </x:c>
      <x:c r="C245" s="31" t="n">
        <x:v>46145</x:v>
      </x:c>
      <x:c r="D245" s="31" t="inlineStr">
        <x:is>
          <x:t xml:space="preserve">Выполнена</x:t>
        </x:is>
      </x:c>
      <x:c r="E245" s="31" t="inlineStr">
        <x:is>
          <x:t xml:space="preserve">Средний</x:t>
        </x:is>
      </x:c>
      <x:c r="F245" s="31" t="inlineStr">
        <x:is>
          <x:t xml:space="preserve">СОТР-100</x:t>
        </x:is>
      </x:c>
      <x:c r="G245" s="31" t="inlineStr">
        <x:is>
          <x:t xml:space="preserve">ОТК</x:t>
        </x:is>
      </x:c>
      <x:c r="H245" s="31" t="inlineStr">
        <x:is>
          <x:t xml:space="preserve">ОТК-00113</x:t>
        </x:is>
      </x:c>
      <x:c r="I245" s="31" t="inlineStr">
        <x:is>
          <x:t xml:space="preserve">Заблокировать отгрузку</x:t>
        </x:is>
      </x:c>
      <x:c r="J245" s="31" t="inlineStr">
        <x:is>
          <x:t xml:space="preserve">Снабжение</x:t>
        </x:is>
      </x:c>
      <x:c r="K245" s="31" t="n">
        <x:v>0</x:v>
      </x:c>
      <x:c r="L245" s="31" t="inlineStr">
        <x:is>
          <x:t xml:space="preserve">Нет</x:t>
        </x:is>
      </x:c>
      <x:c r="M245" s="31" t="inlineStr">
        <x:is>
          <x:t xml:space="preserve">Нет</x:t>
        </x:is>
      </x:c>
      <x:c r="N245" s="31" t="inlineStr">
        <x:is>
          <x:t xml:space="preserve">Автосоздано правилом/пользователем 12</x:t>
        </x:is>
      </x:c>
    </x:row>
    <x:row r="246" ht="18" customHeight="1">
      <x:c r="A246" s="31" t="inlineStr">
        <x:is>
          <x:t xml:space="preserve">ЗД-00245</x:t>
        </x:is>
      </x:c>
      <x:c r="B246" s="31" t="n">
        <x:v>46151</x:v>
      </x:c>
      <x:c r="C246" s="31" t="n">
        <x:v>46153</x:v>
      </x:c>
      <x:c r="D246" s="31" t="inlineStr">
        <x:is>
          <x:t xml:space="preserve">Выполнена</x:t>
        </x:is>
      </x:c>
      <x:c r="E246" s="31" t="inlineStr">
        <x:is>
          <x:t xml:space="preserve">Срочный</x:t>
        </x:is>
      </x:c>
      <x:c r="F246" s="31" t="inlineStr">
        <x:is>
          <x:t xml:space="preserve">СОТР-093</x:t>
        </x:is>
      </x:c>
      <x:c r="G246" s="31" t="inlineStr">
        <x:is>
          <x:t xml:space="preserve">ОТК</x:t>
        </x:is>
      </x:c>
      <x:c r="H246" s="31" t="inlineStr">
        <x:is>
          <x:t xml:space="preserve">ОТК-00028</x:t>
        </x:is>
      </x:c>
      <x:c r="I246" s="31" t="inlineStr">
        <x:is>
          <x:t xml:space="preserve">Заблокировать отгрузку</x:t>
        </x:is>
      </x:c>
      <x:c r="J246" s="31" t="inlineStr">
        <x:is>
          <x:t xml:space="preserve">Производство</x:t>
        </x:is>
      </x:c>
      <x:c r="K246" s="31" t="n">
        <x:v>0</x:v>
      </x:c>
      <x:c r="L246" s="31" t="inlineStr">
        <x:is>
          <x:t xml:space="preserve">Нет</x:t>
        </x:is>
      </x:c>
      <x:c r="M246" s="31" t="inlineStr">
        <x:is>
          <x:t xml:space="preserve">Нет</x:t>
        </x:is>
      </x:c>
      <x:c r="N246" s="31" t="inlineStr">
        <x:is>
          <x:t xml:space="preserve">Автосоздано правилом/пользователем 10</x:t>
        </x:is>
      </x:c>
    </x:row>
    <x:row r="247" ht="18" customHeight="1">
      <x:c r="A247" s="31" t="inlineStr">
        <x:is>
          <x:t xml:space="preserve">ЗД-00246</x:t>
        </x:is>
      </x:c>
      <x:c r="B247" s="31" t="n">
        <x:v>46178</x:v>
      </x:c>
      <x:c r="C247" s="31" t="n">
        <x:v>46183</x:v>
      </x:c>
      <x:c r="D247" s="31" t="inlineStr">
        <x:is>
          <x:t xml:space="preserve">В работе</x:t>
        </x:is>
      </x:c>
      <x:c r="E247" s="31" t="inlineStr">
        <x:is>
          <x:t xml:space="preserve">Средний</x:t>
        </x:is>
      </x:c>
      <x:c r="F247" s="31" t="inlineStr">
        <x:is>
          <x:t xml:space="preserve">СОТР-076</x:t>
        </x:is>
      </x:c>
      <x:c r="G247" s="31" t="inlineStr">
        <x:is>
          <x:t xml:space="preserve">Счет</x:t>
        </x:is>
      </x:c>
      <x:c r="H247" s="31" t="inlineStr">
        <x:is>
          <x:t xml:space="preserve">СЧ-1007-1</x:t>
        </x:is>
      </x:c>
      <x:c r="I247" s="31" t="inlineStr">
        <x:is>
          <x:t xml:space="preserve">Подготовить акт сверки</x:t>
        </x:is>
      </x:c>
      <x:c r="J247" s="31" t="inlineStr">
        <x:is>
          <x:t xml:space="preserve">Производство</x:t>
        </x:is>
      </x:c>
      <x:c r="K247" s="31" t="n">
        <x:v>0</x:v>
      </x:c>
      <x:c r="L247" s="31" t="inlineStr">
        <x:is>
          <x:t xml:space="preserve">Да</x:t>
        </x:is>
      </x:c>
      <x:c r="M247" s="31" t="inlineStr">
        <x:is>
          <x:t xml:space="preserve">Нет</x:t>
        </x:is>
      </x:c>
      <x:c r="N247" s="31" t="inlineStr">
        <x:is>
          <x:t xml:space="preserve">Автосоздано правилом/пользователем 7</x:t>
        </x:is>
      </x:c>
    </x:row>
    <x:row r="248" ht="18" customHeight="1">
      <x:c r="A248" s="31" t="inlineStr">
        <x:is>
          <x:t xml:space="preserve">ЗД-00247</x:t>
        </x:is>
      </x:c>
      <x:c r="B248" s="31" t="n">
        <x:v>46175</x:v>
      </x:c>
      <x:c r="C248" s="31" t="n">
        <x:v>46189</x:v>
      </x:c>
      <x:c r="D248" s="31" t="inlineStr">
        <x:is>
          <x:t xml:space="preserve">Отменена</x:t>
        </x:is>
      </x:c>
      <x:c r="E248" s="31" t="inlineStr">
        <x:is>
          <x:t xml:space="preserve">Срочный</x:t>
        </x:is>
      </x:c>
      <x:c r="F248" s="31" t="inlineStr">
        <x:is>
          <x:t xml:space="preserve">СОТР-043</x:t>
        </x:is>
      </x:c>
      <x:c r="G248" s="31" t="inlineStr">
        <x:is>
          <x:t xml:space="preserve">Производственное задание</x:t>
        </x:is>
      </x:c>
      <x:c r="H248" s="31" t="inlineStr">
        <x:is>
          <x:t xml:space="preserve">ПЗ-00185</x:t>
        </x:is>
      </x:c>
      <x:c r="I248" s="31" t="inlineStr">
        <x:is>
          <x:t xml:space="preserve">Проверить дефицит материалов</x:t>
        </x:is>
      </x:c>
      <x:c r="J248" s="31" t="inlineStr">
        <x:is>
          <x:t xml:space="preserve">Сервис</x:t>
        </x:is>
      </x:c>
      <x:c r="K248" s="31" t="n">
        <x:v>0</x:v>
      </x:c>
      <x:c r="L248" s="31" t="inlineStr">
        <x:is>
          <x:t xml:space="preserve">Да</x:t>
        </x:is>
      </x:c>
      <x:c r="M248" s="31" t="inlineStr">
        <x:is>
          <x:t xml:space="preserve">Нет</x:t>
        </x:is>
      </x:c>
      <x:c r="N248" s="31" t="inlineStr">
        <x:is>
          <x:t xml:space="preserve">Автосоздано правилом/пользователем 3</x:t>
        </x:is>
      </x:c>
    </x:row>
    <x:row r="249" ht="18" customHeight="1">
      <x:c r="A249" s="31" t="inlineStr">
        <x:is>
          <x:t xml:space="preserve">ЗД-00248</x:t>
        </x:is>
      </x:c>
      <x:c r="B249" s="31" t="n">
        <x:v>46178</x:v>
      </x:c>
      <x:c r="C249" s="31" t="n">
        <x:v>46192</x:v>
      </x:c>
      <x:c r="D249" s="31" t="inlineStr">
        <x:is>
          <x:t xml:space="preserve">Выполнена</x:t>
        </x:is>
      </x:c>
      <x:c r="E249" s="31" t="inlineStr">
        <x:is>
          <x:t xml:space="preserve">Высокий</x:t>
        </x:is>
      </x:c>
      <x:c r="F249" s="31" t="inlineStr">
        <x:is>
          <x:t xml:space="preserve">СОТР-095</x:t>
        </x:is>
      </x:c>
      <x:c r="G249" s="31" t="inlineStr">
        <x:is>
          <x:t xml:space="preserve">Счет</x:t>
        </x:is>
      </x:c>
      <x:c r="H249" s="31" t="inlineStr">
        <x:is>
          <x:t xml:space="preserve">СЧ-1072-1</x:t>
        </x:is>
      </x:c>
      <x:c r="I249" s="31" t="inlineStr">
        <x:is>
          <x:t xml:space="preserve">Подготовить акт сверки</x:t>
        </x:is>
      </x:c>
      <x:c r="J249" s="31" t="inlineStr">
        <x:is>
          <x:t xml:space="preserve">Финансы</x:t>
        </x:is>
      </x:c>
      <x:c r="K249" s="31" t="n">
        <x:v>0</x:v>
      </x:c>
      <x:c r="L249" s="31" t="inlineStr">
        <x:is>
          <x:t xml:space="preserve">Нет</x:t>
        </x:is>
      </x:c>
      <x:c r="M249" s="31" t="inlineStr">
        <x:is>
          <x:t xml:space="preserve">Нет</x:t>
        </x:is>
      </x:c>
      <x:c r="N249" s="31" t="inlineStr">
        <x:is>
          <x:t xml:space="preserve">Автосоздано правилом/пользователем 4</x:t>
        </x:is>
      </x:c>
    </x:row>
    <x:row r="250" ht="18" customHeight="1">
      <x:c r="A250" s="31" t="inlineStr">
        <x:is>
          <x:t xml:space="preserve">ЗД-00249</x:t>
        </x:is>
      </x:c>
      <x:c r="B250" s="31" t="n">
        <x:v>46145</x:v>
      </x:c>
      <x:c r="C250" s="31" t="n">
        <x:v>46146</x:v>
      </x:c>
      <x:c r="D250" s="31" t="inlineStr">
        <x:is>
          <x:t xml:space="preserve">Просрочена</x:t>
        </x:is>
      </x:c>
      <x:c r="E250" s="31" t="inlineStr">
        <x:is>
          <x:t xml:space="preserve">Средний</x:t>
        </x:is>
      </x:c>
      <x:c r="F250" s="31" t="inlineStr">
        <x:is>
          <x:t xml:space="preserve">СОТР-022</x:t>
        </x:is>
      </x:c>
      <x:c r="G250" s="31" t="inlineStr">
        <x:is>
          <x:t xml:space="preserve">Закупка</x:t>
        </x:is>
      </x:c>
      <x:c r="H250" s="31" t="inlineStr">
        <x:is>
          <x:t xml:space="preserve">ЗЗ-00014</x:t>
        </x:is>
      </x:c>
      <x:c r="I250" s="31" t="inlineStr">
        <x:is>
          <x:t xml:space="preserve">Запросить срок поставки</x:t>
        </x:is>
      </x:c>
      <x:c r="J250" s="31" t="inlineStr">
        <x:is>
          <x:t xml:space="preserve">Продажи</x:t>
        </x:is>
      </x:c>
      <x:c r="K250" s="31" t="n">
        <x:v>39</x:v>
      </x:c>
      <x:c r="L250" s="31" t="inlineStr">
        <x:is>
          <x:t xml:space="preserve">Нет</x:t>
        </x:is>
      </x:c>
      <x:c r="M250" s="31" t="inlineStr">
        <x:is>
          <x:t xml:space="preserve">Поставщик</x:t>
        </x:is>
      </x:c>
      <x:c r="N250" s="31" t="inlineStr">
        <x:is>
          <x:t xml:space="preserve">Автосоздано правилом/пользователем 2</x:t>
        </x:is>
      </x:c>
    </x:row>
    <x:row r="251" ht="18" customHeight="1">
      <x:c r="A251" s="31" t="inlineStr">
        <x:is>
          <x:t xml:space="preserve">ЗД-00250</x:t>
        </x:is>
      </x:c>
      <x:c r="B251" s="31" t="n">
        <x:v>46181</x:v>
      </x:c>
      <x:c r="C251" s="31" t="n">
        <x:v>46186</x:v>
      </x:c>
      <x:c r="D251" s="31" t="inlineStr">
        <x:is>
          <x:t xml:space="preserve">В работе</x:t>
        </x:is>
      </x:c>
      <x:c r="E251" s="31" t="inlineStr">
        <x:is>
          <x:t xml:space="preserve">Низкий</x:t>
        </x:is>
      </x:c>
      <x:c r="F251" s="31" t="inlineStr">
        <x:is>
          <x:t xml:space="preserve">СОТР-114</x:t>
        </x:is>
      </x:c>
      <x:c r="G251" s="31" t="inlineStr">
        <x:is>
          <x:t xml:space="preserve">Производственное задание</x:t>
        </x:is>
      </x:c>
      <x:c r="H251" s="31" t="inlineStr">
        <x:is>
          <x:t xml:space="preserve">ПЗ-00029</x:t>
        </x:is>
      </x:c>
      <x:c r="I251" s="31" t="inlineStr">
        <x:is>
          <x:t xml:space="preserve">Закрыть сменный факт</x:t>
        </x:is>
      </x:c>
      <x:c r="J251" s="31" t="inlineStr">
        <x:is>
          <x:t xml:space="preserve">Производство</x:t>
        </x:is>
      </x:c>
      <x:c r="K251" s="31" t="n">
        <x:v>0</x:v>
      </x:c>
      <x:c r="L251" s="31" t="inlineStr">
        <x:is>
          <x:t xml:space="preserve">Нет</x:t>
        </x:is>
      </x:c>
      <x:c r="M251" s="31" t="inlineStr">
        <x:is>
          <x:t xml:space="preserve">Поставщик</x:t>
        </x:is>
      </x:c>
      <x:c r="N251" s="31" t="inlineStr">
        <x:is>
          <x:t xml:space="preserve">Автосоздано правилом/пользователем 11</x:t>
        </x:is>
      </x:c>
    </x:row>
    <x:row r="252" ht="18" customHeight="1">
      <x:c r="A252" s="31" t="inlineStr">
        <x:is>
          <x:t xml:space="preserve">ЗД-00251</x:t>
        </x:is>
      </x:c>
      <x:c r="B252" s="31" t="n">
        <x:v>46118</x:v>
      </x:c>
      <x:c r="C252" s="31" t="n">
        <x:v>46121</x:v>
      </x:c>
      <x:c r="D252" s="31" t="inlineStr">
        <x:is>
          <x:t xml:space="preserve">Выполнена</x:t>
        </x:is>
      </x:c>
      <x:c r="E252" s="31" t="inlineStr">
        <x:is>
          <x:t xml:space="preserve">Средний</x:t>
        </x:is>
      </x:c>
      <x:c r="F252" s="31" t="inlineStr">
        <x:is>
          <x:t xml:space="preserve">СОТР-041</x:t>
        </x:is>
      </x:c>
      <x:c r="G252" s="31" t="inlineStr">
        <x:is>
          <x:t xml:space="preserve">Заказ</x:t>
        </x:is>
      </x:c>
      <x:c r="H252" s="31" t="inlineStr">
        <x:is>
          <x:t xml:space="preserve">ЗК-1083</x:t>
        </x:is>
      </x:c>
      <x:c r="I252" s="31" t="inlineStr">
        <x:is>
          <x:t xml:space="preserve">Подписать спецификацию</x:t>
        </x:is>
      </x:c>
      <x:c r="J252" s="31" t="inlineStr">
        <x:is>
          <x:t xml:space="preserve">ОТК</x:t>
        </x:is>
      </x:c>
      <x:c r="K252" s="31" t="n">
        <x:v>0</x:v>
      </x:c>
      <x:c r="L252" s="31" t="inlineStr">
        <x:is>
          <x:t xml:space="preserve">Да</x:t>
        </x:is>
      </x:c>
      <x:c r="M252" s="31" t="inlineStr">
        <x:is>
          <x:t xml:space="preserve">Нет</x:t>
        </x:is>
      </x:c>
      <x:c r="N252" s="31" t="inlineStr">
        <x:is>
          <x:t xml:space="preserve">Автосоздано правилом/пользователем 5</x:t>
        </x:is>
      </x:c>
    </x:row>
    <x:row r="253" ht="18" customHeight="1">
      <x:c r="A253" s="31" t="inlineStr">
        <x:is>
          <x:t xml:space="preserve">ЗД-00252</x:t>
        </x:is>
      </x:c>
      <x:c r="B253" s="31" t="n">
        <x:v>46130</x:v>
      </x:c>
      <x:c r="C253" s="31" t="n">
        <x:v>46133</x:v>
      </x:c>
      <x:c r="D253" s="31" t="inlineStr">
        <x:is>
          <x:t xml:space="preserve">Просрочена</x:t>
        </x:is>
      </x:c>
      <x:c r="E253" s="31" t="inlineStr">
        <x:is>
          <x:t xml:space="preserve">Низкий</x:t>
        </x:is>
      </x:c>
      <x:c r="F253" s="31" t="inlineStr">
        <x:is>
          <x:t xml:space="preserve">СОТР-098</x:t>
        </x:is>
      </x:c>
      <x:c r="G253" s="31" t="inlineStr">
        <x:is>
          <x:t xml:space="preserve">Производственное задание</x:t>
        </x:is>
      </x:c>
      <x:c r="H253" s="31" t="inlineStr">
        <x:is>
          <x:t xml:space="preserve">ПЗ-00133</x:t>
        </x:is>
      </x:c>
      <x:c r="I253" s="31" t="inlineStr">
        <x:is>
          <x:t xml:space="preserve">Обновить готовность</x:t>
        </x:is>
      </x:c>
      <x:c r="J253" s="31" t="inlineStr">
        <x:is>
          <x:t xml:space="preserve">Сервис</x:t>
        </x:is>
      </x:c>
      <x:c r="K253" s="31" t="n">
        <x:v>52</x:v>
      </x:c>
      <x:c r="L253" s="31" t="inlineStr">
        <x:is>
          <x:t xml:space="preserve">Нет</x:t>
        </x:is>
      </x:c>
      <x:c r="M253" s="31" t="inlineStr">
        <x:is>
          <x:t xml:space="preserve">Нет</x:t>
        </x:is>
      </x:c>
      <x:c r="N253" s="31" t="inlineStr">
        <x:is>
          <x:t xml:space="preserve">Автосоздано правилом/пользователем 4</x:t>
        </x:is>
      </x:c>
    </x:row>
    <x:row r="254" ht="18" customHeight="1">
      <x:c r="A254" s="31" t="inlineStr">
        <x:is>
          <x:t xml:space="preserve">ЗД-00253</x:t>
        </x:is>
      </x:c>
      <x:c r="B254" s="31" t="n">
        <x:v>46112</x:v>
      </x:c>
      <x:c r="C254" s="31" t="n">
        <x:v>46115</x:v>
      </x:c>
      <x:c r="D254" s="31" t="inlineStr">
        <x:is>
          <x:t xml:space="preserve">Просрочена</x:t>
        </x:is>
      </x:c>
      <x:c r="E254" s="31" t="inlineStr">
        <x:is>
          <x:t xml:space="preserve">Средний</x:t>
        </x:is>
      </x:c>
      <x:c r="F254" s="31" t="inlineStr">
        <x:is>
          <x:t xml:space="preserve">СОТР-069</x:t>
        </x:is>
      </x:c>
      <x:c r="G254" s="31" t="inlineStr">
        <x:is>
          <x:t xml:space="preserve">ОТК</x:t>
        </x:is>
      </x:c>
      <x:c r="H254" s="31" t="inlineStr">
        <x:is>
          <x:t xml:space="preserve">ОТК-00043</x:t>
        </x:is>
      </x:c>
      <x:c r="I254" s="31" t="inlineStr">
        <x:is>
          <x:t xml:space="preserve">Проверить доработку</x:t>
        </x:is>
      </x:c>
      <x:c r="J254" s="31" t="inlineStr">
        <x:is>
          <x:t xml:space="preserve">Продажи</x:t>
        </x:is>
      </x:c>
      <x:c r="K254" s="31" t="n">
        <x:v>70</x:v>
      </x:c>
      <x:c r="L254" s="31" t="inlineStr">
        <x:is>
          <x:t xml:space="preserve">Да</x:t>
        </x:is>
      </x:c>
      <x:c r="M254" s="31" t="inlineStr">
        <x:is>
          <x:t xml:space="preserve">Нет</x:t>
        </x:is>
      </x:c>
      <x:c r="N254" s="31" t="inlineStr">
        <x:is>
          <x:t xml:space="preserve">Автосоздано правилом/пользователем 6</x:t>
        </x:is>
      </x:c>
    </x:row>
    <x:row r="255" ht="18" customHeight="1">
      <x:c r="A255" s="31" t="inlineStr">
        <x:is>
          <x:t xml:space="preserve">ЗД-00254</x:t>
        </x:is>
      </x:c>
      <x:c r="B255" s="31" t="n">
        <x:v>46110</x:v>
      </x:c>
      <x:c r="C255" s="31" t="n">
        <x:v>46111</x:v>
      </x:c>
      <x:c r="D255" s="31" t="inlineStr">
        <x:is>
          <x:t xml:space="preserve">Просрочена</x:t>
        </x:is>
      </x:c>
      <x:c r="E255" s="31" t="inlineStr">
        <x:is>
          <x:t xml:space="preserve">Средний</x:t>
        </x:is>
      </x:c>
      <x:c r="F255" s="31" t="inlineStr">
        <x:is>
          <x:t xml:space="preserve">СОТР-076</x:t>
        </x:is>
      </x:c>
      <x:c r="G255" s="31" t="inlineStr">
        <x:is>
          <x:t xml:space="preserve">Счет</x:t>
        </x:is>
      </x:c>
      <x:c r="H255" s="31" t="inlineStr">
        <x:is>
          <x:t xml:space="preserve">СЧ-1049-1</x:t>
        </x:is>
      </x:c>
      <x:c r="I255" s="31" t="inlineStr">
        <x:is>
          <x:t xml:space="preserve">Подготовить акт сверки</x:t>
        </x:is>
      </x:c>
      <x:c r="J255" s="31" t="inlineStr">
        <x:is>
          <x:t xml:space="preserve">Снабжение</x:t>
        </x:is>
      </x:c>
      <x:c r="K255" s="31" t="n">
        <x:v>74</x:v>
      </x:c>
      <x:c r="L255" s="31" t="inlineStr">
        <x:is>
          <x:t xml:space="preserve">Нет</x:t>
        </x:is>
      </x:c>
      <x:c r="M255" s="31" t="inlineStr">
        <x:is>
          <x:t xml:space="preserve">Нет</x:t>
        </x:is>
      </x:c>
      <x:c r="N255" s="31" t="inlineStr">
        <x:is>
          <x:t xml:space="preserve">Автосоздано правилом/пользователем 7</x:t>
        </x:is>
      </x:c>
    </x:row>
    <x:row r="256" ht="18" customHeight="1">
      <x:c r="A256" s="31" t="inlineStr">
        <x:is>
          <x:t xml:space="preserve">ЗД-00255</x:t>
        </x:is>
      </x:c>
      <x:c r="B256" s="31" t="n">
        <x:v>46171</x:v>
      </x:c>
      <x:c r="C256" s="31" t="n">
        <x:v>46181</x:v>
      </x:c>
      <x:c r="D256" s="31" t="inlineStr">
        <x:is>
          <x:t xml:space="preserve">Выполнена</x:t>
        </x:is>
      </x:c>
      <x:c r="E256" s="31" t="inlineStr">
        <x:is>
          <x:t xml:space="preserve">Высокий</x:t>
        </x:is>
      </x:c>
      <x:c r="F256" s="31" t="inlineStr">
        <x:is>
          <x:t xml:space="preserve">СОТР-096</x:t>
        </x:is>
      </x:c>
      <x:c r="G256" s="31" t="inlineStr">
        <x:is>
          <x:t xml:space="preserve">Производственное задание</x:t>
        </x:is>
      </x:c>
      <x:c r="H256" s="31" t="inlineStr">
        <x:is>
          <x:t xml:space="preserve">ПЗ-00084</x:t>
        </x:is>
      </x:c>
      <x:c r="I256" s="31" t="inlineStr">
        <x:is>
          <x:t xml:space="preserve">Обновить готовность</x:t>
        </x:is>
      </x:c>
      <x:c r="J256" s="31" t="inlineStr">
        <x:is>
          <x:t xml:space="preserve">ОТК</x:t>
        </x:is>
      </x:c>
      <x:c r="K256" s="31" t="n">
        <x:v>0</x:v>
      </x:c>
      <x:c r="L256" s="31" t="inlineStr">
        <x:is>
          <x:t xml:space="preserve">Нет</x:t>
        </x:is>
      </x:c>
      <x:c r="M256" s="31" t="inlineStr">
        <x:is>
          <x:t xml:space="preserve">Нет</x:t>
        </x:is>
      </x:c>
      <x:c r="N256" s="31" t="inlineStr">
        <x:is>
          <x:t xml:space="preserve">Автосоздано правилом/пользователем 9</x:t>
        </x:is>
      </x:c>
    </x:row>
    <x:row r="257" ht="18" customHeight="1">
      <x:c r="A257" s="31" t="inlineStr">
        <x:is>
          <x:t xml:space="preserve">ЗД-00256</x:t>
        </x:is>
      </x:c>
      <x:c r="B257" s="31" t="n">
        <x:v>46127</x:v>
      </x:c>
      <x:c r="C257" s="31" t="n">
        <x:v>46141</x:v>
      </x:c>
      <x:c r="D257" s="31" t="inlineStr">
        <x:is>
          <x:t xml:space="preserve">Просрочена</x:t>
        </x:is>
      </x:c>
      <x:c r="E257" s="31" t="inlineStr">
        <x:is>
          <x:t xml:space="preserve">Средний</x:t>
        </x:is>
      </x:c>
      <x:c r="F257" s="31" t="inlineStr">
        <x:is>
          <x:t xml:space="preserve">СОТР-097</x:t>
        </x:is>
      </x:c>
      <x:c r="G257" s="31" t="inlineStr">
        <x:is>
          <x:t xml:space="preserve">ОТК</x:t>
        </x:is>
      </x:c>
      <x:c r="H257" s="31" t="inlineStr">
        <x:is>
          <x:t xml:space="preserve">ОТК-00070</x:t>
        </x:is>
      </x:c>
      <x:c r="I257" s="31" t="inlineStr">
        <x:is>
          <x:t xml:space="preserve">Проверить доработку</x:t>
        </x:is>
      </x:c>
      <x:c r="J257" s="31" t="inlineStr">
        <x:is>
          <x:t xml:space="preserve">ОТК</x:t>
        </x:is>
      </x:c>
      <x:c r="K257" s="31" t="n">
        <x:v>44</x:v>
      </x:c>
      <x:c r="L257" s="31" t="inlineStr">
        <x:is>
          <x:t xml:space="preserve">Да</x:t>
        </x:is>
      </x:c>
      <x:c r="M257" s="31" t="inlineStr">
        <x:is>
          <x:t xml:space="preserve">Нет</x:t>
        </x:is>
      </x:c>
      <x:c r="N257" s="31" t="inlineStr">
        <x:is>
          <x:t xml:space="preserve">Автосоздано правилом/пользователем 3</x:t>
        </x:is>
      </x:c>
    </x:row>
    <x:row r="258" ht="18" customHeight="1">
      <x:c r="A258" s="31" t="inlineStr">
        <x:is>
          <x:t xml:space="preserve">ЗД-00257</x:t>
        </x:is>
      </x:c>
      <x:c r="B258" s="31" t="n">
        <x:v>46119</x:v>
      </x:c>
      <x:c r="C258" s="31" t="n">
        <x:v>46126</x:v>
      </x:c>
      <x:c r="D258" s="31" t="inlineStr">
        <x:is>
          <x:t xml:space="preserve">Ожидает ответа</x:t>
        </x:is>
      </x:c>
      <x:c r="E258" s="31" t="inlineStr">
        <x:is>
          <x:t xml:space="preserve">Средний</x:t>
        </x:is>
      </x:c>
      <x:c r="F258" s="31" t="inlineStr">
        <x:is>
          <x:t xml:space="preserve">СОТР-018</x:t>
        </x:is>
      </x:c>
      <x:c r="G258" s="31" t="inlineStr">
        <x:is>
          <x:t xml:space="preserve">Закупка</x:t>
        </x:is>
      </x:c>
      <x:c r="H258" s="31" t="inlineStr">
        <x:is>
          <x:t xml:space="preserve">ЗЗ-00022</x:t>
        </x:is>
      </x:c>
      <x:c r="I258" s="31" t="inlineStr">
        <x:is>
          <x:t xml:space="preserve">Согласовать закупку</x:t>
        </x:is>
      </x:c>
      <x:c r="J258" s="31" t="inlineStr">
        <x:is>
          <x:t xml:space="preserve">Снабжение</x:t>
        </x:is>
      </x:c>
      <x:c r="K258" s="31" t="n">
        <x:v>0</x:v>
      </x:c>
      <x:c r="L258" s="31" t="inlineStr">
        <x:is>
          <x:t xml:space="preserve">Нет</x:t>
        </x:is>
      </x:c>
      <x:c r="M258" s="31" t="inlineStr">
        <x:is>
          <x:t xml:space="preserve">Нет</x:t>
        </x:is>
      </x:c>
      <x:c r="N258" s="31" t="inlineStr">
        <x:is>
          <x:t xml:space="preserve">Автосоздано правилом/пользователем 11</x:t>
        </x:is>
      </x:c>
    </x:row>
    <x:row r="259" ht="18" customHeight="1">
      <x:c r="A259" s="31" t="inlineStr">
        <x:is>
          <x:t xml:space="preserve">ЗД-00258</x:t>
        </x:is>
      </x:c>
      <x:c r="B259" s="31" t="n">
        <x:v>46178</x:v>
      </x:c>
      <x:c r="C259" s="31" t="n">
        <x:v>46181</x:v>
      </x:c>
      <x:c r="D259" s="31" t="inlineStr">
        <x:is>
          <x:t xml:space="preserve">Новая</x:t>
        </x:is>
      </x:c>
      <x:c r="E259" s="31" t="inlineStr">
        <x:is>
          <x:t xml:space="preserve">Низкий</x:t>
        </x:is>
      </x:c>
      <x:c r="F259" s="31" t="inlineStr">
        <x:is>
          <x:t xml:space="preserve">СОТР-093</x:t>
        </x:is>
      </x:c>
      <x:c r="G259" s="31" t="inlineStr">
        <x:is>
          <x:t xml:space="preserve">Производственное задание</x:t>
        </x:is>
      </x:c>
      <x:c r="H259" s="31" t="inlineStr">
        <x:is>
          <x:t xml:space="preserve">ПЗ-00062</x:t>
        </x:is>
      </x:c>
      <x:c r="I259" s="31" t="inlineStr">
        <x:is>
          <x:t xml:space="preserve">Разобрать простой</x:t>
        </x:is>
      </x:c>
      <x:c r="J259" s="31" t="inlineStr">
        <x:is>
          <x:t xml:space="preserve">ОТК</x:t>
        </x:is>
      </x:c>
      <x:c r="K259" s="31" t="n">
        <x:v>0</x:v>
      </x:c>
      <x:c r="L259" s="31" t="inlineStr">
        <x:is>
          <x:t xml:space="preserve">Нет</x:t>
        </x:is>
      </x:c>
      <x:c r="M259" s="31" t="inlineStr">
        <x:is>
          <x:t xml:space="preserve">Нет</x:t>
        </x:is>
      </x:c>
      <x:c r="N259" s="31" t="inlineStr">
        <x:is>
          <x:t xml:space="preserve">Автосоздано правилом/пользователем 2</x:t>
        </x:is>
      </x:c>
    </x:row>
    <x:row r="260" ht="18" customHeight="1">
      <x:c r="A260" s="31" t="inlineStr">
        <x:is>
          <x:t xml:space="preserve">ЗД-00259</x:t>
        </x:is>
      </x:c>
      <x:c r="B260" s="31" t="n">
        <x:v>46133</x:v>
      </x:c>
      <x:c r="C260" s="31" t="n">
        <x:v>46134</x:v>
      </x:c>
      <x:c r="D260" s="31" t="inlineStr">
        <x:is>
          <x:t xml:space="preserve">В работе</x:t>
        </x:is>
      </x:c>
      <x:c r="E260" s="31" t="inlineStr">
        <x:is>
          <x:t xml:space="preserve">Средний</x:t>
        </x:is>
      </x:c>
      <x:c r="F260" s="31" t="inlineStr">
        <x:is>
          <x:t xml:space="preserve">СОТР-025</x:t>
        </x:is>
      </x:c>
      <x:c r="G260" s="31" t="inlineStr">
        <x:is>
          <x:t xml:space="preserve">Закупка</x:t>
        </x:is>
      </x:c>
      <x:c r="H260" s="31" t="inlineStr">
        <x:is>
          <x:t xml:space="preserve">ЗЗ-00048</x:t>
        </x:is>
      </x:c>
      <x:c r="I260" s="31" t="inlineStr">
        <x:is>
          <x:t xml:space="preserve">Уточнить сертификаты</x:t>
        </x:is>
      </x:c>
      <x:c r="J260" s="31" t="inlineStr">
        <x:is>
          <x:t xml:space="preserve">Производство</x:t>
        </x:is>
      </x:c>
      <x:c r="K260" s="31" t="n">
        <x:v>0</x:v>
      </x:c>
      <x:c r="L260" s="31" t="inlineStr">
        <x:is>
          <x:t xml:space="preserve">Нет</x:t>
        </x:is>
      </x:c>
      <x:c r="M260" s="31" t="inlineStr">
        <x:is>
          <x:t xml:space="preserve">Нет</x:t>
        </x:is>
      </x:c>
      <x:c r="N260" s="31" t="inlineStr">
        <x:is>
          <x:t xml:space="preserve">Автосоздано правилом/пользователем 9</x:t>
        </x:is>
      </x:c>
    </x:row>
    <x:row r="261" ht="18" customHeight="1">
      <x:c r="A261" s="31" t="inlineStr">
        <x:is>
          <x:t xml:space="preserve">ЗД-00260</x:t>
        </x:is>
      </x:c>
      <x:c r="B261" s="31" t="n">
        <x:v>46184</x:v>
      </x:c>
      <x:c r="C261" s="31" t="n">
        <x:v>46191</x:v>
      </x:c>
      <x:c r="D261" s="31" t="inlineStr">
        <x:is>
          <x:t xml:space="preserve">Выполнена</x:t>
        </x:is>
      </x:c>
      <x:c r="E261" s="31" t="inlineStr">
        <x:is>
          <x:t xml:space="preserve">Средний</x:t>
        </x:is>
      </x:c>
      <x:c r="F261" s="31" t="inlineStr">
        <x:is>
          <x:t xml:space="preserve">СОТР-099</x:t>
        </x:is>
      </x:c>
      <x:c r="G261" s="31" t="inlineStr">
        <x:is>
          <x:t xml:space="preserve">Производственное задание</x:t>
        </x:is>
      </x:c>
      <x:c r="H261" s="31" t="inlineStr">
        <x:is>
          <x:t xml:space="preserve">ПЗ-00149</x:t>
        </x:is>
      </x:c>
      <x:c r="I261" s="31" t="inlineStr">
        <x:is>
          <x:t xml:space="preserve">Разобрать простой</x:t>
        </x:is>
      </x:c>
      <x:c r="J261" s="31" t="inlineStr">
        <x:is>
          <x:t xml:space="preserve">Производство</x:t>
        </x:is>
      </x:c>
      <x:c r="K261" s="31" t="n">
        <x:v>0</x:v>
      </x:c>
      <x:c r="L261" s="31" t="inlineStr">
        <x:is>
          <x:t xml:space="preserve">Нет</x:t>
        </x:is>
      </x:c>
      <x:c r="M261" s="31" t="inlineStr">
        <x:is>
          <x:t xml:space="preserve">Нет</x:t>
        </x:is>
      </x:c>
      <x:c r="N261" s="31" t="inlineStr">
        <x:is>
          <x:t xml:space="preserve">Автосоздано правилом/пользователем 3</x:t>
        </x:is>
      </x:c>
    </x:row>
    <x:row r="262" ht="18" customHeight="1">
      <x:c r="A262" s="31" t="inlineStr">
        <x:is>
          <x:t xml:space="preserve">ЗД-00261</x:t>
        </x:is>
      </x:c>
      <x:c r="B262" s="31" t="n">
        <x:v>46179</x:v>
      </x:c>
      <x:c r="C262" s="31" t="n">
        <x:v>46189</x:v>
      </x:c>
      <x:c r="D262" s="31" t="inlineStr">
        <x:is>
          <x:t xml:space="preserve">Выполнена</x:t>
        </x:is>
      </x:c>
      <x:c r="E262" s="31" t="inlineStr">
        <x:is>
          <x:t xml:space="preserve">Средний</x:t>
        </x:is>
      </x:c>
      <x:c r="F262" s="31" t="inlineStr">
        <x:is>
          <x:t xml:space="preserve">СОТР-076</x:t>
        </x:is>
      </x:c>
      <x:c r="G262" s="31" t="inlineStr">
        <x:is>
          <x:t xml:space="preserve">Счет</x:t>
        </x:is>
      </x:c>
      <x:c r="H262" s="31" t="inlineStr">
        <x:is>
          <x:t xml:space="preserve">СЧ-1106-1</x:t>
        </x:is>
      </x:c>
      <x:c r="I262" s="31" t="inlineStr">
        <x:is>
          <x:t xml:space="preserve">Подготовить акт сверки</x:t>
        </x:is>
      </x:c>
      <x:c r="J262" s="31" t="inlineStr">
        <x:is>
          <x:t xml:space="preserve">Производство</x:t>
        </x:is>
      </x:c>
      <x:c r="K262" s="31" t="n">
        <x:v>0</x:v>
      </x:c>
      <x:c r="L262" s="31" t="inlineStr">
        <x:is>
          <x:t xml:space="preserve">Нет</x:t>
        </x:is>
      </x:c>
      <x:c r="M262" s="31" t="inlineStr">
        <x:is>
          <x:t xml:space="preserve">Нет</x:t>
        </x:is>
      </x:c>
      <x:c r="N262" s="31" t="inlineStr">
        <x:is>
          <x:t xml:space="preserve">Автосоздано правилом/пользователем 7</x:t>
        </x:is>
      </x:c>
    </x:row>
    <x:row r="263" ht="18" customHeight="1">
      <x:c r="A263" s="31" t="inlineStr">
        <x:is>
          <x:t xml:space="preserve">ЗД-00262</x:t>
        </x:is>
      </x:c>
      <x:c r="B263" s="31" t="n">
        <x:v>46179</x:v>
      </x:c>
      <x:c r="C263" s="31" t="n">
        <x:v>46193</x:v>
      </x:c>
      <x:c r="D263" s="31" t="inlineStr">
        <x:is>
          <x:t xml:space="preserve">В работе</x:t>
        </x:is>
      </x:c>
      <x:c r="E263" s="31" t="inlineStr">
        <x:is>
          <x:t xml:space="preserve">Срочный</x:t>
        </x:is>
      </x:c>
      <x:c r="F263" s="31" t="inlineStr">
        <x:is>
          <x:t xml:space="preserve">СОТР-097</x:t>
        </x:is>
      </x:c>
      <x:c r="G263" s="31" t="inlineStr">
        <x:is>
          <x:t xml:space="preserve">Производственное задание</x:t>
        </x:is>
      </x:c>
      <x:c r="H263" s="31" t="inlineStr">
        <x:is>
          <x:t xml:space="preserve">ПЗ-00027</x:t>
        </x:is>
      </x:c>
      <x:c r="I263" s="31" t="inlineStr">
        <x:is>
          <x:t xml:space="preserve">Обновить готовность</x:t>
        </x:is>
      </x:c>
      <x:c r="J263" s="31" t="inlineStr">
        <x:is>
          <x:t xml:space="preserve">Снабжение</x:t>
        </x:is>
      </x:c>
      <x:c r="K263" s="31" t="n">
        <x:v>0</x:v>
      </x:c>
      <x:c r="L263" s="31" t="inlineStr">
        <x:is>
          <x:t xml:space="preserve">Нет</x:t>
        </x:is>
      </x:c>
      <x:c r="M263" s="31" t="inlineStr">
        <x:is>
          <x:t xml:space="preserve">Нет</x:t>
        </x:is>
      </x:c>
      <x:c r="N263" s="31" t="inlineStr">
        <x:is>
          <x:t xml:space="preserve">Автосоздано правилом/пользователем 2</x:t>
        </x:is>
      </x:c>
    </x:row>
    <x:row r="264" ht="18" customHeight="1">
      <x:c r="A264" s="31" t="inlineStr">
        <x:is>
          <x:t xml:space="preserve">ЗД-00263</x:t>
        </x:is>
      </x:c>
      <x:c r="B264" s="31" t="n">
        <x:v>46173</x:v>
      </x:c>
      <x:c r="C264" s="31" t="n">
        <x:v>46175</x:v>
      </x:c>
      <x:c r="D264" s="31" t="inlineStr">
        <x:is>
          <x:t xml:space="preserve">Выполнена</x:t>
        </x:is>
      </x:c>
      <x:c r="E264" s="31" t="inlineStr">
        <x:is>
          <x:t xml:space="preserve">Срочный</x:t>
        </x:is>
      </x:c>
      <x:c r="F264" s="31" t="inlineStr">
        <x:is>
          <x:t xml:space="preserve">СОТР-100</x:t>
        </x:is>
      </x:c>
      <x:c r="G264" s="31" t="inlineStr">
        <x:is>
          <x:t xml:space="preserve">Производственное задание</x:t>
        </x:is>
      </x:c>
      <x:c r="H264" s="31" t="inlineStr">
        <x:is>
          <x:t xml:space="preserve">ПЗ-00240</x:t>
        </x:is>
      </x:c>
      <x:c r="I264" s="31" t="inlineStr">
        <x:is>
          <x:t xml:space="preserve">Проверить дефицит материалов</x:t>
        </x:is>
      </x:c>
      <x:c r="J264" s="31" t="inlineStr">
        <x:is>
          <x:t xml:space="preserve">Сервис</x:t>
        </x:is>
      </x:c>
      <x:c r="K264" s="31" t="n">
        <x:v>0</x:v>
      </x:c>
      <x:c r="L264" s="31" t="inlineStr">
        <x:is>
          <x:t xml:space="preserve">Да</x:t>
        </x:is>
      </x:c>
      <x:c r="M264" s="31" t="inlineStr">
        <x:is>
          <x:t xml:space="preserve">Нет</x:t>
        </x:is>
      </x:c>
      <x:c r="N264" s="31" t="inlineStr">
        <x:is>
          <x:t xml:space="preserve">Автосоздано правилом/пользователем 6</x:t>
        </x:is>
      </x:c>
    </x:row>
    <x:row r="265" ht="18" customHeight="1">
      <x:c r="A265" s="31" t="inlineStr">
        <x:is>
          <x:t xml:space="preserve">ЗД-00264</x:t>
        </x:is>
      </x:c>
      <x:c r="B265" s="31" t="n">
        <x:v>46178</x:v>
      </x:c>
      <x:c r="C265" s="31" t="n">
        <x:v>46192</x:v>
      </x:c>
      <x:c r="D265" s="31" t="inlineStr">
        <x:is>
          <x:t xml:space="preserve">Отменена</x:t>
        </x:is>
      </x:c>
      <x:c r="E265" s="31" t="inlineStr">
        <x:is>
          <x:t xml:space="preserve">Средний</x:t>
        </x:is>
      </x:c>
      <x:c r="F265" s="31" t="inlineStr">
        <x:is>
          <x:t xml:space="preserve">СОТР-092</x:t>
        </x:is>
      </x:c>
      <x:c r="G265" s="31" t="inlineStr">
        <x:is>
          <x:t xml:space="preserve">Производственное задание</x:t>
        </x:is>
      </x:c>
      <x:c r="H265" s="31" t="inlineStr">
        <x:is>
          <x:t xml:space="preserve">ПЗ-00256</x:t>
        </x:is>
      </x:c>
      <x:c r="I265" s="31" t="inlineStr">
        <x:is>
          <x:t xml:space="preserve">Назначить оператора</x:t>
        </x:is>
      </x:c>
      <x:c r="J265" s="31" t="inlineStr">
        <x:is>
          <x:t xml:space="preserve">Снабжение</x:t>
        </x:is>
      </x:c>
      <x:c r="K265" s="31" t="n">
        <x:v>0</x:v>
      </x:c>
      <x:c r="L265" s="31" t="inlineStr">
        <x:is>
          <x:t xml:space="preserve">Нет</x:t>
        </x:is>
      </x:c>
      <x:c r="M265" s="31" t="inlineStr">
        <x:is>
          <x:t xml:space="preserve">Заказчик</x:t>
        </x:is>
      </x:c>
      <x:c r="N265" s="31" t="inlineStr">
        <x:is>
          <x:t xml:space="preserve">Автосоздано правилом/пользователем 11</x:t>
        </x:is>
      </x:c>
    </x:row>
    <x:row r="266" ht="18" customHeight="1">
      <x:c r="A266" s="31" t="inlineStr">
        <x:is>
          <x:t xml:space="preserve">ЗД-00265</x:t>
        </x:is>
      </x:c>
      <x:c r="B266" s="31" t="n">
        <x:v>46131</x:v>
      </x:c>
      <x:c r="C266" s="31" t="n">
        <x:v>46134</x:v>
      </x:c>
      <x:c r="D266" s="31" t="inlineStr">
        <x:is>
          <x:t xml:space="preserve">В работе</x:t>
        </x:is>
      </x:c>
      <x:c r="E266" s="31" t="inlineStr">
        <x:is>
          <x:t xml:space="preserve">Средний</x:t>
        </x:is>
      </x:c>
      <x:c r="F266" s="31" t="inlineStr">
        <x:is>
          <x:t xml:space="preserve">СОТР-096</x:t>
        </x:is>
      </x:c>
      <x:c r="G266" s="31" t="inlineStr">
        <x:is>
          <x:t xml:space="preserve">Производственное задание</x:t>
        </x:is>
      </x:c>
      <x:c r="H266" s="31" t="inlineStr">
        <x:is>
          <x:t xml:space="preserve">ПЗ-00252</x:t>
        </x:is>
      </x:c>
      <x:c r="I266" s="31" t="inlineStr">
        <x:is>
          <x:t xml:space="preserve">Разобрать простой</x:t>
        </x:is>
      </x:c>
      <x:c r="J266" s="31" t="inlineStr">
        <x:is>
          <x:t xml:space="preserve">Снабжение</x:t>
        </x:is>
      </x:c>
      <x:c r="K266" s="31" t="n">
        <x:v>0</x:v>
      </x:c>
      <x:c r="L266" s="31" t="inlineStr">
        <x:is>
          <x:t xml:space="preserve">Нет</x:t>
        </x:is>
      </x:c>
      <x:c r="M266" s="31" t="inlineStr">
        <x:is>
          <x:t xml:space="preserve">Нет</x:t>
        </x:is>
      </x:c>
      <x:c r="N266" s="31" t="inlineStr">
        <x:is>
          <x:t xml:space="preserve">Автосоздано правилом/пользователем 10</x:t>
        </x:is>
      </x:c>
    </x:row>
    <x:row r="267" ht="18" customHeight="1">
      <x:c r="A267" s="31" t="inlineStr">
        <x:is>
          <x:t xml:space="preserve">ЗД-00266</x:t>
        </x:is>
      </x:c>
      <x:c r="B267" s="31" t="n">
        <x:v>46157</x:v>
      </x:c>
      <x:c r="C267" s="31" t="n">
        <x:v>46162</x:v>
      </x:c>
      <x:c r="D267" s="31" t="inlineStr">
        <x:is>
          <x:t xml:space="preserve">Новая</x:t>
        </x:is>
      </x:c>
      <x:c r="E267" s="31" t="inlineStr">
        <x:is>
          <x:t xml:space="preserve">Средний</x:t>
        </x:is>
      </x:c>
      <x:c r="F267" s="31" t="inlineStr">
        <x:is>
          <x:t xml:space="preserve">СОТР-095</x:t>
        </x:is>
      </x:c>
      <x:c r="G267" s="31" t="inlineStr">
        <x:is>
          <x:t xml:space="preserve">Производственное задание</x:t>
        </x:is>
      </x:c>
      <x:c r="H267" s="31" t="inlineStr">
        <x:is>
          <x:t xml:space="preserve">ПЗ-00186</x:t>
        </x:is>
      </x:c>
      <x:c r="I267" s="31" t="inlineStr">
        <x:is>
          <x:t xml:space="preserve">Проверить дефицит материалов</x:t>
        </x:is>
      </x:c>
      <x:c r="J267" s="31" t="inlineStr">
        <x:is>
          <x:t xml:space="preserve">Производство</x:t>
        </x:is>
      </x:c>
      <x:c r="K267" s="31" t="n">
        <x:v>0</x:v>
      </x:c>
      <x:c r="L267" s="31" t="inlineStr">
        <x:is>
          <x:t xml:space="preserve">Да</x:t>
        </x:is>
      </x:c>
      <x:c r="M267" s="31" t="inlineStr">
        <x:is>
          <x:t xml:space="preserve">Нет</x:t>
        </x:is>
      </x:c>
      <x:c r="N267" s="31" t="inlineStr">
        <x:is>
          <x:t xml:space="preserve">Автосоздано правилом/пользователем 10</x:t>
        </x:is>
      </x:c>
    </x:row>
    <x:row r="268" ht="18" customHeight="1">
      <x:c r="A268" s="31" t="inlineStr">
        <x:is>
          <x:t xml:space="preserve">ЗД-00267</x:t>
        </x:is>
      </x:c>
      <x:c r="B268" s="31" t="n">
        <x:v>46183</x:v>
      </x:c>
      <x:c r="C268" s="31" t="n">
        <x:v>46190</x:v>
      </x:c>
      <x:c r="D268" s="31" t="inlineStr">
        <x:is>
          <x:t xml:space="preserve">Новая</x:t>
        </x:is>
      </x:c>
      <x:c r="E268" s="31" t="inlineStr">
        <x:is>
          <x:t xml:space="preserve">Средний</x:t>
        </x:is>
      </x:c>
      <x:c r="F268" s="31" t="inlineStr">
        <x:is>
          <x:t xml:space="preserve">СОТР-044</x:t>
        </x:is>
      </x:c>
      <x:c r="G268" s="31" t="inlineStr">
        <x:is>
          <x:t xml:space="preserve">ОТК</x:t>
        </x:is>
      </x:c>
      <x:c r="H268" s="31" t="inlineStr">
        <x:is>
          <x:t xml:space="preserve">ОТК-00156</x:t>
        </x:is>
      </x:c>
      <x:c r="I268" s="31" t="inlineStr">
        <x:is>
          <x:t xml:space="preserve">Согласовать приемку с замечаниями</x:t>
        </x:is>
      </x:c>
      <x:c r="J268" s="31" t="inlineStr">
        <x:is>
          <x:t xml:space="preserve">Сервис</x:t>
        </x:is>
      </x:c>
      <x:c r="K268" s="31" t="n">
        <x:v>0</x:v>
      </x:c>
      <x:c r="L268" s="31" t="inlineStr">
        <x:is>
          <x:t xml:space="preserve">Да</x:t>
        </x:is>
      </x:c>
      <x:c r="M268" s="31" t="inlineStr">
        <x:is>
          <x:t xml:space="preserve">Нет</x:t>
        </x:is>
      </x:c>
      <x:c r="N268" s="31" t="inlineStr">
        <x:is>
          <x:t xml:space="preserve">Автосоздано правилом/пользователем 5</x:t>
        </x:is>
      </x:c>
    </x:row>
    <x:row r="269" ht="18" customHeight="1">
      <x:c r="A269" s="31" t="inlineStr">
        <x:is>
          <x:t xml:space="preserve">ЗД-00268</x:t>
        </x:is>
      </x:c>
      <x:c r="B269" s="31" t="n">
        <x:v>46156</x:v>
      </x:c>
      <x:c r="C269" s="31" t="n">
        <x:v>46158</x:v>
      </x:c>
      <x:c r="D269" s="31" t="inlineStr">
        <x:is>
          <x:t xml:space="preserve">Просрочена</x:t>
        </x:is>
      </x:c>
      <x:c r="E269" s="31" t="inlineStr">
        <x:is>
          <x:t xml:space="preserve">Средний</x:t>
        </x:is>
      </x:c>
      <x:c r="F269" s="31" t="inlineStr">
        <x:is>
          <x:t xml:space="preserve">СОТР-093</x:t>
        </x:is>
      </x:c>
      <x:c r="G269" s="31" t="inlineStr">
        <x:is>
          <x:t xml:space="preserve">Производственное задание</x:t>
        </x:is>
      </x:c>
      <x:c r="H269" s="31" t="inlineStr">
        <x:is>
          <x:t xml:space="preserve">ПЗ-00062</x:t>
        </x:is>
      </x:c>
      <x:c r="I269" s="31" t="inlineStr">
        <x:is>
          <x:t xml:space="preserve">Закрыть сменный факт</x:t>
        </x:is>
      </x:c>
      <x:c r="J269" s="31" t="inlineStr">
        <x:is>
          <x:t xml:space="preserve">Продажи</x:t>
        </x:is>
      </x:c>
      <x:c r="K269" s="31" t="n">
        <x:v>27</x:v>
      </x:c>
      <x:c r="L269" s="31" t="inlineStr">
        <x:is>
          <x:t xml:space="preserve">Нет</x:t>
        </x:is>
      </x:c>
      <x:c r="M269" s="31" t="inlineStr">
        <x:is>
          <x:t xml:space="preserve">Нет</x:t>
        </x:is>
      </x:c>
      <x:c r="N269" s="31" t="inlineStr">
        <x:is>
          <x:t xml:space="preserve">Автосоздано правилом/пользователем 3</x:t>
        </x:is>
      </x:c>
    </x:row>
    <x:row r="270" ht="18" customHeight="1">
      <x:c r="A270" s="31" t="inlineStr">
        <x:is>
          <x:t xml:space="preserve">ЗД-00269</x:t>
        </x:is>
      </x:c>
      <x:c r="B270" s="31" t="n">
        <x:v>46161</x:v>
      </x:c>
      <x:c r="C270" s="31" t="n">
        <x:v>46171</x:v>
      </x:c>
      <x:c r="D270" s="31" t="inlineStr">
        <x:is>
          <x:t xml:space="preserve">Выполнена</x:t>
        </x:is>
      </x:c>
      <x:c r="E270" s="31" t="inlineStr">
        <x:is>
          <x:t xml:space="preserve">Низкий</x:t>
        </x:is>
      </x:c>
      <x:c r="F270" s="31" t="inlineStr">
        <x:is>
          <x:t xml:space="preserve">СОТР-097</x:t>
        </x:is>
      </x:c>
      <x:c r="G270" s="31" t="inlineStr">
        <x:is>
          <x:t xml:space="preserve">Производственное задание</x:t>
        </x:is>
      </x:c>
      <x:c r="H270" s="31" t="inlineStr">
        <x:is>
          <x:t xml:space="preserve">ПЗ-00111</x:t>
        </x:is>
      </x:c>
      <x:c r="I270" s="31" t="inlineStr">
        <x:is>
          <x:t xml:space="preserve">Проверить дефицит материалов</x:t>
        </x:is>
      </x:c>
      <x:c r="J270" s="31" t="inlineStr">
        <x:is>
          <x:t xml:space="preserve">Сервис</x:t>
        </x:is>
      </x:c>
      <x:c r="K270" s="31" t="n">
        <x:v>0</x:v>
      </x:c>
      <x:c r="L270" s="31" t="inlineStr">
        <x:is>
          <x:t xml:space="preserve">Нет</x:t>
        </x:is>
      </x:c>
      <x:c r="M270" s="31" t="inlineStr">
        <x:is>
          <x:t xml:space="preserve">Нет</x:t>
        </x:is>
      </x:c>
      <x:c r="N270" s="31" t="inlineStr">
        <x:is>
          <x:t xml:space="preserve">Автосоздано правилом/пользователем 9</x:t>
        </x:is>
      </x:c>
    </x:row>
    <x:row r="271" ht="18" customHeight="1">
      <x:c r="A271" s="31" t="inlineStr">
        <x:is>
          <x:t xml:space="preserve">ЗД-00270</x:t>
        </x:is>
      </x:c>
      <x:c r="B271" s="31" t="n">
        <x:v>46152</x:v>
      </x:c>
      <x:c r="C271" s="31" t="n">
        <x:v>46155</x:v>
      </x:c>
      <x:c r="D271" s="31" t="inlineStr">
        <x:is>
          <x:t xml:space="preserve">Выполнена</x:t>
        </x:is>
      </x:c>
      <x:c r="E271" s="31" t="inlineStr">
        <x:is>
          <x:t xml:space="preserve">Средний</x:t>
        </x:is>
      </x:c>
      <x:c r="F271" s="31" t="inlineStr">
        <x:is>
          <x:t xml:space="preserve">СОТР-096</x:t>
        </x:is>
      </x:c>
      <x:c r="G271" s="31" t="inlineStr">
        <x:is>
          <x:t xml:space="preserve">Производственное задание</x:t>
        </x:is>
      </x:c>
      <x:c r="H271" s="31" t="inlineStr">
        <x:is>
          <x:t xml:space="preserve">ПЗ-00120</x:t>
        </x:is>
      </x:c>
      <x:c r="I271" s="31" t="inlineStr">
        <x:is>
          <x:t xml:space="preserve">Обновить готовность</x:t>
        </x:is>
      </x:c>
      <x:c r="J271" s="31" t="inlineStr">
        <x:is>
          <x:t xml:space="preserve">Сервис</x:t>
        </x:is>
      </x:c>
      <x:c r="K271" s="31" t="n">
        <x:v>0</x:v>
      </x:c>
      <x:c r="L271" s="31" t="inlineStr">
        <x:is>
          <x:t xml:space="preserve">Нет</x:t>
        </x:is>
      </x:c>
      <x:c r="M271" s="31" t="inlineStr">
        <x:is>
          <x:t xml:space="preserve">Нет</x:t>
        </x:is>
      </x:c>
      <x:c r="N271" s="31" t="inlineStr">
        <x:is>
          <x:t xml:space="preserve">Автосоздано правилом/пользователем 7</x:t>
        </x:is>
      </x:c>
    </x:row>
    <x:row r="272" ht="18" customHeight="1">
      <x:c r="A272" s="31" t="inlineStr">
        <x:is>
          <x:t xml:space="preserve">ЗД-00271</x:t>
        </x:is>
      </x:c>
      <x:c r="B272" s="31" t="n">
        <x:v>46162</x:v>
      </x:c>
      <x:c r="C272" s="31" t="n">
        <x:v>46169</x:v>
      </x:c>
      <x:c r="D272" s="31" t="inlineStr">
        <x:is>
          <x:t xml:space="preserve">В работе</x:t>
        </x:is>
      </x:c>
      <x:c r="E272" s="31" t="inlineStr">
        <x:is>
          <x:t xml:space="preserve">Высокий</x:t>
        </x:is>
      </x:c>
      <x:c r="F272" s="31" t="inlineStr">
        <x:is>
          <x:t xml:space="preserve">СОТР-095</x:t>
        </x:is>
      </x:c>
      <x:c r="G272" s="31" t="inlineStr">
        <x:is>
          <x:t xml:space="preserve">Производственное задание</x:t>
        </x:is>
      </x:c>
      <x:c r="H272" s="31" t="inlineStr">
        <x:is>
          <x:t xml:space="preserve">ПЗ-00093</x:t>
        </x:is>
      </x:c>
      <x:c r="I272" s="31" t="inlineStr">
        <x:is>
          <x:t xml:space="preserve">Разобрать простой</x:t>
        </x:is>
      </x:c>
      <x:c r="J272" s="31" t="inlineStr">
        <x:is>
          <x:t xml:space="preserve">Производство</x:t>
        </x:is>
      </x:c>
      <x:c r="K272" s="31" t="n">
        <x:v>0</x:v>
      </x:c>
      <x:c r="L272" s="31" t="inlineStr">
        <x:is>
          <x:t xml:space="preserve">Нет</x:t>
        </x:is>
      </x:c>
      <x:c r="M272" s="31" t="inlineStr">
        <x:is>
          <x:t xml:space="preserve">Поставщик</x:t>
        </x:is>
      </x:c>
      <x:c r="N272" s="31" t="inlineStr">
        <x:is>
          <x:t xml:space="preserve">Автосоздано правилом/пользователем 7</x:t>
        </x:is>
      </x:c>
    </x:row>
    <x:row r="273" ht="18" customHeight="1">
      <x:c r="A273" s="31" t="inlineStr">
        <x:is>
          <x:t xml:space="preserve">ЗД-00272</x:t>
        </x:is>
      </x:c>
      <x:c r="B273" s="31" t="n">
        <x:v>46143</x:v>
      </x:c>
      <x:c r="C273" s="31" t="n">
        <x:v>46150</x:v>
      </x:c>
      <x:c r="D273" s="31" t="inlineStr">
        <x:is>
          <x:t xml:space="preserve">Просрочена</x:t>
        </x:is>
      </x:c>
      <x:c r="E273" s="31" t="inlineStr">
        <x:is>
          <x:t xml:space="preserve">Средний</x:t>
        </x:is>
      </x:c>
      <x:c r="F273" s="31" t="inlineStr">
        <x:is>
          <x:t xml:space="preserve">СОТР-005</x:t>
        </x:is>
      </x:c>
      <x:c r="G273" s="31" t="inlineStr">
        <x:is>
          <x:t xml:space="preserve">Счет</x:t>
        </x:is>
      </x:c>
      <x:c r="H273" s="31" t="inlineStr">
        <x:is>
          <x:t xml:space="preserve">СЧ-1030-1</x:t>
        </x:is>
      </x:c>
      <x:c r="I273" s="31" t="inlineStr">
        <x:is>
          <x:t xml:space="preserve">Согласовать отгрузку при ДЗ</x:t>
        </x:is>
      </x:c>
      <x:c r="J273" s="31" t="inlineStr">
        <x:is>
          <x:t xml:space="preserve">Сервис</x:t>
        </x:is>
      </x:c>
      <x:c r="K273" s="31" t="n">
        <x:v>35</x:v>
      </x:c>
      <x:c r="L273" s="31" t="inlineStr">
        <x:is>
          <x:t xml:space="preserve">Нет</x:t>
        </x:is>
      </x:c>
      <x:c r="M273" s="31" t="inlineStr">
        <x:is>
          <x:t xml:space="preserve">Нет</x:t>
        </x:is>
      </x:c>
      <x:c r="N273" s="31" t="inlineStr">
        <x:is>
          <x:t xml:space="preserve">Автосоздано правилом/пользователем 2</x:t>
        </x:is>
      </x:c>
    </x:row>
    <x:row r="274" ht="18" customHeight="1">
      <x:c r="A274" s="31" t="inlineStr">
        <x:is>
          <x:t xml:space="preserve">ЗД-00273</x:t>
        </x:is>
      </x:c>
      <x:c r="B274" s="31" t="n">
        <x:v>46138</x:v>
      </x:c>
      <x:c r="C274" s="31" t="n">
        <x:v>46152</x:v>
      </x:c>
      <x:c r="D274" s="31" t="inlineStr">
        <x:is>
          <x:t xml:space="preserve">Выполнена</x:t>
        </x:is>
      </x:c>
      <x:c r="E274" s="31" t="inlineStr">
        <x:is>
          <x:t xml:space="preserve">Срочный</x:t>
        </x:is>
      </x:c>
      <x:c r="F274" s="31" t="inlineStr">
        <x:is>
          <x:t xml:space="preserve">СОТР-100</x:t>
        </x:is>
      </x:c>
      <x:c r="G274" s="31" t="inlineStr">
        <x:is>
          <x:t xml:space="preserve">Производственное задание</x:t>
        </x:is>
      </x:c>
      <x:c r="H274" s="31" t="inlineStr">
        <x:is>
          <x:t xml:space="preserve">ПЗ-00206</x:t>
        </x:is>
      </x:c>
      <x:c r="I274" s="31" t="inlineStr">
        <x:is>
          <x:t xml:space="preserve">Назначить оператора</x:t>
        </x:is>
      </x:c>
      <x:c r="J274" s="31" t="inlineStr">
        <x:is>
          <x:t xml:space="preserve">Производство</x:t>
        </x:is>
      </x:c>
      <x:c r="K274" s="31" t="n">
        <x:v>0</x:v>
      </x:c>
      <x:c r="L274" s="31" t="inlineStr">
        <x:is>
          <x:t xml:space="preserve">Нет</x:t>
        </x:is>
      </x:c>
      <x:c r="M274" s="31" t="inlineStr">
        <x:is>
          <x:t xml:space="preserve">Руководитель</x:t>
        </x:is>
      </x:c>
      <x:c r="N274" s="31" t="inlineStr">
        <x:is>
          <x:t xml:space="preserve">Автосоздано правилом/пользователем 12</x:t>
        </x:is>
      </x:c>
    </x:row>
    <x:row r="275" ht="18" customHeight="1">
      <x:c r="A275" s="31" t="inlineStr">
        <x:is>
          <x:t xml:space="preserve">ЗД-00274</x:t>
        </x:is>
      </x:c>
      <x:c r="B275" s="31" t="n">
        <x:v>46172</x:v>
      </x:c>
      <x:c r="C275" s="31" t="n">
        <x:v>46179</x:v>
      </x:c>
      <x:c r="D275" s="31" t="inlineStr">
        <x:is>
          <x:t xml:space="preserve">Ожидает ответа</x:t>
        </x:is>
      </x:c>
      <x:c r="E275" s="31" t="inlineStr">
        <x:is>
          <x:t xml:space="preserve">Средний</x:t>
        </x:is>
      </x:c>
      <x:c r="F275" s="31" t="inlineStr">
        <x:is>
          <x:t xml:space="preserve">СОТР-092</x:t>
        </x:is>
      </x:c>
      <x:c r="G275" s="31" t="inlineStr">
        <x:is>
          <x:t xml:space="preserve">Производственное задание</x:t>
        </x:is>
      </x:c>
      <x:c r="H275" s="31" t="inlineStr">
        <x:is>
          <x:t xml:space="preserve">ПЗ-00212</x:t>
        </x:is>
      </x:c>
      <x:c r="I275" s="31" t="inlineStr">
        <x:is>
          <x:t xml:space="preserve">Назначить оператора</x:t>
        </x:is>
      </x:c>
      <x:c r="J275" s="31" t="inlineStr">
        <x:is>
          <x:t xml:space="preserve">Снабжение</x:t>
        </x:is>
      </x:c>
      <x:c r="K275" s="31" t="n">
        <x:v>0</x:v>
      </x:c>
      <x:c r="L275" s="31" t="inlineStr">
        <x:is>
          <x:t xml:space="preserve">Нет</x:t>
        </x:is>
      </x:c>
      <x:c r="M275" s="31" t="inlineStr">
        <x:is>
          <x:t xml:space="preserve">Нет</x:t>
        </x:is>
      </x:c>
      <x:c r="N275" s="31" t="inlineStr">
        <x:is>
          <x:t xml:space="preserve">Автосоздано правилом/пользователем 5</x:t>
        </x:is>
      </x:c>
    </x:row>
    <x:row r="276" ht="18" customHeight="1">
      <x:c r="A276" s="31" t="inlineStr">
        <x:is>
          <x:t xml:space="preserve">ЗД-00275</x:t>
        </x:is>
      </x:c>
      <x:c r="B276" s="31" t="n">
        <x:v>46171</x:v>
      </x:c>
      <x:c r="C276" s="31" t="n">
        <x:v>46174</x:v>
      </x:c>
      <x:c r="D276" s="31" t="inlineStr">
        <x:is>
          <x:t xml:space="preserve">Просрочена</x:t>
        </x:is>
      </x:c>
      <x:c r="E276" s="31" t="inlineStr">
        <x:is>
          <x:t xml:space="preserve">Срочный</x:t>
        </x:is>
      </x:c>
      <x:c r="F276" s="31" t="inlineStr">
        <x:is>
          <x:t xml:space="preserve">СОТР-112</x:t>
        </x:is>
      </x:c>
      <x:c r="G276" s="31" t="inlineStr">
        <x:is>
          <x:t xml:space="preserve">Закупка</x:t>
        </x:is>
      </x:c>
      <x:c r="H276" s="31" t="inlineStr">
        <x:is>
          <x:t xml:space="preserve">ЗЗ-00007</x:t>
        </x:is>
      </x:c>
      <x:c r="I276" s="31" t="inlineStr">
        <x:is>
          <x:t xml:space="preserve">Запросить срок поставки</x:t>
        </x:is>
      </x:c>
      <x:c r="J276" s="31" t="inlineStr">
        <x:is>
          <x:t xml:space="preserve">Сервис</x:t>
        </x:is>
      </x:c>
      <x:c r="K276" s="31" t="n">
        <x:v>11</x:v>
      </x:c>
      <x:c r="L276" s="31" t="inlineStr">
        <x:is>
          <x:t xml:space="preserve">Да</x:t>
        </x:is>
      </x:c>
      <x:c r="M276" s="31" t="inlineStr">
        <x:is>
          <x:t xml:space="preserve">Нет</x:t>
        </x:is>
      </x:c>
      <x:c r="N276" s="31" t="inlineStr">
        <x:is>
          <x:t xml:space="preserve">Автосоздано правилом/пользователем 10</x:t>
        </x:is>
      </x:c>
    </x:row>
    <x:row r="277" ht="18" customHeight="1">
      <x:c r="A277" s="31" t="inlineStr">
        <x:is>
          <x:t xml:space="preserve">ЗД-00276</x:t>
        </x:is>
      </x:c>
      <x:c r="B277" s="31" t="n">
        <x:v>46153</x:v>
      </x:c>
      <x:c r="C277" s="31" t="n">
        <x:v>46154</x:v>
      </x:c>
      <x:c r="D277" s="31" t="inlineStr">
        <x:is>
          <x:t xml:space="preserve">Просрочена</x:t>
        </x:is>
      </x:c>
      <x:c r="E277" s="31" t="inlineStr">
        <x:is>
          <x:t xml:space="preserve">Высокий</x:t>
        </x:is>
      </x:c>
      <x:c r="F277" s="31" t="inlineStr">
        <x:is>
          <x:t xml:space="preserve">СОТР-093</x:t>
        </x:is>
      </x:c>
      <x:c r="G277" s="31" t="inlineStr">
        <x:is>
          <x:t xml:space="preserve">ОТК</x:t>
        </x:is>
      </x:c>
      <x:c r="H277" s="31" t="inlineStr">
        <x:is>
          <x:t xml:space="preserve">ОТК-00080</x:t>
        </x:is>
      </x:c>
      <x:c r="I277" s="31" t="inlineStr">
        <x:is>
          <x:t xml:space="preserve">Согласовать приемку с замечаниями</x:t>
        </x:is>
      </x:c>
      <x:c r="J277" s="31" t="inlineStr">
        <x:is>
          <x:t xml:space="preserve">Сервис</x:t>
        </x:is>
      </x:c>
      <x:c r="K277" s="31" t="n">
        <x:v>31</x:v>
      </x:c>
      <x:c r="L277" s="31" t="inlineStr">
        <x:is>
          <x:t xml:space="preserve">Нет</x:t>
        </x:is>
      </x:c>
      <x:c r="M277" s="31" t="inlineStr">
        <x:is>
          <x:t xml:space="preserve">Нет</x:t>
        </x:is>
      </x:c>
      <x:c r="N277" s="31" t="inlineStr">
        <x:is>
          <x:t xml:space="preserve">Автосоздано правилом/пользователем 7</x:t>
        </x:is>
      </x:c>
    </x:row>
    <x:row r="278" ht="18" customHeight="1">
      <x:c r="A278" s="31" t="inlineStr">
        <x:is>
          <x:t xml:space="preserve">ЗД-00277</x:t>
        </x:is>
      </x:c>
      <x:c r="B278" s="31" t="n">
        <x:v>46115</x:v>
      </x:c>
      <x:c r="C278" s="31" t="n">
        <x:v>46118</x:v>
      </x:c>
      <x:c r="D278" s="31" t="inlineStr">
        <x:is>
          <x:t xml:space="preserve">В работе</x:t>
        </x:is>
      </x:c>
      <x:c r="E278" s="31" t="inlineStr">
        <x:is>
          <x:t xml:space="preserve">Средний</x:t>
        </x:is>
      </x:c>
      <x:c r="F278" s="31" t="inlineStr">
        <x:is>
          <x:t xml:space="preserve">СОТР-076</x:t>
        </x:is>
      </x:c>
      <x:c r="G278" s="31" t="inlineStr">
        <x:is>
          <x:t xml:space="preserve">Счет</x:t>
        </x:is>
      </x:c>
      <x:c r="H278" s="31" t="inlineStr">
        <x:is>
          <x:t xml:space="preserve">СЧ-1005-2</x:t>
        </x:is>
      </x:c>
      <x:c r="I278" s="31" t="inlineStr">
        <x:is>
          <x:t xml:space="preserve">Проверить оплату</x:t>
        </x:is>
      </x:c>
      <x:c r="J278" s="31" t="inlineStr">
        <x:is>
          <x:t xml:space="preserve">Финансы</x:t>
        </x:is>
      </x:c>
      <x:c r="K278" s="31" t="n">
        <x:v>0</x:v>
      </x:c>
      <x:c r="L278" s="31" t="inlineStr">
        <x:is>
          <x:t xml:space="preserve">Нет</x:t>
        </x:is>
      </x:c>
      <x:c r="M278" s="31" t="inlineStr">
        <x:is>
          <x:t xml:space="preserve">Нет</x:t>
        </x:is>
      </x:c>
      <x:c r="N278" s="31" t="inlineStr">
        <x:is>
          <x:t xml:space="preserve">Автосоздано правилом/пользователем 8</x:t>
        </x:is>
      </x:c>
    </x:row>
    <x:row r="279" ht="18" customHeight="1">
      <x:c r="A279" s="31" t="inlineStr">
        <x:is>
          <x:t xml:space="preserve">ЗД-00278</x:t>
        </x:is>
      </x:c>
      <x:c r="B279" s="31" t="n">
        <x:v>46139</x:v>
      </x:c>
      <x:c r="C279" s="31" t="n">
        <x:v>46146</x:v>
      </x:c>
      <x:c r="D279" s="31" t="inlineStr">
        <x:is>
          <x:t xml:space="preserve">Просрочена</x:t>
        </x:is>
      </x:c>
      <x:c r="E279" s="31" t="inlineStr">
        <x:is>
          <x:t xml:space="preserve">Средний</x:t>
        </x:is>
      </x:c>
      <x:c r="F279" s="31" t="inlineStr">
        <x:is>
          <x:t xml:space="preserve">СОТР-076</x:t>
        </x:is>
      </x:c>
      <x:c r="G279" s="31" t="inlineStr">
        <x:is>
          <x:t xml:space="preserve">Счет</x:t>
        </x:is>
      </x:c>
      <x:c r="H279" s="31" t="inlineStr">
        <x:is>
          <x:t xml:space="preserve">СЧ-1103-1</x:t>
        </x:is>
      </x:c>
      <x:c r="I279" s="31" t="inlineStr">
        <x:is>
          <x:t xml:space="preserve">Проверить оплату</x:t>
        </x:is>
      </x:c>
      <x:c r="J279" s="31" t="inlineStr">
        <x:is>
          <x:t xml:space="preserve">Финансы</x:t>
        </x:is>
      </x:c>
      <x:c r="K279" s="31" t="n">
        <x:v>39</x:v>
      </x:c>
      <x:c r="L279" s="31" t="inlineStr">
        <x:is>
          <x:t xml:space="preserve">Да</x:t>
        </x:is>
      </x:c>
      <x:c r="M279" s="31" t="inlineStr">
        <x:is>
          <x:t xml:space="preserve">Поставщик</x:t>
        </x:is>
      </x:c>
      <x:c r="N279" s="31" t="inlineStr">
        <x:is>
          <x:t xml:space="preserve">Автосоздано правилом/пользователем 3</x:t>
        </x:is>
      </x:c>
    </x:row>
    <x:row r="280" ht="18" customHeight="1">
      <x:c r="A280" s="31" t="inlineStr">
        <x:is>
          <x:t xml:space="preserve">ЗД-00279</x:t>
        </x:is>
      </x:c>
      <x:c r="B280" s="31" t="n">
        <x:v>46172</x:v>
      </x:c>
      <x:c r="C280" s="31" t="n">
        <x:v>46186</x:v>
      </x:c>
      <x:c r="D280" s="31" t="inlineStr">
        <x:is>
          <x:t xml:space="preserve">В работе</x:t>
        </x:is>
      </x:c>
      <x:c r="E280" s="31" t="inlineStr">
        <x:is>
          <x:t xml:space="preserve">Средний</x:t>
        </x:is>
      </x:c>
      <x:c r="F280" s="31" t="inlineStr">
        <x:is>
          <x:t xml:space="preserve">СОТР-067</x:t>
        </x:is>
      </x:c>
      <x:c r="G280" s="31" t="inlineStr">
        <x:is>
          <x:t xml:space="preserve">Производственное задание</x:t>
        </x:is>
      </x:c>
      <x:c r="H280" s="31" t="inlineStr">
        <x:is>
          <x:t xml:space="preserve">ПЗ-00109</x:t>
        </x:is>
      </x:c>
      <x:c r="I280" s="31" t="inlineStr">
        <x:is>
          <x:t xml:space="preserve">Разобрать простой</x:t>
        </x:is>
      </x:c>
      <x:c r="J280" s="31" t="inlineStr">
        <x:is>
          <x:t xml:space="preserve">Сервис</x:t>
        </x:is>
      </x:c>
      <x:c r="K280" s="31" t="n">
        <x:v>0</x:v>
      </x:c>
      <x:c r="L280" s="31" t="inlineStr">
        <x:is>
          <x:t xml:space="preserve">Нет</x:t>
        </x:is>
      </x:c>
      <x:c r="M280" s="31" t="inlineStr">
        <x:is>
          <x:t xml:space="preserve">Нет</x:t>
        </x:is>
      </x:c>
      <x:c r="N280" s="31" t="inlineStr">
        <x:is>
          <x:t xml:space="preserve">Автосоздано правилом/пользователем 11</x:t>
        </x:is>
      </x:c>
    </x:row>
    <x:row r="281" ht="18" customHeight="1">
      <x:c r="A281" s="31" t="inlineStr">
        <x:is>
          <x:t xml:space="preserve">ЗД-00280</x:t>
        </x:is>
      </x:c>
      <x:c r="B281" s="31" t="n">
        <x:v>46135</x:v>
      </x:c>
      <x:c r="C281" s="31" t="n">
        <x:v>46136</x:v>
      </x:c>
      <x:c r="D281" s="31" t="inlineStr">
        <x:is>
          <x:t xml:space="preserve">В работе</x:t>
        </x:is>
      </x:c>
      <x:c r="E281" s="31" t="inlineStr">
        <x:is>
          <x:t xml:space="preserve">Средний</x:t>
        </x:is>
      </x:c>
      <x:c r="F281" s="31" t="inlineStr">
        <x:is>
          <x:t xml:space="preserve">СОТР-004</x:t>
        </x:is>
      </x:c>
      <x:c r="G281" s="31" t="inlineStr">
        <x:is>
          <x:t xml:space="preserve">Заказ</x:t>
        </x:is>
      </x:c>
      <x:c r="H281" s="31" t="inlineStr">
        <x:is>
          <x:t xml:space="preserve">ЗК-1111</x:t>
        </x:is>
      </x:c>
      <x:c r="I281" s="31" t="inlineStr">
        <x:is>
          <x:t xml:space="preserve">Согласовать скидку</x:t>
        </x:is>
      </x:c>
      <x:c r="J281" s="31" t="inlineStr">
        <x:is>
          <x:t xml:space="preserve">Производство</x:t>
        </x:is>
      </x:c>
      <x:c r="K281" s="31" t="n">
        <x:v>0</x:v>
      </x:c>
      <x:c r="L281" s="31" t="inlineStr">
        <x:is>
          <x:t xml:space="preserve">Нет</x:t>
        </x:is>
      </x:c>
      <x:c r="M281" s="31" t="inlineStr">
        <x:is>
          <x:t xml:space="preserve">Нет</x:t>
        </x:is>
      </x:c>
      <x:c r="N281" s="31" t="inlineStr">
        <x:is>
          <x:t xml:space="preserve">Автосоздано правилом/пользователем 1</x:t>
        </x:is>
      </x:c>
    </x:row>
    <x:row r="282" ht="18" customHeight="1">
      <x:c r="A282" s="31" t="inlineStr">
        <x:is>
          <x:t xml:space="preserve">ЗД-00281</x:t>
        </x:is>
      </x:c>
      <x:c r="B282" s="31" t="n">
        <x:v>46159</x:v>
      </x:c>
      <x:c r="C282" s="31" t="n">
        <x:v>46161</x:v>
      </x:c>
      <x:c r="D282" s="31" t="inlineStr">
        <x:is>
          <x:t xml:space="preserve">Просрочена</x:t>
        </x:is>
      </x:c>
      <x:c r="E282" s="31" t="inlineStr">
        <x:is>
          <x:t xml:space="preserve">Средний</x:t>
        </x:is>
      </x:c>
      <x:c r="F282" s="31" t="inlineStr">
        <x:is>
          <x:t xml:space="preserve">СОТР-099</x:t>
        </x:is>
      </x:c>
      <x:c r="G282" s="31" t="inlineStr">
        <x:is>
          <x:t xml:space="preserve">ОТК</x:t>
        </x:is>
      </x:c>
      <x:c r="H282" s="31" t="inlineStr">
        <x:is>
          <x:t xml:space="preserve">ОТК-00082</x:t>
        </x:is>
      </x:c>
      <x:c r="I282" s="31" t="inlineStr">
        <x:is>
          <x:t xml:space="preserve">Оформить корректирующие действия</x:t>
        </x:is>
      </x:c>
      <x:c r="J282" s="31" t="inlineStr">
        <x:is>
          <x:t xml:space="preserve">Финансы</x:t>
        </x:is>
      </x:c>
      <x:c r="K282" s="31" t="n">
        <x:v>24</x:v>
      </x:c>
      <x:c r="L282" s="31" t="inlineStr">
        <x:is>
          <x:t xml:space="preserve">Да</x:t>
        </x:is>
      </x:c>
      <x:c r="M282" s="31" t="inlineStr">
        <x:is>
          <x:t xml:space="preserve">Нет</x:t>
        </x:is>
      </x:c>
      <x:c r="N282" s="31" t="inlineStr">
        <x:is>
          <x:t xml:space="preserve">Автосоздано правилом/пользователем 2</x:t>
        </x:is>
      </x:c>
    </x:row>
    <x:row r="283" ht="18" customHeight="1">
      <x:c r="A283" s="31" t="inlineStr">
        <x:is>
          <x:t xml:space="preserve">ЗД-00282</x:t>
        </x:is>
      </x:c>
      <x:c r="B283" s="31" t="n">
        <x:v>46123</x:v>
      </x:c>
      <x:c r="C283" s="31" t="n">
        <x:v>46130</x:v>
      </x:c>
      <x:c r="D283" s="31" t="inlineStr">
        <x:is>
          <x:t xml:space="preserve">Просрочена</x:t>
        </x:is>
      </x:c>
      <x:c r="E283" s="31" t="inlineStr">
        <x:is>
          <x:t xml:space="preserve">Средний</x:t>
        </x:is>
      </x:c>
      <x:c r="F283" s="31" t="inlineStr">
        <x:is>
          <x:t xml:space="preserve">СОТР-009</x:t>
        </x:is>
      </x:c>
      <x:c r="G283" s="31" t="inlineStr">
        <x:is>
          <x:t xml:space="preserve">Счет</x:t>
        </x:is>
      </x:c>
      <x:c r="H283" s="31" t="inlineStr">
        <x:is>
          <x:t xml:space="preserve">СЧ-1057-1</x:t>
        </x:is>
      </x:c>
      <x:c r="I283" s="31" t="inlineStr">
        <x:is>
          <x:t xml:space="preserve">Проверить оплату</x:t>
        </x:is>
      </x:c>
      <x:c r="J283" s="31" t="inlineStr">
        <x:is>
          <x:t xml:space="preserve">Производство</x:t>
        </x:is>
      </x:c>
      <x:c r="K283" s="31" t="n">
        <x:v>55</x:v>
      </x:c>
      <x:c r="L283" s="31" t="inlineStr">
        <x:is>
          <x:t xml:space="preserve">Нет</x:t>
        </x:is>
      </x:c>
      <x:c r="M283" s="31" t="inlineStr">
        <x:is>
          <x:t xml:space="preserve">Нет</x:t>
        </x:is>
      </x:c>
      <x:c r="N283" s="31" t="inlineStr">
        <x:is>
          <x:t xml:space="preserve">Автосоздано правилом/пользователем 10</x:t>
        </x:is>
      </x:c>
    </x:row>
    <x:row r="284" ht="18" customHeight="1">
      <x:c r="A284" s="31" t="inlineStr">
        <x:is>
          <x:t xml:space="preserve">ЗД-00283</x:t>
        </x:is>
      </x:c>
      <x:c r="B284" s="31" t="n">
        <x:v>46137</x:v>
      </x:c>
      <x:c r="C284" s="31" t="n">
        <x:v>46138</x:v>
      </x:c>
      <x:c r="D284" s="31" t="inlineStr">
        <x:is>
          <x:t xml:space="preserve">Ожидает ответа</x:t>
        </x:is>
      </x:c>
      <x:c r="E284" s="31" t="inlineStr">
        <x:is>
          <x:t xml:space="preserve">Средний</x:t>
        </x:is>
      </x:c>
      <x:c r="F284" s="31" t="inlineStr">
        <x:is>
          <x:t xml:space="preserve">СОТР-097</x:t>
        </x:is>
      </x:c>
      <x:c r="G284" s="31" t="inlineStr">
        <x:is>
          <x:t xml:space="preserve">ОТК</x:t>
        </x:is>
      </x:c>
      <x:c r="H284" s="31" t="inlineStr">
        <x:is>
          <x:t xml:space="preserve">ОТК-00172</x:t>
        </x:is>
      </x:c>
      <x:c r="I284" s="31" t="inlineStr">
        <x:is>
          <x:t xml:space="preserve">Проверить доработку</x:t>
        </x:is>
      </x:c>
      <x:c r="J284" s="31" t="inlineStr">
        <x:is>
          <x:t xml:space="preserve">ОТК</x:t>
        </x:is>
      </x:c>
      <x:c r="K284" s="31" t="n">
        <x:v>0</x:v>
      </x:c>
      <x:c r="L284" s="31" t="inlineStr">
        <x:is>
          <x:t xml:space="preserve">Нет</x:t>
        </x:is>
      </x:c>
      <x:c r="M284" s="31" t="inlineStr">
        <x:is>
          <x:t xml:space="preserve">Нет</x:t>
        </x:is>
      </x:c>
      <x:c r="N284" s="31" t="inlineStr">
        <x:is>
          <x:t xml:space="preserve">Автосоздано правилом/пользователем 11</x:t>
        </x:is>
      </x:c>
    </x:row>
    <x:row r="285" ht="18" customHeight="1">
      <x:c r="A285" s="31" t="inlineStr">
        <x:is>
          <x:t xml:space="preserve">ЗД-00284</x:t>
        </x:is>
      </x:c>
      <x:c r="B285" s="31" t="n">
        <x:v>46151</x:v>
      </x:c>
      <x:c r="C285" s="31" t="n">
        <x:v>46161</x:v>
      </x:c>
      <x:c r="D285" s="31" t="inlineStr">
        <x:is>
          <x:t xml:space="preserve">Просрочена</x:t>
        </x:is>
      </x:c>
      <x:c r="E285" s="31" t="inlineStr">
        <x:is>
          <x:t xml:space="preserve">Высокий</x:t>
        </x:is>
      </x:c>
      <x:c r="F285" s="31" t="inlineStr">
        <x:is>
          <x:t xml:space="preserve">СОТР-120</x:t>
        </x:is>
      </x:c>
      <x:c r="G285" s="31" t="inlineStr">
        <x:is>
          <x:t xml:space="preserve">Счет</x:t>
        </x:is>
      </x:c>
      <x:c r="H285" s="31" t="inlineStr">
        <x:is>
          <x:t xml:space="preserve">СЧ-1129-1</x:t>
        </x:is>
      </x:c>
      <x:c r="I285" s="31" t="inlineStr">
        <x:is>
          <x:t xml:space="preserve">Согласовать отгрузку при ДЗ</x:t>
        </x:is>
      </x:c>
      <x:c r="J285" s="31" t="inlineStr">
        <x:is>
          <x:t xml:space="preserve">Финансы</x:t>
        </x:is>
      </x:c>
      <x:c r="K285" s="31" t="n">
        <x:v>24</x:v>
      </x:c>
      <x:c r="L285" s="31" t="inlineStr">
        <x:is>
          <x:t xml:space="preserve">Нет</x:t>
        </x:is>
      </x:c>
      <x:c r="M285" s="31" t="inlineStr">
        <x:is>
          <x:t xml:space="preserve">Нет</x:t>
        </x:is>
      </x:c>
      <x:c r="N285" s="31" t="inlineStr">
        <x:is>
          <x:t xml:space="preserve">Автосоздано правилом/пользователем 9</x:t>
        </x:is>
      </x:c>
    </x:row>
    <x:row r="286" ht="18" customHeight="1">
      <x:c r="A286" s="31" t="inlineStr">
        <x:is>
          <x:t xml:space="preserve">ЗД-00285</x:t>
        </x:is>
      </x:c>
      <x:c r="B286" s="31" t="n">
        <x:v>46150</x:v>
      </x:c>
      <x:c r="C286" s="31" t="n">
        <x:v>46151</x:v>
      </x:c>
      <x:c r="D286" s="31" t="inlineStr">
        <x:is>
          <x:t xml:space="preserve">Выполнена</x:t>
        </x:is>
      </x:c>
      <x:c r="E286" s="31" t="inlineStr">
        <x:is>
          <x:t xml:space="preserve">Средний</x:t>
        </x:is>
      </x:c>
      <x:c r="F286" s="31" t="inlineStr">
        <x:is>
          <x:t xml:space="preserve">СОТР-076</x:t>
        </x:is>
      </x:c>
      <x:c r="G286" s="31" t="inlineStr">
        <x:is>
          <x:t xml:space="preserve">Счет</x:t>
        </x:is>
      </x:c>
      <x:c r="H286" s="31" t="inlineStr">
        <x:is>
          <x:t xml:space="preserve">СЧ-1061-1</x:t>
        </x:is>
      </x:c>
      <x:c r="I286" s="31" t="inlineStr">
        <x:is>
          <x:t xml:space="preserve">Подготовить акт сверки</x:t>
        </x:is>
      </x:c>
      <x:c r="J286" s="31" t="inlineStr">
        <x:is>
          <x:t xml:space="preserve">Продажи</x:t>
        </x:is>
      </x:c>
      <x:c r="K286" s="31" t="n">
        <x:v>0</x:v>
      </x:c>
      <x:c r="L286" s="31" t="inlineStr">
        <x:is>
          <x:t xml:space="preserve">Нет</x:t>
        </x:is>
      </x:c>
      <x:c r="M286" s="31" t="inlineStr">
        <x:is>
          <x:t xml:space="preserve">Нет</x:t>
        </x:is>
      </x:c>
      <x:c r="N286" s="31" t="inlineStr">
        <x:is>
          <x:t xml:space="preserve">Автосоздано правилом/пользователем 8</x:t>
        </x:is>
      </x:c>
    </x:row>
    <x:row r="287" ht="18" customHeight="1">
      <x:c r="A287" s="31" t="inlineStr">
        <x:is>
          <x:t xml:space="preserve">ЗД-00286</x:t>
        </x:is>
      </x:c>
      <x:c r="B287" s="31" t="n">
        <x:v>46129</x:v>
      </x:c>
      <x:c r="C287" s="31" t="n">
        <x:v>46134</x:v>
      </x:c>
      <x:c r="D287" s="31" t="inlineStr">
        <x:is>
          <x:t xml:space="preserve">Ожидает ответа</x:t>
        </x:is>
      </x:c>
      <x:c r="E287" s="31" t="inlineStr">
        <x:is>
          <x:t xml:space="preserve">Низкий</x:t>
        </x:is>
      </x:c>
      <x:c r="F287" s="31" t="inlineStr">
        <x:is>
          <x:t xml:space="preserve">СОТР-068</x:t>
        </x:is>
      </x:c>
      <x:c r="G287" s="31" t="inlineStr">
        <x:is>
          <x:t xml:space="preserve">Производственное задание</x:t>
        </x:is>
      </x:c>
      <x:c r="H287" s="31" t="inlineStr">
        <x:is>
          <x:t xml:space="preserve">ПЗ-00226</x:t>
        </x:is>
      </x:c>
      <x:c r="I287" s="31" t="inlineStr">
        <x:is>
          <x:t xml:space="preserve">Закрыть сменный факт</x:t>
        </x:is>
      </x:c>
      <x:c r="J287" s="31" t="inlineStr">
        <x:is>
          <x:t xml:space="preserve">Снабжение</x:t>
        </x:is>
      </x:c>
      <x:c r="K287" s="31" t="n">
        <x:v>0</x:v>
      </x:c>
      <x:c r="L287" s="31" t="inlineStr">
        <x:is>
          <x:t xml:space="preserve">Да</x:t>
        </x:is>
      </x:c>
      <x:c r="M287" s="31" t="inlineStr">
        <x:is>
          <x:t xml:space="preserve">Нет</x:t>
        </x:is>
      </x:c>
      <x:c r="N287" s="31" t="inlineStr">
        <x:is>
          <x:t xml:space="preserve">Автосоздано правилом/пользователем 3</x:t>
        </x:is>
      </x:c>
    </x:row>
    <x:row r="288" ht="18" customHeight="1">
      <x:c r="A288" s="31" t="inlineStr">
        <x:is>
          <x:t xml:space="preserve">ЗД-00287</x:t>
        </x:is>
      </x:c>
      <x:c r="B288" s="31" t="n">
        <x:v>46121</x:v>
      </x:c>
      <x:c r="C288" s="31" t="n">
        <x:v>46122</x:v>
      </x:c>
      <x:c r="D288" s="31" t="inlineStr">
        <x:is>
          <x:t xml:space="preserve">Просрочена</x:t>
        </x:is>
      </x:c>
      <x:c r="E288" s="31" t="inlineStr">
        <x:is>
          <x:t xml:space="preserve">Средний</x:t>
        </x:is>
      </x:c>
      <x:c r="F288" s="31" t="inlineStr">
        <x:is>
          <x:t xml:space="preserve">СОТР-096</x:t>
        </x:is>
      </x:c>
      <x:c r="G288" s="31" t="inlineStr">
        <x:is>
          <x:t xml:space="preserve">Производственное задание</x:t>
        </x:is>
      </x:c>
      <x:c r="H288" s="31" t="inlineStr">
        <x:is>
          <x:t xml:space="preserve">ПЗ-00207</x:t>
        </x:is>
      </x:c>
      <x:c r="I288" s="31" t="inlineStr">
        <x:is>
          <x:t xml:space="preserve">Обновить готовность</x:t>
        </x:is>
      </x:c>
      <x:c r="J288" s="31" t="inlineStr">
        <x:is>
          <x:t xml:space="preserve">ОТК</x:t>
        </x:is>
      </x:c>
      <x:c r="K288" s="31" t="n">
        <x:v>63</x:v>
      </x:c>
      <x:c r="L288" s="31" t="inlineStr">
        <x:is>
          <x:t xml:space="preserve">Нет</x:t>
        </x:is>
      </x:c>
      <x:c r="M288" s="31" t="inlineStr">
        <x:is>
          <x:t xml:space="preserve">Нет</x:t>
        </x:is>
      </x:c>
      <x:c r="N288" s="31" t="inlineStr">
        <x:is>
          <x:t xml:space="preserve">Автосоздано правилом/пользователем 6</x:t>
        </x:is>
      </x:c>
    </x:row>
    <x:row r="289" ht="18" customHeight="1">
      <x:c r="A289" s="31" t="inlineStr">
        <x:is>
          <x:t xml:space="preserve">ЗД-00288</x:t>
        </x:is>
      </x:c>
      <x:c r="B289" s="31" t="n">
        <x:v>46130</x:v>
      </x:c>
      <x:c r="C289" s="31" t="n">
        <x:v>46132</x:v>
      </x:c>
      <x:c r="D289" s="31" t="inlineStr">
        <x:is>
          <x:t xml:space="preserve">Просрочена</x:t>
        </x:is>
      </x:c>
      <x:c r="E289" s="31" t="inlineStr">
        <x:is>
          <x:t xml:space="preserve">Низкий</x:t>
        </x:is>
      </x:c>
      <x:c r="F289" s="31" t="inlineStr">
        <x:is>
          <x:t xml:space="preserve">СОТР-066</x:t>
        </x:is>
      </x:c>
      <x:c r="G289" s="31" t="inlineStr">
        <x:is>
          <x:t xml:space="preserve">Производственное задание</x:t>
        </x:is>
      </x:c>
      <x:c r="H289" s="31" t="inlineStr">
        <x:is>
          <x:t xml:space="preserve">ПЗ-00003</x:t>
        </x:is>
      </x:c>
      <x:c r="I289" s="31" t="inlineStr">
        <x:is>
          <x:t xml:space="preserve">Разобрать простой</x:t>
        </x:is>
      </x:c>
      <x:c r="J289" s="31" t="inlineStr">
        <x:is>
          <x:t xml:space="preserve">ОТК</x:t>
        </x:is>
      </x:c>
      <x:c r="K289" s="31" t="n">
        <x:v>53</x:v>
      </x:c>
      <x:c r="L289" s="31" t="inlineStr">
        <x:is>
          <x:t xml:space="preserve">Да</x:t>
        </x:is>
      </x:c>
      <x:c r="M289" s="31" t="inlineStr">
        <x:is>
          <x:t xml:space="preserve">Нет</x:t>
        </x:is>
      </x:c>
      <x:c r="N289" s="31" t="inlineStr">
        <x:is>
          <x:t xml:space="preserve">Автосоздано правилом/пользователем 11</x:t>
        </x:is>
      </x:c>
    </x:row>
    <x:row r="290" ht="18" customHeight="1">
      <x:c r="A290" s="31" t="inlineStr">
        <x:is>
          <x:t xml:space="preserve">ЗД-00289</x:t>
        </x:is>
      </x:c>
      <x:c r="B290" s="31" t="n">
        <x:v>46170</x:v>
      </x:c>
      <x:c r="C290" s="31" t="n">
        <x:v>46173</x:v>
      </x:c>
      <x:c r="D290" s="31" t="inlineStr">
        <x:is>
          <x:t xml:space="preserve">Просрочена</x:t>
        </x:is>
      </x:c>
      <x:c r="E290" s="31" t="inlineStr">
        <x:is>
          <x:t xml:space="preserve">Средний</x:t>
        </x:is>
      </x:c>
      <x:c r="F290" s="31" t="inlineStr">
        <x:is>
          <x:t xml:space="preserve">СОТР-098</x:t>
        </x:is>
      </x:c>
      <x:c r="G290" s="31" t="inlineStr">
        <x:is>
          <x:t xml:space="preserve">ОТК</x:t>
        </x:is>
      </x:c>
      <x:c r="H290" s="31" t="inlineStr">
        <x:is>
          <x:t xml:space="preserve">ОТК-00090</x:t>
        </x:is>
      </x:c>
      <x:c r="I290" s="31" t="inlineStr">
        <x:is>
          <x:t xml:space="preserve">Заблокировать отгрузку</x:t>
        </x:is>
      </x:c>
      <x:c r="J290" s="31" t="inlineStr">
        <x:is>
          <x:t xml:space="preserve">ОТК</x:t>
        </x:is>
      </x:c>
      <x:c r="K290" s="31" t="n">
        <x:v>12</x:v>
      </x:c>
      <x:c r="L290" s="31" t="inlineStr">
        <x:is>
          <x:t xml:space="preserve">Да</x:t>
        </x:is>
      </x:c>
      <x:c r="M290" s="31" t="inlineStr">
        <x:is>
          <x:t xml:space="preserve">Заказчик</x:t>
        </x:is>
      </x:c>
      <x:c r="N290" s="31" t="inlineStr">
        <x:is>
          <x:t xml:space="preserve">Автосоздано правилом/пользователем 7</x:t>
        </x:is>
      </x:c>
    </x:row>
    <x:row r="291" ht="18" customHeight="1">
      <x:c r="A291" s="31" t="inlineStr">
        <x:is>
          <x:t xml:space="preserve">ЗД-00290</x:t>
        </x:is>
      </x:c>
      <x:c r="B291" s="31" t="n">
        <x:v>46130</x:v>
      </x:c>
      <x:c r="C291" s="31" t="n">
        <x:v>46140</x:v>
      </x:c>
      <x:c r="D291" s="31" t="inlineStr">
        <x:is>
          <x:t xml:space="preserve">Новая</x:t>
        </x:is>
      </x:c>
      <x:c r="E291" s="31" t="inlineStr">
        <x:is>
          <x:t xml:space="preserve">Средний</x:t>
        </x:is>
      </x:c>
      <x:c r="F291" s="31" t="inlineStr">
        <x:is>
          <x:t xml:space="preserve">СОТР-096</x:t>
        </x:is>
      </x:c>
      <x:c r="G291" s="31" t="inlineStr">
        <x:is>
          <x:t xml:space="preserve">ОТК</x:t>
        </x:is>
      </x:c>
      <x:c r="H291" s="31" t="inlineStr">
        <x:is>
          <x:t xml:space="preserve">ОТК-00034</x:t>
        </x:is>
      </x:c>
      <x:c r="I291" s="31" t="inlineStr">
        <x:is>
          <x:t xml:space="preserve">Оформить корректирующие действия</x:t>
        </x:is>
      </x:c>
      <x:c r="J291" s="31" t="inlineStr">
        <x:is>
          <x:t xml:space="preserve">Производство</x:t>
        </x:is>
      </x:c>
      <x:c r="K291" s="31" t="n">
        <x:v>0</x:v>
      </x:c>
      <x:c r="L291" s="31" t="inlineStr">
        <x:is>
          <x:t xml:space="preserve">Нет</x:t>
        </x:is>
      </x:c>
      <x:c r="M291" s="31" t="inlineStr">
        <x:is>
          <x:t xml:space="preserve">Нет</x:t>
        </x:is>
      </x:c>
      <x:c r="N291" s="31" t="inlineStr">
        <x:is>
          <x:t xml:space="preserve">Автосоздано правилом/пользователем 7</x:t>
        </x:is>
      </x:c>
    </x:row>
    <x:row r="292" ht="18" customHeight="1">
      <x:c r="A292" s="31" t="inlineStr">
        <x:is>
          <x:t xml:space="preserve">ЗД-00291</x:t>
        </x:is>
      </x:c>
      <x:c r="B292" s="31" t="n">
        <x:v>46174</x:v>
      </x:c>
      <x:c r="C292" s="31" t="n">
        <x:v>46176</x:v>
      </x:c>
      <x:c r="D292" s="31" t="inlineStr">
        <x:is>
          <x:t xml:space="preserve">В работе</x:t>
        </x:is>
      </x:c>
      <x:c r="E292" s="31" t="inlineStr">
        <x:is>
          <x:t xml:space="preserve">Средний</x:t>
        </x:is>
      </x:c>
      <x:c r="F292" s="31" t="inlineStr">
        <x:is>
          <x:t xml:space="preserve">СОТР-076</x:t>
        </x:is>
      </x:c>
      <x:c r="G292" s="31" t="inlineStr">
        <x:is>
          <x:t xml:space="preserve">Счет</x:t>
        </x:is>
      </x:c>
      <x:c r="H292" s="31" t="inlineStr">
        <x:is>
          <x:t xml:space="preserve">СЧ-1124-1</x:t>
        </x:is>
      </x:c>
      <x:c r="I292" s="31" t="inlineStr">
        <x:is>
          <x:t xml:space="preserve">Напомнить об оплате</x:t>
        </x:is>
      </x:c>
      <x:c r="J292" s="31" t="inlineStr">
        <x:is>
          <x:t xml:space="preserve">Снабжение</x:t>
        </x:is>
      </x:c>
      <x:c r="K292" s="31" t="n">
        <x:v>0</x:v>
      </x:c>
      <x:c r="L292" s="31" t="inlineStr">
        <x:is>
          <x:t xml:space="preserve">Нет</x:t>
        </x:is>
      </x:c>
      <x:c r="M292" s="31" t="inlineStr">
        <x:is>
          <x:t xml:space="preserve">Нет</x:t>
        </x:is>
      </x:c>
      <x:c r="N292" s="31" t="inlineStr">
        <x:is>
          <x:t xml:space="preserve">Автосоздано правилом/пользователем 8</x:t>
        </x:is>
      </x:c>
    </x:row>
    <x:row r="293" ht="18" customHeight="1">
      <x:c r="A293" s="31" t="inlineStr">
        <x:is>
          <x:t xml:space="preserve">ЗД-00292</x:t>
        </x:is>
      </x:c>
      <x:c r="B293" s="31" t="n">
        <x:v>46147</x:v>
      </x:c>
      <x:c r="C293" s="31" t="n">
        <x:v>46150</x:v>
      </x:c>
      <x:c r="D293" s="31" t="inlineStr">
        <x:is>
          <x:t xml:space="preserve">Новая</x:t>
        </x:is>
      </x:c>
      <x:c r="E293" s="31" t="inlineStr">
        <x:is>
          <x:t xml:space="preserve">Низкий</x:t>
        </x:is>
      </x:c>
      <x:c r="F293" s="31" t="inlineStr">
        <x:is>
          <x:t xml:space="preserve">СОТР-095</x:t>
        </x:is>
      </x:c>
      <x:c r="G293" s="31" t="inlineStr">
        <x:is>
          <x:t xml:space="preserve">ОТК</x:t>
        </x:is>
      </x:c>
      <x:c r="H293" s="31" t="inlineStr">
        <x:is>
          <x:t xml:space="preserve">ОТК-00064</x:t>
        </x:is>
      </x:c>
      <x:c r="I293" s="31" t="inlineStr">
        <x:is>
          <x:t xml:space="preserve">Заблокировать отгрузку</x:t>
        </x:is>
      </x:c>
      <x:c r="J293" s="31" t="inlineStr">
        <x:is>
          <x:t xml:space="preserve">Производство</x:t>
        </x:is>
      </x:c>
      <x:c r="K293" s="31" t="n">
        <x:v>0</x:v>
      </x:c>
      <x:c r="L293" s="31" t="inlineStr">
        <x:is>
          <x:t xml:space="preserve">Нет</x:t>
        </x:is>
      </x:c>
      <x:c r="M293" s="31" t="inlineStr">
        <x:is>
          <x:t xml:space="preserve">Нет</x:t>
        </x:is>
      </x:c>
      <x:c r="N293" s="31" t="inlineStr">
        <x:is>
          <x:t xml:space="preserve">Автосоздано правилом/пользователем 4</x:t>
        </x:is>
      </x:c>
    </x:row>
    <x:row r="294" ht="18" customHeight="1">
      <x:c r="A294" s="31" t="inlineStr">
        <x:is>
          <x:t xml:space="preserve">ЗД-00293</x:t>
        </x:is>
      </x:c>
      <x:c r="B294" s="31" t="n">
        <x:v>46126</x:v>
      </x:c>
      <x:c r="C294" s="31" t="n">
        <x:v>46128</x:v>
      </x:c>
      <x:c r="D294" s="31" t="inlineStr">
        <x:is>
          <x:t xml:space="preserve">Просрочена</x:t>
        </x:is>
      </x:c>
      <x:c r="E294" s="31" t="inlineStr">
        <x:is>
          <x:t xml:space="preserve">Низкий</x:t>
        </x:is>
      </x:c>
      <x:c r="F294" s="31" t="inlineStr">
        <x:is>
          <x:t xml:space="preserve">СОТР-095</x:t>
        </x:is>
      </x:c>
      <x:c r="G294" s="31" t="inlineStr">
        <x:is>
          <x:t xml:space="preserve">Производственное задание</x:t>
        </x:is>
      </x:c>
      <x:c r="H294" s="31" t="inlineStr">
        <x:is>
          <x:t xml:space="preserve">ПЗ-00263</x:t>
        </x:is>
      </x:c>
      <x:c r="I294" s="31" t="inlineStr">
        <x:is>
          <x:t xml:space="preserve">Обновить готовность</x:t>
        </x:is>
      </x:c>
      <x:c r="J294" s="31" t="inlineStr">
        <x:is>
          <x:t xml:space="preserve">Продажи</x:t>
        </x:is>
      </x:c>
      <x:c r="K294" s="31" t="n">
        <x:v>57</x:v>
      </x:c>
      <x:c r="L294" s="31" t="inlineStr">
        <x:is>
          <x:t xml:space="preserve">Да</x:t>
        </x:is>
      </x:c>
      <x:c r="M294" s="31" t="inlineStr">
        <x:is>
          <x:t xml:space="preserve">Поставщик</x:t>
        </x:is>
      </x:c>
      <x:c r="N294" s="31" t="inlineStr">
        <x:is>
          <x:t xml:space="preserve">Автосоздано правилом/пользователем 9</x:t>
        </x:is>
      </x:c>
    </x:row>
    <x:row r="295" ht="18" customHeight="1">
      <x:c r="A295" s="31" t="inlineStr">
        <x:is>
          <x:t xml:space="preserve">ЗД-00294</x:t>
        </x:is>
      </x:c>
      <x:c r="B295" s="31" t="n">
        <x:v>46116</x:v>
      </x:c>
      <x:c r="C295" s="31" t="n">
        <x:v>46119</x:v>
      </x:c>
      <x:c r="D295" s="31" t="inlineStr">
        <x:is>
          <x:t xml:space="preserve">Ожидает ответа</x:t>
        </x:is>
      </x:c>
      <x:c r="E295" s="31" t="inlineStr">
        <x:is>
          <x:t xml:space="preserve">Высокий</x:t>
        </x:is>
      </x:c>
      <x:c r="F295" s="31" t="inlineStr">
        <x:is>
          <x:t xml:space="preserve">СОТР-003</x:t>
        </x:is>
      </x:c>
      <x:c r="G295" s="31" t="inlineStr">
        <x:is>
          <x:t xml:space="preserve">Заказ</x:t>
        </x:is>
      </x:c>
      <x:c r="H295" s="31" t="inlineStr">
        <x:is>
          <x:t xml:space="preserve">ЗК-1071</x:t>
        </x:is>
      </x:c>
      <x:c r="I295" s="31" t="inlineStr">
        <x:is>
          <x:t xml:space="preserve">Согласовать скидку</x:t>
        </x:is>
      </x:c>
      <x:c r="J295" s="31" t="inlineStr">
        <x:is>
          <x:t xml:space="preserve">Финансы</x:t>
        </x:is>
      </x:c>
      <x:c r="K295" s="31" t="n">
        <x:v>0</x:v>
      </x:c>
      <x:c r="L295" s="31" t="inlineStr">
        <x:is>
          <x:t xml:space="preserve">Да</x:t>
        </x:is>
      </x:c>
      <x:c r="M295" s="31" t="inlineStr">
        <x:is>
          <x:t xml:space="preserve">Нет</x:t>
        </x:is>
      </x:c>
      <x:c r="N295" s="31" t="inlineStr">
        <x:is>
          <x:t xml:space="preserve">Автосоздано правилом/пользователем 1</x:t>
        </x:is>
      </x:c>
    </x:row>
    <x:row r="296" ht="18" customHeight="1">
      <x:c r="A296" s="31" t="inlineStr">
        <x:is>
          <x:t xml:space="preserve">ЗД-00295</x:t>
        </x:is>
      </x:c>
      <x:c r="B296" s="31" t="n">
        <x:v>46146</x:v>
      </x:c>
      <x:c r="C296" s="31" t="n">
        <x:v>46156</x:v>
      </x:c>
      <x:c r="D296" s="31" t="inlineStr">
        <x:is>
          <x:t xml:space="preserve">Выполнена</x:t>
        </x:is>
      </x:c>
      <x:c r="E296" s="31" t="inlineStr">
        <x:is>
          <x:t xml:space="preserve">Средний</x:t>
        </x:is>
      </x:c>
      <x:c r="F296" s="31" t="inlineStr">
        <x:is>
          <x:t xml:space="preserve">СОТР-101</x:t>
        </x:is>
      </x:c>
      <x:c r="G296" s="31" t="inlineStr">
        <x:is>
          <x:t xml:space="preserve">Счет</x:t>
        </x:is>
      </x:c>
      <x:c r="H296" s="31" t="inlineStr">
        <x:is>
          <x:t xml:space="preserve">СЧ-1066-2</x:t>
        </x:is>
      </x:c>
      <x:c r="I296" s="31" t="inlineStr">
        <x:is>
          <x:t xml:space="preserve">Согласовать отгрузку при ДЗ</x:t>
        </x:is>
      </x:c>
      <x:c r="J296" s="31" t="inlineStr">
        <x:is>
          <x:t xml:space="preserve">Продажи</x:t>
        </x:is>
      </x:c>
      <x:c r="K296" s="31" t="n">
        <x:v>0</x:v>
      </x:c>
      <x:c r="L296" s="31" t="inlineStr">
        <x:is>
          <x:t xml:space="preserve">Да</x:t>
        </x:is>
      </x:c>
      <x:c r="M296" s="31" t="inlineStr">
        <x:is>
          <x:t xml:space="preserve">Нет</x:t>
        </x:is>
      </x:c>
      <x:c r="N296" s="31" t="inlineStr">
        <x:is>
          <x:t xml:space="preserve">Автосоздано правилом/пользователем 11</x:t>
        </x:is>
      </x:c>
    </x:row>
    <x:row r="297" ht="18" customHeight="1">
      <x:c r="A297" s="31" t="inlineStr">
        <x:is>
          <x:t xml:space="preserve">ЗД-00296</x:t>
        </x:is>
      </x:c>
      <x:c r="B297" s="31" t="n">
        <x:v>46170</x:v>
      </x:c>
      <x:c r="C297" s="31" t="n">
        <x:v>46180</x:v>
      </x:c>
      <x:c r="D297" s="31" t="inlineStr">
        <x:is>
          <x:t xml:space="preserve">Просрочена</x:t>
        </x:is>
      </x:c>
      <x:c r="E297" s="31" t="inlineStr">
        <x:is>
          <x:t xml:space="preserve">Низкий</x:t>
        </x:is>
      </x:c>
      <x:c r="F297" s="31" t="inlineStr">
        <x:is>
          <x:t xml:space="preserve">СОТР-004</x:t>
        </x:is>
      </x:c>
      <x:c r="G297" s="31" t="inlineStr">
        <x:is>
          <x:t xml:space="preserve">Заказ</x:t>
        </x:is>
      </x:c>
      <x:c r="H297" s="31" t="inlineStr">
        <x:is>
          <x:t xml:space="preserve">ЗК-1003</x:t>
        </x:is>
      </x:c>
      <x:c r="I297" s="31" t="inlineStr">
        <x:is>
          <x:t xml:space="preserve">Подписать спецификацию</x:t>
        </x:is>
      </x:c>
      <x:c r="J297" s="31" t="inlineStr">
        <x:is>
          <x:t xml:space="preserve">Снабжение</x:t>
        </x:is>
      </x:c>
      <x:c r="K297" s="31" t="n">
        <x:v>5</x:v>
      </x:c>
      <x:c r="L297" s="31" t="inlineStr">
        <x:is>
          <x:t xml:space="preserve">Да</x:t>
        </x:is>
      </x:c>
      <x:c r="M297" s="31" t="inlineStr">
        <x:is>
          <x:t xml:space="preserve">Нет</x:t>
        </x:is>
      </x:c>
      <x:c r="N297" s="31" t="inlineStr">
        <x:is>
          <x:t xml:space="preserve">Автосоздано правилом/пользователем 8</x:t>
        </x:is>
      </x:c>
    </x:row>
    <x:row r="298" ht="18" customHeight="1">
      <x:c r="A298" s="31" t="inlineStr">
        <x:is>
          <x:t xml:space="preserve">ЗД-00297</x:t>
        </x:is>
      </x:c>
      <x:c r="B298" s="31" t="n">
        <x:v>46168</x:v>
      </x:c>
      <x:c r="C298" s="31" t="n">
        <x:v>46182</x:v>
      </x:c>
      <x:c r="D298" s="31" t="inlineStr">
        <x:is>
          <x:t xml:space="preserve">Отменена</x:t>
        </x:is>
      </x:c>
      <x:c r="E298" s="31" t="inlineStr">
        <x:is>
          <x:t xml:space="preserve">Средний</x:t>
        </x:is>
      </x:c>
      <x:c r="F298" s="31" t="inlineStr">
        <x:is>
          <x:t xml:space="preserve">СОТР-021</x:t>
        </x:is>
      </x:c>
      <x:c r="G298" s="31" t="inlineStr">
        <x:is>
          <x:t xml:space="preserve">ОТК</x:t>
        </x:is>
      </x:c>
      <x:c r="H298" s="31" t="inlineStr">
        <x:is>
          <x:t xml:space="preserve">ОТК-00060</x:t>
        </x:is>
      </x:c>
      <x:c r="I298" s="31" t="inlineStr">
        <x:is>
          <x:t xml:space="preserve">Проверить доработку</x:t>
        </x:is>
      </x:c>
      <x:c r="J298" s="31" t="inlineStr">
        <x:is>
          <x:t xml:space="preserve">Финансы</x:t>
        </x:is>
      </x:c>
      <x:c r="K298" s="31" t="n">
        <x:v>0</x:v>
      </x:c>
      <x:c r="L298" s="31" t="inlineStr">
        <x:is>
          <x:t xml:space="preserve">Да</x:t>
        </x:is>
      </x:c>
      <x:c r="M298" s="31" t="inlineStr">
        <x:is>
          <x:t xml:space="preserve">Нет</x:t>
        </x:is>
      </x:c>
      <x:c r="N298" s="31" t="inlineStr">
        <x:is>
          <x:t xml:space="preserve">Автосоздано правилом/пользователем 6</x:t>
        </x:is>
      </x:c>
    </x:row>
    <x:row r="299" ht="18" customHeight="1">
      <x:c r="A299" s="31" t="inlineStr">
        <x:is>
          <x:t xml:space="preserve">ЗД-00298</x:t>
        </x:is>
      </x:c>
      <x:c r="B299" s="31" t="n">
        <x:v>46159</x:v>
      </x:c>
      <x:c r="C299" s="31" t="n">
        <x:v>46161</x:v>
      </x:c>
      <x:c r="D299" s="31" t="inlineStr">
        <x:is>
          <x:t xml:space="preserve">Выполнена</x:t>
        </x:is>
      </x:c>
      <x:c r="E299" s="31" t="inlineStr">
        <x:is>
          <x:t xml:space="preserve">Средний</x:t>
        </x:is>
      </x:c>
      <x:c r="F299" s="31" t="inlineStr">
        <x:is>
          <x:t xml:space="preserve">СОТР-003</x:t>
        </x:is>
      </x:c>
      <x:c r="G299" s="31" t="inlineStr">
        <x:is>
          <x:t xml:space="preserve">Заказ</x:t>
        </x:is>
      </x:c>
      <x:c r="H299" s="31" t="inlineStr">
        <x:is>
          <x:t xml:space="preserve">ЗК-1061</x:t>
        </x:is>
      </x:c>
      <x:c r="I299" s="31" t="inlineStr">
        <x:is>
          <x:t xml:space="preserve">Уточнить ТЗ</x:t>
        </x:is>
      </x:c>
      <x:c r="J299" s="31" t="inlineStr">
        <x:is>
          <x:t xml:space="preserve">Производство</x:t>
        </x:is>
      </x:c>
      <x:c r="K299" s="31" t="n">
        <x:v>0</x:v>
      </x:c>
      <x:c r="L299" s="31" t="inlineStr">
        <x:is>
          <x:t xml:space="preserve">Да</x:t>
        </x:is>
      </x:c>
      <x:c r="M299" s="31" t="inlineStr">
        <x:is>
          <x:t xml:space="preserve">Нет</x:t>
        </x:is>
      </x:c>
      <x:c r="N299" s="31" t="inlineStr">
        <x:is>
          <x:t xml:space="preserve">Автосоздано правилом/пользователем 6</x:t>
        </x:is>
      </x:c>
    </x:row>
    <x:row r="300" ht="18" customHeight="1">
      <x:c r="A300" s="31" t="inlineStr">
        <x:is>
          <x:t xml:space="preserve">ЗД-00299</x:t>
        </x:is>
      </x:c>
      <x:c r="B300" s="31" t="n">
        <x:v>46167</x:v>
      </x:c>
      <x:c r="C300" s="31" t="n">
        <x:v>46169</x:v>
      </x:c>
      <x:c r="D300" s="31" t="inlineStr">
        <x:is>
          <x:t xml:space="preserve">В работе</x:t>
        </x:is>
      </x:c>
      <x:c r="E300" s="31" t="inlineStr">
        <x:is>
          <x:t xml:space="preserve">Срочный</x:t>
        </x:is>
      </x:c>
      <x:c r="F300" s="31" t="inlineStr">
        <x:is>
          <x:t xml:space="preserve">СОТР-092</x:t>
        </x:is>
      </x:c>
      <x:c r="G300" s="31" t="inlineStr">
        <x:is>
          <x:t xml:space="preserve">Производственное задание</x:t>
        </x:is>
      </x:c>
      <x:c r="H300" s="31" t="inlineStr">
        <x:is>
          <x:t xml:space="preserve">ПЗ-00086</x:t>
        </x:is>
      </x:c>
      <x:c r="I300" s="31" t="inlineStr">
        <x:is>
          <x:t xml:space="preserve">Назначить оператора</x:t>
        </x:is>
      </x:c>
      <x:c r="J300" s="31" t="inlineStr">
        <x:is>
          <x:t xml:space="preserve">Снабжение</x:t>
        </x:is>
      </x:c>
      <x:c r="K300" s="31" t="n">
        <x:v>0</x:v>
      </x:c>
      <x:c r="L300" s="31" t="inlineStr">
        <x:is>
          <x:t xml:space="preserve">Да</x:t>
        </x:is>
      </x:c>
      <x:c r="M300" s="31" t="inlineStr">
        <x:is>
          <x:t xml:space="preserve">Нет</x:t>
        </x:is>
      </x:c>
      <x:c r="N300" s="31" t="inlineStr">
        <x:is>
          <x:t xml:space="preserve">Автосоздано правилом/пользователем 6</x:t>
        </x:is>
      </x:c>
    </x:row>
    <x:row r="301">
      <x:c r="A301" s="31" t="inlineStr">
        <x:is>
          <x:t xml:space="preserve">ЗД-00300</x:t>
        </x:is>
      </x:c>
      <x:c r="B301" s="31" t="n">
        <x:v>46126</x:v>
      </x:c>
      <x:c r="C301" s="31" t="n">
        <x:v>46128</x:v>
      </x:c>
      <x:c r="D301" s="31" t="inlineStr">
        <x:is>
          <x:t xml:space="preserve">Выполнена</x:t>
        </x:is>
      </x:c>
      <x:c r="E301" s="31" t="inlineStr">
        <x:is>
          <x:t xml:space="preserve">Высокий</x:t>
        </x:is>
      </x:c>
      <x:c r="F301" s="31" t="inlineStr">
        <x:is>
          <x:t xml:space="preserve">СОТР-068</x:t>
        </x:is>
      </x:c>
      <x:c r="G301" s="31" t="inlineStr">
        <x:is>
          <x:t xml:space="preserve">Производственное задание</x:t>
        </x:is>
      </x:c>
      <x:c r="H301" s="31" t="inlineStr">
        <x:is>
          <x:t xml:space="preserve">ПЗ-00085</x:t>
        </x:is>
      </x:c>
      <x:c r="I301" s="31" t="inlineStr">
        <x:is>
          <x:t xml:space="preserve">Закрыть сменный факт</x:t>
        </x:is>
      </x:c>
      <x:c r="J301" s="31" t="inlineStr">
        <x:is>
          <x:t xml:space="preserve">Продажи</x:t>
        </x:is>
      </x:c>
      <x:c r="K301" s="31" t="n">
        <x:v>0</x:v>
      </x:c>
      <x:c r="L301" s="31" t="inlineStr">
        <x:is>
          <x:t xml:space="preserve">Нет</x:t>
        </x:is>
      </x:c>
      <x:c r="M301" s="31" t="inlineStr">
        <x:is>
          <x:t xml:space="preserve">Заказчик</x:t>
        </x:is>
      </x:c>
      <x:c r="N301" s="31" t="inlineStr">
        <x:is>
          <x:t xml:space="preserve">Автосоздано правилом/пользователем 10</x:t>
        </x:is>
      </x:c>
    </x:row>
    <x:row r="302">
      <x:c r="A302" s="31" t="inlineStr">
        <x:is>
          <x:t xml:space="preserve">ЗД-00301</x:t>
        </x:is>
      </x:c>
      <x:c r="B302" s="31" t="n">
        <x:v>46132</x:v>
      </x:c>
      <x:c r="C302" s="31" t="n">
        <x:v>46133</x:v>
      </x:c>
      <x:c r="D302" s="31" t="inlineStr">
        <x:is>
          <x:t xml:space="preserve">Ожидает ответа</x:t>
        </x:is>
      </x:c>
      <x:c r="E302" s="31" t="inlineStr">
        <x:is>
          <x:t xml:space="preserve">Высокий</x:t>
        </x:is>
      </x:c>
      <x:c r="F302" s="31" t="inlineStr">
        <x:is>
          <x:t xml:space="preserve">СОТР-076</x:t>
        </x:is>
      </x:c>
      <x:c r="G302" s="31" t="inlineStr">
        <x:is>
          <x:t xml:space="preserve">Счет</x:t>
        </x:is>
      </x:c>
      <x:c r="H302" s="31" t="inlineStr">
        <x:is>
          <x:t xml:space="preserve">СЧ-1049-1</x:t>
        </x:is>
      </x:c>
      <x:c r="I302" s="31" t="inlineStr">
        <x:is>
          <x:t xml:space="preserve">Подготовить акт сверки</x:t>
        </x:is>
      </x:c>
      <x:c r="J302" s="31" t="inlineStr">
        <x:is>
          <x:t xml:space="preserve">Продажи</x:t>
        </x:is>
      </x:c>
      <x:c r="K302" s="31" t="n">
        <x:v>0</x:v>
      </x:c>
      <x:c r="L302" s="31" t="inlineStr">
        <x:is>
          <x:t xml:space="preserve">Да</x:t>
        </x:is>
      </x:c>
      <x:c r="M302" s="31" t="inlineStr">
        <x:is>
          <x:t xml:space="preserve">Нет</x:t>
        </x:is>
      </x:c>
      <x:c r="N302" s="31" t="inlineStr">
        <x:is>
          <x:t xml:space="preserve">Автосоздано правилом/пользователем 6</x:t>
        </x:is>
      </x:c>
    </x:row>
    <x:row r="303">
      <x:c r="A303" s="31" t="inlineStr">
        <x:is>
          <x:t xml:space="preserve">ЗД-00302</x:t>
        </x:is>
      </x:c>
      <x:c r="B303" s="31" t="n">
        <x:v>46154</x:v>
      </x:c>
      <x:c r="C303" s="31" t="n">
        <x:v>46155</x:v>
      </x:c>
      <x:c r="D303" s="31" t="inlineStr">
        <x:is>
          <x:t xml:space="preserve">Выполнена</x:t>
        </x:is>
      </x:c>
      <x:c r="E303" s="31" t="inlineStr">
        <x:is>
          <x:t xml:space="preserve">Средний</x:t>
        </x:is>
      </x:c>
      <x:c r="F303" s="31" t="inlineStr">
        <x:is>
          <x:t xml:space="preserve">СОТР-004</x:t>
        </x:is>
      </x:c>
      <x:c r="G303" s="31" t="inlineStr">
        <x:is>
          <x:t xml:space="preserve">Заказ</x:t>
        </x:is>
      </x:c>
      <x:c r="H303" s="31" t="inlineStr">
        <x:is>
          <x:t xml:space="preserve">ЗК-1092</x:t>
        </x:is>
      </x:c>
      <x:c r="I303" s="31" t="inlineStr">
        <x:is>
          <x:t xml:space="preserve">Уточнить ТЗ</x:t>
        </x:is>
      </x:c>
      <x:c r="J303" s="31" t="inlineStr">
        <x:is>
          <x:t xml:space="preserve">ОТК</x:t>
        </x:is>
      </x:c>
      <x:c r="K303" s="31" t="n">
        <x:v>0</x:v>
      </x:c>
      <x:c r="L303" s="31" t="inlineStr">
        <x:is>
          <x:t xml:space="preserve">Нет</x:t>
        </x:is>
      </x:c>
      <x:c r="M303" s="31" t="inlineStr">
        <x:is>
          <x:t xml:space="preserve">Заказчик</x:t>
        </x:is>
      </x:c>
      <x:c r="N303" s="31" t="inlineStr">
        <x:is>
          <x:t xml:space="preserve">Автосоздано правилом/пользователем 12</x:t>
        </x:is>
      </x:c>
    </x:row>
    <x:row r="304">
      <x:c r="A304" s="31" t="inlineStr">
        <x:is>
          <x:t xml:space="preserve">ЗД-00303</x:t>
        </x:is>
      </x:c>
      <x:c r="B304" s="31" t="n">
        <x:v>46132</x:v>
      </x:c>
      <x:c r="C304" s="31" t="n">
        <x:v>46135</x:v>
      </x:c>
      <x:c r="D304" s="31" t="inlineStr">
        <x:is>
          <x:t xml:space="preserve">Просрочена</x:t>
        </x:is>
      </x:c>
      <x:c r="E304" s="31" t="inlineStr">
        <x:is>
          <x:t xml:space="preserve">Срочный</x:t>
        </x:is>
      </x:c>
      <x:c r="F304" s="31" t="inlineStr">
        <x:is>
          <x:t xml:space="preserve">СОТР-096</x:t>
        </x:is>
      </x:c>
      <x:c r="G304" s="31" t="inlineStr">
        <x:is>
          <x:t xml:space="preserve">Производственное задание</x:t>
        </x:is>
      </x:c>
      <x:c r="H304" s="31" t="inlineStr">
        <x:is>
          <x:t xml:space="preserve">ПЗ-00075</x:t>
        </x:is>
      </x:c>
      <x:c r="I304" s="31" t="inlineStr">
        <x:is>
          <x:t xml:space="preserve">Проверить дефицит материалов</x:t>
        </x:is>
      </x:c>
      <x:c r="J304" s="31" t="inlineStr">
        <x:is>
          <x:t xml:space="preserve">Финансы</x:t>
        </x:is>
      </x:c>
      <x:c r="K304" s="31" t="n">
        <x:v>50</x:v>
      </x:c>
      <x:c r="L304" s="31" t="inlineStr">
        <x:is>
          <x:t xml:space="preserve">Нет</x:t>
        </x:is>
      </x:c>
      <x:c r="M304" s="31" t="inlineStr">
        <x:is>
          <x:t xml:space="preserve">Поставщик</x:t>
        </x:is>
      </x:c>
      <x:c r="N304" s="31" t="inlineStr">
        <x:is>
          <x:t xml:space="preserve">Автосоздано правилом/пользователем 3</x:t>
        </x:is>
      </x:c>
    </x:row>
    <x:row r="305">
      <x:c r="A305" s="31" t="inlineStr">
        <x:is>
          <x:t xml:space="preserve">ЗД-00304</x:t>
        </x:is>
      </x:c>
      <x:c r="B305" s="31" t="n">
        <x:v>46133</x:v>
      </x:c>
      <x:c r="C305" s="31" t="n">
        <x:v>46135</x:v>
      </x:c>
      <x:c r="D305" s="31" t="inlineStr">
        <x:is>
          <x:t xml:space="preserve">Ожидает ответа</x:t>
        </x:is>
      </x:c>
      <x:c r="E305" s="31" t="inlineStr">
        <x:is>
          <x:t xml:space="preserve">Средний</x:t>
        </x:is>
      </x:c>
      <x:c r="F305" s="31" t="inlineStr">
        <x:is>
          <x:t xml:space="preserve">СОТР-076</x:t>
        </x:is>
      </x:c>
      <x:c r="G305" s="31" t="inlineStr">
        <x:is>
          <x:t xml:space="preserve">Счет</x:t>
        </x:is>
      </x:c>
      <x:c r="H305" s="31" t="inlineStr">
        <x:is>
          <x:t xml:space="preserve">СЧ-1043-1</x:t>
        </x:is>
      </x:c>
      <x:c r="I305" s="31" t="inlineStr">
        <x:is>
          <x:t xml:space="preserve">Проверить оплату</x:t>
        </x:is>
      </x:c>
      <x:c r="J305" s="31" t="inlineStr">
        <x:is>
          <x:t xml:space="preserve">Продажи</x:t>
        </x:is>
      </x:c>
      <x:c r="K305" s="31" t="n">
        <x:v>0</x:v>
      </x:c>
      <x:c r="L305" s="31" t="inlineStr">
        <x:is>
          <x:t xml:space="preserve">Да</x:t>
        </x:is>
      </x:c>
      <x:c r="M305" s="31" t="inlineStr">
        <x:is>
          <x:t xml:space="preserve">Нет</x:t>
        </x:is>
      </x:c>
      <x:c r="N305" s="31" t="inlineStr">
        <x:is>
          <x:t xml:space="preserve">Автосоздано правилом/пользователем 8</x:t>
        </x:is>
      </x:c>
    </x:row>
    <x:row r="306">
      <x:c r="A306" s="31" t="inlineStr">
        <x:is>
          <x:t xml:space="preserve">ЗД-00305</x:t>
        </x:is>
      </x:c>
      <x:c r="B306" s="31" t="n">
        <x:v>46117</x:v>
      </x:c>
      <x:c r="C306" s="31" t="n">
        <x:v>46127</x:v>
      </x:c>
      <x:c r="D306" s="31" t="inlineStr">
        <x:is>
          <x:t xml:space="preserve">Ожидает ответа</x:t>
        </x:is>
      </x:c>
      <x:c r="E306" s="31" t="inlineStr">
        <x:is>
          <x:t xml:space="preserve">Средний</x:t>
        </x:is>
      </x:c>
      <x:c r="F306" s="31" t="inlineStr">
        <x:is>
          <x:t xml:space="preserve">СОТР-014</x:t>
        </x:is>
      </x:c>
      <x:c r="G306" s="31" t="inlineStr">
        <x:is>
          <x:t xml:space="preserve">ОТК</x:t>
        </x:is>
      </x:c>
      <x:c r="H306" s="31" t="inlineStr">
        <x:is>
          <x:t xml:space="preserve">ОТК-00030</x:t>
        </x:is>
      </x:c>
      <x:c r="I306" s="31" t="inlineStr">
        <x:is>
          <x:t xml:space="preserve">Проверить доработку</x:t>
        </x:is>
      </x:c>
      <x:c r="J306" s="31" t="inlineStr">
        <x:is>
          <x:t xml:space="preserve">Продажи</x:t>
        </x:is>
      </x:c>
      <x:c r="K306" s="31" t="n">
        <x:v>0</x:v>
      </x:c>
      <x:c r="L306" s="31" t="inlineStr">
        <x:is>
          <x:t xml:space="preserve">Да</x:t>
        </x:is>
      </x:c>
      <x:c r="M306" s="31" t="inlineStr">
        <x:is>
          <x:t xml:space="preserve">Нет</x:t>
        </x:is>
      </x:c>
      <x:c r="N306" s="31" t="inlineStr">
        <x:is>
          <x:t xml:space="preserve">Автосоздано правилом/пользователем 8</x:t>
        </x:is>
      </x:c>
    </x:row>
    <x:row r="307">
      <x:c r="A307" s="31" t="inlineStr">
        <x:is>
          <x:t xml:space="preserve">ЗД-00306</x:t>
        </x:is>
      </x:c>
      <x:c r="B307" s="31" t="n">
        <x:v>46151</x:v>
      </x:c>
      <x:c r="C307" s="31" t="n">
        <x:v>46158</x:v>
      </x:c>
      <x:c r="D307" s="31" t="inlineStr">
        <x:is>
          <x:t xml:space="preserve">Просрочена</x:t>
        </x:is>
      </x:c>
      <x:c r="E307" s="31" t="inlineStr">
        <x:is>
          <x:t xml:space="preserve">Средний</x:t>
        </x:is>
      </x:c>
      <x:c r="F307" s="31" t="inlineStr">
        <x:is>
          <x:t xml:space="preserve">СОТР-098</x:t>
        </x:is>
      </x:c>
      <x:c r="G307" s="31" t="inlineStr">
        <x:is>
          <x:t xml:space="preserve">Производственное задание</x:t>
        </x:is>
      </x:c>
      <x:c r="H307" s="31" t="inlineStr">
        <x:is>
          <x:t xml:space="preserve">ПЗ-00200</x:t>
        </x:is>
      </x:c>
      <x:c r="I307" s="31" t="inlineStr">
        <x:is>
          <x:t xml:space="preserve">Закрыть сменный факт</x:t>
        </x:is>
      </x:c>
      <x:c r="J307" s="31" t="inlineStr">
        <x:is>
          <x:t xml:space="preserve">Продажи</x:t>
        </x:is>
      </x:c>
      <x:c r="K307" s="31" t="n">
        <x:v>27</x:v>
      </x:c>
      <x:c r="L307" s="31" t="inlineStr">
        <x:is>
          <x:t xml:space="preserve">Нет</x:t>
        </x:is>
      </x:c>
      <x:c r="M307" s="31" t="inlineStr">
        <x:is>
          <x:t xml:space="preserve">Заказчик</x:t>
        </x:is>
      </x:c>
      <x:c r="N307" s="31" t="inlineStr">
        <x:is>
          <x:t xml:space="preserve">Автосоздано правилом/пользователем 11</x:t>
        </x:is>
      </x:c>
    </x:row>
    <x:row r="308">
      <x:c r="A308" s="31" t="inlineStr">
        <x:is>
          <x:t xml:space="preserve">ЗД-00307</x:t>
        </x:is>
      </x:c>
      <x:c r="B308" s="31" t="n">
        <x:v>46130</x:v>
      </x:c>
      <x:c r="C308" s="31" t="n">
        <x:v>46132</x:v>
      </x:c>
      <x:c r="D308" s="31" t="inlineStr">
        <x:is>
          <x:t xml:space="preserve">Просрочена</x:t>
        </x:is>
      </x:c>
      <x:c r="E308" s="31" t="inlineStr">
        <x:is>
          <x:t xml:space="preserve">Средний</x:t>
        </x:is>
      </x:c>
      <x:c r="F308" s="31" t="inlineStr">
        <x:is>
          <x:t xml:space="preserve">СОТР-097</x:t>
        </x:is>
      </x:c>
      <x:c r="G308" s="31" t="inlineStr">
        <x:is>
          <x:t xml:space="preserve">ОТК</x:t>
        </x:is>
      </x:c>
      <x:c r="H308" s="31" t="inlineStr">
        <x:is>
          <x:t xml:space="preserve">ОТК-00039</x:t>
        </x:is>
      </x:c>
      <x:c r="I308" s="31" t="inlineStr">
        <x:is>
          <x:t xml:space="preserve">Заблокировать отгрузку</x:t>
        </x:is>
      </x:c>
      <x:c r="J308" s="31" t="inlineStr">
        <x:is>
          <x:t xml:space="preserve">Финансы</x:t>
        </x:is>
      </x:c>
      <x:c r="K308" s="31" t="n">
        <x:v>53</x:v>
      </x:c>
      <x:c r="L308" s="31" t="inlineStr">
        <x:is>
          <x:t xml:space="preserve">Да</x:t>
        </x:is>
      </x:c>
      <x:c r="M308" s="31" t="inlineStr">
        <x:is>
          <x:t xml:space="preserve">Нет</x:t>
        </x:is>
      </x:c>
      <x:c r="N308" s="31" t="inlineStr">
        <x:is>
          <x:t xml:space="preserve">Автосоздано правилом/пользователем 1</x:t>
        </x:is>
      </x:c>
    </x:row>
    <x:row r="309">
      <x:c r="A309" s="31" t="inlineStr">
        <x:is>
          <x:t xml:space="preserve">ЗД-00308</x:t>
        </x:is>
      </x:c>
      <x:c r="B309" s="31" t="n">
        <x:v>46176</x:v>
      </x:c>
      <x:c r="C309" s="31" t="n">
        <x:v>46178</x:v>
      </x:c>
      <x:c r="D309" s="31" t="inlineStr">
        <x:is>
          <x:t xml:space="preserve">В работе</x:t>
        </x:is>
      </x:c>
      <x:c r="E309" s="31" t="inlineStr">
        <x:is>
          <x:t xml:space="preserve">Высокий</x:t>
        </x:is>
      </x:c>
      <x:c r="F309" s="31" t="inlineStr">
        <x:is>
          <x:t xml:space="preserve">СОТР-005</x:t>
        </x:is>
      </x:c>
      <x:c r="G309" s="31" t="inlineStr">
        <x:is>
          <x:t xml:space="preserve">Заказ</x:t>
        </x:is>
      </x:c>
      <x:c r="H309" s="31" t="inlineStr">
        <x:is>
          <x:t xml:space="preserve">ЗК-1081</x:t>
        </x:is>
      </x:c>
      <x:c r="I309" s="31" t="inlineStr">
        <x:is>
          <x:t xml:space="preserve">Подписать спецификацию</x:t>
        </x:is>
      </x:c>
      <x:c r="J309" s="31" t="inlineStr">
        <x:is>
          <x:t xml:space="preserve">Снабжение</x:t>
        </x:is>
      </x:c>
      <x:c r="K309" s="31" t="n">
        <x:v>0</x:v>
      </x:c>
      <x:c r="L309" s="31" t="inlineStr">
        <x:is>
          <x:t xml:space="preserve">Нет</x:t>
        </x:is>
      </x:c>
      <x:c r="M309" s="31" t="inlineStr">
        <x:is>
          <x:t xml:space="preserve">Нет</x:t>
        </x:is>
      </x:c>
      <x:c r="N309" s="31" t="inlineStr">
        <x:is>
          <x:t xml:space="preserve">Автосоздано правилом/пользователем 11</x:t>
        </x:is>
      </x:c>
    </x:row>
    <x:row r="310">
      <x:c r="A310" s="31" t="inlineStr">
        <x:is>
          <x:t xml:space="preserve">ЗД-00309</x:t>
        </x:is>
      </x:c>
      <x:c r="B310" s="31" t="n">
        <x:v>46147</x:v>
      </x:c>
      <x:c r="C310" s="31" t="n">
        <x:v>46150</x:v>
      </x:c>
      <x:c r="D310" s="31" t="inlineStr">
        <x:is>
          <x:t xml:space="preserve">Просрочена</x:t>
        </x:is>
      </x:c>
      <x:c r="E310" s="31" t="inlineStr">
        <x:is>
          <x:t xml:space="preserve">Высокий</x:t>
        </x:is>
      </x:c>
      <x:c r="F310" s="31" t="inlineStr">
        <x:is>
          <x:t xml:space="preserve">СОТР-100</x:t>
        </x:is>
      </x:c>
      <x:c r="G310" s="31" t="inlineStr">
        <x:is>
          <x:t xml:space="preserve">Производственное задание</x:t>
        </x:is>
      </x:c>
      <x:c r="H310" s="31" t="inlineStr">
        <x:is>
          <x:t xml:space="preserve">ПЗ-00139</x:t>
        </x:is>
      </x:c>
      <x:c r="I310" s="31" t="inlineStr">
        <x:is>
          <x:t xml:space="preserve">Назначить оператора</x:t>
        </x:is>
      </x:c>
      <x:c r="J310" s="31" t="inlineStr">
        <x:is>
          <x:t xml:space="preserve">Финансы</x:t>
        </x:is>
      </x:c>
      <x:c r="K310" s="31" t="n">
        <x:v>35</x:v>
      </x:c>
      <x:c r="L310" s="31" t="inlineStr">
        <x:is>
          <x:t xml:space="preserve">Нет</x:t>
        </x:is>
      </x:c>
      <x:c r="M310" s="31" t="inlineStr">
        <x:is>
          <x:t xml:space="preserve">Нет</x:t>
        </x:is>
      </x:c>
      <x:c r="N310" s="31" t="inlineStr">
        <x:is>
          <x:t xml:space="preserve">Автосоздано правилом/пользователем 8</x:t>
        </x:is>
      </x:c>
    </x:row>
    <x:row r="311">
      <x:c r="A311" s="31" t="inlineStr">
        <x:is>
          <x:t xml:space="preserve">ЗД-00310</x:t>
        </x:is>
      </x:c>
      <x:c r="B311" s="31" t="n">
        <x:v>46118</x:v>
      </x:c>
      <x:c r="C311" s="31" t="n">
        <x:v>46128</x:v>
      </x:c>
      <x:c r="D311" s="31" t="inlineStr">
        <x:is>
          <x:t xml:space="preserve">Ожидает ответа</x:t>
        </x:is>
      </x:c>
      <x:c r="E311" s="31" t="inlineStr">
        <x:is>
          <x:t xml:space="preserve">Высокий</x:t>
        </x:is>
      </x:c>
      <x:c r="F311" s="31" t="inlineStr">
        <x:is>
          <x:t xml:space="preserve">СОТР-098</x:t>
        </x:is>
      </x:c>
      <x:c r="G311" s="31" t="inlineStr">
        <x:is>
          <x:t xml:space="preserve">Производственное задание</x:t>
        </x:is>
      </x:c>
      <x:c r="H311" s="31" t="inlineStr">
        <x:is>
          <x:t xml:space="preserve">ПЗ-00166</x:t>
        </x:is>
      </x:c>
      <x:c r="I311" s="31" t="inlineStr">
        <x:is>
          <x:t xml:space="preserve">Проверить дефицит материалов</x:t>
        </x:is>
      </x:c>
      <x:c r="J311" s="31" t="inlineStr">
        <x:is>
          <x:t xml:space="preserve">Снабжение</x:t>
        </x:is>
      </x:c>
      <x:c r="K311" s="31" t="n">
        <x:v>0</x:v>
      </x:c>
      <x:c r="L311" s="31" t="inlineStr">
        <x:is>
          <x:t xml:space="preserve">Да</x:t>
        </x:is>
      </x:c>
      <x:c r="M311" s="31" t="inlineStr">
        <x:is>
          <x:t xml:space="preserve">Нет</x:t>
        </x:is>
      </x:c>
      <x:c r="N311" s="31" t="inlineStr">
        <x:is>
          <x:t xml:space="preserve">Автосоздано правилом/пользователем 5</x:t>
        </x:is>
      </x:c>
    </x:row>
    <x:row r="312">
      <x:c r="A312" s="31" t="inlineStr">
        <x:is>
          <x:t xml:space="preserve">ЗД-00311</x:t>
        </x:is>
      </x:c>
      <x:c r="B312" s="31" t="n">
        <x:v>46161</x:v>
      </x:c>
      <x:c r="C312" s="31" t="n">
        <x:v>46164</x:v>
      </x:c>
      <x:c r="D312" s="31" t="inlineStr">
        <x:is>
          <x:t xml:space="preserve">Просрочена</x:t>
        </x:is>
      </x:c>
      <x:c r="E312" s="31" t="inlineStr">
        <x:is>
          <x:t xml:space="preserve">Средний</x:t>
        </x:is>
      </x:c>
      <x:c r="F312" s="31" t="inlineStr">
        <x:is>
          <x:t xml:space="preserve">СОТР-100</x:t>
        </x:is>
      </x:c>
      <x:c r="G312" s="31" t="inlineStr">
        <x:is>
          <x:t xml:space="preserve">Производственное задание</x:t>
        </x:is>
      </x:c>
      <x:c r="H312" s="31" t="inlineStr">
        <x:is>
          <x:t xml:space="preserve">ПЗ-00091</x:t>
        </x:is>
      </x:c>
      <x:c r="I312" s="31" t="inlineStr">
        <x:is>
          <x:t xml:space="preserve">Закрыть сменный факт</x:t>
        </x:is>
      </x:c>
      <x:c r="J312" s="31" t="inlineStr">
        <x:is>
          <x:t xml:space="preserve">Производство</x:t>
        </x:is>
      </x:c>
      <x:c r="K312" s="31" t="n">
        <x:v>21</x:v>
      </x:c>
      <x:c r="L312" s="31" t="inlineStr">
        <x:is>
          <x:t xml:space="preserve">Нет</x:t>
        </x:is>
      </x:c>
      <x:c r="M312" s="31" t="inlineStr">
        <x:is>
          <x:t xml:space="preserve">Нет</x:t>
        </x:is>
      </x:c>
      <x:c r="N312" s="31" t="inlineStr">
        <x:is>
          <x:t xml:space="preserve">Автосоздано правилом/пользователем 5</x:t>
        </x:is>
      </x:c>
    </x:row>
    <x:row r="313">
      <x:c r="A313" s="31" t="inlineStr">
        <x:is>
          <x:t xml:space="preserve">ЗД-00312</x:t>
        </x:is>
      </x:c>
      <x:c r="B313" s="31" t="n">
        <x:v>46183</x:v>
      </x:c>
      <x:c r="C313" s="31" t="n">
        <x:v>46197</x:v>
      </x:c>
      <x:c r="D313" s="31" t="inlineStr">
        <x:is>
          <x:t xml:space="preserve">В работе</x:t>
        </x:is>
      </x:c>
      <x:c r="E313" s="31" t="inlineStr">
        <x:is>
          <x:t xml:space="preserve">Средний</x:t>
        </x:is>
      </x:c>
      <x:c r="F313" s="31" t="inlineStr">
        <x:is>
          <x:t xml:space="preserve">СОТР-092</x:t>
        </x:is>
      </x:c>
      <x:c r="G313" s="31" t="inlineStr">
        <x:is>
          <x:t xml:space="preserve">Производственное задание</x:t>
        </x:is>
      </x:c>
      <x:c r="H313" s="31" t="inlineStr">
        <x:is>
          <x:t xml:space="preserve">ПЗ-00259</x:t>
        </x:is>
      </x:c>
      <x:c r="I313" s="31" t="inlineStr">
        <x:is>
          <x:t xml:space="preserve">Обновить готовность</x:t>
        </x:is>
      </x:c>
      <x:c r="J313" s="31" t="inlineStr">
        <x:is>
          <x:t xml:space="preserve">Снабжение</x:t>
        </x:is>
      </x:c>
      <x:c r="K313" s="31" t="n">
        <x:v>0</x:v>
      </x:c>
      <x:c r="L313" s="31" t="inlineStr">
        <x:is>
          <x:t xml:space="preserve">Нет</x:t>
        </x:is>
      </x:c>
      <x:c r="M313" s="31" t="inlineStr">
        <x:is>
          <x:t xml:space="preserve">Нет</x:t>
        </x:is>
      </x:c>
      <x:c r="N313" s="31" t="inlineStr">
        <x:is>
          <x:t xml:space="preserve">Автосоздано правилом/пользователем 3</x:t>
        </x:is>
      </x:c>
    </x:row>
    <x:row r="314">
      <x:c r="A314" s="31" t="inlineStr">
        <x:is>
          <x:t xml:space="preserve">ЗД-00313</x:t>
        </x:is>
      </x:c>
      <x:c r="B314" s="31" t="n">
        <x:v>46172</x:v>
      </x:c>
      <x:c r="C314" s="31" t="n">
        <x:v>46175</x:v>
      </x:c>
      <x:c r="D314" s="31" t="inlineStr">
        <x:is>
          <x:t xml:space="preserve">Просрочена</x:t>
        </x:is>
      </x:c>
      <x:c r="E314" s="31" t="inlineStr">
        <x:is>
          <x:t xml:space="preserve">Срочный</x:t>
        </x:is>
      </x:c>
      <x:c r="F314" s="31" t="inlineStr">
        <x:is>
          <x:t xml:space="preserve">СОТР-100</x:t>
        </x:is>
      </x:c>
      <x:c r="G314" s="31" t="inlineStr">
        <x:is>
          <x:t xml:space="preserve">ОТК</x:t>
        </x:is>
      </x:c>
      <x:c r="H314" s="31" t="inlineStr">
        <x:is>
          <x:t xml:space="preserve">ОТК-00173</x:t>
        </x:is>
      </x:c>
      <x:c r="I314" s="31" t="inlineStr">
        <x:is>
          <x:t xml:space="preserve">Оформить корректирующие действия</x:t>
        </x:is>
      </x:c>
      <x:c r="J314" s="31" t="inlineStr">
        <x:is>
          <x:t xml:space="preserve">Снабжение</x:t>
        </x:is>
      </x:c>
      <x:c r="K314" s="31" t="n">
        <x:v>10</x:v>
      </x:c>
      <x:c r="L314" s="31" t="inlineStr">
        <x:is>
          <x:t xml:space="preserve">Нет</x:t>
        </x:is>
      </x:c>
      <x:c r="M314" s="31" t="inlineStr">
        <x:is>
          <x:t xml:space="preserve">Нет</x:t>
        </x:is>
      </x:c>
      <x:c r="N314" s="31" t="inlineStr">
        <x:is>
          <x:t xml:space="preserve">Автосоздано правилом/пользователем 4</x:t>
        </x:is>
      </x:c>
    </x:row>
    <x:row r="315">
      <x:c r="A315" s="31" t="inlineStr">
        <x:is>
          <x:t xml:space="preserve">ЗД-00314</x:t>
        </x:is>
      </x:c>
      <x:c r="B315" s="31" t="n">
        <x:v>46172</x:v>
      </x:c>
      <x:c r="C315" s="31" t="n">
        <x:v>46182</x:v>
      </x:c>
      <x:c r="D315" s="31" t="inlineStr">
        <x:is>
          <x:t xml:space="preserve">Новая</x:t>
        </x:is>
      </x:c>
      <x:c r="E315" s="31" t="inlineStr">
        <x:is>
          <x:t xml:space="preserve">Срочный</x:t>
        </x:is>
      </x:c>
      <x:c r="F315" s="31" t="inlineStr">
        <x:is>
          <x:t xml:space="preserve">СОТР-004</x:t>
        </x:is>
      </x:c>
      <x:c r="G315" s="31" t="inlineStr">
        <x:is>
          <x:t xml:space="preserve">Заказ</x:t>
        </x:is>
      </x:c>
      <x:c r="H315" s="31" t="inlineStr">
        <x:is>
          <x:t xml:space="preserve">ЗК-1021</x:t>
        </x:is>
      </x:c>
      <x:c r="I315" s="31" t="inlineStr">
        <x:is>
          <x:t xml:space="preserve">Уточнить ТЗ</x:t>
        </x:is>
      </x:c>
      <x:c r="J315" s="31" t="inlineStr">
        <x:is>
          <x:t xml:space="preserve">Продажи</x:t>
        </x:is>
      </x:c>
      <x:c r="K315" s="31" t="n">
        <x:v>0</x:v>
      </x:c>
      <x:c r="L315" s="31" t="inlineStr">
        <x:is>
          <x:t xml:space="preserve">Нет</x:t>
        </x:is>
      </x:c>
      <x:c r="M315" s="31" t="inlineStr">
        <x:is>
          <x:t xml:space="preserve">Нет</x:t>
        </x:is>
      </x:c>
      <x:c r="N315" s="31" t="inlineStr">
        <x:is>
          <x:t xml:space="preserve">Автосоздано правилом/пользователем 9</x:t>
        </x:is>
      </x:c>
    </x:row>
    <x:row r="316">
      <x:c r="A316" s="31" t="inlineStr">
        <x:is>
          <x:t xml:space="preserve">ЗД-00315</x:t>
        </x:is>
      </x:c>
      <x:c r="B316" s="31" t="n">
        <x:v>46166</x:v>
      </x:c>
      <x:c r="C316" s="31" t="n">
        <x:v>46173</x:v>
      </x:c>
      <x:c r="D316" s="31" t="inlineStr">
        <x:is>
          <x:t xml:space="preserve">Просрочена</x:t>
        </x:is>
      </x:c>
      <x:c r="E316" s="31" t="inlineStr">
        <x:is>
          <x:t xml:space="preserve">Средний</x:t>
        </x:is>
      </x:c>
      <x:c r="F316" s="31" t="inlineStr">
        <x:is>
          <x:t xml:space="preserve">СОТР-063</x:t>
        </x:is>
      </x:c>
      <x:c r="G316" s="31" t="inlineStr">
        <x:is>
          <x:t xml:space="preserve">Производственное задание</x:t>
        </x:is>
      </x:c>
      <x:c r="H316" s="31" t="inlineStr">
        <x:is>
          <x:t xml:space="preserve">ПЗ-00100</x:t>
        </x:is>
      </x:c>
      <x:c r="I316" s="31" t="inlineStr">
        <x:is>
          <x:t xml:space="preserve">Проверить дефицит материалов</x:t>
        </x:is>
      </x:c>
      <x:c r="J316" s="31" t="inlineStr">
        <x:is>
          <x:t xml:space="preserve">Сервис</x:t>
        </x:is>
      </x:c>
      <x:c r="K316" s="31" t="n">
        <x:v>12</x:v>
      </x:c>
      <x:c r="L316" s="31" t="inlineStr">
        <x:is>
          <x:t xml:space="preserve">Нет</x:t>
        </x:is>
      </x:c>
      <x:c r="M316" s="31" t="inlineStr">
        <x:is>
          <x:t xml:space="preserve">Нет</x:t>
        </x:is>
      </x:c>
      <x:c r="N316" s="31" t="inlineStr">
        <x:is>
          <x:t xml:space="preserve">Автосоздано правилом/пользователем 3</x:t>
        </x:is>
      </x:c>
    </x:row>
    <x:row r="317">
      <x:c r="A317" s="31" t="inlineStr">
        <x:is>
          <x:t xml:space="preserve">ЗД-00316</x:t>
        </x:is>
      </x:c>
      <x:c r="B317" s="31" t="n">
        <x:v>46169</x:v>
      </x:c>
      <x:c r="C317" s="31" t="n">
        <x:v>46170</x:v>
      </x:c>
      <x:c r="D317" s="31" t="inlineStr">
        <x:is>
          <x:t xml:space="preserve">Просрочена</x:t>
        </x:is>
      </x:c>
      <x:c r="E317" s="31" t="inlineStr">
        <x:is>
          <x:t xml:space="preserve">Срочный</x:t>
        </x:is>
      </x:c>
      <x:c r="F317" s="31" t="inlineStr">
        <x:is>
          <x:t xml:space="preserve">СОТР-076</x:t>
        </x:is>
      </x:c>
      <x:c r="G317" s="31" t="inlineStr">
        <x:is>
          <x:t xml:space="preserve">Счет</x:t>
        </x:is>
      </x:c>
      <x:c r="H317" s="31" t="inlineStr">
        <x:is>
          <x:t xml:space="preserve">СЧ-1029-1</x:t>
        </x:is>
      </x:c>
      <x:c r="I317" s="31" t="inlineStr">
        <x:is>
          <x:t xml:space="preserve">Напомнить об оплате</x:t>
        </x:is>
      </x:c>
      <x:c r="J317" s="31" t="inlineStr">
        <x:is>
          <x:t xml:space="preserve">Производство</x:t>
        </x:is>
      </x:c>
      <x:c r="K317" s="31" t="n">
        <x:v>15</x:v>
      </x:c>
      <x:c r="L317" s="31" t="inlineStr">
        <x:is>
          <x:t xml:space="preserve">Да</x:t>
        </x:is>
      </x:c>
      <x:c r="M317" s="31" t="inlineStr">
        <x:is>
          <x:t xml:space="preserve">Нет</x:t>
        </x:is>
      </x:c>
      <x:c r="N317" s="31" t="inlineStr">
        <x:is>
          <x:t xml:space="preserve">Автосоздано правилом/пользователем 10</x:t>
        </x:is>
      </x:c>
    </x:row>
    <x:row r="318">
      <x:c r="A318" s="31" t="inlineStr">
        <x:is>
          <x:t xml:space="preserve">ЗД-00317</x:t>
        </x:is>
      </x:c>
      <x:c r="B318" s="31" t="n">
        <x:v>46129</x:v>
      </x:c>
      <x:c r="C318" s="31" t="n">
        <x:v>46134</x:v>
      </x:c>
      <x:c r="D318" s="31" t="inlineStr">
        <x:is>
          <x:t xml:space="preserve">Ожидает ответа</x:t>
        </x:is>
      </x:c>
      <x:c r="E318" s="31" t="inlineStr">
        <x:is>
          <x:t xml:space="preserve">Высокий</x:t>
        </x:is>
      </x:c>
      <x:c r="F318" s="31" t="inlineStr">
        <x:is>
          <x:t xml:space="preserve">СОТР-076</x:t>
        </x:is>
      </x:c>
      <x:c r="G318" s="31" t="inlineStr">
        <x:is>
          <x:t xml:space="preserve">Счет</x:t>
        </x:is>
      </x:c>
      <x:c r="H318" s="31" t="inlineStr">
        <x:is>
          <x:t xml:space="preserve">СЧ-1008-1</x:t>
        </x:is>
      </x:c>
      <x:c r="I318" s="31" t="inlineStr">
        <x:is>
          <x:t xml:space="preserve">Напомнить об оплате</x:t>
        </x:is>
      </x:c>
      <x:c r="J318" s="31" t="inlineStr">
        <x:is>
          <x:t xml:space="preserve">Финансы</x:t>
        </x:is>
      </x:c>
      <x:c r="K318" s="31" t="n">
        <x:v>0</x:v>
      </x:c>
      <x:c r="L318" s="31" t="inlineStr">
        <x:is>
          <x:t xml:space="preserve">Нет</x:t>
        </x:is>
      </x:c>
      <x:c r="M318" s="31" t="inlineStr">
        <x:is>
          <x:t xml:space="preserve">Нет</x:t>
        </x:is>
      </x:c>
      <x:c r="N318" s="31" t="inlineStr">
        <x:is>
          <x:t xml:space="preserve">Автосоздано правилом/пользователем 2</x:t>
        </x:is>
      </x:c>
    </x:row>
    <x:row r="319">
      <x:c r="A319" s="31" t="inlineStr">
        <x:is>
          <x:t xml:space="preserve">ЗД-00318</x:t>
        </x:is>
      </x:c>
      <x:c r="B319" s="31" t="n">
        <x:v>46117</x:v>
      </x:c>
      <x:c r="C319" s="31" t="n">
        <x:v>46120</x:v>
      </x:c>
      <x:c r="D319" s="31" t="inlineStr">
        <x:is>
          <x:t xml:space="preserve">В работе</x:t>
        </x:is>
      </x:c>
      <x:c r="E319" s="31" t="inlineStr">
        <x:is>
          <x:t xml:space="preserve">Высокий</x:t>
        </x:is>
      </x:c>
      <x:c r="F319" s="31" t="inlineStr">
        <x:is>
          <x:t xml:space="preserve">СОТР-096</x:t>
        </x:is>
      </x:c>
      <x:c r="G319" s="31" t="inlineStr">
        <x:is>
          <x:t xml:space="preserve">Производственное задание</x:t>
        </x:is>
      </x:c>
      <x:c r="H319" s="31" t="inlineStr">
        <x:is>
          <x:t xml:space="preserve">ПЗ-00084</x:t>
        </x:is>
      </x:c>
      <x:c r="I319" s="31" t="inlineStr">
        <x:is>
          <x:t xml:space="preserve">Разобрать простой</x:t>
        </x:is>
      </x:c>
      <x:c r="J319" s="31" t="inlineStr">
        <x:is>
          <x:t xml:space="preserve">Продажи</x:t>
        </x:is>
      </x:c>
      <x:c r="K319" s="31" t="n">
        <x:v>0</x:v>
      </x:c>
      <x:c r="L319" s="31" t="inlineStr">
        <x:is>
          <x:t xml:space="preserve">Нет</x:t>
        </x:is>
      </x:c>
      <x:c r="M319" s="31" t="inlineStr">
        <x:is>
          <x:t xml:space="preserve">Нет</x:t>
        </x:is>
      </x:c>
      <x:c r="N319" s="31" t="inlineStr">
        <x:is>
          <x:t xml:space="preserve">Автосоздано правилом/пользователем 10</x:t>
        </x:is>
      </x:c>
    </x:row>
    <x:row r="320">
      <x:c r="A320" s="31" t="inlineStr">
        <x:is>
          <x:t xml:space="preserve">ЗД-00319</x:t>
        </x:is>
      </x:c>
      <x:c r="B320" s="31" t="n">
        <x:v>46161</x:v>
      </x:c>
      <x:c r="C320" s="31" t="n">
        <x:v>46171</x:v>
      </x:c>
      <x:c r="D320" s="31" t="inlineStr">
        <x:is>
          <x:t xml:space="preserve">В работе</x:t>
        </x:is>
      </x:c>
      <x:c r="E320" s="31" t="inlineStr">
        <x:is>
          <x:t xml:space="preserve">Высокий</x:t>
        </x:is>
      </x:c>
      <x:c r="F320" s="31" t="inlineStr">
        <x:is>
          <x:t xml:space="preserve">СОТР-096</x:t>
        </x:is>
      </x:c>
      <x:c r="G320" s="31" t="inlineStr">
        <x:is>
          <x:t xml:space="preserve">ОТК</x:t>
        </x:is>
      </x:c>
      <x:c r="H320" s="31" t="inlineStr">
        <x:is>
          <x:t xml:space="preserve">ОТК-00103</x:t>
        </x:is>
      </x:c>
      <x:c r="I320" s="31" t="inlineStr">
        <x:is>
          <x:t xml:space="preserve">Оформить корректирующие действия</x:t>
        </x:is>
      </x:c>
      <x:c r="J320" s="31" t="inlineStr">
        <x:is>
          <x:t xml:space="preserve">Продажи</x:t>
        </x:is>
      </x:c>
      <x:c r="K320" s="31" t="n">
        <x:v>0</x:v>
      </x:c>
      <x:c r="L320" s="31" t="inlineStr">
        <x:is>
          <x:t xml:space="preserve">Нет</x:t>
        </x:is>
      </x:c>
      <x:c r="M320" s="31" t="inlineStr">
        <x:is>
          <x:t xml:space="preserve">Нет</x:t>
        </x:is>
      </x:c>
      <x:c r="N320" s="31" t="inlineStr">
        <x:is>
          <x:t xml:space="preserve">Автосоздано правилом/пользователем 2</x:t>
        </x:is>
      </x:c>
    </x:row>
    <x:row r="321">
      <x:c r="A321" s="31" t="inlineStr">
        <x:is>
          <x:t xml:space="preserve">ЗД-00320</x:t>
        </x:is>
      </x:c>
      <x:c r="B321" s="31" t="n">
        <x:v>46163</x:v>
      </x:c>
      <x:c r="C321" s="31" t="n">
        <x:v>46165</x:v>
      </x:c>
      <x:c r="D321" s="31" t="inlineStr">
        <x:is>
          <x:t xml:space="preserve">Просрочена</x:t>
        </x:is>
      </x:c>
      <x:c r="E321" s="31" t="inlineStr">
        <x:is>
          <x:t xml:space="preserve">Средний</x:t>
        </x:is>
      </x:c>
      <x:c r="F321" s="31" t="inlineStr">
        <x:is>
          <x:t xml:space="preserve">СОТР-023</x:t>
        </x:is>
      </x:c>
      <x:c r="G321" s="31" t="inlineStr">
        <x:is>
          <x:t xml:space="preserve">Закупка</x:t>
        </x:is>
      </x:c>
      <x:c r="H321" s="31" t="inlineStr">
        <x:is>
          <x:t xml:space="preserve">ЗЗ-00045</x:t>
        </x:is>
      </x:c>
      <x:c r="I321" s="31" t="inlineStr">
        <x:is>
          <x:t xml:space="preserve">Проверить альтернативного поставщика</x:t>
        </x:is>
      </x:c>
      <x:c r="J321" s="31" t="inlineStr">
        <x:is>
          <x:t xml:space="preserve">Продажи</x:t>
        </x:is>
      </x:c>
      <x:c r="K321" s="31" t="n">
        <x:v>20</x:v>
      </x:c>
      <x:c r="L321" s="31" t="inlineStr">
        <x:is>
          <x:t xml:space="preserve">Нет</x:t>
        </x:is>
      </x:c>
      <x:c r="M321" s="31" t="inlineStr">
        <x:is>
          <x:t xml:space="preserve">Поставщик</x:t>
        </x:is>
      </x:c>
      <x:c r="N321" s="31" t="inlineStr">
        <x:is>
          <x:t xml:space="preserve">Автосоздано правилом/пользователем 12</x:t>
        </x:is>
      </x:c>
    </x:row>
    <x:row r="322">
      <x:c r="A322" s="31" t="inlineStr">
        <x:is>
          <x:t xml:space="preserve">ЗД-00321</x:t>
        </x:is>
      </x:c>
      <x:c r="B322" s="31" t="n">
        <x:v>46165</x:v>
      </x:c>
      <x:c r="C322" s="31" t="n">
        <x:v>46175</x:v>
      </x:c>
      <x:c r="D322" s="31" t="inlineStr">
        <x:is>
          <x:t xml:space="preserve">В работе</x:t>
        </x:is>
      </x:c>
      <x:c r="E322" s="31" t="inlineStr">
        <x:is>
          <x:t xml:space="preserve">Высокий</x:t>
        </x:is>
      </x:c>
      <x:c r="F322" s="31" t="inlineStr">
        <x:is>
          <x:t xml:space="preserve">СОТР-076</x:t>
        </x:is>
      </x:c>
      <x:c r="G322" s="31" t="inlineStr">
        <x:is>
          <x:t xml:space="preserve">Счет</x:t>
        </x:is>
      </x:c>
      <x:c r="H322" s="31" t="inlineStr">
        <x:is>
          <x:t xml:space="preserve">СЧ-1079-2</x:t>
        </x:is>
      </x:c>
      <x:c r="I322" s="31" t="inlineStr">
        <x:is>
          <x:t xml:space="preserve">Согласовать отгрузку при ДЗ</x:t>
        </x:is>
      </x:c>
      <x:c r="J322" s="31" t="inlineStr">
        <x:is>
          <x:t xml:space="preserve">Производство</x:t>
        </x:is>
      </x:c>
      <x:c r="K322" s="31" t="n">
        <x:v>0</x:v>
      </x:c>
      <x:c r="L322" s="31" t="inlineStr">
        <x:is>
          <x:t xml:space="preserve">Да</x:t>
        </x:is>
      </x:c>
      <x:c r="M322" s="31" t="inlineStr">
        <x:is>
          <x:t xml:space="preserve">Нет</x:t>
        </x:is>
      </x:c>
      <x:c r="N322" s="31" t="inlineStr">
        <x:is>
          <x:t xml:space="preserve">Автосоздано правилом/пользователем 4</x:t>
        </x:is>
      </x:c>
    </x:row>
    <x:row r="323">
      <x:c r="A323" s="31" t="inlineStr">
        <x:is>
          <x:t xml:space="preserve">ЗД-00322</x:t>
        </x:is>
      </x:c>
      <x:c r="B323" s="31" t="n">
        <x:v>46117</x:v>
      </x:c>
      <x:c r="C323" s="31" t="n">
        <x:v>46122</x:v>
      </x:c>
      <x:c r="D323" s="31" t="inlineStr">
        <x:is>
          <x:t xml:space="preserve">В работе</x:t>
        </x:is>
      </x:c>
      <x:c r="E323" s="31" t="inlineStr">
        <x:is>
          <x:t xml:space="preserve">Средний</x:t>
        </x:is>
      </x:c>
      <x:c r="F323" s="31" t="inlineStr">
        <x:is>
          <x:t xml:space="preserve">СОТР-004</x:t>
        </x:is>
      </x:c>
      <x:c r="G323" s="31" t="inlineStr">
        <x:is>
          <x:t xml:space="preserve">Заказ</x:t>
        </x:is>
      </x:c>
      <x:c r="H323" s="31" t="inlineStr">
        <x:is>
          <x:t xml:space="preserve">ЗК-1015</x:t>
        </x:is>
      </x:c>
      <x:c r="I323" s="31" t="inlineStr">
        <x:is>
          <x:t xml:space="preserve">Проверить лимит заказчика</x:t>
        </x:is>
      </x:c>
      <x:c r="J323" s="31" t="inlineStr">
        <x:is>
          <x:t xml:space="preserve">Продажи</x:t>
        </x:is>
      </x:c>
      <x:c r="K323" s="31" t="n">
        <x:v>0</x:v>
      </x:c>
      <x:c r="L323" s="31" t="inlineStr">
        <x:is>
          <x:t xml:space="preserve">Нет</x:t>
        </x:is>
      </x:c>
      <x:c r="M323" s="31" t="inlineStr">
        <x:is>
          <x:t xml:space="preserve">Нет</x:t>
        </x:is>
      </x:c>
      <x:c r="N323" s="31" t="inlineStr">
        <x:is>
          <x:t xml:space="preserve">Автосоздано правилом/пользователем 10</x:t>
        </x:is>
      </x:c>
    </x:row>
    <x:row r="324">
      <x:c r="A324" s="31" t="inlineStr">
        <x:is>
          <x:t xml:space="preserve">ЗД-00323</x:t>
        </x:is>
      </x:c>
      <x:c r="B324" s="31" t="n">
        <x:v>46113</x:v>
      </x:c>
      <x:c r="C324" s="31" t="n">
        <x:v>46115</x:v>
      </x:c>
      <x:c r="D324" s="31" t="inlineStr">
        <x:is>
          <x:t xml:space="preserve">Просрочена</x:t>
        </x:is>
      </x:c>
      <x:c r="E324" s="31" t="inlineStr">
        <x:is>
          <x:t xml:space="preserve">Срочный</x:t>
        </x:is>
      </x:c>
      <x:c r="F324" s="31" t="inlineStr">
        <x:is>
          <x:t xml:space="preserve">СОТР-076</x:t>
        </x:is>
      </x:c>
      <x:c r="G324" s="31" t="inlineStr">
        <x:is>
          <x:t xml:space="preserve">Счет</x:t>
        </x:is>
      </x:c>
      <x:c r="H324" s="31" t="inlineStr">
        <x:is>
          <x:t xml:space="preserve">СЧ-1007-1</x:t>
        </x:is>
      </x:c>
      <x:c r="I324" s="31" t="inlineStr">
        <x:is>
          <x:t xml:space="preserve">Напомнить об оплате</x:t>
        </x:is>
      </x:c>
      <x:c r="J324" s="31" t="inlineStr">
        <x:is>
          <x:t xml:space="preserve">ОТК</x:t>
        </x:is>
      </x:c>
      <x:c r="K324" s="31" t="n">
        <x:v>70</x:v>
      </x:c>
      <x:c r="L324" s="31" t="inlineStr">
        <x:is>
          <x:t xml:space="preserve">Нет</x:t>
        </x:is>
      </x:c>
      <x:c r="M324" s="31" t="inlineStr">
        <x:is>
          <x:t xml:space="preserve">Нет</x:t>
        </x:is>
      </x:c>
      <x:c r="N324" s="31" t="inlineStr">
        <x:is>
          <x:t xml:space="preserve">Автосоздано правилом/пользователем 11</x:t>
        </x:is>
      </x:c>
    </x:row>
    <x:row r="325">
      <x:c r="A325" s="31" t="inlineStr">
        <x:is>
          <x:t xml:space="preserve">ЗД-00324</x:t>
        </x:is>
      </x:c>
      <x:c r="B325" s="31" t="n">
        <x:v>46170</x:v>
      </x:c>
      <x:c r="C325" s="31" t="n">
        <x:v>46172</x:v>
      </x:c>
      <x:c r="D325" s="31" t="inlineStr">
        <x:is>
          <x:t xml:space="preserve">В работе</x:t>
        </x:is>
      </x:c>
      <x:c r="E325" s="31" t="inlineStr">
        <x:is>
          <x:t xml:space="preserve">Средний</x:t>
        </x:is>
      </x:c>
      <x:c r="F325" s="31" t="inlineStr">
        <x:is>
          <x:t xml:space="preserve">СОТР-076</x:t>
        </x:is>
      </x:c>
      <x:c r="G325" s="31" t="inlineStr">
        <x:is>
          <x:t xml:space="preserve">Счет</x:t>
        </x:is>
      </x:c>
      <x:c r="H325" s="31" t="inlineStr">
        <x:is>
          <x:t xml:space="preserve">СЧ-1072-1</x:t>
        </x:is>
      </x:c>
      <x:c r="I325" s="31" t="inlineStr">
        <x:is>
          <x:t xml:space="preserve">Напомнить об оплате</x:t>
        </x:is>
      </x:c>
      <x:c r="J325" s="31" t="inlineStr">
        <x:is>
          <x:t xml:space="preserve">Продажи</x:t>
        </x:is>
      </x:c>
      <x:c r="K325" s="31" t="n">
        <x:v>0</x:v>
      </x:c>
      <x:c r="L325" s="31" t="inlineStr">
        <x:is>
          <x:t xml:space="preserve">Нет</x:t>
        </x:is>
      </x:c>
      <x:c r="M325" s="31" t="inlineStr">
        <x:is>
          <x:t xml:space="preserve">Нет</x:t>
        </x:is>
      </x:c>
      <x:c r="N325" s="31" t="inlineStr">
        <x:is>
          <x:t xml:space="preserve">Автосоздано правилом/пользователем 2</x:t>
        </x:is>
      </x:c>
    </x:row>
    <x:row r="326">
      <x:c r="A326" s="31" t="inlineStr">
        <x:is>
          <x:t xml:space="preserve">ЗД-00325</x:t>
        </x:is>
      </x:c>
      <x:c r="B326" s="31" t="n">
        <x:v>46119</x:v>
      </x:c>
      <x:c r="C326" s="31" t="n">
        <x:v>46133</x:v>
      </x:c>
      <x:c r="D326" s="31" t="inlineStr">
        <x:is>
          <x:t xml:space="preserve">Просрочена</x:t>
        </x:is>
      </x:c>
      <x:c r="E326" s="31" t="inlineStr">
        <x:is>
          <x:t xml:space="preserve">Срочный</x:t>
        </x:is>
      </x:c>
      <x:c r="F326" s="31" t="inlineStr">
        <x:is>
          <x:t xml:space="preserve">СОТР-036</x:t>
        </x:is>
      </x:c>
      <x:c r="G326" s="31" t="inlineStr">
        <x:is>
          <x:t xml:space="preserve">Счет</x:t>
        </x:is>
      </x:c>
      <x:c r="H326" s="31" t="inlineStr">
        <x:is>
          <x:t xml:space="preserve">СЧ-1102-1</x:t>
        </x:is>
      </x:c>
      <x:c r="I326" s="31" t="inlineStr">
        <x:is>
          <x:t xml:space="preserve">Подготовить акт сверки</x:t>
        </x:is>
      </x:c>
      <x:c r="J326" s="31" t="inlineStr">
        <x:is>
          <x:t xml:space="preserve">Продажи</x:t>
        </x:is>
      </x:c>
      <x:c r="K326" s="31" t="n">
        <x:v>52</x:v>
      </x:c>
      <x:c r="L326" s="31" t="inlineStr">
        <x:is>
          <x:t xml:space="preserve">Да</x:t>
        </x:is>
      </x:c>
      <x:c r="M326" s="31" t="inlineStr">
        <x:is>
          <x:t xml:space="preserve">Нет</x:t>
        </x:is>
      </x:c>
      <x:c r="N326" s="31" t="inlineStr">
        <x:is>
          <x:t xml:space="preserve">Автосоздано правилом/пользователем 8</x:t>
        </x:is>
      </x:c>
    </x:row>
    <x:row r="327">
      <x:c r="A327" s="31" t="inlineStr">
        <x:is>
          <x:t xml:space="preserve">ЗД-00326</x:t>
        </x:is>
      </x:c>
      <x:c r="B327" s="31" t="n">
        <x:v>46110</x:v>
      </x:c>
      <x:c r="C327" s="31" t="n">
        <x:v>46117</x:v>
      </x:c>
      <x:c r="D327" s="31" t="inlineStr">
        <x:is>
          <x:t xml:space="preserve">В работе</x:t>
        </x:is>
      </x:c>
      <x:c r="E327" s="31" t="inlineStr">
        <x:is>
          <x:t xml:space="preserve">Средний</x:t>
        </x:is>
      </x:c>
      <x:c r="F327" s="31" t="inlineStr">
        <x:is>
          <x:t xml:space="preserve">СОТР-005</x:t>
        </x:is>
      </x:c>
      <x:c r="G327" s="31" t="inlineStr">
        <x:is>
          <x:t xml:space="preserve">Заказ</x:t>
        </x:is>
      </x:c>
      <x:c r="H327" s="31" t="inlineStr">
        <x:is>
          <x:t xml:space="preserve">ЗК-1036</x:t>
        </x:is>
      </x:c>
      <x:c r="I327" s="31" t="inlineStr">
        <x:is>
          <x:t xml:space="preserve">Подписать спецификацию</x:t>
        </x:is>
      </x:c>
      <x:c r="J327" s="31" t="inlineStr">
        <x:is>
          <x:t xml:space="preserve">Производство</x:t>
        </x:is>
      </x:c>
      <x:c r="K327" s="31" t="n">
        <x:v>0</x:v>
      </x:c>
      <x:c r="L327" s="31" t="inlineStr">
        <x:is>
          <x:t xml:space="preserve">Нет</x:t>
        </x:is>
      </x:c>
      <x:c r="M327" s="31" t="inlineStr">
        <x:is>
          <x:t xml:space="preserve">Нет</x:t>
        </x:is>
      </x:c>
      <x:c r="N327" s="31" t="inlineStr">
        <x:is>
          <x:t xml:space="preserve">Автосоздано правилом/пользователем 4</x:t>
        </x:is>
      </x:c>
    </x:row>
    <x:row r="328">
      <x:c r="A328" s="31" t="inlineStr">
        <x:is>
          <x:t xml:space="preserve">ЗД-00327</x:t>
        </x:is>
      </x:c>
      <x:c r="B328" s="31" t="n">
        <x:v>46165</x:v>
      </x:c>
      <x:c r="C328" s="31" t="n">
        <x:v>46166</x:v>
      </x:c>
      <x:c r="D328" s="31" t="inlineStr">
        <x:is>
          <x:t xml:space="preserve">Новая</x:t>
        </x:is>
      </x:c>
      <x:c r="E328" s="31" t="inlineStr">
        <x:is>
          <x:t xml:space="preserve">Средний</x:t>
        </x:is>
      </x:c>
      <x:c r="F328" s="31" t="inlineStr">
        <x:is>
          <x:t xml:space="preserve">СОТР-004</x:t>
        </x:is>
      </x:c>
      <x:c r="G328" s="31" t="inlineStr">
        <x:is>
          <x:t xml:space="preserve">Заказ</x:t>
        </x:is>
      </x:c>
      <x:c r="H328" s="31" t="inlineStr">
        <x:is>
          <x:t xml:space="preserve">ЗК-1072</x:t>
        </x:is>
      </x:c>
      <x:c r="I328" s="31" t="inlineStr">
        <x:is>
          <x:t xml:space="preserve">Уточнить ТЗ</x:t>
        </x:is>
      </x:c>
      <x:c r="J328" s="31" t="inlineStr">
        <x:is>
          <x:t xml:space="preserve">Производство</x:t>
        </x:is>
      </x:c>
      <x:c r="K328" s="31" t="n">
        <x:v>0</x:v>
      </x:c>
      <x:c r="L328" s="31" t="inlineStr">
        <x:is>
          <x:t xml:space="preserve">Нет</x:t>
        </x:is>
      </x:c>
      <x:c r="M328" s="31" t="inlineStr">
        <x:is>
          <x:t xml:space="preserve">Заказчик</x:t>
        </x:is>
      </x:c>
      <x:c r="N328" s="31" t="inlineStr">
        <x:is>
          <x:t xml:space="preserve">Автосоздано правилом/пользователем 4</x:t>
        </x:is>
      </x:c>
    </x:row>
    <x:row r="329">
      <x:c r="A329" s="31" t="inlineStr">
        <x:is>
          <x:t xml:space="preserve">ЗД-00328</x:t>
        </x:is>
      </x:c>
      <x:c r="B329" s="31" t="n">
        <x:v>46139</x:v>
      </x:c>
      <x:c r="C329" s="31" t="n">
        <x:v>46149</x:v>
      </x:c>
      <x:c r="D329" s="31" t="inlineStr">
        <x:is>
          <x:t xml:space="preserve">Выполнена</x:t>
        </x:is>
      </x:c>
      <x:c r="E329" s="31" t="inlineStr">
        <x:is>
          <x:t xml:space="preserve">Высокий</x:t>
        </x:is>
      </x:c>
      <x:c r="F329" s="31" t="inlineStr">
        <x:is>
          <x:t xml:space="preserve">СОТР-093</x:t>
        </x:is>
      </x:c>
      <x:c r="G329" s="31" t="inlineStr">
        <x:is>
          <x:t xml:space="preserve">ОТК</x:t>
        </x:is>
      </x:c>
      <x:c r="H329" s="31" t="inlineStr">
        <x:is>
          <x:t xml:space="preserve">ОТК-00035</x:t>
        </x:is>
      </x:c>
      <x:c r="I329" s="31" t="inlineStr">
        <x:is>
          <x:t xml:space="preserve">Оформить корректирующие действия</x:t>
        </x:is>
      </x:c>
      <x:c r="J329" s="31" t="inlineStr">
        <x:is>
          <x:t xml:space="preserve">Продажи</x:t>
        </x:is>
      </x:c>
      <x:c r="K329" s="31" t="n">
        <x:v>0</x:v>
      </x:c>
      <x:c r="L329" s="31" t="inlineStr">
        <x:is>
          <x:t xml:space="preserve">Нет</x:t>
        </x:is>
      </x:c>
      <x:c r="M329" s="31" t="inlineStr">
        <x:is>
          <x:t xml:space="preserve">Нет</x:t>
        </x:is>
      </x:c>
      <x:c r="N329" s="31" t="inlineStr">
        <x:is>
          <x:t xml:space="preserve">Автосоздано правилом/пользователем 11</x:t>
        </x:is>
      </x:c>
    </x:row>
    <x:row r="330">
      <x:c r="A330" s="31" t="inlineStr">
        <x:is>
          <x:t xml:space="preserve">ЗД-00329</x:t>
        </x:is>
      </x:c>
      <x:c r="B330" s="31" t="n">
        <x:v>46178</x:v>
      </x:c>
      <x:c r="C330" s="31" t="n">
        <x:v>46188</x:v>
      </x:c>
      <x:c r="D330" s="31" t="inlineStr">
        <x:is>
          <x:t xml:space="preserve">Выполнена</x:t>
        </x:is>
      </x:c>
      <x:c r="E330" s="31" t="inlineStr">
        <x:is>
          <x:t xml:space="preserve">Средний</x:t>
        </x:is>
      </x:c>
      <x:c r="F330" s="31" t="inlineStr">
        <x:is>
          <x:t xml:space="preserve">СОТР-086</x:t>
        </x:is>
      </x:c>
      <x:c r="G330" s="31" t="inlineStr">
        <x:is>
          <x:t xml:space="preserve">Заказ</x:t>
        </x:is>
      </x:c>
      <x:c r="H330" s="31" t="inlineStr">
        <x:is>
          <x:t xml:space="preserve">ЗК-1047</x:t>
        </x:is>
      </x:c>
      <x:c r="I330" s="31" t="inlineStr">
        <x:is>
          <x:t xml:space="preserve">Подписать спецификацию</x:t>
        </x:is>
      </x:c>
      <x:c r="J330" s="31" t="inlineStr">
        <x:is>
          <x:t xml:space="preserve">Производство</x:t>
        </x:is>
      </x:c>
      <x:c r="K330" s="31" t="n">
        <x:v>0</x:v>
      </x:c>
      <x:c r="L330" s="31" t="inlineStr">
        <x:is>
          <x:t xml:space="preserve">Нет</x:t>
        </x:is>
      </x:c>
      <x:c r="M330" s="31" t="inlineStr">
        <x:is>
          <x:t xml:space="preserve">Нет</x:t>
        </x:is>
      </x:c>
      <x:c r="N330" s="31" t="inlineStr">
        <x:is>
          <x:t xml:space="preserve">Автосоздано правилом/пользователем 10</x:t>
        </x:is>
      </x:c>
    </x:row>
    <x:row r="331">
      <x:c r="A331" s="31" t="inlineStr">
        <x:is>
          <x:t xml:space="preserve">ЗД-00330</x:t>
        </x:is>
      </x:c>
      <x:c r="B331" s="31" t="n">
        <x:v>46136</x:v>
      </x:c>
      <x:c r="C331" s="31" t="n">
        <x:v>46143</x:v>
      </x:c>
      <x:c r="D331" s="31" t="inlineStr">
        <x:is>
          <x:t xml:space="preserve">Просрочена</x:t>
        </x:is>
      </x:c>
      <x:c r="E331" s="31" t="inlineStr">
        <x:is>
          <x:t xml:space="preserve">Средний</x:t>
        </x:is>
      </x:c>
      <x:c r="F331" s="31" t="inlineStr">
        <x:is>
          <x:t xml:space="preserve">СОТР-114</x:t>
        </x:is>
      </x:c>
      <x:c r="G331" s="31" t="inlineStr">
        <x:is>
          <x:t xml:space="preserve">Рекламация</x:t>
        </x:is>
      </x:c>
      <x:c r="H331" s="31" t="inlineStr">
        <x:is>
          <x:t xml:space="preserve">РЕК-00005</x:t>
        </x:is>
      </x:c>
      <x:c r="I331" s="31" t="inlineStr">
        <x:is>
          <x:t xml:space="preserve">Подготовить отчет</x:t>
        </x:is>
      </x:c>
      <x:c r="J331" s="31" t="inlineStr">
        <x:is>
          <x:t xml:space="preserve">Продажи</x:t>
        </x:is>
      </x:c>
      <x:c r="K331" s="31" t="n">
        <x:v>42</x:v>
      </x:c>
      <x:c r="L331" s="31" t="inlineStr">
        <x:is>
          <x:t xml:space="preserve">Нет</x:t>
        </x:is>
      </x:c>
      <x:c r="M331" s="31" t="inlineStr">
        <x:is>
          <x:t xml:space="preserve">Нет</x:t>
        </x:is>
      </x:c>
      <x:c r="N331" s="31" t="inlineStr">
        <x:is>
          <x:t xml:space="preserve">Автосоздано правилом/пользователем 5</x:t>
        </x:is>
      </x:c>
    </x:row>
    <x:row r="332">
      <x:c r="A332" s="31" t="inlineStr">
        <x:is>
          <x:t xml:space="preserve">ЗД-00331</x:t>
        </x:is>
      </x:c>
      <x:c r="B332" s="31" t="n">
        <x:v>46143</x:v>
      </x:c>
      <x:c r="C332" s="31" t="n">
        <x:v>46145</x:v>
      </x:c>
      <x:c r="D332" s="31" t="inlineStr">
        <x:is>
          <x:t xml:space="preserve">Выполнена</x:t>
        </x:is>
      </x:c>
      <x:c r="E332" s="31" t="inlineStr">
        <x:is>
          <x:t xml:space="preserve">Средний</x:t>
        </x:is>
      </x:c>
      <x:c r="F332" s="31" t="inlineStr">
        <x:is>
          <x:t xml:space="preserve">СОТР-023</x:t>
        </x:is>
      </x:c>
      <x:c r="G332" s="31" t="inlineStr">
        <x:is>
          <x:t xml:space="preserve">Закупка</x:t>
        </x:is>
      </x:c>
      <x:c r="H332" s="31" t="inlineStr">
        <x:is>
          <x:t xml:space="preserve">ЗЗ-00044</x:t>
        </x:is>
      </x:c>
      <x:c r="I332" s="31" t="inlineStr">
        <x:is>
          <x:t xml:space="preserve">Уточнить сертификаты</x:t>
        </x:is>
      </x:c>
      <x:c r="J332" s="31" t="inlineStr">
        <x:is>
          <x:t xml:space="preserve">Продажи</x:t>
        </x:is>
      </x:c>
      <x:c r="K332" s="31" t="n">
        <x:v>0</x:v>
      </x:c>
      <x:c r="L332" s="31" t="inlineStr">
        <x:is>
          <x:t xml:space="preserve">Да</x:t>
        </x:is>
      </x:c>
      <x:c r="M332" s="31" t="inlineStr">
        <x:is>
          <x:t xml:space="preserve">Руководитель</x:t>
        </x:is>
      </x:c>
      <x:c r="N332" s="31" t="inlineStr">
        <x:is>
          <x:t xml:space="preserve">Автосоздано правилом/пользователем 1</x:t>
        </x:is>
      </x:c>
    </x:row>
    <x:row r="333">
      <x:c r="A333" s="31" t="inlineStr">
        <x:is>
          <x:t xml:space="preserve">ЗД-00332</x:t>
        </x:is>
      </x:c>
      <x:c r="B333" s="31" t="n">
        <x:v>46120</x:v>
      </x:c>
      <x:c r="C333" s="31" t="n">
        <x:v>46121</x:v>
      </x:c>
      <x:c r="D333" s="31" t="inlineStr">
        <x:is>
          <x:t xml:space="preserve">Ожидает ответа</x:t>
        </x:is>
      </x:c>
      <x:c r="E333" s="31" t="inlineStr">
        <x:is>
          <x:t xml:space="preserve">Низкий</x:t>
        </x:is>
      </x:c>
      <x:c r="F333" s="31" t="inlineStr">
        <x:is>
          <x:t xml:space="preserve">СОТР-096</x:t>
        </x:is>
      </x:c>
      <x:c r="G333" s="31" t="inlineStr">
        <x:is>
          <x:t xml:space="preserve">ОТК</x:t>
        </x:is>
      </x:c>
      <x:c r="H333" s="31" t="inlineStr">
        <x:is>
          <x:t xml:space="preserve">ОТК-00181</x:t>
        </x:is>
      </x:c>
      <x:c r="I333" s="31" t="inlineStr">
        <x:is>
          <x:t xml:space="preserve">Оформить корректирующие действия</x:t>
        </x:is>
      </x:c>
      <x:c r="J333" s="31" t="inlineStr">
        <x:is>
          <x:t xml:space="preserve">Производство</x:t>
        </x:is>
      </x:c>
      <x:c r="K333" s="31" t="n">
        <x:v>0</x:v>
      </x:c>
      <x:c r="L333" s="31" t="inlineStr">
        <x:is>
          <x:t xml:space="preserve">Нет</x:t>
        </x:is>
      </x:c>
      <x:c r="M333" s="31" t="inlineStr">
        <x:is>
          <x:t xml:space="preserve">Нет</x:t>
        </x:is>
      </x:c>
      <x:c r="N333" s="31" t="inlineStr">
        <x:is>
          <x:t xml:space="preserve">Автосоздано правилом/пользователем 2</x:t>
        </x:is>
      </x:c>
    </x:row>
    <x:row r="334">
      <x:c r="A334" s="31" t="inlineStr">
        <x:is>
          <x:t xml:space="preserve">ЗД-00333</x:t>
        </x:is>
      </x:c>
      <x:c r="B334" s="31" t="n">
        <x:v>46178</x:v>
      </x:c>
      <x:c r="C334" s="31" t="n">
        <x:v>46185</x:v>
      </x:c>
      <x:c r="D334" s="31" t="inlineStr">
        <x:is>
          <x:t xml:space="preserve">В работе</x:t>
        </x:is>
      </x:c>
      <x:c r="E334" s="31" t="inlineStr">
        <x:is>
          <x:t xml:space="preserve">Средний</x:t>
        </x:is>
      </x:c>
      <x:c r="F334" s="31" t="inlineStr">
        <x:is>
          <x:t xml:space="preserve">СОТР-097</x:t>
        </x:is>
      </x:c>
      <x:c r="G334" s="31" t="inlineStr">
        <x:is>
          <x:t xml:space="preserve">Производственное задание</x:t>
        </x:is>
      </x:c>
      <x:c r="H334" s="31" t="inlineStr">
        <x:is>
          <x:t xml:space="preserve">ПЗ-00169</x:t>
        </x:is>
      </x:c>
      <x:c r="I334" s="31" t="inlineStr">
        <x:is>
          <x:t xml:space="preserve">Проверить дефицит материалов</x:t>
        </x:is>
      </x:c>
      <x:c r="J334" s="31" t="inlineStr">
        <x:is>
          <x:t xml:space="preserve">Финансы</x:t>
        </x:is>
      </x:c>
      <x:c r="K334" s="31" t="n">
        <x:v>0</x:v>
      </x:c>
      <x:c r="L334" s="31" t="inlineStr">
        <x:is>
          <x:t xml:space="preserve">Нет</x:t>
        </x:is>
      </x:c>
      <x:c r="M334" s="31" t="inlineStr">
        <x:is>
          <x:t xml:space="preserve">Нет</x:t>
        </x:is>
      </x:c>
      <x:c r="N334" s="31" t="inlineStr">
        <x:is>
          <x:t xml:space="preserve">Автосоздано правилом/пользователем 3</x:t>
        </x:is>
      </x:c>
    </x:row>
    <x:row r="335">
      <x:c r="A335" s="31" t="inlineStr">
        <x:is>
          <x:t xml:space="preserve">ЗД-00334</x:t>
        </x:is>
      </x:c>
      <x:c r="B335" s="31" t="n">
        <x:v>46157</x:v>
      </x:c>
      <x:c r="C335" s="31" t="n">
        <x:v>46171</x:v>
      </x:c>
      <x:c r="D335" s="31" t="inlineStr">
        <x:is>
          <x:t xml:space="preserve">Просрочена</x:t>
        </x:is>
      </x:c>
      <x:c r="E335" s="31" t="inlineStr">
        <x:is>
          <x:t xml:space="preserve">Средний</x:t>
        </x:is>
      </x:c>
      <x:c r="F335" s="31" t="inlineStr">
        <x:is>
          <x:t xml:space="preserve">СОТР-099</x:t>
        </x:is>
      </x:c>
      <x:c r="G335" s="31" t="inlineStr">
        <x:is>
          <x:t xml:space="preserve">ОТК</x:t>
        </x:is>
      </x:c>
      <x:c r="H335" s="31" t="inlineStr">
        <x:is>
          <x:t xml:space="preserve">ОТК-00022</x:t>
        </x:is>
      </x:c>
      <x:c r="I335" s="31" t="inlineStr">
        <x:is>
          <x:t xml:space="preserve">Согласовать приемку с замечаниями</x:t>
        </x:is>
      </x:c>
      <x:c r="J335" s="31" t="inlineStr">
        <x:is>
          <x:t xml:space="preserve">Производство</x:t>
        </x:is>
      </x:c>
      <x:c r="K335" s="31" t="n">
        <x:v>14</x:v>
      </x:c>
      <x:c r="L335" s="31" t="inlineStr">
        <x:is>
          <x:t xml:space="preserve">Да</x:t>
        </x:is>
      </x:c>
      <x:c r="M335" s="31" t="inlineStr">
        <x:is>
          <x:t xml:space="preserve">Нет</x:t>
        </x:is>
      </x:c>
      <x:c r="N335" s="31" t="inlineStr">
        <x:is>
          <x:t xml:space="preserve">Автосоздано правилом/пользователем 12</x:t>
        </x:is>
      </x:c>
    </x:row>
    <x:row r="336">
      <x:c r="A336" s="31" t="inlineStr">
        <x:is>
          <x:t xml:space="preserve">ЗД-00335</x:t>
        </x:is>
      </x:c>
      <x:c r="B336" s="31" t="n">
        <x:v>46163</x:v>
      </x:c>
      <x:c r="C336" s="31" t="n">
        <x:v>46166</x:v>
      </x:c>
      <x:c r="D336" s="31" t="inlineStr">
        <x:is>
          <x:t xml:space="preserve">В работе</x:t>
        </x:is>
      </x:c>
      <x:c r="E336" s="31" t="inlineStr">
        <x:is>
          <x:t xml:space="preserve">Высокий</x:t>
        </x:is>
      </x:c>
      <x:c r="F336" s="31" t="inlineStr">
        <x:is>
          <x:t xml:space="preserve">СОТР-100</x:t>
        </x:is>
      </x:c>
      <x:c r="G336" s="31" t="inlineStr">
        <x:is>
          <x:t xml:space="preserve">Производственное задание</x:t>
        </x:is>
      </x:c>
      <x:c r="H336" s="31" t="inlineStr">
        <x:is>
          <x:t xml:space="preserve">ПЗ-00095</x:t>
        </x:is>
      </x:c>
      <x:c r="I336" s="31" t="inlineStr">
        <x:is>
          <x:t xml:space="preserve">Закрыть сменный факт</x:t>
        </x:is>
      </x:c>
      <x:c r="J336" s="31" t="inlineStr">
        <x:is>
          <x:t xml:space="preserve">ОТК</x:t>
        </x:is>
      </x:c>
      <x:c r="K336" s="31" t="n">
        <x:v>0</x:v>
      </x:c>
      <x:c r="L336" s="31" t="inlineStr">
        <x:is>
          <x:t xml:space="preserve">Да</x:t>
        </x:is>
      </x:c>
      <x:c r="M336" s="31" t="inlineStr">
        <x:is>
          <x:t xml:space="preserve">Нет</x:t>
        </x:is>
      </x:c>
      <x:c r="N336" s="31" t="inlineStr">
        <x:is>
          <x:t xml:space="preserve">Автосоздано правилом/пользователем 2</x:t>
        </x:is>
      </x:c>
    </x:row>
    <x:row r="337">
      <x:c r="A337" s="31" t="inlineStr">
        <x:is>
          <x:t xml:space="preserve">ЗД-00336</x:t>
        </x:is>
      </x:c>
      <x:c r="B337" s="31" t="n">
        <x:v>46150</x:v>
      </x:c>
      <x:c r="C337" s="31" t="n">
        <x:v>46152</x:v>
      </x:c>
      <x:c r="D337" s="31" t="inlineStr">
        <x:is>
          <x:t xml:space="preserve">Просрочена</x:t>
        </x:is>
      </x:c>
      <x:c r="E337" s="31" t="inlineStr">
        <x:is>
          <x:t xml:space="preserve">Средний</x:t>
        </x:is>
      </x:c>
      <x:c r="F337" s="31" t="inlineStr">
        <x:is>
          <x:t xml:space="preserve">СОТР-076</x:t>
        </x:is>
      </x:c>
      <x:c r="G337" s="31" t="inlineStr">
        <x:is>
          <x:t xml:space="preserve">Счет</x:t>
        </x:is>
      </x:c>
      <x:c r="H337" s="31" t="inlineStr">
        <x:is>
          <x:t xml:space="preserve">СЧ-1065-1</x:t>
        </x:is>
      </x:c>
      <x:c r="I337" s="31" t="inlineStr">
        <x:is>
          <x:t xml:space="preserve">Подготовить акт сверки</x:t>
        </x:is>
      </x:c>
      <x:c r="J337" s="31" t="inlineStr">
        <x:is>
          <x:t xml:space="preserve">Снабжение</x:t>
        </x:is>
      </x:c>
      <x:c r="K337" s="31" t="n">
        <x:v>33</x:v>
      </x:c>
      <x:c r="L337" s="31" t="inlineStr">
        <x:is>
          <x:t xml:space="preserve">Нет</x:t>
        </x:is>
      </x:c>
      <x:c r="M337" s="31" t="inlineStr">
        <x:is>
          <x:t xml:space="preserve">Нет</x:t>
        </x:is>
      </x:c>
      <x:c r="N337" s="31" t="inlineStr">
        <x:is>
          <x:t xml:space="preserve">Автосоздано правилом/пользователем 8</x:t>
        </x:is>
      </x:c>
    </x:row>
    <x:row r="338">
      <x:c r="A338" s="31" t="inlineStr">
        <x:is>
          <x:t xml:space="preserve">ЗД-00337</x:t>
        </x:is>
      </x:c>
      <x:c r="B338" s="31" t="n">
        <x:v>46163</x:v>
      </x:c>
      <x:c r="C338" s="31" t="n">
        <x:v>46164</x:v>
      </x:c>
      <x:c r="D338" s="31" t="inlineStr">
        <x:is>
          <x:t xml:space="preserve">Ожидает ответа</x:t>
        </x:is>
      </x:c>
      <x:c r="E338" s="31" t="inlineStr">
        <x:is>
          <x:t xml:space="preserve">Средний</x:t>
        </x:is>
      </x:c>
      <x:c r="F338" s="31" t="inlineStr">
        <x:is>
          <x:t xml:space="preserve">СОТР-076</x:t>
        </x:is>
      </x:c>
      <x:c r="G338" s="31" t="inlineStr">
        <x:is>
          <x:t xml:space="preserve">Счет</x:t>
        </x:is>
      </x:c>
      <x:c r="H338" s="31" t="inlineStr">
        <x:is>
          <x:t xml:space="preserve">СЧ-1047-1</x:t>
        </x:is>
      </x:c>
      <x:c r="I338" s="31" t="inlineStr">
        <x:is>
          <x:t xml:space="preserve">Проверить оплату</x:t>
        </x:is>
      </x:c>
      <x:c r="J338" s="31" t="inlineStr">
        <x:is>
          <x:t xml:space="preserve">Продажи</x:t>
        </x:is>
      </x:c>
      <x:c r="K338" s="31" t="n">
        <x:v>0</x:v>
      </x:c>
      <x:c r="L338" s="31" t="inlineStr">
        <x:is>
          <x:t xml:space="preserve">Нет</x:t>
        </x:is>
      </x:c>
      <x:c r="M338" s="31" t="inlineStr">
        <x:is>
          <x:t xml:space="preserve">Нет</x:t>
        </x:is>
      </x:c>
      <x:c r="N338" s="31" t="inlineStr">
        <x:is>
          <x:t xml:space="preserve">Автосоздано правилом/пользователем 7</x:t>
        </x:is>
      </x:c>
    </x:row>
    <x:row r="339">
      <x:c r="A339" s="31" t="inlineStr">
        <x:is>
          <x:t xml:space="preserve">ЗД-00338</x:t>
        </x:is>
      </x:c>
      <x:c r="B339" s="31" t="n">
        <x:v>46165</x:v>
      </x:c>
      <x:c r="C339" s="31" t="n">
        <x:v>46179</x:v>
      </x:c>
      <x:c r="D339" s="31" t="inlineStr">
        <x:is>
          <x:t xml:space="preserve">Выполнена</x:t>
        </x:is>
      </x:c>
      <x:c r="E339" s="31" t="inlineStr">
        <x:is>
          <x:t xml:space="preserve">Низкий</x:t>
        </x:is>
      </x:c>
      <x:c r="F339" s="31" t="inlineStr">
        <x:is>
          <x:t xml:space="preserve">СОТР-114</x:t>
        </x:is>
      </x:c>
      <x:c r="G339" s="31" t="inlineStr">
        <x:is>
          <x:t xml:space="preserve">Заказ</x:t>
        </x:is>
      </x:c>
      <x:c r="H339" s="31" t="inlineStr">
        <x:is>
          <x:t xml:space="preserve">ЗК-1126</x:t>
        </x:is>
      </x:c>
      <x:c r="I339" s="31" t="inlineStr">
        <x:is>
          <x:t xml:space="preserve">Подготовить КП</x:t>
        </x:is>
      </x:c>
      <x:c r="J339" s="31" t="inlineStr">
        <x:is>
          <x:t xml:space="preserve">Продажи</x:t>
        </x:is>
      </x:c>
      <x:c r="K339" s="31" t="n">
        <x:v>0</x:v>
      </x:c>
      <x:c r="L339" s="31" t="inlineStr">
        <x:is>
          <x:t xml:space="preserve">Да</x:t>
        </x:is>
      </x:c>
      <x:c r="M339" s="31" t="inlineStr">
        <x:is>
          <x:t xml:space="preserve">Нет</x:t>
        </x:is>
      </x:c>
      <x:c r="N339" s="31" t="inlineStr">
        <x:is>
          <x:t xml:space="preserve">Автосоздано правилом/пользователем 8</x:t>
        </x:is>
      </x:c>
    </x:row>
    <x:row r="340">
      <x:c r="A340" s="31" t="inlineStr">
        <x:is>
          <x:t xml:space="preserve">ЗД-00339</x:t>
        </x:is>
      </x:c>
      <x:c r="B340" s="31" t="n">
        <x:v>46130</x:v>
      </x:c>
      <x:c r="C340" s="31" t="n">
        <x:v>46140</x:v>
      </x:c>
      <x:c r="D340" s="31" t="inlineStr">
        <x:is>
          <x:t xml:space="preserve">В работе</x:t>
        </x:is>
      </x:c>
      <x:c r="E340" s="31" t="inlineStr">
        <x:is>
          <x:t xml:space="preserve">Низкий</x:t>
        </x:is>
      </x:c>
      <x:c r="F340" s="31" t="inlineStr">
        <x:is>
          <x:t xml:space="preserve">СОТР-099</x:t>
        </x:is>
      </x:c>
      <x:c r="G340" s="31" t="inlineStr">
        <x:is>
          <x:t xml:space="preserve">ОТК</x:t>
        </x:is>
      </x:c>
      <x:c r="H340" s="31" t="inlineStr">
        <x:is>
          <x:t xml:space="preserve">ОТК-00008</x:t>
        </x:is>
      </x:c>
      <x:c r="I340" s="31" t="inlineStr">
        <x:is>
          <x:t xml:space="preserve">Заблокировать отгрузку</x:t>
        </x:is>
      </x:c>
      <x:c r="J340" s="31" t="inlineStr">
        <x:is>
          <x:t xml:space="preserve">Снабжение</x:t>
        </x:is>
      </x:c>
      <x:c r="K340" s="31" t="n">
        <x:v>0</x:v>
      </x:c>
      <x:c r="L340" s="31" t="inlineStr">
        <x:is>
          <x:t xml:space="preserve">Да</x:t>
        </x:is>
      </x:c>
      <x:c r="M340" s="31" t="inlineStr">
        <x:is>
          <x:t xml:space="preserve">Нет</x:t>
        </x:is>
      </x:c>
      <x:c r="N340" s="31" t="inlineStr">
        <x:is>
          <x:t xml:space="preserve">Автосоздано правилом/пользователем 4</x:t>
        </x:is>
      </x:c>
    </x:row>
    <x:row r="341">
      <x:c r="A341" s="31" t="inlineStr">
        <x:is>
          <x:t xml:space="preserve">ЗД-00340</x:t>
        </x:is>
      </x:c>
      <x:c r="B341" s="31" t="n">
        <x:v>46178</x:v>
      </x:c>
      <x:c r="C341" s="31" t="n">
        <x:v>46180</x:v>
      </x:c>
      <x:c r="D341" s="31" t="inlineStr">
        <x:is>
          <x:t xml:space="preserve">Просрочена</x:t>
        </x:is>
      </x:c>
      <x:c r="E341" s="31" t="inlineStr">
        <x:is>
          <x:t xml:space="preserve">Средний</x:t>
        </x:is>
      </x:c>
      <x:c r="F341" s="31" t="inlineStr">
        <x:is>
          <x:t xml:space="preserve">СОТР-099</x:t>
        </x:is>
      </x:c>
      <x:c r="G341" s="31" t="inlineStr">
        <x:is>
          <x:t xml:space="preserve">Производственное задание</x:t>
        </x:is>
      </x:c>
      <x:c r="H341" s="31" t="inlineStr">
        <x:is>
          <x:t xml:space="preserve">ПЗ-00112</x:t>
        </x:is>
      </x:c>
      <x:c r="I341" s="31" t="inlineStr">
        <x:is>
          <x:t xml:space="preserve">Разобрать простой</x:t>
        </x:is>
      </x:c>
      <x:c r="J341" s="31" t="inlineStr">
        <x:is>
          <x:t xml:space="preserve">Снабжение</x:t>
        </x:is>
      </x:c>
      <x:c r="K341" s="31" t="n">
        <x:v>5</x:v>
      </x:c>
      <x:c r="L341" s="31" t="inlineStr">
        <x:is>
          <x:t xml:space="preserve">Да</x:t>
        </x:is>
      </x:c>
      <x:c r="M341" s="31" t="inlineStr">
        <x:is>
          <x:t xml:space="preserve">Нет</x:t>
        </x:is>
      </x:c>
      <x:c r="N341" s="31" t="inlineStr">
        <x:is>
          <x:t xml:space="preserve">Автосоздано правилом/пользователем 5</x:t>
        </x:is>
      </x:c>
    </x:row>
    <x:row r="342">
      <x:c r="A342" s="31" t="inlineStr">
        <x:is>
          <x:t xml:space="preserve">ЗД-00341</x:t>
        </x:is>
      </x:c>
      <x:c r="B342" s="31" t="n">
        <x:v>46124</x:v>
      </x:c>
      <x:c r="C342" s="31" t="n">
        <x:v>46127</x:v>
      </x:c>
      <x:c r="D342" s="31" t="inlineStr">
        <x:is>
          <x:t xml:space="preserve">Просрочена</x:t>
        </x:is>
      </x:c>
      <x:c r="E342" s="31" t="inlineStr">
        <x:is>
          <x:t xml:space="preserve">Средний</x:t>
        </x:is>
      </x:c>
      <x:c r="F342" s="31" t="inlineStr">
        <x:is>
          <x:t xml:space="preserve">СОТР-092</x:t>
        </x:is>
      </x:c>
      <x:c r="G342" s="31" t="inlineStr">
        <x:is>
          <x:t xml:space="preserve">ОТК</x:t>
        </x:is>
      </x:c>
      <x:c r="H342" s="31" t="inlineStr">
        <x:is>
          <x:t xml:space="preserve">ОТК-00069</x:t>
        </x:is>
      </x:c>
      <x:c r="I342" s="31" t="inlineStr">
        <x:is>
          <x:t xml:space="preserve">Согласовать приемку с замечаниями</x:t>
        </x:is>
      </x:c>
      <x:c r="J342" s="31" t="inlineStr">
        <x:is>
          <x:t xml:space="preserve">Продажи</x:t>
        </x:is>
      </x:c>
      <x:c r="K342" s="31" t="n">
        <x:v>58</x:v>
      </x:c>
      <x:c r="L342" s="31" t="inlineStr">
        <x:is>
          <x:t xml:space="preserve">Да</x:t>
        </x:is>
      </x:c>
      <x:c r="M342" s="31" t="inlineStr">
        <x:is>
          <x:t xml:space="preserve">Нет</x:t>
        </x:is>
      </x:c>
      <x:c r="N342" s="31" t="inlineStr">
        <x:is>
          <x:t xml:space="preserve">Автосоздано правилом/пользователем 6</x:t>
        </x:is>
      </x:c>
    </x:row>
    <x:row r="343">
      <x:c r="A343" s="31" t="inlineStr">
        <x:is>
          <x:t xml:space="preserve">ЗД-00342</x:t>
        </x:is>
      </x:c>
      <x:c r="B343" s="31" t="n">
        <x:v>46182</x:v>
      </x:c>
      <x:c r="C343" s="31" t="n">
        <x:v>46183</x:v>
      </x:c>
      <x:c r="D343" s="31" t="inlineStr">
        <x:is>
          <x:t xml:space="preserve">В работе</x:t>
        </x:is>
      </x:c>
      <x:c r="E343" s="31" t="inlineStr">
        <x:is>
          <x:t xml:space="preserve">Средний</x:t>
        </x:is>
      </x:c>
      <x:c r="F343" s="31" t="inlineStr">
        <x:is>
          <x:t xml:space="preserve">СОТР-092</x:t>
        </x:is>
      </x:c>
      <x:c r="G343" s="31" t="inlineStr">
        <x:is>
          <x:t xml:space="preserve">Производственное задание</x:t>
        </x:is>
      </x:c>
      <x:c r="H343" s="31" t="inlineStr">
        <x:is>
          <x:t xml:space="preserve">ПЗ-00106</x:t>
        </x:is>
      </x:c>
      <x:c r="I343" s="31" t="inlineStr">
        <x:is>
          <x:t xml:space="preserve">Разобрать простой</x:t>
        </x:is>
      </x:c>
      <x:c r="J343" s="31" t="inlineStr">
        <x:is>
          <x:t xml:space="preserve">Снабжение</x:t>
        </x:is>
      </x:c>
      <x:c r="K343" s="31" t="n">
        <x:v>0</x:v>
      </x:c>
      <x:c r="L343" s="31" t="inlineStr">
        <x:is>
          <x:t xml:space="preserve">Нет</x:t>
        </x:is>
      </x:c>
      <x:c r="M343" s="31" t="inlineStr">
        <x:is>
          <x:t xml:space="preserve">Нет</x:t>
        </x:is>
      </x:c>
      <x:c r="N343" s="31" t="inlineStr">
        <x:is>
          <x:t xml:space="preserve">Автосоздано правилом/пользователем 5</x:t>
        </x:is>
      </x:c>
    </x:row>
    <x:row r="344">
      <x:c r="A344" s="31" t="inlineStr">
        <x:is>
          <x:t xml:space="preserve">ЗД-00343</x:t>
        </x:is>
      </x:c>
      <x:c r="B344" s="31" t="n">
        <x:v>46155</x:v>
      </x:c>
      <x:c r="C344" s="31" t="n">
        <x:v>46156</x:v>
      </x:c>
      <x:c r="D344" s="31" t="inlineStr">
        <x:is>
          <x:t xml:space="preserve">Выполнена</x:t>
        </x:is>
      </x:c>
      <x:c r="E344" s="31" t="inlineStr">
        <x:is>
          <x:t xml:space="preserve">Средний</x:t>
        </x:is>
      </x:c>
      <x:c r="F344" s="31" t="inlineStr">
        <x:is>
          <x:t xml:space="preserve">СОТР-003</x:t>
        </x:is>
      </x:c>
      <x:c r="G344" s="31" t="inlineStr">
        <x:is>
          <x:t xml:space="preserve">Заказ</x:t>
        </x:is>
      </x:c>
      <x:c r="H344" s="31" t="inlineStr">
        <x:is>
          <x:t xml:space="preserve">ЗК-1069</x:t>
        </x:is>
      </x:c>
      <x:c r="I344" s="31" t="inlineStr">
        <x:is>
          <x:t xml:space="preserve">Подписать спецификацию</x:t>
        </x:is>
      </x:c>
      <x:c r="J344" s="31" t="inlineStr">
        <x:is>
          <x:t xml:space="preserve">Производство</x:t>
        </x:is>
      </x:c>
      <x:c r="K344" s="31" t="n">
        <x:v>0</x:v>
      </x:c>
      <x:c r="L344" s="31" t="inlineStr">
        <x:is>
          <x:t xml:space="preserve">Да</x:t>
        </x:is>
      </x:c>
      <x:c r="M344" s="31" t="inlineStr">
        <x:is>
          <x:t xml:space="preserve">Нет</x:t>
        </x:is>
      </x:c>
      <x:c r="N344" s="31" t="inlineStr">
        <x:is>
          <x:t xml:space="preserve">Автосоздано правилом/пользователем 9</x:t>
        </x:is>
      </x:c>
    </x:row>
    <x:row r="345">
      <x:c r="A345" s="31" t="inlineStr">
        <x:is>
          <x:t xml:space="preserve">ЗД-00344</x:t>
        </x:is>
      </x:c>
      <x:c r="B345" s="31" t="n">
        <x:v>46165</x:v>
      </x:c>
      <x:c r="C345" s="31" t="n">
        <x:v>46167</x:v>
      </x:c>
      <x:c r="D345" s="31" t="inlineStr">
        <x:is>
          <x:t xml:space="preserve">Просрочена</x:t>
        </x:is>
      </x:c>
      <x:c r="E345" s="31" t="inlineStr">
        <x:is>
          <x:t xml:space="preserve">Низкий</x:t>
        </x:is>
      </x:c>
      <x:c r="F345" s="31" t="inlineStr">
        <x:is>
          <x:t xml:space="preserve">СОТР-033</x:t>
        </x:is>
      </x:c>
      <x:c r="G345" s="31" t="inlineStr">
        <x:is>
          <x:t xml:space="preserve">ОТК</x:t>
        </x:is>
      </x:c>
      <x:c r="H345" s="31" t="inlineStr">
        <x:is>
          <x:t xml:space="preserve">ОТК-00175</x:t>
        </x:is>
      </x:c>
      <x:c r="I345" s="31" t="inlineStr">
        <x:is>
          <x:t xml:space="preserve">Заблокировать отгрузку</x:t>
        </x:is>
      </x:c>
      <x:c r="J345" s="31" t="inlineStr">
        <x:is>
          <x:t xml:space="preserve">ОТК</x:t>
        </x:is>
      </x:c>
      <x:c r="K345" s="31" t="n">
        <x:v>18</x:v>
      </x:c>
      <x:c r="L345" s="31" t="inlineStr">
        <x:is>
          <x:t xml:space="preserve">Да</x:t>
        </x:is>
      </x:c>
      <x:c r="M345" s="31" t="inlineStr">
        <x:is>
          <x:t xml:space="preserve">Поставщик</x:t>
        </x:is>
      </x:c>
      <x:c r="N345" s="31" t="inlineStr">
        <x:is>
          <x:t xml:space="preserve">Автосоздано правилом/пользователем 10</x:t>
        </x:is>
      </x:c>
    </x:row>
    <x:row r="346">
      <x:c r="A346" s="31" t="inlineStr">
        <x:is>
          <x:t xml:space="preserve">ЗД-00345</x:t>
        </x:is>
      </x:c>
      <x:c r="B346" s="31" t="n">
        <x:v>46146</x:v>
      </x:c>
      <x:c r="C346" s="31" t="n">
        <x:v>46156</x:v>
      </x:c>
      <x:c r="D346" s="31" t="inlineStr">
        <x:is>
          <x:t xml:space="preserve">Просрочена</x:t>
        </x:is>
      </x:c>
      <x:c r="E346" s="31" t="inlineStr">
        <x:is>
          <x:t xml:space="preserve">Средний</x:t>
        </x:is>
      </x:c>
      <x:c r="F346" s="31" t="inlineStr">
        <x:is>
          <x:t xml:space="preserve">СОТР-080</x:t>
        </x:is>
      </x:c>
      <x:c r="G346" s="31" t="inlineStr">
        <x:is>
          <x:t xml:space="preserve">Заказ</x:t>
        </x:is>
      </x:c>
      <x:c r="H346" s="31" t="inlineStr">
        <x:is>
          <x:t xml:space="preserve">ЗК-1031</x:t>
        </x:is>
      </x:c>
      <x:c r="I346" s="31" t="inlineStr">
        <x:is>
          <x:t xml:space="preserve">Подготовить КП</x:t>
        </x:is>
      </x:c>
      <x:c r="J346" s="31" t="inlineStr">
        <x:is>
          <x:t xml:space="preserve">Снабжение</x:t>
        </x:is>
      </x:c>
      <x:c r="K346" s="31" t="n">
        <x:v>29</x:v>
      </x:c>
      <x:c r="L346" s="31" t="inlineStr">
        <x:is>
          <x:t xml:space="preserve">Да</x:t>
        </x:is>
      </x:c>
      <x:c r="M346" s="31" t="inlineStr">
        <x:is>
          <x:t xml:space="preserve">Заказчик</x:t>
        </x:is>
      </x:c>
      <x:c r="N346" s="31" t="inlineStr">
        <x:is>
          <x:t xml:space="preserve">Автосоздано правилом/пользователем 7</x:t>
        </x:is>
      </x:c>
    </x:row>
    <x:row r="347">
      <x:c r="A347" s="31" t="inlineStr">
        <x:is>
          <x:t xml:space="preserve">ЗД-00346</x:t>
        </x:is>
      </x:c>
      <x:c r="B347" s="31" t="n">
        <x:v>46159</x:v>
      </x:c>
      <x:c r="C347" s="31" t="n">
        <x:v>46164</x:v>
      </x:c>
      <x:c r="D347" s="31" t="inlineStr">
        <x:is>
          <x:t xml:space="preserve">В работе</x:t>
        </x:is>
      </x:c>
      <x:c r="E347" s="31" t="inlineStr">
        <x:is>
          <x:t xml:space="preserve">Высокий</x:t>
        </x:is>
      </x:c>
      <x:c r="F347" s="31" t="inlineStr">
        <x:is>
          <x:t xml:space="preserve">СОТР-076</x:t>
        </x:is>
      </x:c>
      <x:c r="G347" s="31" t="inlineStr">
        <x:is>
          <x:t xml:space="preserve">Счет</x:t>
        </x:is>
      </x:c>
      <x:c r="H347" s="31" t="inlineStr">
        <x:is>
          <x:t xml:space="preserve">СЧ-1047-1</x:t>
        </x:is>
      </x:c>
      <x:c r="I347" s="31" t="inlineStr">
        <x:is>
          <x:t xml:space="preserve">Согласовать отгрузку при ДЗ</x:t>
        </x:is>
      </x:c>
      <x:c r="J347" s="31" t="inlineStr">
        <x:is>
          <x:t xml:space="preserve">Продажи</x:t>
        </x:is>
      </x:c>
      <x:c r="K347" s="31" t="n">
        <x:v>0</x:v>
      </x:c>
      <x:c r="L347" s="31" t="inlineStr">
        <x:is>
          <x:t xml:space="preserve">Нет</x:t>
        </x:is>
      </x:c>
      <x:c r="M347" s="31" t="inlineStr">
        <x:is>
          <x:t xml:space="preserve">Нет</x:t>
        </x:is>
      </x:c>
      <x:c r="N347" s="31" t="inlineStr">
        <x:is>
          <x:t xml:space="preserve">Автосоздано правилом/пользователем 3</x:t>
        </x:is>
      </x:c>
    </x:row>
    <x:row r="348">
      <x:c r="A348" s="31" t="inlineStr">
        <x:is>
          <x:t xml:space="preserve">ЗД-00347</x:t>
        </x:is>
      </x:c>
      <x:c r="B348" s="31" t="n">
        <x:v>46158</x:v>
      </x:c>
      <x:c r="C348" s="31" t="n">
        <x:v>46160</x:v>
      </x:c>
      <x:c r="D348" s="31" t="inlineStr">
        <x:is>
          <x:t xml:space="preserve">Выполнена</x:t>
        </x:is>
      </x:c>
      <x:c r="E348" s="31" t="inlineStr">
        <x:is>
          <x:t xml:space="preserve">Высокий</x:t>
        </x:is>
      </x:c>
      <x:c r="F348" s="31" t="inlineStr">
        <x:is>
          <x:t xml:space="preserve">СОТР-006</x:t>
        </x:is>
      </x:c>
      <x:c r="G348" s="31" t="inlineStr">
        <x:is>
          <x:t xml:space="preserve">Счет</x:t>
        </x:is>
      </x:c>
      <x:c r="H348" s="31" t="inlineStr">
        <x:is>
          <x:t xml:space="preserve">СЧ-1122-1</x:t>
        </x:is>
      </x:c>
      <x:c r="I348" s="31" t="inlineStr">
        <x:is>
          <x:t xml:space="preserve">Согласовать отгрузку при ДЗ</x:t>
        </x:is>
      </x:c>
      <x:c r="J348" s="31" t="inlineStr">
        <x:is>
          <x:t xml:space="preserve">Снабжение</x:t>
        </x:is>
      </x:c>
      <x:c r="K348" s="31" t="n">
        <x:v>0</x:v>
      </x:c>
      <x:c r="L348" s="31" t="inlineStr">
        <x:is>
          <x:t xml:space="preserve">Нет</x:t>
        </x:is>
      </x:c>
      <x:c r="M348" s="31" t="inlineStr">
        <x:is>
          <x:t xml:space="preserve">Нет</x:t>
        </x:is>
      </x:c>
      <x:c r="N348" s="31" t="inlineStr">
        <x:is>
          <x:t xml:space="preserve">Автосоздано правилом/пользователем 12</x:t>
        </x:is>
      </x:c>
    </x:row>
    <x:row r="349">
      <x:c r="A349" s="31" t="inlineStr">
        <x:is>
          <x:t xml:space="preserve">ЗД-00348</x:t>
        </x:is>
      </x:c>
      <x:c r="B349" s="31" t="n">
        <x:v>46113</x:v>
      </x:c>
      <x:c r="C349" s="31" t="n">
        <x:v>46115</x:v>
      </x:c>
      <x:c r="D349" s="31" t="inlineStr">
        <x:is>
          <x:t xml:space="preserve">Просрочена</x:t>
        </x:is>
      </x:c>
      <x:c r="E349" s="31" t="inlineStr">
        <x:is>
          <x:t xml:space="preserve">Средний</x:t>
        </x:is>
      </x:c>
      <x:c r="F349" s="31" t="inlineStr">
        <x:is>
          <x:t xml:space="preserve">СОТР-100</x:t>
        </x:is>
      </x:c>
      <x:c r="G349" s="31" t="inlineStr">
        <x:is>
          <x:t xml:space="preserve">ОТК</x:t>
        </x:is>
      </x:c>
      <x:c r="H349" s="31" t="inlineStr">
        <x:is>
          <x:t xml:space="preserve">ОТК-00016</x:t>
        </x:is>
      </x:c>
      <x:c r="I349" s="31" t="inlineStr">
        <x:is>
          <x:t xml:space="preserve">Согласовать приемку с замечаниями</x:t>
        </x:is>
      </x:c>
      <x:c r="J349" s="31" t="inlineStr">
        <x:is>
          <x:t xml:space="preserve">Производство</x:t>
        </x:is>
      </x:c>
      <x:c r="K349" s="31" t="n">
        <x:v>70</x:v>
      </x:c>
      <x:c r="L349" s="31" t="inlineStr">
        <x:is>
          <x:t xml:space="preserve">Нет</x:t>
        </x:is>
      </x:c>
      <x:c r="M349" s="31" t="inlineStr">
        <x:is>
          <x:t xml:space="preserve">Руководитель</x:t>
        </x:is>
      </x:c>
      <x:c r="N349" s="31" t="inlineStr">
        <x:is>
          <x:t xml:space="preserve">Автосоздано правилом/пользователем 4</x:t>
        </x:is>
      </x:c>
    </x:row>
    <x:row r="350">
      <x:c r="A350" s="31" t="inlineStr">
        <x:is>
          <x:t xml:space="preserve">ЗД-00349</x:t>
        </x:is>
      </x:c>
      <x:c r="B350" s="31" t="n">
        <x:v>46122</x:v>
      </x:c>
      <x:c r="C350" s="31" t="n">
        <x:v>46123</x:v>
      </x:c>
      <x:c r="D350" s="31" t="inlineStr">
        <x:is>
          <x:t xml:space="preserve">Выполнена</x:t>
        </x:is>
      </x:c>
      <x:c r="E350" s="31" t="inlineStr">
        <x:is>
          <x:t xml:space="preserve">Средний</x:t>
        </x:is>
      </x:c>
      <x:c r="F350" s="31" t="inlineStr">
        <x:is>
          <x:t xml:space="preserve">СОТР-063</x:t>
        </x:is>
      </x:c>
      <x:c r="G350" s="31" t="inlineStr">
        <x:is>
          <x:t xml:space="preserve">Производственное задание</x:t>
        </x:is>
      </x:c>
      <x:c r="H350" s="31" t="inlineStr">
        <x:is>
          <x:t xml:space="preserve">ПЗ-00225</x:t>
        </x:is>
      </x:c>
      <x:c r="I350" s="31" t="inlineStr">
        <x:is>
          <x:t xml:space="preserve">Закрыть сменный факт</x:t>
        </x:is>
      </x:c>
      <x:c r="J350" s="31" t="inlineStr">
        <x:is>
          <x:t xml:space="preserve">Сервис</x:t>
        </x:is>
      </x:c>
      <x:c r="K350" s="31" t="n">
        <x:v>0</x:v>
      </x:c>
      <x:c r="L350" s="31" t="inlineStr">
        <x:is>
          <x:t xml:space="preserve">Нет</x:t>
        </x:is>
      </x:c>
      <x:c r="M350" s="31" t="inlineStr">
        <x:is>
          <x:t xml:space="preserve">Нет</x:t>
        </x:is>
      </x:c>
      <x:c r="N350" s="31" t="inlineStr">
        <x:is>
          <x:t xml:space="preserve">Автосоздано правилом/пользователем 12</x:t>
        </x:is>
      </x:c>
    </x:row>
    <x:row r="351">
      <x:c r="A351" s="31" t="inlineStr">
        <x:is>
          <x:t xml:space="preserve">ЗД-00350</x:t>
        </x:is>
      </x:c>
      <x:c r="B351" s="31" t="n">
        <x:v>46144</x:v>
      </x:c>
      <x:c r="C351" s="31" t="n">
        <x:v>46147</x:v>
      </x:c>
      <x:c r="D351" s="31" t="inlineStr">
        <x:is>
          <x:t xml:space="preserve">Просрочена</x:t>
        </x:is>
      </x:c>
      <x:c r="E351" s="31" t="inlineStr">
        <x:is>
          <x:t xml:space="preserve">Срочный</x:t>
        </x:is>
      </x:c>
      <x:c r="F351" s="31" t="inlineStr">
        <x:is>
          <x:t xml:space="preserve">СОТР-099</x:t>
        </x:is>
      </x:c>
      <x:c r="G351" s="31" t="inlineStr">
        <x:is>
          <x:t xml:space="preserve">ОТК</x:t>
        </x:is>
      </x:c>
      <x:c r="H351" s="31" t="inlineStr">
        <x:is>
          <x:t xml:space="preserve">ОТК-00162</x:t>
        </x:is>
      </x:c>
      <x:c r="I351" s="31" t="inlineStr">
        <x:is>
          <x:t xml:space="preserve">Проверить доработку</x:t>
        </x:is>
      </x:c>
      <x:c r="J351" s="31" t="inlineStr">
        <x:is>
          <x:t xml:space="preserve">Продажи</x:t>
        </x:is>
      </x:c>
      <x:c r="K351" s="31" t="n">
        <x:v>38</x:v>
      </x:c>
      <x:c r="L351" s="31" t="inlineStr">
        <x:is>
          <x:t xml:space="preserve">Нет</x:t>
        </x:is>
      </x:c>
      <x:c r="M351" s="31" t="inlineStr">
        <x:is>
          <x:t xml:space="preserve">Поставщик</x:t>
        </x:is>
      </x:c>
      <x:c r="N351" s="31" t="inlineStr">
        <x:is>
          <x:t xml:space="preserve">Автосоздано правилом/пользователем 1</x:t>
        </x:is>
      </x:c>
    </x:row>
    <x:row r="352">
      <x:c r="A352" s="31" t="inlineStr">
        <x:is>
          <x:t xml:space="preserve">ЗД-00351</x:t>
        </x:is>
      </x:c>
      <x:c r="B352" s="31" t="n">
        <x:v>46167</x:v>
      </x:c>
      <x:c r="C352" s="31" t="n">
        <x:v>46172</x:v>
      </x:c>
      <x:c r="D352" s="31" t="inlineStr">
        <x:is>
          <x:t xml:space="preserve">Ожидает ответа</x:t>
        </x:is>
      </x:c>
      <x:c r="E352" s="31" t="inlineStr">
        <x:is>
          <x:t xml:space="preserve">Средний</x:t>
        </x:is>
      </x:c>
      <x:c r="F352" s="31" t="inlineStr">
        <x:is>
          <x:t xml:space="preserve">СОТР-004</x:t>
        </x:is>
      </x:c>
      <x:c r="G352" s="31" t="inlineStr">
        <x:is>
          <x:t xml:space="preserve">Заказ</x:t>
        </x:is>
      </x:c>
      <x:c r="H352" s="31" t="inlineStr">
        <x:is>
          <x:t xml:space="preserve">ЗК-1110</x:t>
        </x:is>
      </x:c>
      <x:c r="I352" s="31" t="inlineStr">
        <x:is>
          <x:t xml:space="preserve">Подписать спецификацию</x:t>
        </x:is>
      </x:c>
      <x:c r="J352" s="31" t="inlineStr">
        <x:is>
          <x:t xml:space="preserve">Продажи</x:t>
        </x:is>
      </x:c>
      <x:c r="K352" s="31" t="n">
        <x:v>0</x:v>
      </x:c>
      <x:c r="L352" s="31" t="inlineStr">
        <x:is>
          <x:t xml:space="preserve">Да</x:t>
        </x:is>
      </x:c>
      <x:c r="M352" s="31" t="inlineStr">
        <x:is>
          <x:t xml:space="preserve">Нет</x:t>
        </x:is>
      </x:c>
      <x:c r="N352" s="31" t="inlineStr">
        <x:is>
          <x:t xml:space="preserve">Автосоздано правилом/пользователем 6</x:t>
        </x:is>
      </x:c>
    </x:row>
    <x:row r="353">
      <x:c r="A353" s="31" t="inlineStr">
        <x:is>
          <x:t xml:space="preserve">ЗД-00352</x:t>
        </x:is>
      </x:c>
      <x:c r="B353" s="31" t="n">
        <x:v>46135</x:v>
      </x:c>
      <x:c r="C353" s="31" t="n">
        <x:v>46137</x:v>
      </x:c>
      <x:c r="D353" s="31" t="inlineStr">
        <x:is>
          <x:t xml:space="preserve">Выполнена</x:t>
        </x:is>
      </x:c>
      <x:c r="E353" s="31" t="inlineStr">
        <x:is>
          <x:t xml:space="preserve">Средний</x:t>
        </x:is>
      </x:c>
      <x:c r="F353" s="31" t="inlineStr">
        <x:is>
          <x:t xml:space="preserve">СОТР-005</x:t>
        </x:is>
      </x:c>
      <x:c r="G353" s="31" t="inlineStr">
        <x:is>
          <x:t xml:space="preserve">Заказ</x:t>
        </x:is>
      </x:c>
      <x:c r="H353" s="31" t="inlineStr">
        <x:is>
          <x:t xml:space="preserve">ЗК-1129</x:t>
        </x:is>
      </x:c>
      <x:c r="I353" s="31" t="inlineStr">
        <x:is>
          <x:t xml:space="preserve">Проверить лимит заказчика</x:t>
        </x:is>
      </x:c>
      <x:c r="J353" s="31" t="inlineStr">
        <x:is>
          <x:t xml:space="preserve">Продажи</x:t>
        </x:is>
      </x:c>
      <x:c r="K353" s="31" t="n">
        <x:v>0</x:v>
      </x:c>
      <x:c r="L353" s="31" t="inlineStr">
        <x:is>
          <x:t xml:space="preserve">Нет</x:t>
        </x:is>
      </x:c>
      <x:c r="M353" s="31" t="inlineStr">
        <x:is>
          <x:t xml:space="preserve">Нет</x:t>
        </x:is>
      </x:c>
      <x:c r="N353" s="31" t="inlineStr">
        <x:is>
          <x:t xml:space="preserve">Автосоздано правилом/пользователем 3</x:t>
        </x:is>
      </x:c>
    </x:row>
    <x:row r="354">
      <x:c r="A354" s="31" t="inlineStr">
        <x:is>
          <x:t xml:space="preserve">ЗД-00353</x:t>
        </x:is>
      </x:c>
      <x:c r="B354" s="31" t="n">
        <x:v>46145</x:v>
      </x:c>
      <x:c r="C354" s="31" t="n">
        <x:v>46148</x:v>
      </x:c>
      <x:c r="D354" s="31" t="inlineStr">
        <x:is>
          <x:t xml:space="preserve">В работе</x:t>
        </x:is>
      </x:c>
      <x:c r="E354" s="31" t="inlineStr">
        <x:is>
          <x:t xml:space="preserve">Средний</x:t>
        </x:is>
      </x:c>
      <x:c r="F354" s="31" t="inlineStr">
        <x:is>
          <x:t xml:space="preserve">СОТР-025</x:t>
        </x:is>
      </x:c>
      <x:c r="G354" s="31" t="inlineStr">
        <x:is>
          <x:t xml:space="preserve">Счет</x:t>
        </x:is>
      </x:c>
      <x:c r="H354" s="31" t="inlineStr">
        <x:is>
          <x:t xml:space="preserve">СЧ-1018-1</x:t>
        </x:is>
      </x:c>
      <x:c r="I354" s="31" t="inlineStr">
        <x:is>
          <x:t xml:space="preserve">Подготовить акт сверки</x:t>
        </x:is>
      </x:c>
      <x:c r="J354" s="31" t="inlineStr">
        <x:is>
          <x:t xml:space="preserve">Снабжение</x:t>
        </x:is>
      </x:c>
      <x:c r="K354" s="31" t="n">
        <x:v>0</x:v>
      </x:c>
      <x:c r="L354" s="31" t="inlineStr">
        <x:is>
          <x:t xml:space="preserve">Нет</x:t>
        </x:is>
      </x:c>
      <x:c r="M354" s="31" t="inlineStr">
        <x:is>
          <x:t xml:space="preserve">Нет</x:t>
        </x:is>
      </x:c>
      <x:c r="N354" s="31" t="inlineStr">
        <x:is>
          <x:t xml:space="preserve">Автосоздано правилом/пользователем 7</x:t>
        </x:is>
      </x:c>
    </x:row>
    <x:row r="355">
      <x:c r="A355" s="31" t="inlineStr">
        <x:is>
          <x:t xml:space="preserve">ЗД-00354</x:t>
        </x:is>
      </x:c>
      <x:c r="B355" s="31" t="n">
        <x:v>46162</x:v>
      </x:c>
      <x:c r="C355" s="31" t="n">
        <x:v>46167</x:v>
      </x:c>
      <x:c r="D355" s="31" t="inlineStr">
        <x:is>
          <x:t xml:space="preserve">Просрочена</x:t>
        </x:is>
      </x:c>
      <x:c r="E355" s="31" t="inlineStr">
        <x:is>
          <x:t xml:space="preserve">Средний</x:t>
        </x:is>
      </x:c>
      <x:c r="F355" s="31" t="inlineStr">
        <x:is>
          <x:t xml:space="preserve">СОТР-076</x:t>
        </x:is>
      </x:c>
      <x:c r="G355" s="31" t="inlineStr">
        <x:is>
          <x:t xml:space="preserve">Счет</x:t>
        </x:is>
      </x:c>
      <x:c r="H355" s="31" t="inlineStr">
        <x:is>
          <x:t xml:space="preserve">СЧ-1087-2</x:t>
        </x:is>
      </x:c>
      <x:c r="I355" s="31" t="inlineStr">
        <x:is>
          <x:t xml:space="preserve">Напомнить об оплате</x:t>
        </x:is>
      </x:c>
      <x:c r="J355" s="31" t="inlineStr">
        <x:is>
          <x:t xml:space="preserve">Финансы</x:t>
        </x:is>
      </x:c>
      <x:c r="K355" s="31" t="n">
        <x:v>18</x:v>
      </x:c>
      <x:c r="L355" s="31" t="inlineStr">
        <x:is>
          <x:t xml:space="preserve">Да</x:t>
        </x:is>
      </x:c>
      <x:c r="M355" s="31" t="inlineStr">
        <x:is>
          <x:t xml:space="preserve">Нет</x:t>
        </x:is>
      </x:c>
      <x:c r="N355" s="31" t="inlineStr">
        <x:is>
          <x:t xml:space="preserve">Автосоздано правилом/пользователем 10</x:t>
        </x:is>
      </x:c>
    </x:row>
    <x:row r="356">
      <x:c r="A356" s="31" t="inlineStr">
        <x:is>
          <x:t xml:space="preserve">ЗД-00355</x:t>
        </x:is>
      </x:c>
      <x:c r="B356" s="31" t="n">
        <x:v>46115</x:v>
      </x:c>
      <x:c r="C356" s="31" t="n">
        <x:v>46117</x:v>
      </x:c>
      <x:c r="D356" s="31" t="inlineStr">
        <x:is>
          <x:t xml:space="preserve">Выполнена</x:t>
        </x:is>
      </x:c>
      <x:c r="E356" s="31" t="inlineStr">
        <x:is>
          <x:t xml:space="preserve">Высокий</x:t>
        </x:is>
      </x:c>
      <x:c r="F356" s="31" t="inlineStr">
        <x:is>
          <x:t xml:space="preserve">СОТР-113</x:t>
        </x:is>
      </x:c>
      <x:c r="G356" s="31" t="inlineStr">
        <x:is>
          <x:t xml:space="preserve">Рекламация</x:t>
        </x:is>
      </x:c>
      <x:c r="H356" s="31" t="inlineStr">
        <x:is>
          <x:t xml:space="preserve">РЕК-00017</x:t>
        </x:is>
      </x:c>
      <x:c r="I356" s="31" t="inlineStr">
        <x:is>
          <x:t xml:space="preserve">Провести диагностику</x:t>
        </x:is>
      </x:c>
      <x:c r="J356" s="31" t="inlineStr">
        <x:is>
          <x:t xml:space="preserve">Продажи</x:t>
        </x:is>
      </x:c>
      <x:c r="K356" s="31" t="n">
        <x:v>0</x:v>
      </x:c>
      <x:c r="L356" s="31" t="inlineStr">
        <x:is>
          <x:t xml:space="preserve">Нет</x:t>
        </x:is>
      </x:c>
      <x:c r="M356" s="31" t="inlineStr">
        <x:is>
          <x:t xml:space="preserve">Нет</x:t>
        </x:is>
      </x:c>
      <x:c r="N356" s="31" t="inlineStr">
        <x:is>
          <x:t xml:space="preserve">Автосоздано правилом/пользователем 8</x:t>
        </x:is>
      </x:c>
    </x:row>
    <x:row r="357">
      <x:c r="A357" s="31" t="inlineStr">
        <x:is>
          <x:t xml:space="preserve">ЗД-00356</x:t>
        </x:is>
      </x:c>
      <x:c r="B357" s="31" t="n">
        <x:v>46136</x:v>
      </x:c>
      <x:c r="C357" s="31" t="n">
        <x:v>46137</x:v>
      </x:c>
      <x:c r="D357" s="31" t="inlineStr">
        <x:is>
          <x:t xml:space="preserve">В работе</x:t>
        </x:is>
      </x:c>
      <x:c r="E357" s="31" t="inlineStr">
        <x:is>
          <x:t xml:space="preserve">Средний</x:t>
        </x:is>
      </x:c>
      <x:c r="F357" s="31" t="inlineStr">
        <x:is>
          <x:t xml:space="preserve">СОТР-004</x:t>
        </x:is>
      </x:c>
      <x:c r="G357" s="31" t="inlineStr">
        <x:is>
          <x:t xml:space="preserve">Заказ</x:t>
        </x:is>
      </x:c>
      <x:c r="H357" s="31" t="inlineStr">
        <x:is>
          <x:t xml:space="preserve">ЗК-1124</x:t>
        </x:is>
      </x:c>
      <x:c r="I357" s="31" t="inlineStr">
        <x:is>
          <x:t xml:space="preserve">Подписать спецификацию</x:t>
        </x:is>
      </x:c>
      <x:c r="J357" s="31" t="inlineStr">
        <x:is>
          <x:t xml:space="preserve">Производство</x:t>
        </x:is>
      </x:c>
      <x:c r="K357" s="31" t="n">
        <x:v>0</x:v>
      </x:c>
      <x:c r="L357" s="31" t="inlineStr">
        <x:is>
          <x:t xml:space="preserve">Нет</x:t>
        </x:is>
      </x:c>
      <x:c r="M357" s="31" t="inlineStr">
        <x:is>
          <x:t xml:space="preserve">Нет</x:t>
        </x:is>
      </x:c>
      <x:c r="N357" s="31" t="inlineStr">
        <x:is>
          <x:t xml:space="preserve">Автосоздано правилом/пользователем 7</x:t>
        </x:is>
      </x:c>
    </x:row>
    <x:row r="358">
      <x:c r="A358" s="31" t="inlineStr">
        <x:is>
          <x:t xml:space="preserve">ЗД-00357</x:t>
        </x:is>
      </x:c>
      <x:c r="B358" s="31" t="n">
        <x:v>46180</x:v>
      </x:c>
      <x:c r="C358" s="31" t="n">
        <x:v>46194</x:v>
      </x:c>
      <x:c r="D358" s="31" t="inlineStr">
        <x:is>
          <x:t xml:space="preserve">В работе</x:t>
        </x:is>
      </x:c>
      <x:c r="E358" s="31" t="inlineStr">
        <x:is>
          <x:t xml:space="preserve">Средний</x:t>
        </x:is>
      </x:c>
      <x:c r="F358" s="31" t="inlineStr">
        <x:is>
          <x:t xml:space="preserve">СОТР-095</x:t>
        </x:is>
      </x:c>
      <x:c r="G358" s="31" t="inlineStr">
        <x:is>
          <x:t xml:space="preserve">Заказ</x:t>
        </x:is>
      </x:c>
      <x:c r="H358" s="31" t="inlineStr">
        <x:is>
          <x:t xml:space="preserve">ЗК-1127</x:t>
        </x:is>
      </x:c>
      <x:c r="I358" s="31" t="inlineStr">
        <x:is>
          <x:t xml:space="preserve">Проверить лимит заказчика</x:t>
        </x:is>
      </x:c>
      <x:c r="J358" s="31" t="inlineStr">
        <x:is>
          <x:t xml:space="preserve">Сервис</x:t>
        </x:is>
      </x:c>
      <x:c r="K358" s="31" t="n">
        <x:v>0</x:v>
      </x:c>
      <x:c r="L358" s="31" t="inlineStr">
        <x:is>
          <x:t xml:space="preserve">Да</x:t>
        </x:is>
      </x:c>
      <x:c r="M358" s="31" t="inlineStr">
        <x:is>
          <x:t xml:space="preserve">Нет</x:t>
        </x:is>
      </x:c>
      <x:c r="N358" s="31" t="inlineStr">
        <x:is>
          <x:t xml:space="preserve">Автосоздано правилом/пользователем 7</x:t>
        </x:is>
      </x:c>
    </x:row>
    <x:row r="359">
      <x:c r="A359" s="31" t="inlineStr">
        <x:is>
          <x:t xml:space="preserve">ЗД-00358</x:t>
        </x:is>
      </x:c>
      <x:c r="B359" s="31" t="n">
        <x:v>46165</x:v>
      </x:c>
      <x:c r="C359" s="31" t="n">
        <x:v>46172</x:v>
      </x:c>
      <x:c r="D359" s="31" t="inlineStr">
        <x:is>
          <x:t xml:space="preserve">Просрочена</x:t>
        </x:is>
      </x:c>
      <x:c r="E359" s="31" t="inlineStr">
        <x:is>
          <x:t xml:space="preserve">Средний</x:t>
        </x:is>
      </x:c>
      <x:c r="F359" s="31" t="inlineStr">
        <x:is>
          <x:t xml:space="preserve">СОТР-108</x:t>
        </x:is>
      </x:c>
      <x:c r="G359" s="31" t="inlineStr">
        <x:is>
          <x:t xml:space="preserve">Счет</x:t>
        </x:is>
      </x:c>
      <x:c r="H359" s="31" t="inlineStr">
        <x:is>
          <x:t xml:space="preserve">СЧ-1122-1</x:t>
        </x:is>
      </x:c>
      <x:c r="I359" s="31" t="inlineStr">
        <x:is>
          <x:t xml:space="preserve">Согласовать отгрузку при ДЗ</x:t>
        </x:is>
      </x:c>
      <x:c r="J359" s="31" t="inlineStr">
        <x:is>
          <x:t xml:space="preserve">Финансы</x:t>
        </x:is>
      </x:c>
      <x:c r="K359" s="31" t="n">
        <x:v>13</x:v>
      </x:c>
      <x:c r="L359" s="31" t="inlineStr">
        <x:is>
          <x:t xml:space="preserve">Нет</x:t>
        </x:is>
      </x:c>
      <x:c r="M359" s="31" t="inlineStr">
        <x:is>
          <x:t xml:space="preserve">Нет</x:t>
        </x:is>
      </x:c>
      <x:c r="N359" s="31" t="inlineStr">
        <x:is>
          <x:t xml:space="preserve">Автосоздано правилом/пользователем 7</x:t>
        </x:is>
      </x:c>
    </x:row>
    <x:row r="360">
      <x:c r="A360" s="31" t="inlineStr">
        <x:is>
          <x:t xml:space="preserve">ЗД-00359</x:t>
        </x:is>
      </x:c>
      <x:c r="B360" s="31" t="n">
        <x:v>46138</x:v>
      </x:c>
      <x:c r="C360" s="31" t="n">
        <x:v>46145</x:v>
      </x:c>
      <x:c r="D360" s="31" t="inlineStr">
        <x:is>
          <x:t xml:space="preserve">Новая</x:t>
        </x:is>
      </x:c>
      <x:c r="E360" s="31" t="inlineStr">
        <x:is>
          <x:t xml:space="preserve">Средний</x:t>
        </x:is>
      </x:c>
      <x:c r="F360" s="31" t="inlineStr">
        <x:is>
          <x:t xml:space="preserve">СОТР-063</x:t>
        </x:is>
      </x:c>
      <x:c r="G360" s="31" t="inlineStr">
        <x:is>
          <x:t xml:space="preserve">Производственное задание</x:t>
        </x:is>
      </x:c>
      <x:c r="H360" s="31" t="inlineStr">
        <x:is>
          <x:t xml:space="preserve">ПЗ-00262</x:t>
        </x:is>
      </x:c>
      <x:c r="I360" s="31" t="inlineStr">
        <x:is>
          <x:t xml:space="preserve">Назначить оператора</x:t>
        </x:is>
      </x:c>
      <x:c r="J360" s="31" t="inlineStr">
        <x:is>
          <x:t xml:space="preserve">Сервис</x:t>
        </x:is>
      </x:c>
      <x:c r="K360" s="31" t="n">
        <x:v>0</x:v>
      </x:c>
      <x:c r="L360" s="31" t="inlineStr">
        <x:is>
          <x:t xml:space="preserve">Нет</x:t>
        </x:is>
      </x:c>
      <x:c r="M360" s="31" t="inlineStr">
        <x:is>
          <x:t xml:space="preserve">Нет</x:t>
        </x:is>
      </x:c>
      <x:c r="N360" s="31" t="inlineStr">
        <x:is>
          <x:t xml:space="preserve">Автосоздано правилом/пользователем 9</x:t>
        </x:is>
      </x:c>
    </x:row>
    <x:row r="361">
      <x:c r="A361" s="31" t="inlineStr">
        <x:is>
          <x:t xml:space="preserve">ЗД-00360</x:t>
        </x:is>
      </x:c>
      <x:c r="B361" s="31" t="n">
        <x:v>46180</x:v>
      </x:c>
      <x:c r="C361" s="31" t="n">
        <x:v>46185</x:v>
      </x:c>
      <x:c r="D361" s="31" t="inlineStr">
        <x:is>
          <x:t xml:space="preserve">Ожидает ответа</x:t>
        </x:is>
      </x:c>
      <x:c r="E361" s="31" t="inlineStr">
        <x:is>
          <x:t xml:space="preserve">Средний</x:t>
        </x:is>
      </x:c>
      <x:c r="F361" s="31" t="inlineStr">
        <x:is>
          <x:t xml:space="preserve">СОТР-076</x:t>
        </x:is>
      </x:c>
      <x:c r="G361" s="31" t="inlineStr">
        <x:is>
          <x:t xml:space="preserve">Счет</x:t>
        </x:is>
      </x:c>
      <x:c r="H361" s="31" t="inlineStr">
        <x:is>
          <x:t xml:space="preserve">СЧ-1111-2</x:t>
        </x:is>
      </x:c>
      <x:c r="I361" s="31" t="inlineStr">
        <x:is>
          <x:t xml:space="preserve">Проверить оплату</x:t>
        </x:is>
      </x:c>
      <x:c r="J361" s="31" t="inlineStr">
        <x:is>
          <x:t xml:space="preserve">Производство</x:t>
        </x:is>
      </x:c>
      <x:c r="K361" s="31" t="n">
        <x:v>0</x:v>
      </x:c>
      <x:c r="L361" s="31" t="inlineStr">
        <x:is>
          <x:t xml:space="preserve">Нет</x:t>
        </x:is>
      </x:c>
      <x:c r="M361" s="31" t="inlineStr">
        <x:is>
          <x:t xml:space="preserve">Нет</x:t>
        </x:is>
      </x:c>
      <x:c r="N361" s="31" t="inlineStr">
        <x:is>
          <x:t xml:space="preserve">Автосоздано правилом/пользователем 12</x:t>
        </x:is>
      </x:c>
    </x:row>
    <x:row r="362">
      <x:c r="A362" s="31" t="inlineStr">
        <x:is>
          <x:t xml:space="preserve">ЗД-00361</x:t>
        </x:is>
      </x:c>
      <x:c r="B362" s="31" t="n">
        <x:v>46175</x:v>
      </x:c>
      <x:c r="C362" s="31" t="n">
        <x:v>46177</x:v>
      </x:c>
      <x:c r="D362" s="31" t="inlineStr">
        <x:is>
          <x:t xml:space="preserve">Новая</x:t>
        </x:is>
      </x:c>
      <x:c r="E362" s="31" t="inlineStr">
        <x:is>
          <x:t xml:space="preserve">Низкий</x:t>
        </x:is>
      </x:c>
      <x:c r="F362" s="31" t="inlineStr">
        <x:is>
          <x:t xml:space="preserve">СОТР-112</x:t>
        </x:is>
      </x:c>
      <x:c r="G362" s="31" t="inlineStr">
        <x:is>
          <x:t xml:space="preserve">Рекламация</x:t>
        </x:is>
      </x:c>
      <x:c r="H362" s="31" t="inlineStr">
        <x:is>
          <x:t xml:space="preserve">РЕК-00003</x:t>
        </x:is>
      </x:c>
      <x:c r="I362" s="31" t="inlineStr">
        <x:is>
          <x:t xml:space="preserve">Согласовать выезд</x:t>
        </x:is>
      </x:c>
      <x:c r="J362" s="31" t="inlineStr">
        <x:is>
          <x:t xml:space="preserve">Сервис</x:t>
        </x:is>
      </x:c>
      <x:c r="K362" s="31" t="n">
        <x:v>0</x:v>
      </x:c>
      <x:c r="L362" s="31" t="inlineStr">
        <x:is>
          <x:t xml:space="preserve">Нет</x:t>
        </x:is>
      </x:c>
      <x:c r="M362" s="31" t="inlineStr">
        <x:is>
          <x:t xml:space="preserve">Нет</x:t>
        </x:is>
      </x:c>
      <x:c r="N362" s="31" t="inlineStr">
        <x:is>
          <x:t xml:space="preserve">Автосоздано правилом/пользователем 6</x:t>
        </x:is>
      </x:c>
    </x:row>
    <x:row r="363">
      <x:c r="A363" s="31" t="inlineStr">
        <x:is>
          <x:t xml:space="preserve">ЗД-00362</x:t>
        </x:is>
      </x:c>
      <x:c r="B363" s="31" t="n">
        <x:v>46143</x:v>
      </x:c>
      <x:c r="C363" s="31" t="n">
        <x:v>46153</x:v>
      </x:c>
      <x:c r="D363" s="31" t="inlineStr">
        <x:is>
          <x:t xml:space="preserve">Выполнена</x:t>
        </x:is>
      </x:c>
      <x:c r="E363" s="31" t="inlineStr">
        <x:is>
          <x:t xml:space="preserve">Низкий</x:t>
        </x:is>
      </x:c>
      <x:c r="F363" s="31" t="inlineStr">
        <x:is>
          <x:t xml:space="preserve">СОТР-099</x:t>
        </x:is>
      </x:c>
      <x:c r="G363" s="31" t="inlineStr">
        <x:is>
          <x:t xml:space="preserve">ОТК</x:t>
        </x:is>
      </x:c>
      <x:c r="H363" s="31" t="inlineStr">
        <x:is>
          <x:t xml:space="preserve">ОТК-00060</x:t>
        </x:is>
      </x:c>
      <x:c r="I363" s="31" t="inlineStr">
        <x:is>
          <x:t xml:space="preserve">Проверить доработку</x:t>
        </x:is>
      </x:c>
      <x:c r="J363" s="31" t="inlineStr">
        <x:is>
          <x:t xml:space="preserve">Снабжение</x:t>
        </x:is>
      </x:c>
      <x:c r="K363" s="31" t="n">
        <x:v>0</x:v>
      </x:c>
      <x:c r="L363" s="31" t="inlineStr">
        <x:is>
          <x:t xml:space="preserve">Да</x:t>
        </x:is>
      </x:c>
      <x:c r="M363" s="31" t="inlineStr">
        <x:is>
          <x:t xml:space="preserve">Руководитель</x:t>
        </x:is>
      </x:c>
      <x:c r="N363" s="31" t="inlineStr">
        <x:is>
          <x:t xml:space="preserve">Автосоздано правилом/пользователем 8</x:t>
        </x:is>
      </x:c>
    </x:row>
    <x:row r="364">
      <x:c r="A364" s="31" t="inlineStr">
        <x:is>
          <x:t xml:space="preserve">ЗД-00363</x:t>
        </x:is>
      </x:c>
      <x:c r="B364" s="31" t="n">
        <x:v>46180</x:v>
      </x:c>
      <x:c r="C364" s="31" t="n">
        <x:v>46194</x:v>
      </x:c>
      <x:c r="D364" s="31" t="inlineStr">
        <x:is>
          <x:t xml:space="preserve">В работе</x:t>
        </x:is>
      </x:c>
      <x:c r="E364" s="31" t="inlineStr">
        <x:is>
          <x:t xml:space="preserve">Средний</x:t>
        </x:is>
      </x:c>
      <x:c r="F364" s="31" t="inlineStr">
        <x:is>
          <x:t xml:space="preserve">СОТР-097</x:t>
        </x:is>
      </x:c>
      <x:c r="G364" s="31" t="inlineStr">
        <x:is>
          <x:t xml:space="preserve">Производственное задание</x:t>
        </x:is>
      </x:c>
      <x:c r="H364" s="31" t="inlineStr">
        <x:is>
          <x:t xml:space="preserve">ПЗ-00027</x:t>
        </x:is>
      </x:c>
      <x:c r="I364" s="31" t="inlineStr">
        <x:is>
          <x:t xml:space="preserve">Обновить готовность</x:t>
        </x:is>
      </x:c>
      <x:c r="J364" s="31" t="inlineStr">
        <x:is>
          <x:t xml:space="preserve">Продажи</x:t>
        </x:is>
      </x:c>
      <x:c r="K364" s="31" t="n">
        <x:v>0</x:v>
      </x:c>
      <x:c r="L364" s="31" t="inlineStr">
        <x:is>
          <x:t xml:space="preserve">Да</x:t>
        </x:is>
      </x:c>
      <x:c r="M364" s="31" t="inlineStr">
        <x:is>
          <x:t xml:space="preserve">Нет</x:t>
        </x:is>
      </x:c>
      <x:c r="N364" s="31" t="inlineStr">
        <x:is>
          <x:t xml:space="preserve">Автосоздано правилом/пользователем 11</x:t>
        </x:is>
      </x:c>
    </x:row>
    <x:row r="365">
      <x:c r="A365" s="31" t="inlineStr">
        <x:is>
          <x:t xml:space="preserve">ЗД-00364</x:t>
        </x:is>
      </x:c>
      <x:c r="B365" s="31" t="n">
        <x:v>46170</x:v>
      </x:c>
      <x:c r="C365" s="31" t="n">
        <x:v>46172</x:v>
      </x:c>
      <x:c r="D365" s="31" t="inlineStr">
        <x:is>
          <x:t xml:space="preserve">Ожидает ответа</x:t>
        </x:is>
      </x:c>
      <x:c r="E365" s="31" t="inlineStr">
        <x:is>
          <x:t xml:space="preserve">Средний</x:t>
        </x:is>
      </x:c>
      <x:c r="F365" s="31" t="inlineStr">
        <x:is>
          <x:t xml:space="preserve">СОТР-093</x:t>
        </x:is>
      </x:c>
      <x:c r="G365" s="31" t="inlineStr">
        <x:is>
          <x:t xml:space="preserve">Производственное задание</x:t>
        </x:is>
      </x:c>
      <x:c r="H365" s="31" t="inlineStr">
        <x:is>
          <x:t xml:space="preserve">ПЗ-00238</x:t>
        </x:is>
      </x:c>
      <x:c r="I365" s="31" t="inlineStr">
        <x:is>
          <x:t xml:space="preserve">Разобрать простой</x:t>
        </x:is>
      </x:c>
      <x:c r="J365" s="31" t="inlineStr">
        <x:is>
          <x:t xml:space="preserve">Сервис</x:t>
        </x:is>
      </x:c>
      <x:c r="K365" s="31" t="n">
        <x:v>0</x:v>
      </x:c>
      <x:c r="L365" s="31" t="inlineStr">
        <x:is>
          <x:t xml:space="preserve">Да</x:t>
        </x:is>
      </x:c>
      <x:c r="M365" s="31" t="inlineStr">
        <x:is>
          <x:t xml:space="preserve">Заказчик</x:t>
        </x:is>
      </x:c>
      <x:c r="N365" s="31" t="inlineStr">
        <x:is>
          <x:t xml:space="preserve">Автосоздано правилом/пользователем 8</x:t>
        </x:is>
      </x:c>
    </x:row>
    <x:row r="366">
      <x:c r="A366" s="31" t="inlineStr">
        <x:is>
          <x:t xml:space="preserve">ЗД-00365</x:t>
        </x:is>
      </x:c>
      <x:c r="B366" s="31" t="n">
        <x:v>46115</x:v>
      </x:c>
      <x:c r="C366" s="31" t="n">
        <x:v>46120</x:v>
      </x:c>
      <x:c r="D366" s="31" t="inlineStr">
        <x:is>
          <x:t xml:space="preserve">Просрочена</x:t>
        </x:is>
      </x:c>
      <x:c r="E366" s="31" t="inlineStr">
        <x:is>
          <x:t xml:space="preserve">Средний</x:t>
        </x:is>
      </x:c>
      <x:c r="F366" s="31" t="inlineStr">
        <x:is>
          <x:t xml:space="preserve">СОТР-097</x:t>
        </x:is>
      </x:c>
      <x:c r="G366" s="31" t="inlineStr">
        <x:is>
          <x:t xml:space="preserve">ОТК</x:t>
        </x:is>
      </x:c>
      <x:c r="H366" s="31" t="inlineStr">
        <x:is>
          <x:t xml:space="preserve">ОТК-00023</x:t>
        </x:is>
      </x:c>
      <x:c r="I366" s="31" t="inlineStr">
        <x:is>
          <x:t xml:space="preserve">Проверить доработку</x:t>
        </x:is>
      </x:c>
      <x:c r="J366" s="31" t="inlineStr">
        <x:is>
          <x:t xml:space="preserve">Производство</x:t>
        </x:is>
      </x:c>
      <x:c r="K366" s="31" t="n">
        <x:v>65</x:v>
      </x:c>
      <x:c r="L366" s="31" t="inlineStr">
        <x:is>
          <x:t xml:space="preserve">Да</x:t>
        </x:is>
      </x:c>
      <x:c r="M366" s="31" t="inlineStr">
        <x:is>
          <x:t xml:space="preserve">Нет</x:t>
        </x:is>
      </x:c>
      <x:c r="N366" s="31" t="inlineStr">
        <x:is>
          <x:t xml:space="preserve">Автосоздано правилом/пользователем 5</x:t>
        </x:is>
      </x:c>
    </x:row>
    <x:row r="367">
      <x:c r="A367" s="31" t="inlineStr">
        <x:is>
          <x:t xml:space="preserve">ЗД-00366</x:t>
        </x:is>
      </x:c>
      <x:c r="B367" s="31" t="n">
        <x:v>46136</x:v>
      </x:c>
      <x:c r="C367" s="31" t="n">
        <x:v>46150</x:v>
      </x:c>
      <x:c r="D367" s="31" t="inlineStr">
        <x:is>
          <x:t xml:space="preserve">Выполнена</x:t>
        </x:is>
      </x:c>
      <x:c r="E367" s="31" t="inlineStr">
        <x:is>
          <x:t xml:space="preserve">Высокий</x:t>
        </x:is>
      </x:c>
      <x:c r="F367" s="31" t="inlineStr">
        <x:is>
          <x:t xml:space="preserve">СОТР-063</x:t>
        </x:is>
      </x:c>
      <x:c r="G367" s="31" t="inlineStr">
        <x:is>
          <x:t xml:space="preserve">Производственное задание</x:t>
        </x:is>
      </x:c>
      <x:c r="H367" s="31" t="inlineStr">
        <x:is>
          <x:t xml:space="preserve">ПЗ-00057</x:t>
        </x:is>
      </x:c>
      <x:c r="I367" s="31" t="inlineStr">
        <x:is>
          <x:t xml:space="preserve">Разобрать простой</x:t>
        </x:is>
      </x:c>
      <x:c r="J367" s="31" t="inlineStr">
        <x:is>
          <x:t xml:space="preserve">Производство</x:t>
        </x:is>
      </x:c>
      <x:c r="K367" s="31" t="n">
        <x:v>0</x:v>
      </x:c>
      <x:c r="L367" s="31" t="inlineStr">
        <x:is>
          <x:t xml:space="preserve">Нет</x:t>
        </x:is>
      </x:c>
      <x:c r="M367" s="31" t="inlineStr">
        <x:is>
          <x:t xml:space="preserve">Нет</x:t>
        </x:is>
      </x:c>
      <x:c r="N367" s="31" t="inlineStr">
        <x:is>
          <x:t xml:space="preserve">Автосоздано правилом/пользователем 9</x:t>
        </x:is>
      </x:c>
    </x:row>
    <x:row r="368">
      <x:c r="A368" s="31" t="inlineStr">
        <x:is>
          <x:t xml:space="preserve">ЗД-00367</x:t>
        </x:is>
      </x:c>
      <x:c r="B368" s="31" t="n">
        <x:v>46151</x:v>
      </x:c>
      <x:c r="C368" s="31" t="n">
        <x:v>46153</x:v>
      </x:c>
      <x:c r="D368" s="31" t="inlineStr">
        <x:is>
          <x:t xml:space="preserve">Просрочена</x:t>
        </x:is>
      </x:c>
      <x:c r="E368" s="31" t="inlineStr">
        <x:is>
          <x:t xml:space="preserve">Высокий</x:t>
        </x:is>
      </x:c>
      <x:c r="F368" s="31" t="inlineStr">
        <x:is>
          <x:t xml:space="preserve">СОТР-092</x:t>
        </x:is>
      </x:c>
      <x:c r="G368" s="31" t="inlineStr">
        <x:is>
          <x:t xml:space="preserve">Производственное задание</x:t>
        </x:is>
      </x:c>
      <x:c r="H368" s="31" t="inlineStr">
        <x:is>
          <x:t xml:space="preserve">ПЗ-00256</x:t>
        </x:is>
      </x:c>
      <x:c r="I368" s="31" t="inlineStr">
        <x:is>
          <x:t xml:space="preserve">Разобрать простой</x:t>
        </x:is>
      </x:c>
      <x:c r="J368" s="31" t="inlineStr">
        <x:is>
          <x:t xml:space="preserve">Снабжение</x:t>
        </x:is>
      </x:c>
      <x:c r="K368" s="31" t="n">
        <x:v>32</x:v>
      </x:c>
      <x:c r="L368" s="31" t="inlineStr">
        <x:is>
          <x:t xml:space="preserve">Нет</x:t>
        </x:is>
      </x:c>
      <x:c r="M368" s="31" t="inlineStr">
        <x:is>
          <x:t xml:space="preserve">Нет</x:t>
        </x:is>
      </x:c>
      <x:c r="N368" s="31" t="inlineStr">
        <x:is>
          <x:t xml:space="preserve">Автосоздано правилом/пользователем 9</x:t>
        </x:is>
      </x:c>
    </x:row>
    <x:row r="369">
      <x:c r="A369" s="31" t="inlineStr">
        <x:is>
          <x:t xml:space="preserve">ЗД-00368</x:t>
        </x:is>
      </x:c>
      <x:c r="B369" s="31" t="n">
        <x:v>46113</x:v>
      </x:c>
      <x:c r="C369" s="31" t="n">
        <x:v>46120</x:v>
      </x:c>
      <x:c r="D369" s="31" t="inlineStr">
        <x:is>
          <x:t xml:space="preserve">Ожидает ответа</x:t>
        </x:is>
      </x:c>
      <x:c r="E369" s="31" t="inlineStr">
        <x:is>
          <x:t xml:space="preserve">Высокий</x:t>
        </x:is>
      </x:c>
      <x:c r="F369" s="31" t="inlineStr">
        <x:is>
          <x:t xml:space="preserve">СОТР-096</x:t>
        </x:is>
      </x:c>
      <x:c r="G369" s="31" t="inlineStr">
        <x:is>
          <x:t xml:space="preserve">ОТК</x:t>
        </x:is>
      </x:c>
      <x:c r="H369" s="31" t="inlineStr">
        <x:is>
          <x:t xml:space="preserve">ОТК-00058</x:t>
        </x:is>
      </x:c>
      <x:c r="I369" s="31" t="inlineStr">
        <x:is>
          <x:t xml:space="preserve">Проверить доработку</x:t>
        </x:is>
      </x:c>
      <x:c r="J369" s="31" t="inlineStr">
        <x:is>
          <x:t xml:space="preserve">Продажи</x:t>
        </x:is>
      </x:c>
      <x:c r="K369" s="31" t="n">
        <x:v>0</x:v>
      </x:c>
      <x:c r="L369" s="31" t="inlineStr">
        <x:is>
          <x:t xml:space="preserve">Нет</x:t>
        </x:is>
      </x:c>
      <x:c r="M369" s="31" t="inlineStr">
        <x:is>
          <x:t xml:space="preserve">Нет</x:t>
        </x:is>
      </x:c>
      <x:c r="N369" s="31" t="inlineStr">
        <x:is>
          <x:t xml:space="preserve">Автосоздано правилом/пользователем 2</x:t>
        </x:is>
      </x:c>
    </x:row>
    <x:row r="370">
      <x:c r="A370" s="31" t="inlineStr">
        <x:is>
          <x:t xml:space="preserve">ЗД-00369</x:t>
        </x:is>
      </x:c>
      <x:c r="B370" s="31" t="n">
        <x:v>46185</x:v>
      </x:c>
      <x:c r="C370" s="31" t="n">
        <x:v>46192</x:v>
      </x:c>
      <x:c r="D370" s="31" t="inlineStr">
        <x:is>
          <x:t xml:space="preserve">В работе</x:t>
        </x:is>
      </x:c>
      <x:c r="E370" s="31" t="inlineStr">
        <x:is>
          <x:t xml:space="preserve">Срочный</x:t>
        </x:is>
      </x:c>
      <x:c r="F370" s="31" t="inlineStr">
        <x:is>
          <x:t xml:space="preserve">СОТР-096</x:t>
        </x:is>
      </x:c>
      <x:c r="G370" s="31" t="inlineStr">
        <x:is>
          <x:t xml:space="preserve">Производственное задание</x:t>
        </x:is>
      </x:c>
      <x:c r="H370" s="31" t="inlineStr">
        <x:is>
          <x:t xml:space="preserve">ПЗ-00084</x:t>
        </x:is>
      </x:c>
      <x:c r="I370" s="31" t="inlineStr">
        <x:is>
          <x:t xml:space="preserve">Проверить дефицит материалов</x:t>
        </x:is>
      </x:c>
      <x:c r="J370" s="31" t="inlineStr">
        <x:is>
          <x:t xml:space="preserve">Снабжение</x:t>
        </x:is>
      </x:c>
      <x:c r="K370" s="31" t="n">
        <x:v>0</x:v>
      </x:c>
      <x:c r="L370" s="31" t="inlineStr">
        <x:is>
          <x:t xml:space="preserve">Нет</x:t>
        </x:is>
      </x:c>
      <x:c r="M370" s="31" t="inlineStr">
        <x:is>
          <x:t xml:space="preserve">Поставщик</x:t>
        </x:is>
      </x:c>
      <x:c r="N370" s="31" t="inlineStr">
        <x:is>
          <x:t xml:space="preserve">Автосоздано правилом/пользователем 10</x:t>
        </x:is>
      </x:c>
    </x:row>
    <x:row r="371">
      <x:c r="A371" s="31" t="inlineStr">
        <x:is>
          <x:t xml:space="preserve">ЗД-00370</x:t>
        </x:is>
      </x:c>
      <x:c r="B371" s="31" t="n">
        <x:v>46176</x:v>
      </x:c>
      <x:c r="C371" s="31" t="n">
        <x:v>46186</x:v>
      </x:c>
      <x:c r="D371" s="31" t="inlineStr">
        <x:is>
          <x:t xml:space="preserve">Выполнена</x:t>
        </x:is>
      </x:c>
      <x:c r="E371" s="31" t="inlineStr">
        <x:is>
          <x:t xml:space="preserve">Средний</x:t>
        </x:is>
      </x:c>
      <x:c r="F371" s="31" t="inlineStr">
        <x:is>
          <x:t xml:space="preserve">СОТР-096</x:t>
        </x:is>
      </x:c>
      <x:c r="G371" s="31" t="inlineStr">
        <x:is>
          <x:t xml:space="preserve">ОТК</x:t>
        </x:is>
      </x:c>
      <x:c r="H371" s="31" t="inlineStr">
        <x:is>
          <x:t xml:space="preserve">ОТК-00129</x:t>
        </x:is>
      </x:c>
      <x:c r="I371" s="31" t="inlineStr">
        <x:is>
          <x:t xml:space="preserve">Согласовать приемку с замечаниями</x:t>
        </x:is>
      </x:c>
      <x:c r="J371" s="31" t="inlineStr">
        <x:is>
          <x:t xml:space="preserve">Производство</x:t>
        </x:is>
      </x:c>
      <x:c r="K371" s="31" t="n">
        <x:v>0</x:v>
      </x:c>
      <x:c r="L371" s="31" t="inlineStr">
        <x:is>
          <x:t xml:space="preserve">Да</x:t>
        </x:is>
      </x:c>
      <x:c r="M371" s="31" t="inlineStr">
        <x:is>
          <x:t xml:space="preserve">Нет</x:t>
        </x:is>
      </x:c>
      <x:c r="N371" s="31" t="inlineStr">
        <x:is>
          <x:t xml:space="preserve">Автосоздано правилом/пользователем 1</x:t>
        </x:is>
      </x:c>
    </x:row>
    <x:row r="372">
      <x:c r="A372" s="31" t="inlineStr">
        <x:is>
          <x:t xml:space="preserve">ЗД-00371</x:t>
        </x:is>
      </x:c>
      <x:c r="B372" s="31" t="n">
        <x:v>46112</x:v>
      </x:c>
      <x:c r="C372" s="31" t="n">
        <x:v>46115</x:v>
      </x:c>
      <x:c r="D372" s="31" t="inlineStr">
        <x:is>
          <x:t xml:space="preserve">Просрочена</x:t>
        </x:is>
      </x:c>
      <x:c r="E372" s="31" t="inlineStr">
        <x:is>
          <x:t xml:space="preserve">Средний</x:t>
        </x:is>
      </x:c>
      <x:c r="F372" s="31" t="inlineStr">
        <x:is>
          <x:t xml:space="preserve">СОТР-027</x:t>
        </x:is>
      </x:c>
      <x:c r="G372" s="31" t="inlineStr">
        <x:is>
          <x:t xml:space="preserve">Счет</x:t>
        </x:is>
      </x:c>
      <x:c r="H372" s="31" t="inlineStr">
        <x:is>
          <x:t xml:space="preserve">СЧ-1066-1</x:t>
        </x:is>
      </x:c>
      <x:c r="I372" s="31" t="inlineStr">
        <x:is>
          <x:t xml:space="preserve">Проверить оплату</x:t>
        </x:is>
      </x:c>
      <x:c r="J372" s="31" t="inlineStr">
        <x:is>
          <x:t xml:space="preserve">Производство</x:t>
        </x:is>
      </x:c>
      <x:c r="K372" s="31" t="n">
        <x:v>70</x:v>
      </x:c>
      <x:c r="L372" s="31" t="inlineStr">
        <x:is>
          <x:t xml:space="preserve">Нет</x:t>
        </x:is>
      </x:c>
      <x:c r="M372" s="31" t="inlineStr">
        <x:is>
          <x:t xml:space="preserve">Нет</x:t>
        </x:is>
      </x:c>
      <x:c r="N372" s="31" t="inlineStr">
        <x:is>
          <x:t xml:space="preserve">Автосоздано правилом/пользователем 10</x:t>
        </x:is>
      </x:c>
    </x:row>
    <x:row r="373">
      <x:c r="A373" s="31" t="inlineStr">
        <x:is>
          <x:t xml:space="preserve">ЗД-00372</x:t>
        </x:is>
      </x:c>
      <x:c r="B373" s="31" t="n">
        <x:v>46167</x:v>
      </x:c>
      <x:c r="C373" s="31" t="n">
        <x:v>46177</x:v>
      </x:c>
      <x:c r="D373" s="31" t="inlineStr">
        <x:is>
          <x:t xml:space="preserve">Ожидает ответа</x:t>
        </x:is>
      </x:c>
      <x:c r="E373" s="31" t="inlineStr">
        <x:is>
          <x:t xml:space="preserve">Средний</x:t>
        </x:is>
      </x:c>
      <x:c r="F373" s="31" t="inlineStr">
        <x:is>
          <x:t xml:space="preserve">СОТР-001</x:t>
        </x:is>
      </x:c>
      <x:c r="G373" s="31" t="inlineStr">
        <x:is>
          <x:t xml:space="preserve">Закупка</x:t>
        </x:is>
      </x:c>
      <x:c r="H373" s="31" t="inlineStr">
        <x:is>
          <x:t xml:space="preserve">ЗЗ-00035</x:t>
        </x:is>
      </x:c>
      <x:c r="I373" s="31" t="inlineStr">
        <x:is>
          <x:t xml:space="preserve">Запросить срок поставки</x:t>
        </x:is>
      </x:c>
      <x:c r="J373" s="31" t="inlineStr">
        <x:is>
          <x:t xml:space="preserve">ОТК</x:t>
        </x:is>
      </x:c>
      <x:c r="K373" s="31" t="n">
        <x:v>0</x:v>
      </x:c>
      <x:c r="L373" s="31" t="inlineStr">
        <x:is>
          <x:t xml:space="preserve">Нет</x:t>
        </x:is>
      </x:c>
      <x:c r="M373" s="31" t="inlineStr">
        <x:is>
          <x:t xml:space="preserve">Нет</x:t>
        </x:is>
      </x:c>
      <x:c r="N373" s="31" t="inlineStr">
        <x:is>
          <x:t xml:space="preserve">Автосоздано правилом/пользователем 10</x:t>
        </x:is>
      </x:c>
    </x:row>
    <x:row r="374">
      <x:c r="A374" s="31" t="inlineStr">
        <x:is>
          <x:t xml:space="preserve">ЗД-00373</x:t>
        </x:is>
      </x:c>
      <x:c r="B374" s="31" t="n">
        <x:v>46163</x:v>
      </x:c>
      <x:c r="C374" s="31" t="n">
        <x:v>46166</x:v>
      </x:c>
      <x:c r="D374" s="31" t="inlineStr">
        <x:is>
          <x:t xml:space="preserve">Выполнена</x:t>
        </x:is>
      </x:c>
      <x:c r="E374" s="31" t="inlineStr">
        <x:is>
          <x:t xml:space="preserve">Средний</x:t>
        </x:is>
      </x:c>
      <x:c r="F374" s="31" t="inlineStr">
        <x:is>
          <x:t xml:space="preserve">СОТР-047</x:t>
        </x:is>
      </x:c>
      <x:c r="G374" s="31" t="inlineStr">
        <x:is>
          <x:t xml:space="preserve">Производственное задание</x:t>
        </x:is>
      </x:c>
      <x:c r="H374" s="31" t="inlineStr">
        <x:is>
          <x:t xml:space="preserve">ПЗ-00089</x:t>
        </x:is>
      </x:c>
      <x:c r="I374" s="31" t="inlineStr">
        <x:is>
          <x:t xml:space="preserve">Обновить готовность</x:t>
        </x:is>
      </x:c>
      <x:c r="J374" s="31" t="inlineStr">
        <x:is>
          <x:t xml:space="preserve">Финансы</x:t>
        </x:is>
      </x:c>
      <x:c r="K374" s="31" t="n">
        <x:v>0</x:v>
      </x:c>
      <x:c r="L374" s="31" t="inlineStr">
        <x:is>
          <x:t xml:space="preserve">Нет</x:t>
        </x:is>
      </x:c>
      <x:c r="M374" s="31" t="inlineStr">
        <x:is>
          <x:t xml:space="preserve">Нет</x:t>
        </x:is>
      </x:c>
      <x:c r="N374" s="31" t="inlineStr">
        <x:is>
          <x:t xml:space="preserve">Автосоздано правилом/пользователем 11</x:t>
        </x:is>
      </x:c>
    </x:row>
    <x:row r="375">
      <x:c r="A375" s="31" t="inlineStr">
        <x:is>
          <x:t xml:space="preserve">ЗД-00374</x:t>
        </x:is>
      </x:c>
      <x:c r="B375" s="31" t="n">
        <x:v>46169</x:v>
      </x:c>
      <x:c r="C375" s="31" t="n">
        <x:v>46171</x:v>
      </x:c>
      <x:c r="D375" s="31" t="inlineStr">
        <x:is>
          <x:t xml:space="preserve">Просрочена</x:t>
        </x:is>
      </x:c>
      <x:c r="E375" s="31" t="inlineStr">
        <x:is>
          <x:t xml:space="preserve">Низкий</x:t>
        </x:is>
      </x:c>
      <x:c r="F375" s="31" t="inlineStr">
        <x:is>
          <x:t xml:space="preserve">СОТР-093</x:t>
        </x:is>
      </x:c>
      <x:c r="G375" s="31" t="inlineStr">
        <x:is>
          <x:t xml:space="preserve">ОТК</x:t>
        </x:is>
      </x:c>
      <x:c r="H375" s="31" t="inlineStr">
        <x:is>
          <x:t xml:space="preserve">ОТК-00074</x:t>
        </x:is>
      </x:c>
      <x:c r="I375" s="31" t="inlineStr">
        <x:is>
          <x:t xml:space="preserve">Заблокировать отгрузку</x:t>
        </x:is>
      </x:c>
      <x:c r="J375" s="31" t="inlineStr">
        <x:is>
          <x:t xml:space="preserve">Снабжение</x:t>
        </x:is>
      </x:c>
      <x:c r="K375" s="31" t="n">
        <x:v>14</x:v>
      </x:c>
      <x:c r="L375" s="31" t="inlineStr">
        <x:is>
          <x:t xml:space="preserve">Нет</x:t>
        </x:is>
      </x:c>
      <x:c r="M375" s="31" t="inlineStr">
        <x:is>
          <x:t xml:space="preserve">Нет</x:t>
        </x:is>
      </x:c>
      <x:c r="N375" s="31" t="inlineStr">
        <x:is>
          <x:t xml:space="preserve">Автосоздано правилом/пользователем 4</x:t>
        </x:is>
      </x:c>
    </x:row>
    <x:row r="376">
      <x:c r="A376" s="31" t="inlineStr">
        <x:is>
          <x:t xml:space="preserve">ЗД-00375</x:t>
        </x:is>
      </x:c>
      <x:c r="B376" s="31" t="n">
        <x:v>46165</x:v>
      </x:c>
      <x:c r="C376" s="31" t="n">
        <x:v>46167</x:v>
      </x:c>
      <x:c r="D376" s="31" t="inlineStr">
        <x:is>
          <x:t xml:space="preserve">В работе</x:t>
        </x:is>
      </x:c>
      <x:c r="E376" s="31" t="inlineStr">
        <x:is>
          <x:t xml:space="preserve">Средний</x:t>
        </x:is>
      </x:c>
      <x:c r="F376" s="31" t="inlineStr">
        <x:is>
          <x:t xml:space="preserve">СОТР-076</x:t>
        </x:is>
      </x:c>
      <x:c r="G376" s="31" t="inlineStr">
        <x:is>
          <x:t xml:space="preserve">Счет</x:t>
        </x:is>
      </x:c>
      <x:c r="H376" s="31" t="inlineStr">
        <x:is>
          <x:t xml:space="preserve">СЧ-1085-2</x:t>
        </x:is>
      </x:c>
      <x:c r="I376" s="31" t="inlineStr">
        <x:is>
          <x:t xml:space="preserve">Напомнить об оплате</x:t>
        </x:is>
      </x:c>
      <x:c r="J376" s="31" t="inlineStr">
        <x:is>
          <x:t xml:space="preserve">Финансы</x:t>
        </x:is>
      </x:c>
      <x:c r="K376" s="31" t="n">
        <x:v>0</x:v>
      </x:c>
      <x:c r="L376" s="31" t="inlineStr">
        <x:is>
          <x:t xml:space="preserve">Да</x:t>
        </x:is>
      </x:c>
      <x:c r="M376" s="31" t="inlineStr">
        <x:is>
          <x:t xml:space="preserve">Поставщик</x:t>
        </x:is>
      </x:c>
      <x:c r="N376" s="31" t="inlineStr">
        <x:is>
          <x:t xml:space="preserve">Автосоздано правилом/пользователем 9</x:t>
        </x:is>
      </x:c>
    </x:row>
    <x:row r="377">
      <x:c r="A377" s="31" t="inlineStr">
        <x:is>
          <x:t xml:space="preserve">ЗД-00376</x:t>
        </x:is>
      </x:c>
      <x:c r="B377" s="31" t="n">
        <x:v>46175</x:v>
      </x:c>
      <x:c r="C377" s="31" t="n">
        <x:v>46189</x:v>
      </x:c>
      <x:c r="D377" s="31" t="inlineStr">
        <x:is>
          <x:t xml:space="preserve">В работе</x:t>
        </x:is>
      </x:c>
      <x:c r="E377" s="31" t="inlineStr">
        <x:is>
          <x:t xml:space="preserve">Средний</x:t>
        </x:is>
      </x:c>
      <x:c r="F377" s="31" t="inlineStr">
        <x:is>
          <x:t xml:space="preserve">СОТР-092</x:t>
        </x:is>
      </x:c>
      <x:c r="G377" s="31" t="inlineStr">
        <x:is>
          <x:t xml:space="preserve">Производственное задание</x:t>
        </x:is>
      </x:c>
      <x:c r="H377" s="31" t="inlineStr">
        <x:is>
          <x:t xml:space="preserve">ПЗ-00086</x:t>
        </x:is>
      </x:c>
      <x:c r="I377" s="31" t="inlineStr">
        <x:is>
          <x:t xml:space="preserve">Обновить готовность</x:t>
        </x:is>
      </x:c>
      <x:c r="J377" s="31" t="inlineStr">
        <x:is>
          <x:t xml:space="preserve">Продажи</x:t>
        </x:is>
      </x:c>
      <x:c r="K377" s="31" t="n">
        <x:v>0</x:v>
      </x:c>
      <x:c r="L377" s="31" t="inlineStr">
        <x:is>
          <x:t xml:space="preserve">Нет</x:t>
        </x:is>
      </x:c>
      <x:c r="M377" s="31" t="inlineStr">
        <x:is>
          <x:t xml:space="preserve">Нет</x:t>
        </x:is>
      </x:c>
      <x:c r="N377" s="31" t="inlineStr">
        <x:is>
          <x:t xml:space="preserve">Автосоздано правилом/пользователем 5</x:t>
        </x:is>
      </x:c>
    </x:row>
    <x:row r="378">
      <x:c r="A378" s="31" t="inlineStr">
        <x:is>
          <x:t xml:space="preserve">ЗД-00377</x:t>
        </x:is>
      </x:c>
      <x:c r="B378" s="31" t="n">
        <x:v>46121</x:v>
      </x:c>
      <x:c r="C378" s="31" t="n">
        <x:v>46124</x:v>
      </x:c>
      <x:c r="D378" s="31" t="inlineStr">
        <x:is>
          <x:t xml:space="preserve">Выполнена</x:t>
        </x:is>
      </x:c>
      <x:c r="E378" s="31" t="inlineStr">
        <x:is>
          <x:t xml:space="preserve">Низкий</x:t>
        </x:is>
      </x:c>
      <x:c r="F378" s="31" t="inlineStr">
        <x:is>
          <x:t xml:space="preserve">СОТР-063</x:t>
        </x:is>
      </x:c>
      <x:c r="G378" s="31" t="inlineStr">
        <x:is>
          <x:t xml:space="preserve">ОТК</x:t>
        </x:is>
      </x:c>
      <x:c r="H378" s="31" t="inlineStr">
        <x:is>
          <x:t xml:space="preserve">ОТК-00138</x:t>
        </x:is>
      </x:c>
      <x:c r="I378" s="31" t="inlineStr">
        <x:is>
          <x:t xml:space="preserve">Проверить доработку</x:t>
        </x:is>
      </x:c>
      <x:c r="J378" s="31" t="inlineStr">
        <x:is>
          <x:t xml:space="preserve">Продажи</x:t>
        </x:is>
      </x:c>
      <x:c r="K378" s="31" t="n">
        <x:v>0</x:v>
      </x:c>
      <x:c r="L378" s="31" t="inlineStr">
        <x:is>
          <x:t xml:space="preserve">Нет</x:t>
        </x:is>
      </x:c>
      <x:c r="M378" s="31" t="inlineStr">
        <x:is>
          <x:t xml:space="preserve">Нет</x:t>
        </x:is>
      </x:c>
      <x:c r="N378" s="31" t="inlineStr">
        <x:is>
          <x:t xml:space="preserve">Автосоздано правилом/пользователем 2</x:t>
        </x:is>
      </x:c>
    </x:row>
    <x:row r="379">
      <x:c r="A379" s="31" t="inlineStr">
        <x:is>
          <x:t xml:space="preserve">ЗД-00378</x:t>
        </x:is>
      </x:c>
      <x:c r="B379" s="31" t="n">
        <x:v>46163</x:v>
      </x:c>
      <x:c r="C379" s="31" t="n">
        <x:v>46177</x:v>
      </x:c>
      <x:c r="D379" s="31" t="inlineStr">
        <x:is>
          <x:t xml:space="preserve">Просрочена</x:t>
        </x:is>
      </x:c>
      <x:c r="E379" s="31" t="inlineStr">
        <x:is>
          <x:t xml:space="preserve">Средний</x:t>
        </x:is>
      </x:c>
      <x:c r="F379" s="31" t="inlineStr">
        <x:is>
          <x:t xml:space="preserve">СОТР-116</x:t>
        </x:is>
      </x:c>
      <x:c r="G379" s="31" t="inlineStr">
        <x:is>
          <x:t xml:space="preserve">Рекламация</x:t>
        </x:is>
      </x:c>
      <x:c r="H379" s="31" t="inlineStr">
        <x:is>
          <x:t xml:space="preserve">РЕК-00018</x:t>
        </x:is>
      </x:c>
      <x:c r="I379" s="31" t="inlineStr">
        <x:is>
          <x:t xml:space="preserve">Подготовить отчет</x:t>
        </x:is>
      </x:c>
      <x:c r="J379" s="31" t="inlineStr">
        <x:is>
          <x:t xml:space="preserve">Финансы</x:t>
        </x:is>
      </x:c>
      <x:c r="K379" s="31" t="n">
        <x:v>8</x:v>
      </x:c>
      <x:c r="L379" s="31" t="inlineStr">
        <x:is>
          <x:t xml:space="preserve">Нет</x:t>
        </x:is>
      </x:c>
      <x:c r="M379" s="31" t="inlineStr">
        <x:is>
          <x:t xml:space="preserve">Нет</x:t>
        </x:is>
      </x:c>
      <x:c r="N379" s="31" t="inlineStr">
        <x:is>
          <x:t xml:space="preserve">Автосоздано правилом/пользователем 9</x:t>
        </x:is>
      </x:c>
    </x:row>
    <x:row r="380">
      <x:c r="A380" s="31" t="inlineStr">
        <x:is>
          <x:t xml:space="preserve">ЗД-00379</x:t>
        </x:is>
      </x:c>
      <x:c r="B380" s="31" t="n">
        <x:v>46179</x:v>
      </x:c>
      <x:c r="C380" s="31" t="n">
        <x:v>46180</x:v>
      </x:c>
      <x:c r="D380" s="31" t="inlineStr">
        <x:is>
          <x:t xml:space="preserve">Просрочена</x:t>
        </x:is>
      </x:c>
      <x:c r="E380" s="31" t="inlineStr">
        <x:is>
          <x:t xml:space="preserve">Средний</x:t>
        </x:is>
      </x:c>
      <x:c r="F380" s="31" t="inlineStr">
        <x:is>
          <x:t xml:space="preserve">СОТР-106</x:t>
        </x:is>
      </x:c>
      <x:c r="G380" s="31" t="inlineStr">
        <x:is>
          <x:t xml:space="preserve">Заказ</x:t>
        </x:is>
      </x:c>
      <x:c r="H380" s="31" t="inlineStr">
        <x:is>
          <x:t xml:space="preserve">ЗК-1084</x:t>
        </x:is>
      </x:c>
      <x:c r="I380" s="31" t="inlineStr">
        <x:is>
          <x:t xml:space="preserve">Проверить лимит заказчика</x:t>
        </x:is>
      </x:c>
      <x:c r="J380" s="31" t="inlineStr">
        <x:is>
          <x:t xml:space="preserve">Производство</x:t>
        </x:is>
      </x:c>
      <x:c r="K380" s="31" t="n">
        <x:v>5</x:v>
      </x:c>
      <x:c r="L380" s="31" t="inlineStr">
        <x:is>
          <x:t xml:space="preserve">Нет</x:t>
        </x:is>
      </x:c>
      <x:c r="M380" s="31" t="inlineStr">
        <x:is>
          <x:t xml:space="preserve">Нет</x:t>
        </x:is>
      </x:c>
      <x:c r="N380" s="31" t="inlineStr">
        <x:is>
          <x:t xml:space="preserve">Автосоздано правилом/пользователем 7</x:t>
        </x:is>
      </x:c>
    </x:row>
    <x:row r="381">
      <x:c r="A381" s="31" t="inlineStr">
        <x:is>
          <x:t xml:space="preserve">ЗД-00380</x:t>
        </x:is>
      </x:c>
      <x:c r="B381" s="31" t="n">
        <x:v>46110</x:v>
      </x:c>
      <x:c r="C381" s="31" t="n">
        <x:v>46111</x:v>
      </x:c>
      <x:c r="D381" s="31" t="inlineStr">
        <x:is>
          <x:t xml:space="preserve">Просрочена</x:t>
        </x:is>
      </x:c>
      <x:c r="E381" s="31" t="inlineStr">
        <x:is>
          <x:t xml:space="preserve">Низкий</x:t>
        </x:is>
      </x:c>
      <x:c r="F381" s="31" t="inlineStr">
        <x:is>
          <x:t xml:space="preserve">СОТР-076</x:t>
        </x:is>
      </x:c>
      <x:c r="G381" s="31" t="inlineStr">
        <x:is>
          <x:t xml:space="preserve">Счет</x:t>
        </x:is>
      </x:c>
      <x:c r="H381" s="31" t="inlineStr">
        <x:is>
          <x:t xml:space="preserve">СЧ-1116-1</x:t>
        </x:is>
      </x:c>
      <x:c r="I381" s="31" t="inlineStr">
        <x:is>
          <x:t xml:space="preserve">Напомнить об оплате</x:t>
        </x:is>
      </x:c>
      <x:c r="J381" s="31" t="inlineStr">
        <x:is>
          <x:t xml:space="preserve">ОТК</x:t>
        </x:is>
      </x:c>
      <x:c r="K381" s="31" t="n">
        <x:v>74</x:v>
      </x:c>
      <x:c r="L381" s="31" t="inlineStr">
        <x:is>
          <x:t xml:space="preserve">Нет</x:t>
        </x:is>
      </x:c>
      <x:c r="M381" s="31" t="inlineStr">
        <x:is>
          <x:t xml:space="preserve">Нет</x:t>
        </x:is>
      </x:c>
      <x:c r="N381" s="31" t="inlineStr">
        <x:is>
          <x:t xml:space="preserve">Автосоздано правилом/пользователем 4</x:t>
        </x:is>
      </x:c>
    </x:row>
    <x:row r="382">
      <x:c r="A382" s="31" t="inlineStr">
        <x:is>
          <x:t xml:space="preserve">ЗД-00381</x:t>
        </x:is>
      </x:c>
      <x:c r="B382" s="31" t="n">
        <x:v>46137</x:v>
      </x:c>
      <x:c r="C382" s="31" t="n">
        <x:v>46142</x:v>
      </x:c>
      <x:c r="D382" s="31" t="inlineStr">
        <x:is>
          <x:t xml:space="preserve">Новая</x:t>
        </x:is>
      </x:c>
      <x:c r="E382" s="31" t="inlineStr">
        <x:is>
          <x:t xml:space="preserve">Средний</x:t>
        </x:is>
      </x:c>
      <x:c r="F382" s="31" t="inlineStr">
        <x:is>
          <x:t xml:space="preserve">СОТР-004</x:t>
        </x:is>
      </x:c>
      <x:c r="G382" s="31" t="inlineStr">
        <x:is>
          <x:t xml:space="preserve">Заказ</x:t>
        </x:is>
      </x:c>
      <x:c r="H382" s="31" t="inlineStr">
        <x:is>
          <x:t xml:space="preserve">ЗК-1084</x:t>
        </x:is>
      </x:c>
      <x:c r="I382" s="31" t="inlineStr">
        <x:is>
          <x:t xml:space="preserve">Подписать спецификацию</x:t>
        </x:is>
      </x:c>
      <x:c r="J382" s="31" t="inlineStr">
        <x:is>
          <x:t xml:space="preserve">Продажи</x:t>
        </x:is>
      </x:c>
      <x:c r="K382" s="31" t="n">
        <x:v>0</x:v>
      </x:c>
      <x:c r="L382" s="31" t="inlineStr">
        <x:is>
          <x:t xml:space="preserve">Нет</x:t>
        </x:is>
      </x:c>
      <x:c r="M382" s="31" t="inlineStr">
        <x:is>
          <x:t xml:space="preserve">Нет</x:t>
        </x:is>
      </x:c>
      <x:c r="N382" s="31" t="inlineStr">
        <x:is>
          <x:t xml:space="preserve">Автосоздано правилом/пользователем 9</x:t>
        </x:is>
      </x:c>
    </x:row>
    <x:row r="383">
      <x:c r="A383" s="31" t="inlineStr">
        <x:is>
          <x:t xml:space="preserve">ЗД-00382</x:t>
        </x:is>
      </x:c>
      <x:c r="B383" s="31" t="n">
        <x:v>46127</x:v>
      </x:c>
      <x:c r="C383" s="31" t="n">
        <x:v>46128</x:v>
      </x:c>
      <x:c r="D383" s="31" t="inlineStr">
        <x:is>
          <x:t xml:space="preserve">Ожидает ответа</x:t>
        </x:is>
      </x:c>
      <x:c r="E383" s="31" t="inlineStr">
        <x:is>
          <x:t xml:space="preserve">Средний</x:t>
        </x:is>
      </x:c>
      <x:c r="F383" s="31" t="inlineStr">
        <x:is>
          <x:t xml:space="preserve">СОТР-060</x:t>
        </x:is>
      </x:c>
      <x:c r="G383" s="31" t="inlineStr">
        <x:is>
          <x:t xml:space="preserve">Производственное задание</x:t>
        </x:is>
      </x:c>
      <x:c r="H383" s="31" t="inlineStr">
        <x:is>
          <x:t xml:space="preserve">ПЗ-00152</x:t>
        </x:is>
      </x:c>
      <x:c r="I383" s="31" t="inlineStr">
        <x:is>
          <x:t xml:space="preserve">Обновить готовность</x:t>
        </x:is>
      </x:c>
      <x:c r="J383" s="31" t="inlineStr">
        <x:is>
          <x:t xml:space="preserve">Производство</x:t>
        </x:is>
      </x:c>
      <x:c r="K383" s="31" t="n">
        <x:v>0</x:v>
      </x:c>
      <x:c r="L383" s="31" t="inlineStr">
        <x:is>
          <x:t xml:space="preserve">Нет</x:t>
        </x:is>
      </x:c>
      <x:c r="M383" s="31" t="inlineStr">
        <x:is>
          <x:t xml:space="preserve">Поставщик</x:t>
        </x:is>
      </x:c>
      <x:c r="N383" s="31" t="inlineStr">
        <x:is>
          <x:t xml:space="preserve">Автосоздано правилом/пользователем 12</x:t>
        </x:is>
      </x:c>
    </x:row>
    <x:row r="384">
      <x:c r="A384" s="31" t="inlineStr">
        <x:is>
          <x:t xml:space="preserve">ЗД-00383</x:t>
        </x:is>
      </x:c>
      <x:c r="B384" s="31" t="n">
        <x:v>46174</x:v>
      </x:c>
      <x:c r="C384" s="31" t="n">
        <x:v>46175</x:v>
      </x:c>
      <x:c r="D384" s="31" t="inlineStr">
        <x:is>
          <x:t xml:space="preserve">Просрочена</x:t>
        </x:is>
      </x:c>
      <x:c r="E384" s="31" t="inlineStr">
        <x:is>
          <x:t xml:space="preserve">Высокий</x:t>
        </x:is>
      </x:c>
      <x:c r="F384" s="31" t="inlineStr">
        <x:is>
          <x:t xml:space="preserve">СОТР-005</x:t>
        </x:is>
      </x:c>
      <x:c r="G384" s="31" t="inlineStr">
        <x:is>
          <x:t xml:space="preserve">Заказ</x:t>
        </x:is>
      </x:c>
      <x:c r="H384" s="31" t="inlineStr">
        <x:is>
          <x:t xml:space="preserve">ЗК-1047</x:t>
        </x:is>
      </x:c>
      <x:c r="I384" s="31" t="inlineStr">
        <x:is>
          <x:t xml:space="preserve">Подготовить КП</x:t>
        </x:is>
      </x:c>
      <x:c r="J384" s="31" t="inlineStr">
        <x:is>
          <x:t xml:space="preserve">Производство</x:t>
        </x:is>
      </x:c>
      <x:c r="K384" s="31" t="n">
        <x:v>10</x:v>
      </x:c>
      <x:c r="L384" s="31" t="inlineStr">
        <x:is>
          <x:t xml:space="preserve">Да</x:t>
        </x:is>
      </x:c>
      <x:c r="M384" s="31" t="inlineStr">
        <x:is>
          <x:t xml:space="preserve">Нет</x:t>
        </x:is>
      </x:c>
      <x:c r="N384" s="31" t="inlineStr">
        <x:is>
          <x:t xml:space="preserve">Автосоздано правилом/пользователем 1</x:t>
        </x:is>
      </x:c>
    </x:row>
    <x:row r="385">
      <x:c r="A385" s="31" t="inlineStr">
        <x:is>
          <x:t xml:space="preserve">ЗД-00384</x:t>
        </x:is>
      </x:c>
      <x:c r="B385" s="31" t="n">
        <x:v>46173</x:v>
      </x:c>
      <x:c r="C385" s="31" t="n">
        <x:v>46175</x:v>
      </x:c>
      <x:c r="D385" s="31" t="inlineStr">
        <x:is>
          <x:t xml:space="preserve">Просрочена</x:t>
        </x:is>
      </x:c>
      <x:c r="E385" s="31" t="inlineStr">
        <x:is>
          <x:t xml:space="preserve">Средний</x:t>
        </x:is>
      </x:c>
      <x:c r="F385" s="31" t="inlineStr">
        <x:is>
          <x:t xml:space="preserve">СОТР-010</x:t>
        </x:is>
      </x:c>
      <x:c r="G385" s="31" t="inlineStr">
        <x:is>
          <x:t xml:space="preserve">Производственное задание</x:t>
        </x:is>
      </x:c>
      <x:c r="H385" s="31" t="inlineStr">
        <x:is>
          <x:t xml:space="preserve">ПЗ-00060</x:t>
        </x:is>
      </x:c>
      <x:c r="I385" s="31" t="inlineStr">
        <x:is>
          <x:t xml:space="preserve">Обновить готовность</x:t>
        </x:is>
      </x:c>
      <x:c r="J385" s="31" t="inlineStr">
        <x:is>
          <x:t xml:space="preserve">Продажи</x:t>
        </x:is>
      </x:c>
      <x:c r="K385" s="31" t="n">
        <x:v>10</x:v>
      </x:c>
      <x:c r="L385" s="31" t="inlineStr">
        <x:is>
          <x:t xml:space="preserve">Нет</x:t>
        </x:is>
      </x:c>
      <x:c r="M385" s="31" t="inlineStr">
        <x:is>
          <x:t xml:space="preserve">Заказчик</x:t>
        </x:is>
      </x:c>
      <x:c r="N385" s="31" t="inlineStr">
        <x:is>
          <x:t xml:space="preserve">Автосоздано правилом/пользователем 12</x:t>
        </x:is>
      </x:c>
    </x:row>
    <x:row r="386">
      <x:c r="A386" s="31" t="inlineStr">
        <x:is>
          <x:t xml:space="preserve">ЗД-00385</x:t>
        </x:is>
      </x:c>
      <x:c r="B386" s="31" t="n">
        <x:v>46183</x:v>
      </x:c>
      <x:c r="C386" s="31" t="n">
        <x:v>46186</x:v>
      </x:c>
      <x:c r="D386" s="31" t="inlineStr">
        <x:is>
          <x:t xml:space="preserve">Выполнена</x:t>
        </x:is>
      </x:c>
      <x:c r="E386" s="31" t="inlineStr">
        <x:is>
          <x:t xml:space="preserve">Средний</x:t>
        </x:is>
      </x:c>
      <x:c r="F386" s="31" t="inlineStr">
        <x:is>
          <x:t xml:space="preserve">СОТР-097</x:t>
        </x:is>
      </x:c>
      <x:c r="G386" s="31" t="inlineStr">
        <x:is>
          <x:t xml:space="preserve">Производственное задание</x:t>
        </x:is>
      </x:c>
      <x:c r="H386" s="31" t="inlineStr">
        <x:is>
          <x:t xml:space="preserve">ПЗ-00179</x:t>
        </x:is>
      </x:c>
      <x:c r="I386" s="31" t="inlineStr">
        <x:is>
          <x:t xml:space="preserve">Обновить готовность</x:t>
        </x:is>
      </x:c>
      <x:c r="J386" s="31" t="inlineStr">
        <x:is>
          <x:t xml:space="preserve">Производство</x:t>
        </x:is>
      </x:c>
      <x:c r="K386" s="31" t="n">
        <x:v>0</x:v>
      </x:c>
      <x:c r="L386" s="31" t="inlineStr">
        <x:is>
          <x:t xml:space="preserve">Нет</x:t>
        </x:is>
      </x:c>
      <x:c r="M386" s="31" t="inlineStr">
        <x:is>
          <x:t xml:space="preserve">Нет</x:t>
        </x:is>
      </x:c>
      <x:c r="N386" s="31" t="inlineStr">
        <x:is>
          <x:t xml:space="preserve">Автосоздано правилом/пользователем 6</x:t>
        </x:is>
      </x:c>
    </x:row>
    <x:row r="387">
      <x:c r="A387" s="31" t="inlineStr">
        <x:is>
          <x:t xml:space="preserve">ЗД-00386</x:t>
        </x:is>
      </x:c>
      <x:c r="B387" s="31" t="n">
        <x:v>46147</x:v>
      </x:c>
      <x:c r="C387" s="31" t="n">
        <x:v>46154</x:v>
      </x:c>
      <x:c r="D387" s="31" t="inlineStr">
        <x:is>
          <x:t xml:space="preserve">Выполнена</x:t>
        </x:is>
      </x:c>
      <x:c r="E387" s="31" t="inlineStr">
        <x:is>
          <x:t xml:space="preserve">Высокий</x:t>
        </x:is>
      </x:c>
      <x:c r="F387" s="31" t="inlineStr">
        <x:is>
          <x:t xml:space="preserve">СОТР-029</x:t>
        </x:is>
      </x:c>
      <x:c r="G387" s="31" t="inlineStr">
        <x:is>
          <x:t xml:space="preserve">Закупка</x:t>
        </x:is>
      </x:c>
      <x:c r="H387" s="31" t="inlineStr">
        <x:is>
          <x:t xml:space="preserve">ЗЗ-00040</x:t>
        </x:is>
      </x:c>
      <x:c r="I387" s="31" t="inlineStr">
        <x:is>
          <x:t xml:space="preserve">Запросить срок поставки</x:t>
        </x:is>
      </x:c>
      <x:c r="J387" s="31" t="inlineStr">
        <x:is>
          <x:t xml:space="preserve">Сервис</x:t>
        </x:is>
      </x:c>
      <x:c r="K387" s="31" t="n">
        <x:v>0</x:v>
      </x:c>
      <x:c r="L387" s="31" t="inlineStr">
        <x:is>
          <x:t xml:space="preserve">Нет</x:t>
        </x:is>
      </x:c>
      <x:c r="M387" s="31" t="inlineStr">
        <x:is>
          <x:t xml:space="preserve">Нет</x:t>
        </x:is>
      </x:c>
      <x:c r="N387" s="31" t="inlineStr">
        <x:is>
          <x:t xml:space="preserve">Автосоздано правилом/пользователем 12</x:t>
        </x:is>
      </x:c>
    </x:row>
    <x:row r="388">
      <x:c r="A388" s="31" t="inlineStr">
        <x:is>
          <x:t xml:space="preserve">ЗД-00387</x:t>
        </x:is>
      </x:c>
      <x:c r="B388" s="31" t="n">
        <x:v>46154</x:v>
      </x:c>
      <x:c r="C388" s="31" t="n">
        <x:v>46157</x:v>
      </x:c>
      <x:c r="D388" s="31" t="inlineStr">
        <x:is>
          <x:t xml:space="preserve">Просрочена</x:t>
        </x:is>
      </x:c>
      <x:c r="E388" s="31" t="inlineStr">
        <x:is>
          <x:t xml:space="preserve">Низкий</x:t>
        </x:is>
      </x:c>
      <x:c r="F388" s="31" t="inlineStr">
        <x:is>
          <x:t xml:space="preserve">СОТР-093</x:t>
        </x:is>
      </x:c>
      <x:c r="G388" s="31" t="inlineStr">
        <x:is>
          <x:t xml:space="preserve">ОТК</x:t>
        </x:is>
      </x:c>
      <x:c r="H388" s="31" t="inlineStr">
        <x:is>
          <x:t xml:space="preserve">ОТК-00154</x:t>
        </x:is>
      </x:c>
      <x:c r="I388" s="31" t="inlineStr">
        <x:is>
          <x:t xml:space="preserve">Заблокировать отгрузку</x:t>
        </x:is>
      </x:c>
      <x:c r="J388" s="31" t="inlineStr">
        <x:is>
          <x:t xml:space="preserve">Продажи</x:t>
        </x:is>
      </x:c>
      <x:c r="K388" s="31" t="n">
        <x:v>28</x:v>
      </x:c>
      <x:c r="L388" s="31" t="inlineStr">
        <x:is>
          <x:t xml:space="preserve">Да</x:t>
        </x:is>
      </x:c>
      <x:c r="M388" s="31" t="inlineStr">
        <x:is>
          <x:t xml:space="preserve">Нет</x:t>
        </x:is>
      </x:c>
      <x:c r="N388" s="31" t="inlineStr">
        <x:is>
          <x:t xml:space="preserve">Автосоздано правилом/пользователем 4</x:t>
        </x:is>
      </x:c>
    </x:row>
    <x:row r="389">
      <x:c r="A389" s="31" t="inlineStr">
        <x:is>
          <x:t xml:space="preserve">ЗД-00388</x:t>
        </x:is>
      </x:c>
      <x:c r="B389" s="31" t="n">
        <x:v>46136</x:v>
      </x:c>
      <x:c r="C389" s="31" t="n">
        <x:v>46150</x:v>
      </x:c>
      <x:c r="D389" s="31" t="inlineStr">
        <x:is>
          <x:t xml:space="preserve">В работе</x:t>
        </x:is>
      </x:c>
      <x:c r="E389" s="31" t="inlineStr">
        <x:is>
          <x:t xml:space="preserve">Средний</x:t>
        </x:is>
      </x:c>
      <x:c r="F389" s="31" t="inlineStr">
        <x:is>
          <x:t xml:space="preserve">СОТР-004</x:t>
        </x:is>
      </x:c>
      <x:c r="G389" s="31" t="inlineStr">
        <x:is>
          <x:t xml:space="preserve">Заказ</x:t>
        </x:is>
      </x:c>
      <x:c r="H389" s="31" t="inlineStr">
        <x:is>
          <x:t xml:space="preserve">ЗК-1027</x:t>
        </x:is>
      </x:c>
      <x:c r="I389" s="31" t="inlineStr">
        <x:is>
          <x:t xml:space="preserve">Уточнить ТЗ</x:t>
        </x:is>
      </x:c>
      <x:c r="J389" s="31" t="inlineStr">
        <x:is>
          <x:t xml:space="preserve">Производство</x:t>
        </x:is>
      </x:c>
      <x:c r="K389" s="31" t="n">
        <x:v>0</x:v>
      </x:c>
      <x:c r="L389" s="31" t="inlineStr">
        <x:is>
          <x:t xml:space="preserve">Нет</x:t>
        </x:is>
      </x:c>
      <x:c r="M389" s="31" t="inlineStr">
        <x:is>
          <x:t xml:space="preserve">Нет</x:t>
        </x:is>
      </x:c>
      <x:c r="N389" s="31" t="inlineStr">
        <x:is>
          <x:t xml:space="preserve">Автосоздано правилом/пользователем 5</x:t>
        </x:is>
      </x:c>
    </x:row>
    <x:row r="390">
      <x:c r="A390" s="31" t="inlineStr">
        <x:is>
          <x:t xml:space="preserve">ЗД-00389</x:t>
        </x:is>
      </x:c>
      <x:c r="B390" s="31" t="n">
        <x:v>46117</x:v>
      </x:c>
      <x:c r="C390" s="31" t="n">
        <x:v>46127</x:v>
      </x:c>
      <x:c r="D390" s="31" t="inlineStr">
        <x:is>
          <x:t xml:space="preserve">Выполнена</x:t>
        </x:is>
      </x:c>
      <x:c r="E390" s="31" t="inlineStr">
        <x:is>
          <x:t xml:space="preserve">Высокий</x:t>
        </x:is>
      </x:c>
      <x:c r="F390" s="31" t="inlineStr">
        <x:is>
          <x:t xml:space="preserve">СОТР-076</x:t>
        </x:is>
      </x:c>
      <x:c r="G390" s="31" t="inlineStr">
        <x:is>
          <x:t xml:space="preserve">Счет</x:t>
        </x:is>
      </x:c>
      <x:c r="H390" s="31" t="inlineStr">
        <x:is>
          <x:t xml:space="preserve">СЧ-1030-1</x:t>
        </x:is>
      </x:c>
      <x:c r="I390" s="31" t="inlineStr">
        <x:is>
          <x:t xml:space="preserve">Напомнить об оплате</x:t>
        </x:is>
      </x:c>
      <x:c r="J390" s="31" t="inlineStr">
        <x:is>
          <x:t xml:space="preserve">Сервис</x:t>
        </x:is>
      </x:c>
      <x:c r="K390" s="31" t="n">
        <x:v>0</x:v>
      </x:c>
      <x:c r="L390" s="31" t="inlineStr">
        <x:is>
          <x:t xml:space="preserve">Нет</x:t>
        </x:is>
      </x:c>
      <x:c r="M390" s="31" t="inlineStr">
        <x:is>
          <x:t xml:space="preserve">Нет</x:t>
        </x:is>
      </x:c>
      <x:c r="N390" s="31" t="inlineStr">
        <x:is>
          <x:t xml:space="preserve">Автосоздано правилом/пользователем 5</x:t>
        </x:is>
      </x:c>
    </x:row>
    <x:row r="391">
      <x:c r="A391" s="31" t="inlineStr">
        <x:is>
          <x:t xml:space="preserve">ЗД-00390</x:t>
        </x:is>
      </x:c>
      <x:c r="B391" s="31" t="n">
        <x:v>46176</x:v>
      </x:c>
      <x:c r="C391" s="31" t="n">
        <x:v>46183</x:v>
      </x:c>
      <x:c r="D391" s="31" t="inlineStr">
        <x:is>
          <x:t xml:space="preserve">Просрочена</x:t>
        </x:is>
      </x:c>
      <x:c r="E391" s="31" t="inlineStr">
        <x:is>
          <x:t xml:space="preserve">Средний</x:t>
        </x:is>
      </x:c>
      <x:c r="F391" s="31" t="inlineStr">
        <x:is>
          <x:t xml:space="preserve">СОТР-113</x:t>
        </x:is>
      </x:c>
      <x:c r="G391" s="31" t="inlineStr">
        <x:is>
          <x:t xml:space="preserve">Рекламация</x:t>
        </x:is>
      </x:c>
      <x:c r="H391" s="31" t="inlineStr">
        <x:is>
          <x:t xml:space="preserve">РЕК-00010</x:t>
        </x:is>
      </x:c>
      <x:c r="I391" s="31" t="inlineStr">
        <x:is>
          <x:t xml:space="preserve">Согласовать выезд</x:t>
        </x:is>
      </x:c>
      <x:c r="J391" s="31" t="inlineStr">
        <x:is>
          <x:t xml:space="preserve">Производство</x:t>
        </x:is>
      </x:c>
      <x:c r="K391" s="31" t="n">
        <x:v>2</x:v>
      </x:c>
      <x:c r="L391" s="31" t="inlineStr">
        <x:is>
          <x:t xml:space="preserve">Нет</x:t>
        </x:is>
      </x:c>
      <x:c r="M391" s="31" t="inlineStr">
        <x:is>
          <x:t xml:space="preserve">Поставщик</x:t>
        </x:is>
      </x:c>
      <x:c r="N391" s="31" t="inlineStr">
        <x:is>
          <x:t xml:space="preserve">Автосоздано правилом/пользователем 1</x:t>
        </x:is>
      </x:c>
    </x:row>
    <x:row r="392">
      <x:c r="A392" s="31" t="inlineStr">
        <x:is>
          <x:t xml:space="preserve">ЗД-00391</x:t>
        </x:is>
      </x:c>
      <x:c r="B392" s="31" t="n">
        <x:v>46167</x:v>
      </x:c>
      <x:c r="C392" s="31" t="n">
        <x:v>46181</x:v>
      </x:c>
      <x:c r="D392" s="31" t="inlineStr">
        <x:is>
          <x:t xml:space="preserve">Выполнена</x:t>
        </x:is>
      </x:c>
      <x:c r="E392" s="31" t="inlineStr">
        <x:is>
          <x:t xml:space="preserve">Средний</x:t>
        </x:is>
      </x:c>
      <x:c r="F392" s="31" t="inlineStr">
        <x:is>
          <x:t xml:space="preserve">СОТР-095</x:t>
        </x:is>
      </x:c>
      <x:c r="G392" s="31" t="inlineStr">
        <x:is>
          <x:t xml:space="preserve">Производственное задание</x:t>
        </x:is>
      </x:c>
      <x:c r="H392" s="31" t="inlineStr">
        <x:is>
          <x:t xml:space="preserve">ПЗ-00205</x:t>
        </x:is>
      </x:c>
      <x:c r="I392" s="31" t="inlineStr">
        <x:is>
          <x:t xml:space="preserve">Разобрать простой</x:t>
        </x:is>
      </x:c>
      <x:c r="J392" s="31" t="inlineStr">
        <x:is>
          <x:t xml:space="preserve">Продажи</x:t>
        </x:is>
      </x:c>
      <x:c r="K392" s="31" t="n">
        <x:v>0</x:v>
      </x:c>
      <x:c r="L392" s="31" t="inlineStr">
        <x:is>
          <x:t xml:space="preserve">Нет</x:t>
        </x:is>
      </x:c>
      <x:c r="M392" s="31" t="inlineStr">
        <x:is>
          <x:t xml:space="preserve">Нет</x:t>
        </x:is>
      </x:c>
      <x:c r="N392" s="31" t="inlineStr">
        <x:is>
          <x:t xml:space="preserve">Автосоздано правилом/пользователем 7</x:t>
        </x:is>
      </x:c>
    </x:row>
    <x:row r="393">
      <x:c r="A393" s="31" t="inlineStr">
        <x:is>
          <x:t xml:space="preserve">ЗД-00392</x:t>
        </x:is>
      </x:c>
      <x:c r="B393" s="31" t="n">
        <x:v>46134</x:v>
      </x:c>
      <x:c r="C393" s="31" t="n">
        <x:v>46136</x:v>
      </x:c>
      <x:c r="D393" s="31" t="inlineStr">
        <x:is>
          <x:t xml:space="preserve">Новая</x:t>
        </x:is>
      </x:c>
      <x:c r="E393" s="31" t="inlineStr">
        <x:is>
          <x:t xml:space="preserve">Низкий</x:t>
        </x:is>
      </x:c>
      <x:c r="F393" s="31" t="inlineStr">
        <x:is>
          <x:t xml:space="preserve">СОТР-095</x:t>
        </x:is>
      </x:c>
      <x:c r="G393" s="31" t="inlineStr">
        <x:is>
          <x:t xml:space="preserve">Производственное задание</x:t>
        </x:is>
      </x:c>
      <x:c r="H393" s="31" t="inlineStr">
        <x:is>
          <x:t xml:space="preserve">ПЗ-00071</x:t>
        </x:is>
      </x:c>
      <x:c r="I393" s="31" t="inlineStr">
        <x:is>
          <x:t xml:space="preserve">Закрыть сменный факт</x:t>
        </x:is>
      </x:c>
      <x:c r="J393" s="31" t="inlineStr">
        <x:is>
          <x:t xml:space="preserve">Сервис</x:t>
        </x:is>
      </x:c>
      <x:c r="K393" s="31" t="n">
        <x:v>0</x:v>
      </x:c>
      <x:c r="L393" s="31" t="inlineStr">
        <x:is>
          <x:t xml:space="preserve">Нет</x:t>
        </x:is>
      </x:c>
      <x:c r="M393" s="31" t="inlineStr">
        <x:is>
          <x:t xml:space="preserve">Нет</x:t>
        </x:is>
      </x:c>
      <x:c r="N393" s="31" t="inlineStr">
        <x:is>
          <x:t xml:space="preserve">Автосоздано правилом/пользователем 5</x:t>
        </x:is>
      </x:c>
    </x:row>
    <x:row r="394">
      <x:c r="A394" s="31" t="inlineStr">
        <x:is>
          <x:t xml:space="preserve">ЗД-00393</x:t>
        </x:is>
      </x:c>
      <x:c r="B394" s="31" t="n">
        <x:v>46165</x:v>
      </x:c>
      <x:c r="C394" s="31" t="n">
        <x:v>46179</x:v>
      </x:c>
      <x:c r="D394" s="31" t="inlineStr">
        <x:is>
          <x:t xml:space="preserve">В работе</x:t>
        </x:is>
      </x:c>
      <x:c r="E394" s="31" t="inlineStr">
        <x:is>
          <x:t xml:space="preserve">Низкий</x:t>
        </x:is>
      </x:c>
      <x:c r="F394" s="31" t="inlineStr">
        <x:is>
          <x:t xml:space="preserve">СОТР-004</x:t>
        </x:is>
      </x:c>
      <x:c r="G394" s="31" t="inlineStr">
        <x:is>
          <x:t xml:space="preserve">Заказ</x:t>
        </x:is>
      </x:c>
      <x:c r="H394" s="31" t="inlineStr">
        <x:is>
          <x:t xml:space="preserve">ЗК-1113</x:t>
        </x:is>
      </x:c>
      <x:c r="I394" s="31" t="inlineStr">
        <x:is>
          <x:t xml:space="preserve">Подготовить КП</x:t>
        </x:is>
      </x:c>
      <x:c r="J394" s="31" t="inlineStr">
        <x:is>
          <x:t xml:space="preserve">Продажи</x:t>
        </x:is>
      </x:c>
      <x:c r="K394" s="31" t="n">
        <x:v>0</x:v>
      </x:c>
      <x:c r="L394" s="31" t="inlineStr">
        <x:is>
          <x:t xml:space="preserve">Нет</x:t>
        </x:is>
      </x:c>
      <x:c r="M394" s="31" t="inlineStr">
        <x:is>
          <x:t xml:space="preserve">Нет</x:t>
        </x:is>
      </x:c>
      <x:c r="N394" s="31" t="inlineStr">
        <x:is>
          <x:t xml:space="preserve">Автосоздано правилом/пользователем 9</x:t>
        </x:is>
      </x:c>
    </x:row>
    <x:row r="395">
      <x:c r="A395" s="31" t="inlineStr">
        <x:is>
          <x:t xml:space="preserve">ЗД-00394</x:t>
        </x:is>
      </x:c>
      <x:c r="B395" s="31" t="n">
        <x:v>46129</x:v>
      </x:c>
      <x:c r="C395" s="31" t="n">
        <x:v>46131</x:v>
      </x:c>
      <x:c r="D395" s="31" t="inlineStr">
        <x:is>
          <x:t xml:space="preserve">Новая</x:t>
        </x:is>
      </x:c>
      <x:c r="E395" s="31" t="inlineStr">
        <x:is>
          <x:t xml:space="preserve">Средний</x:t>
        </x:is>
      </x:c>
      <x:c r="F395" s="31" t="inlineStr">
        <x:is>
          <x:t xml:space="preserve">СОТР-063</x:t>
        </x:is>
      </x:c>
      <x:c r="G395" s="31" t="inlineStr">
        <x:is>
          <x:t xml:space="preserve">Производственное задание</x:t>
        </x:is>
      </x:c>
      <x:c r="H395" s="31" t="inlineStr">
        <x:is>
          <x:t xml:space="preserve">ПЗ-00255</x:t>
        </x:is>
      </x:c>
      <x:c r="I395" s="31" t="inlineStr">
        <x:is>
          <x:t xml:space="preserve">Обновить готовность</x:t>
        </x:is>
      </x:c>
      <x:c r="J395" s="31" t="inlineStr">
        <x:is>
          <x:t xml:space="preserve">Снабжение</x:t>
        </x:is>
      </x:c>
      <x:c r="K395" s="31" t="n">
        <x:v>0</x:v>
      </x:c>
      <x:c r="L395" s="31" t="inlineStr">
        <x:is>
          <x:t xml:space="preserve">Нет</x:t>
        </x:is>
      </x:c>
      <x:c r="M395" s="31" t="inlineStr">
        <x:is>
          <x:t xml:space="preserve">Нет</x:t>
        </x:is>
      </x:c>
      <x:c r="N395" s="31" t="inlineStr">
        <x:is>
          <x:t xml:space="preserve">Автосоздано правилом/пользователем 5</x:t>
        </x:is>
      </x:c>
    </x:row>
    <x:row r="396">
      <x:c r="A396" s="31" t="inlineStr">
        <x:is>
          <x:t xml:space="preserve">ЗД-00395</x:t>
        </x:is>
      </x:c>
      <x:c r="B396" s="31" t="n">
        <x:v>46179</x:v>
      </x:c>
      <x:c r="C396" s="31" t="n">
        <x:v>46193</x:v>
      </x:c>
      <x:c r="D396" s="31" t="inlineStr">
        <x:is>
          <x:t xml:space="preserve">Выполнена</x:t>
        </x:is>
      </x:c>
      <x:c r="E396" s="31" t="inlineStr">
        <x:is>
          <x:t xml:space="preserve">Средний</x:t>
        </x:is>
      </x:c>
      <x:c r="F396" s="31" t="inlineStr">
        <x:is>
          <x:t xml:space="preserve">СОТР-099</x:t>
        </x:is>
      </x:c>
      <x:c r="G396" s="31" t="inlineStr">
        <x:is>
          <x:t xml:space="preserve">ОТК</x:t>
        </x:is>
      </x:c>
      <x:c r="H396" s="31" t="inlineStr">
        <x:is>
          <x:t xml:space="preserve">ОТК-00151</x:t>
        </x:is>
      </x:c>
      <x:c r="I396" s="31" t="inlineStr">
        <x:is>
          <x:t xml:space="preserve">Заблокировать отгрузку</x:t>
        </x:is>
      </x:c>
      <x:c r="J396" s="31" t="inlineStr">
        <x:is>
          <x:t xml:space="preserve">Финансы</x:t>
        </x:is>
      </x:c>
      <x:c r="K396" s="31" t="n">
        <x:v>0</x:v>
      </x:c>
      <x:c r="L396" s="31" t="inlineStr">
        <x:is>
          <x:t xml:space="preserve">Да</x:t>
        </x:is>
      </x:c>
      <x:c r="M396" s="31" t="inlineStr">
        <x:is>
          <x:t xml:space="preserve">Поставщик</x:t>
        </x:is>
      </x:c>
      <x:c r="N396" s="31" t="inlineStr">
        <x:is>
          <x:t xml:space="preserve">Автосоздано правилом/пользователем 3</x:t>
        </x:is>
      </x:c>
    </x:row>
    <x:row r="397">
      <x:c r="A397" s="31" t="inlineStr">
        <x:is>
          <x:t xml:space="preserve">ЗД-00396</x:t>
        </x:is>
      </x:c>
      <x:c r="B397" s="31" t="n">
        <x:v>46141</x:v>
      </x:c>
      <x:c r="C397" s="31" t="n">
        <x:v>46146</x:v>
      </x:c>
      <x:c r="D397" s="31" t="inlineStr">
        <x:is>
          <x:t xml:space="preserve">Выполнена</x:t>
        </x:is>
      </x:c>
      <x:c r="E397" s="31" t="inlineStr">
        <x:is>
          <x:t xml:space="preserve">Высокий</x:t>
        </x:is>
      </x:c>
      <x:c r="F397" s="31" t="inlineStr">
        <x:is>
          <x:t xml:space="preserve">СОТР-076</x:t>
        </x:is>
      </x:c>
      <x:c r="G397" s="31" t="inlineStr">
        <x:is>
          <x:t xml:space="preserve">Счет</x:t>
        </x:is>
      </x:c>
      <x:c r="H397" s="31" t="inlineStr">
        <x:is>
          <x:t xml:space="preserve">СЧ-1031-2</x:t>
        </x:is>
      </x:c>
      <x:c r="I397" s="31" t="inlineStr">
        <x:is>
          <x:t xml:space="preserve">Напомнить об оплате</x:t>
        </x:is>
      </x:c>
      <x:c r="J397" s="31" t="inlineStr">
        <x:is>
          <x:t xml:space="preserve">Финансы</x:t>
        </x:is>
      </x:c>
      <x:c r="K397" s="31" t="n">
        <x:v>0</x:v>
      </x:c>
      <x:c r="L397" s="31" t="inlineStr">
        <x:is>
          <x:t xml:space="preserve">Нет</x:t>
        </x:is>
      </x:c>
      <x:c r="M397" s="31" t="inlineStr">
        <x:is>
          <x:t xml:space="preserve">Нет</x:t>
        </x:is>
      </x:c>
      <x:c r="N397" s="31" t="inlineStr">
        <x:is>
          <x:t xml:space="preserve">Автосоздано правилом/пользователем 8</x:t>
        </x:is>
      </x:c>
    </x:row>
    <x:row r="398">
      <x:c r="A398" s="31" t="inlineStr">
        <x:is>
          <x:t xml:space="preserve">ЗД-00397</x:t>
        </x:is>
      </x:c>
      <x:c r="B398" s="31" t="n">
        <x:v>46171</x:v>
      </x:c>
      <x:c r="C398" s="31" t="n">
        <x:v>46172</x:v>
      </x:c>
      <x:c r="D398" s="31" t="inlineStr">
        <x:is>
          <x:t xml:space="preserve">Выполнена</x:t>
        </x:is>
      </x:c>
      <x:c r="E398" s="31" t="inlineStr">
        <x:is>
          <x:t xml:space="preserve">Средний</x:t>
        </x:is>
      </x:c>
      <x:c r="F398" s="31" t="inlineStr">
        <x:is>
          <x:t xml:space="preserve">СОТР-004</x:t>
        </x:is>
      </x:c>
      <x:c r="G398" s="31" t="inlineStr">
        <x:is>
          <x:t xml:space="preserve">Заказ</x:t>
        </x:is>
      </x:c>
      <x:c r="H398" s="31" t="inlineStr">
        <x:is>
          <x:t xml:space="preserve">ЗК-1098</x:t>
        </x:is>
      </x:c>
      <x:c r="I398" s="31" t="inlineStr">
        <x:is>
          <x:t xml:space="preserve">Подготовить КП</x:t>
        </x:is>
      </x:c>
      <x:c r="J398" s="31" t="inlineStr">
        <x:is>
          <x:t xml:space="preserve">Продажи</x:t>
        </x:is>
      </x:c>
      <x:c r="K398" s="31" t="n">
        <x:v>0</x:v>
      </x:c>
      <x:c r="L398" s="31" t="inlineStr">
        <x:is>
          <x:t xml:space="preserve">Нет</x:t>
        </x:is>
      </x:c>
      <x:c r="M398" s="31" t="inlineStr">
        <x:is>
          <x:t xml:space="preserve">Нет</x:t>
        </x:is>
      </x:c>
      <x:c r="N398" s="31" t="inlineStr">
        <x:is>
          <x:t xml:space="preserve">Автосоздано правилом/пользователем 12</x:t>
        </x:is>
      </x:c>
    </x:row>
    <x:row r="399">
      <x:c r="A399" s="31" t="inlineStr">
        <x:is>
          <x:t xml:space="preserve">ЗД-00398</x:t>
        </x:is>
      </x:c>
      <x:c r="B399" s="31" t="n">
        <x:v>46113</x:v>
      </x:c>
      <x:c r="C399" s="31" t="n">
        <x:v>46115</x:v>
      </x:c>
      <x:c r="D399" s="31" t="inlineStr">
        <x:is>
          <x:t xml:space="preserve">Выполнена</x:t>
        </x:is>
      </x:c>
      <x:c r="E399" s="31" t="inlineStr">
        <x:is>
          <x:t xml:space="preserve">Средний</x:t>
        </x:is>
      </x:c>
      <x:c r="F399" s="31" t="inlineStr">
        <x:is>
          <x:t xml:space="preserve">СОТР-097</x:t>
        </x:is>
      </x:c>
      <x:c r="G399" s="31" t="inlineStr">
        <x:is>
          <x:t xml:space="preserve">Производственное задание</x:t>
        </x:is>
      </x:c>
      <x:c r="H399" s="31" t="inlineStr">
        <x:is>
          <x:t xml:space="preserve">ПЗ-00216</x:t>
        </x:is>
      </x:c>
      <x:c r="I399" s="31" t="inlineStr">
        <x:is>
          <x:t xml:space="preserve">Разобрать простой</x:t>
        </x:is>
      </x:c>
      <x:c r="J399" s="31" t="inlineStr">
        <x:is>
          <x:t xml:space="preserve">Снабжение</x:t>
        </x:is>
      </x:c>
      <x:c r="K399" s="31" t="n">
        <x:v>0</x:v>
      </x:c>
      <x:c r="L399" s="31" t="inlineStr">
        <x:is>
          <x:t xml:space="preserve">Нет</x:t>
        </x:is>
      </x:c>
      <x:c r="M399" s="31" t="inlineStr">
        <x:is>
          <x:t xml:space="preserve">Заказчик</x:t>
        </x:is>
      </x:c>
      <x:c r="N399" s="31" t="inlineStr">
        <x:is>
          <x:t xml:space="preserve">Автосоздано правилом/пользователем 7</x:t>
        </x:is>
      </x:c>
    </x:row>
    <x:row r="400">
      <x:c r="A400" s="31" t="inlineStr">
        <x:is>
          <x:t xml:space="preserve">ЗД-00399</x:t>
        </x:is>
      </x:c>
      <x:c r="B400" s="31" t="n">
        <x:v>46142</x:v>
      </x:c>
      <x:c r="C400" s="31" t="n">
        <x:v>46144</x:v>
      </x:c>
      <x:c r="D400" s="31" t="inlineStr">
        <x:is>
          <x:t xml:space="preserve">Просрочена</x:t>
        </x:is>
      </x:c>
      <x:c r="E400" s="31" t="inlineStr">
        <x:is>
          <x:t xml:space="preserve">Средний</x:t>
        </x:is>
      </x:c>
      <x:c r="F400" s="31" t="inlineStr">
        <x:is>
          <x:t xml:space="preserve">СОТР-063</x:t>
        </x:is>
      </x:c>
      <x:c r="G400" s="31" t="inlineStr">
        <x:is>
          <x:t xml:space="preserve">Производственное задание</x:t>
        </x:is>
      </x:c>
      <x:c r="H400" s="31" t="inlineStr">
        <x:is>
          <x:t xml:space="preserve">ПЗ-00057</x:t>
        </x:is>
      </x:c>
      <x:c r="I400" s="31" t="inlineStr">
        <x:is>
          <x:t xml:space="preserve">Проверить дефицит материалов</x:t>
        </x:is>
      </x:c>
      <x:c r="J400" s="31" t="inlineStr">
        <x:is>
          <x:t xml:space="preserve">Продажи</x:t>
        </x:is>
      </x:c>
      <x:c r="K400" s="31" t="n">
        <x:v>41</x:v>
      </x:c>
      <x:c r="L400" s="31" t="inlineStr">
        <x:is>
          <x:t xml:space="preserve">Нет</x:t>
        </x:is>
      </x:c>
      <x:c r="M400" s="31" t="inlineStr">
        <x:is>
          <x:t xml:space="preserve">Нет</x:t>
        </x:is>
      </x:c>
      <x:c r="N400" s="31" t="inlineStr">
        <x:is>
          <x:t xml:space="preserve">Автосоздано правилом/пользователем 11</x:t>
        </x:is>
      </x:c>
    </x:row>
    <x:row r="401">
      <x:c r="A401" s="31" t="inlineStr">
        <x:is>
          <x:t xml:space="preserve">ЗД-00400</x:t>
        </x:is>
      </x:c>
      <x:c r="B401" s="31" t="n">
        <x:v>46117</x:v>
      </x:c>
      <x:c r="C401" s="31" t="n">
        <x:v>46118</x:v>
      </x:c>
      <x:c r="D401" s="31" t="inlineStr">
        <x:is>
          <x:t xml:space="preserve">Выполнена</x:t>
        </x:is>
      </x:c>
      <x:c r="E401" s="31" t="inlineStr">
        <x:is>
          <x:t xml:space="preserve">Средний</x:t>
        </x:is>
      </x:c>
      <x:c r="F401" s="31" t="inlineStr">
        <x:is>
          <x:t xml:space="preserve">СОТР-076</x:t>
        </x:is>
      </x:c>
      <x:c r="G401" s="31" t="inlineStr">
        <x:is>
          <x:t xml:space="preserve">Счет</x:t>
        </x:is>
      </x:c>
      <x:c r="H401" s="31" t="inlineStr">
        <x:is>
          <x:t xml:space="preserve">СЧ-1120-2</x:t>
        </x:is>
      </x:c>
      <x:c r="I401" s="31" t="inlineStr">
        <x:is>
          <x:t xml:space="preserve">Подготовить акт сверки</x:t>
        </x:is>
      </x:c>
      <x:c r="J401" s="31" t="inlineStr">
        <x:is>
          <x:t xml:space="preserve">Финансы</x:t>
        </x:is>
      </x:c>
      <x:c r="K401" s="31" t="n">
        <x:v>0</x:v>
      </x:c>
      <x:c r="L401" s="31" t="inlineStr">
        <x:is>
          <x:t xml:space="preserve">Нет</x:t>
        </x:is>
      </x:c>
      <x:c r="M401" s="31" t="inlineStr">
        <x:is>
          <x:t xml:space="preserve">Нет</x:t>
        </x:is>
      </x:c>
      <x:c r="N401" s="31" t="inlineStr">
        <x:is>
          <x:t xml:space="preserve">Автосоздано правилом/пользователем 12</x:t>
        </x:is>
      </x:c>
    </x:row>
    <x:row r="402">
      <x:c r="A402" s="31" t="inlineStr">
        <x:is>
          <x:t xml:space="preserve">ЗД-00401</x:t>
        </x:is>
      </x:c>
      <x:c r="B402" s="31" t="n">
        <x:v>46153</x:v>
      </x:c>
      <x:c r="C402" s="31" t="n">
        <x:v>46155</x:v>
      </x:c>
      <x:c r="D402" s="31" t="inlineStr">
        <x:is>
          <x:t xml:space="preserve">Просрочена</x:t>
        </x:is>
      </x:c>
      <x:c r="E402" s="31" t="inlineStr">
        <x:is>
          <x:t xml:space="preserve">Средний</x:t>
        </x:is>
      </x:c>
      <x:c r="F402" s="31" t="inlineStr">
        <x:is>
          <x:t xml:space="preserve">СОТР-105</x:t>
        </x:is>
      </x:c>
      <x:c r="G402" s="31" t="inlineStr">
        <x:is>
          <x:t xml:space="preserve">Производственное задание</x:t>
        </x:is>
      </x:c>
      <x:c r="H402" s="31" t="inlineStr">
        <x:is>
          <x:t xml:space="preserve">ПЗ-00066</x:t>
        </x:is>
      </x:c>
      <x:c r="I402" s="31" t="inlineStr">
        <x:is>
          <x:t xml:space="preserve">Разобрать простой</x:t>
        </x:is>
      </x:c>
      <x:c r="J402" s="31" t="inlineStr">
        <x:is>
          <x:t xml:space="preserve">Снабжение</x:t>
        </x:is>
      </x:c>
      <x:c r="K402" s="31" t="n">
        <x:v>30</x:v>
      </x:c>
      <x:c r="L402" s="31" t="inlineStr">
        <x:is>
          <x:t xml:space="preserve">Да</x:t>
        </x:is>
      </x:c>
      <x:c r="M402" s="31" t="inlineStr">
        <x:is>
          <x:t xml:space="preserve">Заказчик</x:t>
        </x:is>
      </x:c>
      <x:c r="N402" s="31" t="inlineStr">
        <x:is>
          <x:t xml:space="preserve">Автосоздано правилом/пользователем 2</x:t>
        </x:is>
      </x:c>
    </x:row>
    <x:row r="403">
      <x:c r="A403" s="31" t="inlineStr">
        <x:is>
          <x:t xml:space="preserve">ЗД-00402</x:t>
        </x:is>
      </x:c>
      <x:c r="B403" s="31" t="n">
        <x:v>46177</x:v>
      </x:c>
      <x:c r="C403" s="31" t="n">
        <x:v>46187</x:v>
      </x:c>
      <x:c r="D403" s="31" t="inlineStr">
        <x:is>
          <x:t xml:space="preserve">В работе</x:t>
        </x:is>
      </x:c>
      <x:c r="E403" s="31" t="inlineStr">
        <x:is>
          <x:t xml:space="preserve">Срочный</x:t>
        </x:is>
      </x:c>
      <x:c r="F403" s="31" t="inlineStr">
        <x:is>
          <x:t xml:space="preserve">СОТР-099</x:t>
        </x:is>
      </x:c>
      <x:c r="G403" s="31" t="inlineStr">
        <x:is>
          <x:t xml:space="preserve">ОТК</x:t>
        </x:is>
      </x:c>
      <x:c r="H403" s="31" t="inlineStr">
        <x:is>
          <x:t xml:space="preserve">ОТК-00114</x:t>
        </x:is>
      </x:c>
      <x:c r="I403" s="31" t="inlineStr">
        <x:is>
          <x:t xml:space="preserve">Проверить доработку</x:t>
        </x:is>
      </x:c>
      <x:c r="J403" s="31" t="inlineStr">
        <x:is>
          <x:t xml:space="preserve">Продажи</x:t>
        </x:is>
      </x:c>
      <x:c r="K403" s="31" t="n">
        <x:v>0</x:v>
      </x:c>
      <x:c r="L403" s="31" t="inlineStr">
        <x:is>
          <x:t xml:space="preserve">Да</x:t>
        </x:is>
      </x:c>
      <x:c r="M403" s="31" t="inlineStr">
        <x:is>
          <x:t xml:space="preserve">Нет</x:t>
        </x:is>
      </x:c>
      <x:c r="N403" s="31" t="inlineStr">
        <x:is>
          <x:t xml:space="preserve">Автосоздано правилом/пользователем 4</x:t>
        </x:is>
      </x:c>
    </x:row>
    <x:row r="404">
      <x:c r="A404" s="31" t="inlineStr">
        <x:is>
          <x:t xml:space="preserve">ЗД-00403</x:t>
        </x:is>
      </x:c>
      <x:c r="B404" s="31" t="n">
        <x:v>46132</x:v>
      </x:c>
      <x:c r="C404" s="31" t="n">
        <x:v>46135</x:v>
      </x:c>
      <x:c r="D404" s="31" t="inlineStr">
        <x:is>
          <x:t xml:space="preserve">Ожидает ответа</x:t>
        </x:is>
      </x:c>
      <x:c r="E404" s="31" t="inlineStr">
        <x:is>
          <x:t xml:space="preserve">Срочный</x:t>
        </x:is>
      </x:c>
      <x:c r="F404" s="31" t="inlineStr">
        <x:is>
          <x:t xml:space="preserve">СОТР-112</x:t>
        </x:is>
      </x:c>
      <x:c r="G404" s="31" t="inlineStr">
        <x:is>
          <x:t xml:space="preserve">Счет</x:t>
        </x:is>
      </x:c>
      <x:c r="H404" s="31" t="inlineStr">
        <x:is>
          <x:t xml:space="preserve">СЧ-1099-1</x:t>
        </x:is>
      </x:c>
      <x:c r="I404" s="31" t="inlineStr">
        <x:is>
          <x:t xml:space="preserve">Напомнить об оплате</x:t>
        </x:is>
      </x:c>
      <x:c r="J404" s="31" t="inlineStr">
        <x:is>
          <x:t xml:space="preserve">Продажи</x:t>
        </x:is>
      </x:c>
      <x:c r="K404" s="31" t="n">
        <x:v>0</x:v>
      </x:c>
      <x:c r="L404" s="31" t="inlineStr">
        <x:is>
          <x:t xml:space="preserve">Нет</x:t>
        </x:is>
      </x:c>
      <x:c r="M404" s="31" t="inlineStr">
        <x:is>
          <x:t xml:space="preserve">Заказчик</x:t>
        </x:is>
      </x:c>
      <x:c r="N404" s="31" t="inlineStr">
        <x:is>
          <x:t xml:space="preserve">Автосоздано правилом/пользователем 7</x:t>
        </x:is>
      </x:c>
    </x:row>
    <x:row r="405">
      <x:c r="A405" s="31" t="inlineStr">
        <x:is>
          <x:t xml:space="preserve">ЗД-00404</x:t>
        </x:is>
      </x:c>
      <x:c r="B405" s="31" t="n">
        <x:v>46167</x:v>
      </x:c>
      <x:c r="C405" s="31" t="n">
        <x:v>46181</x:v>
      </x:c>
      <x:c r="D405" s="31" t="inlineStr">
        <x:is>
          <x:t xml:space="preserve">В работе</x:t>
        </x:is>
      </x:c>
      <x:c r="E405" s="31" t="inlineStr">
        <x:is>
          <x:t xml:space="preserve">Низкий</x:t>
        </x:is>
      </x:c>
      <x:c r="F405" s="31" t="inlineStr">
        <x:is>
          <x:t xml:space="preserve">СОТР-093</x:t>
        </x:is>
      </x:c>
      <x:c r="G405" s="31" t="inlineStr">
        <x:is>
          <x:t xml:space="preserve">Производственное задание</x:t>
        </x:is>
      </x:c>
      <x:c r="H405" s="31" t="inlineStr">
        <x:is>
          <x:t xml:space="preserve">ПЗ-00211</x:t>
        </x:is>
      </x:c>
      <x:c r="I405" s="31" t="inlineStr">
        <x:is>
          <x:t xml:space="preserve">Обновить готовность</x:t>
        </x:is>
      </x:c>
      <x:c r="J405" s="31" t="inlineStr">
        <x:is>
          <x:t xml:space="preserve">Продажи</x:t>
        </x:is>
      </x:c>
      <x:c r="K405" s="31" t="n">
        <x:v>0</x:v>
      </x:c>
      <x:c r="L405" s="31" t="inlineStr">
        <x:is>
          <x:t xml:space="preserve">Нет</x:t>
        </x:is>
      </x:c>
      <x:c r="M405" s="31" t="inlineStr">
        <x:is>
          <x:t xml:space="preserve">Нет</x:t>
        </x:is>
      </x:c>
      <x:c r="N405" s="31" t="inlineStr">
        <x:is>
          <x:t xml:space="preserve">Автосоздано правилом/пользователем 11</x:t>
        </x:is>
      </x:c>
    </x:row>
    <x:row r="406">
      <x:c r="A406" s="31" t="inlineStr">
        <x:is>
          <x:t xml:space="preserve">ЗД-00405</x:t>
        </x:is>
      </x:c>
      <x:c r="B406" s="31" t="n">
        <x:v>46113</x:v>
      </x:c>
      <x:c r="C406" s="31" t="n">
        <x:v>46114</x:v>
      </x:c>
      <x:c r="D406" s="31" t="inlineStr">
        <x:is>
          <x:t xml:space="preserve">Просрочена</x:t>
        </x:is>
      </x:c>
      <x:c r="E406" s="31" t="inlineStr">
        <x:is>
          <x:t xml:space="preserve">Средний</x:t>
        </x:is>
      </x:c>
      <x:c r="F406" s="31" t="inlineStr">
        <x:is>
          <x:t xml:space="preserve">СОТР-076</x:t>
        </x:is>
      </x:c>
      <x:c r="G406" s="31" t="inlineStr">
        <x:is>
          <x:t xml:space="preserve">Счет</x:t>
        </x:is>
      </x:c>
      <x:c r="H406" s="31" t="inlineStr">
        <x:is>
          <x:t xml:space="preserve">СЧ-1073-1</x:t>
        </x:is>
      </x:c>
      <x:c r="I406" s="31" t="inlineStr">
        <x:is>
          <x:t xml:space="preserve">Напомнить об оплате</x:t>
        </x:is>
      </x:c>
      <x:c r="J406" s="31" t="inlineStr">
        <x:is>
          <x:t xml:space="preserve">Финансы</x:t>
        </x:is>
      </x:c>
      <x:c r="K406" s="31" t="n">
        <x:v>71</x:v>
      </x:c>
      <x:c r="L406" s="31" t="inlineStr">
        <x:is>
          <x:t xml:space="preserve">Нет</x:t>
        </x:is>
      </x:c>
      <x:c r="M406" s="31" t="inlineStr">
        <x:is>
          <x:t xml:space="preserve">Поставщик</x:t>
        </x:is>
      </x:c>
      <x:c r="N406" s="31" t="inlineStr">
        <x:is>
          <x:t xml:space="preserve">Автосоздано правилом/пользователем 9</x:t>
        </x:is>
      </x:c>
    </x:row>
    <x:row r="407">
      <x:c r="A407" s="31" t="inlineStr">
        <x:is>
          <x:t xml:space="preserve">ЗД-00406</x:t>
        </x:is>
      </x:c>
      <x:c r="B407" s="31" t="n">
        <x:v>46119</x:v>
      </x:c>
      <x:c r="C407" s="31" t="n">
        <x:v>46124</x:v>
      </x:c>
      <x:c r="D407" s="31" t="inlineStr">
        <x:is>
          <x:t xml:space="preserve">Выполнена</x:t>
        </x:is>
      </x:c>
      <x:c r="E407" s="31" t="inlineStr">
        <x:is>
          <x:t xml:space="preserve">Средний</x:t>
        </x:is>
      </x:c>
      <x:c r="F407" s="31" t="inlineStr">
        <x:is>
          <x:t xml:space="preserve">СОТР-114</x:t>
        </x:is>
      </x:c>
      <x:c r="G407" s="31" t="inlineStr">
        <x:is>
          <x:t xml:space="preserve">Рекламация</x:t>
        </x:is>
      </x:c>
      <x:c r="H407" s="31" t="inlineStr">
        <x:is>
          <x:t xml:space="preserve">РЕК-00007</x:t>
        </x:is>
      </x:c>
      <x:c r="I407" s="31" t="inlineStr">
        <x:is>
          <x:t xml:space="preserve">Согласовать выезд</x:t>
        </x:is>
      </x:c>
      <x:c r="J407" s="31" t="inlineStr">
        <x:is>
          <x:t xml:space="preserve">Производство</x:t>
        </x:is>
      </x:c>
      <x:c r="K407" s="31" t="n">
        <x:v>0</x:v>
      </x:c>
      <x:c r="L407" s="31" t="inlineStr">
        <x:is>
          <x:t xml:space="preserve">Нет</x:t>
        </x:is>
      </x:c>
      <x:c r="M407" s="31" t="inlineStr">
        <x:is>
          <x:t xml:space="preserve">Поставщик</x:t>
        </x:is>
      </x:c>
      <x:c r="N407" s="31" t="inlineStr">
        <x:is>
          <x:t xml:space="preserve">Автосоздано правилом/пользователем 7</x:t>
        </x:is>
      </x:c>
    </x:row>
    <x:row r="408">
      <x:c r="A408" s="31" t="inlineStr">
        <x:is>
          <x:t xml:space="preserve">ЗД-00407</x:t>
        </x:is>
      </x:c>
      <x:c r="B408" s="31" t="n">
        <x:v>46161</x:v>
      </x:c>
      <x:c r="C408" s="31" t="n">
        <x:v>46166</x:v>
      </x:c>
      <x:c r="D408" s="31" t="inlineStr">
        <x:is>
          <x:t xml:space="preserve">Выполнена</x:t>
        </x:is>
      </x:c>
      <x:c r="E408" s="31" t="inlineStr">
        <x:is>
          <x:t xml:space="preserve">Высокий</x:t>
        </x:is>
      </x:c>
      <x:c r="F408" s="31" t="inlineStr">
        <x:is>
          <x:t xml:space="preserve">СОТР-004</x:t>
        </x:is>
      </x:c>
      <x:c r="G408" s="31" t="inlineStr">
        <x:is>
          <x:t xml:space="preserve">Заказ</x:t>
        </x:is>
      </x:c>
      <x:c r="H408" s="31" t="inlineStr">
        <x:is>
          <x:t xml:space="preserve">ЗК-1082</x:t>
        </x:is>
      </x:c>
      <x:c r="I408" s="31" t="inlineStr">
        <x:is>
          <x:t xml:space="preserve">Подготовить КП</x:t>
        </x:is>
      </x:c>
      <x:c r="J408" s="31" t="inlineStr">
        <x:is>
          <x:t xml:space="preserve">ОТК</x:t>
        </x:is>
      </x:c>
      <x:c r="K408" s="31" t="n">
        <x:v>0</x:v>
      </x:c>
      <x:c r="L408" s="31" t="inlineStr">
        <x:is>
          <x:t xml:space="preserve">Нет</x:t>
        </x:is>
      </x:c>
      <x:c r="M408" s="31" t="inlineStr">
        <x:is>
          <x:t xml:space="preserve">Нет</x:t>
        </x:is>
      </x:c>
      <x:c r="N408" s="31" t="inlineStr">
        <x:is>
          <x:t xml:space="preserve">Автосоздано правилом/пользователем 6</x:t>
        </x:is>
      </x:c>
    </x:row>
    <x:row r="409">
      <x:c r="A409" s="31" t="inlineStr">
        <x:is>
          <x:t xml:space="preserve">ЗД-00408</x:t>
        </x:is>
      </x:c>
      <x:c r="B409" s="31" t="n">
        <x:v>46112</x:v>
      </x:c>
      <x:c r="C409" s="31" t="n">
        <x:v>46122</x:v>
      </x:c>
      <x:c r="D409" s="31" t="inlineStr">
        <x:is>
          <x:t xml:space="preserve">В работе</x:t>
        </x:is>
      </x:c>
      <x:c r="E409" s="31" t="inlineStr">
        <x:is>
          <x:t xml:space="preserve">Средний</x:t>
        </x:is>
      </x:c>
      <x:c r="F409" s="31" t="inlineStr">
        <x:is>
          <x:t xml:space="preserve">СОТР-097</x:t>
        </x:is>
      </x:c>
      <x:c r="G409" s="31" t="inlineStr">
        <x:is>
          <x:t xml:space="preserve">Производственное задание</x:t>
        </x:is>
      </x:c>
      <x:c r="H409" s="31" t="inlineStr">
        <x:is>
          <x:t xml:space="preserve">ПЗ-00060</x:t>
        </x:is>
      </x:c>
      <x:c r="I409" s="31" t="inlineStr">
        <x:is>
          <x:t xml:space="preserve">Разобрать простой</x:t>
        </x:is>
      </x:c>
      <x:c r="J409" s="31" t="inlineStr">
        <x:is>
          <x:t xml:space="preserve">Снабжение</x:t>
        </x:is>
      </x:c>
      <x:c r="K409" s="31" t="n">
        <x:v>0</x:v>
      </x:c>
      <x:c r="L409" s="31" t="inlineStr">
        <x:is>
          <x:t xml:space="preserve">Нет</x:t>
        </x:is>
      </x:c>
      <x:c r="M409" s="31" t="inlineStr">
        <x:is>
          <x:t xml:space="preserve">Нет</x:t>
        </x:is>
      </x:c>
      <x:c r="N409" s="31" t="inlineStr">
        <x:is>
          <x:t xml:space="preserve">Автосоздано правилом/пользователем 9</x:t>
        </x:is>
      </x:c>
    </x:row>
    <x:row r="410">
      <x:c r="A410" s="31" t="inlineStr">
        <x:is>
          <x:t xml:space="preserve">ЗД-00409</x:t>
        </x:is>
      </x:c>
      <x:c r="B410" s="31" t="n">
        <x:v>46116</x:v>
      </x:c>
      <x:c r="C410" s="31" t="n">
        <x:v>46123</x:v>
      </x:c>
      <x:c r="D410" s="31" t="inlineStr">
        <x:is>
          <x:t xml:space="preserve">Просрочена</x:t>
        </x:is>
      </x:c>
      <x:c r="E410" s="31" t="inlineStr">
        <x:is>
          <x:t xml:space="preserve">Средний</x:t>
        </x:is>
      </x:c>
      <x:c r="F410" s="31" t="inlineStr">
        <x:is>
          <x:t xml:space="preserve">СОТР-096</x:t>
        </x:is>
      </x:c>
      <x:c r="G410" s="31" t="inlineStr">
        <x:is>
          <x:t xml:space="preserve">ОТК</x:t>
        </x:is>
      </x:c>
      <x:c r="H410" s="31" t="inlineStr">
        <x:is>
          <x:t xml:space="preserve">ОТК-00054</x:t>
        </x:is>
      </x:c>
      <x:c r="I410" s="31" t="inlineStr">
        <x:is>
          <x:t xml:space="preserve">Проверить доработку</x:t>
        </x:is>
      </x:c>
      <x:c r="J410" s="31" t="inlineStr">
        <x:is>
          <x:t xml:space="preserve">Производство</x:t>
        </x:is>
      </x:c>
      <x:c r="K410" s="31" t="n">
        <x:v>62</x:v>
      </x:c>
      <x:c r="L410" s="31" t="inlineStr">
        <x:is>
          <x:t xml:space="preserve">Нет</x:t>
        </x:is>
      </x:c>
      <x:c r="M410" s="31" t="inlineStr">
        <x:is>
          <x:t xml:space="preserve">Нет</x:t>
        </x:is>
      </x:c>
      <x:c r="N410" s="31" t="inlineStr">
        <x:is>
          <x:t xml:space="preserve">Автосоздано правилом/пользователем 8</x:t>
        </x:is>
      </x:c>
    </x:row>
    <x:row r="411">
      <x:c r="A411" s="31" t="inlineStr">
        <x:is>
          <x:t xml:space="preserve">ЗД-00410</x:t>
        </x:is>
      </x:c>
      <x:c r="B411" s="31" t="n">
        <x:v>46117</x:v>
      </x:c>
      <x:c r="C411" s="31" t="n">
        <x:v>46131</x:v>
      </x:c>
      <x:c r="D411" s="31" t="inlineStr">
        <x:is>
          <x:t xml:space="preserve">Выполнена</x:t>
        </x:is>
      </x:c>
      <x:c r="E411" s="31" t="inlineStr">
        <x:is>
          <x:t xml:space="preserve">Средний</x:t>
        </x:is>
      </x:c>
      <x:c r="F411" s="31" t="inlineStr">
        <x:is>
          <x:t xml:space="preserve">СОТР-005</x:t>
        </x:is>
      </x:c>
      <x:c r="G411" s="31" t="inlineStr">
        <x:is>
          <x:t xml:space="preserve">Заказ</x:t>
        </x:is>
      </x:c>
      <x:c r="H411" s="31" t="inlineStr">
        <x:is>
          <x:t xml:space="preserve">ЗК-1037</x:t>
        </x:is>
      </x:c>
      <x:c r="I411" s="31" t="inlineStr">
        <x:is>
          <x:t xml:space="preserve">Проверить лимит заказчика</x:t>
        </x:is>
      </x:c>
      <x:c r="J411" s="31" t="inlineStr">
        <x:is>
          <x:t xml:space="preserve">Продажи</x:t>
        </x:is>
      </x:c>
      <x:c r="K411" s="31" t="n">
        <x:v>0</x:v>
      </x:c>
      <x:c r="L411" s="31" t="inlineStr">
        <x:is>
          <x:t xml:space="preserve">Нет</x:t>
        </x:is>
      </x:c>
      <x:c r="M411" s="31" t="inlineStr">
        <x:is>
          <x:t xml:space="preserve">Нет</x:t>
        </x:is>
      </x:c>
      <x:c r="N411" s="31" t="inlineStr">
        <x:is>
          <x:t xml:space="preserve">Автосоздано правилом/пользователем 9</x:t>
        </x:is>
      </x:c>
    </x:row>
    <x:row r="412">
      <x:c r="A412" s="31" t="inlineStr">
        <x:is>
          <x:t xml:space="preserve">ЗД-00411</x:t>
        </x:is>
      </x:c>
      <x:c r="B412" s="31" t="n">
        <x:v>46117</x:v>
      </x:c>
      <x:c r="C412" s="31" t="n">
        <x:v>46124</x:v>
      </x:c>
      <x:c r="D412" s="31" t="inlineStr">
        <x:is>
          <x:t xml:space="preserve">Просрочена</x:t>
        </x:is>
      </x:c>
      <x:c r="E412" s="31" t="inlineStr">
        <x:is>
          <x:t xml:space="preserve">Средний</x:t>
        </x:is>
      </x:c>
      <x:c r="F412" s="31" t="inlineStr">
        <x:is>
          <x:t xml:space="preserve">СОТР-004</x:t>
        </x:is>
      </x:c>
      <x:c r="G412" s="31" t="inlineStr">
        <x:is>
          <x:t xml:space="preserve">Заказ</x:t>
        </x:is>
      </x:c>
      <x:c r="H412" s="31" t="inlineStr">
        <x:is>
          <x:t xml:space="preserve">ЗК-1083</x:t>
        </x:is>
      </x:c>
      <x:c r="I412" s="31" t="inlineStr">
        <x:is>
          <x:t xml:space="preserve">Подписать спецификацию</x:t>
        </x:is>
      </x:c>
      <x:c r="J412" s="31" t="inlineStr">
        <x:is>
          <x:t xml:space="preserve">Финансы</x:t>
        </x:is>
      </x:c>
      <x:c r="K412" s="31" t="n">
        <x:v>61</x:v>
      </x:c>
      <x:c r="L412" s="31" t="inlineStr">
        <x:is>
          <x:t xml:space="preserve">Нет</x:t>
        </x:is>
      </x:c>
      <x:c r="M412" s="31" t="inlineStr">
        <x:is>
          <x:t xml:space="preserve">Нет</x:t>
        </x:is>
      </x:c>
      <x:c r="N412" s="31" t="inlineStr">
        <x:is>
          <x:t xml:space="preserve">Автосоздано правилом/пользователем 10</x:t>
        </x:is>
      </x:c>
    </x:row>
    <x:row r="413">
      <x:c r="A413" s="31" t="inlineStr">
        <x:is>
          <x:t xml:space="preserve">ЗД-00412</x:t>
        </x:is>
      </x:c>
      <x:c r="B413" s="31" t="n">
        <x:v>46118</x:v>
      </x:c>
      <x:c r="C413" s="31" t="n">
        <x:v>46123</x:v>
      </x:c>
      <x:c r="D413" s="31" t="inlineStr">
        <x:is>
          <x:t xml:space="preserve">Новая</x:t>
        </x:is>
      </x:c>
      <x:c r="E413" s="31" t="inlineStr">
        <x:is>
          <x:t xml:space="preserve">Высокий</x:t>
        </x:is>
      </x:c>
      <x:c r="F413" s="31" t="inlineStr">
        <x:is>
          <x:t xml:space="preserve">СОТР-015</x:t>
        </x:is>
      </x:c>
      <x:c r="G413" s="31" t="inlineStr">
        <x:is>
          <x:t xml:space="preserve">Заказ</x:t>
        </x:is>
      </x:c>
      <x:c r="H413" s="31" t="inlineStr">
        <x:is>
          <x:t xml:space="preserve">ЗК-1116</x:t>
        </x:is>
      </x:c>
      <x:c r="I413" s="31" t="inlineStr">
        <x:is>
          <x:t xml:space="preserve">Уточнить ТЗ</x:t>
        </x:is>
      </x:c>
      <x:c r="J413" s="31" t="inlineStr">
        <x:is>
          <x:t xml:space="preserve">Производство</x:t>
        </x:is>
      </x:c>
      <x:c r="K413" s="31" t="n">
        <x:v>0</x:v>
      </x:c>
      <x:c r="L413" s="31" t="inlineStr">
        <x:is>
          <x:t xml:space="preserve">Да</x:t>
        </x:is>
      </x:c>
      <x:c r="M413" s="31" t="inlineStr">
        <x:is>
          <x:t xml:space="preserve">Нет</x:t>
        </x:is>
      </x:c>
      <x:c r="N413" s="31" t="inlineStr">
        <x:is>
          <x:t xml:space="preserve">Автосоздано правилом/пользователем 5</x:t>
        </x:is>
      </x:c>
    </x:row>
    <x:row r="414">
      <x:c r="A414" s="31" t="inlineStr">
        <x:is>
          <x:t xml:space="preserve">ЗД-00413</x:t>
        </x:is>
      </x:c>
      <x:c r="B414" s="31" t="n">
        <x:v>46117</x:v>
      </x:c>
      <x:c r="C414" s="31" t="n">
        <x:v>46131</x:v>
      </x:c>
      <x:c r="D414" s="31" t="inlineStr">
        <x:is>
          <x:t xml:space="preserve">В работе</x:t>
        </x:is>
      </x:c>
      <x:c r="E414" s="31" t="inlineStr">
        <x:is>
          <x:t xml:space="preserve">Высокий</x:t>
        </x:is>
      </x:c>
      <x:c r="F414" s="31" t="inlineStr">
        <x:is>
          <x:t xml:space="preserve">СОТР-102</x:t>
        </x:is>
      </x:c>
      <x:c r="G414" s="31" t="inlineStr">
        <x:is>
          <x:t xml:space="preserve">ОТК</x:t>
        </x:is>
      </x:c>
      <x:c r="H414" s="31" t="inlineStr">
        <x:is>
          <x:t xml:space="preserve">ОТК-00045</x:t>
        </x:is>
      </x:c>
      <x:c r="I414" s="31" t="inlineStr">
        <x:is>
          <x:t xml:space="preserve">Проверить доработку</x:t>
        </x:is>
      </x:c>
      <x:c r="J414" s="31" t="inlineStr">
        <x:is>
          <x:t xml:space="preserve">Снабжение</x:t>
        </x:is>
      </x:c>
      <x:c r="K414" s="31" t="n">
        <x:v>0</x:v>
      </x:c>
      <x:c r="L414" s="31" t="inlineStr">
        <x:is>
          <x:t xml:space="preserve">Нет</x:t>
        </x:is>
      </x:c>
      <x:c r="M414" s="31" t="inlineStr">
        <x:is>
          <x:t xml:space="preserve">Нет</x:t>
        </x:is>
      </x:c>
      <x:c r="N414" s="31" t="inlineStr">
        <x:is>
          <x:t xml:space="preserve">Автосоздано правилом/пользователем 5</x:t>
        </x:is>
      </x:c>
    </x:row>
    <x:row r="415">
      <x:c r="A415" s="31" t="inlineStr">
        <x:is>
          <x:t xml:space="preserve">ЗД-00414</x:t>
        </x:is>
      </x:c>
      <x:c r="B415" s="31" t="n">
        <x:v>46163</x:v>
      </x:c>
      <x:c r="C415" s="31" t="n">
        <x:v>46166</x:v>
      </x:c>
      <x:c r="D415" s="31" t="inlineStr">
        <x:is>
          <x:t xml:space="preserve">Просрочена</x:t>
        </x:is>
      </x:c>
      <x:c r="E415" s="31" t="inlineStr">
        <x:is>
          <x:t xml:space="preserve">Высокий</x:t>
        </x:is>
      </x:c>
      <x:c r="F415" s="31" t="inlineStr">
        <x:is>
          <x:t xml:space="preserve">СОТР-005</x:t>
        </x:is>
      </x:c>
      <x:c r="G415" s="31" t="inlineStr">
        <x:is>
          <x:t xml:space="preserve">Заказ</x:t>
        </x:is>
      </x:c>
      <x:c r="H415" s="31" t="inlineStr">
        <x:is>
          <x:t xml:space="preserve">ЗК-1018</x:t>
        </x:is>
      </x:c>
      <x:c r="I415" s="31" t="inlineStr">
        <x:is>
          <x:t xml:space="preserve">Проверить лимит заказчика</x:t>
        </x:is>
      </x:c>
      <x:c r="J415" s="31" t="inlineStr">
        <x:is>
          <x:t xml:space="preserve">ОТК</x:t>
        </x:is>
      </x:c>
      <x:c r="K415" s="31" t="n">
        <x:v>19</x:v>
      </x:c>
      <x:c r="L415" s="31" t="inlineStr">
        <x:is>
          <x:t xml:space="preserve">Нет</x:t>
        </x:is>
      </x:c>
      <x:c r="M415" s="31" t="inlineStr">
        <x:is>
          <x:t xml:space="preserve">Нет</x:t>
        </x:is>
      </x:c>
      <x:c r="N415" s="31" t="inlineStr">
        <x:is>
          <x:t xml:space="preserve">Автосоздано правилом/пользователем 7</x:t>
        </x:is>
      </x:c>
    </x:row>
    <x:row r="416">
      <x:c r="A416" s="31" t="inlineStr">
        <x:is>
          <x:t xml:space="preserve">ЗД-00415</x:t>
        </x:is>
      </x:c>
      <x:c r="B416" s="31" t="n">
        <x:v>46156</x:v>
      </x:c>
      <x:c r="C416" s="31" t="n">
        <x:v>46158</x:v>
      </x:c>
      <x:c r="D416" s="31" t="inlineStr">
        <x:is>
          <x:t xml:space="preserve">Новая</x:t>
        </x:is>
      </x:c>
      <x:c r="E416" s="31" t="inlineStr">
        <x:is>
          <x:t xml:space="preserve">Низкий</x:t>
        </x:is>
      </x:c>
      <x:c r="F416" s="31" t="inlineStr">
        <x:is>
          <x:t xml:space="preserve">СОТР-099</x:t>
        </x:is>
      </x:c>
      <x:c r="G416" s="31" t="inlineStr">
        <x:is>
          <x:t xml:space="preserve">ОТК</x:t>
        </x:is>
      </x:c>
      <x:c r="H416" s="31" t="inlineStr">
        <x:is>
          <x:t xml:space="preserve">ОТК-00086</x:t>
        </x:is>
      </x:c>
      <x:c r="I416" s="31" t="inlineStr">
        <x:is>
          <x:t xml:space="preserve">Заблокировать отгрузку</x:t>
        </x:is>
      </x:c>
      <x:c r="J416" s="31" t="inlineStr">
        <x:is>
          <x:t xml:space="preserve">Производство</x:t>
        </x:is>
      </x:c>
      <x:c r="K416" s="31" t="n">
        <x:v>0</x:v>
      </x:c>
      <x:c r="L416" s="31" t="inlineStr">
        <x:is>
          <x:t xml:space="preserve">Нет</x:t>
        </x:is>
      </x:c>
      <x:c r="M416" s="31" t="inlineStr">
        <x:is>
          <x:t xml:space="preserve">Нет</x:t>
        </x:is>
      </x:c>
      <x:c r="N416" s="31" t="inlineStr">
        <x:is>
          <x:t xml:space="preserve">Автосоздано правилом/пользователем 9</x:t>
        </x:is>
      </x:c>
    </x:row>
    <x:row r="417">
      <x:c r="A417" s="31" t="inlineStr">
        <x:is>
          <x:t xml:space="preserve">ЗД-00416</x:t>
        </x:is>
      </x:c>
      <x:c r="B417" s="31" t="n">
        <x:v>46163</x:v>
      </x:c>
      <x:c r="C417" s="31" t="n">
        <x:v>46177</x:v>
      </x:c>
      <x:c r="D417" s="31" t="inlineStr">
        <x:is>
          <x:t xml:space="preserve">Новая</x:t>
        </x:is>
      </x:c>
      <x:c r="E417" s="31" t="inlineStr">
        <x:is>
          <x:t xml:space="preserve">Срочный</x:t>
        </x:is>
      </x:c>
      <x:c r="F417" s="31" t="inlineStr">
        <x:is>
          <x:t xml:space="preserve">СОТР-022</x:t>
        </x:is>
      </x:c>
      <x:c r="G417" s="31" t="inlineStr">
        <x:is>
          <x:t xml:space="preserve">Производственное задание</x:t>
        </x:is>
      </x:c>
      <x:c r="H417" s="31" t="inlineStr">
        <x:is>
          <x:t xml:space="preserve">ПЗ-00161</x:t>
        </x:is>
      </x:c>
      <x:c r="I417" s="31" t="inlineStr">
        <x:is>
          <x:t xml:space="preserve">Обновить готовность</x:t>
        </x:is>
      </x:c>
      <x:c r="J417" s="31" t="inlineStr">
        <x:is>
          <x:t xml:space="preserve">Производство</x:t>
        </x:is>
      </x:c>
      <x:c r="K417" s="31" t="n">
        <x:v>0</x:v>
      </x:c>
      <x:c r="L417" s="31" t="inlineStr">
        <x:is>
          <x:t xml:space="preserve">Нет</x:t>
        </x:is>
      </x:c>
      <x:c r="M417" s="31" t="inlineStr">
        <x:is>
          <x:t xml:space="preserve">Нет</x:t>
        </x:is>
      </x:c>
      <x:c r="N417" s="31" t="inlineStr">
        <x:is>
          <x:t xml:space="preserve">Автосоздано правилом/пользователем 7</x:t>
        </x:is>
      </x:c>
    </x:row>
    <x:row r="418">
      <x:c r="A418" s="31" t="inlineStr">
        <x:is>
          <x:t xml:space="preserve">ЗД-00417</x:t>
        </x:is>
      </x:c>
      <x:c r="B418" s="31" t="n">
        <x:v>46161</x:v>
      </x:c>
      <x:c r="C418" s="31" t="n">
        <x:v>46162</x:v>
      </x:c>
      <x:c r="D418" s="31" t="inlineStr">
        <x:is>
          <x:t xml:space="preserve">Выполнена</x:t>
        </x:is>
      </x:c>
      <x:c r="E418" s="31" t="inlineStr">
        <x:is>
          <x:t xml:space="preserve">Средний</x:t>
        </x:is>
      </x:c>
      <x:c r="F418" s="31" t="inlineStr">
        <x:is>
          <x:t xml:space="preserve">СОТР-004</x:t>
        </x:is>
      </x:c>
      <x:c r="G418" s="31" t="inlineStr">
        <x:is>
          <x:t xml:space="preserve">Заказ</x:t>
        </x:is>
      </x:c>
      <x:c r="H418" s="31" t="inlineStr">
        <x:is>
          <x:t xml:space="preserve">ЗК-1105</x:t>
        </x:is>
      </x:c>
      <x:c r="I418" s="31" t="inlineStr">
        <x:is>
          <x:t xml:space="preserve">Уточнить ТЗ</x:t>
        </x:is>
      </x:c>
      <x:c r="J418" s="31" t="inlineStr">
        <x:is>
          <x:t xml:space="preserve">Снабжение</x:t>
        </x:is>
      </x:c>
      <x:c r="K418" s="31" t="n">
        <x:v>0</x:v>
      </x:c>
      <x:c r="L418" s="31" t="inlineStr">
        <x:is>
          <x:t xml:space="preserve">Да</x:t>
        </x:is>
      </x:c>
      <x:c r="M418" s="31" t="inlineStr">
        <x:is>
          <x:t xml:space="preserve">Заказчик</x:t>
        </x:is>
      </x:c>
      <x:c r="N418" s="31" t="inlineStr">
        <x:is>
          <x:t xml:space="preserve">Автосоздано правилом/пользователем 10</x:t>
        </x:is>
      </x:c>
    </x:row>
    <x:row r="419">
      <x:c r="A419" s="31" t="inlineStr">
        <x:is>
          <x:t xml:space="preserve">ЗД-00418</x:t>
        </x:is>
      </x:c>
      <x:c r="B419" s="31" t="n">
        <x:v>46121</x:v>
      </x:c>
      <x:c r="C419" s="31" t="n">
        <x:v>46135</x:v>
      </x:c>
      <x:c r="D419" s="31" t="inlineStr">
        <x:is>
          <x:t xml:space="preserve">Выполнена</x:t>
        </x:is>
      </x:c>
      <x:c r="E419" s="31" t="inlineStr">
        <x:is>
          <x:t xml:space="preserve">Срочный</x:t>
        </x:is>
      </x:c>
      <x:c r="F419" s="31" t="inlineStr">
        <x:is>
          <x:t xml:space="preserve">СОТР-092</x:t>
        </x:is>
      </x:c>
      <x:c r="G419" s="31" t="inlineStr">
        <x:is>
          <x:t xml:space="preserve">ОТК</x:t>
        </x:is>
      </x:c>
      <x:c r="H419" s="31" t="inlineStr">
        <x:is>
          <x:t xml:space="preserve">ОТК-00032</x:t>
        </x:is>
      </x:c>
      <x:c r="I419" s="31" t="inlineStr">
        <x:is>
          <x:t xml:space="preserve">Заблокировать отгрузку</x:t>
        </x:is>
      </x:c>
      <x:c r="J419" s="31" t="inlineStr">
        <x:is>
          <x:t xml:space="preserve">Производство</x:t>
        </x:is>
      </x:c>
      <x:c r="K419" s="31" t="n">
        <x:v>0</x:v>
      </x:c>
      <x:c r="L419" s="31" t="inlineStr">
        <x:is>
          <x:t xml:space="preserve">Нет</x:t>
        </x:is>
      </x:c>
      <x:c r="M419" s="31" t="inlineStr">
        <x:is>
          <x:t xml:space="preserve">Нет</x:t>
        </x:is>
      </x:c>
      <x:c r="N419" s="31" t="inlineStr">
        <x:is>
          <x:t xml:space="preserve">Автосоздано правилом/пользователем 10</x:t>
        </x:is>
      </x:c>
    </x:row>
    <x:row r="420">
      <x:c r="A420" s="31" t="inlineStr">
        <x:is>
          <x:t xml:space="preserve">ЗД-00419</x:t>
        </x:is>
      </x:c>
      <x:c r="B420" s="31" t="n">
        <x:v>46174</x:v>
      </x:c>
      <x:c r="C420" s="31" t="n">
        <x:v>46188</x:v>
      </x:c>
      <x:c r="D420" s="31" t="inlineStr">
        <x:is>
          <x:t xml:space="preserve">Новая</x:t>
        </x:is>
      </x:c>
      <x:c r="E420" s="31" t="inlineStr">
        <x:is>
          <x:t xml:space="preserve">Высокий</x:t>
        </x:is>
      </x:c>
      <x:c r="F420" s="31" t="inlineStr">
        <x:is>
          <x:t xml:space="preserve">СОТР-029</x:t>
        </x:is>
      </x:c>
      <x:c r="G420" s="31" t="inlineStr">
        <x:is>
          <x:t xml:space="preserve">Закупка</x:t>
        </x:is>
      </x:c>
      <x:c r="H420" s="31" t="inlineStr">
        <x:is>
          <x:t xml:space="preserve">ЗЗ-00052</x:t>
        </x:is>
      </x:c>
      <x:c r="I420" s="31" t="inlineStr">
        <x:is>
          <x:t xml:space="preserve">Проверить альтернативного поставщика</x:t>
        </x:is>
      </x:c>
      <x:c r="J420" s="31" t="inlineStr">
        <x:is>
          <x:t xml:space="preserve">Производство</x:t>
        </x:is>
      </x:c>
      <x:c r="K420" s="31" t="n">
        <x:v>0</x:v>
      </x:c>
      <x:c r="L420" s="31" t="inlineStr">
        <x:is>
          <x:t xml:space="preserve">Нет</x:t>
        </x:is>
      </x:c>
      <x:c r="M420" s="31" t="inlineStr">
        <x:is>
          <x:t xml:space="preserve">Нет</x:t>
        </x:is>
      </x:c>
      <x:c r="N420" s="31" t="inlineStr">
        <x:is>
          <x:t xml:space="preserve">Автосоздано правилом/пользователем 12</x:t>
        </x:is>
      </x:c>
    </x:row>
    <x:row r="421">
      <x:c r="A421" s="31" t="inlineStr">
        <x:is>
          <x:t xml:space="preserve">ЗД-00420</x:t>
        </x:is>
      </x:c>
      <x:c r="B421" s="31" t="n">
        <x:v>46178</x:v>
      </x:c>
      <x:c r="C421" s="31" t="n">
        <x:v>46188</x:v>
      </x:c>
      <x:c r="D421" s="31" t="inlineStr">
        <x:is>
          <x:t xml:space="preserve">Ожидает ответа</x:t>
        </x:is>
      </x:c>
      <x:c r="E421" s="31" t="inlineStr">
        <x:is>
          <x:t xml:space="preserve">Низкий</x:t>
        </x:is>
      </x:c>
      <x:c r="F421" s="31" t="inlineStr">
        <x:is>
          <x:t xml:space="preserve">СОТР-076</x:t>
        </x:is>
      </x:c>
      <x:c r="G421" s="31" t="inlineStr">
        <x:is>
          <x:t xml:space="preserve">Счет</x:t>
        </x:is>
      </x:c>
      <x:c r="H421" s="31" t="inlineStr">
        <x:is>
          <x:t xml:space="preserve">СЧ-1012-1</x:t>
        </x:is>
      </x:c>
      <x:c r="I421" s="31" t="inlineStr">
        <x:is>
          <x:t xml:space="preserve">Напомнить об оплате</x:t>
        </x:is>
      </x:c>
      <x:c r="J421" s="31" t="inlineStr">
        <x:is>
          <x:t xml:space="preserve">Производство</x:t>
        </x:is>
      </x:c>
      <x:c r="K421" s="31" t="n">
        <x:v>0</x:v>
      </x:c>
      <x:c r="L421" s="31" t="inlineStr">
        <x:is>
          <x:t xml:space="preserve">Нет</x:t>
        </x:is>
      </x:c>
      <x:c r="M421" s="31" t="inlineStr">
        <x:is>
          <x:t xml:space="preserve">Заказчик</x:t>
        </x:is>
      </x:c>
      <x:c r="N421" s="31" t="inlineStr">
        <x:is>
          <x:t xml:space="preserve">Автосоздано правилом/пользователем 12</x:t>
        </x:is>
      </x:c>
    </x:row>
    <x:row r="422">
      <x:c r="A422" s="31" t="inlineStr">
        <x:is>
          <x:t xml:space="preserve">ЗД-00421</x:t>
        </x:is>
      </x:c>
      <x:c r="B422" s="31" t="n">
        <x:v>46182</x:v>
      </x:c>
      <x:c r="C422" s="31" t="n">
        <x:v>46196</x:v>
      </x:c>
      <x:c r="D422" s="31" t="inlineStr">
        <x:is>
          <x:t xml:space="preserve">Новая</x:t>
        </x:is>
      </x:c>
      <x:c r="E422" s="31" t="inlineStr">
        <x:is>
          <x:t xml:space="preserve">Средний</x:t>
        </x:is>
      </x:c>
      <x:c r="F422" s="31" t="inlineStr">
        <x:is>
          <x:t xml:space="preserve">СОТР-096</x:t>
        </x:is>
      </x:c>
      <x:c r="G422" s="31" t="inlineStr">
        <x:is>
          <x:t xml:space="preserve">Производственное задание</x:t>
        </x:is>
      </x:c>
      <x:c r="H422" s="31" t="inlineStr">
        <x:is>
          <x:t xml:space="preserve">ПЗ-00222</x:t>
        </x:is>
      </x:c>
      <x:c r="I422" s="31" t="inlineStr">
        <x:is>
          <x:t xml:space="preserve">Назначить оператора</x:t>
        </x:is>
      </x:c>
      <x:c r="J422" s="31" t="inlineStr">
        <x:is>
          <x:t xml:space="preserve">Продажи</x:t>
        </x:is>
      </x:c>
      <x:c r="K422" s="31" t="n">
        <x:v>0</x:v>
      </x:c>
      <x:c r="L422" s="31" t="inlineStr">
        <x:is>
          <x:t xml:space="preserve">Нет</x:t>
        </x:is>
      </x:c>
      <x:c r="M422" s="31" t="inlineStr">
        <x:is>
          <x:t xml:space="preserve">Заказчик</x:t>
        </x:is>
      </x:c>
      <x:c r="N422" s="31" t="inlineStr">
        <x:is>
          <x:t xml:space="preserve">Автосоздано правилом/пользователем 7</x:t>
        </x:is>
      </x:c>
    </x:row>
    <x:row r="423">
      <x:c r="A423" s="31" t="inlineStr">
        <x:is>
          <x:t xml:space="preserve">ЗД-00422</x:t>
        </x:is>
      </x:c>
      <x:c r="B423" s="31" t="n">
        <x:v>46138</x:v>
      </x:c>
      <x:c r="C423" s="31" t="n">
        <x:v>46148</x:v>
      </x:c>
      <x:c r="D423" s="31" t="inlineStr">
        <x:is>
          <x:t xml:space="preserve">Просрочена</x:t>
        </x:is>
      </x:c>
      <x:c r="E423" s="31" t="inlineStr">
        <x:is>
          <x:t xml:space="preserve">Средний</x:t>
        </x:is>
      </x:c>
      <x:c r="F423" s="31" t="inlineStr">
        <x:is>
          <x:t xml:space="preserve">СОТР-096</x:t>
        </x:is>
      </x:c>
      <x:c r="G423" s="31" t="inlineStr">
        <x:is>
          <x:t xml:space="preserve">ОТК</x:t>
        </x:is>
      </x:c>
      <x:c r="H423" s="31" t="inlineStr">
        <x:is>
          <x:t xml:space="preserve">ОТК-00103</x:t>
        </x:is>
      </x:c>
      <x:c r="I423" s="31" t="inlineStr">
        <x:is>
          <x:t xml:space="preserve">Проверить доработку</x:t>
        </x:is>
      </x:c>
      <x:c r="J423" s="31" t="inlineStr">
        <x:is>
          <x:t xml:space="preserve">ОТК</x:t>
        </x:is>
      </x:c>
      <x:c r="K423" s="31" t="n">
        <x:v>37</x:v>
      </x:c>
      <x:c r="L423" s="31" t="inlineStr">
        <x:is>
          <x:t xml:space="preserve">Нет</x:t>
        </x:is>
      </x:c>
      <x:c r="M423" s="31" t="inlineStr">
        <x:is>
          <x:t xml:space="preserve">Нет</x:t>
        </x:is>
      </x:c>
      <x:c r="N423" s="31" t="inlineStr">
        <x:is>
          <x:t xml:space="preserve">Автосоздано правилом/пользователем 3</x:t>
        </x:is>
      </x:c>
    </x:row>
    <x:row r="424">
      <x:c r="A424" s="31" t="inlineStr">
        <x:is>
          <x:t xml:space="preserve">ЗД-00423</x:t>
        </x:is>
      </x:c>
      <x:c r="B424" s="31" t="n">
        <x:v>46116</x:v>
      </x:c>
      <x:c r="C424" s="31" t="n">
        <x:v>46123</x:v>
      </x:c>
      <x:c r="D424" s="31" t="inlineStr">
        <x:is>
          <x:t xml:space="preserve">Новая</x:t>
        </x:is>
      </x:c>
      <x:c r="E424" s="31" t="inlineStr">
        <x:is>
          <x:t xml:space="preserve">Средний</x:t>
        </x:is>
      </x:c>
      <x:c r="F424" s="31" t="inlineStr">
        <x:is>
          <x:t xml:space="preserve">СОТР-005</x:t>
        </x:is>
      </x:c>
      <x:c r="G424" s="31" t="inlineStr">
        <x:is>
          <x:t xml:space="preserve">Заказ</x:t>
        </x:is>
      </x:c>
      <x:c r="H424" s="31" t="inlineStr">
        <x:is>
          <x:t xml:space="preserve">ЗК-1117</x:t>
        </x:is>
      </x:c>
      <x:c r="I424" s="31" t="inlineStr">
        <x:is>
          <x:t xml:space="preserve">Уточнить ТЗ</x:t>
        </x:is>
      </x:c>
      <x:c r="J424" s="31" t="inlineStr">
        <x:is>
          <x:t xml:space="preserve">Производство</x:t>
        </x:is>
      </x:c>
      <x:c r="K424" s="31" t="n">
        <x:v>0</x:v>
      </x:c>
      <x:c r="L424" s="31" t="inlineStr">
        <x:is>
          <x:t xml:space="preserve">Нет</x:t>
        </x:is>
      </x:c>
      <x:c r="M424" s="31" t="inlineStr">
        <x:is>
          <x:t xml:space="preserve">Нет</x:t>
        </x:is>
      </x:c>
      <x:c r="N424" s="31" t="inlineStr">
        <x:is>
          <x:t xml:space="preserve">Автосоздано правилом/пользователем 4</x:t>
        </x:is>
      </x:c>
    </x:row>
    <x:row r="425">
      <x:c r="A425" s="31" t="inlineStr">
        <x:is>
          <x:t xml:space="preserve">ЗД-00424</x:t>
        </x:is>
      </x:c>
      <x:c r="B425" s="31" t="n">
        <x:v>46135</x:v>
      </x:c>
      <x:c r="C425" s="31" t="n">
        <x:v>46145</x:v>
      </x:c>
      <x:c r="D425" s="31" t="inlineStr">
        <x:is>
          <x:t xml:space="preserve">Выполнена</x:t>
        </x:is>
      </x:c>
      <x:c r="E425" s="31" t="inlineStr">
        <x:is>
          <x:t xml:space="preserve">Срочный</x:t>
        </x:is>
      </x:c>
      <x:c r="F425" s="31" t="inlineStr">
        <x:is>
          <x:t xml:space="preserve">СОТР-095</x:t>
        </x:is>
      </x:c>
      <x:c r="G425" s="31" t="inlineStr">
        <x:is>
          <x:t xml:space="preserve">ОТК</x:t>
        </x:is>
      </x:c>
      <x:c r="H425" s="31" t="inlineStr">
        <x:is>
          <x:t xml:space="preserve">ОТК-00064</x:t>
        </x:is>
      </x:c>
      <x:c r="I425" s="31" t="inlineStr">
        <x:is>
          <x:t xml:space="preserve">Согласовать приемку с замечаниями</x:t>
        </x:is>
      </x:c>
      <x:c r="J425" s="31" t="inlineStr">
        <x:is>
          <x:t xml:space="preserve">Продажи</x:t>
        </x:is>
      </x:c>
      <x:c r="K425" s="31" t="n">
        <x:v>0</x:v>
      </x:c>
      <x:c r="L425" s="31" t="inlineStr">
        <x:is>
          <x:t xml:space="preserve">Нет</x:t>
        </x:is>
      </x:c>
      <x:c r="M425" s="31" t="inlineStr">
        <x:is>
          <x:t xml:space="preserve">Нет</x:t>
        </x:is>
      </x:c>
      <x:c r="N425" s="31" t="inlineStr">
        <x:is>
          <x:t xml:space="preserve">Автосоздано правилом/пользователем 12</x:t>
        </x:is>
      </x:c>
    </x:row>
    <x:row r="426">
      <x:c r="A426" s="31" t="inlineStr">
        <x:is>
          <x:t xml:space="preserve">ЗД-00425</x:t>
        </x:is>
      </x:c>
      <x:c r="B426" s="31" t="n">
        <x:v>46161</x:v>
      </x:c>
      <x:c r="C426" s="31" t="n">
        <x:v>46175</x:v>
      </x:c>
      <x:c r="D426" s="31" t="inlineStr">
        <x:is>
          <x:t xml:space="preserve">Выполнена</x:t>
        </x:is>
      </x:c>
      <x:c r="E426" s="31" t="inlineStr">
        <x:is>
          <x:t xml:space="preserve">Средний</x:t>
        </x:is>
      </x:c>
      <x:c r="F426" s="31" t="inlineStr">
        <x:is>
          <x:t xml:space="preserve">СОТР-099</x:t>
        </x:is>
      </x:c>
      <x:c r="G426" s="31" t="inlineStr">
        <x:is>
          <x:t xml:space="preserve">Производственное задание</x:t>
        </x:is>
      </x:c>
      <x:c r="H426" s="31" t="inlineStr">
        <x:is>
          <x:t xml:space="preserve">ПЗ-00156</x:t>
        </x:is>
      </x:c>
      <x:c r="I426" s="31" t="inlineStr">
        <x:is>
          <x:t xml:space="preserve">Разобрать простой</x:t>
        </x:is>
      </x:c>
      <x:c r="J426" s="31" t="inlineStr">
        <x:is>
          <x:t xml:space="preserve">ОТК</x:t>
        </x:is>
      </x:c>
      <x:c r="K426" s="31" t="n">
        <x:v>0</x:v>
      </x:c>
      <x:c r="L426" s="31" t="inlineStr">
        <x:is>
          <x:t xml:space="preserve">Нет</x:t>
        </x:is>
      </x:c>
      <x:c r="M426" s="31" t="inlineStr">
        <x:is>
          <x:t xml:space="preserve">Нет</x:t>
        </x:is>
      </x:c>
      <x:c r="N426" s="31" t="inlineStr">
        <x:is>
          <x:t xml:space="preserve">Автосоздано правилом/пользователем 8</x:t>
        </x:is>
      </x:c>
    </x:row>
    <x:row r="427">
      <x:c r="A427" s="31" t="inlineStr">
        <x:is>
          <x:t xml:space="preserve">ЗД-00426</x:t>
        </x:is>
      </x:c>
      <x:c r="B427" s="31" t="n">
        <x:v>46151</x:v>
      </x:c>
      <x:c r="C427" s="31" t="n">
        <x:v>46156</x:v>
      </x:c>
      <x:c r="D427" s="31" t="inlineStr">
        <x:is>
          <x:t xml:space="preserve">В работе</x:t>
        </x:is>
      </x:c>
      <x:c r="E427" s="31" t="inlineStr">
        <x:is>
          <x:t xml:space="preserve">Средний</x:t>
        </x:is>
      </x:c>
      <x:c r="F427" s="31" t="inlineStr">
        <x:is>
          <x:t xml:space="preserve">СОТР-076</x:t>
        </x:is>
      </x:c>
      <x:c r="G427" s="31" t="inlineStr">
        <x:is>
          <x:t xml:space="preserve">Счет</x:t>
        </x:is>
      </x:c>
      <x:c r="H427" s="31" t="inlineStr">
        <x:is>
          <x:t xml:space="preserve">СЧ-1085-2</x:t>
        </x:is>
      </x:c>
      <x:c r="I427" s="31" t="inlineStr">
        <x:is>
          <x:t xml:space="preserve">Проверить оплату</x:t>
        </x:is>
      </x:c>
      <x:c r="J427" s="31" t="inlineStr">
        <x:is>
          <x:t xml:space="preserve">Производство</x:t>
        </x:is>
      </x:c>
      <x:c r="K427" s="31" t="n">
        <x:v>0</x:v>
      </x:c>
      <x:c r="L427" s="31" t="inlineStr">
        <x:is>
          <x:t xml:space="preserve">Нет</x:t>
        </x:is>
      </x:c>
      <x:c r="M427" s="31" t="inlineStr">
        <x:is>
          <x:t xml:space="preserve">Нет</x:t>
        </x:is>
      </x:c>
      <x:c r="N427" s="31" t="inlineStr">
        <x:is>
          <x:t xml:space="preserve">Автосоздано правилом/пользователем 5</x:t>
        </x:is>
      </x:c>
    </x:row>
    <x:row r="428">
      <x:c r="A428" s="31" t="inlineStr">
        <x:is>
          <x:t xml:space="preserve">ЗД-00427</x:t>
        </x:is>
      </x:c>
      <x:c r="B428" s="31" t="n">
        <x:v>46114</x:v>
      </x:c>
      <x:c r="C428" s="31" t="n">
        <x:v>46121</x:v>
      </x:c>
      <x:c r="D428" s="31" t="inlineStr">
        <x:is>
          <x:t xml:space="preserve">В работе</x:t>
        </x:is>
      </x:c>
      <x:c r="E428" s="31" t="inlineStr">
        <x:is>
          <x:t xml:space="preserve">Низкий</x:t>
        </x:is>
      </x:c>
      <x:c r="F428" s="31" t="inlineStr">
        <x:is>
          <x:t xml:space="preserve">СОТР-100</x:t>
        </x:is>
      </x:c>
      <x:c r="G428" s="31" t="inlineStr">
        <x:is>
          <x:t xml:space="preserve">Производственное задание</x:t>
        </x:is>
      </x:c>
      <x:c r="H428" s="31" t="inlineStr">
        <x:is>
          <x:t xml:space="preserve">ПЗ-00030</x:t>
        </x:is>
      </x:c>
      <x:c r="I428" s="31" t="inlineStr">
        <x:is>
          <x:t xml:space="preserve">Разобрать простой</x:t>
        </x:is>
      </x:c>
      <x:c r="J428" s="31" t="inlineStr">
        <x:is>
          <x:t xml:space="preserve">Производство</x:t>
        </x:is>
      </x:c>
      <x:c r="K428" s="31" t="n">
        <x:v>0</x:v>
      </x:c>
      <x:c r="L428" s="31" t="inlineStr">
        <x:is>
          <x:t xml:space="preserve">Нет</x:t>
        </x:is>
      </x:c>
      <x:c r="M428" s="31" t="inlineStr">
        <x:is>
          <x:t xml:space="preserve">Нет</x:t>
        </x:is>
      </x:c>
      <x:c r="N428" s="31" t="inlineStr">
        <x:is>
          <x:t xml:space="preserve">Автосоздано правилом/пользователем 5</x:t>
        </x:is>
      </x:c>
    </x:row>
    <x:row r="429">
      <x:c r="A429" s="31" t="inlineStr">
        <x:is>
          <x:t xml:space="preserve">ЗД-00428</x:t>
        </x:is>
      </x:c>
      <x:c r="B429" s="31" t="n">
        <x:v>46142</x:v>
      </x:c>
      <x:c r="C429" s="31" t="n">
        <x:v>46152</x:v>
      </x:c>
      <x:c r="D429" s="31" t="inlineStr">
        <x:is>
          <x:t xml:space="preserve">Выполнена</x:t>
        </x:is>
      </x:c>
      <x:c r="E429" s="31" t="inlineStr">
        <x:is>
          <x:t xml:space="preserve">Средний</x:t>
        </x:is>
      </x:c>
      <x:c r="F429" s="31" t="inlineStr">
        <x:is>
          <x:t xml:space="preserve">СОТР-062</x:t>
        </x:is>
      </x:c>
      <x:c r="G429" s="31" t="inlineStr">
        <x:is>
          <x:t xml:space="preserve">Счет</x:t>
        </x:is>
      </x:c>
      <x:c r="H429" s="31" t="inlineStr">
        <x:is>
          <x:t xml:space="preserve">СЧ-1051-1</x:t>
        </x:is>
      </x:c>
      <x:c r="I429" s="31" t="inlineStr">
        <x:is>
          <x:t xml:space="preserve">Подготовить акт сверки</x:t>
        </x:is>
      </x:c>
      <x:c r="J429" s="31" t="inlineStr">
        <x:is>
          <x:t xml:space="preserve">ОТК</x:t>
        </x:is>
      </x:c>
      <x:c r="K429" s="31" t="n">
        <x:v>0</x:v>
      </x:c>
      <x:c r="L429" s="31" t="inlineStr">
        <x:is>
          <x:t xml:space="preserve">Нет</x:t>
        </x:is>
      </x:c>
      <x:c r="M429" s="31" t="inlineStr">
        <x:is>
          <x:t xml:space="preserve">Нет</x:t>
        </x:is>
      </x:c>
      <x:c r="N429" s="31" t="inlineStr">
        <x:is>
          <x:t xml:space="preserve">Автосоздано правилом/пользователем 10</x:t>
        </x:is>
      </x:c>
    </x:row>
    <x:row r="430">
      <x:c r="A430" s="31" t="inlineStr">
        <x:is>
          <x:t xml:space="preserve">ЗД-00429</x:t>
        </x:is>
      </x:c>
      <x:c r="B430" s="31" t="n">
        <x:v>46128</x:v>
      </x:c>
      <x:c r="C430" s="31" t="n">
        <x:v>46135</x:v>
      </x:c>
      <x:c r="D430" s="31" t="inlineStr">
        <x:is>
          <x:t xml:space="preserve">Просрочена</x:t>
        </x:is>
      </x:c>
      <x:c r="E430" s="31" t="inlineStr">
        <x:is>
          <x:t xml:space="preserve">Высокий</x:t>
        </x:is>
      </x:c>
      <x:c r="F430" s="31" t="inlineStr">
        <x:is>
          <x:t xml:space="preserve">СОТР-098</x:t>
        </x:is>
      </x:c>
      <x:c r="G430" s="31" t="inlineStr">
        <x:is>
          <x:t xml:space="preserve">Производственное задание</x:t>
        </x:is>
      </x:c>
      <x:c r="H430" s="31" t="inlineStr">
        <x:is>
          <x:t xml:space="preserve">ПЗ-00054</x:t>
        </x:is>
      </x:c>
      <x:c r="I430" s="31" t="inlineStr">
        <x:is>
          <x:t xml:space="preserve">Обновить готовность</x:t>
        </x:is>
      </x:c>
      <x:c r="J430" s="31" t="inlineStr">
        <x:is>
          <x:t xml:space="preserve">Финансы</x:t>
        </x:is>
      </x:c>
      <x:c r="K430" s="31" t="n">
        <x:v>50</x:v>
      </x:c>
      <x:c r="L430" s="31" t="inlineStr">
        <x:is>
          <x:t xml:space="preserve">Нет</x:t>
        </x:is>
      </x:c>
      <x:c r="M430" s="31" t="inlineStr">
        <x:is>
          <x:t xml:space="preserve">Нет</x:t>
        </x:is>
      </x:c>
      <x:c r="N430" s="31" t="inlineStr">
        <x:is>
          <x:t xml:space="preserve">Автосоздано правилом/пользователем 6</x:t>
        </x:is>
      </x:c>
    </x:row>
    <x:row r="431">
      <x:c r="A431" s="31" t="inlineStr">
        <x:is>
          <x:t xml:space="preserve">ЗД-00430</x:t>
        </x:is>
      </x:c>
      <x:c r="B431" s="31" t="n">
        <x:v>46119</x:v>
      </x:c>
      <x:c r="C431" s="31" t="n">
        <x:v>46124</x:v>
      </x:c>
      <x:c r="D431" s="31" t="inlineStr">
        <x:is>
          <x:t xml:space="preserve">Выполнена</x:t>
        </x:is>
      </x:c>
      <x:c r="E431" s="31" t="inlineStr">
        <x:is>
          <x:t xml:space="preserve">Средний</x:t>
        </x:is>
      </x:c>
      <x:c r="F431" s="31" t="inlineStr">
        <x:is>
          <x:t xml:space="preserve">СОТР-100</x:t>
        </x:is>
      </x:c>
      <x:c r="G431" s="31" t="inlineStr">
        <x:is>
          <x:t xml:space="preserve">Производственное задание</x:t>
        </x:is>
      </x:c>
      <x:c r="H431" s="31" t="inlineStr">
        <x:is>
          <x:t xml:space="preserve">ПЗ-00018</x:t>
        </x:is>
      </x:c>
      <x:c r="I431" s="31" t="inlineStr">
        <x:is>
          <x:t xml:space="preserve">Закрыть сменный факт</x:t>
        </x:is>
      </x:c>
      <x:c r="J431" s="31" t="inlineStr">
        <x:is>
          <x:t xml:space="preserve">Продажи</x:t>
        </x:is>
      </x:c>
      <x:c r="K431" s="31" t="n">
        <x:v>0</x:v>
      </x:c>
      <x:c r="L431" s="31" t="inlineStr">
        <x:is>
          <x:t xml:space="preserve">Нет</x:t>
        </x:is>
      </x:c>
      <x:c r="M431" s="31" t="inlineStr">
        <x:is>
          <x:t xml:space="preserve">Нет</x:t>
        </x:is>
      </x:c>
      <x:c r="N431" s="31" t="inlineStr">
        <x:is>
          <x:t xml:space="preserve">Автосоздано правилом/пользователем 4</x:t>
        </x:is>
      </x:c>
    </x:row>
    <x:row r="432">
      <x:c r="A432" s="31" t="inlineStr">
        <x:is>
          <x:t xml:space="preserve">ЗД-00431</x:t>
        </x:is>
      </x:c>
      <x:c r="B432" s="31" t="n">
        <x:v>46150</x:v>
      </x:c>
      <x:c r="C432" s="31" t="n">
        <x:v>46153</x:v>
      </x:c>
      <x:c r="D432" s="31" t="inlineStr">
        <x:is>
          <x:t xml:space="preserve">Ожидает ответа</x:t>
        </x:is>
      </x:c>
      <x:c r="E432" s="31" t="inlineStr">
        <x:is>
          <x:t xml:space="preserve">Средний</x:t>
        </x:is>
      </x:c>
      <x:c r="F432" s="31" t="inlineStr">
        <x:is>
          <x:t xml:space="preserve">СОТР-030</x:t>
        </x:is>
      </x:c>
      <x:c r="G432" s="31" t="inlineStr">
        <x:is>
          <x:t xml:space="preserve">Производственное задание</x:t>
        </x:is>
      </x:c>
      <x:c r="H432" s="31" t="inlineStr">
        <x:is>
          <x:t xml:space="preserve">ПЗ-00136</x:t>
        </x:is>
      </x:c>
      <x:c r="I432" s="31" t="inlineStr">
        <x:is>
          <x:t xml:space="preserve">Назначить оператора</x:t>
        </x:is>
      </x:c>
      <x:c r="J432" s="31" t="inlineStr">
        <x:is>
          <x:t xml:space="preserve">Производство</x:t>
        </x:is>
      </x:c>
      <x:c r="K432" s="31" t="n">
        <x:v>0</x:v>
      </x:c>
      <x:c r="L432" s="31" t="inlineStr">
        <x:is>
          <x:t xml:space="preserve">Нет</x:t>
        </x:is>
      </x:c>
      <x:c r="M432" s="31" t="inlineStr">
        <x:is>
          <x:t xml:space="preserve">Нет</x:t>
        </x:is>
      </x:c>
      <x:c r="N432" s="31" t="inlineStr">
        <x:is>
          <x:t xml:space="preserve">Автосоздано правилом/пользователем 8</x:t>
        </x:is>
      </x:c>
    </x:row>
    <x:row r="433">
      <x:c r="A433" s="31" t="inlineStr">
        <x:is>
          <x:t xml:space="preserve">ЗД-00432</x:t>
        </x:is>
      </x:c>
      <x:c r="B433" s="31" t="n">
        <x:v>46183</x:v>
      </x:c>
      <x:c r="C433" s="31" t="n">
        <x:v>46185</x:v>
      </x:c>
      <x:c r="D433" s="31" t="inlineStr">
        <x:is>
          <x:t xml:space="preserve">Новая</x:t>
        </x:is>
      </x:c>
      <x:c r="E433" s="31" t="inlineStr">
        <x:is>
          <x:t xml:space="preserve">Средний</x:t>
        </x:is>
      </x:c>
      <x:c r="F433" s="31" t="inlineStr">
        <x:is>
          <x:t xml:space="preserve">СОТР-099</x:t>
        </x:is>
      </x:c>
      <x:c r="G433" s="31" t="inlineStr">
        <x:is>
          <x:t xml:space="preserve">ОТК</x:t>
        </x:is>
      </x:c>
      <x:c r="H433" s="31" t="inlineStr">
        <x:is>
          <x:t xml:space="preserve">ОТК-00081</x:t>
        </x:is>
      </x:c>
      <x:c r="I433" s="31" t="inlineStr">
        <x:is>
          <x:t xml:space="preserve">Проверить доработку</x:t>
        </x:is>
      </x:c>
      <x:c r="J433" s="31" t="inlineStr">
        <x:is>
          <x:t xml:space="preserve">Снабжение</x:t>
        </x:is>
      </x:c>
      <x:c r="K433" s="31" t="n">
        <x:v>0</x:v>
      </x:c>
      <x:c r="L433" s="31" t="inlineStr">
        <x:is>
          <x:t xml:space="preserve">Нет</x:t>
        </x:is>
      </x:c>
      <x:c r="M433" s="31" t="inlineStr">
        <x:is>
          <x:t xml:space="preserve">Руководитель</x:t>
        </x:is>
      </x:c>
      <x:c r="N433" s="31" t="inlineStr">
        <x:is>
          <x:t xml:space="preserve">Автосоздано правилом/пользователем 1</x:t>
        </x:is>
      </x:c>
    </x:row>
    <x:row r="434">
      <x:c r="A434" s="31" t="inlineStr">
        <x:is>
          <x:t xml:space="preserve">ЗД-00433</x:t>
        </x:is>
      </x:c>
      <x:c r="B434" s="31" t="n">
        <x:v>46121</x:v>
      </x:c>
      <x:c r="C434" s="31" t="n">
        <x:v>46135</x:v>
      </x:c>
      <x:c r="D434" s="31" t="inlineStr">
        <x:is>
          <x:t xml:space="preserve">Просрочена</x:t>
        </x:is>
      </x:c>
      <x:c r="E434" s="31" t="inlineStr">
        <x:is>
          <x:t xml:space="preserve">Средний</x:t>
        </x:is>
      </x:c>
      <x:c r="F434" s="31" t="inlineStr">
        <x:is>
          <x:t xml:space="preserve">СОТР-076</x:t>
        </x:is>
      </x:c>
      <x:c r="G434" s="31" t="inlineStr">
        <x:is>
          <x:t xml:space="preserve">Счет</x:t>
        </x:is>
      </x:c>
      <x:c r="H434" s="31" t="inlineStr">
        <x:is>
          <x:t xml:space="preserve">СЧ-1023-1</x:t>
        </x:is>
      </x:c>
      <x:c r="I434" s="31" t="inlineStr">
        <x:is>
          <x:t xml:space="preserve">Согласовать отгрузку при ДЗ</x:t>
        </x:is>
      </x:c>
      <x:c r="J434" s="31" t="inlineStr">
        <x:is>
          <x:t xml:space="preserve">Финансы</x:t>
        </x:is>
      </x:c>
      <x:c r="K434" s="31" t="n">
        <x:v>50</x:v>
      </x:c>
      <x:c r="L434" s="31" t="inlineStr">
        <x:is>
          <x:t xml:space="preserve">Да</x:t>
        </x:is>
      </x:c>
      <x:c r="M434" s="31" t="inlineStr">
        <x:is>
          <x:t xml:space="preserve">Нет</x:t>
        </x:is>
      </x:c>
      <x:c r="N434" s="31" t="inlineStr">
        <x:is>
          <x:t xml:space="preserve">Автосоздано правилом/пользователем 11</x:t>
        </x:is>
      </x:c>
    </x:row>
    <x:row r="435">
      <x:c r="A435" s="31" t="inlineStr">
        <x:is>
          <x:t xml:space="preserve">ЗД-00434</x:t>
        </x:is>
      </x:c>
      <x:c r="B435" s="31" t="n">
        <x:v>46144</x:v>
      </x:c>
      <x:c r="C435" s="31" t="n">
        <x:v>46149</x:v>
      </x:c>
      <x:c r="D435" s="31" t="inlineStr">
        <x:is>
          <x:t xml:space="preserve">Просрочена</x:t>
        </x:is>
      </x:c>
      <x:c r="E435" s="31" t="inlineStr">
        <x:is>
          <x:t xml:space="preserve">Средний</x:t>
        </x:is>
      </x:c>
      <x:c r="F435" s="31" t="inlineStr">
        <x:is>
          <x:t xml:space="preserve">СОТР-095</x:t>
        </x:is>
      </x:c>
      <x:c r="G435" s="31" t="inlineStr">
        <x:is>
          <x:t xml:space="preserve">ОТК</x:t>
        </x:is>
      </x:c>
      <x:c r="H435" s="31" t="inlineStr">
        <x:is>
          <x:t xml:space="preserve">ОТК-00126</x:t>
        </x:is>
      </x:c>
      <x:c r="I435" s="31" t="inlineStr">
        <x:is>
          <x:t xml:space="preserve">Оформить корректирующие действия</x:t>
        </x:is>
      </x:c>
      <x:c r="J435" s="31" t="inlineStr">
        <x:is>
          <x:t xml:space="preserve">Производство</x:t>
        </x:is>
      </x:c>
      <x:c r="K435" s="31" t="n">
        <x:v>36</x:v>
      </x:c>
      <x:c r="L435" s="31" t="inlineStr">
        <x:is>
          <x:t xml:space="preserve">Да</x:t>
        </x:is>
      </x:c>
      <x:c r="M435" s="31" t="inlineStr">
        <x:is>
          <x:t xml:space="preserve">Нет</x:t>
        </x:is>
      </x:c>
      <x:c r="N435" s="31" t="inlineStr">
        <x:is>
          <x:t xml:space="preserve">Автосоздано правилом/пользователем 2</x:t>
        </x:is>
      </x:c>
    </x:row>
    <x:row r="436">
      <x:c r="A436" s="31" t="inlineStr">
        <x:is>
          <x:t xml:space="preserve">ЗД-00435</x:t>
        </x:is>
      </x:c>
      <x:c r="B436" s="31" t="n">
        <x:v>46145</x:v>
      </x:c>
      <x:c r="C436" s="31" t="n">
        <x:v>46159</x:v>
      </x:c>
      <x:c r="D436" s="31" t="inlineStr">
        <x:is>
          <x:t xml:space="preserve">Просрочена</x:t>
        </x:is>
      </x:c>
      <x:c r="E436" s="31" t="inlineStr">
        <x:is>
          <x:t xml:space="preserve">Средний</x:t>
        </x:is>
      </x:c>
      <x:c r="F436" s="31" t="inlineStr">
        <x:is>
          <x:t xml:space="preserve">СОТР-023</x:t>
        </x:is>
      </x:c>
      <x:c r="G436" s="31" t="inlineStr">
        <x:is>
          <x:t xml:space="preserve">Закупка</x:t>
        </x:is>
      </x:c>
      <x:c r="H436" s="31" t="inlineStr">
        <x:is>
          <x:t xml:space="preserve">ЗЗ-00008</x:t>
        </x:is>
      </x:c>
      <x:c r="I436" s="31" t="inlineStr">
        <x:is>
          <x:t xml:space="preserve">Проверить альтернативного поставщика</x:t>
        </x:is>
      </x:c>
      <x:c r="J436" s="31" t="inlineStr">
        <x:is>
          <x:t xml:space="preserve">ОТК</x:t>
        </x:is>
      </x:c>
      <x:c r="K436" s="31" t="n">
        <x:v>26</x:v>
      </x:c>
      <x:c r="L436" s="31" t="inlineStr">
        <x:is>
          <x:t xml:space="preserve">Нет</x:t>
        </x:is>
      </x:c>
      <x:c r="M436" s="31" t="inlineStr">
        <x:is>
          <x:t xml:space="preserve">Нет</x:t>
        </x:is>
      </x:c>
      <x:c r="N436" s="31" t="inlineStr">
        <x:is>
          <x:t xml:space="preserve">Автосоздано правилом/пользователем 9</x:t>
        </x:is>
      </x:c>
    </x:row>
    <x:row r="437">
      <x:c r="A437" s="31" t="inlineStr">
        <x:is>
          <x:t xml:space="preserve">ЗД-00436</x:t>
        </x:is>
      </x:c>
      <x:c r="B437" s="31" t="n">
        <x:v>46121</x:v>
      </x:c>
      <x:c r="C437" s="31" t="n">
        <x:v>46131</x:v>
      </x:c>
      <x:c r="D437" s="31" t="inlineStr">
        <x:is>
          <x:t xml:space="preserve">Выполнена</x:t>
        </x:is>
      </x:c>
      <x:c r="E437" s="31" t="inlineStr">
        <x:is>
          <x:t xml:space="preserve">Средний</x:t>
        </x:is>
      </x:c>
      <x:c r="F437" s="31" t="inlineStr">
        <x:is>
          <x:t xml:space="preserve">СОТР-005</x:t>
        </x:is>
      </x:c>
      <x:c r="G437" s="31" t="inlineStr">
        <x:is>
          <x:t xml:space="preserve">Заказ</x:t>
        </x:is>
      </x:c>
      <x:c r="H437" s="31" t="inlineStr">
        <x:is>
          <x:t xml:space="preserve">ЗК-1129</x:t>
        </x:is>
      </x:c>
      <x:c r="I437" s="31" t="inlineStr">
        <x:is>
          <x:t xml:space="preserve">Подписать спецификацию</x:t>
        </x:is>
      </x:c>
      <x:c r="J437" s="31" t="inlineStr">
        <x:is>
          <x:t xml:space="preserve">Финансы</x:t>
        </x:is>
      </x:c>
      <x:c r="K437" s="31" t="n">
        <x:v>0</x:v>
      </x:c>
      <x:c r="L437" s="31" t="inlineStr">
        <x:is>
          <x:t xml:space="preserve">Нет</x:t>
        </x:is>
      </x:c>
      <x:c r="M437" s="31" t="inlineStr">
        <x:is>
          <x:t xml:space="preserve">Нет</x:t>
        </x:is>
      </x:c>
      <x:c r="N437" s="31" t="inlineStr">
        <x:is>
          <x:t xml:space="preserve">Автосоздано правилом/пользователем 7</x:t>
        </x:is>
      </x:c>
    </x:row>
    <x:row r="438">
      <x:c r="A438" s="31" t="inlineStr">
        <x:is>
          <x:t xml:space="preserve">ЗД-00437</x:t>
        </x:is>
      </x:c>
      <x:c r="B438" s="31" t="n">
        <x:v>46153</x:v>
      </x:c>
      <x:c r="C438" s="31" t="n">
        <x:v>46158</x:v>
      </x:c>
      <x:c r="D438" s="31" t="inlineStr">
        <x:is>
          <x:t xml:space="preserve">Выполнена</x:t>
        </x:is>
      </x:c>
      <x:c r="E438" s="31" t="inlineStr">
        <x:is>
          <x:t xml:space="preserve">Высокий</x:t>
        </x:is>
      </x:c>
      <x:c r="F438" s="31" t="inlineStr">
        <x:is>
          <x:t xml:space="preserve">СОТР-118</x:t>
        </x:is>
      </x:c>
      <x:c r="G438" s="31" t="inlineStr">
        <x:is>
          <x:t xml:space="preserve">Производственное задание</x:t>
        </x:is>
      </x:c>
      <x:c r="H438" s="31" t="inlineStr">
        <x:is>
          <x:t xml:space="preserve">ПЗ-00193</x:t>
        </x:is>
      </x:c>
      <x:c r="I438" s="31" t="inlineStr">
        <x:is>
          <x:t xml:space="preserve">Закрыть сменный факт</x:t>
        </x:is>
      </x:c>
      <x:c r="J438" s="31" t="inlineStr">
        <x:is>
          <x:t xml:space="preserve">Снабжение</x:t>
        </x:is>
      </x:c>
      <x:c r="K438" s="31" t="n">
        <x:v>0</x:v>
      </x:c>
      <x:c r="L438" s="31" t="inlineStr">
        <x:is>
          <x:t xml:space="preserve">Нет</x:t>
        </x:is>
      </x:c>
      <x:c r="M438" s="31" t="inlineStr">
        <x:is>
          <x:t xml:space="preserve">Нет</x:t>
        </x:is>
      </x:c>
      <x:c r="N438" s="31" t="inlineStr">
        <x:is>
          <x:t xml:space="preserve">Автосоздано правилом/пользователем 10</x:t>
        </x:is>
      </x:c>
    </x:row>
    <x:row r="439">
      <x:c r="A439" s="31" t="inlineStr">
        <x:is>
          <x:t xml:space="preserve">ЗД-00438</x:t>
        </x:is>
      </x:c>
      <x:c r="B439" s="31" t="n">
        <x:v>46126</x:v>
      </x:c>
      <x:c r="C439" s="31" t="n">
        <x:v>46127</x:v>
      </x:c>
      <x:c r="D439" s="31" t="inlineStr">
        <x:is>
          <x:t xml:space="preserve">Новая</x:t>
        </x:is>
      </x:c>
      <x:c r="E439" s="31" t="inlineStr">
        <x:is>
          <x:t xml:space="preserve">Высокий</x:t>
        </x:is>
      </x:c>
      <x:c r="F439" s="31" t="inlineStr">
        <x:is>
          <x:t xml:space="preserve">СОТР-063</x:t>
        </x:is>
      </x:c>
      <x:c r="G439" s="31" t="inlineStr">
        <x:is>
          <x:t xml:space="preserve">Производственное задание</x:t>
        </x:is>
      </x:c>
      <x:c r="H439" s="31" t="inlineStr">
        <x:is>
          <x:t xml:space="preserve">ПЗ-00113</x:t>
        </x:is>
      </x:c>
      <x:c r="I439" s="31" t="inlineStr">
        <x:is>
          <x:t xml:space="preserve">Назначить оператора</x:t>
        </x:is>
      </x:c>
      <x:c r="J439" s="31" t="inlineStr">
        <x:is>
          <x:t xml:space="preserve">Финансы</x:t>
        </x:is>
      </x:c>
      <x:c r="K439" s="31" t="n">
        <x:v>0</x:v>
      </x:c>
      <x:c r="L439" s="31" t="inlineStr">
        <x:is>
          <x:t xml:space="preserve">Да</x:t>
        </x:is>
      </x:c>
      <x:c r="M439" s="31" t="inlineStr">
        <x:is>
          <x:t xml:space="preserve">Нет</x:t>
        </x:is>
      </x:c>
      <x:c r="N439" s="31" t="inlineStr">
        <x:is>
          <x:t xml:space="preserve">Автосоздано правилом/пользователем 2</x:t>
        </x:is>
      </x:c>
    </x:row>
    <x:row r="440">
      <x:c r="A440" s="31" t="inlineStr">
        <x:is>
          <x:t xml:space="preserve">ЗД-00439</x:t>
        </x:is>
      </x:c>
      <x:c r="B440" s="31" t="n">
        <x:v>46136</x:v>
      </x:c>
      <x:c r="C440" s="31" t="n">
        <x:v>46139</x:v>
      </x:c>
      <x:c r="D440" s="31" t="inlineStr">
        <x:is>
          <x:t xml:space="preserve">В работе</x:t>
        </x:is>
      </x:c>
      <x:c r="E440" s="31" t="inlineStr">
        <x:is>
          <x:t xml:space="preserve">Срочный</x:t>
        </x:is>
      </x:c>
      <x:c r="F440" s="31" t="inlineStr">
        <x:is>
          <x:t xml:space="preserve">СОТР-099</x:t>
        </x:is>
      </x:c>
      <x:c r="G440" s="31" t="inlineStr">
        <x:is>
          <x:t xml:space="preserve">ОТК</x:t>
        </x:is>
      </x:c>
      <x:c r="H440" s="31" t="inlineStr">
        <x:is>
          <x:t xml:space="preserve">ОТК-00162</x:t>
        </x:is>
      </x:c>
      <x:c r="I440" s="31" t="inlineStr">
        <x:is>
          <x:t xml:space="preserve">Заблокировать отгрузку</x:t>
        </x:is>
      </x:c>
      <x:c r="J440" s="31" t="inlineStr">
        <x:is>
          <x:t xml:space="preserve">Финансы</x:t>
        </x:is>
      </x:c>
      <x:c r="K440" s="31" t="n">
        <x:v>0</x:v>
      </x:c>
      <x:c r="L440" s="31" t="inlineStr">
        <x:is>
          <x:t xml:space="preserve">Нет</x:t>
        </x:is>
      </x:c>
      <x:c r="M440" s="31" t="inlineStr">
        <x:is>
          <x:t xml:space="preserve">Руководитель</x:t>
        </x:is>
      </x:c>
      <x:c r="N440" s="31" t="inlineStr">
        <x:is>
          <x:t xml:space="preserve">Автосоздано правилом/пользователем 4</x:t>
        </x:is>
      </x:c>
    </x:row>
    <x:row r="441">
      <x:c r="A441" s="31" t="inlineStr">
        <x:is>
          <x:t xml:space="preserve">ЗД-00440</x:t>
        </x:is>
      </x:c>
      <x:c r="B441" s="31" t="n">
        <x:v>46116</x:v>
      </x:c>
      <x:c r="C441" s="31" t="n">
        <x:v>46118</x:v>
      </x:c>
      <x:c r="D441" s="31" t="inlineStr">
        <x:is>
          <x:t xml:space="preserve">Новая</x:t>
        </x:is>
      </x:c>
      <x:c r="E441" s="31" t="inlineStr">
        <x:is>
          <x:t xml:space="preserve">Средний</x:t>
        </x:is>
      </x:c>
      <x:c r="F441" s="31" t="inlineStr">
        <x:is>
          <x:t xml:space="preserve">СОТР-099</x:t>
        </x:is>
      </x:c>
      <x:c r="G441" s="31" t="inlineStr">
        <x:is>
          <x:t xml:space="preserve">Производственное задание</x:t>
        </x:is>
      </x:c>
      <x:c r="H441" s="31" t="inlineStr">
        <x:is>
          <x:t xml:space="preserve">ПЗ-00195</x:t>
        </x:is>
      </x:c>
      <x:c r="I441" s="31" t="inlineStr">
        <x:is>
          <x:t xml:space="preserve">Разобрать простой</x:t>
        </x:is>
      </x:c>
      <x:c r="J441" s="31" t="inlineStr">
        <x:is>
          <x:t xml:space="preserve">Финансы</x:t>
        </x:is>
      </x:c>
      <x:c r="K441" s="31" t="n">
        <x:v>0</x:v>
      </x:c>
      <x:c r="L441" s="31" t="inlineStr">
        <x:is>
          <x:t xml:space="preserve">Да</x:t>
        </x:is>
      </x:c>
      <x:c r="M441" s="31" t="inlineStr">
        <x:is>
          <x:t xml:space="preserve">Нет</x:t>
        </x:is>
      </x:c>
      <x:c r="N441" s="31" t="inlineStr">
        <x:is>
          <x:t xml:space="preserve">Автосоздано правилом/пользователем 9</x:t>
        </x:is>
      </x:c>
    </x:row>
    <x:row r="442">
      <x:c r="A442" s="31" t="inlineStr">
        <x:is>
          <x:t xml:space="preserve">ЗД-00441</x:t>
        </x:is>
      </x:c>
      <x:c r="B442" s="31" t="n">
        <x:v>46175</x:v>
      </x:c>
      <x:c r="C442" s="31" t="n">
        <x:v>46185</x:v>
      </x:c>
      <x:c r="D442" s="31" t="inlineStr">
        <x:is>
          <x:t xml:space="preserve">В работе</x:t>
        </x:is>
      </x:c>
      <x:c r="E442" s="31" t="inlineStr">
        <x:is>
          <x:t xml:space="preserve">Средний</x:t>
        </x:is>
      </x:c>
      <x:c r="F442" s="31" t="inlineStr">
        <x:is>
          <x:t xml:space="preserve">СОТР-005</x:t>
        </x:is>
      </x:c>
      <x:c r="G442" s="31" t="inlineStr">
        <x:is>
          <x:t xml:space="preserve">Заказ</x:t>
        </x:is>
      </x:c>
      <x:c r="H442" s="31" t="inlineStr">
        <x:is>
          <x:t xml:space="preserve">ЗК-1052</x:t>
        </x:is>
      </x:c>
      <x:c r="I442" s="31" t="inlineStr">
        <x:is>
          <x:t xml:space="preserve">Уточнить ТЗ</x:t>
        </x:is>
      </x:c>
      <x:c r="J442" s="31" t="inlineStr">
        <x:is>
          <x:t xml:space="preserve">Финансы</x:t>
        </x:is>
      </x:c>
      <x:c r="K442" s="31" t="n">
        <x:v>0</x:v>
      </x:c>
      <x:c r="L442" s="31" t="inlineStr">
        <x:is>
          <x:t xml:space="preserve">Нет</x:t>
        </x:is>
      </x:c>
      <x:c r="M442" s="31" t="inlineStr">
        <x:is>
          <x:t xml:space="preserve">Нет</x:t>
        </x:is>
      </x:c>
      <x:c r="N442" s="31" t="inlineStr">
        <x:is>
          <x:t xml:space="preserve">Автосоздано правилом/пользователем 11</x:t>
        </x:is>
      </x:c>
    </x:row>
    <x:row r="443">
      <x:c r="A443" s="31" t="inlineStr">
        <x:is>
          <x:t xml:space="preserve">ЗД-00442</x:t>
        </x:is>
      </x:c>
      <x:c r="B443" s="31" t="n">
        <x:v>46139</x:v>
      </x:c>
      <x:c r="C443" s="31" t="n">
        <x:v>46144</x:v>
      </x:c>
      <x:c r="D443" s="31" t="inlineStr">
        <x:is>
          <x:t xml:space="preserve">Просрочена</x:t>
        </x:is>
      </x:c>
      <x:c r="E443" s="31" t="inlineStr">
        <x:is>
          <x:t xml:space="preserve">Высокий</x:t>
        </x:is>
      </x:c>
      <x:c r="F443" s="31" t="inlineStr">
        <x:is>
          <x:t xml:space="preserve">СОТР-037</x:t>
        </x:is>
      </x:c>
      <x:c r="G443" s="31" t="inlineStr">
        <x:is>
          <x:t xml:space="preserve">Производственное задание</x:t>
        </x:is>
      </x:c>
      <x:c r="H443" s="31" t="inlineStr">
        <x:is>
          <x:t xml:space="preserve">ПЗ-00193</x:t>
        </x:is>
      </x:c>
      <x:c r="I443" s="31" t="inlineStr">
        <x:is>
          <x:t xml:space="preserve">Проверить дефицит материалов</x:t>
        </x:is>
      </x:c>
      <x:c r="J443" s="31" t="inlineStr">
        <x:is>
          <x:t xml:space="preserve">Продажи</x:t>
        </x:is>
      </x:c>
      <x:c r="K443" s="31" t="n">
        <x:v>41</x:v>
      </x:c>
      <x:c r="L443" s="31" t="inlineStr">
        <x:is>
          <x:t xml:space="preserve">Да</x:t>
        </x:is>
      </x:c>
      <x:c r="M443" s="31" t="inlineStr">
        <x:is>
          <x:t xml:space="preserve">Поставщик</x:t>
        </x:is>
      </x:c>
      <x:c r="N443" s="31" t="inlineStr">
        <x:is>
          <x:t xml:space="preserve">Автосоздано правилом/пользователем 2</x:t>
        </x:is>
      </x:c>
    </x:row>
    <x:row r="444">
      <x:c r="A444" s="31" t="inlineStr">
        <x:is>
          <x:t xml:space="preserve">ЗД-00443</x:t>
        </x:is>
      </x:c>
      <x:c r="B444" s="31" t="n">
        <x:v>46177</x:v>
      </x:c>
      <x:c r="C444" s="31" t="n">
        <x:v>46184</x:v>
      </x:c>
      <x:c r="D444" s="31" t="inlineStr">
        <x:is>
          <x:t xml:space="preserve">Выполнена</x:t>
        </x:is>
      </x:c>
      <x:c r="E444" s="31" t="inlineStr">
        <x:is>
          <x:t xml:space="preserve">Средний</x:t>
        </x:is>
      </x:c>
      <x:c r="F444" s="31" t="inlineStr">
        <x:is>
          <x:t xml:space="preserve">СОТР-098</x:t>
        </x:is>
      </x:c>
      <x:c r="G444" s="31" t="inlineStr">
        <x:is>
          <x:t xml:space="preserve">Производственное задание</x:t>
        </x:is>
      </x:c>
      <x:c r="H444" s="31" t="inlineStr">
        <x:is>
          <x:t xml:space="preserve">ПЗ-00063</x:t>
        </x:is>
      </x:c>
      <x:c r="I444" s="31" t="inlineStr">
        <x:is>
          <x:t xml:space="preserve">Разобрать простой</x:t>
        </x:is>
      </x:c>
      <x:c r="J444" s="31" t="inlineStr">
        <x:is>
          <x:t xml:space="preserve">Производство</x:t>
        </x:is>
      </x:c>
      <x:c r="K444" s="31" t="n">
        <x:v>0</x:v>
      </x:c>
      <x:c r="L444" s="31" t="inlineStr">
        <x:is>
          <x:t xml:space="preserve">Нет</x:t>
        </x:is>
      </x:c>
      <x:c r="M444" s="31" t="inlineStr">
        <x:is>
          <x:t xml:space="preserve">Руководитель</x:t>
        </x:is>
      </x:c>
      <x:c r="N444" s="31" t="inlineStr">
        <x:is>
          <x:t xml:space="preserve">Автосоздано правилом/пользователем 10</x:t>
        </x:is>
      </x:c>
    </x:row>
    <x:row r="445">
      <x:c r="A445" s="31" t="inlineStr">
        <x:is>
          <x:t xml:space="preserve">ЗД-00444</x:t>
        </x:is>
      </x:c>
      <x:c r="B445" s="31" t="n">
        <x:v>46110</x:v>
      </x:c>
      <x:c r="C445" s="31" t="n">
        <x:v>46117</x:v>
      </x:c>
      <x:c r="D445" s="31" t="inlineStr">
        <x:is>
          <x:t xml:space="preserve">Просрочена</x:t>
        </x:is>
      </x:c>
      <x:c r="E445" s="31" t="inlineStr">
        <x:is>
          <x:t xml:space="preserve">Средний</x:t>
        </x:is>
      </x:c>
      <x:c r="F445" s="31" t="inlineStr">
        <x:is>
          <x:t xml:space="preserve">СОТР-076</x:t>
        </x:is>
      </x:c>
      <x:c r="G445" s="31" t="inlineStr">
        <x:is>
          <x:t xml:space="preserve">Счет</x:t>
        </x:is>
      </x:c>
      <x:c r="H445" s="31" t="inlineStr">
        <x:is>
          <x:t xml:space="preserve">СЧ-1123-2</x:t>
        </x:is>
      </x:c>
      <x:c r="I445" s="31" t="inlineStr">
        <x:is>
          <x:t xml:space="preserve">Подготовить акт сверки</x:t>
        </x:is>
      </x:c>
      <x:c r="J445" s="31" t="inlineStr">
        <x:is>
          <x:t xml:space="preserve">Продажи</x:t>
        </x:is>
      </x:c>
      <x:c r="K445" s="31" t="n">
        <x:v>68</x:v>
      </x:c>
      <x:c r="L445" s="31" t="inlineStr">
        <x:is>
          <x:t xml:space="preserve">Нет</x:t>
        </x:is>
      </x:c>
      <x:c r="M445" s="31" t="inlineStr">
        <x:is>
          <x:t xml:space="preserve">Нет</x:t>
        </x:is>
      </x:c>
      <x:c r="N445" s="31" t="inlineStr">
        <x:is>
          <x:t xml:space="preserve">Автосоздано правилом/пользователем 6</x:t>
        </x:is>
      </x:c>
    </x:row>
    <x:row r="446">
      <x:c r="A446" s="31" t="inlineStr">
        <x:is>
          <x:t xml:space="preserve">ЗД-00445</x:t>
        </x:is>
      </x:c>
      <x:c r="B446" s="31" t="n">
        <x:v>46143</x:v>
      </x:c>
      <x:c r="C446" s="31" t="n">
        <x:v>46148</x:v>
      </x:c>
      <x:c r="D446" s="31" t="inlineStr">
        <x:is>
          <x:t xml:space="preserve">Просрочена</x:t>
        </x:is>
      </x:c>
      <x:c r="E446" s="31" t="inlineStr">
        <x:is>
          <x:t xml:space="preserve">Средний</x:t>
        </x:is>
      </x:c>
      <x:c r="F446" s="31" t="inlineStr">
        <x:is>
          <x:t xml:space="preserve">СОТР-076</x:t>
        </x:is>
      </x:c>
      <x:c r="G446" s="31" t="inlineStr">
        <x:is>
          <x:t xml:space="preserve">Счет</x:t>
        </x:is>
      </x:c>
      <x:c r="H446" s="31" t="inlineStr">
        <x:is>
          <x:t xml:space="preserve">СЧ-1117-1</x:t>
        </x:is>
      </x:c>
      <x:c r="I446" s="31" t="inlineStr">
        <x:is>
          <x:t xml:space="preserve">Подготовить акт сверки</x:t>
        </x:is>
      </x:c>
      <x:c r="J446" s="31" t="inlineStr">
        <x:is>
          <x:t xml:space="preserve">Продажи</x:t>
        </x:is>
      </x:c>
      <x:c r="K446" s="31" t="n">
        <x:v>37</x:v>
      </x:c>
      <x:c r="L446" s="31" t="inlineStr">
        <x:is>
          <x:t xml:space="preserve">Да</x:t>
        </x:is>
      </x:c>
      <x:c r="M446" s="31" t="inlineStr">
        <x:is>
          <x:t xml:space="preserve">Поставщик</x:t>
        </x:is>
      </x:c>
      <x:c r="N446" s="31" t="inlineStr">
        <x:is>
          <x:t xml:space="preserve">Автосоздано правилом/пользователем 7</x:t>
        </x:is>
      </x:c>
    </x:row>
    <x:row r="447">
      <x:c r="A447" s="31" t="inlineStr">
        <x:is>
          <x:t xml:space="preserve">ЗД-00446</x:t>
        </x:is>
      </x:c>
      <x:c r="B447" s="31" t="n">
        <x:v>46141</x:v>
      </x:c>
      <x:c r="C447" s="31" t="n">
        <x:v>46148</x:v>
      </x:c>
      <x:c r="D447" s="31" t="inlineStr">
        <x:is>
          <x:t xml:space="preserve">Ожидает ответа</x:t>
        </x:is>
      </x:c>
      <x:c r="E447" s="31" t="inlineStr">
        <x:is>
          <x:t xml:space="preserve">Низкий</x:t>
        </x:is>
      </x:c>
      <x:c r="F447" s="31" t="inlineStr">
        <x:is>
          <x:t xml:space="preserve">СОТР-095</x:t>
        </x:is>
      </x:c>
      <x:c r="G447" s="31" t="inlineStr">
        <x:is>
          <x:t xml:space="preserve">ОТК</x:t>
        </x:is>
      </x:c>
      <x:c r="H447" s="31" t="inlineStr">
        <x:is>
          <x:t xml:space="preserve">ОТК-00031</x:t>
        </x:is>
      </x:c>
      <x:c r="I447" s="31" t="inlineStr">
        <x:is>
          <x:t xml:space="preserve">Оформить корректирующие действия</x:t>
        </x:is>
      </x:c>
      <x:c r="J447" s="31" t="inlineStr">
        <x:is>
          <x:t xml:space="preserve">Производство</x:t>
        </x:is>
      </x:c>
      <x:c r="K447" s="31" t="n">
        <x:v>0</x:v>
      </x:c>
      <x:c r="L447" s="31" t="inlineStr">
        <x:is>
          <x:t xml:space="preserve">Нет</x:t>
        </x:is>
      </x:c>
      <x:c r="M447" s="31" t="inlineStr">
        <x:is>
          <x:t xml:space="preserve">Нет</x:t>
        </x:is>
      </x:c>
      <x:c r="N447" s="31" t="inlineStr">
        <x:is>
          <x:t xml:space="preserve">Автосоздано правилом/пользователем 5</x:t>
        </x:is>
      </x:c>
    </x:row>
    <x:row r="448">
      <x:c r="A448" s="31" t="inlineStr">
        <x:is>
          <x:t xml:space="preserve">ЗД-00447</x:t>
        </x:is>
      </x:c>
      <x:c r="B448" s="31" t="n">
        <x:v>46179</x:v>
      </x:c>
      <x:c r="C448" s="31" t="n">
        <x:v>46193</x:v>
      </x:c>
      <x:c r="D448" s="31" t="inlineStr">
        <x:is>
          <x:t xml:space="preserve">В работе</x:t>
        </x:is>
      </x:c>
      <x:c r="E448" s="31" t="inlineStr">
        <x:is>
          <x:t xml:space="preserve">Срочный</x:t>
        </x:is>
      </x:c>
      <x:c r="F448" s="31" t="inlineStr">
        <x:is>
          <x:t xml:space="preserve">СОТР-076</x:t>
        </x:is>
      </x:c>
      <x:c r="G448" s="31" t="inlineStr">
        <x:is>
          <x:t xml:space="preserve">Счет</x:t>
        </x:is>
      </x:c>
      <x:c r="H448" s="31" t="inlineStr">
        <x:is>
          <x:t xml:space="preserve">СЧ-1078-1</x:t>
        </x:is>
      </x:c>
      <x:c r="I448" s="31" t="inlineStr">
        <x:is>
          <x:t xml:space="preserve">Подготовить акт сверки</x:t>
        </x:is>
      </x:c>
      <x:c r="J448" s="31" t="inlineStr">
        <x:is>
          <x:t xml:space="preserve">Производство</x:t>
        </x:is>
      </x:c>
      <x:c r="K448" s="31" t="n">
        <x:v>0</x:v>
      </x:c>
      <x:c r="L448" s="31" t="inlineStr">
        <x:is>
          <x:t xml:space="preserve">Нет</x:t>
        </x:is>
      </x:c>
      <x:c r="M448" s="31" t="inlineStr">
        <x:is>
          <x:t xml:space="preserve">Нет</x:t>
        </x:is>
      </x:c>
      <x:c r="N448" s="31" t="inlineStr">
        <x:is>
          <x:t xml:space="preserve">Автосоздано правилом/пользователем 9</x:t>
        </x:is>
      </x:c>
    </x:row>
    <x:row r="449">
      <x:c r="A449" s="31" t="inlineStr">
        <x:is>
          <x:t xml:space="preserve">ЗД-00448</x:t>
        </x:is>
      </x:c>
      <x:c r="B449" s="31" t="n">
        <x:v>46122</x:v>
      </x:c>
      <x:c r="C449" s="31" t="n">
        <x:v>46124</x:v>
      </x:c>
      <x:c r="D449" s="31" t="inlineStr">
        <x:is>
          <x:t xml:space="preserve">Отменена</x:t>
        </x:is>
      </x:c>
      <x:c r="E449" s="31" t="inlineStr">
        <x:is>
          <x:t xml:space="preserve">Средний</x:t>
        </x:is>
      </x:c>
      <x:c r="F449" s="31" t="inlineStr">
        <x:is>
          <x:t xml:space="preserve">СОТР-023</x:t>
        </x:is>
      </x:c>
      <x:c r="G449" s="31" t="inlineStr">
        <x:is>
          <x:t xml:space="preserve">Закупка</x:t>
        </x:is>
      </x:c>
      <x:c r="H449" s="31" t="inlineStr">
        <x:is>
          <x:t xml:space="preserve">ЗЗ-00043</x:t>
        </x:is>
      </x:c>
      <x:c r="I449" s="31" t="inlineStr">
        <x:is>
          <x:t xml:space="preserve">Проверить альтернативного поставщика</x:t>
        </x:is>
      </x:c>
      <x:c r="J449" s="31" t="inlineStr">
        <x:is>
          <x:t xml:space="preserve">Производство</x:t>
        </x:is>
      </x:c>
      <x:c r="K449" s="31" t="n">
        <x:v>0</x:v>
      </x:c>
      <x:c r="L449" s="31" t="inlineStr">
        <x:is>
          <x:t xml:space="preserve">Нет</x:t>
        </x:is>
      </x:c>
      <x:c r="M449" s="31" t="inlineStr">
        <x:is>
          <x:t xml:space="preserve">Нет</x:t>
        </x:is>
      </x:c>
      <x:c r="N449" s="31" t="inlineStr">
        <x:is>
          <x:t xml:space="preserve">Автосоздано правилом/пользователем 3</x:t>
        </x:is>
      </x:c>
    </x:row>
    <x:row r="450">
      <x:c r="A450" s="31" t="inlineStr">
        <x:is>
          <x:t xml:space="preserve">ЗД-00449</x:t>
        </x:is>
      </x:c>
      <x:c r="B450" s="31" t="n">
        <x:v>46150</x:v>
      </x:c>
      <x:c r="C450" s="31" t="n">
        <x:v>46164</x:v>
      </x:c>
      <x:c r="D450" s="31" t="inlineStr">
        <x:is>
          <x:t xml:space="preserve">Новая</x:t>
        </x:is>
      </x:c>
      <x:c r="E450" s="31" t="inlineStr">
        <x:is>
          <x:t xml:space="preserve">Средний</x:t>
        </x:is>
      </x:c>
      <x:c r="F450" s="31" t="inlineStr">
        <x:is>
          <x:t xml:space="preserve">СОТР-099</x:t>
        </x:is>
      </x:c>
      <x:c r="G450" s="31" t="inlineStr">
        <x:is>
          <x:t xml:space="preserve">ОТК</x:t>
        </x:is>
      </x:c>
      <x:c r="H450" s="31" t="inlineStr">
        <x:is>
          <x:t xml:space="preserve">ОТК-00152</x:t>
        </x:is>
      </x:c>
      <x:c r="I450" s="31" t="inlineStr">
        <x:is>
          <x:t xml:space="preserve">Проверить доработку</x:t>
        </x:is>
      </x:c>
      <x:c r="J450" s="31" t="inlineStr">
        <x:is>
          <x:t xml:space="preserve">Производство</x:t>
        </x:is>
      </x:c>
      <x:c r="K450" s="31" t="n">
        <x:v>0</x:v>
      </x:c>
      <x:c r="L450" s="31" t="inlineStr">
        <x:is>
          <x:t xml:space="preserve">Нет</x:t>
        </x:is>
      </x:c>
      <x:c r="M450" s="31" t="inlineStr">
        <x:is>
          <x:t xml:space="preserve">Нет</x:t>
        </x:is>
      </x:c>
      <x:c r="N450" s="31" t="inlineStr">
        <x:is>
          <x:t xml:space="preserve">Автосоздано правилом/пользователем 1</x:t>
        </x:is>
      </x:c>
    </x:row>
    <x:row r="451">
      <x:c r="A451" s="31" t="inlineStr">
        <x:is>
          <x:t xml:space="preserve">ЗД-00450</x:t>
        </x:is>
      </x:c>
      <x:c r="B451" s="31" t="n">
        <x:v>46175</x:v>
      </x:c>
      <x:c r="C451" s="31" t="n">
        <x:v>46177</x:v>
      </x:c>
      <x:c r="D451" s="31" t="inlineStr">
        <x:is>
          <x:t xml:space="preserve">Просрочена</x:t>
        </x:is>
      </x:c>
      <x:c r="E451" s="31" t="inlineStr">
        <x:is>
          <x:t xml:space="preserve">Высокий</x:t>
        </x:is>
      </x:c>
      <x:c r="F451" s="31" t="inlineStr">
        <x:is>
          <x:t xml:space="preserve">СОТР-093</x:t>
        </x:is>
      </x:c>
      <x:c r="G451" s="31" t="inlineStr">
        <x:is>
          <x:t xml:space="preserve">ОТК</x:t>
        </x:is>
      </x:c>
      <x:c r="H451" s="31" t="inlineStr">
        <x:is>
          <x:t xml:space="preserve">ОТК-00010</x:t>
        </x:is>
      </x:c>
      <x:c r="I451" s="31" t="inlineStr">
        <x:is>
          <x:t xml:space="preserve">Заблокировать отгрузку</x:t>
        </x:is>
      </x:c>
      <x:c r="J451" s="31" t="inlineStr">
        <x:is>
          <x:t xml:space="preserve">Финансы</x:t>
        </x:is>
      </x:c>
      <x:c r="K451" s="31" t="n">
        <x:v>8</x:v>
      </x:c>
      <x:c r="L451" s="31" t="inlineStr">
        <x:is>
          <x:t xml:space="preserve">Нет</x:t>
        </x:is>
      </x:c>
      <x:c r="M451" s="31" t="inlineStr">
        <x:is>
          <x:t xml:space="preserve">Нет</x:t>
        </x:is>
      </x:c>
      <x:c r="N451" s="31" t="inlineStr">
        <x:is>
          <x:t xml:space="preserve">Автосоздано правилом/пользователем 9</x:t>
        </x:is>
      </x:c>
    </x:row>
    <x:row r="452">
      <x:c r="A452" s="31" t="inlineStr">
        <x:is>
          <x:t xml:space="preserve">ЗД-00451</x:t>
        </x:is>
      </x:c>
      <x:c r="B452" s="31" t="n">
        <x:v>46136</x:v>
      </x:c>
      <x:c r="C452" s="31" t="n">
        <x:v>46143</x:v>
      </x:c>
      <x:c r="D452" s="31" t="inlineStr">
        <x:is>
          <x:t xml:space="preserve">Просрочена</x:t>
        </x:is>
      </x:c>
      <x:c r="E452" s="31" t="inlineStr">
        <x:is>
          <x:t xml:space="preserve">Высокий</x:t>
        </x:is>
      </x:c>
      <x:c r="F452" s="31" t="inlineStr">
        <x:is>
          <x:t xml:space="preserve">СОТР-063</x:t>
        </x:is>
      </x:c>
      <x:c r="G452" s="31" t="inlineStr">
        <x:is>
          <x:t xml:space="preserve">Производственное задание</x:t>
        </x:is>
      </x:c>
      <x:c r="H452" s="31" t="inlineStr">
        <x:is>
          <x:t xml:space="preserve">ПЗ-00233</x:t>
        </x:is>
      </x:c>
      <x:c r="I452" s="31" t="inlineStr">
        <x:is>
          <x:t xml:space="preserve">Разобрать простой</x:t>
        </x:is>
      </x:c>
      <x:c r="J452" s="31" t="inlineStr">
        <x:is>
          <x:t xml:space="preserve">Финансы</x:t>
        </x:is>
      </x:c>
      <x:c r="K452" s="31" t="n">
        <x:v>42</x:v>
      </x:c>
      <x:c r="L452" s="31" t="inlineStr">
        <x:is>
          <x:t xml:space="preserve">Да</x:t>
        </x:is>
      </x:c>
      <x:c r="M452" s="31" t="inlineStr">
        <x:is>
          <x:t xml:space="preserve">Нет</x:t>
        </x:is>
      </x:c>
      <x:c r="N452" s="31" t="inlineStr">
        <x:is>
          <x:t xml:space="preserve">Автосоздано правилом/пользователем 1</x:t>
        </x:is>
      </x:c>
    </x:row>
    <x:row r="453">
      <x:c r="A453" s="31" t="inlineStr">
        <x:is>
          <x:t xml:space="preserve">ЗД-00452</x:t>
        </x:is>
      </x:c>
      <x:c r="B453" s="31" t="n">
        <x:v>46128</x:v>
      </x:c>
      <x:c r="C453" s="31" t="n">
        <x:v>46133</x:v>
      </x:c>
      <x:c r="D453" s="31" t="inlineStr">
        <x:is>
          <x:t xml:space="preserve">Просрочена</x:t>
        </x:is>
      </x:c>
      <x:c r="E453" s="31" t="inlineStr">
        <x:is>
          <x:t xml:space="preserve">Низкий</x:t>
        </x:is>
      </x:c>
      <x:c r="F453" s="31" t="inlineStr">
        <x:is>
          <x:t xml:space="preserve">СОТР-111</x:t>
        </x:is>
      </x:c>
      <x:c r="G453" s="31" t="inlineStr">
        <x:is>
          <x:t xml:space="preserve">Заказ</x:t>
        </x:is>
      </x:c>
      <x:c r="H453" s="31" t="inlineStr">
        <x:is>
          <x:t xml:space="preserve">ЗК-1002</x:t>
        </x:is>
      </x:c>
      <x:c r="I453" s="31" t="inlineStr">
        <x:is>
          <x:t xml:space="preserve">Уточнить ТЗ</x:t>
        </x:is>
      </x:c>
      <x:c r="J453" s="31" t="inlineStr">
        <x:is>
          <x:t xml:space="preserve">Продажи</x:t>
        </x:is>
      </x:c>
      <x:c r="K453" s="31" t="n">
        <x:v>52</x:v>
      </x:c>
      <x:c r="L453" s="31" t="inlineStr">
        <x:is>
          <x:t xml:space="preserve">Да</x:t>
        </x:is>
      </x:c>
      <x:c r="M453" s="31" t="inlineStr">
        <x:is>
          <x:t xml:space="preserve">Нет</x:t>
        </x:is>
      </x:c>
      <x:c r="N453" s="31" t="inlineStr">
        <x:is>
          <x:t xml:space="preserve">Автосоздано правилом/пользователем 1</x:t>
        </x:is>
      </x:c>
    </x:row>
    <x:row r="454">
      <x:c r="A454" s="31" t="inlineStr">
        <x:is>
          <x:t xml:space="preserve">ЗД-00453</x:t>
        </x:is>
      </x:c>
      <x:c r="B454" s="31" t="n">
        <x:v>46126</x:v>
      </x:c>
      <x:c r="C454" s="31" t="n">
        <x:v>46133</x:v>
      </x:c>
      <x:c r="D454" s="31" t="inlineStr">
        <x:is>
          <x:t xml:space="preserve">Выполнена</x:t>
        </x:is>
      </x:c>
      <x:c r="E454" s="31" t="inlineStr">
        <x:is>
          <x:t xml:space="preserve">Средний</x:t>
        </x:is>
      </x:c>
      <x:c r="F454" s="31" t="inlineStr">
        <x:is>
          <x:t xml:space="preserve">СОТР-076</x:t>
        </x:is>
      </x:c>
      <x:c r="G454" s="31" t="inlineStr">
        <x:is>
          <x:t xml:space="preserve">Счет</x:t>
        </x:is>
      </x:c>
      <x:c r="H454" s="31" t="inlineStr">
        <x:is>
          <x:t xml:space="preserve">СЧ-1085-2</x:t>
        </x:is>
      </x:c>
      <x:c r="I454" s="31" t="inlineStr">
        <x:is>
          <x:t xml:space="preserve">Подготовить акт сверки</x:t>
        </x:is>
      </x:c>
      <x:c r="J454" s="31" t="inlineStr">
        <x:is>
          <x:t xml:space="preserve">Производство</x:t>
        </x:is>
      </x:c>
      <x:c r="K454" s="31" t="n">
        <x:v>0</x:v>
      </x:c>
      <x:c r="L454" s="31" t="inlineStr">
        <x:is>
          <x:t xml:space="preserve">Да</x:t>
        </x:is>
      </x:c>
      <x:c r="M454" s="31" t="inlineStr">
        <x:is>
          <x:t xml:space="preserve">Нет</x:t>
        </x:is>
      </x:c>
      <x:c r="N454" s="31" t="inlineStr">
        <x:is>
          <x:t xml:space="preserve">Автосоздано правилом/пользователем 7</x:t>
        </x:is>
      </x:c>
    </x:row>
    <x:row r="455">
      <x:c r="A455" s="31" t="inlineStr">
        <x:is>
          <x:t xml:space="preserve">ЗД-00454</x:t>
        </x:is>
      </x:c>
      <x:c r="B455" s="31" t="n">
        <x:v>46176</x:v>
      </x:c>
      <x:c r="C455" s="31" t="n">
        <x:v>46190</x:v>
      </x:c>
      <x:c r="D455" s="31" t="inlineStr">
        <x:is>
          <x:t xml:space="preserve">Новая</x:t>
        </x:is>
      </x:c>
      <x:c r="E455" s="31" t="inlineStr">
        <x:is>
          <x:t xml:space="preserve">Высокий</x:t>
        </x:is>
      </x:c>
      <x:c r="F455" s="31" t="inlineStr">
        <x:is>
          <x:t xml:space="preserve">СОТР-019</x:t>
        </x:is>
      </x:c>
      <x:c r="G455" s="31" t="inlineStr">
        <x:is>
          <x:t xml:space="preserve">Производственное задание</x:t>
        </x:is>
      </x:c>
      <x:c r="H455" s="31" t="inlineStr">
        <x:is>
          <x:t xml:space="preserve">ПЗ-00149</x:t>
        </x:is>
      </x:c>
      <x:c r="I455" s="31" t="inlineStr">
        <x:is>
          <x:t xml:space="preserve">Проверить дефицит материалов</x:t>
        </x:is>
      </x:c>
      <x:c r="J455" s="31" t="inlineStr">
        <x:is>
          <x:t xml:space="preserve">Продажи</x:t>
        </x:is>
      </x:c>
      <x:c r="K455" s="31" t="n">
        <x:v>0</x:v>
      </x:c>
      <x:c r="L455" s="31" t="inlineStr">
        <x:is>
          <x:t xml:space="preserve">Нет</x:t>
        </x:is>
      </x:c>
      <x:c r="M455" s="31" t="inlineStr">
        <x:is>
          <x:t xml:space="preserve">Нет</x:t>
        </x:is>
      </x:c>
      <x:c r="N455" s="31" t="inlineStr">
        <x:is>
          <x:t xml:space="preserve">Автосоздано правилом/пользователем 11</x:t>
        </x:is>
      </x:c>
    </x:row>
    <x:row r="456">
      <x:c r="A456" s="31" t="inlineStr">
        <x:is>
          <x:t xml:space="preserve">ЗД-00455</x:t>
        </x:is>
      </x:c>
      <x:c r="B456" s="31" t="n">
        <x:v>46128</x:v>
      </x:c>
      <x:c r="C456" s="31" t="n">
        <x:v>46138</x:v>
      </x:c>
      <x:c r="D456" s="31" t="inlineStr">
        <x:is>
          <x:t xml:space="preserve">В работе</x:t>
        </x:is>
      </x:c>
      <x:c r="E456" s="31" t="inlineStr">
        <x:is>
          <x:t xml:space="preserve">Средний</x:t>
        </x:is>
      </x:c>
      <x:c r="F456" s="31" t="inlineStr">
        <x:is>
          <x:t xml:space="preserve">СОТР-022</x:t>
        </x:is>
      </x:c>
      <x:c r="G456" s="31" t="inlineStr">
        <x:is>
          <x:t xml:space="preserve">Производственное задание</x:t>
        </x:is>
      </x:c>
      <x:c r="H456" s="31" t="inlineStr">
        <x:is>
          <x:t xml:space="preserve">ПЗ-00233</x:t>
        </x:is>
      </x:c>
      <x:c r="I456" s="31" t="inlineStr">
        <x:is>
          <x:t xml:space="preserve">Назначить оператора</x:t>
        </x:is>
      </x:c>
      <x:c r="J456" s="31" t="inlineStr">
        <x:is>
          <x:t xml:space="preserve">Снабжение</x:t>
        </x:is>
      </x:c>
      <x:c r="K456" s="31" t="n">
        <x:v>0</x:v>
      </x:c>
      <x:c r="L456" s="31" t="inlineStr">
        <x:is>
          <x:t xml:space="preserve">Нет</x:t>
        </x:is>
      </x:c>
      <x:c r="M456" s="31" t="inlineStr">
        <x:is>
          <x:t xml:space="preserve">Нет</x:t>
        </x:is>
      </x:c>
      <x:c r="N456" s="31" t="inlineStr">
        <x:is>
          <x:t xml:space="preserve">Автосоздано правилом/пользователем 7</x:t>
        </x:is>
      </x:c>
    </x:row>
    <x:row r="457">
      <x:c r="A457" s="31" t="inlineStr">
        <x:is>
          <x:t xml:space="preserve">ЗД-00456</x:t>
        </x:is>
      </x:c>
      <x:c r="B457" s="31" t="n">
        <x:v>46142</x:v>
      </x:c>
      <x:c r="C457" s="31" t="n">
        <x:v>46149</x:v>
      </x:c>
      <x:c r="D457" s="31" t="inlineStr">
        <x:is>
          <x:t xml:space="preserve">Выполнена</x:t>
        </x:is>
      </x:c>
      <x:c r="E457" s="31" t="inlineStr">
        <x:is>
          <x:t xml:space="preserve">Средний</x:t>
        </x:is>
      </x:c>
      <x:c r="F457" s="31" t="inlineStr">
        <x:is>
          <x:t xml:space="preserve">СОТР-099</x:t>
        </x:is>
      </x:c>
      <x:c r="G457" s="31" t="inlineStr">
        <x:is>
          <x:t xml:space="preserve">ОТК</x:t>
        </x:is>
      </x:c>
      <x:c r="H457" s="31" t="inlineStr">
        <x:is>
          <x:t xml:space="preserve">ОТК-00168</x:t>
        </x:is>
      </x:c>
      <x:c r="I457" s="31" t="inlineStr">
        <x:is>
          <x:t xml:space="preserve">Проверить доработку</x:t>
        </x:is>
      </x:c>
      <x:c r="J457" s="31" t="inlineStr">
        <x:is>
          <x:t xml:space="preserve">Продажи</x:t>
        </x:is>
      </x:c>
      <x:c r="K457" s="31" t="n">
        <x:v>0</x:v>
      </x:c>
      <x:c r="L457" s="31" t="inlineStr">
        <x:is>
          <x:t xml:space="preserve">Да</x:t>
        </x:is>
      </x:c>
      <x:c r="M457" s="31" t="inlineStr">
        <x:is>
          <x:t xml:space="preserve">Поставщик</x:t>
        </x:is>
      </x:c>
      <x:c r="N457" s="31" t="inlineStr">
        <x:is>
          <x:t xml:space="preserve">Автосоздано правилом/пользователем 11</x:t>
        </x:is>
      </x:c>
    </x:row>
    <x:row r="458">
      <x:c r="A458" s="31" t="inlineStr">
        <x:is>
          <x:t xml:space="preserve">ЗД-00457</x:t>
        </x:is>
      </x:c>
      <x:c r="B458" s="31" t="n">
        <x:v>46140</x:v>
      </x:c>
      <x:c r="C458" s="31" t="n">
        <x:v>46143</x:v>
      </x:c>
      <x:c r="D458" s="31" t="inlineStr">
        <x:is>
          <x:t xml:space="preserve">Выполнена</x:t>
        </x:is>
      </x:c>
      <x:c r="E458" s="31" t="inlineStr">
        <x:is>
          <x:t xml:space="preserve">Средний</x:t>
        </x:is>
      </x:c>
      <x:c r="F458" s="31" t="inlineStr">
        <x:is>
          <x:t xml:space="preserve">СОТР-008</x:t>
        </x:is>
      </x:c>
      <x:c r="G458" s="31" t="inlineStr">
        <x:is>
          <x:t xml:space="preserve">ОТК</x:t>
        </x:is>
      </x:c>
      <x:c r="H458" s="31" t="inlineStr">
        <x:is>
          <x:t xml:space="preserve">ОТК-00088</x:t>
        </x:is>
      </x:c>
      <x:c r="I458" s="31" t="inlineStr">
        <x:is>
          <x:t xml:space="preserve">Проверить доработку</x:t>
        </x:is>
      </x:c>
      <x:c r="J458" s="31" t="inlineStr">
        <x:is>
          <x:t xml:space="preserve">Финансы</x:t>
        </x:is>
      </x:c>
      <x:c r="K458" s="31" t="n">
        <x:v>0</x:v>
      </x:c>
      <x:c r="L458" s="31" t="inlineStr">
        <x:is>
          <x:t xml:space="preserve">Да</x:t>
        </x:is>
      </x:c>
      <x:c r="M458" s="31" t="inlineStr">
        <x:is>
          <x:t xml:space="preserve">Нет</x:t>
        </x:is>
      </x:c>
      <x:c r="N458" s="31" t="inlineStr">
        <x:is>
          <x:t xml:space="preserve">Автосоздано правилом/пользователем 8</x:t>
        </x:is>
      </x:c>
    </x:row>
    <x:row r="459">
      <x:c r="A459" s="31" t="inlineStr">
        <x:is>
          <x:t xml:space="preserve">ЗД-00458</x:t>
        </x:is>
      </x:c>
      <x:c r="B459" s="31" t="n">
        <x:v>46171</x:v>
      </x:c>
      <x:c r="C459" s="31" t="n">
        <x:v>46173</x:v>
      </x:c>
      <x:c r="D459" s="31" t="inlineStr">
        <x:is>
          <x:t xml:space="preserve">Выполнена</x:t>
        </x:is>
      </x:c>
      <x:c r="E459" s="31" t="inlineStr">
        <x:is>
          <x:t xml:space="preserve">Высокий</x:t>
        </x:is>
      </x:c>
      <x:c r="F459" s="31" t="inlineStr">
        <x:is>
          <x:t xml:space="preserve">СОТР-028</x:t>
        </x:is>
      </x:c>
      <x:c r="G459" s="31" t="inlineStr">
        <x:is>
          <x:t xml:space="preserve">Закупка</x:t>
        </x:is>
      </x:c>
      <x:c r="H459" s="31" t="inlineStr">
        <x:is>
          <x:t xml:space="preserve">ЗЗ-00020</x:t>
        </x:is>
      </x:c>
      <x:c r="I459" s="31" t="inlineStr">
        <x:is>
          <x:t xml:space="preserve">Уточнить сертификаты</x:t>
        </x:is>
      </x:c>
      <x:c r="J459" s="31" t="inlineStr">
        <x:is>
          <x:t xml:space="preserve">Продажи</x:t>
        </x:is>
      </x:c>
      <x:c r="K459" s="31" t="n">
        <x:v>0</x:v>
      </x:c>
      <x:c r="L459" s="31" t="inlineStr">
        <x:is>
          <x:t xml:space="preserve">Нет</x:t>
        </x:is>
      </x:c>
      <x:c r="M459" s="31" t="inlineStr">
        <x:is>
          <x:t xml:space="preserve">Поставщик</x:t>
        </x:is>
      </x:c>
      <x:c r="N459" s="31" t="inlineStr">
        <x:is>
          <x:t xml:space="preserve">Автосоздано правилом/пользователем 8</x:t>
        </x:is>
      </x:c>
    </x:row>
    <x:row r="460">
      <x:c r="A460" s="31" t="inlineStr">
        <x:is>
          <x:t xml:space="preserve">ЗД-00459</x:t>
        </x:is>
      </x:c>
      <x:c r="B460" s="31" t="n">
        <x:v>46162</x:v>
      </x:c>
      <x:c r="C460" s="31" t="n">
        <x:v>46176</x:v>
      </x:c>
      <x:c r="D460" s="31" t="inlineStr">
        <x:is>
          <x:t xml:space="preserve">Выполнена</x:t>
        </x:is>
      </x:c>
      <x:c r="E460" s="31" t="inlineStr">
        <x:is>
          <x:t xml:space="preserve">Средний</x:t>
        </x:is>
      </x:c>
      <x:c r="F460" s="31" t="inlineStr">
        <x:is>
          <x:t xml:space="preserve">СОТР-090</x:t>
        </x:is>
      </x:c>
      <x:c r="G460" s="31" t="inlineStr">
        <x:is>
          <x:t xml:space="preserve">Счет</x:t>
        </x:is>
      </x:c>
      <x:c r="H460" s="31" t="inlineStr">
        <x:is>
          <x:t xml:space="preserve">СЧ-1105-1</x:t>
        </x:is>
      </x:c>
      <x:c r="I460" s="31" t="inlineStr">
        <x:is>
          <x:t xml:space="preserve">Согласовать отгрузку при ДЗ</x:t>
        </x:is>
      </x:c>
      <x:c r="J460" s="31" t="inlineStr">
        <x:is>
          <x:t xml:space="preserve">Производство</x:t>
        </x:is>
      </x:c>
      <x:c r="K460" s="31" t="n">
        <x:v>0</x:v>
      </x:c>
      <x:c r="L460" s="31" t="inlineStr">
        <x:is>
          <x:t xml:space="preserve">Нет</x:t>
        </x:is>
      </x:c>
      <x:c r="M460" s="31" t="inlineStr">
        <x:is>
          <x:t xml:space="preserve">Нет</x:t>
        </x:is>
      </x:c>
      <x:c r="N460" s="31" t="inlineStr">
        <x:is>
          <x:t xml:space="preserve">Автосоздано правилом/пользователем 11</x:t>
        </x:is>
      </x:c>
    </x:row>
    <x:row r="461">
      <x:c r="A461" s="31" t="inlineStr">
        <x:is>
          <x:t xml:space="preserve">ЗД-00460</x:t>
        </x:is>
      </x:c>
      <x:c r="B461" s="31" t="n">
        <x:v>46172</x:v>
      </x:c>
      <x:c r="C461" s="31" t="n">
        <x:v>46174</x:v>
      </x:c>
      <x:c r="D461" s="31" t="inlineStr">
        <x:is>
          <x:t xml:space="preserve">Выполнена</x:t>
        </x:is>
      </x:c>
      <x:c r="E461" s="31" t="inlineStr">
        <x:is>
          <x:t xml:space="preserve">Средний</x:t>
        </x:is>
      </x:c>
      <x:c r="F461" s="31" t="inlineStr">
        <x:is>
          <x:t xml:space="preserve">СОТР-030</x:t>
        </x:is>
      </x:c>
      <x:c r="G461" s="31" t="inlineStr">
        <x:is>
          <x:t xml:space="preserve">ОТК</x:t>
        </x:is>
      </x:c>
      <x:c r="H461" s="31" t="inlineStr">
        <x:is>
          <x:t xml:space="preserve">ОТК-00023</x:t>
        </x:is>
      </x:c>
      <x:c r="I461" s="31" t="inlineStr">
        <x:is>
          <x:t xml:space="preserve">Согласовать приемку с замечаниями</x:t>
        </x:is>
      </x:c>
      <x:c r="J461" s="31" t="inlineStr">
        <x:is>
          <x:t xml:space="preserve">ОТК</x:t>
        </x:is>
      </x:c>
      <x:c r="K461" s="31" t="n">
        <x:v>0</x:v>
      </x:c>
      <x:c r="L461" s="31" t="inlineStr">
        <x:is>
          <x:t xml:space="preserve">Нет</x:t>
        </x:is>
      </x:c>
      <x:c r="M461" s="31" t="inlineStr">
        <x:is>
          <x:t xml:space="preserve">Нет</x:t>
        </x:is>
      </x:c>
      <x:c r="N461" s="31" t="inlineStr">
        <x:is>
          <x:t xml:space="preserve">Автосоздано правилом/пользователем 11</x:t>
        </x:is>
      </x:c>
    </x:row>
    <x:row r="462">
      <x:c r="A462" s="31" t="inlineStr">
        <x:is>
          <x:t xml:space="preserve">ЗД-00461</x:t>
        </x:is>
      </x:c>
      <x:c r="B462" s="31" t="n">
        <x:v>46165</x:v>
      </x:c>
      <x:c r="C462" s="31" t="n">
        <x:v>46170</x:v>
      </x:c>
      <x:c r="D462" s="31" t="inlineStr">
        <x:is>
          <x:t xml:space="preserve">Выполнена</x:t>
        </x:is>
      </x:c>
      <x:c r="E462" s="31" t="inlineStr">
        <x:is>
          <x:t xml:space="preserve">Средний</x:t>
        </x:is>
      </x:c>
      <x:c r="F462" s="31" t="inlineStr">
        <x:is>
          <x:t xml:space="preserve">СОТР-004</x:t>
        </x:is>
      </x:c>
      <x:c r="G462" s="31" t="inlineStr">
        <x:is>
          <x:t xml:space="preserve">Заказ</x:t>
        </x:is>
      </x:c>
      <x:c r="H462" s="31" t="inlineStr">
        <x:is>
          <x:t xml:space="preserve">ЗК-1043</x:t>
        </x:is>
      </x:c>
      <x:c r="I462" s="31" t="inlineStr">
        <x:is>
          <x:t xml:space="preserve">Подготовить КП</x:t>
        </x:is>
      </x:c>
      <x:c r="J462" s="31" t="inlineStr">
        <x:is>
          <x:t xml:space="preserve">ОТК</x:t>
        </x:is>
      </x:c>
      <x:c r="K462" s="31" t="n">
        <x:v>0</x:v>
      </x:c>
      <x:c r="L462" s="31" t="inlineStr">
        <x:is>
          <x:t xml:space="preserve">Нет</x:t>
        </x:is>
      </x:c>
      <x:c r="M462" s="31" t="inlineStr">
        <x:is>
          <x:t xml:space="preserve">Нет</x:t>
        </x:is>
      </x:c>
      <x:c r="N462" s="31" t="inlineStr">
        <x:is>
          <x:t xml:space="preserve">Автосоздано правилом/пользователем 7</x:t>
        </x:is>
      </x:c>
    </x:row>
    <x:row r="463">
      <x:c r="A463" s="31" t="inlineStr">
        <x:is>
          <x:t xml:space="preserve">ЗД-00462</x:t>
        </x:is>
      </x:c>
      <x:c r="B463" s="31" t="n">
        <x:v>46120</x:v>
      </x:c>
      <x:c r="C463" s="31" t="n">
        <x:v>46122</x:v>
      </x:c>
      <x:c r="D463" s="31" t="inlineStr">
        <x:is>
          <x:t xml:space="preserve">Просрочена</x:t>
        </x:is>
      </x:c>
      <x:c r="E463" s="31" t="inlineStr">
        <x:is>
          <x:t xml:space="preserve">Высокий</x:t>
        </x:is>
      </x:c>
      <x:c r="F463" s="31" t="inlineStr">
        <x:is>
          <x:t xml:space="preserve">СОТР-029</x:t>
        </x:is>
      </x:c>
      <x:c r="G463" s="31" t="inlineStr">
        <x:is>
          <x:t xml:space="preserve">Закупка</x:t>
        </x:is>
      </x:c>
      <x:c r="H463" s="31" t="inlineStr">
        <x:is>
          <x:t xml:space="preserve">ЗЗ-00005</x:t>
        </x:is>
      </x:c>
      <x:c r="I463" s="31" t="inlineStr">
        <x:is>
          <x:t xml:space="preserve">Запросить срок поставки</x:t>
        </x:is>
      </x:c>
      <x:c r="J463" s="31" t="inlineStr">
        <x:is>
          <x:t xml:space="preserve">Продажи</x:t>
        </x:is>
      </x:c>
      <x:c r="K463" s="31" t="n">
        <x:v>63</x:v>
      </x:c>
      <x:c r="L463" s="31" t="inlineStr">
        <x:is>
          <x:t xml:space="preserve">Нет</x:t>
        </x:is>
      </x:c>
      <x:c r="M463" s="31" t="inlineStr">
        <x:is>
          <x:t xml:space="preserve">Нет</x:t>
        </x:is>
      </x:c>
      <x:c r="N463" s="31" t="inlineStr">
        <x:is>
          <x:t xml:space="preserve">Автосоздано правилом/пользователем 9</x:t>
        </x:is>
      </x:c>
    </x:row>
    <x:row r="464">
      <x:c r="A464" s="31" t="inlineStr">
        <x:is>
          <x:t xml:space="preserve">ЗД-00463</x:t>
        </x:is>
      </x:c>
      <x:c r="B464" s="31" t="n">
        <x:v>46137</x:v>
      </x:c>
      <x:c r="C464" s="31" t="n">
        <x:v>46139</x:v>
      </x:c>
      <x:c r="D464" s="31" t="inlineStr">
        <x:is>
          <x:t xml:space="preserve">Просрочена</x:t>
        </x:is>
      </x:c>
      <x:c r="E464" s="31" t="inlineStr">
        <x:is>
          <x:t xml:space="preserve">Средний</x:t>
        </x:is>
      </x:c>
      <x:c r="F464" s="31" t="inlineStr">
        <x:is>
          <x:t xml:space="preserve">СОТР-063</x:t>
        </x:is>
      </x:c>
      <x:c r="G464" s="31" t="inlineStr">
        <x:is>
          <x:t xml:space="preserve">ОТК</x:t>
        </x:is>
      </x:c>
      <x:c r="H464" s="31" t="inlineStr">
        <x:is>
          <x:t xml:space="preserve">ОТК-00136</x:t>
        </x:is>
      </x:c>
      <x:c r="I464" s="31" t="inlineStr">
        <x:is>
          <x:t xml:space="preserve">Оформить корректирующие действия</x:t>
        </x:is>
      </x:c>
      <x:c r="J464" s="31" t="inlineStr">
        <x:is>
          <x:t xml:space="preserve">ОТК</x:t>
        </x:is>
      </x:c>
      <x:c r="K464" s="31" t="n">
        <x:v>46</x:v>
      </x:c>
      <x:c r="L464" s="31" t="inlineStr">
        <x:is>
          <x:t xml:space="preserve">Нет</x:t>
        </x:is>
      </x:c>
      <x:c r="M464" s="31" t="inlineStr">
        <x:is>
          <x:t xml:space="preserve">Нет</x:t>
        </x:is>
      </x:c>
      <x:c r="N464" s="31" t="inlineStr">
        <x:is>
          <x:t xml:space="preserve">Автосоздано правилом/пользователем 3</x:t>
        </x:is>
      </x:c>
    </x:row>
    <x:row r="465">
      <x:c r="A465" s="31" t="inlineStr">
        <x:is>
          <x:t xml:space="preserve">ЗД-00464</x:t>
        </x:is>
      </x:c>
      <x:c r="B465" s="31" t="n">
        <x:v>46171</x:v>
      </x:c>
      <x:c r="C465" s="31" t="n">
        <x:v>46181</x:v>
      </x:c>
      <x:c r="D465" s="31" t="inlineStr">
        <x:is>
          <x:t xml:space="preserve">Просрочена</x:t>
        </x:is>
      </x:c>
      <x:c r="E465" s="31" t="inlineStr">
        <x:is>
          <x:t xml:space="preserve">Высокий</x:t>
        </x:is>
      </x:c>
      <x:c r="F465" s="31" t="inlineStr">
        <x:is>
          <x:t xml:space="preserve">СОТР-076</x:t>
        </x:is>
      </x:c>
      <x:c r="G465" s="31" t="inlineStr">
        <x:is>
          <x:t xml:space="preserve">Счет</x:t>
        </x:is>
      </x:c>
      <x:c r="H465" s="31" t="inlineStr">
        <x:is>
          <x:t xml:space="preserve">СЧ-1004-1</x:t>
        </x:is>
      </x:c>
      <x:c r="I465" s="31" t="inlineStr">
        <x:is>
          <x:t xml:space="preserve">Проверить оплату</x:t>
        </x:is>
      </x:c>
      <x:c r="J465" s="31" t="inlineStr">
        <x:is>
          <x:t xml:space="preserve">Сервис</x:t>
        </x:is>
      </x:c>
      <x:c r="K465" s="31" t="n">
        <x:v>4</x:v>
      </x:c>
      <x:c r="L465" s="31" t="inlineStr">
        <x:is>
          <x:t xml:space="preserve">Нет</x:t>
        </x:is>
      </x:c>
      <x:c r="M465" s="31" t="inlineStr">
        <x:is>
          <x:t xml:space="preserve">Заказчик</x:t>
        </x:is>
      </x:c>
      <x:c r="N465" s="31" t="inlineStr">
        <x:is>
          <x:t xml:space="preserve">Автосоздано правилом/пользователем 1</x:t>
        </x:is>
      </x:c>
    </x:row>
    <x:row r="466">
      <x:c r="A466" s="31" t="inlineStr">
        <x:is>
          <x:t xml:space="preserve">ЗД-00465</x:t>
        </x:is>
      </x:c>
      <x:c r="B466" s="31" t="n">
        <x:v>46132</x:v>
      </x:c>
      <x:c r="C466" s="31" t="n">
        <x:v>46142</x:v>
      </x:c>
      <x:c r="D466" s="31" t="inlineStr">
        <x:is>
          <x:t xml:space="preserve">Выполнена</x:t>
        </x:is>
      </x:c>
      <x:c r="E466" s="31" t="inlineStr">
        <x:is>
          <x:t xml:space="preserve">Высокий</x:t>
        </x:is>
      </x:c>
      <x:c r="F466" s="31" t="inlineStr">
        <x:is>
          <x:t xml:space="preserve">СОТР-076</x:t>
        </x:is>
      </x:c>
      <x:c r="G466" s="31" t="inlineStr">
        <x:is>
          <x:t xml:space="preserve">Счет</x:t>
        </x:is>
      </x:c>
      <x:c r="H466" s="31" t="inlineStr">
        <x:is>
          <x:t xml:space="preserve">СЧ-1098-1</x:t>
        </x:is>
      </x:c>
      <x:c r="I466" s="31" t="inlineStr">
        <x:is>
          <x:t xml:space="preserve">Согласовать отгрузку при ДЗ</x:t>
        </x:is>
      </x:c>
      <x:c r="J466" s="31" t="inlineStr">
        <x:is>
          <x:t xml:space="preserve">Снабжение</x:t>
        </x:is>
      </x:c>
      <x:c r="K466" s="31" t="n">
        <x:v>0</x:v>
      </x:c>
      <x:c r="L466" s="31" t="inlineStr">
        <x:is>
          <x:t xml:space="preserve">Нет</x:t>
        </x:is>
      </x:c>
      <x:c r="M466" s="31" t="inlineStr">
        <x:is>
          <x:t xml:space="preserve">Нет</x:t>
        </x:is>
      </x:c>
      <x:c r="N466" s="31" t="inlineStr">
        <x:is>
          <x:t xml:space="preserve">Автосоздано правилом/пользователем 10</x:t>
        </x:is>
      </x:c>
    </x:row>
    <x:row r="467">
      <x:c r="A467" s="31" t="inlineStr">
        <x:is>
          <x:t xml:space="preserve">ЗД-00466</x:t>
        </x:is>
      </x:c>
      <x:c r="B467" s="31" t="n">
        <x:v>46185</x:v>
      </x:c>
      <x:c r="C467" s="31" t="n">
        <x:v>46195</x:v>
      </x:c>
      <x:c r="D467" s="31" t="inlineStr">
        <x:is>
          <x:t xml:space="preserve">Просрочена</x:t>
        </x:is>
      </x:c>
      <x:c r="E467" s="31" t="inlineStr">
        <x:is>
          <x:t xml:space="preserve">Средний</x:t>
        </x:is>
      </x:c>
      <x:c r="F467" s="31" t="inlineStr">
        <x:is>
          <x:t xml:space="preserve">СОТР-100</x:t>
        </x:is>
      </x:c>
      <x:c r="G467" s="31" t="inlineStr">
        <x:is>
          <x:t xml:space="preserve">Производственное задание</x:t>
        </x:is>
      </x:c>
      <x:c r="H467" s="31" t="inlineStr">
        <x:is>
          <x:t xml:space="preserve">ПЗ-00191</x:t>
        </x:is>
      </x:c>
      <x:c r="I467" s="31" t="inlineStr">
        <x:is>
          <x:t xml:space="preserve">Обновить готовность</x:t>
        </x:is>
      </x:c>
      <x:c r="J467" s="31" t="inlineStr">
        <x:is>
          <x:t xml:space="preserve">ОТК</x:t>
        </x:is>
      </x:c>
      <x:c r="K467" s="31" t="n">
        <x:v>-10</x:v>
      </x:c>
      <x:c r="L467" s="31" t="inlineStr">
        <x:is>
          <x:t xml:space="preserve">Нет</x:t>
        </x:is>
      </x:c>
      <x:c r="M467" s="31" t="inlineStr">
        <x:is>
          <x:t xml:space="preserve">Заказчик</x:t>
        </x:is>
      </x:c>
      <x:c r="N467" s="31" t="inlineStr">
        <x:is>
          <x:t xml:space="preserve">Автосоздано правилом/пользователем 4</x:t>
        </x:is>
      </x:c>
    </x:row>
    <x:row r="468">
      <x:c r="A468" s="31" t="inlineStr">
        <x:is>
          <x:t xml:space="preserve">ЗД-00467</x:t>
        </x:is>
      </x:c>
      <x:c r="B468" s="31" t="n">
        <x:v>46155</x:v>
      </x:c>
      <x:c r="C468" s="31" t="n">
        <x:v>46158</x:v>
      </x:c>
      <x:c r="D468" s="31" t="inlineStr">
        <x:is>
          <x:t xml:space="preserve">Просрочена</x:t>
        </x:is>
      </x:c>
      <x:c r="E468" s="31" t="inlineStr">
        <x:is>
          <x:t xml:space="preserve">Средний</x:t>
        </x:is>
      </x:c>
      <x:c r="F468" s="31" t="inlineStr">
        <x:is>
          <x:t xml:space="preserve">СОТР-093</x:t>
        </x:is>
      </x:c>
      <x:c r="G468" s="31" t="inlineStr">
        <x:is>
          <x:t xml:space="preserve">ОТК</x:t>
        </x:is>
      </x:c>
      <x:c r="H468" s="31" t="inlineStr">
        <x:is>
          <x:t xml:space="preserve">ОТК-00170</x:t>
        </x:is>
      </x:c>
      <x:c r="I468" s="31" t="inlineStr">
        <x:is>
          <x:t xml:space="preserve">Оформить корректирующие действия</x:t>
        </x:is>
      </x:c>
      <x:c r="J468" s="31" t="inlineStr">
        <x:is>
          <x:t xml:space="preserve">Продажи</x:t>
        </x:is>
      </x:c>
      <x:c r="K468" s="31" t="n">
        <x:v>27</x:v>
      </x:c>
      <x:c r="L468" s="31" t="inlineStr">
        <x:is>
          <x:t xml:space="preserve">Нет</x:t>
        </x:is>
      </x:c>
      <x:c r="M468" s="31" t="inlineStr">
        <x:is>
          <x:t xml:space="preserve">Заказчик</x:t>
        </x:is>
      </x:c>
      <x:c r="N468" s="31" t="inlineStr">
        <x:is>
          <x:t xml:space="preserve">Автосоздано правилом/пользователем 9</x:t>
        </x:is>
      </x:c>
    </x:row>
    <x:row r="469">
      <x:c r="A469" s="31" t="inlineStr">
        <x:is>
          <x:t xml:space="preserve">ЗД-00468</x:t>
        </x:is>
      </x:c>
      <x:c r="B469" s="31" t="n">
        <x:v>46180</x:v>
      </x:c>
      <x:c r="C469" s="31" t="n">
        <x:v>46181</x:v>
      </x:c>
      <x:c r="D469" s="31" t="inlineStr">
        <x:is>
          <x:t xml:space="preserve">Новая</x:t>
        </x:is>
      </x:c>
      <x:c r="E469" s="31" t="inlineStr">
        <x:is>
          <x:t xml:space="preserve">Средний</x:t>
        </x:is>
      </x:c>
      <x:c r="F469" s="31" t="inlineStr">
        <x:is>
          <x:t xml:space="preserve">СОТР-076</x:t>
        </x:is>
      </x:c>
      <x:c r="G469" s="31" t="inlineStr">
        <x:is>
          <x:t xml:space="preserve">Счет</x:t>
        </x:is>
      </x:c>
      <x:c r="H469" s="31" t="inlineStr">
        <x:is>
          <x:t xml:space="preserve">СЧ-1081-2</x:t>
        </x:is>
      </x:c>
      <x:c r="I469" s="31" t="inlineStr">
        <x:is>
          <x:t xml:space="preserve">Напомнить об оплате</x:t>
        </x:is>
      </x:c>
      <x:c r="J469" s="31" t="inlineStr">
        <x:is>
          <x:t xml:space="preserve">Производство</x:t>
        </x:is>
      </x:c>
      <x:c r="K469" s="31" t="n">
        <x:v>0</x:v>
      </x:c>
      <x:c r="L469" s="31" t="inlineStr">
        <x:is>
          <x:t xml:space="preserve">Да</x:t>
        </x:is>
      </x:c>
      <x:c r="M469" s="31" t="inlineStr">
        <x:is>
          <x:t xml:space="preserve">Нет</x:t>
        </x:is>
      </x:c>
      <x:c r="N469" s="31" t="inlineStr">
        <x:is>
          <x:t xml:space="preserve">Автосоздано правилом/пользователем 9</x:t>
        </x:is>
      </x:c>
    </x:row>
    <x:row r="470">
      <x:c r="A470" s="31" t="inlineStr">
        <x:is>
          <x:t xml:space="preserve">ЗД-00469</x:t>
        </x:is>
      </x:c>
      <x:c r="B470" s="31" t="n">
        <x:v>46140</x:v>
      </x:c>
      <x:c r="C470" s="31" t="n">
        <x:v>46145</x:v>
      </x:c>
      <x:c r="D470" s="31" t="inlineStr">
        <x:is>
          <x:t xml:space="preserve">Отменена</x:t>
        </x:is>
      </x:c>
      <x:c r="E470" s="31" t="inlineStr">
        <x:is>
          <x:t xml:space="preserve">Низкий</x:t>
        </x:is>
      </x:c>
      <x:c r="F470" s="31" t="inlineStr">
        <x:is>
          <x:t xml:space="preserve">СОТР-099</x:t>
        </x:is>
      </x:c>
      <x:c r="G470" s="31" t="inlineStr">
        <x:is>
          <x:t xml:space="preserve">ОТК</x:t>
        </x:is>
      </x:c>
      <x:c r="H470" s="31" t="inlineStr">
        <x:is>
          <x:t xml:space="preserve">ОТК-00007</x:t>
        </x:is>
      </x:c>
      <x:c r="I470" s="31" t="inlineStr">
        <x:is>
          <x:t xml:space="preserve">Оформить корректирующие действия</x:t>
        </x:is>
      </x:c>
      <x:c r="J470" s="31" t="inlineStr">
        <x:is>
          <x:t xml:space="preserve">Производство</x:t>
        </x:is>
      </x:c>
      <x:c r="K470" s="31" t="n">
        <x:v>0</x:v>
      </x:c>
      <x:c r="L470" s="31" t="inlineStr">
        <x:is>
          <x:t xml:space="preserve">Нет</x:t>
        </x:is>
      </x:c>
      <x:c r="M470" s="31" t="inlineStr">
        <x:is>
          <x:t xml:space="preserve">Заказчик</x:t>
        </x:is>
      </x:c>
      <x:c r="N470" s="31" t="inlineStr">
        <x:is>
          <x:t xml:space="preserve">Автосоздано правилом/пользователем 2</x:t>
        </x:is>
      </x:c>
    </x:row>
    <x:row r="471">
      <x:c r="A471" s="31" t="inlineStr">
        <x:is>
          <x:t xml:space="preserve">ЗД-00470</x:t>
        </x:is>
      </x:c>
      <x:c r="B471" s="31" t="n">
        <x:v>46125</x:v>
      </x:c>
      <x:c r="C471" s="31" t="n">
        <x:v>46139</x:v>
      </x:c>
      <x:c r="D471" s="31" t="inlineStr">
        <x:is>
          <x:t xml:space="preserve">Просрочена</x:t>
        </x:is>
      </x:c>
      <x:c r="E471" s="31" t="inlineStr">
        <x:is>
          <x:t xml:space="preserve">Средний</x:t>
        </x:is>
      </x:c>
      <x:c r="F471" s="31" t="inlineStr">
        <x:is>
          <x:t xml:space="preserve">СОТР-028</x:t>
        </x:is>
      </x:c>
      <x:c r="G471" s="31" t="inlineStr">
        <x:is>
          <x:t xml:space="preserve">Заказ</x:t>
        </x:is>
      </x:c>
      <x:c r="H471" s="31" t="inlineStr">
        <x:is>
          <x:t xml:space="preserve">ЗК-1016</x:t>
        </x:is>
      </x:c>
      <x:c r="I471" s="31" t="inlineStr">
        <x:is>
          <x:t xml:space="preserve">Проверить лимит заказчика</x:t>
        </x:is>
      </x:c>
      <x:c r="J471" s="31" t="inlineStr">
        <x:is>
          <x:t xml:space="preserve">ОТК</x:t>
        </x:is>
      </x:c>
      <x:c r="K471" s="31" t="n">
        <x:v>46</x:v>
      </x:c>
      <x:c r="L471" s="31" t="inlineStr">
        <x:is>
          <x:t xml:space="preserve">Нет</x:t>
        </x:is>
      </x:c>
      <x:c r="M471" s="31" t="inlineStr">
        <x:is>
          <x:t xml:space="preserve">Нет</x:t>
        </x:is>
      </x:c>
      <x:c r="N471" s="31" t="inlineStr">
        <x:is>
          <x:t xml:space="preserve">Автосоздано правилом/пользователем 2</x:t>
        </x:is>
      </x:c>
    </x:row>
    <x:row r="472">
      <x:c r="A472" s="31" t="inlineStr">
        <x:is>
          <x:t xml:space="preserve">ЗД-00471</x:t>
        </x:is>
      </x:c>
      <x:c r="B472" s="31" t="n">
        <x:v>46180</x:v>
      </x:c>
      <x:c r="C472" s="31" t="n">
        <x:v>46194</x:v>
      </x:c>
      <x:c r="D472" s="31" t="inlineStr">
        <x:is>
          <x:t xml:space="preserve">В работе</x:t>
        </x:is>
      </x:c>
      <x:c r="E472" s="31" t="inlineStr">
        <x:is>
          <x:t xml:space="preserve">Средний</x:t>
        </x:is>
      </x:c>
      <x:c r="F472" s="31" t="inlineStr">
        <x:is>
          <x:t xml:space="preserve">СОТР-076</x:t>
        </x:is>
      </x:c>
      <x:c r="G472" s="31" t="inlineStr">
        <x:is>
          <x:t xml:space="preserve">Счет</x:t>
        </x:is>
      </x:c>
      <x:c r="H472" s="31" t="inlineStr">
        <x:is>
          <x:t xml:space="preserve">СЧ-1095-1</x:t>
        </x:is>
      </x:c>
      <x:c r="I472" s="31" t="inlineStr">
        <x:is>
          <x:t xml:space="preserve">Подготовить акт сверки</x:t>
        </x:is>
      </x:c>
      <x:c r="J472" s="31" t="inlineStr">
        <x:is>
          <x:t xml:space="preserve">Снабжение</x:t>
        </x:is>
      </x:c>
      <x:c r="K472" s="31" t="n">
        <x:v>0</x:v>
      </x:c>
      <x:c r="L472" s="31" t="inlineStr">
        <x:is>
          <x:t xml:space="preserve">Нет</x:t>
        </x:is>
      </x:c>
      <x:c r="M472" s="31" t="inlineStr">
        <x:is>
          <x:t xml:space="preserve">Нет</x:t>
        </x:is>
      </x:c>
      <x:c r="N472" s="31" t="inlineStr">
        <x:is>
          <x:t xml:space="preserve">Автосоздано правилом/пользователем 8</x:t>
        </x:is>
      </x:c>
    </x:row>
    <x:row r="473">
      <x:c r="A473" s="31" t="inlineStr">
        <x:is>
          <x:t xml:space="preserve">ЗД-00472</x:t>
        </x:is>
      </x:c>
      <x:c r="B473" s="31" t="n">
        <x:v>46181</x:v>
      </x:c>
      <x:c r="C473" s="31" t="n">
        <x:v>46183</x:v>
      </x:c>
      <x:c r="D473" s="31" t="inlineStr">
        <x:is>
          <x:t xml:space="preserve">В работе</x:t>
        </x:is>
      </x:c>
      <x:c r="E473" s="31" t="inlineStr">
        <x:is>
          <x:t xml:space="preserve">Средний</x:t>
        </x:is>
      </x:c>
      <x:c r="F473" s="31" t="inlineStr">
        <x:is>
          <x:t xml:space="preserve">СОТР-092</x:t>
        </x:is>
      </x:c>
      <x:c r="G473" s="31" t="inlineStr">
        <x:is>
          <x:t xml:space="preserve">ОТК</x:t>
        </x:is>
      </x:c>
      <x:c r="H473" s="31" t="inlineStr">
        <x:is>
          <x:t xml:space="preserve">ОТК-00141</x:t>
        </x:is>
      </x:c>
      <x:c r="I473" s="31" t="inlineStr">
        <x:is>
          <x:t xml:space="preserve">Оформить корректирующие действия</x:t>
        </x:is>
      </x:c>
      <x:c r="J473" s="31" t="inlineStr">
        <x:is>
          <x:t xml:space="preserve">Производство</x:t>
        </x:is>
      </x:c>
      <x:c r="K473" s="31" t="n">
        <x:v>0</x:v>
      </x:c>
      <x:c r="L473" s="31" t="inlineStr">
        <x:is>
          <x:t xml:space="preserve">Нет</x:t>
        </x:is>
      </x:c>
      <x:c r="M473" s="31" t="inlineStr">
        <x:is>
          <x:t xml:space="preserve">Нет</x:t>
        </x:is>
      </x:c>
      <x:c r="N473" s="31" t="inlineStr">
        <x:is>
          <x:t xml:space="preserve">Автосоздано правилом/пользователем 12</x:t>
        </x:is>
      </x:c>
    </x:row>
    <x:row r="474">
      <x:c r="A474" s="31" t="inlineStr">
        <x:is>
          <x:t xml:space="preserve">ЗД-00473</x:t>
        </x:is>
      </x:c>
      <x:c r="B474" s="31" t="n">
        <x:v>46184</x:v>
      </x:c>
      <x:c r="C474" s="31" t="n">
        <x:v>46189</x:v>
      </x:c>
      <x:c r="D474" s="31" t="inlineStr">
        <x:is>
          <x:t xml:space="preserve">Выполнена</x:t>
        </x:is>
      </x:c>
      <x:c r="E474" s="31" t="inlineStr">
        <x:is>
          <x:t xml:space="preserve">Срочный</x:t>
        </x:is>
      </x:c>
      <x:c r="F474" s="31" t="inlineStr">
        <x:is>
          <x:t xml:space="preserve">СОТР-038</x:t>
        </x:is>
      </x:c>
      <x:c r="G474" s="31" t="inlineStr">
        <x:is>
          <x:t xml:space="preserve">Производственное задание</x:t>
        </x:is>
      </x:c>
      <x:c r="H474" s="31" t="inlineStr">
        <x:is>
          <x:t xml:space="preserve">ПЗ-00183</x:t>
        </x:is>
      </x:c>
      <x:c r="I474" s="31" t="inlineStr">
        <x:is>
          <x:t xml:space="preserve">Проверить дефицит материалов</x:t>
        </x:is>
      </x:c>
      <x:c r="J474" s="31" t="inlineStr">
        <x:is>
          <x:t xml:space="preserve">Финансы</x:t>
        </x:is>
      </x:c>
      <x:c r="K474" s="31" t="n">
        <x:v>0</x:v>
      </x:c>
      <x:c r="L474" s="31" t="inlineStr">
        <x:is>
          <x:t xml:space="preserve">Нет</x:t>
        </x:is>
      </x:c>
      <x:c r="M474" s="31" t="inlineStr">
        <x:is>
          <x:t xml:space="preserve">Руководитель</x:t>
        </x:is>
      </x:c>
      <x:c r="N474" s="31" t="inlineStr">
        <x:is>
          <x:t xml:space="preserve">Автосоздано правилом/пользователем 12</x:t>
        </x:is>
      </x:c>
    </x:row>
    <x:row r="475">
      <x:c r="A475" s="31" t="inlineStr">
        <x:is>
          <x:t xml:space="preserve">ЗД-00474</x:t>
        </x:is>
      </x:c>
      <x:c r="B475" s="31" t="n">
        <x:v>46166</x:v>
      </x:c>
      <x:c r="C475" s="31" t="n">
        <x:v>46180</x:v>
      </x:c>
      <x:c r="D475" s="31" t="inlineStr">
        <x:is>
          <x:t xml:space="preserve">Выполнена</x:t>
        </x:is>
      </x:c>
      <x:c r="E475" s="31" t="inlineStr">
        <x:is>
          <x:t xml:space="preserve">Срочный</x:t>
        </x:is>
      </x:c>
      <x:c r="F475" s="31" t="inlineStr">
        <x:is>
          <x:t xml:space="preserve">СОТР-092</x:t>
        </x:is>
      </x:c>
      <x:c r="G475" s="31" t="inlineStr">
        <x:is>
          <x:t xml:space="preserve">ОТК</x:t>
        </x:is>
      </x:c>
      <x:c r="H475" s="31" t="inlineStr">
        <x:is>
          <x:t xml:space="preserve">ОТК-00118</x:t>
        </x:is>
      </x:c>
      <x:c r="I475" s="31" t="inlineStr">
        <x:is>
          <x:t xml:space="preserve">Согласовать приемку с замечаниями</x:t>
        </x:is>
      </x:c>
      <x:c r="J475" s="31" t="inlineStr">
        <x:is>
          <x:t xml:space="preserve">Снабжение</x:t>
        </x:is>
      </x:c>
      <x:c r="K475" s="31" t="n">
        <x:v>0</x:v>
      </x:c>
      <x:c r="L475" s="31" t="inlineStr">
        <x:is>
          <x:t xml:space="preserve">Да</x:t>
        </x:is>
      </x:c>
      <x:c r="M475" s="31" t="inlineStr">
        <x:is>
          <x:t xml:space="preserve">Нет</x:t>
        </x:is>
      </x:c>
      <x:c r="N475" s="31" t="inlineStr">
        <x:is>
          <x:t xml:space="preserve">Автосоздано правилом/пользователем 12</x:t>
        </x:is>
      </x:c>
    </x:row>
    <x:row r="476">
      <x:c r="A476" s="31" t="inlineStr">
        <x:is>
          <x:t xml:space="preserve">ЗД-00475</x:t>
        </x:is>
      </x:c>
      <x:c r="B476" s="31" t="n">
        <x:v>46147</x:v>
      </x:c>
      <x:c r="C476" s="31" t="n">
        <x:v>46152</x:v>
      </x:c>
      <x:c r="D476" s="31" t="inlineStr">
        <x:is>
          <x:t xml:space="preserve">Просрочена</x:t>
        </x:is>
      </x:c>
      <x:c r="E476" s="31" t="inlineStr">
        <x:is>
          <x:t xml:space="preserve">Средний</x:t>
        </x:is>
      </x:c>
      <x:c r="F476" s="31" t="inlineStr">
        <x:is>
          <x:t xml:space="preserve">СОТР-096</x:t>
        </x:is>
      </x:c>
      <x:c r="G476" s="31" t="inlineStr">
        <x:is>
          <x:t xml:space="preserve">Производственное задание</x:t>
        </x:is>
      </x:c>
      <x:c r="H476" s="31" t="inlineStr">
        <x:is>
          <x:t xml:space="preserve">ПЗ-00192</x:t>
        </x:is>
      </x:c>
      <x:c r="I476" s="31" t="inlineStr">
        <x:is>
          <x:t xml:space="preserve">Назначить оператора</x:t>
        </x:is>
      </x:c>
      <x:c r="J476" s="31" t="inlineStr">
        <x:is>
          <x:t xml:space="preserve">Производство</x:t>
        </x:is>
      </x:c>
      <x:c r="K476" s="31" t="n">
        <x:v>33</x:v>
      </x:c>
      <x:c r="L476" s="31" t="inlineStr">
        <x:is>
          <x:t xml:space="preserve">Нет</x:t>
        </x:is>
      </x:c>
      <x:c r="M476" s="31" t="inlineStr">
        <x:is>
          <x:t xml:space="preserve">Нет</x:t>
        </x:is>
      </x:c>
      <x:c r="N476" s="31" t="inlineStr">
        <x:is>
          <x:t xml:space="preserve">Автосоздано правилом/пользователем 3</x:t>
        </x:is>
      </x:c>
    </x:row>
    <x:row r="477">
      <x:c r="A477" s="31" t="inlineStr">
        <x:is>
          <x:t xml:space="preserve">ЗД-00476</x:t>
        </x:is>
      </x:c>
      <x:c r="B477" s="31" t="n">
        <x:v>46184</x:v>
      </x:c>
      <x:c r="C477" s="31" t="n">
        <x:v>46185</x:v>
      </x:c>
      <x:c r="D477" s="31" t="inlineStr">
        <x:is>
          <x:t xml:space="preserve">Новая</x:t>
        </x:is>
      </x:c>
      <x:c r="E477" s="31" t="inlineStr">
        <x:is>
          <x:t xml:space="preserve">Срочный</x:t>
        </x:is>
      </x:c>
      <x:c r="F477" s="31" t="inlineStr">
        <x:is>
          <x:t xml:space="preserve">СОТР-063</x:t>
        </x:is>
      </x:c>
      <x:c r="G477" s="31" t="inlineStr">
        <x:is>
          <x:t xml:space="preserve">ОТК</x:t>
        </x:is>
      </x:c>
      <x:c r="H477" s="31" t="inlineStr">
        <x:is>
          <x:t xml:space="preserve">ОТК-00138</x:t>
        </x:is>
      </x:c>
      <x:c r="I477" s="31" t="inlineStr">
        <x:is>
          <x:t xml:space="preserve">Оформить корректирующие действия</x:t>
        </x:is>
      </x:c>
      <x:c r="J477" s="31" t="inlineStr">
        <x:is>
          <x:t xml:space="preserve">ОТК</x:t>
        </x:is>
      </x:c>
      <x:c r="K477" s="31" t="n">
        <x:v>0</x:v>
      </x:c>
      <x:c r="L477" s="31" t="inlineStr">
        <x:is>
          <x:t xml:space="preserve">Да</x:t>
        </x:is>
      </x:c>
      <x:c r="M477" s="31" t="inlineStr">
        <x:is>
          <x:t xml:space="preserve">Нет</x:t>
        </x:is>
      </x:c>
      <x:c r="N477" s="31" t="inlineStr">
        <x:is>
          <x:t xml:space="preserve">Автосоздано правилом/пользователем 8</x:t>
        </x:is>
      </x:c>
    </x:row>
    <x:row r="478">
      <x:c r="A478" s="31" t="inlineStr">
        <x:is>
          <x:t xml:space="preserve">ЗД-00477</x:t>
        </x:is>
      </x:c>
      <x:c r="B478" s="31" t="n">
        <x:v>46120</x:v>
      </x:c>
      <x:c r="C478" s="31" t="n">
        <x:v>46123</x:v>
      </x:c>
      <x:c r="D478" s="31" t="inlineStr">
        <x:is>
          <x:t xml:space="preserve">Просрочена</x:t>
        </x:is>
      </x:c>
      <x:c r="E478" s="31" t="inlineStr">
        <x:is>
          <x:t xml:space="preserve">Высокий</x:t>
        </x:is>
      </x:c>
      <x:c r="F478" s="31" t="inlineStr">
        <x:is>
          <x:t xml:space="preserve">СОТР-099</x:t>
        </x:is>
      </x:c>
      <x:c r="G478" s="31" t="inlineStr">
        <x:is>
          <x:t xml:space="preserve">Производственное задание</x:t>
        </x:is>
      </x:c>
      <x:c r="H478" s="31" t="inlineStr">
        <x:is>
          <x:t xml:space="preserve">ПЗ-00140</x:t>
        </x:is>
      </x:c>
      <x:c r="I478" s="31" t="inlineStr">
        <x:is>
          <x:t xml:space="preserve">Проверить дефицит материалов</x:t>
        </x:is>
      </x:c>
      <x:c r="J478" s="31" t="inlineStr">
        <x:is>
          <x:t xml:space="preserve">Снабжение</x:t>
        </x:is>
      </x:c>
      <x:c r="K478" s="31" t="n">
        <x:v>62</x:v>
      </x:c>
      <x:c r="L478" s="31" t="inlineStr">
        <x:is>
          <x:t xml:space="preserve">Да</x:t>
        </x:is>
      </x:c>
      <x:c r="M478" s="31" t="inlineStr">
        <x:is>
          <x:t xml:space="preserve">Руководитель</x:t>
        </x:is>
      </x:c>
      <x:c r="N478" s="31" t="inlineStr">
        <x:is>
          <x:t xml:space="preserve">Автосоздано правилом/пользователем 3</x:t>
        </x:is>
      </x:c>
    </x:row>
    <x:row r="479">
      <x:c r="A479" s="31" t="inlineStr">
        <x:is>
          <x:t xml:space="preserve">ЗД-00478</x:t>
        </x:is>
      </x:c>
      <x:c r="B479" s="31" t="n">
        <x:v>46116</x:v>
      </x:c>
      <x:c r="C479" s="31" t="n">
        <x:v>46126</x:v>
      </x:c>
      <x:c r="D479" s="31" t="inlineStr">
        <x:is>
          <x:t xml:space="preserve">В работе</x:t>
        </x:is>
      </x:c>
      <x:c r="E479" s="31" t="inlineStr">
        <x:is>
          <x:t xml:space="preserve">Высокий</x:t>
        </x:is>
      </x:c>
      <x:c r="F479" s="31" t="inlineStr">
        <x:is>
          <x:t xml:space="preserve">СОТР-121</x:t>
        </x:is>
      </x:c>
      <x:c r="G479" s="31" t="inlineStr">
        <x:is>
          <x:t xml:space="preserve">Производственное задание</x:t>
        </x:is>
      </x:c>
      <x:c r="H479" s="31" t="inlineStr">
        <x:is>
          <x:t xml:space="preserve">ПЗ-00203</x:t>
        </x:is>
      </x:c>
      <x:c r="I479" s="31" t="inlineStr">
        <x:is>
          <x:t xml:space="preserve">Проверить дефицит материалов</x:t>
        </x:is>
      </x:c>
      <x:c r="J479" s="31" t="inlineStr">
        <x:is>
          <x:t xml:space="preserve">Снабжение</x:t>
        </x:is>
      </x:c>
      <x:c r="K479" s="31" t="n">
        <x:v>0</x:v>
      </x:c>
      <x:c r="L479" s="31" t="inlineStr">
        <x:is>
          <x:t xml:space="preserve">Да</x:t>
        </x:is>
      </x:c>
      <x:c r="M479" s="31" t="inlineStr">
        <x:is>
          <x:t xml:space="preserve">Руководитель</x:t>
        </x:is>
      </x:c>
      <x:c r="N479" s="31" t="inlineStr">
        <x:is>
          <x:t xml:space="preserve">Автосоздано правилом/пользователем 12</x:t>
        </x:is>
      </x:c>
    </x:row>
    <x:row r="480">
      <x:c r="A480" s="31" t="inlineStr">
        <x:is>
          <x:t xml:space="preserve">ЗД-00479</x:t>
        </x:is>
      </x:c>
      <x:c r="B480" s="31" t="n">
        <x:v>46180</x:v>
      </x:c>
      <x:c r="C480" s="31" t="n">
        <x:v>46181</x:v>
      </x:c>
      <x:c r="D480" s="31" t="inlineStr">
        <x:is>
          <x:t xml:space="preserve">Просрочена</x:t>
        </x:is>
      </x:c>
      <x:c r="E480" s="31" t="inlineStr">
        <x:is>
          <x:t xml:space="preserve">Средний</x:t>
        </x:is>
      </x:c>
      <x:c r="F480" s="31" t="inlineStr">
        <x:is>
          <x:t xml:space="preserve">СОТР-097</x:t>
        </x:is>
      </x:c>
      <x:c r="G480" s="31" t="inlineStr">
        <x:is>
          <x:t xml:space="preserve">Производственное задание</x:t>
        </x:is>
      </x:c>
      <x:c r="H480" s="31" t="inlineStr">
        <x:is>
          <x:t xml:space="preserve">ПЗ-00111</x:t>
        </x:is>
      </x:c>
      <x:c r="I480" s="31" t="inlineStr">
        <x:is>
          <x:t xml:space="preserve">Назначить оператора</x:t>
        </x:is>
      </x:c>
      <x:c r="J480" s="31" t="inlineStr">
        <x:is>
          <x:t xml:space="preserve">Производство</x:t>
        </x:is>
      </x:c>
      <x:c r="K480" s="31" t="n">
        <x:v>4</x:v>
      </x:c>
      <x:c r="L480" s="31" t="inlineStr">
        <x:is>
          <x:t xml:space="preserve">Нет</x:t>
        </x:is>
      </x:c>
      <x:c r="M480" s="31" t="inlineStr">
        <x:is>
          <x:t xml:space="preserve">Руководитель</x:t>
        </x:is>
      </x:c>
      <x:c r="N480" s="31" t="inlineStr">
        <x:is>
          <x:t xml:space="preserve">Автосоздано правилом/пользователем 7</x:t>
        </x:is>
      </x:c>
    </x:row>
    <x:row r="481">
      <x:c r="A481" s="31" t="inlineStr">
        <x:is>
          <x:t xml:space="preserve">ЗД-00480</x:t>
        </x:is>
      </x:c>
      <x:c r="B481" s="31" t="n">
        <x:v>46179</x:v>
      </x:c>
      <x:c r="C481" s="31" t="n">
        <x:v>46180</x:v>
      </x:c>
      <x:c r="D481" s="31" t="inlineStr">
        <x:is>
          <x:t xml:space="preserve">Просрочена</x:t>
        </x:is>
      </x:c>
      <x:c r="E481" s="31" t="inlineStr">
        <x:is>
          <x:t xml:space="preserve">Низкий</x:t>
        </x:is>
      </x:c>
      <x:c r="F481" s="31" t="inlineStr">
        <x:is>
          <x:t xml:space="preserve">СОТР-005</x:t>
        </x:is>
      </x:c>
      <x:c r="G481" s="31" t="inlineStr">
        <x:is>
          <x:t xml:space="preserve">Заказ</x:t>
        </x:is>
      </x:c>
      <x:c r="H481" s="31" t="inlineStr">
        <x:is>
          <x:t xml:space="preserve">ЗК-1081</x:t>
        </x:is>
      </x:c>
      <x:c r="I481" s="31" t="inlineStr">
        <x:is>
          <x:t xml:space="preserve">Уточнить ТЗ</x:t>
        </x:is>
      </x:c>
      <x:c r="J481" s="31" t="inlineStr">
        <x:is>
          <x:t xml:space="preserve">Снабжение</x:t>
        </x:is>
      </x:c>
      <x:c r="K481" s="31" t="n">
        <x:v>5</x:v>
      </x:c>
      <x:c r="L481" s="31" t="inlineStr">
        <x:is>
          <x:t xml:space="preserve">Нет</x:t>
        </x:is>
      </x:c>
      <x:c r="M481" s="31" t="inlineStr">
        <x:is>
          <x:t xml:space="preserve">Нет</x:t>
        </x:is>
      </x:c>
      <x:c r="N481" s="31" t="inlineStr">
        <x:is>
          <x:t xml:space="preserve">Автосоздано правилом/пользователем 5</x:t>
        </x:is>
      </x:c>
    </x:row>
    <x:row r="482">
      <x:c r="A482" s="31" t="inlineStr">
        <x:is>
          <x:t xml:space="preserve">ЗД-00481</x:t>
        </x:is>
      </x:c>
      <x:c r="B482" s="31" t="n">
        <x:v>46155</x:v>
      </x:c>
      <x:c r="C482" s="31" t="n">
        <x:v>46162</x:v>
      </x:c>
      <x:c r="D482" s="31" t="inlineStr">
        <x:is>
          <x:t xml:space="preserve">В работе</x:t>
        </x:is>
      </x:c>
      <x:c r="E482" s="31" t="inlineStr">
        <x:is>
          <x:t xml:space="preserve">Срочный</x:t>
        </x:is>
      </x:c>
      <x:c r="F482" s="31" t="inlineStr">
        <x:is>
          <x:t xml:space="preserve">СОТР-076</x:t>
        </x:is>
      </x:c>
      <x:c r="G482" s="31" t="inlineStr">
        <x:is>
          <x:t xml:space="preserve">Счет</x:t>
        </x:is>
      </x:c>
      <x:c r="H482" s="31" t="inlineStr">
        <x:is>
          <x:t xml:space="preserve">СЧ-1106-1</x:t>
        </x:is>
      </x:c>
      <x:c r="I482" s="31" t="inlineStr">
        <x:is>
          <x:t xml:space="preserve">Напомнить об оплате</x:t>
        </x:is>
      </x:c>
      <x:c r="J482" s="31" t="inlineStr">
        <x:is>
          <x:t xml:space="preserve">Производство</x:t>
        </x:is>
      </x:c>
      <x:c r="K482" s="31" t="n">
        <x:v>0</x:v>
      </x:c>
      <x:c r="L482" s="31" t="inlineStr">
        <x:is>
          <x:t xml:space="preserve">Да</x:t>
        </x:is>
      </x:c>
      <x:c r="M482" s="31" t="inlineStr">
        <x:is>
          <x:t xml:space="preserve">Руководитель</x:t>
        </x:is>
      </x:c>
      <x:c r="N482" s="31" t="inlineStr">
        <x:is>
          <x:t xml:space="preserve">Автосоздано правилом/пользователем 11</x:t>
        </x:is>
      </x:c>
    </x:row>
    <x:row r="483">
      <x:c r="A483" s="31" t="inlineStr">
        <x:is>
          <x:t xml:space="preserve">ЗД-00482</x:t>
        </x:is>
      </x:c>
      <x:c r="B483" s="31" t="n">
        <x:v>46157</x:v>
      </x:c>
      <x:c r="C483" s="31" t="n">
        <x:v>46158</x:v>
      </x:c>
      <x:c r="D483" s="31" t="inlineStr">
        <x:is>
          <x:t xml:space="preserve">Выполнена</x:t>
        </x:is>
      </x:c>
      <x:c r="E483" s="31" t="inlineStr">
        <x:is>
          <x:t xml:space="preserve">Срочный</x:t>
        </x:is>
      </x:c>
      <x:c r="F483" s="31" t="inlineStr">
        <x:is>
          <x:t xml:space="preserve">СОТР-093</x:t>
        </x:is>
      </x:c>
      <x:c r="G483" s="31" t="inlineStr">
        <x:is>
          <x:t xml:space="preserve">ОТК</x:t>
        </x:is>
      </x:c>
      <x:c r="H483" s="31" t="inlineStr">
        <x:is>
          <x:t xml:space="preserve">ОТК-00098</x:t>
        </x:is>
      </x:c>
      <x:c r="I483" s="31" t="inlineStr">
        <x:is>
          <x:t xml:space="preserve">Заблокировать отгрузку</x:t>
        </x:is>
      </x:c>
      <x:c r="J483" s="31" t="inlineStr">
        <x:is>
          <x:t xml:space="preserve">Снабжение</x:t>
        </x:is>
      </x:c>
      <x:c r="K483" s="31" t="n">
        <x:v>0</x:v>
      </x:c>
      <x:c r="L483" s="31" t="inlineStr">
        <x:is>
          <x:t xml:space="preserve">Нет</x:t>
        </x:is>
      </x:c>
      <x:c r="M483" s="31" t="inlineStr">
        <x:is>
          <x:t xml:space="preserve">Нет</x:t>
        </x:is>
      </x:c>
      <x:c r="N483" s="31" t="inlineStr">
        <x:is>
          <x:t xml:space="preserve">Автосоздано правилом/пользователем 1</x:t>
        </x:is>
      </x:c>
    </x:row>
    <x:row r="484">
      <x:c r="A484" s="31" t="inlineStr">
        <x:is>
          <x:t xml:space="preserve">ЗД-00483</x:t>
        </x:is>
      </x:c>
      <x:c r="B484" s="31" t="n">
        <x:v>46122</x:v>
      </x:c>
      <x:c r="C484" s="31" t="n">
        <x:v>46136</x:v>
      </x:c>
      <x:c r="D484" s="31" t="inlineStr">
        <x:is>
          <x:t xml:space="preserve">Просрочена</x:t>
        </x:is>
      </x:c>
      <x:c r="E484" s="31" t="inlineStr">
        <x:is>
          <x:t xml:space="preserve">Срочный</x:t>
        </x:is>
      </x:c>
      <x:c r="F484" s="31" t="inlineStr">
        <x:is>
          <x:t xml:space="preserve">СОТР-076</x:t>
        </x:is>
      </x:c>
      <x:c r="G484" s="31" t="inlineStr">
        <x:is>
          <x:t xml:space="preserve">Счет</x:t>
        </x:is>
      </x:c>
      <x:c r="H484" s="31" t="inlineStr">
        <x:is>
          <x:t xml:space="preserve">СЧ-1111-1</x:t>
        </x:is>
      </x:c>
      <x:c r="I484" s="31" t="inlineStr">
        <x:is>
          <x:t xml:space="preserve">Проверить оплату</x:t>
        </x:is>
      </x:c>
      <x:c r="J484" s="31" t="inlineStr">
        <x:is>
          <x:t xml:space="preserve">Продажи</x:t>
        </x:is>
      </x:c>
      <x:c r="K484" s="31" t="n">
        <x:v>49</x:v>
      </x:c>
      <x:c r="L484" s="31" t="inlineStr">
        <x:is>
          <x:t xml:space="preserve">Нет</x:t>
        </x:is>
      </x:c>
      <x:c r="M484" s="31" t="inlineStr">
        <x:is>
          <x:t xml:space="preserve">Нет</x:t>
        </x:is>
      </x:c>
      <x:c r="N484" s="31" t="inlineStr">
        <x:is>
          <x:t xml:space="preserve">Автосоздано правилом/пользователем 12</x:t>
        </x:is>
      </x:c>
    </x:row>
    <x:row r="485">
      <x:c r="A485" s="31" t="inlineStr">
        <x:is>
          <x:t xml:space="preserve">ЗД-00484</x:t>
        </x:is>
      </x:c>
      <x:c r="B485" s="31" t="n">
        <x:v>46161</x:v>
      </x:c>
      <x:c r="C485" s="31" t="n">
        <x:v>46166</x:v>
      </x:c>
      <x:c r="D485" s="31" t="inlineStr">
        <x:is>
          <x:t xml:space="preserve">Новая</x:t>
        </x:is>
      </x:c>
      <x:c r="E485" s="31" t="inlineStr">
        <x:is>
          <x:t xml:space="preserve">Средний</x:t>
        </x:is>
      </x:c>
      <x:c r="F485" s="31" t="inlineStr">
        <x:is>
          <x:t xml:space="preserve">СОТР-026</x:t>
        </x:is>
      </x:c>
      <x:c r="G485" s="31" t="inlineStr">
        <x:is>
          <x:t xml:space="preserve">Закупка</x:t>
        </x:is>
      </x:c>
      <x:c r="H485" s="31" t="inlineStr">
        <x:is>
          <x:t xml:space="preserve">ЗЗ-00028</x:t>
        </x:is>
      </x:c>
      <x:c r="I485" s="31" t="inlineStr">
        <x:is>
          <x:t xml:space="preserve">Проверить альтернативного поставщика</x:t>
        </x:is>
      </x:c>
      <x:c r="J485" s="31" t="inlineStr">
        <x:is>
          <x:t xml:space="preserve">Производство</x:t>
        </x:is>
      </x:c>
      <x:c r="K485" s="31" t="n">
        <x:v>0</x:v>
      </x:c>
      <x:c r="L485" s="31" t="inlineStr">
        <x:is>
          <x:t xml:space="preserve">Нет</x:t>
        </x:is>
      </x:c>
      <x:c r="M485" s="31" t="inlineStr">
        <x:is>
          <x:t xml:space="preserve">Нет</x:t>
        </x:is>
      </x:c>
      <x:c r="N485" s="31" t="inlineStr">
        <x:is>
          <x:t xml:space="preserve">Автосоздано правилом/пользователем 2</x:t>
        </x:is>
      </x:c>
    </x:row>
    <x:row r="486">
      <x:c r="A486" s="31" t="inlineStr">
        <x:is>
          <x:t xml:space="preserve">ЗД-00485</x:t>
        </x:is>
      </x:c>
      <x:c r="B486" s="31" t="n">
        <x:v>46116</x:v>
      </x:c>
      <x:c r="C486" s="31" t="n">
        <x:v>46117</x:v>
      </x:c>
      <x:c r="D486" s="31" t="inlineStr">
        <x:is>
          <x:t xml:space="preserve">Просрочена</x:t>
        </x:is>
      </x:c>
      <x:c r="E486" s="31" t="inlineStr">
        <x:is>
          <x:t xml:space="preserve">Срочный</x:t>
        </x:is>
      </x:c>
      <x:c r="F486" s="31" t="inlineStr">
        <x:is>
          <x:t xml:space="preserve">СОТР-098</x:t>
        </x:is>
      </x:c>
      <x:c r="G486" s="31" t="inlineStr">
        <x:is>
          <x:t xml:space="preserve">ОТК</x:t>
        </x:is>
      </x:c>
      <x:c r="H486" s="31" t="inlineStr">
        <x:is>
          <x:t xml:space="preserve">ОТК-00090</x:t>
        </x:is>
      </x:c>
      <x:c r="I486" s="31" t="inlineStr">
        <x:is>
          <x:t xml:space="preserve">Заблокировать отгрузку</x:t>
        </x:is>
      </x:c>
      <x:c r="J486" s="31" t="inlineStr">
        <x:is>
          <x:t xml:space="preserve">ОТК</x:t>
        </x:is>
      </x:c>
      <x:c r="K486" s="31" t="n">
        <x:v>68</x:v>
      </x:c>
      <x:c r="L486" s="31" t="inlineStr">
        <x:is>
          <x:t xml:space="preserve">Нет</x:t>
        </x:is>
      </x:c>
      <x:c r="M486" s="31" t="inlineStr">
        <x:is>
          <x:t xml:space="preserve">Нет</x:t>
        </x:is>
      </x:c>
      <x:c r="N486" s="31" t="inlineStr">
        <x:is>
          <x:t xml:space="preserve">Автосоздано правилом/пользователем 10</x:t>
        </x:is>
      </x:c>
    </x:row>
    <x:row r="487">
      <x:c r="A487" s="31" t="inlineStr">
        <x:is>
          <x:t xml:space="preserve">ЗД-00486</x:t>
        </x:is>
      </x:c>
      <x:c r="B487" s="31" t="n">
        <x:v>46134</x:v>
      </x:c>
      <x:c r="C487" s="31" t="n">
        <x:v>46144</x:v>
      </x:c>
      <x:c r="D487" s="31" t="inlineStr">
        <x:is>
          <x:t xml:space="preserve">Просрочена</x:t>
        </x:is>
      </x:c>
      <x:c r="E487" s="31" t="inlineStr">
        <x:is>
          <x:t xml:space="preserve">Низкий</x:t>
        </x:is>
      </x:c>
      <x:c r="F487" s="31" t="inlineStr">
        <x:is>
          <x:t xml:space="preserve">СОТР-096</x:t>
        </x:is>
      </x:c>
      <x:c r="G487" s="31" t="inlineStr">
        <x:is>
          <x:t xml:space="preserve">Производственное задание</x:t>
        </x:is>
      </x:c>
      <x:c r="H487" s="31" t="inlineStr">
        <x:is>
          <x:t xml:space="preserve">ПЗ-00102</x:t>
        </x:is>
      </x:c>
      <x:c r="I487" s="31" t="inlineStr">
        <x:is>
          <x:t xml:space="preserve">Разобрать простой</x:t>
        </x:is>
      </x:c>
      <x:c r="J487" s="31" t="inlineStr">
        <x:is>
          <x:t xml:space="preserve">ОТК</x:t>
        </x:is>
      </x:c>
      <x:c r="K487" s="31" t="n">
        <x:v>41</x:v>
      </x:c>
      <x:c r="L487" s="31" t="inlineStr">
        <x:is>
          <x:t xml:space="preserve">Нет</x:t>
        </x:is>
      </x:c>
      <x:c r="M487" s="31" t="inlineStr">
        <x:is>
          <x:t xml:space="preserve">Руководитель</x:t>
        </x:is>
      </x:c>
      <x:c r="N487" s="31" t="inlineStr">
        <x:is>
          <x:t xml:space="preserve">Автосоздано правилом/пользователем 4</x:t>
        </x:is>
      </x:c>
    </x:row>
    <x:row r="488">
      <x:c r="A488" s="31" t="inlineStr">
        <x:is>
          <x:t xml:space="preserve">ЗД-00487</x:t>
        </x:is>
      </x:c>
      <x:c r="B488" s="31" t="n">
        <x:v>46181</x:v>
      </x:c>
      <x:c r="C488" s="31" t="n">
        <x:v>46182</x:v>
      </x:c>
      <x:c r="D488" s="31" t="inlineStr">
        <x:is>
          <x:t xml:space="preserve">Просрочена</x:t>
        </x:is>
      </x:c>
      <x:c r="E488" s="31" t="inlineStr">
        <x:is>
          <x:t xml:space="preserve">Средний</x:t>
        </x:is>
      </x:c>
      <x:c r="F488" s="31" t="inlineStr">
        <x:is>
          <x:t xml:space="preserve">СОТР-057</x:t>
        </x:is>
      </x:c>
      <x:c r="G488" s="31" t="inlineStr">
        <x:is>
          <x:t xml:space="preserve">Производственное задание</x:t>
        </x:is>
      </x:c>
      <x:c r="H488" s="31" t="inlineStr">
        <x:is>
          <x:t xml:space="preserve">ПЗ-00105</x:t>
        </x:is>
      </x:c>
      <x:c r="I488" s="31" t="inlineStr">
        <x:is>
          <x:t xml:space="preserve">Назначить оператора</x:t>
        </x:is>
      </x:c>
      <x:c r="J488" s="31" t="inlineStr">
        <x:is>
          <x:t xml:space="preserve">Производство</x:t>
        </x:is>
      </x:c>
      <x:c r="K488" s="31" t="n">
        <x:v>3</x:v>
      </x:c>
      <x:c r="L488" s="31" t="inlineStr">
        <x:is>
          <x:t xml:space="preserve">Нет</x:t>
        </x:is>
      </x:c>
      <x:c r="M488" s="31" t="inlineStr">
        <x:is>
          <x:t xml:space="preserve">Нет</x:t>
        </x:is>
      </x:c>
      <x:c r="N488" s="31" t="inlineStr">
        <x:is>
          <x:t xml:space="preserve">Автосоздано правилом/пользователем 2</x:t>
        </x:is>
      </x:c>
    </x:row>
    <x:row r="489">
      <x:c r="A489" s="31" t="inlineStr">
        <x:is>
          <x:t xml:space="preserve">ЗД-00488</x:t>
        </x:is>
      </x:c>
      <x:c r="B489" s="31" t="n">
        <x:v>46156</x:v>
      </x:c>
      <x:c r="C489" s="31" t="n">
        <x:v>46157</x:v>
      </x:c>
      <x:c r="D489" s="31" t="inlineStr">
        <x:is>
          <x:t xml:space="preserve">Ожидает ответа</x:t>
        </x:is>
      </x:c>
      <x:c r="E489" s="31" t="inlineStr">
        <x:is>
          <x:t xml:space="preserve">Высокий</x:t>
        </x:is>
      </x:c>
      <x:c r="F489" s="31" t="inlineStr">
        <x:is>
          <x:t xml:space="preserve">СОТР-097</x:t>
        </x:is>
      </x:c>
      <x:c r="G489" s="31" t="inlineStr">
        <x:is>
          <x:t xml:space="preserve">Производственное задание</x:t>
        </x:is>
      </x:c>
      <x:c r="H489" s="31" t="inlineStr">
        <x:is>
          <x:t xml:space="preserve">ПЗ-00059</x:t>
        </x:is>
      </x:c>
      <x:c r="I489" s="31" t="inlineStr">
        <x:is>
          <x:t xml:space="preserve">Проверить дефицит материалов</x:t>
        </x:is>
      </x:c>
      <x:c r="J489" s="31" t="inlineStr">
        <x:is>
          <x:t xml:space="preserve">Снабжение</x:t>
        </x:is>
      </x:c>
      <x:c r="K489" s="31" t="n">
        <x:v>0</x:v>
      </x:c>
      <x:c r="L489" s="31" t="inlineStr">
        <x:is>
          <x:t xml:space="preserve">Нет</x:t>
        </x:is>
      </x:c>
      <x:c r="M489" s="31" t="inlineStr">
        <x:is>
          <x:t xml:space="preserve">Нет</x:t>
        </x:is>
      </x:c>
      <x:c r="N489" s="31" t="inlineStr">
        <x:is>
          <x:t xml:space="preserve">Автосоздано правилом/пользователем 12</x:t>
        </x:is>
      </x:c>
    </x:row>
    <x:row r="490">
      <x:c r="A490" s="31" t="inlineStr">
        <x:is>
          <x:t xml:space="preserve">ЗД-00489</x:t>
        </x:is>
      </x:c>
      <x:c r="B490" s="31" t="n">
        <x:v>46185</x:v>
      </x:c>
      <x:c r="C490" s="31" t="n">
        <x:v>46190</x:v>
      </x:c>
      <x:c r="D490" s="31" t="inlineStr">
        <x:is>
          <x:t xml:space="preserve">Просрочена</x:t>
        </x:is>
      </x:c>
      <x:c r="E490" s="31" t="inlineStr">
        <x:is>
          <x:t xml:space="preserve">Средний</x:t>
        </x:is>
      </x:c>
      <x:c r="F490" s="31" t="inlineStr">
        <x:is>
          <x:t xml:space="preserve">СОТР-098</x:t>
        </x:is>
      </x:c>
      <x:c r="G490" s="31" t="inlineStr">
        <x:is>
          <x:t xml:space="preserve">ОТК</x:t>
        </x:is>
      </x:c>
      <x:c r="H490" s="31" t="inlineStr">
        <x:is>
          <x:t xml:space="preserve">ОТК-00019</x:t>
        </x:is>
      </x:c>
      <x:c r="I490" s="31" t="inlineStr">
        <x:is>
          <x:t xml:space="preserve">Согласовать приемку с замечаниями</x:t>
        </x:is>
      </x:c>
      <x:c r="J490" s="31" t="inlineStr">
        <x:is>
          <x:t xml:space="preserve">Снабжение</x:t>
        </x:is>
      </x:c>
      <x:c r="K490" s="31" t="n">
        <x:v>-5</x:v>
      </x:c>
      <x:c r="L490" s="31" t="inlineStr">
        <x:is>
          <x:t xml:space="preserve">Нет</x:t>
        </x:is>
      </x:c>
      <x:c r="M490" s="31" t="inlineStr">
        <x:is>
          <x:t xml:space="preserve">Нет</x:t>
        </x:is>
      </x:c>
      <x:c r="N490" s="31" t="inlineStr">
        <x:is>
          <x:t xml:space="preserve">Автосоздано правилом/пользователем 6</x:t>
        </x:is>
      </x:c>
    </x:row>
    <x:row r="491">
      <x:c r="A491" s="31" t="inlineStr">
        <x:is>
          <x:t xml:space="preserve">ЗД-00490</x:t>
        </x:is>
      </x:c>
      <x:c r="B491" s="31" t="n">
        <x:v>46173</x:v>
      </x:c>
      <x:c r="C491" s="31" t="n">
        <x:v>46174</x:v>
      </x:c>
      <x:c r="D491" s="31" t="inlineStr">
        <x:is>
          <x:t xml:space="preserve">Выполнена</x:t>
        </x:is>
      </x:c>
      <x:c r="E491" s="31" t="inlineStr">
        <x:is>
          <x:t xml:space="preserve">Высокий</x:t>
        </x:is>
      </x:c>
      <x:c r="F491" s="31" t="inlineStr">
        <x:is>
          <x:t xml:space="preserve">СОТР-099</x:t>
        </x:is>
      </x:c>
      <x:c r="G491" s="31" t="inlineStr">
        <x:is>
          <x:t xml:space="preserve">Производственное задание</x:t>
        </x:is>
      </x:c>
      <x:c r="H491" s="31" t="inlineStr">
        <x:is>
          <x:t xml:space="preserve">ПЗ-00264</x:t>
        </x:is>
      </x:c>
      <x:c r="I491" s="31" t="inlineStr">
        <x:is>
          <x:t xml:space="preserve">Проверить дефицит материалов</x:t>
        </x:is>
      </x:c>
      <x:c r="J491" s="31" t="inlineStr">
        <x:is>
          <x:t xml:space="preserve">Снабжение</x:t>
        </x:is>
      </x:c>
      <x:c r="K491" s="31" t="n">
        <x:v>0</x:v>
      </x:c>
      <x:c r="L491" s="31" t="inlineStr">
        <x:is>
          <x:t xml:space="preserve">Да</x:t>
        </x:is>
      </x:c>
      <x:c r="M491" s="31" t="inlineStr">
        <x:is>
          <x:t xml:space="preserve">Нет</x:t>
        </x:is>
      </x:c>
      <x:c r="N491" s="31" t="inlineStr">
        <x:is>
          <x:t xml:space="preserve">Автосоздано правилом/пользователем 1</x:t>
        </x:is>
      </x:c>
    </x:row>
    <x:row r="492">
      <x:c r="A492" s="31" t="inlineStr">
        <x:is>
          <x:t xml:space="preserve">ЗД-00491</x:t>
        </x:is>
      </x:c>
      <x:c r="B492" s="31" t="n">
        <x:v>46130</x:v>
      </x:c>
      <x:c r="C492" s="31" t="n">
        <x:v>46133</x:v>
      </x:c>
      <x:c r="D492" s="31" t="inlineStr">
        <x:is>
          <x:t xml:space="preserve">В работе</x:t>
        </x:is>
      </x:c>
      <x:c r="E492" s="31" t="inlineStr">
        <x:is>
          <x:t xml:space="preserve">Средний</x:t>
        </x:is>
      </x:c>
      <x:c r="F492" s="31" t="inlineStr">
        <x:is>
          <x:t xml:space="preserve">СОТР-076</x:t>
        </x:is>
      </x:c>
      <x:c r="G492" s="31" t="inlineStr">
        <x:is>
          <x:t xml:space="preserve">Счет</x:t>
        </x:is>
      </x:c>
      <x:c r="H492" s="31" t="inlineStr">
        <x:is>
          <x:t xml:space="preserve">СЧ-1090-1</x:t>
        </x:is>
      </x:c>
      <x:c r="I492" s="31" t="inlineStr">
        <x:is>
          <x:t xml:space="preserve">Подготовить акт сверки</x:t>
        </x:is>
      </x:c>
      <x:c r="J492" s="31" t="inlineStr">
        <x:is>
          <x:t xml:space="preserve">Производство</x:t>
        </x:is>
      </x:c>
      <x:c r="K492" s="31" t="n">
        <x:v>0</x:v>
      </x:c>
      <x:c r="L492" s="31" t="inlineStr">
        <x:is>
          <x:t xml:space="preserve">Нет</x:t>
        </x:is>
      </x:c>
      <x:c r="M492" s="31" t="inlineStr">
        <x:is>
          <x:t xml:space="preserve">Нет</x:t>
        </x:is>
      </x:c>
      <x:c r="N492" s="31" t="inlineStr">
        <x:is>
          <x:t xml:space="preserve">Автосоздано правилом/пользователем 4</x:t>
        </x:is>
      </x:c>
    </x:row>
    <x:row r="493">
      <x:c r="A493" s="31" t="inlineStr">
        <x:is>
          <x:t xml:space="preserve">ЗД-00492</x:t>
        </x:is>
      </x:c>
      <x:c r="B493" s="31" t="n">
        <x:v>46168</x:v>
      </x:c>
      <x:c r="C493" s="31" t="n">
        <x:v>46175</x:v>
      </x:c>
      <x:c r="D493" s="31" t="inlineStr">
        <x:is>
          <x:t xml:space="preserve">Просрочена</x:t>
        </x:is>
      </x:c>
      <x:c r="E493" s="31" t="inlineStr">
        <x:is>
          <x:t xml:space="preserve">Средний</x:t>
        </x:is>
      </x:c>
      <x:c r="F493" s="31" t="inlineStr">
        <x:is>
          <x:t xml:space="preserve">СОТР-071</x:t>
        </x:is>
      </x:c>
      <x:c r="G493" s="31" t="inlineStr">
        <x:is>
          <x:t xml:space="preserve">Заказ</x:t>
        </x:is>
      </x:c>
      <x:c r="H493" s="31" t="inlineStr">
        <x:is>
          <x:t xml:space="preserve">ЗК-1116</x:t>
        </x:is>
      </x:c>
      <x:c r="I493" s="31" t="inlineStr">
        <x:is>
          <x:t xml:space="preserve">Подписать спецификацию</x:t>
        </x:is>
      </x:c>
      <x:c r="J493" s="31" t="inlineStr">
        <x:is>
          <x:t xml:space="preserve">Финансы</x:t>
        </x:is>
      </x:c>
      <x:c r="K493" s="31" t="n">
        <x:v>10</x:v>
      </x:c>
      <x:c r="L493" s="31" t="inlineStr">
        <x:is>
          <x:t xml:space="preserve">Да</x:t>
        </x:is>
      </x:c>
      <x:c r="M493" s="31" t="inlineStr">
        <x:is>
          <x:t xml:space="preserve">Нет</x:t>
        </x:is>
      </x:c>
      <x:c r="N493" s="31" t="inlineStr">
        <x:is>
          <x:t xml:space="preserve">Автосоздано правилом/пользователем 11</x:t>
        </x:is>
      </x:c>
    </x:row>
    <x:row r="494">
      <x:c r="A494" s="31" t="inlineStr">
        <x:is>
          <x:t xml:space="preserve">ЗД-00493</x:t>
        </x:is>
      </x:c>
      <x:c r="B494" s="31" t="n">
        <x:v>46158</x:v>
      </x:c>
      <x:c r="C494" s="31" t="n">
        <x:v>46161</x:v>
      </x:c>
      <x:c r="D494" s="31" t="inlineStr">
        <x:is>
          <x:t xml:space="preserve">Выполнена</x:t>
        </x:is>
      </x:c>
      <x:c r="E494" s="31" t="inlineStr">
        <x:is>
          <x:t xml:space="preserve">Средний</x:t>
        </x:is>
      </x:c>
      <x:c r="F494" s="31" t="inlineStr">
        <x:is>
          <x:t xml:space="preserve">СОТР-076</x:t>
        </x:is>
      </x:c>
      <x:c r="G494" s="31" t="inlineStr">
        <x:is>
          <x:t xml:space="preserve">Счет</x:t>
        </x:is>
      </x:c>
      <x:c r="H494" s="31" t="inlineStr">
        <x:is>
          <x:t xml:space="preserve">СЧ-1009-1</x:t>
        </x:is>
      </x:c>
      <x:c r="I494" s="31" t="inlineStr">
        <x:is>
          <x:t xml:space="preserve">Подготовить акт сверки</x:t>
        </x:is>
      </x:c>
      <x:c r="J494" s="31" t="inlineStr">
        <x:is>
          <x:t xml:space="preserve">Сервис</x:t>
        </x:is>
      </x:c>
      <x:c r="K494" s="31" t="n">
        <x:v>0</x:v>
      </x:c>
      <x:c r="L494" s="31" t="inlineStr">
        <x:is>
          <x:t xml:space="preserve">Нет</x:t>
        </x:is>
      </x:c>
      <x:c r="M494" s="31" t="inlineStr">
        <x:is>
          <x:t xml:space="preserve">Нет</x:t>
        </x:is>
      </x:c>
      <x:c r="N494" s="31" t="inlineStr">
        <x:is>
          <x:t xml:space="preserve">Автосоздано правилом/пользователем 1</x:t>
        </x:is>
      </x:c>
    </x:row>
    <x:row r="495">
      <x:c r="A495" s="31" t="inlineStr">
        <x:is>
          <x:t xml:space="preserve">ЗД-00494</x:t>
        </x:is>
      </x:c>
      <x:c r="B495" s="31" t="n">
        <x:v>46113</x:v>
      </x:c>
      <x:c r="C495" s="31" t="n">
        <x:v>46127</x:v>
      </x:c>
      <x:c r="D495" s="31" t="inlineStr">
        <x:is>
          <x:t xml:space="preserve">Просрочена</x:t>
        </x:is>
      </x:c>
      <x:c r="E495" s="31" t="inlineStr">
        <x:is>
          <x:t xml:space="preserve">Высокий</x:t>
        </x:is>
      </x:c>
      <x:c r="F495" s="31" t="inlineStr">
        <x:is>
          <x:t xml:space="preserve">СОТР-099</x:t>
        </x:is>
      </x:c>
      <x:c r="G495" s="31" t="inlineStr">
        <x:is>
          <x:t xml:space="preserve">Счет</x:t>
        </x:is>
      </x:c>
      <x:c r="H495" s="31" t="inlineStr">
        <x:is>
          <x:t xml:space="preserve">СЧ-1031-2</x:t>
        </x:is>
      </x:c>
      <x:c r="I495" s="31" t="inlineStr">
        <x:is>
          <x:t xml:space="preserve">Проверить оплату</x:t>
        </x:is>
      </x:c>
      <x:c r="J495" s="31" t="inlineStr">
        <x:is>
          <x:t xml:space="preserve">Продажи</x:t>
        </x:is>
      </x:c>
      <x:c r="K495" s="31" t="n">
        <x:v>58</x:v>
      </x:c>
      <x:c r="L495" s="31" t="inlineStr">
        <x:is>
          <x:t xml:space="preserve">Да</x:t>
        </x:is>
      </x:c>
      <x:c r="M495" s="31" t="inlineStr">
        <x:is>
          <x:t xml:space="preserve">Заказчик</x:t>
        </x:is>
      </x:c>
      <x:c r="N495" s="31" t="inlineStr">
        <x:is>
          <x:t xml:space="preserve">Автосоздано правилом/пользователем 9</x:t>
        </x:is>
      </x:c>
    </x:row>
    <x:row r="496">
      <x:c r="A496" s="31" t="inlineStr">
        <x:is>
          <x:t xml:space="preserve">ЗД-00495</x:t>
        </x:is>
      </x:c>
      <x:c r="B496" s="31" t="n">
        <x:v>46115</x:v>
      </x:c>
      <x:c r="C496" s="31" t="n">
        <x:v>46129</x:v>
      </x:c>
      <x:c r="D496" s="31" t="inlineStr">
        <x:is>
          <x:t xml:space="preserve">Просрочена</x:t>
        </x:is>
      </x:c>
      <x:c r="E496" s="31" t="inlineStr">
        <x:is>
          <x:t xml:space="preserve">Срочный</x:t>
        </x:is>
      </x:c>
      <x:c r="F496" s="31" t="inlineStr">
        <x:is>
          <x:t xml:space="preserve">СОТР-003</x:t>
        </x:is>
      </x:c>
      <x:c r="G496" s="31" t="inlineStr">
        <x:is>
          <x:t xml:space="preserve">Заказ</x:t>
        </x:is>
      </x:c>
      <x:c r="H496" s="31" t="inlineStr">
        <x:is>
          <x:t xml:space="preserve">ЗК-1061</x:t>
        </x:is>
      </x:c>
      <x:c r="I496" s="31" t="inlineStr">
        <x:is>
          <x:t xml:space="preserve">Согласовать скидку</x:t>
        </x:is>
      </x:c>
      <x:c r="J496" s="31" t="inlineStr">
        <x:is>
          <x:t xml:space="preserve">Производство</x:t>
        </x:is>
      </x:c>
      <x:c r="K496" s="31" t="n">
        <x:v>56</x:v>
      </x:c>
      <x:c r="L496" s="31" t="inlineStr">
        <x:is>
          <x:t xml:space="preserve">Нет</x:t>
        </x:is>
      </x:c>
      <x:c r="M496" s="31" t="inlineStr">
        <x:is>
          <x:t xml:space="preserve">Нет</x:t>
        </x:is>
      </x:c>
      <x:c r="N496" s="31" t="inlineStr">
        <x:is>
          <x:t xml:space="preserve">Автосоздано правилом/пользователем 1</x:t>
        </x:is>
      </x:c>
    </x:row>
    <x:row r="497">
      <x:c r="A497" s="31" t="inlineStr">
        <x:is>
          <x:t xml:space="preserve">ЗД-00496</x:t>
        </x:is>
      </x:c>
      <x:c r="B497" s="31" t="n">
        <x:v>46156</x:v>
      </x:c>
      <x:c r="C497" s="31" t="n">
        <x:v>46159</x:v>
      </x:c>
      <x:c r="D497" s="31" t="inlineStr">
        <x:is>
          <x:t xml:space="preserve">Отменена</x:t>
        </x:is>
      </x:c>
      <x:c r="E497" s="31" t="inlineStr">
        <x:is>
          <x:t xml:space="preserve">Срочный</x:t>
        </x:is>
      </x:c>
      <x:c r="F497" s="31" t="inlineStr">
        <x:is>
          <x:t xml:space="preserve">СОТР-076</x:t>
        </x:is>
      </x:c>
      <x:c r="G497" s="31" t="inlineStr">
        <x:is>
          <x:t xml:space="preserve">Счет</x:t>
        </x:is>
      </x:c>
      <x:c r="H497" s="31" t="inlineStr">
        <x:is>
          <x:t xml:space="preserve">СЧ-1113-1</x:t>
        </x:is>
      </x:c>
      <x:c r="I497" s="31" t="inlineStr">
        <x:is>
          <x:t xml:space="preserve">Проверить оплату</x:t>
        </x:is>
      </x:c>
      <x:c r="J497" s="31" t="inlineStr">
        <x:is>
          <x:t xml:space="preserve">Сервис</x:t>
        </x:is>
      </x:c>
      <x:c r="K497" s="31" t="n">
        <x:v>0</x:v>
      </x:c>
      <x:c r="L497" s="31" t="inlineStr">
        <x:is>
          <x:t xml:space="preserve">Нет</x:t>
        </x:is>
      </x:c>
      <x:c r="M497" s="31" t="inlineStr">
        <x:is>
          <x:t xml:space="preserve">Заказчик</x:t>
        </x:is>
      </x:c>
      <x:c r="N497" s="31" t="inlineStr">
        <x:is>
          <x:t xml:space="preserve">Автосоздано правилом/пользователем 3</x:t>
        </x:is>
      </x:c>
    </x:row>
    <x:row r="498">
      <x:c r="A498" s="31" t="inlineStr">
        <x:is>
          <x:t xml:space="preserve">ЗД-00497</x:t>
        </x:is>
      </x:c>
      <x:c r="B498" s="31" t="n">
        <x:v>46165</x:v>
      </x:c>
      <x:c r="C498" s="31" t="n">
        <x:v>46170</x:v>
      </x:c>
      <x:c r="D498" s="31" t="inlineStr">
        <x:is>
          <x:t xml:space="preserve">Выполнена</x:t>
        </x:is>
      </x:c>
      <x:c r="E498" s="31" t="inlineStr">
        <x:is>
          <x:t xml:space="preserve">Высокий</x:t>
        </x:is>
      </x:c>
      <x:c r="F498" s="31" t="inlineStr">
        <x:is>
          <x:t xml:space="preserve">СОТР-076</x:t>
        </x:is>
      </x:c>
      <x:c r="G498" s="31" t="inlineStr">
        <x:is>
          <x:t xml:space="preserve">Счет</x:t>
        </x:is>
      </x:c>
      <x:c r="H498" s="31" t="inlineStr">
        <x:is>
          <x:t xml:space="preserve">СЧ-1054-1</x:t>
        </x:is>
      </x:c>
      <x:c r="I498" s="31" t="inlineStr">
        <x:is>
          <x:t xml:space="preserve">Подготовить акт сверки</x:t>
        </x:is>
      </x:c>
      <x:c r="J498" s="31" t="inlineStr">
        <x:is>
          <x:t xml:space="preserve">Снабжение</x:t>
        </x:is>
      </x:c>
      <x:c r="K498" s="31" t="n">
        <x:v>0</x:v>
      </x:c>
      <x:c r="L498" s="31" t="inlineStr">
        <x:is>
          <x:t xml:space="preserve">Да</x:t>
        </x:is>
      </x:c>
      <x:c r="M498" s="31" t="inlineStr">
        <x:is>
          <x:t xml:space="preserve">Нет</x:t>
        </x:is>
      </x:c>
      <x:c r="N498" s="31" t="inlineStr">
        <x:is>
          <x:t xml:space="preserve">Автосоздано правилом/пользователем 10</x:t>
        </x:is>
      </x:c>
    </x:row>
    <x:row r="499">
      <x:c r="A499" s="31" t="inlineStr">
        <x:is>
          <x:t xml:space="preserve">ЗД-00498</x:t>
        </x:is>
      </x:c>
      <x:c r="B499" s="31" t="n">
        <x:v>46161</x:v>
      </x:c>
      <x:c r="C499" s="31" t="n">
        <x:v>46163</x:v>
      </x:c>
      <x:c r="D499" s="31" t="inlineStr">
        <x:is>
          <x:t xml:space="preserve">Выполнена</x:t>
        </x:is>
      </x:c>
      <x:c r="E499" s="31" t="inlineStr">
        <x:is>
          <x:t xml:space="preserve">Средний</x:t>
        </x:is>
      </x:c>
      <x:c r="F499" s="31" t="inlineStr">
        <x:is>
          <x:t xml:space="preserve">СОТР-093</x:t>
        </x:is>
      </x:c>
      <x:c r="G499" s="31" t="inlineStr">
        <x:is>
          <x:t xml:space="preserve">ОТК</x:t>
        </x:is>
      </x:c>
      <x:c r="H499" s="31" t="inlineStr">
        <x:is>
          <x:t xml:space="preserve">ОТК-00109</x:t>
        </x:is>
      </x:c>
      <x:c r="I499" s="31" t="inlineStr">
        <x:is>
          <x:t xml:space="preserve">Оформить корректирующие действия</x:t>
        </x:is>
      </x:c>
      <x:c r="J499" s="31" t="inlineStr">
        <x:is>
          <x:t xml:space="preserve">Производство</x:t>
        </x:is>
      </x:c>
      <x:c r="K499" s="31" t="n">
        <x:v>0</x:v>
      </x:c>
      <x:c r="L499" s="31" t="inlineStr">
        <x:is>
          <x:t xml:space="preserve">Нет</x:t>
        </x:is>
      </x:c>
      <x:c r="M499" s="31" t="inlineStr">
        <x:is>
          <x:t xml:space="preserve">Поставщик</x:t>
        </x:is>
      </x:c>
      <x:c r="N499" s="31" t="inlineStr">
        <x:is>
          <x:t xml:space="preserve">Автосоздано правилом/пользователем 8</x:t>
        </x:is>
      </x:c>
    </x:row>
    <x:row r="500">
      <x:c r="A500" s="31" t="inlineStr">
        <x:is>
          <x:t xml:space="preserve">ЗД-00499</x:t>
        </x:is>
      </x:c>
      <x:c r="B500" s="31" t="n">
        <x:v>46170</x:v>
      </x:c>
      <x:c r="C500" s="31" t="n">
        <x:v>46171</x:v>
      </x:c>
      <x:c r="D500" s="31" t="inlineStr">
        <x:is>
          <x:t xml:space="preserve">Просрочена</x:t>
        </x:is>
      </x:c>
      <x:c r="E500" s="31" t="inlineStr">
        <x:is>
          <x:t xml:space="preserve">Низкий</x:t>
        </x:is>
      </x:c>
      <x:c r="F500" s="31" t="inlineStr">
        <x:is>
          <x:t xml:space="preserve">СОТР-076</x:t>
        </x:is>
      </x:c>
      <x:c r="G500" s="31" t="inlineStr">
        <x:is>
          <x:t xml:space="preserve">Счет</x:t>
        </x:is>
      </x:c>
      <x:c r="H500" s="31" t="inlineStr">
        <x:is>
          <x:t xml:space="preserve">СЧ-1063-2</x:t>
        </x:is>
      </x:c>
      <x:c r="I500" s="31" t="inlineStr">
        <x:is>
          <x:t xml:space="preserve">Подготовить акт сверки</x:t>
        </x:is>
      </x:c>
      <x:c r="J500" s="31" t="inlineStr">
        <x:is>
          <x:t xml:space="preserve">ОТК</x:t>
        </x:is>
      </x:c>
      <x:c r="K500" s="31" t="n">
        <x:v>14</x:v>
      </x:c>
      <x:c r="L500" s="31" t="inlineStr">
        <x:is>
          <x:t xml:space="preserve">Нет</x:t>
        </x:is>
      </x:c>
      <x:c r="M500" s="31" t="inlineStr">
        <x:is>
          <x:t xml:space="preserve">Нет</x:t>
        </x:is>
      </x:c>
      <x:c r="N500" s="31" t="inlineStr">
        <x:is>
          <x:t xml:space="preserve">Автосоздано правилом/пользователем 6</x:t>
        </x:is>
      </x:c>
    </x:row>
    <x:row r="501">
      <x:c r="A501" s="31" t="inlineStr">
        <x:is>
          <x:t xml:space="preserve">ЗД-00500</x:t>
        </x:is>
      </x:c>
      <x:c r="B501" s="31" t="n">
        <x:v>46172</x:v>
      </x:c>
      <x:c r="C501" s="31" t="n">
        <x:v>46177</x:v>
      </x:c>
      <x:c r="D501" s="31" t="inlineStr">
        <x:is>
          <x:t xml:space="preserve">Просрочена</x:t>
        </x:is>
      </x:c>
      <x:c r="E501" s="31" t="inlineStr">
        <x:is>
          <x:t xml:space="preserve">Средний</x:t>
        </x:is>
      </x:c>
      <x:c r="F501" s="31" t="inlineStr">
        <x:is>
          <x:t xml:space="preserve">СОТР-025</x:t>
        </x:is>
      </x:c>
      <x:c r="G501" s="31" t="inlineStr">
        <x:is>
          <x:t xml:space="preserve">Счет</x:t>
        </x:is>
      </x:c>
      <x:c r="H501" s="31" t="inlineStr">
        <x:is>
          <x:t xml:space="preserve">СЧ-1066-1</x:t>
        </x:is>
      </x:c>
      <x:c r="I501" s="31" t="inlineStr">
        <x:is>
          <x:t xml:space="preserve">Напомнить об оплате</x:t>
        </x:is>
      </x:c>
      <x:c r="J501" s="31" t="inlineStr">
        <x:is>
          <x:t xml:space="preserve">Продажи</x:t>
        </x:is>
      </x:c>
      <x:c r="K501" s="31" t="n">
        <x:v>8</x:v>
      </x:c>
      <x:c r="L501" s="31" t="inlineStr">
        <x:is>
          <x:t xml:space="preserve">Да</x:t>
        </x:is>
      </x:c>
      <x:c r="M501" s="31" t="inlineStr">
        <x:is>
          <x:t xml:space="preserve">Нет</x:t>
        </x:is>
      </x:c>
      <x:c r="N501" s="31" t="inlineStr">
        <x:is>
          <x:t xml:space="preserve">Автосоздано правилом/пользователем 2</x:t>
        </x:is>
      </x:c>
    </x:row>
    <x:row r="502">
      <x:c r="A502" s="31" t="inlineStr">
        <x:is>
          <x:t xml:space="preserve">ЗД-00501</x:t>
        </x:is>
      </x:c>
      <x:c r="B502" s="31" t="n">
        <x:v>46164</x:v>
      </x:c>
      <x:c r="C502" s="31" t="n">
        <x:v>46174</x:v>
      </x:c>
      <x:c r="D502" s="31" t="inlineStr">
        <x:is>
          <x:t xml:space="preserve">Новая</x:t>
        </x:is>
      </x:c>
      <x:c r="E502" s="31" t="inlineStr">
        <x:is>
          <x:t xml:space="preserve">Средний</x:t>
        </x:is>
      </x:c>
      <x:c r="F502" s="31" t="inlineStr">
        <x:is>
          <x:t xml:space="preserve">СОТР-099</x:t>
        </x:is>
      </x:c>
      <x:c r="G502" s="31" t="inlineStr">
        <x:is>
          <x:t xml:space="preserve">Производственное задание</x:t>
        </x:is>
      </x:c>
      <x:c r="H502" s="31" t="inlineStr">
        <x:is>
          <x:t xml:space="preserve">ПЗ-00104</x:t>
        </x:is>
      </x:c>
      <x:c r="I502" s="31" t="inlineStr">
        <x:is>
          <x:t xml:space="preserve">Назначить оператора</x:t>
        </x:is>
      </x:c>
      <x:c r="J502" s="31" t="inlineStr">
        <x:is>
          <x:t xml:space="preserve">Сервис</x:t>
        </x:is>
      </x:c>
      <x:c r="K502" s="31" t="n">
        <x:v>0</x:v>
      </x:c>
      <x:c r="L502" s="31" t="inlineStr">
        <x:is>
          <x:t xml:space="preserve">Да</x:t>
        </x:is>
      </x:c>
      <x:c r="M502" s="31" t="inlineStr">
        <x:is>
          <x:t xml:space="preserve">Нет</x:t>
        </x:is>
      </x:c>
      <x:c r="N502" s="31" t="inlineStr">
        <x:is>
          <x:t xml:space="preserve">Автосоздано правилом/пользователем 4</x:t>
        </x:is>
      </x:c>
    </x:row>
    <x:row r="503">
      <x:c r="A503" s="31" t="inlineStr">
        <x:is>
          <x:t xml:space="preserve">ЗД-00502</x:t>
        </x:is>
      </x:c>
      <x:c r="B503" s="31" t="n">
        <x:v>46165</x:v>
      </x:c>
      <x:c r="C503" s="31" t="n">
        <x:v>46166</x:v>
      </x:c>
      <x:c r="D503" s="31" t="inlineStr">
        <x:is>
          <x:t xml:space="preserve">В работе</x:t>
        </x:is>
      </x:c>
      <x:c r="E503" s="31" t="inlineStr">
        <x:is>
          <x:t xml:space="preserve">Высокий</x:t>
        </x:is>
      </x:c>
      <x:c r="F503" s="31" t="inlineStr">
        <x:is>
          <x:t xml:space="preserve">СОТР-113</x:t>
        </x:is>
      </x:c>
      <x:c r="G503" s="31" t="inlineStr">
        <x:is>
          <x:t xml:space="preserve">Рекламация</x:t>
        </x:is>
      </x:c>
      <x:c r="H503" s="31" t="inlineStr">
        <x:is>
          <x:t xml:space="preserve">РЕК-00013</x:t>
        </x:is>
      </x:c>
      <x:c r="I503" s="31" t="inlineStr">
        <x:is>
          <x:t xml:space="preserve">Провести диагностику</x:t>
        </x:is>
      </x:c>
      <x:c r="J503" s="31" t="inlineStr">
        <x:is>
          <x:t xml:space="preserve">Снабжение</x:t>
        </x:is>
      </x:c>
      <x:c r="K503" s="31" t="n">
        <x:v>0</x:v>
      </x:c>
      <x:c r="L503" s="31" t="inlineStr">
        <x:is>
          <x:t xml:space="preserve">Нет</x:t>
        </x:is>
      </x:c>
      <x:c r="M503" s="31" t="inlineStr">
        <x:is>
          <x:t xml:space="preserve">Нет</x:t>
        </x:is>
      </x:c>
      <x:c r="N503" s="31" t="inlineStr">
        <x:is>
          <x:t xml:space="preserve">Автосоздано правилом/пользователем 3</x:t>
        </x:is>
      </x:c>
    </x:row>
    <x:row r="504">
      <x:c r="A504" s="31" t="inlineStr">
        <x:is>
          <x:t xml:space="preserve">ЗД-00503</x:t>
        </x:is>
      </x:c>
      <x:c r="B504" s="31" t="n">
        <x:v>46128</x:v>
      </x:c>
      <x:c r="C504" s="31" t="n">
        <x:v>46138</x:v>
      </x:c>
      <x:c r="D504" s="31" t="inlineStr">
        <x:is>
          <x:t xml:space="preserve">Просрочена</x:t>
        </x:is>
      </x:c>
      <x:c r="E504" s="31" t="inlineStr">
        <x:is>
          <x:t xml:space="preserve">Средний</x:t>
        </x:is>
      </x:c>
      <x:c r="F504" s="31" t="inlineStr">
        <x:is>
          <x:t xml:space="preserve">СОТР-096</x:t>
        </x:is>
      </x:c>
      <x:c r="G504" s="31" t="inlineStr">
        <x:is>
          <x:t xml:space="preserve">Производственное задание</x:t>
        </x:is>
      </x:c>
      <x:c r="H504" s="31" t="inlineStr">
        <x:is>
          <x:t xml:space="preserve">ПЗ-00143</x:t>
        </x:is>
      </x:c>
      <x:c r="I504" s="31" t="inlineStr">
        <x:is>
          <x:t xml:space="preserve">Обновить готовность</x:t>
        </x:is>
      </x:c>
      <x:c r="J504" s="31" t="inlineStr">
        <x:is>
          <x:t xml:space="preserve">Финансы</x:t>
        </x:is>
      </x:c>
      <x:c r="K504" s="31" t="n">
        <x:v>47</x:v>
      </x:c>
      <x:c r="L504" s="31" t="inlineStr">
        <x:is>
          <x:t xml:space="preserve">Нет</x:t>
        </x:is>
      </x:c>
      <x:c r="M504" s="31" t="inlineStr">
        <x:is>
          <x:t xml:space="preserve">Поставщик</x:t>
        </x:is>
      </x:c>
      <x:c r="N504" s="31" t="inlineStr">
        <x:is>
          <x:t xml:space="preserve">Автосоздано правилом/пользователем 7</x:t>
        </x:is>
      </x:c>
    </x:row>
    <x:row r="505">
      <x:c r="A505" s="31" t="inlineStr">
        <x:is>
          <x:t xml:space="preserve">ЗД-00504</x:t>
        </x:is>
      </x:c>
      <x:c r="B505" s="31" t="n">
        <x:v>46173</x:v>
      </x:c>
      <x:c r="C505" s="31" t="n">
        <x:v>46176</x:v>
      </x:c>
      <x:c r="D505" s="31" t="inlineStr">
        <x:is>
          <x:t xml:space="preserve">Выполнена</x:t>
        </x:is>
      </x:c>
      <x:c r="E505" s="31" t="inlineStr">
        <x:is>
          <x:t xml:space="preserve">Средний</x:t>
        </x:is>
      </x:c>
      <x:c r="F505" s="31" t="inlineStr">
        <x:is>
          <x:t xml:space="preserve">СОТР-023</x:t>
        </x:is>
      </x:c>
      <x:c r="G505" s="31" t="inlineStr">
        <x:is>
          <x:t xml:space="preserve">Закупка</x:t>
        </x:is>
      </x:c>
      <x:c r="H505" s="31" t="inlineStr">
        <x:is>
          <x:t xml:space="preserve">ЗЗ-00038</x:t>
        </x:is>
      </x:c>
      <x:c r="I505" s="31" t="inlineStr">
        <x:is>
          <x:t xml:space="preserve">Согласовать закупку</x:t>
        </x:is>
      </x:c>
      <x:c r="J505" s="31" t="inlineStr">
        <x:is>
          <x:t xml:space="preserve">Продажи</x:t>
        </x:is>
      </x:c>
      <x:c r="K505" s="31" t="n">
        <x:v>0</x:v>
      </x:c>
      <x:c r="L505" s="31" t="inlineStr">
        <x:is>
          <x:t xml:space="preserve">Нет</x:t>
        </x:is>
      </x:c>
      <x:c r="M505" s="31" t="inlineStr">
        <x:is>
          <x:t xml:space="preserve">Нет</x:t>
        </x:is>
      </x:c>
      <x:c r="N505" s="31" t="inlineStr">
        <x:is>
          <x:t xml:space="preserve">Автосоздано правилом/пользователем 8</x:t>
        </x:is>
      </x:c>
    </x:row>
    <x:row r="506">
      <x:c r="A506" s="31" t="inlineStr">
        <x:is>
          <x:t xml:space="preserve">ЗД-00505</x:t>
        </x:is>
      </x:c>
      <x:c r="B506" s="31" t="n">
        <x:v>46180</x:v>
      </x:c>
      <x:c r="C506" s="31" t="n">
        <x:v>46190</x:v>
      </x:c>
      <x:c r="D506" s="31" t="inlineStr">
        <x:is>
          <x:t xml:space="preserve">Выполнена</x:t>
        </x:is>
      </x:c>
      <x:c r="E506" s="31" t="inlineStr">
        <x:is>
          <x:t xml:space="preserve">Низкий</x:t>
        </x:is>
      </x:c>
      <x:c r="F506" s="31" t="inlineStr">
        <x:is>
          <x:t xml:space="preserve">СОТР-099</x:t>
        </x:is>
      </x:c>
      <x:c r="G506" s="31" t="inlineStr">
        <x:is>
          <x:t xml:space="preserve">Производственное задание</x:t>
        </x:is>
      </x:c>
      <x:c r="H506" s="31" t="inlineStr">
        <x:is>
          <x:t xml:space="preserve">ПЗ-00187</x:t>
        </x:is>
      </x:c>
      <x:c r="I506" s="31" t="inlineStr">
        <x:is>
          <x:t xml:space="preserve">Обновить готовность</x:t>
        </x:is>
      </x:c>
      <x:c r="J506" s="31" t="inlineStr">
        <x:is>
          <x:t xml:space="preserve">Производство</x:t>
        </x:is>
      </x:c>
      <x:c r="K506" s="31" t="n">
        <x:v>0</x:v>
      </x:c>
      <x:c r="L506" s="31" t="inlineStr">
        <x:is>
          <x:t xml:space="preserve">Нет</x:t>
        </x:is>
      </x:c>
      <x:c r="M506" s="31" t="inlineStr">
        <x:is>
          <x:t xml:space="preserve">Нет</x:t>
        </x:is>
      </x:c>
      <x:c r="N506" s="31" t="inlineStr">
        <x:is>
          <x:t xml:space="preserve">Автосоздано правилом/пользователем 3</x:t>
        </x:is>
      </x:c>
    </x:row>
    <x:row r="507">
      <x:c r="A507" s="31" t="inlineStr">
        <x:is>
          <x:t xml:space="preserve">ЗД-00506</x:t>
        </x:is>
      </x:c>
      <x:c r="B507" s="31" t="n">
        <x:v>46184</x:v>
      </x:c>
      <x:c r="C507" s="31" t="n">
        <x:v>46198</x:v>
      </x:c>
      <x:c r="D507" s="31" t="inlineStr">
        <x:is>
          <x:t xml:space="preserve">В работе</x:t>
        </x:is>
      </x:c>
      <x:c r="E507" s="31" t="inlineStr">
        <x:is>
          <x:t xml:space="preserve">Средний</x:t>
        </x:is>
      </x:c>
      <x:c r="F507" s="31" t="inlineStr">
        <x:is>
          <x:t xml:space="preserve">СОТР-092</x:t>
        </x:is>
      </x:c>
      <x:c r="G507" s="31" t="inlineStr">
        <x:is>
          <x:t xml:space="preserve">ОТК</x:t>
        </x:is>
      </x:c>
      <x:c r="H507" s="31" t="inlineStr">
        <x:is>
          <x:t xml:space="preserve">ОТК-00121</x:t>
        </x:is>
      </x:c>
      <x:c r="I507" s="31" t="inlineStr">
        <x:is>
          <x:t xml:space="preserve">Проверить доработку</x:t>
        </x:is>
      </x:c>
      <x:c r="J507" s="31" t="inlineStr">
        <x:is>
          <x:t xml:space="preserve">ОТК</x:t>
        </x:is>
      </x:c>
      <x:c r="K507" s="31" t="n">
        <x:v>0</x:v>
      </x:c>
      <x:c r="L507" s="31" t="inlineStr">
        <x:is>
          <x:t xml:space="preserve">Нет</x:t>
        </x:is>
      </x:c>
      <x:c r="M507" s="31" t="inlineStr">
        <x:is>
          <x:t xml:space="preserve">Нет</x:t>
        </x:is>
      </x:c>
      <x:c r="N507" s="31" t="inlineStr">
        <x:is>
          <x:t xml:space="preserve">Автосоздано правилом/пользователем 10</x:t>
        </x:is>
      </x:c>
    </x:row>
    <x:row r="508">
      <x:c r="A508" s="31" t="inlineStr">
        <x:is>
          <x:t xml:space="preserve">ЗД-00507</x:t>
        </x:is>
      </x:c>
      <x:c r="B508" s="31" t="n">
        <x:v>46111</x:v>
      </x:c>
      <x:c r="C508" s="31" t="n">
        <x:v>46116</x:v>
      </x:c>
      <x:c r="D508" s="31" t="inlineStr">
        <x:is>
          <x:t xml:space="preserve">Просрочена</x:t>
        </x:is>
      </x:c>
      <x:c r="E508" s="31" t="inlineStr">
        <x:is>
          <x:t xml:space="preserve">Средний</x:t>
        </x:is>
      </x:c>
      <x:c r="F508" s="31" t="inlineStr">
        <x:is>
          <x:t xml:space="preserve">СОТР-076</x:t>
        </x:is>
      </x:c>
      <x:c r="G508" s="31" t="inlineStr">
        <x:is>
          <x:t xml:space="preserve">Счет</x:t>
        </x:is>
      </x:c>
      <x:c r="H508" s="31" t="inlineStr">
        <x:is>
          <x:t xml:space="preserve">СЧ-1081-1</x:t>
        </x:is>
      </x:c>
      <x:c r="I508" s="31" t="inlineStr">
        <x:is>
          <x:t xml:space="preserve">Подготовить акт сверки</x:t>
        </x:is>
      </x:c>
      <x:c r="J508" s="31" t="inlineStr">
        <x:is>
          <x:t xml:space="preserve">Финансы</x:t>
        </x:is>
      </x:c>
      <x:c r="K508" s="31" t="n">
        <x:v>69</x:v>
      </x:c>
      <x:c r="L508" s="31" t="inlineStr">
        <x:is>
          <x:t xml:space="preserve">Нет</x:t>
        </x:is>
      </x:c>
      <x:c r="M508" s="31" t="inlineStr">
        <x:is>
          <x:t xml:space="preserve">Нет</x:t>
        </x:is>
      </x:c>
      <x:c r="N508" s="31" t="inlineStr">
        <x:is>
          <x:t xml:space="preserve">Автосоздано правилом/пользователем 10</x:t>
        </x:is>
      </x:c>
    </x:row>
    <x:row r="509">
      <x:c r="A509" s="31" t="inlineStr">
        <x:is>
          <x:t xml:space="preserve">ЗД-00508</x:t>
        </x:is>
      </x:c>
      <x:c r="B509" s="31" t="n">
        <x:v>46127</x:v>
      </x:c>
      <x:c r="C509" s="31" t="n">
        <x:v>46141</x:v>
      </x:c>
      <x:c r="D509" s="31" t="inlineStr">
        <x:is>
          <x:t xml:space="preserve">Просрочена</x:t>
        </x:is>
      </x:c>
      <x:c r="E509" s="31" t="inlineStr">
        <x:is>
          <x:t xml:space="preserve">Высокий</x:t>
        </x:is>
      </x:c>
      <x:c r="F509" s="31" t="inlineStr">
        <x:is>
          <x:t xml:space="preserve">СОТР-093</x:t>
        </x:is>
      </x:c>
      <x:c r="G509" s="31" t="inlineStr">
        <x:is>
          <x:t xml:space="preserve">Закупка</x:t>
        </x:is>
      </x:c>
      <x:c r="H509" s="31" t="inlineStr">
        <x:is>
          <x:t xml:space="preserve">ЗЗ-00044</x:t>
        </x:is>
      </x:c>
      <x:c r="I509" s="31" t="inlineStr">
        <x:is>
          <x:t xml:space="preserve">Уточнить сертификаты</x:t>
        </x:is>
      </x:c>
      <x:c r="J509" s="31" t="inlineStr">
        <x:is>
          <x:t xml:space="preserve">Финансы</x:t>
        </x:is>
      </x:c>
      <x:c r="K509" s="31" t="n">
        <x:v>44</x:v>
      </x:c>
      <x:c r="L509" s="31" t="inlineStr">
        <x:is>
          <x:t xml:space="preserve">Нет</x:t>
        </x:is>
      </x:c>
      <x:c r="M509" s="31" t="inlineStr">
        <x:is>
          <x:t xml:space="preserve">Нет</x:t>
        </x:is>
      </x:c>
      <x:c r="N509" s="31" t="inlineStr">
        <x:is>
          <x:t xml:space="preserve">Автосоздано правилом/пользователем 5</x:t>
        </x:is>
      </x:c>
    </x:row>
    <x:row r="510">
      <x:c r="A510" s="31" t="inlineStr">
        <x:is>
          <x:t xml:space="preserve">ЗД-00509</x:t>
        </x:is>
      </x:c>
      <x:c r="B510" s="31" t="n">
        <x:v>46138</x:v>
      </x:c>
      <x:c r="C510" s="31" t="n">
        <x:v>46152</x:v>
      </x:c>
      <x:c r="D510" s="31" t="inlineStr">
        <x:is>
          <x:t xml:space="preserve">Просрочена</x:t>
        </x:is>
      </x:c>
      <x:c r="E510" s="31" t="inlineStr">
        <x:is>
          <x:t xml:space="preserve">Срочный</x:t>
        </x:is>
      </x:c>
      <x:c r="F510" s="31" t="inlineStr">
        <x:is>
          <x:t xml:space="preserve">СОТР-028</x:t>
        </x:is>
      </x:c>
      <x:c r="G510" s="31" t="inlineStr">
        <x:is>
          <x:t xml:space="preserve">Закупка</x:t>
        </x:is>
      </x:c>
      <x:c r="H510" s="31" t="inlineStr">
        <x:is>
          <x:t xml:space="preserve">ЗЗ-00015</x:t>
        </x:is>
      </x:c>
      <x:c r="I510" s="31" t="inlineStr">
        <x:is>
          <x:t xml:space="preserve">Уточнить сертификаты</x:t>
        </x:is>
      </x:c>
      <x:c r="J510" s="31" t="inlineStr">
        <x:is>
          <x:t xml:space="preserve">Снабжение</x:t>
        </x:is>
      </x:c>
      <x:c r="K510" s="31" t="n">
        <x:v>33</x:v>
      </x:c>
      <x:c r="L510" s="31" t="inlineStr">
        <x:is>
          <x:t xml:space="preserve">Нет</x:t>
        </x:is>
      </x:c>
      <x:c r="M510" s="31" t="inlineStr">
        <x:is>
          <x:t xml:space="preserve">Нет</x:t>
        </x:is>
      </x:c>
      <x:c r="N510" s="31" t="inlineStr">
        <x:is>
          <x:t xml:space="preserve">Автосоздано правилом/пользователем 11</x:t>
        </x:is>
      </x:c>
    </x:row>
    <x:row r="511">
      <x:c r="A511" s="31" t="inlineStr">
        <x:is>
          <x:t xml:space="preserve">ЗД-00510</x:t>
        </x:is>
      </x:c>
      <x:c r="B511" s="31" t="n">
        <x:v>46126</x:v>
      </x:c>
      <x:c r="C511" s="31" t="n">
        <x:v>46129</x:v>
      </x:c>
      <x:c r="D511" s="31" t="inlineStr">
        <x:is>
          <x:t xml:space="preserve">Новая</x:t>
        </x:is>
      </x:c>
      <x:c r="E511" s="31" t="inlineStr">
        <x:is>
          <x:t xml:space="preserve">Средний</x:t>
        </x:is>
      </x:c>
      <x:c r="F511" s="31" t="inlineStr">
        <x:is>
          <x:t xml:space="preserve">СОТР-076</x:t>
        </x:is>
      </x:c>
      <x:c r="G511" s="31" t="inlineStr">
        <x:is>
          <x:t xml:space="preserve">Счет</x:t>
        </x:is>
      </x:c>
      <x:c r="H511" s="31" t="inlineStr">
        <x:is>
          <x:t xml:space="preserve">СЧ-1113-1</x:t>
        </x:is>
      </x:c>
      <x:c r="I511" s="31" t="inlineStr">
        <x:is>
          <x:t xml:space="preserve">Проверить оплату</x:t>
        </x:is>
      </x:c>
      <x:c r="J511" s="31" t="inlineStr">
        <x:is>
          <x:t xml:space="preserve">Финансы</x:t>
        </x:is>
      </x:c>
      <x:c r="K511" s="31" t="n">
        <x:v>0</x:v>
      </x:c>
      <x:c r="L511" s="31" t="inlineStr">
        <x:is>
          <x:t xml:space="preserve">Да</x:t>
        </x:is>
      </x:c>
      <x:c r="M511" s="31" t="inlineStr">
        <x:is>
          <x:t xml:space="preserve">Нет</x:t>
        </x:is>
      </x:c>
      <x:c r="N511" s="31" t="inlineStr">
        <x:is>
          <x:t xml:space="preserve">Автосоздано правилом/пользователем 4</x:t>
        </x:is>
      </x:c>
    </x:row>
    <x:row r="512">
      <x:c r="A512" s="31" t="inlineStr">
        <x:is>
          <x:t xml:space="preserve">ЗД-00511</x:t>
        </x:is>
      </x:c>
      <x:c r="B512" s="31" t="n">
        <x:v>46126</x:v>
      </x:c>
      <x:c r="C512" s="31" t="n">
        <x:v>46140</x:v>
      </x:c>
      <x:c r="D512" s="31" t="inlineStr">
        <x:is>
          <x:t xml:space="preserve">Просрочена</x:t>
        </x:is>
      </x:c>
      <x:c r="E512" s="31" t="inlineStr">
        <x:is>
          <x:t xml:space="preserve">Средний</x:t>
        </x:is>
      </x:c>
      <x:c r="F512" s="31" t="inlineStr">
        <x:is>
          <x:t xml:space="preserve">СОТР-023</x:t>
        </x:is>
      </x:c>
      <x:c r="G512" s="31" t="inlineStr">
        <x:is>
          <x:t xml:space="preserve">Закупка</x:t>
        </x:is>
      </x:c>
      <x:c r="H512" s="31" t="inlineStr">
        <x:is>
          <x:t xml:space="preserve">ЗЗ-00043</x:t>
        </x:is>
      </x:c>
      <x:c r="I512" s="31" t="inlineStr">
        <x:is>
          <x:t xml:space="preserve">Согласовать закупку</x:t>
        </x:is>
      </x:c>
      <x:c r="J512" s="31" t="inlineStr">
        <x:is>
          <x:t xml:space="preserve">Производство</x:t>
        </x:is>
      </x:c>
      <x:c r="K512" s="31" t="n">
        <x:v>45</x:v>
      </x:c>
      <x:c r="L512" s="31" t="inlineStr">
        <x:is>
          <x:t xml:space="preserve">Нет</x:t>
        </x:is>
      </x:c>
      <x:c r="M512" s="31" t="inlineStr">
        <x:is>
          <x:t xml:space="preserve">Нет</x:t>
        </x:is>
      </x:c>
      <x:c r="N512" s="31" t="inlineStr">
        <x:is>
          <x:t xml:space="preserve">Автосоздано правилом/пользователем 6</x:t>
        </x:is>
      </x:c>
    </x:row>
    <x:row r="513">
      <x:c r="A513" s="31" t="inlineStr">
        <x:is>
          <x:t xml:space="preserve">ЗД-00512</x:t>
        </x:is>
      </x:c>
      <x:c r="B513" s="31" t="n">
        <x:v>46154</x:v>
      </x:c>
      <x:c r="C513" s="31" t="n">
        <x:v>46164</x:v>
      </x:c>
      <x:c r="D513" s="31" t="inlineStr">
        <x:is>
          <x:t xml:space="preserve">Выполнена</x:t>
        </x:is>
      </x:c>
      <x:c r="E513" s="31" t="inlineStr">
        <x:is>
          <x:t xml:space="preserve">Срочный</x:t>
        </x:is>
      </x:c>
      <x:c r="F513" s="31" t="inlineStr">
        <x:is>
          <x:t xml:space="preserve">СОТР-076</x:t>
        </x:is>
      </x:c>
      <x:c r="G513" s="31" t="inlineStr">
        <x:is>
          <x:t xml:space="preserve">Счет</x:t>
        </x:is>
      </x:c>
      <x:c r="H513" s="31" t="inlineStr">
        <x:is>
          <x:t xml:space="preserve">СЧ-1061-2</x:t>
        </x:is>
      </x:c>
      <x:c r="I513" s="31" t="inlineStr">
        <x:is>
          <x:t xml:space="preserve">Согласовать отгрузку при ДЗ</x:t>
        </x:is>
      </x:c>
      <x:c r="J513" s="31" t="inlineStr">
        <x:is>
          <x:t xml:space="preserve">Производство</x:t>
        </x:is>
      </x:c>
      <x:c r="K513" s="31" t="n">
        <x:v>0</x:v>
      </x:c>
      <x:c r="L513" s="31" t="inlineStr">
        <x:is>
          <x:t xml:space="preserve">Нет</x:t>
        </x:is>
      </x:c>
      <x:c r="M513" s="31" t="inlineStr">
        <x:is>
          <x:t xml:space="preserve">Нет</x:t>
        </x:is>
      </x:c>
      <x:c r="N513" s="31" t="inlineStr">
        <x:is>
          <x:t xml:space="preserve">Автосоздано правилом/пользователем 6</x:t>
        </x:is>
      </x:c>
    </x:row>
    <x:row r="514">
      <x:c r="A514" s="31" t="inlineStr">
        <x:is>
          <x:t xml:space="preserve">ЗД-00513</x:t>
        </x:is>
      </x:c>
      <x:c r="B514" s="31" t="n">
        <x:v>46127</x:v>
      </x:c>
      <x:c r="C514" s="31" t="n">
        <x:v>46129</x:v>
      </x:c>
      <x:c r="D514" s="31" t="inlineStr">
        <x:is>
          <x:t xml:space="preserve">Просрочена</x:t>
        </x:is>
      </x:c>
      <x:c r="E514" s="31" t="inlineStr">
        <x:is>
          <x:t xml:space="preserve">Низкий</x:t>
        </x:is>
      </x:c>
      <x:c r="F514" s="31" t="inlineStr">
        <x:is>
          <x:t xml:space="preserve">СОТР-100</x:t>
        </x:is>
      </x:c>
      <x:c r="G514" s="31" t="inlineStr">
        <x:is>
          <x:t xml:space="preserve">Производственное задание</x:t>
        </x:is>
      </x:c>
      <x:c r="H514" s="31" t="inlineStr">
        <x:is>
          <x:t xml:space="preserve">ПЗ-00030</x:t>
        </x:is>
      </x:c>
      <x:c r="I514" s="31" t="inlineStr">
        <x:is>
          <x:t xml:space="preserve">Назначить оператора</x:t>
        </x:is>
      </x:c>
      <x:c r="J514" s="31" t="inlineStr">
        <x:is>
          <x:t xml:space="preserve">Снабжение</x:t>
        </x:is>
      </x:c>
      <x:c r="K514" s="31" t="n">
        <x:v>56</x:v>
      </x:c>
      <x:c r="L514" s="31" t="inlineStr">
        <x:is>
          <x:t xml:space="preserve">Нет</x:t>
        </x:is>
      </x:c>
      <x:c r="M514" s="31" t="inlineStr">
        <x:is>
          <x:t xml:space="preserve">Нет</x:t>
        </x:is>
      </x:c>
      <x:c r="N514" s="31" t="inlineStr">
        <x:is>
          <x:t xml:space="preserve">Автосоздано правилом/пользователем 3</x:t>
        </x:is>
      </x:c>
    </x:row>
    <x:row r="515">
      <x:c r="A515" s="31" t="inlineStr">
        <x:is>
          <x:t xml:space="preserve">ЗД-00514</x:t>
        </x:is>
      </x:c>
      <x:c r="B515" s="31" t="n">
        <x:v>46184</x:v>
      </x:c>
      <x:c r="C515" s="31" t="n">
        <x:v>46186</x:v>
      </x:c>
      <x:c r="D515" s="31" t="inlineStr">
        <x:is>
          <x:t xml:space="preserve">Отменена</x:t>
        </x:is>
      </x:c>
      <x:c r="E515" s="31" t="inlineStr">
        <x:is>
          <x:t xml:space="preserve">Высокий</x:t>
        </x:is>
      </x:c>
      <x:c r="F515" s="31" t="inlineStr">
        <x:is>
          <x:t xml:space="preserve">СОТР-097</x:t>
        </x:is>
      </x:c>
      <x:c r="G515" s="31" t="inlineStr">
        <x:is>
          <x:t xml:space="preserve">ОТК</x:t>
        </x:is>
      </x:c>
      <x:c r="H515" s="31" t="inlineStr">
        <x:is>
          <x:t xml:space="preserve">ОТК-00050</x:t>
        </x:is>
      </x:c>
      <x:c r="I515" s="31" t="inlineStr">
        <x:is>
          <x:t xml:space="preserve">Проверить доработку</x:t>
        </x:is>
      </x:c>
      <x:c r="J515" s="31" t="inlineStr">
        <x:is>
          <x:t xml:space="preserve">Снабжение</x:t>
        </x:is>
      </x:c>
      <x:c r="K515" s="31" t="n">
        <x:v>0</x:v>
      </x:c>
      <x:c r="L515" s="31" t="inlineStr">
        <x:is>
          <x:t xml:space="preserve">Нет</x:t>
        </x:is>
      </x:c>
      <x:c r="M515" s="31" t="inlineStr">
        <x:is>
          <x:t xml:space="preserve">Нет</x:t>
        </x:is>
      </x:c>
      <x:c r="N515" s="31" t="inlineStr">
        <x:is>
          <x:t xml:space="preserve">Автосоздано правилом/пользователем 8</x:t>
        </x:is>
      </x:c>
    </x:row>
    <x:row r="516">
      <x:c r="A516" s="31" t="inlineStr">
        <x:is>
          <x:t xml:space="preserve">ЗД-00515</x:t>
        </x:is>
      </x:c>
      <x:c r="B516" s="31" t="n">
        <x:v>46158</x:v>
      </x:c>
      <x:c r="C516" s="31" t="n">
        <x:v>46159</x:v>
      </x:c>
      <x:c r="D516" s="31" t="inlineStr">
        <x:is>
          <x:t xml:space="preserve">В работе</x:t>
        </x:is>
      </x:c>
      <x:c r="E516" s="31" t="inlineStr">
        <x:is>
          <x:t xml:space="preserve">Средний</x:t>
        </x:is>
      </x:c>
      <x:c r="F516" s="31" t="inlineStr">
        <x:is>
          <x:t xml:space="preserve">СОТР-076</x:t>
        </x:is>
      </x:c>
      <x:c r="G516" s="31" t="inlineStr">
        <x:is>
          <x:t xml:space="preserve">Счет</x:t>
        </x:is>
      </x:c>
      <x:c r="H516" s="31" t="inlineStr">
        <x:is>
          <x:t xml:space="preserve">СЧ-1012-1</x:t>
        </x:is>
      </x:c>
      <x:c r="I516" s="31" t="inlineStr">
        <x:is>
          <x:t xml:space="preserve">Напомнить об оплате</x:t>
        </x:is>
      </x:c>
      <x:c r="J516" s="31" t="inlineStr">
        <x:is>
          <x:t xml:space="preserve">Производство</x:t>
        </x:is>
      </x:c>
      <x:c r="K516" s="31" t="n">
        <x:v>0</x:v>
      </x:c>
      <x:c r="L516" s="31" t="inlineStr">
        <x:is>
          <x:t xml:space="preserve">Нет</x:t>
        </x:is>
      </x:c>
      <x:c r="M516" s="31" t="inlineStr">
        <x:is>
          <x:t xml:space="preserve">Нет</x:t>
        </x:is>
      </x:c>
      <x:c r="N516" s="31" t="inlineStr">
        <x:is>
          <x:t xml:space="preserve">Автосоздано правилом/пользователем 12</x:t>
        </x:is>
      </x:c>
    </x:row>
    <x:row r="517">
      <x:c r="A517" s="31" t="inlineStr">
        <x:is>
          <x:t xml:space="preserve">ЗД-00516</x:t>
        </x:is>
      </x:c>
      <x:c r="B517" s="31" t="n">
        <x:v>46184</x:v>
      </x:c>
      <x:c r="C517" s="31" t="n">
        <x:v>46189</x:v>
      </x:c>
      <x:c r="D517" s="31" t="inlineStr">
        <x:is>
          <x:t xml:space="preserve">Новая</x:t>
        </x:is>
      </x:c>
      <x:c r="E517" s="31" t="inlineStr">
        <x:is>
          <x:t xml:space="preserve">Высокий</x:t>
        </x:is>
      </x:c>
      <x:c r="F517" s="31" t="inlineStr">
        <x:is>
          <x:t xml:space="preserve">СОТР-093</x:t>
        </x:is>
      </x:c>
      <x:c r="G517" s="31" t="inlineStr">
        <x:is>
          <x:t xml:space="preserve">ОТК</x:t>
        </x:is>
      </x:c>
      <x:c r="H517" s="31" t="inlineStr">
        <x:is>
          <x:t xml:space="preserve">ОТК-00095</x:t>
        </x:is>
      </x:c>
      <x:c r="I517" s="31" t="inlineStr">
        <x:is>
          <x:t xml:space="preserve">Оформить корректирующие действия</x:t>
        </x:is>
      </x:c>
      <x:c r="J517" s="31" t="inlineStr">
        <x:is>
          <x:t xml:space="preserve">Производство</x:t>
        </x:is>
      </x:c>
      <x:c r="K517" s="31" t="n">
        <x:v>0</x:v>
      </x:c>
      <x:c r="L517" s="31" t="inlineStr">
        <x:is>
          <x:t xml:space="preserve">Нет</x:t>
        </x:is>
      </x:c>
      <x:c r="M517" s="31" t="inlineStr">
        <x:is>
          <x:t xml:space="preserve">Нет</x:t>
        </x:is>
      </x:c>
      <x:c r="N517" s="31" t="inlineStr">
        <x:is>
          <x:t xml:space="preserve">Автосоздано правилом/пользователем 5</x:t>
        </x:is>
      </x:c>
    </x:row>
    <x:row r="518">
      <x:c r="A518" s="31" t="inlineStr">
        <x:is>
          <x:t xml:space="preserve">ЗД-00517</x:t>
        </x:is>
      </x:c>
      <x:c r="B518" s="31" t="n">
        <x:v>46123</x:v>
      </x:c>
      <x:c r="C518" s="31" t="n">
        <x:v>46126</x:v>
      </x:c>
      <x:c r="D518" s="31" t="inlineStr">
        <x:is>
          <x:t xml:space="preserve">Выполнена</x:t>
        </x:is>
      </x:c>
      <x:c r="E518" s="31" t="inlineStr">
        <x:is>
          <x:t xml:space="preserve">Средний</x:t>
        </x:is>
      </x:c>
      <x:c r="F518" s="31" t="inlineStr">
        <x:is>
          <x:t xml:space="preserve">СОТР-095</x:t>
        </x:is>
      </x:c>
      <x:c r="G518" s="31" t="inlineStr">
        <x:is>
          <x:t xml:space="preserve">ОТК</x:t>
        </x:is>
      </x:c>
      <x:c r="H518" s="31" t="inlineStr">
        <x:is>
          <x:t xml:space="preserve">ОТК-00046</x:t>
        </x:is>
      </x:c>
      <x:c r="I518" s="31" t="inlineStr">
        <x:is>
          <x:t xml:space="preserve">Заблокировать отгрузку</x:t>
        </x:is>
      </x:c>
      <x:c r="J518" s="31" t="inlineStr">
        <x:is>
          <x:t xml:space="preserve">Снабжение</x:t>
        </x:is>
      </x:c>
      <x:c r="K518" s="31" t="n">
        <x:v>0</x:v>
      </x:c>
      <x:c r="L518" s="31" t="inlineStr">
        <x:is>
          <x:t xml:space="preserve">Нет</x:t>
        </x:is>
      </x:c>
      <x:c r="M518" s="31" t="inlineStr">
        <x:is>
          <x:t xml:space="preserve">Нет</x:t>
        </x:is>
      </x:c>
      <x:c r="N518" s="31" t="inlineStr">
        <x:is>
          <x:t xml:space="preserve">Автосоздано правилом/пользователем 12</x:t>
        </x:is>
      </x:c>
    </x:row>
    <x:row r="519">
      <x:c r="A519" s="31" t="inlineStr">
        <x:is>
          <x:t xml:space="preserve">ЗД-00518</x:t>
        </x:is>
      </x:c>
      <x:c r="B519" s="31" t="n">
        <x:v>46148</x:v>
      </x:c>
      <x:c r="C519" s="31" t="n">
        <x:v>46155</x:v>
      </x:c>
      <x:c r="D519" s="31" t="inlineStr">
        <x:is>
          <x:t xml:space="preserve">Просрочена</x:t>
        </x:is>
      </x:c>
      <x:c r="E519" s="31" t="inlineStr">
        <x:is>
          <x:t xml:space="preserve">Средний</x:t>
        </x:is>
      </x:c>
      <x:c r="F519" s="31" t="inlineStr">
        <x:is>
          <x:t xml:space="preserve">СОТР-009</x:t>
        </x:is>
      </x:c>
      <x:c r="G519" s="31" t="inlineStr">
        <x:is>
          <x:t xml:space="preserve">Счет</x:t>
        </x:is>
      </x:c>
      <x:c r="H519" s="31" t="inlineStr">
        <x:is>
          <x:t xml:space="preserve">СЧ-1053-1</x:t>
        </x:is>
      </x:c>
      <x:c r="I519" s="31" t="inlineStr">
        <x:is>
          <x:t xml:space="preserve">Проверить оплату</x:t>
        </x:is>
      </x:c>
      <x:c r="J519" s="31" t="inlineStr">
        <x:is>
          <x:t xml:space="preserve">Производство</x:t>
        </x:is>
      </x:c>
      <x:c r="K519" s="31" t="n">
        <x:v>30</x:v>
      </x:c>
      <x:c r="L519" s="31" t="inlineStr">
        <x:is>
          <x:t xml:space="preserve">Нет</x:t>
        </x:is>
      </x:c>
      <x:c r="M519" s="31" t="inlineStr">
        <x:is>
          <x:t xml:space="preserve">Заказчик</x:t>
        </x:is>
      </x:c>
      <x:c r="N519" s="31" t="inlineStr">
        <x:is>
          <x:t xml:space="preserve">Автосоздано правилом/пользователем 12</x:t>
        </x:is>
      </x:c>
    </x:row>
    <x:row r="520">
      <x:c r="A520" s="31" t="inlineStr">
        <x:is>
          <x:t xml:space="preserve">ЗД-00519</x:t>
        </x:is>
      </x:c>
      <x:c r="B520" s="31" t="n">
        <x:v>46172</x:v>
      </x:c>
      <x:c r="C520" s="31" t="n">
        <x:v>46177</x:v>
      </x:c>
      <x:c r="D520" s="31" t="inlineStr">
        <x:is>
          <x:t xml:space="preserve">Выполнена</x:t>
        </x:is>
      </x:c>
      <x:c r="E520" s="31" t="inlineStr">
        <x:is>
          <x:t xml:space="preserve">Средний</x:t>
        </x:is>
      </x:c>
      <x:c r="F520" s="31" t="inlineStr">
        <x:is>
          <x:t xml:space="preserve">СОТР-023</x:t>
        </x:is>
      </x:c>
      <x:c r="G520" s="31" t="inlineStr">
        <x:is>
          <x:t xml:space="preserve">Заказ</x:t>
        </x:is>
      </x:c>
      <x:c r="H520" s="31" t="inlineStr">
        <x:is>
          <x:t xml:space="preserve">ЗК-1049</x:t>
        </x:is>
      </x:c>
      <x:c r="I520" s="31" t="inlineStr">
        <x:is>
          <x:t xml:space="preserve">Подготовить КП</x:t>
        </x:is>
      </x:c>
      <x:c r="J520" s="31" t="inlineStr">
        <x:is>
          <x:t xml:space="preserve">Сервис</x:t>
        </x:is>
      </x:c>
      <x:c r="K520" s="31" t="n">
        <x:v>0</x:v>
      </x:c>
      <x:c r="L520" s="31" t="inlineStr">
        <x:is>
          <x:t xml:space="preserve">Да</x:t>
        </x:is>
      </x:c>
      <x:c r="M520" s="31" t="inlineStr">
        <x:is>
          <x:t xml:space="preserve">Нет</x:t>
        </x:is>
      </x:c>
      <x:c r="N520" s="31" t="inlineStr">
        <x:is>
          <x:t xml:space="preserve">Автосоздано правилом/пользователем 10</x:t>
        </x:is>
      </x:c>
    </x:row>
    <x:row r="521">
      <x:c r="A521" s="31" t="inlineStr">
        <x:is>
          <x:t xml:space="preserve">ЗД-00520</x:t>
        </x:is>
      </x:c>
      <x:c r="B521" s="31" t="n">
        <x:v>46122</x:v>
      </x:c>
      <x:c r="C521" s="31" t="n">
        <x:v>46123</x:v>
      </x:c>
      <x:c r="D521" s="31" t="inlineStr">
        <x:is>
          <x:t xml:space="preserve">Новая</x:t>
        </x:is>
      </x:c>
      <x:c r="E521" s="31" t="inlineStr">
        <x:is>
          <x:t xml:space="preserve">Средний</x:t>
        </x:is>
      </x:c>
      <x:c r="F521" s="31" t="inlineStr">
        <x:is>
          <x:t xml:space="preserve">СОТР-092</x:t>
        </x:is>
      </x:c>
      <x:c r="G521" s="31" t="inlineStr">
        <x:is>
          <x:t xml:space="preserve">Производственное задание</x:t>
        </x:is>
      </x:c>
      <x:c r="H521" s="31" t="inlineStr">
        <x:is>
          <x:t xml:space="preserve">ПЗ-00259</x:t>
        </x:is>
      </x:c>
      <x:c r="I521" s="31" t="inlineStr">
        <x:is>
          <x:t xml:space="preserve">Закрыть сменный факт</x:t>
        </x:is>
      </x:c>
      <x:c r="J521" s="31" t="inlineStr">
        <x:is>
          <x:t xml:space="preserve">Производство</x:t>
        </x:is>
      </x:c>
      <x:c r="K521" s="31" t="n">
        <x:v>0</x:v>
      </x:c>
      <x:c r="L521" s="31" t="inlineStr">
        <x:is>
          <x:t xml:space="preserve">Нет</x:t>
        </x:is>
      </x:c>
      <x:c r="M521" s="31" t="inlineStr">
        <x:is>
          <x:t xml:space="preserve">Нет</x:t>
        </x:is>
      </x:c>
      <x:c r="N521" s="31" t="inlineStr">
        <x:is>
          <x:t xml:space="preserve">Автосоздано правилом/пользователем 1</x:t>
        </x:is>
      </x:c>
    </x:row>
    <x:row r="522">
      <x:c r="A522" s="31" t="inlineStr">
        <x:is>
          <x:t xml:space="preserve">ЗД-00521</x:t>
        </x:is>
      </x:c>
      <x:c r="B522" s="31" t="n">
        <x:v>46176</x:v>
      </x:c>
      <x:c r="C522" s="31" t="n">
        <x:v>46183</x:v>
      </x:c>
      <x:c r="D522" s="31" t="inlineStr">
        <x:is>
          <x:t xml:space="preserve">В работе</x:t>
        </x:is>
      </x:c>
      <x:c r="E522" s="31" t="inlineStr">
        <x:is>
          <x:t xml:space="preserve">Низкий</x:t>
        </x:is>
      </x:c>
      <x:c r="F522" s="31" t="inlineStr">
        <x:is>
          <x:t xml:space="preserve">СОТР-004</x:t>
        </x:is>
      </x:c>
      <x:c r="G522" s="31" t="inlineStr">
        <x:is>
          <x:t xml:space="preserve">Заказ</x:t>
        </x:is>
      </x:c>
      <x:c r="H522" s="31" t="inlineStr">
        <x:is>
          <x:t xml:space="preserve">ЗК-1065</x:t>
        </x:is>
      </x:c>
      <x:c r="I522" s="31" t="inlineStr">
        <x:is>
          <x:t xml:space="preserve">Проверить лимит заказчика</x:t>
        </x:is>
      </x:c>
      <x:c r="J522" s="31" t="inlineStr">
        <x:is>
          <x:t xml:space="preserve">Финансы</x:t>
        </x:is>
      </x:c>
      <x:c r="K522" s="31" t="n">
        <x:v>0</x:v>
      </x:c>
      <x:c r="L522" s="31" t="inlineStr">
        <x:is>
          <x:t xml:space="preserve">Нет</x:t>
        </x:is>
      </x:c>
      <x:c r="M522" s="31" t="inlineStr">
        <x:is>
          <x:t xml:space="preserve">Нет</x:t>
        </x:is>
      </x:c>
      <x:c r="N522" s="31" t="inlineStr">
        <x:is>
          <x:t xml:space="preserve">Автосоздано правилом/пользователем 12</x:t>
        </x:is>
      </x:c>
    </x:row>
    <x:row r="523">
      <x:c r="A523" s="31" t="inlineStr">
        <x:is>
          <x:t xml:space="preserve">ЗД-00522</x:t>
        </x:is>
      </x:c>
      <x:c r="B523" s="31" t="n">
        <x:v>46175</x:v>
      </x:c>
      <x:c r="C523" s="31" t="n">
        <x:v>46182</x:v>
      </x:c>
      <x:c r="D523" s="31" t="inlineStr">
        <x:is>
          <x:t xml:space="preserve">Выполнена</x:t>
        </x:is>
      </x:c>
      <x:c r="E523" s="31" t="inlineStr">
        <x:is>
          <x:t xml:space="preserve">Средний</x:t>
        </x:is>
      </x:c>
      <x:c r="F523" s="31" t="inlineStr">
        <x:is>
          <x:t xml:space="preserve">СОТР-005</x:t>
        </x:is>
      </x:c>
      <x:c r="G523" s="31" t="inlineStr">
        <x:is>
          <x:t xml:space="preserve">Заказ</x:t>
        </x:is>
      </x:c>
      <x:c r="H523" s="31" t="inlineStr">
        <x:is>
          <x:t xml:space="preserve">ЗК-1047</x:t>
        </x:is>
      </x:c>
      <x:c r="I523" s="31" t="inlineStr">
        <x:is>
          <x:t xml:space="preserve">Уточнить ТЗ</x:t>
        </x:is>
      </x:c>
      <x:c r="J523" s="31" t="inlineStr">
        <x:is>
          <x:t xml:space="preserve">Продажи</x:t>
        </x:is>
      </x:c>
      <x:c r="K523" s="31" t="n">
        <x:v>0</x:v>
      </x:c>
      <x:c r="L523" s="31" t="inlineStr">
        <x:is>
          <x:t xml:space="preserve">Да</x:t>
        </x:is>
      </x:c>
      <x:c r="M523" s="31" t="inlineStr">
        <x:is>
          <x:t xml:space="preserve">Нет</x:t>
        </x:is>
      </x:c>
      <x:c r="N523" s="31" t="inlineStr">
        <x:is>
          <x:t xml:space="preserve">Автосоздано правилом/пользователем 9</x:t>
        </x:is>
      </x:c>
    </x:row>
    <x:row r="524">
      <x:c r="A524" s="31" t="inlineStr">
        <x:is>
          <x:t xml:space="preserve">ЗД-00523</x:t>
        </x:is>
      </x:c>
      <x:c r="B524" s="31" t="n">
        <x:v>46181</x:v>
      </x:c>
      <x:c r="C524" s="31" t="n">
        <x:v>46184</x:v>
      </x:c>
      <x:c r="D524" s="31" t="inlineStr">
        <x:is>
          <x:t xml:space="preserve">Новая</x:t>
        </x:is>
      </x:c>
      <x:c r="E524" s="31" t="inlineStr">
        <x:is>
          <x:t xml:space="preserve">Средний</x:t>
        </x:is>
      </x:c>
      <x:c r="F524" s="31" t="inlineStr">
        <x:is>
          <x:t xml:space="preserve">СОТР-063</x:t>
        </x:is>
      </x:c>
      <x:c r="G524" s="31" t="inlineStr">
        <x:is>
          <x:t xml:space="preserve">ОТК</x:t>
        </x:is>
      </x:c>
      <x:c r="H524" s="31" t="inlineStr">
        <x:is>
          <x:t xml:space="preserve">ОТК-00003</x:t>
        </x:is>
      </x:c>
      <x:c r="I524" s="31" t="inlineStr">
        <x:is>
          <x:t xml:space="preserve">Оформить корректирующие действия</x:t>
        </x:is>
      </x:c>
      <x:c r="J524" s="31" t="inlineStr">
        <x:is>
          <x:t xml:space="preserve">Снабжение</x:t>
        </x:is>
      </x:c>
      <x:c r="K524" s="31" t="n">
        <x:v>0</x:v>
      </x:c>
      <x:c r="L524" s="31" t="inlineStr">
        <x:is>
          <x:t xml:space="preserve">Нет</x:t>
        </x:is>
      </x:c>
      <x:c r="M524" s="31" t="inlineStr">
        <x:is>
          <x:t xml:space="preserve">Поставщик</x:t>
        </x:is>
      </x:c>
      <x:c r="N524" s="31" t="inlineStr">
        <x:is>
          <x:t xml:space="preserve">Автосоздано правилом/пользователем 8</x:t>
        </x:is>
      </x:c>
    </x:row>
    <x:row r="525">
      <x:c r="A525" s="31" t="inlineStr">
        <x:is>
          <x:t xml:space="preserve">ЗД-00524</x:t>
        </x:is>
      </x:c>
      <x:c r="B525" s="31" t="n">
        <x:v>46174</x:v>
      </x:c>
      <x:c r="C525" s="31" t="n">
        <x:v>46177</x:v>
      </x:c>
      <x:c r="D525" s="31" t="inlineStr">
        <x:is>
          <x:t xml:space="preserve">В работе</x:t>
        </x:is>
      </x:c>
      <x:c r="E525" s="31" t="inlineStr">
        <x:is>
          <x:t xml:space="preserve">Средний</x:t>
        </x:is>
      </x:c>
      <x:c r="F525" s="31" t="inlineStr">
        <x:is>
          <x:t xml:space="preserve">СОТР-092</x:t>
        </x:is>
      </x:c>
      <x:c r="G525" s="31" t="inlineStr">
        <x:is>
          <x:t xml:space="preserve">ОТК</x:t>
        </x:is>
      </x:c>
      <x:c r="H525" s="31" t="inlineStr">
        <x:is>
          <x:t xml:space="preserve">ОТК-00130</x:t>
        </x:is>
      </x:c>
      <x:c r="I525" s="31" t="inlineStr">
        <x:is>
          <x:t xml:space="preserve">Заблокировать отгрузку</x:t>
        </x:is>
      </x:c>
      <x:c r="J525" s="31" t="inlineStr">
        <x:is>
          <x:t xml:space="preserve">Продажи</x:t>
        </x:is>
      </x:c>
      <x:c r="K525" s="31" t="n">
        <x:v>0</x:v>
      </x:c>
      <x:c r="L525" s="31" t="inlineStr">
        <x:is>
          <x:t xml:space="preserve">Нет</x:t>
        </x:is>
      </x:c>
      <x:c r="M525" s="31" t="inlineStr">
        <x:is>
          <x:t xml:space="preserve">Руководитель</x:t>
        </x:is>
      </x:c>
      <x:c r="N525" s="31" t="inlineStr">
        <x:is>
          <x:t xml:space="preserve">Автосоздано правилом/пользователем 4</x:t>
        </x:is>
      </x:c>
    </x:row>
    <x:row r="526">
      <x:c r="A526" s="31" t="inlineStr">
        <x:is>
          <x:t xml:space="preserve">ЗД-00525</x:t>
        </x:is>
      </x:c>
      <x:c r="B526" s="31" t="n">
        <x:v>46176</x:v>
      </x:c>
      <x:c r="C526" s="31" t="n">
        <x:v>46181</x:v>
      </x:c>
      <x:c r="D526" s="31" t="inlineStr">
        <x:is>
          <x:t xml:space="preserve">Выполнена</x:t>
        </x:is>
      </x:c>
      <x:c r="E526" s="31" t="inlineStr">
        <x:is>
          <x:t xml:space="preserve">Высокий</x:t>
        </x:is>
      </x:c>
      <x:c r="F526" s="31" t="inlineStr">
        <x:is>
          <x:t xml:space="preserve">СОТР-064</x:t>
        </x:is>
      </x:c>
      <x:c r="G526" s="31" t="inlineStr">
        <x:is>
          <x:t xml:space="preserve">Производственное задание</x:t>
        </x:is>
      </x:c>
      <x:c r="H526" s="31" t="inlineStr">
        <x:is>
          <x:t xml:space="preserve">ПЗ-00219</x:t>
        </x:is>
      </x:c>
      <x:c r="I526" s="31" t="inlineStr">
        <x:is>
          <x:t xml:space="preserve">Обновить готовность</x:t>
        </x:is>
      </x:c>
      <x:c r="J526" s="31" t="inlineStr">
        <x:is>
          <x:t xml:space="preserve">Продажи</x:t>
        </x:is>
      </x:c>
      <x:c r="K526" s="31" t="n">
        <x:v>0</x:v>
      </x:c>
      <x:c r="L526" s="31" t="inlineStr">
        <x:is>
          <x:t xml:space="preserve">Нет</x:t>
        </x:is>
      </x:c>
      <x:c r="M526" s="31" t="inlineStr">
        <x:is>
          <x:t xml:space="preserve">Нет</x:t>
        </x:is>
      </x:c>
      <x:c r="N526" s="31" t="inlineStr">
        <x:is>
          <x:t xml:space="preserve">Автосоздано правилом/пользователем 1</x:t>
        </x:is>
      </x:c>
    </x:row>
    <x:row r="527">
      <x:c r="A527" s="31" t="inlineStr">
        <x:is>
          <x:t xml:space="preserve">ЗД-00526</x:t>
        </x:is>
      </x:c>
      <x:c r="B527" s="31" t="n">
        <x:v>46160</x:v>
      </x:c>
      <x:c r="C527" s="31" t="n">
        <x:v>46162</x:v>
      </x:c>
      <x:c r="D527" s="31" t="inlineStr">
        <x:is>
          <x:t xml:space="preserve">В работе</x:t>
        </x:is>
      </x:c>
      <x:c r="E527" s="31" t="inlineStr">
        <x:is>
          <x:t xml:space="preserve">Средний</x:t>
        </x:is>
      </x:c>
      <x:c r="F527" s="31" t="inlineStr">
        <x:is>
          <x:t xml:space="preserve">СОТР-100</x:t>
        </x:is>
      </x:c>
      <x:c r="G527" s="31" t="inlineStr">
        <x:is>
          <x:t xml:space="preserve">ОТК</x:t>
        </x:is>
      </x:c>
      <x:c r="H527" s="31" t="inlineStr">
        <x:is>
          <x:t xml:space="preserve">ОТК-00113</x:t>
        </x:is>
      </x:c>
      <x:c r="I527" s="31" t="inlineStr">
        <x:is>
          <x:t xml:space="preserve">Заблокировать отгрузку</x:t>
        </x:is>
      </x:c>
      <x:c r="J527" s="31" t="inlineStr">
        <x:is>
          <x:t xml:space="preserve">Продажи</x:t>
        </x:is>
      </x:c>
      <x:c r="K527" s="31" t="n">
        <x:v>0</x:v>
      </x:c>
      <x:c r="L527" s="31" t="inlineStr">
        <x:is>
          <x:t xml:space="preserve">Нет</x:t>
        </x:is>
      </x:c>
      <x:c r="M527" s="31" t="inlineStr">
        <x:is>
          <x:t xml:space="preserve">Нет</x:t>
        </x:is>
      </x:c>
      <x:c r="N527" s="31" t="inlineStr">
        <x:is>
          <x:t xml:space="preserve">Автосоздано правилом/пользователем 4</x:t>
        </x:is>
      </x:c>
    </x:row>
    <x:row r="528">
      <x:c r="A528" s="31" t="inlineStr">
        <x:is>
          <x:t xml:space="preserve">ЗД-00527</x:t>
        </x:is>
      </x:c>
      <x:c r="B528" s="31" t="n">
        <x:v>46145</x:v>
      </x:c>
      <x:c r="C528" s="31" t="n">
        <x:v>46159</x:v>
      </x:c>
      <x:c r="D528" s="31" t="inlineStr">
        <x:is>
          <x:t xml:space="preserve">Просрочена</x:t>
        </x:is>
      </x:c>
      <x:c r="E528" s="31" t="inlineStr">
        <x:is>
          <x:t xml:space="preserve">Средний</x:t>
        </x:is>
      </x:c>
      <x:c r="F528" s="31" t="inlineStr">
        <x:is>
          <x:t xml:space="preserve">СОТР-097</x:t>
        </x:is>
      </x:c>
      <x:c r="G528" s="31" t="inlineStr">
        <x:is>
          <x:t xml:space="preserve">Производственное задание</x:t>
        </x:is>
      </x:c>
      <x:c r="H528" s="31" t="inlineStr">
        <x:is>
          <x:t xml:space="preserve">ПЗ-00204</x:t>
        </x:is>
      </x:c>
      <x:c r="I528" s="31" t="inlineStr">
        <x:is>
          <x:t xml:space="preserve">Разобрать простой</x:t>
        </x:is>
      </x:c>
      <x:c r="J528" s="31" t="inlineStr">
        <x:is>
          <x:t xml:space="preserve">Производство</x:t>
        </x:is>
      </x:c>
      <x:c r="K528" s="31" t="n">
        <x:v>26</x:v>
      </x:c>
      <x:c r="L528" s="31" t="inlineStr">
        <x:is>
          <x:t xml:space="preserve">Нет</x:t>
        </x:is>
      </x:c>
      <x:c r="M528" s="31" t="inlineStr">
        <x:is>
          <x:t xml:space="preserve">Нет</x:t>
        </x:is>
      </x:c>
      <x:c r="N528" s="31" t="inlineStr">
        <x:is>
          <x:t xml:space="preserve">Автосоздано правилом/пользователем 7</x:t>
        </x:is>
      </x:c>
    </x:row>
    <x:row r="529">
      <x:c r="A529" s="31" t="inlineStr">
        <x:is>
          <x:t xml:space="preserve">ЗД-00528</x:t>
        </x:is>
      </x:c>
      <x:c r="B529" s="31" t="n">
        <x:v>46131</x:v>
      </x:c>
      <x:c r="C529" s="31" t="n">
        <x:v>46145</x:v>
      </x:c>
      <x:c r="D529" s="31" t="inlineStr">
        <x:is>
          <x:t xml:space="preserve">Выполнена</x:t>
        </x:is>
      </x:c>
      <x:c r="E529" s="31" t="inlineStr">
        <x:is>
          <x:t xml:space="preserve">Высокий</x:t>
        </x:is>
      </x:c>
      <x:c r="F529" s="31" t="inlineStr">
        <x:is>
          <x:t xml:space="preserve">СОТР-096</x:t>
        </x:is>
      </x:c>
      <x:c r="G529" s="31" t="inlineStr">
        <x:is>
          <x:t xml:space="preserve">ОТК</x:t>
        </x:is>
      </x:c>
      <x:c r="H529" s="31" t="inlineStr">
        <x:is>
          <x:t xml:space="preserve">ОТК-00073</x:t>
        </x:is>
      </x:c>
      <x:c r="I529" s="31" t="inlineStr">
        <x:is>
          <x:t xml:space="preserve">Согласовать приемку с замечаниями</x:t>
        </x:is>
      </x:c>
      <x:c r="J529" s="31" t="inlineStr">
        <x:is>
          <x:t xml:space="preserve">Снабжение</x:t>
        </x:is>
      </x:c>
      <x:c r="K529" s="31" t="n">
        <x:v>0</x:v>
      </x:c>
      <x:c r="L529" s="31" t="inlineStr">
        <x:is>
          <x:t xml:space="preserve">Нет</x:t>
        </x:is>
      </x:c>
      <x:c r="M529" s="31" t="inlineStr">
        <x:is>
          <x:t xml:space="preserve">Заказчик</x:t>
        </x:is>
      </x:c>
      <x:c r="N529" s="31" t="inlineStr">
        <x:is>
          <x:t xml:space="preserve">Автосоздано правилом/пользователем 4</x:t>
        </x:is>
      </x:c>
    </x:row>
    <x:row r="530">
      <x:c r="A530" s="31" t="inlineStr">
        <x:is>
          <x:t xml:space="preserve">ЗД-00529</x:t>
        </x:is>
      </x:c>
      <x:c r="B530" s="31" t="n">
        <x:v>46142</x:v>
      </x:c>
      <x:c r="C530" s="31" t="n">
        <x:v>46144</x:v>
      </x:c>
      <x:c r="D530" s="31" t="inlineStr">
        <x:is>
          <x:t xml:space="preserve">В работе</x:t>
        </x:is>
      </x:c>
      <x:c r="E530" s="31" t="inlineStr">
        <x:is>
          <x:t xml:space="preserve">Средний</x:t>
        </x:is>
      </x:c>
      <x:c r="F530" s="31" t="inlineStr">
        <x:is>
          <x:t xml:space="preserve">СОТР-097</x:t>
        </x:is>
      </x:c>
      <x:c r="G530" s="31" t="inlineStr">
        <x:is>
          <x:t xml:space="preserve">Производственное задание</x:t>
        </x:is>
      </x:c>
      <x:c r="H530" s="31" t="inlineStr">
        <x:is>
          <x:t xml:space="preserve">ПЗ-00142</x:t>
        </x:is>
      </x:c>
      <x:c r="I530" s="31" t="inlineStr">
        <x:is>
          <x:t xml:space="preserve">Разобрать простой</x:t>
        </x:is>
      </x:c>
      <x:c r="J530" s="31" t="inlineStr">
        <x:is>
          <x:t xml:space="preserve">Производство</x:t>
        </x:is>
      </x:c>
      <x:c r="K530" s="31" t="n">
        <x:v>0</x:v>
      </x:c>
      <x:c r="L530" s="31" t="inlineStr">
        <x:is>
          <x:t xml:space="preserve">Нет</x:t>
        </x:is>
      </x:c>
      <x:c r="M530" s="31" t="inlineStr">
        <x:is>
          <x:t xml:space="preserve">Нет</x:t>
        </x:is>
      </x:c>
      <x:c r="N530" s="31" t="inlineStr">
        <x:is>
          <x:t xml:space="preserve">Автосоздано правилом/пользователем 6</x:t>
        </x:is>
      </x:c>
    </x:row>
    <x:row r="531">
      <x:c r="A531" s="31" t="inlineStr">
        <x:is>
          <x:t xml:space="preserve">ЗД-00530</x:t>
        </x:is>
      </x:c>
      <x:c r="B531" s="31" t="n">
        <x:v>46182</x:v>
      </x:c>
      <x:c r="C531" s="31" t="n">
        <x:v>46189</x:v>
      </x:c>
      <x:c r="D531" s="31" t="inlineStr">
        <x:is>
          <x:t xml:space="preserve">Новая</x:t>
        </x:is>
      </x:c>
      <x:c r="E531" s="31" t="inlineStr">
        <x:is>
          <x:t xml:space="preserve">Средний</x:t>
        </x:is>
      </x:c>
      <x:c r="F531" s="31" t="inlineStr">
        <x:is>
          <x:t xml:space="preserve">СОТР-098</x:t>
        </x:is>
      </x:c>
      <x:c r="G531" s="31" t="inlineStr">
        <x:is>
          <x:t xml:space="preserve">Производственное задание</x:t>
        </x:is>
      </x:c>
      <x:c r="H531" s="31" t="inlineStr">
        <x:is>
          <x:t xml:space="preserve">ПЗ-00092</x:t>
        </x:is>
      </x:c>
      <x:c r="I531" s="31" t="inlineStr">
        <x:is>
          <x:t xml:space="preserve">Назначить оператора</x:t>
        </x:is>
      </x:c>
      <x:c r="J531" s="31" t="inlineStr">
        <x:is>
          <x:t xml:space="preserve">Финансы</x:t>
        </x:is>
      </x:c>
      <x:c r="K531" s="31" t="n">
        <x:v>0</x:v>
      </x:c>
      <x:c r="L531" s="31" t="inlineStr">
        <x:is>
          <x:t xml:space="preserve">Да</x:t>
        </x:is>
      </x:c>
      <x:c r="M531" s="31" t="inlineStr">
        <x:is>
          <x:t xml:space="preserve">Нет</x:t>
        </x:is>
      </x:c>
      <x:c r="N531" s="31" t="inlineStr">
        <x:is>
          <x:t xml:space="preserve">Автосоздано правилом/пользователем 1</x:t>
        </x:is>
      </x:c>
    </x:row>
    <x:row r="532">
      <x:c r="A532" s="31" t="inlineStr">
        <x:is>
          <x:t xml:space="preserve">ЗД-00531</x:t>
        </x:is>
      </x:c>
      <x:c r="B532" s="31" t="n">
        <x:v>46166</x:v>
      </x:c>
      <x:c r="C532" s="31" t="n">
        <x:v>46173</x:v>
      </x:c>
      <x:c r="D532" s="31" t="inlineStr">
        <x:is>
          <x:t xml:space="preserve">Просрочена</x:t>
        </x:is>
      </x:c>
      <x:c r="E532" s="31" t="inlineStr">
        <x:is>
          <x:t xml:space="preserve">Средний</x:t>
        </x:is>
      </x:c>
      <x:c r="F532" s="31" t="inlineStr">
        <x:is>
          <x:t xml:space="preserve">СОТР-073</x:t>
        </x:is>
      </x:c>
      <x:c r="G532" s="31" t="inlineStr">
        <x:is>
          <x:t xml:space="preserve">Производственное задание</x:t>
        </x:is>
      </x:c>
      <x:c r="H532" s="31" t="inlineStr">
        <x:is>
          <x:t xml:space="preserve">ПЗ-00258</x:t>
        </x:is>
      </x:c>
      <x:c r="I532" s="31" t="inlineStr">
        <x:is>
          <x:t xml:space="preserve">Закрыть сменный факт</x:t>
        </x:is>
      </x:c>
      <x:c r="J532" s="31" t="inlineStr">
        <x:is>
          <x:t xml:space="preserve">Финансы</x:t>
        </x:is>
      </x:c>
      <x:c r="K532" s="31" t="n">
        <x:v>12</x:v>
      </x:c>
      <x:c r="L532" s="31" t="inlineStr">
        <x:is>
          <x:t xml:space="preserve">Да</x:t>
        </x:is>
      </x:c>
      <x:c r="M532" s="31" t="inlineStr">
        <x:is>
          <x:t xml:space="preserve">Поставщик</x:t>
        </x:is>
      </x:c>
      <x:c r="N532" s="31" t="inlineStr">
        <x:is>
          <x:t xml:space="preserve">Автосоздано правилом/пользователем 2</x:t>
        </x:is>
      </x:c>
    </x:row>
    <x:row r="533">
      <x:c r="A533" s="31" t="inlineStr">
        <x:is>
          <x:t xml:space="preserve">ЗД-00532</x:t>
        </x:is>
      </x:c>
      <x:c r="B533" s="31" t="n">
        <x:v>46111</x:v>
      </x:c>
      <x:c r="C533" s="31" t="n">
        <x:v>46112</x:v>
      </x:c>
      <x:c r="D533" s="31" t="inlineStr">
        <x:is>
          <x:t xml:space="preserve">Выполнена</x:t>
        </x:is>
      </x:c>
      <x:c r="E533" s="31" t="inlineStr">
        <x:is>
          <x:t xml:space="preserve">Средний</x:t>
        </x:is>
      </x:c>
      <x:c r="F533" s="31" t="inlineStr">
        <x:is>
          <x:t xml:space="preserve">СОТР-003</x:t>
        </x:is>
      </x:c>
      <x:c r="G533" s="31" t="inlineStr">
        <x:is>
          <x:t xml:space="preserve">Заказ</x:t>
        </x:is>
      </x:c>
      <x:c r="H533" s="31" t="inlineStr">
        <x:is>
          <x:t xml:space="preserve">ЗК-1051</x:t>
        </x:is>
      </x:c>
      <x:c r="I533" s="31" t="inlineStr">
        <x:is>
          <x:t xml:space="preserve">Проверить лимит заказчика</x:t>
        </x:is>
      </x:c>
      <x:c r="J533" s="31" t="inlineStr">
        <x:is>
          <x:t xml:space="preserve">Сервис</x:t>
        </x:is>
      </x:c>
      <x:c r="K533" s="31" t="n">
        <x:v>0</x:v>
      </x:c>
      <x:c r="L533" s="31" t="inlineStr">
        <x:is>
          <x:t xml:space="preserve">Да</x:t>
        </x:is>
      </x:c>
      <x:c r="M533" s="31" t="inlineStr">
        <x:is>
          <x:t xml:space="preserve">Нет</x:t>
        </x:is>
      </x:c>
      <x:c r="N533" s="31" t="inlineStr">
        <x:is>
          <x:t xml:space="preserve">Автосоздано правилом/пользователем 8</x:t>
        </x:is>
      </x:c>
    </x:row>
    <x:row r="534">
      <x:c r="A534" s="31" t="inlineStr">
        <x:is>
          <x:t xml:space="preserve">ЗД-00533</x:t>
        </x:is>
      </x:c>
      <x:c r="B534" s="31" t="n">
        <x:v>46114</x:v>
      </x:c>
      <x:c r="C534" s="31" t="n">
        <x:v>46115</x:v>
      </x:c>
      <x:c r="D534" s="31" t="inlineStr">
        <x:is>
          <x:t xml:space="preserve">Просрочена</x:t>
        </x:is>
      </x:c>
      <x:c r="E534" s="31" t="inlineStr">
        <x:is>
          <x:t xml:space="preserve">Низкий</x:t>
        </x:is>
      </x:c>
      <x:c r="F534" s="31" t="inlineStr">
        <x:is>
          <x:t xml:space="preserve">СОТР-092</x:t>
        </x:is>
      </x:c>
      <x:c r="G534" s="31" t="inlineStr">
        <x:is>
          <x:t xml:space="preserve">ОТК</x:t>
        </x:is>
      </x:c>
      <x:c r="H534" s="31" t="inlineStr">
        <x:is>
          <x:t xml:space="preserve">ОТК-00135</x:t>
        </x:is>
      </x:c>
      <x:c r="I534" s="31" t="inlineStr">
        <x:is>
          <x:t xml:space="preserve">Оформить корректирующие действия</x:t>
        </x:is>
      </x:c>
      <x:c r="J534" s="31" t="inlineStr">
        <x:is>
          <x:t xml:space="preserve">Сервис</x:t>
        </x:is>
      </x:c>
      <x:c r="K534" s="31" t="n">
        <x:v>70</x:v>
      </x:c>
      <x:c r="L534" s="31" t="inlineStr">
        <x:is>
          <x:t xml:space="preserve">Да</x:t>
        </x:is>
      </x:c>
      <x:c r="M534" s="31" t="inlineStr">
        <x:is>
          <x:t xml:space="preserve">Нет</x:t>
        </x:is>
      </x:c>
      <x:c r="N534" s="31" t="inlineStr">
        <x:is>
          <x:t xml:space="preserve">Автосоздано правилом/пользователем 4</x:t>
        </x:is>
      </x:c>
    </x:row>
    <x:row r="535">
      <x:c r="A535" s="31" t="inlineStr">
        <x:is>
          <x:t xml:space="preserve">ЗД-00534</x:t>
        </x:is>
      </x:c>
      <x:c r="B535" s="31" t="n">
        <x:v>46166</x:v>
      </x:c>
      <x:c r="C535" s="31" t="n">
        <x:v>46176</x:v>
      </x:c>
      <x:c r="D535" s="31" t="inlineStr">
        <x:is>
          <x:t xml:space="preserve">В работе</x:t>
        </x:is>
      </x:c>
      <x:c r="E535" s="31" t="inlineStr">
        <x:is>
          <x:t xml:space="preserve">Средний</x:t>
        </x:is>
      </x:c>
      <x:c r="F535" s="31" t="inlineStr">
        <x:is>
          <x:t xml:space="preserve">СОТР-095</x:t>
        </x:is>
      </x:c>
      <x:c r="G535" s="31" t="inlineStr">
        <x:is>
          <x:t xml:space="preserve">Производственное задание</x:t>
        </x:is>
      </x:c>
      <x:c r="H535" s="31" t="inlineStr">
        <x:is>
          <x:t xml:space="preserve">ПЗ-00115</x:t>
        </x:is>
      </x:c>
      <x:c r="I535" s="31" t="inlineStr">
        <x:is>
          <x:t xml:space="preserve">Назначить оператора</x:t>
        </x:is>
      </x:c>
      <x:c r="J535" s="31" t="inlineStr">
        <x:is>
          <x:t xml:space="preserve">Снабжение</x:t>
        </x:is>
      </x:c>
      <x:c r="K535" s="31" t="n">
        <x:v>0</x:v>
      </x:c>
      <x:c r="L535" s="31" t="inlineStr">
        <x:is>
          <x:t xml:space="preserve">Да</x:t>
        </x:is>
      </x:c>
      <x:c r="M535" s="31" t="inlineStr">
        <x:is>
          <x:t xml:space="preserve">Заказчик</x:t>
        </x:is>
      </x:c>
      <x:c r="N535" s="31" t="inlineStr">
        <x:is>
          <x:t xml:space="preserve">Автосоздано правилом/пользователем 7</x:t>
        </x:is>
      </x:c>
    </x:row>
    <x:row r="536">
      <x:c r="A536" s="31" t="inlineStr">
        <x:is>
          <x:t xml:space="preserve">ЗД-00535</x:t>
        </x:is>
      </x:c>
      <x:c r="B536" s="31" t="n">
        <x:v>46170</x:v>
      </x:c>
      <x:c r="C536" s="31" t="n">
        <x:v>46171</x:v>
      </x:c>
      <x:c r="D536" s="31" t="inlineStr">
        <x:is>
          <x:t xml:space="preserve">Отменена</x:t>
        </x:is>
      </x:c>
      <x:c r="E536" s="31" t="inlineStr">
        <x:is>
          <x:t xml:space="preserve">Высокий</x:t>
        </x:is>
      </x:c>
      <x:c r="F536" s="31" t="inlineStr">
        <x:is>
          <x:t xml:space="preserve">СОТР-100</x:t>
        </x:is>
      </x:c>
      <x:c r="G536" s="31" t="inlineStr">
        <x:is>
          <x:t xml:space="preserve">Производственное задание</x:t>
        </x:is>
      </x:c>
      <x:c r="H536" s="31" t="inlineStr">
        <x:is>
          <x:t xml:space="preserve">ПЗ-00240</x:t>
        </x:is>
      </x:c>
      <x:c r="I536" s="31" t="inlineStr">
        <x:is>
          <x:t xml:space="preserve">Обновить готовность</x:t>
        </x:is>
      </x:c>
      <x:c r="J536" s="31" t="inlineStr">
        <x:is>
          <x:t xml:space="preserve">Продажи</x:t>
        </x:is>
      </x:c>
      <x:c r="K536" s="31" t="n">
        <x:v>0</x:v>
      </x:c>
      <x:c r="L536" s="31" t="inlineStr">
        <x:is>
          <x:t xml:space="preserve">Нет</x:t>
        </x:is>
      </x:c>
      <x:c r="M536" s="31" t="inlineStr">
        <x:is>
          <x:t xml:space="preserve">Нет</x:t>
        </x:is>
      </x:c>
      <x:c r="N536" s="31" t="inlineStr">
        <x:is>
          <x:t xml:space="preserve">Автосоздано правилом/пользователем 2</x:t>
        </x:is>
      </x:c>
    </x:row>
    <x:row r="537">
      <x:c r="A537" s="31" t="inlineStr">
        <x:is>
          <x:t xml:space="preserve">ЗД-00536</x:t>
        </x:is>
      </x:c>
      <x:c r="B537" s="31" t="n">
        <x:v>46158</x:v>
      </x:c>
      <x:c r="C537" s="31" t="n">
        <x:v>46159</x:v>
      </x:c>
      <x:c r="D537" s="31" t="inlineStr">
        <x:is>
          <x:t xml:space="preserve">Выполнена</x:t>
        </x:is>
      </x:c>
      <x:c r="E537" s="31" t="inlineStr">
        <x:is>
          <x:t xml:space="preserve">Средний</x:t>
        </x:is>
      </x:c>
      <x:c r="F537" s="31" t="inlineStr">
        <x:is>
          <x:t xml:space="preserve">СОТР-093</x:t>
        </x:is>
      </x:c>
      <x:c r="G537" s="31" t="inlineStr">
        <x:is>
          <x:t xml:space="preserve">Производственное задание</x:t>
        </x:is>
      </x:c>
      <x:c r="H537" s="31" t="inlineStr">
        <x:is>
          <x:t xml:space="preserve">ПЗ-00014</x:t>
        </x:is>
      </x:c>
      <x:c r="I537" s="31" t="inlineStr">
        <x:is>
          <x:t xml:space="preserve">Проверить дефицит материалов</x:t>
        </x:is>
      </x:c>
      <x:c r="J537" s="31" t="inlineStr">
        <x:is>
          <x:t xml:space="preserve">Финансы</x:t>
        </x:is>
      </x:c>
      <x:c r="K537" s="31" t="n">
        <x:v>0</x:v>
      </x:c>
      <x:c r="L537" s="31" t="inlineStr">
        <x:is>
          <x:t xml:space="preserve">Да</x:t>
        </x:is>
      </x:c>
      <x:c r="M537" s="31" t="inlineStr">
        <x:is>
          <x:t xml:space="preserve">Нет</x:t>
        </x:is>
      </x:c>
      <x:c r="N537" s="31" t="inlineStr">
        <x:is>
          <x:t xml:space="preserve">Автосоздано правилом/пользователем 11</x:t>
        </x:is>
      </x:c>
    </x:row>
    <x:row r="538">
      <x:c r="A538" s="31" t="inlineStr">
        <x:is>
          <x:t xml:space="preserve">ЗД-00537</x:t>
        </x:is>
      </x:c>
      <x:c r="B538" s="31" t="n">
        <x:v>46139</x:v>
      </x:c>
      <x:c r="C538" s="31" t="n">
        <x:v>46140</x:v>
      </x:c>
      <x:c r="D538" s="31" t="inlineStr">
        <x:is>
          <x:t xml:space="preserve">В работе</x:t>
        </x:is>
      </x:c>
      <x:c r="E538" s="31" t="inlineStr">
        <x:is>
          <x:t xml:space="preserve">Средний</x:t>
        </x:is>
      </x:c>
      <x:c r="F538" s="31" t="inlineStr">
        <x:is>
          <x:t xml:space="preserve">СОТР-063</x:t>
        </x:is>
      </x:c>
      <x:c r="G538" s="31" t="inlineStr">
        <x:is>
          <x:t xml:space="preserve">ОТК</x:t>
        </x:is>
      </x:c>
      <x:c r="H538" s="31" t="inlineStr">
        <x:is>
          <x:t xml:space="preserve">ОТК-00044</x:t>
        </x:is>
      </x:c>
      <x:c r="I538" s="31" t="inlineStr">
        <x:is>
          <x:t xml:space="preserve">Согласовать приемку с замечаниями</x:t>
        </x:is>
      </x:c>
      <x:c r="J538" s="31" t="inlineStr">
        <x:is>
          <x:t xml:space="preserve">Продажи</x:t>
        </x:is>
      </x:c>
      <x:c r="K538" s="31" t="n">
        <x:v>0</x:v>
      </x:c>
      <x:c r="L538" s="31" t="inlineStr">
        <x:is>
          <x:t xml:space="preserve">Нет</x:t>
        </x:is>
      </x:c>
      <x:c r="M538" s="31" t="inlineStr">
        <x:is>
          <x:t xml:space="preserve">Нет</x:t>
        </x:is>
      </x:c>
      <x:c r="N538" s="31" t="inlineStr">
        <x:is>
          <x:t xml:space="preserve">Автосоздано правилом/пользователем 8</x:t>
        </x:is>
      </x:c>
    </x:row>
    <x:row r="539">
      <x:c r="A539" s="31" t="inlineStr">
        <x:is>
          <x:t xml:space="preserve">ЗД-00538</x:t>
        </x:is>
      </x:c>
      <x:c r="B539" s="31" t="n">
        <x:v>46125</x:v>
      </x:c>
      <x:c r="C539" s="31" t="n">
        <x:v>46127</x:v>
      </x:c>
      <x:c r="D539" s="31" t="inlineStr">
        <x:is>
          <x:t xml:space="preserve">Ожидает ответа</x:t>
        </x:is>
      </x:c>
      <x:c r="E539" s="31" t="inlineStr">
        <x:is>
          <x:t xml:space="preserve">Средний</x:t>
        </x:is>
      </x:c>
      <x:c r="F539" s="31" t="inlineStr">
        <x:is>
          <x:t xml:space="preserve">СОТР-070</x:t>
        </x:is>
      </x:c>
      <x:c r="G539" s="31" t="inlineStr">
        <x:is>
          <x:t xml:space="preserve">ОТК</x:t>
        </x:is>
      </x:c>
      <x:c r="H539" s="31" t="inlineStr">
        <x:is>
          <x:t xml:space="preserve">ОТК-00042</x:t>
        </x:is>
      </x:c>
      <x:c r="I539" s="31" t="inlineStr">
        <x:is>
          <x:t xml:space="preserve">Проверить доработку</x:t>
        </x:is>
      </x:c>
      <x:c r="J539" s="31" t="inlineStr">
        <x:is>
          <x:t xml:space="preserve">Сервис</x:t>
        </x:is>
      </x:c>
      <x:c r="K539" s="31" t="n">
        <x:v>0</x:v>
      </x:c>
      <x:c r="L539" s="31" t="inlineStr">
        <x:is>
          <x:t xml:space="preserve">Нет</x:t>
        </x:is>
      </x:c>
      <x:c r="M539" s="31" t="inlineStr">
        <x:is>
          <x:t xml:space="preserve">Нет</x:t>
        </x:is>
      </x:c>
      <x:c r="N539" s="31" t="inlineStr">
        <x:is>
          <x:t xml:space="preserve">Автосоздано правилом/пользователем 4</x:t>
        </x:is>
      </x:c>
    </x:row>
    <x:row r="540">
      <x:c r="A540" s="31" t="inlineStr">
        <x:is>
          <x:t xml:space="preserve">ЗД-00539</x:t>
        </x:is>
      </x:c>
      <x:c r="B540" s="31" t="n">
        <x:v>46159</x:v>
      </x:c>
      <x:c r="C540" s="31" t="n">
        <x:v>46160</x:v>
      </x:c>
      <x:c r="D540" s="31" t="inlineStr">
        <x:is>
          <x:t xml:space="preserve">Выполнена</x:t>
        </x:is>
      </x:c>
      <x:c r="E540" s="31" t="inlineStr">
        <x:is>
          <x:t xml:space="preserve">Средний</x:t>
        </x:is>
      </x:c>
      <x:c r="F540" s="31" t="inlineStr">
        <x:is>
          <x:t xml:space="preserve">СОТР-097</x:t>
        </x:is>
      </x:c>
      <x:c r="G540" s="31" t="inlineStr">
        <x:is>
          <x:t xml:space="preserve">ОТК</x:t>
        </x:is>
      </x:c>
      <x:c r="H540" s="31" t="inlineStr">
        <x:is>
          <x:t xml:space="preserve">ОТК-00156</x:t>
        </x:is>
      </x:c>
      <x:c r="I540" s="31" t="inlineStr">
        <x:is>
          <x:t xml:space="preserve">Согласовать приемку с замечаниями</x:t>
        </x:is>
      </x:c>
      <x:c r="J540" s="31" t="inlineStr">
        <x:is>
          <x:t xml:space="preserve">Продажи</x:t>
        </x:is>
      </x:c>
      <x:c r="K540" s="31" t="n">
        <x:v>0</x:v>
      </x:c>
      <x:c r="L540" s="31" t="inlineStr">
        <x:is>
          <x:t xml:space="preserve">Нет</x:t>
        </x:is>
      </x:c>
      <x:c r="M540" s="31" t="inlineStr">
        <x:is>
          <x:t xml:space="preserve">Заказчик</x:t>
        </x:is>
      </x:c>
      <x:c r="N540" s="31" t="inlineStr">
        <x:is>
          <x:t xml:space="preserve">Автосоздано правилом/пользователем 12</x:t>
        </x:is>
      </x:c>
    </x:row>
    <x:row r="541">
      <x:c r="A541" s="31" t="inlineStr">
        <x:is>
          <x:t xml:space="preserve">ЗД-00540</x:t>
        </x:is>
      </x:c>
      <x:c r="B541" s="31" t="n">
        <x:v>46140</x:v>
      </x:c>
      <x:c r="C541" s="31" t="n">
        <x:v>46150</x:v>
      </x:c>
      <x:c r="D541" s="31" t="inlineStr">
        <x:is>
          <x:t xml:space="preserve">Выполнена</x:t>
        </x:is>
      </x:c>
      <x:c r="E541" s="31" t="inlineStr">
        <x:is>
          <x:t xml:space="preserve">Низкий</x:t>
        </x:is>
      </x:c>
      <x:c r="F541" s="31" t="inlineStr">
        <x:is>
          <x:t xml:space="preserve">СОТР-062</x:t>
        </x:is>
      </x:c>
      <x:c r="G541" s="31" t="inlineStr">
        <x:is>
          <x:t xml:space="preserve">Производственное задание</x:t>
        </x:is>
      </x:c>
      <x:c r="H541" s="31" t="inlineStr">
        <x:is>
          <x:t xml:space="preserve">ПЗ-00011</x:t>
        </x:is>
      </x:c>
      <x:c r="I541" s="31" t="inlineStr">
        <x:is>
          <x:t xml:space="preserve">Назначить оператора</x:t>
        </x:is>
      </x:c>
      <x:c r="J541" s="31" t="inlineStr">
        <x:is>
          <x:t xml:space="preserve">Финансы</x:t>
        </x:is>
      </x:c>
      <x:c r="K541" s="31" t="n">
        <x:v>0</x:v>
      </x:c>
      <x:c r="L541" s="31" t="inlineStr">
        <x:is>
          <x:t xml:space="preserve">Нет</x:t>
        </x:is>
      </x:c>
      <x:c r="M541" s="31" t="inlineStr">
        <x:is>
          <x:t xml:space="preserve">Нет</x:t>
        </x:is>
      </x:c>
      <x:c r="N541" s="31" t="inlineStr">
        <x:is>
          <x:t xml:space="preserve">Автосоздано правилом/пользователем 10</x:t>
        </x:is>
      </x:c>
    </x:row>
    <x:row r="542">
      <x:c r="A542" s="31" t="inlineStr">
        <x:is>
          <x:t xml:space="preserve">ЗД-00541</x:t>
        </x:is>
      </x:c>
      <x:c r="B542" s="31" t="n">
        <x:v>46128</x:v>
      </x:c>
      <x:c r="C542" s="31" t="n">
        <x:v>46138</x:v>
      </x:c>
      <x:c r="D542" s="31" t="inlineStr">
        <x:is>
          <x:t xml:space="preserve">В работе</x:t>
        </x:is>
      </x:c>
      <x:c r="E542" s="31" t="inlineStr">
        <x:is>
          <x:t xml:space="preserve">Средний</x:t>
        </x:is>
      </x:c>
      <x:c r="F542" s="31" t="inlineStr">
        <x:is>
          <x:t xml:space="preserve">СОТР-095</x:t>
        </x:is>
      </x:c>
      <x:c r="G542" s="31" t="inlineStr">
        <x:is>
          <x:t xml:space="preserve">Производственное задание</x:t>
        </x:is>
      </x:c>
      <x:c r="H542" s="31" t="inlineStr">
        <x:is>
          <x:t xml:space="preserve">ПЗ-00130</x:t>
        </x:is>
      </x:c>
      <x:c r="I542" s="31" t="inlineStr">
        <x:is>
          <x:t xml:space="preserve">Проверить дефицит материалов</x:t>
        </x:is>
      </x:c>
      <x:c r="J542" s="31" t="inlineStr">
        <x:is>
          <x:t xml:space="preserve">Снабжение</x:t>
        </x:is>
      </x:c>
      <x:c r="K542" s="31" t="n">
        <x:v>0</x:v>
      </x:c>
      <x:c r="L542" s="31" t="inlineStr">
        <x:is>
          <x:t xml:space="preserve">Нет</x:t>
        </x:is>
      </x:c>
      <x:c r="M542" s="31" t="inlineStr">
        <x:is>
          <x:t xml:space="preserve">Нет</x:t>
        </x:is>
      </x:c>
      <x:c r="N542" s="31" t="inlineStr">
        <x:is>
          <x:t xml:space="preserve">Автосоздано правилом/пользователем 9</x:t>
        </x:is>
      </x:c>
    </x:row>
    <x:row r="543">
      <x:c r="A543" s="31" t="inlineStr">
        <x:is>
          <x:t xml:space="preserve">ЗД-00542</x:t>
        </x:is>
      </x:c>
      <x:c r="B543" s="31" t="n">
        <x:v>46149</x:v>
      </x:c>
      <x:c r="C543" s="31" t="n">
        <x:v>46154</x:v>
      </x:c>
      <x:c r="D543" s="31" t="inlineStr">
        <x:is>
          <x:t xml:space="preserve">Ожидает ответа</x:t>
        </x:is>
      </x:c>
      <x:c r="E543" s="31" t="inlineStr">
        <x:is>
          <x:t xml:space="preserve">Низкий</x:t>
        </x:is>
      </x:c>
      <x:c r="F543" s="31" t="inlineStr">
        <x:is>
          <x:t xml:space="preserve">СОТР-096</x:t>
        </x:is>
      </x:c>
      <x:c r="G543" s="31" t="inlineStr">
        <x:is>
          <x:t xml:space="preserve">ОТК</x:t>
        </x:is>
      </x:c>
      <x:c r="H543" s="31" t="inlineStr">
        <x:is>
          <x:t xml:space="preserve">ОТК-00073</x:t>
        </x:is>
      </x:c>
      <x:c r="I543" s="31" t="inlineStr">
        <x:is>
          <x:t xml:space="preserve">Проверить доработку</x:t>
        </x:is>
      </x:c>
      <x:c r="J543" s="31" t="inlineStr">
        <x:is>
          <x:t xml:space="preserve">Производство</x:t>
        </x:is>
      </x:c>
      <x:c r="K543" s="31" t="n">
        <x:v>0</x:v>
      </x:c>
      <x:c r="L543" s="31" t="inlineStr">
        <x:is>
          <x:t xml:space="preserve">Нет</x:t>
        </x:is>
      </x:c>
      <x:c r="M543" s="31" t="inlineStr">
        <x:is>
          <x:t xml:space="preserve">Нет</x:t>
        </x:is>
      </x:c>
      <x:c r="N543" s="31" t="inlineStr">
        <x:is>
          <x:t xml:space="preserve">Автосоздано правилом/пользователем 9</x:t>
        </x:is>
      </x:c>
    </x:row>
    <x:row r="544">
      <x:c r="A544" s="31" t="inlineStr">
        <x:is>
          <x:t xml:space="preserve">ЗД-00543</x:t>
        </x:is>
      </x:c>
      <x:c r="B544" s="31" t="n">
        <x:v>46129</x:v>
      </x:c>
      <x:c r="C544" s="31" t="n">
        <x:v>46131</x:v>
      </x:c>
      <x:c r="D544" s="31" t="inlineStr">
        <x:is>
          <x:t xml:space="preserve">Новая</x:t>
        </x:is>
      </x:c>
      <x:c r="E544" s="31" t="inlineStr">
        <x:is>
          <x:t xml:space="preserve">Средний</x:t>
        </x:is>
      </x:c>
      <x:c r="F544" s="31" t="inlineStr">
        <x:is>
          <x:t xml:space="preserve">СОТР-028</x:t>
        </x:is>
      </x:c>
      <x:c r="G544" s="31" t="inlineStr">
        <x:is>
          <x:t xml:space="preserve">Счет</x:t>
        </x:is>
      </x:c>
      <x:c r="H544" s="31" t="inlineStr">
        <x:is>
          <x:t xml:space="preserve">СЧ-1046-1</x:t>
        </x:is>
      </x:c>
      <x:c r="I544" s="31" t="inlineStr">
        <x:is>
          <x:t xml:space="preserve">Проверить оплату</x:t>
        </x:is>
      </x:c>
      <x:c r="J544" s="31" t="inlineStr">
        <x:is>
          <x:t xml:space="preserve">Сервис</x:t>
        </x:is>
      </x:c>
      <x:c r="K544" s="31" t="n">
        <x:v>0</x:v>
      </x:c>
      <x:c r="L544" s="31" t="inlineStr">
        <x:is>
          <x:t xml:space="preserve">Да</x:t>
        </x:is>
      </x:c>
      <x:c r="M544" s="31" t="inlineStr">
        <x:is>
          <x:t xml:space="preserve">Заказчик</x:t>
        </x:is>
      </x:c>
      <x:c r="N544" s="31" t="inlineStr">
        <x:is>
          <x:t xml:space="preserve">Автосоздано правилом/пользователем 4</x:t>
        </x:is>
      </x:c>
    </x:row>
    <x:row r="545">
      <x:c r="A545" s="31" t="inlineStr">
        <x:is>
          <x:t xml:space="preserve">ЗД-00544</x:t>
        </x:is>
      </x:c>
      <x:c r="B545" s="31" t="n">
        <x:v>46158</x:v>
      </x:c>
      <x:c r="C545" s="31" t="n">
        <x:v>46163</x:v>
      </x:c>
      <x:c r="D545" s="31" t="inlineStr">
        <x:is>
          <x:t xml:space="preserve">Просрочена</x:t>
        </x:is>
      </x:c>
      <x:c r="E545" s="31" t="inlineStr">
        <x:is>
          <x:t xml:space="preserve">Средний</x:t>
        </x:is>
      </x:c>
      <x:c r="F545" s="31" t="inlineStr">
        <x:is>
          <x:t xml:space="preserve">СОТР-067</x:t>
        </x:is>
      </x:c>
      <x:c r="G545" s="31" t="inlineStr">
        <x:is>
          <x:t xml:space="preserve">Счет</x:t>
        </x:is>
      </x:c>
      <x:c r="H545" s="31" t="inlineStr">
        <x:is>
          <x:t xml:space="preserve">СЧ-1064-1</x:t>
        </x:is>
      </x:c>
      <x:c r="I545" s="31" t="inlineStr">
        <x:is>
          <x:t xml:space="preserve">Напомнить об оплате</x:t>
        </x:is>
      </x:c>
      <x:c r="J545" s="31" t="inlineStr">
        <x:is>
          <x:t xml:space="preserve">Производство</x:t>
        </x:is>
      </x:c>
      <x:c r="K545" s="31" t="n">
        <x:v>22</x:v>
      </x:c>
      <x:c r="L545" s="31" t="inlineStr">
        <x:is>
          <x:t xml:space="preserve">Нет</x:t>
        </x:is>
      </x:c>
      <x:c r="M545" s="31" t="inlineStr">
        <x:is>
          <x:t xml:space="preserve">Поставщик</x:t>
        </x:is>
      </x:c>
      <x:c r="N545" s="31" t="inlineStr">
        <x:is>
          <x:t xml:space="preserve">Автосоздано правилом/пользователем 8</x:t>
        </x:is>
      </x:c>
    </x:row>
    <x:row r="546">
      <x:c r="A546" s="31" t="inlineStr">
        <x:is>
          <x:t xml:space="preserve">ЗД-00545</x:t>
        </x:is>
      </x:c>
      <x:c r="B546" s="31" t="n">
        <x:v>46141</x:v>
      </x:c>
      <x:c r="C546" s="31" t="n">
        <x:v>46148</x:v>
      </x:c>
      <x:c r="D546" s="31" t="inlineStr">
        <x:is>
          <x:t xml:space="preserve">Просрочена</x:t>
        </x:is>
      </x:c>
      <x:c r="E546" s="31" t="inlineStr">
        <x:is>
          <x:t xml:space="preserve">Средний</x:t>
        </x:is>
      </x:c>
      <x:c r="F546" s="31" t="inlineStr">
        <x:is>
          <x:t xml:space="preserve">СОТР-026</x:t>
        </x:is>
      </x:c>
      <x:c r="G546" s="31" t="inlineStr">
        <x:is>
          <x:t xml:space="preserve">Закупка</x:t>
        </x:is>
      </x:c>
      <x:c r="H546" s="31" t="inlineStr">
        <x:is>
          <x:t xml:space="preserve">ЗЗ-00018</x:t>
        </x:is>
      </x:c>
      <x:c r="I546" s="31" t="inlineStr">
        <x:is>
          <x:t xml:space="preserve">Запросить срок поставки</x:t>
        </x:is>
      </x:c>
      <x:c r="J546" s="31" t="inlineStr">
        <x:is>
          <x:t xml:space="preserve">Производство</x:t>
        </x:is>
      </x:c>
      <x:c r="K546" s="31" t="n">
        <x:v>37</x:v>
      </x:c>
      <x:c r="L546" s="31" t="inlineStr">
        <x:is>
          <x:t xml:space="preserve">Нет</x:t>
        </x:is>
      </x:c>
      <x:c r="M546" s="31" t="inlineStr">
        <x:is>
          <x:t xml:space="preserve">Нет</x:t>
        </x:is>
      </x:c>
      <x:c r="N546" s="31" t="inlineStr">
        <x:is>
          <x:t xml:space="preserve">Автосоздано правилом/пользователем 2</x:t>
        </x:is>
      </x:c>
    </x:row>
    <x:row r="547">
      <x:c r="A547" s="31" t="inlineStr">
        <x:is>
          <x:t xml:space="preserve">ЗД-00546</x:t>
        </x:is>
      </x:c>
      <x:c r="B547" s="31" t="n">
        <x:v>46110</x:v>
      </x:c>
      <x:c r="C547" s="31" t="n">
        <x:v>46113</x:v>
      </x:c>
      <x:c r="D547" s="31" t="inlineStr">
        <x:is>
          <x:t xml:space="preserve">Просрочена</x:t>
        </x:is>
      </x:c>
      <x:c r="E547" s="31" t="inlineStr">
        <x:is>
          <x:t xml:space="preserve">Высокий</x:t>
        </x:is>
      </x:c>
      <x:c r="F547" s="31" t="inlineStr">
        <x:is>
          <x:t xml:space="preserve">СОТР-005</x:t>
        </x:is>
      </x:c>
      <x:c r="G547" s="31" t="inlineStr">
        <x:is>
          <x:t xml:space="preserve">Заказ</x:t>
        </x:is>
      </x:c>
      <x:c r="H547" s="31" t="inlineStr">
        <x:is>
          <x:t xml:space="preserve">ЗК-1004</x:t>
        </x:is>
      </x:c>
      <x:c r="I547" s="31" t="inlineStr">
        <x:is>
          <x:t xml:space="preserve">Согласовать скидку</x:t>
        </x:is>
      </x:c>
      <x:c r="J547" s="31" t="inlineStr">
        <x:is>
          <x:t xml:space="preserve">Финансы</x:t>
        </x:is>
      </x:c>
      <x:c r="K547" s="31" t="n">
        <x:v>72</x:v>
      </x:c>
      <x:c r="L547" s="31" t="inlineStr">
        <x:is>
          <x:t xml:space="preserve">Да</x:t>
        </x:is>
      </x:c>
      <x:c r="M547" s="31" t="inlineStr">
        <x:is>
          <x:t xml:space="preserve">Нет</x:t>
        </x:is>
      </x:c>
      <x:c r="N547" s="31" t="inlineStr">
        <x:is>
          <x:t xml:space="preserve">Автосоздано правилом/пользователем 11</x:t>
        </x:is>
      </x:c>
    </x:row>
    <x:row r="548">
      <x:c r="A548" s="31" t="inlineStr">
        <x:is>
          <x:t xml:space="preserve">ЗД-00547</x:t>
        </x:is>
      </x:c>
      <x:c r="B548" s="31" t="n">
        <x:v>46151</x:v>
      </x:c>
      <x:c r="C548" s="31" t="n">
        <x:v>46161</x:v>
      </x:c>
      <x:c r="D548" s="31" t="inlineStr">
        <x:is>
          <x:t xml:space="preserve">Просрочена</x:t>
        </x:is>
      </x:c>
      <x:c r="E548" s="31" t="inlineStr">
        <x:is>
          <x:t xml:space="preserve">Высокий</x:t>
        </x:is>
      </x:c>
      <x:c r="F548" s="31" t="inlineStr">
        <x:is>
          <x:t xml:space="preserve">СОТР-099</x:t>
        </x:is>
      </x:c>
      <x:c r="G548" s="31" t="inlineStr">
        <x:is>
          <x:t xml:space="preserve">Производственное задание</x:t>
        </x:is>
      </x:c>
      <x:c r="H548" s="31" t="inlineStr">
        <x:is>
          <x:t xml:space="preserve">ПЗ-00002</x:t>
        </x:is>
      </x:c>
      <x:c r="I548" s="31" t="inlineStr">
        <x:is>
          <x:t xml:space="preserve">Закрыть сменный факт</x:t>
        </x:is>
      </x:c>
      <x:c r="J548" s="31" t="inlineStr">
        <x:is>
          <x:t xml:space="preserve">Снабжение</x:t>
        </x:is>
      </x:c>
      <x:c r="K548" s="31" t="n">
        <x:v>24</x:v>
      </x:c>
      <x:c r="L548" s="31" t="inlineStr">
        <x:is>
          <x:t xml:space="preserve">Нет</x:t>
        </x:is>
      </x:c>
      <x:c r="M548" s="31" t="inlineStr">
        <x:is>
          <x:t xml:space="preserve">Нет</x:t>
        </x:is>
      </x:c>
      <x:c r="N548" s="31" t="inlineStr">
        <x:is>
          <x:t xml:space="preserve">Автосоздано правилом/пользователем 1</x:t>
        </x:is>
      </x:c>
    </x:row>
    <x:row r="549">
      <x:c r="A549" s="31" t="inlineStr">
        <x:is>
          <x:t xml:space="preserve">ЗД-00548</x:t>
        </x:is>
      </x:c>
      <x:c r="B549" s="31" t="n">
        <x:v>46128</x:v>
      </x:c>
      <x:c r="C549" s="31" t="n">
        <x:v>46133</x:v>
      </x:c>
      <x:c r="D549" s="31" t="inlineStr">
        <x:is>
          <x:t xml:space="preserve">В работе</x:t>
        </x:is>
      </x:c>
      <x:c r="E549" s="31" t="inlineStr">
        <x:is>
          <x:t xml:space="preserve">Средний</x:t>
        </x:is>
      </x:c>
      <x:c r="F549" s="31" t="inlineStr">
        <x:is>
          <x:t xml:space="preserve">СОТР-100</x:t>
        </x:is>
      </x:c>
      <x:c r="G549" s="31" t="inlineStr">
        <x:is>
          <x:t xml:space="preserve">ОТК</x:t>
        </x:is>
      </x:c>
      <x:c r="H549" s="31" t="inlineStr">
        <x:is>
          <x:t xml:space="preserve">ОТК-00178</x:t>
        </x:is>
      </x:c>
      <x:c r="I549" s="31" t="inlineStr">
        <x:is>
          <x:t xml:space="preserve">Оформить корректирующие действия</x:t>
        </x:is>
      </x:c>
      <x:c r="J549" s="31" t="inlineStr">
        <x:is>
          <x:t xml:space="preserve">Финансы</x:t>
        </x:is>
      </x:c>
      <x:c r="K549" s="31" t="n">
        <x:v>0</x:v>
      </x:c>
      <x:c r="L549" s="31" t="inlineStr">
        <x:is>
          <x:t xml:space="preserve">Нет</x:t>
        </x:is>
      </x:c>
      <x:c r="M549" s="31" t="inlineStr">
        <x:is>
          <x:t xml:space="preserve">Нет</x:t>
        </x:is>
      </x:c>
      <x:c r="N549" s="31" t="inlineStr">
        <x:is>
          <x:t xml:space="preserve">Автосоздано правилом/пользователем 7</x:t>
        </x:is>
      </x:c>
    </x:row>
    <x:row r="550">
      <x:c r="A550" s="31" t="inlineStr">
        <x:is>
          <x:t xml:space="preserve">ЗД-00549</x:t>
        </x:is>
      </x:c>
      <x:c r="B550" s="31" t="n">
        <x:v>46185</x:v>
      </x:c>
      <x:c r="C550" s="31" t="n">
        <x:v>46186</x:v>
      </x:c>
      <x:c r="D550" s="31" t="inlineStr">
        <x:is>
          <x:t xml:space="preserve">Просрочена</x:t>
        </x:is>
      </x:c>
      <x:c r="E550" s="31" t="inlineStr">
        <x:is>
          <x:t xml:space="preserve">Срочный</x:t>
        </x:is>
      </x:c>
      <x:c r="F550" s="31" t="inlineStr">
        <x:is>
          <x:t xml:space="preserve">СОТР-076</x:t>
        </x:is>
      </x:c>
      <x:c r="G550" s="31" t="inlineStr">
        <x:is>
          <x:t xml:space="preserve">Счет</x:t>
        </x:is>
      </x:c>
      <x:c r="H550" s="31" t="inlineStr">
        <x:is>
          <x:t xml:space="preserve">СЧ-1038-1</x:t>
        </x:is>
      </x:c>
      <x:c r="I550" s="31" t="inlineStr">
        <x:is>
          <x:t xml:space="preserve">Проверить оплату</x:t>
        </x:is>
      </x:c>
      <x:c r="J550" s="31" t="inlineStr">
        <x:is>
          <x:t xml:space="preserve">Продажи</x:t>
        </x:is>
      </x:c>
      <x:c r="K550" s="31" t="n">
        <x:v>-1</x:v>
      </x:c>
      <x:c r="L550" s="31" t="inlineStr">
        <x:is>
          <x:t xml:space="preserve">Да</x:t>
        </x:is>
      </x:c>
      <x:c r="M550" s="31" t="inlineStr">
        <x:is>
          <x:t xml:space="preserve">Заказчик</x:t>
        </x:is>
      </x:c>
      <x:c r="N550" s="31" t="inlineStr">
        <x:is>
          <x:t xml:space="preserve">Автосоздано правилом/пользователем 8</x:t>
        </x:is>
      </x:c>
    </x:row>
    <x:row r="551">
      <x:c r="A551" s="31" t="inlineStr">
        <x:is>
          <x:t xml:space="preserve">ЗД-00550</x:t>
        </x:is>
      </x:c>
      <x:c r="B551" s="31" t="n">
        <x:v>46149</x:v>
      </x:c>
      <x:c r="C551" s="31" t="n">
        <x:v>46156</x:v>
      </x:c>
      <x:c r="D551" s="31" t="inlineStr">
        <x:is>
          <x:t xml:space="preserve">Выполнена</x:t>
        </x:is>
      </x:c>
      <x:c r="E551" s="31" t="inlineStr">
        <x:is>
          <x:t xml:space="preserve">Средний</x:t>
        </x:is>
      </x:c>
      <x:c r="F551" s="31" t="inlineStr">
        <x:is>
          <x:t xml:space="preserve">СОТР-005</x:t>
        </x:is>
      </x:c>
      <x:c r="G551" s="31" t="inlineStr">
        <x:is>
          <x:t xml:space="preserve">Заказ</x:t>
        </x:is>
      </x:c>
      <x:c r="H551" s="31" t="inlineStr">
        <x:is>
          <x:t xml:space="preserve">ЗК-1128</x:t>
        </x:is>
      </x:c>
      <x:c r="I551" s="31" t="inlineStr">
        <x:is>
          <x:t xml:space="preserve">Подписать спецификацию</x:t>
        </x:is>
      </x:c>
      <x:c r="J551" s="31" t="inlineStr">
        <x:is>
          <x:t xml:space="preserve">Производство</x:t>
        </x:is>
      </x:c>
      <x:c r="K551" s="31" t="n">
        <x:v>0</x:v>
      </x:c>
      <x:c r="L551" s="31" t="inlineStr">
        <x:is>
          <x:t xml:space="preserve">Нет</x:t>
        </x:is>
      </x:c>
      <x:c r="M551" s="31" t="inlineStr">
        <x:is>
          <x:t xml:space="preserve">Нет</x:t>
        </x:is>
      </x:c>
      <x:c r="N551" s="31" t="inlineStr">
        <x:is>
          <x:t xml:space="preserve">Автосоздано правилом/пользователем 6</x:t>
        </x:is>
      </x:c>
    </x:row>
    <x:row r="552">
      <x:c r="A552" s="31" t="inlineStr">
        <x:is>
          <x:t xml:space="preserve">ЗД-00551</x:t>
        </x:is>
      </x:c>
      <x:c r="B552" s="31" t="n">
        <x:v>46155</x:v>
      </x:c>
      <x:c r="C552" s="31" t="n">
        <x:v>46156</x:v>
      </x:c>
      <x:c r="D552" s="31" t="inlineStr">
        <x:is>
          <x:t xml:space="preserve">Просрочена</x:t>
        </x:is>
      </x:c>
      <x:c r="E552" s="31" t="inlineStr">
        <x:is>
          <x:t xml:space="preserve">Средний</x:t>
        </x:is>
      </x:c>
      <x:c r="F552" s="31" t="inlineStr">
        <x:is>
          <x:t xml:space="preserve">СОТР-112</x:t>
        </x:is>
      </x:c>
      <x:c r="G552" s="31" t="inlineStr">
        <x:is>
          <x:t xml:space="preserve">Производственное задание</x:t>
        </x:is>
      </x:c>
      <x:c r="H552" s="31" t="inlineStr">
        <x:is>
          <x:t xml:space="preserve">ПЗ-00047</x:t>
        </x:is>
      </x:c>
      <x:c r="I552" s="31" t="inlineStr">
        <x:is>
          <x:t xml:space="preserve">Закрыть сменный факт</x:t>
        </x:is>
      </x:c>
      <x:c r="J552" s="31" t="inlineStr">
        <x:is>
          <x:t xml:space="preserve">ОТК</x:t>
        </x:is>
      </x:c>
      <x:c r="K552" s="31" t="n">
        <x:v>29</x:v>
      </x:c>
      <x:c r="L552" s="31" t="inlineStr">
        <x:is>
          <x:t xml:space="preserve">Нет</x:t>
        </x:is>
      </x:c>
      <x:c r="M552" s="31" t="inlineStr">
        <x:is>
          <x:t xml:space="preserve">Нет</x:t>
        </x:is>
      </x:c>
      <x:c r="N552" s="31" t="inlineStr">
        <x:is>
          <x:t xml:space="preserve">Автосоздано правилом/пользователем 3</x:t>
        </x:is>
      </x:c>
    </x:row>
    <x:row r="553">
      <x:c r="A553" s="31" t="inlineStr">
        <x:is>
          <x:t xml:space="preserve">ЗД-00552</x:t>
        </x:is>
      </x:c>
      <x:c r="B553" s="31" t="n">
        <x:v>46121</x:v>
      </x:c>
      <x:c r="C553" s="31" t="n">
        <x:v>46135</x:v>
      </x:c>
      <x:c r="D553" s="31" t="inlineStr">
        <x:is>
          <x:t xml:space="preserve">Новая</x:t>
        </x:is>
      </x:c>
      <x:c r="E553" s="31" t="inlineStr">
        <x:is>
          <x:t xml:space="preserve">Срочный</x:t>
        </x:is>
      </x:c>
      <x:c r="F553" s="31" t="inlineStr">
        <x:is>
          <x:t xml:space="preserve">СОТР-005</x:t>
        </x:is>
      </x:c>
      <x:c r="G553" s="31" t="inlineStr">
        <x:is>
          <x:t xml:space="preserve">Заказ</x:t>
        </x:is>
      </x:c>
      <x:c r="H553" s="31" t="inlineStr">
        <x:is>
          <x:t xml:space="preserve">ЗК-1022</x:t>
        </x:is>
      </x:c>
      <x:c r="I553" s="31" t="inlineStr">
        <x:is>
          <x:t xml:space="preserve">Согласовать скидку</x:t>
        </x:is>
      </x:c>
      <x:c r="J553" s="31" t="inlineStr">
        <x:is>
          <x:t xml:space="preserve">Сервис</x:t>
        </x:is>
      </x:c>
      <x:c r="K553" s="31" t="n">
        <x:v>0</x:v>
      </x:c>
      <x:c r="L553" s="31" t="inlineStr">
        <x:is>
          <x:t xml:space="preserve">Нет</x:t>
        </x:is>
      </x:c>
      <x:c r="M553" s="31" t="inlineStr">
        <x:is>
          <x:t xml:space="preserve">Нет</x:t>
        </x:is>
      </x:c>
      <x:c r="N553" s="31" t="inlineStr">
        <x:is>
          <x:t xml:space="preserve">Автосоздано правилом/пользователем 3</x:t>
        </x:is>
      </x:c>
    </x:row>
    <x:row r="554">
      <x:c r="A554" s="31" t="inlineStr">
        <x:is>
          <x:t xml:space="preserve">ЗД-00553</x:t>
        </x:is>
      </x:c>
      <x:c r="B554" s="31" t="n">
        <x:v>46110</x:v>
      </x:c>
      <x:c r="C554" s="31" t="n">
        <x:v>46113</x:v>
      </x:c>
      <x:c r="D554" s="31" t="inlineStr">
        <x:is>
          <x:t xml:space="preserve">Выполнена</x:t>
        </x:is>
      </x:c>
      <x:c r="E554" s="31" t="inlineStr">
        <x:is>
          <x:t xml:space="preserve">Средний</x:t>
        </x:is>
      </x:c>
      <x:c r="F554" s="31" t="inlineStr">
        <x:is>
          <x:t xml:space="preserve">СОТР-098</x:t>
        </x:is>
      </x:c>
      <x:c r="G554" s="31" t="inlineStr">
        <x:is>
          <x:t xml:space="preserve">ОТК</x:t>
        </x:is>
      </x:c>
      <x:c r="H554" s="31" t="inlineStr">
        <x:is>
          <x:t xml:space="preserve">ОТК-00048</x:t>
        </x:is>
      </x:c>
      <x:c r="I554" s="31" t="inlineStr">
        <x:is>
          <x:t xml:space="preserve">Заблокировать отгрузку</x:t>
        </x:is>
      </x:c>
      <x:c r="J554" s="31" t="inlineStr">
        <x:is>
          <x:t xml:space="preserve">Финансы</x:t>
        </x:is>
      </x:c>
      <x:c r="K554" s="31" t="n">
        <x:v>0</x:v>
      </x:c>
      <x:c r="L554" s="31" t="inlineStr">
        <x:is>
          <x:t xml:space="preserve">Нет</x:t>
        </x:is>
      </x:c>
      <x:c r="M554" s="31" t="inlineStr">
        <x:is>
          <x:t xml:space="preserve">Нет</x:t>
        </x:is>
      </x:c>
      <x:c r="N554" s="31" t="inlineStr">
        <x:is>
          <x:t xml:space="preserve">Автосоздано правилом/пользователем 1</x:t>
        </x:is>
      </x:c>
    </x:row>
    <x:row r="555">
      <x:c r="A555" s="31" t="inlineStr">
        <x:is>
          <x:t xml:space="preserve">ЗД-00554</x:t>
        </x:is>
      </x:c>
      <x:c r="B555" s="31" t="n">
        <x:v>46111</x:v>
      </x:c>
      <x:c r="C555" s="31" t="n">
        <x:v>46113</x:v>
      </x:c>
      <x:c r="D555" s="31" t="inlineStr">
        <x:is>
          <x:t xml:space="preserve">Ожидает ответа</x:t>
        </x:is>
      </x:c>
      <x:c r="E555" s="31" t="inlineStr">
        <x:is>
          <x:t xml:space="preserve">Низкий</x:t>
        </x:is>
      </x:c>
      <x:c r="F555" s="31" t="inlineStr">
        <x:is>
          <x:t xml:space="preserve">СОТР-093</x:t>
        </x:is>
      </x:c>
      <x:c r="G555" s="31" t="inlineStr">
        <x:is>
          <x:t xml:space="preserve">ОТК</x:t>
        </x:is>
      </x:c>
      <x:c r="H555" s="31" t="inlineStr">
        <x:is>
          <x:t xml:space="preserve">ОТК-00154</x:t>
        </x:is>
      </x:c>
      <x:c r="I555" s="31" t="inlineStr">
        <x:is>
          <x:t xml:space="preserve">Заблокировать отгрузку</x:t>
        </x:is>
      </x:c>
      <x:c r="J555" s="31" t="inlineStr">
        <x:is>
          <x:t xml:space="preserve">Продажи</x:t>
        </x:is>
      </x:c>
      <x:c r="K555" s="31" t="n">
        <x:v>0</x:v>
      </x:c>
      <x:c r="L555" s="31" t="inlineStr">
        <x:is>
          <x:t xml:space="preserve">Да</x:t>
        </x:is>
      </x:c>
      <x:c r="M555" s="31" t="inlineStr">
        <x:is>
          <x:t xml:space="preserve">Нет</x:t>
        </x:is>
      </x:c>
      <x:c r="N555" s="31" t="inlineStr">
        <x:is>
          <x:t xml:space="preserve">Автосоздано правилом/пользователем 3</x:t>
        </x:is>
      </x:c>
    </x:row>
    <x:row r="556">
      <x:c r="A556" s="31" t="inlineStr">
        <x:is>
          <x:t xml:space="preserve">ЗД-00555</x:t>
        </x:is>
      </x:c>
      <x:c r="B556" s="31" t="n">
        <x:v>46114</x:v>
      </x:c>
      <x:c r="C556" s="31" t="n">
        <x:v>46128</x:v>
      </x:c>
      <x:c r="D556" s="31" t="inlineStr">
        <x:is>
          <x:t xml:space="preserve">Просрочена</x:t>
        </x:is>
      </x:c>
      <x:c r="E556" s="31" t="inlineStr">
        <x:is>
          <x:t xml:space="preserve">Средний</x:t>
        </x:is>
      </x:c>
      <x:c r="F556" s="31" t="inlineStr">
        <x:is>
          <x:t xml:space="preserve">СОТР-063</x:t>
        </x:is>
      </x:c>
      <x:c r="G556" s="31" t="inlineStr">
        <x:is>
          <x:t xml:space="preserve">Производственное задание</x:t>
        </x:is>
      </x:c>
      <x:c r="H556" s="31" t="inlineStr">
        <x:is>
          <x:t xml:space="preserve">ПЗ-00044</x:t>
        </x:is>
      </x:c>
      <x:c r="I556" s="31" t="inlineStr">
        <x:is>
          <x:t xml:space="preserve">Обновить готовность</x:t>
        </x:is>
      </x:c>
      <x:c r="J556" s="31" t="inlineStr">
        <x:is>
          <x:t xml:space="preserve">ОТК</x:t>
        </x:is>
      </x:c>
      <x:c r="K556" s="31" t="n">
        <x:v>57</x:v>
      </x:c>
      <x:c r="L556" s="31" t="inlineStr">
        <x:is>
          <x:t xml:space="preserve">Нет</x:t>
        </x:is>
      </x:c>
      <x:c r="M556" s="31" t="inlineStr">
        <x:is>
          <x:t xml:space="preserve">Нет</x:t>
        </x:is>
      </x:c>
      <x:c r="N556" s="31" t="inlineStr">
        <x:is>
          <x:t xml:space="preserve">Автосоздано правилом/пользователем 10</x:t>
        </x:is>
      </x:c>
    </x:row>
    <x:row r="557">
      <x:c r="A557" s="31" t="inlineStr">
        <x:is>
          <x:t xml:space="preserve">ЗД-00556</x:t>
        </x:is>
      </x:c>
      <x:c r="B557" s="31" t="n">
        <x:v>46153</x:v>
      </x:c>
      <x:c r="C557" s="31" t="n">
        <x:v>46155</x:v>
      </x:c>
      <x:c r="D557" s="31" t="inlineStr">
        <x:is>
          <x:t xml:space="preserve">Новая</x:t>
        </x:is>
      </x:c>
      <x:c r="E557" s="31" t="inlineStr">
        <x:is>
          <x:t xml:space="preserve">Средний</x:t>
        </x:is>
      </x:c>
      <x:c r="F557" s="31" t="inlineStr">
        <x:is>
          <x:t xml:space="preserve">СОТР-084</x:t>
        </x:is>
      </x:c>
      <x:c r="G557" s="31" t="inlineStr">
        <x:is>
          <x:t xml:space="preserve">ОТК</x:t>
        </x:is>
      </x:c>
      <x:c r="H557" s="31" t="inlineStr">
        <x:is>
          <x:t xml:space="preserve">ОТК-00114</x:t>
        </x:is>
      </x:c>
      <x:c r="I557" s="31" t="inlineStr">
        <x:is>
          <x:t xml:space="preserve">Проверить доработку</x:t>
        </x:is>
      </x:c>
      <x:c r="J557" s="31" t="inlineStr">
        <x:is>
          <x:t xml:space="preserve">Производство</x:t>
        </x:is>
      </x:c>
      <x:c r="K557" s="31" t="n">
        <x:v>0</x:v>
      </x:c>
      <x:c r="L557" s="31" t="inlineStr">
        <x:is>
          <x:t xml:space="preserve">Нет</x:t>
        </x:is>
      </x:c>
      <x:c r="M557" s="31" t="inlineStr">
        <x:is>
          <x:t xml:space="preserve">Заказчик</x:t>
        </x:is>
      </x:c>
      <x:c r="N557" s="31" t="inlineStr">
        <x:is>
          <x:t xml:space="preserve">Автосоздано правилом/пользователем 8</x:t>
        </x:is>
      </x:c>
    </x:row>
    <x:row r="558">
      <x:c r="A558" s="31" t="inlineStr">
        <x:is>
          <x:t xml:space="preserve">ЗД-00557</x:t>
        </x:is>
      </x:c>
      <x:c r="B558" s="31" t="n">
        <x:v>46184</x:v>
      </x:c>
      <x:c r="C558" s="31" t="n">
        <x:v>46186</x:v>
      </x:c>
      <x:c r="D558" s="31" t="inlineStr">
        <x:is>
          <x:t xml:space="preserve">В работе</x:t>
        </x:is>
      </x:c>
      <x:c r="E558" s="31" t="inlineStr">
        <x:is>
          <x:t xml:space="preserve">Средний</x:t>
        </x:is>
      </x:c>
      <x:c r="F558" s="31" t="inlineStr">
        <x:is>
          <x:t xml:space="preserve">СОТР-076</x:t>
        </x:is>
      </x:c>
      <x:c r="G558" s="31" t="inlineStr">
        <x:is>
          <x:t xml:space="preserve">Счет</x:t>
        </x:is>
      </x:c>
      <x:c r="H558" s="31" t="inlineStr">
        <x:is>
          <x:t xml:space="preserve">СЧ-1083-1</x:t>
        </x:is>
      </x:c>
      <x:c r="I558" s="31" t="inlineStr">
        <x:is>
          <x:t xml:space="preserve">Подготовить акт сверки</x:t>
        </x:is>
      </x:c>
      <x:c r="J558" s="31" t="inlineStr">
        <x:is>
          <x:t xml:space="preserve">Продажи</x:t>
        </x:is>
      </x:c>
      <x:c r="K558" s="31" t="n">
        <x:v>0</x:v>
      </x:c>
      <x:c r="L558" s="31" t="inlineStr">
        <x:is>
          <x:t xml:space="preserve">Нет</x:t>
        </x:is>
      </x:c>
      <x:c r="M558" s="31" t="inlineStr">
        <x:is>
          <x:t xml:space="preserve">Поставщик</x:t>
        </x:is>
      </x:c>
      <x:c r="N558" s="31" t="inlineStr">
        <x:is>
          <x:t xml:space="preserve">Автосоздано правилом/пользователем 9</x:t>
        </x:is>
      </x:c>
    </x:row>
    <x:row r="559">
      <x:c r="A559" s="31" t="inlineStr">
        <x:is>
          <x:t xml:space="preserve">ЗД-00558</x:t>
        </x:is>
      </x:c>
      <x:c r="B559" s="31" t="n">
        <x:v>46137</x:v>
      </x:c>
      <x:c r="C559" s="31" t="n">
        <x:v>46138</x:v>
      </x:c>
      <x:c r="D559" s="31" t="inlineStr">
        <x:is>
          <x:t xml:space="preserve">В работе</x:t>
        </x:is>
      </x:c>
      <x:c r="E559" s="31" t="inlineStr">
        <x:is>
          <x:t xml:space="preserve">Средний</x:t>
        </x:is>
      </x:c>
      <x:c r="F559" s="31" t="inlineStr">
        <x:is>
          <x:t xml:space="preserve">СОТР-100</x:t>
        </x:is>
      </x:c>
      <x:c r="G559" s="31" t="inlineStr">
        <x:is>
          <x:t xml:space="preserve">Производственное задание</x:t>
        </x:is>
      </x:c>
      <x:c r="H559" s="31" t="inlineStr">
        <x:is>
          <x:t xml:space="preserve">ПЗ-00206</x:t>
        </x:is>
      </x:c>
      <x:c r="I559" s="31" t="inlineStr">
        <x:is>
          <x:t xml:space="preserve">Обновить готовность</x:t>
        </x:is>
      </x:c>
      <x:c r="J559" s="31" t="inlineStr">
        <x:is>
          <x:t xml:space="preserve">Производство</x:t>
        </x:is>
      </x:c>
      <x:c r="K559" s="31" t="n">
        <x:v>0</x:v>
      </x:c>
      <x:c r="L559" s="31" t="inlineStr">
        <x:is>
          <x:t xml:space="preserve">Нет</x:t>
        </x:is>
      </x:c>
      <x:c r="M559" s="31" t="inlineStr">
        <x:is>
          <x:t xml:space="preserve">Руководитель</x:t>
        </x:is>
      </x:c>
      <x:c r="N559" s="31" t="inlineStr">
        <x:is>
          <x:t xml:space="preserve">Автосоздано правилом/пользователем 1</x:t>
        </x:is>
      </x:c>
    </x:row>
    <x:row r="560">
      <x:c r="A560" s="31" t="inlineStr">
        <x:is>
          <x:t xml:space="preserve">ЗД-00559</x:t>
        </x:is>
      </x:c>
      <x:c r="B560" s="31" t="n">
        <x:v>46140</x:v>
      </x:c>
      <x:c r="C560" s="31" t="n">
        <x:v>46141</x:v>
      </x:c>
      <x:c r="D560" s="31" t="inlineStr">
        <x:is>
          <x:t xml:space="preserve">Выполнена</x:t>
        </x:is>
      </x:c>
      <x:c r="E560" s="31" t="inlineStr">
        <x:is>
          <x:t xml:space="preserve">Средний</x:t>
        </x:is>
      </x:c>
      <x:c r="F560" s="31" t="inlineStr">
        <x:is>
          <x:t xml:space="preserve">СОТР-026</x:t>
        </x:is>
      </x:c>
      <x:c r="G560" s="31" t="inlineStr">
        <x:is>
          <x:t xml:space="preserve">Закупка</x:t>
        </x:is>
      </x:c>
      <x:c r="H560" s="31" t="inlineStr">
        <x:is>
          <x:t xml:space="preserve">ЗЗ-00018</x:t>
        </x:is>
      </x:c>
      <x:c r="I560" s="31" t="inlineStr">
        <x:is>
          <x:t xml:space="preserve">Уточнить сертификаты</x:t>
        </x:is>
      </x:c>
      <x:c r="J560" s="31" t="inlineStr">
        <x:is>
          <x:t xml:space="preserve">Сервис</x:t>
        </x:is>
      </x:c>
      <x:c r="K560" s="31" t="n">
        <x:v>0</x:v>
      </x:c>
      <x:c r="L560" s="31" t="inlineStr">
        <x:is>
          <x:t xml:space="preserve">Нет</x:t>
        </x:is>
      </x:c>
      <x:c r="M560" s="31" t="inlineStr">
        <x:is>
          <x:t xml:space="preserve">Нет</x:t>
        </x:is>
      </x:c>
      <x:c r="N560" s="31" t="inlineStr">
        <x:is>
          <x:t xml:space="preserve">Автосоздано правилом/пользователем 10</x:t>
        </x:is>
      </x:c>
    </x:row>
    <x:row r="561">
      <x:c r="A561" s="31" t="inlineStr">
        <x:is>
          <x:t xml:space="preserve">ЗД-00560</x:t>
        </x:is>
      </x:c>
      <x:c r="B561" s="31" t="n">
        <x:v>46127</x:v>
      </x:c>
      <x:c r="C561" s="31" t="n">
        <x:v>46137</x:v>
      </x:c>
      <x:c r="D561" s="31" t="inlineStr">
        <x:is>
          <x:t xml:space="preserve">Просрочена</x:t>
        </x:is>
      </x:c>
      <x:c r="E561" s="31" t="inlineStr">
        <x:is>
          <x:t xml:space="preserve">Низкий</x:t>
        </x:is>
      </x:c>
      <x:c r="F561" s="31" t="inlineStr">
        <x:is>
          <x:t xml:space="preserve">СОТР-098</x:t>
        </x:is>
      </x:c>
      <x:c r="G561" s="31" t="inlineStr">
        <x:is>
          <x:t xml:space="preserve">ОТК</x:t>
        </x:is>
      </x:c>
      <x:c r="H561" s="31" t="inlineStr">
        <x:is>
          <x:t xml:space="preserve">ОТК-00004</x:t>
        </x:is>
      </x:c>
      <x:c r="I561" s="31" t="inlineStr">
        <x:is>
          <x:t xml:space="preserve">Согласовать приемку с замечаниями</x:t>
        </x:is>
      </x:c>
      <x:c r="J561" s="31" t="inlineStr">
        <x:is>
          <x:t xml:space="preserve">Продажи</x:t>
        </x:is>
      </x:c>
      <x:c r="K561" s="31" t="n">
        <x:v>48</x:v>
      </x:c>
      <x:c r="L561" s="31" t="inlineStr">
        <x:is>
          <x:t xml:space="preserve">Нет</x:t>
        </x:is>
      </x:c>
      <x:c r="M561" s="31" t="inlineStr">
        <x:is>
          <x:t xml:space="preserve">Поставщик</x:t>
        </x:is>
      </x:c>
      <x:c r="N561" s="31" t="inlineStr">
        <x:is>
          <x:t xml:space="preserve">Автосоздано правилом/пользователем 4</x:t>
        </x:is>
      </x:c>
    </x:row>
    <x:row r="562">
      <x:c r="A562" s="31" t="inlineStr">
        <x:is>
          <x:t xml:space="preserve">ЗД-00561</x:t>
        </x:is>
      </x:c>
      <x:c r="B562" s="31" t="n">
        <x:v>46121</x:v>
      </x:c>
      <x:c r="C562" s="31" t="n">
        <x:v>46131</x:v>
      </x:c>
      <x:c r="D562" s="31" t="inlineStr">
        <x:is>
          <x:t xml:space="preserve">В работе</x:t>
        </x:is>
      </x:c>
      <x:c r="E562" s="31" t="inlineStr">
        <x:is>
          <x:t xml:space="preserve">Высокий</x:t>
        </x:is>
      </x:c>
      <x:c r="F562" s="31" t="inlineStr">
        <x:is>
          <x:t xml:space="preserve">СОТР-076</x:t>
        </x:is>
      </x:c>
      <x:c r="G562" s="31" t="inlineStr">
        <x:is>
          <x:t xml:space="preserve">Счет</x:t>
        </x:is>
      </x:c>
      <x:c r="H562" s="31" t="inlineStr">
        <x:is>
          <x:t xml:space="preserve">СЧ-1018-1</x:t>
        </x:is>
      </x:c>
      <x:c r="I562" s="31" t="inlineStr">
        <x:is>
          <x:t xml:space="preserve">Напомнить об оплате</x:t>
        </x:is>
      </x:c>
      <x:c r="J562" s="31" t="inlineStr">
        <x:is>
          <x:t xml:space="preserve">Финансы</x:t>
        </x:is>
      </x:c>
      <x:c r="K562" s="31" t="n">
        <x:v>0</x:v>
      </x:c>
      <x:c r="L562" s="31" t="inlineStr">
        <x:is>
          <x:t xml:space="preserve">Да</x:t>
        </x:is>
      </x:c>
      <x:c r="M562" s="31" t="inlineStr">
        <x:is>
          <x:t xml:space="preserve">Нет</x:t>
        </x:is>
      </x:c>
      <x:c r="N562" s="31" t="inlineStr">
        <x:is>
          <x:t xml:space="preserve">Автосоздано правилом/пользователем 7</x:t>
        </x:is>
      </x:c>
    </x:row>
    <x:row r="563">
      <x:c r="A563" s="31" t="inlineStr">
        <x:is>
          <x:t xml:space="preserve">ЗД-00562</x:t>
        </x:is>
      </x:c>
      <x:c r="B563" s="31" t="n">
        <x:v>46159</x:v>
      </x:c>
      <x:c r="C563" s="31" t="n">
        <x:v>46162</x:v>
      </x:c>
      <x:c r="D563" s="31" t="inlineStr">
        <x:is>
          <x:t xml:space="preserve">Выполнена</x:t>
        </x:is>
      </x:c>
      <x:c r="E563" s="31" t="inlineStr">
        <x:is>
          <x:t xml:space="preserve">Высокий</x:t>
        </x:is>
      </x:c>
      <x:c r="F563" s="31" t="inlineStr">
        <x:is>
          <x:t xml:space="preserve">СОТР-076</x:t>
        </x:is>
      </x:c>
      <x:c r="G563" s="31" t="inlineStr">
        <x:is>
          <x:t xml:space="preserve">Счет</x:t>
        </x:is>
      </x:c>
      <x:c r="H563" s="31" t="inlineStr">
        <x:is>
          <x:t xml:space="preserve">СЧ-1112-2</x:t>
        </x:is>
      </x:c>
      <x:c r="I563" s="31" t="inlineStr">
        <x:is>
          <x:t xml:space="preserve">Подготовить акт сверки</x:t>
        </x:is>
      </x:c>
      <x:c r="J563" s="31" t="inlineStr">
        <x:is>
          <x:t xml:space="preserve">Снабжение</x:t>
        </x:is>
      </x:c>
      <x:c r="K563" s="31" t="n">
        <x:v>0</x:v>
      </x:c>
      <x:c r="L563" s="31" t="inlineStr">
        <x:is>
          <x:t xml:space="preserve">Нет</x:t>
        </x:is>
      </x:c>
      <x:c r="M563" s="31" t="inlineStr">
        <x:is>
          <x:t xml:space="preserve">Нет</x:t>
        </x:is>
      </x:c>
      <x:c r="N563" s="31" t="inlineStr">
        <x:is>
          <x:t xml:space="preserve">Автосоздано правилом/пользователем 2</x:t>
        </x:is>
      </x:c>
    </x:row>
    <x:row r="564">
      <x:c r="A564" s="31" t="inlineStr">
        <x:is>
          <x:t xml:space="preserve">ЗД-00563</x:t>
        </x:is>
      </x:c>
      <x:c r="B564" s="31" t="n">
        <x:v>46162</x:v>
      </x:c>
      <x:c r="C564" s="31" t="n">
        <x:v>46176</x:v>
      </x:c>
      <x:c r="D564" s="31" t="inlineStr">
        <x:is>
          <x:t xml:space="preserve">Выполнена</x:t>
        </x:is>
      </x:c>
      <x:c r="E564" s="31" t="inlineStr">
        <x:is>
          <x:t xml:space="preserve">Высокий</x:t>
        </x:is>
      </x:c>
      <x:c r="F564" s="31" t="inlineStr">
        <x:is>
          <x:t xml:space="preserve">СОТР-099</x:t>
        </x:is>
      </x:c>
      <x:c r="G564" s="31" t="inlineStr">
        <x:is>
          <x:t xml:space="preserve">Производственное задание</x:t>
        </x:is>
      </x:c>
      <x:c r="H564" s="31" t="inlineStr">
        <x:is>
          <x:t xml:space="preserve">ПЗ-00214</x:t>
        </x:is>
      </x:c>
      <x:c r="I564" s="31" t="inlineStr">
        <x:is>
          <x:t xml:space="preserve">Назначить оператора</x:t>
        </x:is>
      </x:c>
      <x:c r="J564" s="31" t="inlineStr">
        <x:is>
          <x:t xml:space="preserve">Финансы</x:t>
        </x:is>
      </x:c>
      <x:c r="K564" s="31" t="n">
        <x:v>0</x:v>
      </x:c>
      <x:c r="L564" s="31" t="inlineStr">
        <x:is>
          <x:t xml:space="preserve">Нет</x:t>
        </x:is>
      </x:c>
      <x:c r="M564" s="31" t="inlineStr">
        <x:is>
          <x:t xml:space="preserve">Нет</x:t>
        </x:is>
      </x:c>
      <x:c r="N564" s="31" t="inlineStr">
        <x:is>
          <x:t xml:space="preserve">Автосоздано правилом/пользователем 6</x:t>
        </x:is>
      </x:c>
    </x:row>
    <x:row r="565">
      <x:c r="A565" s="31" t="inlineStr">
        <x:is>
          <x:t xml:space="preserve">ЗД-00564</x:t>
        </x:is>
      </x:c>
      <x:c r="B565" s="31" t="n">
        <x:v>46111</x:v>
      </x:c>
      <x:c r="C565" s="31" t="n">
        <x:v>46114</x:v>
      </x:c>
      <x:c r="D565" s="31" t="inlineStr">
        <x:is>
          <x:t xml:space="preserve">В работе</x:t>
        </x:is>
      </x:c>
      <x:c r="E565" s="31" t="inlineStr">
        <x:is>
          <x:t xml:space="preserve">Средний</x:t>
        </x:is>
      </x:c>
      <x:c r="F565" s="31" t="inlineStr">
        <x:is>
          <x:t xml:space="preserve">СОТР-076</x:t>
        </x:is>
      </x:c>
      <x:c r="G565" s="31" t="inlineStr">
        <x:is>
          <x:t xml:space="preserve">Счет</x:t>
        </x:is>
      </x:c>
      <x:c r="H565" s="31" t="inlineStr">
        <x:is>
          <x:t xml:space="preserve">СЧ-1094-1</x:t>
        </x:is>
      </x:c>
      <x:c r="I565" s="31" t="inlineStr">
        <x:is>
          <x:t xml:space="preserve">Напомнить об оплате</x:t>
        </x:is>
      </x:c>
      <x:c r="J565" s="31" t="inlineStr">
        <x:is>
          <x:t xml:space="preserve">Производство</x:t>
        </x:is>
      </x:c>
      <x:c r="K565" s="31" t="n">
        <x:v>0</x:v>
      </x:c>
      <x:c r="L565" s="31" t="inlineStr">
        <x:is>
          <x:t xml:space="preserve">Да</x:t>
        </x:is>
      </x:c>
      <x:c r="M565" s="31" t="inlineStr">
        <x:is>
          <x:t xml:space="preserve">Заказчик</x:t>
        </x:is>
      </x:c>
      <x:c r="N565" s="31" t="inlineStr">
        <x:is>
          <x:t xml:space="preserve">Автосоздано правилом/пользователем 12</x:t>
        </x:is>
      </x:c>
    </x:row>
    <x:row r="566">
      <x:c r="A566" s="31" t="inlineStr">
        <x:is>
          <x:t xml:space="preserve">ЗД-00565</x:t>
        </x:is>
      </x:c>
      <x:c r="B566" s="31" t="n">
        <x:v>46179</x:v>
      </x:c>
      <x:c r="C566" s="31" t="n">
        <x:v>46181</x:v>
      </x:c>
      <x:c r="D566" s="31" t="inlineStr">
        <x:is>
          <x:t xml:space="preserve">Просрочена</x:t>
        </x:is>
      </x:c>
      <x:c r="E566" s="31" t="inlineStr">
        <x:is>
          <x:t xml:space="preserve">Высокий</x:t>
        </x:is>
      </x:c>
      <x:c r="F566" s="31" t="inlineStr">
        <x:is>
          <x:t xml:space="preserve">СОТР-092</x:t>
        </x:is>
      </x:c>
      <x:c r="G566" s="31" t="inlineStr">
        <x:is>
          <x:t xml:space="preserve">ОТК</x:t>
        </x:is>
      </x:c>
      <x:c r="H566" s="31" t="inlineStr">
        <x:is>
          <x:t xml:space="preserve">ОТК-00066</x:t>
        </x:is>
      </x:c>
      <x:c r="I566" s="31" t="inlineStr">
        <x:is>
          <x:t xml:space="preserve">Заблокировать отгрузку</x:t>
        </x:is>
      </x:c>
      <x:c r="J566" s="31" t="inlineStr">
        <x:is>
          <x:t xml:space="preserve">Снабжение</x:t>
        </x:is>
      </x:c>
      <x:c r="K566" s="31" t="n">
        <x:v>4</x:v>
      </x:c>
      <x:c r="L566" s="31" t="inlineStr">
        <x:is>
          <x:t xml:space="preserve">Да</x:t>
        </x:is>
      </x:c>
      <x:c r="M566" s="31" t="inlineStr">
        <x:is>
          <x:t xml:space="preserve">Поставщик</x:t>
        </x:is>
      </x:c>
      <x:c r="N566" s="31" t="inlineStr">
        <x:is>
          <x:t xml:space="preserve">Автосоздано правилом/пользователем 3</x:t>
        </x:is>
      </x:c>
    </x:row>
    <x:row r="567">
      <x:c r="A567" s="31" t="inlineStr">
        <x:is>
          <x:t xml:space="preserve">ЗД-00566</x:t>
        </x:is>
      </x:c>
      <x:c r="B567" s="31" t="n">
        <x:v>46142</x:v>
      </x:c>
      <x:c r="C567" s="31" t="n">
        <x:v>46156</x:v>
      </x:c>
      <x:c r="D567" s="31" t="inlineStr">
        <x:is>
          <x:t xml:space="preserve">Просрочена</x:t>
        </x:is>
      </x:c>
      <x:c r="E567" s="31" t="inlineStr">
        <x:is>
          <x:t xml:space="preserve">Средний</x:t>
        </x:is>
      </x:c>
      <x:c r="F567" s="31" t="inlineStr">
        <x:is>
          <x:t xml:space="preserve">СОТР-095</x:t>
        </x:is>
      </x:c>
      <x:c r="G567" s="31" t="inlineStr">
        <x:is>
          <x:t xml:space="preserve">Производственное задание</x:t>
        </x:is>
      </x:c>
      <x:c r="H567" s="31" t="inlineStr">
        <x:is>
          <x:t xml:space="preserve">ПЗ-00077</x:t>
        </x:is>
      </x:c>
      <x:c r="I567" s="31" t="inlineStr">
        <x:is>
          <x:t xml:space="preserve">Обновить готовность</x:t>
        </x:is>
      </x:c>
      <x:c r="J567" s="31" t="inlineStr">
        <x:is>
          <x:t xml:space="preserve">Снабжение</x:t>
        </x:is>
      </x:c>
      <x:c r="K567" s="31" t="n">
        <x:v>29</x:v>
      </x:c>
      <x:c r="L567" s="31" t="inlineStr">
        <x:is>
          <x:t xml:space="preserve">Нет</x:t>
        </x:is>
      </x:c>
      <x:c r="M567" s="31" t="inlineStr">
        <x:is>
          <x:t xml:space="preserve">Нет</x:t>
        </x:is>
      </x:c>
      <x:c r="N567" s="31" t="inlineStr">
        <x:is>
          <x:t xml:space="preserve">Автосоздано правилом/пользователем 2</x:t>
        </x:is>
      </x:c>
    </x:row>
    <x:row r="568">
      <x:c r="A568" s="31" t="inlineStr">
        <x:is>
          <x:t xml:space="preserve">ЗД-00567</x:t>
        </x:is>
      </x:c>
      <x:c r="B568" s="31" t="n">
        <x:v>46157</x:v>
      </x:c>
      <x:c r="C568" s="31" t="n">
        <x:v>46164</x:v>
      </x:c>
      <x:c r="D568" s="31" t="inlineStr">
        <x:is>
          <x:t xml:space="preserve">Просрочена</x:t>
        </x:is>
      </x:c>
      <x:c r="E568" s="31" t="inlineStr">
        <x:is>
          <x:t xml:space="preserve">Низкий</x:t>
        </x:is>
      </x:c>
      <x:c r="F568" s="31" t="inlineStr">
        <x:is>
          <x:t xml:space="preserve">СОТР-099</x:t>
        </x:is>
      </x:c>
      <x:c r="G568" s="31" t="inlineStr">
        <x:is>
          <x:t xml:space="preserve">ОТК</x:t>
        </x:is>
      </x:c>
      <x:c r="H568" s="31" t="inlineStr">
        <x:is>
          <x:t xml:space="preserve">ОТК-00081</x:t>
        </x:is>
      </x:c>
      <x:c r="I568" s="31" t="inlineStr">
        <x:is>
          <x:t xml:space="preserve">Заблокировать отгрузку</x:t>
        </x:is>
      </x:c>
      <x:c r="J568" s="31" t="inlineStr">
        <x:is>
          <x:t xml:space="preserve">Продажи</x:t>
        </x:is>
      </x:c>
      <x:c r="K568" s="31" t="n">
        <x:v>21</x:v>
      </x:c>
      <x:c r="L568" s="31" t="inlineStr">
        <x:is>
          <x:t xml:space="preserve">Нет</x:t>
        </x:is>
      </x:c>
      <x:c r="M568" s="31" t="inlineStr">
        <x:is>
          <x:t xml:space="preserve">Нет</x:t>
        </x:is>
      </x:c>
      <x:c r="N568" s="31" t="inlineStr">
        <x:is>
          <x:t xml:space="preserve">Автосоздано правилом/пользователем 12</x:t>
        </x:is>
      </x:c>
    </x:row>
    <x:row r="569">
      <x:c r="A569" s="31" t="inlineStr">
        <x:is>
          <x:t xml:space="preserve">ЗД-00568</x:t>
        </x:is>
      </x:c>
      <x:c r="B569" s="31" t="n">
        <x:v>46142</x:v>
      </x:c>
      <x:c r="C569" s="31" t="n">
        <x:v>46149</x:v>
      </x:c>
      <x:c r="D569" s="31" t="inlineStr">
        <x:is>
          <x:t xml:space="preserve">В работе</x:t>
        </x:is>
      </x:c>
      <x:c r="E569" s="31" t="inlineStr">
        <x:is>
          <x:t xml:space="preserve">Низкий</x:t>
        </x:is>
      </x:c>
      <x:c r="F569" s="31" t="inlineStr">
        <x:is>
          <x:t xml:space="preserve">СОТР-077</x:t>
        </x:is>
      </x:c>
      <x:c r="G569" s="31" t="inlineStr">
        <x:is>
          <x:t xml:space="preserve">Счет</x:t>
        </x:is>
      </x:c>
      <x:c r="H569" s="31" t="inlineStr">
        <x:is>
          <x:t xml:space="preserve">СЧ-1128-1</x:t>
        </x:is>
      </x:c>
      <x:c r="I569" s="31" t="inlineStr">
        <x:is>
          <x:t xml:space="preserve">Проверить оплату</x:t>
        </x:is>
      </x:c>
      <x:c r="J569" s="31" t="inlineStr">
        <x:is>
          <x:t xml:space="preserve">Финансы</x:t>
        </x:is>
      </x:c>
      <x:c r="K569" s="31" t="n">
        <x:v>0</x:v>
      </x:c>
      <x:c r="L569" s="31" t="inlineStr">
        <x:is>
          <x:t xml:space="preserve">Нет</x:t>
        </x:is>
      </x:c>
      <x:c r="M569" s="31" t="inlineStr">
        <x:is>
          <x:t xml:space="preserve">Нет</x:t>
        </x:is>
      </x:c>
      <x:c r="N569" s="31" t="inlineStr">
        <x:is>
          <x:t xml:space="preserve">Автосоздано правилом/пользователем 6</x:t>
        </x:is>
      </x:c>
    </x:row>
    <x:row r="570">
      <x:c r="A570" s="31" t="inlineStr">
        <x:is>
          <x:t xml:space="preserve">ЗД-00569</x:t>
        </x:is>
      </x:c>
      <x:c r="B570" s="31" t="n">
        <x:v>46156</x:v>
      </x:c>
      <x:c r="C570" s="31" t="n">
        <x:v>46161</x:v>
      </x:c>
      <x:c r="D570" s="31" t="inlineStr">
        <x:is>
          <x:t xml:space="preserve">Просрочена</x:t>
        </x:is>
      </x:c>
      <x:c r="E570" s="31" t="inlineStr">
        <x:is>
          <x:t xml:space="preserve">Средний</x:t>
        </x:is>
      </x:c>
      <x:c r="F570" s="31" t="inlineStr">
        <x:is>
          <x:t xml:space="preserve">СОТР-003</x:t>
        </x:is>
      </x:c>
      <x:c r="G570" s="31" t="inlineStr">
        <x:is>
          <x:t xml:space="preserve">Заказ</x:t>
        </x:is>
      </x:c>
      <x:c r="H570" s="31" t="inlineStr">
        <x:is>
          <x:t xml:space="preserve">ЗК-1121</x:t>
        </x:is>
      </x:c>
      <x:c r="I570" s="31" t="inlineStr">
        <x:is>
          <x:t xml:space="preserve">Проверить лимит заказчика</x:t>
        </x:is>
      </x:c>
      <x:c r="J570" s="31" t="inlineStr">
        <x:is>
          <x:t xml:space="preserve">Производство</x:t>
        </x:is>
      </x:c>
      <x:c r="K570" s="31" t="n">
        <x:v>24</x:v>
      </x:c>
      <x:c r="L570" s="31" t="inlineStr">
        <x:is>
          <x:t xml:space="preserve">Да</x:t>
        </x:is>
      </x:c>
      <x:c r="M570" s="31" t="inlineStr">
        <x:is>
          <x:t xml:space="preserve">Нет</x:t>
        </x:is>
      </x:c>
      <x:c r="N570" s="31" t="inlineStr">
        <x:is>
          <x:t xml:space="preserve">Автосоздано правилом/пользователем 5</x:t>
        </x:is>
      </x:c>
    </x:row>
    <x:row r="571">
      <x:c r="A571" s="31" t="inlineStr">
        <x:is>
          <x:t xml:space="preserve">ЗД-00570</x:t>
        </x:is>
      </x:c>
      <x:c r="B571" s="31" t="n">
        <x:v>46185</x:v>
      </x:c>
      <x:c r="C571" s="31" t="n">
        <x:v>46195</x:v>
      </x:c>
      <x:c r="D571" s="31" t="inlineStr">
        <x:is>
          <x:t xml:space="preserve">Новая</x:t>
        </x:is>
      </x:c>
      <x:c r="E571" s="31" t="inlineStr">
        <x:is>
          <x:t xml:space="preserve">Средний</x:t>
        </x:is>
      </x:c>
      <x:c r="F571" s="31" t="inlineStr">
        <x:is>
          <x:t xml:space="preserve">СОТР-096</x:t>
        </x:is>
      </x:c>
      <x:c r="G571" s="31" t="inlineStr">
        <x:is>
          <x:t xml:space="preserve">Заказ</x:t>
        </x:is>
      </x:c>
      <x:c r="H571" s="31" t="inlineStr">
        <x:is>
          <x:t xml:space="preserve">ЗК-1024</x:t>
        </x:is>
      </x:c>
      <x:c r="I571" s="31" t="inlineStr">
        <x:is>
          <x:t xml:space="preserve">Уточнить ТЗ</x:t>
        </x:is>
      </x:c>
      <x:c r="J571" s="31" t="inlineStr">
        <x:is>
          <x:t xml:space="preserve">ОТК</x:t>
        </x:is>
      </x:c>
      <x:c r="K571" s="31" t="n">
        <x:v>0</x:v>
      </x:c>
      <x:c r="L571" s="31" t="inlineStr">
        <x:is>
          <x:t xml:space="preserve">Да</x:t>
        </x:is>
      </x:c>
      <x:c r="M571" s="31" t="inlineStr">
        <x:is>
          <x:t xml:space="preserve">Нет</x:t>
        </x:is>
      </x:c>
      <x:c r="N571" s="31" t="inlineStr">
        <x:is>
          <x:t xml:space="preserve">Автосоздано правилом/пользователем 9</x:t>
        </x:is>
      </x:c>
    </x:row>
    <x:row r="572">
      <x:c r="A572" s="31" t="inlineStr">
        <x:is>
          <x:t xml:space="preserve">ЗД-00571</x:t>
        </x:is>
      </x:c>
      <x:c r="B572" s="31" t="n">
        <x:v>46151</x:v>
      </x:c>
      <x:c r="C572" s="31" t="n">
        <x:v>46153</x:v>
      </x:c>
      <x:c r="D572" s="31" t="inlineStr">
        <x:is>
          <x:t xml:space="preserve">Просрочена</x:t>
        </x:is>
      </x:c>
      <x:c r="E572" s="31" t="inlineStr">
        <x:is>
          <x:t xml:space="preserve">Средний</x:t>
        </x:is>
      </x:c>
      <x:c r="F572" s="31" t="inlineStr">
        <x:is>
          <x:t xml:space="preserve">СОТР-060</x:t>
        </x:is>
      </x:c>
      <x:c r="G572" s="31" t="inlineStr">
        <x:is>
          <x:t xml:space="preserve">Производственное задание</x:t>
        </x:is>
      </x:c>
      <x:c r="H572" s="31" t="inlineStr">
        <x:is>
          <x:t xml:space="preserve">ПЗ-00039</x:t>
        </x:is>
      </x:c>
      <x:c r="I572" s="31" t="inlineStr">
        <x:is>
          <x:t xml:space="preserve">Обновить готовность</x:t>
        </x:is>
      </x:c>
      <x:c r="J572" s="31" t="inlineStr">
        <x:is>
          <x:t xml:space="preserve">ОТК</x:t>
        </x:is>
      </x:c>
      <x:c r="K572" s="31" t="n">
        <x:v>32</x:v>
      </x:c>
      <x:c r="L572" s="31" t="inlineStr">
        <x:is>
          <x:t xml:space="preserve">Нет</x:t>
        </x:is>
      </x:c>
      <x:c r="M572" s="31" t="inlineStr">
        <x:is>
          <x:t xml:space="preserve">Нет</x:t>
        </x:is>
      </x:c>
      <x:c r="N572" s="31" t="inlineStr">
        <x:is>
          <x:t xml:space="preserve">Автосоздано правилом/пользователем 10</x:t>
        </x:is>
      </x:c>
    </x:row>
    <x:row r="573">
      <x:c r="A573" s="31" t="inlineStr">
        <x:is>
          <x:t xml:space="preserve">ЗД-00572</x:t>
        </x:is>
      </x:c>
      <x:c r="B573" s="31" t="n">
        <x:v>46170</x:v>
      </x:c>
      <x:c r="C573" s="31" t="n">
        <x:v>46180</x:v>
      </x:c>
      <x:c r="D573" s="31" t="inlineStr">
        <x:is>
          <x:t xml:space="preserve">Ожидает ответа</x:t>
        </x:is>
      </x:c>
      <x:c r="E573" s="31" t="inlineStr">
        <x:is>
          <x:t xml:space="preserve">Средний</x:t>
        </x:is>
      </x:c>
      <x:c r="F573" s="31" t="inlineStr">
        <x:is>
          <x:t xml:space="preserve">СОТР-063</x:t>
        </x:is>
      </x:c>
      <x:c r="G573" s="31" t="inlineStr">
        <x:is>
          <x:t xml:space="preserve">ОТК</x:t>
        </x:is>
      </x:c>
      <x:c r="H573" s="31" t="inlineStr">
        <x:is>
          <x:t xml:space="preserve">ОТК-00047</x:t>
        </x:is>
      </x:c>
      <x:c r="I573" s="31" t="inlineStr">
        <x:is>
          <x:t xml:space="preserve">Заблокировать отгрузку</x:t>
        </x:is>
      </x:c>
      <x:c r="J573" s="31" t="inlineStr">
        <x:is>
          <x:t xml:space="preserve">Продажи</x:t>
        </x:is>
      </x:c>
      <x:c r="K573" s="31" t="n">
        <x:v>0</x:v>
      </x:c>
      <x:c r="L573" s="31" t="inlineStr">
        <x:is>
          <x:t xml:space="preserve">Нет</x:t>
        </x:is>
      </x:c>
      <x:c r="M573" s="31" t="inlineStr">
        <x:is>
          <x:t xml:space="preserve">Нет</x:t>
        </x:is>
      </x:c>
      <x:c r="N573" s="31" t="inlineStr">
        <x:is>
          <x:t xml:space="preserve">Автосоздано правилом/пользователем 5</x:t>
        </x:is>
      </x:c>
    </x:row>
    <x:row r="574">
      <x:c r="A574" s="31" t="inlineStr">
        <x:is>
          <x:t xml:space="preserve">ЗД-00573</x:t>
        </x:is>
      </x:c>
      <x:c r="B574" s="31" t="n">
        <x:v>46114</x:v>
      </x:c>
      <x:c r="C574" s="31" t="n">
        <x:v>46128</x:v>
      </x:c>
      <x:c r="D574" s="31" t="inlineStr">
        <x:is>
          <x:t xml:space="preserve">Новая</x:t>
        </x:is>
      </x:c>
      <x:c r="E574" s="31" t="inlineStr">
        <x:is>
          <x:t xml:space="preserve">Средний</x:t>
        </x:is>
      </x:c>
      <x:c r="F574" s="31" t="inlineStr">
        <x:is>
          <x:t xml:space="preserve">СОТР-095</x:t>
        </x:is>
      </x:c>
      <x:c r="G574" s="31" t="inlineStr">
        <x:is>
          <x:t xml:space="preserve">Производственное задание</x:t>
        </x:is>
      </x:c>
      <x:c r="H574" s="31" t="inlineStr">
        <x:is>
          <x:t xml:space="preserve">ПЗ-00115</x:t>
        </x:is>
      </x:c>
      <x:c r="I574" s="31" t="inlineStr">
        <x:is>
          <x:t xml:space="preserve">Назначить оператора</x:t>
        </x:is>
      </x:c>
      <x:c r="J574" s="31" t="inlineStr">
        <x:is>
          <x:t xml:space="preserve">Снабжение</x:t>
        </x:is>
      </x:c>
      <x:c r="K574" s="31" t="n">
        <x:v>0</x:v>
      </x:c>
      <x:c r="L574" s="31" t="inlineStr">
        <x:is>
          <x:t xml:space="preserve">Да</x:t>
        </x:is>
      </x:c>
      <x:c r="M574" s="31" t="inlineStr">
        <x:is>
          <x:t xml:space="preserve">Руководитель</x:t>
        </x:is>
      </x:c>
      <x:c r="N574" s="31" t="inlineStr">
        <x:is>
          <x:t xml:space="preserve">Автосоздано правилом/пользователем 4</x:t>
        </x:is>
      </x:c>
    </x:row>
    <x:row r="575">
      <x:c r="A575" s="31" t="inlineStr">
        <x:is>
          <x:t xml:space="preserve">ЗД-00574</x:t>
        </x:is>
      </x:c>
      <x:c r="B575" s="31" t="n">
        <x:v>46151</x:v>
      </x:c>
      <x:c r="C575" s="31" t="n">
        <x:v>46152</x:v>
      </x:c>
      <x:c r="D575" s="31" t="inlineStr">
        <x:is>
          <x:t xml:space="preserve">Ожидает ответа</x:t>
        </x:is>
      </x:c>
      <x:c r="E575" s="31" t="inlineStr">
        <x:is>
          <x:t xml:space="preserve">Низкий</x:t>
        </x:is>
      </x:c>
      <x:c r="F575" s="31" t="inlineStr">
        <x:is>
          <x:t xml:space="preserve">СОТР-028</x:t>
        </x:is>
      </x:c>
      <x:c r="G575" s="31" t="inlineStr">
        <x:is>
          <x:t xml:space="preserve">Заказ</x:t>
        </x:is>
      </x:c>
      <x:c r="H575" s="31" t="inlineStr">
        <x:is>
          <x:t xml:space="preserve">ЗК-1030</x:t>
        </x:is>
      </x:c>
      <x:c r="I575" s="31" t="inlineStr">
        <x:is>
          <x:t xml:space="preserve">Уточнить ТЗ</x:t>
        </x:is>
      </x:c>
      <x:c r="J575" s="31" t="inlineStr">
        <x:is>
          <x:t xml:space="preserve">Производство</x:t>
        </x:is>
      </x:c>
      <x:c r="K575" s="31" t="n">
        <x:v>0</x:v>
      </x:c>
      <x:c r="L575" s="31" t="inlineStr">
        <x:is>
          <x:t xml:space="preserve">Нет</x:t>
        </x:is>
      </x:c>
      <x:c r="M575" s="31" t="inlineStr">
        <x:is>
          <x:t xml:space="preserve">Нет</x:t>
        </x:is>
      </x:c>
      <x:c r="N575" s="31" t="inlineStr">
        <x:is>
          <x:t xml:space="preserve">Автосоздано правилом/пользователем 2</x:t>
        </x:is>
      </x:c>
    </x:row>
    <x:row r="576">
      <x:c r="A576" s="31" t="inlineStr">
        <x:is>
          <x:t xml:space="preserve">ЗД-00575</x:t>
        </x:is>
      </x:c>
      <x:c r="B576" s="31" t="n">
        <x:v>46158</x:v>
      </x:c>
      <x:c r="C576" s="31" t="n">
        <x:v>46160</x:v>
      </x:c>
      <x:c r="D576" s="31" t="inlineStr">
        <x:is>
          <x:t xml:space="preserve">Выполнена</x:t>
        </x:is>
      </x:c>
      <x:c r="E576" s="31" t="inlineStr">
        <x:is>
          <x:t xml:space="preserve">Срочный</x:t>
        </x:is>
      </x:c>
      <x:c r="F576" s="31" t="inlineStr">
        <x:is>
          <x:t xml:space="preserve">СОТР-097</x:t>
        </x:is>
      </x:c>
      <x:c r="G576" s="31" t="inlineStr">
        <x:is>
          <x:t xml:space="preserve">ОТК</x:t>
        </x:is>
      </x:c>
      <x:c r="H576" s="31" t="inlineStr">
        <x:is>
          <x:t xml:space="preserve">ОТК-00024</x:t>
        </x:is>
      </x:c>
      <x:c r="I576" s="31" t="inlineStr">
        <x:is>
          <x:t xml:space="preserve">Проверить доработку</x:t>
        </x:is>
      </x:c>
      <x:c r="J576" s="31" t="inlineStr">
        <x:is>
          <x:t xml:space="preserve">Продажи</x:t>
        </x:is>
      </x:c>
      <x:c r="K576" s="31" t="n">
        <x:v>0</x:v>
      </x:c>
      <x:c r="L576" s="31" t="inlineStr">
        <x:is>
          <x:t xml:space="preserve">Нет</x:t>
        </x:is>
      </x:c>
      <x:c r="M576" s="31" t="inlineStr">
        <x:is>
          <x:t xml:space="preserve">Руководитель</x:t>
        </x:is>
      </x:c>
      <x:c r="N576" s="31" t="inlineStr">
        <x:is>
          <x:t xml:space="preserve">Автосоздано правилом/пользователем 3</x:t>
        </x:is>
      </x:c>
    </x:row>
    <x:row r="577">
      <x:c r="A577" s="31" t="inlineStr">
        <x:is>
          <x:t xml:space="preserve">ЗД-00576</x:t>
        </x:is>
      </x:c>
      <x:c r="B577" s="31" t="n">
        <x:v>46183</x:v>
      </x:c>
      <x:c r="C577" s="31" t="n">
        <x:v>46197</x:v>
      </x:c>
      <x:c r="D577" s="31" t="inlineStr">
        <x:is>
          <x:t xml:space="preserve">Выполнена</x:t>
        </x:is>
      </x:c>
      <x:c r="E577" s="31" t="inlineStr">
        <x:is>
          <x:t xml:space="preserve">Высокий</x:t>
        </x:is>
      </x:c>
      <x:c r="F577" s="31" t="inlineStr">
        <x:is>
          <x:t xml:space="preserve">СОТР-028</x:t>
        </x:is>
      </x:c>
      <x:c r="G577" s="31" t="inlineStr">
        <x:is>
          <x:t xml:space="preserve">Счет</x:t>
        </x:is>
      </x:c>
      <x:c r="H577" s="31" t="inlineStr">
        <x:is>
          <x:t xml:space="preserve">СЧ-1004-1</x:t>
        </x:is>
      </x:c>
      <x:c r="I577" s="31" t="inlineStr">
        <x:is>
          <x:t xml:space="preserve">Напомнить об оплате</x:t>
        </x:is>
      </x:c>
      <x:c r="J577" s="31" t="inlineStr">
        <x:is>
          <x:t xml:space="preserve">Производство</x:t>
        </x:is>
      </x:c>
      <x:c r="K577" s="31" t="n">
        <x:v>0</x:v>
      </x:c>
      <x:c r="L577" s="31" t="inlineStr">
        <x:is>
          <x:t xml:space="preserve">Да</x:t>
        </x:is>
      </x:c>
      <x:c r="M577" s="31" t="inlineStr">
        <x:is>
          <x:t xml:space="preserve">Нет</x:t>
        </x:is>
      </x:c>
      <x:c r="N577" s="31" t="inlineStr">
        <x:is>
          <x:t xml:space="preserve">Автосоздано правилом/пользователем 10</x:t>
        </x:is>
      </x:c>
    </x:row>
    <x:row r="578">
      <x:c r="A578" s="31" t="inlineStr">
        <x:is>
          <x:t xml:space="preserve">ЗД-00577</x:t>
        </x:is>
      </x:c>
      <x:c r="B578" s="31" t="n">
        <x:v>46130</x:v>
      </x:c>
      <x:c r="C578" s="31" t="n">
        <x:v>46133</x:v>
      </x:c>
      <x:c r="D578" s="31" t="inlineStr">
        <x:is>
          <x:t xml:space="preserve">Просрочена</x:t>
        </x:is>
      </x:c>
      <x:c r="E578" s="31" t="inlineStr">
        <x:is>
          <x:t xml:space="preserve">Средний</x:t>
        </x:is>
      </x:c>
      <x:c r="F578" s="31" t="inlineStr">
        <x:is>
          <x:t xml:space="preserve">СОТР-023</x:t>
        </x:is>
      </x:c>
      <x:c r="G578" s="31" t="inlineStr">
        <x:is>
          <x:t xml:space="preserve">Закупка</x:t>
        </x:is>
      </x:c>
      <x:c r="H578" s="31" t="inlineStr">
        <x:is>
          <x:t xml:space="preserve">ЗЗ-00044</x:t>
        </x:is>
      </x:c>
      <x:c r="I578" s="31" t="inlineStr">
        <x:is>
          <x:t xml:space="preserve">Запросить срок поставки</x:t>
        </x:is>
      </x:c>
      <x:c r="J578" s="31" t="inlineStr">
        <x:is>
          <x:t xml:space="preserve">Продажи</x:t>
        </x:is>
      </x:c>
      <x:c r="K578" s="31" t="n">
        <x:v>52</x:v>
      </x:c>
      <x:c r="L578" s="31" t="inlineStr">
        <x:is>
          <x:t xml:space="preserve">Да</x:t>
        </x:is>
      </x:c>
      <x:c r="M578" s="31" t="inlineStr">
        <x:is>
          <x:t xml:space="preserve">Нет</x:t>
        </x:is>
      </x:c>
      <x:c r="N578" s="31" t="inlineStr">
        <x:is>
          <x:t xml:space="preserve">Автосоздано правилом/пользователем 6</x:t>
        </x:is>
      </x:c>
    </x:row>
    <x:row r="579">
      <x:c r="A579" s="31" t="inlineStr">
        <x:is>
          <x:t xml:space="preserve">ЗД-00578</x:t>
        </x:is>
      </x:c>
      <x:c r="B579" s="31" t="n">
        <x:v>46144</x:v>
      </x:c>
      <x:c r="C579" s="31" t="n">
        <x:v>46151</x:v>
      </x:c>
      <x:c r="D579" s="31" t="inlineStr">
        <x:is>
          <x:t xml:space="preserve">Новая</x:t>
        </x:is>
      </x:c>
      <x:c r="E579" s="31" t="inlineStr">
        <x:is>
          <x:t xml:space="preserve">Средний</x:t>
        </x:is>
      </x:c>
      <x:c r="F579" s="31" t="inlineStr">
        <x:is>
          <x:t xml:space="preserve">СОТР-004</x:t>
        </x:is>
      </x:c>
      <x:c r="G579" s="31" t="inlineStr">
        <x:is>
          <x:t xml:space="preserve">Заказ</x:t>
        </x:is>
      </x:c>
      <x:c r="H579" s="31" t="inlineStr">
        <x:is>
          <x:t xml:space="preserve">ЗК-1101</x:t>
        </x:is>
      </x:c>
      <x:c r="I579" s="31" t="inlineStr">
        <x:is>
          <x:t xml:space="preserve">Проверить лимит заказчика</x:t>
        </x:is>
      </x:c>
      <x:c r="J579" s="31" t="inlineStr">
        <x:is>
          <x:t xml:space="preserve">Продажи</x:t>
        </x:is>
      </x:c>
      <x:c r="K579" s="31" t="n">
        <x:v>0</x:v>
      </x:c>
      <x:c r="L579" s="31" t="inlineStr">
        <x:is>
          <x:t xml:space="preserve">Нет</x:t>
        </x:is>
      </x:c>
      <x:c r="M579" s="31" t="inlineStr">
        <x:is>
          <x:t xml:space="preserve">Нет</x:t>
        </x:is>
      </x:c>
      <x:c r="N579" s="31" t="inlineStr">
        <x:is>
          <x:t xml:space="preserve">Автосоздано правилом/пользователем 6</x:t>
        </x:is>
      </x:c>
    </x:row>
    <x:row r="580">
      <x:c r="A580" s="31" t="inlineStr">
        <x:is>
          <x:t xml:space="preserve">ЗД-00579</x:t>
        </x:is>
      </x:c>
      <x:c r="B580" s="31" t="n">
        <x:v>46117</x:v>
      </x:c>
      <x:c r="C580" s="31" t="n">
        <x:v>46119</x:v>
      </x:c>
      <x:c r="D580" s="31" t="inlineStr">
        <x:is>
          <x:t xml:space="preserve">Просрочена</x:t>
        </x:is>
      </x:c>
      <x:c r="E580" s="31" t="inlineStr">
        <x:is>
          <x:t xml:space="preserve">Средний</x:t>
        </x:is>
      </x:c>
      <x:c r="F580" s="31" t="inlineStr">
        <x:is>
          <x:t xml:space="preserve">СОТР-099</x:t>
        </x:is>
      </x:c>
      <x:c r="G580" s="31" t="inlineStr">
        <x:is>
          <x:t xml:space="preserve">ОТК</x:t>
        </x:is>
      </x:c>
      <x:c r="H580" s="31" t="inlineStr">
        <x:is>
          <x:t xml:space="preserve">ОТК-00114</x:t>
        </x:is>
      </x:c>
      <x:c r="I580" s="31" t="inlineStr">
        <x:is>
          <x:t xml:space="preserve">Согласовать приемку с замечаниями</x:t>
        </x:is>
      </x:c>
      <x:c r="J580" s="31" t="inlineStr">
        <x:is>
          <x:t xml:space="preserve">Производство</x:t>
        </x:is>
      </x:c>
      <x:c r="K580" s="31" t="n">
        <x:v>66</x:v>
      </x:c>
      <x:c r="L580" s="31" t="inlineStr">
        <x:is>
          <x:t xml:space="preserve">Нет</x:t>
        </x:is>
      </x:c>
      <x:c r="M580" s="31" t="inlineStr">
        <x:is>
          <x:t xml:space="preserve">Нет</x:t>
        </x:is>
      </x:c>
      <x:c r="N580" s="31" t="inlineStr">
        <x:is>
          <x:t xml:space="preserve">Автосоздано правилом/пользователем 10</x:t>
        </x:is>
      </x:c>
    </x:row>
    <x:row r="581">
      <x:c r="A581" s="31" t="inlineStr">
        <x:is>
          <x:t xml:space="preserve">ЗД-00580</x:t>
        </x:is>
      </x:c>
      <x:c r="B581" s="31" t="n">
        <x:v>46126</x:v>
      </x:c>
      <x:c r="C581" s="31" t="n">
        <x:v>46133</x:v>
      </x:c>
      <x:c r="D581" s="31" t="inlineStr">
        <x:is>
          <x:t xml:space="preserve">Просрочена</x:t>
        </x:is>
      </x:c>
      <x:c r="E581" s="31" t="inlineStr">
        <x:is>
          <x:t xml:space="preserve">Срочный</x:t>
        </x:is>
      </x:c>
      <x:c r="F581" s="31" t="inlineStr">
        <x:is>
          <x:t xml:space="preserve">СОТР-063</x:t>
        </x:is>
      </x:c>
      <x:c r="G581" s="31" t="inlineStr">
        <x:is>
          <x:t xml:space="preserve">Производственное задание</x:t>
        </x:is>
      </x:c>
      <x:c r="H581" s="31" t="inlineStr">
        <x:is>
          <x:t xml:space="preserve">ПЗ-00122</x:t>
        </x:is>
      </x:c>
      <x:c r="I581" s="31" t="inlineStr">
        <x:is>
          <x:t xml:space="preserve">Обновить готовность</x:t>
        </x:is>
      </x:c>
      <x:c r="J581" s="31" t="inlineStr">
        <x:is>
          <x:t xml:space="preserve">Снабжение</x:t>
        </x:is>
      </x:c>
      <x:c r="K581" s="31" t="n">
        <x:v>52</x:v>
      </x:c>
      <x:c r="L581" s="31" t="inlineStr">
        <x:is>
          <x:t xml:space="preserve">Нет</x:t>
        </x:is>
      </x:c>
      <x:c r="M581" s="31" t="inlineStr">
        <x:is>
          <x:t xml:space="preserve">Нет</x:t>
        </x:is>
      </x:c>
      <x:c r="N581" s="31" t="inlineStr">
        <x:is>
          <x:t xml:space="preserve">Автосоздано правилом/пользователем 11</x:t>
        </x:is>
      </x:c>
    </x:row>
    <x:row r="582">
      <x:c r="A582" s="31" t="inlineStr">
        <x:is>
          <x:t xml:space="preserve">ЗД-00581</x:t>
        </x:is>
      </x:c>
      <x:c r="B582" s="31" t="n">
        <x:v>46137</x:v>
      </x:c>
      <x:c r="C582" s="31" t="n">
        <x:v>46147</x:v>
      </x:c>
      <x:c r="D582" s="31" t="inlineStr">
        <x:is>
          <x:t xml:space="preserve">Просрочена</x:t>
        </x:is>
      </x:c>
      <x:c r="E582" s="31" t="inlineStr">
        <x:is>
          <x:t xml:space="preserve">Низкий</x:t>
        </x:is>
      </x:c>
      <x:c r="F582" s="31" t="inlineStr">
        <x:is>
          <x:t xml:space="preserve">СОТР-100</x:t>
        </x:is>
      </x:c>
      <x:c r="G582" s="31" t="inlineStr">
        <x:is>
          <x:t xml:space="preserve">ОТК</x:t>
        </x:is>
      </x:c>
      <x:c r="H582" s="31" t="inlineStr">
        <x:is>
          <x:t xml:space="preserve">ОТК-00052</x:t>
        </x:is>
      </x:c>
      <x:c r="I582" s="31" t="inlineStr">
        <x:is>
          <x:t xml:space="preserve">Согласовать приемку с замечаниями</x:t>
        </x:is>
      </x:c>
      <x:c r="J582" s="31" t="inlineStr">
        <x:is>
          <x:t xml:space="preserve">Продажи</x:t>
        </x:is>
      </x:c>
      <x:c r="K582" s="31" t="n">
        <x:v>38</x:v>
      </x:c>
      <x:c r="L582" s="31" t="inlineStr">
        <x:is>
          <x:t xml:space="preserve">Нет</x:t>
        </x:is>
      </x:c>
      <x:c r="M582" s="31" t="inlineStr">
        <x:is>
          <x:t xml:space="preserve">Нет</x:t>
        </x:is>
      </x:c>
      <x:c r="N582" s="31" t="inlineStr">
        <x:is>
          <x:t xml:space="preserve">Автосоздано правилом/пользователем 11</x:t>
        </x:is>
      </x:c>
    </x:row>
    <x:row r="583">
      <x:c r="A583" s="31" t="inlineStr">
        <x:is>
          <x:t xml:space="preserve">ЗД-00582</x:t>
        </x:is>
      </x:c>
      <x:c r="B583" s="31" t="n">
        <x:v>46126</x:v>
      </x:c>
      <x:c r="C583" s="31" t="n">
        <x:v>46136</x:v>
      </x:c>
      <x:c r="D583" s="31" t="inlineStr">
        <x:is>
          <x:t xml:space="preserve">Просрочена</x:t>
        </x:is>
      </x:c>
      <x:c r="E583" s="31" t="inlineStr">
        <x:is>
          <x:t xml:space="preserve">Высокий</x:t>
        </x:is>
      </x:c>
      <x:c r="F583" s="31" t="inlineStr">
        <x:is>
          <x:t xml:space="preserve">СОТР-115</x:t>
        </x:is>
      </x:c>
      <x:c r="G583" s="31" t="inlineStr">
        <x:is>
          <x:t xml:space="preserve">Рекламация</x:t>
        </x:is>
      </x:c>
      <x:c r="H583" s="31" t="inlineStr">
        <x:is>
          <x:t xml:space="preserve">РЕК-00019</x:t>
        </x:is>
      </x:c>
      <x:c r="I583" s="31" t="inlineStr">
        <x:is>
          <x:t xml:space="preserve">Подготовить отчет</x:t>
        </x:is>
      </x:c>
      <x:c r="J583" s="31" t="inlineStr">
        <x:is>
          <x:t xml:space="preserve">Производство</x:t>
        </x:is>
      </x:c>
      <x:c r="K583" s="31" t="n">
        <x:v>49</x:v>
      </x:c>
      <x:c r="L583" s="31" t="inlineStr">
        <x:is>
          <x:t xml:space="preserve">Нет</x:t>
        </x:is>
      </x:c>
      <x:c r="M583" s="31" t="inlineStr">
        <x:is>
          <x:t xml:space="preserve">Нет</x:t>
        </x:is>
      </x:c>
      <x:c r="N583" s="31" t="inlineStr">
        <x:is>
          <x:t xml:space="preserve">Автосоздано правилом/пользователем 11</x:t>
        </x:is>
      </x:c>
    </x:row>
    <x:row r="584">
      <x:c r="A584" s="31" t="inlineStr">
        <x:is>
          <x:t xml:space="preserve">ЗД-00583</x:t>
        </x:is>
      </x:c>
      <x:c r="B584" s="31" t="n">
        <x:v>46171</x:v>
      </x:c>
      <x:c r="C584" s="31" t="n">
        <x:v>46173</x:v>
      </x:c>
      <x:c r="D584" s="31" t="inlineStr">
        <x:is>
          <x:t xml:space="preserve">Просрочена</x:t>
        </x:is>
      </x:c>
      <x:c r="E584" s="31" t="inlineStr">
        <x:is>
          <x:t xml:space="preserve">Низкий</x:t>
        </x:is>
      </x:c>
      <x:c r="F584" s="31" t="inlineStr">
        <x:is>
          <x:t xml:space="preserve">СОТР-095</x:t>
        </x:is>
      </x:c>
      <x:c r="G584" s="31" t="inlineStr">
        <x:is>
          <x:t xml:space="preserve">ОТК</x:t>
        </x:is>
      </x:c>
      <x:c r="H584" s="31" t="inlineStr">
        <x:is>
          <x:t xml:space="preserve">ОТК-00165</x:t>
        </x:is>
      </x:c>
      <x:c r="I584" s="31" t="inlineStr">
        <x:is>
          <x:t xml:space="preserve">Заблокировать отгрузку</x:t>
        </x:is>
      </x:c>
      <x:c r="J584" s="31" t="inlineStr">
        <x:is>
          <x:t xml:space="preserve">ОТК</x:t>
        </x:is>
      </x:c>
      <x:c r="K584" s="31" t="n">
        <x:v>12</x:v>
      </x:c>
      <x:c r="L584" s="31" t="inlineStr">
        <x:is>
          <x:t xml:space="preserve">Нет</x:t>
        </x:is>
      </x:c>
      <x:c r="M584" s="31" t="inlineStr">
        <x:is>
          <x:t xml:space="preserve">Нет</x:t>
        </x:is>
      </x:c>
      <x:c r="N584" s="31" t="inlineStr">
        <x:is>
          <x:t xml:space="preserve">Автосоздано правилом/пользователем 9</x:t>
        </x:is>
      </x:c>
    </x:row>
    <x:row r="585">
      <x:c r="A585" s="31" t="inlineStr">
        <x:is>
          <x:t xml:space="preserve">ЗД-00584</x:t>
        </x:is>
      </x:c>
      <x:c r="B585" s="31" t="n">
        <x:v>46152</x:v>
      </x:c>
      <x:c r="C585" s="31" t="n">
        <x:v>46157</x:v>
      </x:c>
      <x:c r="D585" s="31" t="inlineStr">
        <x:is>
          <x:t xml:space="preserve">В работе</x:t>
        </x:is>
      </x:c>
      <x:c r="E585" s="31" t="inlineStr">
        <x:is>
          <x:t xml:space="preserve">Высокий</x:t>
        </x:is>
      </x:c>
      <x:c r="F585" s="31" t="inlineStr">
        <x:is>
          <x:t xml:space="preserve">СОТР-096</x:t>
        </x:is>
      </x:c>
      <x:c r="G585" s="31" t="inlineStr">
        <x:is>
          <x:t xml:space="preserve">Производственное задание</x:t>
        </x:is>
      </x:c>
      <x:c r="H585" s="31" t="inlineStr">
        <x:is>
          <x:t xml:space="preserve">ПЗ-00143</x:t>
        </x:is>
      </x:c>
      <x:c r="I585" s="31" t="inlineStr">
        <x:is>
          <x:t xml:space="preserve">Закрыть сменный факт</x:t>
        </x:is>
      </x:c>
      <x:c r="J585" s="31" t="inlineStr">
        <x:is>
          <x:t xml:space="preserve">Продажи</x:t>
        </x:is>
      </x:c>
      <x:c r="K585" s="31" t="n">
        <x:v>0</x:v>
      </x:c>
      <x:c r="L585" s="31" t="inlineStr">
        <x:is>
          <x:t xml:space="preserve">Нет</x:t>
        </x:is>
      </x:c>
      <x:c r="M585" s="31" t="inlineStr">
        <x:is>
          <x:t xml:space="preserve">Руководитель</x:t>
        </x:is>
      </x:c>
      <x:c r="N585" s="31" t="inlineStr">
        <x:is>
          <x:t xml:space="preserve">Автосоздано правилом/пользователем 6</x:t>
        </x:is>
      </x:c>
    </x:row>
    <x:row r="586">
      <x:c r="A586" s="31" t="inlineStr">
        <x:is>
          <x:t xml:space="preserve">ЗД-00585</x:t>
        </x:is>
      </x:c>
      <x:c r="B586" s="31" t="n">
        <x:v>46133</x:v>
      </x:c>
      <x:c r="C586" s="31" t="n">
        <x:v>46136</x:v>
      </x:c>
      <x:c r="D586" s="31" t="inlineStr">
        <x:is>
          <x:t xml:space="preserve">Просрочена</x:t>
        </x:is>
      </x:c>
      <x:c r="E586" s="31" t="inlineStr">
        <x:is>
          <x:t xml:space="preserve">Средний</x:t>
        </x:is>
      </x:c>
      <x:c r="F586" s="31" t="inlineStr">
        <x:is>
          <x:t xml:space="preserve">СОТР-096</x:t>
        </x:is>
      </x:c>
      <x:c r="G586" s="31" t="inlineStr">
        <x:is>
          <x:t xml:space="preserve">ОТК</x:t>
        </x:is>
      </x:c>
      <x:c r="H586" s="31" t="inlineStr">
        <x:is>
          <x:t xml:space="preserve">ОТК-00029</x:t>
        </x:is>
      </x:c>
      <x:c r="I586" s="31" t="inlineStr">
        <x:is>
          <x:t xml:space="preserve">Заблокировать отгрузку</x:t>
        </x:is>
      </x:c>
      <x:c r="J586" s="31" t="inlineStr">
        <x:is>
          <x:t xml:space="preserve">Снабжение</x:t>
        </x:is>
      </x:c>
      <x:c r="K586" s="31" t="n">
        <x:v>49</x:v>
      </x:c>
      <x:c r="L586" s="31" t="inlineStr">
        <x:is>
          <x:t xml:space="preserve">Нет</x:t>
        </x:is>
      </x:c>
      <x:c r="M586" s="31" t="inlineStr">
        <x:is>
          <x:t xml:space="preserve">Нет</x:t>
        </x:is>
      </x:c>
      <x:c r="N586" s="31" t="inlineStr">
        <x:is>
          <x:t xml:space="preserve">Автосоздано правилом/пользователем 11</x:t>
        </x:is>
      </x:c>
    </x:row>
    <x:row r="587">
      <x:c r="A587" s="31" t="inlineStr">
        <x:is>
          <x:t xml:space="preserve">ЗД-00586</x:t>
        </x:is>
      </x:c>
      <x:c r="B587" s="31" t="n">
        <x:v>46135</x:v>
      </x:c>
      <x:c r="C587" s="31" t="n">
        <x:v>46136</x:v>
      </x:c>
      <x:c r="D587" s="31" t="inlineStr">
        <x:is>
          <x:t xml:space="preserve">В работе</x:t>
        </x:is>
      </x:c>
      <x:c r="E587" s="31" t="inlineStr">
        <x:is>
          <x:t xml:space="preserve">Средний</x:t>
        </x:is>
      </x:c>
      <x:c r="F587" s="31" t="inlineStr">
        <x:is>
          <x:t xml:space="preserve">СОТР-095</x:t>
        </x:is>
      </x:c>
      <x:c r="G587" s="31" t="inlineStr">
        <x:is>
          <x:t xml:space="preserve">Производственное задание</x:t>
        </x:is>
      </x:c>
      <x:c r="H587" s="31" t="inlineStr">
        <x:is>
          <x:t xml:space="preserve">ПЗ-00232</x:t>
        </x:is>
      </x:c>
      <x:c r="I587" s="31" t="inlineStr">
        <x:is>
          <x:t xml:space="preserve">Закрыть сменный факт</x:t>
        </x:is>
      </x:c>
      <x:c r="J587" s="31" t="inlineStr">
        <x:is>
          <x:t xml:space="preserve">Сервис</x:t>
        </x:is>
      </x:c>
      <x:c r="K587" s="31" t="n">
        <x:v>0</x:v>
      </x:c>
      <x:c r="L587" s="31" t="inlineStr">
        <x:is>
          <x:t xml:space="preserve">Нет</x:t>
        </x:is>
      </x:c>
      <x:c r="M587" s="31" t="inlineStr">
        <x:is>
          <x:t xml:space="preserve">Нет</x:t>
        </x:is>
      </x:c>
      <x:c r="N587" s="31" t="inlineStr">
        <x:is>
          <x:t xml:space="preserve">Автосоздано правилом/пользователем 12</x:t>
        </x:is>
      </x:c>
    </x:row>
    <x:row r="588">
      <x:c r="A588" s="31" t="inlineStr">
        <x:is>
          <x:t xml:space="preserve">ЗД-00587</x:t>
        </x:is>
      </x:c>
      <x:c r="B588" s="31" t="n">
        <x:v>46147</x:v>
      </x:c>
      <x:c r="C588" s="31" t="n">
        <x:v>46157</x:v>
      </x:c>
      <x:c r="D588" s="31" t="inlineStr">
        <x:is>
          <x:t xml:space="preserve">В работе</x:t>
        </x:is>
      </x:c>
      <x:c r="E588" s="31" t="inlineStr">
        <x:is>
          <x:t xml:space="preserve">Средний</x:t>
        </x:is>
      </x:c>
      <x:c r="F588" s="31" t="inlineStr">
        <x:is>
          <x:t xml:space="preserve">СОТР-037</x:t>
        </x:is>
      </x:c>
      <x:c r="G588" s="31" t="inlineStr">
        <x:is>
          <x:t xml:space="preserve">ОТК</x:t>
        </x:is>
      </x:c>
      <x:c r="H588" s="31" t="inlineStr">
        <x:is>
          <x:t xml:space="preserve">ОТК-00008</x:t>
        </x:is>
      </x:c>
      <x:c r="I588" s="31" t="inlineStr">
        <x:is>
          <x:t xml:space="preserve">Заблокировать отгрузку</x:t>
        </x:is>
      </x:c>
      <x:c r="J588" s="31" t="inlineStr">
        <x:is>
          <x:t xml:space="preserve">Продажи</x:t>
        </x:is>
      </x:c>
      <x:c r="K588" s="31" t="n">
        <x:v>0</x:v>
      </x:c>
      <x:c r="L588" s="31" t="inlineStr">
        <x:is>
          <x:t xml:space="preserve">Да</x:t>
        </x:is>
      </x:c>
      <x:c r="M588" s="31" t="inlineStr">
        <x:is>
          <x:t xml:space="preserve">Нет</x:t>
        </x:is>
      </x:c>
      <x:c r="N588" s="31" t="inlineStr">
        <x:is>
          <x:t xml:space="preserve">Автосоздано правилом/пользователем 9</x:t>
        </x:is>
      </x:c>
    </x:row>
    <x:row r="589">
      <x:c r="A589" s="31" t="inlineStr">
        <x:is>
          <x:t xml:space="preserve">ЗД-00588</x:t>
        </x:is>
      </x:c>
      <x:c r="B589" s="31" t="n">
        <x:v>46158</x:v>
      </x:c>
      <x:c r="C589" s="31" t="n">
        <x:v>46172</x:v>
      </x:c>
      <x:c r="D589" s="31" t="inlineStr">
        <x:is>
          <x:t xml:space="preserve">Ожидает ответа</x:t>
        </x:is>
      </x:c>
      <x:c r="E589" s="31" t="inlineStr">
        <x:is>
          <x:t xml:space="preserve">Срочный</x:t>
        </x:is>
      </x:c>
      <x:c r="F589" s="31" t="inlineStr">
        <x:is>
          <x:t xml:space="preserve">СОТР-099</x:t>
        </x:is>
      </x:c>
      <x:c r="G589" s="31" t="inlineStr">
        <x:is>
          <x:t xml:space="preserve">ОТК</x:t>
        </x:is>
      </x:c>
      <x:c r="H589" s="31" t="inlineStr">
        <x:is>
          <x:t xml:space="preserve">ОТК-00036</x:t>
        </x:is>
      </x:c>
      <x:c r="I589" s="31" t="inlineStr">
        <x:is>
          <x:t xml:space="preserve">Оформить корректирующие действия</x:t>
        </x:is>
      </x:c>
      <x:c r="J589" s="31" t="inlineStr">
        <x:is>
          <x:t xml:space="preserve">Производство</x:t>
        </x:is>
      </x:c>
      <x:c r="K589" s="31" t="n">
        <x:v>0</x:v>
      </x:c>
      <x:c r="L589" s="31" t="inlineStr">
        <x:is>
          <x:t xml:space="preserve">Нет</x:t>
        </x:is>
      </x:c>
      <x:c r="M589" s="31" t="inlineStr">
        <x:is>
          <x:t xml:space="preserve">Нет</x:t>
        </x:is>
      </x:c>
      <x:c r="N589" s="31" t="inlineStr">
        <x:is>
          <x:t xml:space="preserve">Автосоздано правилом/пользователем 8</x:t>
        </x:is>
      </x:c>
    </x:row>
    <x:row r="590">
      <x:c r="A590" s="31" t="inlineStr">
        <x:is>
          <x:t xml:space="preserve">ЗД-00589</x:t>
        </x:is>
      </x:c>
      <x:c r="B590" s="31" t="n">
        <x:v>46153</x:v>
      </x:c>
      <x:c r="C590" s="31" t="n">
        <x:v>46163</x:v>
      </x:c>
      <x:c r="D590" s="31" t="inlineStr">
        <x:is>
          <x:t xml:space="preserve">Просрочена</x:t>
        </x:is>
      </x:c>
      <x:c r="E590" s="31" t="inlineStr">
        <x:is>
          <x:t xml:space="preserve">Высокий</x:t>
        </x:is>
      </x:c>
      <x:c r="F590" s="31" t="inlineStr">
        <x:is>
          <x:t xml:space="preserve">СОТР-098</x:t>
        </x:is>
      </x:c>
      <x:c r="G590" s="31" t="inlineStr">
        <x:is>
          <x:t xml:space="preserve">Производственное задание</x:t>
        </x:is>
      </x:c>
      <x:c r="H590" s="31" t="inlineStr">
        <x:is>
          <x:t xml:space="preserve">ПЗ-00236</x:t>
        </x:is>
      </x:c>
      <x:c r="I590" s="31" t="inlineStr">
        <x:is>
          <x:t xml:space="preserve">Закрыть сменный факт</x:t>
        </x:is>
      </x:c>
      <x:c r="J590" s="31" t="inlineStr">
        <x:is>
          <x:t xml:space="preserve">ОТК</x:t>
        </x:is>
      </x:c>
      <x:c r="K590" s="31" t="n">
        <x:v>22</x:v>
      </x:c>
      <x:c r="L590" s="31" t="inlineStr">
        <x:is>
          <x:t xml:space="preserve">Нет</x:t>
        </x:is>
      </x:c>
      <x:c r="M590" s="31" t="inlineStr">
        <x:is>
          <x:t xml:space="preserve">Нет</x:t>
        </x:is>
      </x:c>
      <x:c r="N590" s="31" t="inlineStr">
        <x:is>
          <x:t xml:space="preserve">Автосоздано правилом/пользователем 10</x:t>
        </x:is>
      </x:c>
    </x:row>
    <x:row r="591">
      <x:c r="A591" s="31" t="inlineStr">
        <x:is>
          <x:t xml:space="preserve">ЗД-00590</x:t>
        </x:is>
      </x:c>
      <x:c r="B591" s="31" t="n">
        <x:v>46141</x:v>
      </x:c>
      <x:c r="C591" s="31" t="n">
        <x:v>46155</x:v>
      </x:c>
      <x:c r="D591" s="31" t="inlineStr">
        <x:is>
          <x:t xml:space="preserve">Просрочена</x:t>
        </x:is>
      </x:c>
      <x:c r="E591" s="31" t="inlineStr">
        <x:is>
          <x:t xml:space="preserve">Средний</x:t>
        </x:is>
      </x:c>
      <x:c r="F591" s="31" t="inlineStr">
        <x:is>
          <x:t xml:space="preserve">СОТР-076</x:t>
        </x:is>
      </x:c>
      <x:c r="G591" s="31" t="inlineStr">
        <x:is>
          <x:t xml:space="preserve">Счет</x:t>
        </x:is>
      </x:c>
      <x:c r="H591" s="31" t="inlineStr">
        <x:is>
          <x:t xml:space="preserve">СЧ-1101-1</x:t>
        </x:is>
      </x:c>
      <x:c r="I591" s="31" t="inlineStr">
        <x:is>
          <x:t xml:space="preserve">Согласовать отгрузку при ДЗ</x:t>
        </x:is>
      </x:c>
      <x:c r="J591" s="31" t="inlineStr">
        <x:is>
          <x:t xml:space="preserve">Финансы</x:t>
        </x:is>
      </x:c>
      <x:c r="K591" s="31" t="n">
        <x:v>30</x:v>
      </x:c>
      <x:c r="L591" s="31" t="inlineStr">
        <x:is>
          <x:t xml:space="preserve">Нет</x:t>
        </x:is>
      </x:c>
      <x:c r="M591" s="31" t="inlineStr">
        <x:is>
          <x:t xml:space="preserve">Нет</x:t>
        </x:is>
      </x:c>
      <x:c r="N591" s="31" t="inlineStr">
        <x:is>
          <x:t xml:space="preserve">Автосоздано правилом/пользователем 4</x:t>
        </x:is>
      </x:c>
    </x:row>
    <x:row r="592">
      <x:c r="A592" s="31" t="inlineStr">
        <x:is>
          <x:t xml:space="preserve">ЗД-00591</x:t>
        </x:is>
      </x:c>
      <x:c r="B592" s="31" t="n">
        <x:v>46180</x:v>
      </x:c>
      <x:c r="C592" s="31" t="n">
        <x:v>46190</x:v>
      </x:c>
      <x:c r="D592" s="31" t="inlineStr">
        <x:is>
          <x:t xml:space="preserve">Выполнена</x:t>
        </x:is>
      </x:c>
      <x:c r="E592" s="31" t="inlineStr">
        <x:is>
          <x:t xml:space="preserve">Средний</x:t>
        </x:is>
      </x:c>
      <x:c r="F592" s="31" t="inlineStr">
        <x:is>
          <x:t xml:space="preserve">СОТР-076</x:t>
        </x:is>
      </x:c>
      <x:c r="G592" s="31" t="inlineStr">
        <x:is>
          <x:t xml:space="preserve">Счет</x:t>
        </x:is>
      </x:c>
      <x:c r="H592" s="31" t="inlineStr">
        <x:is>
          <x:t xml:space="preserve">СЧ-1050-1</x:t>
        </x:is>
      </x:c>
      <x:c r="I592" s="31" t="inlineStr">
        <x:is>
          <x:t xml:space="preserve">Напомнить об оплате</x:t>
        </x:is>
      </x:c>
      <x:c r="J592" s="31" t="inlineStr">
        <x:is>
          <x:t xml:space="preserve">ОТК</x:t>
        </x:is>
      </x:c>
      <x:c r="K592" s="31" t="n">
        <x:v>0</x:v>
      </x:c>
      <x:c r="L592" s="31" t="inlineStr">
        <x:is>
          <x:t xml:space="preserve">Нет</x:t>
        </x:is>
      </x:c>
      <x:c r="M592" s="31" t="inlineStr">
        <x:is>
          <x:t xml:space="preserve">Руководитель</x:t>
        </x:is>
      </x:c>
      <x:c r="N592" s="31" t="inlineStr">
        <x:is>
          <x:t xml:space="preserve">Автосоздано правилом/пользователем 8</x:t>
        </x:is>
      </x:c>
    </x:row>
    <x:row r="593">
      <x:c r="A593" s="31" t="inlineStr">
        <x:is>
          <x:t xml:space="preserve">ЗД-00592</x:t>
        </x:is>
      </x:c>
      <x:c r="B593" s="31" t="n">
        <x:v>46132</x:v>
      </x:c>
      <x:c r="C593" s="31" t="n">
        <x:v>46134</x:v>
      </x:c>
      <x:c r="D593" s="31" t="inlineStr">
        <x:is>
          <x:t xml:space="preserve">В работе</x:t>
        </x:is>
      </x:c>
      <x:c r="E593" s="31" t="inlineStr">
        <x:is>
          <x:t xml:space="preserve">Средний</x:t>
        </x:is>
      </x:c>
      <x:c r="F593" s="31" t="inlineStr">
        <x:is>
          <x:t xml:space="preserve">СОТР-048</x:t>
        </x:is>
      </x:c>
      <x:c r="G593" s="31" t="inlineStr">
        <x:is>
          <x:t xml:space="preserve">Заказ</x:t>
        </x:is>
      </x:c>
      <x:c r="H593" s="31" t="inlineStr">
        <x:is>
          <x:t xml:space="preserve">ЗК-1123</x:t>
        </x:is>
      </x:c>
      <x:c r="I593" s="31" t="inlineStr">
        <x:is>
          <x:t xml:space="preserve">Проверить лимит заказчика</x:t>
        </x:is>
      </x:c>
      <x:c r="J593" s="31" t="inlineStr">
        <x:is>
          <x:t xml:space="preserve">Продажи</x:t>
        </x:is>
      </x:c>
      <x:c r="K593" s="31" t="n">
        <x:v>0</x:v>
      </x:c>
      <x:c r="L593" s="31" t="inlineStr">
        <x:is>
          <x:t xml:space="preserve">Нет</x:t>
        </x:is>
      </x:c>
      <x:c r="M593" s="31" t="inlineStr">
        <x:is>
          <x:t xml:space="preserve">Нет</x:t>
        </x:is>
      </x:c>
      <x:c r="N593" s="31" t="inlineStr">
        <x:is>
          <x:t xml:space="preserve">Автосоздано правилом/пользователем 11</x:t>
        </x:is>
      </x:c>
    </x:row>
    <x:row r="594">
      <x:c r="A594" s="31" t="inlineStr">
        <x:is>
          <x:t xml:space="preserve">ЗД-00593</x:t>
        </x:is>
      </x:c>
      <x:c r="B594" s="31" t="n">
        <x:v>46132</x:v>
      </x:c>
      <x:c r="C594" s="31" t="n">
        <x:v>46135</x:v>
      </x:c>
      <x:c r="D594" s="31" t="inlineStr">
        <x:is>
          <x:t xml:space="preserve">Просрочена</x:t>
        </x:is>
      </x:c>
      <x:c r="E594" s="31" t="inlineStr">
        <x:is>
          <x:t xml:space="preserve">Срочный</x:t>
        </x:is>
      </x:c>
      <x:c r="F594" s="31" t="inlineStr">
        <x:is>
          <x:t xml:space="preserve">СОТР-076</x:t>
        </x:is>
      </x:c>
      <x:c r="G594" s="31" t="inlineStr">
        <x:is>
          <x:t xml:space="preserve">Счет</x:t>
        </x:is>
      </x:c>
      <x:c r="H594" s="31" t="inlineStr">
        <x:is>
          <x:t xml:space="preserve">СЧ-1061-1</x:t>
        </x:is>
      </x:c>
      <x:c r="I594" s="31" t="inlineStr">
        <x:is>
          <x:t xml:space="preserve">Проверить оплату</x:t>
        </x:is>
      </x:c>
      <x:c r="J594" s="31" t="inlineStr">
        <x:is>
          <x:t xml:space="preserve">ОТК</x:t>
        </x:is>
      </x:c>
      <x:c r="K594" s="31" t="n">
        <x:v>50</x:v>
      </x:c>
      <x:c r="L594" s="31" t="inlineStr">
        <x:is>
          <x:t xml:space="preserve">Нет</x:t>
        </x:is>
      </x:c>
      <x:c r="M594" s="31" t="inlineStr">
        <x:is>
          <x:t xml:space="preserve">Нет</x:t>
        </x:is>
      </x:c>
      <x:c r="N594" s="31" t="inlineStr">
        <x:is>
          <x:t xml:space="preserve">Автосоздано правилом/пользователем 11</x:t>
        </x:is>
      </x:c>
    </x:row>
    <x:row r="595">
      <x:c r="A595" s="31" t="inlineStr">
        <x:is>
          <x:t xml:space="preserve">ЗД-00594</x:t>
        </x:is>
      </x:c>
      <x:c r="B595" s="31" t="n">
        <x:v>46128</x:v>
      </x:c>
      <x:c r="C595" s="31" t="n">
        <x:v>46142</x:v>
      </x:c>
      <x:c r="D595" s="31" t="inlineStr">
        <x:is>
          <x:t xml:space="preserve">Выполнена</x:t>
        </x:is>
      </x:c>
      <x:c r="E595" s="31" t="inlineStr">
        <x:is>
          <x:t xml:space="preserve">Низкий</x:t>
        </x:is>
      </x:c>
      <x:c r="F595" s="31" t="inlineStr">
        <x:is>
          <x:t xml:space="preserve">СОТР-106</x:t>
        </x:is>
      </x:c>
      <x:c r="G595" s="31" t="inlineStr">
        <x:is>
          <x:t xml:space="preserve">Производственное задание</x:t>
        </x:is>
      </x:c>
      <x:c r="H595" s="31" t="inlineStr">
        <x:is>
          <x:t xml:space="preserve">ПЗ-00137</x:t>
        </x:is>
      </x:c>
      <x:c r="I595" s="31" t="inlineStr">
        <x:is>
          <x:t xml:space="preserve">Обновить готовность</x:t>
        </x:is>
      </x:c>
      <x:c r="J595" s="31" t="inlineStr">
        <x:is>
          <x:t xml:space="preserve">Продажи</x:t>
        </x:is>
      </x:c>
      <x:c r="K595" s="31" t="n">
        <x:v>0</x:v>
      </x:c>
      <x:c r="L595" s="31" t="inlineStr">
        <x:is>
          <x:t xml:space="preserve">Да</x:t>
        </x:is>
      </x:c>
      <x:c r="M595" s="31" t="inlineStr">
        <x:is>
          <x:t xml:space="preserve">Нет</x:t>
        </x:is>
      </x:c>
      <x:c r="N595" s="31" t="inlineStr">
        <x:is>
          <x:t xml:space="preserve">Автосоздано правилом/пользователем 3</x:t>
        </x:is>
      </x:c>
    </x:row>
    <x:row r="596">
      <x:c r="A596" s="31" t="inlineStr">
        <x:is>
          <x:t xml:space="preserve">ЗД-00595</x:t>
        </x:is>
      </x:c>
      <x:c r="B596" s="31" t="n">
        <x:v>46178</x:v>
      </x:c>
      <x:c r="C596" s="31" t="n">
        <x:v>46179</x:v>
      </x:c>
      <x:c r="D596" s="31" t="inlineStr">
        <x:is>
          <x:t xml:space="preserve">Новая</x:t>
        </x:is>
      </x:c>
      <x:c r="E596" s="31" t="inlineStr">
        <x:is>
          <x:t xml:space="preserve">Высокий</x:t>
        </x:is>
      </x:c>
      <x:c r="F596" s="31" t="inlineStr">
        <x:is>
          <x:t xml:space="preserve">СОТР-092</x:t>
        </x:is>
      </x:c>
      <x:c r="G596" s="31" t="inlineStr">
        <x:is>
          <x:t xml:space="preserve">ОТК</x:t>
        </x:is>
      </x:c>
      <x:c r="H596" s="31" t="inlineStr">
        <x:is>
          <x:t xml:space="preserve">ОТК-00066</x:t>
        </x:is>
      </x:c>
      <x:c r="I596" s="31" t="inlineStr">
        <x:is>
          <x:t xml:space="preserve">Оформить корректирующие действия</x:t>
        </x:is>
      </x:c>
      <x:c r="J596" s="31" t="inlineStr">
        <x:is>
          <x:t xml:space="preserve">Производство</x:t>
        </x:is>
      </x:c>
      <x:c r="K596" s="31" t="n">
        <x:v>0</x:v>
      </x:c>
      <x:c r="L596" s="31" t="inlineStr">
        <x:is>
          <x:t xml:space="preserve">Нет</x:t>
        </x:is>
      </x:c>
      <x:c r="M596" s="31" t="inlineStr">
        <x:is>
          <x:t xml:space="preserve">Нет</x:t>
        </x:is>
      </x:c>
      <x:c r="N596" s="31" t="inlineStr">
        <x:is>
          <x:t xml:space="preserve">Автосоздано правилом/пользователем 8</x:t>
        </x:is>
      </x:c>
    </x:row>
    <x:row r="597">
      <x:c r="A597" s="31" t="inlineStr">
        <x:is>
          <x:t xml:space="preserve">ЗД-00596</x:t>
        </x:is>
      </x:c>
      <x:c r="B597" s="31" t="n">
        <x:v>46127</x:v>
      </x:c>
      <x:c r="C597" s="31" t="n">
        <x:v>46128</x:v>
      </x:c>
      <x:c r="D597" s="31" t="inlineStr">
        <x:is>
          <x:t xml:space="preserve">Ожидает ответа</x:t>
        </x:is>
      </x:c>
      <x:c r="E597" s="31" t="inlineStr">
        <x:is>
          <x:t xml:space="preserve">Высокий</x:t>
        </x:is>
      </x:c>
      <x:c r="F597" s="31" t="inlineStr">
        <x:is>
          <x:t xml:space="preserve">СОТР-092</x:t>
        </x:is>
      </x:c>
      <x:c r="G597" s="31" t="inlineStr">
        <x:is>
          <x:t xml:space="preserve">ОТК</x:t>
        </x:is>
      </x:c>
      <x:c r="H597" s="31" t="inlineStr">
        <x:is>
          <x:t xml:space="preserve">ОТК-00158</x:t>
        </x:is>
      </x:c>
      <x:c r="I597" s="31" t="inlineStr">
        <x:is>
          <x:t xml:space="preserve">Заблокировать отгрузку</x:t>
        </x:is>
      </x:c>
      <x:c r="J597" s="31" t="inlineStr">
        <x:is>
          <x:t xml:space="preserve">Производство</x:t>
        </x:is>
      </x:c>
      <x:c r="K597" s="31" t="n">
        <x:v>0</x:v>
      </x:c>
      <x:c r="L597" s="31" t="inlineStr">
        <x:is>
          <x:t xml:space="preserve">Да</x:t>
        </x:is>
      </x:c>
      <x:c r="M597" s="31" t="inlineStr">
        <x:is>
          <x:t xml:space="preserve">Нет</x:t>
        </x:is>
      </x:c>
      <x:c r="N597" s="31" t="inlineStr">
        <x:is>
          <x:t xml:space="preserve">Автосоздано правилом/пользователем 7</x:t>
        </x:is>
      </x:c>
    </x:row>
    <x:row r="598">
      <x:c r="A598" s="31" t="inlineStr">
        <x:is>
          <x:t xml:space="preserve">ЗД-00597</x:t>
        </x:is>
      </x:c>
      <x:c r="B598" s="31" t="n">
        <x:v>46157</x:v>
      </x:c>
      <x:c r="C598" s="31" t="n">
        <x:v>46160</x:v>
      </x:c>
      <x:c r="D598" s="31" t="inlineStr">
        <x:is>
          <x:t xml:space="preserve">Выполнена</x:t>
        </x:is>
      </x:c>
      <x:c r="E598" s="31" t="inlineStr">
        <x:is>
          <x:t xml:space="preserve">Средний</x:t>
        </x:is>
      </x:c>
      <x:c r="F598" s="31" t="inlineStr">
        <x:is>
          <x:t xml:space="preserve">СОТР-098</x:t>
        </x:is>
      </x:c>
      <x:c r="G598" s="31" t="inlineStr">
        <x:is>
          <x:t xml:space="preserve">Производственное задание</x:t>
        </x:is>
      </x:c>
      <x:c r="H598" s="31" t="inlineStr">
        <x:is>
          <x:t xml:space="preserve">ПЗ-00173</x:t>
        </x:is>
      </x:c>
      <x:c r="I598" s="31" t="inlineStr">
        <x:is>
          <x:t xml:space="preserve">Обновить готовность</x:t>
        </x:is>
      </x:c>
      <x:c r="J598" s="31" t="inlineStr">
        <x:is>
          <x:t xml:space="preserve">ОТК</x:t>
        </x:is>
      </x:c>
      <x:c r="K598" s="31" t="n">
        <x:v>0</x:v>
      </x:c>
      <x:c r="L598" s="31" t="inlineStr">
        <x:is>
          <x:t xml:space="preserve">Нет</x:t>
        </x:is>
      </x:c>
      <x:c r="M598" s="31" t="inlineStr">
        <x:is>
          <x:t xml:space="preserve">Нет</x:t>
        </x:is>
      </x:c>
      <x:c r="N598" s="31" t="inlineStr">
        <x:is>
          <x:t xml:space="preserve">Автосоздано правилом/пользователем 9</x:t>
        </x:is>
      </x:c>
    </x:row>
    <x:row r="599">
      <x:c r="A599" s="31" t="inlineStr">
        <x:is>
          <x:t xml:space="preserve">ЗД-00598</x:t>
        </x:is>
      </x:c>
      <x:c r="B599" s="31" t="n">
        <x:v>46155</x:v>
      </x:c>
      <x:c r="C599" s="31" t="n">
        <x:v>46157</x:v>
      </x:c>
      <x:c r="D599" s="31" t="inlineStr">
        <x:is>
          <x:t xml:space="preserve">В работе</x:t>
        </x:is>
      </x:c>
      <x:c r="E599" s="31" t="inlineStr">
        <x:is>
          <x:t xml:space="preserve">Низкий</x:t>
        </x:is>
      </x:c>
      <x:c r="F599" s="31" t="inlineStr">
        <x:is>
          <x:t xml:space="preserve">СОТР-096</x:t>
        </x:is>
      </x:c>
      <x:c r="G599" s="31" t="inlineStr">
        <x:is>
          <x:t xml:space="preserve">Производственное задание</x:t>
        </x:is>
      </x:c>
      <x:c r="H599" s="31" t="inlineStr">
        <x:is>
          <x:t xml:space="preserve">ПЗ-00135</x:t>
        </x:is>
      </x:c>
      <x:c r="I599" s="31" t="inlineStr">
        <x:is>
          <x:t xml:space="preserve">Проверить дефицит материалов</x:t>
        </x:is>
      </x:c>
      <x:c r="J599" s="31" t="inlineStr">
        <x:is>
          <x:t xml:space="preserve">ОТК</x:t>
        </x:is>
      </x:c>
      <x:c r="K599" s="31" t="n">
        <x:v>0</x:v>
      </x:c>
      <x:c r="L599" s="31" t="inlineStr">
        <x:is>
          <x:t xml:space="preserve">Нет</x:t>
        </x:is>
      </x:c>
      <x:c r="M599" s="31" t="inlineStr">
        <x:is>
          <x:t xml:space="preserve">Нет</x:t>
        </x:is>
      </x:c>
      <x:c r="N599" s="31" t="inlineStr">
        <x:is>
          <x:t xml:space="preserve">Автосоздано правилом/пользователем 5</x:t>
        </x:is>
      </x:c>
    </x:row>
    <x:row r="600">
      <x:c r="A600" s="31" t="inlineStr">
        <x:is>
          <x:t xml:space="preserve">ЗД-00599</x:t>
        </x:is>
      </x:c>
      <x:c r="B600" s="31" t="n">
        <x:v>46177</x:v>
      </x:c>
      <x:c r="C600" s="31" t="n">
        <x:v>46182</x:v>
      </x:c>
      <x:c r="D600" s="31" t="inlineStr">
        <x:is>
          <x:t xml:space="preserve">В работе</x:t>
        </x:is>
      </x:c>
      <x:c r="E600" s="31" t="inlineStr">
        <x:is>
          <x:t xml:space="preserve">Средний</x:t>
        </x:is>
      </x:c>
      <x:c r="F600" s="31" t="inlineStr">
        <x:is>
          <x:t xml:space="preserve">СОТР-054</x:t>
        </x:is>
      </x:c>
      <x:c r="G600" s="31" t="inlineStr">
        <x:is>
          <x:t xml:space="preserve">Производственное задание</x:t>
        </x:is>
      </x:c>
      <x:c r="H600" s="31" t="inlineStr">
        <x:is>
          <x:t xml:space="preserve">ПЗ-00243</x:t>
        </x:is>
      </x:c>
      <x:c r="I600" s="31" t="inlineStr">
        <x:is>
          <x:t xml:space="preserve">Закрыть сменный факт</x:t>
        </x:is>
      </x:c>
      <x:c r="J600" s="31" t="inlineStr">
        <x:is>
          <x:t xml:space="preserve">Продажи</x:t>
        </x:is>
      </x:c>
      <x:c r="K600" s="31" t="n">
        <x:v>0</x:v>
      </x:c>
      <x:c r="L600" s="31" t="inlineStr">
        <x:is>
          <x:t xml:space="preserve">Да</x:t>
        </x:is>
      </x:c>
      <x:c r="M600" s="31" t="inlineStr">
        <x:is>
          <x:t xml:space="preserve">Нет</x:t>
        </x:is>
      </x:c>
      <x:c r="N600" s="31" t="inlineStr">
        <x:is>
          <x:t xml:space="preserve">Автосоздано правилом/пользователем 9</x:t>
        </x:is>
      </x:c>
    </x:row>
    <x:row r="601">
      <x:c r="A601" s="31" t="inlineStr">
        <x:is>
          <x:t xml:space="preserve">ЗД-00600</x:t>
        </x:is>
      </x:c>
      <x:c r="B601" s="31" t="n">
        <x:v>46126</x:v>
      </x:c>
      <x:c r="C601" s="31" t="n">
        <x:v>46127</x:v>
      </x:c>
      <x:c r="D601" s="31" t="inlineStr">
        <x:is>
          <x:t xml:space="preserve">Просрочена</x:t>
        </x:is>
      </x:c>
      <x:c r="E601" s="31" t="inlineStr">
        <x:is>
          <x:t xml:space="preserve">Срочный</x:t>
        </x:is>
      </x:c>
      <x:c r="F601" s="31" t="inlineStr">
        <x:is>
          <x:t xml:space="preserve">СОТР-011</x:t>
        </x:is>
      </x:c>
      <x:c r="G601" s="31" t="inlineStr">
        <x:is>
          <x:t xml:space="preserve">ОТК</x:t>
        </x:is>
      </x:c>
      <x:c r="H601" s="31" t="inlineStr">
        <x:is>
          <x:t xml:space="preserve">ОТК-00137</x:t>
        </x:is>
      </x:c>
      <x:c r="I601" s="31" t="inlineStr">
        <x:is>
          <x:t xml:space="preserve">Заблокировать отгрузку</x:t>
        </x:is>
      </x:c>
      <x:c r="J601" s="31" t="inlineStr">
        <x:is>
          <x:t xml:space="preserve">Производство</x:t>
        </x:is>
      </x:c>
      <x:c r="K601" s="31" t="n">
        <x:v>58</x:v>
      </x:c>
      <x:c r="L601" s="31" t="inlineStr">
        <x:is>
          <x:t xml:space="preserve">Да</x:t>
        </x:is>
      </x:c>
      <x:c r="M601" s="31" t="inlineStr">
        <x:is>
          <x:t xml:space="preserve">Заказчик</x:t>
        </x:is>
      </x:c>
      <x:c r="N601" s="31" t="inlineStr">
        <x:is>
          <x:t xml:space="preserve">Автосоздано правилом/пользователем 11</x:t>
        </x:is>
      </x:c>
    </x:row>
    <x:row r="602">
      <x:c r="A602" s="31" t="inlineStr">
        <x:is>
          <x:t xml:space="preserve">ЗД-00601</x:t>
        </x:is>
      </x:c>
      <x:c r="B602" s="31" t="n">
        <x:v>46138</x:v>
      </x:c>
      <x:c r="C602" s="31" t="n">
        <x:v>46139</x:v>
      </x:c>
      <x:c r="D602" s="31" t="inlineStr">
        <x:is>
          <x:t xml:space="preserve">Новая</x:t>
        </x:is>
      </x:c>
      <x:c r="E602" s="31" t="inlineStr">
        <x:is>
          <x:t xml:space="preserve">Средний</x:t>
        </x:is>
      </x:c>
      <x:c r="F602" s="31" t="inlineStr">
        <x:is>
          <x:t xml:space="preserve">СОТР-122</x:t>
        </x:is>
      </x:c>
      <x:c r="G602" s="31" t="inlineStr">
        <x:is>
          <x:t xml:space="preserve">Заказ</x:t>
        </x:is>
      </x:c>
      <x:c r="H602" s="31" t="inlineStr">
        <x:is>
          <x:t xml:space="preserve">ЗК-1090</x:t>
        </x:is>
      </x:c>
      <x:c r="I602" s="31" t="inlineStr">
        <x:is>
          <x:t xml:space="preserve">Согласовать скидку</x:t>
        </x:is>
      </x:c>
      <x:c r="J602" s="31" t="inlineStr">
        <x:is>
          <x:t xml:space="preserve">Производство</x:t>
        </x:is>
      </x:c>
      <x:c r="K602" s="31" t="n">
        <x:v>0</x:v>
      </x:c>
      <x:c r="L602" s="31" t="inlineStr">
        <x:is>
          <x:t xml:space="preserve">Нет</x:t>
        </x:is>
      </x:c>
      <x:c r="M602" s="31" t="inlineStr">
        <x:is>
          <x:t xml:space="preserve">Нет</x:t>
        </x:is>
      </x:c>
      <x:c r="N602" s="31" t="inlineStr">
        <x:is>
          <x:t xml:space="preserve">Автосоздано правилом/пользователем 10</x:t>
        </x:is>
      </x:c>
    </x:row>
    <x:row r="603">
      <x:c r="A603" s="31" t="inlineStr">
        <x:is>
          <x:t xml:space="preserve">ЗД-00602</x:t>
        </x:is>
      </x:c>
      <x:c r="B603" s="31" t="n">
        <x:v>46147</x:v>
      </x:c>
      <x:c r="C603" s="31" t="n">
        <x:v>46150</x:v>
      </x:c>
      <x:c r="D603" s="31" t="inlineStr">
        <x:is>
          <x:t xml:space="preserve">Отменена</x:t>
        </x:is>
      </x:c>
      <x:c r="E603" s="31" t="inlineStr">
        <x:is>
          <x:t xml:space="preserve">Высокий</x:t>
        </x:is>
      </x:c>
      <x:c r="F603" s="31" t="inlineStr">
        <x:is>
          <x:t xml:space="preserve">СОТР-092</x:t>
        </x:is>
      </x:c>
      <x:c r="G603" s="31" t="inlineStr">
        <x:is>
          <x:t xml:space="preserve">ОТК</x:t>
        </x:is>
      </x:c>
      <x:c r="H603" s="31" t="inlineStr">
        <x:is>
          <x:t xml:space="preserve">ОТК-00137</x:t>
        </x:is>
      </x:c>
      <x:c r="I603" s="31" t="inlineStr">
        <x:is>
          <x:t xml:space="preserve">Заблокировать отгрузку</x:t>
        </x:is>
      </x:c>
      <x:c r="J603" s="31" t="inlineStr">
        <x:is>
          <x:t xml:space="preserve">ОТК</x:t>
        </x:is>
      </x:c>
      <x:c r="K603" s="31" t="n">
        <x:v>0</x:v>
      </x:c>
      <x:c r="L603" s="31" t="inlineStr">
        <x:is>
          <x:t xml:space="preserve">Нет</x:t>
        </x:is>
      </x:c>
      <x:c r="M603" s="31" t="inlineStr">
        <x:is>
          <x:t xml:space="preserve">Нет</x:t>
        </x:is>
      </x:c>
      <x:c r="N603" s="31" t="inlineStr">
        <x:is>
          <x:t xml:space="preserve">Автосоздано правилом/пользователем 10</x:t>
        </x:is>
      </x:c>
    </x:row>
    <x:row r="604">
      <x:c r="A604" s="31" t="inlineStr">
        <x:is>
          <x:t xml:space="preserve">ЗД-00603</x:t>
        </x:is>
      </x:c>
      <x:c r="B604" s="31" t="n">
        <x:v>46166</x:v>
      </x:c>
      <x:c r="C604" s="31" t="n">
        <x:v>46169</x:v>
      </x:c>
      <x:c r="D604" s="31" t="inlineStr">
        <x:is>
          <x:t xml:space="preserve">В работе</x:t>
        </x:is>
      </x:c>
      <x:c r="E604" s="31" t="inlineStr">
        <x:is>
          <x:t xml:space="preserve">Низкий</x:t>
        </x:is>
      </x:c>
      <x:c r="F604" s="31" t="inlineStr">
        <x:is>
          <x:t xml:space="preserve">СОТР-096</x:t>
        </x:is>
      </x:c>
      <x:c r="G604" s="31" t="inlineStr">
        <x:is>
          <x:t xml:space="preserve">ОТК</x:t>
        </x:is>
      </x:c>
      <x:c r="H604" s="31" t="inlineStr">
        <x:is>
          <x:t xml:space="preserve">ОТК-00180</x:t>
        </x:is>
      </x:c>
      <x:c r="I604" s="31" t="inlineStr">
        <x:is>
          <x:t xml:space="preserve">Согласовать приемку с замечаниями</x:t>
        </x:is>
      </x:c>
      <x:c r="J604" s="31" t="inlineStr">
        <x:is>
          <x:t xml:space="preserve">Продажи</x:t>
        </x:is>
      </x:c>
      <x:c r="K604" s="31" t="n">
        <x:v>0</x:v>
      </x:c>
      <x:c r="L604" s="31" t="inlineStr">
        <x:is>
          <x:t xml:space="preserve">Да</x:t>
        </x:is>
      </x:c>
      <x:c r="M604" s="31" t="inlineStr">
        <x:is>
          <x:t xml:space="preserve">Нет</x:t>
        </x:is>
      </x:c>
      <x:c r="N604" s="31" t="inlineStr">
        <x:is>
          <x:t xml:space="preserve">Автосоздано правилом/пользователем 6</x:t>
        </x:is>
      </x:c>
    </x:row>
    <x:row r="605">
      <x:c r="A605" s="31" t="inlineStr">
        <x:is>
          <x:t xml:space="preserve">ЗД-00604</x:t>
        </x:is>
      </x:c>
      <x:c r="B605" s="31" t="n">
        <x:v>46151</x:v>
      </x:c>
      <x:c r="C605" s="31" t="n">
        <x:v>46152</x:v>
      </x:c>
      <x:c r="D605" s="31" t="inlineStr">
        <x:is>
          <x:t xml:space="preserve">Ожидает ответа</x:t>
        </x:is>
      </x:c>
      <x:c r="E605" s="31" t="inlineStr">
        <x:is>
          <x:t xml:space="preserve">Средний</x:t>
        </x:is>
      </x:c>
      <x:c r="F605" s="31" t="inlineStr">
        <x:is>
          <x:t xml:space="preserve">СОТР-087</x:t>
        </x:is>
      </x:c>
      <x:c r="G605" s="31" t="inlineStr">
        <x:is>
          <x:t xml:space="preserve">ОТК</x:t>
        </x:is>
      </x:c>
      <x:c r="H605" s="31" t="inlineStr">
        <x:is>
          <x:t xml:space="preserve">ОТК-00113</x:t>
        </x:is>
      </x:c>
      <x:c r="I605" s="31" t="inlineStr">
        <x:is>
          <x:t xml:space="preserve">Заблокировать отгрузку</x:t>
        </x:is>
      </x:c>
      <x:c r="J605" s="31" t="inlineStr">
        <x:is>
          <x:t xml:space="preserve">Сервис</x:t>
        </x:is>
      </x:c>
      <x:c r="K605" s="31" t="n">
        <x:v>0</x:v>
      </x:c>
      <x:c r="L605" s="31" t="inlineStr">
        <x:is>
          <x:t xml:space="preserve">Нет</x:t>
        </x:is>
      </x:c>
      <x:c r="M605" s="31" t="inlineStr">
        <x:is>
          <x:t xml:space="preserve">Нет</x:t>
        </x:is>
      </x:c>
      <x:c r="N605" s="31" t="inlineStr">
        <x:is>
          <x:t xml:space="preserve">Автосоздано правилом/пользователем 3</x:t>
        </x:is>
      </x:c>
    </x:row>
    <x:row r="606">
      <x:c r="A606" s="31" t="inlineStr">
        <x:is>
          <x:t xml:space="preserve">ЗД-00605</x:t>
        </x:is>
      </x:c>
      <x:c r="B606" s="31" t="n">
        <x:v>46169</x:v>
      </x:c>
      <x:c r="C606" s="31" t="n">
        <x:v>46171</x:v>
      </x:c>
      <x:c r="D606" s="31" t="inlineStr">
        <x:is>
          <x:t xml:space="preserve">Просрочена</x:t>
        </x:is>
      </x:c>
      <x:c r="E606" s="31" t="inlineStr">
        <x:is>
          <x:t xml:space="preserve">Средний</x:t>
        </x:is>
      </x:c>
      <x:c r="F606" s="31" t="inlineStr">
        <x:is>
          <x:t xml:space="preserve">СОТР-018</x:t>
        </x:is>
      </x:c>
      <x:c r="G606" s="31" t="inlineStr">
        <x:is>
          <x:t xml:space="preserve">Производственное задание</x:t>
        </x:is>
      </x:c>
      <x:c r="H606" s="31" t="inlineStr">
        <x:is>
          <x:t xml:space="preserve">ПЗ-00084</x:t>
        </x:is>
      </x:c>
      <x:c r="I606" s="31" t="inlineStr">
        <x:is>
          <x:t xml:space="preserve">Разобрать простой</x:t>
        </x:is>
      </x:c>
      <x:c r="J606" s="31" t="inlineStr">
        <x:is>
          <x:t xml:space="preserve">Продажи</x:t>
        </x:is>
      </x:c>
      <x:c r="K606" s="31" t="n">
        <x:v>14</x:v>
      </x:c>
      <x:c r="L606" s="31" t="inlineStr">
        <x:is>
          <x:t xml:space="preserve">Нет</x:t>
        </x:is>
      </x:c>
      <x:c r="M606" s="31" t="inlineStr">
        <x:is>
          <x:t xml:space="preserve">Нет</x:t>
        </x:is>
      </x:c>
      <x:c r="N606" s="31" t="inlineStr">
        <x:is>
          <x:t xml:space="preserve">Автосоздано правилом/пользователем 4</x:t>
        </x:is>
      </x:c>
    </x:row>
    <x:row r="607">
      <x:c r="A607" s="31" t="inlineStr">
        <x:is>
          <x:t xml:space="preserve">ЗД-00606</x:t>
        </x:is>
      </x:c>
      <x:c r="B607" s="31" t="n">
        <x:v>46140</x:v>
      </x:c>
      <x:c r="C607" s="31" t="n">
        <x:v>46141</x:v>
      </x:c>
      <x:c r="D607" s="31" t="inlineStr">
        <x:is>
          <x:t xml:space="preserve">Выполнена</x:t>
        </x:is>
      </x:c>
      <x:c r="E607" s="31" t="inlineStr">
        <x:is>
          <x:t xml:space="preserve">Средний</x:t>
        </x:is>
      </x:c>
      <x:c r="F607" s="31" t="inlineStr">
        <x:is>
          <x:t xml:space="preserve">СОТР-098</x:t>
        </x:is>
      </x:c>
      <x:c r="G607" s="31" t="inlineStr">
        <x:is>
          <x:t xml:space="preserve">ОТК</x:t>
        </x:is>
      </x:c>
      <x:c r="H607" s="31" t="inlineStr">
        <x:is>
          <x:t xml:space="preserve">ОТК-00084</x:t>
        </x:is>
      </x:c>
      <x:c r="I607" s="31" t="inlineStr">
        <x:is>
          <x:t xml:space="preserve">Согласовать приемку с замечаниями</x:t>
        </x:is>
      </x:c>
      <x:c r="J607" s="31" t="inlineStr">
        <x:is>
          <x:t xml:space="preserve">Снабжение</x:t>
        </x:is>
      </x:c>
      <x:c r="K607" s="31" t="n">
        <x:v>0</x:v>
      </x:c>
      <x:c r="L607" s="31" t="inlineStr">
        <x:is>
          <x:t xml:space="preserve">Да</x:t>
        </x:is>
      </x:c>
      <x:c r="M607" s="31" t="inlineStr">
        <x:is>
          <x:t xml:space="preserve">Нет</x:t>
        </x:is>
      </x:c>
      <x:c r="N607" s="31" t="inlineStr">
        <x:is>
          <x:t xml:space="preserve">Автосоздано правилом/пользователем 2</x:t>
        </x:is>
      </x:c>
    </x:row>
    <x:row r="608">
      <x:c r="A608" s="31" t="inlineStr">
        <x:is>
          <x:t xml:space="preserve">ЗД-00607</x:t>
        </x:is>
      </x:c>
      <x:c r="B608" s="31" t="n">
        <x:v>46165</x:v>
      </x:c>
      <x:c r="C608" s="31" t="n">
        <x:v>46170</x:v>
      </x:c>
      <x:c r="D608" s="31" t="inlineStr">
        <x:is>
          <x:t xml:space="preserve">Выполнена</x:t>
        </x:is>
      </x:c>
      <x:c r="E608" s="31" t="inlineStr">
        <x:is>
          <x:t xml:space="preserve">Низкий</x:t>
        </x:is>
      </x:c>
      <x:c r="F608" s="31" t="inlineStr">
        <x:is>
          <x:t xml:space="preserve">СОТР-099</x:t>
        </x:is>
      </x:c>
      <x:c r="G608" s="31" t="inlineStr">
        <x:is>
          <x:t xml:space="preserve">Производственное задание</x:t>
        </x:is>
      </x:c>
      <x:c r="H608" s="31" t="inlineStr">
        <x:is>
          <x:t xml:space="preserve">ПЗ-00195</x:t>
        </x:is>
      </x:c>
      <x:c r="I608" s="31" t="inlineStr">
        <x:is>
          <x:t xml:space="preserve">Обновить готовность</x:t>
        </x:is>
      </x:c>
      <x:c r="J608" s="31" t="inlineStr">
        <x:is>
          <x:t xml:space="preserve">Сервис</x:t>
        </x:is>
      </x:c>
      <x:c r="K608" s="31" t="n">
        <x:v>0</x:v>
      </x:c>
      <x:c r="L608" s="31" t="inlineStr">
        <x:is>
          <x:t xml:space="preserve">Нет</x:t>
        </x:is>
      </x:c>
      <x:c r="M608" s="31" t="inlineStr">
        <x:is>
          <x:t xml:space="preserve">Нет</x:t>
        </x:is>
      </x:c>
      <x:c r="N608" s="31" t="inlineStr">
        <x:is>
          <x:t xml:space="preserve">Автосоздано правилом/пользователем 7</x:t>
        </x:is>
      </x:c>
    </x:row>
    <x:row r="609">
      <x:c r="A609" s="31" t="inlineStr">
        <x:is>
          <x:t xml:space="preserve">ЗД-00608</x:t>
        </x:is>
      </x:c>
      <x:c r="B609" s="31" t="n">
        <x:v>46153</x:v>
      </x:c>
      <x:c r="C609" s="31" t="n">
        <x:v>46155</x:v>
      </x:c>
      <x:c r="D609" s="31" t="inlineStr">
        <x:is>
          <x:t xml:space="preserve">Новая</x:t>
        </x:is>
      </x:c>
      <x:c r="E609" s="31" t="inlineStr">
        <x:is>
          <x:t xml:space="preserve">Высокий</x:t>
        </x:is>
      </x:c>
      <x:c r="F609" s="31" t="inlineStr">
        <x:is>
          <x:t xml:space="preserve">СОТР-076</x:t>
        </x:is>
      </x:c>
      <x:c r="G609" s="31" t="inlineStr">
        <x:is>
          <x:t xml:space="preserve">Счет</x:t>
        </x:is>
      </x:c>
      <x:c r="H609" s="31" t="inlineStr">
        <x:is>
          <x:t xml:space="preserve">СЧ-1081-2</x:t>
        </x:is>
      </x:c>
      <x:c r="I609" s="31" t="inlineStr">
        <x:is>
          <x:t xml:space="preserve">Напомнить об оплате</x:t>
        </x:is>
      </x:c>
      <x:c r="J609" s="31" t="inlineStr">
        <x:is>
          <x:t xml:space="preserve">Финансы</x:t>
        </x:is>
      </x:c>
      <x:c r="K609" s="31" t="n">
        <x:v>0</x:v>
      </x:c>
      <x:c r="L609" s="31" t="inlineStr">
        <x:is>
          <x:t xml:space="preserve">Да</x:t>
        </x:is>
      </x:c>
      <x:c r="M609" s="31" t="inlineStr">
        <x:is>
          <x:t xml:space="preserve">Поставщик</x:t>
        </x:is>
      </x:c>
      <x:c r="N609" s="31" t="inlineStr">
        <x:is>
          <x:t xml:space="preserve">Автосоздано правилом/пользователем 12</x:t>
        </x:is>
      </x:c>
    </x:row>
    <x:row r="610">
      <x:c r="A610" s="31" t="inlineStr">
        <x:is>
          <x:t xml:space="preserve">ЗД-00609</x:t>
        </x:is>
      </x:c>
      <x:c r="B610" s="31" t="n">
        <x:v>46176</x:v>
      </x:c>
      <x:c r="C610" s="31" t="n">
        <x:v>46177</x:v>
      </x:c>
      <x:c r="D610" s="31" t="inlineStr">
        <x:is>
          <x:t xml:space="preserve">Просрочена</x:t>
        </x:is>
      </x:c>
      <x:c r="E610" s="31" t="inlineStr">
        <x:is>
          <x:t xml:space="preserve">Срочный</x:t>
        </x:is>
      </x:c>
      <x:c r="F610" s="31" t="inlineStr">
        <x:is>
          <x:t xml:space="preserve">СОТР-063</x:t>
        </x:is>
      </x:c>
      <x:c r="G610" s="31" t="inlineStr">
        <x:is>
          <x:t xml:space="preserve">Производственное задание</x:t>
        </x:is>
      </x:c>
      <x:c r="H610" s="31" t="inlineStr">
        <x:is>
          <x:t xml:space="preserve">ПЗ-00122</x:t>
        </x:is>
      </x:c>
      <x:c r="I610" s="31" t="inlineStr">
        <x:is>
          <x:t xml:space="preserve">Назначить оператора</x:t>
        </x:is>
      </x:c>
      <x:c r="J610" s="31" t="inlineStr">
        <x:is>
          <x:t xml:space="preserve">Производство</x:t>
        </x:is>
      </x:c>
      <x:c r="K610" s="31" t="n">
        <x:v>8</x:v>
      </x:c>
      <x:c r="L610" s="31" t="inlineStr">
        <x:is>
          <x:t xml:space="preserve">Да</x:t>
        </x:is>
      </x:c>
      <x:c r="M610" s="31" t="inlineStr">
        <x:is>
          <x:t xml:space="preserve">Нет</x:t>
        </x:is>
      </x:c>
      <x:c r="N610" s="31" t="inlineStr">
        <x:is>
          <x:t xml:space="preserve">Автосоздано правилом/пользователем 11</x:t>
        </x:is>
      </x:c>
    </x:row>
    <x:row r="611">
      <x:c r="A611" s="31" t="inlineStr">
        <x:is>
          <x:t xml:space="preserve">ЗД-00610</x:t>
        </x:is>
      </x:c>
      <x:c r="B611" s="31" t="n">
        <x:v>46142</x:v>
      </x:c>
      <x:c r="C611" s="31" t="n">
        <x:v>46156</x:v>
      </x:c>
      <x:c r="D611" s="31" t="inlineStr">
        <x:is>
          <x:t xml:space="preserve">Просрочена</x:t>
        </x:is>
      </x:c>
      <x:c r="E611" s="31" t="inlineStr">
        <x:is>
          <x:t xml:space="preserve">Высокий</x:t>
        </x:is>
      </x:c>
      <x:c r="F611" s="31" t="inlineStr">
        <x:is>
          <x:t xml:space="preserve">СОТР-004</x:t>
        </x:is>
      </x:c>
      <x:c r="G611" s="31" t="inlineStr">
        <x:is>
          <x:t xml:space="preserve">Заказ</x:t>
        </x:is>
      </x:c>
      <x:c r="H611" s="31" t="inlineStr">
        <x:is>
          <x:t xml:space="preserve">ЗК-1048</x:t>
        </x:is>
      </x:c>
      <x:c r="I611" s="31" t="inlineStr">
        <x:is>
          <x:t xml:space="preserve">Проверить лимит заказчика</x:t>
        </x:is>
      </x:c>
      <x:c r="J611" s="31" t="inlineStr">
        <x:is>
          <x:t xml:space="preserve">Продажи</x:t>
        </x:is>
      </x:c>
      <x:c r="K611" s="31" t="n">
        <x:v>29</x:v>
      </x:c>
      <x:c r="L611" s="31" t="inlineStr">
        <x:is>
          <x:t xml:space="preserve">Да</x:t>
        </x:is>
      </x:c>
      <x:c r="M611" s="31" t="inlineStr">
        <x:is>
          <x:t xml:space="preserve">Заказчик</x:t>
        </x:is>
      </x:c>
      <x:c r="N611" s="31" t="inlineStr">
        <x:is>
          <x:t xml:space="preserve">Автосоздано правилом/пользователем 6</x:t>
        </x:is>
      </x:c>
    </x:row>
    <x:row r="612">
      <x:c r="A612" s="31" t="inlineStr">
        <x:is>
          <x:t xml:space="preserve">ЗД-00611</x:t>
        </x:is>
      </x:c>
      <x:c r="B612" s="31" t="n">
        <x:v>46162</x:v>
      </x:c>
      <x:c r="C612" s="31" t="n">
        <x:v>46164</x:v>
      </x:c>
      <x:c r="D612" s="31" t="inlineStr">
        <x:is>
          <x:t xml:space="preserve">В работе</x:t>
        </x:is>
      </x:c>
      <x:c r="E612" s="31" t="inlineStr">
        <x:is>
          <x:t xml:space="preserve">Средний</x:t>
        </x:is>
      </x:c>
      <x:c r="F612" s="31" t="inlineStr">
        <x:is>
          <x:t xml:space="preserve">СОТР-092</x:t>
        </x:is>
      </x:c>
      <x:c r="G612" s="31" t="inlineStr">
        <x:is>
          <x:t xml:space="preserve">Производственное задание</x:t>
        </x:is>
      </x:c>
      <x:c r="H612" s="31" t="inlineStr">
        <x:is>
          <x:t xml:space="preserve">ПЗ-00086</x:t>
        </x:is>
      </x:c>
      <x:c r="I612" s="31" t="inlineStr">
        <x:is>
          <x:t xml:space="preserve">Обновить готовность</x:t>
        </x:is>
      </x:c>
      <x:c r="J612" s="31" t="inlineStr">
        <x:is>
          <x:t xml:space="preserve">Сервис</x:t>
        </x:is>
      </x:c>
      <x:c r="K612" s="31" t="n">
        <x:v>0</x:v>
      </x:c>
      <x:c r="L612" s="31" t="inlineStr">
        <x:is>
          <x:t xml:space="preserve">Нет</x:t>
        </x:is>
      </x:c>
      <x:c r="M612" s="31" t="inlineStr">
        <x:is>
          <x:t xml:space="preserve">Нет</x:t>
        </x:is>
      </x:c>
      <x:c r="N612" s="31" t="inlineStr">
        <x:is>
          <x:t xml:space="preserve">Автосоздано правилом/пользователем 6</x:t>
        </x:is>
      </x:c>
    </x:row>
    <x:row r="613">
      <x:c r="A613" s="31" t="inlineStr">
        <x:is>
          <x:t xml:space="preserve">ЗД-00612</x:t>
        </x:is>
      </x:c>
      <x:c r="B613" s="31" t="n">
        <x:v>46151</x:v>
      </x:c>
      <x:c r="C613" s="31" t="n">
        <x:v>46158</x:v>
      </x:c>
      <x:c r="D613" s="31" t="inlineStr">
        <x:is>
          <x:t xml:space="preserve">Ожидает ответа</x:t>
        </x:is>
      </x:c>
      <x:c r="E613" s="31" t="inlineStr">
        <x:is>
          <x:t xml:space="preserve">Низкий</x:t>
        </x:is>
      </x:c>
      <x:c r="F613" s="31" t="inlineStr">
        <x:is>
          <x:t xml:space="preserve">СОТР-098</x:t>
        </x:is>
      </x:c>
      <x:c r="G613" s="31" t="inlineStr">
        <x:is>
          <x:t xml:space="preserve">Производственное задание</x:t>
        </x:is>
      </x:c>
      <x:c r="H613" s="31" t="inlineStr">
        <x:is>
          <x:t xml:space="preserve">ПЗ-00090</x:t>
        </x:is>
      </x:c>
      <x:c r="I613" s="31" t="inlineStr">
        <x:is>
          <x:t xml:space="preserve">Разобрать простой</x:t>
        </x:is>
      </x:c>
      <x:c r="J613" s="31" t="inlineStr">
        <x:is>
          <x:t xml:space="preserve">Снабжение</x:t>
        </x:is>
      </x:c>
      <x:c r="K613" s="31" t="n">
        <x:v>0</x:v>
      </x:c>
      <x:c r="L613" s="31" t="inlineStr">
        <x:is>
          <x:t xml:space="preserve">Нет</x:t>
        </x:is>
      </x:c>
      <x:c r="M613" s="31" t="inlineStr">
        <x:is>
          <x:t xml:space="preserve">Нет</x:t>
        </x:is>
      </x:c>
      <x:c r="N613" s="31" t="inlineStr">
        <x:is>
          <x:t xml:space="preserve">Автосоздано правилом/пользователем 8</x:t>
        </x:is>
      </x:c>
    </x:row>
    <x:row r="614">
      <x:c r="A614" s="31" t="inlineStr">
        <x:is>
          <x:t xml:space="preserve">ЗД-00613</x:t>
        </x:is>
      </x:c>
      <x:c r="B614" s="31" t="n">
        <x:v>46146</x:v>
      </x:c>
      <x:c r="C614" s="31" t="n">
        <x:v>46148</x:v>
      </x:c>
      <x:c r="D614" s="31" t="inlineStr">
        <x:is>
          <x:t xml:space="preserve">Ожидает ответа</x:t>
        </x:is>
      </x:c>
      <x:c r="E614" s="31" t="inlineStr">
        <x:is>
          <x:t xml:space="preserve">Срочный</x:t>
        </x:is>
      </x:c>
      <x:c r="F614" s="31" t="inlineStr">
        <x:is>
          <x:t xml:space="preserve">СОТР-035</x:t>
        </x:is>
      </x:c>
      <x:c r="G614" s="31" t="inlineStr">
        <x:is>
          <x:t xml:space="preserve">Счет</x:t>
        </x:is>
      </x:c>
      <x:c r="H614" s="31" t="inlineStr">
        <x:is>
          <x:t xml:space="preserve">СЧ-1083-1</x:t>
        </x:is>
      </x:c>
      <x:c r="I614" s="31" t="inlineStr">
        <x:is>
          <x:t xml:space="preserve">Напомнить об оплате</x:t>
        </x:is>
      </x:c>
      <x:c r="J614" s="31" t="inlineStr">
        <x:is>
          <x:t xml:space="preserve">Производство</x:t>
        </x:is>
      </x:c>
      <x:c r="K614" s="31" t="n">
        <x:v>0</x:v>
      </x:c>
      <x:c r="L614" s="31" t="inlineStr">
        <x:is>
          <x:t xml:space="preserve">Да</x:t>
        </x:is>
      </x:c>
      <x:c r="M614" s="31" t="inlineStr">
        <x:is>
          <x:t xml:space="preserve">Нет</x:t>
        </x:is>
      </x:c>
      <x:c r="N614" s="31" t="inlineStr">
        <x:is>
          <x:t xml:space="preserve">Автосоздано правилом/пользователем 11</x:t>
        </x:is>
      </x:c>
    </x:row>
    <x:row r="615">
      <x:c r="A615" s="31" t="inlineStr">
        <x:is>
          <x:t xml:space="preserve">ЗД-00614</x:t>
        </x:is>
      </x:c>
      <x:c r="B615" s="31" t="n">
        <x:v>46155</x:v>
      </x:c>
      <x:c r="C615" s="31" t="n">
        <x:v>46158</x:v>
      </x:c>
      <x:c r="D615" s="31" t="inlineStr">
        <x:is>
          <x:t xml:space="preserve">В работе</x:t>
        </x:is>
      </x:c>
      <x:c r="E615" s="31" t="inlineStr">
        <x:is>
          <x:t xml:space="preserve">Высокий</x:t>
        </x:is>
      </x:c>
      <x:c r="F615" s="31" t="inlineStr">
        <x:is>
          <x:t xml:space="preserve">СОТР-113</x:t>
        </x:is>
      </x:c>
      <x:c r="G615" s="31" t="inlineStr">
        <x:is>
          <x:t xml:space="preserve">Рекламация</x:t>
        </x:is>
      </x:c>
      <x:c r="H615" s="31" t="inlineStr">
        <x:is>
          <x:t xml:space="preserve">РЕК-00013</x:t>
        </x:is>
      </x:c>
      <x:c r="I615" s="31" t="inlineStr">
        <x:is>
          <x:t xml:space="preserve">Провести диагностику</x:t>
        </x:is>
      </x:c>
      <x:c r="J615" s="31" t="inlineStr">
        <x:is>
          <x:t xml:space="preserve">Сервис</x:t>
        </x:is>
      </x:c>
      <x:c r="K615" s="31" t="n">
        <x:v>0</x:v>
      </x:c>
      <x:c r="L615" s="31" t="inlineStr">
        <x:is>
          <x:t xml:space="preserve">Нет</x:t>
        </x:is>
      </x:c>
      <x:c r="M615" s="31" t="inlineStr">
        <x:is>
          <x:t xml:space="preserve">Нет</x:t>
        </x:is>
      </x:c>
      <x:c r="N615" s="31" t="inlineStr">
        <x:is>
          <x:t xml:space="preserve">Автосоздано правилом/пользователем 5</x:t>
        </x:is>
      </x:c>
    </x:row>
    <x:row r="616">
      <x:c r="A616" s="31" t="inlineStr">
        <x:is>
          <x:t xml:space="preserve">ЗД-00615</x:t>
        </x:is>
      </x:c>
      <x:c r="B616" s="31" t="n">
        <x:v>46170</x:v>
      </x:c>
      <x:c r="C616" s="31" t="n">
        <x:v>46177</x:v>
      </x:c>
      <x:c r="D616" s="31" t="inlineStr">
        <x:is>
          <x:t xml:space="preserve">Просрочена</x:t>
        </x:is>
      </x:c>
      <x:c r="E616" s="31" t="inlineStr">
        <x:is>
          <x:t xml:space="preserve">Средний</x:t>
        </x:is>
      </x:c>
      <x:c r="F616" s="31" t="inlineStr">
        <x:is>
          <x:t xml:space="preserve">СОТР-065</x:t>
        </x:is>
      </x:c>
      <x:c r="G616" s="31" t="inlineStr">
        <x:is>
          <x:t xml:space="preserve">ОТК</x:t>
        </x:is>
      </x:c>
      <x:c r="H616" s="31" t="inlineStr">
        <x:is>
          <x:t xml:space="preserve">ОТК-00102</x:t>
        </x:is>
      </x:c>
      <x:c r="I616" s="31" t="inlineStr">
        <x:is>
          <x:t xml:space="preserve">Заблокировать отгрузку</x:t>
        </x:is>
      </x:c>
      <x:c r="J616" s="31" t="inlineStr">
        <x:is>
          <x:t xml:space="preserve">Финансы</x:t>
        </x:is>
      </x:c>
      <x:c r="K616" s="31" t="n">
        <x:v>8</x:v>
      </x:c>
      <x:c r="L616" s="31" t="inlineStr">
        <x:is>
          <x:t xml:space="preserve">Нет</x:t>
        </x:is>
      </x:c>
      <x:c r="M616" s="31" t="inlineStr">
        <x:is>
          <x:t xml:space="preserve">Нет</x:t>
        </x:is>
      </x:c>
      <x:c r="N616" s="31" t="inlineStr">
        <x:is>
          <x:t xml:space="preserve">Автосоздано правилом/пользователем 5</x:t>
        </x:is>
      </x:c>
    </x:row>
    <x:row r="617">
      <x:c r="A617" s="31" t="inlineStr">
        <x:is>
          <x:t xml:space="preserve">ЗД-00616</x:t>
        </x:is>
      </x:c>
      <x:c r="B617" s="31" t="n">
        <x:v>46147</x:v>
      </x:c>
      <x:c r="C617" s="31" t="n">
        <x:v>46154</x:v>
      </x:c>
      <x:c r="D617" s="31" t="inlineStr">
        <x:is>
          <x:t xml:space="preserve">Просрочена</x:t>
        </x:is>
      </x:c>
      <x:c r="E617" s="31" t="inlineStr">
        <x:is>
          <x:t xml:space="preserve">Средний</x:t>
        </x:is>
      </x:c>
      <x:c r="F617" s="31" t="inlineStr">
        <x:is>
          <x:t xml:space="preserve">СОТР-084</x:t>
        </x:is>
      </x:c>
      <x:c r="G617" s="31" t="inlineStr">
        <x:is>
          <x:t xml:space="preserve">Счет</x:t>
        </x:is>
      </x:c>
      <x:c r="H617" s="31" t="inlineStr">
        <x:is>
          <x:t xml:space="preserve">СЧ-1065-1</x:t>
        </x:is>
      </x:c>
      <x:c r="I617" s="31" t="inlineStr">
        <x:is>
          <x:t xml:space="preserve">Согласовать отгрузку при ДЗ</x:t>
        </x:is>
      </x:c>
      <x:c r="J617" s="31" t="inlineStr">
        <x:is>
          <x:t xml:space="preserve">Производство</x:t>
        </x:is>
      </x:c>
      <x:c r="K617" s="31" t="n">
        <x:v>31</x:v>
      </x:c>
      <x:c r="L617" s="31" t="inlineStr">
        <x:is>
          <x:t xml:space="preserve">Нет</x:t>
        </x:is>
      </x:c>
      <x:c r="M617" s="31" t="inlineStr">
        <x:is>
          <x:t xml:space="preserve">Нет</x:t>
        </x:is>
      </x:c>
      <x:c r="N617" s="31" t="inlineStr">
        <x:is>
          <x:t xml:space="preserve">Автосоздано правилом/пользователем 3</x:t>
        </x:is>
      </x:c>
    </x:row>
    <x:row r="618">
      <x:c r="A618" s="31" t="inlineStr">
        <x:is>
          <x:t xml:space="preserve">ЗД-00617</x:t>
        </x:is>
      </x:c>
      <x:c r="B618" s="31" t="n">
        <x:v>46126</x:v>
      </x:c>
      <x:c r="C618" s="31" t="n">
        <x:v>46128</x:v>
      </x:c>
      <x:c r="D618" s="31" t="inlineStr">
        <x:is>
          <x:t xml:space="preserve">Ожидает ответа</x:t>
        </x:is>
      </x:c>
      <x:c r="E618" s="31" t="inlineStr">
        <x:is>
          <x:t xml:space="preserve">Средний</x:t>
        </x:is>
      </x:c>
      <x:c r="F618" s="31" t="inlineStr">
        <x:is>
          <x:t xml:space="preserve">СОТР-003</x:t>
        </x:is>
      </x:c>
      <x:c r="G618" s="31" t="inlineStr">
        <x:is>
          <x:t xml:space="preserve">Заказ</x:t>
        </x:is>
      </x:c>
      <x:c r="H618" s="31" t="inlineStr">
        <x:is>
          <x:t xml:space="preserve">ЗК-1121</x:t>
        </x:is>
      </x:c>
      <x:c r="I618" s="31" t="inlineStr">
        <x:is>
          <x:t xml:space="preserve">Подготовить КП</x:t>
        </x:is>
      </x:c>
      <x:c r="J618" s="31" t="inlineStr">
        <x:is>
          <x:t xml:space="preserve">Финансы</x:t>
        </x:is>
      </x:c>
      <x:c r="K618" s="31" t="n">
        <x:v>0</x:v>
      </x:c>
      <x:c r="L618" s="31" t="inlineStr">
        <x:is>
          <x:t xml:space="preserve">Нет</x:t>
        </x:is>
      </x:c>
      <x:c r="M618" s="31" t="inlineStr">
        <x:is>
          <x:t xml:space="preserve">Нет</x:t>
        </x:is>
      </x:c>
      <x:c r="N618" s="31" t="inlineStr">
        <x:is>
          <x:t xml:space="preserve">Автосоздано правилом/пользователем 10</x:t>
        </x:is>
      </x:c>
    </x:row>
    <x:row r="619">
      <x:c r="A619" s="31" t="inlineStr">
        <x:is>
          <x:t xml:space="preserve">ЗД-00618</x:t>
        </x:is>
      </x:c>
      <x:c r="B619" s="31" t="n">
        <x:v>46117</x:v>
      </x:c>
      <x:c r="C619" s="31" t="n">
        <x:v>46119</x:v>
      </x:c>
      <x:c r="D619" s="31" t="inlineStr">
        <x:is>
          <x:t xml:space="preserve">В работе</x:t>
        </x:is>
      </x:c>
      <x:c r="E619" s="31" t="inlineStr">
        <x:is>
          <x:t xml:space="preserve">Средний</x:t>
        </x:is>
      </x:c>
      <x:c r="F619" s="31" t="inlineStr">
        <x:is>
          <x:t xml:space="preserve">СОТР-005</x:t>
        </x:is>
      </x:c>
      <x:c r="G619" s="31" t="inlineStr">
        <x:is>
          <x:t xml:space="preserve">Заказ</x:t>
        </x:is>
      </x:c>
      <x:c r="H619" s="31" t="inlineStr">
        <x:is>
          <x:t xml:space="preserve">ЗК-1088</x:t>
        </x:is>
      </x:c>
      <x:c r="I619" s="31" t="inlineStr">
        <x:is>
          <x:t xml:space="preserve">Уточнить ТЗ</x:t>
        </x:is>
      </x:c>
      <x:c r="J619" s="31" t="inlineStr">
        <x:is>
          <x:t xml:space="preserve">Сервис</x:t>
        </x:is>
      </x:c>
      <x:c r="K619" s="31" t="n">
        <x:v>0</x:v>
      </x:c>
      <x:c r="L619" s="31" t="inlineStr">
        <x:is>
          <x:t xml:space="preserve">Да</x:t>
        </x:is>
      </x:c>
      <x:c r="M619" s="31" t="inlineStr">
        <x:is>
          <x:t xml:space="preserve">Нет</x:t>
        </x:is>
      </x:c>
      <x:c r="N619" s="31" t="inlineStr">
        <x:is>
          <x:t xml:space="preserve">Автосоздано правилом/пользователем 6</x:t>
        </x:is>
      </x:c>
    </x:row>
    <x:row r="620">
      <x:c r="A620" s="31" t="inlineStr">
        <x:is>
          <x:t xml:space="preserve">ЗД-00619</x:t>
        </x:is>
      </x:c>
      <x:c r="B620" s="31" t="n">
        <x:v>46167</x:v>
      </x:c>
      <x:c r="C620" s="31" t="n">
        <x:v>46170</x:v>
      </x:c>
      <x:c r="D620" s="31" t="inlineStr">
        <x:is>
          <x:t xml:space="preserve">Просрочена</x:t>
        </x:is>
      </x:c>
      <x:c r="E620" s="31" t="inlineStr">
        <x:is>
          <x:t xml:space="preserve">Высокий</x:t>
        </x:is>
      </x:c>
      <x:c r="F620" s="31" t="inlineStr">
        <x:is>
          <x:t xml:space="preserve">СОТР-092</x:t>
        </x:is>
      </x:c>
      <x:c r="G620" s="31" t="inlineStr">
        <x:is>
          <x:t xml:space="preserve">Производственное задание</x:t>
        </x:is>
      </x:c>
      <x:c r="H620" s="31" t="inlineStr">
        <x:is>
          <x:t xml:space="preserve">ПЗ-00201</x:t>
        </x:is>
      </x:c>
      <x:c r="I620" s="31" t="inlineStr">
        <x:is>
          <x:t xml:space="preserve">Разобрать простой</x:t>
        </x:is>
      </x:c>
      <x:c r="J620" s="31" t="inlineStr">
        <x:is>
          <x:t xml:space="preserve">Продажи</x:t>
        </x:is>
      </x:c>
      <x:c r="K620" s="31" t="n">
        <x:v>15</x:v>
      </x:c>
      <x:c r="L620" s="31" t="inlineStr">
        <x:is>
          <x:t xml:space="preserve">Нет</x:t>
        </x:is>
      </x:c>
      <x:c r="M620" s="31" t="inlineStr">
        <x:is>
          <x:t xml:space="preserve">Заказчик</x:t>
        </x:is>
      </x:c>
      <x:c r="N620" s="31" t="inlineStr">
        <x:is>
          <x:t xml:space="preserve">Автосоздано правилом/пользователем 8</x:t>
        </x:is>
      </x:c>
    </x:row>
    <x:row r="621">
      <x:c r="A621" s="31" t="inlineStr">
        <x:is>
          <x:t xml:space="preserve">ЗД-00620</x:t>
        </x:is>
      </x:c>
      <x:c r="B621" s="31" t="n">
        <x:v>46158</x:v>
      </x:c>
      <x:c r="C621" s="31" t="n">
        <x:v>46159</x:v>
      </x:c>
      <x:c r="D621" s="31" t="inlineStr">
        <x:is>
          <x:t xml:space="preserve">Выполнена</x:t>
        </x:is>
      </x:c>
      <x:c r="E621" s="31" t="inlineStr">
        <x:is>
          <x:t xml:space="preserve">Срочный</x:t>
        </x:is>
      </x:c>
      <x:c r="F621" s="31" t="inlineStr">
        <x:is>
          <x:t xml:space="preserve">СОТР-076</x:t>
        </x:is>
      </x:c>
      <x:c r="G621" s="31" t="inlineStr">
        <x:is>
          <x:t xml:space="preserve">Счет</x:t>
        </x:is>
      </x:c>
      <x:c r="H621" s="31" t="inlineStr">
        <x:is>
          <x:t xml:space="preserve">СЧ-1054-1</x:t>
        </x:is>
      </x:c>
      <x:c r="I621" s="31" t="inlineStr">
        <x:is>
          <x:t xml:space="preserve">Подготовить акт сверки</x:t>
        </x:is>
      </x:c>
      <x:c r="J621" s="31" t="inlineStr">
        <x:is>
          <x:t xml:space="preserve">Снабжение</x:t>
        </x:is>
      </x:c>
      <x:c r="K621" s="31" t="n">
        <x:v>0</x:v>
      </x:c>
      <x:c r="L621" s="31" t="inlineStr">
        <x:is>
          <x:t xml:space="preserve">Да</x:t>
        </x:is>
      </x:c>
      <x:c r="M621" s="31" t="inlineStr">
        <x:is>
          <x:t xml:space="preserve">Нет</x:t>
        </x:is>
      </x:c>
      <x:c r="N621" s="31" t="inlineStr">
        <x:is>
          <x:t xml:space="preserve">Автосоздано правилом/пользователем 12</x:t>
        </x:is>
      </x:c>
    </x:row>
    <x:row r="622">
      <x:c r="A622" s="31" t="inlineStr">
        <x:is>
          <x:t xml:space="preserve">ЗД-00621</x:t>
        </x:is>
      </x:c>
      <x:c r="B622" s="31" t="n">
        <x:v>46114</x:v>
      </x:c>
      <x:c r="C622" s="31" t="n">
        <x:v>46119</x:v>
      </x:c>
      <x:c r="D622" s="31" t="inlineStr">
        <x:is>
          <x:t xml:space="preserve">Новая</x:t>
        </x:is>
      </x:c>
      <x:c r="E622" s="31" t="inlineStr">
        <x:is>
          <x:t xml:space="preserve">Средний</x:t>
        </x:is>
      </x:c>
      <x:c r="F622" s="31" t="inlineStr">
        <x:is>
          <x:t xml:space="preserve">СОТР-096</x:t>
        </x:is>
      </x:c>
      <x:c r="G622" s="31" t="inlineStr">
        <x:is>
          <x:t xml:space="preserve">Производственное задание</x:t>
        </x:is>
      </x:c>
      <x:c r="H622" s="31" t="inlineStr">
        <x:is>
          <x:t xml:space="preserve">ПЗ-00089</x:t>
        </x:is>
      </x:c>
      <x:c r="I622" s="31" t="inlineStr">
        <x:is>
          <x:t xml:space="preserve">Проверить дефицит материалов</x:t>
        </x:is>
      </x:c>
      <x:c r="J622" s="31" t="inlineStr">
        <x:is>
          <x:t xml:space="preserve">Снабжение</x:t>
        </x:is>
      </x:c>
      <x:c r="K622" s="31" t="n">
        <x:v>0</x:v>
      </x:c>
      <x:c r="L622" s="31" t="inlineStr">
        <x:is>
          <x:t xml:space="preserve">Нет</x:t>
        </x:is>
      </x:c>
      <x:c r="M622" s="31" t="inlineStr">
        <x:is>
          <x:t xml:space="preserve">Нет</x:t>
        </x:is>
      </x:c>
      <x:c r="N622" s="31" t="inlineStr">
        <x:is>
          <x:t xml:space="preserve">Автосоздано правилом/пользователем 11</x:t>
        </x:is>
      </x:c>
    </x:row>
    <x:row r="623">
      <x:c r="A623" s="31" t="inlineStr">
        <x:is>
          <x:t xml:space="preserve">ЗД-00622</x:t>
        </x:is>
      </x:c>
      <x:c r="B623" s="31" t="n">
        <x:v>46161</x:v>
      </x:c>
      <x:c r="C623" s="31" t="n">
        <x:v>46168</x:v>
      </x:c>
      <x:c r="D623" s="31" t="inlineStr">
        <x:is>
          <x:t xml:space="preserve">Выполнена</x:t>
        </x:is>
      </x:c>
      <x:c r="E623" s="31" t="inlineStr">
        <x:is>
          <x:t xml:space="preserve">Средний</x:t>
        </x:is>
      </x:c>
      <x:c r="F623" s="31" t="inlineStr">
        <x:is>
          <x:t xml:space="preserve">СОТР-093</x:t>
        </x:is>
      </x:c>
      <x:c r="G623" s="31" t="inlineStr">
        <x:is>
          <x:t xml:space="preserve">ОТК</x:t>
        </x:is>
      </x:c>
      <x:c r="H623" s="31" t="inlineStr">
        <x:is>
          <x:t xml:space="preserve">ОТК-00062</x:t>
        </x:is>
      </x:c>
      <x:c r="I623" s="31" t="inlineStr">
        <x:is>
          <x:t xml:space="preserve">Оформить корректирующие действия</x:t>
        </x:is>
      </x:c>
      <x:c r="J623" s="31" t="inlineStr">
        <x:is>
          <x:t xml:space="preserve">Снабжение</x:t>
        </x:is>
      </x:c>
      <x:c r="K623" s="31" t="n">
        <x:v>0</x:v>
      </x:c>
      <x:c r="L623" s="31" t="inlineStr">
        <x:is>
          <x:t xml:space="preserve">Нет</x:t>
        </x:is>
      </x:c>
      <x:c r="M623" s="31" t="inlineStr">
        <x:is>
          <x:t xml:space="preserve">Поставщик</x:t>
        </x:is>
      </x:c>
      <x:c r="N623" s="31" t="inlineStr">
        <x:is>
          <x:t xml:space="preserve">Автосоздано правилом/пользователем 12</x:t>
        </x:is>
      </x:c>
    </x:row>
    <x:row r="624">
      <x:c r="A624" s="31" t="inlineStr">
        <x:is>
          <x:t xml:space="preserve">ЗД-00623</x:t>
        </x:is>
      </x:c>
      <x:c r="B624" s="31" t="n">
        <x:v>46155</x:v>
      </x:c>
      <x:c r="C624" s="31" t="n">
        <x:v>46162</x:v>
      </x:c>
      <x:c r="D624" s="31" t="inlineStr">
        <x:is>
          <x:t xml:space="preserve">В работе</x:t>
        </x:is>
      </x:c>
      <x:c r="E624" s="31" t="inlineStr">
        <x:is>
          <x:t xml:space="preserve">Срочный</x:t>
        </x:is>
      </x:c>
      <x:c r="F624" s="31" t="inlineStr">
        <x:is>
          <x:t xml:space="preserve">СОТР-096</x:t>
        </x:is>
      </x:c>
      <x:c r="G624" s="31" t="inlineStr">
        <x:is>
          <x:t xml:space="preserve">Производственное задание</x:t>
        </x:is>
      </x:c>
      <x:c r="H624" s="31" t="inlineStr">
        <x:is>
          <x:t xml:space="preserve">ПЗ-00199</x:t>
        </x:is>
      </x:c>
      <x:c r="I624" s="31" t="inlineStr">
        <x:is>
          <x:t xml:space="preserve">Назначить оператора</x:t>
        </x:is>
      </x:c>
      <x:c r="J624" s="31" t="inlineStr">
        <x:is>
          <x:t xml:space="preserve">Продажи</x:t>
        </x:is>
      </x:c>
      <x:c r="K624" s="31" t="n">
        <x:v>0</x:v>
      </x:c>
      <x:c r="L624" s="31" t="inlineStr">
        <x:is>
          <x:t xml:space="preserve">Да</x:t>
        </x:is>
      </x:c>
      <x:c r="M624" s="31" t="inlineStr">
        <x:is>
          <x:t xml:space="preserve">Нет</x:t>
        </x:is>
      </x:c>
      <x:c r="N624" s="31" t="inlineStr">
        <x:is>
          <x:t xml:space="preserve">Автосоздано правилом/пользователем 6</x:t>
        </x:is>
      </x:c>
    </x:row>
    <x:row r="625">
      <x:c r="A625" s="31" t="inlineStr">
        <x:is>
          <x:t xml:space="preserve">ЗД-00624</x:t>
        </x:is>
      </x:c>
      <x:c r="B625" s="31" t="n">
        <x:v>46152</x:v>
      </x:c>
      <x:c r="C625" s="31" t="n">
        <x:v>46157</x:v>
      </x:c>
      <x:c r="D625" s="31" t="inlineStr">
        <x:is>
          <x:t xml:space="preserve">Новая</x:t>
        </x:is>
      </x:c>
      <x:c r="E625" s="31" t="inlineStr">
        <x:is>
          <x:t xml:space="preserve">Средний</x:t>
        </x:is>
      </x:c>
      <x:c r="F625" s="31" t="inlineStr">
        <x:is>
          <x:t xml:space="preserve">СОТР-005</x:t>
        </x:is>
      </x:c>
      <x:c r="G625" s="31" t="inlineStr">
        <x:is>
          <x:t xml:space="preserve">Заказ</x:t>
        </x:is>
      </x:c>
      <x:c r="H625" s="31" t="inlineStr">
        <x:is>
          <x:t xml:space="preserve">ЗК-1097</x:t>
        </x:is>
      </x:c>
      <x:c r="I625" s="31" t="inlineStr">
        <x:is>
          <x:t xml:space="preserve">Подготовить КП</x:t>
        </x:is>
      </x:c>
      <x:c r="J625" s="31" t="inlineStr">
        <x:is>
          <x:t xml:space="preserve">Продажи</x:t>
        </x:is>
      </x:c>
      <x:c r="K625" s="31" t="n">
        <x:v>0</x:v>
      </x:c>
      <x:c r="L625" s="31" t="inlineStr">
        <x:is>
          <x:t xml:space="preserve">Нет</x:t>
        </x:is>
      </x:c>
      <x:c r="M625" s="31" t="inlineStr">
        <x:is>
          <x:t xml:space="preserve">Поставщик</x:t>
        </x:is>
      </x:c>
      <x:c r="N625" s="31" t="inlineStr">
        <x:is>
          <x:t xml:space="preserve">Автосоздано правилом/пользователем 7</x:t>
        </x:is>
      </x:c>
    </x:row>
    <x:row r="626">
      <x:c r="A626" s="31" t="inlineStr">
        <x:is>
          <x:t xml:space="preserve">ЗД-00625</x:t>
        </x:is>
      </x:c>
      <x:c r="B626" s="31" t="n">
        <x:v>46163</x:v>
      </x:c>
      <x:c r="C626" s="31" t="n">
        <x:v>46166</x:v>
      </x:c>
      <x:c r="D626" s="31" t="inlineStr">
        <x:is>
          <x:t xml:space="preserve">В работе</x:t>
        </x:is>
      </x:c>
      <x:c r="E626" s="31" t="inlineStr">
        <x:is>
          <x:t xml:space="preserve">Средний</x:t>
        </x:is>
      </x:c>
      <x:c r="F626" s="31" t="inlineStr">
        <x:is>
          <x:t xml:space="preserve">СОТР-063</x:t>
        </x:is>
      </x:c>
      <x:c r="G626" s="31" t="inlineStr">
        <x:is>
          <x:t xml:space="preserve">Производственное задание</x:t>
        </x:is>
      </x:c>
      <x:c r="H626" s="31" t="inlineStr">
        <x:is>
          <x:t xml:space="preserve">ПЗ-00036</x:t>
        </x:is>
      </x:c>
      <x:c r="I626" s="31" t="inlineStr">
        <x:is>
          <x:t xml:space="preserve">Назначить оператора</x:t>
        </x:is>
      </x:c>
      <x:c r="J626" s="31" t="inlineStr">
        <x:is>
          <x:t xml:space="preserve">Производство</x:t>
        </x:is>
      </x:c>
      <x:c r="K626" s="31" t="n">
        <x:v>0</x:v>
      </x:c>
      <x:c r="L626" s="31" t="inlineStr">
        <x:is>
          <x:t xml:space="preserve">Нет</x:t>
        </x:is>
      </x:c>
      <x:c r="M626" s="31" t="inlineStr">
        <x:is>
          <x:t xml:space="preserve">Заказчик</x:t>
        </x:is>
      </x:c>
      <x:c r="N626" s="31" t="inlineStr">
        <x:is>
          <x:t xml:space="preserve">Автосоздано правилом/пользователем 6</x:t>
        </x:is>
      </x:c>
    </x:row>
    <x:row r="627">
      <x:c r="A627" s="31" t="inlineStr">
        <x:is>
          <x:t xml:space="preserve">ЗД-00626</x:t>
        </x:is>
      </x:c>
      <x:c r="B627" s="31" t="n">
        <x:v>46151</x:v>
      </x:c>
      <x:c r="C627" s="31" t="n">
        <x:v>46158</x:v>
      </x:c>
      <x:c r="D627" s="31" t="inlineStr">
        <x:is>
          <x:t xml:space="preserve">Просрочена</x:t>
        </x:is>
      </x:c>
      <x:c r="E627" s="31" t="inlineStr">
        <x:is>
          <x:t xml:space="preserve">Средний</x:t>
        </x:is>
      </x:c>
      <x:c r="F627" s="31" t="inlineStr">
        <x:is>
          <x:t xml:space="preserve">СОТР-003</x:t>
        </x:is>
      </x:c>
      <x:c r="G627" s="31" t="inlineStr">
        <x:is>
          <x:t xml:space="preserve">Заказ</x:t>
        </x:is>
      </x:c>
      <x:c r="H627" s="31" t="inlineStr">
        <x:is>
          <x:t xml:space="preserve">ЗК-1086</x:t>
        </x:is>
      </x:c>
      <x:c r="I627" s="31" t="inlineStr">
        <x:is>
          <x:t xml:space="preserve">Уточнить ТЗ</x:t>
        </x:is>
      </x:c>
      <x:c r="J627" s="31" t="inlineStr">
        <x:is>
          <x:t xml:space="preserve">Производство</x:t>
        </x:is>
      </x:c>
      <x:c r="K627" s="31" t="n">
        <x:v>27</x:v>
      </x:c>
      <x:c r="L627" s="31" t="inlineStr">
        <x:is>
          <x:t xml:space="preserve">Нет</x:t>
        </x:is>
      </x:c>
      <x:c r="M627" s="31" t="inlineStr">
        <x:is>
          <x:t xml:space="preserve">Нет</x:t>
        </x:is>
      </x:c>
      <x:c r="N627" s="31" t="inlineStr">
        <x:is>
          <x:t xml:space="preserve">Автосоздано правилом/пользователем 9</x:t>
        </x:is>
      </x:c>
    </x:row>
    <x:row r="628">
      <x:c r="A628" s="31" t="inlineStr">
        <x:is>
          <x:t xml:space="preserve">ЗД-00627</x:t>
        </x:is>
      </x:c>
      <x:c r="B628" s="31" t="n">
        <x:v>46149</x:v>
      </x:c>
      <x:c r="C628" s="31" t="n">
        <x:v>46152</x:v>
      </x:c>
      <x:c r="D628" s="31" t="inlineStr">
        <x:is>
          <x:t xml:space="preserve">Выполнена</x:t>
        </x:is>
      </x:c>
      <x:c r="E628" s="31" t="inlineStr">
        <x:is>
          <x:t xml:space="preserve">Низкий</x:t>
        </x:is>
      </x:c>
      <x:c r="F628" s="31" t="inlineStr">
        <x:is>
          <x:t xml:space="preserve">СОТР-100</x:t>
        </x:is>
      </x:c>
      <x:c r="G628" s="31" t="inlineStr">
        <x:is>
          <x:t xml:space="preserve">Производственное задание</x:t>
        </x:is>
      </x:c>
      <x:c r="H628" s="31" t="inlineStr">
        <x:is>
          <x:t xml:space="preserve">ПЗ-00138</x:t>
        </x:is>
      </x:c>
      <x:c r="I628" s="31" t="inlineStr">
        <x:is>
          <x:t xml:space="preserve">Проверить дефицит материалов</x:t>
        </x:is>
      </x:c>
      <x:c r="J628" s="31" t="inlineStr">
        <x:is>
          <x:t xml:space="preserve">Продажи</x:t>
        </x:is>
      </x:c>
      <x:c r="K628" s="31" t="n">
        <x:v>0</x:v>
      </x:c>
      <x:c r="L628" s="31" t="inlineStr">
        <x:is>
          <x:t xml:space="preserve">Нет</x:t>
        </x:is>
      </x:c>
      <x:c r="M628" s="31" t="inlineStr">
        <x:is>
          <x:t xml:space="preserve">Руководитель</x:t>
        </x:is>
      </x:c>
      <x:c r="N628" s="31" t="inlineStr">
        <x:is>
          <x:t xml:space="preserve">Автосоздано правилом/пользователем 9</x:t>
        </x:is>
      </x:c>
    </x:row>
    <x:row r="629">
      <x:c r="A629" s="31" t="inlineStr">
        <x:is>
          <x:t xml:space="preserve">ЗД-00628</x:t>
        </x:is>
      </x:c>
      <x:c r="B629" s="31" t="n">
        <x:v>46114</x:v>
      </x:c>
      <x:c r="C629" s="31" t="n">
        <x:v>46115</x:v>
      </x:c>
      <x:c r="D629" s="31" t="inlineStr">
        <x:is>
          <x:t xml:space="preserve">Просрочена</x:t>
        </x:is>
      </x:c>
      <x:c r="E629" s="31" t="inlineStr">
        <x:is>
          <x:t xml:space="preserve">Низкий</x:t>
        </x:is>
      </x:c>
      <x:c r="F629" s="31" t="inlineStr">
        <x:is>
          <x:t xml:space="preserve">СОТР-033</x:t>
        </x:is>
      </x:c>
      <x:c r="G629" s="31" t="inlineStr">
        <x:is>
          <x:t xml:space="preserve">ОТК</x:t>
        </x:is>
      </x:c>
      <x:c r="H629" s="31" t="inlineStr">
        <x:is>
          <x:t xml:space="preserve">ОТК-00069</x:t>
        </x:is>
      </x:c>
      <x:c r="I629" s="31" t="inlineStr">
        <x:is>
          <x:t xml:space="preserve">Заблокировать отгрузку</x:t>
        </x:is>
      </x:c>
      <x:c r="J629" s="31" t="inlineStr">
        <x:is>
          <x:t xml:space="preserve">ОТК</x:t>
        </x:is>
      </x:c>
      <x:c r="K629" s="31" t="n">
        <x:v>70</x:v>
      </x:c>
      <x:c r="L629" s="31" t="inlineStr">
        <x:is>
          <x:t xml:space="preserve">Да</x:t>
        </x:is>
      </x:c>
      <x:c r="M629" s="31" t="inlineStr">
        <x:is>
          <x:t xml:space="preserve">Нет</x:t>
        </x:is>
      </x:c>
      <x:c r="N629" s="31" t="inlineStr">
        <x:is>
          <x:t xml:space="preserve">Автосоздано правилом/пользователем 9</x:t>
        </x:is>
      </x:c>
    </x:row>
    <x:row r="630">
      <x:c r="A630" s="31" t="inlineStr">
        <x:is>
          <x:t xml:space="preserve">ЗД-00629</x:t>
        </x:is>
      </x:c>
      <x:c r="B630" s="31" t="n">
        <x:v>46182</x:v>
      </x:c>
      <x:c r="C630" s="31" t="n">
        <x:v>46189</x:v>
      </x:c>
      <x:c r="D630" s="31" t="inlineStr">
        <x:is>
          <x:t xml:space="preserve">Просрочена</x:t>
        </x:is>
      </x:c>
      <x:c r="E630" s="31" t="inlineStr">
        <x:is>
          <x:t xml:space="preserve">Средний</x:t>
        </x:is>
      </x:c>
      <x:c r="F630" s="31" t="inlineStr">
        <x:is>
          <x:t xml:space="preserve">СОТР-097</x:t>
        </x:is>
      </x:c>
      <x:c r="G630" s="31" t="inlineStr">
        <x:is>
          <x:t xml:space="preserve">ОТК</x:t>
        </x:is>
      </x:c>
      <x:c r="H630" s="31" t="inlineStr">
        <x:is>
          <x:t xml:space="preserve">ОТК-00039</x:t>
        </x:is>
      </x:c>
      <x:c r="I630" s="31" t="inlineStr">
        <x:is>
          <x:t xml:space="preserve">Проверить доработку</x:t>
        </x:is>
      </x:c>
      <x:c r="J630" s="31" t="inlineStr">
        <x:is>
          <x:t xml:space="preserve">Продажи</x:t>
        </x:is>
      </x:c>
      <x:c r="K630" s="31" t="n">
        <x:v>-4</x:v>
      </x:c>
      <x:c r="L630" s="31" t="inlineStr">
        <x:is>
          <x:t xml:space="preserve">Да</x:t>
        </x:is>
      </x:c>
      <x:c r="M630" s="31" t="inlineStr">
        <x:is>
          <x:t xml:space="preserve">Нет</x:t>
        </x:is>
      </x:c>
      <x:c r="N630" s="31" t="inlineStr">
        <x:is>
          <x:t xml:space="preserve">Автосоздано правилом/пользователем 5</x:t>
        </x:is>
      </x:c>
    </x:row>
    <x:row r="631">
      <x:c r="A631" s="31" t="inlineStr">
        <x:is>
          <x:t xml:space="preserve">ЗД-00630</x:t>
        </x:is>
      </x:c>
      <x:c r="B631" s="31" t="n">
        <x:v>46133</x:v>
      </x:c>
      <x:c r="C631" s="31" t="n">
        <x:v>46147</x:v>
      </x:c>
      <x:c r="D631" s="31" t="inlineStr">
        <x:is>
          <x:t xml:space="preserve">Просрочена</x:t>
        </x:is>
      </x:c>
      <x:c r="E631" s="31" t="inlineStr">
        <x:is>
          <x:t xml:space="preserve">Высокий</x:t>
        </x:is>
      </x:c>
      <x:c r="F631" s="31" t="inlineStr">
        <x:is>
          <x:t xml:space="preserve">СОТР-049</x:t>
        </x:is>
      </x:c>
      <x:c r="G631" s="31" t="inlineStr">
        <x:is>
          <x:t xml:space="preserve">Заказ</x:t>
        </x:is>
      </x:c>
      <x:c r="H631" s="31" t="inlineStr">
        <x:is>
          <x:t xml:space="preserve">ЗК-1071</x:t>
        </x:is>
      </x:c>
      <x:c r="I631" s="31" t="inlineStr">
        <x:is>
          <x:t xml:space="preserve">Подготовить КП</x:t>
        </x:is>
      </x:c>
      <x:c r="J631" s="31" t="inlineStr">
        <x:is>
          <x:t xml:space="preserve">ОТК</x:t>
        </x:is>
      </x:c>
      <x:c r="K631" s="31" t="n">
        <x:v>38</x:v>
      </x:c>
      <x:c r="L631" s="31" t="inlineStr">
        <x:is>
          <x:t xml:space="preserve">Да</x:t>
        </x:is>
      </x:c>
      <x:c r="M631" s="31" t="inlineStr">
        <x:is>
          <x:t xml:space="preserve">Нет</x:t>
        </x:is>
      </x:c>
      <x:c r="N631" s="31" t="inlineStr">
        <x:is>
          <x:t xml:space="preserve">Автосоздано правилом/пользователем 9</x:t>
        </x:is>
      </x:c>
    </x:row>
    <x:row r="632">
      <x:c r="A632" s="31" t="inlineStr">
        <x:is>
          <x:t xml:space="preserve">ЗД-00631</x:t>
        </x:is>
      </x:c>
      <x:c r="B632" s="31" t="n">
        <x:v>46133</x:v>
      </x:c>
      <x:c r="C632" s="31" t="n">
        <x:v>46138</x:v>
      </x:c>
      <x:c r="D632" s="31" t="inlineStr">
        <x:is>
          <x:t xml:space="preserve">В работе</x:t>
        </x:is>
      </x:c>
      <x:c r="E632" s="31" t="inlineStr">
        <x:is>
          <x:t xml:space="preserve">Низкий</x:t>
        </x:is>
      </x:c>
      <x:c r="F632" s="31" t="inlineStr">
        <x:is>
          <x:t xml:space="preserve">СОТР-060</x:t>
        </x:is>
      </x:c>
      <x:c r="G632" s="31" t="inlineStr">
        <x:is>
          <x:t xml:space="preserve">Производственное задание</x:t>
        </x:is>
      </x:c>
      <x:c r="H632" s="31" t="inlineStr">
        <x:is>
          <x:t xml:space="preserve">ПЗ-00039</x:t>
        </x:is>
      </x:c>
      <x:c r="I632" s="31" t="inlineStr">
        <x:is>
          <x:t xml:space="preserve">Закрыть сменный факт</x:t>
        </x:is>
      </x:c>
      <x:c r="J632" s="31" t="inlineStr">
        <x:is>
          <x:t xml:space="preserve">Снабжение</x:t>
        </x:is>
      </x:c>
      <x:c r="K632" s="31" t="n">
        <x:v>0</x:v>
      </x:c>
      <x:c r="L632" s="31" t="inlineStr">
        <x:is>
          <x:t xml:space="preserve">Нет</x:t>
        </x:is>
      </x:c>
      <x:c r="M632" s="31" t="inlineStr">
        <x:is>
          <x:t xml:space="preserve">Нет</x:t>
        </x:is>
      </x:c>
      <x:c r="N632" s="31" t="inlineStr">
        <x:is>
          <x:t xml:space="preserve">Автосоздано правилом/пользователем 4</x:t>
        </x:is>
      </x:c>
    </x:row>
    <x:row r="633">
      <x:c r="A633" s="31" t="inlineStr">
        <x:is>
          <x:t xml:space="preserve">ЗД-00632</x:t>
        </x:is>
      </x:c>
      <x:c r="B633" s="31" t="n">
        <x:v>46148</x:v>
      </x:c>
      <x:c r="C633" s="31" t="n">
        <x:v>46155</x:v>
      </x:c>
      <x:c r="D633" s="31" t="inlineStr">
        <x:is>
          <x:t xml:space="preserve">Просрочена</x:t>
        </x:is>
      </x:c>
      <x:c r="E633" s="31" t="inlineStr">
        <x:is>
          <x:t xml:space="preserve">Средний</x:t>
        </x:is>
      </x:c>
      <x:c r="F633" s="31" t="inlineStr">
        <x:is>
          <x:t xml:space="preserve">СОТР-100</x:t>
        </x:is>
      </x:c>
      <x:c r="G633" s="31" t="inlineStr">
        <x:is>
          <x:t xml:space="preserve">Производственное задание</x:t>
        </x:is>
      </x:c>
      <x:c r="H633" s="31" t="inlineStr">
        <x:is>
          <x:t xml:space="preserve">ПЗ-00206</x:t>
        </x:is>
      </x:c>
      <x:c r="I633" s="31" t="inlineStr">
        <x:is>
          <x:t xml:space="preserve">Обновить готовность</x:t>
        </x:is>
      </x:c>
      <x:c r="J633" s="31" t="inlineStr">
        <x:is>
          <x:t xml:space="preserve">Производство</x:t>
        </x:is>
      </x:c>
      <x:c r="K633" s="31" t="n">
        <x:v>30</x:v>
      </x:c>
      <x:c r="L633" s="31" t="inlineStr">
        <x:is>
          <x:t xml:space="preserve">Да</x:t>
        </x:is>
      </x:c>
      <x:c r="M633" s="31" t="inlineStr">
        <x:is>
          <x:t xml:space="preserve">Нет</x:t>
        </x:is>
      </x:c>
      <x:c r="N633" s="31" t="inlineStr">
        <x:is>
          <x:t xml:space="preserve">Автосоздано правилом/пользователем 2</x:t>
        </x:is>
      </x:c>
    </x:row>
    <x:row r="634">
      <x:c r="A634" s="31" t="inlineStr">
        <x:is>
          <x:t xml:space="preserve">ЗД-00633</x:t>
        </x:is>
      </x:c>
      <x:c r="B634" s="31" t="n">
        <x:v>46161</x:v>
      </x:c>
      <x:c r="C634" s="31" t="n">
        <x:v>46162</x:v>
      </x:c>
      <x:c r="D634" s="31" t="inlineStr">
        <x:is>
          <x:t xml:space="preserve">Просрочена</x:t>
        </x:is>
      </x:c>
      <x:c r="E634" s="31" t="inlineStr">
        <x:is>
          <x:t xml:space="preserve">Средний</x:t>
        </x:is>
      </x:c>
      <x:c r="F634" s="31" t="inlineStr">
        <x:is>
          <x:t xml:space="preserve">СОТР-063</x:t>
        </x:is>
      </x:c>
      <x:c r="G634" s="31" t="inlineStr">
        <x:is>
          <x:t xml:space="preserve">Производственное задание</x:t>
        </x:is>
      </x:c>
      <x:c r="H634" s="31" t="inlineStr">
        <x:is>
          <x:t xml:space="preserve">ПЗ-00093</x:t>
        </x:is>
      </x:c>
      <x:c r="I634" s="31" t="inlineStr">
        <x:is>
          <x:t xml:space="preserve">Проверить дефицит материалов</x:t>
        </x:is>
      </x:c>
      <x:c r="J634" s="31" t="inlineStr">
        <x:is>
          <x:t xml:space="preserve">Производство</x:t>
        </x:is>
      </x:c>
      <x:c r="K634" s="31" t="n">
        <x:v>23</x:v>
      </x:c>
      <x:c r="L634" s="31" t="inlineStr">
        <x:is>
          <x:t xml:space="preserve">Да</x:t>
        </x:is>
      </x:c>
      <x:c r="M634" s="31" t="inlineStr">
        <x:is>
          <x:t xml:space="preserve">Нет</x:t>
        </x:is>
      </x:c>
      <x:c r="N634" s="31" t="inlineStr">
        <x:is>
          <x:t xml:space="preserve">Автосоздано правилом/пользователем 4</x:t>
        </x:is>
      </x:c>
    </x:row>
    <x:row r="635">
      <x:c r="A635" s="31" t="inlineStr">
        <x:is>
          <x:t xml:space="preserve">ЗД-00634</x:t>
        </x:is>
      </x:c>
      <x:c r="B635" s="31" t="n">
        <x:v>46125</x:v>
      </x:c>
      <x:c r="C635" s="31" t="n">
        <x:v>46135</x:v>
      </x:c>
      <x:c r="D635" s="31" t="inlineStr">
        <x:is>
          <x:t xml:space="preserve">Просрочена</x:t>
        </x:is>
      </x:c>
      <x:c r="E635" s="31" t="inlineStr">
        <x:is>
          <x:t xml:space="preserve">Средний</x:t>
        </x:is>
      </x:c>
      <x:c r="F635" s="31" t="inlineStr">
        <x:is>
          <x:t xml:space="preserve">СОТР-076</x:t>
        </x:is>
      </x:c>
      <x:c r="G635" s="31" t="inlineStr">
        <x:is>
          <x:t xml:space="preserve">Счет</x:t>
        </x:is>
      </x:c>
      <x:c r="H635" s="31" t="inlineStr">
        <x:is>
          <x:t xml:space="preserve">СЧ-1075-2</x:t>
        </x:is>
      </x:c>
      <x:c r="I635" s="31" t="inlineStr">
        <x:is>
          <x:t xml:space="preserve">Проверить оплату</x:t>
        </x:is>
      </x:c>
      <x:c r="J635" s="31" t="inlineStr">
        <x:is>
          <x:t xml:space="preserve">Снабжение</x:t>
        </x:is>
      </x:c>
      <x:c r="K635" s="31" t="n">
        <x:v>50</x:v>
      </x:c>
      <x:c r="L635" s="31" t="inlineStr">
        <x:is>
          <x:t xml:space="preserve">Да</x:t>
        </x:is>
      </x:c>
      <x:c r="M635" s="31" t="inlineStr">
        <x:is>
          <x:t xml:space="preserve">Нет</x:t>
        </x:is>
      </x:c>
      <x:c r="N635" s="31" t="inlineStr">
        <x:is>
          <x:t xml:space="preserve">Автосоздано правилом/пользователем 2</x:t>
        </x:is>
      </x:c>
    </x:row>
    <x:row r="636">
      <x:c r="A636" s="31" t="inlineStr">
        <x:is>
          <x:t xml:space="preserve">ЗД-00635</x:t>
        </x:is>
      </x:c>
      <x:c r="B636" s="31" t="n">
        <x:v>46152</x:v>
      </x:c>
      <x:c r="C636" s="31" t="n">
        <x:v>46166</x:v>
      </x:c>
      <x:c r="D636" s="31" t="inlineStr">
        <x:is>
          <x:t xml:space="preserve">В работе</x:t>
        </x:is>
      </x:c>
      <x:c r="E636" s="31" t="inlineStr">
        <x:is>
          <x:t xml:space="preserve">Высокий</x:t>
        </x:is>
      </x:c>
      <x:c r="F636" s="31" t="inlineStr">
        <x:is>
          <x:t xml:space="preserve">СОТР-005</x:t>
        </x:is>
      </x:c>
      <x:c r="G636" s="31" t="inlineStr">
        <x:is>
          <x:t xml:space="preserve">Заказ</x:t>
        </x:is>
      </x:c>
      <x:c r="H636" s="31" t="inlineStr">
        <x:is>
          <x:t xml:space="preserve">ЗК-1076</x:t>
        </x:is>
      </x:c>
      <x:c r="I636" s="31" t="inlineStr">
        <x:is>
          <x:t xml:space="preserve">Согласовать скидку</x:t>
        </x:is>
      </x:c>
      <x:c r="J636" s="31" t="inlineStr">
        <x:is>
          <x:t xml:space="preserve">Продажи</x:t>
        </x:is>
      </x:c>
      <x:c r="K636" s="31" t="n">
        <x:v>0</x:v>
      </x:c>
      <x:c r="L636" s="31" t="inlineStr">
        <x:is>
          <x:t xml:space="preserve">Нет</x:t>
        </x:is>
      </x:c>
      <x:c r="M636" s="31" t="inlineStr">
        <x:is>
          <x:t xml:space="preserve">Нет</x:t>
        </x:is>
      </x:c>
      <x:c r="N636" s="31" t="inlineStr">
        <x:is>
          <x:t xml:space="preserve">Автосоздано правилом/пользователем 4</x:t>
        </x:is>
      </x:c>
    </x:row>
    <x:row r="637">
      <x:c r="A637" s="31" t="inlineStr">
        <x:is>
          <x:t xml:space="preserve">ЗД-00636</x:t>
        </x:is>
      </x:c>
      <x:c r="B637" s="31" t="n">
        <x:v>46115</x:v>
      </x:c>
      <x:c r="C637" s="31" t="n">
        <x:v>46129</x:v>
      </x:c>
      <x:c r="D637" s="31" t="inlineStr">
        <x:is>
          <x:t xml:space="preserve">В работе</x:t>
        </x:is>
      </x:c>
      <x:c r="E637" s="31" t="inlineStr">
        <x:is>
          <x:t xml:space="preserve">Средний</x:t>
        </x:is>
      </x:c>
      <x:c r="F637" s="31" t="inlineStr">
        <x:is>
          <x:t xml:space="preserve">СОТР-060</x:t>
        </x:is>
      </x:c>
      <x:c r="G637" s="31" t="inlineStr">
        <x:is>
          <x:t xml:space="preserve">Производственное задание</x:t>
        </x:is>
      </x:c>
      <x:c r="H637" s="31" t="inlineStr">
        <x:is>
          <x:t xml:space="preserve">ПЗ-00037</x:t>
        </x:is>
      </x:c>
      <x:c r="I637" s="31" t="inlineStr">
        <x:is>
          <x:t xml:space="preserve">Проверить дефицит материалов</x:t>
        </x:is>
      </x:c>
      <x:c r="J637" s="31" t="inlineStr">
        <x:is>
          <x:t xml:space="preserve">Производство</x:t>
        </x:is>
      </x:c>
      <x:c r="K637" s="31" t="n">
        <x:v>0</x:v>
      </x:c>
      <x:c r="L637" s="31" t="inlineStr">
        <x:is>
          <x:t xml:space="preserve">Нет</x:t>
        </x:is>
      </x:c>
      <x:c r="M637" s="31" t="inlineStr">
        <x:is>
          <x:t xml:space="preserve">Нет</x:t>
        </x:is>
      </x:c>
      <x:c r="N637" s="31" t="inlineStr">
        <x:is>
          <x:t xml:space="preserve">Автосоздано правилом/пользователем 6</x:t>
        </x:is>
      </x:c>
    </x:row>
    <x:row r="638">
      <x:c r="A638" s="31" t="inlineStr">
        <x:is>
          <x:t xml:space="preserve">ЗД-00637</x:t>
        </x:is>
      </x:c>
      <x:c r="B638" s="31" t="n">
        <x:v>46119</x:v>
      </x:c>
      <x:c r="C638" s="31" t="n">
        <x:v>46133</x:v>
      </x:c>
      <x:c r="D638" s="31" t="inlineStr">
        <x:is>
          <x:t xml:space="preserve">Просрочена</x:t>
        </x:is>
      </x:c>
      <x:c r="E638" s="31" t="inlineStr">
        <x:is>
          <x:t xml:space="preserve">Средний</x:t>
        </x:is>
      </x:c>
      <x:c r="F638" s="31" t="inlineStr">
        <x:is>
          <x:t xml:space="preserve">СОТР-004</x:t>
        </x:is>
      </x:c>
      <x:c r="G638" s="31" t="inlineStr">
        <x:is>
          <x:t xml:space="preserve">Заказ</x:t>
        </x:is>
      </x:c>
      <x:c r="H638" s="31" t="inlineStr">
        <x:is>
          <x:t xml:space="preserve">ЗК-1015</x:t>
        </x:is>
      </x:c>
      <x:c r="I638" s="31" t="inlineStr">
        <x:is>
          <x:t xml:space="preserve">Согласовать скидку</x:t>
        </x:is>
      </x:c>
      <x:c r="J638" s="31" t="inlineStr">
        <x:is>
          <x:t xml:space="preserve">Сервис</x:t>
        </x:is>
      </x:c>
      <x:c r="K638" s="31" t="n">
        <x:v>52</x:v>
      </x:c>
      <x:c r="L638" s="31" t="inlineStr">
        <x:is>
          <x:t xml:space="preserve">Нет</x:t>
        </x:is>
      </x:c>
      <x:c r="M638" s="31" t="inlineStr">
        <x:is>
          <x:t xml:space="preserve">Нет</x:t>
        </x:is>
      </x:c>
      <x:c r="N638" s="31" t="inlineStr">
        <x:is>
          <x:t xml:space="preserve">Автосоздано правилом/пользователем 10</x:t>
        </x:is>
      </x:c>
    </x:row>
    <x:row r="639">
      <x:c r="A639" s="31" t="inlineStr">
        <x:is>
          <x:t xml:space="preserve">ЗД-00638</x:t>
        </x:is>
      </x:c>
      <x:c r="B639" s="31" t="n">
        <x:v>46166</x:v>
      </x:c>
      <x:c r="C639" s="31" t="n">
        <x:v>46180</x:v>
      </x:c>
      <x:c r="D639" s="31" t="inlineStr">
        <x:is>
          <x:t xml:space="preserve">Просрочена</x:t>
        </x:is>
      </x:c>
      <x:c r="E639" s="31" t="inlineStr">
        <x:is>
          <x:t xml:space="preserve">Срочный</x:t>
        </x:is>
      </x:c>
      <x:c r="F639" s="31" t="inlineStr">
        <x:is>
          <x:t xml:space="preserve">СОТР-071</x:t>
        </x:is>
      </x:c>
      <x:c r="G639" s="31" t="inlineStr">
        <x:is>
          <x:t xml:space="preserve">Производственное задание</x:t>
        </x:is>
      </x:c>
      <x:c r="H639" s="31" t="inlineStr">
        <x:is>
          <x:t xml:space="preserve">ПЗ-00075</x:t>
        </x:is>
      </x:c>
      <x:c r="I639" s="31" t="inlineStr">
        <x:is>
          <x:t xml:space="preserve">Разобрать простой</x:t>
        </x:is>
      </x:c>
      <x:c r="J639" s="31" t="inlineStr">
        <x:is>
          <x:t xml:space="preserve">ОТК</x:t>
        </x:is>
      </x:c>
      <x:c r="K639" s="31" t="n">
        <x:v>5</x:v>
      </x:c>
      <x:c r="L639" s="31" t="inlineStr">
        <x:is>
          <x:t xml:space="preserve">Нет</x:t>
        </x:is>
      </x:c>
      <x:c r="M639" s="31" t="inlineStr">
        <x:is>
          <x:t xml:space="preserve">Нет</x:t>
        </x:is>
      </x:c>
      <x:c r="N639" s="31" t="inlineStr">
        <x:is>
          <x:t xml:space="preserve">Автосоздано правилом/пользователем 2</x:t>
        </x:is>
      </x:c>
    </x:row>
    <x:row r="640">
      <x:c r="A640" s="31" t="inlineStr">
        <x:is>
          <x:t xml:space="preserve">ЗД-00639</x:t>
        </x:is>
      </x:c>
      <x:c r="B640" s="31" t="n">
        <x:v>46142</x:v>
      </x:c>
      <x:c r="C640" s="31" t="n">
        <x:v>46156</x:v>
      </x:c>
      <x:c r="D640" s="31" t="inlineStr">
        <x:is>
          <x:t xml:space="preserve">Выполнена</x:t>
        </x:is>
      </x:c>
      <x:c r="E640" s="31" t="inlineStr">
        <x:is>
          <x:t xml:space="preserve">Высокий</x:t>
        </x:is>
      </x:c>
      <x:c r="F640" s="31" t="inlineStr">
        <x:is>
          <x:t xml:space="preserve">СОТР-004</x:t>
        </x:is>
      </x:c>
      <x:c r="G640" s="31" t="inlineStr">
        <x:is>
          <x:t xml:space="preserve">Заказ</x:t>
        </x:is>
      </x:c>
      <x:c r="H640" s="31" t="inlineStr">
        <x:is>
          <x:t xml:space="preserve">ЗК-1032</x:t>
        </x:is>
      </x:c>
      <x:c r="I640" s="31" t="inlineStr">
        <x:is>
          <x:t xml:space="preserve">Подписать спецификацию</x:t>
        </x:is>
      </x:c>
      <x:c r="J640" s="31" t="inlineStr">
        <x:is>
          <x:t xml:space="preserve">Производство</x:t>
        </x:is>
      </x:c>
      <x:c r="K640" s="31" t="n">
        <x:v>0</x:v>
      </x:c>
      <x:c r="L640" s="31" t="inlineStr">
        <x:is>
          <x:t xml:space="preserve">Нет</x:t>
        </x:is>
      </x:c>
      <x:c r="M640" s="31" t="inlineStr">
        <x:is>
          <x:t xml:space="preserve">Нет</x:t>
        </x:is>
      </x:c>
      <x:c r="N640" s="31" t="inlineStr">
        <x:is>
          <x:t xml:space="preserve">Автосоздано правилом/пользователем 1</x:t>
        </x:is>
      </x:c>
    </x:row>
    <x:row r="641">
      <x:c r="A641" s="31" t="inlineStr">
        <x:is>
          <x:t xml:space="preserve">ЗД-00640</x:t>
        </x:is>
      </x:c>
      <x:c r="B641" s="31" t="n">
        <x:v>46158</x:v>
      </x:c>
      <x:c r="C641" s="31" t="n">
        <x:v>46168</x:v>
      </x:c>
      <x:c r="D641" s="31" t="inlineStr">
        <x:is>
          <x:t xml:space="preserve">Отменена</x:t>
        </x:is>
      </x:c>
      <x:c r="E641" s="31" t="inlineStr">
        <x:is>
          <x:t xml:space="preserve">Низкий</x:t>
        </x:is>
      </x:c>
      <x:c r="F641" s="31" t="inlineStr">
        <x:is>
          <x:t xml:space="preserve">СОТР-096</x:t>
        </x:is>
      </x:c>
      <x:c r="G641" s="31" t="inlineStr">
        <x:is>
          <x:t xml:space="preserve">Производственное задание</x:t>
        </x:is>
      </x:c>
      <x:c r="H641" s="31" t="inlineStr">
        <x:is>
          <x:t xml:space="preserve">ПЗ-00192</x:t>
        </x:is>
      </x:c>
      <x:c r="I641" s="31" t="inlineStr">
        <x:is>
          <x:t xml:space="preserve">Назначить оператора</x:t>
        </x:is>
      </x:c>
      <x:c r="J641" s="31" t="inlineStr">
        <x:is>
          <x:t xml:space="preserve">ОТК</x:t>
        </x:is>
      </x:c>
      <x:c r="K641" s="31" t="n">
        <x:v>0</x:v>
      </x:c>
      <x:c r="L641" s="31" t="inlineStr">
        <x:is>
          <x:t xml:space="preserve">Нет</x:t>
        </x:is>
      </x:c>
      <x:c r="M641" s="31" t="inlineStr">
        <x:is>
          <x:t xml:space="preserve">Нет</x:t>
        </x:is>
      </x:c>
      <x:c r="N641" s="31" t="inlineStr">
        <x:is>
          <x:t xml:space="preserve">Автосоздано правилом/пользователем 4</x:t>
        </x:is>
      </x:c>
    </x:row>
    <x:row r="642">
      <x:c r="A642" s="31" t="inlineStr">
        <x:is>
          <x:t xml:space="preserve">ЗД-00641</x:t>
        </x:is>
      </x:c>
      <x:c r="B642" s="31" t="n">
        <x:v>46127</x:v>
      </x:c>
      <x:c r="C642" s="31" t="n">
        <x:v>46137</x:v>
      </x:c>
      <x:c r="D642" s="31" t="inlineStr">
        <x:is>
          <x:t xml:space="preserve">Новая</x:t>
        </x:is>
      </x:c>
      <x:c r="E642" s="31" t="inlineStr">
        <x:is>
          <x:t xml:space="preserve">Высокий</x:t>
        </x:is>
      </x:c>
      <x:c r="F642" s="31" t="inlineStr">
        <x:is>
          <x:t xml:space="preserve">СОТР-063</x:t>
        </x:is>
      </x:c>
      <x:c r="G642" s="31" t="inlineStr">
        <x:is>
          <x:t xml:space="preserve">ОТК</x:t>
        </x:is>
      </x:c>
      <x:c r="H642" s="31" t="inlineStr">
        <x:is>
          <x:t xml:space="preserve">ОТК-00075</x:t>
        </x:is>
      </x:c>
      <x:c r="I642" s="31" t="inlineStr">
        <x:is>
          <x:t xml:space="preserve">Оформить корректирующие действия</x:t>
        </x:is>
      </x:c>
      <x:c r="J642" s="31" t="inlineStr">
        <x:is>
          <x:t xml:space="preserve">Продажи</x:t>
        </x:is>
      </x:c>
      <x:c r="K642" s="31" t="n">
        <x:v>0</x:v>
      </x:c>
      <x:c r="L642" s="31" t="inlineStr">
        <x:is>
          <x:t xml:space="preserve">Нет</x:t>
        </x:is>
      </x:c>
      <x:c r="M642" s="31" t="inlineStr">
        <x:is>
          <x:t xml:space="preserve">Поставщик</x:t>
        </x:is>
      </x:c>
      <x:c r="N642" s="31" t="inlineStr">
        <x:is>
          <x:t xml:space="preserve">Автосоздано правилом/пользователем 11</x:t>
        </x:is>
      </x:c>
    </x:row>
    <x:row r="643">
      <x:c r="A643" s="31" t="inlineStr">
        <x:is>
          <x:t xml:space="preserve">ЗД-00642</x:t>
        </x:is>
      </x:c>
      <x:c r="B643" s="31" t="n">
        <x:v>46148</x:v>
      </x:c>
      <x:c r="C643" s="31" t="n">
        <x:v>46162</x:v>
      </x:c>
      <x:c r="D643" s="31" t="inlineStr">
        <x:is>
          <x:t xml:space="preserve">Выполнена</x:t>
        </x:is>
      </x:c>
      <x:c r="E643" s="31" t="inlineStr">
        <x:is>
          <x:t xml:space="preserve">Высокий</x:t>
        </x:is>
      </x:c>
      <x:c r="F643" s="31" t="inlineStr">
        <x:is>
          <x:t xml:space="preserve">СОТР-063</x:t>
        </x:is>
      </x:c>
      <x:c r="G643" s="31" t="inlineStr">
        <x:is>
          <x:t xml:space="preserve">Производственное задание</x:t>
        </x:is>
      </x:c>
      <x:c r="H643" s="31" t="inlineStr">
        <x:is>
          <x:t xml:space="preserve">ПЗ-00228</x:t>
        </x:is>
      </x:c>
      <x:c r="I643" s="31" t="inlineStr">
        <x:is>
          <x:t xml:space="preserve">Разобрать простой</x:t>
        </x:is>
      </x:c>
      <x:c r="J643" s="31" t="inlineStr">
        <x:is>
          <x:t xml:space="preserve">Снабжение</x:t>
        </x:is>
      </x:c>
      <x:c r="K643" s="31" t="n">
        <x:v>0</x:v>
      </x:c>
      <x:c r="L643" s="31" t="inlineStr">
        <x:is>
          <x:t xml:space="preserve">Нет</x:t>
        </x:is>
      </x:c>
      <x:c r="M643" s="31" t="inlineStr">
        <x:is>
          <x:t xml:space="preserve">Нет</x:t>
        </x:is>
      </x:c>
      <x:c r="N643" s="31" t="inlineStr">
        <x:is>
          <x:t xml:space="preserve">Автосоздано правилом/пользователем 8</x:t>
        </x:is>
      </x:c>
    </x:row>
    <x:row r="644">
      <x:c r="A644" s="31" t="inlineStr">
        <x:is>
          <x:t xml:space="preserve">ЗД-00643</x:t>
        </x:is>
      </x:c>
      <x:c r="B644" s="31" t="n">
        <x:v>46120</x:v>
      </x:c>
      <x:c r="C644" s="31" t="n">
        <x:v>46134</x:v>
      </x:c>
      <x:c r="D644" s="31" t="inlineStr">
        <x:is>
          <x:t xml:space="preserve">Новая</x:t>
        </x:is>
      </x:c>
      <x:c r="E644" s="31" t="inlineStr">
        <x:is>
          <x:t xml:space="preserve">Средний</x:t>
        </x:is>
      </x:c>
      <x:c r="F644" s="31" t="inlineStr">
        <x:is>
          <x:t xml:space="preserve">СОТР-076</x:t>
        </x:is>
      </x:c>
      <x:c r="G644" s="31" t="inlineStr">
        <x:is>
          <x:t xml:space="preserve">Счет</x:t>
        </x:is>
      </x:c>
      <x:c r="H644" s="31" t="inlineStr">
        <x:is>
          <x:t xml:space="preserve">СЧ-1084-1</x:t>
        </x:is>
      </x:c>
      <x:c r="I644" s="31" t="inlineStr">
        <x:is>
          <x:t xml:space="preserve">Напомнить об оплате</x:t>
        </x:is>
      </x:c>
      <x:c r="J644" s="31" t="inlineStr">
        <x:is>
          <x:t xml:space="preserve">Сервис</x:t>
        </x:is>
      </x:c>
      <x:c r="K644" s="31" t="n">
        <x:v>0</x:v>
      </x:c>
      <x:c r="L644" s="31" t="inlineStr">
        <x:is>
          <x:t xml:space="preserve">Нет</x:t>
        </x:is>
      </x:c>
      <x:c r="M644" s="31" t="inlineStr">
        <x:is>
          <x:t xml:space="preserve">Нет</x:t>
        </x:is>
      </x:c>
      <x:c r="N644" s="31" t="inlineStr">
        <x:is>
          <x:t xml:space="preserve">Автосоздано правилом/пользователем 6</x:t>
        </x:is>
      </x:c>
    </x:row>
    <x:row r="645">
      <x:c r="A645" s="31" t="inlineStr">
        <x:is>
          <x:t xml:space="preserve">ЗД-00644</x:t>
        </x:is>
      </x:c>
      <x:c r="B645" s="31" t="n">
        <x:v>46148</x:v>
      </x:c>
      <x:c r="C645" s="31" t="n">
        <x:v>46155</x:v>
      </x:c>
      <x:c r="D645" s="31" t="inlineStr">
        <x:is>
          <x:t xml:space="preserve">Выполнена</x:t>
        </x:is>
      </x:c>
      <x:c r="E645" s="31" t="inlineStr">
        <x:is>
          <x:t xml:space="preserve">Средний</x:t>
        </x:is>
      </x:c>
      <x:c r="F645" s="31" t="inlineStr">
        <x:is>
          <x:t xml:space="preserve">СОТР-097</x:t>
        </x:is>
      </x:c>
      <x:c r="G645" s="31" t="inlineStr">
        <x:is>
          <x:t xml:space="preserve">Производственное задание</x:t>
        </x:is>
      </x:c>
      <x:c r="H645" s="31" t="inlineStr">
        <x:is>
          <x:t xml:space="preserve">ПЗ-00142</x:t>
        </x:is>
      </x:c>
      <x:c r="I645" s="31" t="inlineStr">
        <x:is>
          <x:t xml:space="preserve">Закрыть сменный факт</x:t>
        </x:is>
      </x:c>
      <x:c r="J645" s="31" t="inlineStr">
        <x:is>
          <x:t xml:space="preserve">Производство</x:t>
        </x:is>
      </x:c>
      <x:c r="K645" s="31" t="n">
        <x:v>0</x:v>
      </x:c>
      <x:c r="L645" s="31" t="inlineStr">
        <x:is>
          <x:t xml:space="preserve">Нет</x:t>
        </x:is>
      </x:c>
      <x:c r="M645" s="31" t="inlineStr">
        <x:is>
          <x:t xml:space="preserve">Нет</x:t>
        </x:is>
      </x:c>
      <x:c r="N645" s="31" t="inlineStr">
        <x:is>
          <x:t xml:space="preserve">Автосоздано правилом/пользователем 2</x:t>
        </x:is>
      </x:c>
    </x:row>
    <x:row r="646">
      <x:c r="A646" s="31" t="inlineStr">
        <x:is>
          <x:t xml:space="preserve">ЗД-00645</x:t>
        </x:is>
      </x:c>
      <x:c r="B646" s="31" t="n">
        <x:v>46120</x:v>
      </x:c>
      <x:c r="C646" s="31" t="n">
        <x:v>46134</x:v>
      </x:c>
      <x:c r="D646" s="31" t="inlineStr">
        <x:is>
          <x:t xml:space="preserve">Выполнена</x:t>
        </x:is>
      </x:c>
      <x:c r="E646" s="31" t="inlineStr">
        <x:is>
          <x:t xml:space="preserve">Высокий</x:t>
        </x:is>
      </x:c>
      <x:c r="F646" s="31" t="inlineStr">
        <x:is>
          <x:t xml:space="preserve">СОТР-063</x:t>
        </x:is>
      </x:c>
      <x:c r="G646" s="31" t="inlineStr">
        <x:is>
          <x:t xml:space="preserve">Производственное задание</x:t>
        </x:is>
      </x:c>
      <x:c r="H646" s="31" t="inlineStr">
        <x:is>
          <x:t xml:space="preserve">ПЗ-00137</x:t>
        </x:is>
      </x:c>
      <x:c r="I646" s="31" t="inlineStr">
        <x:is>
          <x:t xml:space="preserve">Разобрать простой</x:t>
        </x:is>
      </x:c>
      <x:c r="J646" s="31" t="inlineStr">
        <x:is>
          <x:t xml:space="preserve">Снабжение</x:t>
        </x:is>
      </x:c>
      <x:c r="K646" s="31" t="n">
        <x:v>0</x:v>
      </x:c>
      <x:c r="L646" s="31" t="inlineStr">
        <x:is>
          <x:t xml:space="preserve">Нет</x:t>
        </x:is>
      </x:c>
      <x:c r="M646" s="31" t="inlineStr">
        <x:is>
          <x:t xml:space="preserve">Нет</x:t>
        </x:is>
      </x:c>
      <x:c r="N646" s="31" t="inlineStr">
        <x:is>
          <x:t xml:space="preserve">Автосоздано правилом/пользователем 2</x:t>
        </x:is>
      </x:c>
    </x:row>
    <x:row r="647">
      <x:c r="A647" s="31" t="inlineStr">
        <x:is>
          <x:t xml:space="preserve">ЗД-00646</x:t>
        </x:is>
      </x:c>
      <x:c r="B647" s="31" t="n">
        <x:v>46134</x:v>
      </x:c>
      <x:c r="C647" s="31" t="n">
        <x:v>46141</x:v>
      </x:c>
      <x:c r="D647" s="31" t="inlineStr">
        <x:is>
          <x:t xml:space="preserve">Просрочена</x:t>
        </x:is>
      </x:c>
      <x:c r="E647" s="31" t="inlineStr">
        <x:is>
          <x:t xml:space="preserve">Средний</x:t>
        </x:is>
      </x:c>
      <x:c r="F647" s="31" t="inlineStr">
        <x:is>
          <x:t xml:space="preserve">СОТР-063</x:t>
        </x:is>
      </x:c>
      <x:c r="G647" s="31" t="inlineStr">
        <x:is>
          <x:t xml:space="preserve">Производственное задание</x:t>
        </x:is>
      </x:c>
      <x:c r="H647" s="31" t="inlineStr">
        <x:is>
          <x:t xml:space="preserve">ПЗ-00202</x:t>
        </x:is>
      </x:c>
      <x:c r="I647" s="31" t="inlineStr">
        <x:is>
          <x:t xml:space="preserve">Проверить дефицит материалов</x:t>
        </x:is>
      </x:c>
      <x:c r="J647" s="31" t="inlineStr">
        <x:is>
          <x:t xml:space="preserve">Производство</x:t>
        </x:is>
      </x:c>
      <x:c r="K647" s="31" t="n">
        <x:v>44</x:v>
      </x:c>
      <x:c r="L647" s="31" t="inlineStr">
        <x:is>
          <x:t xml:space="preserve">Нет</x:t>
        </x:is>
      </x:c>
      <x:c r="M647" s="31" t="inlineStr">
        <x:is>
          <x:t xml:space="preserve">Нет</x:t>
        </x:is>
      </x:c>
      <x:c r="N647" s="31" t="inlineStr">
        <x:is>
          <x:t xml:space="preserve">Автосоздано правилом/пользователем 2</x:t>
        </x:is>
      </x:c>
    </x:row>
    <x:row r="648">
      <x:c r="A648" s="31" t="inlineStr">
        <x:is>
          <x:t xml:space="preserve">ЗД-00647</x:t>
        </x:is>
      </x:c>
      <x:c r="B648" s="31" t="n">
        <x:v>46149</x:v>
      </x:c>
      <x:c r="C648" s="31" t="n">
        <x:v>46159</x:v>
      </x:c>
      <x:c r="D648" s="31" t="inlineStr">
        <x:is>
          <x:t xml:space="preserve">Новая</x:t>
        </x:is>
      </x:c>
      <x:c r="E648" s="31" t="inlineStr">
        <x:is>
          <x:t xml:space="preserve">Высокий</x:t>
        </x:is>
      </x:c>
      <x:c r="F648" s="31" t="inlineStr">
        <x:is>
          <x:t xml:space="preserve">СОТР-076</x:t>
        </x:is>
      </x:c>
      <x:c r="G648" s="31" t="inlineStr">
        <x:is>
          <x:t xml:space="preserve">Счет</x:t>
        </x:is>
      </x:c>
      <x:c r="H648" s="31" t="inlineStr">
        <x:is>
          <x:t xml:space="preserve">СЧ-1012-1</x:t>
        </x:is>
      </x:c>
      <x:c r="I648" s="31" t="inlineStr">
        <x:is>
          <x:t xml:space="preserve">Проверить оплату</x:t>
        </x:is>
      </x:c>
      <x:c r="J648" s="31" t="inlineStr">
        <x:is>
          <x:t xml:space="preserve">Производство</x:t>
        </x:is>
      </x:c>
      <x:c r="K648" s="31" t="n">
        <x:v>0</x:v>
      </x:c>
      <x:c r="L648" s="31" t="inlineStr">
        <x:is>
          <x:t xml:space="preserve">Нет</x:t>
        </x:is>
      </x:c>
      <x:c r="M648" s="31" t="inlineStr">
        <x:is>
          <x:t xml:space="preserve">Нет</x:t>
        </x:is>
      </x:c>
      <x:c r="N648" s="31" t="inlineStr">
        <x:is>
          <x:t xml:space="preserve">Автосоздано правилом/пользователем 10</x:t>
        </x:is>
      </x:c>
    </x:row>
    <x:row r="649">
      <x:c r="A649" s="31" t="inlineStr">
        <x:is>
          <x:t xml:space="preserve">ЗД-00648</x:t>
        </x:is>
      </x:c>
      <x:c r="B649" s="31" t="n">
        <x:v>46173</x:v>
      </x:c>
      <x:c r="C649" s="31" t="n">
        <x:v>46176</x:v>
      </x:c>
      <x:c r="D649" s="31" t="inlineStr">
        <x:is>
          <x:t xml:space="preserve">Просрочена</x:t>
        </x:is>
      </x:c>
      <x:c r="E649" s="31" t="inlineStr">
        <x:is>
          <x:t xml:space="preserve">Срочный</x:t>
        </x:is>
      </x:c>
      <x:c r="F649" s="31" t="inlineStr">
        <x:is>
          <x:t xml:space="preserve">СОТР-098</x:t>
        </x:is>
      </x:c>
      <x:c r="G649" s="31" t="inlineStr">
        <x:is>
          <x:t xml:space="preserve">Производственное задание</x:t>
        </x:is>
      </x:c>
      <x:c r="H649" s="31" t="inlineStr">
        <x:is>
          <x:t xml:space="preserve">ПЗ-00188</x:t>
        </x:is>
      </x:c>
      <x:c r="I649" s="31" t="inlineStr">
        <x:is>
          <x:t xml:space="preserve">Обновить готовность</x:t>
        </x:is>
      </x:c>
      <x:c r="J649" s="31" t="inlineStr">
        <x:is>
          <x:t xml:space="preserve">Продажи</x:t>
        </x:is>
      </x:c>
      <x:c r="K649" s="31" t="n">
        <x:v>9</x:v>
      </x:c>
      <x:c r="L649" s="31" t="inlineStr">
        <x:is>
          <x:t xml:space="preserve">Нет</x:t>
        </x:is>
      </x:c>
      <x:c r="M649" s="31" t="inlineStr">
        <x:is>
          <x:t xml:space="preserve">Нет</x:t>
        </x:is>
      </x:c>
      <x:c r="N649" s="31" t="inlineStr">
        <x:is>
          <x:t xml:space="preserve">Автосоздано правилом/пользователем 3</x:t>
        </x:is>
      </x:c>
    </x:row>
    <x:row r="650">
      <x:c r="A650" s="31" t="inlineStr">
        <x:is>
          <x:t xml:space="preserve">ЗД-00649</x:t>
        </x:is>
      </x:c>
      <x:c r="B650" s="31" t="n">
        <x:v>46123</x:v>
      </x:c>
      <x:c r="C650" s="31" t="n">
        <x:v>46137</x:v>
      </x:c>
      <x:c r="D650" s="31" t="inlineStr">
        <x:is>
          <x:t xml:space="preserve">Выполнена</x:t>
        </x:is>
      </x:c>
      <x:c r="E650" s="31" t="inlineStr">
        <x:is>
          <x:t xml:space="preserve">Средний</x:t>
        </x:is>
      </x:c>
      <x:c r="F650" s="31" t="inlineStr">
        <x:is>
          <x:t xml:space="preserve">СОТР-043</x:t>
        </x:is>
      </x:c>
      <x:c r="G650" s="31" t="inlineStr">
        <x:is>
          <x:t xml:space="preserve">Счет</x:t>
        </x:is>
      </x:c>
      <x:c r="H650" s="31" t="inlineStr">
        <x:is>
          <x:t xml:space="preserve">СЧ-1078-1</x:t>
        </x:is>
      </x:c>
      <x:c r="I650" s="31" t="inlineStr">
        <x:is>
          <x:t xml:space="preserve">Подготовить акт сверки</x:t>
        </x:is>
      </x:c>
      <x:c r="J650" s="31" t="inlineStr">
        <x:is>
          <x:t xml:space="preserve">Производство</x:t>
        </x:is>
      </x:c>
      <x:c r="K650" s="31" t="n">
        <x:v>0</x:v>
      </x:c>
      <x:c r="L650" s="31" t="inlineStr">
        <x:is>
          <x:t xml:space="preserve">Нет</x:t>
        </x:is>
      </x:c>
      <x:c r="M650" s="31" t="inlineStr">
        <x:is>
          <x:t xml:space="preserve">Нет</x:t>
        </x:is>
      </x:c>
      <x:c r="N650" s="31" t="inlineStr">
        <x:is>
          <x:t xml:space="preserve">Автосоздано правилом/пользователем 7</x:t>
        </x:is>
      </x:c>
    </x:row>
    <x:row r="651">
      <x:c r="A651" s="31" t="inlineStr">
        <x:is>
          <x:t xml:space="preserve">ЗД-00650</x:t>
        </x:is>
      </x:c>
      <x:c r="B651" s="31" t="n">
        <x:v>46129</x:v>
      </x:c>
      <x:c r="C651" s="31" t="n">
        <x:v>46136</x:v>
      </x:c>
      <x:c r="D651" s="31" t="inlineStr">
        <x:is>
          <x:t xml:space="preserve">Просрочена</x:t>
        </x:is>
      </x:c>
      <x:c r="E651" s="31" t="inlineStr">
        <x:is>
          <x:t xml:space="preserve">Высокий</x:t>
        </x:is>
      </x:c>
      <x:c r="F651" s="31" t="inlineStr">
        <x:is>
          <x:t xml:space="preserve">СОТР-097</x:t>
        </x:is>
      </x:c>
      <x:c r="G651" s="31" t="inlineStr">
        <x:is>
          <x:t xml:space="preserve">ОТК</x:t>
        </x:is>
      </x:c>
      <x:c r="H651" s="31" t="inlineStr">
        <x:is>
          <x:t xml:space="preserve">ОТК-00159</x:t>
        </x:is>
      </x:c>
      <x:c r="I651" s="31" t="inlineStr">
        <x:is>
          <x:t xml:space="preserve">Оформить корректирующие действия</x:t>
        </x:is>
      </x:c>
      <x:c r="J651" s="31" t="inlineStr">
        <x:is>
          <x:t xml:space="preserve">Производство</x:t>
        </x:is>
      </x:c>
      <x:c r="K651" s="31" t="n">
        <x:v>49</x:v>
      </x:c>
      <x:c r="L651" s="31" t="inlineStr">
        <x:is>
          <x:t xml:space="preserve">Да</x:t>
        </x:is>
      </x:c>
      <x:c r="M651" s="31" t="inlineStr">
        <x:is>
          <x:t xml:space="preserve">Нет</x:t>
        </x:is>
      </x:c>
      <x:c r="N651" s="31" t="inlineStr">
        <x:is>
          <x:t xml:space="preserve">Автосоздано правилом/пользователем 12</x:t>
        </x:is>
      </x:c>
    </x:row>
    <x:row r="652">
      <x:c r="A652" s="31" t="inlineStr">
        <x:is>
          <x:t xml:space="preserve">ЗД-00651</x:t>
        </x:is>
      </x:c>
      <x:c r="B652" s="31" t="n">
        <x:v>46134</x:v>
      </x:c>
      <x:c r="C652" s="31" t="n">
        <x:v>46148</x:v>
      </x:c>
      <x:c r="D652" s="31" t="inlineStr">
        <x:is>
          <x:t xml:space="preserve">В работе</x:t>
        </x:is>
      </x:c>
      <x:c r="E652" s="31" t="inlineStr">
        <x:is>
          <x:t xml:space="preserve">Средний</x:t>
        </x:is>
      </x:c>
      <x:c r="F652" s="31" t="inlineStr">
        <x:is>
          <x:t xml:space="preserve">СОТР-005</x:t>
        </x:is>
      </x:c>
      <x:c r="G652" s="31" t="inlineStr">
        <x:is>
          <x:t xml:space="preserve">Заказ</x:t>
        </x:is>
      </x:c>
      <x:c r="H652" s="31" t="inlineStr">
        <x:is>
          <x:t xml:space="preserve">ЗК-1117</x:t>
        </x:is>
      </x:c>
      <x:c r="I652" s="31" t="inlineStr">
        <x:is>
          <x:t xml:space="preserve">Согласовать скидку</x:t>
        </x:is>
      </x:c>
      <x:c r="J652" s="31" t="inlineStr">
        <x:is>
          <x:t xml:space="preserve">Производство</x:t>
        </x:is>
      </x:c>
      <x:c r="K652" s="31" t="n">
        <x:v>0</x:v>
      </x:c>
      <x:c r="L652" s="31" t="inlineStr">
        <x:is>
          <x:t xml:space="preserve">Нет</x:t>
        </x:is>
      </x:c>
      <x:c r="M652" s="31" t="inlineStr">
        <x:is>
          <x:t xml:space="preserve">Нет</x:t>
        </x:is>
      </x:c>
      <x:c r="N652" s="31" t="inlineStr">
        <x:is>
          <x:t xml:space="preserve">Автосоздано правилом/пользователем 9</x:t>
        </x:is>
      </x:c>
    </x:row>
    <x:row r="653">
      <x:c r="A653" s="31" t="inlineStr">
        <x:is>
          <x:t xml:space="preserve">ЗД-00652</x:t>
        </x:is>
      </x:c>
      <x:c r="B653" s="31" t="n">
        <x:v>46115</x:v>
      </x:c>
      <x:c r="C653" s="31" t="n">
        <x:v>46117</x:v>
      </x:c>
      <x:c r="D653" s="31" t="inlineStr">
        <x:is>
          <x:t xml:space="preserve">В работе</x:t>
        </x:is>
      </x:c>
      <x:c r="E653" s="31" t="inlineStr">
        <x:is>
          <x:t xml:space="preserve">Средний</x:t>
        </x:is>
      </x:c>
      <x:c r="F653" s="31" t="inlineStr">
        <x:is>
          <x:t xml:space="preserve">СОТР-076</x:t>
        </x:is>
      </x:c>
      <x:c r="G653" s="31" t="inlineStr">
        <x:is>
          <x:t xml:space="preserve">Счет</x:t>
        </x:is>
      </x:c>
      <x:c r="H653" s="31" t="inlineStr">
        <x:is>
          <x:t xml:space="preserve">СЧ-1101-1</x:t>
        </x:is>
      </x:c>
      <x:c r="I653" s="31" t="inlineStr">
        <x:is>
          <x:t xml:space="preserve">Проверить оплату</x:t>
        </x:is>
      </x:c>
      <x:c r="J653" s="31" t="inlineStr">
        <x:is>
          <x:t xml:space="preserve">Продажи</x:t>
        </x:is>
      </x:c>
      <x:c r="K653" s="31" t="n">
        <x:v>0</x:v>
      </x:c>
      <x:c r="L653" s="31" t="inlineStr">
        <x:is>
          <x:t xml:space="preserve">Да</x:t>
        </x:is>
      </x:c>
      <x:c r="M653" s="31" t="inlineStr">
        <x:is>
          <x:t xml:space="preserve">Нет</x:t>
        </x:is>
      </x:c>
      <x:c r="N653" s="31" t="inlineStr">
        <x:is>
          <x:t xml:space="preserve">Автосоздано правилом/пользователем 2</x:t>
        </x:is>
      </x:c>
    </x:row>
    <x:row r="654">
      <x:c r="A654" s="31" t="inlineStr">
        <x:is>
          <x:t xml:space="preserve">ЗД-00653</x:t>
        </x:is>
      </x:c>
      <x:c r="B654" s="31" t="n">
        <x:v>46114</x:v>
      </x:c>
      <x:c r="C654" s="31" t="n">
        <x:v>46121</x:v>
      </x:c>
      <x:c r="D654" s="31" t="inlineStr">
        <x:is>
          <x:t xml:space="preserve">Просрочена</x:t>
        </x:is>
      </x:c>
      <x:c r="E654" s="31" t="inlineStr">
        <x:is>
          <x:t xml:space="preserve">Средний</x:t>
        </x:is>
      </x:c>
      <x:c r="F654" s="31" t="inlineStr">
        <x:is>
          <x:t xml:space="preserve">СОТР-004</x:t>
        </x:is>
      </x:c>
      <x:c r="G654" s="31" t="inlineStr">
        <x:is>
          <x:t xml:space="preserve">Заказ</x:t>
        </x:is>
      </x:c>
      <x:c r="H654" s="31" t="inlineStr">
        <x:is>
          <x:t xml:space="preserve">ЗК-1028</x:t>
        </x:is>
      </x:c>
      <x:c r="I654" s="31" t="inlineStr">
        <x:is>
          <x:t xml:space="preserve">Уточнить ТЗ</x:t>
        </x:is>
      </x:c>
      <x:c r="J654" s="31" t="inlineStr">
        <x:is>
          <x:t xml:space="preserve">Производство</x:t>
        </x:is>
      </x:c>
      <x:c r="K654" s="31" t="n">
        <x:v>64</x:v>
      </x:c>
      <x:c r="L654" s="31" t="inlineStr">
        <x:is>
          <x:t xml:space="preserve">Да</x:t>
        </x:is>
      </x:c>
      <x:c r="M654" s="31" t="inlineStr">
        <x:is>
          <x:t xml:space="preserve">Нет</x:t>
        </x:is>
      </x:c>
      <x:c r="N654" s="31" t="inlineStr">
        <x:is>
          <x:t xml:space="preserve">Автосоздано правилом/пользователем 3</x:t>
        </x:is>
      </x:c>
    </x:row>
    <x:row r="655">
      <x:c r="A655" s="31" t="inlineStr">
        <x:is>
          <x:t xml:space="preserve">ЗД-00654</x:t>
        </x:is>
      </x:c>
      <x:c r="B655" s="31" t="n">
        <x:v>46127</x:v>
      </x:c>
      <x:c r="C655" s="31" t="n">
        <x:v>46141</x:v>
      </x:c>
      <x:c r="D655" s="31" t="inlineStr">
        <x:is>
          <x:t xml:space="preserve">Просрочена</x:t>
        </x:is>
      </x:c>
      <x:c r="E655" s="31" t="inlineStr">
        <x:is>
          <x:t xml:space="preserve">Средний</x:t>
        </x:is>
      </x:c>
      <x:c r="F655" s="31" t="inlineStr">
        <x:is>
          <x:t xml:space="preserve">СОТР-080</x:t>
        </x:is>
      </x:c>
      <x:c r="G655" s="31" t="inlineStr">
        <x:is>
          <x:t xml:space="preserve">Заказ</x:t>
        </x:is>
      </x:c>
      <x:c r="H655" s="31" t="inlineStr">
        <x:is>
          <x:t xml:space="preserve">ЗК-1047</x:t>
        </x:is>
      </x:c>
      <x:c r="I655" s="31" t="inlineStr">
        <x:is>
          <x:t xml:space="preserve">Проверить лимит заказчика</x:t>
        </x:is>
      </x:c>
      <x:c r="J655" s="31" t="inlineStr">
        <x:is>
          <x:t xml:space="preserve">Финансы</x:t>
        </x:is>
      </x:c>
      <x:c r="K655" s="31" t="n">
        <x:v>44</x:v>
      </x:c>
      <x:c r="L655" s="31" t="inlineStr">
        <x:is>
          <x:t xml:space="preserve">Нет</x:t>
        </x:is>
      </x:c>
      <x:c r="M655" s="31" t="inlineStr">
        <x:is>
          <x:t xml:space="preserve">Нет</x:t>
        </x:is>
      </x:c>
      <x:c r="N655" s="31" t="inlineStr">
        <x:is>
          <x:t xml:space="preserve">Автосоздано правилом/пользователем 10</x:t>
        </x:is>
      </x:c>
    </x:row>
    <x:row r="656">
      <x:c r="A656" s="31" t="inlineStr">
        <x:is>
          <x:t xml:space="preserve">ЗД-00655</x:t>
        </x:is>
      </x:c>
      <x:c r="B656" s="31" t="n">
        <x:v>46121</x:v>
      </x:c>
      <x:c r="C656" s="31" t="n">
        <x:v>46122</x:v>
      </x:c>
      <x:c r="D656" s="31" t="inlineStr">
        <x:is>
          <x:t xml:space="preserve">Просрочена</x:t>
        </x:is>
      </x:c>
      <x:c r="E656" s="31" t="inlineStr">
        <x:is>
          <x:t xml:space="preserve">Средний</x:t>
        </x:is>
      </x:c>
      <x:c r="F656" s="31" t="inlineStr">
        <x:is>
          <x:t xml:space="preserve">СОТР-014</x:t>
        </x:is>
      </x:c>
      <x:c r="G656" s="31" t="inlineStr">
        <x:is>
          <x:t xml:space="preserve">Производственное задание</x:t>
        </x:is>
      </x:c>
      <x:c r="H656" s="31" t="inlineStr">
        <x:is>
          <x:t xml:space="preserve">ПЗ-00151</x:t>
        </x:is>
      </x:c>
      <x:c r="I656" s="31" t="inlineStr">
        <x:is>
          <x:t xml:space="preserve">Обновить готовность</x:t>
        </x:is>
      </x:c>
      <x:c r="J656" s="31" t="inlineStr">
        <x:is>
          <x:t xml:space="preserve">Продажи</x:t>
        </x:is>
      </x:c>
      <x:c r="K656" s="31" t="n">
        <x:v>63</x:v>
      </x:c>
      <x:c r="L656" s="31" t="inlineStr">
        <x:is>
          <x:t xml:space="preserve">Нет</x:t>
        </x:is>
      </x:c>
      <x:c r="M656" s="31" t="inlineStr">
        <x:is>
          <x:t xml:space="preserve">Нет</x:t>
        </x:is>
      </x:c>
      <x:c r="N656" s="31" t="inlineStr">
        <x:is>
          <x:t xml:space="preserve">Автосоздано правилом/пользователем 1</x:t>
        </x:is>
      </x:c>
    </x:row>
    <x:row r="657">
      <x:c r="A657" s="31" t="inlineStr">
        <x:is>
          <x:t xml:space="preserve">ЗД-00656</x:t>
        </x:is>
      </x:c>
      <x:c r="B657" s="31" t="n">
        <x:v>46122</x:v>
      </x:c>
      <x:c r="C657" s="31" t="n">
        <x:v>46123</x:v>
      </x:c>
      <x:c r="D657" s="31" t="inlineStr">
        <x:is>
          <x:t xml:space="preserve">Ожидает ответа</x:t>
        </x:is>
      </x:c>
      <x:c r="E657" s="31" t="inlineStr">
        <x:is>
          <x:t xml:space="preserve">Средний</x:t>
        </x:is>
      </x:c>
      <x:c r="F657" s="31" t="inlineStr">
        <x:is>
          <x:t xml:space="preserve">СОТР-096</x:t>
        </x:is>
      </x:c>
      <x:c r="G657" s="31" t="inlineStr">
        <x:is>
          <x:t xml:space="preserve">Счет</x:t>
        </x:is>
      </x:c>
      <x:c r="H657" s="31" t="inlineStr">
        <x:is>
          <x:t xml:space="preserve">СЧ-1116-1</x:t>
        </x:is>
      </x:c>
      <x:c r="I657" s="31" t="inlineStr">
        <x:is>
          <x:t xml:space="preserve">Согласовать отгрузку при ДЗ</x:t>
        </x:is>
      </x:c>
      <x:c r="J657" s="31" t="inlineStr">
        <x:is>
          <x:t xml:space="preserve">Производство</x:t>
        </x:is>
      </x:c>
      <x:c r="K657" s="31" t="n">
        <x:v>0</x:v>
      </x:c>
      <x:c r="L657" s="31" t="inlineStr">
        <x:is>
          <x:t xml:space="preserve">Нет</x:t>
        </x:is>
      </x:c>
      <x:c r="M657" s="31" t="inlineStr">
        <x:is>
          <x:t xml:space="preserve">Нет</x:t>
        </x:is>
      </x:c>
      <x:c r="N657" s="31" t="inlineStr">
        <x:is>
          <x:t xml:space="preserve">Автосоздано правилом/пользователем 5</x:t>
        </x:is>
      </x:c>
    </x:row>
    <x:row r="658">
      <x:c r="A658" s="31" t="inlineStr">
        <x:is>
          <x:t xml:space="preserve">ЗД-00657</x:t>
        </x:is>
      </x:c>
      <x:c r="B658" s="31" t="n">
        <x:v>46163</x:v>
      </x:c>
      <x:c r="C658" s="31" t="n">
        <x:v>46173</x:v>
      </x:c>
      <x:c r="D658" s="31" t="inlineStr">
        <x:is>
          <x:t xml:space="preserve">В работе</x:t>
        </x:is>
      </x:c>
      <x:c r="E658" s="31" t="inlineStr">
        <x:is>
          <x:t xml:space="preserve">Срочный</x:t>
        </x:is>
      </x:c>
      <x:c r="F658" s="31" t="inlineStr">
        <x:is>
          <x:t xml:space="preserve">СОТР-100</x:t>
        </x:is>
      </x:c>
      <x:c r="G658" s="31" t="inlineStr">
        <x:is>
          <x:t xml:space="preserve">Производственное задание</x:t>
        </x:is>
      </x:c>
      <x:c r="H658" s="31" t="inlineStr">
        <x:is>
          <x:t xml:space="preserve">ПЗ-00038</x:t>
        </x:is>
      </x:c>
      <x:c r="I658" s="31" t="inlineStr">
        <x:is>
          <x:t xml:space="preserve">Разобрать простой</x:t>
        </x:is>
      </x:c>
      <x:c r="J658" s="31" t="inlineStr">
        <x:is>
          <x:t xml:space="preserve">Снабжение</x:t>
        </x:is>
      </x:c>
      <x:c r="K658" s="31" t="n">
        <x:v>0</x:v>
      </x:c>
      <x:c r="L658" s="31" t="inlineStr">
        <x:is>
          <x:t xml:space="preserve">Да</x:t>
        </x:is>
      </x:c>
      <x:c r="M658" s="31" t="inlineStr">
        <x:is>
          <x:t xml:space="preserve">Нет</x:t>
        </x:is>
      </x:c>
      <x:c r="N658" s="31" t="inlineStr">
        <x:is>
          <x:t xml:space="preserve">Автосоздано правилом/пользователем 11</x:t>
        </x:is>
      </x:c>
    </x:row>
    <x:row r="659">
      <x:c r="A659" s="31" t="inlineStr">
        <x:is>
          <x:t xml:space="preserve">ЗД-00658</x:t>
        </x:is>
      </x:c>
      <x:c r="B659" s="31" t="n">
        <x:v>46130</x:v>
      </x:c>
      <x:c r="C659" s="31" t="n">
        <x:v>46137</x:v>
      </x:c>
      <x:c r="D659" s="31" t="inlineStr">
        <x:is>
          <x:t xml:space="preserve">Ожидает ответа</x:t>
        </x:is>
      </x:c>
      <x:c r="E659" s="31" t="inlineStr">
        <x:is>
          <x:t xml:space="preserve">Низкий</x:t>
        </x:is>
      </x:c>
      <x:c r="F659" s="31" t="inlineStr">
        <x:is>
          <x:t xml:space="preserve">СОТР-096</x:t>
        </x:is>
      </x:c>
      <x:c r="G659" s="31" t="inlineStr">
        <x:is>
          <x:t xml:space="preserve">Производственное задание</x:t>
        </x:is>
      </x:c>
      <x:c r="H659" s="31" t="inlineStr">
        <x:is>
          <x:t xml:space="preserve">ПЗ-00170</x:t>
        </x:is>
      </x:c>
      <x:c r="I659" s="31" t="inlineStr">
        <x:is>
          <x:t xml:space="preserve">Проверить дефицит материалов</x:t>
        </x:is>
      </x:c>
      <x:c r="J659" s="31" t="inlineStr">
        <x:is>
          <x:t xml:space="preserve">Снабжение</x:t>
        </x:is>
      </x:c>
      <x:c r="K659" s="31" t="n">
        <x:v>0</x:v>
      </x:c>
      <x:c r="L659" s="31" t="inlineStr">
        <x:is>
          <x:t xml:space="preserve">Да</x:t>
        </x:is>
      </x:c>
      <x:c r="M659" s="31" t="inlineStr">
        <x:is>
          <x:t xml:space="preserve">Нет</x:t>
        </x:is>
      </x:c>
      <x:c r="N659" s="31" t="inlineStr">
        <x:is>
          <x:t xml:space="preserve">Автосоздано правилом/пользователем 4</x:t>
        </x:is>
      </x:c>
    </x:row>
    <x:row r="660">
      <x:c r="A660" s="31" t="inlineStr">
        <x:is>
          <x:t xml:space="preserve">ЗД-00659</x:t>
        </x:is>
      </x:c>
      <x:c r="B660" s="31" t="n">
        <x:v>46119</x:v>
      </x:c>
      <x:c r="C660" s="31" t="n">
        <x:v>46129</x:v>
      </x:c>
      <x:c r="D660" s="31" t="inlineStr">
        <x:is>
          <x:t xml:space="preserve">Просрочена</x:t>
        </x:is>
      </x:c>
      <x:c r="E660" s="31" t="inlineStr">
        <x:is>
          <x:t xml:space="preserve">Высокий</x:t>
        </x:is>
      </x:c>
      <x:c r="F660" s="31" t="inlineStr">
        <x:is>
          <x:t xml:space="preserve">СОТР-092</x:t>
        </x:is>
      </x:c>
      <x:c r="G660" s="31" t="inlineStr">
        <x:is>
          <x:t xml:space="preserve">ОТК</x:t>
        </x:is>
      </x:c>
      <x:c r="H660" s="31" t="inlineStr">
        <x:is>
          <x:t xml:space="preserve">ОТК-00124</x:t>
        </x:is>
      </x:c>
      <x:c r="I660" s="31" t="inlineStr">
        <x:is>
          <x:t xml:space="preserve">Проверить доработку</x:t>
        </x:is>
      </x:c>
      <x:c r="J660" s="31" t="inlineStr">
        <x:is>
          <x:t xml:space="preserve">Продажи</x:t>
        </x:is>
      </x:c>
      <x:c r="K660" s="31" t="n">
        <x:v>56</x:v>
      </x:c>
      <x:c r="L660" s="31" t="inlineStr">
        <x:is>
          <x:t xml:space="preserve">Нет</x:t>
        </x:is>
      </x:c>
      <x:c r="M660" s="31" t="inlineStr">
        <x:is>
          <x:t xml:space="preserve">Нет</x:t>
        </x:is>
      </x:c>
      <x:c r="N660" s="31" t="inlineStr">
        <x:is>
          <x:t xml:space="preserve">Автосоздано правилом/пользователем 5</x:t>
        </x:is>
      </x:c>
    </x:row>
    <x:row r="661">
      <x:c r="A661" s="31" t="inlineStr">
        <x:is>
          <x:t xml:space="preserve">ЗД-00660</x:t>
        </x:is>
      </x:c>
      <x:c r="B661" s="31" t="n">
        <x:v>46129</x:v>
      </x:c>
      <x:c r="C661" s="31" t="n">
        <x:v>46132</x:v>
      </x:c>
      <x:c r="D661" s="31" t="inlineStr">
        <x:is>
          <x:t xml:space="preserve">Выполнена</x:t>
        </x:is>
      </x:c>
      <x:c r="E661" s="31" t="inlineStr">
        <x:is>
          <x:t xml:space="preserve">Низкий</x:t>
        </x:is>
      </x:c>
      <x:c r="F661" s="31" t="inlineStr">
        <x:is>
          <x:t xml:space="preserve">СОТР-092</x:t>
        </x:is>
      </x:c>
      <x:c r="G661" s="31" t="inlineStr">
        <x:is>
          <x:t xml:space="preserve">Производственное задание</x:t>
        </x:is>
      </x:c>
      <x:c r="H661" s="31" t="inlineStr">
        <x:is>
          <x:t xml:space="preserve">ПЗ-00229</x:t>
        </x:is>
      </x:c>
      <x:c r="I661" s="31" t="inlineStr">
        <x:is>
          <x:t xml:space="preserve">Проверить дефицит материалов</x:t>
        </x:is>
      </x:c>
      <x:c r="J661" s="31" t="inlineStr">
        <x:is>
          <x:t xml:space="preserve">Снабжение</x:t>
        </x:is>
      </x:c>
      <x:c r="K661" s="31" t="n">
        <x:v>0</x:v>
      </x:c>
      <x:c r="L661" s="31" t="inlineStr">
        <x:is>
          <x:t xml:space="preserve">Нет</x:t>
        </x:is>
      </x:c>
      <x:c r="M661" s="31" t="inlineStr">
        <x:is>
          <x:t xml:space="preserve">Нет</x:t>
        </x:is>
      </x:c>
      <x:c r="N661" s="31" t="inlineStr">
        <x:is>
          <x:t xml:space="preserve">Автосоздано правилом/пользователем 9</x:t>
        </x:is>
      </x:c>
    </x:row>
    <x:row r="662">
      <x:c r="A662" s="31" t="inlineStr">
        <x:is>
          <x:t xml:space="preserve">ЗД-00661</x:t>
        </x:is>
      </x:c>
      <x:c r="B662" s="31" t="n">
        <x:v>46121</x:v>
      </x:c>
      <x:c r="C662" s="31" t="n">
        <x:v>46122</x:v>
      </x:c>
      <x:c r="D662" s="31" t="inlineStr">
        <x:is>
          <x:t xml:space="preserve">Выполнена</x:t>
        </x:is>
      </x:c>
      <x:c r="E662" s="31" t="inlineStr">
        <x:is>
          <x:t xml:space="preserve">Средний</x:t>
        </x:is>
      </x:c>
      <x:c r="F662" s="31" t="inlineStr">
        <x:is>
          <x:t xml:space="preserve">СОТР-044</x:t>
        </x:is>
      </x:c>
      <x:c r="G662" s="31" t="inlineStr">
        <x:is>
          <x:t xml:space="preserve">ОТК</x:t>
        </x:is>
      </x:c>
      <x:c r="H662" s="31" t="inlineStr">
        <x:is>
          <x:t xml:space="preserve">ОТК-00143</x:t>
        </x:is>
      </x:c>
      <x:c r="I662" s="31" t="inlineStr">
        <x:is>
          <x:t xml:space="preserve">Заблокировать отгрузку</x:t>
        </x:is>
      </x:c>
      <x:c r="J662" s="31" t="inlineStr">
        <x:is>
          <x:t xml:space="preserve">Продажи</x:t>
        </x:is>
      </x:c>
      <x:c r="K662" s="31" t="n">
        <x:v>0</x:v>
      </x:c>
      <x:c r="L662" s="31" t="inlineStr">
        <x:is>
          <x:t xml:space="preserve">Нет</x:t>
        </x:is>
      </x:c>
      <x:c r="M662" s="31" t="inlineStr">
        <x:is>
          <x:t xml:space="preserve">Нет</x:t>
        </x:is>
      </x:c>
      <x:c r="N662" s="31" t="inlineStr">
        <x:is>
          <x:t xml:space="preserve">Автосоздано правилом/пользователем 4</x:t>
        </x:is>
      </x:c>
    </x:row>
    <x:row r="663">
      <x:c r="A663" s="31" t="inlineStr">
        <x:is>
          <x:t xml:space="preserve">ЗД-00662</x:t>
        </x:is>
      </x:c>
      <x:c r="B663" s="31" t="n">
        <x:v>46137</x:v>
      </x:c>
      <x:c r="C663" s="31" t="n">
        <x:v>46144</x:v>
      </x:c>
      <x:c r="D663" s="31" t="inlineStr">
        <x:is>
          <x:t xml:space="preserve">Выполнена</x:t>
        </x:is>
      </x:c>
      <x:c r="E663" s="31" t="inlineStr">
        <x:is>
          <x:t xml:space="preserve">Высокий</x:t>
        </x:is>
      </x:c>
      <x:c r="F663" s="31" t="inlineStr">
        <x:is>
          <x:t xml:space="preserve">СОТР-076</x:t>
        </x:is>
      </x:c>
      <x:c r="G663" s="31" t="inlineStr">
        <x:is>
          <x:t xml:space="preserve">Счет</x:t>
        </x:is>
      </x:c>
      <x:c r="H663" s="31" t="inlineStr">
        <x:is>
          <x:t xml:space="preserve">СЧ-1035-2</x:t>
        </x:is>
      </x:c>
      <x:c r="I663" s="31" t="inlineStr">
        <x:is>
          <x:t xml:space="preserve">Согласовать отгрузку при ДЗ</x:t>
        </x:is>
      </x:c>
      <x:c r="J663" s="31" t="inlineStr">
        <x:is>
          <x:t xml:space="preserve">Снабжение</x:t>
        </x:is>
      </x:c>
      <x:c r="K663" s="31" t="n">
        <x:v>0</x:v>
      </x:c>
      <x:c r="L663" s="31" t="inlineStr">
        <x:is>
          <x:t xml:space="preserve">Нет</x:t>
        </x:is>
      </x:c>
      <x:c r="M663" s="31" t="inlineStr">
        <x:is>
          <x:t xml:space="preserve">Нет</x:t>
        </x:is>
      </x:c>
      <x:c r="N663" s="31" t="inlineStr">
        <x:is>
          <x:t xml:space="preserve">Автосоздано правилом/пользователем 11</x:t>
        </x:is>
      </x:c>
    </x:row>
    <x:row r="664">
      <x:c r="A664" s="31" t="inlineStr">
        <x:is>
          <x:t xml:space="preserve">ЗД-00663</x:t>
        </x:is>
      </x:c>
      <x:c r="B664" s="31" t="n">
        <x:v>46178</x:v>
      </x:c>
      <x:c r="C664" s="31" t="n">
        <x:v>46181</x:v>
      </x:c>
      <x:c r="D664" s="31" t="inlineStr">
        <x:is>
          <x:t xml:space="preserve">Просрочена</x:t>
        </x:is>
      </x:c>
      <x:c r="E664" s="31" t="inlineStr">
        <x:is>
          <x:t xml:space="preserve">Средний</x:t>
        </x:is>
      </x:c>
      <x:c r="F664" s="31" t="inlineStr">
        <x:is>
          <x:t xml:space="preserve">СОТР-053</x:t>
        </x:is>
      </x:c>
      <x:c r="G664" s="31" t="inlineStr">
        <x:is>
          <x:t xml:space="preserve">Производственное задание</x:t>
        </x:is>
      </x:c>
      <x:c r="H664" s="31" t="inlineStr">
        <x:is>
          <x:t xml:space="preserve">ПЗ-00171</x:t>
        </x:is>
      </x:c>
      <x:c r="I664" s="31" t="inlineStr">
        <x:is>
          <x:t xml:space="preserve">Разобрать простой</x:t>
        </x:is>
      </x:c>
      <x:c r="J664" s="31" t="inlineStr">
        <x:is>
          <x:t xml:space="preserve">Снабжение</x:t>
        </x:is>
      </x:c>
      <x:c r="K664" s="31" t="n">
        <x:v>4</x:v>
      </x:c>
      <x:c r="L664" s="31" t="inlineStr">
        <x:is>
          <x:t xml:space="preserve">Да</x:t>
        </x:is>
      </x:c>
      <x:c r="M664" s="31" t="inlineStr">
        <x:is>
          <x:t xml:space="preserve">Поставщик</x:t>
        </x:is>
      </x:c>
      <x:c r="N664" s="31" t="inlineStr">
        <x:is>
          <x:t xml:space="preserve">Автосоздано правилом/пользователем 1</x:t>
        </x:is>
      </x:c>
    </x:row>
    <x:row r="665">
      <x:c r="A665" s="31" t="inlineStr">
        <x:is>
          <x:t xml:space="preserve">ЗД-00664</x:t>
        </x:is>
      </x:c>
      <x:c r="B665" s="31" t="n">
        <x:v>46116</x:v>
      </x:c>
      <x:c r="C665" s="31" t="n">
        <x:v>46130</x:v>
      </x:c>
      <x:c r="D665" s="31" t="inlineStr">
        <x:is>
          <x:t xml:space="preserve">Выполнена</x:t>
        </x:is>
      </x:c>
      <x:c r="E665" s="31" t="inlineStr">
        <x:is>
          <x:t xml:space="preserve">Средний</x:t>
        </x:is>
      </x:c>
      <x:c r="F665" s="31" t="inlineStr">
        <x:is>
          <x:t xml:space="preserve">СОТР-116</x:t>
        </x:is>
      </x:c>
      <x:c r="G665" s="31" t="inlineStr">
        <x:is>
          <x:t xml:space="preserve">Рекламация</x:t>
        </x:is>
      </x:c>
      <x:c r="H665" s="31" t="inlineStr">
        <x:is>
          <x:t xml:space="preserve">РЕК-00001</x:t>
        </x:is>
      </x:c>
      <x:c r="I665" s="31" t="inlineStr">
        <x:is>
          <x:t xml:space="preserve">Согласовать выезд</x:t>
        </x:is>
      </x:c>
      <x:c r="J665" s="31" t="inlineStr">
        <x:is>
          <x:t xml:space="preserve">Продажи</x:t>
        </x:is>
      </x:c>
      <x:c r="K665" s="31" t="n">
        <x:v>0</x:v>
      </x:c>
      <x:c r="L665" s="31" t="inlineStr">
        <x:is>
          <x:t xml:space="preserve">Нет</x:t>
        </x:is>
      </x:c>
      <x:c r="M665" s="31" t="inlineStr">
        <x:is>
          <x:t xml:space="preserve">Нет</x:t>
        </x:is>
      </x:c>
      <x:c r="N665" s="31" t="inlineStr">
        <x:is>
          <x:t xml:space="preserve">Автосоздано правилом/пользователем 11</x:t>
        </x:is>
      </x:c>
    </x:row>
    <x:row r="666">
      <x:c r="A666" s="31" t="inlineStr">
        <x:is>
          <x:t xml:space="preserve">ЗД-00665</x:t>
        </x:is>
      </x:c>
      <x:c r="B666" s="31" t="n">
        <x:v>46117</x:v>
      </x:c>
      <x:c r="C666" s="31" t="n">
        <x:v>46118</x:v>
      </x:c>
      <x:c r="D666" s="31" t="inlineStr">
        <x:is>
          <x:t xml:space="preserve">В работе</x:t>
        </x:is>
      </x:c>
      <x:c r="E666" s="31" t="inlineStr">
        <x:is>
          <x:t xml:space="preserve">Высокий</x:t>
        </x:is>
      </x:c>
      <x:c r="F666" s="31" t="inlineStr">
        <x:is>
          <x:t xml:space="preserve">СОТР-096</x:t>
        </x:is>
      </x:c>
      <x:c r="G666" s="31" t="inlineStr">
        <x:is>
          <x:t xml:space="preserve">Производственное задание</x:t>
        </x:is>
      </x:c>
      <x:c r="H666" s="31" t="inlineStr">
        <x:is>
          <x:t xml:space="preserve">ПЗ-00047</x:t>
        </x:is>
      </x:c>
      <x:c r="I666" s="31" t="inlineStr">
        <x:is>
          <x:t xml:space="preserve">Проверить дефицит материалов</x:t>
        </x:is>
      </x:c>
      <x:c r="J666" s="31" t="inlineStr">
        <x:is>
          <x:t xml:space="preserve">Снабжение</x:t>
        </x:is>
      </x:c>
      <x:c r="K666" s="31" t="n">
        <x:v>0</x:v>
      </x:c>
      <x:c r="L666" s="31" t="inlineStr">
        <x:is>
          <x:t xml:space="preserve">Нет</x:t>
        </x:is>
      </x:c>
      <x:c r="M666" s="31" t="inlineStr">
        <x:is>
          <x:t xml:space="preserve">Нет</x:t>
        </x:is>
      </x:c>
      <x:c r="N666" s="31" t="inlineStr">
        <x:is>
          <x:t xml:space="preserve">Автосоздано правилом/пользователем 4</x:t>
        </x:is>
      </x:c>
    </x:row>
    <x:row r="667">
      <x:c r="A667" s="31" t="inlineStr">
        <x:is>
          <x:t xml:space="preserve">ЗД-00666</x:t>
        </x:is>
      </x:c>
      <x:c r="B667" s="31" t="n">
        <x:v>46166</x:v>
      </x:c>
      <x:c r="C667" s="31" t="n">
        <x:v>46168</x:v>
      </x:c>
      <x:c r="D667" s="31" t="inlineStr">
        <x:is>
          <x:t xml:space="preserve">Выполнена</x:t>
        </x:is>
      </x:c>
      <x:c r="E667" s="31" t="inlineStr">
        <x:is>
          <x:t xml:space="preserve">Средний</x:t>
        </x:is>
      </x:c>
      <x:c r="F667" s="31" t="inlineStr">
        <x:is>
          <x:t xml:space="preserve">СОТР-004</x:t>
        </x:is>
      </x:c>
      <x:c r="G667" s="31" t="inlineStr">
        <x:is>
          <x:t xml:space="preserve">Заказ</x:t>
        </x:is>
      </x:c>
      <x:c r="H667" s="31" t="inlineStr">
        <x:is>
          <x:t xml:space="preserve">ЗК-1005</x:t>
        </x:is>
      </x:c>
      <x:c r="I667" s="31" t="inlineStr">
        <x:is>
          <x:t xml:space="preserve">Подписать спецификацию</x:t>
        </x:is>
      </x:c>
      <x:c r="J667" s="31" t="inlineStr">
        <x:is>
          <x:t xml:space="preserve">Снабжение</x:t>
        </x:is>
      </x:c>
      <x:c r="K667" s="31" t="n">
        <x:v>0</x:v>
      </x:c>
      <x:c r="L667" s="31" t="inlineStr">
        <x:is>
          <x:t xml:space="preserve">Нет</x:t>
        </x:is>
      </x:c>
      <x:c r="M667" s="31" t="inlineStr">
        <x:is>
          <x:t xml:space="preserve">Нет</x:t>
        </x:is>
      </x:c>
      <x:c r="N667" s="31" t="inlineStr">
        <x:is>
          <x:t xml:space="preserve">Автосоздано правилом/пользователем 6</x:t>
        </x:is>
      </x:c>
    </x:row>
    <x:row r="668">
      <x:c r="A668" s="31" t="inlineStr">
        <x:is>
          <x:t xml:space="preserve">ЗД-00667</x:t>
        </x:is>
      </x:c>
      <x:c r="B668" s="31" t="n">
        <x:v>46163</x:v>
      </x:c>
      <x:c r="C668" s="31" t="n">
        <x:v>46173</x:v>
      </x:c>
      <x:c r="D668" s="31" t="inlineStr">
        <x:is>
          <x:t xml:space="preserve">Выполнена</x:t>
        </x:is>
      </x:c>
      <x:c r="E668" s="31" t="inlineStr">
        <x:is>
          <x:t xml:space="preserve">Средний</x:t>
        </x:is>
      </x:c>
      <x:c r="F668" s="31" t="inlineStr">
        <x:is>
          <x:t xml:space="preserve">СОТР-100</x:t>
        </x:is>
      </x:c>
      <x:c r="G668" s="31" t="inlineStr">
        <x:is>
          <x:t xml:space="preserve">Закупка</x:t>
        </x:is>
      </x:c>
      <x:c r="H668" s="31" t="inlineStr">
        <x:is>
          <x:t xml:space="preserve">ЗЗ-00013</x:t>
        </x:is>
      </x:c>
      <x:c r="I668" s="31" t="inlineStr">
        <x:is>
          <x:t xml:space="preserve">Уточнить сертификаты</x:t>
        </x:is>
      </x:c>
      <x:c r="J668" s="31" t="inlineStr">
        <x:is>
          <x:t xml:space="preserve">Продажи</x:t>
        </x:is>
      </x:c>
      <x:c r="K668" s="31" t="n">
        <x:v>0</x:v>
      </x:c>
      <x:c r="L668" s="31" t="inlineStr">
        <x:is>
          <x:t xml:space="preserve">Нет</x:t>
        </x:is>
      </x:c>
      <x:c r="M668" s="31" t="inlineStr">
        <x:is>
          <x:t xml:space="preserve">Нет</x:t>
        </x:is>
      </x:c>
      <x:c r="N668" s="31" t="inlineStr">
        <x:is>
          <x:t xml:space="preserve">Автосоздано правилом/пользователем 2</x:t>
        </x:is>
      </x:c>
    </x:row>
    <x:row r="669">
      <x:c r="A669" s="31" t="inlineStr">
        <x:is>
          <x:t xml:space="preserve">ЗД-00668</x:t>
        </x:is>
      </x:c>
      <x:c r="B669" s="31" t="n">
        <x:v>46178</x:v>
      </x:c>
      <x:c r="C669" s="31" t="n">
        <x:v>46185</x:v>
      </x:c>
      <x:c r="D669" s="31" t="inlineStr">
        <x:is>
          <x:t xml:space="preserve">В работе</x:t>
        </x:is>
      </x:c>
      <x:c r="E669" s="31" t="inlineStr">
        <x:is>
          <x:t xml:space="preserve">Средний</x:t>
        </x:is>
      </x:c>
      <x:c r="F669" s="31" t="inlineStr">
        <x:is>
          <x:t xml:space="preserve">СОТР-109</x:t>
        </x:is>
      </x:c>
      <x:c r="G669" s="31" t="inlineStr">
        <x:is>
          <x:t xml:space="preserve">Рекламация</x:t>
        </x:is>
      </x:c>
      <x:c r="H669" s="31" t="inlineStr">
        <x:is>
          <x:t xml:space="preserve">РЕК-00011</x:t>
        </x:is>
      </x:c>
      <x:c r="I669" s="31" t="inlineStr">
        <x:is>
          <x:t xml:space="preserve">Провести диагностику</x:t>
        </x:is>
      </x:c>
      <x:c r="J669" s="31" t="inlineStr">
        <x:is>
          <x:t xml:space="preserve">Производство</x:t>
        </x:is>
      </x:c>
      <x:c r="K669" s="31" t="n">
        <x:v>0</x:v>
      </x:c>
      <x:c r="L669" s="31" t="inlineStr">
        <x:is>
          <x:t xml:space="preserve">Нет</x:t>
        </x:is>
      </x:c>
      <x:c r="M669" s="31" t="inlineStr">
        <x:is>
          <x:t xml:space="preserve">Нет</x:t>
        </x:is>
      </x:c>
      <x:c r="N669" s="31" t="inlineStr">
        <x:is>
          <x:t xml:space="preserve">Автосоздано правилом/пользователем 5</x:t>
        </x:is>
      </x:c>
    </x:row>
    <x:row r="670">
      <x:c r="A670" s="31" t="inlineStr">
        <x:is>
          <x:t xml:space="preserve">ЗД-00669</x:t>
        </x:is>
      </x:c>
      <x:c r="B670" s="31" t="n">
        <x:v>46164</x:v>
      </x:c>
      <x:c r="C670" s="31" t="n">
        <x:v>46166</x:v>
      </x:c>
      <x:c r="D670" s="31" t="inlineStr">
        <x:is>
          <x:t xml:space="preserve">Просрочена</x:t>
        </x:is>
      </x:c>
      <x:c r="E670" s="31" t="inlineStr">
        <x:is>
          <x:t xml:space="preserve">Средний</x:t>
        </x:is>
      </x:c>
      <x:c r="F670" s="31" t="inlineStr">
        <x:is>
          <x:t xml:space="preserve">СОТР-010</x:t>
        </x:is>
      </x:c>
      <x:c r="G670" s="31" t="inlineStr">
        <x:is>
          <x:t xml:space="preserve">Закупка</x:t>
        </x:is>
      </x:c>
      <x:c r="H670" s="31" t="inlineStr">
        <x:is>
          <x:t xml:space="preserve">ЗЗ-00018</x:t>
        </x:is>
      </x:c>
      <x:c r="I670" s="31" t="inlineStr">
        <x:is>
          <x:t xml:space="preserve">Проверить альтернативного поставщика</x:t>
        </x:is>
      </x:c>
      <x:c r="J670" s="31" t="inlineStr">
        <x:is>
          <x:t xml:space="preserve">Производство</x:t>
        </x:is>
      </x:c>
      <x:c r="K670" s="31" t="n">
        <x:v>19</x:v>
      </x:c>
      <x:c r="L670" s="31" t="inlineStr">
        <x:is>
          <x:t xml:space="preserve">Нет</x:t>
        </x:is>
      </x:c>
      <x:c r="M670" s="31" t="inlineStr">
        <x:is>
          <x:t xml:space="preserve">Нет</x:t>
        </x:is>
      </x:c>
      <x:c r="N670" s="31" t="inlineStr">
        <x:is>
          <x:t xml:space="preserve">Автосоздано правилом/пользователем 10</x:t>
        </x:is>
      </x:c>
    </x:row>
    <x:row r="671">
      <x:c r="A671" s="31" t="inlineStr">
        <x:is>
          <x:t xml:space="preserve">ЗД-00670</x:t>
        </x:is>
      </x:c>
      <x:c r="B671" s="31" t="n">
        <x:v>46175</x:v>
      </x:c>
      <x:c r="C671" s="31" t="n">
        <x:v>46176</x:v>
      </x:c>
      <x:c r="D671" s="31" t="inlineStr">
        <x:is>
          <x:t xml:space="preserve">Просрочена</x:t>
        </x:is>
      </x:c>
      <x:c r="E671" s="31" t="inlineStr">
        <x:is>
          <x:t xml:space="preserve">Средний</x:t>
        </x:is>
      </x:c>
      <x:c r="F671" s="31" t="inlineStr">
        <x:is>
          <x:t xml:space="preserve">СОТР-098</x:t>
        </x:is>
      </x:c>
      <x:c r="G671" s="31" t="inlineStr">
        <x:is>
          <x:t xml:space="preserve">ОТК</x:t>
        </x:is>
      </x:c>
      <x:c r="H671" s="31" t="inlineStr">
        <x:is>
          <x:t xml:space="preserve">ОТК-00004</x:t>
        </x:is>
      </x:c>
      <x:c r="I671" s="31" t="inlineStr">
        <x:is>
          <x:t xml:space="preserve">Проверить доработку</x:t>
        </x:is>
      </x:c>
      <x:c r="J671" s="31" t="inlineStr">
        <x:is>
          <x:t xml:space="preserve">Продажи</x:t>
        </x:is>
      </x:c>
      <x:c r="K671" s="31" t="n">
        <x:v>9</x:v>
      </x:c>
      <x:c r="L671" s="31" t="inlineStr">
        <x:is>
          <x:t xml:space="preserve">Нет</x:t>
        </x:is>
      </x:c>
      <x:c r="M671" s="31" t="inlineStr">
        <x:is>
          <x:t xml:space="preserve">Нет</x:t>
        </x:is>
      </x:c>
      <x:c r="N671" s="31" t="inlineStr">
        <x:is>
          <x:t xml:space="preserve">Автосоздано правилом/пользователем 11</x:t>
        </x:is>
      </x:c>
    </x:row>
    <x:row r="672">
      <x:c r="A672" s="31" t="inlineStr">
        <x:is>
          <x:t xml:space="preserve">ЗД-00671</x:t>
        </x:is>
      </x:c>
      <x:c r="B672" s="31" t="n">
        <x:v>46145</x:v>
      </x:c>
      <x:c r="C672" s="31" t="n">
        <x:v>46155</x:v>
      </x:c>
      <x:c r="D672" s="31" t="inlineStr">
        <x:is>
          <x:t xml:space="preserve">Выполнена</x:t>
        </x:is>
      </x:c>
      <x:c r="E672" s="31" t="inlineStr">
        <x:is>
          <x:t xml:space="preserve">Высокий</x:t>
        </x:is>
      </x:c>
      <x:c r="F672" s="31" t="inlineStr">
        <x:is>
          <x:t xml:space="preserve">СОТР-099</x:t>
        </x:is>
      </x:c>
      <x:c r="G672" s="31" t="inlineStr">
        <x:is>
          <x:t xml:space="preserve">Производственное задание</x:t>
        </x:is>
      </x:c>
      <x:c r="H672" s="31" t="inlineStr">
        <x:is>
          <x:t xml:space="preserve">ПЗ-00103</x:t>
        </x:is>
      </x:c>
      <x:c r="I672" s="31" t="inlineStr">
        <x:is>
          <x:t xml:space="preserve">Закрыть сменный факт</x:t>
        </x:is>
      </x:c>
      <x:c r="J672" s="31" t="inlineStr">
        <x:is>
          <x:t xml:space="preserve">Финансы</x:t>
        </x:is>
      </x:c>
      <x:c r="K672" s="31" t="n">
        <x:v>0</x:v>
      </x:c>
      <x:c r="L672" s="31" t="inlineStr">
        <x:is>
          <x:t xml:space="preserve">Нет</x:t>
        </x:is>
      </x:c>
      <x:c r="M672" s="31" t="inlineStr">
        <x:is>
          <x:t xml:space="preserve">Нет</x:t>
        </x:is>
      </x:c>
      <x:c r="N672" s="31" t="inlineStr">
        <x:is>
          <x:t xml:space="preserve">Автосоздано правилом/пользователем 5</x:t>
        </x:is>
      </x:c>
    </x:row>
    <x:row r="673">
      <x:c r="A673" s="31" t="inlineStr">
        <x:is>
          <x:t xml:space="preserve">ЗД-00672</x:t>
        </x:is>
      </x:c>
      <x:c r="B673" s="31" t="n">
        <x:v>46166</x:v>
      </x:c>
      <x:c r="C673" s="31" t="n">
        <x:v>46171</x:v>
      </x:c>
      <x:c r="D673" s="31" t="inlineStr">
        <x:is>
          <x:t xml:space="preserve">Просрочена</x:t>
        </x:is>
      </x:c>
      <x:c r="E673" s="31" t="inlineStr">
        <x:is>
          <x:t xml:space="preserve">Средний</x:t>
        </x:is>
      </x:c>
      <x:c r="F673" s="31" t="inlineStr">
        <x:is>
          <x:t xml:space="preserve">СОТР-100</x:t>
        </x:is>
      </x:c>
      <x:c r="G673" s="31" t="inlineStr">
        <x:is>
          <x:t xml:space="preserve">Производственное задание</x:t>
        </x:is>
      </x:c>
      <x:c r="H673" s="31" t="inlineStr">
        <x:is>
          <x:t xml:space="preserve">ПЗ-00134</x:t>
        </x:is>
      </x:c>
      <x:c r="I673" s="31" t="inlineStr">
        <x:is>
          <x:t xml:space="preserve">Обновить готовность</x:t>
        </x:is>
      </x:c>
      <x:c r="J673" s="31" t="inlineStr">
        <x:is>
          <x:t xml:space="preserve">Сервис</x:t>
        </x:is>
      </x:c>
      <x:c r="K673" s="31" t="n">
        <x:v>14</x:v>
      </x:c>
      <x:c r="L673" s="31" t="inlineStr">
        <x:is>
          <x:t xml:space="preserve">Нет</x:t>
        </x:is>
      </x:c>
      <x:c r="M673" s="31" t="inlineStr">
        <x:is>
          <x:t xml:space="preserve">Нет</x:t>
        </x:is>
      </x:c>
      <x:c r="N673" s="31" t="inlineStr">
        <x:is>
          <x:t xml:space="preserve">Автосоздано правилом/пользователем 8</x:t>
        </x:is>
      </x:c>
    </x:row>
    <x:row r="674">
      <x:c r="A674" s="31" t="inlineStr">
        <x:is>
          <x:t xml:space="preserve">ЗД-00673</x:t>
        </x:is>
      </x:c>
      <x:c r="B674" s="31" t="n">
        <x:v>46163</x:v>
      </x:c>
      <x:c r="C674" s="31" t="n">
        <x:v>46173</x:v>
      </x:c>
      <x:c r="D674" s="31" t="inlineStr">
        <x:is>
          <x:t xml:space="preserve">В работе</x:t>
        </x:is>
      </x:c>
      <x:c r="E674" s="31" t="inlineStr">
        <x:is>
          <x:t xml:space="preserve">Средний</x:t>
        </x:is>
      </x:c>
      <x:c r="F674" s="31" t="inlineStr">
        <x:is>
          <x:t xml:space="preserve">СОТР-010</x:t>
        </x:is>
      </x:c>
      <x:c r="G674" s="31" t="inlineStr">
        <x:is>
          <x:t xml:space="preserve">Производственное задание</x:t>
        </x:is>
      </x:c>
      <x:c r="H674" s="31" t="inlineStr">
        <x:is>
          <x:t xml:space="preserve">ПЗ-00140</x:t>
        </x:is>
      </x:c>
      <x:c r="I674" s="31" t="inlineStr">
        <x:is>
          <x:t xml:space="preserve">Закрыть сменный факт</x:t>
        </x:is>
      </x:c>
      <x:c r="J674" s="31" t="inlineStr">
        <x:is>
          <x:t xml:space="preserve">Продажи</x:t>
        </x:is>
      </x:c>
      <x:c r="K674" s="31" t="n">
        <x:v>0</x:v>
      </x:c>
      <x:c r="L674" s="31" t="inlineStr">
        <x:is>
          <x:t xml:space="preserve">Да</x:t>
        </x:is>
      </x:c>
      <x:c r="M674" s="31" t="inlineStr">
        <x:is>
          <x:t xml:space="preserve">Заказчик</x:t>
        </x:is>
      </x:c>
      <x:c r="N674" s="31" t="inlineStr">
        <x:is>
          <x:t xml:space="preserve">Автосоздано правилом/пользователем 6</x:t>
        </x:is>
      </x:c>
    </x:row>
    <x:row r="675">
      <x:c r="A675" s="31" t="inlineStr">
        <x:is>
          <x:t xml:space="preserve">ЗД-00674</x:t>
        </x:is>
      </x:c>
      <x:c r="B675" s="31" t="n">
        <x:v>46158</x:v>
      </x:c>
      <x:c r="C675" s="31" t="n">
        <x:v>46172</x:v>
      </x:c>
      <x:c r="D675" s="31" t="inlineStr">
        <x:is>
          <x:t xml:space="preserve">Выполнена</x:t>
        </x:is>
      </x:c>
      <x:c r="E675" s="31" t="inlineStr">
        <x:is>
          <x:t xml:space="preserve">Высокий</x:t>
        </x:is>
      </x:c>
      <x:c r="F675" s="31" t="inlineStr">
        <x:is>
          <x:t xml:space="preserve">СОТР-097</x:t>
        </x:is>
      </x:c>
      <x:c r="G675" s="31" t="inlineStr">
        <x:is>
          <x:t xml:space="preserve">ОТК</x:t>
        </x:is>
      </x:c>
      <x:c r="H675" s="31" t="inlineStr">
        <x:is>
          <x:t xml:space="preserve">ОТК-00070</x:t>
        </x:is>
      </x:c>
      <x:c r="I675" s="31" t="inlineStr">
        <x:is>
          <x:t xml:space="preserve">Проверить доработку</x:t>
        </x:is>
      </x:c>
      <x:c r="J675" s="31" t="inlineStr">
        <x:is>
          <x:t xml:space="preserve">Продажи</x:t>
        </x:is>
      </x:c>
      <x:c r="K675" s="31" t="n">
        <x:v>0</x:v>
      </x:c>
      <x:c r="L675" s="31" t="inlineStr">
        <x:is>
          <x:t xml:space="preserve">Да</x:t>
        </x:is>
      </x:c>
      <x:c r="M675" s="31" t="inlineStr">
        <x:is>
          <x:t xml:space="preserve">Поставщик</x:t>
        </x:is>
      </x:c>
      <x:c r="N675" s="31" t="inlineStr">
        <x:is>
          <x:t xml:space="preserve">Автосоздано правилом/пользователем 1</x:t>
        </x:is>
      </x:c>
    </x:row>
    <x:row r="676">
      <x:c r="A676" s="31" t="inlineStr">
        <x:is>
          <x:t xml:space="preserve">ЗД-00675</x:t>
        </x:is>
      </x:c>
      <x:c r="B676" s="31" t="n">
        <x:v>46115</x:v>
      </x:c>
      <x:c r="C676" s="31" t="n">
        <x:v>46117</x:v>
      </x:c>
      <x:c r="D676" s="31" t="inlineStr">
        <x:is>
          <x:t xml:space="preserve">Новая</x:t>
        </x:is>
      </x:c>
      <x:c r="E676" s="31" t="inlineStr">
        <x:is>
          <x:t xml:space="preserve">Средний</x:t>
        </x:is>
      </x:c>
      <x:c r="F676" s="31" t="inlineStr">
        <x:is>
          <x:t xml:space="preserve">СОТР-076</x:t>
        </x:is>
      </x:c>
      <x:c r="G676" s="31" t="inlineStr">
        <x:is>
          <x:t xml:space="preserve">Счет</x:t>
        </x:is>
      </x:c>
      <x:c r="H676" s="31" t="inlineStr">
        <x:is>
          <x:t xml:space="preserve">СЧ-1014-1</x:t>
        </x:is>
      </x:c>
      <x:c r="I676" s="31" t="inlineStr">
        <x:is>
          <x:t xml:space="preserve">Подготовить акт сверки</x:t>
        </x:is>
      </x:c>
      <x:c r="J676" s="31" t="inlineStr">
        <x:is>
          <x:t xml:space="preserve">Финансы</x:t>
        </x:is>
      </x:c>
      <x:c r="K676" s="31" t="n">
        <x:v>0</x:v>
      </x:c>
      <x:c r="L676" s="31" t="inlineStr">
        <x:is>
          <x:t xml:space="preserve">Нет</x:t>
        </x:is>
      </x:c>
      <x:c r="M676" s="31" t="inlineStr">
        <x:is>
          <x:t xml:space="preserve">Нет</x:t>
        </x:is>
      </x:c>
      <x:c r="N676" s="31" t="inlineStr">
        <x:is>
          <x:t xml:space="preserve">Автосоздано правилом/пользователем 9</x:t>
        </x:is>
      </x:c>
    </x:row>
    <x:row r="677">
      <x:c r="A677" s="31" t="inlineStr">
        <x:is>
          <x:t xml:space="preserve">ЗД-00676</x:t>
        </x:is>
      </x:c>
      <x:c r="B677" s="31" t="n">
        <x:v>46129</x:v>
      </x:c>
      <x:c r="C677" s="31" t="n">
        <x:v>46134</x:v>
      </x:c>
      <x:c r="D677" s="31" t="inlineStr">
        <x:is>
          <x:t xml:space="preserve">Выполнена</x:t>
        </x:is>
      </x:c>
      <x:c r="E677" s="31" t="inlineStr">
        <x:is>
          <x:t xml:space="preserve">Высокий</x:t>
        </x:is>
      </x:c>
      <x:c r="F677" s="31" t="inlineStr">
        <x:is>
          <x:t xml:space="preserve">СОТР-095</x:t>
        </x:is>
      </x:c>
      <x:c r="G677" s="31" t="inlineStr">
        <x:is>
          <x:t xml:space="preserve">Производственное задание</x:t>
        </x:is>
      </x:c>
      <x:c r="H677" s="31" t="inlineStr">
        <x:is>
          <x:t xml:space="preserve">ПЗ-00235</x:t>
        </x:is>
      </x:c>
      <x:c r="I677" s="31" t="inlineStr">
        <x:is>
          <x:t xml:space="preserve">Назначить оператора</x:t>
        </x:is>
      </x:c>
      <x:c r="J677" s="31" t="inlineStr">
        <x:is>
          <x:t xml:space="preserve">Производство</x:t>
        </x:is>
      </x:c>
      <x:c r="K677" s="31" t="n">
        <x:v>0</x:v>
      </x:c>
      <x:c r="L677" s="31" t="inlineStr">
        <x:is>
          <x:t xml:space="preserve">Да</x:t>
        </x:is>
      </x:c>
      <x:c r="M677" s="31" t="inlineStr">
        <x:is>
          <x:t xml:space="preserve">Нет</x:t>
        </x:is>
      </x:c>
      <x:c r="N677" s="31" t="inlineStr">
        <x:is>
          <x:t xml:space="preserve">Автосоздано правилом/пользователем 4</x:t>
        </x:is>
      </x:c>
    </x:row>
    <x:row r="678">
      <x:c r="A678" s="31" t="inlineStr">
        <x:is>
          <x:t xml:space="preserve">ЗД-00677</x:t>
        </x:is>
      </x:c>
      <x:c r="B678" s="31" t="n">
        <x:v>46110</x:v>
      </x:c>
      <x:c r="C678" s="31" t="n">
        <x:v>46111</x:v>
      </x:c>
      <x:c r="D678" s="31" t="inlineStr">
        <x:is>
          <x:t xml:space="preserve">В работе</x:t>
        </x:is>
      </x:c>
      <x:c r="E678" s="31" t="inlineStr">
        <x:is>
          <x:t xml:space="preserve">Срочный</x:t>
        </x:is>
      </x:c>
      <x:c r="F678" s="31" t="inlineStr">
        <x:is>
          <x:t xml:space="preserve">СОТР-076</x:t>
        </x:is>
      </x:c>
      <x:c r="G678" s="31" t="inlineStr">
        <x:is>
          <x:t xml:space="preserve">Счет</x:t>
        </x:is>
      </x:c>
      <x:c r="H678" s="31" t="inlineStr">
        <x:is>
          <x:t xml:space="preserve">СЧ-1110-1</x:t>
        </x:is>
      </x:c>
      <x:c r="I678" s="31" t="inlineStr">
        <x:is>
          <x:t xml:space="preserve">Согласовать отгрузку при ДЗ</x:t>
        </x:is>
      </x:c>
      <x:c r="J678" s="31" t="inlineStr">
        <x:is>
          <x:t xml:space="preserve">Финансы</x:t>
        </x:is>
      </x:c>
      <x:c r="K678" s="31" t="n">
        <x:v>0</x:v>
      </x:c>
      <x:c r="L678" s="31" t="inlineStr">
        <x:is>
          <x:t xml:space="preserve">Да</x:t>
        </x:is>
      </x:c>
      <x:c r="M678" s="31" t="inlineStr">
        <x:is>
          <x:t xml:space="preserve">Нет</x:t>
        </x:is>
      </x:c>
      <x:c r="N678" s="31" t="inlineStr">
        <x:is>
          <x:t xml:space="preserve">Автосоздано правилом/пользователем 12</x:t>
        </x:is>
      </x:c>
    </x:row>
    <x:row r="679">
      <x:c r="A679" s="31" t="inlineStr">
        <x:is>
          <x:t xml:space="preserve">ЗД-00678</x:t>
        </x:is>
      </x:c>
      <x:c r="B679" s="31" t="n">
        <x:v>46127</x:v>
      </x:c>
      <x:c r="C679" s="31" t="n">
        <x:v>46132</x:v>
      </x:c>
      <x:c r="D679" s="31" t="inlineStr">
        <x:is>
          <x:t xml:space="preserve">Выполнена</x:t>
        </x:is>
      </x:c>
      <x:c r="E679" s="31" t="inlineStr">
        <x:is>
          <x:t xml:space="preserve">Срочный</x:t>
        </x:is>
      </x:c>
      <x:c r="F679" s="31" t="inlineStr">
        <x:is>
          <x:t xml:space="preserve">СОТР-099</x:t>
        </x:is>
      </x:c>
      <x:c r="G679" s="31" t="inlineStr">
        <x:is>
          <x:t xml:space="preserve">Производственное задание</x:t>
        </x:is>
      </x:c>
      <x:c r="H679" s="31" t="inlineStr">
        <x:is>
          <x:t xml:space="preserve">ПЗ-00167</x:t>
        </x:is>
      </x:c>
      <x:c r="I679" s="31" t="inlineStr">
        <x:is>
          <x:t xml:space="preserve">Проверить дефицит материалов</x:t>
        </x:is>
      </x:c>
      <x:c r="J679" s="31" t="inlineStr">
        <x:is>
          <x:t xml:space="preserve">Производство</x:t>
        </x:is>
      </x:c>
      <x:c r="K679" s="31" t="n">
        <x:v>0</x:v>
      </x:c>
      <x:c r="L679" s="31" t="inlineStr">
        <x:is>
          <x:t xml:space="preserve">Нет</x:t>
        </x:is>
      </x:c>
      <x:c r="M679" s="31" t="inlineStr">
        <x:is>
          <x:t xml:space="preserve">Нет</x:t>
        </x:is>
      </x:c>
      <x:c r="N679" s="31" t="inlineStr">
        <x:is>
          <x:t xml:space="preserve">Автосоздано правилом/пользователем 3</x:t>
        </x:is>
      </x:c>
    </x:row>
    <x:row r="680">
      <x:c r="A680" s="31" t="inlineStr">
        <x:is>
          <x:t xml:space="preserve">ЗД-00679</x:t>
        </x:is>
      </x:c>
      <x:c r="B680" s="31" t="n">
        <x:v>46180</x:v>
      </x:c>
      <x:c r="C680" s="31" t="n">
        <x:v>46185</x:v>
      </x:c>
      <x:c r="D680" s="31" t="inlineStr">
        <x:is>
          <x:t xml:space="preserve">Ожидает ответа</x:t>
        </x:is>
      </x:c>
      <x:c r="E680" s="31" t="inlineStr">
        <x:is>
          <x:t xml:space="preserve">Средний</x:t>
        </x:is>
      </x:c>
      <x:c r="F680" s="31" t="inlineStr">
        <x:is>
          <x:t xml:space="preserve">СОТР-092</x:t>
        </x:is>
      </x:c>
      <x:c r="G680" s="31" t="inlineStr">
        <x:is>
          <x:t xml:space="preserve">ОТК</x:t>
        </x:is>
      </x:c>
      <x:c r="H680" s="31" t="inlineStr">
        <x:is>
          <x:t xml:space="preserve">ОТК-00167</x:t>
        </x:is>
      </x:c>
      <x:c r="I680" s="31" t="inlineStr">
        <x:is>
          <x:t xml:space="preserve">Заблокировать отгрузку</x:t>
        </x:is>
      </x:c>
      <x:c r="J680" s="31" t="inlineStr">
        <x:is>
          <x:t xml:space="preserve">Снабжение</x:t>
        </x:is>
      </x:c>
      <x:c r="K680" s="31" t="n">
        <x:v>0</x:v>
      </x:c>
      <x:c r="L680" s="31" t="inlineStr">
        <x:is>
          <x:t xml:space="preserve">Нет</x:t>
        </x:is>
      </x:c>
      <x:c r="M680" s="31" t="inlineStr">
        <x:is>
          <x:t xml:space="preserve">Нет</x:t>
        </x:is>
      </x:c>
      <x:c r="N680" s="31" t="inlineStr">
        <x:is>
          <x:t xml:space="preserve">Автосоздано правилом/пользователем 6</x:t>
        </x:is>
      </x:c>
    </x:row>
    <x:row r="681">
      <x:c r="A681" s="31" t="inlineStr">
        <x:is>
          <x:t xml:space="preserve">ЗД-00680</x:t>
        </x:is>
      </x:c>
      <x:c r="B681" s="31" t="n">
        <x:v>46168</x:v>
      </x:c>
      <x:c r="C681" s="31" t="n">
        <x:v>46182</x:v>
      </x:c>
      <x:c r="D681" s="31" t="inlineStr">
        <x:is>
          <x:t xml:space="preserve">Просрочена</x:t>
        </x:is>
      </x:c>
      <x:c r="E681" s="31" t="inlineStr">
        <x:is>
          <x:t xml:space="preserve">Высокий</x:t>
        </x:is>
      </x:c>
      <x:c r="F681" s="31" t="inlineStr">
        <x:is>
          <x:t xml:space="preserve">СОТР-095</x:t>
        </x:is>
      </x:c>
      <x:c r="G681" s="31" t="inlineStr">
        <x:is>
          <x:t xml:space="preserve">Производственное задание</x:t>
        </x:is>
      </x:c>
      <x:c r="H681" s="31" t="inlineStr">
        <x:is>
          <x:t xml:space="preserve">ПЗ-00033</x:t>
        </x:is>
      </x:c>
      <x:c r="I681" s="31" t="inlineStr">
        <x:is>
          <x:t xml:space="preserve">Проверить дефицит материалов</x:t>
        </x:is>
      </x:c>
      <x:c r="J681" s="31" t="inlineStr">
        <x:is>
          <x:t xml:space="preserve">ОТК</x:t>
        </x:is>
      </x:c>
      <x:c r="K681" s="31" t="n">
        <x:v>3</x:v>
      </x:c>
      <x:c r="L681" s="31" t="inlineStr">
        <x:is>
          <x:t xml:space="preserve">Нет</x:t>
        </x:is>
      </x:c>
      <x:c r="M681" s="31" t="inlineStr">
        <x:is>
          <x:t xml:space="preserve">Нет</x:t>
        </x:is>
      </x:c>
      <x:c r="N681" s="31" t="inlineStr">
        <x:is>
          <x:t xml:space="preserve">Автосоздано правилом/пользователем 8</x:t>
        </x:is>
      </x:c>
    </x:row>
    <x:row r="682">
      <x:c r="A682" s="31" t="inlineStr">
        <x:is>
          <x:t xml:space="preserve">ЗД-00681</x:t>
        </x:is>
      </x:c>
      <x:c r="B682" s="31" t="n">
        <x:v>46183</x:v>
      </x:c>
      <x:c r="C682" s="31" t="n">
        <x:v>46184</x:v>
      </x:c>
      <x:c r="D682" s="31" t="inlineStr">
        <x:is>
          <x:t xml:space="preserve">Просрочена</x:t>
        </x:is>
      </x:c>
      <x:c r="E682" s="31" t="inlineStr">
        <x:is>
          <x:t xml:space="preserve">Средний</x:t>
        </x:is>
      </x:c>
      <x:c r="F682" s="31" t="inlineStr">
        <x:is>
          <x:t xml:space="preserve">СОТР-099</x:t>
        </x:is>
      </x:c>
      <x:c r="G682" s="31" t="inlineStr">
        <x:is>
          <x:t xml:space="preserve">ОТК</x:t>
        </x:is>
      </x:c>
      <x:c r="H682" s="31" t="inlineStr">
        <x:is>
          <x:t xml:space="preserve">ОТК-00151</x:t>
        </x:is>
      </x:c>
      <x:c r="I682" s="31" t="inlineStr">
        <x:is>
          <x:t xml:space="preserve">Согласовать приемку с замечаниями</x:t>
        </x:is>
      </x:c>
      <x:c r="J682" s="31" t="inlineStr">
        <x:is>
          <x:t xml:space="preserve">Производство</x:t>
        </x:is>
      </x:c>
      <x:c r="K682" s="31" t="n">
        <x:v>1</x:v>
      </x:c>
      <x:c r="L682" s="31" t="inlineStr">
        <x:is>
          <x:t xml:space="preserve">Нет</x:t>
        </x:is>
      </x:c>
      <x:c r="M682" s="31" t="inlineStr">
        <x:is>
          <x:t xml:space="preserve">Нет</x:t>
        </x:is>
      </x:c>
      <x:c r="N682" s="31" t="inlineStr">
        <x:is>
          <x:t xml:space="preserve">Автосоздано правилом/пользователем 6</x:t>
        </x:is>
      </x:c>
    </x:row>
    <x:row r="683">
      <x:c r="A683" s="31" t="inlineStr">
        <x:is>
          <x:t xml:space="preserve">ЗД-00682</x:t>
        </x:is>
      </x:c>
      <x:c r="B683" s="31" t="n">
        <x:v>46132</x:v>
      </x:c>
      <x:c r="C683" s="31" t="n">
        <x:v>46137</x:v>
      </x:c>
      <x:c r="D683" s="31" t="inlineStr">
        <x:is>
          <x:t xml:space="preserve">Просрочена</x:t>
        </x:is>
      </x:c>
      <x:c r="E683" s="31" t="inlineStr">
        <x:is>
          <x:t xml:space="preserve">Средний</x:t>
        </x:is>
      </x:c>
      <x:c r="F683" s="31" t="inlineStr">
        <x:is>
          <x:t xml:space="preserve">СОТР-004</x:t>
        </x:is>
      </x:c>
      <x:c r="G683" s="31" t="inlineStr">
        <x:is>
          <x:t xml:space="preserve">Заказ</x:t>
        </x:is>
      </x:c>
      <x:c r="H683" s="31" t="inlineStr">
        <x:is>
          <x:t xml:space="preserve">ЗК-1115</x:t>
        </x:is>
      </x:c>
      <x:c r="I683" s="31" t="inlineStr">
        <x:is>
          <x:t xml:space="preserve">Подписать спецификацию</x:t>
        </x:is>
      </x:c>
      <x:c r="J683" s="31" t="inlineStr">
        <x:is>
          <x:t xml:space="preserve">Финансы</x:t>
        </x:is>
      </x:c>
      <x:c r="K683" s="31" t="n">
        <x:v>48</x:v>
      </x:c>
      <x:c r="L683" s="31" t="inlineStr">
        <x:is>
          <x:t xml:space="preserve">Нет</x:t>
        </x:is>
      </x:c>
      <x:c r="M683" s="31" t="inlineStr">
        <x:is>
          <x:t xml:space="preserve">Нет</x:t>
        </x:is>
      </x:c>
      <x:c r="N683" s="31" t="inlineStr">
        <x:is>
          <x:t xml:space="preserve">Автосоздано правилом/пользователем 1</x:t>
        </x:is>
      </x:c>
    </x:row>
    <x:row r="684">
      <x:c r="A684" s="31" t="inlineStr">
        <x:is>
          <x:t xml:space="preserve">ЗД-00683</x:t>
        </x:is>
      </x:c>
      <x:c r="B684" s="31" t="n">
        <x:v>46170</x:v>
      </x:c>
      <x:c r="C684" s="31" t="n">
        <x:v>46180</x:v>
      </x:c>
      <x:c r="D684" s="31" t="inlineStr">
        <x:is>
          <x:t xml:space="preserve">В работе</x:t>
        </x:is>
      </x:c>
      <x:c r="E684" s="31" t="inlineStr">
        <x:is>
          <x:t xml:space="preserve">Средний</x:t>
        </x:is>
      </x:c>
      <x:c r="F684" s="31" t="inlineStr">
        <x:is>
          <x:t xml:space="preserve">СОТР-093</x:t>
        </x:is>
      </x:c>
      <x:c r="G684" s="31" t="inlineStr">
        <x:is>
          <x:t xml:space="preserve">ОТК</x:t>
        </x:is>
      </x:c>
      <x:c r="H684" s="31" t="inlineStr">
        <x:is>
          <x:t xml:space="preserve">ОТК-00133</x:t>
        </x:is>
      </x:c>
      <x:c r="I684" s="31" t="inlineStr">
        <x:is>
          <x:t xml:space="preserve">Оформить корректирующие действия</x:t>
        </x:is>
      </x:c>
      <x:c r="J684" s="31" t="inlineStr">
        <x:is>
          <x:t xml:space="preserve">Производство</x:t>
        </x:is>
      </x:c>
      <x:c r="K684" s="31" t="n">
        <x:v>0</x:v>
      </x:c>
      <x:c r="L684" s="31" t="inlineStr">
        <x:is>
          <x:t xml:space="preserve">Нет</x:t>
        </x:is>
      </x:c>
      <x:c r="M684" s="31" t="inlineStr">
        <x:is>
          <x:t xml:space="preserve">Руководитель</x:t>
        </x:is>
      </x:c>
      <x:c r="N684" s="31" t="inlineStr">
        <x:is>
          <x:t xml:space="preserve">Автосоздано правилом/пользователем 10</x:t>
        </x:is>
      </x:c>
    </x:row>
    <x:row r="685">
      <x:c r="A685" s="31" t="inlineStr">
        <x:is>
          <x:t xml:space="preserve">ЗД-00684</x:t>
        </x:is>
      </x:c>
      <x:c r="B685" s="31" t="n">
        <x:v>46185</x:v>
      </x:c>
      <x:c r="C685" s="31" t="n">
        <x:v>46186</x:v>
      </x:c>
      <x:c r="D685" s="31" t="inlineStr">
        <x:is>
          <x:t xml:space="preserve">Ожидает ответа</x:t>
        </x:is>
      </x:c>
      <x:c r="E685" s="31" t="inlineStr">
        <x:is>
          <x:t xml:space="preserve">Средний</x:t>
        </x:is>
      </x:c>
      <x:c r="F685" s="31" t="inlineStr">
        <x:is>
          <x:t xml:space="preserve">СОТР-100</x:t>
        </x:is>
      </x:c>
      <x:c r="G685" s="31" t="inlineStr">
        <x:is>
          <x:t xml:space="preserve">Производственное задание</x:t>
        </x:is>
      </x:c>
      <x:c r="H685" s="31" t="inlineStr">
        <x:is>
          <x:t xml:space="preserve">ПЗ-00009</x:t>
        </x:is>
      </x:c>
      <x:c r="I685" s="31" t="inlineStr">
        <x:is>
          <x:t xml:space="preserve">Закрыть сменный факт</x:t>
        </x:is>
      </x:c>
      <x:c r="J685" s="31" t="inlineStr">
        <x:is>
          <x:t xml:space="preserve">ОТК</x:t>
        </x:is>
      </x:c>
      <x:c r="K685" s="31" t="n">
        <x:v>0</x:v>
      </x:c>
      <x:c r="L685" s="31" t="inlineStr">
        <x:is>
          <x:t xml:space="preserve">Нет</x:t>
        </x:is>
      </x:c>
      <x:c r="M685" s="31" t="inlineStr">
        <x:is>
          <x:t xml:space="preserve">Руководитель</x:t>
        </x:is>
      </x:c>
      <x:c r="N685" s="31" t="inlineStr">
        <x:is>
          <x:t xml:space="preserve">Автосоздано правилом/пользователем 6</x:t>
        </x:is>
      </x:c>
    </x:row>
    <x:row r="686">
      <x:c r="A686" s="31" t="inlineStr">
        <x:is>
          <x:t xml:space="preserve">ЗД-00685</x:t>
        </x:is>
      </x:c>
      <x:c r="B686" s="31" t="n">
        <x:v>46183</x:v>
      </x:c>
      <x:c r="C686" s="31" t="n">
        <x:v>46197</x:v>
      </x:c>
      <x:c r="D686" s="31" t="inlineStr">
        <x:is>
          <x:t xml:space="preserve">В работе</x:t>
        </x:is>
      </x:c>
      <x:c r="E686" s="31" t="inlineStr">
        <x:is>
          <x:t xml:space="preserve">Средний</x:t>
        </x:is>
      </x:c>
      <x:c r="F686" s="31" t="inlineStr">
        <x:is>
          <x:t xml:space="preserve">СОТР-092</x:t>
        </x:is>
      </x:c>
      <x:c r="G686" s="31" t="inlineStr">
        <x:is>
          <x:t xml:space="preserve">ОТК</x:t>
        </x:is>
      </x:c>
      <x:c r="H686" s="31" t="inlineStr">
        <x:is>
          <x:t xml:space="preserve">ОТК-00130</x:t>
        </x:is>
      </x:c>
      <x:c r="I686" s="31" t="inlineStr">
        <x:is>
          <x:t xml:space="preserve">Оформить корректирующие действия</x:t>
        </x:is>
      </x:c>
      <x:c r="J686" s="31" t="inlineStr">
        <x:is>
          <x:t xml:space="preserve">Финансы</x:t>
        </x:is>
      </x:c>
      <x:c r="K686" s="31" t="n">
        <x:v>0</x:v>
      </x:c>
      <x:c r="L686" s="31" t="inlineStr">
        <x:is>
          <x:t xml:space="preserve">Да</x:t>
        </x:is>
      </x:c>
      <x:c r="M686" s="31" t="inlineStr">
        <x:is>
          <x:t xml:space="preserve">Руководитель</x:t>
        </x:is>
      </x:c>
      <x:c r="N686" s="31" t="inlineStr">
        <x:is>
          <x:t xml:space="preserve">Автосоздано правилом/пользователем 1</x:t>
        </x:is>
      </x:c>
    </x:row>
    <x:row r="687">
      <x:c r="A687" s="31" t="inlineStr">
        <x:is>
          <x:t xml:space="preserve">ЗД-00686</x:t>
        </x:is>
      </x:c>
      <x:c r="B687" s="31" t="n">
        <x:v>46159</x:v>
      </x:c>
      <x:c r="C687" s="31" t="n">
        <x:v>46160</x:v>
      </x:c>
      <x:c r="D687" s="31" t="inlineStr">
        <x:is>
          <x:t xml:space="preserve">Выполнена</x:t>
        </x:is>
      </x:c>
      <x:c r="E687" s="31" t="inlineStr">
        <x:is>
          <x:t xml:space="preserve">Средний</x:t>
        </x:is>
      </x:c>
      <x:c r="F687" s="31" t="inlineStr">
        <x:is>
          <x:t xml:space="preserve">СОТР-026</x:t>
        </x:is>
      </x:c>
      <x:c r="G687" s="31" t="inlineStr">
        <x:is>
          <x:t xml:space="preserve">Производственное задание</x:t>
        </x:is>
      </x:c>
      <x:c r="H687" s="31" t="inlineStr">
        <x:is>
          <x:t xml:space="preserve">ПЗ-00065</x:t>
        </x:is>
      </x:c>
      <x:c r="I687" s="31" t="inlineStr">
        <x:is>
          <x:t xml:space="preserve">Проверить дефицит материалов</x:t>
        </x:is>
      </x:c>
      <x:c r="J687" s="31" t="inlineStr">
        <x:is>
          <x:t xml:space="preserve">Продажи</x:t>
        </x:is>
      </x:c>
      <x:c r="K687" s="31" t="n">
        <x:v>0</x:v>
      </x:c>
      <x:c r="L687" s="31" t="inlineStr">
        <x:is>
          <x:t xml:space="preserve">Нет</x:t>
        </x:is>
      </x:c>
      <x:c r="M687" s="31" t="inlineStr">
        <x:is>
          <x:t xml:space="preserve">Нет</x:t>
        </x:is>
      </x:c>
      <x:c r="N687" s="31" t="inlineStr">
        <x:is>
          <x:t xml:space="preserve">Автосоздано правилом/пользователем 12</x:t>
        </x:is>
      </x:c>
    </x:row>
    <x:row r="688">
      <x:c r="A688" s="31" t="inlineStr">
        <x:is>
          <x:t xml:space="preserve">ЗД-00687</x:t>
        </x:is>
      </x:c>
      <x:c r="B688" s="31" t="n">
        <x:v>46115</x:v>
      </x:c>
      <x:c r="C688" s="31" t="n">
        <x:v>46122</x:v>
      </x:c>
      <x:c r="D688" s="31" t="inlineStr">
        <x:is>
          <x:t xml:space="preserve">Ожидает ответа</x:t>
        </x:is>
      </x:c>
      <x:c r="E688" s="31" t="inlineStr">
        <x:is>
          <x:t xml:space="preserve">Высокий</x:t>
        </x:is>
      </x:c>
      <x:c r="F688" s="31" t="inlineStr">
        <x:is>
          <x:t xml:space="preserve">СОТР-026</x:t>
        </x:is>
      </x:c>
      <x:c r="G688" s="31" t="inlineStr">
        <x:is>
          <x:t xml:space="preserve">Заказ</x:t>
        </x:is>
      </x:c>
      <x:c r="H688" s="31" t="inlineStr">
        <x:is>
          <x:t xml:space="preserve">ЗК-1030</x:t>
        </x:is>
      </x:c>
      <x:c r="I688" s="31" t="inlineStr">
        <x:is>
          <x:t xml:space="preserve">Уточнить ТЗ</x:t>
        </x:is>
      </x:c>
      <x:c r="J688" s="31" t="inlineStr">
        <x:is>
          <x:t xml:space="preserve">Финансы</x:t>
        </x:is>
      </x:c>
      <x:c r="K688" s="31" t="n">
        <x:v>0</x:v>
      </x:c>
      <x:c r="L688" s="31" t="inlineStr">
        <x:is>
          <x:t xml:space="preserve">Нет</x:t>
        </x:is>
      </x:c>
      <x:c r="M688" s="31" t="inlineStr">
        <x:is>
          <x:t xml:space="preserve">Нет</x:t>
        </x:is>
      </x:c>
      <x:c r="N688" s="31" t="inlineStr">
        <x:is>
          <x:t xml:space="preserve">Автосоздано правилом/пользователем 10</x:t>
        </x:is>
      </x:c>
    </x:row>
    <x:row r="689">
      <x:c r="A689" s="31" t="inlineStr">
        <x:is>
          <x:t xml:space="preserve">ЗД-00688</x:t>
        </x:is>
      </x:c>
      <x:c r="B689" s="31" t="n">
        <x:v>46168</x:v>
      </x:c>
      <x:c r="C689" s="31" t="n">
        <x:v>46178</x:v>
      </x:c>
      <x:c r="D689" s="31" t="inlineStr">
        <x:is>
          <x:t xml:space="preserve">Новая</x:t>
        </x:is>
      </x:c>
      <x:c r="E689" s="31" t="inlineStr">
        <x:is>
          <x:t xml:space="preserve">Высокий</x:t>
        </x:is>
      </x:c>
      <x:c r="F689" s="31" t="inlineStr">
        <x:is>
          <x:t xml:space="preserve">СОТР-023</x:t>
        </x:is>
      </x:c>
      <x:c r="G689" s="31" t="inlineStr">
        <x:is>
          <x:t xml:space="preserve">Закупка</x:t>
        </x:is>
      </x:c>
      <x:c r="H689" s="31" t="inlineStr">
        <x:is>
          <x:t xml:space="preserve">ЗЗ-00043</x:t>
        </x:is>
      </x:c>
      <x:c r="I689" s="31" t="inlineStr">
        <x:is>
          <x:t xml:space="preserve">Уточнить сертификаты</x:t>
        </x:is>
      </x:c>
      <x:c r="J689" s="31" t="inlineStr">
        <x:is>
          <x:t xml:space="preserve">Снабжение</x:t>
        </x:is>
      </x:c>
      <x:c r="K689" s="31" t="n">
        <x:v>0</x:v>
      </x:c>
      <x:c r="L689" s="31" t="inlineStr">
        <x:is>
          <x:t xml:space="preserve">Нет</x:t>
        </x:is>
      </x:c>
      <x:c r="M689" s="31" t="inlineStr">
        <x:is>
          <x:t xml:space="preserve">Нет</x:t>
        </x:is>
      </x:c>
      <x:c r="N689" s="31" t="inlineStr">
        <x:is>
          <x:t xml:space="preserve">Автосоздано правилом/пользователем 9</x:t>
        </x:is>
      </x:c>
    </x:row>
    <x:row r="690">
      <x:c r="A690" s="31" t="inlineStr">
        <x:is>
          <x:t xml:space="preserve">ЗД-00689</x:t>
        </x:is>
      </x:c>
      <x:c r="B690" s="31" t="n">
        <x:v>46112</x:v>
      </x:c>
      <x:c r="C690" s="31" t="n">
        <x:v>46126</x:v>
      </x:c>
      <x:c r="D690" s="31" t="inlineStr">
        <x:is>
          <x:t xml:space="preserve">Просрочена</x:t>
        </x:is>
      </x:c>
      <x:c r="E690" s="31" t="inlineStr">
        <x:is>
          <x:t xml:space="preserve">Средний</x:t>
        </x:is>
      </x:c>
      <x:c r="F690" s="31" t="inlineStr">
        <x:is>
          <x:t xml:space="preserve">СОТР-088</x:t>
        </x:is>
      </x:c>
      <x:c r="G690" s="31" t="inlineStr">
        <x:is>
          <x:t xml:space="preserve">Производственное задание</x:t>
        </x:is>
      </x:c>
      <x:c r="H690" s="31" t="inlineStr">
        <x:is>
          <x:t xml:space="preserve">ПЗ-00111</x:t>
        </x:is>
      </x:c>
      <x:c r="I690" s="31" t="inlineStr">
        <x:is>
          <x:t xml:space="preserve">Закрыть сменный факт</x:t>
        </x:is>
      </x:c>
      <x:c r="J690" s="31" t="inlineStr">
        <x:is>
          <x:t xml:space="preserve">Производство</x:t>
        </x:is>
      </x:c>
      <x:c r="K690" s="31" t="n">
        <x:v>59</x:v>
      </x:c>
      <x:c r="L690" s="31" t="inlineStr">
        <x:is>
          <x:t xml:space="preserve">Да</x:t>
        </x:is>
      </x:c>
      <x:c r="M690" s="31" t="inlineStr">
        <x:is>
          <x:t xml:space="preserve">Руководитель</x:t>
        </x:is>
      </x:c>
      <x:c r="N690" s="31" t="inlineStr">
        <x:is>
          <x:t xml:space="preserve">Автосоздано правилом/пользователем 8</x:t>
        </x:is>
      </x:c>
    </x:row>
    <x:row r="691">
      <x:c r="A691" s="31" t="inlineStr">
        <x:is>
          <x:t xml:space="preserve">ЗД-00690</x:t>
        </x:is>
      </x:c>
      <x:c r="B691" s="31" t="n">
        <x:v>46160</x:v>
      </x:c>
      <x:c r="C691" s="31" t="n">
        <x:v>46161</x:v>
      </x:c>
      <x:c r="D691" s="31" t="inlineStr">
        <x:is>
          <x:t xml:space="preserve">Выполнена</x:t>
        </x:is>
      </x:c>
      <x:c r="E691" s="31" t="inlineStr">
        <x:is>
          <x:t xml:space="preserve">Средний</x:t>
        </x:is>
      </x:c>
      <x:c r="F691" s="31" t="inlineStr">
        <x:is>
          <x:t xml:space="preserve">СОТР-022</x:t>
        </x:is>
      </x:c>
      <x:c r="G691" s="31" t="inlineStr">
        <x:is>
          <x:t xml:space="preserve">Закупка</x:t>
        </x:is>
      </x:c>
      <x:c r="H691" s="31" t="inlineStr">
        <x:is>
          <x:t xml:space="preserve">ЗЗ-00039</x:t>
        </x:is>
      </x:c>
      <x:c r="I691" s="31" t="inlineStr">
        <x:is>
          <x:t xml:space="preserve">Уточнить сертификаты</x:t>
        </x:is>
      </x:c>
      <x:c r="J691" s="31" t="inlineStr">
        <x:is>
          <x:t xml:space="preserve">Снабжение</x:t>
        </x:is>
      </x:c>
      <x:c r="K691" s="31" t="n">
        <x:v>0</x:v>
      </x:c>
      <x:c r="L691" s="31" t="inlineStr">
        <x:is>
          <x:t xml:space="preserve">Нет</x:t>
        </x:is>
      </x:c>
      <x:c r="M691" s="31" t="inlineStr">
        <x:is>
          <x:t xml:space="preserve">Нет</x:t>
        </x:is>
      </x:c>
      <x:c r="N691" s="31" t="inlineStr">
        <x:is>
          <x:t xml:space="preserve">Автосоздано правилом/пользователем 9</x:t>
        </x:is>
      </x:c>
    </x:row>
    <x:row r="692">
      <x:c r="A692" s="31" t="inlineStr">
        <x:is>
          <x:t xml:space="preserve">ЗД-00691</x:t>
        </x:is>
      </x:c>
      <x:c r="B692" s="31" t="n">
        <x:v>46126</x:v>
      </x:c>
      <x:c r="C692" s="31" t="n">
        <x:v>46136</x:v>
      </x:c>
      <x:c r="D692" s="31" t="inlineStr">
        <x:is>
          <x:t xml:space="preserve">В работе</x:t>
        </x:is>
      </x:c>
      <x:c r="E692" s="31" t="inlineStr">
        <x:is>
          <x:t xml:space="preserve">Средний</x:t>
        </x:is>
      </x:c>
      <x:c r="F692" s="31" t="inlineStr">
        <x:is>
          <x:t xml:space="preserve">СОТР-076</x:t>
        </x:is>
      </x:c>
      <x:c r="G692" s="31" t="inlineStr">
        <x:is>
          <x:t xml:space="preserve">Счет</x:t>
        </x:is>
      </x:c>
      <x:c r="H692" s="31" t="inlineStr">
        <x:is>
          <x:t xml:space="preserve">СЧ-1008-1</x:t>
        </x:is>
      </x:c>
      <x:c r="I692" s="31" t="inlineStr">
        <x:is>
          <x:t xml:space="preserve">Подготовить акт сверки</x:t>
        </x:is>
      </x:c>
      <x:c r="J692" s="31" t="inlineStr">
        <x:is>
          <x:t xml:space="preserve">ОТК</x:t>
        </x:is>
      </x:c>
      <x:c r="K692" s="31" t="n">
        <x:v>0</x:v>
      </x:c>
      <x:c r="L692" s="31" t="inlineStr">
        <x:is>
          <x:t xml:space="preserve">Нет</x:t>
        </x:is>
      </x:c>
      <x:c r="M692" s="31" t="inlineStr">
        <x:is>
          <x:t xml:space="preserve">Нет</x:t>
        </x:is>
      </x:c>
      <x:c r="N692" s="31" t="inlineStr">
        <x:is>
          <x:t xml:space="preserve">Автосоздано правилом/пользователем 5</x:t>
        </x:is>
      </x:c>
    </x:row>
    <x:row r="693">
      <x:c r="A693" s="31" t="inlineStr">
        <x:is>
          <x:t xml:space="preserve">ЗД-00692</x:t>
        </x:is>
      </x:c>
      <x:c r="B693" s="31" t="n">
        <x:v>46116</x:v>
      </x:c>
      <x:c r="C693" s="31" t="n">
        <x:v>46119</x:v>
      </x:c>
      <x:c r="D693" s="31" t="inlineStr">
        <x:is>
          <x:t xml:space="preserve">Просрочена</x:t>
        </x:is>
      </x:c>
      <x:c r="E693" s="31" t="inlineStr">
        <x:is>
          <x:t xml:space="preserve">Средний</x:t>
        </x:is>
      </x:c>
      <x:c r="F693" s="31" t="inlineStr">
        <x:is>
          <x:t xml:space="preserve">СОТР-099</x:t>
        </x:is>
      </x:c>
      <x:c r="G693" s="31" t="inlineStr">
        <x:is>
          <x:t xml:space="preserve">ОТК</x:t>
        </x:is>
      </x:c>
      <x:c r="H693" s="31" t="inlineStr">
        <x:is>
          <x:t xml:space="preserve">ОТК-00007</x:t>
        </x:is>
      </x:c>
      <x:c r="I693" s="31" t="inlineStr">
        <x:is>
          <x:t xml:space="preserve">Проверить доработку</x:t>
        </x:is>
      </x:c>
      <x:c r="J693" s="31" t="inlineStr">
        <x:is>
          <x:t xml:space="preserve">Производство</x:t>
        </x:is>
      </x:c>
      <x:c r="K693" s="31" t="n">
        <x:v>66</x:v>
      </x:c>
      <x:c r="L693" s="31" t="inlineStr">
        <x:is>
          <x:t xml:space="preserve">Нет</x:t>
        </x:is>
      </x:c>
      <x:c r="M693" s="31" t="inlineStr">
        <x:is>
          <x:t xml:space="preserve">Нет</x:t>
        </x:is>
      </x:c>
      <x:c r="N693" s="31" t="inlineStr">
        <x:is>
          <x:t xml:space="preserve">Автосоздано правилом/пользователем 8</x:t>
        </x:is>
      </x:c>
    </x:row>
    <x:row r="694">
      <x:c r="A694" s="31" t="inlineStr">
        <x:is>
          <x:t xml:space="preserve">ЗД-00693</x:t>
        </x:is>
      </x:c>
      <x:c r="B694" s="31" t="n">
        <x:v>46172</x:v>
      </x:c>
      <x:c r="C694" s="31" t="n">
        <x:v>46179</x:v>
      </x:c>
      <x:c r="D694" s="31" t="inlineStr">
        <x:is>
          <x:t xml:space="preserve">Выполнена</x:t>
        </x:is>
      </x:c>
      <x:c r="E694" s="31" t="inlineStr">
        <x:is>
          <x:t xml:space="preserve">Средний</x:t>
        </x:is>
      </x:c>
      <x:c r="F694" s="31" t="inlineStr">
        <x:is>
          <x:t xml:space="preserve">СОТР-099</x:t>
        </x:is>
      </x:c>
      <x:c r="G694" s="31" t="inlineStr">
        <x:is>
          <x:t xml:space="preserve">Производственное задание</x:t>
        </x:is>
      </x:c>
      <x:c r="H694" s="31" t="inlineStr">
        <x:is>
          <x:t xml:space="preserve">ПЗ-00105</x:t>
        </x:is>
      </x:c>
      <x:c r="I694" s="31" t="inlineStr">
        <x:is>
          <x:t xml:space="preserve">Проверить дефицит материалов</x:t>
        </x:is>
      </x:c>
      <x:c r="J694" s="31" t="inlineStr">
        <x:is>
          <x:t xml:space="preserve">Производство</x:t>
        </x:is>
      </x:c>
      <x:c r="K694" s="31" t="n">
        <x:v>0</x:v>
      </x:c>
      <x:c r="L694" s="31" t="inlineStr">
        <x:is>
          <x:t xml:space="preserve">Нет</x:t>
        </x:is>
      </x:c>
      <x:c r="M694" s="31" t="inlineStr">
        <x:is>
          <x:t xml:space="preserve">Заказчик</x:t>
        </x:is>
      </x:c>
      <x:c r="N694" s="31" t="inlineStr">
        <x:is>
          <x:t xml:space="preserve">Автосоздано правилом/пользователем 1</x:t>
        </x:is>
      </x:c>
    </x:row>
    <x:row r="695">
      <x:c r="A695" s="31" t="inlineStr">
        <x:is>
          <x:t xml:space="preserve">ЗД-00694</x:t>
        </x:is>
      </x:c>
      <x:c r="B695" s="31" t="n">
        <x:v>46125</x:v>
      </x:c>
      <x:c r="C695" s="31" t="n">
        <x:v>46139</x:v>
      </x:c>
      <x:c r="D695" s="31" t="inlineStr">
        <x:is>
          <x:t xml:space="preserve">Новая</x:t>
        </x:is>
      </x:c>
      <x:c r="E695" s="31" t="inlineStr">
        <x:is>
          <x:t xml:space="preserve">Высокий</x:t>
        </x:is>
      </x:c>
      <x:c r="F695" s="31" t="inlineStr">
        <x:is>
          <x:t xml:space="preserve">СОТР-093</x:t>
        </x:is>
      </x:c>
      <x:c r="G695" s="31" t="inlineStr">
        <x:is>
          <x:t xml:space="preserve">Производственное задание</x:t>
        </x:is>
      </x:c>
      <x:c r="H695" s="31" t="inlineStr">
        <x:is>
          <x:t xml:space="preserve">ПЗ-00005</x:t>
        </x:is>
      </x:c>
      <x:c r="I695" s="31" t="inlineStr">
        <x:is>
          <x:t xml:space="preserve">Проверить дефицит материалов</x:t>
        </x:is>
      </x:c>
      <x:c r="J695" s="31" t="inlineStr">
        <x:is>
          <x:t xml:space="preserve">Продажи</x:t>
        </x:is>
      </x:c>
      <x:c r="K695" s="31" t="n">
        <x:v>0</x:v>
      </x:c>
      <x:c r="L695" s="31" t="inlineStr">
        <x:is>
          <x:t xml:space="preserve">Нет</x:t>
        </x:is>
      </x:c>
      <x:c r="M695" s="31" t="inlineStr">
        <x:is>
          <x:t xml:space="preserve">Руководитель</x:t>
        </x:is>
      </x:c>
      <x:c r="N695" s="31" t="inlineStr">
        <x:is>
          <x:t xml:space="preserve">Автосоздано правилом/пользователем 8</x:t>
        </x:is>
      </x:c>
    </x:row>
    <x:row r="696">
      <x:c r="A696" s="31" t="inlineStr">
        <x:is>
          <x:t xml:space="preserve">ЗД-00695</x:t>
        </x:is>
      </x:c>
      <x:c r="B696" s="31" t="n">
        <x:v>46167</x:v>
      </x:c>
      <x:c r="C696" s="31" t="n">
        <x:v>46169</x:v>
      </x:c>
      <x:c r="D696" s="31" t="inlineStr">
        <x:is>
          <x:t xml:space="preserve">Просрочена</x:t>
        </x:is>
      </x:c>
      <x:c r="E696" s="31" t="inlineStr">
        <x:is>
          <x:t xml:space="preserve">Средний</x:t>
        </x:is>
      </x:c>
      <x:c r="F696" s="31" t="inlineStr">
        <x:is>
          <x:t xml:space="preserve">СОТР-120</x:t>
        </x:is>
      </x:c>
      <x:c r="G696" s="31" t="inlineStr">
        <x:is>
          <x:t xml:space="preserve">Рекламация</x:t>
        </x:is>
      </x:c>
      <x:c r="H696" s="31" t="inlineStr">
        <x:is>
          <x:t xml:space="preserve">РЕК-00021</x:t>
        </x:is>
      </x:c>
      <x:c r="I696" s="31" t="inlineStr">
        <x:is>
          <x:t xml:space="preserve">Подготовить отчет</x:t>
        </x:is>
      </x:c>
      <x:c r="J696" s="31" t="inlineStr">
        <x:is>
          <x:t xml:space="preserve">Продажи</x:t>
        </x:is>
      </x:c>
      <x:c r="K696" s="31" t="n">
        <x:v>16</x:v>
      </x:c>
      <x:c r="L696" s="31" t="inlineStr">
        <x:is>
          <x:t xml:space="preserve">Нет</x:t>
        </x:is>
      </x:c>
      <x:c r="M696" s="31" t="inlineStr">
        <x:is>
          <x:t xml:space="preserve">Руководитель</x:t>
        </x:is>
      </x:c>
      <x:c r="N696" s="31" t="inlineStr">
        <x:is>
          <x:t xml:space="preserve">Автосоздано правилом/пользователем 4</x:t>
        </x:is>
      </x:c>
    </x:row>
    <x:row r="697">
      <x:c r="A697" s="31" t="inlineStr">
        <x:is>
          <x:t xml:space="preserve">ЗД-00696</x:t>
        </x:is>
      </x:c>
      <x:c r="B697" s="31" t="n">
        <x:v>46126</x:v>
      </x:c>
      <x:c r="C697" s="31" t="n">
        <x:v>46131</x:v>
      </x:c>
      <x:c r="D697" s="31" t="inlineStr">
        <x:is>
          <x:t xml:space="preserve">Выполнена</x:t>
        </x:is>
      </x:c>
      <x:c r="E697" s="31" t="inlineStr">
        <x:is>
          <x:t xml:space="preserve">Высокий</x:t>
        </x:is>
      </x:c>
      <x:c r="F697" s="31" t="inlineStr">
        <x:is>
          <x:t xml:space="preserve">СОТР-028</x:t>
        </x:is>
      </x:c>
      <x:c r="G697" s="31" t="inlineStr">
        <x:is>
          <x:t xml:space="preserve">Закупка</x:t>
        </x:is>
      </x:c>
      <x:c r="H697" s="31" t="inlineStr">
        <x:is>
          <x:t xml:space="preserve">ЗЗ-00019</x:t>
        </x:is>
      </x:c>
      <x:c r="I697" s="31" t="inlineStr">
        <x:is>
          <x:t xml:space="preserve">Уточнить сертификаты</x:t>
        </x:is>
      </x:c>
      <x:c r="J697" s="31" t="inlineStr">
        <x:is>
          <x:t xml:space="preserve">Продажи</x:t>
        </x:is>
      </x:c>
      <x:c r="K697" s="31" t="n">
        <x:v>0</x:v>
      </x:c>
      <x:c r="L697" s="31" t="inlineStr">
        <x:is>
          <x:t xml:space="preserve">Нет</x:t>
        </x:is>
      </x:c>
      <x:c r="M697" s="31" t="inlineStr">
        <x:is>
          <x:t xml:space="preserve">Нет</x:t>
        </x:is>
      </x:c>
      <x:c r="N697" s="31" t="inlineStr">
        <x:is>
          <x:t xml:space="preserve">Автосоздано правилом/пользователем 10</x:t>
        </x:is>
      </x:c>
    </x:row>
    <x:row r="698">
      <x:c r="A698" s="31" t="inlineStr">
        <x:is>
          <x:t xml:space="preserve">ЗД-00697</x:t>
        </x:is>
      </x:c>
      <x:c r="B698" s="31" t="n">
        <x:v>46133</x:v>
      </x:c>
      <x:c r="C698" s="31" t="n">
        <x:v>46134</x:v>
      </x:c>
      <x:c r="D698" s="31" t="inlineStr">
        <x:is>
          <x:t xml:space="preserve">В работе</x:t>
        </x:is>
      </x:c>
      <x:c r="E698" s="31" t="inlineStr">
        <x:is>
          <x:t xml:space="preserve">Средний</x:t>
        </x:is>
      </x:c>
      <x:c r="F698" s="31" t="inlineStr">
        <x:is>
          <x:t xml:space="preserve">СОТР-076</x:t>
        </x:is>
      </x:c>
      <x:c r="G698" s="31" t="inlineStr">
        <x:is>
          <x:t xml:space="preserve">Счет</x:t>
        </x:is>
      </x:c>
      <x:c r="H698" s="31" t="inlineStr">
        <x:is>
          <x:t xml:space="preserve">СЧ-1116-1</x:t>
        </x:is>
      </x:c>
      <x:c r="I698" s="31" t="inlineStr">
        <x:is>
          <x:t xml:space="preserve">Подготовить акт сверки</x:t>
        </x:is>
      </x:c>
      <x:c r="J698" s="31" t="inlineStr">
        <x:is>
          <x:t xml:space="preserve">Сервис</x:t>
        </x:is>
      </x:c>
      <x:c r="K698" s="31" t="n">
        <x:v>0</x:v>
      </x:c>
      <x:c r="L698" s="31" t="inlineStr">
        <x:is>
          <x:t xml:space="preserve">Нет</x:t>
        </x:is>
      </x:c>
      <x:c r="M698" s="31" t="inlineStr">
        <x:is>
          <x:t xml:space="preserve">Поставщик</x:t>
        </x:is>
      </x:c>
      <x:c r="N698" s="31" t="inlineStr">
        <x:is>
          <x:t xml:space="preserve">Автосоздано правилом/пользователем 5</x:t>
        </x:is>
      </x:c>
    </x:row>
    <x:row r="699">
      <x:c r="A699" s="31" t="inlineStr">
        <x:is>
          <x:t xml:space="preserve">ЗД-00698</x:t>
        </x:is>
      </x:c>
      <x:c r="B699" s="31" t="n">
        <x:v>46137</x:v>
      </x:c>
      <x:c r="C699" s="31" t="n">
        <x:v>46151</x:v>
      </x:c>
      <x:c r="D699" s="31" t="inlineStr">
        <x:is>
          <x:t xml:space="preserve">Просрочена</x:t>
        </x:is>
      </x:c>
      <x:c r="E699" s="31" t="inlineStr">
        <x:is>
          <x:t xml:space="preserve">Средний</x:t>
        </x:is>
      </x:c>
      <x:c r="F699" s="31" t="inlineStr">
        <x:is>
          <x:t xml:space="preserve">СОТР-075</x:t>
        </x:is>
      </x:c>
      <x:c r="G699" s="31" t="inlineStr">
        <x:is>
          <x:t xml:space="preserve">Рекламация</x:t>
        </x:is>
      </x:c>
      <x:c r="H699" s="31" t="inlineStr">
        <x:is>
          <x:t xml:space="preserve">РЕК-00001</x:t>
        </x:is>
      </x:c>
      <x:c r="I699" s="31" t="inlineStr">
        <x:is>
          <x:t xml:space="preserve">Закрыть обращение</x:t>
        </x:is>
      </x:c>
      <x:c r="J699" s="31" t="inlineStr">
        <x:is>
          <x:t xml:space="preserve">Финансы</x:t>
        </x:is>
      </x:c>
      <x:c r="K699" s="31" t="n">
        <x:v>34</x:v>
      </x:c>
      <x:c r="L699" s="31" t="inlineStr">
        <x:is>
          <x:t xml:space="preserve">Нет</x:t>
        </x:is>
      </x:c>
      <x:c r="M699" s="31" t="inlineStr">
        <x:is>
          <x:t xml:space="preserve">Нет</x:t>
        </x:is>
      </x:c>
      <x:c r="N699" s="31" t="inlineStr">
        <x:is>
          <x:t xml:space="preserve">Автосоздано правилом/пользователем 7</x:t>
        </x:is>
      </x:c>
    </x:row>
    <x:row r="700">
      <x:c r="A700" s="31" t="inlineStr">
        <x:is>
          <x:t xml:space="preserve">ЗД-00699</x:t>
        </x:is>
      </x:c>
      <x:c r="B700" s="31" t="n">
        <x:v>46134</x:v>
      </x:c>
      <x:c r="C700" s="31" t="n">
        <x:v>46148</x:v>
      </x:c>
      <x:c r="D700" s="31" t="inlineStr">
        <x:is>
          <x:t xml:space="preserve">Просрочена</x:t>
        </x:is>
      </x:c>
      <x:c r="E700" s="31" t="inlineStr">
        <x:is>
          <x:t xml:space="preserve">Низкий</x:t>
        </x:is>
      </x:c>
      <x:c r="F700" s="31" t="inlineStr">
        <x:is>
          <x:t xml:space="preserve">СОТР-092</x:t>
        </x:is>
      </x:c>
      <x:c r="G700" s="31" t="inlineStr">
        <x:is>
          <x:t xml:space="preserve">ОТК</x:t>
        </x:is>
      </x:c>
      <x:c r="H700" s="31" t="inlineStr">
        <x:is>
          <x:t xml:space="preserve">ОТК-00118</x:t>
        </x:is>
      </x:c>
      <x:c r="I700" s="31" t="inlineStr">
        <x:is>
          <x:t xml:space="preserve">Согласовать приемку с замечаниями</x:t>
        </x:is>
      </x:c>
      <x:c r="J700" s="31" t="inlineStr">
        <x:is>
          <x:t xml:space="preserve">Снабжение</x:t>
        </x:is>
      </x:c>
      <x:c r="K700" s="31" t="n">
        <x:v>37</x:v>
      </x:c>
      <x:c r="L700" s="31" t="inlineStr">
        <x:is>
          <x:t xml:space="preserve">Да</x:t>
        </x:is>
      </x:c>
      <x:c r="M700" s="31" t="inlineStr">
        <x:is>
          <x:t xml:space="preserve">Нет</x:t>
        </x:is>
      </x:c>
      <x:c r="N700" s="31" t="inlineStr">
        <x:is>
          <x:t xml:space="preserve">Автосоздано правилом/пользователем 6</x:t>
        </x:is>
      </x:c>
    </x:row>
    <x:row r="701">
      <x:c r="A701" s="31" t="inlineStr">
        <x:is>
          <x:t xml:space="preserve">ЗД-00700</x:t>
        </x:is>
      </x:c>
      <x:c r="B701" s="31" t="n">
        <x:v>46185</x:v>
      </x:c>
      <x:c r="C701" s="31" t="n">
        <x:v>46192</x:v>
      </x:c>
      <x:c r="D701" s="31" t="inlineStr">
        <x:is>
          <x:t xml:space="preserve">Выполнена</x:t>
        </x:is>
      </x:c>
      <x:c r="E701" s="31" t="inlineStr">
        <x:is>
          <x:t xml:space="preserve">Низкий</x:t>
        </x:is>
      </x:c>
      <x:c r="F701" s="31" t="inlineStr">
        <x:is>
          <x:t xml:space="preserve">СОТР-073</x:t>
        </x:is>
      </x:c>
      <x:c r="G701" s="31" t="inlineStr">
        <x:is>
          <x:t xml:space="preserve">Производственное задание</x:t>
        </x:is>
      </x:c>
      <x:c r="H701" s="31" t="inlineStr">
        <x:is>
          <x:t xml:space="preserve">ПЗ-00118</x:t>
        </x:is>
      </x:c>
      <x:c r="I701" s="31" t="inlineStr">
        <x:is>
          <x:t xml:space="preserve">Закрыть сменный факт</x:t>
        </x:is>
      </x:c>
      <x:c r="J701" s="31" t="inlineStr">
        <x:is>
          <x:t xml:space="preserve">Продажи</x:t>
        </x:is>
      </x:c>
      <x:c r="K701" s="31" t="n">
        <x:v>0</x:v>
      </x:c>
      <x:c r="L701" s="31" t="inlineStr">
        <x:is>
          <x:t xml:space="preserve">Нет</x:t>
        </x:is>
      </x:c>
      <x:c r="M701" s="31" t="inlineStr">
        <x:is>
          <x:t xml:space="preserve">Нет</x:t>
        </x:is>
      </x:c>
      <x:c r="N701" s="31" t="inlineStr">
        <x:is>
          <x:t xml:space="preserve">Автосоздано правилом/пользователем 9</x:t>
        </x:is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8" customWidth="1"/>
    <x:col min="3" max="3" width="13" customWidth="1"/>
    <x:col min="4" max="4" width="21" customWidth="1"/>
    <x:col min="5" max="5" width="16" customWidth="1"/>
    <x:col min="6" max="6" width="19" customWidth="1"/>
    <x:col min="7" max="7" width="13" customWidth="1"/>
    <x:col min="8" max="8" width="15" customWidth="1"/>
    <x:col min="9" max="9" width="10" customWidth="1"/>
    <x:col min="10" max="10" width="12" customWidth="1"/>
    <x:col min="11" max="11" width="37" customWidth="1"/>
  </x:cols>
  <x:sheetData>
    <x:row r="1" ht="18" customHeight="1">
      <x:c r="A1" s="30" t="inlineStr">
        <x:is>
          <x:t xml:space="preserve">Код согласования</x:t>
        </x:is>
      </x:c>
      <x:c r="B1" s="30" t="inlineStr">
        <x:is>
          <x:t xml:space="preserve">Тип согласования</x:t>
        </x:is>
      </x:c>
      <x:c r="C1" s="30" t="inlineStr">
        <x:is>
          <x:t xml:space="preserve">Код объекта</x:t>
        </x:is>
      </x:c>
      <x:c r="D1" s="30" t="inlineStr">
        <x:is>
          <x:t xml:space="preserve">Родительский объект</x:t>
        </x:is>
      </x:c>
      <x:c r="E1" s="30" t="inlineStr">
        <x:is>
          <x:t xml:space="preserve">Сумма/значение</x:t>
        </x:is>
      </x:c>
      <x:c r="F1" s="30" t="inlineStr">
        <x:is>
          <x:t xml:space="preserve">Статус</x:t>
        </x:is>
      </x:c>
      <x:c r="G1" s="30" t="inlineStr">
        <x:is>
          <x:t xml:space="preserve">Согласующий</x:t>
        </x:is>
      </x:c>
      <x:c r="H1" s="30" t="inlineStr">
        <x:is>
          <x:t xml:space="preserve">Дата создания</x:t>
        </x:is>
      </x:c>
      <x:c r="I1" s="30" t="inlineStr">
        <x:is>
          <x:t xml:space="preserve">Срок</x:t>
        </x:is>
      </x:c>
      <x:c r="J1" s="30" t="inlineStr">
        <x:is>
          <x:t xml:space="preserve">Маршрут</x:t>
        </x:is>
      </x:c>
      <x:c r="K1" s="30" t="inlineStr">
        <x:is>
          <x:t xml:space="preserve">Причина</x:t>
        </x:is>
      </x:c>
    </x:row>
    <x:row r="2" ht="18" customHeight="1">
      <x:c r="A2" s="31" t="inlineStr">
        <x:is>
          <x:t xml:space="preserve">СОГ-00001</x:t>
        </x:is>
      </x:c>
      <x:c r="B2" s="31" t="inlineStr">
        <x:is>
          <x:t xml:space="preserve">Скидка/маржа</x:t>
        </x:is>
      </x:c>
      <x:c r="C2" s="31" t="inlineStr">
        <x:is>
          <x:t xml:space="preserve">ПОЗ-0001-1</x:t>
        </x:is>
      </x:c>
      <x:c r="D2" s="31" t="inlineStr">
        <x:is>
          <x:t xml:space="preserve">ЗК-1001</x:t>
        </x:is>
      </x:c>
      <x:c r="E2" s="31" t="n">
        <x:v>856815</x:v>
      </x:c>
      <x:c r="F2" s="31" t="inlineStr">
        <x:is>
          <x:t xml:space="preserve">На согласовании</x:t>
        </x:is>
      </x:c>
      <x:c r="G2" s="31" t="inlineStr">
        <x:is>
          <x:t xml:space="preserve">СОТР-001</x:t>
        </x:is>
      </x:c>
      <x:c r="H2" s="31" t="n">
        <x:v>46152</x:v>
      </x:c>
      <x:c r="I2" s="31" t="n">
        <x:v>46185</x:v>
      </x:c>
      <x:c r="J2" s="31" t="inlineStr">
        <x:is>
          <x:t xml:space="preserve">Ускоренный</x:t>
        </x:is>
      </x:c>
      <x:c r="K2" s="31" t="inlineStr">
        <x:is>
          <x:t xml:space="preserve">Основание согласования Скидка/маржа</x:t>
        </x:is>
      </x:c>
    </x:row>
    <x:row r="3" ht="18" customHeight="1">
      <x:c r="A3" s="31" t="inlineStr">
        <x:is>
          <x:t xml:space="preserve">СОГ-00002</x:t>
        </x:is>
      </x:c>
      <x:c r="B3" s="31" t="inlineStr">
        <x:is>
          <x:t xml:space="preserve">Скидка/маржа</x:t>
        </x:is>
      </x:c>
      <x:c r="C3" s="31" t="inlineStr">
        <x:is>
          <x:t xml:space="preserve">ПОЗ-0002-2</x:t>
        </x:is>
      </x:c>
      <x:c r="D3" s="31" t="inlineStr">
        <x:is>
          <x:t xml:space="preserve">ЗК-1002</x:t>
        </x:is>
      </x:c>
      <x:c r="E3" s="31" t="n">
        <x:v>461857</x:v>
      </x:c>
      <x:c r="F3" s="31" t="inlineStr">
        <x:is>
          <x:t xml:space="preserve">На согласовании</x:t>
        </x:is>
      </x:c>
      <x:c r="G3" s="31" t="inlineStr">
        <x:is>
          <x:t xml:space="preserve">СОТР-063</x:t>
        </x:is>
      </x:c>
      <x:c r="H3" s="31" t="n">
        <x:v>46169</x:v>
      </x:c>
      <x:c r="I3" s="31" t="n">
        <x:v>46182</x:v>
      </x:c>
      <x:c r="J3" s="31" t="inlineStr">
        <x:is>
          <x:t xml:space="preserve">Обычный</x:t>
        </x:is>
      </x:c>
      <x:c r="K3" s="31" t="inlineStr">
        <x:is>
          <x:t xml:space="preserve">Основание согласования Скидка/маржа</x:t>
        </x:is>
      </x:c>
    </x:row>
    <x:row r="4" ht="18" customHeight="1">
      <x:c r="A4" s="31" t="inlineStr">
        <x:is>
          <x:t xml:space="preserve">СОГ-00003</x:t>
        </x:is>
      </x:c>
      <x:c r="B4" s="31" t="inlineStr">
        <x:is>
          <x:t xml:space="preserve">Скидка/маржа</x:t>
        </x:is>
      </x:c>
      <x:c r="C4" s="31" t="inlineStr">
        <x:is>
          <x:t xml:space="preserve">ПОЗ-0004-1</x:t>
        </x:is>
      </x:c>
      <x:c r="D4" s="31" t="inlineStr">
        <x:is>
          <x:t xml:space="preserve">ЗК-1004</x:t>
        </x:is>
      </x:c>
      <x:c r="E4" s="31" t="n">
        <x:v>1213990</x:v>
      </x:c>
      <x:c r="F4" s="31" t="inlineStr">
        <x:is>
          <x:t xml:space="preserve">Согласовано</x:t>
        </x:is>
      </x:c>
      <x:c r="G4" s="31" t="inlineStr">
        <x:is>
          <x:t xml:space="preserve">СОТР-063</x:t>
        </x:is>
      </x:c>
      <x:c r="H4" s="31" t="n">
        <x:v>46182</x:v>
      </x:c>
      <x:c r="I4" s="31" t="n">
        <x:v>46186</x:v>
      </x:c>
      <x:c r="J4" s="31" t="inlineStr">
        <x:is>
          <x:t xml:space="preserve">Комитет</x:t>
        </x:is>
      </x:c>
      <x:c r="K4" s="31" t="inlineStr">
        <x:is>
          <x:t xml:space="preserve">Основание согласования Скидка/маржа</x:t>
        </x:is>
      </x:c>
    </x:row>
    <x:row r="5" ht="18" customHeight="1">
      <x:c r="A5" s="31" t="inlineStr">
        <x:is>
          <x:t xml:space="preserve">СОГ-00004</x:t>
        </x:is>
      </x:c>
      <x:c r="B5" s="31" t="inlineStr">
        <x:is>
          <x:t xml:space="preserve">Скидка/маржа</x:t>
        </x:is>
      </x:c>
      <x:c r="C5" s="31" t="inlineStr">
        <x:is>
          <x:t xml:space="preserve">ПОЗ-0006-2</x:t>
        </x:is>
      </x:c>
      <x:c r="D5" s="31" t="inlineStr">
        <x:is>
          <x:t xml:space="preserve">ЗК-1006</x:t>
        </x:is>
      </x:c>
      <x:c r="E5" s="31" t="n">
        <x:v>817289</x:v>
      </x:c>
      <x:c r="F5" s="31" t="inlineStr">
        <x:is>
          <x:t xml:space="preserve">На согласовании</x:t>
        </x:is>
      </x:c>
      <x:c r="G5" s="31" t="inlineStr">
        <x:is>
          <x:t xml:space="preserve">СОТР-001</x:t>
        </x:is>
      </x:c>
      <x:c r="H5" s="31" t="n">
        <x:v>46139</x:v>
      </x:c>
      <x:c r="I5" s="31" t="n">
        <x:v>46196</x:v>
      </x:c>
      <x:c r="J5" s="31" t="inlineStr">
        <x:is>
          <x:t xml:space="preserve">Обычный</x:t>
        </x:is>
      </x:c>
      <x:c r="K5" s="31" t="inlineStr">
        <x:is>
          <x:t xml:space="preserve">Основание согласования Скидка/маржа</x:t>
        </x:is>
      </x:c>
    </x:row>
    <x:row r="6" ht="18" customHeight="1">
      <x:c r="A6" s="31" t="inlineStr">
        <x:is>
          <x:t xml:space="preserve">СОГ-00005</x:t>
        </x:is>
      </x:c>
      <x:c r="B6" s="31" t="inlineStr">
        <x:is>
          <x:t xml:space="preserve">Скидка/маржа</x:t>
        </x:is>
      </x:c>
      <x:c r="C6" s="31" t="inlineStr">
        <x:is>
          <x:t xml:space="preserve">ПОЗ-0008-4</x:t>
        </x:is>
      </x:c>
      <x:c r="D6" s="31" t="inlineStr">
        <x:is>
          <x:t xml:space="preserve">ЗК-1008</x:t>
        </x:is>
      </x:c>
      <x:c r="E6" s="31" t="n">
        <x:v>1023882</x:v>
      </x:c>
      <x:c r="F6" s="31" t="inlineStr">
        <x:is>
          <x:t xml:space="preserve">На согласовании</x:t>
        </x:is>
      </x:c>
      <x:c r="G6" s="31" t="inlineStr">
        <x:is>
          <x:t xml:space="preserve">СОТР-030</x:t>
        </x:is>
      </x:c>
      <x:c r="H6" s="31" t="n">
        <x:v>46142</x:v>
      </x:c>
      <x:c r="I6" s="31" t="n">
        <x:v>46184</x:v>
      </x:c>
      <x:c r="J6" s="31" t="inlineStr">
        <x:is>
          <x:t xml:space="preserve">Обычный</x:t>
        </x:is>
      </x:c>
      <x:c r="K6" s="31" t="inlineStr">
        <x:is>
          <x:t xml:space="preserve">Основание согласования Скидка/маржа</x:t>
        </x:is>
      </x:c>
    </x:row>
    <x:row r="7" ht="18" customHeight="1">
      <x:c r="A7" s="31" t="inlineStr">
        <x:is>
          <x:t xml:space="preserve">СОГ-00006</x:t>
        </x:is>
      </x:c>
      <x:c r="B7" s="31" t="inlineStr">
        <x:is>
          <x:t xml:space="preserve">Скидка/маржа</x:t>
        </x:is>
      </x:c>
      <x:c r="C7" s="31" t="inlineStr">
        <x:is>
          <x:t xml:space="preserve">ПОЗ-0009-1</x:t>
        </x:is>
      </x:c>
      <x:c r="D7" s="31" t="inlineStr">
        <x:is>
          <x:t xml:space="preserve">ЗК-1009</x:t>
        </x:is>
      </x:c>
      <x:c r="E7" s="31" t="n">
        <x:v>1459707</x:v>
      </x:c>
      <x:c r="F7" s="31" t="inlineStr">
        <x:is>
          <x:t xml:space="preserve">Требует доработки</x:t>
        </x:is>
      </x:c>
      <x:c r="G7" s="31" t="inlineStr">
        <x:is>
          <x:t xml:space="preserve">СОТР-011</x:t>
        </x:is>
      </x:c>
      <x:c r="H7" s="31" t="n">
        <x:v>46144</x:v>
      </x:c>
      <x:c r="I7" s="31" t="n">
        <x:v>46189</x:v>
      </x:c>
      <x:c r="J7" s="31" t="inlineStr">
        <x:is>
          <x:t xml:space="preserve">Ускоренный</x:t>
        </x:is>
      </x:c>
      <x:c r="K7" s="31" t="inlineStr">
        <x:is>
          <x:t xml:space="preserve">Основание согласования Скидка/маржа</x:t>
        </x:is>
      </x:c>
    </x:row>
    <x:row r="8" ht="18" customHeight="1">
      <x:c r="A8" s="31" t="inlineStr">
        <x:is>
          <x:t xml:space="preserve">СОГ-00007</x:t>
        </x:is>
      </x:c>
      <x:c r="B8" s="31" t="inlineStr">
        <x:is>
          <x:t xml:space="preserve">Скидка/маржа</x:t>
        </x:is>
      </x:c>
      <x:c r="C8" s="31" t="inlineStr">
        <x:is>
          <x:t xml:space="preserve">ПОЗ-0009-3</x:t>
        </x:is>
      </x:c>
      <x:c r="D8" s="31" t="inlineStr">
        <x:is>
          <x:t xml:space="preserve">ЗК-1009</x:t>
        </x:is>
      </x:c>
      <x:c r="E8" s="31" t="n">
        <x:v>1369171</x:v>
      </x:c>
      <x:c r="F8" s="31" t="inlineStr">
        <x:is>
          <x:t xml:space="preserve">На согласовании</x:t>
        </x:is>
      </x:c>
      <x:c r="G8" s="31" t="inlineStr">
        <x:is>
          <x:t xml:space="preserve">СОТР-063</x:t>
        </x:is>
      </x:c>
      <x:c r="H8" s="31" t="n">
        <x:v>46163</x:v>
      </x:c>
      <x:c r="I8" s="31" t="n">
        <x:v>46189</x:v>
      </x:c>
      <x:c r="J8" s="31" t="inlineStr">
        <x:is>
          <x:t xml:space="preserve">Ускоренный</x:t>
        </x:is>
      </x:c>
      <x:c r="K8" s="31" t="inlineStr">
        <x:is>
          <x:t xml:space="preserve">Основание согласования Скидка/маржа</x:t>
        </x:is>
      </x:c>
    </x:row>
    <x:row r="9" ht="18" customHeight="1">
      <x:c r="A9" s="31" t="inlineStr">
        <x:is>
          <x:t xml:space="preserve">СОГ-00008</x:t>
        </x:is>
      </x:c>
      <x:c r="B9" s="31" t="inlineStr">
        <x:is>
          <x:t xml:space="preserve">Скидка/маржа</x:t>
        </x:is>
      </x:c>
      <x:c r="C9" s="31" t="inlineStr">
        <x:is>
          <x:t xml:space="preserve">ПОЗ-0012-1</x:t>
        </x:is>
      </x:c>
      <x:c r="D9" s="31" t="inlineStr">
        <x:is>
          <x:t xml:space="preserve">ЗК-1012</x:t>
        </x:is>
      </x:c>
      <x:c r="E9" s="31" t="n">
        <x:v>4032692</x:v>
      </x:c>
      <x:c r="F9" s="31" t="inlineStr">
        <x:is>
          <x:t xml:space="preserve">Требует доработки</x:t>
        </x:is>
      </x:c>
      <x:c r="G9" s="31" t="inlineStr">
        <x:is>
          <x:t xml:space="preserve">СОТР-002</x:t>
        </x:is>
      </x:c>
      <x:c r="H9" s="31" t="n">
        <x:v>46157</x:v>
      </x:c>
      <x:c r="I9" s="31" t="n">
        <x:v>46196</x:v>
      </x:c>
      <x:c r="J9" s="31" t="inlineStr">
        <x:is>
          <x:t xml:space="preserve">Комитет</x:t>
        </x:is>
      </x:c>
      <x:c r="K9" s="31" t="inlineStr">
        <x:is>
          <x:t xml:space="preserve">Основание согласования Скидка/маржа</x:t>
        </x:is>
      </x:c>
    </x:row>
    <x:row r="10" ht="18" customHeight="1">
      <x:c r="A10" s="31" t="inlineStr">
        <x:is>
          <x:t xml:space="preserve">СОГ-00009</x:t>
        </x:is>
      </x:c>
      <x:c r="B10" s="31" t="inlineStr">
        <x:is>
          <x:t xml:space="preserve">Скидка/маржа</x:t>
        </x:is>
      </x:c>
      <x:c r="C10" s="31" t="inlineStr">
        <x:is>
          <x:t xml:space="preserve">ПОЗ-0015-1</x:t>
        </x:is>
      </x:c>
      <x:c r="D10" s="31" t="inlineStr">
        <x:is>
          <x:t xml:space="preserve">ЗК-1015</x:t>
        </x:is>
      </x:c>
      <x:c r="E10" s="31" t="n">
        <x:v>995374</x:v>
      </x:c>
      <x:c r="F10" s="31" t="inlineStr">
        <x:is>
          <x:t xml:space="preserve">Согласовано</x:t>
        </x:is>
      </x:c>
      <x:c r="G10" s="31" t="inlineStr">
        <x:is>
          <x:t xml:space="preserve">СОТР-076</x:t>
        </x:is>
      </x:c>
      <x:c r="H10" s="31" t="n">
        <x:v>46174</x:v>
      </x:c>
      <x:c r="I10" s="31" t="n">
        <x:v>46189</x:v>
      </x:c>
      <x:c r="J10" s="31" t="inlineStr">
        <x:is>
          <x:t xml:space="preserve">Обычный</x:t>
        </x:is>
      </x:c>
      <x:c r="K10" s="31" t="inlineStr">
        <x:is>
          <x:t xml:space="preserve">Основание согласования Скидка/маржа</x:t>
        </x:is>
      </x:c>
    </x:row>
    <x:row r="11" ht="18" customHeight="1">
      <x:c r="A11" s="31" t="inlineStr">
        <x:is>
          <x:t xml:space="preserve">СОГ-00010</x:t>
        </x:is>
      </x:c>
      <x:c r="B11" s="31" t="inlineStr">
        <x:is>
          <x:t xml:space="preserve">Скидка/маржа</x:t>
        </x:is>
      </x:c>
      <x:c r="C11" s="31" t="inlineStr">
        <x:is>
          <x:t xml:space="preserve">ПОЗ-0021-1</x:t>
        </x:is>
      </x:c>
      <x:c r="D11" s="31" t="inlineStr">
        <x:is>
          <x:t xml:space="preserve">ЗК-1021</x:t>
        </x:is>
      </x:c>
      <x:c r="E11" s="31" t="n">
        <x:v>381105</x:v>
      </x:c>
      <x:c r="F11" s="31" t="inlineStr">
        <x:is>
          <x:t xml:space="preserve">Согласовано</x:t>
        </x:is>
      </x:c>
      <x:c r="G11" s="31" t="inlineStr">
        <x:is>
          <x:t xml:space="preserve">СОТР-063</x:t>
        </x:is>
      </x:c>
      <x:c r="H11" s="31" t="n">
        <x:v>46139</x:v>
      </x:c>
      <x:c r="I11" s="31" t="n">
        <x:v>46194</x:v>
      </x:c>
      <x:c r="J11" s="31" t="inlineStr">
        <x:is>
          <x:t xml:space="preserve">Комитет</x:t>
        </x:is>
      </x:c>
      <x:c r="K11" s="31" t="inlineStr">
        <x:is>
          <x:t xml:space="preserve">Основание согласования Скидка/маржа</x:t>
        </x:is>
      </x:c>
    </x:row>
    <x:row r="12" ht="18" customHeight="1">
      <x:c r="A12" s="31" t="inlineStr">
        <x:is>
          <x:t xml:space="preserve">СОГ-00011</x:t>
        </x:is>
      </x:c>
      <x:c r="B12" s="31" t="inlineStr">
        <x:is>
          <x:t xml:space="preserve">Скидка/маржа</x:t>
        </x:is>
      </x:c>
      <x:c r="C12" s="31" t="inlineStr">
        <x:is>
          <x:t xml:space="preserve">ПОЗ-0025-1</x:t>
        </x:is>
      </x:c>
      <x:c r="D12" s="31" t="inlineStr">
        <x:is>
          <x:t xml:space="preserve">ЗК-1025</x:t>
        </x:is>
      </x:c>
      <x:c r="E12" s="31" t="n">
        <x:v>138482</x:v>
      </x:c>
      <x:c r="F12" s="31" t="inlineStr">
        <x:is>
          <x:t xml:space="preserve">Черновик</x:t>
        </x:is>
      </x:c>
      <x:c r="G12" s="31" t="inlineStr">
        <x:is>
          <x:t xml:space="preserve">СОТР-011</x:t>
        </x:is>
      </x:c>
      <x:c r="H12" s="31" t="n">
        <x:v>46184</x:v>
      </x:c>
      <x:c r="I12" s="31" t="n">
        <x:v>46193</x:v>
      </x:c>
      <x:c r="J12" s="31" t="inlineStr">
        <x:is>
          <x:t xml:space="preserve">Комитет</x:t>
        </x:is>
      </x:c>
      <x:c r="K12" s="31" t="inlineStr">
        <x:is>
          <x:t xml:space="preserve">Основание согласования Скидка/маржа</x:t>
        </x:is>
      </x:c>
    </x:row>
    <x:row r="13" ht="18" customHeight="1">
      <x:c r="A13" s="31" t="inlineStr">
        <x:is>
          <x:t xml:space="preserve">СОГ-00012</x:t>
        </x:is>
      </x:c>
      <x:c r="B13" s="31" t="inlineStr">
        <x:is>
          <x:t xml:space="preserve">Скидка/маржа</x:t>
        </x:is>
      </x:c>
      <x:c r="C13" s="31" t="inlineStr">
        <x:is>
          <x:t xml:space="preserve">ПОЗ-0026-3</x:t>
        </x:is>
      </x:c>
      <x:c r="D13" s="31" t="inlineStr">
        <x:is>
          <x:t xml:space="preserve">ЗК-1026</x:t>
        </x:is>
      </x:c>
      <x:c r="E13" s="31" t="n">
        <x:v>88750</x:v>
      </x:c>
      <x:c r="F13" s="31" t="inlineStr">
        <x:is>
          <x:t xml:space="preserve">Согласовано</x:t>
        </x:is>
      </x:c>
      <x:c r="G13" s="31" t="inlineStr">
        <x:is>
          <x:t xml:space="preserve">СОТР-018</x:t>
        </x:is>
      </x:c>
      <x:c r="H13" s="31" t="n">
        <x:v>46149</x:v>
      </x:c>
      <x:c r="I13" s="31" t="n">
        <x:v>46198</x:v>
      </x:c>
      <x:c r="J13" s="31" t="inlineStr">
        <x:is>
          <x:t xml:space="preserve">Ускоренный</x:t>
        </x:is>
      </x:c>
      <x:c r="K13" s="31" t="inlineStr">
        <x:is>
          <x:t xml:space="preserve">Основание согласования Скидка/маржа</x:t>
        </x:is>
      </x:c>
    </x:row>
    <x:row r="14" ht="18" customHeight="1">
      <x:c r="A14" s="31" t="inlineStr">
        <x:is>
          <x:t xml:space="preserve">СОГ-00013</x:t>
        </x:is>
      </x:c>
      <x:c r="B14" s="31" t="inlineStr">
        <x:is>
          <x:t xml:space="preserve">Скидка/маржа</x:t>
        </x:is>
      </x:c>
      <x:c r="C14" s="31" t="inlineStr">
        <x:is>
          <x:t xml:space="preserve">ПОЗ-0030-2</x:t>
        </x:is>
      </x:c>
      <x:c r="D14" s="31" t="inlineStr">
        <x:is>
          <x:t xml:space="preserve">ЗК-1030</x:t>
        </x:is>
      </x:c>
      <x:c r="E14" s="31" t="n">
        <x:v>1098914</x:v>
      </x:c>
      <x:c r="F14" s="31" t="inlineStr">
        <x:is>
          <x:t xml:space="preserve">На согласовании</x:t>
        </x:is>
      </x:c>
      <x:c r="G14" s="31" t="inlineStr">
        <x:is>
          <x:t xml:space="preserve">СОТР-001</x:t>
        </x:is>
      </x:c>
      <x:c r="H14" s="31" t="n">
        <x:v>46142</x:v>
      </x:c>
      <x:c r="I14" s="31" t="n">
        <x:v>46192</x:v>
      </x:c>
      <x:c r="J14" s="31" t="inlineStr">
        <x:is>
          <x:t xml:space="preserve">Обычный</x:t>
        </x:is>
      </x:c>
      <x:c r="K14" s="31" t="inlineStr">
        <x:is>
          <x:t xml:space="preserve">Основание согласования Скидка/маржа</x:t>
        </x:is>
      </x:c>
    </x:row>
    <x:row r="15" ht="18" customHeight="1">
      <x:c r="A15" s="31" t="inlineStr">
        <x:is>
          <x:t xml:space="preserve">СОГ-00014</x:t>
        </x:is>
      </x:c>
      <x:c r="B15" s="31" t="inlineStr">
        <x:is>
          <x:t xml:space="preserve">Скидка/маржа</x:t>
        </x:is>
      </x:c>
      <x:c r="C15" s="31" t="inlineStr">
        <x:is>
          <x:t xml:space="preserve">ПОЗ-0031-1</x:t>
        </x:is>
      </x:c>
      <x:c r="D15" s="31" t="inlineStr">
        <x:is>
          <x:t xml:space="preserve">ЗК-1031</x:t>
        </x:is>
      </x:c>
      <x:c r="E15" s="31" t="n">
        <x:v>1003451</x:v>
      </x:c>
      <x:c r="F15" s="31" t="inlineStr">
        <x:is>
          <x:t xml:space="preserve">Согласовано</x:t>
        </x:is>
      </x:c>
      <x:c r="G15" s="31" t="inlineStr">
        <x:is>
          <x:t xml:space="preserve">СОТР-030</x:t>
        </x:is>
      </x:c>
      <x:c r="H15" s="31" t="n">
        <x:v>46151</x:v>
      </x:c>
      <x:c r="I15" s="31" t="n">
        <x:v>46185</x:v>
      </x:c>
      <x:c r="J15" s="31" t="inlineStr">
        <x:is>
          <x:t xml:space="preserve">Обычный</x:t>
        </x:is>
      </x:c>
      <x:c r="K15" s="31" t="inlineStr">
        <x:is>
          <x:t xml:space="preserve">Основание согласования Скидка/маржа</x:t>
        </x:is>
      </x:c>
    </x:row>
    <x:row r="16" ht="18" customHeight="1">
      <x:c r="A16" s="31" t="inlineStr">
        <x:is>
          <x:t xml:space="preserve">СОГ-00015</x:t>
        </x:is>
      </x:c>
      <x:c r="B16" s="31" t="inlineStr">
        <x:is>
          <x:t xml:space="preserve">Скидка/маржа</x:t>
        </x:is>
      </x:c>
      <x:c r="C16" s="31" t="inlineStr">
        <x:is>
          <x:t xml:space="preserve">ПОЗ-0032-1</x:t>
        </x:is>
      </x:c>
      <x:c r="D16" s="31" t="inlineStr">
        <x:is>
          <x:t xml:space="preserve">ЗК-1032</x:t>
        </x:is>
      </x:c>
      <x:c r="E16" s="31" t="n">
        <x:v>1556160</x:v>
      </x:c>
      <x:c r="F16" s="31" t="inlineStr">
        <x:is>
          <x:t xml:space="preserve">На согласовании</x:t>
        </x:is>
      </x:c>
      <x:c r="G16" s="31" t="inlineStr">
        <x:is>
          <x:t xml:space="preserve">СОТР-076</x:t>
        </x:is>
      </x:c>
      <x:c r="H16" s="31" t="n">
        <x:v>46150</x:v>
      </x:c>
      <x:c r="I16" s="31" t="n">
        <x:v>46184</x:v>
      </x:c>
      <x:c r="J16" s="31" t="inlineStr">
        <x:is>
          <x:t xml:space="preserve">Обычный</x:t>
        </x:is>
      </x:c>
      <x:c r="K16" s="31" t="inlineStr">
        <x:is>
          <x:t xml:space="preserve">Основание согласования Скидка/маржа</x:t>
        </x:is>
      </x:c>
    </x:row>
    <x:row r="17" ht="18" customHeight="1">
      <x:c r="A17" s="31" t="inlineStr">
        <x:is>
          <x:t xml:space="preserve">СОГ-00016</x:t>
        </x:is>
      </x:c>
      <x:c r="B17" s="31" t="inlineStr">
        <x:is>
          <x:t xml:space="preserve">Скидка/маржа</x:t>
        </x:is>
      </x:c>
      <x:c r="C17" s="31" t="inlineStr">
        <x:is>
          <x:t xml:space="preserve">ПОЗ-0032-3</x:t>
        </x:is>
      </x:c>
      <x:c r="D17" s="31" t="inlineStr">
        <x:is>
          <x:t xml:space="preserve">ЗК-1032</x:t>
        </x:is>
      </x:c>
      <x:c r="E17" s="31" t="n">
        <x:v>124485</x:v>
      </x:c>
      <x:c r="F17" s="31" t="inlineStr">
        <x:is>
          <x:t xml:space="preserve">Согласовано</x:t>
        </x:is>
      </x:c>
      <x:c r="G17" s="31" t="inlineStr">
        <x:is>
          <x:t xml:space="preserve">СОТР-076</x:t>
        </x:is>
      </x:c>
      <x:c r="H17" s="31" t="n">
        <x:v>46172</x:v>
      </x:c>
      <x:c r="I17" s="31" t="n">
        <x:v>46180</x:v>
      </x:c>
      <x:c r="J17" s="31" t="inlineStr">
        <x:is>
          <x:t xml:space="preserve">Обычный</x:t>
        </x:is>
      </x:c>
      <x:c r="K17" s="31" t="inlineStr">
        <x:is>
          <x:t xml:space="preserve">Основание согласования Скидка/маржа</x:t>
        </x:is>
      </x:c>
    </x:row>
    <x:row r="18" ht="18" customHeight="1">
      <x:c r="A18" s="31" t="inlineStr">
        <x:is>
          <x:t xml:space="preserve">СОГ-00017</x:t>
        </x:is>
      </x:c>
      <x:c r="B18" s="31" t="inlineStr">
        <x:is>
          <x:t xml:space="preserve">Скидка/маржа</x:t>
        </x:is>
      </x:c>
      <x:c r="C18" s="31" t="inlineStr">
        <x:is>
          <x:t xml:space="preserve">ПОЗ-0033-1</x:t>
        </x:is>
      </x:c>
      <x:c r="D18" s="31" t="inlineStr">
        <x:is>
          <x:t xml:space="preserve">ЗК-1033</x:t>
        </x:is>
      </x:c>
      <x:c r="E18" s="31" t="n">
        <x:v>220299</x:v>
      </x:c>
      <x:c r="F18" s="31" t="inlineStr">
        <x:is>
          <x:t xml:space="preserve">Согласовано</x:t>
        </x:is>
      </x:c>
      <x:c r="G18" s="31" t="inlineStr">
        <x:is>
          <x:t xml:space="preserve">СОТР-076</x:t>
        </x:is>
      </x:c>
      <x:c r="H18" s="31" t="n">
        <x:v>46154</x:v>
      </x:c>
      <x:c r="I18" s="31" t="n">
        <x:v>46198</x:v>
      </x:c>
      <x:c r="J18" s="31" t="inlineStr">
        <x:is>
          <x:t xml:space="preserve">Обычный</x:t>
        </x:is>
      </x:c>
      <x:c r="K18" s="31" t="inlineStr">
        <x:is>
          <x:t xml:space="preserve">Основание согласования Скидка/маржа</x:t>
        </x:is>
      </x:c>
    </x:row>
    <x:row r="19" ht="18" customHeight="1">
      <x:c r="A19" s="31" t="inlineStr">
        <x:is>
          <x:t xml:space="preserve">СОГ-00018</x:t>
        </x:is>
      </x:c>
      <x:c r="B19" s="31" t="inlineStr">
        <x:is>
          <x:t xml:space="preserve">Скидка/маржа</x:t>
        </x:is>
      </x:c>
      <x:c r="C19" s="31" t="inlineStr">
        <x:is>
          <x:t xml:space="preserve">ПОЗ-0034-4</x:t>
        </x:is>
      </x:c>
      <x:c r="D19" s="31" t="inlineStr">
        <x:is>
          <x:t xml:space="preserve">ЗК-1034</x:t>
        </x:is>
      </x:c>
      <x:c r="E19" s="31" t="n">
        <x:v>440490</x:v>
      </x:c>
      <x:c r="F19" s="31" t="inlineStr">
        <x:is>
          <x:t xml:space="preserve">Черновик</x:t>
        </x:is>
      </x:c>
      <x:c r="G19" s="31" t="inlineStr">
        <x:is>
          <x:t xml:space="preserve">СОТР-030</x:t>
        </x:is>
      </x:c>
      <x:c r="H19" s="31" t="n">
        <x:v>46181</x:v>
      </x:c>
      <x:c r="I19" s="31" t="n">
        <x:v>46185</x:v>
      </x:c>
      <x:c r="J19" s="31" t="inlineStr">
        <x:is>
          <x:t xml:space="preserve">Комитет</x:t>
        </x:is>
      </x:c>
      <x:c r="K19" s="31" t="inlineStr">
        <x:is>
          <x:t xml:space="preserve">Основание согласования Скидка/маржа</x:t>
        </x:is>
      </x:c>
    </x:row>
    <x:row r="20" ht="18" customHeight="1">
      <x:c r="A20" s="31" t="inlineStr">
        <x:is>
          <x:t xml:space="preserve">СОГ-00019</x:t>
        </x:is>
      </x:c>
      <x:c r="B20" s="31" t="inlineStr">
        <x:is>
          <x:t xml:space="preserve">Скидка/маржа</x:t>
        </x:is>
      </x:c>
      <x:c r="C20" s="31" t="inlineStr">
        <x:is>
          <x:t xml:space="preserve">ПОЗ-0035-3</x:t>
        </x:is>
      </x:c>
      <x:c r="D20" s="31" t="inlineStr">
        <x:is>
          <x:t xml:space="preserve">ЗК-1035</x:t>
        </x:is>
      </x:c>
      <x:c r="E20" s="31" t="n">
        <x:v>877661</x:v>
      </x:c>
      <x:c r="F20" s="31" t="inlineStr">
        <x:is>
          <x:t xml:space="preserve">Требует доработки</x:t>
        </x:is>
      </x:c>
      <x:c r="G20" s="31" t="inlineStr">
        <x:is>
          <x:t xml:space="preserve">СОТР-018</x:t>
        </x:is>
      </x:c>
      <x:c r="H20" s="31" t="n">
        <x:v>46172</x:v>
      </x:c>
      <x:c r="I20" s="31" t="n">
        <x:v>46190</x:v>
      </x:c>
      <x:c r="J20" s="31" t="inlineStr">
        <x:is>
          <x:t xml:space="preserve">Ускоренный</x:t>
        </x:is>
      </x:c>
      <x:c r="K20" s="31" t="inlineStr">
        <x:is>
          <x:t xml:space="preserve">Основание согласования Скидка/маржа</x:t>
        </x:is>
      </x:c>
    </x:row>
    <x:row r="21" ht="18" customHeight="1">
      <x:c r="A21" s="31" t="inlineStr">
        <x:is>
          <x:t xml:space="preserve">СОГ-00020</x:t>
        </x:is>
      </x:c>
      <x:c r="B21" s="31" t="inlineStr">
        <x:is>
          <x:t xml:space="preserve">Скидка/маржа</x:t>
        </x:is>
      </x:c>
      <x:c r="C21" s="31" t="inlineStr">
        <x:is>
          <x:t xml:space="preserve">ПОЗ-0036-1</x:t>
        </x:is>
      </x:c>
      <x:c r="D21" s="31" t="inlineStr">
        <x:is>
          <x:t xml:space="preserve">ЗК-1036</x:t>
        </x:is>
      </x:c>
      <x:c r="E21" s="31" t="n">
        <x:v>281579</x:v>
      </x:c>
      <x:c r="F21" s="31" t="inlineStr">
        <x:is>
          <x:t xml:space="preserve">Требует доработки</x:t>
        </x:is>
      </x:c>
      <x:c r="G21" s="31" t="inlineStr">
        <x:is>
          <x:t xml:space="preserve">СОТР-076</x:t>
        </x:is>
      </x:c>
      <x:c r="H21" s="31" t="n">
        <x:v>46150</x:v>
      </x:c>
      <x:c r="I21" s="31" t="n">
        <x:v>46183</x:v>
      </x:c>
      <x:c r="J21" s="31" t="inlineStr">
        <x:is>
          <x:t xml:space="preserve">Обычный</x:t>
        </x:is>
      </x:c>
      <x:c r="K21" s="31" t="inlineStr">
        <x:is>
          <x:t xml:space="preserve">Основание согласования Скидка/маржа</x:t>
        </x:is>
      </x:c>
    </x:row>
    <x:row r="22" ht="18" customHeight="1">
      <x:c r="A22" s="31" t="inlineStr">
        <x:is>
          <x:t xml:space="preserve">СОГ-00021</x:t>
        </x:is>
      </x:c>
      <x:c r="B22" s="31" t="inlineStr">
        <x:is>
          <x:t xml:space="preserve">Скидка/маржа</x:t>
        </x:is>
      </x:c>
      <x:c r="C22" s="31" t="inlineStr">
        <x:is>
          <x:t xml:space="preserve">ПОЗ-0037-1</x:t>
        </x:is>
      </x:c>
      <x:c r="D22" s="31" t="inlineStr">
        <x:is>
          <x:t xml:space="preserve">ЗК-1037</x:t>
        </x:is>
      </x:c>
      <x:c r="E22" s="31" t="n">
        <x:v>115262</x:v>
      </x:c>
      <x:c r="F22" s="31" t="inlineStr">
        <x:is>
          <x:t xml:space="preserve">Согласовано</x:t>
        </x:is>
      </x:c>
      <x:c r="G22" s="31" t="inlineStr">
        <x:is>
          <x:t xml:space="preserve">СОТР-001</x:t>
        </x:is>
      </x:c>
      <x:c r="H22" s="31" t="n">
        <x:v>46174</x:v>
      </x:c>
      <x:c r="I22" s="31" t="n">
        <x:v>46192</x:v>
      </x:c>
      <x:c r="J22" s="31" t="inlineStr">
        <x:is>
          <x:t xml:space="preserve">Обычный</x:t>
        </x:is>
      </x:c>
      <x:c r="K22" s="31" t="inlineStr">
        <x:is>
          <x:t xml:space="preserve">Основание согласования Скидка/маржа</x:t>
        </x:is>
      </x:c>
    </x:row>
    <x:row r="23" ht="18" customHeight="1">
      <x:c r="A23" s="31" t="inlineStr">
        <x:is>
          <x:t xml:space="preserve">СОГ-00022</x:t>
        </x:is>
      </x:c>
      <x:c r="B23" s="31" t="inlineStr">
        <x:is>
          <x:t xml:space="preserve">Скидка/маржа</x:t>
        </x:is>
      </x:c>
      <x:c r="C23" s="31" t="inlineStr">
        <x:is>
          <x:t xml:space="preserve">ПОЗ-0037-3</x:t>
        </x:is>
      </x:c>
      <x:c r="D23" s="31" t="inlineStr">
        <x:is>
          <x:t xml:space="preserve">ЗК-1037</x:t>
        </x:is>
      </x:c>
      <x:c r="E23" s="31" t="n">
        <x:v>4659972</x:v>
      </x:c>
      <x:c r="F23" s="31" t="inlineStr">
        <x:is>
          <x:t xml:space="preserve">Согласовано</x:t>
        </x:is>
      </x:c>
      <x:c r="G23" s="31" t="inlineStr">
        <x:is>
          <x:t xml:space="preserve">СОТР-076</x:t>
        </x:is>
      </x:c>
      <x:c r="H23" s="31" t="n">
        <x:v>46138</x:v>
      </x:c>
      <x:c r="I23" s="31" t="n">
        <x:v>46183</x:v>
      </x:c>
      <x:c r="J23" s="31" t="inlineStr">
        <x:is>
          <x:t xml:space="preserve">Обычный</x:t>
        </x:is>
      </x:c>
      <x:c r="K23" s="31" t="inlineStr">
        <x:is>
          <x:t xml:space="preserve">Основание согласования Скидка/маржа</x:t>
        </x:is>
      </x:c>
    </x:row>
    <x:row r="24" ht="18" customHeight="1">
      <x:c r="A24" s="31" t="inlineStr">
        <x:is>
          <x:t xml:space="preserve">СОГ-00023</x:t>
        </x:is>
      </x:c>
      <x:c r="B24" s="31" t="inlineStr">
        <x:is>
          <x:t xml:space="preserve">Скидка/маржа</x:t>
        </x:is>
      </x:c>
      <x:c r="C24" s="31" t="inlineStr">
        <x:is>
          <x:t xml:space="preserve">ПОЗ-0038-1</x:t>
        </x:is>
      </x:c>
      <x:c r="D24" s="31" t="inlineStr">
        <x:is>
          <x:t xml:space="preserve">ЗК-1038</x:t>
        </x:is>
      </x:c>
      <x:c r="E24" s="31" t="n">
        <x:v>223408</x:v>
      </x:c>
      <x:c r="F24" s="31" t="inlineStr">
        <x:is>
          <x:t xml:space="preserve">На согласовании</x:t>
        </x:is>
      </x:c>
      <x:c r="G24" s="31" t="inlineStr">
        <x:is>
          <x:t xml:space="preserve">СОТР-018</x:t>
        </x:is>
      </x:c>
      <x:c r="H24" s="31" t="n">
        <x:v>46177</x:v>
      </x:c>
      <x:c r="I24" s="31" t="n">
        <x:v>46196</x:v>
      </x:c>
      <x:c r="J24" s="31" t="inlineStr">
        <x:is>
          <x:t xml:space="preserve">Ускоренный</x:t>
        </x:is>
      </x:c>
      <x:c r="K24" s="31" t="inlineStr">
        <x:is>
          <x:t xml:space="preserve">Основание согласования Скидка/маржа</x:t>
        </x:is>
      </x:c>
    </x:row>
    <x:row r="25" ht="18" customHeight="1">
      <x:c r="A25" s="31" t="inlineStr">
        <x:is>
          <x:t xml:space="preserve">СОГ-00024</x:t>
        </x:is>
      </x:c>
      <x:c r="B25" s="31" t="inlineStr">
        <x:is>
          <x:t xml:space="preserve">Скидка/маржа</x:t>
        </x:is>
      </x:c>
      <x:c r="C25" s="31" t="inlineStr">
        <x:is>
          <x:t xml:space="preserve">ПОЗ-0038-3</x:t>
        </x:is>
      </x:c>
      <x:c r="D25" s="31" t="inlineStr">
        <x:is>
          <x:t xml:space="preserve">ЗК-1038</x:t>
        </x:is>
      </x:c>
      <x:c r="E25" s="31" t="n">
        <x:v>1903537</x:v>
      </x:c>
      <x:c r="F25" s="31" t="inlineStr">
        <x:is>
          <x:t xml:space="preserve">На согласовании</x:t>
        </x:is>
      </x:c>
      <x:c r="G25" s="31" t="inlineStr">
        <x:is>
          <x:t xml:space="preserve">СОТР-018</x:t>
        </x:is>
      </x:c>
      <x:c r="H25" s="31" t="n">
        <x:v>46142</x:v>
      </x:c>
      <x:c r="I25" s="31" t="n">
        <x:v>46185</x:v>
      </x:c>
      <x:c r="J25" s="31" t="inlineStr">
        <x:is>
          <x:t xml:space="preserve">Ускоренный</x:t>
        </x:is>
      </x:c>
      <x:c r="K25" s="31" t="inlineStr">
        <x:is>
          <x:t xml:space="preserve">Основание согласования Скидка/маржа</x:t>
        </x:is>
      </x:c>
    </x:row>
    <x:row r="26" ht="18" customHeight="1">
      <x:c r="A26" s="31" t="inlineStr">
        <x:is>
          <x:t xml:space="preserve">СОГ-00025</x:t>
        </x:is>
      </x:c>
      <x:c r="B26" s="31" t="inlineStr">
        <x:is>
          <x:t xml:space="preserve">Скидка/маржа</x:t>
        </x:is>
      </x:c>
      <x:c r="C26" s="31" t="inlineStr">
        <x:is>
          <x:t xml:space="preserve">ПОЗ-0040-2</x:t>
        </x:is>
      </x:c>
      <x:c r="D26" s="31" t="inlineStr">
        <x:is>
          <x:t xml:space="preserve">ЗК-1040</x:t>
        </x:is>
      </x:c>
      <x:c r="E26" s="31" t="n">
        <x:v>710323</x:v>
      </x:c>
      <x:c r="F26" s="31" t="inlineStr">
        <x:is>
          <x:t xml:space="preserve">На согласовании</x:t>
        </x:is>
      </x:c>
      <x:c r="G26" s="31" t="inlineStr">
        <x:is>
          <x:t xml:space="preserve">СОТР-030</x:t>
        </x:is>
      </x:c>
      <x:c r="H26" s="31" t="n">
        <x:v>46169</x:v>
      </x:c>
      <x:c r="I26" s="31" t="n">
        <x:v>46180</x:v>
      </x:c>
      <x:c r="J26" s="31" t="inlineStr">
        <x:is>
          <x:t xml:space="preserve">Ускоренный</x:t>
        </x:is>
      </x:c>
      <x:c r="K26" s="31" t="inlineStr">
        <x:is>
          <x:t xml:space="preserve">Основание согласования Скидка/маржа</x:t>
        </x:is>
      </x:c>
    </x:row>
    <x:row r="27" ht="18" customHeight="1">
      <x:c r="A27" s="31" t="inlineStr">
        <x:is>
          <x:t xml:space="preserve">СОГ-00026</x:t>
        </x:is>
      </x:c>
      <x:c r="B27" s="31" t="inlineStr">
        <x:is>
          <x:t xml:space="preserve">Скидка/маржа</x:t>
        </x:is>
      </x:c>
      <x:c r="C27" s="31" t="inlineStr">
        <x:is>
          <x:t xml:space="preserve">ПОЗ-0043-3</x:t>
        </x:is>
      </x:c>
      <x:c r="D27" s="31" t="inlineStr">
        <x:is>
          <x:t xml:space="preserve">ЗК-1043</x:t>
        </x:is>
      </x:c>
      <x:c r="E27" s="31" t="n">
        <x:v>176941</x:v>
      </x:c>
      <x:c r="F27" s="31" t="inlineStr">
        <x:is>
          <x:t xml:space="preserve">Черновик</x:t>
        </x:is>
      </x:c>
      <x:c r="G27" s="31" t="inlineStr">
        <x:is>
          <x:t xml:space="preserve">СОТР-002</x:t>
        </x:is>
      </x:c>
      <x:c r="H27" s="31" t="n">
        <x:v>46163</x:v>
      </x:c>
      <x:c r="I27" s="31" t="n">
        <x:v>46184</x:v>
      </x:c>
      <x:c r="J27" s="31" t="inlineStr">
        <x:is>
          <x:t xml:space="preserve">Обычный</x:t>
        </x:is>
      </x:c>
      <x:c r="K27" s="31" t="inlineStr">
        <x:is>
          <x:t xml:space="preserve">Основание согласования Скидка/маржа</x:t>
        </x:is>
      </x:c>
    </x:row>
    <x:row r="28" ht="18" customHeight="1">
      <x:c r="A28" s="31" t="inlineStr">
        <x:is>
          <x:t xml:space="preserve">СОГ-00027</x:t>
        </x:is>
      </x:c>
      <x:c r="B28" s="31" t="inlineStr">
        <x:is>
          <x:t xml:space="preserve">Скидка/маржа</x:t>
        </x:is>
      </x:c>
      <x:c r="C28" s="31" t="inlineStr">
        <x:is>
          <x:t xml:space="preserve">ПОЗ-0045-3</x:t>
        </x:is>
      </x:c>
      <x:c r="D28" s="31" t="inlineStr">
        <x:is>
          <x:t xml:space="preserve">ЗК-1045</x:t>
        </x:is>
      </x:c>
      <x:c r="E28" s="31" t="n">
        <x:v>4836891</x:v>
      </x:c>
      <x:c r="F28" s="31" t="inlineStr">
        <x:is>
          <x:t xml:space="preserve">На согласовании</x:t>
        </x:is>
      </x:c>
      <x:c r="G28" s="31" t="inlineStr">
        <x:is>
          <x:t xml:space="preserve">СОТР-002</x:t>
        </x:is>
      </x:c>
      <x:c r="H28" s="31" t="n">
        <x:v>46183</x:v>
      </x:c>
      <x:c r="I28" s="31" t="n">
        <x:v>46198</x:v>
      </x:c>
      <x:c r="J28" s="31" t="inlineStr">
        <x:is>
          <x:t xml:space="preserve">Комитет</x:t>
        </x:is>
      </x:c>
      <x:c r="K28" s="31" t="inlineStr">
        <x:is>
          <x:t xml:space="preserve">Основание согласования Скидка/маржа</x:t>
        </x:is>
      </x:c>
    </x:row>
    <x:row r="29" ht="18" customHeight="1">
      <x:c r="A29" s="31" t="inlineStr">
        <x:is>
          <x:t xml:space="preserve">СОГ-00028</x:t>
        </x:is>
      </x:c>
      <x:c r="B29" s="31" t="inlineStr">
        <x:is>
          <x:t xml:space="preserve">Скидка/маржа</x:t>
        </x:is>
      </x:c>
      <x:c r="C29" s="31" t="inlineStr">
        <x:is>
          <x:t xml:space="preserve">ПОЗ-0047-1</x:t>
        </x:is>
      </x:c>
      <x:c r="D29" s="31" t="inlineStr">
        <x:is>
          <x:t xml:space="preserve">ЗК-1047</x:t>
        </x:is>
      </x:c>
      <x:c r="E29" s="31" t="n">
        <x:v>452683</x:v>
      </x:c>
      <x:c r="F29" s="31" t="inlineStr">
        <x:is>
          <x:t xml:space="preserve">Согласовано</x:t>
        </x:is>
      </x:c>
      <x:c r="G29" s="31" t="inlineStr">
        <x:is>
          <x:t xml:space="preserve">СОТР-030</x:t>
        </x:is>
      </x:c>
      <x:c r="H29" s="31" t="n">
        <x:v>46137</x:v>
      </x:c>
      <x:c r="I29" s="31" t="n">
        <x:v>46183</x:v>
      </x:c>
      <x:c r="J29" s="31" t="inlineStr">
        <x:is>
          <x:t xml:space="preserve">Обычный</x:t>
        </x:is>
      </x:c>
      <x:c r="K29" s="31" t="inlineStr">
        <x:is>
          <x:t xml:space="preserve">Основание согласования Скидка/маржа</x:t>
        </x:is>
      </x:c>
    </x:row>
    <x:row r="30" ht="18" customHeight="1">
      <x:c r="A30" s="31" t="inlineStr">
        <x:is>
          <x:t xml:space="preserve">СОГ-00029</x:t>
        </x:is>
      </x:c>
      <x:c r="B30" s="31" t="inlineStr">
        <x:is>
          <x:t xml:space="preserve">Скидка/маржа</x:t>
        </x:is>
      </x:c>
      <x:c r="C30" s="31" t="inlineStr">
        <x:is>
          <x:t xml:space="preserve">ПОЗ-0049-3</x:t>
        </x:is>
      </x:c>
      <x:c r="D30" s="31" t="inlineStr">
        <x:is>
          <x:t xml:space="preserve">ЗК-1049</x:t>
        </x:is>
      </x:c>
      <x:c r="E30" s="31" t="n">
        <x:v>190619</x:v>
      </x:c>
      <x:c r="F30" s="31" t="inlineStr">
        <x:is>
          <x:t xml:space="preserve">Согласовано</x:t>
        </x:is>
      </x:c>
      <x:c r="G30" s="31" t="inlineStr">
        <x:is>
          <x:t xml:space="preserve">СОТР-030</x:t>
        </x:is>
      </x:c>
      <x:c r="H30" s="31" t="n">
        <x:v>46160</x:v>
      </x:c>
      <x:c r="I30" s="31" t="n">
        <x:v>46193</x:v>
      </x:c>
      <x:c r="J30" s="31" t="inlineStr">
        <x:is>
          <x:t xml:space="preserve">Обычный</x:t>
        </x:is>
      </x:c>
      <x:c r="K30" s="31" t="inlineStr">
        <x:is>
          <x:t xml:space="preserve">Основание согласования Скидка/маржа</x:t>
        </x:is>
      </x:c>
    </x:row>
    <x:row r="31" ht="18" customHeight="1">
      <x:c r="A31" s="31" t="inlineStr">
        <x:is>
          <x:t xml:space="preserve">СОГ-00030</x:t>
        </x:is>
      </x:c>
      <x:c r="B31" s="31" t="inlineStr">
        <x:is>
          <x:t xml:space="preserve">Скидка/маржа</x:t>
        </x:is>
      </x:c>
      <x:c r="C31" s="31" t="inlineStr">
        <x:is>
          <x:t xml:space="preserve">ПОЗ-0050-1</x:t>
        </x:is>
      </x:c>
      <x:c r="D31" s="31" t="inlineStr">
        <x:is>
          <x:t xml:space="preserve">ЗК-1050</x:t>
        </x:is>
      </x:c>
      <x:c r="E31" s="31" t="n">
        <x:v>247133</x:v>
      </x:c>
      <x:c r="F31" s="31" t="inlineStr">
        <x:is>
          <x:t xml:space="preserve">Согласовано</x:t>
        </x:is>
      </x:c>
      <x:c r="G31" s="31" t="inlineStr">
        <x:is>
          <x:t xml:space="preserve">СОТР-018</x:t>
        </x:is>
      </x:c>
      <x:c r="H31" s="31" t="n">
        <x:v>46153</x:v>
      </x:c>
      <x:c r="I31" s="31" t="n">
        <x:v>46186</x:v>
      </x:c>
      <x:c r="J31" s="31" t="inlineStr">
        <x:is>
          <x:t xml:space="preserve">Обычный</x:t>
        </x:is>
      </x:c>
      <x:c r="K31" s="31" t="inlineStr">
        <x:is>
          <x:t xml:space="preserve">Основание согласования Скидка/маржа</x:t>
        </x:is>
      </x:c>
    </x:row>
    <x:row r="32" ht="18" customHeight="1">
      <x:c r="A32" s="31" t="inlineStr">
        <x:is>
          <x:t xml:space="preserve">СОГ-00031</x:t>
        </x:is>
      </x:c>
      <x:c r="B32" s="31" t="inlineStr">
        <x:is>
          <x:t xml:space="preserve">Скидка/маржа</x:t>
        </x:is>
      </x:c>
      <x:c r="C32" s="31" t="inlineStr">
        <x:is>
          <x:t xml:space="preserve">ПОЗ-0052-2</x:t>
        </x:is>
      </x:c>
      <x:c r="D32" s="31" t="inlineStr">
        <x:is>
          <x:t xml:space="preserve">ЗК-1052</x:t>
        </x:is>
      </x:c>
      <x:c r="E32" s="31" t="n">
        <x:v>143397</x:v>
      </x:c>
      <x:c r="F32" s="31" t="inlineStr">
        <x:is>
          <x:t xml:space="preserve">Требует доработки</x:t>
        </x:is>
      </x:c>
      <x:c r="G32" s="31" t="inlineStr">
        <x:is>
          <x:t xml:space="preserve">СОТР-018</x:t>
        </x:is>
      </x:c>
      <x:c r="H32" s="31" t="n">
        <x:v>46175</x:v>
      </x:c>
      <x:c r="I32" s="31" t="n">
        <x:v>46199</x:v>
      </x:c>
      <x:c r="J32" s="31" t="inlineStr">
        <x:is>
          <x:t xml:space="preserve">Ускоренный</x:t>
        </x:is>
      </x:c>
      <x:c r="K32" s="31" t="inlineStr">
        <x:is>
          <x:t xml:space="preserve">Основание согласования Скидка/маржа</x:t>
        </x:is>
      </x:c>
    </x:row>
    <x:row r="33" ht="18" customHeight="1">
      <x:c r="A33" s="31" t="inlineStr">
        <x:is>
          <x:t xml:space="preserve">СОГ-00032</x:t>
        </x:is>
      </x:c>
      <x:c r="B33" s="31" t="inlineStr">
        <x:is>
          <x:t xml:space="preserve">Скидка/маржа</x:t>
        </x:is>
      </x:c>
      <x:c r="C33" s="31" t="inlineStr">
        <x:is>
          <x:t xml:space="preserve">ПОЗ-0052-3</x:t>
        </x:is>
      </x:c>
      <x:c r="D33" s="31" t="inlineStr">
        <x:is>
          <x:t xml:space="preserve">ЗК-1052</x:t>
        </x:is>
      </x:c>
      <x:c r="E33" s="31" t="n">
        <x:v>425486</x:v>
      </x:c>
      <x:c r="F33" s="31" t="inlineStr">
        <x:is>
          <x:t xml:space="preserve">Черновик</x:t>
        </x:is>
      </x:c>
      <x:c r="G33" s="31" t="inlineStr">
        <x:is>
          <x:t xml:space="preserve">СОТР-030</x:t>
        </x:is>
      </x:c>
      <x:c r="H33" s="31" t="n">
        <x:v>46172</x:v>
      </x:c>
      <x:c r="I33" s="31" t="n">
        <x:v>46195</x:v>
      </x:c>
      <x:c r="J33" s="31" t="inlineStr">
        <x:is>
          <x:t xml:space="preserve">Обычный</x:t>
        </x:is>
      </x:c>
      <x:c r="K33" s="31" t="inlineStr">
        <x:is>
          <x:t xml:space="preserve">Основание согласования Скидка/маржа</x:t>
        </x:is>
      </x:c>
    </x:row>
    <x:row r="34" ht="18" customHeight="1">
      <x:c r="A34" s="31" t="inlineStr">
        <x:is>
          <x:t xml:space="preserve">СОГ-00033</x:t>
        </x:is>
      </x:c>
      <x:c r="B34" s="31" t="inlineStr">
        <x:is>
          <x:t xml:space="preserve">Скидка/маржа</x:t>
        </x:is>
      </x:c>
      <x:c r="C34" s="31" t="inlineStr">
        <x:is>
          <x:t xml:space="preserve">ПОЗ-0053-1</x:t>
        </x:is>
      </x:c>
      <x:c r="D34" s="31" t="inlineStr">
        <x:is>
          <x:t xml:space="preserve">ЗК-1053</x:t>
        </x:is>
      </x:c>
      <x:c r="E34" s="31" t="n">
        <x:v>598324</x:v>
      </x:c>
      <x:c r="F34" s="31" t="inlineStr">
        <x:is>
          <x:t xml:space="preserve">На согласовании</x:t>
        </x:is>
      </x:c>
      <x:c r="G34" s="31" t="inlineStr">
        <x:is>
          <x:t xml:space="preserve">СОТР-018</x:t>
        </x:is>
      </x:c>
      <x:c r="H34" s="31" t="n">
        <x:v>46142</x:v>
      </x:c>
      <x:c r="I34" s="31" t="n">
        <x:v>46197</x:v>
      </x:c>
      <x:c r="J34" s="31" t="inlineStr">
        <x:is>
          <x:t xml:space="preserve">Комитет</x:t>
        </x:is>
      </x:c>
      <x:c r="K34" s="31" t="inlineStr">
        <x:is>
          <x:t xml:space="preserve">Основание согласования Скидка/маржа</x:t>
        </x:is>
      </x:c>
    </x:row>
    <x:row r="35" ht="18" customHeight="1">
      <x:c r="A35" s="31" t="inlineStr">
        <x:is>
          <x:t xml:space="preserve">СОГ-00034</x:t>
        </x:is>
      </x:c>
      <x:c r="B35" s="31" t="inlineStr">
        <x:is>
          <x:t xml:space="preserve">Скидка/маржа</x:t>
        </x:is>
      </x:c>
      <x:c r="C35" s="31" t="inlineStr">
        <x:is>
          <x:t xml:space="preserve">ПОЗ-0055-2</x:t>
        </x:is>
      </x:c>
      <x:c r="D35" s="31" t="inlineStr">
        <x:is>
          <x:t xml:space="preserve">ЗК-1055</x:t>
        </x:is>
      </x:c>
      <x:c r="E35" s="31" t="n">
        <x:v>1023293</x:v>
      </x:c>
      <x:c r="F35" s="31" t="inlineStr">
        <x:is>
          <x:t xml:space="preserve">На согласовании</x:t>
        </x:is>
      </x:c>
      <x:c r="G35" s="31" t="inlineStr">
        <x:is>
          <x:t xml:space="preserve">СОТР-001</x:t>
        </x:is>
      </x:c>
      <x:c r="H35" s="31" t="n">
        <x:v>46166</x:v>
      </x:c>
      <x:c r="I35" s="31" t="n">
        <x:v>46183</x:v>
      </x:c>
      <x:c r="J35" s="31" t="inlineStr">
        <x:is>
          <x:t xml:space="preserve">Ускоренный</x:t>
        </x:is>
      </x:c>
      <x:c r="K35" s="31" t="inlineStr">
        <x:is>
          <x:t xml:space="preserve">Основание согласования Скидка/маржа</x:t>
        </x:is>
      </x:c>
    </x:row>
    <x:row r="36" ht="18" customHeight="1">
      <x:c r="A36" s="31" t="inlineStr">
        <x:is>
          <x:t xml:space="preserve">СОГ-00035</x:t>
        </x:is>
      </x:c>
      <x:c r="B36" s="31" t="inlineStr">
        <x:is>
          <x:t xml:space="preserve">Скидка/маржа</x:t>
        </x:is>
      </x:c>
      <x:c r="C36" s="31" t="inlineStr">
        <x:is>
          <x:t xml:space="preserve">ПОЗ-0056-4</x:t>
        </x:is>
      </x:c>
      <x:c r="D36" s="31" t="inlineStr">
        <x:is>
          <x:t xml:space="preserve">ЗК-1056</x:t>
        </x:is>
      </x:c>
      <x:c r="E36" s="31" t="n">
        <x:v>546506</x:v>
      </x:c>
      <x:c r="F36" s="31" t="inlineStr">
        <x:is>
          <x:t xml:space="preserve">Согласовано</x:t>
        </x:is>
      </x:c>
      <x:c r="G36" s="31" t="inlineStr">
        <x:is>
          <x:t xml:space="preserve">СОТР-018</x:t>
        </x:is>
      </x:c>
      <x:c r="H36" s="31" t="n">
        <x:v>46149</x:v>
      </x:c>
      <x:c r="I36" s="31" t="n">
        <x:v>46199</x:v>
      </x:c>
      <x:c r="J36" s="31" t="inlineStr">
        <x:is>
          <x:t xml:space="preserve">Ускоренный</x:t>
        </x:is>
      </x:c>
      <x:c r="K36" s="31" t="inlineStr">
        <x:is>
          <x:t xml:space="preserve">Основание согласования Скидка/маржа</x:t>
        </x:is>
      </x:c>
    </x:row>
    <x:row r="37" ht="18" customHeight="1">
      <x:c r="A37" s="31" t="inlineStr">
        <x:is>
          <x:t xml:space="preserve">СОГ-00036</x:t>
        </x:is>
      </x:c>
      <x:c r="B37" s="31" t="inlineStr">
        <x:is>
          <x:t xml:space="preserve">Скидка/маржа</x:t>
        </x:is>
      </x:c>
      <x:c r="C37" s="31" t="inlineStr">
        <x:is>
          <x:t xml:space="preserve">ПОЗ-0057-2</x:t>
        </x:is>
      </x:c>
      <x:c r="D37" s="31" t="inlineStr">
        <x:is>
          <x:t xml:space="preserve">ЗК-1057</x:t>
        </x:is>
      </x:c>
      <x:c r="E37" s="31" t="n">
        <x:v>216282</x:v>
      </x:c>
      <x:c r="F37" s="31" t="inlineStr">
        <x:is>
          <x:t xml:space="preserve">Требует доработки</x:t>
        </x:is>
      </x:c>
      <x:c r="G37" s="31" t="inlineStr">
        <x:is>
          <x:t xml:space="preserve">СОТР-030</x:t>
        </x:is>
      </x:c>
      <x:c r="H37" s="31" t="n">
        <x:v>46167</x:v>
      </x:c>
      <x:c r="I37" s="31" t="n">
        <x:v>46190</x:v>
      </x:c>
      <x:c r="J37" s="31" t="inlineStr">
        <x:is>
          <x:t xml:space="preserve">Обычный</x:t>
        </x:is>
      </x:c>
      <x:c r="K37" s="31" t="inlineStr">
        <x:is>
          <x:t xml:space="preserve">Основание согласования Скидка/маржа</x:t>
        </x:is>
      </x:c>
    </x:row>
    <x:row r="38" ht="18" customHeight="1">
      <x:c r="A38" s="31" t="inlineStr">
        <x:is>
          <x:t xml:space="preserve">СОГ-00037</x:t>
        </x:is>
      </x:c>
      <x:c r="B38" s="31" t="inlineStr">
        <x:is>
          <x:t xml:space="preserve">Скидка/маржа</x:t>
        </x:is>
      </x:c>
      <x:c r="C38" s="31" t="inlineStr">
        <x:is>
          <x:t xml:space="preserve">ПОЗ-0060-1</x:t>
        </x:is>
      </x:c>
      <x:c r="D38" s="31" t="inlineStr">
        <x:is>
          <x:t xml:space="preserve">ЗК-1060</x:t>
        </x:is>
      </x:c>
      <x:c r="E38" s="31" t="n">
        <x:v>227183</x:v>
      </x:c>
      <x:c r="F38" s="31" t="inlineStr">
        <x:is>
          <x:t xml:space="preserve">На согласовании</x:t>
        </x:is>
      </x:c>
      <x:c r="G38" s="31" t="inlineStr">
        <x:is>
          <x:t xml:space="preserve">СОТР-030</x:t>
        </x:is>
      </x:c>
      <x:c r="H38" s="31" t="n">
        <x:v>46139</x:v>
      </x:c>
      <x:c r="I38" s="31" t="n">
        <x:v>46188</x:v>
      </x:c>
      <x:c r="J38" s="31" t="inlineStr">
        <x:is>
          <x:t xml:space="preserve">Комитет</x:t>
        </x:is>
      </x:c>
      <x:c r="K38" s="31" t="inlineStr">
        <x:is>
          <x:t xml:space="preserve">Основание согласования Скидка/маржа</x:t>
        </x:is>
      </x:c>
    </x:row>
    <x:row r="39" ht="18" customHeight="1">
      <x:c r="A39" s="31" t="inlineStr">
        <x:is>
          <x:t xml:space="preserve">СОГ-00038</x:t>
        </x:is>
      </x:c>
      <x:c r="B39" s="31" t="inlineStr">
        <x:is>
          <x:t xml:space="preserve">Скидка/маржа</x:t>
        </x:is>
      </x:c>
      <x:c r="C39" s="31" t="inlineStr">
        <x:is>
          <x:t xml:space="preserve">ПОЗ-0060-2</x:t>
        </x:is>
      </x:c>
      <x:c r="D39" s="31" t="inlineStr">
        <x:is>
          <x:t xml:space="preserve">ЗК-1060</x:t>
        </x:is>
      </x:c>
      <x:c r="E39" s="31" t="n">
        <x:v>425067</x:v>
      </x:c>
      <x:c r="F39" s="31" t="inlineStr">
        <x:is>
          <x:t xml:space="preserve">Согласовано</x:t>
        </x:is>
      </x:c>
      <x:c r="G39" s="31" t="inlineStr">
        <x:is>
          <x:t xml:space="preserve">СОТР-011</x:t>
        </x:is>
      </x:c>
      <x:c r="H39" s="31" t="n">
        <x:v>46170</x:v>
      </x:c>
      <x:c r="I39" s="31" t="n">
        <x:v>46196</x:v>
      </x:c>
      <x:c r="J39" s="31" t="inlineStr">
        <x:is>
          <x:t xml:space="preserve">Обычный</x:t>
        </x:is>
      </x:c>
      <x:c r="K39" s="31" t="inlineStr">
        <x:is>
          <x:t xml:space="preserve">Основание согласования Скидка/маржа</x:t>
        </x:is>
      </x:c>
    </x:row>
    <x:row r="40" ht="18" customHeight="1">
      <x:c r="A40" s="31" t="inlineStr">
        <x:is>
          <x:t xml:space="preserve">СОГ-00039</x:t>
        </x:is>
      </x:c>
      <x:c r="B40" s="31" t="inlineStr">
        <x:is>
          <x:t xml:space="preserve">Скидка/маржа</x:t>
        </x:is>
      </x:c>
      <x:c r="C40" s="31" t="inlineStr">
        <x:is>
          <x:t xml:space="preserve">ПОЗ-0061-2</x:t>
        </x:is>
      </x:c>
      <x:c r="D40" s="31" t="inlineStr">
        <x:is>
          <x:t xml:space="preserve">ЗК-1061</x:t>
        </x:is>
      </x:c>
      <x:c r="E40" s="31" t="n">
        <x:v>243935</x:v>
      </x:c>
      <x:c r="F40" s="31" t="inlineStr">
        <x:is>
          <x:t xml:space="preserve">Требует доработки</x:t>
        </x:is>
      </x:c>
      <x:c r="G40" s="31" t="inlineStr">
        <x:is>
          <x:t xml:space="preserve">СОТР-011</x:t>
        </x:is>
      </x:c>
      <x:c r="H40" s="31" t="n">
        <x:v>46183</x:v>
      </x:c>
      <x:c r="I40" s="31" t="n">
        <x:v>46191</x:v>
      </x:c>
      <x:c r="J40" s="31" t="inlineStr">
        <x:is>
          <x:t xml:space="preserve">Комитет</x:t>
        </x:is>
      </x:c>
      <x:c r="K40" s="31" t="inlineStr">
        <x:is>
          <x:t xml:space="preserve">Основание согласования Скидка/маржа</x:t>
        </x:is>
      </x:c>
    </x:row>
    <x:row r="41" ht="18" customHeight="1">
      <x:c r="A41" s="31" t="inlineStr">
        <x:is>
          <x:t xml:space="preserve">СОГ-00040</x:t>
        </x:is>
      </x:c>
      <x:c r="B41" s="31" t="inlineStr">
        <x:is>
          <x:t xml:space="preserve">Скидка/маржа</x:t>
        </x:is>
      </x:c>
      <x:c r="C41" s="31" t="inlineStr">
        <x:is>
          <x:t xml:space="preserve">ПОЗ-0063-2</x:t>
        </x:is>
      </x:c>
      <x:c r="D41" s="31" t="inlineStr">
        <x:is>
          <x:t xml:space="preserve">ЗК-1063</x:t>
        </x:is>
      </x:c>
      <x:c r="E41" s="31" t="n">
        <x:v>4462664</x:v>
      </x:c>
      <x:c r="F41" s="31" t="inlineStr">
        <x:is>
          <x:t xml:space="preserve">Согласовано</x:t>
        </x:is>
      </x:c>
      <x:c r="G41" s="31" t="inlineStr">
        <x:is>
          <x:t xml:space="preserve">СОТР-076</x:t>
        </x:is>
      </x:c>
      <x:c r="H41" s="31" t="n">
        <x:v>46142</x:v>
      </x:c>
      <x:c r="I41" s="31" t="n">
        <x:v>46191</x:v>
      </x:c>
      <x:c r="J41" s="31" t="inlineStr">
        <x:is>
          <x:t xml:space="preserve">Обычный</x:t>
        </x:is>
      </x:c>
      <x:c r="K41" s="31" t="inlineStr">
        <x:is>
          <x:t xml:space="preserve">Основание согласования Скидка/маржа</x:t>
        </x:is>
      </x:c>
    </x:row>
    <x:row r="42" ht="18" customHeight="1">
      <x:c r="A42" s="31" t="inlineStr">
        <x:is>
          <x:t xml:space="preserve">СОГ-00041</x:t>
        </x:is>
      </x:c>
      <x:c r="B42" s="31" t="inlineStr">
        <x:is>
          <x:t xml:space="preserve">Скидка/маржа</x:t>
        </x:is>
      </x:c>
      <x:c r="C42" s="31" t="inlineStr">
        <x:is>
          <x:t xml:space="preserve">ПОЗ-0065-1</x:t>
        </x:is>
      </x:c>
      <x:c r="D42" s="31" t="inlineStr">
        <x:is>
          <x:t xml:space="preserve">ЗК-1065</x:t>
        </x:is>
      </x:c>
      <x:c r="E42" s="31" t="n">
        <x:v>954083</x:v>
      </x:c>
      <x:c r="F42" s="31" t="inlineStr">
        <x:is>
          <x:t xml:space="preserve">Требует доработки</x:t>
        </x:is>
      </x:c>
      <x:c r="G42" s="31" t="inlineStr">
        <x:is>
          <x:t xml:space="preserve">СОТР-076</x:t>
        </x:is>
      </x:c>
      <x:c r="H42" s="31" t="n">
        <x:v>46172</x:v>
      </x:c>
      <x:c r="I42" s="31" t="n">
        <x:v>46188</x:v>
      </x:c>
      <x:c r="J42" s="31" t="inlineStr">
        <x:is>
          <x:t xml:space="preserve">Обычный</x:t>
        </x:is>
      </x:c>
      <x:c r="K42" s="31" t="inlineStr">
        <x:is>
          <x:t xml:space="preserve">Основание согласования Скидка/маржа</x:t>
        </x:is>
      </x:c>
    </x:row>
    <x:row r="43" ht="18" customHeight="1">
      <x:c r="A43" s="31" t="inlineStr">
        <x:is>
          <x:t xml:space="preserve">СОГ-00042</x:t>
        </x:is>
      </x:c>
      <x:c r="B43" s="31" t="inlineStr">
        <x:is>
          <x:t xml:space="preserve">Скидка/маржа</x:t>
        </x:is>
      </x:c>
      <x:c r="C43" s="31" t="inlineStr">
        <x:is>
          <x:t xml:space="preserve">ПОЗ-0066-3</x:t>
        </x:is>
      </x:c>
      <x:c r="D43" s="31" t="inlineStr">
        <x:is>
          <x:t xml:space="preserve">ЗК-1066</x:t>
        </x:is>
      </x:c>
      <x:c r="E43" s="31" t="n">
        <x:v>895433</x:v>
      </x:c>
      <x:c r="F43" s="31" t="inlineStr">
        <x:is>
          <x:t xml:space="preserve">Отклонено</x:t>
        </x:is>
      </x:c>
      <x:c r="G43" s="31" t="inlineStr">
        <x:is>
          <x:t xml:space="preserve">СОТР-001</x:t>
        </x:is>
      </x:c>
      <x:c r="H43" s="31" t="n">
        <x:v>46156</x:v>
      </x:c>
      <x:c r="I43" s="31" t="n">
        <x:v>46191</x:v>
      </x:c>
      <x:c r="J43" s="31" t="inlineStr">
        <x:is>
          <x:t xml:space="preserve">Ускоренный</x:t>
        </x:is>
      </x:c>
      <x:c r="K43" s="31" t="inlineStr">
        <x:is>
          <x:t xml:space="preserve">Основание согласования Скидка/маржа</x:t>
        </x:is>
      </x:c>
    </x:row>
    <x:row r="44" ht="18" customHeight="1">
      <x:c r="A44" s="31" t="inlineStr">
        <x:is>
          <x:t xml:space="preserve">СОГ-00043</x:t>
        </x:is>
      </x:c>
      <x:c r="B44" s="31" t="inlineStr">
        <x:is>
          <x:t xml:space="preserve">Скидка/маржа</x:t>
        </x:is>
      </x:c>
      <x:c r="C44" s="31" t="inlineStr">
        <x:is>
          <x:t xml:space="preserve">ПОЗ-0066-4</x:t>
        </x:is>
      </x:c>
      <x:c r="D44" s="31" t="inlineStr">
        <x:is>
          <x:t xml:space="preserve">ЗК-1066</x:t>
        </x:is>
      </x:c>
      <x:c r="E44" s="31" t="n">
        <x:v>339296</x:v>
      </x:c>
      <x:c r="F44" s="31" t="inlineStr">
        <x:is>
          <x:t xml:space="preserve">Согласовано</x:t>
        </x:is>
      </x:c>
      <x:c r="G44" s="31" t="inlineStr">
        <x:is>
          <x:t xml:space="preserve">СОТР-063</x:t>
        </x:is>
      </x:c>
      <x:c r="H44" s="31" t="n">
        <x:v>46147</x:v>
      </x:c>
      <x:c r="I44" s="31" t="n">
        <x:v>46199</x:v>
      </x:c>
      <x:c r="J44" s="31" t="inlineStr">
        <x:is>
          <x:t xml:space="preserve">Обычный</x:t>
        </x:is>
      </x:c>
      <x:c r="K44" s="31" t="inlineStr">
        <x:is>
          <x:t xml:space="preserve">Основание согласования Скидка/маржа</x:t>
        </x:is>
      </x:c>
    </x:row>
    <x:row r="45" ht="18" customHeight="1">
      <x:c r="A45" s="31" t="inlineStr">
        <x:is>
          <x:t xml:space="preserve">СОГ-00044</x:t>
        </x:is>
      </x:c>
      <x:c r="B45" s="31" t="inlineStr">
        <x:is>
          <x:t xml:space="preserve">Скидка/маржа</x:t>
        </x:is>
      </x:c>
      <x:c r="C45" s="31" t="inlineStr">
        <x:is>
          <x:t xml:space="preserve">ПОЗ-0071-1</x:t>
        </x:is>
      </x:c>
      <x:c r="D45" s="31" t="inlineStr">
        <x:is>
          <x:t xml:space="preserve">ЗК-1071</x:t>
        </x:is>
      </x:c>
      <x:c r="E45" s="31" t="n">
        <x:v>576972</x:v>
      </x:c>
      <x:c r="F45" s="31" t="inlineStr">
        <x:is>
          <x:t xml:space="preserve">На согласовании</x:t>
        </x:is>
      </x:c>
      <x:c r="G45" s="31" t="inlineStr">
        <x:is>
          <x:t xml:space="preserve">СОТР-011</x:t>
        </x:is>
      </x:c>
      <x:c r="H45" s="31" t="n">
        <x:v>46155</x:v>
      </x:c>
      <x:c r="I45" s="31" t="n">
        <x:v>46190</x:v>
      </x:c>
      <x:c r="J45" s="31" t="inlineStr">
        <x:is>
          <x:t xml:space="preserve">Обычный</x:t>
        </x:is>
      </x:c>
      <x:c r="K45" s="31" t="inlineStr">
        <x:is>
          <x:t xml:space="preserve">Основание согласования Скидка/маржа</x:t>
        </x:is>
      </x:c>
    </x:row>
    <x:row r="46" ht="18" customHeight="1">
      <x:c r="A46" s="31" t="inlineStr">
        <x:is>
          <x:t xml:space="preserve">СОГ-00045</x:t>
        </x:is>
      </x:c>
      <x:c r="B46" s="31" t="inlineStr">
        <x:is>
          <x:t xml:space="preserve">Скидка/маржа</x:t>
        </x:is>
      </x:c>
      <x:c r="C46" s="31" t="inlineStr">
        <x:is>
          <x:t xml:space="preserve">ПОЗ-0072-1</x:t>
        </x:is>
      </x:c>
      <x:c r="D46" s="31" t="inlineStr">
        <x:is>
          <x:t xml:space="preserve">ЗК-1072</x:t>
        </x:is>
      </x:c>
      <x:c r="E46" s="31" t="n">
        <x:v>234305</x:v>
      </x:c>
      <x:c r="F46" s="31" t="inlineStr">
        <x:is>
          <x:t xml:space="preserve">Требует доработки</x:t>
        </x:is>
      </x:c>
      <x:c r="G46" s="31" t="inlineStr">
        <x:is>
          <x:t xml:space="preserve">СОТР-011</x:t>
        </x:is>
      </x:c>
      <x:c r="H46" s="31" t="n">
        <x:v>46146</x:v>
      </x:c>
      <x:c r="I46" s="31" t="n">
        <x:v>46187</x:v>
      </x:c>
      <x:c r="J46" s="31" t="inlineStr">
        <x:is>
          <x:t xml:space="preserve">Ускоренный</x:t>
        </x:is>
      </x:c>
      <x:c r="K46" s="31" t="inlineStr">
        <x:is>
          <x:t xml:space="preserve">Основание согласования Скидка/маржа</x:t>
        </x:is>
      </x:c>
    </x:row>
    <x:row r="47" ht="18" customHeight="1">
      <x:c r="A47" s="31" t="inlineStr">
        <x:is>
          <x:t xml:space="preserve">СОГ-00046</x:t>
        </x:is>
      </x:c>
      <x:c r="B47" s="31" t="inlineStr">
        <x:is>
          <x:t xml:space="preserve">Скидка/маржа</x:t>
        </x:is>
      </x:c>
      <x:c r="C47" s="31" t="inlineStr">
        <x:is>
          <x:t xml:space="preserve">ПОЗ-0073-1</x:t>
        </x:is>
      </x:c>
      <x:c r="D47" s="31" t="inlineStr">
        <x:is>
          <x:t xml:space="preserve">ЗК-1073</x:t>
        </x:is>
      </x:c>
      <x:c r="E47" s="31" t="n">
        <x:v>764768</x:v>
      </x:c>
      <x:c r="F47" s="31" t="inlineStr">
        <x:is>
          <x:t xml:space="preserve">Отклонено</x:t>
        </x:is>
      </x:c>
      <x:c r="G47" s="31" t="inlineStr">
        <x:is>
          <x:t xml:space="preserve">СОТР-063</x:t>
        </x:is>
      </x:c>
      <x:c r="H47" s="31" t="n">
        <x:v>46175</x:v>
      </x:c>
      <x:c r="I47" s="31" t="n">
        <x:v>46185</x:v>
      </x:c>
      <x:c r="J47" s="31" t="inlineStr">
        <x:is>
          <x:t xml:space="preserve">Комитет</x:t>
        </x:is>
      </x:c>
      <x:c r="K47" s="31" t="inlineStr">
        <x:is>
          <x:t xml:space="preserve">Основание согласования Скидка/маржа</x:t>
        </x:is>
      </x:c>
    </x:row>
    <x:row r="48" ht="18" customHeight="1">
      <x:c r="A48" s="31" t="inlineStr">
        <x:is>
          <x:t xml:space="preserve">СОГ-00047</x:t>
        </x:is>
      </x:c>
      <x:c r="B48" s="31" t="inlineStr">
        <x:is>
          <x:t xml:space="preserve">Скидка/маржа</x:t>
        </x:is>
      </x:c>
      <x:c r="C48" s="31" t="inlineStr">
        <x:is>
          <x:t xml:space="preserve">ПОЗ-0073-2</x:t>
        </x:is>
      </x:c>
      <x:c r="D48" s="31" t="inlineStr">
        <x:is>
          <x:t xml:space="preserve">ЗК-1073</x:t>
        </x:is>
      </x:c>
      <x:c r="E48" s="31" t="n">
        <x:v>1763103</x:v>
      </x:c>
      <x:c r="F48" s="31" t="inlineStr">
        <x:is>
          <x:t xml:space="preserve">На согласовании</x:t>
        </x:is>
      </x:c>
      <x:c r="G48" s="31" t="inlineStr">
        <x:is>
          <x:t xml:space="preserve">СОТР-011</x:t>
        </x:is>
      </x:c>
      <x:c r="H48" s="31" t="n">
        <x:v>46167</x:v>
      </x:c>
      <x:c r="I48" s="31" t="n">
        <x:v>46198</x:v>
      </x:c>
      <x:c r="J48" s="31" t="inlineStr">
        <x:is>
          <x:t xml:space="preserve">Ускоренный</x:t>
        </x:is>
      </x:c>
      <x:c r="K48" s="31" t="inlineStr">
        <x:is>
          <x:t xml:space="preserve">Основание согласования Скидка/маржа</x:t>
        </x:is>
      </x:c>
    </x:row>
    <x:row r="49" ht="18" customHeight="1">
      <x:c r="A49" s="31" t="inlineStr">
        <x:is>
          <x:t xml:space="preserve">СОГ-00048</x:t>
        </x:is>
      </x:c>
      <x:c r="B49" s="31" t="inlineStr">
        <x:is>
          <x:t xml:space="preserve">Скидка/маржа</x:t>
        </x:is>
      </x:c>
      <x:c r="C49" s="31" t="inlineStr">
        <x:is>
          <x:t xml:space="preserve">ПОЗ-0073-3</x:t>
        </x:is>
      </x:c>
      <x:c r="D49" s="31" t="inlineStr">
        <x:is>
          <x:t xml:space="preserve">ЗК-1073</x:t>
        </x:is>
      </x:c>
      <x:c r="E49" s="31" t="n">
        <x:v>169262</x:v>
      </x:c>
      <x:c r="F49" s="31" t="inlineStr">
        <x:is>
          <x:t xml:space="preserve">Требует доработки</x:t>
        </x:is>
      </x:c>
      <x:c r="G49" s="31" t="inlineStr">
        <x:is>
          <x:t xml:space="preserve">СОТР-063</x:t>
        </x:is>
      </x:c>
      <x:c r="H49" s="31" t="n">
        <x:v>46185</x:v>
      </x:c>
      <x:c r="I49" s="31" t="n">
        <x:v>46187</x:v>
      </x:c>
      <x:c r="J49" s="31" t="inlineStr">
        <x:is>
          <x:t xml:space="preserve">Обычный</x:t>
        </x:is>
      </x:c>
      <x:c r="K49" s="31" t="inlineStr">
        <x:is>
          <x:t xml:space="preserve">Основание согласования Скидка/маржа</x:t>
        </x:is>
      </x:c>
    </x:row>
    <x:row r="50" ht="18" customHeight="1">
      <x:c r="A50" s="31" t="inlineStr">
        <x:is>
          <x:t xml:space="preserve">СОГ-00049</x:t>
        </x:is>
      </x:c>
      <x:c r="B50" s="31" t="inlineStr">
        <x:is>
          <x:t xml:space="preserve">Скидка/маржа</x:t>
        </x:is>
      </x:c>
      <x:c r="C50" s="31" t="inlineStr">
        <x:is>
          <x:t xml:space="preserve">ПОЗ-0073-4</x:t>
        </x:is>
      </x:c>
      <x:c r="D50" s="31" t="inlineStr">
        <x:is>
          <x:t xml:space="preserve">ЗК-1073</x:t>
        </x:is>
      </x:c>
      <x:c r="E50" s="31" t="n">
        <x:v>156463</x:v>
      </x:c>
      <x:c r="F50" s="31" t="inlineStr">
        <x:is>
          <x:t xml:space="preserve">Согласовано</x:t>
        </x:is>
      </x:c>
      <x:c r="G50" s="31" t="inlineStr">
        <x:is>
          <x:t xml:space="preserve">СОТР-011</x:t>
        </x:is>
      </x:c>
      <x:c r="H50" s="31" t="n">
        <x:v>46151</x:v>
      </x:c>
      <x:c r="I50" s="31" t="n">
        <x:v>46184</x:v>
      </x:c>
      <x:c r="J50" s="31" t="inlineStr">
        <x:is>
          <x:t xml:space="preserve">Обычный</x:t>
        </x:is>
      </x:c>
      <x:c r="K50" s="31" t="inlineStr">
        <x:is>
          <x:t xml:space="preserve">Основание согласования Скидка/маржа</x:t>
        </x:is>
      </x:c>
    </x:row>
    <x:row r="51" ht="18" customHeight="1">
      <x:c r="A51" s="31" t="inlineStr">
        <x:is>
          <x:t xml:space="preserve">СОГ-00050</x:t>
        </x:is>
      </x:c>
      <x:c r="B51" s="31" t="inlineStr">
        <x:is>
          <x:t xml:space="preserve">Скидка/маржа</x:t>
        </x:is>
      </x:c>
      <x:c r="C51" s="31" t="inlineStr">
        <x:is>
          <x:t xml:space="preserve">ПОЗ-0078-2</x:t>
        </x:is>
      </x:c>
      <x:c r="D51" s="31" t="inlineStr">
        <x:is>
          <x:t xml:space="preserve">ЗК-1078</x:t>
        </x:is>
      </x:c>
      <x:c r="E51" s="31" t="n">
        <x:v>1658738</x:v>
      </x:c>
      <x:c r="F51" s="31" t="inlineStr">
        <x:is>
          <x:t xml:space="preserve">Согласовано</x:t>
        </x:is>
      </x:c>
      <x:c r="G51" s="31" t="inlineStr">
        <x:is>
          <x:t xml:space="preserve">СОТР-018</x:t>
        </x:is>
      </x:c>
      <x:c r="H51" s="31" t="n">
        <x:v>46157</x:v>
      </x:c>
      <x:c r="I51" s="31" t="n">
        <x:v>46184</x:v>
      </x:c>
      <x:c r="J51" s="31" t="inlineStr">
        <x:is>
          <x:t xml:space="preserve">Обычный</x:t>
        </x:is>
      </x:c>
      <x:c r="K51" s="31" t="inlineStr">
        <x:is>
          <x:t xml:space="preserve">Основание согласования Скидка/маржа</x:t>
        </x:is>
      </x:c>
    </x:row>
    <x:row r="52" ht="18" customHeight="1">
      <x:c r="A52" s="31" t="inlineStr">
        <x:is>
          <x:t xml:space="preserve">СОГ-00051</x:t>
        </x:is>
      </x:c>
      <x:c r="B52" s="31" t="inlineStr">
        <x:is>
          <x:t xml:space="preserve">Скидка/маржа</x:t>
        </x:is>
      </x:c>
      <x:c r="C52" s="31" t="inlineStr">
        <x:is>
          <x:t xml:space="preserve">ПОЗ-0079-3</x:t>
        </x:is>
      </x:c>
      <x:c r="D52" s="31" t="inlineStr">
        <x:is>
          <x:t xml:space="preserve">ЗК-1079</x:t>
        </x:is>
      </x:c>
      <x:c r="E52" s="31" t="n">
        <x:v>2291187</x:v>
      </x:c>
      <x:c r="F52" s="31" t="inlineStr">
        <x:is>
          <x:t xml:space="preserve">На согласовании</x:t>
        </x:is>
      </x:c>
      <x:c r="G52" s="31" t="inlineStr">
        <x:is>
          <x:t xml:space="preserve">СОТР-063</x:t>
        </x:is>
      </x:c>
      <x:c r="H52" s="31" t="n">
        <x:v>46154</x:v>
      </x:c>
      <x:c r="I52" s="31" t="n">
        <x:v>46196</x:v>
      </x:c>
      <x:c r="J52" s="31" t="inlineStr">
        <x:is>
          <x:t xml:space="preserve">Обычный</x:t>
        </x:is>
      </x:c>
      <x:c r="K52" s="31" t="inlineStr">
        <x:is>
          <x:t xml:space="preserve">Основание согласования Скидка/маржа</x:t>
        </x:is>
      </x:c>
    </x:row>
    <x:row r="53" ht="18" customHeight="1">
      <x:c r="A53" s="31" t="inlineStr">
        <x:is>
          <x:t xml:space="preserve">СОГ-00052</x:t>
        </x:is>
      </x:c>
      <x:c r="B53" s="31" t="inlineStr">
        <x:is>
          <x:t xml:space="preserve">Скидка/маржа</x:t>
        </x:is>
      </x:c>
      <x:c r="C53" s="31" t="inlineStr">
        <x:is>
          <x:t xml:space="preserve">ПОЗ-0079-4</x:t>
        </x:is>
      </x:c>
      <x:c r="D53" s="31" t="inlineStr">
        <x:is>
          <x:t xml:space="preserve">ЗК-1079</x:t>
        </x:is>
      </x:c>
      <x:c r="E53" s="31" t="n">
        <x:v>143213</x:v>
      </x:c>
      <x:c r="F53" s="31" t="inlineStr">
        <x:is>
          <x:t xml:space="preserve">Черновик</x:t>
        </x:is>
      </x:c>
      <x:c r="G53" s="31" t="inlineStr">
        <x:is>
          <x:t xml:space="preserve">СОТР-018</x:t>
        </x:is>
      </x:c>
      <x:c r="H53" s="31" t="n">
        <x:v>46165</x:v>
      </x:c>
      <x:c r="I53" s="31" t="n">
        <x:v>46182</x:v>
      </x:c>
      <x:c r="J53" s="31" t="inlineStr">
        <x:is>
          <x:t xml:space="preserve">Обычный</x:t>
        </x:is>
      </x:c>
      <x:c r="K53" s="31" t="inlineStr">
        <x:is>
          <x:t xml:space="preserve">Основание согласования Скидка/маржа</x:t>
        </x:is>
      </x:c>
    </x:row>
    <x:row r="54" ht="18" customHeight="1">
      <x:c r="A54" s="31" t="inlineStr">
        <x:is>
          <x:t xml:space="preserve">СОГ-00053</x:t>
        </x:is>
      </x:c>
      <x:c r="B54" s="31" t="inlineStr">
        <x:is>
          <x:t xml:space="preserve">Скидка/маржа</x:t>
        </x:is>
      </x:c>
      <x:c r="C54" s="31" t="inlineStr">
        <x:is>
          <x:t xml:space="preserve">ПОЗ-0080-2</x:t>
        </x:is>
      </x:c>
      <x:c r="D54" s="31" t="inlineStr">
        <x:is>
          <x:t xml:space="preserve">ЗК-1080</x:t>
        </x:is>
      </x:c>
      <x:c r="E54" s="31" t="n">
        <x:v>91791</x:v>
      </x:c>
      <x:c r="F54" s="31" t="inlineStr">
        <x:is>
          <x:t xml:space="preserve">Согласовано</x:t>
        </x:is>
      </x:c>
      <x:c r="G54" s="31" t="inlineStr">
        <x:is>
          <x:t xml:space="preserve">СОТР-018</x:t>
        </x:is>
      </x:c>
      <x:c r="H54" s="31" t="n">
        <x:v>46158</x:v>
      </x:c>
      <x:c r="I54" s="31" t="n">
        <x:v>46185</x:v>
      </x:c>
      <x:c r="J54" s="31" t="inlineStr">
        <x:is>
          <x:t xml:space="preserve">Обычный</x:t>
        </x:is>
      </x:c>
      <x:c r="K54" s="31" t="inlineStr">
        <x:is>
          <x:t xml:space="preserve">Основание согласования Скидка/маржа</x:t>
        </x:is>
      </x:c>
    </x:row>
    <x:row r="55" ht="18" customHeight="1">
      <x:c r="A55" s="31" t="inlineStr">
        <x:is>
          <x:t xml:space="preserve">СОГ-00054</x:t>
        </x:is>
      </x:c>
      <x:c r="B55" s="31" t="inlineStr">
        <x:is>
          <x:t xml:space="preserve">Скидка/маржа</x:t>
        </x:is>
      </x:c>
      <x:c r="C55" s="31" t="inlineStr">
        <x:is>
          <x:t xml:space="preserve">ПОЗ-0081-1</x:t>
        </x:is>
      </x:c>
      <x:c r="D55" s="31" t="inlineStr">
        <x:is>
          <x:t xml:space="preserve">ЗК-1081</x:t>
        </x:is>
      </x:c>
      <x:c r="E55" s="31" t="n">
        <x:v>1076491</x:v>
      </x:c>
      <x:c r="F55" s="31" t="inlineStr">
        <x:is>
          <x:t xml:space="preserve">Согласовано</x:t>
        </x:is>
      </x:c>
      <x:c r="G55" s="31" t="inlineStr">
        <x:is>
          <x:t xml:space="preserve">СОТР-011</x:t>
        </x:is>
      </x:c>
      <x:c r="H55" s="31" t="n">
        <x:v>46185</x:v>
      </x:c>
      <x:c r="I55" s="31" t="n">
        <x:v>46199</x:v>
      </x:c>
      <x:c r="J55" s="31" t="inlineStr">
        <x:is>
          <x:t xml:space="preserve">Обычный</x:t>
        </x:is>
      </x:c>
      <x:c r="K55" s="31" t="inlineStr">
        <x:is>
          <x:t xml:space="preserve">Основание согласования Скидка/маржа</x:t>
        </x:is>
      </x:c>
    </x:row>
    <x:row r="56" ht="18" customHeight="1">
      <x:c r="A56" s="31" t="inlineStr">
        <x:is>
          <x:t xml:space="preserve">СОГ-00055</x:t>
        </x:is>
      </x:c>
      <x:c r="B56" s="31" t="inlineStr">
        <x:is>
          <x:t xml:space="preserve">Скидка/маржа</x:t>
        </x:is>
      </x:c>
      <x:c r="C56" s="31" t="inlineStr">
        <x:is>
          <x:t xml:space="preserve">ПОЗ-0081-2</x:t>
        </x:is>
      </x:c>
      <x:c r="D56" s="31" t="inlineStr">
        <x:is>
          <x:t xml:space="preserve">ЗК-1081</x:t>
        </x:is>
      </x:c>
      <x:c r="E56" s="31" t="n">
        <x:v>186344</x:v>
      </x:c>
      <x:c r="F56" s="31" t="inlineStr">
        <x:is>
          <x:t xml:space="preserve">Отклонено</x:t>
        </x:is>
      </x:c>
      <x:c r="G56" s="31" t="inlineStr">
        <x:is>
          <x:t xml:space="preserve">СОТР-001</x:t>
        </x:is>
      </x:c>
      <x:c r="H56" s="31" t="n">
        <x:v>46156</x:v>
      </x:c>
      <x:c r="I56" s="31" t="n">
        <x:v>46186</x:v>
      </x:c>
      <x:c r="J56" s="31" t="inlineStr">
        <x:is>
          <x:t xml:space="preserve">Обычный</x:t>
        </x:is>
      </x:c>
      <x:c r="K56" s="31" t="inlineStr">
        <x:is>
          <x:t xml:space="preserve">Основание согласования Скидка/маржа</x:t>
        </x:is>
      </x:c>
    </x:row>
    <x:row r="57" ht="18" customHeight="1">
      <x:c r="A57" s="31" t="inlineStr">
        <x:is>
          <x:t xml:space="preserve">СОГ-00056</x:t>
        </x:is>
      </x:c>
      <x:c r="B57" s="31" t="inlineStr">
        <x:is>
          <x:t xml:space="preserve">Скидка/маржа</x:t>
        </x:is>
      </x:c>
      <x:c r="C57" s="31" t="inlineStr">
        <x:is>
          <x:t xml:space="preserve">ПОЗ-0083-2</x:t>
        </x:is>
      </x:c>
      <x:c r="D57" s="31" t="inlineStr">
        <x:is>
          <x:t xml:space="preserve">ЗК-1083</x:t>
        </x:is>
      </x:c>
      <x:c r="E57" s="31" t="n">
        <x:v>1079039</x:v>
      </x:c>
      <x:c r="F57" s="31" t="inlineStr">
        <x:is>
          <x:t xml:space="preserve">На согласовании</x:t>
        </x:is>
      </x:c>
      <x:c r="G57" s="31" t="inlineStr">
        <x:is>
          <x:t xml:space="preserve">СОТР-030</x:t>
        </x:is>
      </x:c>
      <x:c r="H57" s="31" t="n">
        <x:v>46139</x:v>
      </x:c>
      <x:c r="I57" s="31" t="n">
        <x:v>46183</x:v>
      </x:c>
      <x:c r="J57" s="31" t="inlineStr">
        <x:is>
          <x:t xml:space="preserve">Обычный</x:t>
        </x:is>
      </x:c>
      <x:c r="K57" s="31" t="inlineStr">
        <x:is>
          <x:t xml:space="preserve">Основание согласования Скидка/маржа</x:t>
        </x:is>
      </x:c>
    </x:row>
    <x:row r="58" ht="18" customHeight="1">
      <x:c r="A58" s="31" t="inlineStr">
        <x:is>
          <x:t xml:space="preserve">СОГ-00057</x:t>
        </x:is>
      </x:c>
      <x:c r="B58" s="31" t="inlineStr">
        <x:is>
          <x:t xml:space="preserve">Скидка/маржа</x:t>
        </x:is>
      </x:c>
      <x:c r="C58" s="31" t="inlineStr">
        <x:is>
          <x:t xml:space="preserve">ПОЗ-0085-1</x:t>
        </x:is>
      </x:c>
      <x:c r="D58" s="31" t="inlineStr">
        <x:is>
          <x:t xml:space="preserve">ЗК-1085</x:t>
        </x:is>
      </x:c>
      <x:c r="E58" s="31" t="n">
        <x:v>193730</x:v>
      </x:c>
      <x:c r="F58" s="31" t="inlineStr">
        <x:is>
          <x:t xml:space="preserve">На согласовании</x:t>
        </x:is>
      </x:c>
      <x:c r="G58" s="31" t="inlineStr">
        <x:is>
          <x:t xml:space="preserve">СОТР-001</x:t>
        </x:is>
      </x:c>
      <x:c r="H58" s="31" t="n">
        <x:v>46172</x:v>
      </x:c>
      <x:c r="I58" s="31" t="n">
        <x:v>46192</x:v>
      </x:c>
      <x:c r="J58" s="31" t="inlineStr">
        <x:is>
          <x:t xml:space="preserve">Обычный</x:t>
        </x:is>
      </x:c>
      <x:c r="K58" s="31" t="inlineStr">
        <x:is>
          <x:t xml:space="preserve">Основание согласования Скидка/маржа</x:t>
        </x:is>
      </x:c>
    </x:row>
    <x:row r="59" ht="18" customHeight="1">
      <x:c r="A59" s="31" t="inlineStr">
        <x:is>
          <x:t xml:space="preserve">СОГ-00058</x:t>
        </x:is>
      </x:c>
      <x:c r="B59" s="31" t="inlineStr">
        <x:is>
          <x:t xml:space="preserve">Скидка/маржа</x:t>
        </x:is>
      </x:c>
      <x:c r="C59" s="31" t="inlineStr">
        <x:is>
          <x:t xml:space="preserve">ПОЗ-0085-2</x:t>
        </x:is>
      </x:c>
      <x:c r="D59" s="31" t="inlineStr">
        <x:is>
          <x:t xml:space="preserve">ЗК-1085</x:t>
        </x:is>
      </x:c>
      <x:c r="E59" s="31" t="n">
        <x:v>947256</x:v>
      </x:c>
      <x:c r="F59" s="31" t="inlineStr">
        <x:is>
          <x:t xml:space="preserve">Согласовано</x:t>
        </x:is>
      </x:c>
      <x:c r="G59" s="31" t="inlineStr">
        <x:is>
          <x:t xml:space="preserve">СОТР-076</x:t>
        </x:is>
      </x:c>
      <x:c r="H59" s="31" t="n">
        <x:v>46163</x:v>
      </x:c>
      <x:c r="I59" s="31" t="n">
        <x:v>46189</x:v>
      </x:c>
      <x:c r="J59" s="31" t="inlineStr">
        <x:is>
          <x:t xml:space="preserve">Обычный</x:t>
        </x:is>
      </x:c>
      <x:c r="K59" s="31" t="inlineStr">
        <x:is>
          <x:t xml:space="preserve">Основание согласования Скидка/маржа</x:t>
        </x:is>
      </x:c>
    </x:row>
    <x:row r="60" ht="18" customHeight="1">
      <x:c r="A60" s="31" t="inlineStr">
        <x:is>
          <x:t xml:space="preserve">СОГ-00059</x:t>
        </x:is>
      </x:c>
      <x:c r="B60" s="31" t="inlineStr">
        <x:is>
          <x:t xml:space="preserve">Скидка/маржа</x:t>
        </x:is>
      </x:c>
      <x:c r="C60" s="31" t="inlineStr">
        <x:is>
          <x:t xml:space="preserve">ПОЗ-0087-1</x:t>
        </x:is>
      </x:c>
      <x:c r="D60" s="31" t="inlineStr">
        <x:is>
          <x:t xml:space="preserve">ЗК-1087</x:t>
        </x:is>
      </x:c>
      <x:c r="E60" s="31" t="n">
        <x:v>1940876</x:v>
      </x:c>
      <x:c r="F60" s="31" t="inlineStr">
        <x:is>
          <x:t xml:space="preserve">Согласовано</x:t>
        </x:is>
      </x:c>
      <x:c r="G60" s="31" t="inlineStr">
        <x:is>
          <x:t xml:space="preserve">СОТР-002</x:t>
        </x:is>
      </x:c>
      <x:c r="H60" s="31" t="n">
        <x:v>46147</x:v>
      </x:c>
      <x:c r="I60" s="31" t="n">
        <x:v>46182</x:v>
      </x:c>
      <x:c r="J60" s="31" t="inlineStr">
        <x:is>
          <x:t xml:space="preserve">Комитет</x:t>
        </x:is>
      </x:c>
      <x:c r="K60" s="31" t="inlineStr">
        <x:is>
          <x:t xml:space="preserve">Основание согласования Скидка/маржа</x:t>
        </x:is>
      </x:c>
    </x:row>
    <x:row r="61" ht="18" customHeight="1">
      <x:c r="A61" s="31" t="inlineStr">
        <x:is>
          <x:t xml:space="preserve">СОГ-00060</x:t>
        </x:is>
      </x:c>
      <x:c r="B61" s="31" t="inlineStr">
        <x:is>
          <x:t xml:space="preserve">Скидка/маржа</x:t>
        </x:is>
      </x:c>
      <x:c r="C61" s="31" t="inlineStr">
        <x:is>
          <x:t xml:space="preserve">ПОЗ-0089-2</x:t>
        </x:is>
      </x:c>
      <x:c r="D61" s="31" t="inlineStr">
        <x:is>
          <x:t xml:space="preserve">ЗК-1089</x:t>
        </x:is>
      </x:c>
      <x:c r="E61" s="31" t="n">
        <x:v>1189065</x:v>
      </x:c>
      <x:c r="F61" s="31" t="inlineStr">
        <x:is>
          <x:t xml:space="preserve">Согласовано</x:t>
        </x:is>
      </x:c>
      <x:c r="G61" s="31" t="inlineStr">
        <x:is>
          <x:t xml:space="preserve">СОТР-018</x:t>
        </x:is>
      </x:c>
      <x:c r="H61" s="31" t="n">
        <x:v>46164</x:v>
      </x:c>
      <x:c r="I61" s="31" t="n">
        <x:v>46180</x:v>
      </x:c>
      <x:c r="J61" s="31" t="inlineStr">
        <x:is>
          <x:t xml:space="preserve">Обычный</x:t>
        </x:is>
      </x:c>
      <x:c r="K61" s="31" t="inlineStr">
        <x:is>
          <x:t xml:space="preserve">Основание согласования Скидка/маржа</x:t>
        </x:is>
      </x:c>
    </x:row>
    <x:row r="62" ht="18" customHeight="1">
      <x:c r="A62" s="31" t="inlineStr">
        <x:is>
          <x:t xml:space="preserve">СОГ-00061</x:t>
        </x:is>
      </x:c>
      <x:c r="B62" s="31" t="inlineStr">
        <x:is>
          <x:t xml:space="preserve">Скидка/маржа</x:t>
        </x:is>
      </x:c>
      <x:c r="C62" s="31" t="inlineStr">
        <x:is>
          <x:t xml:space="preserve">ПОЗ-0091-1</x:t>
        </x:is>
      </x:c>
      <x:c r="D62" s="31" t="inlineStr">
        <x:is>
          <x:t xml:space="preserve">ЗК-1091</x:t>
        </x:is>
      </x:c>
      <x:c r="E62" s="31" t="n">
        <x:v>215642</x:v>
      </x:c>
      <x:c r="F62" s="31" t="inlineStr">
        <x:is>
          <x:t xml:space="preserve">На согласовании</x:t>
        </x:is>
      </x:c>
      <x:c r="G62" s="31" t="inlineStr">
        <x:is>
          <x:t xml:space="preserve">СОТР-030</x:t>
        </x:is>
      </x:c>
      <x:c r="H62" s="31" t="n">
        <x:v>46168</x:v>
      </x:c>
      <x:c r="I62" s="31" t="n">
        <x:v>46197</x:v>
      </x:c>
      <x:c r="J62" s="31" t="inlineStr">
        <x:is>
          <x:t xml:space="preserve">Обычный</x:t>
        </x:is>
      </x:c>
      <x:c r="K62" s="31" t="inlineStr">
        <x:is>
          <x:t xml:space="preserve">Основание согласования Скидка/маржа</x:t>
        </x:is>
      </x:c>
    </x:row>
    <x:row r="63" ht="18" customHeight="1">
      <x:c r="A63" s="31" t="inlineStr">
        <x:is>
          <x:t xml:space="preserve">СОГ-00062</x:t>
        </x:is>
      </x:c>
      <x:c r="B63" s="31" t="inlineStr">
        <x:is>
          <x:t xml:space="preserve">Скидка/маржа</x:t>
        </x:is>
      </x:c>
      <x:c r="C63" s="31" t="inlineStr">
        <x:is>
          <x:t xml:space="preserve">ПОЗ-0093-1</x:t>
        </x:is>
      </x:c>
      <x:c r="D63" s="31" t="inlineStr">
        <x:is>
          <x:t xml:space="preserve">ЗК-1093</x:t>
        </x:is>
      </x:c>
      <x:c r="E63" s="31" t="n">
        <x:v>288269</x:v>
      </x:c>
      <x:c r="F63" s="31" t="inlineStr">
        <x:is>
          <x:t xml:space="preserve">Требует доработки</x:t>
        </x:is>
      </x:c>
      <x:c r="G63" s="31" t="inlineStr">
        <x:is>
          <x:t xml:space="preserve">СОТР-011</x:t>
        </x:is>
      </x:c>
      <x:c r="H63" s="31" t="n">
        <x:v>46149</x:v>
      </x:c>
      <x:c r="I63" s="31" t="n">
        <x:v>46185</x:v>
      </x:c>
      <x:c r="J63" s="31" t="inlineStr">
        <x:is>
          <x:t xml:space="preserve">Ускоренный</x:t>
        </x:is>
      </x:c>
      <x:c r="K63" s="31" t="inlineStr">
        <x:is>
          <x:t xml:space="preserve">Основание согласования Скидка/маржа</x:t>
        </x:is>
      </x:c>
    </x:row>
    <x:row r="64" ht="18" customHeight="1">
      <x:c r="A64" s="31" t="inlineStr">
        <x:is>
          <x:t xml:space="preserve">СОГ-00063</x:t>
        </x:is>
      </x:c>
      <x:c r="B64" s="31" t="inlineStr">
        <x:is>
          <x:t xml:space="preserve">Скидка/маржа</x:t>
        </x:is>
      </x:c>
      <x:c r="C64" s="31" t="inlineStr">
        <x:is>
          <x:t xml:space="preserve">ПОЗ-0093-2</x:t>
        </x:is>
      </x:c>
      <x:c r="D64" s="31" t="inlineStr">
        <x:is>
          <x:t xml:space="preserve">ЗК-1093</x:t>
        </x:is>
      </x:c>
      <x:c r="E64" s="31" t="n">
        <x:v>937911</x:v>
      </x:c>
      <x:c r="F64" s="31" t="inlineStr">
        <x:is>
          <x:t xml:space="preserve">Согласовано</x:t>
        </x:is>
      </x:c>
      <x:c r="G64" s="31" t="inlineStr">
        <x:is>
          <x:t xml:space="preserve">СОТР-076</x:t>
        </x:is>
      </x:c>
      <x:c r="H64" s="31" t="n">
        <x:v>46165</x:v>
      </x:c>
      <x:c r="I64" s="31" t="n">
        <x:v>46192</x:v>
      </x:c>
      <x:c r="J64" s="31" t="inlineStr">
        <x:is>
          <x:t xml:space="preserve">Обычный</x:t>
        </x:is>
      </x:c>
      <x:c r="K64" s="31" t="inlineStr">
        <x:is>
          <x:t xml:space="preserve">Основание согласования Скидка/маржа</x:t>
        </x:is>
      </x:c>
    </x:row>
    <x:row r="65" ht="18" customHeight="1">
      <x:c r="A65" s="31" t="inlineStr">
        <x:is>
          <x:t xml:space="preserve">СОГ-00064</x:t>
        </x:is>
      </x:c>
      <x:c r="B65" s="31" t="inlineStr">
        <x:is>
          <x:t xml:space="preserve">Скидка/маржа</x:t>
        </x:is>
      </x:c>
      <x:c r="C65" s="31" t="inlineStr">
        <x:is>
          <x:t xml:space="preserve">ПОЗ-0095-1</x:t>
        </x:is>
      </x:c>
      <x:c r="D65" s="31" t="inlineStr">
        <x:is>
          <x:t xml:space="preserve">ЗК-1095</x:t>
        </x:is>
      </x:c>
      <x:c r="E65" s="31" t="n">
        <x:v>590603</x:v>
      </x:c>
      <x:c r="F65" s="31" t="inlineStr">
        <x:is>
          <x:t xml:space="preserve">На согласовании</x:t>
        </x:is>
      </x:c>
      <x:c r="G65" s="31" t="inlineStr">
        <x:is>
          <x:t xml:space="preserve">СОТР-076</x:t>
        </x:is>
      </x:c>
      <x:c r="H65" s="31" t="n">
        <x:v>46148</x:v>
      </x:c>
      <x:c r="I65" s="31" t="n">
        <x:v>46187</x:v>
      </x:c>
      <x:c r="J65" s="31" t="inlineStr">
        <x:is>
          <x:t xml:space="preserve">Комитет</x:t>
        </x:is>
      </x:c>
      <x:c r="K65" s="31" t="inlineStr">
        <x:is>
          <x:t xml:space="preserve">Основание согласования Скидка/маржа</x:t>
        </x:is>
      </x:c>
    </x:row>
    <x:row r="66" ht="18" customHeight="1">
      <x:c r="A66" s="31" t="inlineStr">
        <x:is>
          <x:t xml:space="preserve">СОГ-00065</x:t>
        </x:is>
      </x:c>
      <x:c r="B66" s="31" t="inlineStr">
        <x:is>
          <x:t xml:space="preserve">Скидка/маржа</x:t>
        </x:is>
      </x:c>
      <x:c r="C66" s="31" t="inlineStr">
        <x:is>
          <x:t xml:space="preserve">ПОЗ-0097-1</x:t>
        </x:is>
      </x:c>
      <x:c r="D66" s="31" t="inlineStr">
        <x:is>
          <x:t xml:space="preserve">ЗК-1097</x:t>
        </x:is>
      </x:c>
      <x:c r="E66" s="31" t="n">
        <x:v>824033</x:v>
      </x:c>
      <x:c r="F66" s="31" t="inlineStr">
        <x:is>
          <x:t xml:space="preserve">Требует доработки</x:t>
        </x:is>
      </x:c>
      <x:c r="G66" s="31" t="inlineStr">
        <x:is>
          <x:t xml:space="preserve">СОТР-001</x:t>
        </x:is>
      </x:c>
      <x:c r="H66" s="31" t="n">
        <x:v>46143</x:v>
      </x:c>
      <x:c r="I66" s="31" t="n">
        <x:v>46195</x:v>
      </x:c>
      <x:c r="J66" s="31" t="inlineStr">
        <x:is>
          <x:t xml:space="preserve">Ускоренный</x:t>
        </x:is>
      </x:c>
      <x:c r="K66" s="31" t="inlineStr">
        <x:is>
          <x:t xml:space="preserve">Основание согласования Скидка/маржа</x:t>
        </x:is>
      </x:c>
    </x:row>
    <x:row r="67" ht="18" customHeight="1">
      <x:c r="A67" s="31" t="inlineStr">
        <x:is>
          <x:t xml:space="preserve">СОГ-00066</x:t>
        </x:is>
      </x:c>
      <x:c r="B67" s="31" t="inlineStr">
        <x:is>
          <x:t xml:space="preserve">Скидка/маржа</x:t>
        </x:is>
      </x:c>
      <x:c r="C67" s="31" t="inlineStr">
        <x:is>
          <x:t xml:space="preserve">ПОЗ-0097-2</x:t>
        </x:is>
      </x:c>
      <x:c r="D67" s="31" t="inlineStr">
        <x:is>
          <x:t xml:space="preserve">ЗК-1097</x:t>
        </x:is>
      </x:c>
      <x:c r="E67" s="31" t="n">
        <x:v>3471840</x:v>
      </x:c>
      <x:c r="F67" s="31" t="inlineStr">
        <x:is>
          <x:t xml:space="preserve">Отклонено</x:t>
        </x:is>
      </x:c>
      <x:c r="G67" s="31" t="inlineStr">
        <x:is>
          <x:t xml:space="preserve">СОТР-030</x:t>
        </x:is>
      </x:c>
      <x:c r="H67" s="31" t="n">
        <x:v>46145</x:v>
      </x:c>
      <x:c r="I67" s="31" t="n">
        <x:v>46192</x:v>
      </x:c>
      <x:c r="J67" s="31" t="inlineStr">
        <x:is>
          <x:t xml:space="preserve">Обычный</x:t>
        </x:is>
      </x:c>
      <x:c r="K67" s="31" t="inlineStr">
        <x:is>
          <x:t xml:space="preserve">Основание согласования Скидка/маржа</x:t>
        </x:is>
      </x:c>
    </x:row>
    <x:row r="68" ht="18" customHeight="1">
      <x:c r="A68" s="31" t="inlineStr">
        <x:is>
          <x:t xml:space="preserve">СОГ-00067</x:t>
        </x:is>
      </x:c>
      <x:c r="B68" s="31" t="inlineStr">
        <x:is>
          <x:t xml:space="preserve">Скидка/маржа</x:t>
        </x:is>
      </x:c>
      <x:c r="C68" s="31" t="inlineStr">
        <x:is>
          <x:t xml:space="preserve">ПОЗ-0097-3</x:t>
        </x:is>
      </x:c>
      <x:c r="D68" s="31" t="inlineStr">
        <x:is>
          <x:t xml:space="preserve">ЗК-1097</x:t>
        </x:is>
      </x:c>
      <x:c r="E68" s="31" t="n">
        <x:v>474909</x:v>
      </x:c>
      <x:c r="F68" s="31" t="inlineStr">
        <x:is>
          <x:t xml:space="preserve">Согласовано</x:t>
        </x:is>
      </x:c>
      <x:c r="G68" s="31" t="inlineStr">
        <x:is>
          <x:t xml:space="preserve">СОТР-030</x:t>
        </x:is>
      </x:c>
      <x:c r="H68" s="31" t="n">
        <x:v>46138</x:v>
      </x:c>
      <x:c r="I68" s="31" t="n">
        <x:v>46181</x:v>
      </x:c>
      <x:c r="J68" s="31" t="inlineStr">
        <x:is>
          <x:t xml:space="preserve">Обычный</x:t>
        </x:is>
      </x:c>
      <x:c r="K68" s="31" t="inlineStr">
        <x:is>
          <x:t xml:space="preserve">Основание согласования Скидка/маржа</x:t>
        </x:is>
      </x:c>
    </x:row>
    <x:row r="69" ht="18" customHeight="1">
      <x:c r="A69" s="31" t="inlineStr">
        <x:is>
          <x:t xml:space="preserve">СОГ-00068</x:t>
        </x:is>
      </x:c>
      <x:c r="B69" s="31" t="inlineStr">
        <x:is>
          <x:t xml:space="preserve">Скидка/маржа</x:t>
        </x:is>
      </x:c>
      <x:c r="C69" s="31" t="inlineStr">
        <x:is>
          <x:t xml:space="preserve">ПОЗ-0097-4</x:t>
        </x:is>
      </x:c>
      <x:c r="D69" s="31" t="inlineStr">
        <x:is>
          <x:t xml:space="preserve">ЗК-1097</x:t>
        </x:is>
      </x:c>
      <x:c r="E69" s="31" t="n">
        <x:v>572876</x:v>
      </x:c>
      <x:c r="F69" s="31" t="inlineStr">
        <x:is>
          <x:t xml:space="preserve">На согласовании</x:t>
        </x:is>
      </x:c>
      <x:c r="G69" s="31" t="inlineStr">
        <x:is>
          <x:t xml:space="preserve">СОТР-001</x:t>
        </x:is>
      </x:c>
      <x:c r="H69" s="31" t="n">
        <x:v>46155</x:v>
      </x:c>
      <x:c r="I69" s="31" t="n">
        <x:v>46180</x:v>
      </x:c>
      <x:c r="J69" s="31" t="inlineStr">
        <x:is>
          <x:t xml:space="preserve">Обычный</x:t>
        </x:is>
      </x:c>
      <x:c r="K69" s="31" t="inlineStr">
        <x:is>
          <x:t xml:space="preserve">Основание согласования Скидка/маржа</x:t>
        </x:is>
      </x:c>
    </x:row>
    <x:row r="70" ht="18" customHeight="1">
      <x:c r="A70" s="31" t="inlineStr">
        <x:is>
          <x:t xml:space="preserve">СОГ-00069</x:t>
        </x:is>
      </x:c>
      <x:c r="B70" s="31" t="inlineStr">
        <x:is>
          <x:t xml:space="preserve">Скидка/маржа</x:t>
        </x:is>
      </x:c>
      <x:c r="C70" s="31" t="inlineStr">
        <x:is>
          <x:t xml:space="preserve">ПОЗ-0101-2</x:t>
        </x:is>
      </x:c>
      <x:c r="D70" s="31" t="inlineStr">
        <x:is>
          <x:t xml:space="preserve">ЗК-1101</x:t>
        </x:is>
      </x:c>
      <x:c r="E70" s="31" t="n">
        <x:v>1412757</x:v>
      </x:c>
      <x:c r="F70" s="31" t="inlineStr">
        <x:is>
          <x:t xml:space="preserve">Согласовано</x:t>
        </x:is>
      </x:c>
      <x:c r="G70" s="31" t="inlineStr">
        <x:is>
          <x:t xml:space="preserve">СОТР-011</x:t>
        </x:is>
      </x:c>
      <x:c r="H70" s="31" t="n">
        <x:v>46171</x:v>
      </x:c>
      <x:c r="I70" s="31" t="n">
        <x:v>46190</x:v>
      </x:c>
      <x:c r="J70" s="31" t="inlineStr">
        <x:is>
          <x:t xml:space="preserve">Обычный</x:t>
        </x:is>
      </x:c>
      <x:c r="K70" s="31" t="inlineStr">
        <x:is>
          <x:t xml:space="preserve">Основание согласования Скидка/маржа</x:t>
        </x:is>
      </x:c>
    </x:row>
    <x:row r="71" ht="18" customHeight="1">
      <x:c r="A71" s="31" t="inlineStr">
        <x:is>
          <x:t xml:space="preserve">СОГ-00070</x:t>
        </x:is>
      </x:c>
      <x:c r="B71" s="31" t="inlineStr">
        <x:is>
          <x:t xml:space="preserve">Скидка/маржа</x:t>
        </x:is>
      </x:c>
      <x:c r="C71" s="31" t="inlineStr">
        <x:is>
          <x:t xml:space="preserve">ПОЗ-0102-2</x:t>
        </x:is>
      </x:c>
      <x:c r="D71" s="31" t="inlineStr">
        <x:is>
          <x:t xml:space="preserve">ЗК-1102</x:t>
        </x:is>
      </x:c>
      <x:c r="E71" s="31" t="n">
        <x:v>200655</x:v>
      </x:c>
      <x:c r="F71" s="31" t="inlineStr">
        <x:is>
          <x:t xml:space="preserve">На согласовании</x:t>
        </x:is>
      </x:c>
      <x:c r="G71" s="31" t="inlineStr">
        <x:is>
          <x:t xml:space="preserve">СОТР-011</x:t>
        </x:is>
      </x:c>
      <x:c r="H71" s="31" t="n">
        <x:v>46147</x:v>
      </x:c>
      <x:c r="I71" s="31" t="n">
        <x:v>46186</x:v>
      </x:c>
      <x:c r="J71" s="31" t="inlineStr">
        <x:is>
          <x:t xml:space="preserve">Обычный</x:t>
        </x:is>
      </x:c>
      <x:c r="K71" s="31" t="inlineStr">
        <x:is>
          <x:t xml:space="preserve">Основание согласования Скидка/маржа</x:t>
        </x:is>
      </x:c>
    </x:row>
    <x:row r="72" ht="18" customHeight="1">
      <x:c r="A72" s="31" t="inlineStr">
        <x:is>
          <x:t xml:space="preserve">СОГ-00071</x:t>
        </x:is>
      </x:c>
      <x:c r="B72" s="31" t="inlineStr">
        <x:is>
          <x:t xml:space="preserve">Скидка/маржа</x:t>
        </x:is>
      </x:c>
      <x:c r="C72" s="31" t="inlineStr">
        <x:is>
          <x:t xml:space="preserve">ПОЗ-0103-3</x:t>
        </x:is>
      </x:c>
      <x:c r="D72" s="31" t="inlineStr">
        <x:is>
          <x:t xml:space="preserve">ЗК-1103</x:t>
        </x:is>
      </x:c>
      <x:c r="E72" s="31" t="n">
        <x:v>5052145</x:v>
      </x:c>
      <x:c r="F72" s="31" t="inlineStr">
        <x:is>
          <x:t xml:space="preserve">На согласовании</x:t>
        </x:is>
      </x:c>
      <x:c r="G72" s="31" t="inlineStr">
        <x:is>
          <x:t xml:space="preserve">СОТР-076</x:t>
        </x:is>
      </x:c>
      <x:c r="H72" s="31" t="n">
        <x:v>46181</x:v>
      </x:c>
      <x:c r="I72" s="31" t="n">
        <x:v>46181</x:v>
      </x:c>
      <x:c r="J72" s="31" t="inlineStr">
        <x:is>
          <x:t xml:space="preserve">Обычный</x:t>
        </x:is>
      </x:c>
      <x:c r="K72" s="31" t="inlineStr">
        <x:is>
          <x:t xml:space="preserve">Основание согласования Скидка/маржа</x:t>
        </x:is>
      </x:c>
    </x:row>
    <x:row r="73" ht="18" customHeight="1">
      <x:c r="A73" s="31" t="inlineStr">
        <x:is>
          <x:t xml:space="preserve">СОГ-00072</x:t>
        </x:is>
      </x:c>
      <x:c r="B73" s="31" t="inlineStr">
        <x:is>
          <x:t xml:space="preserve">Скидка/маржа</x:t>
        </x:is>
      </x:c>
      <x:c r="C73" s="31" t="inlineStr">
        <x:is>
          <x:t xml:space="preserve">ПОЗ-0105-1</x:t>
        </x:is>
      </x:c>
      <x:c r="D73" s="31" t="inlineStr">
        <x:is>
          <x:t xml:space="preserve">ЗК-1105</x:t>
        </x:is>
      </x:c>
      <x:c r="E73" s="31" t="n">
        <x:v>887871</x:v>
      </x:c>
      <x:c r="F73" s="31" t="inlineStr">
        <x:is>
          <x:t xml:space="preserve">Отклонено</x:t>
        </x:is>
      </x:c>
      <x:c r="G73" s="31" t="inlineStr">
        <x:is>
          <x:t xml:space="preserve">СОТР-011</x:t>
        </x:is>
      </x:c>
      <x:c r="H73" s="31" t="n">
        <x:v>46160</x:v>
      </x:c>
      <x:c r="I73" s="31" t="n">
        <x:v>46186</x:v>
      </x:c>
      <x:c r="J73" s="31" t="inlineStr">
        <x:is>
          <x:t xml:space="preserve">Комитет</x:t>
        </x:is>
      </x:c>
      <x:c r="K73" s="31" t="inlineStr">
        <x:is>
          <x:t xml:space="preserve">Основание согласования Скидка/маржа</x:t>
        </x:is>
      </x:c>
    </x:row>
    <x:row r="74" ht="18" customHeight="1">
      <x:c r="A74" s="31" t="inlineStr">
        <x:is>
          <x:t xml:space="preserve">СОГ-00073</x:t>
        </x:is>
      </x:c>
      <x:c r="B74" s="31" t="inlineStr">
        <x:is>
          <x:t xml:space="preserve">Скидка/маржа</x:t>
        </x:is>
      </x:c>
      <x:c r="C74" s="31" t="inlineStr">
        <x:is>
          <x:t xml:space="preserve">ПОЗ-0112-1</x:t>
        </x:is>
      </x:c>
      <x:c r="D74" s="31" t="inlineStr">
        <x:is>
          <x:t xml:space="preserve">ЗК-1112</x:t>
        </x:is>
      </x:c>
      <x:c r="E74" s="31" t="n">
        <x:v>113996</x:v>
      </x:c>
      <x:c r="F74" s="31" t="inlineStr">
        <x:is>
          <x:t xml:space="preserve">Черновик</x:t>
        </x:is>
      </x:c>
      <x:c r="G74" s="31" t="inlineStr">
        <x:is>
          <x:t xml:space="preserve">СОТР-011</x:t>
        </x:is>
      </x:c>
      <x:c r="H74" s="31" t="n">
        <x:v>46157</x:v>
      </x:c>
      <x:c r="I74" s="31" t="n">
        <x:v>46198</x:v>
      </x:c>
      <x:c r="J74" s="31" t="inlineStr">
        <x:is>
          <x:t xml:space="preserve">Комитет</x:t>
        </x:is>
      </x:c>
      <x:c r="K74" s="31" t="inlineStr">
        <x:is>
          <x:t xml:space="preserve">Основание согласования Скидка/маржа</x:t>
        </x:is>
      </x:c>
    </x:row>
    <x:row r="75" ht="18" customHeight="1">
      <x:c r="A75" s="31" t="inlineStr">
        <x:is>
          <x:t xml:space="preserve">СОГ-00074</x:t>
        </x:is>
      </x:c>
      <x:c r="B75" s="31" t="inlineStr">
        <x:is>
          <x:t xml:space="preserve">Скидка/маржа</x:t>
        </x:is>
      </x:c>
      <x:c r="C75" s="31" t="inlineStr">
        <x:is>
          <x:t xml:space="preserve">ПОЗ-0116-1</x:t>
        </x:is>
      </x:c>
      <x:c r="D75" s="31" t="inlineStr">
        <x:is>
          <x:t xml:space="preserve">ЗК-1116</x:t>
        </x:is>
      </x:c>
      <x:c r="E75" s="31" t="n">
        <x:v>1041033</x:v>
      </x:c>
      <x:c r="F75" s="31" t="inlineStr">
        <x:is>
          <x:t xml:space="preserve">На согласовании</x:t>
        </x:is>
      </x:c>
      <x:c r="G75" s="31" t="inlineStr">
        <x:is>
          <x:t xml:space="preserve">СОТР-002</x:t>
        </x:is>
      </x:c>
      <x:c r="H75" s="31" t="n">
        <x:v>46159</x:v>
      </x:c>
      <x:c r="I75" s="31" t="n">
        <x:v>46190</x:v>
      </x:c>
      <x:c r="J75" s="31" t="inlineStr">
        <x:is>
          <x:t xml:space="preserve">Обычный</x:t>
        </x:is>
      </x:c>
      <x:c r="K75" s="31" t="inlineStr">
        <x:is>
          <x:t xml:space="preserve">Основание согласования Скидка/маржа</x:t>
        </x:is>
      </x:c>
    </x:row>
    <x:row r="76" ht="18" customHeight="1">
      <x:c r="A76" s="31" t="inlineStr">
        <x:is>
          <x:t xml:space="preserve">СОГ-00075</x:t>
        </x:is>
      </x:c>
      <x:c r="B76" s="31" t="inlineStr">
        <x:is>
          <x:t xml:space="preserve">Скидка/маржа</x:t>
        </x:is>
      </x:c>
      <x:c r="C76" s="31" t="inlineStr">
        <x:is>
          <x:t xml:space="preserve">ПОЗ-0119-2</x:t>
        </x:is>
      </x:c>
      <x:c r="D76" s="31" t="inlineStr">
        <x:is>
          <x:t xml:space="preserve">ЗК-1119</x:t>
        </x:is>
      </x:c>
      <x:c r="E76" s="31" t="n">
        <x:v>259788</x:v>
      </x:c>
      <x:c r="F76" s="31" t="inlineStr">
        <x:is>
          <x:t xml:space="preserve">Согласовано</x:t>
        </x:is>
      </x:c>
      <x:c r="G76" s="31" t="inlineStr">
        <x:is>
          <x:t xml:space="preserve">СОТР-030</x:t>
        </x:is>
      </x:c>
      <x:c r="H76" s="31" t="n">
        <x:v>46147</x:v>
      </x:c>
      <x:c r="I76" s="31" t="n">
        <x:v>46195</x:v>
      </x:c>
      <x:c r="J76" s="31" t="inlineStr">
        <x:is>
          <x:t xml:space="preserve">Обычный</x:t>
        </x:is>
      </x:c>
      <x:c r="K76" s="31" t="inlineStr">
        <x:is>
          <x:t xml:space="preserve">Основание согласования Скидка/маржа</x:t>
        </x:is>
      </x:c>
    </x:row>
    <x:row r="77" ht="18" customHeight="1">
      <x:c r="A77" s="31" t="inlineStr">
        <x:is>
          <x:t xml:space="preserve">СОГ-00076</x:t>
        </x:is>
      </x:c>
      <x:c r="B77" s="31" t="inlineStr">
        <x:is>
          <x:t xml:space="preserve">Скидка/маржа</x:t>
        </x:is>
      </x:c>
      <x:c r="C77" s="31" t="inlineStr">
        <x:is>
          <x:t xml:space="preserve">ПОЗ-0124-1</x:t>
        </x:is>
      </x:c>
      <x:c r="D77" s="31" t="inlineStr">
        <x:is>
          <x:t xml:space="preserve">ЗК-1124</x:t>
        </x:is>
      </x:c>
      <x:c r="E77" s="31" t="n">
        <x:v>265784</x:v>
      </x:c>
      <x:c r="F77" s="31" t="inlineStr">
        <x:is>
          <x:t xml:space="preserve">На согласовании</x:t>
        </x:is>
      </x:c>
      <x:c r="G77" s="31" t="inlineStr">
        <x:is>
          <x:t xml:space="preserve">СОТР-076</x:t>
        </x:is>
      </x:c>
      <x:c r="H77" s="31" t="n">
        <x:v>46165</x:v>
      </x:c>
      <x:c r="I77" s="31" t="n">
        <x:v>46186</x:v>
      </x:c>
      <x:c r="J77" s="31" t="inlineStr">
        <x:is>
          <x:t xml:space="preserve">Ускоренный</x:t>
        </x:is>
      </x:c>
      <x:c r="K77" s="31" t="inlineStr">
        <x:is>
          <x:t xml:space="preserve">Основание согласования Скидка/маржа</x:t>
        </x:is>
      </x:c>
    </x:row>
    <x:row r="78" ht="18" customHeight="1">
      <x:c r="A78" s="31" t="inlineStr">
        <x:is>
          <x:t xml:space="preserve">СОГ-00077</x:t>
        </x:is>
      </x:c>
      <x:c r="B78" s="31" t="inlineStr">
        <x:is>
          <x:t xml:space="preserve">Скидка/маржа</x:t>
        </x:is>
      </x:c>
      <x:c r="C78" s="31" t="inlineStr">
        <x:is>
          <x:t xml:space="preserve">ПОЗ-0125-2</x:t>
        </x:is>
      </x:c>
      <x:c r="D78" s="31" t="inlineStr">
        <x:is>
          <x:t xml:space="preserve">ЗК-1125</x:t>
        </x:is>
      </x:c>
      <x:c r="E78" s="31" t="n">
        <x:v>195050</x:v>
      </x:c>
      <x:c r="F78" s="31" t="inlineStr">
        <x:is>
          <x:t xml:space="preserve">Согласовано</x:t>
        </x:is>
      </x:c>
      <x:c r="G78" s="31" t="inlineStr">
        <x:is>
          <x:t xml:space="preserve">СОТР-063</x:t>
        </x:is>
      </x:c>
      <x:c r="H78" s="31" t="n">
        <x:v>46155</x:v>
      </x:c>
      <x:c r="I78" s="31" t="n">
        <x:v>46197</x:v>
      </x:c>
      <x:c r="J78" s="31" t="inlineStr">
        <x:is>
          <x:t xml:space="preserve">Комитет</x:t>
        </x:is>
      </x:c>
      <x:c r="K78" s="31" t="inlineStr">
        <x:is>
          <x:t xml:space="preserve">Основание согласования Скидка/маржа</x:t>
        </x:is>
      </x:c>
    </x:row>
    <x:row r="79" ht="18" customHeight="1">
      <x:c r="A79" s="31" t="inlineStr">
        <x:is>
          <x:t xml:space="preserve">СОГ-00078</x:t>
        </x:is>
      </x:c>
      <x:c r="B79" s="31" t="inlineStr">
        <x:is>
          <x:t xml:space="preserve">Скидка/маржа</x:t>
        </x:is>
      </x:c>
      <x:c r="C79" s="31" t="inlineStr">
        <x:is>
          <x:t xml:space="preserve">ПОЗ-0126-1</x:t>
        </x:is>
      </x:c>
      <x:c r="D79" s="31" t="inlineStr">
        <x:is>
          <x:t xml:space="preserve">ЗК-1126</x:t>
        </x:is>
      </x:c>
      <x:c r="E79" s="31" t="n">
        <x:v>414726</x:v>
      </x:c>
      <x:c r="F79" s="31" t="inlineStr">
        <x:is>
          <x:t xml:space="preserve">Отклонено</x:t>
        </x:is>
      </x:c>
      <x:c r="G79" s="31" t="inlineStr">
        <x:is>
          <x:t xml:space="preserve">СОТР-018</x:t>
        </x:is>
      </x:c>
      <x:c r="H79" s="31" t="n">
        <x:v>46140</x:v>
      </x:c>
      <x:c r="I79" s="31" t="n">
        <x:v>46193</x:v>
      </x:c>
      <x:c r="J79" s="31" t="inlineStr">
        <x:is>
          <x:t xml:space="preserve">Обычный</x:t>
        </x:is>
      </x:c>
      <x:c r="K79" s="31" t="inlineStr">
        <x:is>
          <x:t xml:space="preserve">Основание согласования Скидка/маржа</x:t>
        </x:is>
      </x:c>
    </x:row>
    <x:row r="80" ht="18" customHeight="1">
      <x:c r="A80" s="31" t="inlineStr">
        <x:is>
          <x:t xml:space="preserve">СОГ-00079</x:t>
        </x:is>
      </x:c>
      <x:c r="B80" s="31" t="inlineStr">
        <x:is>
          <x:t xml:space="preserve">Скидка/маржа</x:t>
        </x:is>
      </x:c>
      <x:c r="C80" s="31" t="inlineStr">
        <x:is>
          <x:t xml:space="preserve">ПОЗ-0130-1</x:t>
        </x:is>
      </x:c>
      <x:c r="D80" s="31" t="inlineStr">
        <x:is>
          <x:t xml:space="preserve">ЗК-1130</x:t>
        </x:is>
      </x:c>
      <x:c r="E80" s="31" t="n">
        <x:v>112933</x:v>
      </x:c>
      <x:c r="F80" s="31" t="inlineStr">
        <x:is>
          <x:t xml:space="preserve">Черновик</x:t>
        </x:is>
      </x:c>
      <x:c r="G80" s="31" t="inlineStr">
        <x:is>
          <x:t xml:space="preserve">СОТР-018</x:t>
        </x:is>
      </x:c>
      <x:c r="H80" s="31" t="n">
        <x:v>46164</x:v>
      </x:c>
      <x:c r="I80" s="31" t="n">
        <x:v>46182</x:v>
      </x:c>
      <x:c r="J80" s="31" t="inlineStr">
        <x:is>
          <x:t xml:space="preserve">Обычный</x:t>
        </x:is>
      </x:c>
      <x:c r="K80" s="31" t="inlineStr">
        <x:is>
          <x:t xml:space="preserve">Основание согласования Скидка/маржа</x:t>
        </x:is>
      </x:c>
    </x:row>
    <x:row r="81" ht="18" customHeight="1">
      <x:c r="A81" s="31" t="inlineStr">
        <x:is>
          <x:t xml:space="preserve">СОГ-00080</x:t>
        </x:is>
      </x:c>
      <x:c r="B81" s="31" t="inlineStr">
        <x:is>
          <x:t xml:space="preserve">Скидка/маржа</x:t>
        </x:is>
      </x:c>
      <x:c r="C81" s="31" t="inlineStr">
        <x:is>
          <x:t xml:space="preserve">ПОЗ-0130-2</x:t>
        </x:is>
      </x:c>
      <x:c r="D81" s="31" t="inlineStr">
        <x:is>
          <x:t xml:space="preserve">ЗК-1130</x:t>
        </x:is>
      </x:c>
      <x:c r="E81" s="31" t="n">
        <x:v>1328058</x:v>
      </x:c>
      <x:c r="F81" s="31" t="inlineStr">
        <x:is>
          <x:t xml:space="preserve">Согласовано</x:t>
        </x:is>
      </x:c>
      <x:c r="G81" s="31" t="inlineStr">
        <x:is>
          <x:t xml:space="preserve">СОТР-076</x:t>
        </x:is>
      </x:c>
      <x:c r="H81" s="31" t="n">
        <x:v>46153</x:v>
      </x:c>
      <x:c r="I81" s="31" t="n">
        <x:v>46197</x:v>
      </x:c>
      <x:c r="J81" s="31" t="inlineStr">
        <x:is>
          <x:t xml:space="preserve">Обычный</x:t>
        </x:is>
      </x:c>
      <x:c r="K81" s="31" t="inlineStr">
        <x:is>
          <x:t xml:space="preserve">Основание согласования Скидка/маржа</x:t>
        </x:is>
      </x:c>
    </x:row>
    <x:row r="82" ht="18" customHeight="1">
      <x:c r="A82" s="31" t="inlineStr">
        <x:is>
          <x:t xml:space="preserve">СОГ-00081</x:t>
        </x:is>
      </x:c>
      <x:c r="B82" s="31" t="inlineStr">
        <x:is>
          <x:t xml:space="preserve">Закупка</x:t>
        </x:is>
      </x:c>
      <x:c r="C82" s="31" t="inlineStr">
        <x:is>
          <x:t xml:space="preserve">ЗЗ-00001</x:t>
        </x:is>
      </x:c>
      <x:c r="D82" s="31" t="inlineStr">
        <x:is>
          <x:t xml:space="preserve">ЗК-1117</x:t>
        </x:is>
      </x:c>
      <x:c r="E82" s="31" t="n">
        <x:v>3899</x:v>
      </x:c>
      <x:c r="F82" s="31" t="inlineStr">
        <x:is>
          <x:t xml:space="preserve">Согласовано</x:t>
        </x:is>
      </x:c>
      <x:c r="G82" s="31" t="inlineStr">
        <x:is>
          <x:t xml:space="preserve">СОТР-063</x:t>
        </x:is>
      </x:c>
      <x:c r="H82" s="31" t="n">
        <x:v>46155</x:v>
      </x:c>
      <x:c r="I82" s="31" t="n">
        <x:v>46186</x:v>
      </x:c>
      <x:c r="J82" s="31" t="inlineStr">
        <x:is>
          <x:t xml:space="preserve">Ускоренный</x:t>
        </x:is>
      </x:c>
      <x:c r="K82" s="31" t="inlineStr">
        <x:is>
          <x:t xml:space="preserve">Основание согласования Закупка</x:t>
        </x:is>
      </x:c>
    </x:row>
    <x:row r="83" ht="18" customHeight="1">
      <x:c r="A83" s="31" t="inlineStr">
        <x:is>
          <x:t xml:space="preserve">СОГ-00082</x:t>
        </x:is>
      </x:c>
      <x:c r="B83" s="31" t="inlineStr">
        <x:is>
          <x:t xml:space="preserve">Закупка</x:t>
        </x:is>
      </x:c>
      <x:c r="C83" s="31" t="inlineStr">
        <x:is>
          <x:t xml:space="preserve">ЗЗ-00004</x:t>
        </x:is>
      </x:c>
      <x:c r="D83" s="31" t="inlineStr">
        <x:is>
          <x:t xml:space="preserve">ЗК-1074</x:t>
        </x:is>
      </x:c>
      <x:c r="E83" s="31" t="n">
        <x:v>4301</x:v>
      </x:c>
      <x:c r="F83" s="31" t="inlineStr">
        <x:is>
          <x:t xml:space="preserve">Черновик</x:t>
        </x:is>
      </x:c>
      <x:c r="G83" s="31" t="inlineStr">
        <x:is>
          <x:t xml:space="preserve">СОТР-063</x:t>
        </x:is>
      </x:c>
      <x:c r="H83" s="31" t="n">
        <x:v>46157</x:v>
      </x:c>
      <x:c r="I83" s="31" t="n">
        <x:v>46196</x:v>
      </x:c>
      <x:c r="J83" s="31" t="inlineStr">
        <x:is>
          <x:t xml:space="preserve">Ускоренный</x:t>
        </x:is>
      </x:c>
      <x:c r="K83" s="31" t="inlineStr">
        <x:is>
          <x:t xml:space="preserve">Основание согласования Закупка</x:t>
        </x:is>
      </x:c>
    </x:row>
    <x:row r="84" ht="18" customHeight="1">
      <x:c r="A84" s="31" t="inlineStr">
        <x:is>
          <x:t xml:space="preserve">СОГ-00083</x:t>
        </x:is>
      </x:c>
      <x:c r="B84" s="31" t="inlineStr">
        <x:is>
          <x:t xml:space="preserve">Закупка</x:t>
        </x:is>
      </x:c>
      <x:c r="C84" s="31" t="inlineStr">
        <x:is>
          <x:t xml:space="preserve">ЗЗ-00007</x:t>
        </x:is>
      </x:c>
      <x:c r="D84" s="31" t="n"/>
      <x:c r="E84" s="31" t="n">
        <x:v>23514</x:v>
      </x:c>
      <x:c r="F84" s="31" t="inlineStr">
        <x:is>
          <x:t xml:space="preserve">На согласовании</x:t>
        </x:is>
      </x:c>
      <x:c r="G84" s="31" t="inlineStr">
        <x:is>
          <x:t xml:space="preserve">СОТР-018</x:t>
        </x:is>
      </x:c>
      <x:c r="H84" s="31" t="n">
        <x:v>46167</x:v>
      </x:c>
      <x:c r="I84" s="31" t="n">
        <x:v>46195</x:v>
      </x:c>
      <x:c r="J84" s="31" t="inlineStr">
        <x:is>
          <x:t xml:space="preserve">Комитет</x:t>
        </x:is>
      </x:c>
      <x:c r="K84" s="31" t="inlineStr">
        <x:is>
          <x:t xml:space="preserve">Основание согласования Закупка</x:t>
        </x:is>
      </x:c>
    </x:row>
    <x:row r="85" ht="18" customHeight="1">
      <x:c r="A85" s="31" t="inlineStr">
        <x:is>
          <x:t xml:space="preserve">СОГ-00084</x:t>
        </x:is>
      </x:c>
      <x:c r="B85" s="31" t="inlineStr">
        <x:is>
          <x:t xml:space="preserve">Закупка</x:t>
        </x:is>
      </x:c>
      <x:c r="C85" s="31" t="inlineStr">
        <x:is>
          <x:t xml:space="preserve">ЗЗ-00008</x:t>
        </x:is>
      </x:c>
      <x:c r="D85" s="31" t="inlineStr">
        <x:is>
          <x:t xml:space="preserve">ЗК-1051</x:t>
        </x:is>
      </x:c>
      <x:c r="E85" s="31" t="n">
        <x:v>524822</x:v>
      </x:c>
      <x:c r="F85" s="31" t="inlineStr">
        <x:is>
          <x:t xml:space="preserve">Согласовано</x:t>
        </x:is>
      </x:c>
      <x:c r="G85" s="31" t="inlineStr">
        <x:is>
          <x:t xml:space="preserve">СОТР-018</x:t>
        </x:is>
      </x:c>
      <x:c r="H85" s="31" t="n">
        <x:v>46183</x:v>
      </x:c>
      <x:c r="I85" s="31" t="n">
        <x:v>46196</x:v>
      </x:c>
      <x:c r="J85" s="31" t="inlineStr">
        <x:is>
          <x:t xml:space="preserve">Ускоренный</x:t>
        </x:is>
      </x:c>
      <x:c r="K85" s="31" t="inlineStr">
        <x:is>
          <x:t xml:space="preserve">Основание согласования Закупка</x:t>
        </x:is>
      </x:c>
    </x:row>
    <x:row r="86" ht="18" customHeight="1">
      <x:c r="A86" s="31" t="inlineStr">
        <x:is>
          <x:t xml:space="preserve">СОГ-00085</x:t>
        </x:is>
      </x:c>
      <x:c r="B86" s="31" t="inlineStr">
        <x:is>
          <x:t xml:space="preserve">Закупка</x:t>
        </x:is>
      </x:c>
      <x:c r="C86" s="31" t="inlineStr">
        <x:is>
          <x:t xml:space="preserve">ЗЗ-00009</x:t>
        </x:is>
      </x:c>
      <x:c r="D86" s="31" t="n"/>
      <x:c r="E86" s="31" t="n">
        <x:v>4652041</x:v>
      </x:c>
      <x:c r="F86" s="31" t="inlineStr">
        <x:is>
          <x:t xml:space="preserve">Согласовано</x:t>
        </x:is>
      </x:c>
      <x:c r="G86" s="31" t="inlineStr">
        <x:is>
          <x:t xml:space="preserve">СОТР-063</x:t>
        </x:is>
      </x:c>
      <x:c r="H86" s="31" t="n">
        <x:v>46164</x:v>
      </x:c>
      <x:c r="I86" s="31" t="n">
        <x:v>46197</x:v>
      </x:c>
      <x:c r="J86" s="31" t="inlineStr">
        <x:is>
          <x:t xml:space="preserve">Ускоренный</x:t>
        </x:is>
      </x:c>
      <x:c r="K86" s="31" t="inlineStr">
        <x:is>
          <x:t xml:space="preserve">Основание согласования Закупка</x:t>
        </x:is>
      </x:c>
    </x:row>
    <x:row r="87" ht="18" customHeight="1">
      <x:c r="A87" s="31" t="inlineStr">
        <x:is>
          <x:t xml:space="preserve">СОГ-00086</x:t>
        </x:is>
      </x:c>
      <x:c r="B87" s="31" t="inlineStr">
        <x:is>
          <x:t xml:space="preserve">Закупка</x:t>
        </x:is>
      </x:c>
      <x:c r="C87" s="31" t="inlineStr">
        <x:is>
          <x:t xml:space="preserve">ЗЗ-00010</x:t>
        </x:is>
      </x:c>
      <x:c r="D87" s="31" t="n"/>
      <x:c r="E87" s="31" t="n">
        <x:v>4142901</x:v>
      </x:c>
      <x:c r="F87" s="31" t="inlineStr">
        <x:is>
          <x:t xml:space="preserve">Согласовано</x:t>
        </x:is>
      </x:c>
      <x:c r="G87" s="31" t="inlineStr">
        <x:is>
          <x:t xml:space="preserve">СОТР-011</x:t>
        </x:is>
      </x:c>
      <x:c r="H87" s="31" t="n">
        <x:v>46151</x:v>
      </x:c>
      <x:c r="I87" s="31" t="n">
        <x:v>46191</x:v>
      </x:c>
      <x:c r="J87" s="31" t="inlineStr">
        <x:is>
          <x:t xml:space="preserve">Ускоренный</x:t>
        </x:is>
      </x:c>
      <x:c r="K87" s="31" t="inlineStr">
        <x:is>
          <x:t xml:space="preserve">Основание согласования Закупка</x:t>
        </x:is>
      </x:c>
    </x:row>
    <x:row r="88" ht="18" customHeight="1">
      <x:c r="A88" s="31" t="inlineStr">
        <x:is>
          <x:t xml:space="preserve">СОГ-00087</x:t>
        </x:is>
      </x:c>
      <x:c r="B88" s="31" t="inlineStr">
        <x:is>
          <x:t xml:space="preserve">Закупка</x:t>
        </x:is>
      </x:c>
      <x:c r="C88" s="31" t="inlineStr">
        <x:is>
          <x:t xml:space="preserve">ЗЗ-00011</x:t>
        </x:is>
      </x:c>
      <x:c r="D88" s="31" t="inlineStr">
        <x:is>
          <x:t xml:space="preserve">ЗК-1082</x:t>
        </x:is>
      </x:c>
      <x:c r="E88" s="31" t="n">
        <x:v>19345846</x:v>
      </x:c>
      <x:c r="F88" s="31" t="inlineStr">
        <x:is>
          <x:t xml:space="preserve">На согласовании</x:t>
        </x:is>
      </x:c>
      <x:c r="G88" s="31" t="inlineStr">
        <x:is>
          <x:t xml:space="preserve">СОТР-063</x:t>
        </x:is>
      </x:c>
      <x:c r="H88" s="31" t="n">
        <x:v>46171</x:v>
      </x:c>
      <x:c r="I88" s="31" t="n">
        <x:v>46185</x:v>
      </x:c>
      <x:c r="J88" s="31" t="inlineStr">
        <x:is>
          <x:t xml:space="preserve">Ускоренный</x:t>
        </x:is>
      </x:c>
      <x:c r="K88" s="31" t="inlineStr">
        <x:is>
          <x:t xml:space="preserve">Основание согласования Закупка</x:t>
        </x:is>
      </x:c>
    </x:row>
    <x:row r="89" ht="18" customHeight="1">
      <x:c r="A89" s="31" t="inlineStr">
        <x:is>
          <x:t xml:space="preserve">СОГ-00088</x:t>
        </x:is>
      </x:c>
      <x:c r="B89" s="31" t="inlineStr">
        <x:is>
          <x:t xml:space="preserve">Закупка</x:t>
        </x:is>
      </x:c>
      <x:c r="C89" s="31" t="inlineStr">
        <x:is>
          <x:t xml:space="preserve">ЗЗ-00012</x:t>
        </x:is>
      </x:c>
      <x:c r="D89" s="31" t="inlineStr">
        <x:is>
          <x:t xml:space="preserve">ЗК-1086</x:t>
        </x:is>
      </x:c>
      <x:c r="E89" s="31" t="n">
        <x:v>14435902</x:v>
      </x:c>
      <x:c r="F89" s="31" t="inlineStr">
        <x:is>
          <x:t xml:space="preserve">Согласовано</x:t>
        </x:is>
      </x:c>
      <x:c r="G89" s="31" t="inlineStr">
        <x:is>
          <x:t xml:space="preserve">СОТР-011</x:t>
        </x:is>
      </x:c>
      <x:c r="H89" s="31" t="n">
        <x:v>46180</x:v>
      </x:c>
      <x:c r="I89" s="31" t="n">
        <x:v>46182</x:v>
      </x:c>
      <x:c r="J89" s="31" t="inlineStr">
        <x:is>
          <x:t xml:space="preserve">Ускоренный</x:t>
        </x:is>
      </x:c>
      <x:c r="K89" s="31" t="inlineStr">
        <x:is>
          <x:t xml:space="preserve">Основание согласования Закупка</x:t>
        </x:is>
      </x:c>
    </x:row>
    <x:row r="90" ht="18" customHeight="1">
      <x:c r="A90" s="31" t="inlineStr">
        <x:is>
          <x:t xml:space="preserve">СОГ-00089</x:t>
        </x:is>
      </x:c>
      <x:c r="B90" s="31" t="inlineStr">
        <x:is>
          <x:t xml:space="preserve">Закупка</x:t>
        </x:is>
      </x:c>
      <x:c r="C90" s="31" t="inlineStr">
        <x:is>
          <x:t xml:space="preserve">ЗЗ-00013</x:t>
        </x:is>
      </x:c>
      <x:c r="D90" s="31" t="inlineStr">
        <x:is>
          <x:t xml:space="preserve">ЗК-1084</x:t>
        </x:is>
      </x:c>
      <x:c r="E90" s="31" t="n">
        <x:v>2886706</x:v>
      </x:c>
      <x:c r="F90" s="31" t="inlineStr">
        <x:is>
          <x:t xml:space="preserve">На согласовании</x:t>
        </x:is>
      </x:c>
      <x:c r="G90" s="31" t="inlineStr">
        <x:is>
          <x:t xml:space="preserve">СОТР-011</x:t>
        </x:is>
      </x:c>
      <x:c r="H90" s="31" t="n">
        <x:v>46176</x:v>
      </x:c>
      <x:c r="I90" s="31" t="n">
        <x:v>46195</x:v>
      </x:c>
      <x:c r="J90" s="31" t="inlineStr">
        <x:is>
          <x:t xml:space="preserve">Обычный</x:t>
        </x:is>
      </x:c>
      <x:c r="K90" s="31" t="inlineStr">
        <x:is>
          <x:t xml:space="preserve">Основание согласования Закупка</x:t>
        </x:is>
      </x:c>
    </x:row>
    <x:row r="91" ht="18" customHeight="1">
      <x:c r="A91" s="31" t="inlineStr">
        <x:is>
          <x:t xml:space="preserve">СОГ-00090</x:t>
        </x:is>
      </x:c>
      <x:c r="B91" s="31" t="inlineStr">
        <x:is>
          <x:t xml:space="preserve">Закупка</x:t>
        </x:is>
      </x:c>
      <x:c r="C91" s="31" t="inlineStr">
        <x:is>
          <x:t xml:space="preserve">ЗЗ-00014</x:t>
        </x:is>
      </x:c>
      <x:c r="D91" s="31" t="inlineStr">
        <x:is>
          <x:t xml:space="preserve">ЗК-1117</x:t>
        </x:is>
      </x:c>
      <x:c r="E91" s="31" t="n">
        <x:v>16826155</x:v>
      </x:c>
      <x:c r="F91" s="31" t="inlineStr">
        <x:is>
          <x:t xml:space="preserve">Требует доработки</x:t>
        </x:is>
      </x:c>
      <x:c r="G91" s="31" t="inlineStr">
        <x:is>
          <x:t xml:space="preserve">СОТР-063</x:t>
        </x:is>
      </x:c>
      <x:c r="H91" s="31" t="n">
        <x:v>46163</x:v>
      </x:c>
      <x:c r="I91" s="31" t="n">
        <x:v>46192</x:v>
      </x:c>
      <x:c r="J91" s="31" t="inlineStr">
        <x:is>
          <x:t xml:space="preserve">Обычный</x:t>
        </x:is>
      </x:c>
      <x:c r="K91" s="31" t="inlineStr">
        <x:is>
          <x:t xml:space="preserve">Основание согласования Закупка</x:t>
        </x:is>
      </x:c>
    </x:row>
    <x:row r="92" ht="18" customHeight="1">
      <x:c r="A92" s="31" t="inlineStr">
        <x:is>
          <x:t xml:space="preserve">СОГ-00091</x:t>
        </x:is>
      </x:c>
      <x:c r="B92" s="31" t="inlineStr">
        <x:is>
          <x:t xml:space="preserve">Закупка</x:t>
        </x:is>
      </x:c>
      <x:c r="C92" s="31" t="inlineStr">
        <x:is>
          <x:t xml:space="preserve">ЗЗ-00015</x:t>
        </x:is>
      </x:c>
      <x:c r="D92" s="31" t="inlineStr">
        <x:is>
          <x:t xml:space="preserve">ЗК-1074</x:t>
        </x:is>
      </x:c>
      <x:c r="E92" s="31" t="n">
        <x:v>19022197</x:v>
      </x:c>
      <x:c r="F92" s="31" t="inlineStr">
        <x:is>
          <x:t xml:space="preserve">Согласовано</x:t>
        </x:is>
      </x:c>
      <x:c r="G92" s="31" t="inlineStr">
        <x:is>
          <x:t xml:space="preserve">СОТР-076</x:t>
        </x:is>
      </x:c>
      <x:c r="H92" s="31" t="n">
        <x:v>46146</x:v>
      </x:c>
      <x:c r="I92" s="31" t="n">
        <x:v>46198</x:v>
      </x:c>
      <x:c r="J92" s="31" t="inlineStr">
        <x:is>
          <x:t xml:space="preserve">Обычный</x:t>
        </x:is>
      </x:c>
      <x:c r="K92" s="31" t="inlineStr">
        <x:is>
          <x:t xml:space="preserve">Основание согласования Закупка</x:t>
        </x:is>
      </x:c>
    </x:row>
    <x:row r="93" ht="18" customHeight="1">
      <x:c r="A93" s="31" t="inlineStr">
        <x:is>
          <x:t xml:space="preserve">СОГ-00092</x:t>
        </x:is>
      </x:c>
      <x:c r="B93" s="31" t="inlineStr">
        <x:is>
          <x:t xml:space="preserve">Закупка</x:t>
        </x:is>
      </x:c>
      <x:c r="C93" s="31" t="inlineStr">
        <x:is>
          <x:t xml:space="preserve">ЗЗ-00016</x:t>
        </x:is>
      </x:c>
      <x:c r="D93" s="31" t="n"/>
      <x:c r="E93" s="31" t="n">
        <x:v>8411056</x:v>
      </x:c>
      <x:c r="F93" s="31" t="inlineStr">
        <x:is>
          <x:t xml:space="preserve">Согласовано</x:t>
        </x:is>
      </x:c>
      <x:c r="G93" s="31" t="inlineStr">
        <x:is>
          <x:t xml:space="preserve">СОТР-076</x:t>
        </x:is>
      </x:c>
      <x:c r="H93" s="31" t="n">
        <x:v>46162</x:v>
      </x:c>
      <x:c r="I93" s="31" t="n">
        <x:v>46184</x:v>
      </x:c>
      <x:c r="J93" s="31" t="inlineStr">
        <x:is>
          <x:t xml:space="preserve">Обычный</x:t>
        </x:is>
      </x:c>
      <x:c r="K93" s="31" t="inlineStr">
        <x:is>
          <x:t xml:space="preserve">Основание согласования Закупка</x:t>
        </x:is>
      </x:c>
    </x:row>
    <x:row r="94" ht="18" customHeight="1">
      <x:c r="A94" s="31" t="inlineStr">
        <x:is>
          <x:t xml:space="preserve">СОГ-00093</x:t>
        </x:is>
      </x:c>
      <x:c r="B94" s="31" t="inlineStr">
        <x:is>
          <x:t xml:space="preserve">Закупка</x:t>
        </x:is>
      </x:c>
      <x:c r="C94" s="31" t="inlineStr">
        <x:is>
          <x:t xml:space="preserve">ЗЗ-00018</x:t>
        </x:is>
      </x:c>
      <x:c r="D94" s="31" t="n"/>
      <x:c r="E94" s="31" t="n">
        <x:v>4163146</x:v>
      </x:c>
      <x:c r="F94" s="31" t="inlineStr">
        <x:is>
          <x:t xml:space="preserve">Согласовано</x:t>
        </x:is>
      </x:c>
      <x:c r="G94" s="31" t="inlineStr">
        <x:is>
          <x:t xml:space="preserve">СОТР-002</x:t>
        </x:is>
      </x:c>
      <x:c r="H94" s="31" t="n">
        <x:v>46184</x:v>
      </x:c>
      <x:c r="I94" s="31" t="n">
        <x:v>46181</x:v>
      </x:c>
      <x:c r="J94" s="31" t="inlineStr">
        <x:is>
          <x:t xml:space="preserve">Обычный</x:t>
        </x:is>
      </x:c>
      <x:c r="K94" s="31" t="inlineStr">
        <x:is>
          <x:t xml:space="preserve">Основание согласования Закупка</x:t>
        </x:is>
      </x:c>
    </x:row>
    <x:row r="95" ht="18" customHeight="1">
      <x:c r="A95" s="31" t="inlineStr">
        <x:is>
          <x:t xml:space="preserve">СОГ-00094</x:t>
        </x:is>
      </x:c>
      <x:c r="B95" s="31" t="inlineStr">
        <x:is>
          <x:t xml:space="preserve">Закупка</x:t>
        </x:is>
      </x:c>
      <x:c r="C95" s="31" t="inlineStr">
        <x:is>
          <x:t xml:space="preserve">ЗЗ-00019</x:t>
        </x:is>
      </x:c>
      <x:c r="D95" s="31" t="inlineStr">
        <x:is>
          <x:t xml:space="preserve">ЗК-1004</x:t>
        </x:is>
      </x:c>
      <x:c r="E95" s="31" t="n">
        <x:v>4756339</x:v>
      </x:c>
      <x:c r="F95" s="31" t="inlineStr">
        <x:is>
          <x:t xml:space="preserve">На согласовании</x:t>
        </x:is>
      </x:c>
      <x:c r="G95" s="31" t="inlineStr">
        <x:is>
          <x:t xml:space="preserve">СОТР-002</x:t>
        </x:is>
      </x:c>
      <x:c r="H95" s="31" t="n">
        <x:v>46179</x:v>
      </x:c>
      <x:c r="I95" s="31" t="n">
        <x:v>46193</x:v>
      </x:c>
      <x:c r="J95" s="31" t="inlineStr">
        <x:is>
          <x:t xml:space="preserve">Ускоренный</x:t>
        </x:is>
      </x:c>
      <x:c r="K95" s="31" t="inlineStr">
        <x:is>
          <x:t xml:space="preserve">Основание согласования Закупка</x:t>
        </x:is>
      </x:c>
    </x:row>
    <x:row r="96" ht="18" customHeight="1">
      <x:c r="A96" s="31" t="inlineStr">
        <x:is>
          <x:t xml:space="preserve">СОГ-00095</x:t>
        </x:is>
      </x:c>
      <x:c r="B96" s="31" t="inlineStr">
        <x:is>
          <x:t xml:space="preserve">Закупка</x:t>
        </x:is>
      </x:c>
      <x:c r="C96" s="31" t="inlineStr">
        <x:is>
          <x:t xml:space="preserve">ЗЗ-00020</x:t>
        </x:is>
      </x:c>
      <x:c r="D96" s="31" t="inlineStr">
        <x:is>
          <x:t xml:space="preserve">ЗК-1130</x:t>
        </x:is>
      </x:c>
      <x:c r="E96" s="31" t="n">
        <x:v>14945814</x:v>
      </x:c>
      <x:c r="F96" s="31" t="inlineStr">
        <x:is>
          <x:t xml:space="preserve">Согласовано</x:t>
        </x:is>
      </x:c>
      <x:c r="G96" s="31" t="inlineStr">
        <x:is>
          <x:t xml:space="preserve">СОТР-063</x:t>
        </x:is>
      </x:c>
      <x:c r="H96" s="31" t="n">
        <x:v>46159</x:v>
      </x:c>
      <x:c r="I96" s="31" t="n">
        <x:v>46181</x:v>
      </x:c>
      <x:c r="J96" s="31" t="inlineStr">
        <x:is>
          <x:t xml:space="preserve">Обычный</x:t>
        </x:is>
      </x:c>
      <x:c r="K96" s="31" t="inlineStr">
        <x:is>
          <x:t xml:space="preserve">Основание согласования Закупка</x:t>
        </x:is>
      </x:c>
    </x:row>
    <x:row r="97" ht="18" customHeight="1">
      <x:c r="A97" s="31" t="inlineStr">
        <x:is>
          <x:t xml:space="preserve">СОГ-00096</x:t>
        </x:is>
      </x:c>
      <x:c r="B97" s="31" t="inlineStr">
        <x:is>
          <x:t xml:space="preserve">Закупка</x:t>
        </x:is>
      </x:c>
      <x:c r="C97" s="31" t="inlineStr">
        <x:is>
          <x:t xml:space="preserve">ЗЗ-00021</x:t>
        </x:is>
      </x:c>
      <x:c r="D97" s="31" t="inlineStr">
        <x:is>
          <x:t xml:space="preserve">ЗК-1097</x:t>
        </x:is>
      </x:c>
      <x:c r="E97" s="31" t="n">
        <x:v>15288676</x:v>
      </x:c>
      <x:c r="F97" s="31" t="inlineStr">
        <x:is>
          <x:t xml:space="preserve">Согласовано</x:t>
        </x:is>
      </x:c>
      <x:c r="G97" s="31" t="inlineStr">
        <x:is>
          <x:t xml:space="preserve">СОТР-063</x:t>
        </x:is>
      </x:c>
      <x:c r="H97" s="31" t="n">
        <x:v>46166</x:v>
      </x:c>
      <x:c r="I97" s="31" t="n">
        <x:v>46198</x:v>
      </x:c>
      <x:c r="J97" s="31" t="inlineStr">
        <x:is>
          <x:t xml:space="preserve">Ускоренный</x:t>
        </x:is>
      </x:c>
      <x:c r="K97" s="31" t="inlineStr">
        <x:is>
          <x:t xml:space="preserve">Основание согласования Закупка</x:t>
        </x:is>
      </x:c>
    </x:row>
    <x:row r="98" ht="18" customHeight="1">
      <x:c r="A98" s="31" t="inlineStr">
        <x:is>
          <x:t xml:space="preserve">СОГ-00097</x:t>
        </x:is>
      </x:c>
      <x:c r="B98" s="31" t="inlineStr">
        <x:is>
          <x:t xml:space="preserve">Закупка</x:t>
        </x:is>
      </x:c>
      <x:c r="C98" s="31" t="inlineStr">
        <x:is>
          <x:t xml:space="preserve">ЗЗ-00022</x:t>
        </x:is>
      </x:c>
      <x:c r="D98" s="31" t="inlineStr">
        <x:is>
          <x:t xml:space="preserve">ЗК-1122</x:t>
        </x:is>
      </x:c>
      <x:c r="E98" s="31" t="n">
        <x:v>5296524</x:v>
      </x:c>
      <x:c r="F98" s="31" t="inlineStr">
        <x:is>
          <x:t xml:space="preserve">Отклонено</x:t>
        </x:is>
      </x:c>
      <x:c r="G98" s="31" t="inlineStr">
        <x:is>
          <x:t xml:space="preserve">СОТР-002</x:t>
        </x:is>
      </x:c>
      <x:c r="H98" s="31" t="n">
        <x:v>46154</x:v>
      </x:c>
      <x:c r="I98" s="31" t="n">
        <x:v>46190</x:v>
      </x:c>
      <x:c r="J98" s="31" t="inlineStr">
        <x:is>
          <x:t xml:space="preserve">Обычный</x:t>
        </x:is>
      </x:c>
      <x:c r="K98" s="31" t="inlineStr">
        <x:is>
          <x:t xml:space="preserve">Основание согласования Закупка</x:t>
        </x:is>
      </x:c>
    </x:row>
    <x:row r="99" ht="18" customHeight="1">
      <x:c r="A99" s="31" t="inlineStr">
        <x:is>
          <x:t xml:space="preserve">СОГ-00098</x:t>
        </x:is>
      </x:c>
      <x:c r="B99" s="31" t="inlineStr">
        <x:is>
          <x:t xml:space="preserve">Закупка</x:t>
        </x:is>
      </x:c>
      <x:c r="C99" s="31" t="inlineStr">
        <x:is>
          <x:t xml:space="preserve">ЗЗ-00023</x:t>
        </x:is>
      </x:c>
      <x:c r="D99" s="31" t="inlineStr">
        <x:is>
          <x:t xml:space="preserve">ЗК-1037</x:t>
        </x:is>
      </x:c>
      <x:c r="E99" s="31" t="n">
        <x:v>10059929</x:v>
      </x:c>
      <x:c r="F99" s="31" t="inlineStr">
        <x:is>
          <x:t xml:space="preserve">Отклонено</x:t>
        </x:is>
      </x:c>
      <x:c r="G99" s="31" t="inlineStr">
        <x:is>
          <x:t xml:space="preserve">СОТР-002</x:t>
        </x:is>
      </x:c>
      <x:c r="H99" s="31" t="n">
        <x:v>46153</x:v>
      </x:c>
      <x:c r="I99" s="31" t="n">
        <x:v>46196</x:v>
      </x:c>
      <x:c r="J99" s="31" t="inlineStr">
        <x:is>
          <x:t xml:space="preserve">Обычный</x:t>
        </x:is>
      </x:c>
      <x:c r="K99" s="31" t="inlineStr">
        <x:is>
          <x:t xml:space="preserve">Основание согласования Закупка</x:t>
        </x:is>
      </x:c>
    </x:row>
    <x:row r="100" ht="18" customHeight="1">
      <x:c r="A100" s="31" t="inlineStr">
        <x:is>
          <x:t xml:space="preserve">СОГ-00099</x:t>
        </x:is>
      </x:c>
      <x:c r="B100" s="31" t="inlineStr">
        <x:is>
          <x:t xml:space="preserve">Закупка</x:t>
        </x:is>
      </x:c>
      <x:c r="C100" s="31" t="inlineStr">
        <x:is>
          <x:t xml:space="preserve">ЗЗ-00024</x:t>
        </x:is>
      </x:c>
      <x:c r="D100" s="31" t="n"/>
      <x:c r="E100" s="31" t="n">
        <x:v>13474808</x:v>
      </x:c>
      <x:c r="F100" s="31" t="inlineStr">
        <x:is>
          <x:t xml:space="preserve">Согласовано</x:t>
        </x:is>
      </x:c>
      <x:c r="G100" s="31" t="inlineStr">
        <x:is>
          <x:t xml:space="preserve">СОТР-002</x:t>
        </x:is>
      </x:c>
      <x:c r="H100" s="31" t="n">
        <x:v>46144</x:v>
      </x:c>
      <x:c r="I100" s="31" t="n">
        <x:v>46182</x:v>
      </x:c>
      <x:c r="J100" s="31" t="inlineStr">
        <x:is>
          <x:t xml:space="preserve">Обычный</x:t>
        </x:is>
      </x:c>
      <x:c r="K100" s="31" t="inlineStr">
        <x:is>
          <x:t xml:space="preserve">Основание согласования Закупка</x:t>
        </x:is>
      </x:c>
    </x:row>
    <x:row r="101" ht="18" customHeight="1">
      <x:c r="A101" s="31" t="inlineStr">
        <x:is>
          <x:t xml:space="preserve">СОГ-00100</x:t>
        </x:is>
      </x:c>
      <x:c r="B101" s="31" t="inlineStr">
        <x:is>
          <x:t xml:space="preserve">Закупка</x:t>
        </x:is>
      </x:c>
      <x:c r="C101" s="31" t="inlineStr">
        <x:is>
          <x:t xml:space="preserve">ЗЗ-00025</x:t>
        </x:is>
      </x:c>
      <x:c r="D101" s="31" t="n"/>
      <x:c r="E101" s="31" t="n">
        <x:v>10490839</x:v>
      </x:c>
      <x:c r="F101" s="31" t="inlineStr">
        <x:is>
          <x:t xml:space="preserve">На согласовании</x:t>
        </x:is>
      </x:c>
      <x:c r="G101" s="31" t="inlineStr">
        <x:is>
          <x:t xml:space="preserve">СОТР-002</x:t>
        </x:is>
      </x:c>
      <x:c r="H101" s="31" t="n">
        <x:v>46163</x:v>
      </x:c>
      <x:c r="I101" s="31" t="n">
        <x:v>46189</x:v>
      </x:c>
      <x:c r="J101" s="31" t="inlineStr">
        <x:is>
          <x:t xml:space="preserve">Обычный</x:t>
        </x:is>
      </x:c>
      <x:c r="K101" s="31" t="inlineStr">
        <x:is>
          <x:t xml:space="preserve">Основание согласования Закупка</x:t>
        </x:is>
      </x:c>
    </x:row>
    <x:row r="102" ht="18" customHeight="1">
      <x:c r="A102" s="31" t="inlineStr">
        <x:is>
          <x:t xml:space="preserve">СОГ-00101</x:t>
        </x:is>
      </x:c>
      <x:c r="B102" s="31" t="inlineStr">
        <x:is>
          <x:t xml:space="preserve">Закупка</x:t>
        </x:is>
      </x:c>
      <x:c r="C102" s="31" t="inlineStr">
        <x:is>
          <x:t xml:space="preserve">ЗЗ-00026</x:t>
        </x:is>
      </x:c>
      <x:c r="D102" s="31" t="n"/>
      <x:c r="E102" s="31" t="n">
        <x:v>17333607</x:v>
      </x:c>
      <x:c r="F102" s="31" t="inlineStr">
        <x:is>
          <x:t xml:space="preserve">Требует доработки</x:t>
        </x:is>
      </x:c>
      <x:c r="G102" s="31" t="inlineStr">
        <x:is>
          <x:t xml:space="preserve">СОТР-063</x:t>
        </x:is>
      </x:c>
      <x:c r="H102" s="31" t="n">
        <x:v>46175</x:v>
      </x:c>
      <x:c r="I102" s="31" t="n">
        <x:v>46196</x:v>
      </x:c>
      <x:c r="J102" s="31" t="inlineStr">
        <x:is>
          <x:t xml:space="preserve">Ускоренный</x:t>
        </x:is>
      </x:c>
      <x:c r="K102" s="31" t="inlineStr">
        <x:is>
          <x:t xml:space="preserve">Основание согласования Закупка</x:t>
        </x:is>
      </x:c>
    </x:row>
    <x:row r="103" ht="18" customHeight="1">
      <x:c r="A103" s="31" t="inlineStr">
        <x:is>
          <x:t xml:space="preserve">СОГ-00102</x:t>
        </x:is>
      </x:c>
      <x:c r="B103" s="31" t="inlineStr">
        <x:is>
          <x:t xml:space="preserve">Закупка</x:t>
        </x:is>
      </x:c>
      <x:c r="C103" s="31" t="inlineStr">
        <x:is>
          <x:t xml:space="preserve">ЗЗ-00027</x:t>
        </x:is>
      </x:c>
      <x:c r="D103" s="31" t="n"/>
      <x:c r="E103" s="31" t="n">
        <x:v>2247613</x:v>
      </x:c>
      <x:c r="F103" s="31" t="inlineStr">
        <x:is>
          <x:t xml:space="preserve">Требует доработки</x:t>
        </x:is>
      </x:c>
      <x:c r="G103" s="31" t="inlineStr">
        <x:is>
          <x:t xml:space="preserve">СОТР-002</x:t>
        </x:is>
      </x:c>
      <x:c r="H103" s="31" t="n">
        <x:v>46138</x:v>
      </x:c>
      <x:c r="I103" s="31" t="n">
        <x:v>46180</x:v>
      </x:c>
      <x:c r="J103" s="31" t="inlineStr">
        <x:is>
          <x:t xml:space="preserve">Комитет</x:t>
        </x:is>
      </x:c>
      <x:c r="K103" s="31" t="inlineStr">
        <x:is>
          <x:t xml:space="preserve">Основание согласования Закупка</x:t>
        </x:is>
      </x:c>
    </x:row>
    <x:row r="104" ht="18" customHeight="1">
      <x:c r="A104" s="31" t="inlineStr">
        <x:is>
          <x:t xml:space="preserve">СОГ-00103</x:t>
        </x:is>
      </x:c>
      <x:c r="B104" s="31" t="inlineStr">
        <x:is>
          <x:t xml:space="preserve">Закупка</x:t>
        </x:is>
      </x:c>
      <x:c r="C104" s="31" t="inlineStr">
        <x:is>
          <x:t xml:space="preserve">ЗЗ-00030</x:t>
        </x:is>
      </x:c>
      <x:c r="D104" s="31" t="inlineStr">
        <x:is>
          <x:t xml:space="preserve">ЗК-1043</x:t>
        </x:is>
      </x:c>
      <x:c r="E104" s="31" t="n">
        <x:v>1990968</x:v>
      </x:c>
      <x:c r="F104" s="31" t="inlineStr">
        <x:is>
          <x:t xml:space="preserve">Согласовано</x:t>
        </x:is>
      </x:c>
      <x:c r="G104" s="31" t="inlineStr">
        <x:is>
          <x:t xml:space="preserve">СОТР-018</x:t>
        </x:is>
      </x:c>
      <x:c r="H104" s="31" t="n">
        <x:v>46158</x:v>
      </x:c>
      <x:c r="I104" s="31" t="n">
        <x:v>46190</x:v>
      </x:c>
      <x:c r="J104" s="31" t="inlineStr">
        <x:is>
          <x:t xml:space="preserve">Обычный</x:t>
        </x:is>
      </x:c>
      <x:c r="K104" s="31" t="inlineStr">
        <x:is>
          <x:t xml:space="preserve">Основание согласования Закупка</x:t>
        </x:is>
      </x:c>
    </x:row>
    <x:row r="105" ht="18" customHeight="1">
      <x:c r="A105" s="31" t="inlineStr">
        <x:is>
          <x:t xml:space="preserve">СОГ-00104</x:t>
        </x:is>
      </x:c>
      <x:c r="B105" s="31" t="inlineStr">
        <x:is>
          <x:t xml:space="preserve">Закупка</x:t>
        </x:is>
      </x:c>
      <x:c r="C105" s="31" t="inlineStr">
        <x:is>
          <x:t xml:space="preserve">ЗЗ-00031</x:t>
        </x:is>
      </x:c>
      <x:c r="D105" s="31" t="n"/>
      <x:c r="E105" s="31" t="n">
        <x:v>3817313</x:v>
      </x:c>
      <x:c r="F105" s="31" t="inlineStr">
        <x:is>
          <x:t xml:space="preserve">Согласовано</x:t>
        </x:is>
      </x:c>
      <x:c r="G105" s="31" t="inlineStr">
        <x:is>
          <x:t xml:space="preserve">СОТР-018</x:t>
        </x:is>
      </x:c>
      <x:c r="H105" s="31" t="n">
        <x:v>46141</x:v>
      </x:c>
      <x:c r="I105" s="31" t="n">
        <x:v>46182</x:v>
      </x:c>
      <x:c r="J105" s="31" t="inlineStr">
        <x:is>
          <x:t xml:space="preserve">Обычный</x:t>
        </x:is>
      </x:c>
      <x:c r="K105" s="31" t="inlineStr">
        <x:is>
          <x:t xml:space="preserve">Основание согласования Закупка</x:t>
        </x:is>
      </x:c>
    </x:row>
    <x:row r="106" ht="18" customHeight="1">
      <x:c r="A106" s="31" t="inlineStr">
        <x:is>
          <x:t xml:space="preserve">СОГ-00105</x:t>
        </x:is>
      </x:c>
      <x:c r="B106" s="31" t="inlineStr">
        <x:is>
          <x:t xml:space="preserve">Закупка</x:t>
        </x:is>
      </x:c>
      <x:c r="C106" s="31" t="inlineStr">
        <x:is>
          <x:t xml:space="preserve">ЗЗ-00032</x:t>
        </x:is>
      </x:c>
      <x:c r="D106" s="31" t="inlineStr">
        <x:is>
          <x:t xml:space="preserve">ЗК-1035</x:t>
        </x:is>
      </x:c>
      <x:c r="E106" s="31" t="n">
        <x:v>6509423</x:v>
      </x:c>
      <x:c r="F106" s="31" t="inlineStr">
        <x:is>
          <x:t xml:space="preserve">Черновик</x:t>
        </x:is>
      </x:c>
      <x:c r="G106" s="31" t="inlineStr">
        <x:is>
          <x:t xml:space="preserve">СОТР-002</x:t>
        </x:is>
      </x:c>
      <x:c r="H106" s="31" t="n">
        <x:v>46151</x:v>
      </x:c>
      <x:c r="I106" s="31" t="n">
        <x:v>46182</x:v>
      </x:c>
      <x:c r="J106" s="31" t="inlineStr">
        <x:is>
          <x:t xml:space="preserve">Обычный</x:t>
        </x:is>
      </x:c>
      <x:c r="K106" s="31" t="inlineStr">
        <x:is>
          <x:t xml:space="preserve">Основание согласования Закупка</x:t>
        </x:is>
      </x:c>
    </x:row>
    <x:row r="107" ht="18" customHeight="1">
      <x:c r="A107" s="31" t="inlineStr">
        <x:is>
          <x:t xml:space="preserve">СОГ-00106</x:t>
        </x:is>
      </x:c>
      <x:c r="B107" s="31" t="inlineStr">
        <x:is>
          <x:t xml:space="preserve">Закупка</x:t>
        </x:is>
      </x:c>
      <x:c r="C107" s="31" t="inlineStr">
        <x:is>
          <x:t xml:space="preserve">ЗЗ-00033</x:t>
        </x:is>
      </x:c>
      <x:c r="D107" s="31" t="inlineStr">
        <x:is>
          <x:t xml:space="preserve">ЗК-1019</x:t>
        </x:is>
      </x:c>
      <x:c r="E107" s="31" t="n">
        <x:v>455069</x:v>
      </x:c>
      <x:c r="F107" s="31" t="inlineStr">
        <x:is>
          <x:t xml:space="preserve">Черновик</x:t>
        </x:is>
      </x:c>
      <x:c r="G107" s="31" t="inlineStr">
        <x:is>
          <x:t xml:space="preserve">СОТР-002</x:t>
        </x:is>
      </x:c>
      <x:c r="H107" s="31" t="n">
        <x:v>46138</x:v>
      </x:c>
      <x:c r="I107" s="31" t="n">
        <x:v>46193</x:v>
      </x:c>
      <x:c r="J107" s="31" t="inlineStr">
        <x:is>
          <x:t xml:space="preserve">Обычный</x:t>
        </x:is>
      </x:c>
      <x:c r="K107" s="31" t="inlineStr">
        <x:is>
          <x:t xml:space="preserve">Основание согласования Закупка</x:t>
        </x:is>
      </x:c>
    </x:row>
    <x:row r="108" ht="18" customHeight="1">
      <x:c r="A108" s="31" t="inlineStr">
        <x:is>
          <x:t xml:space="preserve">СОГ-00107</x:t>
        </x:is>
      </x:c>
      <x:c r="B108" s="31" t="inlineStr">
        <x:is>
          <x:t xml:space="preserve">Закупка</x:t>
        </x:is>
      </x:c>
      <x:c r="C108" s="31" t="inlineStr">
        <x:is>
          <x:t xml:space="preserve">ЗЗ-00034</x:t>
        </x:is>
      </x:c>
      <x:c r="D108" s="31" t="inlineStr">
        <x:is>
          <x:t xml:space="preserve">ЗК-1083</x:t>
        </x:is>
      </x:c>
      <x:c r="E108" s="31" t="n">
        <x:v>6686180</x:v>
      </x:c>
      <x:c r="F108" s="31" t="inlineStr">
        <x:is>
          <x:t xml:space="preserve">Отклонено</x:t>
        </x:is>
      </x:c>
      <x:c r="G108" s="31" t="inlineStr">
        <x:is>
          <x:t xml:space="preserve">СОТР-018</x:t>
        </x:is>
      </x:c>
      <x:c r="H108" s="31" t="n">
        <x:v>46150</x:v>
      </x:c>
      <x:c r="I108" s="31" t="n">
        <x:v>46180</x:v>
      </x:c>
      <x:c r="J108" s="31" t="inlineStr">
        <x:is>
          <x:t xml:space="preserve">Обычный</x:t>
        </x:is>
      </x:c>
      <x:c r="K108" s="31" t="inlineStr">
        <x:is>
          <x:t xml:space="preserve">Основание согласования Закупка</x:t>
        </x:is>
      </x:c>
    </x:row>
    <x:row r="109" ht="18" customHeight="1">
      <x:c r="A109" s="31" t="inlineStr">
        <x:is>
          <x:t xml:space="preserve">СОГ-00108</x:t>
        </x:is>
      </x:c>
      <x:c r="B109" s="31" t="inlineStr">
        <x:is>
          <x:t xml:space="preserve">Закупка</x:t>
        </x:is>
      </x:c>
      <x:c r="C109" s="31" t="inlineStr">
        <x:is>
          <x:t xml:space="preserve">ЗЗ-00035</x:t>
        </x:is>
      </x:c>
      <x:c r="D109" s="31" t="inlineStr">
        <x:is>
          <x:t xml:space="preserve">ЗК-1056</x:t>
        </x:is>
      </x:c>
      <x:c r="E109" s="31" t="n">
        <x:v>2842834</x:v>
      </x:c>
      <x:c r="F109" s="31" t="inlineStr">
        <x:is>
          <x:t xml:space="preserve">Согласовано</x:t>
        </x:is>
      </x:c>
      <x:c r="G109" s="31" t="inlineStr">
        <x:is>
          <x:t xml:space="preserve">СОТР-018</x:t>
        </x:is>
      </x:c>
      <x:c r="H109" s="31" t="n">
        <x:v>46135</x:v>
      </x:c>
      <x:c r="I109" s="31" t="n">
        <x:v>46188</x:v>
      </x:c>
      <x:c r="J109" s="31" t="inlineStr">
        <x:is>
          <x:t xml:space="preserve">Обычный</x:t>
        </x:is>
      </x:c>
      <x:c r="K109" s="31" t="inlineStr">
        <x:is>
          <x:t xml:space="preserve">Основание согласования Закупка</x:t>
        </x:is>
      </x:c>
    </x:row>
    <x:row r="110" ht="18" customHeight="1">
      <x:c r="A110" s="31" t="inlineStr">
        <x:is>
          <x:t xml:space="preserve">СОГ-00109</x:t>
        </x:is>
      </x:c>
      <x:c r="B110" s="31" t="inlineStr">
        <x:is>
          <x:t xml:space="preserve">Закупка</x:t>
        </x:is>
      </x:c>
      <x:c r="C110" s="31" t="inlineStr">
        <x:is>
          <x:t xml:space="preserve">ЗЗ-00038</x:t>
        </x:is>
      </x:c>
      <x:c r="D110" s="31" t="inlineStr">
        <x:is>
          <x:t xml:space="preserve">ЗК-1113</x:t>
        </x:is>
      </x:c>
      <x:c r="E110" s="31" t="n">
        <x:v>5207</x:v>
      </x:c>
      <x:c r="F110" s="31" t="inlineStr">
        <x:is>
          <x:t xml:space="preserve">Согласовано</x:t>
        </x:is>
      </x:c>
      <x:c r="G110" s="31" t="inlineStr">
        <x:is>
          <x:t xml:space="preserve">СОТР-063</x:t>
        </x:is>
      </x:c>
      <x:c r="H110" s="31" t="n">
        <x:v>46148</x:v>
      </x:c>
      <x:c r="I110" s="31" t="n">
        <x:v>46182</x:v>
      </x:c>
      <x:c r="J110" s="31" t="inlineStr">
        <x:is>
          <x:t xml:space="preserve">Обычный</x:t>
        </x:is>
      </x:c>
      <x:c r="K110" s="31" t="inlineStr">
        <x:is>
          <x:t xml:space="preserve">Основание согласования Закупка</x:t>
        </x:is>
      </x:c>
    </x:row>
    <x:row r="111" ht="18" customHeight="1">
      <x:c r="A111" s="31" t="inlineStr">
        <x:is>
          <x:t xml:space="preserve">СОГ-00110</x:t>
        </x:is>
      </x:c>
      <x:c r="B111" s="31" t="inlineStr">
        <x:is>
          <x:t xml:space="preserve">Закупка</x:t>
        </x:is>
      </x:c>
      <x:c r="C111" s="31" t="inlineStr">
        <x:is>
          <x:t xml:space="preserve">ЗЗ-00039</x:t>
        </x:is>
      </x:c>
      <x:c r="D111" s="31" t="n"/>
      <x:c r="E111" s="31" t="n">
        <x:v>42929</x:v>
      </x:c>
      <x:c r="F111" s="31" t="inlineStr">
        <x:is>
          <x:t xml:space="preserve">Требует доработки</x:t>
        </x:is>
      </x:c>
      <x:c r="G111" s="31" t="inlineStr">
        <x:is>
          <x:t xml:space="preserve">СОТР-018</x:t>
        </x:is>
      </x:c>
      <x:c r="H111" s="31" t="n">
        <x:v>46141</x:v>
      </x:c>
      <x:c r="I111" s="31" t="n">
        <x:v>46195</x:v>
      </x:c>
      <x:c r="J111" s="31" t="inlineStr">
        <x:is>
          <x:t xml:space="preserve">Ускоренный</x:t>
        </x:is>
      </x:c>
      <x:c r="K111" s="31" t="inlineStr">
        <x:is>
          <x:t xml:space="preserve">Основание согласования Закупка</x:t>
        </x:is>
      </x:c>
    </x:row>
    <x:row r="112" ht="18" customHeight="1">
      <x:c r="A112" s="31" t="inlineStr">
        <x:is>
          <x:t xml:space="preserve">СОГ-00111</x:t>
        </x:is>
      </x:c>
      <x:c r="B112" s="31" t="inlineStr">
        <x:is>
          <x:t xml:space="preserve">Закупка</x:t>
        </x:is>
      </x:c>
      <x:c r="C112" s="31" t="inlineStr">
        <x:is>
          <x:t xml:space="preserve">ЗЗ-00040</x:t>
        </x:is>
      </x:c>
      <x:c r="D112" s="31" t="inlineStr">
        <x:is>
          <x:t xml:space="preserve">ЗК-1068</x:t>
        </x:is>
      </x:c>
      <x:c r="E112" s="31" t="n">
        <x:v>15770</x:v>
      </x:c>
      <x:c r="F112" s="31" t="inlineStr">
        <x:is>
          <x:t xml:space="preserve">На согласовании</x:t>
        </x:is>
      </x:c>
      <x:c r="G112" s="31" t="inlineStr">
        <x:is>
          <x:t xml:space="preserve">СОТР-002</x:t>
        </x:is>
      </x:c>
      <x:c r="H112" s="31" t="n">
        <x:v>46139</x:v>
      </x:c>
      <x:c r="I112" s="31" t="n">
        <x:v>46199</x:v>
      </x:c>
      <x:c r="J112" s="31" t="inlineStr">
        <x:is>
          <x:t xml:space="preserve">Ускоренный</x:t>
        </x:is>
      </x:c>
      <x:c r="K112" s="31" t="inlineStr">
        <x:is>
          <x:t xml:space="preserve">Основание согласования Закупка</x:t>
        </x:is>
      </x:c>
    </x:row>
    <x:row r="113" ht="18" customHeight="1">
      <x:c r="A113" s="31" t="inlineStr">
        <x:is>
          <x:t xml:space="preserve">СОГ-00112</x:t>
        </x:is>
      </x:c>
      <x:c r="B113" s="31" t="inlineStr">
        <x:is>
          <x:t xml:space="preserve">Закупка</x:t>
        </x:is>
      </x:c>
      <x:c r="C113" s="31" t="inlineStr">
        <x:is>
          <x:t xml:space="preserve">ЗЗ-00044</x:t>
        </x:is>
      </x:c>
      <x:c r="D113" s="31" t="inlineStr">
        <x:is>
          <x:t xml:space="preserve">ЗК-1047</x:t>
        </x:is>
      </x:c>
      <x:c r="E113" s="31" t="n">
        <x:v>9294</x:v>
      </x:c>
      <x:c r="F113" s="31" t="inlineStr">
        <x:is>
          <x:t xml:space="preserve">Требует доработки</x:t>
        </x:is>
      </x:c>
      <x:c r="G113" s="31" t="inlineStr">
        <x:is>
          <x:t xml:space="preserve">СОТР-002</x:t>
        </x:is>
      </x:c>
      <x:c r="H113" s="31" t="n">
        <x:v>46163</x:v>
      </x:c>
      <x:c r="I113" s="31" t="n">
        <x:v>46181</x:v>
      </x:c>
      <x:c r="J113" s="31" t="inlineStr">
        <x:is>
          <x:t xml:space="preserve">Ускоренный</x:t>
        </x:is>
      </x:c>
      <x:c r="K113" s="31" t="inlineStr">
        <x:is>
          <x:t xml:space="preserve">Основание согласования Закупка</x:t>
        </x:is>
      </x:c>
    </x:row>
    <x:row r="114" ht="18" customHeight="1">
      <x:c r="A114" s="31" t="inlineStr">
        <x:is>
          <x:t xml:space="preserve">СОГ-00113</x:t>
        </x:is>
      </x:c>
      <x:c r="B114" s="31" t="inlineStr">
        <x:is>
          <x:t xml:space="preserve">Закупка</x:t>
        </x:is>
      </x:c>
      <x:c r="C114" s="31" t="inlineStr">
        <x:is>
          <x:t xml:space="preserve">ЗЗ-00047</x:t>
        </x:is>
      </x:c>
      <x:c r="D114" s="31" t="inlineStr">
        <x:is>
          <x:t xml:space="preserve">ЗК-1002</x:t>
        </x:is>
      </x:c>
      <x:c r="E114" s="31" t="n">
        <x:v>9832</x:v>
      </x:c>
      <x:c r="F114" s="31" t="inlineStr">
        <x:is>
          <x:t xml:space="preserve">На согласовании</x:t>
        </x:is>
      </x:c>
      <x:c r="G114" s="31" t="inlineStr">
        <x:is>
          <x:t xml:space="preserve">СОТР-076</x:t>
        </x:is>
      </x:c>
      <x:c r="H114" s="31" t="n">
        <x:v>46149</x:v>
      </x:c>
      <x:c r="I114" s="31" t="n">
        <x:v>46183</x:v>
      </x:c>
      <x:c r="J114" s="31" t="inlineStr">
        <x:is>
          <x:t xml:space="preserve">Обычный</x:t>
        </x:is>
      </x:c>
      <x:c r="K114" s="31" t="inlineStr">
        <x:is>
          <x:t xml:space="preserve">Основание согласования Закупка</x:t>
        </x:is>
      </x:c>
    </x:row>
    <x:row r="115" ht="18" customHeight="1">
      <x:c r="A115" s="31" t="inlineStr">
        <x:is>
          <x:t xml:space="preserve">СОГ-00114</x:t>
        </x:is>
      </x:c>
      <x:c r="B115" s="31" t="inlineStr">
        <x:is>
          <x:t xml:space="preserve">Закупка</x:t>
        </x:is>
      </x:c>
      <x:c r="C115" s="31" t="inlineStr">
        <x:is>
          <x:t xml:space="preserve">ЗЗ-00054</x:t>
        </x:is>
      </x:c>
      <x:c r="D115" s="31" t="inlineStr">
        <x:is>
          <x:t xml:space="preserve">ЗК-1103</x:t>
        </x:is>
      </x:c>
      <x:c r="E115" s="31" t="n">
        <x:v>13378</x:v>
      </x:c>
      <x:c r="F115" s="31" t="inlineStr">
        <x:is>
          <x:t xml:space="preserve">На согласовании</x:t>
        </x:is>
      </x:c>
      <x:c r="G115" s="31" t="inlineStr">
        <x:is>
          <x:t xml:space="preserve">СОТР-002</x:t>
        </x:is>
      </x:c>
      <x:c r="H115" s="31" t="n">
        <x:v>46156</x:v>
      </x:c>
      <x:c r="I115" s="31" t="n">
        <x:v>46190</x:v>
      </x:c>
      <x:c r="J115" s="31" t="inlineStr">
        <x:is>
          <x:t xml:space="preserve">Комитет</x:t>
        </x:is>
      </x:c>
      <x:c r="K115" s="31" t="inlineStr">
        <x:is>
          <x:t xml:space="preserve">Основание согласования Закупка</x:t>
        </x:is>
      </x:c>
    </x:row>
    <x:row r="116" ht="18" customHeight="1">
      <x:c r="A116" s="31" t="inlineStr">
        <x:is>
          <x:t xml:space="preserve">СОГ-00115</x:t>
        </x:is>
      </x:c>
      <x:c r="B116" s="31" t="inlineStr">
        <x:is>
          <x:t xml:space="preserve">Отгрузка при кредит-блоке</x:t>
        </x:is>
      </x:c>
      <x:c r="C116" s="31" t="inlineStr">
        <x:is>
          <x:t xml:space="preserve">ЗК-1052</x:t>
        </x:is>
      </x:c>
      <x:c r="D116" s="31" t="inlineStr">
        <x:is>
          <x:t xml:space="preserve">ЗК-1052</x:t>
        </x:is>
      </x:c>
      <x:c r="E116" s="31" t="n">
        <x:v>5432458</x:v>
      </x:c>
      <x:c r="F116" s="31" t="inlineStr">
        <x:is>
          <x:t xml:space="preserve">Требует доработки</x:t>
        </x:is>
      </x:c>
      <x:c r="G116" s="31" t="inlineStr">
        <x:is>
          <x:t xml:space="preserve">СОТР-002</x:t>
        </x:is>
      </x:c>
      <x:c r="H116" s="31" t="n">
        <x:v>46155</x:v>
      </x:c>
      <x:c r="I116" s="31" t="n">
        <x:v>46182</x:v>
      </x:c>
      <x:c r="J116" s="31" t="inlineStr">
        <x:is>
          <x:t xml:space="preserve">Комитет</x:t>
        </x:is>
      </x:c>
      <x:c r="K116" s="31" t="inlineStr">
        <x:is>
          <x:t xml:space="preserve">Основание согласования Отгрузка при кредит-блоке</x:t>
        </x:is>
      </x:c>
    </x:row>
    <x:row r="117" ht="18" customHeight="1">
      <x:c r="A117" s="31" t="inlineStr">
        <x:is>
          <x:t xml:space="preserve">СОГ-00116</x:t>
        </x:is>
      </x:c>
      <x:c r="B117" s="31" t="inlineStr">
        <x:is>
          <x:t xml:space="preserve">Отгрузка при кредит-блоке</x:t>
        </x:is>
      </x:c>
      <x:c r="C117" s="31" t="inlineStr">
        <x:is>
          <x:t xml:space="preserve">ЗК-1081</x:t>
        </x:is>
      </x:c>
      <x:c r="D117" s="31" t="inlineStr">
        <x:is>
          <x:t xml:space="preserve">ЗК-1081</x:t>
        </x:is>
      </x:c>
      <x:c r="E117" s="31" t="n">
        <x:v>3717867</x:v>
      </x:c>
      <x:c r="F117" s="31" t="inlineStr">
        <x:is>
          <x:t xml:space="preserve">Согласовано</x:t>
        </x:is>
      </x:c>
      <x:c r="G117" s="31" t="inlineStr">
        <x:is>
          <x:t xml:space="preserve">СОТР-018</x:t>
        </x:is>
      </x:c>
      <x:c r="H117" s="31" t="n">
        <x:v>46138</x:v>
      </x:c>
      <x:c r="I117" s="31" t="n">
        <x:v>46192</x:v>
      </x:c>
      <x:c r="J117" s="31" t="inlineStr">
        <x:is>
          <x:t xml:space="preserve">Комитет</x:t>
        </x:is>
      </x:c>
      <x:c r="K117" s="31" t="inlineStr">
        <x:is>
          <x:t xml:space="preserve">Основание согласования Отгрузка при кредит-блоке</x:t>
        </x:is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35" customWidth="1"/>
    <x:col min="3" max="3" width="26" customWidth="1"/>
    <x:col min="4" max="4" width="31" customWidth="1"/>
    <x:col min="5" max="5" width="11" customWidth="1"/>
    <x:col min="6" max="6" width="24" customWidth="1"/>
    <x:col min="7" max="7" width="15" customWidth="1"/>
    <x:col min="8" max="8" width="15" customWidth="1"/>
    <x:col min="9" max="9" width="10" customWidth="1"/>
    <x:col min="10" max="10" width="38" customWidth="1"/>
  </x:cols>
  <x:sheetData>
    <x:row r="1" ht="18" customHeight="1">
      <x:c r="A1" s="30" t="inlineStr">
        <x:is>
          <x:t xml:space="preserve">Код исключения</x:t>
        </x:is>
      </x:c>
      <x:c r="B1" s="30" t="inlineStr">
        <x:is>
          <x:t xml:space="preserve">Тип исключения</x:t>
        </x:is>
      </x:c>
      <x:c r="C1" s="30" t="inlineStr">
        <x:is>
          <x:t xml:space="preserve">Тип объекта</x:t>
        </x:is>
      </x:c>
      <x:c r="D1" s="30" t="inlineStr">
        <x:is>
          <x:t xml:space="preserve">Код объекта</x:t>
        </x:is>
      </x:c>
      <x:c r="E1" s="30" t="inlineStr">
        <x:is>
          <x:t xml:space="preserve">Тяжесть</x:t>
        </x:is>
      </x:c>
      <x:c r="F1" s="30" t="inlineStr">
        <x:is>
          <x:t xml:space="preserve">Статус</x:t>
        </x:is>
      </x:c>
      <x:c r="G1" s="30" t="inlineStr">
        <x:is>
          <x:t xml:space="preserve">Ответственный</x:t>
        </x:is>
      </x:c>
      <x:c r="H1" s="30" t="inlineStr">
        <x:is>
          <x:t xml:space="preserve">Дата создания</x:t>
        </x:is>
      </x:c>
      <x:c r="I1" s="30" t="inlineStr">
        <x:is>
          <x:t xml:space="preserve">Срок</x:t>
        </x:is>
      </x:c>
      <x:c r="J1" s="30" t="inlineStr">
        <x:is>
          <x:t xml:space="preserve">Описание</x:t>
        </x:is>
      </x:c>
    </x:row>
    <x:row r="2" ht="18" customHeight="1">
      <x:c r="A2" s="31" t="inlineStr">
        <x:is>
          <x:t xml:space="preserve">ИСКЛ-0001</x:t>
        </x:is>
      </x:c>
      <x:c r="B2" s="31" t="inlineStr">
        <x:is>
          <x:t xml:space="preserve">Поставка с частичной приемкой</x:t>
        </x:is>
      </x:c>
      <x:c r="C2" s="31" t="inlineStr">
        <x:is>
          <x:t xml:space="preserve">Оборудование</x:t>
        </x:is>
      </x:c>
      <x:c r="D2" s="31" t="inlineStr">
        <x:is>
          <x:t xml:space="preserve">ОБ-014</x:t>
        </x:is>
      </x:c>
      <x:c r="E2" s="31" t="inlineStr">
        <x:is>
          <x:t xml:space="preserve">Низкая</x:t>
        </x:is>
      </x:c>
      <x:c r="F2" s="31" t="inlineStr">
        <x:is>
          <x:t xml:space="preserve">Принято как исключение</x:t>
        </x:is>
      </x:c>
      <x:c r="G2" s="31" t="inlineStr">
        <x:is>
          <x:t xml:space="preserve">СОТР-001</x:t>
        </x:is>
      </x:c>
      <x:c r="H2" s="31" t="n">
        <x:v>46155</x:v>
      </x:c>
      <x:c r="I2" s="31" t="n">
        <x:v>46187</x:v>
      </x:c>
      <x:c r="J2" s="31" t="inlineStr">
        <x:is>
          <x:t xml:space="preserve">Исключение добавлено для проверки логики подрядчика: Поставка с частичной приемкой</x:t>
        </x:is>
      </x:c>
    </x:row>
    <x:row r="3" ht="18" customHeight="1">
      <x:c r="A3" s="31" t="inlineStr">
        <x:is>
          <x:t xml:space="preserve">ИСКЛ-0002</x:t>
        </x:is>
      </x:c>
      <x:c r="B3" s="31" t="inlineStr">
        <x:is>
          <x:t xml:space="preserve">Замена материала</x:t>
        </x:is>
      </x:c>
      <x:c r="C3" s="31" t="inlineStr">
        <x:is>
          <x:t xml:space="preserve">Заказ</x:t>
        </x:is>
      </x:c>
      <x:c r="D3" s="31" t="inlineStr">
        <x:is>
          <x:t xml:space="preserve">ЗК-1113</x:t>
        </x:is>
      </x:c>
      <x:c r="E3" s="31" t="inlineStr">
        <x:is>
          <x:t xml:space="preserve">Средняя</x:t>
        </x:is>
      </x:c>
      <x:c r="F3" s="31" t="inlineStr">
        <x:is>
          <x:t xml:space="preserve">Открыто</x:t>
        </x:is>
      </x:c>
      <x:c r="G3" s="31" t="inlineStr">
        <x:is>
          <x:t xml:space="preserve">СОТР-076</x:t>
        </x:is>
      </x:c>
      <x:c r="H3" s="31" t="n">
        <x:v>46169</x:v>
      </x:c>
      <x:c r="I3" s="31" t="n">
        <x:v>46204</x:v>
      </x:c>
      <x:c r="J3" s="31" t="inlineStr">
        <x:is>
          <x:t xml:space="preserve">Исключение добавлено для проверки логики подрядчика: Замена материала</x:t>
        </x:is>
      </x:c>
    </x:row>
    <x:row r="4" ht="18" customHeight="1">
      <x:c r="A4" s="31" t="inlineStr">
        <x:is>
          <x:t xml:space="preserve">ИСКЛ-0003</x:t>
        </x:is>
      </x:c>
      <x:c r="B4" s="31" t="inlineStr">
        <x:is>
          <x:t xml:space="preserve">Замена материала</x:t>
        </x:is>
      </x:c>
      <x:c r="C4" s="31" t="inlineStr">
        <x:is>
          <x:t xml:space="preserve">Заказ</x:t>
        </x:is>
      </x:c>
      <x:c r="D4" s="31" t="inlineStr">
        <x:is>
          <x:t xml:space="preserve">ЗК-1125</x:t>
        </x:is>
      </x:c>
      <x:c r="E4" s="31" t="inlineStr">
        <x:is>
          <x:t xml:space="preserve">Высокая</x:t>
        </x:is>
      </x:c>
      <x:c r="F4" s="31" t="inlineStr">
        <x:is>
          <x:t xml:space="preserve">Закрыто</x:t>
        </x:is>
      </x:c>
      <x:c r="G4" s="31" t="inlineStr">
        <x:is>
          <x:t xml:space="preserve">СОТР-018</x:t>
        </x:is>
      </x:c>
      <x:c r="H4" s="31" t="n">
        <x:v>46178</x:v>
      </x:c>
      <x:c r="I4" s="31" t="n">
        <x:v>46196</x:v>
      </x:c>
      <x:c r="J4" s="31" t="inlineStr">
        <x:is>
          <x:t xml:space="preserve">Исключение добавлено для проверки логики подрядчика: Замена материала</x:t>
        </x:is>
      </x:c>
    </x:row>
    <x:row r="5" ht="18" customHeight="1">
      <x:c r="A5" s="31" t="inlineStr">
        <x:is>
          <x:t xml:space="preserve">ИСКЛ-0004</x:t>
        </x:is>
      </x:c>
      <x:c r="B5" s="31" t="inlineStr">
        <x:is>
          <x:t xml:space="preserve">Нестандартный маршрут</x:t>
        </x:is>
      </x:c>
      <x:c r="C5" s="31" t="inlineStr">
        <x:is>
          <x:t xml:space="preserve">Счет</x:t>
        </x:is>
      </x:c>
      <x:c r="D5" s="31" t="inlineStr">
        <x:is>
          <x:t xml:space="preserve">СЧ-1044-1</x:t>
        </x:is>
      </x:c>
      <x:c r="E5" s="31" t="inlineStr">
        <x:is>
          <x:t xml:space="preserve">Низкая</x:t>
        </x:is>
      </x:c>
      <x:c r="F5" s="31" t="inlineStr">
        <x:is>
          <x:t xml:space="preserve">В работе</x:t>
        </x:is>
      </x:c>
      <x:c r="G5" s="31" t="inlineStr">
        <x:is>
          <x:t xml:space="preserve">СОТР-018</x:t>
        </x:is>
      </x:c>
      <x:c r="H5" s="31" t="n">
        <x:v>46157</x:v>
      </x:c>
      <x:c r="I5" s="31" t="n">
        <x:v>46197</x:v>
      </x:c>
      <x:c r="J5" s="31" t="inlineStr">
        <x:is>
          <x:t xml:space="preserve">Исключение добавлено для проверки логики подрядчика: Нестандартный маршрут</x:t>
        </x:is>
      </x:c>
    </x:row>
    <x:row r="6" ht="18" customHeight="1">
      <x:c r="A6" s="31" t="inlineStr">
        <x:is>
          <x:t xml:space="preserve">ИСКЛ-0005</x:t>
        </x:is>
      </x:c>
      <x:c r="B6" s="31" t="inlineStr">
        <x:is>
          <x:t xml:space="preserve">Замена материала</x:t>
        </x:is>
      </x:c>
      <x:c r="C6" s="31" t="inlineStr">
        <x:is>
          <x:t xml:space="preserve">Счет</x:t>
        </x:is>
      </x:c>
      <x:c r="D6" s="31" t="inlineStr">
        <x:is>
          <x:t xml:space="preserve">СЧ-1066-2</x:t>
        </x:is>
      </x:c>
      <x:c r="E6" s="31" t="inlineStr">
        <x:is>
          <x:t xml:space="preserve">Средняя</x:t>
        </x:is>
      </x:c>
      <x:c r="F6" s="31" t="inlineStr">
        <x:is>
          <x:t xml:space="preserve">В работе</x:t>
        </x:is>
      </x:c>
      <x:c r="G6" s="31" t="inlineStr">
        <x:is>
          <x:t xml:space="preserve">СОТР-011</x:t>
        </x:is>
      </x:c>
      <x:c r="H6" s="31" t="n">
        <x:v>46173</x:v>
      </x:c>
      <x:c r="I6" s="31" t="n">
        <x:v>46205</x:v>
      </x:c>
      <x:c r="J6" s="31" t="inlineStr">
        <x:is>
          <x:t xml:space="preserve">Исключение добавлено для проверки логики подрядчика: Замена материала</x:t>
        </x:is>
      </x:c>
    </x:row>
    <x:row r="7" ht="18" customHeight="1">
      <x:c r="A7" s="31" t="inlineStr">
        <x:is>
          <x:t xml:space="preserve">ИСКЛ-0006</x:t>
        </x:is>
      </x:c>
      <x:c r="B7" s="31" t="inlineStr">
        <x:is>
          <x:t xml:space="preserve">Отгрузка частями</x:t>
        </x:is>
      </x:c>
      <x:c r="C7" s="31" t="inlineStr">
        <x:is>
          <x:t xml:space="preserve">Заказ</x:t>
        </x:is>
      </x:c>
      <x:c r="D7" s="31" t="inlineStr">
        <x:is>
          <x:t xml:space="preserve">ЗК-1050</x:t>
        </x:is>
      </x:c>
      <x:c r="E7" s="31" t="inlineStr">
        <x:is>
          <x:t xml:space="preserve">Низкая</x:t>
        </x:is>
      </x:c>
      <x:c r="F7" s="31" t="inlineStr">
        <x:is>
          <x:t xml:space="preserve">В работе</x:t>
        </x:is>
      </x:c>
      <x:c r="G7" s="31" t="inlineStr">
        <x:is>
          <x:t xml:space="preserve">СОТР-076</x:t>
        </x:is>
      </x:c>
      <x:c r="H7" s="31" t="n">
        <x:v>46172</x:v>
      </x:c>
      <x:c r="I7" s="31" t="n">
        <x:v>46197</x:v>
      </x:c>
      <x:c r="J7" s="31" t="inlineStr">
        <x:is>
          <x:t xml:space="preserve">Исключение добавлено для проверки логики подрядчика: Отгрузка частями</x:t>
        </x:is>
      </x:c>
    </x:row>
    <x:row r="8" ht="18" customHeight="1">
      <x:c r="A8" s="31" t="inlineStr">
        <x:is>
          <x:t xml:space="preserve">ИСКЛ-0007</x:t>
        </x:is>
      </x:c>
      <x:c r="B8" s="31" t="inlineStr">
        <x:is>
          <x:t xml:space="preserve">Изменение КД после запуска</x:t>
        </x:is>
      </x:c>
      <x:c r="C8" s="31" t="inlineStr">
        <x:is>
          <x:t xml:space="preserve">Оборудование</x:t>
        </x:is>
      </x:c>
      <x:c r="D8" s="31" t="inlineStr">
        <x:is>
          <x:t xml:space="preserve">ОБ-005</x:t>
        </x:is>
      </x:c>
      <x:c r="E8" s="31" t="inlineStr">
        <x:is>
          <x:t xml:space="preserve">Средняя</x:t>
        </x:is>
      </x:c>
      <x:c r="F8" s="31" t="inlineStr">
        <x:is>
          <x:t xml:space="preserve">В работе</x:t>
        </x:is>
      </x:c>
      <x:c r="G8" s="31" t="inlineStr">
        <x:is>
          <x:t xml:space="preserve">СОТР-002</x:t>
        </x:is>
      </x:c>
      <x:c r="H8" s="31" t="n">
        <x:v>46169</x:v>
      </x:c>
      <x:c r="I8" s="31" t="n">
        <x:v>46204</x:v>
      </x:c>
      <x:c r="J8" s="31" t="inlineStr">
        <x:is>
          <x:t xml:space="preserve">Исключение добавлено для проверки логики подрядчика: Изменение КД после запуска</x:t>
        </x:is>
      </x:c>
    </x:row>
    <x:row r="9" ht="18" customHeight="1">
      <x:c r="A9" s="31" t="inlineStr">
        <x:is>
          <x:t xml:space="preserve">ИСКЛ-0008</x:t>
        </x:is>
      </x:c>
      <x:c r="B9" s="31" t="inlineStr">
        <x:is>
          <x:t xml:space="preserve">Раподрядчика без финального счета</x:t>
        </x:is>
      </x:c>
      <x:c r="C9" s="31" t="inlineStr">
        <x:is>
          <x:t xml:space="preserve">Оборудование</x:t>
        </x:is>
      </x:c>
      <x:c r="D9" s="31" t="inlineStr">
        <x:is>
          <x:t xml:space="preserve">ОБ-022</x:t>
        </x:is>
      </x:c>
      <x:c r="E9" s="31" t="inlineStr">
        <x:is>
          <x:t xml:space="preserve">Средняя</x:t>
        </x:is>
      </x:c>
      <x:c r="F9" s="31" t="inlineStr">
        <x:is>
          <x:t xml:space="preserve">Закрыто</x:t>
        </x:is>
      </x:c>
      <x:c r="G9" s="31" t="inlineStr">
        <x:is>
          <x:t xml:space="preserve">СОТР-002</x:t>
        </x:is>
      </x:c>
      <x:c r="H9" s="31" t="n">
        <x:v>46149</x:v>
      </x:c>
      <x:c r="I9" s="31" t="n">
        <x:v>46198</x:v>
      </x:c>
      <x:c r="J9" s="31" t="inlineStr">
        <x:is>
          <x:t xml:space="preserve">Исключение добавлено для проверки логики подрядчика: Раподрядчика без финального счета</x:t>
        </x:is>
      </x:c>
    </x:row>
    <x:row r="10" ht="18" customHeight="1">
      <x:c r="A10" s="31" t="inlineStr">
        <x:is>
          <x:t xml:space="preserve">ИСКЛ-0009</x:t>
        </x:is>
      </x:c>
      <x:c r="B10" s="31" t="inlineStr">
        <x:is>
          <x:t xml:space="preserve">Изменение КД после запуска</x:t>
        </x:is>
      </x:c>
      <x:c r="C10" s="31" t="inlineStr">
        <x:is>
          <x:t xml:space="preserve">Материал</x:t>
        </x:is>
      </x:c>
      <x:c r="D10" s="31" t="inlineStr">
        <x:is>
          <x:t xml:space="preserve">МАТ-0008</x:t>
        </x:is>
      </x:c>
      <x:c r="E10" s="31" t="inlineStr">
        <x:is>
          <x:t xml:space="preserve">Средняя</x:t>
        </x:is>
      </x:c>
      <x:c r="F10" s="31" t="inlineStr">
        <x:is>
          <x:t xml:space="preserve">Принято как исключение</x:t>
        </x:is>
      </x:c>
      <x:c r="G10" s="31" t="inlineStr">
        <x:is>
          <x:t xml:space="preserve">СОТР-002</x:t>
        </x:is>
      </x:c>
      <x:c r="H10" s="31" t="n">
        <x:v>46169</x:v>
      </x:c>
      <x:c r="I10" s="31" t="n">
        <x:v>46196</x:v>
      </x:c>
      <x:c r="J10" s="31" t="inlineStr">
        <x:is>
          <x:t xml:space="preserve">Исключение добавлено для проверки логики подрядчика: Изменение КД после запуска</x:t>
        </x:is>
      </x:c>
    </x:row>
    <x:row r="11" ht="18" customHeight="1">
      <x:c r="A11" s="31" t="inlineStr">
        <x:is>
          <x:t xml:space="preserve">ИСКЛ-0010</x:t>
        </x:is>
      </x:c>
      <x:c r="B11" s="31" t="inlineStr">
        <x:is>
          <x:t xml:space="preserve">Кредит-блок</x:t>
        </x:is>
      </x:c>
      <x:c r="C11" s="31" t="inlineStr">
        <x:is>
          <x:t xml:space="preserve">Оборудование</x:t>
        </x:is>
      </x:c>
      <x:c r="D11" s="31" t="inlineStr">
        <x:is>
          <x:t xml:space="preserve">ОБ-014</x:t>
        </x:is>
      </x:c>
      <x:c r="E11" s="31" t="inlineStr">
        <x:is>
          <x:t xml:space="preserve">Средняя</x:t>
        </x:is>
      </x:c>
      <x:c r="F11" s="31" t="inlineStr">
        <x:is>
          <x:t xml:space="preserve">В работе</x:t>
        </x:is>
      </x:c>
      <x:c r="G11" s="31" t="inlineStr">
        <x:is>
          <x:t xml:space="preserve">СОТР-089</x:t>
        </x:is>
      </x:c>
      <x:c r="H11" s="31" t="n">
        <x:v>46181</x:v>
      </x:c>
      <x:c r="I11" s="31" t="n">
        <x:v>46193</x:v>
      </x:c>
      <x:c r="J11" s="31" t="inlineStr">
        <x:is>
          <x:t xml:space="preserve">Исключение добавлено для проверки логики подрядчика: Кредит-блок</x:t>
        </x:is>
      </x:c>
    </x:row>
    <x:row r="12" ht="18" customHeight="1">
      <x:c r="A12" s="31" t="inlineStr">
        <x:is>
          <x:t xml:space="preserve">ИСКЛ-0011</x:t>
        </x:is>
      </x:c>
      <x:c r="B12" s="31" t="inlineStr">
        <x:is>
          <x:t xml:space="preserve">Поставка с частичной приемкой</x:t>
        </x:is>
      </x:c>
      <x:c r="C12" s="31" t="inlineStr">
        <x:is>
          <x:t xml:space="preserve">Заказ</x:t>
        </x:is>
      </x:c>
      <x:c r="D12" s="31" t="inlineStr">
        <x:is>
          <x:t xml:space="preserve">ЗК-1006</x:t>
        </x:is>
      </x:c>
      <x:c r="E12" s="31" t="inlineStr">
        <x:is>
          <x:t xml:space="preserve">Высокая</x:t>
        </x:is>
      </x:c>
      <x:c r="F12" s="31" t="inlineStr">
        <x:is>
          <x:t xml:space="preserve">Открыто</x:t>
        </x:is>
      </x:c>
      <x:c r="G12" s="31" t="inlineStr">
        <x:is>
          <x:t xml:space="preserve">СОТР-030</x:t>
        </x:is>
      </x:c>
      <x:c r="H12" s="31" t="n">
        <x:v>46159</x:v>
      </x:c>
      <x:c r="I12" s="31" t="n">
        <x:v>46203</x:v>
      </x:c>
      <x:c r="J12" s="31" t="inlineStr">
        <x:is>
          <x:t xml:space="preserve">Исключение добавлено для проверки логики подрядчика: Поставка с частичной приемкой</x:t>
        </x:is>
      </x:c>
    </x:row>
    <x:row r="13" ht="18" customHeight="1">
      <x:c r="A13" s="31" t="inlineStr">
        <x:is>
          <x:t xml:space="preserve">ИСКЛ-0012</x:t>
        </x:is>
      </x:c>
      <x:c r="B13" s="31" t="inlineStr">
        <x:is>
          <x:t xml:space="preserve">Отгрузка частями</x:t>
        </x:is>
      </x:c>
      <x:c r="C13" s="31" t="inlineStr">
        <x:is>
          <x:t xml:space="preserve">Заказ</x:t>
        </x:is>
      </x:c>
      <x:c r="D13" s="31" t="inlineStr">
        <x:is>
          <x:t xml:space="preserve">ЗК-1121</x:t>
        </x:is>
      </x:c>
      <x:c r="E13" s="31" t="inlineStr">
        <x:is>
          <x:t xml:space="preserve">Средняя</x:t>
        </x:is>
      </x:c>
      <x:c r="F13" s="31" t="inlineStr">
        <x:is>
          <x:t xml:space="preserve">В работе</x:t>
        </x:is>
      </x:c>
      <x:c r="G13" s="31" t="inlineStr">
        <x:is>
          <x:t xml:space="preserve">СОТР-063</x:t>
        </x:is>
      </x:c>
      <x:c r="H13" s="31" t="n">
        <x:v>46166</x:v>
      </x:c>
      <x:c r="I13" s="31" t="n">
        <x:v>46191</x:v>
      </x:c>
      <x:c r="J13" s="31" t="inlineStr">
        <x:is>
          <x:t xml:space="preserve">Исключение добавлено для проверки логики подрядчика: Отгрузка частями</x:t>
        </x:is>
      </x:c>
    </x:row>
    <x:row r="14" ht="18" customHeight="1">
      <x:c r="A14" s="31" t="inlineStr">
        <x:is>
          <x:t xml:space="preserve">ИСКЛ-0013</x:t>
        </x:is>
      </x:c>
      <x:c r="B14" s="31" t="inlineStr">
        <x:is>
          <x:t xml:space="preserve">Изменение КД после запуска</x:t>
        </x:is>
      </x:c>
      <x:c r="C14" s="31" t="inlineStr">
        <x:is>
          <x:t xml:space="preserve">Производственное задание</x:t>
        </x:is>
      </x:c>
      <x:c r="D14" s="31" t="inlineStr">
        <x:is>
          <x:t xml:space="preserve">ПЗ-00222</x:t>
        </x:is>
      </x:c>
      <x:c r="E14" s="31" t="inlineStr">
        <x:is>
          <x:t xml:space="preserve">Низкая</x:t>
        </x:is>
      </x:c>
      <x:c r="F14" s="31" t="inlineStr">
        <x:is>
          <x:t xml:space="preserve">Открыто</x:t>
        </x:is>
      </x:c>
      <x:c r="G14" s="31" t="inlineStr">
        <x:is>
          <x:t xml:space="preserve">СОТР-063</x:t>
        </x:is>
      </x:c>
      <x:c r="H14" s="31" t="n">
        <x:v>46168</x:v>
      </x:c>
      <x:c r="I14" s="31" t="n">
        <x:v>46195</x:v>
      </x:c>
      <x:c r="J14" s="31" t="inlineStr">
        <x:is>
          <x:t xml:space="preserve">Исключение добавлено для проверки логики подрядчика: Изменение КД после запуска</x:t>
        </x:is>
      </x:c>
    </x:row>
    <x:row r="15" ht="18" customHeight="1">
      <x:c r="A15" s="31" t="inlineStr">
        <x:is>
          <x:t xml:space="preserve">ИСКЛ-0014</x:t>
        </x:is>
      </x:c>
      <x:c r="B15" s="31" t="inlineStr">
        <x:is>
          <x:t xml:space="preserve">Замена материала</x:t>
        </x:is>
      </x:c>
      <x:c r="C15" s="31" t="inlineStr">
        <x:is>
          <x:t xml:space="preserve">Счет</x:t>
        </x:is>
      </x:c>
      <x:c r="D15" s="31" t="inlineStr">
        <x:is>
          <x:t xml:space="preserve">СЧ-1082-1</x:t>
        </x:is>
      </x:c>
      <x:c r="E15" s="31" t="inlineStr">
        <x:is>
          <x:t xml:space="preserve">Низкая</x:t>
        </x:is>
      </x:c>
      <x:c r="F15" s="31" t="inlineStr">
        <x:is>
          <x:t xml:space="preserve">Принято как исключение</x:t>
        </x:is>
      </x:c>
      <x:c r="G15" s="31" t="inlineStr">
        <x:is>
          <x:t xml:space="preserve">СОТР-018</x:t>
        </x:is>
      </x:c>
      <x:c r="H15" s="31" t="n">
        <x:v>46141</x:v>
      </x:c>
      <x:c r="I15" s="31" t="n">
        <x:v>46199</x:v>
      </x:c>
      <x:c r="J15" s="31" t="inlineStr">
        <x:is>
          <x:t xml:space="preserve">Исключение добавлено для проверки логики подрядчика: Замена материала</x:t>
        </x:is>
      </x:c>
    </x:row>
    <x:row r="16" ht="18" customHeight="1">
      <x:c r="A16" s="31" t="inlineStr">
        <x:is>
          <x:t xml:space="preserve">ИСКЛ-0015</x:t>
        </x:is>
      </x:c>
      <x:c r="B16" s="31" t="inlineStr">
        <x:is>
          <x:t xml:space="preserve">Раподрядчика без финального счета</x:t>
        </x:is>
      </x:c>
      <x:c r="C16" s="31" t="inlineStr">
        <x:is>
          <x:t xml:space="preserve">Оборудование</x:t>
        </x:is>
      </x:c>
      <x:c r="D16" s="31" t="inlineStr">
        <x:is>
          <x:t xml:space="preserve">ОБ-017</x:t>
        </x:is>
      </x:c>
      <x:c r="E16" s="31" t="inlineStr">
        <x:is>
          <x:t xml:space="preserve">Средняя</x:t>
        </x:is>
      </x:c>
      <x:c r="F16" s="31" t="inlineStr">
        <x:is>
          <x:t xml:space="preserve">Открыто</x:t>
        </x:is>
      </x:c>
      <x:c r="G16" s="31" t="inlineStr">
        <x:is>
          <x:t xml:space="preserve">СОТР-018</x:t>
        </x:is>
      </x:c>
      <x:c r="H16" s="31" t="n">
        <x:v>46164</x:v>
      </x:c>
      <x:c r="I16" s="31" t="n">
        <x:v>46202</x:v>
      </x:c>
      <x:c r="J16" s="31" t="inlineStr">
        <x:is>
          <x:t xml:space="preserve">Исключение добавлено для проверки логики подрядчика: Раподрядчика без финального счета</x:t>
        </x:is>
      </x:c>
    </x:row>
    <x:row r="17" ht="18" customHeight="1">
      <x:c r="A17" s="31" t="inlineStr">
        <x:is>
          <x:t xml:space="preserve">ИСКЛ-0016</x:t>
        </x:is>
      </x:c>
      <x:c r="B17" s="31" t="inlineStr">
        <x:is>
          <x:t xml:space="preserve">Нестандартный маршрут</x:t>
        </x:is>
      </x:c>
      <x:c r="C17" s="31" t="inlineStr">
        <x:is>
          <x:t xml:space="preserve">Заказ</x:t>
        </x:is>
      </x:c>
      <x:c r="D17" s="31" t="inlineStr">
        <x:is>
          <x:t xml:space="preserve">ЗК-1086</x:t>
        </x:is>
      </x:c>
      <x:c r="E17" s="31" t="inlineStr">
        <x:is>
          <x:t xml:space="preserve">Средняя</x:t>
        </x:is>
      </x:c>
      <x:c r="F17" s="31" t="inlineStr">
        <x:is>
          <x:t xml:space="preserve">В работе</x:t>
        </x:is>
      </x:c>
      <x:c r="G17" s="31" t="inlineStr">
        <x:is>
          <x:t xml:space="preserve">СОТР-001</x:t>
        </x:is>
      </x:c>
      <x:c r="H17" s="31" t="n">
        <x:v>46166</x:v>
      </x:c>
      <x:c r="I17" s="31" t="n">
        <x:v>46202</x:v>
      </x:c>
      <x:c r="J17" s="31" t="inlineStr">
        <x:is>
          <x:t xml:space="preserve">Исключение добавлено для проверки логики подрядчика: Нестандартный маршрут</x:t>
        </x:is>
      </x:c>
    </x:row>
    <x:row r="18" ht="18" customHeight="1">
      <x:c r="A18" s="31" t="inlineStr">
        <x:is>
          <x:t xml:space="preserve">ИСКЛ-0017</x:t>
        </x:is>
      </x:c>
      <x:c r="B18" s="31" t="inlineStr">
        <x:is>
          <x:t xml:space="preserve">Нестандартный маршрут</x:t>
        </x:is>
      </x:c>
      <x:c r="C18" s="31" t="inlineStr">
        <x:is>
          <x:t xml:space="preserve">Производственное задание</x:t>
        </x:is>
      </x:c>
      <x:c r="D18" s="31" t="inlineStr">
        <x:is>
          <x:t xml:space="preserve">ПЗ-00229</x:t>
        </x:is>
      </x:c>
      <x:c r="E18" s="31" t="inlineStr">
        <x:is>
          <x:t xml:space="preserve">Высокая</x:t>
        </x:is>
      </x:c>
      <x:c r="F18" s="31" t="inlineStr">
        <x:is>
          <x:t xml:space="preserve">В работе</x:t>
        </x:is>
      </x:c>
      <x:c r="G18" s="31" t="inlineStr">
        <x:is>
          <x:t xml:space="preserve">СОТР-018</x:t>
        </x:is>
      </x:c>
      <x:c r="H18" s="31" t="n">
        <x:v>46151</x:v>
      </x:c>
      <x:c r="I18" s="31" t="n">
        <x:v>46191</x:v>
      </x:c>
      <x:c r="J18" s="31" t="inlineStr">
        <x:is>
          <x:t xml:space="preserve">Исключение добавлено для проверки логики подрядчика: Нестандартный маршрут</x:t>
        </x:is>
      </x:c>
    </x:row>
    <x:row r="19" ht="18" customHeight="1">
      <x:c r="A19" s="31" t="inlineStr">
        <x:is>
          <x:t xml:space="preserve">ИСКЛ-0018</x:t>
        </x:is>
      </x:c>
      <x:c r="B19" s="31" t="inlineStr">
        <x:is>
          <x:t xml:space="preserve">Отгрузка частями</x:t>
        </x:is>
      </x:c>
      <x:c r="C19" s="31" t="inlineStr">
        <x:is>
          <x:t xml:space="preserve">Счет</x:t>
        </x:is>
      </x:c>
      <x:c r="D19" s="31" t="inlineStr">
        <x:is>
          <x:t xml:space="preserve">СЧ-1057-1</x:t>
        </x:is>
      </x:c>
      <x:c r="E19" s="31" t="inlineStr">
        <x:is>
          <x:t xml:space="preserve">Высокая</x:t>
        </x:is>
      </x:c>
      <x:c r="F19" s="31" t="inlineStr">
        <x:is>
          <x:t xml:space="preserve">Открыто</x:t>
        </x:is>
      </x:c>
      <x:c r="G19" s="31" t="inlineStr">
        <x:is>
          <x:t xml:space="preserve">СОТР-011</x:t>
        </x:is>
      </x:c>
      <x:c r="H19" s="31" t="n">
        <x:v>46164</x:v>
      </x:c>
      <x:c r="I19" s="31" t="n">
        <x:v>46187</x:v>
      </x:c>
      <x:c r="J19" s="31" t="inlineStr">
        <x:is>
          <x:t xml:space="preserve">Исключение добавлено для проверки логики подрядчика: Отгрузка частями</x:t>
        </x:is>
      </x:c>
    </x:row>
    <x:row r="20" ht="18" customHeight="1">
      <x:c r="A20" s="31" t="inlineStr">
        <x:is>
          <x:t xml:space="preserve">ИСКЛ-0019</x:t>
        </x:is>
      </x:c>
      <x:c r="B20" s="31" t="inlineStr">
        <x:is>
          <x:t xml:space="preserve">Поставка с частичной приемкой</x:t>
        </x:is>
      </x:c>
      <x:c r="C20" s="31" t="inlineStr">
        <x:is>
          <x:t xml:space="preserve">Производственное задание</x:t>
        </x:is>
      </x:c>
      <x:c r="D20" s="31" t="inlineStr">
        <x:is>
          <x:t xml:space="preserve">ПЗ-00156</x:t>
        </x:is>
      </x:c>
      <x:c r="E20" s="31" t="inlineStr">
        <x:is>
          <x:t xml:space="preserve">Высокая</x:t>
        </x:is>
      </x:c>
      <x:c r="F20" s="31" t="inlineStr">
        <x:is>
          <x:t xml:space="preserve">Принято как исключение</x:t>
        </x:is>
      </x:c>
      <x:c r="G20" s="31" t="inlineStr">
        <x:is>
          <x:t xml:space="preserve">СОТР-011</x:t>
        </x:is>
      </x:c>
      <x:c r="H20" s="31" t="n">
        <x:v>46171</x:v>
      </x:c>
      <x:c r="I20" s="31" t="n">
        <x:v>46186</x:v>
      </x:c>
      <x:c r="J20" s="31" t="inlineStr">
        <x:is>
          <x:t xml:space="preserve">Исключение добавлено для проверки логики подрядчика: Поставка с частичной приемкой</x:t>
        </x:is>
      </x:c>
    </x:row>
    <x:row r="21" ht="18" customHeight="1">
      <x:c r="A21" s="31" t="inlineStr">
        <x:is>
          <x:t xml:space="preserve">ИСКЛ-0020</x:t>
        </x:is>
      </x:c>
      <x:c r="B21" s="31" t="inlineStr">
        <x:is>
          <x:t xml:space="preserve">Замена материала</x:t>
        </x:is>
      </x:c>
      <x:c r="C21" s="31" t="inlineStr">
        <x:is>
          <x:t xml:space="preserve">Материал</x:t>
        </x:is>
      </x:c>
      <x:c r="D21" s="31" t="inlineStr">
        <x:is>
          <x:t xml:space="preserve">МАТ-0033</x:t>
        </x:is>
      </x:c>
      <x:c r="E21" s="31" t="inlineStr">
        <x:is>
          <x:t xml:space="preserve">Высокая</x:t>
        </x:is>
      </x:c>
      <x:c r="F21" s="31" t="inlineStr">
        <x:is>
          <x:t xml:space="preserve">Закрыто</x:t>
        </x:is>
      </x:c>
      <x:c r="G21" s="31" t="inlineStr">
        <x:is>
          <x:t xml:space="preserve">СОТР-018</x:t>
        </x:is>
      </x:c>
      <x:c r="H21" s="31" t="n">
        <x:v>46152</x:v>
      </x:c>
      <x:c r="I21" s="31" t="n">
        <x:v>46187</x:v>
      </x:c>
      <x:c r="J21" s="31" t="inlineStr">
        <x:is>
          <x:t xml:space="preserve">Исключение добавлено для проверки логики подрядчика: Замена материала</x:t>
        </x:is>
      </x:c>
    </x:row>
    <x:row r="22" ht="18" customHeight="1">
      <x:c r="A22" s="31" t="inlineStr">
        <x:is>
          <x:t xml:space="preserve">ИСКЛ-0021</x:t>
        </x:is>
      </x:c>
      <x:c r="B22" s="31" t="inlineStr">
        <x:is>
          <x:t xml:space="preserve">Раподрядчика без финального счета</x:t>
        </x:is>
      </x:c>
      <x:c r="C22" s="31" t="inlineStr">
        <x:is>
          <x:t xml:space="preserve">Производственное задание</x:t>
        </x:is>
      </x:c>
      <x:c r="D22" s="31" t="inlineStr">
        <x:is>
          <x:t xml:space="preserve">ПЗ-00152</x:t>
        </x:is>
      </x:c>
      <x:c r="E22" s="31" t="inlineStr">
        <x:is>
          <x:t xml:space="preserve">Низкая</x:t>
        </x:is>
      </x:c>
      <x:c r="F22" s="31" t="inlineStr">
        <x:is>
          <x:t xml:space="preserve">В работе</x:t>
        </x:is>
      </x:c>
      <x:c r="G22" s="31" t="inlineStr">
        <x:is>
          <x:t xml:space="preserve">СОТР-002</x:t>
        </x:is>
      </x:c>
      <x:c r="H22" s="31" t="n">
        <x:v>46183</x:v>
      </x:c>
      <x:c r="I22" s="31" t="n">
        <x:v>46189</x:v>
      </x:c>
      <x:c r="J22" s="31" t="inlineStr">
        <x:is>
          <x:t xml:space="preserve">Исключение добавлено для проверки логики подрядчика: Раподрядчика без финального счета</x:t>
        </x:is>
      </x:c>
    </x:row>
    <x:row r="23" ht="18" customHeight="1">
      <x:c r="A23" s="31" t="inlineStr">
        <x:is>
          <x:t xml:space="preserve">ИСКЛ-0022</x:t>
        </x:is>
      </x:c>
      <x:c r="B23" s="31" t="inlineStr">
        <x:is>
          <x:t xml:space="preserve">Дубли заказчика</x:t>
        </x:is>
      </x:c>
      <x:c r="C23" s="31" t="inlineStr">
        <x:is>
          <x:t xml:space="preserve">Материал</x:t>
        </x:is>
      </x:c>
      <x:c r="D23" s="31" t="inlineStr">
        <x:is>
          <x:t xml:space="preserve">МАТ-0028</x:t>
        </x:is>
      </x:c>
      <x:c r="E23" s="31" t="inlineStr">
        <x:is>
          <x:t xml:space="preserve">Высокая</x:t>
        </x:is>
      </x:c>
      <x:c r="F23" s="31" t="inlineStr">
        <x:is>
          <x:t xml:space="preserve">В работе</x:t>
        </x:is>
      </x:c>
      <x:c r="G23" s="31" t="inlineStr">
        <x:is>
          <x:t xml:space="preserve">СОТР-001</x:t>
        </x:is>
      </x:c>
      <x:c r="H23" s="31" t="n">
        <x:v>46148</x:v>
      </x:c>
      <x:c r="I23" s="31" t="n">
        <x:v>46204</x:v>
      </x:c>
      <x:c r="J23" s="31" t="inlineStr">
        <x:is>
          <x:t xml:space="preserve">Исключение добавлено для проверки логики подрядчика: Дубли заказчика</x:t>
        </x:is>
      </x:c>
    </x:row>
    <x:row r="24" ht="18" customHeight="1">
      <x:c r="A24" s="31" t="inlineStr">
        <x:is>
          <x:t xml:space="preserve">ИСКЛ-0023</x:t>
        </x:is>
      </x:c>
      <x:c r="B24" s="31" t="inlineStr">
        <x:is>
          <x:t xml:space="preserve">Нестандартный маршрут</x:t>
        </x:is>
      </x:c>
      <x:c r="C24" s="31" t="inlineStr">
        <x:is>
          <x:t xml:space="preserve">Заказ</x:t>
        </x:is>
      </x:c>
      <x:c r="D24" s="31" t="inlineStr">
        <x:is>
          <x:t xml:space="preserve">ЗК-1066</x:t>
        </x:is>
      </x:c>
      <x:c r="E24" s="31" t="inlineStr">
        <x:is>
          <x:t xml:space="preserve">Средняя</x:t>
        </x:is>
      </x:c>
      <x:c r="F24" s="31" t="inlineStr">
        <x:is>
          <x:t xml:space="preserve">Закрыто</x:t>
        </x:is>
      </x:c>
      <x:c r="G24" s="31" t="inlineStr">
        <x:is>
          <x:t xml:space="preserve">СОТР-076</x:t>
        </x:is>
      </x:c>
      <x:c r="H24" s="31" t="n">
        <x:v>46153</x:v>
      </x:c>
      <x:c r="I24" s="31" t="n">
        <x:v>46195</x:v>
      </x:c>
      <x:c r="J24" s="31" t="inlineStr">
        <x:is>
          <x:t xml:space="preserve">Исключение добавлено для проверки логики подрядчика: Нестандартный маршрут</x:t>
        </x:is>
      </x:c>
    </x:row>
    <x:row r="25" ht="18" customHeight="1">
      <x:c r="A25" s="31" t="inlineStr">
        <x:is>
          <x:t xml:space="preserve">ИСКЛ-0024</x:t>
        </x:is>
      </x:c>
      <x:c r="B25" s="31" t="inlineStr">
        <x:is>
          <x:t xml:space="preserve">Оборудование в ремонте</x:t>
        </x:is>
      </x:c>
      <x:c r="C25" s="31" t="inlineStr">
        <x:is>
          <x:t xml:space="preserve">Производственное задание</x:t>
        </x:is>
      </x:c>
      <x:c r="D25" s="31" t="inlineStr">
        <x:is>
          <x:t xml:space="preserve">ПЗ-00192</x:t>
        </x:is>
      </x:c>
      <x:c r="E25" s="31" t="inlineStr">
        <x:is>
          <x:t xml:space="preserve">Низкая</x:t>
        </x:is>
      </x:c>
      <x:c r="F25" s="31" t="inlineStr">
        <x:is>
          <x:t xml:space="preserve">Открыто</x:t>
        </x:is>
      </x:c>
      <x:c r="G25" s="31" t="inlineStr">
        <x:is>
          <x:t xml:space="preserve">СОТР-089</x:t>
        </x:is>
      </x:c>
      <x:c r="H25" s="31" t="n">
        <x:v>46157</x:v>
      </x:c>
      <x:c r="I25" s="31" t="n">
        <x:v>46198</x:v>
      </x:c>
      <x:c r="J25" s="31" t="inlineStr">
        <x:is>
          <x:t xml:space="preserve">Исключение добавлено для проверки логики подрядчика: Оборудование в ремонте</x:t>
        </x:is>
      </x:c>
    </x:row>
    <x:row r="26" ht="18" customHeight="1">
      <x:c r="A26" s="31" t="inlineStr">
        <x:is>
          <x:t xml:space="preserve">ИСКЛ-0025</x:t>
        </x:is>
      </x:c>
      <x:c r="B26" s="31" t="inlineStr">
        <x:is>
          <x:t xml:space="preserve">Оборудование в ремонте</x:t>
        </x:is>
      </x:c>
      <x:c r="C26" s="31" t="inlineStr">
        <x:is>
          <x:t xml:space="preserve">Материал</x:t>
        </x:is>
      </x:c>
      <x:c r="D26" s="31" t="inlineStr">
        <x:is>
          <x:t xml:space="preserve">МАТ-0043</x:t>
        </x:is>
      </x:c>
      <x:c r="E26" s="31" t="inlineStr">
        <x:is>
          <x:t xml:space="preserve">Средняя</x:t>
        </x:is>
      </x:c>
      <x:c r="F26" s="31" t="inlineStr">
        <x:is>
          <x:t xml:space="preserve">Открыто</x:t>
        </x:is>
      </x:c>
      <x:c r="G26" s="31" t="inlineStr">
        <x:is>
          <x:t xml:space="preserve">СОТР-011</x:t>
        </x:is>
      </x:c>
      <x:c r="H26" s="31" t="n">
        <x:v>46154</x:v>
      </x:c>
      <x:c r="I26" s="31" t="n">
        <x:v>46201</x:v>
      </x:c>
      <x:c r="J26" s="31" t="inlineStr">
        <x:is>
          <x:t xml:space="preserve">Исключение добавлено для проверки логики подрядчика: Оборудование в ремонте</x:t>
        </x:is>
      </x:c>
    </x:row>
    <x:row r="27" ht="18" customHeight="1">
      <x:c r="A27" s="31" t="inlineStr">
        <x:is>
          <x:t xml:space="preserve">ИСКЛ-0026</x:t>
        </x:is>
      </x:c>
      <x:c r="B27" s="31" t="inlineStr">
        <x:is>
          <x:t xml:space="preserve">Изменение КД после запуска</x:t>
        </x:is>
      </x:c>
      <x:c r="C27" s="31" t="inlineStr">
        <x:is>
          <x:t xml:space="preserve">Материал</x:t>
        </x:is>
      </x:c>
      <x:c r="D27" s="31" t="inlineStr">
        <x:is>
          <x:t xml:space="preserve">МАТ-0078</x:t>
        </x:is>
      </x:c>
      <x:c r="E27" s="31" t="inlineStr">
        <x:is>
          <x:t xml:space="preserve">Низкая</x:t>
        </x:is>
      </x:c>
      <x:c r="F27" s="31" t="inlineStr">
        <x:is>
          <x:t xml:space="preserve">В работе</x:t>
        </x:is>
      </x:c>
      <x:c r="G27" s="31" t="inlineStr">
        <x:is>
          <x:t xml:space="preserve">СОТР-089</x:t>
        </x:is>
      </x:c>
      <x:c r="H27" s="31" t="n">
        <x:v>46166</x:v>
      </x:c>
      <x:c r="I27" s="31" t="n">
        <x:v>46205</x:v>
      </x:c>
      <x:c r="J27" s="31" t="inlineStr">
        <x:is>
          <x:t xml:space="preserve">Исключение добавлено для проверки логики подрядчика: Изменение КД после запуска</x:t>
        </x:is>
      </x:c>
    </x:row>
    <x:row r="28" ht="18" customHeight="1">
      <x:c r="A28" s="31" t="inlineStr">
        <x:is>
          <x:t xml:space="preserve">ИСКЛ-0027</x:t>
        </x:is>
      </x:c>
      <x:c r="B28" s="31" t="inlineStr">
        <x:is>
          <x:t xml:space="preserve">Рекламация после закрытия</x:t>
        </x:is>
      </x:c>
      <x:c r="C28" s="31" t="inlineStr">
        <x:is>
          <x:t xml:space="preserve">Счет</x:t>
        </x:is>
      </x:c>
      <x:c r="D28" s="31" t="inlineStr">
        <x:is>
          <x:t xml:space="preserve">СЧ-1022-1</x:t>
        </x:is>
      </x:c>
      <x:c r="E28" s="31" t="inlineStr">
        <x:is>
          <x:t xml:space="preserve">Низкая</x:t>
        </x:is>
      </x:c>
      <x:c r="F28" s="31" t="inlineStr">
        <x:is>
          <x:t xml:space="preserve">Закрыто</x:t>
        </x:is>
      </x:c>
      <x:c r="G28" s="31" t="inlineStr">
        <x:is>
          <x:t xml:space="preserve">СОТР-063</x:t>
        </x:is>
      </x:c>
      <x:c r="H28" s="31" t="n">
        <x:v>46174</x:v>
      </x:c>
      <x:c r="I28" s="31" t="n">
        <x:v>46192</x:v>
      </x:c>
      <x:c r="J28" s="31" t="inlineStr">
        <x:is>
          <x:t xml:space="preserve">Исключение добавлено для проверки логики подрядчика: Рекламация после закрытия</x:t>
        </x:is>
      </x:c>
    </x:row>
    <x:row r="29" ht="18" customHeight="1">
      <x:c r="A29" s="31" t="inlineStr">
        <x:is>
          <x:t xml:space="preserve">ИСКЛ-0028</x:t>
        </x:is>
      </x:c>
      <x:c r="B29" s="31" t="inlineStr">
        <x:is>
          <x:t xml:space="preserve">Оборудование в ремонте</x:t>
        </x:is>
      </x:c>
      <x:c r="C29" s="31" t="inlineStr">
        <x:is>
          <x:t xml:space="preserve">Заказ</x:t>
        </x:is>
      </x:c>
      <x:c r="D29" s="31" t="inlineStr">
        <x:is>
          <x:t xml:space="preserve">ЗК-1027</x:t>
        </x:is>
      </x:c>
      <x:c r="E29" s="31" t="inlineStr">
        <x:is>
          <x:t xml:space="preserve">Средняя</x:t>
        </x:is>
      </x:c>
      <x:c r="F29" s="31" t="inlineStr">
        <x:is>
          <x:t xml:space="preserve">Открыто</x:t>
        </x:is>
      </x:c>
      <x:c r="G29" s="31" t="inlineStr">
        <x:is>
          <x:t xml:space="preserve">СОТР-001</x:t>
        </x:is>
      </x:c>
      <x:c r="H29" s="31" t="n">
        <x:v>46141</x:v>
      </x:c>
      <x:c r="I29" s="31" t="n">
        <x:v>46193</x:v>
      </x:c>
      <x:c r="J29" s="31" t="inlineStr">
        <x:is>
          <x:t xml:space="preserve">Исключение добавлено для проверки логики подрядчика: Оборудование в ремонте</x:t>
        </x:is>
      </x:c>
    </x:row>
    <x:row r="30" ht="18" customHeight="1">
      <x:c r="A30" s="31" t="inlineStr">
        <x:is>
          <x:t xml:space="preserve">ИСКЛ-0029</x:t>
        </x:is>
      </x:c>
      <x:c r="B30" s="31" t="inlineStr">
        <x:is>
          <x:t xml:space="preserve">Изменение КД после запуска</x:t>
        </x:is>
      </x:c>
      <x:c r="C30" s="31" t="inlineStr">
        <x:is>
          <x:t xml:space="preserve">Производственное задание</x:t>
        </x:is>
      </x:c>
      <x:c r="D30" s="31" t="inlineStr">
        <x:is>
          <x:t xml:space="preserve">ПЗ-00256</x:t>
        </x:is>
      </x:c>
      <x:c r="E30" s="31" t="inlineStr">
        <x:is>
          <x:t xml:space="preserve">Низкая</x:t>
        </x:is>
      </x:c>
      <x:c r="F30" s="31" t="inlineStr">
        <x:is>
          <x:t xml:space="preserve">Открыто</x:t>
        </x:is>
      </x:c>
      <x:c r="G30" s="31" t="inlineStr">
        <x:is>
          <x:t xml:space="preserve">СОТР-018</x:t>
        </x:is>
      </x:c>
      <x:c r="H30" s="31" t="n">
        <x:v>46152</x:v>
      </x:c>
      <x:c r="I30" s="31" t="n">
        <x:v>46198</x:v>
      </x:c>
      <x:c r="J30" s="31" t="inlineStr">
        <x:is>
          <x:t xml:space="preserve">Исключение добавлено для проверки логики подрядчика: Изменение КД после запуска</x:t>
        </x:is>
      </x:c>
    </x:row>
    <x:row r="31" ht="18" customHeight="1">
      <x:c r="A31" s="31" t="inlineStr">
        <x:is>
          <x:t xml:space="preserve">ИСКЛ-0030</x:t>
        </x:is>
      </x:c>
      <x:c r="B31" s="31" t="inlineStr">
        <x:is>
          <x:t xml:space="preserve">Нестандартный маршрут</x:t>
        </x:is>
      </x:c>
      <x:c r="C31" s="31" t="inlineStr">
        <x:is>
          <x:t xml:space="preserve">Материал</x:t>
        </x:is>
      </x:c>
      <x:c r="D31" s="31" t="inlineStr">
        <x:is>
          <x:t xml:space="preserve">МАТ-0030</x:t>
        </x:is>
      </x:c>
      <x:c r="E31" s="31" t="inlineStr">
        <x:is>
          <x:t xml:space="preserve">Средняя</x:t>
        </x:is>
      </x:c>
      <x:c r="F31" s="31" t="inlineStr">
        <x:is>
          <x:t xml:space="preserve">Открыто</x:t>
        </x:is>
      </x:c>
      <x:c r="G31" s="31" t="inlineStr">
        <x:is>
          <x:t xml:space="preserve">СОТР-089</x:t>
        </x:is>
      </x:c>
      <x:c r="H31" s="31" t="n">
        <x:v>46173</x:v>
      </x:c>
      <x:c r="I31" s="31" t="n">
        <x:v>46195</x:v>
      </x:c>
      <x:c r="J31" s="31" t="inlineStr">
        <x:is>
          <x:t xml:space="preserve">Исключение добавлено для проверки логики подрядчика: Нестандартный маршрут</x:t>
        </x:is>
      </x:c>
    </x:row>
    <x:row r="32" ht="18" customHeight="1">
      <x:c r="A32" s="31" t="inlineStr">
        <x:is>
          <x:t xml:space="preserve">ИСКЛ-0031</x:t>
        </x:is>
      </x:c>
      <x:c r="B32" s="31" t="inlineStr">
        <x:is>
          <x:t xml:space="preserve">Отгрузка частями</x:t>
        </x:is>
      </x:c>
      <x:c r="C32" s="31" t="inlineStr">
        <x:is>
          <x:t xml:space="preserve">Материал</x:t>
        </x:is>
      </x:c>
      <x:c r="D32" s="31" t="inlineStr">
        <x:is>
          <x:t xml:space="preserve">МАТ-0028</x:t>
        </x:is>
      </x:c>
      <x:c r="E32" s="31" t="inlineStr">
        <x:is>
          <x:t xml:space="preserve">Критичная</x:t>
        </x:is>
      </x:c>
      <x:c r="F32" s="31" t="inlineStr">
        <x:is>
          <x:t xml:space="preserve">В работе</x:t>
        </x:is>
      </x:c>
      <x:c r="G32" s="31" t="inlineStr">
        <x:is>
          <x:t xml:space="preserve">СОТР-011</x:t>
        </x:is>
      </x:c>
      <x:c r="H32" s="31" t="n">
        <x:v>46156</x:v>
      </x:c>
      <x:c r="I32" s="31" t="n">
        <x:v>46199</x:v>
      </x:c>
      <x:c r="J32" s="31" t="inlineStr">
        <x:is>
          <x:t xml:space="preserve">Исключение добавлено для проверки логики подрядчика: Отгрузка частями</x:t>
        </x:is>
      </x:c>
    </x:row>
    <x:row r="33" ht="18" customHeight="1">
      <x:c r="A33" s="31" t="inlineStr">
        <x:is>
          <x:t xml:space="preserve">ИСКЛ-0032</x:t>
        </x:is>
      </x:c>
      <x:c r="B33" s="31" t="inlineStr">
        <x:is>
          <x:t xml:space="preserve">Изменение КД после запуска</x:t>
        </x:is>
      </x:c>
      <x:c r="C33" s="31" t="inlineStr">
        <x:is>
          <x:t xml:space="preserve">Оборудование</x:t>
        </x:is>
      </x:c>
      <x:c r="D33" s="31" t="inlineStr">
        <x:is>
          <x:t xml:space="preserve">ОБ-023</x:t>
        </x:is>
      </x:c>
      <x:c r="E33" s="31" t="inlineStr">
        <x:is>
          <x:t xml:space="preserve">Средняя</x:t>
        </x:is>
      </x:c>
      <x:c r="F33" s="31" t="inlineStr">
        <x:is>
          <x:t xml:space="preserve">Открыто</x:t>
        </x:is>
      </x:c>
      <x:c r="G33" s="31" t="inlineStr">
        <x:is>
          <x:t xml:space="preserve">СОТР-001</x:t>
        </x:is>
      </x:c>
      <x:c r="H33" s="31" t="n">
        <x:v>46145</x:v>
      </x:c>
      <x:c r="I33" s="31" t="n">
        <x:v>46193</x:v>
      </x:c>
      <x:c r="J33" s="31" t="inlineStr">
        <x:is>
          <x:t xml:space="preserve">Исключение добавлено для проверки логики подрядчика: Изменение КД после запуска</x:t>
        </x:is>
      </x:c>
    </x:row>
    <x:row r="34" ht="18" customHeight="1">
      <x:c r="A34" s="31" t="inlineStr">
        <x:is>
          <x:t xml:space="preserve">ИСКЛ-0033</x:t>
        </x:is>
      </x:c>
      <x:c r="B34" s="31" t="inlineStr">
        <x:is>
          <x:t xml:space="preserve">Отгрузка частями</x:t>
        </x:is>
      </x:c>
      <x:c r="C34" s="31" t="inlineStr">
        <x:is>
          <x:t xml:space="preserve">Оборудование</x:t>
        </x:is>
      </x:c>
      <x:c r="D34" s="31" t="inlineStr">
        <x:is>
          <x:t xml:space="preserve">ОБ-009</x:t>
        </x:is>
      </x:c>
      <x:c r="E34" s="31" t="inlineStr">
        <x:is>
          <x:t xml:space="preserve">Средняя</x:t>
        </x:is>
      </x:c>
      <x:c r="F34" s="31" t="inlineStr">
        <x:is>
          <x:t xml:space="preserve">Принято как исключение</x:t>
        </x:is>
      </x:c>
      <x:c r="G34" s="31" t="inlineStr">
        <x:is>
          <x:t xml:space="preserve">СОТР-076</x:t>
        </x:is>
      </x:c>
      <x:c r="H34" s="31" t="n">
        <x:v>46151</x:v>
      </x:c>
      <x:c r="I34" s="31" t="n">
        <x:v>46200</x:v>
      </x:c>
      <x:c r="J34" s="31" t="inlineStr">
        <x:is>
          <x:t xml:space="preserve">Исключение добавлено для проверки логики подрядчика: Отгрузка частями</x:t>
        </x:is>
      </x:c>
    </x:row>
    <x:row r="35" ht="18" customHeight="1">
      <x:c r="A35" s="31" t="inlineStr">
        <x:is>
          <x:t xml:space="preserve">ИСКЛ-0034</x:t>
        </x:is>
      </x:c>
      <x:c r="B35" s="31" t="inlineStr">
        <x:is>
          <x:t xml:space="preserve">Поставка с частичной приемкой</x:t>
        </x:is>
      </x:c>
      <x:c r="C35" s="31" t="inlineStr">
        <x:is>
          <x:t xml:space="preserve">Материал</x:t>
        </x:is>
      </x:c>
      <x:c r="D35" s="31" t="inlineStr">
        <x:is>
          <x:t xml:space="preserve">МАТ-0059</x:t>
        </x:is>
      </x:c>
      <x:c r="E35" s="31" t="inlineStr">
        <x:is>
          <x:t xml:space="preserve">Средняя</x:t>
        </x:is>
      </x:c>
      <x:c r="F35" s="31" t="inlineStr">
        <x:is>
          <x:t xml:space="preserve">Открыто</x:t>
        </x:is>
      </x:c>
      <x:c r="G35" s="31" t="inlineStr">
        <x:is>
          <x:t xml:space="preserve">СОТР-063</x:t>
        </x:is>
      </x:c>
      <x:c r="H35" s="31" t="n">
        <x:v>46163</x:v>
      </x:c>
      <x:c r="I35" s="31" t="n">
        <x:v>46197</x:v>
      </x:c>
      <x:c r="J35" s="31" t="inlineStr">
        <x:is>
          <x:t xml:space="preserve">Исключение добавлено для проверки логики подрядчика: Поставка с частичной приемкой</x:t>
        </x:is>
      </x:c>
    </x:row>
    <x:row r="36" ht="18" customHeight="1">
      <x:c r="A36" s="31" t="inlineStr">
        <x:is>
          <x:t xml:space="preserve">ИСКЛ-0035</x:t>
        </x:is>
      </x:c>
      <x:c r="B36" s="31" t="inlineStr">
        <x:is>
          <x:t xml:space="preserve">Замена материала</x:t>
        </x:is>
      </x:c>
      <x:c r="C36" s="31" t="inlineStr">
        <x:is>
          <x:t xml:space="preserve">Оборудование</x:t>
        </x:is>
      </x:c>
      <x:c r="D36" s="31" t="inlineStr">
        <x:is>
          <x:t xml:space="preserve">ОБ-008</x:t>
        </x:is>
      </x:c>
      <x:c r="E36" s="31" t="inlineStr">
        <x:is>
          <x:t xml:space="preserve">Средняя</x:t>
        </x:is>
      </x:c>
      <x:c r="F36" s="31" t="inlineStr">
        <x:is>
          <x:t xml:space="preserve">Принято как исключение</x:t>
        </x:is>
      </x:c>
      <x:c r="G36" s="31" t="inlineStr">
        <x:is>
          <x:t xml:space="preserve">СОТР-076</x:t>
        </x:is>
      </x:c>
      <x:c r="H36" s="31" t="n">
        <x:v>46179</x:v>
      </x:c>
      <x:c r="I36" s="31" t="n">
        <x:v>46188</x:v>
      </x:c>
      <x:c r="J36" s="31" t="inlineStr">
        <x:is>
          <x:t xml:space="preserve">Исключение добавлено для проверки логики подрядчика: Замена материала</x:t>
        </x:is>
      </x:c>
    </x:row>
    <x:row r="37" ht="18" customHeight="1">
      <x:c r="A37" s="31" t="inlineStr">
        <x:is>
          <x:t xml:space="preserve">ИСКЛ-0036</x:t>
        </x:is>
      </x:c>
      <x:c r="B37" s="31" t="inlineStr">
        <x:is>
          <x:t xml:space="preserve">Изменение КД после запуска</x:t>
        </x:is>
      </x:c>
      <x:c r="C37" s="31" t="inlineStr">
        <x:is>
          <x:t xml:space="preserve">Счет</x:t>
        </x:is>
      </x:c>
      <x:c r="D37" s="31" t="inlineStr">
        <x:is>
          <x:t xml:space="preserve">СЧ-1016-2</x:t>
        </x:is>
      </x:c>
      <x:c r="E37" s="31" t="inlineStr">
        <x:is>
          <x:t xml:space="preserve">Высокая</x:t>
        </x:is>
      </x:c>
      <x:c r="F37" s="31" t="inlineStr">
        <x:is>
          <x:t xml:space="preserve">В работе</x:t>
        </x:is>
      </x:c>
      <x:c r="G37" s="31" t="inlineStr">
        <x:is>
          <x:t xml:space="preserve">СОТР-001</x:t>
        </x:is>
      </x:c>
      <x:c r="H37" s="31" t="n">
        <x:v>46180</x:v>
      </x:c>
      <x:c r="I37" s="31" t="n">
        <x:v>46191</x:v>
      </x:c>
      <x:c r="J37" s="31" t="inlineStr">
        <x:is>
          <x:t xml:space="preserve">Исключение добавлено для проверки логики подрядчика: Изменение КД после запуска</x:t>
        </x:is>
      </x:c>
    </x:row>
    <x:row r="38" ht="18" customHeight="1">
      <x:c r="A38" s="31" t="inlineStr">
        <x:is>
          <x:t xml:space="preserve">ИСКЛ-0037</x:t>
        </x:is>
      </x:c>
      <x:c r="B38" s="31" t="inlineStr">
        <x:is>
          <x:t xml:space="preserve">Поставка с частичной приемкой</x:t>
        </x:is>
      </x:c>
      <x:c r="C38" s="31" t="inlineStr">
        <x:is>
          <x:t xml:space="preserve">Счет</x:t>
        </x:is>
      </x:c>
      <x:c r="D38" s="31" t="inlineStr">
        <x:is>
          <x:t xml:space="preserve">СЧ-1030-2</x:t>
        </x:is>
      </x:c>
      <x:c r="E38" s="31" t="inlineStr">
        <x:is>
          <x:t xml:space="preserve">Низкая</x:t>
        </x:is>
      </x:c>
      <x:c r="F38" s="31" t="inlineStr">
        <x:is>
          <x:t xml:space="preserve">Закрыто</x:t>
        </x:is>
      </x:c>
      <x:c r="G38" s="31" t="inlineStr">
        <x:is>
          <x:t xml:space="preserve">СОТР-011</x:t>
        </x:is>
      </x:c>
      <x:c r="H38" s="31" t="n">
        <x:v>46182</x:v>
      </x:c>
      <x:c r="I38" s="31" t="n">
        <x:v>46198</x:v>
      </x:c>
      <x:c r="J38" s="31" t="inlineStr">
        <x:is>
          <x:t xml:space="preserve">Исключение добавлено для проверки логики подрядчика: Поставка с частичной приемкой</x:t>
        </x:is>
      </x:c>
    </x:row>
    <x:row r="39" ht="18" customHeight="1">
      <x:c r="A39" s="31" t="inlineStr">
        <x:is>
          <x:t xml:space="preserve">ИСКЛ-0038</x:t>
        </x:is>
      </x:c>
      <x:c r="B39" s="31" t="inlineStr">
        <x:is>
          <x:t xml:space="preserve">Дубли заказчика</x:t>
        </x:is>
      </x:c>
      <x:c r="C39" s="31" t="inlineStr">
        <x:is>
          <x:t xml:space="preserve">Счет</x:t>
        </x:is>
      </x:c>
      <x:c r="D39" s="31" t="inlineStr">
        <x:is>
          <x:t xml:space="preserve">СЧ-1095-1</x:t>
        </x:is>
      </x:c>
      <x:c r="E39" s="31" t="inlineStr">
        <x:is>
          <x:t xml:space="preserve">Средняя</x:t>
        </x:is>
      </x:c>
      <x:c r="F39" s="31" t="inlineStr">
        <x:is>
          <x:t xml:space="preserve">Открыто</x:t>
        </x:is>
      </x:c>
      <x:c r="G39" s="31" t="inlineStr">
        <x:is>
          <x:t xml:space="preserve">СОТР-018</x:t>
        </x:is>
      </x:c>
      <x:c r="H39" s="31" t="n">
        <x:v>46164</x:v>
      </x:c>
      <x:c r="I39" s="31" t="n">
        <x:v>46190</x:v>
      </x:c>
      <x:c r="J39" s="31" t="inlineStr">
        <x:is>
          <x:t xml:space="preserve">Исключение добавлено для проверки логики подрядчика: Дубли заказчика</x:t>
        </x:is>
      </x:c>
    </x:row>
    <x:row r="40" ht="18" customHeight="1">
      <x:c r="A40" s="31" t="inlineStr">
        <x:is>
          <x:t xml:space="preserve">ИСКЛ-0039</x:t>
        </x:is>
      </x:c>
      <x:c r="B40" s="31" t="inlineStr">
        <x:is>
          <x:t xml:space="preserve">Поставка с частичной приемкой</x:t>
        </x:is>
      </x:c>
      <x:c r="C40" s="31" t="inlineStr">
        <x:is>
          <x:t xml:space="preserve">Заказ</x:t>
        </x:is>
      </x:c>
      <x:c r="D40" s="31" t="inlineStr">
        <x:is>
          <x:t xml:space="preserve">ЗК-1033</x:t>
        </x:is>
      </x:c>
      <x:c r="E40" s="31" t="inlineStr">
        <x:is>
          <x:t xml:space="preserve">Средняя</x:t>
        </x:is>
      </x:c>
      <x:c r="F40" s="31" t="inlineStr">
        <x:is>
          <x:t xml:space="preserve">Открыто</x:t>
        </x:is>
      </x:c>
      <x:c r="G40" s="31" t="inlineStr">
        <x:is>
          <x:t xml:space="preserve">СОТР-011</x:t>
        </x:is>
      </x:c>
      <x:c r="H40" s="31" t="n">
        <x:v>46143</x:v>
      </x:c>
      <x:c r="I40" s="31" t="n">
        <x:v>46193</x:v>
      </x:c>
      <x:c r="J40" s="31" t="inlineStr">
        <x:is>
          <x:t xml:space="preserve">Исключение добавлено для проверки логики подрядчика: Поставка с частичной приемкой</x:t>
        </x:is>
      </x:c>
    </x:row>
    <x:row r="41" ht="18" customHeight="1">
      <x:c r="A41" s="31" t="inlineStr">
        <x:is>
          <x:t xml:space="preserve">ИСКЛ-0040</x:t>
        </x:is>
      </x:c>
      <x:c r="B41" s="31" t="inlineStr">
        <x:is>
          <x:t xml:space="preserve">Кредит-блок</x:t>
        </x:is>
      </x:c>
      <x:c r="C41" s="31" t="inlineStr">
        <x:is>
          <x:t xml:space="preserve">Производственное задание</x:t>
        </x:is>
      </x:c>
      <x:c r="D41" s="31" t="inlineStr">
        <x:is>
          <x:t xml:space="preserve">ПЗ-00054</x:t>
        </x:is>
      </x:c>
      <x:c r="E41" s="31" t="inlineStr">
        <x:is>
          <x:t xml:space="preserve">Средняя</x:t>
        </x:is>
      </x:c>
      <x:c r="F41" s="31" t="inlineStr">
        <x:is>
          <x:t xml:space="preserve">В работе</x:t>
        </x:is>
      </x:c>
      <x:c r="G41" s="31" t="inlineStr">
        <x:is>
          <x:t xml:space="preserve">СОТР-011</x:t>
        </x:is>
      </x:c>
      <x:c r="H41" s="31" t="n">
        <x:v>46178</x:v>
      </x:c>
      <x:c r="I41" s="31" t="n">
        <x:v>46191</x:v>
      </x:c>
      <x:c r="J41" s="31" t="inlineStr">
        <x:is>
          <x:t xml:space="preserve">Исключение добавлено для проверки логики подрядчика: Кредит-блок</x:t>
        </x:is>
      </x:c>
    </x:row>
    <x:row r="42" ht="18" customHeight="1">
      <x:c r="A42" s="31" t="inlineStr">
        <x:is>
          <x:t xml:space="preserve">ИСКЛ-0041</x:t>
        </x:is>
      </x:c>
      <x:c r="B42" s="31" t="inlineStr">
        <x:is>
          <x:t xml:space="preserve">Нестандартный маршрут</x:t>
        </x:is>
      </x:c>
      <x:c r="C42" s="31" t="inlineStr">
        <x:is>
          <x:t xml:space="preserve">Материал</x:t>
        </x:is>
      </x:c>
      <x:c r="D42" s="31" t="inlineStr">
        <x:is>
          <x:t xml:space="preserve">МАТ-0039</x:t>
        </x:is>
      </x:c>
      <x:c r="E42" s="31" t="inlineStr">
        <x:is>
          <x:t xml:space="preserve">Средняя</x:t>
        </x:is>
      </x:c>
      <x:c r="F42" s="31" t="inlineStr">
        <x:is>
          <x:t xml:space="preserve">Открыто</x:t>
        </x:is>
      </x:c>
      <x:c r="G42" s="31" t="inlineStr">
        <x:is>
          <x:t xml:space="preserve">СОТР-018</x:t>
        </x:is>
      </x:c>
      <x:c r="H42" s="31" t="n">
        <x:v>46180</x:v>
      </x:c>
      <x:c r="I42" s="31" t="n">
        <x:v>46200</x:v>
      </x:c>
      <x:c r="J42" s="31" t="inlineStr">
        <x:is>
          <x:t xml:space="preserve">Исключение добавлено для проверки логики подрядчика: Нестандартный маршрут</x:t>
        </x:is>
      </x:c>
    </x:row>
    <x:row r="43" ht="18" customHeight="1">
      <x:c r="A43" s="31" t="inlineStr">
        <x:is>
          <x:t xml:space="preserve">ИСКЛ-0042</x:t>
        </x:is>
      </x:c>
      <x:c r="B43" s="31" t="inlineStr">
        <x:is>
          <x:t xml:space="preserve">Кредит-блок</x:t>
        </x:is>
      </x:c>
      <x:c r="C43" s="31" t="inlineStr">
        <x:is>
          <x:t xml:space="preserve">Производственное задание</x:t>
        </x:is>
      </x:c>
      <x:c r="D43" s="31" t="inlineStr">
        <x:is>
          <x:t xml:space="preserve">ПЗ-00030</x:t>
        </x:is>
      </x:c>
      <x:c r="E43" s="31" t="inlineStr">
        <x:is>
          <x:t xml:space="preserve">Высокая</x:t>
        </x:is>
      </x:c>
      <x:c r="F43" s="31" t="inlineStr">
        <x:is>
          <x:t xml:space="preserve">Открыто</x:t>
        </x:is>
      </x:c>
      <x:c r="G43" s="31" t="inlineStr">
        <x:is>
          <x:t xml:space="preserve">СОТР-002</x:t>
        </x:is>
      </x:c>
      <x:c r="H43" s="31" t="n">
        <x:v>46152</x:v>
      </x:c>
      <x:c r="I43" s="31" t="n">
        <x:v>46198</x:v>
      </x:c>
      <x:c r="J43" s="31" t="inlineStr">
        <x:is>
          <x:t xml:space="preserve">Исключение добавлено для проверки логики подрядчика: Кредит-блок</x:t>
        </x:is>
      </x:c>
    </x:row>
    <x:row r="44" ht="18" customHeight="1">
      <x:c r="A44" s="31" t="inlineStr">
        <x:is>
          <x:t xml:space="preserve">ИСКЛ-0043</x:t>
        </x:is>
      </x:c>
      <x:c r="B44" s="31" t="inlineStr">
        <x:is>
          <x:t xml:space="preserve">Отгрузка частями</x:t>
        </x:is>
      </x:c>
      <x:c r="C44" s="31" t="inlineStr">
        <x:is>
          <x:t xml:space="preserve">Оборудование</x:t>
        </x:is>
      </x:c>
      <x:c r="D44" s="31" t="inlineStr">
        <x:is>
          <x:t xml:space="preserve">ОБ-032</x:t>
        </x:is>
      </x:c>
      <x:c r="E44" s="31" t="inlineStr">
        <x:is>
          <x:t xml:space="preserve">Высокая</x:t>
        </x:is>
      </x:c>
      <x:c r="F44" s="31" t="inlineStr">
        <x:is>
          <x:t xml:space="preserve">Открыто</x:t>
        </x:is>
      </x:c>
      <x:c r="G44" s="31" t="inlineStr">
        <x:is>
          <x:t xml:space="preserve">СОТР-001</x:t>
        </x:is>
      </x:c>
      <x:c r="H44" s="31" t="n">
        <x:v>46142</x:v>
      </x:c>
      <x:c r="I44" s="31" t="n">
        <x:v>46196</x:v>
      </x:c>
      <x:c r="J44" s="31" t="inlineStr">
        <x:is>
          <x:t xml:space="preserve">Исключение добавлено для проверки логики подрядчика: Отгрузка частями</x:t>
        </x:is>
      </x:c>
    </x:row>
    <x:row r="45" ht="18" customHeight="1">
      <x:c r="A45" s="31" t="inlineStr">
        <x:is>
          <x:t xml:space="preserve">ИСКЛ-0044</x:t>
        </x:is>
      </x:c>
      <x:c r="B45" s="31" t="inlineStr">
        <x:is>
          <x:t xml:space="preserve">Рекламация после закрытия</x:t>
        </x:is>
      </x:c>
      <x:c r="C45" s="31" t="inlineStr">
        <x:is>
          <x:t xml:space="preserve">Оборудование</x:t>
        </x:is>
      </x:c>
      <x:c r="D45" s="31" t="inlineStr">
        <x:is>
          <x:t xml:space="preserve">ОБ-007</x:t>
        </x:is>
      </x:c>
      <x:c r="E45" s="31" t="inlineStr">
        <x:is>
          <x:t xml:space="preserve">Низкая</x:t>
        </x:is>
      </x:c>
      <x:c r="F45" s="31" t="inlineStr">
        <x:is>
          <x:t xml:space="preserve">Закрыто</x:t>
        </x:is>
      </x:c>
      <x:c r="G45" s="31" t="inlineStr">
        <x:is>
          <x:t xml:space="preserve">СОТР-011</x:t>
        </x:is>
      </x:c>
      <x:c r="H45" s="31" t="n">
        <x:v>46163</x:v>
      </x:c>
      <x:c r="I45" s="31" t="n">
        <x:v>46195</x:v>
      </x:c>
      <x:c r="J45" s="31" t="inlineStr">
        <x:is>
          <x:t xml:space="preserve">Исключение добавлено для проверки логики подрядчика: Рекламация после закрытия</x:t>
        </x:is>
      </x:c>
    </x:row>
    <x:row r="46" ht="18" customHeight="1">
      <x:c r="A46" s="31" t="inlineStr">
        <x:is>
          <x:t xml:space="preserve">ИСКЛ-0045</x:t>
        </x:is>
      </x:c>
      <x:c r="B46" s="31" t="inlineStr">
        <x:is>
          <x:t xml:space="preserve">Отгрузка частями</x:t>
        </x:is>
      </x:c>
      <x:c r="C46" s="31" t="inlineStr">
        <x:is>
          <x:t xml:space="preserve">Производственное задание</x:t>
        </x:is>
      </x:c>
      <x:c r="D46" s="31" t="inlineStr">
        <x:is>
          <x:t xml:space="preserve">ПЗ-00256</x:t>
        </x:is>
      </x:c>
      <x:c r="E46" s="31" t="inlineStr">
        <x:is>
          <x:t xml:space="preserve">Средняя</x:t>
        </x:is>
      </x:c>
      <x:c r="F46" s="31" t="inlineStr">
        <x:is>
          <x:t xml:space="preserve">Закрыто</x:t>
        </x:is>
      </x:c>
      <x:c r="G46" s="31" t="inlineStr">
        <x:is>
          <x:t xml:space="preserve">СОТР-001</x:t>
        </x:is>
      </x:c>
      <x:c r="H46" s="31" t="n">
        <x:v>46164</x:v>
      </x:c>
      <x:c r="I46" s="31" t="n">
        <x:v>46194</x:v>
      </x:c>
      <x:c r="J46" s="31" t="inlineStr">
        <x:is>
          <x:t xml:space="preserve">Исключение добавлено для проверки логики подрядчика: Отгрузка частями</x:t>
        </x:is>
      </x:c>
    </x:row>
    <x:row r="47" ht="18" customHeight="1">
      <x:c r="A47" s="31" t="inlineStr">
        <x:is>
          <x:t xml:space="preserve">ИСКЛ-0046</x:t>
        </x:is>
      </x:c>
      <x:c r="B47" s="31" t="inlineStr">
        <x:is>
          <x:t xml:space="preserve">Дубли заказчика</x:t>
        </x:is>
      </x:c>
      <x:c r="C47" s="31" t="inlineStr">
        <x:is>
          <x:t xml:space="preserve">Оборудование</x:t>
        </x:is>
      </x:c>
      <x:c r="D47" s="31" t="inlineStr">
        <x:is>
          <x:t xml:space="preserve">ОБ-008</x:t>
        </x:is>
      </x:c>
      <x:c r="E47" s="31" t="inlineStr">
        <x:is>
          <x:t xml:space="preserve">Высокая</x:t>
        </x:is>
      </x:c>
      <x:c r="F47" s="31" t="inlineStr">
        <x:is>
          <x:t xml:space="preserve">В работе</x:t>
        </x:is>
      </x:c>
      <x:c r="G47" s="31" t="inlineStr">
        <x:is>
          <x:t xml:space="preserve">СОТР-011</x:t>
        </x:is>
      </x:c>
      <x:c r="H47" s="31" t="n">
        <x:v>46145</x:v>
      </x:c>
      <x:c r="I47" s="31" t="n">
        <x:v>46204</x:v>
      </x:c>
      <x:c r="J47" s="31" t="inlineStr">
        <x:is>
          <x:t xml:space="preserve">Исключение добавлено для проверки логики подрядчика: Дубли заказчика</x:t>
        </x:is>
      </x:c>
    </x:row>
    <x:row r="48" ht="18" customHeight="1">
      <x:c r="A48" s="31" t="inlineStr">
        <x:is>
          <x:t xml:space="preserve">ИСКЛ-0047</x:t>
        </x:is>
      </x:c>
      <x:c r="B48" s="31" t="inlineStr">
        <x:is>
          <x:t xml:space="preserve">Рекламация после закрытия</x:t>
        </x:is>
      </x:c>
      <x:c r="C48" s="31" t="inlineStr">
        <x:is>
          <x:t xml:space="preserve">Заказ</x:t>
        </x:is>
      </x:c>
      <x:c r="D48" s="31" t="inlineStr">
        <x:is>
          <x:t xml:space="preserve">ЗК-1050</x:t>
        </x:is>
      </x:c>
      <x:c r="E48" s="31" t="inlineStr">
        <x:is>
          <x:t xml:space="preserve">Низкая</x:t>
        </x:is>
      </x:c>
      <x:c r="F48" s="31" t="inlineStr">
        <x:is>
          <x:t xml:space="preserve">Открыто</x:t>
        </x:is>
      </x:c>
      <x:c r="G48" s="31" t="inlineStr">
        <x:is>
          <x:t xml:space="preserve">СОТР-018</x:t>
        </x:is>
      </x:c>
      <x:c r="H48" s="31" t="n">
        <x:v>46146</x:v>
      </x:c>
      <x:c r="I48" s="31" t="n">
        <x:v>46195</x:v>
      </x:c>
      <x:c r="J48" s="31" t="inlineStr">
        <x:is>
          <x:t xml:space="preserve">Исключение добавлено для проверки логики подрядчика: Рекламация после закрытия</x:t>
        </x:is>
      </x:c>
    </x:row>
    <x:row r="49" ht="18" customHeight="1">
      <x:c r="A49" s="31" t="inlineStr">
        <x:is>
          <x:t xml:space="preserve">ИСКЛ-0048</x:t>
        </x:is>
      </x:c>
      <x:c r="B49" s="31" t="inlineStr">
        <x:is>
          <x:t xml:space="preserve">Оборудование в ремонте</x:t>
        </x:is>
      </x:c>
      <x:c r="C49" s="31" t="inlineStr">
        <x:is>
          <x:t xml:space="preserve">Оборудование</x:t>
        </x:is>
      </x:c>
      <x:c r="D49" s="31" t="inlineStr">
        <x:is>
          <x:t xml:space="preserve">ОБ-029</x:t>
        </x:is>
      </x:c>
      <x:c r="E49" s="31" t="inlineStr">
        <x:is>
          <x:t xml:space="preserve">Высокая</x:t>
        </x:is>
      </x:c>
      <x:c r="F49" s="31" t="inlineStr">
        <x:is>
          <x:t xml:space="preserve">Принято как исключение</x:t>
        </x:is>
      </x:c>
      <x:c r="G49" s="31" t="inlineStr">
        <x:is>
          <x:t xml:space="preserve">СОТР-063</x:t>
        </x:is>
      </x:c>
      <x:c r="H49" s="31" t="n">
        <x:v>46143</x:v>
      </x:c>
      <x:c r="I49" s="31" t="n">
        <x:v>46202</x:v>
      </x:c>
      <x:c r="J49" s="31" t="inlineStr">
        <x:is>
          <x:t xml:space="preserve">Исключение добавлено для проверки логики подрядчика: Оборудование в ремонте</x:t>
        </x:is>
      </x:c>
    </x:row>
    <x:row r="50" ht="18" customHeight="1">
      <x:c r="A50" s="31" t="inlineStr">
        <x:is>
          <x:t xml:space="preserve">ИСКЛ-0049</x:t>
        </x:is>
      </x:c>
      <x:c r="B50" s="31" t="inlineStr">
        <x:is>
          <x:t xml:space="preserve">Рекламация после закрытия</x:t>
        </x:is>
      </x:c>
      <x:c r="C50" s="31" t="inlineStr">
        <x:is>
          <x:t xml:space="preserve">Производственное задание</x:t>
        </x:is>
      </x:c>
      <x:c r="D50" s="31" t="inlineStr">
        <x:is>
          <x:t xml:space="preserve">ПЗ-00155</x:t>
        </x:is>
      </x:c>
      <x:c r="E50" s="31" t="inlineStr">
        <x:is>
          <x:t xml:space="preserve">Средняя</x:t>
        </x:is>
      </x:c>
      <x:c r="F50" s="31" t="inlineStr">
        <x:is>
          <x:t xml:space="preserve">В работе</x:t>
        </x:is>
      </x:c>
      <x:c r="G50" s="31" t="inlineStr">
        <x:is>
          <x:t xml:space="preserve">СОТР-076</x:t>
        </x:is>
      </x:c>
      <x:c r="H50" s="31" t="n">
        <x:v>46142</x:v>
      </x:c>
      <x:c r="I50" s="31" t="n">
        <x:v>46186</x:v>
      </x:c>
      <x:c r="J50" s="31" t="inlineStr">
        <x:is>
          <x:t xml:space="preserve">Исключение добавлено для проверки логики подрядчика: Рекламация после закрытия</x:t>
        </x:is>
      </x:c>
    </x:row>
    <x:row r="51" ht="18" customHeight="1">
      <x:c r="A51" s="31" t="inlineStr">
        <x:is>
          <x:t xml:space="preserve">ИСКЛ-0050</x:t>
        </x:is>
      </x:c>
      <x:c r="B51" s="31" t="inlineStr">
        <x:is>
          <x:t xml:space="preserve">Кредит-блок</x:t>
        </x:is>
      </x:c>
      <x:c r="C51" s="31" t="inlineStr">
        <x:is>
          <x:t xml:space="preserve">Производственное задание</x:t>
        </x:is>
      </x:c>
      <x:c r="D51" s="31" t="inlineStr">
        <x:is>
          <x:t xml:space="preserve">ПЗ-00028</x:t>
        </x:is>
      </x:c>
      <x:c r="E51" s="31" t="inlineStr">
        <x:is>
          <x:t xml:space="preserve">Средняя</x:t>
        </x:is>
      </x:c>
      <x:c r="F51" s="31" t="inlineStr">
        <x:is>
          <x:t xml:space="preserve">В работе</x:t>
        </x:is>
      </x:c>
      <x:c r="G51" s="31" t="inlineStr">
        <x:is>
          <x:t xml:space="preserve">СОТР-018</x:t>
        </x:is>
      </x:c>
      <x:c r="H51" s="31" t="n">
        <x:v>46167</x:v>
      </x:c>
      <x:c r="I51" s="31" t="n">
        <x:v>46194</x:v>
      </x:c>
      <x:c r="J51" s="31" t="inlineStr">
        <x:is>
          <x:t xml:space="preserve">Исключение добавлено для проверки логики подрядчика: Кредит-блок</x:t>
        </x:is>
      </x:c>
    </x:row>
    <x:row r="52" ht="18" customHeight="1">
      <x:c r="A52" s="31" t="inlineStr">
        <x:is>
          <x:t xml:space="preserve">ИСКЛ-0051</x:t>
        </x:is>
      </x:c>
      <x:c r="B52" s="31" t="inlineStr">
        <x:is>
          <x:t xml:space="preserve">Рекламация после закрытия</x:t>
        </x:is>
      </x:c>
      <x:c r="C52" s="31" t="inlineStr">
        <x:is>
          <x:t xml:space="preserve">Счет</x:t>
        </x:is>
      </x:c>
      <x:c r="D52" s="31" t="inlineStr">
        <x:is>
          <x:t xml:space="preserve">СЧ-1009-1</x:t>
        </x:is>
      </x:c>
      <x:c r="E52" s="31" t="inlineStr">
        <x:is>
          <x:t xml:space="preserve">Средняя</x:t>
        </x:is>
      </x:c>
      <x:c r="F52" s="31" t="inlineStr">
        <x:is>
          <x:t xml:space="preserve">В работе</x:t>
        </x:is>
      </x:c>
      <x:c r="G52" s="31" t="inlineStr">
        <x:is>
          <x:t xml:space="preserve">СОТР-002</x:t>
        </x:is>
      </x:c>
      <x:c r="H52" s="31" t="n">
        <x:v>46185</x:v>
      </x:c>
      <x:c r="I52" s="31" t="n">
        <x:v>46203</x:v>
      </x:c>
      <x:c r="J52" s="31" t="inlineStr">
        <x:is>
          <x:t xml:space="preserve">Исключение добавлено для проверки логики подрядчика: Рекламация после закрытия</x:t>
        </x:is>
      </x:c>
    </x:row>
    <x:row r="53" ht="18" customHeight="1">
      <x:c r="A53" s="31" t="inlineStr">
        <x:is>
          <x:t xml:space="preserve">ИСКЛ-0052</x:t>
        </x:is>
      </x:c>
      <x:c r="B53" s="31" t="inlineStr">
        <x:is>
          <x:t xml:space="preserve">Нестандартный маршрут</x:t>
        </x:is>
      </x:c>
      <x:c r="C53" s="31" t="inlineStr">
        <x:is>
          <x:t xml:space="preserve">Производственное задание</x:t>
        </x:is>
      </x:c>
      <x:c r="D53" s="31" t="inlineStr">
        <x:is>
          <x:t xml:space="preserve">ПЗ-00213</x:t>
        </x:is>
      </x:c>
      <x:c r="E53" s="31" t="inlineStr">
        <x:is>
          <x:t xml:space="preserve">Высокая</x:t>
        </x:is>
      </x:c>
      <x:c r="F53" s="31" t="inlineStr">
        <x:is>
          <x:t xml:space="preserve">В работе</x:t>
        </x:is>
      </x:c>
      <x:c r="G53" s="31" t="inlineStr">
        <x:is>
          <x:t xml:space="preserve">СОТР-001</x:t>
        </x:is>
      </x:c>
      <x:c r="H53" s="31" t="n">
        <x:v>46142</x:v>
      </x:c>
      <x:c r="I53" s="31" t="n">
        <x:v>46202</x:v>
      </x:c>
      <x:c r="J53" s="31" t="inlineStr">
        <x:is>
          <x:t xml:space="preserve">Исключение добавлено для проверки логики подрядчика: Нестандартный маршрут</x:t>
        </x:is>
      </x:c>
    </x:row>
    <x:row r="54" ht="18" customHeight="1">
      <x:c r="A54" s="31" t="inlineStr">
        <x:is>
          <x:t xml:space="preserve">ИСКЛ-0053</x:t>
        </x:is>
      </x:c>
      <x:c r="B54" s="31" t="inlineStr">
        <x:is>
          <x:t xml:space="preserve">Рекламация после закрытия</x:t>
        </x:is>
      </x:c>
      <x:c r="C54" s="31" t="inlineStr">
        <x:is>
          <x:t xml:space="preserve">Производственное задание</x:t>
        </x:is>
      </x:c>
      <x:c r="D54" s="31" t="inlineStr">
        <x:is>
          <x:t xml:space="preserve">ПЗ-00170</x:t>
        </x:is>
      </x:c>
      <x:c r="E54" s="31" t="inlineStr">
        <x:is>
          <x:t xml:space="preserve">Высокая</x:t>
        </x:is>
      </x:c>
      <x:c r="F54" s="31" t="inlineStr">
        <x:is>
          <x:t xml:space="preserve">В работе</x:t>
        </x:is>
      </x:c>
      <x:c r="G54" s="31" t="inlineStr">
        <x:is>
          <x:t xml:space="preserve">СОТР-018</x:t>
        </x:is>
      </x:c>
      <x:c r="H54" s="31" t="n">
        <x:v>46164</x:v>
      </x:c>
      <x:c r="I54" s="31" t="n">
        <x:v>46192</x:v>
      </x:c>
      <x:c r="J54" s="31" t="inlineStr">
        <x:is>
          <x:t xml:space="preserve">Исключение добавлено для проверки логики подрядчика: Рекламация после закрытия</x:t>
        </x:is>
      </x:c>
    </x:row>
    <x:row r="55" ht="18" customHeight="1">
      <x:c r="A55" s="31" t="inlineStr">
        <x:is>
          <x:t xml:space="preserve">ИСКЛ-0054</x:t>
        </x:is>
      </x:c>
      <x:c r="B55" s="31" t="inlineStr">
        <x:is>
          <x:t xml:space="preserve">Рекламация после закрытия</x:t>
        </x:is>
      </x:c>
      <x:c r="C55" s="31" t="inlineStr">
        <x:is>
          <x:t xml:space="preserve">Оборудование</x:t>
        </x:is>
      </x:c>
      <x:c r="D55" s="31" t="inlineStr">
        <x:is>
          <x:t xml:space="preserve">ОБ-027</x:t>
        </x:is>
      </x:c>
      <x:c r="E55" s="31" t="inlineStr">
        <x:is>
          <x:t xml:space="preserve">Средняя</x:t>
        </x:is>
      </x:c>
      <x:c r="F55" s="31" t="inlineStr">
        <x:is>
          <x:t xml:space="preserve">В работе</x:t>
        </x:is>
      </x:c>
      <x:c r="G55" s="31" t="inlineStr">
        <x:is>
          <x:t xml:space="preserve">СОТР-018</x:t>
        </x:is>
      </x:c>
      <x:c r="H55" s="31" t="n">
        <x:v>46175</x:v>
      </x:c>
      <x:c r="I55" s="31" t="n">
        <x:v>46191</x:v>
      </x:c>
      <x:c r="J55" s="31" t="inlineStr">
        <x:is>
          <x:t xml:space="preserve">Исключение добавлено для проверки логики подрядчика: Рекламация после закрытия</x:t>
        </x:is>
      </x:c>
    </x:row>
    <x:row r="56" ht="18" customHeight="1">
      <x:c r="A56" s="31" t="inlineStr">
        <x:is>
          <x:t xml:space="preserve">ИСКЛ-0055</x:t>
        </x:is>
      </x:c>
      <x:c r="B56" s="31" t="inlineStr">
        <x:is>
          <x:t xml:space="preserve">Изменение КД после запуска</x:t>
        </x:is>
      </x:c>
      <x:c r="C56" s="31" t="inlineStr">
        <x:is>
          <x:t xml:space="preserve">Счет</x:t>
        </x:is>
      </x:c>
      <x:c r="D56" s="31" t="inlineStr">
        <x:is>
          <x:t xml:space="preserve">СЧ-1047-1</x:t>
        </x:is>
      </x:c>
      <x:c r="E56" s="31" t="inlineStr">
        <x:is>
          <x:t xml:space="preserve">Высокая</x:t>
        </x:is>
      </x:c>
      <x:c r="F56" s="31" t="inlineStr">
        <x:is>
          <x:t xml:space="preserve">Открыто</x:t>
        </x:is>
      </x:c>
      <x:c r="G56" s="31" t="inlineStr">
        <x:is>
          <x:t xml:space="preserve">СОТР-076</x:t>
        </x:is>
      </x:c>
      <x:c r="H56" s="31" t="n">
        <x:v>46145</x:v>
      </x:c>
      <x:c r="I56" s="31" t="n">
        <x:v>46204</x:v>
      </x:c>
      <x:c r="J56" s="31" t="inlineStr">
        <x:is>
          <x:t xml:space="preserve">Исключение добавлено для проверки логики подрядчика: Изменение КД после запуска</x:t>
        </x:is>
      </x:c>
    </x:row>
    <x:row r="57" ht="18" customHeight="1">
      <x:c r="A57" s="31" t="inlineStr">
        <x:is>
          <x:t xml:space="preserve">ИСКЛ-0056</x:t>
        </x:is>
      </x:c>
      <x:c r="B57" s="31" t="inlineStr">
        <x:is>
          <x:t xml:space="preserve">Дубли заказчика</x:t>
        </x:is>
      </x:c>
      <x:c r="C57" s="31" t="inlineStr">
        <x:is>
          <x:t xml:space="preserve">Заказ</x:t>
        </x:is>
      </x:c>
      <x:c r="D57" s="31" t="inlineStr">
        <x:is>
          <x:t xml:space="preserve">ЗК-1050</x:t>
        </x:is>
      </x:c>
      <x:c r="E57" s="31" t="inlineStr">
        <x:is>
          <x:t xml:space="preserve">Низкая</x:t>
        </x:is>
      </x:c>
      <x:c r="F57" s="31" t="inlineStr">
        <x:is>
          <x:t xml:space="preserve">В работе</x:t>
        </x:is>
      </x:c>
      <x:c r="G57" s="31" t="inlineStr">
        <x:is>
          <x:t xml:space="preserve">СОТР-001</x:t>
        </x:is>
      </x:c>
      <x:c r="H57" s="31" t="n">
        <x:v>46164</x:v>
      </x:c>
      <x:c r="I57" s="31" t="n">
        <x:v>46202</x:v>
      </x:c>
      <x:c r="J57" s="31" t="inlineStr">
        <x:is>
          <x:t xml:space="preserve">Исключение добавлено для проверки логики подрядчика: Дубли заказчика</x:t>
        </x:is>
      </x:c>
    </x:row>
    <x:row r="58" ht="18" customHeight="1">
      <x:c r="A58" s="31" t="inlineStr">
        <x:is>
          <x:t xml:space="preserve">ИСКЛ-0057</x:t>
        </x:is>
      </x:c>
      <x:c r="B58" s="31" t="inlineStr">
        <x:is>
          <x:t xml:space="preserve">Отгрузка частями</x:t>
        </x:is>
      </x:c>
      <x:c r="C58" s="31" t="inlineStr">
        <x:is>
          <x:t xml:space="preserve">Заказ</x:t>
        </x:is>
      </x:c>
      <x:c r="D58" s="31" t="inlineStr">
        <x:is>
          <x:t xml:space="preserve">ЗК-1126</x:t>
        </x:is>
      </x:c>
      <x:c r="E58" s="31" t="inlineStr">
        <x:is>
          <x:t xml:space="preserve">Высокая</x:t>
        </x:is>
      </x:c>
      <x:c r="F58" s="31" t="inlineStr">
        <x:is>
          <x:t xml:space="preserve">Закрыто</x:t>
        </x:is>
      </x:c>
      <x:c r="G58" s="31" t="inlineStr">
        <x:is>
          <x:t xml:space="preserve">СОТР-011</x:t>
        </x:is>
      </x:c>
      <x:c r="H58" s="31" t="n">
        <x:v>46183</x:v>
      </x:c>
      <x:c r="I58" s="31" t="n">
        <x:v>46187</x:v>
      </x:c>
      <x:c r="J58" s="31" t="inlineStr">
        <x:is>
          <x:t xml:space="preserve">Исключение добавлено для проверки логики подрядчика: Отгрузка частями</x:t>
        </x:is>
      </x:c>
    </x:row>
    <x:row r="59" ht="18" customHeight="1">
      <x:c r="A59" s="31" t="inlineStr">
        <x:is>
          <x:t xml:space="preserve">ИСКЛ-0058</x:t>
        </x:is>
      </x:c>
      <x:c r="B59" s="31" t="inlineStr">
        <x:is>
          <x:t xml:space="preserve">Рекламация после закрытия</x:t>
        </x:is>
      </x:c>
      <x:c r="C59" s="31" t="inlineStr">
        <x:is>
          <x:t xml:space="preserve">Заказ</x:t>
        </x:is>
      </x:c>
      <x:c r="D59" s="31" t="inlineStr">
        <x:is>
          <x:t xml:space="preserve">ЗК-1004</x:t>
        </x:is>
      </x:c>
      <x:c r="E59" s="31" t="inlineStr">
        <x:is>
          <x:t xml:space="preserve">Низкая</x:t>
        </x:is>
      </x:c>
      <x:c r="F59" s="31" t="inlineStr">
        <x:is>
          <x:t xml:space="preserve">Принято как исключение</x:t>
        </x:is>
      </x:c>
      <x:c r="G59" s="31" t="inlineStr">
        <x:is>
          <x:t xml:space="preserve">СОТР-089</x:t>
        </x:is>
      </x:c>
      <x:c r="H59" s="31" t="n">
        <x:v>46145</x:v>
      </x:c>
      <x:c r="I59" s="31" t="n">
        <x:v>46192</x:v>
      </x:c>
      <x:c r="J59" s="31" t="inlineStr">
        <x:is>
          <x:t xml:space="preserve">Исключение добавлено для проверки логики подрядчика: Рекламация после закрытия</x:t>
        </x:is>
      </x:c>
    </x:row>
    <x:row r="60" ht="18" customHeight="1">
      <x:c r="A60" s="31" t="inlineStr">
        <x:is>
          <x:t xml:space="preserve">ИСКЛ-0059</x:t>
        </x:is>
      </x:c>
      <x:c r="B60" s="31" t="inlineStr">
        <x:is>
          <x:t xml:space="preserve">Оборудование в ремонте</x:t>
        </x:is>
      </x:c>
      <x:c r="C60" s="31" t="inlineStr">
        <x:is>
          <x:t xml:space="preserve">Заказ</x:t>
        </x:is>
      </x:c>
      <x:c r="D60" s="31" t="inlineStr">
        <x:is>
          <x:t xml:space="preserve">ЗК-1078</x:t>
        </x:is>
      </x:c>
      <x:c r="E60" s="31" t="inlineStr">
        <x:is>
          <x:t xml:space="preserve">Низкая</x:t>
        </x:is>
      </x:c>
      <x:c r="F60" s="31" t="inlineStr">
        <x:is>
          <x:t xml:space="preserve">Открыто</x:t>
        </x:is>
      </x:c>
      <x:c r="G60" s="31" t="inlineStr">
        <x:is>
          <x:t xml:space="preserve">СОТР-076</x:t>
        </x:is>
      </x:c>
      <x:c r="H60" s="31" t="n">
        <x:v>46170</x:v>
      </x:c>
      <x:c r="I60" s="31" t="n">
        <x:v>46203</x:v>
      </x:c>
      <x:c r="J60" s="31" t="inlineStr">
        <x:is>
          <x:t xml:space="preserve">Исключение добавлено для проверки логики подрядчика: Оборудование в ремонте</x:t>
        </x:is>
      </x:c>
    </x:row>
    <x:row r="61" ht="18" customHeight="1">
      <x:c r="A61" s="31" t="inlineStr">
        <x:is>
          <x:t xml:space="preserve">ИСКЛ-0060</x:t>
        </x:is>
      </x:c>
      <x:c r="B61" s="31" t="inlineStr">
        <x:is>
          <x:t xml:space="preserve">Нестандартный маршрут</x:t>
        </x:is>
      </x:c>
      <x:c r="C61" s="31" t="inlineStr">
        <x:is>
          <x:t xml:space="preserve">Счет</x:t>
        </x:is>
      </x:c>
      <x:c r="D61" s="31" t="inlineStr">
        <x:is>
          <x:t xml:space="preserve">СЧ-1066-2</x:t>
        </x:is>
      </x:c>
      <x:c r="E61" s="31" t="inlineStr">
        <x:is>
          <x:t xml:space="preserve">Высокая</x:t>
        </x:is>
      </x:c>
      <x:c r="F61" s="31" t="inlineStr">
        <x:is>
          <x:t xml:space="preserve">В работе</x:t>
        </x:is>
      </x:c>
      <x:c r="G61" s="31" t="inlineStr">
        <x:is>
          <x:t xml:space="preserve">СОТР-030</x:t>
        </x:is>
      </x:c>
      <x:c r="H61" s="31" t="n">
        <x:v>46146</x:v>
      </x:c>
      <x:c r="I61" s="31" t="n">
        <x:v>46188</x:v>
      </x:c>
      <x:c r="J61" s="31" t="inlineStr">
        <x:is>
          <x:t xml:space="preserve">Исключение добавлено для проверки логики подрядчика: Нестандартный маршрут</x:t>
        </x:is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baseColWidth="8" defaultRowHeight="15"/>
  <x:cols>
    <x:col min="1" max="1" width="13" customWidth="1"/>
    <x:col min="2" max="2" width="20" customWidth="1"/>
    <x:col min="3" max="3" width="38" customWidth="1"/>
    <x:col min="4" max="4" width="38" customWidth="1"/>
    <x:col min="5" max="5" width="38" customWidth="1"/>
    <x:col min="6" max="6" width="17" customWidth="1"/>
    <x:col min="7" max="7" width="25" customWidth="1"/>
    <x:col min="8" max="8" width="14" customWidth="1"/>
  </x:cols>
  <x:sheetData>
    <x:row r="1" ht="18" customHeight="1">
      <x:c r="A1" s="30" t="inlineStr">
        <x:is>
          <x:t xml:space="preserve">Код правила</x:t>
        </x:is>
      </x:c>
      <x:c r="B1" s="30" t="inlineStr">
        <x:is>
          <x:t xml:space="preserve">Процесс</x:t>
        </x:is>
      </x:c>
      <x:c r="C1" s="30" t="inlineStr">
        <x:is>
          <x:t xml:space="preserve">Условие</x:t>
        </x:is>
      </x:c>
      <x:c r="D1" s="30" t="inlineStr">
        <x:is>
          <x:t xml:space="preserve">Действие</x:t>
        </x:is>
      </x:c>
      <x:c r="E1" s="30" t="inlineStr">
        <x:is>
          <x:t xml:space="preserve">Источник данных</x:t>
        </x:is>
      </x:c>
      <x:c r="F1" s="30" t="inlineStr">
        <x:is>
          <x:t xml:space="preserve">Срок исполнения</x:t>
        </x:is>
      </x:c>
      <x:c r="G1" s="30" t="inlineStr">
        <x:is>
          <x:t xml:space="preserve">Ответственная роль</x:t>
        </x:is>
      </x:c>
      <x:c r="H1" s="30" t="inlineStr">
        <x:is>
          <x:t xml:space="preserve">Раздел учета</x:t>
        </x:is>
      </x:c>
    </x:row>
    <x:row r="2" ht="18" customHeight="1">
      <x:c r="A2" s="31" t="inlineStr">
        <x:is>
          <x:t xml:space="preserve">ПР-001</x:t>
        </x:is>
      </x:c>
      <x:c r="B2" s="31" t="inlineStr">
        <x:is>
          <x:t xml:space="preserve">Лид → КП</x:t>
        </x:is>
      </x:c>
      <x:c r="C2" s="31" t="inlineStr">
        <x:is>
          <x:t xml:space="preserve">При создании лида</x:t>
        </x:is>
      </x:c>
      <x:c r="D2" s="31" t="inlineStr">
        <x:is>
          <x:t xml:space="preserve">Создать задачу менеджеру; при сумме &gt; 5 млн уведомить руководителя продаж</x:t>
        </x:is>
      </x:c>
      <x:c r="E2" s="31" t="inlineStr">
        <x:is>
          <x:t xml:space="preserve">Заказы, Контакты, Задачи</x:t>
        </x:is>
      </x:c>
      <x:c r="F2" s="31" t="inlineStr">
        <x:is>
          <x:t xml:space="preserve">2 рабочих дня</x:t>
        </x:is>
      </x:c>
      <x:c r="G2" s="31" t="inlineStr">
        <x:is>
          <x:t xml:space="preserve">Менеджер продаж</x:t>
        </x:is>
      </x:c>
      <x:c r="H2" s="31" t="inlineStr">
        <x:is>
          <x:t xml:space="preserve">Продажи</x:t>
        </x:is>
      </x:c>
    </x:row>
    <x:row r="3" ht="18" customHeight="1">
      <x:c r="A3" s="31" t="inlineStr">
        <x:is>
          <x:t xml:space="preserve">ПР-002</x:t>
        </x:is>
      </x:c>
      <x:c r="B3" s="31" t="inlineStr">
        <x:is>
          <x:t xml:space="preserve">Скидка</x:t>
        </x:is>
      </x:c>
      <x:c r="C3" s="31" t="inlineStr">
        <x:is>
          <x:t xml:space="preserve">Скидка &gt; 7% или маржа &lt; 25%</x:t>
        </x:is>
      </x:c>
      <x:c r="D3" s="31" t="inlineStr">
        <x:is>
          <x:t xml:space="preserve">Создать согласование руководителю продаж/ГД</x:t>
        </x:is>
      </x:c>
      <x:c r="E3" s="31" t="inlineStr">
        <x:is>
          <x:t xml:space="preserve">Позиции заказов, Согласования</x:t>
        </x:is>
      </x:c>
      <x:c r="F3" s="31" t="inlineStr">
        <x:is>
          <x:t xml:space="preserve">1 день</x:t>
        </x:is>
      </x:c>
      <x:c r="G3" s="31" t="inlineStr">
        <x:is>
          <x:t xml:space="preserve">Руководитель продаж</x:t>
        </x:is>
      </x:c>
      <x:c r="H3" s="31" t="inlineStr">
        <x:is>
          <x:t xml:space="preserve">КП</x:t>
        </x:is>
      </x:c>
    </x:row>
    <x:row r="4" ht="18" customHeight="1">
      <x:c r="A4" s="31" t="inlineStr">
        <x:is>
          <x:t xml:space="preserve">ПР-003</x:t>
        </x:is>
      </x:c>
      <x:c r="B4" s="31" t="inlineStr">
        <x:is>
          <x:t xml:space="preserve">Запуск КД</x:t>
        </x:is>
      </x:c>
      <x:c r="C4" s="31" t="inlineStr">
        <x:is>
          <x:t xml:space="preserve">Договор подписан и аванс получен</x:t>
        </x:is>
      </x:c>
      <x:c r="D4" s="31" t="inlineStr">
        <x:is>
          <x:t xml:space="preserve">Создать задачи инженерам; запретить производство без актуального состава изделия</x:t>
        </x:is>
      </x:c>
      <x:c r="E4" s="31" t="inlineStr">
        <x:is>
          <x:t xml:space="preserve">Договоры, Состав изделий, Производственные задания</x:t>
        </x:is>
      </x:c>
      <x:c r="F4" s="31" t="inlineStr">
        <x:is>
          <x:t xml:space="preserve">5 дней</x:t>
        </x:is>
      </x:c>
      <x:c r="G4" s="31" t="inlineStr">
        <x:is>
          <x:t xml:space="preserve">Главный инженер</x:t>
        </x:is>
      </x:c>
      <x:c r="H4" s="31" t="inlineStr">
        <x:is>
          <x:t xml:space="preserve">КД</x:t>
        </x:is>
      </x:c>
    </x:row>
    <x:row r="5" ht="18" customHeight="1">
      <x:c r="A5" s="31" t="inlineStr">
        <x:is>
          <x:t xml:space="preserve">ПР-004</x:t>
        </x:is>
      </x:c>
      <x:c r="B5" s="31" t="inlineStr">
        <x:is>
          <x:t xml:space="preserve">Дефицит материалов</x:t>
        </x:is>
      </x:c>
      <x:c r="C5" s="31" t="inlineStr">
        <x:is>
          <x:t xml:space="preserve">Потребность по составу изделия превышает доступный остаток</x:t>
        </x:is>
      </x:c>
      <x:c r="D5" s="31" t="inlineStr">
        <x:is>
          <x:t xml:space="preserve">Создать заявку закупки; подсветить дефицит в производственном задании</x:t>
        </x:is>
      </x:c>
      <x:c r="E5" s="31" t="inlineStr">
        <x:is>
          <x:t xml:space="preserve">Состав изделий, Материалы, Закупки</x:t>
        </x:is>
      </x:c>
      <x:c r="F5" s="31" t="inlineStr">
        <x:is>
          <x:t xml:space="preserve">2 дня</x:t>
        </x:is>
      </x:c>
      <x:c r="G5" s="31" t="inlineStr">
        <x:is>
          <x:t xml:space="preserve">Снабжение</x:t>
        </x:is>
      </x:c>
      <x:c r="H5" s="31" t="inlineStr">
        <x:is>
          <x:t xml:space="preserve">Склад</x:t>
        </x:is>
      </x:c>
    </x:row>
    <x:row r="6" ht="18" customHeight="1">
      <x:c r="A6" s="31" t="inlineStr">
        <x:is>
          <x:t xml:space="preserve">ПР-005</x:t>
        </x:is>
      </x:c>
      <x:c r="B6" s="31" t="inlineStr">
        <x:is>
          <x:t xml:space="preserve">Смена рабочего</x:t>
        </x:is>
      </x:c>
      <x:c r="C6" s="31" t="inlineStr">
        <x:is>
          <x:t xml:space="preserve">Операция назначена оператору</x:t>
        </x:is>
      </x:c>
      <x:c r="D6" s="31" t="inlineStr">
        <x:is>
          <x:t xml:space="preserve">Рабочий видит только свои операции и вводит факт</x:t>
        </x:is>
      </x:c>
      <x:c r="E6" s="31" t="inlineStr">
        <x:is>
          <x:t xml:space="preserve">Операции производства, Смены</x:t>
        </x:is>
      </x:c>
      <x:c r="F6" s="31" t="inlineStr">
        <x:is>
          <x:t xml:space="preserve">1 смена</x:t>
        </x:is>
      </x:c>
      <x:c r="G6" s="31" t="inlineStr">
        <x:is>
          <x:t xml:space="preserve">Мастер участка</x:t>
        </x:is>
      </x:c>
      <x:c r="H6" s="31" t="inlineStr">
        <x:is>
          <x:t xml:space="preserve">Производство</x:t>
        </x:is>
      </x:c>
    </x:row>
    <x:row r="7" ht="18" customHeight="1">
      <x:c r="A7" s="31" t="inlineStr">
        <x:is>
          <x:t xml:space="preserve">ПР-006</x:t>
        </x:is>
      </x:c>
      <x:c r="B7" s="31" t="inlineStr">
        <x:is>
          <x:t xml:space="preserve">ОТК блокировка</x:t>
        </x:is>
      </x:c>
      <x:c r="C7" s="31" t="inlineStr">
        <x:is>
          <x:t xml:space="preserve">Критичный/существенный дефект</x:t>
        </x:is>
      </x:c>
      <x:c r="D7" s="31" t="inlineStr">
        <x:is>
          <x:t xml:space="preserve">Блокировать отгрузку, создать корректирующие действия и задачу мастеру</x:t>
        </x:is>
      </x:c>
      <x:c r="E7" s="31" t="inlineStr">
        <x:is>
          <x:t xml:space="preserve">ОТК, Логистика, Задачи</x:t>
        </x:is>
      </x:c>
      <x:c r="F7" s="31" t="inlineStr">
        <x:is>
          <x:t xml:space="preserve">2 дня</x:t>
        </x:is>
      </x:c>
      <x:c r="G7" s="31" t="inlineStr">
        <x:is>
          <x:t xml:space="preserve">ОТК</x:t>
        </x:is>
      </x:c>
      <x:c r="H7" s="31" t="inlineStr">
        <x:is>
          <x:t xml:space="preserve">Качество</x:t>
        </x:is>
      </x:c>
    </x:row>
    <x:row r="8" ht="18" customHeight="1">
      <x:c r="A8" s="31" t="inlineStr">
        <x:is>
          <x:t xml:space="preserve">ПР-007</x:t>
        </x:is>
      </x:c>
      <x:c r="B8" s="31" t="inlineStr">
        <x:is>
          <x:t xml:space="preserve">Кредит-блок</x:t>
        </x:is>
      </x:c>
      <x:c r="C8" s="31" t="inlineStr">
        <x:is>
          <x:t xml:space="preserve">Просроченная ДЗ или риск Стоп-лист</x:t>
        </x:is>
      </x:c>
      <x:c r="D8" s="31" t="inlineStr">
        <x:is>
          <x:t xml:space="preserve">Запретить отгрузку без согласования финконтролера/ГД</x:t>
        </x:is>
      </x:c>
      <x:c r="E8" s="31" t="inlineStr">
        <x:is>
          <x:t xml:space="preserve">Счета, Заказы, Логистика</x:t>
        </x:is>
      </x:c>
      <x:c r="F8" s="31" t="inlineStr">
        <x:is>
          <x:t xml:space="preserve">1 день</x:t>
        </x:is>
      </x:c>
      <x:c r="G8" s="31" t="inlineStr">
        <x:is>
          <x:t xml:space="preserve">Финансы</x:t>
        </x:is>
      </x:c>
      <x:c r="H8" s="31" t="inlineStr">
        <x:is>
          <x:t xml:space="preserve">Финансы</x:t>
        </x:is>
      </x:c>
    </x:row>
    <x:row r="9" ht="18" customHeight="1">
      <x:c r="A9" s="31" t="inlineStr">
        <x:is>
          <x:t xml:space="preserve">ПР-008</x:t>
        </x:is>
      </x:c>
      <x:c r="B9" s="31" t="inlineStr">
        <x:is>
          <x:t xml:space="preserve">ППР оборудования</x:t>
        </x:is>
      </x:c>
      <x:c r="C9" s="31" t="inlineStr">
        <x:is>
          <x:t xml:space="preserve">Плановая дата ТО ближе 7 дней</x:t>
        </x:is>
      </x:c>
      <x:c r="D9" s="31" t="inlineStr">
        <x:is>
          <x:t xml:space="preserve">Предупредить диспетчера и запретить новую загрузку при ремонте</x:t>
        </x:is>
      </x:c>
      <x:c r="E9" s="31" t="inlineStr">
        <x:is>
          <x:t xml:space="preserve">Оборудование, ППР, Смены</x:t>
        </x:is>
      </x:c>
      <x:c r="F9" s="31" t="inlineStr">
        <x:is>
          <x:t xml:space="preserve">7 дней</x:t>
        </x:is>
      </x:c>
      <x:c r="G9" s="31" t="inlineStr">
        <x:is>
          <x:t xml:space="preserve">Начальник производства</x:t>
        </x:is>
      </x:c>
      <x:c r="H9" s="31" t="inlineStr">
        <x:is>
          <x:t xml:space="preserve">Оборудование</x:t>
        </x:is>
      </x:c>
    </x:row>
    <x:row r="10" ht="18" customHeight="1">
      <x:c r="A10" s="31" t="inlineStr">
        <x:is>
          <x:t xml:space="preserve">ПР-009</x:t>
        </x:is>
      </x:c>
      <x:c r="B10" s="31" t="inlineStr">
        <x:is>
          <x:t xml:space="preserve">Рекламация</x:t>
        </x:is>
      </x:c>
      <x:c r="C10" s="31" t="inlineStr">
        <x:is>
          <x:t xml:space="preserve">Новая рекламация по закрытому заказу</x:t>
        </x:is>
      </x:c>
      <x:c r="D10" s="31" t="inlineStr">
        <x:is>
          <x:t xml:space="preserve">Связать с заказом, изделием и ОТК; создать сервисное обращение и корректирующие действия</x:t>
        </x:is>
      </x:c>
      <x:c r="E10" s="31" t="inlineStr">
        <x:is>
          <x:t xml:space="preserve">Рекламации, ОТК, Сервис</x:t>
        </x:is>
      </x:c>
      <x:c r="F10" s="31" t="inlineStr">
        <x:is>
          <x:t xml:space="preserve">5 дней</x:t>
        </x:is>
      </x:c>
      <x:c r="G10" s="31" t="inlineStr">
        <x:is>
          <x:t xml:space="preserve">Сервис</x:t>
        </x:is>
      </x:c>
      <x:c r="H10" s="31" t="inlineStr">
        <x:is>
          <x:t xml:space="preserve">Сервис</x:t>
        </x:is>
      </x:c>
    </x:row>
    <x:row r="11" ht="18" customHeight="1">
      <x:c r="A11" s="31" t="inlineStr">
        <x:is>
          <x:t xml:space="preserve">ПР-010</x:t>
        </x:is>
      </x:c>
      <x:c r="B11" s="31" t="inlineStr">
        <x:is>
          <x:t xml:space="preserve">Изменение КД</x:t>
        </x:is>
      </x:c>
      <x:c r="C11" s="31" t="inlineStr">
        <x:is>
          <x:t xml:space="preserve">Состав изделия изменен после запуска производственного задания</x:t>
        </x:is>
      </x:c>
      <x:c r="D11" s="31" t="inlineStr">
        <x:is>
          <x:t xml:space="preserve">Создать инженерное изменение; пересчитать потребности и сроки</x:t>
        </x:is>
      </x:c>
      <x:c r="E11" s="31" t="inlineStr">
        <x:is>
          <x:t xml:space="preserve">Состав изделий, Производственные задания, Закупки</x:t>
        </x:is>
      </x:c>
      <x:c r="F11" s="31" t="inlineStr">
        <x:is>
          <x:t xml:space="preserve">2 дня</x:t>
        </x:is>
      </x:c>
      <x:c r="G11" s="31" t="inlineStr">
        <x:is>
          <x:t xml:space="preserve">Главный инженер</x:t>
        </x:is>
      </x:c>
      <x:c r="H11" s="31" t="inlineStr">
        <x:is>
          <x:t xml:space="preserve">КД</x:t>
        </x:is>
      </x:c>
    </x:row>
    <x:row r="12" ht="18" customHeight="1">
      <x:c r="A12" s="31" t="inlineStr">
        <x:is>
          <x:t xml:space="preserve">ПР-011</x:t>
        </x:is>
      </x:c>
      <x:c r="B12" s="31" t="inlineStr">
        <x:is>
          <x:t xml:space="preserve">Отгрузка частями</x:t>
        </x:is>
      </x:c>
      <x:c r="C12" s="31" t="inlineStr">
        <x:is>
          <x:t xml:space="preserve">Не все позиции готовы</x:t>
        </x:is>
      </x:c>
      <x:c r="D12" s="31" t="inlineStr">
        <x:is>
          <x:t xml:space="preserve">Разрешить частичную отгрузку только по согласованию менеджера и логиста</x:t>
        </x:is>
      </x:c>
      <x:c r="E12" s="31" t="inlineStr">
        <x:is>
          <x:t xml:space="preserve">Заказы, Логистика</x:t>
        </x:is>
      </x:c>
      <x:c r="F12" s="31" t="inlineStr">
        <x:is>
          <x:t xml:space="preserve">1 день</x:t>
        </x:is>
      </x:c>
      <x:c r="G12" s="31" t="inlineStr">
        <x:is>
          <x:t xml:space="preserve">Логистика</x:t>
        </x:is>
      </x:c>
      <x:c r="H12" s="31" t="inlineStr">
        <x:is>
          <x:t xml:space="preserve">Логистика</x:t>
        </x:is>
      </x:c>
    </x:row>
    <x:row r="13" ht="18" customHeight="1">
      <x:c r="A13" s="31" t="inlineStr">
        <x:is>
          <x:t xml:space="preserve">ПР-012</x:t>
        </x:is>
      </x:c>
      <x:c r="B13" s="31" t="inlineStr">
        <x:is>
          <x:t xml:space="preserve">Дубли контрагентов</x:t>
        </x:is>
      </x:c>
      <x:c r="C13" s="31" t="inlineStr">
        <x:is>
          <x:t xml:space="preserve">Совпадают ИНН/название/контакт</x:t>
        </x:is>
      </x:c>
      <x:c r="D13" s="31" t="inlineStr">
        <x:is>
          <x:t xml:space="preserve">Показать предупреждение и предложить объединение карточек</x:t>
        </x:is>
      </x:c>
      <x:c r="E13" s="31" t="inlineStr">
        <x:is>
          <x:t xml:space="preserve">Заказчики, Контакты</x:t>
        </x:is>
      </x:c>
      <x:c r="F13" s="31" t="inlineStr">
        <x:is>
          <x:t xml:space="preserve">Сразу</x:t>
        </x:is>
      </x:c>
      <x:c r="G13" s="31" t="inlineStr">
        <x:is>
          <x:t xml:space="preserve">Администратор / продажи</x:t>
        </x:is>
      </x:c>
      <x:c r="H13" s="31" t="inlineStr">
        <x:is>
          <x:t xml:space="preserve">Справочники</x:t>
        </x:is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4" customWidth="1"/>
    <x:col min="3" max="3" width="18" customWidth="1"/>
    <x:col min="4" max="4" width="18" customWidth="1"/>
    <x:col min="5" max="5" width="24" customWidth="1"/>
    <x:col min="6" max="6" width="55" customWidth="1"/>
    <x:col min="7" max="7" width="55" customWidth="1"/>
    <x:col min="8" max="8" width="14" customWidth="1"/>
    <x:col min="9" max="9" width="16" customWidth="1"/>
  </x:cols>
  <x:sheetData>
    <x:row r="1" ht="18" customHeight="1">
      <x:c r="A1" s="30" t="inlineStr">
        <x:is>
          <x:t xml:space="preserve">Код заявки</x:t>
        </x:is>
      </x:c>
      <x:c r="B1" s="30" t="inlineStr">
        <x:is>
          <x:t xml:space="preserve">Дата</x:t>
        </x:is>
      </x:c>
      <x:c r="C1" s="30" t="inlineStr">
        <x:is>
          <x:t xml:space="preserve">Подразделение</x:t>
        </x:is>
      </x:c>
      <x:c r="D1" s="30" t="inlineStr">
        <x:is>
          <x:t xml:space="preserve">Инициатор</x:t>
        </x:is>
      </x:c>
      <x:c r="E1" s="30" t="inlineStr">
        <x:is>
          <x:t xml:space="preserve">Раздел учета</x:t>
        </x:is>
      </x:c>
      <x:c r="F1" s="30" t="inlineStr">
        <x:is>
          <x:t xml:space="preserve">Описание проблемы</x:t>
        </x:is>
      </x:c>
      <x:c r="G1" s="30" t="inlineStr">
        <x:is>
          <x:t xml:space="preserve">Желаемое изменение</x:t>
        </x:is>
      </x:c>
      <x:c r="H1" s="30" t="inlineStr">
        <x:is>
          <x:t xml:space="preserve">Приоритет</x:t>
        </x:is>
      </x:c>
      <x:c r="I1" s="30" t="inlineStr">
        <x:is>
          <x:t xml:space="preserve">Статус</x:t>
        </x:is>
      </x:c>
    </x:row>
    <x:row r="2" ht="18" customHeight="1">
      <x:c r="A2" s="31" t="inlineStr">
        <x:is>
          <x:t xml:space="preserve">ЗИ-01</x:t>
        </x:is>
      </x:c>
      <x:c r="B2" s="37" t="n">
        <x:v>46115</x:v>
      </x:c>
      <x:c r="C2" s="31" t="inlineStr">
        <x:is>
          <x:t xml:space="preserve">Продажи</x:t>
        </x:is>
      </x:c>
      <x:c r="D2" s="31" t="inlineStr">
        <x:is>
          <x:t xml:space="preserve">СОТР-003</x:t>
        </x:is>
      </x:c>
      <x:c r="E2" s="31" t="inlineStr">
        <x:is>
          <x:t xml:space="preserve">Карточка заказчика</x:t>
        </x:is>
      </x:c>
      <x:c r="F2" s="31" t="inlineStr">
        <x:is>
          <x:t xml:space="preserve">Менеджеры не видят связанные счета и последние рекламации при подготовке КП.</x:t>
        </x:is>
      </x:c>
      <x:c r="G2" s="31" t="inlineStr">
        <x:is>
          <x:t xml:space="preserve">Добавить в карточку блок с заказами, счетами, просрочкой и сервисными обращениями.</x:t>
        </x:is>
      </x:c>
      <x:c r="H2" s="31" t="inlineStr">
        <x:is>
          <x:t xml:space="preserve">Высокий</x:t>
        </x:is>
      </x:c>
      <x:c r="I2" s="31" t="inlineStr">
        <x:is>
          <x:t xml:space="preserve">В очереди</x:t>
        </x:is>
      </x:c>
    </x:row>
    <x:row r="3" ht="18" customHeight="1">
      <x:c r="A3" s="31" t="inlineStr">
        <x:is>
          <x:t xml:space="preserve">ЗИ-02</x:t>
        </x:is>
      </x:c>
      <x:c r="B3" s="37" t="n">
        <x:v>46120</x:v>
      </x:c>
      <x:c r="C3" s="31" t="inlineStr">
        <x:is>
          <x:t xml:space="preserve">Производство</x:t>
        </x:is>
      </x:c>
      <x:c r="D3" s="31" t="inlineStr">
        <x:is>
          <x:t xml:space="preserve">СОТР-030</x:t>
        </x:is>
      </x:c>
      <x:c r="E3" s="31" t="inlineStr">
        <x:is>
          <x:t xml:space="preserve">План производства</x:t>
        </x:is>
      </x:c>
      <x:c r="F3" s="31" t="inlineStr">
        <x:is>
          <x:t xml:space="preserve">Мастера вручную сверяют сменные задания, операции и доступность оборудования.</x:t>
        </x:is>
      </x:c>
      <x:c r="G3" s="31" t="inlineStr">
        <x:is>
          <x:t xml:space="preserve">Собрать план операций по участкам с фильтром по смене, оборудованию и статусу.</x:t>
        </x:is>
      </x:c>
      <x:c r="H3" s="31" t="inlineStr">
        <x:is>
          <x:t xml:space="preserve">Высокий</x:t>
        </x:is>
      </x:c>
      <x:c r="I3" s="31" t="inlineStr">
        <x:is>
          <x:t xml:space="preserve">В работе</x:t>
        </x:is>
      </x:c>
    </x:row>
    <x:row r="4" ht="18" customHeight="1">
      <x:c r="A4" s="31" t="inlineStr">
        <x:is>
          <x:t xml:space="preserve">ЗИ-03</x:t>
        </x:is>
      </x:c>
      <x:c r="B4" s="37" t="n">
        <x:v>46123</x:v>
      </x:c>
      <x:c r="C4" s="31" t="inlineStr">
        <x:is>
          <x:t xml:space="preserve">Снабжение</x:t>
        </x:is>
      </x:c>
      <x:c r="D4" s="31" t="inlineStr">
        <x:is>
          <x:t xml:space="preserve">СОТР-018</x:t>
        </x:is>
      </x:c>
      <x:c r="E4" s="31" t="inlineStr">
        <x:is>
          <x:t xml:space="preserve">Материалы</x:t>
        </x:is>
      </x:c>
      <x:c r="F4" s="31" t="inlineStr">
        <x:is>
          <x:t xml:space="preserve">Дефицит виден поздно, закупка запускается после ручной проверки состава изделия.</x:t>
        </x:is>
      </x:c>
      <x:c r="G4" s="31" t="inlineStr">
        <x:is>
          <x:t xml:space="preserve">Показывать доступный остаток, резерв, заказано, минимальный запас и рекомендуемую заявку закупки.</x:t>
        </x:is>
      </x:c>
      <x:c r="H4" s="31" t="inlineStr">
        <x:is>
          <x:t xml:space="preserve">Высокий</x:t>
        </x:is>
      </x:c>
      <x:c r="I4" s="31" t="inlineStr">
        <x:is>
          <x:t xml:space="preserve">В очереди</x:t>
        </x:is>
      </x:c>
    </x:row>
    <x:row r="5" ht="18" customHeight="1">
      <x:c r="A5" s="31" t="inlineStr">
        <x:is>
          <x:t xml:space="preserve">ЗИ-04</x:t>
        </x:is>
      </x:c>
      <x:c r="B5" s="37" t="n">
        <x:v>46130</x:v>
      </x:c>
      <x:c r="C5" s="31" t="inlineStr">
        <x:is>
          <x:t xml:space="preserve">ОТК</x:t>
        </x:is>
      </x:c>
      <x:c r="D5" s="31" t="inlineStr">
        <x:is>
          <x:t xml:space="preserve">СОТР-063</x:t>
        </x:is>
      </x:c>
      <x:c r="E5" s="31" t="inlineStr">
        <x:is>
          <x:t xml:space="preserve">ОТК</x:t>
        </x:is>
      </x:c>
      <x:c r="F5" s="31" t="inlineStr">
        <x:is>
          <x:t xml:space="preserve">Блокировки отгрузки по критичным дефектам фиксируются в разных файлах.</x:t>
        </x:is>
      </x:c>
      <x:c r="G5" s="31" t="inlineStr">
        <x:is>
          <x:t xml:space="preserve">Связать протокол ОТК с заказом, производственным заданием, решением и задачами на доработку.</x:t>
        </x:is>
      </x:c>
      <x:c r="H5" s="31" t="inlineStr">
        <x:is>
          <x:t xml:space="preserve">Срочный</x:t>
        </x:is>
      </x:c>
      <x:c r="I5" s="31" t="inlineStr">
        <x:is>
          <x:t xml:space="preserve">В работе</x:t>
        </x:is>
      </x:c>
    </x:row>
    <x:row r="6" ht="18" customHeight="1">
      <x:c r="A6" s="31" t="inlineStr">
        <x:is>
          <x:t xml:space="preserve">ЗИ-05</x:t>
        </x:is>
      </x:c>
      <x:c r="B6" s="37" t="n">
        <x:v>46136</x:v>
      </x:c>
      <x:c r="C6" s="31" t="inlineStr">
        <x:is>
          <x:t xml:space="preserve">Финансы</x:t>
        </x:is>
      </x:c>
      <x:c r="D6" s="31" t="inlineStr">
        <x:is>
          <x:t xml:space="preserve">СОТР-070</x:t>
        </x:is>
      </x:c>
      <x:c r="E6" s="31" t="inlineStr">
        <x:is>
          <x:t xml:space="preserve">Счета и оплаты</x:t>
        </x:is>
      </x:c>
      <x:c r="F6" s="31" t="inlineStr">
        <x:is>
          <x:t xml:space="preserve">При отгрузке сложно быстро понять, есть ли просроченная дебиторская задолженность.</x:t>
        </x:is>
      </x:c>
      <x:c r="G6" s="31" t="inlineStr">
        <x:is>
          <x:t xml:space="preserve">Показывать остаток к оплате, дни просрочки, статус кредит-блока и согласование отгрузки.</x:t>
        </x:is>
      </x:c>
      <x:c r="H6" s="31" t="inlineStr">
        <x:is>
          <x:t xml:space="preserve">Высокий</x:t>
        </x:is>
      </x:c>
      <x:c r="I6" s="31" t="inlineStr">
        <x:is>
          <x:t xml:space="preserve">В очереди</x:t>
        </x:is>
      </x:c>
    </x:row>
    <x:row r="7" ht="18" customHeight="1">
      <x:c r="A7" s="31" t="inlineStr">
        <x:is>
          <x:t xml:space="preserve">ЗИ-06</x:t>
        </x:is>
      </x:c>
      <x:c r="B7" s="37" t="n">
        <x:v>46148</x:v>
      </x:c>
      <x:c r="C7" s="31" t="inlineStr">
        <x:is>
          <x:t xml:space="preserve">Сервис</x:t>
        </x:is>
      </x:c>
      <x:c r="D7" s="31" t="inlineStr">
        <x:is>
          <x:t xml:space="preserve">СОТР-082</x:t>
        </x:is>
      </x:c>
      <x:c r="E7" s="31" t="inlineStr">
        <x:is>
          <x:t xml:space="preserve">Рекламации</x:t>
        </x:is>
      </x:c>
      <x:c r="F7" s="31" t="inlineStr">
        <x:is>
          <x:t xml:space="preserve">Сервисные обращения плохо связаны с исходным заказом и протоколами ОТК.</x:t>
        </x:is>
      </x:c>
      <x:c r="G7" s="31" t="inlineStr">
        <x:is>
          <x:t xml:space="preserve">Добавить связь рекламации с заказом, изделием, дефектом и корректирующими действиями.</x:t>
        </x:is>
      </x:c>
      <x:c r="H7" s="31" t="inlineStr">
        <x:is>
          <x:t xml:space="preserve">Средний</x:t>
        </x:is>
      </x:c>
      <x:c r="I7" s="31" t="inlineStr">
        <x:is>
          <x:t xml:space="preserve">В очереди</x:t>
        </x:is>
      </x:c>
    </x:row>
    <x:row r="8" ht="18" customHeight="1">
      <x:c r="A8" s="31" t="inlineStr">
        <x:is>
          <x:t xml:space="preserve">ЗИ-07</x:t>
        </x:is>
      </x:c>
      <x:c r="B8" s="37" t="n">
        <x:v>46155</x:v>
      </x:c>
      <x:c r="C8" s="31" t="inlineStr">
        <x:is>
          <x:t xml:space="preserve">Склад</x:t>
        </x:is>
      </x:c>
      <x:c r="D8" s="31" t="inlineStr">
        <x:is>
          <x:t xml:space="preserve">СОТР-024</x:t>
        </x:is>
      </x:c>
      <x:c r="E8" s="31" t="inlineStr">
        <x:is>
          <x:t xml:space="preserve">Складские движения</x:t>
        </x:is>
      </x:c>
      <x:c r="F8" s="31" t="inlineStr">
        <x:is>
          <x:t xml:space="preserve">Кладовщики не всегда понимают, какие резервы относятся к конкретному заказу.</x:t>
        </x:is>
      </x:c>
      <x:c r="G8" s="31" t="inlineStr">
        <x:is>
          <x:t xml:space="preserve">Показывать движение материала с заказом, производственным заданием, складом и документом.</x:t>
        </x:is>
      </x:c>
      <x:c r="H8" s="31" t="inlineStr">
        <x:is>
          <x:t xml:space="preserve">Средний</x:t>
        </x:is>
      </x:c>
      <x:c r="I8" s="31" t="inlineStr">
        <x:is>
          <x:t xml:space="preserve">Принято</x:t>
        </x:is>
      </x:c>
    </x:row>
    <x:row r="9" ht="18" customHeight="1">
      <x:c r="A9" s="31" t="inlineStr">
        <x:is>
          <x:t xml:space="preserve">ЗИ-08</x:t>
        </x:is>
      </x:c>
      <x:c r="B9" s="37" t="n">
        <x:v>46161</x:v>
      </x:c>
      <x:c r="C9" s="31" t="inlineStr">
        <x:is>
          <x:t xml:space="preserve">Руководство</x:t>
        </x:is>
      </x:c>
      <x:c r="D9" s="31" t="inlineStr">
        <x:is>
          <x:t xml:space="preserve">СОТР-001</x:t>
        </x:is>
      </x:c>
      <x:c r="E9" s="31" t="inlineStr">
        <x:is>
          <x:t xml:space="preserve">Сводка руководителя</x:t>
        </x:is>
      </x:c>
      <x:c r="F9" s="31" t="inlineStr">
        <x:is>
          <x:t xml:space="preserve">Показатели по выручке, марже, просрочке, дефицитам и критичным дефектам собираются вручную.</x:t>
        </x:is>
      </x:c>
      <x:c r="G9" s="31" t="inlineStr">
        <x:is>
          <x:t xml:space="preserve">Сделать единую сводку с переходом в заказ, счет, материал, ОТК и задачу.</x:t>
        </x:is>
      </x:c>
      <x:c r="H9" s="31" t="inlineStr">
        <x:is>
          <x:t xml:space="preserve">Срочный</x:t>
        </x:is>
      </x:c>
      <x:c r="I9" s="31" t="inlineStr">
        <x:is>
          <x:t xml:space="preserve">В работе</x:t>
        </x:is>
      </x:c>
    </x:row>
    <x:row r="10" ht="18" customHeight="1">
      <x:c r="A10" s="31" t="inlineStr">
        <x:is>
          <x:t xml:space="preserve">ЗИ-09</x:t>
        </x:is>
      </x:c>
      <x:c r="B10" s="37" t="n">
        <x:v>46169</x:v>
      </x:c>
      <x:c r="C10" s="31" t="inlineStr">
        <x:is>
          <x:t xml:space="preserve">Логистика</x:t>
        </x:is>
      </x:c>
      <x:c r="D10" s="31" t="inlineStr">
        <x:is>
          <x:t xml:space="preserve">СОТР-076</x:t>
        </x:is>
      </x:c>
      <x:c r="E10" s="31" t="inlineStr">
        <x:is>
          <x:t xml:space="preserve">Отгрузки</x:t>
        </x:is>
      </x:c>
      <x:c r="F10" s="31" t="inlineStr">
        <x:is>
          <x:t xml:space="preserve">Логист не видит в одном месте готовность позиций, кредит-блок и документы.</x:t>
        </x:is>
      </x:c>
      <x:c r="G10" s="31" t="inlineStr">
        <x:is>
          <x:t xml:space="preserve">Добавить контроль готовности, разрешение частичной отгрузки и ограничения по оплате.</x:t>
        </x:is>
      </x:c>
      <x:c r="H10" s="31" t="inlineStr">
        <x:is>
          <x:t xml:space="preserve">Высокий</x:t>
        </x:is>
      </x:c>
      <x:c r="I10" s="31" t="inlineStr">
        <x:is>
          <x:t xml:space="preserve">В очереди</x:t>
        </x:is>
      </x:c>
    </x:row>
    <x:row r="11" ht="18" customHeight="1">
      <x:c r="A11" s="31" t="inlineStr">
        <x:is>
          <x:t xml:space="preserve">ЗИ-10</x:t>
        </x:is>
      </x:c>
      <x:c r="B11" s="37" t="n">
        <x:v>46177</x:v>
      </x:c>
      <x:c r="C11" s="31" t="inlineStr">
        <x:is>
          <x:t xml:space="preserve">Администрирование</x:t>
        </x:is>
      </x:c>
      <x:c r="D11" s="31" t="inlineStr">
        <x:is>
          <x:t xml:space="preserve">СОТР-089</x:t>
        </x:is>
      </x:c>
      <x:c r="E11" s="31" t="inlineStr">
        <x:is>
          <x:t xml:space="preserve">Права доступа</x:t>
        </x:is>
      </x:c>
      <x:c r="F11" s="31" t="inlineStr">
        <x:is>
          <x:t xml:space="preserve">Для рабочих, мастеров, продаж и финансов нужны разные уровни видимости сумм и записей.</x:t>
        </x:is>
      </x:c>
      <x:c r="G11" s="31" t="inlineStr">
        <x:is>
          <x:t xml:space="preserve">Настроить роли, доступ к разделам и ограничение по своим заказам/участкам.</x:t>
        </x:is>
      </x:c>
      <x:c r="H11" s="31" t="inlineStr">
        <x:is>
          <x:t xml:space="preserve">Средний</x:t>
        </x:is>
      </x:c>
      <x:c r="I11" s="31" t="inlineStr">
        <x:is>
          <x:t xml:space="preserve">В очереди</x:t>
        </x:is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baseColWidth="8" defaultRowHeight="15"/>
  <x:cols>
    <x:col min="1" max="1" width="38" customWidth="1"/>
    <x:col min="2" max="2" width="38" customWidth="1"/>
    <x:col min="3" max="3" width="38" customWidth="1"/>
    <x:col min="4" max="4" width="14" customWidth="1"/>
  </x:cols>
  <x:sheetData>
    <x:row r="1" ht="18" customHeight="1">
      <x:c r="A1" s="30" t="inlineStr">
        <x:is>
          <x:t xml:space="preserve">Проверка</x:t>
        </x:is>
      </x:c>
      <x:c r="B1" s="30" t="inlineStr">
        <x:is>
          <x:t xml:space="preserve">Что проверяет</x:t>
        </x:is>
      </x:c>
      <x:c r="C1" s="30" t="inlineStr">
        <x:is>
          <x:t xml:space="preserve">Формула/ожидаемый смысл</x:t>
        </x:is>
      </x:c>
      <x:c r="D1" s="30" t="inlineStr">
        <x:is>
          <x:t xml:space="preserve">Результат</x:t>
        </x:is>
      </x:c>
    </x:row>
    <x:row r="2" ht="18" customHeight="1">
      <x:c r="A2" s="31" t="inlineStr">
        <x:is>
          <x:t xml:space="preserve">Заказы без заказчика</x:t>
        </x:is>
      </x:c>
      <x:c r="B2" s="31" t="inlineStr">
        <x:is>
          <x:t xml:space="preserve">Все заказы имеют код заказчика из справочника</x:t>
        </x:is>
      </x:c>
      <x:c r="C2" s="31" t="inlineStr">
        <x:is>
          <x:t xml:space="preserve">Количество заказов без заказчика</x:t>
        </x:is>
      </x:c>
      <x:c r="D2" s="31" t="n">
        <x:f>SUMPRODUCT(--('09_Заказы'!A2:A500&lt;&gt;""),--ISNA(MATCH('09_Заказы'!C2:C500,'06_Заказчики'!A2:A200,0)))</x:f>
        <x:v>0</x:v>
      </x:c>
    </x:row>
    <x:row r="3" ht="18" customHeight="1">
      <x:c r="A3" s="31" t="inlineStr">
        <x:is>
          <x:t xml:space="preserve">Позиции без заказа</x:t>
        </x:is>
      </x:c>
      <x:c r="B3" s="31" t="inlineStr">
        <x:is>
          <x:t xml:space="preserve">Все позиции заказов имеют заказ</x:t>
        </x:is>
      </x:c>
      <x:c r="C3" s="31" t="inlineStr">
        <x:is>
          <x:t xml:space="preserve">Количество позиций без заказа</x:t>
        </x:is>
      </x:c>
      <x:c r="D3" s="31" t="n">
        <x:f>SUMPRODUCT(--('10_Позиции_заказов'!A2:A1000&lt;&gt;""),--ISNA(MATCH('10_Позиции_заказов'!B2:B1000,'09_Заказы'!A2:A500,0)))</x:f>
        <x:v>0</x:v>
      </x:c>
    </x:row>
    <x:row r="4" ht="18" customHeight="1">
      <x:c r="A4" s="31" t="inlineStr">
        <x:is>
          <x:t xml:space="preserve">Производственные задания без заказа</x:t>
        </x:is>
      </x:c>
      <x:c r="B4" s="31" t="inlineStr">
        <x:is>
          <x:t xml:space="preserve">Все производственное задание имеют заказ</x:t>
        </x:is>
      </x:c>
      <x:c r="C4" s="31" t="inlineStr">
        <x:is>
          <x:t xml:space="preserve">Количество производственных заданий без заказа</x:t>
        </x:is>
      </x:c>
      <x:c r="D4" s="31" t="n">
        <x:f>SUMPRODUCT(--('21_Производство'!A2:A1000&lt;&gt;""),--ISNA(MATCH('21_Производство'!B2:B1000,'09_Заказы'!A2:A500,0)))</x:f>
        <x:v>0</x:v>
      </x:c>
    </x:row>
    <x:row r="5" ht="18" customHeight="1">
      <x:c r="A5" s="31" t="inlineStr">
        <x:is>
          <x:t xml:space="preserve">Производственные задания без позиции</x:t>
        </x:is>
      </x:c>
      <x:c r="B5" s="31" t="inlineStr">
        <x:is>
          <x:t xml:space="preserve">Все производственное задание имеют строку заказа</x:t>
        </x:is>
      </x:c>
      <x:c r="C5" s="31" t="inlineStr">
        <x:is>
          <x:t xml:space="preserve">Количество производственных заданий без позиции</x:t>
        </x:is>
      </x:c>
      <x:c r="D5" s="31" t="n">
        <x:f>SUMPRODUCT(--('21_Производство'!A2:A1000&lt;&gt;""),--ISNA(MATCH('21_Производство'!C2:C1000,'10_Позиции_заказов'!A2:A1000,0)))</x:f>
        <x:v>0</x:v>
      </x:c>
    </x:row>
    <x:row r="6" ht="18" customHeight="1">
      <x:c r="A6" s="31" t="inlineStr">
        <x:is>
          <x:t xml:space="preserve">Операции без производственного задания</x:t>
        </x:is>
      </x:c>
      <x:c r="B6" s="31" t="inlineStr">
        <x:is>
          <x:t xml:space="preserve">Все операции имеют производственное задание</x:t>
        </x:is>
      </x:c>
      <x:c r="C6" s="31" t="inlineStr">
        <x:is>
          <x:t xml:space="preserve">Количество операций без производственного задания</x:t>
        </x:is>
      </x:c>
      <x:c r="D6" s="31" t="n">
        <x:f>SUMPRODUCT(--('22_Операции_производства'!A2:A3000&lt;&gt;""),--ISNA(MATCH('22_Операции_производства'!B2:B3000,'21_Производство'!A2:A1000,0)))</x:f>
        <x:v>0</x:v>
      </x:c>
    </x:row>
    <x:row r="7" ht="18" customHeight="1">
      <x:c r="A7" s="31" t="inlineStr">
        <x:is>
          <x:t xml:space="preserve">Счета без заказа</x:t>
        </x:is>
      </x:c>
      <x:c r="B7" s="31" t="inlineStr">
        <x:is>
          <x:t xml:space="preserve">Все счета имеют заказ</x:t>
        </x:is>
      </x:c>
      <x:c r="C7" s="31" t="inlineStr">
        <x:is>
          <x:t xml:space="preserve">Количество счетов без заказа</x:t>
        </x:is>
      </x:c>
      <x:c r="D7" s="31" t="n">
        <x:f>SUMPRODUCT(--('26_Счета_оплаты'!A2:A500&lt;&gt;""),--ISNA(MATCH('26_Счета_оплаты'!B2:B500,'09_Заказы'!A2:A500,0)))</x:f>
        <x:v>0</x:v>
      </x:c>
    </x:row>
    <x:row r="8" ht="18" customHeight="1">
      <x:c r="A8" s="31" t="inlineStr">
        <x:is>
          <x:t xml:space="preserve">Задачи без ответственного</x:t>
        </x:is>
      </x:c>
      <x:c r="B8" s="31" t="inlineStr">
        <x:is>
          <x:t xml:space="preserve">Все задачи имеют ответственного сотрудника</x:t>
        </x:is>
      </x:c>
      <x:c r="C8" s="31" t="inlineStr">
        <x:is>
          <x:t xml:space="preserve">Количество задач без ответственного</x:t>
        </x:is>
      </x:c>
      <x:c r="D8" s="31" t="n">
        <x:f>SUMPRODUCT(--('28_Задачи_и_сроки'!A2:A1000&lt;&gt;""),--ISNA(MATCH('28_Задачи_и_сроки'!F2:F1000,'03_Сотрудники'!A2:A200,0)))</x:f>
        <x:v>0</x:v>
      </x:c>
    </x:row>
    <x:row r="9" ht="18" customHeight="1">
      <x:c r="A9" s="31" t="inlineStr">
        <x:is>
          <x:t xml:space="preserve">Отгрузки при кредит-блоке</x:t>
        </x:is>
      </x:c>
      <x:c r="B9" s="31" t="inlineStr">
        <x:is>
          <x:t xml:space="preserve">Отгрузки при кредит-блоке требуют согласования</x:t>
        </x:is>
      </x:c>
      <x:c r="C9" s="31" t="inlineStr">
        <x:is>
          <x:t xml:space="preserve">Количество отгрузок при кредит-блоке</x:t>
        </x:is>
      </x:c>
      <x:c r="D9" s="31" t="n">
        <x:f>COUNTIFS('27_Логистика'!J:J,"Да")</x:f>
        <x:v>2</x:v>
      </x:c>
    </x:row>
    <x:row r="10" ht="18" customHeight="1">
      <x:c r="A10" s="31" t="inlineStr">
        <x:is>
          <x:t xml:space="preserve">Критичные дефекты без корректирующих действий</x:t>
        </x:is>
      </x:c>
      <x:c r="B10" s="31" t="inlineStr">
        <x:is>
          <x:t xml:space="preserve">Критичные дефекты должны иметь корректирующие действия</x:t>
        </x:is>
      </x:c>
      <x:c r="C10" s="31" t="inlineStr">
        <x:is>
          <x:t xml:space="preserve">Критичные дефекты без корректирующих действий</x:t>
        </x:is>
      </x:c>
      <x:c r="D10" s="31" t="n">
        <x:f>COUNTIFS('24_ОТК'!J:J,"Критичный",'24_ОТК'!L:L,"Нет")</x:f>
        <x:v>3</x:v>
      </x:c>
    </x:row>
    <x:row r="11" ht="18" customHeight="1">
      <x:c r="A11" s="31" t="inlineStr">
        <x:is>
          <x:t xml:space="preserve">Дефицит материалов</x:t>
        </x:is>
      </x:c>
      <x:c r="B11" s="31" t="inlineStr">
        <x:is>
          <x:t xml:space="preserve">Материалы с дефицитом</x:t>
        </x:is>
      </x:c>
      <x:c r="C11" s="31" t="inlineStr">
        <x:is>
          <x:t xml:space="preserve">Количество материалов со статусом «Дефицит»</x:t>
        </x:is>
      </x:c>
      <x:c r="D11" s="31" t="n">
        <x:f>COUNTIF('14_Материалы'!N:N,"Дефицит")</x:f>
        <x:v>19</x:v>
      </x:c>
    </x:row>
    <x:row r="12" ht="18" customHeight="1">
      <x:c r="A12" s="31" t="inlineStr">
        <x:is>
          <x:t xml:space="preserve">Просроченные счета</x:t>
        </x:is>
      </x:c>
      <x:c r="B12" s="31" t="inlineStr">
        <x:is>
          <x:t xml:space="preserve">Просроченные счета</x:t>
        </x:is>
      </x:c>
      <x:c r="C12" s="31" t="inlineStr">
        <x:is>
          <x:t xml:space="preserve">Количество просроченных счетов</x:t>
        </x:is>
      </x:c>
      <x:c r="D12" s="31" t="n">
        <x:f>COUNTIF('26_Счета_оплаты'!J:J,"Просрочен")</x:f>
        <x:v>77</x:v>
      </x:c>
    </x:row>
    <x:row r="13" ht="18" customHeight="1">
      <x:c r="A13" s="31" t="inlineStr">
        <x:is>
          <x:t xml:space="preserve">Просроченные задачи</x:t>
        </x:is>
      </x:c>
      <x:c r="B13" s="31" t="inlineStr">
        <x:is>
          <x:t xml:space="preserve">Просроченные задачи</x:t>
        </x:is>
      </x:c>
      <x:c r="C13" s="31" t="inlineStr">
        <x:is>
          <x:t xml:space="preserve">Количество просроченных задач</x:t>
        </x:is>
      </x:c>
      <x:c r="D13" s="31" t="n">
        <x:f>COUNTIF('28_Задачи_и_сроки'!D:D,"Просрочена")</x:f>
        <x:v>237</x:v>
      </x:c>
    </x:row>
  </x:sheetData>
  <x:conditionalFormatting sqref="D2:D13">
    <x:cfRule type="cellIs" dxfId="0" priority="1" operator="greaterThan">
      <x:formula>0</x:formula>
    </x:cfRule>
  </x:conditionalFormatting>
  <x:pageMargins left="0.7" right="0.7" top="0.75" bottom="0.75" header="0.3" footer="0.3"/>
</x:worksheet>
</file>